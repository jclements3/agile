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11.xml" ContentType="application/vnd.openxmlformats-officedocument.drawing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12.xml" ContentType="application/vnd.openxmlformats-officedocument.drawing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24226"/>
  <bookViews>
    <workbookView xWindow="0" yWindow="0" windowWidth="28800" windowHeight="15000" activeTab="0"/>
  </bookViews>
  <sheets>
    <sheet name="Start" sheetId="1" r:id="rId1"/>
    <sheet name="Quad" sheetId="2" r:id="rId2"/>
    <sheet name="Health" sheetId="3" r:id="rId3"/>
    <sheet name="Standup" sheetId="4" r:id="rId4"/>
    <sheet name="Lint" sheetId="5" r:id="rId5"/>
    <sheet name="Log" sheetId="6" r:id="rId6"/>
    <sheet name="Items" sheetId="7" r:id="rId7"/>
    <sheet name="Teams" sheetId="8" r:id="rId8"/>
    <sheet name="Roster" sheetId="9" r:id="rId9"/>
    <sheet name="Epics" sheetId="10" r:id="rId10"/>
    <sheet name="Burndown" sheetId="11" r:id="rId11"/>
    <sheet name="Velocity" sheetId="12" r:id="rId12"/>
  </sheets>
  <definedNames>
    <definedName name="AgeMax">Start!$C$29</definedName>
    <definedName name="AsOf">IF(Start!$C$6="",TODAY(),Start!$C$6)</definedName>
    <definedName name="BlockAmber">Start!$C$19</definedName>
    <definedName name="BlockRed">Start!$C$20</definedName>
    <definedName name="BusMax">Start!$C$28</definedName>
    <definedName name="CarryMax">Start!$C$25</definedName>
    <definedName name="ChatPaste">Standup!$A$6:$A$1505</definedName>
    <definedName name="ChatSpeaker">Standup!$C$6:$C$1505</definedName>
    <definedName name="ChatTag">Standup!$D$6:$D$1505</definedName>
    <definedName name="ChatText">Standup!$E$6:$E$1505</definedName>
    <definedName name="CurSprint">MAX(1,INT((AsOf-Sprint1)/SprintDays)+1)</definedName>
    <definedName name="Day8Pct">Start!$C$23</definedName>
    <definedName name="DayOfSprint">NETWORKDAYS(SprintStart,AsOf)</definedName>
    <definedName name="IDList">Items[ID]</definedName>
    <definedName name="LoadHigh">Start!$C$21</definedName>
    <definedName name="LoadLow">Start!$C$22</definedName>
    <definedName name="OnTimeMin">Start!$C$27</definedName>
    <definedName name="PeopleList">Roster[Name]</definedName>
    <definedName name="PredictMin">Start!$C$24</definedName>
    <definedName name="Project">Start!$C$8</definedName>
    <definedName name="PuntMax">Start!$C$26</definedName>
    <definedName name="Sprint1">Start!$C$4</definedName>
    <definedName name="SprintDays">Start!$C$5</definedName>
    <definedName name="SprintEnd">SprintStart+SprintDays-1</definedName>
    <definedName name="SprintStart">Sprint1+(CurSprint-1)*SprintDays</definedName>
    <definedName name="SprintWorkdays">NETWORKDAYS(SprintStart,SprintEnd)</definedName>
    <definedName name="StandupDate">IF(Start!$C$9="",AsOf,Start!$C$9)</definedName>
    <definedName name="TeamList">Teams[Team]</definedName>
    <definedName name="Unit">Start!$C$7</definedName>
    <definedName name="VerbList">Start!$B$33:$B$46</definedName>
    <definedName name="Verbs">Start!$B$33:$D$46</definedName>
    <definedName name="_xlnm.Print_Area" localSheetId="1">Quad!$A$1:$I$34</definedName>
  </definedNames>
  <calcPr calcId="191029" fullCalcOnLoad="1"/>
</workbook>
</file>

<file path=xl/sharedStrings.xml><?xml version="1.0" encoding="utf-8"?>
<sst xmlns="http://schemas.openxmlformats.org/spreadsheetml/2006/main" count="2285" uniqueCount="2285">
  <si>
    <t xml:space="preserve">Agile kit -- Excel edition</t>
  </si>
  <si>
    <t xml:space="preserve">Yellow cells are yours to type in. Everything else is a formula over the Items and Log tables. No macros.</t>
  </si>
  <si>
    <t xml:space="preserve">Settings</t>
  </si>
  <si>
    <t xml:space="preserve">Sprint 1 starts</t>
  </si>
  <si>
    <t xml:space="preserve">Sprint length (calendar days)</t>
  </si>
  <si>
    <t xml:space="preserve">As of (blank = today)</t>
  </si>
  <si>
    <t xml:space="preserve">Points unit</t>
  </si>
  <si>
    <t xml:space="preserve">SP</t>
  </si>
  <si>
    <t xml:space="preserve">Project</t>
  </si>
  <si>
    <t xml:space="preserve">history</t>
  </si>
  <si>
    <t xml:space="preserve">Stand-up date (blank = as of)</t>
  </si>
  <si>
    <t xml:space="preserve">Now</t>
  </si>
  <si>
    <t xml:space="preserve">Current sprint</t>
  </si>
  <si>
    <t xml:space="preserve">Sprint starts</t>
  </si>
  <si>
    <t xml:space="preserve">Sprint ends</t>
  </si>
  <si>
    <t xml:space="preserve">Working day of sprint</t>
  </si>
  <si>
    <t xml:space="preserve">As of</t>
  </si>
  <si>
    <t xml:space="preserve">Thresholds (WORKFLOW section 6)</t>
  </si>
  <si>
    <t xml:space="preserve">Blocked: amber after (days)</t>
  </si>
  <si>
    <t xml:space="preserve">Blocked: red after (days)</t>
  </si>
  <si>
    <t xml:space="preserve">Team load: high</t>
  </si>
  <si>
    <t xml:space="preserve">Team load: low</t>
  </si>
  <si>
    <t xml:space="preserve">Progress by working day 8</t>
  </si>
  <si>
    <t xml:space="preserve">Predictability: at least</t>
  </si>
  <si>
    <t xml:space="preserve">Carryover: at most</t>
  </si>
  <si>
    <t xml:space="preserve">Punt rate: at most</t>
  </si>
  <si>
    <t xml:space="preserve">On-time delivery: at least</t>
  </si>
  <si>
    <t xml:space="preserve">Same person, share of team points (bus factor)</t>
  </si>
  <si>
    <t xml:space="preserve">Backlog age: flag after (days)</t>
  </si>
  <si>
    <t xml:space="preserve">Verbs (the Log table's third column)</t>
  </si>
  <si>
    <t xml:space="preserve">Verb</t>
  </si>
  <si>
    <t xml:space="preserve">Arg</t>
  </si>
  <si>
    <t xml:space="preserve">State after</t>
  </si>
  <si>
    <t xml:space="preserve">Meaning</t>
  </si>
  <si>
    <t xml:space="preserve">commit</t>
  </si>
  <si>
    <t xml:space="preserve">sprint N (blank = the sprint of the date)</t>
  </si>
  <si>
    <t xml:space="preserve">OPEN</t>
  </si>
  <si>
    <t xml:space="preserve">into a sprint at planning</t>
  </si>
  <si>
    <t xml:space="preserve">carry</t>
  </si>
  <si>
    <t xml:space="preserve">sprint N</t>
  </si>
  <si>
    <t xml:space="preserve">not done at sprint end: into the next sprint</t>
  </si>
  <si>
    <t xml:space="preserve">done</t>
  </si>
  <si>
    <t xml:space="preserve"/>
  </si>
  <si>
    <t xml:space="preserve">DONE</t>
  </si>
  <si>
    <t xml:space="preserve">finished, meets the Definition of Done</t>
  </si>
  <si>
    <t xml:space="preserve">block</t>
  </si>
  <si>
    <t xml:space="preserve">blocked from outside the team: why in Note (shows as WAIT)</t>
  </si>
  <si>
    <t xml:space="preserve">unblock</t>
  </si>
  <si>
    <t xml:space="preserve">the blocker is gone</t>
  </si>
  <si>
    <t xml:space="preserve">hold</t>
  </si>
  <si>
    <t xml:space="preserve">HOLD</t>
  </si>
  <si>
    <t xml:space="preserve">interrupted by higher-priority work: why in Note</t>
  </si>
  <si>
    <t xml:space="preserve">resume</t>
  </si>
  <si>
    <t xml:space="preserve">back from hold</t>
  </si>
  <si>
    <t xml:space="preserve">punt</t>
  </si>
  <si>
    <t xml:space="preserve">TODO</t>
  </si>
  <si>
    <t xml:space="preserve">too hard as written: back to the team backlog, why in Note</t>
  </si>
  <si>
    <t xml:space="preserve">redo</t>
  </si>
  <si>
    <t xml:space="preserve">the demo found it wrong: back into a sprint</t>
  </si>
  <si>
    <t xml:space="preserve">pass</t>
  </si>
  <si>
    <t xml:space="preserve">team</t>
  </si>
  <si>
    <t xml:space="preserve">another team should do it: into their backlog</t>
  </si>
  <si>
    <t xml:space="preserve">drop</t>
  </si>
  <si>
    <t xml:space="preserve">DROP</t>
  </si>
  <si>
    <t xml:space="preserve">should not be done</t>
  </si>
  <si>
    <t xml:space="preserve">est</t>
  </si>
  <si>
    <t xml:space="preserve">points</t>
  </si>
  <si>
    <t xml:space="preserve">re-estimate: the new size</t>
  </si>
  <si>
    <t xml:space="preserve">sync</t>
  </si>
  <si>
    <t xml:space="preserve">other ID</t>
  </si>
  <si>
    <t xml:space="preserve">coordinated across teams (a note)</t>
  </si>
  <si>
    <t xml:space="preserve">note</t>
  </si>
  <si>
    <t xml:space="preserve">anything worth keeping</t>
  </si>
  <si>
    <t xml:space="preserve">Every day</t>
  </si>
  <si>
    <t xml:space="preserve">1. Townhall: copy the Teams meeting chat (Ctrl+A, Ctrl+C in the chat) and paste it into Standup!A6.</t>
  </si>
  <si>
    <t xml:space="preserve">2. Lint: read the flags, copy the Reply column back into the chat, copy suggested rows (Date..Note) into the Log.</t>
  </si>
  <si>
    <t xml:space="preserve">3. Log: type what happened -- one row per verb (done, block, hold, punt ...). Never edit old rows; add new ones.</t>
  </si>
  <si>
    <t xml:space="preserve">4. Look: Quad (the weekly page), Health (thresholds), Teams, Burndown, Velocity. File &gt; Print or paste into Outlook.</t>
  </si>
  <si>
    <t xml:space="preserve">5. Dashboard: open agile-dashboard.html in Edge and load this file for charts you can copy into mail or slides.</t>
  </si>
  <si>
    <t xml:space="preserve">Sprint planning: add Items, then a commit row per task. Sprint end: a carry row for each unfinished task.</t>
  </si>
  <si>
    <t xml:space="preserve">The Items and Log tables grow when you type on the row just below them. Keep column order; add columns to the right.</t>
  </si>
  <si>
    <t xml:space="preserve">Sprint progress</t>
  </si>
  <si>
    <t xml:space="preserve">On-time delivery</t>
  </si>
  <si>
    <t xml:space="preserve">Technical priorities (this sprint)</t>
  </si>
  <si>
    <t xml:space="preserve">Watch items (blocked, held, unassigned)</t>
  </si>
  <si>
    <t xml:space="preserve">ID</t>
  </si>
  <si>
    <t xml:space="preserve">State</t>
  </si>
  <si>
    <t xml:space="preserve">Title</t>
  </si>
  <si>
    <t xml:space="preserve">Owner</t>
  </si>
  <si>
    <t xml:space="preserve">Why</t>
  </si>
  <si>
    <t xml:space="preserve">Days</t>
  </si>
  <si>
    <t xml:space="preserve">30 / 60 / 90 milestones</t>
  </si>
  <si>
    <t xml:space="preserve">Accomplishments (done in the last 7 days)</t>
  </si>
  <si>
    <t xml:space="preserve">Epic</t>
  </si>
  <si>
    <t xml:space="preserve">Status</t>
  </si>
  <si>
    <t xml:space="preserve">Due</t>
  </si>
  <si>
    <t xml:space="preserve">Pct done</t>
  </si>
  <si>
    <t xml:space="preserve">Done on</t>
  </si>
  <si>
    <t xml:space="preserve">Punted, last 4 sprints</t>
  </si>
  <si>
    <t xml:space="preserve">Blocked &gt; 3 days</t>
  </si>
  <si>
    <t xml:space="preserve">Health: every metric against its threshold</t>
  </si>
  <si>
    <t xml:space="preserve">RED and AMBER need an action; the action is in the last column (WORKFLOW section 6).</t>
  </si>
  <si>
    <t xml:space="preserve">Metric</t>
  </si>
  <si>
    <t xml:space="preserve">Value</t>
  </si>
  <si>
    <t xml:space="preserve">Level</t>
  </si>
  <si>
    <t xml:space="preserve">Action</t>
  </si>
  <si>
    <t xml:space="preserve">Blocked past the red line (tasks)</t>
  </si>
  <si>
    <t xml:space="preserve">Escalate to the PM today; name an owner for the outside dependency.</t>
  </si>
  <si>
    <t xml:space="preserve">Blocked past the amber line (tasks)</t>
  </si>
  <si>
    <t xml:space="preserve">Raise at the townhall; swarm or re-plan.</t>
  </si>
  <si>
    <t xml:space="preserve">Teams over capacity</t>
  </si>
  <si>
    <t xml:space="preserve">Move work out at the next refinement.</t>
  </si>
  <si>
    <t xml:space="preserve">Teams under capacity</t>
  </si>
  <si>
    <t xml:space="preserve">Pull ready work from the backlog.</t>
  </si>
  <si>
    <t xml:space="preserve">Sprint progress (from working day 8)</t>
  </si>
  <si>
    <t xml:space="preserve">Cut scope with the teams now, not on day 14.</t>
  </si>
  <si>
    <t xml:space="preserve">Unassigned tasks in the sprint</t>
  </si>
  <si>
    <t xml:space="preserve">Every committed task has one owner.</t>
  </si>
  <si>
    <t xml:space="preserve">Predictability, last finished sprint</t>
  </si>
  <si>
    <t xml:space="preserve">Commit to the 3-sprint velocity, not the hope.</t>
  </si>
  <si>
    <t xml:space="preserve">Carryover, last finished sprint</t>
  </si>
  <si>
    <t xml:space="preserve">Smaller tasks; split at refinement.</t>
  </si>
  <si>
    <t xml:space="preserve">Punt rate, last finished sprint</t>
  </si>
  <si>
    <t xml:space="preserve">The Definition of Ready is not holding: rewrite before planning.</t>
  </si>
  <si>
    <t xml:space="preserve">Epics late or at risk</t>
  </si>
  <si>
    <t xml:space="preserve">Re-plan the epic or move its target with the sponsor.</t>
  </si>
  <si>
    <t xml:space="preserve">People over the bus-factor share</t>
  </si>
  <si>
    <t xml:space="preserve">Pair or hand over; one person should not hold the team.</t>
  </si>
  <si>
    <t xml:space="preserve">Backlog tasks older than the age limit</t>
  </si>
  <si>
    <t xml:space="preserve">Refine or drop old backlog.</t>
  </si>
  <si>
    <t xml:space="preserve">Silent at the last stand-up (people)</t>
  </si>
  <si>
    <t xml:space="preserve">A 1:1 message; three days running is a conversation.</t>
  </si>
  <si>
    <t xml:space="preserve">Log rows that do not check</t>
  </si>
  <si>
    <t xml:space="preserve">Fix the ID or verb in the Log (Check column).</t>
  </si>
  <si>
    <t xml:space="preserve">Stand-up: paste the Teams chat into A6 (Ctrl+V). One line per row; Y: / T: / B: lines under each name.</t>
  </si>
  <si>
    <t xml:space="preserve">Date</t>
  </si>
  <si>
    <t xml:space="preserve">Names come from the Roster. "[8:31 AM] Ann Lee", "Ann Lee (08:31)" and "Ann Lee" on its own line all start a person.</t>
  </si>
  <si>
    <t xml:space="preserve">Chat (paste here)</t>
  </si>
  <si>
    <t xml:space="preserve">Name</t>
  </si>
  <si>
    <t xml:space="preserve">Speaker</t>
  </si>
  <si>
    <t xml:space="preserve">Tag</t>
  </si>
  <si>
    <t xml:space="preserve">Text</t>
  </si>
  <si>
    <t xml:space="preserve">Lint: who answered, what is missing, what to paste back</t>
  </si>
  <si>
    <t xml:space="preserve">Reply: copy the Reply column into the chat. Suggest: copy Date..Note into the Log when it is right (never applied for you).</t>
  </si>
  <si>
    <t xml:space="preserve">Team</t>
  </si>
  <si>
    <t xml:space="preserve">Lines</t>
  </si>
  <si>
    <t xml:space="preserve">Y</t>
  </si>
  <si>
    <t xml:space="preserve">T</t>
  </si>
  <si>
    <t xml:space="preserve">B</t>
  </si>
  <si>
    <t xml:space="preserve">Ids in T</t>
  </si>
  <si>
    <t xml:space="preserve">Yours in T</t>
  </si>
  <si>
    <t xml:space="preserve">Blocker</t>
  </si>
  <si>
    <t xml:space="preserve">Done id</t>
  </si>
  <si>
    <t xml:space="preserve">Flags</t>
  </si>
  <si>
    <t xml:space="preserve">Reply</t>
  </si>
  <si>
    <t xml:space="preserve">Note</t>
  </si>
  <si>
    <t xml:space="preserve">Check</t>
  </si>
  <si>
    <t xml:space="preserve">Sprint</t>
  </si>
  <si>
    <t xml:space="preserve">Into</t>
  </si>
  <si>
    <t xml:space="preserve">Blk</t>
  </si>
  <si>
    <t xml:space="preserve">Pts</t>
  </si>
  <si>
    <t xml:space="preserve">Burn</t>
  </si>
  <si>
    <t xml:space="preserve">ALPH-164</t>
  </si>
  <si>
    <t xml:space="preserve">BRAV-150</t>
  </si>
  <si>
    <t xml:space="preserve">CHAR-172</t>
  </si>
  <si>
    <t xml:space="preserve">CHAR-176</t>
  </si>
  <si>
    <t xml:space="preserve">FOXT-142</t>
  </si>
  <si>
    <t xml:space="preserve">GOLF-175</t>
  </si>
  <si>
    <t xml:space="preserve">HOTL-156</t>
  </si>
  <si>
    <t xml:space="preserve">INDI-148</t>
  </si>
  <si>
    <t xml:space="preserve">ALPH-167</t>
  </si>
  <si>
    <t xml:space="preserve">BRAV-154</t>
  </si>
  <si>
    <t xml:space="preserve">BRAV-155</t>
  </si>
  <si>
    <t xml:space="preserve">CHAR-179</t>
  </si>
  <si>
    <t xml:space="preserve">DELT-148</t>
  </si>
  <si>
    <t xml:space="preserve">DELT-149</t>
  </si>
  <si>
    <t xml:space="preserve">ECHO-183</t>
  </si>
  <si>
    <t xml:space="preserve">FOXT-156</t>
  </si>
  <si>
    <t xml:space="preserve">GOLF-182</t>
  </si>
  <si>
    <t xml:space="preserve">HOTL-161</t>
  </si>
  <si>
    <t xml:space="preserve">HOTL-162</t>
  </si>
  <si>
    <t xml:space="preserve">INDI-154</t>
  </si>
  <si>
    <t xml:space="preserve">JULI-150</t>
  </si>
  <si>
    <t xml:space="preserve">ALPH-169</t>
  </si>
  <si>
    <t xml:space="preserve">ALPH-170</t>
  </si>
  <si>
    <t xml:space="preserve">ALPH-171</t>
  </si>
  <si>
    <t xml:space="preserve">ALPH-172</t>
  </si>
  <si>
    <t xml:space="preserve">ALPH-173</t>
  </si>
  <si>
    <t xml:space="preserve">BRAV-162</t>
  </si>
  <si>
    <t xml:space="preserve">BRAV-163</t>
  </si>
  <si>
    <t xml:space="preserve">BRAV-164</t>
  </si>
  <si>
    <t xml:space="preserve">BRAV-166</t>
  </si>
  <si>
    <t xml:space="preserve">BRAV-167</t>
  </si>
  <si>
    <t xml:space="preserve">demo found a defect</t>
  </si>
  <si>
    <t xml:space="preserve">CHAR-184</t>
  </si>
  <si>
    <t xml:space="preserve">CHAR-185</t>
  </si>
  <si>
    <t xml:space="preserve">CHAR-186</t>
  </si>
  <si>
    <t xml:space="preserve">CHAR-187</t>
  </si>
  <si>
    <t xml:space="preserve">CHAR-188</t>
  </si>
  <si>
    <t xml:space="preserve">DELT-147</t>
  </si>
  <si>
    <t xml:space="preserve">DELT-151</t>
  </si>
  <si>
    <t xml:space="preserve">DELT-152</t>
  </si>
  <si>
    <t xml:space="preserve">DELT-153</t>
  </si>
  <si>
    <t xml:space="preserve">DELT-156</t>
  </si>
  <si>
    <t xml:space="preserve">ECHO-187</t>
  </si>
  <si>
    <t xml:space="preserve">ECHO-190</t>
  </si>
  <si>
    <t xml:space="preserve">ECHO-191</t>
  </si>
  <si>
    <t xml:space="preserve">ECHO-192</t>
  </si>
  <si>
    <t xml:space="preserve">ECHO-195</t>
  </si>
  <si>
    <t xml:space="preserve">FOXT-157</t>
  </si>
  <si>
    <t xml:space="preserve">FOXT-158</t>
  </si>
  <si>
    <t xml:space="preserve">FOXT-159</t>
  </si>
  <si>
    <t xml:space="preserve">FOXT-161</t>
  </si>
  <si>
    <t xml:space="preserve">FOXT-163</t>
  </si>
  <si>
    <t xml:space="preserve">GOLF-183</t>
  </si>
  <si>
    <t xml:space="preserve">GOLF-184</t>
  </si>
  <si>
    <t xml:space="preserve">GOLF-185</t>
  </si>
  <si>
    <t xml:space="preserve">GOLF-186</t>
  </si>
  <si>
    <t xml:space="preserve">GOLF-188</t>
  </si>
  <si>
    <t xml:space="preserve">HOTL-166</t>
  </si>
  <si>
    <t xml:space="preserve">HOTL-167</t>
  </si>
  <si>
    <t xml:space="preserve">HOTL-169</t>
  </si>
  <si>
    <t xml:space="preserve">HOTL-170</t>
  </si>
  <si>
    <t xml:space="preserve">HOTL-171</t>
  </si>
  <si>
    <t xml:space="preserve">INDI-155</t>
  </si>
  <si>
    <t xml:space="preserve">INDI-157</t>
  </si>
  <si>
    <t xml:space="preserve">INDI-158</t>
  </si>
  <si>
    <t xml:space="preserve">INDI-160</t>
  </si>
  <si>
    <t xml:space="preserve">JULI-153</t>
  </si>
  <si>
    <t xml:space="preserve">JULI-154</t>
  </si>
  <si>
    <t xml:space="preserve">JULI-155</t>
  </si>
  <si>
    <t xml:space="preserve">JULI-156</t>
  </si>
  <si>
    <t xml:space="preserve">JULI-157</t>
  </si>
  <si>
    <t xml:space="preserve">JULI-158</t>
  </si>
  <si>
    <t xml:space="preserve">JULI-159</t>
  </si>
  <si>
    <t xml:space="preserve">too hard as written</t>
  </si>
  <si>
    <t xml:space="preserve">ALPH-174</t>
  </si>
  <si>
    <t xml:space="preserve">ALPH-175</t>
  </si>
  <si>
    <t xml:space="preserve">ALPH-176</t>
  </si>
  <si>
    <t xml:space="preserve">ALPH-177</t>
  </si>
  <si>
    <t xml:space="preserve">ALPH-178</t>
  </si>
  <si>
    <t xml:space="preserve">ALPH-179</t>
  </si>
  <si>
    <t xml:space="preserve">BRAV-165</t>
  </si>
  <si>
    <t xml:space="preserve">BRAV-168</t>
  </si>
  <si>
    <t xml:space="preserve">BRAV-169</t>
  </si>
  <si>
    <t xml:space="preserve">BRAV-170</t>
  </si>
  <si>
    <t xml:space="preserve">BRAV-171</t>
  </si>
  <si>
    <t xml:space="preserve">BRAV-172</t>
  </si>
  <si>
    <t xml:space="preserve">BRAV-173</t>
  </si>
  <si>
    <t xml:space="preserve">BRAV-176</t>
  </si>
  <si>
    <t xml:space="preserve">CHAR-189</t>
  </si>
  <si>
    <t xml:space="preserve">CHAR-190</t>
  </si>
  <si>
    <t xml:space="preserve">CHAR-191</t>
  </si>
  <si>
    <t xml:space="preserve">CHAR-192</t>
  </si>
  <si>
    <t xml:space="preserve">CHAR-193</t>
  </si>
  <si>
    <t xml:space="preserve">CHAR-194</t>
  </si>
  <si>
    <t xml:space="preserve">CHAR-197</t>
  </si>
  <si>
    <t xml:space="preserve">DELT-154</t>
  </si>
  <si>
    <t xml:space="preserve">DELT-155</t>
  </si>
  <si>
    <t xml:space="preserve">DELT-157</t>
  </si>
  <si>
    <t xml:space="preserve">DELT-158</t>
  </si>
  <si>
    <t xml:space="preserve">DELT-159</t>
  </si>
  <si>
    <t xml:space="preserve">DELT-162</t>
  </si>
  <si>
    <t xml:space="preserve">ECHO-193</t>
  </si>
  <si>
    <t xml:space="preserve">ECHO-194</t>
  </si>
  <si>
    <t xml:space="preserve">ECHO-196</t>
  </si>
  <si>
    <t xml:space="preserve">ECHO-197</t>
  </si>
  <si>
    <t xml:space="preserve">ECHO-199</t>
  </si>
  <si>
    <t xml:space="preserve">FOXT-160</t>
  </si>
  <si>
    <t xml:space="preserve">FOXT-162</t>
  </si>
  <si>
    <t xml:space="preserve">FOXT-164</t>
  </si>
  <si>
    <t xml:space="preserve">FOXT-165</t>
  </si>
  <si>
    <t xml:space="preserve">FOXT-166</t>
  </si>
  <si>
    <t xml:space="preserve">FOXT-167</t>
  </si>
  <si>
    <t xml:space="preserve">FOXT-168</t>
  </si>
  <si>
    <t xml:space="preserve">FOXT-169</t>
  </si>
  <si>
    <t xml:space="preserve">FOXT-174</t>
  </si>
  <si>
    <t xml:space="preserve">GOLF-189</t>
  </si>
  <si>
    <t xml:space="preserve">GOLF-190</t>
  </si>
  <si>
    <t xml:space="preserve">GOLF-192</t>
  </si>
  <si>
    <t xml:space="preserve">HOTL-168</t>
  </si>
  <si>
    <t xml:space="preserve">HOTL-172</t>
  </si>
  <si>
    <t xml:space="preserve">HOTL-175</t>
  </si>
  <si>
    <t xml:space="preserve">INDI-159</t>
  </si>
  <si>
    <t xml:space="preserve">INDI-161</t>
  </si>
  <si>
    <t xml:space="preserve">INDI-162</t>
  </si>
  <si>
    <t xml:space="preserve">INDI-163</t>
  </si>
  <si>
    <t xml:space="preserve">INDI-164</t>
  </si>
  <si>
    <t xml:space="preserve">INDI-165</t>
  </si>
  <si>
    <t xml:space="preserve">JULI-160</t>
  </si>
  <si>
    <t xml:space="preserve">JULI-161</t>
  </si>
  <si>
    <t xml:space="preserve">JULI-162</t>
  </si>
  <si>
    <t xml:space="preserve">JULI-163</t>
  </si>
  <si>
    <t xml:space="preserve">JULI-164</t>
  </si>
  <si>
    <t xml:space="preserve">JULI-165</t>
  </si>
  <si>
    <t xml:space="preserve">JULI-166</t>
  </si>
  <si>
    <t xml:space="preserve">ALPH-180</t>
  </si>
  <si>
    <t xml:space="preserve">ALPH-181</t>
  </si>
  <si>
    <t xml:space="preserve">ALPH-182</t>
  </si>
  <si>
    <t xml:space="preserve">ALPH-183</t>
  </si>
  <si>
    <t xml:space="preserve">ALPH-184</t>
  </si>
  <si>
    <t xml:space="preserve">ALPH-185</t>
  </si>
  <si>
    <t xml:space="preserve">ALPH-186</t>
  </si>
  <si>
    <t xml:space="preserve">ALPH-187</t>
  </si>
  <si>
    <t xml:space="preserve">ALPH-191</t>
  </si>
  <si>
    <t xml:space="preserve">BRAV-174</t>
  </si>
  <si>
    <t xml:space="preserve">BRAV-175</t>
  </si>
  <si>
    <t xml:space="preserve">BRAV-177</t>
  </si>
  <si>
    <t xml:space="preserve">BRAV-178</t>
  </si>
  <si>
    <t xml:space="preserve">BRAV-179</t>
  </si>
  <si>
    <t xml:space="preserve">BRAV-180</t>
  </si>
  <si>
    <t xml:space="preserve">CHAR-195</t>
  </si>
  <si>
    <t xml:space="preserve">CHAR-196</t>
  </si>
  <si>
    <t xml:space="preserve">CHAR-198</t>
  </si>
  <si>
    <t xml:space="preserve">CHAR-199</t>
  </si>
  <si>
    <t xml:space="preserve">CHAR-200</t>
  </si>
  <si>
    <t xml:space="preserve">CHAR-201</t>
  </si>
  <si>
    <t xml:space="preserve">CHAR-204</t>
  </si>
  <si>
    <t xml:space="preserve">DELT-160</t>
  </si>
  <si>
    <t xml:space="preserve">DELT-161</t>
  </si>
  <si>
    <t xml:space="preserve">DELT-163</t>
  </si>
  <si>
    <t xml:space="preserve">DELT-164</t>
  </si>
  <si>
    <t xml:space="preserve">DELT-165</t>
  </si>
  <si>
    <t xml:space="preserve">DELT-166</t>
  </si>
  <si>
    <t xml:space="preserve">DELT-167</t>
  </si>
  <si>
    <t xml:space="preserve">DELT-168</t>
  </si>
  <si>
    <t xml:space="preserve">DELT-169</t>
  </si>
  <si>
    <t xml:space="preserve">ECHO-198</t>
  </si>
  <si>
    <t xml:space="preserve">ECHO-200</t>
  </si>
  <si>
    <t xml:space="preserve">ECHO-201</t>
  </si>
  <si>
    <t xml:space="preserve">ECHO-202</t>
  </si>
  <si>
    <t xml:space="preserve">ECHO-203</t>
  </si>
  <si>
    <t xml:space="preserve">ECHO-204</t>
  </si>
  <si>
    <t xml:space="preserve">ECHO-205</t>
  </si>
  <si>
    <t xml:space="preserve">ECHO-206</t>
  </si>
  <si>
    <t xml:space="preserve">ECHO-207</t>
  </si>
  <si>
    <t xml:space="preserve">ECHO-209</t>
  </si>
  <si>
    <t xml:space="preserve">ECHO-210</t>
  </si>
  <si>
    <t xml:space="preserve">FOXT-170</t>
  </si>
  <si>
    <t xml:space="preserve">FOXT-171</t>
  </si>
  <si>
    <t xml:space="preserve">FOXT-172</t>
  </si>
  <si>
    <t xml:space="preserve">FOXT-173</t>
  </si>
  <si>
    <t xml:space="preserve">FOXT-175</t>
  </si>
  <si>
    <t xml:space="preserve">FOXT-176</t>
  </si>
  <si>
    <t xml:space="preserve">FOXT-180</t>
  </si>
  <si>
    <t xml:space="preserve">GOLF-191</t>
  </si>
  <si>
    <t xml:space="preserve">GOLF-193</t>
  </si>
  <si>
    <t xml:space="preserve">GOLF-194</t>
  </si>
  <si>
    <t xml:space="preserve">GOLF-195</t>
  </si>
  <si>
    <t xml:space="preserve">GOLF-196</t>
  </si>
  <si>
    <t xml:space="preserve">GOLF-199</t>
  </si>
  <si>
    <t xml:space="preserve">GOLF-200</t>
  </si>
  <si>
    <t xml:space="preserve">HOTL-173</t>
  </si>
  <si>
    <t xml:space="preserve">HOTL-174</t>
  </si>
  <si>
    <t xml:space="preserve">HOTL-176</t>
  </si>
  <si>
    <t xml:space="preserve">HOTL-177</t>
  </si>
  <si>
    <t xml:space="preserve">HOTL-178</t>
  </si>
  <si>
    <t xml:space="preserve">HOTL-179</t>
  </si>
  <si>
    <t xml:space="preserve">HOTL-180</t>
  </si>
  <si>
    <t xml:space="preserve">HOTL-181</t>
  </si>
  <si>
    <t xml:space="preserve">HOTL-182</t>
  </si>
  <si>
    <t xml:space="preserve">INDI-166</t>
  </si>
  <si>
    <t xml:space="preserve">INDI-167</t>
  </si>
  <si>
    <t xml:space="preserve">INDI-168</t>
  </si>
  <si>
    <t xml:space="preserve">INDI-169</t>
  </si>
  <si>
    <t xml:space="preserve">INDI-172</t>
  </si>
  <si>
    <t xml:space="preserve">JULI-167</t>
  </si>
  <si>
    <t xml:space="preserve">JULI-168</t>
  </si>
  <si>
    <t xml:space="preserve">JULI-169</t>
  </si>
  <si>
    <t xml:space="preserve">JULI-170</t>
  </si>
  <si>
    <t xml:space="preserve">JULI-171</t>
  </si>
  <si>
    <t xml:space="preserve">JULI-172</t>
  </si>
  <si>
    <t xml:space="preserve">JULI-173</t>
  </si>
  <si>
    <t xml:space="preserve">JULI-176</t>
  </si>
  <si>
    <t xml:space="preserve">ALPH-188</t>
  </si>
  <si>
    <t xml:space="preserve">ALPH-189</t>
  </si>
  <si>
    <t xml:space="preserve">ALPH-190</t>
  </si>
  <si>
    <t xml:space="preserve">ALPH-192</t>
  </si>
  <si>
    <t xml:space="preserve">ALPH-194</t>
  </si>
  <si>
    <t xml:space="preserve">BRAV-181</t>
  </si>
  <si>
    <t xml:space="preserve">BRAV-182</t>
  </si>
  <si>
    <t xml:space="preserve">BRAV-183</t>
  </si>
  <si>
    <t xml:space="preserve">BRAV-184</t>
  </si>
  <si>
    <t xml:space="preserve">BRAV-185</t>
  </si>
  <si>
    <t xml:space="preserve">BRAV-186</t>
  </si>
  <si>
    <t xml:space="preserve">CHAR-202</t>
  </si>
  <si>
    <t xml:space="preserve">CHAR-203</t>
  </si>
  <si>
    <t xml:space="preserve">CHAR-205</t>
  </si>
  <si>
    <t xml:space="preserve">CHAR-206</t>
  </si>
  <si>
    <t xml:space="preserve">CHAR-207</t>
  </si>
  <si>
    <t xml:space="preserve">CHAR-208</t>
  </si>
  <si>
    <t xml:space="preserve">CHAR-209</t>
  </si>
  <si>
    <t xml:space="preserve">CHAR-210</t>
  </si>
  <si>
    <t xml:space="preserve">CHAR-214</t>
  </si>
  <si>
    <t xml:space="preserve">DELT-170</t>
  </si>
  <si>
    <t xml:space="preserve">DELT-171</t>
  </si>
  <si>
    <t xml:space="preserve">DELT-172</t>
  </si>
  <si>
    <t xml:space="preserve">DELT-173</t>
  </si>
  <si>
    <t xml:space="preserve">DELT-174</t>
  </si>
  <si>
    <t xml:space="preserve">DELT-176</t>
  </si>
  <si>
    <t xml:space="preserve">ECHO-208</t>
  </si>
  <si>
    <t xml:space="preserve">ECHO-211</t>
  </si>
  <si>
    <t xml:space="preserve">ECHO-212</t>
  </si>
  <si>
    <t xml:space="preserve">ECHO-213</t>
  </si>
  <si>
    <t xml:space="preserve">ECHO-214</t>
  </si>
  <si>
    <t xml:space="preserve">ECHO-218</t>
  </si>
  <si>
    <t xml:space="preserve">FOXT-177</t>
  </si>
  <si>
    <t xml:space="preserve">FOXT-178</t>
  </si>
  <si>
    <t xml:space="preserve">FOXT-179</t>
  </si>
  <si>
    <t xml:space="preserve">FOXT-183</t>
  </si>
  <si>
    <t xml:space="preserve">GOLF-197</t>
  </si>
  <si>
    <t xml:space="preserve">GOLF-198</t>
  </si>
  <si>
    <t xml:space="preserve">GOLF-201</t>
  </si>
  <si>
    <t xml:space="preserve">HOTL-183</t>
  </si>
  <si>
    <t xml:space="preserve">HOTL-185</t>
  </si>
  <si>
    <t xml:space="preserve">HOTL-187</t>
  </si>
  <si>
    <t xml:space="preserve">INDI-170</t>
  </si>
  <si>
    <t xml:space="preserve">INDI-171</t>
  </si>
  <si>
    <t xml:space="preserve">INDI-173</t>
  </si>
  <si>
    <t xml:space="preserve">INDI-174</t>
  </si>
  <si>
    <t xml:space="preserve">INDI-175</t>
  </si>
  <si>
    <t xml:space="preserve">INDI-176</t>
  </si>
  <si>
    <t xml:space="preserve">INDI-178</t>
  </si>
  <si>
    <t xml:space="preserve">JULI-174</t>
  </si>
  <si>
    <t xml:space="preserve">JULI-175</t>
  </si>
  <si>
    <t xml:space="preserve">JULI-177</t>
  </si>
  <si>
    <t xml:space="preserve">JULI-178</t>
  </si>
  <si>
    <t xml:space="preserve">JULI-179</t>
  </si>
  <si>
    <t xml:space="preserve">JULI-180</t>
  </si>
  <si>
    <t xml:space="preserve">waiting on dependency</t>
  </si>
  <si>
    <t xml:space="preserve">ALPH-193</t>
  </si>
  <si>
    <t xml:space="preserve">ALPH-195</t>
  </si>
  <si>
    <t xml:space="preserve">ALPH-196</t>
  </si>
  <si>
    <t xml:space="preserve">ALPH-197</t>
  </si>
  <si>
    <t xml:space="preserve">ALPH-198</t>
  </si>
  <si>
    <t xml:space="preserve">ALPH-199</t>
  </si>
  <si>
    <t xml:space="preserve">BRAV-187</t>
  </si>
  <si>
    <t xml:space="preserve">BRAV-188</t>
  </si>
  <si>
    <t xml:space="preserve">BRAV-189</t>
  </si>
  <si>
    <t xml:space="preserve">BRAV-190</t>
  </si>
  <si>
    <t xml:space="preserve">BRAV-191</t>
  </si>
  <si>
    <t xml:space="preserve">BRAV-194</t>
  </si>
  <si>
    <t xml:space="preserve">CHAR-211</t>
  </si>
  <si>
    <t xml:space="preserve">CHAR-212</t>
  </si>
  <si>
    <t xml:space="preserve">CHAR-213</t>
  </si>
  <si>
    <t xml:space="preserve">CHAR-215</t>
  </si>
  <si>
    <t xml:space="preserve">CHAR-216</t>
  </si>
  <si>
    <t xml:space="preserve">CHAR-217</t>
  </si>
  <si>
    <t xml:space="preserve">CHAR-218</t>
  </si>
  <si>
    <t xml:space="preserve">DELT-175</t>
  </si>
  <si>
    <t xml:space="preserve">DELT-177</t>
  </si>
  <si>
    <t xml:space="preserve">DELT-178</t>
  </si>
  <si>
    <t xml:space="preserve">DELT-179</t>
  </si>
  <si>
    <t xml:space="preserve">DELT-180</t>
  </si>
  <si>
    <t xml:space="preserve">ECHO-215</t>
  </si>
  <si>
    <t xml:space="preserve">ECHO-216</t>
  </si>
  <si>
    <t xml:space="preserve">ECHO-217</t>
  </si>
  <si>
    <t xml:space="preserve">ECHO-219</t>
  </si>
  <si>
    <t xml:space="preserve">ECHO-220</t>
  </si>
  <si>
    <t xml:space="preserve">ECHO-224</t>
  </si>
  <si>
    <t xml:space="preserve">FOXT-181</t>
  </si>
  <si>
    <t xml:space="preserve">FOXT-182</t>
  </si>
  <si>
    <t xml:space="preserve">FOXT-184</t>
  </si>
  <si>
    <t xml:space="preserve">FOXT-185</t>
  </si>
  <si>
    <t xml:space="preserve">FOXT-186</t>
  </si>
  <si>
    <t xml:space="preserve">FOXT-187</t>
  </si>
  <si>
    <t xml:space="preserve">FOXT-188</t>
  </si>
  <si>
    <t xml:space="preserve">FOXT-190</t>
  </si>
  <si>
    <t xml:space="preserve">GOLF-202</t>
  </si>
  <si>
    <t xml:space="preserve">GOLF-203</t>
  </si>
  <si>
    <t xml:space="preserve">GOLF-204</t>
  </si>
  <si>
    <t xml:space="preserve">GOLF-205</t>
  </si>
  <si>
    <t xml:space="preserve">GOLF-206</t>
  </si>
  <si>
    <t xml:space="preserve">GOLF-208</t>
  </si>
  <si>
    <t xml:space="preserve">HOTL-184</t>
  </si>
  <si>
    <t xml:space="preserve">HOTL-186</t>
  </si>
  <si>
    <t xml:space="preserve">HOTL-188</t>
  </si>
  <si>
    <t xml:space="preserve">HOTL-192</t>
  </si>
  <si>
    <t xml:space="preserve">INDI-177</t>
  </si>
  <si>
    <t xml:space="preserve">INDI-179</t>
  </si>
  <si>
    <t xml:space="preserve">INDI-180</t>
  </si>
  <si>
    <t xml:space="preserve">INDI-181</t>
  </si>
  <si>
    <t xml:space="preserve">INDI-182</t>
  </si>
  <si>
    <t xml:space="preserve">INDI-183</t>
  </si>
  <si>
    <t xml:space="preserve">JULI-181</t>
  </si>
  <si>
    <t xml:space="preserve">JULI-182</t>
  </si>
  <si>
    <t xml:space="preserve">JULI-183</t>
  </si>
  <si>
    <t xml:space="preserve">JULI-184</t>
  </si>
  <si>
    <t xml:space="preserve">JULI-185</t>
  </si>
  <si>
    <t xml:space="preserve">JULI-186</t>
  </si>
  <si>
    <t xml:space="preserve">JULI-187</t>
  </si>
  <si>
    <t xml:space="preserve">JULI-189</t>
  </si>
  <si>
    <t xml:space="preserve">JULI-190</t>
  </si>
  <si>
    <t xml:space="preserve">ALPH-200</t>
  </si>
  <si>
    <t xml:space="preserve">ALPH-201</t>
  </si>
  <si>
    <t xml:space="preserve">ALPH-202</t>
  </si>
  <si>
    <t xml:space="preserve">ALPH-203</t>
  </si>
  <si>
    <t xml:space="preserve">ALPH-204</t>
  </si>
  <si>
    <t xml:space="preserve">BRAV-192</t>
  </si>
  <si>
    <t xml:space="preserve">BRAV-193</t>
  </si>
  <si>
    <t xml:space="preserve">BRAV-195</t>
  </si>
  <si>
    <t xml:space="preserve">BRAV-196</t>
  </si>
  <si>
    <t xml:space="preserve">BRAV-197</t>
  </si>
  <si>
    <t xml:space="preserve">CHAR-219</t>
  </si>
  <si>
    <t xml:space="preserve">CHAR-220</t>
  </si>
  <si>
    <t xml:space="preserve">CHAR-221</t>
  </si>
  <si>
    <t xml:space="preserve">CHAR-222</t>
  </si>
  <si>
    <t xml:space="preserve">CHAR-223</t>
  </si>
  <si>
    <t xml:space="preserve">DELT-181</t>
  </si>
  <si>
    <t xml:space="preserve">DELT-182</t>
  </si>
  <si>
    <t xml:space="preserve">DELT-183</t>
  </si>
  <si>
    <t xml:space="preserve">DELT-184</t>
  </si>
  <si>
    <t xml:space="preserve">DELT-185</t>
  </si>
  <si>
    <t xml:space="preserve">ECHO-221</t>
  </si>
  <si>
    <t xml:space="preserve">ECHO-222</t>
  </si>
  <si>
    <t xml:space="preserve">ECHO-227</t>
  </si>
  <si>
    <t xml:space="preserve">FOXT-189</t>
  </si>
  <si>
    <t xml:space="preserve">FOXT-191</t>
  </si>
  <si>
    <t xml:space="preserve">FOXT-192</t>
  </si>
  <si>
    <t xml:space="preserve">FOXT-193</t>
  </si>
  <si>
    <t xml:space="preserve">FOXT-194</t>
  </si>
  <si>
    <t xml:space="preserve">FOXT-195</t>
  </si>
  <si>
    <t xml:space="preserve">GOLF-207</t>
  </si>
  <si>
    <t xml:space="preserve">GOLF-209</t>
  </si>
  <si>
    <t xml:space="preserve">GOLF-210</t>
  </si>
  <si>
    <t xml:space="preserve">GOLF-211</t>
  </si>
  <si>
    <t xml:space="preserve">GOLF-212</t>
  </si>
  <si>
    <t xml:space="preserve">GOLF-213</t>
  </si>
  <si>
    <t xml:space="preserve">HOTL-189</t>
  </si>
  <si>
    <t xml:space="preserve">HOTL-190</t>
  </si>
  <si>
    <t xml:space="preserve">HOTL-198</t>
  </si>
  <si>
    <t xml:space="preserve">INDI-184</t>
  </si>
  <si>
    <t xml:space="preserve">INDI-185</t>
  </si>
  <si>
    <t xml:space="preserve">INDI-186</t>
  </si>
  <si>
    <t xml:space="preserve">INDI-187</t>
  </si>
  <si>
    <t xml:space="preserve">INDI-188</t>
  </si>
  <si>
    <t xml:space="preserve">INDI-195</t>
  </si>
  <si>
    <t xml:space="preserve">JULI-188</t>
  </si>
  <si>
    <t xml:space="preserve">JULI-191</t>
  </si>
  <si>
    <t xml:space="preserve">JULI-192</t>
  </si>
  <si>
    <t xml:space="preserve">JULI-193</t>
  </si>
  <si>
    <t xml:space="preserve">JULI-196</t>
  </si>
  <si>
    <t xml:space="preserve">JULI-197</t>
  </si>
  <si>
    <t xml:space="preserve">ALPH-205</t>
  </si>
  <si>
    <t xml:space="preserve">ALPH-206</t>
  </si>
  <si>
    <t xml:space="preserve">ALPH-207</t>
  </si>
  <si>
    <t xml:space="preserve">ALPH-208</t>
  </si>
  <si>
    <t xml:space="preserve">BRAV-198</t>
  </si>
  <si>
    <t xml:space="preserve">BRAV-199</t>
  </si>
  <si>
    <t xml:space="preserve">BRAV-200</t>
  </si>
  <si>
    <t xml:space="preserve">BRAV-201</t>
  </si>
  <si>
    <t xml:space="preserve">CHAR-224</t>
  </si>
  <si>
    <t xml:space="preserve">CHAR-225</t>
  </si>
  <si>
    <t xml:space="preserve">CHAR-226</t>
  </si>
  <si>
    <t xml:space="preserve">CHAR-227</t>
  </si>
  <si>
    <t xml:space="preserve">CHAR-235</t>
  </si>
  <si>
    <t xml:space="preserve">CHAR-236</t>
  </si>
  <si>
    <t xml:space="preserve">DELT-186</t>
  </si>
  <si>
    <t xml:space="preserve">DELT-187</t>
  </si>
  <si>
    <t xml:space="preserve">DELT-188</t>
  </si>
  <si>
    <t xml:space="preserve">DELT-189</t>
  </si>
  <si>
    <t xml:space="preserve">DELT-195</t>
  </si>
  <si>
    <t xml:space="preserve">ECHO-223</t>
  </si>
  <si>
    <t xml:space="preserve">ECHO-225</t>
  </si>
  <si>
    <t xml:space="preserve">ECHO-226</t>
  </si>
  <si>
    <t xml:space="preserve">ECHO-228</t>
  </si>
  <si>
    <t xml:space="preserve">ECHO-230</t>
  </si>
  <si>
    <t xml:space="preserve">ECHO-231</t>
  </si>
  <si>
    <t xml:space="preserve">FOXT-196</t>
  </si>
  <si>
    <t xml:space="preserve">FOXT-197</t>
  </si>
  <si>
    <t xml:space="preserve">FOXT-198</t>
  </si>
  <si>
    <t xml:space="preserve">FOXT-199</t>
  </si>
  <si>
    <t xml:space="preserve">FOXT-203</t>
  </si>
  <si>
    <t xml:space="preserve">GOLF-214</t>
  </si>
  <si>
    <t xml:space="preserve">GOLF-215</t>
  </si>
  <si>
    <t xml:space="preserve">GOLF-216</t>
  </si>
  <si>
    <t xml:space="preserve">GOLF-217</t>
  </si>
  <si>
    <t xml:space="preserve">GOLF-218</t>
  </si>
  <si>
    <t xml:space="preserve">GOLF-219</t>
  </si>
  <si>
    <t xml:space="preserve">GOLF-221</t>
  </si>
  <si>
    <t xml:space="preserve">GOLF-222</t>
  </si>
  <si>
    <t xml:space="preserve">HOTL-191</t>
  </si>
  <si>
    <t xml:space="preserve">HOTL-193</t>
  </si>
  <si>
    <t xml:space="preserve">HOTL-194</t>
  </si>
  <si>
    <t xml:space="preserve">INDI-189</t>
  </si>
  <si>
    <t xml:space="preserve">INDI-190</t>
  </si>
  <si>
    <t xml:space="preserve">INDI-191</t>
  </si>
  <si>
    <t xml:space="preserve">INDI-192</t>
  </si>
  <si>
    <t xml:space="preserve">JULI-194</t>
  </si>
  <si>
    <t xml:space="preserve">JULI-195</t>
  </si>
  <si>
    <t xml:space="preserve">JULI-198</t>
  </si>
  <si>
    <t xml:space="preserve">JULI-199</t>
  </si>
  <si>
    <t xml:space="preserve">JULI-204</t>
  </si>
  <si>
    <t xml:space="preserve">ALPH-209</t>
  </si>
  <si>
    <t xml:space="preserve">ALPH-210</t>
  </si>
  <si>
    <t xml:space="preserve">ALPH-211</t>
  </si>
  <si>
    <t xml:space="preserve">BRAV-202</t>
  </si>
  <si>
    <t xml:space="preserve">BRAV-203</t>
  </si>
  <si>
    <t xml:space="preserve">BRAV-204</t>
  </si>
  <si>
    <t xml:space="preserve">BRAV-205</t>
  </si>
  <si>
    <t xml:space="preserve">BRAV-206</t>
  </si>
  <si>
    <t xml:space="preserve">BRAV-207</t>
  </si>
  <si>
    <t xml:space="preserve">CHAR-228</t>
  </si>
  <si>
    <t xml:space="preserve">CHAR-229</t>
  </si>
  <si>
    <t xml:space="preserve">CHAR-230</t>
  </si>
  <si>
    <t xml:space="preserve">CHAR-231</t>
  </si>
  <si>
    <t xml:space="preserve">CHAR-232</t>
  </si>
  <si>
    <t xml:space="preserve">CHAR-233</t>
  </si>
  <si>
    <t xml:space="preserve">CHAR-238</t>
  </si>
  <si>
    <t xml:space="preserve">DELT-190</t>
  </si>
  <si>
    <t xml:space="preserve">DELT-191</t>
  </si>
  <si>
    <t xml:space="preserve">DELT-192</t>
  </si>
  <si>
    <t xml:space="preserve">DELT-193</t>
  </si>
  <si>
    <t xml:space="preserve">DELT-194</t>
  </si>
  <si>
    <t xml:space="preserve">DELT-196</t>
  </si>
  <si>
    <t xml:space="preserve">DELT-198</t>
  </si>
  <si>
    <t xml:space="preserve">DELT-199</t>
  </si>
  <si>
    <t xml:space="preserve">ECHO-229</t>
  </si>
  <si>
    <t xml:space="preserve">ECHO-232</t>
  </si>
  <si>
    <t xml:space="preserve">ECHO-233</t>
  </si>
  <si>
    <t xml:space="preserve">ECHO-234</t>
  </si>
  <si>
    <t xml:space="preserve">ECHO-235</t>
  </si>
  <si>
    <t xml:space="preserve">ECHO-236</t>
  </si>
  <si>
    <t xml:space="preserve">ECHO-237</t>
  </si>
  <si>
    <t xml:space="preserve">ECHO-238</t>
  </si>
  <si>
    <t xml:space="preserve">ECHO-241</t>
  </si>
  <si>
    <t xml:space="preserve">FOXT-200</t>
  </si>
  <si>
    <t xml:space="preserve">FOXT-201</t>
  </si>
  <si>
    <t xml:space="preserve">FOXT-202</t>
  </si>
  <si>
    <t xml:space="preserve">FOXT-204</t>
  </si>
  <si>
    <t xml:space="preserve">FOXT-205</t>
  </si>
  <si>
    <t xml:space="preserve">FOXT-206</t>
  </si>
  <si>
    <t xml:space="preserve">GOLF-220</t>
  </si>
  <si>
    <t xml:space="preserve">GOLF-223</t>
  </si>
  <si>
    <t xml:space="preserve">GOLF-224</t>
  </si>
  <si>
    <t xml:space="preserve">GOLF-225</t>
  </si>
  <si>
    <t xml:space="preserve">GOLF-226</t>
  </si>
  <si>
    <t xml:space="preserve">GOLF-227</t>
  </si>
  <si>
    <t xml:space="preserve">HOTL-195</t>
  </si>
  <si>
    <t xml:space="preserve">HOTL-196</t>
  </si>
  <si>
    <t xml:space="preserve">HOTL-197</t>
  </si>
  <si>
    <t xml:space="preserve">HOTL-199</t>
  </si>
  <si>
    <t xml:space="preserve">HOTL-200</t>
  </si>
  <si>
    <t xml:space="preserve">HOTL-203</t>
  </si>
  <si>
    <t xml:space="preserve">INDI-193</t>
  </si>
  <si>
    <t xml:space="preserve">INDI-194</t>
  </si>
  <si>
    <t xml:space="preserve">INDI-196</t>
  </si>
  <si>
    <t xml:space="preserve">INDI-197</t>
  </si>
  <si>
    <t xml:space="preserve">JULI-200</t>
  </si>
  <si>
    <t xml:space="preserve">JULI-201</t>
  </si>
  <si>
    <t xml:space="preserve">JULI-202</t>
  </si>
  <si>
    <t xml:space="preserve">JULI-203</t>
  </si>
  <si>
    <t xml:space="preserve">JULI-205</t>
  </si>
  <si>
    <t xml:space="preserve">JULI-206</t>
  </si>
  <si>
    <t xml:space="preserve">JULI-209</t>
  </si>
  <si>
    <t xml:space="preserve">ALPH-212</t>
  </si>
  <si>
    <t xml:space="preserve">ALPH-213</t>
  </si>
  <si>
    <t xml:space="preserve">ALPH-214</t>
  </si>
  <si>
    <t xml:space="preserve">ALPH-215</t>
  </si>
  <si>
    <t xml:space="preserve">ALPH-217</t>
  </si>
  <si>
    <t xml:space="preserve">BRAV-208</t>
  </si>
  <si>
    <t xml:space="preserve">BRAV-209</t>
  </si>
  <si>
    <t xml:space="preserve">BRAV-210</t>
  </si>
  <si>
    <t xml:space="preserve">BRAV-211</t>
  </si>
  <si>
    <t xml:space="preserve">BRAV-212</t>
  </si>
  <si>
    <t xml:space="preserve">CHAR-234</t>
  </si>
  <si>
    <t xml:space="preserve">CHAR-237</t>
  </si>
  <si>
    <t xml:space="preserve">CHAR-239</t>
  </si>
  <si>
    <t xml:space="preserve">CHAR-240</t>
  </si>
  <si>
    <t xml:space="preserve">CHAR-241</t>
  </si>
  <si>
    <t xml:space="preserve">CHAR-242</t>
  </si>
  <si>
    <t xml:space="preserve">CHAR-243</t>
  </si>
  <si>
    <t xml:space="preserve">DELT-197</t>
  </si>
  <si>
    <t xml:space="preserve">DELT-200</t>
  </si>
  <si>
    <t xml:space="preserve">DELT-202</t>
  </si>
  <si>
    <t xml:space="preserve">DELT-204</t>
  </si>
  <si>
    <t xml:space="preserve">DELT-205</t>
  </si>
  <si>
    <t xml:space="preserve">ECHO-239</t>
  </si>
  <si>
    <t xml:space="preserve">ECHO-240</t>
  </si>
  <si>
    <t xml:space="preserve">ECHO-242</t>
  </si>
  <si>
    <t xml:space="preserve">ECHO-243</t>
  </si>
  <si>
    <t xml:space="preserve">ECHO-244</t>
  </si>
  <si>
    <t xml:space="preserve">FOXT-207</t>
  </si>
  <si>
    <t xml:space="preserve">FOXT-208</t>
  </si>
  <si>
    <t xml:space="preserve">GOLF-228</t>
  </si>
  <si>
    <t xml:space="preserve">GOLF-229</t>
  </si>
  <si>
    <t xml:space="preserve">GOLF-230</t>
  </si>
  <si>
    <t xml:space="preserve">GOLF-231</t>
  </si>
  <si>
    <t xml:space="preserve">GOLF-233</t>
  </si>
  <si>
    <t xml:space="preserve">HOTL-201</t>
  </si>
  <si>
    <t xml:space="preserve">HOTL-202</t>
  </si>
  <si>
    <t xml:space="preserve">HOTL-204</t>
  </si>
  <si>
    <t xml:space="preserve">HOTL-205</t>
  </si>
  <si>
    <t xml:space="preserve">INDI-198</t>
  </si>
  <si>
    <t xml:space="preserve">INDI-199</t>
  </si>
  <si>
    <t xml:space="preserve">INDI-200</t>
  </si>
  <si>
    <t xml:space="preserve">INDI-201</t>
  </si>
  <si>
    <t xml:space="preserve">INDI-202</t>
  </si>
  <si>
    <t xml:space="preserve">INDI-203</t>
  </si>
  <si>
    <t xml:space="preserve">INDI-206</t>
  </si>
  <si>
    <t xml:space="preserve">JULI-207</t>
  </si>
  <si>
    <t xml:space="preserve">JULI-208</t>
  </si>
  <si>
    <t xml:space="preserve">JULI-210</t>
  </si>
  <si>
    <t xml:space="preserve">JULI-211</t>
  </si>
  <si>
    <t xml:space="preserve">JULI-215</t>
  </si>
  <si>
    <t xml:space="preserve">ALPH-216</t>
  </si>
  <si>
    <t xml:space="preserve">ALPH-218</t>
  </si>
  <si>
    <t xml:space="preserve">ALPH-219</t>
  </si>
  <si>
    <t xml:space="preserve">ALPH-220</t>
  </si>
  <si>
    <t xml:space="preserve">ALPH-221</t>
  </si>
  <si>
    <t xml:space="preserve">ALPH-222</t>
  </si>
  <si>
    <t xml:space="preserve">ALPH-223</t>
  </si>
  <si>
    <t xml:space="preserve">ALPH-224</t>
  </si>
  <si>
    <t xml:space="preserve">ALPH-225</t>
  </si>
  <si>
    <t xml:space="preserve">ALPH-230</t>
  </si>
  <si>
    <t xml:space="preserve">BRAV-213</t>
  </si>
  <si>
    <t xml:space="preserve">BRAV-214</t>
  </si>
  <si>
    <t xml:space="preserve">BRAV-215</t>
  </si>
  <si>
    <t xml:space="preserve">BRAV-216</t>
  </si>
  <si>
    <t xml:space="preserve">BRAV-217</t>
  </si>
  <si>
    <t xml:space="preserve">BRAV-218</t>
  </si>
  <si>
    <t xml:space="preserve">CHAR-244</t>
  </si>
  <si>
    <t xml:space="preserve">CHAR-245</t>
  </si>
  <si>
    <t xml:space="preserve">CHAR-246</t>
  </si>
  <si>
    <t xml:space="preserve">CHAR-247</t>
  </si>
  <si>
    <t xml:space="preserve">CHAR-248</t>
  </si>
  <si>
    <t xml:space="preserve">CHAR-249</t>
  </si>
  <si>
    <t xml:space="preserve">CHAR-250</t>
  </si>
  <si>
    <t xml:space="preserve">DELT-201</t>
  </si>
  <si>
    <t xml:space="preserve">DELT-203</t>
  </si>
  <si>
    <t xml:space="preserve">DELT-206</t>
  </si>
  <si>
    <t xml:space="preserve">DELT-207</t>
  </si>
  <si>
    <t xml:space="preserve">DELT-208</t>
  </si>
  <si>
    <t xml:space="preserve">DELT-211</t>
  </si>
  <si>
    <t xml:space="preserve">ECHO-245</t>
  </si>
  <si>
    <t xml:space="preserve">ECHO-246</t>
  </si>
  <si>
    <t xml:space="preserve">ECHO-247</t>
  </si>
  <si>
    <t xml:space="preserve">ECHO-248</t>
  </si>
  <si>
    <t xml:space="preserve">ECHO-249</t>
  </si>
  <si>
    <t xml:space="preserve">ECHO-250</t>
  </si>
  <si>
    <t xml:space="preserve">ECHO-251</t>
  </si>
  <si>
    <t xml:space="preserve">ECHO-252</t>
  </si>
  <si>
    <t xml:space="preserve">ECHO-253</t>
  </si>
  <si>
    <t xml:space="preserve">ECHO-254</t>
  </si>
  <si>
    <t xml:space="preserve">ECHO-255</t>
  </si>
  <si>
    <t xml:space="preserve">FOXT-209</t>
  </si>
  <si>
    <t xml:space="preserve">FOXT-210</t>
  </si>
  <si>
    <t xml:space="preserve">FOXT-211</t>
  </si>
  <si>
    <t xml:space="preserve">FOXT-212</t>
  </si>
  <si>
    <t xml:space="preserve">FOXT-213</t>
  </si>
  <si>
    <t xml:space="preserve">GOLF-232</t>
  </si>
  <si>
    <t xml:space="preserve">HOTL-206</t>
  </si>
  <si>
    <t xml:space="preserve">HOTL-207</t>
  </si>
  <si>
    <t xml:space="preserve">HOTL-208</t>
  </si>
  <si>
    <t xml:space="preserve">INDI-204</t>
  </si>
  <si>
    <t xml:space="preserve">INDI-205</t>
  </si>
  <si>
    <t xml:space="preserve">INDI-207</t>
  </si>
  <si>
    <t xml:space="preserve">JULI-212</t>
  </si>
  <si>
    <t xml:space="preserve">JULI-213</t>
  </si>
  <si>
    <t xml:space="preserve">JULI-217</t>
  </si>
  <si>
    <t xml:space="preserve">ALPH-226</t>
  </si>
  <si>
    <t xml:space="preserve">ALPH-227</t>
  </si>
  <si>
    <t xml:space="preserve">ALPH-228</t>
  </si>
  <si>
    <t xml:space="preserve">ALPH-229</t>
  </si>
  <si>
    <t xml:space="preserve">ALPH-231</t>
  </si>
  <si>
    <t xml:space="preserve">ALPH-232</t>
  </si>
  <si>
    <t xml:space="preserve">BRAV-219</t>
  </si>
  <si>
    <t xml:space="preserve">BRAV-220</t>
  </si>
  <si>
    <t xml:space="preserve">BRAV-221</t>
  </si>
  <si>
    <t xml:space="preserve">BRAV-223</t>
  </si>
  <si>
    <t xml:space="preserve">CHAR-251</t>
  </si>
  <si>
    <t xml:space="preserve">CHAR-252</t>
  </si>
  <si>
    <t xml:space="preserve">CHAR-253</t>
  </si>
  <si>
    <t xml:space="preserve">CHAR-254</t>
  </si>
  <si>
    <t xml:space="preserve">CHAR-256</t>
  </si>
  <si>
    <t xml:space="preserve">DELT-209</t>
  </si>
  <si>
    <t xml:space="preserve">DELT-210</t>
  </si>
  <si>
    <t xml:space="preserve">DELT-212</t>
  </si>
  <si>
    <t xml:space="preserve">DELT-213</t>
  </si>
  <si>
    <t xml:space="preserve">DELT-215</t>
  </si>
  <si>
    <t xml:space="preserve">DELT-216</t>
  </si>
  <si>
    <t xml:space="preserve">ECHO-256</t>
  </si>
  <si>
    <t xml:space="preserve">ECHO-257</t>
  </si>
  <si>
    <t xml:space="preserve">ECHO-258</t>
  </si>
  <si>
    <t xml:space="preserve">ECHO-259</t>
  </si>
  <si>
    <t xml:space="preserve">ECHO-260</t>
  </si>
  <si>
    <t xml:space="preserve">FOXT-214</t>
  </si>
  <si>
    <t xml:space="preserve">FOXT-215</t>
  </si>
  <si>
    <t xml:space="preserve">FOXT-216</t>
  </si>
  <si>
    <t xml:space="preserve">FOXT-217</t>
  </si>
  <si>
    <t xml:space="preserve">FOXT-218</t>
  </si>
  <si>
    <t xml:space="preserve">FOXT-219</t>
  </si>
  <si>
    <t xml:space="preserve">FOXT-220</t>
  </si>
  <si>
    <t xml:space="preserve">GOLF-234</t>
  </si>
  <si>
    <t xml:space="preserve">GOLF-235</t>
  </si>
  <si>
    <t xml:space="preserve">GOLF-237</t>
  </si>
  <si>
    <t xml:space="preserve">GOLF-238</t>
  </si>
  <si>
    <t xml:space="preserve">HOTL-209</t>
  </si>
  <si>
    <t xml:space="preserve">HOTL-210</t>
  </si>
  <si>
    <t xml:space="preserve">HOTL-211</t>
  </si>
  <si>
    <t xml:space="preserve">HOTL-212</t>
  </si>
  <si>
    <t xml:space="preserve">HOTL-213</t>
  </si>
  <si>
    <t xml:space="preserve">HOTL-215</t>
  </si>
  <si>
    <t xml:space="preserve">HOTL-218</t>
  </si>
  <si>
    <t xml:space="preserve">INDI-208</t>
  </si>
  <si>
    <t xml:space="preserve">INDI-209</t>
  </si>
  <si>
    <t xml:space="preserve">INDI-210</t>
  </si>
  <si>
    <t xml:space="preserve">INDI-211</t>
  </si>
  <si>
    <t xml:space="preserve">INDI-212</t>
  </si>
  <si>
    <t xml:space="preserve">INDI-215</t>
  </si>
  <si>
    <t xml:space="preserve">JULI-214</t>
  </si>
  <si>
    <t xml:space="preserve">JULI-216</t>
  </si>
  <si>
    <t xml:space="preserve">JULI-218</t>
  </si>
  <si>
    <t xml:space="preserve">JULI-219</t>
  </si>
  <si>
    <t xml:space="preserve">JULI-220</t>
  </si>
  <si>
    <t xml:space="preserve">JULI-221</t>
  </si>
  <si>
    <t xml:space="preserve">JULI-223</t>
  </si>
  <si>
    <t xml:space="preserve">ALPH-233</t>
  </si>
  <si>
    <t xml:space="preserve">ALPH-234</t>
  </si>
  <si>
    <t xml:space="preserve">ALPH-235</t>
  </si>
  <si>
    <t xml:space="preserve">ALPH-236</t>
  </si>
  <si>
    <t xml:space="preserve">ALPH-237</t>
  </si>
  <si>
    <t xml:space="preserve">ALPH-238</t>
  </si>
  <si>
    <t xml:space="preserve">ALPH-239</t>
  </si>
  <si>
    <t xml:space="preserve">ALPH-240</t>
  </si>
  <si>
    <t xml:space="preserve">ALPH-242</t>
  </si>
  <si>
    <t xml:space="preserve">BRAV-222</t>
  </si>
  <si>
    <t xml:space="preserve">BRAV-224</t>
  </si>
  <si>
    <t xml:space="preserve">BRAV-225</t>
  </si>
  <si>
    <t xml:space="preserve">BRAV-226</t>
  </si>
  <si>
    <t xml:space="preserve">BRAV-227</t>
  </si>
  <si>
    <t xml:space="preserve">BRAV-228</t>
  </si>
  <si>
    <t xml:space="preserve">BRAV-229</t>
  </si>
  <si>
    <t xml:space="preserve">BRAV-230</t>
  </si>
  <si>
    <t xml:space="preserve">BRAV-231</t>
  </si>
  <si>
    <t xml:space="preserve">BRAV-234</t>
  </si>
  <si>
    <t xml:space="preserve">CHAR-255</t>
  </si>
  <si>
    <t xml:space="preserve">CHAR-257</t>
  </si>
  <si>
    <t xml:space="preserve">CHAR-258</t>
  </si>
  <si>
    <t xml:space="preserve">CHAR-259</t>
  </si>
  <si>
    <t xml:space="preserve">CHAR-260</t>
  </si>
  <si>
    <t xml:space="preserve">CHAR-261</t>
  </si>
  <si>
    <t xml:space="preserve">CHAR-262</t>
  </si>
  <si>
    <t xml:space="preserve">DELT-214</t>
  </si>
  <si>
    <t xml:space="preserve">DELT-217</t>
  </si>
  <si>
    <t xml:space="preserve">DELT-218</t>
  </si>
  <si>
    <t xml:space="preserve">DELT-219</t>
  </si>
  <si>
    <t xml:space="preserve">DELT-220</t>
  </si>
  <si>
    <t xml:space="preserve">DELT-221</t>
  </si>
  <si>
    <t xml:space="preserve">ECHO-261</t>
  </si>
  <si>
    <t xml:space="preserve">ECHO-262</t>
  </si>
  <si>
    <t xml:space="preserve">ECHO-263</t>
  </si>
  <si>
    <t xml:space="preserve">ECHO-264</t>
  </si>
  <si>
    <t xml:space="preserve">ECHO-265</t>
  </si>
  <si>
    <t xml:space="preserve">ECHO-266</t>
  </si>
  <si>
    <t xml:space="preserve">ECHO-267</t>
  </si>
  <si>
    <t xml:space="preserve">ECHO-269</t>
  </si>
  <si>
    <t xml:space="preserve">ECHO-270</t>
  </si>
  <si>
    <t xml:space="preserve">FOXT-221</t>
  </si>
  <si>
    <t xml:space="preserve">FOXT-222</t>
  </si>
  <si>
    <t xml:space="preserve">FOXT-223</t>
  </si>
  <si>
    <t xml:space="preserve">FOXT-224</t>
  </si>
  <si>
    <t xml:space="preserve">FOXT-225</t>
  </si>
  <si>
    <t xml:space="preserve">FOXT-226</t>
  </si>
  <si>
    <t xml:space="preserve">FOXT-228</t>
  </si>
  <si>
    <t xml:space="preserve">GOLF-236</t>
  </si>
  <si>
    <t xml:space="preserve">GOLF-239</t>
  </si>
  <si>
    <t xml:space="preserve">GOLF-240</t>
  </si>
  <si>
    <t xml:space="preserve">GOLF-241</t>
  </si>
  <si>
    <t xml:space="preserve">GOLF-242</t>
  </si>
  <si>
    <t xml:space="preserve">GOLF-243</t>
  </si>
  <si>
    <t xml:space="preserve">GOLF-244</t>
  </si>
  <si>
    <t xml:space="preserve">HOTL-214</t>
  </si>
  <si>
    <t xml:space="preserve">HOTL-216</t>
  </si>
  <si>
    <t xml:space="preserve">HOTL-217</t>
  </si>
  <si>
    <t xml:space="preserve">HOTL-219</t>
  </si>
  <si>
    <t xml:space="preserve">HOTL-220</t>
  </si>
  <si>
    <t xml:space="preserve">HOTL-221</t>
  </si>
  <si>
    <t xml:space="preserve">HOTL-224</t>
  </si>
  <si>
    <t xml:space="preserve">INDI-213</t>
  </si>
  <si>
    <t xml:space="preserve">INDI-214</t>
  </si>
  <si>
    <t xml:space="preserve">INDI-216</t>
  </si>
  <si>
    <t xml:space="preserve">INDI-217</t>
  </si>
  <si>
    <t xml:space="preserve">JULI-222</t>
  </si>
  <si>
    <t xml:space="preserve">JULI-224</t>
  </si>
  <si>
    <t xml:space="preserve">JULI-225</t>
  </si>
  <si>
    <t xml:space="preserve">JULI-226</t>
  </si>
  <si>
    <t xml:space="preserve">JULI-227</t>
  </si>
  <si>
    <t xml:space="preserve">JULI-228</t>
  </si>
  <si>
    <t xml:space="preserve">JULI-229</t>
  </si>
  <si>
    <t xml:space="preserve">ALPH-241</t>
  </si>
  <si>
    <t xml:space="preserve">ALPH-243</t>
  </si>
  <si>
    <t xml:space="preserve">ALPH-244</t>
  </si>
  <si>
    <t xml:space="preserve">ALPH-245</t>
  </si>
  <si>
    <t xml:space="preserve">ALPH-246</t>
  </si>
  <si>
    <t xml:space="preserve">ALPH-247</t>
  </si>
  <si>
    <t xml:space="preserve">ALPH-248</t>
  </si>
  <si>
    <t xml:space="preserve">BRAV-232</t>
  </si>
  <si>
    <t xml:space="preserve">BRAV-233</t>
  </si>
  <si>
    <t xml:space="preserve">BRAV-235</t>
  </si>
  <si>
    <t xml:space="preserve">BRAV-236</t>
  </si>
  <si>
    <t xml:space="preserve">BRAV-237</t>
  </si>
  <si>
    <t xml:space="preserve">CHAR-263</t>
  </si>
  <si>
    <t xml:space="preserve">CHAR-264</t>
  </si>
  <si>
    <t xml:space="preserve">CHAR-265</t>
  </si>
  <si>
    <t xml:space="preserve">CHAR-267</t>
  </si>
  <si>
    <t xml:space="preserve">CHAR-269</t>
  </si>
  <si>
    <t xml:space="preserve">DELT-222</t>
  </si>
  <si>
    <t xml:space="preserve">DELT-223</t>
  </si>
  <si>
    <t xml:space="preserve">DELT-224</t>
  </si>
  <si>
    <t xml:space="preserve">DELT-225</t>
  </si>
  <si>
    <t xml:space="preserve">DELT-226</t>
  </si>
  <si>
    <t xml:space="preserve">DELT-227</t>
  </si>
  <si>
    <t xml:space="preserve">DELT-228</t>
  </si>
  <si>
    <t xml:space="preserve">DELT-229</t>
  </si>
  <si>
    <t xml:space="preserve">ECHO-268</t>
  </si>
  <si>
    <t xml:space="preserve">ECHO-271</t>
  </si>
  <si>
    <t xml:space="preserve">ECHO-272</t>
  </si>
  <si>
    <t xml:space="preserve">ECHO-273</t>
  </si>
  <si>
    <t xml:space="preserve">ECHO-274</t>
  </si>
  <si>
    <t xml:space="preserve">ECHO-275</t>
  </si>
  <si>
    <t xml:space="preserve">ECHO-276</t>
  </si>
  <si>
    <t xml:space="preserve">FOXT-227</t>
  </si>
  <si>
    <t xml:space="preserve">FOXT-229</t>
  </si>
  <si>
    <t xml:space="preserve">FOXT-230</t>
  </si>
  <si>
    <t xml:space="preserve">FOXT-231</t>
  </si>
  <si>
    <t xml:space="preserve">FOXT-233</t>
  </si>
  <si>
    <t xml:space="preserve">FOXT-235</t>
  </si>
  <si>
    <t xml:space="preserve">GOLF-245</t>
  </si>
  <si>
    <t xml:space="preserve">GOLF-246</t>
  </si>
  <si>
    <t xml:space="preserve">GOLF-247</t>
  </si>
  <si>
    <t xml:space="preserve">GOLF-248</t>
  </si>
  <si>
    <t xml:space="preserve">GOLF-251</t>
  </si>
  <si>
    <t xml:space="preserve">HOTL-222</t>
  </si>
  <si>
    <t xml:space="preserve">HOTL-223</t>
  </si>
  <si>
    <t xml:space="preserve">HOTL-225</t>
  </si>
  <si>
    <t xml:space="preserve">HOTL-226</t>
  </si>
  <si>
    <t xml:space="preserve">HOTL-227</t>
  </si>
  <si>
    <t xml:space="preserve">HOTL-231</t>
  </si>
  <si>
    <t xml:space="preserve">INDI-218</t>
  </si>
  <si>
    <t xml:space="preserve">INDI-219</t>
  </si>
  <si>
    <t xml:space="preserve">INDI-220</t>
  </si>
  <si>
    <t xml:space="preserve">INDI-221</t>
  </si>
  <si>
    <t xml:space="preserve">INDI-222</t>
  </si>
  <si>
    <t xml:space="preserve">INDI-223</t>
  </si>
  <si>
    <t xml:space="preserve">INDI-225</t>
  </si>
  <si>
    <t xml:space="preserve">JULI-230</t>
  </si>
  <si>
    <t xml:space="preserve">JULI-231</t>
  </si>
  <si>
    <t xml:space="preserve">JULI-232</t>
  </si>
  <si>
    <t xml:space="preserve">JULI-233</t>
  </si>
  <si>
    <t xml:space="preserve">JULI-234</t>
  </si>
  <si>
    <t xml:space="preserve">JULI-236</t>
  </si>
  <si>
    <t xml:space="preserve">JULI-238</t>
  </si>
  <si>
    <t xml:space="preserve">ALPH-249</t>
  </si>
  <si>
    <t xml:space="preserve">ALPH-250</t>
  </si>
  <si>
    <t xml:space="preserve">ALPH-251</t>
  </si>
  <si>
    <t xml:space="preserve">ALPH-252</t>
  </si>
  <si>
    <t xml:space="preserve">ALPH-253</t>
  </si>
  <si>
    <t xml:space="preserve">ALPH-254</t>
  </si>
  <si>
    <t xml:space="preserve">ALPH-255</t>
  </si>
  <si>
    <t xml:space="preserve">BRAV-238</t>
  </si>
  <si>
    <t xml:space="preserve">BRAV-239</t>
  </si>
  <si>
    <t xml:space="preserve">BRAV-240</t>
  </si>
  <si>
    <t xml:space="preserve">BRAV-241</t>
  </si>
  <si>
    <t xml:space="preserve">BRAV-243</t>
  </si>
  <si>
    <t xml:space="preserve">BRAV-244</t>
  </si>
  <si>
    <t xml:space="preserve">CHAR-266</t>
  </si>
  <si>
    <t xml:space="preserve">CHAR-268</t>
  </si>
  <si>
    <t xml:space="preserve">CHAR-270</t>
  </si>
  <si>
    <t xml:space="preserve">CHAR-271</t>
  </si>
  <si>
    <t xml:space="preserve">CHAR-272</t>
  </si>
  <si>
    <t xml:space="preserve">CHAR-273</t>
  </si>
  <si>
    <t xml:space="preserve">DELT-230</t>
  </si>
  <si>
    <t xml:space="preserve">DELT-231</t>
  </si>
  <si>
    <t xml:space="preserve">DELT-232</t>
  </si>
  <si>
    <t xml:space="preserve">DELT-233</t>
  </si>
  <si>
    <t xml:space="preserve">DELT-234</t>
  </si>
  <si>
    <t xml:space="preserve">DELT-235</t>
  </si>
  <si>
    <t xml:space="preserve">ECHO-277</t>
  </si>
  <si>
    <t xml:space="preserve">ECHO-278</t>
  </si>
  <si>
    <t xml:space="preserve">ECHO-279</t>
  </si>
  <si>
    <t xml:space="preserve">ECHO-280</t>
  </si>
  <si>
    <t xml:space="preserve">ECHO-281</t>
  </si>
  <si>
    <t xml:space="preserve">ECHO-282</t>
  </si>
  <si>
    <t xml:space="preserve">FOXT-232</t>
  </si>
  <si>
    <t xml:space="preserve">FOXT-234</t>
  </si>
  <si>
    <t xml:space="preserve">FOXT-236</t>
  </si>
  <si>
    <t xml:space="preserve">FOXT-237</t>
  </si>
  <si>
    <t xml:space="preserve">FOXT-238</t>
  </si>
  <si>
    <t xml:space="preserve">FOXT-239</t>
  </si>
  <si>
    <t xml:space="preserve">FOXT-241</t>
  </si>
  <si>
    <t xml:space="preserve">FOXT-242</t>
  </si>
  <si>
    <t xml:space="preserve">GOLF-249</t>
  </si>
  <si>
    <t xml:space="preserve">GOLF-250</t>
  </si>
  <si>
    <t xml:space="preserve">GOLF-252</t>
  </si>
  <si>
    <t xml:space="preserve">GOLF-253</t>
  </si>
  <si>
    <t xml:space="preserve">GOLF-254</t>
  </si>
  <si>
    <t xml:space="preserve">HOTL-228</t>
  </si>
  <si>
    <t xml:space="preserve">HOTL-229</t>
  </si>
  <si>
    <t xml:space="preserve">HOTL-232</t>
  </si>
  <si>
    <t xml:space="preserve">HOTL-237</t>
  </si>
  <si>
    <t xml:space="preserve">INDI-224</t>
  </si>
  <si>
    <t xml:space="preserve">INDI-226</t>
  </si>
  <si>
    <t xml:space="preserve">INDI-227</t>
  </si>
  <si>
    <t xml:space="preserve">INDI-228</t>
  </si>
  <si>
    <t xml:space="preserve">INDI-229</t>
  </si>
  <si>
    <t xml:space="preserve">INDI-230</t>
  </si>
  <si>
    <t xml:space="preserve">INDI-231</t>
  </si>
  <si>
    <t xml:space="preserve">INDI-232</t>
  </si>
  <si>
    <t xml:space="preserve">JULI-235</t>
  </si>
  <si>
    <t xml:space="preserve">JULI-237</t>
  </si>
  <si>
    <t xml:space="preserve">JULI-239</t>
  </si>
  <si>
    <t xml:space="preserve">JULI-240</t>
  </si>
  <si>
    <t xml:space="preserve">JULI-241</t>
  </si>
  <si>
    <t xml:space="preserve">JULI-242</t>
  </si>
  <si>
    <t xml:space="preserve">JULI-243</t>
  </si>
  <si>
    <t xml:space="preserve">ALPH-256</t>
  </si>
  <si>
    <t xml:space="preserve">ALPH-257</t>
  </si>
  <si>
    <t xml:space="preserve">ALPH-258</t>
  </si>
  <si>
    <t xml:space="preserve">ALPH-259</t>
  </si>
  <si>
    <t xml:space="preserve">ALPH-260</t>
  </si>
  <si>
    <t xml:space="preserve">ALPH-261</t>
  </si>
  <si>
    <t xml:space="preserve">ALPH-262</t>
  </si>
  <si>
    <t xml:space="preserve">ALPH-263</t>
  </si>
  <si>
    <t xml:space="preserve">ALPH-264</t>
  </si>
  <si>
    <t xml:space="preserve">BRAV-242</t>
  </si>
  <si>
    <t xml:space="preserve">BRAV-245</t>
  </si>
  <si>
    <t xml:space="preserve">BRAV-246</t>
  </si>
  <si>
    <t xml:space="preserve">BRAV-247</t>
  </si>
  <si>
    <t xml:space="preserve">BRAV-248</t>
  </si>
  <si>
    <t xml:space="preserve">BRAV-249</t>
  </si>
  <si>
    <t xml:space="preserve">BRAV-251</t>
  </si>
  <si>
    <t xml:space="preserve">CHAR-274</t>
  </si>
  <si>
    <t xml:space="preserve">CHAR-275</t>
  </si>
  <si>
    <t xml:space="preserve">CHAR-276</t>
  </si>
  <si>
    <t xml:space="preserve">CHAR-277</t>
  </si>
  <si>
    <t xml:space="preserve">CHAR-278</t>
  </si>
  <si>
    <t xml:space="preserve">CHAR-279</t>
  </si>
  <si>
    <t xml:space="preserve">CHAR-281</t>
  </si>
  <si>
    <t xml:space="preserve">CHAR-283</t>
  </si>
  <si>
    <t xml:space="preserve">DELT-236</t>
  </si>
  <si>
    <t xml:space="preserve">DELT-237</t>
  </si>
  <si>
    <t xml:space="preserve">DELT-238</t>
  </si>
  <si>
    <t xml:space="preserve">DELT-239</t>
  </si>
  <si>
    <t xml:space="preserve">DELT-240</t>
  </si>
  <si>
    <t xml:space="preserve">ECHO-283</t>
  </si>
  <si>
    <t xml:space="preserve">ECHO-284</t>
  </si>
  <si>
    <t xml:space="preserve">ECHO-285</t>
  </si>
  <si>
    <t xml:space="preserve">ECHO-286</t>
  </si>
  <si>
    <t xml:space="preserve">ECHO-287</t>
  </si>
  <si>
    <t xml:space="preserve">ECHO-288</t>
  </si>
  <si>
    <t xml:space="preserve">ECHO-289</t>
  </si>
  <si>
    <t xml:space="preserve">ECHO-290</t>
  </si>
  <si>
    <t xml:space="preserve">ECHO-292</t>
  </si>
  <si>
    <t xml:space="preserve">FOXT-240</t>
  </si>
  <si>
    <t xml:space="preserve">FOXT-243</t>
  </si>
  <si>
    <t xml:space="preserve">FOXT-244</t>
  </si>
  <si>
    <t xml:space="preserve">FOXT-245</t>
  </si>
  <si>
    <t xml:space="preserve">FOXT-246</t>
  </si>
  <si>
    <t xml:space="preserve">FOXT-247</t>
  </si>
  <si>
    <t xml:space="preserve">FOXT-248</t>
  </si>
  <si>
    <t xml:space="preserve">GOLF-255</t>
  </si>
  <si>
    <t xml:space="preserve">GOLF-256</t>
  </si>
  <si>
    <t xml:space="preserve">GOLF-257</t>
  </si>
  <si>
    <t xml:space="preserve">GOLF-260</t>
  </si>
  <si>
    <t xml:space="preserve">HOTL-230</t>
  </si>
  <si>
    <t xml:space="preserve">HOTL-233</t>
  </si>
  <si>
    <t xml:space="preserve">HOTL-234</t>
  </si>
  <si>
    <t xml:space="preserve">HOTL-235</t>
  </si>
  <si>
    <t xml:space="preserve">HOTL-236</t>
  </si>
  <si>
    <t xml:space="preserve">INDI-233</t>
  </si>
  <si>
    <t xml:space="preserve">INDI-234</t>
  </si>
  <si>
    <t xml:space="preserve">INDI-235</t>
  </si>
  <si>
    <t xml:space="preserve">INDI-236</t>
  </si>
  <si>
    <t xml:space="preserve">INDI-237</t>
  </si>
  <si>
    <t xml:space="preserve">INDI-238</t>
  </si>
  <si>
    <t xml:space="preserve">INDI-239</t>
  </si>
  <si>
    <t xml:space="preserve">INDI-240</t>
  </si>
  <si>
    <t xml:space="preserve">INDI-241</t>
  </si>
  <si>
    <t xml:space="preserve">INDI-242</t>
  </si>
  <si>
    <t xml:space="preserve">INDI-245</t>
  </si>
  <si>
    <t xml:space="preserve">JULI-244</t>
  </si>
  <si>
    <t xml:space="preserve">JULI-245</t>
  </si>
  <si>
    <t xml:space="preserve">JULI-246</t>
  </si>
  <si>
    <t xml:space="preserve">JULI-247</t>
  </si>
  <si>
    <t xml:space="preserve">JULI-248</t>
  </si>
  <si>
    <t xml:space="preserve">JULI-249</t>
  </si>
  <si>
    <t xml:space="preserve">JULI-250</t>
  </si>
  <si>
    <t xml:space="preserve">JULI-251</t>
  </si>
  <si>
    <t xml:space="preserve">JULI-252</t>
  </si>
  <si>
    <t xml:space="preserve">JULI-253</t>
  </si>
  <si>
    <t xml:space="preserve">Tome</t>
  </si>
  <si>
    <t xml:space="preserve">Points</t>
  </si>
  <si>
    <t xml:space="preserve">Prio</t>
  </si>
  <si>
    <t xml:space="preserve">Added</t>
  </si>
  <si>
    <t xml:space="preserve">Cur team</t>
  </si>
  <si>
    <t xml:space="preserve">Blocked</t>
  </si>
  <si>
    <t xml:space="preserve">Blocked since</t>
  </si>
  <si>
    <t xml:space="preserve">Days blocked</t>
  </si>
  <si>
    <t xml:space="preserve">Carried</t>
  </si>
  <si>
    <t xml:space="preserve">Punts</t>
  </si>
  <si>
    <t xml:space="preserve">In sprint</t>
  </si>
  <si>
    <t xml:space="preserve">Age</t>
  </si>
  <si>
    <t xml:space="preserve">KeyTP</t>
  </si>
  <si>
    <t xml:space="preserve">KeyWatch</t>
  </si>
  <si>
    <t xml:space="preserve">KeyAcc</t>
  </si>
  <si>
    <t xml:space="preserve">Story FOXT-142</t>
  </si>
  <si>
    <t xml:space="preserve">Platform</t>
  </si>
  <si>
    <t xml:space="preserve">Onboarding</t>
  </si>
  <si>
    <t xml:space="preserve">Foxtrot</t>
  </si>
  <si>
    <t xml:space="preserve">Foxtrot-8</t>
  </si>
  <si>
    <t xml:space="preserve">Story ALPH-164</t>
  </si>
  <si>
    <t xml:space="preserve">Alpha</t>
  </si>
  <si>
    <t xml:space="preserve">Alpha-9</t>
  </si>
  <si>
    <t xml:space="preserve">Story ALPH-167</t>
  </si>
  <si>
    <t xml:space="preserve">Insights</t>
  </si>
  <si>
    <t xml:space="preserve">Billing</t>
  </si>
  <si>
    <t xml:space="preserve">Alpha-1</t>
  </si>
  <si>
    <t xml:space="preserve">Story BRAV-150</t>
  </si>
  <si>
    <t xml:space="preserve">Reporting</t>
  </si>
  <si>
    <t xml:space="preserve">Bravo</t>
  </si>
  <si>
    <t xml:space="preserve">Bravo-6</t>
  </si>
  <si>
    <t xml:space="preserve">Story CHAR-172</t>
  </si>
  <si>
    <t xml:space="preserve">Auth</t>
  </si>
  <si>
    <t xml:space="preserve">Charlie</t>
  </si>
  <si>
    <t xml:space="preserve">Charlie-5</t>
  </si>
  <si>
    <t xml:space="preserve">Story ECHO-183</t>
  </si>
  <si>
    <t xml:space="preserve">Ops</t>
  </si>
  <si>
    <t xml:space="preserve">Echo</t>
  </si>
  <si>
    <t xml:space="preserve">Echo-6</t>
  </si>
  <si>
    <t xml:space="preserve">Story GOLF-175</t>
  </si>
  <si>
    <t xml:space="preserve">Golf</t>
  </si>
  <si>
    <t xml:space="preserve">Golf-2</t>
  </si>
  <si>
    <t xml:space="preserve">Story HOTL-156</t>
  </si>
  <si>
    <t xml:space="preserve">Hotel</t>
  </si>
  <si>
    <t xml:space="preserve">Hotel-4</t>
  </si>
  <si>
    <t xml:space="preserve">Story HOTL-161</t>
  </si>
  <si>
    <t xml:space="preserve">Hotel-10</t>
  </si>
  <si>
    <t xml:space="preserve">Story INDI-148</t>
  </si>
  <si>
    <t xml:space="preserve">India</t>
  </si>
  <si>
    <t xml:space="preserve">India-6</t>
  </si>
  <si>
    <t xml:space="preserve">Story ALPH-169</t>
  </si>
  <si>
    <t xml:space="preserve">Alpha-4</t>
  </si>
  <si>
    <t xml:space="preserve">Story ALPH-170</t>
  </si>
  <si>
    <t xml:space="preserve">Alpha-5</t>
  </si>
  <si>
    <t xml:space="preserve">Story ALPH-171</t>
  </si>
  <si>
    <t xml:space="preserve">Story ALPH-172</t>
  </si>
  <si>
    <t xml:space="preserve">Alpha-8</t>
  </si>
  <si>
    <t xml:space="preserve">Story ALPH-173</t>
  </si>
  <si>
    <t xml:space="preserve">Alpha-3</t>
  </si>
  <si>
    <t xml:space="preserve">Story BRAV-154</t>
  </si>
  <si>
    <t xml:space="preserve">Bravo-10</t>
  </si>
  <si>
    <t xml:space="preserve">Story BRAV-155</t>
  </si>
  <si>
    <t xml:space="preserve">Bravo-8</t>
  </si>
  <si>
    <t xml:space="preserve">Story CHAR-176</t>
  </si>
  <si>
    <t xml:space="preserve">Charlie-4</t>
  </si>
  <si>
    <t xml:space="preserve">Story CHAR-179</t>
  </si>
  <si>
    <t xml:space="preserve">Charlie-6</t>
  </si>
  <si>
    <t xml:space="preserve">Story DELT-147</t>
  </si>
  <si>
    <t xml:space="preserve">Delta</t>
  </si>
  <si>
    <t xml:space="preserve">Delta-9</t>
  </si>
  <si>
    <t xml:space="preserve">Story ECHO-187</t>
  </si>
  <si>
    <t xml:space="preserve">Echo-2</t>
  </si>
  <si>
    <t xml:space="preserve">Story ECHO-190</t>
  </si>
  <si>
    <t xml:space="preserve">Echo-5</t>
  </si>
  <si>
    <t xml:space="preserve">Story GOLF-182</t>
  </si>
  <si>
    <t xml:space="preserve">Golf-3</t>
  </si>
  <si>
    <t xml:space="preserve">Story GOLF-183</t>
  </si>
  <si>
    <t xml:space="preserve">Golf-4</t>
  </si>
  <si>
    <t xml:space="preserve">Story GOLF-184</t>
  </si>
  <si>
    <t xml:space="preserve">Story HOTL-162</t>
  </si>
  <si>
    <t xml:space="preserve">Hotel-6</t>
  </si>
  <si>
    <t xml:space="preserve">Story HOTL-166</t>
  </si>
  <si>
    <t xml:space="preserve">Story INDI-154</t>
  </si>
  <si>
    <t xml:space="preserve">Story INDI-155</t>
  </si>
  <si>
    <t xml:space="preserve">India-2</t>
  </si>
  <si>
    <t xml:space="preserve">Story JULI-150</t>
  </si>
  <si>
    <t xml:space="preserve">Juliet</t>
  </si>
  <si>
    <t xml:space="preserve">Juliet-3</t>
  </si>
  <si>
    <t xml:space="preserve">Story JULI-153</t>
  </si>
  <si>
    <t xml:space="preserve">Juliet-4</t>
  </si>
  <si>
    <t xml:space="preserve">Story JULI-154</t>
  </si>
  <si>
    <t xml:space="preserve">Juliet-9</t>
  </si>
  <si>
    <t xml:space="preserve">Story ALPH-174</t>
  </si>
  <si>
    <t xml:space="preserve">Alpha-6</t>
  </si>
  <si>
    <t xml:space="preserve">Story ALPH-175</t>
  </si>
  <si>
    <t xml:space="preserve">Alpha-2</t>
  </si>
  <si>
    <t xml:space="preserve">Story ALPH-176</t>
  </si>
  <si>
    <t xml:space="preserve">Story ALPH-177</t>
  </si>
  <si>
    <t xml:space="preserve">Story BRAV-162</t>
  </si>
  <si>
    <t xml:space="preserve">Story BRAV-163</t>
  </si>
  <si>
    <t xml:space="preserve">Bravo-1</t>
  </si>
  <si>
    <t xml:space="preserve">Story BRAV-164</t>
  </si>
  <si>
    <t xml:space="preserve">Bravo-2</t>
  </si>
  <si>
    <t xml:space="preserve">Story BRAV-165</t>
  </si>
  <si>
    <t xml:space="preserve">Story CHAR-184</t>
  </si>
  <si>
    <t xml:space="preserve">Story CHAR-185</t>
  </si>
  <si>
    <t xml:space="preserve">Story CHAR-186</t>
  </si>
  <si>
    <t xml:space="preserve">Charlie-7</t>
  </si>
  <si>
    <t xml:space="preserve">Story CHAR-187</t>
  </si>
  <si>
    <t xml:space="preserve">Charlie-1</t>
  </si>
  <si>
    <t xml:space="preserve">Story CHAR-188</t>
  </si>
  <si>
    <t xml:space="preserve">Story CHAR-189</t>
  </si>
  <si>
    <t xml:space="preserve">Charlie-3</t>
  </si>
  <si>
    <t xml:space="preserve">Story CHAR-190</t>
  </si>
  <si>
    <t xml:space="preserve">Story CHAR-191</t>
  </si>
  <si>
    <t xml:space="preserve">Story DELT-148</t>
  </si>
  <si>
    <t xml:space="preserve">Delta-1</t>
  </si>
  <si>
    <t xml:space="preserve">Story DELT-149</t>
  </si>
  <si>
    <t xml:space="preserve">Story DELT-151</t>
  </si>
  <si>
    <t xml:space="preserve">Story DELT-152</t>
  </si>
  <si>
    <t xml:space="preserve">Delta-7</t>
  </si>
  <si>
    <t xml:space="preserve">Story DELT-153</t>
  </si>
  <si>
    <t xml:space="preserve">Delta-8</t>
  </si>
  <si>
    <t xml:space="preserve">Story DELT-154</t>
  </si>
  <si>
    <t xml:space="preserve">Story ECHO-191</t>
  </si>
  <si>
    <t xml:space="preserve">Story ECHO-192</t>
  </si>
  <si>
    <t xml:space="preserve">Echo-8</t>
  </si>
  <si>
    <t xml:space="preserve">Story ECHO-193</t>
  </si>
  <si>
    <t xml:space="preserve">Story FOXT-156</t>
  </si>
  <si>
    <t xml:space="preserve">Foxtrot-7</t>
  </si>
  <si>
    <t xml:space="preserve">Story FOXT-157</t>
  </si>
  <si>
    <t xml:space="preserve">Foxtrot-1</t>
  </si>
  <si>
    <t xml:space="preserve">Story FOXT-158</t>
  </si>
  <si>
    <t xml:space="preserve">Story FOXT-159</t>
  </si>
  <si>
    <t xml:space="preserve">Foxtrot-3</t>
  </si>
  <si>
    <t xml:space="preserve">Story FOXT-160</t>
  </si>
  <si>
    <t xml:space="preserve">Foxtrot-4</t>
  </si>
  <si>
    <t xml:space="preserve">Story FOXT-161</t>
  </si>
  <si>
    <t xml:space="preserve">Story FOXT-162</t>
  </si>
  <si>
    <t xml:space="preserve">Story GOLF-185</t>
  </si>
  <si>
    <t xml:space="preserve">Golf-1</t>
  </si>
  <si>
    <t xml:space="preserve">Story GOLF-186</t>
  </si>
  <si>
    <t xml:space="preserve">Golf-9</t>
  </si>
  <si>
    <t xml:space="preserve">Story GOLF-188</t>
  </si>
  <si>
    <t xml:space="preserve">Story GOLF-189</t>
  </si>
  <si>
    <t xml:space="preserve">Story HOTL-167</t>
  </si>
  <si>
    <t xml:space="preserve">Hotel-8</t>
  </si>
  <si>
    <t xml:space="preserve">Story HOTL-168</t>
  </si>
  <si>
    <t xml:space="preserve">Story HOTL-169</t>
  </si>
  <si>
    <t xml:space="preserve">Hotel-2</t>
  </si>
  <si>
    <t xml:space="preserve">Story HOTL-170</t>
  </si>
  <si>
    <t xml:space="preserve">Hotel-5</t>
  </si>
  <si>
    <t xml:space="preserve">Story HOTL-171</t>
  </si>
  <si>
    <t xml:space="preserve">Hotel-3</t>
  </si>
  <si>
    <t xml:space="preserve">Story HOTL-172</t>
  </si>
  <si>
    <t xml:space="preserve">Story INDI-157</t>
  </si>
  <si>
    <t xml:space="preserve">India-5</t>
  </si>
  <si>
    <t xml:space="preserve">Story INDI-158</t>
  </si>
  <si>
    <t xml:space="preserve">India-1</t>
  </si>
  <si>
    <t xml:space="preserve">Story INDI-159</t>
  </si>
  <si>
    <t xml:space="preserve">India-8</t>
  </si>
  <si>
    <t xml:space="preserve">Story INDI-160</t>
  </si>
  <si>
    <t xml:space="preserve">Story INDI-161</t>
  </si>
  <si>
    <t xml:space="preserve">Story JULI-155</t>
  </si>
  <si>
    <t xml:space="preserve">Story JULI-156</t>
  </si>
  <si>
    <t xml:space="preserve">Story JULI-157</t>
  </si>
  <si>
    <t xml:space="preserve">Juliet-8</t>
  </si>
  <si>
    <t xml:space="preserve">Story JULI-158</t>
  </si>
  <si>
    <t xml:space="preserve">Juliet-1</t>
  </si>
  <si>
    <t xml:space="preserve">Story JULI-159</t>
  </si>
  <si>
    <t xml:space="preserve">Juliet-10</t>
  </si>
  <si>
    <t xml:space="preserve">Story JULI-160</t>
  </si>
  <si>
    <t xml:space="preserve">Juliet-7</t>
  </si>
  <si>
    <t xml:space="preserve">Story ALPH-178</t>
  </si>
  <si>
    <t xml:space="preserve">Alpha-10</t>
  </si>
  <si>
    <t xml:space="preserve">Story ALPH-179</t>
  </si>
  <si>
    <t xml:space="preserve">Story ALPH-180</t>
  </si>
  <si>
    <t xml:space="preserve">Story BRAV-166</t>
  </si>
  <si>
    <t xml:space="preserve">Bravo-3</t>
  </si>
  <si>
    <t xml:space="preserve">Story BRAV-167</t>
  </si>
  <si>
    <t xml:space="preserve">Story BRAV-168</t>
  </si>
  <si>
    <t xml:space="preserve">Bravo-9</t>
  </si>
  <si>
    <t xml:space="preserve">Story BRAV-169</t>
  </si>
  <si>
    <t xml:space="preserve">Story BRAV-170</t>
  </si>
  <si>
    <t xml:space="preserve">Story BRAV-171</t>
  </si>
  <si>
    <t xml:space="preserve">Story BRAV-172</t>
  </si>
  <si>
    <t xml:space="preserve">Story BRAV-173</t>
  </si>
  <si>
    <t xml:space="preserve">Story CHAR-192</t>
  </si>
  <si>
    <t xml:space="preserve">Story CHAR-193</t>
  </si>
  <si>
    <t xml:space="preserve">Charlie-10</t>
  </si>
  <si>
    <t xml:space="preserve">Story CHAR-194</t>
  </si>
  <si>
    <t xml:space="preserve">Story CHAR-195</t>
  </si>
  <si>
    <t xml:space="preserve">Charlie-8</t>
  </si>
  <si>
    <t xml:space="preserve">Story DELT-155</t>
  </si>
  <si>
    <t xml:space="preserve">Delta-4</t>
  </si>
  <si>
    <t xml:space="preserve">Story DELT-156</t>
  </si>
  <si>
    <t xml:space="preserve">Story DELT-157</t>
  </si>
  <si>
    <t xml:space="preserve">Story DELT-158</t>
  </si>
  <si>
    <t xml:space="preserve">Story ECHO-194</t>
  </si>
  <si>
    <t xml:space="preserve">Story ECHO-195</t>
  </si>
  <si>
    <t xml:space="preserve">Story ECHO-196</t>
  </si>
  <si>
    <t xml:space="preserve">Echo-7</t>
  </si>
  <si>
    <t xml:space="preserve">Story ECHO-197</t>
  </si>
  <si>
    <t xml:space="preserve">Echo-9</t>
  </si>
  <si>
    <t xml:space="preserve">Story ECHO-198</t>
  </si>
  <si>
    <t xml:space="preserve">Echo-10</t>
  </si>
  <si>
    <t xml:space="preserve">Story FOXT-163</t>
  </si>
  <si>
    <t xml:space="preserve">Story FOXT-164</t>
  </si>
  <si>
    <t xml:space="preserve">Story FOXT-165</t>
  </si>
  <si>
    <t xml:space="preserve">Foxtrot-5</t>
  </si>
  <si>
    <t xml:space="preserve">Story FOXT-166</t>
  </si>
  <si>
    <t xml:space="preserve">Foxtrot-9</t>
  </si>
  <si>
    <t xml:space="preserve">Story FOXT-167</t>
  </si>
  <si>
    <t xml:space="preserve">Story FOXT-168</t>
  </si>
  <si>
    <t xml:space="preserve">Story GOLF-190</t>
  </si>
  <si>
    <t xml:space="preserve">Story GOLF-191</t>
  </si>
  <si>
    <t xml:space="preserve">Golf-6</t>
  </si>
  <si>
    <t xml:space="preserve">Story GOLF-192</t>
  </si>
  <si>
    <t xml:space="preserve">Golf-5</t>
  </si>
  <si>
    <t xml:space="preserve">Story GOLF-193</t>
  </si>
  <si>
    <t xml:space="preserve">Story HOTL-173</t>
  </si>
  <si>
    <t xml:space="preserve">Story HOTL-174</t>
  </si>
  <si>
    <t xml:space="preserve">Story HOTL-175</t>
  </si>
  <si>
    <t xml:space="preserve">Story HOTL-176</t>
  </si>
  <si>
    <t xml:space="preserve">Story HOTL-177</t>
  </si>
  <si>
    <t xml:space="preserve">Story HOTL-178</t>
  </si>
  <si>
    <t xml:space="preserve">Hotel-9</t>
  </si>
  <si>
    <t xml:space="preserve">Story INDI-162</t>
  </si>
  <si>
    <t xml:space="preserve">India-9</t>
  </si>
  <si>
    <t xml:space="preserve">Story INDI-163</t>
  </si>
  <si>
    <t xml:space="preserve">Story INDI-164</t>
  </si>
  <si>
    <t xml:space="preserve">Story INDI-165</t>
  </si>
  <si>
    <t xml:space="preserve">India-10</t>
  </si>
  <si>
    <t xml:space="preserve">Story JULI-161</t>
  </si>
  <si>
    <t xml:space="preserve">Story JULI-162</t>
  </si>
  <si>
    <t xml:space="preserve">Story JULI-163</t>
  </si>
  <si>
    <t xml:space="preserve">Juliet-5</t>
  </si>
  <si>
    <t xml:space="preserve">Story JULI-164</t>
  </si>
  <si>
    <t xml:space="preserve">Story ALPH-181</t>
  </si>
  <si>
    <t xml:space="preserve">Story ALPH-182</t>
  </si>
  <si>
    <t xml:space="preserve">Story ALPH-183</t>
  </si>
  <si>
    <t xml:space="preserve">Story ALPH-184</t>
  </si>
  <si>
    <t xml:space="preserve">Story ALPH-185</t>
  </si>
  <si>
    <t xml:space="preserve">Story ALPH-186</t>
  </si>
  <si>
    <t xml:space="preserve">Story BRAV-174</t>
  </si>
  <si>
    <t xml:space="preserve">Story BRAV-175</t>
  </si>
  <si>
    <t xml:space="preserve">Story BRAV-176</t>
  </si>
  <si>
    <t xml:space="preserve">Story BRAV-177</t>
  </si>
  <si>
    <t xml:space="preserve">Bravo-4</t>
  </si>
  <si>
    <t xml:space="preserve">Story BRAV-178</t>
  </si>
  <si>
    <t xml:space="preserve">Story BRAV-179</t>
  </si>
  <si>
    <t xml:space="preserve">Bravo-7</t>
  </si>
  <si>
    <t xml:space="preserve">Story CHAR-196</t>
  </si>
  <si>
    <t xml:space="preserve">Charlie-9</t>
  </si>
  <si>
    <t xml:space="preserve">Story CHAR-197</t>
  </si>
  <si>
    <t xml:space="preserve">Story CHAR-198</t>
  </si>
  <si>
    <t xml:space="preserve">Story CHAR-199</t>
  </si>
  <si>
    <t xml:space="preserve">Story CHAR-200</t>
  </si>
  <si>
    <t xml:space="preserve">Story CHAR-201</t>
  </si>
  <si>
    <t xml:space="preserve">Story CHAR-202</t>
  </si>
  <si>
    <t xml:space="preserve">Story DELT-159</t>
  </si>
  <si>
    <t xml:space="preserve">Story DELT-160</t>
  </si>
  <si>
    <t xml:space="preserve">Story DELT-161</t>
  </si>
  <si>
    <t xml:space="preserve">Story DELT-162</t>
  </si>
  <si>
    <t xml:space="preserve">Delta-5</t>
  </si>
  <si>
    <t xml:space="preserve">Story DELT-163</t>
  </si>
  <si>
    <t xml:space="preserve">Story DELT-164</t>
  </si>
  <si>
    <t xml:space="preserve">Delta-6</t>
  </si>
  <si>
    <t xml:space="preserve">Story ECHO-199</t>
  </si>
  <si>
    <t xml:space="preserve">Echo-4</t>
  </si>
  <si>
    <t xml:space="preserve">Story ECHO-200</t>
  </si>
  <si>
    <t xml:space="preserve">Story ECHO-201</t>
  </si>
  <si>
    <t xml:space="preserve">Story ECHO-202</t>
  </si>
  <si>
    <t xml:space="preserve">Story ECHO-203</t>
  </si>
  <si>
    <t xml:space="preserve">Story ECHO-204</t>
  </si>
  <si>
    <t xml:space="preserve">Echo-3</t>
  </si>
  <si>
    <t xml:space="preserve">Story ECHO-205</t>
  </si>
  <si>
    <t xml:space="preserve">Story ECHO-206</t>
  </si>
  <si>
    <t xml:space="preserve">Story FOXT-169</t>
  </si>
  <si>
    <t xml:space="preserve">Foxtrot-10</t>
  </si>
  <si>
    <t xml:space="preserve">Story FOXT-170</t>
  </si>
  <si>
    <t xml:space="preserve">Foxtrot-2</t>
  </si>
  <si>
    <t xml:space="preserve">Story FOXT-171</t>
  </si>
  <si>
    <t xml:space="preserve">Story FOXT-172</t>
  </si>
  <si>
    <t xml:space="preserve">Story FOXT-173</t>
  </si>
  <si>
    <t xml:space="preserve">Story FOXT-174</t>
  </si>
  <si>
    <t xml:space="preserve">Story FOXT-175</t>
  </si>
  <si>
    <t xml:space="preserve">Story FOXT-176</t>
  </si>
  <si>
    <t xml:space="preserve">Story GOLF-194</t>
  </si>
  <si>
    <t xml:space="preserve">Story GOLF-195</t>
  </si>
  <si>
    <t xml:space="preserve">Story GOLF-196</t>
  </si>
  <si>
    <t xml:space="preserve">Golf-7</t>
  </si>
  <si>
    <t xml:space="preserve">Story GOLF-197</t>
  </si>
  <si>
    <t xml:space="preserve">Golf-10</t>
  </si>
  <si>
    <t xml:space="preserve">Story GOLF-198</t>
  </si>
  <si>
    <t xml:space="preserve">Story HOTL-179</t>
  </si>
  <si>
    <t xml:space="preserve">Hotel-7</t>
  </si>
  <si>
    <t xml:space="preserve">Story HOTL-180</t>
  </si>
  <si>
    <t xml:space="preserve">Story HOTL-181</t>
  </si>
  <si>
    <t xml:space="preserve">Story HOTL-182</t>
  </si>
  <si>
    <t xml:space="preserve">Story INDI-166</t>
  </si>
  <si>
    <t xml:space="preserve">Story INDI-167</t>
  </si>
  <si>
    <t xml:space="preserve">Story INDI-168</t>
  </si>
  <si>
    <t xml:space="preserve">Story INDI-169</t>
  </si>
  <si>
    <t xml:space="preserve">India-4</t>
  </si>
  <si>
    <t xml:space="preserve">Story INDI-170</t>
  </si>
  <si>
    <t xml:space="preserve">Story INDI-171</t>
  </si>
  <si>
    <t xml:space="preserve">India-3</t>
  </si>
  <si>
    <t xml:space="preserve">Story JULI-165</t>
  </si>
  <si>
    <t xml:space="preserve">Juliet-6</t>
  </si>
  <si>
    <t xml:space="preserve">Story JULI-166</t>
  </si>
  <si>
    <t xml:space="preserve">Story JULI-167</t>
  </si>
  <si>
    <t xml:space="preserve">Story JULI-168</t>
  </si>
  <si>
    <t xml:space="preserve">Story JULI-169</t>
  </si>
  <si>
    <t xml:space="preserve">Story JULI-170</t>
  </si>
  <si>
    <t xml:space="preserve">Story JULI-171</t>
  </si>
  <si>
    <t xml:space="preserve">Juliet-2</t>
  </si>
  <si>
    <t xml:space="preserve">Story JULI-172</t>
  </si>
  <si>
    <t xml:space="preserve">Story ALPH-187</t>
  </si>
  <si>
    <t xml:space="preserve">Story ALPH-188</t>
  </si>
  <si>
    <t xml:space="preserve">Story ALPH-189</t>
  </si>
  <si>
    <t xml:space="preserve">Alpha-7</t>
  </si>
  <si>
    <t xml:space="preserve">Story ALPH-190</t>
  </si>
  <si>
    <t xml:space="preserve">Story ALPH-191</t>
  </si>
  <si>
    <t xml:space="preserve">Story BRAV-180</t>
  </si>
  <si>
    <t xml:space="preserve">Story BRAV-181</t>
  </si>
  <si>
    <t xml:space="preserve">Story BRAV-182</t>
  </si>
  <si>
    <t xml:space="preserve">Story BRAV-183</t>
  </si>
  <si>
    <t xml:space="preserve">Story BRAV-184</t>
  </si>
  <si>
    <t xml:space="preserve">Story BRAV-185</t>
  </si>
  <si>
    <t xml:space="preserve">Bravo-5</t>
  </si>
  <si>
    <t xml:space="preserve">Story BRAV-186</t>
  </si>
  <si>
    <t xml:space="preserve">Story BRAV-187</t>
  </si>
  <si>
    <t xml:space="preserve">Story CHAR-203</t>
  </si>
  <si>
    <t xml:space="preserve">Story CHAR-204</t>
  </si>
  <si>
    <t xml:space="preserve">Story CHAR-205</t>
  </si>
  <si>
    <t xml:space="preserve">Story CHAR-206</t>
  </si>
  <si>
    <t xml:space="preserve">Story CHAR-207</t>
  </si>
  <si>
    <t xml:space="preserve">Story CHAR-208</t>
  </si>
  <si>
    <t xml:space="preserve">Story CHAR-209</t>
  </si>
  <si>
    <t xml:space="preserve">Story CHAR-210</t>
  </si>
  <si>
    <t xml:space="preserve">Story DELT-165</t>
  </si>
  <si>
    <t xml:space="preserve">Delta-10</t>
  </si>
  <si>
    <t xml:space="preserve">Story DELT-166</t>
  </si>
  <si>
    <t xml:space="preserve">Story DELT-167</t>
  </si>
  <si>
    <t xml:space="preserve">Story DELT-168</t>
  </si>
  <si>
    <t xml:space="preserve">Delta-3</t>
  </si>
  <si>
    <t xml:space="preserve">Story DELT-169</t>
  </si>
  <si>
    <t xml:space="preserve">Delta-2</t>
  </si>
  <si>
    <t xml:space="preserve">Story DELT-170</t>
  </si>
  <si>
    <t xml:space="preserve">Story DELT-171</t>
  </si>
  <si>
    <t xml:space="preserve">Story DELT-172</t>
  </si>
  <si>
    <t xml:space="preserve">Story DELT-173</t>
  </si>
  <si>
    <t xml:space="preserve">Story ECHO-207</t>
  </si>
  <si>
    <t xml:space="preserve">Story ECHO-208</t>
  </si>
  <si>
    <t xml:space="preserve">Story ECHO-209</t>
  </si>
  <si>
    <t xml:space="preserve">Story ECHO-210</t>
  </si>
  <si>
    <t xml:space="preserve">Story ECHO-211</t>
  </si>
  <si>
    <t xml:space="preserve">Story ECHO-212</t>
  </si>
  <si>
    <t xml:space="preserve">Story ECHO-213</t>
  </si>
  <si>
    <t xml:space="preserve">Echo-1</t>
  </si>
  <si>
    <t xml:space="preserve">Story FOXT-177</t>
  </si>
  <si>
    <t xml:space="preserve">Story FOXT-178</t>
  </si>
  <si>
    <t xml:space="preserve">Story FOXT-179</t>
  </si>
  <si>
    <t xml:space="preserve">Story FOXT-180</t>
  </si>
  <si>
    <t xml:space="preserve">Story FOXT-181</t>
  </si>
  <si>
    <t xml:space="preserve">Story FOXT-182</t>
  </si>
  <si>
    <t xml:space="preserve">Story GOLF-199</t>
  </si>
  <si>
    <t xml:space="preserve">Story GOLF-200</t>
  </si>
  <si>
    <t xml:space="preserve">Story GOLF-201</t>
  </si>
  <si>
    <t xml:space="preserve">Story HOTL-183</t>
  </si>
  <si>
    <t xml:space="preserve">Story HOTL-184</t>
  </si>
  <si>
    <t xml:space="preserve">Story HOTL-185</t>
  </si>
  <si>
    <t xml:space="preserve">Story INDI-172</t>
  </si>
  <si>
    <t xml:space="preserve">Story INDI-173</t>
  </si>
  <si>
    <t xml:space="preserve">Story INDI-174</t>
  </si>
  <si>
    <t xml:space="preserve">Story INDI-175</t>
  </si>
  <si>
    <t xml:space="preserve">Story INDI-176</t>
  </si>
  <si>
    <t xml:space="preserve">Story INDI-177</t>
  </si>
  <si>
    <t xml:space="preserve">Story JULI-173</t>
  </si>
  <si>
    <t xml:space="preserve">Story JULI-174</t>
  </si>
  <si>
    <t xml:space="preserve">Story JULI-175</t>
  </si>
  <si>
    <t xml:space="preserve">Story JULI-176</t>
  </si>
  <si>
    <t xml:space="preserve">Story JULI-177</t>
  </si>
  <si>
    <t xml:space="preserve">Story JULI-178</t>
  </si>
  <si>
    <t xml:space="preserve">Story ALPH-192</t>
  </si>
  <si>
    <t xml:space="preserve">Story ALPH-193</t>
  </si>
  <si>
    <t xml:space="preserve">Story ALPH-194</t>
  </si>
  <si>
    <t xml:space="preserve">Story ALPH-195</t>
  </si>
  <si>
    <t xml:space="preserve">Story ALPH-196</t>
  </si>
  <si>
    <t xml:space="preserve">Story ALPH-197</t>
  </si>
  <si>
    <t xml:space="preserve">Story ALPH-198</t>
  </si>
  <si>
    <t xml:space="preserve">Story ALPH-199</t>
  </si>
  <si>
    <t xml:space="preserve">Story BRAV-188</t>
  </si>
  <si>
    <t xml:space="preserve">Story BRAV-189</t>
  </si>
  <si>
    <t xml:space="preserve">Story BRAV-190</t>
  </si>
  <si>
    <t xml:space="preserve">Story BRAV-191</t>
  </si>
  <si>
    <t xml:space="preserve">Story BRAV-192</t>
  </si>
  <si>
    <t xml:space="preserve">Story CHAR-211</t>
  </si>
  <si>
    <t xml:space="preserve">Story CHAR-212</t>
  </si>
  <si>
    <t xml:space="preserve">Story CHAR-213</t>
  </si>
  <si>
    <t xml:space="preserve">Story CHAR-214</t>
  </si>
  <si>
    <t xml:space="preserve">Story CHAR-215</t>
  </si>
  <si>
    <t xml:space="preserve">Story CHAR-216</t>
  </si>
  <si>
    <t xml:space="preserve">Story CHAR-217</t>
  </si>
  <si>
    <t xml:space="preserve">Story DELT-174</t>
  </si>
  <si>
    <t xml:space="preserve">Story DELT-175</t>
  </si>
  <si>
    <t xml:space="preserve">Story DELT-176</t>
  </si>
  <si>
    <t xml:space="preserve">Story DELT-177</t>
  </si>
  <si>
    <t xml:space="preserve">Story DELT-178</t>
  </si>
  <si>
    <t xml:space="preserve">Story DELT-179</t>
  </si>
  <si>
    <t xml:space="preserve">Story DELT-180</t>
  </si>
  <si>
    <t xml:space="preserve">Story ECHO-214</t>
  </si>
  <si>
    <t xml:space="preserve">Story ECHO-215</t>
  </si>
  <si>
    <t xml:space="preserve">Story ECHO-216</t>
  </si>
  <si>
    <t xml:space="preserve">Story ECHO-217</t>
  </si>
  <si>
    <t xml:space="preserve">Story ECHO-218</t>
  </si>
  <si>
    <t xml:space="preserve">Story ECHO-219</t>
  </si>
  <si>
    <t xml:space="preserve">Story FOXT-183</t>
  </si>
  <si>
    <t xml:space="preserve">Story FOXT-184</t>
  </si>
  <si>
    <t xml:space="preserve">Foxtrot-6</t>
  </si>
  <si>
    <t xml:space="preserve">Story FOXT-185</t>
  </si>
  <si>
    <t xml:space="preserve">Story FOXT-186</t>
  </si>
  <si>
    <t xml:space="preserve">Story FOXT-187</t>
  </si>
  <si>
    <t xml:space="preserve">Story FOXT-188</t>
  </si>
  <si>
    <t xml:space="preserve">Story FOXT-189</t>
  </si>
  <si>
    <t xml:space="preserve">Story GOLF-202</t>
  </si>
  <si>
    <t xml:space="preserve">Story GOLF-203</t>
  </si>
  <si>
    <t xml:space="preserve">Story GOLF-204</t>
  </si>
  <si>
    <t xml:space="preserve">Story GOLF-205</t>
  </si>
  <si>
    <t xml:space="preserve">Story GOLF-206</t>
  </si>
  <si>
    <t xml:space="preserve">Story GOLF-207</t>
  </si>
  <si>
    <t xml:space="preserve">Story HOTL-186</t>
  </si>
  <si>
    <t xml:space="preserve">Story HOTL-187</t>
  </si>
  <si>
    <t xml:space="preserve">Story HOTL-188</t>
  </si>
  <si>
    <t xml:space="preserve">Story HOTL-189</t>
  </si>
  <si>
    <t xml:space="preserve">Story HOTL-190</t>
  </si>
  <si>
    <t xml:space="preserve">Hotel-1</t>
  </si>
  <si>
    <t xml:space="preserve">Story HOTL-191</t>
  </si>
  <si>
    <t xml:space="preserve">Story INDI-178</t>
  </si>
  <si>
    <t xml:space="preserve">Story INDI-179</t>
  </si>
  <si>
    <t xml:space="preserve">Story INDI-180</t>
  </si>
  <si>
    <t xml:space="preserve">Story INDI-181</t>
  </si>
  <si>
    <t xml:space="preserve">Story JULI-179</t>
  </si>
  <si>
    <t xml:space="preserve">Story JULI-180</t>
  </si>
  <si>
    <t xml:space="preserve">Story JULI-181</t>
  </si>
  <si>
    <t xml:space="preserve">Story JULI-182</t>
  </si>
  <si>
    <t xml:space="preserve">Story JULI-183</t>
  </si>
  <si>
    <t xml:space="preserve">Story JULI-184</t>
  </si>
  <si>
    <t xml:space="preserve">Story ALPH-200</t>
  </si>
  <si>
    <t xml:space="preserve">Story ALPH-201</t>
  </si>
  <si>
    <t xml:space="preserve">Story ALPH-202</t>
  </si>
  <si>
    <t xml:space="preserve">Story ALPH-203</t>
  </si>
  <si>
    <t xml:space="preserve">Story ALPH-204</t>
  </si>
  <si>
    <t xml:space="preserve">Story ALPH-205</t>
  </si>
  <si>
    <t xml:space="preserve">Story BRAV-193</t>
  </si>
  <si>
    <t xml:space="preserve">Story BRAV-194</t>
  </si>
  <si>
    <t xml:space="preserve">Story BRAV-195</t>
  </si>
  <si>
    <t xml:space="preserve">Story BRAV-196</t>
  </si>
  <si>
    <t xml:space="preserve">Story BRAV-197</t>
  </si>
  <si>
    <t xml:space="preserve">Story CHAR-218</t>
  </si>
  <si>
    <t xml:space="preserve">Story CHAR-219</t>
  </si>
  <si>
    <t xml:space="preserve">Story CHAR-220</t>
  </si>
  <si>
    <t xml:space="preserve">Story CHAR-221</t>
  </si>
  <si>
    <t xml:space="preserve">Story CHAR-222</t>
  </si>
  <si>
    <t xml:space="preserve">Story CHAR-223</t>
  </si>
  <si>
    <t xml:space="preserve">Story DELT-181</t>
  </si>
  <si>
    <t xml:space="preserve">Story DELT-182</t>
  </si>
  <si>
    <t xml:space="preserve">Story DELT-183</t>
  </si>
  <si>
    <t xml:space="preserve">Story DELT-184</t>
  </si>
  <si>
    <t xml:space="preserve">Story DELT-185</t>
  </si>
  <si>
    <t xml:space="preserve">Story ECHO-220</t>
  </si>
  <si>
    <t xml:space="preserve">Story ECHO-221</t>
  </si>
  <si>
    <t xml:space="preserve">Story ECHO-222</t>
  </si>
  <si>
    <t xml:space="preserve">Story ECHO-223</t>
  </si>
  <si>
    <t xml:space="preserve">Story ECHO-224</t>
  </si>
  <si>
    <t xml:space="preserve">Story ECHO-225</t>
  </si>
  <si>
    <t xml:space="preserve">Story FOXT-190</t>
  </si>
  <si>
    <t xml:space="preserve">Story FOXT-191</t>
  </si>
  <si>
    <t xml:space="preserve">Story FOXT-192</t>
  </si>
  <si>
    <t xml:space="preserve">Story FOXT-193</t>
  </si>
  <si>
    <t xml:space="preserve">Story FOXT-194</t>
  </si>
  <si>
    <t xml:space="preserve">Story FOXT-195</t>
  </si>
  <si>
    <t xml:space="preserve">Story GOLF-208</t>
  </si>
  <si>
    <t xml:space="preserve">Story GOLF-209</t>
  </si>
  <si>
    <t xml:space="preserve">Story GOLF-210</t>
  </si>
  <si>
    <t xml:space="preserve">Golf-8</t>
  </si>
  <si>
    <t xml:space="preserve">Story GOLF-211</t>
  </si>
  <si>
    <t xml:space="preserve">Story GOLF-212</t>
  </si>
  <si>
    <t xml:space="preserve">Story GOLF-213</t>
  </si>
  <si>
    <t xml:space="preserve">Story HOTL-192</t>
  </si>
  <si>
    <t xml:space="preserve">Story HOTL-193</t>
  </si>
  <si>
    <t xml:space="preserve">Story HOTL-194</t>
  </si>
  <si>
    <t xml:space="preserve">Story HOTL-195</t>
  </si>
  <si>
    <t xml:space="preserve">Story INDI-182</t>
  </si>
  <si>
    <t xml:space="preserve">India-7</t>
  </si>
  <si>
    <t xml:space="preserve">Story INDI-183</t>
  </si>
  <si>
    <t xml:space="preserve">Story INDI-184</t>
  </si>
  <si>
    <t xml:space="preserve">Story INDI-185</t>
  </si>
  <si>
    <t xml:space="preserve">Story INDI-186</t>
  </si>
  <si>
    <t xml:space="preserve">Story INDI-187</t>
  </si>
  <si>
    <t xml:space="preserve">Story INDI-188</t>
  </si>
  <si>
    <t xml:space="preserve">Story INDI-189</t>
  </si>
  <si>
    <t xml:space="preserve">Story INDI-190</t>
  </si>
  <si>
    <t xml:space="preserve">Story JULI-185</t>
  </si>
  <si>
    <t xml:space="preserve">Story JULI-186</t>
  </si>
  <si>
    <t xml:space="preserve">Story JULI-187</t>
  </si>
  <si>
    <t xml:space="preserve">Story JULI-188</t>
  </si>
  <si>
    <t xml:space="preserve">Story JULI-189</t>
  </si>
  <si>
    <t xml:space="preserve">Story JULI-190</t>
  </si>
  <si>
    <t xml:space="preserve">Story JULI-191</t>
  </si>
  <si>
    <t xml:space="preserve">Story JULI-192</t>
  </si>
  <si>
    <t xml:space="preserve">Story JULI-193</t>
  </si>
  <si>
    <t xml:space="preserve">Story ALPH-206</t>
  </si>
  <si>
    <t xml:space="preserve">Story ALPH-207</t>
  </si>
  <si>
    <t xml:space="preserve">Story ALPH-208</t>
  </si>
  <si>
    <t xml:space="preserve">Story ALPH-209</t>
  </si>
  <si>
    <t xml:space="preserve">Story BRAV-198</t>
  </si>
  <si>
    <t xml:space="preserve">Story BRAV-199</t>
  </si>
  <si>
    <t xml:space="preserve">Story BRAV-200</t>
  </si>
  <si>
    <t xml:space="preserve">Story BRAV-201</t>
  </si>
  <si>
    <t xml:space="preserve">Story BRAV-202</t>
  </si>
  <si>
    <t xml:space="preserve">Story CHAR-224</t>
  </si>
  <si>
    <t xml:space="preserve">Story CHAR-225</t>
  </si>
  <si>
    <t xml:space="preserve">Story CHAR-226</t>
  </si>
  <si>
    <t xml:space="preserve">Story CHAR-227</t>
  </si>
  <si>
    <t xml:space="preserve">Story CHAR-228</t>
  </si>
  <si>
    <t xml:space="preserve">Story CHAR-229</t>
  </si>
  <si>
    <t xml:space="preserve">Story CHAR-230</t>
  </si>
  <si>
    <t xml:space="preserve">Story DELT-186</t>
  </si>
  <si>
    <t xml:space="preserve">Story DELT-187</t>
  </si>
  <si>
    <t xml:space="preserve">Story DELT-188</t>
  </si>
  <si>
    <t xml:space="preserve">Story DELT-189</t>
  </si>
  <si>
    <t xml:space="preserve">Story DELT-190</t>
  </si>
  <si>
    <t xml:space="preserve">Story DELT-191</t>
  </si>
  <si>
    <t xml:space="preserve">Story DELT-192</t>
  </si>
  <si>
    <t xml:space="preserve">Story ECHO-226</t>
  </si>
  <si>
    <t xml:space="preserve">Story ECHO-227</t>
  </si>
  <si>
    <t xml:space="preserve">Story ECHO-228</t>
  </si>
  <si>
    <t xml:space="preserve">Story ECHO-229</t>
  </si>
  <si>
    <t xml:space="preserve">Story ECHO-230</t>
  </si>
  <si>
    <t xml:space="preserve">Story ECHO-231</t>
  </si>
  <si>
    <t xml:space="preserve">Story FOXT-196</t>
  </si>
  <si>
    <t xml:space="preserve">Story FOXT-197</t>
  </si>
  <si>
    <t xml:space="preserve">Story FOXT-198</t>
  </si>
  <si>
    <t xml:space="preserve">Story GOLF-214</t>
  </si>
  <si>
    <t xml:space="preserve">Story GOLF-215</t>
  </si>
  <si>
    <t xml:space="preserve">Story GOLF-216</t>
  </si>
  <si>
    <t xml:space="preserve">Story GOLF-217</t>
  </si>
  <si>
    <t xml:space="preserve">Story GOLF-218</t>
  </si>
  <si>
    <t xml:space="preserve">Story GOLF-219</t>
  </si>
  <si>
    <t xml:space="preserve">Story HOTL-196</t>
  </si>
  <si>
    <t xml:space="preserve">Story HOTL-197</t>
  </si>
  <si>
    <t xml:space="preserve">Story HOTL-198</t>
  </si>
  <si>
    <t xml:space="preserve">Story HOTL-199</t>
  </si>
  <si>
    <t xml:space="preserve">Story HOTL-200</t>
  </si>
  <si>
    <t xml:space="preserve">Story INDI-191</t>
  </si>
  <si>
    <t xml:space="preserve">Story INDI-192</t>
  </si>
  <si>
    <t xml:space="preserve">Story INDI-193</t>
  </si>
  <si>
    <t xml:space="preserve">Story INDI-194</t>
  </si>
  <si>
    <t xml:space="preserve">Story INDI-195</t>
  </si>
  <si>
    <t xml:space="preserve">Story JULI-194</t>
  </si>
  <si>
    <t xml:space="preserve">Story JULI-195</t>
  </si>
  <si>
    <t xml:space="preserve">Story JULI-196</t>
  </si>
  <si>
    <t xml:space="preserve">Story JULI-197</t>
  </si>
  <si>
    <t xml:space="preserve">Story JULI-198</t>
  </si>
  <si>
    <t xml:space="preserve">Story JULI-199</t>
  </si>
  <si>
    <t xml:space="preserve">Story JULI-200</t>
  </si>
  <si>
    <t xml:space="preserve">Story ALPH-210</t>
  </si>
  <si>
    <t xml:space="preserve">Story ALPH-211</t>
  </si>
  <si>
    <t xml:space="preserve">Story ALPH-212</t>
  </si>
  <si>
    <t xml:space="preserve">Story BRAV-203</t>
  </si>
  <si>
    <t xml:space="preserve">Story BRAV-204</t>
  </si>
  <si>
    <t xml:space="preserve">Story BRAV-205</t>
  </si>
  <si>
    <t xml:space="preserve">Story CHAR-231</t>
  </si>
  <si>
    <t xml:space="preserve">Charlie-2</t>
  </si>
  <si>
    <t xml:space="preserve">Story CHAR-232</t>
  </si>
  <si>
    <t xml:space="preserve">Story CHAR-233</t>
  </si>
  <si>
    <t xml:space="preserve">Story CHAR-234</t>
  </si>
  <si>
    <t xml:space="preserve">Story CHAR-235</t>
  </si>
  <si>
    <t xml:space="preserve">Story CHAR-236</t>
  </si>
  <si>
    <t xml:space="preserve">Story CHAR-237</t>
  </si>
  <si>
    <t xml:space="preserve">Story CHAR-238</t>
  </si>
  <si>
    <t xml:space="preserve">Story DELT-193</t>
  </si>
  <si>
    <t xml:space="preserve">Story DELT-194</t>
  </si>
  <si>
    <t xml:space="preserve">Story DELT-195</t>
  </si>
  <si>
    <t xml:space="preserve">Story DELT-196</t>
  </si>
  <si>
    <t xml:space="preserve">Story DELT-197</t>
  </si>
  <si>
    <t xml:space="preserve">Story ECHO-232</t>
  </si>
  <si>
    <t xml:space="preserve">Story ECHO-233</t>
  </si>
  <si>
    <t xml:space="preserve">Story ECHO-234</t>
  </si>
  <si>
    <t xml:space="preserve">Story ECHO-235</t>
  </si>
  <si>
    <t xml:space="preserve">Story ECHO-236</t>
  </si>
  <si>
    <t xml:space="preserve">Story FOXT-199</t>
  </si>
  <si>
    <t xml:space="preserve">Story FOXT-200</t>
  </si>
  <si>
    <t xml:space="preserve">Story FOXT-201</t>
  </si>
  <si>
    <t xml:space="preserve">Story FOXT-202</t>
  </si>
  <si>
    <t xml:space="preserve">Story FOXT-203</t>
  </si>
  <si>
    <t xml:space="preserve">Story FOXT-204</t>
  </si>
  <si>
    <t xml:space="preserve">Story FOXT-205</t>
  </si>
  <si>
    <t xml:space="preserve">Story FOXT-206</t>
  </si>
  <si>
    <t xml:space="preserve">Story FOXT-207</t>
  </si>
  <si>
    <t xml:space="preserve">Story GOLF-220</t>
  </si>
  <si>
    <t xml:space="preserve">Story GOLF-221</t>
  </si>
  <si>
    <t xml:space="preserve">Story GOLF-222</t>
  </si>
  <si>
    <t xml:space="preserve">Story GOLF-223</t>
  </si>
  <si>
    <t xml:space="preserve">Story GOLF-224</t>
  </si>
  <si>
    <t xml:space="preserve">Story HOTL-201</t>
  </si>
  <si>
    <t xml:space="preserve">Story HOTL-202</t>
  </si>
  <si>
    <t xml:space="preserve">Story HOTL-203</t>
  </si>
  <si>
    <t xml:space="preserve">Story HOTL-204</t>
  </si>
  <si>
    <t xml:space="preserve">Story INDI-196</t>
  </si>
  <si>
    <t xml:space="preserve">Story INDI-197</t>
  </si>
  <si>
    <t xml:space="preserve">Story INDI-198</t>
  </si>
  <si>
    <t xml:space="preserve">Story INDI-199</t>
  </si>
  <si>
    <t xml:space="preserve">Story JULI-201</t>
  </si>
  <si>
    <t xml:space="preserve">Story JULI-202</t>
  </si>
  <si>
    <t xml:space="preserve">Story JULI-203</t>
  </si>
  <si>
    <t xml:space="preserve">Story JULI-204</t>
  </si>
  <si>
    <t xml:space="preserve">Story JULI-205</t>
  </si>
  <si>
    <t xml:space="preserve">Story JULI-206</t>
  </si>
  <si>
    <t xml:space="preserve">Story JULI-207</t>
  </si>
  <si>
    <t xml:space="preserve">Story ALPH-213</t>
  </si>
  <si>
    <t xml:space="preserve">Story ALPH-214</t>
  </si>
  <si>
    <t xml:space="preserve">Story ALPH-215</t>
  </si>
  <si>
    <t xml:space="preserve">Story ALPH-216</t>
  </si>
  <si>
    <t xml:space="preserve">Story ALPH-217</t>
  </si>
  <si>
    <t xml:space="preserve">Story ALPH-218</t>
  </si>
  <si>
    <t xml:space="preserve">Story BRAV-206</t>
  </si>
  <si>
    <t xml:space="preserve">Story BRAV-207</t>
  </si>
  <si>
    <t xml:space="preserve">Story BRAV-208</t>
  </si>
  <si>
    <t xml:space="preserve">Story BRAV-209</t>
  </si>
  <si>
    <t xml:space="preserve">Story BRAV-210</t>
  </si>
  <si>
    <t xml:space="preserve">Story BRAV-211</t>
  </si>
  <si>
    <t xml:space="preserve">Story BRAV-212</t>
  </si>
  <si>
    <t xml:space="preserve">Story CHAR-239</t>
  </si>
  <si>
    <t xml:space="preserve">Story CHAR-240</t>
  </si>
  <si>
    <t xml:space="preserve">Story CHAR-241</t>
  </si>
  <si>
    <t xml:space="preserve">Story DELT-198</t>
  </si>
  <si>
    <t xml:space="preserve">Story DELT-199</t>
  </si>
  <si>
    <t xml:space="preserve">Story DELT-200</t>
  </si>
  <si>
    <t xml:space="preserve">Story DELT-201</t>
  </si>
  <si>
    <t xml:space="preserve">Story ECHO-237</t>
  </si>
  <si>
    <t xml:space="preserve">Story ECHO-238</t>
  </si>
  <si>
    <t xml:space="preserve">Story ECHO-239</t>
  </si>
  <si>
    <t xml:space="preserve">Story ECHO-240</t>
  </si>
  <si>
    <t xml:space="preserve">Story ECHO-241</t>
  </si>
  <si>
    <t xml:space="preserve">Story ECHO-242</t>
  </si>
  <si>
    <t xml:space="preserve">Story FOXT-208</t>
  </si>
  <si>
    <t xml:space="preserve">Story FOXT-209</t>
  </si>
  <si>
    <t xml:space="preserve">Story FOXT-210</t>
  </si>
  <si>
    <t xml:space="preserve">Story FOXT-211</t>
  </si>
  <si>
    <t xml:space="preserve">Story GOLF-225</t>
  </si>
  <si>
    <t xml:space="preserve">Story GOLF-226</t>
  </si>
  <si>
    <t xml:space="preserve">Story GOLF-227</t>
  </si>
  <si>
    <t xml:space="preserve">Story GOLF-228</t>
  </si>
  <si>
    <t xml:space="preserve">Story GOLF-229</t>
  </si>
  <si>
    <t xml:space="preserve">Story GOLF-230</t>
  </si>
  <si>
    <t xml:space="preserve">Story HOTL-205</t>
  </si>
  <si>
    <t xml:space="preserve">Story HOTL-206</t>
  </si>
  <si>
    <t xml:space="preserve">Story HOTL-207</t>
  </si>
  <si>
    <t xml:space="preserve">Story INDI-200</t>
  </si>
  <si>
    <t xml:space="preserve">Story INDI-201</t>
  </si>
  <si>
    <t xml:space="preserve">Story INDI-202</t>
  </si>
  <si>
    <t xml:space="preserve">Story INDI-203</t>
  </si>
  <si>
    <t xml:space="preserve">Story INDI-204</t>
  </si>
  <si>
    <t xml:space="preserve">Story JULI-208</t>
  </si>
  <si>
    <t xml:space="preserve">Story JULI-209</t>
  </si>
  <si>
    <t xml:space="preserve">Story JULI-210</t>
  </si>
  <si>
    <t xml:space="preserve">Story JULI-211</t>
  </si>
  <si>
    <t xml:space="preserve">Story JULI-212</t>
  </si>
  <si>
    <t xml:space="preserve">Story ALPH-219</t>
  </si>
  <si>
    <t xml:space="preserve">Story ALPH-220</t>
  </si>
  <si>
    <t xml:space="preserve">Story ALPH-221</t>
  </si>
  <si>
    <t xml:space="preserve">Story ALPH-222</t>
  </si>
  <si>
    <t xml:space="preserve">Story BRAV-213</t>
  </si>
  <si>
    <t xml:space="preserve">Story BRAV-214</t>
  </si>
  <si>
    <t xml:space="preserve">Story BRAV-215</t>
  </si>
  <si>
    <t xml:space="preserve">Story BRAV-216</t>
  </si>
  <si>
    <t xml:space="preserve">Story BRAV-217</t>
  </si>
  <si>
    <t xml:space="preserve">Story BRAV-218</t>
  </si>
  <si>
    <t xml:space="preserve">Story BRAV-219</t>
  </si>
  <si>
    <t xml:space="preserve">Story BRAV-220</t>
  </si>
  <si>
    <t xml:space="preserve">Story BRAV-221</t>
  </si>
  <si>
    <t xml:space="preserve">Story CHAR-242</t>
  </si>
  <si>
    <t xml:space="preserve">Story CHAR-243</t>
  </si>
  <si>
    <t xml:space="preserve">Story CHAR-244</t>
  </si>
  <si>
    <t xml:space="preserve">Story CHAR-245</t>
  </si>
  <si>
    <t xml:space="preserve">Story CHAR-246</t>
  </si>
  <si>
    <t xml:space="preserve">Story CHAR-247</t>
  </si>
  <si>
    <t xml:space="preserve">Story CHAR-248</t>
  </si>
  <si>
    <t xml:space="preserve">Story DELT-202</t>
  </si>
  <si>
    <t xml:space="preserve">Story DELT-203</t>
  </si>
  <si>
    <t xml:space="preserve">Story DELT-204</t>
  </si>
  <si>
    <t xml:space="preserve">Story DELT-205</t>
  </si>
  <si>
    <t xml:space="preserve">Story DELT-206</t>
  </si>
  <si>
    <t xml:space="preserve">Story DELT-207</t>
  </si>
  <si>
    <t xml:space="preserve">Story DELT-208</t>
  </si>
  <si>
    <t xml:space="preserve">Story DELT-209</t>
  </si>
  <si>
    <t xml:space="preserve">Story ECHO-243</t>
  </si>
  <si>
    <t xml:space="preserve">Story ECHO-244</t>
  </si>
  <si>
    <t xml:space="preserve">Story ECHO-245</t>
  </si>
  <si>
    <t xml:space="preserve">Story ECHO-246</t>
  </si>
  <si>
    <t xml:space="preserve">Story ECHO-247</t>
  </si>
  <si>
    <t xml:space="preserve">Story ECHO-248</t>
  </si>
  <si>
    <t xml:space="preserve">Story ECHO-249</t>
  </si>
  <si>
    <t xml:space="preserve">Story ECHO-250</t>
  </si>
  <si>
    <t xml:space="preserve">Story ECHO-251</t>
  </si>
  <si>
    <t xml:space="preserve">Story ECHO-252</t>
  </si>
  <si>
    <t xml:space="preserve">Story ECHO-253</t>
  </si>
  <si>
    <t xml:space="preserve">Story ECHO-254</t>
  </si>
  <si>
    <t xml:space="preserve">Story FOXT-212</t>
  </si>
  <si>
    <t xml:space="preserve">Story FOXT-213</t>
  </si>
  <si>
    <t xml:space="preserve">Story FOXT-214</t>
  </si>
  <si>
    <t xml:space="preserve">Story FOXT-215</t>
  </si>
  <si>
    <t xml:space="preserve">Story FOXT-216</t>
  </si>
  <si>
    <t xml:space="preserve">Story FOXT-217</t>
  </si>
  <si>
    <t xml:space="preserve">Story GOLF-231</t>
  </si>
  <si>
    <t xml:space="preserve">Story GOLF-232</t>
  </si>
  <si>
    <t xml:space="preserve">Story GOLF-233</t>
  </si>
  <si>
    <t xml:space="preserve">Story GOLF-234</t>
  </si>
  <si>
    <t xml:space="preserve">Story GOLF-235</t>
  </si>
  <si>
    <t xml:space="preserve">Story GOLF-236</t>
  </si>
  <si>
    <t xml:space="preserve">Story HOTL-208</t>
  </si>
  <si>
    <t xml:space="preserve">Story HOTL-209</t>
  </si>
  <si>
    <t xml:space="preserve">Story HOTL-210</t>
  </si>
  <si>
    <t xml:space="preserve">Story HOTL-211</t>
  </si>
  <si>
    <t xml:space="preserve">Story INDI-205</t>
  </si>
  <si>
    <t xml:space="preserve">Story INDI-206</t>
  </si>
  <si>
    <t xml:space="preserve">Story INDI-207</t>
  </si>
  <si>
    <t xml:space="preserve">Story JULI-213</t>
  </si>
  <si>
    <t xml:space="preserve">Story JULI-214</t>
  </si>
  <si>
    <t xml:space="preserve">Story JULI-215</t>
  </si>
  <si>
    <t xml:space="preserve">Story JULI-216</t>
  </si>
  <si>
    <t xml:space="preserve">Story JULI-217</t>
  </si>
  <si>
    <t xml:space="preserve">Story ALPH-223</t>
  </si>
  <si>
    <t xml:space="preserve">Story ALPH-224</t>
  </si>
  <si>
    <t xml:space="preserve">Story ALPH-225</t>
  </si>
  <si>
    <t xml:space="preserve">Story ALPH-226</t>
  </si>
  <si>
    <t xml:space="preserve">Story ALPH-227</t>
  </si>
  <si>
    <t xml:space="preserve">Story ALPH-228</t>
  </si>
  <si>
    <t xml:space="preserve">Story ALPH-229</t>
  </si>
  <si>
    <t xml:space="preserve">Story ALPH-230</t>
  </si>
  <si>
    <t xml:space="preserve">Story BRAV-222</t>
  </si>
  <si>
    <t xml:space="preserve">Story BRAV-223</t>
  </si>
  <si>
    <t xml:space="preserve">Story BRAV-224</t>
  </si>
  <si>
    <t xml:space="preserve">Story BRAV-225</t>
  </si>
  <si>
    <t xml:space="preserve">Story BRAV-226</t>
  </si>
  <si>
    <t xml:space="preserve">Story BRAV-227</t>
  </si>
  <si>
    <t xml:space="preserve">Story BRAV-228</t>
  </si>
  <si>
    <t xml:space="preserve">Story CHAR-249</t>
  </si>
  <si>
    <t xml:space="preserve">Story CHAR-250</t>
  </si>
  <si>
    <t xml:space="preserve">Story CHAR-251</t>
  </si>
  <si>
    <t xml:space="preserve">Story CHAR-252</t>
  </si>
  <si>
    <t xml:space="preserve">Story CHAR-253</t>
  </si>
  <si>
    <t xml:space="preserve">Story CHAR-254</t>
  </si>
  <si>
    <t xml:space="preserve">Story DELT-210</t>
  </si>
  <si>
    <t xml:space="preserve">Story DELT-211</t>
  </si>
  <si>
    <t xml:space="preserve">Story DELT-212</t>
  </si>
  <si>
    <t xml:space="preserve">Story DELT-213</t>
  </si>
  <si>
    <t xml:space="preserve">Story ECHO-255</t>
  </si>
  <si>
    <t xml:space="preserve">Story ECHO-256</t>
  </si>
  <si>
    <t xml:space="preserve">Story ECHO-257</t>
  </si>
  <si>
    <t xml:space="preserve">Story ECHO-258</t>
  </si>
  <si>
    <t xml:space="preserve">Story ECHO-259</t>
  </si>
  <si>
    <t xml:space="preserve">Story ECHO-260</t>
  </si>
  <si>
    <t xml:space="preserve">Story FOXT-218</t>
  </si>
  <si>
    <t xml:space="preserve">Story FOXT-219</t>
  </si>
  <si>
    <t xml:space="preserve">Story FOXT-220</t>
  </si>
  <si>
    <t xml:space="preserve">Story FOXT-221</t>
  </si>
  <si>
    <t xml:space="preserve">Story GOLF-237</t>
  </si>
  <si>
    <t xml:space="preserve">Story GOLF-238</t>
  </si>
  <si>
    <t xml:space="preserve">Story GOLF-239</t>
  </si>
  <si>
    <t xml:space="preserve">Story GOLF-240</t>
  </si>
  <si>
    <t xml:space="preserve">Story GOLF-241</t>
  </si>
  <si>
    <t xml:space="preserve">Story HOTL-212</t>
  </si>
  <si>
    <t xml:space="preserve">Story HOTL-213</t>
  </si>
  <si>
    <t xml:space="preserve">Story HOTL-214</t>
  </si>
  <si>
    <t xml:space="preserve">Story INDI-208</t>
  </si>
  <si>
    <t xml:space="preserve">Story INDI-209</t>
  </si>
  <si>
    <t xml:space="preserve">Story INDI-210</t>
  </si>
  <si>
    <t xml:space="preserve">Story INDI-211</t>
  </si>
  <si>
    <t xml:space="preserve">Story INDI-212</t>
  </si>
  <si>
    <t xml:space="preserve">Story INDI-213</t>
  </si>
  <si>
    <t xml:space="preserve">Story JULI-218</t>
  </si>
  <si>
    <t xml:space="preserve">Story JULI-219</t>
  </si>
  <si>
    <t xml:space="preserve">Story JULI-220</t>
  </si>
  <si>
    <t xml:space="preserve">Story JULI-221</t>
  </si>
  <si>
    <t xml:space="preserve">Story JULI-222</t>
  </si>
  <si>
    <t xml:space="preserve">Story ALPH-231</t>
  </si>
  <si>
    <t xml:space="preserve">Story ALPH-232</t>
  </si>
  <si>
    <t xml:space="preserve">Story ALPH-233</t>
  </si>
  <si>
    <t xml:space="preserve">Story ALPH-234</t>
  </si>
  <si>
    <t xml:space="preserve">Story ALPH-235</t>
  </si>
  <si>
    <t xml:space="preserve">Story ALPH-236</t>
  </si>
  <si>
    <t xml:space="preserve">Story ALPH-237</t>
  </si>
  <si>
    <t xml:space="preserve">Story ALPH-238</t>
  </si>
  <si>
    <t xml:space="preserve">Story ALPH-239</t>
  </si>
  <si>
    <t xml:space="preserve">Story BRAV-229</t>
  </si>
  <si>
    <t xml:space="preserve">Story BRAV-230</t>
  </si>
  <si>
    <t xml:space="preserve">Story BRAV-231</t>
  </si>
  <si>
    <t xml:space="preserve">Story BRAV-232</t>
  </si>
  <si>
    <t xml:space="preserve">Story CHAR-255</t>
  </si>
  <si>
    <t xml:space="preserve">Story CHAR-256</t>
  </si>
  <si>
    <t xml:space="preserve">Story CHAR-257</t>
  </si>
  <si>
    <t xml:space="preserve">Story CHAR-258</t>
  </si>
  <si>
    <t xml:space="preserve">Story CHAR-259</t>
  </si>
  <si>
    <t xml:space="preserve">Story CHAR-260</t>
  </si>
  <si>
    <t xml:space="preserve">Story CHAR-261</t>
  </si>
  <si>
    <t xml:space="preserve">Story CHAR-262</t>
  </si>
  <si>
    <t xml:space="preserve">Story CHAR-263</t>
  </si>
  <si>
    <t xml:space="preserve">Story DELT-214</t>
  </si>
  <si>
    <t xml:space="preserve">Story DELT-215</t>
  </si>
  <si>
    <t xml:space="preserve">Story DELT-216</t>
  </si>
  <si>
    <t xml:space="preserve">Story DELT-217</t>
  </si>
  <si>
    <t xml:space="preserve">Story DELT-218</t>
  </si>
  <si>
    <t xml:space="preserve">Story DELT-219</t>
  </si>
  <si>
    <t xml:space="preserve">Story ECHO-261</t>
  </si>
  <si>
    <t xml:space="preserve">Story ECHO-262</t>
  </si>
  <si>
    <t xml:space="preserve">Story ECHO-263</t>
  </si>
  <si>
    <t xml:space="preserve">Story ECHO-264</t>
  </si>
  <si>
    <t xml:space="preserve">Story ECHO-265</t>
  </si>
  <si>
    <t xml:space="preserve">Story ECHO-266</t>
  </si>
  <si>
    <t xml:space="preserve">Story ECHO-267</t>
  </si>
  <si>
    <t xml:space="preserve">Story FOXT-222</t>
  </si>
  <si>
    <t xml:space="preserve">Story FOXT-223</t>
  </si>
  <si>
    <t xml:space="preserve">Story FOXT-224</t>
  </si>
  <si>
    <t xml:space="preserve">Story FOXT-225</t>
  </si>
  <si>
    <t xml:space="preserve">Story FOXT-226</t>
  </si>
  <si>
    <t xml:space="preserve">Story FOXT-227</t>
  </si>
  <si>
    <t xml:space="preserve">Story GOLF-242</t>
  </si>
  <si>
    <t xml:space="preserve">Story GOLF-243</t>
  </si>
  <si>
    <t xml:space="preserve">Story GOLF-244</t>
  </si>
  <si>
    <t xml:space="preserve">Story HOTL-215</t>
  </si>
  <si>
    <t xml:space="preserve">Story HOTL-216</t>
  </si>
  <si>
    <t xml:space="preserve">Story HOTL-217</t>
  </si>
  <si>
    <t xml:space="preserve">Story HOTL-218</t>
  </si>
  <si>
    <t xml:space="preserve">Story HOTL-219</t>
  </si>
  <si>
    <t xml:space="preserve">Story HOTL-220</t>
  </si>
  <si>
    <t xml:space="preserve">Story HOTL-221</t>
  </si>
  <si>
    <t xml:space="preserve">Story INDI-214</t>
  </si>
  <si>
    <t xml:space="preserve">Story INDI-215</t>
  </si>
  <si>
    <t xml:space="preserve">Story INDI-216</t>
  </si>
  <si>
    <t xml:space="preserve">Story INDI-217</t>
  </si>
  <si>
    <t xml:space="preserve">Story INDI-218</t>
  </si>
  <si>
    <t xml:space="preserve">Story JULI-223</t>
  </si>
  <si>
    <t xml:space="preserve">Story JULI-224</t>
  </si>
  <si>
    <t xml:space="preserve">Story JULI-225</t>
  </si>
  <si>
    <t xml:space="preserve">Story JULI-226</t>
  </si>
  <si>
    <t xml:space="preserve">Story ALPH-240</t>
  </si>
  <si>
    <t xml:space="preserve">Story ALPH-241</t>
  </si>
  <si>
    <t xml:space="preserve">Story ALPH-242</t>
  </si>
  <si>
    <t xml:space="preserve">Story ALPH-243</t>
  </si>
  <si>
    <t xml:space="preserve">Story ALPH-244</t>
  </si>
  <si>
    <t xml:space="preserve">Story BRAV-233</t>
  </si>
  <si>
    <t xml:space="preserve">Story BRAV-234</t>
  </si>
  <si>
    <t xml:space="preserve">Story BRAV-235</t>
  </si>
  <si>
    <t xml:space="preserve">Story CHAR-264</t>
  </si>
  <si>
    <t xml:space="preserve">Story CHAR-265</t>
  </si>
  <si>
    <t xml:space="preserve">Story CHAR-266</t>
  </si>
  <si>
    <t xml:space="preserve">Story DELT-220</t>
  </si>
  <si>
    <t xml:space="preserve">Story DELT-221</t>
  </si>
  <si>
    <t xml:space="preserve">Story DELT-222</t>
  </si>
  <si>
    <t xml:space="preserve">Story DELT-223</t>
  </si>
  <si>
    <t xml:space="preserve">Story DELT-224</t>
  </si>
  <si>
    <t xml:space="preserve">Story DELT-225</t>
  </si>
  <si>
    <t xml:space="preserve">Story DELT-226</t>
  </si>
  <si>
    <t xml:space="preserve">Story ECHO-268</t>
  </si>
  <si>
    <t xml:space="preserve">Story ECHO-269</t>
  </si>
  <si>
    <t xml:space="preserve">Story ECHO-270</t>
  </si>
  <si>
    <t xml:space="preserve">Story ECHO-271</t>
  </si>
  <si>
    <t xml:space="preserve">Story ECHO-272</t>
  </si>
  <si>
    <t xml:space="preserve">Story ECHO-273</t>
  </si>
  <si>
    <t xml:space="preserve">Story FOXT-228</t>
  </si>
  <si>
    <t xml:space="preserve">Story FOXT-229</t>
  </si>
  <si>
    <t xml:space="preserve">Story FOXT-230</t>
  </si>
  <si>
    <t xml:space="preserve">Story FOXT-231</t>
  </si>
  <si>
    <t xml:space="preserve">Story GOLF-245</t>
  </si>
  <si>
    <t xml:space="preserve">Story GOLF-246</t>
  </si>
  <si>
    <t xml:space="preserve">Story GOLF-247</t>
  </si>
  <si>
    <t xml:space="preserve">Story GOLF-248</t>
  </si>
  <si>
    <t xml:space="preserve">Story HOTL-222</t>
  </si>
  <si>
    <t xml:space="preserve">Story HOTL-223</t>
  </si>
  <si>
    <t xml:space="preserve">Story HOTL-224</t>
  </si>
  <si>
    <t xml:space="preserve">Story HOTL-225</t>
  </si>
  <si>
    <t xml:space="preserve">Story HOTL-226</t>
  </si>
  <si>
    <t xml:space="preserve">Story INDI-219</t>
  </si>
  <si>
    <t xml:space="preserve">Story INDI-220</t>
  </si>
  <si>
    <t xml:space="preserve">Story INDI-221</t>
  </si>
  <si>
    <t xml:space="preserve">Story INDI-222</t>
  </si>
  <si>
    <t xml:space="preserve">Story JULI-227</t>
  </si>
  <si>
    <t xml:space="preserve">Story JULI-228</t>
  </si>
  <si>
    <t xml:space="preserve">Story JULI-229</t>
  </si>
  <si>
    <t xml:space="preserve">Story JULI-230</t>
  </si>
  <si>
    <t xml:space="preserve">Story JULI-231</t>
  </si>
  <si>
    <t xml:space="preserve">Story JULI-232</t>
  </si>
  <si>
    <t xml:space="preserve">Story JULI-233</t>
  </si>
  <si>
    <t xml:space="preserve">Story JULI-234</t>
  </si>
  <si>
    <t xml:space="preserve">Story JULI-235</t>
  </si>
  <si>
    <t xml:space="preserve">Story ALPH-245</t>
  </si>
  <si>
    <t xml:space="preserve">Story ALPH-246</t>
  </si>
  <si>
    <t xml:space="preserve">Story ALPH-247</t>
  </si>
  <si>
    <t xml:space="preserve">Story ALPH-248</t>
  </si>
  <si>
    <t xml:space="preserve">Story ALPH-249</t>
  </si>
  <si>
    <t xml:space="preserve">Story ALPH-250</t>
  </si>
  <si>
    <t xml:space="preserve">Story ALPH-251</t>
  </si>
  <si>
    <t xml:space="preserve">Story ALPH-252</t>
  </si>
  <si>
    <t xml:space="preserve">Story BRAV-236</t>
  </si>
  <si>
    <t xml:space="preserve">Story BRAV-237</t>
  </si>
  <si>
    <t xml:space="preserve">Story BRAV-238</t>
  </si>
  <si>
    <t xml:space="preserve">Story BRAV-239</t>
  </si>
  <si>
    <t xml:space="preserve">Story BRAV-240</t>
  </si>
  <si>
    <t xml:space="preserve">Story BRAV-241</t>
  </si>
  <si>
    <t xml:space="preserve">Story BRAV-242</t>
  </si>
  <si>
    <t xml:space="preserve">Story CHAR-267</t>
  </si>
  <si>
    <t xml:space="preserve">Story CHAR-268</t>
  </si>
  <si>
    <t xml:space="preserve">Story CHAR-269</t>
  </si>
  <si>
    <t xml:space="preserve">Story CHAR-270</t>
  </si>
  <si>
    <t xml:space="preserve">Story CHAR-271</t>
  </si>
  <si>
    <t xml:space="preserve">Story CHAR-272</t>
  </si>
  <si>
    <t xml:space="preserve">Story CHAR-273</t>
  </si>
  <si>
    <t xml:space="preserve">Story DELT-227</t>
  </si>
  <si>
    <t xml:space="preserve">Story DELT-228</t>
  </si>
  <si>
    <t xml:space="preserve">Story DELT-229</t>
  </si>
  <si>
    <t xml:space="preserve">Story DELT-230</t>
  </si>
  <si>
    <t xml:space="preserve">Story DELT-231</t>
  </si>
  <si>
    <t xml:space="preserve">Story DELT-232</t>
  </si>
  <si>
    <t xml:space="preserve">Story ECHO-274</t>
  </si>
  <si>
    <t xml:space="preserve">Story ECHO-275</t>
  </si>
  <si>
    <t xml:space="preserve">Story ECHO-276</t>
  </si>
  <si>
    <t xml:space="preserve">Story ECHO-277</t>
  </si>
  <si>
    <t xml:space="preserve">Story ECHO-278</t>
  </si>
  <si>
    <t xml:space="preserve">Story ECHO-279</t>
  </si>
  <si>
    <t xml:space="preserve">Story ECHO-280</t>
  </si>
  <si>
    <t xml:space="preserve">Story ECHO-281</t>
  </si>
  <si>
    <t xml:space="preserve">Story FOXT-232</t>
  </si>
  <si>
    <t xml:space="preserve">Story FOXT-233</t>
  </si>
  <si>
    <t xml:space="preserve">Story FOXT-234</t>
  </si>
  <si>
    <t xml:space="preserve">Story FOXT-235</t>
  </si>
  <si>
    <t xml:space="preserve">Story FOXT-236</t>
  </si>
  <si>
    <t xml:space="preserve">Story GOLF-249</t>
  </si>
  <si>
    <t xml:space="preserve">Story GOLF-250</t>
  </si>
  <si>
    <t xml:space="preserve">Story GOLF-251</t>
  </si>
  <si>
    <t xml:space="preserve">Story GOLF-252</t>
  </si>
  <si>
    <t xml:space="preserve">Story GOLF-253</t>
  </si>
  <si>
    <t xml:space="preserve">Story GOLF-254</t>
  </si>
  <si>
    <t xml:space="preserve">Story HOTL-227</t>
  </si>
  <si>
    <t xml:space="preserve">Story HOTL-228</t>
  </si>
  <si>
    <t xml:space="preserve">Story HOTL-229</t>
  </si>
  <si>
    <t xml:space="preserve">Story HOTL-230</t>
  </si>
  <si>
    <t xml:space="preserve">Story HOTL-231</t>
  </si>
  <si>
    <t xml:space="preserve">Story HOTL-232</t>
  </si>
  <si>
    <t xml:space="preserve">Story HOTL-233</t>
  </si>
  <si>
    <t xml:space="preserve">Story INDI-223</t>
  </si>
  <si>
    <t xml:space="preserve">Story INDI-224</t>
  </si>
  <si>
    <t xml:space="preserve">Story INDI-225</t>
  </si>
  <si>
    <t xml:space="preserve">Story INDI-226</t>
  </si>
  <si>
    <t xml:space="preserve">Story INDI-227</t>
  </si>
  <si>
    <t xml:space="preserve">Story INDI-228</t>
  </si>
  <si>
    <t xml:space="preserve">Story INDI-229</t>
  </si>
  <si>
    <t xml:space="preserve">Story INDI-230</t>
  </si>
  <si>
    <t xml:space="preserve">Story JULI-236</t>
  </si>
  <si>
    <t xml:space="preserve">Story JULI-237</t>
  </si>
  <si>
    <t xml:space="preserve">Story JULI-238</t>
  </si>
  <si>
    <t xml:space="preserve">Story JULI-239</t>
  </si>
  <si>
    <t xml:space="preserve">Story JULI-240</t>
  </si>
  <si>
    <t xml:space="preserve">Story JULI-241</t>
  </si>
  <si>
    <t xml:space="preserve">Story JULI-242</t>
  </si>
  <si>
    <t xml:space="preserve">Story JULI-243</t>
  </si>
  <si>
    <t xml:space="preserve">Story JULI-244</t>
  </si>
  <si>
    <t xml:space="preserve">Story ALPH-253</t>
  </si>
  <si>
    <t xml:space="preserve">Story ALPH-254</t>
  </si>
  <si>
    <t xml:space="preserve">Story ALPH-255</t>
  </si>
  <si>
    <t xml:space="preserve">Story ALPH-256</t>
  </si>
  <si>
    <t xml:space="preserve">Story ALPH-257</t>
  </si>
  <si>
    <t xml:space="preserve">Story ALPH-258</t>
  </si>
  <si>
    <t xml:space="preserve">Story ALPH-259</t>
  </si>
  <si>
    <t xml:space="preserve">Story ALPH-260</t>
  </si>
  <si>
    <t xml:space="preserve">Story ALPH-261</t>
  </si>
  <si>
    <t xml:space="preserve">Story ALPH-262</t>
  </si>
  <si>
    <t xml:space="preserve">Story BRAV-243</t>
  </si>
  <si>
    <t xml:space="preserve">Story BRAV-244</t>
  </si>
  <si>
    <t xml:space="preserve">Story BRAV-245</t>
  </si>
  <si>
    <t xml:space="preserve">Story BRAV-246</t>
  </si>
  <si>
    <t xml:space="preserve">Story BRAV-247</t>
  </si>
  <si>
    <t xml:space="preserve">Story BRAV-248</t>
  </si>
  <si>
    <t xml:space="preserve">Story BRAV-249</t>
  </si>
  <si>
    <t xml:space="preserve">BRAV-250</t>
  </si>
  <si>
    <t xml:space="preserve">Story BRAV-250</t>
  </si>
  <si>
    <t xml:space="preserve">Story CHAR-274</t>
  </si>
  <si>
    <t xml:space="preserve">Story CHAR-275</t>
  </si>
  <si>
    <t xml:space="preserve">Story CHAR-276</t>
  </si>
  <si>
    <t xml:space="preserve">Story CHAR-277</t>
  </si>
  <si>
    <t xml:space="preserve">Story CHAR-278</t>
  </si>
  <si>
    <t xml:space="preserve">Story CHAR-279</t>
  </si>
  <si>
    <t xml:space="preserve">Story DELT-233</t>
  </si>
  <si>
    <t xml:space="preserve">Story DELT-234</t>
  </si>
  <si>
    <t xml:space="preserve">Story DELT-235</t>
  </si>
  <si>
    <t xml:space="preserve">Story DELT-236</t>
  </si>
  <si>
    <t xml:space="preserve">Story DELT-237</t>
  </si>
  <si>
    <t xml:space="preserve">Story DELT-238</t>
  </si>
  <si>
    <t xml:space="preserve">Story DELT-239</t>
  </si>
  <si>
    <t xml:space="preserve">Story ECHO-282</t>
  </si>
  <si>
    <t xml:space="preserve">Story ECHO-283</t>
  </si>
  <si>
    <t xml:space="preserve">Story ECHO-284</t>
  </si>
  <si>
    <t xml:space="preserve">Story ECHO-285</t>
  </si>
  <si>
    <t xml:space="preserve">Story ECHO-286</t>
  </si>
  <si>
    <t xml:space="preserve">Story ECHO-287</t>
  </si>
  <si>
    <t xml:space="preserve">Story ECHO-288</t>
  </si>
  <si>
    <t xml:space="preserve">Story ECHO-289</t>
  </si>
  <si>
    <t xml:space="preserve">Story ECHO-290</t>
  </si>
  <si>
    <t xml:space="preserve">Story FOXT-237</t>
  </si>
  <si>
    <t xml:space="preserve">Story FOXT-238</t>
  </si>
  <si>
    <t xml:space="preserve">Story FOXT-239</t>
  </si>
  <si>
    <t xml:space="preserve">Story FOXT-240</t>
  </si>
  <si>
    <t xml:space="preserve">Story FOXT-241</t>
  </si>
  <si>
    <t xml:space="preserve">Story FOXT-242</t>
  </si>
  <si>
    <t xml:space="preserve">Story FOXT-243</t>
  </si>
  <si>
    <t xml:space="preserve">Story FOXT-244</t>
  </si>
  <si>
    <t xml:space="preserve">Story FOXT-245</t>
  </si>
  <si>
    <t xml:space="preserve">Story FOXT-246</t>
  </si>
  <si>
    <t xml:space="preserve">Story GOLF-255</t>
  </si>
  <si>
    <t xml:space="preserve">Story GOLF-256</t>
  </si>
  <si>
    <t xml:space="preserve">Story GOLF-257</t>
  </si>
  <si>
    <t xml:space="preserve">GOLF-258</t>
  </si>
  <si>
    <t xml:space="preserve">Story GOLF-258</t>
  </si>
  <si>
    <t xml:space="preserve">GOLF-259</t>
  </si>
  <si>
    <t xml:space="preserve">Story GOLF-259</t>
  </si>
  <si>
    <t xml:space="preserve">Story HOTL-234</t>
  </si>
  <si>
    <t xml:space="preserve">Story HOTL-235</t>
  </si>
  <si>
    <t xml:space="preserve">Story HOTL-236</t>
  </si>
  <si>
    <t xml:space="preserve">Story HOTL-237</t>
  </si>
  <si>
    <t xml:space="preserve">Story INDI-231</t>
  </si>
  <si>
    <t xml:space="preserve">Story INDI-232</t>
  </si>
  <si>
    <t xml:space="preserve">Story INDI-233</t>
  </si>
  <si>
    <t xml:space="preserve">Story INDI-234</t>
  </si>
  <si>
    <t xml:space="preserve">Story INDI-235</t>
  </si>
  <si>
    <t xml:space="preserve">Story INDI-236</t>
  </si>
  <si>
    <t xml:space="preserve">Story INDI-237</t>
  </si>
  <si>
    <t xml:space="preserve">Story INDI-238</t>
  </si>
  <si>
    <t xml:space="preserve">Story INDI-239</t>
  </si>
  <si>
    <t xml:space="preserve">Story JULI-245</t>
  </si>
  <si>
    <t xml:space="preserve">Story JULI-246</t>
  </si>
  <si>
    <t xml:space="preserve">Story JULI-247</t>
  </si>
  <si>
    <t xml:space="preserve">Story JULI-248</t>
  </si>
  <si>
    <t xml:space="preserve">Story JULI-249</t>
  </si>
  <si>
    <t xml:space="preserve">Story JULI-250</t>
  </si>
  <si>
    <t xml:space="preserve">Story ALPH-263</t>
  </si>
  <si>
    <t xml:space="preserve">Story ALPH-264</t>
  </si>
  <si>
    <t xml:space="preserve">ALPH-265</t>
  </si>
  <si>
    <t xml:space="preserve">Story ALPH-265</t>
  </si>
  <si>
    <t xml:space="preserve">ALPH-266</t>
  </si>
  <si>
    <t xml:space="preserve">Story ALPH-266</t>
  </si>
  <si>
    <t xml:space="preserve">ALPH-267</t>
  </si>
  <si>
    <t xml:space="preserve">Story ALPH-267</t>
  </si>
  <si>
    <t xml:space="preserve">ALPH-268</t>
  </si>
  <si>
    <t xml:space="preserve">Story ALPH-268</t>
  </si>
  <si>
    <t xml:space="preserve">ALPH-269</t>
  </si>
  <si>
    <t xml:space="preserve">Story ALPH-269</t>
  </si>
  <si>
    <t xml:space="preserve">ALPH-270</t>
  </si>
  <si>
    <t xml:space="preserve">Story ALPH-270</t>
  </si>
  <si>
    <t xml:space="preserve">Story BRAV-251</t>
  </si>
  <si>
    <t xml:space="preserve">BRAV-252</t>
  </si>
  <si>
    <t xml:space="preserve">Story BRAV-252</t>
  </si>
  <si>
    <t xml:space="preserve">BRAV-253</t>
  </si>
  <si>
    <t xml:space="preserve">Story BRAV-253</t>
  </si>
  <si>
    <t xml:space="preserve">BRAV-254</t>
  </si>
  <si>
    <t xml:space="preserve">Story BRAV-254</t>
  </si>
  <si>
    <t xml:space="preserve">BRAV-255</t>
  </si>
  <si>
    <t xml:space="preserve">Story BRAV-255</t>
  </si>
  <si>
    <t xml:space="preserve">CHAR-280</t>
  </si>
  <si>
    <t xml:space="preserve">Story CHAR-280</t>
  </si>
  <si>
    <t xml:space="preserve">Story CHAR-281</t>
  </si>
  <si>
    <t xml:space="preserve">CHAR-282</t>
  </si>
  <si>
    <t xml:space="preserve">Story CHAR-282</t>
  </si>
  <si>
    <t xml:space="preserve">Story CHAR-283</t>
  </si>
  <si>
    <t xml:space="preserve">CHAR-284</t>
  </si>
  <si>
    <t xml:space="preserve">Story CHAR-284</t>
  </si>
  <si>
    <t xml:space="preserve">CHAR-285</t>
  </si>
  <si>
    <t xml:space="preserve">Story CHAR-285</t>
  </si>
  <si>
    <t xml:space="preserve">CHAR-286</t>
  </si>
  <si>
    <t xml:space="preserve">Story CHAR-286</t>
  </si>
  <si>
    <t xml:space="preserve">CHAR-287</t>
  </si>
  <si>
    <t xml:space="preserve">Story CHAR-287</t>
  </si>
  <si>
    <t xml:space="preserve">Story DELT-240</t>
  </si>
  <si>
    <t xml:space="preserve">DELT-241</t>
  </si>
  <si>
    <t xml:space="preserve">Story DELT-241</t>
  </si>
  <si>
    <t xml:space="preserve">DELT-242</t>
  </si>
  <si>
    <t xml:space="preserve">Story DELT-242</t>
  </si>
  <si>
    <t xml:space="preserve">DELT-243</t>
  </si>
  <si>
    <t xml:space="preserve">Story DELT-243</t>
  </si>
  <si>
    <t xml:space="preserve">DELT-244</t>
  </si>
  <si>
    <t xml:space="preserve">Story DELT-244</t>
  </si>
  <si>
    <t xml:space="preserve">DELT-245</t>
  </si>
  <si>
    <t xml:space="preserve">Story DELT-245</t>
  </si>
  <si>
    <t xml:space="preserve">ECHO-291</t>
  </si>
  <si>
    <t xml:space="preserve">Story ECHO-291</t>
  </si>
  <si>
    <t xml:space="preserve">Story ECHO-292</t>
  </si>
  <si>
    <t xml:space="preserve">ECHO-293</t>
  </si>
  <si>
    <t xml:space="preserve">Story ECHO-293</t>
  </si>
  <si>
    <t xml:space="preserve">ECHO-294</t>
  </si>
  <si>
    <t xml:space="preserve">Story ECHO-294</t>
  </si>
  <si>
    <t xml:space="preserve">ECHO-295</t>
  </si>
  <si>
    <t xml:space="preserve">Story ECHO-295</t>
  </si>
  <si>
    <t xml:space="preserve">Story FOXT-247</t>
  </si>
  <si>
    <t xml:space="preserve">Story FOXT-248</t>
  </si>
  <si>
    <t xml:space="preserve">FOXT-249</t>
  </si>
  <si>
    <t xml:space="preserve">Story FOXT-249</t>
  </si>
  <si>
    <t xml:space="preserve">FOXT-250</t>
  </si>
  <si>
    <t xml:space="preserve">Story FOXT-250</t>
  </si>
  <si>
    <t xml:space="preserve">FOXT-251</t>
  </si>
  <si>
    <t xml:space="preserve">Story FOXT-251</t>
  </si>
  <si>
    <t xml:space="preserve">FOXT-252</t>
  </si>
  <si>
    <t xml:space="preserve">Story FOXT-252</t>
  </si>
  <si>
    <t xml:space="preserve">FOXT-253</t>
  </si>
  <si>
    <t xml:space="preserve">Story FOXT-253</t>
  </si>
  <si>
    <t xml:space="preserve">FOXT-254</t>
  </si>
  <si>
    <t xml:space="preserve">Story FOXT-254</t>
  </si>
  <si>
    <t xml:space="preserve">FOXT-255</t>
  </si>
  <si>
    <t xml:space="preserve">Story FOXT-255</t>
  </si>
  <si>
    <t xml:space="preserve">Story GOLF-260</t>
  </si>
  <si>
    <t xml:space="preserve">GOLF-261</t>
  </si>
  <si>
    <t xml:space="preserve">Story GOLF-261</t>
  </si>
  <si>
    <t xml:space="preserve">GOLF-262</t>
  </si>
  <si>
    <t xml:space="preserve">Story GOLF-262</t>
  </si>
  <si>
    <t xml:space="preserve">GOLF-263</t>
  </si>
  <si>
    <t xml:space="preserve">Story GOLF-263</t>
  </si>
  <si>
    <t xml:space="preserve">GOLF-264</t>
  </si>
  <si>
    <t xml:space="preserve">Story GOLF-264</t>
  </si>
  <si>
    <t xml:space="preserve">HOTL-238</t>
  </si>
  <si>
    <t xml:space="preserve">Story HOTL-238</t>
  </si>
  <si>
    <t xml:space="preserve">HOTL-239</t>
  </si>
  <si>
    <t xml:space="preserve">Story HOTL-239</t>
  </si>
  <si>
    <t xml:space="preserve">HOTL-240</t>
  </si>
  <si>
    <t xml:space="preserve">Story HOTL-240</t>
  </si>
  <si>
    <t xml:space="preserve">HOTL-241</t>
  </si>
  <si>
    <t xml:space="preserve">Story HOTL-241</t>
  </si>
  <si>
    <t xml:space="preserve">Story INDI-240</t>
  </si>
  <si>
    <t xml:space="preserve">Story INDI-241</t>
  </si>
  <si>
    <t xml:space="preserve">Story INDI-242</t>
  </si>
  <si>
    <t xml:space="preserve">INDI-243</t>
  </si>
  <si>
    <t xml:space="preserve">Story INDI-243</t>
  </si>
  <si>
    <t xml:space="preserve">INDI-244</t>
  </si>
  <si>
    <t xml:space="preserve">Story INDI-244</t>
  </si>
  <si>
    <t xml:space="preserve">Story INDI-245</t>
  </si>
  <si>
    <t xml:space="preserve">INDI-246</t>
  </si>
  <si>
    <t xml:space="preserve">Story INDI-246</t>
  </si>
  <si>
    <t xml:space="preserve">INDI-247</t>
  </si>
  <si>
    <t xml:space="preserve">Story INDI-247</t>
  </si>
  <si>
    <t xml:space="preserve">Story JULI-251</t>
  </si>
  <si>
    <t xml:space="preserve">Story JULI-252</t>
  </si>
  <si>
    <t xml:space="preserve">Story JULI-253</t>
  </si>
  <si>
    <t xml:space="preserve">JULI-254</t>
  </si>
  <si>
    <t xml:space="preserve">Story JULI-254</t>
  </si>
  <si>
    <t xml:space="preserve">JULI-255</t>
  </si>
  <si>
    <t xml:space="preserve">Story JULI-255</t>
  </si>
  <si>
    <t xml:space="preserve">JULI-256</t>
  </si>
  <si>
    <t xml:space="preserve">Story JULI-256</t>
  </si>
  <si>
    <t xml:space="preserve">JULI-257</t>
  </si>
  <si>
    <t xml:space="preserve">Story JULI-257</t>
  </si>
  <si>
    <t xml:space="preserve">Capacity</t>
  </si>
  <si>
    <t xml:space="preserve">Committed</t>
  </si>
  <si>
    <t xml:space="preserve">Done</t>
  </si>
  <si>
    <t xml:space="preserve">Remaining</t>
  </si>
  <si>
    <t xml:space="preserve">Load</t>
  </si>
  <si>
    <t xml:space="preserve">Unassigned</t>
  </si>
  <si>
    <t xml:space="preserve">Velocity</t>
  </si>
  <si>
    <t xml:space="preserve">Backlog</t>
  </si>
  <si>
    <t xml:space="preserve">Sprints of backlog</t>
  </si>
  <si>
    <t xml:space="preserve">Type the teams and their capacity (points per sprint). Capacity drives Load.</t>
  </si>
  <si>
    <t xml:space="preserve">Email</t>
  </si>
  <si>
    <t xml:space="preserve">Role</t>
  </si>
  <si>
    <t xml:space="preserve">Org</t>
  </si>
  <si>
    <t xml:space="preserve">Open</t>
  </si>
  <si>
    <t xml:space="preserve">Team share</t>
  </si>
  <si>
    <t xml:space="preserve">Target</t>
  </si>
  <si>
    <t xml:space="preserve">ETA</t>
  </si>
  <si>
    <t xml:space="preserve">KeyMS</t>
  </si>
  <si>
    <t xml:space="preserve">Target is yours (a date the epic is promised by). ETA = remaining points / the team's 3-sprint velocity.</t>
  </si>
  <si>
    <t xml:space="preserve">Burndown</t>
  </si>
  <si>
    <t xml:space="preserve">Sprint (blank = current)</t>
  </si>
  <si>
    <t xml:space="preserve">Team (blank = all)</t>
  </si>
  <si>
    <t xml:space="preserve">Progress</t>
  </si>
  <si>
    <t xml:space="preserve">Day</t>
  </si>
  <si>
    <t xml:space="preserve">Ideal</t>
  </si>
  <si>
    <t xml:space="preserve">Scope</t>
  </si>
  <si>
    <t xml:space="preserve">Velocity and predictability</t>
  </si>
  <si>
    <t xml:space="preserve">Starts</t>
  </si>
  <si>
    <t xml:space="preserve">Punted</t>
  </si>
  <si>
    <t xml:space="preserve">Predictability</t>
  </si>
  <si>
    <t xml:space="preserve">Carryover</t>
  </si>
  <si>
    <t xml:space="preserve">Punt rate</t>
  </si>
  <si>
    <t xml:space="preserve">Average done, last 3 finished sprints</t>
  </si>
  <si>
    <t xml:space="preserve">The current sprint is the last row and is still running.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</si>
</sst>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ddd d mmm"/>
    <numFmt numFmtId="166" formatCode="0.0"/>
  </numFmts>
  <fonts count="9">
    <font>
      <sz val="10"/>
      <name val="Calibri"/>
      <family val="2"/>
    </font>
    <font>
      <b/>
      <sz val="16"/>
      <color rgb="FF27235D"/>
      <name val="Calibri"/>
      <family val="2"/>
    </font>
    <font>
      <b/>
      <sz val="12"/>
      <color rgb="FF27235D"/>
      <name val="Calibri"/>
      <family val="2"/>
    </font>
    <font>
      <b/>
      <sz val="10"/>
      <color rgb="FFFFFFFF"/>
      <name val="Calibri"/>
      <family val="2"/>
    </font>
    <font>
      <b/>
      <sz val="10"/>
      <name val="Calibri"/>
      <family val="2"/>
    </font>
    <font>
      <i/>
      <sz val="10"/>
      <color rgb="FF808082"/>
      <name val="Calibri"/>
      <family val="2"/>
    </font>
    <font>
      <b/>
      <sz val="14"/>
      <color rgb="FF27235D"/>
      <name val="Calibri"/>
      <family val="2"/>
    </font>
    <font>
      <sz val="10"/>
      <color rgb="FF333333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7235D"/>
        <bgColor indexed="64"/>
      </patternFill>
    </fill>
    <fill>
      <patternFill patternType="solid">
        <fgColor rgb="FF808082"/>
        <bgColor indexed="64"/>
      </patternFill>
    </fill>
    <fill>
      <patternFill patternType="solid">
        <fgColor rgb="FFFFF7D6"/>
        <bgColor indexed="64"/>
      </patternFill>
    </fill>
    <fill>
      <patternFill patternType="solid">
        <fgColor rgb="FF6B743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3" borderId="0" xfId="0" applyFont="1" applyFill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top" wrapText="1"/>
    </xf>
    <xf numFmtId="0" fontId="0" fillId="4" borderId="0" xfId="0" applyFill="1"/>
    <xf numFmtId="164" fontId="0" fillId="4" borderId="0" xfId="0" applyNumberFormat="1" applyFill="1"/>
    <xf numFmtId="9" fontId="0" fillId="4" borderId="0" xfId="0" applyNumberFormat="1" applyFill="1"/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0" fontId="6" fillId="0" borderId="0" xfId="0" applyFont="1"/>
    <xf numFmtId="9" fontId="6" fillId="0" borderId="0" xfId="0" applyNumberFormat="1" applyFont="1"/>
    <xf numFmtId="0" fontId="7" fillId="0" borderId="0" xfId="0" applyFont="1"/>
    <xf numFmtId="0" fontId="8" fillId="2" borderId="0" xfId="0" applyFont="1" applyFill="1"/>
    <xf numFmtId="0" fontId="8" fillId="5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10">
    <dxf>
      <font>
        <color rgb="FF9C0006"/>
      </font>
      <fill>
        <patternFill>
          <bgColor rgb="FFF8D7D8"/>
        </patternFill>
      </fill>
    </dxf>
    <dxf>
      <font>
        <color rgb="FF7A5200"/>
      </font>
      <fill>
        <patternFill>
          <bgColor rgb="FFFFEB9C"/>
        </patternFill>
      </fill>
    </dxf>
    <dxf>
      <font>
        <color rgb="FF0B5D0B"/>
      </font>
      <fill>
        <patternFill>
          <bgColor rgb="FFD9F2D9"/>
        </patternFill>
      </fill>
    </dxf>
    <dxf>
      <font>
        <color rgb="FFA0A0A0"/>
      </font>
    </dxf>
    <dxf>
      <font>
        <color rgb="FFFFFFFF"/>
      </font>
    </dxf>
    <dxf>
      <font>
        <b/>
      </font>
    </dxf>
    <dxf>
      <font>
        <b/>
        <color rgb="FF9C0006"/>
      </font>
      <fill>
        <patternFill>
          <bgColor rgb="FFF8D7D8"/>
        </patternFill>
      </fill>
    </dxf>
    <dxf>
      <font>
        <color rgb="FF0B5D0B"/>
      </font>
    </dxf>
    <dxf>
      <font>
        <color rgb="FF7A5200"/>
      </font>
      <fill>
        <patternFill>
          <bgColor rgb="FFFFEB9C"/>
        </patternFill>
      </fill>
    </dxf>
    <dxf>
      <font>
        <color rgb="FFA0A0A0"/>
      </font>
    </dxf>
  </dxfs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/>
            </a:pPr>
            <a:r>
              <a:rPr lang="en-US" sz="1200" b="1">
                <a:solidFill>
                  <a:srgbClr val="27235D"/>
                </a:solidFill>
              </a:rPr>
              <a:t>Burndown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Burndown!$C$6</c:f>
            </c:strRef>
          </c:tx>
          <c:spPr>
            <a:ln w="19050" cap="rnd">
              <a:solidFill>
                <a:srgbClr val="808082"/>
              </a:solidFill>
              <a:prstDash val="dash"/>
              <a:round/>
            </a:ln>
          </c:spPr>
          <c:marker>
            <c:symbol val="none"/>
          </c:marker>
          <c:cat>
            <c:numRef>
              <c:f>Burndown!$A$7:$A$34</c:f>
            </c:numRef>
          </c:cat>
          <c:val>
            <c:numRef>
              <c:f>Burndown!$C$7:$C$34</c:f>
            </c:numRef>
          </c:val>
          <c:smooth val="0"/>
        </c:ser>
        <c:ser>
          <c:idx val="1"/>
          <c:order val="1"/>
          <c:tx>
            <c:strRef>
              <c:f>Burndown!$D$6</c:f>
            </c:strRef>
          </c:tx>
          <c:spPr>
            <a:ln w="31750" cap="rnd">
              <a:solidFill>
                <a:srgbClr val="27235D"/>
              </a:solidFill>
              <a:round/>
            </a:ln>
          </c:spPr>
          <c:marker>
            <c:symbol val="none"/>
          </c:marker>
          <c:cat>
            <c:numRef>
              <c:f>Burndown!$A$7:$A$34</c:f>
            </c:numRef>
          </c:cat>
          <c:val>
            <c:numRef>
              <c:f>Burndown!$D$7:$D$34</c:f>
            </c:numRef>
          </c:val>
          <c:smooth val="0"/>
        </c:ser>
        <c:ser>
          <c:idx val="2"/>
          <c:order val="2"/>
          <c:tx>
            <c:strRef>
              <c:f>Burndown!$E$6</c:f>
            </c:strRef>
          </c:tx>
          <c:spPr>
            <a:ln w="19050" cap="rnd">
              <a:solidFill>
                <a:srgbClr val="E6AF22"/>
              </a:solidFill>
              <a:prstDash val="dash"/>
              <a:round/>
            </a:ln>
          </c:spPr>
          <c:marker>
            <c:symbol val="none"/>
          </c:marker>
          <c:cat>
            <c:numRef>
              <c:f>Burndown!$A$7:$A$34</c:f>
            </c:numRef>
          </c:cat>
          <c:val>
            <c:numRef>
              <c:f>Burndown!$E$7:$E$34</c:f>
            </c:numRef>
          </c:val>
          <c:smooth val="0"/>
        </c:ser>
        <c:marker val="1"/>
        <c:axId val="5001"/>
        <c:axId val="5002"/>
      </c:lineChart>
      <c:catAx>
        <c:axId val="5001"/>
        <c:scaling>
          <c:orientation val="minMax"/>
        </c:scaling>
        <c:delete val="0"/>
        <c:axPos val="b"/>
        <c:numFmt formatCode="d mmm" sourceLinked="0"/>
        <c:majorTickMark val="none"/>
        <c:minorTickMark val="none"/>
        <c:tickLblPos val="nextTo"/>
        <c:spPr>
          <a:ln>
            <a:solidFill>
              <a:srgbClr val="BFBFBF"/>
            </a:solidFill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>
              <a:solidFill>
                <a:srgbClr val="E4E4E7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>
              <a:solidFill>
                <a:srgbClr val="595959"/>
              </a:solidFill>
            </a:defRPr>
          </a:pPr>
          <a:endParaRPr lang="en-US"/>
        </a:p>
      </c:txPr>
    </c:legend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/>
            </a:pPr>
            <a:r>
              <a:rPr lang="en-US" sz="1200" b="1">
                <a:solidFill>
                  <a:srgbClr val="27235D"/>
                </a:solidFill>
              </a:rPr>
              <a:t>Committed vs done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Velocity!$C$5</c:f>
            </c:strRef>
          </c:tx>
          <c:spPr>
            <a:solidFill>
              <a:srgbClr val="E6AF22"/>
            </a:solidFill>
          </c:spPr>
          <c:invertIfNegative val="0"/>
          <c:cat>
            <c:numRef>
              <c:f>Velocity!$A$6:$A$17</c:f>
            </c:numRef>
          </c:cat>
          <c:val>
            <c:numRef>
              <c:f>Velocity!$C$6:$C$17</c:f>
            </c:numRef>
          </c:val>
        </c:ser>
        <c:ser>
          <c:idx val="1"/>
          <c:order val="1"/>
          <c:tx>
            <c:strRef>
              <c:f>Velocity!$D$5</c:f>
            </c:strRef>
          </c:tx>
          <c:spPr>
            <a:solidFill>
              <a:srgbClr val="27235D"/>
            </a:solidFill>
          </c:spPr>
          <c:invertIfNegative val="0"/>
          <c:cat>
            <c:numRef>
              <c:f>Velocity!$A$6:$A$17</c:f>
            </c:numRef>
          </c:cat>
          <c:val>
            <c:numRef>
              <c:f>Velocity!$D$6:$D$17</c:f>
            </c:numRef>
          </c:val>
        </c:ser>
        <c:gapWidth val="8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BFBFBF"/>
            </a:solidFill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>
              <a:solidFill>
                <a:srgbClr val="E4E4E7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>
              <a:solidFill>
                <a:srgbClr val="595959"/>
              </a:solidFill>
            </a:defRPr>
          </a:pPr>
          <a:endParaRPr lang="en-US"/>
        </a:p>
      </c:txPr>
    </c:legend>
    <c:plotVisOnly val="1"/>
    <c:dispBlanksAs val="gap"/>
  </c:chart>
</c:chartSpace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Log" displayName="Log" ref="A1:M2090" totalsRowShown="0">
  <autoFilter ref="A1:M2090"/>
  <tableColumns count="13">
    <tableColumn id="1" name="Date"/>
    <tableColumn id="2" name="ID"/>
    <tableColumn id="3" name="Verb"/>
    <tableColumn id="4" name="Arg"/>
    <tableColumn id="5" name="Note"/>
    <tableColumn id="6" name="Check">
      <calculatedColumnFormula>IF(Log[[#This Row],[ID]]="","",IF(ISNA(MATCH(Log[[#This Row],[ID]],Items[ID],0)),"unknown ID",IF(ISNA(MATCH(Log[[#This Row],[Verb]],VerbList,0)),"unknown verb",IF(Log[[#This Row],[Date]]="","no date",""))))</calculatedColumnFormula>
    </tableColumn>
    <tableColumn id="7" name="State">
      <calculatedColumnFormula>IF(Log[[#This Row],[ID]]="","",IFERROR(VLOOKUP(Log[[#This Row],[Verb]],Verbs,3,FALSE)&amp;"",""))</calculatedColumnFormula>
    </tableColumn>
    <tableColumn id="8" name="Sprint">
      <calculatedColumnFormula>IF(Log[[#This Row],[Date]]="","",INT((Log[[#This Row],[Date]]-Sprint1)/SprintDays)+1)</calculatedColumnFormula>
    </tableColumn>
    <tableColumn id="9" name="Into">
      <calculatedColumnFormula>IF(OR(Log[[#This Row],[Verb]]="commit",Log[[#This Row],[Verb]]="carry",Log[[#This Row],[Verb]]="redo"),IF(Log[[#This Row],[Arg]]="",Log[[#This Row],[Sprint]],N(Log[[#This Row],[Arg]])),"")</calculatedColumnFormula>
    </tableColumn>
    <tableColumn id="10" name="Blk">
      <calculatedColumnFormula>IF(Log[[#This Row],[Verb]]="block",1,IF(OR(Log[[#This Row],[Verb]]="unblock",Log[[#This Row],[Verb]]="done",Log[[#This Row],[Verb]]="drop",Log[[#This Row],[Verb]]="punt",Log[[#This Row],[Verb]]="pass"),0,""))</calculatedColumnFormula>
    </tableColumn>
    <tableColumn id="11" name="Pts">
      <calculatedColumnFormula>IF(Log[[#This Row],[ID]]="",0,IFERROR(INDEX(Items[Pts],MATCH(Log[[#This Row],[ID]],Items[ID],0))*1,0))</calculatedColumnFormula>
    </tableColumn>
    <tableColumn id="12" name="Team">
      <calculatedColumnFormula>IF(Log[[#This Row],[ID]]="","",IFERROR(INDEX(Items[Cur team],MATCH(Log[[#This Row],[ID]],Items[ID],0))&amp;"",""))</calculatedColumnFormula>
    </tableColumn>
    <tableColumn id="13" name="Burn">
      <calculatedColumnFormula>IF(OR(Log[[#This Row],[Verb]]="done",Log[[#This Row],[Verb]]="punt",Log[[#This Row],[Verb]]="drop",Log[[#This Row],[Verb]]="pass"),Log[[#This Row],[Pts]],0)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Items" displayName="Items" ref="A1:Y978" totalsRowShown="0">
  <autoFilter ref="A1:Y978"/>
  <tableColumns count="25">
    <tableColumn id="1" name="ID"/>
    <tableColumn id="2" name="Title"/>
    <tableColumn id="3" name="Tome"/>
    <tableColumn id="4" name="Epic"/>
    <tableColumn id="5" name="Team"/>
    <tableColumn id="6" name="Owner"/>
    <tableColumn id="7" name="Points"/>
    <tableColumn id="8" name="Prio"/>
    <tableColumn id="9" name="Added"/>
    <tableColumn id="10" name="Pts">
      <calculatedColumnFormula>IF(Items[[#This Row],[ID]]="","",IFERROR(VALUE(LOOKUP(2,1/((Log[ID]=Items[[#This Row],[ID]])*(Log[Verb]="est")),Log[Arg])),N(Items[[#This Row],[Points]])))</calculatedColumnFormula>
    </tableColumn>
    <tableColumn id="11" name="Cur team">
      <calculatedColumnFormula>IF(Items[[#This Row],[ID]]="","",IFERROR(LOOKUP(2,1/((Log[ID]=Items[[#This Row],[ID]])*(Log[Verb]="pass")),Log[Arg])&amp;"",Items[[#This Row],[Team]]&amp;""))</calculatedColumnFormula>
    </tableColumn>
    <tableColumn id="12" name="Sprint">
      <calculatedColumnFormula>IF(Items[[#This Row],[ID]]="","",IFERROR(LOOKUP(2,1/((Log[ID]=Items[[#This Row],[ID]])*(Log[Into]&lt;&gt;"")),Log[Into]),""))</calculatedColumnFormula>
    </tableColumn>
    <tableColumn id="13" name="Blocked">
      <calculatedColumnFormula>IF(Items[[#This Row],[ID]]="","",IF(IFERROR(LOOKUP(2,1/((Log[ID]=Items[[#This Row],[ID]])*(Log[Blk]&lt;&gt;"")),Log[Blk]),0)=1,"Y",""))</calculatedColumnFormula>
    </tableColumn>
    <tableColumn id="14" name="State">
      <calculatedColumnFormula>IF(Items[[#This Row],[ID]]="","",SUBSTITUTE(IFERROR(LOOKUP(2,1/((Log[ID]=Items[[#This Row],[ID]])*(Log[State]&lt;&gt;"")),Log[State]),"TODO"),"OPEN",IF(Items[[#This Row],[Blocked]]="Y","WAIT","OPEN")))</calculatedColumnFormula>
    </tableColumn>
    <tableColumn id="15" name="Blocked since">
      <calculatedColumnFormula>IF(Items[[#This Row],[State]]&lt;&gt;"WAIT","",1000000-MAX(INDEX((1000000-Log[Date])*(Log[ID]=Items[[#This Row],[ID]])*(Log[Verb]="block")*(Log[Date]&gt;=IFERROR(LOOKUP(2,1/((Log[ID]=Items[[#This Row],[ID]])*(Log[Verb]="unblock")),Log[Date]),0)),0)))</calculatedColumnFormula>
    </tableColumn>
    <tableColumn id="16" name="Days blocked">
      <calculatedColumnFormula>IF(Items[[#This Row],[State]]&lt;&gt;"WAIT","",AsOf-Items[[#This Row],[Blocked since]])</calculatedColumnFormula>
    </tableColumn>
    <tableColumn id="17" name="Blocker">
      <calculatedColumnFormula>IF(Items[[#This Row],[State]]&lt;&gt;"WAIT","",IFERROR(LOOKUP(2,1/((Log[ID]=Items[[#This Row],[ID]])*(Log[Verb]="block")),Log[Note])&amp;"",""))</calculatedColumnFormula>
    </tableColumn>
    <tableColumn id="18" name="Carried">
      <calculatedColumnFormula>IF(Items[[#This Row],[ID]]="","",COUNTIFS(Log[ID],Items[[#This Row],[ID]],Log[Verb],"carry"))</calculatedColumnFormula>
    </tableColumn>
    <tableColumn id="19" name="Punts">
      <calculatedColumnFormula>IF(Items[[#This Row],[ID]]="","",COUNTIFS(Log[ID],Items[[#This Row],[ID]],Log[Verb],"punt"))</calculatedColumnFormula>
    </tableColumn>
    <tableColumn id="20" name="Done on">
      <calculatedColumnFormula>IF(Items[[#This Row],[State]]&lt;&gt;"DONE","",IFERROR(LOOKUP(2,1/((Log[ID]=Items[[#This Row],[ID]])*(Log[Verb]="done")),Log[Date]),""))</calculatedColumnFormula>
    </tableColumn>
    <tableColumn id="21" name="In sprint">
      <calculatedColumnFormula>IF(Items[[#This Row],[ID]]="","",IF(AND(Items[[#This Row],[Sprint]]=CurSprint,OR(Items[[#This Row],[State]]="OPEN",Items[[#This Row],[State]]="WAIT",Items[[#This Row],[State]]="HOLD",Items[[#This Row],[State]]="DONE")),1,0))</calculatedColumnFormula>
    </tableColumn>
    <tableColumn id="22" name="Age">
      <calculatedColumnFormula>IF(OR(Items[[#This Row],[ID]]="",Items[[#This Row],[Added]]=""),"",AsOf-Items[[#This Row],[Added]])</calculatedColumnFormula>
    </tableColumn>
    <tableColumn id="23" name="KeyTP">
      <calculatedColumnFormula>IF(Items[[#This Row],[In sprint]]=1,(IF(Items[[#This Row],[Prio]]="",9,N(Items[[#This Row],[Prio]]))*10+(IF(Items[[#This Row],[State]]="DONE",1,0)))*100000+ROW(),"")</calculatedColumnFormula>
    </tableColumn>
    <tableColumn id="24" name="KeyWatch">
      <calculatedColumnFormula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calculatedColumnFormula>
    </tableColumn>
    <tableColumn id="25" name="KeyAcc">
      <calculatedColumnFormula>IF(AND(Items[[#This Row],[State]]="DONE",N(Items[[#This Row],[Done on]])&gt;AsOf-7),(200000-N(Items[[#This Row],[Done on]]))*100000+ROW(),"")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eams" displayName="Teams" ref="A1:M11" totalsRowShown="0">
  <autoFilter ref="A1:M11"/>
  <tableColumns count="13">
    <tableColumn id="1" name="Team"/>
    <tableColumn id="2" name="Capacity"/>
    <tableColumn id="3" name="Committed">
      <calculatedColumnFormula>IF(Teams[[#This Row],[Team]]="","",SUMIFS(Items[Pts],Items[Cur team],Teams[[#This Row],[Team]],Items[In sprint],1))</calculatedColumnFormula>
    </tableColumn>
    <tableColumn id="4" name="Done">
      <calculatedColumnFormula>IF(Teams[[#This Row],[Team]]="","",SUMIFS(Items[Pts],Items[Cur team],Teams[[#This Row],[Team]],Items[In sprint],1,Items[State],"DONE"))</calculatedColumnFormula>
    </tableColumn>
    <tableColumn id="5" name="Remaining">
      <calculatedColumnFormula>IF(Teams[[#This Row],[Team]]="","",Teams[[#This Row],[Committed]]-Teams[[#This Row],[Done]])</calculatedColumnFormula>
    </tableColumn>
    <tableColumn id="6" name="Pct done">
      <calculatedColumnFormula>IF(N(Teams[[#This Row],[Committed]])=0,"",Teams[[#This Row],[Done]]/Teams[[#This Row],[Committed]])</calculatedColumnFormula>
    </tableColumn>
    <tableColumn id="7" name="Load">
      <calculatedColumnFormula>IF(N(Teams[[#This Row],[Capacity]])=0,"",Teams[[#This Row],[Committed]]/Teams[[#This Row],[Capacity]])</calculatedColumnFormula>
    </tableColumn>
    <tableColumn id="8" name="Blocked">
      <calculatedColumnFormula>IF(Teams[[#This Row],[Team]]="","",COUNTIFS(Items[Cur team],Teams[[#This Row],[Team]],Items[In sprint],1,Items[State],"WAIT"))</calculatedColumnFormula>
    </tableColumn>
    <tableColumn id="9" name="Unassigned">
      <calculatedColumnFormula>IF(Teams[[#This Row],[Team]]="","",COUNTIFS(Items[Cur team],Teams[[#This Row],[Team]],Items[In sprint],1,Items[Owner],"",Items[State],"&lt;&gt;DONE"))</calculatedColumnFormula>
    </tableColumn>
    <tableColumn id="10" name="Velocity">
      <calculatedColumnFormula>IF(Teams[[#This Row],[Team]]="","",SUMIFS(Log[Pts],Log[Verb],"done",Log[Team],Teams[[#This Row],[Team]],Log[Sprint],"&gt;="&amp;(CurSprint-3),Log[Sprint],"&lt;"&amp;CurSprint)/3)</calculatedColumnFormula>
    </tableColumn>
    <tableColumn id="11" name="Backlog">
      <calculatedColumnFormula>IF(Teams[[#This Row],[Team]]="","",SUMIFS(Items[Pts],Items[Cur team],Teams[[#This Row],[Team]],Items[State],"TODO"))</calculatedColumnFormula>
    </tableColumn>
    <tableColumn id="12" name="Sprints of backlog">
      <calculatedColumnFormula>IF(N(Teams[[#This Row],[Velocity]])=0,"",Teams[[#This Row],[Backlog]]/Teams[[#This Row],[Velocity]])</calculatedColumnFormula>
    </tableColumn>
    <tableColumn id="13" name="Flags">
      <calculatedColumnFormula>IF(Teams[[#This Row],[Team]]="","",TRIM(IF(AND(Teams[[#This Row],[Load]]&lt;&gt;"",N(Teams[[#This Row],[Load]])&gt;LoadHigh),"over capacity; ","")&amp;IF(AND(Teams[[#This Row],[Load]]&lt;&gt;"",N(Teams[[#This Row],[Load]])&lt;LoadLow),"under capacity; ","")&amp;IF(Teams[[#This Row],[Blocked]]&gt;0,Teams[[#This Row],[Blocked]]&amp;" blocked; ","")&amp;IF(Teams[[#This Row],[Unassigned]]&gt;0,Teams[[#This Row],[Unassigned]]&amp;" unassigned; ","")&amp;IF(AND(DayOfSprint&gt;=8,Teams[[#This Row],[Pct done]]&lt;&gt;"",N(Teams[[#This Row],[Pct done]])&lt;Day8Pct),"behind at day "&amp;DayOfSprint&amp;"; ","")))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Roster" displayName="Roster" ref="A1:J101" totalsRowShown="0">
  <autoFilter ref="A1:J101"/>
  <tableColumns count="10">
    <tableColumn id="1" name="Name"/>
    <tableColumn id="2" name="Email"/>
    <tableColumn id="3" name="Team"/>
    <tableColumn id="4" name="Role"/>
    <tableColumn id="5" name="Org"/>
    <tableColumn id="6" name="In sprint">
      <calculatedColumnFormula>IF(Roster[[#This Row],[Name]]="","",SUMIFS(Items[Pts],Items[Owner],Roster[[#This Row],[Name]],Items[In sprint],1))</calculatedColumnFormula>
    </tableColumn>
    <tableColumn id="7" name="Open">
      <calculatedColumnFormula>IF(Roster[[#This Row],[Name]]="","",COUNTIFS(Items[Owner],Roster[[#This Row],[Name]],Items[In sprint],1,Items[State],"&lt;&gt;DONE"))</calculatedColumnFormula>
    </tableColumn>
    <tableColumn id="8" name="Done">
      <calculatedColumnFormula>IF(Roster[[#This Row],[Name]]="","",SUMIFS(Items[Pts],Items[Owner],Roster[[#This Row],[Name]],Items[In sprint],1,Items[State],"DONE"))</calculatedColumnFormula>
    </tableColumn>
    <tableColumn id="9" name="Blocked">
      <calculatedColumnFormula>IF(Roster[[#This Row],[Name]]="","",COUNTIFS(Items[Owner],Roster[[#This Row],[Name]],Items[In sprint],1,Items[State],"WAIT"))</calculatedColumnFormula>
    </tableColumn>
    <tableColumn id="10" name="Team share">
      <calculatedColumnFormula>IF(Roster[[#This Row],[Name]]="","",IFERROR(Roster[[#This Row],[In sprint]]/SUMIFS(Items[Pts],Items[Cur team],Roster[[#This Row],[Team]],Items[In sprint],1),""))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Epics" displayName="Epics" ref="A1:M6" totalsRowShown="0">
  <autoFilter ref="A1:M6"/>
  <tableColumns count="13">
    <tableColumn id="1" name="Epic"/>
    <tableColumn id="2" name="Tome"/>
    <tableColumn id="3" name="Target"/>
    <tableColumn id="4" name="Team">
      <calculatedColumnFormula>IF(Epics[[#This Row],[Epic]]="","",IFERROR(INDEX(Items[Cur team],MATCH(Epics[[#This Row],[Epic]],Items[Epic],0))&amp;"",""))</calculatedColumnFormula>
    </tableColumn>
    <tableColumn id="5" name="Points">
      <calculatedColumnFormula>IF(Epics[[#This Row],[Epic]]="","",SUMIFS(Items[Pts],Items[Epic],Epics[[#This Row],[Epic]],Items[State],"&lt;&gt;DROP"))</calculatedColumnFormula>
    </tableColumn>
    <tableColumn id="6" name="Done">
      <calculatedColumnFormula>IF(Epics[[#This Row],[Epic]]="","",SUMIFS(Items[Pts],Items[Epic],Epics[[#This Row],[Epic]],Items[State],"DONE"))</calculatedColumnFormula>
    </tableColumn>
    <tableColumn id="7" name="Pct done">
      <calculatedColumnFormula>IF(N(Epics[[#This Row],[Points]])=0,"",Epics[[#This Row],[Done]]/Epics[[#This Row],[Points]])</calculatedColumnFormula>
    </tableColumn>
    <tableColumn id="8" name="Open">
      <calculatedColumnFormula>IF(Epics[[#This Row],[Epic]]="","",COUNTIFS(Items[Epic],Epics[[#This Row],[Epic]],Items[State],"&lt;&gt;DONE",Items[State],"&lt;&gt;DROP"))</calculatedColumnFormula>
    </tableColumn>
    <tableColumn id="9" name="Blocked">
      <calculatedColumnFormula>IF(Epics[[#This Row],[Epic]]="","",COUNTIFS(Items[Epic],Epics[[#This Row],[Epic]],Items[State],"WAIT"))</calculatedColumnFormula>
    </tableColumn>
    <tableColumn id="10" name="ETA">
      <calculatedColumnFormula>IF(OR(Epics[[#This Row],[Epic]]="",N(Epics[[#This Row],[Points]])=0),"",IF(Epics[[#This Row],[Done]]&gt;=Epics[[#This Row],[Points]],"",AsOf+ROUNDUP((Epics[[#This Row],[Points]]-Epics[[#This Row],[Done]])/MAX(1,IFERROR(INDEX(Teams[Velocity],MATCH(Epics[[#This Row],[Team]],Teams[Team],0)),1)),0)*SprintDays))</calculatedColumnFormula>
    </tableColumn>
    <tableColumn id="11" name="Due">
      <calculatedColumnFormula>IF(Epics[[#This Row],[Epic]]="","",IF(Epics[[#This Row],[Target]]&lt;&gt;"",Epics[[#This Row],[Target]],Epics[[#This Row],[ETA]]))</calculatedColumnFormula>
    </tableColumn>
    <tableColumn id="12" name="Status">
      <calculatedColumnFormula>IF(Epics[[#This Row],[Epic]]="","",IF(AND(N(Epics[[#This Row],[Points]])&gt;0,Epics[[#This Row],[Done]]&gt;=Epics[[#This Row],[Points]]),"DONE",IF(Epics[[#This Row],[Target]]="",IF(Epics[[#This Row],[ETA]]="","","forecast"),IF(Epics[[#This Row],[Target]]&lt;AsOf,"LATE",IF(Epics[[#This Row],[ETA]]&gt;Epics[[#This Row],[Target]],"AT RISK","on track")))))</calculatedColumnFormula>
    </tableColumn>
    <tableColumn id="13" name="KeyMS">
      <calculatedColumnFormula>IF(OR(Epics[[#This Row],[Due]]="",Epics[[#This Row],[Status]]="DONE"),"",IF(Epics[[#This Row],[Due]]&lt;=AsOf+90,N(Epics[[#This Row],[Due]])*100000+ROW(),""))</calculatedColumnFormula>
    </tableColumn>
  </tableColumns>
  <tableStyleInfo name="TableStyleLight9" showFirstColumn="0" showLastColumn="0" showRowStripes="1" showColumnStripes="0"/>
</tabl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7235D"/>
  </sheetPr>
  <sheetViews>
    <sheetView workbookViewId="0" tabSelected="1" showGridLines="0"/>
  </sheetViews>
  <sheetFormatPr defaultRowHeight="13.8"/>
  <cols>
    <col min="1" max="1" width="2" customWidth="1"/>
    <col min="2" max="2" width="44" customWidth="1"/>
    <col min="3" max="3" width="40" customWidth="1"/>
    <col min="4" max="4" width="12" customWidth="1"/>
    <col min="5" max="5" width="60" customWidth="1"/>
  </cols>
  <sheetData>
    <row r="1">
      <c r="B1" s="1" t="s">
        <v>0</v>
      </c>
    </row>
    <row r="2">
      <c r="B2" s="6" t="s">
        <v>1</v>
      </c>
    </row>
    <row r="3">
      <c r="B3" s="2" t="s">
        <v>2</v>
      </c>
    </row>
    <row r="4">
      <c r="B4" s="5" t="s">
        <v>3</v>
      </c>
      <c r="C4" s="9">
        <v>45559</v>
      </c>
    </row>
    <row r="5">
      <c r="B5" s="5" t="s">
        <v>4</v>
      </c>
      <c r="C5" s="8">
        <v>14</v>
      </c>
    </row>
    <row r="6">
      <c r="B6" s="5" t="s">
        <v>5</v>
      </c>
      <c r="C6" s="9">
        <v>46286</v>
      </c>
    </row>
    <row r="7">
      <c r="B7" s="5" t="s">
        <v>6</v>
      </c>
      <c r="C7" s="8" t="s">
        <v>7</v>
      </c>
    </row>
    <row r="8">
      <c r="B8" s="5" t="s">
        <v>8</v>
      </c>
      <c r="C8" s="8" t="s">
        <v>9</v>
      </c>
    </row>
    <row r="9">
      <c r="B9" s="5" t="s">
        <v>10</v>
      </c>
      <c r="C9" s="9"/>
    </row>
    <row r="11">
      <c r="B11" s="2" t="s">
        <v>11</v>
      </c>
    </row>
    <row r="12">
      <c r="B12" s="5" t="s">
        <v>12</v>
      </c>
      <c r="C12" s="15">
        <f>CurSprint</f>
      </c>
    </row>
    <row r="13">
      <c r="B13" s="5" t="s">
        <v>13</v>
      </c>
      <c r="C13" s="12">
        <f>SprintStart</f>
      </c>
    </row>
    <row r="14">
      <c r="B14" s="5" t="s">
        <v>14</v>
      </c>
      <c r="C14" s="12">
        <f>SprintEnd</f>
      </c>
    </row>
    <row r="15">
      <c r="B15" s="5" t="s">
        <v>15</v>
      </c>
      <c r="C15" s="15">
        <f>DayOfSprint&amp;" of "&amp;SprintWorkdays</f>
      </c>
    </row>
    <row r="16">
      <c r="B16" s="5" t="s">
        <v>16</v>
      </c>
      <c r="C16" s="12">
        <f>AsOf</f>
      </c>
    </row>
    <row r="18">
      <c r="B18" s="2" t="s">
        <v>17</v>
      </c>
    </row>
    <row r="19">
      <c r="B19" s="5" t="s">
        <v>18</v>
      </c>
      <c r="C19" s="8">
        <v>3</v>
      </c>
    </row>
    <row r="20">
      <c r="B20" s="5" t="s">
        <v>19</v>
      </c>
      <c r="C20" s="8">
        <v>5</v>
      </c>
    </row>
    <row r="21">
      <c r="B21" s="5" t="s">
        <v>20</v>
      </c>
      <c r="C21" s="10">
        <v>1.1</v>
      </c>
    </row>
    <row r="22">
      <c r="B22" s="5" t="s">
        <v>21</v>
      </c>
      <c r="C22" s="10">
        <v>0.7</v>
      </c>
    </row>
    <row r="23">
      <c r="B23" s="5" t="s">
        <v>22</v>
      </c>
      <c r="C23" s="10">
        <v>0.6</v>
      </c>
    </row>
    <row r="24">
      <c r="B24" s="5" t="s">
        <v>23</v>
      </c>
      <c r="C24" s="10">
        <v>0.8</v>
      </c>
    </row>
    <row r="25">
      <c r="B25" s="5" t="s">
        <v>24</v>
      </c>
      <c r="C25" s="10">
        <v>0.2</v>
      </c>
    </row>
    <row r="26">
      <c r="B26" s="5" t="s">
        <v>25</v>
      </c>
      <c r="C26" s="10">
        <v>0.2</v>
      </c>
    </row>
    <row r="27">
      <c r="B27" s="5" t="s">
        <v>26</v>
      </c>
      <c r="C27" s="10">
        <v>0.8</v>
      </c>
    </row>
    <row r="28">
      <c r="B28" s="5" t="s">
        <v>27</v>
      </c>
      <c r="C28" s="10">
        <v>0.4</v>
      </c>
    </row>
    <row r="29">
      <c r="B29" s="5" t="s">
        <v>28</v>
      </c>
      <c r="C29" s="8">
        <v>90</v>
      </c>
    </row>
    <row r="31">
      <c r="B31" s="2" t="s">
        <v>29</v>
      </c>
    </row>
    <row r="32">
      <c r="B32" s="3" t="s">
        <v>30</v>
      </c>
      <c r="C32" s="3" t="s">
        <v>31</v>
      </c>
      <c r="D32" s="3" t="s">
        <v>32</v>
      </c>
      <c r="E32" s="3" t="s">
        <v>33</v>
      </c>
    </row>
    <row r="33">
      <c r="B33" s="5" t="s">
        <v>34</v>
      </c>
      <c r="C33" t="s">
        <v>35</v>
      </c>
      <c r="D33" t="s">
        <v>36</v>
      </c>
      <c r="E33" t="s">
        <v>37</v>
      </c>
    </row>
    <row r="34">
      <c r="B34" s="5" t="s">
        <v>38</v>
      </c>
      <c r="C34" t="s">
        <v>39</v>
      </c>
      <c r="D34" t="s">
        <v>36</v>
      </c>
      <c r="E34" t="s">
        <v>40</v>
      </c>
    </row>
    <row r="35">
      <c r="B35" s="5" t="s">
        <v>41</v>
      </c>
      <c r="C35" t="s">
        <v>42</v>
      </c>
      <c r="D35" t="s">
        <v>43</v>
      </c>
      <c r="E35" t="s">
        <v>44</v>
      </c>
    </row>
    <row r="36">
      <c r="B36" s="5" t="s">
        <v>45</v>
      </c>
      <c r="C36" t="s">
        <v>42</v>
      </c>
      <c r="D36" t="s">
        <v>42</v>
      </c>
      <c r="E36" t="s">
        <v>46</v>
      </c>
    </row>
    <row r="37">
      <c r="B37" s="5" t="s">
        <v>47</v>
      </c>
      <c r="C37" t="s">
        <v>42</v>
      </c>
      <c r="D37" t="s">
        <v>42</v>
      </c>
      <c r="E37" t="s">
        <v>48</v>
      </c>
    </row>
    <row r="38">
      <c r="B38" s="5" t="s">
        <v>49</v>
      </c>
      <c r="C38" t="s">
        <v>42</v>
      </c>
      <c r="D38" t="s">
        <v>50</v>
      </c>
      <c r="E38" t="s">
        <v>51</v>
      </c>
    </row>
    <row r="39">
      <c r="B39" s="5" t="s">
        <v>52</v>
      </c>
      <c r="C39" t="s">
        <v>42</v>
      </c>
      <c r="D39" t="s">
        <v>36</v>
      </c>
      <c r="E39" t="s">
        <v>53</v>
      </c>
    </row>
    <row r="40">
      <c r="B40" s="5" t="s">
        <v>54</v>
      </c>
      <c r="C40" t="s">
        <v>42</v>
      </c>
      <c r="D40" t="s">
        <v>55</v>
      </c>
      <c r="E40" t="s">
        <v>56</v>
      </c>
    </row>
    <row r="41">
      <c r="B41" s="5" t="s">
        <v>57</v>
      </c>
      <c r="C41" t="s">
        <v>39</v>
      </c>
      <c r="D41" t="s">
        <v>36</v>
      </c>
      <c r="E41" t="s">
        <v>58</v>
      </c>
    </row>
    <row r="42">
      <c r="B42" s="5" t="s">
        <v>59</v>
      </c>
      <c r="C42" t="s">
        <v>60</v>
      </c>
      <c r="D42" t="s">
        <v>55</v>
      </c>
      <c r="E42" t="s">
        <v>61</v>
      </c>
    </row>
    <row r="43">
      <c r="B43" s="5" t="s">
        <v>62</v>
      </c>
      <c r="C43" t="s">
        <v>42</v>
      </c>
      <c r="D43" t="s">
        <v>63</v>
      </c>
      <c r="E43" t="s">
        <v>64</v>
      </c>
    </row>
    <row r="44">
      <c r="B44" s="5" t="s">
        <v>65</v>
      </c>
      <c r="C44" t="s">
        <v>66</v>
      </c>
      <c r="D44" t="s">
        <v>42</v>
      </c>
      <c r="E44" t="s">
        <v>67</v>
      </c>
    </row>
    <row r="45">
      <c r="B45" s="5" t="s">
        <v>68</v>
      </c>
      <c r="C45" t="s">
        <v>69</v>
      </c>
      <c r="D45" t="s">
        <v>42</v>
      </c>
      <c r="E45" t="s">
        <v>70</v>
      </c>
    </row>
    <row r="46">
      <c r="B46" s="5" t="s">
        <v>71</v>
      </c>
      <c r="C46" t="s">
        <v>42</v>
      </c>
      <c r="D46" t="s">
        <v>42</v>
      </c>
      <c r="E46" t="s">
        <v>72</v>
      </c>
    </row>
    <row r="48">
      <c r="B48" s="2" t="s">
        <v>73</v>
      </c>
    </row>
    <row r="49">
      <c r="B49" t="s">
        <v>74</v>
      </c>
    </row>
    <row r="50">
      <c r="B50" t="s">
        <v>75</v>
      </c>
    </row>
    <row r="51">
      <c r="B51" t="s">
        <v>76</v>
      </c>
    </row>
    <row r="52">
      <c r="B52" t="s">
        <v>77</v>
      </c>
    </row>
    <row r="53">
      <c r="B53" t="s">
        <v>78</v>
      </c>
    </row>
    <row r="54">
      <c r="B54" t="s">
        <v>79</v>
      </c>
    </row>
    <row r="55">
      <c r="B55" t="s">
        <v>80</v>
      </c>
    </row>
  </sheetData>
  <pageMargins left="0.5" right="0.5" top="0.6" bottom="0.6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E6AF22"/>
    <pageSetUpPr fitToPage="1"/>
  </sheetPr>
  <sheetViews>
    <sheetView workbookViewId="0" showGridLines="0"/>
  </sheetViews>
  <sheetFormatPr defaultRowHeight="13.8"/>
  <cols>
    <col min="1" max="1" width="10" customWidth="1"/>
    <col min="2" max="2" width="11" customWidth="1"/>
    <col min="3" max="3" width="40" customWidth="1"/>
    <col min="4" max="4" width="16" customWidth="1"/>
    <col min="5" max="5" width="3" customWidth="1"/>
    <col min="6" max="6" width="10" customWidth="1"/>
    <col min="7" max="7" width="11" customWidth="1"/>
    <col min="8" max="8" width="34" customWidth="1"/>
    <col min="9" max="9" width="12" customWidth="1"/>
  </cols>
  <sheetData>
    <row r="1">
      <c r="A1" s="1">
        <f>"Weekly quad -- "&amp;IF(Project="","",Project&amp;" -- ")&amp;"sprint "&amp;CurSprint&amp;", day "&amp;DayOfSprint&amp;" of "&amp;SprintWorkdays&amp;" -- "&amp;TEXT(AsOf,"ddd d mmm yyyy")</f>
      </c>
    </row>
    <row r="2">
      <c r="A2" s="5" t="s">
        <v>81</v>
      </c>
      <c r="C2" s="16">
        <f>IFERROR(SUMIFS(Items[Pts],Items[In sprint],1,Items[State],"DONE")/SUMIFS(Items[Pts],Items[In sprint],1),"")</f>
      </c>
      <c r="F2" s="5" t="s">
        <v>82</v>
      </c>
      <c r="H2" s="16">
        <f>IFERROR(COUNTIFS(Items[In sprint],1,Items[State],"DONE",Items[Carried],0)/COUNTIFS(Items[In sprint],1,Items[State],"DONE"),"")</f>
      </c>
    </row>
    <row r="4">
      <c r="A4" s="18" t="s">
        <v>83</v>
      </c>
      <c r="B4" s="18"/>
      <c r="C4" s="18"/>
      <c r="D4" s="18"/>
      <c r="F4" s="18" t="s">
        <v>84</v>
      </c>
      <c r="G4" s="18"/>
      <c r="H4" s="18"/>
      <c r="I4" s="18"/>
    </row>
    <row r="5">
      <c r="A5" s="5" t="s">
        <v>85</v>
      </c>
      <c r="B5" s="5" t="s">
        <v>86</v>
      </c>
      <c r="C5" s="5" t="s">
        <v>87</v>
      </c>
      <c r="D5" s="5" t="s">
        <v>88</v>
      </c>
      <c r="F5" s="5" t="s">
        <v>85</v>
      </c>
      <c r="G5" s="5" t="s">
        <v>86</v>
      </c>
      <c r="H5" s="5" t="s">
        <v>89</v>
      </c>
      <c r="I5" s="5" t="s">
        <v>90</v>
      </c>
    </row>
    <row r="6">
      <c r="A6" s="17">
        <f>IFERROR(INDEX(Items[ID],MOD(SMALL(Items[KeyTP],1),100000)-ROW(Items[#Headers]))&amp;"","")</f>
      </c>
      <c r="B6" s="17">
        <f>IFERROR(INDEX(Items[State],MOD(SMALL(Items[KeyTP],1),100000)-ROW(Items[#Headers]))&amp;"","")</f>
      </c>
      <c r="C6" s="17">
        <f>IFERROR(INDEX(Items[Title],MOD(SMALL(Items[KeyTP],1),100000)-ROW(Items[#Headers]))&amp;"","")</f>
      </c>
      <c r="D6" s="17">
        <f>IFERROR(INDEX(Items[Owner],MOD(SMALL(Items[KeyTP],1),100000)-ROW(Items[#Headers]))&amp;"","")</f>
      </c>
      <c r="F6" s="17">
        <f>IFERROR(INDEX(Items[ID],MOD(SMALL(Items[KeyWatch],1),100000)-ROW(Items[#Headers]))&amp;"","")</f>
      </c>
      <c r="G6" s="17">
        <f>IFERROR(INDEX(Items[State],MOD(SMALL(Items[KeyWatch],1),100000)-ROW(Items[#Headers]))&amp;"","")</f>
      </c>
      <c r="H6" s="17">
        <f>IFERROR(INDEX(Items[Blocker],MOD(SMALL(Items[KeyWatch],1),100000)-ROW(Items[#Headers]))&amp;"","")</f>
      </c>
      <c r="I6" s="17">
        <f>IFERROR(INDEX(Items[Days blocked],MOD(SMALL(Items[KeyWatch],1),100000)-ROW(Items[#Headers]))&amp;"","")</f>
      </c>
    </row>
    <row r="7">
      <c r="A7" s="17">
        <f>IFERROR(INDEX(Items[ID],MOD(SMALL(Items[KeyTP],2),100000)-ROW(Items[#Headers]))&amp;"","")</f>
      </c>
      <c r="B7" s="17">
        <f>IFERROR(INDEX(Items[State],MOD(SMALL(Items[KeyTP],2),100000)-ROW(Items[#Headers]))&amp;"","")</f>
      </c>
      <c r="C7" s="17">
        <f>IFERROR(INDEX(Items[Title],MOD(SMALL(Items[KeyTP],2),100000)-ROW(Items[#Headers]))&amp;"","")</f>
      </c>
      <c r="D7" s="17">
        <f>IFERROR(INDEX(Items[Owner],MOD(SMALL(Items[KeyTP],2),100000)-ROW(Items[#Headers]))&amp;"","")</f>
      </c>
      <c r="F7" s="17">
        <f>IFERROR(INDEX(Items[ID],MOD(SMALL(Items[KeyWatch],2),100000)-ROW(Items[#Headers]))&amp;"","")</f>
      </c>
      <c r="G7" s="17">
        <f>IFERROR(INDEX(Items[State],MOD(SMALL(Items[KeyWatch],2),100000)-ROW(Items[#Headers]))&amp;"","")</f>
      </c>
      <c r="H7" s="17">
        <f>IFERROR(INDEX(Items[Blocker],MOD(SMALL(Items[KeyWatch],2),100000)-ROW(Items[#Headers]))&amp;"","")</f>
      </c>
      <c r="I7" s="17">
        <f>IFERROR(INDEX(Items[Days blocked],MOD(SMALL(Items[KeyWatch],2),100000)-ROW(Items[#Headers]))&amp;"","")</f>
      </c>
    </row>
    <row r="8">
      <c r="A8" s="17">
        <f>IFERROR(INDEX(Items[ID],MOD(SMALL(Items[KeyTP],3),100000)-ROW(Items[#Headers]))&amp;"","")</f>
      </c>
      <c r="B8" s="17">
        <f>IFERROR(INDEX(Items[State],MOD(SMALL(Items[KeyTP],3),100000)-ROW(Items[#Headers]))&amp;"","")</f>
      </c>
      <c r="C8" s="17">
        <f>IFERROR(INDEX(Items[Title],MOD(SMALL(Items[KeyTP],3),100000)-ROW(Items[#Headers]))&amp;"","")</f>
      </c>
      <c r="D8" s="17">
        <f>IFERROR(INDEX(Items[Owner],MOD(SMALL(Items[KeyTP],3),100000)-ROW(Items[#Headers]))&amp;"","")</f>
      </c>
      <c r="F8" s="17">
        <f>IFERROR(INDEX(Items[ID],MOD(SMALL(Items[KeyWatch],3),100000)-ROW(Items[#Headers]))&amp;"","")</f>
      </c>
      <c r="G8" s="17">
        <f>IFERROR(INDEX(Items[State],MOD(SMALL(Items[KeyWatch],3),100000)-ROW(Items[#Headers]))&amp;"","")</f>
      </c>
      <c r="H8" s="17">
        <f>IFERROR(INDEX(Items[Blocker],MOD(SMALL(Items[KeyWatch],3),100000)-ROW(Items[#Headers]))&amp;"","")</f>
      </c>
      <c r="I8" s="17">
        <f>IFERROR(INDEX(Items[Days blocked],MOD(SMALL(Items[KeyWatch],3),100000)-ROW(Items[#Headers]))&amp;"","")</f>
      </c>
    </row>
    <row r="9">
      <c r="A9" s="17">
        <f>IFERROR(INDEX(Items[ID],MOD(SMALL(Items[KeyTP],4),100000)-ROW(Items[#Headers]))&amp;"","")</f>
      </c>
      <c r="B9" s="17">
        <f>IFERROR(INDEX(Items[State],MOD(SMALL(Items[KeyTP],4),100000)-ROW(Items[#Headers]))&amp;"","")</f>
      </c>
      <c r="C9" s="17">
        <f>IFERROR(INDEX(Items[Title],MOD(SMALL(Items[KeyTP],4),100000)-ROW(Items[#Headers]))&amp;"","")</f>
      </c>
      <c r="D9" s="17">
        <f>IFERROR(INDEX(Items[Owner],MOD(SMALL(Items[KeyTP],4),100000)-ROW(Items[#Headers]))&amp;"","")</f>
      </c>
      <c r="F9" s="17">
        <f>IFERROR(INDEX(Items[ID],MOD(SMALL(Items[KeyWatch],4),100000)-ROW(Items[#Headers]))&amp;"","")</f>
      </c>
      <c r="G9" s="17">
        <f>IFERROR(INDEX(Items[State],MOD(SMALL(Items[KeyWatch],4),100000)-ROW(Items[#Headers]))&amp;"","")</f>
      </c>
      <c r="H9" s="17">
        <f>IFERROR(INDEX(Items[Blocker],MOD(SMALL(Items[KeyWatch],4),100000)-ROW(Items[#Headers]))&amp;"","")</f>
      </c>
      <c r="I9" s="17">
        <f>IFERROR(INDEX(Items[Days blocked],MOD(SMALL(Items[KeyWatch],4),100000)-ROW(Items[#Headers]))&amp;"","")</f>
      </c>
    </row>
    <row r="10">
      <c r="A10" s="17">
        <f>IFERROR(INDEX(Items[ID],MOD(SMALL(Items[KeyTP],5),100000)-ROW(Items[#Headers]))&amp;"","")</f>
      </c>
      <c r="B10" s="17">
        <f>IFERROR(INDEX(Items[State],MOD(SMALL(Items[KeyTP],5),100000)-ROW(Items[#Headers]))&amp;"","")</f>
      </c>
      <c r="C10" s="17">
        <f>IFERROR(INDEX(Items[Title],MOD(SMALL(Items[KeyTP],5),100000)-ROW(Items[#Headers]))&amp;"","")</f>
      </c>
      <c r="D10" s="17">
        <f>IFERROR(INDEX(Items[Owner],MOD(SMALL(Items[KeyTP],5),100000)-ROW(Items[#Headers]))&amp;"","")</f>
      </c>
      <c r="F10" s="17">
        <f>IFERROR(INDEX(Items[ID],MOD(SMALL(Items[KeyWatch],5),100000)-ROW(Items[#Headers]))&amp;"","")</f>
      </c>
      <c r="G10" s="17">
        <f>IFERROR(INDEX(Items[State],MOD(SMALL(Items[KeyWatch],5),100000)-ROW(Items[#Headers]))&amp;"","")</f>
      </c>
      <c r="H10" s="17">
        <f>IFERROR(INDEX(Items[Blocker],MOD(SMALL(Items[KeyWatch],5),100000)-ROW(Items[#Headers]))&amp;"","")</f>
      </c>
      <c r="I10" s="17">
        <f>IFERROR(INDEX(Items[Days blocked],MOD(SMALL(Items[KeyWatch],5),100000)-ROW(Items[#Headers]))&amp;"","")</f>
      </c>
    </row>
    <row r="11">
      <c r="A11" s="17">
        <f>IFERROR(INDEX(Items[ID],MOD(SMALL(Items[KeyTP],6),100000)-ROW(Items[#Headers]))&amp;"","")</f>
      </c>
      <c r="B11" s="17">
        <f>IFERROR(INDEX(Items[State],MOD(SMALL(Items[KeyTP],6),100000)-ROW(Items[#Headers]))&amp;"","")</f>
      </c>
      <c r="C11" s="17">
        <f>IFERROR(INDEX(Items[Title],MOD(SMALL(Items[KeyTP],6),100000)-ROW(Items[#Headers]))&amp;"","")</f>
      </c>
      <c r="D11" s="17">
        <f>IFERROR(INDEX(Items[Owner],MOD(SMALL(Items[KeyTP],6),100000)-ROW(Items[#Headers]))&amp;"","")</f>
      </c>
      <c r="F11" s="17">
        <f>IFERROR(INDEX(Items[ID],MOD(SMALL(Items[KeyWatch],6),100000)-ROW(Items[#Headers]))&amp;"","")</f>
      </c>
      <c r="G11" s="17">
        <f>IFERROR(INDEX(Items[State],MOD(SMALL(Items[KeyWatch],6),100000)-ROW(Items[#Headers]))&amp;"","")</f>
      </c>
      <c r="H11" s="17">
        <f>IFERROR(INDEX(Items[Blocker],MOD(SMALL(Items[KeyWatch],6),100000)-ROW(Items[#Headers]))&amp;"","")</f>
      </c>
      <c r="I11" s="17">
        <f>IFERROR(INDEX(Items[Days blocked],MOD(SMALL(Items[KeyWatch],6),100000)-ROW(Items[#Headers]))&amp;"","")</f>
      </c>
    </row>
    <row r="12">
      <c r="A12" s="17">
        <f>IFERROR(INDEX(Items[ID],MOD(SMALL(Items[KeyTP],7),100000)-ROW(Items[#Headers]))&amp;"","")</f>
      </c>
      <c r="B12" s="17">
        <f>IFERROR(INDEX(Items[State],MOD(SMALL(Items[KeyTP],7),100000)-ROW(Items[#Headers]))&amp;"","")</f>
      </c>
      <c r="C12" s="17">
        <f>IFERROR(INDEX(Items[Title],MOD(SMALL(Items[KeyTP],7),100000)-ROW(Items[#Headers]))&amp;"","")</f>
      </c>
      <c r="D12" s="17">
        <f>IFERROR(INDEX(Items[Owner],MOD(SMALL(Items[KeyTP],7),100000)-ROW(Items[#Headers]))&amp;"","")</f>
      </c>
      <c r="F12" s="17">
        <f>IFERROR(INDEX(Items[ID],MOD(SMALL(Items[KeyWatch],7),100000)-ROW(Items[#Headers]))&amp;"","")</f>
      </c>
      <c r="G12" s="17">
        <f>IFERROR(INDEX(Items[State],MOD(SMALL(Items[KeyWatch],7),100000)-ROW(Items[#Headers]))&amp;"","")</f>
      </c>
      <c r="H12" s="17">
        <f>IFERROR(INDEX(Items[Blocker],MOD(SMALL(Items[KeyWatch],7),100000)-ROW(Items[#Headers]))&amp;"","")</f>
      </c>
      <c r="I12" s="17">
        <f>IFERROR(INDEX(Items[Days blocked],MOD(SMALL(Items[KeyWatch],7),100000)-ROW(Items[#Headers]))&amp;"","")</f>
      </c>
    </row>
    <row r="13">
      <c r="A13" s="17">
        <f>IFERROR(INDEX(Items[ID],MOD(SMALL(Items[KeyTP],8),100000)-ROW(Items[#Headers]))&amp;"","")</f>
      </c>
      <c r="B13" s="17">
        <f>IFERROR(INDEX(Items[State],MOD(SMALL(Items[KeyTP],8),100000)-ROW(Items[#Headers]))&amp;"","")</f>
      </c>
      <c r="C13" s="17">
        <f>IFERROR(INDEX(Items[Title],MOD(SMALL(Items[KeyTP],8),100000)-ROW(Items[#Headers]))&amp;"","")</f>
      </c>
      <c r="D13" s="17">
        <f>IFERROR(INDEX(Items[Owner],MOD(SMALL(Items[KeyTP],8),100000)-ROW(Items[#Headers]))&amp;"","")</f>
      </c>
      <c r="F13" s="17">
        <f>IFERROR(INDEX(Items[ID],MOD(SMALL(Items[KeyWatch],8),100000)-ROW(Items[#Headers]))&amp;"","")</f>
      </c>
      <c r="G13" s="17">
        <f>IFERROR(INDEX(Items[State],MOD(SMALL(Items[KeyWatch],8),100000)-ROW(Items[#Headers]))&amp;"","")</f>
      </c>
      <c r="H13" s="17">
        <f>IFERROR(INDEX(Items[Blocker],MOD(SMALL(Items[KeyWatch],8),100000)-ROW(Items[#Headers]))&amp;"","")</f>
      </c>
      <c r="I13" s="17">
        <f>IFERROR(INDEX(Items[Days blocked],MOD(SMALL(Items[KeyWatch],8),100000)-ROW(Items[#Headers]))&amp;"","")</f>
      </c>
    </row>
    <row r="14">
      <c r="A14" s="17">
        <f>IFERROR(INDEX(Items[ID],MOD(SMALL(Items[KeyTP],9),100000)-ROW(Items[#Headers]))&amp;"","")</f>
      </c>
      <c r="B14" s="17">
        <f>IFERROR(INDEX(Items[State],MOD(SMALL(Items[KeyTP],9),100000)-ROW(Items[#Headers]))&amp;"","")</f>
      </c>
      <c r="C14" s="17">
        <f>IFERROR(INDEX(Items[Title],MOD(SMALL(Items[KeyTP],9),100000)-ROW(Items[#Headers]))&amp;"","")</f>
      </c>
      <c r="D14" s="17">
        <f>IFERROR(INDEX(Items[Owner],MOD(SMALL(Items[KeyTP],9),100000)-ROW(Items[#Headers]))&amp;"","")</f>
      </c>
      <c r="F14" s="17">
        <f>IFERROR(INDEX(Items[ID],MOD(SMALL(Items[KeyWatch],9),100000)-ROW(Items[#Headers]))&amp;"","")</f>
      </c>
      <c r="G14" s="17">
        <f>IFERROR(INDEX(Items[State],MOD(SMALL(Items[KeyWatch],9),100000)-ROW(Items[#Headers]))&amp;"","")</f>
      </c>
      <c r="H14" s="17">
        <f>IFERROR(INDEX(Items[Blocker],MOD(SMALL(Items[KeyWatch],9),100000)-ROW(Items[#Headers]))&amp;"","")</f>
      </c>
      <c r="I14" s="17">
        <f>IFERROR(INDEX(Items[Days blocked],MOD(SMALL(Items[KeyWatch],9),100000)-ROW(Items[#Headers]))&amp;"","")</f>
      </c>
    </row>
    <row r="15">
      <c r="A15" s="17">
        <f>IFERROR(INDEX(Items[ID],MOD(SMALL(Items[KeyTP],10),100000)-ROW(Items[#Headers]))&amp;"","")</f>
      </c>
      <c r="B15" s="17">
        <f>IFERROR(INDEX(Items[State],MOD(SMALL(Items[KeyTP],10),100000)-ROW(Items[#Headers]))&amp;"","")</f>
      </c>
      <c r="C15" s="17">
        <f>IFERROR(INDEX(Items[Title],MOD(SMALL(Items[KeyTP],10),100000)-ROW(Items[#Headers]))&amp;"","")</f>
      </c>
      <c r="D15" s="17">
        <f>IFERROR(INDEX(Items[Owner],MOD(SMALL(Items[KeyTP],10),100000)-ROW(Items[#Headers]))&amp;"","")</f>
      </c>
      <c r="F15" s="17">
        <f>IFERROR(INDEX(Items[ID],MOD(SMALL(Items[KeyWatch],10),100000)-ROW(Items[#Headers]))&amp;"","")</f>
      </c>
      <c r="G15" s="17">
        <f>IFERROR(INDEX(Items[State],MOD(SMALL(Items[KeyWatch],10),100000)-ROW(Items[#Headers]))&amp;"","")</f>
      </c>
      <c r="H15" s="17">
        <f>IFERROR(INDEX(Items[Blocker],MOD(SMALL(Items[KeyWatch],10),100000)-ROW(Items[#Headers]))&amp;"","")</f>
      </c>
      <c r="I15" s="17">
        <f>IFERROR(INDEX(Items[Days blocked],MOD(SMALL(Items[KeyWatch],10),100000)-ROW(Items[#Headers]))&amp;"","")</f>
      </c>
    </row>
    <row r="16">
      <c r="A16" s="17">
        <f>IFERROR(INDEX(Items[ID],MOD(SMALL(Items[KeyTP],11),100000)-ROW(Items[#Headers]))&amp;"","")</f>
      </c>
      <c r="B16" s="17">
        <f>IFERROR(INDEX(Items[State],MOD(SMALL(Items[KeyTP],11),100000)-ROW(Items[#Headers]))&amp;"","")</f>
      </c>
      <c r="C16" s="17">
        <f>IFERROR(INDEX(Items[Title],MOD(SMALL(Items[KeyTP],11),100000)-ROW(Items[#Headers]))&amp;"","")</f>
      </c>
      <c r="D16" s="17">
        <f>IFERROR(INDEX(Items[Owner],MOD(SMALL(Items[KeyTP],11),100000)-ROW(Items[#Headers]))&amp;"","")</f>
      </c>
      <c r="F16" s="17">
        <f>IFERROR(INDEX(Items[ID],MOD(SMALL(Items[KeyWatch],11),100000)-ROW(Items[#Headers]))&amp;"","")</f>
      </c>
      <c r="G16" s="17">
        <f>IFERROR(INDEX(Items[State],MOD(SMALL(Items[KeyWatch],11),100000)-ROW(Items[#Headers]))&amp;"","")</f>
      </c>
      <c r="H16" s="17">
        <f>IFERROR(INDEX(Items[Blocker],MOD(SMALL(Items[KeyWatch],11),100000)-ROW(Items[#Headers]))&amp;"","")</f>
      </c>
      <c r="I16" s="17">
        <f>IFERROR(INDEX(Items[Days blocked],MOD(SMALL(Items[KeyWatch],11),100000)-ROW(Items[#Headers]))&amp;"","")</f>
      </c>
    </row>
    <row r="17">
      <c r="A17" s="17">
        <f>IFERROR(INDEX(Items[ID],MOD(SMALL(Items[KeyTP],12),100000)-ROW(Items[#Headers]))&amp;"","")</f>
      </c>
      <c r="B17" s="17">
        <f>IFERROR(INDEX(Items[State],MOD(SMALL(Items[KeyTP],12),100000)-ROW(Items[#Headers]))&amp;"","")</f>
      </c>
      <c r="C17" s="17">
        <f>IFERROR(INDEX(Items[Title],MOD(SMALL(Items[KeyTP],12),100000)-ROW(Items[#Headers]))&amp;"","")</f>
      </c>
      <c r="D17" s="17">
        <f>IFERROR(INDEX(Items[Owner],MOD(SMALL(Items[KeyTP],12),100000)-ROW(Items[#Headers]))&amp;"","")</f>
      </c>
      <c r="F17" s="17">
        <f>IFERROR(INDEX(Items[ID],MOD(SMALL(Items[KeyWatch],12),100000)-ROW(Items[#Headers]))&amp;"","")</f>
      </c>
      <c r="G17" s="17">
        <f>IFERROR(INDEX(Items[State],MOD(SMALL(Items[KeyWatch],12),100000)-ROW(Items[#Headers]))&amp;"","")</f>
      </c>
      <c r="H17" s="17">
        <f>IFERROR(INDEX(Items[Blocker],MOD(SMALL(Items[KeyWatch],12),100000)-ROW(Items[#Headers]))&amp;"","")</f>
      </c>
      <c r="I17" s="17">
        <f>IFERROR(INDEX(Items[Days blocked],MOD(SMALL(Items[KeyWatch],12),100000)-ROW(Items[#Headers]))&amp;"","")</f>
      </c>
    </row>
    <row r="19">
      <c r="A19" s="18" t="s">
        <v>91</v>
      </c>
      <c r="B19" s="18"/>
      <c r="C19" s="18"/>
      <c r="D19" s="18"/>
      <c r="F19" s="18" t="s">
        <v>92</v>
      </c>
      <c r="G19" s="18"/>
      <c r="H19" s="18"/>
      <c r="I19" s="18"/>
    </row>
    <row r="20">
      <c r="A20" s="5" t="s">
        <v>93</v>
      </c>
      <c r="B20" s="5" t="s">
        <v>94</v>
      </c>
      <c r="C20" s="5" t="s">
        <v>95</v>
      </c>
      <c r="D20" s="5" t="s">
        <v>96</v>
      </c>
      <c r="F20" s="5" t="s">
        <v>85</v>
      </c>
      <c r="G20" s="5" t="s">
        <v>97</v>
      </c>
      <c r="H20" s="5" t="s">
        <v>87</v>
      </c>
      <c r="I20" s="5" t="s">
        <v>88</v>
      </c>
    </row>
    <row r="21">
      <c r="A21" s="17">
        <f>IFERROR(INDEX(Epics[Epic],MOD(SMALL(Epics[KeyMS],1),100000)-ROW(Epics[#Headers]))&amp;"","")</f>
      </c>
      <c r="B21" s="17">
        <f>IFERROR(INDEX(Epics[Status],MOD(SMALL(Epics[KeyMS],1),100000)-ROW(Epics[#Headers]))&amp;"","")</f>
      </c>
      <c r="C21" s="11">
        <f>IFERROR(INDEX(Epics[Due],MOD(SMALL(Epics[KeyMS],1),100000)-ROW(Epics[#Headers])),"")</f>
      </c>
      <c r="D21" s="13">
        <f>IFERROR(INDEX(Epics[Pct done],MOD(SMALL(Epics[KeyMS],1),100000)-ROW(Epics[#Headers])),"")</f>
      </c>
      <c r="F21" s="17">
        <f>IFERROR(INDEX(Items[ID],MOD(SMALL(Items[KeyAcc],1),100000)-ROW(Items[#Headers]))&amp;"","")</f>
      </c>
      <c r="G21" s="11">
        <f>IFERROR(INDEX(Items[Done on],MOD(SMALL(Items[KeyAcc],1),100000)-ROW(Items[#Headers])),"")</f>
      </c>
      <c r="H21" s="17">
        <f>IFERROR(INDEX(Items[Title],MOD(SMALL(Items[KeyAcc],1),100000)-ROW(Items[#Headers]))&amp;"","")</f>
      </c>
      <c r="I21" s="17">
        <f>IFERROR(INDEX(Items[Owner],MOD(SMALL(Items[KeyAcc],1),100000)-ROW(Items[#Headers]))&amp;"","")</f>
      </c>
    </row>
    <row r="22">
      <c r="A22" s="17">
        <f>IFERROR(INDEX(Epics[Epic],MOD(SMALL(Epics[KeyMS],2),100000)-ROW(Epics[#Headers]))&amp;"","")</f>
      </c>
      <c r="B22" s="17">
        <f>IFERROR(INDEX(Epics[Status],MOD(SMALL(Epics[KeyMS],2),100000)-ROW(Epics[#Headers]))&amp;"","")</f>
      </c>
      <c r="C22" s="11">
        <f>IFERROR(INDEX(Epics[Due],MOD(SMALL(Epics[KeyMS],2),100000)-ROW(Epics[#Headers])),"")</f>
      </c>
      <c r="D22" s="13">
        <f>IFERROR(INDEX(Epics[Pct done],MOD(SMALL(Epics[KeyMS],2),100000)-ROW(Epics[#Headers])),"")</f>
      </c>
      <c r="F22" s="17">
        <f>IFERROR(INDEX(Items[ID],MOD(SMALL(Items[KeyAcc],2),100000)-ROW(Items[#Headers]))&amp;"","")</f>
      </c>
      <c r="G22" s="11">
        <f>IFERROR(INDEX(Items[Done on],MOD(SMALL(Items[KeyAcc],2),100000)-ROW(Items[#Headers])),"")</f>
      </c>
      <c r="H22" s="17">
        <f>IFERROR(INDEX(Items[Title],MOD(SMALL(Items[KeyAcc],2),100000)-ROW(Items[#Headers]))&amp;"","")</f>
      </c>
      <c r="I22" s="17">
        <f>IFERROR(INDEX(Items[Owner],MOD(SMALL(Items[KeyAcc],2),100000)-ROW(Items[#Headers]))&amp;"","")</f>
      </c>
    </row>
    <row r="23">
      <c r="A23" s="17">
        <f>IFERROR(INDEX(Epics[Epic],MOD(SMALL(Epics[KeyMS],3),100000)-ROW(Epics[#Headers]))&amp;"","")</f>
      </c>
      <c r="B23" s="17">
        <f>IFERROR(INDEX(Epics[Status],MOD(SMALL(Epics[KeyMS],3),100000)-ROW(Epics[#Headers]))&amp;"","")</f>
      </c>
      <c r="C23" s="11">
        <f>IFERROR(INDEX(Epics[Due],MOD(SMALL(Epics[KeyMS],3),100000)-ROW(Epics[#Headers])),"")</f>
      </c>
      <c r="D23" s="13">
        <f>IFERROR(INDEX(Epics[Pct done],MOD(SMALL(Epics[KeyMS],3),100000)-ROW(Epics[#Headers])),"")</f>
      </c>
      <c r="F23" s="17">
        <f>IFERROR(INDEX(Items[ID],MOD(SMALL(Items[KeyAcc],3),100000)-ROW(Items[#Headers]))&amp;"","")</f>
      </c>
      <c r="G23" s="11">
        <f>IFERROR(INDEX(Items[Done on],MOD(SMALL(Items[KeyAcc],3),100000)-ROW(Items[#Headers])),"")</f>
      </c>
      <c r="H23" s="17">
        <f>IFERROR(INDEX(Items[Title],MOD(SMALL(Items[KeyAcc],3),100000)-ROW(Items[#Headers]))&amp;"","")</f>
      </c>
      <c r="I23" s="17">
        <f>IFERROR(INDEX(Items[Owner],MOD(SMALL(Items[KeyAcc],3),100000)-ROW(Items[#Headers]))&amp;"","")</f>
      </c>
    </row>
    <row r="24">
      <c r="A24" s="17">
        <f>IFERROR(INDEX(Epics[Epic],MOD(SMALL(Epics[KeyMS],4),100000)-ROW(Epics[#Headers]))&amp;"","")</f>
      </c>
      <c r="B24" s="17">
        <f>IFERROR(INDEX(Epics[Status],MOD(SMALL(Epics[KeyMS],4),100000)-ROW(Epics[#Headers]))&amp;"","")</f>
      </c>
      <c r="C24" s="11">
        <f>IFERROR(INDEX(Epics[Due],MOD(SMALL(Epics[KeyMS],4),100000)-ROW(Epics[#Headers])),"")</f>
      </c>
      <c r="D24" s="13">
        <f>IFERROR(INDEX(Epics[Pct done],MOD(SMALL(Epics[KeyMS],4),100000)-ROW(Epics[#Headers])),"")</f>
      </c>
      <c r="F24" s="17">
        <f>IFERROR(INDEX(Items[ID],MOD(SMALL(Items[KeyAcc],4),100000)-ROW(Items[#Headers]))&amp;"","")</f>
      </c>
      <c r="G24" s="11">
        <f>IFERROR(INDEX(Items[Done on],MOD(SMALL(Items[KeyAcc],4),100000)-ROW(Items[#Headers])),"")</f>
      </c>
      <c r="H24" s="17">
        <f>IFERROR(INDEX(Items[Title],MOD(SMALL(Items[KeyAcc],4),100000)-ROW(Items[#Headers]))&amp;"","")</f>
      </c>
      <c r="I24" s="17">
        <f>IFERROR(INDEX(Items[Owner],MOD(SMALL(Items[KeyAcc],4),100000)-ROW(Items[#Headers]))&amp;"","")</f>
      </c>
    </row>
    <row r="25">
      <c r="A25" s="17">
        <f>IFERROR(INDEX(Epics[Epic],MOD(SMALL(Epics[KeyMS],5),100000)-ROW(Epics[#Headers]))&amp;"","")</f>
      </c>
      <c r="B25" s="17">
        <f>IFERROR(INDEX(Epics[Status],MOD(SMALL(Epics[KeyMS],5),100000)-ROW(Epics[#Headers]))&amp;"","")</f>
      </c>
      <c r="C25" s="11">
        <f>IFERROR(INDEX(Epics[Due],MOD(SMALL(Epics[KeyMS],5),100000)-ROW(Epics[#Headers])),"")</f>
      </c>
      <c r="D25" s="13">
        <f>IFERROR(INDEX(Epics[Pct done],MOD(SMALL(Epics[KeyMS],5),100000)-ROW(Epics[#Headers])),"")</f>
      </c>
      <c r="F25" s="17">
        <f>IFERROR(INDEX(Items[ID],MOD(SMALL(Items[KeyAcc],5),100000)-ROW(Items[#Headers]))&amp;"","")</f>
      </c>
      <c r="G25" s="11">
        <f>IFERROR(INDEX(Items[Done on],MOD(SMALL(Items[KeyAcc],5),100000)-ROW(Items[#Headers])),"")</f>
      </c>
      <c r="H25" s="17">
        <f>IFERROR(INDEX(Items[Title],MOD(SMALL(Items[KeyAcc],5),100000)-ROW(Items[#Headers]))&amp;"","")</f>
      </c>
      <c r="I25" s="17">
        <f>IFERROR(INDEX(Items[Owner],MOD(SMALL(Items[KeyAcc],5),100000)-ROW(Items[#Headers]))&amp;"","")</f>
      </c>
    </row>
    <row r="26">
      <c r="A26" s="17">
        <f>IFERROR(INDEX(Epics[Epic],MOD(SMALL(Epics[KeyMS],6),100000)-ROW(Epics[#Headers]))&amp;"","")</f>
      </c>
      <c r="B26" s="17">
        <f>IFERROR(INDEX(Epics[Status],MOD(SMALL(Epics[KeyMS],6),100000)-ROW(Epics[#Headers]))&amp;"","")</f>
      </c>
      <c r="C26" s="11">
        <f>IFERROR(INDEX(Epics[Due],MOD(SMALL(Epics[KeyMS],6),100000)-ROW(Epics[#Headers])),"")</f>
      </c>
      <c r="D26" s="13">
        <f>IFERROR(INDEX(Epics[Pct done],MOD(SMALL(Epics[KeyMS],6),100000)-ROW(Epics[#Headers])),"")</f>
      </c>
      <c r="F26" s="17">
        <f>IFERROR(INDEX(Items[ID],MOD(SMALL(Items[KeyAcc],6),100000)-ROW(Items[#Headers]))&amp;"","")</f>
      </c>
      <c r="G26" s="11">
        <f>IFERROR(INDEX(Items[Done on],MOD(SMALL(Items[KeyAcc],6),100000)-ROW(Items[#Headers])),"")</f>
      </c>
      <c r="H26" s="17">
        <f>IFERROR(INDEX(Items[Title],MOD(SMALL(Items[KeyAcc],6),100000)-ROW(Items[#Headers]))&amp;"","")</f>
      </c>
      <c r="I26" s="17">
        <f>IFERROR(INDEX(Items[Owner],MOD(SMALL(Items[KeyAcc],6),100000)-ROW(Items[#Headers]))&amp;"","")</f>
      </c>
    </row>
    <row r="27">
      <c r="A27" s="17">
        <f>IFERROR(INDEX(Epics[Epic],MOD(SMALL(Epics[KeyMS],7),100000)-ROW(Epics[#Headers]))&amp;"","")</f>
      </c>
      <c r="B27" s="17">
        <f>IFERROR(INDEX(Epics[Status],MOD(SMALL(Epics[KeyMS],7),100000)-ROW(Epics[#Headers]))&amp;"","")</f>
      </c>
      <c r="C27" s="11">
        <f>IFERROR(INDEX(Epics[Due],MOD(SMALL(Epics[KeyMS],7),100000)-ROW(Epics[#Headers])),"")</f>
      </c>
      <c r="D27" s="13">
        <f>IFERROR(INDEX(Epics[Pct done],MOD(SMALL(Epics[KeyMS],7),100000)-ROW(Epics[#Headers])),"")</f>
      </c>
      <c r="F27" s="17">
        <f>IFERROR(INDEX(Items[ID],MOD(SMALL(Items[KeyAcc],7),100000)-ROW(Items[#Headers]))&amp;"","")</f>
      </c>
      <c r="G27" s="11">
        <f>IFERROR(INDEX(Items[Done on],MOD(SMALL(Items[KeyAcc],7),100000)-ROW(Items[#Headers])),"")</f>
      </c>
      <c r="H27" s="17">
        <f>IFERROR(INDEX(Items[Title],MOD(SMALL(Items[KeyAcc],7),100000)-ROW(Items[#Headers]))&amp;"","")</f>
      </c>
      <c r="I27" s="17">
        <f>IFERROR(INDEX(Items[Owner],MOD(SMALL(Items[KeyAcc],7),100000)-ROW(Items[#Headers]))&amp;"","")</f>
      </c>
    </row>
    <row r="28">
      <c r="A28" s="17">
        <f>IFERROR(INDEX(Epics[Epic],MOD(SMALL(Epics[KeyMS],8),100000)-ROW(Epics[#Headers]))&amp;"","")</f>
      </c>
      <c r="B28" s="17">
        <f>IFERROR(INDEX(Epics[Status],MOD(SMALL(Epics[KeyMS],8),100000)-ROW(Epics[#Headers]))&amp;"","")</f>
      </c>
      <c r="C28" s="11">
        <f>IFERROR(INDEX(Epics[Due],MOD(SMALL(Epics[KeyMS],8),100000)-ROW(Epics[#Headers])),"")</f>
      </c>
      <c r="D28" s="13">
        <f>IFERROR(INDEX(Epics[Pct done],MOD(SMALL(Epics[KeyMS],8),100000)-ROW(Epics[#Headers])),"")</f>
      </c>
      <c r="F28" s="17">
        <f>IFERROR(INDEX(Items[ID],MOD(SMALL(Items[KeyAcc],8),100000)-ROW(Items[#Headers]))&amp;"","")</f>
      </c>
      <c r="G28" s="11">
        <f>IFERROR(INDEX(Items[Done on],MOD(SMALL(Items[KeyAcc],8),100000)-ROW(Items[#Headers])),"")</f>
      </c>
      <c r="H28" s="17">
        <f>IFERROR(INDEX(Items[Title],MOD(SMALL(Items[KeyAcc],8),100000)-ROW(Items[#Headers]))&amp;"","")</f>
      </c>
      <c r="I28" s="17">
        <f>IFERROR(INDEX(Items[Owner],MOD(SMALL(Items[KeyAcc],8),100000)-ROW(Items[#Headers]))&amp;"","")</f>
      </c>
    </row>
    <row r="29">
      <c r="A29" s="17">
        <f>IFERROR(INDEX(Epics[Epic],MOD(SMALL(Epics[KeyMS],9),100000)-ROW(Epics[#Headers]))&amp;"","")</f>
      </c>
      <c r="B29" s="17">
        <f>IFERROR(INDEX(Epics[Status],MOD(SMALL(Epics[KeyMS],9),100000)-ROW(Epics[#Headers]))&amp;"","")</f>
      </c>
      <c r="C29" s="11">
        <f>IFERROR(INDEX(Epics[Due],MOD(SMALL(Epics[KeyMS],9),100000)-ROW(Epics[#Headers])),"")</f>
      </c>
      <c r="D29" s="13">
        <f>IFERROR(INDEX(Epics[Pct done],MOD(SMALL(Epics[KeyMS],9),100000)-ROW(Epics[#Headers])),"")</f>
      </c>
      <c r="F29" s="17">
        <f>IFERROR(INDEX(Items[ID],MOD(SMALL(Items[KeyAcc],9),100000)-ROW(Items[#Headers]))&amp;"","")</f>
      </c>
      <c r="G29" s="11">
        <f>IFERROR(INDEX(Items[Done on],MOD(SMALL(Items[KeyAcc],9),100000)-ROW(Items[#Headers])),"")</f>
      </c>
      <c r="H29" s="17">
        <f>IFERROR(INDEX(Items[Title],MOD(SMALL(Items[KeyAcc],9),100000)-ROW(Items[#Headers]))&amp;"","")</f>
      </c>
      <c r="I29" s="17">
        <f>IFERROR(INDEX(Items[Owner],MOD(SMALL(Items[KeyAcc],9),100000)-ROW(Items[#Headers]))&amp;"","")</f>
      </c>
    </row>
    <row r="30">
      <c r="A30" s="17">
        <f>IFERROR(INDEX(Epics[Epic],MOD(SMALL(Epics[KeyMS],10),100000)-ROW(Epics[#Headers]))&amp;"","")</f>
      </c>
      <c r="B30" s="17">
        <f>IFERROR(INDEX(Epics[Status],MOD(SMALL(Epics[KeyMS],10),100000)-ROW(Epics[#Headers]))&amp;"","")</f>
      </c>
      <c r="C30" s="11">
        <f>IFERROR(INDEX(Epics[Due],MOD(SMALL(Epics[KeyMS],10),100000)-ROW(Epics[#Headers])),"")</f>
      </c>
      <c r="D30" s="13">
        <f>IFERROR(INDEX(Epics[Pct done],MOD(SMALL(Epics[KeyMS],10),100000)-ROW(Epics[#Headers])),"")</f>
      </c>
      <c r="F30" s="17">
        <f>IFERROR(INDEX(Items[ID],MOD(SMALL(Items[KeyAcc],10),100000)-ROW(Items[#Headers]))&amp;"","")</f>
      </c>
      <c r="G30" s="11">
        <f>IFERROR(INDEX(Items[Done on],MOD(SMALL(Items[KeyAcc],10),100000)-ROW(Items[#Headers])),"")</f>
      </c>
      <c r="H30" s="17">
        <f>IFERROR(INDEX(Items[Title],MOD(SMALL(Items[KeyAcc],10),100000)-ROW(Items[#Headers]))&amp;"","")</f>
      </c>
      <c r="I30" s="17">
        <f>IFERROR(INDEX(Items[Owner],MOD(SMALL(Items[KeyAcc],10),100000)-ROW(Items[#Headers]))&amp;"","")</f>
      </c>
    </row>
    <row r="31">
      <c r="A31" s="17">
        <f>IFERROR(INDEX(Epics[Epic],MOD(SMALL(Epics[KeyMS],11),100000)-ROW(Epics[#Headers]))&amp;"","")</f>
      </c>
      <c r="B31" s="17">
        <f>IFERROR(INDEX(Epics[Status],MOD(SMALL(Epics[KeyMS],11),100000)-ROW(Epics[#Headers]))&amp;"","")</f>
      </c>
      <c r="C31" s="11">
        <f>IFERROR(INDEX(Epics[Due],MOD(SMALL(Epics[KeyMS],11),100000)-ROW(Epics[#Headers])),"")</f>
      </c>
      <c r="D31" s="13">
        <f>IFERROR(INDEX(Epics[Pct done],MOD(SMALL(Epics[KeyMS],11),100000)-ROW(Epics[#Headers])),"")</f>
      </c>
      <c r="F31" s="17">
        <f>IFERROR(INDEX(Items[ID],MOD(SMALL(Items[KeyAcc],11),100000)-ROW(Items[#Headers]))&amp;"","")</f>
      </c>
      <c r="G31" s="11">
        <f>IFERROR(INDEX(Items[Done on],MOD(SMALL(Items[KeyAcc],11),100000)-ROW(Items[#Headers])),"")</f>
      </c>
      <c r="H31" s="17">
        <f>IFERROR(INDEX(Items[Title],MOD(SMALL(Items[KeyAcc],11),100000)-ROW(Items[#Headers]))&amp;"","")</f>
      </c>
      <c r="I31" s="17">
        <f>IFERROR(INDEX(Items[Owner],MOD(SMALL(Items[KeyAcc],11),100000)-ROW(Items[#Headers]))&amp;"","")</f>
      </c>
    </row>
    <row r="32">
      <c r="A32" s="17">
        <f>IFERROR(INDEX(Epics[Epic],MOD(SMALL(Epics[KeyMS],12),100000)-ROW(Epics[#Headers]))&amp;"","")</f>
      </c>
      <c r="B32" s="17">
        <f>IFERROR(INDEX(Epics[Status],MOD(SMALL(Epics[KeyMS],12),100000)-ROW(Epics[#Headers]))&amp;"","")</f>
      </c>
      <c r="C32" s="11">
        <f>IFERROR(INDEX(Epics[Due],MOD(SMALL(Epics[KeyMS],12),100000)-ROW(Epics[#Headers])),"")</f>
      </c>
      <c r="D32" s="13">
        <f>IFERROR(INDEX(Epics[Pct done],MOD(SMALL(Epics[KeyMS],12),100000)-ROW(Epics[#Headers])),"")</f>
      </c>
      <c r="F32" s="17">
        <f>IFERROR(INDEX(Items[ID],MOD(SMALL(Items[KeyAcc],12),100000)-ROW(Items[#Headers]))&amp;"","")</f>
      </c>
      <c r="G32" s="11">
        <f>IFERROR(INDEX(Items[Done on],MOD(SMALL(Items[KeyAcc],12),100000)-ROW(Items[#Headers])),"")</f>
      </c>
      <c r="H32" s="17">
        <f>IFERROR(INDEX(Items[Title],MOD(SMALL(Items[KeyAcc],12),100000)-ROW(Items[#Headers]))&amp;"","")</f>
      </c>
      <c r="I32" s="17">
        <f>IFERROR(INDEX(Items[Owner],MOD(SMALL(Items[KeyAcc],12),100000)-ROW(Items[#Headers]))&amp;"","")</f>
      </c>
    </row>
    <row r="34">
      <c r="A34" s="5" t="s">
        <v>98</v>
      </c>
      <c r="C34" s="17">
        <f>SUMIFS(Log[Pts],Log[Verb],"punt",Log[Sprint],"&gt;"&amp;(CurSprint-4))</f>
      </c>
      <c r="F34" s="5" t="s">
        <v>99</v>
      </c>
      <c r="H34" s="17">
        <f>COUNTIFS(Items[State],"WAIT",Items[Days blocked],"&gt;"&amp;BlockAmber)</f>
      </c>
    </row>
  </sheetData>
  <conditionalFormatting sqref="B6:B17">
    <cfRule type="expression" dxfId="6" priority="1">
      <formula>B6="WAIT"</formula>
    </cfRule>
  </conditionalFormatting>
  <conditionalFormatting sqref="B6:B17">
    <cfRule type="expression" dxfId="7" priority="2">
      <formula>B6="DONE"</formula>
    </cfRule>
  </conditionalFormatting>
  <conditionalFormatting sqref="B6:B17">
    <cfRule type="expression" dxfId="0" priority="3">
      <formula>OR(B6="LATE",B6="AT RISK")</formula>
    </cfRule>
  </conditionalFormatting>
  <conditionalFormatting sqref="G6:G17">
    <cfRule type="expression" dxfId="6" priority="4">
      <formula>G6="WAIT"</formula>
    </cfRule>
  </conditionalFormatting>
  <conditionalFormatting sqref="G6:G17">
    <cfRule type="expression" dxfId="7" priority="5">
      <formula>G6="DONE"</formula>
    </cfRule>
  </conditionalFormatting>
  <conditionalFormatting sqref="G6:G17">
    <cfRule type="expression" dxfId="0" priority="6">
      <formula>OR(G6="LATE",G6="AT RISK")</formula>
    </cfRule>
  </conditionalFormatting>
  <conditionalFormatting sqref="B21:B32">
    <cfRule type="expression" dxfId="6" priority="7">
      <formula>B21="WAIT"</formula>
    </cfRule>
  </conditionalFormatting>
  <conditionalFormatting sqref="B21:B32">
    <cfRule type="expression" dxfId="7" priority="8">
      <formula>B21="DONE"</formula>
    </cfRule>
  </conditionalFormatting>
  <conditionalFormatting sqref="B21:B32">
    <cfRule type="expression" dxfId="0" priority="9">
      <formula>OR(B21="LATE",B21="AT RISK")</formula>
    </cfRule>
  </conditionalFormatting>
  <conditionalFormatting sqref="G21:G32">
    <cfRule type="expression" dxfId="6" priority="10">
      <formula>G21="WAIT"</formula>
    </cfRule>
  </conditionalFormatting>
  <conditionalFormatting sqref="G21:G32">
    <cfRule type="expression" dxfId="7" priority="11">
      <formula>G21="DONE"</formula>
    </cfRule>
  </conditionalFormatting>
  <conditionalFormatting sqref="G21:G32">
    <cfRule type="expression" dxfId="0" priority="12">
      <formula>OR(G21="LATE",G21="AT RISK")</formula>
    </cfRule>
  </conditionalFormatting>
  <pageMargins left="0.5" right="0.5" top="0.6" bottom="0.6" header="0.3" footer="0.3"/>
  <pageSetup orientation="landscape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D6292E"/>
  </sheetPr>
  <sheetViews>
    <sheetView workbookViewId="0" showGridLines="0"/>
  </sheetViews>
  <sheetFormatPr defaultRowHeight="13.8"/>
  <cols>
    <col min="1" max="1" width="40" customWidth="1"/>
    <col min="2" max="2" width="10" customWidth="1"/>
    <col min="3" max="3" width="9" customWidth="1"/>
    <col min="4" max="4" width="70" customWidth="1"/>
  </cols>
  <sheetData>
    <row r="1">
      <c r="A1" s="1" t="s">
        <v>100</v>
      </c>
    </row>
    <row r="2">
      <c r="A2" s="6" t="s">
        <v>101</v>
      </c>
    </row>
    <row r="4">
      <c r="A4" s="3" t="s">
        <v>102</v>
      </c>
      <c r="B4" s="3" t="s">
        <v>103</v>
      </c>
      <c r="C4" s="3" t="s">
        <v>104</v>
      </c>
      <c r="D4" s="3" t="s">
        <v>105</v>
      </c>
    </row>
    <row r="5">
      <c r="A5" s="5" t="s">
        <v>106</v>
      </c>
      <c r="B5" s="17">
        <f>COUNTIFS(Items[State],"WAIT",Items[Days blocked],"&gt;"&amp;BlockRed)</f>
      </c>
      <c r="C5" s="5">
        <f>IF(B5&gt;0,"RED","OK")</f>
      </c>
      <c r="D5" s="6" t="s">
        <v>107</v>
      </c>
    </row>
    <row r="6">
      <c r="A6" s="5" t="s">
        <v>108</v>
      </c>
      <c r="B6" s="17">
        <f>COUNTIFS(Items[State],"WAIT",Items[Days blocked],"&gt;"&amp;BlockAmber)</f>
      </c>
      <c r="C6" s="5">
        <f>IF(B6&gt;0,"AMBER","OK")</f>
      </c>
      <c r="D6" s="6" t="s">
        <v>109</v>
      </c>
    </row>
    <row r="7">
      <c r="A7" s="5" t="s">
        <v>110</v>
      </c>
      <c r="B7" s="17">
        <f>COUNTIFS(Teams[Load],"&gt;"&amp;LoadHigh)</f>
      </c>
      <c r="C7" s="5">
        <f>IF(B7&gt;0,"AMBER","OK")</f>
      </c>
      <c r="D7" s="6" t="s">
        <v>111</v>
      </c>
    </row>
    <row r="8">
      <c r="A8" s="5" t="s">
        <v>112</v>
      </c>
      <c r="B8" s="17">
        <f>COUNTIFS(Teams[Load],"&lt;"&amp;LoadLow,Teams[Load],"&gt;0")</f>
      </c>
      <c r="C8" s="5">
        <f>IF(B8&gt;0,"AMBER","OK")</f>
      </c>
      <c r="D8" s="6" t="s">
        <v>113</v>
      </c>
    </row>
    <row r="9">
      <c r="A9" s="5" t="s">
        <v>114</v>
      </c>
      <c r="B9" s="13">
        <f>IFERROR(SUMIFS(Items[Pts],Items[In sprint],1,Items[State],"DONE")/SUMIFS(Items[Pts],Items[In sprint],1),0)</f>
      </c>
      <c r="C9" s="5">
        <f>IF(DayOfSprint&lt;8,"OK",IF(B9&lt;Day8Pct,"AMBER","OK"))</f>
      </c>
      <c r="D9" s="6" t="s">
        <v>115</v>
      </c>
    </row>
    <row r="10">
      <c r="A10" s="5" t="s">
        <v>116</v>
      </c>
      <c r="B10" s="17">
        <f>COUNTIFS(Items[In sprint],1,Items[Owner],"",Items[State],"&lt;&gt;DONE")</f>
      </c>
      <c r="C10" s="5">
        <f>IF(B10&gt;0,"AMBER","OK")</f>
      </c>
      <c r="D10" s="6" t="s">
        <v>117</v>
      </c>
    </row>
    <row r="11">
      <c r="A11" s="5" t="s">
        <v>118</v>
      </c>
      <c r="B11" s="13">
        <f>IFERROR(INDEX(Velocity!$G$6:$G$17,MATCH(CurSprint-1,Velocity!$A$6:$A$17,0)),"")</f>
      </c>
      <c r="C11" s="5">
        <f>IF(B11="","OK",IF(B11&lt;PredictMin,"AMBER","OK"))</f>
      </c>
      <c r="D11" s="6" t="s">
        <v>119</v>
      </c>
    </row>
    <row r="12">
      <c r="A12" s="5" t="s">
        <v>120</v>
      </c>
      <c r="B12" s="13">
        <f>IFERROR(INDEX(Velocity!$H$6:$H$17,MATCH(CurSprint-1,Velocity!$A$6:$A$17,0)),"")</f>
      </c>
      <c r="C12" s="5">
        <f>IF(B12="","OK",IF(B12&gt;CarryMax,"AMBER","OK"))</f>
      </c>
      <c r="D12" s="6" t="s">
        <v>121</v>
      </c>
    </row>
    <row r="13">
      <c r="A13" s="5" t="s">
        <v>122</v>
      </c>
      <c r="B13" s="13">
        <f>IFERROR(INDEX(Velocity!$I$6:$I$17,MATCH(CurSprint-1,Velocity!$A$6:$A$17,0)),"")</f>
      </c>
      <c r="C13" s="5">
        <f>IF(B13="","OK",IF(B13&gt;PuntMax,"AMBER","OK"))</f>
      </c>
      <c r="D13" s="6" t="s">
        <v>123</v>
      </c>
    </row>
    <row r="14">
      <c r="A14" s="5" t="s">
        <v>124</v>
      </c>
      <c r="B14" s="17">
        <f>COUNTIF(Epics[Status],"LATE")+COUNTIF(Epics[Status],"AT RISK")</f>
      </c>
      <c r="C14" s="5">
        <f>IF(B14&gt;0,"RED","OK")</f>
      </c>
      <c r="D14" s="6" t="s">
        <v>125</v>
      </c>
    </row>
    <row r="15">
      <c r="A15" s="5" t="s">
        <v>126</v>
      </c>
      <c r="B15" s="17">
        <f>COUNTIFS(Roster[Team share],"&gt;"&amp;BusMax)</f>
      </c>
      <c r="C15" s="5">
        <f>IF(B15&gt;0,"AMBER","OK")</f>
      </c>
      <c r="D15" s="6" t="s">
        <v>127</v>
      </c>
    </row>
    <row r="16">
      <c r="A16" s="5" t="s">
        <v>128</v>
      </c>
      <c r="B16" s="17">
        <f>COUNTIFS(Items[State],"TODO",Items[Age],"&gt;"&amp;AgeMax)</f>
      </c>
      <c r="C16" s="5">
        <f>IF(B16&gt;0,"AMBER","OK")</f>
      </c>
      <c r="D16" s="6" t="s">
        <v>129</v>
      </c>
    </row>
    <row r="17">
      <c r="A17" s="5" t="s">
        <v>130</v>
      </c>
      <c r="B17" s="17">
        <f>COUNTIF(Lint!K5:K154,"silent*")</f>
      </c>
      <c r="C17" s="5">
        <f>IF(B17&gt;0,"AMBER","OK")</f>
      </c>
      <c r="D17" s="6" t="s">
        <v>131</v>
      </c>
    </row>
    <row r="18">
      <c r="A18" s="5" t="s">
        <v>132</v>
      </c>
      <c r="B18" s="17">
        <f>COUNTIF(Log[Check],"?*")</f>
      </c>
      <c r="C18" s="5">
        <f>IF(B18&gt;0,"RED","OK")</f>
      </c>
      <c r="D18" s="6" t="s">
        <v>133</v>
      </c>
    </row>
  </sheetData>
  <conditionalFormatting sqref="C5:C18">
    <cfRule type="expression" dxfId="0" priority="1">
      <formula>C5="RED"</formula>
    </cfRule>
  </conditionalFormatting>
  <conditionalFormatting sqref="C5:C18">
    <cfRule type="expression" dxfId="1" priority="2">
      <formula>C5="AMBER"</formula>
    </cfRule>
  </conditionalFormatting>
  <conditionalFormatting sqref="C5:C18">
    <cfRule type="expression" dxfId="2" priority="3">
      <formula>C5="OK"</formula>
    </cfRule>
  </conditionalFormatting>
  <pageMargins left="0.5" right="0.5" top="0.6" bottom="0.6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E6AF22"/>
  </sheetPr>
  <sheetViews>
    <sheetView workbookViewId="0" showGridLines="1">
      <pane ySplit="5" topLeftCell="A6" activePane="bottomLeft" state="frozen"/>
    </sheetView>
  </sheetViews>
  <sheetFormatPr defaultRowHeight="13.8"/>
  <cols>
    <col min="1" max="1" width="60" customWidth="1"/>
    <col min="2" max="2" width="18" customWidth="1"/>
    <col min="3" max="3" width="18" customWidth="1"/>
    <col min="4" max="4" width="5" customWidth="1"/>
    <col min="5" max="5" width="50" customWidth="1"/>
  </cols>
  <sheetData>
    <row r="1">
      <c r="A1" s="2" t="s">
        <v>134</v>
      </c>
    </row>
    <row r="2">
      <c r="A2" s="5" t="s">
        <v>135</v>
      </c>
      <c r="B2" s="12">
        <f>StandupDate</f>
      </c>
    </row>
    <row r="3">
      <c r="A3" s="6" t="s">
        <v>136</v>
      </c>
    </row>
    <row r="5">
      <c r="A5" s="3" t="s">
        <v>137</v>
      </c>
      <c r="B5" s="3" t="s">
        <v>138</v>
      </c>
      <c r="C5" s="3" t="s">
        <v>139</v>
      </c>
      <c r="D5" s="3" t="s">
        <v>140</v>
      </c>
      <c r="E5" s="3" t="s">
        <v>141</v>
      </c>
    </row>
    <row r="6">
      <c r="B6" s="17">
        <f>IF(A6="","",IF(COUNTIF(Roster[Name],IF(RIGHT(IF(LEFT(TRIM(A6),1)="[",TRIM(MID(TRIM(A6),FIND("]",TRIM(A6)&amp;"]")+1,200)),TRIM(A6)),1)=")",TRIM(LEFT(IF(LEFT(TRIM(A6),1)="[",TRIM(MID(TRIM(A6),FIND("]",TRIM(A6)&amp;"]")+1,200)),TRIM(A6)),FIND("(",IF(LEFT(TRIM(A6),1)="[",TRIM(MID(TRIM(A6),FIND("]",TRIM(A6)&amp;"]")+1,200)),TRIM(A6))&amp;"(")-1)),IF(LEFT(TRIM(A6),1)="[",TRIM(MID(TRIM(A6),FIND("]",TRIM(A6)&amp;"]")+1,200)),TRIM(A6))))&gt;0,IF(RIGHT(IF(LEFT(TRIM(A6),1)="[",TRIM(MID(TRIM(A6),FIND("]",TRIM(A6)&amp;"]")+1,200)),TRIM(A6)),1)=")",TRIM(LEFT(IF(LEFT(TRIM(A6),1)="[",TRIM(MID(TRIM(A6),FIND("]",TRIM(A6)&amp;"]")+1,200)),TRIM(A6)),FIND("(",IF(LEFT(TRIM(A6),1)="[",TRIM(MID(TRIM(A6),FIND("]",TRIM(A6)&amp;"]")+1,200)),TRIM(A6))&amp;"(")-1)),IF(LEFT(TRIM(A6),1)="[",TRIM(MID(TRIM(A6),FIND("]",TRIM(A6)&amp;"]")+1,200)),TRIM(A6))),""))</f>
      </c>
      <c r="C6" s="17">
        <f>B6</f>
      </c>
      <c r="D6" s="17">
        <f>IF(A6="","",IF(OR(LEFT(UPPER(TRIM(A6)),2)="Y:",LEFT(UPPER(TRIM(A6)),10)="YESTERDAY:"),"Y",IF(OR(LEFT(UPPER(TRIM(A6)),2)="T:",LEFT(UPPER(TRIM(A6)),6)="TODAY:"),"T",IF(OR(LEFT(UPPER(TRIM(A6)),2)="B:",LEFT(UPPER(TRIM(A6)),8)="BLOCKER:",LEFT(UPPER(TRIM(A6)),9)="BLOCKERS:",LEFT(UPPER(TRIM(A6)),8)="BLOCKED:"),"B",""))))</f>
      </c>
      <c r="E6" s="17">
        <f>IF(D6="","",TRIM(MID(A6,FIND(":",A6)+1,500)))</f>
      </c>
    </row>
    <row r="7">
      <c r="B7" s="17">
        <f>IF(A7="","",IF(COUNTIF(Roster[Name],IF(RIGHT(IF(LEFT(TRIM(A7),1)="[",TRIM(MID(TRIM(A7),FIND("]",TRIM(A7)&amp;"]")+1,200)),TRIM(A7)),1)=")",TRIM(LEFT(IF(LEFT(TRIM(A7),1)="[",TRIM(MID(TRIM(A7),FIND("]",TRIM(A7)&amp;"]")+1,200)),TRIM(A7)),FIND("(",IF(LEFT(TRIM(A7),1)="[",TRIM(MID(TRIM(A7),FIND("]",TRIM(A7)&amp;"]")+1,200)),TRIM(A7))&amp;"(")-1)),IF(LEFT(TRIM(A7),1)="[",TRIM(MID(TRIM(A7),FIND("]",TRIM(A7)&amp;"]")+1,200)),TRIM(A7))))&gt;0,IF(RIGHT(IF(LEFT(TRIM(A7),1)="[",TRIM(MID(TRIM(A7),FIND("]",TRIM(A7)&amp;"]")+1,200)),TRIM(A7)),1)=")",TRIM(LEFT(IF(LEFT(TRIM(A7),1)="[",TRIM(MID(TRIM(A7),FIND("]",TRIM(A7)&amp;"]")+1,200)),TRIM(A7)),FIND("(",IF(LEFT(TRIM(A7),1)="[",TRIM(MID(TRIM(A7),FIND("]",TRIM(A7)&amp;"]")+1,200)),TRIM(A7))&amp;"(")-1)),IF(LEFT(TRIM(A7),1)="[",TRIM(MID(TRIM(A7),FIND("]",TRIM(A7)&amp;"]")+1,200)),TRIM(A7))),""))</f>
      </c>
      <c r="C7" s="17">
        <f>IF(B7&lt;&gt;"",B7,C6)</f>
      </c>
      <c r="D7" s="17">
        <f>IF(A7="","",IF(OR(LEFT(UPPER(TRIM(A7)),2)="Y:",LEFT(UPPER(TRIM(A7)),10)="YESTERDAY:"),"Y",IF(OR(LEFT(UPPER(TRIM(A7)),2)="T:",LEFT(UPPER(TRIM(A7)),6)="TODAY:"),"T",IF(OR(LEFT(UPPER(TRIM(A7)),2)="B:",LEFT(UPPER(TRIM(A7)),8)="BLOCKER:",LEFT(UPPER(TRIM(A7)),9)="BLOCKERS:",LEFT(UPPER(TRIM(A7)),8)="BLOCKED:"),"B",""))))</f>
      </c>
      <c r="E7" s="17">
        <f>IF(D7="","",TRIM(MID(A7,FIND(":",A7)+1,500)))</f>
      </c>
    </row>
    <row r="8">
      <c r="B8" s="17">
        <f>IF(A8="","",IF(COUNTIF(Roster[Name],IF(RIGHT(IF(LEFT(TRIM(A8),1)="[",TRIM(MID(TRIM(A8),FIND("]",TRIM(A8)&amp;"]")+1,200)),TRIM(A8)),1)=")",TRIM(LEFT(IF(LEFT(TRIM(A8),1)="[",TRIM(MID(TRIM(A8),FIND("]",TRIM(A8)&amp;"]")+1,200)),TRIM(A8)),FIND("(",IF(LEFT(TRIM(A8),1)="[",TRIM(MID(TRIM(A8),FIND("]",TRIM(A8)&amp;"]")+1,200)),TRIM(A8))&amp;"(")-1)),IF(LEFT(TRIM(A8),1)="[",TRIM(MID(TRIM(A8),FIND("]",TRIM(A8)&amp;"]")+1,200)),TRIM(A8))))&gt;0,IF(RIGHT(IF(LEFT(TRIM(A8),1)="[",TRIM(MID(TRIM(A8),FIND("]",TRIM(A8)&amp;"]")+1,200)),TRIM(A8)),1)=")",TRIM(LEFT(IF(LEFT(TRIM(A8),1)="[",TRIM(MID(TRIM(A8),FIND("]",TRIM(A8)&amp;"]")+1,200)),TRIM(A8)),FIND("(",IF(LEFT(TRIM(A8),1)="[",TRIM(MID(TRIM(A8),FIND("]",TRIM(A8)&amp;"]")+1,200)),TRIM(A8))&amp;"(")-1)),IF(LEFT(TRIM(A8),1)="[",TRIM(MID(TRIM(A8),FIND("]",TRIM(A8)&amp;"]")+1,200)),TRIM(A8))),""))</f>
      </c>
      <c r="C8" s="17">
        <f>IF(B8&lt;&gt;"",B8,C7)</f>
      </c>
      <c r="D8" s="17">
        <f>IF(A8="","",IF(OR(LEFT(UPPER(TRIM(A8)),2)="Y:",LEFT(UPPER(TRIM(A8)),10)="YESTERDAY:"),"Y",IF(OR(LEFT(UPPER(TRIM(A8)),2)="T:",LEFT(UPPER(TRIM(A8)),6)="TODAY:"),"T",IF(OR(LEFT(UPPER(TRIM(A8)),2)="B:",LEFT(UPPER(TRIM(A8)),8)="BLOCKER:",LEFT(UPPER(TRIM(A8)),9)="BLOCKERS:",LEFT(UPPER(TRIM(A8)),8)="BLOCKED:"),"B",""))))</f>
      </c>
      <c r="E8" s="17">
        <f>IF(D8="","",TRIM(MID(A8,FIND(":",A8)+1,500)))</f>
      </c>
    </row>
    <row r="9">
      <c r="B9" s="17">
        <f>IF(A9="","",IF(COUNTIF(Roster[Name],IF(RIGHT(IF(LEFT(TRIM(A9),1)="[",TRIM(MID(TRIM(A9),FIND("]",TRIM(A9)&amp;"]")+1,200)),TRIM(A9)),1)=")",TRIM(LEFT(IF(LEFT(TRIM(A9),1)="[",TRIM(MID(TRIM(A9),FIND("]",TRIM(A9)&amp;"]")+1,200)),TRIM(A9)),FIND("(",IF(LEFT(TRIM(A9),1)="[",TRIM(MID(TRIM(A9),FIND("]",TRIM(A9)&amp;"]")+1,200)),TRIM(A9))&amp;"(")-1)),IF(LEFT(TRIM(A9),1)="[",TRIM(MID(TRIM(A9),FIND("]",TRIM(A9)&amp;"]")+1,200)),TRIM(A9))))&gt;0,IF(RIGHT(IF(LEFT(TRIM(A9),1)="[",TRIM(MID(TRIM(A9),FIND("]",TRIM(A9)&amp;"]")+1,200)),TRIM(A9)),1)=")",TRIM(LEFT(IF(LEFT(TRIM(A9),1)="[",TRIM(MID(TRIM(A9),FIND("]",TRIM(A9)&amp;"]")+1,200)),TRIM(A9)),FIND("(",IF(LEFT(TRIM(A9),1)="[",TRIM(MID(TRIM(A9),FIND("]",TRIM(A9)&amp;"]")+1,200)),TRIM(A9))&amp;"(")-1)),IF(LEFT(TRIM(A9),1)="[",TRIM(MID(TRIM(A9),FIND("]",TRIM(A9)&amp;"]")+1,200)),TRIM(A9))),""))</f>
      </c>
      <c r="C9" s="17">
        <f>IF(B9&lt;&gt;"",B9,C8)</f>
      </c>
      <c r="D9" s="17">
        <f>IF(A9="","",IF(OR(LEFT(UPPER(TRIM(A9)),2)="Y:",LEFT(UPPER(TRIM(A9)),10)="YESTERDAY:"),"Y",IF(OR(LEFT(UPPER(TRIM(A9)),2)="T:",LEFT(UPPER(TRIM(A9)),6)="TODAY:"),"T",IF(OR(LEFT(UPPER(TRIM(A9)),2)="B:",LEFT(UPPER(TRIM(A9)),8)="BLOCKER:",LEFT(UPPER(TRIM(A9)),9)="BLOCKERS:",LEFT(UPPER(TRIM(A9)),8)="BLOCKED:"),"B",""))))</f>
      </c>
      <c r="E9" s="17">
        <f>IF(D9="","",TRIM(MID(A9,FIND(":",A9)+1,500)))</f>
      </c>
    </row>
    <row r="10">
      <c r="B10" s="17">
        <f>IF(A10="","",IF(COUNTIF(Roster[Name],IF(RIGHT(IF(LEFT(TRIM(A10),1)="[",TRIM(MID(TRIM(A10),FIND("]",TRIM(A10)&amp;"]")+1,200)),TRIM(A10)),1)=")",TRIM(LEFT(IF(LEFT(TRIM(A10),1)="[",TRIM(MID(TRIM(A10),FIND("]",TRIM(A10)&amp;"]")+1,200)),TRIM(A10)),FIND("(",IF(LEFT(TRIM(A10),1)="[",TRIM(MID(TRIM(A10),FIND("]",TRIM(A10)&amp;"]")+1,200)),TRIM(A10))&amp;"(")-1)),IF(LEFT(TRIM(A10),1)="[",TRIM(MID(TRIM(A10),FIND("]",TRIM(A10)&amp;"]")+1,200)),TRIM(A10))))&gt;0,IF(RIGHT(IF(LEFT(TRIM(A10),1)="[",TRIM(MID(TRIM(A10),FIND("]",TRIM(A10)&amp;"]")+1,200)),TRIM(A10)),1)=")",TRIM(LEFT(IF(LEFT(TRIM(A10),1)="[",TRIM(MID(TRIM(A10),FIND("]",TRIM(A10)&amp;"]")+1,200)),TRIM(A10)),FIND("(",IF(LEFT(TRIM(A10),1)="[",TRIM(MID(TRIM(A10),FIND("]",TRIM(A10)&amp;"]")+1,200)),TRIM(A10))&amp;"(")-1)),IF(LEFT(TRIM(A10),1)="[",TRIM(MID(TRIM(A10),FIND("]",TRIM(A10)&amp;"]")+1,200)),TRIM(A10))),""))</f>
      </c>
      <c r="C10" s="17">
        <f>IF(B10&lt;&gt;"",B10,C9)</f>
      </c>
      <c r="D10" s="17">
        <f>IF(A10="","",IF(OR(LEFT(UPPER(TRIM(A10)),2)="Y:",LEFT(UPPER(TRIM(A10)),10)="YESTERDAY:"),"Y",IF(OR(LEFT(UPPER(TRIM(A10)),2)="T:",LEFT(UPPER(TRIM(A10)),6)="TODAY:"),"T",IF(OR(LEFT(UPPER(TRIM(A10)),2)="B:",LEFT(UPPER(TRIM(A10)),8)="BLOCKER:",LEFT(UPPER(TRIM(A10)),9)="BLOCKERS:",LEFT(UPPER(TRIM(A10)),8)="BLOCKED:"),"B",""))))</f>
      </c>
      <c r="E10" s="17">
        <f>IF(D10="","",TRIM(MID(A10,FIND(":",A10)+1,500)))</f>
      </c>
    </row>
    <row r="11">
      <c r="B11" s="17">
        <f>IF(A11="","",IF(COUNTIF(Roster[Name],IF(RIGHT(IF(LEFT(TRIM(A11),1)="[",TRIM(MID(TRIM(A11),FIND("]",TRIM(A11)&amp;"]")+1,200)),TRIM(A11)),1)=")",TRIM(LEFT(IF(LEFT(TRIM(A11),1)="[",TRIM(MID(TRIM(A11),FIND("]",TRIM(A11)&amp;"]")+1,200)),TRIM(A11)),FIND("(",IF(LEFT(TRIM(A11),1)="[",TRIM(MID(TRIM(A11),FIND("]",TRIM(A11)&amp;"]")+1,200)),TRIM(A11))&amp;"(")-1)),IF(LEFT(TRIM(A11),1)="[",TRIM(MID(TRIM(A11),FIND("]",TRIM(A11)&amp;"]")+1,200)),TRIM(A11))))&gt;0,IF(RIGHT(IF(LEFT(TRIM(A11),1)="[",TRIM(MID(TRIM(A11),FIND("]",TRIM(A11)&amp;"]")+1,200)),TRIM(A11)),1)=")",TRIM(LEFT(IF(LEFT(TRIM(A11),1)="[",TRIM(MID(TRIM(A11),FIND("]",TRIM(A11)&amp;"]")+1,200)),TRIM(A11)),FIND("(",IF(LEFT(TRIM(A11),1)="[",TRIM(MID(TRIM(A11),FIND("]",TRIM(A11)&amp;"]")+1,200)),TRIM(A11))&amp;"(")-1)),IF(LEFT(TRIM(A11),1)="[",TRIM(MID(TRIM(A11),FIND("]",TRIM(A11)&amp;"]")+1,200)),TRIM(A11))),""))</f>
      </c>
      <c r="C11" s="17">
        <f>IF(B11&lt;&gt;"",B11,C10)</f>
      </c>
      <c r="D11" s="17">
        <f>IF(A11="","",IF(OR(LEFT(UPPER(TRIM(A11)),2)="Y:",LEFT(UPPER(TRIM(A11)),10)="YESTERDAY:"),"Y",IF(OR(LEFT(UPPER(TRIM(A11)),2)="T:",LEFT(UPPER(TRIM(A11)),6)="TODAY:"),"T",IF(OR(LEFT(UPPER(TRIM(A11)),2)="B:",LEFT(UPPER(TRIM(A11)),8)="BLOCKER:",LEFT(UPPER(TRIM(A11)),9)="BLOCKERS:",LEFT(UPPER(TRIM(A11)),8)="BLOCKED:"),"B",""))))</f>
      </c>
      <c r="E11" s="17">
        <f>IF(D11="","",TRIM(MID(A11,FIND(":",A11)+1,500)))</f>
      </c>
    </row>
    <row r="12">
      <c r="B12" s="17">
        <f>IF(A12="","",IF(COUNTIF(Roster[Name],IF(RIGHT(IF(LEFT(TRIM(A12),1)="[",TRIM(MID(TRIM(A12),FIND("]",TRIM(A12)&amp;"]")+1,200)),TRIM(A12)),1)=")",TRIM(LEFT(IF(LEFT(TRIM(A12),1)="[",TRIM(MID(TRIM(A12),FIND("]",TRIM(A12)&amp;"]")+1,200)),TRIM(A12)),FIND("(",IF(LEFT(TRIM(A12),1)="[",TRIM(MID(TRIM(A12),FIND("]",TRIM(A12)&amp;"]")+1,200)),TRIM(A12))&amp;"(")-1)),IF(LEFT(TRIM(A12),1)="[",TRIM(MID(TRIM(A12),FIND("]",TRIM(A12)&amp;"]")+1,200)),TRIM(A12))))&gt;0,IF(RIGHT(IF(LEFT(TRIM(A12),1)="[",TRIM(MID(TRIM(A12),FIND("]",TRIM(A12)&amp;"]")+1,200)),TRIM(A12)),1)=")",TRIM(LEFT(IF(LEFT(TRIM(A12),1)="[",TRIM(MID(TRIM(A12),FIND("]",TRIM(A12)&amp;"]")+1,200)),TRIM(A12)),FIND("(",IF(LEFT(TRIM(A12),1)="[",TRIM(MID(TRIM(A12),FIND("]",TRIM(A12)&amp;"]")+1,200)),TRIM(A12))&amp;"(")-1)),IF(LEFT(TRIM(A12),1)="[",TRIM(MID(TRIM(A12),FIND("]",TRIM(A12)&amp;"]")+1,200)),TRIM(A12))),""))</f>
      </c>
      <c r="C12" s="17">
        <f>IF(B12&lt;&gt;"",B12,C11)</f>
      </c>
      <c r="D12" s="17">
        <f>IF(A12="","",IF(OR(LEFT(UPPER(TRIM(A12)),2)="Y:",LEFT(UPPER(TRIM(A12)),10)="YESTERDAY:"),"Y",IF(OR(LEFT(UPPER(TRIM(A12)),2)="T:",LEFT(UPPER(TRIM(A12)),6)="TODAY:"),"T",IF(OR(LEFT(UPPER(TRIM(A12)),2)="B:",LEFT(UPPER(TRIM(A12)),8)="BLOCKER:",LEFT(UPPER(TRIM(A12)),9)="BLOCKERS:",LEFT(UPPER(TRIM(A12)),8)="BLOCKED:"),"B",""))))</f>
      </c>
      <c r="E12" s="17">
        <f>IF(D12="","",TRIM(MID(A12,FIND(":",A12)+1,500)))</f>
      </c>
    </row>
    <row r="13">
      <c r="B13" s="17">
        <f>IF(A13="","",IF(COUNTIF(Roster[Name],IF(RIGHT(IF(LEFT(TRIM(A13),1)="[",TRIM(MID(TRIM(A13),FIND("]",TRIM(A13)&amp;"]")+1,200)),TRIM(A13)),1)=")",TRIM(LEFT(IF(LEFT(TRIM(A13),1)="[",TRIM(MID(TRIM(A13),FIND("]",TRIM(A13)&amp;"]")+1,200)),TRIM(A13)),FIND("(",IF(LEFT(TRIM(A13),1)="[",TRIM(MID(TRIM(A13),FIND("]",TRIM(A13)&amp;"]")+1,200)),TRIM(A13))&amp;"(")-1)),IF(LEFT(TRIM(A13),1)="[",TRIM(MID(TRIM(A13),FIND("]",TRIM(A13)&amp;"]")+1,200)),TRIM(A13))))&gt;0,IF(RIGHT(IF(LEFT(TRIM(A13),1)="[",TRIM(MID(TRIM(A13),FIND("]",TRIM(A13)&amp;"]")+1,200)),TRIM(A13)),1)=")",TRIM(LEFT(IF(LEFT(TRIM(A13),1)="[",TRIM(MID(TRIM(A13),FIND("]",TRIM(A13)&amp;"]")+1,200)),TRIM(A13)),FIND("(",IF(LEFT(TRIM(A13),1)="[",TRIM(MID(TRIM(A13),FIND("]",TRIM(A13)&amp;"]")+1,200)),TRIM(A13))&amp;"(")-1)),IF(LEFT(TRIM(A13),1)="[",TRIM(MID(TRIM(A13),FIND("]",TRIM(A13)&amp;"]")+1,200)),TRIM(A13))),""))</f>
      </c>
      <c r="C13" s="17">
        <f>IF(B13&lt;&gt;"",B13,C12)</f>
      </c>
      <c r="D13" s="17">
        <f>IF(A13="","",IF(OR(LEFT(UPPER(TRIM(A13)),2)="Y:",LEFT(UPPER(TRIM(A13)),10)="YESTERDAY:"),"Y",IF(OR(LEFT(UPPER(TRIM(A13)),2)="T:",LEFT(UPPER(TRIM(A13)),6)="TODAY:"),"T",IF(OR(LEFT(UPPER(TRIM(A13)),2)="B:",LEFT(UPPER(TRIM(A13)),8)="BLOCKER:",LEFT(UPPER(TRIM(A13)),9)="BLOCKERS:",LEFT(UPPER(TRIM(A13)),8)="BLOCKED:"),"B",""))))</f>
      </c>
      <c r="E13" s="17">
        <f>IF(D13="","",TRIM(MID(A13,FIND(":",A13)+1,500)))</f>
      </c>
    </row>
    <row r="14">
      <c r="B14" s="17">
        <f>IF(A14="","",IF(COUNTIF(Roster[Name],IF(RIGHT(IF(LEFT(TRIM(A14),1)="[",TRIM(MID(TRIM(A14),FIND("]",TRIM(A14)&amp;"]")+1,200)),TRIM(A14)),1)=")",TRIM(LEFT(IF(LEFT(TRIM(A14),1)="[",TRIM(MID(TRIM(A14),FIND("]",TRIM(A14)&amp;"]")+1,200)),TRIM(A14)),FIND("(",IF(LEFT(TRIM(A14),1)="[",TRIM(MID(TRIM(A14),FIND("]",TRIM(A14)&amp;"]")+1,200)),TRIM(A14))&amp;"(")-1)),IF(LEFT(TRIM(A14),1)="[",TRIM(MID(TRIM(A14),FIND("]",TRIM(A14)&amp;"]")+1,200)),TRIM(A14))))&gt;0,IF(RIGHT(IF(LEFT(TRIM(A14),1)="[",TRIM(MID(TRIM(A14),FIND("]",TRIM(A14)&amp;"]")+1,200)),TRIM(A14)),1)=")",TRIM(LEFT(IF(LEFT(TRIM(A14),1)="[",TRIM(MID(TRIM(A14),FIND("]",TRIM(A14)&amp;"]")+1,200)),TRIM(A14)),FIND("(",IF(LEFT(TRIM(A14),1)="[",TRIM(MID(TRIM(A14),FIND("]",TRIM(A14)&amp;"]")+1,200)),TRIM(A14))&amp;"(")-1)),IF(LEFT(TRIM(A14),1)="[",TRIM(MID(TRIM(A14),FIND("]",TRIM(A14)&amp;"]")+1,200)),TRIM(A14))),""))</f>
      </c>
      <c r="C14" s="17">
        <f>IF(B14&lt;&gt;"",B14,C13)</f>
      </c>
      <c r="D14" s="17">
        <f>IF(A14="","",IF(OR(LEFT(UPPER(TRIM(A14)),2)="Y:",LEFT(UPPER(TRIM(A14)),10)="YESTERDAY:"),"Y",IF(OR(LEFT(UPPER(TRIM(A14)),2)="T:",LEFT(UPPER(TRIM(A14)),6)="TODAY:"),"T",IF(OR(LEFT(UPPER(TRIM(A14)),2)="B:",LEFT(UPPER(TRIM(A14)),8)="BLOCKER:",LEFT(UPPER(TRIM(A14)),9)="BLOCKERS:",LEFT(UPPER(TRIM(A14)),8)="BLOCKED:"),"B",""))))</f>
      </c>
      <c r="E14" s="17">
        <f>IF(D14="","",TRIM(MID(A14,FIND(":",A14)+1,500)))</f>
      </c>
    </row>
    <row r="15">
      <c r="B15" s="17">
        <f>IF(A15="","",IF(COUNTIF(Roster[Name],IF(RIGHT(IF(LEFT(TRIM(A15),1)="[",TRIM(MID(TRIM(A15),FIND("]",TRIM(A15)&amp;"]")+1,200)),TRIM(A15)),1)=")",TRIM(LEFT(IF(LEFT(TRIM(A15),1)="[",TRIM(MID(TRIM(A15),FIND("]",TRIM(A15)&amp;"]")+1,200)),TRIM(A15)),FIND("(",IF(LEFT(TRIM(A15),1)="[",TRIM(MID(TRIM(A15),FIND("]",TRIM(A15)&amp;"]")+1,200)),TRIM(A15))&amp;"(")-1)),IF(LEFT(TRIM(A15),1)="[",TRIM(MID(TRIM(A15),FIND("]",TRIM(A15)&amp;"]")+1,200)),TRIM(A15))))&gt;0,IF(RIGHT(IF(LEFT(TRIM(A15),1)="[",TRIM(MID(TRIM(A15),FIND("]",TRIM(A15)&amp;"]")+1,200)),TRIM(A15)),1)=")",TRIM(LEFT(IF(LEFT(TRIM(A15),1)="[",TRIM(MID(TRIM(A15),FIND("]",TRIM(A15)&amp;"]")+1,200)),TRIM(A15)),FIND("(",IF(LEFT(TRIM(A15),1)="[",TRIM(MID(TRIM(A15),FIND("]",TRIM(A15)&amp;"]")+1,200)),TRIM(A15))&amp;"(")-1)),IF(LEFT(TRIM(A15),1)="[",TRIM(MID(TRIM(A15),FIND("]",TRIM(A15)&amp;"]")+1,200)),TRIM(A15))),""))</f>
      </c>
      <c r="C15" s="17">
        <f>IF(B15&lt;&gt;"",B15,C14)</f>
      </c>
      <c r="D15" s="17">
        <f>IF(A15="","",IF(OR(LEFT(UPPER(TRIM(A15)),2)="Y:",LEFT(UPPER(TRIM(A15)),10)="YESTERDAY:"),"Y",IF(OR(LEFT(UPPER(TRIM(A15)),2)="T:",LEFT(UPPER(TRIM(A15)),6)="TODAY:"),"T",IF(OR(LEFT(UPPER(TRIM(A15)),2)="B:",LEFT(UPPER(TRIM(A15)),8)="BLOCKER:",LEFT(UPPER(TRIM(A15)),9)="BLOCKERS:",LEFT(UPPER(TRIM(A15)),8)="BLOCKED:"),"B",""))))</f>
      </c>
      <c r="E15" s="17">
        <f>IF(D15="","",TRIM(MID(A15,FIND(":",A15)+1,500)))</f>
      </c>
    </row>
    <row r="16">
      <c r="B16" s="17">
        <f>IF(A16="","",IF(COUNTIF(Roster[Name],IF(RIGHT(IF(LEFT(TRIM(A16),1)="[",TRIM(MID(TRIM(A16),FIND("]",TRIM(A16)&amp;"]")+1,200)),TRIM(A16)),1)=")",TRIM(LEFT(IF(LEFT(TRIM(A16),1)="[",TRIM(MID(TRIM(A16),FIND("]",TRIM(A16)&amp;"]")+1,200)),TRIM(A16)),FIND("(",IF(LEFT(TRIM(A16),1)="[",TRIM(MID(TRIM(A16),FIND("]",TRIM(A16)&amp;"]")+1,200)),TRIM(A16))&amp;"(")-1)),IF(LEFT(TRIM(A16),1)="[",TRIM(MID(TRIM(A16),FIND("]",TRIM(A16)&amp;"]")+1,200)),TRIM(A16))))&gt;0,IF(RIGHT(IF(LEFT(TRIM(A16),1)="[",TRIM(MID(TRIM(A16),FIND("]",TRIM(A16)&amp;"]")+1,200)),TRIM(A16)),1)=")",TRIM(LEFT(IF(LEFT(TRIM(A16),1)="[",TRIM(MID(TRIM(A16),FIND("]",TRIM(A16)&amp;"]")+1,200)),TRIM(A16)),FIND("(",IF(LEFT(TRIM(A16),1)="[",TRIM(MID(TRIM(A16),FIND("]",TRIM(A16)&amp;"]")+1,200)),TRIM(A16))&amp;"(")-1)),IF(LEFT(TRIM(A16),1)="[",TRIM(MID(TRIM(A16),FIND("]",TRIM(A16)&amp;"]")+1,200)),TRIM(A16))),""))</f>
      </c>
      <c r="C16" s="17">
        <f>IF(B16&lt;&gt;"",B16,C15)</f>
      </c>
      <c r="D16" s="17">
        <f>IF(A16="","",IF(OR(LEFT(UPPER(TRIM(A16)),2)="Y:",LEFT(UPPER(TRIM(A16)),10)="YESTERDAY:"),"Y",IF(OR(LEFT(UPPER(TRIM(A16)),2)="T:",LEFT(UPPER(TRIM(A16)),6)="TODAY:"),"T",IF(OR(LEFT(UPPER(TRIM(A16)),2)="B:",LEFT(UPPER(TRIM(A16)),8)="BLOCKER:",LEFT(UPPER(TRIM(A16)),9)="BLOCKERS:",LEFT(UPPER(TRIM(A16)),8)="BLOCKED:"),"B",""))))</f>
      </c>
      <c r="E16" s="17">
        <f>IF(D16="","",TRIM(MID(A16,FIND(":",A16)+1,500)))</f>
      </c>
    </row>
    <row r="17">
      <c r="B17" s="17">
        <f>IF(A17="","",IF(COUNTIF(Roster[Name],IF(RIGHT(IF(LEFT(TRIM(A17),1)="[",TRIM(MID(TRIM(A17),FIND("]",TRIM(A17)&amp;"]")+1,200)),TRIM(A17)),1)=")",TRIM(LEFT(IF(LEFT(TRIM(A17),1)="[",TRIM(MID(TRIM(A17),FIND("]",TRIM(A17)&amp;"]")+1,200)),TRIM(A17)),FIND("(",IF(LEFT(TRIM(A17),1)="[",TRIM(MID(TRIM(A17),FIND("]",TRIM(A17)&amp;"]")+1,200)),TRIM(A17))&amp;"(")-1)),IF(LEFT(TRIM(A17),1)="[",TRIM(MID(TRIM(A17),FIND("]",TRIM(A17)&amp;"]")+1,200)),TRIM(A17))))&gt;0,IF(RIGHT(IF(LEFT(TRIM(A17),1)="[",TRIM(MID(TRIM(A17),FIND("]",TRIM(A17)&amp;"]")+1,200)),TRIM(A17)),1)=")",TRIM(LEFT(IF(LEFT(TRIM(A17),1)="[",TRIM(MID(TRIM(A17),FIND("]",TRIM(A17)&amp;"]")+1,200)),TRIM(A17)),FIND("(",IF(LEFT(TRIM(A17),1)="[",TRIM(MID(TRIM(A17),FIND("]",TRIM(A17)&amp;"]")+1,200)),TRIM(A17))&amp;"(")-1)),IF(LEFT(TRIM(A17),1)="[",TRIM(MID(TRIM(A17),FIND("]",TRIM(A17)&amp;"]")+1,200)),TRIM(A17))),""))</f>
      </c>
      <c r="C17" s="17">
        <f>IF(B17&lt;&gt;"",B17,C16)</f>
      </c>
      <c r="D17" s="17">
        <f>IF(A17="","",IF(OR(LEFT(UPPER(TRIM(A17)),2)="Y:",LEFT(UPPER(TRIM(A17)),10)="YESTERDAY:"),"Y",IF(OR(LEFT(UPPER(TRIM(A17)),2)="T:",LEFT(UPPER(TRIM(A17)),6)="TODAY:"),"T",IF(OR(LEFT(UPPER(TRIM(A17)),2)="B:",LEFT(UPPER(TRIM(A17)),8)="BLOCKER:",LEFT(UPPER(TRIM(A17)),9)="BLOCKERS:",LEFT(UPPER(TRIM(A17)),8)="BLOCKED:"),"B",""))))</f>
      </c>
      <c r="E17" s="17">
        <f>IF(D17="","",TRIM(MID(A17,FIND(":",A17)+1,500)))</f>
      </c>
    </row>
    <row r="18">
      <c r="B18" s="17">
        <f>IF(A18="","",IF(COUNTIF(Roster[Name],IF(RIGHT(IF(LEFT(TRIM(A18),1)="[",TRIM(MID(TRIM(A18),FIND("]",TRIM(A18)&amp;"]")+1,200)),TRIM(A18)),1)=")",TRIM(LEFT(IF(LEFT(TRIM(A18),1)="[",TRIM(MID(TRIM(A18),FIND("]",TRIM(A18)&amp;"]")+1,200)),TRIM(A18)),FIND("(",IF(LEFT(TRIM(A18),1)="[",TRIM(MID(TRIM(A18),FIND("]",TRIM(A18)&amp;"]")+1,200)),TRIM(A18))&amp;"(")-1)),IF(LEFT(TRIM(A18),1)="[",TRIM(MID(TRIM(A18),FIND("]",TRIM(A18)&amp;"]")+1,200)),TRIM(A18))))&gt;0,IF(RIGHT(IF(LEFT(TRIM(A18),1)="[",TRIM(MID(TRIM(A18),FIND("]",TRIM(A18)&amp;"]")+1,200)),TRIM(A18)),1)=")",TRIM(LEFT(IF(LEFT(TRIM(A18),1)="[",TRIM(MID(TRIM(A18),FIND("]",TRIM(A18)&amp;"]")+1,200)),TRIM(A18)),FIND("(",IF(LEFT(TRIM(A18),1)="[",TRIM(MID(TRIM(A18),FIND("]",TRIM(A18)&amp;"]")+1,200)),TRIM(A18))&amp;"(")-1)),IF(LEFT(TRIM(A18),1)="[",TRIM(MID(TRIM(A18),FIND("]",TRIM(A18)&amp;"]")+1,200)),TRIM(A18))),""))</f>
      </c>
      <c r="C18" s="17">
        <f>IF(B18&lt;&gt;"",B18,C17)</f>
      </c>
      <c r="D18" s="17">
        <f>IF(A18="","",IF(OR(LEFT(UPPER(TRIM(A18)),2)="Y:",LEFT(UPPER(TRIM(A18)),10)="YESTERDAY:"),"Y",IF(OR(LEFT(UPPER(TRIM(A18)),2)="T:",LEFT(UPPER(TRIM(A18)),6)="TODAY:"),"T",IF(OR(LEFT(UPPER(TRIM(A18)),2)="B:",LEFT(UPPER(TRIM(A18)),8)="BLOCKER:",LEFT(UPPER(TRIM(A18)),9)="BLOCKERS:",LEFT(UPPER(TRIM(A18)),8)="BLOCKED:"),"B",""))))</f>
      </c>
      <c r="E18" s="17">
        <f>IF(D18="","",TRIM(MID(A18,FIND(":",A18)+1,500)))</f>
      </c>
    </row>
    <row r="19">
      <c r="B19" s="17">
        <f>IF(A19="","",IF(COUNTIF(Roster[Name],IF(RIGHT(IF(LEFT(TRIM(A19),1)="[",TRIM(MID(TRIM(A19),FIND("]",TRIM(A19)&amp;"]")+1,200)),TRIM(A19)),1)=")",TRIM(LEFT(IF(LEFT(TRIM(A19),1)="[",TRIM(MID(TRIM(A19),FIND("]",TRIM(A19)&amp;"]")+1,200)),TRIM(A19)),FIND("(",IF(LEFT(TRIM(A19),1)="[",TRIM(MID(TRIM(A19),FIND("]",TRIM(A19)&amp;"]")+1,200)),TRIM(A19))&amp;"(")-1)),IF(LEFT(TRIM(A19),1)="[",TRIM(MID(TRIM(A19),FIND("]",TRIM(A19)&amp;"]")+1,200)),TRIM(A19))))&gt;0,IF(RIGHT(IF(LEFT(TRIM(A19),1)="[",TRIM(MID(TRIM(A19),FIND("]",TRIM(A19)&amp;"]")+1,200)),TRIM(A19)),1)=")",TRIM(LEFT(IF(LEFT(TRIM(A19),1)="[",TRIM(MID(TRIM(A19),FIND("]",TRIM(A19)&amp;"]")+1,200)),TRIM(A19)),FIND("(",IF(LEFT(TRIM(A19),1)="[",TRIM(MID(TRIM(A19),FIND("]",TRIM(A19)&amp;"]")+1,200)),TRIM(A19))&amp;"(")-1)),IF(LEFT(TRIM(A19),1)="[",TRIM(MID(TRIM(A19),FIND("]",TRIM(A19)&amp;"]")+1,200)),TRIM(A19))),""))</f>
      </c>
      <c r="C19" s="17">
        <f>IF(B19&lt;&gt;"",B19,C18)</f>
      </c>
      <c r="D19" s="17">
        <f>IF(A19="","",IF(OR(LEFT(UPPER(TRIM(A19)),2)="Y:",LEFT(UPPER(TRIM(A19)),10)="YESTERDAY:"),"Y",IF(OR(LEFT(UPPER(TRIM(A19)),2)="T:",LEFT(UPPER(TRIM(A19)),6)="TODAY:"),"T",IF(OR(LEFT(UPPER(TRIM(A19)),2)="B:",LEFT(UPPER(TRIM(A19)),8)="BLOCKER:",LEFT(UPPER(TRIM(A19)),9)="BLOCKERS:",LEFT(UPPER(TRIM(A19)),8)="BLOCKED:"),"B",""))))</f>
      </c>
      <c r="E19" s="17">
        <f>IF(D19="","",TRIM(MID(A19,FIND(":",A19)+1,500)))</f>
      </c>
    </row>
    <row r="20">
      <c r="B20" s="17">
        <f>IF(A20="","",IF(COUNTIF(Roster[Name],IF(RIGHT(IF(LEFT(TRIM(A20),1)="[",TRIM(MID(TRIM(A20),FIND("]",TRIM(A20)&amp;"]")+1,200)),TRIM(A20)),1)=")",TRIM(LEFT(IF(LEFT(TRIM(A20),1)="[",TRIM(MID(TRIM(A20),FIND("]",TRIM(A20)&amp;"]")+1,200)),TRIM(A20)),FIND("(",IF(LEFT(TRIM(A20),1)="[",TRIM(MID(TRIM(A20),FIND("]",TRIM(A20)&amp;"]")+1,200)),TRIM(A20))&amp;"(")-1)),IF(LEFT(TRIM(A20),1)="[",TRIM(MID(TRIM(A20),FIND("]",TRIM(A20)&amp;"]")+1,200)),TRIM(A20))))&gt;0,IF(RIGHT(IF(LEFT(TRIM(A20),1)="[",TRIM(MID(TRIM(A20),FIND("]",TRIM(A20)&amp;"]")+1,200)),TRIM(A20)),1)=")",TRIM(LEFT(IF(LEFT(TRIM(A20),1)="[",TRIM(MID(TRIM(A20),FIND("]",TRIM(A20)&amp;"]")+1,200)),TRIM(A20)),FIND("(",IF(LEFT(TRIM(A20),1)="[",TRIM(MID(TRIM(A20),FIND("]",TRIM(A20)&amp;"]")+1,200)),TRIM(A20))&amp;"(")-1)),IF(LEFT(TRIM(A20),1)="[",TRIM(MID(TRIM(A20),FIND("]",TRIM(A20)&amp;"]")+1,200)),TRIM(A20))),""))</f>
      </c>
      <c r="C20" s="17">
        <f>IF(B20&lt;&gt;"",B20,C19)</f>
      </c>
      <c r="D20" s="17">
        <f>IF(A20="","",IF(OR(LEFT(UPPER(TRIM(A20)),2)="Y:",LEFT(UPPER(TRIM(A20)),10)="YESTERDAY:"),"Y",IF(OR(LEFT(UPPER(TRIM(A20)),2)="T:",LEFT(UPPER(TRIM(A20)),6)="TODAY:"),"T",IF(OR(LEFT(UPPER(TRIM(A20)),2)="B:",LEFT(UPPER(TRIM(A20)),8)="BLOCKER:",LEFT(UPPER(TRIM(A20)),9)="BLOCKERS:",LEFT(UPPER(TRIM(A20)),8)="BLOCKED:"),"B",""))))</f>
      </c>
      <c r="E20" s="17">
        <f>IF(D20="","",TRIM(MID(A20,FIND(":",A20)+1,500)))</f>
      </c>
    </row>
    <row r="21">
      <c r="B21" s="17">
        <f>IF(A21="","",IF(COUNTIF(Roster[Name],IF(RIGHT(IF(LEFT(TRIM(A21),1)="[",TRIM(MID(TRIM(A21),FIND("]",TRIM(A21)&amp;"]")+1,200)),TRIM(A21)),1)=")",TRIM(LEFT(IF(LEFT(TRIM(A21),1)="[",TRIM(MID(TRIM(A21),FIND("]",TRIM(A21)&amp;"]")+1,200)),TRIM(A21)),FIND("(",IF(LEFT(TRIM(A21),1)="[",TRIM(MID(TRIM(A21),FIND("]",TRIM(A21)&amp;"]")+1,200)),TRIM(A21))&amp;"(")-1)),IF(LEFT(TRIM(A21),1)="[",TRIM(MID(TRIM(A21),FIND("]",TRIM(A21)&amp;"]")+1,200)),TRIM(A21))))&gt;0,IF(RIGHT(IF(LEFT(TRIM(A21),1)="[",TRIM(MID(TRIM(A21),FIND("]",TRIM(A21)&amp;"]")+1,200)),TRIM(A21)),1)=")",TRIM(LEFT(IF(LEFT(TRIM(A21),1)="[",TRIM(MID(TRIM(A21),FIND("]",TRIM(A21)&amp;"]")+1,200)),TRIM(A21)),FIND("(",IF(LEFT(TRIM(A21),1)="[",TRIM(MID(TRIM(A21),FIND("]",TRIM(A21)&amp;"]")+1,200)),TRIM(A21))&amp;"(")-1)),IF(LEFT(TRIM(A21),1)="[",TRIM(MID(TRIM(A21),FIND("]",TRIM(A21)&amp;"]")+1,200)),TRIM(A21))),""))</f>
      </c>
      <c r="C21" s="17">
        <f>IF(B21&lt;&gt;"",B21,C20)</f>
      </c>
      <c r="D21" s="17">
        <f>IF(A21="","",IF(OR(LEFT(UPPER(TRIM(A21)),2)="Y:",LEFT(UPPER(TRIM(A21)),10)="YESTERDAY:"),"Y",IF(OR(LEFT(UPPER(TRIM(A21)),2)="T:",LEFT(UPPER(TRIM(A21)),6)="TODAY:"),"T",IF(OR(LEFT(UPPER(TRIM(A21)),2)="B:",LEFT(UPPER(TRIM(A21)),8)="BLOCKER:",LEFT(UPPER(TRIM(A21)),9)="BLOCKERS:",LEFT(UPPER(TRIM(A21)),8)="BLOCKED:"),"B",""))))</f>
      </c>
      <c r="E21" s="17">
        <f>IF(D21="","",TRIM(MID(A21,FIND(":",A21)+1,500)))</f>
      </c>
    </row>
    <row r="22">
      <c r="B22" s="17">
        <f>IF(A22="","",IF(COUNTIF(Roster[Name],IF(RIGHT(IF(LEFT(TRIM(A22),1)="[",TRIM(MID(TRIM(A22),FIND("]",TRIM(A22)&amp;"]")+1,200)),TRIM(A22)),1)=")",TRIM(LEFT(IF(LEFT(TRIM(A22),1)="[",TRIM(MID(TRIM(A22),FIND("]",TRIM(A22)&amp;"]")+1,200)),TRIM(A22)),FIND("(",IF(LEFT(TRIM(A22),1)="[",TRIM(MID(TRIM(A22),FIND("]",TRIM(A22)&amp;"]")+1,200)),TRIM(A22))&amp;"(")-1)),IF(LEFT(TRIM(A22),1)="[",TRIM(MID(TRIM(A22),FIND("]",TRIM(A22)&amp;"]")+1,200)),TRIM(A22))))&gt;0,IF(RIGHT(IF(LEFT(TRIM(A22),1)="[",TRIM(MID(TRIM(A22),FIND("]",TRIM(A22)&amp;"]")+1,200)),TRIM(A22)),1)=")",TRIM(LEFT(IF(LEFT(TRIM(A22),1)="[",TRIM(MID(TRIM(A22),FIND("]",TRIM(A22)&amp;"]")+1,200)),TRIM(A22)),FIND("(",IF(LEFT(TRIM(A22),1)="[",TRIM(MID(TRIM(A22),FIND("]",TRIM(A22)&amp;"]")+1,200)),TRIM(A22))&amp;"(")-1)),IF(LEFT(TRIM(A22),1)="[",TRIM(MID(TRIM(A22),FIND("]",TRIM(A22)&amp;"]")+1,200)),TRIM(A22))),""))</f>
      </c>
      <c r="C22" s="17">
        <f>IF(B22&lt;&gt;"",B22,C21)</f>
      </c>
      <c r="D22" s="17">
        <f>IF(A22="","",IF(OR(LEFT(UPPER(TRIM(A22)),2)="Y:",LEFT(UPPER(TRIM(A22)),10)="YESTERDAY:"),"Y",IF(OR(LEFT(UPPER(TRIM(A22)),2)="T:",LEFT(UPPER(TRIM(A22)),6)="TODAY:"),"T",IF(OR(LEFT(UPPER(TRIM(A22)),2)="B:",LEFT(UPPER(TRIM(A22)),8)="BLOCKER:",LEFT(UPPER(TRIM(A22)),9)="BLOCKERS:",LEFT(UPPER(TRIM(A22)),8)="BLOCKED:"),"B",""))))</f>
      </c>
      <c r="E22" s="17">
        <f>IF(D22="","",TRIM(MID(A22,FIND(":",A22)+1,500)))</f>
      </c>
    </row>
    <row r="23">
      <c r="B23" s="17">
        <f>IF(A23="","",IF(COUNTIF(Roster[Name],IF(RIGHT(IF(LEFT(TRIM(A23),1)="[",TRIM(MID(TRIM(A23),FIND("]",TRIM(A23)&amp;"]")+1,200)),TRIM(A23)),1)=")",TRIM(LEFT(IF(LEFT(TRIM(A23),1)="[",TRIM(MID(TRIM(A23),FIND("]",TRIM(A23)&amp;"]")+1,200)),TRIM(A23)),FIND("(",IF(LEFT(TRIM(A23),1)="[",TRIM(MID(TRIM(A23),FIND("]",TRIM(A23)&amp;"]")+1,200)),TRIM(A23))&amp;"(")-1)),IF(LEFT(TRIM(A23),1)="[",TRIM(MID(TRIM(A23),FIND("]",TRIM(A23)&amp;"]")+1,200)),TRIM(A23))))&gt;0,IF(RIGHT(IF(LEFT(TRIM(A23),1)="[",TRIM(MID(TRIM(A23),FIND("]",TRIM(A23)&amp;"]")+1,200)),TRIM(A23)),1)=")",TRIM(LEFT(IF(LEFT(TRIM(A23),1)="[",TRIM(MID(TRIM(A23),FIND("]",TRIM(A23)&amp;"]")+1,200)),TRIM(A23)),FIND("(",IF(LEFT(TRIM(A23),1)="[",TRIM(MID(TRIM(A23),FIND("]",TRIM(A23)&amp;"]")+1,200)),TRIM(A23))&amp;"(")-1)),IF(LEFT(TRIM(A23),1)="[",TRIM(MID(TRIM(A23),FIND("]",TRIM(A23)&amp;"]")+1,200)),TRIM(A23))),""))</f>
      </c>
      <c r="C23" s="17">
        <f>IF(B23&lt;&gt;"",B23,C22)</f>
      </c>
      <c r="D23" s="17">
        <f>IF(A23="","",IF(OR(LEFT(UPPER(TRIM(A23)),2)="Y:",LEFT(UPPER(TRIM(A23)),10)="YESTERDAY:"),"Y",IF(OR(LEFT(UPPER(TRIM(A23)),2)="T:",LEFT(UPPER(TRIM(A23)),6)="TODAY:"),"T",IF(OR(LEFT(UPPER(TRIM(A23)),2)="B:",LEFT(UPPER(TRIM(A23)),8)="BLOCKER:",LEFT(UPPER(TRIM(A23)),9)="BLOCKERS:",LEFT(UPPER(TRIM(A23)),8)="BLOCKED:"),"B",""))))</f>
      </c>
      <c r="E23" s="17">
        <f>IF(D23="","",TRIM(MID(A23,FIND(":",A23)+1,500)))</f>
      </c>
    </row>
    <row r="24">
      <c r="B24" s="17">
        <f>IF(A24="","",IF(COUNTIF(Roster[Name],IF(RIGHT(IF(LEFT(TRIM(A24),1)="[",TRIM(MID(TRIM(A24),FIND("]",TRIM(A24)&amp;"]")+1,200)),TRIM(A24)),1)=")",TRIM(LEFT(IF(LEFT(TRIM(A24),1)="[",TRIM(MID(TRIM(A24),FIND("]",TRIM(A24)&amp;"]")+1,200)),TRIM(A24)),FIND("(",IF(LEFT(TRIM(A24),1)="[",TRIM(MID(TRIM(A24),FIND("]",TRIM(A24)&amp;"]")+1,200)),TRIM(A24))&amp;"(")-1)),IF(LEFT(TRIM(A24),1)="[",TRIM(MID(TRIM(A24),FIND("]",TRIM(A24)&amp;"]")+1,200)),TRIM(A24))))&gt;0,IF(RIGHT(IF(LEFT(TRIM(A24),1)="[",TRIM(MID(TRIM(A24),FIND("]",TRIM(A24)&amp;"]")+1,200)),TRIM(A24)),1)=")",TRIM(LEFT(IF(LEFT(TRIM(A24),1)="[",TRIM(MID(TRIM(A24),FIND("]",TRIM(A24)&amp;"]")+1,200)),TRIM(A24)),FIND("(",IF(LEFT(TRIM(A24),1)="[",TRIM(MID(TRIM(A24),FIND("]",TRIM(A24)&amp;"]")+1,200)),TRIM(A24))&amp;"(")-1)),IF(LEFT(TRIM(A24),1)="[",TRIM(MID(TRIM(A24),FIND("]",TRIM(A24)&amp;"]")+1,200)),TRIM(A24))),""))</f>
      </c>
      <c r="C24" s="17">
        <f>IF(B24&lt;&gt;"",B24,C23)</f>
      </c>
      <c r="D24" s="17">
        <f>IF(A24="","",IF(OR(LEFT(UPPER(TRIM(A24)),2)="Y:",LEFT(UPPER(TRIM(A24)),10)="YESTERDAY:"),"Y",IF(OR(LEFT(UPPER(TRIM(A24)),2)="T:",LEFT(UPPER(TRIM(A24)),6)="TODAY:"),"T",IF(OR(LEFT(UPPER(TRIM(A24)),2)="B:",LEFT(UPPER(TRIM(A24)),8)="BLOCKER:",LEFT(UPPER(TRIM(A24)),9)="BLOCKERS:",LEFT(UPPER(TRIM(A24)),8)="BLOCKED:"),"B",""))))</f>
      </c>
      <c r="E24" s="17">
        <f>IF(D24="","",TRIM(MID(A24,FIND(":",A24)+1,500)))</f>
      </c>
    </row>
    <row r="25">
      <c r="B25" s="17">
        <f>IF(A25="","",IF(COUNTIF(Roster[Name],IF(RIGHT(IF(LEFT(TRIM(A25),1)="[",TRIM(MID(TRIM(A25),FIND("]",TRIM(A25)&amp;"]")+1,200)),TRIM(A25)),1)=")",TRIM(LEFT(IF(LEFT(TRIM(A25),1)="[",TRIM(MID(TRIM(A25),FIND("]",TRIM(A25)&amp;"]")+1,200)),TRIM(A25)),FIND("(",IF(LEFT(TRIM(A25),1)="[",TRIM(MID(TRIM(A25),FIND("]",TRIM(A25)&amp;"]")+1,200)),TRIM(A25))&amp;"(")-1)),IF(LEFT(TRIM(A25),1)="[",TRIM(MID(TRIM(A25),FIND("]",TRIM(A25)&amp;"]")+1,200)),TRIM(A25))))&gt;0,IF(RIGHT(IF(LEFT(TRIM(A25),1)="[",TRIM(MID(TRIM(A25),FIND("]",TRIM(A25)&amp;"]")+1,200)),TRIM(A25)),1)=")",TRIM(LEFT(IF(LEFT(TRIM(A25),1)="[",TRIM(MID(TRIM(A25),FIND("]",TRIM(A25)&amp;"]")+1,200)),TRIM(A25)),FIND("(",IF(LEFT(TRIM(A25),1)="[",TRIM(MID(TRIM(A25),FIND("]",TRIM(A25)&amp;"]")+1,200)),TRIM(A25))&amp;"(")-1)),IF(LEFT(TRIM(A25),1)="[",TRIM(MID(TRIM(A25),FIND("]",TRIM(A25)&amp;"]")+1,200)),TRIM(A25))),""))</f>
      </c>
      <c r="C25" s="17">
        <f>IF(B25&lt;&gt;"",B25,C24)</f>
      </c>
      <c r="D25" s="17">
        <f>IF(A25="","",IF(OR(LEFT(UPPER(TRIM(A25)),2)="Y:",LEFT(UPPER(TRIM(A25)),10)="YESTERDAY:"),"Y",IF(OR(LEFT(UPPER(TRIM(A25)),2)="T:",LEFT(UPPER(TRIM(A25)),6)="TODAY:"),"T",IF(OR(LEFT(UPPER(TRIM(A25)),2)="B:",LEFT(UPPER(TRIM(A25)),8)="BLOCKER:",LEFT(UPPER(TRIM(A25)),9)="BLOCKERS:",LEFT(UPPER(TRIM(A25)),8)="BLOCKED:"),"B",""))))</f>
      </c>
      <c r="E25" s="17">
        <f>IF(D25="","",TRIM(MID(A25,FIND(":",A25)+1,500)))</f>
      </c>
    </row>
    <row r="26">
      <c r="B26" s="17">
        <f>IF(A26="","",IF(COUNTIF(Roster[Name],IF(RIGHT(IF(LEFT(TRIM(A26),1)="[",TRIM(MID(TRIM(A26),FIND("]",TRIM(A26)&amp;"]")+1,200)),TRIM(A26)),1)=")",TRIM(LEFT(IF(LEFT(TRIM(A26),1)="[",TRIM(MID(TRIM(A26),FIND("]",TRIM(A26)&amp;"]")+1,200)),TRIM(A26)),FIND("(",IF(LEFT(TRIM(A26),1)="[",TRIM(MID(TRIM(A26),FIND("]",TRIM(A26)&amp;"]")+1,200)),TRIM(A26))&amp;"(")-1)),IF(LEFT(TRIM(A26),1)="[",TRIM(MID(TRIM(A26),FIND("]",TRIM(A26)&amp;"]")+1,200)),TRIM(A26))))&gt;0,IF(RIGHT(IF(LEFT(TRIM(A26),1)="[",TRIM(MID(TRIM(A26),FIND("]",TRIM(A26)&amp;"]")+1,200)),TRIM(A26)),1)=")",TRIM(LEFT(IF(LEFT(TRIM(A26),1)="[",TRIM(MID(TRIM(A26),FIND("]",TRIM(A26)&amp;"]")+1,200)),TRIM(A26)),FIND("(",IF(LEFT(TRIM(A26),1)="[",TRIM(MID(TRIM(A26),FIND("]",TRIM(A26)&amp;"]")+1,200)),TRIM(A26))&amp;"(")-1)),IF(LEFT(TRIM(A26),1)="[",TRIM(MID(TRIM(A26),FIND("]",TRIM(A26)&amp;"]")+1,200)),TRIM(A26))),""))</f>
      </c>
      <c r="C26" s="17">
        <f>IF(B26&lt;&gt;"",B26,C25)</f>
      </c>
      <c r="D26" s="17">
        <f>IF(A26="","",IF(OR(LEFT(UPPER(TRIM(A26)),2)="Y:",LEFT(UPPER(TRIM(A26)),10)="YESTERDAY:"),"Y",IF(OR(LEFT(UPPER(TRIM(A26)),2)="T:",LEFT(UPPER(TRIM(A26)),6)="TODAY:"),"T",IF(OR(LEFT(UPPER(TRIM(A26)),2)="B:",LEFT(UPPER(TRIM(A26)),8)="BLOCKER:",LEFT(UPPER(TRIM(A26)),9)="BLOCKERS:",LEFT(UPPER(TRIM(A26)),8)="BLOCKED:"),"B",""))))</f>
      </c>
      <c r="E26" s="17">
        <f>IF(D26="","",TRIM(MID(A26,FIND(":",A26)+1,500)))</f>
      </c>
    </row>
    <row r="27">
      <c r="B27" s="17">
        <f>IF(A27="","",IF(COUNTIF(Roster[Name],IF(RIGHT(IF(LEFT(TRIM(A27),1)="[",TRIM(MID(TRIM(A27),FIND("]",TRIM(A27)&amp;"]")+1,200)),TRIM(A27)),1)=")",TRIM(LEFT(IF(LEFT(TRIM(A27),1)="[",TRIM(MID(TRIM(A27),FIND("]",TRIM(A27)&amp;"]")+1,200)),TRIM(A27)),FIND("(",IF(LEFT(TRIM(A27),1)="[",TRIM(MID(TRIM(A27),FIND("]",TRIM(A27)&amp;"]")+1,200)),TRIM(A27))&amp;"(")-1)),IF(LEFT(TRIM(A27),1)="[",TRIM(MID(TRIM(A27),FIND("]",TRIM(A27)&amp;"]")+1,200)),TRIM(A27))))&gt;0,IF(RIGHT(IF(LEFT(TRIM(A27),1)="[",TRIM(MID(TRIM(A27),FIND("]",TRIM(A27)&amp;"]")+1,200)),TRIM(A27)),1)=")",TRIM(LEFT(IF(LEFT(TRIM(A27),1)="[",TRIM(MID(TRIM(A27),FIND("]",TRIM(A27)&amp;"]")+1,200)),TRIM(A27)),FIND("(",IF(LEFT(TRIM(A27),1)="[",TRIM(MID(TRIM(A27),FIND("]",TRIM(A27)&amp;"]")+1,200)),TRIM(A27))&amp;"(")-1)),IF(LEFT(TRIM(A27),1)="[",TRIM(MID(TRIM(A27),FIND("]",TRIM(A27)&amp;"]")+1,200)),TRIM(A27))),""))</f>
      </c>
      <c r="C27" s="17">
        <f>IF(B27&lt;&gt;"",B27,C26)</f>
      </c>
      <c r="D27" s="17">
        <f>IF(A27="","",IF(OR(LEFT(UPPER(TRIM(A27)),2)="Y:",LEFT(UPPER(TRIM(A27)),10)="YESTERDAY:"),"Y",IF(OR(LEFT(UPPER(TRIM(A27)),2)="T:",LEFT(UPPER(TRIM(A27)),6)="TODAY:"),"T",IF(OR(LEFT(UPPER(TRIM(A27)),2)="B:",LEFT(UPPER(TRIM(A27)),8)="BLOCKER:",LEFT(UPPER(TRIM(A27)),9)="BLOCKERS:",LEFT(UPPER(TRIM(A27)),8)="BLOCKED:"),"B",""))))</f>
      </c>
      <c r="E27" s="17">
        <f>IF(D27="","",TRIM(MID(A27,FIND(":",A27)+1,500)))</f>
      </c>
    </row>
    <row r="28">
      <c r="B28" s="17">
        <f>IF(A28="","",IF(COUNTIF(Roster[Name],IF(RIGHT(IF(LEFT(TRIM(A28),1)="[",TRIM(MID(TRIM(A28),FIND("]",TRIM(A28)&amp;"]")+1,200)),TRIM(A28)),1)=")",TRIM(LEFT(IF(LEFT(TRIM(A28),1)="[",TRIM(MID(TRIM(A28),FIND("]",TRIM(A28)&amp;"]")+1,200)),TRIM(A28)),FIND("(",IF(LEFT(TRIM(A28),1)="[",TRIM(MID(TRIM(A28),FIND("]",TRIM(A28)&amp;"]")+1,200)),TRIM(A28))&amp;"(")-1)),IF(LEFT(TRIM(A28),1)="[",TRIM(MID(TRIM(A28),FIND("]",TRIM(A28)&amp;"]")+1,200)),TRIM(A28))))&gt;0,IF(RIGHT(IF(LEFT(TRIM(A28),1)="[",TRIM(MID(TRIM(A28),FIND("]",TRIM(A28)&amp;"]")+1,200)),TRIM(A28)),1)=")",TRIM(LEFT(IF(LEFT(TRIM(A28),1)="[",TRIM(MID(TRIM(A28),FIND("]",TRIM(A28)&amp;"]")+1,200)),TRIM(A28)),FIND("(",IF(LEFT(TRIM(A28),1)="[",TRIM(MID(TRIM(A28),FIND("]",TRIM(A28)&amp;"]")+1,200)),TRIM(A28))&amp;"(")-1)),IF(LEFT(TRIM(A28),1)="[",TRIM(MID(TRIM(A28),FIND("]",TRIM(A28)&amp;"]")+1,200)),TRIM(A28))),""))</f>
      </c>
      <c r="C28" s="17">
        <f>IF(B28&lt;&gt;"",B28,C27)</f>
      </c>
      <c r="D28" s="17">
        <f>IF(A28="","",IF(OR(LEFT(UPPER(TRIM(A28)),2)="Y:",LEFT(UPPER(TRIM(A28)),10)="YESTERDAY:"),"Y",IF(OR(LEFT(UPPER(TRIM(A28)),2)="T:",LEFT(UPPER(TRIM(A28)),6)="TODAY:"),"T",IF(OR(LEFT(UPPER(TRIM(A28)),2)="B:",LEFT(UPPER(TRIM(A28)),8)="BLOCKER:",LEFT(UPPER(TRIM(A28)),9)="BLOCKERS:",LEFT(UPPER(TRIM(A28)),8)="BLOCKED:"),"B",""))))</f>
      </c>
      <c r="E28" s="17">
        <f>IF(D28="","",TRIM(MID(A28,FIND(":",A28)+1,500)))</f>
      </c>
    </row>
    <row r="29">
      <c r="B29" s="17">
        <f>IF(A29="","",IF(COUNTIF(Roster[Name],IF(RIGHT(IF(LEFT(TRIM(A29),1)="[",TRIM(MID(TRIM(A29),FIND("]",TRIM(A29)&amp;"]")+1,200)),TRIM(A29)),1)=")",TRIM(LEFT(IF(LEFT(TRIM(A29),1)="[",TRIM(MID(TRIM(A29),FIND("]",TRIM(A29)&amp;"]")+1,200)),TRIM(A29)),FIND("(",IF(LEFT(TRIM(A29),1)="[",TRIM(MID(TRIM(A29),FIND("]",TRIM(A29)&amp;"]")+1,200)),TRIM(A29))&amp;"(")-1)),IF(LEFT(TRIM(A29),1)="[",TRIM(MID(TRIM(A29),FIND("]",TRIM(A29)&amp;"]")+1,200)),TRIM(A29))))&gt;0,IF(RIGHT(IF(LEFT(TRIM(A29),1)="[",TRIM(MID(TRIM(A29),FIND("]",TRIM(A29)&amp;"]")+1,200)),TRIM(A29)),1)=")",TRIM(LEFT(IF(LEFT(TRIM(A29),1)="[",TRIM(MID(TRIM(A29),FIND("]",TRIM(A29)&amp;"]")+1,200)),TRIM(A29)),FIND("(",IF(LEFT(TRIM(A29),1)="[",TRIM(MID(TRIM(A29),FIND("]",TRIM(A29)&amp;"]")+1,200)),TRIM(A29))&amp;"(")-1)),IF(LEFT(TRIM(A29),1)="[",TRIM(MID(TRIM(A29),FIND("]",TRIM(A29)&amp;"]")+1,200)),TRIM(A29))),""))</f>
      </c>
      <c r="C29" s="17">
        <f>IF(B29&lt;&gt;"",B29,C28)</f>
      </c>
      <c r="D29" s="17">
        <f>IF(A29="","",IF(OR(LEFT(UPPER(TRIM(A29)),2)="Y:",LEFT(UPPER(TRIM(A29)),10)="YESTERDAY:"),"Y",IF(OR(LEFT(UPPER(TRIM(A29)),2)="T:",LEFT(UPPER(TRIM(A29)),6)="TODAY:"),"T",IF(OR(LEFT(UPPER(TRIM(A29)),2)="B:",LEFT(UPPER(TRIM(A29)),8)="BLOCKER:",LEFT(UPPER(TRIM(A29)),9)="BLOCKERS:",LEFT(UPPER(TRIM(A29)),8)="BLOCKED:"),"B",""))))</f>
      </c>
      <c r="E29" s="17">
        <f>IF(D29="","",TRIM(MID(A29,FIND(":",A29)+1,500)))</f>
      </c>
    </row>
    <row r="30">
      <c r="B30" s="17">
        <f>IF(A30="","",IF(COUNTIF(Roster[Name],IF(RIGHT(IF(LEFT(TRIM(A30),1)="[",TRIM(MID(TRIM(A30),FIND("]",TRIM(A30)&amp;"]")+1,200)),TRIM(A30)),1)=")",TRIM(LEFT(IF(LEFT(TRIM(A30),1)="[",TRIM(MID(TRIM(A30),FIND("]",TRIM(A30)&amp;"]")+1,200)),TRIM(A30)),FIND("(",IF(LEFT(TRIM(A30),1)="[",TRIM(MID(TRIM(A30),FIND("]",TRIM(A30)&amp;"]")+1,200)),TRIM(A30))&amp;"(")-1)),IF(LEFT(TRIM(A30),1)="[",TRIM(MID(TRIM(A30),FIND("]",TRIM(A30)&amp;"]")+1,200)),TRIM(A30))))&gt;0,IF(RIGHT(IF(LEFT(TRIM(A30),1)="[",TRIM(MID(TRIM(A30),FIND("]",TRIM(A30)&amp;"]")+1,200)),TRIM(A30)),1)=")",TRIM(LEFT(IF(LEFT(TRIM(A30),1)="[",TRIM(MID(TRIM(A30),FIND("]",TRIM(A30)&amp;"]")+1,200)),TRIM(A30)),FIND("(",IF(LEFT(TRIM(A30),1)="[",TRIM(MID(TRIM(A30),FIND("]",TRIM(A30)&amp;"]")+1,200)),TRIM(A30))&amp;"(")-1)),IF(LEFT(TRIM(A30),1)="[",TRIM(MID(TRIM(A30),FIND("]",TRIM(A30)&amp;"]")+1,200)),TRIM(A30))),""))</f>
      </c>
      <c r="C30" s="17">
        <f>IF(B30&lt;&gt;"",B30,C29)</f>
      </c>
      <c r="D30" s="17">
        <f>IF(A30="","",IF(OR(LEFT(UPPER(TRIM(A30)),2)="Y:",LEFT(UPPER(TRIM(A30)),10)="YESTERDAY:"),"Y",IF(OR(LEFT(UPPER(TRIM(A30)),2)="T:",LEFT(UPPER(TRIM(A30)),6)="TODAY:"),"T",IF(OR(LEFT(UPPER(TRIM(A30)),2)="B:",LEFT(UPPER(TRIM(A30)),8)="BLOCKER:",LEFT(UPPER(TRIM(A30)),9)="BLOCKERS:",LEFT(UPPER(TRIM(A30)),8)="BLOCKED:"),"B",""))))</f>
      </c>
      <c r="E30" s="17">
        <f>IF(D30="","",TRIM(MID(A30,FIND(":",A30)+1,500)))</f>
      </c>
    </row>
    <row r="31">
      <c r="B31" s="17">
        <f>IF(A31="","",IF(COUNTIF(Roster[Name],IF(RIGHT(IF(LEFT(TRIM(A31),1)="[",TRIM(MID(TRIM(A31),FIND("]",TRIM(A31)&amp;"]")+1,200)),TRIM(A31)),1)=")",TRIM(LEFT(IF(LEFT(TRIM(A31),1)="[",TRIM(MID(TRIM(A31),FIND("]",TRIM(A31)&amp;"]")+1,200)),TRIM(A31)),FIND("(",IF(LEFT(TRIM(A31),1)="[",TRIM(MID(TRIM(A31),FIND("]",TRIM(A31)&amp;"]")+1,200)),TRIM(A31))&amp;"(")-1)),IF(LEFT(TRIM(A31),1)="[",TRIM(MID(TRIM(A31),FIND("]",TRIM(A31)&amp;"]")+1,200)),TRIM(A31))))&gt;0,IF(RIGHT(IF(LEFT(TRIM(A31),1)="[",TRIM(MID(TRIM(A31),FIND("]",TRIM(A31)&amp;"]")+1,200)),TRIM(A31)),1)=")",TRIM(LEFT(IF(LEFT(TRIM(A31),1)="[",TRIM(MID(TRIM(A31),FIND("]",TRIM(A31)&amp;"]")+1,200)),TRIM(A31)),FIND("(",IF(LEFT(TRIM(A31),1)="[",TRIM(MID(TRIM(A31),FIND("]",TRIM(A31)&amp;"]")+1,200)),TRIM(A31))&amp;"(")-1)),IF(LEFT(TRIM(A31),1)="[",TRIM(MID(TRIM(A31),FIND("]",TRIM(A31)&amp;"]")+1,200)),TRIM(A31))),""))</f>
      </c>
      <c r="C31" s="17">
        <f>IF(B31&lt;&gt;"",B31,C30)</f>
      </c>
      <c r="D31" s="17">
        <f>IF(A31="","",IF(OR(LEFT(UPPER(TRIM(A31)),2)="Y:",LEFT(UPPER(TRIM(A31)),10)="YESTERDAY:"),"Y",IF(OR(LEFT(UPPER(TRIM(A31)),2)="T:",LEFT(UPPER(TRIM(A31)),6)="TODAY:"),"T",IF(OR(LEFT(UPPER(TRIM(A31)),2)="B:",LEFT(UPPER(TRIM(A31)),8)="BLOCKER:",LEFT(UPPER(TRIM(A31)),9)="BLOCKERS:",LEFT(UPPER(TRIM(A31)),8)="BLOCKED:"),"B",""))))</f>
      </c>
      <c r="E31" s="17">
        <f>IF(D31="","",TRIM(MID(A31,FIND(":",A31)+1,500)))</f>
      </c>
    </row>
    <row r="32">
      <c r="B32" s="17">
        <f>IF(A32="","",IF(COUNTIF(Roster[Name],IF(RIGHT(IF(LEFT(TRIM(A32),1)="[",TRIM(MID(TRIM(A32),FIND("]",TRIM(A32)&amp;"]")+1,200)),TRIM(A32)),1)=")",TRIM(LEFT(IF(LEFT(TRIM(A32),1)="[",TRIM(MID(TRIM(A32),FIND("]",TRIM(A32)&amp;"]")+1,200)),TRIM(A32)),FIND("(",IF(LEFT(TRIM(A32),1)="[",TRIM(MID(TRIM(A32),FIND("]",TRIM(A32)&amp;"]")+1,200)),TRIM(A32))&amp;"(")-1)),IF(LEFT(TRIM(A32),1)="[",TRIM(MID(TRIM(A32),FIND("]",TRIM(A32)&amp;"]")+1,200)),TRIM(A32))))&gt;0,IF(RIGHT(IF(LEFT(TRIM(A32),1)="[",TRIM(MID(TRIM(A32),FIND("]",TRIM(A32)&amp;"]")+1,200)),TRIM(A32)),1)=")",TRIM(LEFT(IF(LEFT(TRIM(A32),1)="[",TRIM(MID(TRIM(A32),FIND("]",TRIM(A32)&amp;"]")+1,200)),TRIM(A32)),FIND("(",IF(LEFT(TRIM(A32),1)="[",TRIM(MID(TRIM(A32),FIND("]",TRIM(A32)&amp;"]")+1,200)),TRIM(A32))&amp;"(")-1)),IF(LEFT(TRIM(A32),1)="[",TRIM(MID(TRIM(A32),FIND("]",TRIM(A32)&amp;"]")+1,200)),TRIM(A32))),""))</f>
      </c>
      <c r="C32" s="17">
        <f>IF(B32&lt;&gt;"",B32,C31)</f>
      </c>
      <c r="D32" s="17">
        <f>IF(A32="","",IF(OR(LEFT(UPPER(TRIM(A32)),2)="Y:",LEFT(UPPER(TRIM(A32)),10)="YESTERDAY:"),"Y",IF(OR(LEFT(UPPER(TRIM(A32)),2)="T:",LEFT(UPPER(TRIM(A32)),6)="TODAY:"),"T",IF(OR(LEFT(UPPER(TRIM(A32)),2)="B:",LEFT(UPPER(TRIM(A32)),8)="BLOCKER:",LEFT(UPPER(TRIM(A32)),9)="BLOCKERS:",LEFT(UPPER(TRIM(A32)),8)="BLOCKED:"),"B",""))))</f>
      </c>
      <c r="E32" s="17">
        <f>IF(D32="","",TRIM(MID(A32,FIND(":",A32)+1,500)))</f>
      </c>
    </row>
    <row r="33">
      <c r="B33" s="17">
        <f>IF(A33="","",IF(COUNTIF(Roster[Name],IF(RIGHT(IF(LEFT(TRIM(A33),1)="[",TRIM(MID(TRIM(A33),FIND("]",TRIM(A33)&amp;"]")+1,200)),TRIM(A33)),1)=")",TRIM(LEFT(IF(LEFT(TRIM(A33),1)="[",TRIM(MID(TRIM(A33),FIND("]",TRIM(A33)&amp;"]")+1,200)),TRIM(A33)),FIND("(",IF(LEFT(TRIM(A33),1)="[",TRIM(MID(TRIM(A33),FIND("]",TRIM(A33)&amp;"]")+1,200)),TRIM(A33))&amp;"(")-1)),IF(LEFT(TRIM(A33),1)="[",TRIM(MID(TRIM(A33),FIND("]",TRIM(A33)&amp;"]")+1,200)),TRIM(A33))))&gt;0,IF(RIGHT(IF(LEFT(TRIM(A33),1)="[",TRIM(MID(TRIM(A33),FIND("]",TRIM(A33)&amp;"]")+1,200)),TRIM(A33)),1)=")",TRIM(LEFT(IF(LEFT(TRIM(A33),1)="[",TRIM(MID(TRIM(A33),FIND("]",TRIM(A33)&amp;"]")+1,200)),TRIM(A33)),FIND("(",IF(LEFT(TRIM(A33),1)="[",TRIM(MID(TRIM(A33),FIND("]",TRIM(A33)&amp;"]")+1,200)),TRIM(A33))&amp;"(")-1)),IF(LEFT(TRIM(A33),1)="[",TRIM(MID(TRIM(A33),FIND("]",TRIM(A33)&amp;"]")+1,200)),TRIM(A33))),""))</f>
      </c>
      <c r="C33" s="17">
        <f>IF(B33&lt;&gt;"",B33,C32)</f>
      </c>
      <c r="D33" s="17">
        <f>IF(A33="","",IF(OR(LEFT(UPPER(TRIM(A33)),2)="Y:",LEFT(UPPER(TRIM(A33)),10)="YESTERDAY:"),"Y",IF(OR(LEFT(UPPER(TRIM(A33)),2)="T:",LEFT(UPPER(TRIM(A33)),6)="TODAY:"),"T",IF(OR(LEFT(UPPER(TRIM(A33)),2)="B:",LEFT(UPPER(TRIM(A33)),8)="BLOCKER:",LEFT(UPPER(TRIM(A33)),9)="BLOCKERS:",LEFT(UPPER(TRIM(A33)),8)="BLOCKED:"),"B",""))))</f>
      </c>
      <c r="E33" s="17">
        <f>IF(D33="","",TRIM(MID(A33,FIND(":",A33)+1,500)))</f>
      </c>
    </row>
    <row r="34">
      <c r="B34" s="17">
        <f>IF(A34="","",IF(COUNTIF(Roster[Name],IF(RIGHT(IF(LEFT(TRIM(A34),1)="[",TRIM(MID(TRIM(A34),FIND("]",TRIM(A34)&amp;"]")+1,200)),TRIM(A34)),1)=")",TRIM(LEFT(IF(LEFT(TRIM(A34),1)="[",TRIM(MID(TRIM(A34),FIND("]",TRIM(A34)&amp;"]")+1,200)),TRIM(A34)),FIND("(",IF(LEFT(TRIM(A34),1)="[",TRIM(MID(TRIM(A34),FIND("]",TRIM(A34)&amp;"]")+1,200)),TRIM(A34))&amp;"(")-1)),IF(LEFT(TRIM(A34),1)="[",TRIM(MID(TRIM(A34),FIND("]",TRIM(A34)&amp;"]")+1,200)),TRIM(A34))))&gt;0,IF(RIGHT(IF(LEFT(TRIM(A34),1)="[",TRIM(MID(TRIM(A34),FIND("]",TRIM(A34)&amp;"]")+1,200)),TRIM(A34)),1)=")",TRIM(LEFT(IF(LEFT(TRIM(A34),1)="[",TRIM(MID(TRIM(A34),FIND("]",TRIM(A34)&amp;"]")+1,200)),TRIM(A34)),FIND("(",IF(LEFT(TRIM(A34),1)="[",TRIM(MID(TRIM(A34),FIND("]",TRIM(A34)&amp;"]")+1,200)),TRIM(A34))&amp;"(")-1)),IF(LEFT(TRIM(A34),1)="[",TRIM(MID(TRIM(A34),FIND("]",TRIM(A34)&amp;"]")+1,200)),TRIM(A34))),""))</f>
      </c>
      <c r="C34" s="17">
        <f>IF(B34&lt;&gt;"",B34,C33)</f>
      </c>
      <c r="D34" s="17">
        <f>IF(A34="","",IF(OR(LEFT(UPPER(TRIM(A34)),2)="Y:",LEFT(UPPER(TRIM(A34)),10)="YESTERDAY:"),"Y",IF(OR(LEFT(UPPER(TRIM(A34)),2)="T:",LEFT(UPPER(TRIM(A34)),6)="TODAY:"),"T",IF(OR(LEFT(UPPER(TRIM(A34)),2)="B:",LEFT(UPPER(TRIM(A34)),8)="BLOCKER:",LEFT(UPPER(TRIM(A34)),9)="BLOCKERS:",LEFT(UPPER(TRIM(A34)),8)="BLOCKED:"),"B",""))))</f>
      </c>
      <c r="E34" s="17">
        <f>IF(D34="","",TRIM(MID(A34,FIND(":",A34)+1,500)))</f>
      </c>
    </row>
    <row r="35">
      <c r="B35" s="17">
        <f>IF(A35="","",IF(COUNTIF(Roster[Name],IF(RIGHT(IF(LEFT(TRIM(A35),1)="[",TRIM(MID(TRIM(A35),FIND("]",TRIM(A35)&amp;"]")+1,200)),TRIM(A35)),1)=")",TRIM(LEFT(IF(LEFT(TRIM(A35),1)="[",TRIM(MID(TRIM(A35),FIND("]",TRIM(A35)&amp;"]")+1,200)),TRIM(A35)),FIND("(",IF(LEFT(TRIM(A35),1)="[",TRIM(MID(TRIM(A35),FIND("]",TRIM(A35)&amp;"]")+1,200)),TRIM(A35))&amp;"(")-1)),IF(LEFT(TRIM(A35),1)="[",TRIM(MID(TRIM(A35),FIND("]",TRIM(A35)&amp;"]")+1,200)),TRIM(A35))))&gt;0,IF(RIGHT(IF(LEFT(TRIM(A35),1)="[",TRIM(MID(TRIM(A35),FIND("]",TRIM(A35)&amp;"]")+1,200)),TRIM(A35)),1)=")",TRIM(LEFT(IF(LEFT(TRIM(A35),1)="[",TRIM(MID(TRIM(A35),FIND("]",TRIM(A35)&amp;"]")+1,200)),TRIM(A35)),FIND("(",IF(LEFT(TRIM(A35),1)="[",TRIM(MID(TRIM(A35),FIND("]",TRIM(A35)&amp;"]")+1,200)),TRIM(A35))&amp;"(")-1)),IF(LEFT(TRIM(A35),1)="[",TRIM(MID(TRIM(A35),FIND("]",TRIM(A35)&amp;"]")+1,200)),TRIM(A35))),""))</f>
      </c>
      <c r="C35" s="17">
        <f>IF(B35&lt;&gt;"",B35,C34)</f>
      </c>
      <c r="D35" s="17">
        <f>IF(A35="","",IF(OR(LEFT(UPPER(TRIM(A35)),2)="Y:",LEFT(UPPER(TRIM(A35)),10)="YESTERDAY:"),"Y",IF(OR(LEFT(UPPER(TRIM(A35)),2)="T:",LEFT(UPPER(TRIM(A35)),6)="TODAY:"),"T",IF(OR(LEFT(UPPER(TRIM(A35)),2)="B:",LEFT(UPPER(TRIM(A35)),8)="BLOCKER:",LEFT(UPPER(TRIM(A35)),9)="BLOCKERS:",LEFT(UPPER(TRIM(A35)),8)="BLOCKED:"),"B",""))))</f>
      </c>
      <c r="E35" s="17">
        <f>IF(D35="","",TRIM(MID(A35,FIND(":",A35)+1,500)))</f>
      </c>
    </row>
    <row r="36">
      <c r="B36" s="17">
        <f>IF(A36="","",IF(COUNTIF(Roster[Name],IF(RIGHT(IF(LEFT(TRIM(A36),1)="[",TRIM(MID(TRIM(A36),FIND("]",TRIM(A36)&amp;"]")+1,200)),TRIM(A36)),1)=")",TRIM(LEFT(IF(LEFT(TRIM(A36),1)="[",TRIM(MID(TRIM(A36),FIND("]",TRIM(A36)&amp;"]")+1,200)),TRIM(A36)),FIND("(",IF(LEFT(TRIM(A36),1)="[",TRIM(MID(TRIM(A36),FIND("]",TRIM(A36)&amp;"]")+1,200)),TRIM(A36))&amp;"(")-1)),IF(LEFT(TRIM(A36),1)="[",TRIM(MID(TRIM(A36),FIND("]",TRIM(A36)&amp;"]")+1,200)),TRIM(A36))))&gt;0,IF(RIGHT(IF(LEFT(TRIM(A36),1)="[",TRIM(MID(TRIM(A36),FIND("]",TRIM(A36)&amp;"]")+1,200)),TRIM(A36)),1)=")",TRIM(LEFT(IF(LEFT(TRIM(A36),1)="[",TRIM(MID(TRIM(A36),FIND("]",TRIM(A36)&amp;"]")+1,200)),TRIM(A36)),FIND("(",IF(LEFT(TRIM(A36),1)="[",TRIM(MID(TRIM(A36),FIND("]",TRIM(A36)&amp;"]")+1,200)),TRIM(A36))&amp;"(")-1)),IF(LEFT(TRIM(A36),1)="[",TRIM(MID(TRIM(A36),FIND("]",TRIM(A36)&amp;"]")+1,200)),TRIM(A36))),""))</f>
      </c>
      <c r="C36" s="17">
        <f>IF(B36&lt;&gt;"",B36,C35)</f>
      </c>
      <c r="D36" s="17">
        <f>IF(A36="","",IF(OR(LEFT(UPPER(TRIM(A36)),2)="Y:",LEFT(UPPER(TRIM(A36)),10)="YESTERDAY:"),"Y",IF(OR(LEFT(UPPER(TRIM(A36)),2)="T:",LEFT(UPPER(TRIM(A36)),6)="TODAY:"),"T",IF(OR(LEFT(UPPER(TRIM(A36)),2)="B:",LEFT(UPPER(TRIM(A36)),8)="BLOCKER:",LEFT(UPPER(TRIM(A36)),9)="BLOCKERS:",LEFT(UPPER(TRIM(A36)),8)="BLOCKED:"),"B",""))))</f>
      </c>
      <c r="E36" s="17">
        <f>IF(D36="","",TRIM(MID(A36,FIND(":",A36)+1,500)))</f>
      </c>
    </row>
    <row r="37">
      <c r="B37" s="17">
        <f>IF(A37="","",IF(COUNTIF(Roster[Name],IF(RIGHT(IF(LEFT(TRIM(A37),1)="[",TRIM(MID(TRIM(A37),FIND("]",TRIM(A37)&amp;"]")+1,200)),TRIM(A37)),1)=")",TRIM(LEFT(IF(LEFT(TRIM(A37),1)="[",TRIM(MID(TRIM(A37),FIND("]",TRIM(A37)&amp;"]")+1,200)),TRIM(A37)),FIND("(",IF(LEFT(TRIM(A37),1)="[",TRIM(MID(TRIM(A37),FIND("]",TRIM(A37)&amp;"]")+1,200)),TRIM(A37))&amp;"(")-1)),IF(LEFT(TRIM(A37),1)="[",TRIM(MID(TRIM(A37),FIND("]",TRIM(A37)&amp;"]")+1,200)),TRIM(A37))))&gt;0,IF(RIGHT(IF(LEFT(TRIM(A37),1)="[",TRIM(MID(TRIM(A37),FIND("]",TRIM(A37)&amp;"]")+1,200)),TRIM(A37)),1)=")",TRIM(LEFT(IF(LEFT(TRIM(A37),1)="[",TRIM(MID(TRIM(A37),FIND("]",TRIM(A37)&amp;"]")+1,200)),TRIM(A37)),FIND("(",IF(LEFT(TRIM(A37),1)="[",TRIM(MID(TRIM(A37),FIND("]",TRIM(A37)&amp;"]")+1,200)),TRIM(A37))&amp;"(")-1)),IF(LEFT(TRIM(A37),1)="[",TRIM(MID(TRIM(A37),FIND("]",TRIM(A37)&amp;"]")+1,200)),TRIM(A37))),""))</f>
      </c>
      <c r="C37" s="17">
        <f>IF(B37&lt;&gt;"",B37,C36)</f>
      </c>
      <c r="D37" s="17">
        <f>IF(A37="","",IF(OR(LEFT(UPPER(TRIM(A37)),2)="Y:",LEFT(UPPER(TRIM(A37)),10)="YESTERDAY:"),"Y",IF(OR(LEFT(UPPER(TRIM(A37)),2)="T:",LEFT(UPPER(TRIM(A37)),6)="TODAY:"),"T",IF(OR(LEFT(UPPER(TRIM(A37)),2)="B:",LEFT(UPPER(TRIM(A37)),8)="BLOCKER:",LEFT(UPPER(TRIM(A37)),9)="BLOCKERS:",LEFT(UPPER(TRIM(A37)),8)="BLOCKED:"),"B",""))))</f>
      </c>
      <c r="E37" s="17">
        <f>IF(D37="","",TRIM(MID(A37,FIND(":",A37)+1,500)))</f>
      </c>
    </row>
    <row r="38">
      <c r="B38" s="17">
        <f>IF(A38="","",IF(COUNTIF(Roster[Name],IF(RIGHT(IF(LEFT(TRIM(A38),1)="[",TRIM(MID(TRIM(A38),FIND("]",TRIM(A38)&amp;"]")+1,200)),TRIM(A38)),1)=")",TRIM(LEFT(IF(LEFT(TRIM(A38),1)="[",TRIM(MID(TRIM(A38),FIND("]",TRIM(A38)&amp;"]")+1,200)),TRIM(A38)),FIND("(",IF(LEFT(TRIM(A38),1)="[",TRIM(MID(TRIM(A38),FIND("]",TRIM(A38)&amp;"]")+1,200)),TRIM(A38))&amp;"(")-1)),IF(LEFT(TRIM(A38),1)="[",TRIM(MID(TRIM(A38),FIND("]",TRIM(A38)&amp;"]")+1,200)),TRIM(A38))))&gt;0,IF(RIGHT(IF(LEFT(TRIM(A38),1)="[",TRIM(MID(TRIM(A38),FIND("]",TRIM(A38)&amp;"]")+1,200)),TRIM(A38)),1)=")",TRIM(LEFT(IF(LEFT(TRIM(A38),1)="[",TRIM(MID(TRIM(A38),FIND("]",TRIM(A38)&amp;"]")+1,200)),TRIM(A38)),FIND("(",IF(LEFT(TRIM(A38),1)="[",TRIM(MID(TRIM(A38),FIND("]",TRIM(A38)&amp;"]")+1,200)),TRIM(A38))&amp;"(")-1)),IF(LEFT(TRIM(A38),1)="[",TRIM(MID(TRIM(A38),FIND("]",TRIM(A38)&amp;"]")+1,200)),TRIM(A38))),""))</f>
      </c>
      <c r="C38" s="17">
        <f>IF(B38&lt;&gt;"",B38,C37)</f>
      </c>
      <c r="D38" s="17">
        <f>IF(A38="","",IF(OR(LEFT(UPPER(TRIM(A38)),2)="Y:",LEFT(UPPER(TRIM(A38)),10)="YESTERDAY:"),"Y",IF(OR(LEFT(UPPER(TRIM(A38)),2)="T:",LEFT(UPPER(TRIM(A38)),6)="TODAY:"),"T",IF(OR(LEFT(UPPER(TRIM(A38)),2)="B:",LEFT(UPPER(TRIM(A38)),8)="BLOCKER:",LEFT(UPPER(TRIM(A38)),9)="BLOCKERS:",LEFT(UPPER(TRIM(A38)),8)="BLOCKED:"),"B",""))))</f>
      </c>
      <c r="E38" s="17">
        <f>IF(D38="","",TRIM(MID(A38,FIND(":",A38)+1,500)))</f>
      </c>
    </row>
    <row r="39">
      <c r="B39" s="17">
        <f>IF(A39="","",IF(COUNTIF(Roster[Name],IF(RIGHT(IF(LEFT(TRIM(A39),1)="[",TRIM(MID(TRIM(A39),FIND("]",TRIM(A39)&amp;"]")+1,200)),TRIM(A39)),1)=")",TRIM(LEFT(IF(LEFT(TRIM(A39),1)="[",TRIM(MID(TRIM(A39),FIND("]",TRIM(A39)&amp;"]")+1,200)),TRIM(A39)),FIND("(",IF(LEFT(TRIM(A39),1)="[",TRIM(MID(TRIM(A39),FIND("]",TRIM(A39)&amp;"]")+1,200)),TRIM(A39))&amp;"(")-1)),IF(LEFT(TRIM(A39),1)="[",TRIM(MID(TRIM(A39),FIND("]",TRIM(A39)&amp;"]")+1,200)),TRIM(A39))))&gt;0,IF(RIGHT(IF(LEFT(TRIM(A39),1)="[",TRIM(MID(TRIM(A39),FIND("]",TRIM(A39)&amp;"]")+1,200)),TRIM(A39)),1)=")",TRIM(LEFT(IF(LEFT(TRIM(A39),1)="[",TRIM(MID(TRIM(A39),FIND("]",TRIM(A39)&amp;"]")+1,200)),TRIM(A39)),FIND("(",IF(LEFT(TRIM(A39),1)="[",TRIM(MID(TRIM(A39),FIND("]",TRIM(A39)&amp;"]")+1,200)),TRIM(A39))&amp;"(")-1)),IF(LEFT(TRIM(A39),1)="[",TRIM(MID(TRIM(A39),FIND("]",TRIM(A39)&amp;"]")+1,200)),TRIM(A39))),""))</f>
      </c>
      <c r="C39" s="17">
        <f>IF(B39&lt;&gt;"",B39,C38)</f>
      </c>
      <c r="D39" s="17">
        <f>IF(A39="","",IF(OR(LEFT(UPPER(TRIM(A39)),2)="Y:",LEFT(UPPER(TRIM(A39)),10)="YESTERDAY:"),"Y",IF(OR(LEFT(UPPER(TRIM(A39)),2)="T:",LEFT(UPPER(TRIM(A39)),6)="TODAY:"),"T",IF(OR(LEFT(UPPER(TRIM(A39)),2)="B:",LEFT(UPPER(TRIM(A39)),8)="BLOCKER:",LEFT(UPPER(TRIM(A39)),9)="BLOCKERS:",LEFT(UPPER(TRIM(A39)),8)="BLOCKED:"),"B",""))))</f>
      </c>
      <c r="E39" s="17">
        <f>IF(D39="","",TRIM(MID(A39,FIND(":",A39)+1,500)))</f>
      </c>
    </row>
    <row r="40">
      <c r="B40" s="17">
        <f>IF(A40="","",IF(COUNTIF(Roster[Name],IF(RIGHT(IF(LEFT(TRIM(A40),1)="[",TRIM(MID(TRIM(A40),FIND("]",TRIM(A40)&amp;"]")+1,200)),TRIM(A40)),1)=")",TRIM(LEFT(IF(LEFT(TRIM(A40),1)="[",TRIM(MID(TRIM(A40),FIND("]",TRIM(A40)&amp;"]")+1,200)),TRIM(A40)),FIND("(",IF(LEFT(TRIM(A40),1)="[",TRIM(MID(TRIM(A40),FIND("]",TRIM(A40)&amp;"]")+1,200)),TRIM(A40))&amp;"(")-1)),IF(LEFT(TRIM(A40),1)="[",TRIM(MID(TRIM(A40),FIND("]",TRIM(A40)&amp;"]")+1,200)),TRIM(A40))))&gt;0,IF(RIGHT(IF(LEFT(TRIM(A40),1)="[",TRIM(MID(TRIM(A40),FIND("]",TRIM(A40)&amp;"]")+1,200)),TRIM(A40)),1)=")",TRIM(LEFT(IF(LEFT(TRIM(A40),1)="[",TRIM(MID(TRIM(A40),FIND("]",TRIM(A40)&amp;"]")+1,200)),TRIM(A40)),FIND("(",IF(LEFT(TRIM(A40),1)="[",TRIM(MID(TRIM(A40),FIND("]",TRIM(A40)&amp;"]")+1,200)),TRIM(A40))&amp;"(")-1)),IF(LEFT(TRIM(A40),1)="[",TRIM(MID(TRIM(A40),FIND("]",TRIM(A40)&amp;"]")+1,200)),TRIM(A40))),""))</f>
      </c>
      <c r="C40" s="17">
        <f>IF(B40&lt;&gt;"",B40,C39)</f>
      </c>
      <c r="D40" s="17">
        <f>IF(A40="","",IF(OR(LEFT(UPPER(TRIM(A40)),2)="Y:",LEFT(UPPER(TRIM(A40)),10)="YESTERDAY:"),"Y",IF(OR(LEFT(UPPER(TRIM(A40)),2)="T:",LEFT(UPPER(TRIM(A40)),6)="TODAY:"),"T",IF(OR(LEFT(UPPER(TRIM(A40)),2)="B:",LEFT(UPPER(TRIM(A40)),8)="BLOCKER:",LEFT(UPPER(TRIM(A40)),9)="BLOCKERS:",LEFT(UPPER(TRIM(A40)),8)="BLOCKED:"),"B",""))))</f>
      </c>
      <c r="E40" s="17">
        <f>IF(D40="","",TRIM(MID(A40,FIND(":",A40)+1,500)))</f>
      </c>
    </row>
    <row r="41">
      <c r="B41" s="17">
        <f>IF(A41="","",IF(COUNTIF(Roster[Name],IF(RIGHT(IF(LEFT(TRIM(A41),1)="[",TRIM(MID(TRIM(A41),FIND("]",TRIM(A41)&amp;"]")+1,200)),TRIM(A41)),1)=")",TRIM(LEFT(IF(LEFT(TRIM(A41),1)="[",TRIM(MID(TRIM(A41),FIND("]",TRIM(A41)&amp;"]")+1,200)),TRIM(A41)),FIND("(",IF(LEFT(TRIM(A41),1)="[",TRIM(MID(TRIM(A41),FIND("]",TRIM(A41)&amp;"]")+1,200)),TRIM(A41))&amp;"(")-1)),IF(LEFT(TRIM(A41),1)="[",TRIM(MID(TRIM(A41),FIND("]",TRIM(A41)&amp;"]")+1,200)),TRIM(A41))))&gt;0,IF(RIGHT(IF(LEFT(TRIM(A41),1)="[",TRIM(MID(TRIM(A41),FIND("]",TRIM(A41)&amp;"]")+1,200)),TRIM(A41)),1)=")",TRIM(LEFT(IF(LEFT(TRIM(A41),1)="[",TRIM(MID(TRIM(A41),FIND("]",TRIM(A41)&amp;"]")+1,200)),TRIM(A41)),FIND("(",IF(LEFT(TRIM(A41),1)="[",TRIM(MID(TRIM(A41),FIND("]",TRIM(A41)&amp;"]")+1,200)),TRIM(A41))&amp;"(")-1)),IF(LEFT(TRIM(A41),1)="[",TRIM(MID(TRIM(A41),FIND("]",TRIM(A41)&amp;"]")+1,200)),TRIM(A41))),""))</f>
      </c>
      <c r="C41" s="17">
        <f>IF(B41&lt;&gt;"",B41,C40)</f>
      </c>
      <c r="D41" s="17">
        <f>IF(A41="","",IF(OR(LEFT(UPPER(TRIM(A41)),2)="Y:",LEFT(UPPER(TRIM(A41)),10)="YESTERDAY:"),"Y",IF(OR(LEFT(UPPER(TRIM(A41)),2)="T:",LEFT(UPPER(TRIM(A41)),6)="TODAY:"),"T",IF(OR(LEFT(UPPER(TRIM(A41)),2)="B:",LEFT(UPPER(TRIM(A41)),8)="BLOCKER:",LEFT(UPPER(TRIM(A41)),9)="BLOCKERS:",LEFT(UPPER(TRIM(A41)),8)="BLOCKED:"),"B",""))))</f>
      </c>
      <c r="E41" s="17">
        <f>IF(D41="","",TRIM(MID(A41,FIND(":",A41)+1,500)))</f>
      </c>
    </row>
    <row r="42">
      <c r="B42" s="17">
        <f>IF(A42="","",IF(COUNTIF(Roster[Name],IF(RIGHT(IF(LEFT(TRIM(A42),1)="[",TRIM(MID(TRIM(A42),FIND("]",TRIM(A42)&amp;"]")+1,200)),TRIM(A42)),1)=")",TRIM(LEFT(IF(LEFT(TRIM(A42),1)="[",TRIM(MID(TRIM(A42),FIND("]",TRIM(A42)&amp;"]")+1,200)),TRIM(A42)),FIND("(",IF(LEFT(TRIM(A42),1)="[",TRIM(MID(TRIM(A42),FIND("]",TRIM(A42)&amp;"]")+1,200)),TRIM(A42))&amp;"(")-1)),IF(LEFT(TRIM(A42),1)="[",TRIM(MID(TRIM(A42),FIND("]",TRIM(A42)&amp;"]")+1,200)),TRIM(A42))))&gt;0,IF(RIGHT(IF(LEFT(TRIM(A42),1)="[",TRIM(MID(TRIM(A42),FIND("]",TRIM(A42)&amp;"]")+1,200)),TRIM(A42)),1)=")",TRIM(LEFT(IF(LEFT(TRIM(A42),1)="[",TRIM(MID(TRIM(A42),FIND("]",TRIM(A42)&amp;"]")+1,200)),TRIM(A42)),FIND("(",IF(LEFT(TRIM(A42),1)="[",TRIM(MID(TRIM(A42),FIND("]",TRIM(A42)&amp;"]")+1,200)),TRIM(A42))&amp;"(")-1)),IF(LEFT(TRIM(A42),1)="[",TRIM(MID(TRIM(A42),FIND("]",TRIM(A42)&amp;"]")+1,200)),TRIM(A42))),""))</f>
      </c>
      <c r="C42" s="17">
        <f>IF(B42&lt;&gt;"",B42,C41)</f>
      </c>
      <c r="D42" s="17">
        <f>IF(A42="","",IF(OR(LEFT(UPPER(TRIM(A42)),2)="Y:",LEFT(UPPER(TRIM(A42)),10)="YESTERDAY:"),"Y",IF(OR(LEFT(UPPER(TRIM(A42)),2)="T:",LEFT(UPPER(TRIM(A42)),6)="TODAY:"),"T",IF(OR(LEFT(UPPER(TRIM(A42)),2)="B:",LEFT(UPPER(TRIM(A42)),8)="BLOCKER:",LEFT(UPPER(TRIM(A42)),9)="BLOCKERS:",LEFT(UPPER(TRIM(A42)),8)="BLOCKED:"),"B",""))))</f>
      </c>
      <c r="E42" s="17">
        <f>IF(D42="","",TRIM(MID(A42,FIND(":",A42)+1,500)))</f>
      </c>
    </row>
    <row r="43">
      <c r="B43" s="17">
        <f>IF(A43="","",IF(COUNTIF(Roster[Name],IF(RIGHT(IF(LEFT(TRIM(A43),1)="[",TRIM(MID(TRIM(A43),FIND("]",TRIM(A43)&amp;"]")+1,200)),TRIM(A43)),1)=")",TRIM(LEFT(IF(LEFT(TRIM(A43),1)="[",TRIM(MID(TRIM(A43),FIND("]",TRIM(A43)&amp;"]")+1,200)),TRIM(A43)),FIND("(",IF(LEFT(TRIM(A43),1)="[",TRIM(MID(TRIM(A43),FIND("]",TRIM(A43)&amp;"]")+1,200)),TRIM(A43))&amp;"(")-1)),IF(LEFT(TRIM(A43),1)="[",TRIM(MID(TRIM(A43),FIND("]",TRIM(A43)&amp;"]")+1,200)),TRIM(A43))))&gt;0,IF(RIGHT(IF(LEFT(TRIM(A43),1)="[",TRIM(MID(TRIM(A43),FIND("]",TRIM(A43)&amp;"]")+1,200)),TRIM(A43)),1)=")",TRIM(LEFT(IF(LEFT(TRIM(A43),1)="[",TRIM(MID(TRIM(A43),FIND("]",TRIM(A43)&amp;"]")+1,200)),TRIM(A43)),FIND("(",IF(LEFT(TRIM(A43),1)="[",TRIM(MID(TRIM(A43),FIND("]",TRIM(A43)&amp;"]")+1,200)),TRIM(A43))&amp;"(")-1)),IF(LEFT(TRIM(A43),1)="[",TRIM(MID(TRIM(A43),FIND("]",TRIM(A43)&amp;"]")+1,200)),TRIM(A43))),""))</f>
      </c>
      <c r="C43" s="17">
        <f>IF(B43&lt;&gt;"",B43,C42)</f>
      </c>
      <c r="D43" s="17">
        <f>IF(A43="","",IF(OR(LEFT(UPPER(TRIM(A43)),2)="Y:",LEFT(UPPER(TRIM(A43)),10)="YESTERDAY:"),"Y",IF(OR(LEFT(UPPER(TRIM(A43)),2)="T:",LEFT(UPPER(TRIM(A43)),6)="TODAY:"),"T",IF(OR(LEFT(UPPER(TRIM(A43)),2)="B:",LEFT(UPPER(TRIM(A43)),8)="BLOCKER:",LEFT(UPPER(TRIM(A43)),9)="BLOCKERS:",LEFT(UPPER(TRIM(A43)),8)="BLOCKED:"),"B",""))))</f>
      </c>
      <c r="E43" s="17">
        <f>IF(D43="","",TRIM(MID(A43,FIND(":",A43)+1,500)))</f>
      </c>
    </row>
    <row r="44">
      <c r="B44" s="17">
        <f>IF(A44="","",IF(COUNTIF(Roster[Name],IF(RIGHT(IF(LEFT(TRIM(A44),1)="[",TRIM(MID(TRIM(A44),FIND("]",TRIM(A44)&amp;"]")+1,200)),TRIM(A44)),1)=")",TRIM(LEFT(IF(LEFT(TRIM(A44),1)="[",TRIM(MID(TRIM(A44),FIND("]",TRIM(A44)&amp;"]")+1,200)),TRIM(A44)),FIND("(",IF(LEFT(TRIM(A44),1)="[",TRIM(MID(TRIM(A44),FIND("]",TRIM(A44)&amp;"]")+1,200)),TRIM(A44))&amp;"(")-1)),IF(LEFT(TRIM(A44),1)="[",TRIM(MID(TRIM(A44),FIND("]",TRIM(A44)&amp;"]")+1,200)),TRIM(A44))))&gt;0,IF(RIGHT(IF(LEFT(TRIM(A44),1)="[",TRIM(MID(TRIM(A44),FIND("]",TRIM(A44)&amp;"]")+1,200)),TRIM(A44)),1)=")",TRIM(LEFT(IF(LEFT(TRIM(A44),1)="[",TRIM(MID(TRIM(A44),FIND("]",TRIM(A44)&amp;"]")+1,200)),TRIM(A44)),FIND("(",IF(LEFT(TRIM(A44),1)="[",TRIM(MID(TRIM(A44),FIND("]",TRIM(A44)&amp;"]")+1,200)),TRIM(A44))&amp;"(")-1)),IF(LEFT(TRIM(A44),1)="[",TRIM(MID(TRIM(A44),FIND("]",TRIM(A44)&amp;"]")+1,200)),TRIM(A44))),""))</f>
      </c>
      <c r="C44" s="17">
        <f>IF(B44&lt;&gt;"",B44,C43)</f>
      </c>
      <c r="D44" s="17">
        <f>IF(A44="","",IF(OR(LEFT(UPPER(TRIM(A44)),2)="Y:",LEFT(UPPER(TRIM(A44)),10)="YESTERDAY:"),"Y",IF(OR(LEFT(UPPER(TRIM(A44)),2)="T:",LEFT(UPPER(TRIM(A44)),6)="TODAY:"),"T",IF(OR(LEFT(UPPER(TRIM(A44)),2)="B:",LEFT(UPPER(TRIM(A44)),8)="BLOCKER:",LEFT(UPPER(TRIM(A44)),9)="BLOCKERS:",LEFT(UPPER(TRIM(A44)),8)="BLOCKED:"),"B",""))))</f>
      </c>
      <c r="E44" s="17">
        <f>IF(D44="","",TRIM(MID(A44,FIND(":",A44)+1,500)))</f>
      </c>
    </row>
    <row r="45">
      <c r="B45" s="17">
        <f>IF(A45="","",IF(COUNTIF(Roster[Name],IF(RIGHT(IF(LEFT(TRIM(A45),1)="[",TRIM(MID(TRIM(A45),FIND("]",TRIM(A45)&amp;"]")+1,200)),TRIM(A45)),1)=")",TRIM(LEFT(IF(LEFT(TRIM(A45),1)="[",TRIM(MID(TRIM(A45),FIND("]",TRIM(A45)&amp;"]")+1,200)),TRIM(A45)),FIND("(",IF(LEFT(TRIM(A45),1)="[",TRIM(MID(TRIM(A45),FIND("]",TRIM(A45)&amp;"]")+1,200)),TRIM(A45))&amp;"(")-1)),IF(LEFT(TRIM(A45),1)="[",TRIM(MID(TRIM(A45),FIND("]",TRIM(A45)&amp;"]")+1,200)),TRIM(A45))))&gt;0,IF(RIGHT(IF(LEFT(TRIM(A45),1)="[",TRIM(MID(TRIM(A45),FIND("]",TRIM(A45)&amp;"]")+1,200)),TRIM(A45)),1)=")",TRIM(LEFT(IF(LEFT(TRIM(A45),1)="[",TRIM(MID(TRIM(A45),FIND("]",TRIM(A45)&amp;"]")+1,200)),TRIM(A45)),FIND("(",IF(LEFT(TRIM(A45),1)="[",TRIM(MID(TRIM(A45),FIND("]",TRIM(A45)&amp;"]")+1,200)),TRIM(A45))&amp;"(")-1)),IF(LEFT(TRIM(A45),1)="[",TRIM(MID(TRIM(A45),FIND("]",TRIM(A45)&amp;"]")+1,200)),TRIM(A45))),""))</f>
      </c>
      <c r="C45" s="17">
        <f>IF(B45&lt;&gt;"",B45,C44)</f>
      </c>
      <c r="D45" s="17">
        <f>IF(A45="","",IF(OR(LEFT(UPPER(TRIM(A45)),2)="Y:",LEFT(UPPER(TRIM(A45)),10)="YESTERDAY:"),"Y",IF(OR(LEFT(UPPER(TRIM(A45)),2)="T:",LEFT(UPPER(TRIM(A45)),6)="TODAY:"),"T",IF(OR(LEFT(UPPER(TRIM(A45)),2)="B:",LEFT(UPPER(TRIM(A45)),8)="BLOCKER:",LEFT(UPPER(TRIM(A45)),9)="BLOCKERS:",LEFT(UPPER(TRIM(A45)),8)="BLOCKED:"),"B",""))))</f>
      </c>
      <c r="E45" s="17">
        <f>IF(D45="","",TRIM(MID(A45,FIND(":",A45)+1,500)))</f>
      </c>
    </row>
    <row r="46">
      <c r="B46" s="17">
        <f>IF(A46="","",IF(COUNTIF(Roster[Name],IF(RIGHT(IF(LEFT(TRIM(A46),1)="[",TRIM(MID(TRIM(A46),FIND("]",TRIM(A46)&amp;"]")+1,200)),TRIM(A46)),1)=")",TRIM(LEFT(IF(LEFT(TRIM(A46),1)="[",TRIM(MID(TRIM(A46),FIND("]",TRIM(A46)&amp;"]")+1,200)),TRIM(A46)),FIND("(",IF(LEFT(TRIM(A46),1)="[",TRIM(MID(TRIM(A46),FIND("]",TRIM(A46)&amp;"]")+1,200)),TRIM(A46))&amp;"(")-1)),IF(LEFT(TRIM(A46),1)="[",TRIM(MID(TRIM(A46),FIND("]",TRIM(A46)&amp;"]")+1,200)),TRIM(A46))))&gt;0,IF(RIGHT(IF(LEFT(TRIM(A46),1)="[",TRIM(MID(TRIM(A46),FIND("]",TRIM(A46)&amp;"]")+1,200)),TRIM(A46)),1)=")",TRIM(LEFT(IF(LEFT(TRIM(A46),1)="[",TRIM(MID(TRIM(A46),FIND("]",TRIM(A46)&amp;"]")+1,200)),TRIM(A46)),FIND("(",IF(LEFT(TRIM(A46),1)="[",TRIM(MID(TRIM(A46),FIND("]",TRIM(A46)&amp;"]")+1,200)),TRIM(A46))&amp;"(")-1)),IF(LEFT(TRIM(A46),1)="[",TRIM(MID(TRIM(A46),FIND("]",TRIM(A46)&amp;"]")+1,200)),TRIM(A46))),""))</f>
      </c>
      <c r="C46" s="17">
        <f>IF(B46&lt;&gt;"",B46,C45)</f>
      </c>
      <c r="D46" s="17">
        <f>IF(A46="","",IF(OR(LEFT(UPPER(TRIM(A46)),2)="Y:",LEFT(UPPER(TRIM(A46)),10)="YESTERDAY:"),"Y",IF(OR(LEFT(UPPER(TRIM(A46)),2)="T:",LEFT(UPPER(TRIM(A46)),6)="TODAY:"),"T",IF(OR(LEFT(UPPER(TRIM(A46)),2)="B:",LEFT(UPPER(TRIM(A46)),8)="BLOCKER:",LEFT(UPPER(TRIM(A46)),9)="BLOCKERS:",LEFT(UPPER(TRIM(A46)),8)="BLOCKED:"),"B",""))))</f>
      </c>
      <c r="E46" s="17">
        <f>IF(D46="","",TRIM(MID(A46,FIND(":",A46)+1,500)))</f>
      </c>
    </row>
    <row r="47">
      <c r="B47" s="17">
        <f>IF(A47="","",IF(COUNTIF(Roster[Name],IF(RIGHT(IF(LEFT(TRIM(A47),1)="[",TRIM(MID(TRIM(A47),FIND("]",TRIM(A47)&amp;"]")+1,200)),TRIM(A47)),1)=")",TRIM(LEFT(IF(LEFT(TRIM(A47),1)="[",TRIM(MID(TRIM(A47),FIND("]",TRIM(A47)&amp;"]")+1,200)),TRIM(A47)),FIND("(",IF(LEFT(TRIM(A47),1)="[",TRIM(MID(TRIM(A47),FIND("]",TRIM(A47)&amp;"]")+1,200)),TRIM(A47))&amp;"(")-1)),IF(LEFT(TRIM(A47),1)="[",TRIM(MID(TRIM(A47),FIND("]",TRIM(A47)&amp;"]")+1,200)),TRIM(A47))))&gt;0,IF(RIGHT(IF(LEFT(TRIM(A47),1)="[",TRIM(MID(TRIM(A47),FIND("]",TRIM(A47)&amp;"]")+1,200)),TRIM(A47)),1)=")",TRIM(LEFT(IF(LEFT(TRIM(A47),1)="[",TRIM(MID(TRIM(A47),FIND("]",TRIM(A47)&amp;"]")+1,200)),TRIM(A47)),FIND("(",IF(LEFT(TRIM(A47),1)="[",TRIM(MID(TRIM(A47),FIND("]",TRIM(A47)&amp;"]")+1,200)),TRIM(A47))&amp;"(")-1)),IF(LEFT(TRIM(A47),1)="[",TRIM(MID(TRIM(A47),FIND("]",TRIM(A47)&amp;"]")+1,200)),TRIM(A47))),""))</f>
      </c>
      <c r="C47" s="17">
        <f>IF(B47&lt;&gt;"",B47,C46)</f>
      </c>
      <c r="D47" s="17">
        <f>IF(A47="","",IF(OR(LEFT(UPPER(TRIM(A47)),2)="Y:",LEFT(UPPER(TRIM(A47)),10)="YESTERDAY:"),"Y",IF(OR(LEFT(UPPER(TRIM(A47)),2)="T:",LEFT(UPPER(TRIM(A47)),6)="TODAY:"),"T",IF(OR(LEFT(UPPER(TRIM(A47)),2)="B:",LEFT(UPPER(TRIM(A47)),8)="BLOCKER:",LEFT(UPPER(TRIM(A47)),9)="BLOCKERS:",LEFT(UPPER(TRIM(A47)),8)="BLOCKED:"),"B",""))))</f>
      </c>
      <c r="E47" s="17">
        <f>IF(D47="","",TRIM(MID(A47,FIND(":",A47)+1,500)))</f>
      </c>
    </row>
    <row r="48">
      <c r="B48" s="17">
        <f>IF(A48="","",IF(COUNTIF(Roster[Name],IF(RIGHT(IF(LEFT(TRIM(A48),1)="[",TRIM(MID(TRIM(A48),FIND("]",TRIM(A48)&amp;"]")+1,200)),TRIM(A48)),1)=")",TRIM(LEFT(IF(LEFT(TRIM(A48),1)="[",TRIM(MID(TRIM(A48),FIND("]",TRIM(A48)&amp;"]")+1,200)),TRIM(A48)),FIND("(",IF(LEFT(TRIM(A48),1)="[",TRIM(MID(TRIM(A48),FIND("]",TRIM(A48)&amp;"]")+1,200)),TRIM(A48))&amp;"(")-1)),IF(LEFT(TRIM(A48),1)="[",TRIM(MID(TRIM(A48),FIND("]",TRIM(A48)&amp;"]")+1,200)),TRIM(A48))))&gt;0,IF(RIGHT(IF(LEFT(TRIM(A48),1)="[",TRIM(MID(TRIM(A48),FIND("]",TRIM(A48)&amp;"]")+1,200)),TRIM(A48)),1)=")",TRIM(LEFT(IF(LEFT(TRIM(A48),1)="[",TRIM(MID(TRIM(A48),FIND("]",TRIM(A48)&amp;"]")+1,200)),TRIM(A48)),FIND("(",IF(LEFT(TRIM(A48),1)="[",TRIM(MID(TRIM(A48),FIND("]",TRIM(A48)&amp;"]")+1,200)),TRIM(A48))&amp;"(")-1)),IF(LEFT(TRIM(A48),1)="[",TRIM(MID(TRIM(A48),FIND("]",TRIM(A48)&amp;"]")+1,200)),TRIM(A48))),""))</f>
      </c>
      <c r="C48" s="17">
        <f>IF(B48&lt;&gt;"",B48,C47)</f>
      </c>
      <c r="D48" s="17">
        <f>IF(A48="","",IF(OR(LEFT(UPPER(TRIM(A48)),2)="Y:",LEFT(UPPER(TRIM(A48)),10)="YESTERDAY:"),"Y",IF(OR(LEFT(UPPER(TRIM(A48)),2)="T:",LEFT(UPPER(TRIM(A48)),6)="TODAY:"),"T",IF(OR(LEFT(UPPER(TRIM(A48)),2)="B:",LEFT(UPPER(TRIM(A48)),8)="BLOCKER:",LEFT(UPPER(TRIM(A48)),9)="BLOCKERS:",LEFT(UPPER(TRIM(A48)),8)="BLOCKED:"),"B",""))))</f>
      </c>
      <c r="E48" s="17">
        <f>IF(D48="","",TRIM(MID(A48,FIND(":",A48)+1,500)))</f>
      </c>
    </row>
    <row r="49">
      <c r="B49" s="17">
        <f>IF(A49="","",IF(COUNTIF(Roster[Name],IF(RIGHT(IF(LEFT(TRIM(A49),1)="[",TRIM(MID(TRIM(A49),FIND("]",TRIM(A49)&amp;"]")+1,200)),TRIM(A49)),1)=")",TRIM(LEFT(IF(LEFT(TRIM(A49),1)="[",TRIM(MID(TRIM(A49),FIND("]",TRIM(A49)&amp;"]")+1,200)),TRIM(A49)),FIND("(",IF(LEFT(TRIM(A49),1)="[",TRIM(MID(TRIM(A49),FIND("]",TRIM(A49)&amp;"]")+1,200)),TRIM(A49))&amp;"(")-1)),IF(LEFT(TRIM(A49),1)="[",TRIM(MID(TRIM(A49),FIND("]",TRIM(A49)&amp;"]")+1,200)),TRIM(A49))))&gt;0,IF(RIGHT(IF(LEFT(TRIM(A49),1)="[",TRIM(MID(TRIM(A49),FIND("]",TRIM(A49)&amp;"]")+1,200)),TRIM(A49)),1)=")",TRIM(LEFT(IF(LEFT(TRIM(A49),1)="[",TRIM(MID(TRIM(A49),FIND("]",TRIM(A49)&amp;"]")+1,200)),TRIM(A49)),FIND("(",IF(LEFT(TRIM(A49),1)="[",TRIM(MID(TRIM(A49),FIND("]",TRIM(A49)&amp;"]")+1,200)),TRIM(A49))&amp;"(")-1)),IF(LEFT(TRIM(A49),1)="[",TRIM(MID(TRIM(A49),FIND("]",TRIM(A49)&amp;"]")+1,200)),TRIM(A49))),""))</f>
      </c>
      <c r="C49" s="17">
        <f>IF(B49&lt;&gt;"",B49,C48)</f>
      </c>
      <c r="D49" s="17">
        <f>IF(A49="","",IF(OR(LEFT(UPPER(TRIM(A49)),2)="Y:",LEFT(UPPER(TRIM(A49)),10)="YESTERDAY:"),"Y",IF(OR(LEFT(UPPER(TRIM(A49)),2)="T:",LEFT(UPPER(TRIM(A49)),6)="TODAY:"),"T",IF(OR(LEFT(UPPER(TRIM(A49)),2)="B:",LEFT(UPPER(TRIM(A49)),8)="BLOCKER:",LEFT(UPPER(TRIM(A49)),9)="BLOCKERS:",LEFT(UPPER(TRIM(A49)),8)="BLOCKED:"),"B",""))))</f>
      </c>
      <c r="E49" s="17">
        <f>IF(D49="","",TRIM(MID(A49,FIND(":",A49)+1,500)))</f>
      </c>
    </row>
    <row r="50">
      <c r="B50" s="17">
        <f>IF(A50="","",IF(COUNTIF(Roster[Name],IF(RIGHT(IF(LEFT(TRIM(A50),1)="[",TRIM(MID(TRIM(A50),FIND("]",TRIM(A50)&amp;"]")+1,200)),TRIM(A50)),1)=")",TRIM(LEFT(IF(LEFT(TRIM(A50),1)="[",TRIM(MID(TRIM(A50),FIND("]",TRIM(A50)&amp;"]")+1,200)),TRIM(A50)),FIND("(",IF(LEFT(TRIM(A50),1)="[",TRIM(MID(TRIM(A50),FIND("]",TRIM(A50)&amp;"]")+1,200)),TRIM(A50))&amp;"(")-1)),IF(LEFT(TRIM(A50),1)="[",TRIM(MID(TRIM(A50),FIND("]",TRIM(A50)&amp;"]")+1,200)),TRIM(A50))))&gt;0,IF(RIGHT(IF(LEFT(TRIM(A50),1)="[",TRIM(MID(TRIM(A50),FIND("]",TRIM(A50)&amp;"]")+1,200)),TRIM(A50)),1)=")",TRIM(LEFT(IF(LEFT(TRIM(A50),1)="[",TRIM(MID(TRIM(A50),FIND("]",TRIM(A50)&amp;"]")+1,200)),TRIM(A50)),FIND("(",IF(LEFT(TRIM(A50),1)="[",TRIM(MID(TRIM(A50),FIND("]",TRIM(A50)&amp;"]")+1,200)),TRIM(A50))&amp;"(")-1)),IF(LEFT(TRIM(A50),1)="[",TRIM(MID(TRIM(A50),FIND("]",TRIM(A50)&amp;"]")+1,200)),TRIM(A50))),""))</f>
      </c>
      <c r="C50" s="17">
        <f>IF(B50&lt;&gt;"",B50,C49)</f>
      </c>
      <c r="D50" s="17">
        <f>IF(A50="","",IF(OR(LEFT(UPPER(TRIM(A50)),2)="Y:",LEFT(UPPER(TRIM(A50)),10)="YESTERDAY:"),"Y",IF(OR(LEFT(UPPER(TRIM(A50)),2)="T:",LEFT(UPPER(TRIM(A50)),6)="TODAY:"),"T",IF(OR(LEFT(UPPER(TRIM(A50)),2)="B:",LEFT(UPPER(TRIM(A50)),8)="BLOCKER:",LEFT(UPPER(TRIM(A50)),9)="BLOCKERS:",LEFT(UPPER(TRIM(A50)),8)="BLOCKED:"),"B",""))))</f>
      </c>
      <c r="E50" s="17">
        <f>IF(D50="","",TRIM(MID(A50,FIND(":",A50)+1,500)))</f>
      </c>
    </row>
    <row r="51">
      <c r="B51" s="17">
        <f>IF(A51="","",IF(COUNTIF(Roster[Name],IF(RIGHT(IF(LEFT(TRIM(A51),1)="[",TRIM(MID(TRIM(A51),FIND("]",TRIM(A51)&amp;"]")+1,200)),TRIM(A51)),1)=")",TRIM(LEFT(IF(LEFT(TRIM(A51),1)="[",TRIM(MID(TRIM(A51),FIND("]",TRIM(A51)&amp;"]")+1,200)),TRIM(A51)),FIND("(",IF(LEFT(TRIM(A51),1)="[",TRIM(MID(TRIM(A51),FIND("]",TRIM(A51)&amp;"]")+1,200)),TRIM(A51))&amp;"(")-1)),IF(LEFT(TRIM(A51),1)="[",TRIM(MID(TRIM(A51),FIND("]",TRIM(A51)&amp;"]")+1,200)),TRIM(A51))))&gt;0,IF(RIGHT(IF(LEFT(TRIM(A51),1)="[",TRIM(MID(TRIM(A51),FIND("]",TRIM(A51)&amp;"]")+1,200)),TRIM(A51)),1)=")",TRIM(LEFT(IF(LEFT(TRIM(A51),1)="[",TRIM(MID(TRIM(A51),FIND("]",TRIM(A51)&amp;"]")+1,200)),TRIM(A51)),FIND("(",IF(LEFT(TRIM(A51),1)="[",TRIM(MID(TRIM(A51),FIND("]",TRIM(A51)&amp;"]")+1,200)),TRIM(A51))&amp;"(")-1)),IF(LEFT(TRIM(A51),1)="[",TRIM(MID(TRIM(A51),FIND("]",TRIM(A51)&amp;"]")+1,200)),TRIM(A51))),""))</f>
      </c>
      <c r="C51" s="17">
        <f>IF(B51&lt;&gt;"",B51,C50)</f>
      </c>
      <c r="D51" s="17">
        <f>IF(A51="","",IF(OR(LEFT(UPPER(TRIM(A51)),2)="Y:",LEFT(UPPER(TRIM(A51)),10)="YESTERDAY:"),"Y",IF(OR(LEFT(UPPER(TRIM(A51)),2)="T:",LEFT(UPPER(TRIM(A51)),6)="TODAY:"),"T",IF(OR(LEFT(UPPER(TRIM(A51)),2)="B:",LEFT(UPPER(TRIM(A51)),8)="BLOCKER:",LEFT(UPPER(TRIM(A51)),9)="BLOCKERS:",LEFT(UPPER(TRIM(A51)),8)="BLOCKED:"),"B",""))))</f>
      </c>
      <c r="E51" s="17">
        <f>IF(D51="","",TRIM(MID(A51,FIND(":",A51)+1,500)))</f>
      </c>
    </row>
    <row r="52">
      <c r="B52" s="17">
        <f>IF(A52="","",IF(COUNTIF(Roster[Name],IF(RIGHT(IF(LEFT(TRIM(A52),1)="[",TRIM(MID(TRIM(A52),FIND("]",TRIM(A52)&amp;"]")+1,200)),TRIM(A52)),1)=")",TRIM(LEFT(IF(LEFT(TRIM(A52),1)="[",TRIM(MID(TRIM(A52),FIND("]",TRIM(A52)&amp;"]")+1,200)),TRIM(A52)),FIND("(",IF(LEFT(TRIM(A52),1)="[",TRIM(MID(TRIM(A52),FIND("]",TRIM(A52)&amp;"]")+1,200)),TRIM(A52))&amp;"(")-1)),IF(LEFT(TRIM(A52),1)="[",TRIM(MID(TRIM(A52),FIND("]",TRIM(A52)&amp;"]")+1,200)),TRIM(A52))))&gt;0,IF(RIGHT(IF(LEFT(TRIM(A52),1)="[",TRIM(MID(TRIM(A52),FIND("]",TRIM(A52)&amp;"]")+1,200)),TRIM(A52)),1)=")",TRIM(LEFT(IF(LEFT(TRIM(A52),1)="[",TRIM(MID(TRIM(A52),FIND("]",TRIM(A52)&amp;"]")+1,200)),TRIM(A52)),FIND("(",IF(LEFT(TRIM(A52),1)="[",TRIM(MID(TRIM(A52),FIND("]",TRIM(A52)&amp;"]")+1,200)),TRIM(A52))&amp;"(")-1)),IF(LEFT(TRIM(A52),1)="[",TRIM(MID(TRIM(A52),FIND("]",TRIM(A52)&amp;"]")+1,200)),TRIM(A52))),""))</f>
      </c>
      <c r="C52" s="17">
        <f>IF(B52&lt;&gt;"",B52,C51)</f>
      </c>
      <c r="D52" s="17">
        <f>IF(A52="","",IF(OR(LEFT(UPPER(TRIM(A52)),2)="Y:",LEFT(UPPER(TRIM(A52)),10)="YESTERDAY:"),"Y",IF(OR(LEFT(UPPER(TRIM(A52)),2)="T:",LEFT(UPPER(TRIM(A52)),6)="TODAY:"),"T",IF(OR(LEFT(UPPER(TRIM(A52)),2)="B:",LEFT(UPPER(TRIM(A52)),8)="BLOCKER:",LEFT(UPPER(TRIM(A52)),9)="BLOCKERS:",LEFT(UPPER(TRIM(A52)),8)="BLOCKED:"),"B",""))))</f>
      </c>
      <c r="E52" s="17">
        <f>IF(D52="","",TRIM(MID(A52,FIND(":",A52)+1,500)))</f>
      </c>
    </row>
    <row r="53">
      <c r="B53" s="17">
        <f>IF(A53="","",IF(COUNTIF(Roster[Name],IF(RIGHT(IF(LEFT(TRIM(A53),1)="[",TRIM(MID(TRIM(A53),FIND("]",TRIM(A53)&amp;"]")+1,200)),TRIM(A53)),1)=")",TRIM(LEFT(IF(LEFT(TRIM(A53),1)="[",TRIM(MID(TRIM(A53),FIND("]",TRIM(A53)&amp;"]")+1,200)),TRIM(A53)),FIND("(",IF(LEFT(TRIM(A53),1)="[",TRIM(MID(TRIM(A53),FIND("]",TRIM(A53)&amp;"]")+1,200)),TRIM(A53))&amp;"(")-1)),IF(LEFT(TRIM(A53),1)="[",TRIM(MID(TRIM(A53),FIND("]",TRIM(A53)&amp;"]")+1,200)),TRIM(A53))))&gt;0,IF(RIGHT(IF(LEFT(TRIM(A53),1)="[",TRIM(MID(TRIM(A53),FIND("]",TRIM(A53)&amp;"]")+1,200)),TRIM(A53)),1)=")",TRIM(LEFT(IF(LEFT(TRIM(A53),1)="[",TRIM(MID(TRIM(A53),FIND("]",TRIM(A53)&amp;"]")+1,200)),TRIM(A53)),FIND("(",IF(LEFT(TRIM(A53),1)="[",TRIM(MID(TRIM(A53),FIND("]",TRIM(A53)&amp;"]")+1,200)),TRIM(A53))&amp;"(")-1)),IF(LEFT(TRIM(A53),1)="[",TRIM(MID(TRIM(A53),FIND("]",TRIM(A53)&amp;"]")+1,200)),TRIM(A53))),""))</f>
      </c>
      <c r="C53" s="17">
        <f>IF(B53&lt;&gt;"",B53,C52)</f>
      </c>
      <c r="D53" s="17">
        <f>IF(A53="","",IF(OR(LEFT(UPPER(TRIM(A53)),2)="Y:",LEFT(UPPER(TRIM(A53)),10)="YESTERDAY:"),"Y",IF(OR(LEFT(UPPER(TRIM(A53)),2)="T:",LEFT(UPPER(TRIM(A53)),6)="TODAY:"),"T",IF(OR(LEFT(UPPER(TRIM(A53)),2)="B:",LEFT(UPPER(TRIM(A53)),8)="BLOCKER:",LEFT(UPPER(TRIM(A53)),9)="BLOCKERS:",LEFT(UPPER(TRIM(A53)),8)="BLOCKED:"),"B",""))))</f>
      </c>
      <c r="E53" s="17">
        <f>IF(D53="","",TRIM(MID(A53,FIND(":",A53)+1,500)))</f>
      </c>
    </row>
    <row r="54">
      <c r="B54" s="17">
        <f>IF(A54="","",IF(COUNTIF(Roster[Name],IF(RIGHT(IF(LEFT(TRIM(A54),1)="[",TRIM(MID(TRIM(A54),FIND("]",TRIM(A54)&amp;"]")+1,200)),TRIM(A54)),1)=")",TRIM(LEFT(IF(LEFT(TRIM(A54),1)="[",TRIM(MID(TRIM(A54),FIND("]",TRIM(A54)&amp;"]")+1,200)),TRIM(A54)),FIND("(",IF(LEFT(TRIM(A54),1)="[",TRIM(MID(TRIM(A54),FIND("]",TRIM(A54)&amp;"]")+1,200)),TRIM(A54))&amp;"(")-1)),IF(LEFT(TRIM(A54),1)="[",TRIM(MID(TRIM(A54),FIND("]",TRIM(A54)&amp;"]")+1,200)),TRIM(A54))))&gt;0,IF(RIGHT(IF(LEFT(TRIM(A54),1)="[",TRIM(MID(TRIM(A54),FIND("]",TRIM(A54)&amp;"]")+1,200)),TRIM(A54)),1)=")",TRIM(LEFT(IF(LEFT(TRIM(A54),1)="[",TRIM(MID(TRIM(A54),FIND("]",TRIM(A54)&amp;"]")+1,200)),TRIM(A54)),FIND("(",IF(LEFT(TRIM(A54),1)="[",TRIM(MID(TRIM(A54),FIND("]",TRIM(A54)&amp;"]")+1,200)),TRIM(A54))&amp;"(")-1)),IF(LEFT(TRIM(A54),1)="[",TRIM(MID(TRIM(A54),FIND("]",TRIM(A54)&amp;"]")+1,200)),TRIM(A54))),""))</f>
      </c>
      <c r="C54" s="17">
        <f>IF(B54&lt;&gt;"",B54,C53)</f>
      </c>
      <c r="D54" s="17">
        <f>IF(A54="","",IF(OR(LEFT(UPPER(TRIM(A54)),2)="Y:",LEFT(UPPER(TRIM(A54)),10)="YESTERDAY:"),"Y",IF(OR(LEFT(UPPER(TRIM(A54)),2)="T:",LEFT(UPPER(TRIM(A54)),6)="TODAY:"),"T",IF(OR(LEFT(UPPER(TRIM(A54)),2)="B:",LEFT(UPPER(TRIM(A54)),8)="BLOCKER:",LEFT(UPPER(TRIM(A54)),9)="BLOCKERS:",LEFT(UPPER(TRIM(A54)),8)="BLOCKED:"),"B",""))))</f>
      </c>
      <c r="E54" s="17">
        <f>IF(D54="","",TRIM(MID(A54,FIND(":",A54)+1,500)))</f>
      </c>
    </row>
    <row r="55">
      <c r="B55" s="17">
        <f>IF(A55="","",IF(COUNTIF(Roster[Name],IF(RIGHT(IF(LEFT(TRIM(A55),1)="[",TRIM(MID(TRIM(A55),FIND("]",TRIM(A55)&amp;"]")+1,200)),TRIM(A55)),1)=")",TRIM(LEFT(IF(LEFT(TRIM(A55),1)="[",TRIM(MID(TRIM(A55),FIND("]",TRIM(A55)&amp;"]")+1,200)),TRIM(A55)),FIND("(",IF(LEFT(TRIM(A55),1)="[",TRIM(MID(TRIM(A55),FIND("]",TRIM(A55)&amp;"]")+1,200)),TRIM(A55))&amp;"(")-1)),IF(LEFT(TRIM(A55),1)="[",TRIM(MID(TRIM(A55),FIND("]",TRIM(A55)&amp;"]")+1,200)),TRIM(A55))))&gt;0,IF(RIGHT(IF(LEFT(TRIM(A55),1)="[",TRIM(MID(TRIM(A55),FIND("]",TRIM(A55)&amp;"]")+1,200)),TRIM(A55)),1)=")",TRIM(LEFT(IF(LEFT(TRIM(A55),1)="[",TRIM(MID(TRIM(A55),FIND("]",TRIM(A55)&amp;"]")+1,200)),TRIM(A55)),FIND("(",IF(LEFT(TRIM(A55),1)="[",TRIM(MID(TRIM(A55),FIND("]",TRIM(A55)&amp;"]")+1,200)),TRIM(A55))&amp;"(")-1)),IF(LEFT(TRIM(A55),1)="[",TRIM(MID(TRIM(A55),FIND("]",TRIM(A55)&amp;"]")+1,200)),TRIM(A55))),""))</f>
      </c>
      <c r="C55" s="17">
        <f>IF(B55&lt;&gt;"",B55,C54)</f>
      </c>
      <c r="D55" s="17">
        <f>IF(A55="","",IF(OR(LEFT(UPPER(TRIM(A55)),2)="Y:",LEFT(UPPER(TRIM(A55)),10)="YESTERDAY:"),"Y",IF(OR(LEFT(UPPER(TRIM(A55)),2)="T:",LEFT(UPPER(TRIM(A55)),6)="TODAY:"),"T",IF(OR(LEFT(UPPER(TRIM(A55)),2)="B:",LEFT(UPPER(TRIM(A55)),8)="BLOCKER:",LEFT(UPPER(TRIM(A55)),9)="BLOCKERS:",LEFT(UPPER(TRIM(A55)),8)="BLOCKED:"),"B",""))))</f>
      </c>
      <c r="E55" s="17">
        <f>IF(D55="","",TRIM(MID(A55,FIND(":",A55)+1,500)))</f>
      </c>
    </row>
    <row r="56">
      <c r="B56" s="17">
        <f>IF(A56="","",IF(COUNTIF(Roster[Name],IF(RIGHT(IF(LEFT(TRIM(A56),1)="[",TRIM(MID(TRIM(A56),FIND("]",TRIM(A56)&amp;"]")+1,200)),TRIM(A56)),1)=")",TRIM(LEFT(IF(LEFT(TRIM(A56),1)="[",TRIM(MID(TRIM(A56),FIND("]",TRIM(A56)&amp;"]")+1,200)),TRIM(A56)),FIND("(",IF(LEFT(TRIM(A56),1)="[",TRIM(MID(TRIM(A56),FIND("]",TRIM(A56)&amp;"]")+1,200)),TRIM(A56))&amp;"(")-1)),IF(LEFT(TRIM(A56),1)="[",TRIM(MID(TRIM(A56),FIND("]",TRIM(A56)&amp;"]")+1,200)),TRIM(A56))))&gt;0,IF(RIGHT(IF(LEFT(TRIM(A56),1)="[",TRIM(MID(TRIM(A56),FIND("]",TRIM(A56)&amp;"]")+1,200)),TRIM(A56)),1)=")",TRIM(LEFT(IF(LEFT(TRIM(A56),1)="[",TRIM(MID(TRIM(A56),FIND("]",TRIM(A56)&amp;"]")+1,200)),TRIM(A56)),FIND("(",IF(LEFT(TRIM(A56),1)="[",TRIM(MID(TRIM(A56),FIND("]",TRIM(A56)&amp;"]")+1,200)),TRIM(A56))&amp;"(")-1)),IF(LEFT(TRIM(A56),1)="[",TRIM(MID(TRIM(A56),FIND("]",TRIM(A56)&amp;"]")+1,200)),TRIM(A56))),""))</f>
      </c>
      <c r="C56" s="17">
        <f>IF(B56&lt;&gt;"",B56,C55)</f>
      </c>
      <c r="D56" s="17">
        <f>IF(A56="","",IF(OR(LEFT(UPPER(TRIM(A56)),2)="Y:",LEFT(UPPER(TRIM(A56)),10)="YESTERDAY:"),"Y",IF(OR(LEFT(UPPER(TRIM(A56)),2)="T:",LEFT(UPPER(TRIM(A56)),6)="TODAY:"),"T",IF(OR(LEFT(UPPER(TRIM(A56)),2)="B:",LEFT(UPPER(TRIM(A56)),8)="BLOCKER:",LEFT(UPPER(TRIM(A56)),9)="BLOCKERS:",LEFT(UPPER(TRIM(A56)),8)="BLOCKED:"),"B",""))))</f>
      </c>
      <c r="E56" s="17">
        <f>IF(D56="","",TRIM(MID(A56,FIND(":",A56)+1,500)))</f>
      </c>
    </row>
    <row r="57">
      <c r="B57" s="17">
        <f>IF(A57="","",IF(COUNTIF(Roster[Name],IF(RIGHT(IF(LEFT(TRIM(A57),1)="[",TRIM(MID(TRIM(A57),FIND("]",TRIM(A57)&amp;"]")+1,200)),TRIM(A57)),1)=")",TRIM(LEFT(IF(LEFT(TRIM(A57),1)="[",TRIM(MID(TRIM(A57),FIND("]",TRIM(A57)&amp;"]")+1,200)),TRIM(A57)),FIND("(",IF(LEFT(TRIM(A57),1)="[",TRIM(MID(TRIM(A57),FIND("]",TRIM(A57)&amp;"]")+1,200)),TRIM(A57))&amp;"(")-1)),IF(LEFT(TRIM(A57),1)="[",TRIM(MID(TRIM(A57),FIND("]",TRIM(A57)&amp;"]")+1,200)),TRIM(A57))))&gt;0,IF(RIGHT(IF(LEFT(TRIM(A57),1)="[",TRIM(MID(TRIM(A57),FIND("]",TRIM(A57)&amp;"]")+1,200)),TRIM(A57)),1)=")",TRIM(LEFT(IF(LEFT(TRIM(A57),1)="[",TRIM(MID(TRIM(A57),FIND("]",TRIM(A57)&amp;"]")+1,200)),TRIM(A57)),FIND("(",IF(LEFT(TRIM(A57),1)="[",TRIM(MID(TRIM(A57),FIND("]",TRIM(A57)&amp;"]")+1,200)),TRIM(A57))&amp;"(")-1)),IF(LEFT(TRIM(A57),1)="[",TRIM(MID(TRIM(A57),FIND("]",TRIM(A57)&amp;"]")+1,200)),TRIM(A57))),""))</f>
      </c>
      <c r="C57" s="17">
        <f>IF(B57&lt;&gt;"",B57,C56)</f>
      </c>
      <c r="D57" s="17">
        <f>IF(A57="","",IF(OR(LEFT(UPPER(TRIM(A57)),2)="Y:",LEFT(UPPER(TRIM(A57)),10)="YESTERDAY:"),"Y",IF(OR(LEFT(UPPER(TRIM(A57)),2)="T:",LEFT(UPPER(TRIM(A57)),6)="TODAY:"),"T",IF(OR(LEFT(UPPER(TRIM(A57)),2)="B:",LEFT(UPPER(TRIM(A57)),8)="BLOCKER:",LEFT(UPPER(TRIM(A57)),9)="BLOCKERS:",LEFT(UPPER(TRIM(A57)),8)="BLOCKED:"),"B",""))))</f>
      </c>
      <c r="E57" s="17">
        <f>IF(D57="","",TRIM(MID(A57,FIND(":",A57)+1,500)))</f>
      </c>
    </row>
    <row r="58">
      <c r="B58" s="17">
        <f>IF(A58="","",IF(COUNTIF(Roster[Name],IF(RIGHT(IF(LEFT(TRIM(A58),1)="[",TRIM(MID(TRIM(A58),FIND("]",TRIM(A58)&amp;"]")+1,200)),TRIM(A58)),1)=")",TRIM(LEFT(IF(LEFT(TRIM(A58),1)="[",TRIM(MID(TRIM(A58),FIND("]",TRIM(A58)&amp;"]")+1,200)),TRIM(A58)),FIND("(",IF(LEFT(TRIM(A58),1)="[",TRIM(MID(TRIM(A58),FIND("]",TRIM(A58)&amp;"]")+1,200)),TRIM(A58))&amp;"(")-1)),IF(LEFT(TRIM(A58),1)="[",TRIM(MID(TRIM(A58),FIND("]",TRIM(A58)&amp;"]")+1,200)),TRIM(A58))))&gt;0,IF(RIGHT(IF(LEFT(TRIM(A58),1)="[",TRIM(MID(TRIM(A58),FIND("]",TRIM(A58)&amp;"]")+1,200)),TRIM(A58)),1)=")",TRIM(LEFT(IF(LEFT(TRIM(A58),1)="[",TRIM(MID(TRIM(A58),FIND("]",TRIM(A58)&amp;"]")+1,200)),TRIM(A58)),FIND("(",IF(LEFT(TRIM(A58),1)="[",TRIM(MID(TRIM(A58),FIND("]",TRIM(A58)&amp;"]")+1,200)),TRIM(A58))&amp;"(")-1)),IF(LEFT(TRIM(A58),1)="[",TRIM(MID(TRIM(A58),FIND("]",TRIM(A58)&amp;"]")+1,200)),TRIM(A58))),""))</f>
      </c>
      <c r="C58" s="17">
        <f>IF(B58&lt;&gt;"",B58,C57)</f>
      </c>
      <c r="D58" s="17">
        <f>IF(A58="","",IF(OR(LEFT(UPPER(TRIM(A58)),2)="Y:",LEFT(UPPER(TRIM(A58)),10)="YESTERDAY:"),"Y",IF(OR(LEFT(UPPER(TRIM(A58)),2)="T:",LEFT(UPPER(TRIM(A58)),6)="TODAY:"),"T",IF(OR(LEFT(UPPER(TRIM(A58)),2)="B:",LEFT(UPPER(TRIM(A58)),8)="BLOCKER:",LEFT(UPPER(TRIM(A58)),9)="BLOCKERS:",LEFT(UPPER(TRIM(A58)),8)="BLOCKED:"),"B",""))))</f>
      </c>
      <c r="E58" s="17">
        <f>IF(D58="","",TRIM(MID(A58,FIND(":",A58)+1,500)))</f>
      </c>
    </row>
    <row r="59">
      <c r="B59" s="17">
        <f>IF(A59="","",IF(COUNTIF(Roster[Name],IF(RIGHT(IF(LEFT(TRIM(A59),1)="[",TRIM(MID(TRIM(A59),FIND("]",TRIM(A59)&amp;"]")+1,200)),TRIM(A59)),1)=")",TRIM(LEFT(IF(LEFT(TRIM(A59),1)="[",TRIM(MID(TRIM(A59),FIND("]",TRIM(A59)&amp;"]")+1,200)),TRIM(A59)),FIND("(",IF(LEFT(TRIM(A59),1)="[",TRIM(MID(TRIM(A59),FIND("]",TRIM(A59)&amp;"]")+1,200)),TRIM(A59))&amp;"(")-1)),IF(LEFT(TRIM(A59),1)="[",TRIM(MID(TRIM(A59),FIND("]",TRIM(A59)&amp;"]")+1,200)),TRIM(A59))))&gt;0,IF(RIGHT(IF(LEFT(TRIM(A59),1)="[",TRIM(MID(TRIM(A59),FIND("]",TRIM(A59)&amp;"]")+1,200)),TRIM(A59)),1)=")",TRIM(LEFT(IF(LEFT(TRIM(A59),1)="[",TRIM(MID(TRIM(A59),FIND("]",TRIM(A59)&amp;"]")+1,200)),TRIM(A59)),FIND("(",IF(LEFT(TRIM(A59),1)="[",TRIM(MID(TRIM(A59),FIND("]",TRIM(A59)&amp;"]")+1,200)),TRIM(A59))&amp;"(")-1)),IF(LEFT(TRIM(A59),1)="[",TRIM(MID(TRIM(A59),FIND("]",TRIM(A59)&amp;"]")+1,200)),TRIM(A59))),""))</f>
      </c>
      <c r="C59" s="17">
        <f>IF(B59&lt;&gt;"",B59,C58)</f>
      </c>
      <c r="D59" s="17">
        <f>IF(A59="","",IF(OR(LEFT(UPPER(TRIM(A59)),2)="Y:",LEFT(UPPER(TRIM(A59)),10)="YESTERDAY:"),"Y",IF(OR(LEFT(UPPER(TRIM(A59)),2)="T:",LEFT(UPPER(TRIM(A59)),6)="TODAY:"),"T",IF(OR(LEFT(UPPER(TRIM(A59)),2)="B:",LEFT(UPPER(TRIM(A59)),8)="BLOCKER:",LEFT(UPPER(TRIM(A59)),9)="BLOCKERS:",LEFT(UPPER(TRIM(A59)),8)="BLOCKED:"),"B",""))))</f>
      </c>
      <c r="E59" s="17">
        <f>IF(D59="","",TRIM(MID(A59,FIND(":",A59)+1,500)))</f>
      </c>
    </row>
    <row r="60">
      <c r="B60" s="17">
        <f>IF(A60="","",IF(COUNTIF(Roster[Name],IF(RIGHT(IF(LEFT(TRIM(A60),1)="[",TRIM(MID(TRIM(A60),FIND("]",TRIM(A60)&amp;"]")+1,200)),TRIM(A60)),1)=")",TRIM(LEFT(IF(LEFT(TRIM(A60),1)="[",TRIM(MID(TRIM(A60),FIND("]",TRIM(A60)&amp;"]")+1,200)),TRIM(A60)),FIND("(",IF(LEFT(TRIM(A60),1)="[",TRIM(MID(TRIM(A60),FIND("]",TRIM(A60)&amp;"]")+1,200)),TRIM(A60))&amp;"(")-1)),IF(LEFT(TRIM(A60),1)="[",TRIM(MID(TRIM(A60),FIND("]",TRIM(A60)&amp;"]")+1,200)),TRIM(A60))))&gt;0,IF(RIGHT(IF(LEFT(TRIM(A60),1)="[",TRIM(MID(TRIM(A60),FIND("]",TRIM(A60)&amp;"]")+1,200)),TRIM(A60)),1)=")",TRIM(LEFT(IF(LEFT(TRIM(A60),1)="[",TRIM(MID(TRIM(A60),FIND("]",TRIM(A60)&amp;"]")+1,200)),TRIM(A60)),FIND("(",IF(LEFT(TRIM(A60),1)="[",TRIM(MID(TRIM(A60),FIND("]",TRIM(A60)&amp;"]")+1,200)),TRIM(A60))&amp;"(")-1)),IF(LEFT(TRIM(A60),1)="[",TRIM(MID(TRIM(A60),FIND("]",TRIM(A60)&amp;"]")+1,200)),TRIM(A60))),""))</f>
      </c>
      <c r="C60" s="17">
        <f>IF(B60&lt;&gt;"",B60,C59)</f>
      </c>
      <c r="D60" s="17">
        <f>IF(A60="","",IF(OR(LEFT(UPPER(TRIM(A60)),2)="Y:",LEFT(UPPER(TRIM(A60)),10)="YESTERDAY:"),"Y",IF(OR(LEFT(UPPER(TRIM(A60)),2)="T:",LEFT(UPPER(TRIM(A60)),6)="TODAY:"),"T",IF(OR(LEFT(UPPER(TRIM(A60)),2)="B:",LEFT(UPPER(TRIM(A60)),8)="BLOCKER:",LEFT(UPPER(TRIM(A60)),9)="BLOCKERS:",LEFT(UPPER(TRIM(A60)),8)="BLOCKED:"),"B",""))))</f>
      </c>
      <c r="E60" s="17">
        <f>IF(D60="","",TRIM(MID(A60,FIND(":",A60)+1,500)))</f>
      </c>
    </row>
    <row r="61">
      <c r="B61" s="17">
        <f>IF(A61="","",IF(COUNTIF(Roster[Name],IF(RIGHT(IF(LEFT(TRIM(A61),1)="[",TRIM(MID(TRIM(A61),FIND("]",TRIM(A61)&amp;"]")+1,200)),TRIM(A61)),1)=")",TRIM(LEFT(IF(LEFT(TRIM(A61),1)="[",TRIM(MID(TRIM(A61),FIND("]",TRIM(A61)&amp;"]")+1,200)),TRIM(A61)),FIND("(",IF(LEFT(TRIM(A61),1)="[",TRIM(MID(TRIM(A61),FIND("]",TRIM(A61)&amp;"]")+1,200)),TRIM(A61))&amp;"(")-1)),IF(LEFT(TRIM(A61),1)="[",TRIM(MID(TRIM(A61),FIND("]",TRIM(A61)&amp;"]")+1,200)),TRIM(A61))))&gt;0,IF(RIGHT(IF(LEFT(TRIM(A61),1)="[",TRIM(MID(TRIM(A61),FIND("]",TRIM(A61)&amp;"]")+1,200)),TRIM(A61)),1)=")",TRIM(LEFT(IF(LEFT(TRIM(A61),1)="[",TRIM(MID(TRIM(A61),FIND("]",TRIM(A61)&amp;"]")+1,200)),TRIM(A61)),FIND("(",IF(LEFT(TRIM(A61),1)="[",TRIM(MID(TRIM(A61),FIND("]",TRIM(A61)&amp;"]")+1,200)),TRIM(A61))&amp;"(")-1)),IF(LEFT(TRIM(A61),1)="[",TRIM(MID(TRIM(A61),FIND("]",TRIM(A61)&amp;"]")+1,200)),TRIM(A61))),""))</f>
      </c>
      <c r="C61" s="17">
        <f>IF(B61&lt;&gt;"",B61,C60)</f>
      </c>
      <c r="D61" s="17">
        <f>IF(A61="","",IF(OR(LEFT(UPPER(TRIM(A61)),2)="Y:",LEFT(UPPER(TRIM(A61)),10)="YESTERDAY:"),"Y",IF(OR(LEFT(UPPER(TRIM(A61)),2)="T:",LEFT(UPPER(TRIM(A61)),6)="TODAY:"),"T",IF(OR(LEFT(UPPER(TRIM(A61)),2)="B:",LEFT(UPPER(TRIM(A61)),8)="BLOCKER:",LEFT(UPPER(TRIM(A61)),9)="BLOCKERS:",LEFT(UPPER(TRIM(A61)),8)="BLOCKED:"),"B",""))))</f>
      </c>
      <c r="E61" s="17">
        <f>IF(D61="","",TRIM(MID(A61,FIND(":",A61)+1,500)))</f>
      </c>
    </row>
    <row r="62">
      <c r="B62" s="17">
        <f>IF(A62="","",IF(COUNTIF(Roster[Name],IF(RIGHT(IF(LEFT(TRIM(A62),1)="[",TRIM(MID(TRIM(A62),FIND("]",TRIM(A62)&amp;"]")+1,200)),TRIM(A62)),1)=")",TRIM(LEFT(IF(LEFT(TRIM(A62),1)="[",TRIM(MID(TRIM(A62),FIND("]",TRIM(A62)&amp;"]")+1,200)),TRIM(A62)),FIND("(",IF(LEFT(TRIM(A62),1)="[",TRIM(MID(TRIM(A62),FIND("]",TRIM(A62)&amp;"]")+1,200)),TRIM(A62))&amp;"(")-1)),IF(LEFT(TRIM(A62),1)="[",TRIM(MID(TRIM(A62),FIND("]",TRIM(A62)&amp;"]")+1,200)),TRIM(A62))))&gt;0,IF(RIGHT(IF(LEFT(TRIM(A62),1)="[",TRIM(MID(TRIM(A62),FIND("]",TRIM(A62)&amp;"]")+1,200)),TRIM(A62)),1)=")",TRIM(LEFT(IF(LEFT(TRIM(A62),1)="[",TRIM(MID(TRIM(A62),FIND("]",TRIM(A62)&amp;"]")+1,200)),TRIM(A62)),FIND("(",IF(LEFT(TRIM(A62),1)="[",TRIM(MID(TRIM(A62),FIND("]",TRIM(A62)&amp;"]")+1,200)),TRIM(A62))&amp;"(")-1)),IF(LEFT(TRIM(A62),1)="[",TRIM(MID(TRIM(A62),FIND("]",TRIM(A62)&amp;"]")+1,200)),TRIM(A62))),""))</f>
      </c>
      <c r="C62" s="17">
        <f>IF(B62&lt;&gt;"",B62,C61)</f>
      </c>
      <c r="D62" s="17">
        <f>IF(A62="","",IF(OR(LEFT(UPPER(TRIM(A62)),2)="Y:",LEFT(UPPER(TRIM(A62)),10)="YESTERDAY:"),"Y",IF(OR(LEFT(UPPER(TRIM(A62)),2)="T:",LEFT(UPPER(TRIM(A62)),6)="TODAY:"),"T",IF(OR(LEFT(UPPER(TRIM(A62)),2)="B:",LEFT(UPPER(TRIM(A62)),8)="BLOCKER:",LEFT(UPPER(TRIM(A62)),9)="BLOCKERS:",LEFT(UPPER(TRIM(A62)),8)="BLOCKED:"),"B",""))))</f>
      </c>
      <c r="E62" s="17">
        <f>IF(D62="","",TRIM(MID(A62,FIND(":",A62)+1,500)))</f>
      </c>
    </row>
    <row r="63">
      <c r="B63" s="17">
        <f>IF(A63="","",IF(COUNTIF(Roster[Name],IF(RIGHT(IF(LEFT(TRIM(A63),1)="[",TRIM(MID(TRIM(A63),FIND("]",TRIM(A63)&amp;"]")+1,200)),TRIM(A63)),1)=")",TRIM(LEFT(IF(LEFT(TRIM(A63),1)="[",TRIM(MID(TRIM(A63),FIND("]",TRIM(A63)&amp;"]")+1,200)),TRIM(A63)),FIND("(",IF(LEFT(TRIM(A63),1)="[",TRIM(MID(TRIM(A63),FIND("]",TRIM(A63)&amp;"]")+1,200)),TRIM(A63))&amp;"(")-1)),IF(LEFT(TRIM(A63),1)="[",TRIM(MID(TRIM(A63),FIND("]",TRIM(A63)&amp;"]")+1,200)),TRIM(A63))))&gt;0,IF(RIGHT(IF(LEFT(TRIM(A63),1)="[",TRIM(MID(TRIM(A63),FIND("]",TRIM(A63)&amp;"]")+1,200)),TRIM(A63)),1)=")",TRIM(LEFT(IF(LEFT(TRIM(A63),1)="[",TRIM(MID(TRIM(A63),FIND("]",TRIM(A63)&amp;"]")+1,200)),TRIM(A63)),FIND("(",IF(LEFT(TRIM(A63),1)="[",TRIM(MID(TRIM(A63),FIND("]",TRIM(A63)&amp;"]")+1,200)),TRIM(A63))&amp;"(")-1)),IF(LEFT(TRIM(A63),1)="[",TRIM(MID(TRIM(A63),FIND("]",TRIM(A63)&amp;"]")+1,200)),TRIM(A63))),""))</f>
      </c>
      <c r="C63" s="17">
        <f>IF(B63&lt;&gt;"",B63,C62)</f>
      </c>
      <c r="D63" s="17">
        <f>IF(A63="","",IF(OR(LEFT(UPPER(TRIM(A63)),2)="Y:",LEFT(UPPER(TRIM(A63)),10)="YESTERDAY:"),"Y",IF(OR(LEFT(UPPER(TRIM(A63)),2)="T:",LEFT(UPPER(TRIM(A63)),6)="TODAY:"),"T",IF(OR(LEFT(UPPER(TRIM(A63)),2)="B:",LEFT(UPPER(TRIM(A63)),8)="BLOCKER:",LEFT(UPPER(TRIM(A63)),9)="BLOCKERS:",LEFT(UPPER(TRIM(A63)),8)="BLOCKED:"),"B",""))))</f>
      </c>
      <c r="E63" s="17">
        <f>IF(D63="","",TRIM(MID(A63,FIND(":",A63)+1,500)))</f>
      </c>
    </row>
    <row r="64">
      <c r="B64" s="17">
        <f>IF(A64="","",IF(COUNTIF(Roster[Name],IF(RIGHT(IF(LEFT(TRIM(A64),1)="[",TRIM(MID(TRIM(A64),FIND("]",TRIM(A64)&amp;"]")+1,200)),TRIM(A64)),1)=")",TRIM(LEFT(IF(LEFT(TRIM(A64),1)="[",TRIM(MID(TRIM(A64),FIND("]",TRIM(A64)&amp;"]")+1,200)),TRIM(A64)),FIND("(",IF(LEFT(TRIM(A64),1)="[",TRIM(MID(TRIM(A64),FIND("]",TRIM(A64)&amp;"]")+1,200)),TRIM(A64))&amp;"(")-1)),IF(LEFT(TRIM(A64),1)="[",TRIM(MID(TRIM(A64),FIND("]",TRIM(A64)&amp;"]")+1,200)),TRIM(A64))))&gt;0,IF(RIGHT(IF(LEFT(TRIM(A64),1)="[",TRIM(MID(TRIM(A64),FIND("]",TRIM(A64)&amp;"]")+1,200)),TRIM(A64)),1)=")",TRIM(LEFT(IF(LEFT(TRIM(A64),1)="[",TRIM(MID(TRIM(A64),FIND("]",TRIM(A64)&amp;"]")+1,200)),TRIM(A64)),FIND("(",IF(LEFT(TRIM(A64),1)="[",TRIM(MID(TRIM(A64),FIND("]",TRIM(A64)&amp;"]")+1,200)),TRIM(A64))&amp;"(")-1)),IF(LEFT(TRIM(A64),1)="[",TRIM(MID(TRIM(A64),FIND("]",TRIM(A64)&amp;"]")+1,200)),TRIM(A64))),""))</f>
      </c>
      <c r="C64" s="17">
        <f>IF(B64&lt;&gt;"",B64,C63)</f>
      </c>
      <c r="D64" s="17">
        <f>IF(A64="","",IF(OR(LEFT(UPPER(TRIM(A64)),2)="Y:",LEFT(UPPER(TRIM(A64)),10)="YESTERDAY:"),"Y",IF(OR(LEFT(UPPER(TRIM(A64)),2)="T:",LEFT(UPPER(TRIM(A64)),6)="TODAY:"),"T",IF(OR(LEFT(UPPER(TRIM(A64)),2)="B:",LEFT(UPPER(TRIM(A64)),8)="BLOCKER:",LEFT(UPPER(TRIM(A64)),9)="BLOCKERS:",LEFT(UPPER(TRIM(A64)),8)="BLOCKED:"),"B",""))))</f>
      </c>
      <c r="E64" s="17">
        <f>IF(D64="","",TRIM(MID(A64,FIND(":",A64)+1,500)))</f>
      </c>
    </row>
    <row r="65">
      <c r="B65" s="17">
        <f>IF(A65="","",IF(COUNTIF(Roster[Name],IF(RIGHT(IF(LEFT(TRIM(A65),1)="[",TRIM(MID(TRIM(A65),FIND("]",TRIM(A65)&amp;"]")+1,200)),TRIM(A65)),1)=")",TRIM(LEFT(IF(LEFT(TRIM(A65),1)="[",TRIM(MID(TRIM(A65),FIND("]",TRIM(A65)&amp;"]")+1,200)),TRIM(A65)),FIND("(",IF(LEFT(TRIM(A65),1)="[",TRIM(MID(TRIM(A65),FIND("]",TRIM(A65)&amp;"]")+1,200)),TRIM(A65))&amp;"(")-1)),IF(LEFT(TRIM(A65),1)="[",TRIM(MID(TRIM(A65),FIND("]",TRIM(A65)&amp;"]")+1,200)),TRIM(A65))))&gt;0,IF(RIGHT(IF(LEFT(TRIM(A65),1)="[",TRIM(MID(TRIM(A65),FIND("]",TRIM(A65)&amp;"]")+1,200)),TRIM(A65)),1)=")",TRIM(LEFT(IF(LEFT(TRIM(A65),1)="[",TRIM(MID(TRIM(A65),FIND("]",TRIM(A65)&amp;"]")+1,200)),TRIM(A65)),FIND("(",IF(LEFT(TRIM(A65),1)="[",TRIM(MID(TRIM(A65),FIND("]",TRIM(A65)&amp;"]")+1,200)),TRIM(A65))&amp;"(")-1)),IF(LEFT(TRIM(A65),1)="[",TRIM(MID(TRIM(A65),FIND("]",TRIM(A65)&amp;"]")+1,200)),TRIM(A65))),""))</f>
      </c>
      <c r="C65" s="17">
        <f>IF(B65&lt;&gt;"",B65,C64)</f>
      </c>
      <c r="D65" s="17">
        <f>IF(A65="","",IF(OR(LEFT(UPPER(TRIM(A65)),2)="Y:",LEFT(UPPER(TRIM(A65)),10)="YESTERDAY:"),"Y",IF(OR(LEFT(UPPER(TRIM(A65)),2)="T:",LEFT(UPPER(TRIM(A65)),6)="TODAY:"),"T",IF(OR(LEFT(UPPER(TRIM(A65)),2)="B:",LEFT(UPPER(TRIM(A65)),8)="BLOCKER:",LEFT(UPPER(TRIM(A65)),9)="BLOCKERS:",LEFT(UPPER(TRIM(A65)),8)="BLOCKED:"),"B",""))))</f>
      </c>
      <c r="E65" s="17">
        <f>IF(D65="","",TRIM(MID(A65,FIND(":",A65)+1,500)))</f>
      </c>
    </row>
    <row r="66">
      <c r="B66" s="17">
        <f>IF(A66="","",IF(COUNTIF(Roster[Name],IF(RIGHT(IF(LEFT(TRIM(A66),1)="[",TRIM(MID(TRIM(A66),FIND("]",TRIM(A66)&amp;"]")+1,200)),TRIM(A66)),1)=")",TRIM(LEFT(IF(LEFT(TRIM(A66),1)="[",TRIM(MID(TRIM(A66),FIND("]",TRIM(A66)&amp;"]")+1,200)),TRIM(A66)),FIND("(",IF(LEFT(TRIM(A66),1)="[",TRIM(MID(TRIM(A66),FIND("]",TRIM(A66)&amp;"]")+1,200)),TRIM(A66))&amp;"(")-1)),IF(LEFT(TRIM(A66),1)="[",TRIM(MID(TRIM(A66),FIND("]",TRIM(A66)&amp;"]")+1,200)),TRIM(A66))))&gt;0,IF(RIGHT(IF(LEFT(TRIM(A66),1)="[",TRIM(MID(TRIM(A66),FIND("]",TRIM(A66)&amp;"]")+1,200)),TRIM(A66)),1)=")",TRIM(LEFT(IF(LEFT(TRIM(A66),1)="[",TRIM(MID(TRIM(A66),FIND("]",TRIM(A66)&amp;"]")+1,200)),TRIM(A66)),FIND("(",IF(LEFT(TRIM(A66),1)="[",TRIM(MID(TRIM(A66),FIND("]",TRIM(A66)&amp;"]")+1,200)),TRIM(A66))&amp;"(")-1)),IF(LEFT(TRIM(A66),1)="[",TRIM(MID(TRIM(A66),FIND("]",TRIM(A66)&amp;"]")+1,200)),TRIM(A66))),""))</f>
      </c>
      <c r="C66" s="17">
        <f>IF(B66&lt;&gt;"",B66,C65)</f>
      </c>
      <c r="D66" s="17">
        <f>IF(A66="","",IF(OR(LEFT(UPPER(TRIM(A66)),2)="Y:",LEFT(UPPER(TRIM(A66)),10)="YESTERDAY:"),"Y",IF(OR(LEFT(UPPER(TRIM(A66)),2)="T:",LEFT(UPPER(TRIM(A66)),6)="TODAY:"),"T",IF(OR(LEFT(UPPER(TRIM(A66)),2)="B:",LEFT(UPPER(TRIM(A66)),8)="BLOCKER:",LEFT(UPPER(TRIM(A66)),9)="BLOCKERS:",LEFT(UPPER(TRIM(A66)),8)="BLOCKED:"),"B",""))))</f>
      </c>
      <c r="E66" s="17">
        <f>IF(D66="","",TRIM(MID(A66,FIND(":",A66)+1,500)))</f>
      </c>
    </row>
    <row r="67">
      <c r="B67" s="17">
        <f>IF(A67="","",IF(COUNTIF(Roster[Name],IF(RIGHT(IF(LEFT(TRIM(A67),1)="[",TRIM(MID(TRIM(A67),FIND("]",TRIM(A67)&amp;"]")+1,200)),TRIM(A67)),1)=")",TRIM(LEFT(IF(LEFT(TRIM(A67),1)="[",TRIM(MID(TRIM(A67),FIND("]",TRIM(A67)&amp;"]")+1,200)),TRIM(A67)),FIND("(",IF(LEFT(TRIM(A67),1)="[",TRIM(MID(TRIM(A67),FIND("]",TRIM(A67)&amp;"]")+1,200)),TRIM(A67))&amp;"(")-1)),IF(LEFT(TRIM(A67),1)="[",TRIM(MID(TRIM(A67),FIND("]",TRIM(A67)&amp;"]")+1,200)),TRIM(A67))))&gt;0,IF(RIGHT(IF(LEFT(TRIM(A67),1)="[",TRIM(MID(TRIM(A67),FIND("]",TRIM(A67)&amp;"]")+1,200)),TRIM(A67)),1)=")",TRIM(LEFT(IF(LEFT(TRIM(A67),1)="[",TRIM(MID(TRIM(A67),FIND("]",TRIM(A67)&amp;"]")+1,200)),TRIM(A67)),FIND("(",IF(LEFT(TRIM(A67),1)="[",TRIM(MID(TRIM(A67),FIND("]",TRIM(A67)&amp;"]")+1,200)),TRIM(A67))&amp;"(")-1)),IF(LEFT(TRIM(A67),1)="[",TRIM(MID(TRIM(A67),FIND("]",TRIM(A67)&amp;"]")+1,200)),TRIM(A67))),""))</f>
      </c>
      <c r="C67" s="17">
        <f>IF(B67&lt;&gt;"",B67,C66)</f>
      </c>
      <c r="D67" s="17">
        <f>IF(A67="","",IF(OR(LEFT(UPPER(TRIM(A67)),2)="Y:",LEFT(UPPER(TRIM(A67)),10)="YESTERDAY:"),"Y",IF(OR(LEFT(UPPER(TRIM(A67)),2)="T:",LEFT(UPPER(TRIM(A67)),6)="TODAY:"),"T",IF(OR(LEFT(UPPER(TRIM(A67)),2)="B:",LEFT(UPPER(TRIM(A67)),8)="BLOCKER:",LEFT(UPPER(TRIM(A67)),9)="BLOCKERS:",LEFT(UPPER(TRIM(A67)),8)="BLOCKED:"),"B",""))))</f>
      </c>
      <c r="E67" s="17">
        <f>IF(D67="","",TRIM(MID(A67,FIND(":",A67)+1,500)))</f>
      </c>
    </row>
    <row r="68">
      <c r="B68" s="17">
        <f>IF(A68="","",IF(COUNTIF(Roster[Name],IF(RIGHT(IF(LEFT(TRIM(A68),1)="[",TRIM(MID(TRIM(A68),FIND("]",TRIM(A68)&amp;"]")+1,200)),TRIM(A68)),1)=")",TRIM(LEFT(IF(LEFT(TRIM(A68),1)="[",TRIM(MID(TRIM(A68),FIND("]",TRIM(A68)&amp;"]")+1,200)),TRIM(A68)),FIND("(",IF(LEFT(TRIM(A68),1)="[",TRIM(MID(TRIM(A68),FIND("]",TRIM(A68)&amp;"]")+1,200)),TRIM(A68))&amp;"(")-1)),IF(LEFT(TRIM(A68),1)="[",TRIM(MID(TRIM(A68),FIND("]",TRIM(A68)&amp;"]")+1,200)),TRIM(A68))))&gt;0,IF(RIGHT(IF(LEFT(TRIM(A68),1)="[",TRIM(MID(TRIM(A68),FIND("]",TRIM(A68)&amp;"]")+1,200)),TRIM(A68)),1)=")",TRIM(LEFT(IF(LEFT(TRIM(A68),1)="[",TRIM(MID(TRIM(A68),FIND("]",TRIM(A68)&amp;"]")+1,200)),TRIM(A68)),FIND("(",IF(LEFT(TRIM(A68),1)="[",TRIM(MID(TRIM(A68),FIND("]",TRIM(A68)&amp;"]")+1,200)),TRIM(A68))&amp;"(")-1)),IF(LEFT(TRIM(A68),1)="[",TRIM(MID(TRIM(A68),FIND("]",TRIM(A68)&amp;"]")+1,200)),TRIM(A68))),""))</f>
      </c>
      <c r="C68" s="17">
        <f>IF(B68&lt;&gt;"",B68,C67)</f>
      </c>
      <c r="D68" s="17">
        <f>IF(A68="","",IF(OR(LEFT(UPPER(TRIM(A68)),2)="Y:",LEFT(UPPER(TRIM(A68)),10)="YESTERDAY:"),"Y",IF(OR(LEFT(UPPER(TRIM(A68)),2)="T:",LEFT(UPPER(TRIM(A68)),6)="TODAY:"),"T",IF(OR(LEFT(UPPER(TRIM(A68)),2)="B:",LEFT(UPPER(TRIM(A68)),8)="BLOCKER:",LEFT(UPPER(TRIM(A68)),9)="BLOCKERS:",LEFT(UPPER(TRIM(A68)),8)="BLOCKED:"),"B",""))))</f>
      </c>
      <c r="E68" s="17">
        <f>IF(D68="","",TRIM(MID(A68,FIND(":",A68)+1,500)))</f>
      </c>
    </row>
    <row r="69">
      <c r="B69" s="17">
        <f>IF(A69="","",IF(COUNTIF(Roster[Name],IF(RIGHT(IF(LEFT(TRIM(A69),1)="[",TRIM(MID(TRIM(A69),FIND("]",TRIM(A69)&amp;"]")+1,200)),TRIM(A69)),1)=")",TRIM(LEFT(IF(LEFT(TRIM(A69),1)="[",TRIM(MID(TRIM(A69),FIND("]",TRIM(A69)&amp;"]")+1,200)),TRIM(A69)),FIND("(",IF(LEFT(TRIM(A69),1)="[",TRIM(MID(TRIM(A69),FIND("]",TRIM(A69)&amp;"]")+1,200)),TRIM(A69))&amp;"(")-1)),IF(LEFT(TRIM(A69),1)="[",TRIM(MID(TRIM(A69),FIND("]",TRIM(A69)&amp;"]")+1,200)),TRIM(A69))))&gt;0,IF(RIGHT(IF(LEFT(TRIM(A69),1)="[",TRIM(MID(TRIM(A69),FIND("]",TRIM(A69)&amp;"]")+1,200)),TRIM(A69)),1)=")",TRIM(LEFT(IF(LEFT(TRIM(A69),1)="[",TRIM(MID(TRIM(A69),FIND("]",TRIM(A69)&amp;"]")+1,200)),TRIM(A69)),FIND("(",IF(LEFT(TRIM(A69),1)="[",TRIM(MID(TRIM(A69),FIND("]",TRIM(A69)&amp;"]")+1,200)),TRIM(A69))&amp;"(")-1)),IF(LEFT(TRIM(A69),1)="[",TRIM(MID(TRIM(A69),FIND("]",TRIM(A69)&amp;"]")+1,200)),TRIM(A69))),""))</f>
      </c>
      <c r="C69" s="17">
        <f>IF(B69&lt;&gt;"",B69,C68)</f>
      </c>
      <c r="D69" s="17">
        <f>IF(A69="","",IF(OR(LEFT(UPPER(TRIM(A69)),2)="Y:",LEFT(UPPER(TRIM(A69)),10)="YESTERDAY:"),"Y",IF(OR(LEFT(UPPER(TRIM(A69)),2)="T:",LEFT(UPPER(TRIM(A69)),6)="TODAY:"),"T",IF(OR(LEFT(UPPER(TRIM(A69)),2)="B:",LEFT(UPPER(TRIM(A69)),8)="BLOCKER:",LEFT(UPPER(TRIM(A69)),9)="BLOCKERS:",LEFT(UPPER(TRIM(A69)),8)="BLOCKED:"),"B",""))))</f>
      </c>
      <c r="E69" s="17">
        <f>IF(D69="","",TRIM(MID(A69,FIND(":",A69)+1,500)))</f>
      </c>
    </row>
    <row r="70">
      <c r="B70" s="17">
        <f>IF(A70="","",IF(COUNTIF(Roster[Name],IF(RIGHT(IF(LEFT(TRIM(A70),1)="[",TRIM(MID(TRIM(A70),FIND("]",TRIM(A70)&amp;"]")+1,200)),TRIM(A70)),1)=")",TRIM(LEFT(IF(LEFT(TRIM(A70),1)="[",TRIM(MID(TRIM(A70),FIND("]",TRIM(A70)&amp;"]")+1,200)),TRIM(A70)),FIND("(",IF(LEFT(TRIM(A70),1)="[",TRIM(MID(TRIM(A70),FIND("]",TRIM(A70)&amp;"]")+1,200)),TRIM(A70))&amp;"(")-1)),IF(LEFT(TRIM(A70),1)="[",TRIM(MID(TRIM(A70),FIND("]",TRIM(A70)&amp;"]")+1,200)),TRIM(A70))))&gt;0,IF(RIGHT(IF(LEFT(TRIM(A70),1)="[",TRIM(MID(TRIM(A70),FIND("]",TRIM(A70)&amp;"]")+1,200)),TRIM(A70)),1)=")",TRIM(LEFT(IF(LEFT(TRIM(A70),1)="[",TRIM(MID(TRIM(A70),FIND("]",TRIM(A70)&amp;"]")+1,200)),TRIM(A70)),FIND("(",IF(LEFT(TRIM(A70),1)="[",TRIM(MID(TRIM(A70),FIND("]",TRIM(A70)&amp;"]")+1,200)),TRIM(A70))&amp;"(")-1)),IF(LEFT(TRIM(A70),1)="[",TRIM(MID(TRIM(A70),FIND("]",TRIM(A70)&amp;"]")+1,200)),TRIM(A70))),""))</f>
      </c>
      <c r="C70" s="17">
        <f>IF(B70&lt;&gt;"",B70,C69)</f>
      </c>
      <c r="D70" s="17">
        <f>IF(A70="","",IF(OR(LEFT(UPPER(TRIM(A70)),2)="Y:",LEFT(UPPER(TRIM(A70)),10)="YESTERDAY:"),"Y",IF(OR(LEFT(UPPER(TRIM(A70)),2)="T:",LEFT(UPPER(TRIM(A70)),6)="TODAY:"),"T",IF(OR(LEFT(UPPER(TRIM(A70)),2)="B:",LEFT(UPPER(TRIM(A70)),8)="BLOCKER:",LEFT(UPPER(TRIM(A70)),9)="BLOCKERS:",LEFT(UPPER(TRIM(A70)),8)="BLOCKED:"),"B",""))))</f>
      </c>
      <c r="E70" s="17">
        <f>IF(D70="","",TRIM(MID(A70,FIND(":",A70)+1,500)))</f>
      </c>
    </row>
    <row r="71">
      <c r="B71" s="17">
        <f>IF(A71="","",IF(COUNTIF(Roster[Name],IF(RIGHT(IF(LEFT(TRIM(A71),1)="[",TRIM(MID(TRIM(A71),FIND("]",TRIM(A71)&amp;"]")+1,200)),TRIM(A71)),1)=")",TRIM(LEFT(IF(LEFT(TRIM(A71),1)="[",TRIM(MID(TRIM(A71),FIND("]",TRIM(A71)&amp;"]")+1,200)),TRIM(A71)),FIND("(",IF(LEFT(TRIM(A71),1)="[",TRIM(MID(TRIM(A71),FIND("]",TRIM(A71)&amp;"]")+1,200)),TRIM(A71))&amp;"(")-1)),IF(LEFT(TRIM(A71),1)="[",TRIM(MID(TRIM(A71),FIND("]",TRIM(A71)&amp;"]")+1,200)),TRIM(A71))))&gt;0,IF(RIGHT(IF(LEFT(TRIM(A71),1)="[",TRIM(MID(TRIM(A71),FIND("]",TRIM(A71)&amp;"]")+1,200)),TRIM(A71)),1)=")",TRIM(LEFT(IF(LEFT(TRIM(A71),1)="[",TRIM(MID(TRIM(A71),FIND("]",TRIM(A71)&amp;"]")+1,200)),TRIM(A71)),FIND("(",IF(LEFT(TRIM(A71),1)="[",TRIM(MID(TRIM(A71),FIND("]",TRIM(A71)&amp;"]")+1,200)),TRIM(A71))&amp;"(")-1)),IF(LEFT(TRIM(A71),1)="[",TRIM(MID(TRIM(A71),FIND("]",TRIM(A71)&amp;"]")+1,200)),TRIM(A71))),""))</f>
      </c>
      <c r="C71" s="17">
        <f>IF(B71&lt;&gt;"",B71,C70)</f>
      </c>
      <c r="D71" s="17">
        <f>IF(A71="","",IF(OR(LEFT(UPPER(TRIM(A71)),2)="Y:",LEFT(UPPER(TRIM(A71)),10)="YESTERDAY:"),"Y",IF(OR(LEFT(UPPER(TRIM(A71)),2)="T:",LEFT(UPPER(TRIM(A71)),6)="TODAY:"),"T",IF(OR(LEFT(UPPER(TRIM(A71)),2)="B:",LEFT(UPPER(TRIM(A71)),8)="BLOCKER:",LEFT(UPPER(TRIM(A71)),9)="BLOCKERS:",LEFT(UPPER(TRIM(A71)),8)="BLOCKED:"),"B",""))))</f>
      </c>
      <c r="E71" s="17">
        <f>IF(D71="","",TRIM(MID(A71,FIND(":",A71)+1,500)))</f>
      </c>
    </row>
    <row r="72">
      <c r="B72" s="17">
        <f>IF(A72="","",IF(COUNTIF(Roster[Name],IF(RIGHT(IF(LEFT(TRIM(A72),1)="[",TRIM(MID(TRIM(A72),FIND("]",TRIM(A72)&amp;"]")+1,200)),TRIM(A72)),1)=")",TRIM(LEFT(IF(LEFT(TRIM(A72),1)="[",TRIM(MID(TRIM(A72),FIND("]",TRIM(A72)&amp;"]")+1,200)),TRIM(A72)),FIND("(",IF(LEFT(TRIM(A72),1)="[",TRIM(MID(TRIM(A72),FIND("]",TRIM(A72)&amp;"]")+1,200)),TRIM(A72))&amp;"(")-1)),IF(LEFT(TRIM(A72),1)="[",TRIM(MID(TRIM(A72),FIND("]",TRIM(A72)&amp;"]")+1,200)),TRIM(A72))))&gt;0,IF(RIGHT(IF(LEFT(TRIM(A72),1)="[",TRIM(MID(TRIM(A72),FIND("]",TRIM(A72)&amp;"]")+1,200)),TRIM(A72)),1)=")",TRIM(LEFT(IF(LEFT(TRIM(A72),1)="[",TRIM(MID(TRIM(A72),FIND("]",TRIM(A72)&amp;"]")+1,200)),TRIM(A72)),FIND("(",IF(LEFT(TRIM(A72),1)="[",TRIM(MID(TRIM(A72),FIND("]",TRIM(A72)&amp;"]")+1,200)),TRIM(A72))&amp;"(")-1)),IF(LEFT(TRIM(A72),1)="[",TRIM(MID(TRIM(A72),FIND("]",TRIM(A72)&amp;"]")+1,200)),TRIM(A72))),""))</f>
      </c>
      <c r="C72" s="17">
        <f>IF(B72&lt;&gt;"",B72,C71)</f>
      </c>
      <c r="D72" s="17">
        <f>IF(A72="","",IF(OR(LEFT(UPPER(TRIM(A72)),2)="Y:",LEFT(UPPER(TRIM(A72)),10)="YESTERDAY:"),"Y",IF(OR(LEFT(UPPER(TRIM(A72)),2)="T:",LEFT(UPPER(TRIM(A72)),6)="TODAY:"),"T",IF(OR(LEFT(UPPER(TRIM(A72)),2)="B:",LEFT(UPPER(TRIM(A72)),8)="BLOCKER:",LEFT(UPPER(TRIM(A72)),9)="BLOCKERS:",LEFT(UPPER(TRIM(A72)),8)="BLOCKED:"),"B",""))))</f>
      </c>
      <c r="E72" s="17">
        <f>IF(D72="","",TRIM(MID(A72,FIND(":",A72)+1,500)))</f>
      </c>
    </row>
    <row r="73">
      <c r="B73" s="17">
        <f>IF(A73="","",IF(COUNTIF(Roster[Name],IF(RIGHT(IF(LEFT(TRIM(A73),1)="[",TRIM(MID(TRIM(A73),FIND("]",TRIM(A73)&amp;"]")+1,200)),TRIM(A73)),1)=")",TRIM(LEFT(IF(LEFT(TRIM(A73),1)="[",TRIM(MID(TRIM(A73),FIND("]",TRIM(A73)&amp;"]")+1,200)),TRIM(A73)),FIND("(",IF(LEFT(TRIM(A73),1)="[",TRIM(MID(TRIM(A73),FIND("]",TRIM(A73)&amp;"]")+1,200)),TRIM(A73))&amp;"(")-1)),IF(LEFT(TRIM(A73),1)="[",TRIM(MID(TRIM(A73),FIND("]",TRIM(A73)&amp;"]")+1,200)),TRIM(A73))))&gt;0,IF(RIGHT(IF(LEFT(TRIM(A73),1)="[",TRIM(MID(TRIM(A73),FIND("]",TRIM(A73)&amp;"]")+1,200)),TRIM(A73)),1)=")",TRIM(LEFT(IF(LEFT(TRIM(A73),1)="[",TRIM(MID(TRIM(A73),FIND("]",TRIM(A73)&amp;"]")+1,200)),TRIM(A73)),FIND("(",IF(LEFT(TRIM(A73),1)="[",TRIM(MID(TRIM(A73),FIND("]",TRIM(A73)&amp;"]")+1,200)),TRIM(A73))&amp;"(")-1)),IF(LEFT(TRIM(A73),1)="[",TRIM(MID(TRIM(A73),FIND("]",TRIM(A73)&amp;"]")+1,200)),TRIM(A73))),""))</f>
      </c>
      <c r="C73" s="17">
        <f>IF(B73&lt;&gt;"",B73,C72)</f>
      </c>
      <c r="D73" s="17">
        <f>IF(A73="","",IF(OR(LEFT(UPPER(TRIM(A73)),2)="Y:",LEFT(UPPER(TRIM(A73)),10)="YESTERDAY:"),"Y",IF(OR(LEFT(UPPER(TRIM(A73)),2)="T:",LEFT(UPPER(TRIM(A73)),6)="TODAY:"),"T",IF(OR(LEFT(UPPER(TRIM(A73)),2)="B:",LEFT(UPPER(TRIM(A73)),8)="BLOCKER:",LEFT(UPPER(TRIM(A73)),9)="BLOCKERS:",LEFT(UPPER(TRIM(A73)),8)="BLOCKED:"),"B",""))))</f>
      </c>
      <c r="E73" s="17">
        <f>IF(D73="","",TRIM(MID(A73,FIND(":",A73)+1,500)))</f>
      </c>
    </row>
    <row r="74">
      <c r="B74" s="17">
        <f>IF(A74="","",IF(COUNTIF(Roster[Name],IF(RIGHT(IF(LEFT(TRIM(A74),1)="[",TRIM(MID(TRIM(A74),FIND("]",TRIM(A74)&amp;"]")+1,200)),TRIM(A74)),1)=")",TRIM(LEFT(IF(LEFT(TRIM(A74),1)="[",TRIM(MID(TRIM(A74),FIND("]",TRIM(A74)&amp;"]")+1,200)),TRIM(A74)),FIND("(",IF(LEFT(TRIM(A74),1)="[",TRIM(MID(TRIM(A74),FIND("]",TRIM(A74)&amp;"]")+1,200)),TRIM(A74))&amp;"(")-1)),IF(LEFT(TRIM(A74),1)="[",TRIM(MID(TRIM(A74),FIND("]",TRIM(A74)&amp;"]")+1,200)),TRIM(A74))))&gt;0,IF(RIGHT(IF(LEFT(TRIM(A74),1)="[",TRIM(MID(TRIM(A74),FIND("]",TRIM(A74)&amp;"]")+1,200)),TRIM(A74)),1)=")",TRIM(LEFT(IF(LEFT(TRIM(A74),1)="[",TRIM(MID(TRIM(A74),FIND("]",TRIM(A74)&amp;"]")+1,200)),TRIM(A74)),FIND("(",IF(LEFT(TRIM(A74),1)="[",TRIM(MID(TRIM(A74),FIND("]",TRIM(A74)&amp;"]")+1,200)),TRIM(A74))&amp;"(")-1)),IF(LEFT(TRIM(A74),1)="[",TRIM(MID(TRIM(A74),FIND("]",TRIM(A74)&amp;"]")+1,200)),TRIM(A74))),""))</f>
      </c>
      <c r="C74" s="17">
        <f>IF(B74&lt;&gt;"",B74,C73)</f>
      </c>
      <c r="D74" s="17">
        <f>IF(A74="","",IF(OR(LEFT(UPPER(TRIM(A74)),2)="Y:",LEFT(UPPER(TRIM(A74)),10)="YESTERDAY:"),"Y",IF(OR(LEFT(UPPER(TRIM(A74)),2)="T:",LEFT(UPPER(TRIM(A74)),6)="TODAY:"),"T",IF(OR(LEFT(UPPER(TRIM(A74)),2)="B:",LEFT(UPPER(TRIM(A74)),8)="BLOCKER:",LEFT(UPPER(TRIM(A74)),9)="BLOCKERS:",LEFT(UPPER(TRIM(A74)),8)="BLOCKED:"),"B",""))))</f>
      </c>
      <c r="E74" s="17">
        <f>IF(D74="","",TRIM(MID(A74,FIND(":",A74)+1,500)))</f>
      </c>
    </row>
    <row r="75">
      <c r="B75" s="17">
        <f>IF(A75="","",IF(COUNTIF(Roster[Name],IF(RIGHT(IF(LEFT(TRIM(A75),1)="[",TRIM(MID(TRIM(A75),FIND("]",TRIM(A75)&amp;"]")+1,200)),TRIM(A75)),1)=")",TRIM(LEFT(IF(LEFT(TRIM(A75),1)="[",TRIM(MID(TRIM(A75),FIND("]",TRIM(A75)&amp;"]")+1,200)),TRIM(A75)),FIND("(",IF(LEFT(TRIM(A75),1)="[",TRIM(MID(TRIM(A75),FIND("]",TRIM(A75)&amp;"]")+1,200)),TRIM(A75))&amp;"(")-1)),IF(LEFT(TRIM(A75),1)="[",TRIM(MID(TRIM(A75),FIND("]",TRIM(A75)&amp;"]")+1,200)),TRIM(A75))))&gt;0,IF(RIGHT(IF(LEFT(TRIM(A75),1)="[",TRIM(MID(TRIM(A75),FIND("]",TRIM(A75)&amp;"]")+1,200)),TRIM(A75)),1)=")",TRIM(LEFT(IF(LEFT(TRIM(A75),1)="[",TRIM(MID(TRIM(A75),FIND("]",TRIM(A75)&amp;"]")+1,200)),TRIM(A75)),FIND("(",IF(LEFT(TRIM(A75),1)="[",TRIM(MID(TRIM(A75),FIND("]",TRIM(A75)&amp;"]")+1,200)),TRIM(A75))&amp;"(")-1)),IF(LEFT(TRIM(A75),1)="[",TRIM(MID(TRIM(A75),FIND("]",TRIM(A75)&amp;"]")+1,200)),TRIM(A75))),""))</f>
      </c>
      <c r="C75" s="17">
        <f>IF(B75&lt;&gt;"",B75,C74)</f>
      </c>
      <c r="D75" s="17">
        <f>IF(A75="","",IF(OR(LEFT(UPPER(TRIM(A75)),2)="Y:",LEFT(UPPER(TRIM(A75)),10)="YESTERDAY:"),"Y",IF(OR(LEFT(UPPER(TRIM(A75)),2)="T:",LEFT(UPPER(TRIM(A75)),6)="TODAY:"),"T",IF(OR(LEFT(UPPER(TRIM(A75)),2)="B:",LEFT(UPPER(TRIM(A75)),8)="BLOCKER:",LEFT(UPPER(TRIM(A75)),9)="BLOCKERS:",LEFT(UPPER(TRIM(A75)),8)="BLOCKED:"),"B",""))))</f>
      </c>
      <c r="E75" s="17">
        <f>IF(D75="","",TRIM(MID(A75,FIND(":",A75)+1,500)))</f>
      </c>
    </row>
    <row r="76">
      <c r="B76" s="17">
        <f>IF(A76="","",IF(COUNTIF(Roster[Name],IF(RIGHT(IF(LEFT(TRIM(A76),1)="[",TRIM(MID(TRIM(A76),FIND("]",TRIM(A76)&amp;"]")+1,200)),TRIM(A76)),1)=")",TRIM(LEFT(IF(LEFT(TRIM(A76),1)="[",TRIM(MID(TRIM(A76),FIND("]",TRIM(A76)&amp;"]")+1,200)),TRIM(A76)),FIND("(",IF(LEFT(TRIM(A76),1)="[",TRIM(MID(TRIM(A76),FIND("]",TRIM(A76)&amp;"]")+1,200)),TRIM(A76))&amp;"(")-1)),IF(LEFT(TRIM(A76),1)="[",TRIM(MID(TRIM(A76),FIND("]",TRIM(A76)&amp;"]")+1,200)),TRIM(A76))))&gt;0,IF(RIGHT(IF(LEFT(TRIM(A76),1)="[",TRIM(MID(TRIM(A76),FIND("]",TRIM(A76)&amp;"]")+1,200)),TRIM(A76)),1)=")",TRIM(LEFT(IF(LEFT(TRIM(A76),1)="[",TRIM(MID(TRIM(A76),FIND("]",TRIM(A76)&amp;"]")+1,200)),TRIM(A76)),FIND("(",IF(LEFT(TRIM(A76),1)="[",TRIM(MID(TRIM(A76),FIND("]",TRIM(A76)&amp;"]")+1,200)),TRIM(A76))&amp;"(")-1)),IF(LEFT(TRIM(A76),1)="[",TRIM(MID(TRIM(A76),FIND("]",TRIM(A76)&amp;"]")+1,200)),TRIM(A76))),""))</f>
      </c>
      <c r="C76" s="17">
        <f>IF(B76&lt;&gt;"",B76,C75)</f>
      </c>
      <c r="D76" s="17">
        <f>IF(A76="","",IF(OR(LEFT(UPPER(TRIM(A76)),2)="Y:",LEFT(UPPER(TRIM(A76)),10)="YESTERDAY:"),"Y",IF(OR(LEFT(UPPER(TRIM(A76)),2)="T:",LEFT(UPPER(TRIM(A76)),6)="TODAY:"),"T",IF(OR(LEFT(UPPER(TRIM(A76)),2)="B:",LEFT(UPPER(TRIM(A76)),8)="BLOCKER:",LEFT(UPPER(TRIM(A76)),9)="BLOCKERS:",LEFT(UPPER(TRIM(A76)),8)="BLOCKED:"),"B",""))))</f>
      </c>
      <c r="E76" s="17">
        <f>IF(D76="","",TRIM(MID(A76,FIND(":",A76)+1,500)))</f>
      </c>
    </row>
    <row r="77">
      <c r="B77" s="17">
        <f>IF(A77="","",IF(COUNTIF(Roster[Name],IF(RIGHT(IF(LEFT(TRIM(A77),1)="[",TRIM(MID(TRIM(A77),FIND("]",TRIM(A77)&amp;"]")+1,200)),TRIM(A77)),1)=")",TRIM(LEFT(IF(LEFT(TRIM(A77),1)="[",TRIM(MID(TRIM(A77),FIND("]",TRIM(A77)&amp;"]")+1,200)),TRIM(A77)),FIND("(",IF(LEFT(TRIM(A77),1)="[",TRIM(MID(TRIM(A77),FIND("]",TRIM(A77)&amp;"]")+1,200)),TRIM(A77))&amp;"(")-1)),IF(LEFT(TRIM(A77),1)="[",TRIM(MID(TRIM(A77),FIND("]",TRIM(A77)&amp;"]")+1,200)),TRIM(A77))))&gt;0,IF(RIGHT(IF(LEFT(TRIM(A77),1)="[",TRIM(MID(TRIM(A77),FIND("]",TRIM(A77)&amp;"]")+1,200)),TRIM(A77)),1)=")",TRIM(LEFT(IF(LEFT(TRIM(A77),1)="[",TRIM(MID(TRIM(A77),FIND("]",TRIM(A77)&amp;"]")+1,200)),TRIM(A77)),FIND("(",IF(LEFT(TRIM(A77),1)="[",TRIM(MID(TRIM(A77),FIND("]",TRIM(A77)&amp;"]")+1,200)),TRIM(A77))&amp;"(")-1)),IF(LEFT(TRIM(A77),1)="[",TRIM(MID(TRIM(A77),FIND("]",TRIM(A77)&amp;"]")+1,200)),TRIM(A77))),""))</f>
      </c>
      <c r="C77" s="17">
        <f>IF(B77&lt;&gt;"",B77,C76)</f>
      </c>
      <c r="D77" s="17">
        <f>IF(A77="","",IF(OR(LEFT(UPPER(TRIM(A77)),2)="Y:",LEFT(UPPER(TRIM(A77)),10)="YESTERDAY:"),"Y",IF(OR(LEFT(UPPER(TRIM(A77)),2)="T:",LEFT(UPPER(TRIM(A77)),6)="TODAY:"),"T",IF(OR(LEFT(UPPER(TRIM(A77)),2)="B:",LEFT(UPPER(TRIM(A77)),8)="BLOCKER:",LEFT(UPPER(TRIM(A77)),9)="BLOCKERS:",LEFT(UPPER(TRIM(A77)),8)="BLOCKED:"),"B",""))))</f>
      </c>
      <c r="E77" s="17">
        <f>IF(D77="","",TRIM(MID(A77,FIND(":",A77)+1,500)))</f>
      </c>
    </row>
    <row r="78">
      <c r="B78" s="17">
        <f>IF(A78="","",IF(COUNTIF(Roster[Name],IF(RIGHT(IF(LEFT(TRIM(A78),1)="[",TRIM(MID(TRIM(A78),FIND("]",TRIM(A78)&amp;"]")+1,200)),TRIM(A78)),1)=")",TRIM(LEFT(IF(LEFT(TRIM(A78),1)="[",TRIM(MID(TRIM(A78),FIND("]",TRIM(A78)&amp;"]")+1,200)),TRIM(A78)),FIND("(",IF(LEFT(TRIM(A78),1)="[",TRIM(MID(TRIM(A78),FIND("]",TRIM(A78)&amp;"]")+1,200)),TRIM(A78))&amp;"(")-1)),IF(LEFT(TRIM(A78),1)="[",TRIM(MID(TRIM(A78),FIND("]",TRIM(A78)&amp;"]")+1,200)),TRIM(A78))))&gt;0,IF(RIGHT(IF(LEFT(TRIM(A78),1)="[",TRIM(MID(TRIM(A78),FIND("]",TRIM(A78)&amp;"]")+1,200)),TRIM(A78)),1)=")",TRIM(LEFT(IF(LEFT(TRIM(A78),1)="[",TRIM(MID(TRIM(A78),FIND("]",TRIM(A78)&amp;"]")+1,200)),TRIM(A78)),FIND("(",IF(LEFT(TRIM(A78),1)="[",TRIM(MID(TRIM(A78),FIND("]",TRIM(A78)&amp;"]")+1,200)),TRIM(A78))&amp;"(")-1)),IF(LEFT(TRIM(A78),1)="[",TRIM(MID(TRIM(A78),FIND("]",TRIM(A78)&amp;"]")+1,200)),TRIM(A78))),""))</f>
      </c>
      <c r="C78" s="17">
        <f>IF(B78&lt;&gt;"",B78,C77)</f>
      </c>
      <c r="D78" s="17">
        <f>IF(A78="","",IF(OR(LEFT(UPPER(TRIM(A78)),2)="Y:",LEFT(UPPER(TRIM(A78)),10)="YESTERDAY:"),"Y",IF(OR(LEFT(UPPER(TRIM(A78)),2)="T:",LEFT(UPPER(TRIM(A78)),6)="TODAY:"),"T",IF(OR(LEFT(UPPER(TRIM(A78)),2)="B:",LEFT(UPPER(TRIM(A78)),8)="BLOCKER:",LEFT(UPPER(TRIM(A78)),9)="BLOCKERS:",LEFT(UPPER(TRIM(A78)),8)="BLOCKED:"),"B",""))))</f>
      </c>
      <c r="E78" s="17">
        <f>IF(D78="","",TRIM(MID(A78,FIND(":",A78)+1,500)))</f>
      </c>
    </row>
    <row r="79">
      <c r="B79" s="17">
        <f>IF(A79="","",IF(COUNTIF(Roster[Name],IF(RIGHT(IF(LEFT(TRIM(A79),1)="[",TRIM(MID(TRIM(A79),FIND("]",TRIM(A79)&amp;"]")+1,200)),TRIM(A79)),1)=")",TRIM(LEFT(IF(LEFT(TRIM(A79),1)="[",TRIM(MID(TRIM(A79),FIND("]",TRIM(A79)&amp;"]")+1,200)),TRIM(A79)),FIND("(",IF(LEFT(TRIM(A79),1)="[",TRIM(MID(TRIM(A79),FIND("]",TRIM(A79)&amp;"]")+1,200)),TRIM(A79))&amp;"(")-1)),IF(LEFT(TRIM(A79),1)="[",TRIM(MID(TRIM(A79),FIND("]",TRIM(A79)&amp;"]")+1,200)),TRIM(A79))))&gt;0,IF(RIGHT(IF(LEFT(TRIM(A79),1)="[",TRIM(MID(TRIM(A79),FIND("]",TRIM(A79)&amp;"]")+1,200)),TRIM(A79)),1)=")",TRIM(LEFT(IF(LEFT(TRIM(A79),1)="[",TRIM(MID(TRIM(A79),FIND("]",TRIM(A79)&amp;"]")+1,200)),TRIM(A79)),FIND("(",IF(LEFT(TRIM(A79),1)="[",TRIM(MID(TRIM(A79),FIND("]",TRIM(A79)&amp;"]")+1,200)),TRIM(A79))&amp;"(")-1)),IF(LEFT(TRIM(A79),1)="[",TRIM(MID(TRIM(A79),FIND("]",TRIM(A79)&amp;"]")+1,200)),TRIM(A79))),""))</f>
      </c>
      <c r="C79" s="17">
        <f>IF(B79&lt;&gt;"",B79,C78)</f>
      </c>
      <c r="D79" s="17">
        <f>IF(A79="","",IF(OR(LEFT(UPPER(TRIM(A79)),2)="Y:",LEFT(UPPER(TRIM(A79)),10)="YESTERDAY:"),"Y",IF(OR(LEFT(UPPER(TRIM(A79)),2)="T:",LEFT(UPPER(TRIM(A79)),6)="TODAY:"),"T",IF(OR(LEFT(UPPER(TRIM(A79)),2)="B:",LEFT(UPPER(TRIM(A79)),8)="BLOCKER:",LEFT(UPPER(TRIM(A79)),9)="BLOCKERS:",LEFT(UPPER(TRIM(A79)),8)="BLOCKED:"),"B",""))))</f>
      </c>
      <c r="E79" s="17">
        <f>IF(D79="","",TRIM(MID(A79,FIND(":",A79)+1,500)))</f>
      </c>
    </row>
    <row r="80">
      <c r="B80" s="17">
        <f>IF(A80="","",IF(COUNTIF(Roster[Name],IF(RIGHT(IF(LEFT(TRIM(A80),1)="[",TRIM(MID(TRIM(A80),FIND("]",TRIM(A80)&amp;"]")+1,200)),TRIM(A80)),1)=")",TRIM(LEFT(IF(LEFT(TRIM(A80),1)="[",TRIM(MID(TRIM(A80),FIND("]",TRIM(A80)&amp;"]")+1,200)),TRIM(A80)),FIND("(",IF(LEFT(TRIM(A80),1)="[",TRIM(MID(TRIM(A80),FIND("]",TRIM(A80)&amp;"]")+1,200)),TRIM(A80))&amp;"(")-1)),IF(LEFT(TRIM(A80),1)="[",TRIM(MID(TRIM(A80),FIND("]",TRIM(A80)&amp;"]")+1,200)),TRIM(A80))))&gt;0,IF(RIGHT(IF(LEFT(TRIM(A80),1)="[",TRIM(MID(TRIM(A80),FIND("]",TRIM(A80)&amp;"]")+1,200)),TRIM(A80)),1)=")",TRIM(LEFT(IF(LEFT(TRIM(A80),1)="[",TRIM(MID(TRIM(A80),FIND("]",TRIM(A80)&amp;"]")+1,200)),TRIM(A80)),FIND("(",IF(LEFT(TRIM(A80),1)="[",TRIM(MID(TRIM(A80),FIND("]",TRIM(A80)&amp;"]")+1,200)),TRIM(A80))&amp;"(")-1)),IF(LEFT(TRIM(A80),1)="[",TRIM(MID(TRIM(A80),FIND("]",TRIM(A80)&amp;"]")+1,200)),TRIM(A80))),""))</f>
      </c>
      <c r="C80" s="17">
        <f>IF(B80&lt;&gt;"",B80,C79)</f>
      </c>
      <c r="D80" s="17">
        <f>IF(A80="","",IF(OR(LEFT(UPPER(TRIM(A80)),2)="Y:",LEFT(UPPER(TRIM(A80)),10)="YESTERDAY:"),"Y",IF(OR(LEFT(UPPER(TRIM(A80)),2)="T:",LEFT(UPPER(TRIM(A80)),6)="TODAY:"),"T",IF(OR(LEFT(UPPER(TRIM(A80)),2)="B:",LEFT(UPPER(TRIM(A80)),8)="BLOCKER:",LEFT(UPPER(TRIM(A80)),9)="BLOCKERS:",LEFT(UPPER(TRIM(A80)),8)="BLOCKED:"),"B",""))))</f>
      </c>
      <c r="E80" s="17">
        <f>IF(D80="","",TRIM(MID(A80,FIND(":",A80)+1,500)))</f>
      </c>
    </row>
    <row r="81">
      <c r="B81" s="17">
        <f>IF(A81="","",IF(COUNTIF(Roster[Name],IF(RIGHT(IF(LEFT(TRIM(A81),1)="[",TRIM(MID(TRIM(A81),FIND("]",TRIM(A81)&amp;"]")+1,200)),TRIM(A81)),1)=")",TRIM(LEFT(IF(LEFT(TRIM(A81),1)="[",TRIM(MID(TRIM(A81),FIND("]",TRIM(A81)&amp;"]")+1,200)),TRIM(A81)),FIND("(",IF(LEFT(TRIM(A81),1)="[",TRIM(MID(TRIM(A81),FIND("]",TRIM(A81)&amp;"]")+1,200)),TRIM(A81))&amp;"(")-1)),IF(LEFT(TRIM(A81),1)="[",TRIM(MID(TRIM(A81),FIND("]",TRIM(A81)&amp;"]")+1,200)),TRIM(A81))))&gt;0,IF(RIGHT(IF(LEFT(TRIM(A81),1)="[",TRIM(MID(TRIM(A81),FIND("]",TRIM(A81)&amp;"]")+1,200)),TRIM(A81)),1)=")",TRIM(LEFT(IF(LEFT(TRIM(A81),1)="[",TRIM(MID(TRIM(A81),FIND("]",TRIM(A81)&amp;"]")+1,200)),TRIM(A81)),FIND("(",IF(LEFT(TRIM(A81),1)="[",TRIM(MID(TRIM(A81),FIND("]",TRIM(A81)&amp;"]")+1,200)),TRIM(A81))&amp;"(")-1)),IF(LEFT(TRIM(A81),1)="[",TRIM(MID(TRIM(A81),FIND("]",TRIM(A81)&amp;"]")+1,200)),TRIM(A81))),""))</f>
      </c>
      <c r="C81" s="17">
        <f>IF(B81&lt;&gt;"",B81,C80)</f>
      </c>
      <c r="D81" s="17">
        <f>IF(A81="","",IF(OR(LEFT(UPPER(TRIM(A81)),2)="Y:",LEFT(UPPER(TRIM(A81)),10)="YESTERDAY:"),"Y",IF(OR(LEFT(UPPER(TRIM(A81)),2)="T:",LEFT(UPPER(TRIM(A81)),6)="TODAY:"),"T",IF(OR(LEFT(UPPER(TRIM(A81)),2)="B:",LEFT(UPPER(TRIM(A81)),8)="BLOCKER:",LEFT(UPPER(TRIM(A81)),9)="BLOCKERS:",LEFT(UPPER(TRIM(A81)),8)="BLOCKED:"),"B",""))))</f>
      </c>
      <c r="E81" s="17">
        <f>IF(D81="","",TRIM(MID(A81,FIND(":",A81)+1,500)))</f>
      </c>
    </row>
    <row r="82">
      <c r="B82" s="17">
        <f>IF(A82="","",IF(COUNTIF(Roster[Name],IF(RIGHT(IF(LEFT(TRIM(A82),1)="[",TRIM(MID(TRIM(A82),FIND("]",TRIM(A82)&amp;"]")+1,200)),TRIM(A82)),1)=")",TRIM(LEFT(IF(LEFT(TRIM(A82),1)="[",TRIM(MID(TRIM(A82),FIND("]",TRIM(A82)&amp;"]")+1,200)),TRIM(A82)),FIND("(",IF(LEFT(TRIM(A82),1)="[",TRIM(MID(TRIM(A82),FIND("]",TRIM(A82)&amp;"]")+1,200)),TRIM(A82))&amp;"(")-1)),IF(LEFT(TRIM(A82),1)="[",TRIM(MID(TRIM(A82),FIND("]",TRIM(A82)&amp;"]")+1,200)),TRIM(A82))))&gt;0,IF(RIGHT(IF(LEFT(TRIM(A82),1)="[",TRIM(MID(TRIM(A82),FIND("]",TRIM(A82)&amp;"]")+1,200)),TRIM(A82)),1)=")",TRIM(LEFT(IF(LEFT(TRIM(A82),1)="[",TRIM(MID(TRIM(A82),FIND("]",TRIM(A82)&amp;"]")+1,200)),TRIM(A82)),FIND("(",IF(LEFT(TRIM(A82),1)="[",TRIM(MID(TRIM(A82),FIND("]",TRIM(A82)&amp;"]")+1,200)),TRIM(A82))&amp;"(")-1)),IF(LEFT(TRIM(A82),1)="[",TRIM(MID(TRIM(A82),FIND("]",TRIM(A82)&amp;"]")+1,200)),TRIM(A82))),""))</f>
      </c>
      <c r="C82" s="17">
        <f>IF(B82&lt;&gt;"",B82,C81)</f>
      </c>
      <c r="D82" s="17">
        <f>IF(A82="","",IF(OR(LEFT(UPPER(TRIM(A82)),2)="Y:",LEFT(UPPER(TRIM(A82)),10)="YESTERDAY:"),"Y",IF(OR(LEFT(UPPER(TRIM(A82)),2)="T:",LEFT(UPPER(TRIM(A82)),6)="TODAY:"),"T",IF(OR(LEFT(UPPER(TRIM(A82)),2)="B:",LEFT(UPPER(TRIM(A82)),8)="BLOCKER:",LEFT(UPPER(TRIM(A82)),9)="BLOCKERS:",LEFT(UPPER(TRIM(A82)),8)="BLOCKED:"),"B",""))))</f>
      </c>
      <c r="E82" s="17">
        <f>IF(D82="","",TRIM(MID(A82,FIND(":",A82)+1,500)))</f>
      </c>
    </row>
    <row r="83">
      <c r="B83" s="17">
        <f>IF(A83="","",IF(COUNTIF(Roster[Name],IF(RIGHT(IF(LEFT(TRIM(A83),1)="[",TRIM(MID(TRIM(A83),FIND("]",TRIM(A83)&amp;"]")+1,200)),TRIM(A83)),1)=")",TRIM(LEFT(IF(LEFT(TRIM(A83),1)="[",TRIM(MID(TRIM(A83),FIND("]",TRIM(A83)&amp;"]")+1,200)),TRIM(A83)),FIND("(",IF(LEFT(TRIM(A83),1)="[",TRIM(MID(TRIM(A83),FIND("]",TRIM(A83)&amp;"]")+1,200)),TRIM(A83))&amp;"(")-1)),IF(LEFT(TRIM(A83),1)="[",TRIM(MID(TRIM(A83),FIND("]",TRIM(A83)&amp;"]")+1,200)),TRIM(A83))))&gt;0,IF(RIGHT(IF(LEFT(TRIM(A83),1)="[",TRIM(MID(TRIM(A83),FIND("]",TRIM(A83)&amp;"]")+1,200)),TRIM(A83)),1)=")",TRIM(LEFT(IF(LEFT(TRIM(A83),1)="[",TRIM(MID(TRIM(A83),FIND("]",TRIM(A83)&amp;"]")+1,200)),TRIM(A83)),FIND("(",IF(LEFT(TRIM(A83),1)="[",TRIM(MID(TRIM(A83),FIND("]",TRIM(A83)&amp;"]")+1,200)),TRIM(A83))&amp;"(")-1)),IF(LEFT(TRIM(A83),1)="[",TRIM(MID(TRIM(A83),FIND("]",TRIM(A83)&amp;"]")+1,200)),TRIM(A83))),""))</f>
      </c>
      <c r="C83" s="17">
        <f>IF(B83&lt;&gt;"",B83,C82)</f>
      </c>
      <c r="D83" s="17">
        <f>IF(A83="","",IF(OR(LEFT(UPPER(TRIM(A83)),2)="Y:",LEFT(UPPER(TRIM(A83)),10)="YESTERDAY:"),"Y",IF(OR(LEFT(UPPER(TRIM(A83)),2)="T:",LEFT(UPPER(TRIM(A83)),6)="TODAY:"),"T",IF(OR(LEFT(UPPER(TRIM(A83)),2)="B:",LEFT(UPPER(TRIM(A83)),8)="BLOCKER:",LEFT(UPPER(TRIM(A83)),9)="BLOCKERS:",LEFT(UPPER(TRIM(A83)),8)="BLOCKED:"),"B",""))))</f>
      </c>
      <c r="E83" s="17">
        <f>IF(D83="","",TRIM(MID(A83,FIND(":",A83)+1,500)))</f>
      </c>
    </row>
    <row r="84">
      <c r="B84" s="17">
        <f>IF(A84="","",IF(COUNTIF(Roster[Name],IF(RIGHT(IF(LEFT(TRIM(A84),1)="[",TRIM(MID(TRIM(A84),FIND("]",TRIM(A84)&amp;"]")+1,200)),TRIM(A84)),1)=")",TRIM(LEFT(IF(LEFT(TRIM(A84),1)="[",TRIM(MID(TRIM(A84),FIND("]",TRIM(A84)&amp;"]")+1,200)),TRIM(A84)),FIND("(",IF(LEFT(TRIM(A84),1)="[",TRIM(MID(TRIM(A84),FIND("]",TRIM(A84)&amp;"]")+1,200)),TRIM(A84))&amp;"(")-1)),IF(LEFT(TRIM(A84),1)="[",TRIM(MID(TRIM(A84),FIND("]",TRIM(A84)&amp;"]")+1,200)),TRIM(A84))))&gt;0,IF(RIGHT(IF(LEFT(TRIM(A84),1)="[",TRIM(MID(TRIM(A84),FIND("]",TRIM(A84)&amp;"]")+1,200)),TRIM(A84)),1)=")",TRIM(LEFT(IF(LEFT(TRIM(A84),1)="[",TRIM(MID(TRIM(A84),FIND("]",TRIM(A84)&amp;"]")+1,200)),TRIM(A84)),FIND("(",IF(LEFT(TRIM(A84),1)="[",TRIM(MID(TRIM(A84),FIND("]",TRIM(A84)&amp;"]")+1,200)),TRIM(A84))&amp;"(")-1)),IF(LEFT(TRIM(A84),1)="[",TRIM(MID(TRIM(A84),FIND("]",TRIM(A84)&amp;"]")+1,200)),TRIM(A84))),""))</f>
      </c>
      <c r="C84" s="17">
        <f>IF(B84&lt;&gt;"",B84,C83)</f>
      </c>
      <c r="D84" s="17">
        <f>IF(A84="","",IF(OR(LEFT(UPPER(TRIM(A84)),2)="Y:",LEFT(UPPER(TRIM(A84)),10)="YESTERDAY:"),"Y",IF(OR(LEFT(UPPER(TRIM(A84)),2)="T:",LEFT(UPPER(TRIM(A84)),6)="TODAY:"),"T",IF(OR(LEFT(UPPER(TRIM(A84)),2)="B:",LEFT(UPPER(TRIM(A84)),8)="BLOCKER:",LEFT(UPPER(TRIM(A84)),9)="BLOCKERS:",LEFT(UPPER(TRIM(A84)),8)="BLOCKED:"),"B",""))))</f>
      </c>
      <c r="E84" s="17">
        <f>IF(D84="","",TRIM(MID(A84,FIND(":",A84)+1,500)))</f>
      </c>
    </row>
    <row r="85">
      <c r="B85" s="17">
        <f>IF(A85="","",IF(COUNTIF(Roster[Name],IF(RIGHT(IF(LEFT(TRIM(A85),1)="[",TRIM(MID(TRIM(A85),FIND("]",TRIM(A85)&amp;"]")+1,200)),TRIM(A85)),1)=")",TRIM(LEFT(IF(LEFT(TRIM(A85),1)="[",TRIM(MID(TRIM(A85),FIND("]",TRIM(A85)&amp;"]")+1,200)),TRIM(A85)),FIND("(",IF(LEFT(TRIM(A85),1)="[",TRIM(MID(TRIM(A85),FIND("]",TRIM(A85)&amp;"]")+1,200)),TRIM(A85))&amp;"(")-1)),IF(LEFT(TRIM(A85),1)="[",TRIM(MID(TRIM(A85),FIND("]",TRIM(A85)&amp;"]")+1,200)),TRIM(A85))))&gt;0,IF(RIGHT(IF(LEFT(TRIM(A85),1)="[",TRIM(MID(TRIM(A85),FIND("]",TRIM(A85)&amp;"]")+1,200)),TRIM(A85)),1)=")",TRIM(LEFT(IF(LEFT(TRIM(A85),1)="[",TRIM(MID(TRIM(A85),FIND("]",TRIM(A85)&amp;"]")+1,200)),TRIM(A85)),FIND("(",IF(LEFT(TRIM(A85),1)="[",TRIM(MID(TRIM(A85),FIND("]",TRIM(A85)&amp;"]")+1,200)),TRIM(A85))&amp;"(")-1)),IF(LEFT(TRIM(A85),1)="[",TRIM(MID(TRIM(A85),FIND("]",TRIM(A85)&amp;"]")+1,200)),TRIM(A85))),""))</f>
      </c>
      <c r="C85" s="17">
        <f>IF(B85&lt;&gt;"",B85,C84)</f>
      </c>
      <c r="D85" s="17">
        <f>IF(A85="","",IF(OR(LEFT(UPPER(TRIM(A85)),2)="Y:",LEFT(UPPER(TRIM(A85)),10)="YESTERDAY:"),"Y",IF(OR(LEFT(UPPER(TRIM(A85)),2)="T:",LEFT(UPPER(TRIM(A85)),6)="TODAY:"),"T",IF(OR(LEFT(UPPER(TRIM(A85)),2)="B:",LEFT(UPPER(TRIM(A85)),8)="BLOCKER:",LEFT(UPPER(TRIM(A85)),9)="BLOCKERS:",LEFT(UPPER(TRIM(A85)),8)="BLOCKED:"),"B",""))))</f>
      </c>
      <c r="E85" s="17">
        <f>IF(D85="","",TRIM(MID(A85,FIND(":",A85)+1,500)))</f>
      </c>
    </row>
    <row r="86">
      <c r="B86" s="17">
        <f>IF(A86="","",IF(COUNTIF(Roster[Name],IF(RIGHT(IF(LEFT(TRIM(A86),1)="[",TRIM(MID(TRIM(A86),FIND("]",TRIM(A86)&amp;"]")+1,200)),TRIM(A86)),1)=")",TRIM(LEFT(IF(LEFT(TRIM(A86),1)="[",TRIM(MID(TRIM(A86),FIND("]",TRIM(A86)&amp;"]")+1,200)),TRIM(A86)),FIND("(",IF(LEFT(TRIM(A86),1)="[",TRIM(MID(TRIM(A86),FIND("]",TRIM(A86)&amp;"]")+1,200)),TRIM(A86))&amp;"(")-1)),IF(LEFT(TRIM(A86),1)="[",TRIM(MID(TRIM(A86),FIND("]",TRIM(A86)&amp;"]")+1,200)),TRIM(A86))))&gt;0,IF(RIGHT(IF(LEFT(TRIM(A86),1)="[",TRIM(MID(TRIM(A86),FIND("]",TRIM(A86)&amp;"]")+1,200)),TRIM(A86)),1)=")",TRIM(LEFT(IF(LEFT(TRIM(A86),1)="[",TRIM(MID(TRIM(A86),FIND("]",TRIM(A86)&amp;"]")+1,200)),TRIM(A86)),FIND("(",IF(LEFT(TRIM(A86),1)="[",TRIM(MID(TRIM(A86),FIND("]",TRIM(A86)&amp;"]")+1,200)),TRIM(A86))&amp;"(")-1)),IF(LEFT(TRIM(A86),1)="[",TRIM(MID(TRIM(A86),FIND("]",TRIM(A86)&amp;"]")+1,200)),TRIM(A86))),""))</f>
      </c>
      <c r="C86" s="17">
        <f>IF(B86&lt;&gt;"",B86,C85)</f>
      </c>
      <c r="D86" s="17">
        <f>IF(A86="","",IF(OR(LEFT(UPPER(TRIM(A86)),2)="Y:",LEFT(UPPER(TRIM(A86)),10)="YESTERDAY:"),"Y",IF(OR(LEFT(UPPER(TRIM(A86)),2)="T:",LEFT(UPPER(TRIM(A86)),6)="TODAY:"),"T",IF(OR(LEFT(UPPER(TRIM(A86)),2)="B:",LEFT(UPPER(TRIM(A86)),8)="BLOCKER:",LEFT(UPPER(TRIM(A86)),9)="BLOCKERS:",LEFT(UPPER(TRIM(A86)),8)="BLOCKED:"),"B",""))))</f>
      </c>
      <c r="E86" s="17">
        <f>IF(D86="","",TRIM(MID(A86,FIND(":",A86)+1,500)))</f>
      </c>
    </row>
    <row r="87">
      <c r="B87" s="17">
        <f>IF(A87="","",IF(COUNTIF(Roster[Name],IF(RIGHT(IF(LEFT(TRIM(A87),1)="[",TRIM(MID(TRIM(A87),FIND("]",TRIM(A87)&amp;"]")+1,200)),TRIM(A87)),1)=")",TRIM(LEFT(IF(LEFT(TRIM(A87),1)="[",TRIM(MID(TRIM(A87),FIND("]",TRIM(A87)&amp;"]")+1,200)),TRIM(A87)),FIND("(",IF(LEFT(TRIM(A87),1)="[",TRIM(MID(TRIM(A87),FIND("]",TRIM(A87)&amp;"]")+1,200)),TRIM(A87))&amp;"(")-1)),IF(LEFT(TRIM(A87),1)="[",TRIM(MID(TRIM(A87),FIND("]",TRIM(A87)&amp;"]")+1,200)),TRIM(A87))))&gt;0,IF(RIGHT(IF(LEFT(TRIM(A87),1)="[",TRIM(MID(TRIM(A87),FIND("]",TRIM(A87)&amp;"]")+1,200)),TRIM(A87)),1)=")",TRIM(LEFT(IF(LEFT(TRIM(A87),1)="[",TRIM(MID(TRIM(A87),FIND("]",TRIM(A87)&amp;"]")+1,200)),TRIM(A87)),FIND("(",IF(LEFT(TRIM(A87),1)="[",TRIM(MID(TRIM(A87),FIND("]",TRIM(A87)&amp;"]")+1,200)),TRIM(A87))&amp;"(")-1)),IF(LEFT(TRIM(A87),1)="[",TRIM(MID(TRIM(A87),FIND("]",TRIM(A87)&amp;"]")+1,200)),TRIM(A87))),""))</f>
      </c>
      <c r="C87" s="17">
        <f>IF(B87&lt;&gt;"",B87,C86)</f>
      </c>
      <c r="D87" s="17">
        <f>IF(A87="","",IF(OR(LEFT(UPPER(TRIM(A87)),2)="Y:",LEFT(UPPER(TRIM(A87)),10)="YESTERDAY:"),"Y",IF(OR(LEFT(UPPER(TRIM(A87)),2)="T:",LEFT(UPPER(TRIM(A87)),6)="TODAY:"),"T",IF(OR(LEFT(UPPER(TRIM(A87)),2)="B:",LEFT(UPPER(TRIM(A87)),8)="BLOCKER:",LEFT(UPPER(TRIM(A87)),9)="BLOCKERS:",LEFT(UPPER(TRIM(A87)),8)="BLOCKED:"),"B",""))))</f>
      </c>
      <c r="E87" s="17">
        <f>IF(D87="","",TRIM(MID(A87,FIND(":",A87)+1,500)))</f>
      </c>
    </row>
    <row r="88">
      <c r="B88" s="17">
        <f>IF(A88="","",IF(COUNTIF(Roster[Name],IF(RIGHT(IF(LEFT(TRIM(A88),1)="[",TRIM(MID(TRIM(A88),FIND("]",TRIM(A88)&amp;"]")+1,200)),TRIM(A88)),1)=")",TRIM(LEFT(IF(LEFT(TRIM(A88),1)="[",TRIM(MID(TRIM(A88),FIND("]",TRIM(A88)&amp;"]")+1,200)),TRIM(A88)),FIND("(",IF(LEFT(TRIM(A88),1)="[",TRIM(MID(TRIM(A88),FIND("]",TRIM(A88)&amp;"]")+1,200)),TRIM(A88))&amp;"(")-1)),IF(LEFT(TRIM(A88),1)="[",TRIM(MID(TRIM(A88),FIND("]",TRIM(A88)&amp;"]")+1,200)),TRIM(A88))))&gt;0,IF(RIGHT(IF(LEFT(TRIM(A88),1)="[",TRIM(MID(TRIM(A88),FIND("]",TRIM(A88)&amp;"]")+1,200)),TRIM(A88)),1)=")",TRIM(LEFT(IF(LEFT(TRIM(A88),1)="[",TRIM(MID(TRIM(A88),FIND("]",TRIM(A88)&amp;"]")+1,200)),TRIM(A88)),FIND("(",IF(LEFT(TRIM(A88),1)="[",TRIM(MID(TRIM(A88),FIND("]",TRIM(A88)&amp;"]")+1,200)),TRIM(A88))&amp;"(")-1)),IF(LEFT(TRIM(A88),1)="[",TRIM(MID(TRIM(A88),FIND("]",TRIM(A88)&amp;"]")+1,200)),TRIM(A88))),""))</f>
      </c>
      <c r="C88" s="17">
        <f>IF(B88&lt;&gt;"",B88,C87)</f>
      </c>
      <c r="D88" s="17">
        <f>IF(A88="","",IF(OR(LEFT(UPPER(TRIM(A88)),2)="Y:",LEFT(UPPER(TRIM(A88)),10)="YESTERDAY:"),"Y",IF(OR(LEFT(UPPER(TRIM(A88)),2)="T:",LEFT(UPPER(TRIM(A88)),6)="TODAY:"),"T",IF(OR(LEFT(UPPER(TRIM(A88)),2)="B:",LEFT(UPPER(TRIM(A88)),8)="BLOCKER:",LEFT(UPPER(TRIM(A88)),9)="BLOCKERS:",LEFT(UPPER(TRIM(A88)),8)="BLOCKED:"),"B",""))))</f>
      </c>
      <c r="E88" s="17">
        <f>IF(D88="","",TRIM(MID(A88,FIND(":",A88)+1,500)))</f>
      </c>
    </row>
    <row r="89">
      <c r="B89" s="17">
        <f>IF(A89="","",IF(COUNTIF(Roster[Name],IF(RIGHT(IF(LEFT(TRIM(A89),1)="[",TRIM(MID(TRIM(A89),FIND("]",TRIM(A89)&amp;"]")+1,200)),TRIM(A89)),1)=")",TRIM(LEFT(IF(LEFT(TRIM(A89),1)="[",TRIM(MID(TRIM(A89),FIND("]",TRIM(A89)&amp;"]")+1,200)),TRIM(A89)),FIND("(",IF(LEFT(TRIM(A89),1)="[",TRIM(MID(TRIM(A89),FIND("]",TRIM(A89)&amp;"]")+1,200)),TRIM(A89))&amp;"(")-1)),IF(LEFT(TRIM(A89),1)="[",TRIM(MID(TRIM(A89),FIND("]",TRIM(A89)&amp;"]")+1,200)),TRIM(A89))))&gt;0,IF(RIGHT(IF(LEFT(TRIM(A89),1)="[",TRIM(MID(TRIM(A89),FIND("]",TRIM(A89)&amp;"]")+1,200)),TRIM(A89)),1)=")",TRIM(LEFT(IF(LEFT(TRIM(A89),1)="[",TRIM(MID(TRIM(A89),FIND("]",TRIM(A89)&amp;"]")+1,200)),TRIM(A89)),FIND("(",IF(LEFT(TRIM(A89),1)="[",TRIM(MID(TRIM(A89),FIND("]",TRIM(A89)&amp;"]")+1,200)),TRIM(A89))&amp;"(")-1)),IF(LEFT(TRIM(A89),1)="[",TRIM(MID(TRIM(A89),FIND("]",TRIM(A89)&amp;"]")+1,200)),TRIM(A89))),""))</f>
      </c>
      <c r="C89" s="17">
        <f>IF(B89&lt;&gt;"",B89,C88)</f>
      </c>
      <c r="D89" s="17">
        <f>IF(A89="","",IF(OR(LEFT(UPPER(TRIM(A89)),2)="Y:",LEFT(UPPER(TRIM(A89)),10)="YESTERDAY:"),"Y",IF(OR(LEFT(UPPER(TRIM(A89)),2)="T:",LEFT(UPPER(TRIM(A89)),6)="TODAY:"),"T",IF(OR(LEFT(UPPER(TRIM(A89)),2)="B:",LEFT(UPPER(TRIM(A89)),8)="BLOCKER:",LEFT(UPPER(TRIM(A89)),9)="BLOCKERS:",LEFT(UPPER(TRIM(A89)),8)="BLOCKED:"),"B",""))))</f>
      </c>
      <c r="E89" s="17">
        <f>IF(D89="","",TRIM(MID(A89,FIND(":",A89)+1,500)))</f>
      </c>
    </row>
    <row r="90">
      <c r="B90" s="17">
        <f>IF(A90="","",IF(COUNTIF(Roster[Name],IF(RIGHT(IF(LEFT(TRIM(A90),1)="[",TRIM(MID(TRIM(A90),FIND("]",TRIM(A90)&amp;"]")+1,200)),TRIM(A90)),1)=")",TRIM(LEFT(IF(LEFT(TRIM(A90),1)="[",TRIM(MID(TRIM(A90),FIND("]",TRIM(A90)&amp;"]")+1,200)),TRIM(A90)),FIND("(",IF(LEFT(TRIM(A90),1)="[",TRIM(MID(TRIM(A90),FIND("]",TRIM(A90)&amp;"]")+1,200)),TRIM(A90))&amp;"(")-1)),IF(LEFT(TRIM(A90),1)="[",TRIM(MID(TRIM(A90),FIND("]",TRIM(A90)&amp;"]")+1,200)),TRIM(A90))))&gt;0,IF(RIGHT(IF(LEFT(TRIM(A90),1)="[",TRIM(MID(TRIM(A90),FIND("]",TRIM(A90)&amp;"]")+1,200)),TRIM(A90)),1)=")",TRIM(LEFT(IF(LEFT(TRIM(A90),1)="[",TRIM(MID(TRIM(A90),FIND("]",TRIM(A90)&amp;"]")+1,200)),TRIM(A90)),FIND("(",IF(LEFT(TRIM(A90),1)="[",TRIM(MID(TRIM(A90),FIND("]",TRIM(A90)&amp;"]")+1,200)),TRIM(A90))&amp;"(")-1)),IF(LEFT(TRIM(A90),1)="[",TRIM(MID(TRIM(A90),FIND("]",TRIM(A90)&amp;"]")+1,200)),TRIM(A90))),""))</f>
      </c>
      <c r="C90" s="17">
        <f>IF(B90&lt;&gt;"",B90,C89)</f>
      </c>
      <c r="D90" s="17">
        <f>IF(A90="","",IF(OR(LEFT(UPPER(TRIM(A90)),2)="Y:",LEFT(UPPER(TRIM(A90)),10)="YESTERDAY:"),"Y",IF(OR(LEFT(UPPER(TRIM(A90)),2)="T:",LEFT(UPPER(TRIM(A90)),6)="TODAY:"),"T",IF(OR(LEFT(UPPER(TRIM(A90)),2)="B:",LEFT(UPPER(TRIM(A90)),8)="BLOCKER:",LEFT(UPPER(TRIM(A90)),9)="BLOCKERS:",LEFT(UPPER(TRIM(A90)),8)="BLOCKED:"),"B",""))))</f>
      </c>
      <c r="E90" s="17">
        <f>IF(D90="","",TRIM(MID(A90,FIND(":",A90)+1,500)))</f>
      </c>
    </row>
    <row r="91">
      <c r="B91" s="17">
        <f>IF(A91="","",IF(COUNTIF(Roster[Name],IF(RIGHT(IF(LEFT(TRIM(A91),1)="[",TRIM(MID(TRIM(A91),FIND("]",TRIM(A91)&amp;"]")+1,200)),TRIM(A91)),1)=")",TRIM(LEFT(IF(LEFT(TRIM(A91),1)="[",TRIM(MID(TRIM(A91),FIND("]",TRIM(A91)&amp;"]")+1,200)),TRIM(A91)),FIND("(",IF(LEFT(TRIM(A91),1)="[",TRIM(MID(TRIM(A91),FIND("]",TRIM(A91)&amp;"]")+1,200)),TRIM(A91))&amp;"(")-1)),IF(LEFT(TRIM(A91),1)="[",TRIM(MID(TRIM(A91),FIND("]",TRIM(A91)&amp;"]")+1,200)),TRIM(A91))))&gt;0,IF(RIGHT(IF(LEFT(TRIM(A91),1)="[",TRIM(MID(TRIM(A91),FIND("]",TRIM(A91)&amp;"]")+1,200)),TRIM(A91)),1)=")",TRIM(LEFT(IF(LEFT(TRIM(A91),1)="[",TRIM(MID(TRIM(A91),FIND("]",TRIM(A91)&amp;"]")+1,200)),TRIM(A91)),FIND("(",IF(LEFT(TRIM(A91),1)="[",TRIM(MID(TRIM(A91),FIND("]",TRIM(A91)&amp;"]")+1,200)),TRIM(A91))&amp;"(")-1)),IF(LEFT(TRIM(A91),1)="[",TRIM(MID(TRIM(A91),FIND("]",TRIM(A91)&amp;"]")+1,200)),TRIM(A91))),""))</f>
      </c>
      <c r="C91" s="17">
        <f>IF(B91&lt;&gt;"",B91,C90)</f>
      </c>
      <c r="D91" s="17">
        <f>IF(A91="","",IF(OR(LEFT(UPPER(TRIM(A91)),2)="Y:",LEFT(UPPER(TRIM(A91)),10)="YESTERDAY:"),"Y",IF(OR(LEFT(UPPER(TRIM(A91)),2)="T:",LEFT(UPPER(TRIM(A91)),6)="TODAY:"),"T",IF(OR(LEFT(UPPER(TRIM(A91)),2)="B:",LEFT(UPPER(TRIM(A91)),8)="BLOCKER:",LEFT(UPPER(TRIM(A91)),9)="BLOCKERS:",LEFT(UPPER(TRIM(A91)),8)="BLOCKED:"),"B",""))))</f>
      </c>
      <c r="E91" s="17">
        <f>IF(D91="","",TRIM(MID(A91,FIND(":",A91)+1,500)))</f>
      </c>
    </row>
    <row r="92">
      <c r="B92" s="17">
        <f>IF(A92="","",IF(COUNTIF(Roster[Name],IF(RIGHT(IF(LEFT(TRIM(A92),1)="[",TRIM(MID(TRIM(A92),FIND("]",TRIM(A92)&amp;"]")+1,200)),TRIM(A92)),1)=")",TRIM(LEFT(IF(LEFT(TRIM(A92),1)="[",TRIM(MID(TRIM(A92),FIND("]",TRIM(A92)&amp;"]")+1,200)),TRIM(A92)),FIND("(",IF(LEFT(TRIM(A92),1)="[",TRIM(MID(TRIM(A92),FIND("]",TRIM(A92)&amp;"]")+1,200)),TRIM(A92))&amp;"(")-1)),IF(LEFT(TRIM(A92),1)="[",TRIM(MID(TRIM(A92),FIND("]",TRIM(A92)&amp;"]")+1,200)),TRIM(A92))))&gt;0,IF(RIGHT(IF(LEFT(TRIM(A92),1)="[",TRIM(MID(TRIM(A92),FIND("]",TRIM(A92)&amp;"]")+1,200)),TRIM(A92)),1)=")",TRIM(LEFT(IF(LEFT(TRIM(A92),1)="[",TRIM(MID(TRIM(A92),FIND("]",TRIM(A92)&amp;"]")+1,200)),TRIM(A92)),FIND("(",IF(LEFT(TRIM(A92),1)="[",TRIM(MID(TRIM(A92),FIND("]",TRIM(A92)&amp;"]")+1,200)),TRIM(A92))&amp;"(")-1)),IF(LEFT(TRIM(A92),1)="[",TRIM(MID(TRIM(A92),FIND("]",TRIM(A92)&amp;"]")+1,200)),TRIM(A92))),""))</f>
      </c>
      <c r="C92" s="17">
        <f>IF(B92&lt;&gt;"",B92,C91)</f>
      </c>
      <c r="D92" s="17">
        <f>IF(A92="","",IF(OR(LEFT(UPPER(TRIM(A92)),2)="Y:",LEFT(UPPER(TRIM(A92)),10)="YESTERDAY:"),"Y",IF(OR(LEFT(UPPER(TRIM(A92)),2)="T:",LEFT(UPPER(TRIM(A92)),6)="TODAY:"),"T",IF(OR(LEFT(UPPER(TRIM(A92)),2)="B:",LEFT(UPPER(TRIM(A92)),8)="BLOCKER:",LEFT(UPPER(TRIM(A92)),9)="BLOCKERS:",LEFT(UPPER(TRIM(A92)),8)="BLOCKED:"),"B",""))))</f>
      </c>
      <c r="E92" s="17">
        <f>IF(D92="","",TRIM(MID(A92,FIND(":",A92)+1,500)))</f>
      </c>
    </row>
    <row r="93">
      <c r="B93" s="17">
        <f>IF(A93="","",IF(COUNTIF(Roster[Name],IF(RIGHT(IF(LEFT(TRIM(A93),1)="[",TRIM(MID(TRIM(A93),FIND("]",TRIM(A93)&amp;"]")+1,200)),TRIM(A93)),1)=")",TRIM(LEFT(IF(LEFT(TRIM(A93),1)="[",TRIM(MID(TRIM(A93),FIND("]",TRIM(A93)&amp;"]")+1,200)),TRIM(A93)),FIND("(",IF(LEFT(TRIM(A93),1)="[",TRIM(MID(TRIM(A93),FIND("]",TRIM(A93)&amp;"]")+1,200)),TRIM(A93))&amp;"(")-1)),IF(LEFT(TRIM(A93),1)="[",TRIM(MID(TRIM(A93),FIND("]",TRIM(A93)&amp;"]")+1,200)),TRIM(A93))))&gt;0,IF(RIGHT(IF(LEFT(TRIM(A93),1)="[",TRIM(MID(TRIM(A93),FIND("]",TRIM(A93)&amp;"]")+1,200)),TRIM(A93)),1)=")",TRIM(LEFT(IF(LEFT(TRIM(A93),1)="[",TRIM(MID(TRIM(A93),FIND("]",TRIM(A93)&amp;"]")+1,200)),TRIM(A93)),FIND("(",IF(LEFT(TRIM(A93),1)="[",TRIM(MID(TRIM(A93),FIND("]",TRIM(A93)&amp;"]")+1,200)),TRIM(A93))&amp;"(")-1)),IF(LEFT(TRIM(A93),1)="[",TRIM(MID(TRIM(A93),FIND("]",TRIM(A93)&amp;"]")+1,200)),TRIM(A93))),""))</f>
      </c>
      <c r="C93" s="17">
        <f>IF(B93&lt;&gt;"",B93,C92)</f>
      </c>
      <c r="D93" s="17">
        <f>IF(A93="","",IF(OR(LEFT(UPPER(TRIM(A93)),2)="Y:",LEFT(UPPER(TRIM(A93)),10)="YESTERDAY:"),"Y",IF(OR(LEFT(UPPER(TRIM(A93)),2)="T:",LEFT(UPPER(TRIM(A93)),6)="TODAY:"),"T",IF(OR(LEFT(UPPER(TRIM(A93)),2)="B:",LEFT(UPPER(TRIM(A93)),8)="BLOCKER:",LEFT(UPPER(TRIM(A93)),9)="BLOCKERS:",LEFT(UPPER(TRIM(A93)),8)="BLOCKED:"),"B",""))))</f>
      </c>
      <c r="E93" s="17">
        <f>IF(D93="","",TRIM(MID(A93,FIND(":",A93)+1,500)))</f>
      </c>
    </row>
    <row r="94">
      <c r="B94" s="17">
        <f>IF(A94="","",IF(COUNTIF(Roster[Name],IF(RIGHT(IF(LEFT(TRIM(A94),1)="[",TRIM(MID(TRIM(A94),FIND("]",TRIM(A94)&amp;"]")+1,200)),TRIM(A94)),1)=")",TRIM(LEFT(IF(LEFT(TRIM(A94),1)="[",TRIM(MID(TRIM(A94),FIND("]",TRIM(A94)&amp;"]")+1,200)),TRIM(A94)),FIND("(",IF(LEFT(TRIM(A94),1)="[",TRIM(MID(TRIM(A94),FIND("]",TRIM(A94)&amp;"]")+1,200)),TRIM(A94))&amp;"(")-1)),IF(LEFT(TRIM(A94),1)="[",TRIM(MID(TRIM(A94),FIND("]",TRIM(A94)&amp;"]")+1,200)),TRIM(A94))))&gt;0,IF(RIGHT(IF(LEFT(TRIM(A94),1)="[",TRIM(MID(TRIM(A94),FIND("]",TRIM(A94)&amp;"]")+1,200)),TRIM(A94)),1)=")",TRIM(LEFT(IF(LEFT(TRIM(A94),1)="[",TRIM(MID(TRIM(A94),FIND("]",TRIM(A94)&amp;"]")+1,200)),TRIM(A94)),FIND("(",IF(LEFT(TRIM(A94),1)="[",TRIM(MID(TRIM(A94),FIND("]",TRIM(A94)&amp;"]")+1,200)),TRIM(A94))&amp;"(")-1)),IF(LEFT(TRIM(A94),1)="[",TRIM(MID(TRIM(A94),FIND("]",TRIM(A94)&amp;"]")+1,200)),TRIM(A94))),""))</f>
      </c>
      <c r="C94" s="17">
        <f>IF(B94&lt;&gt;"",B94,C93)</f>
      </c>
      <c r="D94" s="17">
        <f>IF(A94="","",IF(OR(LEFT(UPPER(TRIM(A94)),2)="Y:",LEFT(UPPER(TRIM(A94)),10)="YESTERDAY:"),"Y",IF(OR(LEFT(UPPER(TRIM(A94)),2)="T:",LEFT(UPPER(TRIM(A94)),6)="TODAY:"),"T",IF(OR(LEFT(UPPER(TRIM(A94)),2)="B:",LEFT(UPPER(TRIM(A94)),8)="BLOCKER:",LEFT(UPPER(TRIM(A94)),9)="BLOCKERS:",LEFT(UPPER(TRIM(A94)),8)="BLOCKED:"),"B",""))))</f>
      </c>
      <c r="E94" s="17">
        <f>IF(D94="","",TRIM(MID(A94,FIND(":",A94)+1,500)))</f>
      </c>
    </row>
    <row r="95">
      <c r="B95" s="17">
        <f>IF(A95="","",IF(COUNTIF(Roster[Name],IF(RIGHT(IF(LEFT(TRIM(A95),1)="[",TRIM(MID(TRIM(A95),FIND("]",TRIM(A95)&amp;"]")+1,200)),TRIM(A95)),1)=")",TRIM(LEFT(IF(LEFT(TRIM(A95),1)="[",TRIM(MID(TRIM(A95),FIND("]",TRIM(A95)&amp;"]")+1,200)),TRIM(A95)),FIND("(",IF(LEFT(TRIM(A95),1)="[",TRIM(MID(TRIM(A95),FIND("]",TRIM(A95)&amp;"]")+1,200)),TRIM(A95))&amp;"(")-1)),IF(LEFT(TRIM(A95),1)="[",TRIM(MID(TRIM(A95),FIND("]",TRIM(A95)&amp;"]")+1,200)),TRIM(A95))))&gt;0,IF(RIGHT(IF(LEFT(TRIM(A95),1)="[",TRIM(MID(TRIM(A95),FIND("]",TRIM(A95)&amp;"]")+1,200)),TRIM(A95)),1)=")",TRIM(LEFT(IF(LEFT(TRIM(A95),1)="[",TRIM(MID(TRIM(A95),FIND("]",TRIM(A95)&amp;"]")+1,200)),TRIM(A95)),FIND("(",IF(LEFT(TRIM(A95),1)="[",TRIM(MID(TRIM(A95),FIND("]",TRIM(A95)&amp;"]")+1,200)),TRIM(A95))&amp;"(")-1)),IF(LEFT(TRIM(A95),1)="[",TRIM(MID(TRIM(A95),FIND("]",TRIM(A95)&amp;"]")+1,200)),TRIM(A95))),""))</f>
      </c>
      <c r="C95" s="17">
        <f>IF(B95&lt;&gt;"",B95,C94)</f>
      </c>
      <c r="D95" s="17">
        <f>IF(A95="","",IF(OR(LEFT(UPPER(TRIM(A95)),2)="Y:",LEFT(UPPER(TRIM(A95)),10)="YESTERDAY:"),"Y",IF(OR(LEFT(UPPER(TRIM(A95)),2)="T:",LEFT(UPPER(TRIM(A95)),6)="TODAY:"),"T",IF(OR(LEFT(UPPER(TRIM(A95)),2)="B:",LEFT(UPPER(TRIM(A95)),8)="BLOCKER:",LEFT(UPPER(TRIM(A95)),9)="BLOCKERS:",LEFT(UPPER(TRIM(A95)),8)="BLOCKED:"),"B",""))))</f>
      </c>
      <c r="E95" s="17">
        <f>IF(D95="","",TRIM(MID(A95,FIND(":",A95)+1,500)))</f>
      </c>
    </row>
    <row r="96">
      <c r="B96" s="17">
        <f>IF(A96="","",IF(COUNTIF(Roster[Name],IF(RIGHT(IF(LEFT(TRIM(A96),1)="[",TRIM(MID(TRIM(A96),FIND("]",TRIM(A96)&amp;"]")+1,200)),TRIM(A96)),1)=")",TRIM(LEFT(IF(LEFT(TRIM(A96),1)="[",TRIM(MID(TRIM(A96),FIND("]",TRIM(A96)&amp;"]")+1,200)),TRIM(A96)),FIND("(",IF(LEFT(TRIM(A96),1)="[",TRIM(MID(TRIM(A96),FIND("]",TRIM(A96)&amp;"]")+1,200)),TRIM(A96))&amp;"(")-1)),IF(LEFT(TRIM(A96),1)="[",TRIM(MID(TRIM(A96),FIND("]",TRIM(A96)&amp;"]")+1,200)),TRIM(A96))))&gt;0,IF(RIGHT(IF(LEFT(TRIM(A96),1)="[",TRIM(MID(TRIM(A96),FIND("]",TRIM(A96)&amp;"]")+1,200)),TRIM(A96)),1)=")",TRIM(LEFT(IF(LEFT(TRIM(A96),1)="[",TRIM(MID(TRIM(A96),FIND("]",TRIM(A96)&amp;"]")+1,200)),TRIM(A96)),FIND("(",IF(LEFT(TRIM(A96),1)="[",TRIM(MID(TRIM(A96),FIND("]",TRIM(A96)&amp;"]")+1,200)),TRIM(A96))&amp;"(")-1)),IF(LEFT(TRIM(A96),1)="[",TRIM(MID(TRIM(A96),FIND("]",TRIM(A96)&amp;"]")+1,200)),TRIM(A96))),""))</f>
      </c>
      <c r="C96" s="17">
        <f>IF(B96&lt;&gt;"",B96,C95)</f>
      </c>
      <c r="D96" s="17">
        <f>IF(A96="","",IF(OR(LEFT(UPPER(TRIM(A96)),2)="Y:",LEFT(UPPER(TRIM(A96)),10)="YESTERDAY:"),"Y",IF(OR(LEFT(UPPER(TRIM(A96)),2)="T:",LEFT(UPPER(TRIM(A96)),6)="TODAY:"),"T",IF(OR(LEFT(UPPER(TRIM(A96)),2)="B:",LEFT(UPPER(TRIM(A96)),8)="BLOCKER:",LEFT(UPPER(TRIM(A96)),9)="BLOCKERS:",LEFT(UPPER(TRIM(A96)),8)="BLOCKED:"),"B",""))))</f>
      </c>
      <c r="E96" s="17">
        <f>IF(D96="","",TRIM(MID(A96,FIND(":",A96)+1,500)))</f>
      </c>
    </row>
    <row r="97">
      <c r="B97" s="17">
        <f>IF(A97="","",IF(COUNTIF(Roster[Name],IF(RIGHT(IF(LEFT(TRIM(A97),1)="[",TRIM(MID(TRIM(A97),FIND("]",TRIM(A97)&amp;"]")+1,200)),TRIM(A97)),1)=")",TRIM(LEFT(IF(LEFT(TRIM(A97),1)="[",TRIM(MID(TRIM(A97),FIND("]",TRIM(A97)&amp;"]")+1,200)),TRIM(A97)),FIND("(",IF(LEFT(TRIM(A97),1)="[",TRIM(MID(TRIM(A97),FIND("]",TRIM(A97)&amp;"]")+1,200)),TRIM(A97))&amp;"(")-1)),IF(LEFT(TRIM(A97),1)="[",TRIM(MID(TRIM(A97),FIND("]",TRIM(A97)&amp;"]")+1,200)),TRIM(A97))))&gt;0,IF(RIGHT(IF(LEFT(TRIM(A97),1)="[",TRIM(MID(TRIM(A97),FIND("]",TRIM(A97)&amp;"]")+1,200)),TRIM(A97)),1)=")",TRIM(LEFT(IF(LEFT(TRIM(A97),1)="[",TRIM(MID(TRIM(A97),FIND("]",TRIM(A97)&amp;"]")+1,200)),TRIM(A97)),FIND("(",IF(LEFT(TRIM(A97),1)="[",TRIM(MID(TRIM(A97),FIND("]",TRIM(A97)&amp;"]")+1,200)),TRIM(A97))&amp;"(")-1)),IF(LEFT(TRIM(A97),1)="[",TRIM(MID(TRIM(A97),FIND("]",TRIM(A97)&amp;"]")+1,200)),TRIM(A97))),""))</f>
      </c>
      <c r="C97" s="17">
        <f>IF(B97&lt;&gt;"",B97,C96)</f>
      </c>
      <c r="D97" s="17">
        <f>IF(A97="","",IF(OR(LEFT(UPPER(TRIM(A97)),2)="Y:",LEFT(UPPER(TRIM(A97)),10)="YESTERDAY:"),"Y",IF(OR(LEFT(UPPER(TRIM(A97)),2)="T:",LEFT(UPPER(TRIM(A97)),6)="TODAY:"),"T",IF(OR(LEFT(UPPER(TRIM(A97)),2)="B:",LEFT(UPPER(TRIM(A97)),8)="BLOCKER:",LEFT(UPPER(TRIM(A97)),9)="BLOCKERS:",LEFT(UPPER(TRIM(A97)),8)="BLOCKED:"),"B",""))))</f>
      </c>
      <c r="E97" s="17">
        <f>IF(D97="","",TRIM(MID(A97,FIND(":",A97)+1,500)))</f>
      </c>
    </row>
    <row r="98">
      <c r="B98" s="17">
        <f>IF(A98="","",IF(COUNTIF(Roster[Name],IF(RIGHT(IF(LEFT(TRIM(A98),1)="[",TRIM(MID(TRIM(A98),FIND("]",TRIM(A98)&amp;"]")+1,200)),TRIM(A98)),1)=")",TRIM(LEFT(IF(LEFT(TRIM(A98),1)="[",TRIM(MID(TRIM(A98),FIND("]",TRIM(A98)&amp;"]")+1,200)),TRIM(A98)),FIND("(",IF(LEFT(TRIM(A98),1)="[",TRIM(MID(TRIM(A98),FIND("]",TRIM(A98)&amp;"]")+1,200)),TRIM(A98))&amp;"(")-1)),IF(LEFT(TRIM(A98),1)="[",TRIM(MID(TRIM(A98),FIND("]",TRIM(A98)&amp;"]")+1,200)),TRIM(A98))))&gt;0,IF(RIGHT(IF(LEFT(TRIM(A98),1)="[",TRIM(MID(TRIM(A98),FIND("]",TRIM(A98)&amp;"]")+1,200)),TRIM(A98)),1)=")",TRIM(LEFT(IF(LEFT(TRIM(A98),1)="[",TRIM(MID(TRIM(A98),FIND("]",TRIM(A98)&amp;"]")+1,200)),TRIM(A98)),FIND("(",IF(LEFT(TRIM(A98),1)="[",TRIM(MID(TRIM(A98),FIND("]",TRIM(A98)&amp;"]")+1,200)),TRIM(A98))&amp;"(")-1)),IF(LEFT(TRIM(A98),1)="[",TRIM(MID(TRIM(A98),FIND("]",TRIM(A98)&amp;"]")+1,200)),TRIM(A98))),""))</f>
      </c>
      <c r="C98" s="17">
        <f>IF(B98&lt;&gt;"",B98,C97)</f>
      </c>
      <c r="D98" s="17">
        <f>IF(A98="","",IF(OR(LEFT(UPPER(TRIM(A98)),2)="Y:",LEFT(UPPER(TRIM(A98)),10)="YESTERDAY:"),"Y",IF(OR(LEFT(UPPER(TRIM(A98)),2)="T:",LEFT(UPPER(TRIM(A98)),6)="TODAY:"),"T",IF(OR(LEFT(UPPER(TRIM(A98)),2)="B:",LEFT(UPPER(TRIM(A98)),8)="BLOCKER:",LEFT(UPPER(TRIM(A98)),9)="BLOCKERS:",LEFT(UPPER(TRIM(A98)),8)="BLOCKED:"),"B",""))))</f>
      </c>
      <c r="E98" s="17">
        <f>IF(D98="","",TRIM(MID(A98,FIND(":",A98)+1,500)))</f>
      </c>
    </row>
    <row r="99">
      <c r="B99" s="17">
        <f>IF(A99="","",IF(COUNTIF(Roster[Name],IF(RIGHT(IF(LEFT(TRIM(A99),1)="[",TRIM(MID(TRIM(A99),FIND("]",TRIM(A99)&amp;"]")+1,200)),TRIM(A99)),1)=")",TRIM(LEFT(IF(LEFT(TRIM(A99),1)="[",TRIM(MID(TRIM(A99),FIND("]",TRIM(A99)&amp;"]")+1,200)),TRIM(A99)),FIND("(",IF(LEFT(TRIM(A99),1)="[",TRIM(MID(TRIM(A99),FIND("]",TRIM(A99)&amp;"]")+1,200)),TRIM(A99))&amp;"(")-1)),IF(LEFT(TRIM(A99),1)="[",TRIM(MID(TRIM(A99),FIND("]",TRIM(A99)&amp;"]")+1,200)),TRIM(A99))))&gt;0,IF(RIGHT(IF(LEFT(TRIM(A99),1)="[",TRIM(MID(TRIM(A99),FIND("]",TRIM(A99)&amp;"]")+1,200)),TRIM(A99)),1)=")",TRIM(LEFT(IF(LEFT(TRIM(A99),1)="[",TRIM(MID(TRIM(A99),FIND("]",TRIM(A99)&amp;"]")+1,200)),TRIM(A99)),FIND("(",IF(LEFT(TRIM(A99),1)="[",TRIM(MID(TRIM(A99),FIND("]",TRIM(A99)&amp;"]")+1,200)),TRIM(A99))&amp;"(")-1)),IF(LEFT(TRIM(A99),1)="[",TRIM(MID(TRIM(A99),FIND("]",TRIM(A99)&amp;"]")+1,200)),TRIM(A99))),""))</f>
      </c>
      <c r="C99" s="17">
        <f>IF(B99&lt;&gt;"",B99,C98)</f>
      </c>
      <c r="D99" s="17">
        <f>IF(A99="","",IF(OR(LEFT(UPPER(TRIM(A99)),2)="Y:",LEFT(UPPER(TRIM(A99)),10)="YESTERDAY:"),"Y",IF(OR(LEFT(UPPER(TRIM(A99)),2)="T:",LEFT(UPPER(TRIM(A99)),6)="TODAY:"),"T",IF(OR(LEFT(UPPER(TRIM(A99)),2)="B:",LEFT(UPPER(TRIM(A99)),8)="BLOCKER:",LEFT(UPPER(TRIM(A99)),9)="BLOCKERS:",LEFT(UPPER(TRIM(A99)),8)="BLOCKED:"),"B",""))))</f>
      </c>
      <c r="E99" s="17">
        <f>IF(D99="","",TRIM(MID(A99,FIND(":",A99)+1,500)))</f>
      </c>
    </row>
    <row r="100">
      <c r="B100" s="17">
        <f>IF(A100="","",IF(COUNTIF(Roster[Name],IF(RIGHT(IF(LEFT(TRIM(A100),1)="[",TRIM(MID(TRIM(A100),FIND("]",TRIM(A100)&amp;"]")+1,200)),TRIM(A100)),1)=")",TRIM(LEFT(IF(LEFT(TRIM(A100),1)="[",TRIM(MID(TRIM(A100),FIND("]",TRIM(A100)&amp;"]")+1,200)),TRIM(A100)),FIND("(",IF(LEFT(TRIM(A100),1)="[",TRIM(MID(TRIM(A100),FIND("]",TRIM(A100)&amp;"]")+1,200)),TRIM(A100))&amp;"(")-1)),IF(LEFT(TRIM(A100),1)="[",TRIM(MID(TRIM(A100),FIND("]",TRIM(A100)&amp;"]")+1,200)),TRIM(A100))))&gt;0,IF(RIGHT(IF(LEFT(TRIM(A100),1)="[",TRIM(MID(TRIM(A100),FIND("]",TRIM(A100)&amp;"]")+1,200)),TRIM(A100)),1)=")",TRIM(LEFT(IF(LEFT(TRIM(A100),1)="[",TRIM(MID(TRIM(A100),FIND("]",TRIM(A100)&amp;"]")+1,200)),TRIM(A100)),FIND("(",IF(LEFT(TRIM(A100),1)="[",TRIM(MID(TRIM(A100),FIND("]",TRIM(A100)&amp;"]")+1,200)),TRIM(A100))&amp;"(")-1)),IF(LEFT(TRIM(A100),1)="[",TRIM(MID(TRIM(A100),FIND("]",TRIM(A100)&amp;"]")+1,200)),TRIM(A100))),""))</f>
      </c>
      <c r="C100" s="17">
        <f>IF(B100&lt;&gt;"",B100,C99)</f>
      </c>
      <c r="D100" s="17">
        <f>IF(A100="","",IF(OR(LEFT(UPPER(TRIM(A100)),2)="Y:",LEFT(UPPER(TRIM(A100)),10)="YESTERDAY:"),"Y",IF(OR(LEFT(UPPER(TRIM(A100)),2)="T:",LEFT(UPPER(TRIM(A100)),6)="TODAY:"),"T",IF(OR(LEFT(UPPER(TRIM(A100)),2)="B:",LEFT(UPPER(TRIM(A100)),8)="BLOCKER:",LEFT(UPPER(TRIM(A100)),9)="BLOCKERS:",LEFT(UPPER(TRIM(A100)),8)="BLOCKED:"),"B",""))))</f>
      </c>
      <c r="E100" s="17">
        <f>IF(D100="","",TRIM(MID(A100,FIND(":",A100)+1,500)))</f>
      </c>
    </row>
    <row r="101">
      <c r="B101" s="17">
        <f>IF(A101="","",IF(COUNTIF(Roster[Name],IF(RIGHT(IF(LEFT(TRIM(A101),1)="[",TRIM(MID(TRIM(A101),FIND("]",TRIM(A101)&amp;"]")+1,200)),TRIM(A101)),1)=")",TRIM(LEFT(IF(LEFT(TRIM(A101),1)="[",TRIM(MID(TRIM(A101),FIND("]",TRIM(A101)&amp;"]")+1,200)),TRIM(A101)),FIND("(",IF(LEFT(TRIM(A101),1)="[",TRIM(MID(TRIM(A101),FIND("]",TRIM(A101)&amp;"]")+1,200)),TRIM(A101))&amp;"(")-1)),IF(LEFT(TRIM(A101),1)="[",TRIM(MID(TRIM(A101),FIND("]",TRIM(A101)&amp;"]")+1,200)),TRIM(A101))))&gt;0,IF(RIGHT(IF(LEFT(TRIM(A101),1)="[",TRIM(MID(TRIM(A101),FIND("]",TRIM(A101)&amp;"]")+1,200)),TRIM(A101)),1)=")",TRIM(LEFT(IF(LEFT(TRIM(A101),1)="[",TRIM(MID(TRIM(A101),FIND("]",TRIM(A101)&amp;"]")+1,200)),TRIM(A101)),FIND("(",IF(LEFT(TRIM(A101),1)="[",TRIM(MID(TRIM(A101),FIND("]",TRIM(A101)&amp;"]")+1,200)),TRIM(A101))&amp;"(")-1)),IF(LEFT(TRIM(A101),1)="[",TRIM(MID(TRIM(A101),FIND("]",TRIM(A101)&amp;"]")+1,200)),TRIM(A101))),""))</f>
      </c>
      <c r="C101" s="17">
        <f>IF(B101&lt;&gt;"",B101,C100)</f>
      </c>
      <c r="D101" s="17">
        <f>IF(A101="","",IF(OR(LEFT(UPPER(TRIM(A101)),2)="Y:",LEFT(UPPER(TRIM(A101)),10)="YESTERDAY:"),"Y",IF(OR(LEFT(UPPER(TRIM(A101)),2)="T:",LEFT(UPPER(TRIM(A101)),6)="TODAY:"),"T",IF(OR(LEFT(UPPER(TRIM(A101)),2)="B:",LEFT(UPPER(TRIM(A101)),8)="BLOCKER:",LEFT(UPPER(TRIM(A101)),9)="BLOCKERS:",LEFT(UPPER(TRIM(A101)),8)="BLOCKED:"),"B",""))))</f>
      </c>
      <c r="E101" s="17">
        <f>IF(D101="","",TRIM(MID(A101,FIND(":",A101)+1,500)))</f>
      </c>
    </row>
    <row r="102">
      <c r="B102" s="17">
        <f>IF(A102="","",IF(COUNTIF(Roster[Name],IF(RIGHT(IF(LEFT(TRIM(A102),1)="[",TRIM(MID(TRIM(A102),FIND("]",TRIM(A102)&amp;"]")+1,200)),TRIM(A102)),1)=")",TRIM(LEFT(IF(LEFT(TRIM(A102),1)="[",TRIM(MID(TRIM(A102),FIND("]",TRIM(A102)&amp;"]")+1,200)),TRIM(A102)),FIND("(",IF(LEFT(TRIM(A102),1)="[",TRIM(MID(TRIM(A102),FIND("]",TRIM(A102)&amp;"]")+1,200)),TRIM(A102))&amp;"(")-1)),IF(LEFT(TRIM(A102),1)="[",TRIM(MID(TRIM(A102),FIND("]",TRIM(A102)&amp;"]")+1,200)),TRIM(A102))))&gt;0,IF(RIGHT(IF(LEFT(TRIM(A102),1)="[",TRIM(MID(TRIM(A102),FIND("]",TRIM(A102)&amp;"]")+1,200)),TRIM(A102)),1)=")",TRIM(LEFT(IF(LEFT(TRIM(A102),1)="[",TRIM(MID(TRIM(A102),FIND("]",TRIM(A102)&amp;"]")+1,200)),TRIM(A102)),FIND("(",IF(LEFT(TRIM(A102),1)="[",TRIM(MID(TRIM(A102),FIND("]",TRIM(A102)&amp;"]")+1,200)),TRIM(A102))&amp;"(")-1)),IF(LEFT(TRIM(A102),1)="[",TRIM(MID(TRIM(A102),FIND("]",TRIM(A102)&amp;"]")+1,200)),TRIM(A102))),""))</f>
      </c>
      <c r="C102" s="17">
        <f>IF(B102&lt;&gt;"",B102,C101)</f>
      </c>
      <c r="D102" s="17">
        <f>IF(A102="","",IF(OR(LEFT(UPPER(TRIM(A102)),2)="Y:",LEFT(UPPER(TRIM(A102)),10)="YESTERDAY:"),"Y",IF(OR(LEFT(UPPER(TRIM(A102)),2)="T:",LEFT(UPPER(TRIM(A102)),6)="TODAY:"),"T",IF(OR(LEFT(UPPER(TRIM(A102)),2)="B:",LEFT(UPPER(TRIM(A102)),8)="BLOCKER:",LEFT(UPPER(TRIM(A102)),9)="BLOCKERS:",LEFT(UPPER(TRIM(A102)),8)="BLOCKED:"),"B",""))))</f>
      </c>
      <c r="E102" s="17">
        <f>IF(D102="","",TRIM(MID(A102,FIND(":",A102)+1,500)))</f>
      </c>
    </row>
    <row r="103">
      <c r="B103" s="17">
        <f>IF(A103="","",IF(COUNTIF(Roster[Name],IF(RIGHT(IF(LEFT(TRIM(A103),1)="[",TRIM(MID(TRIM(A103),FIND("]",TRIM(A103)&amp;"]")+1,200)),TRIM(A103)),1)=")",TRIM(LEFT(IF(LEFT(TRIM(A103),1)="[",TRIM(MID(TRIM(A103),FIND("]",TRIM(A103)&amp;"]")+1,200)),TRIM(A103)),FIND("(",IF(LEFT(TRIM(A103),1)="[",TRIM(MID(TRIM(A103),FIND("]",TRIM(A103)&amp;"]")+1,200)),TRIM(A103))&amp;"(")-1)),IF(LEFT(TRIM(A103),1)="[",TRIM(MID(TRIM(A103),FIND("]",TRIM(A103)&amp;"]")+1,200)),TRIM(A103))))&gt;0,IF(RIGHT(IF(LEFT(TRIM(A103),1)="[",TRIM(MID(TRIM(A103),FIND("]",TRIM(A103)&amp;"]")+1,200)),TRIM(A103)),1)=")",TRIM(LEFT(IF(LEFT(TRIM(A103),1)="[",TRIM(MID(TRIM(A103),FIND("]",TRIM(A103)&amp;"]")+1,200)),TRIM(A103)),FIND("(",IF(LEFT(TRIM(A103),1)="[",TRIM(MID(TRIM(A103),FIND("]",TRIM(A103)&amp;"]")+1,200)),TRIM(A103))&amp;"(")-1)),IF(LEFT(TRIM(A103),1)="[",TRIM(MID(TRIM(A103),FIND("]",TRIM(A103)&amp;"]")+1,200)),TRIM(A103))),""))</f>
      </c>
      <c r="C103" s="17">
        <f>IF(B103&lt;&gt;"",B103,C102)</f>
      </c>
      <c r="D103" s="17">
        <f>IF(A103="","",IF(OR(LEFT(UPPER(TRIM(A103)),2)="Y:",LEFT(UPPER(TRIM(A103)),10)="YESTERDAY:"),"Y",IF(OR(LEFT(UPPER(TRIM(A103)),2)="T:",LEFT(UPPER(TRIM(A103)),6)="TODAY:"),"T",IF(OR(LEFT(UPPER(TRIM(A103)),2)="B:",LEFT(UPPER(TRIM(A103)),8)="BLOCKER:",LEFT(UPPER(TRIM(A103)),9)="BLOCKERS:",LEFT(UPPER(TRIM(A103)),8)="BLOCKED:"),"B",""))))</f>
      </c>
      <c r="E103" s="17">
        <f>IF(D103="","",TRIM(MID(A103,FIND(":",A103)+1,500)))</f>
      </c>
    </row>
    <row r="104">
      <c r="B104" s="17">
        <f>IF(A104="","",IF(COUNTIF(Roster[Name],IF(RIGHT(IF(LEFT(TRIM(A104),1)="[",TRIM(MID(TRIM(A104),FIND("]",TRIM(A104)&amp;"]")+1,200)),TRIM(A104)),1)=")",TRIM(LEFT(IF(LEFT(TRIM(A104),1)="[",TRIM(MID(TRIM(A104),FIND("]",TRIM(A104)&amp;"]")+1,200)),TRIM(A104)),FIND("(",IF(LEFT(TRIM(A104),1)="[",TRIM(MID(TRIM(A104),FIND("]",TRIM(A104)&amp;"]")+1,200)),TRIM(A104))&amp;"(")-1)),IF(LEFT(TRIM(A104),1)="[",TRIM(MID(TRIM(A104),FIND("]",TRIM(A104)&amp;"]")+1,200)),TRIM(A104))))&gt;0,IF(RIGHT(IF(LEFT(TRIM(A104),1)="[",TRIM(MID(TRIM(A104),FIND("]",TRIM(A104)&amp;"]")+1,200)),TRIM(A104)),1)=")",TRIM(LEFT(IF(LEFT(TRIM(A104),1)="[",TRIM(MID(TRIM(A104),FIND("]",TRIM(A104)&amp;"]")+1,200)),TRIM(A104)),FIND("(",IF(LEFT(TRIM(A104),1)="[",TRIM(MID(TRIM(A104),FIND("]",TRIM(A104)&amp;"]")+1,200)),TRIM(A104))&amp;"(")-1)),IF(LEFT(TRIM(A104),1)="[",TRIM(MID(TRIM(A104),FIND("]",TRIM(A104)&amp;"]")+1,200)),TRIM(A104))),""))</f>
      </c>
      <c r="C104" s="17">
        <f>IF(B104&lt;&gt;"",B104,C103)</f>
      </c>
      <c r="D104" s="17">
        <f>IF(A104="","",IF(OR(LEFT(UPPER(TRIM(A104)),2)="Y:",LEFT(UPPER(TRIM(A104)),10)="YESTERDAY:"),"Y",IF(OR(LEFT(UPPER(TRIM(A104)),2)="T:",LEFT(UPPER(TRIM(A104)),6)="TODAY:"),"T",IF(OR(LEFT(UPPER(TRIM(A104)),2)="B:",LEFT(UPPER(TRIM(A104)),8)="BLOCKER:",LEFT(UPPER(TRIM(A104)),9)="BLOCKERS:",LEFT(UPPER(TRIM(A104)),8)="BLOCKED:"),"B",""))))</f>
      </c>
      <c r="E104" s="17">
        <f>IF(D104="","",TRIM(MID(A104,FIND(":",A104)+1,500)))</f>
      </c>
    </row>
    <row r="105">
      <c r="B105" s="17">
        <f>IF(A105="","",IF(COUNTIF(Roster[Name],IF(RIGHT(IF(LEFT(TRIM(A105),1)="[",TRIM(MID(TRIM(A105),FIND("]",TRIM(A105)&amp;"]")+1,200)),TRIM(A105)),1)=")",TRIM(LEFT(IF(LEFT(TRIM(A105),1)="[",TRIM(MID(TRIM(A105),FIND("]",TRIM(A105)&amp;"]")+1,200)),TRIM(A105)),FIND("(",IF(LEFT(TRIM(A105),1)="[",TRIM(MID(TRIM(A105),FIND("]",TRIM(A105)&amp;"]")+1,200)),TRIM(A105))&amp;"(")-1)),IF(LEFT(TRIM(A105),1)="[",TRIM(MID(TRIM(A105),FIND("]",TRIM(A105)&amp;"]")+1,200)),TRIM(A105))))&gt;0,IF(RIGHT(IF(LEFT(TRIM(A105),1)="[",TRIM(MID(TRIM(A105),FIND("]",TRIM(A105)&amp;"]")+1,200)),TRIM(A105)),1)=")",TRIM(LEFT(IF(LEFT(TRIM(A105),1)="[",TRIM(MID(TRIM(A105),FIND("]",TRIM(A105)&amp;"]")+1,200)),TRIM(A105)),FIND("(",IF(LEFT(TRIM(A105),1)="[",TRIM(MID(TRIM(A105),FIND("]",TRIM(A105)&amp;"]")+1,200)),TRIM(A105))&amp;"(")-1)),IF(LEFT(TRIM(A105),1)="[",TRIM(MID(TRIM(A105),FIND("]",TRIM(A105)&amp;"]")+1,200)),TRIM(A105))),""))</f>
      </c>
      <c r="C105" s="17">
        <f>IF(B105&lt;&gt;"",B105,C104)</f>
      </c>
      <c r="D105" s="17">
        <f>IF(A105="","",IF(OR(LEFT(UPPER(TRIM(A105)),2)="Y:",LEFT(UPPER(TRIM(A105)),10)="YESTERDAY:"),"Y",IF(OR(LEFT(UPPER(TRIM(A105)),2)="T:",LEFT(UPPER(TRIM(A105)),6)="TODAY:"),"T",IF(OR(LEFT(UPPER(TRIM(A105)),2)="B:",LEFT(UPPER(TRIM(A105)),8)="BLOCKER:",LEFT(UPPER(TRIM(A105)),9)="BLOCKERS:",LEFT(UPPER(TRIM(A105)),8)="BLOCKED:"),"B",""))))</f>
      </c>
      <c r="E105" s="17">
        <f>IF(D105="","",TRIM(MID(A105,FIND(":",A105)+1,500)))</f>
      </c>
    </row>
    <row r="106">
      <c r="B106" s="17">
        <f>IF(A106="","",IF(COUNTIF(Roster[Name],IF(RIGHT(IF(LEFT(TRIM(A106),1)="[",TRIM(MID(TRIM(A106),FIND("]",TRIM(A106)&amp;"]")+1,200)),TRIM(A106)),1)=")",TRIM(LEFT(IF(LEFT(TRIM(A106),1)="[",TRIM(MID(TRIM(A106),FIND("]",TRIM(A106)&amp;"]")+1,200)),TRIM(A106)),FIND("(",IF(LEFT(TRIM(A106),1)="[",TRIM(MID(TRIM(A106),FIND("]",TRIM(A106)&amp;"]")+1,200)),TRIM(A106))&amp;"(")-1)),IF(LEFT(TRIM(A106),1)="[",TRIM(MID(TRIM(A106),FIND("]",TRIM(A106)&amp;"]")+1,200)),TRIM(A106))))&gt;0,IF(RIGHT(IF(LEFT(TRIM(A106),1)="[",TRIM(MID(TRIM(A106),FIND("]",TRIM(A106)&amp;"]")+1,200)),TRIM(A106)),1)=")",TRIM(LEFT(IF(LEFT(TRIM(A106),1)="[",TRIM(MID(TRIM(A106),FIND("]",TRIM(A106)&amp;"]")+1,200)),TRIM(A106)),FIND("(",IF(LEFT(TRIM(A106),1)="[",TRIM(MID(TRIM(A106),FIND("]",TRIM(A106)&amp;"]")+1,200)),TRIM(A106))&amp;"(")-1)),IF(LEFT(TRIM(A106),1)="[",TRIM(MID(TRIM(A106),FIND("]",TRIM(A106)&amp;"]")+1,200)),TRIM(A106))),""))</f>
      </c>
      <c r="C106" s="17">
        <f>IF(B106&lt;&gt;"",B106,C105)</f>
      </c>
      <c r="D106" s="17">
        <f>IF(A106="","",IF(OR(LEFT(UPPER(TRIM(A106)),2)="Y:",LEFT(UPPER(TRIM(A106)),10)="YESTERDAY:"),"Y",IF(OR(LEFT(UPPER(TRIM(A106)),2)="T:",LEFT(UPPER(TRIM(A106)),6)="TODAY:"),"T",IF(OR(LEFT(UPPER(TRIM(A106)),2)="B:",LEFT(UPPER(TRIM(A106)),8)="BLOCKER:",LEFT(UPPER(TRIM(A106)),9)="BLOCKERS:",LEFT(UPPER(TRIM(A106)),8)="BLOCKED:"),"B",""))))</f>
      </c>
      <c r="E106" s="17">
        <f>IF(D106="","",TRIM(MID(A106,FIND(":",A106)+1,500)))</f>
      </c>
    </row>
    <row r="107">
      <c r="B107" s="17">
        <f>IF(A107="","",IF(COUNTIF(Roster[Name],IF(RIGHT(IF(LEFT(TRIM(A107),1)="[",TRIM(MID(TRIM(A107),FIND("]",TRIM(A107)&amp;"]")+1,200)),TRIM(A107)),1)=")",TRIM(LEFT(IF(LEFT(TRIM(A107),1)="[",TRIM(MID(TRIM(A107),FIND("]",TRIM(A107)&amp;"]")+1,200)),TRIM(A107)),FIND("(",IF(LEFT(TRIM(A107),1)="[",TRIM(MID(TRIM(A107),FIND("]",TRIM(A107)&amp;"]")+1,200)),TRIM(A107))&amp;"(")-1)),IF(LEFT(TRIM(A107),1)="[",TRIM(MID(TRIM(A107),FIND("]",TRIM(A107)&amp;"]")+1,200)),TRIM(A107))))&gt;0,IF(RIGHT(IF(LEFT(TRIM(A107),1)="[",TRIM(MID(TRIM(A107),FIND("]",TRIM(A107)&amp;"]")+1,200)),TRIM(A107)),1)=")",TRIM(LEFT(IF(LEFT(TRIM(A107),1)="[",TRIM(MID(TRIM(A107),FIND("]",TRIM(A107)&amp;"]")+1,200)),TRIM(A107)),FIND("(",IF(LEFT(TRIM(A107),1)="[",TRIM(MID(TRIM(A107),FIND("]",TRIM(A107)&amp;"]")+1,200)),TRIM(A107))&amp;"(")-1)),IF(LEFT(TRIM(A107),1)="[",TRIM(MID(TRIM(A107),FIND("]",TRIM(A107)&amp;"]")+1,200)),TRIM(A107))),""))</f>
      </c>
      <c r="C107" s="17">
        <f>IF(B107&lt;&gt;"",B107,C106)</f>
      </c>
      <c r="D107" s="17">
        <f>IF(A107="","",IF(OR(LEFT(UPPER(TRIM(A107)),2)="Y:",LEFT(UPPER(TRIM(A107)),10)="YESTERDAY:"),"Y",IF(OR(LEFT(UPPER(TRIM(A107)),2)="T:",LEFT(UPPER(TRIM(A107)),6)="TODAY:"),"T",IF(OR(LEFT(UPPER(TRIM(A107)),2)="B:",LEFT(UPPER(TRIM(A107)),8)="BLOCKER:",LEFT(UPPER(TRIM(A107)),9)="BLOCKERS:",LEFT(UPPER(TRIM(A107)),8)="BLOCKED:"),"B",""))))</f>
      </c>
      <c r="E107" s="17">
        <f>IF(D107="","",TRIM(MID(A107,FIND(":",A107)+1,500)))</f>
      </c>
    </row>
    <row r="108">
      <c r="B108" s="17">
        <f>IF(A108="","",IF(COUNTIF(Roster[Name],IF(RIGHT(IF(LEFT(TRIM(A108),1)="[",TRIM(MID(TRIM(A108),FIND("]",TRIM(A108)&amp;"]")+1,200)),TRIM(A108)),1)=")",TRIM(LEFT(IF(LEFT(TRIM(A108),1)="[",TRIM(MID(TRIM(A108),FIND("]",TRIM(A108)&amp;"]")+1,200)),TRIM(A108)),FIND("(",IF(LEFT(TRIM(A108),1)="[",TRIM(MID(TRIM(A108),FIND("]",TRIM(A108)&amp;"]")+1,200)),TRIM(A108))&amp;"(")-1)),IF(LEFT(TRIM(A108),1)="[",TRIM(MID(TRIM(A108),FIND("]",TRIM(A108)&amp;"]")+1,200)),TRIM(A108))))&gt;0,IF(RIGHT(IF(LEFT(TRIM(A108),1)="[",TRIM(MID(TRIM(A108),FIND("]",TRIM(A108)&amp;"]")+1,200)),TRIM(A108)),1)=")",TRIM(LEFT(IF(LEFT(TRIM(A108),1)="[",TRIM(MID(TRIM(A108),FIND("]",TRIM(A108)&amp;"]")+1,200)),TRIM(A108)),FIND("(",IF(LEFT(TRIM(A108),1)="[",TRIM(MID(TRIM(A108),FIND("]",TRIM(A108)&amp;"]")+1,200)),TRIM(A108))&amp;"(")-1)),IF(LEFT(TRIM(A108),1)="[",TRIM(MID(TRIM(A108),FIND("]",TRIM(A108)&amp;"]")+1,200)),TRIM(A108))),""))</f>
      </c>
      <c r="C108" s="17">
        <f>IF(B108&lt;&gt;"",B108,C107)</f>
      </c>
      <c r="D108" s="17">
        <f>IF(A108="","",IF(OR(LEFT(UPPER(TRIM(A108)),2)="Y:",LEFT(UPPER(TRIM(A108)),10)="YESTERDAY:"),"Y",IF(OR(LEFT(UPPER(TRIM(A108)),2)="T:",LEFT(UPPER(TRIM(A108)),6)="TODAY:"),"T",IF(OR(LEFT(UPPER(TRIM(A108)),2)="B:",LEFT(UPPER(TRIM(A108)),8)="BLOCKER:",LEFT(UPPER(TRIM(A108)),9)="BLOCKERS:",LEFT(UPPER(TRIM(A108)),8)="BLOCKED:"),"B",""))))</f>
      </c>
      <c r="E108" s="17">
        <f>IF(D108="","",TRIM(MID(A108,FIND(":",A108)+1,500)))</f>
      </c>
    </row>
    <row r="109">
      <c r="B109" s="17">
        <f>IF(A109="","",IF(COUNTIF(Roster[Name],IF(RIGHT(IF(LEFT(TRIM(A109),1)="[",TRIM(MID(TRIM(A109),FIND("]",TRIM(A109)&amp;"]")+1,200)),TRIM(A109)),1)=")",TRIM(LEFT(IF(LEFT(TRIM(A109),1)="[",TRIM(MID(TRIM(A109),FIND("]",TRIM(A109)&amp;"]")+1,200)),TRIM(A109)),FIND("(",IF(LEFT(TRIM(A109),1)="[",TRIM(MID(TRIM(A109),FIND("]",TRIM(A109)&amp;"]")+1,200)),TRIM(A109))&amp;"(")-1)),IF(LEFT(TRIM(A109),1)="[",TRIM(MID(TRIM(A109),FIND("]",TRIM(A109)&amp;"]")+1,200)),TRIM(A109))))&gt;0,IF(RIGHT(IF(LEFT(TRIM(A109),1)="[",TRIM(MID(TRIM(A109),FIND("]",TRIM(A109)&amp;"]")+1,200)),TRIM(A109)),1)=")",TRIM(LEFT(IF(LEFT(TRIM(A109),1)="[",TRIM(MID(TRIM(A109),FIND("]",TRIM(A109)&amp;"]")+1,200)),TRIM(A109)),FIND("(",IF(LEFT(TRIM(A109),1)="[",TRIM(MID(TRIM(A109),FIND("]",TRIM(A109)&amp;"]")+1,200)),TRIM(A109))&amp;"(")-1)),IF(LEFT(TRIM(A109),1)="[",TRIM(MID(TRIM(A109),FIND("]",TRIM(A109)&amp;"]")+1,200)),TRIM(A109))),""))</f>
      </c>
      <c r="C109" s="17">
        <f>IF(B109&lt;&gt;"",B109,C108)</f>
      </c>
      <c r="D109" s="17">
        <f>IF(A109="","",IF(OR(LEFT(UPPER(TRIM(A109)),2)="Y:",LEFT(UPPER(TRIM(A109)),10)="YESTERDAY:"),"Y",IF(OR(LEFT(UPPER(TRIM(A109)),2)="T:",LEFT(UPPER(TRIM(A109)),6)="TODAY:"),"T",IF(OR(LEFT(UPPER(TRIM(A109)),2)="B:",LEFT(UPPER(TRIM(A109)),8)="BLOCKER:",LEFT(UPPER(TRIM(A109)),9)="BLOCKERS:",LEFT(UPPER(TRIM(A109)),8)="BLOCKED:"),"B",""))))</f>
      </c>
      <c r="E109" s="17">
        <f>IF(D109="","",TRIM(MID(A109,FIND(":",A109)+1,500)))</f>
      </c>
    </row>
    <row r="110">
      <c r="B110" s="17">
        <f>IF(A110="","",IF(COUNTIF(Roster[Name],IF(RIGHT(IF(LEFT(TRIM(A110),1)="[",TRIM(MID(TRIM(A110),FIND("]",TRIM(A110)&amp;"]")+1,200)),TRIM(A110)),1)=")",TRIM(LEFT(IF(LEFT(TRIM(A110),1)="[",TRIM(MID(TRIM(A110),FIND("]",TRIM(A110)&amp;"]")+1,200)),TRIM(A110)),FIND("(",IF(LEFT(TRIM(A110),1)="[",TRIM(MID(TRIM(A110),FIND("]",TRIM(A110)&amp;"]")+1,200)),TRIM(A110))&amp;"(")-1)),IF(LEFT(TRIM(A110),1)="[",TRIM(MID(TRIM(A110),FIND("]",TRIM(A110)&amp;"]")+1,200)),TRIM(A110))))&gt;0,IF(RIGHT(IF(LEFT(TRIM(A110),1)="[",TRIM(MID(TRIM(A110),FIND("]",TRIM(A110)&amp;"]")+1,200)),TRIM(A110)),1)=")",TRIM(LEFT(IF(LEFT(TRIM(A110),1)="[",TRIM(MID(TRIM(A110),FIND("]",TRIM(A110)&amp;"]")+1,200)),TRIM(A110)),FIND("(",IF(LEFT(TRIM(A110),1)="[",TRIM(MID(TRIM(A110),FIND("]",TRIM(A110)&amp;"]")+1,200)),TRIM(A110))&amp;"(")-1)),IF(LEFT(TRIM(A110),1)="[",TRIM(MID(TRIM(A110),FIND("]",TRIM(A110)&amp;"]")+1,200)),TRIM(A110))),""))</f>
      </c>
      <c r="C110" s="17">
        <f>IF(B110&lt;&gt;"",B110,C109)</f>
      </c>
      <c r="D110" s="17">
        <f>IF(A110="","",IF(OR(LEFT(UPPER(TRIM(A110)),2)="Y:",LEFT(UPPER(TRIM(A110)),10)="YESTERDAY:"),"Y",IF(OR(LEFT(UPPER(TRIM(A110)),2)="T:",LEFT(UPPER(TRIM(A110)),6)="TODAY:"),"T",IF(OR(LEFT(UPPER(TRIM(A110)),2)="B:",LEFT(UPPER(TRIM(A110)),8)="BLOCKER:",LEFT(UPPER(TRIM(A110)),9)="BLOCKERS:",LEFT(UPPER(TRIM(A110)),8)="BLOCKED:"),"B",""))))</f>
      </c>
      <c r="E110" s="17">
        <f>IF(D110="","",TRIM(MID(A110,FIND(":",A110)+1,500)))</f>
      </c>
    </row>
    <row r="111">
      <c r="B111" s="17">
        <f>IF(A111="","",IF(COUNTIF(Roster[Name],IF(RIGHT(IF(LEFT(TRIM(A111),1)="[",TRIM(MID(TRIM(A111),FIND("]",TRIM(A111)&amp;"]")+1,200)),TRIM(A111)),1)=")",TRIM(LEFT(IF(LEFT(TRIM(A111),1)="[",TRIM(MID(TRIM(A111),FIND("]",TRIM(A111)&amp;"]")+1,200)),TRIM(A111)),FIND("(",IF(LEFT(TRIM(A111),1)="[",TRIM(MID(TRIM(A111),FIND("]",TRIM(A111)&amp;"]")+1,200)),TRIM(A111))&amp;"(")-1)),IF(LEFT(TRIM(A111),1)="[",TRIM(MID(TRIM(A111),FIND("]",TRIM(A111)&amp;"]")+1,200)),TRIM(A111))))&gt;0,IF(RIGHT(IF(LEFT(TRIM(A111),1)="[",TRIM(MID(TRIM(A111),FIND("]",TRIM(A111)&amp;"]")+1,200)),TRIM(A111)),1)=")",TRIM(LEFT(IF(LEFT(TRIM(A111),1)="[",TRIM(MID(TRIM(A111),FIND("]",TRIM(A111)&amp;"]")+1,200)),TRIM(A111)),FIND("(",IF(LEFT(TRIM(A111),1)="[",TRIM(MID(TRIM(A111),FIND("]",TRIM(A111)&amp;"]")+1,200)),TRIM(A111))&amp;"(")-1)),IF(LEFT(TRIM(A111),1)="[",TRIM(MID(TRIM(A111),FIND("]",TRIM(A111)&amp;"]")+1,200)),TRIM(A111))),""))</f>
      </c>
      <c r="C111" s="17">
        <f>IF(B111&lt;&gt;"",B111,C110)</f>
      </c>
      <c r="D111" s="17">
        <f>IF(A111="","",IF(OR(LEFT(UPPER(TRIM(A111)),2)="Y:",LEFT(UPPER(TRIM(A111)),10)="YESTERDAY:"),"Y",IF(OR(LEFT(UPPER(TRIM(A111)),2)="T:",LEFT(UPPER(TRIM(A111)),6)="TODAY:"),"T",IF(OR(LEFT(UPPER(TRIM(A111)),2)="B:",LEFT(UPPER(TRIM(A111)),8)="BLOCKER:",LEFT(UPPER(TRIM(A111)),9)="BLOCKERS:",LEFT(UPPER(TRIM(A111)),8)="BLOCKED:"),"B",""))))</f>
      </c>
      <c r="E111" s="17">
        <f>IF(D111="","",TRIM(MID(A111,FIND(":",A111)+1,500)))</f>
      </c>
    </row>
    <row r="112">
      <c r="B112" s="17">
        <f>IF(A112="","",IF(COUNTIF(Roster[Name],IF(RIGHT(IF(LEFT(TRIM(A112),1)="[",TRIM(MID(TRIM(A112),FIND("]",TRIM(A112)&amp;"]")+1,200)),TRIM(A112)),1)=")",TRIM(LEFT(IF(LEFT(TRIM(A112),1)="[",TRIM(MID(TRIM(A112),FIND("]",TRIM(A112)&amp;"]")+1,200)),TRIM(A112)),FIND("(",IF(LEFT(TRIM(A112),1)="[",TRIM(MID(TRIM(A112),FIND("]",TRIM(A112)&amp;"]")+1,200)),TRIM(A112))&amp;"(")-1)),IF(LEFT(TRIM(A112),1)="[",TRIM(MID(TRIM(A112),FIND("]",TRIM(A112)&amp;"]")+1,200)),TRIM(A112))))&gt;0,IF(RIGHT(IF(LEFT(TRIM(A112),1)="[",TRIM(MID(TRIM(A112),FIND("]",TRIM(A112)&amp;"]")+1,200)),TRIM(A112)),1)=")",TRIM(LEFT(IF(LEFT(TRIM(A112),1)="[",TRIM(MID(TRIM(A112),FIND("]",TRIM(A112)&amp;"]")+1,200)),TRIM(A112)),FIND("(",IF(LEFT(TRIM(A112),1)="[",TRIM(MID(TRIM(A112),FIND("]",TRIM(A112)&amp;"]")+1,200)),TRIM(A112))&amp;"(")-1)),IF(LEFT(TRIM(A112),1)="[",TRIM(MID(TRIM(A112),FIND("]",TRIM(A112)&amp;"]")+1,200)),TRIM(A112))),""))</f>
      </c>
      <c r="C112" s="17">
        <f>IF(B112&lt;&gt;"",B112,C111)</f>
      </c>
      <c r="D112" s="17">
        <f>IF(A112="","",IF(OR(LEFT(UPPER(TRIM(A112)),2)="Y:",LEFT(UPPER(TRIM(A112)),10)="YESTERDAY:"),"Y",IF(OR(LEFT(UPPER(TRIM(A112)),2)="T:",LEFT(UPPER(TRIM(A112)),6)="TODAY:"),"T",IF(OR(LEFT(UPPER(TRIM(A112)),2)="B:",LEFT(UPPER(TRIM(A112)),8)="BLOCKER:",LEFT(UPPER(TRIM(A112)),9)="BLOCKERS:",LEFT(UPPER(TRIM(A112)),8)="BLOCKED:"),"B",""))))</f>
      </c>
      <c r="E112" s="17">
        <f>IF(D112="","",TRIM(MID(A112,FIND(":",A112)+1,500)))</f>
      </c>
    </row>
    <row r="113">
      <c r="B113" s="17">
        <f>IF(A113="","",IF(COUNTIF(Roster[Name],IF(RIGHT(IF(LEFT(TRIM(A113),1)="[",TRIM(MID(TRIM(A113),FIND("]",TRIM(A113)&amp;"]")+1,200)),TRIM(A113)),1)=")",TRIM(LEFT(IF(LEFT(TRIM(A113),1)="[",TRIM(MID(TRIM(A113),FIND("]",TRIM(A113)&amp;"]")+1,200)),TRIM(A113)),FIND("(",IF(LEFT(TRIM(A113),1)="[",TRIM(MID(TRIM(A113),FIND("]",TRIM(A113)&amp;"]")+1,200)),TRIM(A113))&amp;"(")-1)),IF(LEFT(TRIM(A113),1)="[",TRIM(MID(TRIM(A113),FIND("]",TRIM(A113)&amp;"]")+1,200)),TRIM(A113))))&gt;0,IF(RIGHT(IF(LEFT(TRIM(A113),1)="[",TRIM(MID(TRIM(A113),FIND("]",TRIM(A113)&amp;"]")+1,200)),TRIM(A113)),1)=")",TRIM(LEFT(IF(LEFT(TRIM(A113),1)="[",TRIM(MID(TRIM(A113),FIND("]",TRIM(A113)&amp;"]")+1,200)),TRIM(A113)),FIND("(",IF(LEFT(TRIM(A113),1)="[",TRIM(MID(TRIM(A113),FIND("]",TRIM(A113)&amp;"]")+1,200)),TRIM(A113))&amp;"(")-1)),IF(LEFT(TRIM(A113),1)="[",TRIM(MID(TRIM(A113),FIND("]",TRIM(A113)&amp;"]")+1,200)),TRIM(A113))),""))</f>
      </c>
      <c r="C113" s="17">
        <f>IF(B113&lt;&gt;"",B113,C112)</f>
      </c>
      <c r="D113" s="17">
        <f>IF(A113="","",IF(OR(LEFT(UPPER(TRIM(A113)),2)="Y:",LEFT(UPPER(TRIM(A113)),10)="YESTERDAY:"),"Y",IF(OR(LEFT(UPPER(TRIM(A113)),2)="T:",LEFT(UPPER(TRIM(A113)),6)="TODAY:"),"T",IF(OR(LEFT(UPPER(TRIM(A113)),2)="B:",LEFT(UPPER(TRIM(A113)),8)="BLOCKER:",LEFT(UPPER(TRIM(A113)),9)="BLOCKERS:",LEFT(UPPER(TRIM(A113)),8)="BLOCKED:"),"B",""))))</f>
      </c>
      <c r="E113" s="17">
        <f>IF(D113="","",TRIM(MID(A113,FIND(":",A113)+1,500)))</f>
      </c>
    </row>
    <row r="114">
      <c r="B114" s="17">
        <f>IF(A114="","",IF(COUNTIF(Roster[Name],IF(RIGHT(IF(LEFT(TRIM(A114),1)="[",TRIM(MID(TRIM(A114),FIND("]",TRIM(A114)&amp;"]")+1,200)),TRIM(A114)),1)=")",TRIM(LEFT(IF(LEFT(TRIM(A114),1)="[",TRIM(MID(TRIM(A114),FIND("]",TRIM(A114)&amp;"]")+1,200)),TRIM(A114)),FIND("(",IF(LEFT(TRIM(A114),1)="[",TRIM(MID(TRIM(A114),FIND("]",TRIM(A114)&amp;"]")+1,200)),TRIM(A114))&amp;"(")-1)),IF(LEFT(TRIM(A114),1)="[",TRIM(MID(TRIM(A114),FIND("]",TRIM(A114)&amp;"]")+1,200)),TRIM(A114))))&gt;0,IF(RIGHT(IF(LEFT(TRIM(A114),1)="[",TRIM(MID(TRIM(A114),FIND("]",TRIM(A114)&amp;"]")+1,200)),TRIM(A114)),1)=")",TRIM(LEFT(IF(LEFT(TRIM(A114),1)="[",TRIM(MID(TRIM(A114),FIND("]",TRIM(A114)&amp;"]")+1,200)),TRIM(A114)),FIND("(",IF(LEFT(TRIM(A114),1)="[",TRIM(MID(TRIM(A114),FIND("]",TRIM(A114)&amp;"]")+1,200)),TRIM(A114))&amp;"(")-1)),IF(LEFT(TRIM(A114),1)="[",TRIM(MID(TRIM(A114),FIND("]",TRIM(A114)&amp;"]")+1,200)),TRIM(A114))),""))</f>
      </c>
      <c r="C114" s="17">
        <f>IF(B114&lt;&gt;"",B114,C113)</f>
      </c>
      <c r="D114" s="17">
        <f>IF(A114="","",IF(OR(LEFT(UPPER(TRIM(A114)),2)="Y:",LEFT(UPPER(TRIM(A114)),10)="YESTERDAY:"),"Y",IF(OR(LEFT(UPPER(TRIM(A114)),2)="T:",LEFT(UPPER(TRIM(A114)),6)="TODAY:"),"T",IF(OR(LEFT(UPPER(TRIM(A114)),2)="B:",LEFT(UPPER(TRIM(A114)),8)="BLOCKER:",LEFT(UPPER(TRIM(A114)),9)="BLOCKERS:",LEFT(UPPER(TRIM(A114)),8)="BLOCKED:"),"B",""))))</f>
      </c>
      <c r="E114" s="17">
        <f>IF(D114="","",TRIM(MID(A114,FIND(":",A114)+1,500)))</f>
      </c>
    </row>
    <row r="115">
      <c r="B115" s="17">
        <f>IF(A115="","",IF(COUNTIF(Roster[Name],IF(RIGHT(IF(LEFT(TRIM(A115),1)="[",TRIM(MID(TRIM(A115),FIND("]",TRIM(A115)&amp;"]")+1,200)),TRIM(A115)),1)=")",TRIM(LEFT(IF(LEFT(TRIM(A115),1)="[",TRIM(MID(TRIM(A115),FIND("]",TRIM(A115)&amp;"]")+1,200)),TRIM(A115)),FIND("(",IF(LEFT(TRIM(A115),1)="[",TRIM(MID(TRIM(A115),FIND("]",TRIM(A115)&amp;"]")+1,200)),TRIM(A115))&amp;"(")-1)),IF(LEFT(TRIM(A115),1)="[",TRIM(MID(TRIM(A115),FIND("]",TRIM(A115)&amp;"]")+1,200)),TRIM(A115))))&gt;0,IF(RIGHT(IF(LEFT(TRIM(A115),1)="[",TRIM(MID(TRIM(A115),FIND("]",TRIM(A115)&amp;"]")+1,200)),TRIM(A115)),1)=")",TRIM(LEFT(IF(LEFT(TRIM(A115),1)="[",TRIM(MID(TRIM(A115),FIND("]",TRIM(A115)&amp;"]")+1,200)),TRIM(A115)),FIND("(",IF(LEFT(TRIM(A115),1)="[",TRIM(MID(TRIM(A115),FIND("]",TRIM(A115)&amp;"]")+1,200)),TRIM(A115))&amp;"(")-1)),IF(LEFT(TRIM(A115),1)="[",TRIM(MID(TRIM(A115),FIND("]",TRIM(A115)&amp;"]")+1,200)),TRIM(A115))),""))</f>
      </c>
      <c r="C115" s="17">
        <f>IF(B115&lt;&gt;"",B115,C114)</f>
      </c>
      <c r="D115" s="17">
        <f>IF(A115="","",IF(OR(LEFT(UPPER(TRIM(A115)),2)="Y:",LEFT(UPPER(TRIM(A115)),10)="YESTERDAY:"),"Y",IF(OR(LEFT(UPPER(TRIM(A115)),2)="T:",LEFT(UPPER(TRIM(A115)),6)="TODAY:"),"T",IF(OR(LEFT(UPPER(TRIM(A115)),2)="B:",LEFT(UPPER(TRIM(A115)),8)="BLOCKER:",LEFT(UPPER(TRIM(A115)),9)="BLOCKERS:",LEFT(UPPER(TRIM(A115)),8)="BLOCKED:"),"B",""))))</f>
      </c>
      <c r="E115" s="17">
        <f>IF(D115="","",TRIM(MID(A115,FIND(":",A115)+1,500)))</f>
      </c>
    </row>
    <row r="116">
      <c r="B116" s="17">
        <f>IF(A116="","",IF(COUNTIF(Roster[Name],IF(RIGHT(IF(LEFT(TRIM(A116),1)="[",TRIM(MID(TRIM(A116),FIND("]",TRIM(A116)&amp;"]")+1,200)),TRIM(A116)),1)=")",TRIM(LEFT(IF(LEFT(TRIM(A116),1)="[",TRIM(MID(TRIM(A116),FIND("]",TRIM(A116)&amp;"]")+1,200)),TRIM(A116)),FIND("(",IF(LEFT(TRIM(A116),1)="[",TRIM(MID(TRIM(A116),FIND("]",TRIM(A116)&amp;"]")+1,200)),TRIM(A116))&amp;"(")-1)),IF(LEFT(TRIM(A116),1)="[",TRIM(MID(TRIM(A116),FIND("]",TRIM(A116)&amp;"]")+1,200)),TRIM(A116))))&gt;0,IF(RIGHT(IF(LEFT(TRIM(A116),1)="[",TRIM(MID(TRIM(A116),FIND("]",TRIM(A116)&amp;"]")+1,200)),TRIM(A116)),1)=")",TRIM(LEFT(IF(LEFT(TRIM(A116),1)="[",TRIM(MID(TRIM(A116),FIND("]",TRIM(A116)&amp;"]")+1,200)),TRIM(A116)),FIND("(",IF(LEFT(TRIM(A116),1)="[",TRIM(MID(TRIM(A116),FIND("]",TRIM(A116)&amp;"]")+1,200)),TRIM(A116))&amp;"(")-1)),IF(LEFT(TRIM(A116),1)="[",TRIM(MID(TRIM(A116),FIND("]",TRIM(A116)&amp;"]")+1,200)),TRIM(A116))),""))</f>
      </c>
      <c r="C116" s="17">
        <f>IF(B116&lt;&gt;"",B116,C115)</f>
      </c>
      <c r="D116" s="17">
        <f>IF(A116="","",IF(OR(LEFT(UPPER(TRIM(A116)),2)="Y:",LEFT(UPPER(TRIM(A116)),10)="YESTERDAY:"),"Y",IF(OR(LEFT(UPPER(TRIM(A116)),2)="T:",LEFT(UPPER(TRIM(A116)),6)="TODAY:"),"T",IF(OR(LEFT(UPPER(TRIM(A116)),2)="B:",LEFT(UPPER(TRIM(A116)),8)="BLOCKER:",LEFT(UPPER(TRIM(A116)),9)="BLOCKERS:",LEFT(UPPER(TRIM(A116)),8)="BLOCKED:"),"B",""))))</f>
      </c>
      <c r="E116" s="17">
        <f>IF(D116="","",TRIM(MID(A116,FIND(":",A116)+1,500)))</f>
      </c>
    </row>
    <row r="117">
      <c r="B117" s="17">
        <f>IF(A117="","",IF(COUNTIF(Roster[Name],IF(RIGHT(IF(LEFT(TRIM(A117),1)="[",TRIM(MID(TRIM(A117),FIND("]",TRIM(A117)&amp;"]")+1,200)),TRIM(A117)),1)=")",TRIM(LEFT(IF(LEFT(TRIM(A117),1)="[",TRIM(MID(TRIM(A117),FIND("]",TRIM(A117)&amp;"]")+1,200)),TRIM(A117)),FIND("(",IF(LEFT(TRIM(A117),1)="[",TRIM(MID(TRIM(A117),FIND("]",TRIM(A117)&amp;"]")+1,200)),TRIM(A117))&amp;"(")-1)),IF(LEFT(TRIM(A117),1)="[",TRIM(MID(TRIM(A117),FIND("]",TRIM(A117)&amp;"]")+1,200)),TRIM(A117))))&gt;0,IF(RIGHT(IF(LEFT(TRIM(A117),1)="[",TRIM(MID(TRIM(A117),FIND("]",TRIM(A117)&amp;"]")+1,200)),TRIM(A117)),1)=")",TRIM(LEFT(IF(LEFT(TRIM(A117),1)="[",TRIM(MID(TRIM(A117),FIND("]",TRIM(A117)&amp;"]")+1,200)),TRIM(A117)),FIND("(",IF(LEFT(TRIM(A117),1)="[",TRIM(MID(TRIM(A117),FIND("]",TRIM(A117)&amp;"]")+1,200)),TRIM(A117))&amp;"(")-1)),IF(LEFT(TRIM(A117),1)="[",TRIM(MID(TRIM(A117),FIND("]",TRIM(A117)&amp;"]")+1,200)),TRIM(A117))),""))</f>
      </c>
      <c r="C117" s="17">
        <f>IF(B117&lt;&gt;"",B117,C116)</f>
      </c>
      <c r="D117" s="17">
        <f>IF(A117="","",IF(OR(LEFT(UPPER(TRIM(A117)),2)="Y:",LEFT(UPPER(TRIM(A117)),10)="YESTERDAY:"),"Y",IF(OR(LEFT(UPPER(TRIM(A117)),2)="T:",LEFT(UPPER(TRIM(A117)),6)="TODAY:"),"T",IF(OR(LEFT(UPPER(TRIM(A117)),2)="B:",LEFT(UPPER(TRIM(A117)),8)="BLOCKER:",LEFT(UPPER(TRIM(A117)),9)="BLOCKERS:",LEFT(UPPER(TRIM(A117)),8)="BLOCKED:"),"B",""))))</f>
      </c>
      <c r="E117" s="17">
        <f>IF(D117="","",TRIM(MID(A117,FIND(":",A117)+1,500)))</f>
      </c>
    </row>
    <row r="118">
      <c r="B118" s="17">
        <f>IF(A118="","",IF(COUNTIF(Roster[Name],IF(RIGHT(IF(LEFT(TRIM(A118),1)="[",TRIM(MID(TRIM(A118),FIND("]",TRIM(A118)&amp;"]")+1,200)),TRIM(A118)),1)=")",TRIM(LEFT(IF(LEFT(TRIM(A118),1)="[",TRIM(MID(TRIM(A118),FIND("]",TRIM(A118)&amp;"]")+1,200)),TRIM(A118)),FIND("(",IF(LEFT(TRIM(A118),1)="[",TRIM(MID(TRIM(A118),FIND("]",TRIM(A118)&amp;"]")+1,200)),TRIM(A118))&amp;"(")-1)),IF(LEFT(TRIM(A118),1)="[",TRIM(MID(TRIM(A118),FIND("]",TRIM(A118)&amp;"]")+1,200)),TRIM(A118))))&gt;0,IF(RIGHT(IF(LEFT(TRIM(A118),1)="[",TRIM(MID(TRIM(A118),FIND("]",TRIM(A118)&amp;"]")+1,200)),TRIM(A118)),1)=")",TRIM(LEFT(IF(LEFT(TRIM(A118),1)="[",TRIM(MID(TRIM(A118),FIND("]",TRIM(A118)&amp;"]")+1,200)),TRIM(A118)),FIND("(",IF(LEFT(TRIM(A118),1)="[",TRIM(MID(TRIM(A118),FIND("]",TRIM(A118)&amp;"]")+1,200)),TRIM(A118))&amp;"(")-1)),IF(LEFT(TRIM(A118),1)="[",TRIM(MID(TRIM(A118),FIND("]",TRIM(A118)&amp;"]")+1,200)),TRIM(A118))),""))</f>
      </c>
      <c r="C118" s="17">
        <f>IF(B118&lt;&gt;"",B118,C117)</f>
      </c>
      <c r="D118" s="17">
        <f>IF(A118="","",IF(OR(LEFT(UPPER(TRIM(A118)),2)="Y:",LEFT(UPPER(TRIM(A118)),10)="YESTERDAY:"),"Y",IF(OR(LEFT(UPPER(TRIM(A118)),2)="T:",LEFT(UPPER(TRIM(A118)),6)="TODAY:"),"T",IF(OR(LEFT(UPPER(TRIM(A118)),2)="B:",LEFT(UPPER(TRIM(A118)),8)="BLOCKER:",LEFT(UPPER(TRIM(A118)),9)="BLOCKERS:",LEFT(UPPER(TRIM(A118)),8)="BLOCKED:"),"B",""))))</f>
      </c>
      <c r="E118" s="17">
        <f>IF(D118="","",TRIM(MID(A118,FIND(":",A118)+1,500)))</f>
      </c>
    </row>
    <row r="119">
      <c r="B119" s="17">
        <f>IF(A119="","",IF(COUNTIF(Roster[Name],IF(RIGHT(IF(LEFT(TRIM(A119),1)="[",TRIM(MID(TRIM(A119),FIND("]",TRIM(A119)&amp;"]")+1,200)),TRIM(A119)),1)=")",TRIM(LEFT(IF(LEFT(TRIM(A119),1)="[",TRIM(MID(TRIM(A119),FIND("]",TRIM(A119)&amp;"]")+1,200)),TRIM(A119)),FIND("(",IF(LEFT(TRIM(A119),1)="[",TRIM(MID(TRIM(A119),FIND("]",TRIM(A119)&amp;"]")+1,200)),TRIM(A119))&amp;"(")-1)),IF(LEFT(TRIM(A119),1)="[",TRIM(MID(TRIM(A119),FIND("]",TRIM(A119)&amp;"]")+1,200)),TRIM(A119))))&gt;0,IF(RIGHT(IF(LEFT(TRIM(A119),1)="[",TRIM(MID(TRIM(A119),FIND("]",TRIM(A119)&amp;"]")+1,200)),TRIM(A119)),1)=")",TRIM(LEFT(IF(LEFT(TRIM(A119),1)="[",TRIM(MID(TRIM(A119),FIND("]",TRIM(A119)&amp;"]")+1,200)),TRIM(A119)),FIND("(",IF(LEFT(TRIM(A119),1)="[",TRIM(MID(TRIM(A119),FIND("]",TRIM(A119)&amp;"]")+1,200)),TRIM(A119))&amp;"(")-1)),IF(LEFT(TRIM(A119),1)="[",TRIM(MID(TRIM(A119),FIND("]",TRIM(A119)&amp;"]")+1,200)),TRIM(A119))),""))</f>
      </c>
      <c r="C119" s="17">
        <f>IF(B119&lt;&gt;"",B119,C118)</f>
      </c>
      <c r="D119" s="17">
        <f>IF(A119="","",IF(OR(LEFT(UPPER(TRIM(A119)),2)="Y:",LEFT(UPPER(TRIM(A119)),10)="YESTERDAY:"),"Y",IF(OR(LEFT(UPPER(TRIM(A119)),2)="T:",LEFT(UPPER(TRIM(A119)),6)="TODAY:"),"T",IF(OR(LEFT(UPPER(TRIM(A119)),2)="B:",LEFT(UPPER(TRIM(A119)),8)="BLOCKER:",LEFT(UPPER(TRIM(A119)),9)="BLOCKERS:",LEFT(UPPER(TRIM(A119)),8)="BLOCKED:"),"B",""))))</f>
      </c>
      <c r="E119" s="17">
        <f>IF(D119="","",TRIM(MID(A119,FIND(":",A119)+1,500)))</f>
      </c>
    </row>
    <row r="120">
      <c r="B120" s="17">
        <f>IF(A120="","",IF(COUNTIF(Roster[Name],IF(RIGHT(IF(LEFT(TRIM(A120),1)="[",TRIM(MID(TRIM(A120),FIND("]",TRIM(A120)&amp;"]")+1,200)),TRIM(A120)),1)=")",TRIM(LEFT(IF(LEFT(TRIM(A120),1)="[",TRIM(MID(TRIM(A120),FIND("]",TRIM(A120)&amp;"]")+1,200)),TRIM(A120)),FIND("(",IF(LEFT(TRIM(A120),1)="[",TRIM(MID(TRIM(A120),FIND("]",TRIM(A120)&amp;"]")+1,200)),TRIM(A120))&amp;"(")-1)),IF(LEFT(TRIM(A120),1)="[",TRIM(MID(TRIM(A120),FIND("]",TRIM(A120)&amp;"]")+1,200)),TRIM(A120))))&gt;0,IF(RIGHT(IF(LEFT(TRIM(A120),1)="[",TRIM(MID(TRIM(A120),FIND("]",TRIM(A120)&amp;"]")+1,200)),TRIM(A120)),1)=")",TRIM(LEFT(IF(LEFT(TRIM(A120),1)="[",TRIM(MID(TRIM(A120),FIND("]",TRIM(A120)&amp;"]")+1,200)),TRIM(A120)),FIND("(",IF(LEFT(TRIM(A120),1)="[",TRIM(MID(TRIM(A120),FIND("]",TRIM(A120)&amp;"]")+1,200)),TRIM(A120))&amp;"(")-1)),IF(LEFT(TRIM(A120),1)="[",TRIM(MID(TRIM(A120),FIND("]",TRIM(A120)&amp;"]")+1,200)),TRIM(A120))),""))</f>
      </c>
      <c r="C120" s="17">
        <f>IF(B120&lt;&gt;"",B120,C119)</f>
      </c>
      <c r="D120" s="17">
        <f>IF(A120="","",IF(OR(LEFT(UPPER(TRIM(A120)),2)="Y:",LEFT(UPPER(TRIM(A120)),10)="YESTERDAY:"),"Y",IF(OR(LEFT(UPPER(TRIM(A120)),2)="T:",LEFT(UPPER(TRIM(A120)),6)="TODAY:"),"T",IF(OR(LEFT(UPPER(TRIM(A120)),2)="B:",LEFT(UPPER(TRIM(A120)),8)="BLOCKER:",LEFT(UPPER(TRIM(A120)),9)="BLOCKERS:",LEFT(UPPER(TRIM(A120)),8)="BLOCKED:"),"B",""))))</f>
      </c>
      <c r="E120" s="17">
        <f>IF(D120="","",TRIM(MID(A120,FIND(":",A120)+1,500)))</f>
      </c>
    </row>
    <row r="121">
      <c r="B121" s="17">
        <f>IF(A121="","",IF(COUNTIF(Roster[Name],IF(RIGHT(IF(LEFT(TRIM(A121),1)="[",TRIM(MID(TRIM(A121),FIND("]",TRIM(A121)&amp;"]")+1,200)),TRIM(A121)),1)=")",TRIM(LEFT(IF(LEFT(TRIM(A121),1)="[",TRIM(MID(TRIM(A121),FIND("]",TRIM(A121)&amp;"]")+1,200)),TRIM(A121)),FIND("(",IF(LEFT(TRIM(A121),1)="[",TRIM(MID(TRIM(A121),FIND("]",TRIM(A121)&amp;"]")+1,200)),TRIM(A121))&amp;"(")-1)),IF(LEFT(TRIM(A121),1)="[",TRIM(MID(TRIM(A121),FIND("]",TRIM(A121)&amp;"]")+1,200)),TRIM(A121))))&gt;0,IF(RIGHT(IF(LEFT(TRIM(A121),1)="[",TRIM(MID(TRIM(A121),FIND("]",TRIM(A121)&amp;"]")+1,200)),TRIM(A121)),1)=")",TRIM(LEFT(IF(LEFT(TRIM(A121),1)="[",TRIM(MID(TRIM(A121),FIND("]",TRIM(A121)&amp;"]")+1,200)),TRIM(A121)),FIND("(",IF(LEFT(TRIM(A121),1)="[",TRIM(MID(TRIM(A121),FIND("]",TRIM(A121)&amp;"]")+1,200)),TRIM(A121))&amp;"(")-1)),IF(LEFT(TRIM(A121),1)="[",TRIM(MID(TRIM(A121),FIND("]",TRIM(A121)&amp;"]")+1,200)),TRIM(A121))),""))</f>
      </c>
      <c r="C121" s="17">
        <f>IF(B121&lt;&gt;"",B121,C120)</f>
      </c>
      <c r="D121" s="17">
        <f>IF(A121="","",IF(OR(LEFT(UPPER(TRIM(A121)),2)="Y:",LEFT(UPPER(TRIM(A121)),10)="YESTERDAY:"),"Y",IF(OR(LEFT(UPPER(TRIM(A121)),2)="T:",LEFT(UPPER(TRIM(A121)),6)="TODAY:"),"T",IF(OR(LEFT(UPPER(TRIM(A121)),2)="B:",LEFT(UPPER(TRIM(A121)),8)="BLOCKER:",LEFT(UPPER(TRIM(A121)),9)="BLOCKERS:",LEFT(UPPER(TRIM(A121)),8)="BLOCKED:"),"B",""))))</f>
      </c>
      <c r="E121" s="17">
        <f>IF(D121="","",TRIM(MID(A121,FIND(":",A121)+1,500)))</f>
      </c>
    </row>
    <row r="122">
      <c r="B122" s="17">
        <f>IF(A122="","",IF(COUNTIF(Roster[Name],IF(RIGHT(IF(LEFT(TRIM(A122),1)="[",TRIM(MID(TRIM(A122),FIND("]",TRIM(A122)&amp;"]")+1,200)),TRIM(A122)),1)=")",TRIM(LEFT(IF(LEFT(TRIM(A122),1)="[",TRIM(MID(TRIM(A122),FIND("]",TRIM(A122)&amp;"]")+1,200)),TRIM(A122)),FIND("(",IF(LEFT(TRIM(A122),1)="[",TRIM(MID(TRIM(A122),FIND("]",TRIM(A122)&amp;"]")+1,200)),TRIM(A122))&amp;"(")-1)),IF(LEFT(TRIM(A122),1)="[",TRIM(MID(TRIM(A122),FIND("]",TRIM(A122)&amp;"]")+1,200)),TRIM(A122))))&gt;0,IF(RIGHT(IF(LEFT(TRIM(A122),1)="[",TRIM(MID(TRIM(A122),FIND("]",TRIM(A122)&amp;"]")+1,200)),TRIM(A122)),1)=")",TRIM(LEFT(IF(LEFT(TRIM(A122),1)="[",TRIM(MID(TRIM(A122),FIND("]",TRIM(A122)&amp;"]")+1,200)),TRIM(A122)),FIND("(",IF(LEFT(TRIM(A122),1)="[",TRIM(MID(TRIM(A122),FIND("]",TRIM(A122)&amp;"]")+1,200)),TRIM(A122))&amp;"(")-1)),IF(LEFT(TRIM(A122),1)="[",TRIM(MID(TRIM(A122),FIND("]",TRIM(A122)&amp;"]")+1,200)),TRIM(A122))),""))</f>
      </c>
      <c r="C122" s="17">
        <f>IF(B122&lt;&gt;"",B122,C121)</f>
      </c>
      <c r="D122" s="17">
        <f>IF(A122="","",IF(OR(LEFT(UPPER(TRIM(A122)),2)="Y:",LEFT(UPPER(TRIM(A122)),10)="YESTERDAY:"),"Y",IF(OR(LEFT(UPPER(TRIM(A122)),2)="T:",LEFT(UPPER(TRIM(A122)),6)="TODAY:"),"T",IF(OR(LEFT(UPPER(TRIM(A122)),2)="B:",LEFT(UPPER(TRIM(A122)),8)="BLOCKER:",LEFT(UPPER(TRIM(A122)),9)="BLOCKERS:",LEFT(UPPER(TRIM(A122)),8)="BLOCKED:"),"B",""))))</f>
      </c>
      <c r="E122" s="17">
        <f>IF(D122="","",TRIM(MID(A122,FIND(":",A122)+1,500)))</f>
      </c>
    </row>
    <row r="123">
      <c r="B123" s="17">
        <f>IF(A123="","",IF(COUNTIF(Roster[Name],IF(RIGHT(IF(LEFT(TRIM(A123),1)="[",TRIM(MID(TRIM(A123),FIND("]",TRIM(A123)&amp;"]")+1,200)),TRIM(A123)),1)=")",TRIM(LEFT(IF(LEFT(TRIM(A123),1)="[",TRIM(MID(TRIM(A123),FIND("]",TRIM(A123)&amp;"]")+1,200)),TRIM(A123)),FIND("(",IF(LEFT(TRIM(A123),1)="[",TRIM(MID(TRIM(A123),FIND("]",TRIM(A123)&amp;"]")+1,200)),TRIM(A123))&amp;"(")-1)),IF(LEFT(TRIM(A123),1)="[",TRIM(MID(TRIM(A123),FIND("]",TRIM(A123)&amp;"]")+1,200)),TRIM(A123))))&gt;0,IF(RIGHT(IF(LEFT(TRIM(A123),1)="[",TRIM(MID(TRIM(A123),FIND("]",TRIM(A123)&amp;"]")+1,200)),TRIM(A123)),1)=")",TRIM(LEFT(IF(LEFT(TRIM(A123),1)="[",TRIM(MID(TRIM(A123),FIND("]",TRIM(A123)&amp;"]")+1,200)),TRIM(A123)),FIND("(",IF(LEFT(TRIM(A123),1)="[",TRIM(MID(TRIM(A123),FIND("]",TRIM(A123)&amp;"]")+1,200)),TRIM(A123))&amp;"(")-1)),IF(LEFT(TRIM(A123),1)="[",TRIM(MID(TRIM(A123),FIND("]",TRIM(A123)&amp;"]")+1,200)),TRIM(A123))),""))</f>
      </c>
      <c r="C123" s="17">
        <f>IF(B123&lt;&gt;"",B123,C122)</f>
      </c>
      <c r="D123" s="17">
        <f>IF(A123="","",IF(OR(LEFT(UPPER(TRIM(A123)),2)="Y:",LEFT(UPPER(TRIM(A123)),10)="YESTERDAY:"),"Y",IF(OR(LEFT(UPPER(TRIM(A123)),2)="T:",LEFT(UPPER(TRIM(A123)),6)="TODAY:"),"T",IF(OR(LEFT(UPPER(TRIM(A123)),2)="B:",LEFT(UPPER(TRIM(A123)),8)="BLOCKER:",LEFT(UPPER(TRIM(A123)),9)="BLOCKERS:",LEFT(UPPER(TRIM(A123)),8)="BLOCKED:"),"B",""))))</f>
      </c>
      <c r="E123" s="17">
        <f>IF(D123="","",TRIM(MID(A123,FIND(":",A123)+1,500)))</f>
      </c>
    </row>
    <row r="124">
      <c r="B124" s="17">
        <f>IF(A124="","",IF(COUNTIF(Roster[Name],IF(RIGHT(IF(LEFT(TRIM(A124),1)="[",TRIM(MID(TRIM(A124),FIND("]",TRIM(A124)&amp;"]")+1,200)),TRIM(A124)),1)=")",TRIM(LEFT(IF(LEFT(TRIM(A124),1)="[",TRIM(MID(TRIM(A124),FIND("]",TRIM(A124)&amp;"]")+1,200)),TRIM(A124)),FIND("(",IF(LEFT(TRIM(A124),1)="[",TRIM(MID(TRIM(A124),FIND("]",TRIM(A124)&amp;"]")+1,200)),TRIM(A124))&amp;"(")-1)),IF(LEFT(TRIM(A124),1)="[",TRIM(MID(TRIM(A124),FIND("]",TRIM(A124)&amp;"]")+1,200)),TRIM(A124))))&gt;0,IF(RIGHT(IF(LEFT(TRIM(A124),1)="[",TRIM(MID(TRIM(A124),FIND("]",TRIM(A124)&amp;"]")+1,200)),TRIM(A124)),1)=")",TRIM(LEFT(IF(LEFT(TRIM(A124),1)="[",TRIM(MID(TRIM(A124),FIND("]",TRIM(A124)&amp;"]")+1,200)),TRIM(A124)),FIND("(",IF(LEFT(TRIM(A124),1)="[",TRIM(MID(TRIM(A124),FIND("]",TRIM(A124)&amp;"]")+1,200)),TRIM(A124))&amp;"(")-1)),IF(LEFT(TRIM(A124),1)="[",TRIM(MID(TRIM(A124),FIND("]",TRIM(A124)&amp;"]")+1,200)),TRIM(A124))),""))</f>
      </c>
      <c r="C124" s="17">
        <f>IF(B124&lt;&gt;"",B124,C123)</f>
      </c>
      <c r="D124" s="17">
        <f>IF(A124="","",IF(OR(LEFT(UPPER(TRIM(A124)),2)="Y:",LEFT(UPPER(TRIM(A124)),10)="YESTERDAY:"),"Y",IF(OR(LEFT(UPPER(TRIM(A124)),2)="T:",LEFT(UPPER(TRIM(A124)),6)="TODAY:"),"T",IF(OR(LEFT(UPPER(TRIM(A124)),2)="B:",LEFT(UPPER(TRIM(A124)),8)="BLOCKER:",LEFT(UPPER(TRIM(A124)),9)="BLOCKERS:",LEFT(UPPER(TRIM(A124)),8)="BLOCKED:"),"B",""))))</f>
      </c>
      <c r="E124" s="17">
        <f>IF(D124="","",TRIM(MID(A124,FIND(":",A124)+1,500)))</f>
      </c>
    </row>
    <row r="125">
      <c r="B125" s="17">
        <f>IF(A125="","",IF(COUNTIF(Roster[Name],IF(RIGHT(IF(LEFT(TRIM(A125),1)="[",TRIM(MID(TRIM(A125),FIND("]",TRIM(A125)&amp;"]")+1,200)),TRIM(A125)),1)=")",TRIM(LEFT(IF(LEFT(TRIM(A125),1)="[",TRIM(MID(TRIM(A125),FIND("]",TRIM(A125)&amp;"]")+1,200)),TRIM(A125)),FIND("(",IF(LEFT(TRIM(A125),1)="[",TRIM(MID(TRIM(A125),FIND("]",TRIM(A125)&amp;"]")+1,200)),TRIM(A125))&amp;"(")-1)),IF(LEFT(TRIM(A125),1)="[",TRIM(MID(TRIM(A125),FIND("]",TRIM(A125)&amp;"]")+1,200)),TRIM(A125))))&gt;0,IF(RIGHT(IF(LEFT(TRIM(A125),1)="[",TRIM(MID(TRIM(A125),FIND("]",TRIM(A125)&amp;"]")+1,200)),TRIM(A125)),1)=")",TRIM(LEFT(IF(LEFT(TRIM(A125),1)="[",TRIM(MID(TRIM(A125),FIND("]",TRIM(A125)&amp;"]")+1,200)),TRIM(A125)),FIND("(",IF(LEFT(TRIM(A125),1)="[",TRIM(MID(TRIM(A125),FIND("]",TRIM(A125)&amp;"]")+1,200)),TRIM(A125))&amp;"(")-1)),IF(LEFT(TRIM(A125),1)="[",TRIM(MID(TRIM(A125),FIND("]",TRIM(A125)&amp;"]")+1,200)),TRIM(A125))),""))</f>
      </c>
      <c r="C125" s="17">
        <f>IF(B125&lt;&gt;"",B125,C124)</f>
      </c>
      <c r="D125" s="17">
        <f>IF(A125="","",IF(OR(LEFT(UPPER(TRIM(A125)),2)="Y:",LEFT(UPPER(TRIM(A125)),10)="YESTERDAY:"),"Y",IF(OR(LEFT(UPPER(TRIM(A125)),2)="T:",LEFT(UPPER(TRIM(A125)),6)="TODAY:"),"T",IF(OR(LEFT(UPPER(TRIM(A125)),2)="B:",LEFT(UPPER(TRIM(A125)),8)="BLOCKER:",LEFT(UPPER(TRIM(A125)),9)="BLOCKERS:",LEFT(UPPER(TRIM(A125)),8)="BLOCKED:"),"B",""))))</f>
      </c>
      <c r="E125" s="17">
        <f>IF(D125="","",TRIM(MID(A125,FIND(":",A125)+1,500)))</f>
      </c>
    </row>
    <row r="126">
      <c r="B126" s="17">
        <f>IF(A126="","",IF(COUNTIF(Roster[Name],IF(RIGHT(IF(LEFT(TRIM(A126),1)="[",TRIM(MID(TRIM(A126),FIND("]",TRIM(A126)&amp;"]")+1,200)),TRIM(A126)),1)=")",TRIM(LEFT(IF(LEFT(TRIM(A126),1)="[",TRIM(MID(TRIM(A126),FIND("]",TRIM(A126)&amp;"]")+1,200)),TRIM(A126)),FIND("(",IF(LEFT(TRIM(A126),1)="[",TRIM(MID(TRIM(A126),FIND("]",TRIM(A126)&amp;"]")+1,200)),TRIM(A126))&amp;"(")-1)),IF(LEFT(TRIM(A126),1)="[",TRIM(MID(TRIM(A126),FIND("]",TRIM(A126)&amp;"]")+1,200)),TRIM(A126))))&gt;0,IF(RIGHT(IF(LEFT(TRIM(A126),1)="[",TRIM(MID(TRIM(A126),FIND("]",TRIM(A126)&amp;"]")+1,200)),TRIM(A126)),1)=")",TRIM(LEFT(IF(LEFT(TRIM(A126),1)="[",TRIM(MID(TRIM(A126),FIND("]",TRIM(A126)&amp;"]")+1,200)),TRIM(A126)),FIND("(",IF(LEFT(TRIM(A126),1)="[",TRIM(MID(TRIM(A126),FIND("]",TRIM(A126)&amp;"]")+1,200)),TRIM(A126))&amp;"(")-1)),IF(LEFT(TRIM(A126),1)="[",TRIM(MID(TRIM(A126),FIND("]",TRIM(A126)&amp;"]")+1,200)),TRIM(A126))),""))</f>
      </c>
      <c r="C126" s="17">
        <f>IF(B126&lt;&gt;"",B126,C125)</f>
      </c>
      <c r="D126" s="17">
        <f>IF(A126="","",IF(OR(LEFT(UPPER(TRIM(A126)),2)="Y:",LEFT(UPPER(TRIM(A126)),10)="YESTERDAY:"),"Y",IF(OR(LEFT(UPPER(TRIM(A126)),2)="T:",LEFT(UPPER(TRIM(A126)),6)="TODAY:"),"T",IF(OR(LEFT(UPPER(TRIM(A126)),2)="B:",LEFT(UPPER(TRIM(A126)),8)="BLOCKER:",LEFT(UPPER(TRIM(A126)),9)="BLOCKERS:",LEFT(UPPER(TRIM(A126)),8)="BLOCKED:"),"B",""))))</f>
      </c>
      <c r="E126" s="17">
        <f>IF(D126="","",TRIM(MID(A126,FIND(":",A126)+1,500)))</f>
      </c>
    </row>
    <row r="127">
      <c r="B127" s="17">
        <f>IF(A127="","",IF(COUNTIF(Roster[Name],IF(RIGHT(IF(LEFT(TRIM(A127),1)="[",TRIM(MID(TRIM(A127),FIND("]",TRIM(A127)&amp;"]")+1,200)),TRIM(A127)),1)=")",TRIM(LEFT(IF(LEFT(TRIM(A127),1)="[",TRIM(MID(TRIM(A127),FIND("]",TRIM(A127)&amp;"]")+1,200)),TRIM(A127)),FIND("(",IF(LEFT(TRIM(A127),1)="[",TRIM(MID(TRIM(A127),FIND("]",TRIM(A127)&amp;"]")+1,200)),TRIM(A127))&amp;"(")-1)),IF(LEFT(TRIM(A127),1)="[",TRIM(MID(TRIM(A127),FIND("]",TRIM(A127)&amp;"]")+1,200)),TRIM(A127))))&gt;0,IF(RIGHT(IF(LEFT(TRIM(A127),1)="[",TRIM(MID(TRIM(A127),FIND("]",TRIM(A127)&amp;"]")+1,200)),TRIM(A127)),1)=")",TRIM(LEFT(IF(LEFT(TRIM(A127),1)="[",TRIM(MID(TRIM(A127),FIND("]",TRIM(A127)&amp;"]")+1,200)),TRIM(A127)),FIND("(",IF(LEFT(TRIM(A127),1)="[",TRIM(MID(TRIM(A127),FIND("]",TRIM(A127)&amp;"]")+1,200)),TRIM(A127))&amp;"(")-1)),IF(LEFT(TRIM(A127),1)="[",TRIM(MID(TRIM(A127),FIND("]",TRIM(A127)&amp;"]")+1,200)),TRIM(A127))),""))</f>
      </c>
      <c r="C127" s="17">
        <f>IF(B127&lt;&gt;"",B127,C126)</f>
      </c>
      <c r="D127" s="17">
        <f>IF(A127="","",IF(OR(LEFT(UPPER(TRIM(A127)),2)="Y:",LEFT(UPPER(TRIM(A127)),10)="YESTERDAY:"),"Y",IF(OR(LEFT(UPPER(TRIM(A127)),2)="T:",LEFT(UPPER(TRIM(A127)),6)="TODAY:"),"T",IF(OR(LEFT(UPPER(TRIM(A127)),2)="B:",LEFT(UPPER(TRIM(A127)),8)="BLOCKER:",LEFT(UPPER(TRIM(A127)),9)="BLOCKERS:",LEFT(UPPER(TRIM(A127)),8)="BLOCKED:"),"B",""))))</f>
      </c>
      <c r="E127" s="17">
        <f>IF(D127="","",TRIM(MID(A127,FIND(":",A127)+1,500)))</f>
      </c>
    </row>
    <row r="128">
      <c r="B128" s="17">
        <f>IF(A128="","",IF(COUNTIF(Roster[Name],IF(RIGHT(IF(LEFT(TRIM(A128),1)="[",TRIM(MID(TRIM(A128),FIND("]",TRIM(A128)&amp;"]")+1,200)),TRIM(A128)),1)=")",TRIM(LEFT(IF(LEFT(TRIM(A128),1)="[",TRIM(MID(TRIM(A128),FIND("]",TRIM(A128)&amp;"]")+1,200)),TRIM(A128)),FIND("(",IF(LEFT(TRIM(A128),1)="[",TRIM(MID(TRIM(A128),FIND("]",TRIM(A128)&amp;"]")+1,200)),TRIM(A128))&amp;"(")-1)),IF(LEFT(TRIM(A128),1)="[",TRIM(MID(TRIM(A128),FIND("]",TRIM(A128)&amp;"]")+1,200)),TRIM(A128))))&gt;0,IF(RIGHT(IF(LEFT(TRIM(A128),1)="[",TRIM(MID(TRIM(A128),FIND("]",TRIM(A128)&amp;"]")+1,200)),TRIM(A128)),1)=")",TRIM(LEFT(IF(LEFT(TRIM(A128),1)="[",TRIM(MID(TRIM(A128),FIND("]",TRIM(A128)&amp;"]")+1,200)),TRIM(A128)),FIND("(",IF(LEFT(TRIM(A128),1)="[",TRIM(MID(TRIM(A128),FIND("]",TRIM(A128)&amp;"]")+1,200)),TRIM(A128))&amp;"(")-1)),IF(LEFT(TRIM(A128),1)="[",TRIM(MID(TRIM(A128),FIND("]",TRIM(A128)&amp;"]")+1,200)),TRIM(A128))),""))</f>
      </c>
      <c r="C128" s="17">
        <f>IF(B128&lt;&gt;"",B128,C127)</f>
      </c>
      <c r="D128" s="17">
        <f>IF(A128="","",IF(OR(LEFT(UPPER(TRIM(A128)),2)="Y:",LEFT(UPPER(TRIM(A128)),10)="YESTERDAY:"),"Y",IF(OR(LEFT(UPPER(TRIM(A128)),2)="T:",LEFT(UPPER(TRIM(A128)),6)="TODAY:"),"T",IF(OR(LEFT(UPPER(TRIM(A128)),2)="B:",LEFT(UPPER(TRIM(A128)),8)="BLOCKER:",LEFT(UPPER(TRIM(A128)),9)="BLOCKERS:",LEFT(UPPER(TRIM(A128)),8)="BLOCKED:"),"B",""))))</f>
      </c>
      <c r="E128" s="17">
        <f>IF(D128="","",TRIM(MID(A128,FIND(":",A128)+1,500)))</f>
      </c>
    </row>
    <row r="129">
      <c r="B129" s="17">
        <f>IF(A129="","",IF(COUNTIF(Roster[Name],IF(RIGHT(IF(LEFT(TRIM(A129),1)="[",TRIM(MID(TRIM(A129),FIND("]",TRIM(A129)&amp;"]")+1,200)),TRIM(A129)),1)=")",TRIM(LEFT(IF(LEFT(TRIM(A129),1)="[",TRIM(MID(TRIM(A129),FIND("]",TRIM(A129)&amp;"]")+1,200)),TRIM(A129)),FIND("(",IF(LEFT(TRIM(A129),1)="[",TRIM(MID(TRIM(A129),FIND("]",TRIM(A129)&amp;"]")+1,200)),TRIM(A129))&amp;"(")-1)),IF(LEFT(TRIM(A129),1)="[",TRIM(MID(TRIM(A129),FIND("]",TRIM(A129)&amp;"]")+1,200)),TRIM(A129))))&gt;0,IF(RIGHT(IF(LEFT(TRIM(A129),1)="[",TRIM(MID(TRIM(A129),FIND("]",TRIM(A129)&amp;"]")+1,200)),TRIM(A129)),1)=")",TRIM(LEFT(IF(LEFT(TRIM(A129),1)="[",TRIM(MID(TRIM(A129),FIND("]",TRIM(A129)&amp;"]")+1,200)),TRIM(A129)),FIND("(",IF(LEFT(TRIM(A129),1)="[",TRIM(MID(TRIM(A129),FIND("]",TRIM(A129)&amp;"]")+1,200)),TRIM(A129))&amp;"(")-1)),IF(LEFT(TRIM(A129),1)="[",TRIM(MID(TRIM(A129),FIND("]",TRIM(A129)&amp;"]")+1,200)),TRIM(A129))),""))</f>
      </c>
      <c r="C129" s="17">
        <f>IF(B129&lt;&gt;"",B129,C128)</f>
      </c>
      <c r="D129" s="17">
        <f>IF(A129="","",IF(OR(LEFT(UPPER(TRIM(A129)),2)="Y:",LEFT(UPPER(TRIM(A129)),10)="YESTERDAY:"),"Y",IF(OR(LEFT(UPPER(TRIM(A129)),2)="T:",LEFT(UPPER(TRIM(A129)),6)="TODAY:"),"T",IF(OR(LEFT(UPPER(TRIM(A129)),2)="B:",LEFT(UPPER(TRIM(A129)),8)="BLOCKER:",LEFT(UPPER(TRIM(A129)),9)="BLOCKERS:",LEFT(UPPER(TRIM(A129)),8)="BLOCKED:"),"B",""))))</f>
      </c>
      <c r="E129" s="17">
        <f>IF(D129="","",TRIM(MID(A129,FIND(":",A129)+1,500)))</f>
      </c>
    </row>
    <row r="130">
      <c r="B130" s="17">
        <f>IF(A130="","",IF(COUNTIF(Roster[Name],IF(RIGHT(IF(LEFT(TRIM(A130),1)="[",TRIM(MID(TRIM(A130),FIND("]",TRIM(A130)&amp;"]")+1,200)),TRIM(A130)),1)=")",TRIM(LEFT(IF(LEFT(TRIM(A130),1)="[",TRIM(MID(TRIM(A130),FIND("]",TRIM(A130)&amp;"]")+1,200)),TRIM(A130)),FIND("(",IF(LEFT(TRIM(A130),1)="[",TRIM(MID(TRIM(A130),FIND("]",TRIM(A130)&amp;"]")+1,200)),TRIM(A130))&amp;"(")-1)),IF(LEFT(TRIM(A130),1)="[",TRIM(MID(TRIM(A130),FIND("]",TRIM(A130)&amp;"]")+1,200)),TRIM(A130))))&gt;0,IF(RIGHT(IF(LEFT(TRIM(A130),1)="[",TRIM(MID(TRIM(A130),FIND("]",TRIM(A130)&amp;"]")+1,200)),TRIM(A130)),1)=")",TRIM(LEFT(IF(LEFT(TRIM(A130),1)="[",TRIM(MID(TRIM(A130),FIND("]",TRIM(A130)&amp;"]")+1,200)),TRIM(A130)),FIND("(",IF(LEFT(TRIM(A130),1)="[",TRIM(MID(TRIM(A130),FIND("]",TRIM(A130)&amp;"]")+1,200)),TRIM(A130))&amp;"(")-1)),IF(LEFT(TRIM(A130),1)="[",TRIM(MID(TRIM(A130),FIND("]",TRIM(A130)&amp;"]")+1,200)),TRIM(A130))),""))</f>
      </c>
      <c r="C130" s="17">
        <f>IF(B130&lt;&gt;"",B130,C129)</f>
      </c>
      <c r="D130" s="17">
        <f>IF(A130="","",IF(OR(LEFT(UPPER(TRIM(A130)),2)="Y:",LEFT(UPPER(TRIM(A130)),10)="YESTERDAY:"),"Y",IF(OR(LEFT(UPPER(TRIM(A130)),2)="T:",LEFT(UPPER(TRIM(A130)),6)="TODAY:"),"T",IF(OR(LEFT(UPPER(TRIM(A130)),2)="B:",LEFT(UPPER(TRIM(A130)),8)="BLOCKER:",LEFT(UPPER(TRIM(A130)),9)="BLOCKERS:",LEFT(UPPER(TRIM(A130)),8)="BLOCKED:"),"B",""))))</f>
      </c>
      <c r="E130" s="17">
        <f>IF(D130="","",TRIM(MID(A130,FIND(":",A130)+1,500)))</f>
      </c>
    </row>
    <row r="131">
      <c r="B131" s="17">
        <f>IF(A131="","",IF(COUNTIF(Roster[Name],IF(RIGHT(IF(LEFT(TRIM(A131),1)="[",TRIM(MID(TRIM(A131),FIND("]",TRIM(A131)&amp;"]")+1,200)),TRIM(A131)),1)=")",TRIM(LEFT(IF(LEFT(TRIM(A131),1)="[",TRIM(MID(TRIM(A131),FIND("]",TRIM(A131)&amp;"]")+1,200)),TRIM(A131)),FIND("(",IF(LEFT(TRIM(A131),1)="[",TRIM(MID(TRIM(A131),FIND("]",TRIM(A131)&amp;"]")+1,200)),TRIM(A131))&amp;"(")-1)),IF(LEFT(TRIM(A131),1)="[",TRIM(MID(TRIM(A131),FIND("]",TRIM(A131)&amp;"]")+1,200)),TRIM(A131))))&gt;0,IF(RIGHT(IF(LEFT(TRIM(A131),1)="[",TRIM(MID(TRIM(A131),FIND("]",TRIM(A131)&amp;"]")+1,200)),TRIM(A131)),1)=")",TRIM(LEFT(IF(LEFT(TRIM(A131),1)="[",TRIM(MID(TRIM(A131),FIND("]",TRIM(A131)&amp;"]")+1,200)),TRIM(A131)),FIND("(",IF(LEFT(TRIM(A131),1)="[",TRIM(MID(TRIM(A131),FIND("]",TRIM(A131)&amp;"]")+1,200)),TRIM(A131))&amp;"(")-1)),IF(LEFT(TRIM(A131),1)="[",TRIM(MID(TRIM(A131),FIND("]",TRIM(A131)&amp;"]")+1,200)),TRIM(A131))),""))</f>
      </c>
      <c r="C131" s="17">
        <f>IF(B131&lt;&gt;"",B131,C130)</f>
      </c>
      <c r="D131" s="17">
        <f>IF(A131="","",IF(OR(LEFT(UPPER(TRIM(A131)),2)="Y:",LEFT(UPPER(TRIM(A131)),10)="YESTERDAY:"),"Y",IF(OR(LEFT(UPPER(TRIM(A131)),2)="T:",LEFT(UPPER(TRIM(A131)),6)="TODAY:"),"T",IF(OR(LEFT(UPPER(TRIM(A131)),2)="B:",LEFT(UPPER(TRIM(A131)),8)="BLOCKER:",LEFT(UPPER(TRIM(A131)),9)="BLOCKERS:",LEFT(UPPER(TRIM(A131)),8)="BLOCKED:"),"B",""))))</f>
      </c>
      <c r="E131" s="17">
        <f>IF(D131="","",TRIM(MID(A131,FIND(":",A131)+1,500)))</f>
      </c>
    </row>
    <row r="132">
      <c r="B132" s="17">
        <f>IF(A132="","",IF(COUNTIF(Roster[Name],IF(RIGHT(IF(LEFT(TRIM(A132),1)="[",TRIM(MID(TRIM(A132),FIND("]",TRIM(A132)&amp;"]")+1,200)),TRIM(A132)),1)=")",TRIM(LEFT(IF(LEFT(TRIM(A132),1)="[",TRIM(MID(TRIM(A132),FIND("]",TRIM(A132)&amp;"]")+1,200)),TRIM(A132)),FIND("(",IF(LEFT(TRIM(A132),1)="[",TRIM(MID(TRIM(A132),FIND("]",TRIM(A132)&amp;"]")+1,200)),TRIM(A132))&amp;"(")-1)),IF(LEFT(TRIM(A132),1)="[",TRIM(MID(TRIM(A132),FIND("]",TRIM(A132)&amp;"]")+1,200)),TRIM(A132))))&gt;0,IF(RIGHT(IF(LEFT(TRIM(A132),1)="[",TRIM(MID(TRIM(A132),FIND("]",TRIM(A132)&amp;"]")+1,200)),TRIM(A132)),1)=")",TRIM(LEFT(IF(LEFT(TRIM(A132),1)="[",TRIM(MID(TRIM(A132),FIND("]",TRIM(A132)&amp;"]")+1,200)),TRIM(A132)),FIND("(",IF(LEFT(TRIM(A132),1)="[",TRIM(MID(TRIM(A132),FIND("]",TRIM(A132)&amp;"]")+1,200)),TRIM(A132))&amp;"(")-1)),IF(LEFT(TRIM(A132),1)="[",TRIM(MID(TRIM(A132),FIND("]",TRIM(A132)&amp;"]")+1,200)),TRIM(A132))),""))</f>
      </c>
      <c r="C132" s="17">
        <f>IF(B132&lt;&gt;"",B132,C131)</f>
      </c>
      <c r="D132" s="17">
        <f>IF(A132="","",IF(OR(LEFT(UPPER(TRIM(A132)),2)="Y:",LEFT(UPPER(TRIM(A132)),10)="YESTERDAY:"),"Y",IF(OR(LEFT(UPPER(TRIM(A132)),2)="T:",LEFT(UPPER(TRIM(A132)),6)="TODAY:"),"T",IF(OR(LEFT(UPPER(TRIM(A132)),2)="B:",LEFT(UPPER(TRIM(A132)),8)="BLOCKER:",LEFT(UPPER(TRIM(A132)),9)="BLOCKERS:",LEFT(UPPER(TRIM(A132)),8)="BLOCKED:"),"B",""))))</f>
      </c>
      <c r="E132" s="17">
        <f>IF(D132="","",TRIM(MID(A132,FIND(":",A132)+1,500)))</f>
      </c>
    </row>
    <row r="133">
      <c r="B133" s="17">
        <f>IF(A133="","",IF(COUNTIF(Roster[Name],IF(RIGHT(IF(LEFT(TRIM(A133),1)="[",TRIM(MID(TRIM(A133),FIND("]",TRIM(A133)&amp;"]")+1,200)),TRIM(A133)),1)=")",TRIM(LEFT(IF(LEFT(TRIM(A133),1)="[",TRIM(MID(TRIM(A133),FIND("]",TRIM(A133)&amp;"]")+1,200)),TRIM(A133)),FIND("(",IF(LEFT(TRIM(A133),1)="[",TRIM(MID(TRIM(A133),FIND("]",TRIM(A133)&amp;"]")+1,200)),TRIM(A133))&amp;"(")-1)),IF(LEFT(TRIM(A133),1)="[",TRIM(MID(TRIM(A133),FIND("]",TRIM(A133)&amp;"]")+1,200)),TRIM(A133))))&gt;0,IF(RIGHT(IF(LEFT(TRIM(A133),1)="[",TRIM(MID(TRIM(A133),FIND("]",TRIM(A133)&amp;"]")+1,200)),TRIM(A133)),1)=")",TRIM(LEFT(IF(LEFT(TRIM(A133),1)="[",TRIM(MID(TRIM(A133),FIND("]",TRIM(A133)&amp;"]")+1,200)),TRIM(A133)),FIND("(",IF(LEFT(TRIM(A133),1)="[",TRIM(MID(TRIM(A133),FIND("]",TRIM(A133)&amp;"]")+1,200)),TRIM(A133))&amp;"(")-1)),IF(LEFT(TRIM(A133),1)="[",TRIM(MID(TRIM(A133),FIND("]",TRIM(A133)&amp;"]")+1,200)),TRIM(A133))),""))</f>
      </c>
      <c r="C133" s="17">
        <f>IF(B133&lt;&gt;"",B133,C132)</f>
      </c>
      <c r="D133" s="17">
        <f>IF(A133="","",IF(OR(LEFT(UPPER(TRIM(A133)),2)="Y:",LEFT(UPPER(TRIM(A133)),10)="YESTERDAY:"),"Y",IF(OR(LEFT(UPPER(TRIM(A133)),2)="T:",LEFT(UPPER(TRIM(A133)),6)="TODAY:"),"T",IF(OR(LEFT(UPPER(TRIM(A133)),2)="B:",LEFT(UPPER(TRIM(A133)),8)="BLOCKER:",LEFT(UPPER(TRIM(A133)),9)="BLOCKERS:",LEFT(UPPER(TRIM(A133)),8)="BLOCKED:"),"B",""))))</f>
      </c>
      <c r="E133" s="17">
        <f>IF(D133="","",TRIM(MID(A133,FIND(":",A133)+1,500)))</f>
      </c>
    </row>
    <row r="134">
      <c r="B134" s="17">
        <f>IF(A134="","",IF(COUNTIF(Roster[Name],IF(RIGHT(IF(LEFT(TRIM(A134),1)="[",TRIM(MID(TRIM(A134),FIND("]",TRIM(A134)&amp;"]")+1,200)),TRIM(A134)),1)=")",TRIM(LEFT(IF(LEFT(TRIM(A134),1)="[",TRIM(MID(TRIM(A134),FIND("]",TRIM(A134)&amp;"]")+1,200)),TRIM(A134)),FIND("(",IF(LEFT(TRIM(A134),1)="[",TRIM(MID(TRIM(A134),FIND("]",TRIM(A134)&amp;"]")+1,200)),TRIM(A134))&amp;"(")-1)),IF(LEFT(TRIM(A134),1)="[",TRIM(MID(TRIM(A134),FIND("]",TRIM(A134)&amp;"]")+1,200)),TRIM(A134))))&gt;0,IF(RIGHT(IF(LEFT(TRIM(A134),1)="[",TRIM(MID(TRIM(A134),FIND("]",TRIM(A134)&amp;"]")+1,200)),TRIM(A134)),1)=")",TRIM(LEFT(IF(LEFT(TRIM(A134),1)="[",TRIM(MID(TRIM(A134),FIND("]",TRIM(A134)&amp;"]")+1,200)),TRIM(A134)),FIND("(",IF(LEFT(TRIM(A134),1)="[",TRIM(MID(TRIM(A134),FIND("]",TRIM(A134)&amp;"]")+1,200)),TRIM(A134))&amp;"(")-1)),IF(LEFT(TRIM(A134),1)="[",TRIM(MID(TRIM(A134),FIND("]",TRIM(A134)&amp;"]")+1,200)),TRIM(A134))),""))</f>
      </c>
      <c r="C134" s="17">
        <f>IF(B134&lt;&gt;"",B134,C133)</f>
      </c>
      <c r="D134" s="17">
        <f>IF(A134="","",IF(OR(LEFT(UPPER(TRIM(A134)),2)="Y:",LEFT(UPPER(TRIM(A134)),10)="YESTERDAY:"),"Y",IF(OR(LEFT(UPPER(TRIM(A134)),2)="T:",LEFT(UPPER(TRIM(A134)),6)="TODAY:"),"T",IF(OR(LEFT(UPPER(TRIM(A134)),2)="B:",LEFT(UPPER(TRIM(A134)),8)="BLOCKER:",LEFT(UPPER(TRIM(A134)),9)="BLOCKERS:",LEFT(UPPER(TRIM(A134)),8)="BLOCKED:"),"B",""))))</f>
      </c>
      <c r="E134" s="17">
        <f>IF(D134="","",TRIM(MID(A134,FIND(":",A134)+1,500)))</f>
      </c>
    </row>
    <row r="135">
      <c r="B135" s="17">
        <f>IF(A135="","",IF(COUNTIF(Roster[Name],IF(RIGHT(IF(LEFT(TRIM(A135),1)="[",TRIM(MID(TRIM(A135),FIND("]",TRIM(A135)&amp;"]")+1,200)),TRIM(A135)),1)=")",TRIM(LEFT(IF(LEFT(TRIM(A135),1)="[",TRIM(MID(TRIM(A135),FIND("]",TRIM(A135)&amp;"]")+1,200)),TRIM(A135)),FIND("(",IF(LEFT(TRIM(A135),1)="[",TRIM(MID(TRIM(A135),FIND("]",TRIM(A135)&amp;"]")+1,200)),TRIM(A135))&amp;"(")-1)),IF(LEFT(TRIM(A135),1)="[",TRIM(MID(TRIM(A135),FIND("]",TRIM(A135)&amp;"]")+1,200)),TRIM(A135))))&gt;0,IF(RIGHT(IF(LEFT(TRIM(A135),1)="[",TRIM(MID(TRIM(A135),FIND("]",TRIM(A135)&amp;"]")+1,200)),TRIM(A135)),1)=")",TRIM(LEFT(IF(LEFT(TRIM(A135),1)="[",TRIM(MID(TRIM(A135),FIND("]",TRIM(A135)&amp;"]")+1,200)),TRIM(A135)),FIND("(",IF(LEFT(TRIM(A135),1)="[",TRIM(MID(TRIM(A135),FIND("]",TRIM(A135)&amp;"]")+1,200)),TRIM(A135))&amp;"(")-1)),IF(LEFT(TRIM(A135),1)="[",TRIM(MID(TRIM(A135),FIND("]",TRIM(A135)&amp;"]")+1,200)),TRIM(A135))),""))</f>
      </c>
      <c r="C135" s="17">
        <f>IF(B135&lt;&gt;"",B135,C134)</f>
      </c>
      <c r="D135" s="17">
        <f>IF(A135="","",IF(OR(LEFT(UPPER(TRIM(A135)),2)="Y:",LEFT(UPPER(TRIM(A135)),10)="YESTERDAY:"),"Y",IF(OR(LEFT(UPPER(TRIM(A135)),2)="T:",LEFT(UPPER(TRIM(A135)),6)="TODAY:"),"T",IF(OR(LEFT(UPPER(TRIM(A135)),2)="B:",LEFT(UPPER(TRIM(A135)),8)="BLOCKER:",LEFT(UPPER(TRIM(A135)),9)="BLOCKERS:",LEFT(UPPER(TRIM(A135)),8)="BLOCKED:"),"B",""))))</f>
      </c>
      <c r="E135" s="17">
        <f>IF(D135="","",TRIM(MID(A135,FIND(":",A135)+1,500)))</f>
      </c>
    </row>
    <row r="136">
      <c r="B136" s="17">
        <f>IF(A136="","",IF(COUNTIF(Roster[Name],IF(RIGHT(IF(LEFT(TRIM(A136),1)="[",TRIM(MID(TRIM(A136),FIND("]",TRIM(A136)&amp;"]")+1,200)),TRIM(A136)),1)=")",TRIM(LEFT(IF(LEFT(TRIM(A136),1)="[",TRIM(MID(TRIM(A136),FIND("]",TRIM(A136)&amp;"]")+1,200)),TRIM(A136)),FIND("(",IF(LEFT(TRIM(A136),1)="[",TRIM(MID(TRIM(A136),FIND("]",TRIM(A136)&amp;"]")+1,200)),TRIM(A136))&amp;"(")-1)),IF(LEFT(TRIM(A136),1)="[",TRIM(MID(TRIM(A136),FIND("]",TRIM(A136)&amp;"]")+1,200)),TRIM(A136))))&gt;0,IF(RIGHT(IF(LEFT(TRIM(A136),1)="[",TRIM(MID(TRIM(A136),FIND("]",TRIM(A136)&amp;"]")+1,200)),TRIM(A136)),1)=")",TRIM(LEFT(IF(LEFT(TRIM(A136),1)="[",TRIM(MID(TRIM(A136),FIND("]",TRIM(A136)&amp;"]")+1,200)),TRIM(A136)),FIND("(",IF(LEFT(TRIM(A136),1)="[",TRIM(MID(TRIM(A136),FIND("]",TRIM(A136)&amp;"]")+1,200)),TRIM(A136))&amp;"(")-1)),IF(LEFT(TRIM(A136),1)="[",TRIM(MID(TRIM(A136),FIND("]",TRIM(A136)&amp;"]")+1,200)),TRIM(A136))),""))</f>
      </c>
      <c r="C136" s="17">
        <f>IF(B136&lt;&gt;"",B136,C135)</f>
      </c>
      <c r="D136" s="17">
        <f>IF(A136="","",IF(OR(LEFT(UPPER(TRIM(A136)),2)="Y:",LEFT(UPPER(TRIM(A136)),10)="YESTERDAY:"),"Y",IF(OR(LEFT(UPPER(TRIM(A136)),2)="T:",LEFT(UPPER(TRIM(A136)),6)="TODAY:"),"T",IF(OR(LEFT(UPPER(TRIM(A136)),2)="B:",LEFT(UPPER(TRIM(A136)),8)="BLOCKER:",LEFT(UPPER(TRIM(A136)),9)="BLOCKERS:",LEFT(UPPER(TRIM(A136)),8)="BLOCKED:"),"B",""))))</f>
      </c>
      <c r="E136" s="17">
        <f>IF(D136="","",TRIM(MID(A136,FIND(":",A136)+1,500)))</f>
      </c>
    </row>
    <row r="137">
      <c r="B137" s="17">
        <f>IF(A137="","",IF(COUNTIF(Roster[Name],IF(RIGHT(IF(LEFT(TRIM(A137),1)="[",TRIM(MID(TRIM(A137),FIND("]",TRIM(A137)&amp;"]")+1,200)),TRIM(A137)),1)=")",TRIM(LEFT(IF(LEFT(TRIM(A137),1)="[",TRIM(MID(TRIM(A137),FIND("]",TRIM(A137)&amp;"]")+1,200)),TRIM(A137)),FIND("(",IF(LEFT(TRIM(A137),1)="[",TRIM(MID(TRIM(A137),FIND("]",TRIM(A137)&amp;"]")+1,200)),TRIM(A137))&amp;"(")-1)),IF(LEFT(TRIM(A137),1)="[",TRIM(MID(TRIM(A137),FIND("]",TRIM(A137)&amp;"]")+1,200)),TRIM(A137))))&gt;0,IF(RIGHT(IF(LEFT(TRIM(A137),1)="[",TRIM(MID(TRIM(A137),FIND("]",TRIM(A137)&amp;"]")+1,200)),TRIM(A137)),1)=")",TRIM(LEFT(IF(LEFT(TRIM(A137),1)="[",TRIM(MID(TRIM(A137),FIND("]",TRIM(A137)&amp;"]")+1,200)),TRIM(A137)),FIND("(",IF(LEFT(TRIM(A137),1)="[",TRIM(MID(TRIM(A137),FIND("]",TRIM(A137)&amp;"]")+1,200)),TRIM(A137))&amp;"(")-1)),IF(LEFT(TRIM(A137),1)="[",TRIM(MID(TRIM(A137),FIND("]",TRIM(A137)&amp;"]")+1,200)),TRIM(A137))),""))</f>
      </c>
      <c r="C137" s="17">
        <f>IF(B137&lt;&gt;"",B137,C136)</f>
      </c>
      <c r="D137" s="17">
        <f>IF(A137="","",IF(OR(LEFT(UPPER(TRIM(A137)),2)="Y:",LEFT(UPPER(TRIM(A137)),10)="YESTERDAY:"),"Y",IF(OR(LEFT(UPPER(TRIM(A137)),2)="T:",LEFT(UPPER(TRIM(A137)),6)="TODAY:"),"T",IF(OR(LEFT(UPPER(TRIM(A137)),2)="B:",LEFT(UPPER(TRIM(A137)),8)="BLOCKER:",LEFT(UPPER(TRIM(A137)),9)="BLOCKERS:",LEFT(UPPER(TRIM(A137)),8)="BLOCKED:"),"B",""))))</f>
      </c>
      <c r="E137" s="17">
        <f>IF(D137="","",TRIM(MID(A137,FIND(":",A137)+1,500)))</f>
      </c>
    </row>
    <row r="138">
      <c r="B138" s="17">
        <f>IF(A138="","",IF(COUNTIF(Roster[Name],IF(RIGHT(IF(LEFT(TRIM(A138),1)="[",TRIM(MID(TRIM(A138),FIND("]",TRIM(A138)&amp;"]")+1,200)),TRIM(A138)),1)=")",TRIM(LEFT(IF(LEFT(TRIM(A138),1)="[",TRIM(MID(TRIM(A138),FIND("]",TRIM(A138)&amp;"]")+1,200)),TRIM(A138)),FIND("(",IF(LEFT(TRIM(A138),1)="[",TRIM(MID(TRIM(A138),FIND("]",TRIM(A138)&amp;"]")+1,200)),TRIM(A138))&amp;"(")-1)),IF(LEFT(TRIM(A138),1)="[",TRIM(MID(TRIM(A138),FIND("]",TRIM(A138)&amp;"]")+1,200)),TRIM(A138))))&gt;0,IF(RIGHT(IF(LEFT(TRIM(A138),1)="[",TRIM(MID(TRIM(A138),FIND("]",TRIM(A138)&amp;"]")+1,200)),TRIM(A138)),1)=")",TRIM(LEFT(IF(LEFT(TRIM(A138),1)="[",TRIM(MID(TRIM(A138),FIND("]",TRIM(A138)&amp;"]")+1,200)),TRIM(A138)),FIND("(",IF(LEFT(TRIM(A138),1)="[",TRIM(MID(TRIM(A138),FIND("]",TRIM(A138)&amp;"]")+1,200)),TRIM(A138))&amp;"(")-1)),IF(LEFT(TRIM(A138),1)="[",TRIM(MID(TRIM(A138),FIND("]",TRIM(A138)&amp;"]")+1,200)),TRIM(A138))),""))</f>
      </c>
      <c r="C138" s="17">
        <f>IF(B138&lt;&gt;"",B138,C137)</f>
      </c>
      <c r="D138" s="17">
        <f>IF(A138="","",IF(OR(LEFT(UPPER(TRIM(A138)),2)="Y:",LEFT(UPPER(TRIM(A138)),10)="YESTERDAY:"),"Y",IF(OR(LEFT(UPPER(TRIM(A138)),2)="T:",LEFT(UPPER(TRIM(A138)),6)="TODAY:"),"T",IF(OR(LEFT(UPPER(TRIM(A138)),2)="B:",LEFT(UPPER(TRIM(A138)),8)="BLOCKER:",LEFT(UPPER(TRIM(A138)),9)="BLOCKERS:",LEFT(UPPER(TRIM(A138)),8)="BLOCKED:"),"B",""))))</f>
      </c>
      <c r="E138" s="17">
        <f>IF(D138="","",TRIM(MID(A138,FIND(":",A138)+1,500)))</f>
      </c>
    </row>
    <row r="139">
      <c r="B139" s="17">
        <f>IF(A139="","",IF(COUNTIF(Roster[Name],IF(RIGHT(IF(LEFT(TRIM(A139),1)="[",TRIM(MID(TRIM(A139),FIND("]",TRIM(A139)&amp;"]")+1,200)),TRIM(A139)),1)=")",TRIM(LEFT(IF(LEFT(TRIM(A139),1)="[",TRIM(MID(TRIM(A139),FIND("]",TRIM(A139)&amp;"]")+1,200)),TRIM(A139)),FIND("(",IF(LEFT(TRIM(A139),1)="[",TRIM(MID(TRIM(A139),FIND("]",TRIM(A139)&amp;"]")+1,200)),TRIM(A139))&amp;"(")-1)),IF(LEFT(TRIM(A139),1)="[",TRIM(MID(TRIM(A139),FIND("]",TRIM(A139)&amp;"]")+1,200)),TRIM(A139))))&gt;0,IF(RIGHT(IF(LEFT(TRIM(A139),1)="[",TRIM(MID(TRIM(A139),FIND("]",TRIM(A139)&amp;"]")+1,200)),TRIM(A139)),1)=")",TRIM(LEFT(IF(LEFT(TRIM(A139),1)="[",TRIM(MID(TRIM(A139),FIND("]",TRIM(A139)&amp;"]")+1,200)),TRIM(A139)),FIND("(",IF(LEFT(TRIM(A139),1)="[",TRIM(MID(TRIM(A139),FIND("]",TRIM(A139)&amp;"]")+1,200)),TRIM(A139))&amp;"(")-1)),IF(LEFT(TRIM(A139),1)="[",TRIM(MID(TRIM(A139),FIND("]",TRIM(A139)&amp;"]")+1,200)),TRIM(A139))),""))</f>
      </c>
      <c r="C139" s="17">
        <f>IF(B139&lt;&gt;"",B139,C138)</f>
      </c>
      <c r="D139" s="17">
        <f>IF(A139="","",IF(OR(LEFT(UPPER(TRIM(A139)),2)="Y:",LEFT(UPPER(TRIM(A139)),10)="YESTERDAY:"),"Y",IF(OR(LEFT(UPPER(TRIM(A139)),2)="T:",LEFT(UPPER(TRIM(A139)),6)="TODAY:"),"T",IF(OR(LEFT(UPPER(TRIM(A139)),2)="B:",LEFT(UPPER(TRIM(A139)),8)="BLOCKER:",LEFT(UPPER(TRIM(A139)),9)="BLOCKERS:",LEFT(UPPER(TRIM(A139)),8)="BLOCKED:"),"B",""))))</f>
      </c>
      <c r="E139" s="17">
        <f>IF(D139="","",TRIM(MID(A139,FIND(":",A139)+1,500)))</f>
      </c>
    </row>
    <row r="140">
      <c r="B140" s="17">
        <f>IF(A140="","",IF(COUNTIF(Roster[Name],IF(RIGHT(IF(LEFT(TRIM(A140),1)="[",TRIM(MID(TRIM(A140),FIND("]",TRIM(A140)&amp;"]")+1,200)),TRIM(A140)),1)=")",TRIM(LEFT(IF(LEFT(TRIM(A140),1)="[",TRIM(MID(TRIM(A140),FIND("]",TRIM(A140)&amp;"]")+1,200)),TRIM(A140)),FIND("(",IF(LEFT(TRIM(A140),1)="[",TRIM(MID(TRIM(A140),FIND("]",TRIM(A140)&amp;"]")+1,200)),TRIM(A140))&amp;"(")-1)),IF(LEFT(TRIM(A140),1)="[",TRIM(MID(TRIM(A140),FIND("]",TRIM(A140)&amp;"]")+1,200)),TRIM(A140))))&gt;0,IF(RIGHT(IF(LEFT(TRIM(A140),1)="[",TRIM(MID(TRIM(A140),FIND("]",TRIM(A140)&amp;"]")+1,200)),TRIM(A140)),1)=")",TRIM(LEFT(IF(LEFT(TRIM(A140),1)="[",TRIM(MID(TRIM(A140),FIND("]",TRIM(A140)&amp;"]")+1,200)),TRIM(A140)),FIND("(",IF(LEFT(TRIM(A140),1)="[",TRIM(MID(TRIM(A140),FIND("]",TRIM(A140)&amp;"]")+1,200)),TRIM(A140))&amp;"(")-1)),IF(LEFT(TRIM(A140),1)="[",TRIM(MID(TRIM(A140),FIND("]",TRIM(A140)&amp;"]")+1,200)),TRIM(A140))),""))</f>
      </c>
      <c r="C140" s="17">
        <f>IF(B140&lt;&gt;"",B140,C139)</f>
      </c>
      <c r="D140" s="17">
        <f>IF(A140="","",IF(OR(LEFT(UPPER(TRIM(A140)),2)="Y:",LEFT(UPPER(TRIM(A140)),10)="YESTERDAY:"),"Y",IF(OR(LEFT(UPPER(TRIM(A140)),2)="T:",LEFT(UPPER(TRIM(A140)),6)="TODAY:"),"T",IF(OR(LEFT(UPPER(TRIM(A140)),2)="B:",LEFT(UPPER(TRIM(A140)),8)="BLOCKER:",LEFT(UPPER(TRIM(A140)),9)="BLOCKERS:",LEFT(UPPER(TRIM(A140)),8)="BLOCKED:"),"B",""))))</f>
      </c>
      <c r="E140" s="17">
        <f>IF(D140="","",TRIM(MID(A140,FIND(":",A140)+1,500)))</f>
      </c>
    </row>
    <row r="141">
      <c r="B141" s="17">
        <f>IF(A141="","",IF(COUNTIF(Roster[Name],IF(RIGHT(IF(LEFT(TRIM(A141),1)="[",TRIM(MID(TRIM(A141),FIND("]",TRIM(A141)&amp;"]")+1,200)),TRIM(A141)),1)=")",TRIM(LEFT(IF(LEFT(TRIM(A141),1)="[",TRIM(MID(TRIM(A141),FIND("]",TRIM(A141)&amp;"]")+1,200)),TRIM(A141)),FIND("(",IF(LEFT(TRIM(A141),1)="[",TRIM(MID(TRIM(A141),FIND("]",TRIM(A141)&amp;"]")+1,200)),TRIM(A141))&amp;"(")-1)),IF(LEFT(TRIM(A141),1)="[",TRIM(MID(TRIM(A141),FIND("]",TRIM(A141)&amp;"]")+1,200)),TRIM(A141))))&gt;0,IF(RIGHT(IF(LEFT(TRIM(A141),1)="[",TRIM(MID(TRIM(A141),FIND("]",TRIM(A141)&amp;"]")+1,200)),TRIM(A141)),1)=")",TRIM(LEFT(IF(LEFT(TRIM(A141),1)="[",TRIM(MID(TRIM(A141),FIND("]",TRIM(A141)&amp;"]")+1,200)),TRIM(A141)),FIND("(",IF(LEFT(TRIM(A141),1)="[",TRIM(MID(TRIM(A141),FIND("]",TRIM(A141)&amp;"]")+1,200)),TRIM(A141))&amp;"(")-1)),IF(LEFT(TRIM(A141),1)="[",TRIM(MID(TRIM(A141),FIND("]",TRIM(A141)&amp;"]")+1,200)),TRIM(A141))),""))</f>
      </c>
      <c r="C141" s="17">
        <f>IF(B141&lt;&gt;"",B141,C140)</f>
      </c>
      <c r="D141" s="17">
        <f>IF(A141="","",IF(OR(LEFT(UPPER(TRIM(A141)),2)="Y:",LEFT(UPPER(TRIM(A141)),10)="YESTERDAY:"),"Y",IF(OR(LEFT(UPPER(TRIM(A141)),2)="T:",LEFT(UPPER(TRIM(A141)),6)="TODAY:"),"T",IF(OR(LEFT(UPPER(TRIM(A141)),2)="B:",LEFT(UPPER(TRIM(A141)),8)="BLOCKER:",LEFT(UPPER(TRIM(A141)),9)="BLOCKERS:",LEFT(UPPER(TRIM(A141)),8)="BLOCKED:"),"B",""))))</f>
      </c>
      <c r="E141" s="17">
        <f>IF(D141="","",TRIM(MID(A141,FIND(":",A141)+1,500)))</f>
      </c>
    </row>
    <row r="142">
      <c r="B142" s="17">
        <f>IF(A142="","",IF(COUNTIF(Roster[Name],IF(RIGHT(IF(LEFT(TRIM(A142),1)="[",TRIM(MID(TRIM(A142),FIND("]",TRIM(A142)&amp;"]")+1,200)),TRIM(A142)),1)=")",TRIM(LEFT(IF(LEFT(TRIM(A142),1)="[",TRIM(MID(TRIM(A142),FIND("]",TRIM(A142)&amp;"]")+1,200)),TRIM(A142)),FIND("(",IF(LEFT(TRIM(A142),1)="[",TRIM(MID(TRIM(A142),FIND("]",TRIM(A142)&amp;"]")+1,200)),TRIM(A142))&amp;"(")-1)),IF(LEFT(TRIM(A142),1)="[",TRIM(MID(TRIM(A142),FIND("]",TRIM(A142)&amp;"]")+1,200)),TRIM(A142))))&gt;0,IF(RIGHT(IF(LEFT(TRIM(A142),1)="[",TRIM(MID(TRIM(A142),FIND("]",TRIM(A142)&amp;"]")+1,200)),TRIM(A142)),1)=")",TRIM(LEFT(IF(LEFT(TRIM(A142),1)="[",TRIM(MID(TRIM(A142),FIND("]",TRIM(A142)&amp;"]")+1,200)),TRIM(A142)),FIND("(",IF(LEFT(TRIM(A142),1)="[",TRIM(MID(TRIM(A142),FIND("]",TRIM(A142)&amp;"]")+1,200)),TRIM(A142))&amp;"(")-1)),IF(LEFT(TRIM(A142),1)="[",TRIM(MID(TRIM(A142),FIND("]",TRIM(A142)&amp;"]")+1,200)),TRIM(A142))),""))</f>
      </c>
      <c r="C142" s="17">
        <f>IF(B142&lt;&gt;"",B142,C141)</f>
      </c>
      <c r="D142" s="17">
        <f>IF(A142="","",IF(OR(LEFT(UPPER(TRIM(A142)),2)="Y:",LEFT(UPPER(TRIM(A142)),10)="YESTERDAY:"),"Y",IF(OR(LEFT(UPPER(TRIM(A142)),2)="T:",LEFT(UPPER(TRIM(A142)),6)="TODAY:"),"T",IF(OR(LEFT(UPPER(TRIM(A142)),2)="B:",LEFT(UPPER(TRIM(A142)),8)="BLOCKER:",LEFT(UPPER(TRIM(A142)),9)="BLOCKERS:",LEFT(UPPER(TRIM(A142)),8)="BLOCKED:"),"B",""))))</f>
      </c>
      <c r="E142" s="17">
        <f>IF(D142="","",TRIM(MID(A142,FIND(":",A142)+1,500)))</f>
      </c>
    </row>
    <row r="143">
      <c r="B143" s="17">
        <f>IF(A143="","",IF(COUNTIF(Roster[Name],IF(RIGHT(IF(LEFT(TRIM(A143),1)="[",TRIM(MID(TRIM(A143),FIND("]",TRIM(A143)&amp;"]")+1,200)),TRIM(A143)),1)=")",TRIM(LEFT(IF(LEFT(TRIM(A143),1)="[",TRIM(MID(TRIM(A143),FIND("]",TRIM(A143)&amp;"]")+1,200)),TRIM(A143)),FIND("(",IF(LEFT(TRIM(A143),1)="[",TRIM(MID(TRIM(A143),FIND("]",TRIM(A143)&amp;"]")+1,200)),TRIM(A143))&amp;"(")-1)),IF(LEFT(TRIM(A143),1)="[",TRIM(MID(TRIM(A143),FIND("]",TRIM(A143)&amp;"]")+1,200)),TRIM(A143))))&gt;0,IF(RIGHT(IF(LEFT(TRIM(A143),1)="[",TRIM(MID(TRIM(A143),FIND("]",TRIM(A143)&amp;"]")+1,200)),TRIM(A143)),1)=")",TRIM(LEFT(IF(LEFT(TRIM(A143),1)="[",TRIM(MID(TRIM(A143),FIND("]",TRIM(A143)&amp;"]")+1,200)),TRIM(A143)),FIND("(",IF(LEFT(TRIM(A143),1)="[",TRIM(MID(TRIM(A143),FIND("]",TRIM(A143)&amp;"]")+1,200)),TRIM(A143))&amp;"(")-1)),IF(LEFT(TRIM(A143),1)="[",TRIM(MID(TRIM(A143),FIND("]",TRIM(A143)&amp;"]")+1,200)),TRIM(A143))),""))</f>
      </c>
      <c r="C143" s="17">
        <f>IF(B143&lt;&gt;"",B143,C142)</f>
      </c>
      <c r="D143" s="17">
        <f>IF(A143="","",IF(OR(LEFT(UPPER(TRIM(A143)),2)="Y:",LEFT(UPPER(TRIM(A143)),10)="YESTERDAY:"),"Y",IF(OR(LEFT(UPPER(TRIM(A143)),2)="T:",LEFT(UPPER(TRIM(A143)),6)="TODAY:"),"T",IF(OR(LEFT(UPPER(TRIM(A143)),2)="B:",LEFT(UPPER(TRIM(A143)),8)="BLOCKER:",LEFT(UPPER(TRIM(A143)),9)="BLOCKERS:",LEFT(UPPER(TRIM(A143)),8)="BLOCKED:"),"B",""))))</f>
      </c>
      <c r="E143" s="17">
        <f>IF(D143="","",TRIM(MID(A143,FIND(":",A143)+1,500)))</f>
      </c>
    </row>
    <row r="144">
      <c r="B144" s="17">
        <f>IF(A144="","",IF(COUNTIF(Roster[Name],IF(RIGHT(IF(LEFT(TRIM(A144),1)="[",TRIM(MID(TRIM(A144),FIND("]",TRIM(A144)&amp;"]")+1,200)),TRIM(A144)),1)=")",TRIM(LEFT(IF(LEFT(TRIM(A144),1)="[",TRIM(MID(TRIM(A144),FIND("]",TRIM(A144)&amp;"]")+1,200)),TRIM(A144)),FIND("(",IF(LEFT(TRIM(A144),1)="[",TRIM(MID(TRIM(A144),FIND("]",TRIM(A144)&amp;"]")+1,200)),TRIM(A144))&amp;"(")-1)),IF(LEFT(TRIM(A144),1)="[",TRIM(MID(TRIM(A144),FIND("]",TRIM(A144)&amp;"]")+1,200)),TRIM(A144))))&gt;0,IF(RIGHT(IF(LEFT(TRIM(A144),1)="[",TRIM(MID(TRIM(A144),FIND("]",TRIM(A144)&amp;"]")+1,200)),TRIM(A144)),1)=")",TRIM(LEFT(IF(LEFT(TRIM(A144),1)="[",TRIM(MID(TRIM(A144),FIND("]",TRIM(A144)&amp;"]")+1,200)),TRIM(A144)),FIND("(",IF(LEFT(TRIM(A144),1)="[",TRIM(MID(TRIM(A144),FIND("]",TRIM(A144)&amp;"]")+1,200)),TRIM(A144))&amp;"(")-1)),IF(LEFT(TRIM(A144),1)="[",TRIM(MID(TRIM(A144),FIND("]",TRIM(A144)&amp;"]")+1,200)),TRIM(A144))),""))</f>
      </c>
      <c r="C144" s="17">
        <f>IF(B144&lt;&gt;"",B144,C143)</f>
      </c>
      <c r="D144" s="17">
        <f>IF(A144="","",IF(OR(LEFT(UPPER(TRIM(A144)),2)="Y:",LEFT(UPPER(TRIM(A144)),10)="YESTERDAY:"),"Y",IF(OR(LEFT(UPPER(TRIM(A144)),2)="T:",LEFT(UPPER(TRIM(A144)),6)="TODAY:"),"T",IF(OR(LEFT(UPPER(TRIM(A144)),2)="B:",LEFT(UPPER(TRIM(A144)),8)="BLOCKER:",LEFT(UPPER(TRIM(A144)),9)="BLOCKERS:",LEFT(UPPER(TRIM(A144)),8)="BLOCKED:"),"B",""))))</f>
      </c>
      <c r="E144" s="17">
        <f>IF(D144="","",TRIM(MID(A144,FIND(":",A144)+1,500)))</f>
      </c>
    </row>
    <row r="145">
      <c r="B145" s="17">
        <f>IF(A145="","",IF(COUNTIF(Roster[Name],IF(RIGHT(IF(LEFT(TRIM(A145),1)="[",TRIM(MID(TRIM(A145),FIND("]",TRIM(A145)&amp;"]")+1,200)),TRIM(A145)),1)=")",TRIM(LEFT(IF(LEFT(TRIM(A145),1)="[",TRIM(MID(TRIM(A145),FIND("]",TRIM(A145)&amp;"]")+1,200)),TRIM(A145)),FIND("(",IF(LEFT(TRIM(A145),1)="[",TRIM(MID(TRIM(A145),FIND("]",TRIM(A145)&amp;"]")+1,200)),TRIM(A145))&amp;"(")-1)),IF(LEFT(TRIM(A145),1)="[",TRIM(MID(TRIM(A145),FIND("]",TRIM(A145)&amp;"]")+1,200)),TRIM(A145))))&gt;0,IF(RIGHT(IF(LEFT(TRIM(A145),1)="[",TRIM(MID(TRIM(A145),FIND("]",TRIM(A145)&amp;"]")+1,200)),TRIM(A145)),1)=")",TRIM(LEFT(IF(LEFT(TRIM(A145),1)="[",TRIM(MID(TRIM(A145),FIND("]",TRIM(A145)&amp;"]")+1,200)),TRIM(A145)),FIND("(",IF(LEFT(TRIM(A145),1)="[",TRIM(MID(TRIM(A145),FIND("]",TRIM(A145)&amp;"]")+1,200)),TRIM(A145))&amp;"(")-1)),IF(LEFT(TRIM(A145),1)="[",TRIM(MID(TRIM(A145),FIND("]",TRIM(A145)&amp;"]")+1,200)),TRIM(A145))),""))</f>
      </c>
      <c r="C145" s="17">
        <f>IF(B145&lt;&gt;"",B145,C144)</f>
      </c>
      <c r="D145" s="17">
        <f>IF(A145="","",IF(OR(LEFT(UPPER(TRIM(A145)),2)="Y:",LEFT(UPPER(TRIM(A145)),10)="YESTERDAY:"),"Y",IF(OR(LEFT(UPPER(TRIM(A145)),2)="T:",LEFT(UPPER(TRIM(A145)),6)="TODAY:"),"T",IF(OR(LEFT(UPPER(TRIM(A145)),2)="B:",LEFT(UPPER(TRIM(A145)),8)="BLOCKER:",LEFT(UPPER(TRIM(A145)),9)="BLOCKERS:",LEFT(UPPER(TRIM(A145)),8)="BLOCKED:"),"B",""))))</f>
      </c>
      <c r="E145" s="17">
        <f>IF(D145="","",TRIM(MID(A145,FIND(":",A145)+1,500)))</f>
      </c>
    </row>
    <row r="146">
      <c r="B146" s="17">
        <f>IF(A146="","",IF(COUNTIF(Roster[Name],IF(RIGHT(IF(LEFT(TRIM(A146),1)="[",TRIM(MID(TRIM(A146),FIND("]",TRIM(A146)&amp;"]")+1,200)),TRIM(A146)),1)=")",TRIM(LEFT(IF(LEFT(TRIM(A146),1)="[",TRIM(MID(TRIM(A146),FIND("]",TRIM(A146)&amp;"]")+1,200)),TRIM(A146)),FIND("(",IF(LEFT(TRIM(A146),1)="[",TRIM(MID(TRIM(A146),FIND("]",TRIM(A146)&amp;"]")+1,200)),TRIM(A146))&amp;"(")-1)),IF(LEFT(TRIM(A146),1)="[",TRIM(MID(TRIM(A146),FIND("]",TRIM(A146)&amp;"]")+1,200)),TRIM(A146))))&gt;0,IF(RIGHT(IF(LEFT(TRIM(A146),1)="[",TRIM(MID(TRIM(A146),FIND("]",TRIM(A146)&amp;"]")+1,200)),TRIM(A146)),1)=")",TRIM(LEFT(IF(LEFT(TRIM(A146),1)="[",TRIM(MID(TRIM(A146),FIND("]",TRIM(A146)&amp;"]")+1,200)),TRIM(A146)),FIND("(",IF(LEFT(TRIM(A146),1)="[",TRIM(MID(TRIM(A146),FIND("]",TRIM(A146)&amp;"]")+1,200)),TRIM(A146))&amp;"(")-1)),IF(LEFT(TRIM(A146),1)="[",TRIM(MID(TRIM(A146),FIND("]",TRIM(A146)&amp;"]")+1,200)),TRIM(A146))),""))</f>
      </c>
      <c r="C146" s="17">
        <f>IF(B146&lt;&gt;"",B146,C145)</f>
      </c>
      <c r="D146" s="17">
        <f>IF(A146="","",IF(OR(LEFT(UPPER(TRIM(A146)),2)="Y:",LEFT(UPPER(TRIM(A146)),10)="YESTERDAY:"),"Y",IF(OR(LEFT(UPPER(TRIM(A146)),2)="T:",LEFT(UPPER(TRIM(A146)),6)="TODAY:"),"T",IF(OR(LEFT(UPPER(TRIM(A146)),2)="B:",LEFT(UPPER(TRIM(A146)),8)="BLOCKER:",LEFT(UPPER(TRIM(A146)),9)="BLOCKERS:",LEFT(UPPER(TRIM(A146)),8)="BLOCKED:"),"B",""))))</f>
      </c>
      <c r="E146" s="17">
        <f>IF(D146="","",TRIM(MID(A146,FIND(":",A146)+1,500)))</f>
      </c>
    </row>
    <row r="147">
      <c r="B147" s="17">
        <f>IF(A147="","",IF(COUNTIF(Roster[Name],IF(RIGHT(IF(LEFT(TRIM(A147),1)="[",TRIM(MID(TRIM(A147),FIND("]",TRIM(A147)&amp;"]")+1,200)),TRIM(A147)),1)=")",TRIM(LEFT(IF(LEFT(TRIM(A147),1)="[",TRIM(MID(TRIM(A147),FIND("]",TRIM(A147)&amp;"]")+1,200)),TRIM(A147)),FIND("(",IF(LEFT(TRIM(A147),1)="[",TRIM(MID(TRIM(A147),FIND("]",TRIM(A147)&amp;"]")+1,200)),TRIM(A147))&amp;"(")-1)),IF(LEFT(TRIM(A147),1)="[",TRIM(MID(TRIM(A147),FIND("]",TRIM(A147)&amp;"]")+1,200)),TRIM(A147))))&gt;0,IF(RIGHT(IF(LEFT(TRIM(A147),1)="[",TRIM(MID(TRIM(A147),FIND("]",TRIM(A147)&amp;"]")+1,200)),TRIM(A147)),1)=")",TRIM(LEFT(IF(LEFT(TRIM(A147),1)="[",TRIM(MID(TRIM(A147),FIND("]",TRIM(A147)&amp;"]")+1,200)),TRIM(A147)),FIND("(",IF(LEFT(TRIM(A147),1)="[",TRIM(MID(TRIM(A147),FIND("]",TRIM(A147)&amp;"]")+1,200)),TRIM(A147))&amp;"(")-1)),IF(LEFT(TRIM(A147),1)="[",TRIM(MID(TRIM(A147),FIND("]",TRIM(A147)&amp;"]")+1,200)),TRIM(A147))),""))</f>
      </c>
      <c r="C147" s="17">
        <f>IF(B147&lt;&gt;"",B147,C146)</f>
      </c>
      <c r="D147" s="17">
        <f>IF(A147="","",IF(OR(LEFT(UPPER(TRIM(A147)),2)="Y:",LEFT(UPPER(TRIM(A147)),10)="YESTERDAY:"),"Y",IF(OR(LEFT(UPPER(TRIM(A147)),2)="T:",LEFT(UPPER(TRIM(A147)),6)="TODAY:"),"T",IF(OR(LEFT(UPPER(TRIM(A147)),2)="B:",LEFT(UPPER(TRIM(A147)),8)="BLOCKER:",LEFT(UPPER(TRIM(A147)),9)="BLOCKERS:",LEFT(UPPER(TRIM(A147)),8)="BLOCKED:"),"B",""))))</f>
      </c>
      <c r="E147" s="17">
        <f>IF(D147="","",TRIM(MID(A147,FIND(":",A147)+1,500)))</f>
      </c>
    </row>
    <row r="148">
      <c r="B148" s="17">
        <f>IF(A148="","",IF(COUNTIF(Roster[Name],IF(RIGHT(IF(LEFT(TRIM(A148),1)="[",TRIM(MID(TRIM(A148),FIND("]",TRIM(A148)&amp;"]")+1,200)),TRIM(A148)),1)=")",TRIM(LEFT(IF(LEFT(TRIM(A148),1)="[",TRIM(MID(TRIM(A148),FIND("]",TRIM(A148)&amp;"]")+1,200)),TRIM(A148)),FIND("(",IF(LEFT(TRIM(A148),1)="[",TRIM(MID(TRIM(A148),FIND("]",TRIM(A148)&amp;"]")+1,200)),TRIM(A148))&amp;"(")-1)),IF(LEFT(TRIM(A148),1)="[",TRIM(MID(TRIM(A148),FIND("]",TRIM(A148)&amp;"]")+1,200)),TRIM(A148))))&gt;0,IF(RIGHT(IF(LEFT(TRIM(A148),1)="[",TRIM(MID(TRIM(A148),FIND("]",TRIM(A148)&amp;"]")+1,200)),TRIM(A148)),1)=")",TRIM(LEFT(IF(LEFT(TRIM(A148),1)="[",TRIM(MID(TRIM(A148),FIND("]",TRIM(A148)&amp;"]")+1,200)),TRIM(A148)),FIND("(",IF(LEFT(TRIM(A148),1)="[",TRIM(MID(TRIM(A148),FIND("]",TRIM(A148)&amp;"]")+1,200)),TRIM(A148))&amp;"(")-1)),IF(LEFT(TRIM(A148),1)="[",TRIM(MID(TRIM(A148),FIND("]",TRIM(A148)&amp;"]")+1,200)),TRIM(A148))),""))</f>
      </c>
      <c r="C148" s="17">
        <f>IF(B148&lt;&gt;"",B148,C147)</f>
      </c>
      <c r="D148" s="17">
        <f>IF(A148="","",IF(OR(LEFT(UPPER(TRIM(A148)),2)="Y:",LEFT(UPPER(TRIM(A148)),10)="YESTERDAY:"),"Y",IF(OR(LEFT(UPPER(TRIM(A148)),2)="T:",LEFT(UPPER(TRIM(A148)),6)="TODAY:"),"T",IF(OR(LEFT(UPPER(TRIM(A148)),2)="B:",LEFT(UPPER(TRIM(A148)),8)="BLOCKER:",LEFT(UPPER(TRIM(A148)),9)="BLOCKERS:",LEFT(UPPER(TRIM(A148)),8)="BLOCKED:"),"B",""))))</f>
      </c>
      <c r="E148" s="17">
        <f>IF(D148="","",TRIM(MID(A148,FIND(":",A148)+1,500)))</f>
      </c>
    </row>
    <row r="149">
      <c r="B149" s="17">
        <f>IF(A149="","",IF(COUNTIF(Roster[Name],IF(RIGHT(IF(LEFT(TRIM(A149),1)="[",TRIM(MID(TRIM(A149),FIND("]",TRIM(A149)&amp;"]")+1,200)),TRIM(A149)),1)=")",TRIM(LEFT(IF(LEFT(TRIM(A149),1)="[",TRIM(MID(TRIM(A149),FIND("]",TRIM(A149)&amp;"]")+1,200)),TRIM(A149)),FIND("(",IF(LEFT(TRIM(A149),1)="[",TRIM(MID(TRIM(A149),FIND("]",TRIM(A149)&amp;"]")+1,200)),TRIM(A149))&amp;"(")-1)),IF(LEFT(TRIM(A149),1)="[",TRIM(MID(TRIM(A149),FIND("]",TRIM(A149)&amp;"]")+1,200)),TRIM(A149))))&gt;0,IF(RIGHT(IF(LEFT(TRIM(A149),1)="[",TRIM(MID(TRIM(A149),FIND("]",TRIM(A149)&amp;"]")+1,200)),TRIM(A149)),1)=")",TRIM(LEFT(IF(LEFT(TRIM(A149),1)="[",TRIM(MID(TRIM(A149),FIND("]",TRIM(A149)&amp;"]")+1,200)),TRIM(A149)),FIND("(",IF(LEFT(TRIM(A149),1)="[",TRIM(MID(TRIM(A149),FIND("]",TRIM(A149)&amp;"]")+1,200)),TRIM(A149))&amp;"(")-1)),IF(LEFT(TRIM(A149),1)="[",TRIM(MID(TRIM(A149),FIND("]",TRIM(A149)&amp;"]")+1,200)),TRIM(A149))),""))</f>
      </c>
      <c r="C149" s="17">
        <f>IF(B149&lt;&gt;"",B149,C148)</f>
      </c>
      <c r="D149" s="17">
        <f>IF(A149="","",IF(OR(LEFT(UPPER(TRIM(A149)),2)="Y:",LEFT(UPPER(TRIM(A149)),10)="YESTERDAY:"),"Y",IF(OR(LEFT(UPPER(TRIM(A149)),2)="T:",LEFT(UPPER(TRIM(A149)),6)="TODAY:"),"T",IF(OR(LEFT(UPPER(TRIM(A149)),2)="B:",LEFT(UPPER(TRIM(A149)),8)="BLOCKER:",LEFT(UPPER(TRIM(A149)),9)="BLOCKERS:",LEFT(UPPER(TRIM(A149)),8)="BLOCKED:"),"B",""))))</f>
      </c>
      <c r="E149" s="17">
        <f>IF(D149="","",TRIM(MID(A149,FIND(":",A149)+1,500)))</f>
      </c>
    </row>
    <row r="150">
      <c r="B150" s="17">
        <f>IF(A150="","",IF(COUNTIF(Roster[Name],IF(RIGHT(IF(LEFT(TRIM(A150),1)="[",TRIM(MID(TRIM(A150),FIND("]",TRIM(A150)&amp;"]")+1,200)),TRIM(A150)),1)=")",TRIM(LEFT(IF(LEFT(TRIM(A150),1)="[",TRIM(MID(TRIM(A150),FIND("]",TRIM(A150)&amp;"]")+1,200)),TRIM(A150)),FIND("(",IF(LEFT(TRIM(A150),1)="[",TRIM(MID(TRIM(A150),FIND("]",TRIM(A150)&amp;"]")+1,200)),TRIM(A150))&amp;"(")-1)),IF(LEFT(TRIM(A150),1)="[",TRIM(MID(TRIM(A150),FIND("]",TRIM(A150)&amp;"]")+1,200)),TRIM(A150))))&gt;0,IF(RIGHT(IF(LEFT(TRIM(A150),1)="[",TRIM(MID(TRIM(A150),FIND("]",TRIM(A150)&amp;"]")+1,200)),TRIM(A150)),1)=")",TRIM(LEFT(IF(LEFT(TRIM(A150),1)="[",TRIM(MID(TRIM(A150),FIND("]",TRIM(A150)&amp;"]")+1,200)),TRIM(A150)),FIND("(",IF(LEFT(TRIM(A150),1)="[",TRIM(MID(TRIM(A150),FIND("]",TRIM(A150)&amp;"]")+1,200)),TRIM(A150))&amp;"(")-1)),IF(LEFT(TRIM(A150),1)="[",TRIM(MID(TRIM(A150),FIND("]",TRIM(A150)&amp;"]")+1,200)),TRIM(A150))),""))</f>
      </c>
      <c r="C150" s="17">
        <f>IF(B150&lt;&gt;"",B150,C149)</f>
      </c>
      <c r="D150" s="17">
        <f>IF(A150="","",IF(OR(LEFT(UPPER(TRIM(A150)),2)="Y:",LEFT(UPPER(TRIM(A150)),10)="YESTERDAY:"),"Y",IF(OR(LEFT(UPPER(TRIM(A150)),2)="T:",LEFT(UPPER(TRIM(A150)),6)="TODAY:"),"T",IF(OR(LEFT(UPPER(TRIM(A150)),2)="B:",LEFT(UPPER(TRIM(A150)),8)="BLOCKER:",LEFT(UPPER(TRIM(A150)),9)="BLOCKERS:",LEFT(UPPER(TRIM(A150)),8)="BLOCKED:"),"B",""))))</f>
      </c>
      <c r="E150" s="17">
        <f>IF(D150="","",TRIM(MID(A150,FIND(":",A150)+1,500)))</f>
      </c>
    </row>
    <row r="151">
      <c r="B151" s="17">
        <f>IF(A151="","",IF(COUNTIF(Roster[Name],IF(RIGHT(IF(LEFT(TRIM(A151),1)="[",TRIM(MID(TRIM(A151),FIND("]",TRIM(A151)&amp;"]")+1,200)),TRIM(A151)),1)=")",TRIM(LEFT(IF(LEFT(TRIM(A151),1)="[",TRIM(MID(TRIM(A151),FIND("]",TRIM(A151)&amp;"]")+1,200)),TRIM(A151)),FIND("(",IF(LEFT(TRIM(A151),1)="[",TRIM(MID(TRIM(A151),FIND("]",TRIM(A151)&amp;"]")+1,200)),TRIM(A151))&amp;"(")-1)),IF(LEFT(TRIM(A151),1)="[",TRIM(MID(TRIM(A151),FIND("]",TRIM(A151)&amp;"]")+1,200)),TRIM(A151))))&gt;0,IF(RIGHT(IF(LEFT(TRIM(A151),1)="[",TRIM(MID(TRIM(A151),FIND("]",TRIM(A151)&amp;"]")+1,200)),TRIM(A151)),1)=")",TRIM(LEFT(IF(LEFT(TRIM(A151),1)="[",TRIM(MID(TRIM(A151),FIND("]",TRIM(A151)&amp;"]")+1,200)),TRIM(A151)),FIND("(",IF(LEFT(TRIM(A151),1)="[",TRIM(MID(TRIM(A151),FIND("]",TRIM(A151)&amp;"]")+1,200)),TRIM(A151))&amp;"(")-1)),IF(LEFT(TRIM(A151),1)="[",TRIM(MID(TRIM(A151),FIND("]",TRIM(A151)&amp;"]")+1,200)),TRIM(A151))),""))</f>
      </c>
      <c r="C151" s="17">
        <f>IF(B151&lt;&gt;"",B151,C150)</f>
      </c>
      <c r="D151" s="17">
        <f>IF(A151="","",IF(OR(LEFT(UPPER(TRIM(A151)),2)="Y:",LEFT(UPPER(TRIM(A151)),10)="YESTERDAY:"),"Y",IF(OR(LEFT(UPPER(TRIM(A151)),2)="T:",LEFT(UPPER(TRIM(A151)),6)="TODAY:"),"T",IF(OR(LEFT(UPPER(TRIM(A151)),2)="B:",LEFT(UPPER(TRIM(A151)),8)="BLOCKER:",LEFT(UPPER(TRIM(A151)),9)="BLOCKERS:",LEFT(UPPER(TRIM(A151)),8)="BLOCKED:"),"B",""))))</f>
      </c>
      <c r="E151" s="17">
        <f>IF(D151="","",TRIM(MID(A151,FIND(":",A151)+1,500)))</f>
      </c>
    </row>
    <row r="152">
      <c r="B152" s="17">
        <f>IF(A152="","",IF(COUNTIF(Roster[Name],IF(RIGHT(IF(LEFT(TRIM(A152),1)="[",TRIM(MID(TRIM(A152),FIND("]",TRIM(A152)&amp;"]")+1,200)),TRIM(A152)),1)=")",TRIM(LEFT(IF(LEFT(TRIM(A152),1)="[",TRIM(MID(TRIM(A152),FIND("]",TRIM(A152)&amp;"]")+1,200)),TRIM(A152)),FIND("(",IF(LEFT(TRIM(A152),1)="[",TRIM(MID(TRIM(A152),FIND("]",TRIM(A152)&amp;"]")+1,200)),TRIM(A152))&amp;"(")-1)),IF(LEFT(TRIM(A152),1)="[",TRIM(MID(TRIM(A152),FIND("]",TRIM(A152)&amp;"]")+1,200)),TRIM(A152))))&gt;0,IF(RIGHT(IF(LEFT(TRIM(A152),1)="[",TRIM(MID(TRIM(A152),FIND("]",TRIM(A152)&amp;"]")+1,200)),TRIM(A152)),1)=")",TRIM(LEFT(IF(LEFT(TRIM(A152),1)="[",TRIM(MID(TRIM(A152),FIND("]",TRIM(A152)&amp;"]")+1,200)),TRIM(A152)),FIND("(",IF(LEFT(TRIM(A152),1)="[",TRIM(MID(TRIM(A152),FIND("]",TRIM(A152)&amp;"]")+1,200)),TRIM(A152))&amp;"(")-1)),IF(LEFT(TRIM(A152),1)="[",TRIM(MID(TRIM(A152),FIND("]",TRIM(A152)&amp;"]")+1,200)),TRIM(A152))),""))</f>
      </c>
      <c r="C152" s="17">
        <f>IF(B152&lt;&gt;"",B152,C151)</f>
      </c>
      <c r="D152" s="17">
        <f>IF(A152="","",IF(OR(LEFT(UPPER(TRIM(A152)),2)="Y:",LEFT(UPPER(TRIM(A152)),10)="YESTERDAY:"),"Y",IF(OR(LEFT(UPPER(TRIM(A152)),2)="T:",LEFT(UPPER(TRIM(A152)),6)="TODAY:"),"T",IF(OR(LEFT(UPPER(TRIM(A152)),2)="B:",LEFT(UPPER(TRIM(A152)),8)="BLOCKER:",LEFT(UPPER(TRIM(A152)),9)="BLOCKERS:",LEFT(UPPER(TRIM(A152)),8)="BLOCKED:"),"B",""))))</f>
      </c>
      <c r="E152" s="17">
        <f>IF(D152="","",TRIM(MID(A152,FIND(":",A152)+1,500)))</f>
      </c>
    </row>
    <row r="153">
      <c r="B153" s="17">
        <f>IF(A153="","",IF(COUNTIF(Roster[Name],IF(RIGHT(IF(LEFT(TRIM(A153),1)="[",TRIM(MID(TRIM(A153),FIND("]",TRIM(A153)&amp;"]")+1,200)),TRIM(A153)),1)=")",TRIM(LEFT(IF(LEFT(TRIM(A153),1)="[",TRIM(MID(TRIM(A153),FIND("]",TRIM(A153)&amp;"]")+1,200)),TRIM(A153)),FIND("(",IF(LEFT(TRIM(A153),1)="[",TRIM(MID(TRIM(A153),FIND("]",TRIM(A153)&amp;"]")+1,200)),TRIM(A153))&amp;"(")-1)),IF(LEFT(TRIM(A153),1)="[",TRIM(MID(TRIM(A153),FIND("]",TRIM(A153)&amp;"]")+1,200)),TRIM(A153))))&gt;0,IF(RIGHT(IF(LEFT(TRIM(A153),1)="[",TRIM(MID(TRIM(A153),FIND("]",TRIM(A153)&amp;"]")+1,200)),TRIM(A153)),1)=")",TRIM(LEFT(IF(LEFT(TRIM(A153),1)="[",TRIM(MID(TRIM(A153),FIND("]",TRIM(A153)&amp;"]")+1,200)),TRIM(A153)),FIND("(",IF(LEFT(TRIM(A153),1)="[",TRIM(MID(TRIM(A153),FIND("]",TRIM(A153)&amp;"]")+1,200)),TRIM(A153))&amp;"(")-1)),IF(LEFT(TRIM(A153),1)="[",TRIM(MID(TRIM(A153),FIND("]",TRIM(A153)&amp;"]")+1,200)),TRIM(A153))),""))</f>
      </c>
      <c r="C153" s="17">
        <f>IF(B153&lt;&gt;"",B153,C152)</f>
      </c>
      <c r="D153" s="17">
        <f>IF(A153="","",IF(OR(LEFT(UPPER(TRIM(A153)),2)="Y:",LEFT(UPPER(TRIM(A153)),10)="YESTERDAY:"),"Y",IF(OR(LEFT(UPPER(TRIM(A153)),2)="T:",LEFT(UPPER(TRIM(A153)),6)="TODAY:"),"T",IF(OR(LEFT(UPPER(TRIM(A153)),2)="B:",LEFT(UPPER(TRIM(A153)),8)="BLOCKER:",LEFT(UPPER(TRIM(A153)),9)="BLOCKERS:",LEFT(UPPER(TRIM(A153)),8)="BLOCKED:"),"B",""))))</f>
      </c>
      <c r="E153" s="17">
        <f>IF(D153="","",TRIM(MID(A153,FIND(":",A153)+1,500)))</f>
      </c>
    </row>
    <row r="154">
      <c r="B154" s="17">
        <f>IF(A154="","",IF(COUNTIF(Roster[Name],IF(RIGHT(IF(LEFT(TRIM(A154),1)="[",TRIM(MID(TRIM(A154),FIND("]",TRIM(A154)&amp;"]")+1,200)),TRIM(A154)),1)=")",TRIM(LEFT(IF(LEFT(TRIM(A154),1)="[",TRIM(MID(TRIM(A154),FIND("]",TRIM(A154)&amp;"]")+1,200)),TRIM(A154)),FIND("(",IF(LEFT(TRIM(A154),1)="[",TRIM(MID(TRIM(A154),FIND("]",TRIM(A154)&amp;"]")+1,200)),TRIM(A154))&amp;"(")-1)),IF(LEFT(TRIM(A154),1)="[",TRIM(MID(TRIM(A154),FIND("]",TRIM(A154)&amp;"]")+1,200)),TRIM(A154))))&gt;0,IF(RIGHT(IF(LEFT(TRIM(A154),1)="[",TRIM(MID(TRIM(A154),FIND("]",TRIM(A154)&amp;"]")+1,200)),TRIM(A154)),1)=")",TRIM(LEFT(IF(LEFT(TRIM(A154),1)="[",TRIM(MID(TRIM(A154),FIND("]",TRIM(A154)&amp;"]")+1,200)),TRIM(A154)),FIND("(",IF(LEFT(TRIM(A154),1)="[",TRIM(MID(TRIM(A154),FIND("]",TRIM(A154)&amp;"]")+1,200)),TRIM(A154))&amp;"(")-1)),IF(LEFT(TRIM(A154),1)="[",TRIM(MID(TRIM(A154),FIND("]",TRIM(A154)&amp;"]")+1,200)),TRIM(A154))),""))</f>
      </c>
      <c r="C154" s="17">
        <f>IF(B154&lt;&gt;"",B154,C153)</f>
      </c>
      <c r="D154" s="17">
        <f>IF(A154="","",IF(OR(LEFT(UPPER(TRIM(A154)),2)="Y:",LEFT(UPPER(TRIM(A154)),10)="YESTERDAY:"),"Y",IF(OR(LEFT(UPPER(TRIM(A154)),2)="T:",LEFT(UPPER(TRIM(A154)),6)="TODAY:"),"T",IF(OR(LEFT(UPPER(TRIM(A154)),2)="B:",LEFT(UPPER(TRIM(A154)),8)="BLOCKER:",LEFT(UPPER(TRIM(A154)),9)="BLOCKERS:",LEFT(UPPER(TRIM(A154)),8)="BLOCKED:"),"B",""))))</f>
      </c>
      <c r="E154" s="17">
        <f>IF(D154="","",TRIM(MID(A154,FIND(":",A154)+1,500)))</f>
      </c>
    </row>
    <row r="155">
      <c r="B155" s="17">
        <f>IF(A155="","",IF(COUNTIF(Roster[Name],IF(RIGHT(IF(LEFT(TRIM(A155),1)="[",TRIM(MID(TRIM(A155),FIND("]",TRIM(A155)&amp;"]")+1,200)),TRIM(A155)),1)=")",TRIM(LEFT(IF(LEFT(TRIM(A155),1)="[",TRIM(MID(TRIM(A155),FIND("]",TRIM(A155)&amp;"]")+1,200)),TRIM(A155)),FIND("(",IF(LEFT(TRIM(A155),1)="[",TRIM(MID(TRIM(A155),FIND("]",TRIM(A155)&amp;"]")+1,200)),TRIM(A155))&amp;"(")-1)),IF(LEFT(TRIM(A155),1)="[",TRIM(MID(TRIM(A155),FIND("]",TRIM(A155)&amp;"]")+1,200)),TRIM(A155))))&gt;0,IF(RIGHT(IF(LEFT(TRIM(A155),1)="[",TRIM(MID(TRIM(A155),FIND("]",TRIM(A155)&amp;"]")+1,200)),TRIM(A155)),1)=")",TRIM(LEFT(IF(LEFT(TRIM(A155),1)="[",TRIM(MID(TRIM(A155),FIND("]",TRIM(A155)&amp;"]")+1,200)),TRIM(A155)),FIND("(",IF(LEFT(TRIM(A155),1)="[",TRIM(MID(TRIM(A155),FIND("]",TRIM(A155)&amp;"]")+1,200)),TRIM(A155))&amp;"(")-1)),IF(LEFT(TRIM(A155),1)="[",TRIM(MID(TRIM(A155),FIND("]",TRIM(A155)&amp;"]")+1,200)),TRIM(A155))),""))</f>
      </c>
      <c r="C155" s="17">
        <f>IF(B155&lt;&gt;"",B155,C154)</f>
      </c>
      <c r="D155" s="17">
        <f>IF(A155="","",IF(OR(LEFT(UPPER(TRIM(A155)),2)="Y:",LEFT(UPPER(TRIM(A155)),10)="YESTERDAY:"),"Y",IF(OR(LEFT(UPPER(TRIM(A155)),2)="T:",LEFT(UPPER(TRIM(A155)),6)="TODAY:"),"T",IF(OR(LEFT(UPPER(TRIM(A155)),2)="B:",LEFT(UPPER(TRIM(A155)),8)="BLOCKER:",LEFT(UPPER(TRIM(A155)),9)="BLOCKERS:",LEFT(UPPER(TRIM(A155)),8)="BLOCKED:"),"B",""))))</f>
      </c>
      <c r="E155" s="17">
        <f>IF(D155="","",TRIM(MID(A155,FIND(":",A155)+1,500)))</f>
      </c>
    </row>
    <row r="156">
      <c r="B156" s="17">
        <f>IF(A156="","",IF(COUNTIF(Roster[Name],IF(RIGHT(IF(LEFT(TRIM(A156),1)="[",TRIM(MID(TRIM(A156),FIND("]",TRIM(A156)&amp;"]")+1,200)),TRIM(A156)),1)=")",TRIM(LEFT(IF(LEFT(TRIM(A156),1)="[",TRIM(MID(TRIM(A156),FIND("]",TRIM(A156)&amp;"]")+1,200)),TRIM(A156)),FIND("(",IF(LEFT(TRIM(A156),1)="[",TRIM(MID(TRIM(A156),FIND("]",TRIM(A156)&amp;"]")+1,200)),TRIM(A156))&amp;"(")-1)),IF(LEFT(TRIM(A156),1)="[",TRIM(MID(TRIM(A156),FIND("]",TRIM(A156)&amp;"]")+1,200)),TRIM(A156))))&gt;0,IF(RIGHT(IF(LEFT(TRIM(A156),1)="[",TRIM(MID(TRIM(A156),FIND("]",TRIM(A156)&amp;"]")+1,200)),TRIM(A156)),1)=")",TRIM(LEFT(IF(LEFT(TRIM(A156),1)="[",TRIM(MID(TRIM(A156),FIND("]",TRIM(A156)&amp;"]")+1,200)),TRIM(A156)),FIND("(",IF(LEFT(TRIM(A156),1)="[",TRIM(MID(TRIM(A156),FIND("]",TRIM(A156)&amp;"]")+1,200)),TRIM(A156))&amp;"(")-1)),IF(LEFT(TRIM(A156),1)="[",TRIM(MID(TRIM(A156),FIND("]",TRIM(A156)&amp;"]")+1,200)),TRIM(A156))),""))</f>
      </c>
      <c r="C156" s="17">
        <f>IF(B156&lt;&gt;"",B156,C155)</f>
      </c>
      <c r="D156" s="17">
        <f>IF(A156="","",IF(OR(LEFT(UPPER(TRIM(A156)),2)="Y:",LEFT(UPPER(TRIM(A156)),10)="YESTERDAY:"),"Y",IF(OR(LEFT(UPPER(TRIM(A156)),2)="T:",LEFT(UPPER(TRIM(A156)),6)="TODAY:"),"T",IF(OR(LEFT(UPPER(TRIM(A156)),2)="B:",LEFT(UPPER(TRIM(A156)),8)="BLOCKER:",LEFT(UPPER(TRIM(A156)),9)="BLOCKERS:",LEFT(UPPER(TRIM(A156)),8)="BLOCKED:"),"B",""))))</f>
      </c>
      <c r="E156" s="17">
        <f>IF(D156="","",TRIM(MID(A156,FIND(":",A156)+1,500)))</f>
      </c>
    </row>
    <row r="157">
      <c r="B157" s="17">
        <f>IF(A157="","",IF(COUNTIF(Roster[Name],IF(RIGHT(IF(LEFT(TRIM(A157),1)="[",TRIM(MID(TRIM(A157),FIND("]",TRIM(A157)&amp;"]")+1,200)),TRIM(A157)),1)=")",TRIM(LEFT(IF(LEFT(TRIM(A157),1)="[",TRIM(MID(TRIM(A157),FIND("]",TRIM(A157)&amp;"]")+1,200)),TRIM(A157)),FIND("(",IF(LEFT(TRIM(A157),1)="[",TRIM(MID(TRIM(A157),FIND("]",TRIM(A157)&amp;"]")+1,200)),TRIM(A157))&amp;"(")-1)),IF(LEFT(TRIM(A157),1)="[",TRIM(MID(TRIM(A157),FIND("]",TRIM(A157)&amp;"]")+1,200)),TRIM(A157))))&gt;0,IF(RIGHT(IF(LEFT(TRIM(A157),1)="[",TRIM(MID(TRIM(A157),FIND("]",TRIM(A157)&amp;"]")+1,200)),TRIM(A157)),1)=")",TRIM(LEFT(IF(LEFT(TRIM(A157),1)="[",TRIM(MID(TRIM(A157),FIND("]",TRIM(A157)&amp;"]")+1,200)),TRIM(A157)),FIND("(",IF(LEFT(TRIM(A157),1)="[",TRIM(MID(TRIM(A157),FIND("]",TRIM(A157)&amp;"]")+1,200)),TRIM(A157))&amp;"(")-1)),IF(LEFT(TRIM(A157),1)="[",TRIM(MID(TRIM(A157),FIND("]",TRIM(A157)&amp;"]")+1,200)),TRIM(A157))),""))</f>
      </c>
      <c r="C157" s="17">
        <f>IF(B157&lt;&gt;"",B157,C156)</f>
      </c>
      <c r="D157" s="17">
        <f>IF(A157="","",IF(OR(LEFT(UPPER(TRIM(A157)),2)="Y:",LEFT(UPPER(TRIM(A157)),10)="YESTERDAY:"),"Y",IF(OR(LEFT(UPPER(TRIM(A157)),2)="T:",LEFT(UPPER(TRIM(A157)),6)="TODAY:"),"T",IF(OR(LEFT(UPPER(TRIM(A157)),2)="B:",LEFT(UPPER(TRIM(A157)),8)="BLOCKER:",LEFT(UPPER(TRIM(A157)),9)="BLOCKERS:",LEFT(UPPER(TRIM(A157)),8)="BLOCKED:"),"B",""))))</f>
      </c>
      <c r="E157" s="17">
        <f>IF(D157="","",TRIM(MID(A157,FIND(":",A157)+1,500)))</f>
      </c>
    </row>
    <row r="158">
      <c r="B158" s="17">
        <f>IF(A158="","",IF(COUNTIF(Roster[Name],IF(RIGHT(IF(LEFT(TRIM(A158),1)="[",TRIM(MID(TRIM(A158),FIND("]",TRIM(A158)&amp;"]")+1,200)),TRIM(A158)),1)=")",TRIM(LEFT(IF(LEFT(TRIM(A158),1)="[",TRIM(MID(TRIM(A158),FIND("]",TRIM(A158)&amp;"]")+1,200)),TRIM(A158)),FIND("(",IF(LEFT(TRIM(A158),1)="[",TRIM(MID(TRIM(A158),FIND("]",TRIM(A158)&amp;"]")+1,200)),TRIM(A158))&amp;"(")-1)),IF(LEFT(TRIM(A158),1)="[",TRIM(MID(TRIM(A158),FIND("]",TRIM(A158)&amp;"]")+1,200)),TRIM(A158))))&gt;0,IF(RIGHT(IF(LEFT(TRIM(A158),1)="[",TRIM(MID(TRIM(A158),FIND("]",TRIM(A158)&amp;"]")+1,200)),TRIM(A158)),1)=")",TRIM(LEFT(IF(LEFT(TRIM(A158),1)="[",TRIM(MID(TRIM(A158),FIND("]",TRIM(A158)&amp;"]")+1,200)),TRIM(A158)),FIND("(",IF(LEFT(TRIM(A158),1)="[",TRIM(MID(TRIM(A158),FIND("]",TRIM(A158)&amp;"]")+1,200)),TRIM(A158))&amp;"(")-1)),IF(LEFT(TRIM(A158),1)="[",TRIM(MID(TRIM(A158),FIND("]",TRIM(A158)&amp;"]")+1,200)),TRIM(A158))),""))</f>
      </c>
      <c r="C158" s="17">
        <f>IF(B158&lt;&gt;"",B158,C157)</f>
      </c>
      <c r="D158" s="17">
        <f>IF(A158="","",IF(OR(LEFT(UPPER(TRIM(A158)),2)="Y:",LEFT(UPPER(TRIM(A158)),10)="YESTERDAY:"),"Y",IF(OR(LEFT(UPPER(TRIM(A158)),2)="T:",LEFT(UPPER(TRIM(A158)),6)="TODAY:"),"T",IF(OR(LEFT(UPPER(TRIM(A158)),2)="B:",LEFT(UPPER(TRIM(A158)),8)="BLOCKER:",LEFT(UPPER(TRIM(A158)),9)="BLOCKERS:",LEFT(UPPER(TRIM(A158)),8)="BLOCKED:"),"B",""))))</f>
      </c>
      <c r="E158" s="17">
        <f>IF(D158="","",TRIM(MID(A158,FIND(":",A158)+1,500)))</f>
      </c>
    </row>
    <row r="159">
      <c r="B159" s="17">
        <f>IF(A159="","",IF(COUNTIF(Roster[Name],IF(RIGHT(IF(LEFT(TRIM(A159),1)="[",TRIM(MID(TRIM(A159),FIND("]",TRIM(A159)&amp;"]")+1,200)),TRIM(A159)),1)=")",TRIM(LEFT(IF(LEFT(TRIM(A159),1)="[",TRIM(MID(TRIM(A159),FIND("]",TRIM(A159)&amp;"]")+1,200)),TRIM(A159)),FIND("(",IF(LEFT(TRIM(A159),1)="[",TRIM(MID(TRIM(A159),FIND("]",TRIM(A159)&amp;"]")+1,200)),TRIM(A159))&amp;"(")-1)),IF(LEFT(TRIM(A159),1)="[",TRIM(MID(TRIM(A159),FIND("]",TRIM(A159)&amp;"]")+1,200)),TRIM(A159))))&gt;0,IF(RIGHT(IF(LEFT(TRIM(A159),1)="[",TRIM(MID(TRIM(A159),FIND("]",TRIM(A159)&amp;"]")+1,200)),TRIM(A159)),1)=")",TRIM(LEFT(IF(LEFT(TRIM(A159),1)="[",TRIM(MID(TRIM(A159),FIND("]",TRIM(A159)&amp;"]")+1,200)),TRIM(A159)),FIND("(",IF(LEFT(TRIM(A159),1)="[",TRIM(MID(TRIM(A159),FIND("]",TRIM(A159)&amp;"]")+1,200)),TRIM(A159))&amp;"(")-1)),IF(LEFT(TRIM(A159),1)="[",TRIM(MID(TRIM(A159),FIND("]",TRIM(A159)&amp;"]")+1,200)),TRIM(A159))),""))</f>
      </c>
      <c r="C159" s="17">
        <f>IF(B159&lt;&gt;"",B159,C158)</f>
      </c>
      <c r="D159" s="17">
        <f>IF(A159="","",IF(OR(LEFT(UPPER(TRIM(A159)),2)="Y:",LEFT(UPPER(TRIM(A159)),10)="YESTERDAY:"),"Y",IF(OR(LEFT(UPPER(TRIM(A159)),2)="T:",LEFT(UPPER(TRIM(A159)),6)="TODAY:"),"T",IF(OR(LEFT(UPPER(TRIM(A159)),2)="B:",LEFT(UPPER(TRIM(A159)),8)="BLOCKER:",LEFT(UPPER(TRIM(A159)),9)="BLOCKERS:",LEFT(UPPER(TRIM(A159)),8)="BLOCKED:"),"B",""))))</f>
      </c>
      <c r="E159" s="17">
        <f>IF(D159="","",TRIM(MID(A159,FIND(":",A159)+1,500)))</f>
      </c>
    </row>
    <row r="160">
      <c r="B160" s="17">
        <f>IF(A160="","",IF(COUNTIF(Roster[Name],IF(RIGHT(IF(LEFT(TRIM(A160),1)="[",TRIM(MID(TRIM(A160),FIND("]",TRIM(A160)&amp;"]")+1,200)),TRIM(A160)),1)=")",TRIM(LEFT(IF(LEFT(TRIM(A160),1)="[",TRIM(MID(TRIM(A160),FIND("]",TRIM(A160)&amp;"]")+1,200)),TRIM(A160)),FIND("(",IF(LEFT(TRIM(A160),1)="[",TRIM(MID(TRIM(A160),FIND("]",TRIM(A160)&amp;"]")+1,200)),TRIM(A160))&amp;"(")-1)),IF(LEFT(TRIM(A160),1)="[",TRIM(MID(TRIM(A160),FIND("]",TRIM(A160)&amp;"]")+1,200)),TRIM(A160))))&gt;0,IF(RIGHT(IF(LEFT(TRIM(A160),1)="[",TRIM(MID(TRIM(A160),FIND("]",TRIM(A160)&amp;"]")+1,200)),TRIM(A160)),1)=")",TRIM(LEFT(IF(LEFT(TRIM(A160),1)="[",TRIM(MID(TRIM(A160),FIND("]",TRIM(A160)&amp;"]")+1,200)),TRIM(A160)),FIND("(",IF(LEFT(TRIM(A160),1)="[",TRIM(MID(TRIM(A160),FIND("]",TRIM(A160)&amp;"]")+1,200)),TRIM(A160))&amp;"(")-1)),IF(LEFT(TRIM(A160),1)="[",TRIM(MID(TRIM(A160),FIND("]",TRIM(A160)&amp;"]")+1,200)),TRIM(A160))),""))</f>
      </c>
      <c r="C160" s="17">
        <f>IF(B160&lt;&gt;"",B160,C159)</f>
      </c>
      <c r="D160" s="17">
        <f>IF(A160="","",IF(OR(LEFT(UPPER(TRIM(A160)),2)="Y:",LEFT(UPPER(TRIM(A160)),10)="YESTERDAY:"),"Y",IF(OR(LEFT(UPPER(TRIM(A160)),2)="T:",LEFT(UPPER(TRIM(A160)),6)="TODAY:"),"T",IF(OR(LEFT(UPPER(TRIM(A160)),2)="B:",LEFT(UPPER(TRIM(A160)),8)="BLOCKER:",LEFT(UPPER(TRIM(A160)),9)="BLOCKERS:",LEFT(UPPER(TRIM(A160)),8)="BLOCKED:"),"B",""))))</f>
      </c>
      <c r="E160" s="17">
        <f>IF(D160="","",TRIM(MID(A160,FIND(":",A160)+1,500)))</f>
      </c>
    </row>
    <row r="161">
      <c r="B161" s="17">
        <f>IF(A161="","",IF(COUNTIF(Roster[Name],IF(RIGHT(IF(LEFT(TRIM(A161),1)="[",TRIM(MID(TRIM(A161),FIND("]",TRIM(A161)&amp;"]")+1,200)),TRIM(A161)),1)=")",TRIM(LEFT(IF(LEFT(TRIM(A161),1)="[",TRIM(MID(TRIM(A161),FIND("]",TRIM(A161)&amp;"]")+1,200)),TRIM(A161)),FIND("(",IF(LEFT(TRIM(A161),1)="[",TRIM(MID(TRIM(A161),FIND("]",TRIM(A161)&amp;"]")+1,200)),TRIM(A161))&amp;"(")-1)),IF(LEFT(TRIM(A161),1)="[",TRIM(MID(TRIM(A161),FIND("]",TRIM(A161)&amp;"]")+1,200)),TRIM(A161))))&gt;0,IF(RIGHT(IF(LEFT(TRIM(A161),1)="[",TRIM(MID(TRIM(A161),FIND("]",TRIM(A161)&amp;"]")+1,200)),TRIM(A161)),1)=")",TRIM(LEFT(IF(LEFT(TRIM(A161),1)="[",TRIM(MID(TRIM(A161),FIND("]",TRIM(A161)&amp;"]")+1,200)),TRIM(A161)),FIND("(",IF(LEFT(TRIM(A161),1)="[",TRIM(MID(TRIM(A161),FIND("]",TRIM(A161)&amp;"]")+1,200)),TRIM(A161))&amp;"(")-1)),IF(LEFT(TRIM(A161),1)="[",TRIM(MID(TRIM(A161),FIND("]",TRIM(A161)&amp;"]")+1,200)),TRIM(A161))),""))</f>
      </c>
      <c r="C161" s="17">
        <f>IF(B161&lt;&gt;"",B161,C160)</f>
      </c>
      <c r="D161" s="17">
        <f>IF(A161="","",IF(OR(LEFT(UPPER(TRIM(A161)),2)="Y:",LEFT(UPPER(TRIM(A161)),10)="YESTERDAY:"),"Y",IF(OR(LEFT(UPPER(TRIM(A161)),2)="T:",LEFT(UPPER(TRIM(A161)),6)="TODAY:"),"T",IF(OR(LEFT(UPPER(TRIM(A161)),2)="B:",LEFT(UPPER(TRIM(A161)),8)="BLOCKER:",LEFT(UPPER(TRIM(A161)),9)="BLOCKERS:",LEFT(UPPER(TRIM(A161)),8)="BLOCKED:"),"B",""))))</f>
      </c>
      <c r="E161" s="17">
        <f>IF(D161="","",TRIM(MID(A161,FIND(":",A161)+1,500)))</f>
      </c>
    </row>
    <row r="162">
      <c r="B162" s="17">
        <f>IF(A162="","",IF(COUNTIF(Roster[Name],IF(RIGHT(IF(LEFT(TRIM(A162),1)="[",TRIM(MID(TRIM(A162),FIND("]",TRIM(A162)&amp;"]")+1,200)),TRIM(A162)),1)=")",TRIM(LEFT(IF(LEFT(TRIM(A162),1)="[",TRIM(MID(TRIM(A162),FIND("]",TRIM(A162)&amp;"]")+1,200)),TRIM(A162)),FIND("(",IF(LEFT(TRIM(A162),1)="[",TRIM(MID(TRIM(A162),FIND("]",TRIM(A162)&amp;"]")+1,200)),TRIM(A162))&amp;"(")-1)),IF(LEFT(TRIM(A162),1)="[",TRIM(MID(TRIM(A162),FIND("]",TRIM(A162)&amp;"]")+1,200)),TRIM(A162))))&gt;0,IF(RIGHT(IF(LEFT(TRIM(A162),1)="[",TRIM(MID(TRIM(A162),FIND("]",TRIM(A162)&amp;"]")+1,200)),TRIM(A162)),1)=")",TRIM(LEFT(IF(LEFT(TRIM(A162),1)="[",TRIM(MID(TRIM(A162),FIND("]",TRIM(A162)&amp;"]")+1,200)),TRIM(A162)),FIND("(",IF(LEFT(TRIM(A162),1)="[",TRIM(MID(TRIM(A162),FIND("]",TRIM(A162)&amp;"]")+1,200)),TRIM(A162))&amp;"(")-1)),IF(LEFT(TRIM(A162),1)="[",TRIM(MID(TRIM(A162),FIND("]",TRIM(A162)&amp;"]")+1,200)),TRIM(A162))),""))</f>
      </c>
      <c r="C162" s="17">
        <f>IF(B162&lt;&gt;"",B162,C161)</f>
      </c>
      <c r="D162" s="17">
        <f>IF(A162="","",IF(OR(LEFT(UPPER(TRIM(A162)),2)="Y:",LEFT(UPPER(TRIM(A162)),10)="YESTERDAY:"),"Y",IF(OR(LEFT(UPPER(TRIM(A162)),2)="T:",LEFT(UPPER(TRIM(A162)),6)="TODAY:"),"T",IF(OR(LEFT(UPPER(TRIM(A162)),2)="B:",LEFT(UPPER(TRIM(A162)),8)="BLOCKER:",LEFT(UPPER(TRIM(A162)),9)="BLOCKERS:",LEFT(UPPER(TRIM(A162)),8)="BLOCKED:"),"B",""))))</f>
      </c>
      <c r="E162" s="17">
        <f>IF(D162="","",TRIM(MID(A162,FIND(":",A162)+1,500)))</f>
      </c>
    </row>
    <row r="163">
      <c r="B163" s="17">
        <f>IF(A163="","",IF(COUNTIF(Roster[Name],IF(RIGHT(IF(LEFT(TRIM(A163),1)="[",TRIM(MID(TRIM(A163),FIND("]",TRIM(A163)&amp;"]")+1,200)),TRIM(A163)),1)=")",TRIM(LEFT(IF(LEFT(TRIM(A163),1)="[",TRIM(MID(TRIM(A163),FIND("]",TRIM(A163)&amp;"]")+1,200)),TRIM(A163)),FIND("(",IF(LEFT(TRIM(A163),1)="[",TRIM(MID(TRIM(A163),FIND("]",TRIM(A163)&amp;"]")+1,200)),TRIM(A163))&amp;"(")-1)),IF(LEFT(TRIM(A163),1)="[",TRIM(MID(TRIM(A163),FIND("]",TRIM(A163)&amp;"]")+1,200)),TRIM(A163))))&gt;0,IF(RIGHT(IF(LEFT(TRIM(A163),1)="[",TRIM(MID(TRIM(A163),FIND("]",TRIM(A163)&amp;"]")+1,200)),TRIM(A163)),1)=")",TRIM(LEFT(IF(LEFT(TRIM(A163),1)="[",TRIM(MID(TRIM(A163),FIND("]",TRIM(A163)&amp;"]")+1,200)),TRIM(A163)),FIND("(",IF(LEFT(TRIM(A163),1)="[",TRIM(MID(TRIM(A163),FIND("]",TRIM(A163)&amp;"]")+1,200)),TRIM(A163))&amp;"(")-1)),IF(LEFT(TRIM(A163),1)="[",TRIM(MID(TRIM(A163),FIND("]",TRIM(A163)&amp;"]")+1,200)),TRIM(A163))),""))</f>
      </c>
      <c r="C163" s="17">
        <f>IF(B163&lt;&gt;"",B163,C162)</f>
      </c>
      <c r="D163" s="17">
        <f>IF(A163="","",IF(OR(LEFT(UPPER(TRIM(A163)),2)="Y:",LEFT(UPPER(TRIM(A163)),10)="YESTERDAY:"),"Y",IF(OR(LEFT(UPPER(TRIM(A163)),2)="T:",LEFT(UPPER(TRIM(A163)),6)="TODAY:"),"T",IF(OR(LEFT(UPPER(TRIM(A163)),2)="B:",LEFT(UPPER(TRIM(A163)),8)="BLOCKER:",LEFT(UPPER(TRIM(A163)),9)="BLOCKERS:",LEFT(UPPER(TRIM(A163)),8)="BLOCKED:"),"B",""))))</f>
      </c>
      <c r="E163" s="17">
        <f>IF(D163="","",TRIM(MID(A163,FIND(":",A163)+1,500)))</f>
      </c>
    </row>
    <row r="164">
      <c r="B164" s="17">
        <f>IF(A164="","",IF(COUNTIF(Roster[Name],IF(RIGHT(IF(LEFT(TRIM(A164),1)="[",TRIM(MID(TRIM(A164),FIND("]",TRIM(A164)&amp;"]")+1,200)),TRIM(A164)),1)=")",TRIM(LEFT(IF(LEFT(TRIM(A164),1)="[",TRIM(MID(TRIM(A164),FIND("]",TRIM(A164)&amp;"]")+1,200)),TRIM(A164)),FIND("(",IF(LEFT(TRIM(A164),1)="[",TRIM(MID(TRIM(A164),FIND("]",TRIM(A164)&amp;"]")+1,200)),TRIM(A164))&amp;"(")-1)),IF(LEFT(TRIM(A164),1)="[",TRIM(MID(TRIM(A164),FIND("]",TRIM(A164)&amp;"]")+1,200)),TRIM(A164))))&gt;0,IF(RIGHT(IF(LEFT(TRIM(A164),1)="[",TRIM(MID(TRIM(A164),FIND("]",TRIM(A164)&amp;"]")+1,200)),TRIM(A164)),1)=")",TRIM(LEFT(IF(LEFT(TRIM(A164),1)="[",TRIM(MID(TRIM(A164),FIND("]",TRIM(A164)&amp;"]")+1,200)),TRIM(A164)),FIND("(",IF(LEFT(TRIM(A164),1)="[",TRIM(MID(TRIM(A164),FIND("]",TRIM(A164)&amp;"]")+1,200)),TRIM(A164))&amp;"(")-1)),IF(LEFT(TRIM(A164),1)="[",TRIM(MID(TRIM(A164),FIND("]",TRIM(A164)&amp;"]")+1,200)),TRIM(A164))),""))</f>
      </c>
      <c r="C164" s="17">
        <f>IF(B164&lt;&gt;"",B164,C163)</f>
      </c>
      <c r="D164" s="17">
        <f>IF(A164="","",IF(OR(LEFT(UPPER(TRIM(A164)),2)="Y:",LEFT(UPPER(TRIM(A164)),10)="YESTERDAY:"),"Y",IF(OR(LEFT(UPPER(TRIM(A164)),2)="T:",LEFT(UPPER(TRIM(A164)),6)="TODAY:"),"T",IF(OR(LEFT(UPPER(TRIM(A164)),2)="B:",LEFT(UPPER(TRIM(A164)),8)="BLOCKER:",LEFT(UPPER(TRIM(A164)),9)="BLOCKERS:",LEFT(UPPER(TRIM(A164)),8)="BLOCKED:"),"B",""))))</f>
      </c>
      <c r="E164" s="17">
        <f>IF(D164="","",TRIM(MID(A164,FIND(":",A164)+1,500)))</f>
      </c>
    </row>
    <row r="165">
      <c r="B165" s="17">
        <f>IF(A165="","",IF(COUNTIF(Roster[Name],IF(RIGHT(IF(LEFT(TRIM(A165),1)="[",TRIM(MID(TRIM(A165),FIND("]",TRIM(A165)&amp;"]")+1,200)),TRIM(A165)),1)=")",TRIM(LEFT(IF(LEFT(TRIM(A165),1)="[",TRIM(MID(TRIM(A165),FIND("]",TRIM(A165)&amp;"]")+1,200)),TRIM(A165)),FIND("(",IF(LEFT(TRIM(A165),1)="[",TRIM(MID(TRIM(A165),FIND("]",TRIM(A165)&amp;"]")+1,200)),TRIM(A165))&amp;"(")-1)),IF(LEFT(TRIM(A165),1)="[",TRIM(MID(TRIM(A165),FIND("]",TRIM(A165)&amp;"]")+1,200)),TRIM(A165))))&gt;0,IF(RIGHT(IF(LEFT(TRIM(A165),1)="[",TRIM(MID(TRIM(A165),FIND("]",TRIM(A165)&amp;"]")+1,200)),TRIM(A165)),1)=")",TRIM(LEFT(IF(LEFT(TRIM(A165),1)="[",TRIM(MID(TRIM(A165),FIND("]",TRIM(A165)&amp;"]")+1,200)),TRIM(A165)),FIND("(",IF(LEFT(TRIM(A165),1)="[",TRIM(MID(TRIM(A165),FIND("]",TRIM(A165)&amp;"]")+1,200)),TRIM(A165))&amp;"(")-1)),IF(LEFT(TRIM(A165),1)="[",TRIM(MID(TRIM(A165),FIND("]",TRIM(A165)&amp;"]")+1,200)),TRIM(A165))),""))</f>
      </c>
      <c r="C165" s="17">
        <f>IF(B165&lt;&gt;"",B165,C164)</f>
      </c>
      <c r="D165" s="17">
        <f>IF(A165="","",IF(OR(LEFT(UPPER(TRIM(A165)),2)="Y:",LEFT(UPPER(TRIM(A165)),10)="YESTERDAY:"),"Y",IF(OR(LEFT(UPPER(TRIM(A165)),2)="T:",LEFT(UPPER(TRIM(A165)),6)="TODAY:"),"T",IF(OR(LEFT(UPPER(TRIM(A165)),2)="B:",LEFT(UPPER(TRIM(A165)),8)="BLOCKER:",LEFT(UPPER(TRIM(A165)),9)="BLOCKERS:",LEFT(UPPER(TRIM(A165)),8)="BLOCKED:"),"B",""))))</f>
      </c>
      <c r="E165" s="17">
        <f>IF(D165="","",TRIM(MID(A165,FIND(":",A165)+1,500)))</f>
      </c>
    </row>
    <row r="166">
      <c r="B166" s="17">
        <f>IF(A166="","",IF(COUNTIF(Roster[Name],IF(RIGHT(IF(LEFT(TRIM(A166),1)="[",TRIM(MID(TRIM(A166),FIND("]",TRIM(A166)&amp;"]")+1,200)),TRIM(A166)),1)=")",TRIM(LEFT(IF(LEFT(TRIM(A166),1)="[",TRIM(MID(TRIM(A166),FIND("]",TRIM(A166)&amp;"]")+1,200)),TRIM(A166)),FIND("(",IF(LEFT(TRIM(A166),1)="[",TRIM(MID(TRIM(A166),FIND("]",TRIM(A166)&amp;"]")+1,200)),TRIM(A166))&amp;"(")-1)),IF(LEFT(TRIM(A166),1)="[",TRIM(MID(TRIM(A166),FIND("]",TRIM(A166)&amp;"]")+1,200)),TRIM(A166))))&gt;0,IF(RIGHT(IF(LEFT(TRIM(A166),1)="[",TRIM(MID(TRIM(A166),FIND("]",TRIM(A166)&amp;"]")+1,200)),TRIM(A166)),1)=")",TRIM(LEFT(IF(LEFT(TRIM(A166),1)="[",TRIM(MID(TRIM(A166),FIND("]",TRIM(A166)&amp;"]")+1,200)),TRIM(A166)),FIND("(",IF(LEFT(TRIM(A166),1)="[",TRIM(MID(TRIM(A166),FIND("]",TRIM(A166)&amp;"]")+1,200)),TRIM(A166))&amp;"(")-1)),IF(LEFT(TRIM(A166),1)="[",TRIM(MID(TRIM(A166),FIND("]",TRIM(A166)&amp;"]")+1,200)),TRIM(A166))),""))</f>
      </c>
      <c r="C166" s="17">
        <f>IF(B166&lt;&gt;"",B166,C165)</f>
      </c>
      <c r="D166" s="17">
        <f>IF(A166="","",IF(OR(LEFT(UPPER(TRIM(A166)),2)="Y:",LEFT(UPPER(TRIM(A166)),10)="YESTERDAY:"),"Y",IF(OR(LEFT(UPPER(TRIM(A166)),2)="T:",LEFT(UPPER(TRIM(A166)),6)="TODAY:"),"T",IF(OR(LEFT(UPPER(TRIM(A166)),2)="B:",LEFT(UPPER(TRIM(A166)),8)="BLOCKER:",LEFT(UPPER(TRIM(A166)),9)="BLOCKERS:",LEFT(UPPER(TRIM(A166)),8)="BLOCKED:"),"B",""))))</f>
      </c>
      <c r="E166" s="17">
        <f>IF(D166="","",TRIM(MID(A166,FIND(":",A166)+1,500)))</f>
      </c>
    </row>
    <row r="167">
      <c r="B167" s="17">
        <f>IF(A167="","",IF(COUNTIF(Roster[Name],IF(RIGHT(IF(LEFT(TRIM(A167),1)="[",TRIM(MID(TRIM(A167),FIND("]",TRIM(A167)&amp;"]")+1,200)),TRIM(A167)),1)=")",TRIM(LEFT(IF(LEFT(TRIM(A167),1)="[",TRIM(MID(TRIM(A167),FIND("]",TRIM(A167)&amp;"]")+1,200)),TRIM(A167)),FIND("(",IF(LEFT(TRIM(A167),1)="[",TRIM(MID(TRIM(A167),FIND("]",TRIM(A167)&amp;"]")+1,200)),TRIM(A167))&amp;"(")-1)),IF(LEFT(TRIM(A167),1)="[",TRIM(MID(TRIM(A167),FIND("]",TRIM(A167)&amp;"]")+1,200)),TRIM(A167))))&gt;0,IF(RIGHT(IF(LEFT(TRIM(A167),1)="[",TRIM(MID(TRIM(A167),FIND("]",TRIM(A167)&amp;"]")+1,200)),TRIM(A167)),1)=")",TRIM(LEFT(IF(LEFT(TRIM(A167),1)="[",TRIM(MID(TRIM(A167),FIND("]",TRIM(A167)&amp;"]")+1,200)),TRIM(A167)),FIND("(",IF(LEFT(TRIM(A167),1)="[",TRIM(MID(TRIM(A167),FIND("]",TRIM(A167)&amp;"]")+1,200)),TRIM(A167))&amp;"(")-1)),IF(LEFT(TRIM(A167),1)="[",TRIM(MID(TRIM(A167),FIND("]",TRIM(A167)&amp;"]")+1,200)),TRIM(A167))),""))</f>
      </c>
      <c r="C167" s="17">
        <f>IF(B167&lt;&gt;"",B167,C166)</f>
      </c>
      <c r="D167" s="17">
        <f>IF(A167="","",IF(OR(LEFT(UPPER(TRIM(A167)),2)="Y:",LEFT(UPPER(TRIM(A167)),10)="YESTERDAY:"),"Y",IF(OR(LEFT(UPPER(TRIM(A167)),2)="T:",LEFT(UPPER(TRIM(A167)),6)="TODAY:"),"T",IF(OR(LEFT(UPPER(TRIM(A167)),2)="B:",LEFT(UPPER(TRIM(A167)),8)="BLOCKER:",LEFT(UPPER(TRIM(A167)),9)="BLOCKERS:",LEFT(UPPER(TRIM(A167)),8)="BLOCKED:"),"B",""))))</f>
      </c>
      <c r="E167" s="17">
        <f>IF(D167="","",TRIM(MID(A167,FIND(":",A167)+1,500)))</f>
      </c>
    </row>
    <row r="168">
      <c r="B168" s="17">
        <f>IF(A168="","",IF(COUNTIF(Roster[Name],IF(RIGHT(IF(LEFT(TRIM(A168),1)="[",TRIM(MID(TRIM(A168),FIND("]",TRIM(A168)&amp;"]")+1,200)),TRIM(A168)),1)=")",TRIM(LEFT(IF(LEFT(TRIM(A168),1)="[",TRIM(MID(TRIM(A168),FIND("]",TRIM(A168)&amp;"]")+1,200)),TRIM(A168)),FIND("(",IF(LEFT(TRIM(A168),1)="[",TRIM(MID(TRIM(A168),FIND("]",TRIM(A168)&amp;"]")+1,200)),TRIM(A168))&amp;"(")-1)),IF(LEFT(TRIM(A168),1)="[",TRIM(MID(TRIM(A168),FIND("]",TRIM(A168)&amp;"]")+1,200)),TRIM(A168))))&gt;0,IF(RIGHT(IF(LEFT(TRIM(A168),1)="[",TRIM(MID(TRIM(A168),FIND("]",TRIM(A168)&amp;"]")+1,200)),TRIM(A168)),1)=")",TRIM(LEFT(IF(LEFT(TRIM(A168),1)="[",TRIM(MID(TRIM(A168),FIND("]",TRIM(A168)&amp;"]")+1,200)),TRIM(A168)),FIND("(",IF(LEFT(TRIM(A168),1)="[",TRIM(MID(TRIM(A168),FIND("]",TRIM(A168)&amp;"]")+1,200)),TRIM(A168))&amp;"(")-1)),IF(LEFT(TRIM(A168),1)="[",TRIM(MID(TRIM(A168),FIND("]",TRIM(A168)&amp;"]")+1,200)),TRIM(A168))),""))</f>
      </c>
      <c r="C168" s="17">
        <f>IF(B168&lt;&gt;"",B168,C167)</f>
      </c>
      <c r="D168" s="17">
        <f>IF(A168="","",IF(OR(LEFT(UPPER(TRIM(A168)),2)="Y:",LEFT(UPPER(TRIM(A168)),10)="YESTERDAY:"),"Y",IF(OR(LEFT(UPPER(TRIM(A168)),2)="T:",LEFT(UPPER(TRIM(A168)),6)="TODAY:"),"T",IF(OR(LEFT(UPPER(TRIM(A168)),2)="B:",LEFT(UPPER(TRIM(A168)),8)="BLOCKER:",LEFT(UPPER(TRIM(A168)),9)="BLOCKERS:",LEFT(UPPER(TRIM(A168)),8)="BLOCKED:"),"B",""))))</f>
      </c>
      <c r="E168" s="17">
        <f>IF(D168="","",TRIM(MID(A168,FIND(":",A168)+1,500)))</f>
      </c>
    </row>
    <row r="169">
      <c r="B169" s="17">
        <f>IF(A169="","",IF(COUNTIF(Roster[Name],IF(RIGHT(IF(LEFT(TRIM(A169),1)="[",TRIM(MID(TRIM(A169),FIND("]",TRIM(A169)&amp;"]")+1,200)),TRIM(A169)),1)=")",TRIM(LEFT(IF(LEFT(TRIM(A169),1)="[",TRIM(MID(TRIM(A169),FIND("]",TRIM(A169)&amp;"]")+1,200)),TRIM(A169)),FIND("(",IF(LEFT(TRIM(A169),1)="[",TRIM(MID(TRIM(A169),FIND("]",TRIM(A169)&amp;"]")+1,200)),TRIM(A169))&amp;"(")-1)),IF(LEFT(TRIM(A169),1)="[",TRIM(MID(TRIM(A169),FIND("]",TRIM(A169)&amp;"]")+1,200)),TRIM(A169))))&gt;0,IF(RIGHT(IF(LEFT(TRIM(A169),1)="[",TRIM(MID(TRIM(A169),FIND("]",TRIM(A169)&amp;"]")+1,200)),TRIM(A169)),1)=")",TRIM(LEFT(IF(LEFT(TRIM(A169),1)="[",TRIM(MID(TRIM(A169),FIND("]",TRIM(A169)&amp;"]")+1,200)),TRIM(A169)),FIND("(",IF(LEFT(TRIM(A169),1)="[",TRIM(MID(TRIM(A169),FIND("]",TRIM(A169)&amp;"]")+1,200)),TRIM(A169))&amp;"(")-1)),IF(LEFT(TRIM(A169),1)="[",TRIM(MID(TRIM(A169),FIND("]",TRIM(A169)&amp;"]")+1,200)),TRIM(A169))),""))</f>
      </c>
      <c r="C169" s="17">
        <f>IF(B169&lt;&gt;"",B169,C168)</f>
      </c>
      <c r="D169" s="17">
        <f>IF(A169="","",IF(OR(LEFT(UPPER(TRIM(A169)),2)="Y:",LEFT(UPPER(TRIM(A169)),10)="YESTERDAY:"),"Y",IF(OR(LEFT(UPPER(TRIM(A169)),2)="T:",LEFT(UPPER(TRIM(A169)),6)="TODAY:"),"T",IF(OR(LEFT(UPPER(TRIM(A169)),2)="B:",LEFT(UPPER(TRIM(A169)),8)="BLOCKER:",LEFT(UPPER(TRIM(A169)),9)="BLOCKERS:",LEFT(UPPER(TRIM(A169)),8)="BLOCKED:"),"B",""))))</f>
      </c>
      <c r="E169" s="17">
        <f>IF(D169="","",TRIM(MID(A169,FIND(":",A169)+1,500)))</f>
      </c>
    </row>
    <row r="170">
      <c r="B170" s="17">
        <f>IF(A170="","",IF(COUNTIF(Roster[Name],IF(RIGHT(IF(LEFT(TRIM(A170),1)="[",TRIM(MID(TRIM(A170),FIND("]",TRIM(A170)&amp;"]")+1,200)),TRIM(A170)),1)=")",TRIM(LEFT(IF(LEFT(TRIM(A170),1)="[",TRIM(MID(TRIM(A170),FIND("]",TRIM(A170)&amp;"]")+1,200)),TRIM(A170)),FIND("(",IF(LEFT(TRIM(A170),1)="[",TRIM(MID(TRIM(A170),FIND("]",TRIM(A170)&amp;"]")+1,200)),TRIM(A170))&amp;"(")-1)),IF(LEFT(TRIM(A170),1)="[",TRIM(MID(TRIM(A170),FIND("]",TRIM(A170)&amp;"]")+1,200)),TRIM(A170))))&gt;0,IF(RIGHT(IF(LEFT(TRIM(A170),1)="[",TRIM(MID(TRIM(A170),FIND("]",TRIM(A170)&amp;"]")+1,200)),TRIM(A170)),1)=")",TRIM(LEFT(IF(LEFT(TRIM(A170),1)="[",TRIM(MID(TRIM(A170),FIND("]",TRIM(A170)&amp;"]")+1,200)),TRIM(A170)),FIND("(",IF(LEFT(TRIM(A170),1)="[",TRIM(MID(TRIM(A170),FIND("]",TRIM(A170)&amp;"]")+1,200)),TRIM(A170))&amp;"(")-1)),IF(LEFT(TRIM(A170),1)="[",TRIM(MID(TRIM(A170),FIND("]",TRIM(A170)&amp;"]")+1,200)),TRIM(A170))),""))</f>
      </c>
      <c r="C170" s="17">
        <f>IF(B170&lt;&gt;"",B170,C169)</f>
      </c>
      <c r="D170" s="17">
        <f>IF(A170="","",IF(OR(LEFT(UPPER(TRIM(A170)),2)="Y:",LEFT(UPPER(TRIM(A170)),10)="YESTERDAY:"),"Y",IF(OR(LEFT(UPPER(TRIM(A170)),2)="T:",LEFT(UPPER(TRIM(A170)),6)="TODAY:"),"T",IF(OR(LEFT(UPPER(TRIM(A170)),2)="B:",LEFT(UPPER(TRIM(A170)),8)="BLOCKER:",LEFT(UPPER(TRIM(A170)),9)="BLOCKERS:",LEFT(UPPER(TRIM(A170)),8)="BLOCKED:"),"B",""))))</f>
      </c>
      <c r="E170" s="17">
        <f>IF(D170="","",TRIM(MID(A170,FIND(":",A170)+1,500)))</f>
      </c>
    </row>
    <row r="171">
      <c r="B171" s="17">
        <f>IF(A171="","",IF(COUNTIF(Roster[Name],IF(RIGHT(IF(LEFT(TRIM(A171),1)="[",TRIM(MID(TRIM(A171),FIND("]",TRIM(A171)&amp;"]")+1,200)),TRIM(A171)),1)=")",TRIM(LEFT(IF(LEFT(TRIM(A171),1)="[",TRIM(MID(TRIM(A171),FIND("]",TRIM(A171)&amp;"]")+1,200)),TRIM(A171)),FIND("(",IF(LEFT(TRIM(A171),1)="[",TRIM(MID(TRIM(A171),FIND("]",TRIM(A171)&amp;"]")+1,200)),TRIM(A171))&amp;"(")-1)),IF(LEFT(TRIM(A171),1)="[",TRIM(MID(TRIM(A171),FIND("]",TRIM(A171)&amp;"]")+1,200)),TRIM(A171))))&gt;0,IF(RIGHT(IF(LEFT(TRIM(A171),1)="[",TRIM(MID(TRIM(A171),FIND("]",TRIM(A171)&amp;"]")+1,200)),TRIM(A171)),1)=")",TRIM(LEFT(IF(LEFT(TRIM(A171),1)="[",TRIM(MID(TRIM(A171),FIND("]",TRIM(A171)&amp;"]")+1,200)),TRIM(A171)),FIND("(",IF(LEFT(TRIM(A171),1)="[",TRIM(MID(TRIM(A171),FIND("]",TRIM(A171)&amp;"]")+1,200)),TRIM(A171))&amp;"(")-1)),IF(LEFT(TRIM(A171),1)="[",TRIM(MID(TRIM(A171),FIND("]",TRIM(A171)&amp;"]")+1,200)),TRIM(A171))),""))</f>
      </c>
      <c r="C171" s="17">
        <f>IF(B171&lt;&gt;"",B171,C170)</f>
      </c>
      <c r="D171" s="17">
        <f>IF(A171="","",IF(OR(LEFT(UPPER(TRIM(A171)),2)="Y:",LEFT(UPPER(TRIM(A171)),10)="YESTERDAY:"),"Y",IF(OR(LEFT(UPPER(TRIM(A171)),2)="T:",LEFT(UPPER(TRIM(A171)),6)="TODAY:"),"T",IF(OR(LEFT(UPPER(TRIM(A171)),2)="B:",LEFT(UPPER(TRIM(A171)),8)="BLOCKER:",LEFT(UPPER(TRIM(A171)),9)="BLOCKERS:",LEFT(UPPER(TRIM(A171)),8)="BLOCKED:"),"B",""))))</f>
      </c>
      <c r="E171" s="17">
        <f>IF(D171="","",TRIM(MID(A171,FIND(":",A171)+1,500)))</f>
      </c>
    </row>
    <row r="172">
      <c r="B172" s="17">
        <f>IF(A172="","",IF(COUNTIF(Roster[Name],IF(RIGHT(IF(LEFT(TRIM(A172),1)="[",TRIM(MID(TRIM(A172),FIND("]",TRIM(A172)&amp;"]")+1,200)),TRIM(A172)),1)=")",TRIM(LEFT(IF(LEFT(TRIM(A172),1)="[",TRIM(MID(TRIM(A172),FIND("]",TRIM(A172)&amp;"]")+1,200)),TRIM(A172)),FIND("(",IF(LEFT(TRIM(A172),1)="[",TRIM(MID(TRIM(A172),FIND("]",TRIM(A172)&amp;"]")+1,200)),TRIM(A172))&amp;"(")-1)),IF(LEFT(TRIM(A172),1)="[",TRIM(MID(TRIM(A172),FIND("]",TRIM(A172)&amp;"]")+1,200)),TRIM(A172))))&gt;0,IF(RIGHT(IF(LEFT(TRIM(A172),1)="[",TRIM(MID(TRIM(A172),FIND("]",TRIM(A172)&amp;"]")+1,200)),TRIM(A172)),1)=")",TRIM(LEFT(IF(LEFT(TRIM(A172),1)="[",TRIM(MID(TRIM(A172),FIND("]",TRIM(A172)&amp;"]")+1,200)),TRIM(A172)),FIND("(",IF(LEFT(TRIM(A172),1)="[",TRIM(MID(TRIM(A172),FIND("]",TRIM(A172)&amp;"]")+1,200)),TRIM(A172))&amp;"(")-1)),IF(LEFT(TRIM(A172),1)="[",TRIM(MID(TRIM(A172),FIND("]",TRIM(A172)&amp;"]")+1,200)),TRIM(A172))),""))</f>
      </c>
      <c r="C172" s="17">
        <f>IF(B172&lt;&gt;"",B172,C171)</f>
      </c>
      <c r="D172" s="17">
        <f>IF(A172="","",IF(OR(LEFT(UPPER(TRIM(A172)),2)="Y:",LEFT(UPPER(TRIM(A172)),10)="YESTERDAY:"),"Y",IF(OR(LEFT(UPPER(TRIM(A172)),2)="T:",LEFT(UPPER(TRIM(A172)),6)="TODAY:"),"T",IF(OR(LEFT(UPPER(TRIM(A172)),2)="B:",LEFT(UPPER(TRIM(A172)),8)="BLOCKER:",LEFT(UPPER(TRIM(A172)),9)="BLOCKERS:",LEFT(UPPER(TRIM(A172)),8)="BLOCKED:"),"B",""))))</f>
      </c>
      <c r="E172" s="17">
        <f>IF(D172="","",TRIM(MID(A172,FIND(":",A172)+1,500)))</f>
      </c>
    </row>
    <row r="173">
      <c r="B173" s="17">
        <f>IF(A173="","",IF(COUNTIF(Roster[Name],IF(RIGHT(IF(LEFT(TRIM(A173),1)="[",TRIM(MID(TRIM(A173),FIND("]",TRIM(A173)&amp;"]")+1,200)),TRIM(A173)),1)=")",TRIM(LEFT(IF(LEFT(TRIM(A173),1)="[",TRIM(MID(TRIM(A173),FIND("]",TRIM(A173)&amp;"]")+1,200)),TRIM(A173)),FIND("(",IF(LEFT(TRIM(A173),1)="[",TRIM(MID(TRIM(A173),FIND("]",TRIM(A173)&amp;"]")+1,200)),TRIM(A173))&amp;"(")-1)),IF(LEFT(TRIM(A173),1)="[",TRIM(MID(TRIM(A173),FIND("]",TRIM(A173)&amp;"]")+1,200)),TRIM(A173))))&gt;0,IF(RIGHT(IF(LEFT(TRIM(A173),1)="[",TRIM(MID(TRIM(A173),FIND("]",TRIM(A173)&amp;"]")+1,200)),TRIM(A173)),1)=")",TRIM(LEFT(IF(LEFT(TRIM(A173),1)="[",TRIM(MID(TRIM(A173),FIND("]",TRIM(A173)&amp;"]")+1,200)),TRIM(A173)),FIND("(",IF(LEFT(TRIM(A173),1)="[",TRIM(MID(TRIM(A173),FIND("]",TRIM(A173)&amp;"]")+1,200)),TRIM(A173))&amp;"(")-1)),IF(LEFT(TRIM(A173),1)="[",TRIM(MID(TRIM(A173),FIND("]",TRIM(A173)&amp;"]")+1,200)),TRIM(A173))),""))</f>
      </c>
      <c r="C173" s="17">
        <f>IF(B173&lt;&gt;"",B173,C172)</f>
      </c>
      <c r="D173" s="17">
        <f>IF(A173="","",IF(OR(LEFT(UPPER(TRIM(A173)),2)="Y:",LEFT(UPPER(TRIM(A173)),10)="YESTERDAY:"),"Y",IF(OR(LEFT(UPPER(TRIM(A173)),2)="T:",LEFT(UPPER(TRIM(A173)),6)="TODAY:"),"T",IF(OR(LEFT(UPPER(TRIM(A173)),2)="B:",LEFT(UPPER(TRIM(A173)),8)="BLOCKER:",LEFT(UPPER(TRIM(A173)),9)="BLOCKERS:",LEFT(UPPER(TRIM(A173)),8)="BLOCKED:"),"B",""))))</f>
      </c>
      <c r="E173" s="17">
        <f>IF(D173="","",TRIM(MID(A173,FIND(":",A173)+1,500)))</f>
      </c>
    </row>
    <row r="174">
      <c r="B174" s="17">
        <f>IF(A174="","",IF(COUNTIF(Roster[Name],IF(RIGHT(IF(LEFT(TRIM(A174),1)="[",TRIM(MID(TRIM(A174),FIND("]",TRIM(A174)&amp;"]")+1,200)),TRIM(A174)),1)=")",TRIM(LEFT(IF(LEFT(TRIM(A174),1)="[",TRIM(MID(TRIM(A174),FIND("]",TRIM(A174)&amp;"]")+1,200)),TRIM(A174)),FIND("(",IF(LEFT(TRIM(A174),1)="[",TRIM(MID(TRIM(A174),FIND("]",TRIM(A174)&amp;"]")+1,200)),TRIM(A174))&amp;"(")-1)),IF(LEFT(TRIM(A174),1)="[",TRIM(MID(TRIM(A174),FIND("]",TRIM(A174)&amp;"]")+1,200)),TRIM(A174))))&gt;0,IF(RIGHT(IF(LEFT(TRIM(A174),1)="[",TRIM(MID(TRIM(A174),FIND("]",TRIM(A174)&amp;"]")+1,200)),TRIM(A174)),1)=")",TRIM(LEFT(IF(LEFT(TRIM(A174),1)="[",TRIM(MID(TRIM(A174),FIND("]",TRIM(A174)&amp;"]")+1,200)),TRIM(A174)),FIND("(",IF(LEFT(TRIM(A174),1)="[",TRIM(MID(TRIM(A174),FIND("]",TRIM(A174)&amp;"]")+1,200)),TRIM(A174))&amp;"(")-1)),IF(LEFT(TRIM(A174),1)="[",TRIM(MID(TRIM(A174),FIND("]",TRIM(A174)&amp;"]")+1,200)),TRIM(A174))),""))</f>
      </c>
      <c r="C174" s="17">
        <f>IF(B174&lt;&gt;"",B174,C173)</f>
      </c>
      <c r="D174" s="17">
        <f>IF(A174="","",IF(OR(LEFT(UPPER(TRIM(A174)),2)="Y:",LEFT(UPPER(TRIM(A174)),10)="YESTERDAY:"),"Y",IF(OR(LEFT(UPPER(TRIM(A174)),2)="T:",LEFT(UPPER(TRIM(A174)),6)="TODAY:"),"T",IF(OR(LEFT(UPPER(TRIM(A174)),2)="B:",LEFT(UPPER(TRIM(A174)),8)="BLOCKER:",LEFT(UPPER(TRIM(A174)),9)="BLOCKERS:",LEFT(UPPER(TRIM(A174)),8)="BLOCKED:"),"B",""))))</f>
      </c>
      <c r="E174" s="17">
        <f>IF(D174="","",TRIM(MID(A174,FIND(":",A174)+1,500)))</f>
      </c>
    </row>
    <row r="175">
      <c r="B175" s="17">
        <f>IF(A175="","",IF(COUNTIF(Roster[Name],IF(RIGHT(IF(LEFT(TRIM(A175),1)="[",TRIM(MID(TRIM(A175),FIND("]",TRIM(A175)&amp;"]")+1,200)),TRIM(A175)),1)=")",TRIM(LEFT(IF(LEFT(TRIM(A175),1)="[",TRIM(MID(TRIM(A175),FIND("]",TRIM(A175)&amp;"]")+1,200)),TRIM(A175)),FIND("(",IF(LEFT(TRIM(A175),1)="[",TRIM(MID(TRIM(A175),FIND("]",TRIM(A175)&amp;"]")+1,200)),TRIM(A175))&amp;"(")-1)),IF(LEFT(TRIM(A175),1)="[",TRIM(MID(TRIM(A175),FIND("]",TRIM(A175)&amp;"]")+1,200)),TRIM(A175))))&gt;0,IF(RIGHT(IF(LEFT(TRIM(A175),1)="[",TRIM(MID(TRIM(A175),FIND("]",TRIM(A175)&amp;"]")+1,200)),TRIM(A175)),1)=")",TRIM(LEFT(IF(LEFT(TRIM(A175),1)="[",TRIM(MID(TRIM(A175),FIND("]",TRIM(A175)&amp;"]")+1,200)),TRIM(A175)),FIND("(",IF(LEFT(TRIM(A175),1)="[",TRIM(MID(TRIM(A175),FIND("]",TRIM(A175)&amp;"]")+1,200)),TRIM(A175))&amp;"(")-1)),IF(LEFT(TRIM(A175),1)="[",TRIM(MID(TRIM(A175),FIND("]",TRIM(A175)&amp;"]")+1,200)),TRIM(A175))),""))</f>
      </c>
      <c r="C175" s="17">
        <f>IF(B175&lt;&gt;"",B175,C174)</f>
      </c>
      <c r="D175" s="17">
        <f>IF(A175="","",IF(OR(LEFT(UPPER(TRIM(A175)),2)="Y:",LEFT(UPPER(TRIM(A175)),10)="YESTERDAY:"),"Y",IF(OR(LEFT(UPPER(TRIM(A175)),2)="T:",LEFT(UPPER(TRIM(A175)),6)="TODAY:"),"T",IF(OR(LEFT(UPPER(TRIM(A175)),2)="B:",LEFT(UPPER(TRIM(A175)),8)="BLOCKER:",LEFT(UPPER(TRIM(A175)),9)="BLOCKERS:",LEFT(UPPER(TRIM(A175)),8)="BLOCKED:"),"B",""))))</f>
      </c>
      <c r="E175" s="17">
        <f>IF(D175="","",TRIM(MID(A175,FIND(":",A175)+1,500)))</f>
      </c>
    </row>
    <row r="176">
      <c r="B176" s="17">
        <f>IF(A176="","",IF(COUNTIF(Roster[Name],IF(RIGHT(IF(LEFT(TRIM(A176),1)="[",TRIM(MID(TRIM(A176),FIND("]",TRIM(A176)&amp;"]")+1,200)),TRIM(A176)),1)=")",TRIM(LEFT(IF(LEFT(TRIM(A176),1)="[",TRIM(MID(TRIM(A176),FIND("]",TRIM(A176)&amp;"]")+1,200)),TRIM(A176)),FIND("(",IF(LEFT(TRIM(A176),1)="[",TRIM(MID(TRIM(A176),FIND("]",TRIM(A176)&amp;"]")+1,200)),TRIM(A176))&amp;"(")-1)),IF(LEFT(TRIM(A176),1)="[",TRIM(MID(TRIM(A176),FIND("]",TRIM(A176)&amp;"]")+1,200)),TRIM(A176))))&gt;0,IF(RIGHT(IF(LEFT(TRIM(A176),1)="[",TRIM(MID(TRIM(A176),FIND("]",TRIM(A176)&amp;"]")+1,200)),TRIM(A176)),1)=")",TRIM(LEFT(IF(LEFT(TRIM(A176),1)="[",TRIM(MID(TRIM(A176),FIND("]",TRIM(A176)&amp;"]")+1,200)),TRIM(A176)),FIND("(",IF(LEFT(TRIM(A176),1)="[",TRIM(MID(TRIM(A176),FIND("]",TRIM(A176)&amp;"]")+1,200)),TRIM(A176))&amp;"(")-1)),IF(LEFT(TRIM(A176),1)="[",TRIM(MID(TRIM(A176),FIND("]",TRIM(A176)&amp;"]")+1,200)),TRIM(A176))),""))</f>
      </c>
      <c r="C176" s="17">
        <f>IF(B176&lt;&gt;"",B176,C175)</f>
      </c>
      <c r="D176" s="17">
        <f>IF(A176="","",IF(OR(LEFT(UPPER(TRIM(A176)),2)="Y:",LEFT(UPPER(TRIM(A176)),10)="YESTERDAY:"),"Y",IF(OR(LEFT(UPPER(TRIM(A176)),2)="T:",LEFT(UPPER(TRIM(A176)),6)="TODAY:"),"T",IF(OR(LEFT(UPPER(TRIM(A176)),2)="B:",LEFT(UPPER(TRIM(A176)),8)="BLOCKER:",LEFT(UPPER(TRIM(A176)),9)="BLOCKERS:",LEFT(UPPER(TRIM(A176)),8)="BLOCKED:"),"B",""))))</f>
      </c>
      <c r="E176" s="17">
        <f>IF(D176="","",TRIM(MID(A176,FIND(":",A176)+1,500)))</f>
      </c>
    </row>
    <row r="177">
      <c r="B177" s="17">
        <f>IF(A177="","",IF(COUNTIF(Roster[Name],IF(RIGHT(IF(LEFT(TRIM(A177),1)="[",TRIM(MID(TRIM(A177),FIND("]",TRIM(A177)&amp;"]")+1,200)),TRIM(A177)),1)=")",TRIM(LEFT(IF(LEFT(TRIM(A177),1)="[",TRIM(MID(TRIM(A177),FIND("]",TRIM(A177)&amp;"]")+1,200)),TRIM(A177)),FIND("(",IF(LEFT(TRIM(A177),1)="[",TRIM(MID(TRIM(A177),FIND("]",TRIM(A177)&amp;"]")+1,200)),TRIM(A177))&amp;"(")-1)),IF(LEFT(TRIM(A177),1)="[",TRIM(MID(TRIM(A177),FIND("]",TRIM(A177)&amp;"]")+1,200)),TRIM(A177))))&gt;0,IF(RIGHT(IF(LEFT(TRIM(A177),1)="[",TRIM(MID(TRIM(A177),FIND("]",TRIM(A177)&amp;"]")+1,200)),TRIM(A177)),1)=")",TRIM(LEFT(IF(LEFT(TRIM(A177),1)="[",TRIM(MID(TRIM(A177),FIND("]",TRIM(A177)&amp;"]")+1,200)),TRIM(A177)),FIND("(",IF(LEFT(TRIM(A177),1)="[",TRIM(MID(TRIM(A177),FIND("]",TRIM(A177)&amp;"]")+1,200)),TRIM(A177))&amp;"(")-1)),IF(LEFT(TRIM(A177),1)="[",TRIM(MID(TRIM(A177),FIND("]",TRIM(A177)&amp;"]")+1,200)),TRIM(A177))),""))</f>
      </c>
      <c r="C177" s="17">
        <f>IF(B177&lt;&gt;"",B177,C176)</f>
      </c>
      <c r="D177" s="17">
        <f>IF(A177="","",IF(OR(LEFT(UPPER(TRIM(A177)),2)="Y:",LEFT(UPPER(TRIM(A177)),10)="YESTERDAY:"),"Y",IF(OR(LEFT(UPPER(TRIM(A177)),2)="T:",LEFT(UPPER(TRIM(A177)),6)="TODAY:"),"T",IF(OR(LEFT(UPPER(TRIM(A177)),2)="B:",LEFT(UPPER(TRIM(A177)),8)="BLOCKER:",LEFT(UPPER(TRIM(A177)),9)="BLOCKERS:",LEFT(UPPER(TRIM(A177)),8)="BLOCKED:"),"B",""))))</f>
      </c>
      <c r="E177" s="17">
        <f>IF(D177="","",TRIM(MID(A177,FIND(":",A177)+1,500)))</f>
      </c>
    </row>
    <row r="178">
      <c r="B178" s="17">
        <f>IF(A178="","",IF(COUNTIF(Roster[Name],IF(RIGHT(IF(LEFT(TRIM(A178),1)="[",TRIM(MID(TRIM(A178),FIND("]",TRIM(A178)&amp;"]")+1,200)),TRIM(A178)),1)=")",TRIM(LEFT(IF(LEFT(TRIM(A178),1)="[",TRIM(MID(TRIM(A178),FIND("]",TRIM(A178)&amp;"]")+1,200)),TRIM(A178)),FIND("(",IF(LEFT(TRIM(A178),1)="[",TRIM(MID(TRIM(A178),FIND("]",TRIM(A178)&amp;"]")+1,200)),TRIM(A178))&amp;"(")-1)),IF(LEFT(TRIM(A178),1)="[",TRIM(MID(TRIM(A178),FIND("]",TRIM(A178)&amp;"]")+1,200)),TRIM(A178))))&gt;0,IF(RIGHT(IF(LEFT(TRIM(A178),1)="[",TRIM(MID(TRIM(A178),FIND("]",TRIM(A178)&amp;"]")+1,200)),TRIM(A178)),1)=")",TRIM(LEFT(IF(LEFT(TRIM(A178),1)="[",TRIM(MID(TRIM(A178),FIND("]",TRIM(A178)&amp;"]")+1,200)),TRIM(A178)),FIND("(",IF(LEFT(TRIM(A178),1)="[",TRIM(MID(TRIM(A178),FIND("]",TRIM(A178)&amp;"]")+1,200)),TRIM(A178))&amp;"(")-1)),IF(LEFT(TRIM(A178),1)="[",TRIM(MID(TRIM(A178),FIND("]",TRIM(A178)&amp;"]")+1,200)),TRIM(A178))),""))</f>
      </c>
      <c r="C178" s="17">
        <f>IF(B178&lt;&gt;"",B178,C177)</f>
      </c>
      <c r="D178" s="17">
        <f>IF(A178="","",IF(OR(LEFT(UPPER(TRIM(A178)),2)="Y:",LEFT(UPPER(TRIM(A178)),10)="YESTERDAY:"),"Y",IF(OR(LEFT(UPPER(TRIM(A178)),2)="T:",LEFT(UPPER(TRIM(A178)),6)="TODAY:"),"T",IF(OR(LEFT(UPPER(TRIM(A178)),2)="B:",LEFT(UPPER(TRIM(A178)),8)="BLOCKER:",LEFT(UPPER(TRIM(A178)),9)="BLOCKERS:",LEFT(UPPER(TRIM(A178)),8)="BLOCKED:"),"B",""))))</f>
      </c>
      <c r="E178" s="17">
        <f>IF(D178="","",TRIM(MID(A178,FIND(":",A178)+1,500)))</f>
      </c>
    </row>
    <row r="179">
      <c r="B179" s="17">
        <f>IF(A179="","",IF(COUNTIF(Roster[Name],IF(RIGHT(IF(LEFT(TRIM(A179),1)="[",TRIM(MID(TRIM(A179),FIND("]",TRIM(A179)&amp;"]")+1,200)),TRIM(A179)),1)=")",TRIM(LEFT(IF(LEFT(TRIM(A179),1)="[",TRIM(MID(TRIM(A179),FIND("]",TRIM(A179)&amp;"]")+1,200)),TRIM(A179)),FIND("(",IF(LEFT(TRIM(A179),1)="[",TRIM(MID(TRIM(A179),FIND("]",TRIM(A179)&amp;"]")+1,200)),TRIM(A179))&amp;"(")-1)),IF(LEFT(TRIM(A179),1)="[",TRIM(MID(TRIM(A179),FIND("]",TRIM(A179)&amp;"]")+1,200)),TRIM(A179))))&gt;0,IF(RIGHT(IF(LEFT(TRIM(A179),1)="[",TRIM(MID(TRIM(A179),FIND("]",TRIM(A179)&amp;"]")+1,200)),TRIM(A179)),1)=")",TRIM(LEFT(IF(LEFT(TRIM(A179),1)="[",TRIM(MID(TRIM(A179),FIND("]",TRIM(A179)&amp;"]")+1,200)),TRIM(A179)),FIND("(",IF(LEFT(TRIM(A179),1)="[",TRIM(MID(TRIM(A179),FIND("]",TRIM(A179)&amp;"]")+1,200)),TRIM(A179))&amp;"(")-1)),IF(LEFT(TRIM(A179),1)="[",TRIM(MID(TRIM(A179),FIND("]",TRIM(A179)&amp;"]")+1,200)),TRIM(A179))),""))</f>
      </c>
      <c r="C179" s="17">
        <f>IF(B179&lt;&gt;"",B179,C178)</f>
      </c>
      <c r="D179" s="17">
        <f>IF(A179="","",IF(OR(LEFT(UPPER(TRIM(A179)),2)="Y:",LEFT(UPPER(TRIM(A179)),10)="YESTERDAY:"),"Y",IF(OR(LEFT(UPPER(TRIM(A179)),2)="T:",LEFT(UPPER(TRIM(A179)),6)="TODAY:"),"T",IF(OR(LEFT(UPPER(TRIM(A179)),2)="B:",LEFT(UPPER(TRIM(A179)),8)="BLOCKER:",LEFT(UPPER(TRIM(A179)),9)="BLOCKERS:",LEFT(UPPER(TRIM(A179)),8)="BLOCKED:"),"B",""))))</f>
      </c>
      <c r="E179" s="17">
        <f>IF(D179="","",TRIM(MID(A179,FIND(":",A179)+1,500)))</f>
      </c>
    </row>
    <row r="180">
      <c r="B180" s="17">
        <f>IF(A180="","",IF(COUNTIF(Roster[Name],IF(RIGHT(IF(LEFT(TRIM(A180),1)="[",TRIM(MID(TRIM(A180),FIND("]",TRIM(A180)&amp;"]")+1,200)),TRIM(A180)),1)=")",TRIM(LEFT(IF(LEFT(TRIM(A180),1)="[",TRIM(MID(TRIM(A180),FIND("]",TRIM(A180)&amp;"]")+1,200)),TRIM(A180)),FIND("(",IF(LEFT(TRIM(A180),1)="[",TRIM(MID(TRIM(A180),FIND("]",TRIM(A180)&amp;"]")+1,200)),TRIM(A180))&amp;"(")-1)),IF(LEFT(TRIM(A180),1)="[",TRIM(MID(TRIM(A180),FIND("]",TRIM(A180)&amp;"]")+1,200)),TRIM(A180))))&gt;0,IF(RIGHT(IF(LEFT(TRIM(A180),1)="[",TRIM(MID(TRIM(A180),FIND("]",TRIM(A180)&amp;"]")+1,200)),TRIM(A180)),1)=")",TRIM(LEFT(IF(LEFT(TRIM(A180),1)="[",TRIM(MID(TRIM(A180),FIND("]",TRIM(A180)&amp;"]")+1,200)),TRIM(A180)),FIND("(",IF(LEFT(TRIM(A180),1)="[",TRIM(MID(TRIM(A180),FIND("]",TRIM(A180)&amp;"]")+1,200)),TRIM(A180))&amp;"(")-1)),IF(LEFT(TRIM(A180),1)="[",TRIM(MID(TRIM(A180),FIND("]",TRIM(A180)&amp;"]")+1,200)),TRIM(A180))),""))</f>
      </c>
      <c r="C180" s="17">
        <f>IF(B180&lt;&gt;"",B180,C179)</f>
      </c>
      <c r="D180" s="17">
        <f>IF(A180="","",IF(OR(LEFT(UPPER(TRIM(A180)),2)="Y:",LEFT(UPPER(TRIM(A180)),10)="YESTERDAY:"),"Y",IF(OR(LEFT(UPPER(TRIM(A180)),2)="T:",LEFT(UPPER(TRIM(A180)),6)="TODAY:"),"T",IF(OR(LEFT(UPPER(TRIM(A180)),2)="B:",LEFT(UPPER(TRIM(A180)),8)="BLOCKER:",LEFT(UPPER(TRIM(A180)),9)="BLOCKERS:",LEFT(UPPER(TRIM(A180)),8)="BLOCKED:"),"B",""))))</f>
      </c>
      <c r="E180" s="17">
        <f>IF(D180="","",TRIM(MID(A180,FIND(":",A180)+1,500)))</f>
      </c>
    </row>
    <row r="181">
      <c r="B181" s="17">
        <f>IF(A181="","",IF(COUNTIF(Roster[Name],IF(RIGHT(IF(LEFT(TRIM(A181),1)="[",TRIM(MID(TRIM(A181),FIND("]",TRIM(A181)&amp;"]")+1,200)),TRIM(A181)),1)=")",TRIM(LEFT(IF(LEFT(TRIM(A181),1)="[",TRIM(MID(TRIM(A181),FIND("]",TRIM(A181)&amp;"]")+1,200)),TRIM(A181)),FIND("(",IF(LEFT(TRIM(A181),1)="[",TRIM(MID(TRIM(A181),FIND("]",TRIM(A181)&amp;"]")+1,200)),TRIM(A181))&amp;"(")-1)),IF(LEFT(TRIM(A181),1)="[",TRIM(MID(TRIM(A181),FIND("]",TRIM(A181)&amp;"]")+1,200)),TRIM(A181))))&gt;0,IF(RIGHT(IF(LEFT(TRIM(A181),1)="[",TRIM(MID(TRIM(A181),FIND("]",TRIM(A181)&amp;"]")+1,200)),TRIM(A181)),1)=")",TRIM(LEFT(IF(LEFT(TRIM(A181),1)="[",TRIM(MID(TRIM(A181),FIND("]",TRIM(A181)&amp;"]")+1,200)),TRIM(A181)),FIND("(",IF(LEFT(TRIM(A181),1)="[",TRIM(MID(TRIM(A181),FIND("]",TRIM(A181)&amp;"]")+1,200)),TRIM(A181))&amp;"(")-1)),IF(LEFT(TRIM(A181),1)="[",TRIM(MID(TRIM(A181),FIND("]",TRIM(A181)&amp;"]")+1,200)),TRIM(A181))),""))</f>
      </c>
      <c r="C181" s="17">
        <f>IF(B181&lt;&gt;"",B181,C180)</f>
      </c>
      <c r="D181" s="17">
        <f>IF(A181="","",IF(OR(LEFT(UPPER(TRIM(A181)),2)="Y:",LEFT(UPPER(TRIM(A181)),10)="YESTERDAY:"),"Y",IF(OR(LEFT(UPPER(TRIM(A181)),2)="T:",LEFT(UPPER(TRIM(A181)),6)="TODAY:"),"T",IF(OR(LEFT(UPPER(TRIM(A181)),2)="B:",LEFT(UPPER(TRIM(A181)),8)="BLOCKER:",LEFT(UPPER(TRIM(A181)),9)="BLOCKERS:",LEFT(UPPER(TRIM(A181)),8)="BLOCKED:"),"B",""))))</f>
      </c>
      <c r="E181" s="17">
        <f>IF(D181="","",TRIM(MID(A181,FIND(":",A181)+1,500)))</f>
      </c>
    </row>
    <row r="182">
      <c r="B182" s="17">
        <f>IF(A182="","",IF(COUNTIF(Roster[Name],IF(RIGHT(IF(LEFT(TRIM(A182),1)="[",TRIM(MID(TRIM(A182),FIND("]",TRIM(A182)&amp;"]")+1,200)),TRIM(A182)),1)=")",TRIM(LEFT(IF(LEFT(TRIM(A182),1)="[",TRIM(MID(TRIM(A182),FIND("]",TRIM(A182)&amp;"]")+1,200)),TRIM(A182)),FIND("(",IF(LEFT(TRIM(A182),1)="[",TRIM(MID(TRIM(A182),FIND("]",TRIM(A182)&amp;"]")+1,200)),TRIM(A182))&amp;"(")-1)),IF(LEFT(TRIM(A182),1)="[",TRIM(MID(TRIM(A182),FIND("]",TRIM(A182)&amp;"]")+1,200)),TRIM(A182))))&gt;0,IF(RIGHT(IF(LEFT(TRIM(A182),1)="[",TRIM(MID(TRIM(A182),FIND("]",TRIM(A182)&amp;"]")+1,200)),TRIM(A182)),1)=")",TRIM(LEFT(IF(LEFT(TRIM(A182),1)="[",TRIM(MID(TRIM(A182),FIND("]",TRIM(A182)&amp;"]")+1,200)),TRIM(A182)),FIND("(",IF(LEFT(TRIM(A182),1)="[",TRIM(MID(TRIM(A182),FIND("]",TRIM(A182)&amp;"]")+1,200)),TRIM(A182))&amp;"(")-1)),IF(LEFT(TRIM(A182),1)="[",TRIM(MID(TRIM(A182),FIND("]",TRIM(A182)&amp;"]")+1,200)),TRIM(A182))),""))</f>
      </c>
      <c r="C182" s="17">
        <f>IF(B182&lt;&gt;"",B182,C181)</f>
      </c>
      <c r="D182" s="17">
        <f>IF(A182="","",IF(OR(LEFT(UPPER(TRIM(A182)),2)="Y:",LEFT(UPPER(TRIM(A182)),10)="YESTERDAY:"),"Y",IF(OR(LEFT(UPPER(TRIM(A182)),2)="T:",LEFT(UPPER(TRIM(A182)),6)="TODAY:"),"T",IF(OR(LEFT(UPPER(TRIM(A182)),2)="B:",LEFT(UPPER(TRIM(A182)),8)="BLOCKER:",LEFT(UPPER(TRIM(A182)),9)="BLOCKERS:",LEFT(UPPER(TRIM(A182)),8)="BLOCKED:"),"B",""))))</f>
      </c>
      <c r="E182" s="17">
        <f>IF(D182="","",TRIM(MID(A182,FIND(":",A182)+1,500)))</f>
      </c>
    </row>
    <row r="183">
      <c r="B183" s="17">
        <f>IF(A183="","",IF(COUNTIF(Roster[Name],IF(RIGHT(IF(LEFT(TRIM(A183),1)="[",TRIM(MID(TRIM(A183),FIND("]",TRIM(A183)&amp;"]")+1,200)),TRIM(A183)),1)=")",TRIM(LEFT(IF(LEFT(TRIM(A183),1)="[",TRIM(MID(TRIM(A183),FIND("]",TRIM(A183)&amp;"]")+1,200)),TRIM(A183)),FIND("(",IF(LEFT(TRIM(A183),1)="[",TRIM(MID(TRIM(A183),FIND("]",TRIM(A183)&amp;"]")+1,200)),TRIM(A183))&amp;"(")-1)),IF(LEFT(TRIM(A183),1)="[",TRIM(MID(TRIM(A183),FIND("]",TRIM(A183)&amp;"]")+1,200)),TRIM(A183))))&gt;0,IF(RIGHT(IF(LEFT(TRIM(A183),1)="[",TRIM(MID(TRIM(A183),FIND("]",TRIM(A183)&amp;"]")+1,200)),TRIM(A183)),1)=")",TRIM(LEFT(IF(LEFT(TRIM(A183),1)="[",TRIM(MID(TRIM(A183),FIND("]",TRIM(A183)&amp;"]")+1,200)),TRIM(A183)),FIND("(",IF(LEFT(TRIM(A183),1)="[",TRIM(MID(TRIM(A183),FIND("]",TRIM(A183)&amp;"]")+1,200)),TRIM(A183))&amp;"(")-1)),IF(LEFT(TRIM(A183),1)="[",TRIM(MID(TRIM(A183),FIND("]",TRIM(A183)&amp;"]")+1,200)),TRIM(A183))),""))</f>
      </c>
      <c r="C183" s="17">
        <f>IF(B183&lt;&gt;"",B183,C182)</f>
      </c>
      <c r="D183" s="17">
        <f>IF(A183="","",IF(OR(LEFT(UPPER(TRIM(A183)),2)="Y:",LEFT(UPPER(TRIM(A183)),10)="YESTERDAY:"),"Y",IF(OR(LEFT(UPPER(TRIM(A183)),2)="T:",LEFT(UPPER(TRIM(A183)),6)="TODAY:"),"T",IF(OR(LEFT(UPPER(TRIM(A183)),2)="B:",LEFT(UPPER(TRIM(A183)),8)="BLOCKER:",LEFT(UPPER(TRIM(A183)),9)="BLOCKERS:",LEFT(UPPER(TRIM(A183)),8)="BLOCKED:"),"B",""))))</f>
      </c>
      <c r="E183" s="17">
        <f>IF(D183="","",TRIM(MID(A183,FIND(":",A183)+1,500)))</f>
      </c>
    </row>
    <row r="184">
      <c r="B184" s="17">
        <f>IF(A184="","",IF(COUNTIF(Roster[Name],IF(RIGHT(IF(LEFT(TRIM(A184),1)="[",TRIM(MID(TRIM(A184),FIND("]",TRIM(A184)&amp;"]")+1,200)),TRIM(A184)),1)=")",TRIM(LEFT(IF(LEFT(TRIM(A184),1)="[",TRIM(MID(TRIM(A184),FIND("]",TRIM(A184)&amp;"]")+1,200)),TRIM(A184)),FIND("(",IF(LEFT(TRIM(A184),1)="[",TRIM(MID(TRIM(A184),FIND("]",TRIM(A184)&amp;"]")+1,200)),TRIM(A184))&amp;"(")-1)),IF(LEFT(TRIM(A184),1)="[",TRIM(MID(TRIM(A184),FIND("]",TRIM(A184)&amp;"]")+1,200)),TRIM(A184))))&gt;0,IF(RIGHT(IF(LEFT(TRIM(A184),1)="[",TRIM(MID(TRIM(A184),FIND("]",TRIM(A184)&amp;"]")+1,200)),TRIM(A184)),1)=")",TRIM(LEFT(IF(LEFT(TRIM(A184),1)="[",TRIM(MID(TRIM(A184),FIND("]",TRIM(A184)&amp;"]")+1,200)),TRIM(A184)),FIND("(",IF(LEFT(TRIM(A184),1)="[",TRIM(MID(TRIM(A184),FIND("]",TRIM(A184)&amp;"]")+1,200)),TRIM(A184))&amp;"(")-1)),IF(LEFT(TRIM(A184),1)="[",TRIM(MID(TRIM(A184),FIND("]",TRIM(A184)&amp;"]")+1,200)),TRIM(A184))),""))</f>
      </c>
      <c r="C184" s="17">
        <f>IF(B184&lt;&gt;"",B184,C183)</f>
      </c>
      <c r="D184" s="17">
        <f>IF(A184="","",IF(OR(LEFT(UPPER(TRIM(A184)),2)="Y:",LEFT(UPPER(TRIM(A184)),10)="YESTERDAY:"),"Y",IF(OR(LEFT(UPPER(TRIM(A184)),2)="T:",LEFT(UPPER(TRIM(A184)),6)="TODAY:"),"T",IF(OR(LEFT(UPPER(TRIM(A184)),2)="B:",LEFT(UPPER(TRIM(A184)),8)="BLOCKER:",LEFT(UPPER(TRIM(A184)),9)="BLOCKERS:",LEFT(UPPER(TRIM(A184)),8)="BLOCKED:"),"B",""))))</f>
      </c>
      <c r="E184" s="17">
        <f>IF(D184="","",TRIM(MID(A184,FIND(":",A184)+1,500)))</f>
      </c>
    </row>
    <row r="185">
      <c r="B185" s="17">
        <f>IF(A185="","",IF(COUNTIF(Roster[Name],IF(RIGHT(IF(LEFT(TRIM(A185),1)="[",TRIM(MID(TRIM(A185),FIND("]",TRIM(A185)&amp;"]")+1,200)),TRIM(A185)),1)=")",TRIM(LEFT(IF(LEFT(TRIM(A185),1)="[",TRIM(MID(TRIM(A185),FIND("]",TRIM(A185)&amp;"]")+1,200)),TRIM(A185)),FIND("(",IF(LEFT(TRIM(A185),1)="[",TRIM(MID(TRIM(A185),FIND("]",TRIM(A185)&amp;"]")+1,200)),TRIM(A185))&amp;"(")-1)),IF(LEFT(TRIM(A185),1)="[",TRIM(MID(TRIM(A185),FIND("]",TRIM(A185)&amp;"]")+1,200)),TRIM(A185))))&gt;0,IF(RIGHT(IF(LEFT(TRIM(A185),1)="[",TRIM(MID(TRIM(A185),FIND("]",TRIM(A185)&amp;"]")+1,200)),TRIM(A185)),1)=")",TRIM(LEFT(IF(LEFT(TRIM(A185),1)="[",TRIM(MID(TRIM(A185),FIND("]",TRIM(A185)&amp;"]")+1,200)),TRIM(A185)),FIND("(",IF(LEFT(TRIM(A185),1)="[",TRIM(MID(TRIM(A185),FIND("]",TRIM(A185)&amp;"]")+1,200)),TRIM(A185))&amp;"(")-1)),IF(LEFT(TRIM(A185),1)="[",TRIM(MID(TRIM(A185),FIND("]",TRIM(A185)&amp;"]")+1,200)),TRIM(A185))),""))</f>
      </c>
      <c r="C185" s="17">
        <f>IF(B185&lt;&gt;"",B185,C184)</f>
      </c>
      <c r="D185" s="17">
        <f>IF(A185="","",IF(OR(LEFT(UPPER(TRIM(A185)),2)="Y:",LEFT(UPPER(TRIM(A185)),10)="YESTERDAY:"),"Y",IF(OR(LEFT(UPPER(TRIM(A185)),2)="T:",LEFT(UPPER(TRIM(A185)),6)="TODAY:"),"T",IF(OR(LEFT(UPPER(TRIM(A185)),2)="B:",LEFT(UPPER(TRIM(A185)),8)="BLOCKER:",LEFT(UPPER(TRIM(A185)),9)="BLOCKERS:",LEFT(UPPER(TRIM(A185)),8)="BLOCKED:"),"B",""))))</f>
      </c>
      <c r="E185" s="17">
        <f>IF(D185="","",TRIM(MID(A185,FIND(":",A185)+1,500)))</f>
      </c>
    </row>
    <row r="186">
      <c r="B186" s="17">
        <f>IF(A186="","",IF(COUNTIF(Roster[Name],IF(RIGHT(IF(LEFT(TRIM(A186),1)="[",TRIM(MID(TRIM(A186),FIND("]",TRIM(A186)&amp;"]")+1,200)),TRIM(A186)),1)=")",TRIM(LEFT(IF(LEFT(TRIM(A186),1)="[",TRIM(MID(TRIM(A186),FIND("]",TRIM(A186)&amp;"]")+1,200)),TRIM(A186)),FIND("(",IF(LEFT(TRIM(A186),1)="[",TRIM(MID(TRIM(A186),FIND("]",TRIM(A186)&amp;"]")+1,200)),TRIM(A186))&amp;"(")-1)),IF(LEFT(TRIM(A186),1)="[",TRIM(MID(TRIM(A186),FIND("]",TRIM(A186)&amp;"]")+1,200)),TRIM(A186))))&gt;0,IF(RIGHT(IF(LEFT(TRIM(A186),1)="[",TRIM(MID(TRIM(A186),FIND("]",TRIM(A186)&amp;"]")+1,200)),TRIM(A186)),1)=")",TRIM(LEFT(IF(LEFT(TRIM(A186),1)="[",TRIM(MID(TRIM(A186),FIND("]",TRIM(A186)&amp;"]")+1,200)),TRIM(A186)),FIND("(",IF(LEFT(TRIM(A186),1)="[",TRIM(MID(TRIM(A186),FIND("]",TRIM(A186)&amp;"]")+1,200)),TRIM(A186))&amp;"(")-1)),IF(LEFT(TRIM(A186),1)="[",TRIM(MID(TRIM(A186),FIND("]",TRIM(A186)&amp;"]")+1,200)),TRIM(A186))),""))</f>
      </c>
      <c r="C186" s="17">
        <f>IF(B186&lt;&gt;"",B186,C185)</f>
      </c>
      <c r="D186" s="17">
        <f>IF(A186="","",IF(OR(LEFT(UPPER(TRIM(A186)),2)="Y:",LEFT(UPPER(TRIM(A186)),10)="YESTERDAY:"),"Y",IF(OR(LEFT(UPPER(TRIM(A186)),2)="T:",LEFT(UPPER(TRIM(A186)),6)="TODAY:"),"T",IF(OR(LEFT(UPPER(TRIM(A186)),2)="B:",LEFT(UPPER(TRIM(A186)),8)="BLOCKER:",LEFT(UPPER(TRIM(A186)),9)="BLOCKERS:",LEFT(UPPER(TRIM(A186)),8)="BLOCKED:"),"B",""))))</f>
      </c>
      <c r="E186" s="17">
        <f>IF(D186="","",TRIM(MID(A186,FIND(":",A186)+1,500)))</f>
      </c>
    </row>
    <row r="187">
      <c r="B187" s="17">
        <f>IF(A187="","",IF(COUNTIF(Roster[Name],IF(RIGHT(IF(LEFT(TRIM(A187),1)="[",TRIM(MID(TRIM(A187),FIND("]",TRIM(A187)&amp;"]")+1,200)),TRIM(A187)),1)=")",TRIM(LEFT(IF(LEFT(TRIM(A187),1)="[",TRIM(MID(TRIM(A187),FIND("]",TRIM(A187)&amp;"]")+1,200)),TRIM(A187)),FIND("(",IF(LEFT(TRIM(A187),1)="[",TRIM(MID(TRIM(A187),FIND("]",TRIM(A187)&amp;"]")+1,200)),TRIM(A187))&amp;"(")-1)),IF(LEFT(TRIM(A187),1)="[",TRIM(MID(TRIM(A187),FIND("]",TRIM(A187)&amp;"]")+1,200)),TRIM(A187))))&gt;0,IF(RIGHT(IF(LEFT(TRIM(A187),1)="[",TRIM(MID(TRIM(A187),FIND("]",TRIM(A187)&amp;"]")+1,200)),TRIM(A187)),1)=")",TRIM(LEFT(IF(LEFT(TRIM(A187),1)="[",TRIM(MID(TRIM(A187),FIND("]",TRIM(A187)&amp;"]")+1,200)),TRIM(A187)),FIND("(",IF(LEFT(TRIM(A187),1)="[",TRIM(MID(TRIM(A187),FIND("]",TRIM(A187)&amp;"]")+1,200)),TRIM(A187))&amp;"(")-1)),IF(LEFT(TRIM(A187),1)="[",TRIM(MID(TRIM(A187),FIND("]",TRIM(A187)&amp;"]")+1,200)),TRIM(A187))),""))</f>
      </c>
      <c r="C187" s="17">
        <f>IF(B187&lt;&gt;"",B187,C186)</f>
      </c>
      <c r="D187" s="17">
        <f>IF(A187="","",IF(OR(LEFT(UPPER(TRIM(A187)),2)="Y:",LEFT(UPPER(TRIM(A187)),10)="YESTERDAY:"),"Y",IF(OR(LEFT(UPPER(TRIM(A187)),2)="T:",LEFT(UPPER(TRIM(A187)),6)="TODAY:"),"T",IF(OR(LEFT(UPPER(TRIM(A187)),2)="B:",LEFT(UPPER(TRIM(A187)),8)="BLOCKER:",LEFT(UPPER(TRIM(A187)),9)="BLOCKERS:",LEFT(UPPER(TRIM(A187)),8)="BLOCKED:"),"B",""))))</f>
      </c>
      <c r="E187" s="17">
        <f>IF(D187="","",TRIM(MID(A187,FIND(":",A187)+1,500)))</f>
      </c>
    </row>
    <row r="188">
      <c r="B188" s="17">
        <f>IF(A188="","",IF(COUNTIF(Roster[Name],IF(RIGHT(IF(LEFT(TRIM(A188),1)="[",TRIM(MID(TRIM(A188),FIND("]",TRIM(A188)&amp;"]")+1,200)),TRIM(A188)),1)=")",TRIM(LEFT(IF(LEFT(TRIM(A188),1)="[",TRIM(MID(TRIM(A188),FIND("]",TRIM(A188)&amp;"]")+1,200)),TRIM(A188)),FIND("(",IF(LEFT(TRIM(A188),1)="[",TRIM(MID(TRIM(A188),FIND("]",TRIM(A188)&amp;"]")+1,200)),TRIM(A188))&amp;"(")-1)),IF(LEFT(TRIM(A188),1)="[",TRIM(MID(TRIM(A188),FIND("]",TRIM(A188)&amp;"]")+1,200)),TRIM(A188))))&gt;0,IF(RIGHT(IF(LEFT(TRIM(A188),1)="[",TRIM(MID(TRIM(A188),FIND("]",TRIM(A188)&amp;"]")+1,200)),TRIM(A188)),1)=")",TRIM(LEFT(IF(LEFT(TRIM(A188),1)="[",TRIM(MID(TRIM(A188),FIND("]",TRIM(A188)&amp;"]")+1,200)),TRIM(A188)),FIND("(",IF(LEFT(TRIM(A188),1)="[",TRIM(MID(TRIM(A188),FIND("]",TRIM(A188)&amp;"]")+1,200)),TRIM(A188))&amp;"(")-1)),IF(LEFT(TRIM(A188),1)="[",TRIM(MID(TRIM(A188),FIND("]",TRIM(A188)&amp;"]")+1,200)),TRIM(A188))),""))</f>
      </c>
      <c r="C188" s="17">
        <f>IF(B188&lt;&gt;"",B188,C187)</f>
      </c>
      <c r="D188" s="17">
        <f>IF(A188="","",IF(OR(LEFT(UPPER(TRIM(A188)),2)="Y:",LEFT(UPPER(TRIM(A188)),10)="YESTERDAY:"),"Y",IF(OR(LEFT(UPPER(TRIM(A188)),2)="T:",LEFT(UPPER(TRIM(A188)),6)="TODAY:"),"T",IF(OR(LEFT(UPPER(TRIM(A188)),2)="B:",LEFT(UPPER(TRIM(A188)),8)="BLOCKER:",LEFT(UPPER(TRIM(A188)),9)="BLOCKERS:",LEFT(UPPER(TRIM(A188)),8)="BLOCKED:"),"B",""))))</f>
      </c>
      <c r="E188" s="17">
        <f>IF(D188="","",TRIM(MID(A188,FIND(":",A188)+1,500)))</f>
      </c>
    </row>
    <row r="189">
      <c r="B189" s="17">
        <f>IF(A189="","",IF(COUNTIF(Roster[Name],IF(RIGHT(IF(LEFT(TRIM(A189),1)="[",TRIM(MID(TRIM(A189),FIND("]",TRIM(A189)&amp;"]")+1,200)),TRIM(A189)),1)=")",TRIM(LEFT(IF(LEFT(TRIM(A189),1)="[",TRIM(MID(TRIM(A189),FIND("]",TRIM(A189)&amp;"]")+1,200)),TRIM(A189)),FIND("(",IF(LEFT(TRIM(A189),1)="[",TRIM(MID(TRIM(A189),FIND("]",TRIM(A189)&amp;"]")+1,200)),TRIM(A189))&amp;"(")-1)),IF(LEFT(TRIM(A189),1)="[",TRIM(MID(TRIM(A189),FIND("]",TRIM(A189)&amp;"]")+1,200)),TRIM(A189))))&gt;0,IF(RIGHT(IF(LEFT(TRIM(A189),1)="[",TRIM(MID(TRIM(A189),FIND("]",TRIM(A189)&amp;"]")+1,200)),TRIM(A189)),1)=")",TRIM(LEFT(IF(LEFT(TRIM(A189),1)="[",TRIM(MID(TRIM(A189),FIND("]",TRIM(A189)&amp;"]")+1,200)),TRIM(A189)),FIND("(",IF(LEFT(TRIM(A189),1)="[",TRIM(MID(TRIM(A189),FIND("]",TRIM(A189)&amp;"]")+1,200)),TRIM(A189))&amp;"(")-1)),IF(LEFT(TRIM(A189),1)="[",TRIM(MID(TRIM(A189),FIND("]",TRIM(A189)&amp;"]")+1,200)),TRIM(A189))),""))</f>
      </c>
      <c r="C189" s="17">
        <f>IF(B189&lt;&gt;"",B189,C188)</f>
      </c>
      <c r="D189" s="17">
        <f>IF(A189="","",IF(OR(LEFT(UPPER(TRIM(A189)),2)="Y:",LEFT(UPPER(TRIM(A189)),10)="YESTERDAY:"),"Y",IF(OR(LEFT(UPPER(TRIM(A189)),2)="T:",LEFT(UPPER(TRIM(A189)),6)="TODAY:"),"T",IF(OR(LEFT(UPPER(TRIM(A189)),2)="B:",LEFT(UPPER(TRIM(A189)),8)="BLOCKER:",LEFT(UPPER(TRIM(A189)),9)="BLOCKERS:",LEFT(UPPER(TRIM(A189)),8)="BLOCKED:"),"B",""))))</f>
      </c>
      <c r="E189" s="17">
        <f>IF(D189="","",TRIM(MID(A189,FIND(":",A189)+1,500)))</f>
      </c>
    </row>
    <row r="190">
      <c r="B190" s="17">
        <f>IF(A190="","",IF(COUNTIF(Roster[Name],IF(RIGHT(IF(LEFT(TRIM(A190),1)="[",TRIM(MID(TRIM(A190),FIND("]",TRIM(A190)&amp;"]")+1,200)),TRIM(A190)),1)=")",TRIM(LEFT(IF(LEFT(TRIM(A190),1)="[",TRIM(MID(TRIM(A190),FIND("]",TRIM(A190)&amp;"]")+1,200)),TRIM(A190)),FIND("(",IF(LEFT(TRIM(A190),1)="[",TRIM(MID(TRIM(A190),FIND("]",TRIM(A190)&amp;"]")+1,200)),TRIM(A190))&amp;"(")-1)),IF(LEFT(TRIM(A190),1)="[",TRIM(MID(TRIM(A190),FIND("]",TRIM(A190)&amp;"]")+1,200)),TRIM(A190))))&gt;0,IF(RIGHT(IF(LEFT(TRIM(A190),1)="[",TRIM(MID(TRIM(A190),FIND("]",TRIM(A190)&amp;"]")+1,200)),TRIM(A190)),1)=")",TRIM(LEFT(IF(LEFT(TRIM(A190),1)="[",TRIM(MID(TRIM(A190),FIND("]",TRIM(A190)&amp;"]")+1,200)),TRIM(A190)),FIND("(",IF(LEFT(TRIM(A190),1)="[",TRIM(MID(TRIM(A190),FIND("]",TRIM(A190)&amp;"]")+1,200)),TRIM(A190))&amp;"(")-1)),IF(LEFT(TRIM(A190),1)="[",TRIM(MID(TRIM(A190),FIND("]",TRIM(A190)&amp;"]")+1,200)),TRIM(A190))),""))</f>
      </c>
      <c r="C190" s="17">
        <f>IF(B190&lt;&gt;"",B190,C189)</f>
      </c>
      <c r="D190" s="17">
        <f>IF(A190="","",IF(OR(LEFT(UPPER(TRIM(A190)),2)="Y:",LEFT(UPPER(TRIM(A190)),10)="YESTERDAY:"),"Y",IF(OR(LEFT(UPPER(TRIM(A190)),2)="T:",LEFT(UPPER(TRIM(A190)),6)="TODAY:"),"T",IF(OR(LEFT(UPPER(TRIM(A190)),2)="B:",LEFT(UPPER(TRIM(A190)),8)="BLOCKER:",LEFT(UPPER(TRIM(A190)),9)="BLOCKERS:",LEFT(UPPER(TRIM(A190)),8)="BLOCKED:"),"B",""))))</f>
      </c>
      <c r="E190" s="17">
        <f>IF(D190="","",TRIM(MID(A190,FIND(":",A190)+1,500)))</f>
      </c>
    </row>
    <row r="191">
      <c r="B191" s="17">
        <f>IF(A191="","",IF(COUNTIF(Roster[Name],IF(RIGHT(IF(LEFT(TRIM(A191),1)="[",TRIM(MID(TRIM(A191),FIND("]",TRIM(A191)&amp;"]")+1,200)),TRIM(A191)),1)=")",TRIM(LEFT(IF(LEFT(TRIM(A191),1)="[",TRIM(MID(TRIM(A191),FIND("]",TRIM(A191)&amp;"]")+1,200)),TRIM(A191)),FIND("(",IF(LEFT(TRIM(A191),1)="[",TRIM(MID(TRIM(A191),FIND("]",TRIM(A191)&amp;"]")+1,200)),TRIM(A191))&amp;"(")-1)),IF(LEFT(TRIM(A191),1)="[",TRIM(MID(TRIM(A191),FIND("]",TRIM(A191)&amp;"]")+1,200)),TRIM(A191))))&gt;0,IF(RIGHT(IF(LEFT(TRIM(A191),1)="[",TRIM(MID(TRIM(A191),FIND("]",TRIM(A191)&amp;"]")+1,200)),TRIM(A191)),1)=")",TRIM(LEFT(IF(LEFT(TRIM(A191),1)="[",TRIM(MID(TRIM(A191),FIND("]",TRIM(A191)&amp;"]")+1,200)),TRIM(A191)),FIND("(",IF(LEFT(TRIM(A191),1)="[",TRIM(MID(TRIM(A191),FIND("]",TRIM(A191)&amp;"]")+1,200)),TRIM(A191))&amp;"(")-1)),IF(LEFT(TRIM(A191),1)="[",TRIM(MID(TRIM(A191),FIND("]",TRIM(A191)&amp;"]")+1,200)),TRIM(A191))),""))</f>
      </c>
      <c r="C191" s="17">
        <f>IF(B191&lt;&gt;"",B191,C190)</f>
      </c>
      <c r="D191" s="17">
        <f>IF(A191="","",IF(OR(LEFT(UPPER(TRIM(A191)),2)="Y:",LEFT(UPPER(TRIM(A191)),10)="YESTERDAY:"),"Y",IF(OR(LEFT(UPPER(TRIM(A191)),2)="T:",LEFT(UPPER(TRIM(A191)),6)="TODAY:"),"T",IF(OR(LEFT(UPPER(TRIM(A191)),2)="B:",LEFT(UPPER(TRIM(A191)),8)="BLOCKER:",LEFT(UPPER(TRIM(A191)),9)="BLOCKERS:",LEFT(UPPER(TRIM(A191)),8)="BLOCKED:"),"B",""))))</f>
      </c>
      <c r="E191" s="17">
        <f>IF(D191="","",TRIM(MID(A191,FIND(":",A191)+1,500)))</f>
      </c>
    </row>
    <row r="192">
      <c r="B192" s="17">
        <f>IF(A192="","",IF(COUNTIF(Roster[Name],IF(RIGHT(IF(LEFT(TRIM(A192),1)="[",TRIM(MID(TRIM(A192),FIND("]",TRIM(A192)&amp;"]")+1,200)),TRIM(A192)),1)=")",TRIM(LEFT(IF(LEFT(TRIM(A192),1)="[",TRIM(MID(TRIM(A192),FIND("]",TRIM(A192)&amp;"]")+1,200)),TRIM(A192)),FIND("(",IF(LEFT(TRIM(A192),1)="[",TRIM(MID(TRIM(A192),FIND("]",TRIM(A192)&amp;"]")+1,200)),TRIM(A192))&amp;"(")-1)),IF(LEFT(TRIM(A192),1)="[",TRIM(MID(TRIM(A192),FIND("]",TRIM(A192)&amp;"]")+1,200)),TRIM(A192))))&gt;0,IF(RIGHT(IF(LEFT(TRIM(A192),1)="[",TRIM(MID(TRIM(A192),FIND("]",TRIM(A192)&amp;"]")+1,200)),TRIM(A192)),1)=")",TRIM(LEFT(IF(LEFT(TRIM(A192),1)="[",TRIM(MID(TRIM(A192),FIND("]",TRIM(A192)&amp;"]")+1,200)),TRIM(A192)),FIND("(",IF(LEFT(TRIM(A192),1)="[",TRIM(MID(TRIM(A192),FIND("]",TRIM(A192)&amp;"]")+1,200)),TRIM(A192))&amp;"(")-1)),IF(LEFT(TRIM(A192),1)="[",TRIM(MID(TRIM(A192),FIND("]",TRIM(A192)&amp;"]")+1,200)),TRIM(A192))),""))</f>
      </c>
      <c r="C192" s="17">
        <f>IF(B192&lt;&gt;"",B192,C191)</f>
      </c>
      <c r="D192" s="17">
        <f>IF(A192="","",IF(OR(LEFT(UPPER(TRIM(A192)),2)="Y:",LEFT(UPPER(TRIM(A192)),10)="YESTERDAY:"),"Y",IF(OR(LEFT(UPPER(TRIM(A192)),2)="T:",LEFT(UPPER(TRIM(A192)),6)="TODAY:"),"T",IF(OR(LEFT(UPPER(TRIM(A192)),2)="B:",LEFT(UPPER(TRIM(A192)),8)="BLOCKER:",LEFT(UPPER(TRIM(A192)),9)="BLOCKERS:",LEFT(UPPER(TRIM(A192)),8)="BLOCKED:"),"B",""))))</f>
      </c>
      <c r="E192" s="17">
        <f>IF(D192="","",TRIM(MID(A192,FIND(":",A192)+1,500)))</f>
      </c>
    </row>
    <row r="193">
      <c r="B193" s="17">
        <f>IF(A193="","",IF(COUNTIF(Roster[Name],IF(RIGHT(IF(LEFT(TRIM(A193),1)="[",TRIM(MID(TRIM(A193),FIND("]",TRIM(A193)&amp;"]")+1,200)),TRIM(A193)),1)=")",TRIM(LEFT(IF(LEFT(TRIM(A193),1)="[",TRIM(MID(TRIM(A193),FIND("]",TRIM(A193)&amp;"]")+1,200)),TRIM(A193)),FIND("(",IF(LEFT(TRIM(A193),1)="[",TRIM(MID(TRIM(A193),FIND("]",TRIM(A193)&amp;"]")+1,200)),TRIM(A193))&amp;"(")-1)),IF(LEFT(TRIM(A193),1)="[",TRIM(MID(TRIM(A193),FIND("]",TRIM(A193)&amp;"]")+1,200)),TRIM(A193))))&gt;0,IF(RIGHT(IF(LEFT(TRIM(A193),1)="[",TRIM(MID(TRIM(A193),FIND("]",TRIM(A193)&amp;"]")+1,200)),TRIM(A193)),1)=")",TRIM(LEFT(IF(LEFT(TRIM(A193),1)="[",TRIM(MID(TRIM(A193),FIND("]",TRIM(A193)&amp;"]")+1,200)),TRIM(A193)),FIND("(",IF(LEFT(TRIM(A193),1)="[",TRIM(MID(TRIM(A193),FIND("]",TRIM(A193)&amp;"]")+1,200)),TRIM(A193))&amp;"(")-1)),IF(LEFT(TRIM(A193),1)="[",TRIM(MID(TRIM(A193),FIND("]",TRIM(A193)&amp;"]")+1,200)),TRIM(A193))),""))</f>
      </c>
      <c r="C193" s="17">
        <f>IF(B193&lt;&gt;"",B193,C192)</f>
      </c>
      <c r="D193" s="17">
        <f>IF(A193="","",IF(OR(LEFT(UPPER(TRIM(A193)),2)="Y:",LEFT(UPPER(TRIM(A193)),10)="YESTERDAY:"),"Y",IF(OR(LEFT(UPPER(TRIM(A193)),2)="T:",LEFT(UPPER(TRIM(A193)),6)="TODAY:"),"T",IF(OR(LEFT(UPPER(TRIM(A193)),2)="B:",LEFT(UPPER(TRIM(A193)),8)="BLOCKER:",LEFT(UPPER(TRIM(A193)),9)="BLOCKERS:",LEFT(UPPER(TRIM(A193)),8)="BLOCKED:"),"B",""))))</f>
      </c>
      <c r="E193" s="17">
        <f>IF(D193="","",TRIM(MID(A193,FIND(":",A193)+1,500)))</f>
      </c>
    </row>
    <row r="194">
      <c r="B194" s="17">
        <f>IF(A194="","",IF(COUNTIF(Roster[Name],IF(RIGHT(IF(LEFT(TRIM(A194),1)="[",TRIM(MID(TRIM(A194),FIND("]",TRIM(A194)&amp;"]")+1,200)),TRIM(A194)),1)=")",TRIM(LEFT(IF(LEFT(TRIM(A194),1)="[",TRIM(MID(TRIM(A194),FIND("]",TRIM(A194)&amp;"]")+1,200)),TRIM(A194)),FIND("(",IF(LEFT(TRIM(A194),1)="[",TRIM(MID(TRIM(A194),FIND("]",TRIM(A194)&amp;"]")+1,200)),TRIM(A194))&amp;"(")-1)),IF(LEFT(TRIM(A194),1)="[",TRIM(MID(TRIM(A194),FIND("]",TRIM(A194)&amp;"]")+1,200)),TRIM(A194))))&gt;0,IF(RIGHT(IF(LEFT(TRIM(A194),1)="[",TRIM(MID(TRIM(A194),FIND("]",TRIM(A194)&amp;"]")+1,200)),TRIM(A194)),1)=")",TRIM(LEFT(IF(LEFT(TRIM(A194),1)="[",TRIM(MID(TRIM(A194),FIND("]",TRIM(A194)&amp;"]")+1,200)),TRIM(A194)),FIND("(",IF(LEFT(TRIM(A194),1)="[",TRIM(MID(TRIM(A194),FIND("]",TRIM(A194)&amp;"]")+1,200)),TRIM(A194))&amp;"(")-1)),IF(LEFT(TRIM(A194),1)="[",TRIM(MID(TRIM(A194),FIND("]",TRIM(A194)&amp;"]")+1,200)),TRIM(A194))),""))</f>
      </c>
      <c r="C194" s="17">
        <f>IF(B194&lt;&gt;"",B194,C193)</f>
      </c>
      <c r="D194" s="17">
        <f>IF(A194="","",IF(OR(LEFT(UPPER(TRIM(A194)),2)="Y:",LEFT(UPPER(TRIM(A194)),10)="YESTERDAY:"),"Y",IF(OR(LEFT(UPPER(TRIM(A194)),2)="T:",LEFT(UPPER(TRIM(A194)),6)="TODAY:"),"T",IF(OR(LEFT(UPPER(TRIM(A194)),2)="B:",LEFT(UPPER(TRIM(A194)),8)="BLOCKER:",LEFT(UPPER(TRIM(A194)),9)="BLOCKERS:",LEFT(UPPER(TRIM(A194)),8)="BLOCKED:"),"B",""))))</f>
      </c>
      <c r="E194" s="17">
        <f>IF(D194="","",TRIM(MID(A194,FIND(":",A194)+1,500)))</f>
      </c>
    </row>
    <row r="195">
      <c r="B195" s="17">
        <f>IF(A195="","",IF(COUNTIF(Roster[Name],IF(RIGHT(IF(LEFT(TRIM(A195),1)="[",TRIM(MID(TRIM(A195),FIND("]",TRIM(A195)&amp;"]")+1,200)),TRIM(A195)),1)=")",TRIM(LEFT(IF(LEFT(TRIM(A195),1)="[",TRIM(MID(TRIM(A195),FIND("]",TRIM(A195)&amp;"]")+1,200)),TRIM(A195)),FIND("(",IF(LEFT(TRIM(A195),1)="[",TRIM(MID(TRIM(A195),FIND("]",TRIM(A195)&amp;"]")+1,200)),TRIM(A195))&amp;"(")-1)),IF(LEFT(TRIM(A195),1)="[",TRIM(MID(TRIM(A195),FIND("]",TRIM(A195)&amp;"]")+1,200)),TRIM(A195))))&gt;0,IF(RIGHT(IF(LEFT(TRIM(A195),1)="[",TRIM(MID(TRIM(A195),FIND("]",TRIM(A195)&amp;"]")+1,200)),TRIM(A195)),1)=")",TRIM(LEFT(IF(LEFT(TRIM(A195),1)="[",TRIM(MID(TRIM(A195),FIND("]",TRIM(A195)&amp;"]")+1,200)),TRIM(A195)),FIND("(",IF(LEFT(TRIM(A195),1)="[",TRIM(MID(TRIM(A195),FIND("]",TRIM(A195)&amp;"]")+1,200)),TRIM(A195))&amp;"(")-1)),IF(LEFT(TRIM(A195),1)="[",TRIM(MID(TRIM(A195),FIND("]",TRIM(A195)&amp;"]")+1,200)),TRIM(A195))),""))</f>
      </c>
      <c r="C195" s="17">
        <f>IF(B195&lt;&gt;"",B195,C194)</f>
      </c>
      <c r="D195" s="17">
        <f>IF(A195="","",IF(OR(LEFT(UPPER(TRIM(A195)),2)="Y:",LEFT(UPPER(TRIM(A195)),10)="YESTERDAY:"),"Y",IF(OR(LEFT(UPPER(TRIM(A195)),2)="T:",LEFT(UPPER(TRIM(A195)),6)="TODAY:"),"T",IF(OR(LEFT(UPPER(TRIM(A195)),2)="B:",LEFT(UPPER(TRIM(A195)),8)="BLOCKER:",LEFT(UPPER(TRIM(A195)),9)="BLOCKERS:",LEFT(UPPER(TRIM(A195)),8)="BLOCKED:"),"B",""))))</f>
      </c>
      <c r="E195" s="17">
        <f>IF(D195="","",TRIM(MID(A195,FIND(":",A195)+1,500)))</f>
      </c>
    </row>
    <row r="196">
      <c r="B196" s="17">
        <f>IF(A196="","",IF(COUNTIF(Roster[Name],IF(RIGHT(IF(LEFT(TRIM(A196),1)="[",TRIM(MID(TRIM(A196),FIND("]",TRIM(A196)&amp;"]")+1,200)),TRIM(A196)),1)=")",TRIM(LEFT(IF(LEFT(TRIM(A196),1)="[",TRIM(MID(TRIM(A196),FIND("]",TRIM(A196)&amp;"]")+1,200)),TRIM(A196)),FIND("(",IF(LEFT(TRIM(A196),1)="[",TRIM(MID(TRIM(A196),FIND("]",TRIM(A196)&amp;"]")+1,200)),TRIM(A196))&amp;"(")-1)),IF(LEFT(TRIM(A196),1)="[",TRIM(MID(TRIM(A196),FIND("]",TRIM(A196)&amp;"]")+1,200)),TRIM(A196))))&gt;0,IF(RIGHT(IF(LEFT(TRIM(A196),1)="[",TRIM(MID(TRIM(A196),FIND("]",TRIM(A196)&amp;"]")+1,200)),TRIM(A196)),1)=")",TRIM(LEFT(IF(LEFT(TRIM(A196),1)="[",TRIM(MID(TRIM(A196),FIND("]",TRIM(A196)&amp;"]")+1,200)),TRIM(A196)),FIND("(",IF(LEFT(TRIM(A196),1)="[",TRIM(MID(TRIM(A196),FIND("]",TRIM(A196)&amp;"]")+1,200)),TRIM(A196))&amp;"(")-1)),IF(LEFT(TRIM(A196),1)="[",TRIM(MID(TRIM(A196),FIND("]",TRIM(A196)&amp;"]")+1,200)),TRIM(A196))),""))</f>
      </c>
      <c r="C196" s="17">
        <f>IF(B196&lt;&gt;"",B196,C195)</f>
      </c>
      <c r="D196" s="17">
        <f>IF(A196="","",IF(OR(LEFT(UPPER(TRIM(A196)),2)="Y:",LEFT(UPPER(TRIM(A196)),10)="YESTERDAY:"),"Y",IF(OR(LEFT(UPPER(TRIM(A196)),2)="T:",LEFT(UPPER(TRIM(A196)),6)="TODAY:"),"T",IF(OR(LEFT(UPPER(TRIM(A196)),2)="B:",LEFT(UPPER(TRIM(A196)),8)="BLOCKER:",LEFT(UPPER(TRIM(A196)),9)="BLOCKERS:",LEFT(UPPER(TRIM(A196)),8)="BLOCKED:"),"B",""))))</f>
      </c>
      <c r="E196" s="17">
        <f>IF(D196="","",TRIM(MID(A196,FIND(":",A196)+1,500)))</f>
      </c>
    </row>
    <row r="197">
      <c r="B197" s="17">
        <f>IF(A197="","",IF(COUNTIF(Roster[Name],IF(RIGHT(IF(LEFT(TRIM(A197),1)="[",TRIM(MID(TRIM(A197),FIND("]",TRIM(A197)&amp;"]")+1,200)),TRIM(A197)),1)=")",TRIM(LEFT(IF(LEFT(TRIM(A197),1)="[",TRIM(MID(TRIM(A197),FIND("]",TRIM(A197)&amp;"]")+1,200)),TRIM(A197)),FIND("(",IF(LEFT(TRIM(A197),1)="[",TRIM(MID(TRIM(A197),FIND("]",TRIM(A197)&amp;"]")+1,200)),TRIM(A197))&amp;"(")-1)),IF(LEFT(TRIM(A197),1)="[",TRIM(MID(TRIM(A197),FIND("]",TRIM(A197)&amp;"]")+1,200)),TRIM(A197))))&gt;0,IF(RIGHT(IF(LEFT(TRIM(A197),1)="[",TRIM(MID(TRIM(A197),FIND("]",TRIM(A197)&amp;"]")+1,200)),TRIM(A197)),1)=")",TRIM(LEFT(IF(LEFT(TRIM(A197),1)="[",TRIM(MID(TRIM(A197),FIND("]",TRIM(A197)&amp;"]")+1,200)),TRIM(A197)),FIND("(",IF(LEFT(TRIM(A197),1)="[",TRIM(MID(TRIM(A197),FIND("]",TRIM(A197)&amp;"]")+1,200)),TRIM(A197))&amp;"(")-1)),IF(LEFT(TRIM(A197),1)="[",TRIM(MID(TRIM(A197),FIND("]",TRIM(A197)&amp;"]")+1,200)),TRIM(A197))),""))</f>
      </c>
      <c r="C197" s="17">
        <f>IF(B197&lt;&gt;"",B197,C196)</f>
      </c>
      <c r="D197" s="17">
        <f>IF(A197="","",IF(OR(LEFT(UPPER(TRIM(A197)),2)="Y:",LEFT(UPPER(TRIM(A197)),10)="YESTERDAY:"),"Y",IF(OR(LEFT(UPPER(TRIM(A197)),2)="T:",LEFT(UPPER(TRIM(A197)),6)="TODAY:"),"T",IF(OR(LEFT(UPPER(TRIM(A197)),2)="B:",LEFT(UPPER(TRIM(A197)),8)="BLOCKER:",LEFT(UPPER(TRIM(A197)),9)="BLOCKERS:",LEFT(UPPER(TRIM(A197)),8)="BLOCKED:"),"B",""))))</f>
      </c>
      <c r="E197" s="17">
        <f>IF(D197="","",TRIM(MID(A197,FIND(":",A197)+1,500)))</f>
      </c>
    </row>
    <row r="198">
      <c r="B198" s="17">
        <f>IF(A198="","",IF(COUNTIF(Roster[Name],IF(RIGHT(IF(LEFT(TRIM(A198),1)="[",TRIM(MID(TRIM(A198),FIND("]",TRIM(A198)&amp;"]")+1,200)),TRIM(A198)),1)=")",TRIM(LEFT(IF(LEFT(TRIM(A198),1)="[",TRIM(MID(TRIM(A198),FIND("]",TRIM(A198)&amp;"]")+1,200)),TRIM(A198)),FIND("(",IF(LEFT(TRIM(A198),1)="[",TRIM(MID(TRIM(A198),FIND("]",TRIM(A198)&amp;"]")+1,200)),TRIM(A198))&amp;"(")-1)),IF(LEFT(TRIM(A198),1)="[",TRIM(MID(TRIM(A198),FIND("]",TRIM(A198)&amp;"]")+1,200)),TRIM(A198))))&gt;0,IF(RIGHT(IF(LEFT(TRIM(A198),1)="[",TRIM(MID(TRIM(A198),FIND("]",TRIM(A198)&amp;"]")+1,200)),TRIM(A198)),1)=")",TRIM(LEFT(IF(LEFT(TRIM(A198),1)="[",TRIM(MID(TRIM(A198),FIND("]",TRIM(A198)&amp;"]")+1,200)),TRIM(A198)),FIND("(",IF(LEFT(TRIM(A198),1)="[",TRIM(MID(TRIM(A198),FIND("]",TRIM(A198)&amp;"]")+1,200)),TRIM(A198))&amp;"(")-1)),IF(LEFT(TRIM(A198),1)="[",TRIM(MID(TRIM(A198),FIND("]",TRIM(A198)&amp;"]")+1,200)),TRIM(A198))),""))</f>
      </c>
      <c r="C198" s="17">
        <f>IF(B198&lt;&gt;"",B198,C197)</f>
      </c>
      <c r="D198" s="17">
        <f>IF(A198="","",IF(OR(LEFT(UPPER(TRIM(A198)),2)="Y:",LEFT(UPPER(TRIM(A198)),10)="YESTERDAY:"),"Y",IF(OR(LEFT(UPPER(TRIM(A198)),2)="T:",LEFT(UPPER(TRIM(A198)),6)="TODAY:"),"T",IF(OR(LEFT(UPPER(TRIM(A198)),2)="B:",LEFT(UPPER(TRIM(A198)),8)="BLOCKER:",LEFT(UPPER(TRIM(A198)),9)="BLOCKERS:",LEFT(UPPER(TRIM(A198)),8)="BLOCKED:"),"B",""))))</f>
      </c>
      <c r="E198" s="17">
        <f>IF(D198="","",TRIM(MID(A198,FIND(":",A198)+1,500)))</f>
      </c>
    </row>
    <row r="199">
      <c r="B199" s="17">
        <f>IF(A199="","",IF(COUNTIF(Roster[Name],IF(RIGHT(IF(LEFT(TRIM(A199),1)="[",TRIM(MID(TRIM(A199),FIND("]",TRIM(A199)&amp;"]")+1,200)),TRIM(A199)),1)=")",TRIM(LEFT(IF(LEFT(TRIM(A199),1)="[",TRIM(MID(TRIM(A199),FIND("]",TRIM(A199)&amp;"]")+1,200)),TRIM(A199)),FIND("(",IF(LEFT(TRIM(A199),1)="[",TRIM(MID(TRIM(A199),FIND("]",TRIM(A199)&amp;"]")+1,200)),TRIM(A199))&amp;"(")-1)),IF(LEFT(TRIM(A199),1)="[",TRIM(MID(TRIM(A199),FIND("]",TRIM(A199)&amp;"]")+1,200)),TRIM(A199))))&gt;0,IF(RIGHT(IF(LEFT(TRIM(A199),1)="[",TRIM(MID(TRIM(A199),FIND("]",TRIM(A199)&amp;"]")+1,200)),TRIM(A199)),1)=")",TRIM(LEFT(IF(LEFT(TRIM(A199),1)="[",TRIM(MID(TRIM(A199),FIND("]",TRIM(A199)&amp;"]")+1,200)),TRIM(A199)),FIND("(",IF(LEFT(TRIM(A199),1)="[",TRIM(MID(TRIM(A199),FIND("]",TRIM(A199)&amp;"]")+1,200)),TRIM(A199))&amp;"(")-1)),IF(LEFT(TRIM(A199),1)="[",TRIM(MID(TRIM(A199),FIND("]",TRIM(A199)&amp;"]")+1,200)),TRIM(A199))),""))</f>
      </c>
      <c r="C199" s="17">
        <f>IF(B199&lt;&gt;"",B199,C198)</f>
      </c>
      <c r="D199" s="17">
        <f>IF(A199="","",IF(OR(LEFT(UPPER(TRIM(A199)),2)="Y:",LEFT(UPPER(TRIM(A199)),10)="YESTERDAY:"),"Y",IF(OR(LEFT(UPPER(TRIM(A199)),2)="T:",LEFT(UPPER(TRIM(A199)),6)="TODAY:"),"T",IF(OR(LEFT(UPPER(TRIM(A199)),2)="B:",LEFT(UPPER(TRIM(A199)),8)="BLOCKER:",LEFT(UPPER(TRIM(A199)),9)="BLOCKERS:",LEFT(UPPER(TRIM(A199)),8)="BLOCKED:"),"B",""))))</f>
      </c>
      <c r="E199" s="17">
        <f>IF(D199="","",TRIM(MID(A199,FIND(":",A199)+1,500)))</f>
      </c>
    </row>
    <row r="200">
      <c r="B200" s="17">
        <f>IF(A200="","",IF(COUNTIF(Roster[Name],IF(RIGHT(IF(LEFT(TRIM(A200),1)="[",TRIM(MID(TRIM(A200),FIND("]",TRIM(A200)&amp;"]")+1,200)),TRIM(A200)),1)=")",TRIM(LEFT(IF(LEFT(TRIM(A200),1)="[",TRIM(MID(TRIM(A200),FIND("]",TRIM(A200)&amp;"]")+1,200)),TRIM(A200)),FIND("(",IF(LEFT(TRIM(A200),1)="[",TRIM(MID(TRIM(A200),FIND("]",TRIM(A200)&amp;"]")+1,200)),TRIM(A200))&amp;"(")-1)),IF(LEFT(TRIM(A200),1)="[",TRIM(MID(TRIM(A200),FIND("]",TRIM(A200)&amp;"]")+1,200)),TRIM(A200))))&gt;0,IF(RIGHT(IF(LEFT(TRIM(A200),1)="[",TRIM(MID(TRIM(A200),FIND("]",TRIM(A200)&amp;"]")+1,200)),TRIM(A200)),1)=")",TRIM(LEFT(IF(LEFT(TRIM(A200),1)="[",TRIM(MID(TRIM(A200),FIND("]",TRIM(A200)&amp;"]")+1,200)),TRIM(A200)),FIND("(",IF(LEFT(TRIM(A200),1)="[",TRIM(MID(TRIM(A200),FIND("]",TRIM(A200)&amp;"]")+1,200)),TRIM(A200))&amp;"(")-1)),IF(LEFT(TRIM(A200),1)="[",TRIM(MID(TRIM(A200),FIND("]",TRIM(A200)&amp;"]")+1,200)),TRIM(A200))),""))</f>
      </c>
      <c r="C200" s="17">
        <f>IF(B200&lt;&gt;"",B200,C199)</f>
      </c>
      <c r="D200" s="17">
        <f>IF(A200="","",IF(OR(LEFT(UPPER(TRIM(A200)),2)="Y:",LEFT(UPPER(TRIM(A200)),10)="YESTERDAY:"),"Y",IF(OR(LEFT(UPPER(TRIM(A200)),2)="T:",LEFT(UPPER(TRIM(A200)),6)="TODAY:"),"T",IF(OR(LEFT(UPPER(TRIM(A200)),2)="B:",LEFT(UPPER(TRIM(A200)),8)="BLOCKER:",LEFT(UPPER(TRIM(A200)),9)="BLOCKERS:",LEFT(UPPER(TRIM(A200)),8)="BLOCKED:"),"B",""))))</f>
      </c>
      <c r="E200" s="17">
        <f>IF(D200="","",TRIM(MID(A200,FIND(":",A200)+1,500)))</f>
      </c>
    </row>
    <row r="201">
      <c r="B201" s="17">
        <f>IF(A201="","",IF(COUNTIF(Roster[Name],IF(RIGHT(IF(LEFT(TRIM(A201),1)="[",TRIM(MID(TRIM(A201),FIND("]",TRIM(A201)&amp;"]")+1,200)),TRIM(A201)),1)=")",TRIM(LEFT(IF(LEFT(TRIM(A201),1)="[",TRIM(MID(TRIM(A201),FIND("]",TRIM(A201)&amp;"]")+1,200)),TRIM(A201)),FIND("(",IF(LEFT(TRIM(A201),1)="[",TRIM(MID(TRIM(A201),FIND("]",TRIM(A201)&amp;"]")+1,200)),TRIM(A201))&amp;"(")-1)),IF(LEFT(TRIM(A201),1)="[",TRIM(MID(TRIM(A201),FIND("]",TRIM(A201)&amp;"]")+1,200)),TRIM(A201))))&gt;0,IF(RIGHT(IF(LEFT(TRIM(A201),1)="[",TRIM(MID(TRIM(A201),FIND("]",TRIM(A201)&amp;"]")+1,200)),TRIM(A201)),1)=")",TRIM(LEFT(IF(LEFT(TRIM(A201),1)="[",TRIM(MID(TRIM(A201),FIND("]",TRIM(A201)&amp;"]")+1,200)),TRIM(A201)),FIND("(",IF(LEFT(TRIM(A201),1)="[",TRIM(MID(TRIM(A201),FIND("]",TRIM(A201)&amp;"]")+1,200)),TRIM(A201))&amp;"(")-1)),IF(LEFT(TRIM(A201),1)="[",TRIM(MID(TRIM(A201),FIND("]",TRIM(A201)&amp;"]")+1,200)),TRIM(A201))),""))</f>
      </c>
      <c r="C201" s="17">
        <f>IF(B201&lt;&gt;"",B201,C200)</f>
      </c>
      <c r="D201" s="17">
        <f>IF(A201="","",IF(OR(LEFT(UPPER(TRIM(A201)),2)="Y:",LEFT(UPPER(TRIM(A201)),10)="YESTERDAY:"),"Y",IF(OR(LEFT(UPPER(TRIM(A201)),2)="T:",LEFT(UPPER(TRIM(A201)),6)="TODAY:"),"T",IF(OR(LEFT(UPPER(TRIM(A201)),2)="B:",LEFT(UPPER(TRIM(A201)),8)="BLOCKER:",LEFT(UPPER(TRIM(A201)),9)="BLOCKERS:",LEFT(UPPER(TRIM(A201)),8)="BLOCKED:"),"B",""))))</f>
      </c>
      <c r="E201" s="17">
        <f>IF(D201="","",TRIM(MID(A201,FIND(":",A201)+1,500)))</f>
      </c>
    </row>
    <row r="202">
      <c r="B202" s="17">
        <f>IF(A202="","",IF(COUNTIF(Roster[Name],IF(RIGHT(IF(LEFT(TRIM(A202),1)="[",TRIM(MID(TRIM(A202),FIND("]",TRIM(A202)&amp;"]")+1,200)),TRIM(A202)),1)=")",TRIM(LEFT(IF(LEFT(TRIM(A202),1)="[",TRIM(MID(TRIM(A202),FIND("]",TRIM(A202)&amp;"]")+1,200)),TRIM(A202)),FIND("(",IF(LEFT(TRIM(A202),1)="[",TRIM(MID(TRIM(A202),FIND("]",TRIM(A202)&amp;"]")+1,200)),TRIM(A202))&amp;"(")-1)),IF(LEFT(TRIM(A202),1)="[",TRIM(MID(TRIM(A202),FIND("]",TRIM(A202)&amp;"]")+1,200)),TRIM(A202))))&gt;0,IF(RIGHT(IF(LEFT(TRIM(A202),1)="[",TRIM(MID(TRIM(A202),FIND("]",TRIM(A202)&amp;"]")+1,200)),TRIM(A202)),1)=")",TRIM(LEFT(IF(LEFT(TRIM(A202),1)="[",TRIM(MID(TRIM(A202),FIND("]",TRIM(A202)&amp;"]")+1,200)),TRIM(A202)),FIND("(",IF(LEFT(TRIM(A202),1)="[",TRIM(MID(TRIM(A202),FIND("]",TRIM(A202)&amp;"]")+1,200)),TRIM(A202))&amp;"(")-1)),IF(LEFT(TRIM(A202),1)="[",TRIM(MID(TRIM(A202),FIND("]",TRIM(A202)&amp;"]")+1,200)),TRIM(A202))),""))</f>
      </c>
      <c r="C202" s="17">
        <f>IF(B202&lt;&gt;"",B202,C201)</f>
      </c>
      <c r="D202" s="17">
        <f>IF(A202="","",IF(OR(LEFT(UPPER(TRIM(A202)),2)="Y:",LEFT(UPPER(TRIM(A202)),10)="YESTERDAY:"),"Y",IF(OR(LEFT(UPPER(TRIM(A202)),2)="T:",LEFT(UPPER(TRIM(A202)),6)="TODAY:"),"T",IF(OR(LEFT(UPPER(TRIM(A202)),2)="B:",LEFT(UPPER(TRIM(A202)),8)="BLOCKER:",LEFT(UPPER(TRIM(A202)),9)="BLOCKERS:",LEFT(UPPER(TRIM(A202)),8)="BLOCKED:"),"B",""))))</f>
      </c>
      <c r="E202" s="17">
        <f>IF(D202="","",TRIM(MID(A202,FIND(":",A202)+1,500)))</f>
      </c>
    </row>
    <row r="203">
      <c r="B203" s="17">
        <f>IF(A203="","",IF(COUNTIF(Roster[Name],IF(RIGHT(IF(LEFT(TRIM(A203),1)="[",TRIM(MID(TRIM(A203),FIND("]",TRIM(A203)&amp;"]")+1,200)),TRIM(A203)),1)=")",TRIM(LEFT(IF(LEFT(TRIM(A203),1)="[",TRIM(MID(TRIM(A203),FIND("]",TRIM(A203)&amp;"]")+1,200)),TRIM(A203)),FIND("(",IF(LEFT(TRIM(A203),1)="[",TRIM(MID(TRIM(A203),FIND("]",TRIM(A203)&amp;"]")+1,200)),TRIM(A203))&amp;"(")-1)),IF(LEFT(TRIM(A203),1)="[",TRIM(MID(TRIM(A203),FIND("]",TRIM(A203)&amp;"]")+1,200)),TRIM(A203))))&gt;0,IF(RIGHT(IF(LEFT(TRIM(A203),1)="[",TRIM(MID(TRIM(A203),FIND("]",TRIM(A203)&amp;"]")+1,200)),TRIM(A203)),1)=")",TRIM(LEFT(IF(LEFT(TRIM(A203),1)="[",TRIM(MID(TRIM(A203),FIND("]",TRIM(A203)&amp;"]")+1,200)),TRIM(A203)),FIND("(",IF(LEFT(TRIM(A203),1)="[",TRIM(MID(TRIM(A203),FIND("]",TRIM(A203)&amp;"]")+1,200)),TRIM(A203))&amp;"(")-1)),IF(LEFT(TRIM(A203),1)="[",TRIM(MID(TRIM(A203),FIND("]",TRIM(A203)&amp;"]")+1,200)),TRIM(A203))),""))</f>
      </c>
      <c r="C203" s="17">
        <f>IF(B203&lt;&gt;"",B203,C202)</f>
      </c>
      <c r="D203" s="17">
        <f>IF(A203="","",IF(OR(LEFT(UPPER(TRIM(A203)),2)="Y:",LEFT(UPPER(TRIM(A203)),10)="YESTERDAY:"),"Y",IF(OR(LEFT(UPPER(TRIM(A203)),2)="T:",LEFT(UPPER(TRIM(A203)),6)="TODAY:"),"T",IF(OR(LEFT(UPPER(TRIM(A203)),2)="B:",LEFT(UPPER(TRIM(A203)),8)="BLOCKER:",LEFT(UPPER(TRIM(A203)),9)="BLOCKERS:",LEFT(UPPER(TRIM(A203)),8)="BLOCKED:"),"B",""))))</f>
      </c>
      <c r="E203" s="17">
        <f>IF(D203="","",TRIM(MID(A203,FIND(":",A203)+1,500)))</f>
      </c>
    </row>
    <row r="204">
      <c r="B204" s="17">
        <f>IF(A204="","",IF(COUNTIF(Roster[Name],IF(RIGHT(IF(LEFT(TRIM(A204),1)="[",TRIM(MID(TRIM(A204),FIND("]",TRIM(A204)&amp;"]")+1,200)),TRIM(A204)),1)=")",TRIM(LEFT(IF(LEFT(TRIM(A204),1)="[",TRIM(MID(TRIM(A204),FIND("]",TRIM(A204)&amp;"]")+1,200)),TRIM(A204)),FIND("(",IF(LEFT(TRIM(A204),1)="[",TRIM(MID(TRIM(A204),FIND("]",TRIM(A204)&amp;"]")+1,200)),TRIM(A204))&amp;"(")-1)),IF(LEFT(TRIM(A204),1)="[",TRIM(MID(TRIM(A204),FIND("]",TRIM(A204)&amp;"]")+1,200)),TRIM(A204))))&gt;0,IF(RIGHT(IF(LEFT(TRIM(A204),1)="[",TRIM(MID(TRIM(A204),FIND("]",TRIM(A204)&amp;"]")+1,200)),TRIM(A204)),1)=")",TRIM(LEFT(IF(LEFT(TRIM(A204),1)="[",TRIM(MID(TRIM(A204),FIND("]",TRIM(A204)&amp;"]")+1,200)),TRIM(A204)),FIND("(",IF(LEFT(TRIM(A204),1)="[",TRIM(MID(TRIM(A204),FIND("]",TRIM(A204)&amp;"]")+1,200)),TRIM(A204))&amp;"(")-1)),IF(LEFT(TRIM(A204),1)="[",TRIM(MID(TRIM(A204),FIND("]",TRIM(A204)&amp;"]")+1,200)),TRIM(A204))),""))</f>
      </c>
      <c r="C204" s="17">
        <f>IF(B204&lt;&gt;"",B204,C203)</f>
      </c>
      <c r="D204" s="17">
        <f>IF(A204="","",IF(OR(LEFT(UPPER(TRIM(A204)),2)="Y:",LEFT(UPPER(TRIM(A204)),10)="YESTERDAY:"),"Y",IF(OR(LEFT(UPPER(TRIM(A204)),2)="T:",LEFT(UPPER(TRIM(A204)),6)="TODAY:"),"T",IF(OR(LEFT(UPPER(TRIM(A204)),2)="B:",LEFT(UPPER(TRIM(A204)),8)="BLOCKER:",LEFT(UPPER(TRIM(A204)),9)="BLOCKERS:",LEFT(UPPER(TRIM(A204)),8)="BLOCKED:"),"B",""))))</f>
      </c>
      <c r="E204" s="17">
        <f>IF(D204="","",TRIM(MID(A204,FIND(":",A204)+1,500)))</f>
      </c>
    </row>
    <row r="205">
      <c r="B205" s="17">
        <f>IF(A205="","",IF(COUNTIF(Roster[Name],IF(RIGHT(IF(LEFT(TRIM(A205),1)="[",TRIM(MID(TRIM(A205),FIND("]",TRIM(A205)&amp;"]")+1,200)),TRIM(A205)),1)=")",TRIM(LEFT(IF(LEFT(TRIM(A205),1)="[",TRIM(MID(TRIM(A205),FIND("]",TRIM(A205)&amp;"]")+1,200)),TRIM(A205)),FIND("(",IF(LEFT(TRIM(A205),1)="[",TRIM(MID(TRIM(A205),FIND("]",TRIM(A205)&amp;"]")+1,200)),TRIM(A205))&amp;"(")-1)),IF(LEFT(TRIM(A205),1)="[",TRIM(MID(TRIM(A205),FIND("]",TRIM(A205)&amp;"]")+1,200)),TRIM(A205))))&gt;0,IF(RIGHT(IF(LEFT(TRIM(A205),1)="[",TRIM(MID(TRIM(A205),FIND("]",TRIM(A205)&amp;"]")+1,200)),TRIM(A205)),1)=")",TRIM(LEFT(IF(LEFT(TRIM(A205),1)="[",TRIM(MID(TRIM(A205),FIND("]",TRIM(A205)&amp;"]")+1,200)),TRIM(A205)),FIND("(",IF(LEFT(TRIM(A205),1)="[",TRIM(MID(TRIM(A205),FIND("]",TRIM(A205)&amp;"]")+1,200)),TRIM(A205))&amp;"(")-1)),IF(LEFT(TRIM(A205),1)="[",TRIM(MID(TRIM(A205),FIND("]",TRIM(A205)&amp;"]")+1,200)),TRIM(A205))),""))</f>
      </c>
      <c r="C205" s="17">
        <f>IF(B205&lt;&gt;"",B205,C204)</f>
      </c>
      <c r="D205" s="17">
        <f>IF(A205="","",IF(OR(LEFT(UPPER(TRIM(A205)),2)="Y:",LEFT(UPPER(TRIM(A205)),10)="YESTERDAY:"),"Y",IF(OR(LEFT(UPPER(TRIM(A205)),2)="T:",LEFT(UPPER(TRIM(A205)),6)="TODAY:"),"T",IF(OR(LEFT(UPPER(TRIM(A205)),2)="B:",LEFT(UPPER(TRIM(A205)),8)="BLOCKER:",LEFT(UPPER(TRIM(A205)),9)="BLOCKERS:",LEFT(UPPER(TRIM(A205)),8)="BLOCKED:"),"B",""))))</f>
      </c>
      <c r="E205" s="17">
        <f>IF(D205="","",TRIM(MID(A205,FIND(":",A205)+1,500)))</f>
      </c>
    </row>
    <row r="206">
      <c r="B206" s="17">
        <f>IF(A206="","",IF(COUNTIF(Roster[Name],IF(RIGHT(IF(LEFT(TRIM(A206),1)="[",TRIM(MID(TRIM(A206),FIND("]",TRIM(A206)&amp;"]")+1,200)),TRIM(A206)),1)=")",TRIM(LEFT(IF(LEFT(TRIM(A206),1)="[",TRIM(MID(TRIM(A206),FIND("]",TRIM(A206)&amp;"]")+1,200)),TRIM(A206)),FIND("(",IF(LEFT(TRIM(A206),1)="[",TRIM(MID(TRIM(A206),FIND("]",TRIM(A206)&amp;"]")+1,200)),TRIM(A206))&amp;"(")-1)),IF(LEFT(TRIM(A206),1)="[",TRIM(MID(TRIM(A206),FIND("]",TRIM(A206)&amp;"]")+1,200)),TRIM(A206))))&gt;0,IF(RIGHT(IF(LEFT(TRIM(A206),1)="[",TRIM(MID(TRIM(A206),FIND("]",TRIM(A206)&amp;"]")+1,200)),TRIM(A206)),1)=")",TRIM(LEFT(IF(LEFT(TRIM(A206),1)="[",TRIM(MID(TRIM(A206),FIND("]",TRIM(A206)&amp;"]")+1,200)),TRIM(A206)),FIND("(",IF(LEFT(TRIM(A206),1)="[",TRIM(MID(TRIM(A206),FIND("]",TRIM(A206)&amp;"]")+1,200)),TRIM(A206))&amp;"(")-1)),IF(LEFT(TRIM(A206),1)="[",TRIM(MID(TRIM(A206),FIND("]",TRIM(A206)&amp;"]")+1,200)),TRIM(A206))),""))</f>
      </c>
      <c r="C206" s="17">
        <f>IF(B206&lt;&gt;"",B206,C205)</f>
      </c>
      <c r="D206" s="17">
        <f>IF(A206="","",IF(OR(LEFT(UPPER(TRIM(A206)),2)="Y:",LEFT(UPPER(TRIM(A206)),10)="YESTERDAY:"),"Y",IF(OR(LEFT(UPPER(TRIM(A206)),2)="T:",LEFT(UPPER(TRIM(A206)),6)="TODAY:"),"T",IF(OR(LEFT(UPPER(TRIM(A206)),2)="B:",LEFT(UPPER(TRIM(A206)),8)="BLOCKER:",LEFT(UPPER(TRIM(A206)),9)="BLOCKERS:",LEFT(UPPER(TRIM(A206)),8)="BLOCKED:"),"B",""))))</f>
      </c>
      <c r="E206" s="17">
        <f>IF(D206="","",TRIM(MID(A206,FIND(":",A206)+1,500)))</f>
      </c>
    </row>
    <row r="207">
      <c r="B207" s="17">
        <f>IF(A207="","",IF(COUNTIF(Roster[Name],IF(RIGHT(IF(LEFT(TRIM(A207),1)="[",TRIM(MID(TRIM(A207),FIND("]",TRIM(A207)&amp;"]")+1,200)),TRIM(A207)),1)=")",TRIM(LEFT(IF(LEFT(TRIM(A207),1)="[",TRIM(MID(TRIM(A207),FIND("]",TRIM(A207)&amp;"]")+1,200)),TRIM(A207)),FIND("(",IF(LEFT(TRIM(A207),1)="[",TRIM(MID(TRIM(A207),FIND("]",TRIM(A207)&amp;"]")+1,200)),TRIM(A207))&amp;"(")-1)),IF(LEFT(TRIM(A207),1)="[",TRIM(MID(TRIM(A207),FIND("]",TRIM(A207)&amp;"]")+1,200)),TRIM(A207))))&gt;0,IF(RIGHT(IF(LEFT(TRIM(A207),1)="[",TRIM(MID(TRIM(A207),FIND("]",TRIM(A207)&amp;"]")+1,200)),TRIM(A207)),1)=")",TRIM(LEFT(IF(LEFT(TRIM(A207),1)="[",TRIM(MID(TRIM(A207),FIND("]",TRIM(A207)&amp;"]")+1,200)),TRIM(A207)),FIND("(",IF(LEFT(TRIM(A207),1)="[",TRIM(MID(TRIM(A207),FIND("]",TRIM(A207)&amp;"]")+1,200)),TRIM(A207))&amp;"(")-1)),IF(LEFT(TRIM(A207),1)="[",TRIM(MID(TRIM(A207),FIND("]",TRIM(A207)&amp;"]")+1,200)),TRIM(A207))),""))</f>
      </c>
      <c r="C207" s="17">
        <f>IF(B207&lt;&gt;"",B207,C206)</f>
      </c>
      <c r="D207" s="17">
        <f>IF(A207="","",IF(OR(LEFT(UPPER(TRIM(A207)),2)="Y:",LEFT(UPPER(TRIM(A207)),10)="YESTERDAY:"),"Y",IF(OR(LEFT(UPPER(TRIM(A207)),2)="T:",LEFT(UPPER(TRIM(A207)),6)="TODAY:"),"T",IF(OR(LEFT(UPPER(TRIM(A207)),2)="B:",LEFT(UPPER(TRIM(A207)),8)="BLOCKER:",LEFT(UPPER(TRIM(A207)),9)="BLOCKERS:",LEFT(UPPER(TRIM(A207)),8)="BLOCKED:"),"B",""))))</f>
      </c>
      <c r="E207" s="17">
        <f>IF(D207="","",TRIM(MID(A207,FIND(":",A207)+1,500)))</f>
      </c>
    </row>
    <row r="208">
      <c r="B208" s="17">
        <f>IF(A208="","",IF(COUNTIF(Roster[Name],IF(RIGHT(IF(LEFT(TRIM(A208),1)="[",TRIM(MID(TRIM(A208),FIND("]",TRIM(A208)&amp;"]")+1,200)),TRIM(A208)),1)=")",TRIM(LEFT(IF(LEFT(TRIM(A208),1)="[",TRIM(MID(TRIM(A208),FIND("]",TRIM(A208)&amp;"]")+1,200)),TRIM(A208)),FIND("(",IF(LEFT(TRIM(A208),1)="[",TRIM(MID(TRIM(A208),FIND("]",TRIM(A208)&amp;"]")+1,200)),TRIM(A208))&amp;"(")-1)),IF(LEFT(TRIM(A208),1)="[",TRIM(MID(TRIM(A208),FIND("]",TRIM(A208)&amp;"]")+1,200)),TRIM(A208))))&gt;0,IF(RIGHT(IF(LEFT(TRIM(A208),1)="[",TRIM(MID(TRIM(A208),FIND("]",TRIM(A208)&amp;"]")+1,200)),TRIM(A208)),1)=")",TRIM(LEFT(IF(LEFT(TRIM(A208),1)="[",TRIM(MID(TRIM(A208),FIND("]",TRIM(A208)&amp;"]")+1,200)),TRIM(A208)),FIND("(",IF(LEFT(TRIM(A208),1)="[",TRIM(MID(TRIM(A208),FIND("]",TRIM(A208)&amp;"]")+1,200)),TRIM(A208))&amp;"(")-1)),IF(LEFT(TRIM(A208),1)="[",TRIM(MID(TRIM(A208),FIND("]",TRIM(A208)&amp;"]")+1,200)),TRIM(A208))),""))</f>
      </c>
      <c r="C208" s="17">
        <f>IF(B208&lt;&gt;"",B208,C207)</f>
      </c>
      <c r="D208" s="17">
        <f>IF(A208="","",IF(OR(LEFT(UPPER(TRIM(A208)),2)="Y:",LEFT(UPPER(TRIM(A208)),10)="YESTERDAY:"),"Y",IF(OR(LEFT(UPPER(TRIM(A208)),2)="T:",LEFT(UPPER(TRIM(A208)),6)="TODAY:"),"T",IF(OR(LEFT(UPPER(TRIM(A208)),2)="B:",LEFT(UPPER(TRIM(A208)),8)="BLOCKER:",LEFT(UPPER(TRIM(A208)),9)="BLOCKERS:",LEFT(UPPER(TRIM(A208)),8)="BLOCKED:"),"B",""))))</f>
      </c>
      <c r="E208" s="17">
        <f>IF(D208="","",TRIM(MID(A208,FIND(":",A208)+1,500)))</f>
      </c>
    </row>
    <row r="209">
      <c r="B209" s="17">
        <f>IF(A209="","",IF(COUNTIF(Roster[Name],IF(RIGHT(IF(LEFT(TRIM(A209),1)="[",TRIM(MID(TRIM(A209),FIND("]",TRIM(A209)&amp;"]")+1,200)),TRIM(A209)),1)=")",TRIM(LEFT(IF(LEFT(TRIM(A209),1)="[",TRIM(MID(TRIM(A209),FIND("]",TRIM(A209)&amp;"]")+1,200)),TRIM(A209)),FIND("(",IF(LEFT(TRIM(A209),1)="[",TRIM(MID(TRIM(A209),FIND("]",TRIM(A209)&amp;"]")+1,200)),TRIM(A209))&amp;"(")-1)),IF(LEFT(TRIM(A209),1)="[",TRIM(MID(TRIM(A209),FIND("]",TRIM(A209)&amp;"]")+1,200)),TRIM(A209))))&gt;0,IF(RIGHT(IF(LEFT(TRIM(A209),1)="[",TRIM(MID(TRIM(A209),FIND("]",TRIM(A209)&amp;"]")+1,200)),TRIM(A209)),1)=")",TRIM(LEFT(IF(LEFT(TRIM(A209),1)="[",TRIM(MID(TRIM(A209),FIND("]",TRIM(A209)&amp;"]")+1,200)),TRIM(A209)),FIND("(",IF(LEFT(TRIM(A209),1)="[",TRIM(MID(TRIM(A209),FIND("]",TRIM(A209)&amp;"]")+1,200)),TRIM(A209))&amp;"(")-1)),IF(LEFT(TRIM(A209),1)="[",TRIM(MID(TRIM(A209),FIND("]",TRIM(A209)&amp;"]")+1,200)),TRIM(A209))),""))</f>
      </c>
      <c r="C209" s="17">
        <f>IF(B209&lt;&gt;"",B209,C208)</f>
      </c>
      <c r="D209" s="17">
        <f>IF(A209="","",IF(OR(LEFT(UPPER(TRIM(A209)),2)="Y:",LEFT(UPPER(TRIM(A209)),10)="YESTERDAY:"),"Y",IF(OR(LEFT(UPPER(TRIM(A209)),2)="T:",LEFT(UPPER(TRIM(A209)),6)="TODAY:"),"T",IF(OR(LEFT(UPPER(TRIM(A209)),2)="B:",LEFT(UPPER(TRIM(A209)),8)="BLOCKER:",LEFT(UPPER(TRIM(A209)),9)="BLOCKERS:",LEFT(UPPER(TRIM(A209)),8)="BLOCKED:"),"B",""))))</f>
      </c>
      <c r="E209" s="17">
        <f>IF(D209="","",TRIM(MID(A209,FIND(":",A209)+1,500)))</f>
      </c>
    </row>
    <row r="210">
      <c r="B210" s="17">
        <f>IF(A210="","",IF(COUNTIF(Roster[Name],IF(RIGHT(IF(LEFT(TRIM(A210),1)="[",TRIM(MID(TRIM(A210),FIND("]",TRIM(A210)&amp;"]")+1,200)),TRIM(A210)),1)=")",TRIM(LEFT(IF(LEFT(TRIM(A210),1)="[",TRIM(MID(TRIM(A210),FIND("]",TRIM(A210)&amp;"]")+1,200)),TRIM(A210)),FIND("(",IF(LEFT(TRIM(A210),1)="[",TRIM(MID(TRIM(A210),FIND("]",TRIM(A210)&amp;"]")+1,200)),TRIM(A210))&amp;"(")-1)),IF(LEFT(TRIM(A210),1)="[",TRIM(MID(TRIM(A210),FIND("]",TRIM(A210)&amp;"]")+1,200)),TRIM(A210))))&gt;0,IF(RIGHT(IF(LEFT(TRIM(A210),1)="[",TRIM(MID(TRIM(A210),FIND("]",TRIM(A210)&amp;"]")+1,200)),TRIM(A210)),1)=")",TRIM(LEFT(IF(LEFT(TRIM(A210),1)="[",TRIM(MID(TRIM(A210),FIND("]",TRIM(A210)&amp;"]")+1,200)),TRIM(A210)),FIND("(",IF(LEFT(TRIM(A210),1)="[",TRIM(MID(TRIM(A210),FIND("]",TRIM(A210)&amp;"]")+1,200)),TRIM(A210))&amp;"(")-1)),IF(LEFT(TRIM(A210),1)="[",TRIM(MID(TRIM(A210),FIND("]",TRIM(A210)&amp;"]")+1,200)),TRIM(A210))),""))</f>
      </c>
      <c r="C210" s="17">
        <f>IF(B210&lt;&gt;"",B210,C209)</f>
      </c>
      <c r="D210" s="17">
        <f>IF(A210="","",IF(OR(LEFT(UPPER(TRIM(A210)),2)="Y:",LEFT(UPPER(TRIM(A210)),10)="YESTERDAY:"),"Y",IF(OR(LEFT(UPPER(TRIM(A210)),2)="T:",LEFT(UPPER(TRIM(A210)),6)="TODAY:"),"T",IF(OR(LEFT(UPPER(TRIM(A210)),2)="B:",LEFT(UPPER(TRIM(A210)),8)="BLOCKER:",LEFT(UPPER(TRIM(A210)),9)="BLOCKERS:",LEFT(UPPER(TRIM(A210)),8)="BLOCKED:"),"B",""))))</f>
      </c>
      <c r="E210" s="17">
        <f>IF(D210="","",TRIM(MID(A210,FIND(":",A210)+1,500)))</f>
      </c>
    </row>
    <row r="211">
      <c r="B211" s="17">
        <f>IF(A211="","",IF(COUNTIF(Roster[Name],IF(RIGHT(IF(LEFT(TRIM(A211),1)="[",TRIM(MID(TRIM(A211),FIND("]",TRIM(A211)&amp;"]")+1,200)),TRIM(A211)),1)=")",TRIM(LEFT(IF(LEFT(TRIM(A211),1)="[",TRIM(MID(TRIM(A211),FIND("]",TRIM(A211)&amp;"]")+1,200)),TRIM(A211)),FIND("(",IF(LEFT(TRIM(A211),1)="[",TRIM(MID(TRIM(A211),FIND("]",TRIM(A211)&amp;"]")+1,200)),TRIM(A211))&amp;"(")-1)),IF(LEFT(TRIM(A211),1)="[",TRIM(MID(TRIM(A211),FIND("]",TRIM(A211)&amp;"]")+1,200)),TRIM(A211))))&gt;0,IF(RIGHT(IF(LEFT(TRIM(A211),1)="[",TRIM(MID(TRIM(A211),FIND("]",TRIM(A211)&amp;"]")+1,200)),TRIM(A211)),1)=")",TRIM(LEFT(IF(LEFT(TRIM(A211),1)="[",TRIM(MID(TRIM(A211),FIND("]",TRIM(A211)&amp;"]")+1,200)),TRIM(A211)),FIND("(",IF(LEFT(TRIM(A211),1)="[",TRIM(MID(TRIM(A211),FIND("]",TRIM(A211)&amp;"]")+1,200)),TRIM(A211))&amp;"(")-1)),IF(LEFT(TRIM(A211),1)="[",TRIM(MID(TRIM(A211),FIND("]",TRIM(A211)&amp;"]")+1,200)),TRIM(A211))),""))</f>
      </c>
      <c r="C211" s="17">
        <f>IF(B211&lt;&gt;"",B211,C210)</f>
      </c>
      <c r="D211" s="17">
        <f>IF(A211="","",IF(OR(LEFT(UPPER(TRIM(A211)),2)="Y:",LEFT(UPPER(TRIM(A211)),10)="YESTERDAY:"),"Y",IF(OR(LEFT(UPPER(TRIM(A211)),2)="T:",LEFT(UPPER(TRIM(A211)),6)="TODAY:"),"T",IF(OR(LEFT(UPPER(TRIM(A211)),2)="B:",LEFT(UPPER(TRIM(A211)),8)="BLOCKER:",LEFT(UPPER(TRIM(A211)),9)="BLOCKERS:",LEFT(UPPER(TRIM(A211)),8)="BLOCKED:"),"B",""))))</f>
      </c>
      <c r="E211" s="17">
        <f>IF(D211="","",TRIM(MID(A211,FIND(":",A211)+1,500)))</f>
      </c>
    </row>
    <row r="212">
      <c r="B212" s="17">
        <f>IF(A212="","",IF(COUNTIF(Roster[Name],IF(RIGHT(IF(LEFT(TRIM(A212),1)="[",TRIM(MID(TRIM(A212),FIND("]",TRIM(A212)&amp;"]")+1,200)),TRIM(A212)),1)=")",TRIM(LEFT(IF(LEFT(TRIM(A212),1)="[",TRIM(MID(TRIM(A212),FIND("]",TRIM(A212)&amp;"]")+1,200)),TRIM(A212)),FIND("(",IF(LEFT(TRIM(A212),1)="[",TRIM(MID(TRIM(A212),FIND("]",TRIM(A212)&amp;"]")+1,200)),TRIM(A212))&amp;"(")-1)),IF(LEFT(TRIM(A212),1)="[",TRIM(MID(TRIM(A212),FIND("]",TRIM(A212)&amp;"]")+1,200)),TRIM(A212))))&gt;0,IF(RIGHT(IF(LEFT(TRIM(A212),1)="[",TRIM(MID(TRIM(A212),FIND("]",TRIM(A212)&amp;"]")+1,200)),TRIM(A212)),1)=")",TRIM(LEFT(IF(LEFT(TRIM(A212),1)="[",TRIM(MID(TRIM(A212),FIND("]",TRIM(A212)&amp;"]")+1,200)),TRIM(A212)),FIND("(",IF(LEFT(TRIM(A212),1)="[",TRIM(MID(TRIM(A212),FIND("]",TRIM(A212)&amp;"]")+1,200)),TRIM(A212))&amp;"(")-1)),IF(LEFT(TRIM(A212),1)="[",TRIM(MID(TRIM(A212),FIND("]",TRIM(A212)&amp;"]")+1,200)),TRIM(A212))),""))</f>
      </c>
      <c r="C212" s="17">
        <f>IF(B212&lt;&gt;"",B212,C211)</f>
      </c>
      <c r="D212" s="17">
        <f>IF(A212="","",IF(OR(LEFT(UPPER(TRIM(A212)),2)="Y:",LEFT(UPPER(TRIM(A212)),10)="YESTERDAY:"),"Y",IF(OR(LEFT(UPPER(TRIM(A212)),2)="T:",LEFT(UPPER(TRIM(A212)),6)="TODAY:"),"T",IF(OR(LEFT(UPPER(TRIM(A212)),2)="B:",LEFT(UPPER(TRIM(A212)),8)="BLOCKER:",LEFT(UPPER(TRIM(A212)),9)="BLOCKERS:",LEFT(UPPER(TRIM(A212)),8)="BLOCKED:"),"B",""))))</f>
      </c>
      <c r="E212" s="17">
        <f>IF(D212="","",TRIM(MID(A212,FIND(":",A212)+1,500)))</f>
      </c>
    </row>
    <row r="213">
      <c r="B213" s="17">
        <f>IF(A213="","",IF(COUNTIF(Roster[Name],IF(RIGHT(IF(LEFT(TRIM(A213),1)="[",TRIM(MID(TRIM(A213),FIND("]",TRIM(A213)&amp;"]")+1,200)),TRIM(A213)),1)=")",TRIM(LEFT(IF(LEFT(TRIM(A213),1)="[",TRIM(MID(TRIM(A213),FIND("]",TRIM(A213)&amp;"]")+1,200)),TRIM(A213)),FIND("(",IF(LEFT(TRIM(A213),1)="[",TRIM(MID(TRIM(A213),FIND("]",TRIM(A213)&amp;"]")+1,200)),TRIM(A213))&amp;"(")-1)),IF(LEFT(TRIM(A213),1)="[",TRIM(MID(TRIM(A213),FIND("]",TRIM(A213)&amp;"]")+1,200)),TRIM(A213))))&gt;0,IF(RIGHT(IF(LEFT(TRIM(A213),1)="[",TRIM(MID(TRIM(A213),FIND("]",TRIM(A213)&amp;"]")+1,200)),TRIM(A213)),1)=")",TRIM(LEFT(IF(LEFT(TRIM(A213),1)="[",TRIM(MID(TRIM(A213),FIND("]",TRIM(A213)&amp;"]")+1,200)),TRIM(A213)),FIND("(",IF(LEFT(TRIM(A213),1)="[",TRIM(MID(TRIM(A213),FIND("]",TRIM(A213)&amp;"]")+1,200)),TRIM(A213))&amp;"(")-1)),IF(LEFT(TRIM(A213),1)="[",TRIM(MID(TRIM(A213),FIND("]",TRIM(A213)&amp;"]")+1,200)),TRIM(A213))),""))</f>
      </c>
      <c r="C213" s="17">
        <f>IF(B213&lt;&gt;"",B213,C212)</f>
      </c>
      <c r="D213" s="17">
        <f>IF(A213="","",IF(OR(LEFT(UPPER(TRIM(A213)),2)="Y:",LEFT(UPPER(TRIM(A213)),10)="YESTERDAY:"),"Y",IF(OR(LEFT(UPPER(TRIM(A213)),2)="T:",LEFT(UPPER(TRIM(A213)),6)="TODAY:"),"T",IF(OR(LEFT(UPPER(TRIM(A213)),2)="B:",LEFT(UPPER(TRIM(A213)),8)="BLOCKER:",LEFT(UPPER(TRIM(A213)),9)="BLOCKERS:",LEFT(UPPER(TRIM(A213)),8)="BLOCKED:"),"B",""))))</f>
      </c>
      <c r="E213" s="17">
        <f>IF(D213="","",TRIM(MID(A213,FIND(":",A213)+1,500)))</f>
      </c>
    </row>
    <row r="214">
      <c r="B214" s="17">
        <f>IF(A214="","",IF(COUNTIF(Roster[Name],IF(RIGHT(IF(LEFT(TRIM(A214),1)="[",TRIM(MID(TRIM(A214),FIND("]",TRIM(A214)&amp;"]")+1,200)),TRIM(A214)),1)=")",TRIM(LEFT(IF(LEFT(TRIM(A214),1)="[",TRIM(MID(TRIM(A214),FIND("]",TRIM(A214)&amp;"]")+1,200)),TRIM(A214)),FIND("(",IF(LEFT(TRIM(A214),1)="[",TRIM(MID(TRIM(A214),FIND("]",TRIM(A214)&amp;"]")+1,200)),TRIM(A214))&amp;"(")-1)),IF(LEFT(TRIM(A214),1)="[",TRIM(MID(TRIM(A214),FIND("]",TRIM(A214)&amp;"]")+1,200)),TRIM(A214))))&gt;0,IF(RIGHT(IF(LEFT(TRIM(A214),1)="[",TRIM(MID(TRIM(A214),FIND("]",TRIM(A214)&amp;"]")+1,200)),TRIM(A214)),1)=")",TRIM(LEFT(IF(LEFT(TRIM(A214),1)="[",TRIM(MID(TRIM(A214),FIND("]",TRIM(A214)&amp;"]")+1,200)),TRIM(A214)),FIND("(",IF(LEFT(TRIM(A214),1)="[",TRIM(MID(TRIM(A214),FIND("]",TRIM(A214)&amp;"]")+1,200)),TRIM(A214))&amp;"(")-1)),IF(LEFT(TRIM(A214),1)="[",TRIM(MID(TRIM(A214),FIND("]",TRIM(A214)&amp;"]")+1,200)),TRIM(A214))),""))</f>
      </c>
      <c r="C214" s="17">
        <f>IF(B214&lt;&gt;"",B214,C213)</f>
      </c>
      <c r="D214" s="17">
        <f>IF(A214="","",IF(OR(LEFT(UPPER(TRIM(A214)),2)="Y:",LEFT(UPPER(TRIM(A214)),10)="YESTERDAY:"),"Y",IF(OR(LEFT(UPPER(TRIM(A214)),2)="T:",LEFT(UPPER(TRIM(A214)),6)="TODAY:"),"T",IF(OR(LEFT(UPPER(TRIM(A214)),2)="B:",LEFT(UPPER(TRIM(A214)),8)="BLOCKER:",LEFT(UPPER(TRIM(A214)),9)="BLOCKERS:",LEFT(UPPER(TRIM(A214)),8)="BLOCKED:"),"B",""))))</f>
      </c>
      <c r="E214" s="17">
        <f>IF(D214="","",TRIM(MID(A214,FIND(":",A214)+1,500)))</f>
      </c>
    </row>
    <row r="215">
      <c r="B215" s="17">
        <f>IF(A215="","",IF(COUNTIF(Roster[Name],IF(RIGHT(IF(LEFT(TRIM(A215),1)="[",TRIM(MID(TRIM(A215),FIND("]",TRIM(A215)&amp;"]")+1,200)),TRIM(A215)),1)=")",TRIM(LEFT(IF(LEFT(TRIM(A215),1)="[",TRIM(MID(TRIM(A215),FIND("]",TRIM(A215)&amp;"]")+1,200)),TRIM(A215)),FIND("(",IF(LEFT(TRIM(A215),1)="[",TRIM(MID(TRIM(A215),FIND("]",TRIM(A215)&amp;"]")+1,200)),TRIM(A215))&amp;"(")-1)),IF(LEFT(TRIM(A215),1)="[",TRIM(MID(TRIM(A215),FIND("]",TRIM(A215)&amp;"]")+1,200)),TRIM(A215))))&gt;0,IF(RIGHT(IF(LEFT(TRIM(A215),1)="[",TRIM(MID(TRIM(A215),FIND("]",TRIM(A215)&amp;"]")+1,200)),TRIM(A215)),1)=")",TRIM(LEFT(IF(LEFT(TRIM(A215),1)="[",TRIM(MID(TRIM(A215),FIND("]",TRIM(A215)&amp;"]")+1,200)),TRIM(A215)),FIND("(",IF(LEFT(TRIM(A215),1)="[",TRIM(MID(TRIM(A215),FIND("]",TRIM(A215)&amp;"]")+1,200)),TRIM(A215))&amp;"(")-1)),IF(LEFT(TRIM(A215),1)="[",TRIM(MID(TRIM(A215),FIND("]",TRIM(A215)&amp;"]")+1,200)),TRIM(A215))),""))</f>
      </c>
      <c r="C215" s="17">
        <f>IF(B215&lt;&gt;"",B215,C214)</f>
      </c>
      <c r="D215" s="17">
        <f>IF(A215="","",IF(OR(LEFT(UPPER(TRIM(A215)),2)="Y:",LEFT(UPPER(TRIM(A215)),10)="YESTERDAY:"),"Y",IF(OR(LEFT(UPPER(TRIM(A215)),2)="T:",LEFT(UPPER(TRIM(A215)),6)="TODAY:"),"T",IF(OR(LEFT(UPPER(TRIM(A215)),2)="B:",LEFT(UPPER(TRIM(A215)),8)="BLOCKER:",LEFT(UPPER(TRIM(A215)),9)="BLOCKERS:",LEFT(UPPER(TRIM(A215)),8)="BLOCKED:"),"B",""))))</f>
      </c>
      <c r="E215" s="17">
        <f>IF(D215="","",TRIM(MID(A215,FIND(":",A215)+1,500)))</f>
      </c>
    </row>
    <row r="216">
      <c r="B216" s="17">
        <f>IF(A216="","",IF(COUNTIF(Roster[Name],IF(RIGHT(IF(LEFT(TRIM(A216),1)="[",TRIM(MID(TRIM(A216),FIND("]",TRIM(A216)&amp;"]")+1,200)),TRIM(A216)),1)=")",TRIM(LEFT(IF(LEFT(TRIM(A216),1)="[",TRIM(MID(TRIM(A216),FIND("]",TRIM(A216)&amp;"]")+1,200)),TRIM(A216)),FIND("(",IF(LEFT(TRIM(A216),1)="[",TRIM(MID(TRIM(A216),FIND("]",TRIM(A216)&amp;"]")+1,200)),TRIM(A216))&amp;"(")-1)),IF(LEFT(TRIM(A216),1)="[",TRIM(MID(TRIM(A216),FIND("]",TRIM(A216)&amp;"]")+1,200)),TRIM(A216))))&gt;0,IF(RIGHT(IF(LEFT(TRIM(A216),1)="[",TRIM(MID(TRIM(A216),FIND("]",TRIM(A216)&amp;"]")+1,200)),TRIM(A216)),1)=")",TRIM(LEFT(IF(LEFT(TRIM(A216),1)="[",TRIM(MID(TRIM(A216),FIND("]",TRIM(A216)&amp;"]")+1,200)),TRIM(A216)),FIND("(",IF(LEFT(TRIM(A216),1)="[",TRIM(MID(TRIM(A216),FIND("]",TRIM(A216)&amp;"]")+1,200)),TRIM(A216))&amp;"(")-1)),IF(LEFT(TRIM(A216),1)="[",TRIM(MID(TRIM(A216),FIND("]",TRIM(A216)&amp;"]")+1,200)),TRIM(A216))),""))</f>
      </c>
      <c r="C216" s="17">
        <f>IF(B216&lt;&gt;"",B216,C215)</f>
      </c>
      <c r="D216" s="17">
        <f>IF(A216="","",IF(OR(LEFT(UPPER(TRIM(A216)),2)="Y:",LEFT(UPPER(TRIM(A216)),10)="YESTERDAY:"),"Y",IF(OR(LEFT(UPPER(TRIM(A216)),2)="T:",LEFT(UPPER(TRIM(A216)),6)="TODAY:"),"T",IF(OR(LEFT(UPPER(TRIM(A216)),2)="B:",LEFT(UPPER(TRIM(A216)),8)="BLOCKER:",LEFT(UPPER(TRIM(A216)),9)="BLOCKERS:",LEFT(UPPER(TRIM(A216)),8)="BLOCKED:"),"B",""))))</f>
      </c>
      <c r="E216" s="17">
        <f>IF(D216="","",TRIM(MID(A216,FIND(":",A216)+1,500)))</f>
      </c>
    </row>
    <row r="217">
      <c r="B217" s="17">
        <f>IF(A217="","",IF(COUNTIF(Roster[Name],IF(RIGHT(IF(LEFT(TRIM(A217),1)="[",TRIM(MID(TRIM(A217),FIND("]",TRIM(A217)&amp;"]")+1,200)),TRIM(A217)),1)=")",TRIM(LEFT(IF(LEFT(TRIM(A217),1)="[",TRIM(MID(TRIM(A217),FIND("]",TRIM(A217)&amp;"]")+1,200)),TRIM(A217)),FIND("(",IF(LEFT(TRIM(A217),1)="[",TRIM(MID(TRIM(A217),FIND("]",TRIM(A217)&amp;"]")+1,200)),TRIM(A217))&amp;"(")-1)),IF(LEFT(TRIM(A217),1)="[",TRIM(MID(TRIM(A217),FIND("]",TRIM(A217)&amp;"]")+1,200)),TRIM(A217))))&gt;0,IF(RIGHT(IF(LEFT(TRIM(A217),1)="[",TRIM(MID(TRIM(A217),FIND("]",TRIM(A217)&amp;"]")+1,200)),TRIM(A217)),1)=")",TRIM(LEFT(IF(LEFT(TRIM(A217),1)="[",TRIM(MID(TRIM(A217),FIND("]",TRIM(A217)&amp;"]")+1,200)),TRIM(A217)),FIND("(",IF(LEFT(TRIM(A217),1)="[",TRIM(MID(TRIM(A217),FIND("]",TRIM(A217)&amp;"]")+1,200)),TRIM(A217))&amp;"(")-1)),IF(LEFT(TRIM(A217),1)="[",TRIM(MID(TRIM(A217),FIND("]",TRIM(A217)&amp;"]")+1,200)),TRIM(A217))),""))</f>
      </c>
      <c r="C217" s="17">
        <f>IF(B217&lt;&gt;"",B217,C216)</f>
      </c>
      <c r="D217" s="17">
        <f>IF(A217="","",IF(OR(LEFT(UPPER(TRIM(A217)),2)="Y:",LEFT(UPPER(TRIM(A217)),10)="YESTERDAY:"),"Y",IF(OR(LEFT(UPPER(TRIM(A217)),2)="T:",LEFT(UPPER(TRIM(A217)),6)="TODAY:"),"T",IF(OR(LEFT(UPPER(TRIM(A217)),2)="B:",LEFT(UPPER(TRIM(A217)),8)="BLOCKER:",LEFT(UPPER(TRIM(A217)),9)="BLOCKERS:",LEFT(UPPER(TRIM(A217)),8)="BLOCKED:"),"B",""))))</f>
      </c>
      <c r="E217" s="17">
        <f>IF(D217="","",TRIM(MID(A217,FIND(":",A217)+1,500)))</f>
      </c>
    </row>
    <row r="218">
      <c r="B218" s="17">
        <f>IF(A218="","",IF(COUNTIF(Roster[Name],IF(RIGHT(IF(LEFT(TRIM(A218),1)="[",TRIM(MID(TRIM(A218),FIND("]",TRIM(A218)&amp;"]")+1,200)),TRIM(A218)),1)=")",TRIM(LEFT(IF(LEFT(TRIM(A218),1)="[",TRIM(MID(TRIM(A218),FIND("]",TRIM(A218)&amp;"]")+1,200)),TRIM(A218)),FIND("(",IF(LEFT(TRIM(A218),1)="[",TRIM(MID(TRIM(A218),FIND("]",TRIM(A218)&amp;"]")+1,200)),TRIM(A218))&amp;"(")-1)),IF(LEFT(TRIM(A218),1)="[",TRIM(MID(TRIM(A218),FIND("]",TRIM(A218)&amp;"]")+1,200)),TRIM(A218))))&gt;0,IF(RIGHT(IF(LEFT(TRIM(A218),1)="[",TRIM(MID(TRIM(A218),FIND("]",TRIM(A218)&amp;"]")+1,200)),TRIM(A218)),1)=")",TRIM(LEFT(IF(LEFT(TRIM(A218),1)="[",TRIM(MID(TRIM(A218),FIND("]",TRIM(A218)&amp;"]")+1,200)),TRIM(A218)),FIND("(",IF(LEFT(TRIM(A218),1)="[",TRIM(MID(TRIM(A218),FIND("]",TRIM(A218)&amp;"]")+1,200)),TRIM(A218))&amp;"(")-1)),IF(LEFT(TRIM(A218),1)="[",TRIM(MID(TRIM(A218),FIND("]",TRIM(A218)&amp;"]")+1,200)),TRIM(A218))),""))</f>
      </c>
      <c r="C218" s="17">
        <f>IF(B218&lt;&gt;"",B218,C217)</f>
      </c>
      <c r="D218" s="17">
        <f>IF(A218="","",IF(OR(LEFT(UPPER(TRIM(A218)),2)="Y:",LEFT(UPPER(TRIM(A218)),10)="YESTERDAY:"),"Y",IF(OR(LEFT(UPPER(TRIM(A218)),2)="T:",LEFT(UPPER(TRIM(A218)),6)="TODAY:"),"T",IF(OR(LEFT(UPPER(TRIM(A218)),2)="B:",LEFT(UPPER(TRIM(A218)),8)="BLOCKER:",LEFT(UPPER(TRIM(A218)),9)="BLOCKERS:",LEFT(UPPER(TRIM(A218)),8)="BLOCKED:"),"B",""))))</f>
      </c>
      <c r="E218" s="17">
        <f>IF(D218="","",TRIM(MID(A218,FIND(":",A218)+1,500)))</f>
      </c>
    </row>
    <row r="219">
      <c r="B219" s="17">
        <f>IF(A219="","",IF(COUNTIF(Roster[Name],IF(RIGHT(IF(LEFT(TRIM(A219),1)="[",TRIM(MID(TRIM(A219),FIND("]",TRIM(A219)&amp;"]")+1,200)),TRIM(A219)),1)=")",TRIM(LEFT(IF(LEFT(TRIM(A219),1)="[",TRIM(MID(TRIM(A219),FIND("]",TRIM(A219)&amp;"]")+1,200)),TRIM(A219)),FIND("(",IF(LEFT(TRIM(A219),1)="[",TRIM(MID(TRIM(A219),FIND("]",TRIM(A219)&amp;"]")+1,200)),TRIM(A219))&amp;"(")-1)),IF(LEFT(TRIM(A219),1)="[",TRIM(MID(TRIM(A219),FIND("]",TRIM(A219)&amp;"]")+1,200)),TRIM(A219))))&gt;0,IF(RIGHT(IF(LEFT(TRIM(A219),1)="[",TRIM(MID(TRIM(A219),FIND("]",TRIM(A219)&amp;"]")+1,200)),TRIM(A219)),1)=")",TRIM(LEFT(IF(LEFT(TRIM(A219),1)="[",TRIM(MID(TRIM(A219),FIND("]",TRIM(A219)&amp;"]")+1,200)),TRIM(A219)),FIND("(",IF(LEFT(TRIM(A219),1)="[",TRIM(MID(TRIM(A219),FIND("]",TRIM(A219)&amp;"]")+1,200)),TRIM(A219))&amp;"(")-1)),IF(LEFT(TRIM(A219),1)="[",TRIM(MID(TRIM(A219),FIND("]",TRIM(A219)&amp;"]")+1,200)),TRIM(A219))),""))</f>
      </c>
      <c r="C219" s="17">
        <f>IF(B219&lt;&gt;"",B219,C218)</f>
      </c>
      <c r="D219" s="17">
        <f>IF(A219="","",IF(OR(LEFT(UPPER(TRIM(A219)),2)="Y:",LEFT(UPPER(TRIM(A219)),10)="YESTERDAY:"),"Y",IF(OR(LEFT(UPPER(TRIM(A219)),2)="T:",LEFT(UPPER(TRIM(A219)),6)="TODAY:"),"T",IF(OR(LEFT(UPPER(TRIM(A219)),2)="B:",LEFT(UPPER(TRIM(A219)),8)="BLOCKER:",LEFT(UPPER(TRIM(A219)),9)="BLOCKERS:",LEFT(UPPER(TRIM(A219)),8)="BLOCKED:"),"B",""))))</f>
      </c>
      <c r="E219" s="17">
        <f>IF(D219="","",TRIM(MID(A219,FIND(":",A219)+1,500)))</f>
      </c>
    </row>
    <row r="220">
      <c r="B220" s="17">
        <f>IF(A220="","",IF(COUNTIF(Roster[Name],IF(RIGHT(IF(LEFT(TRIM(A220),1)="[",TRIM(MID(TRIM(A220),FIND("]",TRIM(A220)&amp;"]")+1,200)),TRIM(A220)),1)=")",TRIM(LEFT(IF(LEFT(TRIM(A220),1)="[",TRIM(MID(TRIM(A220),FIND("]",TRIM(A220)&amp;"]")+1,200)),TRIM(A220)),FIND("(",IF(LEFT(TRIM(A220),1)="[",TRIM(MID(TRIM(A220),FIND("]",TRIM(A220)&amp;"]")+1,200)),TRIM(A220))&amp;"(")-1)),IF(LEFT(TRIM(A220),1)="[",TRIM(MID(TRIM(A220),FIND("]",TRIM(A220)&amp;"]")+1,200)),TRIM(A220))))&gt;0,IF(RIGHT(IF(LEFT(TRIM(A220),1)="[",TRIM(MID(TRIM(A220),FIND("]",TRIM(A220)&amp;"]")+1,200)),TRIM(A220)),1)=")",TRIM(LEFT(IF(LEFT(TRIM(A220),1)="[",TRIM(MID(TRIM(A220),FIND("]",TRIM(A220)&amp;"]")+1,200)),TRIM(A220)),FIND("(",IF(LEFT(TRIM(A220),1)="[",TRIM(MID(TRIM(A220),FIND("]",TRIM(A220)&amp;"]")+1,200)),TRIM(A220))&amp;"(")-1)),IF(LEFT(TRIM(A220),1)="[",TRIM(MID(TRIM(A220),FIND("]",TRIM(A220)&amp;"]")+1,200)),TRIM(A220))),""))</f>
      </c>
      <c r="C220" s="17">
        <f>IF(B220&lt;&gt;"",B220,C219)</f>
      </c>
      <c r="D220" s="17">
        <f>IF(A220="","",IF(OR(LEFT(UPPER(TRIM(A220)),2)="Y:",LEFT(UPPER(TRIM(A220)),10)="YESTERDAY:"),"Y",IF(OR(LEFT(UPPER(TRIM(A220)),2)="T:",LEFT(UPPER(TRIM(A220)),6)="TODAY:"),"T",IF(OR(LEFT(UPPER(TRIM(A220)),2)="B:",LEFT(UPPER(TRIM(A220)),8)="BLOCKER:",LEFT(UPPER(TRIM(A220)),9)="BLOCKERS:",LEFT(UPPER(TRIM(A220)),8)="BLOCKED:"),"B",""))))</f>
      </c>
      <c r="E220" s="17">
        <f>IF(D220="","",TRIM(MID(A220,FIND(":",A220)+1,500)))</f>
      </c>
    </row>
    <row r="221">
      <c r="B221" s="17">
        <f>IF(A221="","",IF(COUNTIF(Roster[Name],IF(RIGHT(IF(LEFT(TRIM(A221),1)="[",TRIM(MID(TRIM(A221),FIND("]",TRIM(A221)&amp;"]")+1,200)),TRIM(A221)),1)=")",TRIM(LEFT(IF(LEFT(TRIM(A221),1)="[",TRIM(MID(TRIM(A221),FIND("]",TRIM(A221)&amp;"]")+1,200)),TRIM(A221)),FIND("(",IF(LEFT(TRIM(A221),1)="[",TRIM(MID(TRIM(A221),FIND("]",TRIM(A221)&amp;"]")+1,200)),TRIM(A221))&amp;"(")-1)),IF(LEFT(TRIM(A221),1)="[",TRIM(MID(TRIM(A221),FIND("]",TRIM(A221)&amp;"]")+1,200)),TRIM(A221))))&gt;0,IF(RIGHT(IF(LEFT(TRIM(A221),1)="[",TRIM(MID(TRIM(A221),FIND("]",TRIM(A221)&amp;"]")+1,200)),TRIM(A221)),1)=")",TRIM(LEFT(IF(LEFT(TRIM(A221),1)="[",TRIM(MID(TRIM(A221),FIND("]",TRIM(A221)&amp;"]")+1,200)),TRIM(A221)),FIND("(",IF(LEFT(TRIM(A221),1)="[",TRIM(MID(TRIM(A221),FIND("]",TRIM(A221)&amp;"]")+1,200)),TRIM(A221))&amp;"(")-1)),IF(LEFT(TRIM(A221),1)="[",TRIM(MID(TRIM(A221),FIND("]",TRIM(A221)&amp;"]")+1,200)),TRIM(A221))),""))</f>
      </c>
      <c r="C221" s="17">
        <f>IF(B221&lt;&gt;"",B221,C220)</f>
      </c>
      <c r="D221" s="17">
        <f>IF(A221="","",IF(OR(LEFT(UPPER(TRIM(A221)),2)="Y:",LEFT(UPPER(TRIM(A221)),10)="YESTERDAY:"),"Y",IF(OR(LEFT(UPPER(TRIM(A221)),2)="T:",LEFT(UPPER(TRIM(A221)),6)="TODAY:"),"T",IF(OR(LEFT(UPPER(TRIM(A221)),2)="B:",LEFT(UPPER(TRIM(A221)),8)="BLOCKER:",LEFT(UPPER(TRIM(A221)),9)="BLOCKERS:",LEFT(UPPER(TRIM(A221)),8)="BLOCKED:"),"B",""))))</f>
      </c>
      <c r="E221" s="17">
        <f>IF(D221="","",TRIM(MID(A221,FIND(":",A221)+1,500)))</f>
      </c>
    </row>
    <row r="222">
      <c r="B222" s="17">
        <f>IF(A222="","",IF(COUNTIF(Roster[Name],IF(RIGHT(IF(LEFT(TRIM(A222),1)="[",TRIM(MID(TRIM(A222),FIND("]",TRIM(A222)&amp;"]")+1,200)),TRIM(A222)),1)=")",TRIM(LEFT(IF(LEFT(TRIM(A222),1)="[",TRIM(MID(TRIM(A222),FIND("]",TRIM(A222)&amp;"]")+1,200)),TRIM(A222)),FIND("(",IF(LEFT(TRIM(A222),1)="[",TRIM(MID(TRIM(A222),FIND("]",TRIM(A222)&amp;"]")+1,200)),TRIM(A222))&amp;"(")-1)),IF(LEFT(TRIM(A222),1)="[",TRIM(MID(TRIM(A222),FIND("]",TRIM(A222)&amp;"]")+1,200)),TRIM(A222))))&gt;0,IF(RIGHT(IF(LEFT(TRIM(A222),1)="[",TRIM(MID(TRIM(A222),FIND("]",TRIM(A222)&amp;"]")+1,200)),TRIM(A222)),1)=")",TRIM(LEFT(IF(LEFT(TRIM(A222),1)="[",TRIM(MID(TRIM(A222),FIND("]",TRIM(A222)&amp;"]")+1,200)),TRIM(A222)),FIND("(",IF(LEFT(TRIM(A222),1)="[",TRIM(MID(TRIM(A222),FIND("]",TRIM(A222)&amp;"]")+1,200)),TRIM(A222))&amp;"(")-1)),IF(LEFT(TRIM(A222),1)="[",TRIM(MID(TRIM(A222),FIND("]",TRIM(A222)&amp;"]")+1,200)),TRIM(A222))),""))</f>
      </c>
      <c r="C222" s="17">
        <f>IF(B222&lt;&gt;"",B222,C221)</f>
      </c>
      <c r="D222" s="17">
        <f>IF(A222="","",IF(OR(LEFT(UPPER(TRIM(A222)),2)="Y:",LEFT(UPPER(TRIM(A222)),10)="YESTERDAY:"),"Y",IF(OR(LEFT(UPPER(TRIM(A222)),2)="T:",LEFT(UPPER(TRIM(A222)),6)="TODAY:"),"T",IF(OR(LEFT(UPPER(TRIM(A222)),2)="B:",LEFT(UPPER(TRIM(A222)),8)="BLOCKER:",LEFT(UPPER(TRIM(A222)),9)="BLOCKERS:",LEFT(UPPER(TRIM(A222)),8)="BLOCKED:"),"B",""))))</f>
      </c>
      <c r="E222" s="17">
        <f>IF(D222="","",TRIM(MID(A222,FIND(":",A222)+1,500)))</f>
      </c>
    </row>
    <row r="223">
      <c r="B223" s="17">
        <f>IF(A223="","",IF(COUNTIF(Roster[Name],IF(RIGHT(IF(LEFT(TRIM(A223),1)="[",TRIM(MID(TRIM(A223),FIND("]",TRIM(A223)&amp;"]")+1,200)),TRIM(A223)),1)=")",TRIM(LEFT(IF(LEFT(TRIM(A223),1)="[",TRIM(MID(TRIM(A223),FIND("]",TRIM(A223)&amp;"]")+1,200)),TRIM(A223)),FIND("(",IF(LEFT(TRIM(A223),1)="[",TRIM(MID(TRIM(A223),FIND("]",TRIM(A223)&amp;"]")+1,200)),TRIM(A223))&amp;"(")-1)),IF(LEFT(TRIM(A223),1)="[",TRIM(MID(TRIM(A223),FIND("]",TRIM(A223)&amp;"]")+1,200)),TRIM(A223))))&gt;0,IF(RIGHT(IF(LEFT(TRIM(A223),1)="[",TRIM(MID(TRIM(A223),FIND("]",TRIM(A223)&amp;"]")+1,200)),TRIM(A223)),1)=")",TRIM(LEFT(IF(LEFT(TRIM(A223),1)="[",TRIM(MID(TRIM(A223),FIND("]",TRIM(A223)&amp;"]")+1,200)),TRIM(A223)),FIND("(",IF(LEFT(TRIM(A223),1)="[",TRIM(MID(TRIM(A223),FIND("]",TRIM(A223)&amp;"]")+1,200)),TRIM(A223))&amp;"(")-1)),IF(LEFT(TRIM(A223),1)="[",TRIM(MID(TRIM(A223),FIND("]",TRIM(A223)&amp;"]")+1,200)),TRIM(A223))),""))</f>
      </c>
      <c r="C223" s="17">
        <f>IF(B223&lt;&gt;"",B223,C222)</f>
      </c>
      <c r="D223" s="17">
        <f>IF(A223="","",IF(OR(LEFT(UPPER(TRIM(A223)),2)="Y:",LEFT(UPPER(TRIM(A223)),10)="YESTERDAY:"),"Y",IF(OR(LEFT(UPPER(TRIM(A223)),2)="T:",LEFT(UPPER(TRIM(A223)),6)="TODAY:"),"T",IF(OR(LEFT(UPPER(TRIM(A223)),2)="B:",LEFT(UPPER(TRIM(A223)),8)="BLOCKER:",LEFT(UPPER(TRIM(A223)),9)="BLOCKERS:",LEFT(UPPER(TRIM(A223)),8)="BLOCKED:"),"B",""))))</f>
      </c>
      <c r="E223" s="17">
        <f>IF(D223="","",TRIM(MID(A223,FIND(":",A223)+1,500)))</f>
      </c>
    </row>
    <row r="224">
      <c r="B224" s="17">
        <f>IF(A224="","",IF(COUNTIF(Roster[Name],IF(RIGHT(IF(LEFT(TRIM(A224),1)="[",TRIM(MID(TRIM(A224),FIND("]",TRIM(A224)&amp;"]")+1,200)),TRIM(A224)),1)=")",TRIM(LEFT(IF(LEFT(TRIM(A224),1)="[",TRIM(MID(TRIM(A224),FIND("]",TRIM(A224)&amp;"]")+1,200)),TRIM(A224)),FIND("(",IF(LEFT(TRIM(A224),1)="[",TRIM(MID(TRIM(A224),FIND("]",TRIM(A224)&amp;"]")+1,200)),TRIM(A224))&amp;"(")-1)),IF(LEFT(TRIM(A224),1)="[",TRIM(MID(TRIM(A224),FIND("]",TRIM(A224)&amp;"]")+1,200)),TRIM(A224))))&gt;0,IF(RIGHT(IF(LEFT(TRIM(A224),1)="[",TRIM(MID(TRIM(A224),FIND("]",TRIM(A224)&amp;"]")+1,200)),TRIM(A224)),1)=")",TRIM(LEFT(IF(LEFT(TRIM(A224),1)="[",TRIM(MID(TRIM(A224),FIND("]",TRIM(A224)&amp;"]")+1,200)),TRIM(A224)),FIND("(",IF(LEFT(TRIM(A224),1)="[",TRIM(MID(TRIM(A224),FIND("]",TRIM(A224)&amp;"]")+1,200)),TRIM(A224))&amp;"(")-1)),IF(LEFT(TRIM(A224),1)="[",TRIM(MID(TRIM(A224),FIND("]",TRIM(A224)&amp;"]")+1,200)),TRIM(A224))),""))</f>
      </c>
      <c r="C224" s="17">
        <f>IF(B224&lt;&gt;"",B224,C223)</f>
      </c>
      <c r="D224" s="17">
        <f>IF(A224="","",IF(OR(LEFT(UPPER(TRIM(A224)),2)="Y:",LEFT(UPPER(TRIM(A224)),10)="YESTERDAY:"),"Y",IF(OR(LEFT(UPPER(TRIM(A224)),2)="T:",LEFT(UPPER(TRIM(A224)),6)="TODAY:"),"T",IF(OR(LEFT(UPPER(TRIM(A224)),2)="B:",LEFT(UPPER(TRIM(A224)),8)="BLOCKER:",LEFT(UPPER(TRIM(A224)),9)="BLOCKERS:",LEFT(UPPER(TRIM(A224)),8)="BLOCKED:"),"B",""))))</f>
      </c>
      <c r="E224" s="17">
        <f>IF(D224="","",TRIM(MID(A224,FIND(":",A224)+1,500)))</f>
      </c>
    </row>
    <row r="225">
      <c r="B225" s="17">
        <f>IF(A225="","",IF(COUNTIF(Roster[Name],IF(RIGHT(IF(LEFT(TRIM(A225),1)="[",TRIM(MID(TRIM(A225),FIND("]",TRIM(A225)&amp;"]")+1,200)),TRIM(A225)),1)=")",TRIM(LEFT(IF(LEFT(TRIM(A225),1)="[",TRIM(MID(TRIM(A225),FIND("]",TRIM(A225)&amp;"]")+1,200)),TRIM(A225)),FIND("(",IF(LEFT(TRIM(A225),1)="[",TRIM(MID(TRIM(A225),FIND("]",TRIM(A225)&amp;"]")+1,200)),TRIM(A225))&amp;"(")-1)),IF(LEFT(TRIM(A225),1)="[",TRIM(MID(TRIM(A225),FIND("]",TRIM(A225)&amp;"]")+1,200)),TRIM(A225))))&gt;0,IF(RIGHT(IF(LEFT(TRIM(A225),1)="[",TRIM(MID(TRIM(A225),FIND("]",TRIM(A225)&amp;"]")+1,200)),TRIM(A225)),1)=")",TRIM(LEFT(IF(LEFT(TRIM(A225),1)="[",TRIM(MID(TRIM(A225),FIND("]",TRIM(A225)&amp;"]")+1,200)),TRIM(A225)),FIND("(",IF(LEFT(TRIM(A225),1)="[",TRIM(MID(TRIM(A225),FIND("]",TRIM(A225)&amp;"]")+1,200)),TRIM(A225))&amp;"(")-1)),IF(LEFT(TRIM(A225),1)="[",TRIM(MID(TRIM(A225),FIND("]",TRIM(A225)&amp;"]")+1,200)),TRIM(A225))),""))</f>
      </c>
      <c r="C225" s="17">
        <f>IF(B225&lt;&gt;"",B225,C224)</f>
      </c>
      <c r="D225" s="17">
        <f>IF(A225="","",IF(OR(LEFT(UPPER(TRIM(A225)),2)="Y:",LEFT(UPPER(TRIM(A225)),10)="YESTERDAY:"),"Y",IF(OR(LEFT(UPPER(TRIM(A225)),2)="T:",LEFT(UPPER(TRIM(A225)),6)="TODAY:"),"T",IF(OR(LEFT(UPPER(TRIM(A225)),2)="B:",LEFT(UPPER(TRIM(A225)),8)="BLOCKER:",LEFT(UPPER(TRIM(A225)),9)="BLOCKERS:",LEFT(UPPER(TRIM(A225)),8)="BLOCKED:"),"B",""))))</f>
      </c>
      <c r="E225" s="17">
        <f>IF(D225="","",TRIM(MID(A225,FIND(":",A225)+1,500)))</f>
      </c>
    </row>
    <row r="226">
      <c r="B226" s="17">
        <f>IF(A226="","",IF(COUNTIF(Roster[Name],IF(RIGHT(IF(LEFT(TRIM(A226),1)="[",TRIM(MID(TRIM(A226),FIND("]",TRIM(A226)&amp;"]")+1,200)),TRIM(A226)),1)=")",TRIM(LEFT(IF(LEFT(TRIM(A226),1)="[",TRIM(MID(TRIM(A226),FIND("]",TRIM(A226)&amp;"]")+1,200)),TRIM(A226)),FIND("(",IF(LEFT(TRIM(A226),1)="[",TRIM(MID(TRIM(A226),FIND("]",TRIM(A226)&amp;"]")+1,200)),TRIM(A226))&amp;"(")-1)),IF(LEFT(TRIM(A226),1)="[",TRIM(MID(TRIM(A226),FIND("]",TRIM(A226)&amp;"]")+1,200)),TRIM(A226))))&gt;0,IF(RIGHT(IF(LEFT(TRIM(A226),1)="[",TRIM(MID(TRIM(A226),FIND("]",TRIM(A226)&amp;"]")+1,200)),TRIM(A226)),1)=")",TRIM(LEFT(IF(LEFT(TRIM(A226),1)="[",TRIM(MID(TRIM(A226),FIND("]",TRIM(A226)&amp;"]")+1,200)),TRIM(A226)),FIND("(",IF(LEFT(TRIM(A226),1)="[",TRIM(MID(TRIM(A226),FIND("]",TRIM(A226)&amp;"]")+1,200)),TRIM(A226))&amp;"(")-1)),IF(LEFT(TRIM(A226),1)="[",TRIM(MID(TRIM(A226),FIND("]",TRIM(A226)&amp;"]")+1,200)),TRIM(A226))),""))</f>
      </c>
      <c r="C226" s="17">
        <f>IF(B226&lt;&gt;"",B226,C225)</f>
      </c>
      <c r="D226" s="17">
        <f>IF(A226="","",IF(OR(LEFT(UPPER(TRIM(A226)),2)="Y:",LEFT(UPPER(TRIM(A226)),10)="YESTERDAY:"),"Y",IF(OR(LEFT(UPPER(TRIM(A226)),2)="T:",LEFT(UPPER(TRIM(A226)),6)="TODAY:"),"T",IF(OR(LEFT(UPPER(TRIM(A226)),2)="B:",LEFT(UPPER(TRIM(A226)),8)="BLOCKER:",LEFT(UPPER(TRIM(A226)),9)="BLOCKERS:",LEFT(UPPER(TRIM(A226)),8)="BLOCKED:"),"B",""))))</f>
      </c>
      <c r="E226" s="17">
        <f>IF(D226="","",TRIM(MID(A226,FIND(":",A226)+1,500)))</f>
      </c>
    </row>
    <row r="227">
      <c r="B227" s="17">
        <f>IF(A227="","",IF(COUNTIF(Roster[Name],IF(RIGHT(IF(LEFT(TRIM(A227),1)="[",TRIM(MID(TRIM(A227),FIND("]",TRIM(A227)&amp;"]")+1,200)),TRIM(A227)),1)=")",TRIM(LEFT(IF(LEFT(TRIM(A227),1)="[",TRIM(MID(TRIM(A227),FIND("]",TRIM(A227)&amp;"]")+1,200)),TRIM(A227)),FIND("(",IF(LEFT(TRIM(A227),1)="[",TRIM(MID(TRIM(A227),FIND("]",TRIM(A227)&amp;"]")+1,200)),TRIM(A227))&amp;"(")-1)),IF(LEFT(TRIM(A227),1)="[",TRIM(MID(TRIM(A227),FIND("]",TRIM(A227)&amp;"]")+1,200)),TRIM(A227))))&gt;0,IF(RIGHT(IF(LEFT(TRIM(A227),1)="[",TRIM(MID(TRIM(A227),FIND("]",TRIM(A227)&amp;"]")+1,200)),TRIM(A227)),1)=")",TRIM(LEFT(IF(LEFT(TRIM(A227),1)="[",TRIM(MID(TRIM(A227),FIND("]",TRIM(A227)&amp;"]")+1,200)),TRIM(A227)),FIND("(",IF(LEFT(TRIM(A227),1)="[",TRIM(MID(TRIM(A227),FIND("]",TRIM(A227)&amp;"]")+1,200)),TRIM(A227))&amp;"(")-1)),IF(LEFT(TRIM(A227),1)="[",TRIM(MID(TRIM(A227),FIND("]",TRIM(A227)&amp;"]")+1,200)),TRIM(A227))),""))</f>
      </c>
      <c r="C227" s="17">
        <f>IF(B227&lt;&gt;"",B227,C226)</f>
      </c>
      <c r="D227" s="17">
        <f>IF(A227="","",IF(OR(LEFT(UPPER(TRIM(A227)),2)="Y:",LEFT(UPPER(TRIM(A227)),10)="YESTERDAY:"),"Y",IF(OR(LEFT(UPPER(TRIM(A227)),2)="T:",LEFT(UPPER(TRIM(A227)),6)="TODAY:"),"T",IF(OR(LEFT(UPPER(TRIM(A227)),2)="B:",LEFT(UPPER(TRIM(A227)),8)="BLOCKER:",LEFT(UPPER(TRIM(A227)),9)="BLOCKERS:",LEFT(UPPER(TRIM(A227)),8)="BLOCKED:"),"B",""))))</f>
      </c>
      <c r="E227" s="17">
        <f>IF(D227="","",TRIM(MID(A227,FIND(":",A227)+1,500)))</f>
      </c>
    </row>
    <row r="228">
      <c r="B228" s="17">
        <f>IF(A228="","",IF(COUNTIF(Roster[Name],IF(RIGHT(IF(LEFT(TRIM(A228),1)="[",TRIM(MID(TRIM(A228),FIND("]",TRIM(A228)&amp;"]")+1,200)),TRIM(A228)),1)=")",TRIM(LEFT(IF(LEFT(TRIM(A228),1)="[",TRIM(MID(TRIM(A228),FIND("]",TRIM(A228)&amp;"]")+1,200)),TRIM(A228)),FIND("(",IF(LEFT(TRIM(A228),1)="[",TRIM(MID(TRIM(A228),FIND("]",TRIM(A228)&amp;"]")+1,200)),TRIM(A228))&amp;"(")-1)),IF(LEFT(TRIM(A228),1)="[",TRIM(MID(TRIM(A228),FIND("]",TRIM(A228)&amp;"]")+1,200)),TRIM(A228))))&gt;0,IF(RIGHT(IF(LEFT(TRIM(A228),1)="[",TRIM(MID(TRIM(A228),FIND("]",TRIM(A228)&amp;"]")+1,200)),TRIM(A228)),1)=")",TRIM(LEFT(IF(LEFT(TRIM(A228),1)="[",TRIM(MID(TRIM(A228),FIND("]",TRIM(A228)&amp;"]")+1,200)),TRIM(A228)),FIND("(",IF(LEFT(TRIM(A228),1)="[",TRIM(MID(TRIM(A228),FIND("]",TRIM(A228)&amp;"]")+1,200)),TRIM(A228))&amp;"(")-1)),IF(LEFT(TRIM(A228),1)="[",TRIM(MID(TRIM(A228),FIND("]",TRIM(A228)&amp;"]")+1,200)),TRIM(A228))),""))</f>
      </c>
      <c r="C228" s="17">
        <f>IF(B228&lt;&gt;"",B228,C227)</f>
      </c>
      <c r="D228" s="17">
        <f>IF(A228="","",IF(OR(LEFT(UPPER(TRIM(A228)),2)="Y:",LEFT(UPPER(TRIM(A228)),10)="YESTERDAY:"),"Y",IF(OR(LEFT(UPPER(TRIM(A228)),2)="T:",LEFT(UPPER(TRIM(A228)),6)="TODAY:"),"T",IF(OR(LEFT(UPPER(TRIM(A228)),2)="B:",LEFT(UPPER(TRIM(A228)),8)="BLOCKER:",LEFT(UPPER(TRIM(A228)),9)="BLOCKERS:",LEFT(UPPER(TRIM(A228)),8)="BLOCKED:"),"B",""))))</f>
      </c>
      <c r="E228" s="17">
        <f>IF(D228="","",TRIM(MID(A228,FIND(":",A228)+1,500)))</f>
      </c>
    </row>
    <row r="229">
      <c r="B229" s="17">
        <f>IF(A229="","",IF(COUNTIF(Roster[Name],IF(RIGHT(IF(LEFT(TRIM(A229),1)="[",TRIM(MID(TRIM(A229),FIND("]",TRIM(A229)&amp;"]")+1,200)),TRIM(A229)),1)=")",TRIM(LEFT(IF(LEFT(TRIM(A229),1)="[",TRIM(MID(TRIM(A229),FIND("]",TRIM(A229)&amp;"]")+1,200)),TRIM(A229)),FIND("(",IF(LEFT(TRIM(A229),1)="[",TRIM(MID(TRIM(A229),FIND("]",TRIM(A229)&amp;"]")+1,200)),TRIM(A229))&amp;"(")-1)),IF(LEFT(TRIM(A229),1)="[",TRIM(MID(TRIM(A229),FIND("]",TRIM(A229)&amp;"]")+1,200)),TRIM(A229))))&gt;0,IF(RIGHT(IF(LEFT(TRIM(A229),1)="[",TRIM(MID(TRIM(A229),FIND("]",TRIM(A229)&amp;"]")+1,200)),TRIM(A229)),1)=")",TRIM(LEFT(IF(LEFT(TRIM(A229),1)="[",TRIM(MID(TRIM(A229),FIND("]",TRIM(A229)&amp;"]")+1,200)),TRIM(A229)),FIND("(",IF(LEFT(TRIM(A229),1)="[",TRIM(MID(TRIM(A229),FIND("]",TRIM(A229)&amp;"]")+1,200)),TRIM(A229))&amp;"(")-1)),IF(LEFT(TRIM(A229),1)="[",TRIM(MID(TRIM(A229),FIND("]",TRIM(A229)&amp;"]")+1,200)),TRIM(A229))),""))</f>
      </c>
      <c r="C229" s="17">
        <f>IF(B229&lt;&gt;"",B229,C228)</f>
      </c>
      <c r="D229" s="17">
        <f>IF(A229="","",IF(OR(LEFT(UPPER(TRIM(A229)),2)="Y:",LEFT(UPPER(TRIM(A229)),10)="YESTERDAY:"),"Y",IF(OR(LEFT(UPPER(TRIM(A229)),2)="T:",LEFT(UPPER(TRIM(A229)),6)="TODAY:"),"T",IF(OR(LEFT(UPPER(TRIM(A229)),2)="B:",LEFT(UPPER(TRIM(A229)),8)="BLOCKER:",LEFT(UPPER(TRIM(A229)),9)="BLOCKERS:",LEFT(UPPER(TRIM(A229)),8)="BLOCKED:"),"B",""))))</f>
      </c>
      <c r="E229" s="17">
        <f>IF(D229="","",TRIM(MID(A229,FIND(":",A229)+1,500)))</f>
      </c>
    </row>
    <row r="230">
      <c r="B230" s="17">
        <f>IF(A230="","",IF(COUNTIF(Roster[Name],IF(RIGHT(IF(LEFT(TRIM(A230),1)="[",TRIM(MID(TRIM(A230),FIND("]",TRIM(A230)&amp;"]")+1,200)),TRIM(A230)),1)=")",TRIM(LEFT(IF(LEFT(TRIM(A230),1)="[",TRIM(MID(TRIM(A230),FIND("]",TRIM(A230)&amp;"]")+1,200)),TRIM(A230)),FIND("(",IF(LEFT(TRIM(A230),1)="[",TRIM(MID(TRIM(A230),FIND("]",TRIM(A230)&amp;"]")+1,200)),TRIM(A230))&amp;"(")-1)),IF(LEFT(TRIM(A230),1)="[",TRIM(MID(TRIM(A230),FIND("]",TRIM(A230)&amp;"]")+1,200)),TRIM(A230))))&gt;0,IF(RIGHT(IF(LEFT(TRIM(A230),1)="[",TRIM(MID(TRIM(A230),FIND("]",TRIM(A230)&amp;"]")+1,200)),TRIM(A230)),1)=")",TRIM(LEFT(IF(LEFT(TRIM(A230),1)="[",TRIM(MID(TRIM(A230),FIND("]",TRIM(A230)&amp;"]")+1,200)),TRIM(A230)),FIND("(",IF(LEFT(TRIM(A230),1)="[",TRIM(MID(TRIM(A230),FIND("]",TRIM(A230)&amp;"]")+1,200)),TRIM(A230))&amp;"(")-1)),IF(LEFT(TRIM(A230),1)="[",TRIM(MID(TRIM(A230),FIND("]",TRIM(A230)&amp;"]")+1,200)),TRIM(A230))),""))</f>
      </c>
      <c r="C230" s="17">
        <f>IF(B230&lt;&gt;"",B230,C229)</f>
      </c>
      <c r="D230" s="17">
        <f>IF(A230="","",IF(OR(LEFT(UPPER(TRIM(A230)),2)="Y:",LEFT(UPPER(TRIM(A230)),10)="YESTERDAY:"),"Y",IF(OR(LEFT(UPPER(TRIM(A230)),2)="T:",LEFT(UPPER(TRIM(A230)),6)="TODAY:"),"T",IF(OR(LEFT(UPPER(TRIM(A230)),2)="B:",LEFT(UPPER(TRIM(A230)),8)="BLOCKER:",LEFT(UPPER(TRIM(A230)),9)="BLOCKERS:",LEFT(UPPER(TRIM(A230)),8)="BLOCKED:"),"B",""))))</f>
      </c>
      <c r="E230" s="17">
        <f>IF(D230="","",TRIM(MID(A230,FIND(":",A230)+1,500)))</f>
      </c>
    </row>
    <row r="231">
      <c r="B231" s="17">
        <f>IF(A231="","",IF(COUNTIF(Roster[Name],IF(RIGHT(IF(LEFT(TRIM(A231),1)="[",TRIM(MID(TRIM(A231),FIND("]",TRIM(A231)&amp;"]")+1,200)),TRIM(A231)),1)=")",TRIM(LEFT(IF(LEFT(TRIM(A231),1)="[",TRIM(MID(TRIM(A231),FIND("]",TRIM(A231)&amp;"]")+1,200)),TRIM(A231)),FIND("(",IF(LEFT(TRIM(A231),1)="[",TRIM(MID(TRIM(A231),FIND("]",TRIM(A231)&amp;"]")+1,200)),TRIM(A231))&amp;"(")-1)),IF(LEFT(TRIM(A231),1)="[",TRIM(MID(TRIM(A231),FIND("]",TRIM(A231)&amp;"]")+1,200)),TRIM(A231))))&gt;0,IF(RIGHT(IF(LEFT(TRIM(A231),1)="[",TRIM(MID(TRIM(A231),FIND("]",TRIM(A231)&amp;"]")+1,200)),TRIM(A231)),1)=")",TRIM(LEFT(IF(LEFT(TRIM(A231),1)="[",TRIM(MID(TRIM(A231),FIND("]",TRIM(A231)&amp;"]")+1,200)),TRIM(A231)),FIND("(",IF(LEFT(TRIM(A231),1)="[",TRIM(MID(TRIM(A231),FIND("]",TRIM(A231)&amp;"]")+1,200)),TRIM(A231))&amp;"(")-1)),IF(LEFT(TRIM(A231),1)="[",TRIM(MID(TRIM(A231),FIND("]",TRIM(A231)&amp;"]")+1,200)),TRIM(A231))),""))</f>
      </c>
      <c r="C231" s="17">
        <f>IF(B231&lt;&gt;"",B231,C230)</f>
      </c>
      <c r="D231" s="17">
        <f>IF(A231="","",IF(OR(LEFT(UPPER(TRIM(A231)),2)="Y:",LEFT(UPPER(TRIM(A231)),10)="YESTERDAY:"),"Y",IF(OR(LEFT(UPPER(TRIM(A231)),2)="T:",LEFT(UPPER(TRIM(A231)),6)="TODAY:"),"T",IF(OR(LEFT(UPPER(TRIM(A231)),2)="B:",LEFT(UPPER(TRIM(A231)),8)="BLOCKER:",LEFT(UPPER(TRIM(A231)),9)="BLOCKERS:",LEFT(UPPER(TRIM(A231)),8)="BLOCKED:"),"B",""))))</f>
      </c>
      <c r="E231" s="17">
        <f>IF(D231="","",TRIM(MID(A231,FIND(":",A231)+1,500)))</f>
      </c>
    </row>
    <row r="232">
      <c r="B232" s="17">
        <f>IF(A232="","",IF(COUNTIF(Roster[Name],IF(RIGHT(IF(LEFT(TRIM(A232),1)="[",TRIM(MID(TRIM(A232),FIND("]",TRIM(A232)&amp;"]")+1,200)),TRIM(A232)),1)=")",TRIM(LEFT(IF(LEFT(TRIM(A232),1)="[",TRIM(MID(TRIM(A232),FIND("]",TRIM(A232)&amp;"]")+1,200)),TRIM(A232)),FIND("(",IF(LEFT(TRIM(A232),1)="[",TRIM(MID(TRIM(A232),FIND("]",TRIM(A232)&amp;"]")+1,200)),TRIM(A232))&amp;"(")-1)),IF(LEFT(TRIM(A232),1)="[",TRIM(MID(TRIM(A232),FIND("]",TRIM(A232)&amp;"]")+1,200)),TRIM(A232))))&gt;0,IF(RIGHT(IF(LEFT(TRIM(A232),1)="[",TRIM(MID(TRIM(A232),FIND("]",TRIM(A232)&amp;"]")+1,200)),TRIM(A232)),1)=")",TRIM(LEFT(IF(LEFT(TRIM(A232),1)="[",TRIM(MID(TRIM(A232),FIND("]",TRIM(A232)&amp;"]")+1,200)),TRIM(A232)),FIND("(",IF(LEFT(TRIM(A232),1)="[",TRIM(MID(TRIM(A232),FIND("]",TRIM(A232)&amp;"]")+1,200)),TRIM(A232))&amp;"(")-1)),IF(LEFT(TRIM(A232),1)="[",TRIM(MID(TRIM(A232),FIND("]",TRIM(A232)&amp;"]")+1,200)),TRIM(A232))),""))</f>
      </c>
      <c r="C232" s="17">
        <f>IF(B232&lt;&gt;"",B232,C231)</f>
      </c>
      <c r="D232" s="17">
        <f>IF(A232="","",IF(OR(LEFT(UPPER(TRIM(A232)),2)="Y:",LEFT(UPPER(TRIM(A232)),10)="YESTERDAY:"),"Y",IF(OR(LEFT(UPPER(TRIM(A232)),2)="T:",LEFT(UPPER(TRIM(A232)),6)="TODAY:"),"T",IF(OR(LEFT(UPPER(TRIM(A232)),2)="B:",LEFT(UPPER(TRIM(A232)),8)="BLOCKER:",LEFT(UPPER(TRIM(A232)),9)="BLOCKERS:",LEFT(UPPER(TRIM(A232)),8)="BLOCKED:"),"B",""))))</f>
      </c>
      <c r="E232" s="17">
        <f>IF(D232="","",TRIM(MID(A232,FIND(":",A232)+1,500)))</f>
      </c>
    </row>
    <row r="233">
      <c r="B233" s="17">
        <f>IF(A233="","",IF(COUNTIF(Roster[Name],IF(RIGHT(IF(LEFT(TRIM(A233),1)="[",TRIM(MID(TRIM(A233),FIND("]",TRIM(A233)&amp;"]")+1,200)),TRIM(A233)),1)=")",TRIM(LEFT(IF(LEFT(TRIM(A233),1)="[",TRIM(MID(TRIM(A233),FIND("]",TRIM(A233)&amp;"]")+1,200)),TRIM(A233)),FIND("(",IF(LEFT(TRIM(A233),1)="[",TRIM(MID(TRIM(A233),FIND("]",TRIM(A233)&amp;"]")+1,200)),TRIM(A233))&amp;"(")-1)),IF(LEFT(TRIM(A233),1)="[",TRIM(MID(TRIM(A233),FIND("]",TRIM(A233)&amp;"]")+1,200)),TRIM(A233))))&gt;0,IF(RIGHT(IF(LEFT(TRIM(A233),1)="[",TRIM(MID(TRIM(A233),FIND("]",TRIM(A233)&amp;"]")+1,200)),TRIM(A233)),1)=")",TRIM(LEFT(IF(LEFT(TRIM(A233),1)="[",TRIM(MID(TRIM(A233),FIND("]",TRIM(A233)&amp;"]")+1,200)),TRIM(A233)),FIND("(",IF(LEFT(TRIM(A233),1)="[",TRIM(MID(TRIM(A233),FIND("]",TRIM(A233)&amp;"]")+1,200)),TRIM(A233))&amp;"(")-1)),IF(LEFT(TRIM(A233),1)="[",TRIM(MID(TRIM(A233),FIND("]",TRIM(A233)&amp;"]")+1,200)),TRIM(A233))),""))</f>
      </c>
      <c r="C233" s="17">
        <f>IF(B233&lt;&gt;"",B233,C232)</f>
      </c>
      <c r="D233" s="17">
        <f>IF(A233="","",IF(OR(LEFT(UPPER(TRIM(A233)),2)="Y:",LEFT(UPPER(TRIM(A233)),10)="YESTERDAY:"),"Y",IF(OR(LEFT(UPPER(TRIM(A233)),2)="T:",LEFT(UPPER(TRIM(A233)),6)="TODAY:"),"T",IF(OR(LEFT(UPPER(TRIM(A233)),2)="B:",LEFT(UPPER(TRIM(A233)),8)="BLOCKER:",LEFT(UPPER(TRIM(A233)),9)="BLOCKERS:",LEFT(UPPER(TRIM(A233)),8)="BLOCKED:"),"B",""))))</f>
      </c>
      <c r="E233" s="17">
        <f>IF(D233="","",TRIM(MID(A233,FIND(":",A233)+1,500)))</f>
      </c>
    </row>
    <row r="234">
      <c r="B234" s="17">
        <f>IF(A234="","",IF(COUNTIF(Roster[Name],IF(RIGHT(IF(LEFT(TRIM(A234),1)="[",TRIM(MID(TRIM(A234),FIND("]",TRIM(A234)&amp;"]")+1,200)),TRIM(A234)),1)=")",TRIM(LEFT(IF(LEFT(TRIM(A234),1)="[",TRIM(MID(TRIM(A234),FIND("]",TRIM(A234)&amp;"]")+1,200)),TRIM(A234)),FIND("(",IF(LEFT(TRIM(A234),1)="[",TRIM(MID(TRIM(A234),FIND("]",TRIM(A234)&amp;"]")+1,200)),TRIM(A234))&amp;"(")-1)),IF(LEFT(TRIM(A234),1)="[",TRIM(MID(TRIM(A234),FIND("]",TRIM(A234)&amp;"]")+1,200)),TRIM(A234))))&gt;0,IF(RIGHT(IF(LEFT(TRIM(A234),1)="[",TRIM(MID(TRIM(A234),FIND("]",TRIM(A234)&amp;"]")+1,200)),TRIM(A234)),1)=")",TRIM(LEFT(IF(LEFT(TRIM(A234),1)="[",TRIM(MID(TRIM(A234),FIND("]",TRIM(A234)&amp;"]")+1,200)),TRIM(A234)),FIND("(",IF(LEFT(TRIM(A234),1)="[",TRIM(MID(TRIM(A234),FIND("]",TRIM(A234)&amp;"]")+1,200)),TRIM(A234))&amp;"(")-1)),IF(LEFT(TRIM(A234),1)="[",TRIM(MID(TRIM(A234),FIND("]",TRIM(A234)&amp;"]")+1,200)),TRIM(A234))),""))</f>
      </c>
      <c r="C234" s="17">
        <f>IF(B234&lt;&gt;"",B234,C233)</f>
      </c>
      <c r="D234" s="17">
        <f>IF(A234="","",IF(OR(LEFT(UPPER(TRIM(A234)),2)="Y:",LEFT(UPPER(TRIM(A234)),10)="YESTERDAY:"),"Y",IF(OR(LEFT(UPPER(TRIM(A234)),2)="T:",LEFT(UPPER(TRIM(A234)),6)="TODAY:"),"T",IF(OR(LEFT(UPPER(TRIM(A234)),2)="B:",LEFT(UPPER(TRIM(A234)),8)="BLOCKER:",LEFT(UPPER(TRIM(A234)),9)="BLOCKERS:",LEFT(UPPER(TRIM(A234)),8)="BLOCKED:"),"B",""))))</f>
      </c>
      <c r="E234" s="17">
        <f>IF(D234="","",TRIM(MID(A234,FIND(":",A234)+1,500)))</f>
      </c>
    </row>
    <row r="235">
      <c r="B235" s="17">
        <f>IF(A235="","",IF(COUNTIF(Roster[Name],IF(RIGHT(IF(LEFT(TRIM(A235),1)="[",TRIM(MID(TRIM(A235),FIND("]",TRIM(A235)&amp;"]")+1,200)),TRIM(A235)),1)=")",TRIM(LEFT(IF(LEFT(TRIM(A235),1)="[",TRIM(MID(TRIM(A235),FIND("]",TRIM(A235)&amp;"]")+1,200)),TRIM(A235)),FIND("(",IF(LEFT(TRIM(A235),1)="[",TRIM(MID(TRIM(A235),FIND("]",TRIM(A235)&amp;"]")+1,200)),TRIM(A235))&amp;"(")-1)),IF(LEFT(TRIM(A235),1)="[",TRIM(MID(TRIM(A235),FIND("]",TRIM(A235)&amp;"]")+1,200)),TRIM(A235))))&gt;0,IF(RIGHT(IF(LEFT(TRIM(A235),1)="[",TRIM(MID(TRIM(A235),FIND("]",TRIM(A235)&amp;"]")+1,200)),TRIM(A235)),1)=")",TRIM(LEFT(IF(LEFT(TRIM(A235),1)="[",TRIM(MID(TRIM(A235),FIND("]",TRIM(A235)&amp;"]")+1,200)),TRIM(A235)),FIND("(",IF(LEFT(TRIM(A235),1)="[",TRIM(MID(TRIM(A235),FIND("]",TRIM(A235)&amp;"]")+1,200)),TRIM(A235))&amp;"(")-1)),IF(LEFT(TRIM(A235),1)="[",TRIM(MID(TRIM(A235),FIND("]",TRIM(A235)&amp;"]")+1,200)),TRIM(A235))),""))</f>
      </c>
      <c r="C235" s="17">
        <f>IF(B235&lt;&gt;"",B235,C234)</f>
      </c>
      <c r="D235" s="17">
        <f>IF(A235="","",IF(OR(LEFT(UPPER(TRIM(A235)),2)="Y:",LEFT(UPPER(TRIM(A235)),10)="YESTERDAY:"),"Y",IF(OR(LEFT(UPPER(TRIM(A235)),2)="T:",LEFT(UPPER(TRIM(A235)),6)="TODAY:"),"T",IF(OR(LEFT(UPPER(TRIM(A235)),2)="B:",LEFT(UPPER(TRIM(A235)),8)="BLOCKER:",LEFT(UPPER(TRIM(A235)),9)="BLOCKERS:",LEFT(UPPER(TRIM(A235)),8)="BLOCKED:"),"B",""))))</f>
      </c>
      <c r="E235" s="17">
        <f>IF(D235="","",TRIM(MID(A235,FIND(":",A235)+1,500)))</f>
      </c>
    </row>
    <row r="236">
      <c r="B236" s="17">
        <f>IF(A236="","",IF(COUNTIF(Roster[Name],IF(RIGHT(IF(LEFT(TRIM(A236),1)="[",TRIM(MID(TRIM(A236),FIND("]",TRIM(A236)&amp;"]")+1,200)),TRIM(A236)),1)=")",TRIM(LEFT(IF(LEFT(TRIM(A236),1)="[",TRIM(MID(TRIM(A236),FIND("]",TRIM(A236)&amp;"]")+1,200)),TRIM(A236)),FIND("(",IF(LEFT(TRIM(A236),1)="[",TRIM(MID(TRIM(A236),FIND("]",TRIM(A236)&amp;"]")+1,200)),TRIM(A236))&amp;"(")-1)),IF(LEFT(TRIM(A236),1)="[",TRIM(MID(TRIM(A236),FIND("]",TRIM(A236)&amp;"]")+1,200)),TRIM(A236))))&gt;0,IF(RIGHT(IF(LEFT(TRIM(A236),1)="[",TRIM(MID(TRIM(A236),FIND("]",TRIM(A236)&amp;"]")+1,200)),TRIM(A236)),1)=")",TRIM(LEFT(IF(LEFT(TRIM(A236),1)="[",TRIM(MID(TRIM(A236),FIND("]",TRIM(A236)&amp;"]")+1,200)),TRIM(A236)),FIND("(",IF(LEFT(TRIM(A236),1)="[",TRIM(MID(TRIM(A236),FIND("]",TRIM(A236)&amp;"]")+1,200)),TRIM(A236))&amp;"(")-1)),IF(LEFT(TRIM(A236),1)="[",TRIM(MID(TRIM(A236),FIND("]",TRIM(A236)&amp;"]")+1,200)),TRIM(A236))),""))</f>
      </c>
      <c r="C236" s="17">
        <f>IF(B236&lt;&gt;"",B236,C235)</f>
      </c>
      <c r="D236" s="17">
        <f>IF(A236="","",IF(OR(LEFT(UPPER(TRIM(A236)),2)="Y:",LEFT(UPPER(TRIM(A236)),10)="YESTERDAY:"),"Y",IF(OR(LEFT(UPPER(TRIM(A236)),2)="T:",LEFT(UPPER(TRIM(A236)),6)="TODAY:"),"T",IF(OR(LEFT(UPPER(TRIM(A236)),2)="B:",LEFT(UPPER(TRIM(A236)),8)="BLOCKER:",LEFT(UPPER(TRIM(A236)),9)="BLOCKERS:",LEFT(UPPER(TRIM(A236)),8)="BLOCKED:"),"B",""))))</f>
      </c>
      <c r="E236" s="17">
        <f>IF(D236="","",TRIM(MID(A236,FIND(":",A236)+1,500)))</f>
      </c>
    </row>
    <row r="237">
      <c r="B237" s="17">
        <f>IF(A237="","",IF(COUNTIF(Roster[Name],IF(RIGHT(IF(LEFT(TRIM(A237),1)="[",TRIM(MID(TRIM(A237),FIND("]",TRIM(A237)&amp;"]")+1,200)),TRIM(A237)),1)=")",TRIM(LEFT(IF(LEFT(TRIM(A237),1)="[",TRIM(MID(TRIM(A237),FIND("]",TRIM(A237)&amp;"]")+1,200)),TRIM(A237)),FIND("(",IF(LEFT(TRIM(A237),1)="[",TRIM(MID(TRIM(A237),FIND("]",TRIM(A237)&amp;"]")+1,200)),TRIM(A237))&amp;"(")-1)),IF(LEFT(TRIM(A237),1)="[",TRIM(MID(TRIM(A237),FIND("]",TRIM(A237)&amp;"]")+1,200)),TRIM(A237))))&gt;0,IF(RIGHT(IF(LEFT(TRIM(A237),1)="[",TRIM(MID(TRIM(A237),FIND("]",TRIM(A237)&amp;"]")+1,200)),TRIM(A237)),1)=")",TRIM(LEFT(IF(LEFT(TRIM(A237),1)="[",TRIM(MID(TRIM(A237),FIND("]",TRIM(A237)&amp;"]")+1,200)),TRIM(A237)),FIND("(",IF(LEFT(TRIM(A237),1)="[",TRIM(MID(TRIM(A237),FIND("]",TRIM(A237)&amp;"]")+1,200)),TRIM(A237))&amp;"(")-1)),IF(LEFT(TRIM(A237),1)="[",TRIM(MID(TRIM(A237),FIND("]",TRIM(A237)&amp;"]")+1,200)),TRIM(A237))),""))</f>
      </c>
      <c r="C237" s="17">
        <f>IF(B237&lt;&gt;"",B237,C236)</f>
      </c>
      <c r="D237" s="17">
        <f>IF(A237="","",IF(OR(LEFT(UPPER(TRIM(A237)),2)="Y:",LEFT(UPPER(TRIM(A237)),10)="YESTERDAY:"),"Y",IF(OR(LEFT(UPPER(TRIM(A237)),2)="T:",LEFT(UPPER(TRIM(A237)),6)="TODAY:"),"T",IF(OR(LEFT(UPPER(TRIM(A237)),2)="B:",LEFT(UPPER(TRIM(A237)),8)="BLOCKER:",LEFT(UPPER(TRIM(A237)),9)="BLOCKERS:",LEFT(UPPER(TRIM(A237)),8)="BLOCKED:"),"B",""))))</f>
      </c>
      <c r="E237" s="17">
        <f>IF(D237="","",TRIM(MID(A237,FIND(":",A237)+1,500)))</f>
      </c>
    </row>
    <row r="238">
      <c r="B238" s="17">
        <f>IF(A238="","",IF(COUNTIF(Roster[Name],IF(RIGHT(IF(LEFT(TRIM(A238),1)="[",TRIM(MID(TRIM(A238),FIND("]",TRIM(A238)&amp;"]")+1,200)),TRIM(A238)),1)=")",TRIM(LEFT(IF(LEFT(TRIM(A238),1)="[",TRIM(MID(TRIM(A238),FIND("]",TRIM(A238)&amp;"]")+1,200)),TRIM(A238)),FIND("(",IF(LEFT(TRIM(A238),1)="[",TRIM(MID(TRIM(A238),FIND("]",TRIM(A238)&amp;"]")+1,200)),TRIM(A238))&amp;"(")-1)),IF(LEFT(TRIM(A238),1)="[",TRIM(MID(TRIM(A238),FIND("]",TRIM(A238)&amp;"]")+1,200)),TRIM(A238))))&gt;0,IF(RIGHT(IF(LEFT(TRIM(A238),1)="[",TRIM(MID(TRIM(A238),FIND("]",TRIM(A238)&amp;"]")+1,200)),TRIM(A238)),1)=")",TRIM(LEFT(IF(LEFT(TRIM(A238),1)="[",TRIM(MID(TRIM(A238),FIND("]",TRIM(A238)&amp;"]")+1,200)),TRIM(A238)),FIND("(",IF(LEFT(TRIM(A238),1)="[",TRIM(MID(TRIM(A238),FIND("]",TRIM(A238)&amp;"]")+1,200)),TRIM(A238))&amp;"(")-1)),IF(LEFT(TRIM(A238),1)="[",TRIM(MID(TRIM(A238),FIND("]",TRIM(A238)&amp;"]")+1,200)),TRIM(A238))),""))</f>
      </c>
      <c r="C238" s="17">
        <f>IF(B238&lt;&gt;"",B238,C237)</f>
      </c>
      <c r="D238" s="17">
        <f>IF(A238="","",IF(OR(LEFT(UPPER(TRIM(A238)),2)="Y:",LEFT(UPPER(TRIM(A238)),10)="YESTERDAY:"),"Y",IF(OR(LEFT(UPPER(TRIM(A238)),2)="T:",LEFT(UPPER(TRIM(A238)),6)="TODAY:"),"T",IF(OR(LEFT(UPPER(TRIM(A238)),2)="B:",LEFT(UPPER(TRIM(A238)),8)="BLOCKER:",LEFT(UPPER(TRIM(A238)),9)="BLOCKERS:",LEFT(UPPER(TRIM(A238)),8)="BLOCKED:"),"B",""))))</f>
      </c>
      <c r="E238" s="17">
        <f>IF(D238="","",TRIM(MID(A238,FIND(":",A238)+1,500)))</f>
      </c>
    </row>
    <row r="239">
      <c r="B239" s="17">
        <f>IF(A239="","",IF(COUNTIF(Roster[Name],IF(RIGHT(IF(LEFT(TRIM(A239),1)="[",TRIM(MID(TRIM(A239),FIND("]",TRIM(A239)&amp;"]")+1,200)),TRIM(A239)),1)=")",TRIM(LEFT(IF(LEFT(TRIM(A239),1)="[",TRIM(MID(TRIM(A239),FIND("]",TRIM(A239)&amp;"]")+1,200)),TRIM(A239)),FIND("(",IF(LEFT(TRIM(A239),1)="[",TRIM(MID(TRIM(A239),FIND("]",TRIM(A239)&amp;"]")+1,200)),TRIM(A239))&amp;"(")-1)),IF(LEFT(TRIM(A239),1)="[",TRIM(MID(TRIM(A239),FIND("]",TRIM(A239)&amp;"]")+1,200)),TRIM(A239))))&gt;0,IF(RIGHT(IF(LEFT(TRIM(A239),1)="[",TRIM(MID(TRIM(A239),FIND("]",TRIM(A239)&amp;"]")+1,200)),TRIM(A239)),1)=")",TRIM(LEFT(IF(LEFT(TRIM(A239),1)="[",TRIM(MID(TRIM(A239),FIND("]",TRIM(A239)&amp;"]")+1,200)),TRIM(A239)),FIND("(",IF(LEFT(TRIM(A239),1)="[",TRIM(MID(TRIM(A239),FIND("]",TRIM(A239)&amp;"]")+1,200)),TRIM(A239))&amp;"(")-1)),IF(LEFT(TRIM(A239),1)="[",TRIM(MID(TRIM(A239),FIND("]",TRIM(A239)&amp;"]")+1,200)),TRIM(A239))),""))</f>
      </c>
      <c r="C239" s="17">
        <f>IF(B239&lt;&gt;"",B239,C238)</f>
      </c>
      <c r="D239" s="17">
        <f>IF(A239="","",IF(OR(LEFT(UPPER(TRIM(A239)),2)="Y:",LEFT(UPPER(TRIM(A239)),10)="YESTERDAY:"),"Y",IF(OR(LEFT(UPPER(TRIM(A239)),2)="T:",LEFT(UPPER(TRIM(A239)),6)="TODAY:"),"T",IF(OR(LEFT(UPPER(TRIM(A239)),2)="B:",LEFT(UPPER(TRIM(A239)),8)="BLOCKER:",LEFT(UPPER(TRIM(A239)),9)="BLOCKERS:",LEFT(UPPER(TRIM(A239)),8)="BLOCKED:"),"B",""))))</f>
      </c>
      <c r="E239" s="17">
        <f>IF(D239="","",TRIM(MID(A239,FIND(":",A239)+1,500)))</f>
      </c>
    </row>
    <row r="240">
      <c r="B240" s="17">
        <f>IF(A240="","",IF(COUNTIF(Roster[Name],IF(RIGHT(IF(LEFT(TRIM(A240),1)="[",TRIM(MID(TRIM(A240),FIND("]",TRIM(A240)&amp;"]")+1,200)),TRIM(A240)),1)=")",TRIM(LEFT(IF(LEFT(TRIM(A240),1)="[",TRIM(MID(TRIM(A240),FIND("]",TRIM(A240)&amp;"]")+1,200)),TRIM(A240)),FIND("(",IF(LEFT(TRIM(A240),1)="[",TRIM(MID(TRIM(A240),FIND("]",TRIM(A240)&amp;"]")+1,200)),TRIM(A240))&amp;"(")-1)),IF(LEFT(TRIM(A240),1)="[",TRIM(MID(TRIM(A240),FIND("]",TRIM(A240)&amp;"]")+1,200)),TRIM(A240))))&gt;0,IF(RIGHT(IF(LEFT(TRIM(A240),1)="[",TRIM(MID(TRIM(A240),FIND("]",TRIM(A240)&amp;"]")+1,200)),TRIM(A240)),1)=")",TRIM(LEFT(IF(LEFT(TRIM(A240),1)="[",TRIM(MID(TRIM(A240),FIND("]",TRIM(A240)&amp;"]")+1,200)),TRIM(A240)),FIND("(",IF(LEFT(TRIM(A240),1)="[",TRIM(MID(TRIM(A240),FIND("]",TRIM(A240)&amp;"]")+1,200)),TRIM(A240))&amp;"(")-1)),IF(LEFT(TRIM(A240),1)="[",TRIM(MID(TRIM(A240),FIND("]",TRIM(A240)&amp;"]")+1,200)),TRIM(A240))),""))</f>
      </c>
      <c r="C240" s="17">
        <f>IF(B240&lt;&gt;"",B240,C239)</f>
      </c>
      <c r="D240" s="17">
        <f>IF(A240="","",IF(OR(LEFT(UPPER(TRIM(A240)),2)="Y:",LEFT(UPPER(TRIM(A240)),10)="YESTERDAY:"),"Y",IF(OR(LEFT(UPPER(TRIM(A240)),2)="T:",LEFT(UPPER(TRIM(A240)),6)="TODAY:"),"T",IF(OR(LEFT(UPPER(TRIM(A240)),2)="B:",LEFT(UPPER(TRIM(A240)),8)="BLOCKER:",LEFT(UPPER(TRIM(A240)),9)="BLOCKERS:",LEFT(UPPER(TRIM(A240)),8)="BLOCKED:"),"B",""))))</f>
      </c>
      <c r="E240" s="17">
        <f>IF(D240="","",TRIM(MID(A240,FIND(":",A240)+1,500)))</f>
      </c>
    </row>
    <row r="241">
      <c r="B241" s="17">
        <f>IF(A241="","",IF(COUNTIF(Roster[Name],IF(RIGHT(IF(LEFT(TRIM(A241),1)="[",TRIM(MID(TRIM(A241),FIND("]",TRIM(A241)&amp;"]")+1,200)),TRIM(A241)),1)=")",TRIM(LEFT(IF(LEFT(TRIM(A241),1)="[",TRIM(MID(TRIM(A241),FIND("]",TRIM(A241)&amp;"]")+1,200)),TRIM(A241)),FIND("(",IF(LEFT(TRIM(A241),1)="[",TRIM(MID(TRIM(A241),FIND("]",TRIM(A241)&amp;"]")+1,200)),TRIM(A241))&amp;"(")-1)),IF(LEFT(TRIM(A241),1)="[",TRIM(MID(TRIM(A241),FIND("]",TRIM(A241)&amp;"]")+1,200)),TRIM(A241))))&gt;0,IF(RIGHT(IF(LEFT(TRIM(A241),1)="[",TRIM(MID(TRIM(A241),FIND("]",TRIM(A241)&amp;"]")+1,200)),TRIM(A241)),1)=")",TRIM(LEFT(IF(LEFT(TRIM(A241),1)="[",TRIM(MID(TRIM(A241),FIND("]",TRIM(A241)&amp;"]")+1,200)),TRIM(A241)),FIND("(",IF(LEFT(TRIM(A241),1)="[",TRIM(MID(TRIM(A241),FIND("]",TRIM(A241)&amp;"]")+1,200)),TRIM(A241))&amp;"(")-1)),IF(LEFT(TRIM(A241),1)="[",TRIM(MID(TRIM(A241),FIND("]",TRIM(A241)&amp;"]")+1,200)),TRIM(A241))),""))</f>
      </c>
      <c r="C241" s="17">
        <f>IF(B241&lt;&gt;"",B241,C240)</f>
      </c>
      <c r="D241" s="17">
        <f>IF(A241="","",IF(OR(LEFT(UPPER(TRIM(A241)),2)="Y:",LEFT(UPPER(TRIM(A241)),10)="YESTERDAY:"),"Y",IF(OR(LEFT(UPPER(TRIM(A241)),2)="T:",LEFT(UPPER(TRIM(A241)),6)="TODAY:"),"T",IF(OR(LEFT(UPPER(TRIM(A241)),2)="B:",LEFT(UPPER(TRIM(A241)),8)="BLOCKER:",LEFT(UPPER(TRIM(A241)),9)="BLOCKERS:",LEFT(UPPER(TRIM(A241)),8)="BLOCKED:"),"B",""))))</f>
      </c>
      <c r="E241" s="17">
        <f>IF(D241="","",TRIM(MID(A241,FIND(":",A241)+1,500)))</f>
      </c>
    </row>
    <row r="242">
      <c r="B242" s="17">
        <f>IF(A242="","",IF(COUNTIF(Roster[Name],IF(RIGHT(IF(LEFT(TRIM(A242),1)="[",TRIM(MID(TRIM(A242),FIND("]",TRIM(A242)&amp;"]")+1,200)),TRIM(A242)),1)=")",TRIM(LEFT(IF(LEFT(TRIM(A242),1)="[",TRIM(MID(TRIM(A242),FIND("]",TRIM(A242)&amp;"]")+1,200)),TRIM(A242)),FIND("(",IF(LEFT(TRIM(A242),1)="[",TRIM(MID(TRIM(A242),FIND("]",TRIM(A242)&amp;"]")+1,200)),TRIM(A242))&amp;"(")-1)),IF(LEFT(TRIM(A242),1)="[",TRIM(MID(TRIM(A242),FIND("]",TRIM(A242)&amp;"]")+1,200)),TRIM(A242))))&gt;0,IF(RIGHT(IF(LEFT(TRIM(A242),1)="[",TRIM(MID(TRIM(A242),FIND("]",TRIM(A242)&amp;"]")+1,200)),TRIM(A242)),1)=")",TRIM(LEFT(IF(LEFT(TRIM(A242),1)="[",TRIM(MID(TRIM(A242),FIND("]",TRIM(A242)&amp;"]")+1,200)),TRIM(A242)),FIND("(",IF(LEFT(TRIM(A242),1)="[",TRIM(MID(TRIM(A242),FIND("]",TRIM(A242)&amp;"]")+1,200)),TRIM(A242))&amp;"(")-1)),IF(LEFT(TRIM(A242),1)="[",TRIM(MID(TRIM(A242),FIND("]",TRIM(A242)&amp;"]")+1,200)),TRIM(A242))),""))</f>
      </c>
      <c r="C242" s="17">
        <f>IF(B242&lt;&gt;"",B242,C241)</f>
      </c>
      <c r="D242" s="17">
        <f>IF(A242="","",IF(OR(LEFT(UPPER(TRIM(A242)),2)="Y:",LEFT(UPPER(TRIM(A242)),10)="YESTERDAY:"),"Y",IF(OR(LEFT(UPPER(TRIM(A242)),2)="T:",LEFT(UPPER(TRIM(A242)),6)="TODAY:"),"T",IF(OR(LEFT(UPPER(TRIM(A242)),2)="B:",LEFT(UPPER(TRIM(A242)),8)="BLOCKER:",LEFT(UPPER(TRIM(A242)),9)="BLOCKERS:",LEFT(UPPER(TRIM(A242)),8)="BLOCKED:"),"B",""))))</f>
      </c>
      <c r="E242" s="17">
        <f>IF(D242="","",TRIM(MID(A242,FIND(":",A242)+1,500)))</f>
      </c>
    </row>
    <row r="243">
      <c r="B243" s="17">
        <f>IF(A243="","",IF(COUNTIF(Roster[Name],IF(RIGHT(IF(LEFT(TRIM(A243),1)="[",TRIM(MID(TRIM(A243),FIND("]",TRIM(A243)&amp;"]")+1,200)),TRIM(A243)),1)=")",TRIM(LEFT(IF(LEFT(TRIM(A243),1)="[",TRIM(MID(TRIM(A243),FIND("]",TRIM(A243)&amp;"]")+1,200)),TRIM(A243)),FIND("(",IF(LEFT(TRIM(A243),1)="[",TRIM(MID(TRIM(A243),FIND("]",TRIM(A243)&amp;"]")+1,200)),TRIM(A243))&amp;"(")-1)),IF(LEFT(TRIM(A243),1)="[",TRIM(MID(TRIM(A243),FIND("]",TRIM(A243)&amp;"]")+1,200)),TRIM(A243))))&gt;0,IF(RIGHT(IF(LEFT(TRIM(A243),1)="[",TRIM(MID(TRIM(A243),FIND("]",TRIM(A243)&amp;"]")+1,200)),TRIM(A243)),1)=")",TRIM(LEFT(IF(LEFT(TRIM(A243),1)="[",TRIM(MID(TRIM(A243),FIND("]",TRIM(A243)&amp;"]")+1,200)),TRIM(A243)),FIND("(",IF(LEFT(TRIM(A243),1)="[",TRIM(MID(TRIM(A243),FIND("]",TRIM(A243)&amp;"]")+1,200)),TRIM(A243))&amp;"(")-1)),IF(LEFT(TRIM(A243),1)="[",TRIM(MID(TRIM(A243),FIND("]",TRIM(A243)&amp;"]")+1,200)),TRIM(A243))),""))</f>
      </c>
      <c r="C243" s="17">
        <f>IF(B243&lt;&gt;"",B243,C242)</f>
      </c>
      <c r="D243" s="17">
        <f>IF(A243="","",IF(OR(LEFT(UPPER(TRIM(A243)),2)="Y:",LEFT(UPPER(TRIM(A243)),10)="YESTERDAY:"),"Y",IF(OR(LEFT(UPPER(TRIM(A243)),2)="T:",LEFT(UPPER(TRIM(A243)),6)="TODAY:"),"T",IF(OR(LEFT(UPPER(TRIM(A243)),2)="B:",LEFT(UPPER(TRIM(A243)),8)="BLOCKER:",LEFT(UPPER(TRIM(A243)),9)="BLOCKERS:",LEFT(UPPER(TRIM(A243)),8)="BLOCKED:"),"B",""))))</f>
      </c>
      <c r="E243" s="17">
        <f>IF(D243="","",TRIM(MID(A243,FIND(":",A243)+1,500)))</f>
      </c>
    </row>
    <row r="244">
      <c r="B244" s="17">
        <f>IF(A244="","",IF(COUNTIF(Roster[Name],IF(RIGHT(IF(LEFT(TRIM(A244),1)="[",TRIM(MID(TRIM(A244),FIND("]",TRIM(A244)&amp;"]")+1,200)),TRIM(A244)),1)=")",TRIM(LEFT(IF(LEFT(TRIM(A244),1)="[",TRIM(MID(TRIM(A244),FIND("]",TRIM(A244)&amp;"]")+1,200)),TRIM(A244)),FIND("(",IF(LEFT(TRIM(A244),1)="[",TRIM(MID(TRIM(A244),FIND("]",TRIM(A244)&amp;"]")+1,200)),TRIM(A244))&amp;"(")-1)),IF(LEFT(TRIM(A244),1)="[",TRIM(MID(TRIM(A244),FIND("]",TRIM(A244)&amp;"]")+1,200)),TRIM(A244))))&gt;0,IF(RIGHT(IF(LEFT(TRIM(A244),1)="[",TRIM(MID(TRIM(A244),FIND("]",TRIM(A244)&amp;"]")+1,200)),TRIM(A244)),1)=")",TRIM(LEFT(IF(LEFT(TRIM(A244),1)="[",TRIM(MID(TRIM(A244),FIND("]",TRIM(A244)&amp;"]")+1,200)),TRIM(A244)),FIND("(",IF(LEFT(TRIM(A244),1)="[",TRIM(MID(TRIM(A244),FIND("]",TRIM(A244)&amp;"]")+1,200)),TRIM(A244))&amp;"(")-1)),IF(LEFT(TRIM(A244),1)="[",TRIM(MID(TRIM(A244),FIND("]",TRIM(A244)&amp;"]")+1,200)),TRIM(A244))),""))</f>
      </c>
      <c r="C244" s="17">
        <f>IF(B244&lt;&gt;"",B244,C243)</f>
      </c>
      <c r="D244" s="17">
        <f>IF(A244="","",IF(OR(LEFT(UPPER(TRIM(A244)),2)="Y:",LEFT(UPPER(TRIM(A244)),10)="YESTERDAY:"),"Y",IF(OR(LEFT(UPPER(TRIM(A244)),2)="T:",LEFT(UPPER(TRIM(A244)),6)="TODAY:"),"T",IF(OR(LEFT(UPPER(TRIM(A244)),2)="B:",LEFT(UPPER(TRIM(A244)),8)="BLOCKER:",LEFT(UPPER(TRIM(A244)),9)="BLOCKERS:",LEFT(UPPER(TRIM(A244)),8)="BLOCKED:"),"B",""))))</f>
      </c>
      <c r="E244" s="17">
        <f>IF(D244="","",TRIM(MID(A244,FIND(":",A244)+1,500)))</f>
      </c>
    </row>
    <row r="245">
      <c r="B245" s="17">
        <f>IF(A245="","",IF(COUNTIF(Roster[Name],IF(RIGHT(IF(LEFT(TRIM(A245),1)="[",TRIM(MID(TRIM(A245),FIND("]",TRIM(A245)&amp;"]")+1,200)),TRIM(A245)),1)=")",TRIM(LEFT(IF(LEFT(TRIM(A245),1)="[",TRIM(MID(TRIM(A245),FIND("]",TRIM(A245)&amp;"]")+1,200)),TRIM(A245)),FIND("(",IF(LEFT(TRIM(A245),1)="[",TRIM(MID(TRIM(A245),FIND("]",TRIM(A245)&amp;"]")+1,200)),TRIM(A245))&amp;"(")-1)),IF(LEFT(TRIM(A245),1)="[",TRIM(MID(TRIM(A245),FIND("]",TRIM(A245)&amp;"]")+1,200)),TRIM(A245))))&gt;0,IF(RIGHT(IF(LEFT(TRIM(A245),1)="[",TRIM(MID(TRIM(A245),FIND("]",TRIM(A245)&amp;"]")+1,200)),TRIM(A245)),1)=")",TRIM(LEFT(IF(LEFT(TRIM(A245),1)="[",TRIM(MID(TRIM(A245),FIND("]",TRIM(A245)&amp;"]")+1,200)),TRIM(A245)),FIND("(",IF(LEFT(TRIM(A245),1)="[",TRIM(MID(TRIM(A245),FIND("]",TRIM(A245)&amp;"]")+1,200)),TRIM(A245))&amp;"(")-1)),IF(LEFT(TRIM(A245),1)="[",TRIM(MID(TRIM(A245),FIND("]",TRIM(A245)&amp;"]")+1,200)),TRIM(A245))),""))</f>
      </c>
      <c r="C245" s="17">
        <f>IF(B245&lt;&gt;"",B245,C244)</f>
      </c>
      <c r="D245" s="17">
        <f>IF(A245="","",IF(OR(LEFT(UPPER(TRIM(A245)),2)="Y:",LEFT(UPPER(TRIM(A245)),10)="YESTERDAY:"),"Y",IF(OR(LEFT(UPPER(TRIM(A245)),2)="T:",LEFT(UPPER(TRIM(A245)),6)="TODAY:"),"T",IF(OR(LEFT(UPPER(TRIM(A245)),2)="B:",LEFT(UPPER(TRIM(A245)),8)="BLOCKER:",LEFT(UPPER(TRIM(A245)),9)="BLOCKERS:",LEFT(UPPER(TRIM(A245)),8)="BLOCKED:"),"B",""))))</f>
      </c>
      <c r="E245" s="17">
        <f>IF(D245="","",TRIM(MID(A245,FIND(":",A245)+1,500)))</f>
      </c>
    </row>
    <row r="246">
      <c r="B246" s="17">
        <f>IF(A246="","",IF(COUNTIF(Roster[Name],IF(RIGHT(IF(LEFT(TRIM(A246),1)="[",TRIM(MID(TRIM(A246),FIND("]",TRIM(A246)&amp;"]")+1,200)),TRIM(A246)),1)=")",TRIM(LEFT(IF(LEFT(TRIM(A246),1)="[",TRIM(MID(TRIM(A246),FIND("]",TRIM(A246)&amp;"]")+1,200)),TRIM(A246)),FIND("(",IF(LEFT(TRIM(A246),1)="[",TRIM(MID(TRIM(A246),FIND("]",TRIM(A246)&amp;"]")+1,200)),TRIM(A246))&amp;"(")-1)),IF(LEFT(TRIM(A246),1)="[",TRIM(MID(TRIM(A246),FIND("]",TRIM(A246)&amp;"]")+1,200)),TRIM(A246))))&gt;0,IF(RIGHT(IF(LEFT(TRIM(A246),1)="[",TRIM(MID(TRIM(A246),FIND("]",TRIM(A246)&amp;"]")+1,200)),TRIM(A246)),1)=")",TRIM(LEFT(IF(LEFT(TRIM(A246),1)="[",TRIM(MID(TRIM(A246),FIND("]",TRIM(A246)&amp;"]")+1,200)),TRIM(A246)),FIND("(",IF(LEFT(TRIM(A246),1)="[",TRIM(MID(TRIM(A246),FIND("]",TRIM(A246)&amp;"]")+1,200)),TRIM(A246))&amp;"(")-1)),IF(LEFT(TRIM(A246),1)="[",TRIM(MID(TRIM(A246),FIND("]",TRIM(A246)&amp;"]")+1,200)),TRIM(A246))),""))</f>
      </c>
      <c r="C246" s="17">
        <f>IF(B246&lt;&gt;"",B246,C245)</f>
      </c>
      <c r="D246" s="17">
        <f>IF(A246="","",IF(OR(LEFT(UPPER(TRIM(A246)),2)="Y:",LEFT(UPPER(TRIM(A246)),10)="YESTERDAY:"),"Y",IF(OR(LEFT(UPPER(TRIM(A246)),2)="T:",LEFT(UPPER(TRIM(A246)),6)="TODAY:"),"T",IF(OR(LEFT(UPPER(TRIM(A246)),2)="B:",LEFT(UPPER(TRIM(A246)),8)="BLOCKER:",LEFT(UPPER(TRIM(A246)),9)="BLOCKERS:",LEFT(UPPER(TRIM(A246)),8)="BLOCKED:"),"B",""))))</f>
      </c>
      <c r="E246" s="17">
        <f>IF(D246="","",TRIM(MID(A246,FIND(":",A246)+1,500)))</f>
      </c>
    </row>
    <row r="247">
      <c r="B247" s="17">
        <f>IF(A247="","",IF(COUNTIF(Roster[Name],IF(RIGHT(IF(LEFT(TRIM(A247),1)="[",TRIM(MID(TRIM(A247),FIND("]",TRIM(A247)&amp;"]")+1,200)),TRIM(A247)),1)=")",TRIM(LEFT(IF(LEFT(TRIM(A247),1)="[",TRIM(MID(TRIM(A247),FIND("]",TRIM(A247)&amp;"]")+1,200)),TRIM(A247)),FIND("(",IF(LEFT(TRIM(A247),1)="[",TRIM(MID(TRIM(A247),FIND("]",TRIM(A247)&amp;"]")+1,200)),TRIM(A247))&amp;"(")-1)),IF(LEFT(TRIM(A247),1)="[",TRIM(MID(TRIM(A247),FIND("]",TRIM(A247)&amp;"]")+1,200)),TRIM(A247))))&gt;0,IF(RIGHT(IF(LEFT(TRIM(A247),1)="[",TRIM(MID(TRIM(A247),FIND("]",TRIM(A247)&amp;"]")+1,200)),TRIM(A247)),1)=")",TRIM(LEFT(IF(LEFT(TRIM(A247),1)="[",TRIM(MID(TRIM(A247),FIND("]",TRIM(A247)&amp;"]")+1,200)),TRIM(A247)),FIND("(",IF(LEFT(TRIM(A247),1)="[",TRIM(MID(TRIM(A247),FIND("]",TRIM(A247)&amp;"]")+1,200)),TRIM(A247))&amp;"(")-1)),IF(LEFT(TRIM(A247),1)="[",TRIM(MID(TRIM(A247),FIND("]",TRIM(A247)&amp;"]")+1,200)),TRIM(A247))),""))</f>
      </c>
      <c r="C247" s="17">
        <f>IF(B247&lt;&gt;"",B247,C246)</f>
      </c>
      <c r="D247" s="17">
        <f>IF(A247="","",IF(OR(LEFT(UPPER(TRIM(A247)),2)="Y:",LEFT(UPPER(TRIM(A247)),10)="YESTERDAY:"),"Y",IF(OR(LEFT(UPPER(TRIM(A247)),2)="T:",LEFT(UPPER(TRIM(A247)),6)="TODAY:"),"T",IF(OR(LEFT(UPPER(TRIM(A247)),2)="B:",LEFT(UPPER(TRIM(A247)),8)="BLOCKER:",LEFT(UPPER(TRIM(A247)),9)="BLOCKERS:",LEFT(UPPER(TRIM(A247)),8)="BLOCKED:"),"B",""))))</f>
      </c>
      <c r="E247" s="17">
        <f>IF(D247="","",TRIM(MID(A247,FIND(":",A247)+1,500)))</f>
      </c>
    </row>
    <row r="248">
      <c r="B248" s="17">
        <f>IF(A248="","",IF(COUNTIF(Roster[Name],IF(RIGHT(IF(LEFT(TRIM(A248),1)="[",TRIM(MID(TRIM(A248),FIND("]",TRIM(A248)&amp;"]")+1,200)),TRIM(A248)),1)=")",TRIM(LEFT(IF(LEFT(TRIM(A248),1)="[",TRIM(MID(TRIM(A248),FIND("]",TRIM(A248)&amp;"]")+1,200)),TRIM(A248)),FIND("(",IF(LEFT(TRIM(A248),1)="[",TRIM(MID(TRIM(A248),FIND("]",TRIM(A248)&amp;"]")+1,200)),TRIM(A248))&amp;"(")-1)),IF(LEFT(TRIM(A248),1)="[",TRIM(MID(TRIM(A248),FIND("]",TRIM(A248)&amp;"]")+1,200)),TRIM(A248))))&gt;0,IF(RIGHT(IF(LEFT(TRIM(A248),1)="[",TRIM(MID(TRIM(A248),FIND("]",TRIM(A248)&amp;"]")+1,200)),TRIM(A248)),1)=")",TRIM(LEFT(IF(LEFT(TRIM(A248),1)="[",TRIM(MID(TRIM(A248),FIND("]",TRIM(A248)&amp;"]")+1,200)),TRIM(A248)),FIND("(",IF(LEFT(TRIM(A248),1)="[",TRIM(MID(TRIM(A248),FIND("]",TRIM(A248)&amp;"]")+1,200)),TRIM(A248))&amp;"(")-1)),IF(LEFT(TRIM(A248),1)="[",TRIM(MID(TRIM(A248),FIND("]",TRIM(A248)&amp;"]")+1,200)),TRIM(A248))),""))</f>
      </c>
      <c r="C248" s="17">
        <f>IF(B248&lt;&gt;"",B248,C247)</f>
      </c>
      <c r="D248" s="17">
        <f>IF(A248="","",IF(OR(LEFT(UPPER(TRIM(A248)),2)="Y:",LEFT(UPPER(TRIM(A248)),10)="YESTERDAY:"),"Y",IF(OR(LEFT(UPPER(TRIM(A248)),2)="T:",LEFT(UPPER(TRIM(A248)),6)="TODAY:"),"T",IF(OR(LEFT(UPPER(TRIM(A248)),2)="B:",LEFT(UPPER(TRIM(A248)),8)="BLOCKER:",LEFT(UPPER(TRIM(A248)),9)="BLOCKERS:",LEFT(UPPER(TRIM(A248)),8)="BLOCKED:"),"B",""))))</f>
      </c>
      <c r="E248" s="17">
        <f>IF(D248="","",TRIM(MID(A248,FIND(":",A248)+1,500)))</f>
      </c>
    </row>
    <row r="249">
      <c r="B249" s="17">
        <f>IF(A249="","",IF(COUNTIF(Roster[Name],IF(RIGHT(IF(LEFT(TRIM(A249),1)="[",TRIM(MID(TRIM(A249),FIND("]",TRIM(A249)&amp;"]")+1,200)),TRIM(A249)),1)=")",TRIM(LEFT(IF(LEFT(TRIM(A249),1)="[",TRIM(MID(TRIM(A249),FIND("]",TRIM(A249)&amp;"]")+1,200)),TRIM(A249)),FIND("(",IF(LEFT(TRIM(A249),1)="[",TRIM(MID(TRIM(A249),FIND("]",TRIM(A249)&amp;"]")+1,200)),TRIM(A249))&amp;"(")-1)),IF(LEFT(TRIM(A249),1)="[",TRIM(MID(TRIM(A249),FIND("]",TRIM(A249)&amp;"]")+1,200)),TRIM(A249))))&gt;0,IF(RIGHT(IF(LEFT(TRIM(A249),1)="[",TRIM(MID(TRIM(A249),FIND("]",TRIM(A249)&amp;"]")+1,200)),TRIM(A249)),1)=")",TRIM(LEFT(IF(LEFT(TRIM(A249),1)="[",TRIM(MID(TRIM(A249),FIND("]",TRIM(A249)&amp;"]")+1,200)),TRIM(A249)),FIND("(",IF(LEFT(TRIM(A249),1)="[",TRIM(MID(TRIM(A249),FIND("]",TRIM(A249)&amp;"]")+1,200)),TRIM(A249))&amp;"(")-1)),IF(LEFT(TRIM(A249),1)="[",TRIM(MID(TRIM(A249),FIND("]",TRIM(A249)&amp;"]")+1,200)),TRIM(A249))),""))</f>
      </c>
      <c r="C249" s="17">
        <f>IF(B249&lt;&gt;"",B249,C248)</f>
      </c>
      <c r="D249" s="17">
        <f>IF(A249="","",IF(OR(LEFT(UPPER(TRIM(A249)),2)="Y:",LEFT(UPPER(TRIM(A249)),10)="YESTERDAY:"),"Y",IF(OR(LEFT(UPPER(TRIM(A249)),2)="T:",LEFT(UPPER(TRIM(A249)),6)="TODAY:"),"T",IF(OR(LEFT(UPPER(TRIM(A249)),2)="B:",LEFT(UPPER(TRIM(A249)),8)="BLOCKER:",LEFT(UPPER(TRIM(A249)),9)="BLOCKERS:",LEFT(UPPER(TRIM(A249)),8)="BLOCKED:"),"B",""))))</f>
      </c>
      <c r="E249" s="17">
        <f>IF(D249="","",TRIM(MID(A249,FIND(":",A249)+1,500)))</f>
      </c>
    </row>
    <row r="250">
      <c r="B250" s="17">
        <f>IF(A250="","",IF(COUNTIF(Roster[Name],IF(RIGHT(IF(LEFT(TRIM(A250),1)="[",TRIM(MID(TRIM(A250),FIND("]",TRIM(A250)&amp;"]")+1,200)),TRIM(A250)),1)=")",TRIM(LEFT(IF(LEFT(TRIM(A250),1)="[",TRIM(MID(TRIM(A250),FIND("]",TRIM(A250)&amp;"]")+1,200)),TRIM(A250)),FIND("(",IF(LEFT(TRIM(A250),1)="[",TRIM(MID(TRIM(A250),FIND("]",TRIM(A250)&amp;"]")+1,200)),TRIM(A250))&amp;"(")-1)),IF(LEFT(TRIM(A250),1)="[",TRIM(MID(TRIM(A250),FIND("]",TRIM(A250)&amp;"]")+1,200)),TRIM(A250))))&gt;0,IF(RIGHT(IF(LEFT(TRIM(A250),1)="[",TRIM(MID(TRIM(A250),FIND("]",TRIM(A250)&amp;"]")+1,200)),TRIM(A250)),1)=")",TRIM(LEFT(IF(LEFT(TRIM(A250),1)="[",TRIM(MID(TRIM(A250),FIND("]",TRIM(A250)&amp;"]")+1,200)),TRIM(A250)),FIND("(",IF(LEFT(TRIM(A250),1)="[",TRIM(MID(TRIM(A250),FIND("]",TRIM(A250)&amp;"]")+1,200)),TRIM(A250))&amp;"(")-1)),IF(LEFT(TRIM(A250),1)="[",TRIM(MID(TRIM(A250),FIND("]",TRIM(A250)&amp;"]")+1,200)),TRIM(A250))),""))</f>
      </c>
      <c r="C250" s="17">
        <f>IF(B250&lt;&gt;"",B250,C249)</f>
      </c>
      <c r="D250" s="17">
        <f>IF(A250="","",IF(OR(LEFT(UPPER(TRIM(A250)),2)="Y:",LEFT(UPPER(TRIM(A250)),10)="YESTERDAY:"),"Y",IF(OR(LEFT(UPPER(TRIM(A250)),2)="T:",LEFT(UPPER(TRIM(A250)),6)="TODAY:"),"T",IF(OR(LEFT(UPPER(TRIM(A250)),2)="B:",LEFT(UPPER(TRIM(A250)),8)="BLOCKER:",LEFT(UPPER(TRIM(A250)),9)="BLOCKERS:",LEFT(UPPER(TRIM(A250)),8)="BLOCKED:"),"B",""))))</f>
      </c>
      <c r="E250" s="17">
        <f>IF(D250="","",TRIM(MID(A250,FIND(":",A250)+1,500)))</f>
      </c>
    </row>
    <row r="251">
      <c r="B251" s="17">
        <f>IF(A251="","",IF(COUNTIF(Roster[Name],IF(RIGHT(IF(LEFT(TRIM(A251),1)="[",TRIM(MID(TRIM(A251),FIND("]",TRIM(A251)&amp;"]")+1,200)),TRIM(A251)),1)=")",TRIM(LEFT(IF(LEFT(TRIM(A251),1)="[",TRIM(MID(TRIM(A251),FIND("]",TRIM(A251)&amp;"]")+1,200)),TRIM(A251)),FIND("(",IF(LEFT(TRIM(A251),1)="[",TRIM(MID(TRIM(A251),FIND("]",TRIM(A251)&amp;"]")+1,200)),TRIM(A251))&amp;"(")-1)),IF(LEFT(TRIM(A251),1)="[",TRIM(MID(TRIM(A251),FIND("]",TRIM(A251)&amp;"]")+1,200)),TRIM(A251))))&gt;0,IF(RIGHT(IF(LEFT(TRIM(A251),1)="[",TRIM(MID(TRIM(A251),FIND("]",TRIM(A251)&amp;"]")+1,200)),TRIM(A251)),1)=")",TRIM(LEFT(IF(LEFT(TRIM(A251),1)="[",TRIM(MID(TRIM(A251),FIND("]",TRIM(A251)&amp;"]")+1,200)),TRIM(A251)),FIND("(",IF(LEFT(TRIM(A251),1)="[",TRIM(MID(TRIM(A251),FIND("]",TRIM(A251)&amp;"]")+1,200)),TRIM(A251))&amp;"(")-1)),IF(LEFT(TRIM(A251),1)="[",TRIM(MID(TRIM(A251),FIND("]",TRIM(A251)&amp;"]")+1,200)),TRIM(A251))),""))</f>
      </c>
      <c r="C251" s="17">
        <f>IF(B251&lt;&gt;"",B251,C250)</f>
      </c>
      <c r="D251" s="17">
        <f>IF(A251="","",IF(OR(LEFT(UPPER(TRIM(A251)),2)="Y:",LEFT(UPPER(TRIM(A251)),10)="YESTERDAY:"),"Y",IF(OR(LEFT(UPPER(TRIM(A251)),2)="T:",LEFT(UPPER(TRIM(A251)),6)="TODAY:"),"T",IF(OR(LEFT(UPPER(TRIM(A251)),2)="B:",LEFT(UPPER(TRIM(A251)),8)="BLOCKER:",LEFT(UPPER(TRIM(A251)),9)="BLOCKERS:",LEFT(UPPER(TRIM(A251)),8)="BLOCKED:"),"B",""))))</f>
      </c>
      <c r="E251" s="17">
        <f>IF(D251="","",TRIM(MID(A251,FIND(":",A251)+1,500)))</f>
      </c>
    </row>
    <row r="252">
      <c r="B252" s="17">
        <f>IF(A252="","",IF(COUNTIF(Roster[Name],IF(RIGHT(IF(LEFT(TRIM(A252),1)="[",TRIM(MID(TRIM(A252),FIND("]",TRIM(A252)&amp;"]")+1,200)),TRIM(A252)),1)=")",TRIM(LEFT(IF(LEFT(TRIM(A252),1)="[",TRIM(MID(TRIM(A252),FIND("]",TRIM(A252)&amp;"]")+1,200)),TRIM(A252)),FIND("(",IF(LEFT(TRIM(A252),1)="[",TRIM(MID(TRIM(A252),FIND("]",TRIM(A252)&amp;"]")+1,200)),TRIM(A252))&amp;"(")-1)),IF(LEFT(TRIM(A252),1)="[",TRIM(MID(TRIM(A252),FIND("]",TRIM(A252)&amp;"]")+1,200)),TRIM(A252))))&gt;0,IF(RIGHT(IF(LEFT(TRIM(A252),1)="[",TRIM(MID(TRIM(A252),FIND("]",TRIM(A252)&amp;"]")+1,200)),TRIM(A252)),1)=")",TRIM(LEFT(IF(LEFT(TRIM(A252),1)="[",TRIM(MID(TRIM(A252),FIND("]",TRIM(A252)&amp;"]")+1,200)),TRIM(A252)),FIND("(",IF(LEFT(TRIM(A252),1)="[",TRIM(MID(TRIM(A252),FIND("]",TRIM(A252)&amp;"]")+1,200)),TRIM(A252))&amp;"(")-1)),IF(LEFT(TRIM(A252),1)="[",TRIM(MID(TRIM(A252),FIND("]",TRIM(A252)&amp;"]")+1,200)),TRIM(A252))),""))</f>
      </c>
      <c r="C252" s="17">
        <f>IF(B252&lt;&gt;"",B252,C251)</f>
      </c>
      <c r="D252" s="17">
        <f>IF(A252="","",IF(OR(LEFT(UPPER(TRIM(A252)),2)="Y:",LEFT(UPPER(TRIM(A252)),10)="YESTERDAY:"),"Y",IF(OR(LEFT(UPPER(TRIM(A252)),2)="T:",LEFT(UPPER(TRIM(A252)),6)="TODAY:"),"T",IF(OR(LEFT(UPPER(TRIM(A252)),2)="B:",LEFT(UPPER(TRIM(A252)),8)="BLOCKER:",LEFT(UPPER(TRIM(A252)),9)="BLOCKERS:",LEFT(UPPER(TRIM(A252)),8)="BLOCKED:"),"B",""))))</f>
      </c>
      <c r="E252" s="17">
        <f>IF(D252="","",TRIM(MID(A252,FIND(":",A252)+1,500)))</f>
      </c>
    </row>
    <row r="253">
      <c r="B253" s="17">
        <f>IF(A253="","",IF(COUNTIF(Roster[Name],IF(RIGHT(IF(LEFT(TRIM(A253),1)="[",TRIM(MID(TRIM(A253),FIND("]",TRIM(A253)&amp;"]")+1,200)),TRIM(A253)),1)=")",TRIM(LEFT(IF(LEFT(TRIM(A253),1)="[",TRIM(MID(TRIM(A253),FIND("]",TRIM(A253)&amp;"]")+1,200)),TRIM(A253)),FIND("(",IF(LEFT(TRIM(A253),1)="[",TRIM(MID(TRIM(A253),FIND("]",TRIM(A253)&amp;"]")+1,200)),TRIM(A253))&amp;"(")-1)),IF(LEFT(TRIM(A253),1)="[",TRIM(MID(TRIM(A253),FIND("]",TRIM(A253)&amp;"]")+1,200)),TRIM(A253))))&gt;0,IF(RIGHT(IF(LEFT(TRIM(A253),1)="[",TRIM(MID(TRIM(A253),FIND("]",TRIM(A253)&amp;"]")+1,200)),TRIM(A253)),1)=")",TRIM(LEFT(IF(LEFT(TRIM(A253),1)="[",TRIM(MID(TRIM(A253),FIND("]",TRIM(A253)&amp;"]")+1,200)),TRIM(A253)),FIND("(",IF(LEFT(TRIM(A253),1)="[",TRIM(MID(TRIM(A253),FIND("]",TRIM(A253)&amp;"]")+1,200)),TRIM(A253))&amp;"(")-1)),IF(LEFT(TRIM(A253),1)="[",TRIM(MID(TRIM(A253),FIND("]",TRIM(A253)&amp;"]")+1,200)),TRIM(A253))),""))</f>
      </c>
      <c r="C253" s="17">
        <f>IF(B253&lt;&gt;"",B253,C252)</f>
      </c>
      <c r="D253" s="17">
        <f>IF(A253="","",IF(OR(LEFT(UPPER(TRIM(A253)),2)="Y:",LEFT(UPPER(TRIM(A253)),10)="YESTERDAY:"),"Y",IF(OR(LEFT(UPPER(TRIM(A253)),2)="T:",LEFT(UPPER(TRIM(A253)),6)="TODAY:"),"T",IF(OR(LEFT(UPPER(TRIM(A253)),2)="B:",LEFT(UPPER(TRIM(A253)),8)="BLOCKER:",LEFT(UPPER(TRIM(A253)),9)="BLOCKERS:",LEFT(UPPER(TRIM(A253)),8)="BLOCKED:"),"B",""))))</f>
      </c>
      <c r="E253" s="17">
        <f>IF(D253="","",TRIM(MID(A253,FIND(":",A253)+1,500)))</f>
      </c>
    </row>
    <row r="254">
      <c r="B254" s="17">
        <f>IF(A254="","",IF(COUNTIF(Roster[Name],IF(RIGHT(IF(LEFT(TRIM(A254),1)="[",TRIM(MID(TRIM(A254),FIND("]",TRIM(A254)&amp;"]")+1,200)),TRIM(A254)),1)=")",TRIM(LEFT(IF(LEFT(TRIM(A254),1)="[",TRIM(MID(TRIM(A254),FIND("]",TRIM(A254)&amp;"]")+1,200)),TRIM(A254)),FIND("(",IF(LEFT(TRIM(A254),1)="[",TRIM(MID(TRIM(A254),FIND("]",TRIM(A254)&amp;"]")+1,200)),TRIM(A254))&amp;"(")-1)),IF(LEFT(TRIM(A254),1)="[",TRIM(MID(TRIM(A254),FIND("]",TRIM(A254)&amp;"]")+1,200)),TRIM(A254))))&gt;0,IF(RIGHT(IF(LEFT(TRIM(A254),1)="[",TRIM(MID(TRIM(A254),FIND("]",TRIM(A254)&amp;"]")+1,200)),TRIM(A254)),1)=")",TRIM(LEFT(IF(LEFT(TRIM(A254),1)="[",TRIM(MID(TRIM(A254),FIND("]",TRIM(A254)&amp;"]")+1,200)),TRIM(A254)),FIND("(",IF(LEFT(TRIM(A254),1)="[",TRIM(MID(TRIM(A254),FIND("]",TRIM(A254)&amp;"]")+1,200)),TRIM(A254))&amp;"(")-1)),IF(LEFT(TRIM(A254),1)="[",TRIM(MID(TRIM(A254),FIND("]",TRIM(A254)&amp;"]")+1,200)),TRIM(A254))),""))</f>
      </c>
      <c r="C254" s="17">
        <f>IF(B254&lt;&gt;"",B254,C253)</f>
      </c>
      <c r="D254" s="17">
        <f>IF(A254="","",IF(OR(LEFT(UPPER(TRIM(A254)),2)="Y:",LEFT(UPPER(TRIM(A254)),10)="YESTERDAY:"),"Y",IF(OR(LEFT(UPPER(TRIM(A254)),2)="T:",LEFT(UPPER(TRIM(A254)),6)="TODAY:"),"T",IF(OR(LEFT(UPPER(TRIM(A254)),2)="B:",LEFT(UPPER(TRIM(A254)),8)="BLOCKER:",LEFT(UPPER(TRIM(A254)),9)="BLOCKERS:",LEFT(UPPER(TRIM(A254)),8)="BLOCKED:"),"B",""))))</f>
      </c>
      <c r="E254" s="17">
        <f>IF(D254="","",TRIM(MID(A254,FIND(":",A254)+1,500)))</f>
      </c>
    </row>
    <row r="255">
      <c r="B255" s="17">
        <f>IF(A255="","",IF(COUNTIF(Roster[Name],IF(RIGHT(IF(LEFT(TRIM(A255),1)="[",TRIM(MID(TRIM(A255),FIND("]",TRIM(A255)&amp;"]")+1,200)),TRIM(A255)),1)=")",TRIM(LEFT(IF(LEFT(TRIM(A255),1)="[",TRIM(MID(TRIM(A255),FIND("]",TRIM(A255)&amp;"]")+1,200)),TRIM(A255)),FIND("(",IF(LEFT(TRIM(A255),1)="[",TRIM(MID(TRIM(A255),FIND("]",TRIM(A255)&amp;"]")+1,200)),TRIM(A255))&amp;"(")-1)),IF(LEFT(TRIM(A255),1)="[",TRIM(MID(TRIM(A255),FIND("]",TRIM(A255)&amp;"]")+1,200)),TRIM(A255))))&gt;0,IF(RIGHT(IF(LEFT(TRIM(A255),1)="[",TRIM(MID(TRIM(A255),FIND("]",TRIM(A255)&amp;"]")+1,200)),TRIM(A255)),1)=")",TRIM(LEFT(IF(LEFT(TRIM(A255),1)="[",TRIM(MID(TRIM(A255),FIND("]",TRIM(A255)&amp;"]")+1,200)),TRIM(A255)),FIND("(",IF(LEFT(TRIM(A255),1)="[",TRIM(MID(TRIM(A255),FIND("]",TRIM(A255)&amp;"]")+1,200)),TRIM(A255))&amp;"(")-1)),IF(LEFT(TRIM(A255),1)="[",TRIM(MID(TRIM(A255),FIND("]",TRIM(A255)&amp;"]")+1,200)),TRIM(A255))),""))</f>
      </c>
      <c r="C255" s="17">
        <f>IF(B255&lt;&gt;"",B255,C254)</f>
      </c>
      <c r="D255" s="17">
        <f>IF(A255="","",IF(OR(LEFT(UPPER(TRIM(A255)),2)="Y:",LEFT(UPPER(TRIM(A255)),10)="YESTERDAY:"),"Y",IF(OR(LEFT(UPPER(TRIM(A255)),2)="T:",LEFT(UPPER(TRIM(A255)),6)="TODAY:"),"T",IF(OR(LEFT(UPPER(TRIM(A255)),2)="B:",LEFT(UPPER(TRIM(A255)),8)="BLOCKER:",LEFT(UPPER(TRIM(A255)),9)="BLOCKERS:",LEFT(UPPER(TRIM(A255)),8)="BLOCKED:"),"B",""))))</f>
      </c>
      <c r="E255" s="17">
        <f>IF(D255="","",TRIM(MID(A255,FIND(":",A255)+1,500)))</f>
      </c>
    </row>
    <row r="256">
      <c r="B256" s="17">
        <f>IF(A256="","",IF(COUNTIF(Roster[Name],IF(RIGHT(IF(LEFT(TRIM(A256),1)="[",TRIM(MID(TRIM(A256),FIND("]",TRIM(A256)&amp;"]")+1,200)),TRIM(A256)),1)=")",TRIM(LEFT(IF(LEFT(TRIM(A256),1)="[",TRIM(MID(TRIM(A256),FIND("]",TRIM(A256)&amp;"]")+1,200)),TRIM(A256)),FIND("(",IF(LEFT(TRIM(A256),1)="[",TRIM(MID(TRIM(A256),FIND("]",TRIM(A256)&amp;"]")+1,200)),TRIM(A256))&amp;"(")-1)),IF(LEFT(TRIM(A256),1)="[",TRIM(MID(TRIM(A256),FIND("]",TRIM(A256)&amp;"]")+1,200)),TRIM(A256))))&gt;0,IF(RIGHT(IF(LEFT(TRIM(A256),1)="[",TRIM(MID(TRIM(A256),FIND("]",TRIM(A256)&amp;"]")+1,200)),TRIM(A256)),1)=")",TRIM(LEFT(IF(LEFT(TRIM(A256),1)="[",TRIM(MID(TRIM(A256),FIND("]",TRIM(A256)&amp;"]")+1,200)),TRIM(A256)),FIND("(",IF(LEFT(TRIM(A256),1)="[",TRIM(MID(TRIM(A256),FIND("]",TRIM(A256)&amp;"]")+1,200)),TRIM(A256))&amp;"(")-1)),IF(LEFT(TRIM(A256),1)="[",TRIM(MID(TRIM(A256),FIND("]",TRIM(A256)&amp;"]")+1,200)),TRIM(A256))),""))</f>
      </c>
      <c r="C256" s="17">
        <f>IF(B256&lt;&gt;"",B256,C255)</f>
      </c>
      <c r="D256" s="17">
        <f>IF(A256="","",IF(OR(LEFT(UPPER(TRIM(A256)),2)="Y:",LEFT(UPPER(TRIM(A256)),10)="YESTERDAY:"),"Y",IF(OR(LEFT(UPPER(TRIM(A256)),2)="T:",LEFT(UPPER(TRIM(A256)),6)="TODAY:"),"T",IF(OR(LEFT(UPPER(TRIM(A256)),2)="B:",LEFT(UPPER(TRIM(A256)),8)="BLOCKER:",LEFT(UPPER(TRIM(A256)),9)="BLOCKERS:",LEFT(UPPER(TRIM(A256)),8)="BLOCKED:"),"B",""))))</f>
      </c>
      <c r="E256" s="17">
        <f>IF(D256="","",TRIM(MID(A256,FIND(":",A256)+1,500)))</f>
      </c>
    </row>
    <row r="257">
      <c r="B257" s="17">
        <f>IF(A257="","",IF(COUNTIF(Roster[Name],IF(RIGHT(IF(LEFT(TRIM(A257),1)="[",TRIM(MID(TRIM(A257),FIND("]",TRIM(A257)&amp;"]")+1,200)),TRIM(A257)),1)=")",TRIM(LEFT(IF(LEFT(TRIM(A257),1)="[",TRIM(MID(TRIM(A257),FIND("]",TRIM(A257)&amp;"]")+1,200)),TRIM(A257)),FIND("(",IF(LEFT(TRIM(A257),1)="[",TRIM(MID(TRIM(A257),FIND("]",TRIM(A257)&amp;"]")+1,200)),TRIM(A257))&amp;"(")-1)),IF(LEFT(TRIM(A257),1)="[",TRIM(MID(TRIM(A257),FIND("]",TRIM(A257)&amp;"]")+1,200)),TRIM(A257))))&gt;0,IF(RIGHT(IF(LEFT(TRIM(A257),1)="[",TRIM(MID(TRIM(A257),FIND("]",TRIM(A257)&amp;"]")+1,200)),TRIM(A257)),1)=")",TRIM(LEFT(IF(LEFT(TRIM(A257),1)="[",TRIM(MID(TRIM(A257),FIND("]",TRIM(A257)&amp;"]")+1,200)),TRIM(A257)),FIND("(",IF(LEFT(TRIM(A257),1)="[",TRIM(MID(TRIM(A257),FIND("]",TRIM(A257)&amp;"]")+1,200)),TRIM(A257))&amp;"(")-1)),IF(LEFT(TRIM(A257),1)="[",TRIM(MID(TRIM(A257),FIND("]",TRIM(A257)&amp;"]")+1,200)),TRIM(A257))),""))</f>
      </c>
      <c r="C257" s="17">
        <f>IF(B257&lt;&gt;"",B257,C256)</f>
      </c>
      <c r="D257" s="17">
        <f>IF(A257="","",IF(OR(LEFT(UPPER(TRIM(A257)),2)="Y:",LEFT(UPPER(TRIM(A257)),10)="YESTERDAY:"),"Y",IF(OR(LEFT(UPPER(TRIM(A257)),2)="T:",LEFT(UPPER(TRIM(A257)),6)="TODAY:"),"T",IF(OR(LEFT(UPPER(TRIM(A257)),2)="B:",LEFT(UPPER(TRIM(A257)),8)="BLOCKER:",LEFT(UPPER(TRIM(A257)),9)="BLOCKERS:",LEFT(UPPER(TRIM(A257)),8)="BLOCKED:"),"B",""))))</f>
      </c>
      <c r="E257" s="17">
        <f>IF(D257="","",TRIM(MID(A257,FIND(":",A257)+1,500)))</f>
      </c>
    </row>
    <row r="258">
      <c r="B258" s="17">
        <f>IF(A258="","",IF(COUNTIF(Roster[Name],IF(RIGHT(IF(LEFT(TRIM(A258),1)="[",TRIM(MID(TRIM(A258),FIND("]",TRIM(A258)&amp;"]")+1,200)),TRIM(A258)),1)=")",TRIM(LEFT(IF(LEFT(TRIM(A258),1)="[",TRIM(MID(TRIM(A258),FIND("]",TRIM(A258)&amp;"]")+1,200)),TRIM(A258)),FIND("(",IF(LEFT(TRIM(A258),1)="[",TRIM(MID(TRIM(A258),FIND("]",TRIM(A258)&amp;"]")+1,200)),TRIM(A258))&amp;"(")-1)),IF(LEFT(TRIM(A258),1)="[",TRIM(MID(TRIM(A258),FIND("]",TRIM(A258)&amp;"]")+1,200)),TRIM(A258))))&gt;0,IF(RIGHT(IF(LEFT(TRIM(A258),1)="[",TRIM(MID(TRIM(A258),FIND("]",TRIM(A258)&amp;"]")+1,200)),TRIM(A258)),1)=")",TRIM(LEFT(IF(LEFT(TRIM(A258),1)="[",TRIM(MID(TRIM(A258),FIND("]",TRIM(A258)&amp;"]")+1,200)),TRIM(A258)),FIND("(",IF(LEFT(TRIM(A258),1)="[",TRIM(MID(TRIM(A258),FIND("]",TRIM(A258)&amp;"]")+1,200)),TRIM(A258))&amp;"(")-1)),IF(LEFT(TRIM(A258),1)="[",TRIM(MID(TRIM(A258),FIND("]",TRIM(A258)&amp;"]")+1,200)),TRIM(A258))),""))</f>
      </c>
      <c r="C258" s="17">
        <f>IF(B258&lt;&gt;"",B258,C257)</f>
      </c>
      <c r="D258" s="17">
        <f>IF(A258="","",IF(OR(LEFT(UPPER(TRIM(A258)),2)="Y:",LEFT(UPPER(TRIM(A258)),10)="YESTERDAY:"),"Y",IF(OR(LEFT(UPPER(TRIM(A258)),2)="T:",LEFT(UPPER(TRIM(A258)),6)="TODAY:"),"T",IF(OR(LEFT(UPPER(TRIM(A258)),2)="B:",LEFT(UPPER(TRIM(A258)),8)="BLOCKER:",LEFT(UPPER(TRIM(A258)),9)="BLOCKERS:",LEFT(UPPER(TRIM(A258)),8)="BLOCKED:"),"B",""))))</f>
      </c>
      <c r="E258" s="17">
        <f>IF(D258="","",TRIM(MID(A258,FIND(":",A258)+1,500)))</f>
      </c>
    </row>
    <row r="259">
      <c r="B259" s="17">
        <f>IF(A259="","",IF(COUNTIF(Roster[Name],IF(RIGHT(IF(LEFT(TRIM(A259),1)="[",TRIM(MID(TRIM(A259),FIND("]",TRIM(A259)&amp;"]")+1,200)),TRIM(A259)),1)=")",TRIM(LEFT(IF(LEFT(TRIM(A259),1)="[",TRIM(MID(TRIM(A259),FIND("]",TRIM(A259)&amp;"]")+1,200)),TRIM(A259)),FIND("(",IF(LEFT(TRIM(A259),1)="[",TRIM(MID(TRIM(A259),FIND("]",TRIM(A259)&amp;"]")+1,200)),TRIM(A259))&amp;"(")-1)),IF(LEFT(TRIM(A259),1)="[",TRIM(MID(TRIM(A259),FIND("]",TRIM(A259)&amp;"]")+1,200)),TRIM(A259))))&gt;0,IF(RIGHT(IF(LEFT(TRIM(A259),1)="[",TRIM(MID(TRIM(A259),FIND("]",TRIM(A259)&amp;"]")+1,200)),TRIM(A259)),1)=")",TRIM(LEFT(IF(LEFT(TRIM(A259),1)="[",TRIM(MID(TRIM(A259),FIND("]",TRIM(A259)&amp;"]")+1,200)),TRIM(A259)),FIND("(",IF(LEFT(TRIM(A259),1)="[",TRIM(MID(TRIM(A259),FIND("]",TRIM(A259)&amp;"]")+1,200)),TRIM(A259))&amp;"(")-1)),IF(LEFT(TRIM(A259),1)="[",TRIM(MID(TRIM(A259),FIND("]",TRIM(A259)&amp;"]")+1,200)),TRIM(A259))),""))</f>
      </c>
      <c r="C259" s="17">
        <f>IF(B259&lt;&gt;"",B259,C258)</f>
      </c>
      <c r="D259" s="17">
        <f>IF(A259="","",IF(OR(LEFT(UPPER(TRIM(A259)),2)="Y:",LEFT(UPPER(TRIM(A259)),10)="YESTERDAY:"),"Y",IF(OR(LEFT(UPPER(TRIM(A259)),2)="T:",LEFT(UPPER(TRIM(A259)),6)="TODAY:"),"T",IF(OR(LEFT(UPPER(TRIM(A259)),2)="B:",LEFT(UPPER(TRIM(A259)),8)="BLOCKER:",LEFT(UPPER(TRIM(A259)),9)="BLOCKERS:",LEFT(UPPER(TRIM(A259)),8)="BLOCKED:"),"B",""))))</f>
      </c>
      <c r="E259" s="17">
        <f>IF(D259="","",TRIM(MID(A259,FIND(":",A259)+1,500)))</f>
      </c>
    </row>
    <row r="260">
      <c r="B260" s="17">
        <f>IF(A260="","",IF(COUNTIF(Roster[Name],IF(RIGHT(IF(LEFT(TRIM(A260),1)="[",TRIM(MID(TRIM(A260),FIND("]",TRIM(A260)&amp;"]")+1,200)),TRIM(A260)),1)=")",TRIM(LEFT(IF(LEFT(TRIM(A260),1)="[",TRIM(MID(TRIM(A260),FIND("]",TRIM(A260)&amp;"]")+1,200)),TRIM(A260)),FIND("(",IF(LEFT(TRIM(A260),1)="[",TRIM(MID(TRIM(A260),FIND("]",TRIM(A260)&amp;"]")+1,200)),TRIM(A260))&amp;"(")-1)),IF(LEFT(TRIM(A260),1)="[",TRIM(MID(TRIM(A260),FIND("]",TRIM(A260)&amp;"]")+1,200)),TRIM(A260))))&gt;0,IF(RIGHT(IF(LEFT(TRIM(A260),1)="[",TRIM(MID(TRIM(A260),FIND("]",TRIM(A260)&amp;"]")+1,200)),TRIM(A260)),1)=")",TRIM(LEFT(IF(LEFT(TRIM(A260),1)="[",TRIM(MID(TRIM(A260),FIND("]",TRIM(A260)&amp;"]")+1,200)),TRIM(A260)),FIND("(",IF(LEFT(TRIM(A260),1)="[",TRIM(MID(TRIM(A260),FIND("]",TRIM(A260)&amp;"]")+1,200)),TRIM(A260))&amp;"(")-1)),IF(LEFT(TRIM(A260),1)="[",TRIM(MID(TRIM(A260),FIND("]",TRIM(A260)&amp;"]")+1,200)),TRIM(A260))),""))</f>
      </c>
      <c r="C260" s="17">
        <f>IF(B260&lt;&gt;"",B260,C259)</f>
      </c>
      <c r="D260" s="17">
        <f>IF(A260="","",IF(OR(LEFT(UPPER(TRIM(A260)),2)="Y:",LEFT(UPPER(TRIM(A260)),10)="YESTERDAY:"),"Y",IF(OR(LEFT(UPPER(TRIM(A260)),2)="T:",LEFT(UPPER(TRIM(A260)),6)="TODAY:"),"T",IF(OR(LEFT(UPPER(TRIM(A260)),2)="B:",LEFT(UPPER(TRIM(A260)),8)="BLOCKER:",LEFT(UPPER(TRIM(A260)),9)="BLOCKERS:",LEFT(UPPER(TRIM(A260)),8)="BLOCKED:"),"B",""))))</f>
      </c>
      <c r="E260" s="17">
        <f>IF(D260="","",TRIM(MID(A260,FIND(":",A260)+1,500)))</f>
      </c>
    </row>
    <row r="261">
      <c r="B261" s="17">
        <f>IF(A261="","",IF(COUNTIF(Roster[Name],IF(RIGHT(IF(LEFT(TRIM(A261),1)="[",TRIM(MID(TRIM(A261),FIND("]",TRIM(A261)&amp;"]")+1,200)),TRIM(A261)),1)=")",TRIM(LEFT(IF(LEFT(TRIM(A261),1)="[",TRIM(MID(TRIM(A261),FIND("]",TRIM(A261)&amp;"]")+1,200)),TRIM(A261)),FIND("(",IF(LEFT(TRIM(A261),1)="[",TRIM(MID(TRIM(A261),FIND("]",TRIM(A261)&amp;"]")+1,200)),TRIM(A261))&amp;"(")-1)),IF(LEFT(TRIM(A261),1)="[",TRIM(MID(TRIM(A261),FIND("]",TRIM(A261)&amp;"]")+1,200)),TRIM(A261))))&gt;0,IF(RIGHT(IF(LEFT(TRIM(A261),1)="[",TRIM(MID(TRIM(A261),FIND("]",TRIM(A261)&amp;"]")+1,200)),TRIM(A261)),1)=")",TRIM(LEFT(IF(LEFT(TRIM(A261),1)="[",TRIM(MID(TRIM(A261),FIND("]",TRIM(A261)&amp;"]")+1,200)),TRIM(A261)),FIND("(",IF(LEFT(TRIM(A261),1)="[",TRIM(MID(TRIM(A261),FIND("]",TRIM(A261)&amp;"]")+1,200)),TRIM(A261))&amp;"(")-1)),IF(LEFT(TRIM(A261),1)="[",TRIM(MID(TRIM(A261),FIND("]",TRIM(A261)&amp;"]")+1,200)),TRIM(A261))),""))</f>
      </c>
      <c r="C261" s="17">
        <f>IF(B261&lt;&gt;"",B261,C260)</f>
      </c>
      <c r="D261" s="17">
        <f>IF(A261="","",IF(OR(LEFT(UPPER(TRIM(A261)),2)="Y:",LEFT(UPPER(TRIM(A261)),10)="YESTERDAY:"),"Y",IF(OR(LEFT(UPPER(TRIM(A261)),2)="T:",LEFT(UPPER(TRIM(A261)),6)="TODAY:"),"T",IF(OR(LEFT(UPPER(TRIM(A261)),2)="B:",LEFT(UPPER(TRIM(A261)),8)="BLOCKER:",LEFT(UPPER(TRIM(A261)),9)="BLOCKERS:",LEFT(UPPER(TRIM(A261)),8)="BLOCKED:"),"B",""))))</f>
      </c>
      <c r="E261" s="17">
        <f>IF(D261="","",TRIM(MID(A261,FIND(":",A261)+1,500)))</f>
      </c>
    </row>
    <row r="262">
      <c r="B262" s="17">
        <f>IF(A262="","",IF(COUNTIF(Roster[Name],IF(RIGHT(IF(LEFT(TRIM(A262),1)="[",TRIM(MID(TRIM(A262),FIND("]",TRIM(A262)&amp;"]")+1,200)),TRIM(A262)),1)=")",TRIM(LEFT(IF(LEFT(TRIM(A262),1)="[",TRIM(MID(TRIM(A262),FIND("]",TRIM(A262)&amp;"]")+1,200)),TRIM(A262)),FIND("(",IF(LEFT(TRIM(A262),1)="[",TRIM(MID(TRIM(A262),FIND("]",TRIM(A262)&amp;"]")+1,200)),TRIM(A262))&amp;"(")-1)),IF(LEFT(TRIM(A262),1)="[",TRIM(MID(TRIM(A262),FIND("]",TRIM(A262)&amp;"]")+1,200)),TRIM(A262))))&gt;0,IF(RIGHT(IF(LEFT(TRIM(A262),1)="[",TRIM(MID(TRIM(A262),FIND("]",TRIM(A262)&amp;"]")+1,200)),TRIM(A262)),1)=")",TRIM(LEFT(IF(LEFT(TRIM(A262),1)="[",TRIM(MID(TRIM(A262),FIND("]",TRIM(A262)&amp;"]")+1,200)),TRIM(A262)),FIND("(",IF(LEFT(TRIM(A262),1)="[",TRIM(MID(TRIM(A262),FIND("]",TRIM(A262)&amp;"]")+1,200)),TRIM(A262))&amp;"(")-1)),IF(LEFT(TRIM(A262),1)="[",TRIM(MID(TRIM(A262),FIND("]",TRIM(A262)&amp;"]")+1,200)),TRIM(A262))),""))</f>
      </c>
      <c r="C262" s="17">
        <f>IF(B262&lt;&gt;"",B262,C261)</f>
      </c>
      <c r="D262" s="17">
        <f>IF(A262="","",IF(OR(LEFT(UPPER(TRIM(A262)),2)="Y:",LEFT(UPPER(TRIM(A262)),10)="YESTERDAY:"),"Y",IF(OR(LEFT(UPPER(TRIM(A262)),2)="T:",LEFT(UPPER(TRIM(A262)),6)="TODAY:"),"T",IF(OR(LEFT(UPPER(TRIM(A262)),2)="B:",LEFT(UPPER(TRIM(A262)),8)="BLOCKER:",LEFT(UPPER(TRIM(A262)),9)="BLOCKERS:",LEFT(UPPER(TRIM(A262)),8)="BLOCKED:"),"B",""))))</f>
      </c>
      <c r="E262" s="17">
        <f>IF(D262="","",TRIM(MID(A262,FIND(":",A262)+1,500)))</f>
      </c>
    </row>
    <row r="263">
      <c r="B263" s="17">
        <f>IF(A263="","",IF(COUNTIF(Roster[Name],IF(RIGHT(IF(LEFT(TRIM(A263),1)="[",TRIM(MID(TRIM(A263),FIND("]",TRIM(A263)&amp;"]")+1,200)),TRIM(A263)),1)=")",TRIM(LEFT(IF(LEFT(TRIM(A263),1)="[",TRIM(MID(TRIM(A263),FIND("]",TRIM(A263)&amp;"]")+1,200)),TRIM(A263)),FIND("(",IF(LEFT(TRIM(A263),1)="[",TRIM(MID(TRIM(A263),FIND("]",TRIM(A263)&amp;"]")+1,200)),TRIM(A263))&amp;"(")-1)),IF(LEFT(TRIM(A263),1)="[",TRIM(MID(TRIM(A263),FIND("]",TRIM(A263)&amp;"]")+1,200)),TRIM(A263))))&gt;0,IF(RIGHT(IF(LEFT(TRIM(A263),1)="[",TRIM(MID(TRIM(A263),FIND("]",TRIM(A263)&amp;"]")+1,200)),TRIM(A263)),1)=")",TRIM(LEFT(IF(LEFT(TRIM(A263),1)="[",TRIM(MID(TRIM(A263),FIND("]",TRIM(A263)&amp;"]")+1,200)),TRIM(A263)),FIND("(",IF(LEFT(TRIM(A263),1)="[",TRIM(MID(TRIM(A263),FIND("]",TRIM(A263)&amp;"]")+1,200)),TRIM(A263))&amp;"(")-1)),IF(LEFT(TRIM(A263),1)="[",TRIM(MID(TRIM(A263),FIND("]",TRIM(A263)&amp;"]")+1,200)),TRIM(A263))),""))</f>
      </c>
      <c r="C263" s="17">
        <f>IF(B263&lt;&gt;"",B263,C262)</f>
      </c>
      <c r="D263" s="17">
        <f>IF(A263="","",IF(OR(LEFT(UPPER(TRIM(A263)),2)="Y:",LEFT(UPPER(TRIM(A263)),10)="YESTERDAY:"),"Y",IF(OR(LEFT(UPPER(TRIM(A263)),2)="T:",LEFT(UPPER(TRIM(A263)),6)="TODAY:"),"T",IF(OR(LEFT(UPPER(TRIM(A263)),2)="B:",LEFT(UPPER(TRIM(A263)),8)="BLOCKER:",LEFT(UPPER(TRIM(A263)),9)="BLOCKERS:",LEFT(UPPER(TRIM(A263)),8)="BLOCKED:"),"B",""))))</f>
      </c>
      <c r="E263" s="17">
        <f>IF(D263="","",TRIM(MID(A263,FIND(":",A263)+1,500)))</f>
      </c>
    </row>
    <row r="264">
      <c r="B264" s="17">
        <f>IF(A264="","",IF(COUNTIF(Roster[Name],IF(RIGHT(IF(LEFT(TRIM(A264),1)="[",TRIM(MID(TRIM(A264),FIND("]",TRIM(A264)&amp;"]")+1,200)),TRIM(A264)),1)=")",TRIM(LEFT(IF(LEFT(TRIM(A264),1)="[",TRIM(MID(TRIM(A264),FIND("]",TRIM(A264)&amp;"]")+1,200)),TRIM(A264)),FIND("(",IF(LEFT(TRIM(A264),1)="[",TRIM(MID(TRIM(A264),FIND("]",TRIM(A264)&amp;"]")+1,200)),TRIM(A264))&amp;"(")-1)),IF(LEFT(TRIM(A264),1)="[",TRIM(MID(TRIM(A264),FIND("]",TRIM(A264)&amp;"]")+1,200)),TRIM(A264))))&gt;0,IF(RIGHT(IF(LEFT(TRIM(A264),1)="[",TRIM(MID(TRIM(A264),FIND("]",TRIM(A264)&amp;"]")+1,200)),TRIM(A264)),1)=")",TRIM(LEFT(IF(LEFT(TRIM(A264),1)="[",TRIM(MID(TRIM(A264),FIND("]",TRIM(A264)&amp;"]")+1,200)),TRIM(A264)),FIND("(",IF(LEFT(TRIM(A264),1)="[",TRIM(MID(TRIM(A264),FIND("]",TRIM(A264)&amp;"]")+1,200)),TRIM(A264))&amp;"(")-1)),IF(LEFT(TRIM(A264),1)="[",TRIM(MID(TRIM(A264),FIND("]",TRIM(A264)&amp;"]")+1,200)),TRIM(A264))),""))</f>
      </c>
      <c r="C264" s="17">
        <f>IF(B264&lt;&gt;"",B264,C263)</f>
      </c>
      <c r="D264" s="17">
        <f>IF(A264="","",IF(OR(LEFT(UPPER(TRIM(A264)),2)="Y:",LEFT(UPPER(TRIM(A264)),10)="YESTERDAY:"),"Y",IF(OR(LEFT(UPPER(TRIM(A264)),2)="T:",LEFT(UPPER(TRIM(A264)),6)="TODAY:"),"T",IF(OR(LEFT(UPPER(TRIM(A264)),2)="B:",LEFT(UPPER(TRIM(A264)),8)="BLOCKER:",LEFT(UPPER(TRIM(A264)),9)="BLOCKERS:",LEFT(UPPER(TRIM(A264)),8)="BLOCKED:"),"B",""))))</f>
      </c>
      <c r="E264" s="17">
        <f>IF(D264="","",TRIM(MID(A264,FIND(":",A264)+1,500)))</f>
      </c>
    </row>
    <row r="265">
      <c r="B265" s="17">
        <f>IF(A265="","",IF(COUNTIF(Roster[Name],IF(RIGHT(IF(LEFT(TRIM(A265),1)="[",TRIM(MID(TRIM(A265),FIND("]",TRIM(A265)&amp;"]")+1,200)),TRIM(A265)),1)=")",TRIM(LEFT(IF(LEFT(TRIM(A265),1)="[",TRIM(MID(TRIM(A265),FIND("]",TRIM(A265)&amp;"]")+1,200)),TRIM(A265)),FIND("(",IF(LEFT(TRIM(A265),1)="[",TRIM(MID(TRIM(A265),FIND("]",TRIM(A265)&amp;"]")+1,200)),TRIM(A265))&amp;"(")-1)),IF(LEFT(TRIM(A265),1)="[",TRIM(MID(TRIM(A265),FIND("]",TRIM(A265)&amp;"]")+1,200)),TRIM(A265))))&gt;0,IF(RIGHT(IF(LEFT(TRIM(A265),1)="[",TRIM(MID(TRIM(A265),FIND("]",TRIM(A265)&amp;"]")+1,200)),TRIM(A265)),1)=")",TRIM(LEFT(IF(LEFT(TRIM(A265),1)="[",TRIM(MID(TRIM(A265),FIND("]",TRIM(A265)&amp;"]")+1,200)),TRIM(A265)),FIND("(",IF(LEFT(TRIM(A265),1)="[",TRIM(MID(TRIM(A265),FIND("]",TRIM(A265)&amp;"]")+1,200)),TRIM(A265))&amp;"(")-1)),IF(LEFT(TRIM(A265),1)="[",TRIM(MID(TRIM(A265),FIND("]",TRIM(A265)&amp;"]")+1,200)),TRIM(A265))),""))</f>
      </c>
      <c r="C265" s="17">
        <f>IF(B265&lt;&gt;"",B265,C264)</f>
      </c>
      <c r="D265" s="17">
        <f>IF(A265="","",IF(OR(LEFT(UPPER(TRIM(A265)),2)="Y:",LEFT(UPPER(TRIM(A265)),10)="YESTERDAY:"),"Y",IF(OR(LEFT(UPPER(TRIM(A265)),2)="T:",LEFT(UPPER(TRIM(A265)),6)="TODAY:"),"T",IF(OR(LEFT(UPPER(TRIM(A265)),2)="B:",LEFT(UPPER(TRIM(A265)),8)="BLOCKER:",LEFT(UPPER(TRIM(A265)),9)="BLOCKERS:",LEFT(UPPER(TRIM(A265)),8)="BLOCKED:"),"B",""))))</f>
      </c>
      <c r="E265" s="17">
        <f>IF(D265="","",TRIM(MID(A265,FIND(":",A265)+1,500)))</f>
      </c>
    </row>
    <row r="266">
      <c r="B266" s="17">
        <f>IF(A266="","",IF(COUNTIF(Roster[Name],IF(RIGHT(IF(LEFT(TRIM(A266),1)="[",TRIM(MID(TRIM(A266),FIND("]",TRIM(A266)&amp;"]")+1,200)),TRIM(A266)),1)=")",TRIM(LEFT(IF(LEFT(TRIM(A266),1)="[",TRIM(MID(TRIM(A266),FIND("]",TRIM(A266)&amp;"]")+1,200)),TRIM(A266)),FIND("(",IF(LEFT(TRIM(A266),1)="[",TRIM(MID(TRIM(A266),FIND("]",TRIM(A266)&amp;"]")+1,200)),TRIM(A266))&amp;"(")-1)),IF(LEFT(TRIM(A266),1)="[",TRIM(MID(TRIM(A266),FIND("]",TRIM(A266)&amp;"]")+1,200)),TRIM(A266))))&gt;0,IF(RIGHT(IF(LEFT(TRIM(A266),1)="[",TRIM(MID(TRIM(A266),FIND("]",TRIM(A266)&amp;"]")+1,200)),TRIM(A266)),1)=")",TRIM(LEFT(IF(LEFT(TRIM(A266),1)="[",TRIM(MID(TRIM(A266),FIND("]",TRIM(A266)&amp;"]")+1,200)),TRIM(A266)),FIND("(",IF(LEFT(TRIM(A266),1)="[",TRIM(MID(TRIM(A266),FIND("]",TRIM(A266)&amp;"]")+1,200)),TRIM(A266))&amp;"(")-1)),IF(LEFT(TRIM(A266),1)="[",TRIM(MID(TRIM(A266),FIND("]",TRIM(A266)&amp;"]")+1,200)),TRIM(A266))),""))</f>
      </c>
      <c r="C266" s="17">
        <f>IF(B266&lt;&gt;"",B266,C265)</f>
      </c>
      <c r="D266" s="17">
        <f>IF(A266="","",IF(OR(LEFT(UPPER(TRIM(A266)),2)="Y:",LEFT(UPPER(TRIM(A266)),10)="YESTERDAY:"),"Y",IF(OR(LEFT(UPPER(TRIM(A266)),2)="T:",LEFT(UPPER(TRIM(A266)),6)="TODAY:"),"T",IF(OR(LEFT(UPPER(TRIM(A266)),2)="B:",LEFT(UPPER(TRIM(A266)),8)="BLOCKER:",LEFT(UPPER(TRIM(A266)),9)="BLOCKERS:",LEFT(UPPER(TRIM(A266)),8)="BLOCKED:"),"B",""))))</f>
      </c>
      <c r="E266" s="17">
        <f>IF(D266="","",TRIM(MID(A266,FIND(":",A266)+1,500)))</f>
      </c>
    </row>
    <row r="267">
      <c r="B267" s="17">
        <f>IF(A267="","",IF(COUNTIF(Roster[Name],IF(RIGHT(IF(LEFT(TRIM(A267),1)="[",TRIM(MID(TRIM(A267),FIND("]",TRIM(A267)&amp;"]")+1,200)),TRIM(A267)),1)=")",TRIM(LEFT(IF(LEFT(TRIM(A267),1)="[",TRIM(MID(TRIM(A267),FIND("]",TRIM(A267)&amp;"]")+1,200)),TRIM(A267)),FIND("(",IF(LEFT(TRIM(A267),1)="[",TRIM(MID(TRIM(A267),FIND("]",TRIM(A267)&amp;"]")+1,200)),TRIM(A267))&amp;"(")-1)),IF(LEFT(TRIM(A267),1)="[",TRIM(MID(TRIM(A267),FIND("]",TRIM(A267)&amp;"]")+1,200)),TRIM(A267))))&gt;0,IF(RIGHT(IF(LEFT(TRIM(A267),1)="[",TRIM(MID(TRIM(A267),FIND("]",TRIM(A267)&amp;"]")+1,200)),TRIM(A267)),1)=")",TRIM(LEFT(IF(LEFT(TRIM(A267),1)="[",TRIM(MID(TRIM(A267),FIND("]",TRIM(A267)&amp;"]")+1,200)),TRIM(A267)),FIND("(",IF(LEFT(TRIM(A267),1)="[",TRIM(MID(TRIM(A267),FIND("]",TRIM(A267)&amp;"]")+1,200)),TRIM(A267))&amp;"(")-1)),IF(LEFT(TRIM(A267),1)="[",TRIM(MID(TRIM(A267),FIND("]",TRIM(A267)&amp;"]")+1,200)),TRIM(A267))),""))</f>
      </c>
      <c r="C267" s="17">
        <f>IF(B267&lt;&gt;"",B267,C266)</f>
      </c>
      <c r="D267" s="17">
        <f>IF(A267="","",IF(OR(LEFT(UPPER(TRIM(A267)),2)="Y:",LEFT(UPPER(TRIM(A267)),10)="YESTERDAY:"),"Y",IF(OR(LEFT(UPPER(TRIM(A267)),2)="T:",LEFT(UPPER(TRIM(A267)),6)="TODAY:"),"T",IF(OR(LEFT(UPPER(TRIM(A267)),2)="B:",LEFT(UPPER(TRIM(A267)),8)="BLOCKER:",LEFT(UPPER(TRIM(A267)),9)="BLOCKERS:",LEFT(UPPER(TRIM(A267)),8)="BLOCKED:"),"B",""))))</f>
      </c>
      <c r="E267" s="17">
        <f>IF(D267="","",TRIM(MID(A267,FIND(":",A267)+1,500)))</f>
      </c>
    </row>
    <row r="268">
      <c r="B268" s="17">
        <f>IF(A268="","",IF(COUNTIF(Roster[Name],IF(RIGHT(IF(LEFT(TRIM(A268),1)="[",TRIM(MID(TRIM(A268),FIND("]",TRIM(A268)&amp;"]")+1,200)),TRIM(A268)),1)=")",TRIM(LEFT(IF(LEFT(TRIM(A268),1)="[",TRIM(MID(TRIM(A268),FIND("]",TRIM(A268)&amp;"]")+1,200)),TRIM(A268)),FIND("(",IF(LEFT(TRIM(A268),1)="[",TRIM(MID(TRIM(A268),FIND("]",TRIM(A268)&amp;"]")+1,200)),TRIM(A268))&amp;"(")-1)),IF(LEFT(TRIM(A268),1)="[",TRIM(MID(TRIM(A268),FIND("]",TRIM(A268)&amp;"]")+1,200)),TRIM(A268))))&gt;0,IF(RIGHT(IF(LEFT(TRIM(A268),1)="[",TRIM(MID(TRIM(A268),FIND("]",TRIM(A268)&amp;"]")+1,200)),TRIM(A268)),1)=")",TRIM(LEFT(IF(LEFT(TRIM(A268),1)="[",TRIM(MID(TRIM(A268),FIND("]",TRIM(A268)&amp;"]")+1,200)),TRIM(A268)),FIND("(",IF(LEFT(TRIM(A268),1)="[",TRIM(MID(TRIM(A268),FIND("]",TRIM(A268)&amp;"]")+1,200)),TRIM(A268))&amp;"(")-1)),IF(LEFT(TRIM(A268),1)="[",TRIM(MID(TRIM(A268),FIND("]",TRIM(A268)&amp;"]")+1,200)),TRIM(A268))),""))</f>
      </c>
      <c r="C268" s="17">
        <f>IF(B268&lt;&gt;"",B268,C267)</f>
      </c>
      <c r="D268" s="17">
        <f>IF(A268="","",IF(OR(LEFT(UPPER(TRIM(A268)),2)="Y:",LEFT(UPPER(TRIM(A268)),10)="YESTERDAY:"),"Y",IF(OR(LEFT(UPPER(TRIM(A268)),2)="T:",LEFT(UPPER(TRIM(A268)),6)="TODAY:"),"T",IF(OR(LEFT(UPPER(TRIM(A268)),2)="B:",LEFT(UPPER(TRIM(A268)),8)="BLOCKER:",LEFT(UPPER(TRIM(A268)),9)="BLOCKERS:",LEFT(UPPER(TRIM(A268)),8)="BLOCKED:"),"B",""))))</f>
      </c>
      <c r="E268" s="17">
        <f>IF(D268="","",TRIM(MID(A268,FIND(":",A268)+1,500)))</f>
      </c>
    </row>
    <row r="269">
      <c r="B269" s="17">
        <f>IF(A269="","",IF(COUNTIF(Roster[Name],IF(RIGHT(IF(LEFT(TRIM(A269),1)="[",TRIM(MID(TRIM(A269),FIND("]",TRIM(A269)&amp;"]")+1,200)),TRIM(A269)),1)=")",TRIM(LEFT(IF(LEFT(TRIM(A269),1)="[",TRIM(MID(TRIM(A269),FIND("]",TRIM(A269)&amp;"]")+1,200)),TRIM(A269)),FIND("(",IF(LEFT(TRIM(A269),1)="[",TRIM(MID(TRIM(A269),FIND("]",TRIM(A269)&amp;"]")+1,200)),TRIM(A269))&amp;"(")-1)),IF(LEFT(TRIM(A269),1)="[",TRIM(MID(TRIM(A269),FIND("]",TRIM(A269)&amp;"]")+1,200)),TRIM(A269))))&gt;0,IF(RIGHT(IF(LEFT(TRIM(A269),1)="[",TRIM(MID(TRIM(A269),FIND("]",TRIM(A269)&amp;"]")+1,200)),TRIM(A269)),1)=")",TRIM(LEFT(IF(LEFT(TRIM(A269),1)="[",TRIM(MID(TRIM(A269),FIND("]",TRIM(A269)&amp;"]")+1,200)),TRIM(A269)),FIND("(",IF(LEFT(TRIM(A269),1)="[",TRIM(MID(TRIM(A269),FIND("]",TRIM(A269)&amp;"]")+1,200)),TRIM(A269))&amp;"(")-1)),IF(LEFT(TRIM(A269),1)="[",TRIM(MID(TRIM(A269),FIND("]",TRIM(A269)&amp;"]")+1,200)),TRIM(A269))),""))</f>
      </c>
      <c r="C269" s="17">
        <f>IF(B269&lt;&gt;"",B269,C268)</f>
      </c>
      <c r="D269" s="17">
        <f>IF(A269="","",IF(OR(LEFT(UPPER(TRIM(A269)),2)="Y:",LEFT(UPPER(TRIM(A269)),10)="YESTERDAY:"),"Y",IF(OR(LEFT(UPPER(TRIM(A269)),2)="T:",LEFT(UPPER(TRIM(A269)),6)="TODAY:"),"T",IF(OR(LEFT(UPPER(TRIM(A269)),2)="B:",LEFT(UPPER(TRIM(A269)),8)="BLOCKER:",LEFT(UPPER(TRIM(A269)),9)="BLOCKERS:",LEFT(UPPER(TRIM(A269)),8)="BLOCKED:"),"B",""))))</f>
      </c>
      <c r="E269" s="17">
        <f>IF(D269="","",TRIM(MID(A269,FIND(":",A269)+1,500)))</f>
      </c>
    </row>
    <row r="270">
      <c r="B270" s="17">
        <f>IF(A270="","",IF(COUNTIF(Roster[Name],IF(RIGHT(IF(LEFT(TRIM(A270),1)="[",TRIM(MID(TRIM(A270),FIND("]",TRIM(A270)&amp;"]")+1,200)),TRIM(A270)),1)=")",TRIM(LEFT(IF(LEFT(TRIM(A270),1)="[",TRIM(MID(TRIM(A270),FIND("]",TRIM(A270)&amp;"]")+1,200)),TRIM(A270)),FIND("(",IF(LEFT(TRIM(A270),1)="[",TRIM(MID(TRIM(A270),FIND("]",TRIM(A270)&amp;"]")+1,200)),TRIM(A270))&amp;"(")-1)),IF(LEFT(TRIM(A270),1)="[",TRIM(MID(TRIM(A270),FIND("]",TRIM(A270)&amp;"]")+1,200)),TRIM(A270))))&gt;0,IF(RIGHT(IF(LEFT(TRIM(A270),1)="[",TRIM(MID(TRIM(A270),FIND("]",TRIM(A270)&amp;"]")+1,200)),TRIM(A270)),1)=")",TRIM(LEFT(IF(LEFT(TRIM(A270),1)="[",TRIM(MID(TRIM(A270),FIND("]",TRIM(A270)&amp;"]")+1,200)),TRIM(A270)),FIND("(",IF(LEFT(TRIM(A270),1)="[",TRIM(MID(TRIM(A270),FIND("]",TRIM(A270)&amp;"]")+1,200)),TRIM(A270))&amp;"(")-1)),IF(LEFT(TRIM(A270),1)="[",TRIM(MID(TRIM(A270),FIND("]",TRIM(A270)&amp;"]")+1,200)),TRIM(A270))),""))</f>
      </c>
      <c r="C270" s="17">
        <f>IF(B270&lt;&gt;"",B270,C269)</f>
      </c>
      <c r="D270" s="17">
        <f>IF(A270="","",IF(OR(LEFT(UPPER(TRIM(A270)),2)="Y:",LEFT(UPPER(TRIM(A270)),10)="YESTERDAY:"),"Y",IF(OR(LEFT(UPPER(TRIM(A270)),2)="T:",LEFT(UPPER(TRIM(A270)),6)="TODAY:"),"T",IF(OR(LEFT(UPPER(TRIM(A270)),2)="B:",LEFT(UPPER(TRIM(A270)),8)="BLOCKER:",LEFT(UPPER(TRIM(A270)),9)="BLOCKERS:",LEFT(UPPER(TRIM(A270)),8)="BLOCKED:"),"B",""))))</f>
      </c>
      <c r="E270" s="17">
        <f>IF(D270="","",TRIM(MID(A270,FIND(":",A270)+1,500)))</f>
      </c>
    </row>
    <row r="271">
      <c r="B271" s="17">
        <f>IF(A271="","",IF(COUNTIF(Roster[Name],IF(RIGHT(IF(LEFT(TRIM(A271),1)="[",TRIM(MID(TRIM(A271),FIND("]",TRIM(A271)&amp;"]")+1,200)),TRIM(A271)),1)=")",TRIM(LEFT(IF(LEFT(TRIM(A271),1)="[",TRIM(MID(TRIM(A271),FIND("]",TRIM(A271)&amp;"]")+1,200)),TRIM(A271)),FIND("(",IF(LEFT(TRIM(A271),1)="[",TRIM(MID(TRIM(A271),FIND("]",TRIM(A271)&amp;"]")+1,200)),TRIM(A271))&amp;"(")-1)),IF(LEFT(TRIM(A271),1)="[",TRIM(MID(TRIM(A271),FIND("]",TRIM(A271)&amp;"]")+1,200)),TRIM(A271))))&gt;0,IF(RIGHT(IF(LEFT(TRIM(A271),1)="[",TRIM(MID(TRIM(A271),FIND("]",TRIM(A271)&amp;"]")+1,200)),TRIM(A271)),1)=")",TRIM(LEFT(IF(LEFT(TRIM(A271),1)="[",TRIM(MID(TRIM(A271),FIND("]",TRIM(A271)&amp;"]")+1,200)),TRIM(A271)),FIND("(",IF(LEFT(TRIM(A271),1)="[",TRIM(MID(TRIM(A271),FIND("]",TRIM(A271)&amp;"]")+1,200)),TRIM(A271))&amp;"(")-1)),IF(LEFT(TRIM(A271),1)="[",TRIM(MID(TRIM(A271),FIND("]",TRIM(A271)&amp;"]")+1,200)),TRIM(A271))),""))</f>
      </c>
      <c r="C271" s="17">
        <f>IF(B271&lt;&gt;"",B271,C270)</f>
      </c>
      <c r="D271" s="17">
        <f>IF(A271="","",IF(OR(LEFT(UPPER(TRIM(A271)),2)="Y:",LEFT(UPPER(TRIM(A271)),10)="YESTERDAY:"),"Y",IF(OR(LEFT(UPPER(TRIM(A271)),2)="T:",LEFT(UPPER(TRIM(A271)),6)="TODAY:"),"T",IF(OR(LEFT(UPPER(TRIM(A271)),2)="B:",LEFT(UPPER(TRIM(A271)),8)="BLOCKER:",LEFT(UPPER(TRIM(A271)),9)="BLOCKERS:",LEFT(UPPER(TRIM(A271)),8)="BLOCKED:"),"B",""))))</f>
      </c>
      <c r="E271" s="17">
        <f>IF(D271="","",TRIM(MID(A271,FIND(":",A271)+1,500)))</f>
      </c>
    </row>
    <row r="272">
      <c r="B272" s="17">
        <f>IF(A272="","",IF(COUNTIF(Roster[Name],IF(RIGHT(IF(LEFT(TRIM(A272),1)="[",TRIM(MID(TRIM(A272),FIND("]",TRIM(A272)&amp;"]")+1,200)),TRIM(A272)),1)=")",TRIM(LEFT(IF(LEFT(TRIM(A272),1)="[",TRIM(MID(TRIM(A272),FIND("]",TRIM(A272)&amp;"]")+1,200)),TRIM(A272)),FIND("(",IF(LEFT(TRIM(A272),1)="[",TRIM(MID(TRIM(A272),FIND("]",TRIM(A272)&amp;"]")+1,200)),TRIM(A272))&amp;"(")-1)),IF(LEFT(TRIM(A272),1)="[",TRIM(MID(TRIM(A272),FIND("]",TRIM(A272)&amp;"]")+1,200)),TRIM(A272))))&gt;0,IF(RIGHT(IF(LEFT(TRIM(A272),1)="[",TRIM(MID(TRIM(A272),FIND("]",TRIM(A272)&amp;"]")+1,200)),TRIM(A272)),1)=")",TRIM(LEFT(IF(LEFT(TRIM(A272),1)="[",TRIM(MID(TRIM(A272),FIND("]",TRIM(A272)&amp;"]")+1,200)),TRIM(A272)),FIND("(",IF(LEFT(TRIM(A272),1)="[",TRIM(MID(TRIM(A272),FIND("]",TRIM(A272)&amp;"]")+1,200)),TRIM(A272))&amp;"(")-1)),IF(LEFT(TRIM(A272),1)="[",TRIM(MID(TRIM(A272),FIND("]",TRIM(A272)&amp;"]")+1,200)),TRIM(A272))),""))</f>
      </c>
      <c r="C272" s="17">
        <f>IF(B272&lt;&gt;"",B272,C271)</f>
      </c>
      <c r="D272" s="17">
        <f>IF(A272="","",IF(OR(LEFT(UPPER(TRIM(A272)),2)="Y:",LEFT(UPPER(TRIM(A272)),10)="YESTERDAY:"),"Y",IF(OR(LEFT(UPPER(TRIM(A272)),2)="T:",LEFT(UPPER(TRIM(A272)),6)="TODAY:"),"T",IF(OR(LEFT(UPPER(TRIM(A272)),2)="B:",LEFT(UPPER(TRIM(A272)),8)="BLOCKER:",LEFT(UPPER(TRIM(A272)),9)="BLOCKERS:",LEFT(UPPER(TRIM(A272)),8)="BLOCKED:"),"B",""))))</f>
      </c>
      <c r="E272" s="17">
        <f>IF(D272="","",TRIM(MID(A272,FIND(":",A272)+1,500)))</f>
      </c>
    </row>
    <row r="273">
      <c r="B273" s="17">
        <f>IF(A273="","",IF(COUNTIF(Roster[Name],IF(RIGHT(IF(LEFT(TRIM(A273),1)="[",TRIM(MID(TRIM(A273),FIND("]",TRIM(A273)&amp;"]")+1,200)),TRIM(A273)),1)=")",TRIM(LEFT(IF(LEFT(TRIM(A273),1)="[",TRIM(MID(TRIM(A273),FIND("]",TRIM(A273)&amp;"]")+1,200)),TRIM(A273)),FIND("(",IF(LEFT(TRIM(A273),1)="[",TRIM(MID(TRIM(A273),FIND("]",TRIM(A273)&amp;"]")+1,200)),TRIM(A273))&amp;"(")-1)),IF(LEFT(TRIM(A273),1)="[",TRIM(MID(TRIM(A273),FIND("]",TRIM(A273)&amp;"]")+1,200)),TRIM(A273))))&gt;0,IF(RIGHT(IF(LEFT(TRIM(A273),1)="[",TRIM(MID(TRIM(A273),FIND("]",TRIM(A273)&amp;"]")+1,200)),TRIM(A273)),1)=")",TRIM(LEFT(IF(LEFT(TRIM(A273),1)="[",TRIM(MID(TRIM(A273),FIND("]",TRIM(A273)&amp;"]")+1,200)),TRIM(A273)),FIND("(",IF(LEFT(TRIM(A273),1)="[",TRIM(MID(TRIM(A273),FIND("]",TRIM(A273)&amp;"]")+1,200)),TRIM(A273))&amp;"(")-1)),IF(LEFT(TRIM(A273),1)="[",TRIM(MID(TRIM(A273),FIND("]",TRIM(A273)&amp;"]")+1,200)),TRIM(A273))),""))</f>
      </c>
      <c r="C273" s="17">
        <f>IF(B273&lt;&gt;"",B273,C272)</f>
      </c>
      <c r="D273" s="17">
        <f>IF(A273="","",IF(OR(LEFT(UPPER(TRIM(A273)),2)="Y:",LEFT(UPPER(TRIM(A273)),10)="YESTERDAY:"),"Y",IF(OR(LEFT(UPPER(TRIM(A273)),2)="T:",LEFT(UPPER(TRIM(A273)),6)="TODAY:"),"T",IF(OR(LEFT(UPPER(TRIM(A273)),2)="B:",LEFT(UPPER(TRIM(A273)),8)="BLOCKER:",LEFT(UPPER(TRIM(A273)),9)="BLOCKERS:",LEFT(UPPER(TRIM(A273)),8)="BLOCKED:"),"B",""))))</f>
      </c>
      <c r="E273" s="17">
        <f>IF(D273="","",TRIM(MID(A273,FIND(":",A273)+1,500)))</f>
      </c>
    </row>
    <row r="274">
      <c r="B274" s="17">
        <f>IF(A274="","",IF(COUNTIF(Roster[Name],IF(RIGHT(IF(LEFT(TRIM(A274),1)="[",TRIM(MID(TRIM(A274),FIND("]",TRIM(A274)&amp;"]")+1,200)),TRIM(A274)),1)=")",TRIM(LEFT(IF(LEFT(TRIM(A274),1)="[",TRIM(MID(TRIM(A274),FIND("]",TRIM(A274)&amp;"]")+1,200)),TRIM(A274)),FIND("(",IF(LEFT(TRIM(A274),1)="[",TRIM(MID(TRIM(A274),FIND("]",TRIM(A274)&amp;"]")+1,200)),TRIM(A274))&amp;"(")-1)),IF(LEFT(TRIM(A274),1)="[",TRIM(MID(TRIM(A274),FIND("]",TRIM(A274)&amp;"]")+1,200)),TRIM(A274))))&gt;0,IF(RIGHT(IF(LEFT(TRIM(A274),1)="[",TRIM(MID(TRIM(A274),FIND("]",TRIM(A274)&amp;"]")+1,200)),TRIM(A274)),1)=")",TRIM(LEFT(IF(LEFT(TRIM(A274),1)="[",TRIM(MID(TRIM(A274),FIND("]",TRIM(A274)&amp;"]")+1,200)),TRIM(A274)),FIND("(",IF(LEFT(TRIM(A274),1)="[",TRIM(MID(TRIM(A274),FIND("]",TRIM(A274)&amp;"]")+1,200)),TRIM(A274))&amp;"(")-1)),IF(LEFT(TRIM(A274),1)="[",TRIM(MID(TRIM(A274),FIND("]",TRIM(A274)&amp;"]")+1,200)),TRIM(A274))),""))</f>
      </c>
      <c r="C274" s="17">
        <f>IF(B274&lt;&gt;"",B274,C273)</f>
      </c>
      <c r="D274" s="17">
        <f>IF(A274="","",IF(OR(LEFT(UPPER(TRIM(A274)),2)="Y:",LEFT(UPPER(TRIM(A274)),10)="YESTERDAY:"),"Y",IF(OR(LEFT(UPPER(TRIM(A274)),2)="T:",LEFT(UPPER(TRIM(A274)),6)="TODAY:"),"T",IF(OR(LEFT(UPPER(TRIM(A274)),2)="B:",LEFT(UPPER(TRIM(A274)),8)="BLOCKER:",LEFT(UPPER(TRIM(A274)),9)="BLOCKERS:",LEFT(UPPER(TRIM(A274)),8)="BLOCKED:"),"B",""))))</f>
      </c>
      <c r="E274" s="17">
        <f>IF(D274="","",TRIM(MID(A274,FIND(":",A274)+1,500)))</f>
      </c>
    </row>
    <row r="275">
      <c r="B275" s="17">
        <f>IF(A275="","",IF(COUNTIF(Roster[Name],IF(RIGHT(IF(LEFT(TRIM(A275),1)="[",TRIM(MID(TRIM(A275),FIND("]",TRIM(A275)&amp;"]")+1,200)),TRIM(A275)),1)=")",TRIM(LEFT(IF(LEFT(TRIM(A275),1)="[",TRIM(MID(TRIM(A275),FIND("]",TRIM(A275)&amp;"]")+1,200)),TRIM(A275)),FIND("(",IF(LEFT(TRIM(A275),1)="[",TRIM(MID(TRIM(A275),FIND("]",TRIM(A275)&amp;"]")+1,200)),TRIM(A275))&amp;"(")-1)),IF(LEFT(TRIM(A275),1)="[",TRIM(MID(TRIM(A275),FIND("]",TRIM(A275)&amp;"]")+1,200)),TRIM(A275))))&gt;0,IF(RIGHT(IF(LEFT(TRIM(A275),1)="[",TRIM(MID(TRIM(A275),FIND("]",TRIM(A275)&amp;"]")+1,200)),TRIM(A275)),1)=")",TRIM(LEFT(IF(LEFT(TRIM(A275),1)="[",TRIM(MID(TRIM(A275),FIND("]",TRIM(A275)&amp;"]")+1,200)),TRIM(A275)),FIND("(",IF(LEFT(TRIM(A275),1)="[",TRIM(MID(TRIM(A275),FIND("]",TRIM(A275)&amp;"]")+1,200)),TRIM(A275))&amp;"(")-1)),IF(LEFT(TRIM(A275),1)="[",TRIM(MID(TRIM(A275),FIND("]",TRIM(A275)&amp;"]")+1,200)),TRIM(A275))),""))</f>
      </c>
      <c r="C275" s="17">
        <f>IF(B275&lt;&gt;"",B275,C274)</f>
      </c>
      <c r="D275" s="17">
        <f>IF(A275="","",IF(OR(LEFT(UPPER(TRIM(A275)),2)="Y:",LEFT(UPPER(TRIM(A275)),10)="YESTERDAY:"),"Y",IF(OR(LEFT(UPPER(TRIM(A275)),2)="T:",LEFT(UPPER(TRIM(A275)),6)="TODAY:"),"T",IF(OR(LEFT(UPPER(TRIM(A275)),2)="B:",LEFT(UPPER(TRIM(A275)),8)="BLOCKER:",LEFT(UPPER(TRIM(A275)),9)="BLOCKERS:",LEFT(UPPER(TRIM(A275)),8)="BLOCKED:"),"B",""))))</f>
      </c>
      <c r="E275" s="17">
        <f>IF(D275="","",TRIM(MID(A275,FIND(":",A275)+1,500)))</f>
      </c>
    </row>
    <row r="276">
      <c r="B276" s="17">
        <f>IF(A276="","",IF(COUNTIF(Roster[Name],IF(RIGHT(IF(LEFT(TRIM(A276),1)="[",TRIM(MID(TRIM(A276),FIND("]",TRIM(A276)&amp;"]")+1,200)),TRIM(A276)),1)=")",TRIM(LEFT(IF(LEFT(TRIM(A276),1)="[",TRIM(MID(TRIM(A276),FIND("]",TRIM(A276)&amp;"]")+1,200)),TRIM(A276)),FIND("(",IF(LEFT(TRIM(A276),1)="[",TRIM(MID(TRIM(A276),FIND("]",TRIM(A276)&amp;"]")+1,200)),TRIM(A276))&amp;"(")-1)),IF(LEFT(TRIM(A276),1)="[",TRIM(MID(TRIM(A276),FIND("]",TRIM(A276)&amp;"]")+1,200)),TRIM(A276))))&gt;0,IF(RIGHT(IF(LEFT(TRIM(A276),1)="[",TRIM(MID(TRIM(A276),FIND("]",TRIM(A276)&amp;"]")+1,200)),TRIM(A276)),1)=")",TRIM(LEFT(IF(LEFT(TRIM(A276),1)="[",TRIM(MID(TRIM(A276),FIND("]",TRIM(A276)&amp;"]")+1,200)),TRIM(A276)),FIND("(",IF(LEFT(TRIM(A276),1)="[",TRIM(MID(TRIM(A276),FIND("]",TRIM(A276)&amp;"]")+1,200)),TRIM(A276))&amp;"(")-1)),IF(LEFT(TRIM(A276),1)="[",TRIM(MID(TRIM(A276),FIND("]",TRIM(A276)&amp;"]")+1,200)),TRIM(A276))),""))</f>
      </c>
      <c r="C276" s="17">
        <f>IF(B276&lt;&gt;"",B276,C275)</f>
      </c>
      <c r="D276" s="17">
        <f>IF(A276="","",IF(OR(LEFT(UPPER(TRIM(A276)),2)="Y:",LEFT(UPPER(TRIM(A276)),10)="YESTERDAY:"),"Y",IF(OR(LEFT(UPPER(TRIM(A276)),2)="T:",LEFT(UPPER(TRIM(A276)),6)="TODAY:"),"T",IF(OR(LEFT(UPPER(TRIM(A276)),2)="B:",LEFT(UPPER(TRIM(A276)),8)="BLOCKER:",LEFT(UPPER(TRIM(A276)),9)="BLOCKERS:",LEFT(UPPER(TRIM(A276)),8)="BLOCKED:"),"B",""))))</f>
      </c>
      <c r="E276" s="17">
        <f>IF(D276="","",TRIM(MID(A276,FIND(":",A276)+1,500)))</f>
      </c>
    </row>
    <row r="277">
      <c r="B277" s="17">
        <f>IF(A277="","",IF(COUNTIF(Roster[Name],IF(RIGHT(IF(LEFT(TRIM(A277),1)="[",TRIM(MID(TRIM(A277),FIND("]",TRIM(A277)&amp;"]")+1,200)),TRIM(A277)),1)=")",TRIM(LEFT(IF(LEFT(TRIM(A277),1)="[",TRIM(MID(TRIM(A277),FIND("]",TRIM(A277)&amp;"]")+1,200)),TRIM(A277)),FIND("(",IF(LEFT(TRIM(A277),1)="[",TRIM(MID(TRIM(A277),FIND("]",TRIM(A277)&amp;"]")+1,200)),TRIM(A277))&amp;"(")-1)),IF(LEFT(TRIM(A277),1)="[",TRIM(MID(TRIM(A277),FIND("]",TRIM(A277)&amp;"]")+1,200)),TRIM(A277))))&gt;0,IF(RIGHT(IF(LEFT(TRIM(A277),1)="[",TRIM(MID(TRIM(A277),FIND("]",TRIM(A277)&amp;"]")+1,200)),TRIM(A277)),1)=")",TRIM(LEFT(IF(LEFT(TRIM(A277),1)="[",TRIM(MID(TRIM(A277),FIND("]",TRIM(A277)&amp;"]")+1,200)),TRIM(A277)),FIND("(",IF(LEFT(TRIM(A277),1)="[",TRIM(MID(TRIM(A277),FIND("]",TRIM(A277)&amp;"]")+1,200)),TRIM(A277))&amp;"(")-1)),IF(LEFT(TRIM(A277),1)="[",TRIM(MID(TRIM(A277),FIND("]",TRIM(A277)&amp;"]")+1,200)),TRIM(A277))),""))</f>
      </c>
      <c r="C277" s="17">
        <f>IF(B277&lt;&gt;"",B277,C276)</f>
      </c>
      <c r="D277" s="17">
        <f>IF(A277="","",IF(OR(LEFT(UPPER(TRIM(A277)),2)="Y:",LEFT(UPPER(TRIM(A277)),10)="YESTERDAY:"),"Y",IF(OR(LEFT(UPPER(TRIM(A277)),2)="T:",LEFT(UPPER(TRIM(A277)),6)="TODAY:"),"T",IF(OR(LEFT(UPPER(TRIM(A277)),2)="B:",LEFT(UPPER(TRIM(A277)),8)="BLOCKER:",LEFT(UPPER(TRIM(A277)),9)="BLOCKERS:",LEFT(UPPER(TRIM(A277)),8)="BLOCKED:"),"B",""))))</f>
      </c>
      <c r="E277" s="17">
        <f>IF(D277="","",TRIM(MID(A277,FIND(":",A277)+1,500)))</f>
      </c>
    </row>
    <row r="278">
      <c r="B278" s="17">
        <f>IF(A278="","",IF(COUNTIF(Roster[Name],IF(RIGHT(IF(LEFT(TRIM(A278),1)="[",TRIM(MID(TRIM(A278),FIND("]",TRIM(A278)&amp;"]")+1,200)),TRIM(A278)),1)=")",TRIM(LEFT(IF(LEFT(TRIM(A278),1)="[",TRIM(MID(TRIM(A278),FIND("]",TRIM(A278)&amp;"]")+1,200)),TRIM(A278)),FIND("(",IF(LEFT(TRIM(A278),1)="[",TRIM(MID(TRIM(A278),FIND("]",TRIM(A278)&amp;"]")+1,200)),TRIM(A278))&amp;"(")-1)),IF(LEFT(TRIM(A278),1)="[",TRIM(MID(TRIM(A278),FIND("]",TRIM(A278)&amp;"]")+1,200)),TRIM(A278))))&gt;0,IF(RIGHT(IF(LEFT(TRIM(A278),1)="[",TRIM(MID(TRIM(A278),FIND("]",TRIM(A278)&amp;"]")+1,200)),TRIM(A278)),1)=")",TRIM(LEFT(IF(LEFT(TRIM(A278),1)="[",TRIM(MID(TRIM(A278),FIND("]",TRIM(A278)&amp;"]")+1,200)),TRIM(A278)),FIND("(",IF(LEFT(TRIM(A278),1)="[",TRIM(MID(TRIM(A278),FIND("]",TRIM(A278)&amp;"]")+1,200)),TRIM(A278))&amp;"(")-1)),IF(LEFT(TRIM(A278),1)="[",TRIM(MID(TRIM(A278),FIND("]",TRIM(A278)&amp;"]")+1,200)),TRIM(A278))),""))</f>
      </c>
      <c r="C278" s="17">
        <f>IF(B278&lt;&gt;"",B278,C277)</f>
      </c>
      <c r="D278" s="17">
        <f>IF(A278="","",IF(OR(LEFT(UPPER(TRIM(A278)),2)="Y:",LEFT(UPPER(TRIM(A278)),10)="YESTERDAY:"),"Y",IF(OR(LEFT(UPPER(TRIM(A278)),2)="T:",LEFT(UPPER(TRIM(A278)),6)="TODAY:"),"T",IF(OR(LEFT(UPPER(TRIM(A278)),2)="B:",LEFT(UPPER(TRIM(A278)),8)="BLOCKER:",LEFT(UPPER(TRIM(A278)),9)="BLOCKERS:",LEFT(UPPER(TRIM(A278)),8)="BLOCKED:"),"B",""))))</f>
      </c>
      <c r="E278" s="17">
        <f>IF(D278="","",TRIM(MID(A278,FIND(":",A278)+1,500)))</f>
      </c>
    </row>
    <row r="279">
      <c r="B279" s="17">
        <f>IF(A279="","",IF(COUNTIF(Roster[Name],IF(RIGHT(IF(LEFT(TRIM(A279),1)="[",TRIM(MID(TRIM(A279),FIND("]",TRIM(A279)&amp;"]")+1,200)),TRIM(A279)),1)=")",TRIM(LEFT(IF(LEFT(TRIM(A279),1)="[",TRIM(MID(TRIM(A279),FIND("]",TRIM(A279)&amp;"]")+1,200)),TRIM(A279)),FIND("(",IF(LEFT(TRIM(A279),1)="[",TRIM(MID(TRIM(A279),FIND("]",TRIM(A279)&amp;"]")+1,200)),TRIM(A279))&amp;"(")-1)),IF(LEFT(TRIM(A279),1)="[",TRIM(MID(TRIM(A279),FIND("]",TRIM(A279)&amp;"]")+1,200)),TRIM(A279))))&gt;0,IF(RIGHT(IF(LEFT(TRIM(A279),1)="[",TRIM(MID(TRIM(A279),FIND("]",TRIM(A279)&amp;"]")+1,200)),TRIM(A279)),1)=")",TRIM(LEFT(IF(LEFT(TRIM(A279),1)="[",TRIM(MID(TRIM(A279),FIND("]",TRIM(A279)&amp;"]")+1,200)),TRIM(A279)),FIND("(",IF(LEFT(TRIM(A279),1)="[",TRIM(MID(TRIM(A279),FIND("]",TRIM(A279)&amp;"]")+1,200)),TRIM(A279))&amp;"(")-1)),IF(LEFT(TRIM(A279),1)="[",TRIM(MID(TRIM(A279),FIND("]",TRIM(A279)&amp;"]")+1,200)),TRIM(A279))),""))</f>
      </c>
      <c r="C279" s="17">
        <f>IF(B279&lt;&gt;"",B279,C278)</f>
      </c>
      <c r="D279" s="17">
        <f>IF(A279="","",IF(OR(LEFT(UPPER(TRIM(A279)),2)="Y:",LEFT(UPPER(TRIM(A279)),10)="YESTERDAY:"),"Y",IF(OR(LEFT(UPPER(TRIM(A279)),2)="T:",LEFT(UPPER(TRIM(A279)),6)="TODAY:"),"T",IF(OR(LEFT(UPPER(TRIM(A279)),2)="B:",LEFT(UPPER(TRIM(A279)),8)="BLOCKER:",LEFT(UPPER(TRIM(A279)),9)="BLOCKERS:",LEFT(UPPER(TRIM(A279)),8)="BLOCKED:"),"B",""))))</f>
      </c>
      <c r="E279" s="17">
        <f>IF(D279="","",TRIM(MID(A279,FIND(":",A279)+1,500)))</f>
      </c>
    </row>
    <row r="280">
      <c r="B280" s="17">
        <f>IF(A280="","",IF(COUNTIF(Roster[Name],IF(RIGHT(IF(LEFT(TRIM(A280),1)="[",TRIM(MID(TRIM(A280),FIND("]",TRIM(A280)&amp;"]")+1,200)),TRIM(A280)),1)=")",TRIM(LEFT(IF(LEFT(TRIM(A280),1)="[",TRIM(MID(TRIM(A280),FIND("]",TRIM(A280)&amp;"]")+1,200)),TRIM(A280)),FIND("(",IF(LEFT(TRIM(A280),1)="[",TRIM(MID(TRIM(A280),FIND("]",TRIM(A280)&amp;"]")+1,200)),TRIM(A280))&amp;"(")-1)),IF(LEFT(TRIM(A280),1)="[",TRIM(MID(TRIM(A280),FIND("]",TRIM(A280)&amp;"]")+1,200)),TRIM(A280))))&gt;0,IF(RIGHT(IF(LEFT(TRIM(A280),1)="[",TRIM(MID(TRIM(A280),FIND("]",TRIM(A280)&amp;"]")+1,200)),TRIM(A280)),1)=")",TRIM(LEFT(IF(LEFT(TRIM(A280),1)="[",TRIM(MID(TRIM(A280),FIND("]",TRIM(A280)&amp;"]")+1,200)),TRIM(A280)),FIND("(",IF(LEFT(TRIM(A280),1)="[",TRIM(MID(TRIM(A280),FIND("]",TRIM(A280)&amp;"]")+1,200)),TRIM(A280))&amp;"(")-1)),IF(LEFT(TRIM(A280),1)="[",TRIM(MID(TRIM(A280),FIND("]",TRIM(A280)&amp;"]")+1,200)),TRIM(A280))),""))</f>
      </c>
      <c r="C280" s="17">
        <f>IF(B280&lt;&gt;"",B280,C279)</f>
      </c>
      <c r="D280" s="17">
        <f>IF(A280="","",IF(OR(LEFT(UPPER(TRIM(A280)),2)="Y:",LEFT(UPPER(TRIM(A280)),10)="YESTERDAY:"),"Y",IF(OR(LEFT(UPPER(TRIM(A280)),2)="T:",LEFT(UPPER(TRIM(A280)),6)="TODAY:"),"T",IF(OR(LEFT(UPPER(TRIM(A280)),2)="B:",LEFT(UPPER(TRIM(A280)),8)="BLOCKER:",LEFT(UPPER(TRIM(A280)),9)="BLOCKERS:",LEFT(UPPER(TRIM(A280)),8)="BLOCKED:"),"B",""))))</f>
      </c>
      <c r="E280" s="17">
        <f>IF(D280="","",TRIM(MID(A280,FIND(":",A280)+1,500)))</f>
      </c>
    </row>
    <row r="281">
      <c r="B281" s="17">
        <f>IF(A281="","",IF(COUNTIF(Roster[Name],IF(RIGHT(IF(LEFT(TRIM(A281),1)="[",TRIM(MID(TRIM(A281),FIND("]",TRIM(A281)&amp;"]")+1,200)),TRIM(A281)),1)=")",TRIM(LEFT(IF(LEFT(TRIM(A281),1)="[",TRIM(MID(TRIM(A281),FIND("]",TRIM(A281)&amp;"]")+1,200)),TRIM(A281)),FIND("(",IF(LEFT(TRIM(A281),1)="[",TRIM(MID(TRIM(A281),FIND("]",TRIM(A281)&amp;"]")+1,200)),TRIM(A281))&amp;"(")-1)),IF(LEFT(TRIM(A281),1)="[",TRIM(MID(TRIM(A281),FIND("]",TRIM(A281)&amp;"]")+1,200)),TRIM(A281))))&gt;0,IF(RIGHT(IF(LEFT(TRIM(A281),1)="[",TRIM(MID(TRIM(A281),FIND("]",TRIM(A281)&amp;"]")+1,200)),TRIM(A281)),1)=")",TRIM(LEFT(IF(LEFT(TRIM(A281),1)="[",TRIM(MID(TRIM(A281),FIND("]",TRIM(A281)&amp;"]")+1,200)),TRIM(A281)),FIND("(",IF(LEFT(TRIM(A281),1)="[",TRIM(MID(TRIM(A281),FIND("]",TRIM(A281)&amp;"]")+1,200)),TRIM(A281))&amp;"(")-1)),IF(LEFT(TRIM(A281),1)="[",TRIM(MID(TRIM(A281),FIND("]",TRIM(A281)&amp;"]")+1,200)),TRIM(A281))),""))</f>
      </c>
      <c r="C281" s="17">
        <f>IF(B281&lt;&gt;"",B281,C280)</f>
      </c>
      <c r="D281" s="17">
        <f>IF(A281="","",IF(OR(LEFT(UPPER(TRIM(A281)),2)="Y:",LEFT(UPPER(TRIM(A281)),10)="YESTERDAY:"),"Y",IF(OR(LEFT(UPPER(TRIM(A281)),2)="T:",LEFT(UPPER(TRIM(A281)),6)="TODAY:"),"T",IF(OR(LEFT(UPPER(TRIM(A281)),2)="B:",LEFT(UPPER(TRIM(A281)),8)="BLOCKER:",LEFT(UPPER(TRIM(A281)),9)="BLOCKERS:",LEFT(UPPER(TRIM(A281)),8)="BLOCKED:"),"B",""))))</f>
      </c>
      <c r="E281" s="17">
        <f>IF(D281="","",TRIM(MID(A281,FIND(":",A281)+1,500)))</f>
      </c>
    </row>
    <row r="282">
      <c r="B282" s="17">
        <f>IF(A282="","",IF(COUNTIF(Roster[Name],IF(RIGHT(IF(LEFT(TRIM(A282),1)="[",TRIM(MID(TRIM(A282),FIND("]",TRIM(A282)&amp;"]")+1,200)),TRIM(A282)),1)=")",TRIM(LEFT(IF(LEFT(TRIM(A282),1)="[",TRIM(MID(TRIM(A282),FIND("]",TRIM(A282)&amp;"]")+1,200)),TRIM(A282)),FIND("(",IF(LEFT(TRIM(A282),1)="[",TRIM(MID(TRIM(A282),FIND("]",TRIM(A282)&amp;"]")+1,200)),TRIM(A282))&amp;"(")-1)),IF(LEFT(TRIM(A282),1)="[",TRIM(MID(TRIM(A282),FIND("]",TRIM(A282)&amp;"]")+1,200)),TRIM(A282))))&gt;0,IF(RIGHT(IF(LEFT(TRIM(A282),1)="[",TRIM(MID(TRIM(A282),FIND("]",TRIM(A282)&amp;"]")+1,200)),TRIM(A282)),1)=")",TRIM(LEFT(IF(LEFT(TRIM(A282),1)="[",TRIM(MID(TRIM(A282),FIND("]",TRIM(A282)&amp;"]")+1,200)),TRIM(A282)),FIND("(",IF(LEFT(TRIM(A282),1)="[",TRIM(MID(TRIM(A282),FIND("]",TRIM(A282)&amp;"]")+1,200)),TRIM(A282))&amp;"(")-1)),IF(LEFT(TRIM(A282),1)="[",TRIM(MID(TRIM(A282),FIND("]",TRIM(A282)&amp;"]")+1,200)),TRIM(A282))),""))</f>
      </c>
      <c r="C282" s="17">
        <f>IF(B282&lt;&gt;"",B282,C281)</f>
      </c>
      <c r="D282" s="17">
        <f>IF(A282="","",IF(OR(LEFT(UPPER(TRIM(A282)),2)="Y:",LEFT(UPPER(TRIM(A282)),10)="YESTERDAY:"),"Y",IF(OR(LEFT(UPPER(TRIM(A282)),2)="T:",LEFT(UPPER(TRIM(A282)),6)="TODAY:"),"T",IF(OR(LEFT(UPPER(TRIM(A282)),2)="B:",LEFT(UPPER(TRIM(A282)),8)="BLOCKER:",LEFT(UPPER(TRIM(A282)),9)="BLOCKERS:",LEFT(UPPER(TRIM(A282)),8)="BLOCKED:"),"B",""))))</f>
      </c>
      <c r="E282" s="17">
        <f>IF(D282="","",TRIM(MID(A282,FIND(":",A282)+1,500)))</f>
      </c>
    </row>
    <row r="283">
      <c r="B283" s="17">
        <f>IF(A283="","",IF(COUNTIF(Roster[Name],IF(RIGHT(IF(LEFT(TRIM(A283),1)="[",TRIM(MID(TRIM(A283),FIND("]",TRIM(A283)&amp;"]")+1,200)),TRIM(A283)),1)=")",TRIM(LEFT(IF(LEFT(TRIM(A283),1)="[",TRIM(MID(TRIM(A283),FIND("]",TRIM(A283)&amp;"]")+1,200)),TRIM(A283)),FIND("(",IF(LEFT(TRIM(A283),1)="[",TRIM(MID(TRIM(A283),FIND("]",TRIM(A283)&amp;"]")+1,200)),TRIM(A283))&amp;"(")-1)),IF(LEFT(TRIM(A283),1)="[",TRIM(MID(TRIM(A283),FIND("]",TRIM(A283)&amp;"]")+1,200)),TRIM(A283))))&gt;0,IF(RIGHT(IF(LEFT(TRIM(A283),1)="[",TRIM(MID(TRIM(A283),FIND("]",TRIM(A283)&amp;"]")+1,200)),TRIM(A283)),1)=")",TRIM(LEFT(IF(LEFT(TRIM(A283),1)="[",TRIM(MID(TRIM(A283),FIND("]",TRIM(A283)&amp;"]")+1,200)),TRIM(A283)),FIND("(",IF(LEFT(TRIM(A283),1)="[",TRIM(MID(TRIM(A283),FIND("]",TRIM(A283)&amp;"]")+1,200)),TRIM(A283))&amp;"(")-1)),IF(LEFT(TRIM(A283),1)="[",TRIM(MID(TRIM(A283),FIND("]",TRIM(A283)&amp;"]")+1,200)),TRIM(A283))),""))</f>
      </c>
      <c r="C283" s="17">
        <f>IF(B283&lt;&gt;"",B283,C282)</f>
      </c>
      <c r="D283" s="17">
        <f>IF(A283="","",IF(OR(LEFT(UPPER(TRIM(A283)),2)="Y:",LEFT(UPPER(TRIM(A283)),10)="YESTERDAY:"),"Y",IF(OR(LEFT(UPPER(TRIM(A283)),2)="T:",LEFT(UPPER(TRIM(A283)),6)="TODAY:"),"T",IF(OR(LEFT(UPPER(TRIM(A283)),2)="B:",LEFT(UPPER(TRIM(A283)),8)="BLOCKER:",LEFT(UPPER(TRIM(A283)),9)="BLOCKERS:",LEFT(UPPER(TRIM(A283)),8)="BLOCKED:"),"B",""))))</f>
      </c>
      <c r="E283" s="17">
        <f>IF(D283="","",TRIM(MID(A283,FIND(":",A283)+1,500)))</f>
      </c>
    </row>
    <row r="284">
      <c r="B284" s="17">
        <f>IF(A284="","",IF(COUNTIF(Roster[Name],IF(RIGHT(IF(LEFT(TRIM(A284),1)="[",TRIM(MID(TRIM(A284),FIND("]",TRIM(A284)&amp;"]")+1,200)),TRIM(A284)),1)=")",TRIM(LEFT(IF(LEFT(TRIM(A284),1)="[",TRIM(MID(TRIM(A284),FIND("]",TRIM(A284)&amp;"]")+1,200)),TRIM(A284)),FIND("(",IF(LEFT(TRIM(A284),1)="[",TRIM(MID(TRIM(A284),FIND("]",TRIM(A284)&amp;"]")+1,200)),TRIM(A284))&amp;"(")-1)),IF(LEFT(TRIM(A284),1)="[",TRIM(MID(TRIM(A284),FIND("]",TRIM(A284)&amp;"]")+1,200)),TRIM(A284))))&gt;0,IF(RIGHT(IF(LEFT(TRIM(A284),1)="[",TRIM(MID(TRIM(A284),FIND("]",TRIM(A284)&amp;"]")+1,200)),TRIM(A284)),1)=")",TRIM(LEFT(IF(LEFT(TRIM(A284),1)="[",TRIM(MID(TRIM(A284),FIND("]",TRIM(A284)&amp;"]")+1,200)),TRIM(A284)),FIND("(",IF(LEFT(TRIM(A284),1)="[",TRIM(MID(TRIM(A284),FIND("]",TRIM(A284)&amp;"]")+1,200)),TRIM(A284))&amp;"(")-1)),IF(LEFT(TRIM(A284),1)="[",TRIM(MID(TRIM(A284),FIND("]",TRIM(A284)&amp;"]")+1,200)),TRIM(A284))),""))</f>
      </c>
      <c r="C284" s="17">
        <f>IF(B284&lt;&gt;"",B284,C283)</f>
      </c>
      <c r="D284" s="17">
        <f>IF(A284="","",IF(OR(LEFT(UPPER(TRIM(A284)),2)="Y:",LEFT(UPPER(TRIM(A284)),10)="YESTERDAY:"),"Y",IF(OR(LEFT(UPPER(TRIM(A284)),2)="T:",LEFT(UPPER(TRIM(A284)),6)="TODAY:"),"T",IF(OR(LEFT(UPPER(TRIM(A284)),2)="B:",LEFT(UPPER(TRIM(A284)),8)="BLOCKER:",LEFT(UPPER(TRIM(A284)),9)="BLOCKERS:",LEFT(UPPER(TRIM(A284)),8)="BLOCKED:"),"B",""))))</f>
      </c>
      <c r="E284" s="17">
        <f>IF(D284="","",TRIM(MID(A284,FIND(":",A284)+1,500)))</f>
      </c>
    </row>
    <row r="285">
      <c r="B285" s="17">
        <f>IF(A285="","",IF(COUNTIF(Roster[Name],IF(RIGHT(IF(LEFT(TRIM(A285),1)="[",TRIM(MID(TRIM(A285),FIND("]",TRIM(A285)&amp;"]")+1,200)),TRIM(A285)),1)=")",TRIM(LEFT(IF(LEFT(TRIM(A285),1)="[",TRIM(MID(TRIM(A285),FIND("]",TRIM(A285)&amp;"]")+1,200)),TRIM(A285)),FIND("(",IF(LEFT(TRIM(A285),1)="[",TRIM(MID(TRIM(A285),FIND("]",TRIM(A285)&amp;"]")+1,200)),TRIM(A285))&amp;"(")-1)),IF(LEFT(TRIM(A285),1)="[",TRIM(MID(TRIM(A285),FIND("]",TRIM(A285)&amp;"]")+1,200)),TRIM(A285))))&gt;0,IF(RIGHT(IF(LEFT(TRIM(A285),1)="[",TRIM(MID(TRIM(A285),FIND("]",TRIM(A285)&amp;"]")+1,200)),TRIM(A285)),1)=")",TRIM(LEFT(IF(LEFT(TRIM(A285),1)="[",TRIM(MID(TRIM(A285),FIND("]",TRIM(A285)&amp;"]")+1,200)),TRIM(A285)),FIND("(",IF(LEFT(TRIM(A285),1)="[",TRIM(MID(TRIM(A285),FIND("]",TRIM(A285)&amp;"]")+1,200)),TRIM(A285))&amp;"(")-1)),IF(LEFT(TRIM(A285),1)="[",TRIM(MID(TRIM(A285),FIND("]",TRIM(A285)&amp;"]")+1,200)),TRIM(A285))),""))</f>
      </c>
      <c r="C285" s="17">
        <f>IF(B285&lt;&gt;"",B285,C284)</f>
      </c>
      <c r="D285" s="17">
        <f>IF(A285="","",IF(OR(LEFT(UPPER(TRIM(A285)),2)="Y:",LEFT(UPPER(TRIM(A285)),10)="YESTERDAY:"),"Y",IF(OR(LEFT(UPPER(TRIM(A285)),2)="T:",LEFT(UPPER(TRIM(A285)),6)="TODAY:"),"T",IF(OR(LEFT(UPPER(TRIM(A285)),2)="B:",LEFT(UPPER(TRIM(A285)),8)="BLOCKER:",LEFT(UPPER(TRIM(A285)),9)="BLOCKERS:",LEFT(UPPER(TRIM(A285)),8)="BLOCKED:"),"B",""))))</f>
      </c>
      <c r="E285" s="17">
        <f>IF(D285="","",TRIM(MID(A285,FIND(":",A285)+1,500)))</f>
      </c>
    </row>
    <row r="286">
      <c r="B286" s="17">
        <f>IF(A286="","",IF(COUNTIF(Roster[Name],IF(RIGHT(IF(LEFT(TRIM(A286),1)="[",TRIM(MID(TRIM(A286),FIND("]",TRIM(A286)&amp;"]")+1,200)),TRIM(A286)),1)=")",TRIM(LEFT(IF(LEFT(TRIM(A286),1)="[",TRIM(MID(TRIM(A286),FIND("]",TRIM(A286)&amp;"]")+1,200)),TRIM(A286)),FIND("(",IF(LEFT(TRIM(A286),1)="[",TRIM(MID(TRIM(A286),FIND("]",TRIM(A286)&amp;"]")+1,200)),TRIM(A286))&amp;"(")-1)),IF(LEFT(TRIM(A286),1)="[",TRIM(MID(TRIM(A286),FIND("]",TRIM(A286)&amp;"]")+1,200)),TRIM(A286))))&gt;0,IF(RIGHT(IF(LEFT(TRIM(A286),1)="[",TRIM(MID(TRIM(A286),FIND("]",TRIM(A286)&amp;"]")+1,200)),TRIM(A286)),1)=")",TRIM(LEFT(IF(LEFT(TRIM(A286),1)="[",TRIM(MID(TRIM(A286),FIND("]",TRIM(A286)&amp;"]")+1,200)),TRIM(A286)),FIND("(",IF(LEFT(TRIM(A286),1)="[",TRIM(MID(TRIM(A286),FIND("]",TRIM(A286)&amp;"]")+1,200)),TRIM(A286))&amp;"(")-1)),IF(LEFT(TRIM(A286),1)="[",TRIM(MID(TRIM(A286),FIND("]",TRIM(A286)&amp;"]")+1,200)),TRIM(A286))),""))</f>
      </c>
      <c r="C286" s="17">
        <f>IF(B286&lt;&gt;"",B286,C285)</f>
      </c>
      <c r="D286" s="17">
        <f>IF(A286="","",IF(OR(LEFT(UPPER(TRIM(A286)),2)="Y:",LEFT(UPPER(TRIM(A286)),10)="YESTERDAY:"),"Y",IF(OR(LEFT(UPPER(TRIM(A286)),2)="T:",LEFT(UPPER(TRIM(A286)),6)="TODAY:"),"T",IF(OR(LEFT(UPPER(TRIM(A286)),2)="B:",LEFT(UPPER(TRIM(A286)),8)="BLOCKER:",LEFT(UPPER(TRIM(A286)),9)="BLOCKERS:",LEFT(UPPER(TRIM(A286)),8)="BLOCKED:"),"B",""))))</f>
      </c>
      <c r="E286" s="17">
        <f>IF(D286="","",TRIM(MID(A286,FIND(":",A286)+1,500)))</f>
      </c>
    </row>
    <row r="287">
      <c r="B287" s="17">
        <f>IF(A287="","",IF(COUNTIF(Roster[Name],IF(RIGHT(IF(LEFT(TRIM(A287),1)="[",TRIM(MID(TRIM(A287),FIND("]",TRIM(A287)&amp;"]")+1,200)),TRIM(A287)),1)=")",TRIM(LEFT(IF(LEFT(TRIM(A287),1)="[",TRIM(MID(TRIM(A287),FIND("]",TRIM(A287)&amp;"]")+1,200)),TRIM(A287)),FIND("(",IF(LEFT(TRIM(A287),1)="[",TRIM(MID(TRIM(A287),FIND("]",TRIM(A287)&amp;"]")+1,200)),TRIM(A287))&amp;"(")-1)),IF(LEFT(TRIM(A287),1)="[",TRIM(MID(TRIM(A287),FIND("]",TRIM(A287)&amp;"]")+1,200)),TRIM(A287))))&gt;0,IF(RIGHT(IF(LEFT(TRIM(A287),1)="[",TRIM(MID(TRIM(A287),FIND("]",TRIM(A287)&amp;"]")+1,200)),TRIM(A287)),1)=")",TRIM(LEFT(IF(LEFT(TRIM(A287),1)="[",TRIM(MID(TRIM(A287),FIND("]",TRIM(A287)&amp;"]")+1,200)),TRIM(A287)),FIND("(",IF(LEFT(TRIM(A287),1)="[",TRIM(MID(TRIM(A287),FIND("]",TRIM(A287)&amp;"]")+1,200)),TRIM(A287))&amp;"(")-1)),IF(LEFT(TRIM(A287),1)="[",TRIM(MID(TRIM(A287),FIND("]",TRIM(A287)&amp;"]")+1,200)),TRIM(A287))),""))</f>
      </c>
      <c r="C287" s="17">
        <f>IF(B287&lt;&gt;"",B287,C286)</f>
      </c>
      <c r="D287" s="17">
        <f>IF(A287="","",IF(OR(LEFT(UPPER(TRIM(A287)),2)="Y:",LEFT(UPPER(TRIM(A287)),10)="YESTERDAY:"),"Y",IF(OR(LEFT(UPPER(TRIM(A287)),2)="T:",LEFT(UPPER(TRIM(A287)),6)="TODAY:"),"T",IF(OR(LEFT(UPPER(TRIM(A287)),2)="B:",LEFT(UPPER(TRIM(A287)),8)="BLOCKER:",LEFT(UPPER(TRIM(A287)),9)="BLOCKERS:",LEFT(UPPER(TRIM(A287)),8)="BLOCKED:"),"B",""))))</f>
      </c>
      <c r="E287" s="17">
        <f>IF(D287="","",TRIM(MID(A287,FIND(":",A287)+1,500)))</f>
      </c>
    </row>
    <row r="288">
      <c r="B288" s="17">
        <f>IF(A288="","",IF(COUNTIF(Roster[Name],IF(RIGHT(IF(LEFT(TRIM(A288),1)="[",TRIM(MID(TRIM(A288),FIND("]",TRIM(A288)&amp;"]")+1,200)),TRIM(A288)),1)=")",TRIM(LEFT(IF(LEFT(TRIM(A288),1)="[",TRIM(MID(TRIM(A288),FIND("]",TRIM(A288)&amp;"]")+1,200)),TRIM(A288)),FIND("(",IF(LEFT(TRIM(A288),1)="[",TRIM(MID(TRIM(A288),FIND("]",TRIM(A288)&amp;"]")+1,200)),TRIM(A288))&amp;"(")-1)),IF(LEFT(TRIM(A288),1)="[",TRIM(MID(TRIM(A288),FIND("]",TRIM(A288)&amp;"]")+1,200)),TRIM(A288))))&gt;0,IF(RIGHT(IF(LEFT(TRIM(A288),1)="[",TRIM(MID(TRIM(A288),FIND("]",TRIM(A288)&amp;"]")+1,200)),TRIM(A288)),1)=")",TRIM(LEFT(IF(LEFT(TRIM(A288),1)="[",TRIM(MID(TRIM(A288),FIND("]",TRIM(A288)&amp;"]")+1,200)),TRIM(A288)),FIND("(",IF(LEFT(TRIM(A288),1)="[",TRIM(MID(TRIM(A288),FIND("]",TRIM(A288)&amp;"]")+1,200)),TRIM(A288))&amp;"(")-1)),IF(LEFT(TRIM(A288),1)="[",TRIM(MID(TRIM(A288),FIND("]",TRIM(A288)&amp;"]")+1,200)),TRIM(A288))),""))</f>
      </c>
      <c r="C288" s="17">
        <f>IF(B288&lt;&gt;"",B288,C287)</f>
      </c>
      <c r="D288" s="17">
        <f>IF(A288="","",IF(OR(LEFT(UPPER(TRIM(A288)),2)="Y:",LEFT(UPPER(TRIM(A288)),10)="YESTERDAY:"),"Y",IF(OR(LEFT(UPPER(TRIM(A288)),2)="T:",LEFT(UPPER(TRIM(A288)),6)="TODAY:"),"T",IF(OR(LEFT(UPPER(TRIM(A288)),2)="B:",LEFT(UPPER(TRIM(A288)),8)="BLOCKER:",LEFT(UPPER(TRIM(A288)),9)="BLOCKERS:",LEFT(UPPER(TRIM(A288)),8)="BLOCKED:"),"B",""))))</f>
      </c>
      <c r="E288" s="17">
        <f>IF(D288="","",TRIM(MID(A288,FIND(":",A288)+1,500)))</f>
      </c>
    </row>
    <row r="289">
      <c r="B289" s="17">
        <f>IF(A289="","",IF(COUNTIF(Roster[Name],IF(RIGHT(IF(LEFT(TRIM(A289),1)="[",TRIM(MID(TRIM(A289),FIND("]",TRIM(A289)&amp;"]")+1,200)),TRIM(A289)),1)=")",TRIM(LEFT(IF(LEFT(TRIM(A289),1)="[",TRIM(MID(TRIM(A289),FIND("]",TRIM(A289)&amp;"]")+1,200)),TRIM(A289)),FIND("(",IF(LEFT(TRIM(A289),1)="[",TRIM(MID(TRIM(A289),FIND("]",TRIM(A289)&amp;"]")+1,200)),TRIM(A289))&amp;"(")-1)),IF(LEFT(TRIM(A289),1)="[",TRIM(MID(TRIM(A289),FIND("]",TRIM(A289)&amp;"]")+1,200)),TRIM(A289))))&gt;0,IF(RIGHT(IF(LEFT(TRIM(A289),1)="[",TRIM(MID(TRIM(A289),FIND("]",TRIM(A289)&amp;"]")+1,200)),TRIM(A289)),1)=")",TRIM(LEFT(IF(LEFT(TRIM(A289),1)="[",TRIM(MID(TRIM(A289),FIND("]",TRIM(A289)&amp;"]")+1,200)),TRIM(A289)),FIND("(",IF(LEFT(TRIM(A289),1)="[",TRIM(MID(TRIM(A289),FIND("]",TRIM(A289)&amp;"]")+1,200)),TRIM(A289))&amp;"(")-1)),IF(LEFT(TRIM(A289),1)="[",TRIM(MID(TRIM(A289),FIND("]",TRIM(A289)&amp;"]")+1,200)),TRIM(A289))),""))</f>
      </c>
      <c r="C289" s="17">
        <f>IF(B289&lt;&gt;"",B289,C288)</f>
      </c>
      <c r="D289" s="17">
        <f>IF(A289="","",IF(OR(LEFT(UPPER(TRIM(A289)),2)="Y:",LEFT(UPPER(TRIM(A289)),10)="YESTERDAY:"),"Y",IF(OR(LEFT(UPPER(TRIM(A289)),2)="T:",LEFT(UPPER(TRIM(A289)),6)="TODAY:"),"T",IF(OR(LEFT(UPPER(TRIM(A289)),2)="B:",LEFT(UPPER(TRIM(A289)),8)="BLOCKER:",LEFT(UPPER(TRIM(A289)),9)="BLOCKERS:",LEFT(UPPER(TRIM(A289)),8)="BLOCKED:"),"B",""))))</f>
      </c>
      <c r="E289" s="17">
        <f>IF(D289="","",TRIM(MID(A289,FIND(":",A289)+1,500)))</f>
      </c>
    </row>
    <row r="290">
      <c r="B290" s="17">
        <f>IF(A290="","",IF(COUNTIF(Roster[Name],IF(RIGHT(IF(LEFT(TRIM(A290),1)="[",TRIM(MID(TRIM(A290),FIND("]",TRIM(A290)&amp;"]")+1,200)),TRIM(A290)),1)=")",TRIM(LEFT(IF(LEFT(TRIM(A290),1)="[",TRIM(MID(TRIM(A290),FIND("]",TRIM(A290)&amp;"]")+1,200)),TRIM(A290)),FIND("(",IF(LEFT(TRIM(A290),1)="[",TRIM(MID(TRIM(A290),FIND("]",TRIM(A290)&amp;"]")+1,200)),TRIM(A290))&amp;"(")-1)),IF(LEFT(TRIM(A290),1)="[",TRIM(MID(TRIM(A290),FIND("]",TRIM(A290)&amp;"]")+1,200)),TRIM(A290))))&gt;0,IF(RIGHT(IF(LEFT(TRIM(A290),1)="[",TRIM(MID(TRIM(A290),FIND("]",TRIM(A290)&amp;"]")+1,200)),TRIM(A290)),1)=")",TRIM(LEFT(IF(LEFT(TRIM(A290),1)="[",TRIM(MID(TRIM(A290),FIND("]",TRIM(A290)&amp;"]")+1,200)),TRIM(A290)),FIND("(",IF(LEFT(TRIM(A290),1)="[",TRIM(MID(TRIM(A290),FIND("]",TRIM(A290)&amp;"]")+1,200)),TRIM(A290))&amp;"(")-1)),IF(LEFT(TRIM(A290),1)="[",TRIM(MID(TRIM(A290),FIND("]",TRIM(A290)&amp;"]")+1,200)),TRIM(A290))),""))</f>
      </c>
      <c r="C290" s="17">
        <f>IF(B290&lt;&gt;"",B290,C289)</f>
      </c>
      <c r="D290" s="17">
        <f>IF(A290="","",IF(OR(LEFT(UPPER(TRIM(A290)),2)="Y:",LEFT(UPPER(TRIM(A290)),10)="YESTERDAY:"),"Y",IF(OR(LEFT(UPPER(TRIM(A290)),2)="T:",LEFT(UPPER(TRIM(A290)),6)="TODAY:"),"T",IF(OR(LEFT(UPPER(TRIM(A290)),2)="B:",LEFT(UPPER(TRIM(A290)),8)="BLOCKER:",LEFT(UPPER(TRIM(A290)),9)="BLOCKERS:",LEFT(UPPER(TRIM(A290)),8)="BLOCKED:"),"B",""))))</f>
      </c>
      <c r="E290" s="17">
        <f>IF(D290="","",TRIM(MID(A290,FIND(":",A290)+1,500)))</f>
      </c>
    </row>
    <row r="291">
      <c r="B291" s="17">
        <f>IF(A291="","",IF(COUNTIF(Roster[Name],IF(RIGHT(IF(LEFT(TRIM(A291),1)="[",TRIM(MID(TRIM(A291),FIND("]",TRIM(A291)&amp;"]")+1,200)),TRIM(A291)),1)=")",TRIM(LEFT(IF(LEFT(TRIM(A291),1)="[",TRIM(MID(TRIM(A291),FIND("]",TRIM(A291)&amp;"]")+1,200)),TRIM(A291)),FIND("(",IF(LEFT(TRIM(A291),1)="[",TRIM(MID(TRIM(A291),FIND("]",TRIM(A291)&amp;"]")+1,200)),TRIM(A291))&amp;"(")-1)),IF(LEFT(TRIM(A291),1)="[",TRIM(MID(TRIM(A291),FIND("]",TRIM(A291)&amp;"]")+1,200)),TRIM(A291))))&gt;0,IF(RIGHT(IF(LEFT(TRIM(A291),1)="[",TRIM(MID(TRIM(A291),FIND("]",TRIM(A291)&amp;"]")+1,200)),TRIM(A291)),1)=")",TRIM(LEFT(IF(LEFT(TRIM(A291),1)="[",TRIM(MID(TRIM(A291),FIND("]",TRIM(A291)&amp;"]")+1,200)),TRIM(A291)),FIND("(",IF(LEFT(TRIM(A291),1)="[",TRIM(MID(TRIM(A291),FIND("]",TRIM(A291)&amp;"]")+1,200)),TRIM(A291))&amp;"(")-1)),IF(LEFT(TRIM(A291),1)="[",TRIM(MID(TRIM(A291),FIND("]",TRIM(A291)&amp;"]")+1,200)),TRIM(A291))),""))</f>
      </c>
      <c r="C291" s="17">
        <f>IF(B291&lt;&gt;"",B291,C290)</f>
      </c>
      <c r="D291" s="17">
        <f>IF(A291="","",IF(OR(LEFT(UPPER(TRIM(A291)),2)="Y:",LEFT(UPPER(TRIM(A291)),10)="YESTERDAY:"),"Y",IF(OR(LEFT(UPPER(TRIM(A291)),2)="T:",LEFT(UPPER(TRIM(A291)),6)="TODAY:"),"T",IF(OR(LEFT(UPPER(TRIM(A291)),2)="B:",LEFT(UPPER(TRIM(A291)),8)="BLOCKER:",LEFT(UPPER(TRIM(A291)),9)="BLOCKERS:",LEFT(UPPER(TRIM(A291)),8)="BLOCKED:"),"B",""))))</f>
      </c>
      <c r="E291" s="17">
        <f>IF(D291="","",TRIM(MID(A291,FIND(":",A291)+1,500)))</f>
      </c>
    </row>
    <row r="292">
      <c r="B292" s="17">
        <f>IF(A292="","",IF(COUNTIF(Roster[Name],IF(RIGHT(IF(LEFT(TRIM(A292),1)="[",TRIM(MID(TRIM(A292),FIND("]",TRIM(A292)&amp;"]")+1,200)),TRIM(A292)),1)=")",TRIM(LEFT(IF(LEFT(TRIM(A292),1)="[",TRIM(MID(TRIM(A292),FIND("]",TRIM(A292)&amp;"]")+1,200)),TRIM(A292)),FIND("(",IF(LEFT(TRIM(A292),1)="[",TRIM(MID(TRIM(A292),FIND("]",TRIM(A292)&amp;"]")+1,200)),TRIM(A292))&amp;"(")-1)),IF(LEFT(TRIM(A292),1)="[",TRIM(MID(TRIM(A292),FIND("]",TRIM(A292)&amp;"]")+1,200)),TRIM(A292))))&gt;0,IF(RIGHT(IF(LEFT(TRIM(A292),1)="[",TRIM(MID(TRIM(A292),FIND("]",TRIM(A292)&amp;"]")+1,200)),TRIM(A292)),1)=")",TRIM(LEFT(IF(LEFT(TRIM(A292),1)="[",TRIM(MID(TRIM(A292),FIND("]",TRIM(A292)&amp;"]")+1,200)),TRIM(A292)),FIND("(",IF(LEFT(TRIM(A292),1)="[",TRIM(MID(TRIM(A292),FIND("]",TRIM(A292)&amp;"]")+1,200)),TRIM(A292))&amp;"(")-1)),IF(LEFT(TRIM(A292),1)="[",TRIM(MID(TRIM(A292),FIND("]",TRIM(A292)&amp;"]")+1,200)),TRIM(A292))),""))</f>
      </c>
      <c r="C292" s="17">
        <f>IF(B292&lt;&gt;"",B292,C291)</f>
      </c>
      <c r="D292" s="17">
        <f>IF(A292="","",IF(OR(LEFT(UPPER(TRIM(A292)),2)="Y:",LEFT(UPPER(TRIM(A292)),10)="YESTERDAY:"),"Y",IF(OR(LEFT(UPPER(TRIM(A292)),2)="T:",LEFT(UPPER(TRIM(A292)),6)="TODAY:"),"T",IF(OR(LEFT(UPPER(TRIM(A292)),2)="B:",LEFT(UPPER(TRIM(A292)),8)="BLOCKER:",LEFT(UPPER(TRIM(A292)),9)="BLOCKERS:",LEFT(UPPER(TRIM(A292)),8)="BLOCKED:"),"B",""))))</f>
      </c>
      <c r="E292" s="17">
        <f>IF(D292="","",TRIM(MID(A292,FIND(":",A292)+1,500)))</f>
      </c>
    </row>
    <row r="293">
      <c r="B293" s="17">
        <f>IF(A293="","",IF(COUNTIF(Roster[Name],IF(RIGHT(IF(LEFT(TRIM(A293),1)="[",TRIM(MID(TRIM(A293),FIND("]",TRIM(A293)&amp;"]")+1,200)),TRIM(A293)),1)=")",TRIM(LEFT(IF(LEFT(TRIM(A293),1)="[",TRIM(MID(TRIM(A293),FIND("]",TRIM(A293)&amp;"]")+1,200)),TRIM(A293)),FIND("(",IF(LEFT(TRIM(A293),1)="[",TRIM(MID(TRIM(A293),FIND("]",TRIM(A293)&amp;"]")+1,200)),TRIM(A293))&amp;"(")-1)),IF(LEFT(TRIM(A293),1)="[",TRIM(MID(TRIM(A293),FIND("]",TRIM(A293)&amp;"]")+1,200)),TRIM(A293))))&gt;0,IF(RIGHT(IF(LEFT(TRIM(A293),1)="[",TRIM(MID(TRIM(A293),FIND("]",TRIM(A293)&amp;"]")+1,200)),TRIM(A293)),1)=")",TRIM(LEFT(IF(LEFT(TRIM(A293),1)="[",TRIM(MID(TRIM(A293),FIND("]",TRIM(A293)&amp;"]")+1,200)),TRIM(A293)),FIND("(",IF(LEFT(TRIM(A293),1)="[",TRIM(MID(TRIM(A293),FIND("]",TRIM(A293)&amp;"]")+1,200)),TRIM(A293))&amp;"(")-1)),IF(LEFT(TRIM(A293),1)="[",TRIM(MID(TRIM(A293),FIND("]",TRIM(A293)&amp;"]")+1,200)),TRIM(A293))),""))</f>
      </c>
      <c r="C293" s="17">
        <f>IF(B293&lt;&gt;"",B293,C292)</f>
      </c>
      <c r="D293" s="17">
        <f>IF(A293="","",IF(OR(LEFT(UPPER(TRIM(A293)),2)="Y:",LEFT(UPPER(TRIM(A293)),10)="YESTERDAY:"),"Y",IF(OR(LEFT(UPPER(TRIM(A293)),2)="T:",LEFT(UPPER(TRIM(A293)),6)="TODAY:"),"T",IF(OR(LEFT(UPPER(TRIM(A293)),2)="B:",LEFT(UPPER(TRIM(A293)),8)="BLOCKER:",LEFT(UPPER(TRIM(A293)),9)="BLOCKERS:",LEFT(UPPER(TRIM(A293)),8)="BLOCKED:"),"B",""))))</f>
      </c>
      <c r="E293" s="17">
        <f>IF(D293="","",TRIM(MID(A293,FIND(":",A293)+1,500)))</f>
      </c>
    </row>
    <row r="294">
      <c r="B294" s="17">
        <f>IF(A294="","",IF(COUNTIF(Roster[Name],IF(RIGHT(IF(LEFT(TRIM(A294),1)="[",TRIM(MID(TRIM(A294),FIND("]",TRIM(A294)&amp;"]")+1,200)),TRIM(A294)),1)=")",TRIM(LEFT(IF(LEFT(TRIM(A294),1)="[",TRIM(MID(TRIM(A294),FIND("]",TRIM(A294)&amp;"]")+1,200)),TRIM(A294)),FIND("(",IF(LEFT(TRIM(A294),1)="[",TRIM(MID(TRIM(A294),FIND("]",TRIM(A294)&amp;"]")+1,200)),TRIM(A294))&amp;"(")-1)),IF(LEFT(TRIM(A294),1)="[",TRIM(MID(TRIM(A294),FIND("]",TRIM(A294)&amp;"]")+1,200)),TRIM(A294))))&gt;0,IF(RIGHT(IF(LEFT(TRIM(A294),1)="[",TRIM(MID(TRIM(A294),FIND("]",TRIM(A294)&amp;"]")+1,200)),TRIM(A294)),1)=")",TRIM(LEFT(IF(LEFT(TRIM(A294),1)="[",TRIM(MID(TRIM(A294),FIND("]",TRIM(A294)&amp;"]")+1,200)),TRIM(A294)),FIND("(",IF(LEFT(TRIM(A294),1)="[",TRIM(MID(TRIM(A294),FIND("]",TRIM(A294)&amp;"]")+1,200)),TRIM(A294))&amp;"(")-1)),IF(LEFT(TRIM(A294),1)="[",TRIM(MID(TRIM(A294),FIND("]",TRIM(A294)&amp;"]")+1,200)),TRIM(A294))),""))</f>
      </c>
      <c r="C294" s="17">
        <f>IF(B294&lt;&gt;"",B294,C293)</f>
      </c>
      <c r="D294" s="17">
        <f>IF(A294="","",IF(OR(LEFT(UPPER(TRIM(A294)),2)="Y:",LEFT(UPPER(TRIM(A294)),10)="YESTERDAY:"),"Y",IF(OR(LEFT(UPPER(TRIM(A294)),2)="T:",LEFT(UPPER(TRIM(A294)),6)="TODAY:"),"T",IF(OR(LEFT(UPPER(TRIM(A294)),2)="B:",LEFT(UPPER(TRIM(A294)),8)="BLOCKER:",LEFT(UPPER(TRIM(A294)),9)="BLOCKERS:",LEFT(UPPER(TRIM(A294)),8)="BLOCKED:"),"B",""))))</f>
      </c>
      <c r="E294" s="17">
        <f>IF(D294="","",TRIM(MID(A294,FIND(":",A294)+1,500)))</f>
      </c>
    </row>
    <row r="295">
      <c r="B295" s="17">
        <f>IF(A295="","",IF(COUNTIF(Roster[Name],IF(RIGHT(IF(LEFT(TRIM(A295),1)="[",TRIM(MID(TRIM(A295),FIND("]",TRIM(A295)&amp;"]")+1,200)),TRIM(A295)),1)=")",TRIM(LEFT(IF(LEFT(TRIM(A295),1)="[",TRIM(MID(TRIM(A295),FIND("]",TRIM(A295)&amp;"]")+1,200)),TRIM(A295)),FIND("(",IF(LEFT(TRIM(A295),1)="[",TRIM(MID(TRIM(A295),FIND("]",TRIM(A295)&amp;"]")+1,200)),TRIM(A295))&amp;"(")-1)),IF(LEFT(TRIM(A295),1)="[",TRIM(MID(TRIM(A295),FIND("]",TRIM(A295)&amp;"]")+1,200)),TRIM(A295))))&gt;0,IF(RIGHT(IF(LEFT(TRIM(A295),1)="[",TRIM(MID(TRIM(A295),FIND("]",TRIM(A295)&amp;"]")+1,200)),TRIM(A295)),1)=")",TRIM(LEFT(IF(LEFT(TRIM(A295),1)="[",TRIM(MID(TRIM(A295),FIND("]",TRIM(A295)&amp;"]")+1,200)),TRIM(A295)),FIND("(",IF(LEFT(TRIM(A295),1)="[",TRIM(MID(TRIM(A295),FIND("]",TRIM(A295)&amp;"]")+1,200)),TRIM(A295))&amp;"(")-1)),IF(LEFT(TRIM(A295),1)="[",TRIM(MID(TRIM(A295),FIND("]",TRIM(A295)&amp;"]")+1,200)),TRIM(A295))),""))</f>
      </c>
      <c r="C295" s="17">
        <f>IF(B295&lt;&gt;"",B295,C294)</f>
      </c>
      <c r="D295" s="17">
        <f>IF(A295="","",IF(OR(LEFT(UPPER(TRIM(A295)),2)="Y:",LEFT(UPPER(TRIM(A295)),10)="YESTERDAY:"),"Y",IF(OR(LEFT(UPPER(TRIM(A295)),2)="T:",LEFT(UPPER(TRIM(A295)),6)="TODAY:"),"T",IF(OR(LEFT(UPPER(TRIM(A295)),2)="B:",LEFT(UPPER(TRIM(A295)),8)="BLOCKER:",LEFT(UPPER(TRIM(A295)),9)="BLOCKERS:",LEFT(UPPER(TRIM(A295)),8)="BLOCKED:"),"B",""))))</f>
      </c>
      <c r="E295" s="17">
        <f>IF(D295="","",TRIM(MID(A295,FIND(":",A295)+1,500)))</f>
      </c>
    </row>
    <row r="296">
      <c r="B296" s="17">
        <f>IF(A296="","",IF(COUNTIF(Roster[Name],IF(RIGHT(IF(LEFT(TRIM(A296),1)="[",TRIM(MID(TRIM(A296),FIND("]",TRIM(A296)&amp;"]")+1,200)),TRIM(A296)),1)=")",TRIM(LEFT(IF(LEFT(TRIM(A296),1)="[",TRIM(MID(TRIM(A296),FIND("]",TRIM(A296)&amp;"]")+1,200)),TRIM(A296)),FIND("(",IF(LEFT(TRIM(A296),1)="[",TRIM(MID(TRIM(A296),FIND("]",TRIM(A296)&amp;"]")+1,200)),TRIM(A296))&amp;"(")-1)),IF(LEFT(TRIM(A296),1)="[",TRIM(MID(TRIM(A296),FIND("]",TRIM(A296)&amp;"]")+1,200)),TRIM(A296))))&gt;0,IF(RIGHT(IF(LEFT(TRIM(A296),1)="[",TRIM(MID(TRIM(A296),FIND("]",TRIM(A296)&amp;"]")+1,200)),TRIM(A296)),1)=")",TRIM(LEFT(IF(LEFT(TRIM(A296),1)="[",TRIM(MID(TRIM(A296),FIND("]",TRIM(A296)&amp;"]")+1,200)),TRIM(A296)),FIND("(",IF(LEFT(TRIM(A296),1)="[",TRIM(MID(TRIM(A296),FIND("]",TRIM(A296)&amp;"]")+1,200)),TRIM(A296))&amp;"(")-1)),IF(LEFT(TRIM(A296),1)="[",TRIM(MID(TRIM(A296),FIND("]",TRIM(A296)&amp;"]")+1,200)),TRIM(A296))),""))</f>
      </c>
      <c r="C296" s="17">
        <f>IF(B296&lt;&gt;"",B296,C295)</f>
      </c>
      <c r="D296" s="17">
        <f>IF(A296="","",IF(OR(LEFT(UPPER(TRIM(A296)),2)="Y:",LEFT(UPPER(TRIM(A296)),10)="YESTERDAY:"),"Y",IF(OR(LEFT(UPPER(TRIM(A296)),2)="T:",LEFT(UPPER(TRIM(A296)),6)="TODAY:"),"T",IF(OR(LEFT(UPPER(TRIM(A296)),2)="B:",LEFT(UPPER(TRIM(A296)),8)="BLOCKER:",LEFT(UPPER(TRIM(A296)),9)="BLOCKERS:",LEFT(UPPER(TRIM(A296)),8)="BLOCKED:"),"B",""))))</f>
      </c>
      <c r="E296" s="17">
        <f>IF(D296="","",TRIM(MID(A296,FIND(":",A296)+1,500)))</f>
      </c>
    </row>
    <row r="297">
      <c r="B297" s="17">
        <f>IF(A297="","",IF(COUNTIF(Roster[Name],IF(RIGHT(IF(LEFT(TRIM(A297),1)="[",TRIM(MID(TRIM(A297),FIND("]",TRIM(A297)&amp;"]")+1,200)),TRIM(A297)),1)=")",TRIM(LEFT(IF(LEFT(TRIM(A297),1)="[",TRIM(MID(TRIM(A297),FIND("]",TRIM(A297)&amp;"]")+1,200)),TRIM(A297)),FIND("(",IF(LEFT(TRIM(A297),1)="[",TRIM(MID(TRIM(A297),FIND("]",TRIM(A297)&amp;"]")+1,200)),TRIM(A297))&amp;"(")-1)),IF(LEFT(TRIM(A297),1)="[",TRIM(MID(TRIM(A297),FIND("]",TRIM(A297)&amp;"]")+1,200)),TRIM(A297))))&gt;0,IF(RIGHT(IF(LEFT(TRIM(A297),1)="[",TRIM(MID(TRIM(A297),FIND("]",TRIM(A297)&amp;"]")+1,200)),TRIM(A297)),1)=")",TRIM(LEFT(IF(LEFT(TRIM(A297),1)="[",TRIM(MID(TRIM(A297),FIND("]",TRIM(A297)&amp;"]")+1,200)),TRIM(A297)),FIND("(",IF(LEFT(TRIM(A297),1)="[",TRIM(MID(TRIM(A297),FIND("]",TRIM(A297)&amp;"]")+1,200)),TRIM(A297))&amp;"(")-1)),IF(LEFT(TRIM(A297),1)="[",TRIM(MID(TRIM(A297),FIND("]",TRIM(A297)&amp;"]")+1,200)),TRIM(A297))),""))</f>
      </c>
      <c r="C297" s="17">
        <f>IF(B297&lt;&gt;"",B297,C296)</f>
      </c>
      <c r="D297" s="17">
        <f>IF(A297="","",IF(OR(LEFT(UPPER(TRIM(A297)),2)="Y:",LEFT(UPPER(TRIM(A297)),10)="YESTERDAY:"),"Y",IF(OR(LEFT(UPPER(TRIM(A297)),2)="T:",LEFT(UPPER(TRIM(A297)),6)="TODAY:"),"T",IF(OR(LEFT(UPPER(TRIM(A297)),2)="B:",LEFT(UPPER(TRIM(A297)),8)="BLOCKER:",LEFT(UPPER(TRIM(A297)),9)="BLOCKERS:",LEFT(UPPER(TRIM(A297)),8)="BLOCKED:"),"B",""))))</f>
      </c>
      <c r="E297" s="17">
        <f>IF(D297="","",TRIM(MID(A297,FIND(":",A297)+1,500)))</f>
      </c>
    </row>
    <row r="298">
      <c r="B298" s="17">
        <f>IF(A298="","",IF(COUNTIF(Roster[Name],IF(RIGHT(IF(LEFT(TRIM(A298),1)="[",TRIM(MID(TRIM(A298),FIND("]",TRIM(A298)&amp;"]")+1,200)),TRIM(A298)),1)=")",TRIM(LEFT(IF(LEFT(TRIM(A298),1)="[",TRIM(MID(TRIM(A298),FIND("]",TRIM(A298)&amp;"]")+1,200)),TRIM(A298)),FIND("(",IF(LEFT(TRIM(A298),1)="[",TRIM(MID(TRIM(A298),FIND("]",TRIM(A298)&amp;"]")+1,200)),TRIM(A298))&amp;"(")-1)),IF(LEFT(TRIM(A298),1)="[",TRIM(MID(TRIM(A298),FIND("]",TRIM(A298)&amp;"]")+1,200)),TRIM(A298))))&gt;0,IF(RIGHT(IF(LEFT(TRIM(A298),1)="[",TRIM(MID(TRIM(A298),FIND("]",TRIM(A298)&amp;"]")+1,200)),TRIM(A298)),1)=")",TRIM(LEFT(IF(LEFT(TRIM(A298),1)="[",TRIM(MID(TRIM(A298),FIND("]",TRIM(A298)&amp;"]")+1,200)),TRIM(A298)),FIND("(",IF(LEFT(TRIM(A298),1)="[",TRIM(MID(TRIM(A298),FIND("]",TRIM(A298)&amp;"]")+1,200)),TRIM(A298))&amp;"(")-1)),IF(LEFT(TRIM(A298),1)="[",TRIM(MID(TRIM(A298),FIND("]",TRIM(A298)&amp;"]")+1,200)),TRIM(A298))),""))</f>
      </c>
      <c r="C298" s="17">
        <f>IF(B298&lt;&gt;"",B298,C297)</f>
      </c>
      <c r="D298" s="17">
        <f>IF(A298="","",IF(OR(LEFT(UPPER(TRIM(A298)),2)="Y:",LEFT(UPPER(TRIM(A298)),10)="YESTERDAY:"),"Y",IF(OR(LEFT(UPPER(TRIM(A298)),2)="T:",LEFT(UPPER(TRIM(A298)),6)="TODAY:"),"T",IF(OR(LEFT(UPPER(TRIM(A298)),2)="B:",LEFT(UPPER(TRIM(A298)),8)="BLOCKER:",LEFT(UPPER(TRIM(A298)),9)="BLOCKERS:",LEFT(UPPER(TRIM(A298)),8)="BLOCKED:"),"B",""))))</f>
      </c>
      <c r="E298" s="17">
        <f>IF(D298="","",TRIM(MID(A298,FIND(":",A298)+1,500)))</f>
      </c>
    </row>
    <row r="299">
      <c r="B299" s="17">
        <f>IF(A299="","",IF(COUNTIF(Roster[Name],IF(RIGHT(IF(LEFT(TRIM(A299),1)="[",TRIM(MID(TRIM(A299),FIND("]",TRIM(A299)&amp;"]")+1,200)),TRIM(A299)),1)=")",TRIM(LEFT(IF(LEFT(TRIM(A299),1)="[",TRIM(MID(TRIM(A299),FIND("]",TRIM(A299)&amp;"]")+1,200)),TRIM(A299)),FIND("(",IF(LEFT(TRIM(A299),1)="[",TRIM(MID(TRIM(A299),FIND("]",TRIM(A299)&amp;"]")+1,200)),TRIM(A299))&amp;"(")-1)),IF(LEFT(TRIM(A299),1)="[",TRIM(MID(TRIM(A299),FIND("]",TRIM(A299)&amp;"]")+1,200)),TRIM(A299))))&gt;0,IF(RIGHT(IF(LEFT(TRIM(A299),1)="[",TRIM(MID(TRIM(A299),FIND("]",TRIM(A299)&amp;"]")+1,200)),TRIM(A299)),1)=")",TRIM(LEFT(IF(LEFT(TRIM(A299),1)="[",TRIM(MID(TRIM(A299),FIND("]",TRIM(A299)&amp;"]")+1,200)),TRIM(A299)),FIND("(",IF(LEFT(TRIM(A299),1)="[",TRIM(MID(TRIM(A299),FIND("]",TRIM(A299)&amp;"]")+1,200)),TRIM(A299))&amp;"(")-1)),IF(LEFT(TRIM(A299),1)="[",TRIM(MID(TRIM(A299),FIND("]",TRIM(A299)&amp;"]")+1,200)),TRIM(A299))),""))</f>
      </c>
      <c r="C299" s="17">
        <f>IF(B299&lt;&gt;"",B299,C298)</f>
      </c>
      <c r="D299" s="17">
        <f>IF(A299="","",IF(OR(LEFT(UPPER(TRIM(A299)),2)="Y:",LEFT(UPPER(TRIM(A299)),10)="YESTERDAY:"),"Y",IF(OR(LEFT(UPPER(TRIM(A299)),2)="T:",LEFT(UPPER(TRIM(A299)),6)="TODAY:"),"T",IF(OR(LEFT(UPPER(TRIM(A299)),2)="B:",LEFT(UPPER(TRIM(A299)),8)="BLOCKER:",LEFT(UPPER(TRIM(A299)),9)="BLOCKERS:",LEFT(UPPER(TRIM(A299)),8)="BLOCKED:"),"B",""))))</f>
      </c>
      <c r="E299" s="17">
        <f>IF(D299="","",TRIM(MID(A299,FIND(":",A299)+1,500)))</f>
      </c>
    </row>
    <row r="300">
      <c r="B300" s="17">
        <f>IF(A300="","",IF(COUNTIF(Roster[Name],IF(RIGHT(IF(LEFT(TRIM(A300),1)="[",TRIM(MID(TRIM(A300),FIND("]",TRIM(A300)&amp;"]")+1,200)),TRIM(A300)),1)=")",TRIM(LEFT(IF(LEFT(TRIM(A300),1)="[",TRIM(MID(TRIM(A300),FIND("]",TRIM(A300)&amp;"]")+1,200)),TRIM(A300)),FIND("(",IF(LEFT(TRIM(A300),1)="[",TRIM(MID(TRIM(A300),FIND("]",TRIM(A300)&amp;"]")+1,200)),TRIM(A300))&amp;"(")-1)),IF(LEFT(TRIM(A300),1)="[",TRIM(MID(TRIM(A300),FIND("]",TRIM(A300)&amp;"]")+1,200)),TRIM(A300))))&gt;0,IF(RIGHT(IF(LEFT(TRIM(A300),1)="[",TRIM(MID(TRIM(A300),FIND("]",TRIM(A300)&amp;"]")+1,200)),TRIM(A300)),1)=")",TRIM(LEFT(IF(LEFT(TRIM(A300),1)="[",TRIM(MID(TRIM(A300),FIND("]",TRIM(A300)&amp;"]")+1,200)),TRIM(A300)),FIND("(",IF(LEFT(TRIM(A300),1)="[",TRIM(MID(TRIM(A300),FIND("]",TRIM(A300)&amp;"]")+1,200)),TRIM(A300))&amp;"(")-1)),IF(LEFT(TRIM(A300),1)="[",TRIM(MID(TRIM(A300),FIND("]",TRIM(A300)&amp;"]")+1,200)),TRIM(A300))),""))</f>
      </c>
      <c r="C300" s="17">
        <f>IF(B300&lt;&gt;"",B300,C299)</f>
      </c>
      <c r="D300" s="17">
        <f>IF(A300="","",IF(OR(LEFT(UPPER(TRIM(A300)),2)="Y:",LEFT(UPPER(TRIM(A300)),10)="YESTERDAY:"),"Y",IF(OR(LEFT(UPPER(TRIM(A300)),2)="T:",LEFT(UPPER(TRIM(A300)),6)="TODAY:"),"T",IF(OR(LEFT(UPPER(TRIM(A300)),2)="B:",LEFT(UPPER(TRIM(A300)),8)="BLOCKER:",LEFT(UPPER(TRIM(A300)),9)="BLOCKERS:",LEFT(UPPER(TRIM(A300)),8)="BLOCKED:"),"B",""))))</f>
      </c>
      <c r="E300" s="17">
        <f>IF(D300="","",TRIM(MID(A300,FIND(":",A300)+1,500)))</f>
      </c>
    </row>
    <row r="301">
      <c r="B301" s="17">
        <f>IF(A301="","",IF(COUNTIF(Roster[Name],IF(RIGHT(IF(LEFT(TRIM(A301),1)="[",TRIM(MID(TRIM(A301),FIND("]",TRIM(A301)&amp;"]")+1,200)),TRIM(A301)),1)=")",TRIM(LEFT(IF(LEFT(TRIM(A301),1)="[",TRIM(MID(TRIM(A301),FIND("]",TRIM(A301)&amp;"]")+1,200)),TRIM(A301)),FIND("(",IF(LEFT(TRIM(A301),1)="[",TRIM(MID(TRIM(A301),FIND("]",TRIM(A301)&amp;"]")+1,200)),TRIM(A301))&amp;"(")-1)),IF(LEFT(TRIM(A301),1)="[",TRIM(MID(TRIM(A301),FIND("]",TRIM(A301)&amp;"]")+1,200)),TRIM(A301))))&gt;0,IF(RIGHT(IF(LEFT(TRIM(A301),1)="[",TRIM(MID(TRIM(A301),FIND("]",TRIM(A301)&amp;"]")+1,200)),TRIM(A301)),1)=")",TRIM(LEFT(IF(LEFT(TRIM(A301),1)="[",TRIM(MID(TRIM(A301),FIND("]",TRIM(A301)&amp;"]")+1,200)),TRIM(A301)),FIND("(",IF(LEFT(TRIM(A301),1)="[",TRIM(MID(TRIM(A301),FIND("]",TRIM(A301)&amp;"]")+1,200)),TRIM(A301))&amp;"(")-1)),IF(LEFT(TRIM(A301),1)="[",TRIM(MID(TRIM(A301),FIND("]",TRIM(A301)&amp;"]")+1,200)),TRIM(A301))),""))</f>
      </c>
      <c r="C301" s="17">
        <f>IF(B301&lt;&gt;"",B301,C300)</f>
      </c>
      <c r="D301" s="17">
        <f>IF(A301="","",IF(OR(LEFT(UPPER(TRIM(A301)),2)="Y:",LEFT(UPPER(TRIM(A301)),10)="YESTERDAY:"),"Y",IF(OR(LEFT(UPPER(TRIM(A301)),2)="T:",LEFT(UPPER(TRIM(A301)),6)="TODAY:"),"T",IF(OR(LEFT(UPPER(TRIM(A301)),2)="B:",LEFT(UPPER(TRIM(A301)),8)="BLOCKER:",LEFT(UPPER(TRIM(A301)),9)="BLOCKERS:",LEFT(UPPER(TRIM(A301)),8)="BLOCKED:"),"B",""))))</f>
      </c>
      <c r="E301" s="17">
        <f>IF(D301="","",TRIM(MID(A301,FIND(":",A301)+1,500)))</f>
      </c>
    </row>
    <row r="302">
      <c r="B302" s="17">
        <f>IF(A302="","",IF(COUNTIF(Roster[Name],IF(RIGHT(IF(LEFT(TRIM(A302),1)="[",TRIM(MID(TRIM(A302),FIND("]",TRIM(A302)&amp;"]")+1,200)),TRIM(A302)),1)=")",TRIM(LEFT(IF(LEFT(TRIM(A302),1)="[",TRIM(MID(TRIM(A302),FIND("]",TRIM(A302)&amp;"]")+1,200)),TRIM(A302)),FIND("(",IF(LEFT(TRIM(A302),1)="[",TRIM(MID(TRIM(A302),FIND("]",TRIM(A302)&amp;"]")+1,200)),TRIM(A302))&amp;"(")-1)),IF(LEFT(TRIM(A302),1)="[",TRIM(MID(TRIM(A302),FIND("]",TRIM(A302)&amp;"]")+1,200)),TRIM(A302))))&gt;0,IF(RIGHT(IF(LEFT(TRIM(A302),1)="[",TRIM(MID(TRIM(A302),FIND("]",TRIM(A302)&amp;"]")+1,200)),TRIM(A302)),1)=")",TRIM(LEFT(IF(LEFT(TRIM(A302),1)="[",TRIM(MID(TRIM(A302),FIND("]",TRIM(A302)&amp;"]")+1,200)),TRIM(A302)),FIND("(",IF(LEFT(TRIM(A302),1)="[",TRIM(MID(TRIM(A302),FIND("]",TRIM(A302)&amp;"]")+1,200)),TRIM(A302))&amp;"(")-1)),IF(LEFT(TRIM(A302),1)="[",TRIM(MID(TRIM(A302),FIND("]",TRIM(A302)&amp;"]")+1,200)),TRIM(A302))),""))</f>
      </c>
      <c r="C302" s="17">
        <f>IF(B302&lt;&gt;"",B302,C301)</f>
      </c>
      <c r="D302" s="17">
        <f>IF(A302="","",IF(OR(LEFT(UPPER(TRIM(A302)),2)="Y:",LEFT(UPPER(TRIM(A302)),10)="YESTERDAY:"),"Y",IF(OR(LEFT(UPPER(TRIM(A302)),2)="T:",LEFT(UPPER(TRIM(A302)),6)="TODAY:"),"T",IF(OR(LEFT(UPPER(TRIM(A302)),2)="B:",LEFT(UPPER(TRIM(A302)),8)="BLOCKER:",LEFT(UPPER(TRIM(A302)),9)="BLOCKERS:",LEFT(UPPER(TRIM(A302)),8)="BLOCKED:"),"B",""))))</f>
      </c>
      <c r="E302" s="17">
        <f>IF(D302="","",TRIM(MID(A302,FIND(":",A302)+1,500)))</f>
      </c>
    </row>
    <row r="303">
      <c r="B303" s="17">
        <f>IF(A303="","",IF(COUNTIF(Roster[Name],IF(RIGHT(IF(LEFT(TRIM(A303),1)="[",TRIM(MID(TRIM(A303),FIND("]",TRIM(A303)&amp;"]")+1,200)),TRIM(A303)),1)=")",TRIM(LEFT(IF(LEFT(TRIM(A303),1)="[",TRIM(MID(TRIM(A303),FIND("]",TRIM(A303)&amp;"]")+1,200)),TRIM(A303)),FIND("(",IF(LEFT(TRIM(A303),1)="[",TRIM(MID(TRIM(A303),FIND("]",TRIM(A303)&amp;"]")+1,200)),TRIM(A303))&amp;"(")-1)),IF(LEFT(TRIM(A303),1)="[",TRIM(MID(TRIM(A303),FIND("]",TRIM(A303)&amp;"]")+1,200)),TRIM(A303))))&gt;0,IF(RIGHT(IF(LEFT(TRIM(A303),1)="[",TRIM(MID(TRIM(A303),FIND("]",TRIM(A303)&amp;"]")+1,200)),TRIM(A303)),1)=")",TRIM(LEFT(IF(LEFT(TRIM(A303),1)="[",TRIM(MID(TRIM(A303),FIND("]",TRIM(A303)&amp;"]")+1,200)),TRIM(A303)),FIND("(",IF(LEFT(TRIM(A303),1)="[",TRIM(MID(TRIM(A303),FIND("]",TRIM(A303)&amp;"]")+1,200)),TRIM(A303))&amp;"(")-1)),IF(LEFT(TRIM(A303),1)="[",TRIM(MID(TRIM(A303),FIND("]",TRIM(A303)&amp;"]")+1,200)),TRIM(A303))),""))</f>
      </c>
      <c r="C303" s="17">
        <f>IF(B303&lt;&gt;"",B303,C302)</f>
      </c>
      <c r="D303" s="17">
        <f>IF(A303="","",IF(OR(LEFT(UPPER(TRIM(A303)),2)="Y:",LEFT(UPPER(TRIM(A303)),10)="YESTERDAY:"),"Y",IF(OR(LEFT(UPPER(TRIM(A303)),2)="T:",LEFT(UPPER(TRIM(A303)),6)="TODAY:"),"T",IF(OR(LEFT(UPPER(TRIM(A303)),2)="B:",LEFT(UPPER(TRIM(A303)),8)="BLOCKER:",LEFT(UPPER(TRIM(A303)),9)="BLOCKERS:",LEFT(UPPER(TRIM(A303)),8)="BLOCKED:"),"B",""))))</f>
      </c>
      <c r="E303" s="17">
        <f>IF(D303="","",TRIM(MID(A303,FIND(":",A303)+1,500)))</f>
      </c>
    </row>
    <row r="304">
      <c r="B304" s="17">
        <f>IF(A304="","",IF(COUNTIF(Roster[Name],IF(RIGHT(IF(LEFT(TRIM(A304),1)="[",TRIM(MID(TRIM(A304),FIND("]",TRIM(A304)&amp;"]")+1,200)),TRIM(A304)),1)=")",TRIM(LEFT(IF(LEFT(TRIM(A304),1)="[",TRIM(MID(TRIM(A304),FIND("]",TRIM(A304)&amp;"]")+1,200)),TRIM(A304)),FIND("(",IF(LEFT(TRIM(A304),1)="[",TRIM(MID(TRIM(A304),FIND("]",TRIM(A304)&amp;"]")+1,200)),TRIM(A304))&amp;"(")-1)),IF(LEFT(TRIM(A304),1)="[",TRIM(MID(TRIM(A304),FIND("]",TRIM(A304)&amp;"]")+1,200)),TRIM(A304))))&gt;0,IF(RIGHT(IF(LEFT(TRIM(A304),1)="[",TRIM(MID(TRIM(A304),FIND("]",TRIM(A304)&amp;"]")+1,200)),TRIM(A304)),1)=")",TRIM(LEFT(IF(LEFT(TRIM(A304),1)="[",TRIM(MID(TRIM(A304),FIND("]",TRIM(A304)&amp;"]")+1,200)),TRIM(A304)),FIND("(",IF(LEFT(TRIM(A304),1)="[",TRIM(MID(TRIM(A304),FIND("]",TRIM(A304)&amp;"]")+1,200)),TRIM(A304))&amp;"(")-1)),IF(LEFT(TRIM(A304),1)="[",TRIM(MID(TRIM(A304),FIND("]",TRIM(A304)&amp;"]")+1,200)),TRIM(A304))),""))</f>
      </c>
      <c r="C304" s="17">
        <f>IF(B304&lt;&gt;"",B304,C303)</f>
      </c>
      <c r="D304" s="17">
        <f>IF(A304="","",IF(OR(LEFT(UPPER(TRIM(A304)),2)="Y:",LEFT(UPPER(TRIM(A304)),10)="YESTERDAY:"),"Y",IF(OR(LEFT(UPPER(TRIM(A304)),2)="T:",LEFT(UPPER(TRIM(A304)),6)="TODAY:"),"T",IF(OR(LEFT(UPPER(TRIM(A304)),2)="B:",LEFT(UPPER(TRIM(A304)),8)="BLOCKER:",LEFT(UPPER(TRIM(A304)),9)="BLOCKERS:",LEFT(UPPER(TRIM(A304)),8)="BLOCKED:"),"B",""))))</f>
      </c>
      <c r="E304" s="17">
        <f>IF(D304="","",TRIM(MID(A304,FIND(":",A304)+1,500)))</f>
      </c>
    </row>
    <row r="305">
      <c r="B305" s="17">
        <f>IF(A305="","",IF(COUNTIF(Roster[Name],IF(RIGHT(IF(LEFT(TRIM(A305),1)="[",TRIM(MID(TRIM(A305),FIND("]",TRIM(A305)&amp;"]")+1,200)),TRIM(A305)),1)=")",TRIM(LEFT(IF(LEFT(TRIM(A305),1)="[",TRIM(MID(TRIM(A305),FIND("]",TRIM(A305)&amp;"]")+1,200)),TRIM(A305)),FIND("(",IF(LEFT(TRIM(A305),1)="[",TRIM(MID(TRIM(A305),FIND("]",TRIM(A305)&amp;"]")+1,200)),TRIM(A305))&amp;"(")-1)),IF(LEFT(TRIM(A305),1)="[",TRIM(MID(TRIM(A305),FIND("]",TRIM(A305)&amp;"]")+1,200)),TRIM(A305))))&gt;0,IF(RIGHT(IF(LEFT(TRIM(A305),1)="[",TRIM(MID(TRIM(A305),FIND("]",TRIM(A305)&amp;"]")+1,200)),TRIM(A305)),1)=")",TRIM(LEFT(IF(LEFT(TRIM(A305),1)="[",TRIM(MID(TRIM(A305),FIND("]",TRIM(A305)&amp;"]")+1,200)),TRIM(A305)),FIND("(",IF(LEFT(TRIM(A305),1)="[",TRIM(MID(TRIM(A305),FIND("]",TRIM(A305)&amp;"]")+1,200)),TRIM(A305))&amp;"(")-1)),IF(LEFT(TRIM(A305),1)="[",TRIM(MID(TRIM(A305),FIND("]",TRIM(A305)&amp;"]")+1,200)),TRIM(A305))),""))</f>
      </c>
      <c r="C305" s="17">
        <f>IF(B305&lt;&gt;"",B305,C304)</f>
      </c>
      <c r="D305" s="17">
        <f>IF(A305="","",IF(OR(LEFT(UPPER(TRIM(A305)),2)="Y:",LEFT(UPPER(TRIM(A305)),10)="YESTERDAY:"),"Y",IF(OR(LEFT(UPPER(TRIM(A305)),2)="T:",LEFT(UPPER(TRIM(A305)),6)="TODAY:"),"T",IF(OR(LEFT(UPPER(TRIM(A305)),2)="B:",LEFT(UPPER(TRIM(A305)),8)="BLOCKER:",LEFT(UPPER(TRIM(A305)),9)="BLOCKERS:",LEFT(UPPER(TRIM(A305)),8)="BLOCKED:"),"B",""))))</f>
      </c>
      <c r="E305" s="17">
        <f>IF(D305="","",TRIM(MID(A305,FIND(":",A305)+1,500)))</f>
      </c>
    </row>
    <row r="306">
      <c r="B306" s="17">
        <f>IF(A306="","",IF(COUNTIF(Roster[Name],IF(RIGHT(IF(LEFT(TRIM(A306),1)="[",TRIM(MID(TRIM(A306),FIND("]",TRIM(A306)&amp;"]")+1,200)),TRIM(A306)),1)=")",TRIM(LEFT(IF(LEFT(TRIM(A306),1)="[",TRIM(MID(TRIM(A306),FIND("]",TRIM(A306)&amp;"]")+1,200)),TRIM(A306)),FIND("(",IF(LEFT(TRIM(A306),1)="[",TRIM(MID(TRIM(A306),FIND("]",TRIM(A306)&amp;"]")+1,200)),TRIM(A306))&amp;"(")-1)),IF(LEFT(TRIM(A306),1)="[",TRIM(MID(TRIM(A306),FIND("]",TRIM(A306)&amp;"]")+1,200)),TRIM(A306))))&gt;0,IF(RIGHT(IF(LEFT(TRIM(A306),1)="[",TRIM(MID(TRIM(A306),FIND("]",TRIM(A306)&amp;"]")+1,200)),TRIM(A306)),1)=")",TRIM(LEFT(IF(LEFT(TRIM(A306),1)="[",TRIM(MID(TRIM(A306),FIND("]",TRIM(A306)&amp;"]")+1,200)),TRIM(A306)),FIND("(",IF(LEFT(TRIM(A306),1)="[",TRIM(MID(TRIM(A306),FIND("]",TRIM(A306)&amp;"]")+1,200)),TRIM(A306))&amp;"(")-1)),IF(LEFT(TRIM(A306),1)="[",TRIM(MID(TRIM(A306),FIND("]",TRIM(A306)&amp;"]")+1,200)),TRIM(A306))),""))</f>
      </c>
      <c r="C306" s="17">
        <f>IF(B306&lt;&gt;"",B306,C305)</f>
      </c>
      <c r="D306" s="17">
        <f>IF(A306="","",IF(OR(LEFT(UPPER(TRIM(A306)),2)="Y:",LEFT(UPPER(TRIM(A306)),10)="YESTERDAY:"),"Y",IF(OR(LEFT(UPPER(TRIM(A306)),2)="T:",LEFT(UPPER(TRIM(A306)),6)="TODAY:"),"T",IF(OR(LEFT(UPPER(TRIM(A306)),2)="B:",LEFT(UPPER(TRIM(A306)),8)="BLOCKER:",LEFT(UPPER(TRIM(A306)),9)="BLOCKERS:",LEFT(UPPER(TRIM(A306)),8)="BLOCKED:"),"B",""))))</f>
      </c>
      <c r="E306" s="17">
        <f>IF(D306="","",TRIM(MID(A306,FIND(":",A306)+1,500)))</f>
      </c>
    </row>
    <row r="307">
      <c r="B307" s="17">
        <f>IF(A307="","",IF(COUNTIF(Roster[Name],IF(RIGHT(IF(LEFT(TRIM(A307),1)="[",TRIM(MID(TRIM(A307),FIND("]",TRIM(A307)&amp;"]")+1,200)),TRIM(A307)),1)=")",TRIM(LEFT(IF(LEFT(TRIM(A307),1)="[",TRIM(MID(TRIM(A307),FIND("]",TRIM(A307)&amp;"]")+1,200)),TRIM(A307)),FIND("(",IF(LEFT(TRIM(A307),1)="[",TRIM(MID(TRIM(A307),FIND("]",TRIM(A307)&amp;"]")+1,200)),TRIM(A307))&amp;"(")-1)),IF(LEFT(TRIM(A307),1)="[",TRIM(MID(TRIM(A307),FIND("]",TRIM(A307)&amp;"]")+1,200)),TRIM(A307))))&gt;0,IF(RIGHT(IF(LEFT(TRIM(A307),1)="[",TRIM(MID(TRIM(A307),FIND("]",TRIM(A307)&amp;"]")+1,200)),TRIM(A307)),1)=")",TRIM(LEFT(IF(LEFT(TRIM(A307),1)="[",TRIM(MID(TRIM(A307),FIND("]",TRIM(A307)&amp;"]")+1,200)),TRIM(A307)),FIND("(",IF(LEFT(TRIM(A307),1)="[",TRIM(MID(TRIM(A307),FIND("]",TRIM(A307)&amp;"]")+1,200)),TRIM(A307))&amp;"(")-1)),IF(LEFT(TRIM(A307),1)="[",TRIM(MID(TRIM(A307),FIND("]",TRIM(A307)&amp;"]")+1,200)),TRIM(A307))),""))</f>
      </c>
      <c r="C307" s="17">
        <f>IF(B307&lt;&gt;"",B307,C306)</f>
      </c>
      <c r="D307" s="17">
        <f>IF(A307="","",IF(OR(LEFT(UPPER(TRIM(A307)),2)="Y:",LEFT(UPPER(TRIM(A307)),10)="YESTERDAY:"),"Y",IF(OR(LEFT(UPPER(TRIM(A307)),2)="T:",LEFT(UPPER(TRIM(A307)),6)="TODAY:"),"T",IF(OR(LEFT(UPPER(TRIM(A307)),2)="B:",LEFT(UPPER(TRIM(A307)),8)="BLOCKER:",LEFT(UPPER(TRIM(A307)),9)="BLOCKERS:",LEFT(UPPER(TRIM(A307)),8)="BLOCKED:"),"B",""))))</f>
      </c>
      <c r="E307" s="17">
        <f>IF(D307="","",TRIM(MID(A307,FIND(":",A307)+1,500)))</f>
      </c>
    </row>
    <row r="308">
      <c r="B308" s="17">
        <f>IF(A308="","",IF(COUNTIF(Roster[Name],IF(RIGHT(IF(LEFT(TRIM(A308),1)="[",TRIM(MID(TRIM(A308),FIND("]",TRIM(A308)&amp;"]")+1,200)),TRIM(A308)),1)=")",TRIM(LEFT(IF(LEFT(TRIM(A308),1)="[",TRIM(MID(TRIM(A308),FIND("]",TRIM(A308)&amp;"]")+1,200)),TRIM(A308)),FIND("(",IF(LEFT(TRIM(A308),1)="[",TRIM(MID(TRIM(A308),FIND("]",TRIM(A308)&amp;"]")+1,200)),TRIM(A308))&amp;"(")-1)),IF(LEFT(TRIM(A308),1)="[",TRIM(MID(TRIM(A308),FIND("]",TRIM(A308)&amp;"]")+1,200)),TRIM(A308))))&gt;0,IF(RIGHT(IF(LEFT(TRIM(A308),1)="[",TRIM(MID(TRIM(A308),FIND("]",TRIM(A308)&amp;"]")+1,200)),TRIM(A308)),1)=")",TRIM(LEFT(IF(LEFT(TRIM(A308),1)="[",TRIM(MID(TRIM(A308),FIND("]",TRIM(A308)&amp;"]")+1,200)),TRIM(A308)),FIND("(",IF(LEFT(TRIM(A308),1)="[",TRIM(MID(TRIM(A308),FIND("]",TRIM(A308)&amp;"]")+1,200)),TRIM(A308))&amp;"(")-1)),IF(LEFT(TRIM(A308),1)="[",TRIM(MID(TRIM(A308),FIND("]",TRIM(A308)&amp;"]")+1,200)),TRIM(A308))),""))</f>
      </c>
      <c r="C308" s="17">
        <f>IF(B308&lt;&gt;"",B308,C307)</f>
      </c>
      <c r="D308" s="17">
        <f>IF(A308="","",IF(OR(LEFT(UPPER(TRIM(A308)),2)="Y:",LEFT(UPPER(TRIM(A308)),10)="YESTERDAY:"),"Y",IF(OR(LEFT(UPPER(TRIM(A308)),2)="T:",LEFT(UPPER(TRIM(A308)),6)="TODAY:"),"T",IF(OR(LEFT(UPPER(TRIM(A308)),2)="B:",LEFT(UPPER(TRIM(A308)),8)="BLOCKER:",LEFT(UPPER(TRIM(A308)),9)="BLOCKERS:",LEFT(UPPER(TRIM(A308)),8)="BLOCKED:"),"B",""))))</f>
      </c>
      <c r="E308" s="17">
        <f>IF(D308="","",TRIM(MID(A308,FIND(":",A308)+1,500)))</f>
      </c>
    </row>
    <row r="309">
      <c r="B309" s="17">
        <f>IF(A309="","",IF(COUNTIF(Roster[Name],IF(RIGHT(IF(LEFT(TRIM(A309),1)="[",TRIM(MID(TRIM(A309),FIND("]",TRIM(A309)&amp;"]")+1,200)),TRIM(A309)),1)=")",TRIM(LEFT(IF(LEFT(TRIM(A309),1)="[",TRIM(MID(TRIM(A309),FIND("]",TRIM(A309)&amp;"]")+1,200)),TRIM(A309)),FIND("(",IF(LEFT(TRIM(A309),1)="[",TRIM(MID(TRIM(A309),FIND("]",TRIM(A309)&amp;"]")+1,200)),TRIM(A309))&amp;"(")-1)),IF(LEFT(TRIM(A309),1)="[",TRIM(MID(TRIM(A309),FIND("]",TRIM(A309)&amp;"]")+1,200)),TRIM(A309))))&gt;0,IF(RIGHT(IF(LEFT(TRIM(A309),1)="[",TRIM(MID(TRIM(A309),FIND("]",TRIM(A309)&amp;"]")+1,200)),TRIM(A309)),1)=")",TRIM(LEFT(IF(LEFT(TRIM(A309),1)="[",TRIM(MID(TRIM(A309),FIND("]",TRIM(A309)&amp;"]")+1,200)),TRIM(A309)),FIND("(",IF(LEFT(TRIM(A309),1)="[",TRIM(MID(TRIM(A309),FIND("]",TRIM(A309)&amp;"]")+1,200)),TRIM(A309))&amp;"(")-1)),IF(LEFT(TRIM(A309),1)="[",TRIM(MID(TRIM(A309),FIND("]",TRIM(A309)&amp;"]")+1,200)),TRIM(A309))),""))</f>
      </c>
      <c r="C309" s="17">
        <f>IF(B309&lt;&gt;"",B309,C308)</f>
      </c>
      <c r="D309" s="17">
        <f>IF(A309="","",IF(OR(LEFT(UPPER(TRIM(A309)),2)="Y:",LEFT(UPPER(TRIM(A309)),10)="YESTERDAY:"),"Y",IF(OR(LEFT(UPPER(TRIM(A309)),2)="T:",LEFT(UPPER(TRIM(A309)),6)="TODAY:"),"T",IF(OR(LEFT(UPPER(TRIM(A309)),2)="B:",LEFT(UPPER(TRIM(A309)),8)="BLOCKER:",LEFT(UPPER(TRIM(A309)),9)="BLOCKERS:",LEFT(UPPER(TRIM(A309)),8)="BLOCKED:"),"B",""))))</f>
      </c>
      <c r="E309" s="17">
        <f>IF(D309="","",TRIM(MID(A309,FIND(":",A309)+1,500)))</f>
      </c>
    </row>
    <row r="310">
      <c r="B310" s="17">
        <f>IF(A310="","",IF(COUNTIF(Roster[Name],IF(RIGHT(IF(LEFT(TRIM(A310),1)="[",TRIM(MID(TRIM(A310),FIND("]",TRIM(A310)&amp;"]")+1,200)),TRIM(A310)),1)=")",TRIM(LEFT(IF(LEFT(TRIM(A310),1)="[",TRIM(MID(TRIM(A310),FIND("]",TRIM(A310)&amp;"]")+1,200)),TRIM(A310)),FIND("(",IF(LEFT(TRIM(A310),1)="[",TRIM(MID(TRIM(A310),FIND("]",TRIM(A310)&amp;"]")+1,200)),TRIM(A310))&amp;"(")-1)),IF(LEFT(TRIM(A310),1)="[",TRIM(MID(TRIM(A310),FIND("]",TRIM(A310)&amp;"]")+1,200)),TRIM(A310))))&gt;0,IF(RIGHT(IF(LEFT(TRIM(A310),1)="[",TRIM(MID(TRIM(A310),FIND("]",TRIM(A310)&amp;"]")+1,200)),TRIM(A310)),1)=")",TRIM(LEFT(IF(LEFT(TRIM(A310),1)="[",TRIM(MID(TRIM(A310),FIND("]",TRIM(A310)&amp;"]")+1,200)),TRIM(A310)),FIND("(",IF(LEFT(TRIM(A310),1)="[",TRIM(MID(TRIM(A310),FIND("]",TRIM(A310)&amp;"]")+1,200)),TRIM(A310))&amp;"(")-1)),IF(LEFT(TRIM(A310),1)="[",TRIM(MID(TRIM(A310),FIND("]",TRIM(A310)&amp;"]")+1,200)),TRIM(A310))),""))</f>
      </c>
      <c r="C310" s="17">
        <f>IF(B310&lt;&gt;"",B310,C309)</f>
      </c>
      <c r="D310" s="17">
        <f>IF(A310="","",IF(OR(LEFT(UPPER(TRIM(A310)),2)="Y:",LEFT(UPPER(TRIM(A310)),10)="YESTERDAY:"),"Y",IF(OR(LEFT(UPPER(TRIM(A310)),2)="T:",LEFT(UPPER(TRIM(A310)),6)="TODAY:"),"T",IF(OR(LEFT(UPPER(TRIM(A310)),2)="B:",LEFT(UPPER(TRIM(A310)),8)="BLOCKER:",LEFT(UPPER(TRIM(A310)),9)="BLOCKERS:",LEFT(UPPER(TRIM(A310)),8)="BLOCKED:"),"B",""))))</f>
      </c>
      <c r="E310" s="17">
        <f>IF(D310="","",TRIM(MID(A310,FIND(":",A310)+1,500)))</f>
      </c>
    </row>
    <row r="311">
      <c r="B311" s="17">
        <f>IF(A311="","",IF(COUNTIF(Roster[Name],IF(RIGHT(IF(LEFT(TRIM(A311),1)="[",TRIM(MID(TRIM(A311),FIND("]",TRIM(A311)&amp;"]")+1,200)),TRIM(A311)),1)=")",TRIM(LEFT(IF(LEFT(TRIM(A311),1)="[",TRIM(MID(TRIM(A311),FIND("]",TRIM(A311)&amp;"]")+1,200)),TRIM(A311)),FIND("(",IF(LEFT(TRIM(A311),1)="[",TRIM(MID(TRIM(A311),FIND("]",TRIM(A311)&amp;"]")+1,200)),TRIM(A311))&amp;"(")-1)),IF(LEFT(TRIM(A311),1)="[",TRIM(MID(TRIM(A311),FIND("]",TRIM(A311)&amp;"]")+1,200)),TRIM(A311))))&gt;0,IF(RIGHT(IF(LEFT(TRIM(A311),1)="[",TRIM(MID(TRIM(A311),FIND("]",TRIM(A311)&amp;"]")+1,200)),TRIM(A311)),1)=")",TRIM(LEFT(IF(LEFT(TRIM(A311),1)="[",TRIM(MID(TRIM(A311),FIND("]",TRIM(A311)&amp;"]")+1,200)),TRIM(A311)),FIND("(",IF(LEFT(TRIM(A311),1)="[",TRIM(MID(TRIM(A311),FIND("]",TRIM(A311)&amp;"]")+1,200)),TRIM(A311))&amp;"(")-1)),IF(LEFT(TRIM(A311),1)="[",TRIM(MID(TRIM(A311),FIND("]",TRIM(A311)&amp;"]")+1,200)),TRIM(A311))),""))</f>
      </c>
      <c r="C311" s="17">
        <f>IF(B311&lt;&gt;"",B311,C310)</f>
      </c>
      <c r="D311" s="17">
        <f>IF(A311="","",IF(OR(LEFT(UPPER(TRIM(A311)),2)="Y:",LEFT(UPPER(TRIM(A311)),10)="YESTERDAY:"),"Y",IF(OR(LEFT(UPPER(TRIM(A311)),2)="T:",LEFT(UPPER(TRIM(A311)),6)="TODAY:"),"T",IF(OR(LEFT(UPPER(TRIM(A311)),2)="B:",LEFT(UPPER(TRIM(A311)),8)="BLOCKER:",LEFT(UPPER(TRIM(A311)),9)="BLOCKERS:",LEFT(UPPER(TRIM(A311)),8)="BLOCKED:"),"B",""))))</f>
      </c>
      <c r="E311" s="17">
        <f>IF(D311="","",TRIM(MID(A311,FIND(":",A311)+1,500)))</f>
      </c>
    </row>
    <row r="312">
      <c r="B312" s="17">
        <f>IF(A312="","",IF(COUNTIF(Roster[Name],IF(RIGHT(IF(LEFT(TRIM(A312),1)="[",TRIM(MID(TRIM(A312),FIND("]",TRIM(A312)&amp;"]")+1,200)),TRIM(A312)),1)=")",TRIM(LEFT(IF(LEFT(TRIM(A312),1)="[",TRIM(MID(TRIM(A312),FIND("]",TRIM(A312)&amp;"]")+1,200)),TRIM(A312)),FIND("(",IF(LEFT(TRIM(A312),1)="[",TRIM(MID(TRIM(A312),FIND("]",TRIM(A312)&amp;"]")+1,200)),TRIM(A312))&amp;"(")-1)),IF(LEFT(TRIM(A312),1)="[",TRIM(MID(TRIM(A312),FIND("]",TRIM(A312)&amp;"]")+1,200)),TRIM(A312))))&gt;0,IF(RIGHT(IF(LEFT(TRIM(A312),1)="[",TRIM(MID(TRIM(A312),FIND("]",TRIM(A312)&amp;"]")+1,200)),TRIM(A312)),1)=")",TRIM(LEFT(IF(LEFT(TRIM(A312),1)="[",TRIM(MID(TRIM(A312),FIND("]",TRIM(A312)&amp;"]")+1,200)),TRIM(A312)),FIND("(",IF(LEFT(TRIM(A312),1)="[",TRIM(MID(TRIM(A312),FIND("]",TRIM(A312)&amp;"]")+1,200)),TRIM(A312))&amp;"(")-1)),IF(LEFT(TRIM(A312),1)="[",TRIM(MID(TRIM(A312),FIND("]",TRIM(A312)&amp;"]")+1,200)),TRIM(A312))),""))</f>
      </c>
      <c r="C312" s="17">
        <f>IF(B312&lt;&gt;"",B312,C311)</f>
      </c>
      <c r="D312" s="17">
        <f>IF(A312="","",IF(OR(LEFT(UPPER(TRIM(A312)),2)="Y:",LEFT(UPPER(TRIM(A312)),10)="YESTERDAY:"),"Y",IF(OR(LEFT(UPPER(TRIM(A312)),2)="T:",LEFT(UPPER(TRIM(A312)),6)="TODAY:"),"T",IF(OR(LEFT(UPPER(TRIM(A312)),2)="B:",LEFT(UPPER(TRIM(A312)),8)="BLOCKER:",LEFT(UPPER(TRIM(A312)),9)="BLOCKERS:",LEFT(UPPER(TRIM(A312)),8)="BLOCKED:"),"B",""))))</f>
      </c>
      <c r="E312" s="17">
        <f>IF(D312="","",TRIM(MID(A312,FIND(":",A312)+1,500)))</f>
      </c>
    </row>
    <row r="313">
      <c r="B313" s="17">
        <f>IF(A313="","",IF(COUNTIF(Roster[Name],IF(RIGHT(IF(LEFT(TRIM(A313),1)="[",TRIM(MID(TRIM(A313),FIND("]",TRIM(A313)&amp;"]")+1,200)),TRIM(A313)),1)=")",TRIM(LEFT(IF(LEFT(TRIM(A313),1)="[",TRIM(MID(TRIM(A313),FIND("]",TRIM(A313)&amp;"]")+1,200)),TRIM(A313)),FIND("(",IF(LEFT(TRIM(A313),1)="[",TRIM(MID(TRIM(A313),FIND("]",TRIM(A313)&amp;"]")+1,200)),TRIM(A313))&amp;"(")-1)),IF(LEFT(TRIM(A313),1)="[",TRIM(MID(TRIM(A313),FIND("]",TRIM(A313)&amp;"]")+1,200)),TRIM(A313))))&gt;0,IF(RIGHT(IF(LEFT(TRIM(A313),1)="[",TRIM(MID(TRIM(A313),FIND("]",TRIM(A313)&amp;"]")+1,200)),TRIM(A313)),1)=")",TRIM(LEFT(IF(LEFT(TRIM(A313),1)="[",TRIM(MID(TRIM(A313),FIND("]",TRIM(A313)&amp;"]")+1,200)),TRIM(A313)),FIND("(",IF(LEFT(TRIM(A313),1)="[",TRIM(MID(TRIM(A313),FIND("]",TRIM(A313)&amp;"]")+1,200)),TRIM(A313))&amp;"(")-1)),IF(LEFT(TRIM(A313),1)="[",TRIM(MID(TRIM(A313),FIND("]",TRIM(A313)&amp;"]")+1,200)),TRIM(A313))),""))</f>
      </c>
      <c r="C313" s="17">
        <f>IF(B313&lt;&gt;"",B313,C312)</f>
      </c>
      <c r="D313" s="17">
        <f>IF(A313="","",IF(OR(LEFT(UPPER(TRIM(A313)),2)="Y:",LEFT(UPPER(TRIM(A313)),10)="YESTERDAY:"),"Y",IF(OR(LEFT(UPPER(TRIM(A313)),2)="T:",LEFT(UPPER(TRIM(A313)),6)="TODAY:"),"T",IF(OR(LEFT(UPPER(TRIM(A313)),2)="B:",LEFT(UPPER(TRIM(A313)),8)="BLOCKER:",LEFT(UPPER(TRIM(A313)),9)="BLOCKERS:",LEFT(UPPER(TRIM(A313)),8)="BLOCKED:"),"B",""))))</f>
      </c>
      <c r="E313" s="17">
        <f>IF(D313="","",TRIM(MID(A313,FIND(":",A313)+1,500)))</f>
      </c>
    </row>
    <row r="314">
      <c r="B314" s="17">
        <f>IF(A314="","",IF(COUNTIF(Roster[Name],IF(RIGHT(IF(LEFT(TRIM(A314),1)="[",TRIM(MID(TRIM(A314),FIND("]",TRIM(A314)&amp;"]")+1,200)),TRIM(A314)),1)=")",TRIM(LEFT(IF(LEFT(TRIM(A314),1)="[",TRIM(MID(TRIM(A314),FIND("]",TRIM(A314)&amp;"]")+1,200)),TRIM(A314)),FIND("(",IF(LEFT(TRIM(A314),1)="[",TRIM(MID(TRIM(A314),FIND("]",TRIM(A314)&amp;"]")+1,200)),TRIM(A314))&amp;"(")-1)),IF(LEFT(TRIM(A314),1)="[",TRIM(MID(TRIM(A314),FIND("]",TRIM(A314)&amp;"]")+1,200)),TRIM(A314))))&gt;0,IF(RIGHT(IF(LEFT(TRIM(A314),1)="[",TRIM(MID(TRIM(A314),FIND("]",TRIM(A314)&amp;"]")+1,200)),TRIM(A314)),1)=")",TRIM(LEFT(IF(LEFT(TRIM(A314),1)="[",TRIM(MID(TRIM(A314),FIND("]",TRIM(A314)&amp;"]")+1,200)),TRIM(A314)),FIND("(",IF(LEFT(TRIM(A314),1)="[",TRIM(MID(TRIM(A314),FIND("]",TRIM(A314)&amp;"]")+1,200)),TRIM(A314))&amp;"(")-1)),IF(LEFT(TRIM(A314),1)="[",TRIM(MID(TRIM(A314),FIND("]",TRIM(A314)&amp;"]")+1,200)),TRIM(A314))),""))</f>
      </c>
      <c r="C314" s="17">
        <f>IF(B314&lt;&gt;"",B314,C313)</f>
      </c>
      <c r="D314" s="17">
        <f>IF(A314="","",IF(OR(LEFT(UPPER(TRIM(A314)),2)="Y:",LEFT(UPPER(TRIM(A314)),10)="YESTERDAY:"),"Y",IF(OR(LEFT(UPPER(TRIM(A314)),2)="T:",LEFT(UPPER(TRIM(A314)),6)="TODAY:"),"T",IF(OR(LEFT(UPPER(TRIM(A314)),2)="B:",LEFT(UPPER(TRIM(A314)),8)="BLOCKER:",LEFT(UPPER(TRIM(A314)),9)="BLOCKERS:",LEFT(UPPER(TRIM(A314)),8)="BLOCKED:"),"B",""))))</f>
      </c>
      <c r="E314" s="17">
        <f>IF(D314="","",TRIM(MID(A314,FIND(":",A314)+1,500)))</f>
      </c>
    </row>
    <row r="315">
      <c r="B315" s="17">
        <f>IF(A315="","",IF(COUNTIF(Roster[Name],IF(RIGHT(IF(LEFT(TRIM(A315),1)="[",TRIM(MID(TRIM(A315),FIND("]",TRIM(A315)&amp;"]")+1,200)),TRIM(A315)),1)=")",TRIM(LEFT(IF(LEFT(TRIM(A315),1)="[",TRIM(MID(TRIM(A315),FIND("]",TRIM(A315)&amp;"]")+1,200)),TRIM(A315)),FIND("(",IF(LEFT(TRIM(A315),1)="[",TRIM(MID(TRIM(A315),FIND("]",TRIM(A315)&amp;"]")+1,200)),TRIM(A315))&amp;"(")-1)),IF(LEFT(TRIM(A315),1)="[",TRIM(MID(TRIM(A315),FIND("]",TRIM(A315)&amp;"]")+1,200)),TRIM(A315))))&gt;0,IF(RIGHT(IF(LEFT(TRIM(A315),1)="[",TRIM(MID(TRIM(A315),FIND("]",TRIM(A315)&amp;"]")+1,200)),TRIM(A315)),1)=")",TRIM(LEFT(IF(LEFT(TRIM(A315),1)="[",TRIM(MID(TRIM(A315),FIND("]",TRIM(A315)&amp;"]")+1,200)),TRIM(A315)),FIND("(",IF(LEFT(TRIM(A315),1)="[",TRIM(MID(TRIM(A315),FIND("]",TRIM(A315)&amp;"]")+1,200)),TRIM(A315))&amp;"(")-1)),IF(LEFT(TRIM(A315),1)="[",TRIM(MID(TRIM(A315),FIND("]",TRIM(A315)&amp;"]")+1,200)),TRIM(A315))),""))</f>
      </c>
      <c r="C315" s="17">
        <f>IF(B315&lt;&gt;"",B315,C314)</f>
      </c>
      <c r="D315" s="17">
        <f>IF(A315="","",IF(OR(LEFT(UPPER(TRIM(A315)),2)="Y:",LEFT(UPPER(TRIM(A315)),10)="YESTERDAY:"),"Y",IF(OR(LEFT(UPPER(TRIM(A315)),2)="T:",LEFT(UPPER(TRIM(A315)),6)="TODAY:"),"T",IF(OR(LEFT(UPPER(TRIM(A315)),2)="B:",LEFT(UPPER(TRIM(A315)),8)="BLOCKER:",LEFT(UPPER(TRIM(A315)),9)="BLOCKERS:",LEFT(UPPER(TRIM(A315)),8)="BLOCKED:"),"B",""))))</f>
      </c>
      <c r="E315" s="17">
        <f>IF(D315="","",TRIM(MID(A315,FIND(":",A315)+1,500)))</f>
      </c>
    </row>
    <row r="316">
      <c r="B316" s="17">
        <f>IF(A316="","",IF(COUNTIF(Roster[Name],IF(RIGHT(IF(LEFT(TRIM(A316),1)="[",TRIM(MID(TRIM(A316),FIND("]",TRIM(A316)&amp;"]")+1,200)),TRIM(A316)),1)=")",TRIM(LEFT(IF(LEFT(TRIM(A316),1)="[",TRIM(MID(TRIM(A316),FIND("]",TRIM(A316)&amp;"]")+1,200)),TRIM(A316)),FIND("(",IF(LEFT(TRIM(A316),1)="[",TRIM(MID(TRIM(A316),FIND("]",TRIM(A316)&amp;"]")+1,200)),TRIM(A316))&amp;"(")-1)),IF(LEFT(TRIM(A316),1)="[",TRIM(MID(TRIM(A316),FIND("]",TRIM(A316)&amp;"]")+1,200)),TRIM(A316))))&gt;0,IF(RIGHT(IF(LEFT(TRIM(A316),1)="[",TRIM(MID(TRIM(A316),FIND("]",TRIM(A316)&amp;"]")+1,200)),TRIM(A316)),1)=")",TRIM(LEFT(IF(LEFT(TRIM(A316),1)="[",TRIM(MID(TRIM(A316),FIND("]",TRIM(A316)&amp;"]")+1,200)),TRIM(A316)),FIND("(",IF(LEFT(TRIM(A316),1)="[",TRIM(MID(TRIM(A316),FIND("]",TRIM(A316)&amp;"]")+1,200)),TRIM(A316))&amp;"(")-1)),IF(LEFT(TRIM(A316),1)="[",TRIM(MID(TRIM(A316),FIND("]",TRIM(A316)&amp;"]")+1,200)),TRIM(A316))),""))</f>
      </c>
      <c r="C316" s="17">
        <f>IF(B316&lt;&gt;"",B316,C315)</f>
      </c>
      <c r="D316" s="17">
        <f>IF(A316="","",IF(OR(LEFT(UPPER(TRIM(A316)),2)="Y:",LEFT(UPPER(TRIM(A316)),10)="YESTERDAY:"),"Y",IF(OR(LEFT(UPPER(TRIM(A316)),2)="T:",LEFT(UPPER(TRIM(A316)),6)="TODAY:"),"T",IF(OR(LEFT(UPPER(TRIM(A316)),2)="B:",LEFT(UPPER(TRIM(A316)),8)="BLOCKER:",LEFT(UPPER(TRIM(A316)),9)="BLOCKERS:",LEFT(UPPER(TRIM(A316)),8)="BLOCKED:"),"B",""))))</f>
      </c>
      <c r="E316" s="17">
        <f>IF(D316="","",TRIM(MID(A316,FIND(":",A316)+1,500)))</f>
      </c>
    </row>
    <row r="317">
      <c r="B317" s="17">
        <f>IF(A317="","",IF(COUNTIF(Roster[Name],IF(RIGHT(IF(LEFT(TRIM(A317),1)="[",TRIM(MID(TRIM(A317),FIND("]",TRIM(A317)&amp;"]")+1,200)),TRIM(A317)),1)=")",TRIM(LEFT(IF(LEFT(TRIM(A317),1)="[",TRIM(MID(TRIM(A317),FIND("]",TRIM(A317)&amp;"]")+1,200)),TRIM(A317)),FIND("(",IF(LEFT(TRIM(A317),1)="[",TRIM(MID(TRIM(A317),FIND("]",TRIM(A317)&amp;"]")+1,200)),TRIM(A317))&amp;"(")-1)),IF(LEFT(TRIM(A317),1)="[",TRIM(MID(TRIM(A317),FIND("]",TRIM(A317)&amp;"]")+1,200)),TRIM(A317))))&gt;0,IF(RIGHT(IF(LEFT(TRIM(A317),1)="[",TRIM(MID(TRIM(A317),FIND("]",TRIM(A317)&amp;"]")+1,200)),TRIM(A317)),1)=")",TRIM(LEFT(IF(LEFT(TRIM(A317),1)="[",TRIM(MID(TRIM(A317),FIND("]",TRIM(A317)&amp;"]")+1,200)),TRIM(A317)),FIND("(",IF(LEFT(TRIM(A317),1)="[",TRIM(MID(TRIM(A317),FIND("]",TRIM(A317)&amp;"]")+1,200)),TRIM(A317))&amp;"(")-1)),IF(LEFT(TRIM(A317),1)="[",TRIM(MID(TRIM(A317),FIND("]",TRIM(A317)&amp;"]")+1,200)),TRIM(A317))),""))</f>
      </c>
      <c r="C317" s="17">
        <f>IF(B317&lt;&gt;"",B317,C316)</f>
      </c>
      <c r="D317" s="17">
        <f>IF(A317="","",IF(OR(LEFT(UPPER(TRIM(A317)),2)="Y:",LEFT(UPPER(TRIM(A317)),10)="YESTERDAY:"),"Y",IF(OR(LEFT(UPPER(TRIM(A317)),2)="T:",LEFT(UPPER(TRIM(A317)),6)="TODAY:"),"T",IF(OR(LEFT(UPPER(TRIM(A317)),2)="B:",LEFT(UPPER(TRIM(A317)),8)="BLOCKER:",LEFT(UPPER(TRIM(A317)),9)="BLOCKERS:",LEFT(UPPER(TRIM(A317)),8)="BLOCKED:"),"B",""))))</f>
      </c>
      <c r="E317" s="17">
        <f>IF(D317="","",TRIM(MID(A317,FIND(":",A317)+1,500)))</f>
      </c>
    </row>
    <row r="318">
      <c r="B318" s="17">
        <f>IF(A318="","",IF(COUNTIF(Roster[Name],IF(RIGHT(IF(LEFT(TRIM(A318),1)="[",TRIM(MID(TRIM(A318),FIND("]",TRIM(A318)&amp;"]")+1,200)),TRIM(A318)),1)=")",TRIM(LEFT(IF(LEFT(TRIM(A318),1)="[",TRIM(MID(TRIM(A318),FIND("]",TRIM(A318)&amp;"]")+1,200)),TRIM(A318)),FIND("(",IF(LEFT(TRIM(A318),1)="[",TRIM(MID(TRIM(A318),FIND("]",TRIM(A318)&amp;"]")+1,200)),TRIM(A318))&amp;"(")-1)),IF(LEFT(TRIM(A318),1)="[",TRIM(MID(TRIM(A318),FIND("]",TRIM(A318)&amp;"]")+1,200)),TRIM(A318))))&gt;0,IF(RIGHT(IF(LEFT(TRIM(A318),1)="[",TRIM(MID(TRIM(A318),FIND("]",TRIM(A318)&amp;"]")+1,200)),TRIM(A318)),1)=")",TRIM(LEFT(IF(LEFT(TRIM(A318),1)="[",TRIM(MID(TRIM(A318),FIND("]",TRIM(A318)&amp;"]")+1,200)),TRIM(A318)),FIND("(",IF(LEFT(TRIM(A318),1)="[",TRIM(MID(TRIM(A318),FIND("]",TRIM(A318)&amp;"]")+1,200)),TRIM(A318))&amp;"(")-1)),IF(LEFT(TRIM(A318),1)="[",TRIM(MID(TRIM(A318),FIND("]",TRIM(A318)&amp;"]")+1,200)),TRIM(A318))),""))</f>
      </c>
      <c r="C318" s="17">
        <f>IF(B318&lt;&gt;"",B318,C317)</f>
      </c>
      <c r="D318" s="17">
        <f>IF(A318="","",IF(OR(LEFT(UPPER(TRIM(A318)),2)="Y:",LEFT(UPPER(TRIM(A318)),10)="YESTERDAY:"),"Y",IF(OR(LEFT(UPPER(TRIM(A318)),2)="T:",LEFT(UPPER(TRIM(A318)),6)="TODAY:"),"T",IF(OR(LEFT(UPPER(TRIM(A318)),2)="B:",LEFT(UPPER(TRIM(A318)),8)="BLOCKER:",LEFT(UPPER(TRIM(A318)),9)="BLOCKERS:",LEFT(UPPER(TRIM(A318)),8)="BLOCKED:"),"B",""))))</f>
      </c>
      <c r="E318" s="17">
        <f>IF(D318="","",TRIM(MID(A318,FIND(":",A318)+1,500)))</f>
      </c>
    </row>
    <row r="319">
      <c r="B319" s="17">
        <f>IF(A319="","",IF(COUNTIF(Roster[Name],IF(RIGHT(IF(LEFT(TRIM(A319),1)="[",TRIM(MID(TRIM(A319),FIND("]",TRIM(A319)&amp;"]")+1,200)),TRIM(A319)),1)=")",TRIM(LEFT(IF(LEFT(TRIM(A319),1)="[",TRIM(MID(TRIM(A319),FIND("]",TRIM(A319)&amp;"]")+1,200)),TRIM(A319)),FIND("(",IF(LEFT(TRIM(A319),1)="[",TRIM(MID(TRIM(A319),FIND("]",TRIM(A319)&amp;"]")+1,200)),TRIM(A319))&amp;"(")-1)),IF(LEFT(TRIM(A319),1)="[",TRIM(MID(TRIM(A319),FIND("]",TRIM(A319)&amp;"]")+1,200)),TRIM(A319))))&gt;0,IF(RIGHT(IF(LEFT(TRIM(A319),1)="[",TRIM(MID(TRIM(A319),FIND("]",TRIM(A319)&amp;"]")+1,200)),TRIM(A319)),1)=")",TRIM(LEFT(IF(LEFT(TRIM(A319),1)="[",TRIM(MID(TRIM(A319),FIND("]",TRIM(A319)&amp;"]")+1,200)),TRIM(A319)),FIND("(",IF(LEFT(TRIM(A319),1)="[",TRIM(MID(TRIM(A319),FIND("]",TRIM(A319)&amp;"]")+1,200)),TRIM(A319))&amp;"(")-1)),IF(LEFT(TRIM(A319),1)="[",TRIM(MID(TRIM(A319),FIND("]",TRIM(A319)&amp;"]")+1,200)),TRIM(A319))),""))</f>
      </c>
      <c r="C319" s="17">
        <f>IF(B319&lt;&gt;"",B319,C318)</f>
      </c>
      <c r="D319" s="17">
        <f>IF(A319="","",IF(OR(LEFT(UPPER(TRIM(A319)),2)="Y:",LEFT(UPPER(TRIM(A319)),10)="YESTERDAY:"),"Y",IF(OR(LEFT(UPPER(TRIM(A319)),2)="T:",LEFT(UPPER(TRIM(A319)),6)="TODAY:"),"T",IF(OR(LEFT(UPPER(TRIM(A319)),2)="B:",LEFT(UPPER(TRIM(A319)),8)="BLOCKER:",LEFT(UPPER(TRIM(A319)),9)="BLOCKERS:",LEFT(UPPER(TRIM(A319)),8)="BLOCKED:"),"B",""))))</f>
      </c>
      <c r="E319" s="17">
        <f>IF(D319="","",TRIM(MID(A319,FIND(":",A319)+1,500)))</f>
      </c>
    </row>
    <row r="320">
      <c r="B320" s="17">
        <f>IF(A320="","",IF(COUNTIF(Roster[Name],IF(RIGHT(IF(LEFT(TRIM(A320),1)="[",TRIM(MID(TRIM(A320),FIND("]",TRIM(A320)&amp;"]")+1,200)),TRIM(A320)),1)=")",TRIM(LEFT(IF(LEFT(TRIM(A320),1)="[",TRIM(MID(TRIM(A320),FIND("]",TRIM(A320)&amp;"]")+1,200)),TRIM(A320)),FIND("(",IF(LEFT(TRIM(A320),1)="[",TRIM(MID(TRIM(A320),FIND("]",TRIM(A320)&amp;"]")+1,200)),TRIM(A320))&amp;"(")-1)),IF(LEFT(TRIM(A320),1)="[",TRIM(MID(TRIM(A320),FIND("]",TRIM(A320)&amp;"]")+1,200)),TRIM(A320))))&gt;0,IF(RIGHT(IF(LEFT(TRIM(A320),1)="[",TRIM(MID(TRIM(A320),FIND("]",TRIM(A320)&amp;"]")+1,200)),TRIM(A320)),1)=")",TRIM(LEFT(IF(LEFT(TRIM(A320),1)="[",TRIM(MID(TRIM(A320),FIND("]",TRIM(A320)&amp;"]")+1,200)),TRIM(A320)),FIND("(",IF(LEFT(TRIM(A320),1)="[",TRIM(MID(TRIM(A320),FIND("]",TRIM(A320)&amp;"]")+1,200)),TRIM(A320))&amp;"(")-1)),IF(LEFT(TRIM(A320),1)="[",TRIM(MID(TRIM(A320),FIND("]",TRIM(A320)&amp;"]")+1,200)),TRIM(A320))),""))</f>
      </c>
      <c r="C320" s="17">
        <f>IF(B320&lt;&gt;"",B320,C319)</f>
      </c>
      <c r="D320" s="17">
        <f>IF(A320="","",IF(OR(LEFT(UPPER(TRIM(A320)),2)="Y:",LEFT(UPPER(TRIM(A320)),10)="YESTERDAY:"),"Y",IF(OR(LEFT(UPPER(TRIM(A320)),2)="T:",LEFT(UPPER(TRIM(A320)),6)="TODAY:"),"T",IF(OR(LEFT(UPPER(TRIM(A320)),2)="B:",LEFT(UPPER(TRIM(A320)),8)="BLOCKER:",LEFT(UPPER(TRIM(A320)),9)="BLOCKERS:",LEFT(UPPER(TRIM(A320)),8)="BLOCKED:"),"B",""))))</f>
      </c>
      <c r="E320" s="17">
        <f>IF(D320="","",TRIM(MID(A320,FIND(":",A320)+1,500)))</f>
      </c>
    </row>
    <row r="321">
      <c r="B321" s="17">
        <f>IF(A321="","",IF(COUNTIF(Roster[Name],IF(RIGHT(IF(LEFT(TRIM(A321),1)="[",TRIM(MID(TRIM(A321),FIND("]",TRIM(A321)&amp;"]")+1,200)),TRIM(A321)),1)=")",TRIM(LEFT(IF(LEFT(TRIM(A321),1)="[",TRIM(MID(TRIM(A321),FIND("]",TRIM(A321)&amp;"]")+1,200)),TRIM(A321)),FIND("(",IF(LEFT(TRIM(A321),1)="[",TRIM(MID(TRIM(A321),FIND("]",TRIM(A321)&amp;"]")+1,200)),TRIM(A321))&amp;"(")-1)),IF(LEFT(TRIM(A321),1)="[",TRIM(MID(TRIM(A321),FIND("]",TRIM(A321)&amp;"]")+1,200)),TRIM(A321))))&gt;0,IF(RIGHT(IF(LEFT(TRIM(A321),1)="[",TRIM(MID(TRIM(A321),FIND("]",TRIM(A321)&amp;"]")+1,200)),TRIM(A321)),1)=")",TRIM(LEFT(IF(LEFT(TRIM(A321),1)="[",TRIM(MID(TRIM(A321),FIND("]",TRIM(A321)&amp;"]")+1,200)),TRIM(A321)),FIND("(",IF(LEFT(TRIM(A321),1)="[",TRIM(MID(TRIM(A321),FIND("]",TRIM(A321)&amp;"]")+1,200)),TRIM(A321))&amp;"(")-1)),IF(LEFT(TRIM(A321),1)="[",TRIM(MID(TRIM(A321),FIND("]",TRIM(A321)&amp;"]")+1,200)),TRIM(A321))),""))</f>
      </c>
      <c r="C321" s="17">
        <f>IF(B321&lt;&gt;"",B321,C320)</f>
      </c>
      <c r="D321" s="17">
        <f>IF(A321="","",IF(OR(LEFT(UPPER(TRIM(A321)),2)="Y:",LEFT(UPPER(TRIM(A321)),10)="YESTERDAY:"),"Y",IF(OR(LEFT(UPPER(TRIM(A321)),2)="T:",LEFT(UPPER(TRIM(A321)),6)="TODAY:"),"T",IF(OR(LEFT(UPPER(TRIM(A321)),2)="B:",LEFT(UPPER(TRIM(A321)),8)="BLOCKER:",LEFT(UPPER(TRIM(A321)),9)="BLOCKERS:",LEFT(UPPER(TRIM(A321)),8)="BLOCKED:"),"B",""))))</f>
      </c>
      <c r="E321" s="17">
        <f>IF(D321="","",TRIM(MID(A321,FIND(":",A321)+1,500)))</f>
      </c>
    </row>
    <row r="322">
      <c r="B322" s="17">
        <f>IF(A322="","",IF(COUNTIF(Roster[Name],IF(RIGHT(IF(LEFT(TRIM(A322),1)="[",TRIM(MID(TRIM(A322),FIND("]",TRIM(A322)&amp;"]")+1,200)),TRIM(A322)),1)=")",TRIM(LEFT(IF(LEFT(TRIM(A322),1)="[",TRIM(MID(TRIM(A322),FIND("]",TRIM(A322)&amp;"]")+1,200)),TRIM(A322)),FIND("(",IF(LEFT(TRIM(A322),1)="[",TRIM(MID(TRIM(A322),FIND("]",TRIM(A322)&amp;"]")+1,200)),TRIM(A322))&amp;"(")-1)),IF(LEFT(TRIM(A322),1)="[",TRIM(MID(TRIM(A322),FIND("]",TRIM(A322)&amp;"]")+1,200)),TRIM(A322))))&gt;0,IF(RIGHT(IF(LEFT(TRIM(A322),1)="[",TRIM(MID(TRIM(A322),FIND("]",TRIM(A322)&amp;"]")+1,200)),TRIM(A322)),1)=")",TRIM(LEFT(IF(LEFT(TRIM(A322),1)="[",TRIM(MID(TRIM(A322),FIND("]",TRIM(A322)&amp;"]")+1,200)),TRIM(A322)),FIND("(",IF(LEFT(TRIM(A322),1)="[",TRIM(MID(TRIM(A322),FIND("]",TRIM(A322)&amp;"]")+1,200)),TRIM(A322))&amp;"(")-1)),IF(LEFT(TRIM(A322),1)="[",TRIM(MID(TRIM(A322),FIND("]",TRIM(A322)&amp;"]")+1,200)),TRIM(A322))),""))</f>
      </c>
      <c r="C322" s="17">
        <f>IF(B322&lt;&gt;"",B322,C321)</f>
      </c>
      <c r="D322" s="17">
        <f>IF(A322="","",IF(OR(LEFT(UPPER(TRIM(A322)),2)="Y:",LEFT(UPPER(TRIM(A322)),10)="YESTERDAY:"),"Y",IF(OR(LEFT(UPPER(TRIM(A322)),2)="T:",LEFT(UPPER(TRIM(A322)),6)="TODAY:"),"T",IF(OR(LEFT(UPPER(TRIM(A322)),2)="B:",LEFT(UPPER(TRIM(A322)),8)="BLOCKER:",LEFT(UPPER(TRIM(A322)),9)="BLOCKERS:",LEFT(UPPER(TRIM(A322)),8)="BLOCKED:"),"B",""))))</f>
      </c>
      <c r="E322" s="17">
        <f>IF(D322="","",TRIM(MID(A322,FIND(":",A322)+1,500)))</f>
      </c>
    </row>
    <row r="323">
      <c r="B323" s="17">
        <f>IF(A323="","",IF(COUNTIF(Roster[Name],IF(RIGHT(IF(LEFT(TRIM(A323),1)="[",TRIM(MID(TRIM(A323),FIND("]",TRIM(A323)&amp;"]")+1,200)),TRIM(A323)),1)=")",TRIM(LEFT(IF(LEFT(TRIM(A323),1)="[",TRIM(MID(TRIM(A323),FIND("]",TRIM(A323)&amp;"]")+1,200)),TRIM(A323)),FIND("(",IF(LEFT(TRIM(A323),1)="[",TRIM(MID(TRIM(A323),FIND("]",TRIM(A323)&amp;"]")+1,200)),TRIM(A323))&amp;"(")-1)),IF(LEFT(TRIM(A323),1)="[",TRIM(MID(TRIM(A323),FIND("]",TRIM(A323)&amp;"]")+1,200)),TRIM(A323))))&gt;0,IF(RIGHT(IF(LEFT(TRIM(A323),1)="[",TRIM(MID(TRIM(A323),FIND("]",TRIM(A323)&amp;"]")+1,200)),TRIM(A323)),1)=")",TRIM(LEFT(IF(LEFT(TRIM(A323),1)="[",TRIM(MID(TRIM(A323),FIND("]",TRIM(A323)&amp;"]")+1,200)),TRIM(A323)),FIND("(",IF(LEFT(TRIM(A323),1)="[",TRIM(MID(TRIM(A323),FIND("]",TRIM(A323)&amp;"]")+1,200)),TRIM(A323))&amp;"(")-1)),IF(LEFT(TRIM(A323),1)="[",TRIM(MID(TRIM(A323),FIND("]",TRIM(A323)&amp;"]")+1,200)),TRIM(A323))),""))</f>
      </c>
      <c r="C323" s="17">
        <f>IF(B323&lt;&gt;"",B323,C322)</f>
      </c>
      <c r="D323" s="17">
        <f>IF(A323="","",IF(OR(LEFT(UPPER(TRIM(A323)),2)="Y:",LEFT(UPPER(TRIM(A323)),10)="YESTERDAY:"),"Y",IF(OR(LEFT(UPPER(TRIM(A323)),2)="T:",LEFT(UPPER(TRIM(A323)),6)="TODAY:"),"T",IF(OR(LEFT(UPPER(TRIM(A323)),2)="B:",LEFT(UPPER(TRIM(A323)),8)="BLOCKER:",LEFT(UPPER(TRIM(A323)),9)="BLOCKERS:",LEFT(UPPER(TRIM(A323)),8)="BLOCKED:"),"B",""))))</f>
      </c>
      <c r="E323" s="17">
        <f>IF(D323="","",TRIM(MID(A323,FIND(":",A323)+1,500)))</f>
      </c>
    </row>
    <row r="324">
      <c r="B324" s="17">
        <f>IF(A324="","",IF(COUNTIF(Roster[Name],IF(RIGHT(IF(LEFT(TRIM(A324),1)="[",TRIM(MID(TRIM(A324),FIND("]",TRIM(A324)&amp;"]")+1,200)),TRIM(A324)),1)=")",TRIM(LEFT(IF(LEFT(TRIM(A324),1)="[",TRIM(MID(TRIM(A324),FIND("]",TRIM(A324)&amp;"]")+1,200)),TRIM(A324)),FIND("(",IF(LEFT(TRIM(A324),1)="[",TRIM(MID(TRIM(A324),FIND("]",TRIM(A324)&amp;"]")+1,200)),TRIM(A324))&amp;"(")-1)),IF(LEFT(TRIM(A324),1)="[",TRIM(MID(TRIM(A324),FIND("]",TRIM(A324)&amp;"]")+1,200)),TRIM(A324))))&gt;0,IF(RIGHT(IF(LEFT(TRIM(A324),1)="[",TRIM(MID(TRIM(A324),FIND("]",TRIM(A324)&amp;"]")+1,200)),TRIM(A324)),1)=")",TRIM(LEFT(IF(LEFT(TRIM(A324),1)="[",TRIM(MID(TRIM(A324),FIND("]",TRIM(A324)&amp;"]")+1,200)),TRIM(A324)),FIND("(",IF(LEFT(TRIM(A324),1)="[",TRIM(MID(TRIM(A324),FIND("]",TRIM(A324)&amp;"]")+1,200)),TRIM(A324))&amp;"(")-1)),IF(LEFT(TRIM(A324),1)="[",TRIM(MID(TRIM(A324),FIND("]",TRIM(A324)&amp;"]")+1,200)),TRIM(A324))),""))</f>
      </c>
      <c r="C324" s="17">
        <f>IF(B324&lt;&gt;"",B324,C323)</f>
      </c>
      <c r="D324" s="17">
        <f>IF(A324="","",IF(OR(LEFT(UPPER(TRIM(A324)),2)="Y:",LEFT(UPPER(TRIM(A324)),10)="YESTERDAY:"),"Y",IF(OR(LEFT(UPPER(TRIM(A324)),2)="T:",LEFT(UPPER(TRIM(A324)),6)="TODAY:"),"T",IF(OR(LEFT(UPPER(TRIM(A324)),2)="B:",LEFT(UPPER(TRIM(A324)),8)="BLOCKER:",LEFT(UPPER(TRIM(A324)),9)="BLOCKERS:",LEFT(UPPER(TRIM(A324)),8)="BLOCKED:"),"B",""))))</f>
      </c>
      <c r="E324" s="17">
        <f>IF(D324="","",TRIM(MID(A324,FIND(":",A324)+1,500)))</f>
      </c>
    </row>
    <row r="325">
      <c r="B325" s="17">
        <f>IF(A325="","",IF(COUNTIF(Roster[Name],IF(RIGHT(IF(LEFT(TRIM(A325),1)="[",TRIM(MID(TRIM(A325),FIND("]",TRIM(A325)&amp;"]")+1,200)),TRIM(A325)),1)=")",TRIM(LEFT(IF(LEFT(TRIM(A325),1)="[",TRIM(MID(TRIM(A325),FIND("]",TRIM(A325)&amp;"]")+1,200)),TRIM(A325)),FIND("(",IF(LEFT(TRIM(A325),1)="[",TRIM(MID(TRIM(A325),FIND("]",TRIM(A325)&amp;"]")+1,200)),TRIM(A325))&amp;"(")-1)),IF(LEFT(TRIM(A325),1)="[",TRIM(MID(TRIM(A325),FIND("]",TRIM(A325)&amp;"]")+1,200)),TRIM(A325))))&gt;0,IF(RIGHT(IF(LEFT(TRIM(A325),1)="[",TRIM(MID(TRIM(A325),FIND("]",TRIM(A325)&amp;"]")+1,200)),TRIM(A325)),1)=")",TRIM(LEFT(IF(LEFT(TRIM(A325),1)="[",TRIM(MID(TRIM(A325),FIND("]",TRIM(A325)&amp;"]")+1,200)),TRIM(A325)),FIND("(",IF(LEFT(TRIM(A325),1)="[",TRIM(MID(TRIM(A325),FIND("]",TRIM(A325)&amp;"]")+1,200)),TRIM(A325))&amp;"(")-1)),IF(LEFT(TRIM(A325),1)="[",TRIM(MID(TRIM(A325),FIND("]",TRIM(A325)&amp;"]")+1,200)),TRIM(A325))),""))</f>
      </c>
      <c r="C325" s="17">
        <f>IF(B325&lt;&gt;"",B325,C324)</f>
      </c>
      <c r="D325" s="17">
        <f>IF(A325="","",IF(OR(LEFT(UPPER(TRIM(A325)),2)="Y:",LEFT(UPPER(TRIM(A325)),10)="YESTERDAY:"),"Y",IF(OR(LEFT(UPPER(TRIM(A325)),2)="T:",LEFT(UPPER(TRIM(A325)),6)="TODAY:"),"T",IF(OR(LEFT(UPPER(TRIM(A325)),2)="B:",LEFT(UPPER(TRIM(A325)),8)="BLOCKER:",LEFT(UPPER(TRIM(A325)),9)="BLOCKERS:",LEFT(UPPER(TRIM(A325)),8)="BLOCKED:"),"B",""))))</f>
      </c>
      <c r="E325" s="17">
        <f>IF(D325="","",TRIM(MID(A325,FIND(":",A325)+1,500)))</f>
      </c>
    </row>
    <row r="326">
      <c r="B326" s="17">
        <f>IF(A326="","",IF(COUNTIF(Roster[Name],IF(RIGHT(IF(LEFT(TRIM(A326),1)="[",TRIM(MID(TRIM(A326),FIND("]",TRIM(A326)&amp;"]")+1,200)),TRIM(A326)),1)=")",TRIM(LEFT(IF(LEFT(TRIM(A326),1)="[",TRIM(MID(TRIM(A326),FIND("]",TRIM(A326)&amp;"]")+1,200)),TRIM(A326)),FIND("(",IF(LEFT(TRIM(A326),1)="[",TRIM(MID(TRIM(A326),FIND("]",TRIM(A326)&amp;"]")+1,200)),TRIM(A326))&amp;"(")-1)),IF(LEFT(TRIM(A326),1)="[",TRIM(MID(TRIM(A326),FIND("]",TRIM(A326)&amp;"]")+1,200)),TRIM(A326))))&gt;0,IF(RIGHT(IF(LEFT(TRIM(A326),1)="[",TRIM(MID(TRIM(A326),FIND("]",TRIM(A326)&amp;"]")+1,200)),TRIM(A326)),1)=")",TRIM(LEFT(IF(LEFT(TRIM(A326),1)="[",TRIM(MID(TRIM(A326),FIND("]",TRIM(A326)&amp;"]")+1,200)),TRIM(A326)),FIND("(",IF(LEFT(TRIM(A326),1)="[",TRIM(MID(TRIM(A326),FIND("]",TRIM(A326)&amp;"]")+1,200)),TRIM(A326))&amp;"(")-1)),IF(LEFT(TRIM(A326),1)="[",TRIM(MID(TRIM(A326),FIND("]",TRIM(A326)&amp;"]")+1,200)),TRIM(A326))),""))</f>
      </c>
      <c r="C326" s="17">
        <f>IF(B326&lt;&gt;"",B326,C325)</f>
      </c>
      <c r="D326" s="17">
        <f>IF(A326="","",IF(OR(LEFT(UPPER(TRIM(A326)),2)="Y:",LEFT(UPPER(TRIM(A326)),10)="YESTERDAY:"),"Y",IF(OR(LEFT(UPPER(TRIM(A326)),2)="T:",LEFT(UPPER(TRIM(A326)),6)="TODAY:"),"T",IF(OR(LEFT(UPPER(TRIM(A326)),2)="B:",LEFT(UPPER(TRIM(A326)),8)="BLOCKER:",LEFT(UPPER(TRIM(A326)),9)="BLOCKERS:",LEFT(UPPER(TRIM(A326)),8)="BLOCKED:"),"B",""))))</f>
      </c>
      <c r="E326" s="17">
        <f>IF(D326="","",TRIM(MID(A326,FIND(":",A326)+1,500)))</f>
      </c>
    </row>
    <row r="327">
      <c r="B327" s="17">
        <f>IF(A327="","",IF(COUNTIF(Roster[Name],IF(RIGHT(IF(LEFT(TRIM(A327),1)="[",TRIM(MID(TRIM(A327),FIND("]",TRIM(A327)&amp;"]")+1,200)),TRIM(A327)),1)=")",TRIM(LEFT(IF(LEFT(TRIM(A327),1)="[",TRIM(MID(TRIM(A327),FIND("]",TRIM(A327)&amp;"]")+1,200)),TRIM(A327)),FIND("(",IF(LEFT(TRIM(A327),1)="[",TRIM(MID(TRIM(A327),FIND("]",TRIM(A327)&amp;"]")+1,200)),TRIM(A327))&amp;"(")-1)),IF(LEFT(TRIM(A327),1)="[",TRIM(MID(TRIM(A327),FIND("]",TRIM(A327)&amp;"]")+1,200)),TRIM(A327))))&gt;0,IF(RIGHT(IF(LEFT(TRIM(A327),1)="[",TRIM(MID(TRIM(A327),FIND("]",TRIM(A327)&amp;"]")+1,200)),TRIM(A327)),1)=")",TRIM(LEFT(IF(LEFT(TRIM(A327),1)="[",TRIM(MID(TRIM(A327),FIND("]",TRIM(A327)&amp;"]")+1,200)),TRIM(A327)),FIND("(",IF(LEFT(TRIM(A327),1)="[",TRIM(MID(TRIM(A327),FIND("]",TRIM(A327)&amp;"]")+1,200)),TRIM(A327))&amp;"(")-1)),IF(LEFT(TRIM(A327),1)="[",TRIM(MID(TRIM(A327),FIND("]",TRIM(A327)&amp;"]")+1,200)),TRIM(A327))),""))</f>
      </c>
      <c r="C327" s="17">
        <f>IF(B327&lt;&gt;"",B327,C326)</f>
      </c>
      <c r="D327" s="17">
        <f>IF(A327="","",IF(OR(LEFT(UPPER(TRIM(A327)),2)="Y:",LEFT(UPPER(TRIM(A327)),10)="YESTERDAY:"),"Y",IF(OR(LEFT(UPPER(TRIM(A327)),2)="T:",LEFT(UPPER(TRIM(A327)),6)="TODAY:"),"T",IF(OR(LEFT(UPPER(TRIM(A327)),2)="B:",LEFT(UPPER(TRIM(A327)),8)="BLOCKER:",LEFT(UPPER(TRIM(A327)),9)="BLOCKERS:",LEFT(UPPER(TRIM(A327)),8)="BLOCKED:"),"B",""))))</f>
      </c>
      <c r="E327" s="17">
        <f>IF(D327="","",TRIM(MID(A327,FIND(":",A327)+1,500)))</f>
      </c>
    </row>
    <row r="328">
      <c r="B328" s="17">
        <f>IF(A328="","",IF(COUNTIF(Roster[Name],IF(RIGHT(IF(LEFT(TRIM(A328),1)="[",TRIM(MID(TRIM(A328),FIND("]",TRIM(A328)&amp;"]")+1,200)),TRIM(A328)),1)=")",TRIM(LEFT(IF(LEFT(TRIM(A328),1)="[",TRIM(MID(TRIM(A328),FIND("]",TRIM(A328)&amp;"]")+1,200)),TRIM(A328)),FIND("(",IF(LEFT(TRIM(A328),1)="[",TRIM(MID(TRIM(A328),FIND("]",TRIM(A328)&amp;"]")+1,200)),TRIM(A328))&amp;"(")-1)),IF(LEFT(TRIM(A328),1)="[",TRIM(MID(TRIM(A328),FIND("]",TRIM(A328)&amp;"]")+1,200)),TRIM(A328))))&gt;0,IF(RIGHT(IF(LEFT(TRIM(A328),1)="[",TRIM(MID(TRIM(A328),FIND("]",TRIM(A328)&amp;"]")+1,200)),TRIM(A328)),1)=")",TRIM(LEFT(IF(LEFT(TRIM(A328),1)="[",TRIM(MID(TRIM(A328),FIND("]",TRIM(A328)&amp;"]")+1,200)),TRIM(A328)),FIND("(",IF(LEFT(TRIM(A328),1)="[",TRIM(MID(TRIM(A328),FIND("]",TRIM(A328)&amp;"]")+1,200)),TRIM(A328))&amp;"(")-1)),IF(LEFT(TRIM(A328),1)="[",TRIM(MID(TRIM(A328),FIND("]",TRIM(A328)&amp;"]")+1,200)),TRIM(A328))),""))</f>
      </c>
      <c r="C328" s="17">
        <f>IF(B328&lt;&gt;"",B328,C327)</f>
      </c>
      <c r="D328" s="17">
        <f>IF(A328="","",IF(OR(LEFT(UPPER(TRIM(A328)),2)="Y:",LEFT(UPPER(TRIM(A328)),10)="YESTERDAY:"),"Y",IF(OR(LEFT(UPPER(TRIM(A328)),2)="T:",LEFT(UPPER(TRIM(A328)),6)="TODAY:"),"T",IF(OR(LEFT(UPPER(TRIM(A328)),2)="B:",LEFT(UPPER(TRIM(A328)),8)="BLOCKER:",LEFT(UPPER(TRIM(A328)),9)="BLOCKERS:",LEFT(UPPER(TRIM(A328)),8)="BLOCKED:"),"B",""))))</f>
      </c>
      <c r="E328" s="17">
        <f>IF(D328="","",TRIM(MID(A328,FIND(":",A328)+1,500)))</f>
      </c>
    </row>
    <row r="329">
      <c r="B329" s="17">
        <f>IF(A329="","",IF(COUNTIF(Roster[Name],IF(RIGHT(IF(LEFT(TRIM(A329),1)="[",TRIM(MID(TRIM(A329),FIND("]",TRIM(A329)&amp;"]")+1,200)),TRIM(A329)),1)=")",TRIM(LEFT(IF(LEFT(TRIM(A329),1)="[",TRIM(MID(TRIM(A329),FIND("]",TRIM(A329)&amp;"]")+1,200)),TRIM(A329)),FIND("(",IF(LEFT(TRIM(A329),1)="[",TRIM(MID(TRIM(A329),FIND("]",TRIM(A329)&amp;"]")+1,200)),TRIM(A329))&amp;"(")-1)),IF(LEFT(TRIM(A329),1)="[",TRIM(MID(TRIM(A329),FIND("]",TRIM(A329)&amp;"]")+1,200)),TRIM(A329))))&gt;0,IF(RIGHT(IF(LEFT(TRIM(A329),1)="[",TRIM(MID(TRIM(A329),FIND("]",TRIM(A329)&amp;"]")+1,200)),TRIM(A329)),1)=")",TRIM(LEFT(IF(LEFT(TRIM(A329),1)="[",TRIM(MID(TRIM(A329),FIND("]",TRIM(A329)&amp;"]")+1,200)),TRIM(A329)),FIND("(",IF(LEFT(TRIM(A329),1)="[",TRIM(MID(TRIM(A329),FIND("]",TRIM(A329)&amp;"]")+1,200)),TRIM(A329))&amp;"(")-1)),IF(LEFT(TRIM(A329),1)="[",TRIM(MID(TRIM(A329),FIND("]",TRIM(A329)&amp;"]")+1,200)),TRIM(A329))),""))</f>
      </c>
      <c r="C329" s="17">
        <f>IF(B329&lt;&gt;"",B329,C328)</f>
      </c>
      <c r="D329" s="17">
        <f>IF(A329="","",IF(OR(LEFT(UPPER(TRIM(A329)),2)="Y:",LEFT(UPPER(TRIM(A329)),10)="YESTERDAY:"),"Y",IF(OR(LEFT(UPPER(TRIM(A329)),2)="T:",LEFT(UPPER(TRIM(A329)),6)="TODAY:"),"T",IF(OR(LEFT(UPPER(TRIM(A329)),2)="B:",LEFT(UPPER(TRIM(A329)),8)="BLOCKER:",LEFT(UPPER(TRIM(A329)),9)="BLOCKERS:",LEFT(UPPER(TRIM(A329)),8)="BLOCKED:"),"B",""))))</f>
      </c>
      <c r="E329" s="17">
        <f>IF(D329="","",TRIM(MID(A329,FIND(":",A329)+1,500)))</f>
      </c>
    </row>
    <row r="330">
      <c r="B330" s="17">
        <f>IF(A330="","",IF(COUNTIF(Roster[Name],IF(RIGHT(IF(LEFT(TRIM(A330),1)="[",TRIM(MID(TRIM(A330),FIND("]",TRIM(A330)&amp;"]")+1,200)),TRIM(A330)),1)=")",TRIM(LEFT(IF(LEFT(TRIM(A330),1)="[",TRIM(MID(TRIM(A330),FIND("]",TRIM(A330)&amp;"]")+1,200)),TRIM(A330)),FIND("(",IF(LEFT(TRIM(A330),1)="[",TRIM(MID(TRIM(A330),FIND("]",TRIM(A330)&amp;"]")+1,200)),TRIM(A330))&amp;"(")-1)),IF(LEFT(TRIM(A330),1)="[",TRIM(MID(TRIM(A330),FIND("]",TRIM(A330)&amp;"]")+1,200)),TRIM(A330))))&gt;0,IF(RIGHT(IF(LEFT(TRIM(A330),1)="[",TRIM(MID(TRIM(A330),FIND("]",TRIM(A330)&amp;"]")+1,200)),TRIM(A330)),1)=")",TRIM(LEFT(IF(LEFT(TRIM(A330),1)="[",TRIM(MID(TRIM(A330),FIND("]",TRIM(A330)&amp;"]")+1,200)),TRIM(A330)),FIND("(",IF(LEFT(TRIM(A330),1)="[",TRIM(MID(TRIM(A330),FIND("]",TRIM(A330)&amp;"]")+1,200)),TRIM(A330))&amp;"(")-1)),IF(LEFT(TRIM(A330),1)="[",TRIM(MID(TRIM(A330),FIND("]",TRIM(A330)&amp;"]")+1,200)),TRIM(A330))),""))</f>
      </c>
      <c r="C330" s="17">
        <f>IF(B330&lt;&gt;"",B330,C329)</f>
      </c>
      <c r="D330" s="17">
        <f>IF(A330="","",IF(OR(LEFT(UPPER(TRIM(A330)),2)="Y:",LEFT(UPPER(TRIM(A330)),10)="YESTERDAY:"),"Y",IF(OR(LEFT(UPPER(TRIM(A330)),2)="T:",LEFT(UPPER(TRIM(A330)),6)="TODAY:"),"T",IF(OR(LEFT(UPPER(TRIM(A330)),2)="B:",LEFT(UPPER(TRIM(A330)),8)="BLOCKER:",LEFT(UPPER(TRIM(A330)),9)="BLOCKERS:",LEFT(UPPER(TRIM(A330)),8)="BLOCKED:"),"B",""))))</f>
      </c>
      <c r="E330" s="17">
        <f>IF(D330="","",TRIM(MID(A330,FIND(":",A330)+1,500)))</f>
      </c>
    </row>
    <row r="331">
      <c r="B331" s="17">
        <f>IF(A331="","",IF(COUNTIF(Roster[Name],IF(RIGHT(IF(LEFT(TRIM(A331),1)="[",TRIM(MID(TRIM(A331),FIND("]",TRIM(A331)&amp;"]")+1,200)),TRIM(A331)),1)=")",TRIM(LEFT(IF(LEFT(TRIM(A331),1)="[",TRIM(MID(TRIM(A331),FIND("]",TRIM(A331)&amp;"]")+1,200)),TRIM(A331)),FIND("(",IF(LEFT(TRIM(A331),1)="[",TRIM(MID(TRIM(A331),FIND("]",TRIM(A331)&amp;"]")+1,200)),TRIM(A331))&amp;"(")-1)),IF(LEFT(TRIM(A331),1)="[",TRIM(MID(TRIM(A331),FIND("]",TRIM(A331)&amp;"]")+1,200)),TRIM(A331))))&gt;0,IF(RIGHT(IF(LEFT(TRIM(A331),1)="[",TRIM(MID(TRIM(A331),FIND("]",TRIM(A331)&amp;"]")+1,200)),TRIM(A331)),1)=")",TRIM(LEFT(IF(LEFT(TRIM(A331),1)="[",TRIM(MID(TRIM(A331),FIND("]",TRIM(A331)&amp;"]")+1,200)),TRIM(A331)),FIND("(",IF(LEFT(TRIM(A331),1)="[",TRIM(MID(TRIM(A331),FIND("]",TRIM(A331)&amp;"]")+1,200)),TRIM(A331))&amp;"(")-1)),IF(LEFT(TRIM(A331),1)="[",TRIM(MID(TRIM(A331),FIND("]",TRIM(A331)&amp;"]")+1,200)),TRIM(A331))),""))</f>
      </c>
      <c r="C331" s="17">
        <f>IF(B331&lt;&gt;"",B331,C330)</f>
      </c>
      <c r="D331" s="17">
        <f>IF(A331="","",IF(OR(LEFT(UPPER(TRIM(A331)),2)="Y:",LEFT(UPPER(TRIM(A331)),10)="YESTERDAY:"),"Y",IF(OR(LEFT(UPPER(TRIM(A331)),2)="T:",LEFT(UPPER(TRIM(A331)),6)="TODAY:"),"T",IF(OR(LEFT(UPPER(TRIM(A331)),2)="B:",LEFT(UPPER(TRIM(A331)),8)="BLOCKER:",LEFT(UPPER(TRIM(A331)),9)="BLOCKERS:",LEFT(UPPER(TRIM(A331)),8)="BLOCKED:"),"B",""))))</f>
      </c>
      <c r="E331" s="17">
        <f>IF(D331="","",TRIM(MID(A331,FIND(":",A331)+1,500)))</f>
      </c>
    </row>
    <row r="332">
      <c r="B332" s="17">
        <f>IF(A332="","",IF(COUNTIF(Roster[Name],IF(RIGHT(IF(LEFT(TRIM(A332),1)="[",TRIM(MID(TRIM(A332),FIND("]",TRIM(A332)&amp;"]")+1,200)),TRIM(A332)),1)=")",TRIM(LEFT(IF(LEFT(TRIM(A332),1)="[",TRIM(MID(TRIM(A332),FIND("]",TRIM(A332)&amp;"]")+1,200)),TRIM(A332)),FIND("(",IF(LEFT(TRIM(A332),1)="[",TRIM(MID(TRIM(A332),FIND("]",TRIM(A332)&amp;"]")+1,200)),TRIM(A332))&amp;"(")-1)),IF(LEFT(TRIM(A332),1)="[",TRIM(MID(TRIM(A332),FIND("]",TRIM(A332)&amp;"]")+1,200)),TRIM(A332))))&gt;0,IF(RIGHT(IF(LEFT(TRIM(A332),1)="[",TRIM(MID(TRIM(A332),FIND("]",TRIM(A332)&amp;"]")+1,200)),TRIM(A332)),1)=")",TRIM(LEFT(IF(LEFT(TRIM(A332),1)="[",TRIM(MID(TRIM(A332),FIND("]",TRIM(A332)&amp;"]")+1,200)),TRIM(A332)),FIND("(",IF(LEFT(TRIM(A332),1)="[",TRIM(MID(TRIM(A332),FIND("]",TRIM(A332)&amp;"]")+1,200)),TRIM(A332))&amp;"(")-1)),IF(LEFT(TRIM(A332),1)="[",TRIM(MID(TRIM(A332),FIND("]",TRIM(A332)&amp;"]")+1,200)),TRIM(A332))),""))</f>
      </c>
      <c r="C332" s="17">
        <f>IF(B332&lt;&gt;"",B332,C331)</f>
      </c>
      <c r="D332" s="17">
        <f>IF(A332="","",IF(OR(LEFT(UPPER(TRIM(A332)),2)="Y:",LEFT(UPPER(TRIM(A332)),10)="YESTERDAY:"),"Y",IF(OR(LEFT(UPPER(TRIM(A332)),2)="T:",LEFT(UPPER(TRIM(A332)),6)="TODAY:"),"T",IF(OR(LEFT(UPPER(TRIM(A332)),2)="B:",LEFT(UPPER(TRIM(A332)),8)="BLOCKER:",LEFT(UPPER(TRIM(A332)),9)="BLOCKERS:",LEFT(UPPER(TRIM(A332)),8)="BLOCKED:"),"B",""))))</f>
      </c>
      <c r="E332" s="17">
        <f>IF(D332="","",TRIM(MID(A332,FIND(":",A332)+1,500)))</f>
      </c>
    </row>
    <row r="333">
      <c r="B333" s="17">
        <f>IF(A333="","",IF(COUNTIF(Roster[Name],IF(RIGHT(IF(LEFT(TRIM(A333),1)="[",TRIM(MID(TRIM(A333),FIND("]",TRIM(A333)&amp;"]")+1,200)),TRIM(A333)),1)=")",TRIM(LEFT(IF(LEFT(TRIM(A333),1)="[",TRIM(MID(TRIM(A333),FIND("]",TRIM(A333)&amp;"]")+1,200)),TRIM(A333)),FIND("(",IF(LEFT(TRIM(A333),1)="[",TRIM(MID(TRIM(A333),FIND("]",TRIM(A333)&amp;"]")+1,200)),TRIM(A333))&amp;"(")-1)),IF(LEFT(TRIM(A333),1)="[",TRIM(MID(TRIM(A333),FIND("]",TRIM(A333)&amp;"]")+1,200)),TRIM(A333))))&gt;0,IF(RIGHT(IF(LEFT(TRIM(A333),1)="[",TRIM(MID(TRIM(A333),FIND("]",TRIM(A333)&amp;"]")+1,200)),TRIM(A333)),1)=")",TRIM(LEFT(IF(LEFT(TRIM(A333),1)="[",TRIM(MID(TRIM(A333),FIND("]",TRIM(A333)&amp;"]")+1,200)),TRIM(A333)),FIND("(",IF(LEFT(TRIM(A333),1)="[",TRIM(MID(TRIM(A333),FIND("]",TRIM(A333)&amp;"]")+1,200)),TRIM(A333))&amp;"(")-1)),IF(LEFT(TRIM(A333),1)="[",TRIM(MID(TRIM(A333),FIND("]",TRIM(A333)&amp;"]")+1,200)),TRIM(A333))),""))</f>
      </c>
      <c r="C333" s="17">
        <f>IF(B333&lt;&gt;"",B333,C332)</f>
      </c>
      <c r="D333" s="17">
        <f>IF(A333="","",IF(OR(LEFT(UPPER(TRIM(A333)),2)="Y:",LEFT(UPPER(TRIM(A333)),10)="YESTERDAY:"),"Y",IF(OR(LEFT(UPPER(TRIM(A333)),2)="T:",LEFT(UPPER(TRIM(A333)),6)="TODAY:"),"T",IF(OR(LEFT(UPPER(TRIM(A333)),2)="B:",LEFT(UPPER(TRIM(A333)),8)="BLOCKER:",LEFT(UPPER(TRIM(A333)),9)="BLOCKERS:",LEFT(UPPER(TRIM(A333)),8)="BLOCKED:"),"B",""))))</f>
      </c>
      <c r="E333" s="17">
        <f>IF(D333="","",TRIM(MID(A333,FIND(":",A333)+1,500)))</f>
      </c>
    </row>
    <row r="334">
      <c r="B334" s="17">
        <f>IF(A334="","",IF(COUNTIF(Roster[Name],IF(RIGHT(IF(LEFT(TRIM(A334),1)="[",TRIM(MID(TRIM(A334),FIND("]",TRIM(A334)&amp;"]")+1,200)),TRIM(A334)),1)=")",TRIM(LEFT(IF(LEFT(TRIM(A334),1)="[",TRIM(MID(TRIM(A334),FIND("]",TRIM(A334)&amp;"]")+1,200)),TRIM(A334)),FIND("(",IF(LEFT(TRIM(A334),1)="[",TRIM(MID(TRIM(A334),FIND("]",TRIM(A334)&amp;"]")+1,200)),TRIM(A334))&amp;"(")-1)),IF(LEFT(TRIM(A334),1)="[",TRIM(MID(TRIM(A334),FIND("]",TRIM(A334)&amp;"]")+1,200)),TRIM(A334))))&gt;0,IF(RIGHT(IF(LEFT(TRIM(A334),1)="[",TRIM(MID(TRIM(A334),FIND("]",TRIM(A334)&amp;"]")+1,200)),TRIM(A334)),1)=")",TRIM(LEFT(IF(LEFT(TRIM(A334),1)="[",TRIM(MID(TRIM(A334),FIND("]",TRIM(A334)&amp;"]")+1,200)),TRIM(A334)),FIND("(",IF(LEFT(TRIM(A334),1)="[",TRIM(MID(TRIM(A334),FIND("]",TRIM(A334)&amp;"]")+1,200)),TRIM(A334))&amp;"(")-1)),IF(LEFT(TRIM(A334),1)="[",TRIM(MID(TRIM(A334),FIND("]",TRIM(A334)&amp;"]")+1,200)),TRIM(A334))),""))</f>
      </c>
      <c r="C334" s="17">
        <f>IF(B334&lt;&gt;"",B334,C333)</f>
      </c>
      <c r="D334" s="17">
        <f>IF(A334="","",IF(OR(LEFT(UPPER(TRIM(A334)),2)="Y:",LEFT(UPPER(TRIM(A334)),10)="YESTERDAY:"),"Y",IF(OR(LEFT(UPPER(TRIM(A334)),2)="T:",LEFT(UPPER(TRIM(A334)),6)="TODAY:"),"T",IF(OR(LEFT(UPPER(TRIM(A334)),2)="B:",LEFT(UPPER(TRIM(A334)),8)="BLOCKER:",LEFT(UPPER(TRIM(A334)),9)="BLOCKERS:",LEFT(UPPER(TRIM(A334)),8)="BLOCKED:"),"B",""))))</f>
      </c>
      <c r="E334" s="17">
        <f>IF(D334="","",TRIM(MID(A334,FIND(":",A334)+1,500)))</f>
      </c>
    </row>
    <row r="335">
      <c r="B335" s="17">
        <f>IF(A335="","",IF(COUNTIF(Roster[Name],IF(RIGHT(IF(LEFT(TRIM(A335),1)="[",TRIM(MID(TRIM(A335),FIND("]",TRIM(A335)&amp;"]")+1,200)),TRIM(A335)),1)=")",TRIM(LEFT(IF(LEFT(TRIM(A335),1)="[",TRIM(MID(TRIM(A335),FIND("]",TRIM(A335)&amp;"]")+1,200)),TRIM(A335)),FIND("(",IF(LEFT(TRIM(A335),1)="[",TRIM(MID(TRIM(A335),FIND("]",TRIM(A335)&amp;"]")+1,200)),TRIM(A335))&amp;"(")-1)),IF(LEFT(TRIM(A335),1)="[",TRIM(MID(TRIM(A335),FIND("]",TRIM(A335)&amp;"]")+1,200)),TRIM(A335))))&gt;0,IF(RIGHT(IF(LEFT(TRIM(A335),1)="[",TRIM(MID(TRIM(A335),FIND("]",TRIM(A335)&amp;"]")+1,200)),TRIM(A335)),1)=")",TRIM(LEFT(IF(LEFT(TRIM(A335),1)="[",TRIM(MID(TRIM(A335),FIND("]",TRIM(A335)&amp;"]")+1,200)),TRIM(A335)),FIND("(",IF(LEFT(TRIM(A335),1)="[",TRIM(MID(TRIM(A335),FIND("]",TRIM(A335)&amp;"]")+1,200)),TRIM(A335))&amp;"(")-1)),IF(LEFT(TRIM(A335),1)="[",TRIM(MID(TRIM(A335),FIND("]",TRIM(A335)&amp;"]")+1,200)),TRIM(A335))),""))</f>
      </c>
      <c r="C335" s="17">
        <f>IF(B335&lt;&gt;"",B335,C334)</f>
      </c>
      <c r="D335" s="17">
        <f>IF(A335="","",IF(OR(LEFT(UPPER(TRIM(A335)),2)="Y:",LEFT(UPPER(TRIM(A335)),10)="YESTERDAY:"),"Y",IF(OR(LEFT(UPPER(TRIM(A335)),2)="T:",LEFT(UPPER(TRIM(A335)),6)="TODAY:"),"T",IF(OR(LEFT(UPPER(TRIM(A335)),2)="B:",LEFT(UPPER(TRIM(A335)),8)="BLOCKER:",LEFT(UPPER(TRIM(A335)),9)="BLOCKERS:",LEFT(UPPER(TRIM(A335)),8)="BLOCKED:"),"B",""))))</f>
      </c>
      <c r="E335" s="17">
        <f>IF(D335="","",TRIM(MID(A335,FIND(":",A335)+1,500)))</f>
      </c>
    </row>
    <row r="336">
      <c r="B336" s="17">
        <f>IF(A336="","",IF(COUNTIF(Roster[Name],IF(RIGHT(IF(LEFT(TRIM(A336),1)="[",TRIM(MID(TRIM(A336),FIND("]",TRIM(A336)&amp;"]")+1,200)),TRIM(A336)),1)=")",TRIM(LEFT(IF(LEFT(TRIM(A336),1)="[",TRIM(MID(TRIM(A336),FIND("]",TRIM(A336)&amp;"]")+1,200)),TRIM(A336)),FIND("(",IF(LEFT(TRIM(A336),1)="[",TRIM(MID(TRIM(A336),FIND("]",TRIM(A336)&amp;"]")+1,200)),TRIM(A336))&amp;"(")-1)),IF(LEFT(TRIM(A336),1)="[",TRIM(MID(TRIM(A336),FIND("]",TRIM(A336)&amp;"]")+1,200)),TRIM(A336))))&gt;0,IF(RIGHT(IF(LEFT(TRIM(A336),1)="[",TRIM(MID(TRIM(A336),FIND("]",TRIM(A336)&amp;"]")+1,200)),TRIM(A336)),1)=")",TRIM(LEFT(IF(LEFT(TRIM(A336),1)="[",TRIM(MID(TRIM(A336),FIND("]",TRIM(A336)&amp;"]")+1,200)),TRIM(A336)),FIND("(",IF(LEFT(TRIM(A336),1)="[",TRIM(MID(TRIM(A336),FIND("]",TRIM(A336)&amp;"]")+1,200)),TRIM(A336))&amp;"(")-1)),IF(LEFT(TRIM(A336),1)="[",TRIM(MID(TRIM(A336),FIND("]",TRIM(A336)&amp;"]")+1,200)),TRIM(A336))),""))</f>
      </c>
      <c r="C336" s="17">
        <f>IF(B336&lt;&gt;"",B336,C335)</f>
      </c>
      <c r="D336" s="17">
        <f>IF(A336="","",IF(OR(LEFT(UPPER(TRIM(A336)),2)="Y:",LEFT(UPPER(TRIM(A336)),10)="YESTERDAY:"),"Y",IF(OR(LEFT(UPPER(TRIM(A336)),2)="T:",LEFT(UPPER(TRIM(A336)),6)="TODAY:"),"T",IF(OR(LEFT(UPPER(TRIM(A336)),2)="B:",LEFT(UPPER(TRIM(A336)),8)="BLOCKER:",LEFT(UPPER(TRIM(A336)),9)="BLOCKERS:",LEFT(UPPER(TRIM(A336)),8)="BLOCKED:"),"B",""))))</f>
      </c>
      <c r="E336" s="17">
        <f>IF(D336="","",TRIM(MID(A336,FIND(":",A336)+1,500)))</f>
      </c>
    </row>
    <row r="337">
      <c r="B337" s="17">
        <f>IF(A337="","",IF(COUNTIF(Roster[Name],IF(RIGHT(IF(LEFT(TRIM(A337),1)="[",TRIM(MID(TRIM(A337),FIND("]",TRIM(A337)&amp;"]")+1,200)),TRIM(A337)),1)=")",TRIM(LEFT(IF(LEFT(TRIM(A337),1)="[",TRIM(MID(TRIM(A337),FIND("]",TRIM(A337)&amp;"]")+1,200)),TRIM(A337)),FIND("(",IF(LEFT(TRIM(A337),1)="[",TRIM(MID(TRIM(A337),FIND("]",TRIM(A337)&amp;"]")+1,200)),TRIM(A337))&amp;"(")-1)),IF(LEFT(TRIM(A337),1)="[",TRIM(MID(TRIM(A337),FIND("]",TRIM(A337)&amp;"]")+1,200)),TRIM(A337))))&gt;0,IF(RIGHT(IF(LEFT(TRIM(A337),1)="[",TRIM(MID(TRIM(A337),FIND("]",TRIM(A337)&amp;"]")+1,200)),TRIM(A337)),1)=")",TRIM(LEFT(IF(LEFT(TRIM(A337),1)="[",TRIM(MID(TRIM(A337),FIND("]",TRIM(A337)&amp;"]")+1,200)),TRIM(A337)),FIND("(",IF(LEFT(TRIM(A337),1)="[",TRIM(MID(TRIM(A337),FIND("]",TRIM(A337)&amp;"]")+1,200)),TRIM(A337))&amp;"(")-1)),IF(LEFT(TRIM(A337),1)="[",TRIM(MID(TRIM(A337),FIND("]",TRIM(A337)&amp;"]")+1,200)),TRIM(A337))),""))</f>
      </c>
      <c r="C337" s="17">
        <f>IF(B337&lt;&gt;"",B337,C336)</f>
      </c>
      <c r="D337" s="17">
        <f>IF(A337="","",IF(OR(LEFT(UPPER(TRIM(A337)),2)="Y:",LEFT(UPPER(TRIM(A337)),10)="YESTERDAY:"),"Y",IF(OR(LEFT(UPPER(TRIM(A337)),2)="T:",LEFT(UPPER(TRIM(A337)),6)="TODAY:"),"T",IF(OR(LEFT(UPPER(TRIM(A337)),2)="B:",LEFT(UPPER(TRIM(A337)),8)="BLOCKER:",LEFT(UPPER(TRIM(A337)),9)="BLOCKERS:",LEFT(UPPER(TRIM(A337)),8)="BLOCKED:"),"B",""))))</f>
      </c>
      <c r="E337" s="17">
        <f>IF(D337="","",TRIM(MID(A337,FIND(":",A337)+1,500)))</f>
      </c>
    </row>
    <row r="338">
      <c r="B338" s="17">
        <f>IF(A338="","",IF(COUNTIF(Roster[Name],IF(RIGHT(IF(LEFT(TRIM(A338),1)="[",TRIM(MID(TRIM(A338),FIND("]",TRIM(A338)&amp;"]")+1,200)),TRIM(A338)),1)=")",TRIM(LEFT(IF(LEFT(TRIM(A338),1)="[",TRIM(MID(TRIM(A338),FIND("]",TRIM(A338)&amp;"]")+1,200)),TRIM(A338)),FIND("(",IF(LEFT(TRIM(A338),1)="[",TRIM(MID(TRIM(A338),FIND("]",TRIM(A338)&amp;"]")+1,200)),TRIM(A338))&amp;"(")-1)),IF(LEFT(TRIM(A338),1)="[",TRIM(MID(TRIM(A338),FIND("]",TRIM(A338)&amp;"]")+1,200)),TRIM(A338))))&gt;0,IF(RIGHT(IF(LEFT(TRIM(A338),1)="[",TRIM(MID(TRIM(A338),FIND("]",TRIM(A338)&amp;"]")+1,200)),TRIM(A338)),1)=")",TRIM(LEFT(IF(LEFT(TRIM(A338),1)="[",TRIM(MID(TRIM(A338),FIND("]",TRIM(A338)&amp;"]")+1,200)),TRIM(A338)),FIND("(",IF(LEFT(TRIM(A338),1)="[",TRIM(MID(TRIM(A338),FIND("]",TRIM(A338)&amp;"]")+1,200)),TRIM(A338))&amp;"(")-1)),IF(LEFT(TRIM(A338),1)="[",TRIM(MID(TRIM(A338),FIND("]",TRIM(A338)&amp;"]")+1,200)),TRIM(A338))),""))</f>
      </c>
      <c r="C338" s="17">
        <f>IF(B338&lt;&gt;"",B338,C337)</f>
      </c>
      <c r="D338" s="17">
        <f>IF(A338="","",IF(OR(LEFT(UPPER(TRIM(A338)),2)="Y:",LEFT(UPPER(TRIM(A338)),10)="YESTERDAY:"),"Y",IF(OR(LEFT(UPPER(TRIM(A338)),2)="T:",LEFT(UPPER(TRIM(A338)),6)="TODAY:"),"T",IF(OR(LEFT(UPPER(TRIM(A338)),2)="B:",LEFT(UPPER(TRIM(A338)),8)="BLOCKER:",LEFT(UPPER(TRIM(A338)),9)="BLOCKERS:",LEFT(UPPER(TRIM(A338)),8)="BLOCKED:"),"B",""))))</f>
      </c>
      <c r="E338" s="17">
        <f>IF(D338="","",TRIM(MID(A338,FIND(":",A338)+1,500)))</f>
      </c>
    </row>
    <row r="339">
      <c r="B339" s="17">
        <f>IF(A339="","",IF(COUNTIF(Roster[Name],IF(RIGHT(IF(LEFT(TRIM(A339),1)="[",TRIM(MID(TRIM(A339),FIND("]",TRIM(A339)&amp;"]")+1,200)),TRIM(A339)),1)=")",TRIM(LEFT(IF(LEFT(TRIM(A339),1)="[",TRIM(MID(TRIM(A339),FIND("]",TRIM(A339)&amp;"]")+1,200)),TRIM(A339)),FIND("(",IF(LEFT(TRIM(A339),1)="[",TRIM(MID(TRIM(A339),FIND("]",TRIM(A339)&amp;"]")+1,200)),TRIM(A339))&amp;"(")-1)),IF(LEFT(TRIM(A339),1)="[",TRIM(MID(TRIM(A339),FIND("]",TRIM(A339)&amp;"]")+1,200)),TRIM(A339))))&gt;0,IF(RIGHT(IF(LEFT(TRIM(A339),1)="[",TRIM(MID(TRIM(A339),FIND("]",TRIM(A339)&amp;"]")+1,200)),TRIM(A339)),1)=")",TRIM(LEFT(IF(LEFT(TRIM(A339),1)="[",TRIM(MID(TRIM(A339),FIND("]",TRIM(A339)&amp;"]")+1,200)),TRIM(A339)),FIND("(",IF(LEFT(TRIM(A339),1)="[",TRIM(MID(TRIM(A339),FIND("]",TRIM(A339)&amp;"]")+1,200)),TRIM(A339))&amp;"(")-1)),IF(LEFT(TRIM(A339),1)="[",TRIM(MID(TRIM(A339),FIND("]",TRIM(A339)&amp;"]")+1,200)),TRIM(A339))),""))</f>
      </c>
      <c r="C339" s="17">
        <f>IF(B339&lt;&gt;"",B339,C338)</f>
      </c>
      <c r="D339" s="17">
        <f>IF(A339="","",IF(OR(LEFT(UPPER(TRIM(A339)),2)="Y:",LEFT(UPPER(TRIM(A339)),10)="YESTERDAY:"),"Y",IF(OR(LEFT(UPPER(TRIM(A339)),2)="T:",LEFT(UPPER(TRIM(A339)),6)="TODAY:"),"T",IF(OR(LEFT(UPPER(TRIM(A339)),2)="B:",LEFT(UPPER(TRIM(A339)),8)="BLOCKER:",LEFT(UPPER(TRIM(A339)),9)="BLOCKERS:",LEFT(UPPER(TRIM(A339)),8)="BLOCKED:"),"B",""))))</f>
      </c>
      <c r="E339" s="17">
        <f>IF(D339="","",TRIM(MID(A339,FIND(":",A339)+1,500)))</f>
      </c>
    </row>
    <row r="340">
      <c r="B340" s="17">
        <f>IF(A340="","",IF(COUNTIF(Roster[Name],IF(RIGHT(IF(LEFT(TRIM(A340),1)="[",TRIM(MID(TRIM(A340),FIND("]",TRIM(A340)&amp;"]")+1,200)),TRIM(A340)),1)=")",TRIM(LEFT(IF(LEFT(TRIM(A340),1)="[",TRIM(MID(TRIM(A340),FIND("]",TRIM(A340)&amp;"]")+1,200)),TRIM(A340)),FIND("(",IF(LEFT(TRIM(A340),1)="[",TRIM(MID(TRIM(A340),FIND("]",TRIM(A340)&amp;"]")+1,200)),TRIM(A340))&amp;"(")-1)),IF(LEFT(TRIM(A340),1)="[",TRIM(MID(TRIM(A340),FIND("]",TRIM(A340)&amp;"]")+1,200)),TRIM(A340))))&gt;0,IF(RIGHT(IF(LEFT(TRIM(A340),1)="[",TRIM(MID(TRIM(A340),FIND("]",TRIM(A340)&amp;"]")+1,200)),TRIM(A340)),1)=")",TRIM(LEFT(IF(LEFT(TRIM(A340),1)="[",TRIM(MID(TRIM(A340),FIND("]",TRIM(A340)&amp;"]")+1,200)),TRIM(A340)),FIND("(",IF(LEFT(TRIM(A340),1)="[",TRIM(MID(TRIM(A340),FIND("]",TRIM(A340)&amp;"]")+1,200)),TRIM(A340))&amp;"(")-1)),IF(LEFT(TRIM(A340),1)="[",TRIM(MID(TRIM(A340),FIND("]",TRIM(A340)&amp;"]")+1,200)),TRIM(A340))),""))</f>
      </c>
      <c r="C340" s="17">
        <f>IF(B340&lt;&gt;"",B340,C339)</f>
      </c>
      <c r="D340" s="17">
        <f>IF(A340="","",IF(OR(LEFT(UPPER(TRIM(A340)),2)="Y:",LEFT(UPPER(TRIM(A340)),10)="YESTERDAY:"),"Y",IF(OR(LEFT(UPPER(TRIM(A340)),2)="T:",LEFT(UPPER(TRIM(A340)),6)="TODAY:"),"T",IF(OR(LEFT(UPPER(TRIM(A340)),2)="B:",LEFT(UPPER(TRIM(A340)),8)="BLOCKER:",LEFT(UPPER(TRIM(A340)),9)="BLOCKERS:",LEFT(UPPER(TRIM(A340)),8)="BLOCKED:"),"B",""))))</f>
      </c>
      <c r="E340" s="17">
        <f>IF(D340="","",TRIM(MID(A340,FIND(":",A340)+1,500)))</f>
      </c>
    </row>
    <row r="341">
      <c r="B341" s="17">
        <f>IF(A341="","",IF(COUNTIF(Roster[Name],IF(RIGHT(IF(LEFT(TRIM(A341),1)="[",TRIM(MID(TRIM(A341),FIND("]",TRIM(A341)&amp;"]")+1,200)),TRIM(A341)),1)=")",TRIM(LEFT(IF(LEFT(TRIM(A341),1)="[",TRIM(MID(TRIM(A341),FIND("]",TRIM(A341)&amp;"]")+1,200)),TRIM(A341)),FIND("(",IF(LEFT(TRIM(A341),1)="[",TRIM(MID(TRIM(A341),FIND("]",TRIM(A341)&amp;"]")+1,200)),TRIM(A341))&amp;"(")-1)),IF(LEFT(TRIM(A341),1)="[",TRIM(MID(TRIM(A341),FIND("]",TRIM(A341)&amp;"]")+1,200)),TRIM(A341))))&gt;0,IF(RIGHT(IF(LEFT(TRIM(A341),1)="[",TRIM(MID(TRIM(A341),FIND("]",TRIM(A341)&amp;"]")+1,200)),TRIM(A341)),1)=")",TRIM(LEFT(IF(LEFT(TRIM(A341),1)="[",TRIM(MID(TRIM(A341),FIND("]",TRIM(A341)&amp;"]")+1,200)),TRIM(A341)),FIND("(",IF(LEFT(TRIM(A341),1)="[",TRIM(MID(TRIM(A341),FIND("]",TRIM(A341)&amp;"]")+1,200)),TRIM(A341))&amp;"(")-1)),IF(LEFT(TRIM(A341),1)="[",TRIM(MID(TRIM(A341),FIND("]",TRIM(A341)&amp;"]")+1,200)),TRIM(A341))),""))</f>
      </c>
      <c r="C341" s="17">
        <f>IF(B341&lt;&gt;"",B341,C340)</f>
      </c>
      <c r="D341" s="17">
        <f>IF(A341="","",IF(OR(LEFT(UPPER(TRIM(A341)),2)="Y:",LEFT(UPPER(TRIM(A341)),10)="YESTERDAY:"),"Y",IF(OR(LEFT(UPPER(TRIM(A341)),2)="T:",LEFT(UPPER(TRIM(A341)),6)="TODAY:"),"T",IF(OR(LEFT(UPPER(TRIM(A341)),2)="B:",LEFT(UPPER(TRIM(A341)),8)="BLOCKER:",LEFT(UPPER(TRIM(A341)),9)="BLOCKERS:",LEFT(UPPER(TRIM(A341)),8)="BLOCKED:"),"B",""))))</f>
      </c>
      <c r="E341" s="17">
        <f>IF(D341="","",TRIM(MID(A341,FIND(":",A341)+1,500)))</f>
      </c>
    </row>
    <row r="342">
      <c r="B342" s="17">
        <f>IF(A342="","",IF(COUNTIF(Roster[Name],IF(RIGHT(IF(LEFT(TRIM(A342),1)="[",TRIM(MID(TRIM(A342),FIND("]",TRIM(A342)&amp;"]")+1,200)),TRIM(A342)),1)=")",TRIM(LEFT(IF(LEFT(TRIM(A342),1)="[",TRIM(MID(TRIM(A342),FIND("]",TRIM(A342)&amp;"]")+1,200)),TRIM(A342)),FIND("(",IF(LEFT(TRIM(A342),1)="[",TRIM(MID(TRIM(A342),FIND("]",TRIM(A342)&amp;"]")+1,200)),TRIM(A342))&amp;"(")-1)),IF(LEFT(TRIM(A342),1)="[",TRIM(MID(TRIM(A342),FIND("]",TRIM(A342)&amp;"]")+1,200)),TRIM(A342))))&gt;0,IF(RIGHT(IF(LEFT(TRIM(A342),1)="[",TRIM(MID(TRIM(A342),FIND("]",TRIM(A342)&amp;"]")+1,200)),TRIM(A342)),1)=")",TRIM(LEFT(IF(LEFT(TRIM(A342),1)="[",TRIM(MID(TRIM(A342),FIND("]",TRIM(A342)&amp;"]")+1,200)),TRIM(A342)),FIND("(",IF(LEFT(TRIM(A342),1)="[",TRIM(MID(TRIM(A342),FIND("]",TRIM(A342)&amp;"]")+1,200)),TRIM(A342))&amp;"(")-1)),IF(LEFT(TRIM(A342),1)="[",TRIM(MID(TRIM(A342),FIND("]",TRIM(A342)&amp;"]")+1,200)),TRIM(A342))),""))</f>
      </c>
      <c r="C342" s="17">
        <f>IF(B342&lt;&gt;"",B342,C341)</f>
      </c>
      <c r="D342" s="17">
        <f>IF(A342="","",IF(OR(LEFT(UPPER(TRIM(A342)),2)="Y:",LEFT(UPPER(TRIM(A342)),10)="YESTERDAY:"),"Y",IF(OR(LEFT(UPPER(TRIM(A342)),2)="T:",LEFT(UPPER(TRIM(A342)),6)="TODAY:"),"T",IF(OR(LEFT(UPPER(TRIM(A342)),2)="B:",LEFT(UPPER(TRIM(A342)),8)="BLOCKER:",LEFT(UPPER(TRIM(A342)),9)="BLOCKERS:",LEFT(UPPER(TRIM(A342)),8)="BLOCKED:"),"B",""))))</f>
      </c>
      <c r="E342" s="17">
        <f>IF(D342="","",TRIM(MID(A342,FIND(":",A342)+1,500)))</f>
      </c>
    </row>
    <row r="343">
      <c r="B343" s="17">
        <f>IF(A343="","",IF(COUNTIF(Roster[Name],IF(RIGHT(IF(LEFT(TRIM(A343),1)="[",TRIM(MID(TRIM(A343),FIND("]",TRIM(A343)&amp;"]")+1,200)),TRIM(A343)),1)=")",TRIM(LEFT(IF(LEFT(TRIM(A343),1)="[",TRIM(MID(TRIM(A343),FIND("]",TRIM(A343)&amp;"]")+1,200)),TRIM(A343)),FIND("(",IF(LEFT(TRIM(A343),1)="[",TRIM(MID(TRIM(A343),FIND("]",TRIM(A343)&amp;"]")+1,200)),TRIM(A343))&amp;"(")-1)),IF(LEFT(TRIM(A343),1)="[",TRIM(MID(TRIM(A343),FIND("]",TRIM(A343)&amp;"]")+1,200)),TRIM(A343))))&gt;0,IF(RIGHT(IF(LEFT(TRIM(A343),1)="[",TRIM(MID(TRIM(A343),FIND("]",TRIM(A343)&amp;"]")+1,200)),TRIM(A343)),1)=")",TRIM(LEFT(IF(LEFT(TRIM(A343),1)="[",TRIM(MID(TRIM(A343),FIND("]",TRIM(A343)&amp;"]")+1,200)),TRIM(A343)),FIND("(",IF(LEFT(TRIM(A343),1)="[",TRIM(MID(TRIM(A343),FIND("]",TRIM(A343)&amp;"]")+1,200)),TRIM(A343))&amp;"(")-1)),IF(LEFT(TRIM(A343),1)="[",TRIM(MID(TRIM(A343),FIND("]",TRIM(A343)&amp;"]")+1,200)),TRIM(A343))),""))</f>
      </c>
      <c r="C343" s="17">
        <f>IF(B343&lt;&gt;"",B343,C342)</f>
      </c>
      <c r="D343" s="17">
        <f>IF(A343="","",IF(OR(LEFT(UPPER(TRIM(A343)),2)="Y:",LEFT(UPPER(TRIM(A343)),10)="YESTERDAY:"),"Y",IF(OR(LEFT(UPPER(TRIM(A343)),2)="T:",LEFT(UPPER(TRIM(A343)),6)="TODAY:"),"T",IF(OR(LEFT(UPPER(TRIM(A343)),2)="B:",LEFT(UPPER(TRIM(A343)),8)="BLOCKER:",LEFT(UPPER(TRIM(A343)),9)="BLOCKERS:",LEFT(UPPER(TRIM(A343)),8)="BLOCKED:"),"B",""))))</f>
      </c>
      <c r="E343" s="17">
        <f>IF(D343="","",TRIM(MID(A343,FIND(":",A343)+1,500)))</f>
      </c>
    </row>
    <row r="344">
      <c r="B344" s="17">
        <f>IF(A344="","",IF(COUNTIF(Roster[Name],IF(RIGHT(IF(LEFT(TRIM(A344),1)="[",TRIM(MID(TRIM(A344),FIND("]",TRIM(A344)&amp;"]")+1,200)),TRIM(A344)),1)=")",TRIM(LEFT(IF(LEFT(TRIM(A344),1)="[",TRIM(MID(TRIM(A344),FIND("]",TRIM(A344)&amp;"]")+1,200)),TRIM(A344)),FIND("(",IF(LEFT(TRIM(A344),1)="[",TRIM(MID(TRIM(A344),FIND("]",TRIM(A344)&amp;"]")+1,200)),TRIM(A344))&amp;"(")-1)),IF(LEFT(TRIM(A344),1)="[",TRIM(MID(TRIM(A344),FIND("]",TRIM(A344)&amp;"]")+1,200)),TRIM(A344))))&gt;0,IF(RIGHT(IF(LEFT(TRIM(A344),1)="[",TRIM(MID(TRIM(A344),FIND("]",TRIM(A344)&amp;"]")+1,200)),TRIM(A344)),1)=")",TRIM(LEFT(IF(LEFT(TRIM(A344),1)="[",TRIM(MID(TRIM(A344),FIND("]",TRIM(A344)&amp;"]")+1,200)),TRIM(A344)),FIND("(",IF(LEFT(TRIM(A344),1)="[",TRIM(MID(TRIM(A344),FIND("]",TRIM(A344)&amp;"]")+1,200)),TRIM(A344))&amp;"(")-1)),IF(LEFT(TRIM(A344),1)="[",TRIM(MID(TRIM(A344),FIND("]",TRIM(A344)&amp;"]")+1,200)),TRIM(A344))),""))</f>
      </c>
      <c r="C344" s="17">
        <f>IF(B344&lt;&gt;"",B344,C343)</f>
      </c>
      <c r="D344" s="17">
        <f>IF(A344="","",IF(OR(LEFT(UPPER(TRIM(A344)),2)="Y:",LEFT(UPPER(TRIM(A344)),10)="YESTERDAY:"),"Y",IF(OR(LEFT(UPPER(TRIM(A344)),2)="T:",LEFT(UPPER(TRIM(A344)),6)="TODAY:"),"T",IF(OR(LEFT(UPPER(TRIM(A344)),2)="B:",LEFT(UPPER(TRIM(A344)),8)="BLOCKER:",LEFT(UPPER(TRIM(A344)),9)="BLOCKERS:",LEFT(UPPER(TRIM(A344)),8)="BLOCKED:"),"B",""))))</f>
      </c>
      <c r="E344" s="17">
        <f>IF(D344="","",TRIM(MID(A344,FIND(":",A344)+1,500)))</f>
      </c>
    </row>
    <row r="345">
      <c r="B345" s="17">
        <f>IF(A345="","",IF(COUNTIF(Roster[Name],IF(RIGHT(IF(LEFT(TRIM(A345),1)="[",TRIM(MID(TRIM(A345),FIND("]",TRIM(A345)&amp;"]")+1,200)),TRIM(A345)),1)=")",TRIM(LEFT(IF(LEFT(TRIM(A345),1)="[",TRIM(MID(TRIM(A345),FIND("]",TRIM(A345)&amp;"]")+1,200)),TRIM(A345)),FIND("(",IF(LEFT(TRIM(A345),1)="[",TRIM(MID(TRIM(A345),FIND("]",TRIM(A345)&amp;"]")+1,200)),TRIM(A345))&amp;"(")-1)),IF(LEFT(TRIM(A345),1)="[",TRIM(MID(TRIM(A345),FIND("]",TRIM(A345)&amp;"]")+1,200)),TRIM(A345))))&gt;0,IF(RIGHT(IF(LEFT(TRIM(A345),1)="[",TRIM(MID(TRIM(A345),FIND("]",TRIM(A345)&amp;"]")+1,200)),TRIM(A345)),1)=")",TRIM(LEFT(IF(LEFT(TRIM(A345),1)="[",TRIM(MID(TRIM(A345),FIND("]",TRIM(A345)&amp;"]")+1,200)),TRIM(A345)),FIND("(",IF(LEFT(TRIM(A345),1)="[",TRIM(MID(TRIM(A345),FIND("]",TRIM(A345)&amp;"]")+1,200)),TRIM(A345))&amp;"(")-1)),IF(LEFT(TRIM(A345),1)="[",TRIM(MID(TRIM(A345),FIND("]",TRIM(A345)&amp;"]")+1,200)),TRIM(A345))),""))</f>
      </c>
      <c r="C345" s="17">
        <f>IF(B345&lt;&gt;"",B345,C344)</f>
      </c>
      <c r="D345" s="17">
        <f>IF(A345="","",IF(OR(LEFT(UPPER(TRIM(A345)),2)="Y:",LEFT(UPPER(TRIM(A345)),10)="YESTERDAY:"),"Y",IF(OR(LEFT(UPPER(TRIM(A345)),2)="T:",LEFT(UPPER(TRIM(A345)),6)="TODAY:"),"T",IF(OR(LEFT(UPPER(TRIM(A345)),2)="B:",LEFT(UPPER(TRIM(A345)),8)="BLOCKER:",LEFT(UPPER(TRIM(A345)),9)="BLOCKERS:",LEFT(UPPER(TRIM(A345)),8)="BLOCKED:"),"B",""))))</f>
      </c>
      <c r="E345" s="17">
        <f>IF(D345="","",TRIM(MID(A345,FIND(":",A345)+1,500)))</f>
      </c>
    </row>
    <row r="346">
      <c r="B346" s="17">
        <f>IF(A346="","",IF(COUNTIF(Roster[Name],IF(RIGHT(IF(LEFT(TRIM(A346),1)="[",TRIM(MID(TRIM(A346),FIND("]",TRIM(A346)&amp;"]")+1,200)),TRIM(A346)),1)=")",TRIM(LEFT(IF(LEFT(TRIM(A346),1)="[",TRIM(MID(TRIM(A346),FIND("]",TRIM(A346)&amp;"]")+1,200)),TRIM(A346)),FIND("(",IF(LEFT(TRIM(A346),1)="[",TRIM(MID(TRIM(A346),FIND("]",TRIM(A346)&amp;"]")+1,200)),TRIM(A346))&amp;"(")-1)),IF(LEFT(TRIM(A346),1)="[",TRIM(MID(TRIM(A346),FIND("]",TRIM(A346)&amp;"]")+1,200)),TRIM(A346))))&gt;0,IF(RIGHT(IF(LEFT(TRIM(A346),1)="[",TRIM(MID(TRIM(A346),FIND("]",TRIM(A346)&amp;"]")+1,200)),TRIM(A346)),1)=")",TRIM(LEFT(IF(LEFT(TRIM(A346),1)="[",TRIM(MID(TRIM(A346),FIND("]",TRIM(A346)&amp;"]")+1,200)),TRIM(A346)),FIND("(",IF(LEFT(TRIM(A346),1)="[",TRIM(MID(TRIM(A346),FIND("]",TRIM(A346)&amp;"]")+1,200)),TRIM(A346))&amp;"(")-1)),IF(LEFT(TRIM(A346),1)="[",TRIM(MID(TRIM(A346),FIND("]",TRIM(A346)&amp;"]")+1,200)),TRIM(A346))),""))</f>
      </c>
      <c r="C346" s="17">
        <f>IF(B346&lt;&gt;"",B346,C345)</f>
      </c>
      <c r="D346" s="17">
        <f>IF(A346="","",IF(OR(LEFT(UPPER(TRIM(A346)),2)="Y:",LEFT(UPPER(TRIM(A346)),10)="YESTERDAY:"),"Y",IF(OR(LEFT(UPPER(TRIM(A346)),2)="T:",LEFT(UPPER(TRIM(A346)),6)="TODAY:"),"T",IF(OR(LEFT(UPPER(TRIM(A346)),2)="B:",LEFT(UPPER(TRIM(A346)),8)="BLOCKER:",LEFT(UPPER(TRIM(A346)),9)="BLOCKERS:",LEFT(UPPER(TRIM(A346)),8)="BLOCKED:"),"B",""))))</f>
      </c>
      <c r="E346" s="17">
        <f>IF(D346="","",TRIM(MID(A346,FIND(":",A346)+1,500)))</f>
      </c>
    </row>
    <row r="347">
      <c r="B347" s="17">
        <f>IF(A347="","",IF(COUNTIF(Roster[Name],IF(RIGHT(IF(LEFT(TRIM(A347),1)="[",TRIM(MID(TRIM(A347),FIND("]",TRIM(A347)&amp;"]")+1,200)),TRIM(A347)),1)=")",TRIM(LEFT(IF(LEFT(TRIM(A347),1)="[",TRIM(MID(TRIM(A347),FIND("]",TRIM(A347)&amp;"]")+1,200)),TRIM(A347)),FIND("(",IF(LEFT(TRIM(A347),1)="[",TRIM(MID(TRIM(A347),FIND("]",TRIM(A347)&amp;"]")+1,200)),TRIM(A347))&amp;"(")-1)),IF(LEFT(TRIM(A347),1)="[",TRIM(MID(TRIM(A347),FIND("]",TRIM(A347)&amp;"]")+1,200)),TRIM(A347))))&gt;0,IF(RIGHT(IF(LEFT(TRIM(A347),1)="[",TRIM(MID(TRIM(A347),FIND("]",TRIM(A347)&amp;"]")+1,200)),TRIM(A347)),1)=")",TRIM(LEFT(IF(LEFT(TRIM(A347),1)="[",TRIM(MID(TRIM(A347),FIND("]",TRIM(A347)&amp;"]")+1,200)),TRIM(A347)),FIND("(",IF(LEFT(TRIM(A347),1)="[",TRIM(MID(TRIM(A347),FIND("]",TRIM(A347)&amp;"]")+1,200)),TRIM(A347))&amp;"(")-1)),IF(LEFT(TRIM(A347),1)="[",TRIM(MID(TRIM(A347),FIND("]",TRIM(A347)&amp;"]")+1,200)),TRIM(A347))),""))</f>
      </c>
      <c r="C347" s="17">
        <f>IF(B347&lt;&gt;"",B347,C346)</f>
      </c>
      <c r="D347" s="17">
        <f>IF(A347="","",IF(OR(LEFT(UPPER(TRIM(A347)),2)="Y:",LEFT(UPPER(TRIM(A347)),10)="YESTERDAY:"),"Y",IF(OR(LEFT(UPPER(TRIM(A347)),2)="T:",LEFT(UPPER(TRIM(A347)),6)="TODAY:"),"T",IF(OR(LEFT(UPPER(TRIM(A347)),2)="B:",LEFT(UPPER(TRIM(A347)),8)="BLOCKER:",LEFT(UPPER(TRIM(A347)),9)="BLOCKERS:",LEFT(UPPER(TRIM(A347)),8)="BLOCKED:"),"B",""))))</f>
      </c>
      <c r="E347" s="17">
        <f>IF(D347="","",TRIM(MID(A347,FIND(":",A347)+1,500)))</f>
      </c>
    </row>
    <row r="348">
      <c r="B348" s="17">
        <f>IF(A348="","",IF(COUNTIF(Roster[Name],IF(RIGHT(IF(LEFT(TRIM(A348),1)="[",TRIM(MID(TRIM(A348),FIND("]",TRIM(A348)&amp;"]")+1,200)),TRIM(A348)),1)=")",TRIM(LEFT(IF(LEFT(TRIM(A348),1)="[",TRIM(MID(TRIM(A348),FIND("]",TRIM(A348)&amp;"]")+1,200)),TRIM(A348)),FIND("(",IF(LEFT(TRIM(A348),1)="[",TRIM(MID(TRIM(A348),FIND("]",TRIM(A348)&amp;"]")+1,200)),TRIM(A348))&amp;"(")-1)),IF(LEFT(TRIM(A348),1)="[",TRIM(MID(TRIM(A348),FIND("]",TRIM(A348)&amp;"]")+1,200)),TRIM(A348))))&gt;0,IF(RIGHT(IF(LEFT(TRIM(A348),1)="[",TRIM(MID(TRIM(A348),FIND("]",TRIM(A348)&amp;"]")+1,200)),TRIM(A348)),1)=")",TRIM(LEFT(IF(LEFT(TRIM(A348),1)="[",TRIM(MID(TRIM(A348),FIND("]",TRIM(A348)&amp;"]")+1,200)),TRIM(A348)),FIND("(",IF(LEFT(TRIM(A348),1)="[",TRIM(MID(TRIM(A348),FIND("]",TRIM(A348)&amp;"]")+1,200)),TRIM(A348))&amp;"(")-1)),IF(LEFT(TRIM(A348),1)="[",TRIM(MID(TRIM(A348),FIND("]",TRIM(A348)&amp;"]")+1,200)),TRIM(A348))),""))</f>
      </c>
      <c r="C348" s="17">
        <f>IF(B348&lt;&gt;"",B348,C347)</f>
      </c>
      <c r="D348" s="17">
        <f>IF(A348="","",IF(OR(LEFT(UPPER(TRIM(A348)),2)="Y:",LEFT(UPPER(TRIM(A348)),10)="YESTERDAY:"),"Y",IF(OR(LEFT(UPPER(TRIM(A348)),2)="T:",LEFT(UPPER(TRIM(A348)),6)="TODAY:"),"T",IF(OR(LEFT(UPPER(TRIM(A348)),2)="B:",LEFT(UPPER(TRIM(A348)),8)="BLOCKER:",LEFT(UPPER(TRIM(A348)),9)="BLOCKERS:",LEFT(UPPER(TRIM(A348)),8)="BLOCKED:"),"B",""))))</f>
      </c>
      <c r="E348" s="17">
        <f>IF(D348="","",TRIM(MID(A348,FIND(":",A348)+1,500)))</f>
      </c>
    </row>
    <row r="349">
      <c r="B349" s="17">
        <f>IF(A349="","",IF(COUNTIF(Roster[Name],IF(RIGHT(IF(LEFT(TRIM(A349),1)="[",TRIM(MID(TRIM(A349),FIND("]",TRIM(A349)&amp;"]")+1,200)),TRIM(A349)),1)=")",TRIM(LEFT(IF(LEFT(TRIM(A349),1)="[",TRIM(MID(TRIM(A349),FIND("]",TRIM(A349)&amp;"]")+1,200)),TRIM(A349)),FIND("(",IF(LEFT(TRIM(A349),1)="[",TRIM(MID(TRIM(A349),FIND("]",TRIM(A349)&amp;"]")+1,200)),TRIM(A349))&amp;"(")-1)),IF(LEFT(TRIM(A349),1)="[",TRIM(MID(TRIM(A349),FIND("]",TRIM(A349)&amp;"]")+1,200)),TRIM(A349))))&gt;0,IF(RIGHT(IF(LEFT(TRIM(A349),1)="[",TRIM(MID(TRIM(A349),FIND("]",TRIM(A349)&amp;"]")+1,200)),TRIM(A349)),1)=")",TRIM(LEFT(IF(LEFT(TRIM(A349),1)="[",TRIM(MID(TRIM(A349),FIND("]",TRIM(A349)&amp;"]")+1,200)),TRIM(A349)),FIND("(",IF(LEFT(TRIM(A349),1)="[",TRIM(MID(TRIM(A349),FIND("]",TRIM(A349)&amp;"]")+1,200)),TRIM(A349))&amp;"(")-1)),IF(LEFT(TRIM(A349),1)="[",TRIM(MID(TRIM(A349),FIND("]",TRIM(A349)&amp;"]")+1,200)),TRIM(A349))),""))</f>
      </c>
      <c r="C349" s="17">
        <f>IF(B349&lt;&gt;"",B349,C348)</f>
      </c>
      <c r="D349" s="17">
        <f>IF(A349="","",IF(OR(LEFT(UPPER(TRIM(A349)),2)="Y:",LEFT(UPPER(TRIM(A349)),10)="YESTERDAY:"),"Y",IF(OR(LEFT(UPPER(TRIM(A349)),2)="T:",LEFT(UPPER(TRIM(A349)),6)="TODAY:"),"T",IF(OR(LEFT(UPPER(TRIM(A349)),2)="B:",LEFT(UPPER(TRIM(A349)),8)="BLOCKER:",LEFT(UPPER(TRIM(A349)),9)="BLOCKERS:",LEFT(UPPER(TRIM(A349)),8)="BLOCKED:"),"B",""))))</f>
      </c>
      <c r="E349" s="17">
        <f>IF(D349="","",TRIM(MID(A349,FIND(":",A349)+1,500)))</f>
      </c>
    </row>
    <row r="350">
      <c r="B350" s="17">
        <f>IF(A350="","",IF(COUNTIF(Roster[Name],IF(RIGHT(IF(LEFT(TRIM(A350),1)="[",TRIM(MID(TRIM(A350),FIND("]",TRIM(A350)&amp;"]")+1,200)),TRIM(A350)),1)=")",TRIM(LEFT(IF(LEFT(TRIM(A350),1)="[",TRIM(MID(TRIM(A350),FIND("]",TRIM(A350)&amp;"]")+1,200)),TRIM(A350)),FIND("(",IF(LEFT(TRIM(A350),1)="[",TRIM(MID(TRIM(A350),FIND("]",TRIM(A350)&amp;"]")+1,200)),TRIM(A350))&amp;"(")-1)),IF(LEFT(TRIM(A350),1)="[",TRIM(MID(TRIM(A350),FIND("]",TRIM(A350)&amp;"]")+1,200)),TRIM(A350))))&gt;0,IF(RIGHT(IF(LEFT(TRIM(A350),1)="[",TRIM(MID(TRIM(A350),FIND("]",TRIM(A350)&amp;"]")+1,200)),TRIM(A350)),1)=")",TRIM(LEFT(IF(LEFT(TRIM(A350),1)="[",TRIM(MID(TRIM(A350),FIND("]",TRIM(A350)&amp;"]")+1,200)),TRIM(A350)),FIND("(",IF(LEFT(TRIM(A350),1)="[",TRIM(MID(TRIM(A350),FIND("]",TRIM(A350)&amp;"]")+1,200)),TRIM(A350))&amp;"(")-1)),IF(LEFT(TRIM(A350),1)="[",TRIM(MID(TRIM(A350),FIND("]",TRIM(A350)&amp;"]")+1,200)),TRIM(A350))),""))</f>
      </c>
      <c r="C350" s="17">
        <f>IF(B350&lt;&gt;"",B350,C349)</f>
      </c>
      <c r="D350" s="17">
        <f>IF(A350="","",IF(OR(LEFT(UPPER(TRIM(A350)),2)="Y:",LEFT(UPPER(TRIM(A350)),10)="YESTERDAY:"),"Y",IF(OR(LEFT(UPPER(TRIM(A350)),2)="T:",LEFT(UPPER(TRIM(A350)),6)="TODAY:"),"T",IF(OR(LEFT(UPPER(TRIM(A350)),2)="B:",LEFT(UPPER(TRIM(A350)),8)="BLOCKER:",LEFT(UPPER(TRIM(A350)),9)="BLOCKERS:",LEFT(UPPER(TRIM(A350)),8)="BLOCKED:"),"B",""))))</f>
      </c>
      <c r="E350" s="17">
        <f>IF(D350="","",TRIM(MID(A350,FIND(":",A350)+1,500)))</f>
      </c>
    </row>
    <row r="351">
      <c r="B351" s="17">
        <f>IF(A351="","",IF(COUNTIF(Roster[Name],IF(RIGHT(IF(LEFT(TRIM(A351),1)="[",TRIM(MID(TRIM(A351),FIND("]",TRIM(A351)&amp;"]")+1,200)),TRIM(A351)),1)=")",TRIM(LEFT(IF(LEFT(TRIM(A351),1)="[",TRIM(MID(TRIM(A351),FIND("]",TRIM(A351)&amp;"]")+1,200)),TRIM(A351)),FIND("(",IF(LEFT(TRIM(A351),1)="[",TRIM(MID(TRIM(A351),FIND("]",TRIM(A351)&amp;"]")+1,200)),TRIM(A351))&amp;"(")-1)),IF(LEFT(TRIM(A351),1)="[",TRIM(MID(TRIM(A351),FIND("]",TRIM(A351)&amp;"]")+1,200)),TRIM(A351))))&gt;0,IF(RIGHT(IF(LEFT(TRIM(A351),1)="[",TRIM(MID(TRIM(A351),FIND("]",TRIM(A351)&amp;"]")+1,200)),TRIM(A351)),1)=")",TRIM(LEFT(IF(LEFT(TRIM(A351),1)="[",TRIM(MID(TRIM(A351),FIND("]",TRIM(A351)&amp;"]")+1,200)),TRIM(A351)),FIND("(",IF(LEFT(TRIM(A351),1)="[",TRIM(MID(TRIM(A351),FIND("]",TRIM(A351)&amp;"]")+1,200)),TRIM(A351))&amp;"(")-1)),IF(LEFT(TRIM(A351),1)="[",TRIM(MID(TRIM(A351),FIND("]",TRIM(A351)&amp;"]")+1,200)),TRIM(A351))),""))</f>
      </c>
      <c r="C351" s="17">
        <f>IF(B351&lt;&gt;"",B351,C350)</f>
      </c>
      <c r="D351" s="17">
        <f>IF(A351="","",IF(OR(LEFT(UPPER(TRIM(A351)),2)="Y:",LEFT(UPPER(TRIM(A351)),10)="YESTERDAY:"),"Y",IF(OR(LEFT(UPPER(TRIM(A351)),2)="T:",LEFT(UPPER(TRIM(A351)),6)="TODAY:"),"T",IF(OR(LEFT(UPPER(TRIM(A351)),2)="B:",LEFT(UPPER(TRIM(A351)),8)="BLOCKER:",LEFT(UPPER(TRIM(A351)),9)="BLOCKERS:",LEFT(UPPER(TRIM(A351)),8)="BLOCKED:"),"B",""))))</f>
      </c>
      <c r="E351" s="17">
        <f>IF(D351="","",TRIM(MID(A351,FIND(":",A351)+1,500)))</f>
      </c>
    </row>
    <row r="352">
      <c r="B352" s="17">
        <f>IF(A352="","",IF(COUNTIF(Roster[Name],IF(RIGHT(IF(LEFT(TRIM(A352),1)="[",TRIM(MID(TRIM(A352),FIND("]",TRIM(A352)&amp;"]")+1,200)),TRIM(A352)),1)=")",TRIM(LEFT(IF(LEFT(TRIM(A352),1)="[",TRIM(MID(TRIM(A352),FIND("]",TRIM(A352)&amp;"]")+1,200)),TRIM(A352)),FIND("(",IF(LEFT(TRIM(A352),1)="[",TRIM(MID(TRIM(A352),FIND("]",TRIM(A352)&amp;"]")+1,200)),TRIM(A352))&amp;"(")-1)),IF(LEFT(TRIM(A352),1)="[",TRIM(MID(TRIM(A352),FIND("]",TRIM(A352)&amp;"]")+1,200)),TRIM(A352))))&gt;0,IF(RIGHT(IF(LEFT(TRIM(A352),1)="[",TRIM(MID(TRIM(A352),FIND("]",TRIM(A352)&amp;"]")+1,200)),TRIM(A352)),1)=")",TRIM(LEFT(IF(LEFT(TRIM(A352),1)="[",TRIM(MID(TRIM(A352),FIND("]",TRIM(A352)&amp;"]")+1,200)),TRIM(A352)),FIND("(",IF(LEFT(TRIM(A352),1)="[",TRIM(MID(TRIM(A352),FIND("]",TRIM(A352)&amp;"]")+1,200)),TRIM(A352))&amp;"(")-1)),IF(LEFT(TRIM(A352),1)="[",TRIM(MID(TRIM(A352),FIND("]",TRIM(A352)&amp;"]")+1,200)),TRIM(A352))),""))</f>
      </c>
      <c r="C352" s="17">
        <f>IF(B352&lt;&gt;"",B352,C351)</f>
      </c>
      <c r="D352" s="17">
        <f>IF(A352="","",IF(OR(LEFT(UPPER(TRIM(A352)),2)="Y:",LEFT(UPPER(TRIM(A352)),10)="YESTERDAY:"),"Y",IF(OR(LEFT(UPPER(TRIM(A352)),2)="T:",LEFT(UPPER(TRIM(A352)),6)="TODAY:"),"T",IF(OR(LEFT(UPPER(TRIM(A352)),2)="B:",LEFT(UPPER(TRIM(A352)),8)="BLOCKER:",LEFT(UPPER(TRIM(A352)),9)="BLOCKERS:",LEFT(UPPER(TRIM(A352)),8)="BLOCKED:"),"B",""))))</f>
      </c>
      <c r="E352" s="17">
        <f>IF(D352="","",TRIM(MID(A352,FIND(":",A352)+1,500)))</f>
      </c>
    </row>
    <row r="353">
      <c r="B353" s="17">
        <f>IF(A353="","",IF(COUNTIF(Roster[Name],IF(RIGHT(IF(LEFT(TRIM(A353),1)="[",TRIM(MID(TRIM(A353),FIND("]",TRIM(A353)&amp;"]")+1,200)),TRIM(A353)),1)=")",TRIM(LEFT(IF(LEFT(TRIM(A353),1)="[",TRIM(MID(TRIM(A353),FIND("]",TRIM(A353)&amp;"]")+1,200)),TRIM(A353)),FIND("(",IF(LEFT(TRIM(A353),1)="[",TRIM(MID(TRIM(A353),FIND("]",TRIM(A353)&amp;"]")+1,200)),TRIM(A353))&amp;"(")-1)),IF(LEFT(TRIM(A353),1)="[",TRIM(MID(TRIM(A353),FIND("]",TRIM(A353)&amp;"]")+1,200)),TRIM(A353))))&gt;0,IF(RIGHT(IF(LEFT(TRIM(A353),1)="[",TRIM(MID(TRIM(A353),FIND("]",TRIM(A353)&amp;"]")+1,200)),TRIM(A353)),1)=")",TRIM(LEFT(IF(LEFT(TRIM(A353),1)="[",TRIM(MID(TRIM(A353),FIND("]",TRIM(A353)&amp;"]")+1,200)),TRIM(A353)),FIND("(",IF(LEFT(TRIM(A353),1)="[",TRIM(MID(TRIM(A353),FIND("]",TRIM(A353)&amp;"]")+1,200)),TRIM(A353))&amp;"(")-1)),IF(LEFT(TRIM(A353),1)="[",TRIM(MID(TRIM(A353),FIND("]",TRIM(A353)&amp;"]")+1,200)),TRIM(A353))),""))</f>
      </c>
      <c r="C353" s="17">
        <f>IF(B353&lt;&gt;"",B353,C352)</f>
      </c>
      <c r="D353" s="17">
        <f>IF(A353="","",IF(OR(LEFT(UPPER(TRIM(A353)),2)="Y:",LEFT(UPPER(TRIM(A353)),10)="YESTERDAY:"),"Y",IF(OR(LEFT(UPPER(TRIM(A353)),2)="T:",LEFT(UPPER(TRIM(A353)),6)="TODAY:"),"T",IF(OR(LEFT(UPPER(TRIM(A353)),2)="B:",LEFT(UPPER(TRIM(A353)),8)="BLOCKER:",LEFT(UPPER(TRIM(A353)),9)="BLOCKERS:",LEFT(UPPER(TRIM(A353)),8)="BLOCKED:"),"B",""))))</f>
      </c>
      <c r="E353" s="17">
        <f>IF(D353="","",TRIM(MID(A353,FIND(":",A353)+1,500)))</f>
      </c>
    </row>
    <row r="354">
      <c r="B354" s="17">
        <f>IF(A354="","",IF(COUNTIF(Roster[Name],IF(RIGHT(IF(LEFT(TRIM(A354),1)="[",TRIM(MID(TRIM(A354),FIND("]",TRIM(A354)&amp;"]")+1,200)),TRIM(A354)),1)=")",TRIM(LEFT(IF(LEFT(TRIM(A354),1)="[",TRIM(MID(TRIM(A354),FIND("]",TRIM(A354)&amp;"]")+1,200)),TRIM(A354)),FIND("(",IF(LEFT(TRIM(A354),1)="[",TRIM(MID(TRIM(A354),FIND("]",TRIM(A354)&amp;"]")+1,200)),TRIM(A354))&amp;"(")-1)),IF(LEFT(TRIM(A354),1)="[",TRIM(MID(TRIM(A354),FIND("]",TRIM(A354)&amp;"]")+1,200)),TRIM(A354))))&gt;0,IF(RIGHT(IF(LEFT(TRIM(A354),1)="[",TRIM(MID(TRIM(A354),FIND("]",TRIM(A354)&amp;"]")+1,200)),TRIM(A354)),1)=")",TRIM(LEFT(IF(LEFT(TRIM(A354),1)="[",TRIM(MID(TRIM(A354),FIND("]",TRIM(A354)&amp;"]")+1,200)),TRIM(A354)),FIND("(",IF(LEFT(TRIM(A354),1)="[",TRIM(MID(TRIM(A354),FIND("]",TRIM(A354)&amp;"]")+1,200)),TRIM(A354))&amp;"(")-1)),IF(LEFT(TRIM(A354),1)="[",TRIM(MID(TRIM(A354),FIND("]",TRIM(A354)&amp;"]")+1,200)),TRIM(A354))),""))</f>
      </c>
      <c r="C354" s="17">
        <f>IF(B354&lt;&gt;"",B354,C353)</f>
      </c>
      <c r="D354" s="17">
        <f>IF(A354="","",IF(OR(LEFT(UPPER(TRIM(A354)),2)="Y:",LEFT(UPPER(TRIM(A354)),10)="YESTERDAY:"),"Y",IF(OR(LEFT(UPPER(TRIM(A354)),2)="T:",LEFT(UPPER(TRIM(A354)),6)="TODAY:"),"T",IF(OR(LEFT(UPPER(TRIM(A354)),2)="B:",LEFT(UPPER(TRIM(A354)),8)="BLOCKER:",LEFT(UPPER(TRIM(A354)),9)="BLOCKERS:",LEFT(UPPER(TRIM(A354)),8)="BLOCKED:"),"B",""))))</f>
      </c>
      <c r="E354" s="17">
        <f>IF(D354="","",TRIM(MID(A354,FIND(":",A354)+1,500)))</f>
      </c>
    </row>
    <row r="355">
      <c r="B355" s="17">
        <f>IF(A355="","",IF(COUNTIF(Roster[Name],IF(RIGHT(IF(LEFT(TRIM(A355),1)="[",TRIM(MID(TRIM(A355),FIND("]",TRIM(A355)&amp;"]")+1,200)),TRIM(A355)),1)=")",TRIM(LEFT(IF(LEFT(TRIM(A355),1)="[",TRIM(MID(TRIM(A355),FIND("]",TRIM(A355)&amp;"]")+1,200)),TRIM(A355)),FIND("(",IF(LEFT(TRIM(A355),1)="[",TRIM(MID(TRIM(A355),FIND("]",TRIM(A355)&amp;"]")+1,200)),TRIM(A355))&amp;"(")-1)),IF(LEFT(TRIM(A355),1)="[",TRIM(MID(TRIM(A355),FIND("]",TRIM(A355)&amp;"]")+1,200)),TRIM(A355))))&gt;0,IF(RIGHT(IF(LEFT(TRIM(A355),1)="[",TRIM(MID(TRIM(A355),FIND("]",TRIM(A355)&amp;"]")+1,200)),TRIM(A355)),1)=")",TRIM(LEFT(IF(LEFT(TRIM(A355),1)="[",TRIM(MID(TRIM(A355),FIND("]",TRIM(A355)&amp;"]")+1,200)),TRIM(A355)),FIND("(",IF(LEFT(TRIM(A355),1)="[",TRIM(MID(TRIM(A355),FIND("]",TRIM(A355)&amp;"]")+1,200)),TRIM(A355))&amp;"(")-1)),IF(LEFT(TRIM(A355),1)="[",TRIM(MID(TRIM(A355),FIND("]",TRIM(A355)&amp;"]")+1,200)),TRIM(A355))),""))</f>
      </c>
      <c r="C355" s="17">
        <f>IF(B355&lt;&gt;"",B355,C354)</f>
      </c>
      <c r="D355" s="17">
        <f>IF(A355="","",IF(OR(LEFT(UPPER(TRIM(A355)),2)="Y:",LEFT(UPPER(TRIM(A355)),10)="YESTERDAY:"),"Y",IF(OR(LEFT(UPPER(TRIM(A355)),2)="T:",LEFT(UPPER(TRIM(A355)),6)="TODAY:"),"T",IF(OR(LEFT(UPPER(TRIM(A355)),2)="B:",LEFT(UPPER(TRIM(A355)),8)="BLOCKER:",LEFT(UPPER(TRIM(A355)),9)="BLOCKERS:",LEFT(UPPER(TRIM(A355)),8)="BLOCKED:"),"B",""))))</f>
      </c>
      <c r="E355" s="17">
        <f>IF(D355="","",TRIM(MID(A355,FIND(":",A355)+1,500)))</f>
      </c>
    </row>
    <row r="356">
      <c r="B356" s="17">
        <f>IF(A356="","",IF(COUNTIF(Roster[Name],IF(RIGHT(IF(LEFT(TRIM(A356),1)="[",TRIM(MID(TRIM(A356),FIND("]",TRIM(A356)&amp;"]")+1,200)),TRIM(A356)),1)=")",TRIM(LEFT(IF(LEFT(TRIM(A356),1)="[",TRIM(MID(TRIM(A356),FIND("]",TRIM(A356)&amp;"]")+1,200)),TRIM(A356)),FIND("(",IF(LEFT(TRIM(A356),1)="[",TRIM(MID(TRIM(A356),FIND("]",TRIM(A356)&amp;"]")+1,200)),TRIM(A356))&amp;"(")-1)),IF(LEFT(TRIM(A356),1)="[",TRIM(MID(TRIM(A356),FIND("]",TRIM(A356)&amp;"]")+1,200)),TRIM(A356))))&gt;0,IF(RIGHT(IF(LEFT(TRIM(A356),1)="[",TRIM(MID(TRIM(A356),FIND("]",TRIM(A356)&amp;"]")+1,200)),TRIM(A356)),1)=")",TRIM(LEFT(IF(LEFT(TRIM(A356),1)="[",TRIM(MID(TRIM(A356),FIND("]",TRIM(A356)&amp;"]")+1,200)),TRIM(A356)),FIND("(",IF(LEFT(TRIM(A356),1)="[",TRIM(MID(TRIM(A356),FIND("]",TRIM(A356)&amp;"]")+1,200)),TRIM(A356))&amp;"(")-1)),IF(LEFT(TRIM(A356),1)="[",TRIM(MID(TRIM(A356),FIND("]",TRIM(A356)&amp;"]")+1,200)),TRIM(A356))),""))</f>
      </c>
      <c r="C356" s="17">
        <f>IF(B356&lt;&gt;"",B356,C355)</f>
      </c>
      <c r="D356" s="17">
        <f>IF(A356="","",IF(OR(LEFT(UPPER(TRIM(A356)),2)="Y:",LEFT(UPPER(TRIM(A356)),10)="YESTERDAY:"),"Y",IF(OR(LEFT(UPPER(TRIM(A356)),2)="T:",LEFT(UPPER(TRIM(A356)),6)="TODAY:"),"T",IF(OR(LEFT(UPPER(TRIM(A356)),2)="B:",LEFT(UPPER(TRIM(A356)),8)="BLOCKER:",LEFT(UPPER(TRIM(A356)),9)="BLOCKERS:",LEFT(UPPER(TRIM(A356)),8)="BLOCKED:"),"B",""))))</f>
      </c>
      <c r="E356" s="17">
        <f>IF(D356="","",TRIM(MID(A356,FIND(":",A356)+1,500)))</f>
      </c>
    </row>
    <row r="357">
      <c r="B357" s="17">
        <f>IF(A357="","",IF(COUNTIF(Roster[Name],IF(RIGHT(IF(LEFT(TRIM(A357),1)="[",TRIM(MID(TRIM(A357),FIND("]",TRIM(A357)&amp;"]")+1,200)),TRIM(A357)),1)=")",TRIM(LEFT(IF(LEFT(TRIM(A357),1)="[",TRIM(MID(TRIM(A357),FIND("]",TRIM(A357)&amp;"]")+1,200)),TRIM(A357)),FIND("(",IF(LEFT(TRIM(A357),1)="[",TRIM(MID(TRIM(A357),FIND("]",TRIM(A357)&amp;"]")+1,200)),TRIM(A357))&amp;"(")-1)),IF(LEFT(TRIM(A357),1)="[",TRIM(MID(TRIM(A357),FIND("]",TRIM(A357)&amp;"]")+1,200)),TRIM(A357))))&gt;0,IF(RIGHT(IF(LEFT(TRIM(A357),1)="[",TRIM(MID(TRIM(A357),FIND("]",TRIM(A357)&amp;"]")+1,200)),TRIM(A357)),1)=")",TRIM(LEFT(IF(LEFT(TRIM(A357),1)="[",TRIM(MID(TRIM(A357),FIND("]",TRIM(A357)&amp;"]")+1,200)),TRIM(A357)),FIND("(",IF(LEFT(TRIM(A357),1)="[",TRIM(MID(TRIM(A357),FIND("]",TRIM(A357)&amp;"]")+1,200)),TRIM(A357))&amp;"(")-1)),IF(LEFT(TRIM(A357),1)="[",TRIM(MID(TRIM(A357),FIND("]",TRIM(A357)&amp;"]")+1,200)),TRIM(A357))),""))</f>
      </c>
      <c r="C357" s="17">
        <f>IF(B357&lt;&gt;"",B357,C356)</f>
      </c>
      <c r="D357" s="17">
        <f>IF(A357="","",IF(OR(LEFT(UPPER(TRIM(A357)),2)="Y:",LEFT(UPPER(TRIM(A357)),10)="YESTERDAY:"),"Y",IF(OR(LEFT(UPPER(TRIM(A357)),2)="T:",LEFT(UPPER(TRIM(A357)),6)="TODAY:"),"T",IF(OR(LEFT(UPPER(TRIM(A357)),2)="B:",LEFT(UPPER(TRIM(A357)),8)="BLOCKER:",LEFT(UPPER(TRIM(A357)),9)="BLOCKERS:",LEFT(UPPER(TRIM(A357)),8)="BLOCKED:"),"B",""))))</f>
      </c>
      <c r="E357" s="17">
        <f>IF(D357="","",TRIM(MID(A357,FIND(":",A357)+1,500)))</f>
      </c>
    </row>
    <row r="358">
      <c r="B358" s="17">
        <f>IF(A358="","",IF(COUNTIF(Roster[Name],IF(RIGHT(IF(LEFT(TRIM(A358),1)="[",TRIM(MID(TRIM(A358),FIND("]",TRIM(A358)&amp;"]")+1,200)),TRIM(A358)),1)=")",TRIM(LEFT(IF(LEFT(TRIM(A358),1)="[",TRIM(MID(TRIM(A358),FIND("]",TRIM(A358)&amp;"]")+1,200)),TRIM(A358)),FIND("(",IF(LEFT(TRIM(A358),1)="[",TRIM(MID(TRIM(A358),FIND("]",TRIM(A358)&amp;"]")+1,200)),TRIM(A358))&amp;"(")-1)),IF(LEFT(TRIM(A358),1)="[",TRIM(MID(TRIM(A358),FIND("]",TRIM(A358)&amp;"]")+1,200)),TRIM(A358))))&gt;0,IF(RIGHT(IF(LEFT(TRIM(A358),1)="[",TRIM(MID(TRIM(A358),FIND("]",TRIM(A358)&amp;"]")+1,200)),TRIM(A358)),1)=")",TRIM(LEFT(IF(LEFT(TRIM(A358),1)="[",TRIM(MID(TRIM(A358),FIND("]",TRIM(A358)&amp;"]")+1,200)),TRIM(A358)),FIND("(",IF(LEFT(TRIM(A358),1)="[",TRIM(MID(TRIM(A358),FIND("]",TRIM(A358)&amp;"]")+1,200)),TRIM(A358))&amp;"(")-1)),IF(LEFT(TRIM(A358),1)="[",TRIM(MID(TRIM(A358),FIND("]",TRIM(A358)&amp;"]")+1,200)),TRIM(A358))),""))</f>
      </c>
      <c r="C358" s="17">
        <f>IF(B358&lt;&gt;"",B358,C357)</f>
      </c>
      <c r="D358" s="17">
        <f>IF(A358="","",IF(OR(LEFT(UPPER(TRIM(A358)),2)="Y:",LEFT(UPPER(TRIM(A358)),10)="YESTERDAY:"),"Y",IF(OR(LEFT(UPPER(TRIM(A358)),2)="T:",LEFT(UPPER(TRIM(A358)),6)="TODAY:"),"T",IF(OR(LEFT(UPPER(TRIM(A358)),2)="B:",LEFT(UPPER(TRIM(A358)),8)="BLOCKER:",LEFT(UPPER(TRIM(A358)),9)="BLOCKERS:",LEFT(UPPER(TRIM(A358)),8)="BLOCKED:"),"B",""))))</f>
      </c>
      <c r="E358" s="17">
        <f>IF(D358="","",TRIM(MID(A358,FIND(":",A358)+1,500)))</f>
      </c>
    </row>
    <row r="359">
      <c r="B359" s="17">
        <f>IF(A359="","",IF(COUNTIF(Roster[Name],IF(RIGHT(IF(LEFT(TRIM(A359),1)="[",TRIM(MID(TRIM(A359),FIND("]",TRIM(A359)&amp;"]")+1,200)),TRIM(A359)),1)=")",TRIM(LEFT(IF(LEFT(TRIM(A359),1)="[",TRIM(MID(TRIM(A359),FIND("]",TRIM(A359)&amp;"]")+1,200)),TRIM(A359)),FIND("(",IF(LEFT(TRIM(A359),1)="[",TRIM(MID(TRIM(A359),FIND("]",TRIM(A359)&amp;"]")+1,200)),TRIM(A359))&amp;"(")-1)),IF(LEFT(TRIM(A359),1)="[",TRIM(MID(TRIM(A359),FIND("]",TRIM(A359)&amp;"]")+1,200)),TRIM(A359))))&gt;0,IF(RIGHT(IF(LEFT(TRIM(A359),1)="[",TRIM(MID(TRIM(A359),FIND("]",TRIM(A359)&amp;"]")+1,200)),TRIM(A359)),1)=")",TRIM(LEFT(IF(LEFT(TRIM(A359),1)="[",TRIM(MID(TRIM(A359),FIND("]",TRIM(A359)&amp;"]")+1,200)),TRIM(A359)),FIND("(",IF(LEFT(TRIM(A359),1)="[",TRIM(MID(TRIM(A359),FIND("]",TRIM(A359)&amp;"]")+1,200)),TRIM(A359))&amp;"(")-1)),IF(LEFT(TRIM(A359),1)="[",TRIM(MID(TRIM(A359),FIND("]",TRIM(A359)&amp;"]")+1,200)),TRIM(A359))),""))</f>
      </c>
      <c r="C359" s="17">
        <f>IF(B359&lt;&gt;"",B359,C358)</f>
      </c>
      <c r="D359" s="17">
        <f>IF(A359="","",IF(OR(LEFT(UPPER(TRIM(A359)),2)="Y:",LEFT(UPPER(TRIM(A359)),10)="YESTERDAY:"),"Y",IF(OR(LEFT(UPPER(TRIM(A359)),2)="T:",LEFT(UPPER(TRIM(A359)),6)="TODAY:"),"T",IF(OR(LEFT(UPPER(TRIM(A359)),2)="B:",LEFT(UPPER(TRIM(A359)),8)="BLOCKER:",LEFT(UPPER(TRIM(A359)),9)="BLOCKERS:",LEFT(UPPER(TRIM(A359)),8)="BLOCKED:"),"B",""))))</f>
      </c>
      <c r="E359" s="17">
        <f>IF(D359="","",TRIM(MID(A359,FIND(":",A359)+1,500)))</f>
      </c>
    </row>
    <row r="360">
      <c r="B360" s="17">
        <f>IF(A360="","",IF(COUNTIF(Roster[Name],IF(RIGHT(IF(LEFT(TRIM(A360),1)="[",TRIM(MID(TRIM(A360),FIND("]",TRIM(A360)&amp;"]")+1,200)),TRIM(A360)),1)=")",TRIM(LEFT(IF(LEFT(TRIM(A360),1)="[",TRIM(MID(TRIM(A360),FIND("]",TRIM(A360)&amp;"]")+1,200)),TRIM(A360)),FIND("(",IF(LEFT(TRIM(A360),1)="[",TRIM(MID(TRIM(A360),FIND("]",TRIM(A360)&amp;"]")+1,200)),TRIM(A360))&amp;"(")-1)),IF(LEFT(TRIM(A360),1)="[",TRIM(MID(TRIM(A360),FIND("]",TRIM(A360)&amp;"]")+1,200)),TRIM(A360))))&gt;0,IF(RIGHT(IF(LEFT(TRIM(A360),1)="[",TRIM(MID(TRIM(A360),FIND("]",TRIM(A360)&amp;"]")+1,200)),TRIM(A360)),1)=")",TRIM(LEFT(IF(LEFT(TRIM(A360),1)="[",TRIM(MID(TRIM(A360),FIND("]",TRIM(A360)&amp;"]")+1,200)),TRIM(A360)),FIND("(",IF(LEFT(TRIM(A360),1)="[",TRIM(MID(TRIM(A360),FIND("]",TRIM(A360)&amp;"]")+1,200)),TRIM(A360))&amp;"(")-1)),IF(LEFT(TRIM(A360),1)="[",TRIM(MID(TRIM(A360),FIND("]",TRIM(A360)&amp;"]")+1,200)),TRIM(A360))),""))</f>
      </c>
      <c r="C360" s="17">
        <f>IF(B360&lt;&gt;"",B360,C359)</f>
      </c>
      <c r="D360" s="17">
        <f>IF(A360="","",IF(OR(LEFT(UPPER(TRIM(A360)),2)="Y:",LEFT(UPPER(TRIM(A360)),10)="YESTERDAY:"),"Y",IF(OR(LEFT(UPPER(TRIM(A360)),2)="T:",LEFT(UPPER(TRIM(A360)),6)="TODAY:"),"T",IF(OR(LEFT(UPPER(TRIM(A360)),2)="B:",LEFT(UPPER(TRIM(A360)),8)="BLOCKER:",LEFT(UPPER(TRIM(A360)),9)="BLOCKERS:",LEFT(UPPER(TRIM(A360)),8)="BLOCKED:"),"B",""))))</f>
      </c>
      <c r="E360" s="17">
        <f>IF(D360="","",TRIM(MID(A360,FIND(":",A360)+1,500)))</f>
      </c>
    </row>
    <row r="361">
      <c r="B361" s="17">
        <f>IF(A361="","",IF(COUNTIF(Roster[Name],IF(RIGHT(IF(LEFT(TRIM(A361),1)="[",TRIM(MID(TRIM(A361),FIND("]",TRIM(A361)&amp;"]")+1,200)),TRIM(A361)),1)=")",TRIM(LEFT(IF(LEFT(TRIM(A361),1)="[",TRIM(MID(TRIM(A361),FIND("]",TRIM(A361)&amp;"]")+1,200)),TRIM(A361)),FIND("(",IF(LEFT(TRIM(A361),1)="[",TRIM(MID(TRIM(A361),FIND("]",TRIM(A361)&amp;"]")+1,200)),TRIM(A361))&amp;"(")-1)),IF(LEFT(TRIM(A361),1)="[",TRIM(MID(TRIM(A361),FIND("]",TRIM(A361)&amp;"]")+1,200)),TRIM(A361))))&gt;0,IF(RIGHT(IF(LEFT(TRIM(A361),1)="[",TRIM(MID(TRIM(A361),FIND("]",TRIM(A361)&amp;"]")+1,200)),TRIM(A361)),1)=")",TRIM(LEFT(IF(LEFT(TRIM(A361),1)="[",TRIM(MID(TRIM(A361),FIND("]",TRIM(A361)&amp;"]")+1,200)),TRIM(A361)),FIND("(",IF(LEFT(TRIM(A361),1)="[",TRIM(MID(TRIM(A361),FIND("]",TRIM(A361)&amp;"]")+1,200)),TRIM(A361))&amp;"(")-1)),IF(LEFT(TRIM(A361),1)="[",TRIM(MID(TRIM(A361),FIND("]",TRIM(A361)&amp;"]")+1,200)),TRIM(A361))),""))</f>
      </c>
      <c r="C361" s="17">
        <f>IF(B361&lt;&gt;"",B361,C360)</f>
      </c>
      <c r="D361" s="17">
        <f>IF(A361="","",IF(OR(LEFT(UPPER(TRIM(A361)),2)="Y:",LEFT(UPPER(TRIM(A361)),10)="YESTERDAY:"),"Y",IF(OR(LEFT(UPPER(TRIM(A361)),2)="T:",LEFT(UPPER(TRIM(A361)),6)="TODAY:"),"T",IF(OR(LEFT(UPPER(TRIM(A361)),2)="B:",LEFT(UPPER(TRIM(A361)),8)="BLOCKER:",LEFT(UPPER(TRIM(A361)),9)="BLOCKERS:",LEFT(UPPER(TRIM(A361)),8)="BLOCKED:"),"B",""))))</f>
      </c>
      <c r="E361" s="17">
        <f>IF(D361="","",TRIM(MID(A361,FIND(":",A361)+1,500)))</f>
      </c>
    </row>
    <row r="362">
      <c r="B362" s="17">
        <f>IF(A362="","",IF(COUNTIF(Roster[Name],IF(RIGHT(IF(LEFT(TRIM(A362),1)="[",TRIM(MID(TRIM(A362),FIND("]",TRIM(A362)&amp;"]")+1,200)),TRIM(A362)),1)=")",TRIM(LEFT(IF(LEFT(TRIM(A362),1)="[",TRIM(MID(TRIM(A362),FIND("]",TRIM(A362)&amp;"]")+1,200)),TRIM(A362)),FIND("(",IF(LEFT(TRIM(A362),1)="[",TRIM(MID(TRIM(A362),FIND("]",TRIM(A362)&amp;"]")+1,200)),TRIM(A362))&amp;"(")-1)),IF(LEFT(TRIM(A362),1)="[",TRIM(MID(TRIM(A362),FIND("]",TRIM(A362)&amp;"]")+1,200)),TRIM(A362))))&gt;0,IF(RIGHT(IF(LEFT(TRIM(A362),1)="[",TRIM(MID(TRIM(A362),FIND("]",TRIM(A362)&amp;"]")+1,200)),TRIM(A362)),1)=")",TRIM(LEFT(IF(LEFT(TRIM(A362),1)="[",TRIM(MID(TRIM(A362),FIND("]",TRIM(A362)&amp;"]")+1,200)),TRIM(A362)),FIND("(",IF(LEFT(TRIM(A362),1)="[",TRIM(MID(TRIM(A362),FIND("]",TRIM(A362)&amp;"]")+1,200)),TRIM(A362))&amp;"(")-1)),IF(LEFT(TRIM(A362),1)="[",TRIM(MID(TRIM(A362),FIND("]",TRIM(A362)&amp;"]")+1,200)),TRIM(A362))),""))</f>
      </c>
      <c r="C362" s="17">
        <f>IF(B362&lt;&gt;"",B362,C361)</f>
      </c>
      <c r="D362" s="17">
        <f>IF(A362="","",IF(OR(LEFT(UPPER(TRIM(A362)),2)="Y:",LEFT(UPPER(TRIM(A362)),10)="YESTERDAY:"),"Y",IF(OR(LEFT(UPPER(TRIM(A362)),2)="T:",LEFT(UPPER(TRIM(A362)),6)="TODAY:"),"T",IF(OR(LEFT(UPPER(TRIM(A362)),2)="B:",LEFT(UPPER(TRIM(A362)),8)="BLOCKER:",LEFT(UPPER(TRIM(A362)),9)="BLOCKERS:",LEFT(UPPER(TRIM(A362)),8)="BLOCKED:"),"B",""))))</f>
      </c>
      <c r="E362" s="17">
        <f>IF(D362="","",TRIM(MID(A362,FIND(":",A362)+1,500)))</f>
      </c>
    </row>
    <row r="363">
      <c r="B363" s="17">
        <f>IF(A363="","",IF(COUNTIF(Roster[Name],IF(RIGHT(IF(LEFT(TRIM(A363),1)="[",TRIM(MID(TRIM(A363),FIND("]",TRIM(A363)&amp;"]")+1,200)),TRIM(A363)),1)=")",TRIM(LEFT(IF(LEFT(TRIM(A363),1)="[",TRIM(MID(TRIM(A363),FIND("]",TRIM(A363)&amp;"]")+1,200)),TRIM(A363)),FIND("(",IF(LEFT(TRIM(A363),1)="[",TRIM(MID(TRIM(A363),FIND("]",TRIM(A363)&amp;"]")+1,200)),TRIM(A363))&amp;"(")-1)),IF(LEFT(TRIM(A363),1)="[",TRIM(MID(TRIM(A363),FIND("]",TRIM(A363)&amp;"]")+1,200)),TRIM(A363))))&gt;0,IF(RIGHT(IF(LEFT(TRIM(A363),1)="[",TRIM(MID(TRIM(A363),FIND("]",TRIM(A363)&amp;"]")+1,200)),TRIM(A363)),1)=")",TRIM(LEFT(IF(LEFT(TRIM(A363),1)="[",TRIM(MID(TRIM(A363),FIND("]",TRIM(A363)&amp;"]")+1,200)),TRIM(A363)),FIND("(",IF(LEFT(TRIM(A363),1)="[",TRIM(MID(TRIM(A363),FIND("]",TRIM(A363)&amp;"]")+1,200)),TRIM(A363))&amp;"(")-1)),IF(LEFT(TRIM(A363),1)="[",TRIM(MID(TRIM(A363),FIND("]",TRIM(A363)&amp;"]")+1,200)),TRIM(A363))),""))</f>
      </c>
      <c r="C363" s="17">
        <f>IF(B363&lt;&gt;"",B363,C362)</f>
      </c>
      <c r="D363" s="17">
        <f>IF(A363="","",IF(OR(LEFT(UPPER(TRIM(A363)),2)="Y:",LEFT(UPPER(TRIM(A363)),10)="YESTERDAY:"),"Y",IF(OR(LEFT(UPPER(TRIM(A363)),2)="T:",LEFT(UPPER(TRIM(A363)),6)="TODAY:"),"T",IF(OR(LEFT(UPPER(TRIM(A363)),2)="B:",LEFT(UPPER(TRIM(A363)),8)="BLOCKER:",LEFT(UPPER(TRIM(A363)),9)="BLOCKERS:",LEFT(UPPER(TRIM(A363)),8)="BLOCKED:"),"B",""))))</f>
      </c>
      <c r="E363" s="17">
        <f>IF(D363="","",TRIM(MID(A363,FIND(":",A363)+1,500)))</f>
      </c>
    </row>
    <row r="364">
      <c r="B364" s="17">
        <f>IF(A364="","",IF(COUNTIF(Roster[Name],IF(RIGHT(IF(LEFT(TRIM(A364),1)="[",TRIM(MID(TRIM(A364),FIND("]",TRIM(A364)&amp;"]")+1,200)),TRIM(A364)),1)=")",TRIM(LEFT(IF(LEFT(TRIM(A364),1)="[",TRIM(MID(TRIM(A364),FIND("]",TRIM(A364)&amp;"]")+1,200)),TRIM(A364)),FIND("(",IF(LEFT(TRIM(A364),1)="[",TRIM(MID(TRIM(A364),FIND("]",TRIM(A364)&amp;"]")+1,200)),TRIM(A364))&amp;"(")-1)),IF(LEFT(TRIM(A364),1)="[",TRIM(MID(TRIM(A364),FIND("]",TRIM(A364)&amp;"]")+1,200)),TRIM(A364))))&gt;0,IF(RIGHT(IF(LEFT(TRIM(A364),1)="[",TRIM(MID(TRIM(A364),FIND("]",TRIM(A364)&amp;"]")+1,200)),TRIM(A364)),1)=")",TRIM(LEFT(IF(LEFT(TRIM(A364),1)="[",TRIM(MID(TRIM(A364),FIND("]",TRIM(A364)&amp;"]")+1,200)),TRIM(A364)),FIND("(",IF(LEFT(TRIM(A364),1)="[",TRIM(MID(TRIM(A364),FIND("]",TRIM(A364)&amp;"]")+1,200)),TRIM(A364))&amp;"(")-1)),IF(LEFT(TRIM(A364),1)="[",TRIM(MID(TRIM(A364),FIND("]",TRIM(A364)&amp;"]")+1,200)),TRIM(A364))),""))</f>
      </c>
      <c r="C364" s="17">
        <f>IF(B364&lt;&gt;"",B364,C363)</f>
      </c>
      <c r="D364" s="17">
        <f>IF(A364="","",IF(OR(LEFT(UPPER(TRIM(A364)),2)="Y:",LEFT(UPPER(TRIM(A364)),10)="YESTERDAY:"),"Y",IF(OR(LEFT(UPPER(TRIM(A364)),2)="T:",LEFT(UPPER(TRIM(A364)),6)="TODAY:"),"T",IF(OR(LEFT(UPPER(TRIM(A364)),2)="B:",LEFT(UPPER(TRIM(A364)),8)="BLOCKER:",LEFT(UPPER(TRIM(A364)),9)="BLOCKERS:",LEFT(UPPER(TRIM(A364)),8)="BLOCKED:"),"B",""))))</f>
      </c>
      <c r="E364" s="17">
        <f>IF(D364="","",TRIM(MID(A364,FIND(":",A364)+1,500)))</f>
      </c>
    </row>
    <row r="365">
      <c r="B365" s="17">
        <f>IF(A365="","",IF(COUNTIF(Roster[Name],IF(RIGHT(IF(LEFT(TRIM(A365),1)="[",TRIM(MID(TRIM(A365),FIND("]",TRIM(A365)&amp;"]")+1,200)),TRIM(A365)),1)=")",TRIM(LEFT(IF(LEFT(TRIM(A365),1)="[",TRIM(MID(TRIM(A365),FIND("]",TRIM(A365)&amp;"]")+1,200)),TRIM(A365)),FIND("(",IF(LEFT(TRIM(A365),1)="[",TRIM(MID(TRIM(A365),FIND("]",TRIM(A365)&amp;"]")+1,200)),TRIM(A365))&amp;"(")-1)),IF(LEFT(TRIM(A365),1)="[",TRIM(MID(TRIM(A365),FIND("]",TRIM(A365)&amp;"]")+1,200)),TRIM(A365))))&gt;0,IF(RIGHT(IF(LEFT(TRIM(A365),1)="[",TRIM(MID(TRIM(A365),FIND("]",TRIM(A365)&amp;"]")+1,200)),TRIM(A365)),1)=")",TRIM(LEFT(IF(LEFT(TRIM(A365),1)="[",TRIM(MID(TRIM(A365),FIND("]",TRIM(A365)&amp;"]")+1,200)),TRIM(A365)),FIND("(",IF(LEFT(TRIM(A365),1)="[",TRIM(MID(TRIM(A365),FIND("]",TRIM(A365)&amp;"]")+1,200)),TRIM(A365))&amp;"(")-1)),IF(LEFT(TRIM(A365),1)="[",TRIM(MID(TRIM(A365),FIND("]",TRIM(A365)&amp;"]")+1,200)),TRIM(A365))),""))</f>
      </c>
      <c r="C365" s="17">
        <f>IF(B365&lt;&gt;"",B365,C364)</f>
      </c>
      <c r="D365" s="17">
        <f>IF(A365="","",IF(OR(LEFT(UPPER(TRIM(A365)),2)="Y:",LEFT(UPPER(TRIM(A365)),10)="YESTERDAY:"),"Y",IF(OR(LEFT(UPPER(TRIM(A365)),2)="T:",LEFT(UPPER(TRIM(A365)),6)="TODAY:"),"T",IF(OR(LEFT(UPPER(TRIM(A365)),2)="B:",LEFT(UPPER(TRIM(A365)),8)="BLOCKER:",LEFT(UPPER(TRIM(A365)),9)="BLOCKERS:",LEFT(UPPER(TRIM(A365)),8)="BLOCKED:"),"B",""))))</f>
      </c>
      <c r="E365" s="17">
        <f>IF(D365="","",TRIM(MID(A365,FIND(":",A365)+1,500)))</f>
      </c>
    </row>
    <row r="366">
      <c r="B366" s="17">
        <f>IF(A366="","",IF(COUNTIF(Roster[Name],IF(RIGHT(IF(LEFT(TRIM(A366),1)="[",TRIM(MID(TRIM(A366),FIND("]",TRIM(A366)&amp;"]")+1,200)),TRIM(A366)),1)=")",TRIM(LEFT(IF(LEFT(TRIM(A366),1)="[",TRIM(MID(TRIM(A366),FIND("]",TRIM(A366)&amp;"]")+1,200)),TRIM(A366)),FIND("(",IF(LEFT(TRIM(A366),1)="[",TRIM(MID(TRIM(A366),FIND("]",TRIM(A366)&amp;"]")+1,200)),TRIM(A366))&amp;"(")-1)),IF(LEFT(TRIM(A366),1)="[",TRIM(MID(TRIM(A366),FIND("]",TRIM(A366)&amp;"]")+1,200)),TRIM(A366))))&gt;0,IF(RIGHT(IF(LEFT(TRIM(A366),1)="[",TRIM(MID(TRIM(A366),FIND("]",TRIM(A366)&amp;"]")+1,200)),TRIM(A366)),1)=")",TRIM(LEFT(IF(LEFT(TRIM(A366),1)="[",TRIM(MID(TRIM(A366),FIND("]",TRIM(A366)&amp;"]")+1,200)),TRIM(A366)),FIND("(",IF(LEFT(TRIM(A366),1)="[",TRIM(MID(TRIM(A366),FIND("]",TRIM(A366)&amp;"]")+1,200)),TRIM(A366))&amp;"(")-1)),IF(LEFT(TRIM(A366),1)="[",TRIM(MID(TRIM(A366),FIND("]",TRIM(A366)&amp;"]")+1,200)),TRIM(A366))),""))</f>
      </c>
      <c r="C366" s="17">
        <f>IF(B366&lt;&gt;"",B366,C365)</f>
      </c>
      <c r="D366" s="17">
        <f>IF(A366="","",IF(OR(LEFT(UPPER(TRIM(A366)),2)="Y:",LEFT(UPPER(TRIM(A366)),10)="YESTERDAY:"),"Y",IF(OR(LEFT(UPPER(TRIM(A366)),2)="T:",LEFT(UPPER(TRIM(A366)),6)="TODAY:"),"T",IF(OR(LEFT(UPPER(TRIM(A366)),2)="B:",LEFT(UPPER(TRIM(A366)),8)="BLOCKER:",LEFT(UPPER(TRIM(A366)),9)="BLOCKERS:",LEFT(UPPER(TRIM(A366)),8)="BLOCKED:"),"B",""))))</f>
      </c>
      <c r="E366" s="17">
        <f>IF(D366="","",TRIM(MID(A366,FIND(":",A366)+1,500)))</f>
      </c>
    </row>
    <row r="367">
      <c r="B367" s="17">
        <f>IF(A367="","",IF(COUNTIF(Roster[Name],IF(RIGHT(IF(LEFT(TRIM(A367),1)="[",TRIM(MID(TRIM(A367),FIND("]",TRIM(A367)&amp;"]")+1,200)),TRIM(A367)),1)=")",TRIM(LEFT(IF(LEFT(TRIM(A367),1)="[",TRIM(MID(TRIM(A367),FIND("]",TRIM(A367)&amp;"]")+1,200)),TRIM(A367)),FIND("(",IF(LEFT(TRIM(A367),1)="[",TRIM(MID(TRIM(A367),FIND("]",TRIM(A367)&amp;"]")+1,200)),TRIM(A367))&amp;"(")-1)),IF(LEFT(TRIM(A367),1)="[",TRIM(MID(TRIM(A367),FIND("]",TRIM(A367)&amp;"]")+1,200)),TRIM(A367))))&gt;0,IF(RIGHT(IF(LEFT(TRIM(A367),1)="[",TRIM(MID(TRIM(A367),FIND("]",TRIM(A367)&amp;"]")+1,200)),TRIM(A367)),1)=")",TRIM(LEFT(IF(LEFT(TRIM(A367),1)="[",TRIM(MID(TRIM(A367),FIND("]",TRIM(A367)&amp;"]")+1,200)),TRIM(A367)),FIND("(",IF(LEFT(TRIM(A367),1)="[",TRIM(MID(TRIM(A367),FIND("]",TRIM(A367)&amp;"]")+1,200)),TRIM(A367))&amp;"(")-1)),IF(LEFT(TRIM(A367),1)="[",TRIM(MID(TRIM(A367),FIND("]",TRIM(A367)&amp;"]")+1,200)),TRIM(A367))),""))</f>
      </c>
      <c r="C367" s="17">
        <f>IF(B367&lt;&gt;"",B367,C366)</f>
      </c>
      <c r="D367" s="17">
        <f>IF(A367="","",IF(OR(LEFT(UPPER(TRIM(A367)),2)="Y:",LEFT(UPPER(TRIM(A367)),10)="YESTERDAY:"),"Y",IF(OR(LEFT(UPPER(TRIM(A367)),2)="T:",LEFT(UPPER(TRIM(A367)),6)="TODAY:"),"T",IF(OR(LEFT(UPPER(TRIM(A367)),2)="B:",LEFT(UPPER(TRIM(A367)),8)="BLOCKER:",LEFT(UPPER(TRIM(A367)),9)="BLOCKERS:",LEFT(UPPER(TRIM(A367)),8)="BLOCKED:"),"B",""))))</f>
      </c>
      <c r="E367" s="17">
        <f>IF(D367="","",TRIM(MID(A367,FIND(":",A367)+1,500)))</f>
      </c>
    </row>
    <row r="368">
      <c r="B368" s="17">
        <f>IF(A368="","",IF(COUNTIF(Roster[Name],IF(RIGHT(IF(LEFT(TRIM(A368),1)="[",TRIM(MID(TRIM(A368),FIND("]",TRIM(A368)&amp;"]")+1,200)),TRIM(A368)),1)=")",TRIM(LEFT(IF(LEFT(TRIM(A368),1)="[",TRIM(MID(TRIM(A368),FIND("]",TRIM(A368)&amp;"]")+1,200)),TRIM(A368)),FIND("(",IF(LEFT(TRIM(A368),1)="[",TRIM(MID(TRIM(A368),FIND("]",TRIM(A368)&amp;"]")+1,200)),TRIM(A368))&amp;"(")-1)),IF(LEFT(TRIM(A368),1)="[",TRIM(MID(TRIM(A368),FIND("]",TRIM(A368)&amp;"]")+1,200)),TRIM(A368))))&gt;0,IF(RIGHT(IF(LEFT(TRIM(A368),1)="[",TRIM(MID(TRIM(A368),FIND("]",TRIM(A368)&amp;"]")+1,200)),TRIM(A368)),1)=")",TRIM(LEFT(IF(LEFT(TRIM(A368),1)="[",TRIM(MID(TRIM(A368),FIND("]",TRIM(A368)&amp;"]")+1,200)),TRIM(A368)),FIND("(",IF(LEFT(TRIM(A368),1)="[",TRIM(MID(TRIM(A368),FIND("]",TRIM(A368)&amp;"]")+1,200)),TRIM(A368))&amp;"(")-1)),IF(LEFT(TRIM(A368),1)="[",TRIM(MID(TRIM(A368),FIND("]",TRIM(A368)&amp;"]")+1,200)),TRIM(A368))),""))</f>
      </c>
      <c r="C368" s="17">
        <f>IF(B368&lt;&gt;"",B368,C367)</f>
      </c>
      <c r="D368" s="17">
        <f>IF(A368="","",IF(OR(LEFT(UPPER(TRIM(A368)),2)="Y:",LEFT(UPPER(TRIM(A368)),10)="YESTERDAY:"),"Y",IF(OR(LEFT(UPPER(TRIM(A368)),2)="T:",LEFT(UPPER(TRIM(A368)),6)="TODAY:"),"T",IF(OR(LEFT(UPPER(TRIM(A368)),2)="B:",LEFT(UPPER(TRIM(A368)),8)="BLOCKER:",LEFT(UPPER(TRIM(A368)),9)="BLOCKERS:",LEFT(UPPER(TRIM(A368)),8)="BLOCKED:"),"B",""))))</f>
      </c>
      <c r="E368" s="17">
        <f>IF(D368="","",TRIM(MID(A368,FIND(":",A368)+1,500)))</f>
      </c>
    </row>
    <row r="369">
      <c r="B369" s="17">
        <f>IF(A369="","",IF(COUNTIF(Roster[Name],IF(RIGHT(IF(LEFT(TRIM(A369),1)="[",TRIM(MID(TRIM(A369),FIND("]",TRIM(A369)&amp;"]")+1,200)),TRIM(A369)),1)=")",TRIM(LEFT(IF(LEFT(TRIM(A369),1)="[",TRIM(MID(TRIM(A369),FIND("]",TRIM(A369)&amp;"]")+1,200)),TRIM(A369)),FIND("(",IF(LEFT(TRIM(A369),1)="[",TRIM(MID(TRIM(A369),FIND("]",TRIM(A369)&amp;"]")+1,200)),TRIM(A369))&amp;"(")-1)),IF(LEFT(TRIM(A369),1)="[",TRIM(MID(TRIM(A369),FIND("]",TRIM(A369)&amp;"]")+1,200)),TRIM(A369))))&gt;0,IF(RIGHT(IF(LEFT(TRIM(A369),1)="[",TRIM(MID(TRIM(A369),FIND("]",TRIM(A369)&amp;"]")+1,200)),TRIM(A369)),1)=")",TRIM(LEFT(IF(LEFT(TRIM(A369),1)="[",TRIM(MID(TRIM(A369),FIND("]",TRIM(A369)&amp;"]")+1,200)),TRIM(A369)),FIND("(",IF(LEFT(TRIM(A369),1)="[",TRIM(MID(TRIM(A369),FIND("]",TRIM(A369)&amp;"]")+1,200)),TRIM(A369))&amp;"(")-1)),IF(LEFT(TRIM(A369),1)="[",TRIM(MID(TRIM(A369),FIND("]",TRIM(A369)&amp;"]")+1,200)),TRIM(A369))),""))</f>
      </c>
      <c r="C369" s="17">
        <f>IF(B369&lt;&gt;"",B369,C368)</f>
      </c>
      <c r="D369" s="17">
        <f>IF(A369="","",IF(OR(LEFT(UPPER(TRIM(A369)),2)="Y:",LEFT(UPPER(TRIM(A369)),10)="YESTERDAY:"),"Y",IF(OR(LEFT(UPPER(TRIM(A369)),2)="T:",LEFT(UPPER(TRIM(A369)),6)="TODAY:"),"T",IF(OR(LEFT(UPPER(TRIM(A369)),2)="B:",LEFT(UPPER(TRIM(A369)),8)="BLOCKER:",LEFT(UPPER(TRIM(A369)),9)="BLOCKERS:",LEFT(UPPER(TRIM(A369)),8)="BLOCKED:"),"B",""))))</f>
      </c>
      <c r="E369" s="17">
        <f>IF(D369="","",TRIM(MID(A369,FIND(":",A369)+1,500)))</f>
      </c>
    </row>
    <row r="370">
      <c r="B370" s="17">
        <f>IF(A370="","",IF(COUNTIF(Roster[Name],IF(RIGHT(IF(LEFT(TRIM(A370),1)="[",TRIM(MID(TRIM(A370),FIND("]",TRIM(A370)&amp;"]")+1,200)),TRIM(A370)),1)=")",TRIM(LEFT(IF(LEFT(TRIM(A370),1)="[",TRIM(MID(TRIM(A370),FIND("]",TRIM(A370)&amp;"]")+1,200)),TRIM(A370)),FIND("(",IF(LEFT(TRIM(A370),1)="[",TRIM(MID(TRIM(A370),FIND("]",TRIM(A370)&amp;"]")+1,200)),TRIM(A370))&amp;"(")-1)),IF(LEFT(TRIM(A370),1)="[",TRIM(MID(TRIM(A370),FIND("]",TRIM(A370)&amp;"]")+1,200)),TRIM(A370))))&gt;0,IF(RIGHT(IF(LEFT(TRIM(A370),1)="[",TRIM(MID(TRIM(A370),FIND("]",TRIM(A370)&amp;"]")+1,200)),TRIM(A370)),1)=")",TRIM(LEFT(IF(LEFT(TRIM(A370),1)="[",TRIM(MID(TRIM(A370),FIND("]",TRIM(A370)&amp;"]")+1,200)),TRIM(A370)),FIND("(",IF(LEFT(TRIM(A370),1)="[",TRIM(MID(TRIM(A370),FIND("]",TRIM(A370)&amp;"]")+1,200)),TRIM(A370))&amp;"(")-1)),IF(LEFT(TRIM(A370),1)="[",TRIM(MID(TRIM(A370),FIND("]",TRIM(A370)&amp;"]")+1,200)),TRIM(A370))),""))</f>
      </c>
      <c r="C370" s="17">
        <f>IF(B370&lt;&gt;"",B370,C369)</f>
      </c>
      <c r="D370" s="17">
        <f>IF(A370="","",IF(OR(LEFT(UPPER(TRIM(A370)),2)="Y:",LEFT(UPPER(TRIM(A370)),10)="YESTERDAY:"),"Y",IF(OR(LEFT(UPPER(TRIM(A370)),2)="T:",LEFT(UPPER(TRIM(A370)),6)="TODAY:"),"T",IF(OR(LEFT(UPPER(TRIM(A370)),2)="B:",LEFT(UPPER(TRIM(A370)),8)="BLOCKER:",LEFT(UPPER(TRIM(A370)),9)="BLOCKERS:",LEFT(UPPER(TRIM(A370)),8)="BLOCKED:"),"B",""))))</f>
      </c>
      <c r="E370" s="17">
        <f>IF(D370="","",TRIM(MID(A370,FIND(":",A370)+1,500)))</f>
      </c>
    </row>
    <row r="371">
      <c r="B371" s="17">
        <f>IF(A371="","",IF(COUNTIF(Roster[Name],IF(RIGHT(IF(LEFT(TRIM(A371),1)="[",TRIM(MID(TRIM(A371),FIND("]",TRIM(A371)&amp;"]")+1,200)),TRIM(A371)),1)=")",TRIM(LEFT(IF(LEFT(TRIM(A371),1)="[",TRIM(MID(TRIM(A371),FIND("]",TRIM(A371)&amp;"]")+1,200)),TRIM(A371)),FIND("(",IF(LEFT(TRIM(A371),1)="[",TRIM(MID(TRIM(A371),FIND("]",TRIM(A371)&amp;"]")+1,200)),TRIM(A371))&amp;"(")-1)),IF(LEFT(TRIM(A371),1)="[",TRIM(MID(TRIM(A371),FIND("]",TRIM(A371)&amp;"]")+1,200)),TRIM(A371))))&gt;0,IF(RIGHT(IF(LEFT(TRIM(A371),1)="[",TRIM(MID(TRIM(A371),FIND("]",TRIM(A371)&amp;"]")+1,200)),TRIM(A371)),1)=")",TRIM(LEFT(IF(LEFT(TRIM(A371),1)="[",TRIM(MID(TRIM(A371),FIND("]",TRIM(A371)&amp;"]")+1,200)),TRIM(A371)),FIND("(",IF(LEFT(TRIM(A371),1)="[",TRIM(MID(TRIM(A371),FIND("]",TRIM(A371)&amp;"]")+1,200)),TRIM(A371))&amp;"(")-1)),IF(LEFT(TRIM(A371),1)="[",TRIM(MID(TRIM(A371),FIND("]",TRIM(A371)&amp;"]")+1,200)),TRIM(A371))),""))</f>
      </c>
      <c r="C371" s="17">
        <f>IF(B371&lt;&gt;"",B371,C370)</f>
      </c>
      <c r="D371" s="17">
        <f>IF(A371="","",IF(OR(LEFT(UPPER(TRIM(A371)),2)="Y:",LEFT(UPPER(TRIM(A371)),10)="YESTERDAY:"),"Y",IF(OR(LEFT(UPPER(TRIM(A371)),2)="T:",LEFT(UPPER(TRIM(A371)),6)="TODAY:"),"T",IF(OR(LEFT(UPPER(TRIM(A371)),2)="B:",LEFT(UPPER(TRIM(A371)),8)="BLOCKER:",LEFT(UPPER(TRIM(A371)),9)="BLOCKERS:",LEFT(UPPER(TRIM(A371)),8)="BLOCKED:"),"B",""))))</f>
      </c>
      <c r="E371" s="17">
        <f>IF(D371="","",TRIM(MID(A371,FIND(":",A371)+1,500)))</f>
      </c>
    </row>
    <row r="372">
      <c r="B372" s="17">
        <f>IF(A372="","",IF(COUNTIF(Roster[Name],IF(RIGHT(IF(LEFT(TRIM(A372),1)="[",TRIM(MID(TRIM(A372),FIND("]",TRIM(A372)&amp;"]")+1,200)),TRIM(A372)),1)=")",TRIM(LEFT(IF(LEFT(TRIM(A372),1)="[",TRIM(MID(TRIM(A372),FIND("]",TRIM(A372)&amp;"]")+1,200)),TRIM(A372)),FIND("(",IF(LEFT(TRIM(A372),1)="[",TRIM(MID(TRIM(A372),FIND("]",TRIM(A372)&amp;"]")+1,200)),TRIM(A372))&amp;"(")-1)),IF(LEFT(TRIM(A372),1)="[",TRIM(MID(TRIM(A372),FIND("]",TRIM(A372)&amp;"]")+1,200)),TRIM(A372))))&gt;0,IF(RIGHT(IF(LEFT(TRIM(A372),1)="[",TRIM(MID(TRIM(A372),FIND("]",TRIM(A372)&amp;"]")+1,200)),TRIM(A372)),1)=")",TRIM(LEFT(IF(LEFT(TRIM(A372),1)="[",TRIM(MID(TRIM(A372),FIND("]",TRIM(A372)&amp;"]")+1,200)),TRIM(A372)),FIND("(",IF(LEFT(TRIM(A372),1)="[",TRIM(MID(TRIM(A372),FIND("]",TRIM(A372)&amp;"]")+1,200)),TRIM(A372))&amp;"(")-1)),IF(LEFT(TRIM(A372),1)="[",TRIM(MID(TRIM(A372),FIND("]",TRIM(A372)&amp;"]")+1,200)),TRIM(A372))),""))</f>
      </c>
      <c r="C372" s="17">
        <f>IF(B372&lt;&gt;"",B372,C371)</f>
      </c>
      <c r="D372" s="17">
        <f>IF(A372="","",IF(OR(LEFT(UPPER(TRIM(A372)),2)="Y:",LEFT(UPPER(TRIM(A372)),10)="YESTERDAY:"),"Y",IF(OR(LEFT(UPPER(TRIM(A372)),2)="T:",LEFT(UPPER(TRIM(A372)),6)="TODAY:"),"T",IF(OR(LEFT(UPPER(TRIM(A372)),2)="B:",LEFT(UPPER(TRIM(A372)),8)="BLOCKER:",LEFT(UPPER(TRIM(A372)),9)="BLOCKERS:",LEFT(UPPER(TRIM(A372)),8)="BLOCKED:"),"B",""))))</f>
      </c>
      <c r="E372" s="17">
        <f>IF(D372="","",TRIM(MID(A372,FIND(":",A372)+1,500)))</f>
      </c>
    </row>
    <row r="373">
      <c r="B373" s="17">
        <f>IF(A373="","",IF(COUNTIF(Roster[Name],IF(RIGHT(IF(LEFT(TRIM(A373),1)="[",TRIM(MID(TRIM(A373),FIND("]",TRIM(A373)&amp;"]")+1,200)),TRIM(A373)),1)=")",TRIM(LEFT(IF(LEFT(TRIM(A373),1)="[",TRIM(MID(TRIM(A373),FIND("]",TRIM(A373)&amp;"]")+1,200)),TRIM(A373)),FIND("(",IF(LEFT(TRIM(A373),1)="[",TRIM(MID(TRIM(A373),FIND("]",TRIM(A373)&amp;"]")+1,200)),TRIM(A373))&amp;"(")-1)),IF(LEFT(TRIM(A373),1)="[",TRIM(MID(TRIM(A373),FIND("]",TRIM(A373)&amp;"]")+1,200)),TRIM(A373))))&gt;0,IF(RIGHT(IF(LEFT(TRIM(A373),1)="[",TRIM(MID(TRIM(A373),FIND("]",TRIM(A373)&amp;"]")+1,200)),TRIM(A373)),1)=")",TRIM(LEFT(IF(LEFT(TRIM(A373),1)="[",TRIM(MID(TRIM(A373),FIND("]",TRIM(A373)&amp;"]")+1,200)),TRIM(A373)),FIND("(",IF(LEFT(TRIM(A373),1)="[",TRIM(MID(TRIM(A373),FIND("]",TRIM(A373)&amp;"]")+1,200)),TRIM(A373))&amp;"(")-1)),IF(LEFT(TRIM(A373),1)="[",TRIM(MID(TRIM(A373),FIND("]",TRIM(A373)&amp;"]")+1,200)),TRIM(A373))),""))</f>
      </c>
      <c r="C373" s="17">
        <f>IF(B373&lt;&gt;"",B373,C372)</f>
      </c>
      <c r="D373" s="17">
        <f>IF(A373="","",IF(OR(LEFT(UPPER(TRIM(A373)),2)="Y:",LEFT(UPPER(TRIM(A373)),10)="YESTERDAY:"),"Y",IF(OR(LEFT(UPPER(TRIM(A373)),2)="T:",LEFT(UPPER(TRIM(A373)),6)="TODAY:"),"T",IF(OR(LEFT(UPPER(TRIM(A373)),2)="B:",LEFT(UPPER(TRIM(A373)),8)="BLOCKER:",LEFT(UPPER(TRIM(A373)),9)="BLOCKERS:",LEFT(UPPER(TRIM(A373)),8)="BLOCKED:"),"B",""))))</f>
      </c>
      <c r="E373" s="17">
        <f>IF(D373="","",TRIM(MID(A373,FIND(":",A373)+1,500)))</f>
      </c>
    </row>
    <row r="374">
      <c r="B374" s="17">
        <f>IF(A374="","",IF(COUNTIF(Roster[Name],IF(RIGHT(IF(LEFT(TRIM(A374),1)="[",TRIM(MID(TRIM(A374),FIND("]",TRIM(A374)&amp;"]")+1,200)),TRIM(A374)),1)=")",TRIM(LEFT(IF(LEFT(TRIM(A374),1)="[",TRIM(MID(TRIM(A374),FIND("]",TRIM(A374)&amp;"]")+1,200)),TRIM(A374)),FIND("(",IF(LEFT(TRIM(A374),1)="[",TRIM(MID(TRIM(A374),FIND("]",TRIM(A374)&amp;"]")+1,200)),TRIM(A374))&amp;"(")-1)),IF(LEFT(TRIM(A374),1)="[",TRIM(MID(TRIM(A374),FIND("]",TRIM(A374)&amp;"]")+1,200)),TRIM(A374))))&gt;0,IF(RIGHT(IF(LEFT(TRIM(A374),1)="[",TRIM(MID(TRIM(A374),FIND("]",TRIM(A374)&amp;"]")+1,200)),TRIM(A374)),1)=")",TRIM(LEFT(IF(LEFT(TRIM(A374),1)="[",TRIM(MID(TRIM(A374),FIND("]",TRIM(A374)&amp;"]")+1,200)),TRIM(A374)),FIND("(",IF(LEFT(TRIM(A374),1)="[",TRIM(MID(TRIM(A374),FIND("]",TRIM(A374)&amp;"]")+1,200)),TRIM(A374))&amp;"(")-1)),IF(LEFT(TRIM(A374),1)="[",TRIM(MID(TRIM(A374),FIND("]",TRIM(A374)&amp;"]")+1,200)),TRIM(A374))),""))</f>
      </c>
      <c r="C374" s="17">
        <f>IF(B374&lt;&gt;"",B374,C373)</f>
      </c>
      <c r="D374" s="17">
        <f>IF(A374="","",IF(OR(LEFT(UPPER(TRIM(A374)),2)="Y:",LEFT(UPPER(TRIM(A374)),10)="YESTERDAY:"),"Y",IF(OR(LEFT(UPPER(TRIM(A374)),2)="T:",LEFT(UPPER(TRIM(A374)),6)="TODAY:"),"T",IF(OR(LEFT(UPPER(TRIM(A374)),2)="B:",LEFT(UPPER(TRIM(A374)),8)="BLOCKER:",LEFT(UPPER(TRIM(A374)),9)="BLOCKERS:",LEFT(UPPER(TRIM(A374)),8)="BLOCKED:"),"B",""))))</f>
      </c>
      <c r="E374" s="17">
        <f>IF(D374="","",TRIM(MID(A374,FIND(":",A374)+1,500)))</f>
      </c>
    </row>
    <row r="375">
      <c r="B375" s="17">
        <f>IF(A375="","",IF(COUNTIF(Roster[Name],IF(RIGHT(IF(LEFT(TRIM(A375),1)="[",TRIM(MID(TRIM(A375),FIND("]",TRIM(A375)&amp;"]")+1,200)),TRIM(A375)),1)=")",TRIM(LEFT(IF(LEFT(TRIM(A375),1)="[",TRIM(MID(TRIM(A375),FIND("]",TRIM(A375)&amp;"]")+1,200)),TRIM(A375)),FIND("(",IF(LEFT(TRIM(A375),1)="[",TRIM(MID(TRIM(A375),FIND("]",TRIM(A375)&amp;"]")+1,200)),TRIM(A375))&amp;"(")-1)),IF(LEFT(TRIM(A375),1)="[",TRIM(MID(TRIM(A375),FIND("]",TRIM(A375)&amp;"]")+1,200)),TRIM(A375))))&gt;0,IF(RIGHT(IF(LEFT(TRIM(A375),1)="[",TRIM(MID(TRIM(A375),FIND("]",TRIM(A375)&amp;"]")+1,200)),TRIM(A375)),1)=")",TRIM(LEFT(IF(LEFT(TRIM(A375),1)="[",TRIM(MID(TRIM(A375),FIND("]",TRIM(A375)&amp;"]")+1,200)),TRIM(A375)),FIND("(",IF(LEFT(TRIM(A375),1)="[",TRIM(MID(TRIM(A375),FIND("]",TRIM(A375)&amp;"]")+1,200)),TRIM(A375))&amp;"(")-1)),IF(LEFT(TRIM(A375),1)="[",TRIM(MID(TRIM(A375),FIND("]",TRIM(A375)&amp;"]")+1,200)),TRIM(A375))),""))</f>
      </c>
      <c r="C375" s="17">
        <f>IF(B375&lt;&gt;"",B375,C374)</f>
      </c>
      <c r="D375" s="17">
        <f>IF(A375="","",IF(OR(LEFT(UPPER(TRIM(A375)),2)="Y:",LEFT(UPPER(TRIM(A375)),10)="YESTERDAY:"),"Y",IF(OR(LEFT(UPPER(TRIM(A375)),2)="T:",LEFT(UPPER(TRIM(A375)),6)="TODAY:"),"T",IF(OR(LEFT(UPPER(TRIM(A375)),2)="B:",LEFT(UPPER(TRIM(A375)),8)="BLOCKER:",LEFT(UPPER(TRIM(A375)),9)="BLOCKERS:",LEFT(UPPER(TRIM(A375)),8)="BLOCKED:"),"B",""))))</f>
      </c>
      <c r="E375" s="17">
        <f>IF(D375="","",TRIM(MID(A375,FIND(":",A375)+1,500)))</f>
      </c>
    </row>
    <row r="376">
      <c r="B376" s="17">
        <f>IF(A376="","",IF(COUNTIF(Roster[Name],IF(RIGHT(IF(LEFT(TRIM(A376),1)="[",TRIM(MID(TRIM(A376),FIND("]",TRIM(A376)&amp;"]")+1,200)),TRIM(A376)),1)=")",TRIM(LEFT(IF(LEFT(TRIM(A376),1)="[",TRIM(MID(TRIM(A376),FIND("]",TRIM(A376)&amp;"]")+1,200)),TRIM(A376)),FIND("(",IF(LEFT(TRIM(A376),1)="[",TRIM(MID(TRIM(A376),FIND("]",TRIM(A376)&amp;"]")+1,200)),TRIM(A376))&amp;"(")-1)),IF(LEFT(TRIM(A376),1)="[",TRIM(MID(TRIM(A376),FIND("]",TRIM(A376)&amp;"]")+1,200)),TRIM(A376))))&gt;0,IF(RIGHT(IF(LEFT(TRIM(A376),1)="[",TRIM(MID(TRIM(A376),FIND("]",TRIM(A376)&amp;"]")+1,200)),TRIM(A376)),1)=")",TRIM(LEFT(IF(LEFT(TRIM(A376),1)="[",TRIM(MID(TRIM(A376),FIND("]",TRIM(A376)&amp;"]")+1,200)),TRIM(A376)),FIND("(",IF(LEFT(TRIM(A376),1)="[",TRIM(MID(TRIM(A376),FIND("]",TRIM(A376)&amp;"]")+1,200)),TRIM(A376))&amp;"(")-1)),IF(LEFT(TRIM(A376),1)="[",TRIM(MID(TRIM(A376),FIND("]",TRIM(A376)&amp;"]")+1,200)),TRIM(A376))),""))</f>
      </c>
      <c r="C376" s="17">
        <f>IF(B376&lt;&gt;"",B376,C375)</f>
      </c>
      <c r="D376" s="17">
        <f>IF(A376="","",IF(OR(LEFT(UPPER(TRIM(A376)),2)="Y:",LEFT(UPPER(TRIM(A376)),10)="YESTERDAY:"),"Y",IF(OR(LEFT(UPPER(TRIM(A376)),2)="T:",LEFT(UPPER(TRIM(A376)),6)="TODAY:"),"T",IF(OR(LEFT(UPPER(TRIM(A376)),2)="B:",LEFT(UPPER(TRIM(A376)),8)="BLOCKER:",LEFT(UPPER(TRIM(A376)),9)="BLOCKERS:",LEFT(UPPER(TRIM(A376)),8)="BLOCKED:"),"B",""))))</f>
      </c>
      <c r="E376" s="17">
        <f>IF(D376="","",TRIM(MID(A376,FIND(":",A376)+1,500)))</f>
      </c>
    </row>
    <row r="377">
      <c r="B377" s="17">
        <f>IF(A377="","",IF(COUNTIF(Roster[Name],IF(RIGHT(IF(LEFT(TRIM(A377),1)="[",TRIM(MID(TRIM(A377),FIND("]",TRIM(A377)&amp;"]")+1,200)),TRIM(A377)),1)=")",TRIM(LEFT(IF(LEFT(TRIM(A377),1)="[",TRIM(MID(TRIM(A377),FIND("]",TRIM(A377)&amp;"]")+1,200)),TRIM(A377)),FIND("(",IF(LEFT(TRIM(A377),1)="[",TRIM(MID(TRIM(A377),FIND("]",TRIM(A377)&amp;"]")+1,200)),TRIM(A377))&amp;"(")-1)),IF(LEFT(TRIM(A377),1)="[",TRIM(MID(TRIM(A377),FIND("]",TRIM(A377)&amp;"]")+1,200)),TRIM(A377))))&gt;0,IF(RIGHT(IF(LEFT(TRIM(A377),1)="[",TRIM(MID(TRIM(A377),FIND("]",TRIM(A377)&amp;"]")+1,200)),TRIM(A377)),1)=")",TRIM(LEFT(IF(LEFT(TRIM(A377),1)="[",TRIM(MID(TRIM(A377),FIND("]",TRIM(A377)&amp;"]")+1,200)),TRIM(A377)),FIND("(",IF(LEFT(TRIM(A377),1)="[",TRIM(MID(TRIM(A377),FIND("]",TRIM(A377)&amp;"]")+1,200)),TRIM(A377))&amp;"(")-1)),IF(LEFT(TRIM(A377),1)="[",TRIM(MID(TRIM(A377),FIND("]",TRIM(A377)&amp;"]")+1,200)),TRIM(A377))),""))</f>
      </c>
      <c r="C377" s="17">
        <f>IF(B377&lt;&gt;"",B377,C376)</f>
      </c>
      <c r="D377" s="17">
        <f>IF(A377="","",IF(OR(LEFT(UPPER(TRIM(A377)),2)="Y:",LEFT(UPPER(TRIM(A377)),10)="YESTERDAY:"),"Y",IF(OR(LEFT(UPPER(TRIM(A377)),2)="T:",LEFT(UPPER(TRIM(A377)),6)="TODAY:"),"T",IF(OR(LEFT(UPPER(TRIM(A377)),2)="B:",LEFT(UPPER(TRIM(A377)),8)="BLOCKER:",LEFT(UPPER(TRIM(A377)),9)="BLOCKERS:",LEFT(UPPER(TRIM(A377)),8)="BLOCKED:"),"B",""))))</f>
      </c>
      <c r="E377" s="17">
        <f>IF(D377="","",TRIM(MID(A377,FIND(":",A377)+1,500)))</f>
      </c>
    </row>
    <row r="378">
      <c r="B378" s="17">
        <f>IF(A378="","",IF(COUNTIF(Roster[Name],IF(RIGHT(IF(LEFT(TRIM(A378),1)="[",TRIM(MID(TRIM(A378),FIND("]",TRIM(A378)&amp;"]")+1,200)),TRIM(A378)),1)=")",TRIM(LEFT(IF(LEFT(TRIM(A378),1)="[",TRIM(MID(TRIM(A378),FIND("]",TRIM(A378)&amp;"]")+1,200)),TRIM(A378)),FIND("(",IF(LEFT(TRIM(A378),1)="[",TRIM(MID(TRIM(A378),FIND("]",TRIM(A378)&amp;"]")+1,200)),TRIM(A378))&amp;"(")-1)),IF(LEFT(TRIM(A378),1)="[",TRIM(MID(TRIM(A378),FIND("]",TRIM(A378)&amp;"]")+1,200)),TRIM(A378))))&gt;0,IF(RIGHT(IF(LEFT(TRIM(A378),1)="[",TRIM(MID(TRIM(A378),FIND("]",TRIM(A378)&amp;"]")+1,200)),TRIM(A378)),1)=")",TRIM(LEFT(IF(LEFT(TRIM(A378),1)="[",TRIM(MID(TRIM(A378),FIND("]",TRIM(A378)&amp;"]")+1,200)),TRIM(A378)),FIND("(",IF(LEFT(TRIM(A378),1)="[",TRIM(MID(TRIM(A378),FIND("]",TRIM(A378)&amp;"]")+1,200)),TRIM(A378))&amp;"(")-1)),IF(LEFT(TRIM(A378),1)="[",TRIM(MID(TRIM(A378),FIND("]",TRIM(A378)&amp;"]")+1,200)),TRIM(A378))),""))</f>
      </c>
      <c r="C378" s="17">
        <f>IF(B378&lt;&gt;"",B378,C377)</f>
      </c>
      <c r="D378" s="17">
        <f>IF(A378="","",IF(OR(LEFT(UPPER(TRIM(A378)),2)="Y:",LEFT(UPPER(TRIM(A378)),10)="YESTERDAY:"),"Y",IF(OR(LEFT(UPPER(TRIM(A378)),2)="T:",LEFT(UPPER(TRIM(A378)),6)="TODAY:"),"T",IF(OR(LEFT(UPPER(TRIM(A378)),2)="B:",LEFT(UPPER(TRIM(A378)),8)="BLOCKER:",LEFT(UPPER(TRIM(A378)),9)="BLOCKERS:",LEFT(UPPER(TRIM(A378)),8)="BLOCKED:"),"B",""))))</f>
      </c>
      <c r="E378" s="17">
        <f>IF(D378="","",TRIM(MID(A378,FIND(":",A378)+1,500)))</f>
      </c>
    </row>
    <row r="379">
      <c r="B379" s="17">
        <f>IF(A379="","",IF(COUNTIF(Roster[Name],IF(RIGHT(IF(LEFT(TRIM(A379),1)="[",TRIM(MID(TRIM(A379),FIND("]",TRIM(A379)&amp;"]")+1,200)),TRIM(A379)),1)=")",TRIM(LEFT(IF(LEFT(TRIM(A379),1)="[",TRIM(MID(TRIM(A379),FIND("]",TRIM(A379)&amp;"]")+1,200)),TRIM(A379)),FIND("(",IF(LEFT(TRIM(A379),1)="[",TRIM(MID(TRIM(A379),FIND("]",TRIM(A379)&amp;"]")+1,200)),TRIM(A379))&amp;"(")-1)),IF(LEFT(TRIM(A379),1)="[",TRIM(MID(TRIM(A379),FIND("]",TRIM(A379)&amp;"]")+1,200)),TRIM(A379))))&gt;0,IF(RIGHT(IF(LEFT(TRIM(A379),1)="[",TRIM(MID(TRIM(A379),FIND("]",TRIM(A379)&amp;"]")+1,200)),TRIM(A379)),1)=")",TRIM(LEFT(IF(LEFT(TRIM(A379),1)="[",TRIM(MID(TRIM(A379),FIND("]",TRIM(A379)&amp;"]")+1,200)),TRIM(A379)),FIND("(",IF(LEFT(TRIM(A379),1)="[",TRIM(MID(TRIM(A379),FIND("]",TRIM(A379)&amp;"]")+1,200)),TRIM(A379))&amp;"(")-1)),IF(LEFT(TRIM(A379),1)="[",TRIM(MID(TRIM(A379),FIND("]",TRIM(A379)&amp;"]")+1,200)),TRIM(A379))),""))</f>
      </c>
      <c r="C379" s="17">
        <f>IF(B379&lt;&gt;"",B379,C378)</f>
      </c>
      <c r="D379" s="17">
        <f>IF(A379="","",IF(OR(LEFT(UPPER(TRIM(A379)),2)="Y:",LEFT(UPPER(TRIM(A379)),10)="YESTERDAY:"),"Y",IF(OR(LEFT(UPPER(TRIM(A379)),2)="T:",LEFT(UPPER(TRIM(A379)),6)="TODAY:"),"T",IF(OR(LEFT(UPPER(TRIM(A379)),2)="B:",LEFT(UPPER(TRIM(A379)),8)="BLOCKER:",LEFT(UPPER(TRIM(A379)),9)="BLOCKERS:",LEFT(UPPER(TRIM(A379)),8)="BLOCKED:"),"B",""))))</f>
      </c>
      <c r="E379" s="17">
        <f>IF(D379="","",TRIM(MID(A379,FIND(":",A379)+1,500)))</f>
      </c>
    </row>
    <row r="380">
      <c r="B380" s="17">
        <f>IF(A380="","",IF(COUNTIF(Roster[Name],IF(RIGHT(IF(LEFT(TRIM(A380),1)="[",TRIM(MID(TRIM(A380),FIND("]",TRIM(A380)&amp;"]")+1,200)),TRIM(A380)),1)=")",TRIM(LEFT(IF(LEFT(TRIM(A380),1)="[",TRIM(MID(TRIM(A380),FIND("]",TRIM(A380)&amp;"]")+1,200)),TRIM(A380)),FIND("(",IF(LEFT(TRIM(A380),1)="[",TRIM(MID(TRIM(A380),FIND("]",TRIM(A380)&amp;"]")+1,200)),TRIM(A380))&amp;"(")-1)),IF(LEFT(TRIM(A380),1)="[",TRIM(MID(TRIM(A380),FIND("]",TRIM(A380)&amp;"]")+1,200)),TRIM(A380))))&gt;0,IF(RIGHT(IF(LEFT(TRIM(A380),1)="[",TRIM(MID(TRIM(A380),FIND("]",TRIM(A380)&amp;"]")+1,200)),TRIM(A380)),1)=")",TRIM(LEFT(IF(LEFT(TRIM(A380),1)="[",TRIM(MID(TRIM(A380),FIND("]",TRIM(A380)&amp;"]")+1,200)),TRIM(A380)),FIND("(",IF(LEFT(TRIM(A380),1)="[",TRIM(MID(TRIM(A380),FIND("]",TRIM(A380)&amp;"]")+1,200)),TRIM(A380))&amp;"(")-1)),IF(LEFT(TRIM(A380),1)="[",TRIM(MID(TRIM(A380),FIND("]",TRIM(A380)&amp;"]")+1,200)),TRIM(A380))),""))</f>
      </c>
      <c r="C380" s="17">
        <f>IF(B380&lt;&gt;"",B380,C379)</f>
      </c>
      <c r="D380" s="17">
        <f>IF(A380="","",IF(OR(LEFT(UPPER(TRIM(A380)),2)="Y:",LEFT(UPPER(TRIM(A380)),10)="YESTERDAY:"),"Y",IF(OR(LEFT(UPPER(TRIM(A380)),2)="T:",LEFT(UPPER(TRIM(A380)),6)="TODAY:"),"T",IF(OR(LEFT(UPPER(TRIM(A380)),2)="B:",LEFT(UPPER(TRIM(A380)),8)="BLOCKER:",LEFT(UPPER(TRIM(A380)),9)="BLOCKERS:",LEFT(UPPER(TRIM(A380)),8)="BLOCKED:"),"B",""))))</f>
      </c>
      <c r="E380" s="17">
        <f>IF(D380="","",TRIM(MID(A380,FIND(":",A380)+1,500)))</f>
      </c>
    </row>
    <row r="381">
      <c r="B381" s="17">
        <f>IF(A381="","",IF(COUNTIF(Roster[Name],IF(RIGHT(IF(LEFT(TRIM(A381),1)="[",TRIM(MID(TRIM(A381),FIND("]",TRIM(A381)&amp;"]")+1,200)),TRIM(A381)),1)=")",TRIM(LEFT(IF(LEFT(TRIM(A381),1)="[",TRIM(MID(TRIM(A381),FIND("]",TRIM(A381)&amp;"]")+1,200)),TRIM(A381)),FIND("(",IF(LEFT(TRIM(A381),1)="[",TRIM(MID(TRIM(A381),FIND("]",TRIM(A381)&amp;"]")+1,200)),TRIM(A381))&amp;"(")-1)),IF(LEFT(TRIM(A381),1)="[",TRIM(MID(TRIM(A381),FIND("]",TRIM(A381)&amp;"]")+1,200)),TRIM(A381))))&gt;0,IF(RIGHT(IF(LEFT(TRIM(A381),1)="[",TRIM(MID(TRIM(A381),FIND("]",TRIM(A381)&amp;"]")+1,200)),TRIM(A381)),1)=")",TRIM(LEFT(IF(LEFT(TRIM(A381),1)="[",TRIM(MID(TRIM(A381),FIND("]",TRIM(A381)&amp;"]")+1,200)),TRIM(A381)),FIND("(",IF(LEFT(TRIM(A381),1)="[",TRIM(MID(TRIM(A381),FIND("]",TRIM(A381)&amp;"]")+1,200)),TRIM(A381))&amp;"(")-1)),IF(LEFT(TRIM(A381),1)="[",TRIM(MID(TRIM(A381),FIND("]",TRIM(A381)&amp;"]")+1,200)),TRIM(A381))),""))</f>
      </c>
      <c r="C381" s="17">
        <f>IF(B381&lt;&gt;"",B381,C380)</f>
      </c>
      <c r="D381" s="17">
        <f>IF(A381="","",IF(OR(LEFT(UPPER(TRIM(A381)),2)="Y:",LEFT(UPPER(TRIM(A381)),10)="YESTERDAY:"),"Y",IF(OR(LEFT(UPPER(TRIM(A381)),2)="T:",LEFT(UPPER(TRIM(A381)),6)="TODAY:"),"T",IF(OR(LEFT(UPPER(TRIM(A381)),2)="B:",LEFT(UPPER(TRIM(A381)),8)="BLOCKER:",LEFT(UPPER(TRIM(A381)),9)="BLOCKERS:",LEFT(UPPER(TRIM(A381)),8)="BLOCKED:"),"B",""))))</f>
      </c>
      <c r="E381" s="17">
        <f>IF(D381="","",TRIM(MID(A381,FIND(":",A381)+1,500)))</f>
      </c>
    </row>
    <row r="382">
      <c r="B382" s="17">
        <f>IF(A382="","",IF(COUNTIF(Roster[Name],IF(RIGHT(IF(LEFT(TRIM(A382),1)="[",TRIM(MID(TRIM(A382),FIND("]",TRIM(A382)&amp;"]")+1,200)),TRIM(A382)),1)=")",TRIM(LEFT(IF(LEFT(TRIM(A382),1)="[",TRIM(MID(TRIM(A382),FIND("]",TRIM(A382)&amp;"]")+1,200)),TRIM(A382)),FIND("(",IF(LEFT(TRIM(A382),1)="[",TRIM(MID(TRIM(A382),FIND("]",TRIM(A382)&amp;"]")+1,200)),TRIM(A382))&amp;"(")-1)),IF(LEFT(TRIM(A382),1)="[",TRIM(MID(TRIM(A382),FIND("]",TRIM(A382)&amp;"]")+1,200)),TRIM(A382))))&gt;0,IF(RIGHT(IF(LEFT(TRIM(A382),1)="[",TRIM(MID(TRIM(A382),FIND("]",TRIM(A382)&amp;"]")+1,200)),TRIM(A382)),1)=")",TRIM(LEFT(IF(LEFT(TRIM(A382),1)="[",TRIM(MID(TRIM(A382),FIND("]",TRIM(A382)&amp;"]")+1,200)),TRIM(A382)),FIND("(",IF(LEFT(TRIM(A382),1)="[",TRIM(MID(TRIM(A382),FIND("]",TRIM(A382)&amp;"]")+1,200)),TRIM(A382))&amp;"(")-1)),IF(LEFT(TRIM(A382),1)="[",TRIM(MID(TRIM(A382),FIND("]",TRIM(A382)&amp;"]")+1,200)),TRIM(A382))),""))</f>
      </c>
      <c r="C382" s="17">
        <f>IF(B382&lt;&gt;"",B382,C381)</f>
      </c>
      <c r="D382" s="17">
        <f>IF(A382="","",IF(OR(LEFT(UPPER(TRIM(A382)),2)="Y:",LEFT(UPPER(TRIM(A382)),10)="YESTERDAY:"),"Y",IF(OR(LEFT(UPPER(TRIM(A382)),2)="T:",LEFT(UPPER(TRIM(A382)),6)="TODAY:"),"T",IF(OR(LEFT(UPPER(TRIM(A382)),2)="B:",LEFT(UPPER(TRIM(A382)),8)="BLOCKER:",LEFT(UPPER(TRIM(A382)),9)="BLOCKERS:",LEFT(UPPER(TRIM(A382)),8)="BLOCKED:"),"B",""))))</f>
      </c>
      <c r="E382" s="17">
        <f>IF(D382="","",TRIM(MID(A382,FIND(":",A382)+1,500)))</f>
      </c>
    </row>
    <row r="383">
      <c r="B383" s="17">
        <f>IF(A383="","",IF(COUNTIF(Roster[Name],IF(RIGHT(IF(LEFT(TRIM(A383),1)="[",TRIM(MID(TRIM(A383),FIND("]",TRIM(A383)&amp;"]")+1,200)),TRIM(A383)),1)=")",TRIM(LEFT(IF(LEFT(TRIM(A383),1)="[",TRIM(MID(TRIM(A383),FIND("]",TRIM(A383)&amp;"]")+1,200)),TRIM(A383)),FIND("(",IF(LEFT(TRIM(A383),1)="[",TRIM(MID(TRIM(A383),FIND("]",TRIM(A383)&amp;"]")+1,200)),TRIM(A383))&amp;"(")-1)),IF(LEFT(TRIM(A383),1)="[",TRIM(MID(TRIM(A383),FIND("]",TRIM(A383)&amp;"]")+1,200)),TRIM(A383))))&gt;0,IF(RIGHT(IF(LEFT(TRIM(A383),1)="[",TRIM(MID(TRIM(A383),FIND("]",TRIM(A383)&amp;"]")+1,200)),TRIM(A383)),1)=")",TRIM(LEFT(IF(LEFT(TRIM(A383),1)="[",TRIM(MID(TRIM(A383),FIND("]",TRIM(A383)&amp;"]")+1,200)),TRIM(A383)),FIND("(",IF(LEFT(TRIM(A383),1)="[",TRIM(MID(TRIM(A383),FIND("]",TRIM(A383)&amp;"]")+1,200)),TRIM(A383))&amp;"(")-1)),IF(LEFT(TRIM(A383),1)="[",TRIM(MID(TRIM(A383),FIND("]",TRIM(A383)&amp;"]")+1,200)),TRIM(A383))),""))</f>
      </c>
      <c r="C383" s="17">
        <f>IF(B383&lt;&gt;"",B383,C382)</f>
      </c>
      <c r="D383" s="17">
        <f>IF(A383="","",IF(OR(LEFT(UPPER(TRIM(A383)),2)="Y:",LEFT(UPPER(TRIM(A383)),10)="YESTERDAY:"),"Y",IF(OR(LEFT(UPPER(TRIM(A383)),2)="T:",LEFT(UPPER(TRIM(A383)),6)="TODAY:"),"T",IF(OR(LEFT(UPPER(TRIM(A383)),2)="B:",LEFT(UPPER(TRIM(A383)),8)="BLOCKER:",LEFT(UPPER(TRIM(A383)),9)="BLOCKERS:",LEFT(UPPER(TRIM(A383)),8)="BLOCKED:"),"B",""))))</f>
      </c>
      <c r="E383" s="17">
        <f>IF(D383="","",TRIM(MID(A383,FIND(":",A383)+1,500)))</f>
      </c>
    </row>
    <row r="384">
      <c r="B384" s="17">
        <f>IF(A384="","",IF(COUNTIF(Roster[Name],IF(RIGHT(IF(LEFT(TRIM(A384),1)="[",TRIM(MID(TRIM(A384),FIND("]",TRIM(A384)&amp;"]")+1,200)),TRIM(A384)),1)=")",TRIM(LEFT(IF(LEFT(TRIM(A384),1)="[",TRIM(MID(TRIM(A384),FIND("]",TRIM(A384)&amp;"]")+1,200)),TRIM(A384)),FIND("(",IF(LEFT(TRIM(A384),1)="[",TRIM(MID(TRIM(A384),FIND("]",TRIM(A384)&amp;"]")+1,200)),TRIM(A384))&amp;"(")-1)),IF(LEFT(TRIM(A384),1)="[",TRIM(MID(TRIM(A384),FIND("]",TRIM(A384)&amp;"]")+1,200)),TRIM(A384))))&gt;0,IF(RIGHT(IF(LEFT(TRIM(A384),1)="[",TRIM(MID(TRIM(A384),FIND("]",TRIM(A384)&amp;"]")+1,200)),TRIM(A384)),1)=")",TRIM(LEFT(IF(LEFT(TRIM(A384),1)="[",TRIM(MID(TRIM(A384),FIND("]",TRIM(A384)&amp;"]")+1,200)),TRIM(A384)),FIND("(",IF(LEFT(TRIM(A384),1)="[",TRIM(MID(TRIM(A384),FIND("]",TRIM(A384)&amp;"]")+1,200)),TRIM(A384))&amp;"(")-1)),IF(LEFT(TRIM(A384),1)="[",TRIM(MID(TRIM(A384),FIND("]",TRIM(A384)&amp;"]")+1,200)),TRIM(A384))),""))</f>
      </c>
      <c r="C384" s="17">
        <f>IF(B384&lt;&gt;"",B384,C383)</f>
      </c>
      <c r="D384" s="17">
        <f>IF(A384="","",IF(OR(LEFT(UPPER(TRIM(A384)),2)="Y:",LEFT(UPPER(TRIM(A384)),10)="YESTERDAY:"),"Y",IF(OR(LEFT(UPPER(TRIM(A384)),2)="T:",LEFT(UPPER(TRIM(A384)),6)="TODAY:"),"T",IF(OR(LEFT(UPPER(TRIM(A384)),2)="B:",LEFT(UPPER(TRIM(A384)),8)="BLOCKER:",LEFT(UPPER(TRIM(A384)),9)="BLOCKERS:",LEFT(UPPER(TRIM(A384)),8)="BLOCKED:"),"B",""))))</f>
      </c>
      <c r="E384" s="17">
        <f>IF(D384="","",TRIM(MID(A384,FIND(":",A384)+1,500)))</f>
      </c>
    </row>
    <row r="385">
      <c r="B385" s="17">
        <f>IF(A385="","",IF(COUNTIF(Roster[Name],IF(RIGHT(IF(LEFT(TRIM(A385),1)="[",TRIM(MID(TRIM(A385),FIND("]",TRIM(A385)&amp;"]")+1,200)),TRIM(A385)),1)=")",TRIM(LEFT(IF(LEFT(TRIM(A385),1)="[",TRIM(MID(TRIM(A385),FIND("]",TRIM(A385)&amp;"]")+1,200)),TRIM(A385)),FIND("(",IF(LEFT(TRIM(A385),1)="[",TRIM(MID(TRIM(A385),FIND("]",TRIM(A385)&amp;"]")+1,200)),TRIM(A385))&amp;"(")-1)),IF(LEFT(TRIM(A385),1)="[",TRIM(MID(TRIM(A385),FIND("]",TRIM(A385)&amp;"]")+1,200)),TRIM(A385))))&gt;0,IF(RIGHT(IF(LEFT(TRIM(A385),1)="[",TRIM(MID(TRIM(A385),FIND("]",TRIM(A385)&amp;"]")+1,200)),TRIM(A385)),1)=")",TRIM(LEFT(IF(LEFT(TRIM(A385),1)="[",TRIM(MID(TRIM(A385),FIND("]",TRIM(A385)&amp;"]")+1,200)),TRIM(A385)),FIND("(",IF(LEFT(TRIM(A385),1)="[",TRIM(MID(TRIM(A385),FIND("]",TRIM(A385)&amp;"]")+1,200)),TRIM(A385))&amp;"(")-1)),IF(LEFT(TRIM(A385),1)="[",TRIM(MID(TRIM(A385),FIND("]",TRIM(A385)&amp;"]")+1,200)),TRIM(A385))),""))</f>
      </c>
      <c r="C385" s="17">
        <f>IF(B385&lt;&gt;"",B385,C384)</f>
      </c>
      <c r="D385" s="17">
        <f>IF(A385="","",IF(OR(LEFT(UPPER(TRIM(A385)),2)="Y:",LEFT(UPPER(TRIM(A385)),10)="YESTERDAY:"),"Y",IF(OR(LEFT(UPPER(TRIM(A385)),2)="T:",LEFT(UPPER(TRIM(A385)),6)="TODAY:"),"T",IF(OR(LEFT(UPPER(TRIM(A385)),2)="B:",LEFT(UPPER(TRIM(A385)),8)="BLOCKER:",LEFT(UPPER(TRIM(A385)),9)="BLOCKERS:",LEFT(UPPER(TRIM(A385)),8)="BLOCKED:"),"B",""))))</f>
      </c>
      <c r="E385" s="17">
        <f>IF(D385="","",TRIM(MID(A385,FIND(":",A385)+1,500)))</f>
      </c>
    </row>
    <row r="386">
      <c r="B386" s="17">
        <f>IF(A386="","",IF(COUNTIF(Roster[Name],IF(RIGHT(IF(LEFT(TRIM(A386),1)="[",TRIM(MID(TRIM(A386),FIND("]",TRIM(A386)&amp;"]")+1,200)),TRIM(A386)),1)=")",TRIM(LEFT(IF(LEFT(TRIM(A386),1)="[",TRIM(MID(TRIM(A386),FIND("]",TRIM(A386)&amp;"]")+1,200)),TRIM(A386)),FIND("(",IF(LEFT(TRIM(A386),1)="[",TRIM(MID(TRIM(A386),FIND("]",TRIM(A386)&amp;"]")+1,200)),TRIM(A386))&amp;"(")-1)),IF(LEFT(TRIM(A386),1)="[",TRIM(MID(TRIM(A386),FIND("]",TRIM(A386)&amp;"]")+1,200)),TRIM(A386))))&gt;0,IF(RIGHT(IF(LEFT(TRIM(A386),1)="[",TRIM(MID(TRIM(A386),FIND("]",TRIM(A386)&amp;"]")+1,200)),TRIM(A386)),1)=")",TRIM(LEFT(IF(LEFT(TRIM(A386),1)="[",TRIM(MID(TRIM(A386),FIND("]",TRIM(A386)&amp;"]")+1,200)),TRIM(A386)),FIND("(",IF(LEFT(TRIM(A386),1)="[",TRIM(MID(TRIM(A386),FIND("]",TRIM(A386)&amp;"]")+1,200)),TRIM(A386))&amp;"(")-1)),IF(LEFT(TRIM(A386),1)="[",TRIM(MID(TRIM(A386),FIND("]",TRIM(A386)&amp;"]")+1,200)),TRIM(A386))),""))</f>
      </c>
      <c r="C386" s="17">
        <f>IF(B386&lt;&gt;"",B386,C385)</f>
      </c>
      <c r="D386" s="17">
        <f>IF(A386="","",IF(OR(LEFT(UPPER(TRIM(A386)),2)="Y:",LEFT(UPPER(TRIM(A386)),10)="YESTERDAY:"),"Y",IF(OR(LEFT(UPPER(TRIM(A386)),2)="T:",LEFT(UPPER(TRIM(A386)),6)="TODAY:"),"T",IF(OR(LEFT(UPPER(TRIM(A386)),2)="B:",LEFT(UPPER(TRIM(A386)),8)="BLOCKER:",LEFT(UPPER(TRIM(A386)),9)="BLOCKERS:",LEFT(UPPER(TRIM(A386)),8)="BLOCKED:"),"B",""))))</f>
      </c>
      <c r="E386" s="17">
        <f>IF(D386="","",TRIM(MID(A386,FIND(":",A386)+1,500)))</f>
      </c>
    </row>
    <row r="387">
      <c r="B387" s="17">
        <f>IF(A387="","",IF(COUNTIF(Roster[Name],IF(RIGHT(IF(LEFT(TRIM(A387),1)="[",TRIM(MID(TRIM(A387),FIND("]",TRIM(A387)&amp;"]")+1,200)),TRIM(A387)),1)=")",TRIM(LEFT(IF(LEFT(TRIM(A387),1)="[",TRIM(MID(TRIM(A387),FIND("]",TRIM(A387)&amp;"]")+1,200)),TRIM(A387)),FIND("(",IF(LEFT(TRIM(A387),1)="[",TRIM(MID(TRIM(A387),FIND("]",TRIM(A387)&amp;"]")+1,200)),TRIM(A387))&amp;"(")-1)),IF(LEFT(TRIM(A387),1)="[",TRIM(MID(TRIM(A387),FIND("]",TRIM(A387)&amp;"]")+1,200)),TRIM(A387))))&gt;0,IF(RIGHT(IF(LEFT(TRIM(A387),1)="[",TRIM(MID(TRIM(A387),FIND("]",TRIM(A387)&amp;"]")+1,200)),TRIM(A387)),1)=")",TRIM(LEFT(IF(LEFT(TRIM(A387),1)="[",TRIM(MID(TRIM(A387),FIND("]",TRIM(A387)&amp;"]")+1,200)),TRIM(A387)),FIND("(",IF(LEFT(TRIM(A387),1)="[",TRIM(MID(TRIM(A387),FIND("]",TRIM(A387)&amp;"]")+1,200)),TRIM(A387))&amp;"(")-1)),IF(LEFT(TRIM(A387),1)="[",TRIM(MID(TRIM(A387),FIND("]",TRIM(A387)&amp;"]")+1,200)),TRIM(A387))),""))</f>
      </c>
      <c r="C387" s="17">
        <f>IF(B387&lt;&gt;"",B387,C386)</f>
      </c>
      <c r="D387" s="17">
        <f>IF(A387="","",IF(OR(LEFT(UPPER(TRIM(A387)),2)="Y:",LEFT(UPPER(TRIM(A387)),10)="YESTERDAY:"),"Y",IF(OR(LEFT(UPPER(TRIM(A387)),2)="T:",LEFT(UPPER(TRIM(A387)),6)="TODAY:"),"T",IF(OR(LEFT(UPPER(TRIM(A387)),2)="B:",LEFT(UPPER(TRIM(A387)),8)="BLOCKER:",LEFT(UPPER(TRIM(A387)),9)="BLOCKERS:",LEFT(UPPER(TRIM(A387)),8)="BLOCKED:"),"B",""))))</f>
      </c>
      <c r="E387" s="17">
        <f>IF(D387="","",TRIM(MID(A387,FIND(":",A387)+1,500)))</f>
      </c>
    </row>
    <row r="388">
      <c r="B388" s="17">
        <f>IF(A388="","",IF(COUNTIF(Roster[Name],IF(RIGHT(IF(LEFT(TRIM(A388),1)="[",TRIM(MID(TRIM(A388),FIND("]",TRIM(A388)&amp;"]")+1,200)),TRIM(A388)),1)=")",TRIM(LEFT(IF(LEFT(TRIM(A388),1)="[",TRIM(MID(TRIM(A388),FIND("]",TRIM(A388)&amp;"]")+1,200)),TRIM(A388)),FIND("(",IF(LEFT(TRIM(A388),1)="[",TRIM(MID(TRIM(A388),FIND("]",TRIM(A388)&amp;"]")+1,200)),TRIM(A388))&amp;"(")-1)),IF(LEFT(TRIM(A388),1)="[",TRIM(MID(TRIM(A388),FIND("]",TRIM(A388)&amp;"]")+1,200)),TRIM(A388))))&gt;0,IF(RIGHT(IF(LEFT(TRIM(A388),1)="[",TRIM(MID(TRIM(A388),FIND("]",TRIM(A388)&amp;"]")+1,200)),TRIM(A388)),1)=")",TRIM(LEFT(IF(LEFT(TRIM(A388),1)="[",TRIM(MID(TRIM(A388),FIND("]",TRIM(A388)&amp;"]")+1,200)),TRIM(A388)),FIND("(",IF(LEFT(TRIM(A388),1)="[",TRIM(MID(TRIM(A388),FIND("]",TRIM(A388)&amp;"]")+1,200)),TRIM(A388))&amp;"(")-1)),IF(LEFT(TRIM(A388),1)="[",TRIM(MID(TRIM(A388),FIND("]",TRIM(A388)&amp;"]")+1,200)),TRIM(A388))),""))</f>
      </c>
      <c r="C388" s="17">
        <f>IF(B388&lt;&gt;"",B388,C387)</f>
      </c>
      <c r="D388" s="17">
        <f>IF(A388="","",IF(OR(LEFT(UPPER(TRIM(A388)),2)="Y:",LEFT(UPPER(TRIM(A388)),10)="YESTERDAY:"),"Y",IF(OR(LEFT(UPPER(TRIM(A388)),2)="T:",LEFT(UPPER(TRIM(A388)),6)="TODAY:"),"T",IF(OR(LEFT(UPPER(TRIM(A388)),2)="B:",LEFT(UPPER(TRIM(A388)),8)="BLOCKER:",LEFT(UPPER(TRIM(A388)),9)="BLOCKERS:",LEFT(UPPER(TRIM(A388)),8)="BLOCKED:"),"B",""))))</f>
      </c>
      <c r="E388" s="17">
        <f>IF(D388="","",TRIM(MID(A388,FIND(":",A388)+1,500)))</f>
      </c>
    </row>
    <row r="389">
      <c r="B389" s="17">
        <f>IF(A389="","",IF(COUNTIF(Roster[Name],IF(RIGHT(IF(LEFT(TRIM(A389),1)="[",TRIM(MID(TRIM(A389),FIND("]",TRIM(A389)&amp;"]")+1,200)),TRIM(A389)),1)=")",TRIM(LEFT(IF(LEFT(TRIM(A389),1)="[",TRIM(MID(TRIM(A389),FIND("]",TRIM(A389)&amp;"]")+1,200)),TRIM(A389)),FIND("(",IF(LEFT(TRIM(A389),1)="[",TRIM(MID(TRIM(A389),FIND("]",TRIM(A389)&amp;"]")+1,200)),TRIM(A389))&amp;"(")-1)),IF(LEFT(TRIM(A389),1)="[",TRIM(MID(TRIM(A389),FIND("]",TRIM(A389)&amp;"]")+1,200)),TRIM(A389))))&gt;0,IF(RIGHT(IF(LEFT(TRIM(A389),1)="[",TRIM(MID(TRIM(A389),FIND("]",TRIM(A389)&amp;"]")+1,200)),TRIM(A389)),1)=")",TRIM(LEFT(IF(LEFT(TRIM(A389),1)="[",TRIM(MID(TRIM(A389),FIND("]",TRIM(A389)&amp;"]")+1,200)),TRIM(A389)),FIND("(",IF(LEFT(TRIM(A389),1)="[",TRIM(MID(TRIM(A389),FIND("]",TRIM(A389)&amp;"]")+1,200)),TRIM(A389))&amp;"(")-1)),IF(LEFT(TRIM(A389),1)="[",TRIM(MID(TRIM(A389),FIND("]",TRIM(A389)&amp;"]")+1,200)),TRIM(A389))),""))</f>
      </c>
      <c r="C389" s="17">
        <f>IF(B389&lt;&gt;"",B389,C388)</f>
      </c>
      <c r="D389" s="17">
        <f>IF(A389="","",IF(OR(LEFT(UPPER(TRIM(A389)),2)="Y:",LEFT(UPPER(TRIM(A389)),10)="YESTERDAY:"),"Y",IF(OR(LEFT(UPPER(TRIM(A389)),2)="T:",LEFT(UPPER(TRIM(A389)),6)="TODAY:"),"T",IF(OR(LEFT(UPPER(TRIM(A389)),2)="B:",LEFT(UPPER(TRIM(A389)),8)="BLOCKER:",LEFT(UPPER(TRIM(A389)),9)="BLOCKERS:",LEFT(UPPER(TRIM(A389)),8)="BLOCKED:"),"B",""))))</f>
      </c>
      <c r="E389" s="17">
        <f>IF(D389="","",TRIM(MID(A389,FIND(":",A389)+1,500)))</f>
      </c>
    </row>
    <row r="390">
      <c r="B390" s="17">
        <f>IF(A390="","",IF(COUNTIF(Roster[Name],IF(RIGHT(IF(LEFT(TRIM(A390),1)="[",TRIM(MID(TRIM(A390),FIND("]",TRIM(A390)&amp;"]")+1,200)),TRIM(A390)),1)=")",TRIM(LEFT(IF(LEFT(TRIM(A390),1)="[",TRIM(MID(TRIM(A390),FIND("]",TRIM(A390)&amp;"]")+1,200)),TRIM(A390)),FIND("(",IF(LEFT(TRIM(A390),1)="[",TRIM(MID(TRIM(A390),FIND("]",TRIM(A390)&amp;"]")+1,200)),TRIM(A390))&amp;"(")-1)),IF(LEFT(TRIM(A390),1)="[",TRIM(MID(TRIM(A390),FIND("]",TRIM(A390)&amp;"]")+1,200)),TRIM(A390))))&gt;0,IF(RIGHT(IF(LEFT(TRIM(A390),1)="[",TRIM(MID(TRIM(A390),FIND("]",TRIM(A390)&amp;"]")+1,200)),TRIM(A390)),1)=")",TRIM(LEFT(IF(LEFT(TRIM(A390),1)="[",TRIM(MID(TRIM(A390),FIND("]",TRIM(A390)&amp;"]")+1,200)),TRIM(A390)),FIND("(",IF(LEFT(TRIM(A390),1)="[",TRIM(MID(TRIM(A390),FIND("]",TRIM(A390)&amp;"]")+1,200)),TRIM(A390))&amp;"(")-1)),IF(LEFT(TRIM(A390),1)="[",TRIM(MID(TRIM(A390),FIND("]",TRIM(A390)&amp;"]")+1,200)),TRIM(A390))),""))</f>
      </c>
      <c r="C390" s="17">
        <f>IF(B390&lt;&gt;"",B390,C389)</f>
      </c>
      <c r="D390" s="17">
        <f>IF(A390="","",IF(OR(LEFT(UPPER(TRIM(A390)),2)="Y:",LEFT(UPPER(TRIM(A390)),10)="YESTERDAY:"),"Y",IF(OR(LEFT(UPPER(TRIM(A390)),2)="T:",LEFT(UPPER(TRIM(A390)),6)="TODAY:"),"T",IF(OR(LEFT(UPPER(TRIM(A390)),2)="B:",LEFT(UPPER(TRIM(A390)),8)="BLOCKER:",LEFT(UPPER(TRIM(A390)),9)="BLOCKERS:",LEFT(UPPER(TRIM(A390)),8)="BLOCKED:"),"B",""))))</f>
      </c>
      <c r="E390" s="17">
        <f>IF(D390="","",TRIM(MID(A390,FIND(":",A390)+1,500)))</f>
      </c>
    </row>
    <row r="391">
      <c r="B391" s="17">
        <f>IF(A391="","",IF(COUNTIF(Roster[Name],IF(RIGHT(IF(LEFT(TRIM(A391),1)="[",TRIM(MID(TRIM(A391),FIND("]",TRIM(A391)&amp;"]")+1,200)),TRIM(A391)),1)=")",TRIM(LEFT(IF(LEFT(TRIM(A391),1)="[",TRIM(MID(TRIM(A391),FIND("]",TRIM(A391)&amp;"]")+1,200)),TRIM(A391)),FIND("(",IF(LEFT(TRIM(A391),1)="[",TRIM(MID(TRIM(A391),FIND("]",TRIM(A391)&amp;"]")+1,200)),TRIM(A391))&amp;"(")-1)),IF(LEFT(TRIM(A391),1)="[",TRIM(MID(TRIM(A391),FIND("]",TRIM(A391)&amp;"]")+1,200)),TRIM(A391))))&gt;0,IF(RIGHT(IF(LEFT(TRIM(A391),1)="[",TRIM(MID(TRIM(A391),FIND("]",TRIM(A391)&amp;"]")+1,200)),TRIM(A391)),1)=")",TRIM(LEFT(IF(LEFT(TRIM(A391),1)="[",TRIM(MID(TRIM(A391),FIND("]",TRIM(A391)&amp;"]")+1,200)),TRIM(A391)),FIND("(",IF(LEFT(TRIM(A391),1)="[",TRIM(MID(TRIM(A391),FIND("]",TRIM(A391)&amp;"]")+1,200)),TRIM(A391))&amp;"(")-1)),IF(LEFT(TRIM(A391),1)="[",TRIM(MID(TRIM(A391),FIND("]",TRIM(A391)&amp;"]")+1,200)),TRIM(A391))),""))</f>
      </c>
      <c r="C391" s="17">
        <f>IF(B391&lt;&gt;"",B391,C390)</f>
      </c>
      <c r="D391" s="17">
        <f>IF(A391="","",IF(OR(LEFT(UPPER(TRIM(A391)),2)="Y:",LEFT(UPPER(TRIM(A391)),10)="YESTERDAY:"),"Y",IF(OR(LEFT(UPPER(TRIM(A391)),2)="T:",LEFT(UPPER(TRIM(A391)),6)="TODAY:"),"T",IF(OR(LEFT(UPPER(TRIM(A391)),2)="B:",LEFT(UPPER(TRIM(A391)),8)="BLOCKER:",LEFT(UPPER(TRIM(A391)),9)="BLOCKERS:",LEFT(UPPER(TRIM(A391)),8)="BLOCKED:"),"B",""))))</f>
      </c>
      <c r="E391" s="17">
        <f>IF(D391="","",TRIM(MID(A391,FIND(":",A391)+1,500)))</f>
      </c>
    </row>
    <row r="392">
      <c r="B392" s="17">
        <f>IF(A392="","",IF(COUNTIF(Roster[Name],IF(RIGHT(IF(LEFT(TRIM(A392),1)="[",TRIM(MID(TRIM(A392),FIND("]",TRIM(A392)&amp;"]")+1,200)),TRIM(A392)),1)=")",TRIM(LEFT(IF(LEFT(TRIM(A392),1)="[",TRIM(MID(TRIM(A392),FIND("]",TRIM(A392)&amp;"]")+1,200)),TRIM(A392)),FIND("(",IF(LEFT(TRIM(A392),1)="[",TRIM(MID(TRIM(A392),FIND("]",TRIM(A392)&amp;"]")+1,200)),TRIM(A392))&amp;"(")-1)),IF(LEFT(TRIM(A392),1)="[",TRIM(MID(TRIM(A392),FIND("]",TRIM(A392)&amp;"]")+1,200)),TRIM(A392))))&gt;0,IF(RIGHT(IF(LEFT(TRIM(A392),1)="[",TRIM(MID(TRIM(A392),FIND("]",TRIM(A392)&amp;"]")+1,200)),TRIM(A392)),1)=")",TRIM(LEFT(IF(LEFT(TRIM(A392),1)="[",TRIM(MID(TRIM(A392),FIND("]",TRIM(A392)&amp;"]")+1,200)),TRIM(A392)),FIND("(",IF(LEFT(TRIM(A392),1)="[",TRIM(MID(TRIM(A392),FIND("]",TRIM(A392)&amp;"]")+1,200)),TRIM(A392))&amp;"(")-1)),IF(LEFT(TRIM(A392),1)="[",TRIM(MID(TRIM(A392),FIND("]",TRIM(A392)&amp;"]")+1,200)),TRIM(A392))),""))</f>
      </c>
      <c r="C392" s="17">
        <f>IF(B392&lt;&gt;"",B392,C391)</f>
      </c>
      <c r="D392" s="17">
        <f>IF(A392="","",IF(OR(LEFT(UPPER(TRIM(A392)),2)="Y:",LEFT(UPPER(TRIM(A392)),10)="YESTERDAY:"),"Y",IF(OR(LEFT(UPPER(TRIM(A392)),2)="T:",LEFT(UPPER(TRIM(A392)),6)="TODAY:"),"T",IF(OR(LEFT(UPPER(TRIM(A392)),2)="B:",LEFT(UPPER(TRIM(A392)),8)="BLOCKER:",LEFT(UPPER(TRIM(A392)),9)="BLOCKERS:",LEFT(UPPER(TRIM(A392)),8)="BLOCKED:"),"B",""))))</f>
      </c>
      <c r="E392" s="17">
        <f>IF(D392="","",TRIM(MID(A392,FIND(":",A392)+1,500)))</f>
      </c>
    </row>
    <row r="393">
      <c r="B393" s="17">
        <f>IF(A393="","",IF(COUNTIF(Roster[Name],IF(RIGHT(IF(LEFT(TRIM(A393),1)="[",TRIM(MID(TRIM(A393),FIND("]",TRIM(A393)&amp;"]")+1,200)),TRIM(A393)),1)=")",TRIM(LEFT(IF(LEFT(TRIM(A393),1)="[",TRIM(MID(TRIM(A393),FIND("]",TRIM(A393)&amp;"]")+1,200)),TRIM(A393)),FIND("(",IF(LEFT(TRIM(A393),1)="[",TRIM(MID(TRIM(A393),FIND("]",TRIM(A393)&amp;"]")+1,200)),TRIM(A393))&amp;"(")-1)),IF(LEFT(TRIM(A393),1)="[",TRIM(MID(TRIM(A393),FIND("]",TRIM(A393)&amp;"]")+1,200)),TRIM(A393))))&gt;0,IF(RIGHT(IF(LEFT(TRIM(A393),1)="[",TRIM(MID(TRIM(A393),FIND("]",TRIM(A393)&amp;"]")+1,200)),TRIM(A393)),1)=")",TRIM(LEFT(IF(LEFT(TRIM(A393),1)="[",TRIM(MID(TRIM(A393),FIND("]",TRIM(A393)&amp;"]")+1,200)),TRIM(A393)),FIND("(",IF(LEFT(TRIM(A393),1)="[",TRIM(MID(TRIM(A393),FIND("]",TRIM(A393)&amp;"]")+1,200)),TRIM(A393))&amp;"(")-1)),IF(LEFT(TRIM(A393),1)="[",TRIM(MID(TRIM(A393),FIND("]",TRIM(A393)&amp;"]")+1,200)),TRIM(A393))),""))</f>
      </c>
      <c r="C393" s="17">
        <f>IF(B393&lt;&gt;"",B393,C392)</f>
      </c>
      <c r="D393" s="17">
        <f>IF(A393="","",IF(OR(LEFT(UPPER(TRIM(A393)),2)="Y:",LEFT(UPPER(TRIM(A393)),10)="YESTERDAY:"),"Y",IF(OR(LEFT(UPPER(TRIM(A393)),2)="T:",LEFT(UPPER(TRIM(A393)),6)="TODAY:"),"T",IF(OR(LEFT(UPPER(TRIM(A393)),2)="B:",LEFT(UPPER(TRIM(A393)),8)="BLOCKER:",LEFT(UPPER(TRIM(A393)),9)="BLOCKERS:",LEFT(UPPER(TRIM(A393)),8)="BLOCKED:"),"B",""))))</f>
      </c>
      <c r="E393" s="17">
        <f>IF(D393="","",TRIM(MID(A393,FIND(":",A393)+1,500)))</f>
      </c>
    </row>
    <row r="394">
      <c r="B394" s="17">
        <f>IF(A394="","",IF(COUNTIF(Roster[Name],IF(RIGHT(IF(LEFT(TRIM(A394),1)="[",TRIM(MID(TRIM(A394),FIND("]",TRIM(A394)&amp;"]")+1,200)),TRIM(A394)),1)=")",TRIM(LEFT(IF(LEFT(TRIM(A394),1)="[",TRIM(MID(TRIM(A394),FIND("]",TRIM(A394)&amp;"]")+1,200)),TRIM(A394)),FIND("(",IF(LEFT(TRIM(A394),1)="[",TRIM(MID(TRIM(A394),FIND("]",TRIM(A394)&amp;"]")+1,200)),TRIM(A394))&amp;"(")-1)),IF(LEFT(TRIM(A394),1)="[",TRIM(MID(TRIM(A394),FIND("]",TRIM(A394)&amp;"]")+1,200)),TRIM(A394))))&gt;0,IF(RIGHT(IF(LEFT(TRIM(A394),1)="[",TRIM(MID(TRIM(A394),FIND("]",TRIM(A394)&amp;"]")+1,200)),TRIM(A394)),1)=")",TRIM(LEFT(IF(LEFT(TRIM(A394),1)="[",TRIM(MID(TRIM(A394),FIND("]",TRIM(A394)&amp;"]")+1,200)),TRIM(A394)),FIND("(",IF(LEFT(TRIM(A394),1)="[",TRIM(MID(TRIM(A394),FIND("]",TRIM(A394)&amp;"]")+1,200)),TRIM(A394))&amp;"(")-1)),IF(LEFT(TRIM(A394),1)="[",TRIM(MID(TRIM(A394),FIND("]",TRIM(A394)&amp;"]")+1,200)),TRIM(A394))),""))</f>
      </c>
      <c r="C394" s="17">
        <f>IF(B394&lt;&gt;"",B394,C393)</f>
      </c>
      <c r="D394" s="17">
        <f>IF(A394="","",IF(OR(LEFT(UPPER(TRIM(A394)),2)="Y:",LEFT(UPPER(TRIM(A394)),10)="YESTERDAY:"),"Y",IF(OR(LEFT(UPPER(TRIM(A394)),2)="T:",LEFT(UPPER(TRIM(A394)),6)="TODAY:"),"T",IF(OR(LEFT(UPPER(TRIM(A394)),2)="B:",LEFT(UPPER(TRIM(A394)),8)="BLOCKER:",LEFT(UPPER(TRIM(A394)),9)="BLOCKERS:",LEFT(UPPER(TRIM(A394)),8)="BLOCKED:"),"B",""))))</f>
      </c>
      <c r="E394" s="17">
        <f>IF(D394="","",TRIM(MID(A394,FIND(":",A394)+1,500)))</f>
      </c>
    </row>
    <row r="395">
      <c r="B395" s="17">
        <f>IF(A395="","",IF(COUNTIF(Roster[Name],IF(RIGHT(IF(LEFT(TRIM(A395),1)="[",TRIM(MID(TRIM(A395),FIND("]",TRIM(A395)&amp;"]")+1,200)),TRIM(A395)),1)=")",TRIM(LEFT(IF(LEFT(TRIM(A395),1)="[",TRIM(MID(TRIM(A395),FIND("]",TRIM(A395)&amp;"]")+1,200)),TRIM(A395)),FIND("(",IF(LEFT(TRIM(A395),1)="[",TRIM(MID(TRIM(A395),FIND("]",TRIM(A395)&amp;"]")+1,200)),TRIM(A395))&amp;"(")-1)),IF(LEFT(TRIM(A395),1)="[",TRIM(MID(TRIM(A395),FIND("]",TRIM(A395)&amp;"]")+1,200)),TRIM(A395))))&gt;0,IF(RIGHT(IF(LEFT(TRIM(A395),1)="[",TRIM(MID(TRIM(A395),FIND("]",TRIM(A395)&amp;"]")+1,200)),TRIM(A395)),1)=")",TRIM(LEFT(IF(LEFT(TRIM(A395),1)="[",TRIM(MID(TRIM(A395),FIND("]",TRIM(A395)&amp;"]")+1,200)),TRIM(A395)),FIND("(",IF(LEFT(TRIM(A395),1)="[",TRIM(MID(TRIM(A395),FIND("]",TRIM(A395)&amp;"]")+1,200)),TRIM(A395))&amp;"(")-1)),IF(LEFT(TRIM(A395),1)="[",TRIM(MID(TRIM(A395),FIND("]",TRIM(A395)&amp;"]")+1,200)),TRIM(A395))),""))</f>
      </c>
      <c r="C395" s="17">
        <f>IF(B395&lt;&gt;"",B395,C394)</f>
      </c>
      <c r="D395" s="17">
        <f>IF(A395="","",IF(OR(LEFT(UPPER(TRIM(A395)),2)="Y:",LEFT(UPPER(TRIM(A395)),10)="YESTERDAY:"),"Y",IF(OR(LEFT(UPPER(TRIM(A395)),2)="T:",LEFT(UPPER(TRIM(A395)),6)="TODAY:"),"T",IF(OR(LEFT(UPPER(TRIM(A395)),2)="B:",LEFT(UPPER(TRIM(A395)),8)="BLOCKER:",LEFT(UPPER(TRIM(A395)),9)="BLOCKERS:",LEFT(UPPER(TRIM(A395)),8)="BLOCKED:"),"B",""))))</f>
      </c>
      <c r="E395" s="17">
        <f>IF(D395="","",TRIM(MID(A395,FIND(":",A395)+1,500)))</f>
      </c>
    </row>
    <row r="396">
      <c r="B396" s="17">
        <f>IF(A396="","",IF(COUNTIF(Roster[Name],IF(RIGHT(IF(LEFT(TRIM(A396),1)="[",TRIM(MID(TRIM(A396),FIND("]",TRIM(A396)&amp;"]")+1,200)),TRIM(A396)),1)=")",TRIM(LEFT(IF(LEFT(TRIM(A396),1)="[",TRIM(MID(TRIM(A396),FIND("]",TRIM(A396)&amp;"]")+1,200)),TRIM(A396)),FIND("(",IF(LEFT(TRIM(A396),1)="[",TRIM(MID(TRIM(A396),FIND("]",TRIM(A396)&amp;"]")+1,200)),TRIM(A396))&amp;"(")-1)),IF(LEFT(TRIM(A396),1)="[",TRIM(MID(TRIM(A396),FIND("]",TRIM(A396)&amp;"]")+1,200)),TRIM(A396))))&gt;0,IF(RIGHT(IF(LEFT(TRIM(A396),1)="[",TRIM(MID(TRIM(A396),FIND("]",TRIM(A396)&amp;"]")+1,200)),TRIM(A396)),1)=")",TRIM(LEFT(IF(LEFT(TRIM(A396),1)="[",TRIM(MID(TRIM(A396),FIND("]",TRIM(A396)&amp;"]")+1,200)),TRIM(A396)),FIND("(",IF(LEFT(TRIM(A396),1)="[",TRIM(MID(TRIM(A396),FIND("]",TRIM(A396)&amp;"]")+1,200)),TRIM(A396))&amp;"(")-1)),IF(LEFT(TRIM(A396),1)="[",TRIM(MID(TRIM(A396),FIND("]",TRIM(A396)&amp;"]")+1,200)),TRIM(A396))),""))</f>
      </c>
      <c r="C396" s="17">
        <f>IF(B396&lt;&gt;"",B396,C395)</f>
      </c>
      <c r="D396" s="17">
        <f>IF(A396="","",IF(OR(LEFT(UPPER(TRIM(A396)),2)="Y:",LEFT(UPPER(TRIM(A396)),10)="YESTERDAY:"),"Y",IF(OR(LEFT(UPPER(TRIM(A396)),2)="T:",LEFT(UPPER(TRIM(A396)),6)="TODAY:"),"T",IF(OR(LEFT(UPPER(TRIM(A396)),2)="B:",LEFT(UPPER(TRIM(A396)),8)="BLOCKER:",LEFT(UPPER(TRIM(A396)),9)="BLOCKERS:",LEFT(UPPER(TRIM(A396)),8)="BLOCKED:"),"B",""))))</f>
      </c>
      <c r="E396" s="17">
        <f>IF(D396="","",TRIM(MID(A396,FIND(":",A396)+1,500)))</f>
      </c>
    </row>
    <row r="397">
      <c r="B397" s="17">
        <f>IF(A397="","",IF(COUNTIF(Roster[Name],IF(RIGHT(IF(LEFT(TRIM(A397),1)="[",TRIM(MID(TRIM(A397),FIND("]",TRIM(A397)&amp;"]")+1,200)),TRIM(A397)),1)=")",TRIM(LEFT(IF(LEFT(TRIM(A397),1)="[",TRIM(MID(TRIM(A397),FIND("]",TRIM(A397)&amp;"]")+1,200)),TRIM(A397)),FIND("(",IF(LEFT(TRIM(A397),1)="[",TRIM(MID(TRIM(A397),FIND("]",TRIM(A397)&amp;"]")+1,200)),TRIM(A397))&amp;"(")-1)),IF(LEFT(TRIM(A397),1)="[",TRIM(MID(TRIM(A397),FIND("]",TRIM(A397)&amp;"]")+1,200)),TRIM(A397))))&gt;0,IF(RIGHT(IF(LEFT(TRIM(A397),1)="[",TRIM(MID(TRIM(A397),FIND("]",TRIM(A397)&amp;"]")+1,200)),TRIM(A397)),1)=")",TRIM(LEFT(IF(LEFT(TRIM(A397),1)="[",TRIM(MID(TRIM(A397),FIND("]",TRIM(A397)&amp;"]")+1,200)),TRIM(A397)),FIND("(",IF(LEFT(TRIM(A397),1)="[",TRIM(MID(TRIM(A397),FIND("]",TRIM(A397)&amp;"]")+1,200)),TRIM(A397))&amp;"(")-1)),IF(LEFT(TRIM(A397),1)="[",TRIM(MID(TRIM(A397),FIND("]",TRIM(A397)&amp;"]")+1,200)),TRIM(A397))),""))</f>
      </c>
      <c r="C397" s="17">
        <f>IF(B397&lt;&gt;"",B397,C396)</f>
      </c>
      <c r="D397" s="17">
        <f>IF(A397="","",IF(OR(LEFT(UPPER(TRIM(A397)),2)="Y:",LEFT(UPPER(TRIM(A397)),10)="YESTERDAY:"),"Y",IF(OR(LEFT(UPPER(TRIM(A397)),2)="T:",LEFT(UPPER(TRIM(A397)),6)="TODAY:"),"T",IF(OR(LEFT(UPPER(TRIM(A397)),2)="B:",LEFT(UPPER(TRIM(A397)),8)="BLOCKER:",LEFT(UPPER(TRIM(A397)),9)="BLOCKERS:",LEFT(UPPER(TRIM(A397)),8)="BLOCKED:"),"B",""))))</f>
      </c>
      <c r="E397" s="17">
        <f>IF(D397="","",TRIM(MID(A397,FIND(":",A397)+1,500)))</f>
      </c>
    </row>
    <row r="398">
      <c r="B398" s="17">
        <f>IF(A398="","",IF(COUNTIF(Roster[Name],IF(RIGHT(IF(LEFT(TRIM(A398),1)="[",TRIM(MID(TRIM(A398),FIND("]",TRIM(A398)&amp;"]")+1,200)),TRIM(A398)),1)=")",TRIM(LEFT(IF(LEFT(TRIM(A398),1)="[",TRIM(MID(TRIM(A398),FIND("]",TRIM(A398)&amp;"]")+1,200)),TRIM(A398)),FIND("(",IF(LEFT(TRIM(A398),1)="[",TRIM(MID(TRIM(A398),FIND("]",TRIM(A398)&amp;"]")+1,200)),TRIM(A398))&amp;"(")-1)),IF(LEFT(TRIM(A398),1)="[",TRIM(MID(TRIM(A398),FIND("]",TRIM(A398)&amp;"]")+1,200)),TRIM(A398))))&gt;0,IF(RIGHT(IF(LEFT(TRIM(A398),1)="[",TRIM(MID(TRIM(A398),FIND("]",TRIM(A398)&amp;"]")+1,200)),TRIM(A398)),1)=")",TRIM(LEFT(IF(LEFT(TRIM(A398),1)="[",TRIM(MID(TRIM(A398),FIND("]",TRIM(A398)&amp;"]")+1,200)),TRIM(A398)),FIND("(",IF(LEFT(TRIM(A398),1)="[",TRIM(MID(TRIM(A398),FIND("]",TRIM(A398)&amp;"]")+1,200)),TRIM(A398))&amp;"(")-1)),IF(LEFT(TRIM(A398),1)="[",TRIM(MID(TRIM(A398),FIND("]",TRIM(A398)&amp;"]")+1,200)),TRIM(A398))),""))</f>
      </c>
      <c r="C398" s="17">
        <f>IF(B398&lt;&gt;"",B398,C397)</f>
      </c>
      <c r="D398" s="17">
        <f>IF(A398="","",IF(OR(LEFT(UPPER(TRIM(A398)),2)="Y:",LEFT(UPPER(TRIM(A398)),10)="YESTERDAY:"),"Y",IF(OR(LEFT(UPPER(TRIM(A398)),2)="T:",LEFT(UPPER(TRIM(A398)),6)="TODAY:"),"T",IF(OR(LEFT(UPPER(TRIM(A398)),2)="B:",LEFT(UPPER(TRIM(A398)),8)="BLOCKER:",LEFT(UPPER(TRIM(A398)),9)="BLOCKERS:",LEFT(UPPER(TRIM(A398)),8)="BLOCKED:"),"B",""))))</f>
      </c>
      <c r="E398" s="17">
        <f>IF(D398="","",TRIM(MID(A398,FIND(":",A398)+1,500)))</f>
      </c>
    </row>
    <row r="399">
      <c r="B399" s="17">
        <f>IF(A399="","",IF(COUNTIF(Roster[Name],IF(RIGHT(IF(LEFT(TRIM(A399),1)="[",TRIM(MID(TRIM(A399),FIND("]",TRIM(A399)&amp;"]")+1,200)),TRIM(A399)),1)=")",TRIM(LEFT(IF(LEFT(TRIM(A399),1)="[",TRIM(MID(TRIM(A399),FIND("]",TRIM(A399)&amp;"]")+1,200)),TRIM(A399)),FIND("(",IF(LEFT(TRIM(A399),1)="[",TRIM(MID(TRIM(A399),FIND("]",TRIM(A399)&amp;"]")+1,200)),TRIM(A399))&amp;"(")-1)),IF(LEFT(TRIM(A399),1)="[",TRIM(MID(TRIM(A399),FIND("]",TRIM(A399)&amp;"]")+1,200)),TRIM(A399))))&gt;0,IF(RIGHT(IF(LEFT(TRIM(A399),1)="[",TRIM(MID(TRIM(A399),FIND("]",TRIM(A399)&amp;"]")+1,200)),TRIM(A399)),1)=")",TRIM(LEFT(IF(LEFT(TRIM(A399),1)="[",TRIM(MID(TRIM(A399),FIND("]",TRIM(A399)&amp;"]")+1,200)),TRIM(A399)),FIND("(",IF(LEFT(TRIM(A399),1)="[",TRIM(MID(TRIM(A399),FIND("]",TRIM(A399)&amp;"]")+1,200)),TRIM(A399))&amp;"(")-1)),IF(LEFT(TRIM(A399),1)="[",TRIM(MID(TRIM(A399),FIND("]",TRIM(A399)&amp;"]")+1,200)),TRIM(A399))),""))</f>
      </c>
      <c r="C399" s="17">
        <f>IF(B399&lt;&gt;"",B399,C398)</f>
      </c>
      <c r="D399" s="17">
        <f>IF(A399="","",IF(OR(LEFT(UPPER(TRIM(A399)),2)="Y:",LEFT(UPPER(TRIM(A399)),10)="YESTERDAY:"),"Y",IF(OR(LEFT(UPPER(TRIM(A399)),2)="T:",LEFT(UPPER(TRIM(A399)),6)="TODAY:"),"T",IF(OR(LEFT(UPPER(TRIM(A399)),2)="B:",LEFT(UPPER(TRIM(A399)),8)="BLOCKER:",LEFT(UPPER(TRIM(A399)),9)="BLOCKERS:",LEFT(UPPER(TRIM(A399)),8)="BLOCKED:"),"B",""))))</f>
      </c>
      <c r="E399" s="17">
        <f>IF(D399="","",TRIM(MID(A399,FIND(":",A399)+1,500)))</f>
      </c>
    </row>
    <row r="400">
      <c r="B400" s="17">
        <f>IF(A400="","",IF(COUNTIF(Roster[Name],IF(RIGHT(IF(LEFT(TRIM(A400),1)="[",TRIM(MID(TRIM(A400),FIND("]",TRIM(A400)&amp;"]")+1,200)),TRIM(A400)),1)=")",TRIM(LEFT(IF(LEFT(TRIM(A400),1)="[",TRIM(MID(TRIM(A400),FIND("]",TRIM(A400)&amp;"]")+1,200)),TRIM(A400)),FIND("(",IF(LEFT(TRIM(A400),1)="[",TRIM(MID(TRIM(A400),FIND("]",TRIM(A400)&amp;"]")+1,200)),TRIM(A400))&amp;"(")-1)),IF(LEFT(TRIM(A400),1)="[",TRIM(MID(TRIM(A400),FIND("]",TRIM(A400)&amp;"]")+1,200)),TRIM(A400))))&gt;0,IF(RIGHT(IF(LEFT(TRIM(A400),1)="[",TRIM(MID(TRIM(A400),FIND("]",TRIM(A400)&amp;"]")+1,200)),TRIM(A400)),1)=")",TRIM(LEFT(IF(LEFT(TRIM(A400),1)="[",TRIM(MID(TRIM(A400),FIND("]",TRIM(A400)&amp;"]")+1,200)),TRIM(A400)),FIND("(",IF(LEFT(TRIM(A400),1)="[",TRIM(MID(TRIM(A400),FIND("]",TRIM(A400)&amp;"]")+1,200)),TRIM(A400))&amp;"(")-1)),IF(LEFT(TRIM(A400),1)="[",TRIM(MID(TRIM(A400),FIND("]",TRIM(A400)&amp;"]")+1,200)),TRIM(A400))),""))</f>
      </c>
      <c r="C400" s="17">
        <f>IF(B400&lt;&gt;"",B400,C399)</f>
      </c>
      <c r="D400" s="17">
        <f>IF(A400="","",IF(OR(LEFT(UPPER(TRIM(A400)),2)="Y:",LEFT(UPPER(TRIM(A400)),10)="YESTERDAY:"),"Y",IF(OR(LEFT(UPPER(TRIM(A400)),2)="T:",LEFT(UPPER(TRIM(A400)),6)="TODAY:"),"T",IF(OR(LEFT(UPPER(TRIM(A400)),2)="B:",LEFT(UPPER(TRIM(A400)),8)="BLOCKER:",LEFT(UPPER(TRIM(A400)),9)="BLOCKERS:",LEFT(UPPER(TRIM(A400)),8)="BLOCKED:"),"B",""))))</f>
      </c>
      <c r="E400" s="17">
        <f>IF(D400="","",TRIM(MID(A400,FIND(":",A400)+1,500)))</f>
      </c>
    </row>
    <row r="401">
      <c r="B401" s="17">
        <f>IF(A401="","",IF(COUNTIF(Roster[Name],IF(RIGHT(IF(LEFT(TRIM(A401),1)="[",TRIM(MID(TRIM(A401),FIND("]",TRIM(A401)&amp;"]")+1,200)),TRIM(A401)),1)=")",TRIM(LEFT(IF(LEFT(TRIM(A401),1)="[",TRIM(MID(TRIM(A401),FIND("]",TRIM(A401)&amp;"]")+1,200)),TRIM(A401)),FIND("(",IF(LEFT(TRIM(A401),1)="[",TRIM(MID(TRIM(A401),FIND("]",TRIM(A401)&amp;"]")+1,200)),TRIM(A401))&amp;"(")-1)),IF(LEFT(TRIM(A401),1)="[",TRIM(MID(TRIM(A401),FIND("]",TRIM(A401)&amp;"]")+1,200)),TRIM(A401))))&gt;0,IF(RIGHT(IF(LEFT(TRIM(A401),1)="[",TRIM(MID(TRIM(A401),FIND("]",TRIM(A401)&amp;"]")+1,200)),TRIM(A401)),1)=")",TRIM(LEFT(IF(LEFT(TRIM(A401),1)="[",TRIM(MID(TRIM(A401),FIND("]",TRIM(A401)&amp;"]")+1,200)),TRIM(A401)),FIND("(",IF(LEFT(TRIM(A401),1)="[",TRIM(MID(TRIM(A401),FIND("]",TRIM(A401)&amp;"]")+1,200)),TRIM(A401))&amp;"(")-1)),IF(LEFT(TRIM(A401),1)="[",TRIM(MID(TRIM(A401),FIND("]",TRIM(A401)&amp;"]")+1,200)),TRIM(A401))),""))</f>
      </c>
      <c r="C401" s="17">
        <f>IF(B401&lt;&gt;"",B401,C400)</f>
      </c>
      <c r="D401" s="17">
        <f>IF(A401="","",IF(OR(LEFT(UPPER(TRIM(A401)),2)="Y:",LEFT(UPPER(TRIM(A401)),10)="YESTERDAY:"),"Y",IF(OR(LEFT(UPPER(TRIM(A401)),2)="T:",LEFT(UPPER(TRIM(A401)),6)="TODAY:"),"T",IF(OR(LEFT(UPPER(TRIM(A401)),2)="B:",LEFT(UPPER(TRIM(A401)),8)="BLOCKER:",LEFT(UPPER(TRIM(A401)),9)="BLOCKERS:",LEFT(UPPER(TRIM(A401)),8)="BLOCKED:"),"B",""))))</f>
      </c>
      <c r="E401" s="17">
        <f>IF(D401="","",TRIM(MID(A401,FIND(":",A401)+1,500)))</f>
      </c>
    </row>
    <row r="402">
      <c r="B402" s="17">
        <f>IF(A402="","",IF(COUNTIF(Roster[Name],IF(RIGHT(IF(LEFT(TRIM(A402),1)="[",TRIM(MID(TRIM(A402),FIND("]",TRIM(A402)&amp;"]")+1,200)),TRIM(A402)),1)=")",TRIM(LEFT(IF(LEFT(TRIM(A402),1)="[",TRIM(MID(TRIM(A402),FIND("]",TRIM(A402)&amp;"]")+1,200)),TRIM(A402)),FIND("(",IF(LEFT(TRIM(A402),1)="[",TRIM(MID(TRIM(A402),FIND("]",TRIM(A402)&amp;"]")+1,200)),TRIM(A402))&amp;"(")-1)),IF(LEFT(TRIM(A402),1)="[",TRIM(MID(TRIM(A402),FIND("]",TRIM(A402)&amp;"]")+1,200)),TRIM(A402))))&gt;0,IF(RIGHT(IF(LEFT(TRIM(A402),1)="[",TRIM(MID(TRIM(A402),FIND("]",TRIM(A402)&amp;"]")+1,200)),TRIM(A402)),1)=")",TRIM(LEFT(IF(LEFT(TRIM(A402),1)="[",TRIM(MID(TRIM(A402),FIND("]",TRIM(A402)&amp;"]")+1,200)),TRIM(A402)),FIND("(",IF(LEFT(TRIM(A402),1)="[",TRIM(MID(TRIM(A402),FIND("]",TRIM(A402)&amp;"]")+1,200)),TRIM(A402))&amp;"(")-1)),IF(LEFT(TRIM(A402),1)="[",TRIM(MID(TRIM(A402),FIND("]",TRIM(A402)&amp;"]")+1,200)),TRIM(A402))),""))</f>
      </c>
      <c r="C402" s="17">
        <f>IF(B402&lt;&gt;"",B402,C401)</f>
      </c>
      <c r="D402" s="17">
        <f>IF(A402="","",IF(OR(LEFT(UPPER(TRIM(A402)),2)="Y:",LEFT(UPPER(TRIM(A402)),10)="YESTERDAY:"),"Y",IF(OR(LEFT(UPPER(TRIM(A402)),2)="T:",LEFT(UPPER(TRIM(A402)),6)="TODAY:"),"T",IF(OR(LEFT(UPPER(TRIM(A402)),2)="B:",LEFT(UPPER(TRIM(A402)),8)="BLOCKER:",LEFT(UPPER(TRIM(A402)),9)="BLOCKERS:",LEFT(UPPER(TRIM(A402)),8)="BLOCKED:"),"B",""))))</f>
      </c>
      <c r="E402" s="17">
        <f>IF(D402="","",TRIM(MID(A402,FIND(":",A402)+1,500)))</f>
      </c>
    </row>
    <row r="403">
      <c r="B403" s="17">
        <f>IF(A403="","",IF(COUNTIF(Roster[Name],IF(RIGHT(IF(LEFT(TRIM(A403),1)="[",TRIM(MID(TRIM(A403),FIND("]",TRIM(A403)&amp;"]")+1,200)),TRIM(A403)),1)=")",TRIM(LEFT(IF(LEFT(TRIM(A403),1)="[",TRIM(MID(TRIM(A403),FIND("]",TRIM(A403)&amp;"]")+1,200)),TRIM(A403)),FIND("(",IF(LEFT(TRIM(A403),1)="[",TRIM(MID(TRIM(A403),FIND("]",TRIM(A403)&amp;"]")+1,200)),TRIM(A403))&amp;"(")-1)),IF(LEFT(TRIM(A403),1)="[",TRIM(MID(TRIM(A403),FIND("]",TRIM(A403)&amp;"]")+1,200)),TRIM(A403))))&gt;0,IF(RIGHT(IF(LEFT(TRIM(A403),1)="[",TRIM(MID(TRIM(A403),FIND("]",TRIM(A403)&amp;"]")+1,200)),TRIM(A403)),1)=")",TRIM(LEFT(IF(LEFT(TRIM(A403),1)="[",TRIM(MID(TRIM(A403),FIND("]",TRIM(A403)&amp;"]")+1,200)),TRIM(A403)),FIND("(",IF(LEFT(TRIM(A403),1)="[",TRIM(MID(TRIM(A403),FIND("]",TRIM(A403)&amp;"]")+1,200)),TRIM(A403))&amp;"(")-1)),IF(LEFT(TRIM(A403),1)="[",TRIM(MID(TRIM(A403),FIND("]",TRIM(A403)&amp;"]")+1,200)),TRIM(A403))),""))</f>
      </c>
      <c r="C403" s="17">
        <f>IF(B403&lt;&gt;"",B403,C402)</f>
      </c>
      <c r="D403" s="17">
        <f>IF(A403="","",IF(OR(LEFT(UPPER(TRIM(A403)),2)="Y:",LEFT(UPPER(TRIM(A403)),10)="YESTERDAY:"),"Y",IF(OR(LEFT(UPPER(TRIM(A403)),2)="T:",LEFT(UPPER(TRIM(A403)),6)="TODAY:"),"T",IF(OR(LEFT(UPPER(TRIM(A403)),2)="B:",LEFT(UPPER(TRIM(A403)),8)="BLOCKER:",LEFT(UPPER(TRIM(A403)),9)="BLOCKERS:",LEFT(UPPER(TRIM(A403)),8)="BLOCKED:"),"B",""))))</f>
      </c>
      <c r="E403" s="17">
        <f>IF(D403="","",TRIM(MID(A403,FIND(":",A403)+1,500)))</f>
      </c>
    </row>
    <row r="404">
      <c r="B404" s="17">
        <f>IF(A404="","",IF(COUNTIF(Roster[Name],IF(RIGHT(IF(LEFT(TRIM(A404),1)="[",TRIM(MID(TRIM(A404),FIND("]",TRIM(A404)&amp;"]")+1,200)),TRIM(A404)),1)=")",TRIM(LEFT(IF(LEFT(TRIM(A404),1)="[",TRIM(MID(TRIM(A404),FIND("]",TRIM(A404)&amp;"]")+1,200)),TRIM(A404)),FIND("(",IF(LEFT(TRIM(A404),1)="[",TRIM(MID(TRIM(A404),FIND("]",TRIM(A404)&amp;"]")+1,200)),TRIM(A404))&amp;"(")-1)),IF(LEFT(TRIM(A404),1)="[",TRIM(MID(TRIM(A404),FIND("]",TRIM(A404)&amp;"]")+1,200)),TRIM(A404))))&gt;0,IF(RIGHT(IF(LEFT(TRIM(A404),1)="[",TRIM(MID(TRIM(A404),FIND("]",TRIM(A404)&amp;"]")+1,200)),TRIM(A404)),1)=")",TRIM(LEFT(IF(LEFT(TRIM(A404),1)="[",TRIM(MID(TRIM(A404),FIND("]",TRIM(A404)&amp;"]")+1,200)),TRIM(A404)),FIND("(",IF(LEFT(TRIM(A404),1)="[",TRIM(MID(TRIM(A404),FIND("]",TRIM(A404)&amp;"]")+1,200)),TRIM(A404))&amp;"(")-1)),IF(LEFT(TRIM(A404),1)="[",TRIM(MID(TRIM(A404),FIND("]",TRIM(A404)&amp;"]")+1,200)),TRIM(A404))),""))</f>
      </c>
      <c r="C404" s="17">
        <f>IF(B404&lt;&gt;"",B404,C403)</f>
      </c>
      <c r="D404" s="17">
        <f>IF(A404="","",IF(OR(LEFT(UPPER(TRIM(A404)),2)="Y:",LEFT(UPPER(TRIM(A404)),10)="YESTERDAY:"),"Y",IF(OR(LEFT(UPPER(TRIM(A404)),2)="T:",LEFT(UPPER(TRIM(A404)),6)="TODAY:"),"T",IF(OR(LEFT(UPPER(TRIM(A404)),2)="B:",LEFT(UPPER(TRIM(A404)),8)="BLOCKER:",LEFT(UPPER(TRIM(A404)),9)="BLOCKERS:",LEFT(UPPER(TRIM(A404)),8)="BLOCKED:"),"B",""))))</f>
      </c>
      <c r="E404" s="17">
        <f>IF(D404="","",TRIM(MID(A404,FIND(":",A404)+1,500)))</f>
      </c>
    </row>
    <row r="405">
      <c r="B405" s="17">
        <f>IF(A405="","",IF(COUNTIF(Roster[Name],IF(RIGHT(IF(LEFT(TRIM(A405),1)="[",TRIM(MID(TRIM(A405),FIND("]",TRIM(A405)&amp;"]")+1,200)),TRIM(A405)),1)=")",TRIM(LEFT(IF(LEFT(TRIM(A405),1)="[",TRIM(MID(TRIM(A405),FIND("]",TRIM(A405)&amp;"]")+1,200)),TRIM(A405)),FIND("(",IF(LEFT(TRIM(A405),1)="[",TRIM(MID(TRIM(A405),FIND("]",TRIM(A405)&amp;"]")+1,200)),TRIM(A405))&amp;"(")-1)),IF(LEFT(TRIM(A405),1)="[",TRIM(MID(TRIM(A405),FIND("]",TRIM(A405)&amp;"]")+1,200)),TRIM(A405))))&gt;0,IF(RIGHT(IF(LEFT(TRIM(A405),1)="[",TRIM(MID(TRIM(A405),FIND("]",TRIM(A405)&amp;"]")+1,200)),TRIM(A405)),1)=")",TRIM(LEFT(IF(LEFT(TRIM(A405),1)="[",TRIM(MID(TRIM(A405),FIND("]",TRIM(A405)&amp;"]")+1,200)),TRIM(A405)),FIND("(",IF(LEFT(TRIM(A405),1)="[",TRIM(MID(TRIM(A405),FIND("]",TRIM(A405)&amp;"]")+1,200)),TRIM(A405))&amp;"(")-1)),IF(LEFT(TRIM(A405),1)="[",TRIM(MID(TRIM(A405),FIND("]",TRIM(A405)&amp;"]")+1,200)),TRIM(A405))),""))</f>
      </c>
      <c r="C405" s="17">
        <f>IF(B405&lt;&gt;"",B405,C404)</f>
      </c>
      <c r="D405" s="17">
        <f>IF(A405="","",IF(OR(LEFT(UPPER(TRIM(A405)),2)="Y:",LEFT(UPPER(TRIM(A405)),10)="YESTERDAY:"),"Y",IF(OR(LEFT(UPPER(TRIM(A405)),2)="T:",LEFT(UPPER(TRIM(A405)),6)="TODAY:"),"T",IF(OR(LEFT(UPPER(TRIM(A405)),2)="B:",LEFT(UPPER(TRIM(A405)),8)="BLOCKER:",LEFT(UPPER(TRIM(A405)),9)="BLOCKERS:",LEFT(UPPER(TRIM(A405)),8)="BLOCKED:"),"B",""))))</f>
      </c>
      <c r="E405" s="17">
        <f>IF(D405="","",TRIM(MID(A405,FIND(":",A405)+1,500)))</f>
      </c>
    </row>
    <row r="406">
      <c r="B406" s="17">
        <f>IF(A406="","",IF(COUNTIF(Roster[Name],IF(RIGHT(IF(LEFT(TRIM(A406),1)="[",TRIM(MID(TRIM(A406),FIND("]",TRIM(A406)&amp;"]")+1,200)),TRIM(A406)),1)=")",TRIM(LEFT(IF(LEFT(TRIM(A406),1)="[",TRIM(MID(TRIM(A406),FIND("]",TRIM(A406)&amp;"]")+1,200)),TRIM(A406)),FIND("(",IF(LEFT(TRIM(A406),1)="[",TRIM(MID(TRIM(A406),FIND("]",TRIM(A406)&amp;"]")+1,200)),TRIM(A406))&amp;"(")-1)),IF(LEFT(TRIM(A406),1)="[",TRIM(MID(TRIM(A406),FIND("]",TRIM(A406)&amp;"]")+1,200)),TRIM(A406))))&gt;0,IF(RIGHT(IF(LEFT(TRIM(A406),1)="[",TRIM(MID(TRIM(A406),FIND("]",TRIM(A406)&amp;"]")+1,200)),TRIM(A406)),1)=")",TRIM(LEFT(IF(LEFT(TRIM(A406),1)="[",TRIM(MID(TRIM(A406),FIND("]",TRIM(A406)&amp;"]")+1,200)),TRIM(A406)),FIND("(",IF(LEFT(TRIM(A406),1)="[",TRIM(MID(TRIM(A406),FIND("]",TRIM(A406)&amp;"]")+1,200)),TRIM(A406))&amp;"(")-1)),IF(LEFT(TRIM(A406),1)="[",TRIM(MID(TRIM(A406),FIND("]",TRIM(A406)&amp;"]")+1,200)),TRIM(A406))),""))</f>
      </c>
      <c r="C406" s="17">
        <f>IF(B406&lt;&gt;"",B406,C405)</f>
      </c>
      <c r="D406" s="17">
        <f>IF(A406="","",IF(OR(LEFT(UPPER(TRIM(A406)),2)="Y:",LEFT(UPPER(TRIM(A406)),10)="YESTERDAY:"),"Y",IF(OR(LEFT(UPPER(TRIM(A406)),2)="T:",LEFT(UPPER(TRIM(A406)),6)="TODAY:"),"T",IF(OR(LEFT(UPPER(TRIM(A406)),2)="B:",LEFT(UPPER(TRIM(A406)),8)="BLOCKER:",LEFT(UPPER(TRIM(A406)),9)="BLOCKERS:",LEFT(UPPER(TRIM(A406)),8)="BLOCKED:"),"B",""))))</f>
      </c>
      <c r="E406" s="17">
        <f>IF(D406="","",TRIM(MID(A406,FIND(":",A406)+1,500)))</f>
      </c>
    </row>
    <row r="407">
      <c r="B407" s="17">
        <f>IF(A407="","",IF(COUNTIF(Roster[Name],IF(RIGHT(IF(LEFT(TRIM(A407),1)="[",TRIM(MID(TRIM(A407),FIND("]",TRIM(A407)&amp;"]")+1,200)),TRIM(A407)),1)=")",TRIM(LEFT(IF(LEFT(TRIM(A407),1)="[",TRIM(MID(TRIM(A407),FIND("]",TRIM(A407)&amp;"]")+1,200)),TRIM(A407)),FIND("(",IF(LEFT(TRIM(A407),1)="[",TRIM(MID(TRIM(A407),FIND("]",TRIM(A407)&amp;"]")+1,200)),TRIM(A407))&amp;"(")-1)),IF(LEFT(TRIM(A407),1)="[",TRIM(MID(TRIM(A407),FIND("]",TRIM(A407)&amp;"]")+1,200)),TRIM(A407))))&gt;0,IF(RIGHT(IF(LEFT(TRIM(A407),1)="[",TRIM(MID(TRIM(A407),FIND("]",TRIM(A407)&amp;"]")+1,200)),TRIM(A407)),1)=")",TRIM(LEFT(IF(LEFT(TRIM(A407),1)="[",TRIM(MID(TRIM(A407),FIND("]",TRIM(A407)&amp;"]")+1,200)),TRIM(A407)),FIND("(",IF(LEFT(TRIM(A407),1)="[",TRIM(MID(TRIM(A407),FIND("]",TRIM(A407)&amp;"]")+1,200)),TRIM(A407))&amp;"(")-1)),IF(LEFT(TRIM(A407),1)="[",TRIM(MID(TRIM(A407),FIND("]",TRIM(A407)&amp;"]")+1,200)),TRIM(A407))),""))</f>
      </c>
      <c r="C407" s="17">
        <f>IF(B407&lt;&gt;"",B407,C406)</f>
      </c>
      <c r="D407" s="17">
        <f>IF(A407="","",IF(OR(LEFT(UPPER(TRIM(A407)),2)="Y:",LEFT(UPPER(TRIM(A407)),10)="YESTERDAY:"),"Y",IF(OR(LEFT(UPPER(TRIM(A407)),2)="T:",LEFT(UPPER(TRIM(A407)),6)="TODAY:"),"T",IF(OR(LEFT(UPPER(TRIM(A407)),2)="B:",LEFT(UPPER(TRIM(A407)),8)="BLOCKER:",LEFT(UPPER(TRIM(A407)),9)="BLOCKERS:",LEFT(UPPER(TRIM(A407)),8)="BLOCKED:"),"B",""))))</f>
      </c>
      <c r="E407" s="17">
        <f>IF(D407="","",TRIM(MID(A407,FIND(":",A407)+1,500)))</f>
      </c>
    </row>
    <row r="408">
      <c r="B408" s="17">
        <f>IF(A408="","",IF(COUNTIF(Roster[Name],IF(RIGHT(IF(LEFT(TRIM(A408),1)="[",TRIM(MID(TRIM(A408),FIND("]",TRIM(A408)&amp;"]")+1,200)),TRIM(A408)),1)=")",TRIM(LEFT(IF(LEFT(TRIM(A408),1)="[",TRIM(MID(TRIM(A408),FIND("]",TRIM(A408)&amp;"]")+1,200)),TRIM(A408)),FIND("(",IF(LEFT(TRIM(A408),1)="[",TRIM(MID(TRIM(A408),FIND("]",TRIM(A408)&amp;"]")+1,200)),TRIM(A408))&amp;"(")-1)),IF(LEFT(TRIM(A408),1)="[",TRIM(MID(TRIM(A408),FIND("]",TRIM(A408)&amp;"]")+1,200)),TRIM(A408))))&gt;0,IF(RIGHT(IF(LEFT(TRIM(A408),1)="[",TRIM(MID(TRIM(A408),FIND("]",TRIM(A408)&amp;"]")+1,200)),TRIM(A408)),1)=")",TRIM(LEFT(IF(LEFT(TRIM(A408),1)="[",TRIM(MID(TRIM(A408),FIND("]",TRIM(A408)&amp;"]")+1,200)),TRIM(A408)),FIND("(",IF(LEFT(TRIM(A408),1)="[",TRIM(MID(TRIM(A408),FIND("]",TRIM(A408)&amp;"]")+1,200)),TRIM(A408))&amp;"(")-1)),IF(LEFT(TRIM(A408),1)="[",TRIM(MID(TRIM(A408),FIND("]",TRIM(A408)&amp;"]")+1,200)),TRIM(A408))),""))</f>
      </c>
      <c r="C408" s="17">
        <f>IF(B408&lt;&gt;"",B408,C407)</f>
      </c>
      <c r="D408" s="17">
        <f>IF(A408="","",IF(OR(LEFT(UPPER(TRIM(A408)),2)="Y:",LEFT(UPPER(TRIM(A408)),10)="YESTERDAY:"),"Y",IF(OR(LEFT(UPPER(TRIM(A408)),2)="T:",LEFT(UPPER(TRIM(A408)),6)="TODAY:"),"T",IF(OR(LEFT(UPPER(TRIM(A408)),2)="B:",LEFT(UPPER(TRIM(A408)),8)="BLOCKER:",LEFT(UPPER(TRIM(A408)),9)="BLOCKERS:",LEFT(UPPER(TRIM(A408)),8)="BLOCKED:"),"B",""))))</f>
      </c>
      <c r="E408" s="17">
        <f>IF(D408="","",TRIM(MID(A408,FIND(":",A408)+1,500)))</f>
      </c>
    </row>
    <row r="409">
      <c r="B409" s="17">
        <f>IF(A409="","",IF(COUNTIF(Roster[Name],IF(RIGHT(IF(LEFT(TRIM(A409),1)="[",TRIM(MID(TRIM(A409),FIND("]",TRIM(A409)&amp;"]")+1,200)),TRIM(A409)),1)=")",TRIM(LEFT(IF(LEFT(TRIM(A409),1)="[",TRIM(MID(TRIM(A409),FIND("]",TRIM(A409)&amp;"]")+1,200)),TRIM(A409)),FIND("(",IF(LEFT(TRIM(A409),1)="[",TRIM(MID(TRIM(A409),FIND("]",TRIM(A409)&amp;"]")+1,200)),TRIM(A409))&amp;"(")-1)),IF(LEFT(TRIM(A409),1)="[",TRIM(MID(TRIM(A409),FIND("]",TRIM(A409)&amp;"]")+1,200)),TRIM(A409))))&gt;0,IF(RIGHT(IF(LEFT(TRIM(A409),1)="[",TRIM(MID(TRIM(A409),FIND("]",TRIM(A409)&amp;"]")+1,200)),TRIM(A409)),1)=")",TRIM(LEFT(IF(LEFT(TRIM(A409),1)="[",TRIM(MID(TRIM(A409),FIND("]",TRIM(A409)&amp;"]")+1,200)),TRIM(A409)),FIND("(",IF(LEFT(TRIM(A409),1)="[",TRIM(MID(TRIM(A409),FIND("]",TRIM(A409)&amp;"]")+1,200)),TRIM(A409))&amp;"(")-1)),IF(LEFT(TRIM(A409),1)="[",TRIM(MID(TRIM(A409),FIND("]",TRIM(A409)&amp;"]")+1,200)),TRIM(A409))),""))</f>
      </c>
      <c r="C409" s="17">
        <f>IF(B409&lt;&gt;"",B409,C408)</f>
      </c>
      <c r="D409" s="17">
        <f>IF(A409="","",IF(OR(LEFT(UPPER(TRIM(A409)),2)="Y:",LEFT(UPPER(TRIM(A409)),10)="YESTERDAY:"),"Y",IF(OR(LEFT(UPPER(TRIM(A409)),2)="T:",LEFT(UPPER(TRIM(A409)),6)="TODAY:"),"T",IF(OR(LEFT(UPPER(TRIM(A409)),2)="B:",LEFT(UPPER(TRIM(A409)),8)="BLOCKER:",LEFT(UPPER(TRIM(A409)),9)="BLOCKERS:",LEFT(UPPER(TRIM(A409)),8)="BLOCKED:"),"B",""))))</f>
      </c>
      <c r="E409" s="17">
        <f>IF(D409="","",TRIM(MID(A409,FIND(":",A409)+1,500)))</f>
      </c>
    </row>
    <row r="410">
      <c r="B410" s="17">
        <f>IF(A410="","",IF(COUNTIF(Roster[Name],IF(RIGHT(IF(LEFT(TRIM(A410),1)="[",TRIM(MID(TRIM(A410),FIND("]",TRIM(A410)&amp;"]")+1,200)),TRIM(A410)),1)=")",TRIM(LEFT(IF(LEFT(TRIM(A410),1)="[",TRIM(MID(TRIM(A410),FIND("]",TRIM(A410)&amp;"]")+1,200)),TRIM(A410)),FIND("(",IF(LEFT(TRIM(A410),1)="[",TRIM(MID(TRIM(A410),FIND("]",TRIM(A410)&amp;"]")+1,200)),TRIM(A410))&amp;"(")-1)),IF(LEFT(TRIM(A410),1)="[",TRIM(MID(TRIM(A410),FIND("]",TRIM(A410)&amp;"]")+1,200)),TRIM(A410))))&gt;0,IF(RIGHT(IF(LEFT(TRIM(A410),1)="[",TRIM(MID(TRIM(A410),FIND("]",TRIM(A410)&amp;"]")+1,200)),TRIM(A410)),1)=")",TRIM(LEFT(IF(LEFT(TRIM(A410),1)="[",TRIM(MID(TRIM(A410),FIND("]",TRIM(A410)&amp;"]")+1,200)),TRIM(A410)),FIND("(",IF(LEFT(TRIM(A410),1)="[",TRIM(MID(TRIM(A410),FIND("]",TRIM(A410)&amp;"]")+1,200)),TRIM(A410))&amp;"(")-1)),IF(LEFT(TRIM(A410),1)="[",TRIM(MID(TRIM(A410),FIND("]",TRIM(A410)&amp;"]")+1,200)),TRIM(A410))),""))</f>
      </c>
      <c r="C410" s="17">
        <f>IF(B410&lt;&gt;"",B410,C409)</f>
      </c>
      <c r="D410" s="17">
        <f>IF(A410="","",IF(OR(LEFT(UPPER(TRIM(A410)),2)="Y:",LEFT(UPPER(TRIM(A410)),10)="YESTERDAY:"),"Y",IF(OR(LEFT(UPPER(TRIM(A410)),2)="T:",LEFT(UPPER(TRIM(A410)),6)="TODAY:"),"T",IF(OR(LEFT(UPPER(TRIM(A410)),2)="B:",LEFT(UPPER(TRIM(A410)),8)="BLOCKER:",LEFT(UPPER(TRIM(A410)),9)="BLOCKERS:",LEFT(UPPER(TRIM(A410)),8)="BLOCKED:"),"B",""))))</f>
      </c>
      <c r="E410" s="17">
        <f>IF(D410="","",TRIM(MID(A410,FIND(":",A410)+1,500)))</f>
      </c>
    </row>
    <row r="411">
      <c r="B411" s="17">
        <f>IF(A411="","",IF(COUNTIF(Roster[Name],IF(RIGHT(IF(LEFT(TRIM(A411),1)="[",TRIM(MID(TRIM(A411),FIND("]",TRIM(A411)&amp;"]")+1,200)),TRIM(A411)),1)=")",TRIM(LEFT(IF(LEFT(TRIM(A411),1)="[",TRIM(MID(TRIM(A411),FIND("]",TRIM(A411)&amp;"]")+1,200)),TRIM(A411)),FIND("(",IF(LEFT(TRIM(A411),1)="[",TRIM(MID(TRIM(A411),FIND("]",TRIM(A411)&amp;"]")+1,200)),TRIM(A411))&amp;"(")-1)),IF(LEFT(TRIM(A411),1)="[",TRIM(MID(TRIM(A411),FIND("]",TRIM(A411)&amp;"]")+1,200)),TRIM(A411))))&gt;0,IF(RIGHT(IF(LEFT(TRIM(A411),1)="[",TRIM(MID(TRIM(A411),FIND("]",TRIM(A411)&amp;"]")+1,200)),TRIM(A411)),1)=")",TRIM(LEFT(IF(LEFT(TRIM(A411),1)="[",TRIM(MID(TRIM(A411),FIND("]",TRIM(A411)&amp;"]")+1,200)),TRIM(A411)),FIND("(",IF(LEFT(TRIM(A411),1)="[",TRIM(MID(TRIM(A411),FIND("]",TRIM(A411)&amp;"]")+1,200)),TRIM(A411))&amp;"(")-1)),IF(LEFT(TRIM(A411),1)="[",TRIM(MID(TRIM(A411),FIND("]",TRIM(A411)&amp;"]")+1,200)),TRIM(A411))),""))</f>
      </c>
      <c r="C411" s="17">
        <f>IF(B411&lt;&gt;"",B411,C410)</f>
      </c>
      <c r="D411" s="17">
        <f>IF(A411="","",IF(OR(LEFT(UPPER(TRIM(A411)),2)="Y:",LEFT(UPPER(TRIM(A411)),10)="YESTERDAY:"),"Y",IF(OR(LEFT(UPPER(TRIM(A411)),2)="T:",LEFT(UPPER(TRIM(A411)),6)="TODAY:"),"T",IF(OR(LEFT(UPPER(TRIM(A411)),2)="B:",LEFT(UPPER(TRIM(A411)),8)="BLOCKER:",LEFT(UPPER(TRIM(A411)),9)="BLOCKERS:",LEFT(UPPER(TRIM(A411)),8)="BLOCKED:"),"B",""))))</f>
      </c>
      <c r="E411" s="17">
        <f>IF(D411="","",TRIM(MID(A411,FIND(":",A411)+1,500)))</f>
      </c>
    </row>
    <row r="412">
      <c r="B412" s="17">
        <f>IF(A412="","",IF(COUNTIF(Roster[Name],IF(RIGHT(IF(LEFT(TRIM(A412),1)="[",TRIM(MID(TRIM(A412),FIND("]",TRIM(A412)&amp;"]")+1,200)),TRIM(A412)),1)=")",TRIM(LEFT(IF(LEFT(TRIM(A412),1)="[",TRIM(MID(TRIM(A412),FIND("]",TRIM(A412)&amp;"]")+1,200)),TRIM(A412)),FIND("(",IF(LEFT(TRIM(A412),1)="[",TRIM(MID(TRIM(A412),FIND("]",TRIM(A412)&amp;"]")+1,200)),TRIM(A412))&amp;"(")-1)),IF(LEFT(TRIM(A412),1)="[",TRIM(MID(TRIM(A412),FIND("]",TRIM(A412)&amp;"]")+1,200)),TRIM(A412))))&gt;0,IF(RIGHT(IF(LEFT(TRIM(A412),1)="[",TRIM(MID(TRIM(A412),FIND("]",TRIM(A412)&amp;"]")+1,200)),TRIM(A412)),1)=")",TRIM(LEFT(IF(LEFT(TRIM(A412),1)="[",TRIM(MID(TRIM(A412),FIND("]",TRIM(A412)&amp;"]")+1,200)),TRIM(A412)),FIND("(",IF(LEFT(TRIM(A412),1)="[",TRIM(MID(TRIM(A412),FIND("]",TRIM(A412)&amp;"]")+1,200)),TRIM(A412))&amp;"(")-1)),IF(LEFT(TRIM(A412),1)="[",TRIM(MID(TRIM(A412),FIND("]",TRIM(A412)&amp;"]")+1,200)),TRIM(A412))),""))</f>
      </c>
      <c r="C412" s="17">
        <f>IF(B412&lt;&gt;"",B412,C411)</f>
      </c>
      <c r="D412" s="17">
        <f>IF(A412="","",IF(OR(LEFT(UPPER(TRIM(A412)),2)="Y:",LEFT(UPPER(TRIM(A412)),10)="YESTERDAY:"),"Y",IF(OR(LEFT(UPPER(TRIM(A412)),2)="T:",LEFT(UPPER(TRIM(A412)),6)="TODAY:"),"T",IF(OR(LEFT(UPPER(TRIM(A412)),2)="B:",LEFT(UPPER(TRIM(A412)),8)="BLOCKER:",LEFT(UPPER(TRIM(A412)),9)="BLOCKERS:",LEFT(UPPER(TRIM(A412)),8)="BLOCKED:"),"B",""))))</f>
      </c>
      <c r="E412" s="17">
        <f>IF(D412="","",TRIM(MID(A412,FIND(":",A412)+1,500)))</f>
      </c>
    </row>
    <row r="413">
      <c r="B413" s="17">
        <f>IF(A413="","",IF(COUNTIF(Roster[Name],IF(RIGHT(IF(LEFT(TRIM(A413),1)="[",TRIM(MID(TRIM(A413),FIND("]",TRIM(A413)&amp;"]")+1,200)),TRIM(A413)),1)=")",TRIM(LEFT(IF(LEFT(TRIM(A413),1)="[",TRIM(MID(TRIM(A413),FIND("]",TRIM(A413)&amp;"]")+1,200)),TRIM(A413)),FIND("(",IF(LEFT(TRIM(A413),1)="[",TRIM(MID(TRIM(A413),FIND("]",TRIM(A413)&amp;"]")+1,200)),TRIM(A413))&amp;"(")-1)),IF(LEFT(TRIM(A413),1)="[",TRIM(MID(TRIM(A413),FIND("]",TRIM(A413)&amp;"]")+1,200)),TRIM(A413))))&gt;0,IF(RIGHT(IF(LEFT(TRIM(A413),1)="[",TRIM(MID(TRIM(A413),FIND("]",TRIM(A413)&amp;"]")+1,200)),TRIM(A413)),1)=")",TRIM(LEFT(IF(LEFT(TRIM(A413),1)="[",TRIM(MID(TRIM(A413),FIND("]",TRIM(A413)&amp;"]")+1,200)),TRIM(A413)),FIND("(",IF(LEFT(TRIM(A413),1)="[",TRIM(MID(TRIM(A413),FIND("]",TRIM(A413)&amp;"]")+1,200)),TRIM(A413))&amp;"(")-1)),IF(LEFT(TRIM(A413),1)="[",TRIM(MID(TRIM(A413),FIND("]",TRIM(A413)&amp;"]")+1,200)),TRIM(A413))),""))</f>
      </c>
      <c r="C413" s="17">
        <f>IF(B413&lt;&gt;"",B413,C412)</f>
      </c>
      <c r="D413" s="17">
        <f>IF(A413="","",IF(OR(LEFT(UPPER(TRIM(A413)),2)="Y:",LEFT(UPPER(TRIM(A413)),10)="YESTERDAY:"),"Y",IF(OR(LEFT(UPPER(TRIM(A413)),2)="T:",LEFT(UPPER(TRIM(A413)),6)="TODAY:"),"T",IF(OR(LEFT(UPPER(TRIM(A413)),2)="B:",LEFT(UPPER(TRIM(A413)),8)="BLOCKER:",LEFT(UPPER(TRIM(A413)),9)="BLOCKERS:",LEFT(UPPER(TRIM(A413)),8)="BLOCKED:"),"B",""))))</f>
      </c>
      <c r="E413" s="17">
        <f>IF(D413="","",TRIM(MID(A413,FIND(":",A413)+1,500)))</f>
      </c>
    </row>
    <row r="414">
      <c r="B414" s="17">
        <f>IF(A414="","",IF(COUNTIF(Roster[Name],IF(RIGHT(IF(LEFT(TRIM(A414),1)="[",TRIM(MID(TRIM(A414),FIND("]",TRIM(A414)&amp;"]")+1,200)),TRIM(A414)),1)=")",TRIM(LEFT(IF(LEFT(TRIM(A414),1)="[",TRIM(MID(TRIM(A414),FIND("]",TRIM(A414)&amp;"]")+1,200)),TRIM(A414)),FIND("(",IF(LEFT(TRIM(A414),1)="[",TRIM(MID(TRIM(A414),FIND("]",TRIM(A414)&amp;"]")+1,200)),TRIM(A414))&amp;"(")-1)),IF(LEFT(TRIM(A414),1)="[",TRIM(MID(TRIM(A414),FIND("]",TRIM(A414)&amp;"]")+1,200)),TRIM(A414))))&gt;0,IF(RIGHT(IF(LEFT(TRIM(A414),1)="[",TRIM(MID(TRIM(A414),FIND("]",TRIM(A414)&amp;"]")+1,200)),TRIM(A414)),1)=")",TRIM(LEFT(IF(LEFT(TRIM(A414),1)="[",TRIM(MID(TRIM(A414),FIND("]",TRIM(A414)&amp;"]")+1,200)),TRIM(A414)),FIND("(",IF(LEFT(TRIM(A414),1)="[",TRIM(MID(TRIM(A414),FIND("]",TRIM(A414)&amp;"]")+1,200)),TRIM(A414))&amp;"(")-1)),IF(LEFT(TRIM(A414),1)="[",TRIM(MID(TRIM(A414),FIND("]",TRIM(A414)&amp;"]")+1,200)),TRIM(A414))),""))</f>
      </c>
      <c r="C414" s="17">
        <f>IF(B414&lt;&gt;"",B414,C413)</f>
      </c>
      <c r="D414" s="17">
        <f>IF(A414="","",IF(OR(LEFT(UPPER(TRIM(A414)),2)="Y:",LEFT(UPPER(TRIM(A414)),10)="YESTERDAY:"),"Y",IF(OR(LEFT(UPPER(TRIM(A414)),2)="T:",LEFT(UPPER(TRIM(A414)),6)="TODAY:"),"T",IF(OR(LEFT(UPPER(TRIM(A414)),2)="B:",LEFT(UPPER(TRIM(A414)),8)="BLOCKER:",LEFT(UPPER(TRIM(A414)),9)="BLOCKERS:",LEFT(UPPER(TRIM(A414)),8)="BLOCKED:"),"B",""))))</f>
      </c>
      <c r="E414" s="17">
        <f>IF(D414="","",TRIM(MID(A414,FIND(":",A414)+1,500)))</f>
      </c>
    </row>
    <row r="415">
      <c r="B415" s="17">
        <f>IF(A415="","",IF(COUNTIF(Roster[Name],IF(RIGHT(IF(LEFT(TRIM(A415),1)="[",TRIM(MID(TRIM(A415),FIND("]",TRIM(A415)&amp;"]")+1,200)),TRIM(A415)),1)=")",TRIM(LEFT(IF(LEFT(TRIM(A415),1)="[",TRIM(MID(TRIM(A415),FIND("]",TRIM(A415)&amp;"]")+1,200)),TRIM(A415)),FIND("(",IF(LEFT(TRIM(A415),1)="[",TRIM(MID(TRIM(A415),FIND("]",TRIM(A415)&amp;"]")+1,200)),TRIM(A415))&amp;"(")-1)),IF(LEFT(TRIM(A415),1)="[",TRIM(MID(TRIM(A415),FIND("]",TRIM(A415)&amp;"]")+1,200)),TRIM(A415))))&gt;0,IF(RIGHT(IF(LEFT(TRIM(A415),1)="[",TRIM(MID(TRIM(A415),FIND("]",TRIM(A415)&amp;"]")+1,200)),TRIM(A415)),1)=")",TRIM(LEFT(IF(LEFT(TRIM(A415),1)="[",TRIM(MID(TRIM(A415),FIND("]",TRIM(A415)&amp;"]")+1,200)),TRIM(A415)),FIND("(",IF(LEFT(TRIM(A415),1)="[",TRIM(MID(TRIM(A415),FIND("]",TRIM(A415)&amp;"]")+1,200)),TRIM(A415))&amp;"(")-1)),IF(LEFT(TRIM(A415),1)="[",TRIM(MID(TRIM(A415),FIND("]",TRIM(A415)&amp;"]")+1,200)),TRIM(A415))),""))</f>
      </c>
      <c r="C415" s="17">
        <f>IF(B415&lt;&gt;"",B415,C414)</f>
      </c>
      <c r="D415" s="17">
        <f>IF(A415="","",IF(OR(LEFT(UPPER(TRIM(A415)),2)="Y:",LEFT(UPPER(TRIM(A415)),10)="YESTERDAY:"),"Y",IF(OR(LEFT(UPPER(TRIM(A415)),2)="T:",LEFT(UPPER(TRIM(A415)),6)="TODAY:"),"T",IF(OR(LEFT(UPPER(TRIM(A415)),2)="B:",LEFT(UPPER(TRIM(A415)),8)="BLOCKER:",LEFT(UPPER(TRIM(A415)),9)="BLOCKERS:",LEFT(UPPER(TRIM(A415)),8)="BLOCKED:"),"B",""))))</f>
      </c>
      <c r="E415" s="17">
        <f>IF(D415="","",TRIM(MID(A415,FIND(":",A415)+1,500)))</f>
      </c>
    </row>
    <row r="416">
      <c r="B416" s="17">
        <f>IF(A416="","",IF(COUNTIF(Roster[Name],IF(RIGHT(IF(LEFT(TRIM(A416),1)="[",TRIM(MID(TRIM(A416),FIND("]",TRIM(A416)&amp;"]")+1,200)),TRIM(A416)),1)=")",TRIM(LEFT(IF(LEFT(TRIM(A416),1)="[",TRIM(MID(TRIM(A416),FIND("]",TRIM(A416)&amp;"]")+1,200)),TRIM(A416)),FIND("(",IF(LEFT(TRIM(A416),1)="[",TRIM(MID(TRIM(A416),FIND("]",TRIM(A416)&amp;"]")+1,200)),TRIM(A416))&amp;"(")-1)),IF(LEFT(TRIM(A416),1)="[",TRIM(MID(TRIM(A416),FIND("]",TRIM(A416)&amp;"]")+1,200)),TRIM(A416))))&gt;0,IF(RIGHT(IF(LEFT(TRIM(A416),1)="[",TRIM(MID(TRIM(A416),FIND("]",TRIM(A416)&amp;"]")+1,200)),TRIM(A416)),1)=")",TRIM(LEFT(IF(LEFT(TRIM(A416),1)="[",TRIM(MID(TRIM(A416),FIND("]",TRIM(A416)&amp;"]")+1,200)),TRIM(A416)),FIND("(",IF(LEFT(TRIM(A416),1)="[",TRIM(MID(TRIM(A416),FIND("]",TRIM(A416)&amp;"]")+1,200)),TRIM(A416))&amp;"(")-1)),IF(LEFT(TRIM(A416),1)="[",TRIM(MID(TRIM(A416),FIND("]",TRIM(A416)&amp;"]")+1,200)),TRIM(A416))),""))</f>
      </c>
      <c r="C416" s="17">
        <f>IF(B416&lt;&gt;"",B416,C415)</f>
      </c>
      <c r="D416" s="17">
        <f>IF(A416="","",IF(OR(LEFT(UPPER(TRIM(A416)),2)="Y:",LEFT(UPPER(TRIM(A416)),10)="YESTERDAY:"),"Y",IF(OR(LEFT(UPPER(TRIM(A416)),2)="T:",LEFT(UPPER(TRIM(A416)),6)="TODAY:"),"T",IF(OR(LEFT(UPPER(TRIM(A416)),2)="B:",LEFT(UPPER(TRIM(A416)),8)="BLOCKER:",LEFT(UPPER(TRIM(A416)),9)="BLOCKERS:",LEFT(UPPER(TRIM(A416)),8)="BLOCKED:"),"B",""))))</f>
      </c>
      <c r="E416" s="17">
        <f>IF(D416="","",TRIM(MID(A416,FIND(":",A416)+1,500)))</f>
      </c>
    </row>
    <row r="417">
      <c r="B417" s="17">
        <f>IF(A417="","",IF(COUNTIF(Roster[Name],IF(RIGHT(IF(LEFT(TRIM(A417),1)="[",TRIM(MID(TRIM(A417),FIND("]",TRIM(A417)&amp;"]")+1,200)),TRIM(A417)),1)=")",TRIM(LEFT(IF(LEFT(TRIM(A417),1)="[",TRIM(MID(TRIM(A417),FIND("]",TRIM(A417)&amp;"]")+1,200)),TRIM(A417)),FIND("(",IF(LEFT(TRIM(A417),1)="[",TRIM(MID(TRIM(A417),FIND("]",TRIM(A417)&amp;"]")+1,200)),TRIM(A417))&amp;"(")-1)),IF(LEFT(TRIM(A417),1)="[",TRIM(MID(TRIM(A417),FIND("]",TRIM(A417)&amp;"]")+1,200)),TRIM(A417))))&gt;0,IF(RIGHT(IF(LEFT(TRIM(A417),1)="[",TRIM(MID(TRIM(A417),FIND("]",TRIM(A417)&amp;"]")+1,200)),TRIM(A417)),1)=")",TRIM(LEFT(IF(LEFT(TRIM(A417),1)="[",TRIM(MID(TRIM(A417),FIND("]",TRIM(A417)&amp;"]")+1,200)),TRIM(A417)),FIND("(",IF(LEFT(TRIM(A417),1)="[",TRIM(MID(TRIM(A417),FIND("]",TRIM(A417)&amp;"]")+1,200)),TRIM(A417))&amp;"(")-1)),IF(LEFT(TRIM(A417),1)="[",TRIM(MID(TRIM(A417),FIND("]",TRIM(A417)&amp;"]")+1,200)),TRIM(A417))),""))</f>
      </c>
      <c r="C417" s="17">
        <f>IF(B417&lt;&gt;"",B417,C416)</f>
      </c>
      <c r="D417" s="17">
        <f>IF(A417="","",IF(OR(LEFT(UPPER(TRIM(A417)),2)="Y:",LEFT(UPPER(TRIM(A417)),10)="YESTERDAY:"),"Y",IF(OR(LEFT(UPPER(TRIM(A417)),2)="T:",LEFT(UPPER(TRIM(A417)),6)="TODAY:"),"T",IF(OR(LEFT(UPPER(TRIM(A417)),2)="B:",LEFT(UPPER(TRIM(A417)),8)="BLOCKER:",LEFT(UPPER(TRIM(A417)),9)="BLOCKERS:",LEFT(UPPER(TRIM(A417)),8)="BLOCKED:"),"B",""))))</f>
      </c>
      <c r="E417" s="17">
        <f>IF(D417="","",TRIM(MID(A417,FIND(":",A417)+1,500)))</f>
      </c>
    </row>
    <row r="418">
      <c r="B418" s="17">
        <f>IF(A418="","",IF(COUNTIF(Roster[Name],IF(RIGHT(IF(LEFT(TRIM(A418),1)="[",TRIM(MID(TRIM(A418),FIND("]",TRIM(A418)&amp;"]")+1,200)),TRIM(A418)),1)=")",TRIM(LEFT(IF(LEFT(TRIM(A418),1)="[",TRIM(MID(TRIM(A418),FIND("]",TRIM(A418)&amp;"]")+1,200)),TRIM(A418)),FIND("(",IF(LEFT(TRIM(A418),1)="[",TRIM(MID(TRIM(A418),FIND("]",TRIM(A418)&amp;"]")+1,200)),TRIM(A418))&amp;"(")-1)),IF(LEFT(TRIM(A418),1)="[",TRIM(MID(TRIM(A418),FIND("]",TRIM(A418)&amp;"]")+1,200)),TRIM(A418))))&gt;0,IF(RIGHT(IF(LEFT(TRIM(A418),1)="[",TRIM(MID(TRIM(A418),FIND("]",TRIM(A418)&amp;"]")+1,200)),TRIM(A418)),1)=")",TRIM(LEFT(IF(LEFT(TRIM(A418),1)="[",TRIM(MID(TRIM(A418),FIND("]",TRIM(A418)&amp;"]")+1,200)),TRIM(A418)),FIND("(",IF(LEFT(TRIM(A418),1)="[",TRIM(MID(TRIM(A418),FIND("]",TRIM(A418)&amp;"]")+1,200)),TRIM(A418))&amp;"(")-1)),IF(LEFT(TRIM(A418),1)="[",TRIM(MID(TRIM(A418),FIND("]",TRIM(A418)&amp;"]")+1,200)),TRIM(A418))),""))</f>
      </c>
      <c r="C418" s="17">
        <f>IF(B418&lt;&gt;"",B418,C417)</f>
      </c>
      <c r="D418" s="17">
        <f>IF(A418="","",IF(OR(LEFT(UPPER(TRIM(A418)),2)="Y:",LEFT(UPPER(TRIM(A418)),10)="YESTERDAY:"),"Y",IF(OR(LEFT(UPPER(TRIM(A418)),2)="T:",LEFT(UPPER(TRIM(A418)),6)="TODAY:"),"T",IF(OR(LEFT(UPPER(TRIM(A418)),2)="B:",LEFT(UPPER(TRIM(A418)),8)="BLOCKER:",LEFT(UPPER(TRIM(A418)),9)="BLOCKERS:",LEFT(UPPER(TRIM(A418)),8)="BLOCKED:"),"B",""))))</f>
      </c>
      <c r="E418" s="17">
        <f>IF(D418="","",TRIM(MID(A418,FIND(":",A418)+1,500)))</f>
      </c>
    </row>
    <row r="419">
      <c r="B419" s="17">
        <f>IF(A419="","",IF(COUNTIF(Roster[Name],IF(RIGHT(IF(LEFT(TRIM(A419),1)="[",TRIM(MID(TRIM(A419),FIND("]",TRIM(A419)&amp;"]")+1,200)),TRIM(A419)),1)=")",TRIM(LEFT(IF(LEFT(TRIM(A419),1)="[",TRIM(MID(TRIM(A419),FIND("]",TRIM(A419)&amp;"]")+1,200)),TRIM(A419)),FIND("(",IF(LEFT(TRIM(A419),1)="[",TRIM(MID(TRIM(A419),FIND("]",TRIM(A419)&amp;"]")+1,200)),TRIM(A419))&amp;"(")-1)),IF(LEFT(TRIM(A419),1)="[",TRIM(MID(TRIM(A419),FIND("]",TRIM(A419)&amp;"]")+1,200)),TRIM(A419))))&gt;0,IF(RIGHT(IF(LEFT(TRIM(A419),1)="[",TRIM(MID(TRIM(A419),FIND("]",TRIM(A419)&amp;"]")+1,200)),TRIM(A419)),1)=")",TRIM(LEFT(IF(LEFT(TRIM(A419),1)="[",TRIM(MID(TRIM(A419),FIND("]",TRIM(A419)&amp;"]")+1,200)),TRIM(A419)),FIND("(",IF(LEFT(TRIM(A419),1)="[",TRIM(MID(TRIM(A419),FIND("]",TRIM(A419)&amp;"]")+1,200)),TRIM(A419))&amp;"(")-1)),IF(LEFT(TRIM(A419),1)="[",TRIM(MID(TRIM(A419),FIND("]",TRIM(A419)&amp;"]")+1,200)),TRIM(A419))),""))</f>
      </c>
      <c r="C419" s="17">
        <f>IF(B419&lt;&gt;"",B419,C418)</f>
      </c>
      <c r="D419" s="17">
        <f>IF(A419="","",IF(OR(LEFT(UPPER(TRIM(A419)),2)="Y:",LEFT(UPPER(TRIM(A419)),10)="YESTERDAY:"),"Y",IF(OR(LEFT(UPPER(TRIM(A419)),2)="T:",LEFT(UPPER(TRIM(A419)),6)="TODAY:"),"T",IF(OR(LEFT(UPPER(TRIM(A419)),2)="B:",LEFT(UPPER(TRIM(A419)),8)="BLOCKER:",LEFT(UPPER(TRIM(A419)),9)="BLOCKERS:",LEFT(UPPER(TRIM(A419)),8)="BLOCKED:"),"B",""))))</f>
      </c>
      <c r="E419" s="17">
        <f>IF(D419="","",TRIM(MID(A419,FIND(":",A419)+1,500)))</f>
      </c>
    </row>
    <row r="420">
      <c r="B420" s="17">
        <f>IF(A420="","",IF(COUNTIF(Roster[Name],IF(RIGHT(IF(LEFT(TRIM(A420),1)="[",TRIM(MID(TRIM(A420),FIND("]",TRIM(A420)&amp;"]")+1,200)),TRIM(A420)),1)=")",TRIM(LEFT(IF(LEFT(TRIM(A420),1)="[",TRIM(MID(TRIM(A420),FIND("]",TRIM(A420)&amp;"]")+1,200)),TRIM(A420)),FIND("(",IF(LEFT(TRIM(A420),1)="[",TRIM(MID(TRIM(A420),FIND("]",TRIM(A420)&amp;"]")+1,200)),TRIM(A420))&amp;"(")-1)),IF(LEFT(TRIM(A420),1)="[",TRIM(MID(TRIM(A420),FIND("]",TRIM(A420)&amp;"]")+1,200)),TRIM(A420))))&gt;0,IF(RIGHT(IF(LEFT(TRIM(A420),1)="[",TRIM(MID(TRIM(A420),FIND("]",TRIM(A420)&amp;"]")+1,200)),TRIM(A420)),1)=")",TRIM(LEFT(IF(LEFT(TRIM(A420),1)="[",TRIM(MID(TRIM(A420),FIND("]",TRIM(A420)&amp;"]")+1,200)),TRIM(A420)),FIND("(",IF(LEFT(TRIM(A420),1)="[",TRIM(MID(TRIM(A420),FIND("]",TRIM(A420)&amp;"]")+1,200)),TRIM(A420))&amp;"(")-1)),IF(LEFT(TRIM(A420),1)="[",TRIM(MID(TRIM(A420),FIND("]",TRIM(A420)&amp;"]")+1,200)),TRIM(A420))),""))</f>
      </c>
      <c r="C420" s="17">
        <f>IF(B420&lt;&gt;"",B420,C419)</f>
      </c>
      <c r="D420" s="17">
        <f>IF(A420="","",IF(OR(LEFT(UPPER(TRIM(A420)),2)="Y:",LEFT(UPPER(TRIM(A420)),10)="YESTERDAY:"),"Y",IF(OR(LEFT(UPPER(TRIM(A420)),2)="T:",LEFT(UPPER(TRIM(A420)),6)="TODAY:"),"T",IF(OR(LEFT(UPPER(TRIM(A420)),2)="B:",LEFT(UPPER(TRIM(A420)),8)="BLOCKER:",LEFT(UPPER(TRIM(A420)),9)="BLOCKERS:",LEFT(UPPER(TRIM(A420)),8)="BLOCKED:"),"B",""))))</f>
      </c>
      <c r="E420" s="17">
        <f>IF(D420="","",TRIM(MID(A420,FIND(":",A420)+1,500)))</f>
      </c>
    </row>
    <row r="421">
      <c r="B421" s="17">
        <f>IF(A421="","",IF(COUNTIF(Roster[Name],IF(RIGHT(IF(LEFT(TRIM(A421),1)="[",TRIM(MID(TRIM(A421),FIND("]",TRIM(A421)&amp;"]")+1,200)),TRIM(A421)),1)=")",TRIM(LEFT(IF(LEFT(TRIM(A421),1)="[",TRIM(MID(TRIM(A421),FIND("]",TRIM(A421)&amp;"]")+1,200)),TRIM(A421)),FIND("(",IF(LEFT(TRIM(A421),1)="[",TRIM(MID(TRIM(A421),FIND("]",TRIM(A421)&amp;"]")+1,200)),TRIM(A421))&amp;"(")-1)),IF(LEFT(TRIM(A421),1)="[",TRIM(MID(TRIM(A421),FIND("]",TRIM(A421)&amp;"]")+1,200)),TRIM(A421))))&gt;0,IF(RIGHT(IF(LEFT(TRIM(A421),1)="[",TRIM(MID(TRIM(A421),FIND("]",TRIM(A421)&amp;"]")+1,200)),TRIM(A421)),1)=")",TRIM(LEFT(IF(LEFT(TRIM(A421),1)="[",TRIM(MID(TRIM(A421),FIND("]",TRIM(A421)&amp;"]")+1,200)),TRIM(A421)),FIND("(",IF(LEFT(TRIM(A421),1)="[",TRIM(MID(TRIM(A421),FIND("]",TRIM(A421)&amp;"]")+1,200)),TRIM(A421))&amp;"(")-1)),IF(LEFT(TRIM(A421),1)="[",TRIM(MID(TRIM(A421),FIND("]",TRIM(A421)&amp;"]")+1,200)),TRIM(A421))),""))</f>
      </c>
      <c r="C421" s="17">
        <f>IF(B421&lt;&gt;"",B421,C420)</f>
      </c>
      <c r="D421" s="17">
        <f>IF(A421="","",IF(OR(LEFT(UPPER(TRIM(A421)),2)="Y:",LEFT(UPPER(TRIM(A421)),10)="YESTERDAY:"),"Y",IF(OR(LEFT(UPPER(TRIM(A421)),2)="T:",LEFT(UPPER(TRIM(A421)),6)="TODAY:"),"T",IF(OR(LEFT(UPPER(TRIM(A421)),2)="B:",LEFT(UPPER(TRIM(A421)),8)="BLOCKER:",LEFT(UPPER(TRIM(A421)),9)="BLOCKERS:",LEFT(UPPER(TRIM(A421)),8)="BLOCKED:"),"B",""))))</f>
      </c>
      <c r="E421" s="17">
        <f>IF(D421="","",TRIM(MID(A421,FIND(":",A421)+1,500)))</f>
      </c>
    </row>
    <row r="422">
      <c r="B422" s="17">
        <f>IF(A422="","",IF(COUNTIF(Roster[Name],IF(RIGHT(IF(LEFT(TRIM(A422),1)="[",TRIM(MID(TRIM(A422),FIND("]",TRIM(A422)&amp;"]")+1,200)),TRIM(A422)),1)=")",TRIM(LEFT(IF(LEFT(TRIM(A422),1)="[",TRIM(MID(TRIM(A422),FIND("]",TRIM(A422)&amp;"]")+1,200)),TRIM(A422)),FIND("(",IF(LEFT(TRIM(A422),1)="[",TRIM(MID(TRIM(A422),FIND("]",TRIM(A422)&amp;"]")+1,200)),TRIM(A422))&amp;"(")-1)),IF(LEFT(TRIM(A422),1)="[",TRIM(MID(TRIM(A422),FIND("]",TRIM(A422)&amp;"]")+1,200)),TRIM(A422))))&gt;0,IF(RIGHT(IF(LEFT(TRIM(A422),1)="[",TRIM(MID(TRIM(A422),FIND("]",TRIM(A422)&amp;"]")+1,200)),TRIM(A422)),1)=")",TRIM(LEFT(IF(LEFT(TRIM(A422),1)="[",TRIM(MID(TRIM(A422),FIND("]",TRIM(A422)&amp;"]")+1,200)),TRIM(A422)),FIND("(",IF(LEFT(TRIM(A422),1)="[",TRIM(MID(TRIM(A422),FIND("]",TRIM(A422)&amp;"]")+1,200)),TRIM(A422))&amp;"(")-1)),IF(LEFT(TRIM(A422),1)="[",TRIM(MID(TRIM(A422),FIND("]",TRIM(A422)&amp;"]")+1,200)),TRIM(A422))),""))</f>
      </c>
      <c r="C422" s="17">
        <f>IF(B422&lt;&gt;"",B422,C421)</f>
      </c>
      <c r="D422" s="17">
        <f>IF(A422="","",IF(OR(LEFT(UPPER(TRIM(A422)),2)="Y:",LEFT(UPPER(TRIM(A422)),10)="YESTERDAY:"),"Y",IF(OR(LEFT(UPPER(TRIM(A422)),2)="T:",LEFT(UPPER(TRIM(A422)),6)="TODAY:"),"T",IF(OR(LEFT(UPPER(TRIM(A422)),2)="B:",LEFT(UPPER(TRIM(A422)),8)="BLOCKER:",LEFT(UPPER(TRIM(A422)),9)="BLOCKERS:",LEFT(UPPER(TRIM(A422)),8)="BLOCKED:"),"B",""))))</f>
      </c>
      <c r="E422" s="17">
        <f>IF(D422="","",TRIM(MID(A422,FIND(":",A422)+1,500)))</f>
      </c>
    </row>
    <row r="423">
      <c r="B423" s="17">
        <f>IF(A423="","",IF(COUNTIF(Roster[Name],IF(RIGHT(IF(LEFT(TRIM(A423),1)="[",TRIM(MID(TRIM(A423),FIND("]",TRIM(A423)&amp;"]")+1,200)),TRIM(A423)),1)=")",TRIM(LEFT(IF(LEFT(TRIM(A423),1)="[",TRIM(MID(TRIM(A423),FIND("]",TRIM(A423)&amp;"]")+1,200)),TRIM(A423)),FIND("(",IF(LEFT(TRIM(A423),1)="[",TRIM(MID(TRIM(A423),FIND("]",TRIM(A423)&amp;"]")+1,200)),TRIM(A423))&amp;"(")-1)),IF(LEFT(TRIM(A423),1)="[",TRIM(MID(TRIM(A423),FIND("]",TRIM(A423)&amp;"]")+1,200)),TRIM(A423))))&gt;0,IF(RIGHT(IF(LEFT(TRIM(A423),1)="[",TRIM(MID(TRIM(A423),FIND("]",TRIM(A423)&amp;"]")+1,200)),TRIM(A423)),1)=")",TRIM(LEFT(IF(LEFT(TRIM(A423),1)="[",TRIM(MID(TRIM(A423),FIND("]",TRIM(A423)&amp;"]")+1,200)),TRIM(A423)),FIND("(",IF(LEFT(TRIM(A423),1)="[",TRIM(MID(TRIM(A423),FIND("]",TRIM(A423)&amp;"]")+1,200)),TRIM(A423))&amp;"(")-1)),IF(LEFT(TRIM(A423),1)="[",TRIM(MID(TRIM(A423),FIND("]",TRIM(A423)&amp;"]")+1,200)),TRIM(A423))),""))</f>
      </c>
      <c r="C423" s="17">
        <f>IF(B423&lt;&gt;"",B423,C422)</f>
      </c>
      <c r="D423" s="17">
        <f>IF(A423="","",IF(OR(LEFT(UPPER(TRIM(A423)),2)="Y:",LEFT(UPPER(TRIM(A423)),10)="YESTERDAY:"),"Y",IF(OR(LEFT(UPPER(TRIM(A423)),2)="T:",LEFT(UPPER(TRIM(A423)),6)="TODAY:"),"T",IF(OR(LEFT(UPPER(TRIM(A423)),2)="B:",LEFT(UPPER(TRIM(A423)),8)="BLOCKER:",LEFT(UPPER(TRIM(A423)),9)="BLOCKERS:",LEFT(UPPER(TRIM(A423)),8)="BLOCKED:"),"B",""))))</f>
      </c>
      <c r="E423" s="17">
        <f>IF(D423="","",TRIM(MID(A423,FIND(":",A423)+1,500)))</f>
      </c>
    </row>
    <row r="424">
      <c r="B424" s="17">
        <f>IF(A424="","",IF(COUNTIF(Roster[Name],IF(RIGHT(IF(LEFT(TRIM(A424),1)="[",TRIM(MID(TRIM(A424),FIND("]",TRIM(A424)&amp;"]")+1,200)),TRIM(A424)),1)=")",TRIM(LEFT(IF(LEFT(TRIM(A424),1)="[",TRIM(MID(TRIM(A424),FIND("]",TRIM(A424)&amp;"]")+1,200)),TRIM(A424)),FIND("(",IF(LEFT(TRIM(A424),1)="[",TRIM(MID(TRIM(A424),FIND("]",TRIM(A424)&amp;"]")+1,200)),TRIM(A424))&amp;"(")-1)),IF(LEFT(TRIM(A424),1)="[",TRIM(MID(TRIM(A424),FIND("]",TRIM(A424)&amp;"]")+1,200)),TRIM(A424))))&gt;0,IF(RIGHT(IF(LEFT(TRIM(A424),1)="[",TRIM(MID(TRIM(A424),FIND("]",TRIM(A424)&amp;"]")+1,200)),TRIM(A424)),1)=")",TRIM(LEFT(IF(LEFT(TRIM(A424),1)="[",TRIM(MID(TRIM(A424),FIND("]",TRIM(A424)&amp;"]")+1,200)),TRIM(A424)),FIND("(",IF(LEFT(TRIM(A424),1)="[",TRIM(MID(TRIM(A424),FIND("]",TRIM(A424)&amp;"]")+1,200)),TRIM(A424))&amp;"(")-1)),IF(LEFT(TRIM(A424),1)="[",TRIM(MID(TRIM(A424),FIND("]",TRIM(A424)&amp;"]")+1,200)),TRIM(A424))),""))</f>
      </c>
      <c r="C424" s="17">
        <f>IF(B424&lt;&gt;"",B424,C423)</f>
      </c>
      <c r="D424" s="17">
        <f>IF(A424="","",IF(OR(LEFT(UPPER(TRIM(A424)),2)="Y:",LEFT(UPPER(TRIM(A424)),10)="YESTERDAY:"),"Y",IF(OR(LEFT(UPPER(TRIM(A424)),2)="T:",LEFT(UPPER(TRIM(A424)),6)="TODAY:"),"T",IF(OR(LEFT(UPPER(TRIM(A424)),2)="B:",LEFT(UPPER(TRIM(A424)),8)="BLOCKER:",LEFT(UPPER(TRIM(A424)),9)="BLOCKERS:",LEFT(UPPER(TRIM(A424)),8)="BLOCKED:"),"B",""))))</f>
      </c>
      <c r="E424" s="17">
        <f>IF(D424="","",TRIM(MID(A424,FIND(":",A424)+1,500)))</f>
      </c>
    </row>
    <row r="425">
      <c r="B425" s="17">
        <f>IF(A425="","",IF(COUNTIF(Roster[Name],IF(RIGHT(IF(LEFT(TRIM(A425),1)="[",TRIM(MID(TRIM(A425),FIND("]",TRIM(A425)&amp;"]")+1,200)),TRIM(A425)),1)=")",TRIM(LEFT(IF(LEFT(TRIM(A425),1)="[",TRIM(MID(TRIM(A425),FIND("]",TRIM(A425)&amp;"]")+1,200)),TRIM(A425)),FIND("(",IF(LEFT(TRIM(A425),1)="[",TRIM(MID(TRIM(A425),FIND("]",TRIM(A425)&amp;"]")+1,200)),TRIM(A425))&amp;"(")-1)),IF(LEFT(TRIM(A425),1)="[",TRIM(MID(TRIM(A425),FIND("]",TRIM(A425)&amp;"]")+1,200)),TRIM(A425))))&gt;0,IF(RIGHT(IF(LEFT(TRIM(A425),1)="[",TRIM(MID(TRIM(A425),FIND("]",TRIM(A425)&amp;"]")+1,200)),TRIM(A425)),1)=")",TRIM(LEFT(IF(LEFT(TRIM(A425),1)="[",TRIM(MID(TRIM(A425),FIND("]",TRIM(A425)&amp;"]")+1,200)),TRIM(A425)),FIND("(",IF(LEFT(TRIM(A425),1)="[",TRIM(MID(TRIM(A425),FIND("]",TRIM(A425)&amp;"]")+1,200)),TRIM(A425))&amp;"(")-1)),IF(LEFT(TRIM(A425),1)="[",TRIM(MID(TRIM(A425),FIND("]",TRIM(A425)&amp;"]")+1,200)),TRIM(A425))),""))</f>
      </c>
      <c r="C425" s="17">
        <f>IF(B425&lt;&gt;"",B425,C424)</f>
      </c>
      <c r="D425" s="17">
        <f>IF(A425="","",IF(OR(LEFT(UPPER(TRIM(A425)),2)="Y:",LEFT(UPPER(TRIM(A425)),10)="YESTERDAY:"),"Y",IF(OR(LEFT(UPPER(TRIM(A425)),2)="T:",LEFT(UPPER(TRIM(A425)),6)="TODAY:"),"T",IF(OR(LEFT(UPPER(TRIM(A425)),2)="B:",LEFT(UPPER(TRIM(A425)),8)="BLOCKER:",LEFT(UPPER(TRIM(A425)),9)="BLOCKERS:",LEFT(UPPER(TRIM(A425)),8)="BLOCKED:"),"B",""))))</f>
      </c>
      <c r="E425" s="17">
        <f>IF(D425="","",TRIM(MID(A425,FIND(":",A425)+1,500)))</f>
      </c>
    </row>
    <row r="426">
      <c r="B426" s="17">
        <f>IF(A426="","",IF(COUNTIF(Roster[Name],IF(RIGHT(IF(LEFT(TRIM(A426),1)="[",TRIM(MID(TRIM(A426),FIND("]",TRIM(A426)&amp;"]")+1,200)),TRIM(A426)),1)=")",TRIM(LEFT(IF(LEFT(TRIM(A426),1)="[",TRIM(MID(TRIM(A426),FIND("]",TRIM(A426)&amp;"]")+1,200)),TRIM(A426)),FIND("(",IF(LEFT(TRIM(A426),1)="[",TRIM(MID(TRIM(A426),FIND("]",TRIM(A426)&amp;"]")+1,200)),TRIM(A426))&amp;"(")-1)),IF(LEFT(TRIM(A426),1)="[",TRIM(MID(TRIM(A426),FIND("]",TRIM(A426)&amp;"]")+1,200)),TRIM(A426))))&gt;0,IF(RIGHT(IF(LEFT(TRIM(A426),1)="[",TRIM(MID(TRIM(A426),FIND("]",TRIM(A426)&amp;"]")+1,200)),TRIM(A426)),1)=")",TRIM(LEFT(IF(LEFT(TRIM(A426),1)="[",TRIM(MID(TRIM(A426),FIND("]",TRIM(A426)&amp;"]")+1,200)),TRIM(A426)),FIND("(",IF(LEFT(TRIM(A426),1)="[",TRIM(MID(TRIM(A426),FIND("]",TRIM(A426)&amp;"]")+1,200)),TRIM(A426))&amp;"(")-1)),IF(LEFT(TRIM(A426),1)="[",TRIM(MID(TRIM(A426),FIND("]",TRIM(A426)&amp;"]")+1,200)),TRIM(A426))),""))</f>
      </c>
      <c r="C426" s="17">
        <f>IF(B426&lt;&gt;"",B426,C425)</f>
      </c>
      <c r="D426" s="17">
        <f>IF(A426="","",IF(OR(LEFT(UPPER(TRIM(A426)),2)="Y:",LEFT(UPPER(TRIM(A426)),10)="YESTERDAY:"),"Y",IF(OR(LEFT(UPPER(TRIM(A426)),2)="T:",LEFT(UPPER(TRIM(A426)),6)="TODAY:"),"T",IF(OR(LEFT(UPPER(TRIM(A426)),2)="B:",LEFT(UPPER(TRIM(A426)),8)="BLOCKER:",LEFT(UPPER(TRIM(A426)),9)="BLOCKERS:",LEFT(UPPER(TRIM(A426)),8)="BLOCKED:"),"B",""))))</f>
      </c>
      <c r="E426" s="17">
        <f>IF(D426="","",TRIM(MID(A426,FIND(":",A426)+1,500)))</f>
      </c>
    </row>
    <row r="427">
      <c r="B427" s="17">
        <f>IF(A427="","",IF(COUNTIF(Roster[Name],IF(RIGHT(IF(LEFT(TRIM(A427),1)="[",TRIM(MID(TRIM(A427),FIND("]",TRIM(A427)&amp;"]")+1,200)),TRIM(A427)),1)=")",TRIM(LEFT(IF(LEFT(TRIM(A427),1)="[",TRIM(MID(TRIM(A427),FIND("]",TRIM(A427)&amp;"]")+1,200)),TRIM(A427)),FIND("(",IF(LEFT(TRIM(A427),1)="[",TRIM(MID(TRIM(A427),FIND("]",TRIM(A427)&amp;"]")+1,200)),TRIM(A427))&amp;"(")-1)),IF(LEFT(TRIM(A427),1)="[",TRIM(MID(TRIM(A427),FIND("]",TRIM(A427)&amp;"]")+1,200)),TRIM(A427))))&gt;0,IF(RIGHT(IF(LEFT(TRIM(A427),1)="[",TRIM(MID(TRIM(A427),FIND("]",TRIM(A427)&amp;"]")+1,200)),TRIM(A427)),1)=")",TRIM(LEFT(IF(LEFT(TRIM(A427),1)="[",TRIM(MID(TRIM(A427),FIND("]",TRIM(A427)&amp;"]")+1,200)),TRIM(A427)),FIND("(",IF(LEFT(TRIM(A427),1)="[",TRIM(MID(TRIM(A427),FIND("]",TRIM(A427)&amp;"]")+1,200)),TRIM(A427))&amp;"(")-1)),IF(LEFT(TRIM(A427),1)="[",TRIM(MID(TRIM(A427),FIND("]",TRIM(A427)&amp;"]")+1,200)),TRIM(A427))),""))</f>
      </c>
      <c r="C427" s="17">
        <f>IF(B427&lt;&gt;"",B427,C426)</f>
      </c>
      <c r="D427" s="17">
        <f>IF(A427="","",IF(OR(LEFT(UPPER(TRIM(A427)),2)="Y:",LEFT(UPPER(TRIM(A427)),10)="YESTERDAY:"),"Y",IF(OR(LEFT(UPPER(TRIM(A427)),2)="T:",LEFT(UPPER(TRIM(A427)),6)="TODAY:"),"T",IF(OR(LEFT(UPPER(TRIM(A427)),2)="B:",LEFT(UPPER(TRIM(A427)),8)="BLOCKER:",LEFT(UPPER(TRIM(A427)),9)="BLOCKERS:",LEFT(UPPER(TRIM(A427)),8)="BLOCKED:"),"B",""))))</f>
      </c>
      <c r="E427" s="17">
        <f>IF(D427="","",TRIM(MID(A427,FIND(":",A427)+1,500)))</f>
      </c>
    </row>
    <row r="428">
      <c r="B428" s="17">
        <f>IF(A428="","",IF(COUNTIF(Roster[Name],IF(RIGHT(IF(LEFT(TRIM(A428),1)="[",TRIM(MID(TRIM(A428),FIND("]",TRIM(A428)&amp;"]")+1,200)),TRIM(A428)),1)=")",TRIM(LEFT(IF(LEFT(TRIM(A428),1)="[",TRIM(MID(TRIM(A428),FIND("]",TRIM(A428)&amp;"]")+1,200)),TRIM(A428)),FIND("(",IF(LEFT(TRIM(A428),1)="[",TRIM(MID(TRIM(A428),FIND("]",TRIM(A428)&amp;"]")+1,200)),TRIM(A428))&amp;"(")-1)),IF(LEFT(TRIM(A428),1)="[",TRIM(MID(TRIM(A428),FIND("]",TRIM(A428)&amp;"]")+1,200)),TRIM(A428))))&gt;0,IF(RIGHT(IF(LEFT(TRIM(A428),1)="[",TRIM(MID(TRIM(A428),FIND("]",TRIM(A428)&amp;"]")+1,200)),TRIM(A428)),1)=")",TRIM(LEFT(IF(LEFT(TRIM(A428),1)="[",TRIM(MID(TRIM(A428),FIND("]",TRIM(A428)&amp;"]")+1,200)),TRIM(A428)),FIND("(",IF(LEFT(TRIM(A428),1)="[",TRIM(MID(TRIM(A428),FIND("]",TRIM(A428)&amp;"]")+1,200)),TRIM(A428))&amp;"(")-1)),IF(LEFT(TRIM(A428),1)="[",TRIM(MID(TRIM(A428),FIND("]",TRIM(A428)&amp;"]")+1,200)),TRIM(A428))),""))</f>
      </c>
      <c r="C428" s="17">
        <f>IF(B428&lt;&gt;"",B428,C427)</f>
      </c>
      <c r="D428" s="17">
        <f>IF(A428="","",IF(OR(LEFT(UPPER(TRIM(A428)),2)="Y:",LEFT(UPPER(TRIM(A428)),10)="YESTERDAY:"),"Y",IF(OR(LEFT(UPPER(TRIM(A428)),2)="T:",LEFT(UPPER(TRIM(A428)),6)="TODAY:"),"T",IF(OR(LEFT(UPPER(TRIM(A428)),2)="B:",LEFT(UPPER(TRIM(A428)),8)="BLOCKER:",LEFT(UPPER(TRIM(A428)),9)="BLOCKERS:",LEFT(UPPER(TRIM(A428)),8)="BLOCKED:"),"B",""))))</f>
      </c>
      <c r="E428" s="17">
        <f>IF(D428="","",TRIM(MID(A428,FIND(":",A428)+1,500)))</f>
      </c>
    </row>
    <row r="429">
      <c r="B429" s="17">
        <f>IF(A429="","",IF(COUNTIF(Roster[Name],IF(RIGHT(IF(LEFT(TRIM(A429),1)="[",TRIM(MID(TRIM(A429),FIND("]",TRIM(A429)&amp;"]")+1,200)),TRIM(A429)),1)=")",TRIM(LEFT(IF(LEFT(TRIM(A429),1)="[",TRIM(MID(TRIM(A429),FIND("]",TRIM(A429)&amp;"]")+1,200)),TRIM(A429)),FIND("(",IF(LEFT(TRIM(A429),1)="[",TRIM(MID(TRIM(A429),FIND("]",TRIM(A429)&amp;"]")+1,200)),TRIM(A429))&amp;"(")-1)),IF(LEFT(TRIM(A429),1)="[",TRIM(MID(TRIM(A429),FIND("]",TRIM(A429)&amp;"]")+1,200)),TRIM(A429))))&gt;0,IF(RIGHT(IF(LEFT(TRIM(A429),1)="[",TRIM(MID(TRIM(A429),FIND("]",TRIM(A429)&amp;"]")+1,200)),TRIM(A429)),1)=")",TRIM(LEFT(IF(LEFT(TRIM(A429),1)="[",TRIM(MID(TRIM(A429),FIND("]",TRIM(A429)&amp;"]")+1,200)),TRIM(A429)),FIND("(",IF(LEFT(TRIM(A429),1)="[",TRIM(MID(TRIM(A429),FIND("]",TRIM(A429)&amp;"]")+1,200)),TRIM(A429))&amp;"(")-1)),IF(LEFT(TRIM(A429),1)="[",TRIM(MID(TRIM(A429),FIND("]",TRIM(A429)&amp;"]")+1,200)),TRIM(A429))),""))</f>
      </c>
      <c r="C429" s="17">
        <f>IF(B429&lt;&gt;"",B429,C428)</f>
      </c>
      <c r="D429" s="17">
        <f>IF(A429="","",IF(OR(LEFT(UPPER(TRIM(A429)),2)="Y:",LEFT(UPPER(TRIM(A429)),10)="YESTERDAY:"),"Y",IF(OR(LEFT(UPPER(TRIM(A429)),2)="T:",LEFT(UPPER(TRIM(A429)),6)="TODAY:"),"T",IF(OR(LEFT(UPPER(TRIM(A429)),2)="B:",LEFT(UPPER(TRIM(A429)),8)="BLOCKER:",LEFT(UPPER(TRIM(A429)),9)="BLOCKERS:",LEFT(UPPER(TRIM(A429)),8)="BLOCKED:"),"B",""))))</f>
      </c>
      <c r="E429" s="17">
        <f>IF(D429="","",TRIM(MID(A429,FIND(":",A429)+1,500)))</f>
      </c>
    </row>
    <row r="430">
      <c r="B430" s="17">
        <f>IF(A430="","",IF(COUNTIF(Roster[Name],IF(RIGHT(IF(LEFT(TRIM(A430),1)="[",TRIM(MID(TRIM(A430),FIND("]",TRIM(A430)&amp;"]")+1,200)),TRIM(A430)),1)=")",TRIM(LEFT(IF(LEFT(TRIM(A430),1)="[",TRIM(MID(TRIM(A430),FIND("]",TRIM(A430)&amp;"]")+1,200)),TRIM(A430)),FIND("(",IF(LEFT(TRIM(A430),1)="[",TRIM(MID(TRIM(A430),FIND("]",TRIM(A430)&amp;"]")+1,200)),TRIM(A430))&amp;"(")-1)),IF(LEFT(TRIM(A430),1)="[",TRIM(MID(TRIM(A430),FIND("]",TRIM(A430)&amp;"]")+1,200)),TRIM(A430))))&gt;0,IF(RIGHT(IF(LEFT(TRIM(A430),1)="[",TRIM(MID(TRIM(A430),FIND("]",TRIM(A430)&amp;"]")+1,200)),TRIM(A430)),1)=")",TRIM(LEFT(IF(LEFT(TRIM(A430),1)="[",TRIM(MID(TRIM(A430),FIND("]",TRIM(A430)&amp;"]")+1,200)),TRIM(A430)),FIND("(",IF(LEFT(TRIM(A430),1)="[",TRIM(MID(TRIM(A430),FIND("]",TRIM(A430)&amp;"]")+1,200)),TRIM(A430))&amp;"(")-1)),IF(LEFT(TRIM(A430),1)="[",TRIM(MID(TRIM(A430),FIND("]",TRIM(A430)&amp;"]")+1,200)),TRIM(A430))),""))</f>
      </c>
      <c r="C430" s="17">
        <f>IF(B430&lt;&gt;"",B430,C429)</f>
      </c>
      <c r="D430" s="17">
        <f>IF(A430="","",IF(OR(LEFT(UPPER(TRIM(A430)),2)="Y:",LEFT(UPPER(TRIM(A430)),10)="YESTERDAY:"),"Y",IF(OR(LEFT(UPPER(TRIM(A430)),2)="T:",LEFT(UPPER(TRIM(A430)),6)="TODAY:"),"T",IF(OR(LEFT(UPPER(TRIM(A430)),2)="B:",LEFT(UPPER(TRIM(A430)),8)="BLOCKER:",LEFT(UPPER(TRIM(A430)),9)="BLOCKERS:",LEFT(UPPER(TRIM(A430)),8)="BLOCKED:"),"B",""))))</f>
      </c>
      <c r="E430" s="17">
        <f>IF(D430="","",TRIM(MID(A430,FIND(":",A430)+1,500)))</f>
      </c>
    </row>
    <row r="431">
      <c r="B431" s="17">
        <f>IF(A431="","",IF(COUNTIF(Roster[Name],IF(RIGHT(IF(LEFT(TRIM(A431),1)="[",TRIM(MID(TRIM(A431),FIND("]",TRIM(A431)&amp;"]")+1,200)),TRIM(A431)),1)=")",TRIM(LEFT(IF(LEFT(TRIM(A431),1)="[",TRIM(MID(TRIM(A431),FIND("]",TRIM(A431)&amp;"]")+1,200)),TRIM(A431)),FIND("(",IF(LEFT(TRIM(A431),1)="[",TRIM(MID(TRIM(A431),FIND("]",TRIM(A431)&amp;"]")+1,200)),TRIM(A431))&amp;"(")-1)),IF(LEFT(TRIM(A431),1)="[",TRIM(MID(TRIM(A431),FIND("]",TRIM(A431)&amp;"]")+1,200)),TRIM(A431))))&gt;0,IF(RIGHT(IF(LEFT(TRIM(A431),1)="[",TRIM(MID(TRIM(A431),FIND("]",TRIM(A431)&amp;"]")+1,200)),TRIM(A431)),1)=")",TRIM(LEFT(IF(LEFT(TRIM(A431),1)="[",TRIM(MID(TRIM(A431),FIND("]",TRIM(A431)&amp;"]")+1,200)),TRIM(A431)),FIND("(",IF(LEFT(TRIM(A431),1)="[",TRIM(MID(TRIM(A431),FIND("]",TRIM(A431)&amp;"]")+1,200)),TRIM(A431))&amp;"(")-1)),IF(LEFT(TRIM(A431),1)="[",TRIM(MID(TRIM(A431),FIND("]",TRIM(A431)&amp;"]")+1,200)),TRIM(A431))),""))</f>
      </c>
      <c r="C431" s="17">
        <f>IF(B431&lt;&gt;"",B431,C430)</f>
      </c>
      <c r="D431" s="17">
        <f>IF(A431="","",IF(OR(LEFT(UPPER(TRIM(A431)),2)="Y:",LEFT(UPPER(TRIM(A431)),10)="YESTERDAY:"),"Y",IF(OR(LEFT(UPPER(TRIM(A431)),2)="T:",LEFT(UPPER(TRIM(A431)),6)="TODAY:"),"T",IF(OR(LEFT(UPPER(TRIM(A431)),2)="B:",LEFT(UPPER(TRIM(A431)),8)="BLOCKER:",LEFT(UPPER(TRIM(A431)),9)="BLOCKERS:",LEFT(UPPER(TRIM(A431)),8)="BLOCKED:"),"B",""))))</f>
      </c>
      <c r="E431" s="17">
        <f>IF(D431="","",TRIM(MID(A431,FIND(":",A431)+1,500)))</f>
      </c>
    </row>
    <row r="432">
      <c r="B432" s="17">
        <f>IF(A432="","",IF(COUNTIF(Roster[Name],IF(RIGHT(IF(LEFT(TRIM(A432),1)="[",TRIM(MID(TRIM(A432),FIND("]",TRIM(A432)&amp;"]")+1,200)),TRIM(A432)),1)=")",TRIM(LEFT(IF(LEFT(TRIM(A432),1)="[",TRIM(MID(TRIM(A432),FIND("]",TRIM(A432)&amp;"]")+1,200)),TRIM(A432)),FIND("(",IF(LEFT(TRIM(A432),1)="[",TRIM(MID(TRIM(A432),FIND("]",TRIM(A432)&amp;"]")+1,200)),TRIM(A432))&amp;"(")-1)),IF(LEFT(TRIM(A432),1)="[",TRIM(MID(TRIM(A432),FIND("]",TRIM(A432)&amp;"]")+1,200)),TRIM(A432))))&gt;0,IF(RIGHT(IF(LEFT(TRIM(A432),1)="[",TRIM(MID(TRIM(A432),FIND("]",TRIM(A432)&amp;"]")+1,200)),TRIM(A432)),1)=")",TRIM(LEFT(IF(LEFT(TRIM(A432),1)="[",TRIM(MID(TRIM(A432),FIND("]",TRIM(A432)&amp;"]")+1,200)),TRIM(A432)),FIND("(",IF(LEFT(TRIM(A432),1)="[",TRIM(MID(TRIM(A432),FIND("]",TRIM(A432)&amp;"]")+1,200)),TRIM(A432))&amp;"(")-1)),IF(LEFT(TRIM(A432),1)="[",TRIM(MID(TRIM(A432),FIND("]",TRIM(A432)&amp;"]")+1,200)),TRIM(A432))),""))</f>
      </c>
      <c r="C432" s="17">
        <f>IF(B432&lt;&gt;"",B432,C431)</f>
      </c>
      <c r="D432" s="17">
        <f>IF(A432="","",IF(OR(LEFT(UPPER(TRIM(A432)),2)="Y:",LEFT(UPPER(TRIM(A432)),10)="YESTERDAY:"),"Y",IF(OR(LEFT(UPPER(TRIM(A432)),2)="T:",LEFT(UPPER(TRIM(A432)),6)="TODAY:"),"T",IF(OR(LEFT(UPPER(TRIM(A432)),2)="B:",LEFT(UPPER(TRIM(A432)),8)="BLOCKER:",LEFT(UPPER(TRIM(A432)),9)="BLOCKERS:",LEFT(UPPER(TRIM(A432)),8)="BLOCKED:"),"B",""))))</f>
      </c>
      <c r="E432" s="17">
        <f>IF(D432="","",TRIM(MID(A432,FIND(":",A432)+1,500)))</f>
      </c>
    </row>
    <row r="433">
      <c r="B433" s="17">
        <f>IF(A433="","",IF(COUNTIF(Roster[Name],IF(RIGHT(IF(LEFT(TRIM(A433),1)="[",TRIM(MID(TRIM(A433),FIND("]",TRIM(A433)&amp;"]")+1,200)),TRIM(A433)),1)=")",TRIM(LEFT(IF(LEFT(TRIM(A433),1)="[",TRIM(MID(TRIM(A433),FIND("]",TRIM(A433)&amp;"]")+1,200)),TRIM(A433)),FIND("(",IF(LEFT(TRIM(A433),1)="[",TRIM(MID(TRIM(A433),FIND("]",TRIM(A433)&amp;"]")+1,200)),TRIM(A433))&amp;"(")-1)),IF(LEFT(TRIM(A433),1)="[",TRIM(MID(TRIM(A433),FIND("]",TRIM(A433)&amp;"]")+1,200)),TRIM(A433))))&gt;0,IF(RIGHT(IF(LEFT(TRIM(A433),1)="[",TRIM(MID(TRIM(A433),FIND("]",TRIM(A433)&amp;"]")+1,200)),TRIM(A433)),1)=")",TRIM(LEFT(IF(LEFT(TRIM(A433),1)="[",TRIM(MID(TRIM(A433),FIND("]",TRIM(A433)&amp;"]")+1,200)),TRIM(A433)),FIND("(",IF(LEFT(TRIM(A433),1)="[",TRIM(MID(TRIM(A433),FIND("]",TRIM(A433)&amp;"]")+1,200)),TRIM(A433))&amp;"(")-1)),IF(LEFT(TRIM(A433),1)="[",TRIM(MID(TRIM(A433),FIND("]",TRIM(A433)&amp;"]")+1,200)),TRIM(A433))),""))</f>
      </c>
      <c r="C433" s="17">
        <f>IF(B433&lt;&gt;"",B433,C432)</f>
      </c>
      <c r="D433" s="17">
        <f>IF(A433="","",IF(OR(LEFT(UPPER(TRIM(A433)),2)="Y:",LEFT(UPPER(TRIM(A433)),10)="YESTERDAY:"),"Y",IF(OR(LEFT(UPPER(TRIM(A433)),2)="T:",LEFT(UPPER(TRIM(A433)),6)="TODAY:"),"T",IF(OR(LEFT(UPPER(TRIM(A433)),2)="B:",LEFT(UPPER(TRIM(A433)),8)="BLOCKER:",LEFT(UPPER(TRIM(A433)),9)="BLOCKERS:",LEFT(UPPER(TRIM(A433)),8)="BLOCKED:"),"B",""))))</f>
      </c>
      <c r="E433" s="17">
        <f>IF(D433="","",TRIM(MID(A433,FIND(":",A433)+1,500)))</f>
      </c>
    </row>
    <row r="434">
      <c r="B434" s="17">
        <f>IF(A434="","",IF(COUNTIF(Roster[Name],IF(RIGHT(IF(LEFT(TRIM(A434),1)="[",TRIM(MID(TRIM(A434),FIND("]",TRIM(A434)&amp;"]")+1,200)),TRIM(A434)),1)=")",TRIM(LEFT(IF(LEFT(TRIM(A434),1)="[",TRIM(MID(TRIM(A434),FIND("]",TRIM(A434)&amp;"]")+1,200)),TRIM(A434)),FIND("(",IF(LEFT(TRIM(A434),1)="[",TRIM(MID(TRIM(A434),FIND("]",TRIM(A434)&amp;"]")+1,200)),TRIM(A434))&amp;"(")-1)),IF(LEFT(TRIM(A434),1)="[",TRIM(MID(TRIM(A434),FIND("]",TRIM(A434)&amp;"]")+1,200)),TRIM(A434))))&gt;0,IF(RIGHT(IF(LEFT(TRIM(A434),1)="[",TRIM(MID(TRIM(A434),FIND("]",TRIM(A434)&amp;"]")+1,200)),TRIM(A434)),1)=")",TRIM(LEFT(IF(LEFT(TRIM(A434),1)="[",TRIM(MID(TRIM(A434),FIND("]",TRIM(A434)&amp;"]")+1,200)),TRIM(A434)),FIND("(",IF(LEFT(TRIM(A434),1)="[",TRIM(MID(TRIM(A434),FIND("]",TRIM(A434)&amp;"]")+1,200)),TRIM(A434))&amp;"(")-1)),IF(LEFT(TRIM(A434),1)="[",TRIM(MID(TRIM(A434),FIND("]",TRIM(A434)&amp;"]")+1,200)),TRIM(A434))),""))</f>
      </c>
      <c r="C434" s="17">
        <f>IF(B434&lt;&gt;"",B434,C433)</f>
      </c>
      <c r="D434" s="17">
        <f>IF(A434="","",IF(OR(LEFT(UPPER(TRIM(A434)),2)="Y:",LEFT(UPPER(TRIM(A434)),10)="YESTERDAY:"),"Y",IF(OR(LEFT(UPPER(TRIM(A434)),2)="T:",LEFT(UPPER(TRIM(A434)),6)="TODAY:"),"T",IF(OR(LEFT(UPPER(TRIM(A434)),2)="B:",LEFT(UPPER(TRIM(A434)),8)="BLOCKER:",LEFT(UPPER(TRIM(A434)),9)="BLOCKERS:",LEFT(UPPER(TRIM(A434)),8)="BLOCKED:"),"B",""))))</f>
      </c>
      <c r="E434" s="17">
        <f>IF(D434="","",TRIM(MID(A434,FIND(":",A434)+1,500)))</f>
      </c>
    </row>
    <row r="435">
      <c r="B435" s="17">
        <f>IF(A435="","",IF(COUNTIF(Roster[Name],IF(RIGHT(IF(LEFT(TRIM(A435),1)="[",TRIM(MID(TRIM(A435),FIND("]",TRIM(A435)&amp;"]")+1,200)),TRIM(A435)),1)=")",TRIM(LEFT(IF(LEFT(TRIM(A435),1)="[",TRIM(MID(TRIM(A435),FIND("]",TRIM(A435)&amp;"]")+1,200)),TRIM(A435)),FIND("(",IF(LEFT(TRIM(A435),1)="[",TRIM(MID(TRIM(A435),FIND("]",TRIM(A435)&amp;"]")+1,200)),TRIM(A435))&amp;"(")-1)),IF(LEFT(TRIM(A435),1)="[",TRIM(MID(TRIM(A435),FIND("]",TRIM(A435)&amp;"]")+1,200)),TRIM(A435))))&gt;0,IF(RIGHT(IF(LEFT(TRIM(A435),1)="[",TRIM(MID(TRIM(A435),FIND("]",TRIM(A435)&amp;"]")+1,200)),TRIM(A435)),1)=")",TRIM(LEFT(IF(LEFT(TRIM(A435),1)="[",TRIM(MID(TRIM(A435),FIND("]",TRIM(A435)&amp;"]")+1,200)),TRIM(A435)),FIND("(",IF(LEFT(TRIM(A435),1)="[",TRIM(MID(TRIM(A435),FIND("]",TRIM(A435)&amp;"]")+1,200)),TRIM(A435))&amp;"(")-1)),IF(LEFT(TRIM(A435),1)="[",TRIM(MID(TRIM(A435),FIND("]",TRIM(A435)&amp;"]")+1,200)),TRIM(A435))),""))</f>
      </c>
      <c r="C435" s="17">
        <f>IF(B435&lt;&gt;"",B435,C434)</f>
      </c>
      <c r="D435" s="17">
        <f>IF(A435="","",IF(OR(LEFT(UPPER(TRIM(A435)),2)="Y:",LEFT(UPPER(TRIM(A435)),10)="YESTERDAY:"),"Y",IF(OR(LEFT(UPPER(TRIM(A435)),2)="T:",LEFT(UPPER(TRIM(A435)),6)="TODAY:"),"T",IF(OR(LEFT(UPPER(TRIM(A435)),2)="B:",LEFT(UPPER(TRIM(A435)),8)="BLOCKER:",LEFT(UPPER(TRIM(A435)),9)="BLOCKERS:",LEFT(UPPER(TRIM(A435)),8)="BLOCKED:"),"B",""))))</f>
      </c>
      <c r="E435" s="17">
        <f>IF(D435="","",TRIM(MID(A435,FIND(":",A435)+1,500)))</f>
      </c>
    </row>
    <row r="436">
      <c r="B436" s="17">
        <f>IF(A436="","",IF(COUNTIF(Roster[Name],IF(RIGHT(IF(LEFT(TRIM(A436),1)="[",TRIM(MID(TRIM(A436),FIND("]",TRIM(A436)&amp;"]")+1,200)),TRIM(A436)),1)=")",TRIM(LEFT(IF(LEFT(TRIM(A436),1)="[",TRIM(MID(TRIM(A436),FIND("]",TRIM(A436)&amp;"]")+1,200)),TRIM(A436)),FIND("(",IF(LEFT(TRIM(A436),1)="[",TRIM(MID(TRIM(A436),FIND("]",TRIM(A436)&amp;"]")+1,200)),TRIM(A436))&amp;"(")-1)),IF(LEFT(TRIM(A436),1)="[",TRIM(MID(TRIM(A436),FIND("]",TRIM(A436)&amp;"]")+1,200)),TRIM(A436))))&gt;0,IF(RIGHT(IF(LEFT(TRIM(A436),1)="[",TRIM(MID(TRIM(A436),FIND("]",TRIM(A436)&amp;"]")+1,200)),TRIM(A436)),1)=")",TRIM(LEFT(IF(LEFT(TRIM(A436),1)="[",TRIM(MID(TRIM(A436),FIND("]",TRIM(A436)&amp;"]")+1,200)),TRIM(A436)),FIND("(",IF(LEFT(TRIM(A436),1)="[",TRIM(MID(TRIM(A436),FIND("]",TRIM(A436)&amp;"]")+1,200)),TRIM(A436))&amp;"(")-1)),IF(LEFT(TRIM(A436),1)="[",TRIM(MID(TRIM(A436),FIND("]",TRIM(A436)&amp;"]")+1,200)),TRIM(A436))),""))</f>
      </c>
      <c r="C436" s="17">
        <f>IF(B436&lt;&gt;"",B436,C435)</f>
      </c>
      <c r="D436" s="17">
        <f>IF(A436="","",IF(OR(LEFT(UPPER(TRIM(A436)),2)="Y:",LEFT(UPPER(TRIM(A436)),10)="YESTERDAY:"),"Y",IF(OR(LEFT(UPPER(TRIM(A436)),2)="T:",LEFT(UPPER(TRIM(A436)),6)="TODAY:"),"T",IF(OR(LEFT(UPPER(TRIM(A436)),2)="B:",LEFT(UPPER(TRIM(A436)),8)="BLOCKER:",LEFT(UPPER(TRIM(A436)),9)="BLOCKERS:",LEFT(UPPER(TRIM(A436)),8)="BLOCKED:"),"B",""))))</f>
      </c>
      <c r="E436" s="17">
        <f>IF(D436="","",TRIM(MID(A436,FIND(":",A436)+1,500)))</f>
      </c>
    </row>
    <row r="437">
      <c r="B437" s="17">
        <f>IF(A437="","",IF(COUNTIF(Roster[Name],IF(RIGHT(IF(LEFT(TRIM(A437),1)="[",TRIM(MID(TRIM(A437),FIND("]",TRIM(A437)&amp;"]")+1,200)),TRIM(A437)),1)=")",TRIM(LEFT(IF(LEFT(TRIM(A437),1)="[",TRIM(MID(TRIM(A437),FIND("]",TRIM(A437)&amp;"]")+1,200)),TRIM(A437)),FIND("(",IF(LEFT(TRIM(A437),1)="[",TRIM(MID(TRIM(A437),FIND("]",TRIM(A437)&amp;"]")+1,200)),TRIM(A437))&amp;"(")-1)),IF(LEFT(TRIM(A437),1)="[",TRIM(MID(TRIM(A437),FIND("]",TRIM(A437)&amp;"]")+1,200)),TRIM(A437))))&gt;0,IF(RIGHT(IF(LEFT(TRIM(A437),1)="[",TRIM(MID(TRIM(A437),FIND("]",TRIM(A437)&amp;"]")+1,200)),TRIM(A437)),1)=")",TRIM(LEFT(IF(LEFT(TRIM(A437),1)="[",TRIM(MID(TRIM(A437),FIND("]",TRIM(A437)&amp;"]")+1,200)),TRIM(A437)),FIND("(",IF(LEFT(TRIM(A437),1)="[",TRIM(MID(TRIM(A437),FIND("]",TRIM(A437)&amp;"]")+1,200)),TRIM(A437))&amp;"(")-1)),IF(LEFT(TRIM(A437),1)="[",TRIM(MID(TRIM(A437),FIND("]",TRIM(A437)&amp;"]")+1,200)),TRIM(A437))),""))</f>
      </c>
      <c r="C437" s="17">
        <f>IF(B437&lt;&gt;"",B437,C436)</f>
      </c>
      <c r="D437" s="17">
        <f>IF(A437="","",IF(OR(LEFT(UPPER(TRIM(A437)),2)="Y:",LEFT(UPPER(TRIM(A437)),10)="YESTERDAY:"),"Y",IF(OR(LEFT(UPPER(TRIM(A437)),2)="T:",LEFT(UPPER(TRIM(A437)),6)="TODAY:"),"T",IF(OR(LEFT(UPPER(TRIM(A437)),2)="B:",LEFT(UPPER(TRIM(A437)),8)="BLOCKER:",LEFT(UPPER(TRIM(A437)),9)="BLOCKERS:",LEFT(UPPER(TRIM(A437)),8)="BLOCKED:"),"B",""))))</f>
      </c>
      <c r="E437" s="17">
        <f>IF(D437="","",TRIM(MID(A437,FIND(":",A437)+1,500)))</f>
      </c>
    </row>
    <row r="438">
      <c r="B438" s="17">
        <f>IF(A438="","",IF(COUNTIF(Roster[Name],IF(RIGHT(IF(LEFT(TRIM(A438),1)="[",TRIM(MID(TRIM(A438),FIND("]",TRIM(A438)&amp;"]")+1,200)),TRIM(A438)),1)=")",TRIM(LEFT(IF(LEFT(TRIM(A438),1)="[",TRIM(MID(TRIM(A438),FIND("]",TRIM(A438)&amp;"]")+1,200)),TRIM(A438)),FIND("(",IF(LEFT(TRIM(A438),1)="[",TRIM(MID(TRIM(A438),FIND("]",TRIM(A438)&amp;"]")+1,200)),TRIM(A438))&amp;"(")-1)),IF(LEFT(TRIM(A438),1)="[",TRIM(MID(TRIM(A438),FIND("]",TRIM(A438)&amp;"]")+1,200)),TRIM(A438))))&gt;0,IF(RIGHT(IF(LEFT(TRIM(A438),1)="[",TRIM(MID(TRIM(A438),FIND("]",TRIM(A438)&amp;"]")+1,200)),TRIM(A438)),1)=")",TRIM(LEFT(IF(LEFT(TRIM(A438),1)="[",TRIM(MID(TRIM(A438),FIND("]",TRIM(A438)&amp;"]")+1,200)),TRIM(A438)),FIND("(",IF(LEFT(TRIM(A438),1)="[",TRIM(MID(TRIM(A438),FIND("]",TRIM(A438)&amp;"]")+1,200)),TRIM(A438))&amp;"(")-1)),IF(LEFT(TRIM(A438),1)="[",TRIM(MID(TRIM(A438),FIND("]",TRIM(A438)&amp;"]")+1,200)),TRIM(A438))),""))</f>
      </c>
      <c r="C438" s="17">
        <f>IF(B438&lt;&gt;"",B438,C437)</f>
      </c>
      <c r="D438" s="17">
        <f>IF(A438="","",IF(OR(LEFT(UPPER(TRIM(A438)),2)="Y:",LEFT(UPPER(TRIM(A438)),10)="YESTERDAY:"),"Y",IF(OR(LEFT(UPPER(TRIM(A438)),2)="T:",LEFT(UPPER(TRIM(A438)),6)="TODAY:"),"T",IF(OR(LEFT(UPPER(TRIM(A438)),2)="B:",LEFT(UPPER(TRIM(A438)),8)="BLOCKER:",LEFT(UPPER(TRIM(A438)),9)="BLOCKERS:",LEFT(UPPER(TRIM(A438)),8)="BLOCKED:"),"B",""))))</f>
      </c>
      <c r="E438" s="17">
        <f>IF(D438="","",TRIM(MID(A438,FIND(":",A438)+1,500)))</f>
      </c>
    </row>
    <row r="439">
      <c r="B439" s="17">
        <f>IF(A439="","",IF(COUNTIF(Roster[Name],IF(RIGHT(IF(LEFT(TRIM(A439),1)="[",TRIM(MID(TRIM(A439),FIND("]",TRIM(A439)&amp;"]")+1,200)),TRIM(A439)),1)=")",TRIM(LEFT(IF(LEFT(TRIM(A439),1)="[",TRIM(MID(TRIM(A439),FIND("]",TRIM(A439)&amp;"]")+1,200)),TRIM(A439)),FIND("(",IF(LEFT(TRIM(A439),1)="[",TRIM(MID(TRIM(A439),FIND("]",TRIM(A439)&amp;"]")+1,200)),TRIM(A439))&amp;"(")-1)),IF(LEFT(TRIM(A439),1)="[",TRIM(MID(TRIM(A439),FIND("]",TRIM(A439)&amp;"]")+1,200)),TRIM(A439))))&gt;0,IF(RIGHT(IF(LEFT(TRIM(A439),1)="[",TRIM(MID(TRIM(A439),FIND("]",TRIM(A439)&amp;"]")+1,200)),TRIM(A439)),1)=")",TRIM(LEFT(IF(LEFT(TRIM(A439),1)="[",TRIM(MID(TRIM(A439),FIND("]",TRIM(A439)&amp;"]")+1,200)),TRIM(A439)),FIND("(",IF(LEFT(TRIM(A439),1)="[",TRIM(MID(TRIM(A439),FIND("]",TRIM(A439)&amp;"]")+1,200)),TRIM(A439))&amp;"(")-1)),IF(LEFT(TRIM(A439),1)="[",TRIM(MID(TRIM(A439),FIND("]",TRIM(A439)&amp;"]")+1,200)),TRIM(A439))),""))</f>
      </c>
      <c r="C439" s="17">
        <f>IF(B439&lt;&gt;"",B439,C438)</f>
      </c>
      <c r="D439" s="17">
        <f>IF(A439="","",IF(OR(LEFT(UPPER(TRIM(A439)),2)="Y:",LEFT(UPPER(TRIM(A439)),10)="YESTERDAY:"),"Y",IF(OR(LEFT(UPPER(TRIM(A439)),2)="T:",LEFT(UPPER(TRIM(A439)),6)="TODAY:"),"T",IF(OR(LEFT(UPPER(TRIM(A439)),2)="B:",LEFT(UPPER(TRIM(A439)),8)="BLOCKER:",LEFT(UPPER(TRIM(A439)),9)="BLOCKERS:",LEFT(UPPER(TRIM(A439)),8)="BLOCKED:"),"B",""))))</f>
      </c>
      <c r="E439" s="17">
        <f>IF(D439="","",TRIM(MID(A439,FIND(":",A439)+1,500)))</f>
      </c>
    </row>
    <row r="440">
      <c r="B440" s="17">
        <f>IF(A440="","",IF(COUNTIF(Roster[Name],IF(RIGHT(IF(LEFT(TRIM(A440),1)="[",TRIM(MID(TRIM(A440),FIND("]",TRIM(A440)&amp;"]")+1,200)),TRIM(A440)),1)=")",TRIM(LEFT(IF(LEFT(TRIM(A440),1)="[",TRIM(MID(TRIM(A440),FIND("]",TRIM(A440)&amp;"]")+1,200)),TRIM(A440)),FIND("(",IF(LEFT(TRIM(A440),1)="[",TRIM(MID(TRIM(A440),FIND("]",TRIM(A440)&amp;"]")+1,200)),TRIM(A440))&amp;"(")-1)),IF(LEFT(TRIM(A440),1)="[",TRIM(MID(TRIM(A440),FIND("]",TRIM(A440)&amp;"]")+1,200)),TRIM(A440))))&gt;0,IF(RIGHT(IF(LEFT(TRIM(A440),1)="[",TRIM(MID(TRIM(A440),FIND("]",TRIM(A440)&amp;"]")+1,200)),TRIM(A440)),1)=")",TRIM(LEFT(IF(LEFT(TRIM(A440),1)="[",TRIM(MID(TRIM(A440),FIND("]",TRIM(A440)&amp;"]")+1,200)),TRIM(A440)),FIND("(",IF(LEFT(TRIM(A440),1)="[",TRIM(MID(TRIM(A440),FIND("]",TRIM(A440)&amp;"]")+1,200)),TRIM(A440))&amp;"(")-1)),IF(LEFT(TRIM(A440),1)="[",TRIM(MID(TRIM(A440),FIND("]",TRIM(A440)&amp;"]")+1,200)),TRIM(A440))),""))</f>
      </c>
      <c r="C440" s="17">
        <f>IF(B440&lt;&gt;"",B440,C439)</f>
      </c>
      <c r="D440" s="17">
        <f>IF(A440="","",IF(OR(LEFT(UPPER(TRIM(A440)),2)="Y:",LEFT(UPPER(TRIM(A440)),10)="YESTERDAY:"),"Y",IF(OR(LEFT(UPPER(TRIM(A440)),2)="T:",LEFT(UPPER(TRIM(A440)),6)="TODAY:"),"T",IF(OR(LEFT(UPPER(TRIM(A440)),2)="B:",LEFT(UPPER(TRIM(A440)),8)="BLOCKER:",LEFT(UPPER(TRIM(A440)),9)="BLOCKERS:",LEFT(UPPER(TRIM(A440)),8)="BLOCKED:"),"B",""))))</f>
      </c>
      <c r="E440" s="17">
        <f>IF(D440="","",TRIM(MID(A440,FIND(":",A440)+1,500)))</f>
      </c>
    </row>
    <row r="441">
      <c r="B441" s="17">
        <f>IF(A441="","",IF(COUNTIF(Roster[Name],IF(RIGHT(IF(LEFT(TRIM(A441),1)="[",TRIM(MID(TRIM(A441),FIND("]",TRIM(A441)&amp;"]")+1,200)),TRIM(A441)),1)=")",TRIM(LEFT(IF(LEFT(TRIM(A441),1)="[",TRIM(MID(TRIM(A441),FIND("]",TRIM(A441)&amp;"]")+1,200)),TRIM(A441)),FIND("(",IF(LEFT(TRIM(A441),1)="[",TRIM(MID(TRIM(A441),FIND("]",TRIM(A441)&amp;"]")+1,200)),TRIM(A441))&amp;"(")-1)),IF(LEFT(TRIM(A441),1)="[",TRIM(MID(TRIM(A441),FIND("]",TRIM(A441)&amp;"]")+1,200)),TRIM(A441))))&gt;0,IF(RIGHT(IF(LEFT(TRIM(A441),1)="[",TRIM(MID(TRIM(A441),FIND("]",TRIM(A441)&amp;"]")+1,200)),TRIM(A441)),1)=")",TRIM(LEFT(IF(LEFT(TRIM(A441),1)="[",TRIM(MID(TRIM(A441),FIND("]",TRIM(A441)&amp;"]")+1,200)),TRIM(A441)),FIND("(",IF(LEFT(TRIM(A441),1)="[",TRIM(MID(TRIM(A441),FIND("]",TRIM(A441)&amp;"]")+1,200)),TRIM(A441))&amp;"(")-1)),IF(LEFT(TRIM(A441),1)="[",TRIM(MID(TRIM(A441),FIND("]",TRIM(A441)&amp;"]")+1,200)),TRIM(A441))),""))</f>
      </c>
      <c r="C441" s="17">
        <f>IF(B441&lt;&gt;"",B441,C440)</f>
      </c>
      <c r="D441" s="17">
        <f>IF(A441="","",IF(OR(LEFT(UPPER(TRIM(A441)),2)="Y:",LEFT(UPPER(TRIM(A441)),10)="YESTERDAY:"),"Y",IF(OR(LEFT(UPPER(TRIM(A441)),2)="T:",LEFT(UPPER(TRIM(A441)),6)="TODAY:"),"T",IF(OR(LEFT(UPPER(TRIM(A441)),2)="B:",LEFT(UPPER(TRIM(A441)),8)="BLOCKER:",LEFT(UPPER(TRIM(A441)),9)="BLOCKERS:",LEFT(UPPER(TRIM(A441)),8)="BLOCKED:"),"B",""))))</f>
      </c>
      <c r="E441" s="17">
        <f>IF(D441="","",TRIM(MID(A441,FIND(":",A441)+1,500)))</f>
      </c>
    </row>
    <row r="442">
      <c r="B442" s="17">
        <f>IF(A442="","",IF(COUNTIF(Roster[Name],IF(RIGHT(IF(LEFT(TRIM(A442),1)="[",TRIM(MID(TRIM(A442),FIND("]",TRIM(A442)&amp;"]")+1,200)),TRIM(A442)),1)=")",TRIM(LEFT(IF(LEFT(TRIM(A442),1)="[",TRIM(MID(TRIM(A442),FIND("]",TRIM(A442)&amp;"]")+1,200)),TRIM(A442)),FIND("(",IF(LEFT(TRIM(A442),1)="[",TRIM(MID(TRIM(A442),FIND("]",TRIM(A442)&amp;"]")+1,200)),TRIM(A442))&amp;"(")-1)),IF(LEFT(TRIM(A442),1)="[",TRIM(MID(TRIM(A442),FIND("]",TRIM(A442)&amp;"]")+1,200)),TRIM(A442))))&gt;0,IF(RIGHT(IF(LEFT(TRIM(A442),1)="[",TRIM(MID(TRIM(A442),FIND("]",TRIM(A442)&amp;"]")+1,200)),TRIM(A442)),1)=")",TRIM(LEFT(IF(LEFT(TRIM(A442),1)="[",TRIM(MID(TRIM(A442),FIND("]",TRIM(A442)&amp;"]")+1,200)),TRIM(A442)),FIND("(",IF(LEFT(TRIM(A442),1)="[",TRIM(MID(TRIM(A442),FIND("]",TRIM(A442)&amp;"]")+1,200)),TRIM(A442))&amp;"(")-1)),IF(LEFT(TRIM(A442),1)="[",TRIM(MID(TRIM(A442),FIND("]",TRIM(A442)&amp;"]")+1,200)),TRIM(A442))),""))</f>
      </c>
      <c r="C442" s="17">
        <f>IF(B442&lt;&gt;"",B442,C441)</f>
      </c>
      <c r="D442" s="17">
        <f>IF(A442="","",IF(OR(LEFT(UPPER(TRIM(A442)),2)="Y:",LEFT(UPPER(TRIM(A442)),10)="YESTERDAY:"),"Y",IF(OR(LEFT(UPPER(TRIM(A442)),2)="T:",LEFT(UPPER(TRIM(A442)),6)="TODAY:"),"T",IF(OR(LEFT(UPPER(TRIM(A442)),2)="B:",LEFT(UPPER(TRIM(A442)),8)="BLOCKER:",LEFT(UPPER(TRIM(A442)),9)="BLOCKERS:",LEFT(UPPER(TRIM(A442)),8)="BLOCKED:"),"B",""))))</f>
      </c>
      <c r="E442" s="17">
        <f>IF(D442="","",TRIM(MID(A442,FIND(":",A442)+1,500)))</f>
      </c>
    </row>
    <row r="443">
      <c r="B443" s="17">
        <f>IF(A443="","",IF(COUNTIF(Roster[Name],IF(RIGHT(IF(LEFT(TRIM(A443),1)="[",TRIM(MID(TRIM(A443),FIND("]",TRIM(A443)&amp;"]")+1,200)),TRIM(A443)),1)=")",TRIM(LEFT(IF(LEFT(TRIM(A443),1)="[",TRIM(MID(TRIM(A443),FIND("]",TRIM(A443)&amp;"]")+1,200)),TRIM(A443)),FIND("(",IF(LEFT(TRIM(A443),1)="[",TRIM(MID(TRIM(A443),FIND("]",TRIM(A443)&amp;"]")+1,200)),TRIM(A443))&amp;"(")-1)),IF(LEFT(TRIM(A443),1)="[",TRIM(MID(TRIM(A443),FIND("]",TRIM(A443)&amp;"]")+1,200)),TRIM(A443))))&gt;0,IF(RIGHT(IF(LEFT(TRIM(A443),1)="[",TRIM(MID(TRIM(A443),FIND("]",TRIM(A443)&amp;"]")+1,200)),TRIM(A443)),1)=")",TRIM(LEFT(IF(LEFT(TRIM(A443),1)="[",TRIM(MID(TRIM(A443),FIND("]",TRIM(A443)&amp;"]")+1,200)),TRIM(A443)),FIND("(",IF(LEFT(TRIM(A443),1)="[",TRIM(MID(TRIM(A443),FIND("]",TRIM(A443)&amp;"]")+1,200)),TRIM(A443))&amp;"(")-1)),IF(LEFT(TRIM(A443),1)="[",TRIM(MID(TRIM(A443),FIND("]",TRIM(A443)&amp;"]")+1,200)),TRIM(A443))),""))</f>
      </c>
      <c r="C443" s="17">
        <f>IF(B443&lt;&gt;"",B443,C442)</f>
      </c>
      <c r="D443" s="17">
        <f>IF(A443="","",IF(OR(LEFT(UPPER(TRIM(A443)),2)="Y:",LEFT(UPPER(TRIM(A443)),10)="YESTERDAY:"),"Y",IF(OR(LEFT(UPPER(TRIM(A443)),2)="T:",LEFT(UPPER(TRIM(A443)),6)="TODAY:"),"T",IF(OR(LEFT(UPPER(TRIM(A443)),2)="B:",LEFT(UPPER(TRIM(A443)),8)="BLOCKER:",LEFT(UPPER(TRIM(A443)),9)="BLOCKERS:",LEFT(UPPER(TRIM(A443)),8)="BLOCKED:"),"B",""))))</f>
      </c>
      <c r="E443" s="17">
        <f>IF(D443="","",TRIM(MID(A443,FIND(":",A443)+1,500)))</f>
      </c>
    </row>
    <row r="444">
      <c r="B444" s="17">
        <f>IF(A444="","",IF(COUNTIF(Roster[Name],IF(RIGHT(IF(LEFT(TRIM(A444),1)="[",TRIM(MID(TRIM(A444),FIND("]",TRIM(A444)&amp;"]")+1,200)),TRIM(A444)),1)=")",TRIM(LEFT(IF(LEFT(TRIM(A444),1)="[",TRIM(MID(TRIM(A444),FIND("]",TRIM(A444)&amp;"]")+1,200)),TRIM(A444)),FIND("(",IF(LEFT(TRIM(A444),1)="[",TRIM(MID(TRIM(A444),FIND("]",TRIM(A444)&amp;"]")+1,200)),TRIM(A444))&amp;"(")-1)),IF(LEFT(TRIM(A444),1)="[",TRIM(MID(TRIM(A444),FIND("]",TRIM(A444)&amp;"]")+1,200)),TRIM(A444))))&gt;0,IF(RIGHT(IF(LEFT(TRIM(A444),1)="[",TRIM(MID(TRIM(A444),FIND("]",TRIM(A444)&amp;"]")+1,200)),TRIM(A444)),1)=")",TRIM(LEFT(IF(LEFT(TRIM(A444),1)="[",TRIM(MID(TRIM(A444),FIND("]",TRIM(A444)&amp;"]")+1,200)),TRIM(A444)),FIND("(",IF(LEFT(TRIM(A444),1)="[",TRIM(MID(TRIM(A444),FIND("]",TRIM(A444)&amp;"]")+1,200)),TRIM(A444))&amp;"(")-1)),IF(LEFT(TRIM(A444),1)="[",TRIM(MID(TRIM(A444),FIND("]",TRIM(A444)&amp;"]")+1,200)),TRIM(A444))),""))</f>
      </c>
      <c r="C444" s="17">
        <f>IF(B444&lt;&gt;"",B444,C443)</f>
      </c>
      <c r="D444" s="17">
        <f>IF(A444="","",IF(OR(LEFT(UPPER(TRIM(A444)),2)="Y:",LEFT(UPPER(TRIM(A444)),10)="YESTERDAY:"),"Y",IF(OR(LEFT(UPPER(TRIM(A444)),2)="T:",LEFT(UPPER(TRIM(A444)),6)="TODAY:"),"T",IF(OR(LEFT(UPPER(TRIM(A444)),2)="B:",LEFT(UPPER(TRIM(A444)),8)="BLOCKER:",LEFT(UPPER(TRIM(A444)),9)="BLOCKERS:",LEFT(UPPER(TRIM(A444)),8)="BLOCKED:"),"B",""))))</f>
      </c>
      <c r="E444" s="17">
        <f>IF(D444="","",TRIM(MID(A444,FIND(":",A444)+1,500)))</f>
      </c>
    </row>
    <row r="445">
      <c r="B445" s="17">
        <f>IF(A445="","",IF(COUNTIF(Roster[Name],IF(RIGHT(IF(LEFT(TRIM(A445),1)="[",TRIM(MID(TRIM(A445),FIND("]",TRIM(A445)&amp;"]")+1,200)),TRIM(A445)),1)=")",TRIM(LEFT(IF(LEFT(TRIM(A445),1)="[",TRIM(MID(TRIM(A445),FIND("]",TRIM(A445)&amp;"]")+1,200)),TRIM(A445)),FIND("(",IF(LEFT(TRIM(A445),1)="[",TRIM(MID(TRIM(A445),FIND("]",TRIM(A445)&amp;"]")+1,200)),TRIM(A445))&amp;"(")-1)),IF(LEFT(TRIM(A445),1)="[",TRIM(MID(TRIM(A445),FIND("]",TRIM(A445)&amp;"]")+1,200)),TRIM(A445))))&gt;0,IF(RIGHT(IF(LEFT(TRIM(A445),1)="[",TRIM(MID(TRIM(A445),FIND("]",TRIM(A445)&amp;"]")+1,200)),TRIM(A445)),1)=")",TRIM(LEFT(IF(LEFT(TRIM(A445),1)="[",TRIM(MID(TRIM(A445),FIND("]",TRIM(A445)&amp;"]")+1,200)),TRIM(A445)),FIND("(",IF(LEFT(TRIM(A445),1)="[",TRIM(MID(TRIM(A445),FIND("]",TRIM(A445)&amp;"]")+1,200)),TRIM(A445))&amp;"(")-1)),IF(LEFT(TRIM(A445),1)="[",TRIM(MID(TRIM(A445),FIND("]",TRIM(A445)&amp;"]")+1,200)),TRIM(A445))),""))</f>
      </c>
      <c r="C445" s="17">
        <f>IF(B445&lt;&gt;"",B445,C444)</f>
      </c>
      <c r="D445" s="17">
        <f>IF(A445="","",IF(OR(LEFT(UPPER(TRIM(A445)),2)="Y:",LEFT(UPPER(TRIM(A445)),10)="YESTERDAY:"),"Y",IF(OR(LEFT(UPPER(TRIM(A445)),2)="T:",LEFT(UPPER(TRIM(A445)),6)="TODAY:"),"T",IF(OR(LEFT(UPPER(TRIM(A445)),2)="B:",LEFT(UPPER(TRIM(A445)),8)="BLOCKER:",LEFT(UPPER(TRIM(A445)),9)="BLOCKERS:",LEFT(UPPER(TRIM(A445)),8)="BLOCKED:"),"B",""))))</f>
      </c>
      <c r="E445" s="17">
        <f>IF(D445="","",TRIM(MID(A445,FIND(":",A445)+1,500)))</f>
      </c>
    </row>
    <row r="446">
      <c r="B446" s="17">
        <f>IF(A446="","",IF(COUNTIF(Roster[Name],IF(RIGHT(IF(LEFT(TRIM(A446),1)="[",TRIM(MID(TRIM(A446),FIND("]",TRIM(A446)&amp;"]")+1,200)),TRIM(A446)),1)=")",TRIM(LEFT(IF(LEFT(TRIM(A446),1)="[",TRIM(MID(TRIM(A446),FIND("]",TRIM(A446)&amp;"]")+1,200)),TRIM(A446)),FIND("(",IF(LEFT(TRIM(A446),1)="[",TRIM(MID(TRIM(A446),FIND("]",TRIM(A446)&amp;"]")+1,200)),TRIM(A446))&amp;"(")-1)),IF(LEFT(TRIM(A446),1)="[",TRIM(MID(TRIM(A446),FIND("]",TRIM(A446)&amp;"]")+1,200)),TRIM(A446))))&gt;0,IF(RIGHT(IF(LEFT(TRIM(A446),1)="[",TRIM(MID(TRIM(A446),FIND("]",TRIM(A446)&amp;"]")+1,200)),TRIM(A446)),1)=")",TRIM(LEFT(IF(LEFT(TRIM(A446),1)="[",TRIM(MID(TRIM(A446),FIND("]",TRIM(A446)&amp;"]")+1,200)),TRIM(A446)),FIND("(",IF(LEFT(TRIM(A446),1)="[",TRIM(MID(TRIM(A446),FIND("]",TRIM(A446)&amp;"]")+1,200)),TRIM(A446))&amp;"(")-1)),IF(LEFT(TRIM(A446),1)="[",TRIM(MID(TRIM(A446),FIND("]",TRIM(A446)&amp;"]")+1,200)),TRIM(A446))),""))</f>
      </c>
      <c r="C446" s="17">
        <f>IF(B446&lt;&gt;"",B446,C445)</f>
      </c>
      <c r="D446" s="17">
        <f>IF(A446="","",IF(OR(LEFT(UPPER(TRIM(A446)),2)="Y:",LEFT(UPPER(TRIM(A446)),10)="YESTERDAY:"),"Y",IF(OR(LEFT(UPPER(TRIM(A446)),2)="T:",LEFT(UPPER(TRIM(A446)),6)="TODAY:"),"T",IF(OR(LEFT(UPPER(TRIM(A446)),2)="B:",LEFT(UPPER(TRIM(A446)),8)="BLOCKER:",LEFT(UPPER(TRIM(A446)),9)="BLOCKERS:",LEFT(UPPER(TRIM(A446)),8)="BLOCKED:"),"B",""))))</f>
      </c>
      <c r="E446" s="17">
        <f>IF(D446="","",TRIM(MID(A446,FIND(":",A446)+1,500)))</f>
      </c>
    </row>
    <row r="447">
      <c r="B447" s="17">
        <f>IF(A447="","",IF(COUNTIF(Roster[Name],IF(RIGHT(IF(LEFT(TRIM(A447),1)="[",TRIM(MID(TRIM(A447),FIND("]",TRIM(A447)&amp;"]")+1,200)),TRIM(A447)),1)=")",TRIM(LEFT(IF(LEFT(TRIM(A447),1)="[",TRIM(MID(TRIM(A447),FIND("]",TRIM(A447)&amp;"]")+1,200)),TRIM(A447)),FIND("(",IF(LEFT(TRIM(A447),1)="[",TRIM(MID(TRIM(A447),FIND("]",TRIM(A447)&amp;"]")+1,200)),TRIM(A447))&amp;"(")-1)),IF(LEFT(TRIM(A447),1)="[",TRIM(MID(TRIM(A447),FIND("]",TRIM(A447)&amp;"]")+1,200)),TRIM(A447))))&gt;0,IF(RIGHT(IF(LEFT(TRIM(A447),1)="[",TRIM(MID(TRIM(A447),FIND("]",TRIM(A447)&amp;"]")+1,200)),TRIM(A447)),1)=")",TRIM(LEFT(IF(LEFT(TRIM(A447),1)="[",TRIM(MID(TRIM(A447),FIND("]",TRIM(A447)&amp;"]")+1,200)),TRIM(A447)),FIND("(",IF(LEFT(TRIM(A447),1)="[",TRIM(MID(TRIM(A447),FIND("]",TRIM(A447)&amp;"]")+1,200)),TRIM(A447))&amp;"(")-1)),IF(LEFT(TRIM(A447),1)="[",TRIM(MID(TRIM(A447),FIND("]",TRIM(A447)&amp;"]")+1,200)),TRIM(A447))),""))</f>
      </c>
      <c r="C447" s="17">
        <f>IF(B447&lt;&gt;"",B447,C446)</f>
      </c>
      <c r="D447" s="17">
        <f>IF(A447="","",IF(OR(LEFT(UPPER(TRIM(A447)),2)="Y:",LEFT(UPPER(TRIM(A447)),10)="YESTERDAY:"),"Y",IF(OR(LEFT(UPPER(TRIM(A447)),2)="T:",LEFT(UPPER(TRIM(A447)),6)="TODAY:"),"T",IF(OR(LEFT(UPPER(TRIM(A447)),2)="B:",LEFT(UPPER(TRIM(A447)),8)="BLOCKER:",LEFT(UPPER(TRIM(A447)),9)="BLOCKERS:",LEFT(UPPER(TRIM(A447)),8)="BLOCKED:"),"B",""))))</f>
      </c>
      <c r="E447" s="17">
        <f>IF(D447="","",TRIM(MID(A447,FIND(":",A447)+1,500)))</f>
      </c>
    </row>
    <row r="448">
      <c r="B448" s="17">
        <f>IF(A448="","",IF(COUNTIF(Roster[Name],IF(RIGHT(IF(LEFT(TRIM(A448),1)="[",TRIM(MID(TRIM(A448),FIND("]",TRIM(A448)&amp;"]")+1,200)),TRIM(A448)),1)=")",TRIM(LEFT(IF(LEFT(TRIM(A448),1)="[",TRIM(MID(TRIM(A448),FIND("]",TRIM(A448)&amp;"]")+1,200)),TRIM(A448)),FIND("(",IF(LEFT(TRIM(A448),1)="[",TRIM(MID(TRIM(A448),FIND("]",TRIM(A448)&amp;"]")+1,200)),TRIM(A448))&amp;"(")-1)),IF(LEFT(TRIM(A448),1)="[",TRIM(MID(TRIM(A448),FIND("]",TRIM(A448)&amp;"]")+1,200)),TRIM(A448))))&gt;0,IF(RIGHT(IF(LEFT(TRIM(A448),1)="[",TRIM(MID(TRIM(A448),FIND("]",TRIM(A448)&amp;"]")+1,200)),TRIM(A448)),1)=")",TRIM(LEFT(IF(LEFT(TRIM(A448),1)="[",TRIM(MID(TRIM(A448),FIND("]",TRIM(A448)&amp;"]")+1,200)),TRIM(A448)),FIND("(",IF(LEFT(TRIM(A448),1)="[",TRIM(MID(TRIM(A448),FIND("]",TRIM(A448)&amp;"]")+1,200)),TRIM(A448))&amp;"(")-1)),IF(LEFT(TRIM(A448),1)="[",TRIM(MID(TRIM(A448),FIND("]",TRIM(A448)&amp;"]")+1,200)),TRIM(A448))),""))</f>
      </c>
      <c r="C448" s="17">
        <f>IF(B448&lt;&gt;"",B448,C447)</f>
      </c>
      <c r="D448" s="17">
        <f>IF(A448="","",IF(OR(LEFT(UPPER(TRIM(A448)),2)="Y:",LEFT(UPPER(TRIM(A448)),10)="YESTERDAY:"),"Y",IF(OR(LEFT(UPPER(TRIM(A448)),2)="T:",LEFT(UPPER(TRIM(A448)),6)="TODAY:"),"T",IF(OR(LEFT(UPPER(TRIM(A448)),2)="B:",LEFT(UPPER(TRIM(A448)),8)="BLOCKER:",LEFT(UPPER(TRIM(A448)),9)="BLOCKERS:",LEFT(UPPER(TRIM(A448)),8)="BLOCKED:"),"B",""))))</f>
      </c>
      <c r="E448" s="17">
        <f>IF(D448="","",TRIM(MID(A448,FIND(":",A448)+1,500)))</f>
      </c>
    </row>
    <row r="449">
      <c r="B449" s="17">
        <f>IF(A449="","",IF(COUNTIF(Roster[Name],IF(RIGHT(IF(LEFT(TRIM(A449),1)="[",TRIM(MID(TRIM(A449),FIND("]",TRIM(A449)&amp;"]")+1,200)),TRIM(A449)),1)=")",TRIM(LEFT(IF(LEFT(TRIM(A449),1)="[",TRIM(MID(TRIM(A449),FIND("]",TRIM(A449)&amp;"]")+1,200)),TRIM(A449)),FIND("(",IF(LEFT(TRIM(A449),1)="[",TRIM(MID(TRIM(A449),FIND("]",TRIM(A449)&amp;"]")+1,200)),TRIM(A449))&amp;"(")-1)),IF(LEFT(TRIM(A449),1)="[",TRIM(MID(TRIM(A449),FIND("]",TRIM(A449)&amp;"]")+1,200)),TRIM(A449))))&gt;0,IF(RIGHT(IF(LEFT(TRIM(A449),1)="[",TRIM(MID(TRIM(A449),FIND("]",TRIM(A449)&amp;"]")+1,200)),TRIM(A449)),1)=")",TRIM(LEFT(IF(LEFT(TRIM(A449),1)="[",TRIM(MID(TRIM(A449),FIND("]",TRIM(A449)&amp;"]")+1,200)),TRIM(A449)),FIND("(",IF(LEFT(TRIM(A449),1)="[",TRIM(MID(TRIM(A449),FIND("]",TRIM(A449)&amp;"]")+1,200)),TRIM(A449))&amp;"(")-1)),IF(LEFT(TRIM(A449),1)="[",TRIM(MID(TRIM(A449),FIND("]",TRIM(A449)&amp;"]")+1,200)),TRIM(A449))),""))</f>
      </c>
      <c r="C449" s="17">
        <f>IF(B449&lt;&gt;"",B449,C448)</f>
      </c>
      <c r="D449" s="17">
        <f>IF(A449="","",IF(OR(LEFT(UPPER(TRIM(A449)),2)="Y:",LEFT(UPPER(TRIM(A449)),10)="YESTERDAY:"),"Y",IF(OR(LEFT(UPPER(TRIM(A449)),2)="T:",LEFT(UPPER(TRIM(A449)),6)="TODAY:"),"T",IF(OR(LEFT(UPPER(TRIM(A449)),2)="B:",LEFT(UPPER(TRIM(A449)),8)="BLOCKER:",LEFT(UPPER(TRIM(A449)),9)="BLOCKERS:",LEFT(UPPER(TRIM(A449)),8)="BLOCKED:"),"B",""))))</f>
      </c>
      <c r="E449" s="17">
        <f>IF(D449="","",TRIM(MID(A449,FIND(":",A449)+1,500)))</f>
      </c>
    </row>
    <row r="450">
      <c r="B450" s="17">
        <f>IF(A450="","",IF(COUNTIF(Roster[Name],IF(RIGHT(IF(LEFT(TRIM(A450),1)="[",TRIM(MID(TRIM(A450),FIND("]",TRIM(A450)&amp;"]")+1,200)),TRIM(A450)),1)=")",TRIM(LEFT(IF(LEFT(TRIM(A450),1)="[",TRIM(MID(TRIM(A450),FIND("]",TRIM(A450)&amp;"]")+1,200)),TRIM(A450)),FIND("(",IF(LEFT(TRIM(A450),1)="[",TRIM(MID(TRIM(A450),FIND("]",TRIM(A450)&amp;"]")+1,200)),TRIM(A450))&amp;"(")-1)),IF(LEFT(TRIM(A450),1)="[",TRIM(MID(TRIM(A450),FIND("]",TRIM(A450)&amp;"]")+1,200)),TRIM(A450))))&gt;0,IF(RIGHT(IF(LEFT(TRIM(A450),1)="[",TRIM(MID(TRIM(A450),FIND("]",TRIM(A450)&amp;"]")+1,200)),TRIM(A450)),1)=")",TRIM(LEFT(IF(LEFT(TRIM(A450),1)="[",TRIM(MID(TRIM(A450),FIND("]",TRIM(A450)&amp;"]")+1,200)),TRIM(A450)),FIND("(",IF(LEFT(TRIM(A450),1)="[",TRIM(MID(TRIM(A450),FIND("]",TRIM(A450)&amp;"]")+1,200)),TRIM(A450))&amp;"(")-1)),IF(LEFT(TRIM(A450),1)="[",TRIM(MID(TRIM(A450),FIND("]",TRIM(A450)&amp;"]")+1,200)),TRIM(A450))),""))</f>
      </c>
      <c r="C450" s="17">
        <f>IF(B450&lt;&gt;"",B450,C449)</f>
      </c>
      <c r="D450" s="17">
        <f>IF(A450="","",IF(OR(LEFT(UPPER(TRIM(A450)),2)="Y:",LEFT(UPPER(TRIM(A450)),10)="YESTERDAY:"),"Y",IF(OR(LEFT(UPPER(TRIM(A450)),2)="T:",LEFT(UPPER(TRIM(A450)),6)="TODAY:"),"T",IF(OR(LEFT(UPPER(TRIM(A450)),2)="B:",LEFT(UPPER(TRIM(A450)),8)="BLOCKER:",LEFT(UPPER(TRIM(A450)),9)="BLOCKERS:",LEFT(UPPER(TRIM(A450)),8)="BLOCKED:"),"B",""))))</f>
      </c>
      <c r="E450" s="17">
        <f>IF(D450="","",TRIM(MID(A450,FIND(":",A450)+1,500)))</f>
      </c>
    </row>
    <row r="451">
      <c r="B451" s="17">
        <f>IF(A451="","",IF(COUNTIF(Roster[Name],IF(RIGHT(IF(LEFT(TRIM(A451),1)="[",TRIM(MID(TRIM(A451),FIND("]",TRIM(A451)&amp;"]")+1,200)),TRIM(A451)),1)=")",TRIM(LEFT(IF(LEFT(TRIM(A451),1)="[",TRIM(MID(TRIM(A451),FIND("]",TRIM(A451)&amp;"]")+1,200)),TRIM(A451)),FIND("(",IF(LEFT(TRIM(A451),1)="[",TRIM(MID(TRIM(A451),FIND("]",TRIM(A451)&amp;"]")+1,200)),TRIM(A451))&amp;"(")-1)),IF(LEFT(TRIM(A451),1)="[",TRIM(MID(TRIM(A451),FIND("]",TRIM(A451)&amp;"]")+1,200)),TRIM(A451))))&gt;0,IF(RIGHT(IF(LEFT(TRIM(A451),1)="[",TRIM(MID(TRIM(A451),FIND("]",TRIM(A451)&amp;"]")+1,200)),TRIM(A451)),1)=")",TRIM(LEFT(IF(LEFT(TRIM(A451),1)="[",TRIM(MID(TRIM(A451),FIND("]",TRIM(A451)&amp;"]")+1,200)),TRIM(A451)),FIND("(",IF(LEFT(TRIM(A451),1)="[",TRIM(MID(TRIM(A451),FIND("]",TRIM(A451)&amp;"]")+1,200)),TRIM(A451))&amp;"(")-1)),IF(LEFT(TRIM(A451),1)="[",TRIM(MID(TRIM(A451),FIND("]",TRIM(A451)&amp;"]")+1,200)),TRIM(A451))),""))</f>
      </c>
      <c r="C451" s="17">
        <f>IF(B451&lt;&gt;"",B451,C450)</f>
      </c>
      <c r="D451" s="17">
        <f>IF(A451="","",IF(OR(LEFT(UPPER(TRIM(A451)),2)="Y:",LEFT(UPPER(TRIM(A451)),10)="YESTERDAY:"),"Y",IF(OR(LEFT(UPPER(TRIM(A451)),2)="T:",LEFT(UPPER(TRIM(A451)),6)="TODAY:"),"T",IF(OR(LEFT(UPPER(TRIM(A451)),2)="B:",LEFT(UPPER(TRIM(A451)),8)="BLOCKER:",LEFT(UPPER(TRIM(A451)),9)="BLOCKERS:",LEFT(UPPER(TRIM(A451)),8)="BLOCKED:"),"B",""))))</f>
      </c>
      <c r="E451" s="17">
        <f>IF(D451="","",TRIM(MID(A451,FIND(":",A451)+1,500)))</f>
      </c>
    </row>
    <row r="452">
      <c r="B452" s="17">
        <f>IF(A452="","",IF(COUNTIF(Roster[Name],IF(RIGHT(IF(LEFT(TRIM(A452),1)="[",TRIM(MID(TRIM(A452),FIND("]",TRIM(A452)&amp;"]")+1,200)),TRIM(A452)),1)=")",TRIM(LEFT(IF(LEFT(TRIM(A452),1)="[",TRIM(MID(TRIM(A452),FIND("]",TRIM(A452)&amp;"]")+1,200)),TRIM(A452)),FIND("(",IF(LEFT(TRIM(A452),1)="[",TRIM(MID(TRIM(A452),FIND("]",TRIM(A452)&amp;"]")+1,200)),TRIM(A452))&amp;"(")-1)),IF(LEFT(TRIM(A452),1)="[",TRIM(MID(TRIM(A452),FIND("]",TRIM(A452)&amp;"]")+1,200)),TRIM(A452))))&gt;0,IF(RIGHT(IF(LEFT(TRIM(A452),1)="[",TRIM(MID(TRIM(A452),FIND("]",TRIM(A452)&amp;"]")+1,200)),TRIM(A452)),1)=")",TRIM(LEFT(IF(LEFT(TRIM(A452),1)="[",TRIM(MID(TRIM(A452),FIND("]",TRIM(A452)&amp;"]")+1,200)),TRIM(A452)),FIND("(",IF(LEFT(TRIM(A452),1)="[",TRIM(MID(TRIM(A452),FIND("]",TRIM(A452)&amp;"]")+1,200)),TRIM(A452))&amp;"(")-1)),IF(LEFT(TRIM(A452),1)="[",TRIM(MID(TRIM(A452),FIND("]",TRIM(A452)&amp;"]")+1,200)),TRIM(A452))),""))</f>
      </c>
      <c r="C452" s="17">
        <f>IF(B452&lt;&gt;"",B452,C451)</f>
      </c>
      <c r="D452" s="17">
        <f>IF(A452="","",IF(OR(LEFT(UPPER(TRIM(A452)),2)="Y:",LEFT(UPPER(TRIM(A452)),10)="YESTERDAY:"),"Y",IF(OR(LEFT(UPPER(TRIM(A452)),2)="T:",LEFT(UPPER(TRIM(A452)),6)="TODAY:"),"T",IF(OR(LEFT(UPPER(TRIM(A452)),2)="B:",LEFT(UPPER(TRIM(A452)),8)="BLOCKER:",LEFT(UPPER(TRIM(A452)),9)="BLOCKERS:",LEFT(UPPER(TRIM(A452)),8)="BLOCKED:"),"B",""))))</f>
      </c>
      <c r="E452" s="17">
        <f>IF(D452="","",TRIM(MID(A452,FIND(":",A452)+1,500)))</f>
      </c>
    </row>
    <row r="453">
      <c r="B453" s="17">
        <f>IF(A453="","",IF(COUNTIF(Roster[Name],IF(RIGHT(IF(LEFT(TRIM(A453),1)="[",TRIM(MID(TRIM(A453),FIND("]",TRIM(A453)&amp;"]")+1,200)),TRIM(A453)),1)=")",TRIM(LEFT(IF(LEFT(TRIM(A453),1)="[",TRIM(MID(TRIM(A453),FIND("]",TRIM(A453)&amp;"]")+1,200)),TRIM(A453)),FIND("(",IF(LEFT(TRIM(A453),1)="[",TRIM(MID(TRIM(A453),FIND("]",TRIM(A453)&amp;"]")+1,200)),TRIM(A453))&amp;"(")-1)),IF(LEFT(TRIM(A453),1)="[",TRIM(MID(TRIM(A453),FIND("]",TRIM(A453)&amp;"]")+1,200)),TRIM(A453))))&gt;0,IF(RIGHT(IF(LEFT(TRIM(A453),1)="[",TRIM(MID(TRIM(A453),FIND("]",TRIM(A453)&amp;"]")+1,200)),TRIM(A453)),1)=")",TRIM(LEFT(IF(LEFT(TRIM(A453),1)="[",TRIM(MID(TRIM(A453),FIND("]",TRIM(A453)&amp;"]")+1,200)),TRIM(A453)),FIND("(",IF(LEFT(TRIM(A453),1)="[",TRIM(MID(TRIM(A453),FIND("]",TRIM(A453)&amp;"]")+1,200)),TRIM(A453))&amp;"(")-1)),IF(LEFT(TRIM(A453),1)="[",TRIM(MID(TRIM(A453),FIND("]",TRIM(A453)&amp;"]")+1,200)),TRIM(A453))),""))</f>
      </c>
      <c r="C453" s="17">
        <f>IF(B453&lt;&gt;"",B453,C452)</f>
      </c>
      <c r="D453" s="17">
        <f>IF(A453="","",IF(OR(LEFT(UPPER(TRIM(A453)),2)="Y:",LEFT(UPPER(TRIM(A453)),10)="YESTERDAY:"),"Y",IF(OR(LEFT(UPPER(TRIM(A453)),2)="T:",LEFT(UPPER(TRIM(A453)),6)="TODAY:"),"T",IF(OR(LEFT(UPPER(TRIM(A453)),2)="B:",LEFT(UPPER(TRIM(A453)),8)="BLOCKER:",LEFT(UPPER(TRIM(A453)),9)="BLOCKERS:",LEFT(UPPER(TRIM(A453)),8)="BLOCKED:"),"B",""))))</f>
      </c>
      <c r="E453" s="17">
        <f>IF(D453="","",TRIM(MID(A453,FIND(":",A453)+1,500)))</f>
      </c>
    </row>
    <row r="454">
      <c r="B454" s="17">
        <f>IF(A454="","",IF(COUNTIF(Roster[Name],IF(RIGHT(IF(LEFT(TRIM(A454),1)="[",TRIM(MID(TRIM(A454),FIND("]",TRIM(A454)&amp;"]")+1,200)),TRIM(A454)),1)=")",TRIM(LEFT(IF(LEFT(TRIM(A454),1)="[",TRIM(MID(TRIM(A454),FIND("]",TRIM(A454)&amp;"]")+1,200)),TRIM(A454)),FIND("(",IF(LEFT(TRIM(A454),1)="[",TRIM(MID(TRIM(A454),FIND("]",TRIM(A454)&amp;"]")+1,200)),TRIM(A454))&amp;"(")-1)),IF(LEFT(TRIM(A454),1)="[",TRIM(MID(TRIM(A454),FIND("]",TRIM(A454)&amp;"]")+1,200)),TRIM(A454))))&gt;0,IF(RIGHT(IF(LEFT(TRIM(A454),1)="[",TRIM(MID(TRIM(A454),FIND("]",TRIM(A454)&amp;"]")+1,200)),TRIM(A454)),1)=")",TRIM(LEFT(IF(LEFT(TRIM(A454),1)="[",TRIM(MID(TRIM(A454),FIND("]",TRIM(A454)&amp;"]")+1,200)),TRIM(A454)),FIND("(",IF(LEFT(TRIM(A454),1)="[",TRIM(MID(TRIM(A454),FIND("]",TRIM(A454)&amp;"]")+1,200)),TRIM(A454))&amp;"(")-1)),IF(LEFT(TRIM(A454),1)="[",TRIM(MID(TRIM(A454),FIND("]",TRIM(A454)&amp;"]")+1,200)),TRIM(A454))),""))</f>
      </c>
      <c r="C454" s="17">
        <f>IF(B454&lt;&gt;"",B454,C453)</f>
      </c>
      <c r="D454" s="17">
        <f>IF(A454="","",IF(OR(LEFT(UPPER(TRIM(A454)),2)="Y:",LEFT(UPPER(TRIM(A454)),10)="YESTERDAY:"),"Y",IF(OR(LEFT(UPPER(TRIM(A454)),2)="T:",LEFT(UPPER(TRIM(A454)),6)="TODAY:"),"T",IF(OR(LEFT(UPPER(TRIM(A454)),2)="B:",LEFT(UPPER(TRIM(A454)),8)="BLOCKER:",LEFT(UPPER(TRIM(A454)),9)="BLOCKERS:",LEFT(UPPER(TRIM(A454)),8)="BLOCKED:"),"B",""))))</f>
      </c>
      <c r="E454" s="17">
        <f>IF(D454="","",TRIM(MID(A454,FIND(":",A454)+1,500)))</f>
      </c>
    </row>
    <row r="455">
      <c r="B455" s="17">
        <f>IF(A455="","",IF(COUNTIF(Roster[Name],IF(RIGHT(IF(LEFT(TRIM(A455),1)="[",TRIM(MID(TRIM(A455),FIND("]",TRIM(A455)&amp;"]")+1,200)),TRIM(A455)),1)=")",TRIM(LEFT(IF(LEFT(TRIM(A455),1)="[",TRIM(MID(TRIM(A455),FIND("]",TRIM(A455)&amp;"]")+1,200)),TRIM(A455)),FIND("(",IF(LEFT(TRIM(A455),1)="[",TRIM(MID(TRIM(A455),FIND("]",TRIM(A455)&amp;"]")+1,200)),TRIM(A455))&amp;"(")-1)),IF(LEFT(TRIM(A455),1)="[",TRIM(MID(TRIM(A455),FIND("]",TRIM(A455)&amp;"]")+1,200)),TRIM(A455))))&gt;0,IF(RIGHT(IF(LEFT(TRIM(A455),1)="[",TRIM(MID(TRIM(A455),FIND("]",TRIM(A455)&amp;"]")+1,200)),TRIM(A455)),1)=")",TRIM(LEFT(IF(LEFT(TRIM(A455),1)="[",TRIM(MID(TRIM(A455),FIND("]",TRIM(A455)&amp;"]")+1,200)),TRIM(A455)),FIND("(",IF(LEFT(TRIM(A455),1)="[",TRIM(MID(TRIM(A455),FIND("]",TRIM(A455)&amp;"]")+1,200)),TRIM(A455))&amp;"(")-1)),IF(LEFT(TRIM(A455),1)="[",TRIM(MID(TRIM(A455),FIND("]",TRIM(A455)&amp;"]")+1,200)),TRIM(A455))),""))</f>
      </c>
      <c r="C455" s="17">
        <f>IF(B455&lt;&gt;"",B455,C454)</f>
      </c>
      <c r="D455" s="17">
        <f>IF(A455="","",IF(OR(LEFT(UPPER(TRIM(A455)),2)="Y:",LEFT(UPPER(TRIM(A455)),10)="YESTERDAY:"),"Y",IF(OR(LEFT(UPPER(TRIM(A455)),2)="T:",LEFT(UPPER(TRIM(A455)),6)="TODAY:"),"T",IF(OR(LEFT(UPPER(TRIM(A455)),2)="B:",LEFT(UPPER(TRIM(A455)),8)="BLOCKER:",LEFT(UPPER(TRIM(A455)),9)="BLOCKERS:",LEFT(UPPER(TRIM(A455)),8)="BLOCKED:"),"B",""))))</f>
      </c>
      <c r="E455" s="17">
        <f>IF(D455="","",TRIM(MID(A455,FIND(":",A455)+1,500)))</f>
      </c>
    </row>
    <row r="456">
      <c r="B456" s="17">
        <f>IF(A456="","",IF(COUNTIF(Roster[Name],IF(RIGHT(IF(LEFT(TRIM(A456),1)="[",TRIM(MID(TRIM(A456),FIND("]",TRIM(A456)&amp;"]")+1,200)),TRIM(A456)),1)=")",TRIM(LEFT(IF(LEFT(TRIM(A456),1)="[",TRIM(MID(TRIM(A456),FIND("]",TRIM(A456)&amp;"]")+1,200)),TRIM(A456)),FIND("(",IF(LEFT(TRIM(A456),1)="[",TRIM(MID(TRIM(A456),FIND("]",TRIM(A456)&amp;"]")+1,200)),TRIM(A456))&amp;"(")-1)),IF(LEFT(TRIM(A456),1)="[",TRIM(MID(TRIM(A456),FIND("]",TRIM(A456)&amp;"]")+1,200)),TRIM(A456))))&gt;0,IF(RIGHT(IF(LEFT(TRIM(A456),1)="[",TRIM(MID(TRIM(A456),FIND("]",TRIM(A456)&amp;"]")+1,200)),TRIM(A456)),1)=")",TRIM(LEFT(IF(LEFT(TRIM(A456),1)="[",TRIM(MID(TRIM(A456),FIND("]",TRIM(A456)&amp;"]")+1,200)),TRIM(A456)),FIND("(",IF(LEFT(TRIM(A456),1)="[",TRIM(MID(TRIM(A456),FIND("]",TRIM(A456)&amp;"]")+1,200)),TRIM(A456))&amp;"(")-1)),IF(LEFT(TRIM(A456),1)="[",TRIM(MID(TRIM(A456),FIND("]",TRIM(A456)&amp;"]")+1,200)),TRIM(A456))),""))</f>
      </c>
      <c r="C456" s="17">
        <f>IF(B456&lt;&gt;"",B456,C455)</f>
      </c>
      <c r="D456" s="17">
        <f>IF(A456="","",IF(OR(LEFT(UPPER(TRIM(A456)),2)="Y:",LEFT(UPPER(TRIM(A456)),10)="YESTERDAY:"),"Y",IF(OR(LEFT(UPPER(TRIM(A456)),2)="T:",LEFT(UPPER(TRIM(A456)),6)="TODAY:"),"T",IF(OR(LEFT(UPPER(TRIM(A456)),2)="B:",LEFT(UPPER(TRIM(A456)),8)="BLOCKER:",LEFT(UPPER(TRIM(A456)),9)="BLOCKERS:",LEFT(UPPER(TRIM(A456)),8)="BLOCKED:"),"B",""))))</f>
      </c>
      <c r="E456" s="17">
        <f>IF(D456="","",TRIM(MID(A456,FIND(":",A456)+1,500)))</f>
      </c>
    </row>
    <row r="457">
      <c r="B457" s="17">
        <f>IF(A457="","",IF(COUNTIF(Roster[Name],IF(RIGHT(IF(LEFT(TRIM(A457),1)="[",TRIM(MID(TRIM(A457),FIND("]",TRIM(A457)&amp;"]")+1,200)),TRIM(A457)),1)=")",TRIM(LEFT(IF(LEFT(TRIM(A457),1)="[",TRIM(MID(TRIM(A457),FIND("]",TRIM(A457)&amp;"]")+1,200)),TRIM(A457)),FIND("(",IF(LEFT(TRIM(A457),1)="[",TRIM(MID(TRIM(A457),FIND("]",TRIM(A457)&amp;"]")+1,200)),TRIM(A457))&amp;"(")-1)),IF(LEFT(TRIM(A457),1)="[",TRIM(MID(TRIM(A457),FIND("]",TRIM(A457)&amp;"]")+1,200)),TRIM(A457))))&gt;0,IF(RIGHT(IF(LEFT(TRIM(A457),1)="[",TRIM(MID(TRIM(A457),FIND("]",TRIM(A457)&amp;"]")+1,200)),TRIM(A457)),1)=")",TRIM(LEFT(IF(LEFT(TRIM(A457),1)="[",TRIM(MID(TRIM(A457),FIND("]",TRIM(A457)&amp;"]")+1,200)),TRIM(A457)),FIND("(",IF(LEFT(TRIM(A457),1)="[",TRIM(MID(TRIM(A457),FIND("]",TRIM(A457)&amp;"]")+1,200)),TRIM(A457))&amp;"(")-1)),IF(LEFT(TRIM(A457),1)="[",TRIM(MID(TRIM(A457),FIND("]",TRIM(A457)&amp;"]")+1,200)),TRIM(A457))),""))</f>
      </c>
      <c r="C457" s="17">
        <f>IF(B457&lt;&gt;"",B457,C456)</f>
      </c>
      <c r="D457" s="17">
        <f>IF(A457="","",IF(OR(LEFT(UPPER(TRIM(A457)),2)="Y:",LEFT(UPPER(TRIM(A457)),10)="YESTERDAY:"),"Y",IF(OR(LEFT(UPPER(TRIM(A457)),2)="T:",LEFT(UPPER(TRIM(A457)),6)="TODAY:"),"T",IF(OR(LEFT(UPPER(TRIM(A457)),2)="B:",LEFT(UPPER(TRIM(A457)),8)="BLOCKER:",LEFT(UPPER(TRIM(A457)),9)="BLOCKERS:",LEFT(UPPER(TRIM(A457)),8)="BLOCKED:"),"B",""))))</f>
      </c>
      <c r="E457" s="17">
        <f>IF(D457="","",TRIM(MID(A457,FIND(":",A457)+1,500)))</f>
      </c>
    </row>
    <row r="458">
      <c r="B458" s="17">
        <f>IF(A458="","",IF(COUNTIF(Roster[Name],IF(RIGHT(IF(LEFT(TRIM(A458),1)="[",TRIM(MID(TRIM(A458),FIND("]",TRIM(A458)&amp;"]")+1,200)),TRIM(A458)),1)=")",TRIM(LEFT(IF(LEFT(TRIM(A458),1)="[",TRIM(MID(TRIM(A458),FIND("]",TRIM(A458)&amp;"]")+1,200)),TRIM(A458)),FIND("(",IF(LEFT(TRIM(A458),1)="[",TRIM(MID(TRIM(A458),FIND("]",TRIM(A458)&amp;"]")+1,200)),TRIM(A458))&amp;"(")-1)),IF(LEFT(TRIM(A458),1)="[",TRIM(MID(TRIM(A458),FIND("]",TRIM(A458)&amp;"]")+1,200)),TRIM(A458))))&gt;0,IF(RIGHT(IF(LEFT(TRIM(A458),1)="[",TRIM(MID(TRIM(A458),FIND("]",TRIM(A458)&amp;"]")+1,200)),TRIM(A458)),1)=")",TRIM(LEFT(IF(LEFT(TRIM(A458),1)="[",TRIM(MID(TRIM(A458),FIND("]",TRIM(A458)&amp;"]")+1,200)),TRIM(A458)),FIND("(",IF(LEFT(TRIM(A458),1)="[",TRIM(MID(TRIM(A458),FIND("]",TRIM(A458)&amp;"]")+1,200)),TRIM(A458))&amp;"(")-1)),IF(LEFT(TRIM(A458),1)="[",TRIM(MID(TRIM(A458),FIND("]",TRIM(A458)&amp;"]")+1,200)),TRIM(A458))),""))</f>
      </c>
      <c r="C458" s="17">
        <f>IF(B458&lt;&gt;"",B458,C457)</f>
      </c>
      <c r="D458" s="17">
        <f>IF(A458="","",IF(OR(LEFT(UPPER(TRIM(A458)),2)="Y:",LEFT(UPPER(TRIM(A458)),10)="YESTERDAY:"),"Y",IF(OR(LEFT(UPPER(TRIM(A458)),2)="T:",LEFT(UPPER(TRIM(A458)),6)="TODAY:"),"T",IF(OR(LEFT(UPPER(TRIM(A458)),2)="B:",LEFT(UPPER(TRIM(A458)),8)="BLOCKER:",LEFT(UPPER(TRIM(A458)),9)="BLOCKERS:",LEFT(UPPER(TRIM(A458)),8)="BLOCKED:"),"B",""))))</f>
      </c>
      <c r="E458" s="17">
        <f>IF(D458="","",TRIM(MID(A458,FIND(":",A458)+1,500)))</f>
      </c>
    </row>
    <row r="459">
      <c r="B459" s="17">
        <f>IF(A459="","",IF(COUNTIF(Roster[Name],IF(RIGHT(IF(LEFT(TRIM(A459),1)="[",TRIM(MID(TRIM(A459),FIND("]",TRIM(A459)&amp;"]")+1,200)),TRIM(A459)),1)=")",TRIM(LEFT(IF(LEFT(TRIM(A459),1)="[",TRIM(MID(TRIM(A459),FIND("]",TRIM(A459)&amp;"]")+1,200)),TRIM(A459)),FIND("(",IF(LEFT(TRIM(A459),1)="[",TRIM(MID(TRIM(A459),FIND("]",TRIM(A459)&amp;"]")+1,200)),TRIM(A459))&amp;"(")-1)),IF(LEFT(TRIM(A459),1)="[",TRIM(MID(TRIM(A459),FIND("]",TRIM(A459)&amp;"]")+1,200)),TRIM(A459))))&gt;0,IF(RIGHT(IF(LEFT(TRIM(A459),1)="[",TRIM(MID(TRIM(A459),FIND("]",TRIM(A459)&amp;"]")+1,200)),TRIM(A459)),1)=")",TRIM(LEFT(IF(LEFT(TRIM(A459),1)="[",TRIM(MID(TRIM(A459),FIND("]",TRIM(A459)&amp;"]")+1,200)),TRIM(A459)),FIND("(",IF(LEFT(TRIM(A459),1)="[",TRIM(MID(TRIM(A459),FIND("]",TRIM(A459)&amp;"]")+1,200)),TRIM(A459))&amp;"(")-1)),IF(LEFT(TRIM(A459),1)="[",TRIM(MID(TRIM(A459),FIND("]",TRIM(A459)&amp;"]")+1,200)),TRIM(A459))),""))</f>
      </c>
      <c r="C459" s="17">
        <f>IF(B459&lt;&gt;"",B459,C458)</f>
      </c>
      <c r="D459" s="17">
        <f>IF(A459="","",IF(OR(LEFT(UPPER(TRIM(A459)),2)="Y:",LEFT(UPPER(TRIM(A459)),10)="YESTERDAY:"),"Y",IF(OR(LEFT(UPPER(TRIM(A459)),2)="T:",LEFT(UPPER(TRIM(A459)),6)="TODAY:"),"T",IF(OR(LEFT(UPPER(TRIM(A459)),2)="B:",LEFT(UPPER(TRIM(A459)),8)="BLOCKER:",LEFT(UPPER(TRIM(A459)),9)="BLOCKERS:",LEFT(UPPER(TRIM(A459)),8)="BLOCKED:"),"B",""))))</f>
      </c>
      <c r="E459" s="17">
        <f>IF(D459="","",TRIM(MID(A459,FIND(":",A459)+1,500)))</f>
      </c>
    </row>
    <row r="460">
      <c r="B460" s="17">
        <f>IF(A460="","",IF(COUNTIF(Roster[Name],IF(RIGHT(IF(LEFT(TRIM(A460),1)="[",TRIM(MID(TRIM(A460),FIND("]",TRIM(A460)&amp;"]")+1,200)),TRIM(A460)),1)=")",TRIM(LEFT(IF(LEFT(TRIM(A460),1)="[",TRIM(MID(TRIM(A460),FIND("]",TRIM(A460)&amp;"]")+1,200)),TRIM(A460)),FIND("(",IF(LEFT(TRIM(A460),1)="[",TRIM(MID(TRIM(A460),FIND("]",TRIM(A460)&amp;"]")+1,200)),TRIM(A460))&amp;"(")-1)),IF(LEFT(TRIM(A460),1)="[",TRIM(MID(TRIM(A460),FIND("]",TRIM(A460)&amp;"]")+1,200)),TRIM(A460))))&gt;0,IF(RIGHT(IF(LEFT(TRIM(A460),1)="[",TRIM(MID(TRIM(A460),FIND("]",TRIM(A460)&amp;"]")+1,200)),TRIM(A460)),1)=")",TRIM(LEFT(IF(LEFT(TRIM(A460),1)="[",TRIM(MID(TRIM(A460),FIND("]",TRIM(A460)&amp;"]")+1,200)),TRIM(A460)),FIND("(",IF(LEFT(TRIM(A460),1)="[",TRIM(MID(TRIM(A460),FIND("]",TRIM(A460)&amp;"]")+1,200)),TRIM(A460))&amp;"(")-1)),IF(LEFT(TRIM(A460),1)="[",TRIM(MID(TRIM(A460),FIND("]",TRIM(A460)&amp;"]")+1,200)),TRIM(A460))),""))</f>
      </c>
      <c r="C460" s="17">
        <f>IF(B460&lt;&gt;"",B460,C459)</f>
      </c>
      <c r="D460" s="17">
        <f>IF(A460="","",IF(OR(LEFT(UPPER(TRIM(A460)),2)="Y:",LEFT(UPPER(TRIM(A460)),10)="YESTERDAY:"),"Y",IF(OR(LEFT(UPPER(TRIM(A460)),2)="T:",LEFT(UPPER(TRIM(A460)),6)="TODAY:"),"T",IF(OR(LEFT(UPPER(TRIM(A460)),2)="B:",LEFT(UPPER(TRIM(A460)),8)="BLOCKER:",LEFT(UPPER(TRIM(A460)),9)="BLOCKERS:",LEFT(UPPER(TRIM(A460)),8)="BLOCKED:"),"B",""))))</f>
      </c>
      <c r="E460" s="17">
        <f>IF(D460="","",TRIM(MID(A460,FIND(":",A460)+1,500)))</f>
      </c>
    </row>
    <row r="461">
      <c r="B461" s="17">
        <f>IF(A461="","",IF(COUNTIF(Roster[Name],IF(RIGHT(IF(LEFT(TRIM(A461),1)="[",TRIM(MID(TRIM(A461),FIND("]",TRIM(A461)&amp;"]")+1,200)),TRIM(A461)),1)=")",TRIM(LEFT(IF(LEFT(TRIM(A461),1)="[",TRIM(MID(TRIM(A461),FIND("]",TRIM(A461)&amp;"]")+1,200)),TRIM(A461)),FIND("(",IF(LEFT(TRIM(A461),1)="[",TRIM(MID(TRIM(A461),FIND("]",TRIM(A461)&amp;"]")+1,200)),TRIM(A461))&amp;"(")-1)),IF(LEFT(TRIM(A461),1)="[",TRIM(MID(TRIM(A461),FIND("]",TRIM(A461)&amp;"]")+1,200)),TRIM(A461))))&gt;0,IF(RIGHT(IF(LEFT(TRIM(A461),1)="[",TRIM(MID(TRIM(A461),FIND("]",TRIM(A461)&amp;"]")+1,200)),TRIM(A461)),1)=")",TRIM(LEFT(IF(LEFT(TRIM(A461),1)="[",TRIM(MID(TRIM(A461),FIND("]",TRIM(A461)&amp;"]")+1,200)),TRIM(A461)),FIND("(",IF(LEFT(TRIM(A461),1)="[",TRIM(MID(TRIM(A461),FIND("]",TRIM(A461)&amp;"]")+1,200)),TRIM(A461))&amp;"(")-1)),IF(LEFT(TRIM(A461),1)="[",TRIM(MID(TRIM(A461),FIND("]",TRIM(A461)&amp;"]")+1,200)),TRIM(A461))),""))</f>
      </c>
      <c r="C461" s="17">
        <f>IF(B461&lt;&gt;"",B461,C460)</f>
      </c>
      <c r="D461" s="17">
        <f>IF(A461="","",IF(OR(LEFT(UPPER(TRIM(A461)),2)="Y:",LEFT(UPPER(TRIM(A461)),10)="YESTERDAY:"),"Y",IF(OR(LEFT(UPPER(TRIM(A461)),2)="T:",LEFT(UPPER(TRIM(A461)),6)="TODAY:"),"T",IF(OR(LEFT(UPPER(TRIM(A461)),2)="B:",LEFT(UPPER(TRIM(A461)),8)="BLOCKER:",LEFT(UPPER(TRIM(A461)),9)="BLOCKERS:",LEFT(UPPER(TRIM(A461)),8)="BLOCKED:"),"B",""))))</f>
      </c>
      <c r="E461" s="17">
        <f>IF(D461="","",TRIM(MID(A461,FIND(":",A461)+1,500)))</f>
      </c>
    </row>
    <row r="462">
      <c r="B462" s="17">
        <f>IF(A462="","",IF(COUNTIF(Roster[Name],IF(RIGHT(IF(LEFT(TRIM(A462),1)="[",TRIM(MID(TRIM(A462),FIND("]",TRIM(A462)&amp;"]")+1,200)),TRIM(A462)),1)=")",TRIM(LEFT(IF(LEFT(TRIM(A462),1)="[",TRIM(MID(TRIM(A462),FIND("]",TRIM(A462)&amp;"]")+1,200)),TRIM(A462)),FIND("(",IF(LEFT(TRIM(A462),1)="[",TRIM(MID(TRIM(A462),FIND("]",TRIM(A462)&amp;"]")+1,200)),TRIM(A462))&amp;"(")-1)),IF(LEFT(TRIM(A462),1)="[",TRIM(MID(TRIM(A462),FIND("]",TRIM(A462)&amp;"]")+1,200)),TRIM(A462))))&gt;0,IF(RIGHT(IF(LEFT(TRIM(A462),1)="[",TRIM(MID(TRIM(A462),FIND("]",TRIM(A462)&amp;"]")+1,200)),TRIM(A462)),1)=")",TRIM(LEFT(IF(LEFT(TRIM(A462),1)="[",TRIM(MID(TRIM(A462),FIND("]",TRIM(A462)&amp;"]")+1,200)),TRIM(A462)),FIND("(",IF(LEFT(TRIM(A462),1)="[",TRIM(MID(TRIM(A462),FIND("]",TRIM(A462)&amp;"]")+1,200)),TRIM(A462))&amp;"(")-1)),IF(LEFT(TRIM(A462),1)="[",TRIM(MID(TRIM(A462),FIND("]",TRIM(A462)&amp;"]")+1,200)),TRIM(A462))),""))</f>
      </c>
      <c r="C462" s="17">
        <f>IF(B462&lt;&gt;"",B462,C461)</f>
      </c>
      <c r="D462" s="17">
        <f>IF(A462="","",IF(OR(LEFT(UPPER(TRIM(A462)),2)="Y:",LEFT(UPPER(TRIM(A462)),10)="YESTERDAY:"),"Y",IF(OR(LEFT(UPPER(TRIM(A462)),2)="T:",LEFT(UPPER(TRIM(A462)),6)="TODAY:"),"T",IF(OR(LEFT(UPPER(TRIM(A462)),2)="B:",LEFT(UPPER(TRIM(A462)),8)="BLOCKER:",LEFT(UPPER(TRIM(A462)),9)="BLOCKERS:",LEFT(UPPER(TRIM(A462)),8)="BLOCKED:"),"B",""))))</f>
      </c>
      <c r="E462" s="17">
        <f>IF(D462="","",TRIM(MID(A462,FIND(":",A462)+1,500)))</f>
      </c>
    </row>
    <row r="463">
      <c r="B463" s="17">
        <f>IF(A463="","",IF(COUNTIF(Roster[Name],IF(RIGHT(IF(LEFT(TRIM(A463),1)="[",TRIM(MID(TRIM(A463),FIND("]",TRIM(A463)&amp;"]")+1,200)),TRIM(A463)),1)=")",TRIM(LEFT(IF(LEFT(TRIM(A463),1)="[",TRIM(MID(TRIM(A463),FIND("]",TRIM(A463)&amp;"]")+1,200)),TRIM(A463)),FIND("(",IF(LEFT(TRIM(A463),1)="[",TRIM(MID(TRIM(A463),FIND("]",TRIM(A463)&amp;"]")+1,200)),TRIM(A463))&amp;"(")-1)),IF(LEFT(TRIM(A463),1)="[",TRIM(MID(TRIM(A463),FIND("]",TRIM(A463)&amp;"]")+1,200)),TRIM(A463))))&gt;0,IF(RIGHT(IF(LEFT(TRIM(A463),1)="[",TRIM(MID(TRIM(A463),FIND("]",TRIM(A463)&amp;"]")+1,200)),TRIM(A463)),1)=")",TRIM(LEFT(IF(LEFT(TRIM(A463),1)="[",TRIM(MID(TRIM(A463),FIND("]",TRIM(A463)&amp;"]")+1,200)),TRIM(A463)),FIND("(",IF(LEFT(TRIM(A463),1)="[",TRIM(MID(TRIM(A463),FIND("]",TRIM(A463)&amp;"]")+1,200)),TRIM(A463))&amp;"(")-1)),IF(LEFT(TRIM(A463),1)="[",TRIM(MID(TRIM(A463),FIND("]",TRIM(A463)&amp;"]")+1,200)),TRIM(A463))),""))</f>
      </c>
      <c r="C463" s="17">
        <f>IF(B463&lt;&gt;"",B463,C462)</f>
      </c>
      <c r="D463" s="17">
        <f>IF(A463="","",IF(OR(LEFT(UPPER(TRIM(A463)),2)="Y:",LEFT(UPPER(TRIM(A463)),10)="YESTERDAY:"),"Y",IF(OR(LEFT(UPPER(TRIM(A463)),2)="T:",LEFT(UPPER(TRIM(A463)),6)="TODAY:"),"T",IF(OR(LEFT(UPPER(TRIM(A463)),2)="B:",LEFT(UPPER(TRIM(A463)),8)="BLOCKER:",LEFT(UPPER(TRIM(A463)),9)="BLOCKERS:",LEFT(UPPER(TRIM(A463)),8)="BLOCKED:"),"B",""))))</f>
      </c>
      <c r="E463" s="17">
        <f>IF(D463="","",TRIM(MID(A463,FIND(":",A463)+1,500)))</f>
      </c>
    </row>
    <row r="464">
      <c r="B464" s="17">
        <f>IF(A464="","",IF(COUNTIF(Roster[Name],IF(RIGHT(IF(LEFT(TRIM(A464),1)="[",TRIM(MID(TRIM(A464),FIND("]",TRIM(A464)&amp;"]")+1,200)),TRIM(A464)),1)=")",TRIM(LEFT(IF(LEFT(TRIM(A464),1)="[",TRIM(MID(TRIM(A464),FIND("]",TRIM(A464)&amp;"]")+1,200)),TRIM(A464)),FIND("(",IF(LEFT(TRIM(A464),1)="[",TRIM(MID(TRIM(A464),FIND("]",TRIM(A464)&amp;"]")+1,200)),TRIM(A464))&amp;"(")-1)),IF(LEFT(TRIM(A464),1)="[",TRIM(MID(TRIM(A464),FIND("]",TRIM(A464)&amp;"]")+1,200)),TRIM(A464))))&gt;0,IF(RIGHT(IF(LEFT(TRIM(A464),1)="[",TRIM(MID(TRIM(A464),FIND("]",TRIM(A464)&amp;"]")+1,200)),TRIM(A464)),1)=")",TRIM(LEFT(IF(LEFT(TRIM(A464),1)="[",TRIM(MID(TRIM(A464),FIND("]",TRIM(A464)&amp;"]")+1,200)),TRIM(A464)),FIND("(",IF(LEFT(TRIM(A464),1)="[",TRIM(MID(TRIM(A464),FIND("]",TRIM(A464)&amp;"]")+1,200)),TRIM(A464))&amp;"(")-1)),IF(LEFT(TRIM(A464),1)="[",TRIM(MID(TRIM(A464),FIND("]",TRIM(A464)&amp;"]")+1,200)),TRIM(A464))),""))</f>
      </c>
      <c r="C464" s="17">
        <f>IF(B464&lt;&gt;"",B464,C463)</f>
      </c>
      <c r="D464" s="17">
        <f>IF(A464="","",IF(OR(LEFT(UPPER(TRIM(A464)),2)="Y:",LEFT(UPPER(TRIM(A464)),10)="YESTERDAY:"),"Y",IF(OR(LEFT(UPPER(TRIM(A464)),2)="T:",LEFT(UPPER(TRIM(A464)),6)="TODAY:"),"T",IF(OR(LEFT(UPPER(TRIM(A464)),2)="B:",LEFT(UPPER(TRIM(A464)),8)="BLOCKER:",LEFT(UPPER(TRIM(A464)),9)="BLOCKERS:",LEFT(UPPER(TRIM(A464)),8)="BLOCKED:"),"B",""))))</f>
      </c>
      <c r="E464" s="17">
        <f>IF(D464="","",TRIM(MID(A464,FIND(":",A464)+1,500)))</f>
      </c>
    </row>
    <row r="465">
      <c r="B465" s="17">
        <f>IF(A465="","",IF(COUNTIF(Roster[Name],IF(RIGHT(IF(LEFT(TRIM(A465),1)="[",TRIM(MID(TRIM(A465),FIND("]",TRIM(A465)&amp;"]")+1,200)),TRIM(A465)),1)=")",TRIM(LEFT(IF(LEFT(TRIM(A465),1)="[",TRIM(MID(TRIM(A465),FIND("]",TRIM(A465)&amp;"]")+1,200)),TRIM(A465)),FIND("(",IF(LEFT(TRIM(A465),1)="[",TRIM(MID(TRIM(A465),FIND("]",TRIM(A465)&amp;"]")+1,200)),TRIM(A465))&amp;"(")-1)),IF(LEFT(TRIM(A465),1)="[",TRIM(MID(TRIM(A465),FIND("]",TRIM(A465)&amp;"]")+1,200)),TRIM(A465))))&gt;0,IF(RIGHT(IF(LEFT(TRIM(A465),1)="[",TRIM(MID(TRIM(A465),FIND("]",TRIM(A465)&amp;"]")+1,200)),TRIM(A465)),1)=")",TRIM(LEFT(IF(LEFT(TRIM(A465),1)="[",TRIM(MID(TRIM(A465),FIND("]",TRIM(A465)&amp;"]")+1,200)),TRIM(A465)),FIND("(",IF(LEFT(TRIM(A465),1)="[",TRIM(MID(TRIM(A465),FIND("]",TRIM(A465)&amp;"]")+1,200)),TRIM(A465))&amp;"(")-1)),IF(LEFT(TRIM(A465),1)="[",TRIM(MID(TRIM(A465),FIND("]",TRIM(A465)&amp;"]")+1,200)),TRIM(A465))),""))</f>
      </c>
      <c r="C465" s="17">
        <f>IF(B465&lt;&gt;"",B465,C464)</f>
      </c>
      <c r="D465" s="17">
        <f>IF(A465="","",IF(OR(LEFT(UPPER(TRIM(A465)),2)="Y:",LEFT(UPPER(TRIM(A465)),10)="YESTERDAY:"),"Y",IF(OR(LEFT(UPPER(TRIM(A465)),2)="T:",LEFT(UPPER(TRIM(A465)),6)="TODAY:"),"T",IF(OR(LEFT(UPPER(TRIM(A465)),2)="B:",LEFT(UPPER(TRIM(A465)),8)="BLOCKER:",LEFT(UPPER(TRIM(A465)),9)="BLOCKERS:",LEFT(UPPER(TRIM(A465)),8)="BLOCKED:"),"B",""))))</f>
      </c>
      <c r="E465" s="17">
        <f>IF(D465="","",TRIM(MID(A465,FIND(":",A465)+1,500)))</f>
      </c>
    </row>
    <row r="466">
      <c r="B466" s="17">
        <f>IF(A466="","",IF(COUNTIF(Roster[Name],IF(RIGHT(IF(LEFT(TRIM(A466),1)="[",TRIM(MID(TRIM(A466),FIND("]",TRIM(A466)&amp;"]")+1,200)),TRIM(A466)),1)=")",TRIM(LEFT(IF(LEFT(TRIM(A466),1)="[",TRIM(MID(TRIM(A466),FIND("]",TRIM(A466)&amp;"]")+1,200)),TRIM(A466)),FIND("(",IF(LEFT(TRIM(A466),1)="[",TRIM(MID(TRIM(A466),FIND("]",TRIM(A466)&amp;"]")+1,200)),TRIM(A466))&amp;"(")-1)),IF(LEFT(TRIM(A466),1)="[",TRIM(MID(TRIM(A466),FIND("]",TRIM(A466)&amp;"]")+1,200)),TRIM(A466))))&gt;0,IF(RIGHT(IF(LEFT(TRIM(A466),1)="[",TRIM(MID(TRIM(A466),FIND("]",TRIM(A466)&amp;"]")+1,200)),TRIM(A466)),1)=")",TRIM(LEFT(IF(LEFT(TRIM(A466),1)="[",TRIM(MID(TRIM(A466),FIND("]",TRIM(A466)&amp;"]")+1,200)),TRIM(A466)),FIND("(",IF(LEFT(TRIM(A466),1)="[",TRIM(MID(TRIM(A466),FIND("]",TRIM(A466)&amp;"]")+1,200)),TRIM(A466))&amp;"(")-1)),IF(LEFT(TRIM(A466),1)="[",TRIM(MID(TRIM(A466),FIND("]",TRIM(A466)&amp;"]")+1,200)),TRIM(A466))),""))</f>
      </c>
      <c r="C466" s="17">
        <f>IF(B466&lt;&gt;"",B466,C465)</f>
      </c>
      <c r="D466" s="17">
        <f>IF(A466="","",IF(OR(LEFT(UPPER(TRIM(A466)),2)="Y:",LEFT(UPPER(TRIM(A466)),10)="YESTERDAY:"),"Y",IF(OR(LEFT(UPPER(TRIM(A466)),2)="T:",LEFT(UPPER(TRIM(A466)),6)="TODAY:"),"T",IF(OR(LEFT(UPPER(TRIM(A466)),2)="B:",LEFT(UPPER(TRIM(A466)),8)="BLOCKER:",LEFT(UPPER(TRIM(A466)),9)="BLOCKERS:",LEFT(UPPER(TRIM(A466)),8)="BLOCKED:"),"B",""))))</f>
      </c>
      <c r="E466" s="17">
        <f>IF(D466="","",TRIM(MID(A466,FIND(":",A466)+1,500)))</f>
      </c>
    </row>
    <row r="467">
      <c r="B467" s="17">
        <f>IF(A467="","",IF(COUNTIF(Roster[Name],IF(RIGHT(IF(LEFT(TRIM(A467),1)="[",TRIM(MID(TRIM(A467),FIND("]",TRIM(A467)&amp;"]")+1,200)),TRIM(A467)),1)=")",TRIM(LEFT(IF(LEFT(TRIM(A467),1)="[",TRIM(MID(TRIM(A467),FIND("]",TRIM(A467)&amp;"]")+1,200)),TRIM(A467)),FIND("(",IF(LEFT(TRIM(A467),1)="[",TRIM(MID(TRIM(A467),FIND("]",TRIM(A467)&amp;"]")+1,200)),TRIM(A467))&amp;"(")-1)),IF(LEFT(TRIM(A467),1)="[",TRIM(MID(TRIM(A467),FIND("]",TRIM(A467)&amp;"]")+1,200)),TRIM(A467))))&gt;0,IF(RIGHT(IF(LEFT(TRIM(A467),1)="[",TRIM(MID(TRIM(A467),FIND("]",TRIM(A467)&amp;"]")+1,200)),TRIM(A467)),1)=")",TRIM(LEFT(IF(LEFT(TRIM(A467),1)="[",TRIM(MID(TRIM(A467),FIND("]",TRIM(A467)&amp;"]")+1,200)),TRIM(A467)),FIND("(",IF(LEFT(TRIM(A467),1)="[",TRIM(MID(TRIM(A467),FIND("]",TRIM(A467)&amp;"]")+1,200)),TRIM(A467))&amp;"(")-1)),IF(LEFT(TRIM(A467),1)="[",TRIM(MID(TRIM(A467),FIND("]",TRIM(A467)&amp;"]")+1,200)),TRIM(A467))),""))</f>
      </c>
      <c r="C467" s="17">
        <f>IF(B467&lt;&gt;"",B467,C466)</f>
      </c>
      <c r="D467" s="17">
        <f>IF(A467="","",IF(OR(LEFT(UPPER(TRIM(A467)),2)="Y:",LEFT(UPPER(TRIM(A467)),10)="YESTERDAY:"),"Y",IF(OR(LEFT(UPPER(TRIM(A467)),2)="T:",LEFT(UPPER(TRIM(A467)),6)="TODAY:"),"T",IF(OR(LEFT(UPPER(TRIM(A467)),2)="B:",LEFT(UPPER(TRIM(A467)),8)="BLOCKER:",LEFT(UPPER(TRIM(A467)),9)="BLOCKERS:",LEFT(UPPER(TRIM(A467)),8)="BLOCKED:"),"B",""))))</f>
      </c>
      <c r="E467" s="17">
        <f>IF(D467="","",TRIM(MID(A467,FIND(":",A467)+1,500)))</f>
      </c>
    </row>
    <row r="468">
      <c r="B468" s="17">
        <f>IF(A468="","",IF(COUNTIF(Roster[Name],IF(RIGHT(IF(LEFT(TRIM(A468),1)="[",TRIM(MID(TRIM(A468),FIND("]",TRIM(A468)&amp;"]")+1,200)),TRIM(A468)),1)=")",TRIM(LEFT(IF(LEFT(TRIM(A468),1)="[",TRIM(MID(TRIM(A468),FIND("]",TRIM(A468)&amp;"]")+1,200)),TRIM(A468)),FIND("(",IF(LEFT(TRIM(A468),1)="[",TRIM(MID(TRIM(A468),FIND("]",TRIM(A468)&amp;"]")+1,200)),TRIM(A468))&amp;"(")-1)),IF(LEFT(TRIM(A468),1)="[",TRIM(MID(TRIM(A468),FIND("]",TRIM(A468)&amp;"]")+1,200)),TRIM(A468))))&gt;0,IF(RIGHT(IF(LEFT(TRIM(A468),1)="[",TRIM(MID(TRIM(A468),FIND("]",TRIM(A468)&amp;"]")+1,200)),TRIM(A468)),1)=")",TRIM(LEFT(IF(LEFT(TRIM(A468),1)="[",TRIM(MID(TRIM(A468),FIND("]",TRIM(A468)&amp;"]")+1,200)),TRIM(A468)),FIND("(",IF(LEFT(TRIM(A468),1)="[",TRIM(MID(TRIM(A468),FIND("]",TRIM(A468)&amp;"]")+1,200)),TRIM(A468))&amp;"(")-1)),IF(LEFT(TRIM(A468),1)="[",TRIM(MID(TRIM(A468),FIND("]",TRIM(A468)&amp;"]")+1,200)),TRIM(A468))),""))</f>
      </c>
      <c r="C468" s="17">
        <f>IF(B468&lt;&gt;"",B468,C467)</f>
      </c>
      <c r="D468" s="17">
        <f>IF(A468="","",IF(OR(LEFT(UPPER(TRIM(A468)),2)="Y:",LEFT(UPPER(TRIM(A468)),10)="YESTERDAY:"),"Y",IF(OR(LEFT(UPPER(TRIM(A468)),2)="T:",LEFT(UPPER(TRIM(A468)),6)="TODAY:"),"T",IF(OR(LEFT(UPPER(TRIM(A468)),2)="B:",LEFT(UPPER(TRIM(A468)),8)="BLOCKER:",LEFT(UPPER(TRIM(A468)),9)="BLOCKERS:",LEFT(UPPER(TRIM(A468)),8)="BLOCKED:"),"B",""))))</f>
      </c>
      <c r="E468" s="17">
        <f>IF(D468="","",TRIM(MID(A468,FIND(":",A468)+1,500)))</f>
      </c>
    </row>
    <row r="469">
      <c r="B469" s="17">
        <f>IF(A469="","",IF(COUNTIF(Roster[Name],IF(RIGHT(IF(LEFT(TRIM(A469),1)="[",TRIM(MID(TRIM(A469),FIND("]",TRIM(A469)&amp;"]")+1,200)),TRIM(A469)),1)=")",TRIM(LEFT(IF(LEFT(TRIM(A469),1)="[",TRIM(MID(TRIM(A469),FIND("]",TRIM(A469)&amp;"]")+1,200)),TRIM(A469)),FIND("(",IF(LEFT(TRIM(A469),1)="[",TRIM(MID(TRIM(A469),FIND("]",TRIM(A469)&amp;"]")+1,200)),TRIM(A469))&amp;"(")-1)),IF(LEFT(TRIM(A469),1)="[",TRIM(MID(TRIM(A469),FIND("]",TRIM(A469)&amp;"]")+1,200)),TRIM(A469))))&gt;0,IF(RIGHT(IF(LEFT(TRIM(A469),1)="[",TRIM(MID(TRIM(A469),FIND("]",TRIM(A469)&amp;"]")+1,200)),TRIM(A469)),1)=")",TRIM(LEFT(IF(LEFT(TRIM(A469),1)="[",TRIM(MID(TRIM(A469),FIND("]",TRIM(A469)&amp;"]")+1,200)),TRIM(A469)),FIND("(",IF(LEFT(TRIM(A469),1)="[",TRIM(MID(TRIM(A469),FIND("]",TRIM(A469)&amp;"]")+1,200)),TRIM(A469))&amp;"(")-1)),IF(LEFT(TRIM(A469),1)="[",TRIM(MID(TRIM(A469),FIND("]",TRIM(A469)&amp;"]")+1,200)),TRIM(A469))),""))</f>
      </c>
      <c r="C469" s="17">
        <f>IF(B469&lt;&gt;"",B469,C468)</f>
      </c>
      <c r="D469" s="17">
        <f>IF(A469="","",IF(OR(LEFT(UPPER(TRIM(A469)),2)="Y:",LEFT(UPPER(TRIM(A469)),10)="YESTERDAY:"),"Y",IF(OR(LEFT(UPPER(TRIM(A469)),2)="T:",LEFT(UPPER(TRIM(A469)),6)="TODAY:"),"T",IF(OR(LEFT(UPPER(TRIM(A469)),2)="B:",LEFT(UPPER(TRIM(A469)),8)="BLOCKER:",LEFT(UPPER(TRIM(A469)),9)="BLOCKERS:",LEFT(UPPER(TRIM(A469)),8)="BLOCKED:"),"B",""))))</f>
      </c>
      <c r="E469" s="17">
        <f>IF(D469="","",TRIM(MID(A469,FIND(":",A469)+1,500)))</f>
      </c>
    </row>
    <row r="470">
      <c r="B470" s="17">
        <f>IF(A470="","",IF(COUNTIF(Roster[Name],IF(RIGHT(IF(LEFT(TRIM(A470),1)="[",TRIM(MID(TRIM(A470),FIND("]",TRIM(A470)&amp;"]")+1,200)),TRIM(A470)),1)=")",TRIM(LEFT(IF(LEFT(TRIM(A470),1)="[",TRIM(MID(TRIM(A470),FIND("]",TRIM(A470)&amp;"]")+1,200)),TRIM(A470)),FIND("(",IF(LEFT(TRIM(A470),1)="[",TRIM(MID(TRIM(A470),FIND("]",TRIM(A470)&amp;"]")+1,200)),TRIM(A470))&amp;"(")-1)),IF(LEFT(TRIM(A470),1)="[",TRIM(MID(TRIM(A470),FIND("]",TRIM(A470)&amp;"]")+1,200)),TRIM(A470))))&gt;0,IF(RIGHT(IF(LEFT(TRIM(A470),1)="[",TRIM(MID(TRIM(A470),FIND("]",TRIM(A470)&amp;"]")+1,200)),TRIM(A470)),1)=")",TRIM(LEFT(IF(LEFT(TRIM(A470),1)="[",TRIM(MID(TRIM(A470),FIND("]",TRIM(A470)&amp;"]")+1,200)),TRIM(A470)),FIND("(",IF(LEFT(TRIM(A470),1)="[",TRIM(MID(TRIM(A470),FIND("]",TRIM(A470)&amp;"]")+1,200)),TRIM(A470))&amp;"(")-1)),IF(LEFT(TRIM(A470),1)="[",TRIM(MID(TRIM(A470),FIND("]",TRIM(A470)&amp;"]")+1,200)),TRIM(A470))),""))</f>
      </c>
      <c r="C470" s="17">
        <f>IF(B470&lt;&gt;"",B470,C469)</f>
      </c>
      <c r="D470" s="17">
        <f>IF(A470="","",IF(OR(LEFT(UPPER(TRIM(A470)),2)="Y:",LEFT(UPPER(TRIM(A470)),10)="YESTERDAY:"),"Y",IF(OR(LEFT(UPPER(TRIM(A470)),2)="T:",LEFT(UPPER(TRIM(A470)),6)="TODAY:"),"T",IF(OR(LEFT(UPPER(TRIM(A470)),2)="B:",LEFT(UPPER(TRIM(A470)),8)="BLOCKER:",LEFT(UPPER(TRIM(A470)),9)="BLOCKERS:",LEFT(UPPER(TRIM(A470)),8)="BLOCKED:"),"B",""))))</f>
      </c>
      <c r="E470" s="17">
        <f>IF(D470="","",TRIM(MID(A470,FIND(":",A470)+1,500)))</f>
      </c>
    </row>
    <row r="471">
      <c r="B471" s="17">
        <f>IF(A471="","",IF(COUNTIF(Roster[Name],IF(RIGHT(IF(LEFT(TRIM(A471),1)="[",TRIM(MID(TRIM(A471),FIND("]",TRIM(A471)&amp;"]")+1,200)),TRIM(A471)),1)=")",TRIM(LEFT(IF(LEFT(TRIM(A471),1)="[",TRIM(MID(TRIM(A471),FIND("]",TRIM(A471)&amp;"]")+1,200)),TRIM(A471)),FIND("(",IF(LEFT(TRIM(A471),1)="[",TRIM(MID(TRIM(A471),FIND("]",TRIM(A471)&amp;"]")+1,200)),TRIM(A471))&amp;"(")-1)),IF(LEFT(TRIM(A471),1)="[",TRIM(MID(TRIM(A471),FIND("]",TRIM(A471)&amp;"]")+1,200)),TRIM(A471))))&gt;0,IF(RIGHT(IF(LEFT(TRIM(A471),1)="[",TRIM(MID(TRIM(A471),FIND("]",TRIM(A471)&amp;"]")+1,200)),TRIM(A471)),1)=")",TRIM(LEFT(IF(LEFT(TRIM(A471),1)="[",TRIM(MID(TRIM(A471),FIND("]",TRIM(A471)&amp;"]")+1,200)),TRIM(A471)),FIND("(",IF(LEFT(TRIM(A471),1)="[",TRIM(MID(TRIM(A471),FIND("]",TRIM(A471)&amp;"]")+1,200)),TRIM(A471))&amp;"(")-1)),IF(LEFT(TRIM(A471),1)="[",TRIM(MID(TRIM(A471),FIND("]",TRIM(A471)&amp;"]")+1,200)),TRIM(A471))),""))</f>
      </c>
      <c r="C471" s="17">
        <f>IF(B471&lt;&gt;"",B471,C470)</f>
      </c>
      <c r="D471" s="17">
        <f>IF(A471="","",IF(OR(LEFT(UPPER(TRIM(A471)),2)="Y:",LEFT(UPPER(TRIM(A471)),10)="YESTERDAY:"),"Y",IF(OR(LEFT(UPPER(TRIM(A471)),2)="T:",LEFT(UPPER(TRIM(A471)),6)="TODAY:"),"T",IF(OR(LEFT(UPPER(TRIM(A471)),2)="B:",LEFT(UPPER(TRIM(A471)),8)="BLOCKER:",LEFT(UPPER(TRIM(A471)),9)="BLOCKERS:",LEFT(UPPER(TRIM(A471)),8)="BLOCKED:"),"B",""))))</f>
      </c>
      <c r="E471" s="17">
        <f>IF(D471="","",TRIM(MID(A471,FIND(":",A471)+1,500)))</f>
      </c>
    </row>
    <row r="472">
      <c r="B472" s="17">
        <f>IF(A472="","",IF(COUNTIF(Roster[Name],IF(RIGHT(IF(LEFT(TRIM(A472),1)="[",TRIM(MID(TRIM(A472),FIND("]",TRIM(A472)&amp;"]")+1,200)),TRIM(A472)),1)=")",TRIM(LEFT(IF(LEFT(TRIM(A472),1)="[",TRIM(MID(TRIM(A472),FIND("]",TRIM(A472)&amp;"]")+1,200)),TRIM(A472)),FIND("(",IF(LEFT(TRIM(A472),1)="[",TRIM(MID(TRIM(A472),FIND("]",TRIM(A472)&amp;"]")+1,200)),TRIM(A472))&amp;"(")-1)),IF(LEFT(TRIM(A472),1)="[",TRIM(MID(TRIM(A472),FIND("]",TRIM(A472)&amp;"]")+1,200)),TRIM(A472))))&gt;0,IF(RIGHT(IF(LEFT(TRIM(A472),1)="[",TRIM(MID(TRIM(A472),FIND("]",TRIM(A472)&amp;"]")+1,200)),TRIM(A472)),1)=")",TRIM(LEFT(IF(LEFT(TRIM(A472),1)="[",TRIM(MID(TRIM(A472),FIND("]",TRIM(A472)&amp;"]")+1,200)),TRIM(A472)),FIND("(",IF(LEFT(TRIM(A472),1)="[",TRIM(MID(TRIM(A472),FIND("]",TRIM(A472)&amp;"]")+1,200)),TRIM(A472))&amp;"(")-1)),IF(LEFT(TRIM(A472),1)="[",TRIM(MID(TRIM(A472),FIND("]",TRIM(A472)&amp;"]")+1,200)),TRIM(A472))),""))</f>
      </c>
      <c r="C472" s="17">
        <f>IF(B472&lt;&gt;"",B472,C471)</f>
      </c>
      <c r="D472" s="17">
        <f>IF(A472="","",IF(OR(LEFT(UPPER(TRIM(A472)),2)="Y:",LEFT(UPPER(TRIM(A472)),10)="YESTERDAY:"),"Y",IF(OR(LEFT(UPPER(TRIM(A472)),2)="T:",LEFT(UPPER(TRIM(A472)),6)="TODAY:"),"T",IF(OR(LEFT(UPPER(TRIM(A472)),2)="B:",LEFT(UPPER(TRIM(A472)),8)="BLOCKER:",LEFT(UPPER(TRIM(A472)),9)="BLOCKERS:",LEFT(UPPER(TRIM(A472)),8)="BLOCKED:"),"B",""))))</f>
      </c>
      <c r="E472" s="17">
        <f>IF(D472="","",TRIM(MID(A472,FIND(":",A472)+1,500)))</f>
      </c>
    </row>
    <row r="473">
      <c r="B473" s="17">
        <f>IF(A473="","",IF(COUNTIF(Roster[Name],IF(RIGHT(IF(LEFT(TRIM(A473),1)="[",TRIM(MID(TRIM(A473),FIND("]",TRIM(A473)&amp;"]")+1,200)),TRIM(A473)),1)=")",TRIM(LEFT(IF(LEFT(TRIM(A473),1)="[",TRIM(MID(TRIM(A473),FIND("]",TRIM(A473)&amp;"]")+1,200)),TRIM(A473)),FIND("(",IF(LEFT(TRIM(A473),1)="[",TRIM(MID(TRIM(A473),FIND("]",TRIM(A473)&amp;"]")+1,200)),TRIM(A473))&amp;"(")-1)),IF(LEFT(TRIM(A473),1)="[",TRIM(MID(TRIM(A473),FIND("]",TRIM(A473)&amp;"]")+1,200)),TRIM(A473))))&gt;0,IF(RIGHT(IF(LEFT(TRIM(A473),1)="[",TRIM(MID(TRIM(A473),FIND("]",TRIM(A473)&amp;"]")+1,200)),TRIM(A473)),1)=")",TRIM(LEFT(IF(LEFT(TRIM(A473),1)="[",TRIM(MID(TRIM(A473),FIND("]",TRIM(A473)&amp;"]")+1,200)),TRIM(A473)),FIND("(",IF(LEFT(TRIM(A473),1)="[",TRIM(MID(TRIM(A473),FIND("]",TRIM(A473)&amp;"]")+1,200)),TRIM(A473))&amp;"(")-1)),IF(LEFT(TRIM(A473),1)="[",TRIM(MID(TRIM(A473),FIND("]",TRIM(A473)&amp;"]")+1,200)),TRIM(A473))),""))</f>
      </c>
      <c r="C473" s="17">
        <f>IF(B473&lt;&gt;"",B473,C472)</f>
      </c>
      <c r="D473" s="17">
        <f>IF(A473="","",IF(OR(LEFT(UPPER(TRIM(A473)),2)="Y:",LEFT(UPPER(TRIM(A473)),10)="YESTERDAY:"),"Y",IF(OR(LEFT(UPPER(TRIM(A473)),2)="T:",LEFT(UPPER(TRIM(A473)),6)="TODAY:"),"T",IF(OR(LEFT(UPPER(TRIM(A473)),2)="B:",LEFT(UPPER(TRIM(A473)),8)="BLOCKER:",LEFT(UPPER(TRIM(A473)),9)="BLOCKERS:",LEFT(UPPER(TRIM(A473)),8)="BLOCKED:"),"B",""))))</f>
      </c>
      <c r="E473" s="17">
        <f>IF(D473="","",TRIM(MID(A473,FIND(":",A473)+1,500)))</f>
      </c>
    </row>
    <row r="474">
      <c r="B474" s="17">
        <f>IF(A474="","",IF(COUNTIF(Roster[Name],IF(RIGHT(IF(LEFT(TRIM(A474),1)="[",TRIM(MID(TRIM(A474),FIND("]",TRIM(A474)&amp;"]")+1,200)),TRIM(A474)),1)=")",TRIM(LEFT(IF(LEFT(TRIM(A474),1)="[",TRIM(MID(TRIM(A474),FIND("]",TRIM(A474)&amp;"]")+1,200)),TRIM(A474)),FIND("(",IF(LEFT(TRIM(A474),1)="[",TRIM(MID(TRIM(A474),FIND("]",TRIM(A474)&amp;"]")+1,200)),TRIM(A474))&amp;"(")-1)),IF(LEFT(TRIM(A474),1)="[",TRIM(MID(TRIM(A474),FIND("]",TRIM(A474)&amp;"]")+1,200)),TRIM(A474))))&gt;0,IF(RIGHT(IF(LEFT(TRIM(A474),1)="[",TRIM(MID(TRIM(A474),FIND("]",TRIM(A474)&amp;"]")+1,200)),TRIM(A474)),1)=")",TRIM(LEFT(IF(LEFT(TRIM(A474),1)="[",TRIM(MID(TRIM(A474),FIND("]",TRIM(A474)&amp;"]")+1,200)),TRIM(A474)),FIND("(",IF(LEFT(TRIM(A474),1)="[",TRIM(MID(TRIM(A474),FIND("]",TRIM(A474)&amp;"]")+1,200)),TRIM(A474))&amp;"(")-1)),IF(LEFT(TRIM(A474),1)="[",TRIM(MID(TRIM(A474),FIND("]",TRIM(A474)&amp;"]")+1,200)),TRIM(A474))),""))</f>
      </c>
      <c r="C474" s="17">
        <f>IF(B474&lt;&gt;"",B474,C473)</f>
      </c>
      <c r="D474" s="17">
        <f>IF(A474="","",IF(OR(LEFT(UPPER(TRIM(A474)),2)="Y:",LEFT(UPPER(TRIM(A474)),10)="YESTERDAY:"),"Y",IF(OR(LEFT(UPPER(TRIM(A474)),2)="T:",LEFT(UPPER(TRIM(A474)),6)="TODAY:"),"T",IF(OR(LEFT(UPPER(TRIM(A474)),2)="B:",LEFT(UPPER(TRIM(A474)),8)="BLOCKER:",LEFT(UPPER(TRIM(A474)),9)="BLOCKERS:",LEFT(UPPER(TRIM(A474)),8)="BLOCKED:"),"B",""))))</f>
      </c>
      <c r="E474" s="17">
        <f>IF(D474="","",TRIM(MID(A474,FIND(":",A474)+1,500)))</f>
      </c>
    </row>
    <row r="475">
      <c r="B475" s="17">
        <f>IF(A475="","",IF(COUNTIF(Roster[Name],IF(RIGHT(IF(LEFT(TRIM(A475),1)="[",TRIM(MID(TRIM(A475),FIND("]",TRIM(A475)&amp;"]")+1,200)),TRIM(A475)),1)=")",TRIM(LEFT(IF(LEFT(TRIM(A475),1)="[",TRIM(MID(TRIM(A475),FIND("]",TRIM(A475)&amp;"]")+1,200)),TRIM(A475)),FIND("(",IF(LEFT(TRIM(A475),1)="[",TRIM(MID(TRIM(A475),FIND("]",TRIM(A475)&amp;"]")+1,200)),TRIM(A475))&amp;"(")-1)),IF(LEFT(TRIM(A475),1)="[",TRIM(MID(TRIM(A475),FIND("]",TRIM(A475)&amp;"]")+1,200)),TRIM(A475))))&gt;0,IF(RIGHT(IF(LEFT(TRIM(A475),1)="[",TRIM(MID(TRIM(A475),FIND("]",TRIM(A475)&amp;"]")+1,200)),TRIM(A475)),1)=")",TRIM(LEFT(IF(LEFT(TRIM(A475),1)="[",TRIM(MID(TRIM(A475),FIND("]",TRIM(A475)&amp;"]")+1,200)),TRIM(A475)),FIND("(",IF(LEFT(TRIM(A475),1)="[",TRIM(MID(TRIM(A475),FIND("]",TRIM(A475)&amp;"]")+1,200)),TRIM(A475))&amp;"(")-1)),IF(LEFT(TRIM(A475),1)="[",TRIM(MID(TRIM(A475),FIND("]",TRIM(A475)&amp;"]")+1,200)),TRIM(A475))),""))</f>
      </c>
      <c r="C475" s="17">
        <f>IF(B475&lt;&gt;"",B475,C474)</f>
      </c>
      <c r="D475" s="17">
        <f>IF(A475="","",IF(OR(LEFT(UPPER(TRIM(A475)),2)="Y:",LEFT(UPPER(TRIM(A475)),10)="YESTERDAY:"),"Y",IF(OR(LEFT(UPPER(TRIM(A475)),2)="T:",LEFT(UPPER(TRIM(A475)),6)="TODAY:"),"T",IF(OR(LEFT(UPPER(TRIM(A475)),2)="B:",LEFT(UPPER(TRIM(A475)),8)="BLOCKER:",LEFT(UPPER(TRIM(A475)),9)="BLOCKERS:",LEFT(UPPER(TRIM(A475)),8)="BLOCKED:"),"B",""))))</f>
      </c>
      <c r="E475" s="17">
        <f>IF(D475="","",TRIM(MID(A475,FIND(":",A475)+1,500)))</f>
      </c>
    </row>
    <row r="476">
      <c r="B476" s="17">
        <f>IF(A476="","",IF(COUNTIF(Roster[Name],IF(RIGHT(IF(LEFT(TRIM(A476),1)="[",TRIM(MID(TRIM(A476),FIND("]",TRIM(A476)&amp;"]")+1,200)),TRIM(A476)),1)=")",TRIM(LEFT(IF(LEFT(TRIM(A476),1)="[",TRIM(MID(TRIM(A476),FIND("]",TRIM(A476)&amp;"]")+1,200)),TRIM(A476)),FIND("(",IF(LEFT(TRIM(A476),1)="[",TRIM(MID(TRIM(A476),FIND("]",TRIM(A476)&amp;"]")+1,200)),TRIM(A476))&amp;"(")-1)),IF(LEFT(TRIM(A476),1)="[",TRIM(MID(TRIM(A476),FIND("]",TRIM(A476)&amp;"]")+1,200)),TRIM(A476))))&gt;0,IF(RIGHT(IF(LEFT(TRIM(A476),1)="[",TRIM(MID(TRIM(A476),FIND("]",TRIM(A476)&amp;"]")+1,200)),TRIM(A476)),1)=")",TRIM(LEFT(IF(LEFT(TRIM(A476),1)="[",TRIM(MID(TRIM(A476),FIND("]",TRIM(A476)&amp;"]")+1,200)),TRIM(A476)),FIND("(",IF(LEFT(TRIM(A476),1)="[",TRIM(MID(TRIM(A476),FIND("]",TRIM(A476)&amp;"]")+1,200)),TRIM(A476))&amp;"(")-1)),IF(LEFT(TRIM(A476),1)="[",TRIM(MID(TRIM(A476),FIND("]",TRIM(A476)&amp;"]")+1,200)),TRIM(A476))),""))</f>
      </c>
      <c r="C476" s="17">
        <f>IF(B476&lt;&gt;"",B476,C475)</f>
      </c>
      <c r="D476" s="17">
        <f>IF(A476="","",IF(OR(LEFT(UPPER(TRIM(A476)),2)="Y:",LEFT(UPPER(TRIM(A476)),10)="YESTERDAY:"),"Y",IF(OR(LEFT(UPPER(TRIM(A476)),2)="T:",LEFT(UPPER(TRIM(A476)),6)="TODAY:"),"T",IF(OR(LEFT(UPPER(TRIM(A476)),2)="B:",LEFT(UPPER(TRIM(A476)),8)="BLOCKER:",LEFT(UPPER(TRIM(A476)),9)="BLOCKERS:",LEFT(UPPER(TRIM(A476)),8)="BLOCKED:"),"B",""))))</f>
      </c>
      <c r="E476" s="17">
        <f>IF(D476="","",TRIM(MID(A476,FIND(":",A476)+1,500)))</f>
      </c>
    </row>
    <row r="477">
      <c r="B477" s="17">
        <f>IF(A477="","",IF(COUNTIF(Roster[Name],IF(RIGHT(IF(LEFT(TRIM(A477),1)="[",TRIM(MID(TRIM(A477),FIND("]",TRIM(A477)&amp;"]")+1,200)),TRIM(A477)),1)=")",TRIM(LEFT(IF(LEFT(TRIM(A477),1)="[",TRIM(MID(TRIM(A477),FIND("]",TRIM(A477)&amp;"]")+1,200)),TRIM(A477)),FIND("(",IF(LEFT(TRIM(A477),1)="[",TRIM(MID(TRIM(A477),FIND("]",TRIM(A477)&amp;"]")+1,200)),TRIM(A477))&amp;"(")-1)),IF(LEFT(TRIM(A477),1)="[",TRIM(MID(TRIM(A477),FIND("]",TRIM(A477)&amp;"]")+1,200)),TRIM(A477))))&gt;0,IF(RIGHT(IF(LEFT(TRIM(A477),1)="[",TRIM(MID(TRIM(A477),FIND("]",TRIM(A477)&amp;"]")+1,200)),TRIM(A477)),1)=")",TRIM(LEFT(IF(LEFT(TRIM(A477),1)="[",TRIM(MID(TRIM(A477),FIND("]",TRIM(A477)&amp;"]")+1,200)),TRIM(A477)),FIND("(",IF(LEFT(TRIM(A477),1)="[",TRIM(MID(TRIM(A477),FIND("]",TRIM(A477)&amp;"]")+1,200)),TRIM(A477))&amp;"(")-1)),IF(LEFT(TRIM(A477),1)="[",TRIM(MID(TRIM(A477),FIND("]",TRIM(A477)&amp;"]")+1,200)),TRIM(A477))),""))</f>
      </c>
      <c r="C477" s="17">
        <f>IF(B477&lt;&gt;"",B477,C476)</f>
      </c>
      <c r="D477" s="17">
        <f>IF(A477="","",IF(OR(LEFT(UPPER(TRIM(A477)),2)="Y:",LEFT(UPPER(TRIM(A477)),10)="YESTERDAY:"),"Y",IF(OR(LEFT(UPPER(TRIM(A477)),2)="T:",LEFT(UPPER(TRIM(A477)),6)="TODAY:"),"T",IF(OR(LEFT(UPPER(TRIM(A477)),2)="B:",LEFT(UPPER(TRIM(A477)),8)="BLOCKER:",LEFT(UPPER(TRIM(A477)),9)="BLOCKERS:",LEFT(UPPER(TRIM(A477)),8)="BLOCKED:"),"B",""))))</f>
      </c>
      <c r="E477" s="17">
        <f>IF(D477="","",TRIM(MID(A477,FIND(":",A477)+1,500)))</f>
      </c>
    </row>
    <row r="478">
      <c r="B478" s="17">
        <f>IF(A478="","",IF(COUNTIF(Roster[Name],IF(RIGHT(IF(LEFT(TRIM(A478),1)="[",TRIM(MID(TRIM(A478),FIND("]",TRIM(A478)&amp;"]")+1,200)),TRIM(A478)),1)=")",TRIM(LEFT(IF(LEFT(TRIM(A478),1)="[",TRIM(MID(TRIM(A478),FIND("]",TRIM(A478)&amp;"]")+1,200)),TRIM(A478)),FIND("(",IF(LEFT(TRIM(A478),1)="[",TRIM(MID(TRIM(A478),FIND("]",TRIM(A478)&amp;"]")+1,200)),TRIM(A478))&amp;"(")-1)),IF(LEFT(TRIM(A478),1)="[",TRIM(MID(TRIM(A478),FIND("]",TRIM(A478)&amp;"]")+1,200)),TRIM(A478))))&gt;0,IF(RIGHT(IF(LEFT(TRIM(A478),1)="[",TRIM(MID(TRIM(A478),FIND("]",TRIM(A478)&amp;"]")+1,200)),TRIM(A478)),1)=")",TRIM(LEFT(IF(LEFT(TRIM(A478),1)="[",TRIM(MID(TRIM(A478),FIND("]",TRIM(A478)&amp;"]")+1,200)),TRIM(A478)),FIND("(",IF(LEFT(TRIM(A478),1)="[",TRIM(MID(TRIM(A478),FIND("]",TRIM(A478)&amp;"]")+1,200)),TRIM(A478))&amp;"(")-1)),IF(LEFT(TRIM(A478),1)="[",TRIM(MID(TRIM(A478),FIND("]",TRIM(A478)&amp;"]")+1,200)),TRIM(A478))),""))</f>
      </c>
      <c r="C478" s="17">
        <f>IF(B478&lt;&gt;"",B478,C477)</f>
      </c>
      <c r="D478" s="17">
        <f>IF(A478="","",IF(OR(LEFT(UPPER(TRIM(A478)),2)="Y:",LEFT(UPPER(TRIM(A478)),10)="YESTERDAY:"),"Y",IF(OR(LEFT(UPPER(TRIM(A478)),2)="T:",LEFT(UPPER(TRIM(A478)),6)="TODAY:"),"T",IF(OR(LEFT(UPPER(TRIM(A478)),2)="B:",LEFT(UPPER(TRIM(A478)),8)="BLOCKER:",LEFT(UPPER(TRIM(A478)),9)="BLOCKERS:",LEFT(UPPER(TRIM(A478)),8)="BLOCKED:"),"B",""))))</f>
      </c>
      <c r="E478" s="17">
        <f>IF(D478="","",TRIM(MID(A478,FIND(":",A478)+1,500)))</f>
      </c>
    </row>
    <row r="479">
      <c r="B479" s="17">
        <f>IF(A479="","",IF(COUNTIF(Roster[Name],IF(RIGHT(IF(LEFT(TRIM(A479),1)="[",TRIM(MID(TRIM(A479),FIND("]",TRIM(A479)&amp;"]")+1,200)),TRIM(A479)),1)=")",TRIM(LEFT(IF(LEFT(TRIM(A479),1)="[",TRIM(MID(TRIM(A479),FIND("]",TRIM(A479)&amp;"]")+1,200)),TRIM(A479)),FIND("(",IF(LEFT(TRIM(A479),1)="[",TRIM(MID(TRIM(A479),FIND("]",TRIM(A479)&amp;"]")+1,200)),TRIM(A479))&amp;"(")-1)),IF(LEFT(TRIM(A479),1)="[",TRIM(MID(TRIM(A479),FIND("]",TRIM(A479)&amp;"]")+1,200)),TRIM(A479))))&gt;0,IF(RIGHT(IF(LEFT(TRIM(A479),1)="[",TRIM(MID(TRIM(A479),FIND("]",TRIM(A479)&amp;"]")+1,200)),TRIM(A479)),1)=")",TRIM(LEFT(IF(LEFT(TRIM(A479),1)="[",TRIM(MID(TRIM(A479),FIND("]",TRIM(A479)&amp;"]")+1,200)),TRIM(A479)),FIND("(",IF(LEFT(TRIM(A479),1)="[",TRIM(MID(TRIM(A479),FIND("]",TRIM(A479)&amp;"]")+1,200)),TRIM(A479))&amp;"(")-1)),IF(LEFT(TRIM(A479),1)="[",TRIM(MID(TRIM(A479),FIND("]",TRIM(A479)&amp;"]")+1,200)),TRIM(A479))),""))</f>
      </c>
      <c r="C479" s="17">
        <f>IF(B479&lt;&gt;"",B479,C478)</f>
      </c>
      <c r="D479" s="17">
        <f>IF(A479="","",IF(OR(LEFT(UPPER(TRIM(A479)),2)="Y:",LEFT(UPPER(TRIM(A479)),10)="YESTERDAY:"),"Y",IF(OR(LEFT(UPPER(TRIM(A479)),2)="T:",LEFT(UPPER(TRIM(A479)),6)="TODAY:"),"T",IF(OR(LEFT(UPPER(TRIM(A479)),2)="B:",LEFT(UPPER(TRIM(A479)),8)="BLOCKER:",LEFT(UPPER(TRIM(A479)),9)="BLOCKERS:",LEFT(UPPER(TRIM(A479)),8)="BLOCKED:"),"B",""))))</f>
      </c>
      <c r="E479" s="17">
        <f>IF(D479="","",TRIM(MID(A479,FIND(":",A479)+1,500)))</f>
      </c>
    </row>
    <row r="480">
      <c r="B480" s="17">
        <f>IF(A480="","",IF(COUNTIF(Roster[Name],IF(RIGHT(IF(LEFT(TRIM(A480),1)="[",TRIM(MID(TRIM(A480),FIND("]",TRIM(A480)&amp;"]")+1,200)),TRIM(A480)),1)=")",TRIM(LEFT(IF(LEFT(TRIM(A480),1)="[",TRIM(MID(TRIM(A480),FIND("]",TRIM(A480)&amp;"]")+1,200)),TRIM(A480)),FIND("(",IF(LEFT(TRIM(A480),1)="[",TRIM(MID(TRIM(A480),FIND("]",TRIM(A480)&amp;"]")+1,200)),TRIM(A480))&amp;"(")-1)),IF(LEFT(TRIM(A480),1)="[",TRIM(MID(TRIM(A480),FIND("]",TRIM(A480)&amp;"]")+1,200)),TRIM(A480))))&gt;0,IF(RIGHT(IF(LEFT(TRIM(A480),1)="[",TRIM(MID(TRIM(A480),FIND("]",TRIM(A480)&amp;"]")+1,200)),TRIM(A480)),1)=")",TRIM(LEFT(IF(LEFT(TRIM(A480),1)="[",TRIM(MID(TRIM(A480),FIND("]",TRIM(A480)&amp;"]")+1,200)),TRIM(A480)),FIND("(",IF(LEFT(TRIM(A480),1)="[",TRIM(MID(TRIM(A480),FIND("]",TRIM(A480)&amp;"]")+1,200)),TRIM(A480))&amp;"(")-1)),IF(LEFT(TRIM(A480),1)="[",TRIM(MID(TRIM(A480),FIND("]",TRIM(A480)&amp;"]")+1,200)),TRIM(A480))),""))</f>
      </c>
      <c r="C480" s="17">
        <f>IF(B480&lt;&gt;"",B480,C479)</f>
      </c>
      <c r="D480" s="17">
        <f>IF(A480="","",IF(OR(LEFT(UPPER(TRIM(A480)),2)="Y:",LEFT(UPPER(TRIM(A480)),10)="YESTERDAY:"),"Y",IF(OR(LEFT(UPPER(TRIM(A480)),2)="T:",LEFT(UPPER(TRIM(A480)),6)="TODAY:"),"T",IF(OR(LEFT(UPPER(TRIM(A480)),2)="B:",LEFT(UPPER(TRIM(A480)),8)="BLOCKER:",LEFT(UPPER(TRIM(A480)),9)="BLOCKERS:",LEFT(UPPER(TRIM(A480)),8)="BLOCKED:"),"B",""))))</f>
      </c>
      <c r="E480" s="17">
        <f>IF(D480="","",TRIM(MID(A480,FIND(":",A480)+1,500)))</f>
      </c>
    </row>
    <row r="481">
      <c r="B481" s="17">
        <f>IF(A481="","",IF(COUNTIF(Roster[Name],IF(RIGHT(IF(LEFT(TRIM(A481),1)="[",TRIM(MID(TRIM(A481),FIND("]",TRIM(A481)&amp;"]")+1,200)),TRIM(A481)),1)=")",TRIM(LEFT(IF(LEFT(TRIM(A481),1)="[",TRIM(MID(TRIM(A481),FIND("]",TRIM(A481)&amp;"]")+1,200)),TRIM(A481)),FIND("(",IF(LEFT(TRIM(A481),1)="[",TRIM(MID(TRIM(A481),FIND("]",TRIM(A481)&amp;"]")+1,200)),TRIM(A481))&amp;"(")-1)),IF(LEFT(TRIM(A481),1)="[",TRIM(MID(TRIM(A481),FIND("]",TRIM(A481)&amp;"]")+1,200)),TRIM(A481))))&gt;0,IF(RIGHT(IF(LEFT(TRIM(A481),1)="[",TRIM(MID(TRIM(A481),FIND("]",TRIM(A481)&amp;"]")+1,200)),TRIM(A481)),1)=")",TRIM(LEFT(IF(LEFT(TRIM(A481),1)="[",TRIM(MID(TRIM(A481),FIND("]",TRIM(A481)&amp;"]")+1,200)),TRIM(A481)),FIND("(",IF(LEFT(TRIM(A481),1)="[",TRIM(MID(TRIM(A481),FIND("]",TRIM(A481)&amp;"]")+1,200)),TRIM(A481))&amp;"(")-1)),IF(LEFT(TRIM(A481),1)="[",TRIM(MID(TRIM(A481),FIND("]",TRIM(A481)&amp;"]")+1,200)),TRIM(A481))),""))</f>
      </c>
      <c r="C481" s="17">
        <f>IF(B481&lt;&gt;"",B481,C480)</f>
      </c>
      <c r="D481" s="17">
        <f>IF(A481="","",IF(OR(LEFT(UPPER(TRIM(A481)),2)="Y:",LEFT(UPPER(TRIM(A481)),10)="YESTERDAY:"),"Y",IF(OR(LEFT(UPPER(TRIM(A481)),2)="T:",LEFT(UPPER(TRIM(A481)),6)="TODAY:"),"T",IF(OR(LEFT(UPPER(TRIM(A481)),2)="B:",LEFT(UPPER(TRIM(A481)),8)="BLOCKER:",LEFT(UPPER(TRIM(A481)),9)="BLOCKERS:",LEFT(UPPER(TRIM(A481)),8)="BLOCKED:"),"B",""))))</f>
      </c>
      <c r="E481" s="17">
        <f>IF(D481="","",TRIM(MID(A481,FIND(":",A481)+1,500)))</f>
      </c>
    </row>
    <row r="482">
      <c r="B482" s="17">
        <f>IF(A482="","",IF(COUNTIF(Roster[Name],IF(RIGHT(IF(LEFT(TRIM(A482),1)="[",TRIM(MID(TRIM(A482),FIND("]",TRIM(A482)&amp;"]")+1,200)),TRIM(A482)),1)=")",TRIM(LEFT(IF(LEFT(TRIM(A482),1)="[",TRIM(MID(TRIM(A482),FIND("]",TRIM(A482)&amp;"]")+1,200)),TRIM(A482)),FIND("(",IF(LEFT(TRIM(A482),1)="[",TRIM(MID(TRIM(A482),FIND("]",TRIM(A482)&amp;"]")+1,200)),TRIM(A482))&amp;"(")-1)),IF(LEFT(TRIM(A482),1)="[",TRIM(MID(TRIM(A482),FIND("]",TRIM(A482)&amp;"]")+1,200)),TRIM(A482))))&gt;0,IF(RIGHT(IF(LEFT(TRIM(A482),1)="[",TRIM(MID(TRIM(A482),FIND("]",TRIM(A482)&amp;"]")+1,200)),TRIM(A482)),1)=")",TRIM(LEFT(IF(LEFT(TRIM(A482),1)="[",TRIM(MID(TRIM(A482),FIND("]",TRIM(A482)&amp;"]")+1,200)),TRIM(A482)),FIND("(",IF(LEFT(TRIM(A482),1)="[",TRIM(MID(TRIM(A482),FIND("]",TRIM(A482)&amp;"]")+1,200)),TRIM(A482))&amp;"(")-1)),IF(LEFT(TRIM(A482),1)="[",TRIM(MID(TRIM(A482),FIND("]",TRIM(A482)&amp;"]")+1,200)),TRIM(A482))),""))</f>
      </c>
      <c r="C482" s="17">
        <f>IF(B482&lt;&gt;"",B482,C481)</f>
      </c>
      <c r="D482" s="17">
        <f>IF(A482="","",IF(OR(LEFT(UPPER(TRIM(A482)),2)="Y:",LEFT(UPPER(TRIM(A482)),10)="YESTERDAY:"),"Y",IF(OR(LEFT(UPPER(TRIM(A482)),2)="T:",LEFT(UPPER(TRIM(A482)),6)="TODAY:"),"T",IF(OR(LEFT(UPPER(TRIM(A482)),2)="B:",LEFT(UPPER(TRIM(A482)),8)="BLOCKER:",LEFT(UPPER(TRIM(A482)),9)="BLOCKERS:",LEFT(UPPER(TRIM(A482)),8)="BLOCKED:"),"B",""))))</f>
      </c>
      <c r="E482" s="17">
        <f>IF(D482="","",TRIM(MID(A482,FIND(":",A482)+1,500)))</f>
      </c>
    </row>
    <row r="483">
      <c r="B483" s="17">
        <f>IF(A483="","",IF(COUNTIF(Roster[Name],IF(RIGHT(IF(LEFT(TRIM(A483),1)="[",TRIM(MID(TRIM(A483),FIND("]",TRIM(A483)&amp;"]")+1,200)),TRIM(A483)),1)=")",TRIM(LEFT(IF(LEFT(TRIM(A483),1)="[",TRIM(MID(TRIM(A483),FIND("]",TRIM(A483)&amp;"]")+1,200)),TRIM(A483)),FIND("(",IF(LEFT(TRIM(A483),1)="[",TRIM(MID(TRIM(A483),FIND("]",TRIM(A483)&amp;"]")+1,200)),TRIM(A483))&amp;"(")-1)),IF(LEFT(TRIM(A483),1)="[",TRIM(MID(TRIM(A483),FIND("]",TRIM(A483)&amp;"]")+1,200)),TRIM(A483))))&gt;0,IF(RIGHT(IF(LEFT(TRIM(A483),1)="[",TRIM(MID(TRIM(A483),FIND("]",TRIM(A483)&amp;"]")+1,200)),TRIM(A483)),1)=")",TRIM(LEFT(IF(LEFT(TRIM(A483),1)="[",TRIM(MID(TRIM(A483),FIND("]",TRIM(A483)&amp;"]")+1,200)),TRIM(A483)),FIND("(",IF(LEFT(TRIM(A483),1)="[",TRIM(MID(TRIM(A483),FIND("]",TRIM(A483)&amp;"]")+1,200)),TRIM(A483))&amp;"(")-1)),IF(LEFT(TRIM(A483),1)="[",TRIM(MID(TRIM(A483),FIND("]",TRIM(A483)&amp;"]")+1,200)),TRIM(A483))),""))</f>
      </c>
      <c r="C483" s="17">
        <f>IF(B483&lt;&gt;"",B483,C482)</f>
      </c>
      <c r="D483" s="17">
        <f>IF(A483="","",IF(OR(LEFT(UPPER(TRIM(A483)),2)="Y:",LEFT(UPPER(TRIM(A483)),10)="YESTERDAY:"),"Y",IF(OR(LEFT(UPPER(TRIM(A483)),2)="T:",LEFT(UPPER(TRIM(A483)),6)="TODAY:"),"T",IF(OR(LEFT(UPPER(TRIM(A483)),2)="B:",LEFT(UPPER(TRIM(A483)),8)="BLOCKER:",LEFT(UPPER(TRIM(A483)),9)="BLOCKERS:",LEFT(UPPER(TRIM(A483)),8)="BLOCKED:"),"B",""))))</f>
      </c>
      <c r="E483" s="17">
        <f>IF(D483="","",TRIM(MID(A483,FIND(":",A483)+1,500)))</f>
      </c>
    </row>
    <row r="484">
      <c r="B484" s="17">
        <f>IF(A484="","",IF(COUNTIF(Roster[Name],IF(RIGHT(IF(LEFT(TRIM(A484),1)="[",TRIM(MID(TRIM(A484),FIND("]",TRIM(A484)&amp;"]")+1,200)),TRIM(A484)),1)=")",TRIM(LEFT(IF(LEFT(TRIM(A484),1)="[",TRIM(MID(TRIM(A484),FIND("]",TRIM(A484)&amp;"]")+1,200)),TRIM(A484)),FIND("(",IF(LEFT(TRIM(A484),1)="[",TRIM(MID(TRIM(A484),FIND("]",TRIM(A484)&amp;"]")+1,200)),TRIM(A484))&amp;"(")-1)),IF(LEFT(TRIM(A484),1)="[",TRIM(MID(TRIM(A484),FIND("]",TRIM(A484)&amp;"]")+1,200)),TRIM(A484))))&gt;0,IF(RIGHT(IF(LEFT(TRIM(A484),1)="[",TRIM(MID(TRIM(A484),FIND("]",TRIM(A484)&amp;"]")+1,200)),TRIM(A484)),1)=")",TRIM(LEFT(IF(LEFT(TRIM(A484),1)="[",TRIM(MID(TRIM(A484),FIND("]",TRIM(A484)&amp;"]")+1,200)),TRIM(A484)),FIND("(",IF(LEFT(TRIM(A484),1)="[",TRIM(MID(TRIM(A484),FIND("]",TRIM(A484)&amp;"]")+1,200)),TRIM(A484))&amp;"(")-1)),IF(LEFT(TRIM(A484),1)="[",TRIM(MID(TRIM(A484),FIND("]",TRIM(A484)&amp;"]")+1,200)),TRIM(A484))),""))</f>
      </c>
      <c r="C484" s="17">
        <f>IF(B484&lt;&gt;"",B484,C483)</f>
      </c>
      <c r="D484" s="17">
        <f>IF(A484="","",IF(OR(LEFT(UPPER(TRIM(A484)),2)="Y:",LEFT(UPPER(TRIM(A484)),10)="YESTERDAY:"),"Y",IF(OR(LEFT(UPPER(TRIM(A484)),2)="T:",LEFT(UPPER(TRIM(A484)),6)="TODAY:"),"T",IF(OR(LEFT(UPPER(TRIM(A484)),2)="B:",LEFT(UPPER(TRIM(A484)),8)="BLOCKER:",LEFT(UPPER(TRIM(A484)),9)="BLOCKERS:",LEFT(UPPER(TRIM(A484)),8)="BLOCKED:"),"B",""))))</f>
      </c>
      <c r="E484" s="17">
        <f>IF(D484="","",TRIM(MID(A484,FIND(":",A484)+1,500)))</f>
      </c>
    </row>
    <row r="485">
      <c r="B485" s="17">
        <f>IF(A485="","",IF(COUNTIF(Roster[Name],IF(RIGHT(IF(LEFT(TRIM(A485),1)="[",TRIM(MID(TRIM(A485),FIND("]",TRIM(A485)&amp;"]")+1,200)),TRIM(A485)),1)=")",TRIM(LEFT(IF(LEFT(TRIM(A485),1)="[",TRIM(MID(TRIM(A485),FIND("]",TRIM(A485)&amp;"]")+1,200)),TRIM(A485)),FIND("(",IF(LEFT(TRIM(A485),1)="[",TRIM(MID(TRIM(A485),FIND("]",TRIM(A485)&amp;"]")+1,200)),TRIM(A485))&amp;"(")-1)),IF(LEFT(TRIM(A485),1)="[",TRIM(MID(TRIM(A485),FIND("]",TRIM(A485)&amp;"]")+1,200)),TRIM(A485))))&gt;0,IF(RIGHT(IF(LEFT(TRIM(A485),1)="[",TRIM(MID(TRIM(A485),FIND("]",TRIM(A485)&amp;"]")+1,200)),TRIM(A485)),1)=")",TRIM(LEFT(IF(LEFT(TRIM(A485),1)="[",TRIM(MID(TRIM(A485),FIND("]",TRIM(A485)&amp;"]")+1,200)),TRIM(A485)),FIND("(",IF(LEFT(TRIM(A485),1)="[",TRIM(MID(TRIM(A485),FIND("]",TRIM(A485)&amp;"]")+1,200)),TRIM(A485))&amp;"(")-1)),IF(LEFT(TRIM(A485),1)="[",TRIM(MID(TRIM(A485),FIND("]",TRIM(A485)&amp;"]")+1,200)),TRIM(A485))),""))</f>
      </c>
      <c r="C485" s="17">
        <f>IF(B485&lt;&gt;"",B485,C484)</f>
      </c>
      <c r="D485" s="17">
        <f>IF(A485="","",IF(OR(LEFT(UPPER(TRIM(A485)),2)="Y:",LEFT(UPPER(TRIM(A485)),10)="YESTERDAY:"),"Y",IF(OR(LEFT(UPPER(TRIM(A485)),2)="T:",LEFT(UPPER(TRIM(A485)),6)="TODAY:"),"T",IF(OR(LEFT(UPPER(TRIM(A485)),2)="B:",LEFT(UPPER(TRIM(A485)),8)="BLOCKER:",LEFT(UPPER(TRIM(A485)),9)="BLOCKERS:",LEFT(UPPER(TRIM(A485)),8)="BLOCKED:"),"B",""))))</f>
      </c>
      <c r="E485" s="17">
        <f>IF(D485="","",TRIM(MID(A485,FIND(":",A485)+1,500)))</f>
      </c>
    </row>
    <row r="486">
      <c r="B486" s="17">
        <f>IF(A486="","",IF(COUNTIF(Roster[Name],IF(RIGHT(IF(LEFT(TRIM(A486),1)="[",TRIM(MID(TRIM(A486),FIND("]",TRIM(A486)&amp;"]")+1,200)),TRIM(A486)),1)=")",TRIM(LEFT(IF(LEFT(TRIM(A486),1)="[",TRIM(MID(TRIM(A486),FIND("]",TRIM(A486)&amp;"]")+1,200)),TRIM(A486)),FIND("(",IF(LEFT(TRIM(A486),1)="[",TRIM(MID(TRIM(A486),FIND("]",TRIM(A486)&amp;"]")+1,200)),TRIM(A486))&amp;"(")-1)),IF(LEFT(TRIM(A486),1)="[",TRIM(MID(TRIM(A486),FIND("]",TRIM(A486)&amp;"]")+1,200)),TRIM(A486))))&gt;0,IF(RIGHT(IF(LEFT(TRIM(A486),1)="[",TRIM(MID(TRIM(A486),FIND("]",TRIM(A486)&amp;"]")+1,200)),TRIM(A486)),1)=")",TRIM(LEFT(IF(LEFT(TRIM(A486),1)="[",TRIM(MID(TRIM(A486),FIND("]",TRIM(A486)&amp;"]")+1,200)),TRIM(A486)),FIND("(",IF(LEFT(TRIM(A486),1)="[",TRIM(MID(TRIM(A486),FIND("]",TRIM(A486)&amp;"]")+1,200)),TRIM(A486))&amp;"(")-1)),IF(LEFT(TRIM(A486),1)="[",TRIM(MID(TRIM(A486),FIND("]",TRIM(A486)&amp;"]")+1,200)),TRIM(A486))),""))</f>
      </c>
      <c r="C486" s="17">
        <f>IF(B486&lt;&gt;"",B486,C485)</f>
      </c>
      <c r="D486" s="17">
        <f>IF(A486="","",IF(OR(LEFT(UPPER(TRIM(A486)),2)="Y:",LEFT(UPPER(TRIM(A486)),10)="YESTERDAY:"),"Y",IF(OR(LEFT(UPPER(TRIM(A486)),2)="T:",LEFT(UPPER(TRIM(A486)),6)="TODAY:"),"T",IF(OR(LEFT(UPPER(TRIM(A486)),2)="B:",LEFT(UPPER(TRIM(A486)),8)="BLOCKER:",LEFT(UPPER(TRIM(A486)),9)="BLOCKERS:",LEFT(UPPER(TRIM(A486)),8)="BLOCKED:"),"B",""))))</f>
      </c>
      <c r="E486" s="17">
        <f>IF(D486="","",TRIM(MID(A486,FIND(":",A486)+1,500)))</f>
      </c>
    </row>
    <row r="487">
      <c r="B487" s="17">
        <f>IF(A487="","",IF(COUNTIF(Roster[Name],IF(RIGHT(IF(LEFT(TRIM(A487),1)="[",TRIM(MID(TRIM(A487),FIND("]",TRIM(A487)&amp;"]")+1,200)),TRIM(A487)),1)=")",TRIM(LEFT(IF(LEFT(TRIM(A487),1)="[",TRIM(MID(TRIM(A487),FIND("]",TRIM(A487)&amp;"]")+1,200)),TRIM(A487)),FIND("(",IF(LEFT(TRIM(A487),1)="[",TRIM(MID(TRIM(A487),FIND("]",TRIM(A487)&amp;"]")+1,200)),TRIM(A487))&amp;"(")-1)),IF(LEFT(TRIM(A487),1)="[",TRIM(MID(TRIM(A487),FIND("]",TRIM(A487)&amp;"]")+1,200)),TRIM(A487))))&gt;0,IF(RIGHT(IF(LEFT(TRIM(A487),1)="[",TRIM(MID(TRIM(A487),FIND("]",TRIM(A487)&amp;"]")+1,200)),TRIM(A487)),1)=")",TRIM(LEFT(IF(LEFT(TRIM(A487),1)="[",TRIM(MID(TRIM(A487),FIND("]",TRIM(A487)&amp;"]")+1,200)),TRIM(A487)),FIND("(",IF(LEFT(TRIM(A487),1)="[",TRIM(MID(TRIM(A487),FIND("]",TRIM(A487)&amp;"]")+1,200)),TRIM(A487))&amp;"(")-1)),IF(LEFT(TRIM(A487),1)="[",TRIM(MID(TRIM(A487),FIND("]",TRIM(A487)&amp;"]")+1,200)),TRIM(A487))),""))</f>
      </c>
      <c r="C487" s="17">
        <f>IF(B487&lt;&gt;"",B487,C486)</f>
      </c>
      <c r="D487" s="17">
        <f>IF(A487="","",IF(OR(LEFT(UPPER(TRIM(A487)),2)="Y:",LEFT(UPPER(TRIM(A487)),10)="YESTERDAY:"),"Y",IF(OR(LEFT(UPPER(TRIM(A487)),2)="T:",LEFT(UPPER(TRIM(A487)),6)="TODAY:"),"T",IF(OR(LEFT(UPPER(TRIM(A487)),2)="B:",LEFT(UPPER(TRIM(A487)),8)="BLOCKER:",LEFT(UPPER(TRIM(A487)),9)="BLOCKERS:",LEFT(UPPER(TRIM(A487)),8)="BLOCKED:"),"B",""))))</f>
      </c>
      <c r="E487" s="17">
        <f>IF(D487="","",TRIM(MID(A487,FIND(":",A487)+1,500)))</f>
      </c>
    </row>
    <row r="488">
      <c r="B488" s="17">
        <f>IF(A488="","",IF(COUNTIF(Roster[Name],IF(RIGHT(IF(LEFT(TRIM(A488),1)="[",TRIM(MID(TRIM(A488),FIND("]",TRIM(A488)&amp;"]")+1,200)),TRIM(A488)),1)=")",TRIM(LEFT(IF(LEFT(TRIM(A488),1)="[",TRIM(MID(TRIM(A488),FIND("]",TRIM(A488)&amp;"]")+1,200)),TRIM(A488)),FIND("(",IF(LEFT(TRIM(A488),1)="[",TRIM(MID(TRIM(A488),FIND("]",TRIM(A488)&amp;"]")+1,200)),TRIM(A488))&amp;"(")-1)),IF(LEFT(TRIM(A488),1)="[",TRIM(MID(TRIM(A488),FIND("]",TRIM(A488)&amp;"]")+1,200)),TRIM(A488))))&gt;0,IF(RIGHT(IF(LEFT(TRIM(A488),1)="[",TRIM(MID(TRIM(A488),FIND("]",TRIM(A488)&amp;"]")+1,200)),TRIM(A488)),1)=")",TRIM(LEFT(IF(LEFT(TRIM(A488),1)="[",TRIM(MID(TRIM(A488),FIND("]",TRIM(A488)&amp;"]")+1,200)),TRIM(A488)),FIND("(",IF(LEFT(TRIM(A488),1)="[",TRIM(MID(TRIM(A488),FIND("]",TRIM(A488)&amp;"]")+1,200)),TRIM(A488))&amp;"(")-1)),IF(LEFT(TRIM(A488),1)="[",TRIM(MID(TRIM(A488),FIND("]",TRIM(A488)&amp;"]")+1,200)),TRIM(A488))),""))</f>
      </c>
      <c r="C488" s="17">
        <f>IF(B488&lt;&gt;"",B488,C487)</f>
      </c>
      <c r="D488" s="17">
        <f>IF(A488="","",IF(OR(LEFT(UPPER(TRIM(A488)),2)="Y:",LEFT(UPPER(TRIM(A488)),10)="YESTERDAY:"),"Y",IF(OR(LEFT(UPPER(TRIM(A488)),2)="T:",LEFT(UPPER(TRIM(A488)),6)="TODAY:"),"T",IF(OR(LEFT(UPPER(TRIM(A488)),2)="B:",LEFT(UPPER(TRIM(A488)),8)="BLOCKER:",LEFT(UPPER(TRIM(A488)),9)="BLOCKERS:",LEFT(UPPER(TRIM(A488)),8)="BLOCKED:"),"B",""))))</f>
      </c>
      <c r="E488" s="17">
        <f>IF(D488="","",TRIM(MID(A488,FIND(":",A488)+1,500)))</f>
      </c>
    </row>
    <row r="489">
      <c r="B489" s="17">
        <f>IF(A489="","",IF(COUNTIF(Roster[Name],IF(RIGHT(IF(LEFT(TRIM(A489),1)="[",TRIM(MID(TRIM(A489),FIND("]",TRIM(A489)&amp;"]")+1,200)),TRIM(A489)),1)=")",TRIM(LEFT(IF(LEFT(TRIM(A489),1)="[",TRIM(MID(TRIM(A489),FIND("]",TRIM(A489)&amp;"]")+1,200)),TRIM(A489)),FIND("(",IF(LEFT(TRIM(A489),1)="[",TRIM(MID(TRIM(A489),FIND("]",TRIM(A489)&amp;"]")+1,200)),TRIM(A489))&amp;"(")-1)),IF(LEFT(TRIM(A489),1)="[",TRIM(MID(TRIM(A489),FIND("]",TRIM(A489)&amp;"]")+1,200)),TRIM(A489))))&gt;0,IF(RIGHT(IF(LEFT(TRIM(A489),1)="[",TRIM(MID(TRIM(A489),FIND("]",TRIM(A489)&amp;"]")+1,200)),TRIM(A489)),1)=")",TRIM(LEFT(IF(LEFT(TRIM(A489),1)="[",TRIM(MID(TRIM(A489),FIND("]",TRIM(A489)&amp;"]")+1,200)),TRIM(A489)),FIND("(",IF(LEFT(TRIM(A489),1)="[",TRIM(MID(TRIM(A489),FIND("]",TRIM(A489)&amp;"]")+1,200)),TRIM(A489))&amp;"(")-1)),IF(LEFT(TRIM(A489),1)="[",TRIM(MID(TRIM(A489),FIND("]",TRIM(A489)&amp;"]")+1,200)),TRIM(A489))),""))</f>
      </c>
      <c r="C489" s="17">
        <f>IF(B489&lt;&gt;"",B489,C488)</f>
      </c>
      <c r="D489" s="17">
        <f>IF(A489="","",IF(OR(LEFT(UPPER(TRIM(A489)),2)="Y:",LEFT(UPPER(TRIM(A489)),10)="YESTERDAY:"),"Y",IF(OR(LEFT(UPPER(TRIM(A489)),2)="T:",LEFT(UPPER(TRIM(A489)),6)="TODAY:"),"T",IF(OR(LEFT(UPPER(TRIM(A489)),2)="B:",LEFT(UPPER(TRIM(A489)),8)="BLOCKER:",LEFT(UPPER(TRIM(A489)),9)="BLOCKERS:",LEFT(UPPER(TRIM(A489)),8)="BLOCKED:"),"B",""))))</f>
      </c>
      <c r="E489" s="17">
        <f>IF(D489="","",TRIM(MID(A489,FIND(":",A489)+1,500)))</f>
      </c>
    </row>
    <row r="490">
      <c r="B490" s="17">
        <f>IF(A490="","",IF(COUNTIF(Roster[Name],IF(RIGHT(IF(LEFT(TRIM(A490),1)="[",TRIM(MID(TRIM(A490),FIND("]",TRIM(A490)&amp;"]")+1,200)),TRIM(A490)),1)=")",TRIM(LEFT(IF(LEFT(TRIM(A490),1)="[",TRIM(MID(TRIM(A490),FIND("]",TRIM(A490)&amp;"]")+1,200)),TRIM(A490)),FIND("(",IF(LEFT(TRIM(A490),1)="[",TRIM(MID(TRIM(A490),FIND("]",TRIM(A490)&amp;"]")+1,200)),TRIM(A490))&amp;"(")-1)),IF(LEFT(TRIM(A490),1)="[",TRIM(MID(TRIM(A490),FIND("]",TRIM(A490)&amp;"]")+1,200)),TRIM(A490))))&gt;0,IF(RIGHT(IF(LEFT(TRIM(A490),1)="[",TRIM(MID(TRIM(A490),FIND("]",TRIM(A490)&amp;"]")+1,200)),TRIM(A490)),1)=")",TRIM(LEFT(IF(LEFT(TRIM(A490),1)="[",TRIM(MID(TRIM(A490),FIND("]",TRIM(A490)&amp;"]")+1,200)),TRIM(A490)),FIND("(",IF(LEFT(TRIM(A490),1)="[",TRIM(MID(TRIM(A490),FIND("]",TRIM(A490)&amp;"]")+1,200)),TRIM(A490))&amp;"(")-1)),IF(LEFT(TRIM(A490),1)="[",TRIM(MID(TRIM(A490),FIND("]",TRIM(A490)&amp;"]")+1,200)),TRIM(A490))),""))</f>
      </c>
      <c r="C490" s="17">
        <f>IF(B490&lt;&gt;"",B490,C489)</f>
      </c>
      <c r="D490" s="17">
        <f>IF(A490="","",IF(OR(LEFT(UPPER(TRIM(A490)),2)="Y:",LEFT(UPPER(TRIM(A490)),10)="YESTERDAY:"),"Y",IF(OR(LEFT(UPPER(TRIM(A490)),2)="T:",LEFT(UPPER(TRIM(A490)),6)="TODAY:"),"T",IF(OR(LEFT(UPPER(TRIM(A490)),2)="B:",LEFT(UPPER(TRIM(A490)),8)="BLOCKER:",LEFT(UPPER(TRIM(A490)),9)="BLOCKERS:",LEFT(UPPER(TRIM(A490)),8)="BLOCKED:"),"B",""))))</f>
      </c>
      <c r="E490" s="17">
        <f>IF(D490="","",TRIM(MID(A490,FIND(":",A490)+1,500)))</f>
      </c>
    </row>
    <row r="491">
      <c r="B491" s="17">
        <f>IF(A491="","",IF(COUNTIF(Roster[Name],IF(RIGHT(IF(LEFT(TRIM(A491),1)="[",TRIM(MID(TRIM(A491),FIND("]",TRIM(A491)&amp;"]")+1,200)),TRIM(A491)),1)=")",TRIM(LEFT(IF(LEFT(TRIM(A491),1)="[",TRIM(MID(TRIM(A491),FIND("]",TRIM(A491)&amp;"]")+1,200)),TRIM(A491)),FIND("(",IF(LEFT(TRIM(A491),1)="[",TRIM(MID(TRIM(A491),FIND("]",TRIM(A491)&amp;"]")+1,200)),TRIM(A491))&amp;"(")-1)),IF(LEFT(TRIM(A491),1)="[",TRIM(MID(TRIM(A491),FIND("]",TRIM(A491)&amp;"]")+1,200)),TRIM(A491))))&gt;0,IF(RIGHT(IF(LEFT(TRIM(A491),1)="[",TRIM(MID(TRIM(A491),FIND("]",TRIM(A491)&amp;"]")+1,200)),TRIM(A491)),1)=")",TRIM(LEFT(IF(LEFT(TRIM(A491),1)="[",TRIM(MID(TRIM(A491),FIND("]",TRIM(A491)&amp;"]")+1,200)),TRIM(A491)),FIND("(",IF(LEFT(TRIM(A491),1)="[",TRIM(MID(TRIM(A491),FIND("]",TRIM(A491)&amp;"]")+1,200)),TRIM(A491))&amp;"(")-1)),IF(LEFT(TRIM(A491),1)="[",TRIM(MID(TRIM(A491),FIND("]",TRIM(A491)&amp;"]")+1,200)),TRIM(A491))),""))</f>
      </c>
      <c r="C491" s="17">
        <f>IF(B491&lt;&gt;"",B491,C490)</f>
      </c>
      <c r="D491" s="17">
        <f>IF(A491="","",IF(OR(LEFT(UPPER(TRIM(A491)),2)="Y:",LEFT(UPPER(TRIM(A491)),10)="YESTERDAY:"),"Y",IF(OR(LEFT(UPPER(TRIM(A491)),2)="T:",LEFT(UPPER(TRIM(A491)),6)="TODAY:"),"T",IF(OR(LEFT(UPPER(TRIM(A491)),2)="B:",LEFT(UPPER(TRIM(A491)),8)="BLOCKER:",LEFT(UPPER(TRIM(A491)),9)="BLOCKERS:",LEFT(UPPER(TRIM(A491)),8)="BLOCKED:"),"B",""))))</f>
      </c>
      <c r="E491" s="17">
        <f>IF(D491="","",TRIM(MID(A491,FIND(":",A491)+1,500)))</f>
      </c>
    </row>
    <row r="492">
      <c r="B492" s="17">
        <f>IF(A492="","",IF(COUNTIF(Roster[Name],IF(RIGHT(IF(LEFT(TRIM(A492),1)="[",TRIM(MID(TRIM(A492),FIND("]",TRIM(A492)&amp;"]")+1,200)),TRIM(A492)),1)=")",TRIM(LEFT(IF(LEFT(TRIM(A492),1)="[",TRIM(MID(TRIM(A492),FIND("]",TRIM(A492)&amp;"]")+1,200)),TRIM(A492)),FIND("(",IF(LEFT(TRIM(A492),1)="[",TRIM(MID(TRIM(A492),FIND("]",TRIM(A492)&amp;"]")+1,200)),TRIM(A492))&amp;"(")-1)),IF(LEFT(TRIM(A492),1)="[",TRIM(MID(TRIM(A492),FIND("]",TRIM(A492)&amp;"]")+1,200)),TRIM(A492))))&gt;0,IF(RIGHT(IF(LEFT(TRIM(A492),1)="[",TRIM(MID(TRIM(A492),FIND("]",TRIM(A492)&amp;"]")+1,200)),TRIM(A492)),1)=")",TRIM(LEFT(IF(LEFT(TRIM(A492),1)="[",TRIM(MID(TRIM(A492),FIND("]",TRIM(A492)&amp;"]")+1,200)),TRIM(A492)),FIND("(",IF(LEFT(TRIM(A492),1)="[",TRIM(MID(TRIM(A492),FIND("]",TRIM(A492)&amp;"]")+1,200)),TRIM(A492))&amp;"(")-1)),IF(LEFT(TRIM(A492),1)="[",TRIM(MID(TRIM(A492),FIND("]",TRIM(A492)&amp;"]")+1,200)),TRIM(A492))),""))</f>
      </c>
      <c r="C492" s="17">
        <f>IF(B492&lt;&gt;"",B492,C491)</f>
      </c>
      <c r="D492" s="17">
        <f>IF(A492="","",IF(OR(LEFT(UPPER(TRIM(A492)),2)="Y:",LEFT(UPPER(TRIM(A492)),10)="YESTERDAY:"),"Y",IF(OR(LEFT(UPPER(TRIM(A492)),2)="T:",LEFT(UPPER(TRIM(A492)),6)="TODAY:"),"T",IF(OR(LEFT(UPPER(TRIM(A492)),2)="B:",LEFT(UPPER(TRIM(A492)),8)="BLOCKER:",LEFT(UPPER(TRIM(A492)),9)="BLOCKERS:",LEFT(UPPER(TRIM(A492)),8)="BLOCKED:"),"B",""))))</f>
      </c>
      <c r="E492" s="17">
        <f>IF(D492="","",TRIM(MID(A492,FIND(":",A492)+1,500)))</f>
      </c>
    </row>
    <row r="493">
      <c r="B493" s="17">
        <f>IF(A493="","",IF(COUNTIF(Roster[Name],IF(RIGHT(IF(LEFT(TRIM(A493),1)="[",TRIM(MID(TRIM(A493),FIND("]",TRIM(A493)&amp;"]")+1,200)),TRIM(A493)),1)=")",TRIM(LEFT(IF(LEFT(TRIM(A493),1)="[",TRIM(MID(TRIM(A493),FIND("]",TRIM(A493)&amp;"]")+1,200)),TRIM(A493)),FIND("(",IF(LEFT(TRIM(A493),1)="[",TRIM(MID(TRIM(A493),FIND("]",TRIM(A493)&amp;"]")+1,200)),TRIM(A493))&amp;"(")-1)),IF(LEFT(TRIM(A493),1)="[",TRIM(MID(TRIM(A493),FIND("]",TRIM(A493)&amp;"]")+1,200)),TRIM(A493))))&gt;0,IF(RIGHT(IF(LEFT(TRIM(A493),1)="[",TRIM(MID(TRIM(A493),FIND("]",TRIM(A493)&amp;"]")+1,200)),TRIM(A493)),1)=")",TRIM(LEFT(IF(LEFT(TRIM(A493),1)="[",TRIM(MID(TRIM(A493),FIND("]",TRIM(A493)&amp;"]")+1,200)),TRIM(A493)),FIND("(",IF(LEFT(TRIM(A493),1)="[",TRIM(MID(TRIM(A493),FIND("]",TRIM(A493)&amp;"]")+1,200)),TRIM(A493))&amp;"(")-1)),IF(LEFT(TRIM(A493),1)="[",TRIM(MID(TRIM(A493),FIND("]",TRIM(A493)&amp;"]")+1,200)),TRIM(A493))),""))</f>
      </c>
      <c r="C493" s="17">
        <f>IF(B493&lt;&gt;"",B493,C492)</f>
      </c>
      <c r="D493" s="17">
        <f>IF(A493="","",IF(OR(LEFT(UPPER(TRIM(A493)),2)="Y:",LEFT(UPPER(TRIM(A493)),10)="YESTERDAY:"),"Y",IF(OR(LEFT(UPPER(TRIM(A493)),2)="T:",LEFT(UPPER(TRIM(A493)),6)="TODAY:"),"T",IF(OR(LEFT(UPPER(TRIM(A493)),2)="B:",LEFT(UPPER(TRIM(A493)),8)="BLOCKER:",LEFT(UPPER(TRIM(A493)),9)="BLOCKERS:",LEFT(UPPER(TRIM(A493)),8)="BLOCKED:"),"B",""))))</f>
      </c>
      <c r="E493" s="17">
        <f>IF(D493="","",TRIM(MID(A493,FIND(":",A493)+1,500)))</f>
      </c>
    </row>
    <row r="494">
      <c r="B494" s="17">
        <f>IF(A494="","",IF(COUNTIF(Roster[Name],IF(RIGHT(IF(LEFT(TRIM(A494),1)="[",TRIM(MID(TRIM(A494),FIND("]",TRIM(A494)&amp;"]")+1,200)),TRIM(A494)),1)=")",TRIM(LEFT(IF(LEFT(TRIM(A494),1)="[",TRIM(MID(TRIM(A494),FIND("]",TRIM(A494)&amp;"]")+1,200)),TRIM(A494)),FIND("(",IF(LEFT(TRIM(A494),1)="[",TRIM(MID(TRIM(A494),FIND("]",TRIM(A494)&amp;"]")+1,200)),TRIM(A494))&amp;"(")-1)),IF(LEFT(TRIM(A494),1)="[",TRIM(MID(TRIM(A494),FIND("]",TRIM(A494)&amp;"]")+1,200)),TRIM(A494))))&gt;0,IF(RIGHT(IF(LEFT(TRIM(A494),1)="[",TRIM(MID(TRIM(A494),FIND("]",TRIM(A494)&amp;"]")+1,200)),TRIM(A494)),1)=")",TRIM(LEFT(IF(LEFT(TRIM(A494),1)="[",TRIM(MID(TRIM(A494),FIND("]",TRIM(A494)&amp;"]")+1,200)),TRIM(A494)),FIND("(",IF(LEFT(TRIM(A494),1)="[",TRIM(MID(TRIM(A494),FIND("]",TRIM(A494)&amp;"]")+1,200)),TRIM(A494))&amp;"(")-1)),IF(LEFT(TRIM(A494),1)="[",TRIM(MID(TRIM(A494),FIND("]",TRIM(A494)&amp;"]")+1,200)),TRIM(A494))),""))</f>
      </c>
      <c r="C494" s="17">
        <f>IF(B494&lt;&gt;"",B494,C493)</f>
      </c>
      <c r="D494" s="17">
        <f>IF(A494="","",IF(OR(LEFT(UPPER(TRIM(A494)),2)="Y:",LEFT(UPPER(TRIM(A494)),10)="YESTERDAY:"),"Y",IF(OR(LEFT(UPPER(TRIM(A494)),2)="T:",LEFT(UPPER(TRIM(A494)),6)="TODAY:"),"T",IF(OR(LEFT(UPPER(TRIM(A494)),2)="B:",LEFT(UPPER(TRIM(A494)),8)="BLOCKER:",LEFT(UPPER(TRIM(A494)),9)="BLOCKERS:",LEFT(UPPER(TRIM(A494)),8)="BLOCKED:"),"B",""))))</f>
      </c>
      <c r="E494" s="17">
        <f>IF(D494="","",TRIM(MID(A494,FIND(":",A494)+1,500)))</f>
      </c>
    </row>
    <row r="495">
      <c r="B495" s="17">
        <f>IF(A495="","",IF(COUNTIF(Roster[Name],IF(RIGHT(IF(LEFT(TRIM(A495),1)="[",TRIM(MID(TRIM(A495),FIND("]",TRIM(A495)&amp;"]")+1,200)),TRIM(A495)),1)=")",TRIM(LEFT(IF(LEFT(TRIM(A495),1)="[",TRIM(MID(TRIM(A495),FIND("]",TRIM(A495)&amp;"]")+1,200)),TRIM(A495)),FIND("(",IF(LEFT(TRIM(A495),1)="[",TRIM(MID(TRIM(A495),FIND("]",TRIM(A495)&amp;"]")+1,200)),TRIM(A495))&amp;"(")-1)),IF(LEFT(TRIM(A495),1)="[",TRIM(MID(TRIM(A495),FIND("]",TRIM(A495)&amp;"]")+1,200)),TRIM(A495))))&gt;0,IF(RIGHT(IF(LEFT(TRIM(A495),1)="[",TRIM(MID(TRIM(A495),FIND("]",TRIM(A495)&amp;"]")+1,200)),TRIM(A495)),1)=")",TRIM(LEFT(IF(LEFT(TRIM(A495),1)="[",TRIM(MID(TRIM(A495),FIND("]",TRIM(A495)&amp;"]")+1,200)),TRIM(A495)),FIND("(",IF(LEFT(TRIM(A495),1)="[",TRIM(MID(TRIM(A495),FIND("]",TRIM(A495)&amp;"]")+1,200)),TRIM(A495))&amp;"(")-1)),IF(LEFT(TRIM(A495),1)="[",TRIM(MID(TRIM(A495),FIND("]",TRIM(A495)&amp;"]")+1,200)),TRIM(A495))),""))</f>
      </c>
      <c r="C495" s="17">
        <f>IF(B495&lt;&gt;"",B495,C494)</f>
      </c>
      <c r="D495" s="17">
        <f>IF(A495="","",IF(OR(LEFT(UPPER(TRIM(A495)),2)="Y:",LEFT(UPPER(TRIM(A495)),10)="YESTERDAY:"),"Y",IF(OR(LEFT(UPPER(TRIM(A495)),2)="T:",LEFT(UPPER(TRIM(A495)),6)="TODAY:"),"T",IF(OR(LEFT(UPPER(TRIM(A495)),2)="B:",LEFT(UPPER(TRIM(A495)),8)="BLOCKER:",LEFT(UPPER(TRIM(A495)),9)="BLOCKERS:",LEFT(UPPER(TRIM(A495)),8)="BLOCKED:"),"B",""))))</f>
      </c>
      <c r="E495" s="17">
        <f>IF(D495="","",TRIM(MID(A495,FIND(":",A495)+1,500)))</f>
      </c>
    </row>
    <row r="496">
      <c r="B496" s="17">
        <f>IF(A496="","",IF(COUNTIF(Roster[Name],IF(RIGHT(IF(LEFT(TRIM(A496),1)="[",TRIM(MID(TRIM(A496),FIND("]",TRIM(A496)&amp;"]")+1,200)),TRIM(A496)),1)=")",TRIM(LEFT(IF(LEFT(TRIM(A496),1)="[",TRIM(MID(TRIM(A496),FIND("]",TRIM(A496)&amp;"]")+1,200)),TRIM(A496)),FIND("(",IF(LEFT(TRIM(A496),1)="[",TRIM(MID(TRIM(A496),FIND("]",TRIM(A496)&amp;"]")+1,200)),TRIM(A496))&amp;"(")-1)),IF(LEFT(TRIM(A496),1)="[",TRIM(MID(TRIM(A496),FIND("]",TRIM(A496)&amp;"]")+1,200)),TRIM(A496))))&gt;0,IF(RIGHT(IF(LEFT(TRIM(A496),1)="[",TRIM(MID(TRIM(A496),FIND("]",TRIM(A496)&amp;"]")+1,200)),TRIM(A496)),1)=")",TRIM(LEFT(IF(LEFT(TRIM(A496),1)="[",TRIM(MID(TRIM(A496),FIND("]",TRIM(A496)&amp;"]")+1,200)),TRIM(A496)),FIND("(",IF(LEFT(TRIM(A496),1)="[",TRIM(MID(TRIM(A496),FIND("]",TRIM(A496)&amp;"]")+1,200)),TRIM(A496))&amp;"(")-1)),IF(LEFT(TRIM(A496),1)="[",TRIM(MID(TRIM(A496),FIND("]",TRIM(A496)&amp;"]")+1,200)),TRIM(A496))),""))</f>
      </c>
      <c r="C496" s="17">
        <f>IF(B496&lt;&gt;"",B496,C495)</f>
      </c>
      <c r="D496" s="17">
        <f>IF(A496="","",IF(OR(LEFT(UPPER(TRIM(A496)),2)="Y:",LEFT(UPPER(TRIM(A496)),10)="YESTERDAY:"),"Y",IF(OR(LEFT(UPPER(TRIM(A496)),2)="T:",LEFT(UPPER(TRIM(A496)),6)="TODAY:"),"T",IF(OR(LEFT(UPPER(TRIM(A496)),2)="B:",LEFT(UPPER(TRIM(A496)),8)="BLOCKER:",LEFT(UPPER(TRIM(A496)),9)="BLOCKERS:",LEFT(UPPER(TRIM(A496)),8)="BLOCKED:"),"B",""))))</f>
      </c>
      <c r="E496" s="17">
        <f>IF(D496="","",TRIM(MID(A496,FIND(":",A496)+1,500)))</f>
      </c>
    </row>
    <row r="497">
      <c r="B497" s="17">
        <f>IF(A497="","",IF(COUNTIF(Roster[Name],IF(RIGHT(IF(LEFT(TRIM(A497),1)="[",TRIM(MID(TRIM(A497),FIND("]",TRIM(A497)&amp;"]")+1,200)),TRIM(A497)),1)=")",TRIM(LEFT(IF(LEFT(TRIM(A497),1)="[",TRIM(MID(TRIM(A497),FIND("]",TRIM(A497)&amp;"]")+1,200)),TRIM(A497)),FIND("(",IF(LEFT(TRIM(A497),1)="[",TRIM(MID(TRIM(A497),FIND("]",TRIM(A497)&amp;"]")+1,200)),TRIM(A497))&amp;"(")-1)),IF(LEFT(TRIM(A497),1)="[",TRIM(MID(TRIM(A497),FIND("]",TRIM(A497)&amp;"]")+1,200)),TRIM(A497))))&gt;0,IF(RIGHT(IF(LEFT(TRIM(A497),1)="[",TRIM(MID(TRIM(A497),FIND("]",TRIM(A497)&amp;"]")+1,200)),TRIM(A497)),1)=")",TRIM(LEFT(IF(LEFT(TRIM(A497),1)="[",TRIM(MID(TRIM(A497),FIND("]",TRIM(A497)&amp;"]")+1,200)),TRIM(A497)),FIND("(",IF(LEFT(TRIM(A497),1)="[",TRIM(MID(TRIM(A497),FIND("]",TRIM(A497)&amp;"]")+1,200)),TRIM(A497))&amp;"(")-1)),IF(LEFT(TRIM(A497),1)="[",TRIM(MID(TRIM(A497),FIND("]",TRIM(A497)&amp;"]")+1,200)),TRIM(A497))),""))</f>
      </c>
      <c r="C497" s="17">
        <f>IF(B497&lt;&gt;"",B497,C496)</f>
      </c>
      <c r="D497" s="17">
        <f>IF(A497="","",IF(OR(LEFT(UPPER(TRIM(A497)),2)="Y:",LEFT(UPPER(TRIM(A497)),10)="YESTERDAY:"),"Y",IF(OR(LEFT(UPPER(TRIM(A497)),2)="T:",LEFT(UPPER(TRIM(A497)),6)="TODAY:"),"T",IF(OR(LEFT(UPPER(TRIM(A497)),2)="B:",LEFT(UPPER(TRIM(A497)),8)="BLOCKER:",LEFT(UPPER(TRIM(A497)),9)="BLOCKERS:",LEFT(UPPER(TRIM(A497)),8)="BLOCKED:"),"B",""))))</f>
      </c>
      <c r="E497" s="17">
        <f>IF(D497="","",TRIM(MID(A497,FIND(":",A497)+1,500)))</f>
      </c>
    </row>
    <row r="498">
      <c r="B498" s="17">
        <f>IF(A498="","",IF(COUNTIF(Roster[Name],IF(RIGHT(IF(LEFT(TRIM(A498),1)="[",TRIM(MID(TRIM(A498),FIND("]",TRIM(A498)&amp;"]")+1,200)),TRIM(A498)),1)=")",TRIM(LEFT(IF(LEFT(TRIM(A498),1)="[",TRIM(MID(TRIM(A498),FIND("]",TRIM(A498)&amp;"]")+1,200)),TRIM(A498)),FIND("(",IF(LEFT(TRIM(A498),1)="[",TRIM(MID(TRIM(A498),FIND("]",TRIM(A498)&amp;"]")+1,200)),TRIM(A498))&amp;"(")-1)),IF(LEFT(TRIM(A498),1)="[",TRIM(MID(TRIM(A498),FIND("]",TRIM(A498)&amp;"]")+1,200)),TRIM(A498))))&gt;0,IF(RIGHT(IF(LEFT(TRIM(A498),1)="[",TRIM(MID(TRIM(A498),FIND("]",TRIM(A498)&amp;"]")+1,200)),TRIM(A498)),1)=")",TRIM(LEFT(IF(LEFT(TRIM(A498),1)="[",TRIM(MID(TRIM(A498),FIND("]",TRIM(A498)&amp;"]")+1,200)),TRIM(A498)),FIND("(",IF(LEFT(TRIM(A498),1)="[",TRIM(MID(TRIM(A498),FIND("]",TRIM(A498)&amp;"]")+1,200)),TRIM(A498))&amp;"(")-1)),IF(LEFT(TRIM(A498),1)="[",TRIM(MID(TRIM(A498),FIND("]",TRIM(A498)&amp;"]")+1,200)),TRIM(A498))),""))</f>
      </c>
      <c r="C498" s="17">
        <f>IF(B498&lt;&gt;"",B498,C497)</f>
      </c>
      <c r="D498" s="17">
        <f>IF(A498="","",IF(OR(LEFT(UPPER(TRIM(A498)),2)="Y:",LEFT(UPPER(TRIM(A498)),10)="YESTERDAY:"),"Y",IF(OR(LEFT(UPPER(TRIM(A498)),2)="T:",LEFT(UPPER(TRIM(A498)),6)="TODAY:"),"T",IF(OR(LEFT(UPPER(TRIM(A498)),2)="B:",LEFT(UPPER(TRIM(A498)),8)="BLOCKER:",LEFT(UPPER(TRIM(A498)),9)="BLOCKERS:",LEFT(UPPER(TRIM(A498)),8)="BLOCKED:"),"B",""))))</f>
      </c>
      <c r="E498" s="17">
        <f>IF(D498="","",TRIM(MID(A498,FIND(":",A498)+1,500)))</f>
      </c>
    </row>
    <row r="499">
      <c r="B499" s="17">
        <f>IF(A499="","",IF(COUNTIF(Roster[Name],IF(RIGHT(IF(LEFT(TRIM(A499),1)="[",TRIM(MID(TRIM(A499),FIND("]",TRIM(A499)&amp;"]")+1,200)),TRIM(A499)),1)=")",TRIM(LEFT(IF(LEFT(TRIM(A499),1)="[",TRIM(MID(TRIM(A499),FIND("]",TRIM(A499)&amp;"]")+1,200)),TRIM(A499)),FIND("(",IF(LEFT(TRIM(A499),1)="[",TRIM(MID(TRIM(A499),FIND("]",TRIM(A499)&amp;"]")+1,200)),TRIM(A499))&amp;"(")-1)),IF(LEFT(TRIM(A499),1)="[",TRIM(MID(TRIM(A499),FIND("]",TRIM(A499)&amp;"]")+1,200)),TRIM(A499))))&gt;0,IF(RIGHT(IF(LEFT(TRIM(A499),1)="[",TRIM(MID(TRIM(A499),FIND("]",TRIM(A499)&amp;"]")+1,200)),TRIM(A499)),1)=")",TRIM(LEFT(IF(LEFT(TRIM(A499),1)="[",TRIM(MID(TRIM(A499),FIND("]",TRIM(A499)&amp;"]")+1,200)),TRIM(A499)),FIND("(",IF(LEFT(TRIM(A499),1)="[",TRIM(MID(TRIM(A499),FIND("]",TRIM(A499)&amp;"]")+1,200)),TRIM(A499))&amp;"(")-1)),IF(LEFT(TRIM(A499),1)="[",TRIM(MID(TRIM(A499),FIND("]",TRIM(A499)&amp;"]")+1,200)),TRIM(A499))),""))</f>
      </c>
      <c r="C499" s="17">
        <f>IF(B499&lt;&gt;"",B499,C498)</f>
      </c>
      <c r="D499" s="17">
        <f>IF(A499="","",IF(OR(LEFT(UPPER(TRIM(A499)),2)="Y:",LEFT(UPPER(TRIM(A499)),10)="YESTERDAY:"),"Y",IF(OR(LEFT(UPPER(TRIM(A499)),2)="T:",LEFT(UPPER(TRIM(A499)),6)="TODAY:"),"T",IF(OR(LEFT(UPPER(TRIM(A499)),2)="B:",LEFT(UPPER(TRIM(A499)),8)="BLOCKER:",LEFT(UPPER(TRIM(A499)),9)="BLOCKERS:",LEFT(UPPER(TRIM(A499)),8)="BLOCKED:"),"B",""))))</f>
      </c>
      <c r="E499" s="17">
        <f>IF(D499="","",TRIM(MID(A499,FIND(":",A499)+1,500)))</f>
      </c>
    </row>
    <row r="500">
      <c r="B500" s="17">
        <f>IF(A500="","",IF(COUNTIF(Roster[Name],IF(RIGHT(IF(LEFT(TRIM(A500),1)="[",TRIM(MID(TRIM(A500),FIND("]",TRIM(A500)&amp;"]")+1,200)),TRIM(A500)),1)=")",TRIM(LEFT(IF(LEFT(TRIM(A500),1)="[",TRIM(MID(TRIM(A500),FIND("]",TRIM(A500)&amp;"]")+1,200)),TRIM(A500)),FIND("(",IF(LEFT(TRIM(A500),1)="[",TRIM(MID(TRIM(A500),FIND("]",TRIM(A500)&amp;"]")+1,200)),TRIM(A500))&amp;"(")-1)),IF(LEFT(TRIM(A500),1)="[",TRIM(MID(TRIM(A500),FIND("]",TRIM(A500)&amp;"]")+1,200)),TRIM(A500))))&gt;0,IF(RIGHT(IF(LEFT(TRIM(A500),1)="[",TRIM(MID(TRIM(A500),FIND("]",TRIM(A500)&amp;"]")+1,200)),TRIM(A500)),1)=")",TRIM(LEFT(IF(LEFT(TRIM(A500),1)="[",TRIM(MID(TRIM(A500),FIND("]",TRIM(A500)&amp;"]")+1,200)),TRIM(A500)),FIND("(",IF(LEFT(TRIM(A500),1)="[",TRIM(MID(TRIM(A500),FIND("]",TRIM(A500)&amp;"]")+1,200)),TRIM(A500))&amp;"(")-1)),IF(LEFT(TRIM(A500),1)="[",TRIM(MID(TRIM(A500),FIND("]",TRIM(A500)&amp;"]")+1,200)),TRIM(A500))),""))</f>
      </c>
      <c r="C500" s="17">
        <f>IF(B500&lt;&gt;"",B500,C499)</f>
      </c>
      <c r="D500" s="17">
        <f>IF(A500="","",IF(OR(LEFT(UPPER(TRIM(A500)),2)="Y:",LEFT(UPPER(TRIM(A500)),10)="YESTERDAY:"),"Y",IF(OR(LEFT(UPPER(TRIM(A500)),2)="T:",LEFT(UPPER(TRIM(A500)),6)="TODAY:"),"T",IF(OR(LEFT(UPPER(TRIM(A500)),2)="B:",LEFT(UPPER(TRIM(A500)),8)="BLOCKER:",LEFT(UPPER(TRIM(A500)),9)="BLOCKERS:",LEFT(UPPER(TRIM(A500)),8)="BLOCKED:"),"B",""))))</f>
      </c>
      <c r="E500" s="17">
        <f>IF(D500="","",TRIM(MID(A500,FIND(":",A500)+1,500)))</f>
      </c>
    </row>
    <row r="501">
      <c r="B501" s="17">
        <f>IF(A501="","",IF(COUNTIF(Roster[Name],IF(RIGHT(IF(LEFT(TRIM(A501),1)="[",TRIM(MID(TRIM(A501),FIND("]",TRIM(A501)&amp;"]")+1,200)),TRIM(A501)),1)=")",TRIM(LEFT(IF(LEFT(TRIM(A501),1)="[",TRIM(MID(TRIM(A501),FIND("]",TRIM(A501)&amp;"]")+1,200)),TRIM(A501)),FIND("(",IF(LEFT(TRIM(A501),1)="[",TRIM(MID(TRIM(A501),FIND("]",TRIM(A501)&amp;"]")+1,200)),TRIM(A501))&amp;"(")-1)),IF(LEFT(TRIM(A501),1)="[",TRIM(MID(TRIM(A501),FIND("]",TRIM(A501)&amp;"]")+1,200)),TRIM(A501))))&gt;0,IF(RIGHT(IF(LEFT(TRIM(A501),1)="[",TRIM(MID(TRIM(A501),FIND("]",TRIM(A501)&amp;"]")+1,200)),TRIM(A501)),1)=")",TRIM(LEFT(IF(LEFT(TRIM(A501),1)="[",TRIM(MID(TRIM(A501),FIND("]",TRIM(A501)&amp;"]")+1,200)),TRIM(A501)),FIND("(",IF(LEFT(TRIM(A501),1)="[",TRIM(MID(TRIM(A501),FIND("]",TRIM(A501)&amp;"]")+1,200)),TRIM(A501))&amp;"(")-1)),IF(LEFT(TRIM(A501),1)="[",TRIM(MID(TRIM(A501),FIND("]",TRIM(A501)&amp;"]")+1,200)),TRIM(A501))),""))</f>
      </c>
      <c r="C501" s="17">
        <f>IF(B501&lt;&gt;"",B501,C500)</f>
      </c>
      <c r="D501" s="17">
        <f>IF(A501="","",IF(OR(LEFT(UPPER(TRIM(A501)),2)="Y:",LEFT(UPPER(TRIM(A501)),10)="YESTERDAY:"),"Y",IF(OR(LEFT(UPPER(TRIM(A501)),2)="T:",LEFT(UPPER(TRIM(A501)),6)="TODAY:"),"T",IF(OR(LEFT(UPPER(TRIM(A501)),2)="B:",LEFT(UPPER(TRIM(A501)),8)="BLOCKER:",LEFT(UPPER(TRIM(A501)),9)="BLOCKERS:",LEFT(UPPER(TRIM(A501)),8)="BLOCKED:"),"B",""))))</f>
      </c>
      <c r="E501" s="17">
        <f>IF(D501="","",TRIM(MID(A501,FIND(":",A501)+1,500)))</f>
      </c>
    </row>
    <row r="502">
      <c r="B502" s="17">
        <f>IF(A502="","",IF(COUNTIF(Roster[Name],IF(RIGHT(IF(LEFT(TRIM(A502),1)="[",TRIM(MID(TRIM(A502),FIND("]",TRIM(A502)&amp;"]")+1,200)),TRIM(A502)),1)=")",TRIM(LEFT(IF(LEFT(TRIM(A502),1)="[",TRIM(MID(TRIM(A502),FIND("]",TRIM(A502)&amp;"]")+1,200)),TRIM(A502)),FIND("(",IF(LEFT(TRIM(A502),1)="[",TRIM(MID(TRIM(A502),FIND("]",TRIM(A502)&amp;"]")+1,200)),TRIM(A502))&amp;"(")-1)),IF(LEFT(TRIM(A502),1)="[",TRIM(MID(TRIM(A502),FIND("]",TRIM(A502)&amp;"]")+1,200)),TRIM(A502))))&gt;0,IF(RIGHT(IF(LEFT(TRIM(A502),1)="[",TRIM(MID(TRIM(A502),FIND("]",TRIM(A502)&amp;"]")+1,200)),TRIM(A502)),1)=")",TRIM(LEFT(IF(LEFT(TRIM(A502),1)="[",TRIM(MID(TRIM(A502),FIND("]",TRIM(A502)&amp;"]")+1,200)),TRIM(A502)),FIND("(",IF(LEFT(TRIM(A502),1)="[",TRIM(MID(TRIM(A502),FIND("]",TRIM(A502)&amp;"]")+1,200)),TRIM(A502))&amp;"(")-1)),IF(LEFT(TRIM(A502),1)="[",TRIM(MID(TRIM(A502),FIND("]",TRIM(A502)&amp;"]")+1,200)),TRIM(A502))),""))</f>
      </c>
      <c r="C502" s="17">
        <f>IF(B502&lt;&gt;"",B502,C501)</f>
      </c>
      <c r="D502" s="17">
        <f>IF(A502="","",IF(OR(LEFT(UPPER(TRIM(A502)),2)="Y:",LEFT(UPPER(TRIM(A502)),10)="YESTERDAY:"),"Y",IF(OR(LEFT(UPPER(TRIM(A502)),2)="T:",LEFT(UPPER(TRIM(A502)),6)="TODAY:"),"T",IF(OR(LEFT(UPPER(TRIM(A502)),2)="B:",LEFT(UPPER(TRIM(A502)),8)="BLOCKER:",LEFT(UPPER(TRIM(A502)),9)="BLOCKERS:",LEFT(UPPER(TRIM(A502)),8)="BLOCKED:"),"B",""))))</f>
      </c>
      <c r="E502" s="17">
        <f>IF(D502="","",TRIM(MID(A502,FIND(":",A502)+1,500)))</f>
      </c>
    </row>
    <row r="503">
      <c r="B503" s="17">
        <f>IF(A503="","",IF(COUNTIF(Roster[Name],IF(RIGHT(IF(LEFT(TRIM(A503),1)="[",TRIM(MID(TRIM(A503),FIND("]",TRIM(A503)&amp;"]")+1,200)),TRIM(A503)),1)=")",TRIM(LEFT(IF(LEFT(TRIM(A503),1)="[",TRIM(MID(TRIM(A503),FIND("]",TRIM(A503)&amp;"]")+1,200)),TRIM(A503)),FIND("(",IF(LEFT(TRIM(A503),1)="[",TRIM(MID(TRIM(A503),FIND("]",TRIM(A503)&amp;"]")+1,200)),TRIM(A503))&amp;"(")-1)),IF(LEFT(TRIM(A503),1)="[",TRIM(MID(TRIM(A503),FIND("]",TRIM(A503)&amp;"]")+1,200)),TRIM(A503))))&gt;0,IF(RIGHT(IF(LEFT(TRIM(A503),1)="[",TRIM(MID(TRIM(A503),FIND("]",TRIM(A503)&amp;"]")+1,200)),TRIM(A503)),1)=")",TRIM(LEFT(IF(LEFT(TRIM(A503),1)="[",TRIM(MID(TRIM(A503),FIND("]",TRIM(A503)&amp;"]")+1,200)),TRIM(A503)),FIND("(",IF(LEFT(TRIM(A503),1)="[",TRIM(MID(TRIM(A503),FIND("]",TRIM(A503)&amp;"]")+1,200)),TRIM(A503))&amp;"(")-1)),IF(LEFT(TRIM(A503),1)="[",TRIM(MID(TRIM(A503),FIND("]",TRIM(A503)&amp;"]")+1,200)),TRIM(A503))),""))</f>
      </c>
      <c r="C503" s="17">
        <f>IF(B503&lt;&gt;"",B503,C502)</f>
      </c>
      <c r="D503" s="17">
        <f>IF(A503="","",IF(OR(LEFT(UPPER(TRIM(A503)),2)="Y:",LEFT(UPPER(TRIM(A503)),10)="YESTERDAY:"),"Y",IF(OR(LEFT(UPPER(TRIM(A503)),2)="T:",LEFT(UPPER(TRIM(A503)),6)="TODAY:"),"T",IF(OR(LEFT(UPPER(TRIM(A503)),2)="B:",LEFT(UPPER(TRIM(A503)),8)="BLOCKER:",LEFT(UPPER(TRIM(A503)),9)="BLOCKERS:",LEFT(UPPER(TRIM(A503)),8)="BLOCKED:"),"B",""))))</f>
      </c>
      <c r="E503" s="17">
        <f>IF(D503="","",TRIM(MID(A503,FIND(":",A503)+1,500)))</f>
      </c>
    </row>
    <row r="504">
      <c r="B504" s="17">
        <f>IF(A504="","",IF(COUNTIF(Roster[Name],IF(RIGHT(IF(LEFT(TRIM(A504),1)="[",TRIM(MID(TRIM(A504),FIND("]",TRIM(A504)&amp;"]")+1,200)),TRIM(A504)),1)=")",TRIM(LEFT(IF(LEFT(TRIM(A504),1)="[",TRIM(MID(TRIM(A504),FIND("]",TRIM(A504)&amp;"]")+1,200)),TRIM(A504)),FIND("(",IF(LEFT(TRIM(A504),1)="[",TRIM(MID(TRIM(A504),FIND("]",TRIM(A504)&amp;"]")+1,200)),TRIM(A504))&amp;"(")-1)),IF(LEFT(TRIM(A504),1)="[",TRIM(MID(TRIM(A504),FIND("]",TRIM(A504)&amp;"]")+1,200)),TRIM(A504))))&gt;0,IF(RIGHT(IF(LEFT(TRIM(A504),1)="[",TRIM(MID(TRIM(A504),FIND("]",TRIM(A504)&amp;"]")+1,200)),TRIM(A504)),1)=")",TRIM(LEFT(IF(LEFT(TRIM(A504),1)="[",TRIM(MID(TRIM(A504),FIND("]",TRIM(A504)&amp;"]")+1,200)),TRIM(A504)),FIND("(",IF(LEFT(TRIM(A504),1)="[",TRIM(MID(TRIM(A504),FIND("]",TRIM(A504)&amp;"]")+1,200)),TRIM(A504))&amp;"(")-1)),IF(LEFT(TRIM(A504),1)="[",TRIM(MID(TRIM(A504),FIND("]",TRIM(A504)&amp;"]")+1,200)),TRIM(A504))),""))</f>
      </c>
      <c r="C504" s="17">
        <f>IF(B504&lt;&gt;"",B504,C503)</f>
      </c>
      <c r="D504" s="17">
        <f>IF(A504="","",IF(OR(LEFT(UPPER(TRIM(A504)),2)="Y:",LEFT(UPPER(TRIM(A504)),10)="YESTERDAY:"),"Y",IF(OR(LEFT(UPPER(TRIM(A504)),2)="T:",LEFT(UPPER(TRIM(A504)),6)="TODAY:"),"T",IF(OR(LEFT(UPPER(TRIM(A504)),2)="B:",LEFT(UPPER(TRIM(A504)),8)="BLOCKER:",LEFT(UPPER(TRIM(A504)),9)="BLOCKERS:",LEFT(UPPER(TRIM(A504)),8)="BLOCKED:"),"B",""))))</f>
      </c>
      <c r="E504" s="17">
        <f>IF(D504="","",TRIM(MID(A504,FIND(":",A504)+1,500)))</f>
      </c>
    </row>
    <row r="505">
      <c r="B505" s="17">
        <f>IF(A505="","",IF(COUNTIF(Roster[Name],IF(RIGHT(IF(LEFT(TRIM(A505),1)="[",TRIM(MID(TRIM(A505),FIND("]",TRIM(A505)&amp;"]")+1,200)),TRIM(A505)),1)=")",TRIM(LEFT(IF(LEFT(TRIM(A505),1)="[",TRIM(MID(TRIM(A505),FIND("]",TRIM(A505)&amp;"]")+1,200)),TRIM(A505)),FIND("(",IF(LEFT(TRIM(A505),1)="[",TRIM(MID(TRIM(A505),FIND("]",TRIM(A505)&amp;"]")+1,200)),TRIM(A505))&amp;"(")-1)),IF(LEFT(TRIM(A505),1)="[",TRIM(MID(TRIM(A505),FIND("]",TRIM(A505)&amp;"]")+1,200)),TRIM(A505))))&gt;0,IF(RIGHT(IF(LEFT(TRIM(A505),1)="[",TRIM(MID(TRIM(A505),FIND("]",TRIM(A505)&amp;"]")+1,200)),TRIM(A505)),1)=")",TRIM(LEFT(IF(LEFT(TRIM(A505),1)="[",TRIM(MID(TRIM(A505),FIND("]",TRIM(A505)&amp;"]")+1,200)),TRIM(A505)),FIND("(",IF(LEFT(TRIM(A505),1)="[",TRIM(MID(TRIM(A505),FIND("]",TRIM(A505)&amp;"]")+1,200)),TRIM(A505))&amp;"(")-1)),IF(LEFT(TRIM(A505),1)="[",TRIM(MID(TRIM(A505),FIND("]",TRIM(A505)&amp;"]")+1,200)),TRIM(A505))),""))</f>
      </c>
      <c r="C505" s="17">
        <f>IF(B505&lt;&gt;"",B505,C504)</f>
      </c>
      <c r="D505" s="17">
        <f>IF(A505="","",IF(OR(LEFT(UPPER(TRIM(A505)),2)="Y:",LEFT(UPPER(TRIM(A505)),10)="YESTERDAY:"),"Y",IF(OR(LEFT(UPPER(TRIM(A505)),2)="T:",LEFT(UPPER(TRIM(A505)),6)="TODAY:"),"T",IF(OR(LEFT(UPPER(TRIM(A505)),2)="B:",LEFT(UPPER(TRIM(A505)),8)="BLOCKER:",LEFT(UPPER(TRIM(A505)),9)="BLOCKERS:",LEFT(UPPER(TRIM(A505)),8)="BLOCKED:"),"B",""))))</f>
      </c>
      <c r="E505" s="17">
        <f>IF(D505="","",TRIM(MID(A505,FIND(":",A505)+1,500)))</f>
      </c>
    </row>
    <row r="506">
      <c r="B506" s="17">
        <f>IF(A506="","",IF(COUNTIF(Roster[Name],IF(RIGHT(IF(LEFT(TRIM(A506),1)="[",TRIM(MID(TRIM(A506),FIND("]",TRIM(A506)&amp;"]")+1,200)),TRIM(A506)),1)=")",TRIM(LEFT(IF(LEFT(TRIM(A506),1)="[",TRIM(MID(TRIM(A506),FIND("]",TRIM(A506)&amp;"]")+1,200)),TRIM(A506)),FIND("(",IF(LEFT(TRIM(A506),1)="[",TRIM(MID(TRIM(A506),FIND("]",TRIM(A506)&amp;"]")+1,200)),TRIM(A506))&amp;"(")-1)),IF(LEFT(TRIM(A506),1)="[",TRIM(MID(TRIM(A506),FIND("]",TRIM(A506)&amp;"]")+1,200)),TRIM(A506))))&gt;0,IF(RIGHT(IF(LEFT(TRIM(A506),1)="[",TRIM(MID(TRIM(A506),FIND("]",TRIM(A506)&amp;"]")+1,200)),TRIM(A506)),1)=")",TRIM(LEFT(IF(LEFT(TRIM(A506),1)="[",TRIM(MID(TRIM(A506),FIND("]",TRIM(A506)&amp;"]")+1,200)),TRIM(A506)),FIND("(",IF(LEFT(TRIM(A506),1)="[",TRIM(MID(TRIM(A506),FIND("]",TRIM(A506)&amp;"]")+1,200)),TRIM(A506))&amp;"(")-1)),IF(LEFT(TRIM(A506),1)="[",TRIM(MID(TRIM(A506),FIND("]",TRIM(A506)&amp;"]")+1,200)),TRIM(A506))),""))</f>
      </c>
      <c r="C506" s="17">
        <f>IF(B506&lt;&gt;"",B506,C505)</f>
      </c>
      <c r="D506" s="17">
        <f>IF(A506="","",IF(OR(LEFT(UPPER(TRIM(A506)),2)="Y:",LEFT(UPPER(TRIM(A506)),10)="YESTERDAY:"),"Y",IF(OR(LEFT(UPPER(TRIM(A506)),2)="T:",LEFT(UPPER(TRIM(A506)),6)="TODAY:"),"T",IF(OR(LEFT(UPPER(TRIM(A506)),2)="B:",LEFT(UPPER(TRIM(A506)),8)="BLOCKER:",LEFT(UPPER(TRIM(A506)),9)="BLOCKERS:",LEFT(UPPER(TRIM(A506)),8)="BLOCKED:"),"B",""))))</f>
      </c>
      <c r="E506" s="17">
        <f>IF(D506="","",TRIM(MID(A506,FIND(":",A506)+1,500)))</f>
      </c>
    </row>
    <row r="507">
      <c r="B507" s="17">
        <f>IF(A507="","",IF(COUNTIF(Roster[Name],IF(RIGHT(IF(LEFT(TRIM(A507),1)="[",TRIM(MID(TRIM(A507),FIND("]",TRIM(A507)&amp;"]")+1,200)),TRIM(A507)),1)=")",TRIM(LEFT(IF(LEFT(TRIM(A507),1)="[",TRIM(MID(TRIM(A507),FIND("]",TRIM(A507)&amp;"]")+1,200)),TRIM(A507)),FIND("(",IF(LEFT(TRIM(A507),1)="[",TRIM(MID(TRIM(A507),FIND("]",TRIM(A507)&amp;"]")+1,200)),TRIM(A507))&amp;"(")-1)),IF(LEFT(TRIM(A507),1)="[",TRIM(MID(TRIM(A507),FIND("]",TRIM(A507)&amp;"]")+1,200)),TRIM(A507))))&gt;0,IF(RIGHT(IF(LEFT(TRIM(A507),1)="[",TRIM(MID(TRIM(A507),FIND("]",TRIM(A507)&amp;"]")+1,200)),TRIM(A507)),1)=")",TRIM(LEFT(IF(LEFT(TRIM(A507),1)="[",TRIM(MID(TRIM(A507),FIND("]",TRIM(A507)&amp;"]")+1,200)),TRIM(A507)),FIND("(",IF(LEFT(TRIM(A507),1)="[",TRIM(MID(TRIM(A507),FIND("]",TRIM(A507)&amp;"]")+1,200)),TRIM(A507))&amp;"(")-1)),IF(LEFT(TRIM(A507),1)="[",TRIM(MID(TRIM(A507),FIND("]",TRIM(A507)&amp;"]")+1,200)),TRIM(A507))),""))</f>
      </c>
      <c r="C507" s="17">
        <f>IF(B507&lt;&gt;"",B507,C506)</f>
      </c>
      <c r="D507" s="17">
        <f>IF(A507="","",IF(OR(LEFT(UPPER(TRIM(A507)),2)="Y:",LEFT(UPPER(TRIM(A507)),10)="YESTERDAY:"),"Y",IF(OR(LEFT(UPPER(TRIM(A507)),2)="T:",LEFT(UPPER(TRIM(A507)),6)="TODAY:"),"T",IF(OR(LEFT(UPPER(TRIM(A507)),2)="B:",LEFT(UPPER(TRIM(A507)),8)="BLOCKER:",LEFT(UPPER(TRIM(A507)),9)="BLOCKERS:",LEFT(UPPER(TRIM(A507)),8)="BLOCKED:"),"B",""))))</f>
      </c>
      <c r="E507" s="17">
        <f>IF(D507="","",TRIM(MID(A507,FIND(":",A507)+1,500)))</f>
      </c>
    </row>
    <row r="508">
      <c r="B508" s="17">
        <f>IF(A508="","",IF(COUNTIF(Roster[Name],IF(RIGHT(IF(LEFT(TRIM(A508),1)="[",TRIM(MID(TRIM(A508),FIND("]",TRIM(A508)&amp;"]")+1,200)),TRIM(A508)),1)=")",TRIM(LEFT(IF(LEFT(TRIM(A508),1)="[",TRIM(MID(TRIM(A508),FIND("]",TRIM(A508)&amp;"]")+1,200)),TRIM(A508)),FIND("(",IF(LEFT(TRIM(A508),1)="[",TRIM(MID(TRIM(A508),FIND("]",TRIM(A508)&amp;"]")+1,200)),TRIM(A508))&amp;"(")-1)),IF(LEFT(TRIM(A508),1)="[",TRIM(MID(TRIM(A508),FIND("]",TRIM(A508)&amp;"]")+1,200)),TRIM(A508))))&gt;0,IF(RIGHT(IF(LEFT(TRIM(A508),1)="[",TRIM(MID(TRIM(A508),FIND("]",TRIM(A508)&amp;"]")+1,200)),TRIM(A508)),1)=")",TRIM(LEFT(IF(LEFT(TRIM(A508),1)="[",TRIM(MID(TRIM(A508),FIND("]",TRIM(A508)&amp;"]")+1,200)),TRIM(A508)),FIND("(",IF(LEFT(TRIM(A508),1)="[",TRIM(MID(TRIM(A508),FIND("]",TRIM(A508)&amp;"]")+1,200)),TRIM(A508))&amp;"(")-1)),IF(LEFT(TRIM(A508),1)="[",TRIM(MID(TRIM(A508),FIND("]",TRIM(A508)&amp;"]")+1,200)),TRIM(A508))),""))</f>
      </c>
      <c r="C508" s="17">
        <f>IF(B508&lt;&gt;"",B508,C507)</f>
      </c>
      <c r="D508" s="17">
        <f>IF(A508="","",IF(OR(LEFT(UPPER(TRIM(A508)),2)="Y:",LEFT(UPPER(TRIM(A508)),10)="YESTERDAY:"),"Y",IF(OR(LEFT(UPPER(TRIM(A508)),2)="T:",LEFT(UPPER(TRIM(A508)),6)="TODAY:"),"T",IF(OR(LEFT(UPPER(TRIM(A508)),2)="B:",LEFT(UPPER(TRIM(A508)),8)="BLOCKER:",LEFT(UPPER(TRIM(A508)),9)="BLOCKERS:",LEFT(UPPER(TRIM(A508)),8)="BLOCKED:"),"B",""))))</f>
      </c>
      <c r="E508" s="17">
        <f>IF(D508="","",TRIM(MID(A508,FIND(":",A508)+1,500)))</f>
      </c>
    </row>
    <row r="509">
      <c r="B509" s="17">
        <f>IF(A509="","",IF(COUNTIF(Roster[Name],IF(RIGHT(IF(LEFT(TRIM(A509),1)="[",TRIM(MID(TRIM(A509),FIND("]",TRIM(A509)&amp;"]")+1,200)),TRIM(A509)),1)=")",TRIM(LEFT(IF(LEFT(TRIM(A509),1)="[",TRIM(MID(TRIM(A509),FIND("]",TRIM(A509)&amp;"]")+1,200)),TRIM(A509)),FIND("(",IF(LEFT(TRIM(A509),1)="[",TRIM(MID(TRIM(A509),FIND("]",TRIM(A509)&amp;"]")+1,200)),TRIM(A509))&amp;"(")-1)),IF(LEFT(TRIM(A509),1)="[",TRIM(MID(TRIM(A509),FIND("]",TRIM(A509)&amp;"]")+1,200)),TRIM(A509))))&gt;0,IF(RIGHT(IF(LEFT(TRIM(A509),1)="[",TRIM(MID(TRIM(A509),FIND("]",TRIM(A509)&amp;"]")+1,200)),TRIM(A509)),1)=")",TRIM(LEFT(IF(LEFT(TRIM(A509),1)="[",TRIM(MID(TRIM(A509),FIND("]",TRIM(A509)&amp;"]")+1,200)),TRIM(A509)),FIND("(",IF(LEFT(TRIM(A509),1)="[",TRIM(MID(TRIM(A509),FIND("]",TRIM(A509)&amp;"]")+1,200)),TRIM(A509))&amp;"(")-1)),IF(LEFT(TRIM(A509),1)="[",TRIM(MID(TRIM(A509),FIND("]",TRIM(A509)&amp;"]")+1,200)),TRIM(A509))),""))</f>
      </c>
      <c r="C509" s="17">
        <f>IF(B509&lt;&gt;"",B509,C508)</f>
      </c>
      <c r="D509" s="17">
        <f>IF(A509="","",IF(OR(LEFT(UPPER(TRIM(A509)),2)="Y:",LEFT(UPPER(TRIM(A509)),10)="YESTERDAY:"),"Y",IF(OR(LEFT(UPPER(TRIM(A509)),2)="T:",LEFT(UPPER(TRIM(A509)),6)="TODAY:"),"T",IF(OR(LEFT(UPPER(TRIM(A509)),2)="B:",LEFT(UPPER(TRIM(A509)),8)="BLOCKER:",LEFT(UPPER(TRIM(A509)),9)="BLOCKERS:",LEFT(UPPER(TRIM(A509)),8)="BLOCKED:"),"B",""))))</f>
      </c>
      <c r="E509" s="17">
        <f>IF(D509="","",TRIM(MID(A509,FIND(":",A509)+1,500)))</f>
      </c>
    </row>
    <row r="510">
      <c r="B510" s="17">
        <f>IF(A510="","",IF(COUNTIF(Roster[Name],IF(RIGHT(IF(LEFT(TRIM(A510),1)="[",TRIM(MID(TRIM(A510),FIND("]",TRIM(A510)&amp;"]")+1,200)),TRIM(A510)),1)=")",TRIM(LEFT(IF(LEFT(TRIM(A510),1)="[",TRIM(MID(TRIM(A510),FIND("]",TRIM(A510)&amp;"]")+1,200)),TRIM(A510)),FIND("(",IF(LEFT(TRIM(A510),1)="[",TRIM(MID(TRIM(A510),FIND("]",TRIM(A510)&amp;"]")+1,200)),TRIM(A510))&amp;"(")-1)),IF(LEFT(TRIM(A510),1)="[",TRIM(MID(TRIM(A510),FIND("]",TRIM(A510)&amp;"]")+1,200)),TRIM(A510))))&gt;0,IF(RIGHT(IF(LEFT(TRIM(A510),1)="[",TRIM(MID(TRIM(A510),FIND("]",TRIM(A510)&amp;"]")+1,200)),TRIM(A510)),1)=")",TRIM(LEFT(IF(LEFT(TRIM(A510),1)="[",TRIM(MID(TRIM(A510),FIND("]",TRIM(A510)&amp;"]")+1,200)),TRIM(A510)),FIND("(",IF(LEFT(TRIM(A510),1)="[",TRIM(MID(TRIM(A510),FIND("]",TRIM(A510)&amp;"]")+1,200)),TRIM(A510))&amp;"(")-1)),IF(LEFT(TRIM(A510),1)="[",TRIM(MID(TRIM(A510),FIND("]",TRIM(A510)&amp;"]")+1,200)),TRIM(A510))),""))</f>
      </c>
      <c r="C510" s="17">
        <f>IF(B510&lt;&gt;"",B510,C509)</f>
      </c>
      <c r="D510" s="17">
        <f>IF(A510="","",IF(OR(LEFT(UPPER(TRIM(A510)),2)="Y:",LEFT(UPPER(TRIM(A510)),10)="YESTERDAY:"),"Y",IF(OR(LEFT(UPPER(TRIM(A510)),2)="T:",LEFT(UPPER(TRIM(A510)),6)="TODAY:"),"T",IF(OR(LEFT(UPPER(TRIM(A510)),2)="B:",LEFT(UPPER(TRIM(A510)),8)="BLOCKER:",LEFT(UPPER(TRIM(A510)),9)="BLOCKERS:",LEFT(UPPER(TRIM(A510)),8)="BLOCKED:"),"B",""))))</f>
      </c>
      <c r="E510" s="17">
        <f>IF(D510="","",TRIM(MID(A510,FIND(":",A510)+1,500)))</f>
      </c>
    </row>
    <row r="511">
      <c r="B511" s="17">
        <f>IF(A511="","",IF(COUNTIF(Roster[Name],IF(RIGHT(IF(LEFT(TRIM(A511),1)="[",TRIM(MID(TRIM(A511),FIND("]",TRIM(A511)&amp;"]")+1,200)),TRIM(A511)),1)=")",TRIM(LEFT(IF(LEFT(TRIM(A511),1)="[",TRIM(MID(TRIM(A511),FIND("]",TRIM(A511)&amp;"]")+1,200)),TRIM(A511)),FIND("(",IF(LEFT(TRIM(A511),1)="[",TRIM(MID(TRIM(A511),FIND("]",TRIM(A511)&amp;"]")+1,200)),TRIM(A511))&amp;"(")-1)),IF(LEFT(TRIM(A511),1)="[",TRIM(MID(TRIM(A511),FIND("]",TRIM(A511)&amp;"]")+1,200)),TRIM(A511))))&gt;0,IF(RIGHT(IF(LEFT(TRIM(A511),1)="[",TRIM(MID(TRIM(A511),FIND("]",TRIM(A511)&amp;"]")+1,200)),TRIM(A511)),1)=")",TRIM(LEFT(IF(LEFT(TRIM(A511),1)="[",TRIM(MID(TRIM(A511),FIND("]",TRIM(A511)&amp;"]")+1,200)),TRIM(A511)),FIND("(",IF(LEFT(TRIM(A511),1)="[",TRIM(MID(TRIM(A511),FIND("]",TRIM(A511)&amp;"]")+1,200)),TRIM(A511))&amp;"(")-1)),IF(LEFT(TRIM(A511),1)="[",TRIM(MID(TRIM(A511),FIND("]",TRIM(A511)&amp;"]")+1,200)),TRIM(A511))),""))</f>
      </c>
      <c r="C511" s="17">
        <f>IF(B511&lt;&gt;"",B511,C510)</f>
      </c>
      <c r="D511" s="17">
        <f>IF(A511="","",IF(OR(LEFT(UPPER(TRIM(A511)),2)="Y:",LEFT(UPPER(TRIM(A511)),10)="YESTERDAY:"),"Y",IF(OR(LEFT(UPPER(TRIM(A511)),2)="T:",LEFT(UPPER(TRIM(A511)),6)="TODAY:"),"T",IF(OR(LEFT(UPPER(TRIM(A511)),2)="B:",LEFT(UPPER(TRIM(A511)),8)="BLOCKER:",LEFT(UPPER(TRIM(A511)),9)="BLOCKERS:",LEFT(UPPER(TRIM(A511)),8)="BLOCKED:"),"B",""))))</f>
      </c>
      <c r="E511" s="17">
        <f>IF(D511="","",TRIM(MID(A511,FIND(":",A511)+1,500)))</f>
      </c>
    </row>
    <row r="512">
      <c r="B512" s="17">
        <f>IF(A512="","",IF(COUNTIF(Roster[Name],IF(RIGHT(IF(LEFT(TRIM(A512),1)="[",TRIM(MID(TRIM(A512),FIND("]",TRIM(A512)&amp;"]")+1,200)),TRIM(A512)),1)=")",TRIM(LEFT(IF(LEFT(TRIM(A512),1)="[",TRIM(MID(TRIM(A512),FIND("]",TRIM(A512)&amp;"]")+1,200)),TRIM(A512)),FIND("(",IF(LEFT(TRIM(A512),1)="[",TRIM(MID(TRIM(A512),FIND("]",TRIM(A512)&amp;"]")+1,200)),TRIM(A512))&amp;"(")-1)),IF(LEFT(TRIM(A512),1)="[",TRIM(MID(TRIM(A512),FIND("]",TRIM(A512)&amp;"]")+1,200)),TRIM(A512))))&gt;0,IF(RIGHT(IF(LEFT(TRIM(A512),1)="[",TRIM(MID(TRIM(A512),FIND("]",TRIM(A512)&amp;"]")+1,200)),TRIM(A512)),1)=")",TRIM(LEFT(IF(LEFT(TRIM(A512),1)="[",TRIM(MID(TRIM(A512),FIND("]",TRIM(A512)&amp;"]")+1,200)),TRIM(A512)),FIND("(",IF(LEFT(TRIM(A512),1)="[",TRIM(MID(TRIM(A512),FIND("]",TRIM(A512)&amp;"]")+1,200)),TRIM(A512))&amp;"(")-1)),IF(LEFT(TRIM(A512),1)="[",TRIM(MID(TRIM(A512),FIND("]",TRIM(A512)&amp;"]")+1,200)),TRIM(A512))),""))</f>
      </c>
      <c r="C512" s="17">
        <f>IF(B512&lt;&gt;"",B512,C511)</f>
      </c>
      <c r="D512" s="17">
        <f>IF(A512="","",IF(OR(LEFT(UPPER(TRIM(A512)),2)="Y:",LEFT(UPPER(TRIM(A512)),10)="YESTERDAY:"),"Y",IF(OR(LEFT(UPPER(TRIM(A512)),2)="T:",LEFT(UPPER(TRIM(A512)),6)="TODAY:"),"T",IF(OR(LEFT(UPPER(TRIM(A512)),2)="B:",LEFT(UPPER(TRIM(A512)),8)="BLOCKER:",LEFT(UPPER(TRIM(A512)),9)="BLOCKERS:",LEFT(UPPER(TRIM(A512)),8)="BLOCKED:"),"B",""))))</f>
      </c>
      <c r="E512" s="17">
        <f>IF(D512="","",TRIM(MID(A512,FIND(":",A512)+1,500)))</f>
      </c>
    </row>
    <row r="513">
      <c r="B513" s="17">
        <f>IF(A513="","",IF(COUNTIF(Roster[Name],IF(RIGHT(IF(LEFT(TRIM(A513),1)="[",TRIM(MID(TRIM(A513),FIND("]",TRIM(A513)&amp;"]")+1,200)),TRIM(A513)),1)=")",TRIM(LEFT(IF(LEFT(TRIM(A513),1)="[",TRIM(MID(TRIM(A513),FIND("]",TRIM(A513)&amp;"]")+1,200)),TRIM(A513)),FIND("(",IF(LEFT(TRIM(A513),1)="[",TRIM(MID(TRIM(A513),FIND("]",TRIM(A513)&amp;"]")+1,200)),TRIM(A513))&amp;"(")-1)),IF(LEFT(TRIM(A513),1)="[",TRIM(MID(TRIM(A513),FIND("]",TRIM(A513)&amp;"]")+1,200)),TRIM(A513))))&gt;0,IF(RIGHT(IF(LEFT(TRIM(A513),1)="[",TRIM(MID(TRIM(A513),FIND("]",TRIM(A513)&amp;"]")+1,200)),TRIM(A513)),1)=")",TRIM(LEFT(IF(LEFT(TRIM(A513),1)="[",TRIM(MID(TRIM(A513),FIND("]",TRIM(A513)&amp;"]")+1,200)),TRIM(A513)),FIND("(",IF(LEFT(TRIM(A513),1)="[",TRIM(MID(TRIM(A513),FIND("]",TRIM(A513)&amp;"]")+1,200)),TRIM(A513))&amp;"(")-1)),IF(LEFT(TRIM(A513),1)="[",TRIM(MID(TRIM(A513),FIND("]",TRIM(A513)&amp;"]")+1,200)),TRIM(A513))),""))</f>
      </c>
      <c r="C513" s="17">
        <f>IF(B513&lt;&gt;"",B513,C512)</f>
      </c>
      <c r="D513" s="17">
        <f>IF(A513="","",IF(OR(LEFT(UPPER(TRIM(A513)),2)="Y:",LEFT(UPPER(TRIM(A513)),10)="YESTERDAY:"),"Y",IF(OR(LEFT(UPPER(TRIM(A513)),2)="T:",LEFT(UPPER(TRIM(A513)),6)="TODAY:"),"T",IF(OR(LEFT(UPPER(TRIM(A513)),2)="B:",LEFT(UPPER(TRIM(A513)),8)="BLOCKER:",LEFT(UPPER(TRIM(A513)),9)="BLOCKERS:",LEFT(UPPER(TRIM(A513)),8)="BLOCKED:"),"B",""))))</f>
      </c>
      <c r="E513" s="17">
        <f>IF(D513="","",TRIM(MID(A513,FIND(":",A513)+1,500)))</f>
      </c>
    </row>
    <row r="514">
      <c r="B514" s="17">
        <f>IF(A514="","",IF(COUNTIF(Roster[Name],IF(RIGHT(IF(LEFT(TRIM(A514),1)="[",TRIM(MID(TRIM(A514),FIND("]",TRIM(A514)&amp;"]")+1,200)),TRIM(A514)),1)=")",TRIM(LEFT(IF(LEFT(TRIM(A514),1)="[",TRIM(MID(TRIM(A514),FIND("]",TRIM(A514)&amp;"]")+1,200)),TRIM(A514)),FIND("(",IF(LEFT(TRIM(A514),1)="[",TRIM(MID(TRIM(A514),FIND("]",TRIM(A514)&amp;"]")+1,200)),TRIM(A514))&amp;"(")-1)),IF(LEFT(TRIM(A514),1)="[",TRIM(MID(TRIM(A514),FIND("]",TRIM(A514)&amp;"]")+1,200)),TRIM(A514))))&gt;0,IF(RIGHT(IF(LEFT(TRIM(A514),1)="[",TRIM(MID(TRIM(A514),FIND("]",TRIM(A514)&amp;"]")+1,200)),TRIM(A514)),1)=")",TRIM(LEFT(IF(LEFT(TRIM(A514),1)="[",TRIM(MID(TRIM(A514),FIND("]",TRIM(A514)&amp;"]")+1,200)),TRIM(A514)),FIND("(",IF(LEFT(TRIM(A514),1)="[",TRIM(MID(TRIM(A514),FIND("]",TRIM(A514)&amp;"]")+1,200)),TRIM(A514))&amp;"(")-1)),IF(LEFT(TRIM(A514),1)="[",TRIM(MID(TRIM(A514),FIND("]",TRIM(A514)&amp;"]")+1,200)),TRIM(A514))),""))</f>
      </c>
      <c r="C514" s="17">
        <f>IF(B514&lt;&gt;"",B514,C513)</f>
      </c>
      <c r="D514" s="17">
        <f>IF(A514="","",IF(OR(LEFT(UPPER(TRIM(A514)),2)="Y:",LEFT(UPPER(TRIM(A514)),10)="YESTERDAY:"),"Y",IF(OR(LEFT(UPPER(TRIM(A514)),2)="T:",LEFT(UPPER(TRIM(A514)),6)="TODAY:"),"T",IF(OR(LEFT(UPPER(TRIM(A514)),2)="B:",LEFT(UPPER(TRIM(A514)),8)="BLOCKER:",LEFT(UPPER(TRIM(A514)),9)="BLOCKERS:",LEFT(UPPER(TRIM(A514)),8)="BLOCKED:"),"B",""))))</f>
      </c>
      <c r="E514" s="17">
        <f>IF(D514="","",TRIM(MID(A514,FIND(":",A514)+1,500)))</f>
      </c>
    </row>
    <row r="515">
      <c r="B515" s="17">
        <f>IF(A515="","",IF(COUNTIF(Roster[Name],IF(RIGHT(IF(LEFT(TRIM(A515),1)="[",TRIM(MID(TRIM(A515),FIND("]",TRIM(A515)&amp;"]")+1,200)),TRIM(A515)),1)=")",TRIM(LEFT(IF(LEFT(TRIM(A515),1)="[",TRIM(MID(TRIM(A515),FIND("]",TRIM(A515)&amp;"]")+1,200)),TRIM(A515)),FIND("(",IF(LEFT(TRIM(A515),1)="[",TRIM(MID(TRIM(A515),FIND("]",TRIM(A515)&amp;"]")+1,200)),TRIM(A515))&amp;"(")-1)),IF(LEFT(TRIM(A515),1)="[",TRIM(MID(TRIM(A515),FIND("]",TRIM(A515)&amp;"]")+1,200)),TRIM(A515))))&gt;0,IF(RIGHT(IF(LEFT(TRIM(A515),1)="[",TRIM(MID(TRIM(A515),FIND("]",TRIM(A515)&amp;"]")+1,200)),TRIM(A515)),1)=")",TRIM(LEFT(IF(LEFT(TRIM(A515),1)="[",TRIM(MID(TRIM(A515),FIND("]",TRIM(A515)&amp;"]")+1,200)),TRIM(A515)),FIND("(",IF(LEFT(TRIM(A515),1)="[",TRIM(MID(TRIM(A515),FIND("]",TRIM(A515)&amp;"]")+1,200)),TRIM(A515))&amp;"(")-1)),IF(LEFT(TRIM(A515),1)="[",TRIM(MID(TRIM(A515),FIND("]",TRIM(A515)&amp;"]")+1,200)),TRIM(A515))),""))</f>
      </c>
      <c r="C515" s="17">
        <f>IF(B515&lt;&gt;"",B515,C514)</f>
      </c>
      <c r="D515" s="17">
        <f>IF(A515="","",IF(OR(LEFT(UPPER(TRIM(A515)),2)="Y:",LEFT(UPPER(TRIM(A515)),10)="YESTERDAY:"),"Y",IF(OR(LEFT(UPPER(TRIM(A515)),2)="T:",LEFT(UPPER(TRIM(A515)),6)="TODAY:"),"T",IF(OR(LEFT(UPPER(TRIM(A515)),2)="B:",LEFT(UPPER(TRIM(A515)),8)="BLOCKER:",LEFT(UPPER(TRIM(A515)),9)="BLOCKERS:",LEFT(UPPER(TRIM(A515)),8)="BLOCKED:"),"B",""))))</f>
      </c>
      <c r="E515" s="17">
        <f>IF(D515="","",TRIM(MID(A515,FIND(":",A515)+1,500)))</f>
      </c>
    </row>
    <row r="516">
      <c r="B516" s="17">
        <f>IF(A516="","",IF(COUNTIF(Roster[Name],IF(RIGHT(IF(LEFT(TRIM(A516),1)="[",TRIM(MID(TRIM(A516),FIND("]",TRIM(A516)&amp;"]")+1,200)),TRIM(A516)),1)=")",TRIM(LEFT(IF(LEFT(TRIM(A516),1)="[",TRIM(MID(TRIM(A516),FIND("]",TRIM(A516)&amp;"]")+1,200)),TRIM(A516)),FIND("(",IF(LEFT(TRIM(A516),1)="[",TRIM(MID(TRIM(A516),FIND("]",TRIM(A516)&amp;"]")+1,200)),TRIM(A516))&amp;"(")-1)),IF(LEFT(TRIM(A516),1)="[",TRIM(MID(TRIM(A516),FIND("]",TRIM(A516)&amp;"]")+1,200)),TRIM(A516))))&gt;0,IF(RIGHT(IF(LEFT(TRIM(A516),1)="[",TRIM(MID(TRIM(A516),FIND("]",TRIM(A516)&amp;"]")+1,200)),TRIM(A516)),1)=")",TRIM(LEFT(IF(LEFT(TRIM(A516),1)="[",TRIM(MID(TRIM(A516),FIND("]",TRIM(A516)&amp;"]")+1,200)),TRIM(A516)),FIND("(",IF(LEFT(TRIM(A516),1)="[",TRIM(MID(TRIM(A516),FIND("]",TRIM(A516)&amp;"]")+1,200)),TRIM(A516))&amp;"(")-1)),IF(LEFT(TRIM(A516),1)="[",TRIM(MID(TRIM(A516),FIND("]",TRIM(A516)&amp;"]")+1,200)),TRIM(A516))),""))</f>
      </c>
      <c r="C516" s="17">
        <f>IF(B516&lt;&gt;"",B516,C515)</f>
      </c>
      <c r="D516" s="17">
        <f>IF(A516="","",IF(OR(LEFT(UPPER(TRIM(A516)),2)="Y:",LEFT(UPPER(TRIM(A516)),10)="YESTERDAY:"),"Y",IF(OR(LEFT(UPPER(TRIM(A516)),2)="T:",LEFT(UPPER(TRIM(A516)),6)="TODAY:"),"T",IF(OR(LEFT(UPPER(TRIM(A516)),2)="B:",LEFT(UPPER(TRIM(A516)),8)="BLOCKER:",LEFT(UPPER(TRIM(A516)),9)="BLOCKERS:",LEFT(UPPER(TRIM(A516)),8)="BLOCKED:"),"B",""))))</f>
      </c>
      <c r="E516" s="17">
        <f>IF(D516="","",TRIM(MID(A516,FIND(":",A516)+1,500)))</f>
      </c>
    </row>
    <row r="517">
      <c r="B517" s="17">
        <f>IF(A517="","",IF(COUNTIF(Roster[Name],IF(RIGHT(IF(LEFT(TRIM(A517),1)="[",TRIM(MID(TRIM(A517),FIND("]",TRIM(A517)&amp;"]")+1,200)),TRIM(A517)),1)=")",TRIM(LEFT(IF(LEFT(TRIM(A517),1)="[",TRIM(MID(TRIM(A517),FIND("]",TRIM(A517)&amp;"]")+1,200)),TRIM(A517)),FIND("(",IF(LEFT(TRIM(A517),1)="[",TRIM(MID(TRIM(A517),FIND("]",TRIM(A517)&amp;"]")+1,200)),TRIM(A517))&amp;"(")-1)),IF(LEFT(TRIM(A517),1)="[",TRIM(MID(TRIM(A517),FIND("]",TRIM(A517)&amp;"]")+1,200)),TRIM(A517))))&gt;0,IF(RIGHT(IF(LEFT(TRIM(A517),1)="[",TRIM(MID(TRIM(A517),FIND("]",TRIM(A517)&amp;"]")+1,200)),TRIM(A517)),1)=")",TRIM(LEFT(IF(LEFT(TRIM(A517),1)="[",TRIM(MID(TRIM(A517),FIND("]",TRIM(A517)&amp;"]")+1,200)),TRIM(A517)),FIND("(",IF(LEFT(TRIM(A517),1)="[",TRIM(MID(TRIM(A517),FIND("]",TRIM(A517)&amp;"]")+1,200)),TRIM(A517))&amp;"(")-1)),IF(LEFT(TRIM(A517),1)="[",TRIM(MID(TRIM(A517),FIND("]",TRIM(A517)&amp;"]")+1,200)),TRIM(A517))),""))</f>
      </c>
      <c r="C517" s="17">
        <f>IF(B517&lt;&gt;"",B517,C516)</f>
      </c>
      <c r="D517" s="17">
        <f>IF(A517="","",IF(OR(LEFT(UPPER(TRIM(A517)),2)="Y:",LEFT(UPPER(TRIM(A517)),10)="YESTERDAY:"),"Y",IF(OR(LEFT(UPPER(TRIM(A517)),2)="T:",LEFT(UPPER(TRIM(A517)),6)="TODAY:"),"T",IF(OR(LEFT(UPPER(TRIM(A517)),2)="B:",LEFT(UPPER(TRIM(A517)),8)="BLOCKER:",LEFT(UPPER(TRIM(A517)),9)="BLOCKERS:",LEFT(UPPER(TRIM(A517)),8)="BLOCKED:"),"B",""))))</f>
      </c>
      <c r="E517" s="17">
        <f>IF(D517="","",TRIM(MID(A517,FIND(":",A517)+1,500)))</f>
      </c>
    </row>
    <row r="518">
      <c r="B518" s="17">
        <f>IF(A518="","",IF(COUNTIF(Roster[Name],IF(RIGHT(IF(LEFT(TRIM(A518),1)="[",TRIM(MID(TRIM(A518),FIND("]",TRIM(A518)&amp;"]")+1,200)),TRIM(A518)),1)=")",TRIM(LEFT(IF(LEFT(TRIM(A518),1)="[",TRIM(MID(TRIM(A518),FIND("]",TRIM(A518)&amp;"]")+1,200)),TRIM(A518)),FIND("(",IF(LEFT(TRIM(A518),1)="[",TRIM(MID(TRIM(A518),FIND("]",TRIM(A518)&amp;"]")+1,200)),TRIM(A518))&amp;"(")-1)),IF(LEFT(TRIM(A518),1)="[",TRIM(MID(TRIM(A518),FIND("]",TRIM(A518)&amp;"]")+1,200)),TRIM(A518))))&gt;0,IF(RIGHT(IF(LEFT(TRIM(A518),1)="[",TRIM(MID(TRIM(A518),FIND("]",TRIM(A518)&amp;"]")+1,200)),TRIM(A518)),1)=")",TRIM(LEFT(IF(LEFT(TRIM(A518),1)="[",TRIM(MID(TRIM(A518),FIND("]",TRIM(A518)&amp;"]")+1,200)),TRIM(A518)),FIND("(",IF(LEFT(TRIM(A518),1)="[",TRIM(MID(TRIM(A518),FIND("]",TRIM(A518)&amp;"]")+1,200)),TRIM(A518))&amp;"(")-1)),IF(LEFT(TRIM(A518),1)="[",TRIM(MID(TRIM(A518),FIND("]",TRIM(A518)&amp;"]")+1,200)),TRIM(A518))),""))</f>
      </c>
      <c r="C518" s="17">
        <f>IF(B518&lt;&gt;"",B518,C517)</f>
      </c>
      <c r="D518" s="17">
        <f>IF(A518="","",IF(OR(LEFT(UPPER(TRIM(A518)),2)="Y:",LEFT(UPPER(TRIM(A518)),10)="YESTERDAY:"),"Y",IF(OR(LEFT(UPPER(TRIM(A518)),2)="T:",LEFT(UPPER(TRIM(A518)),6)="TODAY:"),"T",IF(OR(LEFT(UPPER(TRIM(A518)),2)="B:",LEFT(UPPER(TRIM(A518)),8)="BLOCKER:",LEFT(UPPER(TRIM(A518)),9)="BLOCKERS:",LEFT(UPPER(TRIM(A518)),8)="BLOCKED:"),"B",""))))</f>
      </c>
      <c r="E518" s="17">
        <f>IF(D518="","",TRIM(MID(A518,FIND(":",A518)+1,500)))</f>
      </c>
    </row>
    <row r="519">
      <c r="B519" s="17">
        <f>IF(A519="","",IF(COUNTIF(Roster[Name],IF(RIGHT(IF(LEFT(TRIM(A519),1)="[",TRIM(MID(TRIM(A519),FIND("]",TRIM(A519)&amp;"]")+1,200)),TRIM(A519)),1)=")",TRIM(LEFT(IF(LEFT(TRIM(A519),1)="[",TRIM(MID(TRIM(A519),FIND("]",TRIM(A519)&amp;"]")+1,200)),TRIM(A519)),FIND("(",IF(LEFT(TRIM(A519),1)="[",TRIM(MID(TRIM(A519),FIND("]",TRIM(A519)&amp;"]")+1,200)),TRIM(A519))&amp;"(")-1)),IF(LEFT(TRIM(A519),1)="[",TRIM(MID(TRIM(A519),FIND("]",TRIM(A519)&amp;"]")+1,200)),TRIM(A519))))&gt;0,IF(RIGHT(IF(LEFT(TRIM(A519),1)="[",TRIM(MID(TRIM(A519),FIND("]",TRIM(A519)&amp;"]")+1,200)),TRIM(A519)),1)=")",TRIM(LEFT(IF(LEFT(TRIM(A519),1)="[",TRIM(MID(TRIM(A519),FIND("]",TRIM(A519)&amp;"]")+1,200)),TRIM(A519)),FIND("(",IF(LEFT(TRIM(A519),1)="[",TRIM(MID(TRIM(A519),FIND("]",TRIM(A519)&amp;"]")+1,200)),TRIM(A519))&amp;"(")-1)),IF(LEFT(TRIM(A519),1)="[",TRIM(MID(TRIM(A519),FIND("]",TRIM(A519)&amp;"]")+1,200)),TRIM(A519))),""))</f>
      </c>
      <c r="C519" s="17">
        <f>IF(B519&lt;&gt;"",B519,C518)</f>
      </c>
      <c r="D519" s="17">
        <f>IF(A519="","",IF(OR(LEFT(UPPER(TRIM(A519)),2)="Y:",LEFT(UPPER(TRIM(A519)),10)="YESTERDAY:"),"Y",IF(OR(LEFT(UPPER(TRIM(A519)),2)="T:",LEFT(UPPER(TRIM(A519)),6)="TODAY:"),"T",IF(OR(LEFT(UPPER(TRIM(A519)),2)="B:",LEFT(UPPER(TRIM(A519)),8)="BLOCKER:",LEFT(UPPER(TRIM(A519)),9)="BLOCKERS:",LEFT(UPPER(TRIM(A519)),8)="BLOCKED:"),"B",""))))</f>
      </c>
      <c r="E519" s="17">
        <f>IF(D519="","",TRIM(MID(A519,FIND(":",A519)+1,500)))</f>
      </c>
    </row>
    <row r="520">
      <c r="B520" s="17">
        <f>IF(A520="","",IF(COUNTIF(Roster[Name],IF(RIGHT(IF(LEFT(TRIM(A520),1)="[",TRIM(MID(TRIM(A520),FIND("]",TRIM(A520)&amp;"]")+1,200)),TRIM(A520)),1)=")",TRIM(LEFT(IF(LEFT(TRIM(A520),1)="[",TRIM(MID(TRIM(A520),FIND("]",TRIM(A520)&amp;"]")+1,200)),TRIM(A520)),FIND("(",IF(LEFT(TRIM(A520),1)="[",TRIM(MID(TRIM(A520),FIND("]",TRIM(A520)&amp;"]")+1,200)),TRIM(A520))&amp;"(")-1)),IF(LEFT(TRIM(A520),1)="[",TRIM(MID(TRIM(A520),FIND("]",TRIM(A520)&amp;"]")+1,200)),TRIM(A520))))&gt;0,IF(RIGHT(IF(LEFT(TRIM(A520),1)="[",TRIM(MID(TRIM(A520),FIND("]",TRIM(A520)&amp;"]")+1,200)),TRIM(A520)),1)=")",TRIM(LEFT(IF(LEFT(TRIM(A520),1)="[",TRIM(MID(TRIM(A520),FIND("]",TRIM(A520)&amp;"]")+1,200)),TRIM(A520)),FIND("(",IF(LEFT(TRIM(A520),1)="[",TRIM(MID(TRIM(A520),FIND("]",TRIM(A520)&amp;"]")+1,200)),TRIM(A520))&amp;"(")-1)),IF(LEFT(TRIM(A520),1)="[",TRIM(MID(TRIM(A520),FIND("]",TRIM(A520)&amp;"]")+1,200)),TRIM(A520))),""))</f>
      </c>
      <c r="C520" s="17">
        <f>IF(B520&lt;&gt;"",B520,C519)</f>
      </c>
      <c r="D520" s="17">
        <f>IF(A520="","",IF(OR(LEFT(UPPER(TRIM(A520)),2)="Y:",LEFT(UPPER(TRIM(A520)),10)="YESTERDAY:"),"Y",IF(OR(LEFT(UPPER(TRIM(A520)),2)="T:",LEFT(UPPER(TRIM(A520)),6)="TODAY:"),"T",IF(OR(LEFT(UPPER(TRIM(A520)),2)="B:",LEFT(UPPER(TRIM(A520)),8)="BLOCKER:",LEFT(UPPER(TRIM(A520)),9)="BLOCKERS:",LEFT(UPPER(TRIM(A520)),8)="BLOCKED:"),"B",""))))</f>
      </c>
      <c r="E520" s="17">
        <f>IF(D520="","",TRIM(MID(A520,FIND(":",A520)+1,500)))</f>
      </c>
    </row>
    <row r="521">
      <c r="B521" s="17">
        <f>IF(A521="","",IF(COUNTIF(Roster[Name],IF(RIGHT(IF(LEFT(TRIM(A521),1)="[",TRIM(MID(TRIM(A521),FIND("]",TRIM(A521)&amp;"]")+1,200)),TRIM(A521)),1)=")",TRIM(LEFT(IF(LEFT(TRIM(A521),1)="[",TRIM(MID(TRIM(A521),FIND("]",TRIM(A521)&amp;"]")+1,200)),TRIM(A521)),FIND("(",IF(LEFT(TRIM(A521),1)="[",TRIM(MID(TRIM(A521),FIND("]",TRIM(A521)&amp;"]")+1,200)),TRIM(A521))&amp;"(")-1)),IF(LEFT(TRIM(A521),1)="[",TRIM(MID(TRIM(A521),FIND("]",TRIM(A521)&amp;"]")+1,200)),TRIM(A521))))&gt;0,IF(RIGHT(IF(LEFT(TRIM(A521),1)="[",TRIM(MID(TRIM(A521),FIND("]",TRIM(A521)&amp;"]")+1,200)),TRIM(A521)),1)=")",TRIM(LEFT(IF(LEFT(TRIM(A521),1)="[",TRIM(MID(TRIM(A521),FIND("]",TRIM(A521)&amp;"]")+1,200)),TRIM(A521)),FIND("(",IF(LEFT(TRIM(A521),1)="[",TRIM(MID(TRIM(A521),FIND("]",TRIM(A521)&amp;"]")+1,200)),TRIM(A521))&amp;"(")-1)),IF(LEFT(TRIM(A521),1)="[",TRIM(MID(TRIM(A521),FIND("]",TRIM(A521)&amp;"]")+1,200)),TRIM(A521))),""))</f>
      </c>
      <c r="C521" s="17">
        <f>IF(B521&lt;&gt;"",B521,C520)</f>
      </c>
      <c r="D521" s="17">
        <f>IF(A521="","",IF(OR(LEFT(UPPER(TRIM(A521)),2)="Y:",LEFT(UPPER(TRIM(A521)),10)="YESTERDAY:"),"Y",IF(OR(LEFT(UPPER(TRIM(A521)),2)="T:",LEFT(UPPER(TRIM(A521)),6)="TODAY:"),"T",IF(OR(LEFT(UPPER(TRIM(A521)),2)="B:",LEFT(UPPER(TRIM(A521)),8)="BLOCKER:",LEFT(UPPER(TRIM(A521)),9)="BLOCKERS:",LEFT(UPPER(TRIM(A521)),8)="BLOCKED:"),"B",""))))</f>
      </c>
      <c r="E521" s="17">
        <f>IF(D521="","",TRIM(MID(A521,FIND(":",A521)+1,500)))</f>
      </c>
    </row>
    <row r="522">
      <c r="B522" s="17">
        <f>IF(A522="","",IF(COUNTIF(Roster[Name],IF(RIGHT(IF(LEFT(TRIM(A522),1)="[",TRIM(MID(TRIM(A522),FIND("]",TRIM(A522)&amp;"]")+1,200)),TRIM(A522)),1)=")",TRIM(LEFT(IF(LEFT(TRIM(A522),1)="[",TRIM(MID(TRIM(A522),FIND("]",TRIM(A522)&amp;"]")+1,200)),TRIM(A522)),FIND("(",IF(LEFT(TRIM(A522),1)="[",TRIM(MID(TRIM(A522),FIND("]",TRIM(A522)&amp;"]")+1,200)),TRIM(A522))&amp;"(")-1)),IF(LEFT(TRIM(A522),1)="[",TRIM(MID(TRIM(A522),FIND("]",TRIM(A522)&amp;"]")+1,200)),TRIM(A522))))&gt;0,IF(RIGHT(IF(LEFT(TRIM(A522),1)="[",TRIM(MID(TRIM(A522),FIND("]",TRIM(A522)&amp;"]")+1,200)),TRIM(A522)),1)=")",TRIM(LEFT(IF(LEFT(TRIM(A522),1)="[",TRIM(MID(TRIM(A522),FIND("]",TRIM(A522)&amp;"]")+1,200)),TRIM(A522)),FIND("(",IF(LEFT(TRIM(A522),1)="[",TRIM(MID(TRIM(A522),FIND("]",TRIM(A522)&amp;"]")+1,200)),TRIM(A522))&amp;"(")-1)),IF(LEFT(TRIM(A522),1)="[",TRIM(MID(TRIM(A522),FIND("]",TRIM(A522)&amp;"]")+1,200)),TRIM(A522))),""))</f>
      </c>
      <c r="C522" s="17">
        <f>IF(B522&lt;&gt;"",B522,C521)</f>
      </c>
      <c r="D522" s="17">
        <f>IF(A522="","",IF(OR(LEFT(UPPER(TRIM(A522)),2)="Y:",LEFT(UPPER(TRIM(A522)),10)="YESTERDAY:"),"Y",IF(OR(LEFT(UPPER(TRIM(A522)),2)="T:",LEFT(UPPER(TRIM(A522)),6)="TODAY:"),"T",IF(OR(LEFT(UPPER(TRIM(A522)),2)="B:",LEFT(UPPER(TRIM(A522)),8)="BLOCKER:",LEFT(UPPER(TRIM(A522)),9)="BLOCKERS:",LEFT(UPPER(TRIM(A522)),8)="BLOCKED:"),"B",""))))</f>
      </c>
      <c r="E522" s="17">
        <f>IF(D522="","",TRIM(MID(A522,FIND(":",A522)+1,500)))</f>
      </c>
    </row>
    <row r="523">
      <c r="B523" s="17">
        <f>IF(A523="","",IF(COUNTIF(Roster[Name],IF(RIGHT(IF(LEFT(TRIM(A523),1)="[",TRIM(MID(TRIM(A523),FIND("]",TRIM(A523)&amp;"]")+1,200)),TRIM(A523)),1)=")",TRIM(LEFT(IF(LEFT(TRIM(A523),1)="[",TRIM(MID(TRIM(A523),FIND("]",TRIM(A523)&amp;"]")+1,200)),TRIM(A523)),FIND("(",IF(LEFT(TRIM(A523),1)="[",TRIM(MID(TRIM(A523),FIND("]",TRIM(A523)&amp;"]")+1,200)),TRIM(A523))&amp;"(")-1)),IF(LEFT(TRIM(A523),1)="[",TRIM(MID(TRIM(A523),FIND("]",TRIM(A523)&amp;"]")+1,200)),TRIM(A523))))&gt;0,IF(RIGHT(IF(LEFT(TRIM(A523),1)="[",TRIM(MID(TRIM(A523),FIND("]",TRIM(A523)&amp;"]")+1,200)),TRIM(A523)),1)=")",TRIM(LEFT(IF(LEFT(TRIM(A523),1)="[",TRIM(MID(TRIM(A523),FIND("]",TRIM(A523)&amp;"]")+1,200)),TRIM(A523)),FIND("(",IF(LEFT(TRIM(A523),1)="[",TRIM(MID(TRIM(A523),FIND("]",TRIM(A523)&amp;"]")+1,200)),TRIM(A523))&amp;"(")-1)),IF(LEFT(TRIM(A523),1)="[",TRIM(MID(TRIM(A523),FIND("]",TRIM(A523)&amp;"]")+1,200)),TRIM(A523))),""))</f>
      </c>
      <c r="C523" s="17">
        <f>IF(B523&lt;&gt;"",B523,C522)</f>
      </c>
      <c r="D523" s="17">
        <f>IF(A523="","",IF(OR(LEFT(UPPER(TRIM(A523)),2)="Y:",LEFT(UPPER(TRIM(A523)),10)="YESTERDAY:"),"Y",IF(OR(LEFT(UPPER(TRIM(A523)),2)="T:",LEFT(UPPER(TRIM(A523)),6)="TODAY:"),"T",IF(OR(LEFT(UPPER(TRIM(A523)),2)="B:",LEFT(UPPER(TRIM(A523)),8)="BLOCKER:",LEFT(UPPER(TRIM(A523)),9)="BLOCKERS:",LEFT(UPPER(TRIM(A523)),8)="BLOCKED:"),"B",""))))</f>
      </c>
      <c r="E523" s="17">
        <f>IF(D523="","",TRIM(MID(A523,FIND(":",A523)+1,500)))</f>
      </c>
    </row>
    <row r="524">
      <c r="B524" s="17">
        <f>IF(A524="","",IF(COUNTIF(Roster[Name],IF(RIGHT(IF(LEFT(TRIM(A524),1)="[",TRIM(MID(TRIM(A524),FIND("]",TRIM(A524)&amp;"]")+1,200)),TRIM(A524)),1)=")",TRIM(LEFT(IF(LEFT(TRIM(A524),1)="[",TRIM(MID(TRIM(A524),FIND("]",TRIM(A524)&amp;"]")+1,200)),TRIM(A524)),FIND("(",IF(LEFT(TRIM(A524),1)="[",TRIM(MID(TRIM(A524),FIND("]",TRIM(A524)&amp;"]")+1,200)),TRIM(A524))&amp;"(")-1)),IF(LEFT(TRIM(A524),1)="[",TRIM(MID(TRIM(A524),FIND("]",TRIM(A524)&amp;"]")+1,200)),TRIM(A524))))&gt;0,IF(RIGHT(IF(LEFT(TRIM(A524),1)="[",TRIM(MID(TRIM(A524),FIND("]",TRIM(A524)&amp;"]")+1,200)),TRIM(A524)),1)=")",TRIM(LEFT(IF(LEFT(TRIM(A524),1)="[",TRIM(MID(TRIM(A524),FIND("]",TRIM(A524)&amp;"]")+1,200)),TRIM(A524)),FIND("(",IF(LEFT(TRIM(A524),1)="[",TRIM(MID(TRIM(A524),FIND("]",TRIM(A524)&amp;"]")+1,200)),TRIM(A524))&amp;"(")-1)),IF(LEFT(TRIM(A524),1)="[",TRIM(MID(TRIM(A524),FIND("]",TRIM(A524)&amp;"]")+1,200)),TRIM(A524))),""))</f>
      </c>
      <c r="C524" s="17">
        <f>IF(B524&lt;&gt;"",B524,C523)</f>
      </c>
      <c r="D524" s="17">
        <f>IF(A524="","",IF(OR(LEFT(UPPER(TRIM(A524)),2)="Y:",LEFT(UPPER(TRIM(A524)),10)="YESTERDAY:"),"Y",IF(OR(LEFT(UPPER(TRIM(A524)),2)="T:",LEFT(UPPER(TRIM(A524)),6)="TODAY:"),"T",IF(OR(LEFT(UPPER(TRIM(A524)),2)="B:",LEFT(UPPER(TRIM(A524)),8)="BLOCKER:",LEFT(UPPER(TRIM(A524)),9)="BLOCKERS:",LEFT(UPPER(TRIM(A524)),8)="BLOCKED:"),"B",""))))</f>
      </c>
      <c r="E524" s="17">
        <f>IF(D524="","",TRIM(MID(A524,FIND(":",A524)+1,500)))</f>
      </c>
    </row>
    <row r="525">
      <c r="B525" s="17">
        <f>IF(A525="","",IF(COUNTIF(Roster[Name],IF(RIGHT(IF(LEFT(TRIM(A525),1)="[",TRIM(MID(TRIM(A525),FIND("]",TRIM(A525)&amp;"]")+1,200)),TRIM(A525)),1)=")",TRIM(LEFT(IF(LEFT(TRIM(A525),1)="[",TRIM(MID(TRIM(A525),FIND("]",TRIM(A525)&amp;"]")+1,200)),TRIM(A525)),FIND("(",IF(LEFT(TRIM(A525),1)="[",TRIM(MID(TRIM(A525),FIND("]",TRIM(A525)&amp;"]")+1,200)),TRIM(A525))&amp;"(")-1)),IF(LEFT(TRIM(A525),1)="[",TRIM(MID(TRIM(A525),FIND("]",TRIM(A525)&amp;"]")+1,200)),TRIM(A525))))&gt;0,IF(RIGHT(IF(LEFT(TRIM(A525),1)="[",TRIM(MID(TRIM(A525),FIND("]",TRIM(A525)&amp;"]")+1,200)),TRIM(A525)),1)=")",TRIM(LEFT(IF(LEFT(TRIM(A525),1)="[",TRIM(MID(TRIM(A525),FIND("]",TRIM(A525)&amp;"]")+1,200)),TRIM(A525)),FIND("(",IF(LEFT(TRIM(A525),1)="[",TRIM(MID(TRIM(A525),FIND("]",TRIM(A525)&amp;"]")+1,200)),TRIM(A525))&amp;"(")-1)),IF(LEFT(TRIM(A525),1)="[",TRIM(MID(TRIM(A525),FIND("]",TRIM(A525)&amp;"]")+1,200)),TRIM(A525))),""))</f>
      </c>
      <c r="C525" s="17">
        <f>IF(B525&lt;&gt;"",B525,C524)</f>
      </c>
      <c r="D525" s="17">
        <f>IF(A525="","",IF(OR(LEFT(UPPER(TRIM(A525)),2)="Y:",LEFT(UPPER(TRIM(A525)),10)="YESTERDAY:"),"Y",IF(OR(LEFT(UPPER(TRIM(A525)),2)="T:",LEFT(UPPER(TRIM(A525)),6)="TODAY:"),"T",IF(OR(LEFT(UPPER(TRIM(A525)),2)="B:",LEFT(UPPER(TRIM(A525)),8)="BLOCKER:",LEFT(UPPER(TRIM(A525)),9)="BLOCKERS:",LEFT(UPPER(TRIM(A525)),8)="BLOCKED:"),"B",""))))</f>
      </c>
      <c r="E525" s="17">
        <f>IF(D525="","",TRIM(MID(A525,FIND(":",A525)+1,500)))</f>
      </c>
    </row>
    <row r="526">
      <c r="B526" s="17">
        <f>IF(A526="","",IF(COUNTIF(Roster[Name],IF(RIGHT(IF(LEFT(TRIM(A526),1)="[",TRIM(MID(TRIM(A526),FIND("]",TRIM(A526)&amp;"]")+1,200)),TRIM(A526)),1)=")",TRIM(LEFT(IF(LEFT(TRIM(A526),1)="[",TRIM(MID(TRIM(A526),FIND("]",TRIM(A526)&amp;"]")+1,200)),TRIM(A526)),FIND("(",IF(LEFT(TRIM(A526),1)="[",TRIM(MID(TRIM(A526),FIND("]",TRIM(A526)&amp;"]")+1,200)),TRIM(A526))&amp;"(")-1)),IF(LEFT(TRIM(A526),1)="[",TRIM(MID(TRIM(A526),FIND("]",TRIM(A526)&amp;"]")+1,200)),TRIM(A526))))&gt;0,IF(RIGHT(IF(LEFT(TRIM(A526),1)="[",TRIM(MID(TRIM(A526),FIND("]",TRIM(A526)&amp;"]")+1,200)),TRIM(A526)),1)=")",TRIM(LEFT(IF(LEFT(TRIM(A526),1)="[",TRIM(MID(TRIM(A526),FIND("]",TRIM(A526)&amp;"]")+1,200)),TRIM(A526)),FIND("(",IF(LEFT(TRIM(A526),1)="[",TRIM(MID(TRIM(A526),FIND("]",TRIM(A526)&amp;"]")+1,200)),TRIM(A526))&amp;"(")-1)),IF(LEFT(TRIM(A526),1)="[",TRIM(MID(TRIM(A526),FIND("]",TRIM(A526)&amp;"]")+1,200)),TRIM(A526))),""))</f>
      </c>
      <c r="C526" s="17">
        <f>IF(B526&lt;&gt;"",B526,C525)</f>
      </c>
      <c r="D526" s="17">
        <f>IF(A526="","",IF(OR(LEFT(UPPER(TRIM(A526)),2)="Y:",LEFT(UPPER(TRIM(A526)),10)="YESTERDAY:"),"Y",IF(OR(LEFT(UPPER(TRIM(A526)),2)="T:",LEFT(UPPER(TRIM(A526)),6)="TODAY:"),"T",IF(OR(LEFT(UPPER(TRIM(A526)),2)="B:",LEFT(UPPER(TRIM(A526)),8)="BLOCKER:",LEFT(UPPER(TRIM(A526)),9)="BLOCKERS:",LEFT(UPPER(TRIM(A526)),8)="BLOCKED:"),"B",""))))</f>
      </c>
      <c r="E526" s="17">
        <f>IF(D526="","",TRIM(MID(A526,FIND(":",A526)+1,500)))</f>
      </c>
    </row>
    <row r="527">
      <c r="B527" s="17">
        <f>IF(A527="","",IF(COUNTIF(Roster[Name],IF(RIGHT(IF(LEFT(TRIM(A527),1)="[",TRIM(MID(TRIM(A527),FIND("]",TRIM(A527)&amp;"]")+1,200)),TRIM(A527)),1)=")",TRIM(LEFT(IF(LEFT(TRIM(A527),1)="[",TRIM(MID(TRIM(A527),FIND("]",TRIM(A527)&amp;"]")+1,200)),TRIM(A527)),FIND("(",IF(LEFT(TRIM(A527),1)="[",TRIM(MID(TRIM(A527),FIND("]",TRIM(A527)&amp;"]")+1,200)),TRIM(A527))&amp;"(")-1)),IF(LEFT(TRIM(A527),1)="[",TRIM(MID(TRIM(A527),FIND("]",TRIM(A527)&amp;"]")+1,200)),TRIM(A527))))&gt;0,IF(RIGHT(IF(LEFT(TRIM(A527),1)="[",TRIM(MID(TRIM(A527),FIND("]",TRIM(A527)&amp;"]")+1,200)),TRIM(A527)),1)=")",TRIM(LEFT(IF(LEFT(TRIM(A527),1)="[",TRIM(MID(TRIM(A527),FIND("]",TRIM(A527)&amp;"]")+1,200)),TRIM(A527)),FIND("(",IF(LEFT(TRIM(A527),1)="[",TRIM(MID(TRIM(A527),FIND("]",TRIM(A527)&amp;"]")+1,200)),TRIM(A527))&amp;"(")-1)),IF(LEFT(TRIM(A527),1)="[",TRIM(MID(TRIM(A527),FIND("]",TRIM(A527)&amp;"]")+1,200)),TRIM(A527))),""))</f>
      </c>
      <c r="C527" s="17">
        <f>IF(B527&lt;&gt;"",B527,C526)</f>
      </c>
      <c r="D527" s="17">
        <f>IF(A527="","",IF(OR(LEFT(UPPER(TRIM(A527)),2)="Y:",LEFT(UPPER(TRIM(A527)),10)="YESTERDAY:"),"Y",IF(OR(LEFT(UPPER(TRIM(A527)),2)="T:",LEFT(UPPER(TRIM(A527)),6)="TODAY:"),"T",IF(OR(LEFT(UPPER(TRIM(A527)),2)="B:",LEFT(UPPER(TRIM(A527)),8)="BLOCKER:",LEFT(UPPER(TRIM(A527)),9)="BLOCKERS:",LEFT(UPPER(TRIM(A527)),8)="BLOCKED:"),"B",""))))</f>
      </c>
      <c r="E527" s="17">
        <f>IF(D527="","",TRIM(MID(A527,FIND(":",A527)+1,500)))</f>
      </c>
    </row>
    <row r="528">
      <c r="B528" s="17">
        <f>IF(A528="","",IF(COUNTIF(Roster[Name],IF(RIGHT(IF(LEFT(TRIM(A528),1)="[",TRIM(MID(TRIM(A528),FIND("]",TRIM(A528)&amp;"]")+1,200)),TRIM(A528)),1)=")",TRIM(LEFT(IF(LEFT(TRIM(A528),1)="[",TRIM(MID(TRIM(A528),FIND("]",TRIM(A528)&amp;"]")+1,200)),TRIM(A528)),FIND("(",IF(LEFT(TRIM(A528),1)="[",TRIM(MID(TRIM(A528),FIND("]",TRIM(A528)&amp;"]")+1,200)),TRIM(A528))&amp;"(")-1)),IF(LEFT(TRIM(A528),1)="[",TRIM(MID(TRIM(A528),FIND("]",TRIM(A528)&amp;"]")+1,200)),TRIM(A528))))&gt;0,IF(RIGHT(IF(LEFT(TRIM(A528),1)="[",TRIM(MID(TRIM(A528),FIND("]",TRIM(A528)&amp;"]")+1,200)),TRIM(A528)),1)=")",TRIM(LEFT(IF(LEFT(TRIM(A528),1)="[",TRIM(MID(TRIM(A528),FIND("]",TRIM(A528)&amp;"]")+1,200)),TRIM(A528)),FIND("(",IF(LEFT(TRIM(A528),1)="[",TRIM(MID(TRIM(A528),FIND("]",TRIM(A528)&amp;"]")+1,200)),TRIM(A528))&amp;"(")-1)),IF(LEFT(TRIM(A528),1)="[",TRIM(MID(TRIM(A528),FIND("]",TRIM(A528)&amp;"]")+1,200)),TRIM(A528))),""))</f>
      </c>
      <c r="C528" s="17">
        <f>IF(B528&lt;&gt;"",B528,C527)</f>
      </c>
      <c r="D528" s="17">
        <f>IF(A528="","",IF(OR(LEFT(UPPER(TRIM(A528)),2)="Y:",LEFT(UPPER(TRIM(A528)),10)="YESTERDAY:"),"Y",IF(OR(LEFT(UPPER(TRIM(A528)),2)="T:",LEFT(UPPER(TRIM(A528)),6)="TODAY:"),"T",IF(OR(LEFT(UPPER(TRIM(A528)),2)="B:",LEFT(UPPER(TRIM(A528)),8)="BLOCKER:",LEFT(UPPER(TRIM(A528)),9)="BLOCKERS:",LEFT(UPPER(TRIM(A528)),8)="BLOCKED:"),"B",""))))</f>
      </c>
      <c r="E528" s="17">
        <f>IF(D528="","",TRIM(MID(A528,FIND(":",A528)+1,500)))</f>
      </c>
    </row>
    <row r="529">
      <c r="B529" s="17">
        <f>IF(A529="","",IF(COUNTIF(Roster[Name],IF(RIGHT(IF(LEFT(TRIM(A529),1)="[",TRIM(MID(TRIM(A529),FIND("]",TRIM(A529)&amp;"]")+1,200)),TRIM(A529)),1)=")",TRIM(LEFT(IF(LEFT(TRIM(A529),1)="[",TRIM(MID(TRIM(A529),FIND("]",TRIM(A529)&amp;"]")+1,200)),TRIM(A529)),FIND("(",IF(LEFT(TRIM(A529),1)="[",TRIM(MID(TRIM(A529),FIND("]",TRIM(A529)&amp;"]")+1,200)),TRIM(A529))&amp;"(")-1)),IF(LEFT(TRIM(A529),1)="[",TRIM(MID(TRIM(A529),FIND("]",TRIM(A529)&amp;"]")+1,200)),TRIM(A529))))&gt;0,IF(RIGHT(IF(LEFT(TRIM(A529),1)="[",TRIM(MID(TRIM(A529),FIND("]",TRIM(A529)&amp;"]")+1,200)),TRIM(A529)),1)=")",TRIM(LEFT(IF(LEFT(TRIM(A529),1)="[",TRIM(MID(TRIM(A529),FIND("]",TRIM(A529)&amp;"]")+1,200)),TRIM(A529)),FIND("(",IF(LEFT(TRIM(A529),1)="[",TRIM(MID(TRIM(A529),FIND("]",TRIM(A529)&amp;"]")+1,200)),TRIM(A529))&amp;"(")-1)),IF(LEFT(TRIM(A529),1)="[",TRIM(MID(TRIM(A529),FIND("]",TRIM(A529)&amp;"]")+1,200)),TRIM(A529))),""))</f>
      </c>
      <c r="C529" s="17">
        <f>IF(B529&lt;&gt;"",B529,C528)</f>
      </c>
      <c r="D529" s="17">
        <f>IF(A529="","",IF(OR(LEFT(UPPER(TRIM(A529)),2)="Y:",LEFT(UPPER(TRIM(A529)),10)="YESTERDAY:"),"Y",IF(OR(LEFT(UPPER(TRIM(A529)),2)="T:",LEFT(UPPER(TRIM(A529)),6)="TODAY:"),"T",IF(OR(LEFT(UPPER(TRIM(A529)),2)="B:",LEFT(UPPER(TRIM(A529)),8)="BLOCKER:",LEFT(UPPER(TRIM(A529)),9)="BLOCKERS:",LEFT(UPPER(TRIM(A529)),8)="BLOCKED:"),"B",""))))</f>
      </c>
      <c r="E529" s="17">
        <f>IF(D529="","",TRIM(MID(A529,FIND(":",A529)+1,500)))</f>
      </c>
    </row>
    <row r="530">
      <c r="B530" s="17">
        <f>IF(A530="","",IF(COUNTIF(Roster[Name],IF(RIGHT(IF(LEFT(TRIM(A530),1)="[",TRIM(MID(TRIM(A530),FIND("]",TRIM(A530)&amp;"]")+1,200)),TRIM(A530)),1)=")",TRIM(LEFT(IF(LEFT(TRIM(A530),1)="[",TRIM(MID(TRIM(A530),FIND("]",TRIM(A530)&amp;"]")+1,200)),TRIM(A530)),FIND("(",IF(LEFT(TRIM(A530),1)="[",TRIM(MID(TRIM(A530),FIND("]",TRIM(A530)&amp;"]")+1,200)),TRIM(A530))&amp;"(")-1)),IF(LEFT(TRIM(A530),1)="[",TRIM(MID(TRIM(A530),FIND("]",TRIM(A530)&amp;"]")+1,200)),TRIM(A530))))&gt;0,IF(RIGHT(IF(LEFT(TRIM(A530),1)="[",TRIM(MID(TRIM(A530),FIND("]",TRIM(A530)&amp;"]")+1,200)),TRIM(A530)),1)=")",TRIM(LEFT(IF(LEFT(TRIM(A530),1)="[",TRIM(MID(TRIM(A530),FIND("]",TRIM(A530)&amp;"]")+1,200)),TRIM(A530)),FIND("(",IF(LEFT(TRIM(A530),1)="[",TRIM(MID(TRIM(A530),FIND("]",TRIM(A530)&amp;"]")+1,200)),TRIM(A530))&amp;"(")-1)),IF(LEFT(TRIM(A530),1)="[",TRIM(MID(TRIM(A530),FIND("]",TRIM(A530)&amp;"]")+1,200)),TRIM(A530))),""))</f>
      </c>
      <c r="C530" s="17">
        <f>IF(B530&lt;&gt;"",B530,C529)</f>
      </c>
      <c r="D530" s="17">
        <f>IF(A530="","",IF(OR(LEFT(UPPER(TRIM(A530)),2)="Y:",LEFT(UPPER(TRIM(A530)),10)="YESTERDAY:"),"Y",IF(OR(LEFT(UPPER(TRIM(A530)),2)="T:",LEFT(UPPER(TRIM(A530)),6)="TODAY:"),"T",IF(OR(LEFT(UPPER(TRIM(A530)),2)="B:",LEFT(UPPER(TRIM(A530)),8)="BLOCKER:",LEFT(UPPER(TRIM(A530)),9)="BLOCKERS:",LEFT(UPPER(TRIM(A530)),8)="BLOCKED:"),"B",""))))</f>
      </c>
      <c r="E530" s="17">
        <f>IF(D530="","",TRIM(MID(A530,FIND(":",A530)+1,500)))</f>
      </c>
    </row>
    <row r="531">
      <c r="B531" s="17">
        <f>IF(A531="","",IF(COUNTIF(Roster[Name],IF(RIGHT(IF(LEFT(TRIM(A531),1)="[",TRIM(MID(TRIM(A531),FIND("]",TRIM(A531)&amp;"]")+1,200)),TRIM(A531)),1)=")",TRIM(LEFT(IF(LEFT(TRIM(A531),1)="[",TRIM(MID(TRIM(A531),FIND("]",TRIM(A531)&amp;"]")+1,200)),TRIM(A531)),FIND("(",IF(LEFT(TRIM(A531),1)="[",TRIM(MID(TRIM(A531),FIND("]",TRIM(A531)&amp;"]")+1,200)),TRIM(A531))&amp;"(")-1)),IF(LEFT(TRIM(A531),1)="[",TRIM(MID(TRIM(A531),FIND("]",TRIM(A531)&amp;"]")+1,200)),TRIM(A531))))&gt;0,IF(RIGHT(IF(LEFT(TRIM(A531),1)="[",TRIM(MID(TRIM(A531),FIND("]",TRIM(A531)&amp;"]")+1,200)),TRIM(A531)),1)=")",TRIM(LEFT(IF(LEFT(TRIM(A531),1)="[",TRIM(MID(TRIM(A531),FIND("]",TRIM(A531)&amp;"]")+1,200)),TRIM(A531)),FIND("(",IF(LEFT(TRIM(A531),1)="[",TRIM(MID(TRIM(A531),FIND("]",TRIM(A531)&amp;"]")+1,200)),TRIM(A531))&amp;"(")-1)),IF(LEFT(TRIM(A531),1)="[",TRIM(MID(TRIM(A531),FIND("]",TRIM(A531)&amp;"]")+1,200)),TRIM(A531))),""))</f>
      </c>
      <c r="C531" s="17">
        <f>IF(B531&lt;&gt;"",B531,C530)</f>
      </c>
      <c r="D531" s="17">
        <f>IF(A531="","",IF(OR(LEFT(UPPER(TRIM(A531)),2)="Y:",LEFT(UPPER(TRIM(A531)),10)="YESTERDAY:"),"Y",IF(OR(LEFT(UPPER(TRIM(A531)),2)="T:",LEFT(UPPER(TRIM(A531)),6)="TODAY:"),"T",IF(OR(LEFT(UPPER(TRIM(A531)),2)="B:",LEFT(UPPER(TRIM(A531)),8)="BLOCKER:",LEFT(UPPER(TRIM(A531)),9)="BLOCKERS:",LEFT(UPPER(TRIM(A531)),8)="BLOCKED:"),"B",""))))</f>
      </c>
      <c r="E531" s="17">
        <f>IF(D531="","",TRIM(MID(A531,FIND(":",A531)+1,500)))</f>
      </c>
    </row>
    <row r="532">
      <c r="B532" s="17">
        <f>IF(A532="","",IF(COUNTIF(Roster[Name],IF(RIGHT(IF(LEFT(TRIM(A532),1)="[",TRIM(MID(TRIM(A532),FIND("]",TRIM(A532)&amp;"]")+1,200)),TRIM(A532)),1)=")",TRIM(LEFT(IF(LEFT(TRIM(A532),1)="[",TRIM(MID(TRIM(A532),FIND("]",TRIM(A532)&amp;"]")+1,200)),TRIM(A532)),FIND("(",IF(LEFT(TRIM(A532),1)="[",TRIM(MID(TRIM(A532),FIND("]",TRIM(A532)&amp;"]")+1,200)),TRIM(A532))&amp;"(")-1)),IF(LEFT(TRIM(A532),1)="[",TRIM(MID(TRIM(A532),FIND("]",TRIM(A532)&amp;"]")+1,200)),TRIM(A532))))&gt;0,IF(RIGHT(IF(LEFT(TRIM(A532),1)="[",TRIM(MID(TRIM(A532),FIND("]",TRIM(A532)&amp;"]")+1,200)),TRIM(A532)),1)=")",TRIM(LEFT(IF(LEFT(TRIM(A532),1)="[",TRIM(MID(TRIM(A532),FIND("]",TRIM(A532)&amp;"]")+1,200)),TRIM(A532)),FIND("(",IF(LEFT(TRIM(A532),1)="[",TRIM(MID(TRIM(A532),FIND("]",TRIM(A532)&amp;"]")+1,200)),TRIM(A532))&amp;"(")-1)),IF(LEFT(TRIM(A532),1)="[",TRIM(MID(TRIM(A532),FIND("]",TRIM(A532)&amp;"]")+1,200)),TRIM(A532))),""))</f>
      </c>
      <c r="C532" s="17">
        <f>IF(B532&lt;&gt;"",B532,C531)</f>
      </c>
      <c r="D532" s="17">
        <f>IF(A532="","",IF(OR(LEFT(UPPER(TRIM(A532)),2)="Y:",LEFT(UPPER(TRIM(A532)),10)="YESTERDAY:"),"Y",IF(OR(LEFT(UPPER(TRIM(A532)),2)="T:",LEFT(UPPER(TRIM(A532)),6)="TODAY:"),"T",IF(OR(LEFT(UPPER(TRIM(A532)),2)="B:",LEFT(UPPER(TRIM(A532)),8)="BLOCKER:",LEFT(UPPER(TRIM(A532)),9)="BLOCKERS:",LEFT(UPPER(TRIM(A532)),8)="BLOCKED:"),"B",""))))</f>
      </c>
      <c r="E532" s="17">
        <f>IF(D532="","",TRIM(MID(A532,FIND(":",A532)+1,500)))</f>
      </c>
    </row>
    <row r="533">
      <c r="B533" s="17">
        <f>IF(A533="","",IF(COUNTIF(Roster[Name],IF(RIGHT(IF(LEFT(TRIM(A533),1)="[",TRIM(MID(TRIM(A533),FIND("]",TRIM(A533)&amp;"]")+1,200)),TRIM(A533)),1)=")",TRIM(LEFT(IF(LEFT(TRIM(A533),1)="[",TRIM(MID(TRIM(A533),FIND("]",TRIM(A533)&amp;"]")+1,200)),TRIM(A533)),FIND("(",IF(LEFT(TRIM(A533),1)="[",TRIM(MID(TRIM(A533),FIND("]",TRIM(A533)&amp;"]")+1,200)),TRIM(A533))&amp;"(")-1)),IF(LEFT(TRIM(A533),1)="[",TRIM(MID(TRIM(A533),FIND("]",TRIM(A533)&amp;"]")+1,200)),TRIM(A533))))&gt;0,IF(RIGHT(IF(LEFT(TRIM(A533),1)="[",TRIM(MID(TRIM(A533),FIND("]",TRIM(A533)&amp;"]")+1,200)),TRIM(A533)),1)=")",TRIM(LEFT(IF(LEFT(TRIM(A533),1)="[",TRIM(MID(TRIM(A533),FIND("]",TRIM(A533)&amp;"]")+1,200)),TRIM(A533)),FIND("(",IF(LEFT(TRIM(A533),1)="[",TRIM(MID(TRIM(A533),FIND("]",TRIM(A533)&amp;"]")+1,200)),TRIM(A533))&amp;"(")-1)),IF(LEFT(TRIM(A533),1)="[",TRIM(MID(TRIM(A533),FIND("]",TRIM(A533)&amp;"]")+1,200)),TRIM(A533))),""))</f>
      </c>
      <c r="C533" s="17">
        <f>IF(B533&lt;&gt;"",B533,C532)</f>
      </c>
      <c r="D533" s="17">
        <f>IF(A533="","",IF(OR(LEFT(UPPER(TRIM(A533)),2)="Y:",LEFT(UPPER(TRIM(A533)),10)="YESTERDAY:"),"Y",IF(OR(LEFT(UPPER(TRIM(A533)),2)="T:",LEFT(UPPER(TRIM(A533)),6)="TODAY:"),"T",IF(OR(LEFT(UPPER(TRIM(A533)),2)="B:",LEFT(UPPER(TRIM(A533)),8)="BLOCKER:",LEFT(UPPER(TRIM(A533)),9)="BLOCKERS:",LEFT(UPPER(TRIM(A533)),8)="BLOCKED:"),"B",""))))</f>
      </c>
      <c r="E533" s="17">
        <f>IF(D533="","",TRIM(MID(A533,FIND(":",A533)+1,500)))</f>
      </c>
    </row>
    <row r="534">
      <c r="B534" s="17">
        <f>IF(A534="","",IF(COUNTIF(Roster[Name],IF(RIGHT(IF(LEFT(TRIM(A534),1)="[",TRIM(MID(TRIM(A534),FIND("]",TRIM(A534)&amp;"]")+1,200)),TRIM(A534)),1)=")",TRIM(LEFT(IF(LEFT(TRIM(A534),1)="[",TRIM(MID(TRIM(A534),FIND("]",TRIM(A534)&amp;"]")+1,200)),TRIM(A534)),FIND("(",IF(LEFT(TRIM(A534),1)="[",TRIM(MID(TRIM(A534),FIND("]",TRIM(A534)&amp;"]")+1,200)),TRIM(A534))&amp;"(")-1)),IF(LEFT(TRIM(A534),1)="[",TRIM(MID(TRIM(A534),FIND("]",TRIM(A534)&amp;"]")+1,200)),TRIM(A534))))&gt;0,IF(RIGHT(IF(LEFT(TRIM(A534),1)="[",TRIM(MID(TRIM(A534),FIND("]",TRIM(A534)&amp;"]")+1,200)),TRIM(A534)),1)=")",TRIM(LEFT(IF(LEFT(TRIM(A534),1)="[",TRIM(MID(TRIM(A534),FIND("]",TRIM(A534)&amp;"]")+1,200)),TRIM(A534)),FIND("(",IF(LEFT(TRIM(A534),1)="[",TRIM(MID(TRIM(A534),FIND("]",TRIM(A534)&amp;"]")+1,200)),TRIM(A534))&amp;"(")-1)),IF(LEFT(TRIM(A534),1)="[",TRIM(MID(TRIM(A534),FIND("]",TRIM(A534)&amp;"]")+1,200)),TRIM(A534))),""))</f>
      </c>
      <c r="C534" s="17">
        <f>IF(B534&lt;&gt;"",B534,C533)</f>
      </c>
      <c r="D534" s="17">
        <f>IF(A534="","",IF(OR(LEFT(UPPER(TRIM(A534)),2)="Y:",LEFT(UPPER(TRIM(A534)),10)="YESTERDAY:"),"Y",IF(OR(LEFT(UPPER(TRIM(A534)),2)="T:",LEFT(UPPER(TRIM(A534)),6)="TODAY:"),"T",IF(OR(LEFT(UPPER(TRIM(A534)),2)="B:",LEFT(UPPER(TRIM(A534)),8)="BLOCKER:",LEFT(UPPER(TRIM(A534)),9)="BLOCKERS:",LEFT(UPPER(TRIM(A534)),8)="BLOCKED:"),"B",""))))</f>
      </c>
      <c r="E534" s="17">
        <f>IF(D534="","",TRIM(MID(A534,FIND(":",A534)+1,500)))</f>
      </c>
    </row>
    <row r="535">
      <c r="B535" s="17">
        <f>IF(A535="","",IF(COUNTIF(Roster[Name],IF(RIGHT(IF(LEFT(TRIM(A535),1)="[",TRIM(MID(TRIM(A535),FIND("]",TRIM(A535)&amp;"]")+1,200)),TRIM(A535)),1)=")",TRIM(LEFT(IF(LEFT(TRIM(A535),1)="[",TRIM(MID(TRIM(A535),FIND("]",TRIM(A535)&amp;"]")+1,200)),TRIM(A535)),FIND("(",IF(LEFT(TRIM(A535),1)="[",TRIM(MID(TRIM(A535),FIND("]",TRIM(A535)&amp;"]")+1,200)),TRIM(A535))&amp;"(")-1)),IF(LEFT(TRIM(A535),1)="[",TRIM(MID(TRIM(A535),FIND("]",TRIM(A535)&amp;"]")+1,200)),TRIM(A535))))&gt;0,IF(RIGHT(IF(LEFT(TRIM(A535),1)="[",TRIM(MID(TRIM(A535),FIND("]",TRIM(A535)&amp;"]")+1,200)),TRIM(A535)),1)=")",TRIM(LEFT(IF(LEFT(TRIM(A535),1)="[",TRIM(MID(TRIM(A535),FIND("]",TRIM(A535)&amp;"]")+1,200)),TRIM(A535)),FIND("(",IF(LEFT(TRIM(A535),1)="[",TRIM(MID(TRIM(A535),FIND("]",TRIM(A535)&amp;"]")+1,200)),TRIM(A535))&amp;"(")-1)),IF(LEFT(TRIM(A535),1)="[",TRIM(MID(TRIM(A535),FIND("]",TRIM(A535)&amp;"]")+1,200)),TRIM(A535))),""))</f>
      </c>
      <c r="C535" s="17">
        <f>IF(B535&lt;&gt;"",B535,C534)</f>
      </c>
      <c r="D535" s="17">
        <f>IF(A535="","",IF(OR(LEFT(UPPER(TRIM(A535)),2)="Y:",LEFT(UPPER(TRIM(A535)),10)="YESTERDAY:"),"Y",IF(OR(LEFT(UPPER(TRIM(A535)),2)="T:",LEFT(UPPER(TRIM(A535)),6)="TODAY:"),"T",IF(OR(LEFT(UPPER(TRIM(A535)),2)="B:",LEFT(UPPER(TRIM(A535)),8)="BLOCKER:",LEFT(UPPER(TRIM(A535)),9)="BLOCKERS:",LEFT(UPPER(TRIM(A535)),8)="BLOCKED:"),"B",""))))</f>
      </c>
      <c r="E535" s="17">
        <f>IF(D535="","",TRIM(MID(A535,FIND(":",A535)+1,500)))</f>
      </c>
    </row>
    <row r="536">
      <c r="B536" s="17">
        <f>IF(A536="","",IF(COUNTIF(Roster[Name],IF(RIGHT(IF(LEFT(TRIM(A536),1)="[",TRIM(MID(TRIM(A536),FIND("]",TRIM(A536)&amp;"]")+1,200)),TRIM(A536)),1)=")",TRIM(LEFT(IF(LEFT(TRIM(A536),1)="[",TRIM(MID(TRIM(A536),FIND("]",TRIM(A536)&amp;"]")+1,200)),TRIM(A536)),FIND("(",IF(LEFT(TRIM(A536),1)="[",TRIM(MID(TRIM(A536),FIND("]",TRIM(A536)&amp;"]")+1,200)),TRIM(A536))&amp;"(")-1)),IF(LEFT(TRIM(A536),1)="[",TRIM(MID(TRIM(A536),FIND("]",TRIM(A536)&amp;"]")+1,200)),TRIM(A536))))&gt;0,IF(RIGHT(IF(LEFT(TRIM(A536),1)="[",TRIM(MID(TRIM(A536),FIND("]",TRIM(A536)&amp;"]")+1,200)),TRIM(A536)),1)=")",TRIM(LEFT(IF(LEFT(TRIM(A536),1)="[",TRIM(MID(TRIM(A536),FIND("]",TRIM(A536)&amp;"]")+1,200)),TRIM(A536)),FIND("(",IF(LEFT(TRIM(A536),1)="[",TRIM(MID(TRIM(A536),FIND("]",TRIM(A536)&amp;"]")+1,200)),TRIM(A536))&amp;"(")-1)),IF(LEFT(TRIM(A536),1)="[",TRIM(MID(TRIM(A536),FIND("]",TRIM(A536)&amp;"]")+1,200)),TRIM(A536))),""))</f>
      </c>
      <c r="C536" s="17">
        <f>IF(B536&lt;&gt;"",B536,C535)</f>
      </c>
      <c r="D536" s="17">
        <f>IF(A536="","",IF(OR(LEFT(UPPER(TRIM(A536)),2)="Y:",LEFT(UPPER(TRIM(A536)),10)="YESTERDAY:"),"Y",IF(OR(LEFT(UPPER(TRIM(A536)),2)="T:",LEFT(UPPER(TRIM(A536)),6)="TODAY:"),"T",IF(OR(LEFT(UPPER(TRIM(A536)),2)="B:",LEFT(UPPER(TRIM(A536)),8)="BLOCKER:",LEFT(UPPER(TRIM(A536)),9)="BLOCKERS:",LEFT(UPPER(TRIM(A536)),8)="BLOCKED:"),"B",""))))</f>
      </c>
      <c r="E536" s="17">
        <f>IF(D536="","",TRIM(MID(A536,FIND(":",A536)+1,500)))</f>
      </c>
    </row>
    <row r="537">
      <c r="B537" s="17">
        <f>IF(A537="","",IF(COUNTIF(Roster[Name],IF(RIGHT(IF(LEFT(TRIM(A537),1)="[",TRIM(MID(TRIM(A537),FIND("]",TRIM(A537)&amp;"]")+1,200)),TRIM(A537)),1)=")",TRIM(LEFT(IF(LEFT(TRIM(A537),1)="[",TRIM(MID(TRIM(A537),FIND("]",TRIM(A537)&amp;"]")+1,200)),TRIM(A537)),FIND("(",IF(LEFT(TRIM(A537),1)="[",TRIM(MID(TRIM(A537),FIND("]",TRIM(A537)&amp;"]")+1,200)),TRIM(A537))&amp;"(")-1)),IF(LEFT(TRIM(A537),1)="[",TRIM(MID(TRIM(A537),FIND("]",TRIM(A537)&amp;"]")+1,200)),TRIM(A537))))&gt;0,IF(RIGHT(IF(LEFT(TRIM(A537),1)="[",TRIM(MID(TRIM(A537),FIND("]",TRIM(A537)&amp;"]")+1,200)),TRIM(A537)),1)=")",TRIM(LEFT(IF(LEFT(TRIM(A537),1)="[",TRIM(MID(TRIM(A537),FIND("]",TRIM(A537)&amp;"]")+1,200)),TRIM(A537)),FIND("(",IF(LEFT(TRIM(A537),1)="[",TRIM(MID(TRIM(A537),FIND("]",TRIM(A537)&amp;"]")+1,200)),TRIM(A537))&amp;"(")-1)),IF(LEFT(TRIM(A537),1)="[",TRIM(MID(TRIM(A537),FIND("]",TRIM(A537)&amp;"]")+1,200)),TRIM(A537))),""))</f>
      </c>
      <c r="C537" s="17">
        <f>IF(B537&lt;&gt;"",B537,C536)</f>
      </c>
      <c r="D537" s="17">
        <f>IF(A537="","",IF(OR(LEFT(UPPER(TRIM(A537)),2)="Y:",LEFT(UPPER(TRIM(A537)),10)="YESTERDAY:"),"Y",IF(OR(LEFT(UPPER(TRIM(A537)),2)="T:",LEFT(UPPER(TRIM(A537)),6)="TODAY:"),"T",IF(OR(LEFT(UPPER(TRIM(A537)),2)="B:",LEFT(UPPER(TRIM(A537)),8)="BLOCKER:",LEFT(UPPER(TRIM(A537)),9)="BLOCKERS:",LEFT(UPPER(TRIM(A537)),8)="BLOCKED:"),"B",""))))</f>
      </c>
      <c r="E537" s="17">
        <f>IF(D537="","",TRIM(MID(A537,FIND(":",A537)+1,500)))</f>
      </c>
    </row>
    <row r="538">
      <c r="B538" s="17">
        <f>IF(A538="","",IF(COUNTIF(Roster[Name],IF(RIGHT(IF(LEFT(TRIM(A538),1)="[",TRIM(MID(TRIM(A538),FIND("]",TRIM(A538)&amp;"]")+1,200)),TRIM(A538)),1)=")",TRIM(LEFT(IF(LEFT(TRIM(A538),1)="[",TRIM(MID(TRIM(A538),FIND("]",TRIM(A538)&amp;"]")+1,200)),TRIM(A538)),FIND("(",IF(LEFT(TRIM(A538),1)="[",TRIM(MID(TRIM(A538),FIND("]",TRIM(A538)&amp;"]")+1,200)),TRIM(A538))&amp;"(")-1)),IF(LEFT(TRIM(A538),1)="[",TRIM(MID(TRIM(A538),FIND("]",TRIM(A538)&amp;"]")+1,200)),TRIM(A538))))&gt;0,IF(RIGHT(IF(LEFT(TRIM(A538),1)="[",TRIM(MID(TRIM(A538),FIND("]",TRIM(A538)&amp;"]")+1,200)),TRIM(A538)),1)=")",TRIM(LEFT(IF(LEFT(TRIM(A538),1)="[",TRIM(MID(TRIM(A538),FIND("]",TRIM(A538)&amp;"]")+1,200)),TRIM(A538)),FIND("(",IF(LEFT(TRIM(A538),1)="[",TRIM(MID(TRIM(A538),FIND("]",TRIM(A538)&amp;"]")+1,200)),TRIM(A538))&amp;"(")-1)),IF(LEFT(TRIM(A538),1)="[",TRIM(MID(TRIM(A538),FIND("]",TRIM(A538)&amp;"]")+1,200)),TRIM(A538))),""))</f>
      </c>
      <c r="C538" s="17">
        <f>IF(B538&lt;&gt;"",B538,C537)</f>
      </c>
      <c r="D538" s="17">
        <f>IF(A538="","",IF(OR(LEFT(UPPER(TRIM(A538)),2)="Y:",LEFT(UPPER(TRIM(A538)),10)="YESTERDAY:"),"Y",IF(OR(LEFT(UPPER(TRIM(A538)),2)="T:",LEFT(UPPER(TRIM(A538)),6)="TODAY:"),"T",IF(OR(LEFT(UPPER(TRIM(A538)),2)="B:",LEFT(UPPER(TRIM(A538)),8)="BLOCKER:",LEFT(UPPER(TRIM(A538)),9)="BLOCKERS:",LEFT(UPPER(TRIM(A538)),8)="BLOCKED:"),"B",""))))</f>
      </c>
      <c r="E538" s="17">
        <f>IF(D538="","",TRIM(MID(A538,FIND(":",A538)+1,500)))</f>
      </c>
    </row>
    <row r="539">
      <c r="B539" s="17">
        <f>IF(A539="","",IF(COUNTIF(Roster[Name],IF(RIGHT(IF(LEFT(TRIM(A539),1)="[",TRIM(MID(TRIM(A539),FIND("]",TRIM(A539)&amp;"]")+1,200)),TRIM(A539)),1)=")",TRIM(LEFT(IF(LEFT(TRIM(A539),1)="[",TRIM(MID(TRIM(A539),FIND("]",TRIM(A539)&amp;"]")+1,200)),TRIM(A539)),FIND("(",IF(LEFT(TRIM(A539),1)="[",TRIM(MID(TRIM(A539),FIND("]",TRIM(A539)&amp;"]")+1,200)),TRIM(A539))&amp;"(")-1)),IF(LEFT(TRIM(A539),1)="[",TRIM(MID(TRIM(A539),FIND("]",TRIM(A539)&amp;"]")+1,200)),TRIM(A539))))&gt;0,IF(RIGHT(IF(LEFT(TRIM(A539),1)="[",TRIM(MID(TRIM(A539),FIND("]",TRIM(A539)&amp;"]")+1,200)),TRIM(A539)),1)=")",TRIM(LEFT(IF(LEFT(TRIM(A539),1)="[",TRIM(MID(TRIM(A539),FIND("]",TRIM(A539)&amp;"]")+1,200)),TRIM(A539)),FIND("(",IF(LEFT(TRIM(A539),1)="[",TRIM(MID(TRIM(A539),FIND("]",TRIM(A539)&amp;"]")+1,200)),TRIM(A539))&amp;"(")-1)),IF(LEFT(TRIM(A539),1)="[",TRIM(MID(TRIM(A539),FIND("]",TRIM(A539)&amp;"]")+1,200)),TRIM(A539))),""))</f>
      </c>
      <c r="C539" s="17">
        <f>IF(B539&lt;&gt;"",B539,C538)</f>
      </c>
      <c r="D539" s="17">
        <f>IF(A539="","",IF(OR(LEFT(UPPER(TRIM(A539)),2)="Y:",LEFT(UPPER(TRIM(A539)),10)="YESTERDAY:"),"Y",IF(OR(LEFT(UPPER(TRIM(A539)),2)="T:",LEFT(UPPER(TRIM(A539)),6)="TODAY:"),"T",IF(OR(LEFT(UPPER(TRIM(A539)),2)="B:",LEFT(UPPER(TRIM(A539)),8)="BLOCKER:",LEFT(UPPER(TRIM(A539)),9)="BLOCKERS:",LEFT(UPPER(TRIM(A539)),8)="BLOCKED:"),"B",""))))</f>
      </c>
      <c r="E539" s="17">
        <f>IF(D539="","",TRIM(MID(A539,FIND(":",A539)+1,500)))</f>
      </c>
    </row>
    <row r="540">
      <c r="B540" s="17">
        <f>IF(A540="","",IF(COUNTIF(Roster[Name],IF(RIGHT(IF(LEFT(TRIM(A540),1)="[",TRIM(MID(TRIM(A540),FIND("]",TRIM(A540)&amp;"]")+1,200)),TRIM(A540)),1)=")",TRIM(LEFT(IF(LEFT(TRIM(A540),1)="[",TRIM(MID(TRIM(A540),FIND("]",TRIM(A540)&amp;"]")+1,200)),TRIM(A540)),FIND("(",IF(LEFT(TRIM(A540),1)="[",TRIM(MID(TRIM(A540),FIND("]",TRIM(A540)&amp;"]")+1,200)),TRIM(A540))&amp;"(")-1)),IF(LEFT(TRIM(A540),1)="[",TRIM(MID(TRIM(A540),FIND("]",TRIM(A540)&amp;"]")+1,200)),TRIM(A540))))&gt;0,IF(RIGHT(IF(LEFT(TRIM(A540),1)="[",TRIM(MID(TRIM(A540),FIND("]",TRIM(A540)&amp;"]")+1,200)),TRIM(A540)),1)=")",TRIM(LEFT(IF(LEFT(TRIM(A540),1)="[",TRIM(MID(TRIM(A540),FIND("]",TRIM(A540)&amp;"]")+1,200)),TRIM(A540)),FIND("(",IF(LEFT(TRIM(A540),1)="[",TRIM(MID(TRIM(A540),FIND("]",TRIM(A540)&amp;"]")+1,200)),TRIM(A540))&amp;"(")-1)),IF(LEFT(TRIM(A540),1)="[",TRIM(MID(TRIM(A540),FIND("]",TRIM(A540)&amp;"]")+1,200)),TRIM(A540))),""))</f>
      </c>
      <c r="C540" s="17">
        <f>IF(B540&lt;&gt;"",B540,C539)</f>
      </c>
      <c r="D540" s="17">
        <f>IF(A540="","",IF(OR(LEFT(UPPER(TRIM(A540)),2)="Y:",LEFT(UPPER(TRIM(A540)),10)="YESTERDAY:"),"Y",IF(OR(LEFT(UPPER(TRIM(A540)),2)="T:",LEFT(UPPER(TRIM(A540)),6)="TODAY:"),"T",IF(OR(LEFT(UPPER(TRIM(A540)),2)="B:",LEFT(UPPER(TRIM(A540)),8)="BLOCKER:",LEFT(UPPER(TRIM(A540)),9)="BLOCKERS:",LEFT(UPPER(TRIM(A540)),8)="BLOCKED:"),"B",""))))</f>
      </c>
      <c r="E540" s="17">
        <f>IF(D540="","",TRIM(MID(A540,FIND(":",A540)+1,500)))</f>
      </c>
    </row>
    <row r="541">
      <c r="B541" s="17">
        <f>IF(A541="","",IF(COUNTIF(Roster[Name],IF(RIGHT(IF(LEFT(TRIM(A541),1)="[",TRIM(MID(TRIM(A541),FIND("]",TRIM(A541)&amp;"]")+1,200)),TRIM(A541)),1)=")",TRIM(LEFT(IF(LEFT(TRIM(A541),1)="[",TRIM(MID(TRIM(A541),FIND("]",TRIM(A541)&amp;"]")+1,200)),TRIM(A541)),FIND("(",IF(LEFT(TRIM(A541),1)="[",TRIM(MID(TRIM(A541),FIND("]",TRIM(A541)&amp;"]")+1,200)),TRIM(A541))&amp;"(")-1)),IF(LEFT(TRIM(A541),1)="[",TRIM(MID(TRIM(A541),FIND("]",TRIM(A541)&amp;"]")+1,200)),TRIM(A541))))&gt;0,IF(RIGHT(IF(LEFT(TRIM(A541),1)="[",TRIM(MID(TRIM(A541),FIND("]",TRIM(A541)&amp;"]")+1,200)),TRIM(A541)),1)=")",TRIM(LEFT(IF(LEFT(TRIM(A541),1)="[",TRIM(MID(TRIM(A541),FIND("]",TRIM(A541)&amp;"]")+1,200)),TRIM(A541)),FIND("(",IF(LEFT(TRIM(A541),1)="[",TRIM(MID(TRIM(A541),FIND("]",TRIM(A541)&amp;"]")+1,200)),TRIM(A541))&amp;"(")-1)),IF(LEFT(TRIM(A541),1)="[",TRIM(MID(TRIM(A541),FIND("]",TRIM(A541)&amp;"]")+1,200)),TRIM(A541))),""))</f>
      </c>
      <c r="C541" s="17">
        <f>IF(B541&lt;&gt;"",B541,C540)</f>
      </c>
      <c r="D541" s="17">
        <f>IF(A541="","",IF(OR(LEFT(UPPER(TRIM(A541)),2)="Y:",LEFT(UPPER(TRIM(A541)),10)="YESTERDAY:"),"Y",IF(OR(LEFT(UPPER(TRIM(A541)),2)="T:",LEFT(UPPER(TRIM(A541)),6)="TODAY:"),"T",IF(OR(LEFT(UPPER(TRIM(A541)),2)="B:",LEFT(UPPER(TRIM(A541)),8)="BLOCKER:",LEFT(UPPER(TRIM(A541)),9)="BLOCKERS:",LEFT(UPPER(TRIM(A541)),8)="BLOCKED:"),"B",""))))</f>
      </c>
      <c r="E541" s="17">
        <f>IF(D541="","",TRIM(MID(A541,FIND(":",A541)+1,500)))</f>
      </c>
    </row>
    <row r="542">
      <c r="B542" s="17">
        <f>IF(A542="","",IF(COUNTIF(Roster[Name],IF(RIGHT(IF(LEFT(TRIM(A542),1)="[",TRIM(MID(TRIM(A542),FIND("]",TRIM(A542)&amp;"]")+1,200)),TRIM(A542)),1)=")",TRIM(LEFT(IF(LEFT(TRIM(A542),1)="[",TRIM(MID(TRIM(A542),FIND("]",TRIM(A542)&amp;"]")+1,200)),TRIM(A542)),FIND("(",IF(LEFT(TRIM(A542),1)="[",TRIM(MID(TRIM(A542),FIND("]",TRIM(A542)&amp;"]")+1,200)),TRIM(A542))&amp;"(")-1)),IF(LEFT(TRIM(A542),1)="[",TRIM(MID(TRIM(A542),FIND("]",TRIM(A542)&amp;"]")+1,200)),TRIM(A542))))&gt;0,IF(RIGHT(IF(LEFT(TRIM(A542),1)="[",TRIM(MID(TRIM(A542),FIND("]",TRIM(A542)&amp;"]")+1,200)),TRIM(A542)),1)=")",TRIM(LEFT(IF(LEFT(TRIM(A542),1)="[",TRIM(MID(TRIM(A542),FIND("]",TRIM(A542)&amp;"]")+1,200)),TRIM(A542)),FIND("(",IF(LEFT(TRIM(A542),1)="[",TRIM(MID(TRIM(A542),FIND("]",TRIM(A542)&amp;"]")+1,200)),TRIM(A542))&amp;"(")-1)),IF(LEFT(TRIM(A542),1)="[",TRIM(MID(TRIM(A542),FIND("]",TRIM(A542)&amp;"]")+1,200)),TRIM(A542))),""))</f>
      </c>
      <c r="C542" s="17">
        <f>IF(B542&lt;&gt;"",B542,C541)</f>
      </c>
      <c r="D542" s="17">
        <f>IF(A542="","",IF(OR(LEFT(UPPER(TRIM(A542)),2)="Y:",LEFT(UPPER(TRIM(A542)),10)="YESTERDAY:"),"Y",IF(OR(LEFT(UPPER(TRIM(A542)),2)="T:",LEFT(UPPER(TRIM(A542)),6)="TODAY:"),"T",IF(OR(LEFT(UPPER(TRIM(A542)),2)="B:",LEFT(UPPER(TRIM(A542)),8)="BLOCKER:",LEFT(UPPER(TRIM(A542)),9)="BLOCKERS:",LEFT(UPPER(TRIM(A542)),8)="BLOCKED:"),"B",""))))</f>
      </c>
      <c r="E542" s="17">
        <f>IF(D542="","",TRIM(MID(A542,FIND(":",A542)+1,500)))</f>
      </c>
    </row>
    <row r="543">
      <c r="B543" s="17">
        <f>IF(A543="","",IF(COUNTIF(Roster[Name],IF(RIGHT(IF(LEFT(TRIM(A543),1)="[",TRIM(MID(TRIM(A543),FIND("]",TRIM(A543)&amp;"]")+1,200)),TRIM(A543)),1)=")",TRIM(LEFT(IF(LEFT(TRIM(A543),1)="[",TRIM(MID(TRIM(A543),FIND("]",TRIM(A543)&amp;"]")+1,200)),TRIM(A543)),FIND("(",IF(LEFT(TRIM(A543),1)="[",TRIM(MID(TRIM(A543),FIND("]",TRIM(A543)&amp;"]")+1,200)),TRIM(A543))&amp;"(")-1)),IF(LEFT(TRIM(A543),1)="[",TRIM(MID(TRIM(A543),FIND("]",TRIM(A543)&amp;"]")+1,200)),TRIM(A543))))&gt;0,IF(RIGHT(IF(LEFT(TRIM(A543),1)="[",TRIM(MID(TRIM(A543),FIND("]",TRIM(A543)&amp;"]")+1,200)),TRIM(A543)),1)=")",TRIM(LEFT(IF(LEFT(TRIM(A543),1)="[",TRIM(MID(TRIM(A543),FIND("]",TRIM(A543)&amp;"]")+1,200)),TRIM(A543)),FIND("(",IF(LEFT(TRIM(A543),1)="[",TRIM(MID(TRIM(A543),FIND("]",TRIM(A543)&amp;"]")+1,200)),TRIM(A543))&amp;"(")-1)),IF(LEFT(TRIM(A543),1)="[",TRIM(MID(TRIM(A543),FIND("]",TRIM(A543)&amp;"]")+1,200)),TRIM(A543))),""))</f>
      </c>
      <c r="C543" s="17">
        <f>IF(B543&lt;&gt;"",B543,C542)</f>
      </c>
      <c r="D543" s="17">
        <f>IF(A543="","",IF(OR(LEFT(UPPER(TRIM(A543)),2)="Y:",LEFT(UPPER(TRIM(A543)),10)="YESTERDAY:"),"Y",IF(OR(LEFT(UPPER(TRIM(A543)),2)="T:",LEFT(UPPER(TRIM(A543)),6)="TODAY:"),"T",IF(OR(LEFT(UPPER(TRIM(A543)),2)="B:",LEFT(UPPER(TRIM(A543)),8)="BLOCKER:",LEFT(UPPER(TRIM(A543)),9)="BLOCKERS:",LEFT(UPPER(TRIM(A543)),8)="BLOCKED:"),"B",""))))</f>
      </c>
      <c r="E543" s="17">
        <f>IF(D543="","",TRIM(MID(A543,FIND(":",A543)+1,500)))</f>
      </c>
    </row>
    <row r="544">
      <c r="B544" s="17">
        <f>IF(A544="","",IF(COUNTIF(Roster[Name],IF(RIGHT(IF(LEFT(TRIM(A544),1)="[",TRIM(MID(TRIM(A544),FIND("]",TRIM(A544)&amp;"]")+1,200)),TRIM(A544)),1)=")",TRIM(LEFT(IF(LEFT(TRIM(A544),1)="[",TRIM(MID(TRIM(A544),FIND("]",TRIM(A544)&amp;"]")+1,200)),TRIM(A544)),FIND("(",IF(LEFT(TRIM(A544),1)="[",TRIM(MID(TRIM(A544),FIND("]",TRIM(A544)&amp;"]")+1,200)),TRIM(A544))&amp;"(")-1)),IF(LEFT(TRIM(A544),1)="[",TRIM(MID(TRIM(A544),FIND("]",TRIM(A544)&amp;"]")+1,200)),TRIM(A544))))&gt;0,IF(RIGHT(IF(LEFT(TRIM(A544),1)="[",TRIM(MID(TRIM(A544),FIND("]",TRIM(A544)&amp;"]")+1,200)),TRIM(A544)),1)=")",TRIM(LEFT(IF(LEFT(TRIM(A544),1)="[",TRIM(MID(TRIM(A544),FIND("]",TRIM(A544)&amp;"]")+1,200)),TRIM(A544)),FIND("(",IF(LEFT(TRIM(A544),1)="[",TRIM(MID(TRIM(A544),FIND("]",TRIM(A544)&amp;"]")+1,200)),TRIM(A544))&amp;"(")-1)),IF(LEFT(TRIM(A544),1)="[",TRIM(MID(TRIM(A544),FIND("]",TRIM(A544)&amp;"]")+1,200)),TRIM(A544))),""))</f>
      </c>
      <c r="C544" s="17">
        <f>IF(B544&lt;&gt;"",B544,C543)</f>
      </c>
      <c r="D544" s="17">
        <f>IF(A544="","",IF(OR(LEFT(UPPER(TRIM(A544)),2)="Y:",LEFT(UPPER(TRIM(A544)),10)="YESTERDAY:"),"Y",IF(OR(LEFT(UPPER(TRIM(A544)),2)="T:",LEFT(UPPER(TRIM(A544)),6)="TODAY:"),"T",IF(OR(LEFT(UPPER(TRIM(A544)),2)="B:",LEFT(UPPER(TRIM(A544)),8)="BLOCKER:",LEFT(UPPER(TRIM(A544)),9)="BLOCKERS:",LEFT(UPPER(TRIM(A544)),8)="BLOCKED:"),"B",""))))</f>
      </c>
      <c r="E544" s="17">
        <f>IF(D544="","",TRIM(MID(A544,FIND(":",A544)+1,500)))</f>
      </c>
    </row>
    <row r="545">
      <c r="B545" s="17">
        <f>IF(A545="","",IF(COUNTIF(Roster[Name],IF(RIGHT(IF(LEFT(TRIM(A545),1)="[",TRIM(MID(TRIM(A545),FIND("]",TRIM(A545)&amp;"]")+1,200)),TRIM(A545)),1)=")",TRIM(LEFT(IF(LEFT(TRIM(A545),1)="[",TRIM(MID(TRIM(A545),FIND("]",TRIM(A545)&amp;"]")+1,200)),TRIM(A545)),FIND("(",IF(LEFT(TRIM(A545),1)="[",TRIM(MID(TRIM(A545),FIND("]",TRIM(A545)&amp;"]")+1,200)),TRIM(A545))&amp;"(")-1)),IF(LEFT(TRIM(A545),1)="[",TRIM(MID(TRIM(A545),FIND("]",TRIM(A545)&amp;"]")+1,200)),TRIM(A545))))&gt;0,IF(RIGHT(IF(LEFT(TRIM(A545),1)="[",TRIM(MID(TRIM(A545),FIND("]",TRIM(A545)&amp;"]")+1,200)),TRIM(A545)),1)=")",TRIM(LEFT(IF(LEFT(TRIM(A545),1)="[",TRIM(MID(TRIM(A545),FIND("]",TRIM(A545)&amp;"]")+1,200)),TRIM(A545)),FIND("(",IF(LEFT(TRIM(A545),1)="[",TRIM(MID(TRIM(A545),FIND("]",TRIM(A545)&amp;"]")+1,200)),TRIM(A545))&amp;"(")-1)),IF(LEFT(TRIM(A545),1)="[",TRIM(MID(TRIM(A545),FIND("]",TRIM(A545)&amp;"]")+1,200)),TRIM(A545))),""))</f>
      </c>
      <c r="C545" s="17">
        <f>IF(B545&lt;&gt;"",B545,C544)</f>
      </c>
      <c r="D545" s="17">
        <f>IF(A545="","",IF(OR(LEFT(UPPER(TRIM(A545)),2)="Y:",LEFT(UPPER(TRIM(A545)),10)="YESTERDAY:"),"Y",IF(OR(LEFT(UPPER(TRIM(A545)),2)="T:",LEFT(UPPER(TRIM(A545)),6)="TODAY:"),"T",IF(OR(LEFT(UPPER(TRIM(A545)),2)="B:",LEFT(UPPER(TRIM(A545)),8)="BLOCKER:",LEFT(UPPER(TRIM(A545)),9)="BLOCKERS:",LEFT(UPPER(TRIM(A545)),8)="BLOCKED:"),"B",""))))</f>
      </c>
      <c r="E545" s="17">
        <f>IF(D545="","",TRIM(MID(A545,FIND(":",A545)+1,500)))</f>
      </c>
    </row>
    <row r="546">
      <c r="B546" s="17">
        <f>IF(A546="","",IF(COUNTIF(Roster[Name],IF(RIGHT(IF(LEFT(TRIM(A546),1)="[",TRIM(MID(TRIM(A546),FIND("]",TRIM(A546)&amp;"]")+1,200)),TRIM(A546)),1)=")",TRIM(LEFT(IF(LEFT(TRIM(A546),1)="[",TRIM(MID(TRIM(A546),FIND("]",TRIM(A546)&amp;"]")+1,200)),TRIM(A546)),FIND("(",IF(LEFT(TRIM(A546),1)="[",TRIM(MID(TRIM(A546),FIND("]",TRIM(A546)&amp;"]")+1,200)),TRIM(A546))&amp;"(")-1)),IF(LEFT(TRIM(A546),1)="[",TRIM(MID(TRIM(A546),FIND("]",TRIM(A546)&amp;"]")+1,200)),TRIM(A546))))&gt;0,IF(RIGHT(IF(LEFT(TRIM(A546),1)="[",TRIM(MID(TRIM(A546),FIND("]",TRIM(A546)&amp;"]")+1,200)),TRIM(A546)),1)=")",TRIM(LEFT(IF(LEFT(TRIM(A546),1)="[",TRIM(MID(TRIM(A546),FIND("]",TRIM(A546)&amp;"]")+1,200)),TRIM(A546)),FIND("(",IF(LEFT(TRIM(A546),1)="[",TRIM(MID(TRIM(A546),FIND("]",TRIM(A546)&amp;"]")+1,200)),TRIM(A546))&amp;"(")-1)),IF(LEFT(TRIM(A546),1)="[",TRIM(MID(TRIM(A546),FIND("]",TRIM(A546)&amp;"]")+1,200)),TRIM(A546))),""))</f>
      </c>
      <c r="C546" s="17">
        <f>IF(B546&lt;&gt;"",B546,C545)</f>
      </c>
      <c r="D546" s="17">
        <f>IF(A546="","",IF(OR(LEFT(UPPER(TRIM(A546)),2)="Y:",LEFT(UPPER(TRIM(A546)),10)="YESTERDAY:"),"Y",IF(OR(LEFT(UPPER(TRIM(A546)),2)="T:",LEFT(UPPER(TRIM(A546)),6)="TODAY:"),"T",IF(OR(LEFT(UPPER(TRIM(A546)),2)="B:",LEFT(UPPER(TRIM(A546)),8)="BLOCKER:",LEFT(UPPER(TRIM(A546)),9)="BLOCKERS:",LEFT(UPPER(TRIM(A546)),8)="BLOCKED:"),"B",""))))</f>
      </c>
      <c r="E546" s="17">
        <f>IF(D546="","",TRIM(MID(A546,FIND(":",A546)+1,500)))</f>
      </c>
    </row>
    <row r="547">
      <c r="B547" s="17">
        <f>IF(A547="","",IF(COUNTIF(Roster[Name],IF(RIGHT(IF(LEFT(TRIM(A547),1)="[",TRIM(MID(TRIM(A547),FIND("]",TRIM(A547)&amp;"]")+1,200)),TRIM(A547)),1)=")",TRIM(LEFT(IF(LEFT(TRIM(A547),1)="[",TRIM(MID(TRIM(A547),FIND("]",TRIM(A547)&amp;"]")+1,200)),TRIM(A547)),FIND("(",IF(LEFT(TRIM(A547),1)="[",TRIM(MID(TRIM(A547),FIND("]",TRIM(A547)&amp;"]")+1,200)),TRIM(A547))&amp;"(")-1)),IF(LEFT(TRIM(A547),1)="[",TRIM(MID(TRIM(A547),FIND("]",TRIM(A547)&amp;"]")+1,200)),TRIM(A547))))&gt;0,IF(RIGHT(IF(LEFT(TRIM(A547),1)="[",TRIM(MID(TRIM(A547),FIND("]",TRIM(A547)&amp;"]")+1,200)),TRIM(A547)),1)=")",TRIM(LEFT(IF(LEFT(TRIM(A547),1)="[",TRIM(MID(TRIM(A547),FIND("]",TRIM(A547)&amp;"]")+1,200)),TRIM(A547)),FIND("(",IF(LEFT(TRIM(A547),1)="[",TRIM(MID(TRIM(A547),FIND("]",TRIM(A547)&amp;"]")+1,200)),TRIM(A547))&amp;"(")-1)),IF(LEFT(TRIM(A547),1)="[",TRIM(MID(TRIM(A547),FIND("]",TRIM(A547)&amp;"]")+1,200)),TRIM(A547))),""))</f>
      </c>
      <c r="C547" s="17">
        <f>IF(B547&lt;&gt;"",B547,C546)</f>
      </c>
      <c r="D547" s="17">
        <f>IF(A547="","",IF(OR(LEFT(UPPER(TRIM(A547)),2)="Y:",LEFT(UPPER(TRIM(A547)),10)="YESTERDAY:"),"Y",IF(OR(LEFT(UPPER(TRIM(A547)),2)="T:",LEFT(UPPER(TRIM(A547)),6)="TODAY:"),"T",IF(OR(LEFT(UPPER(TRIM(A547)),2)="B:",LEFT(UPPER(TRIM(A547)),8)="BLOCKER:",LEFT(UPPER(TRIM(A547)),9)="BLOCKERS:",LEFT(UPPER(TRIM(A547)),8)="BLOCKED:"),"B",""))))</f>
      </c>
      <c r="E547" s="17">
        <f>IF(D547="","",TRIM(MID(A547,FIND(":",A547)+1,500)))</f>
      </c>
    </row>
    <row r="548">
      <c r="B548" s="17">
        <f>IF(A548="","",IF(COUNTIF(Roster[Name],IF(RIGHT(IF(LEFT(TRIM(A548),1)="[",TRIM(MID(TRIM(A548),FIND("]",TRIM(A548)&amp;"]")+1,200)),TRIM(A548)),1)=")",TRIM(LEFT(IF(LEFT(TRIM(A548),1)="[",TRIM(MID(TRIM(A548),FIND("]",TRIM(A548)&amp;"]")+1,200)),TRIM(A548)),FIND("(",IF(LEFT(TRIM(A548),1)="[",TRIM(MID(TRIM(A548),FIND("]",TRIM(A548)&amp;"]")+1,200)),TRIM(A548))&amp;"(")-1)),IF(LEFT(TRIM(A548),1)="[",TRIM(MID(TRIM(A548),FIND("]",TRIM(A548)&amp;"]")+1,200)),TRIM(A548))))&gt;0,IF(RIGHT(IF(LEFT(TRIM(A548),1)="[",TRIM(MID(TRIM(A548),FIND("]",TRIM(A548)&amp;"]")+1,200)),TRIM(A548)),1)=")",TRIM(LEFT(IF(LEFT(TRIM(A548),1)="[",TRIM(MID(TRIM(A548),FIND("]",TRIM(A548)&amp;"]")+1,200)),TRIM(A548)),FIND("(",IF(LEFT(TRIM(A548),1)="[",TRIM(MID(TRIM(A548),FIND("]",TRIM(A548)&amp;"]")+1,200)),TRIM(A548))&amp;"(")-1)),IF(LEFT(TRIM(A548),1)="[",TRIM(MID(TRIM(A548),FIND("]",TRIM(A548)&amp;"]")+1,200)),TRIM(A548))),""))</f>
      </c>
      <c r="C548" s="17">
        <f>IF(B548&lt;&gt;"",B548,C547)</f>
      </c>
      <c r="D548" s="17">
        <f>IF(A548="","",IF(OR(LEFT(UPPER(TRIM(A548)),2)="Y:",LEFT(UPPER(TRIM(A548)),10)="YESTERDAY:"),"Y",IF(OR(LEFT(UPPER(TRIM(A548)),2)="T:",LEFT(UPPER(TRIM(A548)),6)="TODAY:"),"T",IF(OR(LEFT(UPPER(TRIM(A548)),2)="B:",LEFT(UPPER(TRIM(A548)),8)="BLOCKER:",LEFT(UPPER(TRIM(A548)),9)="BLOCKERS:",LEFT(UPPER(TRIM(A548)),8)="BLOCKED:"),"B",""))))</f>
      </c>
      <c r="E548" s="17">
        <f>IF(D548="","",TRIM(MID(A548,FIND(":",A548)+1,500)))</f>
      </c>
    </row>
    <row r="549">
      <c r="B549" s="17">
        <f>IF(A549="","",IF(COUNTIF(Roster[Name],IF(RIGHT(IF(LEFT(TRIM(A549),1)="[",TRIM(MID(TRIM(A549),FIND("]",TRIM(A549)&amp;"]")+1,200)),TRIM(A549)),1)=")",TRIM(LEFT(IF(LEFT(TRIM(A549),1)="[",TRIM(MID(TRIM(A549),FIND("]",TRIM(A549)&amp;"]")+1,200)),TRIM(A549)),FIND("(",IF(LEFT(TRIM(A549),1)="[",TRIM(MID(TRIM(A549),FIND("]",TRIM(A549)&amp;"]")+1,200)),TRIM(A549))&amp;"(")-1)),IF(LEFT(TRIM(A549),1)="[",TRIM(MID(TRIM(A549),FIND("]",TRIM(A549)&amp;"]")+1,200)),TRIM(A549))))&gt;0,IF(RIGHT(IF(LEFT(TRIM(A549),1)="[",TRIM(MID(TRIM(A549),FIND("]",TRIM(A549)&amp;"]")+1,200)),TRIM(A549)),1)=")",TRIM(LEFT(IF(LEFT(TRIM(A549),1)="[",TRIM(MID(TRIM(A549),FIND("]",TRIM(A549)&amp;"]")+1,200)),TRIM(A549)),FIND("(",IF(LEFT(TRIM(A549),1)="[",TRIM(MID(TRIM(A549),FIND("]",TRIM(A549)&amp;"]")+1,200)),TRIM(A549))&amp;"(")-1)),IF(LEFT(TRIM(A549),1)="[",TRIM(MID(TRIM(A549),FIND("]",TRIM(A549)&amp;"]")+1,200)),TRIM(A549))),""))</f>
      </c>
      <c r="C549" s="17">
        <f>IF(B549&lt;&gt;"",B549,C548)</f>
      </c>
      <c r="D549" s="17">
        <f>IF(A549="","",IF(OR(LEFT(UPPER(TRIM(A549)),2)="Y:",LEFT(UPPER(TRIM(A549)),10)="YESTERDAY:"),"Y",IF(OR(LEFT(UPPER(TRIM(A549)),2)="T:",LEFT(UPPER(TRIM(A549)),6)="TODAY:"),"T",IF(OR(LEFT(UPPER(TRIM(A549)),2)="B:",LEFT(UPPER(TRIM(A549)),8)="BLOCKER:",LEFT(UPPER(TRIM(A549)),9)="BLOCKERS:",LEFT(UPPER(TRIM(A549)),8)="BLOCKED:"),"B",""))))</f>
      </c>
      <c r="E549" s="17">
        <f>IF(D549="","",TRIM(MID(A549,FIND(":",A549)+1,500)))</f>
      </c>
    </row>
    <row r="550">
      <c r="B550" s="17">
        <f>IF(A550="","",IF(COUNTIF(Roster[Name],IF(RIGHT(IF(LEFT(TRIM(A550),1)="[",TRIM(MID(TRIM(A550),FIND("]",TRIM(A550)&amp;"]")+1,200)),TRIM(A550)),1)=")",TRIM(LEFT(IF(LEFT(TRIM(A550),1)="[",TRIM(MID(TRIM(A550),FIND("]",TRIM(A550)&amp;"]")+1,200)),TRIM(A550)),FIND("(",IF(LEFT(TRIM(A550),1)="[",TRIM(MID(TRIM(A550),FIND("]",TRIM(A550)&amp;"]")+1,200)),TRIM(A550))&amp;"(")-1)),IF(LEFT(TRIM(A550),1)="[",TRIM(MID(TRIM(A550),FIND("]",TRIM(A550)&amp;"]")+1,200)),TRIM(A550))))&gt;0,IF(RIGHT(IF(LEFT(TRIM(A550),1)="[",TRIM(MID(TRIM(A550),FIND("]",TRIM(A550)&amp;"]")+1,200)),TRIM(A550)),1)=")",TRIM(LEFT(IF(LEFT(TRIM(A550),1)="[",TRIM(MID(TRIM(A550),FIND("]",TRIM(A550)&amp;"]")+1,200)),TRIM(A550)),FIND("(",IF(LEFT(TRIM(A550),1)="[",TRIM(MID(TRIM(A550),FIND("]",TRIM(A550)&amp;"]")+1,200)),TRIM(A550))&amp;"(")-1)),IF(LEFT(TRIM(A550),1)="[",TRIM(MID(TRIM(A550),FIND("]",TRIM(A550)&amp;"]")+1,200)),TRIM(A550))),""))</f>
      </c>
      <c r="C550" s="17">
        <f>IF(B550&lt;&gt;"",B550,C549)</f>
      </c>
      <c r="D550" s="17">
        <f>IF(A550="","",IF(OR(LEFT(UPPER(TRIM(A550)),2)="Y:",LEFT(UPPER(TRIM(A550)),10)="YESTERDAY:"),"Y",IF(OR(LEFT(UPPER(TRIM(A550)),2)="T:",LEFT(UPPER(TRIM(A550)),6)="TODAY:"),"T",IF(OR(LEFT(UPPER(TRIM(A550)),2)="B:",LEFT(UPPER(TRIM(A550)),8)="BLOCKER:",LEFT(UPPER(TRIM(A550)),9)="BLOCKERS:",LEFT(UPPER(TRIM(A550)),8)="BLOCKED:"),"B",""))))</f>
      </c>
      <c r="E550" s="17">
        <f>IF(D550="","",TRIM(MID(A550,FIND(":",A550)+1,500)))</f>
      </c>
    </row>
    <row r="551">
      <c r="B551" s="17">
        <f>IF(A551="","",IF(COUNTIF(Roster[Name],IF(RIGHT(IF(LEFT(TRIM(A551),1)="[",TRIM(MID(TRIM(A551),FIND("]",TRIM(A551)&amp;"]")+1,200)),TRIM(A551)),1)=")",TRIM(LEFT(IF(LEFT(TRIM(A551),1)="[",TRIM(MID(TRIM(A551),FIND("]",TRIM(A551)&amp;"]")+1,200)),TRIM(A551)),FIND("(",IF(LEFT(TRIM(A551),1)="[",TRIM(MID(TRIM(A551),FIND("]",TRIM(A551)&amp;"]")+1,200)),TRIM(A551))&amp;"(")-1)),IF(LEFT(TRIM(A551),1)="[",TRIM(MID(TRIM(A551),FIND("]",TRIM(A551)&amp;"]")+1,200)),TRIM(A551))))&gt;0,IF(RIGHT(IF(LEFT(TRIM(A551),1)="[",TRIM(MID(TRIM(A551),FIND("]",TRIM(A551)&amp;"]")+1,200)),TRIM(A551)),1)=")",TRIM(LEFT(IF(LEFT(TRIM(A551),1)="[",TRIM(MID(TRIM(A551),FIND("]",TRIM(A551)&amp;"]")+1,200)),TRIM(A551)),FIND("(",IF(LEFT(TRIM(A551),1)="[",TRIM(MID(TRIM(A551),FIND("]",TRIM(A551)&amp;"]")+1,200)),TRIM(A551))&amp;"(")-1)),IF(LEFT(TRIM(A551),1)="[",TRIM(MID(TRIM(A551),FIND("]",TRIM(A551)&amp;"]")+1,200)),TRIM(A551))),""))</f>
      </c>
      <c r="C551" s="17">
        <f>IF(B551&lt;&gt;"",B551,C550)</f>
      </c>
      <c r="D551" s="17">
        <f>IF(A551="","",IF(OR(LEFT(UPPER(TRIM(A551)),2)="Y:",LEFT(UPPER(TRIM(A551)),10)="YESTERDAY:"),"Y",IF(OR(LEFT(UPPER(TRIM(A551)),2)="T:",LEFT(UPPER(TRIM(A551)),6)="TODAY:"),"T",IF(OR(LEFT(UPPER(TRIM(A551)),2)="B:",LEFT(UPPER(TRIM(A551)),8)="BLOCKER:",LEFT(UPPER(TRIM(A551)),9)="BLOCKERS:",LEFT(UPPER(TRIM(A551)),8)="BLOCKED:"),"B",""))))</f>
      </c>
      <c r="E551" s="17">
        <f>IF(D551="","",TRIM(MID(A551,FIND(":",A551)+1,500)))</f>
      </c>
    </row>
    <row r="552">
      <c r="B552" s="17">
        <f>IF(A552="","",IF(COUNTIF(Roster[Name],IF(RIGHT(IF(LEFT(TRIM(A552),1)="[",TRIM(MID(TRIM(A552),FIND("]",TRIM(A552)&amp;"]")+1,200)),TRIM(A552)),1)=")",TRIM(LEFT(IF(LEFT(TRIM(A552),1)="[",TRIM(MID(TRIM(A552),FIND("]",TRIM(A552)&amp;"]")+1,200)),TRIM(A552)),FIND("(",IF(LEFT(TRIM(A552),1)="[",TRIM(MID(TRIM(A552),FIND("]",TRIM(A552)&amp;"]")+1,200)),TRIM(A552))&amp;"(")-1)),IF(LEFT(TRIM(A552),1)="[",TRIM(MID(TRIM(A552),FIND("]",TRIM(A552)&amp;"]")+1,200)),TRIM(A552))))&gt;0,IF(RIGHT(IF(LEFT(TRIM(A552),1)="[",TRIM(MID(TRIM(A552),FIND("]",TRIM(A552)&amp;"]")+1,200)),TRIM(A552)),1)=")",TRIM(LEFT(IF(LEFT(TRIM(A552),1)="[",TRIM(MID(TRIM(A552),FIND("]",TRIM(A552)&amp;"]")+1,200)),TRIM(A552)),FIND("(",IF(LEFT(TRIM(A552),1)="[",TRIM(MID(TRIM(A552),FIND("]",TRIM(A552)&amp;"]")+1,200)),TRIM(A552))&amp;"(")-1)),IF(LEFT(TRIM(A552),1)="[",TRIM(MID(TRIM(A552),FIND("]",TRIM(A552)&amp;"]")+1,200)),TRIM(A552))),""))</f>
      </c>
      <c r="C552" s="17">
        <f>IF(B552&lt;&gt;"",B552,C551)</f>
      </c>
      <c r="D552" s="17">
        <f>IF(A552="","",IF(OR(LEFT(UPPER(TRIM(A552)),2)="Y:",LEFT(UPPER(TRIM(A552)),10)="YESTERDAY:"),"Y",IF(OR(LEFT(UPPER(TRIM(A552)),2)="T:",LEFT(UPPER(TRIM(A552)),6)="TODAY:"),"T",IF(OR(LEFT(UPPER(TRIM(A552)),2)="B:",LEFT(UPPER(TRIM(A552)),8)="BLOCKER:",LEFT(UPPER(TRIM(A552)),9)="BLOCKERS:",LEFT(UPPER(TRIM(A552)),8)="BLOCKED:"),"B",""))))</f>
      </c>
      <c r="E552" s="17">
        <f>IF(D552="","",TRIM(MID(A552,FIND(":",A552)+1,500)))</f>
      </c>
    </row>
    <row r="553">
      <c r="B553" s="17">
        <f>IF(A553="","",IF(COUNTIF(Roster[Name],IF(RIGHT(IF(LEFT(TRIM(A553),1)="[",TRIM(MID(TRIM(A553),FIND("]",TRIM(A553)&amp;"]")+1,200)),TRIM(A553)),1)=")",TRIM(LEFT(IF(LEFT(TRIM(A553),1)="[",TRIM(MID(TRIM(A553),FIND("]",TRIM(A553)&amp;"]")+1,200)),TRIM(A553)),FIND("(",IF(LEFT(TRIM(A553),1)="[",TRIM(MID(TRIM(A553),FIND("]",TRIM(A553)&amp;"]")+1,200)),TRIM(A553))&amp;"(")-1)),IF(LEFT(TRIM(A553),1)="[",TRIM(MID(TRIM(A553),FIND("]",TRIM(A553)&amp;"]")+1,200)),TRIM(A553))))&gt;0,IF(RIGHT(IF(LEFT(TRIM(A553),1)="[",TRIM(MID(TRIM(A553),FIND("]",TRIM(A553)&amp;"]")+1,200)),TRIM(A553)),1)=")",TRIM(LEFT(IF(LEFT(TRIM(A553),1)="[",TRIM(MID(TRIM(A553),FIND("]",TRIM(A553)&amp;"]")+1,200)),TRIM(A553)),FIND("(",IF(LEFT(TRIM(A553),1)="[",TRIM(MID(TRIM(A553),FIND("]",TRIM(A553)&amp;"]")+1,200)),TRIM(A553))&amp;"(")-1)),IF(LEFT(TRIM(A553),1)="[",TRIM(MID(TRIM(A553),FIND("]",TRIM(A553)&amp;"]")+1,200)),TRIM(A553))),""))</f>
      </c>
      <c r="C553" s="17">
        <f>IF(B553&lt;&gt;"",B553,C552)</f>
      </c>
      <c r="D553" s="17">
        <f>IF(A553="","",IF(OR(LEFT(UPPER(TRIM(A553)),2)="Y:",LEFT(UPPER(TRIM(A553)),10)="YESTERDAY:"),"Y",IF(OR(LEFT(UPPER(TRIM(A553)),2)="T:",LEFT(UPPER(TRIM(A553)),6)="TODAY:"),"T",IF(OR(LEFT(UPPER(TRIM(A553)),2)="B:",LEFT(UPPER(TRIM(A553)),8)="BLOCKER:",LEFT(UPPER(TRIM(A553)),9)="BLOCKERS:",LEFT(UPPER(TRIM(A553)),8)="BLOCKED:"),"B",""))))</f>
      </c>
      <c r="E553" s="17">
        <f>IF(D553="","",TRIM(MID(A553,FIND(":",A553)+1,500)))</f>
      </c>
    </row>
    <row r="554">
      <c r="B554" s="17">
        <f>IF(A554="","",IF(COUNTIF(Roster[Name],IF(RIGHT(IF(LEFT(TRIM(A554),1)="[",TRIM(MID(TRIM(A554),FIND("]",TRIM(A554)&amp;"]")+1,200)),TRIM(A554)),1)=")",TRIM(LEFT(IF(LEFT(TRIM(A554),1)="[",TRIM(MID(TRIM(A554),FIND("]",TRIM(A554)&amp;"]")+1,200)),TRIM(A554)),FIND("(",IF(LEFT(TRIM(A554),1)="[",TRIM(MID(TRIM(A554),FIND("]",TRIM(A554)&amp;"]")+1,200)),TRIM(A554))&amp;"(")-1)),IF(LEFT(TRIM(A554),1)="[",TRIM(MID(TRIM(A554),FIND("]",TRIM(A554)&amp;"]")+1,200)),TRIM(A554))))&gt;0,IF(RIGHT(IF(LEFT(TRIM(A554),1)="[",TRIM(MID(TRIM(A554),FIND("]",TRIM(A554)&amp;"]")+1,200)),TRIM(A554)),1)=")",TRIM(LEFT(IF(LEFT(TRIM(A554),1)="[",TRIM(MID(TRIM(A554),FIND("]",TRIM(A554)&amp;"]")+1,200)),TRIM(A554)),FIND("(",IF(LEFT(TRIM(A554),1)="[",TRIM(MID(TRIM(A554),FIND("]",TRIM(A554)&amp;"]")+1,200)),TRIM(A554))&amp;"(")-1)),IF(LEFT(TRIM(A554),1)="[",TRIM(MID(TRIM(A554),FIND("]",TRIM(A554)&amp;"]")+1,200)),TRIM(A554))),""))</f>
      </c>
      <c r="C554" s="17">
        <f>IF(B554&lt;&gt;"",B554,C553)</f>
      </c>
      <c r="D554" s="17">
        <f>IF(A554="","",IF(OR(LEFT(UPPER(TRIM(A554)),2)="Y:",LEFT(UPPER(TRIM(A554)),10)="YESTERDAY:"),"Y",IF(OR(LEFT(UPPER(TRIM(A554)),2)="T:",LEFT(UPPER(TRIM(A554)),6)="TODAY:"),"T",IF(OR(LEFT(UPPER(TRIM(A554)),2)="B:",LEFT(UPPER(TRIM(A554)),8)="BLOCKER:",LEFT(UPPER(TRIM(A554)),9)="BLOCKERS:",LEFT(UPPER(TRIM(A554)),8)="BLOCKED:"),"B",""))))</f>
      </c>
      <c r="E554" s="17">
        <f>IF(D554="","",TRIM(MID(A554,FIND(":",A554)+1,500)))</f>
      </c>
    </row>
    <row r="555">
      <c r="B555" s="17">
        <f>IF(A555="","",IF(COUNTIF(Roster[Name],IF(RIGHT(IF(LEFT(TRIM(A555),1)="[",TRIM(MID(TRIM(A555),FIND("]",TRIM(A555)&amp;"]")+1,200)),TRIM(A555)),1)=")",TRIM(LEFT(IF(LEFT(TRIM(A555),1)="[",TRIM(MID(TRIM(A555),FIND("]",TRIM(A555)&amp;"]")+1,200)),TRIM(A555)),FIND("(",IF(LEFT(TRIM(A555),1)="[",TRIM(MID(TRIM(A555),FIND("]",TRIM(A555)&amp;"]")+1,200)),TRIM(A555))&amp;"(")-1)),IF(LEFT(TRIM(A555),1)="[",TRIM(MID(TRIM(A555),FIND("]",TRIM(A555)&amp;"]")+1,200)),TRIM(A555))))&gt;0,IF(RIGHT(IF(LEFT(TRIM(A555),1)="[",TRIM(MID(TRIM(A555),FIND("]",TRIM(A555)&amp;"]")+1,200)),TRIM(A555)),1)=")",TRIM(LEFT(IF(LEFT(TRIM(A555),1)="[",TRIM(MID(TRIM(A555),FIND("]",TRIM(A555)&amp;"]")+1,200)),TRIM(A555)),FIND("(",IF(LEFT(TRIM(A555),1)="[",TRIM(MID(TRIM(A555),FIND("]",TRIM(A555)&amp;"]")+1,200)),TRIM(A555))&amp;"(")-1)),IF(LEFT(TRIM(A555),1)="[",TRIM(MID(TRIM(A555),FIND("]",TRIM(A555)&amp;"]")+1,200)),TRIM(A555))),""))</f>
      </c>
      <c r="C555" s="17">
        <f>IF(B555&lt;&gt;"",B555,C554)</f>
      </c>
      <c r="D555" s="17">
        <f>IF(A555="","",IF(OR(LEFT(UPPER(TRIM(A555)),2)="Y:",LEFT(UPPER(TRIM(A555)),10)="YESTERDAY:"),"Y",IF(OR(LEFT(UPPER(TRIM(A555)),2)="T:",LEFT(UPPER(TRIM(A555)),6)="TODAY:"),"T",IF(OR(LEFT(UPPER(TRIM(A555)),2)="B:",LEFT(UPPER(TRIM(A555)),8)="BLOCKER:",LEFT(UPPER(TRIM(A555)),9)="BLOCKERS:",LEFT(UPPER(TRIM(A555)),8)="BLOCKED:"),"B",""))))</f>
      </c>
      <c r="E555" s="17">
        <f>IF(D555="","",TRIM(MID(A555,FIND(":",A555)+1,500)))</f>
      </c>
    </row>
    <row r="556">
      <c r="B556" s="17">
        <f>IF(A556="","",IF(COUNTIF(Roster[Name],IF(RIGHT(IF(LEFT(TRIM(A556),1)="[",TRIM(MID(TRIM(A556),FIND("]",TRIM(A556)&amp;"]")+1,200)),TRIM(A556)),1)=")",TRIM(LEFT(IF(LEFT(TRIM(A556),1)="[",TRIM(MID(TRIM(A556),FIND("]",TRIM(A556)&amp;"]")+1,200)),TRIM(A556)),FIND("(",IF(LEFT(TRIM(A556),1)="[",TRIM(MID(TRIM(A556),FIND("]",TRIM(A556)&amp;"]")+1,200)),TRIM(A556))&amp;"(")-1)),IF(LEFT(TRIM(A556),1)="[",TRIM(MID(TRIM(A556),FIND("]",TRIM(A556)&amp;"]")+1,200)),TRIM(A556))))&gt;0,IF(RIGHT(IF(LEFT(TRIM(A556),1)="[",TRIM(MID(TRIM(A556),FIND("]",TRIM(A556)&amp;"]")+1,200)),TRIM(A556)),1)=")",TRIM(LEFT(IF(LEFT(TRIM(A556),1)="[",TRIM(MID(TRIM(A556),FIND("]",TRIM(A556)&amp;"]")+1,200)),TRIM(A556)),FIND("(",IF(LEFT(TRIM(A556),1)="[",TRIM(MID(TRIM(A556),FIND("]",TRIM(A556)&amp;"]")+1,200)),TRIM(A556))&amp;"(")-1)),IF(LEFT(TRIM(A556),1)="[",TRIM(MID(TRIM(A556),FIND("]",TRIM(A556)&amp;"]")+1,200)),TRIM(A556))),""))</f>
      </c>
      <c r="C556" s="17">
        <f>IF(B556&lt;&gt;"",B556,C555)</f>
      </c>
      <c r="D556" s="17">
        <f>IF(A556="","",IF(OR(LEFT(UPPER(TRIM(A556)),2)="Y:",LEFT(UPPER(TRIM(A556)),10)="YESTERDAY:"),"Y",IF(OR(LEFT(UPPER(TRIM(A556)),2)="T:",LEFT(UPPER(TRIM(A556)),6)="TODAY:"),"T",IF(OR(LEFT(UPPER(TRIM(A556)),2)="B:",LEFT(UPPER(TRIM(A556)),8)="BLOCKER:",LEFT(UPPER(TRIM(A556)),9)="BLOCKERS:",LEFT(UPPER(TRIM(A556)),8)="BLOCKED:"),"B",""))))</f>
      </c>
      <c r="E556" s="17">
        <f>IF(D556="","",TRIM(MID(A556,FIND(":",A556)+1,500)))</f>
      </c>
    </row>
    <row r="557">
      <c r="B557" s="17">
        <f>IF(A557="","",IF(COUNTIF(Roster[Name],IF(RIGHT(IF(LEFT(TRIM(A557),1)="[",TRIM(MID(TRIM(A557),FIND("]",TRIM(A557)&amp;"]")+1,200)),TRIM(A557)),1)=")",TRIM(LEFT(IF(LEFT(TRIM(A557),1)="[",TRIM(MID(TRIM(A557),FIND("]",TRIM(A557)&amp;"]")+1,200)),TRIM(A557)),FIND("(",IF(LEFT(TRIM(A557),1)="[",TRIM(MID(TRIM(A557),FIND("]",TRIM(A557)&amp;"]")+1,200)),TRIM(A557))&amp;"(")-1)),IF(LEFT(TRIM(A557),1)="[",TRIM(MID(TRIM(A557),FIND("]",TRIM(A557)&amp;"]")+1,200)),TRIM(A557))))&gt;0,IF(RIGHT(IF(LEFT(TRIM(A557),1)="[",TRIM(MID(TRIM(A557),FIND("]",TRIM(A557)&amp;"]")+1,200)),TRIM(A557)),1)=")",TRIM(LEFT(IF(LEFT(TRIM(A557),1)="[",TRIM(MID(TRIM(A557),FIND("]",TRIM(A557)&amp;"]")+1,200)),TRIM(A557)),FIND("(",IF(LEFT(TRIM(A557),1)="[",TRIM(MID(TRIM(A557),FIND("]",TRIM(A557)&amp;"]")+1,200)),TRIM(A557))&amp;"(")-1)),IF(LEFT(TRIM(A557),1)="[",TRIM(MID(TRIM(A557),FIND("]",TRIM(A557)&amp;"]")+1,200)),TRIM(A557))),""))</f>
      </c>
      <c r="C557" s="17">
        <f>IF(B557&lt;&gt;"",B557,C556)</f>
      </c>
      <c r="D557" s="17">
        <f>IF(A557="","",IF(OR(LEFT(UPPER(TRIM(A557)),2)="Y:",LEFT(UPPER(TRIM(A557)),10)="YESTERDAY:"),"Y",IF(OR(LEFT(UPPER(TRIM(A557)),2)="T:",LEFT(UPPER(TRIM(A557)),6)="TODAY:"),"T",IF(OR(LEFT(UPPER(TRIM(A557)),2)="B:",LEFT(UPPER(TRIM(A557)),8)="BLOCKER:",LEFT(UPPER(TRIM(A557)),9)="BLOCKERS:",LEFT(UPPER(TRIM(A557)),8)="BLOCKED:"),"B",""))))</f>
      </c>
      <c r="E557" s="17">
        <f>IF(D557="","",TRIM(MID(A557,FIND(":",A557)+1,500)))</f>
      </c>
    </row>
    <row r="558">
      <c r="B558" s="17">
        <f>IF(A558="","",IF(COUNTIF(Roster[Name],IF(RIGHT(IF(LEFT(TRIM(A558),1)="[",TRIM(MID(TRIM(A558),FIND("]",TRIM(A558)&amp;"]")+1,200)),TRIM(A558)),1)=")",TRIM(LEFT(IF(LEFT(TRIM(A558),1)="[",TRIM(MID(TRIM(A558),FIND("]",TRIM(A558)&amp;"]")+1,200)),TRIM(A558)),FIND("(",IF(LEFT(TRIM(A558),1)="[",TRIM(MID(TRIM(A558),FIND("]",TRIM(A558)&amp;"]")+1,200)),TRIM(A558))&amp;"(")-1)),IF(LEFT(TRIM(A558),1)="[",TRIM(MID(TRIM(A558),FIND("]",TRIM(A558)&amp;"]")+1,200)),TRIM(A558))))&gt;0,IF(RIGHT(IF(LEFT(TRIM(A558),1)="[",TRIM(MID(TRIM(A558),FIND("]",TRIM(A558)&amp;"]")+1,200)),TRIM(A558)),1)=")",TRIM(LEFT(IF(LEFT(TRIM(A558),1)="[",TRIM(MID(TRIM(A558),FIND("]",TRIM(A558)&amp;"]")+1,200)),TRIM(A558)),FIND("(",IF(LEFT(TRIM(A558),1)="[",TRIM(MID(TRIM(A558),FIND("]",TRIM(A558)&amp;"]")+1,200)),TRIM(A558))&amp;"(")-1)),IF(LEFT(TRIM(A558),1)="[",TRIM(MID(TRIM(A558),FIND("]",TRIM(A558)&amp;"]")+1,200)),TRIM(A558))),""))</f>
      </c>
      <c r="C558" s="17">
        <f>IF(B558&lt;&gt;"",B558,C557)</f>
      </c>
      <c r="D558" s="17">
        <f>IF(A558="","",IF(OR(LEFT(UPPER(TRIM(A558)),2)="Y:",LEFT(UPPER(TRIM(A558)),10)="YESTERDAY:"),"Y",IF(OR(LEFT(UPPER(TRIM(A558)),2)="T:",LEFT(UPPER(TRIM(A558)),6)="TODAY:"),"T",IF(OR(LEFT(UPPER(TRIM(A558)),2)="B:",LEFT(UPPER(TRIM(A558)),8)="BLOCKER:",LEFT(UPPER(TRIM(A558)),9)="BLOCKERS:",LEFT(UPPER(TRIM(A558)),8)="BLOCKED:"),"B",""))))</f>
      </c>
      <c r="E558" s="17">
        <f>IF(D558="","",TRIM(MID(A558,FIND(":",A558)+1,500)))</f>
      </c>
    </row>
    <row r="559">
      <c r="B559" s="17">
        <f>IF(A559="","",IF(COUNTIF(Roster[Name],IF(RIGHT(IF(LEFT(TRIM(A559),1)="[",TRIM(MID(TRIM(A559),FIND("]",TRIM(A559)&amp;"]")+1,200)),TRIM(A559)),1)=")",TRIM(LEFT(IF(LEFT(TRIM(A559),1)="[",TRIM(MID(TRIM(A559),FIND("]",TRIM(A559)&amp;"]")+1,200)),TRIM(A559)),FIND("(",IF(LEFT(TRIM(A559),1)="[",TRIM(MID(TRIM(A559),FIND("]",TRIM(A559)&amp;"]")+1,200)),TRIM(A559))&amp;"(")-1)),IF(LEFT(TRIM(A559),1)="[",TRIM(MID(TRIM(A559),FIND("]",TRIM(A559)&amp;"]")+1,200)),TRIM(A559))))&gt;0,IF(RIGHT(IF(LEFT(TRIM(A559),1)="[",TRIM(MID(TRIM(A559),FIND("]",TRIM(A559)&amp;"]")+1,200)),TRIM(A559)),1)=")",TRIM(LEFT(IF(LEFT(TRIM(A559),1)="[",TRIM(MID(TRIM(A559),FIND("]",TRIM(A559)&amp;"]")+1,200)),TRIM(A559)),FIND("(",IF(LEFT(TRIM(A559),1)="[",TRIM(MID(TRIM(A559),FIND("]",TRIM(A559)&amp;"]")+1,200)),TRIM(A559))&amp;"(")-1)),IF(LEFT(TRIM(A559),1)="[",TRIM(MID(TRIM(A559),FIND("]",TRIM(A559)&amp;"]")+1,200)),TRIM(A559))),""))</f>
      </c>
      <c r="C559" s="17">
        <f>IF(B559&lt;&gt;"",B559,C558)</f>
      </c>
      <c r="D559" s="17">
        <f>IF(A559="","",IF(OR(LEFT(UPPER(TRIM(A559)),2)="Y:",LEFT(UPPER(TRIM(A559)),10)="YESTERDAY:"),"Y",IF(OR(LEFT(UPPER(TRIM(A559)),2)="T:",LEFT(UPPER(TRIM(A559)),6)="TODAY:"),"T",IF(OR(LEFT(UPPER(TRIM(A559)),2)="B:",LEFT(UPPER(TRIM(A559)),8)="BLOCKER:",LEFT(UPPER(TRIM(A559)),9)="BLOCKERS:",LEFT(UPPER(TRIM(A559)),8)="BLOCKED:"),"B",""))))</f>
      </c>
      <c r="E559" s="17">
        <f>IF(D559="","",TRIM(MID(A559,FIND(":",A559)+1,500)))</f>
      </c>
    </row>
    <row r="560">
      <c r="B560" s="17">
        <f>IF(A560="","",IF(COUNTIF(Roster[Name],IF(RIGHT(IF(LEFT(TRIM(A560),1)="[",TRIM(MID(TRIM(A560),FIND("]",TRIM(A560)&amp;"]")+1,200)),TRIM(A560)),1)=")",TRIM(LEFT(IF(LEFT(TRIM(A560),1)="[",TRIM(MID(TRIM(A560),FIND("]",TRIM(A560)&amp;"]")+1,200)),TRIM(A560)),FIND("(",IF(LEFT(TRIM(A560),1)="[",TRIM(MID(TRIM(A560),FIND("]",TRIM(A560)&amp;"]")+1,200)),TRIM(A560))&amp;"(")-1)),IF(LEFT(TRIM(A560),1)="[",TRIM(MID(TRIM(A560),FIND("]",TRIM(A560)&amp;"]")+1,200)),TRIM(A560))))&gt;0,IF(RIGHT(IF(LEFT(TRIM(A560),1)="[",TRIM(MID(TRIM(A560),FIND("]",TRIM(A560)&amp;"]")+1,200)),TRIM(A560)),1)=")",TRIM(LEFT(IF(LEFT(TRIM(A560),1)="[",TRIM(MID(TRIM(A560),FIND("]",TRIM(A560)&amp;"]")+1,200)),TRIM(A560)),FIND("(",IF(LEFT(TRIM(A560),1)="[",TRIM(MID(TRIM(A560),FIND("]",TRIM(A560)&amp;"]")+1,200)),TRIM(A560))&amp;"(")-1)),IF(LEFT(TRIM(A560),1)="[",TRIM(MID(TRIM(A560),FIND("]",TRIM(A560)&amp;"]")+1,200)),TRIM(A560))),""))</f>
      </c>
      <c r="C560" s="17">
        <f>IF(B560&lt;&gt;"",B560,C559)</f>
      </c>
      <c r="D560" s="17">
        <f>IF(A560="","",IF(OR(LEFT(UPPER(TRIM(A560)),2)="Y:",LEFT(UPPER(TRIM(A560)),10)="YESTERDAY:"),"Y",IF(OR(LEFT(UPPER(TRIM(A560)),2)="T:",LEFT(UPPER(TRIM(A560)),6)="TODAY:"),"T",IF(OR(LEFT(UPPER(TRIM(A560)),2)="B:",LEFT(UPPER(TRIM(A560)),8)="BLOCKER:",LEFT(UPPER(TRIM(A560)),9)="BLOCKERS:",LEFT(UPPER(TRIM(A560)),8)="BLOCKED:"),"B",""))))</f>
      </c>
      <c r="E560" s="17">
        <f>IF(D560="","",TRIM(MID(A560,FIND(":",A560)+1,500)))</f>
      </c>
    </row>
    <row r="561">
      <c r="B561" s="17">
        <f>IF(A561="","",IF(COUNTIF(Roster[Name],IF(RIGHT(IF(LEFT(TRIM(A561),1)="[",TRIM(MID(TRIM(A561),FIND("]",TRIM(A561)&amp;"]")+1,200)),TRIM(A561)),1)=")",TRIM(LEFT(IF(LEFT(TRIM(A561),1)="[",TRIM(MID(TRIM(A561),FIND("]",TRIM(A561)&amp;"]")+1,200)),TRIM(A561)),FIND("(",IF(LEFT(TRIM(A561),1)="[",TRIM(MID(TRIM(A561),FIND("]",TRIM(A561)&amp;"]")+1,200)),TRIM(A561))&amp;"(")-1)),IF(LEFT(TRIM(A561),1)="[",TRIM(MID(TRIM(A561),FIND("]",TRIM(A561)&amp;"]")+1,200)),TRIM(A561))))&gt;0,IF(RIGHT(IF(LEFT(TRIM(A561),1)="[",TRIM(MID(TRIM(A561),FIND("]",TRIM(A561)&amp;"]")+1,200)),TRIM(A561)),1)=")",TRIM(LEFT(IF(LEFT(TRIM(A561),1)="[",TRIM(MID(TRIM(A561),FIND("]",TRIM(A561)&amp;"]")+1,200)),TRIM(A561)),FIND("(",IF(LEFT(TRIM(A561),1)="[",TRIM(MID(TRIM(A561),FIND("]",TRIM(A561)&amp;"]")+1,200)),TRIM(A561))&amp;"(")-1)),IF(LEFT(TRIM(A561),1)="[",TRIM(MID(TRIM(A561),FIND("]",TRIM(A561)&amp;"]")+1,200)),TRIM(A561))),""))</f>
      </c>
      <c r="C561" s="17">
        <f>IF(B561&lt;&gt;"",B561,C560)</f>
      </c>
      <c r="D561" s="17">
        <f>IF(A561="","",IF(OR(LEFT(UPPER(TRIM(A561)),2)="Y:",LEFT(UPPER(TRIM(A561)),10)="YESTERDAY:"),"Y",IF(OR(LEFT(UPPER(TRIM(A561)),2)="T:",LEFT(UPPER(TRIM(A561)),6)="TODAY:"),"T",IF(OR(LEFT(UPPER(TRIM(A561)),2)="B:",LEFT(UPPER(TRIM(A561)),8)="BLOCKER:",LEFT(UPPER(TRIM(A561)),9)="BLOCKERS:",LEFT(UPPER(TRIM(A561)),8)="BLOCKED:"),"B",""))))</f>
      </c>
      <c r="E561" s="17">
        <f>IF(D561="","",TRIM(MID(A561,FIND(":",A561)+1,500)))</f>
      </c>
    </row>
    <row r="562">
      <c r="B562" s="17">
        <f>IF(A562="","",IF(COUNTIF(Roster[Name],IF(RIGHT(IF(LEFT(TRIM(A562),1)="[",TRIM(MID(TRIM(A562),FIND("]",TRIM(A562)&amp;"]")+1,200)),TRIM(A562)),1)=")",TRIM(LEFT(IF(LEFT(TRIM(A562),1)="[",TRIM(MID(TRIM(A562),FIND("]",TRIM(A562)&amp;"]")+1,200)),TRIM(A562)),FIND("(",IF(LEFT(TRIM(A562),1)="[",TRIM(MID(TRIM(A562),FIND("]",TRIM(A562)&amp;"]")+1,200)),TRIM(A562))&amp;"(")-1)),IF(LEFT(TRIM(A562),1)="[",TRIM(MID(TRIM(A562),FIND("]",TRIM(A562)&amp;"]")+1,200)),TRIM(A562))))&gt;0,IF(RIGHT(IF(LEFT(TRIM(A562),1)="[",TRIM(MID(TRIM(A562),FIND("]",TRIM(A562)&amp;"]")+1,200)),TRIM(A562)),1)=")",TRIM(LEFT(IF(LEFT(TRIM(A562),1)="[",TRIM(MID(TRIM(A562),FIND("]",TRIM(A562)&amp;"]")+1,200)),TRIM(A562)),FIND("(",IF(LEFT(TRIM(A562),1)="[",TRIM(MID(TRIM(A562),FIND("]",TRIM(A562)&amp;"]")+1,200)),TRIM(A562))&amp;"(")-1)),IF(LEFT(TRIM(A562),1)="[",TRIM(MID(TRIM(A562),FIND("]",TRIM(A562)&amp;"]")+1,200)),TRIM(A562))),""))</f>
      </c>
      <c r="C562" s="17">
        <f>IF(B562&lt;&gt;"",B562,C561)</f>
      </c>
      <c r="D562" s="17">
        <f>IF(A562="","",IF(OR(LEFT(UPPER(TRIM(A562)),2)="Y:",LEFT(UPPER(TRIM(A562)),10)="YESTERDAY:"),"Y",IF(OR(LEFT(UPPER(TRIM(A562)),2)="T:",LEFT(UPPER(TRIM(A562)),6)="TODAY:"),"T",IF(OR(LEFT(UPPER(TRIM(A562)),2)="B:",LEFT(UPPER(TRIM(A562)),8)="BLOCKER:",LEFT(UPPER(TRIM(A562)),9)="BLOCKERS:",LEFT(UPPER(TRIM(A562)),8)="BLOCKED:"),"B",""))))</f>
      </c>
      <c r="E562" s="17">
        <f>IF(D562="","",TRIM(MID(A562,FIND(":",A562)+1,500)))</f>
      </c>
    </row>
    <row r="563">
      <c r="B563" s="17">
        <f>IF(A563="","",IF(COUNTIF(Roster[Name],IF(RIGHT(IF(LEFT(TRIM(A563),1)="[",TRIM(MID(TRIM(A563),FIND("]",TRIM(A563)&amp;"]")+1,200)),TRIM(A563)),1)=")",TRIM(LEFT(IF(LEFT(TRIM(A563),1)="[",TRIM(MID(TRIM(A563),FIND("]",TRIM(A563)&amp;"]")+1,200)),TRIM(A563)),FIND("(",IF(LEFT(TRIM(A563),1)="[",TRIM(MID(TRIM(A563),FIND("]",TRIM(A563)&amp;"]")+1,200)),TRIM(A563))&amp;"(")-1)),IF(LEFT(TRIM(A563),1)="[",TRIM(MID(TRIM(A563),FIND("]",TRIM(A563)&amp;"]")+1,200)),TRIM(A563))))&gt;0,IF(RIGHT(IF(LEFT(TRIM(A563),1)="[",TRIM(MID(TRIM(A563),FIND("]",TRIM(A563)&amp;"]")+1,200)),TRIM(A563)),1)=")",TRIM(LEFT(IF(LEFT(TRIM(A563),1)="[",TRIM(MID(TRIM(A563),FIND("]",TRIM(A563)&amp;"]")+1,200)),TRIM(A563)),FIND("(",IF(LEFT(TRIM(A563),1)="[",TRIM(MID(TRIM(A563),FIND("]",TRIM(A563)&amp;"]")+1,200)),TRIM(A563))&amp;"(")-1)),IF(LEFT(TRIM(A563),1)="[",TRIM(MID(TRIM(A563),FIND("]",TRIM(A563)&amp;"]")+1,200)),TRIM(A563))),""))</f>
      </c>
      <c r="C563" s="17">
        <f>IF(B563&lt;&gt;"",B563,C562)</f>
      </c>
      <c r="D563" s="17">
        <f>IF(A563="","",IF(OR(LEFT(UPPER(TRIM(A563)),2)="Y:",LEFT(UPPER(TRIM(A563)),10)="YESTERDAY:"),"Y",IF(OR(LEFT(UPPER(TRIM(A563)),2)="T:",LEFT(UPPER(TRIM(A563)),6)="TODAY:"),"T",IF(OR(LEFT(UPPER(TRIM(A563)),2)="B:",LEFT(UPPER(TRIM(A563)),8)="BLOCKER:",LEFT(UPPER(TRIM(A563)),9)="BLOCKERS:",LEFT(UPPER(TRIM(A563)),8)="BLOCKED:"),"B",""))))</f>
      </c>
      <c r="E563" s="17">
        <f>IF(D563="","",TRIM(MID(A563,FIND(":",A563)+1,500)))</f>
      </c>
    </row>
    <row r="564">
      <c r="B564" s="17">
        <f>IF(A564="","",IF(COUNTIF(Roster[Name],IF(RIGHT(IF(LEFT(TRIM(A564),1)="[",TRIM(MID(TRIM(A564),FIND("]",TRIM(A564)&amp;"]")+1,200)),TRIM(A564)),1)=")",TRIM(LEFT(IF(LEFT(TRIM(A564),1)="[",TRIM(MID(TRIM(A564),FIND("]",TRIM(A564)&amp;"]")+1,200)),TRIM(A564)),FIND("(",IF(LEFT(TRIM(A564),1)="[",TRIM(MID(TRIM(A564),FIND("]",TRIM(A564)&amp;"]")+1,200)),TRIM(A564))&amp;"(")-1)),IF(LEFT(TRIM(A564),1)="[",TRIM(MID(TRIM(A564),FIND("]",TRIM(A564)&amp;"]")+1,200)),TRIM(A564))))&gt;0,IF(RIGHT(IF(LEFT(TRIM(A564),1)="[",TRIM(MID(TRIM(A564),FIND("]",TRIM(A564)&amp;"]")+1,200)),TRIM(A564)),1)=")",TRIM(LEFT(IF(LEFT(TRIM(A564),1)="[",TRIM(MID(TRIM(A564),FIND("]",TRIM(A564)&amp;"]")+1,200)),TRIM(A564)),FIND("(",IF(LEFT(TRIM(A564),1)="[",TRIM(MID(TRIM(A564),FIND("]",TRIM(A564)&amp;"]")+1,200)),TRIM(A564))&amp;"(")-1)),IF(LEFT(TRIM(A564),1)="[",TRIM(MID(TRIM(A564),FIND("]",TRIM(A564)&amp;"]")+1,200)),TRIM(A564))),""))</f>
      </c>
      <c r="C564" s="17">
        <f>IF(B564&lt;&gt;"",B564,C563)</f>
      </c>
      <c r="D564" s="17">
        <f>IF(A564="","",IF(OR(LEFT(UPPER(TRIM(A564)),2)="Y:",LEFT(UPPER(TRIM(A564)),10)="YESTERDAY:"),"Y",IF(OR(LEFT(UPPER(TRIM(A564)),2)="T:",LEFT(UPPER(TRIM(A564)),6)="TODAY:"),"T",IF(OR(LEFT(UPPER(TRIM(A564)),2)="B:",LEFT(UPPER(TRIM(A564)),8)="BLOCKER:",LEFT(UPPER(TRIM(A564)),9)="BLOCKERS:",LEFT(UPPER(TRIM(A564)),8)="BLOCKED:"),"B",""))))</f>
      </c>
      <c r="E564" s="17">
        <f>IF(D564="","",TRIM(MID(A564,FIND(":",A564)+1,500)))</f>
      </c>
    </row>
    <row r="565">
      <c r="B565" s="17">
        <f>IF(A565="","",IF(COUNTIF(Roster[Name],IF(RIGHT(IF(LEFT(TRIM(A565),1)="[",TRIM(MID(TRIM(A565),FIND("]",TRIM(A565)&amp;"]")+1,200)),TRIM(A565)),1)=")",TRIM(LEFT(IF(LEFT(TRIM(A565),1)="[",TRIM(MID(TRIM(A565),FIND("]",TRIM(A565)&amp;"]")+1,200)),TRIM(A565)),FIND("(",IF(LEFT(TRIM(A565),1)="[",TRIM(MID(TRIM(A565),FIND("]",TRIM(A565)&amp;"]")+1,200)),TRIM(A565))&amp;"(")-1)),IF(LEFT(TRIM(A565),1)="[",TRIM(MID(TRIM(A565),FIND("]",TRIM(A565)&amp;"]")+1,200)),TRIM(A565))))&gt;0,IF(RIGHT(IF(LEFT(TRIM(A565),1)="[",TRIM(MID(TRIM(A565),FIND("]",TRIM(A565)&amp;"]")+1,200)),TRIM(A565)),1)=")",TRIM(LEFT(IF(LEFT(TRIM(A565),1)="[",TRIM(MID(TRIM(A565),FIND("]",TRIM(A565)&amp;"]")+1,200)),TRIM(A565)),FIND("(",IF(LEFT(TRIM(A565),1)="[",TRIM(MID(TRIM(A565),FIND("]",TRIM(A565)&amp;"]")+1,200)),TRIM(A565))&amp;"(")-1)),IF(LEFT(TRIM(A565),1)="[",TRIM(MID(TRIM(A565),FIND("]",TRIM(A565)&amp;"]")+1,200)),TRIM(A565))),""))</f>
      </c>
      <c r="C565" s="17">
        <f>IF(B565&lt;&gt;"",B565,C564)</f>
      </c>
      <c r="D565" s="17">
        <f>IF(A565="","",IF(OR(LEFT(UPPER(TRIM(A565)),2)="Y:",LEFT(UPPER(TRIM(A565)),10)="YESTERDAY:"),"Y",IF(OR(LEFT(UPPER(TRIM(A565)),2)="T:",LEFT(UPPER(TRIM(A565)),6)="TODAY:"),"T",IF(OR(LEFT(UPPER(TRIM(A565)),2)="B:",LEFT(UPPER(TRIM(A565)),8)="BLOCKER:",LEFT(UPPER(TRIM(A565)),9)="BLOCKERS:",LEFT(UPPER(TRIM(A565)),8)="BLOCKED:"),"B",""))))</f>
      </c>
      <c r="E565" s="17">
        <f>IF(D565="","",TRIM(MID(A565,FIND(":",A565)+1,500)))</f>
      </c>
    </row>
    <row r="566">
      <c r="B566" s="17">
        <f>IF(A566="","",IF(COUNTIF(Roster[Name],IF(RIGHT(IF(LEFT(TRIM(A566),1)="[",TRIM(MID(TRIM(A566),FIND("]",TRIM(A566)&amp;"]")+1,200)),TRIM(A566)),1)=")",TRIM(LEFT(IF(LEFT(TRIM(A566),1)="[",TRIM(MID(TRIM(A566),FIND("]",TRIM(A566)&amp;"]")+1,200)),TRIM(A566)),FIND("(",IF(LEFT(TRIM(A566),1)="[",TRIM(MID(TRIM(A566),FIND("]",TRIM(A566)&amp;"]")+1,200)),TRIM(A566))&amp;"(")-1)),IF(LEFT(TRIM(A566),1)="[",TRIM(MID(TRIM(A566),FIND("]",TRIM(A566)&amp;"]")+1,200)),TRIM(A566))))&gt;0,IF(RIGHT(IF(LEFT(TRIM(A566),1)="[",TRIM(MID(TRIM(A566),FIND("]",TRIM(A566)&amp;"]")+1,200)),TRIM(A566)),1)=")",TRIM(LEFT(IF(LEFT(TRIM(A566),1)="[",TRIM(MID(TRIM(A566),FIND("]",TRIM(A566)&amp;"]")+1,200)),TRIM(A566)),FIND("(",IF(LEFT(TRIM(A566),1)="[",TRIM(MID(TRIM(A566),FIND("]",TRIM(A566)&amp;"]")+1,200)),TRIM(A566))&amp;"(")-1)),IF(LEFT(TRIM(A566),1)="[",TRIM(MID(TRIM(A566),FIND("]",TRIM(A566)&amp;"]")+1,200)),TRIM(A566))),""))</f>
      </c>
      <c r="C566" s="17">
        <f>IF(B566&lt;&gt;"",B566,C565)</f>
      </c>
      <c r="D566" s="17">
        <f>IF(A566="","",IF(OR(LEFT(UPPER(TRIM(A566)),2)="Y:",LEFT(UPPER(TRIM(A566)),10)="YESTERDAY:"),"Y",IF(OR(LEFT(UPPER(TRIM(A566)),2)="T:",LEFT(UPPER(TRIM(A566)),6)="TODAY:"),"T",IF(OR(LEFT(UPPER(TRIM(A566)),2)="B:",LEFT(UPPER(TRIM(A566)),8)="BLOCKER:",LEFT(UPPER(TRIM(A566)),9)="BLOCKERS:",LEFT(UPPER(TRIM(A566)),8)="BLOCKED:"),"B",""))))</f>
      </c>
      <c r="E566" s="17">
        <f>IF(D566="","",TRIM(MID(A566,FIND(":",A566)+1,500)))</f>
      </c>
    </row>
    <row r="567">
      <c r="B567" s="17">
        <f>IF(A567="","",IF(COUNTIF(Roster[Name],IF(RIGHT(IF(LEFT(TRIM(A567),1)="[",TRIM(MID(TRIM(A567),FIND("]",TRIM(A567)&amp;"]")+1,200)),TRIM(A567)),1)=")",TRIM(LEFT(IF(LEFT(TRIM(A567),1)="[",TRIM(MID(TRIM(A567),FIND("]",TRIM(A567)&amp;"]")+1,200)),TRIM(A567)),FIND("(",IF(LEFT(TRIM(A567),1)="[",TRIM(MID(TRIM(A567),FIND("]",TRIM(A567)&amp;"]")+1,200)),TRIM(A567))&amp;"(")-1)),IF(LEFT(TRIM(A567),1)="[",TRIM(MID(TRIM(A567),FIND("]",TRIM(A567)&amp;"]")+1,200)),TRIM(A567))))&gt;0,IF(RIGHT(IF(LEFT(TRIM(A567),1)="[",TRIM(MID(TRIM(A567),FIND("]",TRIM(A567)&amp;"]")+1,200)),TRIM(A567)),1)=")",TRIM(LEFT(IF(LEFT(TRIM(A567),1)="[",TRIM(MID(TRIM(A567),FIND("]",TRIM(A567)&amp;"]")+1,200)),TRIM(A567)),FIND("(",IF(LEFT(TRIM(A567),1)="[",TRIM(MID(TRIM(A567),FIND("]",TRIM(A567)&amp;"]")+1,200)),TRIM(A567))&amp;"(")-1)),IF(LEFT(TRIM(A567),1)="[",TRIM(MID(TRIM(A567),FIND("]",TRIM(A567)&amp;"]")+1,200)),TRIM(A567))),""))</f>
      </c>
      <c r="C567" s="17">
        <f>IF(B567&lt;&gt;"",B567,C566)</f>
      </c>
      <c r="D567" s="17">
        <f>IF(A567="","",IF(OR(LEFT(UPPER(TRIM(A567)),2)="Y:",LEFT(UPPER(TRIM(A567)),10)="YESTERDAY:"),"Y",IF(OR(LEFT(UPPER(TRIM(A567)),2)="T:",LEFT(UPPER(TRIM(A567)),6)="TODAY:"),"T",IF(OR(LEFT(UPPER(TRIM(A567)),2)="B:",LEFT(UPPER(TRIM(A567)),8)="BLOCKER:",LEFT(UPPER(TRIM(A567)),9)="BLOCKERS:",LEFT(UPPER(TRIM(A567)),8)="BLOCKED:"),"B",""))))</f>
      </c>
      <c r="E567" s="17">
        <f>IF(D567="","",TRIM(MID(A567,FIND(":",A567)+1,500)))</f>
      </c>
    </row>
    <row r="568">
      <c r="B568" s="17">
        <f>IF(A568="","",IF(COUNTIF(Roster[Name],IF(RIGHT(IF(LEFT(TRIM(A568),1)="[",TRIM(MID(TRIM(A568),FIND("]",TRIM(A568)&amp;"]")+1,200)),TRIM(A568)),1)=")",TRIM(LEFT(IF(LEFT(TRIM(A568),1)="[",TRIM(MID(TRIM(A568),FIND("]",TRIM(A568)&amp;"]")+1,200)),TRIM(A568)),FIND("(",IF(LEFT(TRIM(A568),1)="[",TRIM(MID(TRIM(A568),FIND("]",TRIM(A568)&amp;"]")+1,200)),TRIM(A568))&amp;"(")-1)),IF(LEFT(TRIM(A568),1)="[",TRIM(MID(TRIM(A568),FIND("]",TRIM(A568)&amp;"]")+1,200)),TRIM(A568))))&gt;0,IF(RIGHT(IF(LEFT(TRIM(A568),1)="[",TRIM(MID(TRIM(A568),FIND("]",TRIM(A568)&amp;"]")+1,200)),TRIM(A568)),1)=")",TRIM(LEFT(IF(LEFT(TRIM(A568),1)="[",TRIM(MID(TRIM(A568),FIND("]",TRIM(A568)&amp;"]")+1,200)),TRIM(A568)),FIND("(",IF(LEFT(TRIM(A568),1)="[",TRIM(MID(TRIM(A568),FIND("]",TRIM(A568)&amp;"]")+1,200)),TRIM(A568))&amp;"(")-1)),IF(LEFT(TRIM(A568),1)="[",TRIM(MID(TRIM(A568),FIND("]",TRIM(A568)&amp;"]")+1,200)),TRIM(A568))),""))</f>
      </c>
      <c r="C568" s="17">
        <f>IF(B568&lt;&gt;"",B568,C567)</f>
      </c>
      <c r="D568" s="17">
        <f>IF(A568="","",IF(OR(LEFT(UPPER(TRIM(A568)),2)="Y:",LEFT(UPPER(TRIM(A568)),10)="YESTERDAY:"),"Y",IF(OR(LEFT(UPPER(TRIM(A568)),2)="T:",LEFT(UPPER(TRIM(A568)),6)="TODAY:"),"T",IF(OR(LEFT(UPPER(TRIM(A568)),2)="B:",LEFT(UPPER(TRIM(A568)),8)="BLOCKER:",LEFT(UPPER(TRIM(A568)),9)="BLOCKERS:",LEFT(UPPER(TRIM(A568)),8)="BLOCKED:"),"B",""))))</f>
      </c>
      <c r="E568" s="17">
        <f>IF(D568="","",TRIM(MID(A568,FIND(":",A568)+1,500)))</f>
      </c>
    </row>
    <row r="569">
      <c r="B569" s="17">
        <f>IF(A569="","",IF(COUNTIF(Roster[Name],IF(RIGHT(IF(LEFT(TRIM(A569),1)="[",TRIM(MID(TRIM(A569),FIND("]",TRIM(A569)&amp;"]")+1,200)),TRIM(A569)),1)=")",TRIM(LEFT(IF(LEFT(TRIM(A569),1)="[",TRIM(MID(TRIM(A569),FIND("]",TRIM(A569)&amp;"]")+1,200)),TRIM(A569)),FIND("(",IF(LEFT(TRIM(A569),1)="[",TRIM(MID(TRIM(A569),FIND("]",TRIM(A569)&amp;"]")+1,200)),TRIM(A569))&amp;"(")-1)),IF(LEFT(TRIM(A569),1)="[",TRIM(MID(TRIM(A569),FIND("]",TRIM(A569)&amp;"]")+1,200)),TRIM(A569))))&gt;0,IF(RIGHT(IF(LEFT(TRIM(A569),1)="[",TRIM(MID(TRIM(A569),FIND("]",TRIM(A569)&amp;"]")+1,200)),TRIM(A569)),1)=")",TRIM(LEFT(IF(LEFT(TRIM(A569),1)="[",TRIM(MID(TRIM(A569),FIND("]",TRIM(A569)&amp;"]")+1,200)),TRIM(A569)),FIND("(",IF(LEFT(TRIM(A569),1)="[",TRIM(MID(TRIM(A569),FIND("]",TRIM(A569)&amp;"]")+1,200)),TRIM(A569))&amp;"(")-1)),IF(LEFT(TRIM(A569),1)="[",TRIM(MID(TRIM(A569),FIND("]",TRIM(A569)&amp;"]")+1,200)),TRIM(A569))),""))</f>
      </c>
      <c r="C569" s="17">
        <f>IF(B569&lt;&gt;"",B569,C568)</f>
      </c>
      <c r="D569" s="17">
        <f>IF(A569="","",IF(OR(LEFT(UPPER(TRIM(A569)),2)="Y:",LEFT(UPPER(TRIM(A569)),10)="YESTERDAY:"),"Y",IF(OR(LEFT(UPPER(TRIM(A569)),2)="T:",LEFT(UPPER(TRIM(A569)),6)="TODAY:"),"T",IF(OR(LEFT(UPPER(TRIM(A569)),2)="B:",LEFT(UPPER(TRIM(A569)),8)="BLOCKER:",LEFT(UPPER(TRIM(A569)),9)="BLOCKERS:",LEFT(UPPER(TRIM(A569)),8)="BLOCKED:"),"B",""))))</f>
      </c>
      <c r="E569" s="17">
        <f>IF(D569="","",TRIM(MID(A569,FIND(":",A569)+1,500)))</f>
      </c>
    </row>
    <row r="570">
      <c r="B570" s="17">
        <f>IF(A570="","",IF(COUNTIF(Roster[Name],IF(RIGHT(IF(LEFT(TRIM(A570),1)="[",TRIM(MID(TRIM(A570),FIND("]",TRIM(A570)&amp;"]")+1,200)),TRIM(A570)),1)=")",TRIM(LEFT(IF(LEFT(TRIM(A570),1)="[",TRIM(MID(TRIM(A570),FIND("]",TRIM(A570)&amp;"]")+1,200)),TRIM(A570)),FIND("(",IF(LEFT(TRIM(A570),1)="[",TRIM(MID(TRIM(A570),FIND("]",TRIM(A570)&amp;"]")+1,200)),TRIM(A570))&amp;"(")-1)),IF(LEFT(TRIM(A570),1)="[",TRIM(MID(TRIM(A570),FIND("]",TRIM(A570)&amp;"]")+1,200)),TRIM(A570))))&gt;0,IF(RIGHT(IF(LEFT(TRIM(A570),1)="[",TRIM(MID(TRIM(A570),FIND("]",TRIM(A570)&amp;"]")+1,200)),TRIM(A570)),1)=")",TRIM(LEFT(IF(LEFT(TRIM(A570),1)="[",TRIM(MID(TRIM(A570),FIND("]",TRIM(A570)&amp;"]")+1,200)),TRIM(A570)),FIND("(",IF(LEFT(TRIM(A570),1)="[",TRIM(MID(TRIM(A570),FIND("]",TRIM(A570)&amp;"]")+1,200)),TRIM(A570))&amp;"(")-1)),IF(LEFT(TRIM(A570),1)="[",TRIM(MID(TRIM(A570),FIND("]",TRIM(A570)&amp;"]")+1,200)),TRIM(A570))),""))</f>
      </c>
      <c r="C570" s="17">
        <f>IF(B570&lt;&gt;"",B570,C569)</f>
      </c>
      <c r="D570" s="17">
        <f>IF(A570="","",IF(OR(LEFT(UPPER(TRIM(A570)),2)="Y:",LEFT(UPPER(TRIM(A570)),10)="YESTERDAY:"),"Y",IF(OR(LEFT(UPPER(TRIM(A570)),2)="T:",LEFT(UPPER(TRIM(A570)),6)="TODAY:"),"T",IF(OR(LEFT(UPPER(TRIM(A570)),2)="B:",LEFT(UPPER(TRIM(A570)),8)="BLOCKER:",LEFT(UPPER(TRIM(A570)),9)="BLOCKERS:",LEFT(UPPER(TRIM(A570)),8)="BLOCKED:"),"B",""))))</f>
      </c>
      <c r="E570" s="17">
        <f>IF(D570="","",TRIM(MID(A570,FIND(":",A570)+1,500)))</f>
      </c>
    </row>
    <row r="571">
      <c r="B571" s="17">
        <f>IF(A571="","",IF(COUNTIF(Roster[Name],IF(RIGHT(IF(LEFT(TRIM(A571),1)="[",TRIM(MID(TRIM(A571),FIND("]",TRIM(A571)&amp;"]")+1,200)),TRIM(A571)),1)=")",TRIM(LEFT(IF(LEFT(TRIM(A571),1)="[",TRIM(MID(TRIM(A571),FIND("]",TRIM(A571)&amp;"]")+1,200)),TRIM(A571)),FIND("(",IF(LEFT(TRIM(A571),1)="[",TRIM(MID(TRIM(A571),FIND("]",TRIM(A571)&amp;"]")+1,200)),TRIM(A571))&amp;"(")-1)),IF(LEFT(TRIM(A571),1)="[",TRIM(MID(TRIM(A571),FIND("]",TRIM(A571)&amp;"]")+1,200)),TRIM(A571))))&gt;0,IF(RIGHT(IF(LEFT(TRIM(A571),1)="[",TRIM(MID(TRIM(A571),FIND("]",TRIM(A571)&amp;"]")+1,200)),TRIM(A571)),1)=")",TRIM(LEFT(IF(LEFT(TRIM(A571),1)="[",TRIM(MID(TRIM(A571),FIND("]",TRIM(A571)&amp;"]")+1,200)),TRIM(A571)),FIND("(",IF(LEFT(TRIM(A571),1)="[",TRIM(MID(TRIM(A571),FIND("]",TRIM(A571)&amp;"]")+1,200)),TRIM(A571))&amp;"(")-1)),IF(LEFT(TRIM(A571),1)="[",TRIM(MID(TRIM(A571),FIND("]",TRIM(A571)&amp;"]")+1,200)),TRIM(A571))),""))</f>
      </c>
      <c r="C571" s="17">
        <f>IF(B571&lt;&gt;"",B571,C570)</f>
      </c>
      <c r="D571" s="17">
        <f>IF(A571="","",IF(OR(LEFT(UPPER(TRIM(A571)),2)="Y:",LEFT(UPPER(TRIM(A571)),10)="YESTERDAY:"),"Y",IF(OR(LEFT(UPPER(TRIM(A571)),2)="T:",LEFT(UPPER(TRIM(A571)),6)="TODAY:"),"T",IF(OR(LEFT(UPPER(TRIM(A571)),2)="B:",LEFT(UPPER(TRIM(A571)),8)="BLOCKER:",LEFT(UPPER(TRIM(A571)),9)="BLOCKERS:",LEFT(UPPER(TRIM(A571)),8)="BLOCKED:"),"B",""))))</f>
      </c>
      <c r="E571" s="17">
        <f>IF(D571="","",TRIM(MID(A571,FIND(":",A571)+1,500)))</f>
      </c>
    </row>
    <row r="572">
      <c r="B572" s="17">
        <f>IF(A572="","",IF(COUNTIF(Roster[Name],IF(RIGHT(IF(LEFT(TRIM(A572),1)="[",TRIM(MID(TRIM(A572),FIND("]",TRIM(A572)&amp;"]")+1,200)),TRIM(A572)),1)=")",TRIM(LEFT(IF(LEFT(TRIM(A572),1)="[",TRIM(MID(TRIM(A572),FIND("]",TRIM(A572)&amp;"]")+1,200)),TRIM(A572)),FIND("(",IF(LEFT(TRIM(A572),1)="[",TRIM(MID(TRIM(A572),FIND("]",TRIM(A572)&amp;"]")+1,200)),TRIM(A572))&amp;"(")-1)),IF(LEFT(TRIM(A572),1)="[",TRIM(MID(TRIM(A572),FIND("]",TRIM(A572)&amp;"]")+1,200)),TRIM(A572))))&gt;0,IF(RIGHT(IF(LEFT(TRIM(A572),1)="[",TRIM(MID(TRIM(A572),FIND("]",TRIM(A572)&amp;"]")+1,200)),TRIM(A572)),1)=")",TRIM(LEFT(IF(LEFT(TRIM(A572),1)="[",TRIM(MID(TRIM(A572),FIND("]",TRIM(A572)&amp;"]")+1,200)),TRIM(A572)),FIND("(",IF(LEFT(TRIM(A572),1)="[",TRIM(MID(TRIM(A572),FIND("]",TRIM(A572)&amp;"]")+1,200)),TRIM(A572))&amp;"(")-1)),IF(LEFT(TRIM(A572),1)="[",TRIM(MID(TRIM(A572),FIND("]",TRIM(A572)&amp;"]")+1,200)),TRIM(A572))),""))</f>
      </c>
      <c r="C572" s="17">
        <f>IF(B572&lt;&gt;"",B572,C571)</f>
      </c>
      <c r="D572" s="17">
        <f>IF(A572="","",IF(OR(LEFT(UPPER(TRIM(A572)),2)="Y:",LEFT(UPPER(TRIM(A572)),10)="YESTERDAY:"),"Y",IF(OR(LEFT(UPPER(TRIM(A572)),2)="T:",LEFT(UPPER(TRIM(A572)),6)="TODAY:"),"T",IF(OR(LEFT(UPPER(TRIM(A572)),2)="B:",LEFT(UPPER(TRIM(A572)),8)="BLOCKER:",LEFT(UPPER(TRIM(A572)),9)="BLOCKERS:",LEFT(UPPER(TRIM(A572)),8)="BLOCKED:"),"B",""))))</f>
      </c>
      <c r="E572" s="17">
        <f>IF(D572="","",TRIM(MID(A572,FIND(":",A572)+1,500)))</f>
      </c>
    </row>
    <row r="573">
      <c r="B573" s="17">
        <f>IF(A573="","",IF(COUNTIF(Roster[Name],IF(RIGHT(IF(LEFT(TRIM(A573),1)="[",TRIM(MID(TRIM(A573),FIND("]",TRIM(A573)&amp;"]")+1,200)),TRIM(A573)),1)=")",TRIM(LEFT(IF(LEFT(TRIM(A573),1)="[",TRIM(MID(TRIM(A573),FIND("]",TRIM(A573)&amp;"]")+1,200)),TRIM(A573)),FIND("(",IF(LEFT(TRIM(A573),1)="[",TRIM(MID(TRIM(A573),FIND("]",TRIM(A573)&amp;"]")+1,200)),TRIM(A573))&amp;"(")-1)),IF(LEFT(TRIM(A573),1)="[",TRIM(MID(TRIM(A573),FIND("]",TRIM(A573)&amp;"]")+1,200)),TRIM(A573))))&gt;0,IF(RIGHT(IF(LEFT(TRIM(A573),1)="[",TRIM(MID(TRIM(A573),FIND("]",TRIM(A573)&amp;"]")+1,200)),TRIM(A573)),1)=")",TRIM(LEFT(IF(LEFT(TRIM(A573),1)="[",TRIM(MID(TRIM(A573),FIND("]",TRIM(A573)&amp;"]")+1,200)),TRIM(A573)),FIND("(",IF(LEFT(TRIM(A573),1)="[",TRIM(MID(TRIM(A573),FIND("]",TRIM(A573)&amp;"]")+1,200)),TRIM(A573))&amp;"(")-1)),IF(LEFT(TRIM(A573),1)="[",TRIM(MID(TRIM(A573),FIND("]",TRIM(A573)&amp;"]")+1,200)),TRIM(A573))),""))</f>
      </c>
      <c r="C573" s="17">
        <f>IF(B573&lt;&gt;"",B573,C572)</f>
      </c>
      <c r="D573" s="17">
        <f>IF(A573="","",IF(OR(LEFT(UPPER(TRIM(A573)),2)="Y:",LEFT(UPPER(TRIM(A573)),10)="YESTERDAY:"),"Y",IF(OR(LEFT(UPPER(TRIM(A573)),2)="T:",LEFT(UPPER(TRIM(A573)),6)="TODAY:"),"T",IF(OR(LEFT(UPPER(TRIM(A573)),2)="B:",LEFT(UPPER(TRIM(A573)),8)="BLOCKER:",LEFT(UPPER(TRIM(A573)),9)="BLOCKERS:",LEFT(UPPER(TRIM(A573)),8)="BLOCKED:"),"B",""))))</f>
      </c>
      <c r="E573" s="17">
        <f>IF(D573="","",TRIM(MID(A573,FIND(":",A573)+1,500)))</f>
      </c>
    </row>
    <row r="574">
      <c r="B574" s="17">
        <f>IF(A574="","",IF(COUNTIF(Roster[Name],IF(RIGHT(IF(LEFT(TRIM(A574),1)="[",TRIM(MID(TRIM(A574),FIND("]",TRIM(A574)&amp;"]")+1,200)),TRIM(A574)),1)=")",TRIM(LEFT(IF(LEFT(TRIM(A574),1)="[",TRIM(MID(TRIM(A574),FIND("]",TRIM(A574)&amp;"]")+1,200)),TRIM(A574)),FIND("(",IF(LEFT(TRIM(A574),1)="[",TRIM(MID(TRIM(A574),FIND("]",TRIM(A574)&amp;"]")+1,200)),TRIM(A574))&amp;"(")-1)),IF(LEFT(TRIM(A574),1)="[",TRIM(MID(TRIM(A574),FIND("]",TRIM(A574)&amp;"]")+1,200)),TRIM(A574))))&gt;0,IF(RIGHT(IF(LEFT(TRIM(A574),1)="[",TRIM(MID(TRIM(A574),FIND("]",TRIM(A574)&amp;"]")+1,200)),TRIM(A574)),1)=")",TRIM(LEFT(IF(LEFT(TRIM(A574),1)="[",TRIM(MID(TRIM(A574),FIND("]",TRIM(A574)&amp;"]")+1,200)),TRIM(A574)),FIND("(",IF(LEFT(TRIM(A574),1)="[",TRIM(MID(TRIM(A574),FIND("]",TRIM(A574)&amp;"]")+1,200)),TRIM(A574))&amp;"(")-1)),IF(LEFT(TRIM(A574),1)="[",TRIM(MID(TRIM(A574),FIND("]",TRIM(A574)&amp;"]")+1,200)),TRIM(A574))),""))</f>
      </c>
      <c r="C574" s="17">
        <f>IF(B574&lt;&gt;"",B574,C573)</f>
      </c>
      <c r="D574" s="17">
        <f>IF(A574="","",IF(OR(LEFT(UPPER(TRIM(A574)),2)="Y:",LEFT(UPPER(TRIM(A574)),10)="YESTERDAY:"),"Y",IF(OR(LEFT(UPPER(TRIM(A574)),2)="T:",LEFT(UPPER(TRIM(A574)),6)="TODAY:"),"T",IF(OR(LEFT(UPPER(TRIM(A574)),2)="B:",LEFT(UPPER(TRIM(A574)),8)="BLOCKER:",LEFT(UPPER(TRIM(A574)),9)="BLOCKERS:",LEFT(UPPER(TRIM(A574)),8)="BLOCKED:"),"B",""))))</f>
      </c>
      <c r="E574" s="17">
        <f>IF(D574="","",TRIM(MID(A574,FIND(":",A574)+1,500)))</f>
      </c>
    </row>
    <row r="575">
      <c r="B575" s="17">
        <f>IF(A575="","",IF(COUNTIF(Roster[Name],IF(RIGHT(IF(LEFT(TRIM(A575),1)="[",TRIM(MID(TRIM(A575),FIND("]",TRIM(A575)&amp;"]")+1,200)),TRIM(A575)),1)=")",TRIM(LEFT(IF(LEFT(TRIM(A575),1)="[",TRIM(MID(TRIM(A575),FIND("]",TRIM(A575)&amp;"]")+1,200)),TRIM(A575)),FIND("(",IF(LEFT(TRIM(A575),1)="[",TRIM(MID(TRIM(A575),FIND("]",TRIM(A575)&amp;"]")+1,200)),TRIM(A575))&amp;"(")-1)),IF(LEFT(TRIM(A575),1)="[",TRIM(MID(TRIM(A575),FIND("]",TRIM(A575)&amp;"]")+1,200)),TRIM(A575))))&gt;0,IF(RIGHT(IF(LEFT(TRIM(A575),1)="[",TRIM(MID(TRIM(A575),FIND("]",TRIM(A575)&amp;"]")+1,200)),TRIM(A575)),1)=")",TRIM(LEFT(IF(LEFT(TRIM(A575),1)="[",TRIM(MID(TRIM(A575),FIND("]",TRIM(A575)&amp;"]")+1,200)),TRIM(A575)),FIND("(",IF(LEFT(TRIM(A575),1)="[",TRIM(MID(TRIM(A575),FIND("]",TRIM(A575)&amp;"]")+1,200)),TRIM(A575))&amp;"(")-1)),IF(LEFT(TRIM(A575),1)="[",TRIM(MID(TRIM(A575),FIND("]",TRIM(A575)&amp;"]")+1,200)),TRIM(A575))),""))</f>
      </c>
      <c r="C575" s="17">
        <f>IF(B575&lt;&gt;"",B575,C574)</f>
      </c>
      <c r="D575" s="17">
        <f>IF(A575="","",IF(OR(LEFT(UPPER(TRIM(A575)),2)="Y:",LEFT(UPPER(TRIM(A575)),10)="YESTERDAY:"),"Y",IF(OR(LEFT(UPPER(TRIM(A575)),2)="T:",LEFT(UPPER(TRIM(A575)),6)="TODAY:"),"T",IF(OR(LEFT(UPPER(TRIM(A575)),2)="B:",LEFT(UPPER(TRIM(A575)),8)="BLOCKER:",LEFT(UPPER(TRIM(A575)),9)="BLOCKERS:",LEFT(UPPER(TRIM(A575)),8)="BLOCKED:"),"B",""))))</f>
      </c>
      <c r="E575" s="17">
        <f>IF(D575="","",TRIM(MID(A575,FIND(":",A575)+1,500)))</f>
      </c>
    </row>
    <row r="576">
      <c r="B576" s="17">
        <f>IF(A576="","",IF(COUNTIF(Roster[Name],IF(RIGHT(IF(LEFT(TRIM(A576),1)="[",TRIM(MID(TRIM(A576),FIND("]",TRIM(A576)&amp;"]")+1,200)),TRIM(A576)),1)=")",TRIM(LEFT(IF(LEFT(TRIM(A576),1)="[",TRIM(MID(TRIM(A576),FIND("]",TRIM(A576)&amp;"]")+1,200)),TRIM(A576)),FIND("(",IF(LEFT(TRIM(A576),1)="[",TRIM(MID(TRIM(A576),FIND("]",TRIM(A576)&amp;"]")+1,200)),TRIM(A576))&amp;"(")-1)),IF(LEFT(TRIM(A576),1)="[",TRIM(MID(TRIM(A576),FIND("]",TRIM(A576)&amp;"]")+1,200)),TRIM(A576))))&gt;0,IF(RIGHT(IF(LEFT(TRIM(A576),1)="[",TRIM(MID(TRIM(A576),FIND("]",TRIM(A576)&amp;"]")+1,200)),TRIM(A576)),1)=")",TRIM(LEFT(IF(LEFT(TRIM(A576),1)="[",TRIM(MID(TRIM(A576),FIND("]",TRIM(A576)&amp;"]")+1,200)),TRIM(A576)),FIND("(",IF(LEFT(TRIM(A576),1)="[",TRIM(MID(TRIM(A576),FIND("]",TRIM(A576)&amp;"]")+1,200)),TRIM(A576))&amp;"(")-1)),IF(LEFT(TRIM(A576),1)="[",TRIM(MID(TRIM(A576),FIND("]",TRIM(A576)&amp;"]")+1,200)),TRIM(A576))),""))</f>
      </c>
      <c r="C576" s="17">
        <f>IF(B576&lt;&gt;"",B576,C575)</f>
      </c>
      <c r="D576" s="17">
        <f>IF(A576="","",IF(OR(LEFT(UPPER(TRIM(A576)),2)="Y:",LEFT(UPPER(TRIM(A576)),10)="YESTERDAY:"),"Y",IF(OR(LEFT(UPPER(TRIM(A576)),2)="T:",LEFT(UPPER(TRIM(A576)),6)="TODAY:"),"T",IF(OR(LEFT(UPPER(TRIM(A576)),2)="B:",LEFT(UPPER(TRIM(A576)),8)="BLOCKER:",LEFT(UPPER(TRIM(A576)),9)="BLOCKERS:",LEFT(UPPER(TRIM(A576)),8)="BLOCKED:"),"B",""))))</f>
      </c>
      <c r="E576" s="17">
        <f>IF(D576="","",TRIM(MID(A576,FIND(":",A576)+1,500)))</f>
      </c>
    </row>
    <row r="577">
      <c r="B577" s="17">
        <f>IF(A577="","",IF(COUNTIF(Roster[Name],IF(RIGHT(IF(LEFT(TRIM(A577),1)="[",TRIM(MID(TRIM(A577),FIND("]",TRIM(A577)&amp;"]")+1,200)),TRIM(A577)),1)=")",TRIM(LEFT(IF(LEFT(TRIM(A577),1)="[",TRIM(MID(TRIM(A577),FIND("]",TRIM(A577)&amp;"]")+1,200)),TRIM(A577)),FIND("(",IF(LEFT(TRIM(A577),1)="[",TRIM(MID(TRIM(A577),FIND("]",TRIM(A577)&amp;"]")+1,200)),TRIM(A577))&amp;"(")-1)),IF(LEFT(TRIM(A577),1)="[",TRIM(MID(TRIM(A577),FIND("]",TRIM(A577)&amp;"]")+1,200)),TRIM(A577))))&gt;0,IF(RIGHT(IF(LEFT(TRIM(A577),1)="[",TRIM(MID(TRIM(A577),FIND("]",TRIM(A577)&amp;"]")+1,200)),TRIM(A577)),1)=")",TRIM(LEFT(IF(LEFT(TRIM(A577),1)="[",TRIM(MID(TRIM(A577),FIND("]",TRIM(A577)&amp;"]")+1,200)),TRIM(A577)),FIND("(",IF(LEFT(TRIM(A577),1)="[",TRIM(MID(TRIM(A577),FIND("]",TRIM(A577)&amp;"]")+1,200)),TRIM(A577))&amp;"(")-1)),IF(LEFT(TRIM(A577),1)="[",TRIM(MID(TRIM(A577),FIND("]",TRIM(A577)&amp;"]")+1,200)),TRIM(A577))),""))</f>
      </c>
      <c r="C577" s="17">
        <f>IF(B577&lt;&gt;"",B577,C576)</f>
      </c>
      <c r="D577" s="17">
        <f>IF(A577="","",IF(OR(LEFT(UPPER(TRIM(A577)),2)="Y:",LEFT(UPPER(TRIM(A577)),10)="YESTERDAY:"),"Y",IF(OR(LEFT(UPPER(TRIM(A577)),2)="T:",LEFT(UPPER(TRIM(A577)),6)="TODAY:"),"T",IF(OR(LEFT(UPPER(TRIM(A577)),2)="B:",LEFT(UPPER(TRIM(A577)),8)="BLOCKER:",LEFT(UPPER(TRIM(A577)),9)="BLOCKERS:",LEFT(UPPER(TRIM(A577)),8)="BLOCKED:"),"B",""))))</f>
      </c>
      <c r="E577" s="17">
        <f>IF(D577="","",TRIM(MID(A577,FIND(":",A577)+1,500)))</f>
      </c>
    </row>
    <row r="578">
      <c r="B578" s="17">
        <f>IF(A578="","",IF(COUNTIF(Roster[Name],IF(RIGHT(IF(LEFT(TRIM(A578),1)="[",TRIM(MID(TRIM(A578),FIND("]",TRIM(A578)&amp;"]")+1,200)),TRIM(A578)),1)=")",TRIM(LEFT(IF(LEFT(TRIM(A578),1)="[",TRIM(MID(TRIM(A578),FIND("]",TRIM(A578)&amp;"]")+1,200)),TRIM(A578)),FIND("(",IF(LEFT(TRIM(A578),1)="[",TRIM(MID(TRIM(A578),FIND("]",TRIM(A578)&amp;"]")+1,200)),TRIM(A578))&amp;"(")-1)),IF(LEFT(TRIM(A578),1)="[",TRIM(MID(TRIM(A578),FIND("]",TRIM(A578)&amp;"]")+1,200)),TRIM(A578))))&gt;0,IF(RIGHT(IF(LEFT(TRIM(A578),1)="[",TRIM(MID(TRIM(A578),FIND("]",TRIM(A578)&amp;"]")+1,200)),TRIM(A578)),1)=")",TRIM(LEFT(IF(LEFT(TRIM(A578),1)="[",TRIM(MID(TRIM(A578),FIND("]",TRIM(A578)&amp;"]")+1,200)),TRIM(A578)),FIND("(",IF(LEFT(TRIM(A578),1)="[",TRIM(MID(TRIM(A578),FIND("]",TRIM(A578)&amp;"]")+1,200)),TRIM(A578))&amp;"(")-1)),IF(LEFT(TRIM(A578),1)="[",TRIM(MID(TRIM(A578),FIND("]",TRIM(A578)&amp;"]")+1,200)),TRIM(A578))),""))</f>
      </c>
      <c r="C578" s="17">
        <f>IF(B578&lt;&gt;"",B578,C577)</f>
      </c>
      <c r="D578" s="17">
        <f>IF(A578="","",IF(OR(LEFT(UPPER(TRIM(A578)),2)="Y:",LEFT(UPPER(TRIM(A578)),10)="YESTERDAY:"),"Y",IF(OR(LEFT(UPPER(TRIM(A578)),2)="T:",LEFT(UPPER(TRIM(A578)),6)="TODAY:"),"T",IF(OR(LEFT(UPPER(TRIM(A578)),2)="B:",LEFT(UPPER(TRIM(A578)),8)="BLOCKER:",LEFT(UPPER(TRIM(A578)),9)="BLOCKERS:",LEFT(UPPER(TRIM(A578)),8)="BLOCKED:"),"B",""))))</f>
      </c>
      <c r="E578" s="17">
        <f>IF(D578="","",TRIM(MID(A578,FIND(":",A578)+1,500)))</f>
      </c>
    </row>
    <row r="579">
      <c r="B579" s="17">
        <f>IF(A579="","",IF(COUNTIF(Roster[Name],IF(RIGHT(IF(LEFT(TRIM(A579),1)="[",TRIM(MID(TRIM(A579),FIND("]",TRIM(A579)&amp;"]")+1,200)),TRIM(A579)),1)=")",TRIM(LEFT(IF(LEFT(TRIM(A579),1)="[",TRIM(MID(TRIM(A579),FIND("]",TRIM(A579)&amp;"]")+1,200)),TRIM(A579)),FIND("(",IF(LEFT(TRIM(A579),1)="[",TRIM(MID(TRIM(A579),FIND("]",TRIM(A579)&amp;"]")+1,200)),TRIM(A579))&amp;"(")-1)),IF(LEFT(TRIM(A579),1)="[",TRIM(MID(TRIM(A579),FIND("]",TRIM(A579)&amp;"]")+1,200)),TRIM(A579))))&gt;0,IF(RIGHT(IF(LEFT(TRIM(A579),1)="[",TRIM(MID(TRIM(A579),FIND("]",TRIM(A579)&amp;"]")+1,200)),TRIM(A579)),1)=")",TRIM(LEFT(IF(LEFT(TRIM(A579),1)="[",TRIM(MID(TRIM(A579),FIND("]",TRIM(A579)&amp;"]")+1,200)),TRIM(A579)),FIND("(",IF(LEFT(TRIM(A579),1)="[",TRIM(MID(TRIM(A579),FIND("]",TRIM(A579)&amp;"]")+1,200)),TRIM(A579))&amp;"(")-1)),IF(LEFT(TRIM(A579),1)="[",TRIM(MID(TRIM(A579),FIND("]",TRIM(A579)&amp;"]")+1,200)),TRIM(A579))),""))</f>
      </c>
      <c r="C579" s="17">
        <f>IF(B579&lt;&gt;"",B579,C578)</f>
      </c>
      <c r="D579" s="17">
        <f>IF(A579="","",IF(OR(LEFT(UPPER(TRIM(A579)),2)="Y:",LEFT(UPPER(TRIM(A579)),10)="YESTERDAY:"),"Y",IF(OR(LEFT(UPPER(TRIM(A579)),2)="T:",LEFT(UPPER(TRIM(A579)),6)="TODAY:"),"T",IF(OR(LEFT(UPPER(TRIM(A579)),2)="B:",LEFT(UPPER(TRIM(A579)),8)="BLOCKER:",LEFT(UPPER(TRIM(A579)),9)="BLOCKERS:",LEFT(UPPER(TRIM(A579)),8)="BLOCKED:"),"B",""))))</f>
      </c>
      <c r="E579" s="17">
        <f>IF(D579="","",TRIM(MID(A579,FIND(":",A579)+1,500)))</f>
      </c>
    </row>
    <row r="580">
      <c r="B580" s="17">
        <f>IF(A580="","",IF(COUNTIF(Roster[Name],IF(RIGHT(IF(LEFT(TRIM(A580),1)="[",TRIM(MID(TRIM(A580),FIND("]",TRIM(A580)&amp;"]")+1,200)),TRIM(A580)),1)=")",TRIM(LEFT(IF(LEFT(TRIM(A580),1)="[",TRIM(MID(TRIM(A580),FIND("]",TRIM(A580)&amp;"]")+1,200)),TRIM(A580)),FIND("(",IF(LEFT(TRIM(A580),1)="[",TRIM(MID(TRIM(A580),FIND("]",TRIM(A580)&amp;"]")+1,200)),TRIM(A580))&amp;"(")-1)),IF(LEFT(TRIM(A580),1)="[",TRIM(MID(TRIM(A580),FIND("]",TRIM(A580)&amp;"]")+1,200)),TRIM(A580))))&gt;0,IF(RIGHT(IF(LEFT(TRIM(A580),1)="[",TRIM(MID(TRIM(A580),FIND("]",TRIM(A580)&amp;"]")+1,200)),TRIM(A580)),1)=")",TRIM(LEFT(IF(LEFT(TRIM(A580),1)="[",TRIM(MID(TRIM(A580),FIND("]",TRIM(A580)&amp;"]")+1,200)),TRIM(A580)),FIND("(",IF(LEFT(TRIM(A580),1)="[",TRIM(MID(TRIM(A580),FIND("]",TRIM(A580)&amp;"]")+1,200)),TRIM(A580))&amp;"(")-1)),IF(LEFT(TRIM(A580),1)="[",TRIM(MID(TRIM(A580),FIND("]",TRIM(A580)&amp;"]")+1,200)),TRIM(A580))),""))</f>
      </c>
      <c r="C580" s="17">
        <f>IF(B580&lt;&gt;"",B580,C579)</f>
      </c>
      <c r="D580" s="17">
        <f>IF(A580="","",IF(OR(LEFT(UPPER(TRIM(A580)),2)="Y:",LEFT(UPPER(TRIM(A580)),10)="YESTERDAY:"),"Y",IF(OR(LEFT(UPPER(TRIM(A580)),2)="T:",LEFT(UPPER(TRIM(A580)),6)="TODAY:"),"T",IF(OR(LEFT(UPPER(TRIM(A580)),2)="B:",LEFT(UPPER(TRIM(A580)),8)="BLOCKER:",LEFT(UPPER(TRIM(A580)),9)="BLOCKERS:",LEFT(UPPER(TRIM(A580)),8)="BLOCKED:"),"B",""))))</f>
      </c>
      <c r="E580" s="17">
        <f>IF(D580="","",TRIM(MID(A580,FIND(":",A580)+1,500)))</f>
      </c>
    </row>
    <row r="581">
      <c r="B581" s="17">
        <f>IF(A581="","",IF(COUNTIF(Roster[Name],IF(RIGHT(IF(LEFT(TRIM(A581),1)="[",TRIM(MID(TRIM(A581),FIND("]",TRIM(A581)&amp;"]")+1,200)),TRIM(A581)),1)=")",TRIM(LEFT(IF(LEFT(TRIM(A581),1)="[",TRIM(MID(TRIM(A581),FIND("]",TRIM(A581)&amp;"]")+1,200)),TRIM(A581)),FIND("(",IF(LEFT(TRIM(A581),1)="[",TRIM(MID(TRIM(A581),FIND("]",TRIM(A581)&amp;"]")+1,200)),TRIM(A581))&amp;"(")-1)),IF(LEFT(TRIM(A581),1)="[",TRIM(MID(TRIM(A581),FIND("]",TRIM(A581)&amp;"]")+1,200)),TRIM(A581))))&gt;0,IF(RIGHT(IF(LEFT(TRIM(A581),1)="[",TRIM(MID(TRIM(A581),FIND("]",TRIM(A581)&amp;"]")+1,200)),TRIM(A581)),1)=")",TRIM(LEFT(IF(LEFT(TRIM(A581),1)="[",TRIM(MID(TRIM(A581),FIND("]",TRIM(A581)&amp;"]")+1,200)),TRIM(A581)),FIND("(",IF(LEFT(TRIM(A581),1)="[",TRIM(MID(TRIM(A581),FIND("]",TRIM(A581)&amp;"]")+1,200)),TRIM(A581))&amp;"(")-1)),IF(LEFT(TRIM(A581),1)="[",TRIM(MID(TRIM(A581),FIND("]",TRIM(A581)&amp;"]")+1,200)),TRIM(A581))),""))</f>
      </c>
      <c r="C581" s="17">
        <f>IF(B581&lt;&gt;"",B581,C580)</f>
      </c>
      <c r="D581" s="17">
        <f>IF(A581="","",IF(OR(LEFT(UPPER(TRIM(A581)),2)="Y:",LEFT(UPPER(TRIM(A581)),10)="YESTERDAY:"),"Y",IF(OR(LEFT(UPPER(TRIM(A581)),2)="T:",LEFT(UPPER(TRIM(A581)),6)="TODAY:"),"T",IF(OR(LEFT(UPPER(TRIM(A581)),2)="B:",LEFT(UPPER(TRIM(A581)),8)="BLOCKER:",LEFT(UPPER(TRIM(A581)),9)="BLOCKERS:",LEFT(UPPER(TRIM(A581)),8)="BLOCKED:"),"B",""))))</f>
      </c>
      <c r="E581" s="17">
        <f>IF(D581="","",TRIM(MID(A581,FIND(":",A581)+1,500)))</f>
      </c>
    </row>
    <row r="582">
      <c r="B582" s="17">
        <f>IF(A582="","",IF(COUNTIF(Roster[Name],IF(RIGHT(IF(LEFT(TRIM(A582),1)="[",TRIM(MID(TRIM(A582),FIND("]",TRIM(A582)&amp;"]")+1,200)),TRIM(A582)),1)=")",TRIM(LEFT(IF(LEFT(TRIM(A582),1)="[",TRIM(MID(TRIM(A582),FIND("]",TRIM(A582)&amp;"]")+1,200)),TRIM(A582)),FIND("(",IF(LEFT(TRIM(A582),1)="[",TRIM(MID(TRIM(A582),FIND("]",TRIM(A582)&amp;"]")+1,200)),TRIM(A582))&amp;"(")-1)),IF(LEFT(TRIM(A582),1)="[",TRIM(MID(TRIM(A582),FIND("]",TRIM(A582)&amp;"]")+1,200)),TRIM(A582))))&gt;0,IF(RIGHT(IF(LEFT(TRIM(A582),1)="[",TRIM(MID(TRIM(A582),FIND("]",TRIM(A582)&amp;"]")+1,200)),TRIM(A582)),1)=")",TRIM(LEFT(IF(LEFT(TRIM(A582),1)="[",TRIM(MID(TRIM(A582),FIND("]",TRIM(A582)&amp;"]")+1,200)),TRIM(A582)),FIND("(",IF(LEFT(TRIM(A582),1)="[",TRIM(MID(TRIM(A582),FIND("]",TRIM(A582)&amp;"]")+1,200)),TRIM(A582))&amp;"(")-1)),IF(LEFT(TRIM(A582),1)="[",TRIM(MID(TRIM(A582),FIND("]",TRIM(A582)&amp;"]")+1,200)),TRIM(A582))),""))</f>
      </c>
      <c r="C582" s="17">
        <f>IF(B582&lt;&gt;"",B582,C581)</f>
      </c>
      <c r="D582" s="17">
        <f>IF(A582="","",IF(OR(LEFT(UPPER(TRIM(A582)),2)="Y:",LEFT(UPPER(TRIM(A582)),10)="YESTERDAY:"),"Y",IF(OR(LEFT(UPPER(TRIM(A582)),2)="T:",LEFT(UPPER(TRIM(A582)),6)="TODAY:"),"T",IF(OR(LEFT(UPPER(TRIM(A582)),2)="B:",LEFT(UPPER(TRIM(A582)),8)="BLOCKER:",LEFT(UPPER(TRIM(A582)),9)="BLOCKERS:",LEFT(UPPER(TRIM(A582)),8)="BLOCKED:"),"B",""))))</f>
      </c>
      <c r="E582" s="17">
        <f>IF(D582="","",TRIM(MID(A582,FIND(":",A582)+1,500)))</f>
      </c>
    </row>
    <row r="583">
      <c r="B583" s="17">
        <f>IF(A583="","",IF(COUNTIF(Roster[Name],IF(RIGHT(IF(LEFT(TRIM(A583),1)="[",TRIM(MID(TRIM(A583),FIND("]",TRIM(A583)&amp;"]")+1,200)),TRIM(A583)),1)=")",TRIM(LEFT(IF(LEFT(TRIM(A583),1)="[",TRIM(MID(TRIM(A583),FIND("]",TRIM(A583)&amp;"]")+1,200)),TRIM(A583)),FIND("(",IF(LEFT(TRIM(A583),1)="[",TRIM(MID(TRIM(A583),FIND("]",TRIM(A583)&amp;"]")+1,200)),TRIM(A583))&amp;"(")-1)),IF(LEFT(TRIM(A583),1)="[",TRIM(MID(TRIM(A583),FIND("]",TRIM(A583)&amp;"]")+1,200)),TRIM(A583))))&gt;0,IF(RIGHT(IF(LEFT(TRIM(A583),1)="[",TRIM(MID(TRIM(A583),FIND("]",TRIM(A583)&amp;"]")+1,200)),TRIM(A583)),1)=")",TRIM(LEFT(IF(LEFT(TRIM(A583),1)="[",TRIM(MID(TRIM(A583),FIND("]",TRIM(A583)&amp;"]")+1,200)),TRIM(A583)),FIND("(",IF(LEFT(TRIM(A583),1)="[",TRIM(MID(TRIM(A583),FIND("]",TRIM(A583)&amp;"]")+1,200)),TRIM(A583))&amp;"(")-1)),IF(LEFT(TRIM(A583),1)="[",TRIM(MID(TRIM(A583),FIND("]",TRIM(A583)&amp;"]")+1,200)),TRIM(A583))),""))</f>
      </c>
      <c r="C583" s="17">
        <f>IF(B583&lt;&gt;"",B583,C582)</f>
      </c>
      <c r="D583" s="17">
        <f>IF(A583="","",IF(OR(LEFT(UPPER(TRIM(A583)),2)="Y:",LEFT(UPPER(TRIM(A583)),10)="YESTERDAY:"),"Y",IF(OR(LEFT(UPPER(TRIM(A583)),2)="T:",LEFT(UPPER(TRIM(A583)),6)="TODAY:"),"T",IF(OR(LEFT(UPPER(TRIM(A583)),2)="B:",LEFT(UPPER(TRIM(A583)),8)="BLOCKER:",LEFT(UPPER(TRIM(A583)),9)="BLOCKERS:",LEFT(UPPER(TRIM(A583)),8)="BLOCKED:"),"B",""))))</f>
      </c>
      <c r="E583" s="17">
        <f>IF(D583="","",TRIM(MID(A583,FIND(":",A583)+1,500)))</f>
      </c>
    </row>
    <row r="584">
      <c r="B584" s="17">
        <f>IF(A584="","",IF(COUNTIF(Roster[Name],IF(RIGHT(IF(LEFT(TRIM(A584),1)="[",TRIM(MID(TRIM(A584),FIND("]",TRIM(A584)&amp;"]")+1,200)),TRIM(A584)),1)=")",TRIM(LEFT(IF(LEFT(TRIM(A584),1)="[",TRIM(MID(TRIM(A584),FIND("]",TRIM(A584)&amp;"]")+1,200)),TRIM(A584)),FIND("(",IF(LEFT(TRIM(A584),1)="[",TRIM(MID(TRIM(A584),FIND("]",TRIM(A584)&amp;"]")+1,200)),TRIM(A584))&amp;"(")-1)),IF(LEFT(TRIM(A584),1)="[",TRIM(MID(TRIM(A584),FIND("]",TRIM(A584)&amp;"]")+1,200)),TRIM(A584))))&gt;0,IF(RIGHT(IF(LEFT(TRIM(A584),1)="[",TRIM(MID(TRIM(A584),FIND("]",TRIM(A584)&amp;"]")+1,200)),TRIM(A584)),1)=")",TRIM(LEFT(IF(LEFT(TRIM(A584),1)="[",TRIM(MID(TRIM(A584),FIND("]",TRIM(A584)&amp;"]")+1,200)),TRIM(A584)),FIND("(",IF(LEFT(TRIM(A584),1)="[",TRIM(MID(TRIM(A584),FIND("]",TRIM(A584)&amp;"]")+1,200)),TRIM(A584))&amp;"(")-1)),IF(LEFT(TRIM(A584),1)="[",TRIM(MID(TRIM(A584),FIND("]",TRIM(A584)&amp;"]")+1,200)),TRIM(A584))),""))</f>
      </c>
      <c r="C584" s="17">
        <f>IF(B584&lt;&gt;"",B584,C583)</f>
      </c>
      <c r="D584" s="17">
        <f>IF(A584="","",IF(OR(LEFT(UPPER(TRIM(A584)),2)="Y:",LEFT(UPPER(TRIM(A584)),10)="YESTERDAY:"),"Y",IF(OR(LEFT(UPPER(TRIM(A584)),2)="T:",LEFT(UPPER(TRIM(A584)),6)="TODAY:"),"T",IF(OR(LEFT(UPPER(TRIM(A584)),2)="B:",LEFT(UPPER(TRIM(A584)),8)="BLOCKER:",LEFT(UPPER(TRIM(A584)),9)="BLOCKERS:",LEFT(UPPER(TRIM(A584)),8)="BLOCKED:"),"B",""))))</f>
      </c>
      <c r="E584" s="17">
        <f>IF(D584="","",TRIM(MID(A584,FIND(":",A584)+1,500)))</f>
      </c>
    </row>
    <row r="585">
      <c r="B585" s="17">
        <f>IF(A585="","",IF(COUNTIF(Roster[Name],IF(RIGHT(IF(LEFT(TRIM(A585),1)="[",TRIM(MID(TRIM(A585),FIND("]",TRIM(A585)&amp;"]")+1,200)),TRIM(A585)),1)=")",TRIM(LEFT(IF(LEFT(TRIM(A585),1)="[",TRIM(MID(TRIM(A585),FIND("]",TRIM(A585)&amp;"]")+1,200)),TRIM(A585)),FIND("(",IF(LEFT(TRIM(A585),1)="[",TRIM(MID(TRIM(A585),FIND("]",TRIM(A585)&amp;"]")+1,200)),TRIM(A585))&amp;"(")-1)),IF(LEFT(TRIM(A585),1)="[",TRIM(MID(TRIM(A585),FIND("]",TRIM(A585)&amp;"]")+1,200)),TRIM(A585))))&gt;0,IF(RIGHT(IF(LEFT(TRIM(A585),1)="[",TRIM(MID(TRIM(A585),FIND("]",TRIM(A585)&amp;"]")+1,200)),TRIM(A585)),1)=")",TRIM(LEFT(IF(LEFT(TRIM(A585),1)="[",TRIM(MID(TRIM(A585),FIND("]",TRIM(A585)&amp;"]")+1,200)),TRIM(A585)),FIND("(",IF(LEFT(TRIM(A585),1)="[",TRIM(MID(TRIM(A585),FIND("]",TRIM(A585)&amp;"]")+1,200)),TRIM(A585))&amp;"(")-1)),IF(LEFT(TRIM(A585),1)="[",TRIM(MID(TRIM(A585),FIND("]",TRIM(A585)&amp;"]")+1,200)),TRIM(A585))),""))</f>
      </c>
      <c r="C585" s="17">
        <f>IF(B585&lt;&gt;"",B585,C584)</f>
      </c>
      <c r="D585" s="17">
        <f>IF(A585="","",IF(OR(LEFT(UPPER(TRIM(A585)),2)="Y:",LEFT(UPPER(TRIM(A585)),10)="YESTERDAY:"),"Y",IF(OR(LEFT(UPPER(TRIM(A585)),2)="T:",LEFT(UPPER(TRIM(A585)),6)="TODAY:"),"T",IF(OR(LEFT(UPPER(TRIM(A585)),2)="B:",LEFT(UPPER(TRIM(A585)),8)="BLOCKER:",LEFT(UPPER(TRIM(A585)),9)="BLOCKERS:",LEFT(UPPER(TRIM(A585)),8)="BLOCKED:"),"B",""))))</f>
      </c>
      <c r="E585" s="17">
        <f>IF(D585="","",TRIM(MID(A585,FIND(":",A585)+1,500)))</f>
      </c>
    </row>
    <row r="586">
      <c r="B586" s="17">
        <f>IF(A586="","",IF(COUNTIF(Roster[Name],IF(RIGHT(IF(LEFT(TRIM(A586),1)="[",TRIM(MID(TRIM(A586),FIND("]",TRIM(A586)&amp;"]")+1,200)),TRIM(A586)),1)=")",TRIM(LEFT(IF(LEFT(TRIM(A586),1)="[",TRIM(MID(TRIM(A586),FIND("]",TRIM(A586)&amp;"]")+1,200)),TRIM(A586)),FIND("(",IF(LEFT(TRIM(A586),1)="[",TRIM(MID(TRIM(A586),FIND("]",TRIM(A586)&amp;"]")+1,200)),TRIM(A586))&amp;"(")-1)),IF(LEFT(TRIM(A586),1)="[",TRIM(MID(TRIM(A586),FIND("]",TRIM(A586)&amp;"]")+1,200)),TRIM(A586))))&gt;0,IF(RIGHT(IF(LEFT(TRIM(A586),1)="[",TRIM(MID(TRIM(A586),FIND("]",TRIM(A586)&amp;"]")+1,200)),TRIM(A586)),1)=")",TRIM(LEFT(IF(LEFT(TRIM(A586),1)="[",TRIM(MID(TRIM(A586),FIND("]",TRIM(A586)&amp;"]")+1,200)),TRIM(A586)),FIND("(",IF(LEFT(TRIM(A586),1)="[",TRIM(MID(TRIM(A586),FIND("]",TRIM(A586)&amp;"]")+1,200)),TRIM(A586))&amp;"(")-1)),IF(LEFT(TRIM(A586),1)="[",TRIM(MID(TRIM(A586),FIND("]",TRIM(A586)&amp;"]")+1,200)),TRIM(A586))),""))</f>
      </c>
      <c r="C586" s="17">
        <f>IF(B586&lt;&gt;"",B586,C585)</f>
      </c>
      <c r="D586" s="17">
        <f>IF(A586="","",IF(OR(LEFT(UPPER(TRIM(A586)),2)="Y:",LEFT(UPPER(TRIM(A586)),10)="YESTERDAY:"),"Y",IF(OR(LEFT(UPPER(TRIM(A586)),2)="T:",LEFT(UPPER(TRIM(A586)),6)="TODAY:"),"T",IF(OR(LEFT(UPPER(TRIM(A586)),2)="B:",LEFT(UPPER(TRIM(A586)),8)="BLOCKER:",LEFT(UPPER(TRIM(A586)),9)="BLOCKERS:",LEFT(UPPER(TRIM(A586)),8)="BLOCKED:"),"B",""))))</f>
      </c>
      <c r="E586" s="17">
        <f>IF(D586="","",TRIM(MID(A586,FIND(":",A586)+1,500)))</f>
      </c>
    </row>
    <row r="587">
      <c r="B587" s="17">
        <f>IF(A587="","",IF(COUNTIF(Roster[Name],IF(RIGHT(IF(LEFT(TRIM(A587),1)="[",TRIM(MID(TRIM(A587),FIND("]",TRIM(A587)&amp;"]")+1,200)),TRIM(A587)),1)=")",TRIM(LEFT(IF(LEFT(TRIM(A587),1)="[",TRIM(MID(TRIM(A587),FIND("]",TRIM(A587)&amp;"]")+1,200)),TRIM(A587)),FIND("(",IF(LEFT(TRIM(A587),1)="[",TRIM(MID(TRIM(A587),FIND("]",TRIM(A587)&amp;"]")+1,200)),TRIM(A587))&amp;"(")-1)),IF(LEFT(TRIM(A587),1)="[",TRIM(MID(TRIM(A587),FIND("]",TRIM(A587)&amp;"]")+1,200)),TRIM(A587))))&gt;0,IF(RIGHT(IF(LEFT(TRIM(A587),1)="[",TRIM(MID(TRIM(A587),FIND("]",TRIM(A587)&amp;"]")+1,200)),TRIM(A587)),1)=")",TRIM(LEFT(IF(LEFT(TRIM(A587),1)="[",TRIM(MID(TRIM(A587),FIND("]",TRIM(A587)&amp;"]")+1,200)),TRIM(A587)),FIND("(",IF(LEFT(TRIM(A587),1)="[",TRIM(MID(TRIM(A587),FIND("]",TRIM(A587)&amp;"]")+1,200)),TRIM(A587))&amp;"(")-1)),IF(LEFT(TRIM(A587),1)="[",TRIM(MID(TRIM(A587),FIND("]",TRIM(A587)&amp;"]")+1,200)),TRIM(A587))),""))</f>
      </c>
      <c r="C587" s="17">
        <f>IF(B587&lt;&gt;"",B587,C586)</f>
      </c>
      <c r="D587" s="17">
        <f>IF(A587="","",IF(OR(LEFT(UPPER(TRIM(A587)),2)="Y:",LEFT(UPPER(TRIM(A587)),10)="YESTERDAY:"),"Y",IF(OR(LEFT(UPPER(TRIM(A587)),2)="T:",LEFT(UPPER(TRIM(A587)),6)="TODAY:"),"T",IF(OR(LEFT(UPPER(TRIM(A587)),2)="B:",LEFT(UPPER(TRIM(A587)),8)="BLOCKER:",LEFT(UPPER(TRIM(A587)),9)="BLOCKERS:",LEFT(UPPER(TRIM(A587)),8)="BLOCKED:"),"B",""))))</f>
      </c>
      <c r="E587" s="17">
        <f>IF(D587="","",TRIM(MID(A587,FIND(":",A587)+1,500)))</f>
      </c>
    </row>
    <row r="588">
      <c r="B588" s="17">
        <f>IF(A588="","",IF(COUNTIF(Roster[Name],IF(RIGHT(IF(LEFT(TRIM(A588),1)="[",TRIM(MID(TRIM(A588),FIND("]",TRIM(A588)&amp;"]")+1,200)),TRIM(A588)),1)=")",TRIM(LEFT(IF(LEFT(TRIM(A588),1)="[",TRIM(MID(TRIM(A588),FIND("]",TRIM(A588)&amp;"]")+1,200)),TRIM(A588)),FIND("(",IF(LEFT(TRIM(A588),1)="[",TRIM(MID(TRIM(A588),FIND("]",TRIM(A588)&amp;"]")+1,200)),TRIM(A588))&amp;"(")-1)),IF(LEFT(TRIM(A588),1)="[",TRIM(MID(TRIM(A588),FIND("]",TRIM(A588)&amp;"]")+1,200)),TRIM(A588))))&gt;0,IF(RIGHT(IF(LEFT(TRIM(A588),1)="[",TRIM(MID(TRIM(A588),FIND("]",TRIM(A588)&amp;"]")+1,200)),TRIM(A588)),1)=")",TRIM(LEFT(IF(LEFT(TRIM(A588),1)="[",TRIM(MID(TRIM(A588),FIND("]",TRIM(A588)&amp;"]")+1,200)),TRIM(A588)),FIND("(",IF(LEFT(TRIM(A588),1)="[",TRIM(MID(TRIM(A588),FIND("]",TRIM(A588)&amp;"]")+1,200)),TRIM(A588))&amp;"(")-1)),IF(LEFT(TRIM(A588),1)="[",TRIM(MID(TRIM(A588),FIND("]",TRIM(A588)&amp;"]")+1,200)),TRIM(A588))),""))</f>
      </c>
      <c r="C588" s="17">
        <f>IF(B588&lt;&gt;"",B588,C587)</f>
      </c>
      <c r="D588" s="17">
        <f>IF(A588="","",IF(OR(LEFT(UPPER(TRIM(A588)),2)="Y:",LEFT(UPPER(TRIM(A588)),10)="YESTERDAY:"),"Y",IF(OR(LEFT(UPPER(TRIM(A588)),2)="T:",LEFT(UPPER(TRIM(A588)),6)="TODAY:"),"T",IF(OR(LEFT(UPPER(TRIM(A588)),2)="B:",LEFT(UPPER(TRIM(A588)),8)="BLOCKER:",LEFT(UPPER(TRIM(A588)),9)="BLOCKERS:",LEFT(UPPER(TRIM(A588)),8)="BLOCKED:"),"B",""))))</f>
      </c>
      <c r="E588" s="17">
        <f>IF(D588="","",TRIM(MID(A588,FIND(":",A588)+1,500)))</f>
      </c>
    </row>
    <row r="589">
      <c r="B589" s="17">
        <f>IF(A589="","",IF(COUNTIF(Roster[Name],IF(RIGHT(IF(LEFT(TRIM(A589),1)="[",TRIM(MID(TRIM(A589),FIND("]",TRIM(A589)&amp;"]")+1,200)),TRIM(A589)),1)=")",TRIM(LEFT(IF(LEFT(TRIM(A589),1)="[",TRIM(MID(TRIM(A589),FIND("]",TRIM(A589)&amp;"]")+1,200)),TRIM(A589)),FIND("(",IF(LEFT(TRIM(A589),1)="[",TRIM(MID(TRIM(A589),FIND("]",TRIM(A589)&amp;"]")+1,200)),TRIM(A589))&amp;"(")-1)),IF(LEFT(TRIM(A589),1)="[",TRIM(MID(TRIM(A589),FIND("]",TRIM(A589)&amp;"]")+1,200)),TRIM(A589))))&gt;0,IF(RIGHT(IF(LEFT(TRIM(A589),1)="[",TRIM(MID(TRIM(A589),FIND("]",TRIM(A589)&amp;"]")+1,200)),TRIM(A589)),1)=")",TRIM(LEFT(IF(LEFT(TRIM(A589),1)="[",TRIM(MID(TRIM(A589),FIND("]",TRIM(A589)&amp;"]")+1,200)),TRIM(A589)),FIND("(",IF(LEFT(TRIM(A589),1)="[",TRIM(MID(TRIM(A589),FIND("]",TRIM(A589)&amp;"]")+1,200)),TRIM(A589))&amp;"(")-1)),IF(LEFT(TRIM(A589),1)="[",TRIM(MID(TRIM(A589),FIND("]",TRIM(A589)&amp;"]")+1,200)),TRIM(A589))),""))</f>
      </c>
      <c r="C589" s="17">
        <f>IF(B589&lt;&gt;"",B589,C588)</f>
      </c>
      <c r="D589" s="17">
        <f>IF(A589="","",IF(OR(LEFT(UPPER(TRIM(A589)),2)="Y:",LEFT(UPPER(TRIM(A589)),10)="YESTERDAY:"),"Y",IF(OR(LEFT(UPPER(TRIM(A589)),2)="T:",LEFT(UPPER(TRIM(A589)),6)="TODAY:"),"T",IF(OR(LEFT(UPPER(TRIM(A589)),2)="B:",LEFT(UPPER(TRIM(A589)),8)="BLOCKER:",LEFT(UPPER(TRIM(A589)),9)="BLOCKERS:",LEFT(UPPER(TRIM(A589)),8)="BLOCKED:"),"B",""))))</f>
      </c>
      <c r="E589" s="17">
        <f>IF(D589="","",TRIM(MID(A589,FIND(":",A589)+1,500)))</f>
      </c>
    </row>
    <row r="590">
      <c r="B590" s="17">
        <f>IF(A590="","",IF(COUNTIF(Roster[Name],IF(RIGHT(IF(LEFT(TRIM(A590),1)="[",TRIM(MID(TRIM(A590),FIND("]",TRIM(A590)&amp;"]")+1,200)),TRIM(A590)),1)=")",TRIM(LEFT(IF(LEFT(TRIM(A590),1)="[",TRIM(MID(TRIM(A590),FIND("]",TRIM(A590)&amp;"]")+1,200)),TRIM(A590)),FIND("(",IF(LEFT(TRIM(A590),1)="[",TRIM(MID(TRIM(A590),FIND("]",TRIM(A590)&amp;"]")+1,200)),TRIM(A590))&amp;"(")-1)),IF(LEFT(TRIM(A590),1)="[",TRIM(MID(TRIM(A590),FIND("]",TRIM(A590)&amp;"]")+1,200)),TRIM(A590))))&gt;0,IF(RIGHT(IF(LEFT(TRIM(A590),1)="[",TRIM(MID(TRIM(A590),FIND("]",TRIM(A590)&amp;"]")+1,200)),TRIM(A590)),1)=")",TRIM(LEFT(IF(LEFT(TRIM(A590),1)="[",TRIM(MID(TRIM(A590),FIND("]",TRIM(A590)&amp;"]")+1,200)),TRIM(A590)),FIND("(",IF(LEFT(TRIM(A590),1)="[",TRIM(MID(TRIM(A590),FIND("]",TRIM(A590)&amp;"]")+1,200)),TRIM(A590))&amp;"(")-1)),IF(LEFT(TRIM(A590),1)="[",TRIM(MID(TRIM(A590),FIND("]",TRIM(A590)&amp;"]")+1,200)),TRIM(A590))),""))</f>
      </c>
      <c r="C590" s="17">
        <f>IF(B590&lt;&gt;"",B590,C589)</f>
      </c>
      <c r="D590" s="17">
        <f>IF(A590="","",IF(OR(LEFT(UPPER(TRIM(A590)),2)="Y:",LEFT(UPPER(TRIM(A590)),10)="YESTERDAY:"),"Y",IF(OR(LEFT(UPPER(TRIM(A590)),2)="T:",LEFT(UPPER(TRIM(A590)),6)="TODAY:"),"T",IF(OR(LEFT(UPPER(TRIM(A590)),2)="B:",LEFT(UPPER(TRIM(A590)),8)="BLOCKER:",LEFT(UPPER(TRIM(A590)),9)="BLOCKERS:",LEFT(UPPER(TRIM(A590)),8)="BLOCKED:"),"B",""))))</f>
      </c>
      <c r="E590" s="17">
        <f>IF(D590="","",TRIM(MID(A590,FIND(":",A590)+1,500)))</f>
      </c>
    </row>
    <row r="591">
      <c r="B591" s="17">
        <f>IF(A591="","",IF(COUNTIF(Roster[Name],IF(RIGHT(IF(LEFT(TRIM(A591),1)="[",TRIM(MID(TRIM(A591),FIND("]",TRIM(A591)&amp;"]")+1,200)),TRIM(A591)),1)=")",TRIM(LEFT(IF(LEFT(TRIM(A591),1)="[",TRIM(MID(TRIM(A591),FIND("]",TRIM(A591)&amp;"]")+1,200)),TRIM(A591)),FIND("(",IF(LEFT(TRIM(A591),1)="[",TRIM(MID(TRIM(A591),FIND("]",TRIM(A591)&amp;"]")+1,200)),TRIM(A591))&amp;"(")-1)),IF(LEFT(TRIM(A591),1)="[",TRIM(MID(TRIM(A591),FIND("]",TRIM(A591)&amp;"]")+1,200)),TRIM(A591))))&gt;0,IF(RIGHT(IF(LEFT(TRIM(A591),1)="[",TRIM(MID(TRIM(A591),FIND("]",TRIM(A591)&amp;"]")+1,200)),TRIM(A591)),1)=")",TRIM(LEFT(IF(LEFT(TRIM(A591),1)="[",TRIM(MID(TRIM(A591),FIND("]",TRIM(A591)&amp;"]")+1,200)),TRIM(A591)),FIND("(",IF(LEFT(TRIM(A591),1)="[",TRIM(MID(TRIM(A591),FIND("]",TRIM(A591)&amp;"]")+1,200)),TRIM(A591))&amp;"(")-1)),IF(LEFT(TRIM(A591),1)="[",TRIM(MID(TRIM(A591),FIND("]",TRIM(A591)&amp;"]")+1,200)),TRIM(A591))),""))</f>
      </c>
      <c r="C591" s="17">
        <f>IF(B591&lt;&gt;"",B591,C590)</f>
      </c>
      <c r="D591" s="17">
        <f>IF(A591="","",IF(OR(LEFT(UPPER(TRIM(A591)),2)="Y:",LEFT(UPPER(TRIM(A591)),10)="YESTERDAY:"),"Y",IF(OR(LEFT(UPPER(TRIM(A591)),2)="T:",LEFT(UPPER(TRIM(A591)),6)="TODAY:"),"T",IF(OR(LEFT(UPPER(TRIM(A591)),2)="B:",LEFT(UPPER(TRIM(A591)),8)="BLOCKER:",LEFT(UPPER(TRIM(A591)),9)="BLOCKERS:",LEFT(UPPER(TRIM(A591)),8)="BLOCKED:"),"B",""))))</f>
      </c>
      <c r="E591" s="17">
        <f>IF(D591="","",TRIM(MID(A591,FIND(":",A591)+1,500)))</f>
      </c>
    </row>
    <row r="592">
      <c r="B592" s="17">
        <f>IF(A592="","",IF(COUNTIF(Roster[Name],IF(RIGHT(IF(LEFT(TRIM(A592),1)="[",TRIM(MID(TRIM(A592),FIND("]",TRIM(A592)&amp;"]")+1,200)),TRIM(A592)),1)=")",TRIM(LEFT(IF(LEFT(TRIM(A592),1)="[",TRIM(MID(TRIM(A592),FIND("]",TRIM(A592)&amp;"]")+1,200)),TRIM(A592)),FIND("(",IF(LEFT(TRIM(A592),1)="[",TRIM(MID(TRIM(A592),FIND("]",TRIM(A592)&amp;"]")+1,200)),TRIM(A592))&amp;"(")-1)),IF(LEFT(TRIM(A592),1)="[",TRIM(MID(TRIM(A592),FIND("]",TRIM(A592)&amp;"]")+1,200)),TRIM(A592))))&gt;0,IF(RIGHT(IF(LEFT(TRIM(A592),1)="[",TRIM(MID(TRIM(A592),FIND("]",TRIM(A592)&amp;"]")+1,200)),TRIM(A592)),1)=")",TRIM(LEFT(IF(LEFT(TRIM(A592),1)="[",TRIM(MID(TRIM(A592),FIND("]",TRIM(A592)&amp;"]")+1,200)),TRIM(A592)),FIND("(",IF(LEFT(TRIM(A592),1)="[",TRIM(MID(TRIM(A592),FIND("]",TRIM(A592)&amp;"]")+1,200)),TRIM(A592))&amp;"(")-1)),IF(LEFT(TRIM(A592),1)="[",TRIM(MID(TRIM(A592),FIND("]",TRIM(A592)&amp;"]")+1,200)),TRIM(A592))),""))</f>
      </c>
      <c r="C592" s="17">
        <f>IF(B592&lt;&gt;"",B592,C591)</f>
      </c>
      <c r="D592" s="17">
        <f>IF(A592="","",IF(OR(LEFT(UPPER(TRIM(A592)),2)="Y:",LEFT(UPPER(TRIM(A592)),10)="YESTERDAY:"),"Y",IF(OR(LEFT(UPPER(TRIM(A592)),2)="T:",LEFT(UPPER(TRIM(A592)),6)="TODAY:"),"T",IF(OR(LEFT(UPPER(TRIM(A592)),2)="B:",LEFT(UPPER(TRIM(A592)),8)="BLOCKER:",LEFT(UPPER(TRIM(A592)),9)="BLOCKERS:",LEFT(UPPER(TRIM(A592)),8)="BLOCKED:"),"B",""))))</f>
      </c>
      <c r="E592" s="17">
        <f>IF(D592="","",TRIM(MID(A592,FIND(":",A592)+1,500)))</f>
      </c>
    </row>
    <row r="593">
      <c r="B593" s="17">
        <f>IF(A593="","",IF(COUNTIF(Roster[Name],IF(RIGHT(IF(LEFT(TRIM(A593),1)="[",TRIM(MID(TRIM(A593),FIND("]",TRIM(A593)&amp;"]")+1,200)),TRIM(A593)),1)=")",TRIM(LEFT(IF(LEFT(TRIM(A593),1)="[",TRIM(MID(TRIM(A593),FIND("]",TRIM(A593)&amp;"]")+1,200)),TRIM(A593)),FIND("(",IF(LEFT(TRIM(A593),1)="[",TRIM(MID(TRIM(A593),FIND("]",TRIM(A593)&amp;"]")+1,200)),TRIM(A593))&amp;"(")-1)),IF(LEFT(TRIM(A593),1)="[",TRIM(MID(TRIM(A593),FIND("]",TRIM(A593)&amp;"]")+1,200)),TRIM(A593))))&gt;0,IF(RIGHT(IF(LEFT(TRIM(A593),1)="[",TRIM(MID(TRIM(A593),FIND("]",TRIM(A593)&amp;"]")+1,200)),TRIM(A593)),1)=")",TRIM(LEFT(IF(LEFT(TRIM(A593),1)="[",TRIM(MID(TRIM(A593),FIND("]",TRIM(A593)&amp;"]")+1,200)),TRIM(A593)),FIND("(",IF(LEFT(TRIM(A593),1)="[",TRIM(MID(TRIM(A593),FIND("]",TRIM(A593)&amp;"]")+1,200)),TRIM(A593))&amp;"(")-1)),IF(LEFT(TRIM(A593),1)="[",TRIM(MID(TRIM(A593),FIND("]",TRIM(A593)&amp;"]")+1,200)),TRIM(A593))),""))</f>
      </c>
      <c r="C593" s="17">
        <f>IF(B593&lt;&gt;"",B593,C592)</f>
      </c>
      <c r="D593" s="17">
        <f>IF(A593="","",IF(OR(LEFT(UPPER(TRIM(A593)),2)="Y:",LEFT(UPPER(TRIM(A593)),10)="YESTERDAY:"),"Y",IF(OR(LEFT(UPPER(TRIM(A593)),2)="T:",LEFT(UPPER(TRIM(A593)),6)="TODAY:"),"T",IF(OR(LEFT(UPPER(TRIM(A593)),2)="B:",LEFT(UPPER(TRIM(A593)),8)="BLOCKER:",LEFT(UPPER(TRIM(A593)),9)="BLOCKERS:",LEFT(UPPER(TRIM(A593)),8)="BLOCKED:"),"B",""))))</f>
      </c>
      <c r="E593" s="17">
        <f>IF(D593="","",TRIM(MID(A593,FIND(":",A593)+1,500)))</f>
      </c>
    </row>
    <row r="594">
      <c r="B594" s="17">
        <f>IF(A594="","",IF(COUNTIF(Roster[Name],IF(RIGHT(IF(LEFT(TRIM(A594),1)="[",TRIM(MID(TRIM(A594),FIND("]",TRIM(A594)&amp;"]")+1,200)),TRIM(A594)),1)=")",TRIM(LEFT(IF(LEFT(TRIM(A594),1)="[",TRIM(MID(TRIM(A594),FIND("]",TRIM(A594)&amp;"]")+1,200)),TRIM(A594)),FIND("(",IF(LEFT(TRIM(A594),1)="[",TRIM(MID(TRIM(A594),FIND("]",TRIM(A594)&amp;"]")+1,200)),TRIM(A594))&amp;"(")-1)),IF(LEFT(TRIM(A594),1)="[",TRIM(MID(TRIM(A594),FIND("]",TRIM(A594)&amp;"]")+1,200)),TRIM(A594))))&gt;0,IF(RIGHT(IF(LEFT(TRIM(A594),1)="[",TRIM(MID(TRIM(A594),FIND("]",TRIM(A594)&amp;"]")+1,200)),TRIM(A594)),1)=")",TRIM(LEFT(IF(LEFT(TRIM(A594),1)="[",TRIM(MID(TRIM(A594),FIND("]",TRIM(A594)&amp;"]")+1,200)),TRIM(A594)),FIND("(",IF(LEFT(TRIM(A594),1)="[",TRIM(MID(TRIM(A594),FIND("]",TRIM(A594)&amp;"]")+1,200)),TRIM(A594))&amp;"(")-1)),IF(LEFT(TRIM(A594),1)="[",TRIM(MID(TRIM(A594),FIND("]",TRIM(A594)&amp;"]")+1,200)),TRIM(A594))),""))</f>
      </c>
      <c r="C594" s="17">
        <f>IF(B594&lt;&gt;"",B594,C593)</f>
      </c>
      <c r="D594" s="17">
        <f>IF(A594="","",IF(OR(LEFT(UPPER(TRIM(A594)),2)="Y:",LEFT(UPPER(TRIM(A594)),10)="YESTERDAY:"),"Y",IF(OR(LEFT(UPPER(TRIM(A594)),2)="T:",LEFT(UPPER(TRIM(A594)),6)="TODAY:"),"T",IF(OR(LEFT(UPPER(TRIM(A594)),2)="B:",LEFT(UPPER(TRIM(A594)),8)="BLOCKER:",LEFT(UPPER(TRIM(A594)),9)="BLOCKERS:",LEFT(UPPER(TRIM(A594)),8)="BLOCKED:"),"B",""))))</f>
      </c>
      <c r="E594" s="17">
        <f>IF(D594="","",TRIM(MID(A594,FIND(":",A594)+1,500)))</f>
      </c>
    </row>
    <row r="595">
      <c r="B595" s="17">
        <f>IF(A595="","",IF(COUNTIF(Roster[Name],IF(RIGHT(IF(LEFT(TRIM(A595),1)="[",TRIM(MID(TRIM(A595),FIND("]",TRIM(A595)&amp;"]")+1,200)),TRIM(A595)),1)=")",TRIM(LEFT(IF(LEFT(TRIM(A595),1)="[",TRIM(MID(TRIM(A595),FIND("]",TRIM(A595)&amp;"]")+1,200)),TRIM(A595)),FIND("(",IF(LEFT(TRIM(A595),1)="[",TRIM(MID(TRIM(A595),FIND("]",TRIM(A595)&amp;"]")+1,200)),TRIM(A595))&amp;"(")-1)),IF(LEFT(TRIM(A595),1)="[",TRIM(MID(TRIM(A595),FIND("]",TRIM(A595)&amp;"]")+1,200)),TRIM(A595))))&gt;0,IF(RIGHT(IF(LEFT(TRIM(A595),1)="[",TRIM(MID(TRIM(A595),FIND("]",TRIM(A595)&amp;"]")+1,200)),TRIM(A595)),1)=")",TRIM(LEFT(IF(LEFT(TRIM(A595),1)="[",TRIM(MID(TRIM(A595),FIND("]",TRIM(A595)&amp;"]")+1,200)),TRIM(A595)),FIND("(",IF(LEFT(TRIM(A595),1)="[",TRIM(MID(TRIM(A595),FIND("]",TRIM(A595)&amp;"]")+1,200)),TRIM(A595))&amp;"(")-1)),IF(LEFT(TRIM(A595),1)="[",TRIM(MID(TRIM(A595),FIND("]",TRIM(A595)&amp;"]")+1,200)),TRIM(A595))),""))</f>
      </c>
      <c r="C595" s="17">
        <f>IF(B595&lt;&gt;"",B595,C594)</f>
      </c>
      <c r="D595" s="17">
        <f>IF(A595="","",IF(OR(LEFT(UPPER(TRIM(A595)),2)="Y:",LEFT(UPPER(TRIM(A595)),10)="YESTERDAY:"),"Y",IF(OR(LEFT(UPPER(TRIM(A595)),2)="T:",LEFT(UPPER(TRIM(A595)),6)="TODAY:"),"T",IF(OR(LEFT(UPPER(TRIM(A595)),2)="B:",LEFT(UPPER(TRIM(A595)),8)="BLOCKER:",LEFT(UPPER(TRIM(A595)),9)="BLOCKERS:",LEFT(UPPER(TRIM(A595)),8)="BLOCKED:"),"B",""))))</f>
      </c>
      <c r="E595" s="17">
        <f>IF(D595="","",TRIM(MID(A595,FIND(":",A595)+1,500)))</f>
      </c>
    </row>
    <row r="596">
      <c r="B596" s="17">
        <f>IF(A596="","",IF(COUNTIF(Roster[Name],IF(RIGHT(IF(LEFT(TRIM(A596),1)="[",TRIM(MID(TRIM(A596),FIND("]",TRIM(A596)&amp;"]")+1,200)),TRIM(A596)),1)=")",TRIM(LEFT(IF(LEFT(TRIM(A596),1)="[",TRIM(MID(TRIM(A596),FIND("]",TRIM(A596)&amp;"]")+1,200)),TRIM(A596)),FIND("(",IF(LEFT(TRIM(A596),1)="[",TRIM(MID(TRIM(A596),FIND("]",TRIM(A596)&amp;"]")+1,200)),TRIM(A596))&amp;"(")-1)),IF(LEFT(TRIM(A596),1)="[",TRIM(MID(TRIM(A596),FIND("]",TRIM(A596)&amp;"]")+1,200)),TRIM(A596))))&gt;0,IF(RIGHT(IF(LEFT(TRIM(A596),1)="[",TRIM(MID(TRIM(A596),FIND("]",TRIM(A596)&amp;"]")+1,200)),TRIM(A596)),1)=")",TRIM(LEFT(IF(LEFT(TRIM(A596),1)="[",TRIM(MID(TRIM(A596),FIND("]",TRIM(A596)&amp;"]")+1,200)),TRIM(A596)),FIND("(",IF(LEFT(TRIM(A596),1)="[",TRIM(MID(TRIM(A596),FIND("]",TRIM(A596)&amp;"]")+1,200)),TRIM(A596))&amp;"(")-1)),IF(LEFT(TRIM(A596),1)="[",TRIM(MID(TRIM(A596),FIND("]",TRIM(A596)&amp;"]")+1,200)),TRIM(A596))),""))</f>
      </c>
      <c r="C596" s="17">
        <f>IF(B596&lt;&gt;"",B596,C595)</f>
      </c>
      <c r="D596" s="17">
        <f>IF(A596="","",IF(OR(LEFT(UPPER(TRIM(A596)),2)="Y:",LEFT(UPPER(TRIM(A596)),10)="YESTERDAY:"),"Y",IF(OR(LEFT(UPPER(TRIM(A596)),2)="T:",LEFT(UPPER(TRIM(A596)),6)="TODAY:"),"T",IF(OR(LEFT(UPPER(TRIM(A596)),2)="B:",LEFT(UPPER(TRIM(A596)),8)="BLOCKER:",LEFT(UPPER(TRIM(A596)),9)="BLOCKERS:",LEFT(UPPER(TRIM(A596)),8)="BLOCKED:"),"B",""))))</f>
      </c>
      <c r="E596" s="17">
        <f>IF(D596="","",TRIM(MID(A596,FIND(":",A596)+1,500)))</f>
      </c>
    </row>
    <row r="597">
      <c r="B597" s="17">
        <f>IF(A597="","",IF(COUNTIF(Roster[Name],IF(RIGHT(IF(LEFT(TRIM(A597),1)="[",TRIM(MID(TRIM(A597),FIND("]",TRIM(A597)&amp;"]")+1,200)),TRIM(A597)),1)=")",TRIM(LEFT(IF(LEFT(TRIM(A597),1)="[",TRIM(MID(TRIM(A597),FIND("]",TRIM(A597)&amp;"]")+1,200)),TRIM(A597)),FIND("(",IF(LEFT(TRIM(A597),1)="[",TRIM(MID(TRIM(A597),FIND("]",TRIM(A597)&amp;"]")+1,200)),TRIM(A597))&amp;"(")-1)),IF(LEFT(TRIM(A597),1)="[",TRIM(MID(TRIM(A597),FIND("]",TRIM(A597)&amp;"]")+1,200)),TRIM(A597))))&gt;0,IF(RIGHT(IF(LEFT(TRIM(A597),1)="[",TRIM(MID(TRIM(A597),FIND("]",TRIM(A597)&amp;"]")+1,200)),TRIM(A597)),1)=")",TRIM(LEFT(IF(LEFT(TRIM(A597),1)="[",TRIM(MID(TRIM(A597),FIND("]",TRIM(A597)&amp;"]")+1,200)),TRIM(A597)),FIND("(",IF(LEFT(TRIM(A597),1)="[",TRIM(MID(TRIM(A597),FIND("]",TRIM(A597)&amp;"]")+1,200)),TRIM(A597))&amp;"(")-1)),IF(LEFT(TRIM(A597),1)="[",TRIM(MID(TRIM(A597),FIND("]",TRIM(A597)&amp;"]")+1,200)),TRIM(A597))),""))</f>
      </c>
      <c r="C597" s="17">
        <f>IF(B597&lt;&gt;"",B597,C596)</f>
      </c>
      <c r="D597" s="17">
        <f>IF(A597="","",IF(OR(LEFT(UPPER(TRIM(A597)),2)="Y:",LEFT(UPPER(TRIM(A597)),10)="YESTERDAY:"),"Y",IF(OR(LEFT(UPPER(TRIM(A597)),2)="T:",LEFT(UPPER(TRIM(A597)),6)="TODAY:"),"T",IF(OR(LEFT(UPPER(TRIM(A597)),2)="B:",LEFT(UPPER(TRIM(A597)),8)="BLOCKER:",LEFT(UPPER(TRIM(A597)),9)="BLOCKERS:",LEFT(UPPER(TRIM(A597)),8)="BLOCKED:"),"B",""))))</f>
      </c>
      <c r="E597" s="17">
        <f>IF(D597="","",TRIM(MID(A597,FIND(":",A597)+1,500)))</f>
      </c>
    </row>
    <row r="598">
      <c r="B598" s="17">
        <f>IF(A598="","",IF(COUNTIF(Roster[Name],IF(RIGHT(IF(LEFT(TRIM(A598),1)="[",TRIM(MID(TRIM(A598),FIND("]",TRIM(A598)&amp;"]")+1,200)),TRIM(A598)),1)=")",TRIM(LEFT(IF(LEFT(TRIM(A598),1)="[",TRIM(MID(TRIM(A598),FIND("]",TRIM(A598)&amp;"]")+1,200)),TRIM(A598)),FIND("(",IF(LEFT(TRIM(A598),1)="[",TRIM(MID(TRIM(A598),FIND("]",TRIM(A598)&amp;"]")+1,200)),TRIM(A598))&amp;"(")-1)),IF(LEFT(TRIM(A598),1)="[",TRIM(MID(TRIM(A598),FIND("]",TRIM(A598)&amp;"]")+1,200)),TRIM(A598))))&gt;0,IF(RIGHT(IF(LEFT(TRIM(A598),1)="[",TRIM(MID(TRIM(A598),FIND("]",TRIM(A598)&amp;"]")+1,200)),TRIM(A598)),1)=")",TRIM(LEFT(IF(LEFT(TRIM(A598),1)="[",TRIM(MID(TRIM(A598),FIND("]",TRIM(A598)&amp;"]")+1,200)),TRIM(A598)),FIND("(",IF(LEFT(TRIM(A598),1)="[",TRIM(MID(TRIM(A598),FIND("]",TRIM(A598)&amp;"]")+1,200)),TRIM(A598))&amp;"(")-1)),IF(LEFT(TRIM(A598),1)="[",TRIM(MID(TRIM(A598),FIND("]",TRIM(A598)&amp;"]")+1,200)),TRIM(A598))),""))</f>
      </c>
      <c r="C598" s="17">
        <f>IF(B598&lt;&gt;"",B598,C597)</f>
      </c>
      <c r="D598" s="17">
        <f>IF(A598="","",IF(OR(LEFT(UPPER(TRIM(A598)),2)="Y:",LEFT(UPPER(TRIM(A598)),10)="YESTERDAY:"),"Y",IF(OR(LEFT(UPPER(TRIM(A598)),2)="T:",LEFT(UPPER(TRIM(A598)),6)="TODAY:"),"T",IF(OR(LEFT(UPPER(TRIM(A598)),2)="B:",LEFT(UPPER(TRIM(A598)),8)="BLOCKER:",LEFT(UPPER(TRIM(A598)),9)="BLOCKERS:",LEFT(UPPER(TRIM(A598)),8)="BLOCKED:"),"B",""))))</f>
      </c>
      <c r="E598" s="17">
        <f>IF(D598="","",TRIM(MID(A598,FIND(":",A598)+1,500)))</f>
      </c>
    </row>
    <row r="599">
      <c r="B599" s="17">
        <f>IF(A599="","",IF(COUNTIF(Roster[Name],IF(RIGHT(IF(LEFT(TRIM(A599),1)="[",TRIM(MID(TRIM(A599),FIND("]",TRIM(A599)&amp;"]")+1,200)),TRIM(A599)),1)=")",TRIM(LEFT(IF(LEFT(TRIM(A599),1)="[",TRIM(MID(TRIM(A599),FIND("]",TRIM(A599)&amp;"]")+1,200)),TRIM(A599)),FIND("(",IF(LEFT(TRIM(A599),1)="[",TRIM(MID(TRIM(A599),FIND("]",TRIM(A599)&amp;"]")+1,200)),TRIM(A599))&amp;"(")-1)),IF(LEFT(TRIM(A599),1)="[",TRIM(MID(TRIM(A599),FIND("]",TRIM(A599)&amp;"]")+1,200)),TRIM(A599))))&gt;0,IF(RIGHT(IF(LEFT(TRIM(A599),1)="[",TRIM(MID(TRIM(A599),FIND("]",TRIM(A599)&amp;"]")+1,200)),TRIM(A599)),1)=")",TRIM(LEFT(IF(LEFT(TRIM(A599),1)="[",TRIM(MID(TRIM(A599),FIND("]",TRIM(A599)&amp;"]")+1,200)),TRIM(A599)),FIND("(",IF(LEFT(TRIM(A599),1)="[",TRIM(MID(TRIM(A599),FIND("]",TRIM(A599)&amp;"]")+1,200)),TRIM(A599))&amp;"(")-1)),IF(LEFT(TRIM(A599),1)="[",TRIM(MID(TRIM(A599),FIND("]",TRIM(A599)&amp;"]")+1,200)),TRIM(A599))),""))</f>
      </c>
      <c r="C599" s="17">
        <f>IF(B599&lt;&gt;"",B599,C598)</f>
      </c>
      <c r="D599" s="17">
        <f>IF(A599="","",IF(OR(LEFT(UPPER(TRIM(A599)),2)="Y:",LEFT(UPPER(TRIM(A599)),10)="YESTERDAY:"),"Y",IF(OR(LEFT(UPPER(TRIM(A599)),2)="T:",LEFT(UPPER(TRIM(A599)),6)="TODAY:"),"T",IF(OR(LEFT(UPPER(TRIM(A599)),2)="B:",LEFT(UPPER(TRIM(A599)),8)="BLOCKER:",LEFT(UPPER(TRIM(A599)),9)="BLOCKERS:",LEFT(UPPER(TRIM(A599)),8)="BLOCKED:"),"B",""))))</f>
      </c>
      <c r="E599" s="17">
        <f>IF(D599="","",TRIM(MID(A599,FIND(":",A599)+1,500)))</f>
      </c>
    </row>
    <row r="600">
      <c r="B600" s="17">
        <f>IF(A600="","",IF(COUNTIF(Roster[Name],IF(RIGHT(IF(LEFT(TRIM(A600),1)="[",TRIM(MID(TRIM(A600),FIND("]",TRIM(A600)&amp;"]")+1,200)),TRIM(A600)),1)=")",TRIM(LEFT(IF(LEFT(TRIM(A600),1)="[",TRIM(MID(TRIM(A600),FIND("]",TRIM(A600)&amp;"]")+1,200)),TRIM(A600)),FIND("(",IF(LEFT(TRIM(A600),1)="[",TRIM(MID(TRIM(A600),FIND("]",TRIM(A600)&amp;"]")+1,200)),TRIM(A600))&amp;"(")-1)),IF(LEFT(TRIM(A600),1)="[",TRIM(MID(TRIM(A600),FIND("]",TRIM(A600)&amp;"]")+1,200)),TRIM(A600))))&gt;0,IF(RIGHT(IF(LEFT(TRIM(A600),1)="[",TRIM(MID(TRIM(A600),FIND("]",TRIM(A600)&amp;"]")+1,200)),TRIM(A600)),1)=")",TRIM(LEFT(IF(LEFT(TRIM(A600),1)="[",TRIM(MID(TRIM(A600),FIND("]",TRIM(A600)&amp;"]")+1,200)),TRIM(A600)),FIND("(",IF(LEFT(TRIM(A600),1)="[",TRIM(MID(TRIM(A600),FIND("]",TRIM(A600)&amp;"]")+1,200)),TRIM(A600))&amp;"(")-1)),IF(LEFT(TRIM(A600),1)="[",TRIM(MID(TRIM(A600),FIND("]",TRIM(A600)&amp;"]")+1,200)),TRIM(A600))),""))</f>
      </c>
      <c r="C600" s="17">
        <f>IF(B600&lt;&gt;"",B600,C599)</f>
      </c>
      <c r="D600" s="17">
        <f>IF(A600="","",IF(OR(LEFT(UPPER(TRIM(A600)),2)="Y:",LEFT(UPPER(TRIM(A600)),10)="YESTERDAY:"),"Y",IF(OR(LEFT(UPPER(TRIM(A600)),2)="T:",LEFT(UPPER(TRIM(A600)),6)="TODAY:"),"T",IF(OR(LEFT(UPPER(TRIM(A600)),2)="B:",LEFT(UPPER(TRIM(A600)),8)="BLOCKER:",LEFT(UPPER(TRIM(A600)),9)="BLOCKERS:",LEFT(UPPER(TRIM(A600)),8)="BLOCKED:"),"B",""))))</f>
      </c>
      <c r="E600" s="17">
        <f>IF(D600="","",TRIM(MID(A600,FIND(":",A600)+1,500)))</f>
      </c>
    </row>
    <row r="601">
      <c r="B601" s="17">
        <f>IF(A601="","",IF(COUNTIF(Roster[Name],IF(RIGHT(IF(LEFT(TRIM(A601),1)="[",TRIM(MID(TRIM(A601),FIND("]",TRIM(A601)&amp;"]")+1,200)),TRIM(A601)),1)=")",TRIM(LEFT(IF(LEFT(TRIM(A601),1)="[",TRIM(MID(TRIM(A601),FIND("]",TRIM(A601)&amp;"]")+1,200)),TRIM(A601)),FIND("(",IF(LEFT(TRIM(A601),1)="[",TRIM(MID(TRIM(A601),FIND("]",TRIM(A601)&amp;"]")+1,200)),TRIM(A601))&amp;"(")-1)),IF(LEFT(TRIM(A601),1)="[",TRIM(MID(TRIM(A601),FIND("]",TRIM(A601)&amp;"]")+1,200)),TRIM(A601))))&gt;0,IF(RIGHT(IF(LEFT(TRIM(A601),1)="[",TRIM(MID(TRIM(A601),FIND("]",TRIM(A601)&amp;"]")+1,200)),TRIM(A601)),1)=")",TRIM(LEFT(IF(LEFT(TRIM(A601),1)="[",TRIM(MID(TRIM(A601),FIND("]",TRIM(A601)&amp;"]")+1,200)),TRIM(A601)),FIND("(",IF(LEFT(TRIM(A601),1)="[",TRIM(MID(TRIM(A601),FIND("]",TRIM(A601)&amp;"]")+1,200)),TRIM(A601))&amp;"(")-1)),IF(LEFT(TRIM(A601),1)="[",TRIM(MID(TRIM(A601),FIND("]",TRIM(A601)&amp;"]")+1,200)),TRIM(A601))),""))</f>
      </c>
      <c r="C601" s="17">
        <f>IF(B601&lt;&gt;"",B601,C600)</f>
      </c>
      <c r="D601" s="17">
        <f>IF(A601="","",IF(OR(LEFT(UPPER(TRIM(A601)),2)="Y:",LEFT(UPPER(TRIM(A601)),10)="YESTERDAY:"),"Y",IF(OR(LEFT(UPPER(TRIM(A601)),2)="T:",LEFT(UPPER(TRIM(A601)),6)="TODAY:"),"T",IF(OR(LEFT(UPPER(TRIM(A601)),2)="B:",LEFT(UPPER(TRIM(A601)),8)="BLOCKER:",LEFT(UPPER(TRIM(A601)),9)="BLOCKERS:",LEFT(UPPER(TRIM(A601)),8)="BLOCKED:"),"B",""))))</f>
      </c>
      <c r="E601" s="17">
        <f>IF(D601="","",TRIM(MID(A601,FIND(":",A601)+1,500)))</f>
      </c>
    </row>
    <row r="602">
      <c r="B602" s="17">
        <f>IF(A602="","",IF(COUNTIF(Roster[Name],IF(RIGHT(IF(LEFT(TRIM(A602),1)="[",TRIM(MID(TRIM(A602),FIND("]",TRIM(A602)&amp;"]")+1,200)),TRIM(A602)),1)=")",TRIM(LEFT(IF(LEFT(TRIM(A602),1)="[",TRIM(MID(TRIM(A602),FIND("]",TRIM(A602)&amp;"]")+1,200)),TRIM(A602)),FIND("(",IF(LEFT(TRIM(A602),1)="[",TRIM(MID(TRIM(A602),FIND("]",TRIM(A602)&amp;"]")+1,200)),TRIM(A602))&amp;"(")-1)),IF(LEFT(TRIM(A602),1)="[",TRIM(MID(TRIM(A602),FIND("]",TRIM(A602)&amp;"]")+1,200)),TRIM(A602))))&gt;0,IF(RIGHT(IF(LEFT(TRIM(A602),1)="[",TRIM(MID(TRIM(A602),FIND("]",TRIM(A602)&amp;"]")+1,200)),TRIM(A602)),1)=")",TRIM(LEFT(IF(LEFT(TRIM(A602),1)="[",TRIM(MID(TRIM(A602),FIND("]",TRIM(A602)&amp;"]")+1,200)),TRIM(A602)),FIND("(",IF(LEFT(TRIM(A602),1)="[",TRIM(MID(TRIM(A602),FIND("]",TRIM(A602)&amp;"]")+1,200)),TRIM(A602))&amp;"(")-1)),IF(LEFT(TRIM(A602),1)="[",TRIM(MID(TRIM(A602),FIND("]",TRIM(A602)&amp;"]")+1,200)),TRIM(A602))),""))</f>
      </c>
      <c r="C602" s="17">
        <f>IF(B602&lt;&gt;"",B602,C601)</f>
      </c>
      <c r="D602" s="17">
        <f>IF(A602="","",IF(OR(LEFT(UPPER(TRIM(A602)),2)="Y:",LEFT(UPPER(TRIM(A602)),10)="YESTERDAY:"),"Y",IF(OR(LEFT(UPPER(TRIM(A602)),2)="T:",LEFT(UPPER(TRIM(A602)),6)="TODAY:"),"T",IF(OR(LEFT(UPPER(TRIM(A602)),2)="B:",LEFT(UPPER(TRIM(A602)),8)="BLOCKER:",LEFT(UPPER(TRIM(A602)),9)="BLOCKERS:",LEFT(UPPER(TRIM(A602)),8)="BLOCKED:"),"B",""))))</f>
      </c>
      <c r="E602" s="17">
        <f>IF(D602="","",TRIM(MID(A602,FIND(":",A602)+1,500)))</f>
      </c>
    </row>
    <row r="603">
      <c r="B603" s="17">
        <f>IF(A603="","",IF(COUNTIF(Roster[Name],IF(RIGHT(IF(LEFT(TRIM(A603),1)="[",TRIM(MID(TRIM(A603),FIND("]",TRIM(A603)&amp;"]")+1,200)),TRIM(A603)),1)=")",TRIM(LEFT(IF(LEFT(TRIM(A603),1)="[",TRIM(MID(TRIM(A603),FIND("]",TRIM(A603)&amp;"]")+1,200)),TRIM(A603)),FIND("(",IF(LEFT(TRIM(A603),1)="[",TRIM(MID(TRIM(A603),FIND("]",TRIM(A603)&amp;"]")+1,200)),TRIM(A603))&amp;"(")-1)),IF(LEFT(TRIM(A603),1)="[",TRIM(MID(TRIM(A603),FIND("]",TRIM(A603)&amp;"]")+1,200)),TRIM(A603))))&gt;0,IF(RIGHT(IF(LEFT(TRIM(A603),1)="[",TRIM(MID(TRIM(A603),FIND("]",TRIM(A603)&amp;"]")+1,200)),TRIM(A603)),1)=")",TRIM(LEFT(IF(LEFT(TRIM(A603),1)="[",TRIM(MID(TRIM(A603),FIND("]",TRIM(A603)&amp;"]")+1,200)),TRIM(A603)),FIND("(",IF(LEFT(TRIM(A603),1)="[",TRIM(MID(TRIM(A603),FIND("]",TRIM(A603)&amp;"]")+1,200)),TRIM(A603))&amp;"(")-1)),IF(LEFT(TRIM(A603),1)="[",TRIM(MID(TRIM(A603),FIND("]",TRIM(A603)&amp;"]")+1,200)),TRIM(A603))),""))</f>
      </c>
      <c r="C603" s="17">
        <f>IF(B603&lt;&gt;"",B603,C602)</f>
      </c>
      <c r="D603" s="17">
        <f>IF(A603="","",IF(OR(LEFT(UPPER(TRIM(A603)),2)="Y:",LEFT(UPPER(TRIM(A603)),10)="YESTERDAY:"),"Y",IF(OR(LEFT(UPPER(TRIM(A603)),2)="T:",LEFT(UPPER(TRIM(A603)),6)="TODAY:"),"T",IF(OR(LEFT(UPPER(TRIM(A603)),2)="B:",LEFT(UPPER(TRIM(A603)),8)="BLOCKER:",LEFT(UPPER(TRIM(A603)),9)="BLOCKERS:",LEFT(UPPER(TRIM(A603)),8)="BLOCKED:"),"B",""))))</f>
      </c>
      <c r="E603" s="17">
        <f>IF(D603="","",TRIM(MID(A603,FIND(":",A603)+1,500)))</f>
      </c>
    </row>
    <row r="604">
      <c r="B604" s="17">
        <f>IF(A604="","",IF(COUNTIF(Roster[Name],IF(RIGHT(IF(LEFT(TRIM(A604),1)="[",TRIM(MID(TRIM(A604),FIND("]",TRIM(A604)&amp;"]")+1,200)),TRIM(A604)),1)=")",TRIM(LEFT(IF(LEFT(TRIM(A604),1)="[",TRIM(MID(TRIM(A604),FIND("]",TRIM(A604)&amp;"]")+1,200)),TRIM(A604)),FIND("(",IF(LEFT(TRIM(A604),1)="[",TRIM(MID(TRIM(A604),FIND("]",TRIM(A604)&amp;"]")+1,200)),TRIM(A604))&amp;"(")-1)),IF(LEFT(TRIM(A604),1)="[",TRIM(MID(TRIM(A604),FIND("]",TRIM(A604)&amp;"]")+1,200)),TRIM(A604))))&gt;0,IF(RIGHT(IF(LEFT(TRIM(A604),1)="[",TRIM(MID(TRIM(A604),FIND("]",TRIM(A604)&amp;"]")+1,200)),TRIM(A604)),1)=")",TRIM(LEFT(IF(LEFT(TRIM(A604),1)="[",TRIM(MID(TRIM(A604),FIND("]",TRIM(A604)&amp;"]")+1,200)),TRIM(A604)),FIND("(",IF(LEFT(TRIM(A604),1)="[",TRIM(MID(TRIM(A604),FIND("]",TRIM(A604)&amp;"]")+1,200)),TRIM(A604))&amp;"(")-1)),IF(LEFT(TRIM(A604),1)="[",TRIM(MID(TRIM(A604),FIND("]",TRIM(A604)&amp;"]")+1,200)),TRIM(A604))),""))</f>
      </c>
      <c r="C604" s="17">
        <f>IF(B604&lt;&gt;"",B604,C603)</f>
      </c>
      <c r="D604" s="17">
        <f>IF(A604="","",IF(OR(LEFT(UPPER(TRIM(A604)),2)="Y:",LEFT(UPPER(TRIM(A604)),10)="YESTERDAY:"),"Y",IF(OR(LEFT(UPPER(TRIM(A604)),2)="T:",LEFT(UPPER(TRIM(A604)),6)="TODAY:"),"T",IF(OR(LEFT(UPPER(TRIM(A604)),2)="B:",LEFT(UPPER(TRIM(A604)),8)="BLOCKER:",LEFT(UPPER(TRIM(A604)),9)="BLOCKERS:",LEFT(UPPER(TRIM(A604)),8)="BLOCKED:"),"B",""))))</f>
      </c>
      <c r="E604" s="17">
        <f>IF(D604="","",TRIM(MID(A604,FIND(":",A604)+1,500)))</f>
      </c>
    </row>
    <row r="605">
      <c r="B605" s="17">
        <f>IF(A605="","",IF(COUNTIF(Roster[Name],IF(RIGHT(IF(LEFT(TRIM(A605),1)="[",TRIM(MID(TRIM(A605),FIND("]",TRIM(A605)&amp;"]")+1,200)),TRIM(A605)),1)=")",TRIM(LEFT(IF(LEFT(TRIM(A605),1)="[",TRIM(MID(TRIM(A605),FIND("]",TRIM(A605)&amp;"]")+1,200)),TRIM(A605)),FIND("(",IF(LEFT(TRIM(A605),1)="[",TRIM(MID(TRIM(A605),FIND("]",TRIM(A605)&amp;"]")+1,200)),TRIM(A605))&amp;"(")-1)),IF(LEFT(TRIM(A605),1)="[",TRIM(MID(TRIM(A605),FIND("]",TRIM(A605)&amp;"]")+1,200)),TRIM(A605))))&gt;0,IF(RIGHT(IF(LEFT(TRIM(A605),1)="[",TRIM(MID(TRIM(A605),FIND("]",TRIM(A605)&amp;"]")+1,200)),TRIM(A605)),1)=")",TRIM(LEFT(IF(LEFT(TRIM(A605),1)="[",TRIM(MID(TRIM(A605),FIND("]",TRIM(A605)&amp;"]")+1,200)),TRIM(A605)),FIND("(",IF(LEFT(TRIM(A605),1)="[",TRIM(MID(TRIM(A605),FIND("]",TRIM(A605)&amp;"]")+1,200)),TRIM(A605))&amp;"(")-1)),IF(LEFT(TRIM(A605),1)="[",TRIM(MID(TRIM(A605),FIND("]",TRIM(A605)&amp;"]")+1,200)),TRIM(A605))),""))</f>
      </c>
      <c r="C605" s="17">
        <f>IF(B605&lt;&gt;"",B605,C604)</f>
      </c>
      <c r="D605" s="17">
        <f>IF(A605="","",IF(OR(LEFT(UPPER(TRIM(A605)),2)="Y:",LEFT(UPPER(TRIM(A605)),10)="YESTERDAY:"),"Y",IF(OR(LEFT(UPPER(TRIM(A605)),2)="T:",LEFT(UPPER(TRIM(A605)),6)="TODAY:"),"T",IF(OR(LEFT(UPPER(TRIM(A605)),2)="B:",LEFT(UPPER(TRIM(A605)),8)="BLOCKER:",LEFT(UPPER(TRIM(A605)),9)="BLOCKERS:",LEFT(UPPER(TRIM(A605)),8)="BLOCKED:"),"B",""))))</f>
      </c>
      <c r="E605" s="17">
        <f>IF(D605="","",TRIM(MID(A605,FIND(":",A605)+1,500)))</f>
      </c>
    </row>
    <row r="606">
      <c r="B606" s="17">
        <f>IF(A606="","",IF(COUNTIF(Roster[Name],IF(RIGHT(IF(LEFT(TRIM(A606),1)="[",TRIM(MID(TRIM(A606),FIND("]",TRIM(A606)&amp;"]")+1,200)),TRIM(A606)),1)=")",TRIM(LEFT(IF(LEFT(TRIM(A606),1)="[",TRIM(MID(TRIM(A606),FIND("]",TRIM(A606)&amp;"]")+1,200)),TRIM(A606)),FIND("(",IF(LEFT(TRIM(A606),1)="[",TRIM(MID(TRIM(A606),FIND("]",TRIM(A606)&amp;"]")+1,200)),TRIM(A606))&amp;"(")-1)),IF(LEFT(TRIM(A606),1)="[",TRIM(MID(TRIM(A606),FIND("]",TRIM(A606)&amp;"]")+1,200)),TRIM(A606))))&gt;0,IF(RIGHT(IF(LEFT(TRIM(A606),1)="[",TRIM(MID(TRIM(A606),FIND("]",TRIM(A606)&amp;"]")+1,200)),TRIM(A606)),1)=")",TRIM(LEFT(IF(LEFT(TRIM(A606),1)="[",TRIM(MID(TRIM(A606),FIND("]",TRIM(A606)&amp;"]")+1,200)),TRIM(A606)),FIND("(",IF(LEFT(TRIM(A606),1)="[",TRIM(MID(TRIM(A606),FIND("]",TRIM(A606)&amp;"]")+1,200)),TRIM(A606))&amp;"(")-1)),IF(LEFT(TRIM(A606),1)="[",TRIM(MID(TRIM(A606),FIND("]",TRIM(A606)&amp;"]")+1,200)),TRIM(A606))),""))</f>
      </c>
      <c r="C606" s="17">
        <f>IF(B606&lt;&gt;"",B606,C605)</f>
      </c>
      <c r="D606" s="17">
        <f>IF(A606="","",IF(OR(LEFT(UPPER(TRIM(A606)),2)="Y:",LEFT(UPPER(TRIM(A606)),10)="YESTERDAY:"),"Y",IF(OR(LEFT(UPPER(TRIM(A606)),2)="T:",LEFT(UPPER(TRIM(A606)),6)="TODAY:"),"T",IF(OR(LEFT(UPPER(TRIM(A606)),2)="B:",LEFT(UPPER(TRIM(A606)),8)="BLOCKER:",LEFT(UPPER(TRIM(A606)),9)="BLOCKERS:",LEFT(UPPER(TRIM(A606)),8)="BLOCKED:"),"B",""))))</f>
      </c>
      <c r="E606" s="17">
        <f>IF(D606="","",TRIM(MID(A606,FIND(":",A606)+1,500)))</f>
      </c>
    </row>
    <row r="607">
      <c r="B607" s="17">
        <f>IF(A607="","",IF(COUNTIF(Roster[Name],IF(RIGHT(IF(LEFT(TRIM(A607),1)="[",TRIM(MID(TRIM(A607),FIND("]",TRIM(A607)&amp;"]")+1,200)),TRIM(A607)),1)=")",TRIM(LEFT(IF(LEFT(TRIM(A607),1)="[",TRIM(MID(TRIM(A607),FIND("]",TRIM(A607)&amp;"]")+1,200)),TRIM(A607)),FIND("(",IF(LEFT(TRIM(A607),1)="[",TRIM(MID(TRIM(A607),FIND("]",TRIM(A607)&amp;"]")+1,200)),TRIM(A607))&amp;"(")-1)),IF(LEFT(TRIM(A607),1)="[",TRIM(MID(TRIM(A607),FIND("]",TRIM(A607)&amp;"]")+1,200)),TRIM(A607))))&gt;0,IF(RIGHT(IF(LEFT(TRIM(A607),1)="[",TRIM(MID(TRIM(A607),FIND("]",TRIM(A607)&amp;"]")+1,200)),TRIM(A607)),1)=")",TRIM(LEFT(IF(LEFT(TRIM(A607),1)="[",TRIM(MID(TRIM(A607),FIND("]",TRIM(A607)&amp;"]")+1,200)),TRIM(A607)),FIND("(",IF(LEFT(TRIM(A607),1)="[",TRIM(MID(TRIM(A607),FIND("]",TRIM(A607)&amp;"]")+1,200)),TRIM(A607))&amp;"(")-1)),IF(LEFT(TRIM(A607),1)="[",TRIM(MID(TRIM(A607),FIND("]",TRIM(A607)&amp;"]")+1,200)),TRIM(A607))),""))</f>
      </c>
      <c r="C607" s="17">
        <f>IF(B607&lt;&gt;"",B607,C606)</f>
      </c>
      <c r="D607" s="17">
        <f>IF(A607="","",IF(OR(LEFT(UPPER(TRIM(A607)),2)="Y:",LEFT(UPPER(TRIM(A607)),10)="YESTERDAY:"),"Y",IF(OR(LEFT(UPPER(TRIM(A607)),2)="T:",LEFT(UPPER(TRIM(A607)),6)="TODAY:"),"T",IF(OR(LEFT(UPPER(TRIM(A607)),2)="B:",LEFT(UPPER(TRIM(A607)),8)="BLOCKER:",LEFT(UPPER(TRIM(A607)),9)="BLOCKERS:",LEFT(UPPER(TRIM(A607)),8)="BLOCKED:"),"B",""))))</f>
      </c>
      <c r="E607" s="17">
        <f>IF(D607="","",TRIM(MID(A607,FIND(":",A607)+1,500)))</f>
      </c>
    </row>
    <row r="608">
      <c r="B608" s="17">
        <f>IF(A608="","",IF(COUNTIF(Roster[Name],IF(RIGHT(IF(LEFT(TRIM(A608),1)="[",TRIM(MID(TRIM(A608),FIND("]",TRIM(A608)&amp;"]")+1,200)),TRIM(A608)),1)=")",TRIM(LEFT(IF(LEFT(TRIM(A608),1)="[",TRIM(MID(TRIM(A608),FIND("]",TRIM(A608)&amp;"]")+1,200)),TRIM(A608)),FIND("(",IF(LEFT(TRIM(A608),1)="[",TRIM(MID(TRIM(A608),FIND("]",TRIM(A608)&amp;"]")+1,200)),TRIM(A608))&amp;"(")-1)),IF(LEFT(TRIM(A608),1)="[",TRIM(MID(TRIM(A608),FIND("]",TRIM(A608)&amp;"]")+1,200)),TRIM(A608))))&gt;0,IF(RIGHT(IF(LEFT(TRIM(A608),1)="[",TRIM(MID(TRIM(A608),FIND("]",TRIM(A608)&amp;"]")+1,200)),TRIM(A608)),1)=")",TRIM(LEFT(IF(LEFT(TRIM(A608),1)="[",TRIM(MID(TRIM(A608),FIND("]",TRIM(A608)&amp;"]")+1,200)),TRIM(A608)),FIND("(",IF(LEFT(TRIM(A608),1)="[",TRIM(MID(TRIM(A608),FIND("]",TRIM(A608)&amp;"]")+1,200)),TRIM(A608))&amp;"(")-1)),IF(LEFT(TRIM(A608),1)="[",TRIM(MID(TRIM(A608),FIND("]",TRIM(A608)&amp;"]")+1,200)),TRIM(A608))),""))</f>
      </c>
      <c r="C608" s="17">
        <f>IF(B608&lt;&gt;"",B608,C607)</f>
      </c>
      <c r="D608" s="17">
        <f>IF(A608="","",IF(OR(LEFT(UPPER(TRIM(A608)),2)="Y:",LEFT(UPPER(TRIM(A608)),10)="YESTERDAY:"),"Y",IF(OR(LEFT(UPPER(TRIM(A608)),2)="T:",LEFT(UPPER(TRIM(A608)),6)="TODAY:"),"T",IF(OR(LEFT(UPPER(TRIM(A608)),2)="B:",LEFT(UPPER(TRIM(A608)),8)="BLOCKER:",LEFT(UPPER(TRIM(A608)),9)="BLOCKERS:",LEFT(UPPER(TRIM(A608)),8)="BLOCKED:"),"B",""))))</f>
      </c>
      <c r="E608" s="17">
        <f>IF(D608="","",TRIM(MID(A608,FIND(":",A608)+1,500)))</f>
      </c>
    </row>
    <row r="609">
      <c r="B609" s="17">
        <f>IF(A609="","",IF(COUNTIF(Roster[Name],IF(RIGHT(IF(LEFT(TRIM(A609),1)="[",TRIM(MID(TRIM(A609),FIND("]",TRIM(A609)&amp;"]")+1,200)),TRIM(A609)),1)=")",TRIM(LEFT(IF(LEFT(TRIM(A609),1)="[",TRIM(MID(TRIM(A609),FIND("]",TRIM(A609)&amp;"]")+1,200)),TRIM(A609)),FIND("(",IF(LEFT(TRIM(A609),1)="[",TRIM(MID(TRIM(A609),FIND("]",TRIM(A609)&amp;"]")+1,200)),TRIM(A609))&amp;"(")-1)),IF(LEFT(TRIM(A609),1)="[",TRIM(MID(TRIM(A609),FIND("]",TRIM(A609)&amp;"]")+1,200)),TRIM(A609))))&gt;0,IF(RIGHT(IF(LEFT(TRIM(A609),1)="[",TRIM(MID(TRIM(A609),FIND("]",TRIM(A609)&amp;"]")+1,200)),TRIM(A609)),1)=")",TRIM(LEFT(IF(LEFT(TRIM(A609),1)="[",TRIM(MID(TRIM(A609),FIND("]",TRIM(A609)&amp;"]")+1,200)),TRIM(A609)),FIND("(",IF(LEFT(TRIM(A609),1)="[",TRIM(MID(TRIM(A609),FIND("]",TRIM(A609)&amp;"]")+1,200)),TRIM(A609))&amp;"(")-1)),IF(LEFT(TRIM(A609),1)="[",TRIM(MID(TRIM(A609),FIND("]",TRIM(A609)&amp;"]")+1,200)),TRIM(A609))),""))</f>
      </c>
      <c r="C609" s="17">
        <f>IF(B609&lt;&gt;"",B609,C608)</f>
      </c>
      <c r="D609" s="17">
        <f>IF(A609="","",IF(OR(LEFT(UPPER(TRIM(A609)),2)="Y:",LEFT(UPPER(TRIM(A609)),10)="YESTERDAY:"),"Y",IF(OR(LEFT(UPPER(TRIM(A609)),2)="T:",LEFT(UPPER(TRIM(A609)),6)="TODAY:"),"T",IF(OR(LEFT(UPPER(TRIM(A609)),2)="B:",LEFT(UPPER(TRIM(A609)),8)="BLOCKER:",LEFT(UPPER(TRIM(A609)),9)="BLOCKERS:",LEFT(UPPER(TRIM(A609)),8)="BLOCKED:"),"B",""))))</f>
      </c>
      <c r="E609" s="17">
        <f>IF(D609="","",TRIM(MID(A609,FIND(":",A609)+1,500)))</f>
      </c>
    </row>
    <row r="610">
      <c r="B610" s="17">
        <f>IF(A610="","",IF(COUNTIF(Roster[Name],IF(RIGHT(IF(LEFT(TRIM(A610),1)="[",TRIM(MID(TRIM(A610),FIND("]",TRIM(A610)&amp;"]")+1,200)),TRIM(A610)),1)=")",TRIM(LEFT(IF(LEFT(TRIM(A610),1)="[",TRIM(MID(TRIM(A610),FIND("]",TRIM(A610)&amp;"]")+1,200)),TRIM(A610)),FIND("(",IF(LEFT(TRIM(A610),1)="[",TRIM(MID(TRIM(A610),FIND("]",TRIM(A610)&amp;"]")+1,200)),TRIM(A610))&amp;"(")-1)),IF(LEFT(TRIM(A610),1)="[",TRIM(MID(TRIM(A610),FIND("]",TRIM(A610)&amp;"]")+1,200)),TRIM(A610))))&gt;0,IF(RIGHT(IF(LEFT(TRIM(A610),1)="[",TRIM(MID(TRIM(A610),FIND("]",TRIM(A610)&amp;"]")+1,200)),TRIM(A610)),1)=")",TRIM(LEFT(IF(LEFT(TRIM(A610),1)="[",TRIM(MID(TRIM(A610),FIND("]",TRIM(A610)&amp;"]")+1,200)),TRIM(A610)),FIND("(",IF(LEFT(TRIM(A610),1)="[",TRIM(MID(TRIM(A610),FIND("]",TRIM(A610)&amp;"]")+1,200)),TRIM(A610))&amp;"(")-1)),IF(LEFT(TRIM(A610),1)="[",TRIM(MID(TRIM(A610),FIND("]",TRIM(A610)&amp;"]")+1,200)),TRIM(A610))),""))</f>
      </c>
      <c r="C610" s="17">
        <f>IF(B610&lt;&gt;"",B610,C609)</f>
      </c>
      <c r="D610" s="17">
        <f>IF(A610="","",IF(OR(LEFT(UPPER(TRIM(A610)),2)="Y:",LEFT(UPPER(TRIM(A610)),10)="YESTERDAY:"),"Y",IF(OR(LEFT(UPPER(TRIM(A610)),2)="T:",LEFT(UPPER(TRIM(A610)),6)="TODAY:"),"T",IF(OR(LEFT(UPPER(TRIM(A610)),2)="B:",LEFT(UPPER(TRIM(A610)),8)="BLOCKER:",LEFT(UPPER(TRIM(A610)),9)="BLOCKERS:",LEFT(UPPER(TRIM(A610)),8)="BLOCKED:"),"B",""))))</f>
      </c>
      <c r="E610" s="17">
        <f>IF(D610="","",TRIM(MID(A610,FIND(":",A610)+1,500)))</f>
      </c>
    </row>
    <row r="611">
      <c r="B611" s="17">
        <f>IF(A611="","",IF(COUNTIF(Roster[Name],IF(RIGHT(IF(LEFT(TRIM(A611),1)="[",TRIM(MID(TRIM(A611),FIND("]",TRIM(A611)&amp;"]")+1,200)),TRIM(A611)),1)=")",TRIM(LEFT(IF(LEFT(TRIM(A611),1)="[",TRIM(MID(TRIM(A611),FIND("]",TRIM(A611)&amp;"]")+1,200)),TRIM(A611)),FIND("(",IF(LEFT(TRIM(A611),1)="[",TRIM(MID(TRIM(A611),FIND("]",TRIM(A611)&amp;"]")+1,200)),TRIM(A611))&amp;"(")-1)),IF(LEFT(TRIM(A611),1)="[",TRIM(MID(TRIM(A611),FIND("]",TRIM(A611)&amp;"]")+1,200)),TRIM(A611))))&gt;0,IF(RIGHT(IF(LEFT(TRIM(A611),1)="[",TRIM(MID(TRIM(A611),FIND("]",TRIM(A611)&amp;"]")+1,200)),TRIM(A611)),1)=")",TRIM(LEFT(IF(LEFT(TRIM(A611),1)="[",TRIM(MID(TRIM(A611),FIND("]",TRIM(A611)&amp;"]")+1,200)),TRIM(A611)),FIND("(",IF(LEFT(TRIM(A611),1)="[",TRIM(MID(TRIM(A611),FIND("]",TRIM(A611)&amp;"]")+1,200)),TRIM(A611))&amp;"(")-1)),IF(LEFT(TRIM(A611),1)="[",TRIM(MID(TRIM(A611),FIND("]",TRIM(A611)&amp;"]")+1,200)),TRIM(A611))),""))</f>
      </c>
      <c r="C611" s="17">
        <f>IF(B611&lt;&gt;"",B611,C610)</f>
      </c>
      <c r="D611" s="17">
        <f>IF(A611="","",IF(OR(LEFT(UPPER(TRIM(A611)),2)="Y:",LEFT(UPPER(TRIM(A611)),10)="YESTERDAY:"),"Y",IF(OR(LEFT(UPPER(TRIM(A611)),2)="T:",LEFT(UPPER(TRIM(A611)),6)="TODAY:"),"T",IF(OR(LEFT(UPPER(TRIM(A611)),2)="B:",LEFT(UPPER(TRIM(A611)),8)="BLOCKER:",LEFT(UPPER(TRIM(A611)),9)="BLOCKERS:",LEFT(UPPER(TRIM(A611)),8)="BLOCKED:"),"B",""))))</f>
      </c>
      <c r="E611" s="17">
        <f>IF(D611="","",TRIM(MID(A611,FIND(":",A611)+1,500)))</f>
      </c>
    </row>
    <row r="612">
      <c r="B612" s="17">
        <f>IF(A612="","",IF(COUNTIF(Roster[Name],IF(RIGHT(IF(LEFT(TRIM(A612),1)="[",TRIM(MID(TRIM(A612),FIND("]",TRIM(A612)&amp;"]")+1,200)),TRIM(A612)),1)=")",TRIM(LEFT(IF(LEFT(TRIM(A612),1)="[",TRIM(MID(TRIM(A612),FIND("]",TRIM(A612)&amp;"]")+1,200)),TRIM(A612)),FIND("(",IF(LEFT(TRIM(A612),1)="[",TRIM(MID(TRIM(A612),FIND("]",TRIM(A612)&amp;"]")+1,200)),TRIM(A612))&amp;"(")-1)),IF(LEFT(TRIM(A612),1)="[",TRIM(MID(TRIM(A612),FIND("]",TRIM(A612)&amp;"]")+1,200)),TRIM(A612))))&gt;0,IF(RIGHT(IF(LEFT(TRIM(A612),1)="[",TRIM(MID(TRIM(A612),FIND("]",TRIM(A612)&amp;"]")+1,200)),TRIM(A612)),1)=")",TRIM(LEFT(IF(LEFT(TRIM(A612),1)="[",TRIM(MID(TRIM(A612),FIND("]",TRIM(A612)&amp;"]")+1,200)),TRIM(A612)),FIND("(",IF(LEFT(TRIM(A612),1)="[",TRIM(MID(TRIM(A612),FIND("]",TRIM(A612)&amp;"]")+1,200)),TRIM(A612))&amp;"(")-1)),IF(LEFT(TRIM(A612),1)="[",TRIM(MID(TRIM(A612),FIND("]",TRIM(A612)&amp;"]")+1,200)),TRIM(A612))),""))</f>
      </c>
      <c r="C612" s="17">
        <f>IF(B612&lt;&gt;"",B612,C611)</f>
      </c>
      <c r="D612" s="17">
        <f>IF(A612="","",IF(OR(LEFT(UPPER(TRIM(A612)),2)="Y:",LEFT(UPPER(TRIM(A612)),10)="YESTERDAY:"),"Y",IF(OR(LEFT(UPPER(TRIM(A612)),2)="T:",LEFT(UPPER(TRIM(A612)),6)="TODAY:"),"T",IF(OR(LEFT(UPPER(TRIM(A612)),2)="B:",LEFT(UPPER(TRIM(A612)),8)="BLOCKER:",LEFT(UPPER(TRIM(A612)),9)="BLOCKERS:",LEFT(UPPER(TRIM(A612)),8)="BLOCKED:"),"B",""))))</f>
      </c>
      <c r="E612" s="17">
        <f>IF(D612="","",TRIM(MID(A612,FIND(":",A612)+1,500)))</f>
      </c>
    </row>
    <row r="613">
      <c r="B613" s="17">
        <f>IF(A613="","",IF(COUNTIF(Roster[Name],IF(RIGHT(IF(LEFT(TRIM(A613),1)="[",TRIM(MID(TRIM(A613),FIND("]",TRIM(A613)&amp;"]")+1,200)),TRIM(A613)),1)=")",TRIM(LEFT(IF(LEFT(TRIM(A613),1)="[",TRIM(MID(TRIM(A613),FIND("]",TRIM(A613)&amp;"]")+1,200)),TRIM(A613)),FIND("(",IF(LEFT(TRIM(A613),1)="[",TRIM(MID(TRIM(A613),FIND("]",TRIM(A613)&amp;"]")+1,200)),TRIM(A613))&amp;"(")-1)),IF(LEFT(TRIM(A613),1)="[",TRIM(MID(TRIM(A613),FIND("]",TRIM(A613)&amp;"]")+1,200)),TRIM(A613))))&gt;0,IF(RIGHT(IF(LEFT(TRIM(A613),1)="[",TRIM(MID(TRIM(A613),FIND("]",TRIM(A613)&amp;"]")+1,200)),TRIM(A613)),1)=")",TRIM(LEFT(IF(LEFT(TRIM(A613),1)="[",TRIM(MID(TRIM(A613),FIND("]",TRIM(A613)&amp;"]")+1,200)),TRIM(A613)),FIND("(",IF(LEFT(TRIM(A613),1)="[",TRIM(MID(TRIM(A613),FIND("]",TRIM(A613)&amp;"]")+1,200)),TRIM(A613))&amp;"(")-1)),IF(LEFT(TRIM(A613),1)="[",TRIM(MID(TRIM(A613),FIND("]",TRIM(A613)&amp;"]")+1,200)),TRIM(A613))),""))</f>
      </c>
      <c r="C613" s="17">
        <f>IF(B613&lt;&gt;"",B613,C612)</f>
      </c>
      <c r="D613" s="17">
        <f>IF(A613="","",IF(OR(LEFT(UPPER(TRIM(A613)),2)="Y:",LEFT(UPPER(TRIM(A613)),10)="YESTERDAY:"),"Y",IF(OR(LEFT(UPPER(TRIM(A613)),2)="T:",LEFT(UPPER(TRIM(A613)),6)="TODAY:"),"T",IF(OR(LEFT(UPPER(TRIM(A613)),2)="B:",LEFT(UPPER(TRIM(A613)),8)="BLOCKER:",LEFT(UPPER(TRIM(A613)),9)="BLOCKERS:",LEFT(UPPER(TRIM(A613)),8)="BLOCKED:"),"B",""))))</f>
      </c>
      <c r="E613" s="17">
        <f>IF(D613="","",TRIM(MID(A613,FIND(":",A613)+1,500)))</f>
      </c>
    </row>
    <row r="614">
      <c r="B614" s="17">
        <f>IF(A614="","",IF(COUNTIF(Roster[Name],IF(RIGHT(IF(LEFT(TRIM(A614),1)="[",TRIM(MID(TRIM(A614),FIND("]",TRIM(A614)&amp;"]")+1,200)),TRIM(A614)),1)=")",TRIM(LEFT(IF(LEFT(TRIM(A614),1)="[",TRIM(MID(TRIM(A614),FIND("]",TRIM(A614)&amp;"]")+1,200)),TRIM(A614)),FIND("(",IF(LEFT(TRIM(A614),1)="[",TRIM(MID(TRIM(A614),FIND("]",TRIM(A614)&amp;"]")+1,200)),TRIM(A614))&amp;"(")-1)),IF(LEFT(TRIM(A614),1)="[",TRIM(MID(TRIM(A614),FIND("]",TRIM(A614)&amp;"]")+1,200)),TRIM(A614))))&gt;0,IF(RIGHT(IF(LEFT(TRIM(A614),1)="[",TRIM(MID(TRIM(A614),FIND("]",TRIM(A614)&amp;"]")+1,200)),TRIM(A614)),1)=")",TRIM(LEFT(IF(LEFT(TRIM(A614),1)="[",TRIM(MID(TRIM(A614),FIND("]",TRIM(A614)&amp;"]")+1,200)),TRIM(A614)),FIND("(",IF(LEFT(TRIM(A614),1)="[",TRIM(MID(TRIM(A614),FIND("]",TRIM(A614)&amp;"]")+1,200)),TRIM(A614))&amp;"(")-1)),IF(LEFT(TRIM(A614),1)="[",TRIM(MID(TRIM(A614),FIND("]",TRIM(A614)&amp;"]")+1,200)),TRIM(A614))),""))</f>
      </c>
      <c r="C614" s="17">
        <f>IF(B614&lt;&gt;"",B614,C613)</f>
      </c>
      <c r="D614" s="17">
        <f>IF(A614="","",IF(OR(LEFT(UPPER(TRIM(A614)),2)="Y:",LEFT(UPPER(TRIM(A614)),10)="YESTERDAY:"),"Y",IF(OR(LEFT(UPPER(TRIM(A614)),2)="T:",LEFT(UPPER(TRIM(A614)),6)="TODAY:"),"T",IF(OR(LEFT(UPPER(TRIM(A614)),2)="B:",LEFT(UPPER(TRIM(A614)),8)="BLOCKER:",LEFT(UPPER(TRIM(A614)),9)="BLOCKERS:",LEFT(UPPER(TRIM(A614)),8)="BLOCKED:"),"B",""))))</f>
      </c>
      <c r="E614" s="17">
        <f>IF(D614="","",TRIM(MID(A614,FIND(":",A614)+1,500)))</f>
      </c>
    </row>
    <row r="615">
      <c r="B615" s="17">
        <f>IF(A615="","",IF(COUNTIF(Roster[Name],IF(RIGHT(IF(LEFT(TRIM(A615),1)="[",TRIM(MID(TRIM(A615),FIND("]",TRIM(A615)&amp;"]")+1,200)),TRIM(A615)),1)=")",TRIM(LEFT(IF(LEFT(TRIM(A615),1)="[",TRIM(MID(TRIM(A615),FIND("]",TRIM(A615)&amp;"]")+1,200)),TRIM(A615)),FIND("(",IF(LEFT(TRIM(A615),1)="[",TRIM(MID(TRIM(A615),FIND("]",TRIM(A615)&amp;"]")+1,200)),TRIM(A615))&amp;"(")-1)),IF(LEFT(TRIM(A615),1)="[",TRIM(MID(TRIM(A615),FIND("]",TRIM(A615)&amp;"]")+1,200)),TRIM(A615))))&gt;0,IF(RIGHT(IF(LEFT(TRIM(A615),1)="[",TRIM(MID(TRIM(A615),FIND("]",TRIM(A615)&amp;"]")+1,200)),TRIM(A615)),1)=")",TRIM(LEFT(IF(LEFT(TRIM(A615),1)="[",TRIM(MID(TRIM(A615),FIND("]",TRIM(A615)&amp;"]")+1,200)),TRIM(A615)),FIND("(",IF(LEFT(TRIM(A615),1)="[",TRIM(MID(TRIM(A615),FIND("]",TRIM(A615)&amp;"]")+1,200)),TRIM(A615))&amp;"(")-1)),IF(LEFT(TRIM(A615),1)="[",TRIM(MID(TRIM(A615),FIND("]",TRIM(A615)&amp;"]")+1,200)),TRIM(A615))),""))</f>
      </c>
      <c r="C615" s="17">
        <f>IF(B615&lt;&gt;"",B615,C614)</f>
      </c>
      <c r="D615" s="17">
        <f>IF(A615="","",IF(OR(LEFT(UPPER(TRIM(A615)),2)="Y:",LEFT(UPPER(TRIM(A615)),10)="YESTERDAY:"),"Y",IF(OR(LEFT(UPPER(TRIM(A615)),2)="T:",LEFT(UPPER(TRIM(A615)),6)="TODAY:"),"T",IF(OR(LEFT(UPPER(TRIM(A615)),2)="B:",LEFT(UPPER(TRIM(A615)),8)="BLOCKER:",LEFT(UPPER(TRIM(A615)),9)="BLOCKERS:",LEFT(UPPER(TRIM(A615)),8)="BLOCKED:"),"B",""))))</f>
      </c>
      <c r="E615" s="17">
        <f>IF(D615="","",TRIM(MID(A615,FIND(":",A615)+1,500)))</f>
      </c>
    </row>
    <row r="616">
      <c r="B616" s="17">
        <f>IF(A616="","",IF(COUNTIF(Roster[Name],IF(RIGHT(IF(LEFT(TRIM(A616),1)="[",TRIM(MID(TRIM(A616),FIND("]",TRIM(A616)&amp;"]")+1,200)),TRIM(A616)),1)=")",TRIM(LEFT(IF(LEFT(TRIM(A616),1)="[",TRIM(MID(TRIM(A616),FIND("]",TRIM(A616)&amp;"]")+1,200)),TRIM(A616)),FIND("(",IF(LEFT(TRIM(A616),1)="[",TRIM(MID(TRIM(A616),FIND("]",TRIM(A616)&amp;"]")+1,200)),TRIM(A616))&amp;"(")-1)),IF(LEFT(TRIM(A616),1)="[",TRIM(MID(TRIM(A616),FIND("]",TRIM(A616)&amp;"]")+1,200)),TRIM(A616))))&gt;0,IF(RIGHT(IF(LEFT(TRIM(A616),1)="[",TRIM(MID(TRIM(A616),FIND("]",TRIM(A616)&amp;"]")+1,200)),TRIM(A616)),1)=")",TRIM(LEFT(IF(LEFT(TRIM(A616),1)="[",TRIM(MID(TRIM(A616),FIND("]",TRIM(A616)&amp;"]")+1,200)),TRIM(A616)),FIND("(",IF(LEFT(TRIM(A616),1)="[",TRIM(MID(TRIM(A616),FIND("]",TRIM(A616)&amp;"]")+1,200)),TRIM(A616))&amp;"(")-1)),IF(LEFT(TRIM(A616),1)="[",TRIM(MID(TRIM(A616),FIND("]",TRIM(A616)&amp;"]")+1,200)),TRIM(A616))),""))</f>
      </c>
      <c r="C616" s="17">
        <f>IF(B616&lt;&gt;"",B616,C615)</f>
      </c>
      <c r="D616" s="17">
        <f>IF(A616="","",IF(OR(LEFT(UPPER(TRIM(A616)),2)="Y:",LEFT(UPPER(TRIM(A616)),10)="YESTERDAY:"),"Y",IF(OR(LEFT(UPPER(TRIM(A616)),2)="T:",LEFT(UPPER(TRIM(A616)),6)="TODAY:"),"T",IF(OR(LEFT(UPPER(TRIM(A616)),2)="B:",LEFT(UPPER(TRIM(A616)),8)="BLOCKER:",LEFT(UPPER(TRIM(A616)),9)="BLOCKERS:",LEFT(UPPER(TRIM(A616)),8)="BLOCKED:"),"B",""))))</f>
      </c>
      <c r="E616" s="17">
        <f>IF(D616="","",TRIM(MID(A616,FIND(":",A616)+1,500)))</f>
      </c>
    </row>
    <row r="617">
      <c r="B617" s="17">
        <f>IF(A617="","",IF(COUNTIF(Roster[Name],IF(RIGHT(IF(LEFT(TRIM(A617),1)="[",TRIM(MID(TRIM(A617),FIND("]",TRIM(A617)&amp;"]")+1,200)),TRIM(A617)),1)=")",TRIM(LEFT(IF(LEFT(TRIM(A617),1)="[",TRIM(MID(TRIM(A617),FIND("]",TRIM(A617)&amp;"]")+1,200)),TRIM(A617)),FIND("(",IF(LEFT(TRIM(A617),1)="[",TRIM(MID(TRIM(A617),FIND("]",TRIM(A617)&amp;"]")+1,200)),TRIM(A617))&amp;"(")-1)),IF(LEFT(TRIM(A617),1)="[",TRIM(MID(TRIM(A617),FIND("]",TRIM(A617)&amp;"]")+1,200)),TRIM(A617))))&gt;0,IF(RIGHT(IF(LEFT(TRIM(A617),1)="[",TRIM(MID(TRIM(A617),FIND("]",TRIM(A617)&amp;"]")+1,200)),TRIM(A617)),1)=")",TRIM(LEFT(IF(LEFT(TRIM(A617),1)="[",TRIM(MID(TRIM(A617),FIND("]",TRIM(A617)&amp;"]")+1,200)),TRIM(A617)),FIND("(",IF(LEFT(TRIM(A617),1)="[",TRIM(MID(TRIM(A617),FIND("]",TRIM(A617)&amp;"]")+1,200)),TRIM(A617))&amp;"(")-1)),IF(LEFT(TRIM(A617),1)="[",TRIM(MID(TRIM(A617),FIND("]",TRIM(A617)&amp;"]")+1,200)),TRIM(A617))),""))</f>
      </c>
      <c r="C617" s="17">
        <f>IF(B617&lt;&gt;"",B617,C616)</f>
      </c>
      <c r="D617" s="17">
        <f>IF(A617="","",IF(OR(LEFT(UPPER(TRIM(A617)),2)="Y:",LEFT(UPPER(TRIM(A617)),10)="YESTERDAY:"),"Y",IF(OR(LEFT(UPPER(TRIM(A617)),2)="T:",LEFT(UPPER(TRIM(A617)),6)="TODAY:"),"T",IF(OR(LEFT(UPPER(TRIM(A617)),2)="B:",LEFT(UPPER(TRIM(A617)),8)="BLOCKER:",LEFT(UPPER(TRIM(A617)),9)="BLOCKERS:",LEFT(UPPER(TRIM(A617)),8)="BLOCKED:"),"B",""))))</f>
      </c>
      <c r="E617" s="17">
        <f>IF(D617="","",TRIM(MID(A617,FIND(":",A617)+1,500)))</f>
      </c>
    </row>
    <row r="618">
      <c r="B618" s="17">
        <f>IF(A618="","",IF(COUNTIF(Roster[Name],IF(RIGHT(IF(LEFT(TRIM(A618),1)="[",TRIM(MID(TRIM(A618),FIND("]",TRIM(A618)&amp;"]")+1,200)),TRIM(A618)),1)=")",TRIM(LEFT(IF(LEFT(TRIM(A618),1)="[",TRIM(MID(TRIM(A618),FIND("]",TRIM(A618)&amp;"]")+1,200)),TRIM(A618)),FIND("(",IF(LEFT(TRIM(A618),1)="[",TRIM(MID(TRIM(A618),FIND("]",TRIM(A618)&amp;"]")+1,200)),TRIM(A618))&amp;"(")-1)),IF(LEFT(TRIM(A618),1)="[",TRIM(MID(TRIM(A618),FIND("]",TRIM(A618)&amp;"]")+1,200)),TRIM(A618))))&gt;0,IF(RIGHT(IF(LEFT(TRIM(A618),1)="[",TRIM(MID(TRIM(A618),FIND("]",TRIM(A618)&amp;"]")+1,200)),TRIM(A618)),1)=")",TRIM(LEFT(IF(LEFT(TRIM(A618),1)="[",TRIM(MID(TRIM(A618),FIND("]",TRIM(A618)&amp;"]")+1,200)),TRIM(A618)),FIND("(",IF(LEFT(TRIM(A618),1)="[",TRIM(MID(TRIM(A618),FIND("]",TRIM(A618)&amp;"]")+1,200)),TRIM(A618))&amp;"(")-1)),IF(LEFT(TRIM(A618),1)="[",TRIM(MID(TRIM(A618),FIND("]",TRIM(A618)&amp;"]")+1,200)),TRIM(A618))),""))</f>
      </c>
      <c r="C618" s="17">
        <f>IF(B618&lt;&gt;"",B618,C617)</f>
      </c>
      <c r="D618" s="17">
        <f>IF(A618="","",IF(OR(LEFT(UPPER(TRIM(A618)),2)="Y:",LEFT(UPPER(TRIM(A618)),10)="YESTERDAY:"),"Y",IF(OR(LEFT(UPPER(TRIM(A618)),2)="T:",LEFT(UPPER(TRIM(A618)),6)="TODAY:"),"T",IF(OR(LEFT(UPPER(TRIM(A618)),2)="B:",LEFT(UPPER(TRIM(A618)),8)="BLOCKER:",LEFT(UPPER(TRIM(A618)),9)="BLOCKERS:",LEFT(UPPER(TRIM(A618)),8)="BLOCKED:"),"B",""))))</f>
      </c>
      <c r="E618" s="17">
        <f>IF(D618="","",TRIM(MID(A618,FIND(":",A618)+1,500)))</f>
      </c>
    </row>
    <row r="619">
      <c r="B619" s="17">
        <f>IF(A619="","",IF(COUNTIF(Roster[Name],IF(RIGHT(IF(LEFT(TRIM(A619),1)="[",TRIM(MID(TRIM(A619),FIND("]",TRIM(A619)&amp;"]")+1,200)),TRIM(A619)),1)=")",TRIM(LEFT(IF(LEFT(TRIM(A619),1)="[",TRIM(MID(TRIM(A619),FIND("]",TRIM(A619)&amp;"]")+1,200)),TRIM(A619)),FIND("(",IF(LEFT(TRIM(A619),1)="[",TRIM(MID(TRIM(A619),FIND("]",TRIM(A619)&amp;"]")+1,200)),TRIM(A619))&amp;"(")-1)),IF(LEFT(TRIM(A619),1)="[",TRIM(MID(TRIM(A619),FIND("]",TRIM(A619)&amp;"]")+1,200)),TRIM(A619))))&gt;0,IF(RIGHT(IF(LEFT(TRIM(A619),1)="[",TRIM(MID(TRIM(A619),FIND("]",TRIM(A619)&amp;"]")+1,200)),TRIM(A619)),1)=")",TRIM(LEFT(IF(LEFT(TRIM(A619),1)="[",TRIM(MID(TRIM(A619),FIND("]",TRIM(A619)&amp;"]")+1,200)),TRIM(A619)),FIND("(",IF(LEFT(TRIM(A619),1)="[",TRIM(MID(TRIM(A619),FIND("]",TRIM(A619)&amp;"]")+1,200)),TRIM(A619))&amp;"(")-1)),IF(LEFT(TRIM(A619),1)="[",TRIM(MID(TRIM(A619),FIND("]",TRIM(A619)&amp;"]")+1,200)),TRIM(A619))),""))</f>
      </c>
      <c r="C619" s="17">
        <f>IF(B619&lt;&gt;"",B619,C618)</f>
      </c>
      <c r="D619" s="17">
        <f>IF(A619="","",IF(OR(LEFT(UPPER(TRIM(A619)),2)="Y:",LEFT(UPPER(TRIM(A619)),10)="YESTERDAY:"),"Y",IF(OR(LEFT(UPPER(TRIM(A619)),2)="T:",LEFT(UPPER(TRIM(A619)),6)="TODAY:"),"T",IF(OR(LEFT(UPPER(TRIM(A619)),2)="B:",LEFT(UPPER(TRIM(A619)),8)="BLOCKER:",LEFT(UPPER(TRIM(A619)),9)="BLOCKERS:",LEFT(UPPER(TRIM(A619)),8)="BLOCKED:"),"B",""))))</f>
      </c>
      <c r="E619" s="17">
        <f>IF(D619="","",TRIM(MID(A619,FIND(":",A619)+1,500)))</f>
      </c>
    </row>
    <row r="620">
      <c r="B620" s="17">
        <f>IF(A620="","",IF(COUNTIF(Roster[Name],IF(RIGHT(IF(LEFT(TRIM(A620),1)="[",TRIM(MID(TRIM(A620),FIND("]",TRIM(A620)&amp;"]")+1,200)),TRIM(A620)),1)=")",TRIM(LEFT(IF(LEFT(TRIM(A620),1)="[",TRIM(MID(TRIM(A620),FIND("]",TRIM(A620)&amp;"]")+1,200)),TRIM(A620)),FIND("(",IF(LEFT(TRIM(A620),1)="[",TRIM(MID(TRIM(A620),FIND("]",TRIM(A620)&amp;"]")+1,200)),TRIM(A620))&amp;"(")-1)),IF(LEFT(TRIM(A620),1)="[",TRIM(MID(TRIM(A620),FIND("]",TRIM(A620)&amp;"]")+1,200)),TRIM(A620))))&gt;0,IF(RIGHT(IF(LEFT(TRIM(A620),1)="[",TRIM(MID(TRIM(A620),FIND("]",TRIM(A620)&amp;"]")+1,200)),TRIM(A620)),1)=")",TRIM(LEFT(IF(LEFT(TRIM(A620),1)="[",TRIM(MID(TRIM(A620),FIND("]",TRIM(A620)&amp;"]")+1,200)),TRIM(A620)),FIND("(",IF(LEFT(TRIM(A620),1)="[",TRIM(MID(TRIM(A620),FIND("]",TRIM(A620)&amp;"]")+1,200)),TRIM(A620))&amp;"(")-1)),IF(LEFT(TRIM(A620),1)="[",TRIM(MID(TRIM(A620),FIND("]",TRIM(A620)&amp;"]")+1,200)),TRIM(A620))),""))</f>
      </c>
      <c r="C620" s="17">
        <f>IF(B620&lt;&gt;"",B620,C619)</f>
      </c>
      <c r="D620" s="17">
        <f>IF(A620="","",IF(OR(LEFT(UPPER(TRIM(A620)),2)="Y:",LEFT(UPPER(TRIM(A620)),10)="YESTERDAY:"),"Y",IF(OR(LEFT(UPPER(TRIM(A620)),2)="T:",LEFT(UPPER(TRIM(A620)),6)="TODAY:"),"T",IF(OR(LEFT(UPPER(TRIM(A620)),2)="B:",LEFT(UPPER(TRIM(A620)),8)="BLOCKER:",LEFT(UPPER(TRIM(A620)),9)="BLOCKERS:",LEFT(UPPER(TRIM(A620)),8)="BLOCKED:"),"B",""))))</f>
      </c>
      <c r="E620" s="17">
        <f>IF(D620="","",TRIM(MID(A620,FIND(":",A620)+1,500)))</f>
      </c>
    </row>
    <row r="621">
      <c r="B621" s="17">
        <f>IF(A621="","",IF(COUNTIF(Roster[Name],IF(RIGHT(IF(LEFT(TRIM(A621),1)="[",TRIM(MID(TRIM(A621),FIND("]",TRIM(A621)&amp;"]")+1,200)),TRIM(A621)),1)=")",TRIM(LEFT(IF(LEFT(TRIM(A621),1)="[",TRIM(MID(TRIM(A621),FIND("]",TRIM(A621)&amp;"]")+1,200)),TRIM(A621)),FIND("(",IF(LEFT(TRIM(A621),1)="[",TRIM(MID(TRIM(A621),FIND("]",TRIM(A621)&amp;"]")+1,200)),TRIM(A621))&amp;"(")-1)),IF(LEFT(TRIM(A621),1)="[",TRIM(MID(TRIM(A621),FIND("]",TRIM(A621)&amp;"]")+1,200)),TRIM(A621))))&gt;0,IF(RIGHT(IF(LEFT(TRIM(A621),1)="[",TRIM(MID(TRIM(A621),FIND("]",TRIM(A621)&amp;"]")+1,200)),TRIM(A621)),1)=")",TRIM(LEFT(IF(LEFT(TRIM(A621),1)="[",TRIM(MID(TRIM(A621),FIND("]",TRIM(A621)&amp;"]")+1,200)),TRIM(A621)),FIND("(",IF(LEFT(TRIM(A621),1)="[",TRIM(MID(TRIM(A621),FIND("]",TRIM(A621)&amp;"]")+1,200)),TRIM(A621))&amp;"(")-1)),IF(LEFT(TRIM(A621),1)="[",TRIM(MID(TRIM(A621),FIND("]",TRIM(A621)&amp;"]")+1,200)),TRIM(A621))),""))</f>
      </c>
      <c r="C621" s="17">
        <f>IF(B621&lt;&gt;"",B621,C620)</f>
      </c>
      <c r="D621" s="17">
        <f>IF(A621="","",IF(OR(LEFT(UPPER(TRIM(A621)),2)="Y:",LEFT(UPPER(TRIM(A621)),10)="YESTERDAY:"),"Y",IF(OR(LEFT(UPPER(TRIM(A621)),2)="T:",LEFT(UPPER(TRIM(A621)),6)="TODAY:"),"T",IF(OR(LEFT(UPPER(TRIM(A621)),2)="B:",LEFT(UPPER(TRIM(A621)),8)="BLOCKER:",LEFT(UPPER(TRIM(A621)),9)="BLOCKERS:",LEFT(UPPER(TRIM(A621)),8)="BLOCKED:"),"B",""))))</f>
      </c>
      <c r="E621" s="17">
        <f>IF(D621="","",TRIM(MID(A621,FIND(":",A621)+1,500)))</f>
      </c>
    </row>
    <row r="622">
      <c r="B622" s="17">
        <f>IF(A622="","",IF(COUNTIF(Roster[Name],IF(RIGHT(IF(LEFT(TRIM(A622),1)="[",TRIM(MID(TRIM(A622),FIND("]",TRIM(A622)&amp;"]")+1,200)),TRIM(A622)),1)=")",TRIM(LEFT(IF(LEFT(TRIM(A622),1)="[",TRIM(MID(TRIM(A622),FIND("]",TRIM(A622)&amp;"]")+1,200)),TRIM(A622)),FIND("(",IF(LEFT(TRIM(A622),1)="[",TRIM(MID(TRIM(A622),FIND("]",TRIM(A622)&amp;"]")+1,200)),TRIM(A622))&amp;"(")-1)),IF(LEFT(TRIM(A622),1)="[",TRIM(MID(TRIM(A622),FIND("]",TRIM(A622)&amp;"]")+1,200)),TRIM(A622))))&gt;0,IF(RIGHT(IF(LEFT(TRIM(A622),1)="[",TRIM(MID(TRIM(A622),FIND("]",TRIM(A622)&amp;"]")+1,200)),TRIM(A622)),1)=")",TRIM(LEFT(IF(LEFT(TRIM(A622),1)="[",TRIM(MID(TRIM(A622),FIND("]",TRIM(A622)&amp;"]")+1,200)),TRIM(A622)),FIND("(",IF(LEFT(TRIM(A622),1)="[",TRIM(MID(TRIM(A622),FIND("]",TRIM(A622)&amp;"]")+1,200)),TRIM(A622))&amp;"(")-1)),IF(LEFT(TRIM(A622),1)="[",TRIM(MID(TRIM(A622),FIND("]",TRIM(A622)&amp;"]")+1,200)),TRIM(A622))),""))</f>
      </c>
      <c r="C622" s="17">
        <f>IF(B622&lt;&gt;"",B622,C621)</f>
      </c>
      <c r="D622" s="17">
        <f>IF(A622="","",IF(OR(LEFT(UPPER(TRIM(A622)),2)="Y:",LEFT(UPPER(TRIM(A622)),10)="YESTERDAY:"),"Y",IF(OR(LEFT(UPPER(TRIM(A622)),2)="T:",LEFT(UPPER(TRIM(A622)),6)="TODAY:"),"T",IF(OR(LEFT(UPPER(TRIM(A622)),2)="B:",LEFT(UPPER(TRIM(A622)),8)="BLOCKER:",LEFT(UPPER(TRIM(A622)),9)="BLOCKERS:",LEFT(UPPER(TRIM(A622)),8)="BLOCKED:"),"B",""))))</f>
      </c>
      <c r="E622" s="17">
        <f>IF(D622="","",TRIM(MID(A622,FIND(":",A622)+1,500)))</f>
      </c>
    </row>
    <row r="623">
      <c r="B623" s="17">
        <f>IF(A623="","",IF(COUNTIF(Roster[Name],IF(RIGHT(IF(LEFT(TRIM(A623),1)="[",TRIM(MID(TRIM(A623),FIND("]",TRIM(A623)&amp;"]")+1,200)),TRIM(A623)),1)=")",TRIM(LEFT(IF(LEFT(TRIM(A623),1)="[",TRIM(MID(TRIM(A623),FIND("]",TRIM(A623)&amp;"]")+1,200)),TRIM(A623)),FIND("(",IF(LEFT(TRIM(A623),1)="[",TRIM(MID(TRIM(A623),FIND("]",TRIM(A623)&amp;"]")+1,200)),TRIM(A623))&amp;"(")-1)),IF(LEFT(TRIM(A623),1)="[",TRIM(MID(TRIM(A623),FIND("]",TRIM(A623)&amp;"]")+1,200)),TRIM(A623))))&gt;0,IF(RIGHT(IF(LEFT(TRIM(A623),1)="[",TRIM(MID(TRIM(A623),FIND("]",TRIM(A623)&amp;"]")+1,200)),TRIM(A623)),1)=")",TRIM(LEFT(IF(LEFT(TRIM(A623),1)="[",TRIM(MID(TRIM(A623),FIND("]",TRIM(A623)&amp;"]")+1,200)),TRIM(A623)),FIND("(",IF(LEFT(TRIM(A623),1)="[",TRIM(MID(TRIM(A623),FIND("]",TRIM(A623)&amp;"]")+1,200)),TRIM(A623))&amp;"(")-1)),IF(LEFT(TRIM(A623),1)="[",TRIM(MID(TRIM(A623),FIND("]",TRIM(A623)&amp;"]")+1,200)),TRIM(A623))),""))</f>
      </c>
      <c r="C623" s="17">
        <f>IF(B623&lt;&gt;"",B623,C622)</f>
      </c>
      <c r="D623" s="17">
        <f>IF(A623="","",IF(OR(LEFT(UPPER(TRIM(A623)),2)="Y:",LEFT(UPPER(TRIM(A623)),10)="YESTERDAY:"),"Y",IF(OR(LEFT(UPPER(TRIM(A623)),2)="T:",LEFT(UPPER(TRIM(A623)),6)="TODAY:"),"T",IF(OR(LEFT(UPPER(TRIM(A623)),2)="B:",LEFT(UPPER(TRIM(A623)),8)="BLOCKER:",LEFT(UPPER(TRIM(A623)),9)="BLOCKERS:",LEFT(UPPER(TRIM(A623)),8)="BLOCKED:"),"B",""))))</f>
      </c>
      <c r="E623" s="17">
        <f>IF(D623="","",TRIM(MID(A623,FIND(":",A623)+1,500)))</f>
      </c>
    </row>
    <row r="624">
      <c r="B624" s="17">
        <f>IF(A624="","",IF(COUNTIF(Roster[Name],IF(RIGHT(IF(LEFT(TRIM(A624),1)="[",TRIM(MID(TRIM(A624),FIND("]",TRIM(A624)&amp;"]")+1,200)),TRIM(A624)),1)=")",TRIM(LEFT(IF(LEFT(TRIM(A624),1)="[",TRIM(MID(TRIM(A624),FIND("]",TRIM(A624)&amp;"]")+1,200)),TRIM(A624)),FIND("(",IF(LEFT(TRIM(A624),1)="[",TRIM(MID(TRIM(A624),FIND("]",TRIM(A624)&amp;"]")+1,200)),TRIM(A624))&amp;"(")-1)),IF(LEFT(TRIM(A624),1)="[",TRIM(MID(TRIM(A624),FIND("]",TRIM(A624)&amp;"]")+1,200)),TRIM(A624))))&gt;0,IF(RIGHT(IF(LEFT(TRIM(A624),1)="[",TRIM(MID(TRIM(A624),FIND("]",TRIM(A624)&amp;"]")+1,200)),TRIM(A624)),1)=")",TRIM(LEFT(IF(LEFT(TRIM(A624),1)="[",TRIM(MID(TRIM(A624),FIND("]",TRIM(A624)&amp;"]")+1,200)),TRIM(A624)),FIND("(",IF(LEFT(TRIM(A624),1)="[",TRIM(MID(TRIM(A624),FIND("]",TRIM(A624)&amp;"]")+1,200)),TRIM(A624))&amp;"(")-1)),IF(LEFT(TRIM(A624),1)="[",TRIM(MID(TRIM(A624),FIND("]",TRIM(A624)&amp;"]")+1,200)),TRIM(A624))),""))</f>
      </c>
      <c r="C624" s="17">
        <f>IF(B624&lt;&gt;"",B624,C623)</f>
      </c>
      <c r="D624" s="17">
        <f>IF(A624="","",IF(OR(LEFT(UPPER(TRIM(A624)),2)="Y:",LEFT(UPPER(TRIM(A624)),10)="YESTERDAY:"),"Y",IF(OR(LEFT(UPPER(TRIM(A624)),2)="T:",LEFT(UPPER(TRIM(A624)),6)="TODAY:"),"T",IF(OR(LEFT(UPPER(TRIM(A624)),2)="B:",LEFT(UPPER(TRIM(A624)),8)="BLOCKER:",LEFT(UPPER(TRIM(A624)),9)="BLOCKERS:",LEFT(UPPER(TRIM(A624)),8)="BLOCKED:"),"B",""))))</f>
      </c>
      <c r="E624" s="17">
        <f>IF(D624="","",TRIM(MID(A624,FIND(":",A624)+1,500)))</f>
      </c>
    </row>
    <row r="625">
      <c r="B625" s="17">
        <f>IF(A625="","",IF(COUNTIF(Roster[Name],IF(RIGHT(IF(LEFT(TRIM(A625),1)="[",TRIM(MID(TRIM(A625),FIND("]",TRIM(A625)&amp;"]")+1,200)),TRIM(A625)),1)=")",TRIM(LEFT(IF(LEFT(TRIM(A625),1)="[",TRIM(MID(TRIM(A625),FIND("]",TRIM(A625)&amp;"]")+1,200)),TRIM(A625)),FIND("(",IF(LEFT(TRIM(A625),1)="[",TRIM(MID(TRIM(A625),FIND("]",TRIM(A625)&amp;"]")+1,200)),TRIM(A625))&amp;"(")-1)),IF(LEFT(TRIM(A625),1)="[",TRIM(MID(TRIM(A625),FIND("]",TRIM(A625)&amp;"]")+1,200)),TRIM(A625))))&gt;0,IF(RIGHT(IF(LEFT(TRIM(A625),1)="[",TRIM(MID(TRIM(A625),FIND("]",TRIM(A625)&amp;"]")+1,200)),TRIM(A625)),1)=")",TRIM(LEFT(IF(LEFT(TRIM(A625),1)="[",TRIM(MID(TRIM(A625),FIND("]",TRIM(A625)&amp;"]")+1,200)),TRIM(A625)),FIND("(",IF(LEFT(TRIM(A625),1)="[",TRIM(MID(TRIM(A625),FIND("]",TRIM(A625)&amp;"]")+1,200)),TRIM(A625))&amp;"(")-1)),IF(LEFT(TRIM(A625),1)="[",TRIM(MID(TRIM(A625),FIND("]",TRIM(A625)&amp;"]")+1,200)),TRIM(A625))),""))</f>
      </c>
      <c r="C625" s="17">
        <f>IF(B625&lt;&gt;"",B625,C624)</f>
      </c>
      <c r="D625" s="17">
        <f>IF(A625="","",IF(OR(LEFT(UPPER(TRIM(A625)),2)="Y:",LEFT(UPPER(TRIM(A625)),10)="YESTERDAY:"),"Y",IF(OR(LEFT(UPPER(TRIM(A625)),2)="T:",LEFT(UPPER(TRIM(A625)),6)="TODAY:"),"T",IF(OR(LEFT(UPPER(TRIM(A625)),2)="B:",LEFT(UPPER(TRIM(A625)),8)="BLOCKER:",LEFT(UPPER(TRIM(A625)),9)="BLOCKERS:",LEFT(UPPER(TRIM(A625)),8)="BLOCKED:"),"B",""))))</f>
      </c>
      <c r="E625" s="17">
        <f>IF(D625="","",TRIM(MID(A625,FIND(":",A625)+1,500)))</f>
      </c>
    </row>
    <row r="626">
      <c r="B626" s="17">
        <f>IF(A626="","",IF(COUNTIF(Roster[Name],IF(RIGHT(IF(LEFT(TRIM(A626),1)="[",TRIM(MID(TRIM(A626),FIND("]",TRIM(A626)&amp;"]")+1,200)),TRIM(A626)),1)=")",TRIM(LEFT(IF(LEFT(TRIM(A626),1)="[",TRIM(MID(TRIM(A626),FIND("]",TRIM(A626)&amp;"]")+1,200)),TRIM(A626)),FIND("(",IF(LEFT(TRIM(A626),1)="[",TRIM(MID(TRIM(A626),FIND("]",TRIM(A626)&amp;"]")+1,200)),TRIM(A626))&amp;"(")-1)),IF(LEFT(TRIM(A626),1)="[",TRIM(MID(TRIM(A626),FIND("]",TRIM(A626)&amp;"]")+1,200)),TRIM(A626))))&gt;0,IF(RIGHT(IF(LEFT(TRIM(A626),1)="[",TRIM(MID(TRIM(A626),FIND("]",TRIM(A626)&amp;"]")+1,200)),TRIM(A626)),1)=")",TRIM(LEFT(IF(LEFT(TRIM(A626),1)="[",TRIM(MID(TRIM(A626),FIND("]",TRIM(A626)&amp;"]")+1,200)),TRIM(A626)),FIND("(",IF(LEFT(TRIM(A626),1)="[",TRIM(MID(TRIM(A626),FIND("]",TRIM(A626)&amp;"]")+1,200)),TRIM(A626))&amp;"(")-1)),IF(LEFT(TRIM(A626),1)="[",TRIM(MID(TRIM(A626),FIND("]",TRIM(A626)&amp;"]")+1,200)),TRIM(A626))),""))</f>
      </c>
      <c r="C626" s="17">
        <f>IF(B626&lt;&gt;"",B626,C625)</f>
      </c>
      <c r="D626" s="17">
        <f>IF(A626="","",IF(OR(LEFT(UPPER(TRIM(A626)),2)="Y:",LEFT(UPPER(TRIM(A626)),10)="YESTERDAY:"),"Y",IF(OR(LEFT(UPPER(TRIM(A626)),2)="T:",LEFT(UPPER(TRIM(A626)),6)="TODAY:"),"T",IF(OR(LEFT(UPPER(TRIM(A626)),2)="B:",LEFT(UPPER(TRIM(A626)),8)="BLOCKER:",LEFT(UPPER(TRIM(A626)),9)="BLOCKERS:",LEFT(UPPER(TRIM(A626)),8)="BLOCKED:"),"B",""))))</f>
      </c>
      <c r="E626" s="17">
        <f>IF(D626="","",TRIM(MID(A626,FIND(":",A626)+1,500)))</f>
      </c>
    </row>
    <row r="627">
      <c r="B627" s="17">
        <f>IF(A627="","",IF(COUNTIF(Roster[Name],IF(RIGHT(IF(LEFT(TRIM(A627),1)="[",TRIM(MID(TRIM(A627),FIND("]",TRIM(A627)&amp;"]")+1,200)),TRIM(A627)),1)=")",TRIM(LEFT(IF(LEFT(TRIM(A627),1)="[",TRIM(MID(TRIM(A627),FIND("]",TRIM(A627)&amp;"]")+1,200)),TRIM(A627)),FIND("(",IF(LEFT(TRIM(A627),1)="[",TRIM(MID(TRIM(A627),FIND("]",TRIM(A627)&amp;"]")+1,200)),TRIM(A627))&amp;"(")-1)),IF(LEFT(TRIM(A627),1)="[",TRIM(MID(TRIM(A627),FIND("]",TRIM(A627)&amp;"]")+1,200)),TRIM(A627))))&gt;0,IF(RIGHT(IF(LEFT(TRIM(A627),1)="[",TRIM(MID(TRIM(A627),FIND("]",TRIM(A627)&amp;"]")+1,200)),TRIM(A627)),1)=")",TRIM(LEFT(IF(LEFT(TRIM(A627),1)="[",TRIM(MID(TRIM(A627),FIND("]",TRIM(A627)&amp;"]")+1,200)),TRIM(A627)),FIND("(",IF(LEFT(TRIM(A627),1)="[",TRIM(MID(TRIM(A627),FIND("]",TRIM(A627)&amp;"]")+1,200)),TRIM(A627))&amp;"(")-1)),IF(LEFT(TRIM(A627),1)="[",TRIM(MID(TRIM(A627),FIND("]",TRIM(A627)&amp;"]")+1,200)),TRIM(A627))),""))</f>
      </c>
      <c r="C627" s="17">
        <f>IF(B627&lt;&gt;"",B627,C626)</f>
      </c>
      <c r="D627" s="17">
        <f>IF(A627="","",IF(OR(LEFT(UPPER(TRIM(A627)),2)="Y:",LEFT(UPPER(TRIM(A627)),10)="YESTERDAY:"),"Y",IF(OR(LEFT(UPPER(TRIM(A627)),2)="T:",LEFT(UPPER(TRIM(A627)),6)="TODAY:"),"T",IF(OR(LEFT(UPPER(TRIM(A627)),2)="B:",LEFT(UPPER(TRIM(A627)),8)="BLOCKER:",LEFT(UPPER(TRIM(A627)),9)="BLOCKERS:",LEFT(UPPER(TRIM(A627)),8)="BLOCKED:"),"B",""))))</f>
      </c>
      <c r="E627" s="17">
        <f>IF(D627="","",TRIM(MID(A627,FIND(":",A627)+1,500)))</f>
      </c>
    </row>
    <row r="628">
      <c r="B628" s="17">
        <f>IF(A628="","",IF(COUNTIF(Roster[Name],IF(RIGHT(IF(LEFT(TRIM(A628),1)="[",TRIM(MID(TRIM(A628),FIND("]",TRIM(A628)&amp;"]")+1,200)),TRIM(A628)),1)=")",TRIM(LEFT(IF(LEFT(TRIM(A628),1)="[",TRIM(MID(TRIM(A628),FIND("]",TRIM(A628)&amp;"]")+1,200)),TRIM(A628)),FIND("(",IF(LEFT(TRIM(A628),1)="[",TRIM(MID(TRIM(A628),FIND("]",TRIM(A628)&amp;"]")+1,200)),TRIM(A628))&amp;"(")-1)),IF(LEFT(TRIM(A628),1)="[",TRIM(MID(TRIM(A628),FIND("]",TRIM(A628)&amp;"]")+1,200)),TRIM(A628))))&gt;0,IF(RIGHT(IF(LEFT(TRIM(A628),1)="[",TRIM(MID(TRIM(A628),FIND("]",TRIM(A628)&amp;"]")+1,200)),TRIM(A628)),1)=")",TRIM(LEFT(IF(LEFT(TRIM(A628),1)="[",TRIM(MID(TRIM(A628),FIND("]",TRIM(A628)&amp;"]")+1,200)),TRIM(A628)),FIND("(",IF(LEFT(TRIM(A628),1)="[",TRIM(MID(TRIM(A628),FIND("]",TRIM(A628)&amp;"]")+1,200)),TRIM(A628))&amp;"(")-1)),IF(LEFT(TRIM(A628),1)="[",TRIM(MID(TRIM(A628),FIND("]",TRIM(A628)&amp;"]")+1,200)),TRIM(A628))),""))</f>
      </c>
      <c r="C628" s="17">
        <f>IF(B628&lt;&gt;"",B628,C627)</f>
      </c>
      <c r="D628" s="17">
        <f>IF(A628="","",IF(OR(LEFT(UPPER(TRIM(A628)),2)="Y:",LEFT(UPPER(TRIM(A628)),10)="YESTERDAY:"),"Y",IF(OR(LEFT(UPPER(TRIM(A628)),2)="T:",LEFT(UPPER(TRIM(A628)),6)="TODAY:"),"T",IF(OR(LEFT(UPPER(TRIM(A628)),2)="B:",LEFT(UPPER(TRIM(A628)),8)="BLOCKER:",LEFT(UPPER(TRIM(A628)),9)="BLOCKERS:",LEFT(UPPER(TRIM(A628)),8)="BLOCKED:"),"B",""))))</f>
      </c>
      <c r="E628" s="17">
        <f>IF(D628="","",TRIM(MID(A628,FIND(":",A628)+1,500)))</f>
      </c>
    </row>
    <row r="629">
      <c r="B629" s="17">
        <f>IF(A629="","",IF(COUNTIF(Roster[Name],IF(RIGHT(IF(LEFT(TRIM(A629),1)="[",TRIM(MID(TRIM(A629),FIND("]",TRIM(A629)&amp;"]")+1,200)),TRIM(A629)),1)=")",TRIM(LEFT(IF(LEFT(TRIM(A629),1)="[",TRIM(MID(TRIM(A629),FIND("]",TRIM(A629)&amp;"]")+1,200)),TRIM(A629)),FIND("(",IF(LEFT(TRIM(A629),1)="[",TRIM(MID(TRIM(A629),FIND("]",TRIM(A629)&amp;"]")+1,200)),TRIM(A629))&amp;"(")-1)),IF(LEFT(TRIM(A629),1)="[",TRIM(MID(TRIM(A629),FIND("]",TRIM(A629)&amp;"]")+1,200)),TRIM(A629))))&gt;0,IF(RIGHT(IF(LEFT(TRIM(A629),1)="[",TRIM(MID(TRIM(A629),FIND("]",TRIM(A629)&amp;"]")+1,200)),TRIM(A629)),1)=")",TRIM(LEFT(IF(LEFT(TRIM(A629),1)="[",TRIM(MID(TRIM(A629),FIND("]",TRIM(A629)&amp;"]")+1,200)),TRIM(A629)),FIND("(",IF(LEFT(TRIM(A629),1)="[",TRIM(MID(TRIM(A629),FIND("]",TRIM(A629)&amp;"]")+1,200)),TRIM(A629))&amp;"(")-1)),IF(LEFT(TRIM(A629),1)="[",TRIM(MID(TRIM(A629),FIND("]",TRIM(A629)&amp;"]")+1,200)),TRIM(A629))),""))</f>
      </c>
      <c r="C629" s="17">
        <f>IF(B629&lt;&gt;"",B629,C628)</f>
      </c>
      <c r="D629" s="17">
        <f>IF(A629="","",IF(OR(LEFT(UPPER(TRIM(A629)),2)="Y:",LEFT(UPPER(TRIM(A629)),10)="YESTERDAY:"),"Y",IF(OR(LEFT(UPPER(TRIM(A629)),2)="T:",LEFT(UPPER(TRIM(A629)),6)="TODAY:"),"T",IF(OR(LEFT(UPPER(TRIM(A629)),2)="B:",LEFT(UPPER(TRIM(A629)),8)="BLOCKER:",LEFT(UPPER(TRIM(A629)),9)="BLOCKERS:",LEFT(UPPER(TRIM(A629)),8)="BLOCKED:"),"B",""))))</f>
      </c>
      <c r="E629" s="17">
        <f>IF(D629="","",TRIM(MID(A629,FIND(":",A629)+1,500)))</f>
      </c>
    </row>
    <row r="630">
      <c r="B630" s="17">
        <f>IF(A630="","",IF(COUNTIF(Roster[Name],IF(RIGHT(IF(LEFT(TRIM(A630),1)="[",TRIM(MID(TRIM(A630),FIND("]",TRIM(A630)&amp;"]")+1,200)),TRIM(A630)),1)=")",TRIM(LEFT(IF(LEFT(TRIM(A630),1)="[",TRIM(MID(TRIM(A630),FIND("]",TRIM(A630)&amp;"]")+1,200)),TRIM(A630)),FIND("(",IF(LEFT(TRIM(A630),1)="[",TRIM(MID(TRIM(A630),FIND("]",TRIM(A630)&amp;"]")+1,200)),TRIM(A630))&amp;"(")-1)),IF(LEFT(TRIM(A630),1)="[",TRIM(MID(TRIM(A630),FIND("]",TRIM(A630)&amp;"]")+1,200)),TRIM(A630))))&gt;0,IF(RIGHT(IF(LEFT(TRIM(A630),1)="[",TRIM(MID(TRIM(A630),FIND("]",TRIM(A630)&amp;"]")+1,200)),TRIM(A630)),1)=")",TRIM(LEFT(IF(LEFT(TRIM(A630),1)="[",TRIM(MID(TRIM(A630),FIND("]",TRIM(A630)&amp;"]")+1,200)),TRIM(A630)),FIND("(",IF(LEFT(TRIM(A630),1)="[",TRIM(MID(TRIM(A630),FIND("]",TRIM(A630)&amp;"]")+1,200)),TRIM(A630))&amp;"(")-1)),IF(LEFT(TRIM(A630),1)="[",TRIM(MID(TRIM(A630),FIND("]",TRIM(A630)&amp;"]")+1,200)),TRIM(A630))),""))</f>
      </c>
      <c r="C630" s="17">
        <f>IF(B630&lt;&gt;"",B630,C629)</f>
      </c>
      <c r="D630" s="17">
        <f>IF(A630="","",IF(OR(LEFT(UPPER(TRIM(A630)),2)="Y:",LEFT(UPPER(TRIM(A630)),10)="YESTERDAY:"),"Y",IF(OR(LEFT(UPPER(TRIM(A630)),2)="T:",LEFT(UPPER(TRIM(A630)),6)="TODAY:"),"T",IF(OR(LEFT(UPPER(TRIM(A630)),2)="B:",LEFT(UPPER(TRIM(A630)),8)="BLOCKER:",LEFT(UPPER(TRIM(A630)),9)="BLOCKERS:",LEFT(UPPER(TRIM(A630)),8)="BLOCKED:"),"B",""))))</f>
      </c>
      <c r="E630" s="17">
        <f>IF(D630="","",TRIM(MID(A630,FIND(":",A630)+1,500)))</f>
      </c>
    </row>
    <row r="631">
      <c r="B631" s="17">
        <f>IF(A631="","",IF(COUNTIF(Roster[Name],IF(RIGHT(IF(LEFT(TRIM(A631),1)="[",TRIM(MID(TRIM(A631),FIND("]",TRIM(A631)&amp;"]")+1,200)),TRIM(A631)),1)=")",TRIM(LEFT(IF(LEFT(TRIM(A631),1)="[",TRIM(MID(TRIM(A631),FIND("]",TRIM(A631)&amp;"]")+1,200)),TRIM(A631)),FIND("(",IF(LEFT(TRIM(A631),1)="[",TRIM(MID(TRIM(A631),FIND("]",TRIM(A631)&amp;"]")+1,200)),TRIM(A631))&amp;"(")-1)),IF(LEFT(TRIM(A631),1)="[",TRIM(MID(TRIM(A631),FIND("]",TRIM(A631)&amp;"]")+1,200)),TRIM(A631))))&gt;0,IF(RIGHT(IF(LEFT(TRIM(A631),1)="[",TRIM(MID(TRIM(A631),FIND("]",TRIM(A631)&amp;"]")+1,200)),TRIM(A631)),1)=")",TRIM(LEFT(IF(LEFT(TRIM(A631),1)="[",TRIM(MID(TRIM(A631),FIND("]",TRIM(A631)&amp;"]")+1,200)),TRIM(A631)),FIND("(",IF(LEFT(TRIM(A631),1)="[",TRIM(MID(TRIM(A631),FIND("]",TRIM(A631)&amp;"]")+1,200)),TRIM(A631))&amp;"(")-1)),IF(LEFT(TRIM(A631),1)="[",TRIM(MID(TRIM(A631),FIND("]",TRIM(A631)&amp;"]")+1,200)),TRIM(A631))),""))</f>
      </c>
      <c r="C631" s="17">
        <f>IF(B631&lt;&gt;"",B631,C630)</f>
      </c>
      <c r="D631" s="17">
        <f>IF(A631="","",IF(OR(LEFT(UPPER(TRIM(A631)),2)="Y:",LEFT(UPPER(TRIM(A631)),10)="YESTERDAY:"),"Y",IF(OR(LEFT(UPPER(TRIM(A631)),2)="T:",LEFT(UPPER(TRIM(A631)),6)="TODAY:"),"T",IF(OR(LEFT(UPPER(TRIM(A631)),2)="B:",LEFT(UPPER(TRIM(A631)),8)="BLOCKER:",LEFT(UPPER(TRIM(A631)),9)="BLOCKERS:",LEFT(UPPER(TRIM(A631)),8)="BLOCKED:"),"B",""))))</f>
      </c>
      <c r="E631" s="17">
        <f>IF(D631="","",TRIM(MID(A631,FIND(":",A631)+1,500)))</f>
      </c>
    </row>
    <row r="632">
      <c r="B632" s="17">
        <f>IF(A632="","",IF(COUNTIF(Roster[Name],IF(RIGHT(IF(LEFT(TRIM(A632),1)="[",TRIM(MID(TRIM(A632),FIND("]",TRIM(A632)&amp;"]")+1,200)),TRIM(A632)),1)=")",TRIM(LEFT(IF(LEFT(TRIM(A632),1)="[",TRIM(MID(TRIM(A632),FIND("]",TRIM(A632)&amp;"]")+1,200)),TRIM(A632)),FIND("(",IF(LEFT(TRIM(A632),1)="[",TRIM(MID(TRIM(A632),FIND("]",TRIM(A632)&amp;"]")+1,200)),TRIM(A632))&amp;"(")-1)),IF(LEFT(TRIM(A632),1)="[",TRIM(MID(TRIM(A632),FIND("]",TRIM(A632)&amp;"]")+1,200)),TRIM(A632))))&gt;0,IF(RIGHT(IF(LEFT(TRIM(A632),1)="[",TRIM(MID(TRIM(A632),FIND("]",TRIM(A632)&amp;"]")+1,200)),TRIM(A632)),1)=")",TRIM(LEFT(IF(LEFT(TRIM(A632),1)="[",TRIM(MID(TRIM(A632),FIND("]",TRIM(A632)&amp;"]")+1,200)),TRIM(A632)),FIND("(",IF(LEFT(TRIM(A632),1)="[",TRIM(MID(TRIM(A632),FIND("]",TRIM(A632)&amp;"]")+1,200)),TRIM(A632))&amp;"(")-1)),IF(LEFT(TRIM(A632),1)="[",TRIM(MID(TRIM(A632),FIND("]",TRIM(A632)&amp;"]")+1,200)),TRIM(A632))),""))</f>
      </c>
      <c r="C632" s="17">
        <f>IF(B632&lt;&gt;"",B632,C631)</f>
      </c>
      <c r="D632" s="17">
        <f>IF(A632="","",IF(OR(LEFT(UPPER(TRIM(A632)),2)="Y:",LEFT(UPPER(TRIM(A632)),10)="YESTERDAY:"),"Y",IF(OR(LEFT(UPPER(TRIM(A632)),2)="T:",LEFT(UPPER(TRIM(A632)),6)="TODAY:"),"T",IF(OR(LEFT(UPPER(TRIM(A632)),2)="B:",LEFT(UPPER(TRIM(A632)),8)="BLOCKER:",LEFT(UPPER(TRIM(A632)),9)="BLOCKERS:",LEFT(UPPER(TRIM(A632)),8)="BLOCKED:"),"B",""))))</f>
      </c>
      <c r="E632" s="17">
        <f>IF(D632="","",TRIM(MID(A632,FIND(":",A632)+1,500)))</f>
      </c>
    </row>
    <row r="633">
      <c r="B633" s="17">
        <f>IF(A633="","",IF(COUNTIF(Roster[Name],IF(RIGHT(IF(LEFT(TRIM(A633),1)="[",TRIM(MID(TRIM(A633),FIND("]",TRIM(A633)&amp;"]")+1,200)),TRIM(A633)),1)=")",TRIM(LEFT(IF(LEFT(TRIM(A633),1)="[",TRIM(MID(TRIM(A633),FIND("]",TRIM(A633)&amp;"]")+1,200)),TRIM(A633)),FIND("(",IF(LEFT(TRIM(A633),1)="[",TRIM(MID(TRIM(A633),FIND("]",TRIM(A633)&amp;"]")+1,200)),TRIM(A633))&amp;"(")-1)),IF(LEFT(TRIM(A633),1)="[",TRIM(MID(TRIM(A633),FIND("]",TRIM(A633)&amp;"]")+1,200)),TRIM(A633))))&gt;0,IF(RIGHT(IF(LEFT(TRIM(A633),1)="[",TRIM(MID(TRIM(A633),FIND("]",TRIM(A633)&amp;"]")+1,200)),TRIM(A633)),1)=")",TRIM(LEFT(IF(LEFT(TRIM(A633),1)="[",TRIM(MID(TRIM(A633),FIND("]",TRIM(A633)&amp;"]")+1,200)),TRIM(A633)),FIND("(",IF(LEFT(TRIM(A633),1)="[",TRIM(MID(TRIM(A633),FIND("]",TRIM(A633)&amp;"]")+1,200)),TRIM(A633))&amp;"(")-1)),IF(LEFT(TRIM(A633),1)="[",TRIM(MID(TRIM(A633),FIND("]",TRIM(A633)&amp;"]")+1,200)),TRIM(A633))),""))</f>
      </c>
      <c r="C633" s="17">
        <f>IF(B633&lt;&gt;"",B633,C632)</f>
      </c>
      <c r="D633" s="17">
        <f>IF(A633="","",IF(OR(LEFT(UPPER(TRIM(A633)),2)="Y:",LEFT(UPPER(TRIM(A633)),10)="YESTERDAY:"),"Y",IF(OR(LEFT(UPPER(TRIM(A633)),2)="T:",LEFT(UPPER(TRIM(A633)),6)="TODAY:"),"T",IF(OR(LEFT(UPPER(TRIM(A633)),2)="B:",LEFT(UPPER(TRIM(A633)),8)="BLOCKER:",LEFT(UPPER(TRIM(A633)),9)="BLOCKERS:",LEFT(UPPER(TRIM(A633)),8)="BLOCKED:"),"B",""))))</f>
      </c>
      <c r="E633" s="17">
        <f>IF(D633="","",TRIM(MID(A633,FIND(":",A633)+1,500)))</f>
      </c>
    </row>
    <row r="634">
      <c r="B634" s="17">
        <f>IF(A634="","",IF(COUNTIF(Roster[Name],IF(RIGHT(IF(LEFT(TRIM(A634),1)="[",TRIM(MID(TRIM(A634),FIND("]",TRIM(A634)&amp;"]")+1,200)),TRIM(A634)),1)=")",TRIM(LEFT(IF(LEFT(TRIM(A634),1)="[",TRIM(MID(TRIM(A634),FIND("]",TRIM(A634)&amp;"]")+1,200)),TRIM(A634)),FIND("(",IF(LEFT(TRIM(A634),1)="[",TRIM(MID(TRIM(A634),FIND("]",TRIM(A634)&amp;"]")+1,200)),TRIM(A634))&amp;"(")-1)),IF(LEFT(TRIM(A634),1)="[",TRIM(MID(TRIM(A634),FIND("]",TRIM(A634)&amp;"]")+1,200)),TRIM(A634))))&gt;0,IF(RIGHT(IF(LEFT(TRIM(A634),1)="[",TRIM(MID(TRIM(A634),FIND("]",TRIM(A634)&amp;"]")+1,200)),TRIM(A634)),1)=")",TRIM(LEFT(IF(LEFT(TRIM(A634),1)="[",TRIM(MID(TRIM(A634),FIND("]",TRIM(A634)&amp;"]")+1,200)),TRIM(A634)),FIND("(",IF(LEFT(TRIM(A634),1)="[",TRIM(MID(TRIM(A634),FIND("]",TRIM(A634)&amp;"]")+1,200)),TRIM(A634))&amp;"(")-1)),IF(LEFT(TRIM(A634),1)="[",TRIM(MID(TRIM(A634),FIND("]",TRIM(A634)&amp;"]")+1,200)),TRIM(A634))),""))</f>
      </c>
      <c r="C634" s="17">
        <f>IF(B634&lt;&gt;"",B634,C633)</f>
      </c>
      <c r="D634" s="17">
        <f>IF(A634="","",IF(OR(LEFT(UPPER(TRIM(A634)),2)="Y:",LEFT(UPPER(TRIM(A634)),10)="YESTERDAY:"),"Y",IF(OR(LEFT(UPPER(TRIM(A634)),2)="T:",LEFT(UPPER(TRIM(A634)),6)="TODAY:"),"T",IF(OR(LEFT(UPPER(TRIM(A634)),2)="B:",LEFT(UPPER(TRIM(A634)),8)="BLOCKER:",LEFT(UPPER(TRIM(A634)),9)="BLOCKERS:",LEFT(UPPER(TRIM(A634)),8)="BLOCKED:"),"B",""))))</f>
      </c>
      <c r="E634" s="17">
        <f>IF(D634="","",TRIM(MID(A634,FIND(":",A634)+1,500)))</f>
      </c>
    </row>
    <row r="635">
      <c r="B635" s="17">
        <f>IF(A635="","",IF(COUNTIF(Roster[Name],IF(RIGHT(IF(LEFT(TRIM(A635),1)="[",TRIM(MID(TRIM(A635),FIND("]",TRIM(A635)&amp;"]")+1,200)),TRIM(A635)),1)=")",TRIM(LEFT(IF(LEFT(TRIM(A635),1)="[",TRIM(MID(TRIM(A635),FIND("]",TRIM(A635)&amp;"]")+1,200)),TRIM(A635)),FIND("(",IF(LEFT(TRIM(A635),1)="[",TRIM(MID(TRIM(A635),FIND("]",TRIM(A635)&amp;"]")+1,200)),TRIM(A635))&amp;"(")-1)),IF(LEFT(TRIM(A635),1)="[",TRIM(MID(TRIM(A635),FIND("]",TRIM(A635)&amp;"]")+1,200)),TRIM(A635))))&gt;0,IF(RIGHT(IF(LEFT(TRIM(A635),1)="[",TRIM(MID(TRIM(A635),FIND("]",TRIM(A635)&amp;"]")+1,200)),TRIM(A635)),1)=")",TRIM(LEFT(IF(LEFT(TRIM(A635),1)="[",TRIM(MID(TRIM(A635),FIND("]",TRIM(A635)&amp;"]")+1,200)),TRIM(A635)),FIND("(",IF(LEFT(TRIM(A635),1)="[",TRIM(MID(TRIM(A635),FIND("]",TRIM(A635)&amp;"]")+1,200)),TRIM(A635))&amp;"(")-1)),IF(LEFT(TRIM(A635),1)="[",TRIM(MID(TRIM(A635),FIND("]",TRIM(A635)&amp;"]")+1,200)),TRIM(A635))),""))</f>
      </c>
      <c r="C635" s="17">
        <f>IF(B635&lt;&gt;"",B635,C634)</f>
      </c>
      <c r="D635" s="17">
        <f>IF(A635="","",IF(OR(LEFT(UPPER(TRIM(A635)),2)="Y:",LEFT(UPPER(TRIM(A635)),10)="YESTERDAY:"),"Y",IF(OR(LEFT(UPPER(TRIM(A635)),2)="T:",LEFT(UPPER(TRIM(A635)),6)="TODAY:"),"T",IF(OR(LEFT(UPPER(TRIM(A635)),2)="B:",LEFT(UPPER(TRIM(A635)),8)="BLOCKER:",LEFT(UPPER(TRIM(A635)),9)="BLOCKERS:",LEFT(UPPER(TRIM(A635)),8)="BLOCKED:"),"B",""))))</f>
      </c>
      <c r="E635" s="17">
        <f>IF(D635="","",TRIM(MID(A635,FIND(":",A635)+1,500)))</f>
      </c>
    </row>
    <row r="636">
      <c r="B636" s="17">
        <f>IF(A636="","",IF(COUNTIF(Roster[Name],IF(RIGHT(IF(LEFT(TRIM(A636),1)="[",TRIM(MID(TRIM(A636),FIND("]",TRIM(A636)&amp;"]")+1,200)),TRIM(A636)),1)=")",TRIM(LEFT(IF(LEFT(TRIM(A636),1)="[",TRIM(MID(TRIM(A636),FIND("]",TRIM(A636)&amp;"]")+1,200)),TRIM(A636)),FIND("(",IF(LEFT(TRIM(A636),1)="[",TRIM(MID(TRIM(A636),FIND("]",TRIM(A636)&amp;"]")+1,200)),TRIM(A636))&amp;"(")-1)),IF(LEFT(TRIM(A636),1)="[",TRIM(MID(TRIM(A636),FIND("]",TRIM(A636)&amp;"]")+1,200)),TRIM(A636))))&gt;0,IF(RIGHT(IF(LEFT(TRIM(A636),1)="[",TRIM(MID(TRIM(A636),FIND("]",TRIM(A636)&amp;"]")+1,200)),TRIM(A636)),1)=")",TRIM(LEFT(IF(LEFT(TRIM(A636),1)="[",TRIM(MID(TRIM(A636),FIND("]",TRIM(A636)&amp;"]")+1,200)),TRIM(A636)),FIND("(",IF(LEFT(TRIM(A636),1)="[",TRIM(MID(TRIM(A636),FIND("]",TRIM(A636)&amp;"]")+1,200)),TRIM(A636))&amp;"(")-1)),IF(LEFT(TRIM(A636),1)="[",TRIM(MID(TRIM(A636),FIND("]",TRIM(A636)&amp;"]")+1,200)),TRIM(A636))),""))</f>
      </c>
      <c r="C636" s="17">
        <f>IF(B636&lt;&gt;"",B636,C635)</f>
      </c>
      <c r="D636" s="17">
        <f>IF(A636="","",IF(OR(LEFT(UPPER(TRIM(A636)),2)="Y:",LEFT(UPPER(TRIM(A636)),10)="YESTERDAY:"),"Y",IF(OR(LEFT(UPPER(TRIM(A636)),2)="T:",LEFT(UPPER(TRIM(A636)),6)="TODAY:"),"T",IF(OR(LEFT(UPPER(TRIM(A636)),2)="B:",LEFT(UPPER(TRIM(A636)),8)="BLOCKER:",LEFT(UPPER(TRIM(A636)),9)="BLOCKERS:",LEFT(UPPER(TRIM(A636)),8)="BLOCKED:"),"B",""))))</f>
      </c>
      <c r="E636" s="17">
        <f>IF(D636="","",TRIM(MID(A636,FIND(":",A636)+1,500)))</f>
      </c>
    </row>
    <row r="637">
      <c r="B637" s="17">
        <f>IF(A637="","",IF(COUNTIF(Roster[Name],IF(RIGHT(IF(LEFT(TRIM(A637),1)="[",TRIM(MID(TRIM(A637),FIND("]",TRIM(A637)&amp;"]")+1,200)),TRIM(A637)),1)=")",TRIM(LEFT(IF(LEFT(TRIM(A637),1)="[",TRIM(MID(TRIM(A637),FIND("]",TRIM(A637)&amp;"]")+1,200)),TRIM(A637)),FIND("(",IF(LEFT(TRIM(A637),1)="[",TRIM(MID(TRIM(A637),FIND("]",TRIM(A637)&amp;"]")+1,200)),TRIM(A637))&amp;"(")-1)),IF(LEFT(TRIM(A637),1)="[",TRIM(MID(TRIM(A637),FIND("]",TRIM(A637)&amp;"]")+1,200)),TRIM(A637))))&gt;0,IF(RIGHT(IF(LEFT(TRIM(A637),1)="[",TRIM(MID(TRIM(A637),FIND("]",TRIM(A637)&amp;"]")+1,200)),TRIM(A637)),1)=")",TRIM(LEFT(IF(LEFT(TRIM(A637),1)="[",TRIM(MID(TRIM(A637),FIND("]",TRIM(A637)&amp;"]")+1,200)),TRIM(A637)),FIND("(",IF(LEFT(TRIM(A637),1)="[",TRIM(MID(TRIM(A637),FIND("]",TRIM(A637)&amp;"]")+1,200)),TRIM(A637))&amp;"(")-1)),IF(LEFT(TRIM(A637),1)="[",TRIM(MID(TRIM(A637),FIND("]",TRIM(A637)&amp;"]")+1,200)),TRIM(A637))),""))</f>
      </c>
      <c r="C637" s="17">
        <f>IF(B637&lt;&gt;"",B637,C636)</f>
      </c>
      <c r="D637" s="17">
        <f>IF(A637="","",IF(OR(LEFT(UPPER(TRIM(A637)),2)="Y:",LEFT(UPPER(TRIM(A637)),10)="YESTERDAY:"),"Y",IF(OR(LEFT(UPPER(TRIM(A637)),2)="T:",LEFT(UPPER(TRIM(A637)),6)="TODAY:"),"T",IF(OR(LEFT(UPPER(TRIM(A637)),2)="B:",LEFT(UPPER(TRIM(A637)),8)="BLOCKER:",LEFT(UPPER(TRIM(A637)),9)="BLOCKERS:",LEFT(UPPER(TRIM(A637)),8)="BLOCKED:"),"B",""))))</f>
      </c>
      <c r="E637" s="17">
        <f>IF(D637="","",TRIM(MID(A637,FIND(":",A637)+1,500)))</f>
      </c>
    </row>
    <row r="638">
      <c r="B638" s="17">
        <f>IF(A638="","",IF(COUNTIF(Roster[Name],IF(RIGHT(IF(LEFT(TRIM(A638),1)="[",TRIM(MID(TRIM(A638),FIND("]",TRIM(A638)&amp;"]")+1,200)),TRIM(A638)),1)=")",TRIM(LEFT(IF(LEFT(TRIM(A638),1)="[",TRIM(MID(TRIM(A638),FIND("]",TRIM(A638)&amp;"]")+1,200)),TRIM(A638)),FIND("(",IF(LEFT(TRIM(A638),1)="[",TRIM(MID(TRIM(A638),FIND("]",TRIM(A638)&amp;"]")+1,200)),TRIM(A638))&amp;"(")-1)),IF(LEFT(TRIM(A638),1)="[",TRIM(MID(TRIM(A638),FIND("]",TRIM(A638)&amp;"]")+1,200)),TRIM(A638))))&gt;0,IF(RIGHT(IF(LEFT(TRIM(A638),1)="[",TRIM(MID(TRIM(A638),FIND("]",TRIM(A638)&amp;"]")+1,200)),TRIM(A638)),1)=")",TRIM(LEFT(IF(LEFT(TRIM(A638),1)="[",TRIM(MID(TRIM(A638),FIND("]",TRIM(A638)&amp;"]")+1,200)),TRIM(A638)),FIND("(",IF(LEFT(TRIM(A638),1)="[",TRIM(MID(TRIM(A638),FIND("]",TRIM(A638)&amp;"]")+1,200)),TRIM(A638))&amp;"(")-1)),IF(LEFT(TRIM(A638),1)="[",TRIM(MID(TRIM(A638),FIND("]",TRIM(A638)&amp;"]")+1,200)),TRIM(A638))),""))</f>
      </c>
      <c r="C638" s="17">
        <f>IF(B638&lt;&gt;"",B638,C637)</f>
      </c>
      <c r="D638" s="17">
        <f>IF(A638="","",IF(OR(LEFT(UPPER(TRIM(A638)),2)="Y:",LEFT(UPPER(TRIM(A638)),10)="YESTERDAY:"),"Y",IF(OR(LEFT(UPPER(TRIM(A638)),2)="T:",LEFT(UPPER(TRIM(A638)),6)="TODAY:"),"T",IF(OR(LEFT(UPPER(TRIM(A638)),2)="B:",LEFT(UPPER(TRIM(A638)),8)="BLOCKER:",LEFT(UPPER(TRIM(A638)),9)="BLOCKERS:",LEFT(UPPER(TRIM(A638)),8)="BLOCKED:"),"B",""))))</f>
      </c>
      <c r="E638" s="17">
        <f>IF(D638="","",TRIM(MID(A638,FIND(":",A638)+1,500)))</f>
      </c>
    </row>
    <row r="639">
      <c r="B639" s="17">
        <f>IF(A639="","",IF(COUNTIF(Roster[Name],IF(RIGHT(IF(LEFT(TRIM(A639),1)="[",TRIM(MID(TRIM(A639),FIND("]",TRIM(A639)&amp;"]")+1,200)),TRIM(A639)),1)=")",TRIM(LEFT(IF(LEFT(TRIM(A639),1)="[",TRIM(MID(TRIM(A639),FIND("]",TRIM(A639)&amp;"]")+1,200)),TRIM(A639)),FIND("(",IF(LEFT(TRIM(A639),1)="[",TRIM(MID(TRIM(A639),FIND("]",TRIM(A639)&amp;"]")+1,200)),TRIM(A639))&amp;"(")-1)),IF(LEFT(TRIM(A639),1)="[",TRIM(MID(TRIM(A639),FIND("]",TRIM(A639)&amp;"]")+1,200)),TRIM(A639))))&gt;0,IF(RIGHT(IF(LEFT(TRIM(A639),1)="[",TRIM(MID(TRIM(A639),FIND("]",TRIM(A639)&amp;"]")+1,200)),TRIM(A639)),1)=")",TRIM(LEFT(IF(LEFT(TRIM(A639),1)="[",TRIM(MID(TRIM(A639),FIND("]",TRIM(A639)&amp;"]")+1,200)),TRIM(A639)),FIND("(",IF(LEFT(TRIM(A639),1)="[",TRIM(MID(TRIM(A639),FIND("]",TRIM(A639)&amp;"]")+1,200)),TRIM(A639))&amp;"(")-1)),IF(LEFT(TRIM(A639),1)="[",TRIM(MID(TRIM(A639),FIND("]",TRIM(A639)&amp;"]")+1,200)),TRIM(A639))),""))</f>
      </c>
      <c r="C639" s="17">
        <f>IF(B639&lt;&gt;"",B639,C638)</f>
      </c>
      <c r="D639" s="17">
        <f>IF(A639="","",IF(OR(LEFT(UPPER(TRIM(A639)),2)="Y:",LEFT(UPPER(TRIM(A639)),10)="YESTERDAY:"),"Y",IF(OR(LEFT(UPPER(TRIM(A639)),2)="T:",LEFT(UPPER(TRIM(A639)),6)="TODAY:"),"T",IF(OR(LEFT(UPPER(TRIM(A639)),2)="B:",LEFT(UPPER(TRIM(A639)),8)="BLOCKER:",LEFT(UPPER(TRIM(A639)),9)="BLOCKERS:",LEFT(UPPER(TRIM(A639)),8)="BLOCKED:"),"B",""))))</f>
      </c>
      <c r="E639" s="17">
        <f>IF(D639="","",TRIM(MID(A639,FIND(":",A639)+1,500)))</f>
      </c>
    </row>
    <row r="640">
      <c r="B640" s="17">
        <f>IF(A640="","",IF(COUNTIF(Roster[Name],IF(RIGHT(IF(LEFT(TRIM(A640),1)="[",TRIM(MID(TRIM(A640),FIND("]",TRIM(A640)&amp;"]")+1,200)),TRIM(A640)),1)=")",TRIM(LEFT(IF(LEFT(TRIM(A640),1)="[",TRIM(MID(TRIM(A640),FIND("]",TRIM(A640)&amp;"]")+1,200)),TRIM(A640)),FIND("(",IF(LEFT(TRIM(A640),1)="[",TRIM(MID(TRIM(A640),FIND("]",TRIM(A640)&amp;"]")+1,200)),TRIM(A640))&amp;"(")-1)),IF(LEFT(TRIM(A640),1)="[",TRIM(MID(TRIM(A640),FIND("]",TRIM(A640)&amp;"]")+1,200)),TRIM(A640))))&gt;0,IF(RIGHT(IF(LEFT(TRIM(A640),1)="[",TRIM(MID(TRIM(A640),FIND("]",TRIM(A640)&amp;"]")+1,200)),TRIM(A640)),1)=")",TRIM(LEFT(IF(LEFT(TRIM(A640),1)="[",TRIM(MID(TRIM(A640),FIND("]",TRIM(A640)&amp;"]")+1,200)),TRIM(A640)),FIND("(",IF(LEFT(TRIM(A640),1)="[",TRIM(MID(TRIM(A640),FIND("]",TRIM(A640)&amp;"]")+1,200)),TRIM(A640))&amp;"(")-1)),IF(LEFT(TRIM(A640),1)="[",TRIM(MID(TRIM(A640),FIND("]",TRIM(A640)&amp;"]")+1,200)),TRIM(A640))),""))</f>
      </c>
      <c r="C640" s="17">
        <f>IF(B640&lt;&gt;"",B640,C639)</f>
      </c>
      <c r="D640" s="17">
        <f>IF(A640="","",IF(OR(LEFT(UPPER(TRIM(A640)),2)="Y:",LEFT(UPPER(TRIM(A640)),10)="YESTERDAY:"),"Y",IF(OR(LEFT(UPPER(TRIM(A640)),2)="T:",LEFT(UPPER(TRIM(A640)),6)="TODAY:"),"T",IF(OR(LEFT(UPPER(TRIM(A640)),2)="B:",LEFT(UPPER(TRIM(A640)),8)="BLOCKER:",LEFT(UPPER(TRIM(A640)),9)="BLOCKERS:",LEFT(UPPER(TRIM(A640)),8)="BLOCKED:"),"B",""))))</f>
      </c>
      <c r="E640" s="17">
        <f>IF(D640="","",TRIM(MID(A640,FIND(":",A640)+1,500)))</f>
      </c>
    </row>
    <row r="641">
      <c r="B641" s="17">
        <f>IF(A641="","",IF(COUNTIF(Roster[Name],IF(RIGHT(IF(LEFT(TRIM(A641),1)="[",TRIM(MID(TRIM(A641),FIND("]",TRIM(A641)&amp;"]")+1,200)),TRIM(A641)),1)=")",TRIM(LEFT(IF(LEFT(TRIM(A641),1)="[",TRIM(MID(TRIM(A641),FIND("]",TRIM(A641)&amp;"]")+1,200)),TRIM(A641)),FIND("(",IF(LEFT(TRIM(A641),1)="[",TRIM(MID(TRIM(A641),FIND("]",TRIM(A641)&amp;"]")+1,200)),TRIM(A641))&amp;"(")-1)),IF(LEFT(TRIM(A641),1)="[",TRIM(MID(TRIM(A641),FIND("]",TRIM(A641)&amp;"]")+1,200)),TRIM(A641))))&gt;0,IF(RIGHT(IF(LEFT(TRIM(A641),1)="[",TRIM(MID(TRIM(A641),FIND("]",TRIM(A641)&amp;"]")+1,200)),TRIM(A641)),1)=")",TRIM(LEFT(IF(LEFT(TRIM(A641),1)="[",TRIM(MID(TRIM(A641),FIND("]",TRIM(A641)&amp;"]")+1,200)),TRIM(A641)),FIND("(",IF(LEFT(TRIM(A641),1)="[",TRIM(MID(TRIM(A641),FIND("]",TRIM(A641)&amp;"]")+1,200)),TRIM(A641))&amp;"(")-1)),IF(LEFT(TRIM(A641),1)="[",TRIM(MID(TRIM(A641),FIND("]",TRIM(A641)&amp;"]")+1,200)),TRIM(A641))),""))</f>
      </c>
      <c r="C641" s="17">
        <f>IF(B641&lt;&gt;"",B641,C640)</f>
      </c>
      <c r="D641" s="17">
        <f>IF(A641="","",IF(OR(LEFT(UPPER(TRIM(A641)),2)="Y:",LEFT(UPPER(TRIM(A641)),10)="YESTERDAY:"),"Y",IF(OR(LEFT(UPPER(TRIM(A641)),2)="T:",LEFT(UPPER(TRIM(A641)),6)="TODAY:"),"T",IF(OR(LEFT(UPPER(TRIM(A641)),2)="B:",LEFT(UPPER(TRIM(A641)),8)="BLOCKER:",LEFT(UPPER(TRIM(A641)),9)="BLOCKERS:",LEFT(UPPER(TRIM(A641)),8)="BLOCKED:"),"B",""))))</f>
      </c>
      <c r="E641" s="17">
        <f>IF(D641="","",TRIM(MID(A641,FIND(":",A641)+1,500)))</f>
      </c>
    </row>
    <row r="642">
      <c r="B642" s="17">
        <f>IF(A642="","",IF(COUNTIF(Roster[Name],IF(RIGHT(IF(LEFT(TRIM(A642),1)="[",TRIM(MID(TRIM(A642),FIND("]",TRIM(A642)&amp;"]")+1,200)),TRIM(A642)),1)=")",TRIM(LEFT(IF(LEFT(TRIM(A642),1)="[",TRIM(MID(TRIM(A642),FIND("]",TRIM(A642)&amp;"]")+1,200)),TRIM(A642)),FIND("(",IF(LEFT(TRIM(A642),1)="[",TRIM(MID(TRIM(A642),FIND("]",TRIM(A642)&amp;"]")+1,200)),TRIM(A642))&amp;"(")-1)),IF(LEFT(TRIM(A642),1)="[",TRIM(MID(TRIM(A642),FIND("]",TRIM(A642)&amp;"]")+1,200)),TRIM(A642))))&gt;0,IF(RIGHT(IF(LEFT(TRIM(A642),1)="[",TRIM(MID(TRIM(A642),FIND("]",TRIM(A642)&amp;"]")+1,200)),TRIM(A642)),1)=")",TRIM(LEFT(IF(LEFT(TRIM(A642),1)="[",TRIM(MID(TRIM(A642),FIND("]",TRIM(A642)&amp;"]")+1,200)),TRIM(A642)),FIND("(",IF(LEFT(TRIM(A642),1)="[",TRIM(MID(TRIM(A642),FIND("]",TRIM(A642)&amp;"]")+1,200)),TRIM(A642))&amp;"(")-1)),IF(LEFT(TRIM(A642),1)="[",TRIM(MID(TRIM(A642),FIND("]",TRIM(A642)&amp;"]")+1,200)),TRIM(A642))),""))</f>
      </c>
      <c r="C642" s="17">
        <f>IF(B642&lt;&gt;"",B642,C641)</f>
      </c>
      <c r="D642" s="17">
        <f>IF(A642="","",IF(OR(LEFT(UPPER(TRIM(A642)),2)="Y:",LEFT(UPPER(TRIM(A642)),10)="YESTERDAY:"),"Y",IF(OR(LEFT(UPPER(TRIM(A642)),2)="T:",LEFT(UPPER(TRIM(A642)),6)="TODAY:"),"T",IF(OR(LEFT(UPPER(TRIM(A642)),2)="B:",LEFT(UPPER(TRIM(A642)),8)="BLOCKER:",LEFT(UPPER(TRIM(A642)),9)="BLOCKERS:",LEFT(UPPER(TRIM(A642)),8)="BLOCKED:"),"B",""))))</f>
      </c>
      <c r="E642" s="17">
        <f>IF(D642="","",TRIM(MID(A642,FIND(":",A642)+1,500)))</f>
      </c>
    </row>
    <row r="643">
      <c r="B643" s="17">
        <f>IF(A643="","",IF(COUNTIF(Roster[Name],IF(RIGHT(IF(LEFT(TRIM(A643),1)="[",TRIM(MID(TRIM(A643),FIND("]",TRIM(A643)&amp;"]")+1,200)),TRIM(A643)),1)=")",TRIM(LEFT(IF(LEFT(TRIM(A643),1)="[",TRIM(MID(TRIM(A643),FIND("]",TRIM(A643)&amp;"]")+1,200)),TRIM(A643)),FIND("(",IF(LEFT(TRIM(A643),1)="[",TRIM(MID(TRIM(A643),FIND("]",TRIM(A643)&amp;"]")+1,200)),TRIM(A643))&amp;"(")-1)),IF(LEFT(TRIM(A643),1)="[",TRIM(MID(TRIM(A643),FIND("]",TRIM(A643)&amp;"]")+1,200)),TRIM(A643))))&gt;0,IF(RIGHT(IF(LEFT(TRIM(A643),1)="[",TRIM(MID(TRIM(A643),FIND("]",TRIM(A643)&amp;"]")+1,200)),TRIM(A643)),1)=")",TRIM(LEFT(IF(LEFT(TRIM(A643),1)="[",TRIM(MID(TRIM(A643),FIND("]",TRIM(A643)&amp;"]")+1,200)),TRIM(A643)),FIND("(",IF(LEFT(TRIM(A643),1)="[",TRIM(MID(TRIM(A643),FIND("]",TRIM(A643)&amp;"]")+1,200)),TRIM(A643))&amp;"(")-1)),IF(LEFT(TRIM(A643),1)="[",TRIM(MID(TRIM(A643),FIND("]",TRIM(A643)&amp;"]")+1,200)),TRIM(A643))),""))</f>
      </c>
      <c r="C643" s="17">
        <f>IF(B643&lt;&gt;"",B643,C642)</f>
      </c>
      <c r="D643" s="17">
        <f>IF(A643="","",IF(OR(LEFT(UPPER(TRIM(A643)),2)="Y:",LEFT(UPPER(TRIM(A643)),10)="YESTERDAY:"),"Y",IF(OR(LEFT(UPPER(TRIM(A643)),2)="T:",LEFT(UPPER(TRIM(A643)),6)="TODAY:"),"T",IF(OR(LEFT(UPPER(TRIM(A643)),2)="B:",LEFT(UPPER(TRIM(A643)),8)="BLOCKER:",LEFT(UPPER(TRIM(A643)),9)="BLOCKERS:",LEFT(UPPER(TRIM(A643)),8)="BLOCKED:"),"B",""))))</f>
      </c>
      <c r="E643" s="17">
        <f>IF(D643="","",TRIM(MID(A643,FIND(":",A643)+1,500)))</f>
      </c>
    </row>
    <row r="644">
      <c r="B644" s="17">
        <f>IF(A644="","",IF(COUNTIF(Roster[Name],IF(RIGHT(IF(LEFT(TRIM(A644),1)="[",TRIM(MID(TRIM(A644),FIND("]",TRIM(A644)&amp;"]")+1,200)),TRIM(A644)),1)=")",TRIM(LEFT(IF(LEFT(TRIM(A644),1)="[",TRIM(MID(TRIM(A644),FIND("]",TRIM(A644)&amp;"]")+1,200)),TRIM(A644)),FIND("(",IF(LEFT(TRIM(A644),1)="[",TRIM(MID(TRIM(A644),FIND("]",TRIM(A644)&amp;"]")+1,200)),TRIM(A644))&amp;"(")-1)),IF(LEFT(TRIM(A644),1)="[",TRIM(MID(TRIM(A644),FIND("]",TRIM(A644)&amp;"]")+1,200)),TRIM(A644))))&gt;0,IF(RIGHT(IF(LEFT(TRIM(A644),1)="[",TRIM(MID(TRIM(A644),FIND("]",TRIM(A644)&amp;"]")+1,200)),TRIM(A644)),1)=")",TRIM(LEFT(IF(LEFT(TRIM(A644),1)="[",TRIM(MID(TRIM(A644),FIND("]",TRIM(A644)&amp;"]")+1,200)),TRIM(A644)),FIND("(",IF(LEFT(TRIM(A644),1)="[",TRIM(MID(TRIM(A644),FIND("]",TRIM(A644)&amp;"]")+1,200)),TRIM(A644))&amp;"(")-1)),IF(LEFT(TRIM(A644),1)="[",TRIM(MID(TRIM(A644),FIND("]",TRIM(A644)&amp;"]")+1,200)),TRIM(A644))),""))</f>
      </c>
      <c r="C644" s="17">
        <f>IF(B644&lt;&gt;"",B644,C643)</f>
      </c>
      <c r="D644" s="17">
        <f>IF(A644="","",IF(OR(LEFT(UPPER(TRIM(A644)),2)="Y:",LEFT(UPPER(TRIM(A644)),10)="YESTERDAY:"),"Y",IF(OR(LEFT(UPPER(TRIM(A644)),2)="T:",LEFT(UPPER(TRIM(A644)),6)="TODAY:"),"T",IF(OR(LEFT(UPPER(TRIM(A644)),2)="B:",LEFT(UPPER(TRIM(A644)),8)="BLOCKER:",LEFT(UPPER(TRIM(A644)),9)="BLOCKERS:",LEFT(UPPER(TRIM(A644)),8)="BLOCKED:"),"B",""))))</f>
      </c>
      <c r="E644" s="17">
        <f>IF(D644="","",TRIM(MID(A644,FIND(":",A644)+1,500)))</f>
      </c>
    </row>
    <row r="645">
      <c r="B645" s="17">
        <f>IF(A645="","",IF(COUNTIF(Roster[Name],IF(RIGHT(IF(LEFT(TRIM(A645),1)="[",TRIM(MID(TRIM(A645),FIND("]",TRIM(A645)&amp;"]")+1,200)),TRIM(A645)),1)=")",TRIM(LEFT(IF(LEFT(TRIM(A645),1)="[",TRIM(MID(TRIM(A645),FIND("]",TRIM(A645)&amp;"]")+1,200)),TRIM(A645)),FIND("(",IF(LEFT(TRIM(A645),1)="[",TRIM(MID(TRIM(A645),FIND("]",TRIM(A645)&amp;"]")+1,200)),TRIM(A645))&amp;"(")-1)),IF(LEFT(TRIM(A645),1)="[",TRIM(MID(TRIM(A645),FIND("]",TRIM(A645)&amp;"]")+1,200)),TRIM(A645))))&gt;0,IF(RIGHT(IF(LEFT(TRIM(A645),1)="[",TRIM(MID(TRIM(A645),FIND("]",TRIM(A645)&amp;"]")+1,200)),TRIM(A645)),1)=")",TRIM(LEFT(IF(LEFT(TRIM(A645),1)="[",TRIM(MID(TRIM(A645),FIND("]",TRIM(A645)&amp;"]")+1,200)),TRIM(A645)),FIND("(",IF(LEFT(TRIM(A645),1)="[",TRIM(MID(TRIM(A645),FIND("]",TRIM(A645)&amp;"]")+1,200)),TRIM(A645))&amp;"(")-1)),IF(LEFT(TRIM(A645),1)="[",TRIM(MID(TRIM(A645),FIND("]",TRIM(A645)&amp;"]")+1,200)),TRIM(A645))),""))</f>
      </c>
      <c r="C645" s="17">
        <f>IF(B645&lt;&gt;"",B645,C644)</f>
      </c>
      <c r="D645" s="17">
        <f>IF(A645="","",IF(OR(LEFT(UPPER(TRIM(A645)),2)="Y:",LEFT(UPPER(TRIM(A645)),10)="YESTERDAY:"),"Y",IF(OR(LEFT(UPPER(TRIM(A645)),2)="T:",LEFT(UPPER(TRIM(A645)),6)="TODAY:"),"T",IF(OR(LEFT(UPPER(TRIM(A645)),2)="B:",LEFT(UPPER(TRIM(A645)),8)="BLOCKER:",LEFT(UPPER(TRIM(A645)),9)="BLOCKERS:",LEFT(UPPER(TRIM(A645)),8)="BLOCKED:"),"B",""))))</f>
      </c>
      <c r="E645" s="17">
        <f>IF(D645="","",TRIM(MID(A645,FIND(":",A645)+1,500)))</f>
      </c>
    </row>
    <row r="646">
      <c r="B646" s="17">
        <f>IF(A646="","",IF(COUNTIF(Roster[Name],IF(RIGHT(IF(LEFT(TRIM(A646),1)="[",TRIM(MID(TRIM(A646),FIND("]",TRIM(A646)&amp;"]")+1,200)),TRIM(A646)),1)=")",TRIM(LEFT(IF(LEFT(TRIM(A646),1)="[",TRIM(MID(TRIM(A646),FIND("]",TRIM(A646)&amp;"]")+1,200)),TRIM(A646)),FIND("(",IF(LEFT(TRIM(A646),1)="[",TRIM(MID(TRIM(A646),FIND("]",TRIM(A646)&amp;"]")+1,200)),TRIM(A646))&amp;"(")-1)),IF(LEFT(TRIM(A646),1)="[",TRIM(MID(TRIM(A646),FIND("]",TRIM(A646)&amp;"]")+1,200)),TRIM(A646))))&gt;0,IF(RIGHT(IF(LEFT(TRIM(A646),1)="[",TRIM(MID(TRIM(A646),FIND("]",TRIM(A646)&amp;"]")+1,200)),TRIM(A646)),1)=")",TRIM(LEFT(IF(LEFT(TRIM(A646),1)="[",TRIM(MID(TRIM(A646),FIND("]",TRIM(A646)&amp;"]")+1,200)),TRIM(A646)),FIND("(",IF(LEFT(TRIM(A646),1)="[",TRIM(MID(TRIM(A646),FIND("]",TRIM(A646)&amp;"]")+1,200)),TRIM(A646))&amp;"(")-1)),IF(LEFT(TRIM(A646),1)="[",TRIM(MID(TRIM(A646),FIND("]",TRIM(A646)&amp;"]")+1,200)),TRIM(A646))),""))</f>
      </c>
      <c r="C646" s="17">
        <f>IF(B646&lt;&gt;"",B646,C645)</f>
      </c>
      <c r="D646" s="17">
        <f>IF(A646="","",IF(OR(LEFT(UPPER(TRIM(A646)),2)="Y:",LEFT(UPPER(TRIM(A646)),10)="YESTERDAY:"),"Y",IF(OR(LEFT(UPPER(TRIM(A646)),2)="T:",LEFT(UPPER(TRIM(A646)),6)="TODAY:"),"T",IF(OR(LEFT(UPPER(TRIM(A646)),2)="B:",LEFT(UPPER(TRIM(A646)),8)="BLOCKER:",LEFT(UPPER(TRIM(A646)),9)="BLOCKERS:",LEFT(UPPER(TRIM(A646)),8)="BLOCKED:"),"B",""))))</f>
      </c>
      <c r="E646" s="17">
        <f>IF(D646="","",TRIM(MID(A646,FIND(":",A646)+1,500)))</f>
      </c>
    </row>
    <row r="647">
      <c r="B647" s="17">
        <f>IF(A647="","",IF(COUNTIF(Roster[Name],IF(RIGHT(IF(LEFT(TRIM(A647),1)="[",TRIM(MID(TRIM(A647),FIND("]",TRIM(A647)&amp;"]")+1,200)),TRIM(A647)),1)=")",TRIM(LEFT(IF(LEFT(TRIM(A647),1)="[",TRIM(MID(TRIM(A647),FIND("]",TRIM(A647)&amp;"]")+1,200)),TRIM(A647)),FIND("(",IF(LEFT(TRIM(A647),1)="[",TRIM(MID(TRIM(A647),FIND("]",TRIM(A647)&amp;"]")+1,200)),TRIM(A647))&amp;"(")-1)),IF(LEFT(TRIM(A647),1)="[",TRIM(MID(TRIM(A647),FIND("]",TRIM(A647)&amp;"]")+1,200)),TRIM(A647))))&gt;0,IF(RIGHT(IF(LEFT(TRIM(A647),1)="[",TRIM(MID(TRIM(A647),FIND("]",TRIM(A647)&amp;"]")+1,200)),TRIM(A647)),1)=")",TRIM(LEFT(IF(LEFT(TRIM(A647),1)="[",TRIM(MID(TRIM(A647),FIND("]",TRIM(A647)&amp;"]")+1,200)),TRIM(A647)),FIND("(",IF(LEFT(TRIM(A647),1)="[",TRIM(MID(TRIM(A647),FIND("]",TRIM(A647)&amp;"]")+1,200)),TRIM(A647))&amp;"(")-1)),IF(LEFT(TRIM(A647),1)="[",TRIM(MID(TRIM(A647),FIND("]",TRIM(A647)&amp;"]")+1,200)),TRIM(A647))),""))</f>
      </c>
      <c r="C647" s="17">
        <f>IF(B647&lt;&gt;"",B647,C646)</f>
      </c>
      <c r="D647" s="17">
        <f>IF(A647="","",IF(OR(LEFT(UPPER(TRIM(A647)),2)="Y:",LEFT(UPPER(TRIM(A647)),10)="YESTERDAY:"),"Y",IF(OR(LEFT(UPPER(TRIM(A647)),2)="T:",LEFT(UPPER(TRIM(A647)),6)="TODAY:"),"T",IF(OR(LEFT(UPPER(TRIM(A647)),2)="B:",LEFT(UPPER(TRIM(A647)),8)="BLOCKER:",LEFT(UPPER(TRIM(A647)),9)="BLOCKERS:",LEFT(UPPER(TRIM(A647)),8)="BLOCKED:"),"B",""))))</f>
      </c>
      <c r="E647" s="17">
        <f>IF(D647="","",TRIM(MID(A647,FIND(":",A647)+1,500)))</f>
      </c>
    </row>
    <row r="648">
      <c r="B648" s="17">
        <f>IF(A648="","",IF(COUNTIF(Roster[Name],IF(RIGHT(IF(LEFT(TRIM(A648),1)="[",TRIM(MID(TRIM(A648),FIND("]",TRIM(A648)&amp;"]")+1,200)),TRIM(A648)),1)=")",TRIM(LEFT(IF(LEFT(TRIM(A648),1)="[",TRIM(MID(TRIM(A648),FIND("]",TRIM(A648)&amp;"]")+1,200)),TRIM(A648)),FIND("(",IF(LEFT(TRIM(A648),1)="[",TRIM(MID(TRIM(A648),FIND("]",TRIM(A648)&amp;"]")+1,200)),TRIM(A648))&amp;"(")-1)),IF(LEFT(TRIM(A648),1)="[",TRIM(MID(TRIM(A648),FIND("]",TRIM(A648)&amp;"]")+1,200)),TRIM(A648))))&gt;0,IF(RIGHT(IF(LEFT(TRIM(A648),1)="[",TRIM(MID(TRIM(A648),FIND("]",TRIM(A648)&amp;"]")+1,200)),TRIM(A648)),1)=")",TRIM(LEFT(IF(LEFT(TRIM(A648),1)="[",TRIM(MID(TRIM(A648),FIND("]",TRIM(A648)&amp;"]")+1,200)),TRIM(A648)),FIND("(",IF(LEFT(TRIM(A648),1)="[",TRIM(MID(TRIM(A648),FIND("]",TRIM(A648)&amp;"]")+1,200)),TRIM(A648))&amp;"(")-1)),IF(LEFT(TRIM(A648),1)="[",TRIM(MID(TRIM(A648),FIND("]",TRIM(A648)&amp;"]")+1,200)),TRIM(A648))),""))</f>
      </c>
      <c r="C648" s="17">
        <f>IF(B648&lt;&gt;"",B648,C647)</f>
      </c>
      <c r="D648" s="17">
        <f>IF(A648="","",IF(OR(LEFT(UPPER(TRIM(A648)),2)="Y:",LEFT(UPPER(TRIM(A648)),10)="YESTERDAY:"),"Y",IF(OR(LEFT(UPPER(TRIM(A648)),2)="T:",LEFT(UPPER(TRIM(A648)),6)="TODAY:"),"T",IF(OR(LEFT(UPPER(TRIM(A648)),2)="B:",LEFT(UPPER(TRIM(A648)),8)="BLOCKER:",LEFT(UPPER(TRIM(A648)),9)="BLOCKERS:",LEFT(UPPER(TRIM(A648)),8)="BLOCKED:"),"B",""))))</f>
      </c>
      <c r="E648" s="17">
        <f>IF(D648="","",TRIM(MID(A648,FIND(":",A648)+1,500)))</f>
      </c>
    </row>
    <row r="649">
      <c r="B649" s="17">
        <f>IF(A649="","",IF(COUNTIF(Roster[Name],IF(RIGHT(IF(LEFT(TRIM(A649),1)="[",TRIM(MID(TRIM(A649),FIND("]",TRIM(A649)&amp;"]")+1,200)),TRIM(A649)),1)=")",TRIM(LEFT(IF(LEFT(TRIM(A649),1)="[",TRIM(MID(TRIM(A649),FIND("]",TRIM(A649)&amp;"]")+1,200)),TRIM(A649)),FIND("(",IF(LEFT(TRIM(A649),1)="[",TRIM(MID(TRIM(A649),FIND("]",TRIM(A649)&amp;"]")+1,200)),TRIM(A649))&amp;"(")-1)),IF(LEFT(TRIM(A649),1)="[",TRIM(MID(TRIM(A649),FIND("]",TRIM(A649)&amp;"]")+1,200)),TRIM(A649))))&gt;0,IF(RIGHT(IF(LEFT(TRIM(A649),1)="[",TRIM(MID(TRIM(A649),FIND("]",TRIM(A649)&amp;"]")+1,200)),TRIM(A649)),1)=")",TRIM(LEFT(IF(LEFT(TRIM(A649),1)="[",TRIM(MID(TRIM(A649),FIND("]",TRIM(A649)&amp;"]")+1,200)),TRIM(A649)),FIND("(",IF(LEFT(TRIM(A649),1)="[",TRIM(MID(TRIM(A649),FIND("]",TRIM(A649)&amp;"]")+1,200)),TRIM(A649))&amp;"(")-1)),IF(LEFT(TRIM(A649),1)="[",TRIM(MID(TRIM(A649),FIND("]",TRIM(A649)&amp;"]")+1,200)),TRIM(A649))),""))</f>
      </c>
      <c r="C649" s="17">
        <f>IF(B649&lt;&gt;"",B649,C648)</f>
      </c>
      <c r="D649" s="17">
        <f>IF(A649="","",IF(OR(LEFT(UPPER(TRIM(A649)),2)="Y:",LEFT(UPPER(TRIM(A649)),10)="YESTERDAY:"),"Y",IF(OR(LEFT(UPPER(TRIM(A649)),2)="T:",LEFT(UPPER(TRIM(A649)),6)="TODAY:"),"T",IF(OR(LEFT(UPPER(TRIM(A649)),2)="B:",LEFT(UPPER(TRIM(A649)),8)="BLOCKER:",LEFT(UPPER(TRIM(A649)),9)="BLOCKERS:",LEFT(UPPER(TRIM(A649)),8)="BLOCKED:"),"B",""))))</f>
      </c>
      <c r="E649" s="17">
        <f>IF(D649="","",TRIM(MID(A649,FIND(":",A649)+1,500)))</f>
      </c>
    </row>
    <row r="650">
      <c r="B650" s="17">
        <f>IF(A650="","",IF(COUNTIF(Roster[Name],IF(RIGHT(IF(LEFT(TRIM(A650),1)="[",TRIM(MID(TRIM(A650),FIND("]",TRIM(A650)&amp;"]")+1,200)),TRIM(A650)),1)=")",TRIM(LEFT(IF(LEFT(TRIM(A650),1)="[",TRIM(MID(TRIM(A650),FIND("]",TRIM(A650)&amp;"]")+1,200)),TRIM(A650)),FIND("(",IF(LEFT(TRIM(A650),1)="[",TRIM(MID(TRIM(A650),FIND("]",TRIM(A650)&amp;"]")+1,200)),TRIM(A650))&amp;"(")-1)),IF(LEFT(TRIM(A650),1)="[",TRIM(MID(TRIM(A650),FIND("]",TRIM(A650)&amp;"]")+1,200)),TRIM(A650))))&gt;0,IF(RIGHT(IF(LEFT(TRIM(A650),1)="[",TRIM(MID(TRIM(A650),FIND("]",TRIM(A650)&amp;"]")+1,200)),TRIM(A650)),1)=")",TRIM(LEFT(IF(LEFT(TRIM(A650),1)="[",TRIM(MID(TRIM(A650),FIND("]",TRIM(A650)&amp;"]")+1,200)),TRIM(A650)),FIND("(",IF(LEFT(TRIM(A650),1)="[",TRIM(MID(TRIM(A650),FIND("]",TRIM(A650)&amp;"]")+1,200)),TRIM(A650))&amp;"(")-1)),IF(LEFT(TRIM(A650),1)="[",TRIM(MID(TRIM(A650),FIND("]",TRIM(A650)&amp;"]")+1,200)),TRIM(A650))),""))</f>
      </c>
      <c r="C650" s="17">
        <f>IF(B650&lt;&gt;"",B650,C649)</f>
      </c>
      <c r="D650" s="17">
        <f>IF(A650="","",IF(OR(LEFT(UPPER(TRIM(A650)),2)="Y:",LEFT(UPPER(TRIM(A650)),10)="YESTERDAY:"),"Y",IF(OR(LEFT(UPPER(TRIM(A650)),2)="T:",LEFT(UPPER(TRIM(A650)),6)="TODAY:"),"T",IF(OR(LEFT(UPPER(TRIM(A650)),2)="B:",LEFT(UPPER(TRIM(A650)),8)="BLOCKER:",LEFT(UPPER(TRIM(A650)),9)="BLOCKERS:",LEFT(UPPER(TRIM(A650)),8)="BLOCKED:"),"B",""))))</f>
      </c>
      <c r="E650" s="17">
        <f>IF(D650="","",TRIM(MID(A650,FIND(":",A650)+1,500)))</f>
      </c>
    </row>
    <row r="651">
      <c r="B651" s="17">
        <f>IF(A651="","",IF(COUNTIF(Roster[Name],IF(RIGHT(IF(LEFT(TRIM(A651),1)="[",TRIM(MID(TRIM(A651),FIND("]",TRIM(A651)&amp;"]")+1,200)),TRIM(A651)),1)=")",TRIM(LEFT(IF(LEFT(TRIM(A651),1)="[",TRIM(MID(TRIM(A651),FIND("]",TRIM(A651)&amp;"]")+1,200)),TRIM(A651)),FIND("(",IF(LEFT(TRIM(A651),1)="[",TRIM(MID(TRIM(A651),FIND("]",TRIM(A651)&amp;"]")+1,200)),TRIM(A651))&amp;"(")-1)),IF(LEFT(TRIM(A651),1)="[",TRIM(MID(TRIM(A651),FIND("]",TRIM(A651)&amp;"]")+1,200)),TRIM(A651))))&gt;0,IF(RIGHT(IF(LEFT(TRIM(A651),1)="[",TRIM(MID(TRIM(A651),FIND("]",TRIM(A651)&amp;"]")+1,200)),TRIM(A651)),1)=")",TRIM(LEFT(IF(LEFT(TRIM(A651),1)="[",TRIM(MID(TRIM(A651),FIND("]",TRIM(A651)&amp;"]")+1,200)),TRIM(A651)),FIND("(",IF(LEFT(TRIM(A651),1)="[",TRIM(MID(TRIM(A651),FIND("]",TRIM(A651)&amp;"]")+1,200)),TRIM(A651))&amp;"(")-1)),IF(LEFT(TRIM(A651),1)="[",TRIM(MID(TRIM(A651),FIND("]",TRIM(A651)&amp;"]")+1,200)),TRIM(A651))),""))</f>
      </c>
      <c r="C651" s="17">
        <f>IF(B651&lt;&gt;"",B651,C650)</f>
      </c>
      <c r="D651" s="17">
        <f>IF(A651="","",IF(OR(LEFT(UPPER(TRIM(A651)),2)="Y:",LEFT(UPPER(TRIM(A651)),10)="YESTERDAY:"),"Y",IF(OR(LEFT(UPPER(TRIM(A651)),2)="T:",LEFT(UPPER(TRIM(A651)),6)="TODAY:"),"T",IF(OR(LEFT(UPPER(TRIM(A651)),2)="B:",LEFT(UPPER(TRIM(A651)),8)="BLOCKER:",LEFT(UPPER(TRIM(A651)),9)="BLOCKERS:",LEFT(UPPER(TRIM(A651)),8)="BLOCKED:"),"B",""))))</f>
      </c>
      <c r="E651" s="17">
        <f>IF(D651="","",TRIM(MID(A651,FIND(":",A651)+1,500)))</f>
      </c>
    </row>
    <row r="652">
      <c r="B652" s="17">
        <f>IF(A652="","",IF(COUNTIF(Roster[Name],IF(RIGHT(IF(LEFT(TRIM(A652),1)="[",TRIM(MID(TRIM(A652),FIND("]",TRIM(A652)&amp;"]")+1,200)),TRIM(A652)),1)=")",TRIM(LEFT(IF(LEFT(TRIM(A652),1)="[",TRIM(MID(TRIM(A652),FIND("]",TRIM(A652)&amp;"]")+1,200)),TRIM(A652)),FIND("(",IF(LEFT(TRIM(A652),1)="[",TRIM(MID(TRIM(A652),FIND("]",TRIM(A652)&amp;"]")+1,200)),TRIM(A652))&amp;"(")-1)),IF(LEFT(TRIM(A652),1)="[",TRIM(MID(TRIM(A652),FIND("]",TRIM(A652)&amp;"]")+1,200)),TRIM(A652))))&gt;0,IF(RIGHT(IF(LEFT(TRIM(A652),1)="[",TRIM(MID(TRIM(A652),FIND("]",TRIM(A652)&amp;"]")+1,200)),TRIM(A652)),1)=")",TRIM(LEFT(IF(LEFT(TRIM(A652),1)="[",TRIM(MID(TRIM(A652),FIND("]",TRIM(A652)&amp;"]")+1,200)),TRIM(A652)),FIND("(",IF(LEFT(TRIM(A652),1)="[",TRIM(MID(TRIM(A652),FIND("]",TRIM(A652)&amp;"]")+1,200)),TRIM(A652))&amp;"(")-1)),IF(LEFT(TRIM(A652),1)="[",TRIM(MID(TRIM(A652),FIND("]",TRIM(A652)&amp;"]")+1,200)),TRIM(A652))),""))</f>
      </c>
      <c r="C652" s="17">
        <f>IF(B652&lt;&gt;"",B652,C651)</f>
      </c>
      <c r="D652" s="17">
        <f>IF(A652="","",IF(OR(LEFT(UPPER(TRIM(A652)),2)="Y:",LEFT(UPPER(TRIM(A652)),10)="YESTERDAY:"),"Y",IF(OR(LEFT(UPPER(TRIM(A652)),2)="T:",LEFT(UPPER(TRIM(A652)),6)="TODAY:"),"T",IF(OR(LEFT(UPPER(TRIM(A652)),2)="B:",LEFT(UPPER(TRIM(A652)),8)="BLOCKER:",LEFT(UPPER(TRIM(A652)),9)="BLOCKERS:",LEFT(UPPER(TRIM(A652)),8)="BLOCKED:"),"B",""))))</f>
      </c>
      <c r="E652" s="17">
        <f>IF(D652="","",TRIM(MID(A652,FIND(":",A652)+1,500)))</f>
      </c>
    </row>
    <row r="653">
      <c r="B653" s="17">
        <f>IF(A653="","",IF(COUNTIF(Roster[Name],IF(RIGHT(IF(LEFT(TRIM(A653),1)="[",TRIM(MID(TRIM(A653),FIND("]",TRIM(A653)&amp;"]")+1,200)),TRIM(A653)),1)=")",TRIM(LEFT(IF(LEFT(TRIM(A653),1)="[",TRIM(MID(TRIM(A653),FIND("]",TRIM(A653)&amp;"]")+1,200)),TRIM(A653)),FIND("(",IF(LEFT(TRIM(A653),1)="[",TRIM(MID(TRIM(A653),FIND("]",TRIM(A653)&amp;"]")+1,200)),TRIM(A653))&amp;"(")-1)),IF(LEFT(TRIM(A653),1)="[",TRIM(MID(TRIM(A653),FIND("]",TRIM(A653)&amp;"]")+1,200)),TRIM(A653))))&gt;0,IF(RIGHT(IF(LEFT(TRIM(A653),1)="[",TRIM(MID(TRIM(A653),FIND("]",TRIM(A653)&amp;"]")+1,200)),TRIM(A653)),1)=")",TRIM(LEFT(IF(LEFT(TRIM(A653),1)="[",TRIM(MID(TRIM(A653),FIND("]",TRIM(A653)&amp;"]")+1,200)),TRIM(A653)),FIND("(",IF(LEFT(TRIM(A653),1)="[",TRIM(MID(TRIM(A653),FIND("]",TRIM(A653)&amp;"]")+1,200)),TRIM(A653))&amp;"(")-1)),IF(LEFT(TRIM(A653),1)="[",TRIM(MID(TRIM(A653),FIND("]",TRIM(A653)&amp;"]")+1,200)),TRIM(A653))),""))</f>
      </c>
      <c r="C653" s="17">
        <f>IF(B653&lt;&gt;"",B653,C652)</f>
      </c>
      <c r="D653" s="17">
        <f>IF(A653="","",IF(OR(LEFT(UPPER(TRIM(A653)),2)="Y:",LEFT(UPPER(TRIM(A653)),10)="YESTERDAY:"),"Y",IF(OR(LEFT(UPPER(TRIM(A653)),2)="T:",LEFT(UPPER(TRIM(A653)),6)="TODAY:"),"T",IF(OR(LEFT(UPPER(TRIM(A653)),2)="B:",LEFT(UPPER(TRIM(A653)),8)="BLOCKER:",LEFT(UPPER(TRIM(A653)),9)="BLOCKERS:",LEFT(UPPER(TRIM(A653)),8)="BLOCKED:"),"B",""))))</f>
      </c>
      <c r="E653" s="17">
        <f>IF(D653="","",TRIM(MID(A653,FIND(":",A653)+1,500)))</f>
      </c>
    </row>
    <row r="654">
      <c r="B654" s="17">
        <f>IF(A654="","",IF(COUNTIF(Roster[Name],IF(RIGHT(IF(LEFT(TRIM(A654),1)="[",TRIM(MID(TRIM(A654),FIND("]",TRIM(A654)&amp;"]")+1,200)),TRIM(A654)),1)=")",TRIM(LEFT(IF(LEFT(TRIM(A654),1)="[",TRIM(MID(TRIM(A654),FIND("]",TRIM(A654)&amp;"]")+1,200)),TRIM(A654)),FIND("(",IF(LEFT(TRIM(A654),1)="[",TRIM(MID(TRIM(A654),FIND("]",TRIM(A654)&amp;"]")+1,200)),TRIM(A654))&amp;"(")-1)),IF(LEFT(TRIM(A654),1)="[",TRIM(MID(TRIM(A654),FIND("]",TRIM(A654)&amp;"]")+1,200)),TRIM(A654))))&gt;0,IF(RIGHT(IF(LEFT(TRIM(A654),1)="[",TRIM(MID(TRIM(A654),FIND("]",TRIM(A654)&amp;"]")+1,200)),TRIM(A654)),1)=")",TRIM(LEFT(IF(LEFT(TRIM(A654),1)="[",TRIM(MID(TRIM(A654),FIND("]",TRIM(A654)&amp;"]")+1,200)),TRIM(A654)),FIND("(",IF(LEFT(TRIM(A654),1)="[",TRIM(MID(TRIM(A654),FIND("]",TRIM(A654)&amp;"]")+1,200)),TRIM(A654))&amp;"(")-1)),IF(LEFT(TRIM(A654),1)="[",TRIM(MID(TRIM(A654),FIND("]",TRIM(A654)&amp;"]")+1,200)),TRIM(A654))),""))</f>
      </c>
      <c r="C654" s="17">
        <f>IF(B654&lt;&gt;"",B654,C653)</f>
      </c>
      <c r="D654" s="17">
        <f>IF(A654="","",IF(OR(LEFT(UPPER(TRIM(A654)),2)="Y:",LEFT(UPPER(TRIM(A654)),10)="YESTERDAY:"),"Y",IF(OR(LEFT(UPPER(TRIM(A654)),2)="T:",LEFT(UPPER(TRIM(A654)),6)="TODAY:"),"T",IF(OR(LEFT(UPPER(TRIM(A654)),2)="B:",LEFT(UPPER(TRIM(A654)),8)="BLOCKER:",LEFT(UPPER(TRIM(A654)),9)="BLOCKERS:",LEFT(UPPER(TRIM(A654)),8)="BLOCKED:"),"B",""))))</f>
      </c>
      <c r="E654" s="17">
        <f>IF(D654="","",TRIM(MID(A654,FIND(":",A654)+1,500)))</f>
      </c>
    </row>
    <row r="655">
      <c r="B655" s="17">
        <f>IF(A655="","",IF(COUNTIF(Roster[Name],IF(RIGHT(IF(LEFT(TRIM(A655),1)="[",TRIM(MID(TRIM(A655),FIND("]",TRIM(A655)&amp;"]")+1,200)),TRIM(A655)),1)=")",TRIM(LEFT(IF(LEFT(TRIM(A655),1)="[",TRIM(MID(TRIM(A655),FIND("]",TRIM(A655)&amp;"]")+1,200)),TRIM(A655)),FIND("(",IF(LEFT(TRIM(A655),1)="[",TRIM(MID(TRIM(A655),FIND("]",TRIM(A655)&amp;"]")+1,200)),TRIM(A655))&amp;"(")-1)),IF(LEFT(TRIM(A655),1)="[",TRIM(MID(TRIM(A655),FIND("]",TRIM(A655)&amp;"]")+1,200)),TRIM(A655))))&gt;0,IF(RIGHT(IF(LEFT(TRIM(A655),1)="[",TRIM(MID(TRIM(A655),FIND("]",TRIM(A655)&amp;"]")+1,200)),TRIM(A655)),1)=")",TRIM(LEFT(IF(LEFT(TRIM(A655),1)="[",TRIM(MID(TRIM(A655),FIND("]",TRIM(A655)&amp;"]")+1,200)),TRIM(A655)),FIND("(",IF(LEFT(TRIM(A655),1)="[",TRIM(MID(TRIM(A655),FIND("]",TRIM(A655)&amp;"]")+1,200)),TRIM(A655))&amp;"(")-1)),IF(LEFT(TRIM(A655),1)="[",TRIM(MID(TRIM(A655),FIND("]",TRIM(A655)&amp;"]")+1,200)),TRIM(A655))),""))</f>
      </c>
      <c r="C655" s="17">
        <f>IF(B655&lt;&gt;"",B655,C654)</f>
      </c>
      <c r="D655" s="17">
        <f>IF(A655="","",IF(OR(LEFT(UPPER(TRIM(A655)),2)="Y:",LEFT(UPPER(TRIM(A655)),10)="YESTERDAY:"),"Y",IF(OR(LEFT(UPPER(TRIM(A655)),2)="T:",LEFT(UPPER(TRIM(A655)),6)="TODAY:"),"T",IF(OR(LEFT(UPPER(TRIM(A655)),2)="B:",LEFT(UPPER(TRIM(A655)),8)="BLOCKER:",LEFT(UPPER(TRIM(A655)),9)="BLOCKERS:",LEFT(UPPER(TRIM(A655)),8)="BLOCKED:"),"B",""))))</f>
      </c>
      <c r="E655" s="17">
        <f>IF(D655="","",TRIM(MID(A655,FIND(":",A655)+1,500)))</f>
      </c>
    </row>
    <row r="656">
      <c r="B656" s="17">
        <f>IF(A656="","",IF(COUNTIF(Roster[Name],IF(RIGHT(IF(LEFT(TRIM(A656),1)="[",TRIM(MID(TRIM(A656),FIND("]",TRIM(A656)&amp;"]")+1,200)),TRIM(A656)),1)=")",TRIM(LEFT(IF(LEFT(TRIM(A656),1)="[",TRIM(MID(TRIM(A656),FIND("]",TRIM(A656)&amp;"]")+1,200)),TRIM(A656)),FIND("(",IF(LEFT(TRIM(A656),1)="[",TRIM(MID(TRIM(A656),FIND("]",TRIM(A656)&amp;"]")+1,200)),TRIM(A656))&amp;"(")-1)),IF(LEFT(TRIM(A656),1)="[",TRIM(MID(TRIM(A656),FIND("]",TRIM(A656)&amp;"]")+1,200)),TRIM(A656))))&gt;0,IF(RIGHT(IF(LEFT(TRIM(A656),1)="[",TRIM(MID(TRIM(A656),FIND("]",TRIM(A656)&amp;"]")+1,200)),TRIM(A656)),1)=")",TRIM(LEFT(IF(LEFT(TRIM(A656),1)="[",TRIM(MID(TRIM(A656),FIND("]",TRIM(A656)&amp;"]")+1,200)),TRIM(A656)),FIND("(",IF(LEFT(TRIM(A656),1)="[",TRIM(MID(TRIM(A656),FIND("]",TRIM(A656)&amp;"]")+1,200)),TRIM(A656))&amp;"(")-1)),IF(LEFT(TRIM(A656),1)="[",TRIM(MID(TRIM(A656),FIND("]",TRIM(A656)&amp;"]")+1,200)),TRIM(A656))),""))</f>
      </c>
      <c r="C656" s="17">
        <f>IF(B656&lt;&gt;"",B656,C655)</f>
      </c>
      <c r="D656" s="17">
        <f>IF(A656="","",IF(OR(LEFT(UPPER(TRIM(A656)),2)="Y:",LEFT(UPPER(TRIM(A656)),10)="YESTERDAY:"),"Y",IF(OR(LEFT(UPPER(TRIM(A656)),2)="T:",LEFT(UPPER(TRIM(A656)),6)="TODAY:"),"T",IF(OR(LEFT(UPPER(TRIM(A656)),2)="B:",LEFT(UPPER(TRIM(A656)),8)="BLOCKER:",LEFT(UPPER(TRIM(A656)),9)="BLOCKERS:",LEFT(UPPER(TRIM(A656)),8)="BLOCKED:"),"B",""))))</f>
      </c>
      <c r="E656" s="17">
        <f>IF(D656="","",TRIM(MID(A656,FIND(":",A656)+1,500)))</f>
      </c>
    </row>
    <row r="657">
      <c r="B657" s="17">
        <f>IF(A657="","",IF(COUNTIF(Roster[Name],IF(RIGHT(IF(LEFT(TRIM(A657),1)="[",TRIM(MID(TRIM(A657),FIND("]",TRIM(A657)&amp;"]")+1,200)),TRIM(A657)),1)=")",TRIM(LEFT(IF(LEFT(TRIM(A657),1)="[",TRIM(MID(TRIM(A657),FIND("]",TRIM(A657)&amp;"]")+1,200)),TRIM(A657)),FIND("(",IF(LEFT(TRIM(A657),1)="[",TRIM(MID(TRIM(A657),FIND("]",TRIM(A657)&amp;"]")+1,200)),TRIM(A657))&amp;"(")-1)),IF(LEFT(TRIM(A657),1)="[",TRIM(MID(TRIM(A657),FIND("]",TRIM(A657)&amp;"]")+1,200)),TRIM(A657))))&gt;0,IF(RIGHT(IF(LEFT(TRIM(A657),1)="[",TRIM(MID(TRIM(A657),FIND("]",TRIM(A657)&amp;"]")+1,200)),TRIM(A657)),1)=")",TRIM(LEFT(IF(LEFT(TRIM(A657),1)="[",TRIM(MID(TRIM(A657),FIND("]",TRIM(A657)&amp;"]")+1,200)),TRIM(A657)),FIND("(",IF(LEFT(TRIM(A657),1)="[",TRIM(MID(TRIM(A657),FIND("]",TRIM(A657)&amp;"]")+1,200)),TRIM(A657))&amp;"(")-1)),IF(LEFT(TRIM(A657),1)="[",TRIM(MID(TRIM(A657),FIND("]",TRIM(A657)&amp;"]")+1,200)),TRIM(A657))),""))</f>
      </c>
      <c r="C657" s="17">
        <f>IF(B657&lt;&gt;"",B657,C656)</f>
      </c>
      <c r="D657" s="17">
        <f>IF(A657="","",IF(OR(LEFT(UPPER(TRIM(A657)),2)="Y:",LEFT(UPPER(TRIM(A657)),10)="YESTERDAY:"),"Y",IF(OR(LEFT(UPPER(TRIM(A657)),2)="T:",LEFT(UPPER(TRIM(A657)),6)="TODAY:"),"T",IF(OR(LEFT(UPPER(TRIM(A657)),2)="B:",LEFT(UPPER(TRIM(A657)),8)="BLOCKER:",LEFT(UPPER(TRIM(A657)),9)="BLOCKERS:",LEFT(UPPER(TRIM(A657)),8)="BLOCKED:"),"B",""))))</f>
      </c>
      <c r="E657" s="17">
        <f>IF(D657="","",TRIM(MID(A657,FIND(":",A657)+1,500)))</f>
      </c>
    </row>
    <row r="658">
      <c r="B658" s="17">
        <f>IF(A658="","",IF(COUNTIF(Roster[Name],IF(RIGHT(IF(LEFT(TRIM(A658),1)="[",TRIM(MID(TRIM(A658),FIND("]",TRIM(A658)&amp;"]")+1,200)),TRIM(A658)),1)=")",TRIM(LEFT(IF(LEFT(TRIM(A658),1)="[",TRIM(MID(TRIM(A658),FIND("]",TRIM(A658)&amp;"]")+1,200)),TRIM(A658)),FIND("(",IF(LEFT(TRIM(A658),1)="[",TRIM(MID(TRIM(A658),FIND("]",TRIM(A658)&amp;"]")+1,200)),TRIM(A658))&amp;"(")-1)),IF(LEFT(TRIM(A658),1)="[",TRIM(MID(TRIM(A658),FIND("]",TRIM(A658)&amp;"]")+1,200)),TRIM(A658))))&gt;0,IF(RIGHT(IF(LEFT(TRIM(A658),1)="[",TRIM(MID(TRIM(A658),FIND("]",TRIM(A658)&amp;"]")+1,200)),TRIM(A658)),1)=")",TRIM(LEFT(IF(LEFT(TRIM(A658),1)="[",TRIM(MID(TRIM(A658),FIND("]",TRIM(A658)&amp;"]")+1,200)),TRIM(A658)),FIND("(",IF(LEFT(TRIM(A658),1)="[",TRIM(MID(TRIM(A658),FIND("]",TRIM(A658)&amp;"]")+1,200)),TRIM(A658))&amp;"(")-1)),IF(LEFT(TRIM(A658),1)="[",TRIM(MID(TRIM(A658),FIND("]",TRIM(A658)&amp;"]")+1,200)),TRIM(A658))),""))</f>
      </c>
      <c r="C658" s="17">
        <f>IF(B658&lt;&gt;"",B658,C657)</f>
      </c>
      <c r="D658" s="17">
        <f>IF(A658="","",IF(OR(LEFT(UPPER(TRIM(A658)),2)="Y:",LEFT(UPPER(TRIM(A658)),10)="YESTERDAY:"),"Y",IF(OR(LEFT(UPPER(TRIM(A658)),2)="T:",LEFT(UPPER(TRIM(A658)),6)="TODAY:"),"T",IF(OR(LEFT(UPPER(TRIM(A658)),2)="B:",LEFT(UPPER(TRIM(A658)),8)="BLOCKER:",LEFT(UPPER(TRIM(A658)),9)="BLOCKERS:",LEFT(UPPER(TRIM(A658)),8)="BLOCKED:"),"B",""))))</f>
      </c>
      <c r="E658" s="17">
        <f>IF(D658="","",TRIM(MID(A658,FIND(":",A658)+1,500)))</f>
      </c>
    </row>
    <row r="659">
      <c r="B659" s="17">
        <f>IF(A659="","",IF(COUNTIF(Roster[Name],IF(RIGHT(IF(LEFT(TRIM(A659),1)="[",TRIM(MID(TRIM(A659),FIND("]",TRIM(A659)&amp;"]")+1,200)),TRIM(A659)),1)=")",TRIM(LEFT(IF(LEFT(TRIM(A659),1)="[",TRIM(MID(TRIM(A659),FIND("]",TRIM(A659)&amp;"]")+1,200)),TRIM(A659)),FIND("(",IF(LEFT(TRIM(A659),1)="[",TRIM(MID(TRIM(A659),FIND("]",TRIM(A659)&amp;"]")+1,200)),TRIM(A659))&amp;"(")-1)),IF(LEFT(TRIM(A659),1)="[",TRIM(MID(TRIM(A659),FIND("]",TRIM(A659)&amp;"]")+1,200)),TRIM(A659))))&gt;0,IF(RIGHT(IF(LEFT(TRIM(A659),1)="[",TRIM(MID(TRIM(A659),FIND("]",TRIM(A659)&amp;"]")+1,200)),TRIM(A659)),1)=")",TRIM(LEFT(IF(LEFT(TRIM(A659),1)="[",TRIM(MID(TRIM(A659),FIND("]",TRIM(A659)&amp;"]")+1,200)),TRIM(A659)),FIND("(",IF(LEFT(TRIM(A659),1)="[",TRIM(MID(TRIM(A659),FIND("]",TRIM(A659)&amp;"]")+1,200)),TRIM(A659))&amp;"(")-1)),IF(LEFT(TRIM(A659),1)="[",TRIM(MID(TRIM(A659),FIND("]",TRIM(A659)&amp;"]")+1,200)),TRIM(A659))),""))</f>
      </c>
      <c r="C659" s="17">
        <f>IF(B659&lt;&gt;"",B659,C658)</f>
      </c>
      <c r="D659" s="17">
        <f>IF(A659="","",IF(OR(LEFT(UPPER(TRIM(A659)),2)="Y:",LEFT(UPPER(TRIM(A659)),10)="YESTERDAY:"),"Y",IF(OR(LEFT(UPPER(TRIM(A659)),2)="T:",LEFT(UPPER(TRIM(A659)),6)="TODAY:"),"T",IF(OR(LEFT(UPPER(TRIM(A659)),2)="B:",LEFT(UPPER(TRIM(A659)),8)="BLOCKER:",LEFT(UPPER(TRIM(A659)),9)="BLOCKERS:",LEFT(UPPER(TRIM(A659)),8)="BLOCKED:"),"B",""))))</f>
      </c>
      <c r="E659" s="17">
        <f>IF(D659="","",TRIM(MID(A659,FIND(":",A659)+1,500)))</f>
      </c>
    </row>
    <row r="660">
      <c r="B660" s="17">
        <f>IF(A660="","",IF(COUNTIF(Roster[Name],IF(RIGHT(IF(LEFT(TRIM(A660),1)="[",TRIM(MID(TRIM(A660),FIND("]",TRIM(A660)&amp;"]")+1,200)),TRIM(A660)),1)=")",TRIM(LEFT(IF(LEFT(TRIM(A660),1)="[",TRIM(MID(TRIM(A660),FIND("]",TRIM(A660)&amp;"]")+1,200)),TRIM(A660)),FIND("(",IF(LEFT(TRIM(A660),1)="[",TRIM(MID(TRIM(A660),FIND("]",TRIM(A660)&amp;"]")+1,200)),TRIM(A660))&amp;"(")-1)),IF(LEFT(TRIM(A660),1)="[",TRIM(MID(TRIM(A660),FIND("]",TRIM(A660)&amp;"]")+1,200)),TRIM(A660))))&gt;0,IF(RIGHT(IF(LEFT(TRIM(A660),1)="[",TRIM(MID(TRIM(A660),FIND("]",TRIM(A660)&amp;"]")+1,200)),TRIM(A660)),1)=")",TRIM(LEFT(IF(LEFT(TRIM(A660),1)="[",TRIM(MID(TRIM(A660),FIND("]",TRIM(A660)&amp;"]")+1,200)),TRIM(A660)),FIND("(",IF(LEFT(TRIM(A660),1)="[",TRIM(MID(TRIM(A660),FIND("]",TRIM(A660)&amp;"]")+1,200)),TRIM(A660))&amp;"(")-1)),IF(LEFT(TRIM(A660),1)="[",TRIM(MID(TRIM(A660),FIND("]",TRIM(A660)&amp;"]")+1,200)),TRIM(A660))),""))</f>
      </c>
      <c r="C660" s="17">
        <f>IF(B660&lt;&gt;"",B660,C659)</f>
      </c>
      <c r="D660" s="17">
        <f>IF(A660="","",IF(OR(LEFT(UPPER(TRIM(A660)),2)="Y:",LEFT(UPPER(TRIM(A660)),10)="YESTERDAY:"),"Y",IF(OR(LEFT(UPPER(TRIM(A660)),2)="T:",LEFT(UPPER(TRIM(A660)),6)="TODAY:"),"T",IF(OR(LEFT(UPPER(TRIM(A660)),2)="B:",LEFT(UPPER(TRIM(A660)),8)="BLOCKER:",LEFT(UPPER(TRIM(A660)),9)="BLOCKERS:",LEFT(UPPER(TRIM(A660)),8)="BLOCKED:"),"B",""))))</f>
      </c>
      <c r="E660" s="17">
        <f>IF(D660="","",TRIM(MID(A660,FIND(":",A660)+1,500)))</f>
      </c>
    </row>
    <row r="661">
      <c r="B661" s="17">
        <f>IF(A661="","",IF(COUNTIF(Roster[Name],IF(RIGHT(IF(LEFT(TRIM(A661),1)="[",TRIM(MID(TRIM(A661),FIND("]",TRIM(A661)&amp;"]")+1,200)),TRIM(A661)),1)=")",TRIM(LEFT(IF(LEFT(TRIM(A661),1)="[",TRIM(MID(TRIM(A661),FIND("]",TRIM(A661)&amp;"]")+1,200)),TRIM(A661)),FIND("(",IF(LEFT(TRIM(A661),1)="[",TRIM(MID(TRIM(A661),FIND("]",TRIM(A661)&amp;"]")+1,200)),TRIM(A661))&amp;"(")-1)),IF(LEFT(TRIM(A661),1)="[",TRIM(MID(TRIM(A661),FIND("]",TRIM(A661)&amp;"]")+1,200)),TRIM(A661))))&gt;0,IF(RIGHT(IF(LEFT(TRIM(A661),1)="[",TRIM(MID(TRIM(A661),FIND("]",TRIM(A661)&amp;"]")+1,200)),TRIM(A661)),1)=")",TRIM(LEFT(IF(LEFT(TRIM(A661),1)="[",TRIM(MID(TRIM(A661),FIND("]",TRIM(A661)&amp;"]")+1,200)),TRIM(A661)),FIND("(",IF(LEFT(TRIM(A661),1)="[",TRIM(MID(TRIM(A661),FIND("]",TRIM(A661)&amp;"]")+1,200)),TRIM(A661))&amp;"(")-1)),IF(LEFT(TRIM(A661),1)="[",TRIM(MID(TRIM(A661),FIND("]",TRIM(A661)&amp;"]")+1,200)),TRIM(A661))),""))</f>
      </c>
      <c r="C661" s="17">
        <f>IF(B661&lt;&gt;"",B661,C660)</f>
      </c>
      <c r="D661" s="17">
        <f>IF(A661="","",IF(OR(LEFT(UPPER(TRIM(A661)),2)="Y:",LEFT(UPPER(TRIM(A661)),10)="YESTERDAY:"),"Y",IF(OR(LEFT(UPPER(TRIM(A661)),2)="T:",LEFT(UPPER(TRIM(A661)),6)="TODAY:"),"T",IF(OR(LEFT(UPPER(TRIM(A661)),2)="B:",LEFT(UPPER(TRIM(A661)),8)="BLOCKER:",LEFT(UPPER(TRIM(A661)),9)="BLOCKERS:",LEFT(UPPER(TRIM(A661)),8)="BLOCKED:"),"B",""))))</f>
      </c>
      <c r="E661" s="17">
        <f>IF(D661="","",TRIM(MID(A661,FIND(":",A661)+1,500)))</f>
      </c>
    </row>
    <row r="662">
      <c r="B662" s="17">
        <f>IF(A662="","",IF(COUNTIF(Roster[Name],IF(RIGHT(IF(LEFT(TRIM(A662),1)="[",TRIM(MID(TRIM(A662),FIND("]",TRIM(A662)&amp;"]")+1,200)),TRIM(A662)),1)=")",TRIM(LEFT(IF(LEFT(TRIM(A662),1)="[",TRIM(MID(TRIM(A662),FIND("]",TRIM(A662)&amp;"]")+1,200)),TRIM(A662)),FIND("(",IF(LEFT(TRIM(A662),1)="[",TRIM(MID(TRIM(A662),FIND("]",TRIM(A662)&amp;"]")+1,200)),TRIM(A662))&amp;"(")-1)),IF(LEFT(TRIM(A662),1)="[",TRIM(MID(TRIM(A662),FIND("]",TRIM(A662)&amp;"]")+1,200)),TRIM(A662))))&gt;0,IF(RIGHT(IF(LEFT(TRIM(A662),1)="[",TRIM(MID(TRIM(A662),FIND("]",TRIM(A662)&amp;"]")+1,200)),TRIM(A662)),1)=")",TRIM(LEFT(IF(LEFT(TRIM(A662),1)="[",TRIM(MID(TRIM(A662),FIND("]",TRIM(A662)&amp;"]")+1,200)),TRIM(A662)),FIND("(",IF(LEFT(TRIM(A662),1)="[",TRIM(MID(TRIM(A662),FIND("]",TRIM(A662)&amp;"]")+1,200)),TRIM(A662))&amp;"(")-1)),IF(LEFT(TRIM(A662),1)="[",TRIM(MID(TRIM(A662),FIND("]",TRIM(A662)&amp;"]")+1,200)),TRIM(A662))),""))</f>
      </c>
      <c r="C662" s="17">
        <f>IF(B662&lt;&gt;"",B662,C661)</f>
      </c>
      <c r="D662" s="17">
        <f>IF(A662="","",IF(OR(LEFT(UPPER(TRIM(A662)),2)="Y:",LEFT(UPPER(TRIM(A662)),10)="YESTERDAY:"),"Y",IF(OR(LEFT(UPPER(TRIM(A662)),2)="T:",LEFT(UPPER(TRIM(A662)),6)="TODAY:"),"T",IF(OR(LEFT(UPPER(TRIM(A662)),2)="B:",LEFT(UPPER(TRIM(A662)),8)="BLOCKER:",LEFT(UPPER(TRIM(A662)),9)="BLOCKERS:",LEFT(UPPER(TRIM(A662)),8)="BLOCKED:"),"B",""))))</f>
      </c>
      <c r="E662" s="17">
        <f>IF(D662="","",TRIM(MID(A662,FIND(":",A662)+1,500)))</f>
      </c>
    </row>
    <row r="663">
      <c r="B663" s="17">
        <f>IF(A663="","",IF(COUNTIF(Roster[Name],IF(RIGHT(IF(LEFT(TRIM(A663),1)="[",TRIM(MID(TRIM(A663),FIND("]",TRIM(A663)&amp;"]")+1,200)),TRIM(A663)),1)=")",TRIM(LEFT(IF(LEFT(TRIM(A663),1)="[",TRIM(MID(TRIM(A663),FIND("]",TRIM(A663)&amp;"]")+1,200)),TRIM(A663)),FIND("(",IF(LEFT(TRIM(A663),1)="[",TRIM(MID(TRIM(A663),FIND("]",TRIM(A663)&amp;"]")+1,200)),TRIM(A663))&amp;"(")-1)),IF(LEFT(TRIM(A663),1)="[",TRIM(MID(TRIM(A663),FIND("]",TRIM(A663)&amp;"]")+1,200)),TRIM(A663))))&gt;0,IF(RIGHT(IF(LEFT(TRIM(A663),1)="[",TRIM(MID(TRIM(A663),FIND("]",TRIM(A663)&amp;"]")+1,200)),TRIM(A663)),1)=")",TRIM(LEFT(IF(LEFT(TRIM(A663),1)="[",TRIM(MID(TRIM(A663),FIND("]",TRIM(A663)&amp;"]")+1,200)),TRIM(A663)),FIND("(",IF(LEFT(TRIM(A663),1)="[",TRIM(MID(TRIM(A663),FIND("]",TRIM(A663)&amp;"]")+1,200)),TRIM(A663))&amp;"(")-1)),IF(LEFT(TRIM(A663),1)="[",TRIM(MID(TRIM(A663),FIND("]",TRIM(A663)&amp;"]")+1,200)),TRIM(A663))),""))</f>
      </c>
      <c r="C663" s="17">
        <f>IF(B663&lt;&gt;"",B663,C662)</f>
      </c>
      <c r="D663" s="17">
        <f>IF(A663="","",IF(OR(LEFT(UPPER(TRIM(A663)),2)="Y:",LEFT(UPPER(TRIM(A663)),10)="YESTERDAY:"),"Y",IF(OR(LEFT(UPPER(TRIM(A663)),2)="T:",LEFT(UPPER(TRIM(A663)),6)="TODAY:"),"T",IF(OR(LEFT(UPPER(TRIM(A663)),2)="B:",LEFT(UPPER(TRIM(A663)),8)="BLOCKER:",LEFT(UPPER(TRIM(A663)),9)="BLOCKERS:",LEFT(UPPER(TRIM(A663)),8)="BLOCKED:"),"B",""))))</f>
      </c>
      <c r="E663" s="17">
        <f>IF(D663="","",TRIM(MID(A663,FIND(":",A663)+1,500)))</f>
      </c>
    </row>
    <row r="664">
      <c r="B664" s="17">
        <f>IF(A664="","",IF(COUNTIF(Roster[Name],IF(RIGHT(IF(LEFT(TRIM(A664),1)="[",TRIM(MID(TRIM(A664),FIND("]",TRIM(A664)&amp;"]")+1,200)),TRIM(A664)),1)=")",TRIM(LEFT(IF(LEFT(TRIM(A664),1)="[",TRIM(MID(TRIM(A664),FIND("]",TRIM(A664)&amp;"]")+1,200)),TRIM(A664)),FIND("(",IF(LEFT(TRIM(A664),1)="[",TRIM(MID(TRIM(A664),FIND("]",TRIM(A664)&amp;"]")+1,200)),TRIM(A664))&amp;"(")-1)),IF(LEFT(TRIM(A664),1)="[",TRIM(MID(TRIM(A664),FIND("]",TRIM(A664)&amp;"]")+1,200)),TRIM(A664))))&gt;0,IF(RIGHT(IF(LEFT(TRIM(A664),1)="[",TRIM(MID(TRIM(A664),FIND("]",TRIM(A664)&amp;"]")+1,200)),TRIM(A664)),1)=")",TRIM(LEFT(IF(LEFT(TRIM(A664),1)="[",TRIM(MID(TRIM(A664),FIND("]",TRIM(A664)&amp;"]")+1,200)),TRIM(A664)),FIND("(",IF(LEFT(TRIM(A664),1)="[",TRIM(MID(TRIM(A664),FIND("]",TRIM(A664)&amp;"]")+1,200)),TRIM(A664))&amp;"(")-1)),IF(LEFT(TRIM(A664),1)="[",TRIM(MID(TRIM(A664),FIND("]",TRIM(A664)&amp;"]")+1,200)),TRIM(A664))),""))</f>
      </c>
      <c r="C664" s="17">
        <f>IF(B664&lt;&gt;"",B664,C663)</f>
      </c>
      <c r="D664" s="17">
        <f>IF(A664="","",IF(OR(LEFT(UPPER(TRIM(A664)),2)="Y:",LEFT(UPPER(TRIM(A664)),10)="YESTERDAY:"),"Y",IF(OR(LEFT(UPPER(TRIM(A664)),2)="T:",LEFT(UPPER(TRIM(A664)),6)="TODAY:"),"T",IF(OR(LEFT(UPPER(TRIM(A664)),2)="B:",LEFT(UPPER(TRIM(A664)),8)="BLOCKER:",LEFT(UPPER(TRIM(A664)),9)="BLOCKERS:",LEFT(UPPER(TRIM(A664)),8)="BLOCKED:"),"B",""))))</f>
      </c>
      <c r="E664" s="17">
        <f>IF(D664="","",TRIM(MID(A664,FIND(":",A664)+1,500)))</f>
      </c>
    </row>
    <row r="665">
      <c r="B665" s="17">
        <f>IF(A665="","",IF(COUNTIF(Roster[Name],IF(RIGHT(IF(LEFT(TRIM(A665),1)="[",TRIM(MID(TRIM(A665),FIND("]",TRIM(A665)&amp;"]")+1,200)),TRIM(A665)),1)=")",TRIM(LEFT(IF(LEFT(TRIM(A665),1)="[",TRIM(MID(TRIM(A665),FIND("]",TRIM(A665)&amp;"]")+1,200)),TRIM(A665)),FIND("(",IF(LEFT(TRIM(A665),1)="[",TRIM(MID(TRIM(A665),FIND("]",TRIM(A665)&amp;"]")+1,200)),TRIM(A665))&amp;"(")-1)),IF(LEFT(TRIM(A665),1)="[",TRIM(MID(TRIM(A665),FIND("]",TRIM(A665)&amp;"]")+1,200)),TRIM(A665))))&gt;0,IF(RIGHT(IF(LEFT(TRIM(A665),1)="[",TRIM(MID(TRIM(A665),FIND("]",TRIM(A665)&amp;"]")+1,200)),TRIM(A665)),1)=")",TRIM(LEFT(IF(LEFT(TRIM(A665),1)="[",TRIM(MID(TRIM(A665),FIND("]",TRIM(A665)&amp;"]")+1,200)),TRIM(A665)),FIND("(",IF(LEFT(TRIM(A665),1)="[",TRIM(MID(TRIM(A665),FIND("]",TRIM(A665)&amp;"]")+1,200)),TRIM(A665))&amp;"(")-1)),IF(LEFT(TRIM(A665),1)="[",TRIM(MID(TRIM(A665),FIND("]",TRIM(A665)&amp;"]")+1,200)),TRIM(A665))),""))</f>
      </c>
      <c r="C665" s="17">
        <f>IF(B665&lt;&gt;"",B665,C664)</f>
      </c>
      <c r="D665" s="17">
        <f>IF(A665="","",IF(OR(LEFT(UPPER(TRIM(A665)),2)="Y:",LEFT(UPPER(TRIM(A665)),10)="YESTERDAY:"),"Y",IF(OR(LEFT(UPPER(TRIM(A665)),2)="T:",LEFT(UPPER(TRIM(A665)),6)="TODAY:"),"T",IF(OR(LEFT(UPPER(TRIM(A665)),2)="B:",LEFT(UPPER(TRIM(A665)),8)="BLOCKER:",LEFT(UPPER(TRIM(A665)),9)="BLOCKERS:",LEFT(UPPER(TRIM(A665)),8)="BLOCKED:"),"B",""))))</f>
      </c>
      <c r="E665" s="17">
        <f>IF(D665="","",TRIM(MID(A665,FIND(":",A665)+1,500)))</f>
      </c>
    </row>
    <row r="666">
      <c r="B666" s="17">
        <f>IF(A666="","",IF(COUNTIF(Roster[Name],IF(RIGHT(IF(LEFT(TRIM(A666),1)="[",TRIM(MID(TRIM(A666),FIND("]",TRIM(A666)&amp;"]")+1,200)),TRIM(A666)),1)=")",TRIM(LEFT(IF(LEFT(TRIM(A666),1)="[",TRIM(MID(TRIM(A666),FIND("]",TRIM(A666)&amp;"]")+1,200)),TRIM(A666)),FIND("(",IF(LEFT(TRIM(A666),1)="[",TRIM(MID(TRIM(A666),FIND("]",TRIM(A666)&amp;"]")+1,200)),TRIM(A666))&amp;"(")-1)),IF(LEFT(TRIM(A666),1)="[",TRIM(MID(TRIM(A666),FIND("]",TRIM(A666)&amp;"]")+1,200)),TRIM(A666))))&gt;0,IF(RIGHT(IF(LEFT(TRIM(A666),1)="[",TRIM(MID(TRIM(A666),FIND("]",TRIM(A666)&amp;"]")+1,200)),TRIM(A666)),1)=")",TRIM(LEFT(IF(LEFT(TRIM(A666),1)="[",TRIM(MID(TRIM(A666),FIND("]",TRIM(A666)&amp;"]")+1,200)),TRIM(A666)),FIND("(",IF(LEFT(TRIM(A666),1)="[",TRIM(MID(TRIM(A666),FIND("]",TRIM(A666)&amp;"]")+1,200)),TRIM(A666))&amp;"(")-1)),IF(LEFT(TRIM(A666),1)="[",TRIM(MID(TRIM(A666),FIND("]",TRIM(A666)&amp;"]")+1,200)),TRIM(A666))),""))</f>
      </c>
      <c r="C666" s="17">
        <f>IF(B666&lt;&gt;"",B666,C665)</f>
      </c>
      <c r="D666" s="17">
        <f>IF(A666="","",IF(OR(LEFT(UPPER(TRIM(A666)),2)="Y:",LEFT(UPPER(TRIM(A666)),10)="YESTERDAY:"),"Y",IF(OR(LEFT(UPPER(TRIM(A666)),2)="T:",LEFT(UPPER(TRIM(A666)),6)="TODAY:"),"T",IF(OR(LEFT(UPPER(TRIM(A666)),2)="B:",LEFT(UPPER(TRIM(A666)),8)="BLOCKER:",LEFT(UPPER(TRIM(A666)),9)="BLOCKERS:",LEFT(UPPER(TRIM(A666)),8)="BLOCKED:"),"B",""))))</f>
      </c>
      <c r="E666" s="17">
        <f>IF(D666="","",TRIM(MID(A666,FIND(":",A666)+1,500)))</f>
      </c>
    </row>
    <row r="667">
      <c r="B667" s="17">
        <f>IF(A667="","",IF(COUNTIF(Roster[Name],IF(RIGHT(IF(LEFT(TRIM(A667),1)="[",TRIM(MID(TRIM(A667),FIND("]",TRIM(A667)&amp;"]")+1,200)),TRIM(A667)),1)=")",TRIM(LEFT(IF(LEFT(TRIM(A667),1)="[",TRIM(MID(TRIM(A667),FIND("]",TRIM(A667)&amp;"]")+1,200)),TRIM(A667)),FIND("(",IF(LEFT(TRIM(A667),1)="[",TRIM(MID(TRIM(A667),FIND("]",TRIM(A667)&amp;"]")+1,200)),TRIM(A667))&amp;"(")-1)),IF(LEFT(TRIM(A667),1)="[",TRIM(MID(TRIM(A667),FIND("]",TRIM(A667)&amp;"]")+1,200)),TRIM(A667))))&gt;0,IF(RIGHT(IF(LEFT(TRIM(A667),1)="[",TRIM(MID(TRIM(A667),FIND("]",TRIM(A667)&amp;"]")+1,200)),TRIM(A667)),1)=")",TRIM(LEFT(IF(LEFT(TRIM(A667),1)="[",TRIM(MID(TRIM(A667),FIND("]",TRIM(A667)&amp;"]")+1,200)),TRIM(A667)),FIND("(",IF(LEFT(TRIM(A667),1)="[",TRIM(MID(TRIM(A667),FIND("]",TRIM(A667)&amp;"]")+1,200)),TRIM(A667))&amp;"(")-1)),IF(LEFT(TRIM(A667),1)="[",TRIM(MID(TRIM(A667),FIND("]",TRIM(A667)&amp;"]")+1,200)),TRIM(A667))),""))</f>
      </c>
      <c r="C667" s="17">
        <f>IF(B667&lt;&gt;"",B667,C666)</f>
      </c>
      <c r="D667" s="17">
        <f>IF(A667="","",IF(OR(LEFT(UPPER(TRIM(A667)),2)="Y:",LEFT(UPPER(TRIM(A667)),10)="YESTERDAY:"),"Y",IF(OR(LEFT(UPPER(TRIM(A667)),2)="T:",LEFT(UPPER(TRIM(A667)),6)="TODAY:"),"T",IF(OR(LEFT(UPPER(TRIM(A667)),2)="B:",LEFT(UPPER(TRIM(A667)),8)="BLOCKER:",LEFT(UPPER(TRIM(A667)),9)="BLOCKERS:",LEFT(UPPER(TRIM(A667)),8)="BLOCKED:"),"B",""))))</f>
      </c>
      <c r="E667" s="17">
        <f>IF(D667="","",TRIM(MID(A667,FIND(":",A667)+1,500)))</f>
      </c>
    </row>
    <row r="668">
      <c r="B668" s="17">
        <f>IF(A668="","",IF(COUNTIF(Roster[Name],IF(RIGHT(IF(LEFT(TRIM(A668),1)="[",TRIM(MID(TRIM(A668),FIND("]",TRIM(A668)&amp;"]")+1,200)),TRIM(A668)),1)=")",TRIM(LEFT(IF(LEFT(TRIM(A668),1)="[",TRIM(MID(TRIM(A668),FIND("]",TRIM(A668)&amp;"]")+1,200)),TRIM(A668)),FIND("(",IF(LEFT(TRIM(A668),1)="[",TRIM(MID(TRIM(A668),FIND("]",TRIM(A668)&amp;"]")+1,200)),TRIM(A668))&amp;"(")-1)),IF(LEFT(TRIM(A668),1)="[",TRIM(MID(TRIM(A668),FIND("]",TRIM(A668)&amp;"]")+1,200)),TRIM(A668))))&gt;0,IF(RIGHT(IF(LEFT(TRIM(A668),1)="[",TRIM(MID(TRIM(A668),FIND("]",TRIM(A668)&amp;"]")+1,200)),TRIM(A668)),1)=")",TRIM(LEFT(IF(LEFT(TRIM(A668),1)="[",TRIM(MID(TRIM(A668),FIND("]",TRIM(A668)&amp;"]")+1,200)),TRIM(A668)),FIND("(",IF(LEFT(TRIM(A668),1)="[",TRIM(MID(TRIM(A668),FIND("]",TRIM(A668)&amp;"]")+1,200)),TRIM(A668))&amp;"(")-1)),IF(LEFT(TRIM(A668),1)="[",TRIM(MID(TRIM(A668),FIND("]",TRIM(A668)&amp;"]")+1,200)),TRIM(A668))),""))</f>
      </c>
      <c r="C668" s="17">
        <f>IF(B668&lt;&gt;"",B668,C667)</f>
      </c>
      <c r="D668" s="17">
        <f>IF(A668="","",IF(OR(LEFT(UPPER(TRIM(A668)),2)="Y:",LEFT(UPPER(TRIM(A668)),10)="YESTERDAY:"),"Y",IF(OR(LEFT(UPPER(TRIM(A668)),2)="T:",LEFT(UPPER(TRIM(A668)),6)="TODAY:"),"T",IF(OR(LEFT(UPPER(TRIM(A668)),2)="B:",LEFT(UPPER(TRIM(A668)),8)="BLOCKER:",LEFT(UPPER(TRIM(A668)),9)="BLOCKERS:",LEFT(UPPER(TRIM(A668)),8)="BLOCKED:"),"B",""))))</f>
      </c>
      <c r="E668" s="17">
        <f>IF(D668="","",TRIM(MID(A668,FIND(":",A668)+1,500)))</f>
      </c>
    </row>
    <row r="669">
      <c r="B669" s="17">
        <f>IF(A669="","",IF(COUNTIF(Roster[Name],IF(RIGHT(IF(LEFT(TRIM(A669),1)="[",TRIM(MID(TRIM(A669),FIND("]",TRIM(A669)&amp;"]")+1,200)),TRIM(A669)),1)=")",TRIM(LEFT(IF(LEFT(TRIM(A669),1)="[",TRIM(MID(TRIM(A669),FIND("]",TRIM(A669)&amp;"]")+1,200)),TRIM(A669)),FIND("(",IF(LEFT(TRIM(A669),1)="[",TRIM(MID(TRIM(A669),FIND("]",TRIM(A669)&amp;"]")+1,200)),TRIM(A669))&amp;"(")-1)),IF(LEFT(TRIM(A669),1)="[",TRIM(MID(TRIM(A669),FIND("]",TRIM(A669)&amp;"]")+1,200)),TRIM(A669))))&gt;0,IF(RIGHT(IF(LEFT(TRIM(A669),1)="[",TRIM(MID(TRIM(A669),FIND("]",TRIM(A669)&amp;"]")+1,200)),TRIM(A669)),1)=")",TRIM(LEFT(IF(LEFT(TRIM(A669),1)="[",TRIM(MID(TRIM(A669),FIND("]",TRIM(A669)&amp;"]")+1,200)),TRIM(A669)),FIND("(",IF(LEFT(TRIM(A669),1)="[",TRIM(MID(TRIM(A669),FIND("]",TRIM(A669)&amp;"]")+1,200)),TRIM(A669))&amp;"(")-1)),IF(LEFT(TRIM(A669),1)="[",TRIM(MID(TRIM(A669),FIND("]",TRIM(A669)&amp;"]")+1,200)),TRIM(A669))),""))</f>
      </c>
      <c r="C669" s="17">
        <f>IF(B669&lt;&gt;"",B669,C668)</f>
      </c>
      <c r="D669" s="17">
        <f>IF(A669="","",IF(OR(LEFT(UPPER(TRIM(A669)),2)="Y:",LEFT(UPPER(TRIM(A669)),10)="YESTERDAY:"),"Y",IF(OR(LEFT(UPPER(TRIM(A669)),2)="T:",LEFT(UPPER(TRIM(A669)),6)="TODAY:"),"T",IF(OR(LEFT(UPPER(TRIM(A669)),2)="B:",LEFT(UPPER(TRIM(A669)),8)="BLOCKER:",LEFT(UPPER(TRIM(A669)),9)="BLOCKERS:",LEFT(UPPER(TRIM(A669)),8)="BLOCKED:"),"B",""))))</f>
      </c>
      <c r="E669" s="17">
        <f>IF(D669="","",TRIM(MID(A669,FIND(":",A669)+1,500)))</f>
      </c>
    </row>
    <row r="670">
      <c r="B670" s="17">
        <f>IF(A670="","",IF(COUNTIF(Roster[Name],IF(RIGHT(IF(LEFT(TRIM(A670),1)="[",TRIM(MID(TRIM(A670),FIND("]",TRIM(A670)&amp;"]")+1,200)),TRIM(A670)),1)=")",TRIM(LEFT(IF(LEFT(TRIM(A670),1)="[",TRIM(MID(TRIM(A670),FIND("]",TRIM(A670)&amp;"]")+1,200)),TRIM(A670)),FIND("(",IF(LEFT(TRIM(A670),1)="[",TRIM(MID(TRIM(A670),FIND("]",TRIM(A670)&amp;"]")+1,200)),TRIM(A670))&amp;"(")-1)),IF(LEFT(TRIM(A670),1)="[",TRIM(MID(TRIM(A670),FIND("]",TRIM(A670)&amp;"]")+1,200)),TRIM(A670))))&gt;0,IF(RIGHT(IF(LEFT(TRIM(A670),1)="[",TRIM(MID(TRIM(A670),FIND("]",TRIM(A670)&amp;"]")+1,200)),TRIM(A670)),1)=")",TRIM(LEFT(IF(LEFT(TRIM(A670),1)="[",TRIM(MID(TRIM(A670),FIND("]",TRIM(A670)&amp;"]")+1,200)),TRIM(A670)),FIND("(",IF(LEFT(TRIM(A670),1)="[",TRIM(MID(TRIM(A670),FIND("]",TRIM(A670)&amp;"]")+1,200)),TRIM(A670))&amp;"(")-1)),IF(LEFT(TRIM(A670),1)="[",TRIM(MID(TRIM(A670),FIND("]",TRIM(A670)&amp;"]")+1,200)),TRIM(A670))),""))</f>
      </c>
      <c r="C670" s="17">
        <f>IF(B670&lt;&gt;"",B670,C669)</f>
      </c>
      <c r="D670" s="17">
        <f>IF(A670="","",IF(OR(LEFT(UPPER(TRIM(A670)),2)="Y:",LEFT(UPPER(TRIM(A670)),10)="YESTERDAY:"),"Y",IF(OR(LEFT(UPPER(TRIM(A670)),2)="T:",LEFT(UPPER(TRIM(A670)),6)="TODAY:"),"T",IF(OR(LEFT(UPPER(TRIM(A670)),2)="B:",LEFT(UPPER(TRIM(A670)),8)="BLOCKER:",LEFT(UPPER(TRIM(A670)),9)="BLOCKERS:",LEFT(UPPER(TRIM(A670)),8)="BLOCKED:"),"B",""))))</f>
      </c>
      <c r="E670" s="17">
        <f>IF(D670="","",TRIM(MID(A670,FIND(":",A670)+1,500)))</f>
      </c>
    </row>
    <row r="671">
      <c r="B671" s="17">
        <f>IF(A671="","",IF(COUNTIF(Roster[Name],IF(RIGHT(IF(LEFT(TRIM(A671),1)="[",TRIM(MID(TRIM(A671),FIND("]",TRIM(A671)&amp;"]")+1,200)),TRIM(A671)),1)=")",TRIM(LEFT(IF(LEFT(TRIM(A671),1)="[",TRIM(MID(TRIM(A671),FIND("]",TRIM(A671)&amp;"]")+1,200)),TRIM(A671)),FIND("(",IF(LEFT(TRIM(A671),1)="[",TRIM(MID(TRIM(A671),FIND("]",TRIM(A671)&amp;"]")+1,200)),TRIM(A671))&amp;"(")-1)),IF(LEFT(TRIM(A671),1)="[",TRIM(MID(TRIM(A671),FIND("]",TRIM(A671)&amp;"]")+1,200)),TRIM(A671))))&gt;0,IF(RIGHT(IF(LEFT(TRIM(A671),1)="[",TRIM(MID(TRIM(A671),FIND("]",TRIM(A671)&amp;"]")+1,200)),TRIM(A671)),1)=")",TRIM(LEFT(IF(LEFT(TRIM(A671),1)="[",TRIM(MID(TRIM(A671),FIND("]",TRIM(A671)&amp;"]")+1,200)),TRIM(A671)),FIND("(",IF(LEFT(TRIM(A671),1)="[",TRIM(MID(TRIM(A671),FIND("]",TRIM(A671)&amp;"]")+1,200)),TRIM(A671))&amp;"(")-1)),IF(LEFT(TRIM(A671),1)="[",TRIM(MID(TRIM(A671),FIND("]",TRIM(A671)&amp;"]")+1,200)),TRIM(A671))),""))</f>
      </c>
      <c r="C671" s="17">
        <f>IF(B671&lt;&gt;"",B671,C670)</f>
      </c>
      <c r="D671" s="17">
        <f>IF(A671="","",IF(OR(LEFT(UPPER(TRIM(A671)),2)="Y:",LEFT(UPPER(TRIM(A671)),10)="YESTERDAY:"),"Y",IF(OR(LEFT(UPPER(TRIM(A671)),2)="T:",LEFT(UPPER(TRIM(A671)),6)="TODAY:"),"T",IF(OR(LEFT(UPPER(TRIM(A671)),2)="B:",LEFT(UPPER(TRIM(A671)),8)="BLOCKER:",LEFT(UPPER(TRIM(A671)),9)="BLOCKERS:",LEFT(UPPER(TRIM(A671)),8)="BLOCKED:"),"B",""))))</f>
      </c>
      <c r="E671" s="17">
        <f>IF(D671="","",TRIM(MID(A671,FIND(":",A671)+1,500)))</f>
      </c>
    </row>
    <row r="672">
      <c r="B672" s="17">
        <f>IF(A672="","",IF(COUNTIF(Roster[Name],IF(RIGHT(IF(LEFT(TRIM(A672),1)="[",TRIM(MID(TRIM(A672),FIND("]",TRIM(A672)&amp;"]")+1,200)),TRIM(A672)),1)=")",TRIM(LEFT(IF(LEFT(TRIM(A672),1)="[",TRIM(MID(TRIM(A672),FIND("]",TRIM(A672)&amp;"]")+1,200)),TRIM(A672)),FIND("(",IF(LEFT(TRIM(A672),1)="[",TRIM(MID(TRIM(A672),FIND("]",TRIM(A672)&amp;"]")+1,200)),TRIM(A672))&amp;"(")-1)),IF(LEFT(TRIM(A672),1)="[",TRIM(MID(TRIM(A672),FIND("]",TRIM(A672)&amp;"]")+1,200)),TRIM(A672))))&gt;0,IF(RIGHT(IF(LEFT(TRIM(A672),1)="[",TRIM(MID(TRIM(A672),FIND("]",TRIM(A672)&amp;"]")+1,200)),TRIM(A672)),1)=")",TRIM(LEFT(IF(LEFT(TRIM(A672),1)="[",TRIM(MID(TRIM(A672),FIND("]",TRIM(A672)&amp;"]")+1,200)),TRIM(A672)),FIND("(",IF(LEFT(TRIM(A672),1)="[",TRIM(MID(TRIM(A672),FIND("]",TRIM(A672)&amp;"]")+1,200)),TRIM(A672))&amp;"(")-1)),IF(LEFT(TRIM(A672),1)="[",TRIM(MID(TRIM(A672),FIND("]",TRIM(A672)&amp;"]")+1,200)),TRIM(A672))),""))</f>
      </c>
      <c r="C672" s="17">
        <f>IF(B672&lt;&gt;"",B672,C671)</f>
      </c>
      <c r="D672" s="17">
        <f>IF(A672="","",IF(OR(LEFT(UPPER(TRIM(A672)),2)="Y:",LEFT(UPPER(TRIM(A672)),10)="YESTERDAY:"),"Y",IF(OR(LEFT(UPPER(TRIM(A672)),2)="T:",LEFT(UPPER(TRIM(A672)),6)="TODAY:"),"T",IF(OR(LEFT(UPPER(TRIM(A672)),2)="B:",LEFT(UPPER(TRIM(A672)),8)="BLOCKER:",LEFT(UPPER(TRIM(A672)),9)="BLOCKERS:",LEFT(UPPER(TRIM(A672)),8)="BLOCKED:"),"B",""))))</f>
      </c>
      <c r="E672" s="17">
        <f>IF(D672="","",TRIM(MID(A672,FIND(":",A672)+1,500)))</f>
      </c>
    </row>
    <row r="673">
      <c r="B673" s="17">
        <f>IF(A673="","",IF(COUNTIF(Roster[Name],IF(RIGHT(IF(LEFT(TRIM(A673),1)="[",TRIM(MID(TRIM(A673),FIND("]",TRIM(A673)&amp;"]")+1,200)),TRIM(A673)),1)=")",TRIM(LEFT(IF(LEFT(TRIM(A673),1)="[",TRIM(MID(TRIM(A673),FIND("]",TRIM(A673)&amp;"]")+1,200)),TRIM(A673)),FIND("(",IF(LEFT(TRIM(A673),1)="[",TRIM(MID(TRIM(A673),FIND("]",TRIM(A673)&amp;"]")+1,200)),TRIM(A673))&amp;"(")-1)),IF(LEFT(TRIM(A673),1)="[",TRIM(MID(TRIM(A673),FIND("]",TRIM(A673)&amp;"]")+1,200)),TRIM(A673))))&gt;0,IF(RIGHT(IF(LEFT(TRIM(A673),1)="[",TRIM(MID(TRIM(A673),FIND("]",TRIM(A673)&amp;"]")+1,200)),TRIM(A673)),1)=")",TRIM(LEFT(IF(LEFT(TRIM(A673),1)="[",TRIM(MID(TRIM(A673),FIND("]",TRIM(A673)&amp;"]")+1,200)),TRIM(A673)),FIND("(",IF(LEFT(TRIM(A673),1)="[",TRIM(MID(TRIM(A673),FIND("]",TRIM(A673)&amp;"]")+1,200)),TRIM(A673))&amp;"(")-1)),IF(LEFT(TRIM(A673),1)="[",TRIM(MID(TRIM(A673),FIND("]",TRIM(A673)&amp;"]")+1,200)),TRIM(A673))),""))</f>
      </c>
      <c r="C673" s="17">
        <f>IF(B673&lt;&gt;"",B673,C672)</f>
      </c>
      <c r="D673" s="17">
        <f>IF(A673="","",IF(OR(LEFT(UPPER(TRIM(A673)),2)="Y:",LEFT(UPPER(TRIM(A673)),10)="YESTERDAY:"),"Y",IF(OR(LEFT(UPPER(TRIM(A673)),2)="T:",LEFT(UPPER(TRIM(A673)),6)="TODAY:"),"T",IF(OR(LEFT(UPPER(TRIM(A673)),2)="B:",LEFT(UPPER(TRIM(A673)),8)="BLOCKER:",LEFT(UPPER(TRIM(A673)),9)="BLOCKERS:",LEFT(UPPER(TRIM(A673)),8)="BLOCKED:"),"B",""))))</f>
      </c>
      <c r="E673" s="17">
        <f>IF(D673="","",TRIM(MID(A673,FIND(":",A673)+1,500)))</f>
      </c>
    </row>
    <row r="674">
      <c r="B674" s="17">
        <f>IF(A674="","",IF(COUNTIF(Roster[Name],IF(RIGHT(IF(LEFT(TRIM(A674),1)="[",TRIM(MID(TRIM(A674),FIND("]",TRIM(A674)&amp;"]")+1,200)),TRIM(A674)),1)=")",TRIM(LEFT(IF(LEFT(TRIM(A674),1)="[",TRIM(MID(TRIM(A674),FIND("]",TRIM(A674)&amp;"]")+1,200)),TRIM(A674)),FIND("(",IF(LEFT(TRIM(A674),1)="[",TRIM(MID(TRIM(A674),FIND("]",TRIM(A674)&amp;"]")+1,200)),TRIM(A674))&amp;"(")-1)),IF(LEFT(TRIM(A674),1)="[",TRIM(MID(TRIM(A674),FIND("]",TRIM(A674)&amp;"]")+1,200)),TRIM(A674))))&gt;0,IF(RIGHT(IF(LEFT(TRIM(A674),1)="[",TRIM(MID(TRIM(A674),FIND("]",TRIM(A674)&amp;"]")+1,200)),TRIM(A674)),1)=")",TRIM(LEFT(IF(LEFT(TRIM(A674),1)="[",TRIM(MID(TRIM(A674),FIND("]",TRIM(A674)&amp;"]")+1,200)),TRIM(A674)),FIND("(",IF(LEFT(TRIM(A674),1)="[",TRIM(MID(TRIM(A674),FIND("]",TRIM(A674)&amp;"]")+1,200)),TRIM(A674))&amp;"(")-1)),IF(LEFT(TRIM(A674),1)="[",TRIM(MID(TRIM(A674),FIND("]",TRIM(A674)&amp;"]")+1,200)),TRIM(A674))),""))</f>
      </c>
      <c r="C674" s="17">
        <f>IF(B674&lt;&gt;"",B674,C673)</f>
      </c>
      <c r="D674" s="17">
        <f>IF(A674="","",IF(OR(LEFT(UPPER(TRIM(A674)),2)="Y:",LEFT(UPPER(TRIM(A674)),10)="YESTERDAY:"),"Y",IF(OR(LEFT(UPPER(TRIM(A674)),2)="T:",LEFT(UPPER(TRIM(A674)),6)="TODAY:"),"T",IF(OR(LEFT(UPPER(TRIM(A674)),2)="B:",LEFT(UPPER(TRIM(A674)),8)="BLOCKER:",LEFT(UPPER(TRIM(A674)),9)="BLOCKERS:",LEFT(UPPER(TRIM(A674)),8)="BLOCKED:"),"B",""))))</f>
      </c>
      <c r="E674" s="17">
        <f>IF(D674="","",TRIM(MID(A674,FIND(":",A674)+1,500)))</f>
      </c>
    </row>
    <row r="675">
      <c r="B675" s="17">
        <f>IF(A675="","",IF(COUNTIF(Roster[Name],IF(RIGHT(IF(LEFT(TRIM(A675),1)="[",TRIM(MID(TRIM(A675),FIND("]",TRIM(A675)&amp;"]")+1,200)),TRIM(A675)),1)=")",TRIM(LEFT(IF(LEFT(TRIM(A675),1)="[",TRIM(MID(TRIM(A675),FIND("]",TRIM(A675)&amp;"]")+1,200)),TRIM(A675)),FIND("(",IF(LEFT(TRIM(A675),1)="[",TRIM(MID(TRIM(A675),FIND("]",TRIM(A675)&amp;"]")+1,200)),TRIM(A675))&amp;"(")-1)),IF(LEFT(TRIM(A675),1)="[",TRIM(MID(TRIM(A675),FIND("]",TRIM(A675)&amp;"]")+1,200)),TRIM(A675))))&gt;0,IF(RIGHT(IF(LEFT(TRIM(A675),1)="[",TRIM(MID(TRIM(A675),FIND("]",TRIM(A675)&amp;"]")+1,200)),TRIM(A675)),1)=")",TRIM(LEFT(IF(LEFT(TRIM(A675),1)="[",TRIM(MID(TRIM(A675),FIND("]",TRIM(A675)&amp;"]")+1,200)),TRIM(A675)),FIND("(",IF(LEFT(TRIM(A675),1)="[",TRIM(MID(TRIM(A675),FIND("]",TRIM(A675)&amp;"]")+1,200)),TRIM(A675))&amp;"(")-1)),IF(LEFT(TRIM(A675),1)="[",TRIM(MID(TRIM(A675),FIND("]",TRIM(A675)&amp;"]")+1,200)),TRIM(A675))),""))</f>
      </c>
      <c r="C675" s="17">
        <f>IF(B675&lt;&gt;"",B675,C674)</f>
      </c>
      <c r="D675" s="17">
        <f>IF(A675="","",IF(OR(LEFT(UPPER(TRIM(A675)),2)="Y:",LEFT(UPPER(TRIM(A675)),10)="YESTERDAY:"),"Y",IF(OR(LEFT(UPPER(TRIM(A675)),2)="T:",LEFT(UPPER(TRIM(A675)),6)="TODAY:"),"T",IF(OR(LEFT(UPPER(TRIM(A675)),2)="B:",LEFT(UPPER(TRIM(A675)),8)="BLOCKER:",LEFT(UPPER(TRIM(A675)),9)="BLOCKERS:",LEFT(UPPER(TRIM(A675)),8)="BLOCKED:"),"B",""))))</f>
      </c>
      <c r="E675" s="17">
        <f>IF(D675="","",TRIM(MID(A675,FIND(":",A675)+1,500)))</f>
      </c>
    </row>
    <row r="676">
      <c r="B676" s="17">
        <f>IF(A676="","",IF(COUNTIF(Roster[Name],IF(RIGHT(IF(LEFT(TRIM(A676),1)="[",TRIM(MID(TRIM(A676),FIND("]",TRIM(A676)&amp;"]")+1,200)),TRIM(A676)),1)=")",TRIM(LEFT(IF(LEFT(TRIM(A676),1)="[",TRIM(MID(TRIM(A676),FIND("]",TRIM(A676)&amp;"]")+1,200)),TRIM(A676)),FIND("(",IF(LEFT(TRIM(A676),1)="[",TRIM(MID(TRIM(A676),FIND("]",TRIM(A676)&amp;"]")+1,200)),TRIM(A676))&amp;"(")-1)),IF(LEFT(TRIM(A676),1)="[",TRIM(MID(TRIM(A676),FIND("]",TRIM(A676)&amp;"]")+1,200)),TRIM(A676))))&gt;0,IF(RIGHT(IF(LEFT(TRIM(A676),1)="[",TRIM(MID(TRIM(A676),FIND("]",TRIM(A676)&amp;"]")+1,200)),TRIM(A676)),1)=")",TRIM(LEFT(IF(LEFT(TRIM(A676),1)="[",TRIM(MID(TRIM(A676),FIND("]",TRIM(A676)&amp;"]")+1,200)),TRIM(A676)),FIND("(",IF(LEFT(TRIM(A676),1)="[",TRIM(MID(TRIM(A676),FIND("]",TRIM(A676)&amp;"]")+1,200)),TRIM(A676))&amp;"(")-1)),IF(LEFT(TRIM(A676),1)="[",TRIM(MID(TRIM(A676),FIND("]",TRIM(A676)&amp;"]")+1,200)),TRIM(A676))),""))</f>
      </c>
      <c r="C676" s="17">
        <f>IF(B676&lt;&gt;"",B676,C675)</f>
      </c>
      <c r="D676" s="17">
        <f>IF(A676="","",IF(OR(LEFT(UPPER(TRIM(A676)),2)="Y:",LEFT(UPPER(TRIM(A676)),10)="YESTERDAY:"),"Y",IF(OR(LEFT(UPPER(TRIM(A676)),2)="T:",LEFT(UPPER(TRIM(A676)),6)="TODAY:"),"T",IF(OR(LEFT(UPPER(TRIM(A676)),2)="B:",LEFT(UPPER(TRIM(A676)),8)="BLOCKER:",LEFT(UPPER(TRIM(A676)),9)="BLOCKERS:",LEFT(UPPER(TRIM(A676)),8)="BLOCKED:"),"B",""))))</f>
      </c>
      <c r="E676" s="17">
        <f>IF(D676="","",TRIM(MID(A676,FIND(":",A676)+1,500)))</f>
      </c>
    </row>
    <row r="677">
      <c r="B677" s="17">
        <f>IF(A677="","",IF(COUNTIF(Roster[Name],IF(RIGHT(IF(LEFT(TRIM(A677),1)="[",TRIM(MID(TRIM(A677),FIND("]",TRIM(A677)&amp;"]")+1,200)),TRIM(A677)),1)=")",TRIM(LEFT(IF(LEFT(TRIM(A677),1)="[",TRIM(MID(TRIM(A677),FIND("]",TRIM(A677)&amp;"]")+1,200)),TRIM(A677)),FIND("(",IF(LEFT(TRIM(A677),1)="[",TRIM(MID(TRIM(A677),FIND("]",TRIM(A677)&amp;"]")+1,200)),TRIM(A677))&amp;"(")-1)),IF(LEFT(TRIM(A677),1)="[",TRIM(MID(TRIM(A677),FIND("]",TRIM(A677)&amp;"]")+1,200)),TRIM(A677))))&gt;0,IF(RIGHT(IF(LEFT(TRIM(A677),1)="[",TRIM(MID(TRIM(A677),FIND("]",TRIM(A677)&amp;"]")+1,200)),TRIM(A677)),1)=")",TRIM(LEFT(IF(LEFT(TRIM(A677),1)="[",TRIM(MID(TRIM(A677),FIND("]",TRIM(A677)&amp;"]")+1,200)),TRIM(A677)),FIND("(",IF(LEFT(TRIM(A677),1)="[",TRIM(MID(TRIM(A677),FIND("]",TRIM(A677)&amp;"]")+1,200)),TRIM(A677))&amp;"(")-1)),IF(LEFT(TRIM(A677),1)="[",TRIM(MID(TRIM(A677),FIND("]",TRIM(A677)&amp;"]")+1,200)),TRIM(A677))),""))</f>
      </c>
      <c r="C677" s="17">
        <f>IF(B677&lt;&gt;"",B677,C676)</f>
      </c>
      <c r="D677" s="17">
        <f>IF(A677="","",IF(OR(LEFT(UPPER(TRIM(A677)),2)="Y:",LEFT(UPPER(TRIM(A677)),10)="YESTERDAY:"),"Y",IF(OR(LEFT(UPPER(TRIM(A677)),2)="T:",LEFT(UPPER(TRIM(A677)),6)="TODAY:"),"T",IF(OR(LEFT(UPPER(TRIM(A677)),2)="B:",LEFT(UPPER(TRIM(A677)),8)="BLOCKER:",LEFT(UPPER(TRIM(A677)),9)="BLOCKERS:",LEFT(UPPER(TRIM(A677)),8)="BLOCKED:"),"B",""))))</f>
      </c>
      <c r="E677" s="17">
        <f>IF(D677="","",TRIM(MID(A677,FIND(":",A677)+1,500)))</f>
      </c>
    </row>
    <row r="678">
      <c r="B678" s="17">
        <f>IF(A678="","",IF(COUNTIF(Roster[Name],IF(RIGHT(IF(LEFT(TRIM(A678),1)="[",TRIM(MID(TRIM(A678),FIND("]",TRIM(A678)&amp;"]")+1,200)),TRIM(A678)),1)=")",TRIM(LEFT(IF(LEFT(TRIM(A678),1)="[",TRIM(MID(TRIM(A678),FIND("]",TRIM(A678)&amp;"]")+1,200)),TRIM(A678)),FIND("(",IF(LEFT(TRIM(A678),1)="[",TRIM(MID(TRIM(A678),FIND("]",TRIM(A678)&amp;"]")+1,200)),TRIM(A678))&amp;"(")-1)),IF(LEFT(TRIM(A678),1)="[",TRIM(MID(TRIM(A678),FIND("]",TRIM(A678)&amp;"]")+1,200)),TRIM(A678))))&gt;0,IF(RIGHT(IF(LEFT(TRIM(A678),1)="[",TRIM(MID(TRIM(A678),FIND("]",TRIM(A678)&amp;"]")+1,200)),TRIM(A678)),1)=")",TRIM(LEFT(IF(LEFT(TRIM(A678),1)="[",TRIM(MID(TRIM(A678),FIND("]",TRIM(A678)&amp;"]")+1,200)),TRIM(A678)),FIND("(",IF(LEFT(TRIM(A678),1)="[",TRIM(MID(TRIM(A678),FIND("]",TRIM(A678)&amp;"]")+1,200)),TRIM(A678))&amp;"(")-1)),IF(LEFT(TRIM(A678),1)="[",TRIM(MID(TRIM(A678),FIND("]",TRIM(A678)&amp;"]")+1,200)),TRIM(A678))),""))</f>
      </c>
      <c r="C678" s="17">
        <f>IF(B678&lt;&gt;"",B678,C677)</f>
      </c>
      <c r="D678" s="17">
        <f>IF(A678="","",IF(OR(LEFT(UPPER(TRIM(A678)),2)="Y:",LEFT(UPPER(TRIM(A678)),10)="YESTERDAY:"),"Y",IF(OR(LEFT(UPPER(TRIM(A678)),2)="T:",LEFT(UPPER(TRIM(A678)),6)="TODAY:"),"T",IF(OR(LEFT(UPPER(TRIM(A678)),2)="B:",LEFT(UPPER(TRIM(A678)),8)="BLOCKER:",LEFT(UPPER(TRIM(A678)),9)="BLOCKERS:",LEFT(UPPER(TRIM(A678)),8)="BLOCKED:"),"B",""))))</f>
      </c>
      <c r="E678" s="17">
        <f>IF(D678="","",TRIM(MID(A678,FIND(":",A678)+1,500)))</f>
      </c>
    </row>
    <row r="679">
      <c r="B679" s="17">
        <f>IF(A679="","",IF(COUNTIF(Roster[Name],IF(RIGHT(IF(LEFT(TRIM(A679),1)="[",TRIM(MID(TRIM(A679),FIND("]",TRIM(A679)&amp;"]")+1,200)),TRIM(A679)),1)=")",TRIM(LEFT(IF(LEFT(TRIM(A679),1)="[",TRIM(MID(TRIM(A679),FIND("]",TRIM(A679)&amp;"]")+1,200)),TRIM(A679)),FIND("(",IF(LEFT(TRIM(A679),1)="[",TRIM(MID(TRIM(A679),FIND("]",TRIM(A679)&amp;"]")+1,200)),TRIM(A679))&amp;"(")-1)),IF(LEFT(TRIM(A679),1)="[",TRIM(MID(TRIM(A679),FIND("]",TRIM(A679)&amp;"]")+1,200)),TRIM(A679))))&gt;0,IF(RIGHT(IF(LEFT(TRIM(A679),1)="[",TRIM(MID(TRIM(A679),FIND("]",TRIM(A679)&amp;"]")+1,200)),TRIM(A679)),1)=")",TRIM(LEFT(IF(LEFT(TRIM(A679),1)="[",TRIM(MID(TRIM(A679),FIND("]",TRIM(A679)&amp;"]")+1,200)),TRIM(A679)),FIND("(",IF(LEFT(TRIM(A679),1)="[",TRIM(MID(TRIM(A679),FIND("]",TRIM(A679)&amp;"]")+1,200)),TRIM(A679))&amp;"(")-1)),IF(LEFT(TRIM(A679),1)="[",TRIM(MID(TRIM(A679),FIND("]",TRIM(A679)&amp;"]")+1,200)),TRIM(A679))),""))</f>
      </c>
      <c r="C679" s="17">
        <f>IF(B679&lt;&gt;"",B679,C678)</f>
      </c>
      <c r="D679" s="17">
        <f>IF(A679="","",IF(OR(LEFT(UPPER(TRIM(A679)),2)="Y:",LEFT(UPPER(TRIM(A679)),10)="YESTERDAY:"),"Y",IF(OR(LEFT(UPPER(TRIM(A679)),2)="T:",LEFT(UPPER(TRIM(A679)),6)="TODAY:"),"T",IF(OR(LEFT(UPPER(TRIM(A679)),2)="B:",LEFT(UPPER(TRIM(A679)),8)="BLOCKER:",LEFT(UPPER(TRIM(A679)),9)="BLOCKERS:",LEFT(UPPER(TRIM(A679)),8)="BLOCKED:"),"B",""))))</f>
      </c>
      <c r="E679" s="17">
        <f>IF(D679="","",TRIM(MID(A679,FIND(":",A679)+1,500)))</f>
      </c>
    </row>
    <row r="680">
      <c r="B680" s="17">
        <f>IF(A680="","",IF(COUNTIF(Roster[Name],IF(RIGHT(IF(LEFT(TRIM(A680),1)="[",TRIM(MID(TRIM(A680),FIND("]",TRIM(A680)&amp;"]")+1,200)),TRIM(A680)),1)=")",TRIM(LEFT(IF(LEFT(TRIM(A680),1)="[",TRIM(MID(TRIM(A680),FIND("]",TRIM(A680)&amp;"]")+1,200)),TRIM(A680)),FIND("(",IF(LEFT(TRIM(A680),1)="[",TRIM(MID(TRIM(A680),FIND("]",TRIM(A680)&amp;"]")+1,200)),TRIM(A680))&amp;"(")-1)),IF(LEFT(TRIM(A680),1)="[",TRIM(MID(TRIM(A680),FIND("]",TRIM(A680)&amp;"]")+1,200)),TRIM(A680))))&gt;0,IF(RIGHT(IF(LEFT(TRIM(A680),1)="[",TRIM(MID(TRIM(A680),FIND("]",TRIM(A680)&amp;"]")+1,200)),TRIM(A680)),1)=")",TRIM(LEFT(IF(LEFT(TRIM(A680),1)="[",TRIM(MID(TRIM(A680),FIND("]",TRIM(A680)&amp;"]")+1,200)),TRIM(A680)),FIND("(",IF(LEFT(TRIM(A680),1)="[",TRIM(MID(TRIM(A680),FIND("]",TRIM(A680)&amp;"]")+1,200)),TRIM(A680))&amp;"(")-1)),IF(LEFT(TRIM(A680),1)="[",TRIM(MID(TRIM(A680),FIND("]",TRIM(A680)&amp;"]")+1,200)),TRIM(A680))),""))</f>
      </c>
      <c r="C680" s="17">
        <f>IF(B680&lt;&gt;"",B680,C679)</f>
      </c>
      <c r="D680" s="17">
        <f>IF(A680="","",IF(OR(LEFT(UPPER(TRIM(A680)),2)="Y:",LEFT(UPPER(TRIM(A680)),10)="YESTERDAY:"),"Y",IF(OR(LEFT(UPPER(TRIM(A680)),2)="T:",LEFT(UPPER(TRIM(A680)),6)="TODAY:"),"T",IF(OR(LEFT(UPPER(TRIM(A680)),2)="B:",LEFT(UPPER(TRIM(A680)),8)="BLOCKER:",LEFT(UPPER(TRIM(A680)),9)="BLOCKERS:",LEFT(UPPER(TRIM(A680)),8)="BLOCKED:"),"B",""))))</f>
      </c>
      <c r="E680" s="17">
        <f>IF(D680="","",TRIM(MID(A680,FIND(":",A680)+1,500)))</f>
      </c>
    </row>
    <row r="681">
      <c r="B681" s="17">
        <f>IF(A681="","",IF(COUNTIF(Roster[Name],IF(RIGHT(IF(LEFT(TRIM(A681),1)="[",TRIM(MID(TRIM(A681),FIND("]",TRIM(A681)&amp;"]")+1,200)),TRIM(A681)),1)=")",TRIM(LEFT(IF(LEFT(TRIM(A681),1)="[",TRIM(MID(TRIM(A681),FIND("]",TRIM(A681)&amp;"]")+1,200)),TRIM(A681)),FIND("(",IF(LEFT(TRIM(A681),1)="[",TRIM(MID(TRIM(A681),FIND("]",TRIM(A681)&amp;"]")+1,200)),TRIM(A681))&amp;"(")-1)),IF(LEFT(TRIM(A681),1)="[",TRIM(MID(TRIM(A681),FIND("]",TRIM(A681)&amp;"]")+1,200)),TRIM(A681))))&gt;0,IF(RIGHT(IF(LEFT(TRIM(A681),1)="[",TRIM(MID(TRIM(A681),FIND("]",TRIM(A681)&amp;"]")+1,200)),TRIM(A681)),1)=")",TRIM(LEFT(IF(LEFT(TRIM(A681),1)="[",TRIM(MID(TRIM(A681),FIND("]",TRIM(A681)&amp;"]")+1,200)),TRIM(A681)),FIND("(",IF(LEFT(TRIM(A681),1)="[",TRIM(MID(TRIM(A681),FIND("]",TRIM(A681)&amp;"]")+1,200)),TRIM(A681))&amp;"(")-1)),IF(LEFT(TRIM(A681),1)="[",TRIM(MID(TRIM(A681),FIND("]",TRIM(A681)&amp;"]")+1,200)),TRIM(A681))),""))</f>
      </c>
      <c r="C681" s="17">
        <f>IF(B681&lt;&gt;"",B681,C680)</f>
      </c>
      <c r="D681" s="17">
        <f>IF(A681="","",IF(OR(LEFT(UPPER(TRIM(A681)),2)="Y:",LEFT(UPPER(TRIM(A681)),10)="YESTERDAY:"),"Y",IF(OR(LEFT(UPPER(TRIM(A681)),2)="T:",LEFT(UPPER(TRIM(A681)),6)="TODAY:"),"T",IF(OR(LEFT(UPPER(TRIM(A681)),2)="B:",LEFT(UPPER(TRIM(A681)),8)="BLOCKER:",LEFT(UPPER(TRIM(A681)),9)="BLOCKERS:",LEFT(UPPER(TRIM(A681)),8)="BLOCKED:"),"B",""))))</f>
      </c>
      <c r="E681" s="17">
        <f>IF(D681="","",TRIM(MID(A681,FIND(":",A681)+1,500)))</f>
      </c>
    </row>
    <row r="682">
      <c r="B682" s="17">
        <f>IF(A682="","",IF(COUNTIF(Roster[Name],IF(RIGHT(IF(LEFT(TRIM(A682),1)="[",TRIM(MID(TRIM(A682),FIND("]",TRIM(A682)&amp;"]")+1,200)),TRIM(A682)),1)=")",TRIM(LEFT(IF(LEFT(TRIM(A682),1)="[",TRIM(MID(TRIM(A682),FIND("]",TRIM(A682)&amp;"]")+1,200)),TRIM(A682)),FIND("(",IF(LEFT(TRIM(A682),1)="[",TRIM(MID(TRIM(A682),FIND("]",TRIM(A682)&amp;"]")+1,200)),TRIM(A682))&amp;"(")-1)),IF(LEFT(TRIM(A682),1)="[",TRIM(MID(TRIM(A682),FIND("]",TRIM(A682)&amp;"]")+1,200)),TRIM(A682))))&gt;0,IF(RIGHT(IF(LEFT(TRIM(A682),1)="[",TRIM(MID(TRIM(A682),FIND("]",TRIM(A682)&amp;"]")+1,200)),TRIM(A682)),1)=")",TRIM(LEFT(IF(LEFT(TRIM(A682),1)="[",TRIM(MID(TRIM(A682),FIND("]",TRIM(A682)&amp;"]")+1,200)),TRIM(A682)),FIND("(",IF(LEFT(TRIM(A682),1)="[",TRIM(MID(TRIM(A682),FIND("]",TRIM(A682)&amp;"]")+1,200)),TRIM(A682))&amp;"(")-1)),IF(LEFT(TRIM(A682),1)="[",TRIM(MID(TRIM(A682),FIND("]",TRIM(A682)&amp;"]")+1,200)),TRIM(A682))),""))</f>
      </c>
      <c r="C682" s="17">
        <f>IF(B682&lt;&gt;"",B682,C681)</f>
      </c>
      <c r="D682" s="17">
        <f>IF(A682="","",IF(OR(LEFT(UPPER(TRIM(A682)),2)="Y:",LEFT(UPPER(TRIM(A682)),10)="YESTERDAY:"),"Y",IF(OR(LEFT(UPPER(TRIM(A682)),2)="T:",LEFT(UPPER(TRIM(A682)),6)="TODAY:"),"T",IF(OR(LEFT(UPPER(TRIM(A682)),2)="B:",LEFT(UPPER(TRIM(A682)),8)="BLOCKER:",LEFT(UPPER(TRIM(A682)),9)="BLOCKERS:",LEFT(UPPER(TRIM(A682)),8)="BLOCKED:"),"B",""))))</f>
      </c>
      <c r="E682" s="17">
        <f>IF(D682="","",TRIM(MID(A682,FIND(":",A682)+1,500)))</f>
      </c>
    </row>
    <row r="683">
      <c r="B683" s="17">
        <f>IF(A683="","",IF(COUNTIF(Roster[Name],IF(RIGHT(IF(LEFT(TRIM(A683),1)="[",TRIM(MID(TRIM(A683),FIND("]",TRIM(A683)&amp;"]")+1,200)),TRIM(A683)),1)=")",TRIM(LEFT(IF(LEFT(TRIM(A683),1)="[",TRIM(MID(TRIM(A683),FIND("]",TRIM(A683)&amp;"]")+1,200)),TRIM(A683)),FIND("(",IF(LEFT(TRIM(A683),1)="[",TRIM(MID(TRIM(A683),FIND("]",TRIM(A683)&amp;"]")+1,200)),TRIM(A683))&amp;"(")-1)),IF(LEFT(TRIM(A683),1)="[",TRIM(MID(TRIM(A683),FIND("]",TRIM(A683)&amp;"]")+1,200)),TRIM(A683))))&gt;0,IF(RIGHT(IF(LEFT(TRIM(A683),1)="[",TRIM(MID(TRIM(A683),FIND("]",TRIM(A683)&amp;"]")+1,200)),TRIM(A683)),1)=")",TRIM(LEFT(IF(LEFT(TRIM(A683),1)="[",TRIM(MID(TRIM(A683),FIND("]",TRIM(A683)&amp;"]")+1,200)),TRIM(A683)),FIND("(",IF(LEFT(TRIM(A683),1)="[",TRIM(MID(TRIM(A683),FIND("]",TRIM(A683)&amp;"]")+1,200)),TRIM(A683))&amp;"(")-1)),IF(LEFT(TRIM(A683),1)="[",TRIM(MID(TRIM(A683),FIND("]",TRIM(A683)&amp;"]")+1,200)),TRIM(A683))),""))</f>
      </c>
      <c r="C683" s="17">
        <f>IF(B683&lt;&gt;"",B683,C682)</f>
      </c>
      <c r="D683" s="17">
        <f>IF(A683="","",IF(OR(LEFT(UPPER(TRIM(A683)),2)="Y:",LEFT(UPPER(TRIM(A683)),10)="YESTERDAY:"),"Y",IF(OR(LEFT(UPPER(TRIM(A683)),2)="T:",LEFT(UPPER(TRIM(A683)),6)="TODAY:"),"T",IF(OR(LEFT(UPPER(TRIM(A683)),2)="B:",LEFT(UPPER(TRIM(A683)),8)="BLOCKER:",LEFT(UPPER(TRIM(A683)),9)="BLOCKERS:",LEFT(UPPER(TRIM(A683)),8)="BLOCKED:"),"B",""))))</f>
      </c>
      <c r="E683" s="17">
        <f>IF(D683="","",TRIM(MID(A683,FIND(":",A683)+1,500)))</f>
      </c>
    </row>
    <row r="684">
      <c r="B684" s="17">
        <f>IF(A684="","",IF(COUNTIF(Roster[Name],IF(RIGHT(IF(LEFT(TRIM(A684),1)="[",TRIM(MID(TRIM(A684),FIND("]",TRIM(A684)&amp;"]")+1,200)),TRIM(A684)),1)=")",TRIM(LEFT(IF(LEFT(TRIM(A684),1)="[",TRIM(MID(TRIM(A684),FIND("]",TRIM(A684)&amp;"]")+1,200)),TRIM(A684)),FIND("(",IF(LEFT(TRIM(A684),1)="[",TRIM(MID(TRIM(A684),FIND("]",TRIM(A684)&amp;"]")+1,200)),TRIM(A684))&amp;"(")-1)),IF(LEFT(TRIM(A684),1)="[",TRIM(MID(TRIM(A684),FIND("]",TRIM(A684)&amp;"]")+1,200)),TRIM(A684))))&gt;0,IF(RIGHT(IF(LEFT(TRIM(A684),1)="[",TRIM(MID(TRIM(A684),FIND("]",TRIM(A684)&amp;"]")+1,200)),TRIM(A684)),1)=")",TRIM(LEFT(IF(LEFT(TRIM(A684),1)="[",TRIM(MID(TRIM(A684),FIND("]",TRIM(A684)&amp;"]")+1,200)),TRIM(A684)),FIND("(",IF(LEFT(TRIM(A684),1)="[",TRIM(MID(TRIM(A684),FIND("]",TRIM(A684)&amp;"]")+1,200)),TRIM(A684))&amp;"(")-1)),IF(LEFT(TRIM(A684),1)="[",TRIM(MID(TRIM(A684),FIND("]",TRIM(A684)&amp;"]")+1,200)),TRIM(A684))),""))</f>
      </c>
      <c r="C684" s="17">
        <f>IF(B684&lt;&gt;"",B684,C683)</f>
      </c>
      <c r="D684" s="17">
        <f>IF(A684="","",IF(OR(LEFT(UPPER(TRIM(A684)),2)="Y:",LEFT(UPPER(TRIM(A684)),10)="YESTERDAY:"),"Y",IF(OR(LEFT(UPPER(TRIM(A684)),2)="T:",LEFT(UPPER(TRIM(A684)),6)="TODAY:"),"T",IF(OR(LEFT(UPPER(TRIM(A684)),2)="B:",LEFT(UPPER(TRIM(A684)),8)="BLOCKER:",LEFT(UPPER(TRIM(A684)),9)="BLOCKERS:",LEFT(UPPER(TRIM(A684)),8)="BLOCKED:"),"B",""))))</f>
      </c>
      <c r="E684" s="17">
        <f>IF(D684="","",TRIM(MID(A684,FIND(":",A684)+1,500)))</f>
      </c>
    </row>
    <row r="685">
      <c r="B685" s="17">
        <f>IF(A685="","",IF(COUNTIF(Roster[Name],IF(RIGHT(IF(LEFT(TRIM(A685),1)="[",TRIM(MID(TRIM(A685),FIND("]",TRIM(A685)&amp;"]")+1,200)),TRIM(A685)),1)=")",TRIM(LEFT(IF(LEFT(TRIM(A685),1)="[",TRIM(MID(TRIM(A685),FIND("]",TRIM(A685)&amp;"]")+1,200)),TRIM(A685)),FIND("(",IF(LEFT(TRIM(A685),1)="[",TRIM(MID(TRIM(A685),FIND("]",TRIM(A685)&amp;"]")+1,200)),TRIM(A685))&amp;"(")-1)),IF(LEFT(TRIM(A685),1)="[",TRIM(MID(TRIM(A685),FIND("]",TRIM(A685)&amp;"]")+1,200)),TRIM(A685))))&gt;0,IF(RIGHT(IF(LEFT(TRIM(A685),1)="[",TRIM(MID(TRIM(A685),FIND("]",TRIM(A685)&amp;"]")+1,200)),TRIM(A685)),1)=")",TRIM(LEFT(IF(LEFT(TRIM(A685),1)="[",TRIM(MID(TRIM(A685),FIND("]",TRIM(A685)&amp;"]")+1,200)),TRIM(A685)),FIND("(",IF(LEFT(TRIM(A685),1)="[",TRIM(MID(TRIM(A685),FIND("]",TRIM(A685)&amp;"]")+1,200)),TRIM(A685))&amp;"(")-1)),IF(LEFT(TRIM(A685),1)="[",TRIM(MID(TRIM(A685),FIND("]",TRIM(A685)&amp;"]")+1,200)),TRIM(A685))),""))</f>
      </c>
      <c r="C685" s="17">
        <f>IF(B685&lt;&gt;"",B685,C684)</f>
      </c>
      <c r="D685" s="17">
        <f>IF(A685="","",IF(OR(LEFT(UPPER(TRIM(A685)),2)="Y:",LEFT(UPPER(TRIM(A685)),10)="YESTERDAY:"),"Y",IF(OR(LEFT(UPPER(TRIM(A685)),2)="T:",LEFT(UPPER(TRIM(A685)),6)="TODAY:"),"T",IF(OR(LEFT(UPPER(TRIM(A685)),2)="B:",LEFT(UPPER(TRIM(A685)),8)="BLOCKER:",LEFT(UPPER(TRIM(A685)),9)="BLOCKERS:",LEFT(UPPER(TRIM(A685)),8)="BLOCKED:"),"B",""))))</f>
      </c>
      <c r="E685" s="17">
        <f>IF(D685="","",TRIM(MID(A685,FIND(":",A685)+1,500)))</f>
      </c>
    </row>
    <row r="686">
      <c r="B686" s="17">
        <f>IF(A686="","",IF(COUNTIF(Roster[Name],IF(RIGHT(IF(LEFT(TRIM(A686),1)="[",TRIM(MID(TRIM(A686),FIND("]",TRIM(A686)&amp;"]")+1,200)),TRIM(A686)),1)=")",TRIM(LEFT(IF(LEFT(TRIM(A686),1)="[",TRIM(MID(TRIM(A686),FIND("]",TRIM(A686)&amp;"]")+1,200)),TRIM(A686)),FIND("(",IF(LEFT(TRIM(A686),1)="[",TRIM(MID(TRIM(A686),FIND("]",TRIM(A686)&amp;"]")+1,200)),TRIM(A686))&amp;"(")-1)),IF(LEFT(TRIM(A686),1)="[",TRIM(MID(TRIM(A686),FIND("]",TRIM(A686)&amp;"]")+1,200)),TRIM(A686))))&gt;0,IF(RIGHT(IF(LEFT(TRIM(A686),1)="[",TRIM(MID(TRIM(A686),FIND("]",TRIM(A686)&amp;"]")+1,200)),TRIM(A686)),1)=")",TRIM(LEFT(IF(LEFT(TRIM(A686),1)="[",TRIM(MID(TRIM(A686),FIND("]",TRIM(A686)&amp;"]")+1,200)),TRIM(A686)),FIND("(",IF(LEFT(TRIM(A686),1)="[",TRIM(MID(TRIM(A686),FIND("]",TRIM(A686)&amp;"]")+1,200)),TRIM(A686))&amp;"(")-1)),IF(LEFT(TRIM(A686),1)="[",TRIM(MID(TRIM(A686),FIND("]",TRIM(A686)&amp;"]")+1,200)),TRIM(A686))),""))</f>
      </c>
      <c r="C686" s="17">
        <f>IF(B686&lt;&gt;"",B686,C685)</f>
      </c>
      <c r="D686" s="17">
        <f>IF(A686="","",IF(OR(LEFT(UPPER(TRIM(A686)),2)="Y:",LEFT(UPPER(TRIM(A686)),10)="YESTERDAY:"),"Y",IF(OR(LEFT(UPPER(TRIM(A686)),2)="T:",LEFT(UPPER(TRIM(A686)),6)="TODAY:"),"T",IF(OR(LEFT(UPPER(TRIM(A686)),2)="B:",LEFT(UPPER(TRIM(A686)),8)="BLOCKER:",LEFT(UPPER(TRIM(A686)),9)="BLOCKERS:",LEFT(UPPER(TRIM(A686)),8)="BLOCKED:"),"B",""))))</f>
      </c>
      <c r="E686" s="17">
        <f>IF(D686="","",TRIM(MID(A686,FIND(":",A686)+1,500)))</f>
      </c>
    </row>
    <row r="687">
      <c r="B687" s="17">
        <f>IF(A687="","",IF(COUNTIF(Roster[Name],IF(RIGHT(IF(LEFT(TRIM(A687),1)="[",TRIM(MID(TRIM(A687),FIND("]",TRIM(A687)&amp;"]")+1,200)),TRIM(A687)),1)=")",TRIM(LEFT(IF(LEFT(TRIM(A687),1)="[",TRIM(MID(TRIM(A687),FIND("]",TRIM(A687)&amp;"]")+1,200)),TRIM(A687)),FIND("(",IF(LEFT(TRIM(A687),1)="[",TRIM(MID(TRIM(A687),FIND("]",TRIM(A687)&amp;"]")+1,200)),TRIM(A687))&amp;"(")-1)),IF(LEFT(TRIM(A687),1)="[",TRIM(MID(TRIM(A687),FIND("]",TRIM(A687)&amp;"]")+1,200)),TRIM(A687))))&gt;0,IF(RIGHT(IF(LEFT(TRIM(A687),1)="[",TRIM(MID(TRIM(A687),FIND("]",TRIM(A687)&amp;"]")+1,200)),TRIM(A687)),1)=")",TRIM(LEFT(IF(LEFT(TRIM(A687),1)="[",TRIM(MID(TRIM(A687),FIND("]",TRIM(A687)&amp;"]")+1,200)),TRIM(A687)),FIND("(",IF(LEFT(TRIM(A687),1)="[",TRIM(MID(TRIM(A687),FIND("]",TRIM(A687)&amp;"]")+1,200)),TRIM(A687))&amp;"(")-1)),IF(LEFT(TRIM(A687),1)="[",TRIM(MID(TRIM(A687),FIND("]",TRIM(A687)&amp;"]")+1,200)),TRIM(A687))),""))</f>
      </c>
      <c r="C687" s="17">
        <f>IF(B687&lt;&gt;"",B687,C686)</f>
      </c>
      <c r="D687" s="17">
        <f>IF(A687="","",IF(OR(LEFT(UPPER(TRIM(A687)),2)="Y:",LEFT(UPPER(TRIM(A687)),10)="YESTERDAY:"),"Y",IF(OR(LEFT(UPPER(TRIM(A687)),2)="T:",LEFT(UPPER(TRIM(A687)),6)="TODAY:"),"T",IF(OR(LEFT(UPPER(TRIM(A687)),2)="B:",LEFT(UPPER(TRIM(A687)),8)="BLOCKER:",LEFT(UPPER(TRIM(A687)),9)="BLOCKERS:",LEFT(UPPER(TRIM(A687)),8)="BLOCKED:"),"B",""))))</f>
      </c>
      <c r="E687" s="17">
        <f>IF(D687="","",TRIM(MID(A687,FIND(":",A687)+1,500)))</f>
      </c>
    </row>
    <row r="688">
      <c r="B688" s="17">
        <f>IF(A688="","",IF(COUNTIF(Roster[Name],IF(RIGHT(IF(LEFT(TRIM(A688),1)="[",TRIM(MID(TRIM(A688),FIND("]",TRIM(A688)&amp;"]")+1,200)),TRIM(A688)),1)=")",TRIM(LEFT(IF(LEFT(TRIM(A688),1)="[",TRIM(MID(TRIM(A688),FIND("]",TRIM(A688)&amp;"]")+1,200)),TRIM(A688)),FIND("(",IF(LEFT(TRIM(A688),1)="[",TRIM(MID(TRIM(A688),FIND("]",TRIM(A688)&amp;"]")+1,200)),TRIM(A688))&amp;"(")-1)),IF(LEFT(TRIM(A688),1)="[",TRIM(MID(TRIM(A688),FIND("]",TRIM(A688)&amp;"]")+1,200)),TRIM(A688))))&gt;0,IF(RIGHT(IF(LEFT(TRIM(A688),1)="[",TRIM(MID(TRIM(A688),FIND("]",TRIM(A688)&amp;"]")+1,200)),TRIM(A688)),1)=")",TRIM(LEFT(IF(LEFT(TRIM(A688),1)="[",TRIM(MID(TRIM(A688),FIND("]",TRIM(A688)&amp;"]")+1,200)),TRIM(A688)),FIND("(",IF(LEFT(TRIM(A688),1)="[",TRIM(MID(TRIM(A688),FIND("]",TRIM(A688)&amp;"]")+1,200)),TRIM(A688))&amp;"(")-1)),IF(LEFT(TRIM(A688),1)="[",TRIM(MID(TRIM(A688),FIND("]",TRIM(A688)&amp;"]")+1,200)),TRIM(A688))),""))</f>
      </c>
      <c r="C688" s="17">
        <f>IF(B688&lt;&gt;"",B688,C687)</f>
      </c>
      <c r="D688" s="17">
        <f>IF(A688="","",IF(OR(LEFT(UPPER(TRIM(A688)),2)="Y:",LEFT(UPPER(TRIM(A688)),10)="YESTERDAY:"),"Y",IF(OR(LEFT(UPPER(TRIM(A688)),2)="T:",LEFT(UPPER(TRIM(A688)),6)="TODAY:"),"T",IF(OR(LEFT(UPPER(TRIM(A688)),2)="B:",LEFT(UPPER(TRIM(A688)),8)="BLOCKER:",LEFT(UPPER(TRIM(A688)),9)="BLOCKERS:",LEFT(UPPER(TRIM(A688)),8)="BLOCKED:"),"B",""))))</f>
      </c>
      <c r="E688" s="17">
        <f>IF(D688="","",TRIM(MID(A688,FIND(":",A688)+1,500)))</f>
      </c>
    </row>
    <row r="689">
      <c r="B689" s="17">
        <f>IF(A689="","",IF(COUNTIF(Roster[Name],IF(RIGHT(IF(LEFT(TRIM(A689),1)="[",TRIM(MID(TRIM(A689),FIND("]",TRIM(A689)&amp;"]")+1,200)),TRIM(A689)),1)=")",TRIM(LEFT(IF(LEFT(TRIM(A689),1)="[",TRIM(MID(TRIM(A689),FIND("]",TRIM(A689)&amp;"]")+1,200)),TRIM(A689)),FIND("(",IF(LEFT(TRIM(A689),1)="[",TRIM(MID(TRIM(A689),FIND("]",TRIM(A689)&amp;"]")+1,200)),TRIM(A689))&amp;"(")-1)),IF(LEFT(TRIM(A689),1)="[",TRIM(MID(TRIM(A689),FIND("]",TRIM(A689)&amp;"]")+1,200)),TRIM(A689))))&gt;0,IF(RIGHT(IF(LEFT(TRIM(A689),1)="[",TRIM(MID(TRIM(A689),FIND("]",TRIM(A689)&amp;"]")+1,200)),TRIM(A689)),1)=")",TRIM(LEFT(IF(LEFT(TRIM(A689),1)="[",TRIM(MID(TRIM(A689),FIND("]",TRIM(A689)&amp;"]")+1,200)),TRIM(A689)),FIND("(",IF(LEFT(TRIM(A689),1)="[",TRIM(MID(TRIM(A689),FIND("]",TRIM(A689)&amp;"]")+1,200)),TRIM(A689))&amp;"(")-1)),IF(LEFT(TRIM(A689),1)="[",TRIM(MID(TRIM(A689),FIND("]",TRIM(A689)&amp;"]")+1,200)),TRIM(A689))),""))</f>
      </c>
      <c r="C689" s="17">
        <f>IF(B689&lt;&gt;"",B689,C688)</f>
      </c>
      <c r="D689" s="17">
        <f>IF(A689="","",IF(OR(LEFT(UPPER(TRIM(A689)),2)="Y:",LEFT(UPPER(TRIM(A689)),10)="YESTERDAY:"),"Y",IF(OR(LEFT(UPPER(TRIM(A689)),2)="T:",LEFT(UPPER(TRIM(A689)),6)="TODAY:"),"T",IF(OR(LEFT(UPPER(TRIM(A689)),2)="B:",LEFT(UPPER(TRIM(A689)),8)="BLOCKER:",LEFT(UPPER(TRIM(A689)),9)="BLOCKERS:",LEFT(UPPER(TRIM(A689)),8)="BLOCKED:"),"B",""))))</f>
      </c>
      <c r="E689" s="17">
        <f>IF(D689="","",TRIM(MID(A689,FIND(":",A689)+1,500)))</f>
      </c>
    </row>
    <row r="690">
      <c r="B690" s="17">
        <f>IF(A690="","",IF(COUNTIF(Roster[Name],IF(RIGHT(IF(LEFT(TRIM(A690),1)="[",TRIM(MID(TRIM(A690),FIND("]",TRIM(A690)&amp;"]")+1,200)),TRIM(A690)),1)=")",TRIM(LEFT(IF(LEFT(TRIM(A690),1)="[",TRIM(MID(TRIM(A690),FIND("]",TRIM(A690)&amp;"]")+1,200)),TRIM(A690)),FIND("(",IF(LEFT(TRIM(A690),1)="[",TRIM(MID(TRIM(A690),FIND("]",TRIM(A690)&amp;"]")+1,200)),TRIM(A690))&amp;"(")-1)),IF(LEFT(TRIM(A690),1)="[",TRIM(MID(TRIM(A690),FIND("]",TRIM(A690)&amp;"]")+1,200)),TRIM(A690))))&gt;0,IF(RIGHT(IF(LEFT(TRIM(A690),1)="[",TRIM(MID(TRIM(A690),FIND("]",TRIM(A690)&amp;"]")+1,200)),TRIM(A690)),1)=")",TRIM(LEFT(IF(LEFT(TRIM(A690),1)="[",TRIM(MID(TRIM(A690),FIND("]",TRIM(A690)&amp;"]")+1,200)),TRIM(A690)),FIND("(",IF(LEFT(TRIM(A690),1)="[",TRIM(MID(TRIM(A690),FIND("]",TRIM(A690)&amp;"]")+1,200)),TRIM(A690))&amp;"(")-1)),IF(LEFT(TRIM(A690),1)="[",TRIM(MID(TRIM(A690),FIND("]",TRIM(A690)&amp;"]")+1,200)),TRIM(A690))),""))</f>
      </c>
      <c r="C690" s="17">
        <f>IF(B690&lt;&gt;"",B690,C689)</f>
      </c>
      <c r="D690" s="17">
        <f>IF(A690="","",IF(OR(LEFT(UPPER(TRIM(A690)),2)="Y:",LEFT(UPPER(TRIM(A690)),10)="YESTERDAY:"),"Y",IF(OR(LEFT(UPPER(TRIM(A690)),2)="T:",LEFT(UPPER(TRIM(A690)),6)="TODAY:"),"T",IF(OR(LEFT(UPPER(TRIM(A690)),2)="B:",LEFT(UPPER(TRIM(A690)),8)="BLOCKER:",LEFT(UPPER(TRIM(A690)),9)="BLOCKERS:",LEFT(UPPER(TRIM(A690)),8)="BLOCKED:"),"B",""))))</f>
      </c>
      <c r="E690" s="17">
        <f>IF(D690="","",TRIM(MID(A690,FIND(":",A690)+1,500)))</f>
      </c>
    </row>
    <row r="691">
      <c r="B691" s="17">
        <f>IF(A691="","",IF(COUNTIF(Roster[Name],IF(RIGHT(IF(LEFT(TRIM(A691),1)="[",TRIM(MID(TRIM(A691),FIND("]",TRIM(A691)&amp;"]")+1,200)),TRIM(A691)),1)=")",TRIM(LEFT(IF(LEFT(TRIM(A691),1)="[",TRIM(MID(TRIM(A691),FIND("]",TRIM(A691)&amp;"]")+1,200)),TRIM(A691)),FIND("(",IF(LEFT(TRIM(A691),1)="[",TRIM(MID(TRIM(A691),FIND("]",TRIM(A691)&amp;"]")+1,200)),TRIM(A691))&amp;"(")-1)),IF(LEFT(TRIM(A691),1)="[",TRIM(MID(TRIM(A691),FIND("]",TRIM(A691)&amp;"]")+1,200)),TRIM(A691))))&gt;0,IF(RIGHT(IF(LEFT(TRIM(A691),1)="[",TRIM(MID(TRIM(A691),FIND("]",TRIM(A691)&amp;"]")+1,200)),TRIM(A691)),1)=")",TRIM(LEFT(IF(LEFT(TRIM(A691),1)="[",TRIM(MID(TRIM(A691),FIND("]",TRIM(A691)&amp;"]")+1,200)),TRIM(A691)),FIND("(",IF(LEFT(TRIM(A691),1)="[",TRIM(MID(TRIM(A691),FIND("]",TRIM(A691)&amp;"]")+1,200)),TRIM(A691))&amp;"(")-1)),IF(LEFT(TRIM(A691),1)="[",TRIM(MID(TRIM(A691),FIND("]",TRIM(A691)&amp;"]")+1,200)),TRIM(A691))),""))</f>
      </c>
      <c r="C691" s="17">
        <f>IF(B691&lt;&gt;"",B691,C690)</f>
      </c>
      <c r="D691" s="17">
        <f>IF(A691="","",IF(OR(LEFT(UPPER(TRIM(A691)),2)="Y:",LEFT(UPPER(TRIM(A691)),10)="YESTERDAY:"),"Y",IF(OR(LEFT(UPPER(TRIM(A691)),2)="T:",LEFT(UPPER(TRIM(A691)),6)="TODAY:"),"T",IF(OR(LEFT(UPPER(TRIM(A691)),2)="B:",LEFT(UPPER(TRIM(A691)),8)="BLOCKER:",LEFT(UPPER(TRIM(A691)),9)="BLOCKERS:",LEFT(UPPER(TRIM(A691)),8)="BLOCKED:"),"B",""))))</f>
      </c>
      <c r="E691" s="17">
        <f>IF(D691="","",TRIM(MID(A691,FIND(":",A691)+1,500)))</f>
      </c>
    </row>
    <row r="692">
      <c r="B692" s="17">
        <f>IF(A692="","",IF(COUNTIF(Roster[Name],IF(RIGHT(IF(LEFT(TRIM(A692),1)="[",TRIM(MID(TRIM(A692),FIND("]",TRIM(A692)&amp;"]")+1,200)),TRIM(A692)),1)=")",TRIM(LEFT(IF(LEFT(TRIM(A692),1)="[",TRIM(MID(TRIM(A692),FIND("]",TRIM(A692)&amp;"]")+1,200)),TRIM(A692)),FIND("(",IF(LEFT(TRIM(A692),1)="[",TRIM(MID(TRIM(A692),FIND("]",TRIM(A692)&amp;"]")+1,200)),TRIM(A692))&amp;"(")-1)),IF(LEFT(TRIM(A692),1)="[",TRIM(MID(TRIM(A692),FIND("]",TRIM(A692)&amp;"]")+1,200)),TRIM(A692))))&gt;0,IF(RIGHT(IF(LEFT(TRIM(A692),1)="[",TRIM(MID(TRIM(A692),FIND("]",TRIM(A692)&amp;"]")+1,200)),TRIM(A692)),1)=")",TRIM(LEFT(IF(LEFT(TRIM(A692),1)="[",TRIM(MID(TRIM(A692),FIND("]",TRIM(A692)&amp;"]")+1,200)),TRIM(A692)),FIND("(",IF(LEFT(TRIM(A692),1)="[",TRIM(MID(TRIM(A692),FIND("]",TRIM(A692)&amp;"]")+1,200)),TRIM(A692))&amp;"(")-1)),IF(LEFT(TRIM(A692),1)="[",TRIM(MID(TRIM(A692),FIND("]",TRIM(A692)&amp;"]")+1,200)),TRIM(A692))),""))</f>
      </c>
      <c r="C692" s="17">
        <f>IF(B692&lt;&gt;"",B692,C691)</f>
      </c>
      <c r="D692" s="17">
        <f>IF(A692="","",IF(OR(LEFT(UPPER(TRIM(A692)),2)="Y:",LEFT(UPPER(TRIM(A692)),10)="YESTERDAY:"),"Y",IF(OR(LEFT(UPPER(TRIM(A692)),2)="T:",LEFT(UPPER(TRIM(A692)),6)="TODAY:"),"T",IF(OR(LEFT(UPPER(TRIM(A692)),2)="B:",LEFT(UPPER(TRIM(A692)),8)="BLOCKER:",LEFT(UPPER(TRIM(A692)),9)="BLOCKERS:",LEFT(UPPER(TRIM(A692)),8)="BLOCKED:"),"B",""))))</f>
      </c>
      <c r="E692" s="17">
        <f>IF(D692="","",TRIM(MID(A692,FIND(":",A692)+1,500)))</f>
      </c>
    </row>
    <row r="693">
      <c r="B693" s="17">
        <f>IF(A693="","",IF(COUNTIF(Roster[Name],IF(RIGHT(IF(LEFT(TRIM(A693),1)="[",TRIM(MID(TRIM(A693),FIND("]",TRIM(A693)&amp;"]")+1,200)),TRIM(A693)),1)=")",TRIM(LEFT(IF(LEFT(TRIM(A693),1)="[",TRIM(MID(TRIM(A693),FIND("]",TRIM(A693)&amp;"]")+1,200)),TRIM(A693)),FIND("(",IF(LEFT(TRIM(A693),1)="[",TRIM(MID(TRIM(A693),FIND("]",TRIM(A693)&amp;"]")+1,200)),TRIM(A693))&amp;"(")-1)),IF(LEFT(TRIM(A693),1)="[",TRIM(MID(TRIM(A693),FIND("]",TRIM(A693)&amp;"]")+1,200)),TRIM(A693))))&gt;0,IF(RIGHT(IF(LEFT(TRIM(A693),1)="[",TRIM(MID(TRIM(A693),FIND("]",TRIM(A693)&amp;"]")+1,200)),TRIM(A693)),1)=")",TRIM(LEFT(IF(LEFT(TRIM(A693),1)="[",TRIM(MID(TRIM(A693),FIND("]",TRIM(A693)&amp;"]")+1,200)),TRIM(A693)),FIND("(",IF(LEFT(TRIM(A693),1)="[",TRIM(MID(TRIM(A693),FIND("]",TRIM(A693)&amp;"]")+1,200)),TRIM(A693))&amp;"(")-1)),IF(LEFT(TRIM(A693),1)="[",TRIM(MID(TRIM(A693),FIND("]",TRIM(A693)&amp;"]")+1,200)),TRIM(A693))),""))</f>
      </c>
      <c r="C693" s="17">
        <f>IF(B693&lt;&gt;"",B693,C692)</f>
      </c>
      <c r="D693" s="17">
        <f>IF(A693="","",IF(OR(LEFT(UPPER(TRIM(A693)),2)="Y:",LEFT(UPPER(TRIM(A693)),10)="YESTERDAY:"),"Y",IF(OR(LEFT(UPPER(TRIM(A693)),2)="T:",LEFT(UPPER(TRIM(A693)),6)="TODAY:"),"T",IF(OR(LEFT(UPPER(TRIM(A693)),2)="B:",LEFT(UPPER(TRIM(A693)),8)="BLOCKER:",LEFT(UPPER(TRIM(A693)),9)="BLOCKERS:",LEFT(UPPER(TRIM(A693)),8)="BLOCKED:"),"B",""))))</f>
      </c>
      <c r="E693" s="17">
        <f>IF(D693="","",TRIM(MID(A693,FIND(":",A693)+1,500)))</f>
      </c>
    </row>
    <row r="694">
      <c r="B694" s="17">
        <f>IF(A694="","",IF(COUNTIF(Roster[Name],IF(RIGHT(IF(LEFT(TRIM(A694),1)="[",TRIM(MID(TRIM(A694),FIND("]",TRIM(A694)&amp;"]")+1,200)),TRIM(A694)),1)=")",TRIM(LEFT(IF(LEFT(TRIM(A694),1)="[",TRIM(MID(TRIM(A694),FIND("]",TRIM(A694)&amp;"]")+1,200)),TRIM(A694)),FIND("(",IF(LEFT(TRIM(A694),1)="[",TRIM(MID(TRIM(A694),FIND("]",TRIM(A694)&amp;"]")+1,200)),TRIM(A694))&amp;"(")-1)),IF(LEFT(TRIM(A694),1)="[",TRIM(MID(TRIM(A694),FIND("]",TRIM(A694)&amp;"]")+1,200)),TRIM(A694))))&gt;0,IF(RIGHT(IF(LEFT(TRIM(A694),1)="[",TRIM(MID(TRIM(A694),FIND("]",TRIM(A694)&amp;"]")+1,200)),TRIM(A694)),1)=")",TRIM(LEFT(IF(LEFT(TRIM(A694),1)="[",TRIM(MID(TRIM(A694),FIND("]",TRIM(A694)&amp;"]")+1,200)),TRIM(A694)),FIND("(",IF(LEFT(TRIM(A694),1)="[",TRIM(MID(TRIM(A694),FIND("]",TRIM(A694)&amp;"]")+1,200)),TRIM(A694))&amp;"(")-1)),IF(LEFT(TRIM(A694),1)="[",TRIM(MID(TRIM(A694),FIND("]",TRIM(A694)&amp;"]")+1,200)),TRIM(A694))),""))</f>
      </c>
      <c r="C694" s="17">
        <f>IF(B694&lt;&gt;"",B694,C693)</f>
      </c>
      <c r="D694" s="17">
        <f>IF(A694="","",IF(OR(LEFT(UPPER(TRIM(A694)),2)="Y:",LEFT(UPPER(TRIM(A694)),10)="YESTERDAY:"),"Y",IF(OR(LEFT(UPPER(TRIM(A694)),2)="T:",LEFT(UPPER(TRIM(A694)),6)="TODAY:"),"T",IF(OR(LEFT(UPPER(TRIM(A694)),2)="B:",LEFT(UPPER(TRIM(A694)),8)="BLOCKER:",LEFT(UPPER(TRIM(A694)),9)="BLOCKERS:",LEFT(UPPER(TRIM(A694)),8)="BLOCKED:"),"B",""))))</f>
      </c>
      <c r="E694" s="17">
        <f>IF(D694="","",TRIM(MID(A694,FIND(":",A694)+1,500)))</f>
      </c>
    </row>
    <row r="695">
      <c r="B695" s="17">
        <f>IF(A695="","",IF(COUNTIF(Roster[Name],IF(RIGHT(IF(LEFT(TRIM(A695),1)="[",TRIM(MID(TRIM(A695),FIND("]",TRIM(A695)&amp;"]")+1,200)),TRIM(A695)),1)=")",TRIM(LEFT(IF(LEFT(TRIM(A695),1)="[",TRIM(MID(TRIM(A695),FIND("]",TRIM(A695)&amp;"]")+1,200)),TRIM(A695)),FIND("(",IF(LEFT(TRIM(A695),1)="[",TRIM(MID(TRIM(A695),FIND("]",TRIM(A695)&amp;"]")+1,200)),TRIM(A695))&amp;"(")-1)),IF(LEFT(TRIM(A695),1)="[",TRIM(MID(TRIM(A695),FIND("]",TRIM(A695)&amp;"]")+1,200)),TRIM(A695))))&gt;0,IF(RIGHT(IF(LEFT(TRIM(A695),1)="[",TRIM(MID(TRIM(A695),FIND("]",TRIM(A695)&amp;"]")+1,200)),TRIM(A695)),1)=")",TRIM(LEFT(IF(LEFT(TRIM(A695),1)="[",TRIM(MID(TRIM(A695),FIND("]",TRIM(A695)&amp;"]")+1,200)),TRIM(A695)),FIND("(",IF(LEFT(TRIM(A695),1)="[",TRIM(MID(TRIM(A695),FIND("]",TRIM(A695)&amp;"]")+1,200)),TRIM(A695))&amp;"(")-1)),IF(LEFT(TRIM(A695),1)="[",TRIM(MID(TRIM(A695),FIND("]",TRIM(A695)&amp;"]")+1,200)),TRIM(A695))),""))</f>
      </c>
      <c r="C695" s="17">
        <f>IF(B695&lt;&gt;"",B695,C694)</f>
      </c>
      <c r="D695" s="17">
        <f>IF(A695="","",IF(OR(LEFT(UPPER(TRIM(A695)),2)="Y:",LEFT(UPPER(TRIM(A695)),10)="YESTERDAY:"),"Y",IF(OR(LEFT(UPPER(TRIM(A695)),2)="T:",LEFT(UPPER(TRIM(A695)),6)="TODAY:"),"T",IF(OR(LEFT(UPPER(TRIM(A695)),2)="B:",LEFT(UPPER(TRIM(A695)),8)="BLOCKER:",LEFT(UPPER(TRIM(A695)),9)="BLOCKERS:",LEFT(UPPER(TRIM(A695)),8)="BLOCKED:"),"B",""))))</f>
      </c>
      <c r="E695" s="17">
        <f>IF(D695="","",TRIM(MID(A695,FIND(":",A695)+1,500)))</f>
      </c>
    </row>
    <row r="696">
      <c r="B696" s="17">
        <f>IF(A696="","",IF(COUNTIF(Roster[Name],IF(RIGHT(IF(LEFT(TRIM(A696),1)="[",TRIM(MID(TRIM(A696),FIND("]",TRIM(A696)&amp;"]")+1,200)),TRIM(A696)),1)=")",TRIM(LEFT(IF(LEFT(TRIM(A696),1)="[",TRIM(MID(TRIM(A696),FIND("]",TRIM(A696)&amp;"]")+1,200)),TRIM(A696)),FIND("(",IF(LEFT(TRIM(A696),1)="[",TRIM(MID(TRIM(A696),FIND("]",TRIM(A696)&amp;"]")+1,200)),TRIM(A696))&amp;"(")-1)),IF(LEFT(TRIM(A696),1)="[",TRIM(MID(TRIM(A696),FIND("]",TRIM(A696)&amp;"]")+1,200)),TRIM(A696))))&gt;0,IF(RIGHT(IF(LEFT(TRIM(A696),1)="[",TRIM(MID(TRIM(A696),FIND("]",TRIM(A696)&amp;"]")+1,200)),TRIM(A696)),1)=")",TRIM(LEFT(IF(LEFT(TRIM(A696),1)="[",TRIM(MID(TRIM(A696),FIND("]",TRIM(A696)&amp;"]")+1,200)),TRIM(A696)),FIND("(",IF(LEFT(TRIM(A696),1)="[",TRIM(MID(TRIM(A696),FIND("]",TRIM(A696)&amp;"]")+1,200)),TRIM(A696))&amp;"(")-1)),IF(LEFT(TRIM(A696),1)="[",TRIM(MID(TRIM(A696),FIND("]",TRIM(A696)&amp;"]")+1,200)),TRIM(A696))),""))</f>
      </c>
      <c r="C696" s="17">
        <f>IF(B696&lt;&gt;"",B696,C695)</f>
      </c>
      <c r="D696" s="17">
        <f>IF(A696="","",IF(OR(LEFT(UPPER(TRIM(A696)),2)="Y:",LEFT(UPPER(TRIM(A696)),10)="YESTERDAY:"),"Y",IF(OR(LEFT(UPPER(TRIM(A696)),2)="T:",LEFT(UPPER(TRIM(A696)),6)="TODAY:"),"T",IF(OR(LEFT(UPPER(TRIM(A696)),2)="B:",LEFT(UPPER(TRIM(A696)),8)="BLOCKER:",LEFT(UPPER(TRIM(A696)),9)="BLOCKERS:",LEFT(UPPER(TRIM(A696)),8)="BLOCKED:"),"B",""))))</f>
      </c>
      <c r="E696" s="17">
        <f>IF(D696="","",TRIM(MID(A696,FIND(":",A696)+1,500)))</f>
      </c>
    </row>
    <row r="697">
      <c r="B697" s="17">
        <f>IF(A697="","",IF(COUNTIF(Roster[Name],IF(RIGHT(IF(LEFT(TRIM(A697),1)="[",TRIM(MID(TRIM(A697),FIND("]",TRIM(A697)&amp;"]")+1,200)),TRIM(A697)),1)=")",TRIM(LEFT(IF(LEFT(TRIM(A697),1)="[",TRIM(MID(TRIM(A697),FIND("]",TRIM(A697)&amp;"]")+1,200)),TRIM(A697)),FIND("(",IF(LEFT(TRIM(A697),1)="[",TRIM(MID(TRIM(A697),FIND("]",TRIM(A697)&amp;"]")+1,200)),TRIM(A697))&amp;"(")-1)),IF(LEFT(TRIM(A697),1)="[",TRIM(MID(TRIM(A697),FIND("]",TRIM(A697)&amp;"]")+1,200)),TRIM(A697))))&gt;0,IF(RIGHT(IF(LEFT(TRIM(A697),1)="[",TRIM(MID(TRIM(A697),FIND("]",TRIM(A697)&amp;"]")+1,200)),TRIM(A697)),1)=")",TRIM(LEFT(IF(LEFT(TRIM(A697),1)="[",TRIM(MID(TRIM(A697),FIND("]",TRIM(A697)&amp;"]")+1,200)),TRIM(A697)),FIND("(",IF(LEFT(TRIM(A697),1)="[",TRIM(MID(TRIM(A697),FIND("]",TRIM(A697)&amp;"]")+1,200)),TRIM(A697))&amp;"(")-1)),IF(LEFT(TRIM(A697),1)="[",TRIM(MID(TRIM(A697),FIND("]",TRIM(A697)&amp;"]")+1,200)),TRIM(A697))),""))</f>
      </c>
      <c r="C697" s="17">
        <f>IF(B697&lt;&gt;"",B697,C696)</f>
      </c>
      <c r="D697" s="17">
        <f>IF(A697="","",IF(OR(LEFT(UPPER(TRIM(A697)),2)="Y:",LEFT(UPPER(TRIM(A697)),10)="YESTERDAY:"),"Y",IF(OR(LEFT(UPPER(TRIM(A697)),2)="T:",LEFT(UPPER(TRIM(A697)),6)="TODAY:"),"T",IF(OR(LEFT(UPPER(TRIM(A697)),2)="B:",LEFT(UPPER(TRIM(A697)),8)="BLOCKER:",LEFT(UPPER(TRIM(A697)),9)="BLOCKERS:",LEFT(UPPER(TRIM(A697)),8)="BLOCKED:"),"B",""))))</f>
      </c>
      <c r="E697" s="17">
        <f>IF(D697="","",TRIM(MID(A697,FIND(":",A697)+1,500)))</f>
      </c>
    </row>
    <row r="698">
      <c r="B698" s="17">
        <f>IF(A698="","",IF(COUNTIF(Roster[Name],IF(RIGHT(IF(LEFT(TRIM(A698),1)="[",TRIM(MID(TRIM(A698),FIND("]",TRIM(A698)&amp;"]")+1,200)),TRIM(A698)),1)=")",TRIM(LEFT(IF(LEFT(TRIM(A698),1)="[",TRIM(MID(TRIM(A698),FIND("]",TRIM(A698)&amp;"]")+1,200)),TRIM(A698)),FIND("(",IF(LEFT(TRIM(A698),1)="[",TRIM(MID(TRIM(A698),FIND("]",TRIM(A698)&amp;"]")+1,200)),TRIM(A698))&amp;"(")-1)),IF(LEFT(TRIM(A698),1)="[",TRIM(MID(TRIM(A698),FIND("]",TRIM(A698)&amp;"]")+1,200)),TRIM(A698))))&gt;0,IF(RIGHT(IF(LEFT(TRIM(A698),1)="[",TRIM(MID(TRIM(A698),FIND("]",TRIM(A698)&amp;"]")+1,200)),TRIM(A698)),1)=")",TRIM(LEFT(IF(LEFT(TRIM(A698),1)="[",TRIM(MID(TRIM(A698),FIND("]",TRIM(A698)&amp;"]")+1,200)),TRIM(A698)),FIND("(",IF(LEFT(TRIM(A698),1)="[",TRIM(MID(TRIM(A698),FIND("]",TRIM(A698)&amp;"]")+1,200)),TRIM(A698))&amp;"(")-1)),IF(LEFT(TRIM(A698),1)="[",TRIM(MID(TRIM(A698),FIND("]",TRIM(A698)&amp;"]")+1,200)),TRIM(A698))),""))</f>
      </c>
      <c r="C698" s="17">
        <f>IF(B698&lt;&gt;"",B698,C697)</f>
      </c>
      <c r="D698" s="17">
        <f>IF(A698="","",IF(OR(LEFT(UPPER(TRIM(A698)),2)="Y:",LEFT(UPPER(TRIM(A698)),10)="YESTERDAY:"),"Y",IF(OR(LEFT(UPPER(TRIM(A698)),2)="T:",LEFT(UPPER(TRIM(A698)),6)="TODAY:"),"T",IF(OR(LEFT(UPPER(TRIM(A698)),2)="B:",LEFT(UPPER(TRIM(A698)),8)="BLOCKER:",LEFT(UPPER(TRIM(A698)),9)="BLOCKERS:",LEFT(UPPER(TRIM(A698)),8)="BLOCKED:"),"B",""))))</f>
      </c>
      <c r="E698" s="17">
        <f>IF(D698="","",TRIM(MID(A698,FIND(":",A698)+1,500)))</f>
      </c>
    </row>
    <row r="699">
      <c r="B699" s="17">
        <f>IF(A699="","",IF(COUNTIF(Roster[Name],IF(RIGHT(IF(LEFT(TRIM(A699),1)="[",TRIM(MID(TRIM(A699),FIND("]",TRIM(A699)&amp;"]")+1,200)),TRIM(A699)),1)=")",TRIM(LEFT(IF(LEFT(TRIM(A699),1)="[",TRIM(MID(TRIM(A699),FIND("]",TRIM(A699)&amp;"]")+1,200)),TRIM(A699)),FIND("(",IF(LEFT(TRIM(A699),1)="[",TRIM(MID(TRIM(A699),FIND("]",TRIM(A699)&amp;"]")+1,200)),TRIM(A699))&amp;"(")-1)),IF(LEFT(TRIM(A699),1)="[",TRIM(MID(TRIM(A699),FIND("]",TRIM(A699)&amp;"]")+1,200)),TRIM(A699))))&gt;0,IF(RIGHT(IF(LEFT(TRIM(A699),1)="[",TRIM(MID(TRIM(A699),FIND("]",TRIM(A699)&amp;"]")+1,200)),TRIM(A699)),1)=")",TRIM(LEFT(IF(LEFT(TRIM(A699),1)="[",TRIM(MID(TRIM(A699),FIND("]",TRIM(A699)&amp;"]")+1,200)),TRIM(A699)),FIND("(",IF(LEFT(TRIM(A699),1)="[",TRIM(MID(TRIM(A699),FIND("]",TRIM(A699)&amp;"]")+1,200)),TRIM(A699))&amp;"(")-1)),IF(LEFT(TRIM(A699),1)="[",TRIM(MID(TRIM(A699),FIND("]",TRIM(A699)&amp;"]")+1,200)),TRIM(A699))),""))</f>
      </c>
      <c r="C699" s="17">
        <f>IF(B699&lt;&gt;"",B699,C698)</f>
      </c>
      <c r="D699" s="17">
        <f>IF(A699="","",IF(OR(LEFT(UPPER(TRIM(A699)),2)="Y:",LEFT(UPPER(TRIM(A699)),10)="YESTERDAY:"),"Y",IF(OR(LEFT(UPPER(TRIM(A699)),2)="T:",LEFT(UPPER(TRIM(A699)),6)="TODAY:"),"T",IF(OR(LEFT(UPPER(TRIM(A699)),2)="B:",LEFT(UPPER(TRIM(A699)),8)="BLOCKER:",LEFT(UPPER(TRIM(A699)),9)="BLOCKERS:",LEFT(UPPER(TRIM(A699)),8)="BLOCKED:"),"B",""))))</f>
      </c>
      <c r="E699" s="17">
        <f>IF(D699="","",TRIM(MID(A699,FIND(":",A699)+1,500)))</f>
      </c>
    </row>
    <row r="700">
      <c r="B700" s="17">
        <f>IF(A700="","",IF(COUNTIF(Roster[Name],IF(RIGHT(IF(LEFT(TRIM(A700),1)="[",TRIM(MID(TRIM(A700),FIND("]",TRIM(A700)&amp;"]")+1,200)),TRIM(A700)),1)=")",TRIM(LEFT(IF(LEFT(TRIM(A700),1)="[",TRIM(MID(TRIM(A700),FIND("]",TRIM(A700)&amp;"]")+1,200)),TRIM(A700)),FIND("(",IF(LEFT(TRIM(A700),1)="[",TRIM(MID(TRIM(A700),FIND("]",TRIM(A700)&amp;"]")+1,200)),TRIM(A700))&amp;"(")-1)),IF(LEFT(TRIM(A700),1)="[",TRIM(MID(TRIM(A700),FIND("]",TRIM(A700)&amp;"]")+1,200)),TRIM(A700))))&gt;0,IF(RIGHT(IF(LEFT(TRIM(A700),1)="[",TRIM(MID(TRIM(A700),FIND("]",TRIM(A700)&amp;"]")+1,200)),TRIM(A700)),1)=")",TRIM(LEFT(IF(LEFT(TRIM(A700),1)="[",TRIM(MID(TRIM(A700),FIND("]",TRIM(A700)&amp;"]")+1,200)),TRIM(A700)),FIND("(",IF(LEFT(TRIM(A700),1)="[",TRIM(MID(TRIM(A700),FIND("]",TRIM(A700)&amp;"]")+1,200)),TRIM(A700))&amp;"(")-1)),IF(LEFT(TRIM(A700),1)="[",TRIM(MID(TRIM(A700),FIND("]",TRIM(A700)&amp;"]")+1,200)),TRIM(A700))),""))</f>
      </c>
      <c r="C700" s="17">
        <f>IF(B700&lt;&gt;"",B700,C699)</f>
      </c>
      <c r="D700" s="17">
        <f>IF(A700="","",IF(OR(LEFT(UPPER(TRIM(A700)),2)="Y:",LEFT(UPPER(TRIM(A700)),10)="YESTERDAY:"),"Y",IF(OR(LEFT(UPPER(TRIM(A700)),2)="T:",LEFT(UPPER(TRIM(A700)),6)="TODAY:"),"T",IF(OR(LEFT(UPPER(TRIM(A700)),2)="B:",LEFT(UPPER(TRIM(A700)),8)="BLOCKER:",LEFT(UPPER(TRIM(A700)),9)="BLOCKERS:",LEFT(UPPER(TRIM(A700)),8)="BLOCKED:"),"B",""))))</f>
      </c>
      <c r="E700" s="17">
        <f>IF(D700="","",TRIM(MID(A700,FIND(":",A700)+1,500)))</f>
      </c>
    </row>
    <row r="701">
      <c r="B701" s="17">
        <f>IF(A701="","",IF(COUNTIF(Roster[Name],IF(RIGHT(IF(LEFT(TRIM(A701),1)="[",TRIM(MID(TRIM(A701),FIND("]",TRIM(A701)&amp;"]")+1,200)),TRIM(A701)),1)=")",TRIM(LEFT(IF(LEFT(TRIM(A701),1)="[",TRIM(MID(TRIM(A701),FIND("]",TRIM(A701)&amp;"]")+1,200)),TRIM(A701)),FIND("(",IF(LEFT(TRIM(A701),1)="[",TRIM(MID(TRIM(A701),FIND("]",TRIM(A701)&amp;"]")+1,200)),TRIM(A701))&amp;"(")-1)),IF(LEFT(TRIM(A701),1)="[",TRIM(MID(TRIM(A701),FIND("]",TRIM(A701)&amp;"]")+1,200)),TRIM(A701))))&gt;0,IF(RIGHT(IF(LEFT(TRIM(A701),1)="[",TRIM(MID(TRIM(A701),FIND("]",TRIM(A701)&amp;"]")+1,200)),TRIM(A701)),1)=")",TRIM(LEFT(IF(LEFT(TRIM(A701),1)="[",TRIM(MID(TRIM(A701),FIND("]",TRIM(A701)&amp;"]")+1,200)),TRIM(A701)),FIND("(",IF(LEFT(TRIM(A701),1)="[",TRIM(MID(TRIM(A701),FIND("]",TRIM(A701)&amp;"]")+1,200)),TRIM(A701))&amp;"(")-1)),IF(LEFT(TRIM(A701),1)="[",TRIM(MID(TRIM(A701),FIND("]",TRIM(A701)&amp;"]")+1,200)),TRIM(A701))),""))</f>
      </c>
      <c r="C701" s="17">
        <f>IF(B701&lt;&gt;"",B701,C700)</f>
      </c>
      <c r="D701" s="17">
        <f>IF(A701="","",IF(OR(LEFT(UPPER(TRIM(A701)),2)="Y:",LEFT(UPPER(TRIM(A701)),10)="YESTERDAY:"),"Y",IF(OR(LEFT(UPPER(TRIM(A701)),2)="T:",LEFT(UPPER(TRIM(A701)),6)="TODAY:"),"T",IF(OR(LEFT(UPPER(TRIM(A701)),2)="B:",LEFT(UPPER(TRIM(A701)),8)="BLOCKER:",LEFT(UPPER(TRIM(A701)),9)="BLOCKERS:",LEFT(UPPER(TRIM(A701)),8)="BLOCKED:"),"B",""))))</f>
      </c>
      <c r="E701" s="17">
        <f>IF(D701="","",TRIM(MID(A701,FIND(":",A701)+1,500)))</f>
      </c>
    </row>
    <row r="702">
      <c r="B702" s="17">
        <f>IF(A702="","",IF(COUNTIF(Roster[Name],IF(RIGHT(IF(LEFT(TRIM(A702),1)="[",TRIM(MID(TRIM(A702),FIND("]",TRIM(A702)&amp;"]")+1,200)),TRIM(A702)),1)=")",TRIM(LEFT(IF(LEFT(TRIM(A702),1)="[",TRIM(MID(TRIM(A702),FIND("]",TRIM(A702)&amp;"]")+1,200)),TRIM(A702)),FIND("(",IF(LEFT(TRIM(A702),1)="[",TRIM(MID(TRIM(A702),FIND("]",TRIM(A702)&amp;"]")+1,200)),TRIM(A702))&amp;"(")-1)),IF(LEFT(TRIM(A702),1)="[",TRIM(MID(TRIM(A702),FIND("]",TRIM(A702)&amp;"]")+1,200)),TRIM(A702))))&gt;0,IF(RIGHT(IF(LEFT(TRIM(A702),1)="[",TRIM(MID(TRIM(A702),FIND("]",TRIM(A702)&amp;"]")+1,200)),TRIM(A702)),1)=")",TRIM(LEFT(IF(LEFT(TRIM(A702),1)="[",TRIM(MID(TRIM(A702),FIND("]",TRIM(A702)&amp;"]")+1,200)),TRIM(A702)),FIND("(",IF(LEFT(TRIM(A702),1)="[",TRIM(MID(TRIM(A702),FIND("]",TRIM(A702)&amp;"]")+1,200)),TRIM(A702))&amp;"(")-1)),IF(LEFT(TRIM(A702),1)="[",TRIM(MID(TRIM(A702),FIND("]",TRIM(A702)&amp;"]")+1,200)),TRIM(A702))),""))</f>
      </c>
      <c r="C702" s="17">
        <f>IF(B702&lt;&gt;"",B702,C701)</f>
      </c>
      <c r="D702" s="17">
        <f>IF(A702="","",IF(OR(LEFT(UPPER(TRIM(A702)),2)="Y:",LEFT(UPPER(TRIM(A702)),10)="YESTERDAY:"),"Y",IF(OR(LEFT(UPPER(TRIM(A702)),2)="T:",LEFT(UPPER(TRIM(A702)),6)="TODAY:"),"T",IF(OR(LEFT(UPPER(TRIM(A702)),2)="B:",LEFT(UPPER(TRIM(A702)),8)="BLOCKER:",LEFT(UPPER(TRIM(A702)),9)="BLOCKERS:",LEFT(UPPER(TRIM(A702)),8)="BLOCKED:"),"B",""))))</f>
      </c>
      <c r="E702" s="17">
        <f>IF(D702="","",TRIM(MID(A702,FIND(":",A702)+1,500)))</f>
      </c>
    </row>
    <row r="703">
      <c r="B703" s="17">
        <f>IF(A703="","",IF(COUNTIF(Roster[Name],IF(RIGHT(IF(LEFT(TRIM(A703),1)="[",TRIM(MID(TRIM(A703),FIND("]",TRIM(A703)&amp;"]")+1,200)),TRIM(A703)),1)=")",TRIM(LEFT(IF(LEFT(TRIM(A703),1)="[",TRIM(MID(TRIM(A703),FIND("]",TRIM(A703)&amp;"]")+1,200)),TRIM(A703)),FIND("(",IF(LEFT(TRIM(A703),1)="[",TRIM(MID(TRIM(A703),FIND("]",TRIM(A703)&amp;"]")+1,200)),TRIM(A703))&amp;"(")-1)),IF(LEFT(TRIM(A703),1)="[",TRIM(MID(TRIM(A703),FIND("]",TRIM(A703)&amp;"]")+1,200)),TRIM(A703))))&gt;0,IF(RIGHT(IF(LEFT(TRIM(A703),1)="[",TRIM(MID(TRIM(A703),FIND("]",TRIM(A703)&amp;"]")+1,200)),TRIM(A703)),1)=")",TRIM(LEFT(IF(LEFT(TRIM(A703),1)="[",TRIM(MID(TRIM(A703),FIND("]",TRIM(A703)&amp;"]")+1,200)),TRIM(A703)),FIND("(",IF(LEFT(TRIM(A703),1)="[",TRIM(MID(TRIM(A703),FIND("]",TRIM(A703)&amp;"]")+1,200)),TRIM(A703))&amp;"(")-1)),IF(LEFT(TRIM(A703),1)="[",TRIM(MID(TRIM(A703),FIND("]",TRIM(A703)&amp;"]")+1,200)),TRIM(A703))),""))</f>
      </c>
      <c r="C703" s="17">
        <f>IF(B703&lt;&gt;"",B703,C702)</f>
      </c>
      <c r="D703" s="17">
        <f>IF(A703="","",IF(OR(LEFT(UPPER(TRIM(A703)),2)="Y:",LEFT(UPPER(TRIM(A703)),10)="YESTERDAY:"),"Y",IF(OR(LEFT(UPPER(TRIM(A703)),2)="T:",LEFT(UPPER(TRIM(A703)),6)="TODAY:"),"T",IF(OR(LEFT(UPPER(TRIM(A703)),2)="B:",LEFT(UPPER(TRIM(A703)),8)="BLOCKER:",LEFT(UPPER(TRIM(A703)),9)="BLOCKERS:",LEFT(UPPER(TRIM(A703)),8)="BLOCKED:"),"B",""))))</f>
      </c>
      <c r="E703" s="17">
        <f>IF(D703="","",TRIM(MID(A703,FIND(":",A703)+1,500)))</f>
      </c>
    </row>
    <row r="704">
      <c r="B704" s="17">
        <f>IF(A704="","",IF(COUNTIF(Roster[Name],IF(RIGHT(IF(LEFT(TRIM(A704),1)="[",TRIM(MID(TRIM(A704),FIND("]",TRIM(A704)&amp;"]")+1,200)),TRIM(A704)),1)=")",TRIM(LEFT(IF(LEFT(TRIM(A704),1)="[",TRIM(MID(TRIM(A704),FIND("]",TRIM(A704)&amp;"]")+1,200)),TRIM(A704)),FIND("(",IF(LEFT(TRIM(A704),1)="[",TRIM(MID(TRIM(A704),FIND("]",TRIM(A704)&amp;"]")+1,200)),TRIM(A704))&amp;"(")-1)),IF(LEFT(TRIM(A704),1)="[",TRIM(MID(TRIM(A704),FIND("]",TRIM(A704)&amp;"]")+1,200)),TRIM(A704))))&gt;0,IF(RIGHT(IF(LEFT(TRIM(A704),1)="[",TRIM(MID(TRIM(A704),FIND("]",TRIM(A704)&amp;"]")+1,200)),TRIM(A704)),1)=")",TRIM(LEFT(IF(LEFT(TRIM(A704),1)="[",TRIM(MID(TRIM(A704),FIND("]",TRIM(A704)&amp;"]")+1,200)),TRIM(A704)),FIND("(",IF(LEFT(TRIM(A704),1)="[",TRIM(MID(TRIM(A704),FIND("]",TRIM(A704)&amp;"]")+1,200)),TRIM(A704))&amp;"(")-1)),IF(LEFT(TRIM(A704),1)="[",TRIM(MID(TRIM(A704),FIND("]",TRIM(A704)&amp;"]")+1,200)),TRIM(A704))),""))</f>
      </c>
      <c r="C704" s="17">
        <f>IF(B704&lt;&gt;"",B704,C703)</f>
      </c>
      <c r="D704" s="17">
        <f>IF(A704="","",IF(OR(LEFT(UPPER(TRIM(A704)),2)="Y:",LEFT(UPPER(TRIM(A704)),10)="YESTERDAY:"),"Y",IF(OR(LEFT(UPPER(TRIM(A704)),2)="T:",LEFT(UPPER(TRIM(A704)),6)="TODAY:"),"T",IF(OR(LEFT(UPPER(TRIM(A704)),2)="B:",LEFT(UPPER(TRIM(A704)),8)="BLOCKER:",LEFT(UPPER(TRIM(A704)),9)="BLOCKERS:",LEFT(UPPER(TRIM(A704)),8)="BLOCKED:"),"B",""))))</f>
      </c>
      <c r="E704" s="17">
        <f>IF(D704="","",TRIM(MID(A704,FIND(":",A704)+1,500)))</f>
      </c>
    </row>
    <row r="705">
      <c r="B705" s="17">
        <f>IF(A705="","",IF(COUNTIF(Roster[Name],IF(RIGHT(IF(LEFT(TRIM(A705),1)="[",TRIM(MID(TRIM(A705),FIND("]",TRIM(A705)&amp;"]")+1,200)),TRIM(A705)),1)=")",TRIM(LEFT(IF(LEFT(TRIM(A705),1)="[",TRIM(MID(TRIM(A705),FIND("]",TRIM(A705)&amp;"]")+1,200)),TRIM(A705)),FIND("(",IF(LEFT(TRIM(A705),1)="[",TRIM(MID(TRIM(A705),FIND("]",TRIM(A705)&amp;"]")+1,200)),TRIM(A705))&amp;"(")-1)),IF(LEFT(TRIM(A705),1)="[",TRIM(MID(TRIM(A705),FIND("]",TRIM(A705)&amp;"]")+1,200)),TRIM(A705))))&gt;0,IF(RIGHT(IF(LEFT(TRIM(A705),1)="[",TRIM(MID(TRIM(A705),FIND("]",TRIM(A705)&amp;"]")+1,200)),TRIM(A705)),1)=")",TRIM(LEFT(IF(LEFT(TRIM(A705),1)="[",TRIM(MID(TRIM(A705),FIND("]",TRIM(A705)&amp;"]")+1,200)),TRIM(A705)),FIND("(",IF(LEFT(TRIM(A705),1)="[",TRIM(MID(TRIM(A705),FIND("]",TRIM(A705)&amp;"]")+1,200)),TRIM(A705))&amp;"(")-1)),IF(LEFT(TRIM(A705),1)="[",TRIM(MID(TRIM(A705),FIND("]",TRIM(A705)&amp;"]")+1,200)),TRIM(A705))),""))</f>
      </c>
      <c r="C705" s="17">
        <f>IF(B705&lt;&gt;"",B705,C704)</f>
      </c>
      <c r="D705" s="17">
        <f>IF(A705="","",IF(OR(LEFT(UPPER(TRIM(A705)),2)="Y:",LEFT(UPPER(TRIM(A705)),10)="YESTERDAY:"),"Y",IF(OR(LEFT(UPPER(TRIM(A705)),2)="T:",LEFT(UPPER(TRIM(A705)),6)="TODAY:"),"T",IF(OR(LEFT(UPPER(TRIM(A705)),2)="B:",LEFT(UPPER(TRIM(A705)),8)="BLOCKER:",LEFT(UPPER(TRIM(A705)),9)="BLOCKERS:",LEFT(UPPER(TRIM(A705)),8)="BLOCKED:"),"B",""))))</f>
      </c>
      <c r="E705" s="17">
        <f>IF(D705="","",TRIM(MID(A705,FIND(":",A705)+1,500)))</f>
      </c>
    </row>
    <row r="706">
      <c r="B706" s="17">
        <f>IF(A706="","",IF(COUNTIF(Roster[Name],IF(RIGHT(IF(LEFT(TRIM(A706),1)="[",TRIM(MID(TRIM(A706),FIND("]",TRIM(A706)&amp;"]")+1,200)),TRIM(A706)),1)=")",TRIM(LEFT(IF(LEFT(TRIM(A706),1)="[",TRIM(MID(TRIM(A706),FIND("]",TRIM(A706)&amp;"]")+1,200)),TRIM(A706)),FIND("(",IF(LEFT(TRIM(A706),1)="[",TRIM(MID(TRIM(A706),FIND("]",TRIM(A706)&amp;"]")+1,200)),TRIM(A706))&amp;"(")-1)),IF(LEFT(TRIM(A706),1)="[",TRIM(MID(TRIM(A706),FIND("]",TRIM(A706)&amp;"]")+1,200)),TRIM(A706))))&gt;0,IF(RIGHT(IF(LEFT(TRIM(A706),1)="[",TRIM(MID(TRIM(A706),FIND("]",TRIM(A706)&amp;"]")+1,200)),TRIM(A706)),1)=")",TRIM(LEFT(IF(LEFT(TRIM(A706),1)="[",TRIM(MID(TRIM(A706),FIND("]",TRIM(A706)&amp;"]")+1,200)),TRIM(A706)),FIND("(",IF(LEFT(TRIM(A706),1)="[",TRIM(MID(TRIM(A706),FIND("]",TRIM(A706)&amp;"]")+1,200)),TRIM(A706))&amp;"(")-1)),IF(LEFT(TRIM(A706),1)="[",TRIM(MID(TRIM(A706),FIND("]",TRIM(A706)&amp;"]")+1,200)),TRIM(A706))),""))</f>
      </c>
      <c r="C706" s="17">
        <f>IF(B706&lt;&gt;"",B706,C705)</f>
      </c>
      <c r="D706" s="17">
        <f>IF(A706="","",IF(OR(LEFT(UPPER(TRIM(A706)),2)="Y:",LEFT(UPPER(TRIM(A706)),10)="YESTERDAY:"),"Y",IF(OR(LEFT(UPPER(TRIM(A706)),2)="T:",LEFT(UPPER(TRIM(A706)),6)="TODAY:"),"T",IF(OR(LEFT(UPPER(TRIM(A706)),2)="B:",LEFT(UPPER(TRIM(A706)),8)="BLOCKER:",LEFT(UPPER(TRIM(A706)),9)="BLOCKERS:",LEFT(UPPER(TRIM(A706)),8)="BLOCKED:"),"B",""))))</f>
      </c>
      <c r="E706" s="17">
        <f>IF(D706="","",TRIM(MID(A706,FIND(":",A706)+1,500)))</f>
      </c>
    </row>
    <row r="707">
      <c r="B707" s="17">
        <f>IF(A707="","",IF(COUNTIF(Roster[Name],IF(RIGHT(IF(LEFT(TRIM(A707),1)="[",TRIM(MID(TRIM(A707),FIND("]",TRIM(A707)&amp;"]")+1,200)),TRIM(A707)),1)=")",TRIM(LEFT(IF(LEFT(TRIM(A707),1)="[",TRIM(MID(TRIM(A707),FIND("]",TRIM(A707)&amp;"]")+1,200)),TRIM(A707)),FIND("(",IF(LEFT(TRIM(A707),1)="[",TRIM(MID(TRIM(A707),FIND("]",TRIM(A707)&amp;"]")+1,200)),TRIM(A707))&amp;"(")-1)),IF(LEFT(TRIM(A707),1)="[",TRIM(MID(TRIM(A707),FIND("]",TRIM(A707)&amp;"]")+1,200)),TRIM(A707))))&gt;0,IF(RIGHT(IF(LEFT(TRIM(A707),1)="[",TRIM(MID(TRIM(A707),FIND("]",TRIM(A707)&amp;"]")+1,200)),TRIM(A707)),1)=")",TRIM(LEFT(IF(LEFT(TRIM(A707),1)="[",TRIM(MID(TRIM(A707),FIND("]",TRIM(A707)&amp;"]")+1,200)),TRIM(A707)),FIND("(",IF(LEFT(TRIM(A707),1)="[",TRIM(MID(TRIM(A707),FIND("]",TRIM(A707)&amp;"]")+1,200)),TRIM(A707))&amp;"(")-1)),IF(LEFT(TRIM(A707),1)="[",TRIM(MID(TRIM(A707),FIND("]",TRIM(A707)&amp;"]")+1,200)),TRIM(A707))),""))</f>
      </c>
      <c r="C707" s="17">
        <f>IF(B707&lt;&gt;"",B707,C706)</f>
      </c>
      <c r="D707" s="17">
        <f>IF(A707="","",IF(OR(LEFT(UPPER(TRIM(A707)),2)="Y:",LEFT(UPPER(TRIM(A707)),10)="YESTERDAY:"),"Y",IF(OR(LEFT(UPPER(TRIM(A707)),2)="T:",LEFT(UPPER(TRIM(A707)),6)="TODAY:"),"T",IF(OR(LEFT(UPPER(TRIM(A707)),2)="B:",LEFT(UPPER(TRIM(A707)),8)="BLOCKER:",LEFT(UPPER(TRIM(A707)),9)="BLOCKERS:",LEFT(UPPER(TRIM(A707)),8)="BLOCKED:"),"B",""))))</f>
      </c>
      <c r="E707" s="17">
        <f>IF(D707="","",TRIM(MID(A707,FIND(":",A707)+1,500)))</f>
      </c>
    </row>
    <row r="708">
      <c r="B708" s="17">
        <f>IF(A708="","",IF(COUNTIF(Roster[Name],IF(RIGHT(IF(LEFT(TRIM(A708),1)="[",TRIM(MID(TRIM(A708),FIND("]",TRIM(A708)&amp;"]")+1,200)),TRIM(A708)),1)=")",TRIM(LEFT(IF(LEFT(TRIM(A708),1)="[",TRIM(MID(TRIM(A708),FIND("]",TRIM(A708)&amp;"]")+1,200)),TRIM(A708)),FIND("(",IF(LEFT(TRIM(A708),1)="[",TRIM(MID(TRIM(A708),FIND("]",TRIM(A708)&amp;"]")+1,200)),TRIM(A708))&amp;"(")-1)),IF(LEFT(TRIM(A708),1)="[",TRIM(MID(TRIM(A708),FIND("]",TRIM(A708)&amp;"]")+1,200)),TRIM(A708))))&gt;0,IF(RIGHT(IF(LEFT(TRIM(A708),1)="[",TRIM(MID(TRIM(A708),FIND("]",TRIM(A708)&amp;"]")+1,200)),TRIM(A708)),1)=")",TRIM(LEFT(IF(LEFT(TRIM(A708),1)="[",TRIM(MID(TRIM(A708),FIND("]",TRIM(A708)&amp;"]")+1,200)),TRIM(A708)),FIND("(",IF(LEFT(TRIM(A708),1)="[",TRIM(MID(TRIM(A708),FIND("]",TRIM(A708)&amp;"]")+1,200)),TRIM(A708))&amp;"(")-1)),IF(LEFT(TRIM(A708),1)="[",TRIM(MID(TRIM(A708),FIND("]",TRIM(A708)&amp;"]")+1,200)),TRIM(A708))),""))</f>
      </c>
      <c r="C708" s="17">
        <f>IF(B708&lt;&gt;"",B708,C707)</f>
      </c>
      <c r="D708" s="17">
        <f>IF(A708="","",IF(OR(LEFT(UPPER(TRIM(A708)),2)="Y:",LEFT(UPPER(TRIM(A708)),10)="YESTERDAY:"),"Y",IF(OR(LEFT(UPPER(TRIM(A708)),2)="T:",LEFT(UPPER(TRIM(A708)),6)="TODAY:"),"T",IF(OR(LEFT(UPPER(TRIM(A708)),2)="B:",LEFT(UPPER(TRIM(A708)),8)="BLOCKER:",LEFT(UPPER(TRIM(A708)),9)="BLOCKERS:",LEFT(UPPER(TRIM(A708)),8)="BLOCKED:"),"B",""))))</f>
      </c>
      <c r="E708" s="17">
        <f>IF(D708="","",TRIM(MID(A708,FIND(":",A708)+1,500)))</f>
      </c>
    </row>
    <row r="709">
      <c r="B709" s="17">
        <f>IF(A709="","",IF(COUNTIF(Roster[Name],IF(RIGHT(IF(LEFT(TRIM(A709),1)="[",TRIM(MID(TRIM(A709),FIND("]",TRIM(A709)&amp;"]")+1,200)),TRIM(A709)),1)=")",TRIM(LEFT(IF(LEFT(TRIM(A709),1)="[",TRIM(MID(TRIM(A709),FIND("]",TRIM(A709)&amp;"]")+1,200)),TRIM(A709)),FIND("(",IF(LEFT(TRIM(A709),1)="[",TRIM(MID(TRIM(A709),FIND("]",TRIM(A709)&amp;"]")+1,200)),TRIM(A709))&amp;"(")-1)),IF(LEFT(TRIM(A709),1)="[",TRIM(MID(TRIM(A709),FIND("]",TRIM(A709)&amp;"]")+1,200)),TRIM(A709))))&gt;0,IF(RIGHT(IF(LEFT(TRIM(A709),1)="[",TRIM(MID(TRIM(A709),FIND("]",TRIM(A709)&amp;"]")+1,200)),TRIM(A709)),1)=")",TRIM(LEFT(IF(LEFT(TRIM(A709),1)="[",TRIM(MID(TRIM(A709),FIND("]",TRIM(A709)&amp;"]")+1,200)),TRIM(A709)),FIND("(",IF(LEFT(TRIM(A709),1)="[",TRIM(MID(TRIM(A709),FIND("]",TRIM(A709)&amp;"]")+1,200)),TRIM(A709))&amp;"(")-1)),IF(LEFT(TRIM(A709),1)="[",TRIM(MID(TRIM(A709),FIND("]",TRIM(A709)&amp;"]")+1,200)),TRIM(A709))),""))</f>
      </c>
      <c r="C709" s="17">
        <f>IF(B709&lt;&gt;"",B709,C708)</f>
      </c>
      <c r="D709" s="17">
        <f>IF(A709="","",IF(OR(LEFT(UPPER(TRIM(A709)),2)="Y:",LEFT(UPPER(TRIM(A709)),10)="YESTERDAY:"),"Y",IF(OR(LEFT(UPPER(TRIM(A709)),2)="T:",LEFT(UPPER(TRIM(A709)),6)="TODAY:"),"T",IF(OR(LEFT(UPPER(TRIM(A709)),2)="B:",LEFT(UPPER(TRIM(A709)),8)="BLOCKER:",LEFT(UPPER(TRIM(A709)),9)="BLOCKERS:",LEFT(UPPER(TRIM(A709)),8)="BLOCKED:"),"B",""))))</f>
      </c>
      <c r="E709" s="17">
        <f>IF(D709="","",TRIM(MID(A709,FIND(":",A709)+1,500)))</f>
      </c>
    </row>
    <row r="710">
      <c r="B710" s="17">
        <f>IF(A710="","",IF(COUNTIF(Roster[Name],IF(RIGHT(IF(LEFT(TRIM(A710),1)="[",TRIM(MID(TRIM(A710),FIND("]",TRIM(A710)&amp;"]")+1,200)),TRIM(A710)),1)=")",TRIM(LEFT(IF(LEFT(TRIM(A710),1)="[",TRIM(MID(TRIM(A710),FIND("]",TRIM(A710)&amp;"]")+1,200)),TRIM(A710)),FIND("(",IF(LEFT(TRIM(A710),1)="[",TRIM(MID(TRIM(A710),FIND("]",TRIM(A710)&amp;"]")+1,200)),TRIM(A710))&amp;"(")-1)),IF(LEFT(TRIM(A710),1)="[",TRIM(MID(TRIM(A710),FIND("]",TRIM(A710)&amp;"]")+1,200)),TRIM(A710))))&gt;0,IF(RIGHT(IF(LEFT(TRIM(A710),1)="[",TRIM(MID(TRIM(A710),FIND("]",TRIM(A710)&amp;"]")+1,200)),TRIM(A710)),1)=")",TRIM(LEFT(IF(LEFT(TRIM(A710),1)="[",TRIM(MID(TRIM(A710),FIND("]",TRIM(A710)&amp;"]")+1,200)),TRIM(A710)),FIND("(",IF(LEFT(TRIM(A710),1)="[",TRIM(MID(TRIM(A710),FIND("]",TRIM(A710)&amp;"]")+1,200)),TRIM(A710))&amp;"(")-1)),IF(LEFT(TRIM(A710),1)="[",TRIM(MID(TRIM(A710),FIND("]",TRIM(A710)&amp;"]")+1,200)),TRIM(A710))),""))</f>
      </c>
      <c r="C710" s="17">
        <f>IF(B710&lt;&gt;"",B710,C709)</f>
      </c>
      <c r="D710" s="17">
        <f>IF(A710="","",IF(OR(LEFT(UPPER(TRIM(A710)),2)="Y:",LEFT(UPPER(TRIM(A710)),10)="YESTERDAY:"),"Y",IF(OR(LEFT(UPPER(TRIM(A710)),2)="T:",LEFT(UPPER(TRIM(A710)),6)="TODAY:"),"T",IF(OR(LEFT(UPPER(TRIM(A710)),2)="B:",LEFT(UPPER(TRIM(A710)),8)="BLOCKER:",LEFT(UPPER(TRIM(A710)),9)="BLOCKERS:",LEFT(UPPER(TRIM(A710)),8)="BLOCKED:"),"B",""))))</f>
      </c>
      <c r="E710" s="17">
        <f>IF(D710="","",TRIM(MID(A710,FIND(":",A710)+1,500)))</f>
      </c>
    </row>
    <row r="711">
      <c r="B711" s="17">
        <f>IF(A711="","",IF(COUNTIF(Roster[Name],IF(RIGHT(IF(LEFT(TRIM(A711),1)="[",TRIM(MID(TRIM(A711),FIND("]",TRIM(A711)&amp;"]")+1,200)),TRIM(A711)),1)=")",TRIM(LEFT(IF(LEFT(TRIM(A711),1)="[",TRIM(MID(TRIM(A711),FIND("]",TRIM(A711)&amp;"]")+1,200)),TRIM(A711)),FIND("(",IF(LEFT(TRIM(A711),1)="[",TRIM(MID(TRIM(A711),FIND("]",TRIM(A711)&amp;"]")+1,200)),TRIM(A711))&amp;"(")-1)),IF(LEFT(TRIM(A711),1)="[",TRIM(MID(TRIM(A711),FIND("]",TRIM(A711)&amp;"]")+1,200)),TRIM(A711))))&gt;0,IF(RIGHT(IF(LEFT(TRIM(A711),1)="[",TRIM(MID(TRIM(A711),FIND("]",TRIM(A711)&amp;"]")+1,200)),TRIM(A711)),1)=")",TRIM(LEFT(IF(LEFT(TRIM(A711),1)="[",TRIM(MID(TRIM(A711),FIND("]",TRIM(A711)&amp;"]")+1,200)),TRIM(A711)),FIND("(",IF(LEFT(TRIM(A711),1)="[",TRIM(MID(TRIM(A711),FIND("]",TRIM(A711)&amp;"]")+1,200)),TRIM(A711))&amp;"(")-1)),IF(LEFT(TRIM(A711),1)="[",TRIM(MID(TRIM(A711),FIND("]",TRIM(A711)&amp;"]")+1,200)),TRIM(A711))),""))</f>
      </c>
      <c r="C711" s="17">
        <f>IF(B711&lt;&gt;"",B711,C710)</f>
      </c>
      <c r="D711" s="17">
        <f>IF(A711="","",IF(OR(LEFT(UPPER(TRIM(A711)),2)="Y:",LEFT(UPPER(TRIM(A711)),10)="YESTERDAY:"),"Y",IF(OR(LEFT(UPPER(TRIM(A711)),2)="T:",LEFT(UPPER(TRIM(A711)),6)="TODAY:"),"T",IF(OR(LEFT(UPPER(TRIM(A711)),2)="B:",LEFT(UPPER(TRIM(A711)),8)="BLOCKER:",LEFT(UPPER(TRIM(A711)),9)="BLOCKERS:",LEFT(UPPER(TRIM(A711)),8)="BLOCKED:"),"B",""))))</f>
      </c>
      <c r="E711" s="17">
        <f>IF(D711="","",TRIM(MID(A711,FIND(":",A711)+1,500)))</f>
      </c>
    </row>
    <row r="712">
      <c r="B712" s="17">
        <f>IF(A712="","",IF(COUNTIF(Roster[Name],IF(RIGHT(IF(LEFT(TRIM(A712),1)="[",TRIM(MID(TRIM(A712),FIND("]",TRIM(A712)&amp;"]")+1,200)),TRIM(A712)),1)=")",TRIM(LEFT(IF(LEFT(TRIM(A712),1)="[",TRIM(MID(TRIM(A712),FIND("]",TRIM(A712)&amp;"]")+1,200)),TRIM(A712)),FIND("(",IF(LEFT(TRIM(A712),1)="[",TRIM(MID(TRIM(A712),FIND("]",TRIM(A712)&amp;"]")+1,200)),TRIM(A712))&amp;"(")-1)),IF(LEFT(TRIM(A712),1)="[",TRIM(MID(TRIM(A712),FIND("]",TRIM(A712)&amp;"]")+1,200)),TRIM(A712))))&gt;0,IF(RIGHT(IF(LEFT(TRIM(A712),1)="[",TRIM(MID(TRIM(A712),FIND("]",TRIM(A712)&amp;"]")+1,200)),TRIM(A712)),1)=")",TRIM(LEFT(IF(LEFT(TRIM(A712),1)="[",TRIM(MID(TRIM(A712),FIND("]",TRIM(A712)&amp;"]")+1,200)),TRIM(A712)),FIND("(",IF(LEFT(TRIM(A712),1)="[",TRIM(MID(TRIM(A712),FIND("]",TRIM(A712)&amp;"]")+1,200)),TRIM(A712))&amp;"(")-1)),IF(LEFT(TRIM(A712),1)="[",TRIM(MID(TRIM(A712),FIND("]",TRIM(A712)&amp;"]")+1,200)),TRIM(A712))),""))</f>
      </c>
      <c r="C712" s="17">
        <f>IF(B712&lt;&gt;"",B712,C711)</f>
      </c>
      <c r="D712" s="17">
        <f>IF(A712="","",IF(OR(LEFT(UPPER(TRIM(A712)),2)="Y:",LEFT(UPPER(TRIM(A712)),10)="YESTERDAY:"),"Y",IF(OR(LEFT(UPPER(TRIM(A712)),2)="T:",LEFT(UPPER(TRIM(A712)),6)="TODAY:"),"T",IF(OR(LEFT(UPPER(TRIM(A712)),2)="B:",LEFT(UPPER(TRIM(A712)),8)="BLOCKER:",LEFT(UPPER(TRIM(A712)),9)="BLOCKERS:",LEFT(UPPER(TRIM(A712)),8)="BLOCKED:"),"B",""))))</f>
      </c>
      <c r="E712" s="17">
        <f>IF(D712="","",TRIM(MID(A712,FIND(":",A712)+1,500)))</f>
      </c>
    </row>
    <row r="713">
      <c r="B713" s="17">
        <f>IF(A713="","",IF(COUNTIF(Roster[Name],IF(RIGHT(IF(LEFT(TRIM(A713),1)="[",TRIM(MID(TRIM(A713),FIND("]",TRIM(A713)&amp;"]")+1,200)),TRIM(A713)),1)=")",TRIM(LEFT(IF(LEFT(TRIM(A713),1)="[",TRIM(MID(TRIM(A713),FIND("]",TRIM(A713)&amp;"]")+1,200)),TRIM(A713)),FIND("(",IF(LEFT(TRIM(A713),1)="[",TRIM(MID(TRIM(A713),FIND("]",TRIM(A713)&amp;"]")+1,200)),TRIM(A713))&amp;"(")-1)),IF(LEFT(TRIM(A713),1)="[",TRIM(MID(TRIM(A713),FIND("]",TRIM(A713)&amp;"]")+1,200)),TRIM(A713))))&gt;0,IF(RIGHT(IF(LEFT(TRIM(A713),1)="[",TRIM(MID(TRIM(A713),FIND("]",TRIM(A713)&amp;"]")+1,200)),TRIM(A713)),1)=")",TRIM(LEFT(IF(LEFT(TRIM(A713),1)="[",TRIM(MID(TRIM(A713),FIND("]",TRIM(A713)&amp;"]")+1,200)),TRIM(A713)),FIND("(",IF(LEFT(TRIM(A713),1)="[",TRIM(MID(TRIM(A713),FIND("]",TRIM(A713)&amp;"]")+1,200)),TRIM(A713))&amp;"(")-1)),IF(LEFT(TRIM(A713),1)="[",TRIM(MID(TRIM(A713),FIND("]",TRIM(A713)&amp;"]")+1,200)),TRIM(A713))),""))</f>
      </c>
      <c r="C713" s="17">
        <f>IF(B713&lt;&gt;"",B713,C712)</f>
      </c>
      <c r="D713" s="17">
        <f>IF(A713="","",IF(OR(LEFT(UPPER(TRIM(A713)),2)="Y:",LEFT(UPPER(TRIM(A713)),10)="YESTERDAY:"),"Y",IF(OR(LEFT(UPPER(TRIM(A713)),2)="T:",LEFT(UPPER(TRIM(A713)),6)="TODAY:"),"T",IF(OR(LEFT(UPPER(TRIM(A713)),2)="B:",LEFT(UPPER(TRIM(A713)),8)="BLOCKER:",LEFT(UPPER(TRIM(A713)),9)="BLOCKERS:",LEFT(UPPER(TRIM(A713)),8)="BLOCKED:"),"B",""))))</f>
      </c>
      <c r="E713" s="17">
        <f>IF(D713="","",TRIM(MID(A713,FIND(":",A713)+1,500)))</f>
      </c>
    </row>
    <row r="714">
      <c r="B714" s="17">
        <f>IF(A714="","",IF(COUNTIF(Roster[Name],IF(RIGHT(IF(LEFT(TRIM(A714),1)="[",TRIM(MID(TRIM(A714),FIND("]",TRIM(A714)&amp;"]")+1,200)),TRIM(A714)),1)=")",TRIM(LEFT(IF(LEFT(TRIM(A714),1)="[",TRIM(MID(TRIM(A714),FIND("]",TRIM(A714)&amp;"]")+1,200)),TRIM(A714)),FIND("(",IF(LEFT(TRIM(A714),1)="[",TRIM(MID(TRIM(A714),FIND("]",TRIM(A714)&amp;"]")+1,200)),TRIM(A714))&amp;"(")-1)),IF(LEFT(TRIM(A714),1)="[",TRIM(MID(TRIM(A714),FIND("]",TRIM(A714)&amp;"]")+1,200)),TRIM(A714))))&gt;0,IF(RIGHT(IF(LEFT(TRIM(A714),1)="[",TRIM(MID(TRIM(A714),FIND("]",TRIM(A714)&amp;"]")+1,200)),TRIM(A714)),1)=")",TRIM(LEFT(IF(LEFT(TRIM(A714),1)="[",TRIM(MID(TRIM(A714),FIND("]",TRIM(A714)&amp;"]")+1,200)),TRIM(A714)),FIND("(",IF(LEFT(TRIM(A714),1)="[",TRIM(MID(TRIM(A714),FIND("]",TRIM(A714)&amp;"]")+1,200)),TRIM(A714))&amp;"(")-1)),IF(LEFT(TRIM(A714),1)="[",TRIM(MID(TRIM(A714),FIND("]",TRIM(A714)&amp;"]")+1,200)),TRIM(A714))),""))</f>
      </c>
      <c r="C714" s="17">
        <f>IF(B714&lt;&gt;"",B714,C713)</f>
      </c>
      <c r="D714" s="17">
        <f>IF(A714="","",IF(OR(LEFT(UPPER(TRIM(A714)),2)="Y:",LEFT(UPPER(TRIM(A714)),10)="YESTERDAY:"),"Y",IF(OR(LEFT(UPPER(TRIM(A714)),2)="T:",LEFT(UPPER(TRIM(A714)),6)="TODAY:"),"T",IF(OR(LEFT(UPPER(TRIM(A714)),2)="B:",LEFT(UPPER(TRIM(A714)),8)="BLOCKER:",LEFT(UPPER(TRIM(A714)),9)="BLOCKERS:",LEFT(UPPER(TRIM(A714)),8)="BLOCKED:"),"B",""))))</f>
      </c>
      <c r="E714" s="17">
        <f>IF(D714="","",TRIM(MID(A714,FIND(":",A714)+1,500)))</f>
      </c>
    </row>
    <row r="715">
      <c r="B715" s="17">
        <f>IF(A715="","",IF(COUNTIF(Roster[Name],IF(RIGHT(IF(LEFT(TRIM(A715),1)="[",TRIM(MID(TRIM(A715),FIND("]",TRIM(A715)&amp;"]")+1,200)),TRIM(A715)),1)=")",TRIM(LEFT(IF(LEFT(TRIM(A715),1)="[",TRIM(MID(TRIM(A715),FIND("]",TRIM(A715)&amp;"]")+1,200)),TRIM(A715)),FIND("(",IF(LEFT(TRIM(A715),1)="[",TRIM(MID(TRIM(A715),FIND("]",TRIM(A715)&amp;"]")+1,200)),TRIM(A715))&amp;"(")-1)),IF(LEFT(TRIM(A715),1)="[",TRIM(MID(TRIM(A715),FIND("]",TRIM(A715)&amp;"]")+1,200)),TRIM(A715))))&gt;0,IF(RIGHT(IF(LEFT(TRIM(A715),1)="[",TRIM(MID(TRIM(A715),FIND("]",TRIM(A715)&amp;"]")+1,200)),TRIM(A715)),1)=")",TRIM(LEFT(IF(LEFT(TRIM(A715),1)="[",TRIM(MID(TRIM(A715),FIND("]",TRIM(A715)&amp;"]")+1,200)),TRIM(A715)),FIND("(",IF(LEFT(TRIM(A715),1)="[",TRIM(MID(TRIM(A715),FIND("]",TRIM(A715)&amp;"]")+1,200)),TRIM(A715))&amp;"(")-1)),IF(LEFT(TRIM(A715),1)="[",TRIM(MID(TRIM(A715),FIND("]",TRIM(A715)&amp;"]")+1,200)),TRIM(A715))),""))</f>
      </c>
      <c r="C715" s="17">
        <f>IF(B715&lt;&gt;"",B715,C714)</f>
      </c>
      <c r="D715" s="17">
        <f>IF(A715="","",IF(OR(LEFT(UPPER(TRIM(A715)),2)="Y:",LEFT(UPPER(TRIM(A715)),10)="YESTERDAY:"),"Y",IF(OR(LEFT(UPPER(TRIM(A715)),2)="T:",LEFT(UPPER(TRIM(A715)),6)="TODAY:"),"T",IF(OR(LEFT(UPPER(TRIM(A715)),2)="B:",LEFT(UPPER(TRIM(A715)),8)="BLOCKER:",LEFT(UPPER(TRIM(A715)),9)="BLOCKERS:",LEFT(UPPER(TRIM(A715)),8)="BLOCKED:"),"B",""))))</f>
      </c>
      <c r="E715" s="17">
        <f>IF(D715="","",TRIM(MID(A715,FIND(":",A715)+1,500)))</f>
      </c>
    </row>
    <row r="716">
      <c r="B716" s="17">
        <f>IF(A716="","",IF(COUNTIF(Roster[Name],IF(RIGHT(IF(LEFT(TRIM(A716),1)="[",TRIM(MID(TRIM(A716),FIND("]",TRIM(A716)&amp;"]")+1,200)),TRIM(A716)),1)=")",TRIM(LEFT(IF(LEFT(TRIM(A716),1)="[",TRIM(MID(TRIM(A716),FIND("]",TRIM(A716)&amp;"]")+1,200)),TRIM(A716)),FIND("(",IF(LEFT(TRIM(A716),1)="[",TRIM(MID(TRIM(A716),FIND("]",TRIM(A716)&amp;"]")+1,200)),TRIM(A716))&amp;"(")-1)),IF(LEFT(TRIM(A716),1)="[",TRIM(MID(TRIM(A716),FIND("]",TRIM(A716)&amp;"]")+1,200)),TRIM(A716))))&gt;0,IF(RIGHT(IF(LEFT(TRIM(A716),1)="[",TRIM(MID(TRIM(A716),FIND("]",TRIM(A716)&amp;"]")+1,200)),TRIM(A716)),1)=")",TRIM(LEFT(IF(LEFT(TRIM(A716),1)="[",TRIM(MID(TRIM(A716),FIND("]",TRIM(A716)&amp;"]")+1,200)),TRIM(A716)),FIND("(",IF(LEFT(TRIM(A716),1)="[",TRIM(MID(TRIM(A716),FIND("]",TRIM(A716)&amp;"]")+1,200)),TRIM(A716))&amp;"(")-1)),IF(LEFT(TRIM(A716),1)="[",TRIM(MID(TRIM(A716),FIND("]",TRIM(A716)&amp;"]")+1,200)),TRIM(A716))),""))</f>
      </c>
      <c r="C716" s="17">
        <f>IF(B716&lt;&gt;"",B716,C715)</f>
      </c>
      <c r="D716" s="17">
        <f>IF(A716="","",IF(OR(LEFT(UPPER(TRIM(A716)),2)="Y:",LEFT(UPPER(TRIM(A716)),10)="YESTERDAY:"),"Y",IF(OR(LEFT(UPPER(TRIM(A716)),2)="T:",LEFT(UPPER(TRIM(A716)),6)="TODAY:"),"T",IF(OR(LEFT(UPPER(TRIM(A716)),2)="B:",LEFT(UPPER(TRIM(A716)),8)="BLOCKER:",LEFT(UPPER(TRIM(A716)),9)="BLOCKERS:",LEFT(UPPER(TRIM(A716)),8)="BLOCKED:"),"B",""))))</f>
      </c>
      <c r="E716" s="17">
        <f>IF(D716="","",TRIM(MID(A716,FIND(":",A716)+1,500)))</f>
      </c>
    </row>
    <row r="717">
      <c r="B717" s="17">
        <f>IF(A717="","",IF(COUNTIF(Roster[Name],IF(RIGHT(IF(LEFT(TRIM(A717),1)="[",TRIM(MID(TRIM(A717),FIND("]",TRIM(A717)&amp;"]")+1,200)),TRIM(A717)),1)=")",TRIM(LEFT(IF(LEFT(TRIM(A717),1)="[",TRIM(MID(TRIM(A717),FIND("]",TRIM(A717)&amp;"]")+1,200)),TRIM(A717)),FIND("(",IF(LEFT(TRIM(A717),1)="[",TRIM(MID(TRIM(A717),FIND("]",TRIM(A717)&amp;"]")+1,200)),TRIM(A717))&amp;"(")-1)),IF(LEFT(TRIM(A717),1)="[",TRIM(MID(TRIM(A717),FIND("]",TRIM(A717)&amp;"]")+1,200)),TRIM(A717))))&gt;0,IF(RIGHT(IF(LEFT(TRIM(A717),1)="[",TRIM(MID(TRIM(A717),FIND("]",TRIM(A717)&amp;"]")+1,200)),TRIM(A717)),1)=")",TRIM(LEFT(IF(LEFT(TRIM(A717),1)="[",TRIM(MID(TRIM(A717),FIND("]",TRIM(A717)&amp;"]")+1,200)),TRIM(A717)),FIND("(",IF(LEFT(TRIM(A717),1)="[",TRIM(MID(TRIM(A717),FIND("]",TRIM(A717)&amp;"]")+1,200)),TRIM(A717))&amp;"(")-1)),IF(LEFT(TRIM(A717),1)="[",TRIM(MID(TRIM(A717),FIND("]",TRIM(A717)&amp;"]")+1,200)),TRIM(A717))),""))</f>
      </c>
      <c r="C717" s="17">
        <f>IF(B717&lt;&gt;"",B717,C716)</f>
      </c>
      <c r="D717" s="17">
        <f>IF(A717="","",IF(OR(LEFT(UPPER(TRIM(A717)),2)="Y:",LEFT(UPPER(TRIM(A717)),10)="YESTERDAY:"),"Y",IF(OR(LEFT(UPPER(TRIM(A717)),2)="T:",LEFT(UPPER(TRIM(A717)),6)="TODAY:"),"T",IF(OR(LEFT(UPPER(TRIM(A717)),2)="B:",LEFT(UPPER(TRIM(A717)),8)="BLOCKER:",LEFT(UPPER(TRIM(A717)),9)="BLOCKERS:",LEFT(UPPER(TRIM(A717)),8)="BLOCKED:"),"B",""))))</f>
      </c>
      <c r="E717" s="17">
        <f>IF(D717="","",TRIM(MID(A717,FIND(":",A717)+1,500)))</f>
      </c>
    </row>
    <row r="718">
      <c r="B718" s="17">
        <f>IF(A718="","",IF(COUNTIF(Roster[Name],IF(RIGHT(IF(LEFT(TRIM(A718),1)="[",TRIM(MID(TRIM(A718),FIND("]",TRIM(A718)&amp;"]")+1,200)),TRIM(A718)),1)=")",TRIM(LEFT(IF(LEFT(TRIM(A718),1)="[",TRIM(MID(TRIM(A718),FIND("]",TRIM(A718)&amp;"]")+1,200)),TRIM(A718)),FIND("(",IF(LEFT(TRIM(A718),1)="[",TRIM(MID(TRIM(A718),FIND("]",TRIM(A718)&amp;"]")+1,200)),TRIM(A718))&amp;"(")-1)),IF(LEFT(TRIM(A718),1)="[",TRIM(MID(TRIM(A718),FIND("]",TRIM(A718)&amp;"]")+1,200)),TRIM(A718))))&gt;0,IF(RIGHT(IF(LEFT(TRIM(A718),1)="[",TRIM(MID(TRIM(A718),FIND("]",TRIM(A718)&amp;"]")+1,200)),TRIM(A718)),1)=")",TRIM(LEFT(IF(LEFT(TRIM(A718),1)="[",TRIM(MID(TRIM(A718),FIND("]",TRIM(A718)&amp;"]")+1,200)),TRIM(A718)),FIND("(",IF(LEFT(TRIM(A718),1)="[",TRIM(MID(TRIM(A718),FIND("]",TRIM(A718)&amp;"]")+1,200)),TRIM(A718))&amp;"(")-1)),IF(LEFT(TRIM(A718),1)="[",TRIM(MID(TRIM(A718),FIND("]",TRIM(A718)&amp;"]")+1,200)),TRIM(A718))),""))</f>
      </c>
      <c r="C718" s="17">
        <f>IF(B718&lt;&gt;"",B718,C717)</f>
      </c>
      <c r="D718" s="17">
        <f>IF(A718="","",IF(OR(LEFT(UPPER(TRIM(A718)),2)="Y:",LEFT(UPPER(TRIM(A718)),10)="YESTERDAY:"),"Y",IF(OR(LEFT(UPPER(TRIM(A718)),2)="T:",LEFT(UPPER(TRIM(A718)),6)="TODAY:"),"T",IF(OR(LEFT(UPPER(TRIM(A718)),2)="B:",LEFT(UPPER(TRIM(A718)),8)="BLOCKER:",LEFT(UPPER(TRIM(A718)),9)="BLOCKERS:",LEFT(UPPER(TRIM(A718)),8)="BLOCKED:"),"B",""))))</f>
      </c>
      <c r="E718" s="17">
        <f>IF(D718="","",TRIM(MID(A718,FIND(":",A718)+1,500)))</f>
      </c>
    </row>
    <row r="719">
      <c r="B719" s="17">
        <f>IF(A719="","",IF(COUNTIF(Roster[Name],IF(RIGHT(IF(LEFT(TRIM(A719),1)="[",TRIM(MID(TRIM(A719),FIND("]",TRIM(A719)&amp;"]")+1,200)),TRIM(A719)),1)=")",TRIM(LEFT(IF(LEFT(TRIM(A719),1)="[",TRIM(MID(TRIM(A719),FIND("]",TRIM(A719)&amp;"]")+1,200)),TRIM(A719)),FIND("(",IF(LEFT(TRIM(A719),1)="[",TRIM(MID(TRIM(A719),FIND("]",TRIM(A719)&amp;"]")+1,200)),TRIM(A719))&amp;"(")-1)),IF(LEFT(TRIM(A719),1)="[",TRIM(MID(TRIM(A719),FIND("]",TRIM(A719)&amp;"]")+1,200)),TRIM(A719))))&gt;0,IF(RIGHT(IF(LEFT(TRIM(A719),1)="[",TRIM(MID(TRIM(A719),FIND("]",TRIM(A719)&amp;"]")+1,200)),TRIM(A719)),1)=")",TRIM(LEFT(IF(LEFT(TRIM(A719),1)="[",TRIM(MID(TRIM(A719),FIND("]",TRIM(A719)&amp;"]")+1,200)),TRIM(A719)),FIND("(",IF(LEFT(TRIM(A719),1)="[",TRIM(MID(TRIM(A719),FIND("]",TRIM(A719)&amp;"]")+1,200)),TRIM(A719))&amp;"(")-1)),IF(LEFT(TRIM(A719),1)="[",TRIM(MID(TRIM(A719),FIND("]",TRIM(A719)&amp;"]")+1,200)),TRIM(A719))),""))</f>
      </c>
      <c r="C719" s="17">
        <f>IF(B719&lt;&gt;"",B719,C718)</f>
      </c>
      <c r="D719" s="17">
        <f>IF(A719="","",IF(OR(LEFT(UPPER(TRIM(A719)),2)="Y:",LEFT(UPPER(TRIM(A719)),10)="YESTERDAY:"),"Y",IF(OR(LEFT(UPPER(TRIM(A719)),2)="T:",LEFT(UPPER(TRIM(A719)),6)="TODAY:"),"T",IF(OR(LEFT(UPPER(TRIM(A719)),2)="B:",LEFT(UPPER(TRIM(A719)),8)="BLOCKER:",LEFT(UPPER(TRIM(A719)),9)="BLOCKERS:",LEFT(UPPER(TRIM(A719)),8)="BLOCKED:"),"B",""))))</f>
      </c>
      <c r="E719" s="17">
        <f>IF(D719="","",TRIM(MID(A719,FIND(":",A719)+1,500)))</f>
      </c>
    </row>
    <row r="720">
      <c r="B720" s="17">
        <f>IF(A720="","",IF(COUNTIF(Roster[Name],IF(RIGHT(IF(LEFT(TRIM(A720),1)="[",TRIM(MID(TRIM(A720),FIND("]",TRIM(A720)&amp;"]")+1,200)),TRIM(A720)),1)=")",TRIM(LEFT(IF(LEFT(TRIM(A720),1)="[",TRIM(MID(TRIM(A720),FIND("]",TRIM(A720)&amp;"]")+1,200)),TRIM(A720)),FIND("(",IF(LEFT(TRIM(A720),1)="[",TRIM(MID(TRIM(A720),FIND("]",TRIM(A720)&amp;"]")+1,200)),TRIM(A720))&amp;"(")-1)),IF(LEFT(TRIM(A720),1)="[",TRIM(MID(TRIM(A720),FIND("]",TRIM(A720)&amp;"]")+1,200)),TRIM(A720))))&gt;0,IF(RIGHT(IF(LEFT(TRIM(A720),1)="[",TRIM(MID(TRIM(A720),FIND("]",TRIM(A720)&amp;"]")+1,200)),TRIM(A720)),1)=")",TRIM(LEFT(IF(LEFT(TRIM(A720),1)="[",TRIM(MID(TRIM(A720),FIND("]",TRIM(A720)&amp;"]")+1,200)),TRIM(A720)),FIND("(",IF(LEFT(TRIM(A720),1)="[",TRIM(MID(TRIM(A720),FIND("]",TRIM(A720)&amp;"]")+1,200)),TRIM(A720))&amp;"(")-1)),IF(LEFT(TRIM(A720),1)="[",TRIM(MID(TRIM(A720),FIND("]",TRIM(A720)&amp;"]")+1,200)),TRIM(A720))),""))</f>
      </c>
      <c r="C720" s="17">
        <f>IF(B720&lt;&gt;"",B720,C719)</f>
      </c>
      <c r="D720" s="17">
        <f>IF(A720="","",IF(OR(LEFT(UPPER(TRIM(A720)),2)="Y:",LEFT(UPPER(TRIM(A720)),10)="YESTERDAY:"),"Y",IF(OR(LEFT(UPPER(TRIM(A720)),2)="T:",LEFT(UPPER(TRIM(A720)),6)="TODAY:"),"T",IF(OR(LEFT(UPPER(TRIM(A720)),2)="B:",LEFT(UPPER(TRIM(A720)),8)="BLOCKER:",LEFT(UPPER(TRIM(A720)),9)="BLOCKERS:",LEFT(UPPER(TRIM(A720)),8)="BLOCKED:"),"B",""))))</f>
      </c>
      <c r="E720" s="17">
        <f>IF(D720="","",TRIM(MID(A720,FIND(":",A720)+1,500)))</f>
      </c>
    </row>
    <row r="721">
      <c r="B721" s="17">
        <f>IF(A721="","",IF(COUNTIF(Roster[Name],IF(RIGHT(IF(LEFT(TRIM(A721),1)="[",TRIM(MID(TRIM(A721),FIND("]",TRIM(A721)&amp;"]")+1,200)),TRIM(A721)),1)=")",TRIM(LEFT(IF(LEFT(TRIM(A721),1)="[",TRIM(MID(TRIM(A721),FIND("]",TRIM(A721)&amp;"]")+1,200)),TRIM(A721)),FIND("(",IF(LEFT(TRIM(A721),1)="[",TRIM(MID(TRIM(A721),FIND("]",TRIM(A721)&amp;"]")+1,200)),TRIM(A721))&amp;"(")-1)),IF(LEFT(TRIM(A721),1)="[",TRIM(MID(TRIM(A721),FIND("]",TRIM(A721)&amp;"]")+1,200)),TRIM(A721))))&gt;0,IF(RIGHT(IF(LEFT(TRIM(A721),1)="[",TRIM(MID(TRIM(A721),FIND("]",TRIM(A721)&amp;"]")+1,200)),TRIM(A721)),1)=")",TRIM(LEFT(IF(LEFT(TRIM(A721),1)="[",TRIM(MID(TRIM(A721),FIND("]",TRIM(A721)&amp;"]")+1,200)),TRIM(A721)),FIND("(",IF(LEFT(TRIM(A721),1)="[",TRIM(MID(TRIM(A721),FIND("]",TRIM(A721)&amp;"]")+1,200)),TRIM(A721))&amp;"(")-1)),IF(LEFT(TRIM(A721),1)="[",TRIM(MID(TRIM(A721),FIND("]",TRIM(A721)&amp;"]")+1,200)),TRIM(A721))),""))</f>
      </c>
      <c r="C721" s="17">
        <f>IF(B721&lt;&gt;"",B721,C720)</f>
      </c>
      <c r="D721" s="17">
        <f>IF(A721="","",IF(OR(LEFT(UPPER(TRIM(A721)),2)="Y:",LEFT(UPPER(TRIM(A721)),10)="YESTERDAY:"),"Y",IF(OR(LEFT(UPPER(TRIM(A721)),2)="T:",LEFT(UPPER(TRIM(A721)),6)="TODAY:"),"T",IF(OR(LEFT(UPPER(TRIM(A721)),2)="B:",LEFT(UPPER(TRIM(A721)),8)="BLOCKER:",LEFT(UPPER(TRIM(A721)),9)="BLOCKERS:",LEFT(UPPER(TRIM(A721)),8)="BLOCKED:"),"B",""))))</f>
      </c>
      <c r="E721" s="17">
        <f>IF(D721="","",TRIM(MID(A721,FIND(":",A721)+1,500)))</f>
      </c>
    </row>
    <row r="722">
      <c r="B722" s="17">
        <f>IF(A722="","",IF(COUNTIF(Roster[Name],IF(RIGHT(IF(LEFT(TRIM(A722),1)="[",TRIM(MID(TRIM(A722),FIND("]",TRIM(A722)&amp;"]")+1,200)),TRIM(A722)),1)=")",TRIM(LEFT(IF(LEFT(TRIM(A722),1)="[",TRIM(MID(TRIM(A722),FIND("]",TRIM(A722)&amp;"]")+1,200)),TRIM(A722)),FIND("(",IF(LEFT(TRIM(A722),1)="[",TRIM(MID(TRIM(A722),FIND("]",TRIM(A722)&amp;"]")+1,200)),TRIM(A722))&amp;"(")-1)),IF(LEFT(TRIM(A722),1)="[",TRIM(MID(TRIM(A722),FIND("]",TRIM(A722)&amp;"]")+1,200)),TRIM(A722))))&gt;0,IF(RIGHT(IF(LEFT(TRIM(A722),1)="[",TRIM(MID(TRIM(A722),FIND("]",TRIM(A722)&amp;"]")+1,200)),TRIM(A722)),1)=")",TRIM(LEFT(IF(LEFT(TRIM(A722),1)="[",TRIM(MID(TRIM(A722),FIND("]",TRIM(A722)&amp;"]")+1,200)),TRIM(A722)),FIND("(",IF(LEFT(TRIM(A722),1)="[",TRIM(MID(TRIM(A722),FIND("]",TRIM(A722)&amp;"]")+1,200)),TRIM(A722))&amp;"(")-1)),IF(LEFT(TRIM(A722),1)="[",TRIM(MID(TRIM(A722),FIND("]",TRIM(A722)&amp;"]")+1,200)),TRIM(A722))),""))</f>
      </c>
      <c r="C722" s="17">
        <f>IF(B722&lt;&gt;"",B722,C721)</f>
      </c>
      <c r="D722" s="17">
        <f>IF(A722="","",IF(OR(LEFT(UPPER(TRIM(A722)),2)="Y:",LEFT(UPPER(TRIM(A722)),10)="YESTERDAY:"),"Y",IF(OR(LEFT(UPPER(TRIM(A722)),2)="T:",LEFT(UPPER(TRIM(A722)),6)="TODAY:"),"T",IF(OR(LEFT(UPPER(TRIM(A722)),2)="B:",LEFT(UPPER(TRIM(A722)),8)="BLOCKER:",LEFT(UPPER(TRIM(A722)),9)="BLOCKERS:",LEFT(UPPER(TRIM(A722)),8)="BLOCKED:"),"B",""))))</f>
      </c>
      <c r="E722" s="17">
        <f>IF(D722="","",TRIM(MID(A722,FIND(":",A722)+1,500)))</f>
      </c>
    </row>
    <row r="723">
      <c r="B723" s="17">
        <f>IF(A723="","",IF(COUNTIF(Roster[Name],IF(RIGHT(IF(LEFT(TRIM(A723),1)="[",TRIM(MID(TRIM(A723),FIND("]",TRIM(A723)&amp;"]")+1,200)),TRIM(A723)),1)=")",TRIM(LEFT(IF(LEFT(TRIM(A723),1)="[",TRIM(MID(TRIM(A723),FIND("]",TRIM(A723)&amp;"]")+1,200)),TRIM(A723)),FIND("(",IF(LEFT(TRIM(A723),1)="[",TRIM(MID(TRIM(A723),FIND("]",TRIM(A723)&amp;"]")+1,200)),TRIM(A723))&amp;"(")-1)),IF(LEFT(TRIM(A723),1)="[",TRIM(MID(TRIM(A723),FIND("]",TRIM(A723)&amp;"]")+1,200)),TRIM(A723))))&gt;0,IF(RIGHT(IF(LEFT(TRIM(A723),1)="[",TRIM(MID(TRIM(A723),FIND("]",TRIM(A723)&amp;"]")+1,200)),TRIM(A723)),1)=")",TRIM(LEFT(IF(LEFT(TRIM(A723),1)="[",TRIM(MID(TRIM(A723),FIND("]",TRIM(A723)&amp;"]")+1,200)),TRIM(A723)),FIND("(",IF(LEFT(TRIM(A723),1)="[",TRIM(MID(TRIM(A723),FIND("]",TRIM(A723)&amp;"]")+1,200)),TRIM(A723))&amp;"(")-1)),IF(LEFT(TRIM(A723),1)="[",TRIM(MID(TRIM(A723),FIND("]",TRIM(A723)&amp;"]")+1,200)),TRIM(A723))),""))</f>
      </c>
      <c r="C723" s="17">
        <f>IF(B723&lt;&gt;"",B723,C722)</f>
      </c>
      <c r="D723" s="17">
        <f>IF(A723="","",IF(OR(LEFT(UPPER(TRIM(A723)),2)="Y:",LEFT(UPPER(TRIM(A723)),10)="YESTERDAY:"),"Y",IF(OR(LEFT(UPPER(TRIM(A723)),2)="T:",LEFT(UPPER(TRIM(A723)),6)="TODAY:"),"T",IF(OR(LEFT(UPPER(TRIM(A723)),2)="B:",LEFT(UPPER(TRIM(A723)),8)="BLOCKER:",LEFT(UPPER(TRIM(A723)),9)="BLOCKERS:",LEFT(UPPER(TRIM(A723)),8)="BLOCKED:"),"B",""))))</f>
      </c>
      <c r="E723" s="17">
        <f>IF(D723="","",TRIM(MID(A723,FIND(":",A723)+1,500)))</f>
      </c>
    </row>
    <row r="724">
      <c r="B724" s="17">
        <f>IF(A724="","",IF(COUNTIF(Roster[Name],IF(RIGHT(IF(LEFT(TRIM(A724),1)="[",TRIM(MID(TRIM(A724),FIND("]",TRIM(A724)&amp;"]")+1,200)),TRIM(A724)),1)=")",TRIM(LEFT(IF(LEFT(TRIM(A724),1)="[",TRIM(MID(TRIM(A724),FIND("]",TRIM(A724)&amp;"]")+1,200)),TRIM(A724)),FIND("(",IF(LEFT(TRIM(A724),1)="[",TRIM(MID(TRIM(A724),FIND("]",TRIM(A724)&amp;"]")+1,200)),TRIM(A724))&amp;"(")-1)),IF(LEFT(TRIM(A724),1)="[",TRIM(MID(TRIM(A724),FIND("]",TRIM(A724)&amp;"]")+1,200)),TRIM(A724))))&gt;0,IF(RIGHT(IF(LEFT(TRIM(A724),1)="[",TRIM(MID(TRIM(A724),FIND("]",TRIM(A724)&amp;"]")+1,200)),TRIM(A724)),1)=")",TRIM(LEFT(IF(LEFT(TRIM(A724),1)="[",TRIM(MID(TRIM(A724),FIND("]",TRIM(A724)&amp;"]")+1,200)),TRIM(A724)),FIND("(",IF(LEFT(TRIM(A724),1)="[",TRIM(MID(TRIM(A724),FIND("]",TRIM(A724)&amp;"]")+1,200)),TRIM(A724))&amp;"(")-1)),IF(LEFT(TRIM(A724),1)="[",TRIM(MID(TRIM(A724),FIND("]",TRIM(A724)&amp;"]")+1,200)),TRIM(A724))),""))</f>
      </c>
      <c r="C724" s="17">
        <f>IF(B724&lt;&gt;"",B724,C723)</f>
      </c>
      <c r="D724" s="17">
        <f>IF(A724="","",IF(OR(LEFT(UPPER(TRIM(A724)),2)="Y:",LEFT(UPPER(TRIM(A724)),10)="YESTERDAY:"),"Y",IF(OR(LEFT(UPPER(TRIM(A724)),2)="T:",LEFT(UPPER(TRIM(A724)),6)="TODAY:"),"T",IF(OR(LEFT(UPPER(TRIM(A724)),2)="B:",LEFT(UPPER(TRIM(A724)),8)="BLOCKER:",LEFT(UPPER(TRIM(A724)),9)="BLOCKERS:",LEFT(UPPER(TRIM(A724)),8)="BLOCKED:"),"B",""))))</f>
      </c>
      <c r="E724" s="17">
        <f>IF(D724="","",TRIM(MID(A724,FIND(":",A724)+1,500)))</f>
      </c>
    </row>
    <row r="725">
      <c r="B725" s="17">
        <f>IF(A725="","",IF(COUNTIF(Roster[Name],IF(RIGHT(IF(LEFT(TRIM(A725),1)="[",TRIM(MID(TRIM(A725),FIND("]",TRIM(A725)&amp;"]")+1,200)),TRIM(A725)),1)=")",TRIM(LEFT(IF(LEFT(TRIM(A725),1)="[",TRIM(MID(TRIM(A725),FIND("]",TRIM(A725)&amp;"]")+1,200)),TRIM(A725)),FIND("(",IF(LEFT(TRIM(A725),1)="[",TRIM(MID(TRIM(A725),FIND("]",TRIM(A725)&amp;"]")+1,200)),TRIM(A725))&amp;"(")-1)),IF(LEFT(TRIM(A725),1)="[",TRIM(MID(TRIM(A725),FIND("]",TRIM(A725)&amp;"]")+1,200)),TRIM(A725))))&gt;0,IF(RIGHT(IF(LEFT(TRIM(A725),1)="[",TRIM(MID(TRIM(A725),FIND("]",TRIM(A725)&amp;"]")+1,200)),TRIM(A725)),1)=")",TRIM(LEFT(IF(LEFT(TRIM(A725),1)="[",TRIM(MID(TRIM(A725),FIND("]",TRIM(A725)&amp;"]")+1,200)),TRIM(A725)),FIND("(",IF(LEFT(TRIM(A725),1)="[",TRIM(MID(TRIM(A725),FIND("]",TRIM(A725)&amp;"]")+1,200)),TRIM(A725))&amp;"(")-1)),IF(LEFT(TRIM(A725),1)="[",TRIM(MID(TRIM(A725),FIND("]",TRIM(A725)&amp;"]")+1,200)),TRIM(A725))),""))</f>
      </c>
      <c r="C725" s="17">
        <f>IF(B725&lt;&gt;"",B725,C724)</f>
      </c>
      <c r="D725" s="17">
        <f>IF(A725="","",IF(OR(LEFT(UPPER(TRIM(A725)),2)="Y:",LEFT(UPPER(TRIM(A725)),10)="YESTERDAY:"),"Y",IF(OR(LEFT(UPPER(TRIM(A725)),2)="T:",LEFT(UPPER(TRIM(A725)),6)="TODAY:"),"T",IF(OR(LEFT(UPPER(TRIM(A725)),2)="B:",LEFT(UPPER(TRIM(A725)),8)="BLOCKER:",LEFT(UPPER(TRIM(A725)),9)="BLOCKERS:",LEFT(UPPER(TRIM(A725)),8)="BLOCKED:"),"B",""))))</f>
      </c>
      <c r="E725" s="17">
        <f>IF(D725="","",TRIM(MID(A725,FIND(":",A725)+1,500)))</f>
      </c>
    </row>
    <row r="726">
      <c r="B726" s="17">
        <f>IF(A726="","",IF(COUNTIF(Roster[Name],IF(RIGHT(IF(LEFT(TRIM(A726),1)="[",TRIM(MID(TRIM(A726),FIND("]",TRIM(A726)&amp;"]")+1,200)),TRIM(A726)),1)=")",TRIM(LEFT(IF(LEFT(TRIM(A726),1)="[",TRIM(MID(TRIM(A726),FIND("]",TRIM(A726)&amp;"]")+1,200)),TRIM(A726)),FIND("(",IF(LEFT(TRIM(A726),1)="[",TRIM(MID(TRIM(A726),FIND("]",TRIM(A726)&amp;"]")+1,200)),TRIM(A726))&amp;"(")-1)),IF(LEFT(TRIM(A726),1)="[",TRIM(MID(TRIM(A726),FIND("]",TRIM(A726)&amp;"]")+1,200)),TRIM(A726))))&gt;0,IF(RIGHT(IF(LEFT(TRIM(A726),1)="[",TRIM(MID(TRIM(A726),FIND("]",TRIM(A726)&amp;"]")+1,200)),TRIM(A726)),1)=")",TRIM(LEFT(IF(LEFT(TRIM(A726),1)="[",TRIM(MID(TRIM(A726),FIND("]",TRIM(A726)&amp;"]")+1,200)),TRIM(A726)),FIND("(",IF(LEFT(TRIM(A726),1)="[",TRIM(MID(TRIM(A726),FIND("]",TRIM(A726)&amp;"]")+1,200)),TRIM(A726))&amp;"(")-1)),IF(LEFT(TRIM(A726),1)="[",TRIM(MID(TRIM(A726),FIND("]",TRIM(A726)&amp;"]")+1,200)),TRIM(A726))),""))</f>
      </c>
      <c r="C726" s="17">
        <f>IF(B726&lt;&gt;"",B726,C725)</f>
      </c>
      <c r="D726" s="17">
        <f>IF(A726="","",IF(OR(LEFT(UPPER(TRIM(A726)),2)="Y:",LEFT(UPPER(TRIM(A726)),10)="YESTERDAY:"),"Y",IF(OR(LEFT(UPPER(TRIM(A726)),2)="T:",LEFT(UPPER(TRIM(A726)),6)="TODAY:"),"T",IF(OR(LEFT(UPPER(TRIM(A726)),2)="B:",LEFT(UPPER(TRIM(A726)),8)="BLOCKER:",LEFT(UPPER(TRIM(A726)),9)="BLOCKERS:",LEFT(UPPER(TRIM(A726)),8)="BLOCKED:"),"B",""))))</f>
      </c>
      <c r="E726" s="17">
        <f>IF(D726="","",TRIM(MID(A726,FIND(":",A726)+1,500)))</f>
      </c>
    </row>
    <row r="727">
      <c r="B727" s="17">
        <f>IF(A727="","",IF(COUNTIF(Roster[Name],IF(RIGHT(IF(LEFT(TRIM(A727),1)="[",TRIM(MID(TRIM(A727),FIND("]",TRIM(A727)&amp;"]")+1,200)),TRIM(A727)),1)=")",TRIM(LEFT(IF(LEFT(TRIM(A727),1)="[",TRIM(MID(TRIM(A727),FIND("]",TRIM(A727)&amp;"]")+1,200)),TRIM(A727)),FIND("(",IF(LEFT(TRIM(A727),1)="[",TRIM(MID(TRIM(A727),FIND("]",TRIM(A727)&amp;"]")+1,200)),TRIM(A727))&amp;"(")-1)),IF(LEFT(TRIM(A727),1)="[",TRIM(MID(TRIM(A727),FIND("]",TRIM(A727)&amp;"]")+1,200)),TRIM(A727))))&gt;0,IF(RIGHT(IF(LEFT(TRIM(A727),1)="[",TRIM(MID(TRIM(A727),FIND("]",TRIM(A727)&amp;"]")+1,200)),TRIM(A727)),1)=")",TRIM(LEFT(IF(LEFT(TRIM(A727),1)="[",TRIM(MID(TRIM(A727),FIND("]",TRIM(A727)&amp;"]")+1,200)),TRIM(A727)),FIND("(",IF(LEFT(TRIM(A727),1)="[",TRIM(MID(TRIM(A727),FIND("]",TRIM(A727)&amp;"]")+1,200)),TRIM(A727))&amp;"(")-1)),IF(LEFT(TRIM(A727),1)="[",TRIM(MID(TRIM(A727),FIND("]",TRIM(A727)&amp;"]")+1,200)),TRIM(A727))),""))</f>
      </c>
      <c r="C727" s="17">
        <f>IF(B727&lt;&gt;"",B727,C726)</f>
      </c>
      <c r="D727" s="17">
        <f>IF(A727="","",IF(OR(LEFT(UPPER(TRIM(A727)),2)="Y:",LEFT(UPPER(TRIM(A727)),10)="YESTERDAY:"),"Y",IF(OR(LEFT(UPPER(TRIM(A727)),2)="T:",LEFT(UPPER(TRIM(A727)),6)="TODAY:"),"T",IF(OR(LEFT(UPPER(TRIM(A727)),2)="B:",LEFT(UPPER(TRIM(A727)),8)="BLOCKER:",LEFT(UPPER(TRIM(A727)),9)="BLOCKERS:",LEFT(UPPER(TRIM(A727)),8)="BLOCKED:"),"B",""))))</f>
      </c>
      <c r="E727" s="17">
        <f>IF(D727="","",TRIM(MID(A727,FIND(":",A727)+1,500)))</f>
      </c>
    </row>
    <row r="728">
      <c r="B728" s="17">
        <f>IF(A728="","",IF(COUNTIF(Roster[Name],IF(RIGHT(IF(LEFT(TRIM(A728),1)="[",TRIM(MID(TRIM(A728),FIND("]",TRIM(A728)&amp;"]")+1,200)),TRIM(A728)),1)=")",TRIM(LEFT(IF(LEFT(TRIM(A728),1)="[",TRIM(MID(TRIM(A728),FIND("]",TRIM(A728)&amp;"]")+1,200)),TRIM(A728)),FIND("(",IF(LEFT(TRIM(A728),1)="[",TRIM(MID(TRIM(A728),FIND("]",TRIM(A728)&amp;"]")+1,200)),TRIM(A728))&amp;"(")-1)),IF(LEFT(TRIM(A728),1)="[",TRIM(MID(TRIM(A728),FIND("]",TRIM(A728)&amp;"]")+1,200)),TRIM(A728))))&gt;0,IF(RIGHT(IF(LEFT(TRIM(A728),1)="[",TRIM(MID(TRIM(A728),FIND("]",TRIM(A728)&amp;"]")+1,200)),TRIM(A728)),1)=")",TRIM(LEFT(IF(LEFT(TRIM(A728),1)="[",TRIM(MID(TRIM(A728),FIND("]",TRIM(A728)&amp;"]")+1,200)),TRIM(A728)),FIND("(",IF(LEFT(TRIM(A728),1)="[",TRIM(MID(TRIM(A728),FIND("]",TRIM(A728)&amp;"]")+1,200)),TRIM(A728))&amp;"(")-1)),IF(LEFT(TRIM(A728),1)="[",TRIM(MID(TRIM(A728),FIND("]",TRIM(A728)&amp;"]")+1,200)),TRIM(A728))),""))</f>
      </c>
      <c r="C728" s="17">
        <f>IF(B728&lt;&gt;"",B728,C727)</f>
      </c>
      <c r="D728" s="17">
        <f>IF(A728="","",IF(OR(LEFT(UPPER(TRIM(A728)),2)="Y:",LEFT(UPPER(TRIM(A728)),10)="YESTERDAY:"),"Y",IF(OR(LEFT(UPPER(TRIM(A728)),2)="T:",LEFT(UPPER(TRIM(A728)),6)="TODAY:"),"T",IF(OR(LEFT(UPPER(TRIM(A728)),2)="B:",LEFT(UPPER(TRIM(A728)),8)="BLOCKER:",LEFT(UPPER(TRIM(A728)),9)="BLOCKERS:",LEFT(UPPER(TRIM(A728)),8)="BLOCKED:"),"B",""))))</f>
      </c>
      <c r="E728" s="17">
        <f>IF(D728="","",TRIM(MID(A728,FIND(":",A728)+1,500)))</f>
      </c>
    </row>
    <row r="729">
      <c r="B729" s="17">
        <f>IF(A729="","",IF(COUNTIF(Roster[Name],IF(RIGHT(IF(LEFT(TRIM(A729),1)="[",TRIM(MID(TRIM(A729),FIND("]",TRIM(A729)&amp;"]")+1,200)),TRIM(A729)),1)=")",TRIM(LEFT(IF(LEFT(TRIM(A729),1)="[",TRIM(MID(TRIM(A729),FIND("]",TRIM(A729)&amp;"]")+1,200)),TRIM(A729)),FIND("(",IF(LEFT(TRIM(A729),1)="[",TRIM(MID(TRIM(A729),FIND("]",TRIM(A729)&amp;"]")+1,200)),TRIM(A729))&amp;"(")-1)),IF(LEFT(TRIM(A729),1)="[",TRIM(MID(TRIM(A729),FIND("]",TRIM(A729)&amp;"]")+1,200)),TRIM(A729))))&gt;0,IF(RIGHT(IF(LEFT(TRIM(A729),1)="[",TRIM(MID(TRIM(A729),FIND("]",TRIM(A729)&amp;"]")+1,200)),TRIM(A729)),1)=")",TRIM(LEFT(IF(LEFT(TRIM(A729),1)="[",TRIM(MID(TRIM(A729),FIND("]",TRIM(A729)&amp;"]")+1,200)),TRIM(A729)),FIND("(",IF(LEFT(TRIM(A729),1)="[",TRIM(MID(TRIM(A729),FIND("]",TRIM(A729)&amp;"]")+1,200)),TRIM(A729))&amp;"(")-1)),IF(LEFT(TRIM(A729),1)="[",TRIM(MID(TRIM(A729),FIND("]",TRIM(A729)&amp;"]")+1,200)),TRIM(A729))),""))</f>
      </c>
      <c r="C729" s="17">
        <f>IF(B729&lt;&gt;"",B729,C728)</f>
      </c>
      <c r="D729" s="17">
        <f>IF(A729="","",IF(OR(LEFT(UPPER(TRIM(A729)),2)="Y:",LEFT(UPPER(TRIM(A729)),10)="YESTERDAY:"),"Y",IF(OR(LEFT(UPPER(TRIM(A729)),2)="T:",LEFT(UPPER(TRIM(A729)),6)="TODAY:"),"T",IF(OR(LEFT(UPPER(TRIM(A729)),2)="B:",LEFT(UPPER(TRIM(A729)),8)="BLOCKER:",LEFT(UPPER(TRIM(A729)),9)="BLOCKERS:",LEFT(UPPER(TRIM(A729)),8)="BLOCKED:"),"B",""))))</f>
      </c>
      <c r="E729" s="17">
        <f>IF(D729="","",TRIM(MID(A729,FIND(":",A729)+1,500)))</f>
      </c>
    </row>
    <row r="730">
      <c r="B730" s="17">
        <f>IF(A730="","",IF(COUNTIF(Roster[Name],IF(RIGHT(IF(LEFT(TRIM(A730),1)="[",TRIM(MID(TRIM(A730),FIND("]",TRIM(A730)&amp;"]")+1,200)),TRIM(A730)),1)=")",TRIM(LEFT(IF(LEFT(TRIM(A730),1)="[",TRIM(MID(TRIM(A730),FIND("]",TRIM(A730)&amp;"]")+1,200)),TRIM(A730)),FIND("(",IF(LEFT(TRIM(A730),1)="[",TRIM(MID(TRIM(A730),FIND("]",TRIM(A730)&amp;"]")+1,200)),TRIM(A730))&amp;"(")-1)),IF(LEFT(TRIM(A730),1)="[",TRIM(MID(TRIM(A730),FIND("]",TRIM(A730)&amp;"]")+1,200)),TRIM(A730))))&gt;0,IF(RIGHT(IF(LEFT(TRIM(A730),1)="[",TRIM(MID(TRIM(A730),FIND("]",TRIM(A730)&amp;"]")+1,200)),TRIM(A730)),1)=")",TRIM(LEFT(IF(LEFT(TRIM(A730),1)="[",TRIM(MID(TRIM(A730),FIND("]",TRIM(A730)&amp;"]")+1,200)),TRIM(A730)),FIND("(",IF(LEFT(TRIM(A730),1)="[",TRIM(MID(TRIM(A730),FIND("]",TRIM(A730)&amp;"]")+1,200)),TRIM(A730))&amp;"(")-1)),IF(LEFT(TRIM(A730),1)="[",TRIM(MID(TRIM(A730),FIND("]",TRIM(A730)&amp;"]")+1,200)),TRIM(A730))),""))</f>
      </c>
      <c r="C730" s="17">
        <f>IF(B730&lt;&gt;"",B730,C729)</f>
      </c>
      <c r="D730" s="17">
        <f>IF(A730="","",IF(OR(LEFT(UPPER(TRIM(A730)),2)="Y:",LEFT(UPPER(TRIM(A730)),10)="YESTERDAY:"),"Y",IF(OR(LEFT(UPPER(TRIM(A730)),2)="T:",LEFT(UPPER(TRIM(A730)),6)="TODAY:"),"T",IF(OR(LEFT(UPPER(TRIM(A730)),2)="B:",LEFT(UPPER(TRIM(A730)),8)="BLOCKER:",LEFT(UPPER(TRIM(A730)),9)="BLOCKERS:",LEFT(UPPER(TRIM(A730)),8)="BLOCKED:"),"B",""))))</f>
      </c>
      <c r="E730" s="17">
        <f>IF(D730="","",TRIM(MID(A730,FIND(":",A730)+1,500)))</f>
      </c>
    </row>
    <row r="731">
      <c r="B731" s="17">
        <f>IF(A731="","",IF(COUNTIF(Roster[Name],IF(RIGHT(IF(LEFT(TRIM(A731),1)="[",TRIM(MID(TRIM(A731),FIND("]",TRIM(A731)&amp;"]")+1,200)),TRIM(A731)),1)=")",TRIM(LEFT(IF(LEFT(TRIM(A731),1)="[",TRIM(MID(TRIM(A731),FIND("]",TRIM(A731)&amp;"]")+1,200)),TRIM(A731)),FIND("(",IF(LEFT(TRIM(A731),1)="[",TRIM(MID(TRIM(A731),FIND("]",TRIM(A731)&amp;"]")+1,200)),TRIM(A731))&amp;"(")-1)),IF(LEFT(TRIM(A731),1)="[",TRIM(MID(TRIM(A731),FIND("]",TRIM(A731)&amp;"]")+1,200)),TRIM(A731))))&gt;0,IF(RIGHT(IF(LEFT(TRIM(A731),1)="[",TRIM(MID(TRIM(A731),FIND("]",TRIM(A731)&amp;"]")+1,200)),TRIM(A731)),1)=")",TRIM(LEFT(IF(LEFT(TRIM(A731),1)="[",TRIM(MID(TRIM(A731),FIND("]",TRIM(A731)&amp;"]")+1,200)),TRIM(A731)),FIND("(",IF(LEFT(TRIM(A731),1)="[",TRIM(MID(TRIM(A731),FIND("]",TRIM(A731)&amp;"]")+1,200)),TRIM(A731))&amp;"(")-1)),IF(LEFT(TRIM(A731),1)="[",TRIM(MID(TRIM(A731),FIND("]",TRIM(A731)&amp;"]")+1,200)),TRIM(A731))),""))</f>
      </c>
      <c r="C731" s="17">
        <f>IF(B731&lt;&gt;"",B731,C730)</f>
      </c>
      <c r="D731" s="17">
        <f>IF(A731="","",IF(OR(LEFT(UPPER(TRIM(A731)),2)="Y:",LEFT(UPPER(TRIM(A731)),10)="YESTERDAY:"),"Y",IF(OR(LEFT(UPPER(TRIM(A731)),2)="T:",LEFT(UPPER(TRIM(A731)),6)="TODAY:"),"T",IF(OR(LEFT(UPPER(TRIM(A731)),2)="B:",LEFT(UPPER(TRIM(A731)),8)="BLOCKER:",LEFT(UPPER(TRIM(A731)),9)="BLOCKERS:",LEFT(UPPER(TRIM(A731)),8)="BLOCKED:"),"B",""))))</f>
      </c>
      <c r="E731" s="17">
        <f>IF(D731="","",TRIM(MID(A731,FIND(":",A731)+1,500)))</f>
      </c>
    </row>
    <row r="732">
      <c r="B732" s="17">
        <f>IF(A732="","",IF(COUNTIF(Roster[Name],IF(RIGHT(IF(LEFT(TRIM(A732),1)="[",TRIM(MID(TRIM(A732),FIND("]",TRIM(A732)&amp;"]")+1,200)),TRIM(A732)),1)=")",TRIM(LEFT(IF(LEFT(TRIM(A732),1)="[",TRIM(MID(TRIM(A732),FIND("]",TRIM(A732)&amp;"]")+1,200)),TRIM(A732)),FIND("(",IF(LEFT(TRIM(A732),1)="[",TRIM(MID(TRIM(A732),FIND("]",TRIM(A732)&amp;"]")+1,200)),TRIM(A732))&amp;"(")-1)),IF(LEFT(TRIM(A732),1)="[",TRIM(MID(TRIM(A732),FIND("]",TRIM(A732)&amp;"]")+1,200)),TRIM(A732))))&gt;0,IF(RIGHT(IF(LEFT(TRIM(A732),1)="[",TRIM(MID(TRIM(A732),FIND("]",TRIM(A732)&amp;"]")+1,200)),TRIM(A732)),1)=")",TRIM(LEFT(IF(LEFT(TRIM(A732),1)="[",TRIM(MID(TRIM(A732),FIND("]",TRIM(A732)&amp;"]")+1,200)),TRIM(A732)),FIND("(",IF(LEFT(TRIM(A732),1)="[",TRIM(MID(TRIM(A732),FIND("]",TRIM(A732)&amp;"]")+1,200)),TRIM(A732))&amp;"(")-1)),IF(LEFT(TRIM(A732),1)="[",TRIM(MID(TRIM(A732),FIND("]",TRIM(A732)&amp;"]")+1,200)),TRIM(A732))),""))</f>
      </c>
      <c r="C732" s="17">
        <f>IF(B732&lt;&gt;"",B732,C731)</f>
      </c>
      <c r="D732" s="17">
        <f>IF(A732="","",IF(OR(LEFT(UPPER(TRIM(A732)),2)="Y:",LEFT(UPPER(TRIM(A732)),10)="YESTERDAY:"),"Y",IF(OR(LEFT(UPPER(TRIM(A732)),2)="T:",LEFT(UPPER(TRIM(A732)),6)="TODAY:"),"T",IF(OR(LEFT(UPPER(TRIM(A732)),2)="B:",LEFT(UPPER(TRIM(A732)),8)="BLOCKER:",LEFT(UPPER(TRIM(A732)),9)="BLOCKERS:",LEFT(UPPER(TRIM(A732)),8)="BLOCKED:"),"B",""))))</f>
      </c>
      <c r="E732" s="17">
        <f>IF(D732="","",TRIM(MID(A732,FIND(":",A732)+1,500)))</f>
      </c>
    </row>
    <row r="733">
      <c r="B733" s="17">
        <f>IF(A733="","",IF(COUNTIF(Roster[Name],IF(RIGHT(IF(LEFT(TRIM(A733),1)="[",TRIM(MID(TRIM(A733),FIND("]",TRIM(A733)&amp;"]")+1,200)),TRIM(A733)),1)=")",TRIM(LEFT(IF(LEFT(TRIM(A733),1)="[",TRIM(MID(TRIM(A733),FIND("]",TRIM(A733)&amp;"]")+1,200)),TRIM(A733)),FIND("(",IF(LEFT(TRIM(A733),1)="[",TRIM(MID(TRIM(A733),FIND("]",TRIM(A733)&amp;"]")+1,200)),TRIM(A733))&amp;"(")-1)),IF(LEFT(TRIM(A733),1)="[",TRIM(MID(TRIM(A733),FIND("]",TRIM(A733)&amp;"]")+1,200)),TRIM(A733))))&gt;0,IF(RIGHT(IF(LEFT(TRIM(A733),1)="[",TRIM(MID(TRIM(A733),FIND("]",TRIM(A733)&amp;"]")+1,200)),TRIM(A733)),1)=")",TRIM(LEFT(IF(LEFT(TRIM(A733),1)="[",TRIM(MID(TRIM(A733),FIND("]",TRIM(A733)&amp;"]")+1,200)),TRIM(A733)),FIND("(",IF(LEFT(TRIM(A733),1)="[",TRIM(MID(TRIM(A733),FIND("]",TRIM(A733)&amp;"]")+1,200)),TRIM(A733))&amp;"(")-1)),IF(LEFT(TRIM(A733),1)="[",TRIM(MID(TRIM(A733),FIND("]",TRIM(A733)&amp;"]")+1,200)),TRIM(A733))),""))</f>
      </c>
      <c r="C733" s="17">
        <f>IF(B733&lt;&gt;"",B733,C732)</f>
      </c>
      <c r="D733" s="17">
        <f>IF(A733="","",IF(OR(LEFT(UPPER(TRIM(A733)),2)="Y:",LEFT(UPPER(TRIM(A733)),10)="YESTERDAY:"),"Y",IF(OR(LEFT(UPPER(TRIM(A733)),2)="T:",LEFT(UPPER(TRIM(A733)),6)="TODAY:"),"T",IF(OR(LEFT(UPPER(TRIM(A733)),2)="B:",LEFT(UPPER(TRIM(A733)),8)="BLOCKER:",LEFT(UPPER(TRIM(A733)),9)="BLOCKERS:",LEFT(UPPER(TRIM(A733)),8)="BLOCKED:"),"B",""))))</f>
      </c>
      <c r="E733" s="17">
        <f>IF(D733="","",TRIM(MID(A733,FIND(":",A733)+1,500)))</f>
      </c>
    </row>
    <row r="734">
      <c r="B734" s="17">
        <f>IF(A734="","",IF(COUNTIF(Roster[Name],IF(RIGHT(IF(LEFT(TRIM(A734),1)="[",TRIM(MID(TRIM(A734),FIND("]",TRIM(A734)&amp;"]")+1,200)),TRIM(A734)),1)=")",TRIM(LEFT(IF(LEFT(TRIM(A734),1)="[",TRIM(MID(TRIM(A734),FIND("]",TRIM(A734)&amp;"]")+1,200)),TRIM(A734)),FIND("(",IF(LEFT(TRIM(A734),1)="[",TRIM(MID(TRIM(A734),FIND("]",TRIM(A734)&amp;"]")+1,200)),TRIM(A734))&amp;"(")-1)),IF(LEFT(TRIM(A734),1)="[",TRIM(MID(TRIM(A734),FIND("]",TRIM(A734)&amp;"]")+1,200)),TRIM(A734))))&gt;0,IF(RIGHT(IF(LEFT(TRIM(A734),1)="[",TRIM(MID(TRIM(A734),FIND("]",TRIM(A734)&amp;"]")+1,200)),TRIM(A734)),1)=")",TRIM(LEFT(IF(LEFT(TRIM(A734),1)="[",TRIM(MID(TRIM(A734),FIND("]",TRIM(A734)&amp;"]")+1,200)),TRIM(A734)),FIND("(",IF(LEFT(TRIM(A734),1)="[",TRIM(MID(TRIM(A734),FIND("]",TRIM(A734)&amp;"]")+1,200)),TRIM(A734))&amp;"(")-1)),IF(LEFT(TRIM(A734),1)="[",TRIM(MID(TRIM(A734),FIND("]",TRIM(A734)&amp;"]")+1,200)),TRIM(A734))),""))</f>
      </c>
      <c r="C734" s="17">
        <f>IF(B734&lt;&gt;"",B734,C733)</f>
      </c>
      <c r="D734" s="17">
        <f>IF(A734="","",IF(OR(LEFT(UPPER(TRIM(A734)),2)="Y:",LEFT(UPPER(TRIM(A734)),10)="YESTERDAY:"),"Y",IF(OR(LEFT(UPPER(TRIM(A734)),2)="T:",LEFT(UPPER(TRIM(A734)),6)="TODAY:"),"T",IF(OR(LEFT(UPPER(TRIM(A734)),2)="B:",LEFT(UPPER(TRIM(A734)),8)="BLOCKER:",LEFT(UPPER(TRIM(A734)),9)="BLOCKERS:",LEFT(UPPER(TRIM(A734)),8)="BLOCKED:"),"B",""))))</f>
      </c>
      <c r="E734" s="17">
        <f>IF(D734="","",TRIM(MID(A734,FIND(":",A734)+1,500)))</f>
      </c>
    </row>
    <row r="735">
      <c r="B735" s="17">
        <f>IF(A735="","",IF(COUNTIF(Roster[Name],IF(RIGHT(IF(LEFT(TRIM(A735),1)="[",TRIM(MID(TRIM(A735),FIND("]",TRIM(A735)&amp;"]")+1,200)),TRIM(A735)),1)=")",TRIM(LEFT(IF(LEFT(TRIM(A735),1)="[",TRIM(MID(TRIM(A735),FIND("]",TRIM(A735)&amp;"]")+1,200)),TRIM(A735)),FIND("(",IF(LEFT(TRIM(A735),1)="[",TRIM(MID(TRIM(A735),FIND("]",TRIM(A735)&amp;"]")+1,200)),TRIM(A735))&amp;"(")-1)),IF(LEFT(TRIM(A735),1)="[",TRIM(MID(TRIM(A735),FIND("]",TRIM(A735)&amp;"]")+1,200)),TRIM(A735))))&gt;0,IF(RIGHT(IF(LEFT(TRIM(A735),1)="[",TRIM(MID(TRIM(A735),FIND("]",TRIM(A735)&amp;"]")+1,200)),TRIM(A735)),1)=")",TRIM(LEFT(IF(LEFT(TRIM(A735),1)="[",TRIM(MID(TRIM(A735),FIND("]",TRIM(A735)&amp;"]")+1,200)),TRIM(A735)),FIND("(",IF(LEFT(TRIM(A735),1)="[",TRIM(MID(TRIM(A735),FIND("]",TRIM(A735)&amp;"]")+1,200)),TRIM(A735))&amp;"(")-1)),IF(LEFT(TRIM(A735),1)="[",TRIM(MID(TRIM(A735),FIND("]",TRIM(A735)&amp;"]")+1,200)),TRIM(A735))),""))</f>
      </c>
      <c r="C735" s="17">
        <f>IF(B735&lt;&gt;"",B735,C734)</f>
      </c>
      <c r="D735" s="17">
        <f>IF(A735="","",IF(OR(LEFT(UPPER(TRIM(A735)),2)="Y:",LEFT(UPPER(TRIM(A735)),10)="YESTERDAY:"),"Y",IF(OR(LEFT(UPPER(TRIM(A735)),2)="T:",LEFT(UPPER(TRIM(A735)),6)="TODAY:"),"T",IF(OR(LEFT(UPPER(TRIM(A735)),2)="B:",LEFT(UPPER(TRIM(A735)),8)="BLOCKER:",LEFT(UPPER(TRIM(A735)),9)="BLOCKERS:",LEFT(UPPER(TRIM(A735)),8)="BLOCKED:"),"B",""))))</f>
      </c>
      <c r="E735" s="17">
        <f>IF(D735="","",TRIM(MID(A735,FIND(":",A735)+1,500)))</f>
      </c>
    </row>
    <row r="736">
      <c r="B736" s="17">
        <f>IF(A736="","",IF(COUNTIF(Roster[Name],IF(RIGHT(IF(LEFT(TRIM(A736),1)="[",TRIM(MID(TRIM(A736),FIND("]",TRIM(A736)&amp;"]")+1,200)),TRIM(A736)),1)=")",TRIM(LEFT(IF(LEFT(TRIM(A736),1)="[",TRIM(MID(TRIM(A736),FIND("]",TRIM(A736)&amp;"]")+1,200)),TRIM(A736)),FIND("(",IF(LEFT(TRIM(A736),1)="[",TRIM(MID(TRIM(A736),FIND("]",TRIM(A736)&amp;"]")+1,200)),TRIM(A736))&amp;"(")-1)),IF(LEFT(TRIM(A736),1)="[",TRIM(MID(TRIM(A736),FIND("]",TRIM(A736)&amp;"]")+1,200)),TRIM(A736))))&gt;0,IF(RIGHT(IF(LEFT(TRIM(A736),1)="[",TRIM(MID(TRIM(A736),FIND("]",TRIM(A736)&amp;"]")+1,200)),TRIM(A736)),1)=")",TRIM(LEFT(IF(LEFT(TRIM(A736),1)="[",TRIM(MID(TRIM(A736),FIND("]",TRIM(A736)&amp;"]")+1,200)),TRIM(A736)),FIND("(",IF(LEFT(TRIM(A736),1)="[",TRIM(MID(TRIM(A736),FIND("]",TRIM(A736)&amp;"]")+1,200)),TRIM(A736))&amp;"(")-1)),IF(LEFT(TRIM(A736),1)="[",TRIM(MID(TRIM(A736),FIND("]",TRIM(A736)&amp;"]")+1,200)),TRIM(A736))),""))</f>
      </c>
      <c r="C736" s="17">
        <f>IF(B736&lt;&gt;"",B736,C735)</f>
      </c>
      <c r="D736" s="17">
        <f>IF(A736="","",IF(OR(LEFT(UPPER(TRIM(A736)),2)="Y:",LEFT(UPPER(TRIM(A736)),10)="YESTERDAY:"),"Y",IF(OR(LEFT(UPPER(TRIM(A736)),2)="T:",LEFT(UPPER(TRIM(A736)),6)="TODAY:"),"T",IF(OR(LEFT(UPPER(TRIM(A736)),2)="B:",LEFT(UPPER(TRIM(A736)),8)="BLOCKER:",LEFT(UPPER(TRIM(A736)),9)="BLOCKERS:",LEFT(UPPER(TRIM(A736)),8)="BLOCKED:"),"B",""))))</f>
      </c>
      <c r="E736" s="17">
        <f>IF(D736="","",TRIM(MID(A736,FIND(":",A736)+1,500)))</f>
      </c>
    </row>
    <row r="737">
      <c r="B737" s="17">
        <f>IF(A737="","",IF(COUNTIF(Roster[Name],IF(RIGHT(IF(LEFT(TRIM(A737),1)="[",TRIM(MID(TRIM(A737),FIND("]",TRIM(A737)&amp;"]")+1,200)),TRIM(A737)),1)=")",TRIM(LEFT(IF(LEFT(TRIM(A737),1)="[",TRIM(MID(TRIM(A737),FIND("]",TRIM(A737)&amp;"]")+1,200)),TRIM(A737)),FIND("(",IF(LEFT(TRIM(A737),1)="[",TRIM(MID(TRIM(A737),FIND("]",TRIM(A737)&amp;"]")+1,200)),TRIM(A737))&amp;"(")-1)),IF(LEFT(TRIM(A737),1)="[",TRIM(MID(TRIM(A737),FIND("]",TRIM(A737)&amp;"]")+1,200)),TRIM(A737))))&gt;0,IF(RIGHT(IF(LEFT(TRIM(A737),1)="[",TRIM(MID(TRIM(A737),FIND("]",TRIM(A737)&amp;"]")+1,200)),TRIM(A737)),1)=")",TRIM(LEFT(IF(LEFT(TRIM(A737),1)="[",TRIM(MID(TRIM(A737),FIND("]",TRIM(A737)&amp;"]")+1,200)),TRIM(A737)),FIND("(",IF(LEFT(TRIM(A737),1)="[",TRIM(MID(TRIM(A737),FIND("]",TRIM(A737)&amp;"]")+1,200)),TRIM(A737))&amp;"(")-1)),IF(LEFT(TRIM(A737),1)="[",TRIM(MID(TRIM(A737),FIND("]",TRIM(A737)&amp;"]")+1,200)),TRIM(A737))),""))</f>
      </c>
      <c r="C737" s="17">
        <f>IF(B737&lt;&gt;"",B737,C736)</f>
      </c>
      <c r="D737" s="17">
        <f>IF(A737="","",IF(OR(LEFT(UPPER(TRIM(A737)),2)="Y:",LEFT(UPPER(TRIM(A737)),10)="YESTERDAY:"),"Y",IF(OR(LEFT(UPPER(TRIM(A737)),2)="T:",LEFT(UPPER(TRIM(A737)),6)="TODAY:"),"T",IF(OR(LEFT(UPPER(TRIM(A737)),2)="B:",LEFT(UPPER(TRIM(A737)),8)="BLOCKER:",LEFT(UPPER(TRIM(A737)),9)="BLOCKERS:",LEFT(UPPER(TRIM(A737)),8)="BLOCKED:"),"B",""))))</f>
      </c>
      <c r="E737" s="17">
        <f>IF(D737="","",TRIM(MID(A737,FIND(":",A737)+1,500)))</f>
      </c>
    </row>
    <row r="738">
      <c r="B738" s="17">
        <f>IF(A738="","",IF(COUNTIF(Roster[Name],IF(RIGHT(IF(LEFT(TRIM(A738),1)="[",TRIM(MID(TRIM(A738),FIND("]",TRIM(A738)&amp;"]")+1,200)),TRIM(A738)),1)=")",TRIM(LEFT(IF(LEFT(TRIM(A738),1)="[",TRIM(MID(TRIM(A738),FIND("]",TRIM(A738)&amp;"]")+1,200)),TRIM(A738)),FIND("(",IF(LEFT(TRIM(A738),1)="[",TRIM(MID(TRIM(A738),FIND("]",TRIM(A738)&amp;"]")+1,200)),TRIM(A738))&amp;"(")-1)),IF(LEFT(TRIM(A738),1)="[",TRIM(MID(TRIM(A738),FIND("]",TRIM(A738)&amp;"]")+1,200)),TRIM(A738))))&gt;0,IF(RIGHT(IF(LEFT(TRIM(A738),1)="[",TRIM(MID(TRIM(A738),FIND("]",TRIM(A738)&amp;"]")+1,200)),TRIM(A738)),1)=")",TRIM(LEFT(IF(LEFT(TRIM(A738),1)="[",TRIM(MID(TRIM(A738),FIND("]",TRIM(A738)&amp;"]")+1,200)),TRIM(A738)),FIND("(",IF(LEFT(TRIM(A738),1)="[",TRIM(MID(TRIM(A738),FIND("]",TRIM(A738)&amp;"]")+1,200)),TRIM(A738))&amp;"(")-1)),IF(LEFT(TRIM(A738),1)="[",TRIM(MID(TRIM(A738),FIND("]",TRIM(A738)&amp;"]")+1,200)),TRIM(A738))),""))</f>
      </c>
      <c r="C738" s="17">
        <f>IF(B738&lt;&gt;"",B738,C737)</f>
      </c>
      <c r="D738" s="17">
        <f>IF(A738="","",IF(OR(LEFT(UPPER(TRIM(A738)),2)="Y:",LEFT(UPPER(TRIM(A738)),10)="YESTERDAY:"),"Y",IF(OR(LEFT(UPPER(TRIM(A738)),2)="T:",LEFT(UPPER(TRIM(A738)),6)="TODAY:"),"T",IF(OR(LEFT(UPPER(TRIM(A738)),2)="B:",LEFT(UPPER(TRIM(A738)),8)="BLOCKER:",LEFT(UPPER(TRIM(A738)),9)="BLOCKERS:",LEFT(UPPER(TRIM(A738)),8)="BLOCKED:"),"B",""))))</f>
      </c>
      <c r="E738" s="17">
        <f>IF(D738="","",TRIM(MID(A738,FIND(":",A738)+1,500)))</f>
      </c>
    </row>
    <row r="739">
      <c r="B739" s="17">
        <f>IF(A739="","",IF(COUNTIF(Roster[Name],IF(RIGHT(IF(LEFT(TRIM(A739),1)="[",TRIM(MID(TRIM(A739),FIND("]",TRIM(A739)&amp;"]")+1,200)),TRIM(A739)),1)=")",TRIM(LEFT(IF(LEFT(TRIM(A739),1)="[",TRIM(MID(TRIM(A739),FIND("]",TRIM(A739)&amp;"]")+1,200)),TRIM(A739)),FIND("(",IF(LEFT(TRIM(A739),1)="[",TRIM(MID(TRIM(A739),FIND("]",TRIM(A739)&amp;"]")+1,200)),TRIM(A739))&amp;"(")-1)),IF(LEFT(TRIM(A739),1)="[",TRIM(MID(TRIM(A739),FIND("]",TRIM(A739)&amp;"]")+1,200)),TRIM(A739))))&gt;0,IF(RIGHT(IF(LEFT(TRIM(A739),1)="[",TRIM(MID(TRIM(A739),FIND("]",TRIM(A739)&amp;"]")+1,200)),TRIM(A739)),1)=")",TRIM(LEFT(IF(LEFT(TRIM(A739),1)="[",TRIM(MID(TRIM(A739),FIND("]",TRIM(A739)&amp;"]")+1,200)),TRIM(A739)),FIND("(",IF(LEFT(TRIM(A739),1)="[",TRIM(MID(TRIM(A739),FIND("]",TRIM(A739)&amp;"]")+1,200)),TRIM(A739))&amp;"(")-1)),IF(LEFT(TRIM(A739),1)="[",TRIM(MID(TRIM(A739),FIND("]",TRIM(A739)&amp;"]")+1,200)),TRIM(A739))),""))</f>
      </c>
      <c r="C739" s="17">
        <f>IF(B739&lt;&gt;"",B739,C738)</f>
      </c>
      <c r="D739" s="17">
        <f>IF(A739="","",IF(OR(LEFT(UPPER(TRIM(A739)),2)="Y:",LEFT(UPPER(TRIM(A739)),10)="YESTERDAY:"),"Y",IF(OR(LEFT(UPPER(TRIM(A739)),2)="T:",LEFT(UPPER(TRIM(A739)),6)="TODAY:"),"T",IF(OR(LEFT(UPPER(TRIM(A739)),2)="B:",LEFT(UPPER(TRIM(A739)),8)="BLOCKER:",LEFT(UPPER(TRIM(A739)),9)="BLOCKERS:",LEFT(UPPER(TRIM(A739)),8)="BLOCKED:"),"B",""))))</f>
      </c>
      <c r="E739" s="17">
        <f>IF(D739="","",TRIM(MID(A739,FIND(":",A739)+1,500)))</f>
      </c>
    </row>
    <row r="740">
      <c r="B740" s="17">
        <f>IF(A740="","",IF(COUNTIF(Roster[Name],IF(RIGHT(IF(LEFT(TRIM(A740),1)="[",TRIM(MID(TRIM(A740),FIND("]",TRIM(A740)&amp;"]")+1,200)),TRIM(A740)),1)=")",TRIM(LEFT(IF(LEFT(TRIM(A740),1)="[",TRIM(MID(TRIM(A740),FIND("]",TRIM(A740)&amp;"]")+1,200)),TRIM(A740)),FIND("(",IF(LEFT(TRIM(A740),1)="[",TRIM(MID(TRIM(A740),FIND("]",TRIM(A740)&amp;"]")+1,200)),TRIM(A740))&amp;"(")-1)),IF(LEFT(TRIM(A740),1)="[",TRIM(MID(TRIM(A740),FIND("]",TRIM(A740)&amp;"]")+1,200)),TRIM(A740))))&gt;0,IF(RIGHT(IF(LEFT(TRIM(A740),1)="[",TRIM(MID(TRIM(A740),FIND("]",TRIM(A740)&amp;"]")+1,200)),TRIM(A740)),1)=")",TRIM(LEFT(IF(LEFT(TRIM(A740),1)="[",TRIM(MID(TRIM(A740),FIND("]",TRIM(A740)&amp;"]")+1,200)),TRIM(A740)),FIND("(",IF(LEFT(TRIM(A740),1)="[",TRIM(MID(TRIM(A740),FIND("]",TRIM(A740)&amp;"]")+1,200)),TRIM(A740))&amp;"(")-1)),IF(LEFT(TRIM(A740),1)="[",TRIM(MID(TRIM(A740),FIND("]",TRIM(A740)&amp;"]")+1,200)),TRIM(A740))),""))</f>
      </c>
      <c r="C740" s="17">
        <f>IF(B740&lt;&gt;"",B740,C739)</f>
      </c>
      <c r="D740" s="17">
        <f>IF(A740="","",IF(OR(LEFT(UPPER(TRIM(A740)),2)="Y:",LEFT(UPPER(TRIM(A740)),10)="YESTERDAY:"),"Y",IF(OR(LEFT(UPPER(TRIM(A740)),2)="T:",LEFT(UPPER(TRIM(A740)),6)="TODAY:"),"T",IF(OR(LEFT(UPPER(TRIM(A740)),2)="B:",LEFT(UPPER(TRIM(A740)),8)="BLOCKER:",LEFT(UPPER(TRIM(A740)),9)="BLOCKERS:",LEFT(UPPER(TRIM(A740)),8)="BLOCKED:"),"B",""))))</f>
      </c>
      <c r="E740" s="17">
        <f>IF(D740="","",TRIM(MID(A740,FIND(":",A740)+1,500)))</f>
      </c>
    </row>
    <row r="741">
      <c r="B741" s="17">
        <f>IF(A741="","",IF(COUNTIF(Roster[Name],IF(RIGHT(IF(LEFT(TRIM(A741),1)="[",TRIM(MID(TRIM(A741),FIND("]",TRIM(A741)&amp;"]")+1,200)),TRIM(A741)),1)=")",TRIM(LEFT(IF(LEFT(TRIM(A741),1)="[",TRIM(MID(TRIM(A741),FIND("]",TRIM(A741)&amp;"]")+1,200)),TRIM(A741)),FIND("(",IF(LEFT(TRIM(A741),1)="[",TRIM(MID(TRIM(A741),FIND("]",TRIM(A741)&amp;"]")+1,200)),TRIM(A741))&amp;"(")-1)),IF(LEFT(TRIM(A741),1)="[",TRIM(MID(TRIM(A741),FIND("]",TRIM(A741)&amp;"]")+1,200)),TRIM(A741))))&gt;0,IF(RIGHT(IF(LEFT(TRIM(A741),1)="[",TRIM(MID(TRIM(A741),FIND("]",TRIM(A741)&amp;"]")+1,200)),TRIM(A741)),1)=")",TRIM(LEFT(IF(LEFT(TRIM(A741),1)="[",TRIM(MID(TRIM(A741),FIND("]",TRIM(A741)&amp;"]")+1,200)),TRIM(A741)),FIND("(",IF(LEFT(TRIM(A741),1)="[",TRIM(MID(TRIM(A741),FIND("]",TRIM(A741)&amp;"]")+1,200)),TRIM(A741))&amp;"(")-1)),IF(LEFT(TRIM(A741),1)="[",TRIM(MID(TRIM(A741),FIND("]",TRIM(A741)&amp;"]")+1,200)),TRIM(A741))),""))</f>
      </c>
      <c r="C741" s="17">
        <f>IF(B741&lt;&gt;"",B741,C740)</f>
      </c>
      <c r="D741" s="17">
        <f>IF(A741="","",IF(OR(LEFT(UPPER(TRIM(A741)),2)="Y:",LEFT(UPPER(TRIM(A741)),10)="YESTERDAY:"),"Y",IF(OR(LEFT(UPPER(TRIM(A741)),2)="T:",LEFT(UPPER(TRIM(A741)),6)="TODAY:"),"T",IF(OR(LEFT(UPPER(TRIM(A741)),2)="B:",LEFT(UPPER(TRIM(A741)),8)="BLOCKER:",LEFT(UPPER(TRIM(A741)),9)="BLOCKERS:",LEFT(UPPER(TRIM(A741)),8)="BLOCKED:"),"B",""))))</f>
      </c>
      <c r="E741" s="17">
        <f>IF(D741="","",TRIM(MID(A741,FIND(":",A741)+1,500)))</f>
      </c>
    </row>
    <row r="742">
      <c r="B742" s="17">
        <f>IF(A742="","",IF(COUNTIF(Roster[Name],IF(RIGHT(IF(LEFT(TRIM(A742),1)="[",TRIM(MID(TRIM(A742),FIND("]",TRIM(A742)&amp;"]")+1,200)),TRIM(A742)),1)=")",TRIM(LEFT(IF(LEFT(TRIM(A742),1)="[",TRIM(MID(TRIM(A742),FIND("]",TRIM(A742)&amp;"]")+1,200)),TRIM(A742)),FIND("(",IF(LEFT(TRIM(A742),1)="[",TRIM(MID(TRIM(A742),FIND("]",TRIM(A742)&amp;"]")+1,200)),TRIM(A742))&amp;"(")-1)),IF(LEFT(TRIM(A742),1)="[",TRIM(MID(TRIM(A742),FIND("]",TRIM(A742)&amp;"]")+1,200)),TRIM(A742))))&gt;0,IF(RIGHT(IF(LEFT(TRIM(A742),1)="[",TRIM(MID(TRIM(A742),FIND("]",TRIM(A742)&amp;"]")+1,200)),TRIM(A742)),1)=")",TRIM(LEFT(IF(LEFT(TRIM(A742),1)="[",TRIM(MID(TRIM(A742),FIND("]",TRIM(A742)&amp;"]")+1,200)),TRIM(A742)),FIND("(",IF(LEFT(TRIM(A742),1)="[",TRIM(MID(TRIM(A742),FIND("]",TRIM(A742)&amp;"]")+1,200)),TRIM(A742))&amp;"(")-1)),IF(LEFT(TRIM(A742),1)="[",TRIM(MID(TRIM(A742),FIND("]",TRIM(A742)&amp;"]")+1,200)),TRIM(A742))),""))</f>
      </c>
      <c r="C742" s="17">
        <f>IF(B742&lt;&gt;"",B742,C741)</f>
      </c>
      <c r="D742" s="17">
        <f>IF(A742="","",IF(OR(LEFT(UPPER(TRIM(A742)),2)="Y:",LEFT(UPPER(TRIM(A742)),10)="YESTERDAY:"),"Y",IF(OR(LEFT(UPPER(TRIM(A742)),2)="T:",LEFT(UPPER(TRIM(A742)),6)="TODAY:"),"T",IF(OR(LEFT(UPPER(TRIM(A742)),2)="B:",LEFT(UPPER(TRIM(A742)),8)="BLOCKER:",LEFT(UPPER(TRIM(A742)),9)="BLOCKERS:",LEFT(UPPER(TRIM(A742)),8)="BLOCKED:"),"B",""))))</f>
      </c>
      <c r="E742" s="17">
        <f>IF(D742="","",TRIM(MID(A742,FIND(":",A742)+1,500)))</f>
      </c>
    </row>
    <row r="743">
      <c r="B743" s="17">
        <f>IF(A743="","",IF(COUNTIF(Roster[Name],IF(RIGHT(IF(LEFT(TRIM(A743),1)="[",TRIM(MID(TRIM(A743),FIND("]",TRIM(A743)&amp;"]")+1,200)),TRIM(A743)),1)=")",TRIM(LEFT(IF(LEFT(TRIM(A743),1)="[",TRIM(MID(TRIM(A743),FIND("]",TRIM(A743)&amp;"]")+1,200)),TRIM(A743)),FIND("(",IF(LEFT(TRIM(A743),1)="[",TRIM(MID(TRIM(A743),FIND("]",TRIM(A743)&amp;"]")+1,200)),TRIM(A743))&amp;"(")-1)),IF(LEFT(TRIM(A743),1)="[",TRIM(MID(TRIM(A743),FIND("]",TRIM(A743)&amp;"]")+1,200)),TRIM(A743))))&gt;0,IF(RIGHT(IF(LEFT(TRIM(A743),1)="[",TRIM(MID(TRIM(A743),FIND("]",TRIM(A743)&amp;"]")+1,200)),TRIM(A743)),1)=")",TRIM(LEFT(IF(LEFT(TRIM(A743),1)="[",TRIM(MID(TRIM(A743),FIND("]",TRIM(A743)&amp;"]")+1,200)),TRIM(A743)),FIND("(",IF(LEFT(TRIM(A743),1)="[",TRIM(MID(TRIM(A743),FIND("]",TRIM(A743)&amp;"]")+1,200)),TRIM(A743))&amp;"(")-1)),IF(LEFT(TRIM(A743),1)="[",TRIM(MID(TRIM(A743),FIND("]",TRIM(A743)&amp;"]")+1,200)),TRIM(A743))),""))</f>
      </c>
      <c r="C743" s="17">
        <f>IF(B743&lt;&gt;"",B743,C742)</f>
      </c>
      <c r="D743" s="17">
        <f>IF(A743="","",IF(OR(LEFT(UPPER(TRIM(A743)),2)="Y:",LEFT(UPPER(TRIM(A743)),10)="YESTERDAY:"),"Y",IF(OR(LEFT(UPPER(TRIM(A743)),2)="T:",LEFT(UPPER(TRIM(A743)),6)="TODAY:"),"T",IF(OR(LEFT(UPPER(TRIM(A743)),2)="B:",LEFT(UPPER(TRIM(A743)),8)="BLOCKER:",LEFT(UPPER(TRIM(A743)),9)="BLOCKERS:",LEFT(UPPER(TRIM(A743)),8)="BLOCKED:"),"B",""))))</f>
      </c>
      <c r="E743" s="17">
        <f>IF(D743="","",TRIM(MID(A743,FIND(":",A743)+1,500)))</f>
      </c>
    </row>
    <row r="744">
      <c r="B744" s="17">
        <f>IF(A744="","",IF(COUNTIF(Roster[Name],IF(RIGHT(IF(LEFT(TRIM(A744),1)="[",TRIM(MID(TRIM(A744),FIND("]",TRIM(A744)&amp;"]")+1,200)),TRIM(A744)),1)=")",TRIM(LEFT(IF(LEFT(TRIM(A744),1)="[",TRIM(MID(TRIM(A744),FIND("]",TRIM(A744)&amp;"]")+1,200)),TRIM(A744)),FIND("(",IF(LEFT(TRIM(A744),1)="[",TRIM(MID(TRIM(A744),FIND("]",TRIM(A744)&amp;"]")+1,200)),TRIM(A744))&amp;"(")-1)),IF(LEFT(TRIM(A744),1)="[",TRIM(MID(TRIM(A744),FIND("]",TRIM(A744)&amp;"]")+1,200)),TRIM(A744))))&gt;0,IF(RIGHT(IF(LEFT(TRIM(A744),1)="[",TRIM(MID(TRIM(A744),FIND("]",TRIM(A744)&amp;"]")+1,200)),TRIM(A744)),1)=")",TRIM(LEFT(IF(LEFT(TRIM(A744),1)="[",TRIM(MID(TRIM(A744),FIND("]",TRIM(A744)&amp;"]")+1,200)),TRIM(A744)),FIND("(",IF(LEFT(TRIM(A744),1)="[",TRIM(MID(TRIM(A744),FIND("]",TRIM(A744)&amp;"]")+1,200)),TRIM(A744))&amp;"(")-1)),IF(LEFT(TRIM(A744),1)="[",TRIM(MID(TRIM(A744),FIND("]",TRIM(A744)&amp;"]")+1,200)),TRIM(A744))),""))</f>
      </c>
      <c r="C744" s="17">
        <f>IF(B744&lt;&gt;"",B744,C743)</f>
      </c>
      <c r="D744" s="17">
        <f>IF(A744="","",IF(OR(LEFT(UPPER(TRIM(A744)),2)="Y:",LEFT(UPPER(TRIM(A744)),10)="YESTERDAY:"),"Y",IF(OR(LEFT(UPPER(TRIM(A744)),2)="T:",LEFT(UPPER(TRIM(A744)),6)="TODAY:"),"T",IF(OR(LEFT(UPPER(TRIM(A744)),2)="B:",LEFT(UPPER(TRIM(A744)),8)="BLOCKER:",LEFT(UPPER(TRIM(A744)),9)="BLOCKERS:",LEFT(UPPER(TRIM(A744)),8)="BLOCKED:"),"B",""))))</f>
      </c>
      <c r="E744" s="17">
        <f>IF(D744="","",TRIM(MID(A744,FIND(":",A744)+1,500)))</f>
      </c>
    </row>
    <row r="745">
      <c r="B745" s="17">
        <f>IF(A745="","",IF(COUNTIF(Roster[Name],IF(RIGHT(IF(LEFT(TRIM(A745),1)="[",TRIM(MID(TRIM(A745),FIND("]",TRIM(A745)&amp;"]")+1,200)),TRIM(A745)),1)=")",TRIM(LEFT(IF(LEFT(TRIM(A745),1)="[",TRIM(MID(TRIM(A745),FIND("]",TRIM(A745)&amp;"]")+1,200)),TRIM(A745)),FIND("(",IF(LEFT(TRIM(A745),1)="[",TRIM(MID(TRIM(A745),FIND("]",TRIM(A745)&amp;"]")+1,200)),TRIM(A745))&amp;"(")-1)),IF(LEFT(TRIM(A745),1)="[",TRIM(MID(TRIM(A745),FIND("]",TRIM(A745)&amp;"]")+1,200)),TRIM(A745))))&gt;0,IF(RIGHT(IF(LEFT(TRIM(A745),1)="[",TRIM(MID(TRIM(A745),FIND("]",TRIM(A745)&amp;"]")+1,200)),TRIM(A745)),1)=")",TRIM(LEFT(IF(LEFT(TRIM(A745),1)="[",TRIM(MID(TRIM(A745),FIND("]",TRIM(A745)&amp;"]")+1,200)),TRIM(A745)),FIND("(",IF(LEFT(TRIM(A745),1)="[",TRIM(MID(TRIM(A745),FIND("]",TRIM(A745)&amp;"]")+1,200)),TRIM(A745))&amp;"(")-1)),IF(LEFT(TRIM(A745),1)="[",TRIM(MID(TRIM(A745),FIND("]",TRIM(A745)&amp;"]")+1,200)),TRIM(A745))),""))</f>
      </c>
      <c r="C745" s="17">
        <f>IF(B745&lt;&gt;"",B745,C744)</f>
      </c>
      <c r="D745" s="17">
        <f>IF(A745="","",IF(OR(LEFT(UPPER(TRIM(A745)),2)="Y:",LEFT(UPPER(TRIM(A745)),10)="YESTERDAY:"),"Y",IF(OR(LEFT(UPPER(TRIM(A745)),2)="T:",LEFT(UPPER(TRIM(A745)),6)="TODAY:"),"T",IF(OR(LEFT(UPPER(TRIM(A745)),2)="B:",LEFT(UPPER(TRIM(A745)),8)="BLOCKER:",LEFT(UPPER(TRIM(A745)),9)="BLOCKERS:",LEFT(UPPER(TRIM(A745)),8)="BLOCKED:"),"B",""))))</f>
      </c>
      <c r="E745" s="17">
        <f>IF(D745="","",TRIM(MID(A745,FIND(":",A745)+1,500)))</f>
      </c>
    </row>
    <row r="746">
      <c r="B746" s="17">
        <f>IF(A746="","",IF(COUNTIF(Roster[Name],IF(RIGHT(IF(LEFT(TRIM(A746),1)="[",TRIM(MID(TRIM(A746),FIND("]",TRIM(A746)&amp;"]")+1,200)),TRIM(A746)),1)=")",TRIM(LEFT(IF(LEFT(TRIM(A746),1)="[",TRIM(MID(TRIM(A746),FIND("]",TRIM(A746)&amp;"]")+1,200)),TRIM(A746)),FIND("(",IF(LEFT(TRIM(A746),1)="[",TRIM(MID(TRIM(A746),FIND("]",TRIM(A746)&amp;"]")+1,200)),TRIM(A746))&amp;"(")-1)),IF(LEFT(TRIM(A746),1)="[",TRIM(MID(TRIM(A746),FIND("]",TRIM(A746)&amp;"]")+1,200)),TRIM(A746))))&gt;0,IF(RIGHT(IF(LEFT(TRIM(A746),1)="[",TRIM(MID(TRIM(A746),FIND("]",TRIM(A746)&amp;"]")+1,200)),TRIM(A746)),1)=")",TRIM(LEFT(IF(LEFT(TRIM(A746),1)="[",TRIM(MID(TRIM(A746),FIND("]",TRIM(A746)&amp;"]")+1,200)),TRIM(A746)),FIND("(",IF(LEFT(TRIM(A746),1)="[",TRIM(MID(TRIM(A746),FIND("]",TRIM(A746)&amp;"]")+1,200)),TRIM(A746))&amp;"(")-1)),IF(LEFT(TRIM(A746),1)="[",TRIM(MID(TRIM(A746),FIND("]",TRIM(A746)&amp;"]")+1,200)),TRIM(A746))),""))</f>
      </c>
      <c r="C746" s="17">
        <f>IF(B746&lt;&gt;"",B746,C745)</f>
      </c>
      <c r="D746" s="17">
        <f>IF(A746="","",IF(OR(LEFT(UPPER(TRIM(A746)),2)="Y:",LEFT(UPPER(TRIM(A746)),10)="YESTERDAY:"),"Y",IF(OR(LEFT(UPPER(TRIM(A746)),2)="T:",LEFT(UPPER(TRIM(A746)),6)="TODAY:"),"T",IF(OR(LEFT(UPPER(TRIM(A746)),2)="B:",LEFT(UPPER(TRIM(A746)),8)="BLOCKER:",LEFT(UPPER(TRIM(A746)),9)="BLOCKERS:",LEFT(UPPER(TRIM(A746)),8)="BLOCKED:"),"B",""))))</f>
      </c>
      <c r="E746" s="17">
        <f>IF(D746="","",TRIM(MID(A746,FIND(":",A746)+1,500)))</f>
      </c>
    </row>
    <row r="747">
      <c r="B747" s="17">
        <f>IF(A747="","",IF(COUNTIF(Roster[Name],IF(RIGHT(IF(LEFT(TRIM(A747),1)="[",TRIM(MID(TRIM(A747),FIND("]",TRIM(A747)&amp;"]")+1,200)),TRIM(A747)),1)=")",TRIM(LEFT(IF(LEFT(TRIM(A747),1)="[",TRIM(MID(TRIM(A747),FIND("]",TRIM(A747)&amp;"]")+1,200)),TRIM(A747)),FIND("(",IF(LEFT(TRIM(A747),1)="[",TRIM(MID(TRIM(A747),FIND("]",TRIM(A747)&amp;"]")+1,200)),TRIM(A747))&amp;"(")-1)),IF(LEFT(TRIM(A747),1)="[",TRIM(MID(TRIM(A747),FIND("]",TRIM(A747)&amp;"]")+1,200)),TRIM(A747))))&gt;0,IF(RIGHT(IF(LEFT(TRIM(A747),1)="[",TRIM(MID(TRIM(A747),FIND("]",TRIM(A747)&amp;"]")+1,200)),TRIM(A747)),1)=")",TRIM(LEFT(IF(LEFT(TRIM(A747),1)="[",TRIM(MID(TRIM(A747),FIND("]",TRIM(A747)&amp;"]")+1,200)),TRIM(A747)),FIND("(",IF(LEFT(TRIM(A747),1)="[",TRIM(MID(TRIM(A747),FIND("]",TRIM(A747)&amp;"]")+1,200)),TRIM(A747))&amp;"(")-1)),IF(LEFT(TRIM(A747),1)="[",TRIM(MID(TRIM(A747),FIND("]",TRIM(A747)&amp;"]")+1,200)),TRIM(A747))),""))</f>
      </c>
      <c r="C747" s="17">
        <f>IF(B747&lt;&gt;"",B747,C746)</f>
      </c>
      <c r="D747" s="17">
        <f>IF(A747="","",IF(OR(LEFT(UPPER(TRIM(A747)),2)="Y:",LEFT(UPPER(TRIM(A747)),10)="YESTERDAY:"),"Y",IF(OR(LEFT(UPPER(TRIM(A747)),2)="T:",LEFT(UPPER(TRIM(A747)),6)="TODAY:"),"T",IF(OR(LEFT(UPPER(TRIM(A747)),2)="B:",LEFT(UPPER(TRIM(A747)),8)="BLOCKER:",LEFT(UPPER(TRIM(A747)),9)="BLOCKERS:",LEFT(UPPER(TRIM(A747)),8)="BLOCKED:"),"B",""))))</f>
      </c>
      <c r="E747" s="17">
        <f>IF(D747="","",TRIM(MID(A747,FIND(":",A747)+1,500)))</f>
      </c>
    </row>
    <row r="748">
      <c r="B748" s="17">
        <f>IF(A748="","",IF(COUNTIF(Roster[Name],IF(RIGHT(IF(LEFT(TRIM(A748),1)="[",TRIM(MID(TRIM(A748),FIND("]",TRIM(A748)&amp;"]")+1,200)),TRIM(A748)),1)=")",TRIM(LEFT(IF(LEFT(TRIM(A748),1)="[",TRIM(MID(TRIM(A748),FIND("]",TRIM(A748)&amp;"]")+1,200)),TRIM(A748)),FIND("(",IF(LEFT(TRIM(A748),1)="[",TRIM(MID(TRIM(A748),FIND("]",TRIM(A748)&amp;"]")+1,200)),TRIM(A748))&amp;"(")-1)),IF(LEFT(TRIM(A748),1)="[",TRIM(MID(TRIM(A748),FIND("]",TRIM(A748)&amp;"]")+1,200)),TRIM(A748))))&gt;0,IF(RIGHT(IF(LEFT(TRIM(A748),1)="[",TRIM(MID(TRIM(A748),FIND("]",TRIM(A748)&amp;"]")+1,200)),TRIM(A748)),1)=")",TRIM(LEFT(IF(LEFT(TRIM(A748),1)="[",TRIM(MID(TRIM(A748),FIND("]",TRIM(A748)&amp;"]")+1,200)),TRIM(A748)),FIND("(",IF(LEFT(TRIM(A748),1)="[",TRIM(MID(TRIM(A748),FIND("]",TRIM(A748)&amp;"]")+1,200)),TRIM(A748))&amp;"(")-1)),IF(LEFT(TRIM(A748),1)="[",TRIM(MID(TRIM(A748),FIND("]",TRIM(A748)&amp;"]")+1,200)),TRIM(A748))),""))</f>
      </c>
      <c r="C748" s="17">
        <f>IF(B748&lt;&gt;"",B748,C747)</f>
      </c>
      <c r="D748" s="17">
        <f>IF(A748="","",IF(OR(LEFT(UPPER(TRIM(A748)),2)="Y:",LEFT(UPPER(TRIM(A748)),10)="YESTERDAY:"),"Y",IF(OR(LEFT(UPPER(TRIM(A748)),2)="T:",LEFT(UPPER(TRIM(A748)),6)="TODAY:"),"T",IF(OR(LEFT(UPPER(TRIM(A748)),2)="B:",LEFT(UPPER(TRIM(A748)),8)="BLOCKER:",LEFT(UPPER(TRIM(A748)),9)="BLOCKERS:",LEFT(UPPER(TRIM(A748)),8)="BLOCKED:"),"B",""))))</f>
      </c>
      <c r="E748" s="17">
        <f>IF(D748="","",TRIM(MID(A748,FIND(":",A748)+1,500)))</f>
      </c>
    </row>
    <row r="749">
      <c r="B749" s="17">
        <f>IF(A749="","",IF(COUNTIF(Roster[Name],IF(RIGHT(IF(LEFT(TRIM(A749),1)="[",TRIM(MID(TRIM(A749),FIND("]",TRIM(A749)&amp;"]")+1,200)),TRIM(A749)),1)=")",TRIM(LEFT(IF(LEFT(TRIM(A749),1)="[",TRIM(MID(TRIM(A749),FIND("]",TRIM(A749)&amp;"]")+1,200)),TRIM(A749)),FIND("(",IF(LEFT(TRIM(A749),1)="[",TRIM(MID(TRIM(A749),FIND("]",TRIM(A749)&amp;"]")+1,200)),TRIM(A749))&amp;"(")-1)),IF(LEFT(TRIM(A749),1)="[",TRIM(MID(TRIM(A749),FIND("]",TRIM(A749)&amp;"]")+1,200)),TRIM(A749))))&gt;0,IF(RIGHT(IF(LEFT(TRIM(A749),1)="[",TRIM(MID(TRIM(A749),FIND("]",TRIM(A749)&amp;"]")+1,200)),TRIM(A749)),1)=")",TRIM(LEFT(IF(LEFT(TRIM(A749),1)="[",TRIM(MID(TRIM(A749),FIND("]",TRIM(A749)&amp;"]")+1,200)),TRIM(A749)),FIND("(",IF(LEFT(TRIM(A749),1)="[",TRIM(MID(TRIM(A749),FIND("]",TRIM(A749)&amp;"]")+1,200)),TRIM(A749))&amp;"(")-1)),IF(LEFT(TRIM(A749),1)="[",TRIM(MID(TRIM(A749),FIND("]",TRIM(A749)&amp;"]")+1,200)),TRIM(A749))),""))</f>
      </c>
      <c r="C749" s="17">
        <f>IF(B749&lt;&gt;"",B749,C748)</f>
      </c>
      <c r="D749" s="17">
        <f>IF(A749="","",IF(OR(LEFT(UPPER(TRIM(A749)),2)="Y:",LEFT(UPPER(TRIM(A749)),10)="YESTERDAY:"),"Y",IF(OR(LEFT(UPPER(TRIM(A749)),2)="T:",LEFT(UPPER(TRIM(A749)),6)="TODAY:"),"T",IF(OR(LEFT(UPPER(TRIM(A749)),2)="B:",LEFT(UPPER(TRIM(A749)),8)="BLOCKER:",LEFT(UPPER(TRIM(A749)),9)="BLOCKERS:",LEFT(UPPER(TRIM(A749)),8)="BLOCKED:"),"B",""))))</f>
      </c>
      <c r="E749" s="17">
        <f>IF(D749="","",TRIM(MID(A749,FIND(":",A749)+1,500)))</f>
      </c>
    </row>
    <row r="750">
      <c r="B750" s="17">
        <f>IF(A750="","",IF(COUNTIF(Roster[Name],IF(RIGHT(IF(LEFT(TRIM(A750),1)="[",TRIM(MID(TRIM(A750),FIND("]",TRIM(A750)&amp;"]")+1,200)),TRIM(A750)),1)=")",TRIM(LEFT(IF(LEFT(TRIM(A750),1)="[",TRIM(MID(TRIM(A750),FIND("]",TRIM(A750)&amp;"]")+1,200)),TRIM(A750)),FIND("(",IF(LEFT(TRIM(A750),1)="[",TRIM(MID(TRIM(A750),FIND("]",TRIM(A750)&amp;"]")+1,200)),TRIM(A750))&amp;"(")-1)),IF(LEFT(TRIM(A750),1)="[",TRIM(MID(TRIM(A750),FIND("]",TRIM(A750)&amp;"]")+1,200)),TRIM(A750))))&gt;0,IF(RIGHT(IF(LEFT(TRIM(A750),1)="[",TRIM(MID(TRIM(A750),FIND("]",TRIM(A750)&amp;"]")+1,200)),TRIM(A750)),1)=")",TRIM(LEFT(IF(LEFT(TRIM(A750),1)="[",TRIM(MID(TRIM(A750),FIND("]",TRIM(A750)&amp;"]")+1,200)),TRIM(A750)),FIND("(",IF(LEFT(TRIM(A750),1)="[",TRIM(MID(TRIM(A750),FIND("]",TRIM(A750)&amp;"]")+1,200)),TRIM(A750))&amp;"(")-1)),IF(LEFT(TRIM(A750),1)="[",TRIM(MID(TRIM(A750),FIND("]",TRIM(A750)&amp;"]")+1,200)),TRIM(A750))),""))</f>
      </c>
      <c r="C750" s="17">
        <f>IF(B750&lt;&gt;"",B750,C749)</f>
      </c>
      <c r="D750" s="17">
        <f>IF(A750="","",IF(OR(LEFT(UPPER(TRIM(A750)),2)="Y:",LEFT(UPPER(TRIM(A750)),10)="YESTERDAY:"),"Y",IF(OR(LEFT(UPPER(TRIM(A750)),2)="T:",LEFT(UPPER(TRIM(A750)),6)="TODAY:"),"T",IF(OR(LEFT(UPPER(TRIM(A750)),2)="B:",LEFT(UPPER(TRIM(A750)),8)="BLOCKER:",LEFT(UPPER(TRIM(A750)),9)="BLOCKERS:",LEFT(UPPER(TRIM(A750)),8)="BLOCKED:"),"B",""))))</f>
      </c>
      <c r="E750" s="17">
        <f>IF(D750="","",TRIM(MID(A750,FIND(":",A750)+1,500)))</f>
      </c>
    </row>
    <row r="751">
      <c r="B751" s="17">
        <f>IF(A751="","",IF(COUNTIF(Roster[Name],IF(RIGHT(IF(LEFT(TRIM(A751),1)="[",TRIM(MID(TRIM(A751),FIND("]",TRIM(A751)&amp;"]")+1,200)),TRIM(A751)),1)=")",TRIM(LEFT(IF(LEFT(TRIM(A751),1)="[",TRIM(MID(TRIM(A751),FIND("]",TRIM(A751)&amp;"]")+1,200)),TRIM(A751)),FIND("(",IF(LEFT(TRIM(A751),1)="[",TRIM(MID(TRIM(A751),FIND("]",TRIM(A751)&amp;"]")+1,200)),TRIM(A751))&amp;"(")-1)),IF(LEFT(TRIM(A751),1)="[",TRIM(MID(TRIM(A751),FIND("]",TRIM(A751)&amp;"]")+1,200)),TRIM(A751))))&gt;0,IF(RIGHT(IF(LEFT(TRIM(A751),1)="[",TRIM(MID(TRIM(A751),FIND("]",TRIM(A751)&amp;"]")+1,200)),TRIM(A751)),1)=")",TRIM(LEFT(IF(LEFT(TRIM(A751),1)="[",TRIM(MID(TRIM(A751),FIND("]",TRIM(A751)&amp;"]")+1,200)),TRIM(A751)),FIND("(",IF(LEFT(TRIM(A751),1)="[",TRIM(MID(TRIM(A751),FIND("]",TRIM(A751)&amp;"]")+1,200)),TRIM(A751))&amp;"(")-1)),IF(LEFT(TRIM(A751),1)="[",TRIM(MID(TRIM(A751),FIND("]",TRIM(A751)&amp;"]")+1,200)),TRIM(A751))),""))</f>
      </c>
      <c r="C751" s="17">
        <f>IF(B751&lt;&gt;"",B751,C750)</f>
      </c>
      <c r="D751" s="17">
        <f>IF(A751="","",IF(OR(LEFT(UPPER(TRIM(A751)),2)="Y:",LEFT(UPPER(TRIM(A751)),10)="YESTERDAY:"),"Y",IF(OR(LEFT(UPPER(TRIM(A751)),2)="T:",LEFT(UPPER(TRIM(A751)),6)="TODAY:"),"T",IF(OR(LEFT(UPPER(TRIM(A751)),2)="B:",LEFT(UPPER(TRIM(A751)),8)="BLOCKER:",LEFT(UPPER(TRIM(A751)),9)="BLOCKERS:",LEFT(UPPER(TRIM(A751)),8)="BLOCKED:"),"B",""))))</f>
      </c>
      <c r="E751" s="17">
        <f>IF(D751="","",TRIM(MID(A751,FIND(":",A751)+1,500)))</f>
      </c>
    </row>
    <row r="752">
      <c r="B752" s="17">
        <f>IF(A752="","",IF(COUNTIF(Roster[Name],IF(RIGHT(IF(LEFT(TRIM(A752),1)="[",TRIM(MID(TRIM(A752),FIND("]",TRIM(A752)&amp;"]")+1,200)),TRIM(A752)),1)=")",TRIM(LEFT(IF(LEFT(TRIM(A752),1)="[",TRIM(MID(TRIM(A752),FIND("]",TRIM(A752)&amp;"]")+1,200)),TRIM(A752)),FIND("(",IF(LEFT(TRIM(A752),1)="[",TRIM(MID(TRIM(A752),FIND("]",TRIM(A752)&amp;"]")+1,200)),TRIM(A752))&amp;"(")-1)),IF(LEFT(TRIM(A752),1)="[",TRIM(MID(TRIM(A752),FIND("]",TRIM(A752)&amp;"]")+1,200)),TRIM(A752))))&gt;0,IF(RIGHT(IF(LEFT(TRIM(A752),1)="[",TRIM(MID(TRIM(A752),FIND("]",TRIM(A752)&amp;"]")+1,200)),TRIM(A752)),1)=")",TRIM(LEFT(IF(LEFT(TRIM(A752),1)="[",TRIM(MID(TRIM(A752),FIND("]",TRIM(A752)&amp;"]")+1,200)),TRIM(A752)),FIND("(",IF(LEFT(TRIM(A752),1)="[",TRIM(MID(TRIM(A752),FIND("]",TRIM(A752)&amp;"]")+1,200)),TRIM(A752))&amp;"(")-1)),IF(LEFT(TRIM(A752),1)="[",TRIM(MID(TRIM(A752),FIND("]",TRIM(A752)&amp;"]")+1,200)),TRIM(A752))),""))</f>
      </c>
      <c r="C752" s="17">
        <f>IF(B752&lt;&gt;"",B752,C751)</f>
      </c>
      <c r="D752" s="17">
        <f>IF(A752="","",IF(OR(LEFT(UPPER(TRIM(A752)),2)="Y:",LEFT(UPPER(TRIM(A752)),10)="YESTERDAY:"),"Y",IF(OR(LEFT(UPPER(TRIM(A752)),2)="T:",LEFT(UPPER(TRIM(A752)),6)="TODAY:"),"T",IF(OR(LEFT(UPPER(TRIM(A752)),2)="B:",LEFT(UPPER(TRIM(A752)),8)="BLOCKER:",LEFT(UPPER(TRIM(A752)),9)="BLOCKERS:",LEFT(UPPER(TRIM(A752)),8)="BLOCKED:"),"B",""))))</f>
      </c>
      <c r="E752" s="17">
        <f>IF(D752="","",TRIM(MID(A752,FIND(":",A752)+1,500)))</f>
      </c>
    </row>
    <row r="753">
      <c r="B753" s="17">
        <f>IF(A753="","",IF(COUNTIF(Roster[Name],IF(RIGHT(IF(LEFT(TRIM(A753),1)="[",TRIM(MID(TRIM(A753),FIND("]",TRIM(A753)&amp;"]")+1,200)),TRIM(A753)),1)=")",TRIM(LEFT(IF(LEFT(TRIM(A753),1)="[",TRIM(MID(TRIM(A753),FIND("]",TRIM(A753)&amp;"]")+1,200)),TRIM(A753)),FIND("(",IF(LEFT(TRIM(A753),1)="[",TRIM(MID(TRIM(A753),FIND("]",TRIM(A753)&amp;"]")+1,200)),TRIM(A753))&amp;"(")-1)),IF(LEFT(TRIM(A753),1)="[",TRIM(MID(TRIM(A753),FIND("]",TRIM(A753)&amp;"]")+1,200)),TRIM(A753))))&gt;0,IF(RIGHT(IF(LEFT(TRIM(A753),1)="[",TRIM(MID(TRIM(A753),FIND("]",TRIM(A753)&amp;"]")+1,200)),TRIM(A753)),1)=")",TRIM(LEFT(IF(LEFT(TRIM(A753),1)="[",TRIM(MID(TRIM(A753),FIND("]",TRIM(A753)&amp;"]")+1,200)),TRIM(A753)),FIND("(",IF(LEFT(TRIM(A753),1)="[",TRIM(MID(TRIM(A753),FIND("]",TRIM(A753)&amp;"]")+1,200)),TRIM(A753))&amp;"(")-1)),IF(LEFT(TRIM(A753),1)="[",TRIM(MID(TRIM(A753),FIND("]",TRIM(A753)&amp;"]")+1,200)),TRIM(A753))),""))</f>
      </c>
      <c r="C753" s="17">
        <f>IF(B753&lt;&gt;"",B753,C752)</f>
      </c>
      <c r="D753" s="17">
        <f>IF(A753="","",IF(OR(LEFT(UPPER(TRIM(A753)),2)="Y:",LEFT(UPPER(TRIM(A753)),10)="YESTERDAY:"),"Y",IF(OR(LEFT(UPPER(TRIM(A753)),2)="T:",LEFT(UPPER(TRIM(A753)),6)="TODAY:"),"T",IF(OR(LEFT(UPPER(TRIM(A753)),2)="B:",LEFT(UPPER(TRIM(A753)),8)="BLOCKER:",LEFT(UPPER(TRIM(A753)),9)="BLOCKERS:",LEFT(UPPER(TRIM(A753)),8)="BLOCKED:"),"B",""))))</f>
      </c>
      <c r="E753" s="17">
        <f>IF(D753="","",TRIM(MID(A753,FIND(":",A753)+1,500)))</f>
      </c>
    </row>
    <row r="754">
      <c r="B754" s="17">
        <f>IF(A754="","",IF(COUNTIF(Roster[Name],IF(RIGHT(IF(LEFT(TRIM(A754),1)="[",TRIM(MID(TRIM(A754),FIND("]",TRIM(A754)&amp;"]")+1,200)),TRIM(A754)),1)=")",TRIM(LEFT(IF(LEFT(TRIM(A754),1)="[",TRIM(MID(TRIM(A754),FIND("]",TRIM(A754)&amp;"]")+1,200)),TRIM(A754)),FIND("(",IF(LEFT(TRIM(A754),1)="[",TRIM(MID(TRIM(A754),FIND("]",TRIM(A754)&amp;"]")+1,200)),TRIM(A754))&amp;"(")-1)),IF(LEFT(TRIM(A754),1)="[",TRIM(MID(TRIM(A754),FIND("]",TRIM(A754)&amp;"]")+1,200)),TRIM(A754))))&gt;0,IF(RIGHT(IF(LEFT(TRIM(A754),1)="[",TRIM(MID(TRIM(A754),FIND("]",TRIM(A754)&amp;"]")+1,200)),TRIM(A754)),1)=")",TRIM(LEFT(IF(LEFT(TRIM(A754),1)="[",TRIM(MID(TRIM(A754),FIND("]",TRIM(A754)&amp;"]")+1,200)),TRIM(A754)),FIND("(",IF(LEFT(TRIM(A754),1)="[",TRIM(MID(TRIM(A754),FIND("]",TRIM(A754)&amp;"]")+1,200)),TRIM(A754))&amp;"(")-1)),IF(LEFT(TRIM(A754),1)="[",TRIM(MID(TRIM(A754),FIND("]",TRIM(A754)&amp;"]")+1,200)),TRIM(A754))),""))</f>
      </c>
      <c r="C754" s="17">
        <f>IF(B754&lt;&gt;"",B754,C753)</f>
      </c>
      <c r="D754" s="17">
        <f>IF(A754="","",IF(OR(LEFT(UPPER(TRIM(A754)),2)="Y:",LEFT(UPPER(TRIM(A754)),10)="YESTERDAY:"),"Y",IF(OR(LEFT(UPPER(TRIM(A754)),2)="T:",LEFT(UPPER(TRIM(A754)),6)="TODAY:"),"T",IF(OR(LEFT(UPPER(TRIM(A754)),2)="B:",LEFT(UPPER(TRIM(A754)),8)="BLOCKER:",LEFT(UPPER(TRIM(A754)),9)="BLOCKERS:",LEFT(UPPER(TRIM(A754)),8)="BLOCKED:"),"B",""))))</f>
      </c>
      <c r="E754" s="17">
        <f>IF(D754="","",TRIM(MID(A754,FIND(":",A754)+1,500)))</f>
      </c>
    </row>
    <row r="755">
      <c r="B755" s="17">
        <f>IF(A755="","",IF(COUNTIF(Roster[Name],IF(RIGHT(IF(LEFT(TRIM(A755),1)="[",TRIM(MID(TRIM(A755),FIND("]",TRIM(A755)&amp;"]")+1,200)),TRIM(A755)),1)=")",TRIM(LEFT(IF(LEFT(TRIM(A755),1)="[",TRIM(MID(TRIM(A755),FIND("]",TRIM(A755)&amp;"]")+1,200)),TRIM(A755)),FIND("(",IF(LEFT(TRIM(A755),1)="[",TRIM(MID(TRIM(A755),FIND("]",TRIM(A755)&amp;"]")+1,200)),TRIM(A755))&amp;"(")-1)),IF(LEFT(TRIM(A755),1)="[",TRIM(MID(TRIM(A755),FIND("]",TRIM(A755)&amp;"]")+1,200)),TRIM(A755))))&gt;0,IF(RIGHT(IF(LEFT(TRIM(A755),1)="[",TRIM(MID(TRIM(A755),FIND("]",TRIM(A755)&amp;"]")+1,200)),TRIM(A755)),1)=")",TRIM(LEFT(IF(LEFT(TRIM(A755),1)="[",TRIM(MID(TRIM(A755),FIND("]",TRIM(A755)&amp;"]")+1,200)),TRIM(A755)),FIND("(",IF(LEFT(TRIM(A755),1)="[",TRIM(MID(TRIM(A755),FIND("]",TRIM(A755)&amp;"]")+1,200)),TRIM(A755))&amp;"(")-1)),IF(LEFT(TRIM(A755),1)="[",TRIM(MID(TRIM(A755),FIND("]",TRIM(A755)&amp;"]")+1,200)),TRIM(A755))),""))</f>
      </c>
      <c r="C755" s="17">
        <f>IF(B755&lt;&gt;"",B755,C754)</f>
      </c>
      <c r="D755" s="17">
        <f>IF(A755="","",IF(OR(LEFT(UPPER(TRIM(A755)),2)="Y:",LEFT(UPPER(TRIM(A755)),10)="YESTERDAY:"),"Y",IF(OR(LEFT(UPPER(TRIM(A755)),2)="T:",LEFT(UPPER(TRIM(A755)),6)="TODAY:"),"T",IF(OR(LEFT(UPPER(TRIM(A755)),2)="B:",LEFT(UPPER(TRIM(A755)),8)="BLOCKER:",LEFT(UPPER(TRIM(A755)),9)="BLOCKERS:",LEFT(UPPER(TRIM(A755)),8)="BLOCKED:"),"B",""))))</f>
      </c>
      <c r="E755" s="17">
        <f>IF(D755="","",TRIM(MID(A755,FIND(":",A755)+1,500)))</f>
      </c>
    </row>
    <row r="756">
      <c r="B756" s="17">
        <f>IF(A756="","",IF(COUNTIF(Roster[Name],IF(RIGHT(IF(LEFT(TRIM(A756),1)="[",TRIM(MID(TRIM(A756),FIND("]",TRIM(A756)&amp;"]")+1,200)),TRIM(A756)),1)=")",TRIM(LEFT(IF(LEFT(TRIM(A756),1)="[",TRIM(MID(TRIM(A756),FIND("]",TRIM(A756)&amp;"]")+1,200)),TRIM(A756)),FIND("(",IF(LEFT(TRIM(A756),1)="[",TRIM(MID(TRIM(A756),FIND("]",TRIM(A756)&amp;"]")+1,200)),TRIM(A756))&amp;"(")-1)),IF(LEFT(TRIM(A756),1)="[",TRIM(MID(TRIM(A756),FIND("]",TRIM(A756)&amp;"]")+1,200)),TRIM(A756))))&gt;0,IF(RIGHT(IF(LEFT(TRIM(A756),1)="[",TRIM(MID(TRIM(A756),FIND("]",TRIM(A756)&amp;"]")+1,200)),TRIM(A756)),1)=")",TRIM(LEFT(IF(LEFT(TRIM(A756),1)="[",TRIM(MID(TRIM(A756),FIND("]",TRIM(A756)&amp;"]")+1,200)),TRIM(A756)),FIND("(",IF(LEFT(TRIM(A756),1)="[",TRIM(MID(TRIM(A756),FIND("]",TRIM(A756)&amp;"]")+1,200)),TRIM(A756))&amp;"(")-1)),IF(LEFT(TRIM(A756),1)="[",TRIM(MID(TRIM(A756),FIND("]",TRIM(A756)&amp;"]")+1,200)),TRIM(A756))),""))</f>
      </c>
      <c r="C756" s="17">
        <f>IF(B756&lt;&gt;"",B756,C755)</f>
      </c>
      <c r="D756" s="17">
        <f>IF(A756="","",IF(OR(LEFT(UPPER(TRIM(A756)),2)="Y:",LEFT(UPPER(TRIM(A756)),10)="YESTERDAY:"),"Y",IF(OR(LEFT(UPPER(TRIM(A756)),2)="T:",LEFT(UPPER(TRIM(A756)),6)="TODAY:"),"T",IF(OR(LEFT(UPPER(TRIM(A756)),2)="B:",LEFT(UPPER(TRIM(A756)),8)="BLOCKER:",LEFT(UPPER(TRIM(A756)),9)="BLOCKERS:",LEFT(UPPER(TRIM(A756)),8)="BLOCKED:"),"B",""))))</f>
      </c>
      <c r="E756" s="17">
        <f>IF(D756="","",TRIM(MID(A756,FIND(":",A756)+1,500)))</f>
      </c>
    </row>
    <row r="757">
      <c r="B757" s="17">
        <f>IF(A757="","",IF(COUNTIF(Roster[Name],IF(RIGHT(IF(LEFT(TRIM(A757),1)="[",TRIM(MID(TRIM(A757),FIND("]",TRIM(A757)&amp;"]")+1,200)),TRIM(A757)),1)=")",TRIM(LEFT(IF(LEFT(TRIM(A757),1)="[",TRIM(MID(TRIM(A757),FIND("]",TRIM(A757)&amp;"]")+1,200)),TRIM(A757)),FIND("(",IF(LEFT(TRIM(A757),1)="[",TRIM(MID(TRIM(A757),FIND("]",TRIM(A757)&amp;"]")+1,200)),TRIM(A757))&amp;"(")-1)),IF(LEFT(TRIM(A757),1)="[",TRIM(MID(TRIM(A757),FIND("]",TRIM(A757)&amp;"]")+1,200)),TRIM(A757))))&gt;0,IF(RIGHT(IF(LEFT(TRIM(A757),1)="[",TRIM(MID(TRIM(A757),FIND("]",TRIM(A757)&amp;"]")+1,200)),TRIM(A757)),1)=")",TRIM(LEFT(IF(LEFT(TRIM(A757),1)="[",TRIM(MID(TRIM(A757),FIND("]",TRIM(A757)&amp;"]")+1,200)),TRIM(A757)),FIND("(",IF(LEFT(TRIM(A757),1)="[",TRIM(MID(TRIM(A757),FIND("]",TRIM(A757)&amp;"]")+1,200)),TRIM(A757))&amp;"(")-1)),IF(LEFT(TRIM(A757),1)="[",TRIM(MID(TRIM(A757),FIND("]",TRIM(A757)&amp;"]")+1,200)),TRIM(A757))),""))</f>
      </c>
      <c r="C757" s="17">
        <f>IF(B757&lt;&gt;"",B757,C756)</f>
      </c>
      <c r="D757" s="17">
        <f>IF(A757="","",IF(OR(LEFT(UPPER(TRIM(A757)),2)="Y:",LEFT(UPPER(TRIM(A757)),10)="YESTERDAY:"),"Y",IF(OR(LEFT(UPPER(TRIM(A757)),2)="T:",LEFT(UPPER(TRIM(A757)),6)="TODAY:"),"T",IF(OR(LEFT(UPPER(TRIM(A757)),2)="B:",LEFT(UPPER(TRIM(A757)),8)="BLOCKER:",LEFT(UPPER(TRIM(A757)),9)="BLOCKERS:",LEFT(UPPER(TRIM(A757)),8)="BLOCKED:"),"B",""))))</f>
      </c>
      <c r="E757" s="17">
        <f>IF(D757="","",TRIM(MID(A757,FIND(":",A757)+1,500)))</f>
      </c>
    </row>
    <row r="758">
      <c r="B758" s="17">
        <f>IF(A758="","",IF(COUNTIF(Roster[Name],IF(RIGHT(IF(LEFT(TRIM(A758),1)="[",TRIM(MID(TRIM(A758),FIND("]",TRIM(A758)&amp;"]")+1,200)),TRIM(A758)),1)=")",TRIM(LEFT(IF(LEFT(TRIM(A758),1)="[",TRIM(MID(TRIM(A758),FIND("]",TRIM(A758)&amp;"]")+1,200)),TRIM(A758)),FIND("(",IF(LEFT(TRIM(A758),1)="[",TRIM(MID(TRIM(A758),FIND("]",TRIM(A758)&amp;"]")+1,200)),TRIM(A758))&amp;"(")-1)),IF(LEFT(TRIM(A758),1)="[",TRIM(MID(TRIM(A758),FIND("]",TRIM(A758)&amp;"]")+1,200)),TRIM(A758))))&gt;0,IF(RIGHT(IF(LEFT(TRIM(A758),1)="[",TRIM(MID(TRIM(A758),FIND("]",TRIM(A758)&amp;"]")+1,200)),TRIM(A758)),1)=")",TRIM(LEFT(IF(LEFT(TRIM(A758),1)="[",TRIM(MID(TRIM(A758),FIND("]",TRIM(A758)&amp;"]")+1,200)),TRIM(A758)),FIND("(",IF(LEFT(TRIM(A758),1)="[",TRIM(MID(TRIM(A758),FIND("]",TRIM(A758)&amp;"]")+1,200)),TRIM(A758))&amp;"(")-1)),IF(LEFT(TRIM(A758),1)="[",TRIM(MID(TRIM(A758),FIND("]",TRIM(A758)&amp;"]")+1,200)),TRIM(A758))),""))</f>
      </c>
      <c r="C758" s="17">
        <f>IF(B758&lt;&gt;"",B758,C757)</f>
      </c>
      <c r="D758" s="17">
        <f>IF(A758="","",IF(OR(LEFT(UPPER(TRIM(A758)),2)="Y:",LEFT(UPPER(TRIM(A758)),10)="YESTERDAY:"),"Y",IF(OR(LEFT(UPPER(TRIM(A758)),2)="T:",LEFT(UPPER(TRIM(A758)),6)="TODAY:"),"T",IF(OR(LEFT(UPPER(TRIM(A758)),2)="B:",LEFT(UPPER(TRIM(A758)),8)="BLOCKER:",LEFT(UPPER(TRIM(A758)),9)="BLOCKERS:",LEFT(UPPER(TRIM(A758)),8)="BLOCKED:"),"B",""))))</f>
      </c>
      <c r="E758" s="17">
        <f>IF(D758="","",TRIM(MID(A758,FIND(":",A758)+1,500)))</f>
      </c>
    </row>
    <row r="759">
      <c r="B759" s="17">
        <f>IF(A759="","",IF(COUNTIF(Roster[Name],IF(RIGHT(IF(LEFT(TRIM(A759),1)="[",TRIM(MID(TRIM(A759),FIND("]",TRIM(A759)&amp;"]")+1,200)),TRIM(A759)),1)=")",TRIM(LEFT(IF(LEFT(TRIM(A759),1)="[",TRIM(MID(TRIM(A759),FIND("]",TRIM(A759)&amp;"]")+1,200)),TRIM(A759)),FIND("(",IF(LEFT(TRIM(A759),1)="[",TRIM(MID(TRIM(A759),FIND("]",TRIM(A759)&amp;"]")+1,200)),TRIM(A759))&amp;"(")-1)),IF(LEFT(TRIM(A759),1)="[",TRIM(MID(TRIM(A759),FIND("]",TRIM(A759)&amp;"]")+1,200)),TRIM(A759))))&gt;0,IF(RIGHT(IF(LEFT(TRIM(A759),1)="[",TRIM(MID(TRIM(A759),FIND("]",TRIM(A759)&amp;"]")+1,200)),TRIM(A759)),1)=")",TRIM(LEFT(IF(LEFT(TRIM(A759),1)="[",TRIM(MID(TRIM(A759),FIND("]",TRIM(A759)&amp;"]")+1,200)),TRIM(A759)),FIND("(",IF(LEFT(TRIM(A759),1)="[",TRIM(MID(TRIM(A759),FIND("]",TRIM(A759)&amp;"]")+1,200)),TRIM(A759))&amp;"(")-1)),IF(LEFT(TRIM(A759),1)="[",TRIM(MID(TRIM(A759),FIND("]",TRIM(A759)&amp;"]")+1,200)),TRIM(A759))),""))</f>
      </c>
      <c r="C759" s="17">
        <f>IF(B759&lt;&gt;"",B759,C758)</f>
      </c>
      <c r="D759" s="17">
        <f>IF(A759="","",IF(OR(LEFT(UPPER(TRIM(A759)),2)="Y:",LEFT(UPPER(TRIM(A759)),10)="YESTERDAY:"),"Y",IF(OR(LEFT(UPPER(TRIM(A759)),2)="T:",LEFT(UPPER(TRIM(A759)),6)="TODAY:"),"T",IF(OR(LEFT(UPPER(TRIM(A759)),2)="B:",LEFT(UPPER(TRIM(A759)),8)="BLOCKER:",LEFT(UPPER(TRIM(A759)),9)="BLOCKERS:",LEFT(UPPER(TRIM(A759)),8)="BLOCKED:"),"B",""))))</f>
      </c>
      <c r="E759" s="17">
        <f>IF(D759="","",TRIM(MID(A759,FIND(":",A759)+1,500)))</f>
      </c>
    </row>
    <row r="760">
      <c r="B760" s="17">
        <f>IF(A760="","",IF(COUNTIF(Roster[Name],IF(RIGHT(IF(LEFT(TRIM(A760),1)="[",TRIM(MID(TRIM(A760),FIND("]",TRIM(A760)&amp;"]")+1,200)),TRIM(A760)),1)=")",TRIM(LEFT(IF(LEFT(TRIM(A760),1)="[",TRIM(MID(TRIM(A760),FIND("]",TRIM(A760)&amp;"]")+1,200)),TRIM(A760)),FIND("(",IF(LEFT(TRIM(A760),1)="[",TRIM(MID(TRIM(A760),FIND("]",TRIM(A760)&amp;"]")+1,200)),TRIM(A760))&amp;"(")-1)),IF(LEFT(TRIM(A760),1)="[",TRIM(MID(TRIM(A760),FIND("]",TRIM(A760)&amp;"]")+1,200)),TRIM(A760))))&gt;0,IF(RIGHT(IF(LEFT(TRIM(A760),1)="[",TRIM(MID(TRIM(A760),FIND("]",TRIM(A760)&amp;"]")+1,200)),TRIM(A760)),1)=")",TRIM(LEFT(IF(LEFT(TRIM(A760),1)="[",TRIM(MID(TRIM(A760),FIND("]",TRIM(A760)&amp;"]")+1,200)),TRIM(A760)),FIND("(",IF(LEFT(TRIM(A760),1)="[",TRIM(MID(TRIM(A760),FIND("]",TRIM(A760)&amp;"]")+1,200)),TRIM(A760))&amp;"(")-1)),IF(LEFT(TRIM(A760),1)="[",TRIM(MID(TRIM(A760),FIND("]",TRIM(A760)&amp;"]")+1,200)),TRIM(A760))),""))</f>
      </c>
      <c r="C760" s="17">
        <f>IF(B760&lt;&gt;"",B760,C759)</f>
      </c>
      <c r="D760" s="17">
        <f>IF(A760="","",IF(OR(LEFT(UPPER(TRIM(A760)),2)="Y:",LEFT(UPPER(TRIM(A760)),10)="YESTERDAY:"),"Y",IF(OR(LEFT(UPPER(TRIM(A760)),2)="T:",LEFT(UPPER(TRIM(A760)),6)="TODAY:"),"T",IF(OR(LEFT(UPPER(TRIM(A760)),2)="B:",LEFT(UPPER(TRIM(A760)),8)="BLOCKER:",LEFT(UPPER(TRIM(A760)),9)="BLOCKERS:",LEFT(UPPER(TRIM(A760)),8)="BLOCKED:"),"B",""))))</f>
      </c>
      <c r="E760" s="17">
        <f>IF(D760="","",TRIM(MID(A760,FIND(":",A760)+1,500)))</f>
      </c>
    </row>
    <row r="761">
      <c r="B761" s="17">
        <f>IF(A761="","",IF(COUNTIF(Roster[Name],IF(RIGHT(IF(LEFT(TRIM(A761),1)="[",TRIM(MID(TRIM(A761),FIND("]",TRIM(A761)&amp;"]")+1,200)),TRIM(A761)),1)=")",TRIM(LEFT(IF(LEFT(TRIM(A761),1)="[",TRIM(MID(TRIM(A761),FIND("]",TRIM(A761)&amp;"]")+1,200)),TRIM(A761)),FIND("(",IF(LEFT(TRIM(A761),1)="[",TRIM(MID(TRIM(A761),FIND("]",TRIM(A761)&amp;"]")+1,200)),TRIM(A761))&amp;"(")-1)),IF(LEFT(TRIM(A761),1)="[",TRIM(MID(TRIM(A761),FIND("]",TRIM(A761)&amp;"]")+1,200)),TRIM(A761))))&gt;0,IF(RIGHT(IF(LEFT(TRIM(A761),1)="[",TRIM(MID(TRIM(A761),FIND("]",TRIM(A761)&amp;"]")+1,200)),TRIM(A761)),1)=")",TRIM(LEFT(IF(LEFT(TRIM(A761),1)="[",TRIM(MID(TRIM(A761),FIND("]",TRIM(A761)&amp;"]")+1,200)),TRIM(A761)),FIND("(",IF(LEFT(TRIM(A761),1)="[",TRIM(MID(TRIM(A761),FIND("]",TRIM(A761)&amp;"]")+1,200)),TRIM(A761))&amp;"(")-1)),IF(LEFT(TRIM(A761),1)="[",TRIM(MID(TRIM(A761),FIND("]",TRIM(A761)&amp;"]")+1,200)),TRIM(A761))),""))</f>
      </c>
      <c r="C761" s="17">
        <f>IF(B761&lt;&gt;"",B761,C760)</f>
      </c>
      <c r="D761" s="17">
        <f>IF(A761="","",IF(OR(LEFT(UPPER(TRIM(A761)),2)="Y:",LEFT(UPPER(TRIM(A761)),10)="YESTERDAY:"),"Y",IF(OR(LEFT(UPPER(TRIM(A761)),2)="T:",LEFT(UPPER(TRIM(A761)),6)="TODAY:"),"T",IF(OR(LEFT(UPPER(TRIM(A761)),2)="B:",LEFT(UPPER(TRIM(A761)),8)="BLOCKER:",LEFT(UPPER(TRIM(A761)),9)="BLOCKERS:",LEFT(UPPER(TRIM(A761)),8)="BLOCKED:"),"B",""))))</f>
      </c>
      <c r="E761" s="17">
        <f>IF(D761="","",TRIM(MID(A761,FIND(":",A761)+1,500)))</f>
      </c>
    </row>
    <row r="762">
      <c r="B762" s="17">
        <f>IF(A762="","",IF(COUNTIF(Roster[Name],IF(RIGHT(IF(LEFT(TRIM(A762),1)="[",TRIM(MID(TRIM(A762),FIND("]",TRIM(A762)&amp;"]")+1,200)),TRIM(A762)),1)=")",TRIM(LEFT(IF(LEFT(TRIM(A762),1)="[",TRIM(MID(TRIM(A762),FIND("]",TRIM(A762)&amp;"]")+1,200)),TRIM(A762)),FIND("(",IF(LEFT(TRIM(A762),1)="[",TRIM(MID(TRIM(A762),FIND("]",TRIM(A762)&amp;"]")+1,200)),TRIM(A762))&amp;"(")-1)),IF(LEFT(TRIM(A762),1)="[",TRIM(MID(TRIM(A762),FIND("]",TRIM(A762)&amp;"]")+1,200)),TRIM(A762))))&gt;0,IF(RIGHT(IF(LEFT(TRIM(A762),1)="[",TRIM(MID(TRIM(A762),FIND("]",TRIM(A762)&amp;"]")+1,200)),TRIM(A762)),1)=")",TRIM(LEFT(IF(LEFT(TRIM(A762),1)="[",TRIM(MID(TRIM(A762),FIND("]",TRIM(A762)&amp;"]")+1,200)),TRIM(A762)),FIND("(",IF(LEFT(TRIM(A762),1)="[",TRIM(MID(TRIM(A762),FIND("]",TRIM(A762)&amp;"]")+1,200)),TRIM(A762))&amp;"(")-1)),IF(LEFT(TRIM(A762),1)="[",TRIM(MID(TRIM(A762),FIND("]",TRIM(A762)&amp;"]")+1,200)),TRIM(A762))),""))</f>
      </c>
      <c r="C762" s="17">
        <f>IF(B762&lt;&gt;"",B762,C761)</f>
      </c>
      <c r="D762" s="17">
        <f>IF(A762="","",IF(OR(LEFT(UPPER(TRIM(A762)),2)="Y:",LEFT(UPPER(TRIM(A762)),10)="YESTERDAY:"),"Y",IF(OR(LEFT(UPPER(TRIM(A762)),2)="T:",LEFT(UPPER(TRIM(A762)),6)="TODAY:"),"T",IF(OR(LEFT(UPPER(TRIM(A762)),2)="B:",LEFT(UPPER(TRIM(A762)),8)="BLOCKER:",LEFT(UPPER(TRIM(A762)),9)="BLOCKERS:",LEFT(UPPER(TRIM(A762)),8)="BLOCKED:"),"B",""))))</f>
      </c>
      <c r="E762" s="17">
        <f>IF(D762="","",TRIM(MID(A762,FIND(":",A762)+1,500)))</f>
      </c>
    </row>
    <row r="763">
      <c r="B763" s="17">
        <f>IF(A763="","",IF(COUNTIF(Roster[Name],IF(RIGHT(IF(LEFT(TRIM(A763),1)="[",TRIM(MID(TRIM(A763),FIND("]",TRIM(A763)&amp;"]")+1,200)),TRIM(A763)),1)=")",TRIM(LEFT(IF(LEFT(TRIM(A763),1)="[",TRIM(MID(TRIM(A763),FIND("]",TRIM(A763)&amp;"]")+1,200)),TRIM(A763)),FIND("(",IF(LEFT(TRIM(A763),1)="[",TRIM(MID(TRIM(A763),FIND("]",TRIM(A763)&amp;"]")+1,200)),TRIM(A763))&amp;"(")-1)),IF(LEFT(TRIM(A763),1)="[",TRIM(MID(TRIM(A763),FIND("]",TRIM(A763)&amp;"]")+1,200)),TRIM(A763))))&gt;0,IF(RIGHT(IF(LEFT(TRIM(A763),1)="[",TRIM(MID(TRIM(A763),FIND("]",TRIM(A763)&amp;"]")+1,200)),TRIM(A763)),1)=")",TRIM(LEFT(IF(LEFT(TRIM(A763),1)="[",TRIM(MID(TRIM(A763),FIND("]",TRIM(A763)&amp;"]")+1,200)),TRIM(A763)),FIND("(",IF(LEFT(TRIM(A763),1)="[",TRIM(MID(TRIM(A763),FIND("]",TRIM(A763)&amp;"]")+1,200)),TRIM(A763))&amp;"(")-1)),IF(LEFT(TRIM(A763),1)="[",TRIM(MID(TRIM(A763),FIND("]",TRIM(A763)&amp;"]")+1,200)),TRIM(A763))),""))</f>
      </c>
      <c r="C763" s="17">
        <f>IF(B763&lt;&gt;"",B763,C762)</f>
      </c>
      <c r="D763" s="17">
        <f>IF(A763="","",IF(OR(LEFT(UPPER(TRIM(A763)),2)="Y:",LEFT(UPPER(TRIM(A763)),10)="YESTERDAY:"),"Y",IF(OR(LEFT(UPPER(TRIM(A763)),2)="T:",LEFT(UPPER(TRIM(A763)),6)="TODAY:"),"T",IF(OR(LEFT(UPPER(TRIM(A763)),2)="B:",LEFT(UPPER(TRIM(A763)),8)="BLOCKER:",LEFT(UPPER(TRIM(A763)),9)="BLOCKERS:",LEFT(UPPER(TRIM(A763)),8)="BLOCKED:"),"B",""))))</f>
      </c>
      <c r="E763" s="17">
        <f>IF(D763="","",TRIM(MID(A763,FIND(":",A763)+1,500)))</f>
      </c>
    </row>
    <row r="764">
      <c r="B764" s="17">
        <f>IF(A764="","",IF(COUNTIF(Roster[Name],IF(RIGHT(IF(LEFT(TRIM(A764),1)="[",TRIM(MID(TRIM(A764),FIND("]",TRIM(A764)&amp;"]")+1,200)),TRIM(A764)),1)=")",TRIM(LEFT(IF(LEFT(TRIM(A764),1)="[",TRIM(MID(TRIM(A764),FIND("]",TRIM(A764)&amp;"]")+1,200)),TRIM(A764)),FIND("(",IF(LEFT(TRIM(A764),1)="[",TRIM(MID(TRIM(A764),FIND("]",TRIM(A764)&amp;"]")+1,200)),TRIM(A764))&amp;"(")-1)),IF(LEFT(TRIM(A764),1)="[",TRIM(MID(TRIM(A764),FIND("]",TRIM(A764)&amp;"]")+1,200)),TRIM(A764))))&gt;0,IF(RIGHT(IF(LEFT(TRIM(A764),1)="[",TRIM(MID(TRIM(A764),FIND("]",TRIM(A764)&amp;"]")+1,200)),TRIM(A764)),1)=")",TRIM(LEFT(IF(LEFT(TRIM(A764),1)="[",TRIM(MID(TRIM(A764),FIND("]",TRIM(A764)&amp;"]")+1,200)),TRIM(A764)),FIND("(",IF(LEFT(TRIM(A764),1)="[",TRIM(MID(TRIM(A764),FIND("]",TRIM(A764)&amp;"]")+1,200)),TRIM(A764))&amp;"(")-1)),IF(LEFT(TRIM(A764),1)="[",TRIM(MID(TRIM(A764),FIND("]",TRIM(A764)&amp;"]")+1,200)),TRIM(A764))),""))</f>
      </c>
      <c r="C764" s="17">
        <f>IF(B764&lt;&gt;"",B764,C763)</f>
      </c>
      <c r="D764" s="17">
        <f>IF(A764="","",IF(OR(LEFT(UPPER(TRIM(A764)),2)="Y:",LEFT(UPPER(TRIM(A764)),10)="YESTERDAY:"),"Y",IF(OR(LEFT(UPPER(TRIM(A764)),2)="T:",LEFT(UPPER(TRIM(A764)),6)="TODAY:"),"T",IF(OR(LEFT(UPPER(TRIM(A764)),2)="B:",LEFT(UPPER(TRIM(A764)),8)="BLOCKER:",LEFT(UPPER(TRIM(A764)),9)="BLOCKERS:",LEFT(UPPER(TRIM(A764)),8)="BLOCKED:"),"B",""))))</f>
      </c>
      <c r="E764" s="17">
        <f>IF(D764="","",TRIM(MID(A764,FIND(":",A764)+1,500)))</f>
      </c>
    </row>
    <row r="765">
      <c r="B765" s="17">
        <f>IF(A765="","",IF(COUNTIF(Roster[Name],IF(RIGHT(IF(LEFT(TRIM(A765),1)="[",TRIM(MID(TRIM(A765),FIND("]",TRIM(A765)&amp;"]")+1,200)),TRIM(A765)),1)=")",TRIM(LEFT(IF(LEFT(TRIM(A765),1)="[",TRIM(MID(TRIM(A765),FIND("]",TRIM(A765)&amp;"]")+1,200)),TRIM(A765)),FIND("(",IF(LEFT(TRIM(A765),1)="[",TRIM(MID(TRIM(A765),FIND("]",TRIM(A765)&amp;"]")+1,200)),TRIM(A765))&amp;"(")-1)),IF(LEFT(TRIM(A765),1)="[",TRIM(MID(TRIM(A765),FIND("]",TRIM(A765)&amp;"]")+1,200)),TRIM(A765))))&gt;0,IF(RIGHT(IF(LEFT(TRIM(A765),1)="[",TRIM(MID(TRIM(A765),FIND("]",TRIM(A765)&amp;"]")+1,200)),TRIM(A765)),1)=")",TRIM(LEFT(IF(LEFT(TRIM(A765),1)="[",TRIM(MID(TRIM(A765),FIND("]",TRIM(A765)&amp;"]")+1,200)),TRIM(A765)),FIND("(",IF(LEFT(TRIM(A765),1)="[",TRIM(MID(TRIM(A765),FIND("]",TRIM(A765)&amp;"]")+1,200)),TRIM(A765))&amp;"(")-1)),IF(LEFT(TRIM(A765),1)="[",TRIM(MID(TRIM(A765),FIND("]",TRIM(A765)&amp;"]")+1,200)),TRIM(A765))),""))</f>
      </c>
      <c r="C765" s="17">
        <f>IF(B765&lt;&gt;"",B765,C764)</f>
      </c>
      <c r="D765" s="17">
        <f>IF(A765="","",IF(OR(LEFT(UPPER(TRIM(A765)),2)="Y:",LEFT(UPPER(TRIM(A765)),10)="YESTERDAY:"),"Y",IF(OR(LEFT(UPPER(TRIM(A765)),2)="T:",LEFT(UPPER(TRIM(A765)),6)="TODAY:"),"T",IF(OR(LEFT(UPPER(TRIM(A765)),2)="B:",LEFT(UPPER(TRIM(A765)),8)="BLOCKER:",LEFT(UPPER(TRIM(A765)),9)="BLOCKERS:",LEFT(UPPER(TRIM(A765)),8)="BLOCKED:"),"B",""))))</f>
      </c>
      <c r="E765" s="17">
        <f>IF(D765="","",TRIM(MID(A765,FIND(":",A765)+1,500)))</f>
      </c>
    </row>
    <row r="766">
      <c r="B766" s="17">
        <f>IF(A766="","",IF(COUNTIF(Roster[Name],IF(RIGHT(IF(LEFT(TRIM(A766),1)="[",TRIM(MID(TRIM(A766),FIND("]",TRIM(A766)&amp;"]")+1,200)),TRIM(A766)),1)=")",TRIM(LEFT(IF(LEFT(TRIM(A766),1)="[",TRIM(MID(TRIM(A766),FIND("]",TRIM(A766)&amp;"]")+1,200)),TRIM(A766)),FIND("(",IF(LEFT(TRIM(A766),1)="[",TRIM(MID(TRIM(A766),FIND("]",TRIM(A766)&amp;"]")+1,200)),TRIM(A766))&amp;"(")-1)),IF(LEFT(TRIM(A766),1)="[",TRIM(MID(TRIM(A766),FIND("]",TRIM(A766)&amp;"]")+1,200)),TRIM(A766))))&gt;0,IF(RIGHT(IF(LEFT(TRIM(A766),1)="[",TRIM(MID(TRIM(A766),FIND("]",TRIM(A766)&amp;"]")+1,200)),TRIM(A766)),1)=")",TRIM(LEFT(IF(LEFT(TRIM(A766),1)="[",TRIM(MID(TRIM(A766),FIND("]",TRIM(A766)&amp;"]")+1,200)),TRIM(A766)),FIND("(",IF(LEFT(TRIM(A766),1)="[",TRIM(MID(TRIM(A766),FIND("]",TRIM(A766)&amp;"]")+1,200)),TRIM(A766))&amp;"(")-1)),IF(LEFT(TRIM(A766),1)="[",TRIM(MID(TRIM(A766),FIND("]",TRIM(A766)&amp;"]")+1,200)),TRIM(A766))),""))</f>
      </c>
      <c r="C766" s="17">
        <f>IF(B766&lt;&gt;"",B766,C765)</f>
      </c>
      <c r="D766" s="17">
        <f>IF(A766="","",IF(OR(LEFT(UPPER(TRIM(A766)),2)="Y:",LEFT(UPPER(TRIM(A766)),10)="YESTERDAY:"),"Y",IF(OR(LEFT(UPPER(TRIM(A766)),2)="T:",LEFT(UPPER(TRIM(A766)),6)="TODAY:"),"T",IF(OR(LEFT(UPPER(TRIM(A766)),2)="B:",LEFT(UPPER(TRIM(A766)),8)="BLOCKER:",LEFT(UPPER(TRIM(A766)),9)="BLOCKERS:",LEFT(UPPER(TRIM(A766)),8)="BLOCKED:"),"B",""))))</f>
      </c>
      <c r="E766" s="17">
        <f>IF(D766="","",TRIM(MID(A766,FIND(":",A766)+1,500)))</f>
      </c>
    </row>
    <row r="767">
      <c r="B767" s="17">
        <f>IF(A767="","",IF(COUNTIF(Roster[Name],IF(RIGHT(IF(LEFT(TRIM(A767),1)="[",TRIM(MID(TRIM(A767),FIND("]",TRIM(A767)&amp;"]")+1,200)),TRIM(A767)),1)=")",TRIM(LEFT(IF(LEFT(TRIM(A767),1)="[",TRIM(MID(TRIM(A767),FIND("]",TRIM(A767)&amp;"]")+1,200)),TRIM(A767)),FIND("(",IF(LEFT(TRIM(A767),1)="[",TRIM(MID(TRIM(A767),FIND("]",TRIM(A767)&amp;"]")+1,200)),TRIM(A767))&amp;"(")-1)),IF(LEFT(TRIM(A767),1)="[",TRIM(MID(TRIM(A767),FIND("]",TRIM(A767)&amp;"]")+1,200)),TRIM(A767))))&gt;0,IF(RIGHT(IF(LEFT(TRIM(A767),1)="[",TRIM(MID(TRIM(A767),FIND("]",TRIM(A767)&amp;"]")+1,200)),TRIM(A767)),1)=")",TRIM(LEFT(IF(LEFT(TRIM(A767),1)="[",TRIM(MID(TRIM(A767),FIND("]",TRIM(A767)&amp;"]")+1,200)),TRIM(A767)),FIND("(",IF(LEFT(TRIM(A767),1)="[",TRIM(MID(TRIM(A767),FIND("]",TRIM(A767)&amp;"]")+1,200)),TRIM(A767))&amp;"(")-1)),IF(LEFT(TRIM(A767),1)="[",TRIM(MID(TRIM(A767),FIND("]",TRIM(A767)&amp;"]")+1,200)),TRIM(A767))),""))</f>
      </c>
      <c r="C767" s="17">
        <f>IF(B767&lt;&gt;"",B767,C766)</f>
      </c>
      <c r="D767" s="17">
        <f>IF(A767="","",IF(OR(LEFT(UPPER(TRIM(A767)),2)="Y:",LEFT(UPPER(TRIM(A767)),10)="YESTERDAY:"),"Y",IF(OR(LEFT(UPPER(TRIM(A767)),2)="T:",LEFT(UPPER(TRIM(A767)),6)="TODAY:"),"T",IF(OR(LEFT(UPPER(TRIM(A767)),2)="B:",LEFT(UPPER(TRIM(A767)),8)="BLOCKER:",LEFT(UPPER(TRIM(A767)),9)="BLOCKERS:",LEFT(UPPER(TRIM(A767)),8)="BLOCKED:"),"B",""))))</f>
      </c>
      <c r="E767" s="17">
        <f>IF(D767="","",TRIM(MID(A767,FIND(":",A767)+1,500)))</f>
      </c>
    </row>
    <row r="768">
      <c r="B768" s="17">
        <f>IF(A768="","",IF(COUNTIF(Roster[Name],IF(RIGHT(IF(LEFT(TRIM(A768),1)="[",TRIM(MID(TRIM(A768),FIND("]",TRIM(A768)&amp;"]")+1,200)),TRIM(A768)),1)=")",TRIM(LEFT(IF(LEFT(TRIM(A768),1)="[",TRIM(MID(TRIM(A768),FIND("]",TRIM(A768)&amp;"]")+1,200)),TRIM(A768)),FIND("(",IF(LEFT(TRIM(A768),1)="[",TRIM(MID(TRIM(A768),FIND("]",TRIM(A768)&amp;"]")+1,200)),TRIM(A768))&amp;"(")-1)),IF(LEFT(TRIM(A768),1)="[",TRIM(MID(TRIM(A768),FIND("]",TRIM(A768)&amp;"]")+1,200)),TRIM(A768))))&gt;0,IF(RIGHT(IF(LEFT(TRIM(A768),1)="[",TRIM(MID(TRIM(A768),FIND("]",TRIM(A768)&amp;"]")+1,200)),TRIM(A768)),1)=")",TRIM(LEFT(IF(LEFT(TRIM(A768),1)="[",TRIM(MID(TRIM(A768),FIND("]",TRIM(A768)&amp;"]")+1,200)),TRIM(A768)),FIND("(",IF(LEFT(TRIM(A768),1)="[",TRIM(MID(TRIM(A768),FIND("]",TRIM(A768)&amp;"]")+1,200)),TRIM(A768))&amp;"(")-1)),IF(LEFT(TRIM(A768),1)="[",TRIM(MID(TRIM(A768),FIND("]",TRIM(A768)&amp;"]")+1,200)),TRIM(A768))),""))</f>
      </c>
      <c r="C768" s="17">
        <f>IF(B768&lt;&gt;"",B768,C767)</f>
      </c>
      <c r="D768" s="17">
        <f>IF(A768="","",IF(OR(LEFT(UPPER(TRIM(A768)),2)="Y:",LEFT(UPPER(TRIM(A768)),10)="YESTERDAY:"),"Y",IF(OR(LEFT(UPPER(TRIM(A768)),2)="T:",LEFT(UPPER(TRIM(A768)),6)="TODAY:"),"T",IF(OR(LEFT(UPPER(TRIM(A768)),2)="B:",LEFT(UPPER(TRIM(A768)),8)="BLOCKER:",LEFT(UPPER(TRIM(A768)),9)="BLOCKERS:",LEFT(UPPER(TRIM(A768)),8)="BLOCKED:"),"B",""))))</f>
      </c>
      <c r="E768" s="17">
        <f>IF(D768="","",TRIM(MID(A768,FIND(":",A768)+1,500)))</f>
      </c>
    </row>
    <row r="769">
      <c r="B769" s="17">
        <f>IF(A769="","",IF(COUNTIF(Roster[Name],IF(RIGHT(IF(LEFT(TRIM(A769),1)="[",TRIM(MID(TRIM(A769),FIND("]",TRIM(A769)&amp;"]")+1,200)),TRIM(A769)),1)=")",TRIM(LEFT(IF(LEFT(TRIM(A769),1)="[",TRIM(MID(TRIM(A769),FIND("]",TRIM(A769)&amp;"]")+1,200)),TRIM(A769)),FIND("(",IF(LEFT(TRIM(A769),1)="[",TRIM(MID(TRIM(A769),FIND("]",TRIM(A769)&amp;"]")+1,200)),TRIM(A769))&amp;"(")-1)),IF(LEFT(TRIM(A769),1)="[",TRIM(MID(TRIM(A769),FIND("]",TRIM(A769)&amp;"]")+1,200)),TRIM(A769))))&gt;0,IF(RIGHT(IF(LEFT(TRIM(A769),1)="[",TRIM(MID(TRIM(A769),FIND("]",TRIM(A769)&amp;"]")+1,200)),TRIM(A769)),1)=")",TRIM(LEFT(IF(LEFT(TRIM(A769),1)="[",TRIM(MID(TRIM(A769),FIND("]",TRIM(A769)&amp;"]")+1,200)),TRIM(A769)),FIND("(",IF(LEFT(TRIM(A769),1)="[",TRIM(MID(TRIM(A769),FIND("]",TRIM(A769)&amp;"]")+1,200)),TRIM(A769))&amp;"(")-1)),IF(LEFT(TRIM(A769),1)="[",TRIM(MID(TRIM(A769),FIND("]",TRIM(A769)&amp;"]")+1,200)),TRIM(A769))),""))</f>
      </c>
      <c r="C769" s="17">
        <f>IF(B769&lt;&gt;"",B769,C768)</f>
      </c>
      <c r="D769" s="17">
        <f>IF(A769="","",IF(OR(LEFT(UPPER(TRIM(A769)),2)="Y:",LEFT(UPPER(TRIM(A769)),10)="YESTERDAY:"),"Y",IF(OR(LEFT(UPPER(TRIM(A769)),2)="T:",LEFT(UPPER(TRIM(A769)),6)="TODAY:"),"T",IF(OR(LEFT(UPPER(TRIM(A769)),2)="B:",LEFT(UPPER(TRIM(A769)),8)="BLOCKER:",LEFT(UPPER(TRIM(A769)),9)="BLOCKERS:",LEFT(UPPER(TRIM(A769)),8)="BLOCKED:"),"B",""))))</f>
      </c>
      <c r="E769" s="17">
        <f>IF(D769="","",TRIM(MID(A769,FIND(":",A769)+1,500)))</f>
      </c>
    </row>
    <row r="770">
      <c r="B770" s="17">
        <f>IF(A770="","",IF(COUNTIF(Roster[Name],IF(RIGHT(IF(LEFT(TRIM(A770),1)="[",TRIM(MID(TRIM(A770),FIND("]",TRIM(A770)&amp;"]")+1,200)),TRIM(A770)),1)=")",TRIM(LEFT(IF(LEFT(TRIM(A770),1)="[",TRIM(MID(TRIM(A770),FIND("]",TRIM(A770)&amp;"]")+1,200)),TRIM(A770)),FIND("(",IF(LEFT(TRIM(A770),1)="[",TRIM(MID(TRIM(A770),FIND("]",TRIM(A770)&amp;"]")+1,200)),TRIM(A770))&amp;"(")-1)),IF(LEFT(TRIM(A770),1)="[",TRIM(MID(TRIM(A770),FIND("]",TRIM(A770)&amp;"]")+1,200)),TRIM(A770))))&gt;0,IF(RIGHT(IF(LEFT(TRIM(A770),1)="[",TRIM(MID(TRIM(A770),FIND("]",TRIM(A770)&amp;"]")+1,200)),TRIM(A770)),1)=")",TRIM(LEFT(IF(LEFT(TRIM(A770),1)="[",TRIM(MID(TRIM(A770),FIND("]",TRIM(A770)&amp;"]")+1,200)),TRIM(A770)),FIND("(",IF(LEFT(TRIM(A770),1)="[",TRIM(MID(TRIM(A770),FIND("]",TRIM(A770)&amp;"]")+1,200)),TRIM(A770))&amp;"(")-1)),IF(LEFT(TRIM(A770),1)="[",TRIM(MID(TRIM(A770),FIND("]",TRIM(A770)&amp;"]")+1,200)),TRIM(A770))),""))</f>
      </c>
      <c r="C770" s="17">
        <f>IF(B770&lt;&gt;"",B770,C769)</f>
      </c>
      <c r="D770" s="17">
        <f>IF(A770="","",IF(OR(LEFT(UPPER(TRIM(A770)),2)="Y:",LEFT(UPPER(TRIM(A770)),10)="YESTERDAY:"),"Y",IF(OR(LEFT(UPPER(TRIM(A770)),2)="T:",LEFT(UPPER(TRIM(A770)),6)="TODAY:"),"T",IF(OR(LEFT(UPPER(TRIM(A770)),2)="B:",LEFT(UPPER(TRIM(A770)),8)="BLOCKER:",LEFT(UPPER(TRIM(A770)),9)="BLOCKERS:",LEFT(UPPER(TRIM(A770)),8)="BLOCKED:"),"B",""))))</f>
      </c>
      <c r="E770" s="17">
        <f>IF(D770="","",TRIM(MID(A770,FIND(":",A770)+1,500)))</f>
      </c>
    </row>
    <row r="771">
      <c r="B771" s="17">
        <f>IF(A771="","",IF(COUNTIF(Roster[Name],IF(RIGHT(IF(LEFT(TRIM(A771),1)="[",TRIM(MID(TRIM(A771),FIND("]",TRIM(A771)&amp;"]")+1,200)),TRIM(A771)),1)=")",TRIM(LEFT(IF(LEFT(TRIM(A771),1)="[",TRIM(MID(TRIM(A771),FIND("]",TRIM(A771)&amp;"]")+1,200)),TRIM(A771)),FIND("(",IF(LEFT(TRIM(A771),1)="[",TRIM(MID(TRIM(A771),FIND("]",TRIM(A771)&amp;"]")+1,200)),TRIM(A771))&amp;"(")-1)),IF(LEFT(TRIM(A771),1)="[",TRIM(MID(TRIM(A771),FIND("]",TRIM(A771)&amp;"]")+1,200)),TRIM(A771))))&gt;0,IF(RIGHT(IF(LEFT(TRIM(A771),1)="[",TRIM(MID(TRIM(A771),FIND("]",TRIM(A771)&amp;"]")+1,200)),TRIM(A771)),1)=")",TRIM(LEFT(IF(LEFT(TRIM(A771),1)="[",TRIM(MID(TRIM(A771),FIND("]",TRIM(A771)&amp;"]")+1,200)),TRIM(A771)),FIND("(",IF(LEFT(TRIM(A771),1)="[",TRIM(MID(TRIM(A771),FIND("]",TRIM(A771)&amp;"]")+1,200)),TRIM(A771))&amp;"(")-1)),IF(LEFT(TRIM(A771),1)="[",TRIM(MID(TRIM(A771),FIND("]",TRIM(A771)&amp;"]")+1,200)),TRIM(A771))),""))</f>
      </c>
      <c r="C771" s="17">
        <f>IF(B771&lt;&gt;"",B771,C770)</f>
      </c>
      <c r="D771" s="17">
        <f>IF(A771="","",IF(OR(LEFT(UPPER(TRIM(A771)),2)="Y:",LEFT(UPPER(TRIM(A771)),10)="YESTERDAY:"),"Y",IF(OR(LEFT(UPPER(TRIM(A771)),2)="T:",LEFT(UPPER(TRIM(A771)),6)="TODAY:"),"T",IF(OR(LEFT(UPPER(TRIM(A771)),2)="B:",LEFT(UPPER(TRIM(A771)),8)="BLOCKER:",LEFT(UPPER(TRIM(A771)),9)="BLOCKERS:",LEFT(UPPER(TRIM(A771)),8)="BLOCKED:"),"B",""))))</f>
      </c>
      <c r="E771" s="17">
        <f>IF(D771="","",TRIM(MID(A771,FIND(":",A771)+1,500)))</f>
      </c>
    </row>
    <row r="772">
      <c r="B772" s="17">
        <f>IF(A772="","",IF(COUNTIF(Roster[Name],IF(RIGHT(IF(LEFT(TRIM(A772),1)="[",TRIM(MID(TRIM(A772),FIND("]",TRIM(A772)&amp;"]")+1,200)),TRIM(A772)),1)=")",TRIM(LEFT(IF(LEFT(TRIM(A772),1)="[",TRIM(MID(TRIM(A772),FIND("]",TRIM(A772)&amp;"]")+1,200)),TRIM(A772)),FIND("(",IF(LEFT(TRIM(A772),1)="[",TRIM(MID(TRIM(A772),FIND("]",TRIM(A772)&amp;"]")+1,200)),TRIM(A772))&amp;"(")-1)),IF(LEFT(TRIM(A772),1)="[",TRIM(MID(TRIM(A772),FIND("]",TRIM(A772)&amp;"]")+1,200)),TRIM(A772))))&gt;0,IF(RIGHT(IF(LEFT(TRIM(A772),1)="[",TRIM(MID(TRIM(A772),FIND("]",TRIM(A772)&amp;"]")+1,200)),TRIM(A772)),1)=")",TRIM(LEFT(IF(LEFT(TRIM(A772),1)="[",TRIM(MID(TRIM(A772),FIND("]",TRIM(A772)&amp;"]")+1,200)),TRIM(A772)),FIND("(",IF(LEFT(TRIM(A772),1)="[",TRIM(MID(TRIM(A772),FIND("]",TRIM(A772)&amp;"]")+1,200)),TRIM(A772))&amp;"(")-1)),IF(LEFT(TRIM(A772),1)="[",TRIM(MID(TRIM(A772),FIND("]",TRIM(A772)&amp;"]")+1,200)),TRIM(A772))),""))</f>
      </c>
      <c r="C772" s="17">
        <f>IF(B772&lt;&gt;"",B772,C771)</f>
      </c>
      <c r="D772" s="17">
        <f>IF(A772="","",IF(OR(LEFT(UPPER(TRIM(A772)),2)="Y:",LEFT(UPPER(TRIM(A772)),10)="YESTERDAY:"),"Y",IF(OR(LEFT(UPPER(TRIM(A772)),2)="T:",LEFT(UPPER(TRIM(A772)),6)="TODAY:"),"T",IF(OR(LEFT(UPPER(TRIM(A772)),2)="B:",LEFT(UPPER(TRIM(A772)),8)="BLOCKER:",LEFT(UPPER(TRIM(A772)),9)="BLOCKERS:",LEFT(UPPER(TRIM(A772)),8)="BLOCKED:"),"B",""))))</f>
      </c>
      <c r="E772" s="17">
        <f>IF(D772="","",TRIM(MID(A772,FIND(":",A772)+1,500)))</f>
      </c>
    </row>
    <row r="773">
      <c r="B773" s="17">
        <f>IF(A773="","",IF(COUNTIF(Roster[Name],IF(RIGHT(IF(LEFT(TRIM(A773),1)="[",TRIM(MID(TRIM(A773),FIND("]",TRIM(A773)&amp;"]")+1,200)),TRIM(A773)),1)=")",TRIM(LEFT(IF(LEFT(TRIM(A773),1)="[",TRIM(MID(TRIM(A773),FIND("]",TRIM(A773)&amp;"]")+1,200)),TRIM(A773)),FIND("(",IF(LEFT(TRIM(A773),1)="[",TRIM(MID(TRIM(A773),FIND("]",TRIM(A773)&amp;"]")+1,200)),TRIM(A773))&amp;"(")-1)),IF(LEFT(TRIM(A773),1)="[",TRIM(MID(TRIM(A773),FIND("]",TRIM(A773)&amp;"]")+1,200)),TRIM(A773))))&gt;0,IF(RIGHT(IF(LEFT(TRIM(A773),1)="[",TRIM(MID(TRIM(A773),FIND("]",TRIM(A773)&amp;"]")+1,200)),TRIM(A773)),1)=")",TRIM(LEFT(IF(LEFT(TRIM(A773),1)="[",TRIM(MID(TRIM(A773),FIND("]",TRIM(A773)&amp;"]")+1,200)),TRIM(A773)),FIND("(",IF(LEFT(TRIM(A773),1)="[",TRIM(MID(TRIM(A773),FIND("]",TRIM(A773)&amp;"]")+1,200)),TRIM(A773))&amp;"(")-1)),IF(LEFT(TRIM(A773),1)="[",TRIM(MID(TRIM(A773),FIND("]",TRIM(A773)&amp;"]")+1,200)),TRIM(A773))),""))</f>
      </c>
      <c r="C773" s="17">
        <f>IF(B773&lt;&gt;"",B773,C772)</f>
      </c>
      <c r="D773" s="17">
        <f>IF(A773="","",IF(OR(LEFT(UPPER(TRIM(A773)),2)="Y:",LEFT(UPPER(TRIM(A773)),10)="YESTERDAY:"),"Y",IF(OR(LEFT(UPPER(TRIM(A773)),2)="T:",LEFT(UPPER(TRIM(A773)),6)="TODAY:"),"T",IF(OR(LEFT(UPPER(TRIM(A773)),2)="B:",LEFT(UPPER(TRIM(A773)),8)="BLOCKER:",LEFT(UPPER(TRIM(A773)),9)="BLOCKERS:",LEFT(UPPER(TRIM(A773)),8)="BLOCKED:"),"B",""))))</f>
      </c>
      <c r="E773" s="17">
        <f>IF(D773="","",TRIM(MID(A773,FIND(":",A773)+1,500)))</f>
      </c>
    </row>
    <row r="774">
      <c r="B774" s="17">
        <f>IF(A774="","",IF(COUNTIF(Roster[Name],IF(RIGHT(IF(LEFT(TRIM(A774),1)="[",TRIM(MID(TRIM(A774),FIND("]",TRIM(A774)&amp;"]")+1,200)),TRIM(A774)),1)=")",TRIM(LEFT(IF(LEFT(TRIM(A774),1)="[",TRIM(MID(TRIM(A774),FIND("]",TRIM(A774)&amp;"]")+1,200)),TRIM(A774)),FIND("(",IF(LEFT(TRIM(A774),1)="[",TRIM(MID(TRIM(A774),FIND("]",TRIM(A774)&amp;"]")+1,200)),TRIM(A774))&amp;"(")-1)),IF(LEFT(TRIM(A774),1)="[",TRIM(MID(TRIM(A774),FIND("]",TRIM(A774)&amp;"]")+1,200)),TRIM(A774))))&gt;0,IF(RIGHT(IF(LEFT(TRIM(A774),1)="[",TRIM(MID(TRIM(A774),FIND("]",TRIM(A774)&amp;"]")+1,200)),TRIM(A774)),1)=")",TRIM(LEFT(IF(LEFT(TRIM(A774),1)="[",TRIM(MID(TRIM(A774),FIND("]",TRIM(A774)&amp;"]")+1,200)),TRIM(A774)),FIND("(",IF(LEFT(TRIM(A774),1)="[",TRIM(MID(TRIM(A774),FIND("]",TRIM(A774)&amp;"]")+1,200)),TRIM(A774))&amp;"(")-1)),IF(LEFT(TRIM(A774),1)="[",TRIM(MID(TRIM(A774),FIND("]",TRIM(A774)&amp;"]")+1,200)),TRIM(A774))),""))</f>
      </c>
      <c r="C774" s="17">
        <f>IF(B774&lt;&gt;"",B774,C773)</f>
      </c>
      <c r="D774" s="17">
        <f>IF(A774="","",IF(OR(LEFT(UPPER(TRIM(A774)),2)="Y:",LEFT(UPPER(TRIM(A774)),10)="YESTERDAY:"),"Y",IF(OR(LEFT(UPPER(TRIM(A774)),2)="T:",LEFT(UPPER(TRIM(A774)),6)="TODAY:"),"T",IF(OR(LEFT(UPPER(TRIM(A774)),2)="B:",LEFT(UPPER(TRIM(A774)),8)="BLOCKER:",LEFT(UPPER(TRIM(A774)),9)="BLOCKERS:",LEFT(UPPER(TRIM(A774)),8)="BLOCKED:"),"B",""))))</f>
      </c>
      <c r="E774" s="17">
        <f>IF(D774="","",TRIM(MID(A774,FIND(":",A774)+1,500)))</f>
      </c>
    </row>
    <row r="775">
      <c r="B775" s="17">
        <f>IF(A775="","",IF(COUNTIF(Roster[Name],IF(RIGHT(IF(LEFT(TRIM(A775),1)="[",TRIM(MID(TRIM(A775),FIND("]",TRIM(A775)&amp;"]")+1,200)),TRIM(A775)),1)=")",TRIM(LEFT(IF(LEFT(TRIM(A775),1)="[",TRIM(MID(TRIM(A775),FIND("]",TRIM(A775)&amp;"]")+1,200)),TRIM(A775)),FIND("(",IF(LEFT(TRIM(A775),1)="[",TRIM(MID(TRIM(A775),FIND("]",TRIM(A775)&amp;"]")+1,200)),TRIM(A775))&amp;"(")-1)),IF(LEFT(TRIM(A775),1)="[",TRIM(MID(TRIM(A775),FIND("]",TRIM(A775)&amp;"]")+1,200)),TRIM(A775))))&gt;0,IF(RIGHT(IF(LEFT(TRIM(A775),1)="[",TRIM(MID(TRIM(A775),FIND("]",TRIM(A775)&amp;"]")+1,200)),TRIM(A775)),1)=")",TRIM(LEFT(IF(LEFT(TRIM(A775),1)="[",TRIM(MID(TRIM(A775),FIND("]",TRIM(A775)&amp;"]")+1,200)),TRIM(A775)),FIND("(",IF(LEFT(TRIM(A775),1)="[",TRIM(MID(TRIM(A775),FIND("]",TRIM(A775)&amp;"]")+1,200)),TRIM(A775))&amp;"(")-1)),IF(LEFT(TRIM(A775),1)="[",TRIM(MID(TRIM(A775),FIND("]",TRIM(A775)&amp;"]")+1,200)),TRIM(A775))),""))</f>
      </c>
      <c r="C775" s="17">
        <f>IF(B775&lt;&gt;"",B775,C774)</f>
      </c>
      <c r="D775" s="17">
        <f>IF(A775="","",IF(OR(LEFT(UPPER(TRIM(A775)),2)="Y:",LEFT(UPPER(TRIM(A775)),10)="YESTERDAY:"),"Y",IF(OR(LEFT(UPPER(TRIM(A775)),2)="T:",LEFT(UPPER(TRIM(A775)),6)="TODAY:"),"T",IF(OR(LEFT(UPPER(TRIM(A775)),2)="B:",LEFT(UPPER(TRIM(A775)),8)="BLOCKER:",LEFT(UPPER(TRIM(A775)),9)="BLOCKERS:",LEFT(UPPER(TRIM(A775)),8)="BLOCKED:"),"B",""))))</f>
      </c>
      <c r="E775" s="17">
        <f>IF(D775="","",TRIM(MID(A775,FIND(":",A775)+1,500)))</f>
      </c>
    </row>
    <row r="776">
      <c r="B776" s="17">
        <f>IF(A776="","",IF(COUNTIF(Roster[Name],IF(RIGHT(IF(LEFT(TRIM(A776),1)="[",TRIM(MID(TRIM(A776),FIND("]",TRIM(A776)&amp;"]")+1,200)),TRIM(A776)),1)=")",TRIM(LEFT(IF(LEFT(TRIM(A776),1)="[",TRIM(MID(TRIM(A776),FIND("]",TRIM(A776)&amp;"]")+1,200)),TRIM(A776)),FIND("(",IF(LEFT(TRIM(A776),1)="[",TRIM(MID(TRIM(A776),FIND("]",TRIM(A776)&amp;"]")+1,200)),TRIM(A776))&amp;"(")-1)),IF(LEFT(TRIM(A776),1)="[",TRIM(MID(TRIM(A776),FIND("]",TRIM(A776)&amp;"]")+1,200)),TRIM(A776))))&gt;0,IF(RIGHT(IF(LEFT(TRIM(A776),1)="[",TRIM(MID(TRIM(A776),FIND("]",TRIM(A776)&amp;"]")+1,200)),TRIM(A776)),1)=")",TRIM(LEFT(IF(LEFT(TRIM(A776),1)="[",TRIM(MID(TRIM(A776),FIND("]",TRIM(A776)&amp;"]")+1,200)),TRIM(A776)),FIND("(",IF(LEFT(TRIM(A776),1)="[",TRIM(MID(TRIM(A776),FIND("]",TRIM(A776)&amp;"]")+1,200)),TRIM(A776))&amp;"(")-1)),IF(LEFT(TRIM(A776),1)="[",TRIM(MID(TRIM(A776),FIND("]",TRIM(A776)&amp;"]")+1,200)),TRIM(A776))),""))</f>
      </c>
      <c r="C776" s="17">
        <f>IF(B776&lt;&gt;"",B776,C775)</f>
      </c>
      <c r="D776" s="17">
        <f>IF(A776="","",IF(OR(LEFT(UPPER(TRIM(A776)),2)="Y:",LEFT(UPPER(TRIM(A776)),10)="YESTERDAY:"),"Y",IF(OR(LEFT(UPPER(TRIM(A776)),2)="T:",LEFT(UPPER(TRIM(A776)),6)="TODAY:"),"T",IF(OR(LEFT(UPPER(TRIM(A776)),2)="B:",LEFT(UPPER(TRIM(A776)),8)="BLOCKER:",LEFT(UPPER(TRIM(A776)),9)="BLOCKERS:",LEFT(UPPER(TRIM(A776)),8)="BLOCKED:"),"B",""))))</f>
      </c>
      <c r="E776" s="17">
        <f>IF(D776="","",TRIM(MID(A776,FIND(":",A776)+1,500)))</f>
      </c>
    </row>
    <row r="777">
      <c r="B777" s="17">
        <f>IF(A777="","",IF(COUNTIF(Roster[Name],IF(RIGHT(IF(LEFT(TRIM(A777),1)="[",TRIM(MID(TRIM(A777),FIND("]",TRIM(A777)&amp;"]")+1,200)),TRIM(A777)),1)=")",TRIM(LEFT(IF(LEFT(TRIM(A777),1)="[",TRIM(MID(TRIM(A777),FIND("]",TRIM(A777)&amp;"]")+1,200)),TRIM(A777)),FIND("(",IF(LEFT(TRIM(A777),1)="[",TRIM(MID(TRIM(A777),FIND("]",TRIM(A777)&amp;"]")+1,200)),TRIM(A777))&amp;"(")-1)),IF(LEFT(TRIM(A777),1)="[",TRIM(MID(TRIM(A777),FIND("]",TRIM(A777)&amp;"]")+1,200)),TRIM(A777))))&gt;0,IF(RIGHT(IF(LEFT(TRIM(A777),1)="[",TRIM(MID(TRIM(A777),FIND("]",TRIM(A777)&amp;"]")+1,200)),TRIM(A777)),1)=")",TRIM(LEFT(IF(LEFT(TRIM(A777),1)="[",TRIM(MID(TRIM(A777),FIND("]",TRIM(A777)&amp;"]")+1,200)),TRIM(A777)),FIND("(",IF(LEFT(TRIM(A777),1)="[",TRIM(MID(TRIM(A777),FIND("]",TRIM(A777)&amp;"]")+1,200)),TRIM(A777))&amp;"(")-1)),IF(LEFT(TRIM(A777),1)="[",TRIM(MID(TRIM(A777),FIND("]",TRIM(A777)&amp;"]")+1,200)),TRIM(A777))),""))</f>
      </c>
      <c r="C777" s="17">
        <f>IF(B777&lt;&gt;"",B777,C776)</f>
      </c>
      <c r="D777" s="17">
        <f>IF(A777="","",IF(OR(LEFT(UPPER(TRIM(A777)),2)="Y:",LEFT(UPPER(TRIM(A777)),10)="YESTERDAY:"),"Y",IF(OR(LEFT(UPPER(TRIM(A777)),2)="T:",LEFT(UPPER(TRIM(A777)),6)="TODAY:"),"T",IF(OR(LEFT(UPPER(TRIM(A777)),2)="B:",LEFT(UPPER(TRIM(A777)),8)="BLOCKER:",LEFT(UPPER(TRIM(A777)),9)="BLOCKERS:",LEFT(UPPER(TRIM(A777)),8)="BLOCKED:"),"B",""))))</f>
      </c>
      <c r="E777" s="17">
        <f>IF(D777="","",TRIM(MID(A777,FIND(":",A777)+1,500)))</f>
      </c>
    </row>
    <row r="778">
      <c r="B778" s="17">
        <f>IF(A778="","",IF(COUNTIF(Roster[Name],IF(RIGHT(IF(LEFT(TRIM(A778),1)="[",TRIM(MID(TRIM(A778),FIND("]",TRIM(A778)&amp;"]")+1,200)),TRIM(A778)),1)=")",TRIM(LEFT(IF(LEFT(TRIM(A778),1)="[",TRIM(MID(TRIM(A778),FIND("]",TRIM(A778)&amp;"]")+1,200)),TRIM(A778)),FIND("(",IF(LEFT(TRIM(A778),1)="[",TRIM(MID(TRIM(A778),FIND("]",TRIM(A778)&amp;"]")+1,200)),TRIM(A778))&amp;"(")-1)),IF(LEFT(TRIM(A778),1)="[",TRIM(MID(TRIM(A778),FIND("]",TRIM(A778)&amp;"]")+1,200)),TRIM(A778))))&gt;0,IF(RIGHT(IF(LEFT(TRIM(A778),1)="[",TRIM(MID(TRIM(A778),FIND("]",TRIM(A778)&amp;"]")+1,200)),TRIM(A778)),1)=")",TRIM(LEFT(IF(LEFT(TRIM(A778),1)="[",TRIM(MID(TRIM(A778),FIND("]",TRIM(A778)&amp;"]")+1,200)),TRIM(A778)),FIND("(",IF(LEFT(TRIM(A778),1)="[",TRIM(MID(TRIM(A778),FIND("]",TRIM(A778)&amp;"]")+1,200)),TRIM(A778))&amp;"(")-1)),IF(LEFT(TRIM(A778),1)="[",TRIM(MID(TRIM(A778),FIND("]",TRIM(A778)&amp;"]")+1,200)),TRIM(A778))),""))</f>
      </c>
      <c r="C778" s="17">
        <f>IF(B778&lt;&gt;"",B778,C777)</f>
      </c>
      <c r="D778" s="17">
        <f>IF(A778="","",IF(OR(LEFT(UPPER(TRIM(A778)),2)="Y:",LEFT(UPPER(TRIM(A778)),10)="YESTERDAY:"),"Y",IF(OR(LEFT(UPPER(TRIM(A778)),2)="T:",LEFT(UPPER(TRIM(A778)),6)="TODAY:"),"T",IF(OR(LEFT(UPPER(TRIM(A778)),2)="B:",LEFT(UPPER(TRIM(A778)),8)="BLOCKER:",LEFT(UPPER(TRIM(A778)),9)="BLOCKERS:",LEFT(UPPER(TRIM(A778)),8)="BLOCKED:"),"B",""))))</f>
      </c>
      <c r="E778" s="17">
        <f>IF(D778="","",TRIM(MID(A778,FIND(":",A778)+1,500)))</f>
      </c>
    </row>
    <row r="779">
      <c r="B779" s="17">
        <f>IF(A779="","",IF(COUNTIF(Roster[Name],IF(RIGHT(IF(LEFT(TRIM(A779),1)="[",TRIM(MID(TRIM(A779),FIND("]",TRIM(A779)&amp;"]")+1,200)),TRIM(A779)),1)=")",TRIM(LEFT(IF(LEFT(TRIM(A779),1)="[",TRIM(MID(TRIM(A779),FIND("]",TRIM(A779)&amp;"]")+1,200)),TRIM(A779)),FIND("(",IF(LEFT(TRIM(A779),1)="[",TRIM(MID(TRIM(A779),FIND("]",TRIM(A779)&amp;"]")+1,200)),TRIM(A779))&amp;"(")-1)),IF(LEFT(TRIM(A779),1)="[",TRIM(MID(TRIM(A779),FIND("]",TRIM(A779)&amp;"]")+1,200)),TRIM(A779))))&gt;0,IF(RIGHT(IF(LEFT(TRIM(A779),1)="[",TRIM(MID(TRIM(A779),FIND("]",TRIM(A779)&amp;"]")+1,200)),TRIM(A779)),1)=")",TRIM(LEFT(IF(LEFT(TRIM(A779),1)="[",TRIM(MID(TRIM(A779),FIND("]",TRIM(A779)&amp;"]")+1,200)),TRIM(A779)),FIND("(",IF(LEFT(TRIM(A779),1)="[",TRIM(MID(TRIM(A779),FIND("]",TRIM(A779)&amp;"]")+1,200)),TRIM(A779))&amp;"(")-1)),IF(LEFT(TRIM(A779),1)="[",TRIM(MID(TRIM(A779),FIND("]",TRIM(A779)&amp;"]")+1,200)),TRIM(A779))),""))</f>
      </c>
      <c r="C779" s="17">
        <f>IF(B779&lt;&gt;"",B779,C778)</f>
      </c>
      <c r="D779" s="17">
        <f>IF(A779="","",IF(OR(LEFT(UPPER(TRIM(A779)),2)="Y:",LEFT(UPPER(TRIM(A779)),10)="YESTERDAY:"),"Y",IF(OR(LEFT(UPPER(TRIM(A779)),2)="T:",LEFT(UPPER(TRIM(A779)),6)="TODAY:"),"T",IF(OR(LEFT(UPPER(TRIM(A779)),2)="B:",LEFT(UPPER(TRIM(A779)),8)="BLOCKER:",LEFT(UPPER(TRIM(A779)),9)="BLOCKERS:",LEFT(UPPER(TRIM(A779)),8)="BLOCKED:"),"B",""))))</f>
      </c>
      <c r="E779" s="17">
        <f>IF(D779="","",TRIM(MID(A779,FIND(":",A779)+1,500)))</f>
      </c>
    </row>
    <row r="780">
      <c r="B780" s="17">
        <f>IF(A780="","",IF(COUNTIF(Roster[Name],IF(RIGHT(IF(LEFT(TRIM(A780),1)="[",TRIM(MID(TRIM(A780),FIND("]",TRIM(A780)&amp;"]")+1,200)),TRIM(A780)),1)=")",TRIM(LEFT(IF(LEFT(TRIM(A780),1)="[",TRIM(MID(TRIM(A780),FIND("]",TRIM(A780)&amp;"]")+1,200)),TRIM(A780)),FIND("(",IF(LEFT(TRIM(A780),1)="[",TRIM(MID(TRIM(A780),FIND("]",TRIM(A780)&amp;"]")+1,200)),TRIM(A780))&amp;"(")-1)),IF(LEFT(TRIM(A780),1)="[",TRIM(MID(TRIM(A780),FIND("]",TRIM(A780)&amp;"]")+1,200)),TRIM(A780))))&gt;0,IF(RIGHT(IF(LEFT(TRIM(A780),1)="[",TRIM(MID(TRIM(A780),FIND("]",TRIM(A780)&amp;"]")+1,200)),TRIM(A780)),1)=")",TRIM(LEFT(IF(LEFT(TRIM(A780),1)="[",TRIM(MID(TRIM(A780),FIND("]",TRIM(A780)&amp;"]")+1,200)),TRIM(A780)),FIND("(",IF(LEFT(TRIM(A780),1)="[",TRIM(MID(TRIM(A780),FIND("]",TRIM(A780)&amp;"]")+1,200)),TRIM(A780))&amp;"(")-1)),IF(LEFT(TRIM(A780),1)="[",TRIM(MID(TRIM(A780),FIND("]",TRIM(A780)&amp;"]")+1,200)),TRIM(A780))),""))</f>
      </c>
      <c r="C780" s="17">
        <f>IF(B780&lt;&gt;"",B780,C779)</f>
      </c>
      <c r="D780" s="17">
        <f>IF(A780="","",IF(OR(LEFT(UPPER(TRIM(A780)),2)="Y:",LEFT(UPPER(TRIM(A780)),10)="YESTERDAY:"),"Y",IF(OR(LEFT(UPPER(TRIM(A780)),2)="T:",LEFT(UPPER(TRIM(A780)),6)="TODAY:"),"T",IF(OR(LEFT(UPPER(TRIM(A780)),2)="B:",LEFT(UPPER(TRIM(A780)),8)="BLOCKER:",LEFT(UPPER(TRIM(A780)),9)="BLOCKERS:",LEFT(UPPER(TRIM(A780)),8)="BLOCKED:"),"B",""))))</f>
      </c>
      <c r="E780" s="17">
        <f>IF(D780="","",TRIM(MID(A780,FIND(":",A780)+1,500)))</f>
      </c>
    </row>
    <row r="781">
      <c r="B781" s="17">
        <f>IF(A781="","",IF(COUNTIF(Roster[Name],IF(RIGHT(IF(LEFT(TRIM(A781),1)="[",TRIM(MID(TRIM(A781),FIND("]",TRIM(A781)&amp;"]")+1,200)),TRIM(A781)),1)=")",TRIM(LEFT(IF(LEFT(TRIM(A781),1)="[",TRIM(MID(TRIM(A781),FIND("]",TRIM(A781)&amp;"]")+1,200)),TRIM(A781)),FIND("(",IF(LEFT(TRIM(A781),1)="[",TRIM(MID(TRIM(A781),FIND("]",TRIM(A781)&amp;"]")+1,200)),TRIM(A781))&amp;"(")-1)),IF(LEFT(TRIM(A781),1)="[",TRIM(MID(TRIM(A781),FIND("]",TRIM(A781)&amp;"]")+1,200)),TRIM(A781))))&gt;0,IF(RIGHT(IF(LEFT(TRIM(A781),1)="[",TRIM(MID(TRIM(A781),FIND("]",TRIM(A781)&amp;"]")+1,200)),TRIM(A781)),1)=")",TRIM(LEFT(IF(LEFT(TRIM(A781),1)="[",TRIM(MID(TRIM(A781),FIND("]",TRIM(A781)&amp;"]")+1,200)),TRIM(A781)),FIND("(",IF(LEFT(TRIM(A781),1)="[",TRIM(MID(TRIM(A781),FIND("]",TRIM(A781)&amp;"]")+1,200)),TRIM(A781))&amp;"(")-1)),IF(LEFT(TRIM(A781),1)="[",TRIM(MID(TRIM(A781),FIND("]",TRIM(A781)&amp;"]")+1,200)),TRIM(A781))),""))</f>
      </c>
      <c r="C781" s="17">
        <f>IF(B781&lt;&gt;"",B781,C780)</f>
      </c>
      <c r="D781" s="17">
        <f>IF(A781="","",IF(OR(LEFT(UPPER(TRIM(A781)),2)="Y:",LEFT(UPPER(TRIM(A781)),10)="YESTERDAY:"),"Y",IF(OR(LEFT(UPPER(TRIM(A781)),2)="T:",LEFT(UPPER(TRIM(A781)),6)="TODAY:"),"T",IF(OR(LEFT(UPPER(TRIM(A781)),2)="B:",LEFT(UPPER(TRIM(A781)),8)="BLOCKER:",LEFT(UPPER(TRIM(A781)),9)="BLOCKERS:",LEFT(UPPER(TRIM(A781)),8)="BLOCKED:"),"B",""))))</f>
      </c>
      <c r="E781" s="17">
        <f>IF(D781="","",TRIM(MID(A781,FIND(":",A781)+1,500)))</f>
      </c>
    </row>
    <row r="782">
      <c r="B782" s="17">
        <f>IF(A782="","",IF(COUNTIF(Roster[Name],IF(RIGHT(IF(LEFT(TRIM(A782),1)="[",TRIM(MID(TRIM(A782),FIND("]",TRIM(A782)&amp;"]")+1,200)),TRIM(A782)),1)=")",TRIM(LEFT(IF(LEFT(TRIM(A782),1)="[",TRIM(MID(TRIM(A782),FIND("]",TRIM(A782)&amp;"]")+1,200)),TRIM(A782)),FIND("(",IF(LEFT(TRIM(A782),1)="[",TRIM(MID(TRIM(A782),FIND("]",TRIM(A782)&amp;"]")+1,200)),TRIM(A782))&amp;"(")-1)),IF(LEFT(TRIM(A782),1)="[",TRIM(MID(TRIM(A782),FIND("]",TRIM(A782)&amp;"]")+1,200)),TRIM(A782))))&gt;0,IF(RIGHT(IF(LEFT(TRIM(A782),1)="[",TRIM(MID(TRIM(A782),FIND("]",TRIM(A782)&amp;"]")+1,200)),TRIM(A782)),1)=")",TRIM(LEFT(IF(LEFT(TRIM(A782),1)="[",TRIM(MID(TRIM(A782),FIND("]",TRIM(A782)&amp;"]")+1,200)),TRIM(A782)),FIND("(",IF(LEFT(TRIM(A782),1)="[",TRIM(MID(TRIM(A782),FIND("]",TRIM(A782)&amp;"]")+1,200)),TRIM(A782))&amp;"(")-1)),IF(LEFT(TRIM(A782),1)="[",TRIM(MID(TRIM(A782),FIND("]",TRIM(A782)&amp;"]")+1,200)),TRIM(A782))),""))</f>
      </c>
      <c r="C782" s="17">
        <f>IF(B782&lt;&gt;"",B782,C781)</f>
      </c>
      <c r="D782" s="17">
        <f>IF(A782="","",IF(OR(LEFT(UPPER(TRIM(A782)),2)="Y:",LEFT(UPPER(TRIM(A782)),10)="YESTERDAY:"),"Y",IF(OR(LEFT(UPPER(TRIM(A782)),2)="T:",LEFT(UPPER(TRIM(A782)),6)="TODAY:"),"T",IF(OR(LEFT(UPPER(TRIM(A782)),2)="B:",LEFT(UPPER(TRIM(A782)),8)="BLOCKER:",LEFT(UPPER(TRIM(A782)),9)="BLOCKERS:",LEFT(UPPER(TRIM(A782)),8)="BLOCKED:"),"B",""))))</f>
      </c>
      <c r="E782" s="17">
        <f>IF(D782="","",TRIM(MID(A782,FIND(":",A782)+1,500)))</f>
      </c>
    </row>
    <row r="783">
      <c r="B783" s="17">
        <f>IF(A783="","",IF(COUNTIF(Roster[Name],IF(RIGHT(IF(LEFT(TRIM(A783),1)="[",TRIM(MID(TRIM(A783),FIND("]",TRIM(A783)&amp;"]")+1,200)),TRIM(A783)),1)=")",TRIM(LEFT(IF(LEFT(TRIM(A783),1)="[",TRIM(MID(TRIM(A783),FIND("]",TRIM(A783)&amp;"]")+1,200)),TRIM(A783)),FIND("(",IF(LEFT(TRIM(A783),1)="[",TRIM(MID(TRIM(A783),FIND("]",TRIM(A783)&amp;"]")+1,200)),TRIM(A783))&amp;"(")-1)),IF(LEFT(TRIM(A783),1)="[",TRIM(MID(TRIM(A783),FIND("]",TRIM(A783)&amp;"]")+1,200)),TRIM(A783))))&gt;0,IF(RIGHT(IF(LEFT(TRIM(A783),1)="[",TRIM(MID(TRIM(A783),FIND("]",TRIM(A783)&amp;"]")+1,200)),TRIM(A783)),1)=")",TRIM(LEFT(IF(LEFT(TRIM(A783),1)="[",TRIM(MID(TRIM(A783),FIND("]",TRIM(A783)&amp;"]")+1,200)),TRIM(A783)),FIND("(",IF(LEFT(TRIM(A783),1)="[",TRIM(MID(TRIM(A783),FIND("]",TRIM(A783)&amp;"]")+1,200)),TRIM(A783))&amp;"(")-1)),IF(LEFT(TRIM(A783),1)="[",TRIM(MID(TRIM(A783),FIND("]",TRIM(A783)&amp;"]")+1,200)),TRIM(A783))),""))</f>
      </c>
      <c r="C783" s="17">
        <f>IF(B783&lt;&gt;"",B783,C782)</f>
      </c>
      <c r="D783" s="17">
        <f>IF(A783="","",IF(OR(LEFT(UPPER(TRIM(A783)),2)="Y:",LEFT(UPPER(TRIM(A783)),10)="YESTERDAY:"),"Y",IF(OR(LEFT(UPPER(TRIM(A783)),2)="T:",LEFT(UPPER(TRIM(A783)),6)="TODAY:"),"T",IF(OR(LEFT(UPPER(TRIM(A783)),2)="B:",LEFT(UPPER(TRIM(A783)),8)="BLOCKER:",LEFT(UPPER(TRIM(A783)),9)="BLOCKERS:",LEFT(UPPER(TRIM(A783)),8)="BLOCKED:"),"B",""))))</f>
      </c>
      <c r="E783" s="17">
        <f>IF(D783="","",TRIM(MID(A783,FIND(":",A783)+1,500)))</f>
      </c>
    </row>
    <row r="784">
      <c r="B784" s="17">
        <f>IF(A784="","",IF(COUNTIF(Roster[Name],IF(RIGHT(IF(LEFT(TRIM(A784),1)="[",TRIM(MID(TRIM(A784),FIND("]",TRIM(A784)&amp;"]")+1,200)),TRIM(A784)),1)=")",TRIM(LEFT(IF(LEFT(TRIM(A784),1)="[",TRIM(MID(TRIM(A784),FIND("]",TRIM(A784)&amp;"]")+1,200)),TRIM(A784)),FIND("(",IF(LEFT(TRIM(A784),1)="[",TRIM(MID(TRIM(A784),FIND("]",TRIM(A784)&amp;"]")+1,200)),TRIM(A784))&amp;"(")-1)),IF(LEFT(TRIM(A784),1)="[",TRIM(MID(TRIM(A784),FIND("]",TRIM(A784)&amp;"]")+1,200)),TRIM(A784))))&gt;0,IF(RIGHT(IF(LEFT(TRIM(A784),1)="[",TRIM(MID(TRIM(A784),FIND("]",TRIM(A784)&amp;"]")+1,200)),TRIM(A784)),1)=")",TRIM(LEFT(IF(LEFT(TRIM(A784),1)="[",TRIM(MID(TRIM(A784),FIND("]",TRIM(A784)&amp;"]")+1,200)),TRIM(A784)),FIND("(",IF(LEFT(TRIM(A784),1)="[",TRIM(MID(TRIM(A784),FIND("]",TRIM(A784)&amp;"]")+1,200)),TRIM(A784))&amp;"(")-1)),IF(LEFT(TRIM(A784),1)="[",TRIM(MID(TRIM(A784),FIND("]",TRIM(A784)&amp;"]")+1,200)),TRIM(A784))),""))</f>
      </c>
      <c r="C784" s="17">
        <f>IF(B784&lt;&gt;"",B784,C783)</f>
      </c>
      <c r="D784" s="17">
        <f>IF(A784="","",IF(OR(LEFT(UPPER(TRIM(A784)),2)="Y:",LEFT(UPPER(TRIM(A784)),10)="YESTERDAY:"),"Y",IF(OR(LEFT(UPPER(TRIM(A784)),2)="T:",LEFT(UPPER(TRIM(A784)),6)="TODAY:"),"T",IF(OR(LEFT(UPPER(TRIM(A784)),2)="B:",LEFT(UPPER(TRIM(A784)),8)="BLOCKER:",LEFT(UPPER(TRIM(A784)),9)="BLOCKERS:",LEFT(UPPER(TRIM(A784)),8)="BLOCKED:"),"B",""))))</f>
      </c>
      <c r="E784" s="17">
        <f>IF(D784="","",TRIM(MID(A784,FIND(":",A784)+1,500)))</f>
      </c>
    </row>
    <row r="785">
      <c r="B785" s="17">
        <f>IF(A785="","",IF(COUNTIF(Roster[Name],IF(RIGHT(IF(LEFT(TRIM(A785),1)="[",TRIM(MID(TRIM(A785),FIND("]",TRIM(A785)&amp;"]")+1,200)),TRIM(A785)),1)=")",TRIM(LEFT(IF(LEFT(TRIM(A785),1)="[",TRIM(MID(TRIM(A785),FIND("]",TRIM(A785)&amp;"]")+1,200)),TRIM(A785)),FIND("(",IF(LEFT(TRIM(A785),1)="[",TRIM(MID(TRIM(A785),FIND("]",TRIM(A785)&amp;"]")+1,200)),TRIM(A785))&amp;"(")-1)),IF(LEFT(TRIM(A785),1)="[",TRIM(MID(TRIM(A785),FIND("]",TRIM(A785)&amp;"]")+1,200)),TRIM(A785))))&gt;0,IF(RIGHT(IF(LEFT(TRIM(A785),1)="[",TRIM(MID(TRIM(A785),FIND("]",TRIM(A785)&amp;"]")+1,200)),TRIM(A785)),1)=")",TRIM(LEFT(IF(LEFT(TRIM(A785),1)="[",TRIM(MID(TRIM(A785),FIND("]",TRIM(A785)&amp;"]")+1,200)),TRIM(A785)),FIND("(",IF(LEFT(TRIM(A785),1)="[",TRIM(MID(TRIM(A785),FIND("]",TRIM(A785)&amp;"]")+1,200)),TRIM(A785))&amp;"(")-1)),IF(LEFT(TRIM(A785),1)="[",TRIM(MID(TRIM(A785),FIND("]",TRIM(A785)&amp;"]")+1,200)),TRIM(A785))),""))</f>
      </c>
      <c r="C785" s="17">
        <f>IF(B785&lt;&gt;"",B785,C784)</f>
      </c>
      <c r="D785" s="17">
        <f>IF(A785="","",IF(OR(LEFT(UPPER(TRIM(A785)),2)="Y:",LEFT(UPPER(TRIM(A785)),10)="YESTERDAY:"),"Y",IF(OR(LEFT(UPPER(TRIM(A785)),2)="T:",LEFT(UPPER(TRIM(A785)),6)="TODAY:"),"T",IF(OR(LEFT(UPPER(TRIM(A785)),2)="B:",LEFT(UPPER(TRIM(A785)),8)="BLOCKER:",LEFT(UPPER(TRIM(A785)),9)="BLOCKERS:",LEFT(UPPER(TRIM(A785)),8)="BLOCKED:"),"B",""))))</f>
      </c>
      <c r="E785" s="17">
        <f>IF(D785="","",TRIM(MID(A785,FIND(":",A785)+1,500)))</f>
      </c>
    </row>
    <row r="786">
      <c r="B786" s="17">
        <f>IF(A786="","",IF(COUNTIF(Roster[Name],IF(RIGHT(IF(LEFT(TRIM(A786),1)="[",TRIM(MID(TRIM(A786),FIND("]",TRIM(A786)&amp;"]")+1,200)),TRIM(A786)),1)=")",TRIM(LEFT(IF(LEFT(TRIM(A786),1)="[",TRIM(MID(TRIM(A786),FIND("]",TRIM(A786)&amp;"]")+1,200)),TRIM(A786)),FIND("(",IF(LEFT(TRIM(A786),1)="[",TRIM(MID(TRIM(A786),FIND("]",TRIM(A786)&amp;"]")+1,200)),TRIM(A786))&amp;"(")-1)),IF(LEFT(TRIM(A786),1)="[",TRIM(MID(TRIM(A786),FIND("]",TRIM(A786)&amp;"]")+1,200)),TRIM(A786))))&gt;0,IF(RIGHT(IF(LEFT(TRIM(A786),1)="[",TRIM(MID(TRIM(A786),FIND("]",TRIM(A786)&amp;"]")+1,200)),TRIM(A786)),1)=")",TRIM(LEFT(IF(LEFT(TRIM(A786),1)="[",TRIM(MID(TRIM(A786),FIND("]",TRIM(A786)&amp;"]")+1,200)),TRIM(A786)),FIND("(",IF(LEFT(TRIM(A786),1)="[",TRIM(MID(TRIM(A786),FIND("]",TRIM(A786)&amp;"]")+1,200)),TRIM(A786))&amp;"(")-1)),IF(LEFT(TRIM(A786),1)="[",TRIM(MID(TRIM(A786),FIND("]",TRIM(A786)&amp;"]")+1,200)),TRIM(A786))),""))</f>
      </c>
      <c r="C786" s="17">
        <f>IF(B786&lt;&gt;"",B786,C785)</f>
      </c>
      <c r="D786" s="17">
        <f>IF(A786="","",IF(OR(LEFT(UPPER(TRIM(A786)),2)="Y:",LEFT(UPPER(TRIM(A786)),10)="YESTERDAY:"),"Y",IF(OR(LEFT(UPPER(TRIM(A786)),2)="T:",LEFT(UPPER(TRIM(A786)),6)="TODAY:"),"T",IF(OR(LEFT(UPPER(TRIM(A786)),2)="B:",LEFT(UPPER(TRIM(A786)),8)="BLOCKER:",LEFT(UPPER(TRIM(A786)),9)="BLOCKERS:",LEFT(UPPER(TRIM(A786)),8)="BLOCKED:"),"B",""))))</f>
      </c>
      <c r="E786" s="17">
        <f>IF(D786="","",TRIM(MID(A786,FIND(":",A786)+1,500)))</f>
      </c>
    </row>
    <row r="787">
      <c r="B787" s="17">
        <f>IF(A787="","",IF(COUNTIF(Roster[Name],IF(RIGHT(IF(LEFT(TRIM(A787),1)="[",TRIM(MID(TRIM(A787),FIND("]",TRIM(A787)&amp;"]")+1,200)),TRIM(A787)),1)=")",TRIM(LEFT(IF(LEFT(TRIM(A787),1)="[",TRIM(MID(TRIM(A787),FIND("]",TRIM(A787)&amp;"]")+1,200)),TRIM(A787)),FIND("(",IF(LEFT(TRIM(A787),1)="[",TRIM(MID(TRIM(A787),FIND("]",TRIM(A787)&amp;"]")+1,200)),TRIM(A787))&amp;"(")-1)),IF(LEFT(TRIM(A787),1)="[",TRIM(MID(TRIM(A787),FIND("]",TRIM(A787)&amp;"]")+1,200)),TRIM(A787))))&gt;0,IF(RIGHT(IF(LEFT(TRIM(A787),1)="[",TRIM(MID(TRIM(A787),FIND("]",TRIM(A787)&amp;"]")+1,200)),TRIM(A787)),1)=")",TRIM(LEFT(IF(LEFT(TRIM(A787),1)="[",TRIM(MID(TRIM(A787),FIND("]",TRIM(A787)&amp;"]")+1,200)),TRIM(A787)),FIND("(",IF(LEFT(TRIM(A787),1)="[",TRIM(MID(TRIM(A787),FIND("]",TRIM(A787)&amp;"]")+1,200)),TRIM(A787))&amp;"(")-1)),IF(LEFT(TRIM(A787),1)="[",TRIM(MID(TRIM(A787),FIND("]",TRIM(A787)&amp;"]")+1,200)),TRIM(A787))),""))</f>
      </c>
      <c r="C787" s="17">
        <f>IF(B787&lt;&gt;"",B787,C786)</f>
      </c>
      <c r="D787" s="17">
        <f>IF(A787="","",IF(OR(LEFT(UPPER(TRIM(A787)),2)="Y:",LEFT(UPPER(TRIM(A787)),10)="YESTERDAY:"),"Y",IF(OR(LEFT(UPPER(TRIM(A787)),2)="T:",LEFT(UPPER(TRIM(A787)),6)="TODAY:"),"T",IF(OR(LEFT(UPPER(TRIM(A787)),2)="B:",LEFT(UPPER(TRIM(A787)),8)="BLOCKER:",LEFT(UPPER(TRIM(A787)),9)="BLOCKERS:",LEFT(UPPER(TRIM(A787)),8)="BLOCKED:"),"B",""))))</f>
      </c>
      <c r="E787" s="17">
        <f>IF(D787="","",TRIM(MID(A787,FIND(":",A787)+1,500)))</f>
      </c>
    </row>
    <row r="788">
      <c r="B788" s="17">
        <f>IF(A788="","",IF(COUNTIF(Roster[Name],IF(RIGHT(IF(LEFT(TRIM(A788),1)="[",TRIM(MID(TRIM(A788),FIND("]",TRIM(A788)&amp;"]")+1,200)),TRIM(A788)),1)=")",TRIM(LEFT(IF(LEFT(TRIM(A788),1)="[",TRIM(MID(TRIM(A788),FIND("]",TRIM(A788)&amp;"]")+1,200)),TRIM(A788)),FIND("(",IF(LEFT(TRIM(A788),1)="[",TRIM(MID(TRIM(A788),FIND("]",TRIM(A788)&amp;"]")+1,200)),TRIM(A788))&amp;"(")-1)),IF(LEFT(TRIM(A788),1)="[",TRIM(MID(TRIM(A788),FIND("]",TRIM(A788)&amp;"]")+1,200)),TRIM(A788))))&gt;0,IF(RIGHT(IF(LEFT(TRIM(A788),1)="[",TRIM(MID(TRIM(A788),FIND("]",TRIM(A788)&amp;"]")+1,200)),TRIM(A788)),1)=")",TRIM(LEFT(IF(LEFT(TRIM(A788),1)="[",TRIM(MID(TRIM(A788),FIND("]",TRIM(A788)&amp;"]")+1,200)),TRIM(A788)),FIND("(",IF(LEFT(TRIM(A788),1)="[",TRIM(MID(TRIM(A788),FIND("]",TRIM(A788)&amp;"]")+1,200)),TRIM(A788))&amp;"(")-1)),IF(LEFT(TRIM(A788),1)="[",TRIM(MID(TRIM(A788),FIND("]",TRIM(A788)&amp;"]")+1,200)),TRIM(A788))),""))</f>
      </c>
      <c r="C788" s="17">
        <f>IF(B788&lt;&gt;"",B788,C787)</f>
      </c>
      <c r="D788" s="17">
        <f>IF(A788="","",IF(OR(LEFT(UPPER(TRIM(A788)),2)="Y:",LEFT(UPPER(TRIM(A788)),10)="YESTERDAY:"),"Y",IF(OR(LEFT(UPPER(TRIM(A788)),2)="T:",LEFT(UPPER(TRIM(A788)),6)="TODAY:"),"T",IF(OR(LEFT(UPPER(TRIM(A788)),2)="B:",LEFT(UPPER(TRIM(A788)),8)="BLOCKER:",LEFT(UPPER(TRIM(A788)),9)="BLOCKERS:",LEFT(UPPER(TRIM(A788)),8)="BLOCKED:"),"B",""))))</f>
      </c>
      <c r="E788" s="17">
        <f>IF(D788="","",TRIM(MID(A788,FIND(":",A788)+1,500)))</f>
      </c>
    </row>
    <row r="789">
      <c r="B789" s="17">
        <f>IF(A789="","",IF(COUNTIF(Roster[Name],IF(RIGHT(IF(LEFT(TRIM(A789),1)="[",TRIM(MID(TRIM(A789),FIND("]",TRIM(A789)&amp;"]")+1,200)),TRIM(A789)),1)=")",TRIM(LEFT(IF(LEFT(TRIM(A789),1)="[",TRIM(MID(TRIM(A789),FIND("]",TRIM(A789)&amp;"]")+1,200)),TRIM(A789)),FIND("(",IF(LEFT(TRIM(A789),1)="[",TRIM(MID(TRIM(A789),FIND("]",TRIM(A789)&amp;"]")+1,200)),TRIM(A789))&amp;"(")-1)),IF(LEFT(TRIM(A789),1)="[",TRIM(MID(TRIM(A789),FIND("]",TRIM(A789)&amp;"]")+1,200)),TRIM(A789))))&gt;0,IF(RIGHT(IF(LEFT(TRIM(A789),1)="[",TRIM(MID(TRIM(A789),FIND("]",TRIM(A789)&amp;"]")+1,200)),TRIM(A789)),1)=")",TRIM(LEFT(IF(LEFT(TRIM(A789),1)="[",TRIM(MID(TRIM(A789),FIND("]",TRIM(A789)&amp;"]")+1,200)),TRIM(A789)),FIND("(",IF(LEFT(TRIM(A789),1)="[",TRIM(MID(TRIM(A789),FIND("]",TRIM(A789)&amp;"]")+1,200)),TRIM(A789))&amp;"(")-1)),IF(LEFT(TRIM(A789),1)="[",TRIM(MID(TRIM(A789),FIND("]",TRIM(A789)&amp;"]")+1,200)),TRIM(A789))),""))</f>
      </c>
      <c r="C789" s="17">
        <f>IF(B789&lt;&gt;"",B789,C788)</f>
      </c>
      <c r="D789" s="17">
        <f>IF(A789="","",IF(OR(LEFT(UPPER(TRIM(A789)),2)="Y:",LEFT(UPPER(TRIM(A789)),10)="YESTERDAY:"),"Y",IF(OR(LEFT(UPPER(TRIM(A789)),2)="T:",LEFT(UPPER(TRIM(A789)),6)="TODAY:"),"T",IF(OR(LEFT(UPPER(TRIM(A789)),2)="B:",LEFT(UPPER(TRIM(A789)),8)="BLOCKER:",LEFT(UPPER(TRIM(A789)),9)="BLOCKERS:",LEFT(UPPER(TRIM(A789)),8)="BLOCKED:"),"B",""))))</f>
      </c>
      <c r="E789" s="17">
        <f>IF(D789="","",TRIM(MID(A789,FIND(":",A789)+1,500)))</f>
      </c>
    </row>
    <row r="790">
      <c r="B790" s="17">
        <f>IF(A790="","",IF(COUNTIF(Roster[Name],IF(RIGHT(IF(LEFT(TRIM(A790),1)="[",TRIM(MID(TRIM(A790),FIND("]",TRIM(A790)&amp;"]")+1,200)),TRIM(A790)),1)=")",TRIM(LEFT(IF(LEFT(TRIM(A790),1)="[",TRIM(MID(TRIM(A790),FIND("]",TRIM(A790)&amp;"]")+1,200)),TRIM(A790)),FIND("(",IF(LEFT(TRIM(A790),1)="[",TRIM(MID(TRIM(A790),FIND("]",TRIM(A790)&amp;"]")+1,200)),TRIM(A790))&amp;"(")-1)),IF(LEFT(TRIM(A790),1)="[",TRIM(MID(TRIM(A790),FIND("]",TRIM(A790)&amp;"]")+1,200)),TRIM(A790))))&gt;0,IF(RIGHT(IF(LEFT(TRIM(A790),1)="[",TRIM(MID(TRIM(A790),FIND("]",TRIM(A790)&amp;"]")+1,200)),TRIM(A790)),1)=")",TRIM(LEFT(IF(LEFT(TRIM(A790),1)="[",TRIM(MID(TRIM(A790),FIND("]",TRIM(A790)&amp;"]")+1,200)),TRIM(A790)),FIND("(",IF(LEFT(TRIM(A790),1)="[",TRIM(MID(TRIM(A790),FIND("]",TRIM(A790)&amp;"]")+1,200)),TRIM(A790))&amp;"(")-1)),IF(LEFT(TRIM(A790),1)="[",TRIM(MID(TRIM(A790),FIND("]",TRIM(A790)&amp;"]")+1,200)),TRIM(A790))),""))</f>
      </c>
      <c r="C790" s="17">
        <f>IF(B790&lt;&gt;"",B790,C789)</f>
      </c>
      <c r="D790" s="17">
        <f>IF(A790="","",IF(OR(LEFT(UPPER(TRIM(A790)),2)="Y:",LEFT(UPPER(TRIM(A790)),10)="YESTERDAY:"),"Y",IF(OR(LEFT(UPPER(TRIM(A790)),2)="T:",LEFT(UPPER(TRIM(A790)),6)="TODAY:"),"T",IF(OR(LEFT(UPPER(TRIM(A790)),2)="B:",LEFT(UPPER(TRIM(A790)),8)="BLOCKER:",LEFT(UPPER(TRIM(A790)),9)="BLOCKERS:",LEFT(UPPER(TRIM(A790)),8)="BLOCKED:"),"B",""))))</f>
      </c>
      <c r="E790" s="17">
        <f>IF(D790="","",TRIM(MID(A790,FIND(":",A790)+1,500)))</f>
      </c>
    </row>
    <row r="791">
      <c r="B791" s="17">
        <f>IF(A791="","",IF(COUNTIF(Roster[Name],IF(RIGHT(IF(LEFT(TRIM(A791),1)="[",TRIM(MID(TRIM(A791),FIND("]",TRIM(A791)&amp;"]")+1,200)),TRIM(A791)),1)=")",TRIM(LEFT(IF(LEFT(TRIM(A791),1)="[",TRIM(MID(TRIM(A791),FIND("]",TRIM(A791)&amp;"]")+1,200)),TRIM(A791)),FIND("(",IF(LEFT(TRIM(A791),1)="[",TRIM(MID(TRIM(A791),FIND("]",TRIM(A791)&amp;"]")+1,200)),TRIM(A791))&amp;"(")-1)),IF(LEFT(TRIM(A791),1)="[",TRIM(MID(TRIM(A791),FIND("]",TRIM(A791)&amp;"]")+1,200)),TRIM(A791))))&gt;0,IF(RIGHT(IF(LEFT(TRIM(A791),1)="[",TRIM(MID(TRIM(A791),FIND("]",TRIM(A791)&amp;"]")+1,200)),TRIM(A791)),1)=")",TRIM(LEFT(IF(LEFT(TRIM(A791),1)="[",TRIM(MID(TRIM(A791),FIND("]",TRIM(A791)&amp;"]")+1,200)),TRIM(A791)),FIND("(",IF(LEFT(TRIM(A791),1)="[",TRIM(MID(TRIM(A791),FIND("]",TRIM(A791)&amp;"]")+1,200)),TRIM(A791))&amp;"(")-1)),IF(LEFT(TRIM(A791),1)="[",TRIM(MID(TRIM(A791),FIND("]",TRIM(A791)&amp;"]")+1,200)),TRIM(A791))),""))</f>
      </c>
      <c r="C791" s="17">
        <f>IF(B791&lt;&gt;"",B791,C790)</f>
      </c>
      <c r="D791" s="17">
        <f>IF(A791="","",IF(OR(LEFT(UPPER(TRIM(A791)),2)="Y:",LEFT(UPPER(TRIM(A791)),10)="YESTERDAY:"),"Y",IF(OR(LEFT(UPPER(TRIM(A791)),2)="T:",LEFT(UPPER(TRIM(A791)),6)="TODAY:"),"T",IF(OR(LEFT(UPPER(TRIM(A791)),2)="B:",LEFT(UPPER(TRIM(A791)),8)="BLOCKER:",LEFT(UPPER(TRIM(A791)),9)="BLOCKERS:",LEFT(UPPER(TRIM(A791)),8)="BLOCKED:"),"B",""))))</f>
      </c>
      <c r="E791" s="17">
        <f>IF(D791="","",TRIM(MID(A791,FIND(":",A791)+1,500)))</f>
      </c>
    </row>
    <row r="792">
      <c r="B792" s="17">
        <f>IF(A792="","",IF(COUNTIF(Roster[Name],IF(RIGHT(IF(LEFT(TRIM(A792),1)="[",TRIM(MID(TRIM(A792),FIND("]",TRIM(A792)&amp;"]")+1,200)),TRIM(A792)),1)=")",TRIM(LEFT(IF(LEFT(TRIM(A792),1)="[",TRIM(MID(TRIM(A792),FIND("]",TRIM(A792)&amp;"]")+1,200)),TRIM(A792)),FIND("(",IF(LEFT(TRIM(A792),1)="[",TRIM(MID(TRIM(A792),FIND("]",TRIM(A792)&amp;"]")+1,200)),TRIM(A792))&amp;"(")-1)),IF(LEFT(TRIM(A792),1)="[",TRIM(MID(TRIM(A792),FIND("]",TRIM(A792)&amp;"]")+1,200)),TRIM(A792))))&gt;0,IF(RIGHT(IF(LEFT(TRIM(A792),1)="[",TRIM(MID(TRIM(A792),FIND("]",TRIM(A792)&amp;"]")+1,200)),TRIM(A792)),1)=")",TRIM(LEFT(IF(LEFT(TRIM(A792),1)="[",TRIM(MID(TRIM(A792),FIND("]",TRIM(A792)&amp;"]")+1,200)),TRIM(A792)),FIND("(",IF(LEFT(TRIM(A792),1)="[",TRIM(MID(TRIM(A792),FIND("]",TRIM(A792)&amp;"]")+1,200)),TRIM(A792))&amp;"(")-1)),IF(LEFT(TRIM(A792),1)="[",TRIM(MID(TRIM(A792),FIND("]",TRIM(A792)&amp;"]")+1,200)),TRIM(A792))),""))</f>
      </c>
      <c r="C792" s="17">
        <f>IF(B792&lt;&gt;"",B792,C791)</f>
      </c>
      <c r="D792" s="17">
        <f>IF(A792="","",IF(OR(LEFT(UPPER(TRIM(A792)),2)="Y:",LEFT(UPPER(TRIM(A792)),10)="YESTERDAY:"),"Y",IF(OR(LEFT(UPPER(TRIM(A792)),2)="T:",LEFT(UPPER(TRIM(A792)),6)="TODAY:"),"T",IF(OR(LEFT(UPPER(TRIM(A792)),2)="B:",LEFT(UPPER(TRIM(A792)),8)="BLOCKER:",LEFT(UPPER(TRIM(A792)),9)="BLOCKERS:",LEFT(UPPER(TRIM(A792)),8)="BLOCKED:"),"B",""))))</f>
      </c>
      <c r="E792" s="17">
        <f>IF(D792="","",TRIM(MID(A792,FIND(":",A792)+1,500)))</f>
      </c>
    </row>
    <row r="793">
      <c r="B793" s="17">
        <f>IF(A793="","",IF(COUNTIF(Roster[Name],IF(RIGHT(IF(LEFT(TRIM(A793),1)="[",TRIM(MID(TRIM(A793),FIND("]",TRIM(A793)&amp;"]")+1,200)),TRIM(A793)),1)=")",TRIM(LEFT(IF(LEFT(TRIM(A793),1)="[",TRIM(MID(TRIM(A793),FIND("]",TRIM(A793)&amp;"]")+1,200)),TRIM(A793)),FIND("(",IF(LEFT(TRIM(A793),1)="[",TRIM(MID(TRIM(A793),FIND("]",TRIM(A793)&amp;"]")+1,200)),TRIM(A793))&amp;"(")-1)),IF(LEFT(TRIM(A793),1)="[",TRIM(MID(TRIM(A793),FIND("]",TRIM(A793)&amp;"]")+1,200)),TRIM(A793))))&gt;0,IF(RIGHT(IF(LEFT(TRIM(A793),1)="[",TRIM(MID(TRIM(A793),FIND("]",TRIM(A793)&amp;"]")+1,200)),TRIM(A793)),1)=")",TRIM(LEFT(IF(LEFT(TRIM(A793),1)="[",TRIM(MID(TRIM(A793),FIND("]",TRIM(A793)&amp;"]")+1,200)),TRIM(A793)),FIND("(",IF(LEFT(TRIM(A793),1)="[",TRIM(MID(TRIM(A793),FIND("]",TRIM(A793)&amp;"]")+1,200)),TRIM(A793))&amp;"(")-1)),IF(LEFT(TRIM(A793),1)="[",TRIM(MID(TRIM(A793),FIND("]",TRIM(A793)&amp;"]")+1,200)),TRIM(A793))),""))</f>
      </c>
      <c r="C793" s="17">
        <f>IF(B793&lt;&gt;"",B793,C792)</f>
      </c>
      <c r="D793" s="17">
        <f>IF(A793="","",IF(OR(LEFT(UPPER(TRIM(A793)),2)="Y:",LEFT(UPPER(TRIM(A793)),10)="YESTERDAY:"),"Y",IF(OR(LEFT(UPPER(TRIM(A793)),2)="T:",LEFT(UPPER(TRIM(A793)),6)="TODAY:"),"T",IF(OR(LEFT(UPPER(TRIM(A793)),2)="B:",LEFT(UPPER(TRIM(A793)),8)="BLOCKER:",LEFT(UPPER(TRIM(A793)),9)="BLOCKERS:",LEFT(UPPER(TRIM(A793)),8)="BLOCKED:"),"B",""))))</f>
      </c>
      <c r="E793" s="17">
        <f>IF(D793="","",TRIM(MID(A793,FIND(":",A793)+1,500)))</f>
      </c>
    </row>
    <row r="794">
      <c r="B794" s="17">
        <f>IF(A794="","",IF(COUNTIF(Roster[Name],IF(RIGHT(IF(LEFT(TRIM(A794),1)="[",TRIM(MID(TRIM(A794),FIND("]",TRIM(A794)&amp;"]")+1,200)),TRIM(A794)),1)=")",TRIM(LEFT(IF(LEFT(TRIM(A794),1)="[",TRIM(MID(TRIM(A794),FIND("]",TRIM(A794)&amp;"]")+1,200)),TRIM(A794)),FIND("(",IF(LEFT(TRIM(A794),1)="[",TRIM(MID(TRIM(A794),FIND("]",TRIM(A794)&amp;"]")+1,200)),TRIM(A794))&amp;"(")-1)),IF(LEFT(TRIM(A794),1)="[",TRIM(MID(TRIM(A794),FIND("]",TRIM(A794)&amp;"]")+1,200)),TRIM(A794))))&gt;0,IF(RIGHT(IF(LEFT(TRIM(A794),1)="[",TRIM(MID(TRIM(A794),FIND("]",TRIM(A794)&amp;"]")+1,200)),TRIM(A794)),1)=")",TRIM(LEFT(IF(LEFT(TRIM(A794),1)="[",TRIM(MID(TRIM(A794),FIND("]",TRIM(A794)&amp;"]")+1,200)),TRIM(A794)),FIND("(",IF(LEFT(TRIM(A794),1)="[",TRIM(MID(TRIM(A794),FIND("]",TRIM(A794)&amp;"]")+1,200)),TRIM(A794))&amp;"(")-1)),IF(LEFT(TRIM(A794),1)="[",TRIM(MID(TRIM(A794),FIND("]",TRIM(A794)&amp;"]")+1,200)),TRIM(A794))),""))</f>
      </c>
      <c r="C794" s="17">
        <f>IF(B794&lt;&gt;"",B794,C793)</f>
      </c>
      <c r="D794" s="17">
        <f>IF(A794="","",IF(OR(LEFT(UPPER(TRIM(A794)),2)="Y:",LEFT(UPPER(TRIM(A794)),10)="YESTERDAY:"),"Y",IF(OR(LEFT(UPPER(TRIM(A794)),2)="T:",LEFT(UPPER(TRIM(A794)),6)="TODAY:"),"T",IF(OR(LEFT(UPPER(TRIM(A794)),2)="B:",LEFT(UPPER(TRIM(A794)),8)="BLOCKER:",LEFT(UPPER(TRIM(A794)),9)="BLOCKERS:",LEFT(UPPER(TRIM(A794)),8)="BLOCKED:"),"B",""))))</f>
      </c>
      <c r="E794" s="17">
        <f>IF(D794="","",TRIM(MID(A794,FIND(":",A794)+1,500)))</f>
      </c>
    </row>
    <row r="795">
      <c r="B795" s="17">
        <f>IF(A795="","",IF(COUNTIF(Roster[Name],IF(RIGHT(IF(LEFT(TRIM(A795),1)="[",TRIM(MID(TRIM(A795),FIND("]",TRIM(A795)&amp;"]")+1,200)),TRIM(A795)),1)=")",TRIM(LEFT(IF(LEFT(TRIM(A795),1)="[",TRIM(MID(TRIM(A795),FIND("]",TRIM(A795)&amp;"]")+1,200)),TRIM(A795)),FIND("(",IF(LEFT(TRIM(A795),1)="[",TRIM(MID(TRIM(A795),FIND("]",TRIM(A795)&amp;"]")+1,200)),TRIM(A795))&amp;"(")-1)),IF(LEFT(TRIM(A795),1)="[",TRIM(MID(TRIM(A795),FIND("]",TRIM(A795)&amp;"]")+1,200)),TRIM(A795))))&gt;0,IF(RIGHT(IF(LEFT(TRIM(A795),1)="[",TRIM(MID(TRIM(A795),FIND("]",TRIM(A795)&amp;"]")+1,200)),TRIM(A795)),1)=")",TRIM(LEFT(IF(LEFT(TRIM(A795),1)="[",TRIM(MID(TRIM(A795),FIND("]",TRIM(A795)&amp;"]")+1,200)),TRIM(A795)),FIND("(",IF(LEFT(TRIM(A795),1)="[",TRIM(MID(TRIM(A795),FIND("]",TRIM(A795)&amp;"]")+1,200)),TRIM(A795))&amp;"(")-1)),IF(LEFT(TRIM(A795),1)="[",TRIM(MID(TRIM(A795),FIND("]",TRIM(A795)&amp;"]")+1,200)),TRIM(A795))),""))</f>
      </c>
      <c r="C795" s="17">
        <f>IF(B795&lt;&gt;"",B795,C794)</f>
      </c>
      <c r="D795" s="17">
        <f>IF(A795="","",IF(OR(LEFT(UPPER(TRIM(A795)),2)="Y:",LEFT(UPPER(TRIM(A795)),10)="YESTERDAY:"),"Y",IF(OR(LEFT(UPPER(TRIM(A795)),2)="T:",LEFT(UPPER(TRIM(A795)),6)="TODAY:"),"T",IF(OR(LEFT(UPPER(TRIM(A795)),2)="B:",LEFT(UPPER(TRIM(A795)),8)="BLOCKER:",LEFT(UPPER(TRIM(A795)),9)="BLOCKERS:",LEFT(UPPER(TRIM(A795)),8)="BLOCKED:"),"B",""))))</f>
      </c>
      <c r="E795" s="17">
        <f>IF(D795="","",TRIM(MID(A795,FIND(":",A795)+1,500)))</f>
      </c>
    </row>
    <row r="796">
      <c r="B796" s="17">
        <f>IF(A796="","",IF(COUNTIF(Roster[Name],IF(RIGHT(IF(LEFT(TRIM(A796),1)="[",TRIM(MID(TRIM(A796),FIND("]",TRIM(A796)&amp;"]")+1,200)),TRIM(A796)),1)=")",TRIM(LEFT(IF(LEFT(TRIM(A796),1)="[",TRIM(MID(TRIM(A796),FIND("]",TRIM(A796)&amp;"]")+1,200)),TRIM(A796)),FIND("(",IF(LEFT(TRIM(A796),1)="[",TRIM(MID(TRIM(A796),FIND("]",TRIM(A796)&amp;"]")+1,200)),TRIM(A796))&amp;"(")-1)),IF(LEFT(TRIM(A796),1)="[",TRIM(MID(TRIM(A796),FIND("]",TRIM(A796)&amp;"]")+1,200)),TRIM(A796))))&gt;0,IF(RIGHT(IF(LEFT(TRIM(A796),1)="[",TRIM(MID(TRIM(A796),FIND("]",TRIM(A796)&amp;"]")+1,200)),TRIM(A796)),1)=")",TRIM(LEFT(IF(LEFT(TRIM(A796),1)="[",TRIM(MID(TRIM(A796),FIND("]",TRIM(A796)&amp;"]")+1,200)),TRIM(A796)),FIND("(",IF(LEFT(TRIM(A796),1)="[",TRIM(MID(TRIM(A796),FIND("]",TRIM(A796)&amp;"]")+1,200)),TRIM(A796))&amp;"(")-1)),IF(LEFT(TRIM(A796),1)="[",TRIM(MID(TRIM(A796),FIND("]",TRIM(A796)&amp;"]")+1,200)),TRIM(A796))),""))</f>
      </c>
      <c r="C796" s="17">
        <f>IF(B796&lt;&gt;"",B796,C795)</f>
      </c>
      <c r="D796" s="17">
        <f>IF(A796="","",IF(OR(LEFT(UPPER(TRIM(A796)),2)="Y:",LEFT(UPPER(TRIM(A796)),10)="YESTERDAY:"),"Y",IF(OR(LEFT(UPPER(TRIM(A796)),2)="T:",LEFT(UPPER(TRIM(A796)),6)="TODAY:"),"T",IF(OR(LEFT(UPPER(TRIM(A796)),2)="B:",LEFT(UPPER(TRIM(A796)),8)="BLOCKER:",LEFT(UPPER(TRIM(A796)),9)="BLOCKERS:",LEFT(UPPER(TRIM(A796)),8)="BLOCKED:"),"B",""))))</f>
      </c>
      <c r="E796" s="17">
        <f>IF(D796="","",TRIM(MID(A796,FIND(":",A796)+1,500)))</f>
      </c>
    </row>
    <row r="797">
      <c r="B797" s="17">
        <f>IF(A797="","",IF(COUNTIF(Roster[Name],IF(RIGHT(IF(LEFT(TRIM(A797),1)="[",TRIM(MID(TRIM(A797),FIND("]",TRIM(A797)&amp;"]")+1,200)),TRIM(A797)),1)=")",TRIM(LEFT(IF(LEFT(TRIM(A797),1)="[",TRIM(MID(TRIM(A797),FIND("]",TRIM(A797)&amp;"]")+1,200)),TRIM(A797)),FIND("(",IF(LEFT(TRIM(A797),1)="[",TRIM(MID(TRIM(A797),FIND("]",TRIM(A797)&amp;"]")+1,200)),TRIM(A797))&amp;"(")-1)),IF(LEFT(TRIM(A797),1)="[",TRIM(MID(TRIM(A797),FIND("]",TRIM(A797)&amp;"]")+1,200)),TRIM(A797))))&gt;0,IF(RIGHT(IF(LEFT(TRIM(A797),1)="[",TRIM(MID(TRIM(A797),FIND("]",TRIM(A797)&amp;"]")+1,200)),TRIM(A797)),1)=")",TRIM(LEFT(IF(LEFT(TRIM(A797),1)="[",TRIM(MID(TRIM(A797),FIND("]",TRIM(A797)&amp;"]")+1,200)),TRIM(A797)),FIND("(",IF(LEFT(TRIM(A797),1)="[",TRIM(MID(TRIM(A797),FIND("]",TRIM(A797)&amp;"]")+1,200)),TRIM(A797))&amp;"(")-1)),IF(LEFT(TRIM(A797),1)="[",TRIM(MID(TRIM(A797),FIND("]",TRIM(A797)&amp;"]")+1,200)),TRIM(A797))),""))</f>
      </c>
      <c r="C797" s="17">
        <f>IF(B797&lt;&gt;"",B797,C796)</f>
      </c>
      <c r="D797" s="17">
        <f>IF(A797="","",IF(OR(LEFT(UPPER(TRIM(A797)),2)="Y:",LEFT(UPPER(TRIM(A797)),10)="YESTERDAY:"),"Y",IF(OR(LEFT(UPPER(TRIM(A797)),2)="T:",LEFT(UPPER(TRIM(A797)),6)="TODAY:"),"T",IF(OR(LEFT(UPPER(TRIM(A797)),2)="B:",LEFT(UPPER(TRIM(A797)),8)="BLOCKER:",LEFT(UPPER(TRIM(A797)),9)="BLOCKERS:",LEFT(UPPER(TRIM(A797)),8)="BLOCKED:"),"B",""))))</f>
      </c>
      <c r="E797" s="17">
        <f>IF(D797="","",TRIM(MID(A797,FIND(":",A797)+1,500)))</f>
      </c>
    </row>
    <row r="798">
      <c r="B798" s="17">
        <f>IF(A798="","",IF(COUNTIF(Roster[Name],IF(RIGHT(IF(LEFT(TRIM(A798),1)="[",TRIM(MID(TRIM(A798),FIND("]",TRIM(A798)&amp;"]")+1,200)),TRIM(A798)),1)=")",TRIM(LEFT(IF(LEFT(TRIM(A798),1)="[",TRIM(MID(TRIM(A798),FIND("]",TRIM(A798)&amp;"]")+1,200)),TRIM(A798)),FIND("(",IF(LEFT(TRIM(A798),1)="[",TRIM(MID(TRIM(A798),FIND("]",TRIM(A798)&amp;"]")+1,200)),TRIM(A798))&amp;"(")-1)),IF(LEFT(TRIM(A798),1)="[",TRIM(MID(TRIM(A798),FIND("]",TRIM(A798)&amp;"]")+1,200)),TRIM(A798))))&gt;0,IF(RIGHT(IF(LEFT(TRIM(A798),1)="[",TRIM(MID(TRIM(A798),FIND("]",TRIM(A798)&amp;"]")+1,200)),TRIM(A798)),1)=")",TRIM(LEFT(IF(LEFT(TRIM(A798),1)="[",TRIM(MID(TRIM(A798),FIND("]",TRIM(A798)&amp;"]")+1,200)),TRIM(A798)),FIND("(",IF(LEFT(TRIM(A798),1)="[",TRIM(MID(TRIM(A798),FIND("]",TRIM(A798)&amp;"]")+1,200)),TRIM(A798))&amp;"(")-1)),IF(LEFT(TRIM(A798),1)="[",TRIM(MID(TRIM(A798),FIND("]",TRIM(A798)&amp;"]")+1,200)),TRIM(A798))),""))</f>
      </c>
      <c r="C798" s="17">
        <f>IF(B798&lt;&gt;"",B798,C797)</f>
      </c>
      <c r="D798" s="17">
        <f>IF(A798="","",IF(OR(LEFT(UPPER(TRIM(A798)),2)="Y:",LEFT(UPPER(TRIM(A798)),10)="YESTERDAY:"),"Y",IF(OR(LEFT(UPPER(TRIM(A798)),2)="T:",LEFT(UPPER(TRIM(A798)),6)="TODAY:"),"T",IF(OR(LEFT(UPPER(TRIM(A798)),2)="B:",LEFT(UPPER(TRIM(A798)),8)="BLOCKER:",LEFT(UPPER(TRIM(A798)),9)="BLOCKERS:",LEFT(UPPER(TRIM(A798)),8)="BLOCKED:"),"B",""))))</f>
      </c>
      <c r="E798" s="17">
        <f>IF(D798="","",TRIM(MID(A798,FIND(":",A798)+1,500)))</f>
      </c>
    </row>
    <row r="799">
      <c r="B799" s="17">
        <f>IF(A799="","",IF(COUNTIF(Roster[Name],IF(RIGHT(IF(LEFT(TRIM(A799),1)="[",TRIM(MID(TRIM(A799),FIND("]",TRIM(A799)&amp;"]")+1,200)),TRIM(A799)),1)=")",TRIM(LEFT(IF(LEFT(TRIM(A799),1)="[",TRIM(MID(TRIM(A799),FIND("]",TRIM(A799)&amp;"]")+1,200)),TRIM(A799)),FIND("(",IF(LEFT(TRIM(A799),1)="[",TRIM(MID(TRIM(A799),FIND("]",TRIM(A799)&amp;"]")+1,200)),TRIM(A799))&amp;"(")-1)),IF(LEFT(TRIM(A799),1)="[",TRIM(MID(TRIM(A799),FIND("]",TRIM(A799)&amp;"]")+1,200)),TRIM(A799))))&gt;0,IF(RIGHT(IF(LEFT(TRIM(A799),1)="[",TRIM(MID(TRIM(A799),FIND("]",TRIM(A799)&amp;"]")+1,200)),TRIM(A799)),1)=")",TRIM(LEFT(IF(LEFT(TRIM(A799),1)="[",TRIM(MID(TRIM(A799),FIND("]",TRIM(A799)&amp;"]")+1,200)),TRIM(A799)),FIND("(",IF(LEFT(TRIM(A799),1)="[",TRIM(MID(TRIM(A799),FIND("]",TRIM(A799)&amp;"]")+1,200)),TRIM(A799))&amp;"(")-1)),IF(LEFT(TRIM(A799),1)="[",TRIM(MID(TRIM(A799),FIND("]",TRIM(A799)&amp;"]")+1,200)),TRIM(A799))),""))</f>
      </c>
      <c r="C799" s="17">
        <f>IF(B799&lt;&gt;"",B799,C798)</f>
      </c>
      <c r="D799" s="17">
        <f>IF(A799="","",IF(OR(LEFT(UPPER(TRIM(A799)),2)="Y:",LEFT(UPPER(TRIM(A799)),10)="YESTERDAY:"),"Y",IF(OR(LEFT(UPPER(TRIM(A799)),2)="T:",LEFT(UPPER(TRIM(A799)),6)="TODAY:"),"T",IF(OR(LEFT(UPPER(TRIM(A799)),2)="B:",LEFT(UPPER(TRIM(A799)),8)="BLOCKER:",LEFT(UPPER(TRIM(A799)),9)="BLOCKERS:",LEFT(UPPER(TRIM(A799)),8)="BLOCKED:"),"B",""))))</f>
      </c>
      <c r="E799" s="17">
        <f>IF(D799="","",TRIM(MID(A799,FIND(":",A799)+1,500)))</f>
      </c>
    </row>
    <row r="800">
      <c r="B800" s="17">
        <f>IF(A800="","",IF(COUNTIF(Roster[Name],IF(RIGHT(IF(LEFT(TRIM(A800),1)="[",TRIM(MID(TRIM(A800),FIND("]",TRIM(A800)&amp;"]")+1,200)),TRIM(A800)),1)=")",TRIM(LEFT(IF(LEFT(TRIM(A800),1)="[",TRIM(MID(TRIM(A800),FIND("]",TRIM(A800)&amp;"]")+1,200)),TRIM(A800)),FIND("(",IF(LEFT(TRIM(A800),1)="[",TRIM(MID(TRIM(A800),FIND("]",TRIM(A800)&amp;"]")+1,200)),TRIM(A800))&amp;"(")-1)),IF(LEFT(TRIM(A800),1)="[",TRIM(MID(TRIM(A800),FIND("]",TRIM(A800)&amp;"]")+1,200)),TRIM(A800))))&gt;0,IF(RIGHT(IF(LEFT(TRIM(A800),1)="[",TRIM(MID(TRIM(A800),FIND("]",TRIM(A800)&amp;"]")+1,200)),TRIM(A800)),1)=")",TRIM(LEFT(IF(LEFT(TRIM(A800),1)="[",TRIM(MID(TRIM(A800),FIND("]",TRIM(A800)&amp;"]")+1,200)),TRIM(A800)),FIND("(",IF(LEFT(TRIM(A800),1)="[",TRIM(MID(TRIM(A800),FIND("]",TRIM(A800)&amp;"]")+1,200)),TRIM(A800))&amp;"(")-1)),IF(LEFT(TRIM(A800),1)="[",TRIM(MID(TRIM(A800),FIND("]",TRIM(A800)&amp;"]")+1,200)),TRIM(A800))),""))</f>
      </c>
      <c r="C800" s="17">
        <f>IF(B800&lt;&gt;"",B800,C799)</f>
      </c>
      <c r="D800" s="17">
        <f>IF(A800="","",IF(OR(LEFT(UPPER(TRIM(A800)),2)="Y:",LEFT(UPPER(TRIM(A800)),10)="YESTERDAY:"),"Y",IF(OR(LEFT(UPPER(TRIM(A800)),2)="T:",LEFT(UPPER(TRIM(A800)),6)="TODAY:"),"T",IF(OR(LEFT(UPPER(TRIM(A800)),2)="B:",LEFT(UPPER(TRIM(A800)),8)="BLOCKER:",LEFT(UPPER(TRIM(A800)),9)="BLOCKERS:",LEFT(UPPER(TRIM(A800)),8)="BLOCKED:"),"B",""))))</f>
      </c>
      <c r="E800" s="17">
        <f>IF(D800="","",TRIM(MID(A800,FIND(":",A800)+1,500)))</f>
      </c>
    </row>
    <row r="801">
      <c r="B801" s="17">
        <f>IF(A801="","",IF(COUNTIF(Roster[Name],IF(RIGHT(IF(LEFT(TRIM(A801),1)="[",TRIM(MID(TRIM(A801),FIND("]",TRIM(A801)&amp;"]")+1,200)),TRIM(A801)),1)=")",TRIM(LEFT(IF(LEFT(TRIM(A801),1)="[",TRIM(MID(TRIM(A801),FIND("]",TRIM(A801)&amp;"]")+1,200)),TRIM(A801)),FIND("(",IF(LEFT(TRIM(A801),1)="[",TRIM(MID(TRIM(A801),FIND("]",TRIM(A801)&amp;"]")+1,200)),TRIM(A801))&amp;"(")-1)),IF(LEFT(TRIM(A801),1)="[",TRIM(MID(TRIM(A801),FIND("]",TRIM(A801)&amp;"]")+1,200)),TRIM(A801))))&gt;0,IF(RIGHT(IF(LEFT(TRIM(A801),1)="[",TRIM(MID(TRIM(A801),FIND("]",TRIM(A801)&amp;"]")+1,200)),TRIM(A801)),1)=")",TRIM(LEFT(IF(LEFT(TRIM(A801),1)="[",TRIM(MID(TRIM(A801),FIND("]",TRIM(A801)&amp;"]")+1,200)),TRIM(A801)),FIND("(",IF(LEFT(TRIM(A801),1)="[",TRIM(MID(TRIM(A801),FIND("]",TRIM(A801)&amp;"]")+1,200)),TRIM(A801))&amp;"(")-1)),IF(LEFT(TRIM(A801),1)="[",TRIM(MID(TRIM(A801),FIND("]",TRIM(A801)&amp;"]")+1,200)),TRIM(A801))),""))</f>
      </c>
      <c r="C801" s="17">
        <f>IF(B801&lt;&gt;"",B801,C800)</f>
      </c>
      <c r="D801" s="17">
        <f>IF(A801="","",IF(OR(LEFT(UPPER(TRIM(A801)),2)="Y:",LEFT(UPPER(TRIM(A801)),10)="YESTERDAY:"),"Y",IF(OR(LEFT(UPPER(TRIM(A801)),2)="T:",LEFT(UPPER(TRIM(A801)),6)="TODAY:"),"T",IF(OR(LEFT(UPPER(TRIM(A801)),2)="B:",LEFT(UPPER(TRIM(A801)),8)="BLOCKER:",LEFT(UPPER(TRIM(A801)),9)="BLOCKERS:",LEFT(UPPER(TRIM(A801)),8)="BLOCKED:"),"B",""))))</f>
      </c>
      <c r="E801" s="17">
        <f>IF(D801="","",TRIM(MID(A801,FIND(":",A801)+1,500)))</f>
      </c>
    </row>
    <row r="802">
      <c r="B802" s="17">
        <f>IF(A802="","",IF(COUNTIF(Roster[Name],IF(RIGHT(IF(LEFT(TRIM(A802),1)="[",TRIM(MID(TRIM(A802),FIND("]",TRIM(A802)&amp;"]")+1,200)),TRIM(A802)),1)=")",TRIM(LEFT(IF(LEFT(TRIM(A802),1)="[",TRIM(MID(TRIM(A802),FIND("]",TRIM(A802)&amp;"]")+1,200)),TRIM(A802)),FIND("(",IF(LEFT(TRIM(A802),1)="[",TRIM(MID(TRIM(A802),FIND("]",TRIM(A802)&amp;"]")+1,200)),TRIM(A802))&amp;"(")-1)),IF(LEFT(TRIM(A802),1)="[",TRIM(MID(TRIM(A802),FIND("]",TRIM(A802)&amp;"]")+1,200)),TRIM(A802))))&gt;0,IF(RIGHT(IF(LEFT(TRIM(A802),1)="[",TRIM(MID(TRIM(A802),FIND("]",TRIM(A802)&amp;"]")+1,200)),TRIM(A802)),1)=")",TRIM(LEFT(IF(LEFT(TRIM(A802),1)="[",TRIM(MID(TRIM(A802),FIND("]",TRIM(A802)&amp;"]")+1,200)),TRIM(A802)),FIND("(",IF(LEFT(TRIM(A802),1)="[",TRIM(MID(TRIM(A802),FIND("]",TRIM(A802)&amp;"]")+1,200)),TRIM(A802))&amp;"(")-1)),IF(LEFT(TRIM(A802),1)="[",TRIM(MID(TRIM(A802),FIND("]",TRIM(A802)&amp;"]")+1,200)),TRIM(A802))),""))</f>
      </c>
      <c r="C802" s="17">
        <f>IF(B802&lt;&gt;"",B802,C801)</f>
      </c>
      <c r="D802" s="17">
        <f>IF(A802="","",IF(OR(LEFT(UPPER(TRIM(A802)),2)="Y:",LEFT(UPPER(TRIM(A802)),10)="YESTERDAY:"),"Y",IF(OR(LEFT(UPPER(TRIM(A802)),2)="T:",LEFT(UPPER(TRIM(A802)),6)="TODAY:"),"T",IF(OR(LEFT(UPPER(TRIM(A802)),2)="B:",LEFT(UPPER(TRIM(A802)),8)="BLOCKER:",LEFT(UPPER(TRIM(A802)),9)="BLOCKERS:",LEFT(UPPER(TRIM(A802)),8)="BLOCKED:"),"B",""))))</f>
      </c>
      <c r="E802" s="17">
        <f>IF(D802="","",TRIM(MID(A802,FIND(":",A802)+1,500)))</f>
      </c>
    </row>
    <row r="803">
      <c r="B803" s="17">
        <f>IF(A803="","",IF(COUNTIF(Roster[Name],IF(RIGHT(IF(LEFT(TRIM(A803),1)="[",TRIM(MID(TRIM(A803),FIND("]",TRIM(A803)&amp;"]")+1,200)),TRIM(A803)),1)=")",TRIM(LEFT(IF(LEFT(TRIM(A803),1)="[",TRIM(MID(TRIM(A803),FIND("]",TRIM(A803)&amp;"]")+1,200)),TRIM(A803)),FIND("(",IF(LEFT(TRIM(A803),1)="[",TRIM(MID(TRIM(A803),FIND("]",TRIM(A803)&amp;"]")+1,200)),TRIM(A803))&amp;"(")-1)),IF(LEFT(TRIM(A803),1)="[",TRIM(MID(TRIM(A803),FIND("]",TRIM(A803)&amp;"]")+1,200)),TRIM(A803))))&gt;0,IF(RIGHT(IF(LEFT(TRIM(A803),1)="[",TRIM(MID(TRIM(A803),FIND("]",TRIM(A803)&amp;"]")+1,200)),TRIM(A803)),1)=")",TRIM(LEFT(IF(LEFT(TRIM(A803),1)="[",TRIM(MID(TRIM(A803),FIND("]",TRIM(A803)&amp;"]")+1,200)),TRIM(A803)),FIND("(",IF(LEFT(TRIM(A803),1)="[",TRIM(MID(TRIM(A803),FIND("]",TRIM(A803)&amp;"]")+1,200)),TRIM(A803))&amp;"(")-1)),IF(LEFT(TRIM(A803),1)="[",TRIM(MID(TRIM(A803),FIND("]",TRIM(A803)&amp;"]")+1,200)),TRIM(A803))),""))</f>
      </c>
      <c r="C803" s="17">
        <f>IF(B803&lt;&gt;"",B803,C802)</f>
      </c>
      <c r="D803" s="17">
        <f>IF(A803="","",IF(OR(LEFT(UPPER(TRIM(A803)),2)="Y:",LEFT(UPPER(TRIM(A803)),10)="YESTERDAY:"),"Y",IF(OR(LEFT(UPPER(TRIM(A803)),2)="T:",LEFT(UPPER(TRIM(A803)),6)="TODAY:"),"T",IF(OR(LEFT(UPPER(TRIM(A803)),2)="B:",LEFT(UPPER(TRIM(A803)),8)="BLOCKER:",LEFT(UPPER(TRIM(A803)),9)="BLOCKERS:",LEFT(UPPER(TRIM(A803)),8)="BLOCKED:"),"B",""))))</f>
      </c>
      <c r="E803" s="17">
        <f>IF(D803="","",TRIM(MID(A803,FIND(":",A803)+1,500)))</f>
      </c>
    </row>
    <row r="804">
      <c r="B804" s="17">
        <f>IF(A804="","",IF(COUNTIF(Roster[Name],IF(RIGHT(IF(LEFT(TRIM(A804),1)="[",TRIM(MID(TRIM(A804),FIND("]",TRIM(A804)&amp;"]")+1,200)),TRIM(A804)),1)=")",TRIM(LEFT(IF(LEFT(TRIM(A804),1)="[",TRIM(MID(TRIM(A804),FIND("]",TRIM(A804)&amp;"]")+1,200)),TRIM(A804)),FIND("(",IF(LEFT(TRIM(A804),1)="[",TRIM(MID(TRIM(A804),FIND("]",TRIM(A804)&amp;"]")+1,200)),TRIM(A804))&amp;"(")-1)),IF(LEFT(TRIM(A804),1)="[",TRIM(MID(TRIM(A804),FIND("]",TRIM(A804)&amp;"]")+1,200)),TRIM(A804))))&gt;0,IF(RIGHT(IF(LEFT(TRIM(A804),1)="[",TRIM(MID(TRIM(A804),FIND("]",TRIM(A804)&amp;"]")+1,200)),TRIM(A804)),1)=")",TRIM(LEFT(IF(LEFT(TRIM(A804),1)="[",TRIM(MID(TRIM(A804),FIND("]",TRIM(A804)&amp;"]")+1,200)),TRIM(A804)),FIND("(",IF(LEFT(TRIM(A804),1)="[",TRIM(MID(TRIM(A804),FIND("]",TRIM(A804)&amp;"]")+1,200)),TRIM(A804))&amp;"(")-1)),IF(LEFT(TRIM(A804),1)="[",TRIM(MID(TRIM(A804),FIND("]",TRIM(A804)&amp;"]")+1,200)),TRIM(A804))),""))</f>
      </c>
      <c r="C804" s="17">
        <f>IF(B804&lt;&gt;"",B804,C803)</f>
      </c>
      <c r="D804" s="17">
        <f>IF(A804="","",IF(OR(LEFT(UPPER(TRIM(A804)),2)="Y:",LEFT(UPPER(TRIM(A804)),10)="YESTERDAY:"),"Y",IF(OR(LEFT(UPPER(TRIM(A804)),2)="T:",LEFT(UPPER(TRIM(A804)),6)="TODAY:"),"T",IF(OR(LEFT(UPPER(TRIM(A804)),2)="B:",LEFT(UPPER(TRIM(A804)),8)="BLOCKER:",LEFT(UPPER(TRIM(A804)),9)="BLOCKERS:",LEFT(UPPER(TRIM(A804)),8)="BLOCKED:"),"B",""))))</f>
      </c>
      <c r="E804" s="17">
        <f>IF(D804="","",TRIM(MID(A804,FIND(":",A804)+1,500)))</f>
      </c>
    </row>
    <row r="805">
      <c r="B805" s="17">
        <f>IF(A805="","",IF(COUNTIF(Roster[Name],IF(RIGHT(IF(LEFT(TRIM(A805),1)="[",TRIM(MID(TRIM(A805),FIND("]",TRIM(A805)&amp;"]")+1,200)),TRIM(A805)),1)=")",TRIM(LEFT(IF(LEFT(TRIM(A805),1)="[",TRIM(MID(TRIM(A805),FIND("]",TRIM(A805)&amp;"]")+1,200)),TRIM(A805)),FIND("(",IF(LEFT(TRIM(A805),1)="[",TRIM(MID(TRIM(A805),FIND("]",TRIM(A805)&amp;"]")+1,200)),TRIM(A805))&amp;"(")-1)),IF(LEFT(TRIM(A805),1)="[",TRIM(MID(TRIM(A805),FIND("]",TRIM(A805)&amp;"]")+1,200)),TRIM(A805))))&gt;0,IF(RIGHT(IF(LEFT(TRIM(A805),1)="[",TRIM(MID(TRIM(A805),FIND("]",TRIM(A805)&amp;"]")+1,200)),TRIM(A805)),1)=")",TRIM(LEFT(IF(LEFT(TRIM(A805),1)="[",TRIM(MID(TRIM(A805),FIND("]",TRIM(A805)&amp;"]")+1,200)),TRIM(A805)),FIND("(",IF(LEFT(TRIM(A805),1)="[",TRIM(MID(TRIM(A805),FIND("]",TRIM(A805)&amp;"]")+1,200)),TRIM(A805))&amp;"(")-1)),IF(LEFT(TRIM(A805),1)="[",TRIM(MID(TRIM(A805),FIND("]",TRIM(A805)&amp;"]")+1,200)),TRIM(A805))),""))</f>
      </c>
      <c r="C805" s="17">
        <f>IF(B805&lt;&gt;"",B805,C804)</f>
      </c>
      <c r="D805" s="17">
        <f>IF(A805="","",IF(OR(LEFT(UPPER(TRIM(A805)),2)="Y:",LEFT(UPPER(TRIM(A805)),10)="YESTERDAY:"),"Y",IF(OR(LEFT(UPPER(TRIM(A805)),2)="T:",LEFT(UPPER(TRIM(A805)),6)="TODAY:"),"T",IF(OR(LEFT(UPPER(TRIM(A805)),2)="B:",LEFT(UPPER(TRIM(A805)),8)="BLOCKER:",LEFT(UPPER(TRIM(A805)),9)="BLOCKERS:",LEFT(UPPER(TRIM(A805)),8)="BLOCKED:"),"B",""))))</f>
      </c>
      <c r="E805" s="17">
        <f>IF(D805="","",TRIM(MID(A805,FIND(":",A805)+1,500)))</f>
      </c>
    </row>
    <row r="806">
      <c r="B806" s="17">
        <f>IF(A806="","",IF(COUNTIF(Roster[Name],IF(RIGHT(IF(LEFT(TRIM(A806),1)="[",TRIM(MID(TRIM(A806),FIND("]",TRIM(A806)&amp;"]")+1,200)),TRIM(A806)),1)=")",TRIM(LEFT(IF(LEFT(TRIM(A806),1)="[",TRIM(MID(TRIM(A806),FIND("]",TRIM(A806)&amp;"]")+1,200)),TRIM(A806)),FIND("(",IF(LEFT(TRIM(A806),1)="[",TRIM(MID(TRIM(A806),FIND("]",TRIM(A806)&amp;"]")+1,200)),TRIM(A806))&amp;"(")-1)),IF(LEFT(TRIM(A806),1)="[",TRIM(MID(TRIM(A806),FIND("]",TRIM(A806)&amp;"]")+1,200)),TRIM(A806))))&gt;0,IF(RIGHT(IF(LEFT(TRIM(A806),1)="[",TRIM(MID(TRIM(A806),FIND("]",TRIM(A806)&amp;"]")+1,200)),TRIM(A806)),1)=")",TRIM(LEFT(IF(LEFT(TRIM(A806),1)="[",TRIM(MID(TRIM(A806),FIND("]",TRIM(A806)&amp;"]")+1,200)),TRIM(A806)),FIND("(",IF(LEFT(TRIM(A806),1)="[",TRIM(MID(TRIM(A806),FIND("]",TRIM(A806)&amp;"]")+1,200)),TRIM(A806))&amp;"(")-1)),IF(LEFT(TRIM(A806),1)="[",TRIM(MID(TRIM(A806),FIND("]",TRIM(A806)&amp;"]")+1,200)),TRIM(A806))),""))</f>
      </c>
      <c r="C806" s="17">
        <f>IF(B806&lt;&gt;"",B806,C805)</f>
      </c>
      <c r="D806" s="17">
        <f>IF(A806="","",IF(OR(LEFT(UPPER(TRIM(A806)),2)="Y:",LEFT(UPPER(TRIM(A806)),10)="YESTERDAY:"),"Y",IF(OR(LEFT(UPPER(TRIM(A806)),2)="T:",LEFT(UPPER(TRIM(A806)),6)="TODAY:"),"T",IF(OR(LEFT(UPPER(TRIM(A806)),2)="B:",LEFT(UPPER(TRIM(A806)),8)="BLOCKER:",LEFT(UPPER(TRIM(A806)),9)="BLOCKERS:",LEFT(UPPER(TRIM(A806)),8)="BLOCKED:"),"B",""))))</f>
      </c>
      <c r="E806" s="17">
        <f>IF(D806="","",TRIM(MID(A806,FIND(":",A806)+1,500)))</f>
      </c>
    </row>
    <row r="807">
      <c r="B807" s="17">
        <f>IF(A807="","",IF(COUNTIF(Roster[Name],IF(RIGHT(IF(LEFT(TRIM(A807),1)="[",TRIM(MID(TRIM(A807),FIND("]",TRIM(A807)&amp;"]")+1,200)),TRIM(A807)),1)=")",TRIM(LEFT(IF(LEFT(TRIM(A807),1)="[",TRIM(MID(TRIM(A807),FIND("]",TRIM(A807)&amp;"]")+1,200)),TRIM(A807)),FIND("(",IF(LEFT(TRIM(A807),1)="[",TRIM(MID(TRIM(A807),FIND("]",TRIM(A807)&amp;"]")+1,200)),TRIM(A807))&amp;"(")-1)),IF(LEFT(TRIM(A807),1)="[",TRIM(MID(TRIM(A807),FIND("]",TRIM(A807)&amp;"]")+1,200)),TRIM(A807))))&gt;0,IF(RIGHT(IF(LEFT(TRIM(A807),1)="[",TRIM(MID(TRIM(A807),FIND("]",TRIM(A807)&amp;"]")+1,200)),TRIM(A807)),1)=")",TRIM(LEFT(IF(LEFT(TRIM(A807),1)="[",TRIM(MID(TRIM(A807),FIND("]",TRIM(A807)&amp;"]")+1,200)),TRIM(A807)),FIND("(",IF(LEFT(TRIM(A807),1)="[",TRIM(MID(TRIM(A807),FIND("]",TRIM(A807)&amp;"]")+1,200)),TRIM(A807))&amp;"(")-1)),IF(LEFT(TRIM(A807),1)="[",TRIM(MID(TRIM(A807),FIND("]",TRIM(A807)&amp;"]")+1,200)),TRIM(A807))),""))</f>
      </c>
      <c r="C807" s="17">
        <f>IF(B807&lt;&gt;"",B807,C806)</f>
      </c>
      <c r="D807" s="17">
        <f>IF(A807="","",IF(OR(LEFT(UPPER(TRIM(A807)),2)="Y:",LEFT(UPPER(TRIM(A807)),10)="YESTERDAY:"),"Y",IF(OR(LEFT(UPPER(TRIM(A807)),2)="T:",LEFT(UPPER(TRIM(A807)),6)="TODAY:"),"T",IF(OR(LEFT(UPPER(TRIM(A807)),2)="B:",LEFT(UPPER(TRIM(A807)),8)="BLOCKER:",LEFT(UPPER(TRIM(A807)),9)="BLOCKERS:",LEFT(UPPER(TRIM(A807)),8)="BLOCKED:"),"B",""))))</f>
      </c>
      <c r="E807" s="17">
        <f>IF(D807="","",TRIM(MID(A807,FIND(":",A807)+1,500)))</f>
      </c>
    </row>
    <row r="808">
      <c r="B808" s="17">
        <f>IF(A808="","",IF(COUNTIF(Roster[Name],IF(RIGHT(IF(LEFT(TRIM(A808),1)="[",TRIM(MID(TRIM(A808),FIND("]",TRIM(A808)&amp;"]")+1,200)),TRIM(A808)),1)=")",TRIM(LEFT(IF(LEFT(TRIM(A808),1)="[",TRIM(MID(TRIM(A808),FIND("]",TRIM(A808)&amp;"]")+1,200)),TRIM(A808)),FIND("(",IF(LEFT(TRIM(A808),1)="[",TRIM(MID(TRIM(A808),FIND("]",TRIM(A808)&amp;"]")+1,200)),TRIM(A808))&amp;"(")-1)),IF(LEFT(TRIM(A808),1)="[",TRIM(MID(TRIM(A808),FIND("]",TRIM(A808)&amp;"]")+1,200)),TRIM(A808))))&gt;0,IF(RIGHT(IF(LEFT(TRIM(A808),1)="[",TRIM(MID(TRIM(A808),FIND("]",TRIM(A808)&amp;"]")+1,200)),TRIM(A808)),1)=")",TRIM(LEFT(IF(LEFT(TRIM(A808),1)="[",TRIM(MID(TRIM(A808),FIND("]",TRIM(A808)&amp;"]")+1,200)),TRIM(A808)),FIND("(",IF(LEFT(TRIM(A808),1)="[",TRIM(MID(TRIM(A808),FIND("]",TRIM(A808)&amp;"]")+1,200)),TRIM(A808))&amp;"(")-1)),IF(LEFT(TRIM(A808),1)="[",TRIM(MID(TRIM(A808),FIND("]",TRIM(A808)&amp;"]")+1,200)),TRIM(A808))),""))</f>
      </c>
      <c r="C808" s="17">
        <f>IF(B808&lt;&gt;"",B808,C807)</f>
      </c>
      <c r="D808" s="17">
        <f>IF(A808="","",IF(OR(LEFT(UPPER(TRIM(A808)),2)="Y:",LEFT(UPPER(TRIM(A808)),10)="YESTERDAY:"),"Y",IF(OR(LEFT(UPPER(TRIM(A808)),2)="T:",LEFT(UPPER(TRIM(A808)),6)="TODAY:"),"T",IF(OR(LEFT(UPPER(TRIM(A808)),2)="B:",LEFT(UPPER(TRIM(A808)),8)="BLOCKER:",LEFT(UPPER(TRIM(A808)),9)="BLOCKERS:",LEFT(UPPER(TRIM(A808)),8)="BLOCKED:"),"B",""))))</f>
      </c>
      <c r="E808" s="17">
        <f>IF(D808="","",TRIM(MID(A808,FIND(":",A808)+1,500)))</f>
      </c>
    </row>
    <row r="809">
      <c r="B809" s="17">
        <f>IF(A809="","",IF(COUNTIF(Roster[Name],IF(RIGHT(IF(LEFT(TRIM(A809),1)="[",TRIM(MID(TRIM(A809),FIND("]",TRIM(A809)&amp;"]")+1,200)),TRIM(A809)),1)=")",TRIM(LEFT(IF(LEFT(TRIM(A809),1)="[",TRIM(MID(TRIM(A809),FIND("]",TRIM(A809)&amp;"]")+1,200)),TRIM(A809)),FIND("(",IF(LEFT(TRIM(A809),1)="[",TRIM(MID(TRIM(A809),FIND("]",TRIM(A809)&amp;"]")+1,200)),TRIM(A809))&amp;"(")-1)),IF(LEFT(TRIM(A809),1)="[",TRIM(MID(TRIM(A809),FIND("]",TRIM(A809)&amp;"]")+1,200)),TRIM(A809))))&gt;0,IF(RIGHT(IF(LEFT(TRIM(A809),1)="[",TRIM(MID(TRIM(A809),FIND("]",TRIM(A809)&amp;"]")+1,200)),TRIM(A809)),1)=")",TRIM(LEFT(IF(LEFT(TRIM(A809),1)="[",TRIM(MID(TRIM(A809),FIND("]",TRIM(A809)&amp;"]")+1,200)),TRIM(A809)),FIND("(",IF(LEFT(TRIM(A809),1)="[",TRIM(MID(TRIM(A809),FIND("]",TRIM(A809)&amp;"]")+1,200)),TRIM(A809))&amp;"(")-1)),IF(LEFT(TRIM(A809),1)="[",TRIM(MID(TRIM(A809),FIND("]",TRIM(A809)&amp;"]")+1,200)),TRIM(A809))),""))</f>
      </c>
      <c r="C809" s="17">
        <f>IF(B809&lt;&gt;"",B809,C808)</f>
      </c>
      <c r="D809" s="17">
        <f>IF(A809="","",IF(OR(LEFT(UPPER(TRIM(A809)),2)="Y:",LEFT(UPPER(TRIM(A809)),10)="YESTERDAY:"),"Y",IF(OR(LEFT(UPPER(TRIM(A809)),2)="T:",LEFT(UPPER(TRIM(A809)),6)="TODAY:"),"T",IF(OR(LEFT(UPPER(TRIM(A809)),2)="B:",LEFT(UPPER(TRIM(A809)),8)="BLOCKER:",LEFT(UPPER(TRIM(A809)),9)="BLOCKERS:",LEFT(UPPER(TRIM(A809)),8)="BLOCKED:"),"B",""))))</f>
      </c>
      <c r="E809" s="17">
        <f>IF(D809="","",TRIM(MID(A809,FIND(":",A809)+1,500)))</f>
      </c>
    </row>
    <row r="810">
      <c r="B810" s="17">
        <f>IF(A810="","",IF(COUNTIF(Roster[Name],IF(RIGHT(IF(LEFT(TRIM(A810),1)="[",TRIM(MID(TRIM(A810),FIND("]",TRIM(A810)&amp;"]")+1,200)),TRIM(A810)),1)=")",TRIM(LEFT(IF(LEFT(TRIM(A810),1)="[",TRIM(MID(TRIM(A810),FIND("]",TRIM(A810)&amp;"]")+1,200)),TRIM(A810)),FIND("(",IF(LEFT(TRIM(A810),1)="[",TRIM(MID(TRIM(A810),FIND("]",TRIM(A810)&amp;"]")+1,200)),TRIM(A810))&amp;"(")-1)),IF(LEFT(TRIM(A810),1)="[",TRIM(MID(TRIM(A810),FIND("]",TRIM(A810)&amp;"]")+1,200)),TRIM(A810))))&gt;0,IF(RIGHT(IF(LEFT(TRIM(A810),1)="[",TRIM(MID(TRIM(A810),FIND("]",TRIM(A810)&amp;"]")+1,200)),TRIM(A810)),1)=")",TRIM(LEFT(IF(LEFT(TRIM(A810),1)="[",TRIM(MID(TRIM(A810),FIND("]",TRIM(A810)&amp;"]")+1,200)),TRIM(A810)),FIND("(",IF(LEFT(TRIM(A810),1)="[",TRIM(MID(TRIM(A810),FIND("]",TRIM(A810)&amp;"]")+1,200)),TRIM(A810))&amp;"(")-1)),IF(LEFT(TRIM(A810),1)="[",TRIM(MID(TRIM(A810),FIND("]",TRIM(A810)&amp;"]")+1,200)),TRIM(A810))),""))</f>
      </c>
      <c r="C810" s="17">
        <f>IF(B810&lt;&gt;"",B810,C809)</f>
      </c>
      <c r="D810" s="17">
        <f>IF(A810="","",IF(OR(LEFT(UPPER(TRIM(A810)),2)="Y:",LEFT(UPPER(TRIM(A810)),10)="YESTERDAY:"),"Y",IF(OR(LEFT(UPPER(TRIM(A810)),2)="T:",LEFT(UPPER(TRIM(A810)),6)="TODAY:"),"T",IF(OR(LEFT(UPPER(TRIM(A810)),2)="B:",LEFT(UPPER(TRIM(A810)),8)="BLOCKER:",LEFT(UPPER(TRIM(A810)),9)="BLOCKERS:",LEFT(UPPER(TRIM(A810)),8)="BLOCKED:"),"B",""))))</f>
      </c>
      <c r="E810" s="17">
        <f>IF(D810="","",TRIM(MID(A810,FIND(":",A810)+1,500)))</f>
      </c>
    </row>
    <row r="811">
      <c r="B811" s="17">
        <f>IF(A811="","",IF(COUNTIF(Roster[Name],IF(RIGHT(IF(LEFT(TRIM(A811),1)="[",TRIM(MID(TRIM(A811),FIND("]",TRIM(A811)&amp;"]")+1,200)),TRIM(A811)),1)=")",TRIM(LEFT(IF(LEFT(TRIM(A811),1)="[",TRIM(MID(TRIM(A811),FIND("]",TRIM(A811)&amp;"]")+1,200)),TRIM(A811)),FIND("(",IF(LEFT(TRIM(A811),1)="[",TRIM(MID(TRIM(A811),FIND("]",TRIM(A811)&amp;"]")+1,200)),TRIM(A811))&amp;"(")-1)),IF(LEFT(TRIM(A811),1)="[",TRIM(MID(TRIM(A811),FIND("]",TRIM(A811)&amp;"]")+1,200)),TRIM(A811))))&gt;0,IF(RIGHT(IF(LEFT(TRIM(A811),1)="[",TRIM(MID(TRIM(A811),FIND("]",TRIM(A811)&amp;"]")+1,200)),TRIM(A811)),1)=")",TRIM(LEFT(IF(LEFT(TRIM(A811),1)="[",TRIM(MID(TRIM(A811),FIND("]",TRIM(A811)&amp;"]")+1,200)),TRIM(A811)),FIND("(",IF(LEFT(TRIM(A811),1)="[",TRIM(MID(TRIM(A811),FIND("]",TRIM(A811)&amp;"]")+1,200)),TRIM(A811))&amp;"(")-1)),IF(LEFT(TRIM(A811),1)="[",TRIM(MID(TRIM(A811),FIND("]",TRIM(A811)&amp;"]")+1,200)),TRIM(A811))),""))</f>
      </c>
      <c r="C811" s="17">
        <f>IF(B811&lt;&gt;"",B811,C810)</f>
      </c>
      <c r="D811" s="17">
        <f>IF(A811="","",IF(OR(LEFT(UPPER(TRIM(A811)),2)="Y:",LEFT(UPPER(TRIM(A811)),10)="YESTERDAY:"),"Y",IF(OR(LEFT(UPPER(TRIM(A811)),2)="T:",LEFT(UPPER(TRIM(A811)),6)="TODAY:"),"T",IF(OR(LEFT(UPPER(TRIM(A811)),2)="B:",LEFT(UPPER(TRIM(A811)),8)="BLOCKER:",LEFT(UPPER(TRIM(A811)),9)="BLOCKERS:",LEFT(UPPER(TRIM(A811)),8)="BLOCKED:"),"B",""))))</f>
      </c>
      <c r="E811" s="17">
        <f>IF(D811="","",TRIM(MID(A811,FIND(":",A811)+1,500)))</f>
      </c>
    </row>
    <row r="812">
      <c r="B812" s="17">
        <f>IF(A812="","",IF(COUNTIF(Roster[Name],IF(RIGHT(IF(LEFT(TRIM(A812),1)="[",TRIM(MID(TRIM(A812),FIND("]",TRIM(A812)&amp;"]")+1,200)),TRIM(A812)),1)=")",TRIM(LEFT(IF(LEFT(TRIM(A812),1)="[",TRIM(MID(TRIM(A812),FIND("]",TRIM(A812)&amp;"]")+1,200)),TRIM(A812)),FIND("(",IF(LEFT(TRIM(A812),1)="[",TRIM(MID(TRIM(A812),FIND("]",TRIM(A812)&amp;"]")+1,200)),TRIM(A812))&amp;"(")-1)),IF(LEFT(TRIM(A812),1)="[",TRIM(MID(TRIM(A812),FIND("]",TRIM(A812)&amp;"]")+1,200)),TRIM(A812))))&gt;0,IF(RIGHT(IF(LEFT(TRIM(A812),1)="[",TRIM(MID(TRIM(A812),FIND("]",TRIM(A812)&amp;"]")+1,200)),TRIM(A812)),1)=")",TRIM(LEFT(IF(LEFT(TRIM(A812),1)="[",TRIM(MID(TRIM(A812),FIND("]",TRIM(A812)&amp;"]")+1,200)),TRIM(A812)),FIND("(",IF(LEFT(TRIM(A812),1)="[",TRIM(MID(TRIM(A812),FIND("]",TRIM(A812)&amp;"]")+1,200)),TRIM(A812))&amp;"(")-1)),IF(LEFT(TRIM(A812),1)="[",TRIM(MID(TRIM(A812),FIND("]",TRIM(A812)&amp;"]")+1,200)),TRIM(A812))),""))</f>
      </c>
      <c r="C812" s="17">
        <f>IF(B812&lt;&gt;"",B812,C811)</f>
      </c>
      <c r="D812" s="17">
        <f>IF(A812="","",IF(OR(LEFT(UPPER(TRIM(A812)),2)="Y:",LEFT(UPPER(TRIM(A812)),10)="YESTERDAY:"),"Y",IF(OR(LEFT(UPPER(TRIM(A812)),2)="T:",LEFT(UPPER(TRIM(A812)),6)="TODAY:"),"T",IF(OR(LEFT(UPPER(TRIM(A812)),2)="B:",LEFT(UPPER(TRIM(A812)),8)="BLOCKER:",LEFT(UPPER(TRIM(A812)),9)="BLOCKERS:",LEFT(UPPER(TRIM(A812)),8)="BLOCKED:"),"B",""))))</f>
      </c>
      <c r="E812" s="17">
        <f>IF(D812="","",TRIM(MID(A812,FIND(":",A812)+1,500)))</f>
      </c>
    </row>
    <row r="813">
      <c r="B813" s="17">
        <f>IF(A813="","",IF(COUNTIF(Roster[Name],IF(RIGHT(IF(LEFT(TRIM(A813),1)="[",TRIM(MID(TRIM(A813),FIND("]",TRIM(A813)&amp;"]")+1,200)),TRIM(A813)),1)=")",TRIM(LEFT(IF(LEFT(TRIM(A813),1)="[",TRIM(MID(TRIM(A813),FIND("]",TRIM(A813)&amp;"]")+1,200)),TRIM(A813)),FIND("(",IF(LEFT(TRIM(A813),1)="[",TRIM(MID(TRIM(A813),FIND("]",TRIM(A813)&amp;"]")+1,200)),TRIM(A813))&amp;"(")-1)),IF(LEFT(TRIM(A813),1)="[",TRIM(MID(TRIM(A813),FIND("]",TRIM(A813)&amp;"]")+1,200)),TRIM(A813))))&gt;0,IF(RIGHT(IF(LEFT(TRIM(A813),1)="[",TRIM(MID(TRIM(A813),FIND("]",TRIM(A813)&amp;"]")+1,200)),TRIM(A813)),1)=")",TRIM(LEFT(IF(LEFT(TRIM(A813),1)="[",TRIM(MID(TRIM(A813),FIND("]",TRIM(A813)&amp;"]")+1,200)),TRIM(A813)),FIND("(",IF(LEFT(TRIM(A813),1)="[",TRIM(MID(TRIM(A813),FIND("]",TRIM(A813)&amp;"]")+1,200)),TRIM(A813))&amp;"(")-1)),IF(LEFT(TRIM(A813),1)="[",TRIM(MID(TRIM(A813),FIND("]",TRIM(A813)&amp;"]")+1,200)),TRIM(A813))),""))</f>
      </c>
      <c r="C813" s="17">
        <f>IF(B813&lt;&gt;"",B813,C812)</f>
      </c>
      <c r="D813" s="17">
        <f>IF(A813="","",IF(OR(LEFT(UPPER(TRIM(A813)),2)="Y:",LEFT(UPPER(TRIM(A813)),10)="YESTERDAY:"),"Y",IF(OR(LEFT(UPPER(TRIM(A813)),2)="T:",LEFT(UPPER(TRIM(A813)),6)="TODAY:"),"T",IF(OR(LEFT(UPPER(TRIM(A813)),2)="B:",LEFT(UPPER(TRIM(A813)),8)="BLOCKER:",LEFT(UPPER(TRIM(A813)),9)="BLOCKERS:",LEFT(UPPER(TRIM(A813)),8)="BLOCKED:"),"B",""))))</f>
      </c>
      <c r="E813" s="17">
        <f>IF(D813="","",TRIM(MID(A813,FIND(":",A813)+1,500)))</f>
      </c>
    </row>
    <row r="814">
      <c r="B814" s="17">
        <f>IF(A814="","",IF(COUNTIF(Roster[Name],IF(RIGHT(IF(LEFT(TRIM(A814),1)="[",TRIM(MID(TRIM(A814),FIND("]",TRIM(A814)&amp;"]")+1,200)),TRIM(A814)),1)=")",TRIM(LEFT(IF(LEFT(TRIM(A814),1)="[",TRIM(MID(TRIM(A814),FIND("]",TRIM(A814)&amp;"]")+1,200)),TRIM(A814)),FIND("(",IF(LEFT(TRIM(A814),1)="[",TRIM(MID(TRIM(A814),FIND("]",TRIM(A814)&amp;"]")+1,200)),TRIM(A814))&amp;"(")-1)),IF(LEFT(TRIM(A814),1)="[",TRIM(MID(TRIM(A814),FIND("]",TRIM(A814)&amp;"]")+1,200)),TRIM(A814))))&gt;0,IF(RIGHT(IF(LEFT(TRIM(A814),1)="[",TRIM(MID(TRIM(A814),FIND("]",TRIM(A814)&amp;"]")+1,200)),TRIM(A814)),1)=")",TRIM(LEFT(IF(LEFT(TRIM(A814),1)="[",TRIM(MID(TRIM(A814),FIND("]",TRIM(A814)&amp;"]")+1,200)),TRIM(A814)),FIND("(",IF(LEFT(TRIM(A814),1)="[",TRIM(MID(TRIM(A814),FIND("]",TRIM(A814)&amp;"]")+1,200)),TRIM(A814))&amp;"(")-1)),IF(LEFT(TRIM(A814),1)="[",TRIM(MID(TRIM(A814),FIND("]",TRIM(A814)&amp;"]")+1,200)),TRIM(A814))),""))</f>
      </c>
      <c r="C814" s="17">
        <f>IF(B814&lt;&gt;"",B814,C813)</f>
      </c>
      <c r="D814" s="17">
        <f>IF(A814="","",IF(OR(LEFT(UPPER(TRIM(A814)),2)="Y:",LEFT(UPPER(TRIM(A814)),10)="YESTERDAY:"),"Y",IF(OR(LEFT(UPPER(TRIM(A814)),2)="T:",LEFT(UPPER(TRIM(A814)),6)="TODAY:"),"T",IF(OR(LEFT(UPPER(TRIM(A814)),2)="B:",LEFT(UPPER(TRIM(A814)),8)="BLOCKER:",LEFT(UPPER(TRIM(A814)),9)="BLOCKERS:",LEFT(UPPER(TRIM(A814)),8)="BLOCKED:"),"B",""))))</f>
      </c>
      <c r="E814" s="17">
        <f>IF(D814="","",TRIM(MID(A814,FIND(":",A814)+1,500)))</f>
      </c>
    </row>
    <row r="815">
      <c r="B815" s="17">
        <f>IF(A815="","",IF(COUNTIF(Roster[Name],IF(RIGHT(IF(LEFT(TRIM(A815),1)="[",TRIM(MID(TRIM(A815),FIND("]",TRIM(A815)&amp;"]")+1,200)),TRIM(A815)),1)=")",TRIM(LEFT(IF(LEFT(TRIM(A815),1)="[",TRIM(MID(TRIM(A815),FIND("]",TRIM(A815)&amp;"]")+1,200)),TRIM(A815)),FIND("(",IF(LEFT(TRIM(A815),1)="[",TRIM(MID(TRIM(A815),FIND("]",TRIM(A815)&amp;"]")+1,200)),TRIM(A815))&amp;"(")-1)),IF(LEFT(TRIM(A815),1)="[",TRIM(MID(TRIM(A815),FIND("]",TRIM(A815)&amp;"]")+1,200)),TRIM(A815))))&gt;0,IF(RIGHT(IF(LEFT(TRIM(A815),1)="[",TRIM(MID(TRIM(A815),FIND("]",TRIM(A815)&amp;"]")+1,200)),TRIM(A815)),1)=")",TRIM(LEFT(IF(LEFT(TRIM(A815),1)="[",TRIM(MID(TRIM(A815),FIND("]",TRIM(A815)&amp;"]")+1,200)),TRIM(A815)),FIND("(",IF(LEFT(TRIM(A815),1)="[",TRIM(MID(TRIM(A815),FIND("]",TRIM(A815)&amp;"]")+1,200)),TRIM(A815))&amp;"(")-1)),IF(LEFT(TRIM(A815),1)="[",TRIM(MID(TRIM(A815),FIND("]",TRIM(A815)&amp;"]")+1,200)),TRIM(A815))),""))</f>
      </c>
      <c r="C815" s="17">
        <f>IF(B815&lt;&gt;"",B815,C814)</f>
      </c>
      <c r="D815" s="17">
        <f>IF(A815="","",IF(OR(LEFT(UPPER(TRIM(A815)),2)="Y:",LEFT(UPPER(TRIM(A815)),10)="YESTERDAY:"),"Y",IF(OR(LEFT(UPPER(TRIM(A815)),2)="T:",LEFT(UPPER(TRIM(A815)),6)="TODAY:"),"T",IF(OR(LEFT(UPPER(TRIM(A815)),2)="B:",LEFT(UPPER(TRIM(A815)),8)="BLOCKER:",LEFT(UPPER(TRIM(A815)),9)="BLOCKERS:",LEFT(UPPER(TRIM(A815)),8)="BLOCKED:"),"B",""))))</f>
      </c>
      <c r="E815" s="17">
        <f>IF(D815="","",TRIM(MID(A815,FIND(":",A815)+1,500)))</f>
      </c>
    </row>
    <row r="816">
      <c r="B816" s="17">
        <f>IF(A816="","",IF(COUNTIF(Roster[Name],IF(RIGHT(IF(LEFT(TRIM(A816),1)="[",TRIM(MID(TRIM(A816),FIND("]",TRIM(A816)&amp;"]")+1,200)),TRIM(A816)),1)=")",TRIM(LEFT(IF(LEFT(TRIM(A816),1)="[",TRIM(MID(TRIM(A816),FIND("]",TRIM(A816)&amp;"]")+1,200)),TRIM(A816)),FIND("(",IF(LEFT(TRIM(A816),1)="[",TRIM(MID(TRIM(A816),FIND("]",TRIM(A816)&amp;"]")+1,200)),TRIM(A816))&amp;"(")-1)),IF(LEFT(TRIM(A816),1)="[",TRIM(MID(TRIM(A816),FIND("]",TRIM(A816)&amp;"]")+1,200)),TRIM(A816))))&gt;0,IF(RIGHT(IF(LEFT(TRIM(A816),1)="[",TRIM(MID(TRIM(A816),FIND("]",TRIM(A816)&amp;"]")+1,200)),TRIM(A816)),1)=")",TRIM(LEFT(IF(LEFT(TRIM(A816),1)="[",TRIM(MID(TRIM(A816),FIND("]",TRIM(A816)&amp;"]")+1,200)),TRIM(A816)),FIND("(",IF(LEFT(TRIM(A816),1)="[",TRIM(MID(TRIM(A816),FIND("]",TRIM(A816)&amp;"]")+1,200)),TRIM(A816))&amp;"(")-1)),IF(LEFT(TRIM(A816),1)="[",TRIM(MID(TRIM(A816),FIND("]",TRIM(A816)&amp;"]")+1,200)),TRIM(A816))),""))</f>
      </c>
      <c r="C816" s="17">
        <f>IF(B816&lt;&gt;"",B816,C815)</f>
      </c>
      <c r="D816" s="17">
        <f>IF(A816="","",IF(OR(LEFT(UPPER(TRIM(A816)),2)="Y:",LEFT(UPPER(TRIM(A816)),10)="YESTERDAY:"),"Y",IF(OR(LEFT(UPPER(TRIM(A816)),2)="T:",LEFT(UPPER(TRIM(A816)),6)="TODAY:"),"T",IF(OR(LEFT(UPPER(TRIM(A816)),2)="B:",LEFT(UPPER(TRIM(A816)),8)="BLOCKER:",LEFT(UPPER(TRIM(A816)),9)="BLOCKERS:",LEFT(UPPER(TRIM(A816)),8)="BLOCKED:"),"B",""))))</f>
      </c>
      <c r="E816" s="17">
        <f>IF(D816="","",TRIM(MID(A816,FIND(":",A816)+1,500)))</f>
      </c>
    </row>
    <row r="817">
      <c r="B817" s="17">
        <f>IF(A817="","",IF(COUNTIF(Roster[Name],IF(RIGHT(IF(LEFT(TRIM(A817),1)="[",TRIM(MID(TRIM(A817),FIND("]",TRIM(A817)&amp;"]")+1,200)),TRIM(A817)),1)=")",TRIM(LEFT(IF(LEFT(TRIM(A817),1)="[",TRIM(MID(TRIM(A817),FIND("]",TRIM(A817)&amp;"]")+1,200)),TRIM(A817)),FIND("(",IF(LEFT(TRIM(A817),1)="[",TRIM(MID(TRIM(A817),FIND("]",TRIM(A817)&amp;"]")+1,200)),TRIM(A817))&amp;"(")-1)),IF(LEFT(TRIM(A817),1)="[",TRIM(MID(TRIM(A817),FIND("]",TRIM(A817)&amp;"]")+1,200)),TRIM(A817))))&gt;0,IF(RIGHT(IF(LEFT(TRIM(A817),1)="[",TRIM(MID(TRIM(A817),FIND("]",TRIM(A817)&amp;"]")+1,200)),TRIM(A817)),1)=")",TRIM(LEFT(IF(LEFT(TRIM(A817),1)="[",TRIM(MID(TRIM(A817),FIND("]",TRIM(A817)&amp;"]")+1,200)),TRIM(A817)),FIND("(",IF(LEFT(TRIM(A817),1)="[",TRIM(MID(TRIM(A817),FIND("]",TRIM(A817)&amp;"]")+1,200)),TRIM(A817))&amp;"(")-1)),IF(LEFT(TRIM(A817),1)="[",TRIM(MID(TRIM(A817),FIND("]",TRIM(A817)&amp;"]")+1,200)),TRIM(A817))),""))</f>
      </c>
      <c r="C817" s="17">
        <f>IF(B817&lt;&gt;"",B817,C816)</f>
      </c>
      <c r="D817" s="17">
        <f>IF(A817="","",IF(OR(LEFT(UPPER(TRIM(A817)),2)="Y:",LEFT(UPPER(TRIM(A817)),10)="YESTERDAY:"),"Y",IF(OR(LEFT(UPPER(TRIM(A817)),2)="T:",LEFT(UPPER(TRIM(A817)),6)="TODAY:"),"T",IF(OR(LEFT(UPPER(TRIM(A817)),2)="B:",LEFT(UPPER(TRIM(A817)),8)="BLOCKER:",LEFT(UPPER(TRIM(A817)),9)="BLOCKERS:",LEFT(UPPER(TRIM(A817)),8)="BLOCKED:"),"B",""))))</f>
      </c>
      <c r="E817" s="17">
        <f>IF(D817="","",TRIM(MID(A817,FIND(":",A817)+1,500)))</f>
      </c>
    </row>
    <row r="818">
      <c r="B818" s="17">
        <f>IF(A818="","",IF(COUNTIF(Roster[Name],IF(RIGHT(IF(LEFT(TRIM(A818),1)="[",TRIM(MID(TRIM(A818),FIND("]",TRIM(A818)&amp;"]")+1,200)),TRIM(A818)),1)=")",TRIM(LEFT(IF(LEFT(TRIM(A818),1)="[",TRIM(MID(TRIM(A818),FIND("]",TRIM(A818)&amp;"]")+1,200)),TRIM(A818)),FIND("(",IF(LEFT(TRIM(A818),1)="[",TRIM(MID(TRIM(A818),FIND("]",TRIM(A818)&amp;"]")+1,200)),TRIM(A818))&amp;"(")-1)),IF(LEFT(TRIM(A818),1)="[",TRIM(MID(TRIM(A818),FIND("]",TRIM(A818)&amp;"]")+1,200)),TRIM(A818))))&gt;0,IF(RIGHT(IF(LEFT(TRIM(A818),1)="[",TRIM(MID(TRIM(A818),FIND("]",TRIM(A818)&amp;"]")+1,200)),TRIM(A818)),1)=")",TRIM(LEFT(IF(LEFT(TRIM(A818),1)="[",TRIM(MID(TRIM(A818),FIND("]",TRIM(A818)&amp;"]")+1,200)),TRIM(A818)),FIND("(",IF(LEFT(TRIM(A818),1)="[",TRIM(MID(TRIM(A818),FIND("]",TRIM(A818)&amp;"]")+1,200)),TRIM(A818))&amp;"(")-1)),IF(LEFT(TRIM(A818),1)="[",TRIM(MID(TRIM(A818),FIND("]",TRIM(A818)&amp;"]")+1,200)),TRIM(A818))),""))</f>
      </c>
      <c r="C818" s="17">
        <f>IF(B818&lt;&gt;"",B818,C817)</f>
      </c>
      <c r="D818" s="17">
        <f>IF(A818="","",IF(OR(LEFT(UPPER(TRIM(A818)),2)="Y:",LEFT(UPPER(TRIM(A818)),10)="YESTERDAY:"),"Y",IF(OR(LEFT(UPPER(TRIM(A818)),2)="T:",LEFT(UPPER(TRIM(A818)),6)="TODAY:"),"T",IF(OR(LEFT(UPPER(TRIM(A818)),2)="B:",LEFT(UPPER(TRIM(A818)),8)="BLOCKER:",LEFT(UPPER(TRIM(A818)),9)="BLOCKERS:",LEFT(UPPER(TRIM(A818)),8)="BLOCKED:"),"B",""))))</f>
      </c>
      <c r="E818" s="17">
        <f>IF(D818="","",TRIM(MID(A818,FIND(":",A818)+1,500)))</f>
      </c>
    </row>
    <row r="819">
      <c r="B819" s="17">
        <f>IF(A819="","",IF(COUNTIF(Roster[Name],IF(RIGHT(IF(LEFT(TRIM(A819),1)="[",TRIM(MID(TRIM(A819),FIND("]",TRIM(A819)&amp;"]")+1,200)),TRIM(A819)),1)=")",TRIM(LEFT(IF(LEFT(TRIM(A819),1)="[",TRIM(MID(TRIM(A819),FIND("]",TRIM(A819)&amp;"]")+1,200)),TRIM(A819)),FIND("(",IF(LEFT(TRIM(A819),1)="[",TRIM(MID(TRIM(A819),FIND("]",TRIM(A819)&amp;"]")+1,200)),TRIM(A819))&amp;"(")-1)),IF(LEFT(TRIM(A819),1)="[",TRIM(MID(TRIM(A819),FIND("]",TRIM(A819)&amp;"]")+1,200)),TRIM(A819))))&gt;0,IF(RIGHT(IF(LEFT(TRIM(A819),1)="[",TRIM(MID(TRIM(A819),FIND("]",TRIM(A819)&amp;"]")+1,200)),TRIM(A819)),1)=")",TRIM(LEFT(IF(LEFT(TRIM(A819),1)="[",TRIM(MID(TRIM(A819),FIND("]",TRIM(A819)&amp;"]")+1,200)),TRIM(A819)),FIND("(",IF(LEFT(TRIM(A819),1)="[",TRIM(MID(TRIM(A819),FIND("]",TRIM(A819)&amp;"]")+1,200)),TRIM(A819))&amp;"(")-1)),IF(LEFT(TRIM(A819),1)="[",TRIM(MID(TRIM(A819),FIND("]",TRIM(A819)&amp;"]")+1,200)),TRIM(A819))),""))</f>
      </c>
      <c r="C819" s="17">
        <f>IF(B819&lt;&gt;"",B819,C818)</f>
      </c>
      <c r="D819" s="17">
        <f>IF(A819="","",IF(OR(LEFT(UPPER(TRIM(A819)),2)="Y:",LEFT(UPPER(TRIM(A819)),10)="YESTERDAY:"),"Y",IF(OR(LEFT(UPPER(TRIM(A819)),2)="T:",LEFT(UPPER(TRIM(A819)),6)="TODAY:"),"T",IF(OR(LEFT(UPPER(TRIM(A819)),2)="B:",LEFT(UPPER(TRIM(A819)),8)="BLOCKER:",LEFT(UPPER(TRIM(A819)),9)="BLOCKERS:",LEFT(UPPER(TRIM(A819)),8)="BLOCKED:"),"B",""))))</f>
      </c>
      <c r="E819" s="17">
        <f>IF(D819="","",TRIM(MID(A819,FIND(":",A819)+1,500)))</f>
      </c>
    </row>
    <row r="820">
      <c r="B820" s="17">
        <f>IF(A820="","",IF(COUNTIF(Roster[Name],IF(RIGHT(IF(LEFT(TRIM(A820),1)="[",TRIM(MID(TRIM(A820),FIND("]",TRIM(A820)&amp;"]")+1,200)),TRIM(A820)),1)=")",TRIM(LEFT(IF(LEFT(TRIM(A820),1)="[",TRIM(MID(TRIM(A820),FIND("]",TRIM(A820)&amp;"]")+1,200)),TRIM(A820)),FIND("(",IF(LEFT(TRIM(A820),1)="[",TRIM(MID(TRIM(A820),FIND("]",TRIM(A820)&amp;"]")+1,200)),TRIM(A820))&amp;"(")-1)),IF(LEFT(TRIM(A820),1)="[",TRIM(MID(TRIM(A820),FIND("]",TRIM(A820)&amp;"]")+1,200)),TRIM(A820))))&gt;0,IF(RIGHT(IF(LEFT(TRIM(A820),1)="[",TRIM(MID(TRIM(A820),FIND("]",TRIM(A820)&amp;"]")+1,200)),TRIM(A820)),1)=")",TRIM(LEFT(IF(LEFT(TRIM(A820),1)="[",TRIM(MID(TRIM(A820),FIND("]",TRIM(A820)&amp;"]")+1,200)),TRIM(A820)),FIND("(",IF(LEFT(TRIM(A820),1)="[",TRIM(MID(TRIM(A820),FIND("]",TRIM(A820)&amp;"]")+1,200)),TRIM(A820))&amp;"(")-1)),IF(LEFT(TRIM(A820),1)="[",TRIM(MID(TRIM(A820),FIND("]",TRIM(A820)&amp;"]")+1,200)),TRIM(A820))),""))</f>
      </c>
      <c r="C820" s="17">
        <f>IF(B820&lt;&gt;"",B820,C819)</f>
      </c>
      <c r="D820" s="17">
        <f>IF(A820="","",IF(OR(LEFT(UPPER(TRIM(A820)),2)="Y:",LEFT(UPPER(TRIM(A820)),10)="YESTERDAY:"),"Y",IF(OR(LEFT(UPPER(TRIM(A820)),2)="T:",LEFT(UPPER(TRIM(A820)),6)="TODAY:"),"T",IF(OR(LEFT(UPPER(TRIM(A820)),2)="B:",LEFT(UPPER(TRIM(A820)),8)="BLOCKER:",LEFT(UPPER(TRIM(A820)),9)="BLOCKERS:",LEFT(UPPER(TRIM(A820)),8)="BLOCKED:"),"B",""))))</f>
      </c>
      <c r="E820" s="17">
        <f>IF(D820="","",TRIM(MID(A820,FIND(":",A820)+1,500)))</f>
      </c>
    </row>
    <row r="821">
      <c r="B821" s="17">
        <f>IF(A821="","",IF(COUNTIF(Roster[Name],IF(RIGHT(IF(LEFT(TRIM(A821),1)="[",TRIM(MID(TRIM(A821),FIND("]",TRIM(A821)&amp;"]")+1,200)),TRIM(A821)),1)=")",TRIM(LEFT(IF(LEFT(TRIM(A821),1)="[",TRIM(MID(TRIM(A821),FIND("]",TRIM(A821)&amp;"]")+1,200)),TRIM(A821)),FIND("(",IF(LEFT(TRIM(A821),1)="[",TRIM(MID(TRIM(A821),FIND("]",TRIM(A821)&amp;"]")+1,200)),TRIM(A821))&amp;"(")-1)),IF(LEFT(TRIM(A821),1)="[",TRIM(MID(TRIM(A821),FIND("]",TRIM(A821)&amp;"]")+1,200)),TRIM(A821))))&gt;0,IF(RIGHT(IF(LEFT(TRIM(A821),1)="[",TRIM(MID(TRIM(A821),FIND("]",TRIM(A821)&amp;"]")+1,200)),TRIM(A821)),1)=")",TRIM(LEFT(IF(LEFT(TRIM(A821),1)="[",TRIM(MID(TRIM(A821),FIND("]",TRIM(A821)&amp;"]")+1,200)),TRIM(A821)),FIND("(",IF(LEFT(TRIM(A821),1)="[",TRIM(MID(TRIM(A821),FIND("]",TRIM(A821)&amp;"]")+1,200)),TRIM(A821))&amp;"(")-1)),IF(LEFT(TRIM(A821),1)="[",TRIM(MID(TRIM(A821),FIND("]",TRIM(A821)&amp;"]")+1,200)),TRIM(A821))),""))</f>
      </c>
      <c r="C821" s="17">
        <f>IF(B821&lt;&gt;"",B821,C820)</f>
      </c>
      <c r="D821" s="17">
        <f>IF(A821="","",IF(OR(LEFT(UPPER(TRIM(A821)),2)="Y:",LEFT(UPPER(TRIM(A821)),10)="YESTERDAY:"),"Y",IF(OR(LEFT(UPPER(TRIM(A821)),2)="T:",LEFT(UPPER(TRIM(A821)),6)="TODAY:"),"T",IF(OR(LEFT(UPPER(TRIM(A821)),2)="B:",LEFT(UPPER(TRIM(A821)),8)="BLOCKER:",LEFT(UPPER(TRIM(A821)),9)="BLOCKERS:",LEFT(UPPER(TRIM(A821)),8)="BLOCKED:"),"B",""))))</f>
      </c>
      <c r="E821" s="17">
        <f>IF(D821="","",TRIM(MID(A821,FIND(":",A821)+1,500)))</f>
      </c>
    </row>
    <row r="822">
      <c r="B822" s="17">
        <f>IF(A822="","",IF(COUNTIF(Roster[Name],IF(RIGHT(IF(LEFT(TRIM(A822),1)="[",TRIM(MID(TRIM(A822),FIND("]",TRIM(A822)&amp;"]")+1,200)),TRIM(A822)),1)=")",TRIM(LEFT(IF(LEFT(TRIM(A822),1)="[",TRIM(MID(TRIM(A822),FIND("]",TRIM(A822)&amp;"]")+1,200)),TRIM(A822)),FIND("(",IF(LEFT(TRIM(A822),1)="[",TRIM(MID(TRIM(A822),FIND("]",TRIM(A822)&amp;"]")+1,200)),TRIM(A822))&amp;"(")-1)),IF(LEFT(TRIM(A822),1)="[",TRIM(MID(TRIM(A822),FIND("]",TRIM(A822)&amp;"]")+1,200)),TRIM(A822))))&gt;0,IF(RIGHT(IF(LEFT(TRIM(A822),1)="[",TRIM(MID(TRIM(A822),FIND("]",TRIM(A822)&amp;"]")+1,200)),TRIM(A822)),1)=")",TRIM(LEFT(IF(LEFT(TRIM(A822),1)="[",TRIM(MID(TRIM(A822),FIND("]",TRIM(A822)&amp;"]")+1,200)),TRIM(A822)),FIND("(",IF(LEFT(TRIM(A822),1)="[",TRIM(MID(TRIM(A822),FIND("]",TRIM(A822)&amp;"]")+1,200)),TRIM(A822))&amp;"(")-1)),IF(LEFT(TRIM(A822),1)="[",TRIM(MID(TRIM(A822),FIND("]",TRIM(A822)&amp;"]")+1,200)),TRIM(A822))),""))</f>
      </c>
      <c r="C822" s="17">
        <f>IF(B822&lt;&gt;"",B822,C821)</f>
      </c>
      <c r="D822" s="17">
        <f>IF(A822="","",IF(OR(LEFT(UPPER(TRIM(A822)),2)="Y:",LEFT(UPPER(TRIM(A822)),10)="YESTERDAY:"),"Y",IF(OR(LEFT(UPPER(TRIM(A822)),2)="T:",LEFT(UPPER(TRIM(A822)),6)="TODAY:"),"T",IF(OR(LEFT(UPPER(TRIM(A822)),2)="B:",LEFT(UPPER(TRIM(A822)),8)="BLOCKER:",LEFT(UPPER(TRIM(A822)),9)="BLOCKERS:",LEFT(UPPER(TRIM(A822)),8)="BLOCKED:"),"B",""))))</f>
      </c>
      <c r="E822" s="17">
        <f>IF(D822="","",TRIM(MID(A822,FIND(":",A822)+1,500)))</f>
      </c>
    </row>
    <row r="823">
      <c r="B823" s="17">
        <f>IF(A823="","",IF(COUNTIF(Roster[Name],IF(RIGHT(IF(LEFT(TRIM(A823),1)="[",TRIM(MID(TRIM(A823),FIND("]",TRIM(A823)&amp;"]")+1,200)),TRIM(A823)),1)=")",TRIM(LEFT(IF(LEFT(TRIM(A823),1)="[",TRIM(MID(TRIM(A823),FIND("]",TRIM(A823)&amp;"]")+1,200)),TRIM(A823)),FIND("(",IF(LEFT(TRIM(A823),1)="[",TRIM(MID(TRIM(A823),FIND("]",TRIM(A823)&amp;"]")+1,200)),TRIM(A823))&amp;"(")-1)),IF(LEFT(TRIM(A823),1)="[",TRIM(MID(TRIM(A823),FIND("]",TRIM(A823)&amp;"]")+1,200)),TRIM(A823))))&gt;0,IF(RIGHT(IF(LEFT(TRIM(A823),1)="[",TRIM(MID(TRIM(A823),FIND("]",TRIM(A823)&amp;"]")+1,200)),TRIM(A823)),1)=")",TRIM(LEFT(IF(LEFT(TRIM(A823),1)="[",TRIM(MID(TRIM(A823),FIND("]",TRIM(A823)&amp;"]")+1,200)),TRIM(A823)),FIND("(",IF(LEFT(TRIM(A823),1)="[",TRIM(MID(TRIM(A823),FIND("]",TRIM(A823)&amp;"]")+1,200)),TRIM(A823))&amp;"(")-1)),IF(LEFT(TRIM(A823),1)="[",TRIM(MID(TRIM(A823),FIND("]",TRIM(A823)&amp;"]")+1,200)),TRIM(A823))),""))</f>
      </c>
      <c r="C823" s="17">
        <f>IF(B823&lt;&gt;"",B823,C822)</f>
      </c>
      <c r="D823" s="17">
        <f>IF(A823="","",IF(OR(LEFT(UPPER(TRIM(A823)),2)="Y:",LEFT(UPPER(TRIM(A823)),10)="YESTERDAY:"),"Y",IF(OR(LEFT(UPPER(TRIM(A823)),2)="T:",LEFT(UPPER(TRIM(A823)),6)="TODAY:"),"T",IF(OR(LEFT(UPPER(TRIM(A823)),2)="B:",LEFT(UPPER(TRIM(A823)),8)="BLOCKER:",LEFT(UPPER(TRIM(A823)),9)="BLOCKERS:",LEFT(UPPER(TRIM(A823)),8)="BLOCKED:"),"B",""))))</f>
      </c>
      <c r="E823" s="17">
        <f>IF(D823="","",TRIM(MID(A823,FIND(":",A823)+1,500)))</f>
      </c>
    </row>
    <row r="824">
      <c r="B824" s="17">
        <f>IF(A824="","",IF(COUNTIF(Roster[Name],IF(RIGHT(IF(LEFT(TRIM(A824),1)="[",TRIM(MID(TRIM(A824),FIND("]",TRIM(A824)&amp;"]")+1,200)),TRIM(A824)),1)=")",TRIM(LEFT(IF(LEFT(TRIM(A824),1)="[",TRIM(MID(TRIM(A824),FIND("]",TRIM(A824)&amp;"]")+1,200)),TRIM(A824)),FIND("(",IF(LEFT(TRIM(A824),1)="[",TRIM(MID(TRIM(A824),FIND("]",TRIM(A824)&amp;"]")+1,200)),TRIM(A824))&amp;"(")-1)),IF(LEFT(TRIM(A824),1)="[",TRIM(MID(TRIM(A824),FIND("]",TRIM(A824)&amp;"]")+1,200)),TRIM(A824))))&gt;0,IF(RIGHT(IF(LEFT(TRIM(A824),1)="[",TRIM(MID(TRIM(A824),FIND("]",TRIM(A824)&amp;"]")+1,200)),TRIM(A824)),1)=")",TRIM(LEFT(IF(LEFT(TRIM(A824),1)="[",TRIM(MID(TRIM(A824),FIND("]",TRIM(A824)&amp;"]")+1,200)),TRIM(A824)),FIND("(",IF(LEFT(TRIM(A824),1)="[",TRIM(MID(TRIM(A824),FIND("]",TRIM(A824)&amp;"]")+1,200)),TRIM(A824))&amp;"(")-1)),IF(LEFT(TRIM(A824),1)="[",TRIM(MID(TRIM(A824),FIND("]",TRIM(A824)&amp;"]")+1,200)),TRIM(A824))),""))</f>
      </c>
      <c r="C824" s="17">
        <f>IF(B824&lt;&gt;"",B824,C823)</f>
      </c>
      <c r="D824" s="17">
        <f>IF(A824="","",IF(OR(LEFT(UPPER(TRIM(A824)),2)="Y:",LEFT(UPPER(TRIM(A824)),10)="YESTERDAY:"),"Y",IF(OR(LEFT(UPPER(TRIM(A824)),2)="T:",LEFT(UPPER(TRIM(A824)),6)="TODAY:"),"T",IF(OR(LEFT(UPPER(TRIM(A824)),2)="B:",LEFT(UPPER(TRIM(A824)),8)="BLOCKER:",LEFT(UPPER(TRIM(A824)),9)="BLOCKERS:",LEFT(UPPER(TRIM(A824)),8)="BLOCKED:"),"B",""))))</f>
      </c>
      <c r="E824" s="17">
        <f>IF(D824="","",TRIM(MID(A824,FIND(":",A824)+1,500)))</f>
      </c>
    </row>
    <row r="825">
      <c r="B825" s="17">
        <f>IF(A825="","",IF(COUNTIF(Roster[Name],IF(RIGHT(IF(LEFT(TRIM(A825),1)="[",TRIM(MID(TRIM(A825),FIND("]",TRIM(A825)&amp;"]")+1,200)),TRIM(A825)),1)=")",TRIM(LEFT(IF(LEFT(TRIM(A825),1)="[",TRIM(MID(TRIM(A825),FIND("]",TRIM(A825)&amp;"]")+1,200)),TRIM(A825)),FIND("(",IF(LEFT(TRIM(A825),1)="[",TRIM(MID(TRIM(A825),FIND("]",TRIM(A825)&amp;"]")+1,200)),TRIM(A825))&amp;"(")-1)),IF(LEFT(TRIM(A825),1)="[",TRIM(MID(TRIM(A825),FIND("]",TRIM(A825)&amp;"]")+1,200)),TRIM(A825))))&gt;0,IF(RIGHT(IF(LEFT(TRIM(A825),1)="[",TRIM(MID(TRIM(A825),FIND("]",TRIM(A825)&amp;"]")+1,200)),TRIM(A825)),1)=")",TRIM(LEFT(IF(LEFT(TRIM(A825),1)="[",TRIM(MID(TRIM(A825),FIND("]",TRIM(A825)&amp;"]")+1,200)),TRIM(A825)),FIND("(",IF(LEFT(TRIM(A825),1)="[",TRIM(MID(TRIM(A825),FIND("]",TRIM(A825)&amp;"]")+1,200)),TRIM(A825))&amp;"(")-1)),IF(LEFT(TRIM(A825),1)="[",TRIM(MID(TRIM(A825),FIND("]",TRIM(A825)&amp;"]")+1,200)),TRIM(A825))),""))</f>
      </c>
      <c r="C825" s="17">
        <f>IF(B825&lt;&gt;"",B825,C824)</f>
      </c>
      <c r="D825" s="17">
        <f>IF(A825="","",IF(OR(LEFT(UPPER(TRIM(A825)),2)="Y:",LEFT(UPPER(TRIM(A825)),10)="YESTERDAY:"),"Y",IF(OR(LEFT(UPPER(TRIM(A825)),2)="T:",LEFT(UPPER(TRIM(A825)),6)="TODAY:"),"T",IF(OR(LEFT(UPPER(TRIM(A825)),2)="B:",LEFT(UPPER(TRIM(A825)),8)="BLOCKER:",LEFT(UPPER(TRIM(A825)),9)="BLOCKERS:",LEFT(UPPER(TRIM(A825)),8)="BLOCKED:"),"B",""))))</f>
      </c>
      <c r="E825" s="17">
        <f>IF(D825="","",TRIM(MID(A825,FIND(":",A825)+1,500)))</f>
      </c>
    </row>
    <row r="826">
      <c r="B826" s="17">
        <f>IF(A826="","",IF(COUNTIF(Roster[Name],IF(RIGHT(IF(LEFT(TRIM(A826),1)="[",TRIM(MID(TRIM(A826),FIND("]",TRIM(A826)&amp;"]")+1,200)),TRIM(A826)),1)=")",TRIM(LEFT(IF(LEFT(TRIM(A826),1)="[",TRIM(MID(TRIM(A826),FIND("]",TRIM(A826)&amp;"]")+1,200)),TRIM(A826)),FIND("(",IF(LEFT(TRIM(A826),1)="[",TRIM(MID(TRIM(A826),FIND("]",TRIM(A826)&amp;"]")+1,200)),TRIM(A826))&amp;"(")-1)),IF(LEFT(TRIM(A826),1)="[",TRIM(MID(TRIM(A826),FIND("]",TRIM(A826)&amp;"]")+1,200)),TRIM(A826))))&gt;0,IF(RIGHT(IF(LEFT(TRIM(A826),1)="[",TRIM(MID(TRIM(A826),FIND("]",TRIM(A826)&amp;"]")+1,200)),TRIM(A826)),1)=")",TRIM(LEFT(IF(LEFT(TRIM(A826),1)="[",TRIM(MID(TRIM(A826),FIND("]",TRIM(A826)&amp;"]")+1,200)),TRIM(A826)),FIND("(",IF(LEFT(TRIM(A826),1)="[",TRIM(MID(TRIM(A826),FIND("]",TRIM(A826)&amp;"]")+1,200)),TRIM(A826))&amp;"(")-1)),IF(LEFT(TRIM(A826),1)="[",TRIM(MID(TRIM(A826),FIND("]",TRIM(A826)&amp;"]")+1,200)),TRIM(A826))),""))</f>
      </c>
      <c r="C826" s="17">
        <f>IF(B826&lt;&gt;"",B826,C825)</f>
      </c>
      <c r="D826" s="17">
        <f>IF(A826="","",IF(OR(LEFT(UPPER(TRIM(A826)),2)="Y:",LEFT(UPPER(TRIM(A826)),10)="YESTERDAY:"),"Y",IF(OR(LEFT(UPPER(TRIM(A826)),2)="T:",LEFT(UPPER(TRIM(A826)),6)="TODAY:"),"T",IF(OR(LEFT(UPPER(TRIM(A826)),2)="B:",LEFT(UPPER(TRIM(A826)),8)="BLOCKER:",LEFT(UPPER(TRIM(A826)),9)="BLOCKERS:",LEFT(UPPER(TRIM(A826)),8)="BLOCKED:"),"B",""))))</f>
      </c>
      <c r="E826" s="17">
        <f>IF(D826="","",TRIM(MID(A826,FIND(":",A826)+1,500)))</f>
      </c>
    </row>
    <row r="827">
      <c r="B827" s="17">
        <f>IF(A827="","",IF(COUNTIF(Roster[Name],IF(RIGHT(IF(LEFT(TRIM(A827),1)="[",TRIM(MID(TRIM(A827),FIND("]",TRIM(A827)&amp;"]")+1,200)),TRIM(A827)),1)=")",TRIM(LEFT(IF(LEFT(TRIM(A827),1)="[",TRIM(MID(TRIM(A827),FIND("]",TRIM(A827)&amp;"]")+1,200)),TRIM(A827)),FIND("(",IF(LEFT(TRIM(A827),1)="[",TRIM(MID(TRIM(A827),FIND("]",TRIM(A827)&amp;"]")+1,200)),TRIM(A827))&amp;"(")-1)),IF(LEFT(TRIM(A827),1)="[",TRIM(MID(TRIM(A827),FIND("]",TRIM(A827)&amp;"]")+1,200)),TRIM(A827))))&gt;0,IF(RIGHT(IF(LEFT(TRIM(A827),1)="[",TRIM(MID(TRIM(A827),FIND("]",TRIM(A827)&amp;"]")+1,200)),TRIM(A827)),1)=")",TRIM(LEFT(IF(LEFT(TRIM(A827),1)="[",TRIM(MID(TRIM(A827),FIND("]",TRIM(A827)&amp;"]")+1,200)),TRIM(A827)),FIND("(",IF(LEFT(TRIM(A827),1)="[",TRIM(MID(TRIM(A827),FIND("]",TRIM(A827)&amp;"]")+1,200)),TRIM(A827))&amp;"(")-1)),IF(LEFT(TRIM(A827),1)="[",TRIM(MID(TRIM(A827),FIND("]",TRIM(A827)&amp;"]")+1,200)),TRIM(A827))),""))</f>
      </c>
      <c r="C827" s="17">
        <f>IF(B827&lt;&gt;"",B827,C826)</f>
      </c>
      <c r="D827" s="17">
        <f>IF(A827="","",IF(OR(LEFT(UPPER(TRIM(A827)),2)="Y:",LEFT(UPPER(TRIM(A827)),10)="YESTERDAY:"),"Y",IF(OR(LEFT(UPPER(TRIM(A827)),2)="T:",LEFT(UPPER(TRIM(A827)),6)="TODAY:"),"T",IF(OR(LEFT(UPPER(TRIM(A827)),2)="B:",LEFT(UPPER(TRIM(A827)),8)="BLOCKER:",LEFT(UPPER(TRIM(A827)),9)="BLOCKERS:",LEFT(UPPER(TRIM(A827)),8)="BLOCKED:"),"B",""))))</f>
      </c>
      <c r="E827" s="17">
        <f>IF(D827="","",TRIM(MID(A827,FIND(":",A827)+1,500)))</f>
      </c>
    </row>
    <row r="828">
      <c r="B828" s="17">
        <f>IF(A828="","",IF(COUNTIF(Roster[Name],IF(RIGHT(IF(LEFT(TRIM(A828),1)="[",TRIM(MID(TRIM(A828),FIND("]",TRIM(A828)&amp;"]")+1,200)),TRIM(A828)),1)=")",TRIM(LEFT(IF(LEFT(TRIM(A828),1)="[",TRIM(MID(TRIM(A828),FIND("]",TRIM(A828)&amp;"]")+1,200)),TRIM(A828)),FIND("(",IF(LEFT(TRIM(A828),1)="[",TRIM(MID(TRIM(A828),FIND("]",TRIM(A828)&amp;"]")+1,200)),TRIM(A828))&amp;"(")-1)),IF(LEFT(TRIM(A828),1)="[",TRIM(MID(TRIM(A828),FIND("]",TRIM(A828)&amp;"]")+1,200)),TRIM(A828))))&gt;0,IF(RIGHT(IF(LEFT(TRIM(A828),1)="[",TRIM(MID(TRIM(A828),FIND("]",TRIM(A828)&amp;"]")+1,200)),TRIM(A828)),1)=")",TRIM(LEFT(IF(LEFT(TRIM(A828),1)="[",TRIM(MID(TRIM(A828),FIND("]",TRIM(A828)&amp;"]")+1,200)),TRIM(A828)),FIND("(",IF(LEFT(TRIM(A828),1)="[",TRIM(MID(TRIM(A828),FIND("]",TRIM(A828)&amp;"]")+1,200)),TRIM(A828))&amp;"(")-1)),IF(LEFT(TRIM(A828),1)="[",TRIM(MID(TRIM(A828),FIND("]",TRIM(A828)&amp;"]")+1,200)),TRIM(A828))),""))</f>
      </c>
      <c r="C828" s="17">
        <f>IF(B828&lt;&gt;"",B828,C827)</f>
      </c>
      <c r="D828" s="17">
        <f>IF(A828="","",IF(OR(LEFT(UPPER(TRIM(A828)),2)="Y:",LEFT(UPPER(TRIM(A828)),10)="YESTERDAY:"),"Y",IF(OR(LEFT(UPPER(TRIM(A828)),2)="T:",LEFT(UPPER(TRIM(A828)),6)="TODAY:"),"T",IF(OR(LEFT(UPPER(TRIM(A828)),2)="B:",LEFT(UPPER(TRIM(A828)),8)="BLOCKER:",LEFT(UPPER(TRIM(A828)),9)="BLOCKERS:",LEFT(UPPER(TRIM(A828)),8)="BLOCKED:"),"B",""))))</f>
      </c>
      <c r="E828" s="17">
        <f>IF(D828="","",TRIM(MID(A828,FIND(":",A828)+1,500)))</f>
      </c>
    </row>
    <row r="829">
      <c r="B829" s="17">
        <f>IF(A829="","",IF(COUNTIF(Roster[Name],IF(RIGHT(IF(LEFT(TRIM(A829),1)="[",TRIM(MID(TRIM(A829),FIND("]",TRIM(A829)&amp;"]")+1,200)),TRIM(A829)),1)=")",TRIM(LEFT(IF(LEFT(TRIM(A829),1)="[",TRIM(MID(TRIM(A829),FIND("]",TRIM(A829)&amp;"]")+1,200)),TRIM(A829)),FIND("(",IF(LEFT(TRIM(A829),1)="[",TRIM(MID(TRIM(A829),FIND("]",TRIM(A829)&amp;"]")+1,200)),TRIM(A829))&amp;"(")-1)),IF(LEFT(TRIM(A829),1)="[",TRIM(MID(TRIM(A829),FIND("]",TRIM(A829)&amp;"]")+1,200)),TRIM(A829))))&gt;0,IF(RIGHT(IF(LEFT(TRIM(A829),1)="[",TRIM(MID(TRIM(A829),FIND("]",TRIM(A829)&amp;"]")+1,200)),TRIM(A829)),1)=")",TRIM(LEFT(IF(LEFT(TRIM(A829),1)="[",TRIM(MID(TRIM(A829),FIND("]",TRIM(A829)&amp;"]")+1,200)),TRIM(A829)),FIND("(",IF(LEFT(TRIM(A829),1)="[",TRIM(MID(TRIM(A829),FIND("]",TRIM(A829)&amp;"]")+1,200)),TRIM(A829))&amp;"(")-1)),IF(LEFT(TRIM(A829),1)="[",TRIM(MID(TRIM(A829),FIND("]",TRIM(A829)&amp;"]")+1,200)),TRIM(A829))),""))</f>
      </c>
      <c r="C829" s="17">
        <f>IF(B829&lt;&gt;"",B829,C828)</f>
      </c>
      <c r="D829" s="17">
        <f>IF(A829="","",IF(OR(LEFT(UPPER(TRIM(A829)),2)="Y:",LEFT(UPPER(TRIM(A829)),10)="YESTERDAY:"),"Y",IF(OR(LEFT(UPPER(TRIM(A829)),2)="T:",LEFT(UPPER(TRIM(A829)),6)="TODAY:"),"T",IF(OR(LEFT(UPPER(TRIM(A829)),2)="B:",LEFT(UPPER(TRIM(A829)),8)="BLOCKER:",LEFT(UPPER(TRIM(A829)),9)="BLOCKERS:",LEFT(UPPER(TRIM(A829)),8)="BLOCKED:"),"B",""))))</f>
      </c>
      <c r="E829" s="17">
        <f>IF(D829="","",TRIM(MID(A829,FIND(":",A829)+1,500)))</f>
      </c>
    </row>
    <row r="830">
      <c r="B830" s="17">
        <f>IF(A830="","",IF(COUNTIF(Roster[Name],IF(RIGHT(IF(LEFT(TRIM(A830),1)="[",TRIM(MID(TRIM(A830),FIND("]",TRIM(A830)&amp;"]")+1,200)),TRIM(A830)),1)=")",TRIM(LEFT(IF(LEFT(TRIM(A830),1)="[",TRIM(MID(TRIM(A830),FIND("]",TRIM(A830)&amp;"]")+1,200)),TRIM(A830)),FIND("(",IF(LEFT(TRIM(A830),1)="[",TRIM(MID(TRIM(A830),FIND("]",TRIM(A830)&amp;"]")+1,200)),TRIM(A830))&amp;"(")-1)),IF(LEFT(TRIM(A830),1)="[",TRIM(MID(TRIM(A830),FIND("]",TRIM(A830)&amp;"]")+1,200)),TRIM(A830))))&gt;0,IF(RIGHT(IF(LEFT(TRIM(A830),1)="[",TRIM(MID(TRIM(A830),FIND("]",TRIM(A830)&amp;"]")+1,200)),TRIM(A830)),1)=")",TRIM(LEFT(IF(LEFT(TRIM(A830),1)="[",TRIM(MID(TRIM(A830),FIND("]",TRIM(A830)&amp;"]")+1,200)),TRIM(A830)),FIND("(",IF(LEFT(TRIM(A830),1)="[",TRIM(MID(TRIM(A830),FIND("]",TRIM(A830)&amp;"]")+1,200)),TRIM(A830))&amp;"(")-1)),IF(LEFT(TRIM(A830),1)="[",TRIM(MID(TRIM(A830),FIND("]",TRIM(A830)&amp;"]")+1,200)),TRIM(A830))),""))</f>
      </c>
      <c r="C830" s="17">
        <f>IF(B830&lt;&gt;"",B830,C829)</f>
      </c>
      <c r="D830" s="17">
        <f>IF(A830="","",IF(OR(LEFT(UPPER(TRIM(A830)),2)="Y:",LEFT(UPPER(TRIM(A830)),10)="YESTERDAY:"),"Y",IF(OR(LEFT(UPPER(TRIM(A830)),2)="T:",LEFT(UPPER(TRIM(A830)),6)="TODAY:"),"T",IF(OR(LEFT(UPPER(TRIM(A830)),2)="B:",LEFT(UPPER(TRIM(A830)),8)="BLOCKER:",LEFT(UPPER(TRIM(A830)),9)="BLOCKERS:",LEFT(UPPER(TRIM(A830)),8)="BLOCKED:"),"B",""))))</f>
      </c>
      <c r="E830" s="17">
        <f>IF(D830="","",TRIM(MID(A830,FIND(":",A830)+1,500)))</f>
      </c>
    </row>
    <row r="831">
      <c r="B831" s="17">
        <f>IF(A831="","",IF(COUNTIF(Roster[Name],IF(RIGHT(IF(LEFT(TRIM(A831),1)="[",TRIM(MID(TRIM(A831),FIND("]",TRIM(A831)&amp;"]")+1,200)),TRIM(A831)),1)=")",TRIM(LEFT(IF(LEFT(TRIM(A831),1)="[",TRIM(MID(TRIM(A831),FIND("]",TRIM(A831)&amp;"]")+1,200)),TRIM(A831)),FIND("(",IF(LEFT(TRIM(A831),1)="[",TRIM(MID(TRIM(A831),FIND("]",TRIM(A831)&amp;"]")+1,200)),TRIM(A831))&amp;"(")-1)),IF(LEFT(TRIM(A831),1)="[",TRIM(MID(TRIM(A831),FIND("]",TRIM(A831)&amp;"]")+1,200)),TRIM(A831))))&gt;0,IF(RIGHT(IF(LEFT(TRIM(A831),1)="[",TRIM(MID(TRIM(A831),FIND("]",TRIM(A831)&amp;"]")+1,200)),TRIM(A831)),1)=")",TRIM(LEFT(IF(LEFT(TRIM(A831),1)="[",TRIM(MID(TRIM(A831),FIND("]",TRIM(A831)&amp;"]")+1,200)),TRIM(A831)),FIND("(",IF(LEFT(TRIM(A831),1)="[",TRIM(MID(TRIM(A831),FIND("]",TRIM(A831)&amp;"]")+1,200)),TRIM(A831))&amp;"(")-1)),IF(LEFT(TRIM(A831),1)="[",TRIM(MID(TRIM(A831),FIND("]",TRIM(A831)&amp;"]")+1,200)),TRIM(A831))),""))</f>
      </c>
      <c r="C831" s="17">
        <f>IF(B831&lt;&gt;"",B831,C830)</f>
      </c>
      <c r="D831" s="17">
        <f>IF(A831="","",IF(OR(LEFT(UPPER(TRIM(A831)),2)="Y:",LEFT(UPPER(TRIM(A831)),10)="YESTERDAY:"),"Y",IF(OR(LEFT(UPPER(TRIM(A831)),2)="T:",LEFT(UPPER(TRIM(A831)),6)="TODAY:"),"T",IF(OR(LEFT(UPPER(TRIM(A831)),2)="B:",LEFT(UPPER(TRIM(A831)),8)="BLOCKER:",LEFT(UPPER(TRIM(A831)),9)="BLOCKERS:",LEFT(UPPER(TRIM(A831)),8)="BLOCKED:"),"B",""))))</f>
      </c>
      <c r="E831" s="17">
        <f>IF(D831="","",TRIM(MID(A831,FIND(":",A831)+1,500)))</f>
      </c>
    </row>
    <row r="832">
      <c r="B832" s="17">
        <f>IF(A832="","",IF(COUNTIF(Roster[Name],IF(RIGHT(IF(LEFT(TRIM(A832),1)="[",TRIM(MID(TRIM(A832),FIND("]",TRIM(A832)&amp;"]")+1,200)),TRIM(A832)),1)=")",TRIM(LEFT(IF(LEFT(TRIM(A832),1)="[",TRIM(MID(TRIM(A832),FIND("]",TRIM(A832)&amp;"]")+1,200)),TRIM(A832)),FIND("(",IF(LEFT(TRIM(A832),1)="[",TRIM(MID(TRIM(A832),FIND("]",TRIM(A832)&amp;"]")+1,200)),TRIM(A832))&amp;"(")-1)),IF(LEFT(TRIM(A832),1)="[",TRIM(MID(TRIM(A832),FIND("]",TRIM(A832)&amp;"]")+1,200)),TRIM(A832))))&gt;0,IF(RIGHT(IF(LEFT(TRIM(A832),1)="[",TRIM(MID(TRIM(A832),FIND("]",TRIM(A832)&amp;"]")+1,200)),TRIM(A832)),1)=")",TRIM(LEFT(IF(LEFT(TRIM(A832),1)="[",TRIM(MID(TRIM(A832),FIND("]",TRIM(A832)&amp;"]")+1,200)),TRIM(A832)),FIND("(",IF(LEFT(TRIM(A832),1)="[",TRIM(MID(TRIM(A832),FIND("]",TRIM(A832)&amp;"]")+1,200)),TRIM(A832))&amp;"(")-1)),IF(LEFT(TRIM(A832),1)="[",TRIM(MID(TRIM(A832),FIND("]",TRIM(A832)&amp;"]")+1,200)),TRIM(A832))),""))</f>
      </c>
      <c r="C832" s="17">
        <f>IF(B832&lt;&gt;"",B832,C831)</f>
      </c>
      <c r="D832" s="17">
        <f>IF(A832="","",IF(OR(LEFT(UPPER(TRIM(A832)),2)="Y:",LEFT(UPPER(TRIM(A832)),10)="YESTERDAY:"),"Y",IF(OR(LEFT(UPPER(TRIM(A832)),2)="T:",LEFT(UPPER(TRIM(A832)),6)="TODAY:"),"T",IF(OR(LEFT(UPPER(TRIM(A832)),2)="B:",LEFT(UPPER(TRIM(A832)),8)="BLOCKER:",LEFT(UPPER(TRIM(A832)),9)="BLOCKERS:",LEFT(UPPER(TRIM(A832)),8)="BLOCKED:"),"B",""))))</f>
      </c>
      <c r="E832" s="17">
        <f>IF(D832="","",TRIM(MID(A832,FIND(":",A832)+1,500)))</f>
      </c>
    </row>
    <row r="833">
      <c r="B833" s="17">
        <f>IF(A833="","",IF(COUNTIF(Roster[Name],IF(RIGHT(IF(LEFT(TRIM(A833),1)="[",TRIM(MID(TRIM(A833),FIND("]",TRIM(A833)&amp;"]")+1,200)),TRIM(A833)),1)=")",TRIM(LEFT(IF(LEFT(TRIM(A833),1)="[",TRIM(MID(TRIM(A833),FIND("]",TRIM(A833)&amp;"]")+1,200)),TRIM(A833)),FIND("(",IF(LEFT(TRIM(A833),1)="[",TRIM(MID(TRIM(A833),FIND("]",TRIM(A833)&amp;"]")+1,200)),TRIM(A833))&amp;"(")-1)),IF(LEFT(TRIM(A833),1)="[",TRIM(MID(TRIM(A833),FIND("]",TRIM(A833)&amp;"]")+1,200)),TRIM(A833))))&gt;0,IF(RIGHT(IF(LEFT(TRIM(A833),1)="[",TRIM(MID(TRIM(A833),FIND("]",TRIM(A833)&amp;"]")+1,200)),TRIM(A833)),1)=")",TRIM(LEFT(IF(LEFT(TRIM(A833),1)="[",TRIM(MID(TRIM(A833),FIND("]",TRIM(A833)&amp;"]")+1,200)),TRIM(A833)),FIND("(",IF(LEFT(TRIM(A833),1)="[",TRIM(MID(TRIM(A833),FIND("]",TRIM(A833)&amp;"]")+1,200)),TRIM(A833))&amp;"(")-1)),IF(LEFT(TRIM(A833),1)="[",TRIM(MID(TRIM(A833),FIND("]",TRIM(A833)&amp;"]")+1,200)),TRIM(A833))),""))</f>
      </c>
      <c r="C833" s="17">
        <f>IF(B833&lt;&gt;"",B833,C832)</f>
      </c>
      <c r="D833" s="17">
        <f>IF(A833="","",IF(OR(LEFT(UPPER(TRIM(A833)),2)="Y:",LEFT(UPPER(TRIM(A833)),10)="YESTERDAY:"),"Y",IF(OR(LEFT(UPPER(TRIM(A833)),2)="T:",LEFT(UPPER(TRIM(A833)),6)="TODAY:"),"T",IF(OR(LEFT(UPPER(TRIM(A833)),2)="B:",LEFT(UPPER(TRIM(A833)),8)="BLOCKER:",LEFT(UPPER(TRIM(A833)),9)="BLOCKERS:",LEFT(UPPER(TRIM(A833)),8)="BLOCKED:"),"B",""))))</f>
      </c>
      <c r="E833" s="17">
        <f>IF(D833="","",TRIM(MID(A833,FIND(":",A833)+1,500)))</f>
      </c>
    </row>
    <row r="834">
      <c r="B834" s="17">
        <f>IF(A834="","",IF(COUNTIF(Roster[Name],IF(RIGHT(IF(LEFT(TRIM(A834),1)="[",TRIM(MID(TRIM(A834),FIND("]",TRIM(A834)&amp;"]")+1,200)),TRIM(A834)),1)=")",TRIM(LEFT(IF(LEFT(TRIM(A834),1)="[",TRIM(MID(TRIM(A834),FIND("]",TRIM(A834)&amp;"]")+1,200)),TRIM(A834)),FIND("(",IF(LEFT(TRIM(A834),1)="[",TRIM(MID(TRIM(A834),FIND("]",TRIM(A834)&amp;"]")+1,200)),TRIM(A834))&amp;"(")-1)),IF(LEFT(TRIM(A834),1)="[",TRIM(MID(TRIM(A834),FIND("]",TRIM(A834)&amp;"]")+1,200)),TRIM(A834))))&gt;0,IF(RIGHT(IF(LEFT(TRIM(A834),1)="[",TRIM(MID(TRIM(A834),FIND("]",TRIM(A834)&amp;"]")+1,200)),TRIM(A834)),1)=")",TRIM(LEFT(IF(LEFT(TRIM(A834),1)="[",TRIM(MID(TRIM(A834),FIND("]",TRIM(A834)&amp;"]")+1,200)),TRIM(A834)),FIND("(",IF(LEFT(TRIM(A834),1)="[",TRIM(MID(TRIM(A834),FIND("]",TRIM(A834)&amp;"]")+1,200)),TRIM(A834))&amp;"(")-1)),IF(LEFT(TRIM(A834),1)="[",TRIM(MID(TRIM(A834),FIND("]",TRIM(A834)&amp;"]")+1,200)),TRIM(A834))),""))</f>
      </c>
      <c r="C834" s="17">
        <f>IF(B834&lt;&gt;"",B834,C833)</f>
      </c>
      <c r="D834" s="17">
        <f>IF(A834="","",IF(OR(LEFT(UPPER(TRIM(A834)),2)="Y:",LEFT(UPPER(TRIM(A834)),10)="YESTERDAY:"),"Y",IF(OR(LEFT(UPPER(TRIM(A834)),2)="T:",LEFT(UPPER(TRIM(A834)),6)="TODAY:"),"T",IF(OR(LEFT(UPPER(TRIM(A834)),2)="B:",LEFT(UPPER(TRIM(A834)),8)="BLOCKER:",LEFT(UPPER(TRIM(A834)),9)="BLOCKERS:",LEFT(UPPER(TRIM(A834)),8)="BLOCKED:"),"B",""))))</f>
      </c>
      <c r="E834" s="17">
        <f>IF(D834="","",TRIM(MID(A834,FIND(":",A834)+1,500)))</f>
      </c>
    </row>
    <row r="835">
      <c r="B835" s="17">
        <f>IF(A835="","",IF(COUNTIF(Roster[Name],IF(RIGHT(IF(LEFT(TRIM(A835),1)="[",TRIM(MID(TRIM(A835),FIND("]",TRIM(A835)&amp;"]")+1,200)),TRIM(A835)),1)=")",TRIM(LEFT(IF(LEFT(TRIM(A835),1)="[",TRIM(MID(TRIM(A835),FIND("]",TRIM(A835)&amp;"]")+1,200)),TRIM(A835)),FIND("(",IF(LEFT(TRIM(A835),1)="[",TRIM(MID(TRIM(A835),FIND("]",TRIM(A835)&amp;"]")+1,200)),TRIM(A835))&amp;"(")-1)),IF(LEFT(TRIM(A835),1)="[",TRIM(MID(TRIM(A835),FIND("]",TRIM(A835)&amp;"]")+1,200)),TRIM(A835))))&gt;0,IF(RIGHT(IF(LEFT(TRIM(A835),1)="[",TRIM(MID(TRIM(A835),FIND("]",TRIM(A835)&amp;"]")+1,200)),TRIM(A835)),1)=")",TRIM(LEFT(IF(LEFT(TRIM(A835),1)="[",TRIM(MID(TRIM(A835),FIND("]",TRIM(A835)&amp;"]")+1,200)),TRIM(A835)),FIND("(",IF(LEFT(TRIM(A835),1)="[",TRIM(MID(TRIM(A835),FIND("]",TRIM(A835)&amp;"]")+1,200)),TRIM(A835))&amp;"(")-1)),IF(LEFT(TRIM(A835),1)="[",TRIM(MID(TRIM(A835),FIND("]",TRIM(A835)&amp;"]")+1,200)),TRIM(A835))),""))</f>
      </c>
      <c r="C835" s="17">
        <f>IF(B835&lt;&gt;"",B835,C834)</f>
      </c>
      <c r="D835" s="17">
        <f>IF(A835="","",IF(OR(LEFT(UPPER(TRIM(A835)),2)="Y:",LEFT(UPPER(TRIM(A835)),10)="YESTERDAY:"),"Y",IF(OR(LEFT(UPPER(TRIM(A835)),2)="T:",LEFT(UPPER(TRIM(A835)),6)="TODAY:"),"T",IF(OR(LEFT(UPPER(TRIM(A835)),2)="B:",LEFT(UPPER(TRIM(A835)),8)="BLOCKER:",LEFT(UPPER(TRIM(A835)),9)="BLOCKERS:",LEFT(UPPER(TRIM(A835)),8)="BLOCKED:"),"B",""))))</f>
      </c>
      <c r="E835" s="17">
        <f>IF(D835="","",TRIM(MID(A835,FIND(":",A835)+1,500)))</f>
      </c>
    </row>
    <row r="836">
      <c r="B836" s="17">
        <f>IF(A836="","",IF(COUNTIF(Roster[Name],IF(RIGHT(IF(LEFT(TRIM(A836),1)="[",TRIM(MID(TRIM(A836),FIND("]",TRIM(A836)&amp;"]")+1,200)),TRIM(A836)),1)=")",TRIM(LEFT(IF(LEFT(TRIM(A836),1)="[",TRIM(MID(TRIM(A836),FIND("]",TRIM(A836)&amp;"]")+1,200)),TRIM(A836)),FIND("(",IF(LEFT(TRIM(A836),1)="[",TRIM(MID(TRIM(A836),FIND("]",TRIM(A836)&amp;"]")+1,200)),TRIM(A836))&amp;"(")-1)),IF(LEFT(TRIM(A836),1)="[",TRIM(MID(TRIM(A836),FIND("]",TRIM(A836)&amp;"]")+1,200)),TRIM(A836))))&gt;0,IF(RIGHT(IF(LEFT(TRIM(A836),1)="[",TRIM(MID(TRIM(A836),FIND("]",TRIM(A836)&amp;"]")+1,200)),TRIM(A836)),1)=")",TRIM(LEFT(IF(LEFT(TRIM(A836),1)="[",TRIM(MID(TRIM(A836),FIND("]",TRIM(A836)&amp;"]")+1,200)),TRIM(A836)),FIND("(",IF(LEFT(TRIM(A836),1)="[",TRIM(MID(TRIM(A836),FIND("]",TRIM(A836)&amp;"]")+1,200)),TRIM(A836))&amp;"(")-1)),IF(LEFT(TRIM(A836),1)="[",TRIM(MID(TRIM(A836),FIND("]",TRIM(A836)&amp;"]")+1,200)),TRIM(A836))),""))</f>
      </c>
      <c r="C836" s="17">
        <f>IF(B836&lt;&gt;"",B836,C835)</f>
      </c>
      <c r="D836" s="17">
        <f>IF(A836="","",IF(OR(LEFT(UPPER(TRIM(A836)),2)="Y:",LEFT(UPPER(TRIM(A836)),10)="YESTERDAY:"),"Y",IF(OR(LEFT(UPPER(TRIM(A836)),2)="T:",LEFT(UPPER(TRIM(A836)),6)="TODAY:"),"T",IF(OR(LEFT(UPPER(TRIM(A836)),2)="B:",LEFT(UPPER(TRIM(A836)),8)="BLOCKER:",LEFT(UPPER(TRIM(A836)),9)="BLOCKERS:",LEFT(UPPER(TRIM(A836)),8)="BLOCKED:"),"B",""))))</f>
      </c>
      <c r="E836" s="17">
        <f>IF(D836="","",TRIM(MID(A836,FIND(":",A836)+1,500)))</f>
      </c>
    </row>
    <row r="837">
      <c r="B837" s="17">
        <f>IF(A837="","",IF(COUNTIF(Roster[Name],IF(RIGHT(IF(LEFT(TRIM(A837),1)="[",TRIM(MID(TRIM(A837),FIND("]",TRIM(A837)&amp;"]")+1,200)),TRIM(A837)),1)=")",TRIM(LEFT(IF(LEFT(TRIM(A837),1)="[",TRIM(MID(TRIM(A837),FIND("]",TRIM(A837)&amp;"]")+1,200)),TRIM(A837)),FIND("(",IF(LEFT(TRIM(A837),1)="[",TRIM(MID(TRIM(A837),FIND("]",TRIM(A837)&amp;"]")+1,200)),TRIM(A837))&amp;"(")-1)),IF(LEFT(TRIM(A837),1)="[",TRIM(MID(TRIM(A837),FIND("]",TRIM(A837)&amp;"]")+1,200)),TRIM(A837))))&gt;0,IF(RIGHT(IF(LEFT(TRIM(A837),1)="[",TRIM(MID(TRIM(A837),FIND("]",TRIM(A837)&amp;"]")+1,200)),TRIM(A837)),1)=")",TRIM(LEFT(IF(LEFT(TRIM(A837),1)="[",TRIM(MID(TRIM(A837),FIND("]",TRIM(A837)&amp;"]")+1,200)),TRIM(A837)),FIND("(",IF(LEFT(TRIM(A837),1)="[",TRIM(MID(TRIM(A837),FIND("]",TRIM(A837)&amp;"]")+1,200)),TRIM(A837))&amp;"(")-1)),IF(LEFT(TRIM(A837),1)="[",TRIM(MID(TRIM(A837),FIND("]",TRIM(A837)&amp;"]")+1,200)),TRIM(A837))),""))</f>
      </c>
      <c r="C837" s="17">
        <f>IF(B837&lt;&gt;"",B837,C836)</f>
      </c>
      <c r="D837" s="17">
        <f>IF(A837="","",IF(OR(LEFT(UPPER(TRIM(A837)),2)="Y:",LEFT(UPPER(TRIM(A837)),10)="YESTERDAY:"),"Y",IF(OR(LEFT(UPPER(TRIM(A837)),2)="T:",LEFT(UPPER(TRIM(A837)),6)="TODAY:"),"T",IF(OR(LEFT(UPPER(TRIM(A837)),2)="B:",LEFT(UPPER(TRIM(A837)),8)="BLOCKER:",LEFT(UPPER(TRIM(A837)),9)="BLOCKERS:",LEFT(UPPER(TRIM(A837)),8)="BLOCKED:"),"B",""))))</f>
      </c>
      <c r="E837" s="17">
        <f>IF(D837="","",TRIM(MID(A837,FIND(":",A837)+1,500)))</f>
      </c>
    </row>
    <row r="838">
      <c r="B838" s="17">
        <f>IF(A838="","",IF(COUNTIF(Roster[Name],IF(RIGHT(IF(LEFT(TRIM(A838),1)="[",TRIM(MID(TRIM(A838),FIND("]",TRIM(A838)&amp;"]")+1,200)),TRIM(A838)),1)=")",TRIM(LEFT(IF(LEFT(TRIM(A838),1)="[",TRIM(MID(TRIM(A838),FIND("]",TRIM(A838)&amp;"]")+1,200)),TRIM(A838)),FIND("(",IF(LEFT(TRIM(A838),1)="[",TRIM(MID(TRIM(A838),FIND("]",TRIM(A838)&amp;"]")+1,200)),TRIM(A838))&amp;"(")-1)),IF(LEFT(TRIM(A838),1)="[",TRIM(MID(TRIM(A838),FIND("]",TRIM(A838)&amp;"]")+1,200)),TRIM(A838))))&gt;0,IF(RIGHT(IF(LEFT(TRIM(A838),1)="[",TRIM(MID(TRIM(A838),FIND("]",TRIM(A838)&amp;"]")+1,200)),TRIM(A838)),1)=")",TRIM(LEFT(IF(LEFT(TRIM(A838),1)="[",TRIM(MID(TRIM(A838),FIND("]",TRIM(A838)&amp;"]")+1,200)),TRIM(A838)),FIND("(",IF(LEFT(TRIM(A838),1)="[",TRIM(MID(TRIM(A838),FIND("]",TRIM(A838)&amp;"]")+1,200)),TRIM(A838))&amp;"(")-1)),IF(LEFT(TRIM(A838),1)="[",TRIM(MID(TRIM(A838),FIND("]",TRIM(A838)&amp;"]")+1,200)),TRIM(A838))),""))</f>
      </c>
      <c r="C838" s="17">
        <f>IF(B838&lt;&gt;"",B838,C837)</f>
      </c>
      <c r="D838" s="17">
        <f>IF(A838="","",IF(OR(LEFT(UPPER(TRIM(A838)),2)="Y:",LEFT(UPPER(TRIM(A838)),10)="YESTERDAY:"),"Y",IF(OR(LEFT(UPPER(TRIM(A838)),2)="T:",LEFT(UPPER(TRIM(A838)),6)="TODAY:"),"T",IF(OR(LEFT(UPPER(TRIM(A838)),2)="B:",LEFT(UPPER(TRIM(A838)),8)="BLOCKER:",LEFT(UPPER(TRIM(A838)),9)="BLOCKERS:",LEFT(UPPER(TRIM(A838)),8)="BLOCKED:"),"B",""))))</f>
      </c>
      <c r="E838" s="17">
        <f>IF(D838="","",TRIM(MID(A838,FIND(":",A838)+1,500)))</f>
      </c>
    </row>
    <row r="839">
      <c r="B839" s="17">
        <f>IF(A839="","",IF(COUNTIF(Roster[Name],IF(RIGHT(IF(LEFT(TRIM(A839),1)="[",TRIM(MID(TRIM(A839),FIND("]",TRIM(A839)&amp;"]")+1,200)),TRIM(A839)),1)=")",TRIM(LEFT(IF(LEFT(TRIM(A839),1)="[",TRIM(MID(TRIM(A839),FIND("]",TRIM(A839)&amp;"]")+1,200)),TRIM(A839)),FIND("(",IF(LEFT(TRIM(A839),1)="[",TRIM(MID(TRIM(A839),FIND("]",TRIM(A839)&amp;"]")+1,200)),TRIM(A839))&amp;"(")-1)),IF(LEFT(TRIM(A839),1)="[",TRIM(MID(TRIM(A839),FIND("]",TRIM(A839)&amp;"]")+1,200)),TRIM(A839))))&gt;0,IF(RIGHT(IF(LEFT(TRIM(A839),1)="[",TRIM(MID(TRIM(A839),FIND("]",TRIM(A839)&amp;"]")+1,200)),TRIM(A839)),1)=")",TRIM(LEFT(IF(LEFT(TRIM(A839),1)="[",TRIM(MID(TRIM(A839),FIND("]",TRIM(A839)&amp;"]")+1,200)),TRIM(A839)),FIND("(",IF(LEFT(TRIM(A839),1)="[",TRIM(MID(TRIM(A839),FIND("]",TRIM(A839)&amp;"]")+1,200)),TRIM(A839))&amp;"(")-1)),IF(LEFT(TRIM(A839),1)="[",TRIM(MID(TRIM(A839),FIND("]",TRIM(A839)&amp;"]")+1,200)),TRIM(A839))),""))</f>
      </c>
      <c r="C839" s="17">
        <f>IF(B839&lt;&gt;"",B839,C838)</f>
      </c>
      <c r="D839" s="17">
        <f>IF(A839="","",IF(OR(LEFT(UPPER(TRIM(A839)),2)="Y:",LEFT(UPPER(TRIM(A839)),10)="YESTERDAY:"),"Y",IF(OR(LEFT(UPPER(TRIM(A839)),2)="T:",LEFT(UPPER(TRIM(A839)),6)="TODAY:"),"T",IF(OR(LEFT(UPPER(TRIM(A839)),2)="B:",LEFT(UPPER(TRIM(A839)),8)="BLOCKER:",LEFT(UPPER(TRIM(A839)),9)="BLOCKERS:",LEFT(UPPER(TRIM(A839)),8)="BLOCKED:"),"B",""))))</f>
      </c>
      <c r="E839" s="17">
        <f>IF(D839="","",TRIM(MID(A839,FIND(":",A839)+1,500)))</f>
      </c>
    </row>
    <row r="840">
      <c r="B840" s="17">
        <f>IF(A840="","",IF(COUNTIF(Roster[Name],IF(RIGHT(IF(LEFT(TRIM(A840),1)="[",TRIM(MID(TRIM(A840),FIND("]",TRIM(A840)&amp;"]")+1,200)),TRIM(A840)),1)=")",TRIM(LEFT(IF(LEFT(TRIM(A840),1)="[",TRIM(MID(TRIM(A840),FIND("]",TRIM(A840)&amp;"]")+1,200)),TRIM(A840)),FIND("(",IF(LEFT(TRIM(A840),1)="[",TRIM(MID(TRIM(A840),FIND("]",TRIM(A840)&amp;"]")+1,200)),TRIM(A840))&amp;"(")-1)),IF(LEFT(TRIM(A840),1)="[",TRIM(MID(TRIM(A840),FIND("]",TRIM(A840)&amp;"]")+1,200)),TRIM(A840))))&gt;0,IF(RIGHT(IF(LEFT(TRIM(A840),1)="[",TRIM(MID(TRIM(A840),FIND("]",TRIM(A840)&amp;"]")+1,200)),TRIM(A840)),1)=")",TRIM(LEFT(IF(LEFT(TRIM(A840),1)="[",TRIM(MID(TRIM(A840),FIND("]",TRIM(A840)&amp;"]")+1,200)),TRIM(A840)),FIND("(",IF(LEFT(TRIM(A840),1)="[",TRIM(MID(TRIM(A840),FIND("]",TRIM(A840)&amp;"]")+1,200)),TRIM(A840))&amp;"(")-1)),IF(LEFT(TRIM(A840),1)="[",TRIM(MID(TRIM(A840),FIND("]",TRIM(A840)&amp;"]")+1,200)),TRIM(A840))),""))</f>
      </c>
      <c r="C840" s="17">
        <f>IF(B840&lt;&gt;"",B840,C839)</f>
      </c>
      <c r="D840" s="17">
        <f>IF(A840="","",IF(OR(LEFT(UPPER(TRIM(A840)),2)="Y:",LEFT(UPPER(TRIM(A840)),10)="YESTERDAY:"),"Y",IF(OR(LEFT(UPPER(TRIM(A840)),2)="T:",LEFT(UPPER(TRIM(A840)),6)="TODAY:"),"T",IF(OR(LEFT(UPPER(TRIM(A840)),2)="B:",LEFT(UPPER(TRIM(A840)),8)="BLOCKER:",LEFT(UPPER(TRIM(A840)),9)="BLOCKERS:",LEFT(UPPER(TRIM(A840)),8)="BLOCKED:"),"B",""))))</f>
      </c>
      <c r="E840" s="17">
        <f>IF(D840="","",TRIM(MID(A840,FIND(":",A840)+1,500)))</f>
      </c>
    </row>
    <row r="841">
      <c r="B841" s="17">
        <f>IF(A841="","",IF(COUNTIF(Roster[Name],IF(RIGHT(IF(LEFT(TRIM(A841),1)="[",TRIM(MID(TRIM(A841),FIND("]",TRIM(A841)&amp;"]")+1,200)),TRIM(A841)),1)=")",TRIM(LEFT(IF(LEFT(TRIM(A841),1)="[",TRIM(MID(TRIM(A841),FIND("]",TRIM(A841)&amp;"]")+1,200)),TRIM(A841)),FIND("(",IF(LEFT(TRIM(A841),1)="[",TRIM(MID(TRIM(A841),FIND("]",TRIM(A841)&amp;"]")+1,200)),TRIM(A841))&amp;"(")-1)),IF(LEFT(TRIM(A841),1)="[",TRIM(MID(TRIM(A841),FIND("]",TRIM(A841)&amp;"]")+1,200)),TRIM(A841))))&gt;0,IF(RIGHT(IF(LEFT(TRIM(A841),1)="[",TRIM(MID(TRIM(A841),FIND("]",TRIM(A841)&amp;"]")+1,200)),TRIM(A841)),1)=")",TRIM(LEFT(IF(LEFT(TRIM(A841),1)="[",TRIM(MID(TRIM(A841),FIND("]",TRIM(A841)&amp;"]")+1,200)),TRIM(A841)),FIND("(",IF(LEFT(TRIM(A841),1)="[",TRIM(MID(TRIM(A841),FIND("]",TRIM(A841)&amp;"]")+1,200)),TRIM(A841))&amp;"(")-1)),IF(LEFT(TRIM(A841),1)="[",TRIM(MID(TRIM(A841),FIND("]",TRIM(A841)&amp;"]")+1,200)),TRIM(A841))),""))</f>
      </c>
      <c r="C841" s="17">
        <f>IF(B841&lt;&gt;"",B841,C840)</f>
      </c>
      <c r="D841" s="17">
        <f>IF(A841="","",IF(OR(LEFT(UPPER(TRIM(A841)),2)="Y:",LEFT(UPPER(TRIM(A841)),10)="YESTERDAY:"),"Y",IF(OR(LEFT(UPPER(TRIM(A841)),2)="T:",LEFT(UPPER(TRIM(A841)),6)="TODAY:"),"T",IF(OR(LEFT(UPPER(TRIM(A841)),2)="B:",LEFT(UPPER(TRIM(A841)),8)="BLOCKER:",LEFT(UPPER(TRIM(A841)),9)="BLOCKERS:",LEFT(UPPER(TRIM(A841)),8)="BLOCKED:"),"B",""))))</f>
      </c>
      <c r="E841" s="17">
        <f>IF(D841="","",TRIM(MID(A841,FIND(":",A841)+1,500)))</f>
      </c>
    </row>
    <row r="842">
      <c r="B842" s="17">
        <f>IF(A842="","",IF(COUNTIF(Roster[Name],IF(RIGHT(IF(LEFT(TRIM(A842),1)="[",TRIM(MID(TRIM(A842),FIND("]",TRIM(A842)&amp;"]")+1,200)),TRIM(A842)),1)=")",TRIM(LEFT(IF(LEFT(TRIM(A842),1)="[",TRIM(MID(TRIM(A842),FIND("]",TRIM(A842)&amp;"]")+1,200)),TRIM(A842)),FIND("(",IF(LEFT(TRIM(A842),1)="[",TRIM(MID(TRIM(A842),FIND("]",TRIM(A842)&amp;"]")+1,200)),TRIM(A842))&amp;"(")-1)),IF(LEFT(TRIM(A842),1)="[",TRIM(MID(TRIM(A842),FIND("]",TRIM(A842)&amp;"]")+1,200)),TRIM(A842))))&gt;0,IF(RIGHT(IF(LEFT(TRIM(A842),1)="[",TRIM(MID(TRIM(A842),FIND("]",TRIM(A842)&amp;"]")+1,200)),TRIM(A842)),1)=")",TRIM(LEFT(IF(LEFT(TRIM(A842),1)="[",TRIM(MID(TRIM(A842),FIND("]",TRIM(A842)&amp;"]")+1,200)),TRIM(A842)),FIND("(",IF(LEFT(TRIM(A842),1)="[",TRIM(MID(TRIM(A842),FIND("]",TRIM(A842)&amp;"]")+1,200)),TRIM(A842))&amp;"(")-1)),IF(LEFT(TRIM(A842),1)="[",TRIM(MID(TRIM(A842),FIND("]",TRIM(A842)&amp;"]")+1,200)),TRIM(A842))),""))</f>
      </c>
      <c r="C842" s="17">
        <f>IF(B842&lt;&gt;"",B842,C841)</f>
      </c>
      <c r="D842" s="17">
        <f>IF(A842="","",IF(OR(LEFT(UPPER(TRIM(A842)),2)="Y:",LEFT(UPPER(TRIM(A842)),10)="YESTERDAY:"),"Y",IF(OR(LEFT(UPPER(TRIM(A842)),2)="T:",LEFT(UPPER(TRIM(A842)),6)="TODAY:"),"T",IF(OR(LEFT(UPPER(TRIM(A842)),2)="B:",LEFT(UPPER(TRIM(A842)),8)="BLOCKER:",LEFT(UPPER(TRIM(A842)),9)="BLOCKERS:",LEFT(UPPER(TRIM(A842)),8)="BLOCKED:"),"B",""))))</f>
      </c>
      <c r="E842" s="17">
        <f>IF(D842="","",TRIM(MID(A842,FIND(":",A842)+1,500)))</f>
      </c>
    </row>
    <row r="843">
      <c r="B843" s="17">
        <f>IF(A843="","",IF(COUNTIF(Roster[Name],IF(RIGHT(IF(LEFT(TRIM(A843),1)="[",TRIM(MID(TRIM(A843),FIND("]",TRIM(A843)&amp;"]")+1,200)),TRIM(A843)),1)=")",TRIM(LEFT(IF(LEFT(TRIM(A843),1)="[",TRIM(MID(TRIM(A843),FIND("]",TRIM(A843)&amp;"]")+1,200)),TRIM(A843)),FIND("(",IF(LEFT(TRIM(A843),1)="[",TRIM(MID(TRIM(A843),FIND("]",TRIM(A843)&amp;"]")+1,200)),TRIM(A843))&amp;"(")-1)),IF(LEFT(TRIM(A843),1)="[",TRIM(MID(TRIM(A843),FIND("]",TRIM(A843)&amp;"]")+1,200)),TRIM(A843))))&gt;0,IF(RIGHT(IF(LEFT(TRIM(A843),1)="[",TRIM(MID(TRIM(A843),FIND("]",TRIM(A843)&amp;"]")+1,200)),TRIM(A843)),1)=")",TRIM(LEFT(IF(LEFT(TRIM(A843),1)="[",TRIM(MID(TRIM(A843),FIND("]",TRIM(A843)&amp;"]")+1,200)),TRIM(A843)),FIND("(",IF(LEFT(TRIM(A843),1)="[",TRIM(MID(TRIM(A843),FIND("]",TRIM(A843)&amp;"]")+1,200)),TRIM(A843))&amp;"(")-1)),IF(LEFT(TRIM(A843),1)="[",TRIM(MID(TRIM(A843),FIND("]",TRIM(A843)&amp;"]")+1,200)),TRIM(A843))),""))</f>
      </c>
      <c r="C843" s="17">
        <f>IF(B843&lt;&gt;"",B843,C842)</f>
      </c>
      <c r="D843" s="17">
        <f>IF(A843="","",IF(OR(LEFT(UPPER(TRIM(A843)),2)="Y:",LEFT(UPPER(TRIM(A843)),10)="YESTERDAY:"),"Y",IF(OR(LEFT(UPPER(TRIM(A843)),2)="T:",LEFT(UPPER(TRIM(A843)),6)="TODAY:"),"T",IF(OR(LEFT(UPPER(TRIM(A843)),2)="B:",LEFT(UPPER(TRIM(A843)),8)="BLOCKER:",LEFT(UPPER(TRIM(A843)),9)="BLOCKERS:",LEFT(UPPER(TRIM(A843)),8)="BLOCKED:"),"B",""))))</f>
      </c>
      <c r="E843" s="17">
        <f>IF(D843="","",TRIM(MID(A843,FIND(":",A843)+1,500)))</f>
      </c>
    </row>
    <row r="844">
      <c r="B844" s="17">
        <f>IF(A844="","",IF(COUNTIF(Roster[Name],IF(RIGHT(IF(LEFT(TRIM(A844),1)="[",TRIM(MID(TRIM(A844),FIND("]",TRIM(A844)&amp;"]")+1,200)),TRIM(A844)),1)=")",TRIM(LEFT(IF(LEFT(TRIM(A844),1)="[",TRIM(MID(TRIM(A844),FIND("]",TRIM(A844)&amp;"]")+1,200)),TRIM(A844)),FIND("(",IF(LEFT(TRIM(A844),1)="[",TRIM(MID(TRIM(A844),FIND("]",TRIM(A844)&amp;"]")+1,200)),TRIM(A844))&amp;"(")-1)),IF(LEFT(TRIM(A844),1)="[",TRIM(MID(TRIM(A844),FIND("]",TRIM(A844)&amp;"]")+1,200)),TRIM(A844))))&gt;0,IF(RIGHT(IF(LEFT(TRIM(A844),1)="[",TRIM(MID(TRIM(A844),FIND("]",TRIM(A844)&amp;"]")+1,200)),TRIM(A844)),1)=")",TRIM(LEFT(IF(LEFT(TRIM(A844),1)="[",TRIM(MID(TRIM(A844),FIND("]",TRIM(A844)&amp;"]")+1,200)),TRIM(A844)),FIND("(",IF(LEFT(TRIM(A844),1)="[",TRIM(MID(TRIM(A844),FIND("]",TRIM(A844)&amp;"]")+1,200)),TRIM(A844))&amp;"(")-1)),IF(LEFT(TRIM(A844),1)="[",TRIM(MID(TRIM(A844),FIND("]",TRIM(A844)&amp;"]")+1,200)),TRIM(A844))),""))</f>
      </c>
      <c r="C844" s="17">
        <f>IF(B844&lt;&gt;"",B844,C843)</f>
      </c>
      <c r="D844" s="17">
        <f>IF(A844="","",IF(OR(LEFT(UPPER(TRIM(A844)),2)="Y:",LEFT(UPPER(TRIM(A844)),10)="YESTERDAY:"),"Y",IF(OR(LEFT(UPPER(TRIM(A844)),2)="T:",LEFT(UPPER(TRIM(A844)),6)="TODAY:"),"T",IF(OR(LEFT(UPPER(TRIM(A844)),2)="B:",LEFT(UPPER(TRIM(A844)),8)="BLOCKER:",LEFT(UPPER(TRIM(A844)),9)="BLOCKERS:",LEFT(UPPER(TRIM(A844)),8)="BLOCKED:"),"B",""))))</f>
      </c>
      <c r="E844" s="17">
        <f>IF(D844="","",TRIM(MID(A844,FIND(":",A844)+1,500)))</f>
      </c>
    </row>
    <row r="845">
      <c r="B845" s="17">
        <f>IF(A845="","",IF(COUNTIF(Roster[Name],IF(RIGHT(IF(LEFT(TRIM(A845),1)="[",TRIM(MID(TRIM(A845),FIND("]",TRIM(A845)&amp;"]")+1,200)),TRIM(A845)),1)=")",TRIM(LEFT(IF(LEFT(TRIM(A845),1)="[",TRIM(MID(TRIM(A845),FIND("]",TRIM(A845)&amp;"]")+1,200)),TRIM(A845)),FIND("(",IF(LEFT(TRIM(A845),1)="[",TRIM(MID(TRIM(A845),FIND("]",TRIM(A845)&amp;"]")+1,200)),TRIM(A845))&amp;"(")-1)),IF(LEFT(TRIM(A845),1)="[",TRIM(MID(TRIM(A845),FIND("]",TRIM(A845)&amp;"]")+1,200)),TRIM(A845))))&gt;0,IF(RIGHT(IF(LEFT(TRIM(A845),1)="[",TRIM(MID(TRIM(A845),FIND("]",TRIM(A845)&amp;"]")+1,200)),TRIM(A845)),1)=")",TRIM(LEFT(IF(LEFT(TRIM(A845),1)="[",TRIM(MID(TRIM(A845),FIND("]",TRIM(A845)&amp;"]")+1,200)),TRIM(A845)),FIND("(",IF(LEFT(TRIM(A845),1)="[",TRIM(MID(TRIM(A845),FIND("]",TRIM(A845)&amp;"]")+1,200)),TRIM(A845))&amp;"(")-1)),IF(LEFT(TRIM(A845),1)="[",TRIM(MID(TRIM(A845),FIND("]",TRIM(A845)&amp;"]")+1,200)),TRIM(A845))),""))</f>
      </c>
      <c r="C845" s="17">
        <f>IF(B845&lt;&gt;"",B845,C844)</f>
      </c>
      <c r="D845" s="17">
        <f>IF(A845="","",IF(OR(LEFT(UPPER(TRIM(A845)),2)="Y:",LEFT(UPPER(TRIM(A845)),10)="YESTERDAY:"),"Y",IF(OR(LEFT(UPPER(TRIM(A845)),2)="T:",LEFT(UPPER(TRIM(A845)),6)="TODAY:"),"T",IF(OR(LEFT(UPPER(TRIM(A845)),2)="B:",LEFT(UPPER(TRIM(A845)),8)="BLOCKER:",LEFT(UPPER(TRIM(A845)),9)="BLOCKERS:",LEFT(UPPER(TRIM(A845)),8)="BLOCKED:"),"B",""))))</f>
      </c>
      <c r="E845" s="17">
        <f>IF(D845="","",TRIM(MID(A845,FIND(":",A845)+1,500)))</f>
      </c>
    </row>
    <row r="846">
      <c r="B846" s="17">
        <f>IF(A846="","",IF(COUNTIF(Roster[Name],IF(RIGHT(IF(LEFT(TRIM(A846),1)="[",TRIM(MID(TRIM(A846),FIND("]",TRIM(A846)&amp;"]")+1,200)),TRIM(A846)),1)=")",TRIM(LEFT(IF(LEFT(TRIM(A846),1)="[",TRIM(MID(TRIM(A846),FIND("]",TRIM(A846)&amp;"]")+1,200)),TRIM(A846)),FIND("(",IF(LEFT(TRIM(A846),1)="[",TRIM(MID(TRIM(A846),FIND("]",TRIM(A846)&amp;"]")+1,200)),TRIM(A846))&amp;"(")-1)),IF(LEFT(TRIM(A846),1)="[",TRIM(MID(TRIM(A846),FIND("]",TRIM(A846)&amp;"]")+1,200)),TRIM(A846))))&gt;0,IF(RIGHT(IF(LEFT(TRIM(A846),1)="[",TRIM(MID(TRIM(A846),FIND("]",TRIM(A846)&amp;"]")+1,200)),TRIM(A846)),1)=")",TRIM(LEFT(IF(LEFT(TRIM(A846),1)="[",TRIM(MID(TRIM(A846),FIND("]",TRIM(A846)&amp;"]")+1,200)),TRIM(A846)),FIND("(",IF(LEFT(TRIM(A846),1)="[",TRIM(MID(TRIM(A846),FIND("]",TRIM(A846)&amp;"]")+1,200)),TRIM(A846))&amp;"(")-1)),IF(LEFT(TRIM(A846),1)="[",TRIM(MID(TRIM(A846),FIND("]",TRIM(A846)&amp;"]")+1,200)),TRIM(A846))),""))</f>
      </c>
      <c r="C846" s="17">
        <f>IF(B846&lt;&gt;"",B846,C845)</f>
      </c>
      <c r="D846" s="17">
        <f>IF(A846="","",IF(OR(LEFT(UPPER(TRIM(A846)),2)="Y:",LEFT(UPPER(TRIM(A846)),10)="YESTERDAY:"),"Y",IF(OR(LEFT(UPPER(TRIM(A846)),2)="T:",LEFT(UPPER(TRIM(A846)),6)="TODAY:"),"T",IF(OR(LEFT(UPPER(TRIM(A846)),2)="B:",LEFT(UPPER(TRIM(A846)),8)="BLOCKER:",LEFT(UPPER(TRIM(A846)),9)="BLOCKERS:",LEFT(UPPER(TRIM(A846)),8)="BLOCKED:"),"B",""))))</f>
      </c>
      <c r="E846" s="17">
        <f>IF(D846="","",TRIM(MID(A846,FIND(":",A846)+1,500)))</f>
      </c>
    </row>
    <row r="847">
      <c r="B847" s="17">
        <f>IF(A847="","",IF(COUNTIF(Roster[Name],IF(RIGHT(IF(LEFT(TRIM(A847),1)="[",TRIM(MID(TRIM(A847),FIND("]",TRIM(A847)&amp;"]")+1,200)),TRIM(A847)),1)=")",TRIM(LEFT(IF(LEFT(TRIM(A847),1)="[",TRIM(MID(TRIM(A847),FIND("]",TRIM(A847)&amp;"]")+1,200)),TRIM(A847)),FIND("(",IF(LEFT(TRIM(A847),1)="[",TRIM(MID(TRIM(A847),FIND("]",TRIM(A847)&amp;"]")+1,200)),TRIM(A847))&amp;"(")-1)),IF(LEFT(TRIM(A847),1)="[",TRIM(MID(TRIM(A847),FIND("]",TRIM(A847)&amp;"]")+1,200)),TRIM(A847))))&gt;0,IF(RIGHT(IF(LEFT(TRIM(A847),1)="[",TRIM(MID(TRIM(A847),FIND("]",TRIM(A847)&amp;"]")+1,200)),TRIM(A847)),1)=")",TRIM(LEFT(IF(LEFT(TRIM(A847),1)="[",TRIM(MID(TRIM(A847),FIND("]",TRIM(A847)&amp;"]")+1,200)),TRIM(A847)),FIND("(",IF(LEFT(TRIM(A847),1)="[",TRIM(MID(TRIM(A847),FIND("]",TRIM(A847)&amp;"]")+1,200)),TRIM(A847))&amp;"(")-1)),IF(LEFT(TRIM(A847),1)="[",TRIM(MID(TRIM(A847),FIND("]",TRIM(A847)&amp;"]")+1,200)),TRIM(A847))),""))</f>
      </c>
      <c r="C847" s="17">
        <f>IF(B847&lt;&gt;"",B847,C846)</f>
      </c>
      <c r="D847" s="17">
        <f>IF(A847="","",IF(OR(LEFT(UPPER(TRIM(A847)),2)="Y:",LEFT(UPPER(TRIM(A847)),10)="YESTERDAY:"),"Y",IF(OR(LEFT(UPPER(TRIM(A847)),2)="T:",LEFT(UPPER(TRIM(A847)),6)="TODAY:"),"T",IF(OR(LEFT(UPPER(TRIM(A847)),2)="B:",LEFT(UPPER(TRIM(A847)),8)="BLOCKER:",LEFT(UPPER(TRIM(A847)),9)="BLOCKERS:",LEFT(UPPER(TRIM(A847)),8)="BLOCKED:"),"B",""))))</f>
      </c>
      <c r="E847" s="17">
        <f>IF(D847="","",TRIM(MID(A847,FIND(":",A847)+1,500)))</f>
      </c>
    </row>
    <row r="848">
      <c r="B848" s="17">
        <f>IF(A848="","",IF(COUNTIF(Roster[Name],IF(RIGHT(IF(LEFT(TRIM(A848),1)="[",TRIM(MID(TRIM(A848),FIND("]",TRIM(A848)&amp;"]")+1,200)),TRIM(A848)),1)=")",TRIM(LEFT(IF(LEFT(TRIM(A848),1)="[",TRIM(MID(TRIM(A848),FIND("]",TRIM(A848)&amp;"]")+1,200)),TRIM(A848)),FIND("(",IF(LEFT(TRIM(A848),1)="[",TRIM(MID(TRIM(A848),FIND("]",TRIM(A848)&amp;"]")+1,200)),TRIM(A848))&amp;"(")-1)),IF(LEFT(TRIM(A848),1)="[",TRIM(MID(TRIM(A848),FIND("]",TRIM(A848)&amp;"]")+1,200)),TRIM(A848))))&gt;0,IF(RIGHT(IF(LEFT(TRIM(A848),1)="[",TRIM(MID(TRIM(A848),FIND("]",TRIM(A848)&amp;"]")+1,200)),TRIM(A848)),1)=")",TRIM(LEFT(IF(LEFT(TRIM(A848),1)="[",TRIM(MID(TRIM(A848),FIND("]",TRIM(A848)&amp;"]")+1,200)),TRIM(A848)),FIND("(",IF(LEFT(TRIM(A848),1)="[",TRIM(MID(TRIM(A848),FIND("]",TRIM(A848)&amp;"]")+1,200)),TRIM(A848))&amp;"(")-1)),IF(LEFT(TRIM(A848),1)="[",TRIM(MID(TRIM(A848),FIND("]",TRIM(A848)&amp;"]")+1,200)),TRIM(A848))),""))</f>
      </c>
      <c r="C848" s="17">
        <f>IF(B848&lt;&gt;"",B848,C847)</f>
      </c>
      <c r="D848" s="17">
        <f>IF(A848="","",IF(OR(LEFT(UPPER(TRIM(A848)),2)="Y:",LEFT(UPPER(TRIM(A848)),10)="YESTERDAY:"),"Y",IF(OR(LEFT(UPPER(TRIM(A848)),2)="T:",LEFT(UPPER(TRIM(A848)),6)="TODAY:"),"T",IF(OR(LEFT(UPPER(TRIM(A848)),2)="B:",LEFT(UPPER(TRIM(A848)),8)="BLOCKER:",LEFT(UPPER(TRIM(A848)),9)="BLOCKERS:",LEFT(UPPER(TRIM(A848)),8)="BLOCKED:"),"B",""))))</f>
      </c>
      <c r="E848" s="17">
        <f>IF(D848="","",TRIM(MID(A848,FIND(":",A848)+1,500)))</f>
      </c>
    </row>
    <row r="849">
      <c r="B849" s="17">
        <f>IF(A849="","",IF(COUNTIF(Roster[Name],IF(RIGHT(IF(LEFT(TRIM(A849),1)="[",TRIM(MID(TRIM(A849),FIND("]",TRIM(A849)&amp;"]")+1,200)),TRIM(A849)),1)=")",TRIM(LEFT(IF(LEFT(TRIM(A849),1)="[",TRIM(MID(TRIM(A849),FIND("]",TRIM(A849)&amp;"]")+1,200)),TRIM(A849)),FIND("(",IF(LEFT(TRIM(A849),1)="[",TRIM(MID(TRIM(A849),FIND("]",TRIM(A849)&amp;"]")+1,200)),TRIM(A849))&amp;"(")-1)),IF(LEFT(TRIM(A849),1)="[",TRIM(MID(TRIM(A849),FIND("]",TRIM(A849)&amp;"]")+1,200)),TRIM(A849))))&gt;0,IF(RIGHT(IF(LEFT(TRIM(A849),1)="[",TRIM(MID(TRIM(A849),FIND("]",TRIM(A849)&amp;"]")+1,200)),TRIM(A849)),1)=")",TRIM(LEFT(IF(LEFT(TRIM(A849),1)="[",TRIM(MID(TRIM(A849),FIND("]",TRIM(A849)&amp;"]")+1,200)),TRIM(A849)),FIND("(",IF(LEFT(TRIM(A849),1)="[",TRIM(MID(TRIM(A849),FIND("]",TRIM(A849)&amp;"]")+1,200)),TRIM(A849))&amp;"(")-1)),IF(LEFT(TRIM(A849),1)="[",TRIM(MID(TRIM(A849),FIND("]",TRIM(A849)&amp;"]")+1,200)),TRIM(A849))),""))</f>
      </c>
      <c r="C849" s="17">
        <f>IF(B849&lt;&gt;"",B849,C848)</f>
      </c>
      <c r="D849" s="17">
        <f>IF(A849="","",IF(OR(LEFT(UPPER(TRIM(A849)),2)="Y:",LEFT(UPPER(TRIM(A849)),10)="YESTERDAY:"),"Y",IF(OR(LEFT(UPPER(TRIM(A849)),2)="T:",LEFT(UPPER(TRIM(A849)),6)="TODAY:"),"T",IF(OR(LEFT(UPPER(TRIM(A849)),2)="B:",LEFT(UPPER(TRIM(A849)),8)="BLOCKER:",LEFT(UPPER(TRIM(A849)),9)="BLOCKERS:",LEFT(UPPER(TRIM(A849)),8)="BLOCKED:"),"B",""))))</f>
      </c>
      <c r="E849" s="17">
        <f>IF(D849="","",TRIM(MID(A849,FIND(":",A849)+1,500)))</f>
      </c>
    </row>
    <row r="850">
      <c r="B850" s="17">
        <f>IF(A850="","",IF(COUNTIF(Roster[Name],IF(RIGHT(IF(LEFT(TRIM(A850),1)="[",TRIM(MID(TRIM(A850),FIND("]",TRIM(A850)&amp;"]")+1,200)),TRIM(A850)),1)=")",TRIM(LEFT(IF(LEFT(TRIM(A850),1)="[",TRIM(MID(TRIM(A850),FIND("]",TRIM(A850)&amp;"]")+1,200)),TRIM(A850)),FIND("(",IF(LEFT(TRIM(A850),1)="[",TRIM(MID(TRIM(A850),FIND("]",TRIM(A850)&amp;"]")+1,200)),TRIM(A850))&amp;"(")-1)),IF(LEFT(TRIM(A850),1)="[",TRIM(MID(TRIM(A850),FIND("]",TRIM(A850)&amp;"]")+1,200)),TRIM(A850))))&gt;0,IF(RIGHT(IF(LEFT(TRIM(A850),1)="[",TRIM(MID(TRIM(A850),FIND("]",TRIM(A850)&amp;"]")+1,200)),TRIM(A850)),1)=")",TRIM(LEFT(IF(LEFT(TRIM(A850),1)="[",TRIM(MID(TRIM(A850),FIND("]",TRIM(A850)&amp;"]")+1,200)),TRIM(A850)),FIND("(",IF(LEFT(TRIM(A850),1)="[",TRIM(MID(TRIM(A850),FIND("]",TRIM(A850)&amp;"]")+1,200)),TRIM(A850))&amp;"(")-1)),IF(LEFT(TRIM(A850),1)="[",TRIM(MID(TRIM(A850),FIND("]",TRIM(A850)&amp;"]")+1,200)),TRIM(A850))),""))</f>
      </c>
      <c r="C850" s="17">
        <f>IF(B850&lt;&gt;"",B850,C849)</f>
      </c>
      <c r="D850" s="17">
        <f>IF(A850="","",IF(OR(LEFT(UPPER(TRIM(A850)),2)="Y:",LEFT(UPPER(TRIM(A850)),10)="YESTERDAY:"),"Y",IF(OR(LEFT(UPPER(TRIM(A850)),2)="T:",LEFT(UPPER(TRIM(A850)),6)="TODAY:"),"T",IF(OR(LEFT(UPPER(TRIM(A850)),2)="B:",LEFT(UPPER(TRIM(A850)),8)="BLOCKER:",LEFT(UPPER(TRIM(A850)),9)="BLOCKERS:",LEFT(UPPER(TRIM(A850)),8)="BLOCKED:"),"B",""))))</f>
      </c>
      <c r="E850" s="17">
        <f>IF(D850="","",TRIM(MID(A850,FIND(":",A850)+1,500)))</f>
      </c>
    </row>
    <row r="851">
      <c r="B851" s="17">
        <f>IF(A851="","",IF(COUNTIF(Roster[Name],IF(RIGHT(IF(LEFT(TRIM(A851),1)="[",TRIM(MID(TRIM(A851),FIND("]",TRIM(A851)&amp;"]")+1,200)),TRIM(A851)),1)=")",TRIM(LEFT(IF(LEFT(TRIM(A851),1)="[",TRIM(MID(TRIM(A851),FIND("]",TRIM(A851)&amp;"]")+1,200)),TRIM(A851)),FIND("(",IF(LEFT(TRIM(A851),1)="[",TRIM(MID(TRIM(A851),FIND("]",TRIM(A851)&amp;"]")+1,200)),TRIM(A851))&amp;"(")-1)),IF(LEFT(TRIM(A851),1)="[",TRIM(MID(TRIM(A851),FIND("]",TRIM(A851)&amp;"]")+1,200)),TRIM(A851))))&gt;0,IF(RIGHT(IF(LEFT(TRIM(A851),1)="[",TRIM(MID(TRIM(A851),FIND("]",TRIM(A851)&amp;"]")+1,200)),TRIM(A851)),1)=")",TRIM(LEFT(IF(LEFT(TRIM(A851),1)="[",TRIM(MID(TRIM(A851),FIND("]",TRIM(A851)&amp;"]")+1,200)),TRIM(A851)),FIND("(",IF(LEFT(TRIM(A851),1)="[",TRIM(MID(TRIM(A851),FIND("]",TRIM(A851)&amp;"]")+1,200)),TRIM(A851))&amp;"(")-1)),IF(LEFT(TRIM(A851),1)="[",TRIM(MID(TRIM(A851),FIND("]",TRIM(A851)&amp;"]")+1,200)),TRIM(A851))),""))</f>
      </c>
      <c r="C851" s="17">
        <f>IF(B851&lt;&gt;"",B851,C850)</f>
      </c>
      <c r="D851" s="17">
        <f>IF(A851="","",IF(OR(LEFT(UPPER(TRIM(A851)),2)="Y:",LEFT(UPPER(TRIM(A851)),10)="YESTERDAY:"),"Y",IF(OR(LEFT(UPPER(TRIM(A851)),2)="T:",LEFT(UPPER(TRIM(A851)),6)="TODAY:"),"T",IF(OR(LEFT(UPPER(TRIM(A851)),2)="B:",LEFT(UPPER(TRIM(A851)),8)="BLOCKER:",LEFT(UPPER(TRIM(A851)),9)="BLOCKERS:",LEFT(UPPER(TRIM(A851)),8)="BLOCKED:"),"B",""))))</f>
      </c>
      <c r="E851" s="17">
        <f>IF(D851="","",TRIM(MID(A851,FIND(":",A851)+1,500)))</f>
      </c>
    </row>
    <row r="852">
      <c r="B852" s="17">
        <f>IF(A852="","",IF(COUNTIF(Roster[Name],IF(RIGHT(IF(LEFT(TRIM(A852),1)="[",TRIM(MID(TRIM(A852),FIND("]",TRIM(A852)&amp;"]")+1,200)),TRIM(A852)),1)=")",TRIM(LEFT(IF(LEFT(TRIM(A852),1)="[",TRIM(MID(TRIM(A852),FIND("]",TRIM(A852)&amp;"]")+1,200)),TRIM(A852)),FIND("(",IF(LEFT(TRIM(A852),1)="[",TRIM(MID(TRIM(A852),FIND("]",TRIM(A852)&amp;"]")+1,200)),TRIM(A852))&amp;"(")-1)),IF(LEFT(TRIM(A852),1)="[",TRIM(MID(TRIM(A852),FIND("]",TRIM(A852)&amp;"]")+1,200)),TRIM(A852))))&gt;0,IF(RIGHT(IF(LEFT(TRIM(A852),1)="[",TRIM(MID(TRIM(A852),FIND("]",TRIM(A852)&amp;"]")+1,200)),TRIM(A852)),1)=")",TRIM(LEFT(IF(LEFT(TRIM(A852),1)="[",TRIM(MID(TRIM(A852),FIND("]",TRIM(A852)&amp;"]")+1,200)),TRIM(A852)),FIND("(",IF(LEFT(TRIM(A852),1)="[",TRIM(MID(TRIM(A852),FIND("]",TRIM(A852)&amp;"]")+1,200)),TRIM(A852))&amp;"(")-1)),IF(LEFT(TRIM(A852),1)="[",TRIM(MID(TRIM(A852),FIND("]",TRIM(A852)&amp;"]")+1,200)),TRIM(A852))),""))</f>
      </c>
      <c r="C852" s="17">
        <f>IF(B852&lt;&gt;"",B852,C851)</f>
      </c>
      <c r="D852" s="17">
        <f>IF(A852="","",IF(OR(LEFT(UPPER(TRIM(A852)),2)="Y:",LEFT(UPPER(TRIM(A852)),10)="YESTERDAY:"),"Y",IF(OR(LEFT(UPPER(TRIM(A852)),2)="T:",LEFT(UPPER(TRIM(A852)),6)="TODAY:"),"T",IF(OR(LEFT(UPPER(TRIM(A852)),2)="B:",LEFT(UPPER(TRIM(A852)),8)="BLOCKER:",LEFT(UPPER(TRIM(A852)),9)="BLOCKERS:",LEFT(UPPER(TRIM(A852)),8)="BLOCKED:"),"B",""))))</f>
      </c>
      <c r="E852" s="17">
        <f>IF(D852="","",TRIM(MID(A852,FIND(":",A852)+1,500)))</f>
      </c>
    </row>
    <row r="853">
      <c r="B853" s="17">
        <f>IF(A853="","",IF(COUNTIF(Roster[Name],IF(RIGHT(IF(LEFT(TRIM(A853),1)="[",TRIM(MID(TRIM(A853),FIND("]",TRIM(A853)&amp;"]")+1,200)),TRIM(A853)),1)=")",TRIM(LEFT(IF(LEFT(TRIM(A853),1)="[",TRIM(MID(TRIM(A853),FIND("]",TRIM(A853)&amp;"]")+1,200)),TRIM(A853)),FIND("(",IF(LEFT(TRIM(A853),1)="[",TRIM(MID(TRIM(A853),FIND("]",TRIM(A853)&amp;"]")+1,200)),TRIM(A853))&amp;"(")-1)),IF(LEFT(TRIM(A853),1)="[",TRIM(MID(TRIM(A853),FIND("]",TRIM(A853)&amp;"]")+1,200)),TRIM(A853))))&gt;0,IF(RIGHT(IF(LEFT(TRIM(A853),1)="[",TRIM(MID(TRIM(A853),FIND("]",TRIM(A853)&amp;"]")+1,200)),TRIM(A853)),1)=")",TRIM(LEFT(IF(LEFT(TRIM(A853),1)="[",TRIM(MID(TRIM(A853),FIND("]",TRIM(A853)&amp;"]")+1,200)),TRIM(A853)),FIND("(",IF(LEFT(TRIM(A853),1)="[",TRIM(MID(TRIM(A853),FIND("]",TRIM(A853)&amp;"]")+1,200)),TRIM(A853))&amp;"(")-1)),IF(LEFT(TRIM(A853),1)="[",TRIM(MID(TRIM(A853),FIND("]",TRIM(A853)&amp;"]")+1,200)),TRIM(A853))),""))</f>
      </c>
      <c r="C853" s="17">
        <f>IF(B853&lt;&gt;"",B853,C852)</f>
      </c>
      <c r="D853" s="17">
        <f>IF(A853="","",IF(OR(LEFT(UPPER(TRIM(A853)),2)="Y:",LEFT(UPPER(TRIM(A853)),10)="YESTERDAY:"),"Y",IF(OR(LEFT(UPPER(TRIM(A853)),2)="T:",LEFT(UPPER(TRIM(A853)),6)="TODAY:"),"T",IF(OR(LEFT(UPPER(TRIM(A853)),2)="B:",LEFT(UPPER(TRIM(A853)),8)="BLOCKER:",LEFT(UPPER(TRIM(A853)),9)="BLOCKERS:",LEFT(UPPER(TRIM(A853)),8)="BLOCKED:"),"B",""))))</f>
      </c>
      <c r="E853" s="17">
        <f>IF(D853="","",TRIM(MID(A853,FIND(":",A853)+1,500)))</f>
      </c>
    </row>
    <row r="854">
      <c r="B854" s="17">
        <f>IF(A854="","",IF(COUNTIF(Roster[Name],IF(RIGHT(IF(LEFT(TRIM(A854),1)="[",TRIM(MID(TRIM(A854),FIND("]",TRIM(A854)&amp;"]")+1,200)),TRIM(A854)),1)=")",TRIM(LEFT(IF(LEFT(TRIM(A854),1)="[",TRIM(MID(TRIM(A854),FIND("]",TRIM(A854)&amp;"]")+1,200)),TRIM(A854)),FIND("(",IF(LEFT(TRIM(A854),1)="[",TRIM(MID(TRIM(A854),FIND("]",TRIM(A854)&amp;"]")+1,200)),TRIM(A854))&amp;"(")-1)),IF(LEFT(TRIM(A854),1)="[",TRIM(MID(TRIM(A854),FIND("]",TRIM(A854)&amp;"]")+1,200)),TRIM(A854))))&gt;0,IF(RIGHT(IF(LEFT(TRIM(A854),1)="[",TRIM(MID(TRIM(A854),FIND("]",TRIM(A854)&amp;"]")+1,200)),TRIM(A854)),1)=")",TRIM(LEFT(IF(LEFT(TRIM(A854),1)="[",TRIM(MID(TRIM(A854),FIND("]",TRIM(A854)&amp;"]")+1,200)),TRIM(A854)),FIND("(",IF(LEFT(TRIM(A854),1)="[",TRIM(MID(TRIM(A854),FIND("]",TRIM(A854)&amp;"]")+1,200)),TRIM(A854))&amp;"(")-1)),IF(LEFT(TRIM(A854),1)="[",TRIM(MID(TRIM(A854),FIND("]",TRIM(A854)&amp;"]")+1,200)),TRIM(A854))),""))</f>
      </c>
      <c r="C854" s="17">
        <f>IF(B854&lt;&gt;"",B854,C853)</f>
      </c>
      <c r="D854" s="17">
        <f>IF(A854="","",IF(OR(LEFT(UPPER(TRIM(A854)),2)="Y:",LEFT(UPPER(TRIM(A854)),10)="YESTERDAY:"),"Y",IF(OR(LEFT(UPPER(TRIM(A854)),2)="T:",LEFT(UPPER(TRIM(A854)),6)="TODAY:"),"T",IF(OR(LEFT(UPPER(TRIM(A854)),2)="B:",LEFT(UPPER(TRIM(A854)),8)="BLOCKER:",LEFT(UPPER(TRIM(A854)),9)="BLOCKERS:",LEFT(UPPER(TRIM(A854)),8)="BLOCKED:"),"B",""))))</f>
      </c>
      <c r="E854" s="17">
        <f>IF(D854="","",TRIM(MID(A854,FIND(":",A854)+1,500)))</f>
      </c>
    </row>
    <row r="855">
      <c r="B855" s="17">
        <f>IF(A855="","",IF(COUNTIF(Roster[Name],IF(RIGHT(IF(LEFT(TRIM(A855),1)="[",TRIM(MID(TRIM(A855),FIND("]",TRIM(A855)&amp;"]")+1,200)),TRIM(A855)),1)=")",TRIM(LEFT(IF(LEFT(TRIM(A855),1)="[",TRIM(MID(TRIM(A855),FIND("]",TRIM(A855)&amp;"]")+1,200)),TRIM(A855)),FIND("(",IF(LEFT(TRIM(A855),1)="[",TRIM(MID(TRIM(A855),FIND("]",TRIM(A855)&amp;"]")+1,200)),TRIM(A855))&amp;"(")-1)),IF(LEFT(TRIM(A855),1)="[",TRIM(MID(TRIM(A855),FIND("]",TRIM(A855)&amp;"]")+1,200)),TRIM(A855))))&gt;0,IF(RIGHT(IF(LEFT(TRIM(A855),1)="[",TRIM(MID(TRIM(A855),FIND("]",TRIM(A855)&amp;"]")+1,200)),TRIM(A855)),1)=")",TRIM(LEFT(IF(LEFT(TRIM(A855),1)="[",TRIM(MID(TRIM(A855),FIND("]",TRIM(A855)&amp;"]")+1,200)),TRIM(A855)),FIND("(",IF(LEFT(TRIM(A855),1)="[",TRIM(MID(TRIM(A855),FIND("]",TRIM(A855)&amp;"]")+1,200)),TRIM(A855))&amp;"(")-1)),IF(LEFT(TRIM(A855),1)="[",TRIM(MID(TRIM(A855),FIND("]",TRIM(A855)&amp;"]")+1,200)),TRIM(A855))),""))</f>
      </c>
      <c r="C855" s="17">
        <f>IF(B855&lt;&gt;"",B855,C854)</f>
      </c>
      <c r="D855" s="17">
        <f>IF(A855="","",IF(OR(LEFT(UPPER(TRIM(A855)),2)="Y:",LEFT(UPPER(TRIM(A855)),10)="YESTERDAY:"),"Y",IF(OR(LEFT(UPPER(TRIM(A855)),2)="T:",LEFT(UPPER(TRIM(A855)),6)="TODAY:"),"T",IF(OR(LEFT(UPPER(TRIM(A855)),2)="B:",LEFT(UPPER(TRIM(A855)),8)="BLOCKER:",LEFT(UPPER(TRIM(A855)),9)="BLOCKERS:",LEFT(UPPER(TRIM(A855)),8)="BLOCKED:"),"B",""))))</f>
      </c>
      <c r="E855" s="17">
        <f>IF(D855="","",TRIM(MID(A855,FIND(":",A855)+1,500)))</f>
      </c>
    </row>
    <row r="856">
      <c r="B856" s="17">
        <f>IF(A856="","",IF(COUNTIF(Roster[Name],IF(RIGHT(IF(LEFT(TRIM(A856),1)="[",TRIM(MID(TRIM(A856),FIND("]",TRIM(A856)&amp;"]")+1,200)),TRIM(A856)),1)=")",TRIM(LEFT(IF(LEFT(TRIM(A856),1)="[",TRIM(MID(TRIM(A856),FIND("]",TRIM(A856)&amp;"]")+1,200)),TRIM(A856)),FIND("(",IF(LEFT(TRIM(A856),1)="[",TRIM(MID(TRIM(A856),FIND("]",TRIM(A856)&amp;"]")+1,200)),TRIM(A856))&amp;"(")-1)),IF(LEFT(TRIM(A856),1)="[",TRIM(MID(TRIM(A856),FIND("]",TRIM(A856)&amp;"]")+1,200)),TRIM(A856))))&gt;0,IF(RIGHT(IF(LEFT(TRIM(A856),1)="[",TRIM(MID(TRIM(A856),FIND("]",TRIM(A856)&amp;"]")+1,200)),TRIM(A856)),1)=")",TRIM(LEFT(IF(LEFT(TRIM(A856),1)="[",TRIM(MID(TRIM(A856),FIND("]",TRIM(A856)&amp;"]")+1,200)),TRIM(A856)),FIND("(",IF(LEFT(TRIM(A856),1)="[",TRIM(MID(TRIM(A856),FIND("]",TRIM(A856)&amp;"]")+1,200)),TRIM(A856))&amp;"(")-1)),IF(LEFT(TRIM(A856),1)="[",TRIM(MID(TRIM(A856),FIND("]",TRIM(A856)&amp;"]")+1,200)),TRIM(A856))),""))</f>
      </c>
      <c r="C856" s="17">
        <f>IF(B856&lt;&gt;"",B856,C855)</f>
      </c>
      <c r="D856" s="17">
        <f>IF(A856="","",IF(OR(LEFT(UPPER(TRIM(A856)),2)="Y:",LEFT(UPPER(TRIM(A856)),10)="YESTERDAY:"),"Y",IF(OR(LEFT(UPPER(TRIM(A856)),2)="T:",LEFT(UPPER(TRIM(A856)),6)="TODAY:"),"T",IF(OR(LEFT(UPPER(TRIM(A856)),2)="B:",LEFT(UPPER(TRIM(A856)),8)="BLOCKER:",LEFT(UPPER(TRIM(A856)),9)="BLOCKERS:",LEFT(UPPER(TRIM(A856)),8)="BLOCKED:"),"B",""))))</f>
      </c>
      <c r="E856" s="17">
        <f>IF(D856="","",TRIM(MID(A856,FIND(":",A856)+1,500)))</f>
      </c>
    </row>
    <row r="857">
      <c r="B857" s="17">
        <f>IF(A857="","",IF(COUNTIF(Roster[Name],IF(RIGHT(IF(LEFT(TRIM(A857),1)="[",TRIM(MID(TRIM(A857),FIND("]",TRIM(A857)&amp;"]")+1,200)),TRIM(A857)),1)=")",TRIM(LEFT(IF(LEFT(TRIM(A857),1)="[",TRIM(MID(TRIM(A857),FIND("]",TRIM(A857)&amp;"]")+1,200)),TRIM(A857)),FIND("(",IF(LEFT(TRIM(A857),1)="[",TRIM(MID(TRIM(A857),FIND("]",TRIM(A857)&amp;"]")+1,200)),TRIM(A857))&amp;"(")-1)),IF(LEFT(TRIM(A857),1)="[",TRIM(MID(TRIM(A857),FIND("]",TRIM(A857)&amp;"]")+1,200)),TRIM(A857))))&gt;0,IF(RIGHT(IF(LEFT(TRIM(A857),1)="[",TRIM(MID(TRIM(A857),FIND("]",TRIM(A857)&amp;"]")+1,200)),TRIM(A857)),1)=")",TRIM(LEFT(IF(LEFT(TRIM(A857),1)="[",TRIM(MID(TRIM(A857),FIND("]",TRIM(A857)&amp;"]")+1,200)),TRIM(A857)),FIND("(",IF(LEFT(TRIM(A857),1)="[",TRIM(MID(TRIM(A857),FIND("]",TRIM(A857)&amp;"]")+1,200)),TRIM(A857))&amp;"(")-1)),IF(LEFT(TRIM(A857),1)="[",TRIM(MID(TRIM(A857),FIND("]",TRIM(A857)&amp;"]")+1,200)),TRIM(A857))),""))</f>
      </c>
      <c r="C857" s="17">
        <f>IF(B857&lt;&gt;"",B857,C856)</f>
      </c>
      <c r="D857" s="17">
        <f>IF(A857="","",IF(OR(LEFT(UPPER(TRIM(A857)),2)="Y:",LEFT(UPPER(TRIM(A857)),10)="YESTERDAY:"),"Y",IF(OR(LEFT(UPPER(TRIM(A857)),2)="T:",LEFT(UPPER(TRIM(A857)),6)="TODAY:"),"T",IF(OR(LEFT(UPPER(TRIM(A857)),2)="B:",LEFT(UPPER(TRIM(A857)),8)="BLOCKER:",LEFT(UPPER(TRIM(A857)),9)="BLOCKERS:",LEFT(UPPER(TRIM(A857)),8)="BLOCKED:"),"B",""))))</f>
      </c>
      <c r="E857" s="17">
        <f>IF(D857="","",TRIM(MID(A857,FIND(":",A857)+1,500)))</f>
      </c>
    </row>
    <row r="858">
      <c r="B858" s="17">
        <f>IF(A858="","",IF(COUNTIF(Roster[Name],IF(RIGHT(IF(LEFT(TRIM(A858),1)="[",TRIM(MID(TRIM(A858),FIND("]",TRIM(A858)&amp;"]")+1,200)),TRIM(A858)),1)=")",TRIM(LEFT(IF(LEFT(TRIM(A858),1)="[",TRIM(MID(TRIM(A858),FIND("]",TRIM(A858)&amp;"]")+1,200)),TRIM(A858)),FIND("(",IF(LEFT(TRIM(A858),1)="[",TRIM(MID(TRIM(A858),FIND("]",TRIM(A858)&amp;"]")+1,200)),TRIM(A858))&amp;"(")-1)),IF(LEFT(TRIM(A858),1)="[",TRIM(MID(TRIM(A858),FIND("]",TRIM(A858)&amp;"]")+1,200)),TRIM(A858))))&gt;0,IF(RIGHT(IF(LEFT(TRIM(A858),1)="[",TRIM(MID(TRIM(A858),FIND("]",TRIM(A858)&amp;"]")+1,200)),TRIM(A858)),1)=")",TRIM(LEFT(IF(LEFT(TRIM(A858),1)="[",TRIM(MID(TRIM(A858),FIND("]",TRIM(A858)&amp;"]")+1,200)),TRIM(A858)),FIND("(",IF(LEFT(TRIM(A858),1)="[",TRIM(MID(TRIM(A858),FIND("]",TRIM(A858)&amp;"]")+1,200)),TRIM(A858))&amp;"(")-1)),IF(LEFT(TRIM(A858),1)="[",TRIM(MID(TRIM(A858),FIND("]",TRIM(A858)&amp;"]")+1,200)),TRIM(A858))),""))</f>
      </c>
      <c r="C858" s="17">
        <f>IF(B858&lt;&gt;"",B858,C857)</f>
      </c>
      <c r="D858" s="17">
        <f>IF(A858="","",IF(OR(LEFT(UPPER(TRIM(A858)),2)="Y:",LEFT(UPPER(TRIM(A858)),10)="YESTERDAY:"),"Y",IF(OR(LEFT(UPPER(TRIM(A858)),2)="T:",LEFT(UPPER(TRIM(A858)),6)="TODAY:"),"T",IF(OR(LEFT(UPPER(TRIM(A858)),2)="B:",LEFT(UPPER(TRIM(A858)),8)="BLOCKER:",LEFT(UPPER(TRIM(A858)),9)="BLOCKERS:",LEFT(UPPER(TRIM(A858)),8)="BLOCKED:"),"B",""))))</f>
      </c>
      <c r="E858" s="17">
        <f>IF(D858="","",TRIM(MID(A858,FIND(":",A858)+1,500)))</f>
      </c>
    </row>
    <row r="859">
      <c r="B859" s="17">
        <f>IF(A859="","",IF(COUNTIF(Roster[Name],IF(RIGHT(IF(LEFT(TRIM(A859),1)="[",TRIM(MID(TRIM(A859),FIND("]",TRIM(A859)&amp;"]")+1,200)),TRIM(A859)),1)=")",TRIM(LEFT(IF(LEFT(TRIM(A859),1)="[",TRIM(MID(TRIM(A859),FIND("]",TRIM(A859)&amp;"]")+1,200)),TRIM(A859)),FIND("(",IF(LEFT(TRIM(A859),1)="[",TRIM(MID(TRIM(A859),FIND("]",TRIM(A859)&amp;"]")+1,200)),TRIM(A859))&amp;"(")-1)),IF(LEFT(TRIM(A859),1)="[",TRIM(MID(TRIM(A859),FIND("]",TRIM(A859)&amp;"]")+1,200)),TRIM(A859))))&gt;0,IF(RIGHT(IF(LEFT(TRIM(A859),1)="[",TRIM(MID(TRIM(A859),FIND("]",TRIM(A859)&amp;"]")+1,200)),TRIM(A859)),1)=")",TRIM(LEFT(IF(LEFT(TRIM(A859),1)="[",TRIM(MID(TRIM(A859),FIND("]",TRIM(A859)&amp;"]")+1,200)),TRIM(A859)),FIND("(",IF(LEFT(TRIM(A859),1)="[",TRIM(MID(TRIM(A859),FIND("]",TRIM(A859)&amp;"]")+1,200)),TRIM(A859))&amp;"(")-1)),IF(LEFT(TRIM(A859),1)="[",TRIM(MID(TRIM(A859),FIND("]",TRIM(A859)&amp;"]")+1,200)),TRIM(A859))),""))</f>
      </c>
      <c r="C859" s="17">
        <f>IF(B859&lt;&gt;"",B859,C858)</f>
      </c>
      <c r="D859" s="17">
        <f>IF(A859="","",IF(OR(LEFT(UPPER(TRIM(A859)),2)="Y:",LEFT(UPPER(TRIM(A859)),10)="YESTERDAY:"),"Y",IF(OR(LEFT(UPPER(TRIM(A859)),2)="T:",LEFT(UPPER(TRIM(A859)),6)="TODAY:"),"T",IF(OR(LEFT(UPPER(TRIM(A859)),2)="B:",LEFT(UPPER(TRIM(A859)),8)="BLOCKER:",LEFT(UPPER(TRIM(A859)),9)="BLOCKERS:",LEFT(UPPER(TRIM(A859)),8)="BLOCKED:"),"B",""))))</f>
      </c>
      <c r="E859" s="17">
        <f>IF(D859="","",TRIM(MID(A859,FIND(":",A859)+1,500)))</f>
      </c>
    </row>
    <row r="860">
      <c r="B860" s="17">
        <f>IF(A860="","",IF(COUNTIF(Roster[Name],IF(RIGHT(IF(LEFT(TRIM(A860),1)="[",TRIM(MID(TRIM(A860),FIND("]",TRIM(A860)&amp;"]")+1,200)),TRIM(A860)),1)=")",TRIM(LEFT(IF(LEFT(TRIM(A860),1)="[",TRIM(MID(TRIM(A860),FIND("]",TRIM(A860)&amp;"]")+1,200)),TRIM(A860)),FIND("(",IF(LEFT(TRIM(A860),1)="[",TRIM(MID(TRIM(A860),FIND("]",TRIM(A860)&amp;"]")+1,200)),TRIM(A860))&amp;"(")-1)),IF(LEFT(TRIM(A860),1)="[",TRIM(MID(TRIM(A860),FIND("]",TRIM(A860)&amp;"]")+1,200)),TRIM(A860))))&gt;0,IF(RIGHT(IF(LEFT(TRIM(A860),1)="[",TRIM(MID(TRIM(A860),FIND("]",TRIM(A860)&amp;"]")+1,200)),TRIM(A860)),1)=")",TRIM(LEFT(IF(LEFT(TRIM(A860),1)="[",TRIM(MID(TRIM(A860),FIND("]",TRIM(A860)&amp;"]")+1,200)),TRIM(A860)),FIND("(",IF(LEFT(TRIM(A860),1)="[",TRIM(MID(TRIM(A860),FIND("]",TRIM(A860)&amp;"]")+1,200)),TRIM(A860))&amp;"(")-1)),IF(LEFT(TRIM(A860),1)="[",TRIM(MID(TRIM(A860),FIND("]",TRIM(A860)&amp;"]")+1,200)),TRIM(A860))),""))</f>
      </c>
      <c r="C860" s="17">
        <f>IF(B860&lt;&gt;"",B860,C859)</f>
      </c>
      <c r="D860" s="17">
        <f>IF(A860="","",IF(OR(LEFT(UPPER(TRIM(A860)),2)="Y:",LEFT(UPPER(TRIM(A860)),10)="YESTERDAY:"),"Y",IF(OR(LEFT(UPPER(TRIM(A860)),2)="T:",LEFT(UPPER(TRIM(A860)),6)="TODAY:"),"T",IF(OR(LEFT(UPPER(TRIM(A860)),2)="B:",LEFT(UPPER(TRIM(A860)),8)="BLOCKER:",LEFT(UPPER(TRIM(A860)),9)="BLOCKERS:",LEFT(UPPER(TRIM(A860)),8)="BLOCKED:"),"B",""))))</f>
      </c>
      <c r="E860" s="17">
        <f>IF(D860="","",TRIM(MID(A860,FIND(":",A860)+1,500)))</f>
      </c>
    </row>
    <row r="861">
      <c r="B861" s="17">
        <f>IF(A861="","",IF(COUNTIF(Roster[Name],IF(RIGHT(IF(LEFT(TRIM(A861),1)="[",TRIM(MID(TRIM(A861),FIND("]",TRIM(A861)&amp;"]")+1,200)),TRIM(A861)),1)=")",TRIM(LEFT(IF(LEFT(TRIM(A861),1)="[",TRIM(MID(TRIM(A861),FIND("]",TRIM(A861)&amp;"]")+1,200)),TRIM(A861)),FIND("(",IF(LEFT(TRIM(A861),1)="[",TRIM(MID(TRIM(A861),FIND("]",TRIM(A861)&amp;"]")+1,200)),TRIM(A861))&amp;"(")-1)),IF(LEFT(TRIM(A861),1)="[",TRIM(MID(TRIM(A861),FIND("]",TRIM(A861)&amp;"]")+1,200)),TRIM(A861))))&gt;0,IF(RIGHT(IF(LEFT(TRIM(A861),1)="[",TRIM(MID(TRIM(A861),FIND("]",TRIM(A861)&amp;"]")+1,200)),TRIM(A861)),1)=")",TRIM(LEFT(IF(LEFT(TRIM(A861),1)="[",TRIM(MID(TRIM(A861),FIND("]",TRIM(A861)&amp;"]")+1,200)),TRIM(A861)),FIND("(",IF(LEFT(TRIM(A861),1)="[",TRIM(MID(TRIM(A861),FIND("]",TRIM(A861)&amp;"]")+1,200)),TRIM(A861))&amp;"(")-1)),IF(LEFT(TRIM(A861),1)="[",TRIM(MID(TRIM(A861),FIND("]",TRIM(A861)&amp;"]")+1,200)),TRIM(A861))),""))</f>
      </c>
      <c r="C861" s="17">
        <f>IF(B861&lt;&gt;"",B861,C860)</f>
      </c>
      <c r="D861" s="17">
        <f>IF(A861="","",IF(OR(LEFT(UPPER(TRIM(A861)),2)="Y:",LEFT(UPPER(TRIM(A861)),10)="YESTERDAY:"),"Y",IF(OR(LEFT(UPPER(TRIM(A861)),2)="T:",LEFT(UPPER(TRIM(A861)),6)="TODAY:"),"T",IF(OR(LEFT(UPPER(TRIM(A861)),2)="B:",LEFT(UPPER(TRIM(A861)),8)="BLOCKER:",LEFT(UPPER(TRIM(A861)),9)="BLOCKERS:",LEFT(UPPER(TRIM(A861)),8)="BLOCKED:"),"B",""))))</f>
      </c>
      <c r="E861" s="17">
        <f>IF(D861="","",TRIM(MID(A861,FIND(":",A861)+1,500)))</f>
      </c>
    </row>
    <row r="862">
      <c r="B862" s="17">
        <f>IF(A862="","",IF(COUNTIF(Roster[Name],IF(RIGHT(IF(LEFT(TRIM(A862),1)="[",TRIM(MID(TRIM(A862),FIND("]",TRIM(A862)&amp;"]")+1,200)),TRIM(A862)),1)=")",TRIM(LEFT(IF(LEFT(TRIM(A862),1)="[",TRIM(MID(TRIM(A862),FIND("]",TRIM(A862)&amp;"]")+1,200)),TRIM(A862)),FIND("(",IF(LEFT(TRIM(A862),1)="[",TRIM(MID(TRIM(A862),FIND("]",TRIM(A862)&amp;"]")+1,200)),TRIM(A862))&amp;"(")-1)),IF(LEFT(TRIM(A862),1)="[",TRIM(MID(TRIM(A862),FIND("]",TRIM(A862)&amp;"]")+1,200)),TRIM(A862))))&gt;0,IF(RIGHT(IF(LEFT(TRIM(A862),1)="[",TRIM(MID(TRIM(A862),FIND("]",TRIM(A862)&amp;"]")+1,200)),TRIM(A862)),1)=")",TRIM(LEFT(IF(LEFT(TRIM(A862),1)="[",TRIM(MID(TRIM(A862),FIND("]",TRIM(A862)&amp;"]")+1,200)),TRIM(A862)),FIND("(",IF(LEFT(TRIM(A862),1)="[",TRIM(MID(TRIM(A862),FIND("]",TRIM(A862)&amp;"]")+1,200)),TRIM(A862))&amp;"(")-1)),IF(LEFT(TRIM(A862),1)="[",TRIM(MID(TRIM(A862),FIND("]",TRIM(A862)&amp;"]")+1,200)),TRIM(A862))),""))</f>
      </c>
      <c r="C862" s="17">
        <f>IF(B862&lt;&gt;"",B862,C861)</f>
      </c>
      <c r="D862" s="17">
        <f>IF(A862="","",IF(OR(LEFT(UPPER(TRIM(A862)),2)="Y:",LEFT(UPPER(TRIM(A862)),10)="YESTERDAY:"),"Y",IF(OR(LEFT(UPPER(TRIM(A862)),2)="T:",LEFT(UPPER(TRIM(A862)),6)="TODAY:"),"T",IF(OR(LEFT(UPPER(TRIM(A862)),2)="B:",LEFT(UPPER(TRIM(A862)),8)="BLOCKER:",LEFT(UPPER(TRIM(A862)),9)="BLOCKERS:",LEFT(UPPER(TRIM(A862)),8)="BLOCKED:"),"B",""))))</f>
      </c>
      <c r="E862" s="17">
        <f>IF(D862="","",TRIM(MID(A862,FIND(":",A862)+1,500)))</f>
      </c>
    </row>
    <row r="863">
      <c r="B863" s="17">
        <f>IF(A863="","",IF(COUNTIF(Roster[Name],IF(RIGHT(IF(LEFT(TRIM(A863),1)="[",TRIM(MID(TRIM(A863),FIND("]",TRIM(A863)&amp;"]")+1,200)),TRIM(A863)),1)=")",TRIM(LEFT(IF(LEFT(TRIM(A863),1)="[",TRIM(MID(TRIM(A863),FIND("]",TRIM(A863)&amp;"]")+1,200)),TRIM(A863)),FIND("(",IF(LEFT(TRIM(A863),1)="[",TRIM(MID(TRIM(A863),FIND("]",TRIM(A863)&amp;"]")+1,200)),TRIM(A863))&amp;"(")-1)),IF(LEFT(TRIM(A863),1)="[",TRIM(MID(TRIM(A863),FIND("]",TRIM(A863)&amp;"]")+1,200)),TRIM(A863))))&gt;0,IF(RIGHT(IF(LEFT(TRIM(A863),1)="[",TRIM(MID(TRIM(A863),FIND("]",TRIM(A863)&amp;"]")+1,200)),TRIM(A863)),1)=")",TRIM(LEFT(IF(LEFT(TRIM(A863),1)="[",TRIM(MID(TRIM(A863),FIND("]",TRIM(A863)&amp;"]")+1,200)),TRIM(A863)),FIND("(",IF(LEFT(TRIM(A863),1)="[",TRIM(MID(TRIM(A863),FIND("]",TRIM(A863)&amp;"]")+1,200)),TRIM(A863))&amp;"(")-1)),IF(LEFT(TRIM(A863),1)="[",TRIM(MID(TRIM(A863),FIND("]",TRIM(A863)&amp;"]")+1,200)),TRIM(A863))),""))</f>
      </c>
      <c r="C863" s="17">
        <f>IF(B863&lt;&gt;"",B863,C862)</f>
      </c>
      <c r="D863" s="17">
        <f>IF(A863="","",IF(OR(LEFT(UPPER(TRIM(A863)),2)="Y:",LEFT(UPPER(TRIM(A863)),10)="YESTERDAY:"),"Y",IF(OR(LEFT(UPPER(TRIM(A863)),2)="T:",LEFT(UPPER(TRIM(A863)),6)="TODAY:"),"T",IF(OR(LEFT(UPPER(TRIM(A863)),2)="B:",LEFT(UPPER(TRIM(A863)),8)="BLOCKER:",LEFT(UPPER(TRIM(A863)),9)="BLOCKERS:",LEFT(UPPER(TRIM(A863)),8)="BLOCKED:"),"B",""))))</f>
      </c>
      <c r="E863" s="17">
        <f>IF(D863="","",TRIM(MID(A863,FIND(":",A863)+1,500)))</f>
      </c>
    </row>
    <row r="864">
      <c r="B864" s="17">
        <f>IF(A864="","",IF(COUNTIF(Roster[Name],IF(RIGHT(IF(LEFT(TRIM(A864),1)="[",TRIM(MID(TRIM(A864),FIND("]",TRIM(A864)&amp;"]")+1,200)),TRIM(A864)),1)=")",TRIM(LEFT(IF(LEFT(TRIM(A864),1)="[",TRIM(MID(TRIM(A864),FIND("]",TRIM(A864)&amp;"]")+1,200)),TRIM(A864)),FIND("(",IF(LEFT(TRIM(A864),1)="[",TRIM(MID(TRIM(A864),FIND("]",TRIM(A864)&amp;"]")+1,200)),TRIM(A864))&amp;"(")-1)),IF(LEFT(TRIM(A864),1)="[",TRIM(MID(TRIM(A864),FIND("]",TRIM(A864)&amp;"]")+1,200)),TRIM(A864))))&gt;0,IF(RIGHT(IF(LEFT(TRIM(A864),1)="[",TRIM(MID(TRIM(A864),FIND("]",TRIM(A864)&amp;"]")+1,200)),TRIM(A864)),1)=")",TRIM(LEFT(IF(LEFT(TRIM(A864),1)="[",TRIM(MID(TRIM(A864),FIND("]",TRIM(A864)&amp;"]")+1,200)),TRIM(A864)),FIND("(",IF(LEFT(TRIM(A864),1)="[",TRIM(MID(TRIM(A864),FIND("]",TRIM(A864)&amp;"]")+1,200)),TRIM(A864))&amp;"(")-1)),IF(LEFT(TRIM(A864),1)="[",TRIM(MID(TRIM(A864),FIND("]",TRIM(A864)&amp;"]")+1,200)),TRIM(A864))),""))</f>
      </c>
      <c r="C864" s="17">
        <f>IF(B864&lt;&gt;"",B864,C863)</f>
      </c>
      <c r="D864" s="17">
        <f>IF(A864="","",IF(OR(LEFT(UPPER(TRIM(A864)),2)="Y:",LEFT(UPPER(TRIM(A864)),10)="YESTERDAY:"),"Y",IF(OR(LEFT(UPPER(TRIM(A864)),2)="T:",LEFT(UPPER(TRIM(A864)),6)="TODAY:"),"T",IF(OR(LEFT(UPPER(TRIM(A864)),2)="B:",LEFT(UPPER(TRIM(A864)),8)="BLOCKER:",LEFT(UPPER(TRIM(A864)),9)="BLOCKERS:",LEFT(UPPER(TRIM(A864)),8)="BLOCKED:"),"B",""))))</f>
      </c>
      <c r="E864" s="17">
        <f>IF(D864="","",TRIM(MID(A864,FIND(":",A864)+1,500)))</f>
      </c>
    </row>
    <row r="865">
      <c r="B865" s="17">
        <f>IF(A865="","",IF(COUNTIF(Roster[Name],IF(RIGHT(IF(LEFT(TRIM(A865),1)="[",TRIM(MID(TRIM(A865),FIND("]",TRIM(A865)&amp;"]")+1,200)),TRIM(A865)),1)=")",TRIM(LEFT(IF(LEFT(TRIM(A865),1)="[",TRIM(MID(TRIM(A865),FIND("]",TRIM(A865)&amp;"]")+1,200)),TRIM(A865)),FIND("(",IF(LEFT(TRIM(A865),1)="[",TRIM(MID(TRIM(A865),FIND("]",TRIM(A865)&amp;"]")+1,200)),TRIM(A865))&amp;"(")-1)),IF(LEFT(TRIM(A865),1)="[",TRIM(MID(TRIM(A865),FIND("]",TRIM(A865)&amp;"]")+1,200)),TRIM(A865))))&gt;0,IF(RIGHT(IF(LEFT(TRIM(A865),1)="[",TRIM(MID(TRIM(A865),FIND("]",TRIM(A865)&amp;"]")+1,200)),TRIM(A865)),1)=")",TRIM(LEFT(IF(LEFT(TRIM(A865),1)="[",TRIM(MID(TRIM(A865),FIND("]",TRIM(A865)&amp;"]")+1,200)),TRIM(A865)),FIND("(",IF(LEFT(TRIM(A865),1)="[",TRIM(MID(TRIM(A865),FIND("]",TRIM(A865)&amp;"]")+1,200)),TRIM(A865))&amp;"(")-1)),IF(LEFT(TRIM(A865),1)="[",TRIM(MID(TRIM(A865),FIND("]",TRIM(A865)&amp;"]")+1,200)),TRIM(A865))),""))</f>
      </c>
      <c r="C865" s="17">
        <f>IF(B865&lt;&gt;"",B865,C864)</f>
      </c>
      <c r="D865" s="17">
        <f>IF(A865="","",IF(OR(LEFT(UPPER(TRIM(A865)),2)="Y:",LEFT(UPPER(TRIM(A865)),10)="YESTERDAY:"),"Y",IF(OR(LEFT(UPPER(TRIM(A865)),2)="T:",LEFT(UPPER(TRIM(A865)),6)="TODAY:"),"T",IF(OR(LEFT(UPPER(TRIM(A865)),2)="B:",LEFT(UPPER(TRIM(A865)),8)="BLOCKER:",LEFT(UPPER(TRIM(A865)),9)="BLOCKERS:",LEFT(UPPER(TRIM(A865)),8)="BLOCKED:"),"B",""))))</f>
      </c>
      <c r="E865" s="17">
        <f>IF(D865="","",TRIM(MID(A865,FIND(":",A865)+1,500)))</f>
      </c>
    </row>
    <row r="866">
      <c r="B866" s="17">
        <f>IF(A866="","",IF(COUNTIF(Roster[Name],IF(RIGHT(IF(LEFT(TRIM(A866),1)="[",TRIM(MID(TRIM(A866),FIND("]",TRIM(A866)&amp;"]")+1,200)),TRIM(A866)),1)=")",TRIM(LEFT(IF(LEFT(TRIM(A866),1)="[",TRIM(MID(TRIM(A866),FIND("]",TRIM(A866)&amp;"]")+1,200)),TRIM(A866)),FIND("(",IF(LEFT(TRIM(A866),1)="[",TRIM(MID(TRIM(A866),FIND("]",TRIM(A866)&amp;"]")+1,200)),TRIM(A866))&amp;"(")-1)),IF(LEFT(TRIM(A866),1)="[",TRIM(MID(TRIM(A866),FIND("]",TRIM(A866)&amp;"]")+1,200)),TRIM(A866))))&gt;0,IF(RIGHT(IF(LEFT(TRIM(A866),1)="[",TRIM(MID(TRIM(A866),FIND("]",TRIM(A866)&amp;"]")+1,200)),TRIM(A866)),1)=")",TRIM(LEFT(IF(LEFT(TRIM(A866),1)="[",TRIM(MID(TRIM(A866),FIND("]",TRIM(A866)&amp;"]")+1,200)),TRIM(A866)),FIND("(",IF(LEFT(TRIM(A866),1)="[",TRIM(MID(TRIM(A866),FIND("]",TRIM(A866)&amp;"]")+1,200)),TRIM(A866))&amp;"(")-1)),IF(LEFT(TRIM(A866),1)="[",TRIM(MID(TRIM(A866),FIND("]",TRIM(A866)&amp;"]")+1,200)),TRIM(A866))),""))</f>
      </c>
      <c r="C866" s="17">
        <f>IF(B866&lt;&gt;"",B866,C865)</f>
      </c>
      <c r="D866" s="17">
        <f>IF(A866="","",IF(OR(LEFT(UPPER(TRIM(A866)),2)="Y:",LEFT(UPPER(TRIM(A866)),10)="YESTERDAY:"),"Y",IF(OR(LEFT(UPPER(TRIM(A866)),2)="T:",LEFT(UPPER(TRIM(A866)),6)="TODAY:"),"T",IF(OR(LEFT(UPPER(TRIM(A866)),2)="B:",LEFT(UPPER(TRIM(A866)),8)="BLOCKER:",LEFT(UPPER(TRIM(A866)),9)="BLOCKERS:",LEFT(UPPER(TRIM(A866)),8)="BLOCKED:"),"B",""))))</f>
      </c>
      <c r="E866" s="17">
        <f>IF(D866="","",TRIM(MID(A866,FIND(":",A866)+1,500)))</f>
      </c>
    </row>
    <row r="867">
      <c r="B867" s="17">
        <f>IF(A867="","",IF(COUNTIF(Roster[Name],IF(RIGHT(IF(LEFT(TRIM(A867),1)="[",TRIM(MID(TRIM(A867),FIND("]",TRIM(A867)&amp;"]")+1,200)),TRIM(A867)),1)=")",TRIM(LEFT(IF(LEFT(TRIM(A867),1)="[",TRIM(MID(TRIM(A867),FIND("]",TRIM(A867)&amp;"]")+1,200)),TRIM(A867)),FIND("(",IF(LEFT(TRIM(A867),1)="[",TRIM(MID(TRIM(A867),FIND("]",TRIM(A867)&amp;"]")+1,200)),TRIM(A867))&amp;"(")-1)),IF(LEFT(TRIM(A867),1)="[",TRIM(MID(TRIM(A867),FIND("]",TRIM(A867)&amp;"]")+1,200)),TRIM(A867))))&gt;0,IF(RIGHT(IF(LEFT(TRIM(A867),1)="[",TRIM(MID(TRIM(A867),FIND("]",TRIM(A867)&amp;"]")+1,200)),TRIM(A867)),1)=")",TRIM(LEFT(IF(LEFT(TRIM(A867),1)="[",TRIM(MID(TRIM(A867),FIND("]",TRIM(A867)&amp;"]")+1,200)),TRIM(A867)),FIND("(",IF(LEFT(TRIM(A867),1)="[",TRIM(MID(TRIM(A867),FIND("]",TRIM(A867)&amp;"]")+1,200)),TRIM(A867))&amp;"(")-1)),IF(LEFT(TRIM(A867),1)="[",TRIM(MID(TRIM(A867),FIND("]",TRIM(A867)&amp;"]")+1,200)),TRIM(A867))),""))</f>
      </c>
      <c r="C867" s="17">
        <f>IF(B867&lt;&gt;"",B867,C866)</f>
      </c>
      <c r="D867" s="17">
        <f>IF(A867="","",IF(OR(LEFT(UPPER(TRIM(A867)),2)="Y:",LEFT(UPPER(TRIM(A867)),10)="YESTERDAY:"),"Y",IF(OR(LEFT(UPPER(TRIM(A867)),2)="T:",LEFT(UPPER(TRIM(A867)),6)="TODAY:"),"T",IF(OR(LEFT(UPPER(TRIM(A867)),2)="B:",LEFT(UPPER(TRIM(A867)),8)="BLOCKER:",LEFT(UPPER(TRIM(A867)),9)="BLOCKERS:",LEFT(UPPER(TRIM(A867)),8)="BLOCKED:"),"B",""))))</f>
      </c>
      <c r="E867" s="17">
        <f>IF(D867="","",TRIM(MID(A867,FIND(":",A867)+1,500)))</f>
      </c>
    </row>
    <row r="868">
      <c r="B868" s="17">
        <f>IF(A868="","",IF(COUNTIF(Roster[Name],IF(RIGHT(IF(LEFT(TRIM(A868),1)="[",TRIM(MID(TRIM(A868),FIND("]",TRIM(A868)&amp;"]")+1,200)),TRIM(A868)),1)=")",TRIM(LEFT(IF(LEFT(TRIM(A868),1)="[",TRIM(MID(TRIM(A868),FIND("]",TRIM(A868)&amp;"]")+1,200)),TRIM(A868)),FIND("(",IF(LEFT(TRIM(A868),1)="[",TRIM(MID(TRIM(A868),FIND("]",TRIM(A868)&amp;"]")+1,200)),TRIM(A868))&amp;"(")-1)),IF(LEFT(TRIM(A868),1)="[",TRIM(MID(TRIM(A868),FIND("]",TRIM(A868)&amp;"]")+1,200)),TRIM(A868))))&gt;0,IF(RIGHT(IF(LEFT(TRIM(A868),1)="[",TRIM(MID(TRIM(A868),FIND("]",TRIM(A868)&amp;"]")+1,200)),TRIM(A868)),1)=")",TRIM(LEFT(IF(LEFT(TRIM(A868),1)="[",TRIM(MID(TRIM(A868),FIND("]",TRIM(A868)&amp;"]")+1,200)),TRIM(A868)),FIND("(",IF(LEFT(TRIM(A868),1)="[",TRIM(MID(TRIM(A868),FIND("]",TRIM(A868)&amp;"]")+1,200)),TRIM(A868))&amp;"(")-1)),IF(LEFT(TRIM(A868),1)="[",TRIM(MID(TRIM(A868),FIND("]",TRIM(A868)&amp;"]")+1,200)),TRIM(A868))),""))</f>
      </c>
      <c r="C868" s="17">
        <f>IF(B868&lt;&gt;"",B868,C867)</f>
      </c>
      <c r="D868" s="17">
        <f>IF(A868="","",IF(OR(LEFT(UPPER(TRIM(A868)),2)="Y:",LEFT(UPPER(TRIM(A868)),10)="YESTERDAY:"),"Y",IF(OR(LEFT(UPPER(TRIM(A868)),2)="T:",LEFT(UPPER(TRIM(A868)),6)="TODAY:"),"T",IF(OR(LEFT(UPPER(TRIM(A868)),2)="B:",LEFT(UPPER(TRIM(A868)),8)="BLOCKER:",LEFT(UPPER(TRIM(A868)),9)="BLOCKERS:",LEFT(UPPER(TRIM(A868)),8)="BLOCKED:"),"B",""))))</f>
      </c>
      <c r="E868" s="17">
        <f>IF(D868="","",TRIM(MID(A868,FIND(":",A868)+1,500)))</f>
      </c>
    </row>
    <row r="869">
      <c r="B869" s="17">
        <f>IF(A869="","",IF(COUNTIF(Roster[Name],IF(RIGHT(IF(LEFT(TRIM(A869),1)="[",TRIM(MID(TRIM(A869),FIND("]",TRIM(A869)&amp;"]")+1,200)),TRIM(A869)),1)=")",TRIM(LEFT(IF(LEFT(TRIM(A869),1)="[",TRIM(MID(TRIM(A869),FIND("]",TRIM(A869)&amp;"]")+1,200)),TRIM(A869)),FIND("(",IF(LEFT(TRIM(A869),1)="[",TRIM(MID(TRIM(A869),FIND("]",TRIM(A869)&amp;"]")+1,200)),TRIM(A869))&amp;"(")-1)),IF(LEFT(TRIM(A869),1)="[",TRIM(MID(TRIM(A869),FIND("]",TRIM(A869)&amp;"]")+1,200)),TRIM(A869))))&gt;0,IF(RIGHT(IF(LEFT(TRIM(A869),1)="[",TRIM(MID(TRIM(A869),FIND("]",TRIM(A869)&amp;"]")+1,200)),TRIM(A869)),1)=")",TRIM(LEFT(IF(LEFT(TRIM(A869),1)="[",TRIM(MID(TRIM(A869),FIND("]",TRIM(A869)&amp;"]")+1,200)),TRIM(A869)),FIND("(",IF(LEFT(TRIM(A869),1)="[",TRIM(MID(TRIM(A869),FIND("]",TRIM(A869)&amp;"]")+1,200)),TRIM(A869))&amp;"(")-1)),IF(LEFT(TRIM(A869),1)="[",TRIM(MID(TRIM(A869),FIND("]",TRIM(A869)&amp;"]")+1,200)),TRIM(A869))),""))</f>
      </c>
      <c r="C869" s="17">
        <f>IF(B869&lt;&gt;"",B869,C868)</f>
      </c>
      <c r="D869" s="17">
        <f>IF(A869="","",IF(OR(LEFT(UPPER(TRIM(A869)),2)="Y:",LEFT(UPPER(TRIM(A869)),10)="YESTERDAY:"),"Y",IF(OR(LEFT(UPPER(TRIM(A869)),2)="T:",LEFT(UPPER(TRIM(A869)),6)="TODAY:"),"T",IF(OR(LEFT(UPPER(TRIM(A869)),2)="B:",LEFT(UPPER(TRIM(A869)),8)="BLOCKER:",LEFT(UPPER(TRIM(A869)),9)="BLOCKERS:",LEFT(UPPER(TRIM(A869)),8)="BLOCKED:"),"B",""))))</f>
      </c>
      <c r="E869" s="17">
        <f>IF(D869="","",TRIM(MID(A869,FIND(":",A869)+1,500)))</f>
      </c>
    </row>
    <row r="870">
      <c r="B870" s="17">
        <f>IF(A870="","",IF(COUNTIF(Roster[Name],IF(RIGHT(IF(LEFT(TRIM(A870),1)="[",TRIM(MID(TRIM(A870),FIND("]",TRIM(A870)&amp;"]")+1,200)),TRIM(A870)),1)=")",TRIM(LEFT(IF(LEFT(TRIM(A870),1)="[",TRIM(MID(TRIM(A870),FIND("]",TRIM(A870)&amp;"]")+1,200)),TRIM(A870)),FIND("(",IF(LEFT(TRIM(A870),1)="[",TRIM(MID(TRIM(A870),FIND("]",TRIM(A870)&amp;"]")+1,200)),TRIM(A870))&amp;"(")-1)),IF(LEFT(TRIM(A870),1)="[",TRIM(MID(TRIM(A870),FIND("]",TRIM(A870)&amp;"]")+1,200)),TRIM(A870))))&gt;0,IF(RIGHT(IF(LEFT(TRIM(A870),1)="[",TRIM(MID(TRIM(A870),FIND("]",TRIM(A870)&amp;"]")+1,200)),TRIM(A870)),1)=")",TRIM(LEFT(IF(LEFT(TRIM(A870),1)="[",TRIM(MID(TRIM(A870),FIND("]",TRIM(A870)&amp;"]")+1,200)),TRIM(A870)),FIND("(",IF(LEFT(TRIM(A870),1)="[",TRIM(MID(TRIM(A870),FIND("]",TRIM(A870)&amp;"]")+1,200)),TRIM(A870))&amp;"(")-1)),IF(LEFT(TRIM(A870),1)="[",TRIM(MID(TRIM(A870),FIND("]",TRIM(A870)&amp;"]")+1,200)),TRIM(A870))),""))</f>
      </c>
      <c r="C870" s="17">
        <f>IF(B870&lt;&gt;"",B870,C869)</f>
      </c>
      <c r="D870" s="17">
        <f>IF(A870="","",IF(OR(LEFT(UPPER(TRIM(A870)),2)="Y:",LEFT(UPPER(TRIM(A870)),10)="YESTERDAY:"),"Y",IF(OR(LEFT(UPPER(TRIM(A870)),2)="T:",LEFT(UPPER(TRIM(A870)),6)="TODAY:"),"T",IF(OR(LEFT(UPPER(TRIM(A870)),2)="B:",LEFT(UPPER(TRIM(A870)),8)="BLOCKER:",LEFT(UPPER(TRIM(A870)),9)="BLOCKERS:",LEFT(UPPER(TRIM(A870)),8)="BLOCKED:"),"B",""))))</f>
      </c>
      <c r="E870" s="17">
        <f>IF(D870="","",TRIM(MID(A870,FIND(":",A870)+1,500)))</f>
      </c>
    </row>
    <row r="871">
      <c r="B871" s="17">
        <f>IF(A871="","",IF(COUNTIF(Roster[Name],IF(RIGHT(IF(LEFT(TRIM(A871),1)="[",TRIM(MID(TRIM(A871),FIND("]",TRIM(A871)&amp;"]")+1,200)),TRIM(A871)),1)=")",TRIM(LEFT(IF(LEFT(TRIM(A871),1)="[",TRIM(MID(TRIM(A871),FIND("]",TRIM(A871)&amp;"]")+1,200)),TRIM(A871)),FIND("(",IF(LEFT(TRIM(A871),1)="[",TRIM(MID(TRIM(A871),FIND("]",TRIM(A871)&amp;"]")+1,200)),TRIM(A871))&amp;"(")-1)),IF(LEFT(TRIM(A871),1)="[",TRIM(MID(TRIM(A871),FIND("]",TRIM(A871)&amp;"]")+1,200)),TRIM(A871))))&gt;0,IF(RIGHT(IF(LEFT(TRIM(A871),1)="[",TRIM(MID(TRIM(A871),FIND("]",TRIM(A871)&amp;"]")+1,200)),TRIM(A871)),1)=")",TRIM(LEFT(IF(LEFT(TRIM(A871),1)="[",TRIM(MID(TRIM(A871),FIND("]",TRIM(A871)&amp;"]")+1,200)),TRIM(A871)),FIND("(",IF(LEFT(TRIM(A871),1)="[",TRIM(MID(TRIM(A871),FIND("]",TRIM(A871)&amp;"]")+1,200)),TRIM(A871))&amp;"(")-1)),IF(LEFT(TRIM(A871),1)="[",TRIM(MID(TRIM(A871),FIND("]",TRIM(A871)&amp;"]")+1,200)),TRIM(A871))),""))</f>
      </c>
      <c r="C871" s="17">
        <f>IF(B871&lt;&gt;"",B871,C870)</f>
      </c>
      <c r="D871" s="17">
        <f>IF(A871="","",IF(OR(LEFT(UPPER(TRIM(A871)),2)="Y:",LEFT(UPPER(TRIM(A871)),10)="YESTERDAY:"),"Y",IF(OR(LEFT(UPPER(TRIM(A871)),2)="T:",LEFT(UPPER(TRIM(A871)),6)="TODAY:"),"T",IF(OR(LEFT(UPPER(TRIM(A871)),2)="B:",LEFT(UPPER(TRIM(A871)),8)="BLOCKER:",LEFT(UPPER(TRIM(A871)),9)="BLOCKERS:",LEFT(UPPER(TRIM(A871)),8)="BLOCKED:"),"B",""))))</f>
      </c>
      <c r="E871" s="17">
        <f>IF(D871="","",TRIM(MID(A871,FIND(":",A871)+1,500)))</f>
      </c>
    </row>
    <row r="872">
      <c r="B872" s="17">
        <f>IF(A872="","",IF(COUNTIF(Roster[Name],IF(RIGHT(IF(LEFT(TRIM(A872),1)="[",TRIM(MID(TRIM(A872),FIND("]",TRIM(A872)&amp;"]")+1,200)),TRIM(A872)),1)=")",TRIM(LEFT(IF(LEFT(TRIM(A872),1)="[",TRIM(MID(TRIM(A872),FIND("]",TRIM(A872)&amp;"]")+1,200)),TRIM(A872)),FIND("(",IF(LEFT(TRIM(A872),1)="[",TRIM(MID(TRIM(A872),FIND("]",TRIM(A872)&amp;"]")+1,200)),TRIM(A872))&amp;"(")-1)),IF(LEFT(TRIM(A872),1)="[",TRIM(MID(TRIM(A872),FIND("]",TRIM(A872)&amp;"]")+1,200)),TRIM(A872))))&gt;0,IF(RIGHT(IF(LEFT(TRIM(A872),1)="[",TRIM(MID(TRIM(A872),FIND("]",TRIM(A872)&amp;"]")+1,200)),TRIM(A872)),1)=")",TRIM(LEFT(IF(LEFT(TRIM(A872),1)="[",TRIM(MID(TRIM(A872),FIND("]",TRIM(A872)&amp;"]")+1,200)),TRIM(A872)),FIND("(",IF(LEFT(TRIM(A872),1)="[",TRIM(MID(TRIM(A872),FIND("]",TRIM(A872)&amp;"]")+1,200)),TRIM(A872))&amp;"(")-1)),IF(LEFT(TRIM(A872),1)="[",TRIM(MID(TRIM(A872),FIND("]",TRIM(A872)&amp;"]")+1,200)),TRIM(A872))),""))</f>
      </c>
      <c r="C872" s="17">
        <f>IF(B872&lt;&gt;"",B872,C871)</f>
      </c>
      <c r="D872" s="17">
        <f>IF(A872="","",IF(OR(LEFT(UPPER(TRIM(A872)),2)="Y:",LEFT(UPPER(TRIM(A872)),10)="YESTERDAY:"),"Y",IF(OR(LEFT(UPPER(TRIM(A872)),2)="T:",LEFT(UPPER(TRIM(A872)),6)="TODAY:"),"T",IF(OR(LEFT(UPPER(TRIM(A872)),2)="B:",LEFT(UPPER(TRIM(A872)),8)="BLOCKER:",LEFT(UPPER(TRIM(A872)),9)="BLOCKERS:",LEFT(UPPER(TRIM(A872)),8)="BLOCKED:"),"B",""))))</f>
      </c>
      <c r="E872" s="17">
        <f>IF(D872="","",TRIM(MID(A872,FIND(":",A872)+1,500)))</f>
      </c>
    </row>
    <row r="873">
      <c r="B873" s="17">
        <f>IF(A873="","",IF(COUNTIF(Roster[Name],IF(RIGHT(IF(LEFT(TRIM(A873),1)="[",TRIM(MID(TRIM(A873),FIND("]",TRIM(A873)&amp;"]")+1,200)),TRIM(A873)),1)=")",TRIM(LEFT(IF(LEFT(TRIM(A873),1)="[",TRIM(MID(TRIM(A873),FIND("]",TRIM(A873)&amp;"]")+1,200)),TRIM(A873)),FIND("(",IF(LEFT(TRIM(A873),1)="[",TRIM(MID(TRIM(A873),FIND("]",TRIM(A873)&amp;"]")+1,200)),TRIM(A873))&amp;"(")-1)),IF(LEFT(TRIM(A873),1)="[",TRIM(MID(TRIM(A873),FIND("]",TRIM(A873)&amp;"]")+1,200)),TRIM(A873))))&gt;0,IF(RIGHT(IF(LEFT(TRIM(A873),1)="[",TRIM(MID(TRIM(A873),FIND("]",TRIM(A873)&amp;"]")+1,200)),TRIM(A873)),1)=")",TRIM(LEFT(IF(LEFT(TRIM(A873),1)="[",TRIM(MID(TRIM(A873),FIND("]",TRIM(A873)&amp;"]")+1,200)),TRIM(A873)),FIND("(",IF(LEFT(TRIM(A873),1)="[",TRIM(MID(TRIM(A873),FIND("]",TRIM(A873)&amp;"]")+1,200)),TRIM(A873))&amp;"(")-1)),IF(LEFT(TRIM(A873),1)="[",TRIM(MID(TRIM(A873),FIND("]",TRIM(A873)&amp;"]")+1,200)),TRIM(A873))),""))</f>
      </c>
      <c r="C873" s="17">
        <f>IF(B873&lt;&gt;"",B873,C872)</f>
      </c>
      <c r="D873" s="17">
        <f>IF(A873="","",IF(OR(LEFT(UPPER(TRIM(A873)),2)="Y:",LEFT(UPPER(TRIM(A873)),10)="YESTERDAY:"),"Y",IF(OR(LEFT(UPPER(TRIM(A873)),2)="T:",LEFT(UPPER(TRIM(A873)),6)="TODAY:"),"T",IF(OR(LEFT(UPPER(TRIM(A873)),2)="B:",LEFT(UPPER(TRIM(A873)),8)="BLOCKER:",LEFT(UPPER(TRIM(A873)),9)="BLOCKERS:",LEFT(UPPER(TRIM(A873)),8)="BLOCKED:"),"B",""))))</f>
      </c>
      <c r="E873" s="17">
        <f>IF(D873="","",TRIM(MID(A873,FIND(":",A873)+1,500)))</f>
      </c>
    </row>
    <row r="874">
      <c r="B874" s="17">
        <f>IF(A874="","",IF(COUNTIF(Roster[Name],IF(RIGHT(IF(LEFT(TRIM(A874),1)="[",TRIM(MID(TRIM(A874),FIND("]",TRIM(A874)&amp;"]")+1,200)),TRIM(A874)),1)=")",TRIM(LEFT(IF(LEFT(TRIM(A874),1)="[",TRIM(MID(TRIM(A874),FIND("]",TRIM(A874)&amp;"]")+1,200)),TRIM(A874)),FIND("(",IF(LEFT(TRIM(A874),1)="[",TRIM(MID(TRIM(A874),FIND("]",TRIM(A874)&amp;"]")+1,200)),TRIM(A874))&amp;"(")-1)),IF(LEFT(TRIM(A874),1)="[",TRIM(MID(TRIM(A874),FIND("]",TRIM(A874)&amp;"]")+1,200)),TRIM(A874))))&gt;0,IF(RIGHT(IF(LEFT(TRIM(A874),1)="[",TRIM(MID(TRIM(A874),FIND("]",TRIM(A874)&amp;"]")+1,200)),TRIM(A874)),1)=")",TRIM(LEFT(IF(LEFT(TRIM(A874),1)="[",TRIM(MID(TRIM(A874),FIND("]",TRIM(A874)&amp;"]")+1,200)),TRIM(A874)),FIND("(",IF(LEFT(TRIM(A874),1)="[",TRIM(MID(TRIM(A874),FIND("]",TRIM(A874)&amp;"]")+1,200)),TRIM(A874))&amp;"(")-1)),IF(LEFT(TRIM(A874),1)="[",TRIM(MID(TRIM(A874),FIND("]",TRIM(A874)&amp;"]")+1,200)),TRIM(A874))),""))</f>
      </c>
      <c r="C874" s="17">
        <f>IF(B874&lt;&gt;"",B874,C873)</f>
      </c>
      <c r="D874" s="17">
        <f>IF(A874="","",IF(OR(LEFT(UPPER(TRIM(A874)),2)="Y:",LEFT(UPPER(TRIM(A874)),10)="YESTERDAY:"),"Y",IF(OR(LEFT(UPPER(TRIM(A874)),2)="T:",LEFT(UPPER(TRIM(A874)),6)="TODAY:"),"T",IF(OR(LEFT(UPPER(TRIM(A874)),2)="B:",LEFT(UPPER(TRIM(A874)),8)="BLOCKER:",LEFT(UPPER(TRIM(A874)),9)="BLOCKERS:",LEFT(UPPER(TRIM(A874)),8)="BLOCKED:"),"B",""))))</f>
      </c>
      <c r="E874" s="17">
        <f>IF(D874="","",TRIM(MID(A874,FIND(":",A874)+1,500)))</f>
      </c>
    </row>
    <row r="875">
      <c r="B875" s="17">
        <f>IF(A875="","",IF(COUNTIF(Roster[Name],IF(RIGHT(IF(LEFT(TRIM(A875),1)="[",TRIM(MID(TRIM(A875),FIND("]",TRIM(A875)&amp;"]")+1,200)),TRIM(A875)),1)=")",TRIM(LEFT(IF(LEFT(TRIM(A875),1)="[",TRIM(MID(TRIM(A875),FIND("]",TRIM(A875)&amp;"]")+1,200)),TRIM(A875)),FIND("(",IF(LEFT(TRIM(A875),1)="[",TRIM(MID(TRIM(A875),FIND("]",TRIM(A875)&amp;"]")+1,200)),TRIM(A875))&amp;"(")-1)),IF(LEFT(TRIM(A875),1)="[",TRIM(MID(TRIM(A875),FIND("]",TRIM(A875)&amp;"]")+1,200)),TRIM(A875))))&gt;0,IF(RIGHT(IF(LEFT(TRIM(A875),1)="[",TRIM(MID(TRIM(A875),FIND("]",TRIM(A875)&amp;"]")+1,200)),TRIM(A875)),1)=")",TRIM(LEFT(IF(LEFT(TRIM(A875),1)="[",TRIM(MID(TRIM(A875),FIND("]",TRIM(A875)&amp;"]")+1,200)),TRIM(A875)),FIND("(",IF(LEFT(TRIM(A875),1)="[",TRIM(MID(TRIM(A875),FIND("]",TRIM(A875)&amp;"]")+1,200)),TRIM(A875))&amp;"(")-1)),IF(LEFT(TRIM(A875),1)="[",TRIM(MID(TRIM(A875),FIND("]",TRIM(A875)&amp;"]")+1,200)),TRIM(A875))),""))</f>
      </c>
      <c r="C875" s="17">
        <f>IF(B875&lt;&gt;"",B875,C874)</f>
      </c>
      <c r="D875" s="17">
        <f>IF(A875="","",IF(OR(LEFT(UPPER(TRIM(A875)),2)="Y:",LEFT(UPPER(TRIM(A875)),10)="YESTERDAY:"),"Y",IF(OR(LEFT(UPPER(TRIM(A875)),2)="T:",LEFT(UPPER(TRIM(A875)),6)="TODAY:"),"T",IF(OR(LEFT(UPPER(TRIM(A875)),2)="B:",LEFT(UPPER(TRIM(A875)),8)="BLOCKER:",LEFT(UPPER(TRIM(A875)),9)="BLOCKERS:",LEFT(UPPER(TRIM(A875)),8)="BLOCKED:"),"B",""))))</f>
      </c>
      <c r="E875" s="17">
        <f>IF(D875="","",TRIM(MID(A875,FIND(":",A875)+1,500)))</f>
      </c>
    </row>
    <row r="876">
      <c r="B876" s="17">
        <f>IF(A876="","",IF(COUNTIF(Roster[Name],IF(RIGHT(IF(LEFT(TRIM(A876),1)="[",TRIM(MID(TRIM(A876),FIND("]",TRIM(A876)&amp;"]")+1,200)),TRIM(A876)),1)=")",TRIM(LEFT(IF(LEFT(TRIM(A876),1)="[",TRIM(MID(TRIM(A876),FIND("]",TRIM(A876)&amp;"]")+1,200)),TRIM(A876)),FIND("(",IF(LEFT(TRIM(A876),1)="[",TRIM(MID(TRIM(A876),FIND("]",TRIM(A876)&amp;"]")+1,200)),TRIM(A876))&amp;"(")-1)),IF(LEFT(TRIM(A876),1)="[",TRIM(MID(TRIM(A876),FIND("]",TRIM(A876)&amp;"]")+1,200)),TRIM(A876))))&gt;0,IF(RIGHT(IF(LEFT(TRIM(A876),1)="[",TRIM(MID(TRIM(A876),FIND("]",TRIM(A876)&amp;"]")+1,200)),TRIM(A876)),1)=")",TRIM(LEFT(IF(LEFT(TRIM(A876),1)="[",TRIM(MID(TRIM(A876),FIND("]",TRIM(A876)&amp;"]")+1,200)),TRIM(A876)),FIND("(",IF(LEFT(TRIM(A876),1)="[",TRIM(MID(TRIM(A876),FIND("]",TRIM(A876)&amp;"]")+1,200)),TRIM(A876))&amp;"(")-1)),IF(LEFT(TRIM(A876),1)="[",TRIM(MID(TRIM(A876),FIND("]",TRIM(A876)&amp;"]")+1,200)),TRIM(A876))),""))</f>
      </c>
      <c r="C876" s="17">
        <f>IF(B876&lt;&gt;"",B876,C875)</f>
      </c>
      <c r="D876" s="17">
        <f>IF(A876="","",IF(OR(LEFT(UPPER(TRIM(A876)),2)="Y:",LEFT(UPPER(TRIM(A876)),10)="YESTERDAY:"),"Y",IF(OR(LEFT(UPPER(TRIM(A876)),2)="T:",LEFT(UPPER(TRIM(A876)),6)="TODAY:"),"T",IF(OR(LEFT(UPPER(TRIM(A876)),2)="B:",LEFT(UPPER(TRIM(A876)),8)="BLOCKER:",LEFT(UPPER(TRIM(A876)),9)="BLOCKERS:",LEFT(UPPER(TRIM(A876)),8)="BLOCKED:"),"B",""))))</f>
      </c>
      <c r="E876" s="17">
        <f>IF(D876="","",TRIM(MID(A876,FIND(":",A876)+1,500)))</f>
      </c>
    </row>
    <row r="877">
      <c r="B877" s="17">
        <f>IF(A877="","",IF(COUNTIF(Roster[Name],IF(RIGHT(IF(LEFT(TRIM(A877),1)="[",TRIM(MID(TRIM(A877),FIND("]",TRIM(A877)&amp;"]")+1,200)),TRIM(A877)),1)=")",TRIM(LEFT(IF(LEFT(TRIM(A877),1)="[",TRIM(MID(TRIM(A877),FIND("]",TRIM(A877)&amp;"]")+1,200)),TRIM(A877)),FIND("(",IF(LEFT(TRIM(A877),1)="[",TRIM(MID(TRIM(A877),FIND("]",TRIM(A877)&amp;"]")+1,200)),TRIM(A877))&amp;"(")-1)),IF(LEFT(TRIM(A877),1)="[",TRIM(MID(TRIM(A877),FIND("]",TRIM(A877)&amp;"]")+1,200)),TRIM(A877))))&gt;0,IF(RIGHT(IF(LEFT(TRIM(A877),1)="[",TRIM(MID(TRIM(A877),FIND("]",TRIM(A877)&amp;"]")+1,200)),TRIM(A877)),1)=")",TRIM(LEFT(IF(LEFT(TRIM(A877),1)="[",TRIM(MID(TRIM(A877),FIND("]",TRIM(A877)&amp;"]")+1,200)),TRIM(A877)),FIND("(",IF(LEFT(TRIM(A877),1)="[",TRIM(MID(TRIM(A877),FIND("]",TRIM(A877)&amp;"]")+1,200)),TRIM(A877))&amp;"(")-1)),IF(LEFT(TRIM(A877),1)="[",TRIM(MID(TRIM(A877),FIND("]",TRIM(A877)&amp;"]")+1,200)),TRIM(A877))),""))</f>
      </c>
      <c r="C877" s="17">
        <f>IF(B877&lt;&gt;"",B877,C876)</f>
      </c>
      <c r="D877" s="17">
        <f>IF(A877="","",IF(OR(LEFT(UPPER(TRIM(A877)),2)="Y:",LEFT(UPPER(TRIM(A877)),10)="YESTERDAY:"),"Y",IF(OR(LEFT(UPPER(TRIM(A877)),2)="T:",LEFT(UPPER(TRIM(A877)),6)="TODAY:"),"T",IF(OR(LEFT(UPPER(TRIM(A877)),2)="B:",LEFT(UPPER(TRIM(A877)),8)="BLOCKER:",LEFT(UPPER(TRIM(A877)),9)="BLOCKERS:",LEFT(UPPER(TRIM(A877)),8)="BLOCKED:"),"B",""))))</f>
      </c>
      <c r="E877" s="17">
        <f>IF(D877="","",TRIM(MID(A877,FIND(":",A877)+1,500)))</f>
      </c>
    </row>
    <row r="878">
      <c r="B878" s="17">
        <f>IF(A878="","",IF(COUNTIF(Roster[Name],IF(RIGHT(IF(LEFT(TRIM(A878),1)="[",TRIM(MID(TRIM(A878),FIND("]",TRIM(A878)&amp;"]")+1,200)),TRIM(A878)),1)=")",TRIM(LEFT(IF(LEFT(TRIM(A878),1)="[",TRIM(MID(TRIM(A878),FIND("]",TRIM(A878)&amp;"]")+1,200)),TRIM(A878)),FIND("(",IF(LEFT(TRIM(A878),1)="[",TRIM(MID(TRIM(A878),FIND("]",TRIM(A878)&amp;"]")+1,200)),TRIM(A878))&amp;"(")-1)),IF(LEFT(TRIM(A878),1)="[",TRIM(MID(TRIM(A878),FIND("]",TRIM(A878)&amp;"]")+1,200)),TRIM(A878))))&gt;0,IF(RIGHT(IF(LEFT(TRIM(A878),1)="[",TRIM(MID(TRIM(A878),FIND("]",TRIM(A878)&amp;"]")+1,200)),TRIM(A878)),1)=")",TRIM(LEFT(IF(LEFT(TRIM(A878),1)="[",TRIM(MID(TRIM(A878),FIND("]",TRIM(A878)&amp;"]")+1,200)),TRIM(A878)),FIND("(",IF(LEFT(TRIM(A878),1)="[",TRIM(MID(TRIM(A878),FIND("]",TRIM(A878)&amp;"]")+1,200)),TRIM(A878))&amp;"(")-1)),IF(LEFT(TRIM(A878),1)="[",TRIM(MID(TRIM(A878),FIND("]",TRIM(A878)&amp;"]")+1,200)),TRIM(A878))),""))</f>
      </c>
      <c r="C878" s="17">
        <f>IF(B878&lt;&gt;"",B878,C877)</f>
      </c>
      <c r="D878" s="17">
        <f>IF(A878="","",IF(OR(LEFT(UPPER(TRIM(A878)),2)="Y:",LEFT(UPPER(TRIM(A878)),10)="YESTERDAY:"),"Y",IF(OR(LEFT(UPPER(TRIM(A878)),2)="T:",LEFT(UPPER(TRIM(A878)),6)="TODAY:"),"T",IF(OR(LEFT(UPPER(TRIM(A878)),2)="B:",LEFT(UPPER(TRIM(A878)),8)="BLOCKER:",LEFT(UPPER(TRIM(A878)),9)="BLOCKERS:",LEFT(UPPER(TRIM(A878)),8)="BLOCKED:"),"B",""))))</f>
      </c>
      <c r="E878" s="17">
        <f>IF(D878="","",TRIM(MID(A878,FIND(":",A878)+1,500)))</f>
      </c>
    </row>
    <row r="879">
      <c r="B879" s="17">
        <f>IF(A879="","",IF(COUNTIF(Roster[Name],IF(RIGHT(IF(LEFT(TRIM(A879),1)="[",TRIM(MID(TRIM(A879),FIND("]",TRIM(A879)&amp;"]")+1,200)),TRIM(A879)),1)=")",TRIM(LEFT(IF(LEFT(TRIM(A879),1)="[",TRIM(MID(TRIM(A879),FIND("]",TRIM(A879)&amp;"]")+1,200)),TRIM(A879)),FIND("(",IF(LEFT(TRIM(A879),1)="[",TRIM(MID(TRIM(A879),FIND("]",TRIM(A879)&amp;"]")+1,200)),TRIM(A879))&amp;"(")-1)),IF(LEFT(TRIM(A879),1)="[",TRIM(MID(TRIM(A879),FIND("]",TRIM(A879)&amp;"]")+1,200)),TRIM(A879))))&gt;0,IF(RIGHT(IF(LEFT(TRIM(A879),1)="[",TRIM(MID(TRIM(A879),FIND("]",TRIM(A879)&amp;"]")+1,200)),TRIM(A879)),1)=")",TRIM(LEFT(IF(LEFT(TRIM(A879),1)="[",TRIM(MID(TRIM(A879),FIND("]",TRIM(A879)&amp;"]")+1,200)),TRIM(A879)),FIND("(",IF(LEFT(TRIM(A879),1)="[",TRIM(MID(TRIM(A879),FIND("]",TRIM(A879)&amp;"]")+1,200)),TRIM(A879))&amp;"(")-1)),IF(LEFT(TRIM(A879),1)="[",TRIM(MID(TRIM(A879),FIND("]",TRIM(A879)&amp;"]")+1,200)),TRIM(A879))),""))</f>
      </c>
      <c r="C879" s="17">
        <f>IF(B879&lt;&gt;"",B879,C878)</f>
      </c>
      <c r="D879" s="17">
        <f>IF(A879="","",IF(OR(LEFT(UPPER(TRIM(A879)),2)="Y:",LEFT(UPPER(TRIM(A879)),10)="YESTERDAY:"),"Y",IF(OR(LEFT(UPPER(TRIM(A879)),2)="T:",LEFT(UPPER(TRIM(A879)),6)="TODAY:"),"T",IF(OR(LEFT(UPPER(TRIM(A879)),2)="B:",LEFT(UPPER(TRIM(A879)),8)="BLOCKER:",LEFT(UPPER(TRIM(A879)),9)="BLOCKERS:",LEFT(UPPER(TRIM(A879)),8)="BLOCKED:"),"B",""))))</f>
      </c>
      <c r="E879" s="17">
        <f>IF(D879="","",TRIM(MID(A879,FIND(":",A879)+1,500)))</f>
      </c>
    </row>
    <row r="880">
      <c r="B880" s="17">
        <f>IF(A880="","",IF(COUNTIF(Roster[Name],IF(RIGHT(IF(LEFT(TRIM(A880),1)="[",TRIM(MID(TRIM(A880),FIND("]",TRIM(A880)&amp;"]")+1,200)),TRIM(A880)),1)=")",TRIM(LEFT(IF(LEFT(TRIM(A880),1)="[",TRIM(MID(TRIM(A880),FIND("]",TRIM(A880)&amp;"]")+1,200)),TRIM(A880)),FIND("(",IF(LEFT(TRIM(A880),1)="[",TRIM(MID(TRIM(A880),FIND("]",TRIM(A880)&amp;"]")+1,200)),TRIM(A880))&amp;"(")-1)),IF(LEFT(TRIM(A880),1)="[",TRIM(MID(TRIM(A880),FIND("]",TRIM(A880)&amp;"]")+1,200)),TRIM(A880))))&gt;0,IF(RIGHT(IF(LEFT(TRIM(A880),1)="[",TRIM(MID(TRIM(A880),FIND("]",TRIM(A880)&amp;"]")+1,200)),TRIM(A880)),1)=")",TRIM(LEFT(IF(LEFT(TRIM(A880),1)="[",TRIM(MID(TRIM(A880),FIND("]",TRIM(A880)&amp;"]")+1,200)),TRIM(A880)),FIND("(",IF(LEFT(TRIM(A880),1)="[",TRIM(MID(TRIM(A880),FIND("]",TRIM(A880)&amp;"]")+1,200)),TRIM(A880))&amp;"(")-1)),IF(LEFT(TRIM(A880),1)="[",TRIM(MID(TRIM(A880),FIND("]",TRIM(A880)&amp;"]")+1,200)),TRIM(A880))),""))</f>
      </c>
      <c r="C880" s="17">
        <f>IF(B880&lt;&gt;"",B880,C879)</f>
      </c>
      <c r="D880" s="17">
        <f>IF(A880="","",IF(OR(LEFT(UPPER(TRIM(A880)),2)="Y:",LEFT(UPPER(TRIM(A880)),10)="YESTERDAY:"),"Y",IF(OR(LEFT(UPPER(TRIM(A880)),2)="T:",LEFT(UPPER(TRIM(A880)),6)="TODAY:"),"T",IF(OR(LEFT(UPPER(TRIM(A880)),2)="B:",LEFT(UPPER(TRIM(A880)),8)="BLOCKER:",LEFT(UPPER(TRIM(A880)),9)="BLOCKERS:",LEFT(UPPER(TRIM(A880)),8)="BLOCKED:"),"B",""))))</f>
      </c>
      <c r="E880" s="17">
        <f>IF(D880="","",TRIM(MID(A880,FIND(":",A880)+1,500)))</f>
      </c>
    </row>
    <row r="881">
      <c r="B881" s="17">
        <f>IF(A881="","",IF(COUNTIF(Roster[Name],IF(RIGHT(IF(LEFT(TRIM(A881),1)="[",TRIM(MID(TRIM(A881),FIND("]",TRIM(A881)&amp;"]")+1,200)),TRIM(A881)),1)=")",TRIM(LEFT(IF(LEFT(TRIM(A881),1)="[",TRIM(MID(TRIM(A881),FIND("]",TRIM(A881)&amp;"]")+1,200)),TRIM(A881)),FIND("(",IF(LEFT(TRIM(A881),1)="[",TRIM(MID(TRIM(A881),FIND("]",TRIM(A881)&amp;"]")+1,200)),TRIM(A881))&amp;"(")-1)),IF(LEFT(TRIM(A881),1)="[",TRIM(MID(TRIM(A881),FIND("]",TRIM(A881)&amp;"]")+1,200)),TRIM(A881))))&gt;0,IF(RIGHT(IF(LEFT(TRIM(A881),1)="[",TRIM(MID(TRIM(A881),FIND("]",TRIM(A881)&amp;"]")+1,200)),TRIM(A881)),1)=")",TRIM(LEFT(IF(LEFT(TRIM(A881),1)="[",TRIM(MID(TRIM(A881),FIND("]",TRIM(A881)&amp;"]")+1,200)),TRIM(A881)),FIND("(",IF(LEFT(TRIM(A881),1)="[",TRIM(MID(TRIM(A881),FIND("]",TRIM(A881)&amp;"]")+1,200)),TRIM(A881))&amp;"(")-1)),IF(LEFT(TRIM(A881),1)="[",TRIM(MID(TRIM(A881),FIND("]",TRIM(A881)&amp;"]")+1,200)),TRIM(A881))),""))</f>
      </c>
      <c r="C881" s="17">
        <f>IF(B881&lt;&gt;"",B881,C880)</f>
      </c>
      <c r="D881" s="17">
        <f>IF(A881="","",IF(OR(LEFT(UPPER(TRIM(A881)),2)="Y:",LEFT(UPPER(TRIM(A881)),10)="YESTERDAY:"),"Y",IF(OR(LEFT(UPPER(TRIM(A881)),2)="T:",LEFT(UPPER(TRIM(A881)),6)="TODAY:"),"T",IF(OR(LEFT(UPPER(TRIM(A881)),2)="B:",LEFT(UPPER(TRIM(A881)),8)="BLOCKER:",LEFT(UPPER(TRIM(A881)),9)="BLOCKERS:",LEFT(UPPER(TRIM(A881)),8)="BLOCKED:"),"B",""))))</f>
      </c>
      <c r="E881" s="17">
        <f>IF(D881="","",TRIM(MID(A881,FIND(":",A881)+1,500)))</f>
      </c>
    </row>
    <row r="882">
      <c r="B882" s="17">
        <f>IF(A882="","",IF(COUNTIF(Roster[Name],IF(RIGHT(IF(LEFT(TRIM(A882),1)="[",TRIM(MID(TRIM(A882),FIND("]",TRIM(A882)&amp;"]")+1,200)),TRIM(A882)),1)=")",TRIM(LEFT(IF(LEFT(TRIM(A882),1)="[",TRIM(MID(TRIM(A882),FIND("]",TRIM(A882)&amp;"]")+1,200)),TRIM(A882)),FIND("(",IF(LEFT(TRIM(A882),1)="[",TRIM(MID(TRIM(A882),FIND("]",TRIM(A882)&amp;"]")+1,200)),TRIM(A882))&amp;"(")-1)),IF(LEFT(TRIM(A882),1)="[",TRIM(MID(TRIM(A882),FIND("]",TRIM(A882)&amp;"]")+1,200)),TRIM(A882))))&gt;0,IF(RIGHT(IF(LEFT(TRIM(A882),1)="[",TRIM(MID(TRIM(A882),FIND("]",TRIM(A882)&amp;"]")+1,200)),TRIM(A882)),1)=")",TRIM(LEFT(IF(LEFT(TRIM(A882),1)="[",TRIM(MID(TRIM(A882),FIND("]",TRIM(A882)&amp;"]")+1,200)),TRIM(A882)),FIND("(",IF(LEFT(TRIM(A882),1)="[",TRIM(MID(TRIM(A882),FIND("]",TRIM(A882)&amp;"]")+1,200)),TRIM(A882))&amp;"(")-1)),IF(LEFT(TRIM(A882),1)="[",TRIM(MID(TRIM(A882),FIND("]",TRIM(A882)&amp;"]")+1,200)),TRIM(A882))),""))</f>
      </c>
      <c r="C882" s="17">
        <f>IF(B882&lt;&gt;"",B882,C881)</f>
      </c>
      <c r="D882" s="17">
        <f>IF(A882="","",IF(OR(LEFT(UPPER(TRIM(A882)),2)="Y:",LEFT(UPPER(TRIM(A882)),10)="YESTERDAY:"),"Y",IF(OR(LEFT(UPPER(TRIM(A882)),2)="T:",LEFT(UPPER(TRIM(A882)),6)="TODAY:"),"T",IF(OR(LEFT(UPPER(TRIM(A882)),2)="B:",LEFT(UPPER(TRIM(A882)),8)="BLOCKER:",LEFT(UPPER(TRIM(A882)),9)="BLOCKERS:",LEFT(UPPER(TRIM(A882)),8)="BLOCKED:"),"B",""))))</f>
      </c>
      <c r="E882" s="17">
        <f>IF(D882="","",TRIM(MID(A882,FIND(":",A882)+1,500)))</f>
      </c>
    </row>
    <row r="883">
      <c r="B883" s="17">
        <f>IF(A883="","",IF(COUNTIF(Roster[Name],IF(RIGHT(IF(LEFT(TRIM(A883),1)="[",TRIM(MID(TRIM(A883),FIND("]",TRIM(A883)&amp;"]")+1,200)),TRIM(A883)),1)=")",TRIM(LEFT(IF(LEFT(TRIM(A883),1)="[",TRIM(MID(TRIM(A883),FIND("]",TRIM(A883)&amp;"]")+1,200)),TRIM(A883)),FIND("(",IF(LEFT(TRIM(A883),1)="[",TRIM(MID(TRIM(A883),FIND("]",TRIM(A883)&amp;"]")+1,200)),TRIM(A883))&amp;"(")-1)),IF(LEFT(TRIM(A883),1)="[",TRIM(MID(TRIM(A883),FIND("]",TRIM(A883)&amp;"]")+1,200)),TRIM(A883))))&gt;0,IF(RIGHT(IF(LEFT(TRIM(A883),1)="[",TRIM(MID(TRIM(A883),FIND("]",TRIM(A883)&amp;"]")+1,200)),TRIM(A883)),1)=")",TRIM(LEFT(IF(LEFT(TRIM(A883),1)="[",TRIM(MID(TRIM(A883),FIND("]",TRIM(A883)&amp;"]")+1,200)),TRIM(A883)),FIND("(",IF(LEFT(TRIM(A883),1)="[",TRIM(MID(TRIM(A883),FIND("]",TRIM(A883)&amp;"]")+1,200)),TRIM(A883))&amp;"(")-1)),IF(LEFT(TRIM(A883),1)="[",TRIM(MID(TRIM(A883),FIND("]",TRIM(A883)&amp;"]")+1,200)),TRIM(A883))),""))</f>
      </c>
      <c r="C883" s="17">
        <f>IF(B883&lt;&gt;"",B883,C882)</f>
      </c>
      <c r="D883" s="17">
        <f>IF(A883="","",IF(OR(LEFT(UPPER(TRIM(A883)),2)="Y:",LEFT(UPPER(TRIM(A883)),10)="YESTERDAY:"),"Y",IF(OR(LEFT(UPPER(TRIM(A883)),2)="T:",LEFT(UPPER(TRIM(A883)),6)="TODAY:"),"T",IF(OR(LEFT(UPPER(TRIM(A883)),2)="B:",LEFT(UPPER(TRIM(A883)),8)="BLOCKER:",LEFT(UPPER(TRIM(A883)),9)="BLOCKERS:",LEFT(UPPER(TRIM(A883)),8)="BLOCKED:"),"B",""))))</f>
      </c>
      <c r="E883" s="17">
        <f>IF(D883="","",TRIM(MID(A883,FIND(":",A883)+1,500)))</f>
      </c>
    </row>
    <row r="884">
      <c r="B884" s="17">
        <f>IF(A884="","",IF(COUNTIF(Roster[Name],IF(RIGHT(IF(LEFT(TRIM(A884),1)="[",TRIM(MID(TRIM(A884),FIND("]",TRIM(A884)&amp;"]")+1,200)),TRIM(A884)),1)=")",TRIM(LEFT(IF(LEFT(TRIM(A884),1)="[",TRIM(MID(TRIM(A884),FIND("]",TRIM(A884)&amp;"]")+1,200)),TRIM(A884)),FIND("(",IF(LEFT(TRIM(A884),1)="[",TRIM(MID(TRIM(A884),FIND("]",TRIM(A884)&amp;"]")+1,200)),TRIM(A884))&amp;"(")-1)),IF(LEFT(TRIM(A884),1)="[",TRIM(MID(TRIM(A884),FIND("]",TRIM(A884)&amp;"]")+1,200)),TRIM(A884))))&gt;0,IF(RIGHT(IF(LEFT(TRIM(A884),1)="[",TRIM(MID(TRIM(A884),FIND("]",TRIM(A884)&amp;"]")+1,200)),TRIM(A884)),1)=")",TRIM(LEFT(IF(LEFT(TRIM(A884),1)="[",TRIM(MID(TRIM(A884),FIND("]",TRIM(A884)&amp;"]")+1,200)),TRIM(A884)),FIND("(",IF(LEFT(TRIM(A884),1)="[",TRIM(MID(TRIM(A884),FIND("]",TRIM(A884)&amp;"]")+1,200)),TRIM(A884))&amp;"(")-1)),IF(LEFT(TRIM(A884),1)="[",TRIM(MID(TRIM(A884),FIND("]",TRIM(A884)&amp;"]")+1,200)),TRIM(A884))),""))</f>
      </c>
      <c r="C884" s="17">
        <f>IF(B884&lt;&gt;"",B884,C883)</f>
      </c>
      <c r="D884" s="17">
        <f>IF(A884="","",IF(OR(LEFT(UPPER(TRIM(A884)),2)="Y:",LEFT(UPPER(TRIM(A884)),10)="YESTERDAY:"),"Y",IF(OR(LEFT(UPPER(TRIM(A884)),2)="T:",LEFT(UPPER(TRIM(A884)),6)="TODAY:"),"T",IF(OR(LEFT(UPPER(TRIM(A884)),2)="B:",LEFT(UPPER(TRIM(A884)),8)="BLOCKER:",LEFT(UPPER(TRIM(A884)),9)="BLOCKERS:",LEFT(UPPER(TRIM(A884)),8)="BLOCKED:"),"B",""))))</f>
      </c>
      <c r="E884" s="17">
        <f>IF(D884="","",TRIM(MID(A884,FIND(":",A884)+1,500)))</f>
      </c>
    </row>
    <row r="885">
      <c r="B885" s="17">
        <f>IF(A885="","",IF(COUNTIF(Roster[Name],IF(RIGHT(IF(LEFT(TRIM(A885),1)="[",TRIM(MID(TRIM(A885),FIND("]",TRIM(A885)&amp;"]")+1,200)),TRIM(A885)),1)=")",TRIM(LEFT(IF(LEFT(TRIM(A885),1)="[",TRIM(MID(TRIM(A885),FIND("]",TRIM(A885)&amp;"]")+1,200)),TRIM(A885)),FIND("(",IF(LEFT(TRIM(A885),1)="[",TRIM(MID(TRIM(A885),FIND("]",TRIM(A885)&amp;"]")+1,200)),TRIM(A885))&amp;"(")-1)),IF(LEFT(TRIM(A885),1)="[",TRIM(MID(TRIM(A885),FIND("]",TRIM(A885)&amp;"]")+1,200)),TRIM(A885))))&gt;0,IF(RIGHT(IF(LEFT(TRIM(A885),1)="[",TRIM(MID(TRIM(A885),FIND("]",TRIM(A885)&amp;"]")+1,200)),TRIM(A885)),1)=")",TRIM(LEFT(IF(LEFT(TRIM(A885),1)="[",TRIM(MID(TRIM(A885),FIND("]",TRIM(A885)&amp;"]")+1,200)),TRIM(A885)),FIND("(",IF(LEFT(TRIM(A885),1)="[",TRIM(MID(TRIM(A885),FIND("]",TRIM(A885)&amp;"]")+1,200)),TRIM(A885))&amp;"(")-1)),IF(LEFT(TRIM(A885),1)="[",TRIM(MID(TRIM(A885),FIND("]",TRIM(A885)&amp;"]")+1,200)),TRIM(A885))),""))</f>
      </c>
      <c r="C885" s="17">
        <f>IF(B885&lt;&gt;"",B885,C884)</f>
      </c>
      <c r="D885" s="17">
        <f>IF(A885="","",IF(OR(LEFT(UPPER(TRIM(A885)),2)="Y:",LEFT(UPPER(TRIM(A885)),10)="YESTERDAY:"),"Y",IF(OR(LEFT(UPPER(TRIM(A885)),2)="T:",LEFT(UPPER(TRIM(A885)),6)="TODAY:"),"T",IF(OR(LEFT(UPPER(TRIM(A885)),2)="B:",LEFT(UPPER(TRIM(A885)),8)="BLOCKER:",LEFT(UPPER(TRIM(A885)),9)="BLOCKERS:",LEFT(UPPER(TRIM(A885)),8)="BLOCKED:"),"B",""))))</f>
      </c>
      <c r="E885" s="17">
        <f>IF(D885="","",TRIM(MID(A885,FIND(":",A885)+1,500)))</f>
      </c>
    </row>
    <row r="886">
      <c r="B886" s="17">
        <f>IF(A886="","",IF(COUNTIF(Roster[Name],IF(RIGHT(IF(LEFT(TRIM(A886),1)="[",TRIM(MID(TRIM(A886),FIND("]",TRIM(A886)&amp;"]")+1,200)),TRIM(A886)),1)=")",TRIM(LEFT(IF(LEFT(TRIM(A886),1)="[",TRIM(MID(TRIM(A886),FIND("]",TRIM(A886)&amp;"]")+1,200)),TRIM(A886)),FIND("(",IF(LEFT(TRIM(A886),1)="[",TRIM(MID(TRIM(A886),FIND("]",TRIM(A886)&amp;"]")+1,200)),TRIM(A886))&amp;"(")-1)),IF(LEFT(TRIM(A886),1)="[",TRIM(MID(TRIM(A886),FIND("]",TRIM(A886)&amp;"]")+1,200)),TRIM(A886))))&gt;0,IF(RIGHT(IF(LEFT(TRIM(A886),1)="[",TRIM(MID(TRIM(A886),FIND("]",TRIM(A886)&amp;"]")+1,200)),TRIM(A886)),1)=")",TRIM(LEFT(IF(LEFT(TRIM(A886),1)="[",TRIM(MID(TRIM(A886),FIND("]",TRIM(A886)&amp;"]")+1,200)),TRIM(A886)),FIND("(",IF(LEFT(TRIM(A886),1)="[",TRIM(MID(TRIM(A886),FIND("]",TRIM(A886)&amp;"]")+1,200)),TRIM(A886))&amp;"(")-1)),IF(LEFT(TRIM(A886),1)="[",TRIM(MID(TRIM(A886),FIND("]",TRIM(A886)&amp;"]")+1,200)),TRIM(A886))),""))</f>
      </c>
      <c r="C886" s="17">
        <f>IF(B886&lt;&gt;"",B886,C885)</f>
      </c>
      <c r="D886" s="17">
        <f>IF(A886="","",IF(OR(LEFT(UPPER(TRIM(A886)),2)="Y:",LEFT(UPPER(TRIM(A886)),10)="YESTERDAY:"),"Y",IF(OR(LEFT(UPPER(TRIM(A886)),2)="T:",LEFT(UPPER(TRIM(A886)),6)="TODAY:"),"T",IF(OR(LEFT(UPPER(TRIM(A886)),2)="B:",LEFT(UPPER(TRIM(A886)),8)="BLOCKER:",LEFT(UPPER(TRIM(A886)),9)="BLOCKERS:",LEFT(UPPER(TRIM(A886)),8)="BLOCKED:"),"B",""))))</f>
      </c>
      <c r="E886" s="17">
        <f>IF(D886="","",TRIM(MID(A886,FIND(":",A886)+1,500)))</f>
      </c>
    </row>
    <row r="887">
      <c r="B887" s="17">
        <f>IF(A887="","",IF(COUNTIF(Roster[Name],IF(RIGHT(IF(LEFT(TRIM(A887),1)="[",TRIM(MID(TRIM(A887),FIND("]",TRIM(A887)&amp;"]")+1,200)),TRIM(A887)),1)=")",TRIM(LEFT(IF(LEFT(TRIM(A887),1)="[",TRIM(MID(TRIM(A887),FIND("]",TRIM(A887)&amp;"]")+1,200)),TRIM(A887)),FIND("(",IF(LEFT(TRIM(A887),1)="[",TRIM(MID(TRIM(A887),FIND("]",TRIM(A887)&amp;"]")+1,200)),TRIM(A887))&amp;"(")-1)),IF(LEFT(TRIM(A887),1)="[",TRIM(MID(TRIM(A887),FIND("]",TRIM(A887)&amp;"]")+1,200)),TRIM(A887))))&gt;0,IF(RIGHT(IF(LEFT(TRIM(A887),1)="[",TRIM(MID(TRIM(A887),FIND("]",TRIM(A887)&amp;"]")+1,200)),TRIM(A887)),1)=")",TRIM(LEFT(IF(LEFT(TRIM(A887),1)="[",TRIM(MID(TRIM(A887),FIND("]",TRIM(A887)&amp;"]")+1,200)),TRIM(A887)),FIND("(",IF(LEFT(TRIM(A887),1)="[",TRIM(MID(TRIM(A887),FIND("]",TRIM(A887)&amp;"]")+1,200)),TRIM(A887))&amp;"(")-1)),IF(LEFT(TRIM(A887),1)="[",TRIM(MID(TRIM(A887),FIND("]",TRIM(A887)&amp;"]")+1,200)),TRIM(A887))),""))</f>
      </c>
      <c r="C887" s="17">
        <f>IF(B887&lt;&gt;"",B887,C886)</f>
      </c>
      <c r="D887" s="17">
        <f>IF(A887="","",IF(OR(LEFT(UPPER(TRIM(A887)),2)="Y:",LEFT(UPPER(TRIM(A887)),10)="YESTERDAY:"),"Y",IF(OR(LEFT(UPPER(TRIM(A887)),2)="T:",LEFT(UPPER(TRIM(A887)),6)="TODAY:"),"T",IF(OR(LEFT(UPPER(TRIM(A887)),2)="B:",LEFT(UPPER(TRIM(A887)),8)="BLOCKER:",LEFT(UPPER(TRIM(A887)),9)="BLOCKERS:",LEFT(UPPER(TRIM(A887)),8)="BLOCKED:"),"B",""))))</f>
      </c>
      <c r="E887" s="17">
        <f>IF(D887="","",TRIM(MID(A887,FIND(":",A887)+1,500)))</f>
      </c>
    </row>
    <row r="888">
      <c r="B888" s="17">
        <f>IF(A888="","",IF(COUNTIF(Roster[Name],IF(RIGHT(IF(LEFT(TRIM(A888),1)="[",TRIM(MID(TRIM(A888),FIND("]",TRIM(A888)&amp;"]")+1,200)),TRIM(A888)),1)=")",TRIM(LEFT(IF(LEFT(TRIM(A888),1)="[",TRIM(MID(TRIM(A888),FIND("]",TRIM(A888)&amp;"]")+1,200)),TRIM(A888)),FIND("(",IF(LEFT(TRIM(A888),1)="[",TRIM(MID(TRIM(A888),FIND("]",TRIM(A888)&amp;"]")+1,200)),TRIM(A888))&amp;"(")-1)),IF(LEFT(TRIM(A888),1)="[",TRIM(MID(TRIM(A888),FIND("]",TRIM(A888)&amp;"]")+1,200)),TRIM(A888))))&gt;0,IF(RIGHT(IF(LEFT(TRIM(A888),1)="[",TRIM(MID(TRIM(A888),FIND("]",TRIM(A888)&amp;"]")+1,200)),TRIM(A888)),1)=")",TRIM(LEFT(IF(LEFT(TRIM(A888),1)="[",TRIM(MID(TRIM(A888),FIND("]",TRIM(A888)&amp;"]")+1,200)),TRIM(A888)),FIND("(",IF(LEFT(TRIM(A888),1)="[",TRIM(MID(TRIM(A888),FIND("]",TRIM(A888)&amp;"]")+1,200)),TRIM(A888))&amp;"(")-1)),IF(LEFT(TRIM(A888),1)="[",TRIM(MID(TRIM(A888),FIND("]",TRIM(A888)&amp;"]")+1,200)),TRIM(A888))),""))</f>
      </c>
      <c r="C888" s="17">
        <f>IF(B888&lt;&gt;"",B888,C887)</f>
      </c>
      <c r="D888" s="17">
        <f>IF(A888="","",IF(OR(LEFT(UPPER(TRIM(A888)),2)="Y:",LEFT(UPPER(TRIM(A888)),10)="YESTERDAY:"),"Y",IF(OR(LEFT(UPPER(TRIM(A888)),2)="T:",LEFT(UPPER(TRIM(A888)),6)="TODAY:"),"T",IF(OR(LEFT(UPPER(TRIM(A888)),2)="B:",LEFT(UPPER(TRIM(A888)),8)="BLOCKER:",LEFT(UPPER(TRIM(A888)),9)="BLOCKERS:",LEFT(UPPER(TRIM(A888)),8)="BLOCKED:"),"B",""))))</f>
      </c>
      <c r="E888" s="17">
        <f>IF(D888="","",TRIM(MID(A888,FIND(":",A888)+1,500)))</f>
      </c>
    </row>
    <row r="889">
      <c r="B889" s="17">
        <f>IF(A889="","",IF(COUNTIF(Roster[Name],IF(RIGHT(IF(LEFT(TRIM(A889),1)="[",TRIM(MID(TRIM(A889),FIND("]",TRIM(A889)&amp;"]")+1,200)),TRIM(A889)),1)=")",TRIM(LEFT(IF(LEFT(TRIM(A889),1)="[",TRIM(MID(TRIM(A889),FIND("]",TRIM(A889)&amp;"]")+1,200)),TRIM(A889)),FIND("(",IF(LEFT(TRIM(A889),1)="[",TRIM(MID(TRIM(A889),FIND("]",TRIM(A889)&amp;"]")+1,200)),TRIM(A889))&amp;"(")-1)),IF(LEFT(TRIM(A889),1)="[",TRIM(MID(TRIM(A889),FIND("]",TRIM(A889)&amp;"]")+1,200)),TRIM(A889))))&gt;0,IF(RIGHT(IF(LEFT(TRIM(A889),1)="[",TRIM(MID(TRIM(A889),FIND("]",TRIM(A889)&amp;"]")+1,200)),TRIM(A889)),1)=")",TRIM(LEFT(IF(LEFT(TRIM(A889),1)="[",TRIM(MID(TRIM(A889),FIND("]",TRIM(A889)&amp;"]")+1,200)),TRIM(A889)),FIND("(",IF(LEFT(TRIM(A889),1)="[",TRIM(MID(TRIM(A889),FIND("]",TRIM(A889)&amp;"]")+1,200)),TRIM(A889))&amp;"(")-1)),IF(LEFT(TRIM(A889),1)="[",TRIM(MID(TRIM(A889),FIND("]",TRIM(A889)&amp;"]")+1,200)),TRIM(A889))),""))</f>
      </c>
      <c r="C889" s="17">
        <f>IF(B889&lt;&gt;"",B889,C888)</f>
      </c>
      <c r="D889" s="17">
        <f>IF(A889="","",IF(OR(LEFT(UPPER(TRIM(A889)),2)="Y:",LEFT(UPPER(TRIM(A889)),10)="YESTERDAY:"),"Y",IF(OR(LEFT(UPPER(TRIM(A889)),2)="T:",LEFT(UPPER(TRIM(A889)),6)="TODAY:"),"T",IF(OR(LEFT(UPPER(TRIM(A889)),2)="B:",LEFT(UPPER(TRIM(A889)),8)="BLOCKER:",LEFT(UPPER(TRIM(A889)),9)="BLOCKERS:",LEFT(UPPER(TRIM(A889)),8)="BLOCKED:"),"B",""))))</f>
      </c>
      <c r="E889" s="17">
        <f>IF(D889="","",TRIM(MID(A889,FIND(":",A889)+1,500)))</f>
      </c>
    </row>
    <row r="890">
      <c r="B890" s="17">
        <f>IF(A890="","",IF(COUNTIF(Roster[Name],IF(RIGHT(IF(LEFT(TRIM(A890),1)="[",TRIM(MID(TRIM(A890),FIND("]",TRIM(A890)&amp;"]")+1,200)),TRIM(A890)),1)=")",TRIM(LEFT(IF(LEFT(TRIM(A890),1)="[",TRIM(MID(TRIM(A890),FIND("]",TRIM(A890)&amp;"]")+1,200)),TRIM(A890)),FIND("(",IF(LEFT(TRIM(A890),1)="[",TRIM(MID(TRIM(A890),FIND("]",TRIM(A890)&amp;"]")+1,200)),TRIM(A890))&amp;"(")-1)),IF(LEFT(TRIM(A890),1)="[",TRIM(MID(TRIM(A890),FIND("]",TRIM(A890)&amp;"]")+1,200)),TRIM(A890))))&gt;0,IF(RIGHT(IF(LEFT(TRIM(A890),1)="[",TRIM(MID(TRIM(A890),FIND("]",TRIM(A890)&amp;"]")+1,200)),TRIM(A890)),1)=")",TRIM(LEFT(IF(LEFT(TRIM(A890),1)="[",TRIM(MID(TRIM(A890),FIND("]",TRIM(A890)&amp;"]")+1,200)),TRIM(A890)),FIND("(",IF(LEFT(TRIM(A890),1)="[",TRIM(MID(TRIM(A890),FIND("]",TRIM(A890)&amp;"]")+1,200)),TRIM(A890))&amp;"(")-1)),IF(LEFT(TRIM(A890),1)="[",TRIM(MID(TRIM(A890),FIND("]",TRIM(A890)&amp;"]")+1,200)),TRIM(A890))),""))</f>
      </c>
      <c r="C890" s="17">
        <f>IF(B890&lt;&gt;"",B890,C889)</f>
      </c>
      <c r="D890" s="17">
        <f>IF(A890="","",IF(OR(LEFT(UPPER(TRIM(A890)),2)="Y:",LEFT(UPPER(TRIM(A890)),10)="YESTERDAY:"),"Y",IF(OR(LEFT(UPPER(TRIM(A890)),2)="T:",LEFT(UPPER(TRIM(A890)),6)="TODAY:"),"T",IF(OR(LEFT(UPPER(TRIM(A890)),2)="B:",LEFT(UPPER(TRIM(A890)),8)="BLOCKER:",LEFT(UPPER(TRIM(A890)),9)="BLOCKERS:",LEFT(UPPER(TRIM(A890)),8)="BLOCKED:"),"B",""))))</f>
      </c>
      <c r="E890" s="17">
        <f>IF(D890="","",TRIM(MID(A890,FIND(":",A890)+1,500)))</f>
      </c>
    </row>
    <row r="891">
      <c r="B891" s="17">
        <f>IF(A891="","",IF(COUNTIF(Roster[Name],IF(RIGHT(IF(LEFT(TRIM(A891),1)="[",TRIM(MID(TRIM(A891),FIND("]",TRIM(A891)&amp;"]")+1,200)),TRIM(A891)),1)=")",TRIM(LEFT(IF(LEFT(TRIM(A891),1)="[",TRIM(MID(TRIM(A891),FIND("]",TRIM(A891)&amp;"]")+1,200)),TRIM(A891)),FIND("(",IF(LEFT(TRIM(A891),1)="[",TRIM(MID(TRIM(A891),FIND("]",TRIM(A891)&amp;"]")+1,200)),TRIM(A891))&amp;"(")-1)),IF(LEFT(TRIM(A891),1)="[",TRIM(MID(TRIM(A891),FIND("]",TRIM(A891)&amp;"]")+1,200)),TRIM(A891))))&gt;0,IF(RIGHT(IF(LEFT(TRIM(A891),1)="[",TRIM(MID(TRIM(A891),FIND("]",TRIM(A891)&amp;"]")+1,200)),TRIM(A891)),1)=")",TRIM(LEFT(IF(LEFT(TRIM(A891),1)="[",TRIM(MID(TRIM(A891),FIND("]",TRIM(A891)&amp;"]")+1,200)),TRIM(A891)),FIND("(",IF(LEFT(TRIM(A891),1)="[",TRIM(MID(TRIM(A891),FIND("]",TRIM(A891)&amp;"]")+1,200)),TRIM(A891))&amp;"(")-1)),IF(LEFT(TRIM(A891),1)="[",TRIM(MID(TRIM(A891),FIND("]",TRIM(A891)&amp;"]")+1,200)),TRIM(A891))),""))</f>
      </c>
      <c r="C891" s="17">
        <f>IF(B891&lt;&gt;"",B891,C890)</f>
      </c>
      <c r="D891" s="17">
        <f>IF(A891="","",IF(OR(LEFT(UPPER(TRIM(A891)),2)="Y:",LEFT(UPPER(TRIM(A891)),10)="YESTERDAY:"),"Y",IF(OR(LEFT(UPPER(TRIM(A891)),2)="T:",LEFT(UPPER(TRIM(A891)),6)="TODAY:"),"T",IF(OR(LEFT(UPPER(TRIM(A891)),2)="B:",LEFT(UPPER(TRIM(A891)),8)="BLOCKER:",LEFT(UPPER(TRIM(A891)),9)="BLOCKERS:",LEFT(UPPER(TRIM(A891)),8)="BLOCKED:"),"B",""))))</f>
      </c>
      <c r="E891" s="17">
        <f>IF(D891="","",TRIM(MID(A891,FIND(":",A891)+1,500)))</f>
      </c>
    </row>
    <row r="892">
      <c r="B892" s="17">
        <f>IF(A892="","",IF(COUNTIF(Roster[Name],IF(RIGHT(IF(LEFT(TRIM(A892),1)="[",TRIM(MID(TRIM(A892),FIND("]",TRIM(A892)&amp;"]")+1,200)),TRIM(A892)),1)=")",TRIM(LEFT(IF(LEFT(TRIM(A892),1)="[",TRIM(MID(TRIM(A892),FIND("]",TRIM(A892)&amp;"]")+1,200)),TRIM(A892)),FIND("(",IF(LEFT(TRIM(A892),1)="[",TRIM(MID(TRIM(A892),FIND("]",TRIM(A892)&amp;"]")+1,200)),TRIM(A892))&amp;"(")-1)),IF(LEFT(TRIM(A892),1)="[",TRIM(MID(TRIM(A892),FIND("]",TRIM(A892)&amp;"]")+1,200)),TRIM(A892))))&gt;0,IF(RIGHT(IF(LEFT(TRIM(A892),1)="[",TRIM(MID(TRIM(A892),FIND("]",TRIM(A892)&amp;"]")+1,200)),TRIM(A892)),1)=")",TRIM(LEFT(IF(LEFT(TRIM(A892),1)="[",TRIM(MID(TRIM(A892),FIND("]",TRIM(A892)&amp;"]")+1,200)),TRIM(A892)),FIND("(",IF(LEFT(TRIM(A892),1)="[",TRIM(MID(TRIM(A892),FIND("]",TRIM(A892)&amp;"]")+1,200)),TRIM(A892))&amp;"(")-1)),IF(LEFT(TRIM(A892),1)="[",TRIM(MID(TRIM(A892),FIND("]",TRIM(A892)&amp;"]")+1,200)),TRIM(A892))),""))</f>
      </c>
      <c r="C892" s="17">
        <f>IF(B892&lt;&gt;"",B892,C891)</f>
      </c>
      <c r="D892" s="17">
        <f>IF(A892="","",IF(OR(LEFT(UPPER(TRIM(A892)),2)="Y:",LEFT(UPPER(TRIM(A892)),10)="YESTERDAY:"),"Y",IF(OR(LEFT(UPPER(TRIM(A892)),2)="T:",LEFT(UPPER(TRIM(A892)),6)="TODAY:"),"T",IF(OR(LEFT(UPPER(TRIM(A892)),2)="B:",LEFT(UPPER(TRIM(A892)),8)="BLOCKER:",LEFT(UPPER(TRIM(A892)),9)="BLOCKERS:",LEFT(UPPER(TRIM(A892)),8)="BLOCKED:"),"B",""))))</f>
      </c>
      <c r="E892" s="17">
        <f>IF(D892="","",TRIM(MID(A892,FIND(":",A892)+1,500)))</f>
      </c>
    </row>
    <row r="893">
      <c r="B893" s="17">
        <f>IF(A893="","",IF(COUNTIF(Roster[Name],IF(RIGHT(IF(LEFT(TRIM(A893),1)="[",TRIM(MID(TRIM(A893),FIND("]",TRIM(A893)&amp;"]")+1,200)),TRIM(A893)),1)=")",TRIM(LEFT(IF(LEFT(TRIM(A893),1)="[",TRIM(MID(TRIM(A893),FIND("]",TRIM(A893)&amp;"]")+1,200)),TRIM(A893)),FIND("(",IF(LEFT(TRIM(A893),1)="[",TRIM(MID(TRIM(A893),FIND("]",TRIM(A893)&amp;"]")+1,200)),TRIM(A893))&amp;"(")-1)),IF(LEFT(TRIM(A893),1)="[",TRIM(MID(TRIM(A893),FIND("]",TRIM(A893)&amp;"]")+1,200)),TRIM(A893))))&gt;0,IF(RIGHT(IF(LEFT(TRIM(A893),1)="[",TRIM(MID(TRIM(A893),FIND("]",TRIM(A893)&amp;"]")+1,200)),TRIM(A893)),1)=")",TRIM(LEFT(IF(LEFT(TRIM(A893),1)="[",TRIM(MID(TRIM(A893),FIND("]",TRIM(A893)&amp;"]")+1,200)),TRIM(A893)),FIND("(",IF(LEFT(TRIM(A893),1)="[",TRIM(MID(TRIM(A893),FIND("]",TRIM(A893)&amp;"]")+1,200)),TRIM(A893))&amp;"(")-1)),IF(LEFT(TRIM(A893),1)="[",TRIM(MID(TRIM(A893),FIND("]",TRIM(A893)&amp;"]")+1,200)),TRIM(A893))),""))</f>
      </c>
      <c r="C893" s="17">
        <f>IF(B893&lt;&gt;"",B893,C892)</f>
      </c>
      <c r="D893" s="17">
        <f>IF(A893="","",IF(OR(LEFT(UPPER(TRIM(A893)),2)="Y:",LEFT(UPPER(TRIM(A893)),10)="YESTERDAY:"),"Y",IF(OR(LEFT(UPPER(TRIM(A893)),2)="T:",LEFT(UPPER(TRIM(A893)),6)="TODAY:"),"T",IF(OR(LEFT(UPPER(TRIM(A893)),2)="B:",LEFT(UPPER(TRIM(A893)),8)="BLOCKER:",LEFT(UPPER(TRIM(A893)),9)="BLOCKERS:",LEFT(UPPER(TRIM(A893)),8)="BLOCKED:"),"B",""))))</f>
      </c>
      <c r="E893" s="17">
        <f>IF(D893="","",TRIM(MID(A893,FIND(":",A893)+1,500)))</f>
      </c>
    </row>
    <row r="894">
      <c r="B894" s="17">
        <f>IF(A894="","",IF(COUNTIF(Roster[Name],IF(RIGHT(IF(LEFT(TRIM(A894),1)="[",TRIM(MID(TRIM(A894),FIND("]",TRIM(A894)&amp;"]")+1,200)),TRIM(A894)),1)=")",TRIM(LEFT(IF(LEFT(TRIM(A894),1)="[",TRIM(MID(TRIM(A894),FIND("]",TRIM(A894)&amp;"]")+1,200)),TRIM(A894)),FIND("(",IF(LEFT(TRIM(A894),1)="[",TRIM(MID(TRIM(A894),FIND("]",TRIM(A894)&amp;"]")+1,200)),TRIM(A894))&amp;"(")-1)),IF(LEFT(TRIM(A894),1)="[",TRIM(MID(TRIM(A894),FIND("]",TRIM(A894)&amp;"]")+1,200)),TRIM(A894))))&gt;0,IF(RIGHT(IF(LEFT(TRIM(A894),1)="[",TRIM(MID(TRIM(A894),FIND("]",TRIM(A894)&amp;"]")+1,200)),TRIM(A894)),1)=")",TRIM(LEFT(IF(LEFT(TRIM(A894),1)="[",TRIM(MID(TRIM(A894),FIND("]",TRIM(A894)&amp;"]")+1,200)),TRIM(A894)),FIND("(",IF(LEFT(TRIM(A894),1)="[",TRIM(MID(TRIM(A894),FIND("]",TRIM(A894)&amp;"]")+1,200)),TRIM(A894))&amp;"(")-1)),IF(LEFT(TRIM(A894),1)="[",TRIM(MID(TRIM(A894),FIND("]",TRIM(A894)&amp;"]")+1,200)),TRIM(A894))),""))</f>
      </c>
      <c r="C894" s="17">
        <f>IF(B894&lt;&gt;"",B894,C893)</f>
      </c>
      <c r="D894" s="17">
        <f>IF(A894="","",IF(OR(LEFT(UPPER(TRIM(A894)),2)="Y:",LEFT(UPPER(TRIM(A894)),10)="YESTERDAY:"),"Y",IF(OR(LEFT(UPPER(TRIM(A894)),2)="T:",LEFT(UPPER(TRIM(A894)),6)="TODAY:"),"T",IF(OR(LEFT(UPPER(TRIM(A894)),2)="B:",LEFT(UPPER(TRIM(A894)),8)="BLOCKER:",LEFT(UPPER(TRIM(A894)),9)="BLOCKERS:",LEFT(UPPER(TRIM(A894)),8)="BLOCKED:"),"B",""))))</f>
      </c>
      <c r="E894" s="17">
        <f>IF(D894="","",TRIM(MID(A894,FIND(":",A894)+1,500)))</f>
      </c>
    </row>
    <row r="895">
      <c r="B895" s="17">
        <f>IF(A895="","",IF(COUNTIF(Roster[Name],IF(RIGHT(IF(LEFT(TRIM(A895),1)="[",TRIM(MID(TRIM(A895),FIND("]",TRIM(A895)&amp;"]")+1,200)),TRIM(A895)),1)=")",TRIM(LEFT(IF(LEFT(TRIM(A895),1)="[",TRIM(MID(TRIM(A895),FIND("]",TRIM(A895)&amp;"]")+1,200)),TRIM(A895)),FIND("(",IF(LEFT(TRIM(A895),1)="[",TRIM(MID(TRIM(A895),FIND("]",TRIM(A895)&amp;"]")+1,200)),TRIM(A895))&amp;"(")-1)),IF(LEFT(TRIM(A895),1)="[",TRIM(MID(TRIM(A895),FIND("]",TRIM(A895)&amp;"]")+1,200)),TRIM(A895))))&gt;0,IF(RIGHT(IF(LEFT(TRIM(A895),1)="[",TRIM(MID(TRIM(A895),FIND("]",TRIM(A895)&amp;"]")+1,200)),TRIM(A895)),1)=")",TRIM(LEFT(IF(LEFT(TRIM(A895),1)="[",TRIM(MID(TRIM(A895),FIND("]",TRIM(A895)&amp;"]")+1,200)),TRIM(A895)),FIND("(",IF(LEFT(TRIM(A895),1)="[",TRIM(MID(TRIM(A895),FIND("]",TRIM(A895)&amp;"]")+1,200)),TRIM(A895))&amp;"(")-1)),IF(LEFT(TRIM(A895),1)="[",TRIM(MID(TRIM(A895),FIND("]",TRIM(A895)&amp;"]")+1,200)),TRIM(A895))),""))</f>
      </c>
      <c r="C895" s="17">
        <f>IF(B895&lt;&gt;"",B895,C894)</f>
      </c>
      <c r="D895" s="17">
        <f>IF(A895="","",IF(OR(LEFT(UPPER(TRIM(A895)),2)="Y:",LEFT(UPPER(TRIM(A895)),10)="YESTERDAY:"),"Y",IF(OR(LEFT(UPPER(TRIM(A895)),2)="T:",LEFT(UPPER(TRIM(A895)),6)="TODAY:"),"T",IF(OR(LEFT(UPPER(TRIM(A895)),2)="B:",LEFT(UPPER(TRIM(A895)),8)="BLOCKER:",LEFT(UPPER(TRIM(A895)),9)="BLOCKERS:",LEFT(UPPER(TRIM(A895)),8)="BLOCKED:"),"B",""))))</f>
      </c>
      <c r="E895" s="17">
        <f>IF(D895="","",TRIM(MID(A895,FIND(":",A895)+1,500)))</f>
      </c>
    </row>
    <row r="896">
      <c r="B896" s="17">
        <f>IF(A896="","",IF(COUNTIF(Roster[Name],IF(RIGHT(IF(LEFT(TRIM(A896),1)="[",TRIM(MID(TRIM(A896),FIND("]",TRIM(A896)&amp;"]")+1,200)),TRIM(A896)),1)=")",TRIM(LEFT(IF(LEFT(TRIM(A896),1)="[",TRIM(MID(TRIM(A896),FIND("]",TRIM(A896)&amp;"]")+1,200)),TRIM(A896)),FIND("(",IF(LEFT(TRIM(A896),1)="[",TRIM(MID(TRIM(A896),FIND("]",TRIM(A896)&amp;"]")+1,200)),TRIM(A896))&amp;"(")-1)),IF(LEFT(TRIM(A896),1)="[",TRIM(MID(TRIM(A896),FIND("]",TRIM(A896)&amp;"]")+1,200)),TRIM(A896))))&gt;0,IF(RIGHT(IF(LEFT(TRIM(A896),1)="[",TRIM(MID(TRIM(A896),FIND("]",TRIM(A896)&amp;"]")+1,200)),TRIM(A896)),1)=")",TRIM(LEFT(IF(LEFT(TRIM(A896),1)="[",TRIM(MID(TRIM(A896),FIND("]",TRIM(A896)&amp;"]")+1,200)),TRIM(A896)),FIND("(",IF(LEFT(TRIM(A896),1)="[",TRIM(MID(TRIM(A896),FIND("]",TRIM(A896)&amp;"]")+1,200)),TRIM(A896))&amp;"(")-1)),IF(LEFT(TRIM(A896),1)="[",TRIM(MID(TRIM(A896),FIND("]",TRIM(A896)&amp;"]")+1,200)),TRIM(A896))),""))</f>
      </c>
      <c r="C896" s="17">
        <f>IF(B896&lt;&gt;"",B896,C895)</f>
      </c>
      <c r="D896" s="17">
        <f>IF(A896="","",IF(OR(LEFT(UPPER(TRIM(A896)),2)="Y:",LEFT(UPPER(TRIM(A896)),10)="YESTERDAY:"),"Y",IF(OR(LEFT(UPPER(TRIM(A896)),2)="T:",LEFT(UPPER(TRIM(A896)),6)="TODAY:"),"T",IF(OR(LEFT(UPPER(TRIM(A896)),2)="B:",LEFT(UPPER(TRIM(A896)),8)="BLOCKER:",LEFT(UPPER(TRIM(A896)),9)="BLOCKERS:",LEFT(UPPER(TRIM(A896)),8)="BLOCKED:"),"B",""))))</f>
      </c>
      <c r="E896" s="17">
        <f>IF(D896="","",TRIM(MID(A896,FIND(":",A896)+1,500)))</f>
      </c>
    </row>
    <row r="897">
      <c r="B897" s="17">
        <f>IF(A897="","",IF(COUNTIF(Roster[Name],IF(RIGHT(IF(LEFT(TRIM(A897),1)="[",TRIM(MID(TRIM(A897),FIND("]",TRIM(A897)&amp;"]")+1,200)),TRIM(A897)),1)=")",TRIM(LEFT(IF(LEFT(TRIM(A897),1)="[",TRIM(MID(TRIM(A897),FIND("]",TRIM(A897)&amp;"]")+1,200)),TRIM(A897)),FIND("(",IF(LEFT(TRIM(A897),1)="[",TRIM(MID(TRIM(A897),FIND("]",TRIM(A897)&amp;"]")+1,200)),TRIM(A897))&amp;"(")-1)),IF(LEFT(TRIM(A897),1)="[",TRIM(MID(TRIM(A897),FIND("]",TRIM(A897)&amp;"]")+1,200)),TRIM(A897))))&gt;0,IF(RIGHT(IF(LEFT(TRIM(A897),1)="[",TRIM(MID(TRIM(A897),FIND("]",TRIM(A897)&amp;"]")+1,200)),TRIM(A897)),1)=")",TRIM(LEFT(IF(LEFT(TRIM(A897),1)="[",TRIM(MID(TRIM(A897),FIND("]",TRIM(A897)&amp;"]")+1,200)),TRIM(A897)),FIND("(",IF(LEFT(TRIM(A897),1)="[",TRIM(MID(TRIM(A897),FIND("]",TRIM(A897)&amp;"]")+1,200)),TRIM(A897))&amp;"(")-1)),IF(LEFT(TRIM(A897),1)="[",TRIM(MID(TRIM(A897),FIND("]",TRIM(A897)&amp;"]")+1,200)),TRIM(A897))),""))</f>
      </c>
      <c r="C897" s="17">
        <f>IF(B897&lt;&gt;"",B897,C896)</f>
      </c>
      <c r="D897" s="17">
        <f>IF(A897="","",IF(OR(LEFT(UPPER(TRIM(A897)),2)="Y:",LEFT(UPPER(TRIM(A897)),10)="YESTERDAY:"),"Y",IF(OR(LEFT(UPPER(TRIM(A897)),2)="T:",LEFT(UPPER(TRIM(A897)),6)="TODAY:"),"T",IF(OR(LEFT(UPPER(TRIM(A897)),2)="B:",LEFT(UPPER(TRIM(A897)),8)="BLOCKER:",LEFT(UPPER(TRIM(A897)),9)="BLOCKERS:",LEFT(UPPER(TRIM(A897)),8)="BLOCKED:"),"B",""))))</f>
      </c>
      <c r="E897" s="17">
        <f>IF(D897="","",TRIM(MID(A897,FIND(":",A897)+1,500)))</f>
      </c>
    </row>
    <row r="898">
      <c r="B898" s="17">
        <f>IF(A898="","",IF(COUNTIF(Roster[Name],IF(RIGHT(IF(LEFT(TRIM(A898),1)="[",TRIM(MID(TRIM(A898),FIND("]",TRIM(A898)&amp;"]")+1,200)),TRIM(A898)),1)=")",TRIM(LEFT(IF(LEFT(TRIM(A898),1)="[",TRIM(MID(TRIM(A898),FIND("]",TRIM(A898)&amp;"]")+1,200)),TRIM(A898)),FIND("(",IF(LEFT(TRIM(A898),1)="[",TRIM(MID(TRIM(A898),FIND("]",TRIM(A898)&amp;"]")+1,200)),TRIM(A898))&amp;"(")-1)),IF(LEFT(TRIM(A898),1)="[",TRIM(MID(TRIM(A898),FIND("]",TRIM(A898)&amp;"]")+1,200)),TRIM(A898))))&gt;0,IF(RIGHT(IF(LEFT(TRIM(A898),1)="[",TRIM(MID(TRIM(A898),FIND("]",TRIM(A898)&amp;"]")+1,200)),TRIM(A898)),1)=")",TRIM(LEFT(IF(LEFT(TRIM(A898),1)="[",TRIM(MID(TRIM(A898),FIND("]",TRIM(A898)&amp;"]")+1,200)),TRIM(A898)),FIND("(",IF(LEFT(TRIM(A898),1)="[",TRIM(MID(TRIM(A898),FIND("]",TRIM(A898)&amp;"]")+1,200)),TRIM(A898))&amp;"(")-1)),IF(LEFT(TRIM(A898),1)="[",TRIM(MID(TRIM(A898),FIND("]",TRIM(A898)&amp;"]")+1,200)),TRIM(A898))),""))</f>
      </c>
      <c r="C898" s="17">
        <f>IF(B898&lt;&gt;"",B898,C897)</f>
      </c>
      <c r="D898" s="17">
        <f>IF(A898="","",IF(OR(LEFT(UPPER(TRIM(A898)),2)="Y:",LEFT(UPPER(TRIM(A898)),10)="YESTERDAY:"),"Y",IF(OR(LEFT(UPPER(TRIM(A898)),2)="T:",LEFT(UPPER(TRIM(A898)),6)="TODAY:"),"T",IF(OR(LEFT(UPPER(TRIM(A898)),2)="B:",LEFT(UPPER(TRIM(A898)),8)="BLOCKER:",LEFT(UPPER(TRIM(A898)),9)="BLOCKERS:",LEFT(UPPER(TRIM(A898)),8)="BLOCKED:"),"B",""))))</f>
      </c>
      <c r="E898" s="17">
        <f>IF(D898="","",TRIM(MID(A898,FIND(":",A898)+1,500)))</f>
      </c>
    </row>
    <row r="899">
      <c r="B899" s="17">
        <f>IF(A899="","",IF(COUNTIF(Roster[Name],IF(RIGHT(IF(LEFT(TRIM(A899),1)="[",TRIM(MID(TRIM(A899),FIND("]",TRIM(A899)&amp;"]")+1,200)),TRIM(A899)),1)=")",TRIM(LEFT(IF(LEFT(TRIM(A899),1)="[",TRIM(MID(TRIM(A899),FIND("]",TRIM(A899)&amp;"]")+1,200)),TRIM(A899)),FIND("(",IF(LEFT(TRIM(A899),1)="[",TRIM(MID(TRIM(A899),FIND("]",TRIM(A899)&amp;"]")+1,200)),TRIM(A899))&amp;"(")-1)),IF(LEFT(TRIM(A899),1)="[",TRIM(MID(TRIM(A899),FIND("]",TRIM(A899)&amp;"]")+1,200)),TRIM(A899))))&gt;0,IF(RIGHT(IF(LEFT(TRIM(A899),1)="[",TRIM(MID(TRIM(A899),FIND("]",TRIM(A899)&amp;"]")+1,200)),TRIM(A899)),1)=")",TRIM(LEFT(IF(LEFT(TRIM(A899),1)="[",TRIM(MID(TRIM(A899),FIND("]",TRIM(A899)&amp;"]")+1,200)),TRIM(A899)),FIND("(",IF(LEFT(TRIM(A899),1)="[",TRIM(MID(TRIM(A899),FIND("]",TRIM(A899)&amp;"]")+1,200)),TRIM(A899))&amp;"(")-1)),IF(LEFT(TRIM(A899),1)="[",TRIM(MID(TRIM(A899),FIND("]",TRIM(A899)&amp;"]")+1,200)),TRIM(A899))),""))</f>
      </c>
      <c r="C899" s="17">
        <f>IF(B899&lt;&gt;"",B899,C898)</f>
      </c>
      <c r="D899" s="17">
        <f>IF(A899="","",IF(OR(LEFT(UPPER(TRIM(A899)),2)="Y:",LEFT(UPPER(TRIM(A899)),10)="YESTERDAY:"),"Y",IF(OR(LEFT(UPPER(TRIM(A899)),2)="T:",LEFT(UPPER(TRIM(A899)),6)="TODAY:"),"T",IF(OR(LEFT(UPPER(TRIM(A899)),2)="B:",LEFT(UPPER(TRIM(A899)),8)="BLOCKER:",LEFT(UPPER(TRIM(A899)),9)="BLOCKERS:",LEFT(UPPER(TRIM(A899)),8)="BLOCKED:"),"B",""))))</f>
      </c>
      <c r="E899" s="17">
        <f>IF(D899="","",TRIM(MID(A899,FIND(":",A899)+1,500)))</f>
      </c>
    </row>
    <row r="900">
      <c r="B900" s="17">
        <f>IF(A900="","",IF(COUNTIF(Roster[Name],IF(RIGHT(IF(LEFT(TRIM(A900),1)="[",TRIM(MID(TRIM(A900),FIND("]",TRIM(A900)&amp;"]")+1,200)),TRIM(A900)),1)=")",TRIM(LEFT(IF(LEFT(TRIM(A900),1)="[",TRIM(MID(TRIM(A900),FIND("]",TRIM(A900)&amp;"]")+1,200)),TRIM(A900)),FIND("(",IF(LEFT(TRIM(A900),1)="[",TRIM(MID(TRIM(A900),FIND("]",TRIM(A900)&amp;"]")+1,200)),TRIM(A900))&amp;"(")-1)),IF(LEFT(TRIM(A900),1)="[",TRIM(MID(TRIM(A900),FIND("]",TRIM(A900)&amp;"]")+1,200)),TRIM(A900))))&gt;0,IF(RIGHT(IF(LEFT(TRIM(A900),1)="[",TRIM(MID(TRIM(A900),FIND("]",TRIM(A900)&amp;"]")+1,200)),TRIM(A900)),1)=")",TRIM(LEFT(IF(LEFT(TRIM(A900),1)="[",TRIM(MID(TRIM(A900),FIND("]",TRIM(A900)&amp;"]")+1,200)),TRIM(A900)),FIND("(",IF(LEFT(TRIM(A900),1)="[",TRIM(MID(TRIM(A900),FIND("]",TRIM(A900)&amp;"]")+1,200)),TRIM(A900))&amp;"(")-1)),IF(LEFT(TRIM(A900),1)="[",TRIM(MID(TRIM(A900),FIND("]",TRIM(A900)&amp;"]")+1,200)),TRIM(A900))),""))</f>
      </c>
      <c r="C900" s="17">
        <f>IF(B900&lt;&gt;"",B900,C899)</f>
      </c>
      <c r="D900" s="17">
        <f>IF(A900="","",IF(OR(LEFT(UPPER(TRIM(A900)),2)="Y:",LEFT(UPPER(TRIM(A900)),10)="YESTERDAY:"),"Y",IF(OR(LEFT(UPPER(TRIM(A900)),2)="T:",LEFT(UPPER(TRIM(A900)),6)="TODAY:"),"T",IF(OR(LEFT(UPPER(TRIM(A900)),2)="B:",LEFT(UPPER(TRIM(A900)),8)="BLOCKER:",LEFT(UPPER(TRIM(A900)),9)="BLOCKERS:",LEFT(UPPER(TRIM(A900)),8)="BLOCKED:"),"B",""))))</f>
      </c>
      <c r="E900" s="17">
        <f>IF(D900="","",TRIM(MID(A900,FIND(":",A900)+1,500)))</f>
      </c>
    </row>
    <row r="901">
      <c r="B901" s="17">
        <f>IF(A901="","",IF(COUNTIF(Roster[Name],IF(RIGHT(IF(LEFT(TRIM(A901),1)="[",TRIM(MID(TRIM(A901),FIND("]",TRIM(A901)&amp;"]")+1,200)),TRIM(A901)),1)=")",TRIM(LEFT(IF(LEFT(TRIM(A901),1)="[",TRIM(MID(TRIM(A901),FIND("]",TRIM(A901)&amp;"]")+1,200)),TRIM(A901)),FIND("(",IF(LEFT(TRIM(A901),1)="[",TRIM(MID(TRIM(A901),FIND("]",TRIM(A901)&amp;"]")+1,200)),TRIM(A901))&amp;"(")-1)),IF(LEFT(TRIM(A901),1)="[",TRIM(MID(TRIM(A901),FIND("]",TRIM(A901)&amp;"]")+1,200)),TRIM(A901))))&gt;0,IF(RIGHT(IF(LEFT(TRIM(A901),1)="[",TRIM(MID(TRIM(A901),FIND("]",TRIM(A901)&amp;"]")+1,200)),TRIM(A901)),1)=")",TRIM(LEFT(IF(LEFT(TRIM(A901),1)="[",TRIM(MID(TRIM(A901),FIND("]",TRIM(A901)&amp;"]")+1,200)),TRIM(A901)),FIND("(",IF(LEFT(TRIM(A901),1)="[",TRIM(MID(TRIM(A901),FIND("]",TRIM(A901)&amp;"]")+1,200)),TRIM(A901))&amp;"(")-1)),IF(LEFT(TRIM(A901),1)="[",TRIM(MID(TRIM(A901),FIND("]",TRIM(A901)&amp;"]")+1,200)),TRIM(A901))),""))</f>
      </c>
      <c r="C901" s="17">
        <f>IF(B901&lt;&gt;"",B901,C900)</f>
      </c>
      <c r="D901" s="17">
        <f>IF(A901="","",IF(OR(LEFT(UPPER(TRIM(A901)),2)="Y:",LEFT(UPPER(TRIM(A901)),10)="YESTERDAY:"),"Y",IF(OR(LEFT(UPPER(TRIM(A901)),2)="T:",LEFT(UPPER(TRIM(A901)),6)="TODAY:"),"T",IF(OR(LEFT(UPPER(TRIM(A901)),2)="B:",LEFT(UPPER(TRIM(A901)),8)="BLOCKER:",LEFT(UPPER(TRIM(A901)),9)="BLOCKERS:",LEFT(UPPER(TRIM(A901)),8)="BLOCKED:"),"B",""))))</f>
      </c>
      <c r="E901" s="17">
        <f>IF(D901="","",TRIM(MID(A901,FIND(":",A901)+1,500)))</f>
      </c>
    </row>
    <row r="902">
      <c r="B902" s="17">
        <f>IF(A902="","",IF(COUNTIF(Roster[Name],IF(RIGHT(IF(LEFT(TRIM(A902),1)="[",TRIM(MID(TRIM(A902),FIND("]",TRIM(A902)&amp;"]")+1,200)),TRIM(A902)),1)=")",TRIM(LEFT(IF(LEFT(TRIM(A902),1)="[",TRIM(MID(TRIM(A902),FIND("]",TRIM(A902)&amp;"]")+1,200)),TRIM(A902)),FIND("(",IF(LEFT(TRIM(A902),1)="[",TRIM(MID(TRIM(A902),FIND("]",TRIM(A902)&amp;"]")+1,200)),TRIM(A902))&amp;"(")-1)),IF(LEFT(TRIM(A902),1)="[",TRIM(MID(TRIM(A902),FIND("]",TRIM(A902)&amp;"]")+1,200)),TRIM(A902))))&gt;0,IF(RIGHT(IF(LEFT(TRIM(A902),1)="[",TRIM(MID(TRIM(A902),FIND("]",TRIM(A902)&amp;"]")+1,200)),TRIM(A902)),1)=")",TRIM(LEFT(IF(LEFT(TRIM(A902),1)="[",TRIM(MID(TRIM(A902),FIND("]",TRIM(A902)&amp;"]")+1,200)),TRIM(A902)),FIND("(",IF(LEFT(TRIM(A902),1)="[",TRIM(MID(TRIM(A902),FIND("]",TRIM(A902)&amp;"]")+1,200)),TRIM(A902))&amp;"(")-1)),IF(LEFT(TRIM(A902),1)="[",TRIM(MID(TRIM(A902),FIND("]",TRIM(A902)&amp;"]")+1,200)),TRIM(A902))),""))</f>
      </c>
      <c r="C902" s="17">
        <f>IF(B902&lt;&gt;"",B902,C901)</f>
      </c>
      <c r="D902" s="17">
        <f>IF(A902="","",IF(OR(LEFT(UPPER(TRIM(A902)),2)="Y:",LEFT(UPPER(TRIM(A902)),10)="YESTERDAY:"),"Y",IF(OR(LEFT(UPPER(TRIM(A902)),2)="T:",LEFT(UPPER(TRIM(A902)),6)="TODAY:"),"T",IF(OR(LEFT(UPPER(TRIM(A902)),2)="B:",LEFT(UPPER(TRIM(A902)),8)="BLOCKER:",LEFT(UPPER(TRIM(A902)),9)="BLOCKERS:",LEFT(UPPER(TRIM(A902)),8)="BLOCKED:"),"B",""))))</f>
      </c>
      <c r="E902" s="17">
        <f>IF(D902="","",TRIM(MID(A902,FIND(":",A902)+1,500)))</f>
      </c>
    </row>
    <row r="903">
      <c r="B903" s="17">
        <f>IF(A903="","",IF(COUNTIF(Roster[Name],IF(RIGHT(IF(LEFT(TRIM(A903),1)="[",TRIM(MID(TRIM(A903),FIND("]",TRIM(A903)&amp;"]")+1,200)),TRIM(A903)),1)=")",TRIM(LEFT(IF(LEFT(TRIM(A903),1)="[",TRIM(MID(TRIM(A903),FIND("]",TRIM(A903)&amp;"]")+1,200)),TRIM(A903)),FIND("(",IF(LEFT(TRIM(A903),1)="[",TRIM(MID(TRIM(A903),FIND("]",TRIM(A903)&amp;"]")+1,200)),TRIM(A903))&amp;"(")-1)),IF(LEFT(TRIM(A903),1)="[",TRIM(MID(TRIM(A903),FIND("]",TRIM(A903)&amp;"]")+1,200)),TRIM(A903))))&gt;0,IF(RIGHT(IF(LEFT(TRIM(A903),1)="[",TRIM(MID(TRIM(A903),FIND("]",TRIM(A903)&amp;"]")+1,200)),TRIM(A903)),1)=")",TRIM(LEFT(IF(LEFT(TRIM(A903),1)="[",TRIM(MID(TRIM(A903),FIND("]",TRIM(A903)&amp;"]")+1,200)),TRIM(A903)),FIND("(",IF(LEFT(TRIM(A903),1)="[",TRIM(MID(TRIM(A903),FIND("]",TRIM(A903)&amp;"]")+1,200)),TRIM(A903))&amp;"(")-1)),IF(LEFT(TRIM(A903),1)="[",TRIM(MID(TRIM(A903),FIND("]",TRIM(A903)&amp;"]")+1,200)),TRIM(A903))),""))</f>
      </c>
      <c r="C903" s="17">
        <f>IF(B903&lt;&gt;"",B903,C902)</f>
      </c>
      <c r="D903" s="17">
        <f>IF(A903="","",IF(OR(LEFT(UPPER(TRIM(A903)),2)="Y:",LEFT(UPPER(TRIM(A903)),10)="YESTERDAY:"),"Y",IF(OR(LEFT(UPPER(TRIM(A903)),2)="T:",LEFT(UPPER(TRIM(A903)),6)="TODAY:"),"T",IF(OR(LEFT(UPPER(TRIM(A903)),2)="B:",LEFT(UPPER(TRIM(A903)),8)="BLOCKER:",LEFT(UPPER(TRIM(A903)),9)="BLOCKERS:",LEFT(UPPER(TRIM(A903)),8)="BLOCKED:"),"B",""))))</f>
      </c>
      <c r="E903" s="17">
        <f>IF(D903="","",TRIM(MID(A903,FIND(":",A903)+1,500)))</f>
      </c>
    </row>
    <row r="904">
      <c r="B904" s="17">
        <f>IF(A904="","",IF(COUNTIF(Roster[Name],IF(RIGHT(IF(LEFT(TRIM(A904),1)="[",TRIM(MID(TRIM(A904),FIND("]",TRIM(A904)&amp;"]")+1,200)),TRIM(A904)),1)=")",TRIM(LEFT(IF(LEFT(TRIM(A904),1)="[",TRIM(MID(TRIM(A904),FIND("]",TRIM(A904)&amp;"]")+1,200)),TRIM(A904)),FIND("(",IF(LEFT(TRIM(A904),1)="[",TRIM(MID(TRIM(A904),FIND("]",TRIM(A904)&amp;"]")+1,200)),TRIM(A904))&amp;"(")-1)),IF(LEFT(TRIM(A904),1)="[",TRIM(MID(TRIM(A904),FIND("]",TRIM(A904)&amp;"]")+1,200)),TRIM(A904))))&gt;0,IF(RIGHT(IF(LEFT(TRIM(A904),1)="[",TRIM(MID(TRIM(A904),FIND("]",TRIM(A904)&amp;"]")+1,200)),TRIM(A904)),1)=")",TRIM(LEFT(IF(LEFT(TRIM(A904),1)="[",TRIM(MID(TRIM(A904),FIND("]",TRIM(A904)&amp;"]")+1,200)),TRIM(A904)),FIND("(",IF(LEFT(TRIM(A904),1)="[",TRIM(MID(TRIM(A904),FIND("]",TRIM(A904)&amp;"]")+1,200)),TRIM(A904))&amp;"(")-1)),IF(LEFT(TRIM(A904),1)="[",TRIM(MID(TRIM(A904),FIND("]",TRIM(A904)&amp;"]")+1,200)),TRIM(A904))),""))</f>
      </c>
      <c r="C904" s="17">
        <f>IF(B904&lt;&gt;"",B904,C903)</f>
      </c>
      <c r="D904" s="17">
        <f>IF(A904="","",IF(OR(LEFT(UPPER(TRIM(A904)),2)="Y:",LEFT(UPPER(TRIM(A904)),10)="YESTERDAY:"),"Y",IF(OR(LEFT(UPPER(TRIM(A904)),2)="T:",LEFT(UPPER(TRIM(A904)),6)="TODAY:"),"T",IF(OR(LEFT(UPPER(TRIM(A904)),2)="B:",LEFT(UPPER(TRIM(A904)),8)="BLOCKER:",LEFT(UPPER(TRIM(A904)),9)="BLOCKERS:",LEFT(UPPER(TRIM(A904)),8)="BLOCKED:"),"B",""))))</f>
      </c>
      <c r="E904" s="17">
        <f>IF(D904="","",TRIM(MID(A904,FIND(":",A904)+1,500)))</f>
      </c>
    </row>
    <row r="905">
      <c r="B905" s="17">
        <f>IF(A905="","",IF(COUNTIF(Roster[Name],IF(RIGHT(IF(LEFT(TRIM(A905),1)="[",TRIM(MID(TRIM(A905),FIND("]",TRIM(A905)&amp;"]")+1,200)),TRIM(A905)),1)=")",TRIM(LEFT(IF(LEFT(TRIM(A905),1)="[",TRIM(MID(TRIM(A905),FIND("]",TRIM(A905)&amp;"]")+1,200)),TRIM(A905)),FIND("(",IF(LEFT(TRIM(A905),1)="[",TRIM(MID(TRIM(A905),FIND("]",TRIM(A905)&amp;"]")+1,200)),TRIM(A905))&amp;"(")-1)),IF(LEFT(TRIM(A905),1)="[",TRIM(MID(TRIM(A905),FIND("]",TRIM(A905)&amp;"]")+1,200)),TRIM(A905))))&gt;0,IF(RIGHT(IF(LEFT(TRIM(A905),1)="[",TRIM(MID(TRIM(A905),FIND("]",TRIM(A905)&amp;"]")+1,200)),TRIM(A905)),1)=")",TRIM(LEFT(IF(LEFT(TRIM(A905),1)="[",TRIM(MID(TRIM(A905),FIND("]",TRIM(A905)&amp;"]")+1,200)),TRIM(A905)),FIND("(",IF(LEFT(TRIM(A905),1)="[",TRIM(MID(TRIM(A905),FIND("]",TRIM(A905)&amp;"]")+1,200)),TRIM(A905))&amp;"(")-1)),IF(LEFT(TRIM(A905),1)="[",TRIM(MID(TRIM(A905),FIND("]",TRIM(A905)&amp;"]")+1,200)),TRIM(A905))),""))</f>
      </c>
      <c r="C905" s="17">
        <f>IF(B905&lt;&gt;"",B905,C904)</f>
      </c>
      <c r="D905" s="17">
        <f>IF(A905="","",IF(OR(LEFT(UPPER(TRIM(A905)),2)="Y:",LEFT(UPPER(TRIM(A905)),10)="YESTERDAY:"),"Y",IF(OR(LEFT(UPPER(TRIM(A905)),2)="T:",LEFT(UPPER(TRIM(A905)),6)="TODAY:"),"T",IF(OR(LEFT(UPPER(TRIM(A905)),2)="B:",LEFT(UPPER(TRIM(A905)),8)="BLOCKER:",LEFT(UPPER(TRIM(A905)),9)="BLOCKERS:",LEFT(UPPER(TRIM(A905)),8)="BLOCKED:"),"B",""))))</f>
      </c>
      <c r="E905" s="17">
        <f>IF(D905="","",TRIM(MID(A905,FIND(":",A905)+1,500)))</f>
      </c>
    </row>
    <row r="906">
      <c r="B906" s="17">
        <f>IF(A906="","",IF(COUNTIF(Roster[Name],IF(RIGHT(IF(LEFT(TRIM(A906),1)="[",TRIM(MID(TRIM(A906),FIND("]",TRIM(A906)&amp;"]")+1,200)),TRIM(A906)),1)=")",TRIM(LEFT(IF(LEFT(TRIM(A906),1)="[",TRIM(MID(TRIM(A906),FIND("]",TRIM(A906)&amp;"]")+1,200)),TRIM(A906)),FIND("(",IF(LEFT(TRIM(A906),1)="[",TRIM(MID(TRIM(A906),FIND("]",TRIM(A906)&amp;"]")+1,200)),TRIM(A906))&amp;"(")-1)),IF(LEFT(TRIM(A906),1)="[",TRIM(MID(TRIM(A906),FIND("]",TRIM(A906)&amp;"]")+1,200)),TRIM(A906))))&gt;0,IF(RIGHT(IF(LEFT(TRIM(A906),1)="[",TRIM(MID(TRIM(A906),FIND("]",TRIM(A906)&amp;"]")+1,200)),TRIM(A906)),1)=")",TRIM(LEFT(IF(LEFT(TRIM(A906),1)="[",TRIM(MID(TRIM(A906),FIND("]",TRIM(A906)&amp;"]")+1,200)),TRIM(A906)),FIND("(",IF(LEFT(TRIM(A906),1)="[",TRIM(MID(TRIM(A906),FIND("]",TRIM(A906)&amp;"]")+1,200)),TRIM(A906))&amp;"(")-1)),IF(LEFT(TRIM(A906),1)="[",TRIM(MID(TRIM(A906),FIND("]",TRIM(A906)&amp;"]")+1,200)),TRIM(A906))),""))</f>
      </c>
      <c r="C906" s="17">
        <f>IF(B906&lt;&gt;"",B906,C905)</f>
      </c>
      <c r="D906" s="17">
        <f>IF(A906="","",IF(OR(LEFT(UPPER(TRIM(A906)),2)="Y:",LEFT(UPPER(TRIM(A906)),10)="YESTERDAY:"),"Y",IF(OR(LEFT(UPPER(TRIM(A906)),2)="T:",LEFT(UPPER(TRIM(A906)),6)="TODAY:"),"T",IF(OR(LEFT(UPPER(TRIM(A906)),2)="B:",LEFT(UPPER(TRIM(A906)),8)="BLOCKER:",LEFT(UPPER(TRIM(A906)),9)="BLOCKERS:",LEFT(UPPER(TRIM(A906)),8)="BLOCKED:"),"B",""))))</f>
      </c>
      <c r="E906" s="17">
        <f>IF(D906="","",TRIM(MID(A906,FIND(":",A906)+1,500)))</f>
      </c>
    </row>
    <row r="907">
      <c r="B907" s="17">
        <f>IF(A907="","",IF(COUNTIF(Roster[Name],IF(RIGHT(IF(LEFT(TRIM(A907),1)="[",TRIM(MID(TRIM(A907),FIND("]",TRIM(A907)&amp;"]")+1,200)),TRIM(A907)),1)=")",TRIM(LEFT(IF(LEFT(TRIM(A907),1)="[",TRIM(MID(TRIM(A907),FIND("]",TRIM(A907)&amp;"]")+1,200)),TRIM(A907)),FIND("(",IF(LEFT(TRIM(A907),1)="[",TRIM(MID(TRIM(A907),FIND("]",TRIM(A907)&amp;"]")+1,200)),TRIM(A907))&amp;"(")-1)),IF(LEFT(TRIM(A907),1)="[",TRIM(MID(TRIM(A907),FIND("]",TRIM(A907)&amp;"]")+1,200)),TRIM(A907))))&gt;0,IF(RIGHT(IF(LEFT(TRIM(A907),1)="[",TRIM(MID(TRIM(A907),FIND("]",TRIM(A907)&amp;"]")+1,200)),TRIM(A907)),1)=")",TRIM(LEFT(IF(LEFT(TRIM(A907),1)="[",TRIM(MID(TRIM(A907),FIND("]",TRIM(A907)&amp;"]")+1,200)),TRIM(A907)),FIND("(",IF(LEFT(TRIM(A907),1)="[",TRIM(MID(TRIM(A907),FIND("]",TRIM(A907)&amp;"]")+1,200)),TRIM(A907))&amp;"(")-1)),IF(LEFT(TRIM(A907),1)="[",TRIM(MID(TRIM(A907),FIND("]",TRIM(A907)&amp;"]")+1,200)),TRIM(A907))),""))</f>
      </c>
      <c r="C907" s="17">
        <f>IF(B907&lt;&gt;"",B907,C906)</f>
      </c>
      <c r="D907" s="17">
        <f>IF(A907="","",IF(OR(LEFT(UPPER(TRIM(A907)),2)="Y:",LEFT(UPPER(TRIM(A907)),10)="YESTERDAY:"),"Y",IF(OR(LEFT(UPPER(TRIM(A907)),2)="T:",LEFT(UPPER(TRIM(A907)),6)="TODAY:"),"T",IF(OR(LEFT(UPPER(TRIM(A907)),2)="B:",LEFT(UPPER(TRIM(A907)),8)="BLOCKER:",LEFT(UPPER(TRIM(A907)),9)="BLOCKERS:",LEFT(UPPER(TRIM(A907)),8)="BLOCKED:"),"B",""))))</f>
      </c>
      <c r="E907" s="17">
        <f>IF(D907="","",TRIM(MID(A907,FIND(":",A907)+1,500)))</f>
      </c>
    </row>
    <row r="908">
      <c r="B908" s="17">
        <f>IF(A908="","",IF(COUNTIF(Roster[Name],IF(RIGHT(IF(LEFT(TRIM(A908),1)="[",TRIM(MID(TRIM(A908),FIND("]",TRIM(A908)&amp;"]")+1,200)),TRIM(A908)),1)=")",TRIM(LEFT(IF(LEFT(TRIM(A908),1)="[",TRIM(MID(TRIM(A908),FIND("]",TRIM(A908)&amp;"]")+1,200)),TRIM(A908)),FIND("(",IF(LEFT(TRIM(A908),1)="[",TRIM(MID(TRIM(A908),FIND("]",TRIM(A908)&amp;"]")+1,200)),TRIM(A908))&amp;"(")-1)),IF(LEFT(TRIM(A908),1)="[",TRIM(MID(TRIM(A908),FIND("]",TRIM(A908)&amp;"]")+1,200)),TRIM(A908))))&gt;0,IF(RIGHT(IF(LEFT(TRIM(A908),1)="[",TRIM(MID(TRIM(A908),FIND("]",TRIM(A908)&amp;"]")+1,200)),TRIM(A908)),1)=")",TRIM(LEFT(IF(LEFT(TRIM(A908),1)="[",TRIM(MID(TRIM(A908),FIND("]",TRIM(A908)&amp;"]")+1,200)),TRIM(A908)),FIND("(",IF(LEFT(TRIM(A908),1)="[",TRIM(MID(TRIM(A908),FIND("]",TRIM(A908)&amp;"]")+1,200)),TRIM(A908))&amp;"(")-1)),IF(LEFT(TRIM(A908),1)="[",TRIM(MID(TRIM(A908),FIND("]",TRIM(A908)&amp;"]")+1,200)),TRIM(A908))),""))</f>
      </c>
      <c r="C908" s="17">
        <f>IF(B908&lt;&gt;"",B908,C907)</f>
      </c>
      <c r="D908" s="17">
        <f>IF(A908="","",IF(OR(LEFT(UPPER(TRIM(A908)),2)="Y:",LEFT(UPPER(TRIM(A908)),10)="YESTERDAY:"),"Y",IF(OR(LEFT(UPPER(TRIM(A908)),2)="T:",LEFT(UPPER(TRIM(A908)),6)="TODAY:"),"T",IF(OR(LEFT(UPPER(TRIM(A908)),2)="B:",LEFT(UPPER(TRIM(A908)),8)="BLOCKER:",LEFT(UPPER(TRIM(A908)),9)="BLOCKERS:",LEFT(UPPER(TRIM(A908)),8)="BLOCKED:"),"B",""))))</f>
      </c>
      <c r="E908" s="17">
        <f>IF(D908="","",TRIM(MID(A908,FIND(":",A908)+1,500)))</f>
      </c>
    </row>
    <row r="909">
      <c r="B909" s="17">
        <f>IF(A909="","",IF(COUNTIF(Roster[Name],IF(RIGHT(IF(LEFT(TRIM(A909),1)="[",TRIM(MID(TRIM(A909),FIND("]",TRIM(A909)&amp;"]")+1,200)),TRIM(A909)),1)=")",TRIM(LEFT(IF(LEFT(TRIM(A909),1)="[",TRIM(MID(TRIM(A909),FIND("]",TRIM(A909)&amp;"]")+1,200)),TRIM(A909)),FIND("(",IF(LEFT(TRIM(A909),1)="[",TRIM(MID(TRIM(A909),FIND("]",TRIM(A909)&amp;"]")+1,200)),TRIM(A909))&amp;"(")-1)),IF(LEFT(TRIM(A909),1)="[",TRIM(MID(TRIM(A909),FIND("]",TRIM(A909)&amp;"]")+1,200)),TRIM(A909))))&gt;0,IF(RIGHT(IF(LEFT(TRIM(A909),1)="[",TRIM(MID(TRIM(A909),FIND("]",TRIM(A909)&amp;"]")+1,200)),TRIM(A909)),1)=")",TRIM(LEFT(IF(LEFT(TRIM(A909),1)="[",TRIM(MID(TRIM(A909),FIND("]",TRIM(A909)&amp;"]")+1,200)),TRIM(A909)),FIND("(",IF(LEFT(TRIM(A909),1)="[",TRIM(MID(TRIM(A909),FIND("]",TRIM(A909)&amp;"]")+1,200)),TRIM(A909))&amp;"(")-1)),IF(LEFT(TRIM(A909),1)="[",TRIM(MID(TRIM(A909),FIND("]",TRIM(A909)&amp;"]")+1,200)),TRIM(A909))),""))</f>
      </c>
      <c r="C909" s="17">
        <f>IF(B909&lt;&gt;"",B909,C908)</f>
      </c>
      <c r="D909" s="17">
        <f>IF(A909="","",IF(OR(LEFT(UPPER(TRIM(A909)),2)="Y:",LEFT(UPPER(TRIM(A909)),10)="YESTERDAY:"),"Y",IF(OR(LEFT(UPPER(TRIM(A909)),2)="T:",LEFT(UPPER(TRIM(A909)),6)="TODAY:"),"T",IF(OR(LEFT(UPPER(TRIM(A909)),2)="B:",LEFT(UPPER(TRIM(A909)),8)="BLOCKER:",LEFT(UPPER(TRIM(A909)),9)="BLOCKERS:",LEFT(UPPER(TRIM(A909)),8)="BLOCKED:"),"B",""))))</f>
      </c>
      <c r="E909" s="17">
        <f>IF(D909="","",TRIM(MID(A909,FIND(":",A909)+1,500)))</f>
      </c>
    </row>
    <row r="910">
      <c r="B910" s="17">
        <f>IF(A910="","",IF(COUNTIF(Roster[Name],IF(RIGHT(IF(LEFT(TRIM(A910),1)="[",TRIM(MID(TRIM(A910),FIND("]",TRIM(A910)&amp;"]")+1,200)),TRIM(A910)),1)=")",TRIM(LEFT(IF(LEFT(TRIM(A910),1)="[",TRIM(MID(TRIM(A910),FIND("]",TRIM(A910)&amp;"]")+1,200)),TRIM(A910)),FIND("(",IF(LEFT(TRIM(A910),1)="[",TRIM(MID(TRIM(A910),FIND("]",TRIM(A910)&amp;"]")+1,200)),TRIM(A910))&amp;"(")-1)),IF(LEFT(TRIM(A910),1)="[",TRIM(MID(TRIM(A910),FIND("]",TRIM(A910)&amp;"]")+1,200)),TRIM(A910))))&gt;0,IF(RIGHT(IF(LEFT(TRIM(A910),1)="[",TRIM(MID(TRIM(A910),FIND("]",TRIM(A910)&amp;"]")+1,200)),TRIM(A910)),1)=")",TRIM(LEFT(IF(LEFT(TRIM(A910),1)="[",TRIM(MID(TRIM(A910),FIND("]",TRIM(A910)&amp;"]")+1,200)),TRIM(A910)),FIND("(",IF(LEFT(TRIM(A910),1)="[",TRIM(MID(TRIM(A910),FIND("]",TRIM(A910)&amp;"]")+1,200)),TRIM(A910))&amp;"(")-1)),IF(LEFT(TRIM(A910),1)="[",TRIM(MID(TRIM(A910),FIND("]",TRIM(A910)&amp;"]")+1,200)),TRIM(A910))),""))</f>
      </c>
      <c r="C910" s="17">
        <f>IF(B910&lt;&gt;"",B910,C909)</f>
      </c>
      <c r="D910" s="17">
        <f>IF(A910="","",IF(OR(LEFT(UPPER(TRIM(A910)),2)="Y:",LEFT(UPPER(TRIM(A910)),10)="YESTERDAY:"),"Y",IF(OR(LEFT(UPPER(TRIM(A910)),2)="T:",LEFT(UPPER(TRIM(A910)),6)="TODAY:"),"T",IF(OR(LEFT(UPPER(TRIM(A910)),2)="B:",LEFT(UPPER(TRIM(A910)),8)="BLOCKER:",LEFT(UPPER(TRIM(A910)),9)="BLOCKERS:",LEFT(UPPER(TRIM(A910)),8)="BLOCKED:"),"B",""))))</f>
      </c>
      <c r="E910" s="17">
        <f>IF(D910="","",TRIM(MID(A910,FIND(":",A910)+1,500)))</f>
      </c>
    </row>
    <row r="911">
      <c r="B911" s="17">
        <f>IF(A911="","",IF(COUNTIF(Roster[Name],IF(RIGHT(IF(LEFT(TRIM(A911),1)="[",TRIM(MID(TRIM(A911),FIND("]",TRIM(A911)&amp;"]")+1,200)),TRIM(A911)),1)=")",TRIM(LEFT(IF(LEFT(TRIM(A911),1)="[",TRIM(MID(TRIM(A911),FIND("]",TRIM(A911)&amp;"]")+1,200)),TRIM(A911)),FIND("(",IF(LEFT(TRIM(A911),1)="[",TRIM(MID(TRIM(A911),FIND("]",TRIM(A911)&amp;"]")+1,200)),TRIM(A911))&amp;"(")-1)),IF(LEFT(TRIM(A911),1)="[",TRIM(MID(TRIM(A911),FIND("]",TRIM(A911)&amp;"]")+1,200)),TRIM(A911))))&gt;0,IF(RIGHT(IF(LEFT(TRIM(A911),1)="[",TRIM(MID(TRIM(A911),FIND("]",TRIM(A911)&amp;"]")+1,200)),TRIM(A911)),1)=")",TRIM(LEFT(IF(LEFT(TRIM(A911),1)="[",TRIM(MID(TRIM(A911),FIND("]",TRIM(A911)&amp;"]")+1,200)),TRIM(A911)),FIND("(",IF(LEFT(TRIM(A911),1)="[",TRIM(MID(TRIM(A911),FIND("]",TRIM(A911)&amp;"]")+1,200)),TRIM(A911))&amp;"(")-1)),IF(LEFT(TRIM(A911),1)="[",TRIM(MID(TRIM(A911),FIND("]",TRIM(A911)&amp;"]")+1,200)),TRIM(A911))),""))</f>
      </c>
      <c r="C911" s="17">
        <f>IF(B911&lt;&gt;"",B911,C910)</f>
      </c>
      <c r="D911" s="17">
        <f>IF(A911="","",IF(OR(LEFT(UPPER(TRIM(A911)),2)="Y:",LEFT(UPPER(TRIM(A911)),10)="YESTERDAY:"),"Y",IF(OR(LEFT(UPPER(TRIM(A911)),2)="T:",LEFT(UPPER(TRIM(A911)),6)="TODAY:"),"T",IF(OR(LEFT(UPPER(TRIM(A911)),2)="B:",LEFT(UPPER(TRIM(A911)),8)="BLOCKER:",LEFT(UPPER(TRIM(A911)),9)="BLOCKERS:",LEFT(UPPER(TRIM(A911)),8)="BLOCKED:"),"B",""))))</f>
      </c>
      <c r="E911" s="17">
        <f>IF(D911="","",TRIM(MID(A911,FIND(":",A911)+1,500)))</f>
      </c>
    </row>
    <row r="912">
      <c r="B912" s="17">
        <f>IF(A912="","",IF(COUNTIF(Roster[Name],IF(RIGHT(IF(LEFT(TRIM(A912),1)="[",TRIM(MID(TRIM(A912),FIND("]",TRIM(A912)&amp;"]")+1,200)),TRIM(A912)),1)=")",TRIM(LEFT(IF(LEFT(TRIM(A912),1)="[",TRIM(MID(TRIM(A912),FIND("]",TRIM(A912)&amp;"]")+1,200)),TRIM(A912)),FIND("(",IF(LEFT(TRIM(A912),1)="[",TRIM(MID(TRIM(A912),FIND("]",TRIM(A912)&amp;"]")+1,200)),TRIM(A912))&amp;"(")-1)),IF(LEFT(TRIM(A912),1)="[",TRIM(MID(TRIM(A912),FIND("]",TRIM(A912)&amp;"]")+1,200)),TRIM(A912))))&gt;0,IF(RIGHT(IF(LEFT(TRIM(A912),1)="[",TRIM(MID(TRIM(A912),FIND("]",TRIM(A912)&amp;"]")+1,200)),TRIM(A912)),1)=")",TRIM(LEFT(IF(LEFT(TRIM(A912),1)="[",TRIM(MID(TRIM(A912),FIND("]",TRIM(A912)&amp;"]")+1,200)),TRIM(A912)),FIND("(",IF(LEFT(TRIM(A912),1)="[",TRIM(MID(TRIM(A912),FIND("]",TRIM(A912)&amp;"]")+1,200)),TRIM(A912))&amp;"(")-1)),IF(LEFT(TRIM(A912),1)="[",TRIM(MID(TRIM(A912),FIND("]",TRIM(A912)&amp;"]")+1,200)),TRIM(A912))),""))</f>
      </c>
      <c r="C912" s="17">
        <f>IF(B912&lt;&gt;"",B912,C911)</f>
      </c>
      <c r="D912" s="17">
        <f>IF(A912="","",IF(OR(LEFT(UPPER(TRIM(A912)),2)="Y:",LEFT(UPPER(TRIM(A912)),10)="YESTERDAY:"),"Y",IF(OR(LEFT(UPPER(TRIM(A912)),2)="T:",LEFT(UPPER(TRIM(A912)),6)="TODAY:"),"T",IF(OR(LEFT(UPPER(TRIM(A912)),2)="B:",LEFT(UPPER(TRIM(A912)),8)="BLOCKER:",LEFT(UPPER(TRIM(A912)),9)="BLOCKERS:",LEFT(UPPER(TRIM(A912)),8)="BLOCKED:"),"B",""))))</f>
      </c>
      <c r="E912" s="17">
        <f>IF(D912="","",TRIM(MID(A912,FIND(":",A912)+1,500)))</f>
      </c>
    </row>
    <row r="913">
      <c r="B913" s="17">
        <f>IF(A913="","",IF(COUNTIF(Roster[Name],IF(RIGHT(IF(LEFT(TRIM(A913),1)="[",TRIM(MID(TRIM(A913),FIND("]",TRIM(A913)&amp;"]")+1,200)),TRIM(A913)),1)=")",TRIM(LEFT(IF(LEFT(TRIM(A913),1)="[",TRIM(MID(TRIM(A913),FIND("]",TRIM(A913)&amp;"]")+1,200)),TRIM(A913)),FIND("(",IF(LEFT(TRIM(A913),1)="[",TRIM(MID(TRIM(A913),FIND("]",TRIM(A913)&amp;"]")+1,200)),TRIM(A913))&amp;"(")-1)),IF(LEFT(TRIM(A913),1)="[",TRIM(MID(TRIM(A913),FIND("]",TRIM(A913)&amp;"]")+1,200)),TRIM(A913))))&gt;0,IF(RIGHT(IF(LEFT(TRIM(A913),1)="[",TRIM(MID(TRIM(A913),FIND("]",TRIM(A913)&amp;"]")+1,200)),TRIM(A913)),1)=")",TRIM(LEFT(IF(LEFT(TRIM(A913),1)="[",TRIM(MID(TRIM(A913),FIND("]",TRIM(A913)&amp;"]")+1,200)),TRIM(A913)),FIND("(",IF(LEFT(TRIM(A913),1)="[",TRIM(MID(TRIM(A913),FIND("]",TRIM(A913)&amp;"]")+1,200)),TRIM(A913))&amp;"(")-1)),IF(LEFT(TRIM(A913),1)="[",TRIM(MID(TRIM(A913),FIND("]",TRIM(A913)&amp;"]")+1,200)),TRIM(A913))),""))</f>
      </c>
      <c r="C913" s="17">
        <f>IF(B913&lt;&gt;"",B913,C912)</f>
      </c>
      <c r="D913" s="17">
        <f>IF(A913="","",IF(OR(LEFT(UPPER(TRIM(A913)),2)="Y:",LEFT(UPPER(TRIM(A913)),10)="YESTERDAY:"),"Y",IF(OR(LEFT(UPPER(TRIM(A913)),2)="T:",LEFT(UPPER(TRIM(A913)),6)="TODAY:"),"T",IF(OR(LEFT(UPPER(TRIM(A913)),2)="B:",LEFT(UPPER(TRIM(A913)),8)="BLOCKER:",LEFT(UPPER(TRIM(A913)),9)="BLOCKERS:",LEFT(UPPER(TRIM(A913)),8)="BLOCKED:"),"B",""))))</f>
      </c>
      <c r="E913" s="17">
        <f>IF(D913="","",TRIM(MID(A913,FIND(":",A913)+1,500)))</f>
      </c>
    </row>
    <row r="914">
      <c r="B914" s="17">
        <f>IF(A914="","",IF(COUNTIF(Roster[Name],IF(RIGHT(IF(LEFT(TRIM(A914),1)="[",TRIM(MID(TRIM(A914),FIND("]",TRIM(A914)&amp;"]")+1,200)),TRIM(A914)),1)=")",TRIM(LEFT(IF(LEFT(TRIM(A914),1)="[",TRIM(MID(TRIM(A914),FIND("]",TRIM(A914)&amp;"]")+1,200)),TRIM(A914)),FIND("(",IF(LEFT(TRIM(A914),1)="[",TRIM(MID(TRIM(A914),FIND("]",TRIM(A914)&amp;"]")+1,200)),TRIM(A914))&amp;"(")-1)),IF(LEFT(TRIM(A914),1)="[",TRIM(MID(TRIM(A914),FIND("]",TRIM(A914)&amp;"]")+1,200)),TRIM(A914))))&gt;0,IF(RIGHT(IF(LEFT(TRIM(A914),1)="[",TRIM(MID(TRIM(A914),FIND("]",TRIM(A914)&amp;"]")+1,200)),TRIM(A914)),1)=")",TRIM(LEFT(IF(LEFT(TRIM(A914),1)="[",TRIM(MID(TRIM(A914),FIND("]",TRIM(A914)&amp;"]")+1,200)),TRIM(A914)),FIND("(",IF(LEFT(TRIM(A914),1)="[",TRIM(MID(TRIM(A914),FIND("]",TRIM(A914)&amp;"]")+1,200)),TRIM(A914))&amp;"(")-1)),IF(LEFT(TRIM(A914),1)="[",TRIM(MID(TRIM(A914),FIND("]",TRIM(A914)&amp;"]")+1,200)),TRIM(A914))),""))</f>
      </c>
      <c r="C914" s="17">
        <f>IF(B914&lt;&gt;"",B914,C913)</f>
      </c>
      <c r="D914" s="17">
        <f>IF(A914="","",IF(OR(LEFT(UPPER(TRIM(A914)),2)="Y:",LEFT(UPPER(TRIM(A914)),10)="YESTERDAY:"),"Y",IF(OR(LEFT(UPPER(TRIM(A914)),2)="T:",LEFT(UPPER(TRIM(A914)),6)="TODAY:"),"T",IF(OR(LEFT(UPPER(TRIM(A914)),2)="B:",LEFT(UPPER(TRIM(A914)),8)="BLOCKER:",LEFT(UPPER(TRIM(A914)),9)="BLOCKERS:",LEFT(UPPER(TRIM(A914)),8)="BLOCKED:"),"B",""))))</f>
      </c>
      <c r="E914" s="17">
        <f>IF(D914="","",TRIM(MID(A914,FIND(":",A914)+1,500)))</f>
      </c>
    </row>
    <row r="915">
      <c r="B915" s="17">
        <f>IF(A915="","",IF(COUNTIF(Roster[Name],IF(RIGHT(IF(LEFT(TRIM(A915),1)="[",TRIM(MID(TRIM(A915),FIND("]",TRIM(A915)&amp;"]")+1,200)),TRIM(A915)),1)=")",TRIM(LEFT(IF(LEFT(TRIM(A915),1)="[",TRIM(MID(TRIM(A915),FIND("]",TRIM(A915)&amp;"]")+1,200)),TRIM(A915)),FIND("(",IF(LEFT(TRIM(A915),1)="[",TRIM(MID(TRIM(A915),FIND("]",TRIM(A915)&amp;"]")+1,200)),TRIM(A915))&amp;"(")-1)),IF(LEFT(TRIM(A915),1)="[",TRIM(MID(TRIM(A915),FIND("]",TRIM(A915)&amp;"]")+1,200)),TRIM(A915))))&gt;0,IF(RIGHT(IF(LEFT(TRIM(A915),1)="[",TRIM(MID(TRIM(A915),FIND("]",TRIM(A915)&amp;"]")+1,200)),TRIM(A915)),1)=")",TRIM(LEFT(IF(LEFT(TRIM(A915),1)="[",TRIM(MID(TRIM(A915),FIND("]",TRIM(A915)&amp;"]")+1,200)),TRIM(A915)),FIND("(",IF(LEFT(TRIM(A915),1)="[",TRIM(MID(TRIM(A915),FIND("]",TRIM(A915)&amp;"]")+1,200)),TRIM(A915))&amp;"(")-1)),IF(LEFT(TRIM(A915),1)="[",TRIM(MID(TRIM(A915),FIND("]",TRIM(A915)&amp;"]")+1,200)),TRIM(A915))),""))</f>
      </c>
      <c r="C915" s="17">
        <f>IF(B915&lt;&gt;"",B915,C914)</f>
      </c>
      <c r="D915" s="17">
        <f>IF(A915="","",IF(OR(LEFT(UPPER(TRIM(A915)),2)="Y:",LEFT(UPPER(TRIM(A915)),10)="YESTERDAY:"),"Y",IF(OR(LEFT(UPPER(TRIM(A915)),2)="T:",LEFT(UPPER(TRIM(A915)),6)="TODAY:"),"T",IF(OR(LEFT(UPPER(TRIM(A915)),2)="B:",LEFT(UPPER(TRIM(A915)),8)="BLOCKER:",LEFT(UPPER(TRIM(A915)),9)="BLOCKERS:",LEFT(UPPER(TRIM(A915)),8)="BLOCKED:"),"B",""))))</f>
      </c>
      <c r="E915" s="17">
        <f>IF(D915="","",TRIM(MID(A915,FIND(":",A915)+1,500)))</f>
      </c>
    </row>
    <row r="916">
      <c r="B916" s="17">
        <f>IF(A916="","",IF(COUNTIF(Roster[Name],IF(RIGHT(IF(LEFT(TRIM(A916),1)="[",TRIM(MID(TRIM(A916),FIND("]",TRIM(A916)&amp;"]")+1,200)),TRIM(A916)),1)=")",TRIM(LEFT(IF(LEFT(TRIM(A916),1)="[",TRIM(MID(TRIM(A916),FIND("]",TRIM(A916)&amp;"]")+1,200)),TRIM(A916)),FIND("(",IF(LEFT(TRIM(A916),1)="[",TRIM(MID(TRIM(A916),FIND("]",TRIM(A916)&amp;"]")+1,200)),TRIM(A916))&amp;"(")-1)),IF(LEFT(TRIM(A916),1)="[",TRIM(MID(TRIM(A916),FIND("]",TRIM(A916)&amp;"]")+1,200)),TRIM(A916))))&gt;0,IF(RIGHT(IF(LEFT(TRIM(A916),1)="[",TRIM(MID(TRIM(A916),FIND("]",TRIM(A916)&amp;"]")+1,200)),TRIM(A916)),1)=")",TRIM(LEFT(IF(LEFT(TRIM(A916),1)="[",TRIM(MID(TRIM(A916),FIND("]",TRIM(A916)&amp;"]")+1,200)),TRIM(A916)),FIND("(",IF(LEFT(TRIM(A916),1)="[",TRIM(MID(TRIM(A916),FIND("]",TRIM(A916)&amp;"]")+1,200)),TRIM(A916))&amp;"(")-1)),IF(LEFT(TRIM(A916),1)="[",TRIM(MID(TRIM(A916),FIND("]",TRIM(A916)&amp;"]")+1,200)),TRIM(A916))),""))</f>
      </c>
      <c r="C916" s="17">
        <f>IF(B916&lt;&gt;"",B916,C915)</f>
      </c>
      <c r="D916" s="17">
        <f>IF(A916="","",IF(OR(LEFT(UPPER(TRIM(A916)),2)="Y:",LEFT(UPPER(TRIM(A916)),10)="YESTERDAY:"),"Y",IF(OR(LEFT(UPPER(TRIM(A916)),2)="T:",LEFT(UPPER(TRIM(A916)),6)="TODAY:"),"T",IF(OR(LEFT(UPPER(TRIM(A916)),2)="B:",LEFT(UPPER(TRIM(A916)),8)="BLOCKER:",LEFT(UPPER(TRIM(A916)),9)="BLOCKERS:",LEFT(UPPER(TRIM(A916)),8)="BLOCKED:"),"B",""))))</f>
      </c>
      <c r="E916" s="17">
        <f>IF(D916="","",TRIM(MID(A916,FIND(":",A916)+1,500)))</f>
      </c>
    </row>
    <row r="917">
      <c r="B917" s="17">
        <f>IF(A917="","",IF(COUNTIF(Roster[Name],IF(RIGHT(IF(LEFT(TRIM(A917),1)="[",TRIM(MID(TRIM(A917),FIND("]",TRIM(A917)&amp;"]")+1,200)),TRIM(A917)),1)=")",TRIM(LEFT(IF(LEFT(TRIM(A917),1)="[",TRIM(MID(TRIM(A917),FIND("]",TRIM(A917)&amp;"]")+1,200)),TRIM(A917)),FIND("(",IF(LEFT(TRIM(A917),1)="[",TRIM(MID(TRIM(A917),FIND("]",TRIM(A917)&amp;"]")+1,200)),TRIM(A917))&amp;"(")-1)),IF(LEFT(TRIM(A917),1)="[",TRIM(MID(TRIM(A917),FIND("]",TRIM(A917)&amp;"]")+1,200)),TRIM(A917))))&gt;0,IF(RIGHT(IF(LEFT(TRIM(A917),1)="[",TRIM(MID(TRIM(A917),FIND("]",TRIM(A917)&amp;"]")+1,200)),TRIM(A917)),1)=")",TRIM(LEFT(IF(LEFT(TRIM(A917),1)="[",TRIM(MID(TRIM(A917),FIND("]",TRIM(A917)&amp;"]")+1,200)),TRIM(A917)),FIND("(",IF(LEFT(TRIM(A917),1)="[",TRIM(MID(TRIM(A917),FIND("]",TRIM(A917)&amp;"]")+1,200)),TRIM(A917))&amp;"(")-1)),IF(LEFT(TRIM(A917),1)="[",TRIM(MID(TRIM(A917),FIND("]",TRIM(A917)&amp;"]")+1,200)),TRIM(A917))),""))</f>
      </c>
      <c r="C917" s="17">
        <f>IF(B917&lt;&gt;"",B917,C916)</f>
      </c>
      <c r="D917" s="17">
        <f>IF(A917="","",IF(OR(LEFT(UPPER(TRIM(A917)),2)="Y:",LEFT(UPPER(TRIM(A917)),10)="YESTERDAY:"),"Y",IF(OR(LEFT(UPPER(TRIM(A917)),2)="T:",LEFT(UPPER(TRIM(A917)),6)="TODAY:"),"T",IF(OR(LEFT(UPPER(TRIM(A917)),2)="B:",LEFT(UPPER(TRIM(A917)),8)="BLOCKER:",LEFT(UPPER(TRIM(A917)),9)="BLOCKERS:",LEFT(UPPER(TRIM(A917)),8)="BLOCKED:"),"B",""))))</f>
      </c>
      <c r="E917" s="17">
        <f>IF(D917="","",TRIM(MID(A917,FIND(":",A917)+1,500)))</f>
      </c>
    </row>
    <row r="918">
      <c r="B918" s="17">
        <f>IF(A918="","",IF(COUNTIF(Roster[Name],IF(RIGHT(IF(LEFT(TRIM(A918),1)="[",TRIM(MID(TRIM(A918),FIND("]",TRIM(A918)&amp;"]")+1,200)),TRIM(A918)),1)=")",TRIM(LEFT(IF(LEFT(TRIM(A918),1)="[",TRIM(MID(TRIM(A918),FIND("]",TRIM(A918)&amp;"]")+1,200)),TRIM(A918)),FIND("(",IF(LEFT(TRIM(A918),1)="[",TRIM(MID(TRIM(A918),FIND("]",TRIM(A918)&amp;"]")+1,200)),TRIM(A918))&amp;"(")-1)),IF(LEFT(TRIM(A918),1)="[",TRIM(MID(TRIM(A918),FIND("]",TRIM(A918)&amp;"]")+1,200)),TRIM(A918))))&gt;0,IF(RIGHT(IF(LEFT(TRIM(A918),1)="[",TRIM(MID(TRIM(A918),FIND("]",TRIM(A918)&amp;"]")+1,200)),TRIM(A918)),1)=")",TRIM(LEFT(IF(LEFT(TRIM(A918),1)="[",TRIM(MID(TRIM(A918),FIND("]",TRIM(A918)&amp;"]")+1,200)),TRIM(A918)),FIND("(",IF(LEFT(TRIM(A918),1)="[",TRIM(MID(TRIM(A918),FIND("]",TRIM(A918)&amp;"]")+1,200)),TRIM(A918))&amp;"(")-1)),IF(LEFT(TRIM(A918),1)="[",TRIM(MID(TRIM(A918),FIND("]",TRIM(A918)&amp;"]")+1,200)),TRIM(A918))),""))</f>
      </c>
      <c r="C918" s="17">
        <f>IF(B918&lt;&gt;"",B918,C917)</f>
      </c>
      <c r="D918" s="17">
        <f>IF(A918="","",IF(OR(LEFT(UPPER(TRIM(A918)),2)="Y:",LEFT(UPPER(TRIM(A918)),10)="YESTERDAY:"),"Y",IF(OR(LEFT(UPPER(TRIM(A918)),2)="T:",LEFT(UPPER(TRIM(A918)),6)="TODAY:"),"T",IF(OR(LEFT(UPPER(TRIM(A918)),2)="B:",LEFT(UPPER(TRIM(A918)),8)="BLOCKER:",LEFT(UPPER(TRIM(A918)),9)="BLOCKERS:",LEFT(UPPER(TRIM(A918)),8)="BLOCKED:"),"B",""))))</f>
      </c>
      <c r="E918" s="17">
        <f>IF(D918="","",TRIM(MID(A918,FIND(":",A918)+1,500)))</f>
      </c>
    </row>
    <row r="919">
      <c r="B919" s="17">
        <f>IF(A919="","",IF(COUNTIF(Roster[Name],IF(RIGHT(IF(LEFT(TRIM(A919),1)="[",TRIM(MID(TRIM(A919),FIND("]",TRIM(A919)&amp;"]")+1,200)),TRIM(A919)),1)=")",TRIM(LEFT(IF(LEFT(TRIM(A919),1)="[",TRIM(MID(TRIM(A919),FIND("]",TRIM(A919)&amp;"]")+1,200)),TRIM(A919)),FIND("(",IF(LEFT(TRIM(A919),1)="[",TRIM(MID(TRIM(A919),FIND("]",TRIM(A919)&amp;"]")+1,200)),TRIM(A919))&amp;"(")-1)),IF(LEFT(TRIM(A919),1)="[",TRIM(MID(TRIM(A919),FIND("]",TRIM(A919)&amp;"]")+1,200)),TRIM(A919))))&gt;0,IF(RIGHT(IF(LEFT(TRIM(A919),1)="[",TRIM(MID(TRIM(A919),FIND("]",TRIM(A919)&amp;"]")+1,200)),TRIM(A919)),1)=")",TRIM(LEFT(IF(LEFT(TRIM(A919),1)="[",TRIM(MID(TRIM(A919),FIND("]",TRIM(A919)&amp;"]")+1,200)),TRIM(A919)),FIND("(",IF(LEFT(TRIM(A919),1)="[",TRIM(MID(TRIM(A919),FIND("]",TRIM(A919)&amp;"]")+1,200)),TRIM(A919))&amp;"(")-1)),IF(LEFT(TRIM(A919),1)="[",TRIM(MID(TRIM(A919),FIND("]",TRIM(A919)&amp;"]")+1,200)),TRIM(A919))),""))</f>
      </c>
      <c r="C919" s="17">
        <f>IF(B919&lt;&gt;"",B919,C918)</f>
      </c>
      <c r="D919" s="17">
        <f>IF(A919="","",IF(OR(LEFT(UPPER(TRIM(A919)),2)="Y:",LEFT(UPPER(TRIM(A919)),10)="YESTERDAY:"),"Y",IF(OR(LEFT(UPPER(TRIM(A919)),2)="T:",LEFT(UPPER(TRIM(A919)),6)="TODAY:"),"T",IF(OR(LEFT(UPPER(TRIM(A919)),2)="B:",LEFT(UPPER(TRIM(A919)),8)="BLOCKER:",LEFT(UPPER(TRIM(A919)),9)="BLOCKERS:",LEFT(UPPER(TRIM(A919)),8)="BLOCKED:"),"B",""))))</f>
      </c>
      <c r="E919" s="17">
        <f>IF(D919="","",TRIM(MID(A919,FIND(":",A919)+1,500)))</f>
      </c>
    </row>
    <row r="920">
      <c r="B920" s="17">
        <f>IF(A920="","",IF(COUNTIF(Roster[Name],IF(RIGHT(IF(LEFT(TRIM(A920),1)="[",TRIM(MID(TRIM(A920),FIND("]",TRIM(A920)&amp;"]")+1,200)),TRIM(A920)),1)=")",TRIM(LEFT(IF(LEFT(TRIM(A920),1)="[",TRIM(MID(TRIM(A920),FIND("]",TRIM(A920)&amp;"]")+1,200)),TRIM(A920)),FIND("(",IF(LEFT(TRIM(A920),1)="[",TRIM(MID(TRIM(A920),FIND("]",TRIM(A920)&amp;"]")+1,200)),TRIM(A920))&amp;"(")-1)),IF(LEFT(TRIM(A920),1)="[",TRIM(MID(TRIM(A920),FIND("]",TRIM(A920)&amp;"]")+1,200)),TRIM(A920))))&gt;0,IF(RIGHT(IF(LEFT(TRIM(A920),1)="[",TRIM(MID(TRIM(A920),FIND("]",TRIM(A920)&amp;"]")+1,200)),TRIM(A920)),1)=")",TRIM(LEFT(IF(LEFT(TRIM(A920),1)="[",TRIM(MID(TRIM(A920),FIND("]",TRIM(A920)&amp;"]")+1,200)),TRIM(A920)),FIND("(",IF(LEFT(TRIM(A920),1)="[",TRIM(MID(TRIM(A920),FIND("]",TRIM(A920)&amp;"]")+1,200)),TRIM(A920))&amp;"(")-1)),IF(LEFT(TRIM(A920),1)="[",TRIM(MID(TRIM(A920),FIND("]",TRIM(A920)&amp;"]")+1,200)),TRIM(A920))),""))</f>
      </c>
      <c r="C920" s="17">
        <f>IF(B920&lt;&gt;"",B920,C919)</f>
      </c>
      <c r="D920" s="17">
        <f>IF(A920="","",IF(OR(LEFT(UPPER(TRIM(A920)),2)="Y:",LEFT(UPPER(TRIM(A920)),10)="YESTERDAY:"),"Y",IF(OR(LEFT(UPPER(TRIM(A920)),2)="T:",LEFT(UPPER(TRIM(A920)),6)="TODAY:"),"T",IF(OR(LEFT(UPPER(TRIM(A920)),2)="B:",LEFT(UPPER(TRIM(A920)),8)="BLOCKER:",LEFT(UPPER(TRIM(A920)),9)="BLOCKERS:",LEFT(UPPER(TRIM(A920)),8)="BLOCKED:"),"B",""))))</f>
      </c>
      <c r="E920" s="17">
        <f>IF(D920="","",TRIM(MID(A920,FIND(":",A920)+1,500)))</f>
      </c>
    </row>
    <row r="921">
      <c r="B921" s="17">
        <f>IF(A921="","",IF(COUNTIF(Roster[Name],IF(RIGHT(IF(LEFT(TRIM(A921),1)="[",TRIM(MID(TRIM(A921),FIND("]",TRIM(A921)&amp;"]")+1,200)),TRIM(A921)),1)=")",TRIM(LEFT(IF(LEFT(TRIM(A921),1)="[",TRIM(MID(TRIM(A921),FIND("]",TRIM(A921)&amp;"]")+1,200)),TRIM(A921)),FIND("(",IF(LEFT(TRIM(A921),1)="[",TRIM(MID(TRIM(A921),FIND("]",TRIM(A921)&amp;"]")+1,200)),TRIM(A921))&amp;"(")-1)),IF(LEFT(TRIM(A921),1)="[",TRIM(MID(TRIM(A921),FIND("]",TRIM(A921)&amp;"]")+1,200)),TRIM(A921))))&gt;0,IF(RIGHT(IF(LEFT(TRIM(A921),1)="[",TRIM(MID(TRIM(A921),FIND("]",TRIM(A921)&amp;"]")+1,200)),TRIM(A921)),1)=")",TRIM(LEFT(IF(LEFT(TRIM(A921),1)="[",TRIM(MID(TRIM(A921),FIND("]",TRIM(A921)&amp;"]")+1,200)),TRIM(A921)),FIND("(",IF(LEFT(TRIM(A921),1)="[",TRIM(MID(TRIM(A921),FIND("]",TRIM(A921)&amp;"]")+1,200)),TRIM(A921))&amp;"(")-1)),IF(LEFT(TRIM(A921),1)="[",TRIM(MID(TRIM(A921),FIND("]",TRIM(A921)&amp;"]")+1,200)),TRIM(A921))),""))</f>
      </c>
      <c r="C921" s="17">
        <f>IF(B921&lt;&gt;"",B921,C920)</f>
      </c>
      <c r="D921" s="17">
        <f>IF(A921="","",IF(OR(LEFT(UPPER(TRIM(A921)),2)="Y:",LEFT(UPPER(TRIM(A921)),10)="YESTERDAY:"),"Y",IF(OR(LEFT(UPPER(TRIM(A921)),2)="T:",LEFT(UPPER(TRIM(A921)),6)="TODAY:"),"T",IF(OR(LEFT(UPPER(TRIM(A921)),2)="B:",LEFT(UPPER(TRIM(A921)),8)="BLOCKER:",LEFT(UPPER(TRIM(A921)),9)="BLOCKERS:",LEFT(UPPER(TRIM(A921)),8)="BLOCKED:"),"B",""))))</f>
      </c>
      <c r="E921" s="17">
        <f>IF(D921="","",TRIM(MID(A921,FIND(":",A921)+1,500)))</f>
      </c>
    </row>
    <row r="922">
      <c r="B922" s="17">
        <f>IF(A922="","",IF(COUNTIF(Roster[Name],IF(RIGHT(IF(LEFT(TRIM(A922),1)="[",TRIM(MID(TRIM(A922),FIND("]",TRIM(A922)&amp;"]")+1,200)),TRIM(A922)),1)=")",TRIM(LEFT(IF(LEFT(TRIM(A922),1)="[",TRIM(MID(TRIM(A922),FIND("]",TRIM(A922)&amp;"]")+1,200)),TRIM(A922)),FIND("(",IF(LEFT(TRIM(A922),1)="[",TRIM(MID(TRIM(A922),FIND("]",TRIM(A922)&amp;"]")+1,200)),TRIM(A922))&amp;"(")-1)),IF(LEFT(TRIM(A922),1)="[",TRIM(MID(TRIM(A922),FIND("]",TRIM(A922)&amp;"]")+1,200)),TRIM(A922))))&gt;0,IF(RIGHT(IF(LEFT(TRIM(A922),1)="[",TRIM(MID(TRIM(A922),FIND("]",TRIM(A922)&amp;"]")+1,200)),TRIM(A922)),1)=")",TRIM(LEFT(IF(LEFT(TRIM(A922),1)="[",TRIM(MID(TRIM(A922),FIND("]",TRIM(A922)&amp;"]")+1,200)),TRIM(A922)),FIND("(",IF(LEFT(TRIM(A922),1)="[",TRIM(MID(TRIM(A922),FIND("]",TRIM(A922)&amp;"]")+1,200)),TRIM(A922))&amp;"(")-1)),IF(LEFT(TRIM(A922),1)="[",TRIM(MID(TRIM(A922),FIND("]",TRIM(A922)&amp;"]")+1,200)),TRIM(A922))),""))</f>
      </c>
      <c r="C922" s="17">
        <f>IF(B922&lt;&gt;"",B922,C921)</f>
      </c>
      <c r="D922" s="17">
        <f>IF(A922="","",IF(OR(LEFT(UPPER(TRIM(A922)),2)="Y:",LEFT(UPPER(TRIM(A922)),10)="YESTERDAY:"),"Y",IF(OR(LEFT(UPPER(TRIM(A922)),2)="T:",LEFT(UPPER(TRIM(A922)),6)="TODAY:"),"T",IF(OR(LEFT(UPPER(TRIM(A922)),2)="B:",LEFT(UPPER(TRIM(A922)),8)="BLOCKER:",LEFT(UPPER(TRIM(A922)),9)="BLOCKERS:",LEFT(UPPER(TRIM(A922)),8)="BLOCKED:"),"B",""))))</f>
      </c>
      <c r="E922" s="17">
        <f>IF(D922="","",TRIM(MID(A922,FIND(":",A922)+1,500)))</f>
      </c>
    </row>
    <row r="923">
      <c r="B923" s="17">
        <f>IF(A923="","",IF(COUNTIF(Roster[Name],IF(RIGHT(IF(LEFT(TRIM(A923),1)="[",TRIM(MID(TRIM(A923),FIND("]",TRIM(A923)&amp;"]")+1,200)),TRIM(A923)),1)=")",TRIM(LEFT(IF(LEFT(TRIM(A923),1)="[",TRIM(MID(TRIM(A923),FIND("]",TRIM(A923)&amp;"]")+1,200)),TRIM(A923)),FIND("(",IF(LEFT(TRIM(A923),1)="[",TRIM(MID(TRIM(A923),FIND("]",TRIM(A923)&amp;"]")+1,200)),TRIM(A923))&amp;"(")-1)),IF(LEFT(TRIM(A923),1)="[",TRIM(MID(TRIM(A923),FIND("]",TRIM(A923)&amp;"]")+1,200)),TRIM(A923))))&gt;0,IF(RIGHT(IF(LEFT(TRIM(A923),1)="[",TRIM(MID(TRIM(A923),FIND("]",TRIM(A923)&amp;"]")+1,200)),TRIM(A923)),1)=")",TRIM(LEFT(IF(LEFT(TRIM(A923),1)="[",TRIM(MID(TRIM(A923),FIND("]",TRIM(A923)&amp;"]")+1,200)),TRIM(A923)),FIND("(",IF(LEFT(TRIM(A923),1)="[",TRIM(MID(TRIM(A923),FIND("]",TRIM(A923)&amp;"]")+1,200)),TRIM(A923))&amp;"(")-1)),IF(LEFT(TRIM(A923),1)="[",TRIM(MID(TRIM(A923),FIND("]",TRIM(A923)&amp;"]")+1,200)),TRIM(A923))),""))</f>
      </c>
      <c r="C923" s="17">
        <f>IF(B923&lt;&gt;"",B923,C922)</f>
      </c>
      <c r="D923" s="17">
        <f>IF(A923="","",IF(OR(LEFT(UPPER(TRIM(A923)),2)="Y:",LEFT(UPPER(TRIM(A923)),10)="YESTERDAY:"),"Y",IF(OR(LEFT(UPPER(TRIM(A923)),2)="T:",LEFT(UPPER(TRIM(A923)),6)="TODAY:"),"T",IF(OR(LEFT(UPPER(TRIM(A923)),2)="B:",LEFT(UPPER(TRIM(A923)),8)="BLOCKER:",LEFT(UPPER(TRIM(A923)),9)="BLOCKERS:",LEFT(UPPER(TRIM(A923)),8)="BLOCKED:"),"B",""))))</f>
      </c>
      <c r="E923" s="17">
        <f>IF(D923="","",TRIM(MID(A923,FIND(":",A923)+1,500)))</f>
      </c>
    </row>
    <row r="924">
      <c r="B924" s="17">
        <f>IF(A924="","",IF(COUNTIF(Roster[Name],IF(RIGHT(IF(LEFT(TRIM(A924),1)="[",TRIM(MID(TRIM(A924),FIND("]",TRIM(A924)&amp;"]")+1,200)),TRIM(A924)),1)=")",TRIM(LEFT(IF(LEFT(TRIM(A924),1)="[",TRIM(MID(TRIM(A924),FIND("]",TRIM(A924)&amp;"]")+1,200)),TRIM(A924)),FIND("(",IF(LEFT(TRIM(A924),1)="[",TRIM(MID(TRIM(A924),FIND("]",TRIM(A924)&amp;"]")+1,200)),TRIM(A924))&amp;"(")-1)),IF(LEFT(TRIM(A924),1)="[",TRIM(MID(TRIM(A924),FIND("]",TRIM(A924)&amp;"]")+1,200)),TRIM(A924))))&gt;0,IF(RIGHT(IF(LEFT(TRIM(A924),1)="[",TRIM(MID(TRIM(A924),FIND("]",TRIM(A924)&amp;"]")+1,200)),TRIM(A924)),1)=")",TRIM(LEFT(IF(LEFT(TRIM(A924),1)="[",TRIM(MID(TRIM(A924),FIND("]",TRIM(A924)&amp;"]")+1,200)),TRIM(A924)),FIND("(",IF(LEFT(TRIM(A924),1)="[",TRIM(MID(TRIM(A924),FIND("]",TRIM(A924)&amp;"]")+1,200)),TRIM(A924))&amp;"(")-1)),IF(LEFT(TRIM(A924),1)="[",TRIM(MID(TRIM(A924),FIND("]",TRIM(A924)&amp;"]")+1,200)),TRIM(A924))),""))</f>
      </c>
      <c r="C924" s="17">
        <f>IF(B924&lt;&gt;"",B924,C923)</f>
      </c>
      <c r="D924" s="17">
        <f>IF(A924="","",IF(OR(LEFT(UPPER(TRIM(A924)),2)="Y:",LEFT(UPPER(TRIM(A924)),10)="YESTERDAY:"),"Y",IF(OR(LEFT(UPPER(TRIM(A924)),2)="T:",LEFT(UPPER(TRIM(A924)),6)="TODAY:"),"T",IF(OR(LEFT(UPPER(TRIM(A924)),2)="B:",LEFT(UPPER(TRIM(A924)),8)="BLOCKER:",LEFT(UPPER(TRIM(A924)),9)="BLOCKERS:",LEFT(UPPER(TRIM(A924)),8)="BLOCKED:"),"B",""))))</f>
      </c>
      <c r="E924" s="17">
        <f>IF(D924="","",TRIM(MID(A924,FIND(":",A924)+1,500)))</f>
      </c>
    </row>
    <row r="925">
      <c r="B925" s="17">
        <f>IF(A925="","",IF(COUNTIF(Roster[Name],IF(RIGHT(IF(LEFT(TRIM(A925),1)="[",TRIM(MID(TRIM(A925),FIND("]",TRIM(A925)&amp;"]")+1,200)),TRIM(A925)),1)=")",TRIM(LEFT(IF(LEFT(TRIM(A925),1)="[",TRIM(MID(TRIM(A925),FIND("]",TRIM(A925)&amp;"]")+1,200)),TRIM(A925)),FIND("(",IF(LEFT(TRIM(A925),1)="[",TRIM(MID(TRIM(A925),FIND("]",TRIM(A925)&amp;"]")+1,200)),TRIM(A925))&amp;"(")-1)),IF(LEFT(TRIM(A925),1)="[",TRIM(MID(TRIM(A925),FIND("]",TRIM(A925)&amp;"]")+1,200)),TRIM(A925))))&gt;0,IF(RIGHT(IF(LEFT(TRIM(A925),1)="[",TRIM(MID(TRIM(A925),FIND("]",TRIM(A925)&amp;"]")+1,200)),TRIM(A925)),1)=")",TRIM(LEFT(IF(LEFT(TRIM(A925),1)="[",TRIM(MID(TRIM(A925),FIND("]",TRIM(A925)&amp;"]")+1,200)),TRIM(A925)),FIND("(",IF(LEFT(TRIM(A925),1)="[",TRIM(MID(TRIM(A925),FIND("]",TRIM(A925)&amp;"]")+1,200)),TRIM(A925))&amp;"(")-1)),IF(LEFT(TRIM(A925),1)="[",TRIM(MID(TRIM(A925),FIND("]",TRIM(A925)&amp;"]")+1,200)),TRIM(A925))),""))</f>
      </c>
      <c r="C925" s="17">
        <f>IF(B925&lt;&gt;"",B925,C924)</f>
      </c>
      <c r="D925" s="17">
        <f>IF(A925="","",IF(OR(LEFT(UPPER(TRIM(A925)),2)="Y:",LEFT(UPPER(TRIM(A925)),10)="YESTERDAY:"),"Y",IF(OR(LEFT(UPPER(TRIM(A925)),2)="T:",LEFT(UPPER(TRIM(A925)),6)="TODAY:"),"T",IF(OR(LEFT(UPPER(TRIM(A925)),2)="B:",LEFT(UPPER(TRIM(A925)),8)="BLOCKER:",LEFT(UPPER(TRIM(A925)),9)="BLOCKERS:",LEFT(UPPER(TRIM(A925)),8)="BLOCKED:"),"B",""))))</f>
      </c>
      <c r="E925" s="17">
        <f>IF(D925="","",TRIM(MID(A925,FIND(":",A925)+1,500)))</f>
      </c>
    </row>
    <row r="926">
      <c r="B926" s="17">
        <f>IF(A926="","",IF(COUNTIF(Roster[Name],IF(RIGHT(IF(LEFT(TRIM(A926),1)="[",TRIM(MID(TRIM(A926),FIND("]",TRIM(A926)&amp;"]")+1,200)),TRIM(A926)),1)=")",TRIM(LEFT(IF(LEFT(TRIM(A926),1)="[",TRIM(MID(TRIM(A926),FIND("]",TRIM(A926)&amp;"]")+1,200)),TRIM(A926)),FIND("(",IF(LEFT(TRIM(A926),1)="[",TRIM(MID(TRIM(A926),FIND("]",TRIM(A926)&amp;"]")+1,200)),TRIM(A926))&amp;"(")-1)),IF(LEFT(TRIM(A926),1)="[",TRIM(MID(TRIM(A926),FIND("]",TRIM(A926)&amp;"]")+1,200)),TRIM(A926))))&gt;0,IF(RIGHT(IF(LEFT(TRIM(A926),1)="[",TRIM(MID(TRIM(A926),FIND("]",TRIM(A926)&amp;"]")+1,200)),TRIM(A926)),1)=")",TRIM(LEFT(IF(LEFT(TRIM(A926),1)="[",TRIM(MID(TRIM(A926),FIND("]",TRIM(A926)&amp;"]")+1,200)),TRIM(A926)),FIND("(",IF(LEFT(TRIM(A926),1)="[",TRIM(MID(TRIM(A926),FIND("]",TRIM(A926)&amp;"]")+1,200)),TRIM(A926))&amp;"(")-1)),IF(LEFT(TRIM(A926),1)="[",TRIM(MID(TRIM(A926),FIND("]",TRIM(A926)&amp;"]")+1,200)),TRIM(A926))),""))</f>
      </c>
      <c r="C926" s="17">
        <f>IF(B926&lt;&gt;"",B926,C925)</f>
      </c>
      <c r="D926" s="17">
        <f>IF(A926="","",IF(OR(LEFT(UPPER(TRIM(A926)),2)="Y:",LEFT(UPPER(TRIM(A926)),10)="YESTERDAY:"),"Y",IF(OR(LEFT(UPPER(TRIM(A926)),2)="T:",LEFT(UPPER(TRIM(A926)),6)="TODAY:"),"T",IF(OR(LEFT(UPPER(TRIM(A926)),2)="B:",LEFT(UPPER(TRIM(A926)),8)="BLOCKER:",LEFT(UPPER(TRIM(A926)),9)="BLOCKERS:",LEFT(UPPER(TRIM(A926)),8)="BLOCKED:"),"B",""))))</f>
      </c>
      <c r="E926" s="17">
        <f>IF(D926="","",TRIM(MID(A926,FIND(":",A926)+1,500)))</f>
      </c>
    </row>
    <row r="927">
      <c r="B927" s="17">
        <f>IF(A927="","",IF(COUNTIF(Roster[Name],IF(RIGHT(IF(LEFT(TRIM(A927),1)="[",TRIM(MID(TRIM(A927),FIND("]",TRIM(A927)&amp;"]")+1,200)),TRIM(A927)),1)=")",TRIM(LEFT(IF(LEFT(TRIM(A927),1)="[",TRIM(MID(TRIM(A927),FIND("]",TRIM(A927)&amp;"]")+1,200)),TRIM(A927)),FIND("(",IF(LEFT(TRIM(A927),1)="[",TRIM(MID(TRIM(A927),FIND("]",TRIM(A927)&amp;"]")+1,200)),TRIM(A927))&amp;"(")-1)),IF(LEFT(TRIM(A927),1)="[",TRIM(MID(TRIM(A927),FIND("]",TRIM(A927)&amp;"]")+1,200)),TRIM(A927))))&gt;0,IF(RIGHT(IF(LEFT(TRIM(A927),1)="[",TRIM(MID(TRIM(A927),FIND("]",TRIM(A927)&amp;"]")+1,200)),TRIM(A927)),1)=")",TRIM(LEFT(IF(LEFT(TRIM(A927),1)="[",TRIM(MID(TRIM(A927),FIND("]",TRIM(A927)&amp;"]")+1,200)),TRIM(A927)),FIND("(",IF(LEFT(TRIM(A927),1)="[",TRIM(MID(TRIM(A927),FIND("]",TRIM(A927)&amp;"]")+1,200)),TRIM(A927))&amp;"(")-1)),IF(LEFT(TRIM(A927),1)="[",TRIM(MID(TRIM(A927),FIND("]",TRIM(A927)&amp;"]")+1,200)),TRIM(A927))),""))</f>
      </c>
      <c r="C927" s="17">
        <f>IF(B927&lt;&gt;"",B927,C926)</f>
      </c>
      <c r="D927" s="17">
        <f>IF(A927="","",IF(OR(LEFT(UPPER(TRIM(A927)),2)="Y:",LEFT(UPPER(TRIM(A927)),10)="YESTERDAY:"),"Y",IF(OR(LEFT(UPPER(TRIM(A927)),2)="T:",LEFT(UPPER(TRIM(A927)),6)="TODAY:"),"T",IF(OR(LEFT(UPPER(TRIM(A927)),2)="B:",LEFT(UPPER(TRIM(A927)),8)="BLOCKER:",LEFT(UPPER(TRIM(A927)),9)="BLOCKERS:",LEFT(UPPER(TRIM(A927)),8)="BLOCKED:"),"B",""))))</f>
      </c>
      <c r="E927" s="17">
        <f>IF(D927="","",TRIM(MID(A927,FIND(":",A927)+1,500)))</f>
      </c>
    </row>
    <row r="928">
      <c r="B928" s="17">
        <f>IF(A928="","",IF(COUNTIF(Roster[Name],IF(RIGHT(IF(LEFT(TRIM(A928),1)="[",TRIM(MID(TRIM(A928),FIND("]",TRIM(A928)&amp;"]")+1,200)),TRIM(A928)),1)=")",TRIM(LEFT(IF(LEFT(TRIM(A928),1)="[",TRIM(MID(TRIM(A928),FIND("]",TRIM(A928)&amp;"]")+1,200)),TRIM(A928)),FIND("(",IF(LEFT(TRIM(A928),1)="[",TRIM(MID(TRIM(A928),FIND("]",TRIM(A928)&amp;"]")+1,200)),TRIM(A928))&amp;"(")-1)),IF(LEFT(TRIM(A928),1)="[",TRIM(MID(TRIM(A928),FIND("]",TRIM(A928)&amp;"]")+1,200)),TRIM(A928))))&gt;0,IF(RIGHT(IF(LEFT(TRIM(A928),1)="[",TRIM(MID(TRIM(A928),FIND("]",TRIM(A928)&amp;"]")+1,200)),TRIM(A928)),1)=")",TRIM(LEFT(IF(LEFT(TRIM(A928),1)="[",TRIM(MID(TRIM(A928),FIND("]",TRIM(A928)&amp;"]")+1,200)),TRIM(A928)),FIND("(",IF(LEFT(TRIM(A928),1)="[",TRIM(MID(TRIM(A928),FIND("]",TRIM(A928)&amp;"]")+1,200)),TRIM(A928))&amp;"(")-1)),IF(LEFT(TRIM(A928),1)="[",TRIM(MID(TRIM(A928),FIND("]",TRIM(A928)&amp;"]")+1,200)),TRIM(A928))),""))</f>
      </c>
      <c r="C928" s="17">
        <f>IF(B928&lt;&gt;"",B928,C927)</f>
      </c>
      <c r="D928" s="17">
        <f>IF(A928="","",IF(OR(LEFT(UPPER(TRIM(A928)),2)="Y:",LEFT(UPPER(TRIM(A928)),10)="YESTERDAY:"),"Y",IF(OR(LEFT(UPPER(TRIM(A928)),2)="T:",LEFT(UPPER(TRIM(A928)),6)="TODAY:"),"T",IF(OR(LEFT(UPPER(TRIM(A928)),2)="B:",LEFT(UPPER(TRIM(A928)),8)="BLOCKER:",LEFT(UPPER(TRIM(A928)),9)="BLOCKERS:",LEFT(UPPER(TRIM(A928)),8)="BLOCKED:"),"B",""))))</f>
      </c>
      <c r="E928" s="17">
        <f>IF(D928="","",TRIM(MID(A928,FIND(":",A928)+1,500)))</f>
      </c>
    </row>
    <row r="929">
      <c r="B929" s="17">
        <f>IF(A929="","",IF(COUNTIF(Roster[Name],IF(RIGHT(IF(LEFT(TRIM(A929),1)="[",TRIM(MID(TRIM(A929),FIND("]",TRIM(A929)&amp;"]")+1,200)),TRIM(A929)),1)=")",TRIM(LEFT(IF(LEFT(TRIM(A929),1)="[",TRIM(MID(TRIM(A929),FIND("]",TRIM(A929)&amp;"]")+1,200)),TRIM(A929)),FIND("(",IF(LEFT(TRIM(A929),1)="[",TRIM(MID(TRIM(A929),FIND("]",TRIM(A929)&amp;"]")+1,200)),TRIM(A929))&amp;"(")-1)),IF(LEFT(TRIM(A929),1)="[",TRIM(MID(TRIM(A929),FIND("]",TRIM(A929)&amp;"]")+1,200)),TRIM(A929))))&gt;0,IF(RIGHT(IF(LEFT(TRIM(A929),1)="[",TRIM(MID(TRIM(A929),FIND("]",TRIM(A929)&amp;"]")+1,200)),TRIM(A929)),1)=")",TRIM(LEFT(IF(LEFT(TRIM(A929),1)="[",TRIM(MID(TRIM(A929),FIND("]",TRIM(A929)&amp;"]")+1,200)),TRIM(A929)),FIND("(",IF(LEFT(TRIM(A929),1)="[",TRIM(MID(TRIM(A929),FIND("]",TRIM(A929)&amp;"]")+1,200)),TRIM(A929))&amp;"(")-1)),IF(LEFT(TRIM(A929),1)="[",TRIM(MID(TRIM(A929),FIND("]",TRIM(A929)&amp;"]")+1,200)),TRIM(A929))),""))</f>
      </c>
      <c r="C929" s="17">
        <f>IF(B929&lt;&gt;"",B929,C928)</f>
      </c>
      <c r="D929" s="17">
        <f>IF(A929="","",IF(OR(LEFT(UPPER(TRIM(A929)),2)="Y:",LEFT(UPPER(TRIM(A929)),10)="YESTERDAY:"),"Y",IF(OR(LEFT(UPPER(TRIM(A929)),2)="T:",LEFT(UPPER(TRIM(A929)),6)="TODAY:"),"T",IF(OR(LEFT(UPPER(TRIM(A929)),2)="B:",LEFT(UPPER(TRIM(A929)),8)="BLOCKER:",LEFT(UPPER(TRIM(A929)),9)="BLOCKERS:",LEFT(UPPER(TRIM(A929)),8)="BLOCKED:"),"B",""))))</f>
      </c>
      <c r="E929" s="17">
        <f>IF(D929="","",TRIM(MID(A929,FIND(":",A929)+1,500)))</f>
      </c>
    </row>
    <row r="930">
      <c r="B930" s="17">
        <f>IF(A930="","",IF(COUNTIF(Roster[Name],IF(RIGHT(IF(LEFT(TRIM(A930),1)="[",TRIM(MID(TRIM(A930),FIND("]",TRIM(A930)&amp;"]")+1,200)),TRIM(A930)),1)=")",TRIM(LEFT(IF(LEFT(TRIM(A930),1)="[",TRIM(MID(TRIM(A930),FIND("]",TRIM(A930)&amp;"]")+1,200)),TRIM(A930)),FIND("(",IF(LEFT(TRIM(A930),1)="[",TRIM(MID(TRIM(A930),FIND("]",TRIM(A930)&amp;"]")+1,200)),TRIM(A930))&amp;"(")-1)),IF(LEFT(TRIM(A930),1)="[",TRIM(MID(TRIM(A930),FIND("]",TRIM(A930)&amp;"]")+1,200)),TRIM(A930))))&gt;0,IF(RIGHT(IF(LEFT(TRIM(A930),1)="[",TRIM(MID(TRIM(A930),FIND("]",TRIM(A930)&amp;"]")+1,200)),TRIM(A930)),1)=")",TRIM(LEFT(IF(LEFT(TRIM(A930),1)="[",TRIM(MID(TRIM(A930),FIND("]",TRIM(A930)&amp;"]")+1,200)),TRIM(A930)),FIND("(",IF(LEFT(TRIM(A930),1)="[",TRIM(MID(TRIM(A930),FIND("]",TRIM(A930)&amp;"]")+1,200)),TRIM(A930))&amp;"(")-1)),IF(LEFT(TRIM(A930),1)="[",TRIM(MID(TRIM(A930),FIND("]",TRIM(A930)&amp;"]")+1,200)),TRIM(A930))),""))</f>
      </c>
      <c r="C930" s="17">
        <f>IF(B930&lt;&gt;"",B930,C929)</f>
      </c>
      <c r="D930" s="17">
        <f>IF(A930="","",IF(OR(LEFT(UPPER(TRIM(A930)),2)="Y:",LEFT(UPPER(TRIM(A930)),10)="YESTERDAY:"),"Y",IF(OR(LEFT(UPPER(TRIM(A930)),2)="T:",LEFT(UPPER(TRIM(A930)),6)="TODAY:"),"T",IF(OR(LEFT(UPPER(TRIM(A930)),2)="B:",LEFT(UPPER(TRIM(A930)),8)="BLOCKER:",LEFT(UPPER(TRIM(A930)),9)="BLOCKERS:",LEFT(UPPER(TRIM(A930)),8)="BLOCKED:"),"B",""))))</f>
      </c>
      <c r="E930" s="17">
        <f>IF(D930="","",TRIM(MID(A930,FIND(":",A930)+1,500)))</f>
      </c>
    </row>
    <row r="931">
      <c r="B931" s="17">
        <f>IF(A931="","",IF(COUNTIF(Roster[Name],IF(RIGHT(IF(LEFT(TRIM(A931),1)="[",TRIM(MID(TRIM(A931),FIND("]",TRIM(A931)&amp;"]")+1,200)),TRIM(A931)),1)=")",TRIM(LEFT(IF(LEFT(TRIM(A931),1)="[",TRIM(MID(TRIM(A931),FIND("]",TRIM(A931)&amp;"]")+1,200)),TRIM(A931)),FIND("(",IF(LEFT(TRIM(A931),1)="[",TRIM(MID(TRIM(A931),FIND("]",TRIM(A931)&amp;"]")+1,200)),TRIM(A931))&amp;"(")-1)),IF(LEFT(TRIM(A931),1)="[",TRIM(MID(TRIM(A931),FIND("]",TRIM(A931)&amp;"]")+1,200)),TRIM(A931))))&gt;0,IF(RIGHT(IF(LEFT(TRIM(A931),1)="[",TRIM(MID(TRIM(A931),FIND("]",TRIM(A931)&amp;"]")+1,200)),TRIM(A931)),1)=")",TRIM(LEFT(IF(LEFT(TRIM(A931),1)="[",TRIM(MID(TRIM(A931),FIND("]",TRIM(A931)&amp;"]")+1,200)),TRIM(A931)),FIND("(",IF(LEFT(TRIM(A931),1)="[",TRIM(MID(TRIM(A931),FIND("]",TRIM(A931)&amp;"]")+1,200)),TRIM(A931))&amp;"(")-1)),IF(LEFT(TRIM(A931),1)="[",TRIM(MID(TRIM(A931),FIND("]",TRIM(A931)&amp;"]")+1,200)),TRIM(A931))),""))</f>
      </c>
      <c r="C931" s="17">
        <f>IF(B931&lt;&gt;"",B931,C930)</f>
      </c>
      <c r="D931" s="17">
        <f>IF(A931="","",IF(OR(LEFT(UPPER(TRIM(A931)),2)="Y:",LEFT(UPPER(TRIM(A931)),10)="YESTERDAY:"),"Y",IF(OR(LEFT(UPPER(TRIM(A931)),2)="T:",LEFT(UPPER(TRIM(A931)),6)="TODAY:"),"T",IF(OR(LEFT(UPPER(TRIM(A931)),2)="B:",LEFT(UPPER(TRIM(A931)),8)="BLOCKER:",LEFT(UPPER(TRIM(A931)),9)="BLOCKERS:",LEFT(UPPER(TRIM(A931)),8)="BLOCKED:"),"B",""))))</f>
      </c>
      <c r="E931" s="17">
        <f>IF(D931="","",TRIM(MID(A931,FIND(":",A931)+1,500)))</f>
      </c>
    </row>
    <row r="932">
      <c r="B932" s="17">
        <f>IF(A932="","",IF(COUNTIF(Roster[Name],IF(RIGHT(IF(LEFT(TRIM(A932),1)="[",TRIM(MID(TRIM(A932),FIND("]",TRIM(A932)&amp;"]")+1,200)),TRIM(A932)),1)=")",TRIM(LEFT(IF(LEFT(TRIM(A932),1)="[",TRIM(MID(TRIM(A932),FIND("]",TRIM(A932)&amp;"]")+1,200)),TRIM(A932)),FIND("(",IF(LEFT(TRIM(A932),1)="[",TRIM(MID(TRIM(A932),FIND("]",TRIM(A932)&amp;"]")+1,200)),TRIM(A932))&amp;"(")-1)),IF(LEFT(TRIM(A932),1)="[",TRIM(MID(TRIM(A932),FIND("]",TRIM(A932)&amp;"]")+1,200)),TRIM(A932))))&gt;0,IF(RIGHT(IF(LEFT(TRIM(A932),1)="[",TRIM(MID(TRIM(A932),FIND("]",TRIM(A932)&amp;"]")+1,200)),TRIM(A932)),1)=")",TRIM(LEFT(IF(LEFT(TRIM(A932),1)="[",TRIM(MID(TRIM(A932),FIND("]",TRIM(A932)&amp;"]")+1,200)),TRIM(A932)),FIND("(",IF(LEFT(TRIM(A932),1)="[",TRIM(MID(TRIM(A932),FIND("]",TRIM(A932)&amp;"]")+1,200)),TRIM(A932))&amp;"(")-1)),IF(LEFT(TRIM(A932),1)="[",TRIM(MID(TRIM(A932),FIND("]",TRIM(A932)&amp;"]")+1,200)),TRIM(A932))),""))</f>
      </c>
      <c r="C932" s="17">
        <f>IF(B932&lt;&gt;"",B932,C931)</f>
      </c>
      <c r="D932" s="17">
        <f>IF(A932="","",IF(OR(LEFT(UPPER(TRIM(A932)),2)="Y:",LEFT(UPPER(TRIM(A932)),10)="YESTERDAY:"),"Y",IF(OR(LEFT(UPPER(TRIM(A932)),2)="T:",LEFT(UPPER(TRIM(A932)),6)="TODAY:"),"T",IF(OR(LEFT(UPPER(TRIM(A932)),2)="B:",LEFT(UPPER(TRIM(A932)),8)="BLOCKER:",LEFT(UPPER(TRIM(A932)),9)="BLOCKERS:",LEFT(UPPER(TRIM(A932)),8)="BLOCKED:"),"B",""))))</f>
      </c>
      <c r="E932" s="17">
        <f>IF(D932="","",TRIM(MID(A932,FIND(":",A932)+1,500)))</f>
      </c>
    </row>
    <row r="933">
      <c r="B933" s="17">
        <f>IF(A933="","",IF(COUNTIF(Roster[Name],IF(RIGHT(IF(LEFT(TRIM(A933),1)="[",TRIM(MID(TRIM(A933),FIND("]",TRIM(A933)&amp;"]")+1,200)),TRIM(A933)),1)=")",TRIM(LEFT(IF(LEFT(TRIM(A933),1)="[",TRIM(MID(TRIM(A933),FIND("]",TRIM(A933)&amp;"]")+1,200)),TRIM(A933)),FIND("(",IF(LEFT(TRIM(A933),1)="[",TRIM(MID(TRIM(A933),FIND("]",TRIM(A933)&amp;"]")+1,200)),TRIM(A933))&amp;"(")-1)),IF(LEFT(TRIM(A933),1)="[",TRIM(MID(TRIM(A933),FIND("]",TRIM(A933)&amp;"]")+1,200)),TRIM(A933))))&gt;0,IF(RIGHT(IF(LEFT(TRIM(A933),1)="[",TRIM(MID(TRIM(A933),FIND("]",TRIM(A933)&amp;"]")+1,200)),TRIM(A933)),1)=")",TRIM(LEFT(IF(LEFT(TRIM(A933),1)="[",TRIM(MID(TRIM(A933),FIND("]",TRIM(A933)&amp;"]")+1,200)),TRIM(A933)),FIND("(",IF(LEFT(TRIM(A933),1)="[",TRIM(MID(TRIM(A933),FIND("]",TRIM(A933)&amp;"]")+1,200)),TRIM(A933))&amp;"(")-1)),IF(LEFT(TRIM(A933),1)="[",TRIM(MID(TRIM(A933),FIND("]",TRIM(A933)&amp;"]")+1,200)),TRIM(A933))),""))</f>
      </c>
      <c r="C933" s="17">
        <f>IF(B933&lt;&gt;"",B933,C932)</f>
      </c>
      <c r="D933" s="17">
        <f>IF(A933="","",IF(OR(LEFT(UPPER(TRIM(A933)),2)="Y:",LEFT(UPPER(TRIM(A933)),10)="YESTERDAY:"),"Y",IF(OR(LEFT(UPPER(TRIM(A933)),2)="T:",LEFT(UPPER(TRIM(A933)),6)="TODAY:"),"T",IF(OR(LEFT(UPPER(TRIM(A933)),2)="B:",LEFT(UPPER(TRIM(A933)),8)="BLOCKER:",LEFT(UPPER(TRIM(A933)),9)="BLOCKERS:",LEFT(UPPER(TRIM(A933)),8)="BLOCKED:"),"B",""))))</f>
      </c>
      <c r="E933" s="17">
        <f>IF(D933="","",TRIM(MID(A933,FIND(":",A933)+1,500)))</f>
      </c>
    </row>
    <row r="934">
      <c r="B934" s="17">
        <f>IF(A934="","",IF(COUNTIF(Roster[Name],IF(RIGHT(IF(LEFT(TRIM(A934),1)="[",TRIM(MID(TRIM(A934),FIND("]",TRIM(A934)&amp;"]")+1,200)),TRIM(A934)),1)=")",TRIM(LEFT(IF(LEFT(TRIM(A934),1)="[",TRIM(MID(TRIM(A934),FIND("]",TRIM(A934)&amp;"]")+1,200)),TRIM(A934)),FIND("(",IF(LEFT(TRIM(A934),1)="[",TRIM(MID(TRIM(A934),FIND("]",TRIM(A934)&amp;"]")+1,200)),TRIM(A934))&amp;"(")-1)),IF(LEFT(TRIM(A934),1)="[",TRIM(MID(TRIM(A934),FIND("]",TRIM(A934)&amp;"]")+1,200)),TRIM(A934))))&gt;0,IF(RIGHT(IF(LEFT(TRIM(A934),1)="[",TRIM(MID(TRIM(A934),FIND("]",TRIM(A934)&amp;"]")+1,200)),TRIM(A934)),1)=")",TRIM(LEFT(IF(LEFT(TRIM(A934),1)="[",TRIM(MID(TRIM(A934),FIND("]",TRIM(A934)&amp;"]")+1,200)),TRIM(A934)),FIND("(",IF(LEFT(TRIM(A934),1)="[",TRIM(MID(TRIM(A934),FIND("]",TRIM(A934)&amp;"]")+1,200)),TRIM(A934))&amp;"(")-1)),IF(LEFT(TRIM(A934),1)="[",TRIM(MID(TRIM(A934),FIND("]",TRIM(A934)&amp;"]")+1,200)),TRIM(A934))),""))</f>
      </c>
      <c r="C934" s="17">
        <f>IF(B934&lt;&gt;"",B934,C933)</f>
      </c>
      <c r="D934" s="17">
        <f>IF(A934="","",IF(OR(LEFT(UPPER(TRIM(A934)),2)="Y:",LEFT(UPPER(TRIM(A934)),10)="YESTERDAY:"),"Y",IF(OR(LEFT(UPPER(TRIM(A934)),2)="T:",LEFT(UPPER(TRIM(A934)),6)="TODAY:"),"T",IF(OR(LEFT(UPPER(TRIM(A934)),2)="B:",LEFT(UPPER(TRIM(A934)),8)="BLOCKER:",LEFT(UPPER(TRIM(A934)),9)="BLOCKERS:",LEFT(UPPER(TRIM(A934)),8)="BLOCKED:"),"B",""))))</f>
      </c>
      <c r="E934" s="17">
        <f>IF(D934="","",TRIM(MID(A934,FIND(":",A934)+1,500)))</f>
      </c>
    </row>
    <row r="935">
      <c r="B935" s="17">
        <f>IF(A935="","",IF(COUNTIF(Roster[Name],IF(RIGHT(IF(LEFT(TRIM(A935),1)="[",TRIM(MID(TRIM(A935),FIND("]",TRIM(A935)&amp;"]")+1,200)),TRIM(A935)),1)=")",TRIM(LEFT(IF(LEFT(TRIM(A935),1)="[",TRIM(MID(TRIM(A935),FIND("]",TRIM(A935)&amp;"]")+1,200)),TRIM(A935)),FIND("(",IF(LEFT(TRIM(A935),1)="[",TRIM(MID(TRIM(A935),FIND("]",TRIM(A935)&amp;"]")+1,200)),TRIM(A935))&amp;"(")-1)),IF(LEFT(TRIM(A935),1)="[",TRIM(MID(TRIM(A935),FIND("]",TRIM(A935)&amp;"]")+1,200)),TRIM(A935))))&gt;0,IF(RIGHT(IF(LEFT(TRIM(A935),1)="[",TRIM(MID(TRIM(A935),FIND("]",TRIM(A935)&amp;"]")+1,200)),TRIM(A935)),1)=")",TRIM(LEFT(IF(LEFT(TRIM(A935),1)="[",TRIM(MID(TRIM(A935),FIND("]",TRIM(A935)&amp;"]")+1,200)),TRIM(A935)),FIND("(",IF(LEFT(TRIM(A935),1)="[",TRIM(MID(TRIM(A935),FIND("]",TRIM(A935)&amp;"]")+1,200)),TRIM(A935))&amp;"(")-1)),IF(LEFT(TRIM(A935),1)="[",TRIM(MID(TRIM(A935),FIND("]",TRIM(A935)&amp;"]")+1,200)),TRIM(A935))),""))</f>
      </c>
      <c r="C935" s="17">
        <f>IF(B935&lt;&gt;"",B935,C934)</f>
      </c>
      <c r="D935" s="17">
        <f>IF(A935="","",IF(OR(LEFT(UPPER(TRIM(A935)),2)="Y:",LEFT(UPPER(TRIM(A935)),10)="YESTERDAY:"),"Y",IF(OR(LEFT(UPPER(TRIM(A935)),2)="T:",LEFT(UPPER(TRIM(A935)),6)="TODAY:"),"T",IF(OR(LEFT(UPPER(TRIM(A935)),2)="B:",LEFT(UPPER(TRIM(A935)),8)="BLOCKER:",LEFT(UPPER(TRIM(A935)),9)="BLOCKERS:",LEFT(UPPER(TRIM(A935)),8)="BLOCKED:"),"B",""))))</f>
      </c>
      <c r="E935" s="17">
        <f>IF(D935="","",TRIM(MID(A935,FIND(":",A935)+1,500)))</f>
      </c>
    </row>
    <row r="936">
      <c r="B936" s="17">
        <f>IF(A936="","",IF(COUNTIF(Roster[Name],IF(RIGHT(IF(LEFT(TRIM(A936),1)="[",TRIM(MID(TRIM(A936),FIND("]",TRIM(A936)&amp;"]")+1,200)),TRIM(A936)),1)=")",TRIM(LEFT(IF(LEFT(TRIM(A936),1)="[",TRIM(MID(TRIM(A936),FIND("]",TRIM(A936)&amp;"]")+1,200)),TRIM(A936)),FIND("(",IF(LEFT(TRIM(A936),1)="[",TRIM(MID(TRIM(A936),FIND("]",TRIM(A936)&amp;"]")+1,200)),TRIM(A936))&amp;"(")-1)),IF(LEFT(TRIM(A936),1)="[",TRIM(MID(TRIM(A936),FIND("]",TRIM(A936)&amp;"]")+1,200)),TRIM(A936))))&gt;0,IF(RIGHT(IF(LEFT(TRIM(A936),1)="[",TRIM(MID(TRIM(A936),FIND("]",TRIM(A936)&amp;"]")+1,200)),TRIM(A936)),1)=")",TRIM(LEFT(IF(LEFT(TRIM(A936),1)="[",TRIM(MID(TRIM(A936),FIND("]",TRIM(A936)&amp;"]")+1,200)),TRIM(A936)),FIND("(",IF(LEFT(TRIM(A936),1)="[",TRIM(MID(TRIM(A936),FIND("]",TRIM(A936)&amp;"]")+1,200)),TRIM(A936))&amp;"(")-1)),IF(LEFT(TRIM(A936),1)="[",TRIM(MID(TRIM(A936),FIND("]",TRIM(A936)&amp;"]")+1,200)),TRIM(A936))),""))</f>
      </c>
      <c r="C936" s="17">
        <f>IF(B936&lt;&gt;"",B936,C935)</f>
      </c>
      <c r="D936" s="17">
        <f>IF(A936="","",IF(OR(LEFT(UPPER(TRIM(A936)),2)="Y:",LEFT(UPPER(TRIM(A936)),10)="YESTERDAY:"),"Y",IF(OR(LEFT(UPPER(TRIM(A936)),2)="T:",LEFT(UPPER(TRIM(A936)),6)="TODAY:"),"T",IF(OR(LEFT(UPPER(TRIM(A936)),2)="B:",LEFT(UPPER(TRIM(A936)),8)="BLOCKER:",LEFT(UPPER(TRIM(A936)),9)="BLOCKERS:",LEFT(UPPER(TRIM(A936)),8)="BLOCKED:"),"B",""))))</f>
      </c>
      <c r="E936" s="17">
        <f>IF(D936="","",TRIM(MID(A936,FIND(":",A936)+1,500)))</f>
      </c>
    </row>
    <row r="937">
      <c r="B937" s="17">
        <f>IF(A937="","",IF(COUNTIF(Roster[Name],IF(RIGHT(IF(LEFT(TRIM(A937),1)="[",TRIM(MID(TRIM(A937),FIND("]",TRIM(A937)&amp;"]")+1,200)),TRIM(A937)),1)=")",TRIM(LEFT(IF(LEFT(TRIM(A937),1)="[",TRIM(MID(TRIM(A937),FIND("]",TRIM(A937)&amp;"]")+1,200)),TRIM(A937)),FIND("(",IF(LEFT(TRIM(A937),1)="[",TRIM(MID(TRIM(A937),FIND("]",TRIM(A937)&amp;"]")+1,200)),TRIM(A937))&amp;"(")-1)),IF(LEFT(TRIM(A937),1)="[",TRIM(MID(TRIM(A937),FIND("]",TRIM(A937)&amp;"]")+1,200)),TRIM(A937))))&gt;0,IF(RIGHT(IF(LEFT(TRIM(A937),1)="[",TRIM(MID(TRIM(A937),FIND("]",TRIM(A937)&amp;"]")+1,200)),TRIM(A937)),1)=")",TRIM(LEFT(IF(LEFT(TRIM(A937),1)="[",TRIM(MID(TRIM(A937),FIND("]",TRIM(A937)&amp;"]")+1,200)),TRIM(A937)),FIND("(",IF(LEFT(TRIM(A937),1)="[",TRIM(MID(TRIM(A937),FIND("]",TRIM(A937)&amp;"]")+1,200)),TRIM(A937))&amp;"(")-1)),IF(LEFT(TRIM(A937),1)="[",TRIM(MID(TRIM(A937),FIND("]",TRIM(A937)&amp;"]")+1,200)),TRIM(A937))),""))</f>
      </c>
      <c r="C937" s="17">
        <f>IF(B937&lt;&gt;"",B937,C936)</f>
      </c>
      <c r="D937" s="17">
        <f>IF(A937="","",IF(OR(LEFT(UPPER(TRIM(A937)),2)="Y:",LEFT(UPPER(TRIM(A937)),10)="YESTERDAY:"),"Y",IF(OR(LEFT(UPPER(TRIM(A937)),2)="T:",LEFT(UPPER(TRIM(A937)),6)="TODAY:"),"T",IF(OR(LEFT(UPPER(TRIM(A937)),2)="B:",LEFT(UPPER(TRIM(A937)),8)="BLOCKER:",LEFT(UPPER(TRIM(A937)),9)="BLOCKERS:",LEFT(UPPER(TRIM(A937)),8)="BLOCKED:"),"B",""))))</f>
      </c>
      <c r="E937" s="17">
        <f>IF(D937="","",TRIM(MID(A937,FIND(":",A937)+1,500)))</f>
      </c>
    </row>
    <row r="938">
      <c r="B938" s="17">
        <f>IF(A938="","",IF(COUNTIF(Roster[Name],IF(RIGHT(IF(LEFT(TRIM(A938),1)="[",TRIM(MID(TRIM(A938),FIND("]",TRIM(A938)&amp;"]")+1,200)),TRIM(A938)),1)=")",TRIM(LEFT(IF(LEFT(TRIM(A938),1)="[",TRIM(MID(TRIM(A938),FIND("]",TRIM(A938)&amp;"]")+1,200)),TRIM(A938)),FIND("(",IF(LEFT(TRIM(A938),1)="[",TRIM(MID(TRIM(A938),FIND("]",TRIM(A938)&amp;"]")+1,200)),TRIM(A938))&amp;"(")-1)),IF(LEFT(TRIM(A938),1)="[",TRIM(MID(TRIM(A938),FIND("]",TRIM(A938)&amp;"]")+1,200)),TRIM(A938))))&gt;0,IF(RIGHT(IF(LEFT(TRIM(A938),1)="[",TRIM(MID(TRIM(A938),FIND("]",TRIM(A938)&amp;"]")+1,200)),TRIM(A938)),1)=")",TRIM(LEFT(IF(LEFT(TRIM(A938),1)="[",TRIM(MID(TRIM(A938),FIND("]",TRIM(A938)&amp;"]")+1,200)),TRIM(A938)),FIND("(",IF(LEFT(TRIM(A938),1)="[",TRIM(MID(TRIM(A938),FIND("]",TRIM(A938)&amp;"]")+1,200)),TRIM(A938))&amp;"(")-1)),IF(LEFT(TRIM(A938),1)="[",TRIM(MID(TRIM(A938),FIND("]",TRIM(A938)&amp;"]")+1,200)),TRIM(A938))),""))</f>
      </c>
      <c r="C938" s="17">
        <f>IF(B938&lt;&gt;"",B938,C937)</f>
      </c>
      <c r="D938" s="17">
        <f>IF(A938="","",IF(OR(LEFT(UPPER(TRIM(A938)),2)="Y:",LEFT(UPPER(TRIM(A938)),10)="YESTERDAY:"),"Y",IF(OR(LEFT(UPPER(TRIM(A938)),2)="T:",LEFT(UPPER(TRIM(A938)),6)="TODAY:"),"T",IF(OR(LEFT(UPPER(TRIM(A938)),2)="B:",LEFT(UPPER(TRIM(A938)),8)="BLOCKER:",LEFT(UPPER(TRIM(A938)),9)="BLOCKERS:",LEFT(UPPER(TRIM(A938)),8)="BLOCKED:"),"B",""))))</f>
      </c>
      <c r="E938" s="17">
        <f>IF(D938="","",TRIM(MID(A938,FIND(":",A938)+1,500)))</f>
      </c>
    </row>
    <row r="939">
      <c r="B939" s="17">
        <f>IF(A939="","",IF(COUNTIF(Roster[Name],IF(RIGHT(IF(LEFT(TRIM(A939),1)="[",TRIM(MID(TRIM(A939),FIND("]",TRIM(A939)&amp;"]")+1,200)),TRIM(A939)),1)=")",TRIM(LEFT(IF(LEFT(TRIM(A939),1)="[",TRIM(MID(TRIM(A939),FIND("]",TRIM(A939)&amp;"]")+1,200)),TRIM(A939)),FIND("(",IF(LEFT(TRIM(A939),1)="[",TRIM(MID(TRIM(A939),FIND("]",TRIM(A939)&amp;"]")+1,200)),TRIM(A939))&amp;"(")-1)),IF(LEFT(TRIM(A939),1)="[",TRIM(MID(TRIM(A939),FIND("]",TRIM(A939)&amp;"]")+1,200)),TRIM(A939))))&gt;0,IF(RIGHT(IF(LEFT(TRIM(A939),1)="[",TRIM(MID(TRIM(A939),FIND("]",TRIM(A939)&amp;"]")+1,200)),TRIM(A939)),1)=")",TRIM(LEFT(IF(LEFT(TRIM(A939),1)="[",TRIM(MID(TRIM(A939),FIND("]",TRIM(A939)&amp;"]")+1,200)),TRIM(A939)),FIND("(",IF(LEFT(TRIM(A939),1)="[",TRIM(MID(TRIM(A939),FIND("]",TRIM(A939)&amp;"]")+1,200)),TRIM(A939))&amp;"(")-1)),IF(LEFT(TRIM(A939),1)="[",TRIM(MID(TRIM(A939),FIND("]",TRIM(A939)&amp;"]")+1,200)),TRIM(A939))),""))</f>
      </c>
      <c r="C939" s="17">
        <f>IF(B939&lt;&gt;"",B939,C938)</f>
      </c>
      <c r="D939" s="17">
        <f>IF(A939="","",IF(OR(LEFT(UPPER(TRIM(A939)),2)="Y:",LEFT(UPPER(TRIM(A939)),10)="YESTERDAY:"),"Y",IF(OR(LEFT(UPPER(TRIM(A939)),2)="T:",LEFT(UPPER(TRIM(A939)),6)="TODAY:"),"T",IF(OR(LEFT(UPPER(TRIM(A939)),2)="B:",LEFT(UPPER(TRIM(A939)),8)="BLOCKER:",LEFT(UPPER(TRIM(A939)),9)="BLOCKERS:",LEFT(UPPER(TRIM(A939)),8)="BLOCKED:"),"B",""))))</f>
      </c>
      <c r="E939" s="17">
        <f>IF(D939="","",TRIM(MID(A939,FIND(":",A939)+1,500)))</f>
      </c>
    </row>
    <row r="940">
      <c r="B940" s="17">
        <f>IF(A940="","",IF(COUNTIF(Roster[Name],IF(RIGHT(IF(LEFT(TRIM(A940),1)="[",TRIM(MID(TRIM(A940),FIND("]",TRIM(A940)&amp;"]")+1,200)),TRIM(A940)),1)=")",TRIM(LEFT(IF(LEFT(TRIM(A940),1)="[",TRIM(MID(TRIM(A940),FIND("]",TRIM(A940)&amp;"]")+1,200)),TRIM(A940)),FIND("(",IF(LEFT(TRIM(A940),1)="[",TRIM(MID(TRIM(A940),FIND("]",TRIM(A940)&amp;"]")+1,200)),TRIM(A940))&amp;"(")-1)),IF(LEFT(TRIM(A940),1)="[",TRIM(MID(TRIM(A940),FIND("]",TRIM(A940)&amp;"]")+1,200)),TRIM(A940))))&gt;0,IF(RIGHT(IF(LEFT(TRIM(A940),1)="[",TRIM(MID(TRIM(A940),FIND("]",TRIM(A940)&amp;"]")+1,200)),TRIM(A940)),1)=")",TRIM(LEFT(IF(LEFT(TRIM(A940),1)="[",TRIM(MID(TRIM(A940),FIND("]",TRIM(A940)&amp;"]")+1,200)),TRIM(A940)),FIND("(",IF(LEFT(TRIM(A940),1)="[",TRIM(MID(TRIM(A940),FIND("]",TRIM(A940)&amp;"]")+1,200)),TRIM(A940))&amp;"(")-1)),IF(LEFT(TRIM(A940),1)="[",TRIM(MID(TRIM(A940),FIND("]",TRIM(A940)&amp;"]")+1,200)),TRIM(A940))),""))</f>
      </c>
      <c r="C940" s="17">
        <f>IF(B940&lt;&gt;"",B940,C939)</f>
      </c>
      <c r="D940" s="17">
        <f>IF(A940="","",IF(OR(LEFT(UPPER(TRIM(A940)),2)="Y:",LEFT(UPPER(TRIM(A940)),10)="YESTERDAY:"),"Y",IF(OR(LEFT(UPPER(TRIM(A940)),2)="T:",LEFT(UPPER(TRIM(A940)),6)="TODAY:"),"T",IF(OR(LEFT(UPPER(TRIM(A940)),2)="B:",LEFT(UPPER(TRIM(A940)),8)="BLOCKER:",LEFT(UPPER(TRIM(A940)),9)="BLOCKERS:",LEFT(UPPER(TRIM(A940)),8)="BLOCKED:"),"B",""))))</f>
      </c>
      <c r="E940" s="17">
        <f>IF(D940="","",TRIM(MID(A940,FIND(":",A940)+1,500)))</f>
      </c>
    </row>
    <row r="941">
      <c r="B941" s="17">
        <f>IF(A941="","",IF(COUNTIF(Roster[Name],IF(RIGHT(IF(LEFT(TRIM(A941),1)="[",TRIM(MID(TRIM(A941),FIND("]",TRIM(A941)&amp;"]")+1,200)),TRIM(A941)),1)=")",TRIM(LEFT(IF(LEFT(TRIM(A941),1)="[",TRIM(MID(TRIM(A941),FIND("]",TRIM(A941)&amp;"]")+1,200)),TRIM(A941)),FIND("(",IF(LEFT(TRIM(A941),1)="[",TRIM(MID(TRIM(A941),FIND("]",TRIM(A941)&amp;"]")+1,200)),TRIM(A941))&amp;"(")-1)),IF(LEFT(TRIM(A941),1)="[",TRIM(MID(TRIM(A941),FIND("]",TRIM(A941)&amp;"]")+1,200)),TRIM(A941))))&gt;0,IF(RIGHT(IF(LEFT(TRIM(A941),1)="[",TRIM(MID(TRIM(A941),FIND("]",TRIM(A941)&amp;"]")+1,200)),TRIM(A941)),1)=")",TRIM(LEFT(IF(LEFT(TRIM(A941),1)="[",TRIM(MID(TRIM(A941),FIND("]",TRIM(A941)&amp;"]")+1,200)),TRIM(A941)),FIND("(",IF(LEFT(TRIM(A941),1)="[",TRIM(MID(TRIM(A941),FIND("]",TRIM(A941)&amp;"]")+1,200)),TRIM(A941))&amp;"(")-1)),IF(LEFT(TRIM(A941),1)="[",TRIM(MID(TRIM(A941),FIND("]",TRIM(A941)&amp;"]")+1,200)),TRIM(A941))),""))</f>
      </c>
      <c r="C941" s="17">
        <f>IF(B941&lt;&gt;"",B941,C940)</f>
      </c>
      <c r="D941" s="17">
        <f>IF(A941="","",IF(OR(LEFT(UPPER(TRIM(A941)),2)="Y:",LEFT(UPPER(TRIM(A941)),10)="YESTERDAY:"),"Y",IF(OR(LEFT(UPPER(TRIM(A941)),2)="T:",LEFT(UPPER(TRIM(A941)),6)="TODAY:"),"T",IF(OR(LEFT(UPPER(TRIM(A941)),2)="B:",LEFT(UPPER(TRIM(A941)),8)="BLOCKER:",LEFT(UPPER(TRIM(A941)),9)="BLOCKERS:",LEFT(UPPER(TRIM(A941)),8)="BLOCKED:"),"B",""))))</f>
      </c>
      <c r="E941" s="17">
        <f>IF(D941="","",TRIM(MID(A941,FIND(":",A941)+1,500)))</f>
      </c>
    </row>
    <row r="942">
      <c r="B942" s="17">
        <f>IF(A942="","",IF(COUNTIF(Roster[Name],IF(RIGHT(IF(LEFT(TRIM(A942),1)="[",TRIM(MID(TRIM(A942),FIND("]",TRIM(A942)&amp;"]")+1,200)),TRIM(A942)),1)=")",TRIM(LEFT(IF(LEFT(TRIM(A942),1)="[",TRIM(MID(TRIM(A942),FIND("]",TRIM(A942)&amp;"]")+1,200)),TRIM(A942)),FIND("(",IF(LEFT(TRIM(A942),1)="[",TRIM(MID(TRIM(A942),FIND("]",TRIM(A942)&amp;"]")+1,200)),TRIM(A942))&amp;"(")-1)),IF(LEFT(TRIM(A942),1)="[",TRIM(MID(TRIM(A942),FIND("]",TRIM(A942)&amp;"]")+1,200)),TRIM(A942))))&gt;0,IF(RIGHT(IF(LEFT(TRIM(A942),1)="[",TRIM(MID(TRIM(A942),FIND("]",TRIM(A942)&amp;"]")+1,200)),TRIM(A942)),1)=")",TRIM(LEFT(IF(LEFT(TRIM(A942),1)="[",TRIM(MID(TRIM(A942),FIND("]",TRIM(A942)&amp;"]")+1,200)),TRIM(A942)),FIND("(",IF(LEFT(TRIM(A942),1)="[",TRIM(MID(TRIM(A942),FIND("]",TRIM(A942)&amp;"]")+1,200)),TRIM(A942))&amp;"(")-1)),IF(LEFT(TRIM(A942),1)="[",TRIM(MID(TRIM(A942),FIND("]",TRIM(A942)&amp;"]")+1,200)),TRIM(A942))),""))</f>
      </c>
      <c r="C942" s="17">
        <f>IF(B942&lt;&gt;"",B942,C941)</f>
      </c>
      <c r="D942" s="17">
        <f>IF(A942="","",IF(OR(LEFT(UPPER(TRIM(A942)),2)="Y:",LEFT(UPPER(TRIM(A942)),10)="YESTERDAY:"),"Y",IF(OR(LEFT(UPPER(TRIM(A942)),2)="T:",LEFT(UPPER(TRIM(A942)),6)="TODAY:"),"T",IF(OR(LEFT(UPPER(TRIM(A942)),2)="B:",LEFT(UPPER(TRIM(A942)),8)="BLOCKER:",LEFT(UPPER(TRIM(A942)),9)="BLOCKERS:",LEFT(UPPER(TRIM(A942)),8)="BLOCKED:"),"B",""))))</f>
      </c>
      <c r="E942" s="17">
        <f>IF(D942="","",TRIM(MID(A942,FIND(":",A942)+1,500)))</f>
      </c>
    </row>
    <row r="943">
      <c r="B943" s="17">
        <f>IF(A943="","",IF(COUNTIF(Roster[Name],IF(RIGHT(IF(LEFT(TRIM(A943),1)="[",TRIM(MID(TRIM(A943),FIND("]",TRIM(A943)&amp;"]")+1,200)),TRIM(A943)),1)=")",TRIM(LEFT(IF(LEFT(TRIM(A943),1)="[",TRIM(MID(TRIM(A943),FIND("]",TRIM(A943)&amp;"]")+1,200)),TRIM(A943)),FIND("(",IF(LEFT(TRIM(A943),1)="[",TRIM(MID(TRIM(A943),FIND("]",TRIM(A943)&amp;"]")+1,200)),TRIM(A943))&amp;"(")-1)),IF(LEFT(TRIM(A943),1)="[",TRIM(MID(TRIM(A943),FIND("]",TRIM(A943)&amp;"]")+1,200)),TRIM(A943))))&gt;0,IF(RIGHT(IF(LEFT(TRIM(A943),1)="[",TRIM(MID(TRIM(A943),FIND("]",TRIM(A943)&amp;"]")+1,200)),TRIM(A943)),1)=")",TRIM(LEFT(IF(LEFT(TRIM(A943),1)="[",TRIM(MID(TRIM(A943),FIND("]",TRIM(A943)&amp;"]")+1,200)),TRIM(A943)),FIND("(",IF(LEFT(TRIM(A943),1)="[",TRIM(MID(TRIM(A943),FIND("]",TRIM(A943)&amp;"]")+1,200)),TRIM(A943))&amp;"(")-1)),IF(LEFT(TRIM(A943),1)="[",TRIM(MID(TRIM(A943),FIND("]",TRIM(A943)&amp;"]")+1,200)),TRIM(A943))),""))</f>
      </c>
      <c r="C943" s="17">
        <f>IF(B943&lt;&gt;"",B943,C942)</f>
      </c>
      <c r="D943" s="17">
        <f>IF(A943="","",IF(OR(LEFT(UPPER(TRIM(A943)),2)="Y:",LEFT(UPPER(TRIM(A943)),10)="YESTERDAY:"),"Y",IF(OR(LEFT(UPPER(TRIM(A943)),2)="T:",LEFT(UPPER(TRIM(A943)),6)="TODAY:"),"T",IF(OR(LEFT(UPPER(TRIM(A943)),2)="B:",LEFT(UPPER(TRIM(A943)),8)="BLOCKER:",LEFT(UPPER(TRIM(A943)),9)="BLOCKERS:",LEFT(UPPER(TRIM(A943)),8)="BLOCKED:"),"B",""))))</f>
      </c>
      <c r="E943" s="17">
        <f>IF(D943="","",TRIM(MID(A943,FIND(":",A943)+1,500)))</f>
      </c>
    </row>
    <row r="944">
      <c r="B944" s="17">
        <f>IF(A944="","",IF(COUNTIF(Roster[Name],IF(RIGHT(IF(LEFT(TRIM(A944),1)="[",TRIM(MID(TRIM(A944),FIND("]",TRIM(A944)&amp;"]")+1,200)),TRIM(A944)),1)=")",TRIM(LEFT(IF(LEFT(TRIM(A944),1)="[",TRIM(MID(TRIM(A944),FIND("]",TRIM(A944)&amp;"]")+1,200)),TRIM(A944)),FIND("(",IF(LEFT(TRIM(A944),1)="[",TRIM(MID(TRIM(A944),FIND("]",TRIM(A944)&amp;"]")+1,200)),TRIM(A944))&amp;"(")-1)),IF(LEFT(TRIM(A944),1)="[",TRIM(MID(TRIM(A944),FIND("]",TRIM(A944)&amp;"]")+1,200)),TRIM(A944))))&gt;0,IF(RIGHT(IF(LEFT(TRIM(A944),1)="[",TRIM(MID(TRIM(A944),FIND("]",TRIM(A944)&amp;"]")+1,200)),TRIM(A944)),1)=")",TRIM(LEFT(IF(LEFT(TRIM(A944),1)="[",TRIM(MID(TRIM(A944),FIND("]",TRIM(A944)&amp;"]")+1,200)),TRIM(A944)),FIND("(",IF(LEFT(TRIM(A944),1)="[",TRIM(MID(TRIM(A944),FIND("]",TRIM(A944)&amp;"]")+1,200)),TRIM(A944))&amp;"(")-1)),IF(LEFT(TRIM(A944),1)="[",TRIM(MID(TRIM(A944),FIND("]",TRIM(A944)&amp;"]")+1,200)),TRIM(A944))),""))</f>
      </c>
      <c r="C944" s="17">
        <f>IF(B944&lt;&gt;"",B944,C943)</f>
      </c>
      <c r="D944" s="17">
        <f>IF(A944="","",IF(OR(LEFT(UPPER(TRIM(A944)),2)="Y:",LEFT(UPPER(TRIM(A944)),10)="YESTERDAY:"),"Y",IF(OR(LEFT(UPPER(TRIM(A944)),2)="T:",LEFT(UPPER(TRIM(A944)),6)="TODAY:"),"T",IF(OR(LEFT(UPPER(TRIM(A944)),2)="B:",LEFT(UPPER(TRIM(A944)),8)="BLOCKER:",LEFT(UPPER(TRIM(A944)),9)="BLOCKERS:",LEFT(UPPER(TRIM(A944)),8)="BLOCKED:"),"B",""))))</f>
      </c>
      <c r="E944" s="17">
        <f>IF(D944="","",TRIM(MID(A944,FIND(":",A944)+1,500)))</f>
      </c>
    </row>
    <row r="945">
      <c r="B945" s="17">
        <f>IF(A945="","",IF(COUNTIF(Roster[Name],IF(RIGHT(IF(LEFT(TRIM(A945),1)="[",TRIM(MID(TRIM(A945),FIND("]",TRIM(A945)&amp;"]")+1,200)),TRIM(A945)),1)=")",TRIM(LEFT(IF(LEFT(TRIM(A945),1)="[",TRIM(MID(TRIM(A945),FIND("]",TRIM(A945)&amp;"]")+1,200)),TRIM(A945)),FIND("(",IF(LEFT(TRIM(A945),1)="[",TRIM(MID(TRIM(A945),FIND("]",TRIM(A945)&amp;"]")+1,200)),TRIM(A945))&amp;"(")-1)),IF(LEFT(TRIM(A945),1)="[",TRIM(MID(TRIM(A945),FIND("]",TRIM(A945)&amp;"]")+1,200)),TRIM(A945))))&gt;0,IF(RIGHT(IF(LEFT(TRIM(A945),1)="[",TRIM(MID(TRIM(A945),FIND("]",TRIM(A945)&amp;"]")+1,200)),TRIM(A945)),1)=")",TRIM(LEFT(IF(LEFT(TRIM(A945),1)="[",TRIM(MID(TRIM(A945),FIND("]",TRIM(A945)&amp;"]")+1,200)),TRIM(A945)),FIND("(",IF(LEFT(TRIM(A945),1)="[",TRIM(MID(TRIM(A945),FIND("]",TRIM(A945)&amp;"]")+1,200)),TRIM(A945))&amp;"(")-1)),IF(LEFT(TRIM(A945),1)="[",TRIM(MID(TRIM(A945),FIND("]",TRIM(A945)&amp;"]")+1,200)),TRIM(A945))),""))</f>
      </c>
      <c r="C945" s="17">
        <f>IF(B945&lt;&gt;"",B945,C944)</f>
      </c>
      <c r="D945" s="17">
        <f>IF(A945="","",IF(OR(LEFT(UPPER(TRIM(A945)),2)="Y:",LEFT(UPPER(TRIM(A945)),10)="YESTERDAY:"),"Y",IF(OR(LEFT(UPPER(TRIM(A945)),2)="T:",LEFT(UPPER(TRIM(A945)),6)="TODAY:"),"T",IF(OR(LEFT(UPPER(TRIM(A945)),2)="B:",LEFT(UPPER(TRIM(A945)),8)="BLOCKER:",LEFT(UPPER(TRIM(A945)),9)="BLOCKERS:",LEFT(UPPER(TRIM(A945)),8)="BLOCKED:"),"B",""))))</f>
      </c>
      <c r="E945" s="17">
        <f>IF(D945="","",TRIM(MID(A945,FIND(":",A945)+1,500)))</f>
      </c>
    </row>
    <row r="946">
      <c r="B946" s="17">
        <f>IF(A946="","",IF(COUNTIF(Roster[Name],IF(RIGHT(IF(LEFT(TRIM(A946),1)="[",TRIM(MID(TRIM(A946),FIND("]",TRIM(A946)&amp;"]")+1,200)),TRIM(A946)),1)=")",TRIM(LEFT(IF(LEFT(TRIM(A946),1)="[",TRIM(MID(TRIM(A946),FIND("]",TRIM(A946)&amp;"]")+1,200)),TRIM(A946)),FIND("(",IF(LEFT(TRIM(A946),1)="[",TRIM(MID(TRIM(A946),FIND("]",TRIM(A946)&amp;"]")+1,200)),TRIM(A946))&amp;"(")-1)),IF(LEFT(TRIM(A946),1)="[",TRIM(MID(TRIM(A946),FIND("]",TRIM(A946)&amp;"]")+1,200)),TRIM(A946))))&gt;0,IF(RIGHT(IF(LEFT(TRIM(A946),1)="[",TRIM(MID(TRIM(A946),FIND("]",TRIM(A946)&amp;"]")+1,200)),TRIM(A946)),1)=")",TRIM(LEFT(IF(LEFT(TRIM(A946),1)="[",TRIM(MID(TRIM(A946),FIND("]",TRIM(A946)&amp;"]")+1,200)),TRIM(A946)),FIND("(",IF(LEFT(TRIM(A946),1)="[",TRIM(MID(TRIM(A946),FIND("]",TRIM(A946)&amp;"]")+1,200)),TRIM(A946))&amp;"(")-1)),IF(LEFT(TRIM(A946),1)="[",TRIM(MID(TRIM(A946),FIND("]",TRIM(A946)&amp;"]")+1,200)),TRIM(A946))),""))</f>
      </c>
      <c r="C946" s="17">
        <f>IF(B946&lt;&gt;"",B946,C945)</f>
      </c>
      <c r="D946" s="17">
        <f>IF(A946="","",IF(OR(LEFT(UPPER(TRIM(A946)),2)="Y:",LEFT(UPPER(TRIM(A946)),10)="YESTERDAY:"),"Y",IF(OR(LEFT(UPPER(TRIM(A946)),2)="T:",LEFT(UPPER(TRIM(A946)),6)="TODAY:"),"T",IF(OR(LEFT(UPPER(TRIM(A946)),2)="B:",LEFT(UPPER(TRIM(A946)),8)="BLOCKER:",LEFT(UPPER(TRIM(A946)),9)="BLOCKERS:",LEFT(UPPER(TRIM(A946)),8)="BLOCKED:"),"B",""))))</f>
      </c>
      <c r="E946" s="17">
        <f>IF(D946="","",TRIM(MID(A946,FIND(":",A946)+1,500)))</f>
      </c>
    </row>
    <row r="947">
      <c r="B947" s="17">
        <f>IF(A947="","",IF(COUNTIF(Roster[Name],IF(RIGHT(IF(LEFT(TRIM(A947),1)="[",TRIM(MID(TRIM(A947),FIND("]",TRIM(A947)&amp;"]")+1,200)),TRIM(A947)),1)=")",TRIM(LEFT(IF(LEFT(TRIM(A947),1)="[",TRIM(MID(TRIM(A947),FIND("]",TRIM(A947)&amp;"]")+1,200)),TRIM(A947)),FIND("(",IF(LEFT(TRIM(A947),1)="[",TRIM(MID(TRIM(A947),FIND("]",TRIM(A947)&amp;"]")+1,200)),TRIM(A947))&amp;"(")-1)),IF(LEFT(TRIM(A947),1)="[",TRIM(MID(TRIM(A947),FIND("]",TRIM(A947)&amp;"]")+1,200)),TRIM(A947))))&gt;0,IF(RIGHT(IF(LEFT(TRIM(A947),1)="[",TRIM(MID(TRIM(A947),FIND("]",TRIM(A947)&amp;"]")+1,200)),TRIM(A947)),1)=")",TRIM(LEFT(IF(LEFT(TRIM(A947),1)="[",TRIM(MID(TRIM(A947),FIND("]",TRIM(A947)&amp;"]")+1,200)),TRIM(A947)),FIND("(",IF(LEFT(TRIM(A947),1)="[",TRIM(MID(TRIM(A947),FIND("]",TRIM(A947)&amp;"]")+1,200)),TRIM(A947))&amp;"(")-1)),IF(LEFT(TRIM(A947),1)="[",TRIM(MID(TRIM(A947),FIND("]",TRIM(A947)&amp;"]")+1,200)),TRIM(A947))),""))</f>
      </c>
      <c r="C947" s="17">
        <f>IF(B947&lt;&gt;"",B947,C946)</f>
      </c>
      <c r="D947" s="17">
        <f>IF(A947="","",IF(OR(LEFT(UPPER(TRIM(A947)),2)="Y:",LEFT(UPPER(TRIM(A947)),10)="YESTERDAY:"),"Y",IF(OR(LEFT(UPPER(TRIM(A947)),2)="T:",LEFT(UPPER(TRIM(A947)),6)="TODAY:"),"T",IF(OR(LEFT(UPPER(TRIM(A947)),2)="B:",LEFT(UPPER(TRIM(A947)),8)="BLOCKER:",LEFT(UPPER(TRIM(A947)),9)="BLOCKERS:",LEFT(UPPER(TRIM(A947)),8)="BLOCKED:"),"B",""))))</f>
      </c>
      <c r="E947" s="17">
        <f>IF(D947="","",TRIM(MID(A947,FIND(":",A947)+1,500)))</f>
      </c>
    </row>
    <row r="948">
      <c r="B948" s="17">
        <f>IF(A948="","",IF(COUNTIF(Roster[Name],IF(RIGHT(IF(LEFT(TRIM(A948),1)="[",TRIM(MID(TRIM(A948),FIND("]",TRIM(A948)&amp;"]")+1,200)),TRIM(A948)),1)=")",TRIM(LEFT(IF(LEFT(TRIM(A948),1)="[",TRIM(MID(TRIM(A948),FIND("]",TRIM(A948)&amp;"]")+1,200)),TRIM(A948)),FIND("(",IF(LEFT(TRIM(A948),1)="[",TRIM(MID(TRIM(A948),FIND("]",TRIM(A948)&amp;"]")+1,200)),TRIM(A948))&amp;"(")-1)),IF(LEFT(TRIM(A948),1)="[",TRIM(MID(TRIM(A948),FIND("]",TRIM(A948)&amp;"]")+1,200)),TRIM(A948))))&gt;0,IF(RIGHT(IF(LEFT(TRIM(A948),1)="[",TRIM(MID(TRIM(A948),FIND("]",TRIM(A948)&amp;"]")+1,200)),TRIM(A948)),1)=")",TRIM(LEFT(IF(LEFT(TRIM(A948),1)="[",TRIM(MID(TRIM(A948),FIND("]",TRIM(A948)&amp;"]")+1,200)),TRIM(A948)),FIND("(",IF(LEFT(TRIM(A948),1)="[",TRIM(MID(TRIM(A948),FIND("]",TRIM(A948)&amp;"]")+1,200)),TRIM(A948))&amp;"(")-1)),IF(LEFT(TRIM(A948),1)="[",TRIM(MID(TRIM(A948),FIND("]",TRIM(A948)&amp;"]")+1,200)),TRIM(A948))),""))</f>
      </c>
      <c r="C948" s="17">
        <f>IF(B948&lt;&gt;"",B948,C947)</f>
      </c>
      <c r="D948" s="17">
        <f>IF(A948="","",IF(OR(LEFT(UPPER(TRIM(A948)),2)="Y:",LEFT(UPPER(TRIM(A948)),10)="YESTERDAY:"),"Y",IF(OR(LEFT(UPPER(TRIM(A948)),2)="T:",LEFT(UPPER(TRIM(A948)),6)="TODAY:"),"T",IF(OR(LEFT(UPPER(TRIM(A948)),2)="B:",LEFT(UPPER(TRIM(A948)),8)="BLOCKER:",LEFT(UPPER(TRIM(A948)),9)="BLOCKERS:",LEFT(UPPER(TRIM(A948)),8)="BLOCKED:"),"B",""))))</f>
      </c>
      <c r="E948" s="17">
        <f>IF(D948="","",TRIM(MID(A948,FIND(":",A948)+1,500)))</f>
      </c>
    </row>
    <row r="949">
      <c r="B949" s="17">
        <f>IF(A949="","",IF(COUNTIF(Roster[Name],IF(RIGHT(IF(LEFT(TRIM(A949),1)="[",TRIM(MID(TRIM(A949),FIND("]",TRIM(A949)&amp;"]")+1,200)),TRIM(A949)),1)=")",TRIM(LEFT(IF(LEFT(TRIM(A949),1)="[",TRIM(MID(TRIM(A949),FIND("]",TRIM(A949)&amp;"]")+1,200)),TRIM(A949)),FIND("(",IF(LEFT(TRIM(A949),1)="[",TRIM(MID(TRIM(A949),FIND("]",TRIM(A949)&amp;"]")+1,200)),TRIM(A949))&amp;"(")-1)),IF(LEFT(TRIM(A949),1)="[",TRIM(MID(TRIM(A949),FIND("]",TRIM(A949)&amp;"]")+1,200)),TRIM(A949))))&gt;0,IF(RIGHT(IF(LEFT(TRIM(A949),1)="[",TRIM(MID(TRIM(A949),FIND("]",TRIM(A949)&amp;"]")+1,200)),TRIM(A949)),1)=")",TRIM(LEFT(IF(LEFT(TRIM(A949),1)="[",TRIM(MID(TRIM(A949),FIND("]",TRIM(A949)&amp;"]")+1,200)),TRIM(A949)),FIND("(",IF(LEFT(TRIM(A949),1)="[",TRIM(MID(TRIM(A949),FIND("]",TRIM(A949)&amp;"]")+1,200)),TRIM(A949))&amp;"(")-1)),IF(LEFT(TRIM(A949),1)="[",TRIM(MID(TRIM(A949),FIND("]",TRIM(A949)&amp;"]")+1,200)),TRIM(A949))),""))</f>
      </c>
      <c r="C949" s="17">
        <f>IF(B949&lt;&gt;"",B949,C948)</f>
      </c>
      <c r="D949" s="17">
        <f>IF(A949="","",IF(OR(LEFT(UPPER(TRIM(A949)),2)="Y:",LEFT(UPPER(TRIM(A949)),10)="YESTERDAY:"),"Y",IF(OR(LEFT(UPPER(TRIM(A949)),2)="T:",LEFT(UPPER(TRIM(A949)),6)="TODAY:"),"T",IF(OR(LEFT(UPPER(TRIM(A949)),2)="B:",LEFT(UPPER(TRIM(A949)),8)="BLOCKER:",LEFT(UPPER(TRIM(A949)),9)="BLOCKERS:",LEFT(UPPER(TRIM(A949)),8)="BLOCKED:"),"B",""))))</f>
      </c>
      <c r="E949" s="17">
        <f>IF(D949="","",TRIM(MID(A949,FIND(":",A949)+1,500)))</f>
      </c>
    </row>
    <row r="950">
      <c r="B950" s="17">
        <f>IF(A950="","",IF(COUNTIF(Roster[Name],IF(RIGHT(IF(LEFT(TRIM(A950),1)="[",TRIM(MID(TRIM(A950),FIND("]",TRIM(A950)&amp;"]")+1,200)),TRIM(A950)),1)=")",TRIM(LEFT(IF(LEFT(TRIM(A950),1)="[",TRIM(MID(TRIM(A950),FIND("]",TRIM(A950)&amp;"]")+1,200)),TRIM(A950)),FIND("(",IF(LEFT(TRIM(A950),1)="[",TRIM(MID(TRIM(A950),FIND("]",TRIM(A950)&amp;"]")+1,200)),TRIM(A950))&amp;"(")-1)),IF(LEFT(TRIM(A950),1)="[",TRIM(MID(TRIM(A950),FIND("]",TRIM(A950)&amp;"]")+1,200)),TRIM(A950))))&gt;0,IF(RIGHT(IF(LEFT(TRIM(A950),1)="[",TRIM(MID(TRIM(A950),FIND("]",TRIM(A950)&amp;"]")+1,200)),TRIM(A950)),1)=")",TRIM(LEFT(IF(LEFT(TRIM(A950),1)="[",TRIM(MID(TRIM(A950),FIND("]",TRIM(A950)&amp;"]")+1,200)),TRIM(A950)),FIND("(",IF(LEFT(TRIM(A950),1)="[",TRIM(MID(TRIM(A950),FIND("]",TRIM(A950)&amp;"]")+1,200)),TRIM(A950))&amp;"(")-1)),IF(LEFT(TRIM(A950),1)="[",TRIM(MID(TRIM(A950),FIND("]",TRIM(A950)&amp;"]")+1,200)),TRIM(A950))),""))</f>
      </c>
      <c r="C950" s="17">
        <f>IF(B950&lt;&gt;"",B950,C949)</f>
      </c>
      <c r="D950" s="17">
        <f>IF(A950="","",IF(OR(LEFT(UPPER(TRIM(A950)),2)="Y:",LEFT(UPPER(TRIM(A950)),10)="YESTERDAY:"),"Y",IF(OR(LEFT(UPPER(TRIM(A950)),2)="T:",LEFT(UPPER(TRIM(A950)),6)="TODAY:"),"T",IF(OR(LEFT(UPPER(TRIM(A950)),2)="B:",LEFT(UPPER(TRIM(A950)),8)="BLOCKER:",LEFT(UPPER(TRIM(A950)),9)="BLOCKERS:",LEFT(UPPER(TRIM(A950)),8)="BLOCKED:"),"B",""))))</f>
      </c>
      <c r="E950" s="17">
        <f>IF(D950="","",TRIM(MID(A950,FIND(":",A950)+1,500)))</f>
      </c>
    </row>
    <row r="951">
      <c r="B951" s="17">
        <f>IF(A951="","",IF(COUNTIF(Roster[Name],IF(RIGHT(IF(LEFT(TRIM(A951),1)="[",TRIM(MID(TRIM(A951),FIND("]",TRIM(A951)&amp;"]")+1,200)),TRIM(A951)),1)=")",TRIM(LEFT(IF(LEFT(TRIM(A951),1)="[",TRIM(MID(TRIM(A951),FIND("]",TRIM(A951)&amp;"]")+1,200)),TRIM(A951)),FIND("(",IF(LEFT(TRIM(A951),1)="[",TRIM(MID(TRIM(A951),FIND("]",TRIM(A951)&amp;"]")+1,200)),TRIM(A951))&amp;"(")-1)),IF(LEFT(TRIM(A951),1)="[",TRIM(MID(TRIM(A951),FIND("]",TRIM(A951)&amp;"]")+1,200)),TRIM(A951))))&gt;0,IF(RIGHT(IF(LEFT(TRIM(A951),1)="[",TRIM(MID(TRIM(A951),FIND("]",TRIM(A951)&amp;"]")+1,200)),TRIM(A951)),1)=")",TRIM(LEFT(IF(LEFT(TRIM(A951),1)="[",TRIM(MID(TRIM(A951),FIND("]",TRIM(A951)&amp;"]")+1,200)),TRIM(A951)),FIND("(",IF(LEFT(TRIM(A951),1)="[",TRIM(MID(TRIM(A951),FIND("]",TRIM(A951)&amp;"]")+1,200)),TRIM(A951))&amp;"(")-1)),IF(LEFT(TRIM(A951),1)="[",TRIM(MID(TRIM(A951),FIND("]",TRIM(A951)&amp;"]")+1,200)),TRIM(A951))),""))</f>
      </c>
      <c r="C951" s="17">
        <f>IF(B951&lt;&gt;"",B951,C950)</f>
      </c>
      <c r="D951" s="17">
        <f>IF(A951="","",IF(OR(LEFT(UPPER(TRIM(A951)),2)="Y:",LEFT(UPPER(TRIM(A951)),10)="YESTERDAY:"),"Y",IF(OR(LEFT(UPPER(TRIM(A951)),2)="T:",LEFT(UPPER(TRIM(A951)),6)="TODAY:"),"T",IF(OR(LEFT(UPPER(TRIM(A951)),2)="B:",LEFT(UPPER(TRIM(A951)),8)="BLOCKER:",LEFT(UPPER(TRIM(A951)),9)="BLOCKERS:",LEFT(UPPER(TRIM(A951)),8)="BLOCKED:"),"B",""))))</f>
      </c>
      <c r="E951" s="17">
        <f>IF(D951="","",TRIM(MID(A951,FIND(":",A951)+1,500)))</f>
      </c>
    </row>
    <row r="952">
      <c r="B952" s="17">
        <f>IF(A952="","",IF(COUNTIF(Roster[Name],IF(RIGHT(IF(LEFT(TRIM(A952),1)="[",TRIM(MID(TRIM(A952),FIND("]",TRIM(A952)&amp;"]")+1,200)),TRIM(A952)),1)=")",TRIM(LEFT(IF(LEFT(TRIM(A952),1)="[",TRIM(MID(TRIM(A952),FIND("]",TRIM(A952)&amp;"]")+1,200)),TRIM(A952)),FIND("(",IF(LEFT(TRIM(A952),1)="[",TRIM(MID(TRIM(A952),FIND("]",TRIM(A952)&amp;"]")+1,200)),TRIM(A952))&amp;"(")-1)),IF(LEFT(TRIM(A952),1)="[",TRIM(MID(TRIM(A952),FIND("]",TRIM(A952)&amp;"]")+1,200)),TRIM(A952))))&gt;0,IF(RIGHT(IF(LEFT(TRIM(A952),1)="[",TRIM(MID(TRIM(A952),FIND("]",TRIM(A952)&amp;"]")+1,200)),TRIM(A952)),1)=")",TRIM(LEFT(IF(LEFT(TRIM(A952),1)="[",TRIM(MID(TRIM(A952),FIND("]",TRIM(A952)&amp;"]")+1,200)),TRIM(A952)),FIND("(",IF(LEFT(TRIM(A952),1)="[",TRIM(MID(TRIM(A952),FIND("]",TRIM(A952)&amp;"]")+1,200)),TRIM(A952))&amp;"(")-1)),IF(LEFT(TRIM(A952),1)="[",TRIM(MID(TRIM(A952),FIND("]",TRIM(A952)&amp;"]")+1,200)),TRIM(A952))),""))</f>
      </c>
      <c r="C952" s="17">
        <f>IF(B952&lt;&gt;"",B952,C951)</f>
      </c>
      <c r="D952" s="17">
        <f>IF(A952="","",IF(OR(LEFT(UPPER(TRIM(A952)),2)="Y:",LEFT(UPPER(TRIM(A952)),10)="YESTERDAY:"),"Y",IF(OR(LEFT(UPPER(TRIM(A952)),2)="T:",LEFT(UPPER(TRIM(A952)),6)="TODAY:"),"T",IF(OR(LEFT(UPPER(TRIM(A952)),2)="B:",LEFT(UPPER(TRIM(A952)),8)="BLOCKER:",LEFT(UPPER(TRIM(A952)),9)="BLOCKERS:",LEFT(UPPER(TRIM(A952)),8)="BLOCKED:"),"B",""))))</f>
      </c>
      <c r="E952" s="17">
        <f>IF(D952="","",TRIM(MID(A952,FIND(":",A952)+1,500)))</f>
      </c>
    </row>
    <row r="953">
      <c r="B953" s="17">
        <f>IF(A953="","",IF(COUNTIF(Roster[Name],IF(RIGHT(IF(LEFT(TRIM(A953),1)="[",TRIM(MID(TRIM(A953),FIND("]",TRIM(A953)&amp;"]")+1,200)),TRIM(A953)),1)=")",TRIM(LEFT(IF(LEFT(TRIM(A953),1)="[",TRIM(MID(TRIM(A953),FIND("]",TRIM(A953)&amp;"]")+1,200)),TRIM(A953)),FIND("(",IF(LEFT(TRIM(A953),1)="[",TRIM(MID(TRIM(A953),FIND("]",TRIM(A953)&amp;"]")+1,200)),TRIM(A953))&amp;"(")-1)),IF(LEFT(TRIM(A953),1)="[",TRIM(MID(TRIM(A953),FIND("]",TRIM(A953)&amp;"]")+1,200)),TRIM(A953))))&gt;0,IF(RIGHT(IF(LEFT(TRIM(A953),1)="[",TRIM(MID(TRIM(A953),FIND("]",TRIM(A953)&amp;"]")+1,200)),TRIM(A953)),1)=")",TRIM(LEFT(IF(LEFT(TRIM(A953),1)="[",TRIM(MID(TRIM(A953),FIND("]",TRIM(A953)&amp;"]")+1,200)),TRIM(A953)),FIND("(",IF(LEFT(TRIM(A953),1)="[",TRIM(MID(TRIM(A953),FIND("]",TRIM(A953)&amp;"]")+1,200)),TRIM(A953))&amp;"(")-1)),IF(LEFT(TRIM(A953),1)="[",TRIM(MID(TRIM(A953),FIND("]",TRIM(A953)&amp;"]")+1,200)),TRIM(A953))),""))</f>
      </c>
      <c r="C953" s="17">
        <f>IF(B953&lt;&gt;"",B953,C952)</f>
      </c>
      <c r="D953" s="17">
        <f>IF(A953="","",IF(OR(LEFT(UPPER(TRIM(A953)),2)="Y:",LEFT(UPPER(TRIM(A953)),10)="YESTERDAY:"),"Y",IF(OR(LEFT(UPPER(TRIM(A953)),2)="T:",LEFT(UPPER(TRIM(A953)),6)="TODAY:"),"T",IF(OR(LEFT(UPPER(TRIM(A953)),2)="B:",LEFT(UPPER(TRIM(A953)),8)="BLOCKER:",LEFT(UPPER(TRIM(A953)),9)="BLOCKERS:",LEFT(UPPER(TRIM(A953)),8)="BLOCKED:"),"B",""))))</f>
      </c>
      <c r="E953" s="17">
        <f>IF(D953="","",TRIM(MID(A953,FIND(":",A953)+1,500)))</f>
      </c>
    </row>
    <row r="954">
      <c r="B954" s="17">
        <f>IF(A954="","",IF(COUNTIF(Roster[Name],IF(RIGHT(IF(LEFT(TRIM(A954),1)="[",TRIM(MID(TRIM(A954),FIND("]",TRIM(A954)&amp;"]")+1,200)),TRIM(A954)),1)=")",TRIM(LEFT(IF(LEFT(TRIM(A954),1)="[",TRIM(MID(TRIM(A954),FIND("]",TRIM(A954)&amp;"]")+1,200)),TRIM(A954)),FIND("(",IF(LEFT(TRIM(A954),1)="[",TRIM(MID(TRIM(A954),FIND("]",TRIM(A954)&amp;"]")+1,200)),TRIM(A954))&amp;"(")-1)),IF(LEFT(TRIM(A954),1)="[",TRIM(MID(TRIM(A954),FIND("]",TRIM(A954)&amp;"]")+1,200)),TRIM(A954))))&gt;0,IF(RIGHT(IF(LEFT(TRIM(A954),1)="[",TRIM(MID(TRIM(A954),FIND("]",TRIM(A954)&amp;"]")+1,200)),TRIM(A954)),1)=")",TRIM(LEFT(IF(LEFT(TRIM(A954),1)="[",TRIM(MID(TRIM(A954),FIND("]",TRIM(A954)&amp;"]")+1,200)),TRIM(A954)),FIND("(",IF(LEFT(TRIM(A954),1)="[",TRIM(MID(TRIM(A954),FIND("]",TRIM(A954)&amp;"]")+1,200)),TRIM(A954))&amp;"(")-1)),IF(LEFT(TRIM(A954),1)="[",TRIM(MID(TRIM(A954),FIND("]",TRIM(A954)&amp;"]")+1,200)),TRIM(A954))),""))</f>
      </c>
      <c r="C954" s="17">
        <f>IF(B954&lt;&gt;"",B954,C953)</f>
      </c>
      <c r="D954" s="17">
        <f>IF(A954="","",IF(OR(LEFT(UPPER(TRIM(A954)),2)="Y:",LEFT(UPPER(TRIM(A954)),10)="YESTERDAY:"),"Y",IF(OR(LEFT(UPPER(TRIM(A954)),2)="T:",LEFT(UPPER(TRIM(A954)),6)="TODAY:"),"T",IF(OR(LEFT(UPPER(TRIM(A954)),2)="B:",LEFT(UPPER(TRIM(A954)),8)="BLOCKER:",LEFT(UPPER(TRIM(A954)),9)="BLOCKERS:",LEFT(UPPER(TRIM(A954)),8)="BLOCKED:"),"B",""))))</f>
      </c>
      <c r="E954" s="17">
        <f>IF(D954="","",TRIM(MID(A954,FIND(":",A954)+1,500)))</f>
      </c>
    </row>
    <row r="955">
      <c r="B955" s="17">
        <f>IF(A955="","",IF(COUNTIF(Roster[Name],IF(RIGHT(IF(LEFT(TRIM(A955),1)="[",TRIM(MID(TRIM(A955),FIND("]",TRIM(A955)&amp;"]")+1,200)),TRIM(A955)),1)=")",TRIM(LEFT(IF(LEFT(TRIM(A955),1)="[",TRIM(MID(TRIM(A955),FIND("]",TRIM(A955)&amp;"]")+1,200)),TRIM(A955)),FIND("(",IF(LEFT(TRIM(A955),1)="[",TRIM(MID(TRIM(A955),FIND("]",TRIM(A955)&amp;"]")+1,200)),TRIM(A955))&amp;"(")-1)),IF(LEFT(TRIM(A955),1)="[",TRIM(MID(TRIM(A955),FIND("]",TRIM(A955)&amp;"]")+1,200)),TRIM(A955))))&gt;0,IF(RIGHT(IF(LEFT(TRIM(A955),1)="[",TRIM(MID(TRIM(A955),FIND("]",TRIM(A955)&amp;"]")+1,200)),TRIM(A955)),1)=")",TRIM(LEFT(IF(LEFT(TRIM(A955),1)="[",TRIM(MID(TRIM(A955),FIND("]",TRIM(A955)&amp;"]")+1,200)),TRIM(A955)),FIND("(",IF(LEFT(TRIM(A955),1)="[",TRIM(MID(TRIM(A955),FIND("]",TRIM(A955)&amp;"]")+1,200)),TRIM(A955))&amp;"(")-1)),IF(LEFT(TRIM(A955),1)="[",TRIM(MID(TRIM(A955),FIND("]",TRIM(A955)&amp;"]")+1,200)),TRIM(A955))),""))</f>
      </c>
      <c r="C955" s="17">
        <f>IF(B955&lt;&gt;"",B955,C954)</f>
      </c>
      <c r="D955" s="17">
        <f>IF(A955="","",IF(OR(LEFT(UPPER(TRIM(A955)),2)="Y:",LEFT(UPPER(TRIM(A955)),10)="YESTERDAY:"),"Y",IF(OR(LEFT(UPPER(TRIM(A955)),2)="T:",LEFT(UPPER(TRIM(A955)),6)="TODAY:"),"T",IF(OR(LEFT(UPPER(TRIM(A955)),2)="B:",LEFT(UPPER(TRIM(A955)),8)="BLOCKER:",LEFT(UPPER(TRIM(A955)),9)="BLOCKERS:",LEFT(UPPER(TRIM(A955)),8)="BLOCKED:"),"B",""))))</f>
      </c>
      <c r="E955" s="17">
        <f>IF(D955="","",TRIM(MID(A955,FIND(":",A955)+1,500)))</f>
      </c>
    </row>
    <row r="956">
      <c r="B956" s="17">
        <f>IF(A956="","",IF(COUNTIF(Roster[Name],IF(RIGHT(IF(LEFT(TRIM(A956),1)="[",TRIM(MID(TRIM(A956),FIND("]",TRIM(A956)&amp;"]")+1,200)),TRIM(A956)),1)=")",TRIM(LEFT(IF(LEFT(TRIM(A956),1)="[",TRIM(MID(TRIM(A956),FIND("]",TRIM(A956)&amp;"]")+1,200)),TRIM(A956)),FIND("(",IF(LEFT(TRIM(A956),1)="[",TRIM(MID(TRIM(A956),FIND("]",TRIM(A956)&amp;"]")+1,200)),TRIM(A956))&amp;"(")-1)),IF(LEFT(TRIM(A956),1)="[",TRIM(MID(TRIM(A956),FIND("]",TRIM(A956)&amp;"]")+1,200)),TRIM(A956))))&gt;0,IF(RIGHT(IF(LEFT(TRIM(A956),1)="[",TRIM(MID(TRIM(A956),FIND("]",TRIM(A956)&amp;"]")+1,200)),TRIM(A956)),1)=")",TRIM(LEFT(IF(LEFT(TRIM(A956),1)="[",TRIM(MID(TRIM(A956),FIND("]",TRIM(A956)&amp;"]")+1,200)),TRIM(A956)),FIND("(",IF(LEFT(TRIM(A956),1)="[",TRIM(MID(TRIM(A956),FIND("]",TRIM(A956)&amp;"]")+1,200)),TRIM(A956))&amp;"(")-1)),IF(LEFT(TRIM(A956),1)="[",TRIM(MID(TRIM(A956),FIND("]",TRIM(A956)&amp;"]")+1,200)),TRIM(A956))),""))</f>
      </c>
      <c r="C956" s="17">
        <f>IF(B956&lt;&gt;"",B956,C955)</f>
      </c>
      <c r="D956" s="17">
        <f>IF(A956="","",IF(OR(LEFT(UPPER(TRIM(A956)),2)="Y:",LEFT(UPPER(TRIM(A956)),10)="YESTERDAY:"),"Y",IF(OR(LEFT(UPPER(TRIM(A956)),2)="T:",LEFT(UPPER(TRIM(A956)),6)="TODAY:"),"T",IF(OR(LEFT(UPPER(TRIM(A956)),2)="B:",LEFT(UPPER(TRIM(A956)),8)="BLOCKER:",LEFT(UPPER(TRIM(A956)),9)="BLOCKERS:",LEFT(UPPER(TRIM(A956)),8)="BLOCKED:"),"B",""))))</f>
      </c>
      <c r="E956" s="17">
        <f>IF(D956="","",TRIM(MID(A956,FIND(":",A956)+1,500)))</f>
      </c>
    </row>
    <row r="957">
      <c r="B957" s="17">
        <f>IF(A957="","",IF(COUNTIF(Roster[Name],IF(RIGHT(IF(LEFT(TRIM(A957),1)="[",TRIM(MID(TRIM(A957),FIND("]",TRIM(A957)&amp;"]")+1,200)),TRIM(A957)),1)=")",TRIM(LEFT(IF(LEFT(TRIM(A957),1)="[",TRIM(MID(TRIM(A957),FIND("]",TRIM(A957)&amp;"]")+1,200)),TRIM(A957)),FIND("(",IF(LEFT(TRIM(A957),1)="[",TRIM(MID(TRIM(A957),FIND("]",TRIM(A957)&amp;"]")+1,200)),TRIM(A957))&amp;"(")-1)),IF(LEFT(TRIM(A957),1)="[",TRIM(MID(TRIM(A957),FIND("]",TRIM(A957)&amp;"]")+1,200)),TRIM(A957))))&gt;0,IF(RIGHT(IF(LEFT(TRIM(A957),1)="[",TRIM(MID(TRIM(A957),FIND("]",TRIM(A957)&amp;"]")+1,200)),TRIM(A957)),1)=")",TRIM(LEFT(IF(LEFT(TRIM(A957),1)="[",TRIM(MID(TRIM(A957),FIND("]",TRIM(A957)&amp;"]")+1,200)),TRIM(A957)),FIND("(",IF(LEFT(TRIM(A957),1)="[",TRIM(MID(TRIM(A957),FIND("]",TRIM(A957)&amp;"]")+1,200)),TRIM(A957))&amp;"(")-1)),IF(LEFT(TRIM(A957),1)="[",TRIM(MID(TRIM(A957),FIND("]",TRIM(A957)&amp;"]")+1,200)),TRIM(A957))),""))</f>
      </c>
      <c r="C957" s="17">
        <f>IF(B957&lt;&gt;"",B957,C956)</f>
      </c>
      <c r="D957" s="17">
        <f>IF(A957="","",IF(OR(LEFT(UPPER(TRIM(A957)),2)="Y:",LEFT(UPPER(TRIM(A957)),10)="YESTERDAY:"),"Y",IF(OR(LEFT(UPPER(TRIM(A957)),2)="T:",LEFT(UPPER(TRIM(A957)),6)="TODAY:"),"T",IF(OR(LEFT(UPPER(TRIM(A957)),2)="B:",LEFT(UPPER(TRIM(A957)),8)="BLOCKER:",LEFT(UPPER(TRIM(A957)),9)="BLOCKERS:",LEFT(UPPER(TRIM(A957)),8)="BLOCKED:"),"B",""))))</f>
      </c>
      <c r="E957" s="17">
        <f>IF(D957="","",TRIM(MID(A957,FIND(":",A957)+1,500)))</f>
      </c>
    </row>
    <row r="958">
      <c r="B958" s="17">
        <f>IF(A958="","",IF(COUNTIF(Roster[Name],IF(RIGHT(IF(LEFT(TRIM(A958),1)="[",TRIM(MID(TRIM(A958),FIND("]",TRIM(A958)&amp;"]")+1,200)),TRIM(A958)),1)=")",TRIM(LEFT(IF(LEFT(TRIM(A958),1)="[",TRIM(MID(TRIM(A958),FIND("]",TRIM(A958)&amp;"]")+1,200)),TRIM(A958)),FIND("(",IF(LEFT(TRIM(A958),1)="[",TRIM(MID(TRIM(A958),FIND("]",TRIM(A958)&amp;"]")+1,200)),TRIM(A958))&amp;"(")-1)),IF(LEFT(TRIM(A958),1)="[",TRIM(MID(TRIM(A958),FIND("]",TRIM(A958)&amp;"]")+1,200)),TRIM(A958))))&gt;0,IF(RIGHT(IF(LEFT(TRIM(A958),1)="[",TRIM(MID(TRIM(A958),FIND("]",TRIM(A958)&amp;"]")+1,200)),TRIM(A958)),1)=")",TRIM(LEFT(IF(LEFT(TRIM(A958),1)="[",TRIM(MID(TRIM(A958),FIND("]",TRIM(A958)&amp;"]")+1,200)),TRIM(A958)),FIND("(",IF(LEFT(TRIM(A958),1)="[",TRIM(MID(TRIM(A958),FIND("]",TRIM(A958)&amp;"]")+1,200)),TRIM(A958))&amp;"(")-1)),IF(LEFT(TRIM(A958),1)="[",TRIM(MID(TRIM(A958),FIND("]",TRIM(A958)&amp;"]")+1,200)),TRIM(A958))),""))</f>
      </c>
      <c r="C958" s="17">
        <f>IF(B958&lt;&gt;"",B958,C957)</f>
      </c>
      <c r="D958" s="17">
        <f>IF(A958="","",IF(OR(LEFT(UPPER(TRIM(A958)),2)="Y:",LEFT(UPPER(TRIM(A958)),10)="YESTERDAY:"),"Y",IF(OR(LEFT(UPPER(TRIM(A958)),2)="T:",LEFT(UPPER(TRIM(A958)),6)="TODAY:"),"T",IF(OR(LEFT(UPPER(TRIM(A958)),2)="B:",LEFT(UPPER(TRIM(A958)),8)="BLOCKER:",LEFT(UPPER(TRIM(A958)),9)="BLOCKERS:",LEFT(UPPER(TRIM(A958)),8)="BLOCKED:"),"B",""))))</f>
      </c>
      <c r="E958" s="17">
        <f>IF(D958="","",TRIM(MID(A958,FIND(":",A958)+1,500)))</f>
      </c>
    </row>
    <row r="959">
      <c r="B959" s="17">
        <f>IF(A959="","",IF(COUNTIF(Roster[Name],IF(RIGHT(IF(LEFT(TRIM(A959),1)="[",TRIM(MID(TRIM(A959),FIND("]",TRIM(A959)&amp;"]")+1,200)),TRIM(A959)),1)=")",TRIM(LEFT(IF(LEFT(TRIM(A959),1)="[",TRIM(MID(TRIM(A959),FIND("]",TRIM(A959)&amp;"]")+1,200)),TRIM(A959)),FIND("(",IF(LEFT(TRIM(A959),1)="[",TRIM(MID(TRIM(A959),FIND("]",TRIM(A959)&amp;"]")+1,200)),TRIM(A959))&amp;"(")-1)),IF(LEFT(TRIM(A959),1)="[",TRIM(MID(TRIM(A959),FIND("]",TRIM(A959)&amp;"]")+1,200)),TRIM(A959))))&gt;0,IF(RIGHT(IF(LEFT(TRIM(A959),1)="[",TRIM(MID(TRIM(A959),FIND("]",TRIM(A959)&amp;"]")+1,200)),TRIM(A959)),1)=")",TRIM(LEFT(IF(LEFT(TRIM(A959),1)="[",TRIM(MID(TRIM(A959),FIND("]",TRIM(A959)&amp;"]")+1,200)),TRIM(A959)),FIND("(",IF(LEFT(TRIM(A959),1)="[",TRIM(MID(TRIM(A959),FIND("]",TRIM(A959)&amp;"]")+1,200)),TRIM(A959))&amp;"(")-1)),IF(LEFT(TRIM(A959),1)="[",TRIM(MID(TRIM(A959),FIND("]",TRIM(A959)&amp;"]")+1,200)),TRIM(A959))),""))</f>
      </c>
      <c r="C959" s="17">
        <f>IF(B959&lt;&gt;"",B959,C958)</f>
      </c>
      <c r="D959" s="17">
        <f>IF(A959="","",IF(OR(LEFT(UPPER(TRIM(A959)),2)="Y:",LEFT(UPPER(TRIM(A959)),10)="YESTERDAY:"),"Y",IF(OR(LEFT(UPPER(TRIM(A959)),2)="T:",LEFT(UPPER(TRIM(A959)),6)="TODAY:"),"T",IF(OR(LEFT(UPPER(TRIM(A959)),2)="B:",LEFT(UPPER(TRIM(A959)),8)="BLOCKER:",LEFT(UPPER(TRIM(A959)),9)="BLOCKERS:",LEFT(UPPER(TRIM(A959)),8)="BLOCKED:"),"B",""))))</f>
      </c>
      <c r="E959" s="17">
        <f>IF(D959="","",TRIM(MID(A959,FIND(":",A959)+1,500)))</f>
      </c>
    </row>
    <row r="960">
      <c r="B960" s="17">
        <f>IF(A960="","",IF(COUNTIF(Roster[Name],IF(RIGHT(IF(LEFT(TRIM(A960),1)="[",TRIM(MID(TRIM(A960),FIND("]",TRIM(A960)&amp;"]")+1,200)),TRIM(A960)),1)=")",TRIM(LEFT(IF(LEFT(TRIM(A960),1)="[",TRIM(MID(TRIM(A960),FIND("]",TRIM(A960)&amp;"]")+1,200)),TRIM(A960)),FIND("(",IF(LEFT(TRIM(A960),1)="[",TRIM(MID(TRIM(A960),FIND("]",TRIM(A960)&amp;"]")+1,200)),TRIM(A960))&amp;"(")-1)),IF(LEFT(TRIM(A960),1)="[",TRIM(MID(TRIM(A960),FIND("]",TRIM(A960)&amp;"]")+1,200)),TRIM(A960))))&gt;0,IF(RIGHT(IF(LEFT(TRIM(A960),1)="[",TRIM(MID(TRIM(A960),FIND("]",TRIM(A960)&amp;"]")+1,200)),TRIM(A960)),1)=")",TRIM(LEFT(IF(LEFT(TRIM(A960),1)="[",TRIM(MID(TRIM(A960),FIND("]",TRIM(A960)&amp;"]")+1,200)),TRIM(A960)),FIND("(",IF(LEFT(TRIM(A960),1)="[",TRIM(MID(TRIM(A960),FIND("]",TRIM(A960)&amp;"]")+1,200)),TRIM(A960))&amp;"(")-1)),IF(LEFT(TRIM(A960),1)="[",TRIM(MID(TRIM(A960),FIND("]",TRIM(A960)&amp;"]")+1,200)),TRIM(A960))),""))</f>
      </c>
      <c r="C960" s="17">
        <f>IF(B960&lt;&gt;"",B960,C959)</f>
      </c>
      <c r="D960" s="17">
        <f>IF(A960="","",IF(OR(LEFT(UPPER(TRIM(A960)),2)="Y:",LEFT(UPPER(TRIM(A960)),10)="YESTERDAY:"),"Y",IF(OR(LEFT(UPPER(TRIM(A960)),2)="T:",LEFT(UPPER(TRIM(A960)),6)="TODAY:"),"T",IF(OR(LEFT(UPPER(TRIM(A960)),2)="B:",LEFT(UPPER(TRIM(A960)),8)="BLOCKER:",LEFT(UPPER(TRIM(A960)),9)="BLOCKERS:",LEFT(UPPER(TRIM(A960)),8)="BLOCKED:"),"B",""))))</f>
      </c>
      <c r="E960" s="17">
        <f>IF(D960="","",TRIM(MID(A960,FIND(":",A960)+1,500)))</f>
      </c>
    </row>
    <row r="961">
      <c r="B961" s="17">
        <f>IF(A961="","",IF(COUNTIF(Roster[Name],IF(RIGHT(IF(LEFT(TRIM(A961),1)="[",TRIM(MID(TRIM(A961),FIND("]",TRIM(A961)&amp;"]")+1,200)),TRIM(A961)),1)=")",TRIM(LEFT(IF(LEFT(TRIM(A961),1)="[",TRIM(MID(TRIM(A961),FIND("]",TRIM(A961)&amp;"]")+1,200)),TRIM(A961)),FIND("(",IF(LEFT(TRIM(A961),1)="[",TRIM(MID(TRIM(A961),FIND("]",TRIM(A961)&amp;"]")+1,200)),TRIM(A961))&amp;"(")-1)),IF(LEFT(TRIM(A961),1)="[",TRIM(MID(TRIM(A961),FIND("]",TRIM(A961)&amp;"]")+1,200)),TRIM(A961))))&gt;0,IF(RIGHT(IF(LEFT(TRIM(A961),1)="[",TRIM(MID(TRIM(A961),FIND("]",TRIM(A961)&amp;"]")+1,200)),TRIM(A961)),1)=")",TRIM(LEFT(IF(LEFT(TRIM(A961),1)="[",TRIM(MID(TRIM(A961),FIND("]",TRIM(A961)&amp;"]")+1,200)),TRIM(A961)),FIND("(",IF(LEFT(TRIM(A961),1)="[",TRIM(MID(TRIM(A961),FIND("]",TRIM(A961)&amp;"]")+1,200)),TRIM(A961))&amp;"(")-1)),IF(LEFT(TRIM(A961),1)="[",TRIM(MID(TRIM(A961),FIND("]",TRIM(A961)&amp;"]")+1,200)),TRIM(A961))),""))</f>
      </c>
      <c r="C961" s="17">
        <f>IF(B961&lt;&gt;"",B961,C960)</f>
      </c>
      <c r="D961" s="17">
        <f>IF(A961="","",IF(OR(LEFT(UPPER(TRIM(A961)),2)="Y:",LEFT(UPPER(TRIM(A961)),10)="YESTERDAY:"),"Y",IF(OR(LEFT(UPPER(TRIM(A961)),2)="T:",LEFT(UPPER(TRIM(A961)),6)="TODAY:"),"T",IF(OR(LEFT(UPPER(TRIM(A961)),2)="B:",LEFT(UPPER(TRIM(A961)),8)="BLOCKER:",LEFT(UPPER(TRIM(A961)),9)="BLOCKERS:",LEFT(UPPER(TRIM(A961)),8)="BLOCKED:"),"B",""))))</f>
      </c>
      <c r="E961" s="17">
        <f>IF(D961="","",TRIM(MID(A961,FIND(":",A961)+1,500)))</f>
      </c>
    </row>
    <row r="962">
      <c r="B962" s="17">
        <f>IF(A962="","",IF(COUNTIF(Roster[Name],IF(RIGHT(IF(LEFT(TRIM(A962),1)="[",TRIM(MID(TRIM(A962),FIND("]",TRIM(A962)&amp;"]")+1,200)),TRIM(A962)),1)=")",TRIM(LEFT(IF(LEFT(TRIM(A962),1)="[",TRIM(MID(TRIM(A962),FIND("]",TRIM(A962)&amp;"]")+1,200)),TRIM(A962)),FIND("(",IF(LEFT(TRIM(A962),1)="[",TRIM(MID(TRIM(A962),FIND("]",TRIM(A962)&amp;"]")+1,200)),TRIM(A962))&amp;"(")-1)),IF(LEFT(TRIM(A962),1)="[",TRIM(MID(TRIM(A962),FIND("]",TRIM(A962)&amp;"]")+1,200)),TRIM(A962))))&gt;0,IF(RIGHT(IF(LEFT(TRIM(A962),1)="[",TRIM(MID(TRIM(A962),FIND("]",TRIM(A962)&amp;"]")+1,200)),TRIM(A962)),1)=")",TRIM(LEFT(IF(LEFT(TRIM(A962),1)="[",TRIM(MID(TRIM(A962),FIND("]",TRIM(A962)&amp;"]")+1,200)),TRIM(A962)),FIND("(",IF(LEFT(TRIM(A962),1)="[",TRIM(MID(TRIM(A962),FIND("]",TRIM(A962)&amp;"]")+1,200)),TRIM(A962))&amp;"(")-1)),IF(LEFT(TRIM(A962),1)="[",TRIM(MID(TRIM(A962),FIND("]",TRIM(A962)&amp;"]")+1,200)),TRIM(A962))),""))</f>
      </c>
      <c r="C962" s="17">
        <f>IF(B962&lt;&gt;"",B962,C961)</f>
      </c>
      <c r="D962" s="17">
        <f>IF(A962="","",IF(OR(LEFT(UPPER(TRIM(A962)),2)="Y:",LEFT(UPPER(TRIM(A962)),10)="YESTERDAY:"),"Y",IF(OR(LEFT(UPPER(TRIM(A962)),2)="T:",LEFT(UPPER(TRIM(A962)),6)="TODAY:"),"T",IF(OR(LEFT(UPPER(TRIM(A962)),2)="B:",LEFT(UPPER(TRIM(A962)),8)="BLOCKER:",LEFT(UPPER(TRIM(A962)),9)="BLOCKERS:",LEFT(UPPER(TRIM(A962)),8)="BLOCKED:"),"B",""))))</f>
      </c>
      <c r="E962" s="17">
        <f>IF(D962="","",TRIM(MID(A962,FIND(":",A962)+1,500)))</f>
      </c>
    </row>
    <row r="963">
      <c r="B963" s="17">
        <f>IF(A963="","",IF(COUNTIF(Roster[Name],IF(RIGHT(IF(LEFT(TRIM(A963),1)="[",TRIM(MID(TRIM(A963),FIND("]",TRIM(A963)&amp;"]")+1,200)),TRIM(A963)),1)=")",TRIM(LEFT(IF(LEFT(TRIM(A963),1)="[",TRIM(MID(TRIM(A963),FIND("]",TRIM(A963)&amp;"]")+1,200)),TRIM(A963)),FIND("(",IF(LEFT(TRIM(A963),1)="[",TRIM(MID(TRIM(A963),FIND("]",TRIM(A963)&amp;"]")+1,200)),TRIM(A963))&amp;"(")-1)),IF(LEFT(TRIM(A963),1)="[",TRIM(MID(TRIM(A963),FIND("]",TRIM(A963)&amp;"]")+1,200)),TRIM(A963))))&gt;0,IF(RIGHT(IF(LEFT(TRIM(A963),1)="[",TRIM(MID(TRIM(A963),FIND("]",TRIM(A963)&amp;"]")+1,200)),TRIM(A963)),1)=")",TRIM(LEFT(IF(LEFT(TRIM(A963),1)="[",TRIM(MID(TRIM(A963),FIND("]",TRIM(A963)&amp;"]")+1,200)),TRIM(A963)),FIND("(",IF(LEFT(TRIM(A963),1)="[",TRIM(MID(TRIM(A963),FIND("]",TRIM(A963)&amp;"]")+1,200)),TRIM(A963))&amp;"(")-1)),IF(LEFT(TRIM(A963),1)="[",TRIM(MID(TRIM(A963),FIND("]",TRIM(A963)&amp;"]")+1,200)),TRIM(A963))),""))</f>
      </c>
      <c r="C963" s="17">
        <f>IF(B963&lt;&gt;"",B963,C962)</f>
      </c>
      <c r="D963" s="17">
        <f>IF(A963="","",IF(OR(LEFT(UPPER(TRIM(A963)),2)="Y:",LEFT(UPPER(TRIM(A963)),10)="YESTERDAY:"),"Y",IF(OR(LEFT(UPPER(TRIM(A963)),2)="T:",LEFT(UPPER(TRIM(A963)),6)="TODAY:"),"T",IF(OR(LEFT(UPPER(TRIM(A963)),2)="B:",LEFT(UPPER(TRIM(A963)),8)="BLOCKER:",LEFT(UPPER(TRIM(A963)),9)="BLOCKERS:",LEFT(UPPER(TRIM(A963)),8)="BLOCKED:"),"B",""))))</f>
      </c>
      <c r="E963" s="17">
        <f>IF(D963="","",TRIM(MID(A963,FIND(":",A963)+1,500)))</f>
      </c>
    </row>
    <row r="964">
      <c r="B964" s="17">
        <f>IF(A964="","",IF(COUNTIF(Roster[Name],IF(RIGHT(IF(LEFT(TRIM(A964),1)="[",TRIM(MID(TRIM(A964),FIND("]",TRIM(A964)&amp;"]")+1,200)),TRIM(A964)),1)=")",TRIM(LEFT(IF(LEFT(TRIM(A964),1)="[",TRIM(MID(TRIM(A964),FIND("]",TRIM(A964)&amp;"]")+1,200)),TRIM(A964)),FIND("(",IF(LEFT(TRIM(A964),1)="[",TRIM(MID(TRIM(A964),FIND("]",TRIM(A964)&amp;"]")+1,200)),TRIM(A964))&amp;"(")-1)),IF(LEFT(TRIM(A964),1)="[",TRIM(MID(TRIM(A964),FIND("]",TRIM(A964)&amp;"]")+1,200)),TRIM(A964))))&gt;0,IF(RIGHT(IF(LEFT(TRIM(A964),1)="[",TRIM(MID(TRIM(A964),FIND("]",TRIM(A964)&amp;"]")+1,200)),TRIM(A964)),1)=")",TRIM(LEFT(IF(LEFT(TRIM(A964),1)="[",TRIM(MID(TRIM(A964),FIND("]",TRIM(A964)&amp;"]")+1,200)),TRIM(A964)),FIND("(",IF(LEFT(TRIM(A964),1)="[",TRIM(MID(TRIM(A964),FIND("]",TRIM(A964)&amp;"]")+1,200)),TRIM(A964))&amp;"(")-1)),IF(LEFT(TRIM(A964),1)="[",TRIM(MID(TRIM(A964),FIND("]",TRIM(A964)&amp;"]")+1,200)),TRIM(A964))),""))</f>
      </c>
      <c r="C964" s="17">
        <f>IF(B964&lt;&gt;"",B964,C963)</f>
      </c>
      <c r="D964" s="17">
        <f>IF(A964="","",IF(OR(LEFT(UPPER(TRIM(A964)),2)="Y:",LEFT(UPPER(TRIM(A964)),10)="YESTERDAY:"),"Y",IF(OR(LEFT(UPPER(TRIM(A964)),2)="T:",LEFT(UPPER(TRIM(A964)),6)="TODAY:"),"T",IF(OR(LEFT(UPPER(TRIM(A964)),2)="B:",LEFT(UPPER(TRIM(A964)),8)="BLOCKER:",LEFT(UPPER(TRIM(A964)),9)="BLOCKERS:",LEFT(UPPER(TRIM(A964)),8)="BLOCKED:"),"B",""))))</f>
      </c>
      <c r="E964" s="17">
        <f>IF(D964="","",TRIM(MID(A964,FIND(":",A964)+1,500)))</f>
      </c>
    </row>
    <row r="965">
      <c r="B965" s="17">
        <f>IF(A965="","",IF(COUNTIF(Roster[Name],IF(RIGHT(IF(LEFT(TRIM(A965),1)="[",TRIM(MID(TRIM(A965),FIND("]",TRIM(A965)&amp;"]")+1,200)),TRIM(A965)),1)=")",TRIM(LEFT(IF(LEFT(TRIM(A965),1)="[",TRIM(MID(TRIM(A965),FIND("]",TRIM(A965)&amp;"]")+1,200)),TRIM(A965)),FIND("(",IF(LEFT(TRIM(A965),1)="[",TRIM(MID(TRIM(A965),FIND("]",TRIM(A965)&amp;"]")+1,200)),TRIM(A965))&amp;"(")-1)),IF(LEFT(TRIM(A965),1)="[",TRIM(MID(TRIM(A965),FIND("]",TRIM(A965)&amp;"]")+1,200)),TRIM(A965))))&gt;0,IF(RIGHT(IF(LEFT(TRIM(A965),1)="[",TRIM(MID(TRIM(A965),FIND("]",TRIM(A965)&amp;"]")+1,200)),TRIM(A965)),1)=")",TRIM(LEFT(IF(LEFT(TRIM(A965),1)="[",TRIM(MID(TRIM(A965),FIND("]",TRIM(A965)&amp;"]")+1,200)),TRIM(A965)),FIND("(",IF(LEFT(TRIM(A965),1)="[",TRIM(MID(TRIM(A965),FIND("]",TRIM(A965)&amp;"]")+1,200)),TRIM(A965))&amp;"(")-1)),IF(LEFT(TRIM(A965),1)="[",TRIM(MID(TRIM(A965),FIND("]",TRIM(A965)&amp;"]")+1,200)),TRIM(A965))),""))</f>
      </c>
      <c r="C965" s="17">
        <f>IF(B965&lt;&gt;"",B965,C964)</f>
      </c>
      <c r="D965" s="17">
        <f>IF(A965="","",IF(OR(LEFT(UPPER(TRIM(A965)),2)="Y:",LEFT(UPPER(TRIM(A965)),10)="YESTERDAY:"),"Y",IF(OR(LEFT(UPPER(TRIM(A965)),2)="T:",LEFT(UPPER(TRIM(A965)),6)="TODAY:"),"T",IF(OR(LEFT(UPPER(TRIM(A965)),2)="B:",LEFT(UPPER(TRIM(A965)),8)="BLOCKER:",LEFT(UPPER(TRIM(A965)),9)="BLOCKERS:",LEFT(UPPER(TRIM(A965)),8)="BLOCKED:"),"B",""))))</f>
      </c>
      <c r="E965" s="17">
        <f>IF(D965="","",TRIM(MID(A965,FIND(":",A965)+1,500)))</f>
      </c>
    </row>
    <row r="966">
      <c r="B966" s="17">
        <f>IF(A966="","",IF(COUNTIF(Roster[Name],IF(RIGHT(IF(LEFT(TRIM(A966),1)="[",TRIM(MID(TRIM(A966),FIND("]",TRIM(A966)&amp;"]")+1,200)),TRIM(A966)),1)=")",TRIM(LEFT(IF(LEFT(TRIM(A966),1)="[",TRIM(MID(TRIM(A966),FIND("]",TRIM(A966)&amp;"]")+1,200)),TRIM(A966)),FIND("(",IF(LEFT(TRIM(A966),1)="[",TRIM(MID(TRIM(A966),FIND("]",TRIM(A966)&amp;"]")+1,200)),TRIM(A966))&amp;"(")-1)),IF(LEFT(TRIM(A966),1)="[",TRIM(MID(TRIM(A966),FIND("]",TRIM(A966)&amp;"]")+1,200)),TRIM(A966))))&gt;0,IF(RIGHT(IF(LEFT(TRIM(A966),1)="[",TRIM(MID(TRIM(A966),FIND("]",TRIM(A966)&amp;"]")+1,200)),TRIM(A966)),1)=")",TRIM(LEFT(IF(LEFT(TRIM(A966),1)="[",TRIM(MID(TRIM(A966),FIND("]",TRIM(A966)&amp;"]")+1,200)),TRIM(A966)),FIND("(",IF(LEFT(TRIM(A966),1)="[",TRIM(MID(TRIM(A966),FIND("]",TRIM(A966)&amp;"]")+1,200)),TRIM(A966))&amp;"(")-1)),IF(LEFT(TRIM(A966),1)="[",TRIM(MID(TRIM(A966),FIND("]",TRIM(A966)&amp;"]")+1,200)),TRIM(A966))),""))</f>
      </c>
      <c r="C966" s="17">
        <f>IF(B966&lt;&gt;"",B966,C965)</f>
      </c>
      <c r="D966" s="17">
        <f>IF(A966="","",IF(OR(LEFT(UPPER(TRIM(A966)),2)="Y:",LEFT(UPPER(TRIM(A966)),10)="YESTERDAY:"),"Y",IF(OR(LEFT(UPPER(TRIM(A966)),2)="T:",LEFT(UPPER(TRIM(A966)),6)="TODAY:"),"T",IF(OR(LEFT(UPPER(TRIM(A966)),2)="B:",LEFT(UPPER(TRIM(A966)),8)="BLOCKER:",LEFT(UPPER(TRIM(A966)),9)="BLOCKERS:",LEFT(UPPER(TRIM(A966)),8)="BLOCKED:"),"B",""))))</f>
      </c>
      <c r="E966" s="17">
        <f>IF(D966="","",TRIM(MID(A966,FIND(":",A966)+1,500)))</f>
      </c>
    </row>
    <row r="967">
      <c r="B967" s="17">
        <f>IF(A967="","",IF(COUNTIF(Roster[Name],IF(RIGHT(IF(LEFT(TRIM(A967),1)="[",TRIM(MID(TRIM(A967),FIND("]",TRIM(A967)&amp;"]")+1,200)),TRIM(A967)),1)=")",TRIM(LEFT(IF(LEFT(TRIM(A967),1)="[",TRIM(MID(TRIM(A967),FIND("]",TRIM(A967)&amp;"]")+1,200)),TRIM(A967)),FIND("(",IF(LEFT(TRIM(A967),1)="[",TRIM(MID(TRIM(A967),FIND("]",TRIM(A967)&amp;"]")+1,200)),TRIM(A967))&amp;"(")-1)),IF(LEFT(TRIM(A967),1)="[",TRIM(MID(TRIM(A967),FIND("]",TRIM(A967)&amp;"]")+1,200)),TRIM(A967))))&gt;0,IF(RIGHT(IF(LEFT(TRIM(A967),1)="[",TRIM(MID(TRIM(A967),FIND("]",TRIM(A967)&amp;"]")+1,200)),TRIM(A967)),1)=")",TRIM(LEFT(IF(LEFT(TRIM(A967),1)="[",TRIM(MID(TRIM(A967),FIND("]",TRIM(A967)&amp;"]")+1,200)),TRIM(A967)),FIND("(",IF(LEFT(TRIM(A967),1)="[",TRIM(MID(TRIM(A967),FIND("]",TRIM(A967)&amp;"]")+1,200)),TRIM(A967))&amp;"(")-1)),IF(LEFT(TRIM(A967),1)="[",TRIM(MID(TRIM(A967),FIND("]",TRIM(A967)&amp;"]")+1,200)),TRIM(A967))),""))</f>
      </c>
      <c r="C967" s="17">
        <f>IF(B967&lt;&gt;"",B967,C966)</f>
      </c>
      <c r="D967" s="17">
        <f>IF(A967="","",IF(OR(LEFT(UPPER(TRIM(A967)),2)="Y:",LEFT(UPPER(TRIM(A967)),10)="YESTERDAY:"),"Y",IF(OR(LEFT(UPPER(TRIM(A967)),2)="T:",LEFT(UPPER(TRIM(A967)),6)="TODAY:"),"T",IF(OR(LEFT(UPPER(TRIM(A967)),2)="B:",LEFT(UPPER(TRIM(A967)),8)="BLOCKER:",LEFT(UPPER(TRIM(A967)),9)="BLOCKERS:",LEFT(UPPER(TRIM(A967)),8)="BLOCKED:"),"B",""))))</f>
      </c>
      <c r="E967" s="17">
        <f>IF(D967="","",TRIM(MID(A967,FIND(":",A967)+1,500)))</f>
      </c>
    </row>
    <row r="968">
      <c r="B968" s="17">
        <f>IF(A968="","",IF(COUNTIF(Roster[Name],IF(RIGHT(IF(LEFT(TRIM(A968),1)="[",TRIM(MID(TRIM(A968),FIND("]",TRIM(A968)&amp;"]")+1,200)),TRIM(A968)),1)=")",TRIM(LEFT(IF(LEFT(TRIM(A968),1)="[",TRIM(MID(TRIM(A968),FIND("]",TRIM(A968)&amp;"]")+1,200)),TRIM(A968)),FIND("(",IF(LEFT(TRIM(A968),1)="[",TRIM(MID(TRIM(A968),FIND("]",TRIM(A968)&amp;"]")+1,200)),TRIM(A968))&amp;"(")-1)),IF(LEFT(TRIM(A968),1)="[",TRIM(MID(TRIM(A968),FIND("]",TRIM(A968)&amp;"]")+1,200)),TRIM(A968))))&gt;0,IF(RIGHT(IF(LEFT(TRIM(A968),1)="[",TRIM(MID(TRIM(A968),FIND("]",TRIM(A968)&amp;"]")+1,200)),TRIM(A968)),1)=")",TRIM(LEFT(IF(LEFT(TRIM(A968),1)="[",TRIM(MID(TRIM(A968),FIND("]",TRIM(A968)&amp;"]")+1,200)),TRIM(A968)),FIND("(",IF(LEFT(TRIM(A968),1)="[",TRIM(MID(TRIM(A968),FIND("]",TRIM(A968)&amp;"]")+1,200)),TRIM(A968))&amp;"(")-1)),IF(LEFT(TRIM(A968),1)="[",TRIM(MID(TRIM(A968),FIND("]",TRIM(A968)&amp;"]")+1,200)),TRIM(A968))),""))</f>
      </c>
      <c r="C968" s="17">
        <f>IF(B968&lt;&gt;"",B968,C967)</f>
      </c>
      <c r="D968" s="17">
        <f>IF(A968="","",IF(OR(LEFT(UPPER(TRIM(A968)),2)="Y:",LEFT(UPPER(TRIM(A968)),10)="YESTERDAY:"),"Y",IF(OR(LEFT(UPPER(TRIM(A968)),2)="T:",LEFT(UPPER(TRIM(A968)),6)="TODAY:"),"T",IF(OR(LEFT(UPPER(TRIM(A968)),2)="B:",LEFT(UPPER(TRIM(A968)),8)="BLOCKER:",LEFT(UPPER(TRIM(A968)),9)="BLOCKERS:",LEFT(UPPER(TRIM(A968)),8)="BLOCKED:"),"B",""))))</f>
      </c>
      <c r="E968" s="17">
        <f>IF(D968="","",TRIM(MID(A968,FIND(":",A968)+1,500)))</f>
      </c>
    </row>
    <row r="969">
      <c r="B969" s="17">
        <f>IF(A969="","",IF(COUNTIF(Roster[Name],IF(RIGHT(IF(LEFT(TRIM(A969),1)="[",TRIM(MID(TRIM(A969),FIND("]",TRIM(A969)&amp;"]")+1,200)),TRIM(A969)),1)=")",TRIM(LEFT(IF(LEFT(TRIM(A969),1)="[",TRIM(MID(TRIM(A969),FIND("]",TRIM(A969)&amp;"]")+1,200)),TRIM(A969)),FIND("(",IF(LEFT(TRIM(A969),1)="[",TRIM(MID(TRIM(A969),FIND("]",TRIM(A969)&amp;"]")+1,200)),TRIM(A969))&amp;"(")-1)),IF(LEFT(TRIM(A969),1)="[",TRIM(MID(TRIM(A969),FIND("]",TRIM(A969)&amp;"]")+1,200)),TRIM(A969))))&gt;0,IF(RIGHT(IF(LEFT(TRIM(A969),1)="[",TRIM(MID(TRIM(A969),FIND("]",TRIM(A969)&amp;"]")+1,200)),TRIM(A969)),1)=")",TRIM(LEFT(IF(LEFT(TRIM(A969),1)="[",TRIM(MID(TRIM(A969),FIND("]",TRIM(A969)&amp;"]")+1,200)),TRIM(A969)),FIND("(",IF(LEFT(TRIM(A969),1)="[",TRIM(MID(TRIM(A969),FIND("]",TRIM(A969)&amp;"]")+1,200)),TRIM(A969))&amp;"(")-1)),IF(LEFT(TRIM(A969),1)="[",TRIM(MID(TRIM(A969),FIND("]",TRIM(A969)&amp;"]")+1,200)),TRIM(A969))),""))</f>
      </c>
      <c r="C969" s="17">
        <f>IF(B969&lt;&gt;"",B969,C968)</f>
      </c>
      <c r="D969" s="17">
        <f>IF(A969="","",IF(OR(LEFT(UPPER(TRIM(A969)),2)="Y:",LEFT(UPPER(TRIM(A969)),10)="YESTERDAY:"),"Y",IF(OR(LEFT(UPPER(TRIM(A969)),2)="T:",LEFT(UPPER(TRIM(A969)),6)="TODAY:"),"T",IF(OR(LEFT(UPPER(TRIM(A969)),2)="B:",LEFT(UPPER(TRIM(A969)),8)="BLOCKER:",LEFT(UPPER(TRIM(A969)),9)="BLOCKERS:",LEFT(UPPER(TRIM(A969)),8)="BLOCKED:"),"B",""))))</f>
      </c>
      <c r="E969" s="17">
        <f>IF(D969="","",TRIM(MID(A969,FIND(":",A969)+1,500)))</f>
      </c>
    </row>
    <row r="970">
      <c r="B970" s="17">
        <f>IF(A970="","",IF(COUNTIF(Roster[Name],IF(RIGHT(IF(LEFT(TRIM(A970),1)="[",TRIM(MID(TRIM(A970),FIND("]",TRIM(A970)&amp;"]")+1,200)),TRIM(A970)),1)=")",TRIM(LEFT(IF(LEFT(TRIM(A970),1)="[",TRIM(MID(TRIM(A970),FIND("]",TRIM(A970)&amp;"]")+1,200)),TRIM(A970)),FIND("(",IF(LEFT(TRIM(A970),1)="[",TRIM(MID(TRIM(A970),FIND("]",TRIM(A970)&amp;"]")+1,200)),TRIM(A970))&amp;"(")-1)),IF(LEFT(TRIM(A970),1)="[",TRIM(MID(TRIM(A970),FIND("]",TRIM(A970)&amp;"]")+1,200)),TRIM(A970))))&gt;0,IF(RIGHT(IF(LEFT(TRIM(A970),1)="[",TRIM(MID(TRIM(A970),FIND("]",TRIM(A970)&amp;"]")+1,200)),TRIM(A970)),1)=")",TRIM(LEFT(IF(LEFT(TRIM(A970),1)="[",TRIM(MID(TRIM(A970),FIND("]",TRIM(A970)&amp;"]")+1,200)),TRIM(A970)),FIND("(",IF(LEFT(TRIM(A970),1)="[",TRIM(MID(TRIM(A970),FIND("]",TRIM(A970)&amp;"]")+1,200)),TRIM(A970))&amp;"(")-1)),IF(LEFT(TRIM(A970),1)="[",TRIM(MID(TRIM(A970),FIND("]",TRIM(A970)&amp;"]")+1,200)),TRIM(A970))),""))</f>
      </c>
      <c r="C970" s="17">
        <f>IF(B970&lt;&gt;"",B970,C969)</f>
      </c>
      <c r="D970" s="17">
        <f>IF(A970="","",IF(OR(LEFT(UPPER(TRIM(A970)),2)="Y:",LEFT(UPPER(TRIM(A970)),10)="YESTERDAY:"),"Y",IF(OR(LEFT(UPPER(TRIM(A970)),2)="T:",LEFT(UPPER(TRIM(A970)),6)="TODAY:"),"T",IF(OR(LEFT(UPPER(TRIM(A970)),2)="B:",LEFT(UPPER(TRIM(A970)),8)="BLOCKER:",LEFT(UPPER(TRIM(A970)),9)="BLOCKERS:",LEFT(UPPER(TRIM(A970)),8)="BLOCKED:"),"B",""))))</f>
      </c>
      <c r="E970" s="17">
        <f>IF(D970="","",TRIM(MID(A970,FIND(":",A970)+1,500)))</f>
      </c>
    </row>
    <row r="971">
      <c r="B971" s="17">
        <f>IF(A971="","",IF(COUNTIF(Roster[Name],IF(RIGHT(IF(LEFT(TRIM(A971),1)="[",TRIM(MID(TRIM(A971),FIND("]",TRIM(A971)&amp;"]")+1,200)),TRIM(A971)),1)=")",TRIM(LEFT(IF(LEFT(TRIM(A971),1)="[",TRIM(MID(TRIM(A971),FIND("]",TRIM(A971)&amp;"]")+1,200)),TRIM(A971)),FIND("(",IF(LEFT(TRIM(A971),1)="[",TRIM(MID(TRIM(A971),FIND("]",TRIM(A971)&amp;"]")+1,200)),TRIM(A971))&amp;"(")-1)),IF(LEFT(TRIM(A971),1)="[",TRIM(MID(TRIM(A971),FIND("]",TRIM(A971)&amp;"]")+1,200)),TRIM(A971))))&gt;0,IF(RIGHT(IF(LEFT(TRIM(A971),1)="[",TRIM(MID(TRIM(A971),FIND("]",TRIM(A971)&amp;"]")+1,200)),TRIM(A971)),1)=")",TRIM(LEFT(IF(LEFT(TRIM(A971),1)="[",TRIM(MID(TRIM(A971),FIND("]",TRIM(A971)&amp;"]")+1,200)),TRIM(A971)),FIND("(",IF(LEFT(TRIM(A971),1)="[",TRIM(MID(TRIM(A971),FIND("]",TRIM(A971)&amp;"]")+1,200)),TRIM(A971))&amp;"(")-1)),IF(LEFT(TRIM(A971),1)="[",TRIM(MID(TRIM(A971),FIND("]",TRIM(A971)&amp;"]")+1,200)),TRIM(A971))),""))</f>
      </c>
      <c r="C971" s="17">
        <f>IF(B971&lt;&gt;"",B971,C970)</f>
      </c>
      <c r="D971" s="17">
        <f>IF(A971="","",IF(OR(LEFT(UPPER(TRIM(A971)),2)="Y:",LEFT(UPPER(TRIM(A971)),10)="YESTERDAY:"),"Y",IF(OR(LEFT(UPPER(TRIM(A971)),2)="T:",LEFT(UPPER(TRIM(A971)),6)="TODAY:"),"T",IF(OR(LEFT(UPPER(TRIM(A971)),2)="B:",LEFT(UPPER(TRIM(A971)),8)="BLOCKER:",LEFT(UPPER(TRIM(A971)),9)="BLOCKERS:",LEFT(UPPER(TRIM(A971)),8)="BLOCKED:"),"B",""))))</f>
      </c>
      <c r="E971" s="17">
        <f>IF(D971="","",TRIM(MID(A971,FIND(":",A971)+1,500)))</f>
      </c>
    </row>
    <row r="972">
      <c r="B972" s="17">
        <f>IF(A972="","",IF(COUNTIF(Roster[Name],IF(RIGHT(IF(LEFT(TRIM(A972),1)="[",TRIM(MID(TRIM(A972),FIND("]",TRIM(A972)&amp;"]")+1,200)),TRIM(A972)),1)=")",TRIM(LEFT(IF(LEFT(TRIM(A972),1)="[",TRIM(MID(TRIM(A972),FIND("]",TRIM(A972)&amp;"]")+1,200)),TRIM(A972)),FIND("(",IF(LEFT(TRIM(A972),1)="[",TRIM(MID(TRIM(A972),FIND("]",TRIM(A972)&amp;"]")+1,200)),TRIM(A972))&amp;"(")-1)),IF(LEFT(TRIM(A972),1)="[",TRIM(MID(TRIM(A972),FIND("]",TRIM(A972)&amp;"]")+1,200)),TRIM(A972))))&gt;0,IF(RIGHT(IF(LEFT(TRIM(A972),1)="[",TRIM(MID(TRIM(A972),FIND("]",TRIM(A972)&amp;"]")+1,200)),TRIM(A972)),1)=")",TRIM(LEFT(IF(LEFT(TRIM(A972),1)="[",TRIM(MID(TRIM(A972),FIND("]",TRIM(A972)&amp;"]")+1,200)),TRIM(A972)),FIND("(",IF(LEFT(TRIM(A972),1)="[",TRIM(MID(TRIM(A972),FIND("]",TRIM(A972)&amp;"]")+1,200)),TRIM(A972))&amp;"(")-1)),IF(LEFT(TRIM(A972),1)="[",TRIM(MID(TRIM(A972),FIND("]",TRIM(A972)&amp;"]")+1,200)),TRIM(A972))),""))</f>
      </c>
      <c r="C972" s="17">
        <f>IF(B972&lt;&gt;"",B972,C971)</f>
      </c>
      <c r="D972" s="17">
        <f>IF(A972="","",IF(OR(LEFT(UPPER(TRIM(A972)),2)="Y:",LEFT(UPPER(TRIM(A972)),10)="YESTERDAY:"),"Y",IF(OR(LEFT(UPPER(TRIM(A972)),2)="T:",LEFT(UPPER(TRIM(A972)),6)="TODAY:"),"T",IF(OR(LEFT(UPPER(TRIM(A972)),2)="B:",LEFT(UPPER(TRIM(A972)),8)="BLOCKER:",LEFT(UPPER(TRIM(A972)),9)="BLOCKERS:",LEFT(UPPER(TRIM(A972)),8)="BLOCKED:"),"B",""))))</f>
      </c>
      <c r="E972" s="17">
        <f>IF(D972="","",TRIM(MID(A972,FIND(":",A972)+1,500)))</f>
      </c>
    </row>
    <row r="973">
      <c r="B973" s="17">
        <f>IF(A973="","",IF(COUNTIF(Roster[Name],IF(RIGHT(IF(LEFT(TRIM(A973),1)="[",TRIM(MID(TRIM(A973),FIND("]",TRIM(A973)&amp;"]")+1,200)),TRIM(A973)),1)=")",TRIM(LEFT(IF(LEFT(TRIM(A973),1)="[",TRIM(MID(TRIM(A973),FIND("]",TRIM(A973)&amp;"]")+1,200)),TRIM(A973)),FIND("(",IF(LEFT(TRIM(A973),1)="[",TRIM(MID(TRIM(A973),FIND("]",TRIM(A973)&amp;"]")+1,200)),TRIM(A973))&amp;"(")-1)),IF(LEFT(TRIM(A973),1)="[",TRIM(MID(TRIM(A973),FIND("]",TRIM(A973)&amp;"]")+1,200)),TRIM(A973))))&gt;0,IF(RIGHT(IF(LEFT(TRIM(A973),1)="[",TRIM(MID(TRIM(A973),FIND("]",TRIM(A973)&amp;"]")+1,200)),TRIM(A973)),1)=")",TRIM(LEFT(IF(LEFT(TRIM(A973),1)="[",TRIM(MID(TRIM(A973),FIND("]",TRIM(A973)&amp;"]")+1,200)),TRIM(A973)),FIND("(",IF(LEFT(TRIM(A973),1)="[",TRIM(MID(TRIM(A973),FIND("]",TRIM(A973)&amp;"]")+1,200)),TRIM(A973))&amp;"(")-1)),IF(LEFT(TRIM(A973),1)="[",TRIM(MID(TRIM(A973),FIND("]",TRIM(A973)&amp;"]")+1,200)),TRIM(A973))),""))</f>
      </c>
      <c r="C973" s="17">
        <f>IF(B973&lt;&gt;"",B973,C972)</f>
      </c>
      <c r="D973" s="17">
        <f>IF(A973="","",IF(OR(LEFT(UPPER(TRIM(A973)),2)="Y:",LEFT(UPPER(TRIM(A973)),10)="YESTERDAY:"),"Y",IF(OR(LEFT(UPPER(TRIM(A973)),2)="T:",LEFT(UPPER(TRIM(A973)),6)="TODAY:"),"T",IF(OR(LEFT(UPPER(TRIM(A973)),2)="B:",LEFT(UPPER(TRIM(A973)),8)="BLOCKER:",LEFT(UPPER(TRIM(A973)),9)="BLOCKERS:",LEFT(UPPER(TRIM(A973)),8)="BLOCKED:"),"B",""))))</f>
      </c>
      <c r="E973" s="17">
        <f>IF(D973="","",TRIM(MID(A973,FIND(":",A973)+1,500)))</f>
      </c>
    </row>
    <row r="974">
      <c r="B974" s="17">
        <f>IF(A974="","",IF(COUNTIF(Roster[Name],IF(RIGHT(IF(LEFT(TRIM(A974),1)="[",TRIM(MID(TRIM(A974),FIND("]",TRIM(A974)&amp;"]")+1,200)),TRIM(A974)),1)=")",TRIM(LEFT(IF(LEFT(TRIM(A974),1)="[",TRIM(MID(TRIM(A974),FIND("]",TRIM(A974)&amp;"]")+1,200)),TRIM(A974)),FIND("(",IF(LEFT(TRIM(A974),1)="[",TRIM(MID(TRIM(A974),FIND("]",TRIM(A974)&amp;"]")+1,200)),TRIM(A974))&amp;"(")-1)),IF(LEFT(TRIM(A974),1)="[",TRIM(MID(TRIM(A974),FIND("]",TRIM(A974)&amp;"]")+1,200)),TRIM(A974))))&gt;0,IF(RIGHT(IF(LEFT(TRIM(A974),1)="[",TRIM(MID(TRIM(A974),FIND("]",TRIM(A974)&amp;"]")+1,200)),TRIM(A974)),1)=")",TRIM(LEFT(IF(LEFT(TRIM(A974),1)="[",TRIM(MID(TRIM(A974),FIND("]",TRIM(A974)&amp;"]")+1,200)),TRIM(A974)),FIND("(",IF(LEFT(TRIM(A974),1)="[",TRIM(MID(TRIM(A974),FIND("]",TRIM(A974)&amp;"]")+1,200)),TRIM(A974))&amp;"(")-1)),IF(LEFT(TRIM(A974),1)="[",TRIM(MID(TRIM(A974),FIND("]",TRIM(A974)&amp;"]")+1,200)),TRIM(A974))),""))</f>
      </c>
      <c r="C974" s="17">
        <f>IF(B974&lt;&gt;"",B974,C973)</f>
      </c>
      <c r="D974" s="17">
        <f>IF(A974="","",IF(OR(LEFT(UPPER(TRIM(A974)),2)="Y:",LEFT(UPPER(TRIM(A974)),10)="YESTERDAY:"),"Y",IF(OR(LEFT(UPPER(TRIM(A974)),2)="T:",LEFT(UPPER(TRIM(A974)),6)="TODAY:"),"T",IF(OR(LEFT(UPPER(TRIM(A974)),2)="B:",LEFT(UPPER(TRIM(A974)),8)="BLOCKER:",LEFT(UPPER(TRIM(A974)),9)="BLOCKERS:",LEFT(UPPER(TRIM(A974)),8)="BLOCKED:"),"B",""))))</f>
      </c>
      <c r="E974" s="17">
        <f>IF(D974="","",TRIM(MID(A974,FIND(":",A974)+1,500)))</f>
      </c>
    </row>
    <row r="975">
      <c r="B975" s="17">
        <f>IF(A975="","",IF(COUNTIF(Roster[Name],IF(RIGHT(IF(LEFT(TRIM(A975),1)="[",TRIM(MID(TRIM(A975),FIND("]",TRIM(A975)&amp;"]")+1,200)),TRIM(A975)),1)=")",TRIM(LEFT(IF(LEFT(TRIM(A975),1)="[",TRIM(MID(TRIM(A975),FIND("]",TRIM(A975)&amp;"]")+1,200)),TRIM(A975)),FIND("(",IF(LEFT(TRIM(A975),1)="[",TRIM(MID(TRIM(A975),FIND("]",TRIM(A975)&amp;"]")+1,200)),TRIM(A975))&amp;"(")-1)),IF(LEFT(TRIM(A975),1)="[",TRIM(MID(TRIM(A975),FIND("]",TRIM(A975)&amp;"]")+1,200)),TRIM(A975))))&gt;0,IF(RIGHT(IF(LEFT(TRIM(A975),1)="[",TRIM(MID(TRIM(A975),FIND("]",TRIM(A975)&amp;"]")+1,200)),TRIM(A975)),1)=")",TRIM(LEFT(IF(LEFT(TRIM(A975),1)="[",TRIM(MID(TRIM(A975),FIND("]",TRIM(A975)&amp;"]")+1,200)),TRIM(A975)),FIND("(",IF(LEFT(TRIM(A975),1)="[",TRIM(MID(TRIM(A975),FIND("]",TRIM(A975)&amp;"]")+1,200)),TRIM(A975))&amp;"(")-1)),IF(LEFT(TRIM(A975),1)="[",TRIM(MID(TRIM(A975),FIND("]",TRIM(A975)&amp;"]")+1,200)),TRIM(A975))),""))</f>
      </c>
      <c r="C975" s="17">
        <f>IF(B975&lt;&gt;"",B975,C974)</f>
      </c>
      <c r="D975" s="17">
        <f>IF(A975="","",IF(OR(LEFT(UPPER(TRIM(A975)),2)="Y:",LEFT(UPPER(TRIM(A975)),10)="YESTERDAY:"),"Y",IF(OR(LEFT(UPPER(TRIM(A975)),2)="T:",LEFT(UPPER(TRIM(A975)),6)="TODAY:"),"T",IF(OR(LEFT(UPPER(TRIM(A975)),2)="B:",LEFT(UPPER(TRIM(A975)),8)="BLOCKER:",LEFT(UPPER(TRIM(A975)),9)="BLOCKERS:",LEFT(UPPER(TRIM(A975)),8)="BLOCKED:"),"B",""))))</f>
      </c>
      <c r="E975" s="17">
        <f>IF(D975="","",TRIM(MID(A975,FIND(":",A975)+1,500)))</f>
      </c>
    </row>
    <row r="976">
      <c r="B976" s="17">
        <f>IF(A976="","",IF(COUNTIF(Roster[Name],IF(RIGHT(IF(LEFT(TRIM(A976),1)="[",TRIM(MID(TRIM(A976),FIND("]",TRIM(A976)&amp;"]")+1,200)),TRIM(A976)),1)=")",TRIM(LEFT(IF(LEFT(TRIM(A976),1)="[",TRIM(MID(TRIM(A976),FIND("]",TRIM(A976)&amp;"]")+1,200)),TRIM(A976)),FIND("(",IF(LEFT(TRIM(A976),1)="[",TRIM(MID(TRIM(A976),FIND("]",TRIM(A976)&amp;"]")+1,200)),TRIM(A976))&amp;"(")-1)),IF(LEFT(TRIM(A976),1)="[",TRIM(MID(TRIM(A976),FIND("]",TRIM(A976)&amp;"]")+1,200)),TRIM(A976))))&gt;0,IF(RIGHT(IF(LEFT(TRIM(A976),1)="[",TRIM(MID(TRIM(A976),FIND("]",TRIM(A976)&amp;"]")+1,200)),TRIM(A976)),1)=")",TRIM(LEFT(IF(LEFT(TRIM(A976),1)="[",TRIM(MID(TRIM(A976),FIND("]",TRIM(A976)&amp;"]")+1,200)),TRIM(A976)),FIND("(",IF(LEFT(TRIM(A976),1)="[",TRIM(MID(TRIM(A976),FIND("]",TRIM(A976)&amp;"]")+1,200)),TRIM(A976))&amp;"(")-1)),IF(LEFT(TRIM(A976),1)="[",TRIM(MID(TRIM(A976),FIND("]",TRIM(A976)&amp;"]")+1,200)),TRIM(A976))),""))</f>
      </c>
      <c r="C976" s="17">
        <f>IF(B976&lt;&gt;"",B976,C975)</f>
      </c>
      <c r="D976" s="17">
        <f>IF(A976="","",IF(OR(LEFT(UPPER(TRIM(A976)),2)="Y:",LEFT(UPPER(TRIM(A976)),10)="YESTERDAY:"),"Y",IF(OR(LEFT(UPPER(TRIM(A976)),2)="T:",LEFT(UPPER(TRIM(A976)),6)="TODAY:"),"T",IF(OR(LEFT(UPPER(TRIM(A976)),2)="B:",LEFT(UPPER(TRIM(A976)),8)="BLOCKER:",LEFT(UPPER(TRIM(A976)),9)="BLOCKERS:",LEFT(UPPER(TRIM(A976)),8)="BLOCKED:"),"B",""))))</f>
      </c>
      <c r="E976" s="17">
        <f>IF(D976="","",TRIM(MID(A976,FIND(":",A976)+1,500)))</f>
      </c>
    </row>
    <row r="977">
      <c r="B977" s="17">
        <f>IF(A977="","",IF(COUNTIF(Roster[Name],IF(RIGHT(IF(LEFT(TRIM(A977),1)="[",TRIM(MID(TRIM(A977),FIND("]",TRIM(A977)&amp;"]")+1,200)),TRIM(A977)),1)=")",TRIM(LEFT(IF(LEFT(TRIM(A977),1)="[",TRIM(MID(TRIM(A977),FIND("]",TRIM(A977)&amp;"]")+1,200)),TRIM(A977)),FIND("(",IF(LEFT(TRIM(A977),1)="[",TRIM(MID(TRIM(A977),FIND("]",TRIM(A977)&amp;"]")+1,200)),TRIM(A977))&amp;"(")-1)),IF(LEFT(TRIM(A977),1)="[",TRIM(MID(TRIM(A977),FIND("]",TRIM(A977)&amp;"]")+1,200)),TRIM(A977))))&gt;0,IF(RIGHT(IF(LEFT(TRIM(A977),1)="[",TRIM(MID(TRIM(A977),FIND("]",TRIM(A977)&amp;"]")+1,200)),TRIM(A977)),1)=")",TRIM(LEFT(IF(LEFT(TRIM(A977),1)="[",TRIM(MID(TRIM(A977),FIND("]",TRIM(A977)&amp;"]")+1,200)),TRIM(A977)),FIND("(",IF(LEFT(TRIM(A977),1)="[",TRIM(MID(TRIM(A977),FIND("]",TRIM(A977)&amp;"]")+1,200)),TRIM(A977))&amp;"(")-1)),IF(LEFT(TRIM(A977),1)="[",TRIM(MID(TRIM(A977),FIND("]",TRIM(A977)&amp;"]")+1,200)),TRIM(A977))),""))</f>
      </c>
      <c r="C977" s="17">
        <f>IF(B977&lt;&gt;"",B977,C976)</f>
      </c>
      <c r="D977" s="17">
        <f>IF(A977="","",IF(OR(LEFT(UPPER(TRIM(A977)),2)="Y:",LEFT(UPPER(TRIM(A977)),10)="YESTERDAY:"),"Y",IF(OR(LEFT(UPPER(TRIM(A977)),2)="T:",LEFT(UPPER(TRIM(A977)),6)="TODAY:"),"T",IF(OR(LEFT(UPPER(TRIM(A977)),2)="B:",LEFT(UPPER(TRIM(A977)),8)="BLOCKER:",LEFT(UPPER(TRIM(A977)),9)="BLOCKERS:",LEFT(UPPER(TRIM(A977)),8)="BLOCKED:"),"B",""))))</f>
      </c>
      <c r="E977" s="17">
        <f>IF(D977="","",TRIM(MID(A977,FIND(":",A977)+1,500)))</f>
      </c>
    </row>
    <row r="978">
      <c r="B978" s="17">
        <f>IF(A978="","",IF(COUNTIF(Roster[Name],IF(RIGHT(IF(LEFT(TRIM(A978),1)="[",TRIM(MID(TRIM(A978),FIND("]",TRIM(A978)&amp;"]")+1,200)),TRIM(A978)),1)=")",TRIM(LEFT(IF(LEFT(TRIM(A978),1)="[",TRIM(MID(TRIM(A978),FIND("]",TRIM(A978)&amp;"]")+1,200)),TRIM(A978)),FIND("(",IF(LEFT(TRIM(A978),1)="[",TRIM(MID(TRIM(A978),FIND("]",TRIM(A978)&amp;"]")+1,200)),TRIM(A978))&amp;"(")-1)),IF(LEFT(TRIM(A978),1)="[",TRIM(MID(TRIM(A978),FIND("]",TRIM(A978)&amp;"]")+1,200)),TRIM(A978))))&gt;0,IF(RIGHT(IF(LEFT(TRIM(A978),1)="[",TRIM(MID(TRIM(A978),FIND("]",TRIM(A978)&amp;"]")+1,200)),TRIM(A978)),1)=")",TRIM(LEFT(IF(LEFT(TRIM(A978),1)="[",TRIM(MID(TRIM(A978),FIND("]",TRIM(A978)&amp;"]")+1,200)),TRIM(A978)),FIND("(",IF(LEFT(TRIM(A978),1)="[",TRIM(MID(TRIM(A978),FIND("]",TRIM(A978)&amp;"]")+1,200)),TRIM(A978))&amp;"(")-1)),IF(LEFT(TRIM(A978),1)="[",TRIM(MID(TRIM(A978),FIND("]",TRIM(A978)&amp;"]")+1,200)),TRIM(A978))),""))</f>
      </c>
      <c r="C978" s="17">
        <f>IF(B978&lt;&gt;"",B978,C977)</f>
      </c>
      <c r="D978" s="17">
        <f>IF(A978="","",IF(OR(LEFT(UPPER(TRIM(A978)),2)="Y:",LEFT(UPPER(TRIM(A978)),10)="YESTERDAY:"),"Y",IF(OR(LEFT(UPPER(TRIM(A978)),2)="T:",LEFT(UPPER(TRIM(A978)),6)="TODAY:"),"T",IF(OR(LEFT(UPPER(TRIM(A978)),2)="B:",LEFT(UPPER(TRIM(A978)),8)="BLOCKER:",LEFT(UPPER(TRIM(A978)),9)="BLOCKERS:",LEFT(UPPER(TRIM(A978)),8)="BLOCKED:"),"B",""))))</f>
      </c>
      <c r="E978" s="17">
        <f>IF(D978="","",TRIM(MID(A978,FIND(":",A978)+1,500)))</f>
      </c>
    </row>
    <row r="979">
      <c r="B979" s="17">
        <f>IF(A979="","",IF(COUNTIF(Roster[Name],IF(RIGHT(IF(LEFT(TRIM(A979),1)="[",TRIM(MID(TRIM(A979),FIND("]",TRIM(A979)&amp;"]")+1,200)),TRIM(A979)),1)=")",TRIM(LEFT(IF(LEFT(TRIM(A979),1)="[",TRIM(MID(TRIM(A979),FIND("]",TRIM(A979)&amp;"]")+1,200)),TRIM(A979)),FIND("(",IF(LEFT(TRIM(A979),1)="[",TRIM(MID(TRIM(A979),FIND("]",TRIM(A979)&amp;"]")+1,200)),TRIM(A979))&amp;"(")-1)),IF(LEFT(TRIM(A979),1)="[",TRIM(MID(TRIM(A979),FIND("]",TRIM(A979)&amp;"]")+1,200)),TRIM(A979))))&gt;0,IF(RIGHT(IF(LEFT(TRIM(A979),1)="[",TRIM(MID(TRIM(A979),FIND("]",TRIM(A979)&amp;"]")+1,200)),TRIM(A979)),1)=")",TRIM(LEFT(IF(LEFT(TRIM(A979),1)="[",TRIM(MID(TRIM(A979),FIND("]",TRIM(A979)&amp;"]")+1,200)),TRIM(A979)),FIND("(",IF(LEFT(TRIM(A979),1)="[",TRIM(MID(TRIM(A979),FIND("]",TRIM(A979)&amp;"]")+1,200)),TRIM(A979))&amp;"(")-1)),IF(LEFT(TRIM(A979),1)="[",TRIM(MID(TRIM(A979),FIND("]",TRIM(A979)&amp;"]")+1,200)),TRIM(A979))),""))</f>
      </c>
      <c r="C979" s="17">
        <f>IF(B979&lt;&gt;"",B979,C978)</f>
      </c>
      <c r="D979" s="17">
        <f>IF(A979="","",IF(OR(LEFT(UPPER(TRIM(A979)),2)="Y:",LEFT(UPPER(TRIM(A979)),10)="YESTERDAY:"),"Y",IF(OR(LEFT(UPPER(TRIM(A979)),2)="T:",LEFT(UPPER(TRIM(A979)),6)="TODAY:"),"T",IF(OR(LEFT(UPPER(TRIM(A979)),2)="B:",LEFT(UPPER(TRIM(A979)),8)="BLOCKER:",LEFT(UPPER(TRIM(A979)),9)="BLOCKERS:",LEFT(UPPER(TRIM(A979)),8)="BLOCKED:"),"B",""))))</f>
      </c>
      <c r="E979" s="17">
        <f>IF(D979="","",TRIM(MID(A979,FIND(":",A979)+1,500)))</f>
      </c>
    </row>
    <row r="980">
      <c r="B980" s="17">
        <f>IF(A980="","",IF(COUNTIF(Roster[Name],IF(RIGHT(IF(LEFT(TRIM(A980),1)="[",TRIM(MID(TRIM(A980),FIND("]",TRIM(A980)&amp;"]")+1,200)),TRIM(A980)),1)=")",TRIM(LEFT(IF(LEFT(TRIM(A980),1)="[",TRIM(MID(TRIM(A980),FIND("]",TRIM(A980)&amp;"]")+1,200)),TRIM(A980)),FIND("(",IF(LEFT(TRIM(A980),1)="[",TRIM(MID(TRIM(A980),FIND("]",TRIM(A980)&amp;"]")+1,200)),TRIM(A980))&amp;"(")-1)),IF(LEFT(TRIM(A980),1)="[",TRIM(MID(TRIM(A980),FIND("]",TRIM(A980)&amp;"]")+1,200)),TRIM(A980))))&gt;0,IF(RIGHT(IF(LEFT(TRIM(A980),1)="[",TRIM(MID(TRIM(A980),FIND("]",TRIM(A980)&amp;"]")+1,200)),TRIM(A980)),1)=")",TRIM(LEFT(IF(LEFT(TRIM(A980),1)="[",TRIM(MID(TRIM(A980),FIND("]",TRIM(A980)&amp;"]")+1,200)),TRIM(A980)),FIND("(",IF(LEFT(TRIM(A980),1)="[",TRIM(MID(TRIM(A980),FIND("]",TRIM(A980)&amp;"]")+1,200)),TRIM(A980))&amp;"(")-1)),IF(LEFT(TRIM(A980),1)="[",TRIM(MID(TRIM(A980),FIND("]",TRIM(A980)&amp;"]")+1,200)),TRIM(A980))),""))</f>
      </c>
      <c r="C980" s="17">
        <f>IF(B980&lt;&gt;"",B980,C979)</f>
      </c>
      <c r="D980" s="17">
        <f>IF(A980="","",IF(OR(LEFT(UPPER(TRIM(A980)),2)="Y:",LEFT(UPPER(TRIM(A980)),10)="YESTERDAY:"),"Y",IF(OR(LEFT(UPPER(TRIM(A980)),2)="T:",LEFT(UPPER(TRIM(A980)),6)="TODAY:"),"T",IF(OR(LEFT(UPPER(TRIM(A980)),2)="B:",LEFT(UPPER(TRIM(A980)),8)="BLOCKER:",LEFT(UPPER(TRIM(A980)),9)="BLOCKERS:",LEFT(UPPER(TRIM(A980)),8)="BLOCKED:"),"B",""))))</f>
      </c>
      <c r="E980" s="17">
        <f>IF(D980="","",TRIM(MID(A980,FIND(":",A980)+1,500)))</f>
      </c>
    </row>
    <row r="981">
      <c r="B981" s="17">
        <f>IF(A981="","",IF(COUNTIF(Roster[Name],IF(RIGHT(IF(LEFT(TRIM(A981),1)="[",TRIM(MID(TRIM(A981),FIND("]",TRIM(A981)&amp;"]")+1,200)),TRIM(A981)),1)=")",TRIM(LEFT(IF(LEFT(TRIM(A981),1)="[",TRIM(MID(TRIM(A981),FIND("]",TRIM(A981)&amp;"]")+1,200)),TRIM(A981)),FIND("(",IF(LEFT(TRIM(A981),1)="[",TRIM(MID(TRIM(A981),FIND("]",TRIM(A981)&amp;"]")+1,200)),TRIM(A981))&amp;"(")-1)),IF(LEFT(TRIM(A981),1)="[",TRIM(MID(TRIM(A981),FIND("]",TRIM(A981)&amp;"]")+1,200)),TRIM(A981))))&gt;0,IF(RIGHT(IF(LEFT(TRIM(A981),1)="[",TRIM(MID(TRIM(A981),FIND("]",TRIM(A981)&amp;"]")+1,200)),TRIM(A981)),1)=")",TRIM(LEFT(IF(LEFT(TRIM(A981),1)="[",TRIM(MID(TRIM(A981),FIND("]",TRIM(A981)&amp;"]")+1,200)),TRIM(A981)),FIND("(",IF(LEFT(TRIM(A981),1)="[",TRIM(MID(TRIM(A981),FIND("]",TRIM(A981)&amp;"]")+1,200)),TRIM(A981))&amp;"(")-1)),IF(LEFT(TRIM(A981),1)="[",TRIM(MID(TRIM(A981),FIND("]",TRIM(A981)&amp;"]")+1,200)),TRIM(A981))),""))</f>
      </c>
      <c r="C981" s="17">
        <f>IF(B981&lt;&gt;"",B981,C980)</f>
      </c>
      <c r="D981" s="17">
        <f>IF(A981="","",IF(OR(LEFT(UPPER(TRIM(A981)),2)="Y:",LEFT(UPPER(TRIM(A981)),10)="YESTERDAY:"),"Y",IF(OR(LEFT(UPPER(TRIM(A981)),2)="T:",LEFT(UPPER(TRIM(A981)),6)="TODAY:"),"T",IF(OR(LEFT(UPPER(TRIM(A981)),2)="B:",LEFT(UPPER(TRIM(A981)),8)="BLOCKER:",LEFT(UPPER(TRIM(A981)),9)="BLOCKERS:",LEFT(UPPER(TRIM(A981)),8)="BLOCKED:"),"B",""))))</f>
      </c>
      <c r="E981" s="17">
        <f>IF(D981="","",TRIM(MID(A981,FIND(":",A981)+1,500)))</f>
      </c>
    </row>
    <row r="982">
      <c r="B982" s="17">
        <f>IF(A982="","",IF(COUNTIF(Roster[Name],IF(RIGHT(IF(LEFT(TRIM(A982),1)="[",TRIM(MID(TRIM(A982),FIND("]",TRIM(A982)&amp;"]")+1,200)),TRIM(A982)),1)=")",TRIM(LEFT(IF(LEFT(TRIM(A982),1)="[",TRIM(MID(TRIM(A982),FIND("]",TRIM(A982)&amp;"]")+1,200)),TRIM(A982)),FIND("(",IF(LEFT(TRIM(A982),1)="[",TRIM(MID(TRIM(A982),FIND("]",TRIM(A982)&amp;"]")+1,200)),TRIM(A982))&amp;"(")-1)),IF(LEFT(TRIM(A982),1)="[",TRIM(MID(TRIM(A982),FIND("]",TRIM(A982)&amp;"]")+1,200)),TRIM(A982))))&gt;0,IF(RIGHT(IF(LEFT(TRIM(A982),1)="[",TRIM(MID(TRIM(A982),FIND("]",TRIM(A982)&amp;"]")+1,200)),TRIM(A982)),1)=")",TRIM(LEFT(IF(LEFT(TRIM(A982),1)="[",TRIM(MID(TRIM(A982),FIND("]",TRIM(A982)&amp;"]")+1,200)),TRIM(A982)),FIND("(",IF(LEFT(TRIM(A982),1)="[",TRIM(MID(TRIM(A982),FIND("]",TRIM(A982)&amp;"]")+1,200)),TRIM(A982))&amp;"(")-1)),IF(LEFT(TRIM(A982),1)="[",TRIM(MID(TRIM(A982),FIND("]",TRIM(A982)&amp;"]")+1,200)),TRIM(A982))),""))</f>
      </c>
      <c r="C982" s="17">
        <f>IF(B982&lt;&gt;"",B982,C981)</f>
      </c>
      <c r="D982" s="17">
        <f>IF(A982="","",IF(OR(LEFT(UPPER(TRIM(A982)),2)="Y:",LEFT(UPPER(TRIM(A982)),10)="YESTERDAY:"),"Y",IF(OR(LEFT(UPPER(TRIM(A982)),2)="T:",LEFT(UPPER(TRIM(A982)),6)="TODAY:"),"T",IF(OR(LEFT(UPPER(TRIM(A982)),2)="B:",LEFT(UPPER(TRIM(A982)),8)="BLOCKER:",LEFT(UPPER(TRIM(A982)),9)="BLOCKERS:",LEFT(UPPER(TRIM(A982)),8)="BLOCKED:"),"B",""))))</f>
      </c>
      <c r="E982" s="17">
        <f>IF(D982="","",TRIM(MID(A982,FIND(":",A982)+1,500)))</f>
      </c>
    </row>
    <row r="983">
      <c r="B983" s="17">
        <f>IF(A983="","",IF(COUNTIF(Roster[Name],IF(RIGHT(IF(LEFT(TRIM(A983),1)="[",TRIM(MID(TRIM(A983),FIND("]",TRIM(A983)&amp;"]")+1,200)),TRIM(A983)),1)=")",TRIM(LEFT(IF(LEFT(TRIM(A983),1)="[",TRIM(MID(TRIM(A983),FIND("]",TRIM(A983)&amp;"]")+1,200)),TRIM(A983)),FIND("(",IF(LEFT(TRIM(A983),1)="[",TRIM(MID(TRIM(A983),FIND("]",TRIM(A983)&amp;"]")+1,200)),TRIM(A983))&amp;"(")-1)),IF(LEFT(TRIM(A983),1)="[",TRIM(MID(TRIM(A983),FIND("]",TRIM(A983)&amp;"]")+1,200)),TRIM(A983))))&gt;0,IF(RIGHT(IF(LEFT(TRIM(A983),1)="[",TRIM(MID(TRIM(A983),FIND("]",TRIM(A983)&amp;"]")+1,200)),TRIM(A983)),1)=")",TRIM(LEFT(IF(LEFT(TRIM(A983),1)="[",TRIM(MID(TRIM(A983),FIND("]",TRIM(A983)&amp;"]")+1,200)),TRIM(A983)),FIND("(",IF(LEFT(TRIM(A983),1)="[",TRIM(MID(TRIM(A983),FIND("]",TRIM(A983)&amp;"]")+1,200)),TRIM(A983))&amp;"(")-1)),IF(LEFT(TRIM(A983),1)="[",TRIM(MID(TRIM(A983),FIND("]",TRIM(A983)&amp;"]")+1,200)),TRIM(A983))),""))</f>
      </c>
      <c r="C983" s="17">
        <f>IF(B983&lt;&gt;"",B983,C982)</f>
      </c>
      <c r="D983" s="17">
        <f>IF(A983="","",IF(OR(LEFT(UPPER(TRIM(A983)),2)="Y:",LEFT(UPPER(TRIM(A983)),10)="YESTERDAY:"),"Y",IF(OR(LEFT(UPPER(TRIM(A983)),2)="T:",LEFT(UPPER(TRIM(A983)),6)="TODAY:"),"T",IF(OR(LEFT(UPPER(TRIM(A983)),2)="B:",LEFT(UPPER(TRIM(A983)),8)="BLOCKER:",LEFT(UPPER(TRIM(A983)),9)="BLOCKERS:",LEFT(UPPER(TRIM(A983)),8)="BLOCKED:"),"B",""))))</f>
      </c>
      <c r="E983" s="17">
        <f>IF(D983="","",TRIM(MID(A983,FIND(":",A983)+1,500)))</f>
      </c>
    </row>
    <row r="984">
      <c r="B984" s="17">
        <f>IF(A984="","",IF(COUNTIF(Roster[Name],IF(RIGHT(IF(LEFT(TRIM(A984),1)="[",TRIM(MID(TRIM(A984),FIND("]",TRIM(A984)&amp;"]")+1,200)),TRIM(A984)),1)=")",TRIM(LEFT(IF(LEFT(TRIM(A984),1)="[",TRIM(MID(TRIM(A984),FIND("]",TRIM(A984)&amp;"]")+1,200)),TRIM(A984)),FIND("(",IF(LEFT(TRIM(A984),1)="[",TRIM(MID(TRIM(A984),FIND("]",TRIM(A984)&amp;"]")+1,200)),TRIM(A984))&amp;"(")-1)),IF(LEFT(TRIM(A984),1)="[",TRIM(MID(TRIM(A984),FIND("]",TRIM(A984)&amp;"]")+1,200)),TRIM(A984))))&gt;0,IF(RIGHT(IF(LEFT(TRIM(A984),1)="[",TRIM(MID(TRIM(A984),FIND("]",TRIM(A984)&amp;"]")+1,200)),TRIM(A984)),1)=")",TRIM(LEFT(IF(LEFT(TRIM(A984),1)="[",TRIM(MID(TRIM(A984),FIND("]",TRIM(A984)&amp;"]")+1,200)),TRIM(A984)),FIND("(",IF(LEFT(TRIM(A984),1)="[",TRIM(MID(TRIM(A984),FIND("]",TRIM(A984)&amp;"]")+1,200)),TRIM(A984))&amp;"(")-1)),IF(LEFT(TRIM(A984),1)="[",TRIM(MID(TRIM(A984),FIND("]",TRIM(A984)&amp;"]")+1,200)),TRIM(A984))),""))</f>
      </c>
      <c r="C984" s="17">
        <f>IF(B984&lt;&gt;"",B984,C983)</f>
      </c>
      <c r="D984" s="17">
        <f>IF(A984="","",IF(OR(LEFT(UPPER(TRIM(A984)),2)="Y:",LEFT(UPPER(TRIM(A984)),10)="YESTERDAY:"),"Y",IF(OR(LEFT(UPPER(TRIM(A984)),2)="T:",LEFT(UPPER(TRIM(A984)),6)="TODAY:"),"T",IF(OR(LEFT(UPPER(TRIM(A984)),2)="B:",LEFT(UPPER(TRIM(A984)),8)="BLOCKER:",LEFT(UPPER(TRIM(A984)),9)="BLOCKERS:",LEFT(UPPER(TRIM(A984)),8)="BLOCKED:"),"B",""))))</f>
      </c>
      <c r="E984" s="17">
        <f>IF(D984="","",TRIM(MID(A984,FIND(":",A984)+1,500)))</f>
      </c>
    </row>
    <row r="985">
      <c r="B985" s="17">
        <f>IF(A985="","",IF(COUNTIF(Roster[Name],IF(RIGHT(IF(LEFT(TRIM(A985),1)="[",TRIM(MID(TRIM(A985),FIND("]",TRIM(A985)&amp;"]")+1,200)),TRIM(A985)),1)=")",TRIM(LEFT(IF(LEFT(TRIM(A985),1)="[",TRIM(MID(TRIM(A985),FIND("]",TRIM(A985)&amp;"]")+1,200)),TRIM(A985)),FIND("(",IF(LEFT(TRIM(A985),1)="[",TRIM(MID(TRIM(A985),FIND("]",TRIM(A985)&amp;"]")+1,200)),TRIM(A985))&amp;"(")-1)),IF(LEFT(TRIM(A985),1)="[",TRIM(MID(TRIM(A985),FIND("]",TRIM(A985)&amp;"]")+1,200)),TRIM(A985))))&gt;0,IF(RIGHT(IF(LEFT(TRIM(A985),1)="[",TRIM(MID(TRIM(A985),FIND("]",TRIM(A985)&amp;"]")+1,200)),TRIM(A985)),1)=")",TRIM(LEFT(IF(LEFT(TRIM(A985),1)="[",TRIM(MID(TRIM(A985),FIND("]",TRIM(A985)&amp;"]")+1,200)),TRIM(A985)),FIND("(",IF(LEFT(TRIM(A985),1)="[",TRIM(MID(TRIM(A985),FIND("]",TRIM(A985)&amp;"]")+1,200)),TRIM(A985))&amp;"(")-1)),IF(LEFT(TRIM(A985),1)="[",TRIM(MID(TRIM(A985),FIND("]",TRIM(A985)&amp;"]")+1,200)),TRIM(A985))),""))</f>
      </c>
      <c r="C985" s="17">
        <f>IF(B985&lt;&gt;"",B985,C984)</f>
      </c>
      <c r="D985" s="17">
        <f>IF(A985="","",IF(OR(LEFT(UPPER(TRIM(A985)),2)="Y:",LEFT(UPPER(TRIM(A985)),10)="YESTERDAY:"),"Y",IF(OR(LEFT(UPPER(TRIM(A985)),2)="T:",LEFT(UPPER(TRIM(A985)),6)="TODAY:"),"T",IF(OR(LEFT(UPPER(TRIM(A985)),2)="B:",LEFT(UPPER(TRIM(A985)),8)="BLOCKER:",LEFT(UPPER(TRIM(A985)),9)="BLOCKERS:",LEFT(UPPER(TRIM(A985)),8)="BLOCKED:"),"B",""))))</f>
      </c>
      <c r="E985" s="17">
        <f>IF(D985="","",TRIM(MID(A985,FIND(":",A985)+1,500)))</f>
      </c>
    </row>
    <row r="986">
      <c r="B986" s="17">
        <f>IF(A986="","",IF(COUNTIF(Roster[Name],IF(RIGHT(IF(LEFT(TRIM(A986),1)="[",TRIM(MID(TRIM(A986),FIND("]",TRIM(A986)&amp;"]")+1,200)),TRIM(A986)),1)=")",TRIM(LEFT(IF(LEFT(TRIM(A986),1)="[",TRIM(MID(TRIM(A986),FIND("]",TRIM(A986)&amp;"]")+1,200)),TRIM(A986)),FIND("(",IF(LEFT(TRIM(A986),1)="[",TRIM(MID(TRIM(A986),FIND("]",TRIM(A986)&amp;"]")+1,200)),TRIM(A986))&amp;"(")-1)),IF(LEFT(TRIM(A986),1)="[",TRIM(MID(TRIM(A986),FIND("]",TRIM(A986)&amp;"]")+1,200)),TRIM(A986))))&gt;0,IF(RIGHT(IF(LEFT(TRIM(A986),1)="[",TRIM(MID(TRIM(A986),FIND("]",TRIM(A986)&amp;"]")+1,200)),TRIM(A986)),1)=")",TRIM(LEFT(IF(LEFT(TRIM(A986),1)="[",TRIM(MID(TRIM(A986),FIND("]",TRIM(A986)&amp;"]")+1,200)),TRIM(A986)),FIND("(",IF(LEFT(TRIM(A986),1)="[",TRIM(MID(TRIM(A986),FIND("]",TRIM(A986)&amp;"]")+1,200)),TRIM(A986))&amp;"(")-1)),IF(LEFT(TRIM(A986),1)="[",TRIM(MID(TRIM(A986),FIND("]",TRIM(A986)&amp;"]")+1,200)),TRIM(A986))),""))</f>
      </c>
      <c r="C986" s="17">
        <f>IF(B986&lt;&gt;"",B986,C985)</f>
      </c>
      <c r="D986" s="17">
        <f>IF(A986="","",IF(OR(LEFT(UPPER(TRIM(A986)),2)="Y:",LEFT(UPPER(TRIM(A986)),10)="YESTERDAY:"),"Y",IF(OR(LEFT(UPPER(TRIM(A986)),2)="T:",LEFT(UPPER(TRIM(A986)),6)="TODAY:"),"T",IF(OR(LEFT(UPPER(TRIM(A986)),2)="B:",LEFT(UPPER(TRIM(A986)),8)="BLOCKER:",LEFT(UPPER(TRIM(A986)),9)="BLOCKERS:",LEFT(UPPER(TRIM(A986)),8)="BLOCKED:"),"B",""))))</f>
      </c>
      <c r="E986" s="17">
        <f>IF(D986="","",TRIM(MID(A986,FIND(":",A986)+1,500)))</f>
      </c>
    </row>
    <row r="987">
      <c r="B987" s="17">
        <f>IF(A987="","",IF(COUNTIF(Roster[Name],IF(RIGHT(IF(LEFT(TRIM(A987),1)="[",TRIM(MID(TRIM(A987),FIND("]",TRIM(A987)&amp;"]")+1,200)),TRIM(A987)),1)=")",TRIM(LEFT(IF(LEFT(TRIM(A987),1)="[",TRIM(MID(TRIM(A987),FIND("]",TRIM(A987)&amp;"]")+1,200)),TRIM(A987)),FIND("(",IF(LEFT(TRIM(A987),1)="[",TRIM(MID(TRIM(A987),FIND("]",TRIM(A987)&amp;"]")+1,200)),TRIM(A987))&amp;"(")-1)),IF(LEFT(TRIM(A987),1)="[",TRIM(MID(TRIM(A987),FIND("]",TRIM(A987)&amp;"]")+1,200)),TRIM(A987))))&gt;0,IF(RIGHT(IF(LEFT(TRIM(A987),1)="[",TRIM(MID(TRIM(A987),FIND("]",TRIM(A987)&amp;"]")+1,200)),TRIM(A987)),1)=")",TRIM(LEFT(IF(LEFT(TRIM(A987),1)="[",TRIM(MID(TRIM(A987),FIND("]",TRIM(A987)&amp;"]")+1,200)),TRIM(A987)),FIND("(",IF(LEFT(TRIM(A987),1)="[",TRIM(MID(TRIM(A987),FIND("]",TRIM(A987)&amp;"]")+1,200)),TRIM(A987))&amp;"(")-1)),IF(LEFT(TRIM(A987),1)="[",TRIM(MID(TRIM(A987),FIND("]",TRIM(A987)&amp;"]")+1,200)),TRIM(A987))),""))</f>
      </c>
      <c r="C987" s="17">
        <f>IF(B987&lt;&gt;"",B987,C986)</f>
      </c>
      <c r="D987" s="17">
        <f>IF(A987="","",IF(OR(LEFT(UPPER(TRIM(A987)),2)="Y:",LEFT(UPPER(TRIM(A987)),10)="YESTERDAY:"),"Y",IF(OR(LEFT(UPPER(TRIM(A987)),2)="T:",LEFT(UPPER(TRIM(A987)),6)="TODAY:"),"T",IF(OR(LEFT(UPPER(TRIM(A987)),2)="B:",LEFT(UPPER(TRIM(A987)),8)="BLOCKER:",LEFT(UPPER(TRIM(A987)),9)="BLOCKERS:",LEFT(UPPER(TRIM(A987)),8)="BLOCKED:"),"B",""))))</f>
      </c>
      <c r="E987" s="17">
        <f>IF(D987="","",TRIM(MID(A987,FIND(":",A987)+1,500)))</f>
      </c>
    </row>
    <row r="988">
      <c r="B988" s="17">
        <f>IF(A988="","",IF(COUNTIF(Roster[Name],IF(RIGHT(IF(LEFT(TRIM(A988),1)="[",TRIM(MID(TRIM(A988),FIND("]",TRIM(A988)&amp;"]")+1,200)),TRIM(A988)),1)=")",TRIM(LEFT(IF(LEFT(TRIM(A988),1)="[",TRIM(MID(TRIM(A988),FIND("]",TRIM(A988)&amp;"]")+1,200)),TRIM(A988)),FIND("(",IF(LEFT(TRIM(A988),1)="[",TRIM(MID(TRIM(A988),FIND("]",TRIM(A988)&amp;"]")+1,200)),TRIM(A988))&amp;"(")-1)),IF(LEFT(TRIM(A988),1)="[",TRIM(MID(TRIM(A988),FIND("]",TRIM(A988)&amp;"]")+1,200)),TRIM(A988))))&gt;0,IF(RIGHT(IF(LEFT(TRIM(A988),1)="[",TRIM(MID(TRIM(A988),FIND("]",TRIM(A988)&amp;"]")+1,200)),TRIM(A988)),1)=")",TRIM(LEFT(IF(LEFT(TRIM(A988),1)="[",TRIM(MID(TRIM(A988),FIND("]",TRIM(A988)&amp;"]")+1,200)),TRIM(A988)),FIND("(",IF(LEFT(TRIM(A988),1)="[",TRIM(MID(TRIM(A988),FIND("]",TRIM(A988)&amp;"]")+1,200)),TRIM(A988))&amp;"(")-1)),IF(LEFT(TRIM(A988),1)="[",TRIM(MID(TRIM(A988),FIND("]",TRIM(A988)&amp;"]")+1,200)),TRIM(A988))),""))</f>
      </c>
      <c r="C988" s="17">
        <f>IF(B988&lt;&gt;"",B988,C987)</f>
      </c>
      <c r="D988" s="17">
        <f>IF(A988="","",IF(OR(LEFT(UPPER(TRIM(A988)),2)="Y:",LEFT(UPPER(TRIM(A988)),10)="YESTERDAY:"),"Y",IF(OR(LEFT(UPPER(TRIM(A988)),2)="T:",LEFT(UPPER(TRIM(A988)),6)="TODAY:"),"T",IF(OR(LEFT(UPPER(TRIM(A988)),2)="B:",LEFT(UPPER(TRIM(A988)),8)="BLOCKER:",LEFT(UPPER(TRIM(A988)),9)="BLOCKERS:",LEFT(UPPER(TRIM(A988)),8)="BLOCKED:"),"B",""))))</f>
      </c>
      <c r="E988" s="17">
        <f>IF(D988="","",TRIM(MID(A988,FIND(":",A988)+1,500)))</f>
      </c>
    </row>
    <row r="989">
      <c r="B989" s="17">
        <f>IF(A989="","",IF(COUNTIF(Roster[Name],IF(RIGHT(IF(LEFT(TRIM(A989),1)="[",TRIM(MID(TRIM(A989),FIND("]",TRIM(A989)&amp;"]")+1,200)),TRIM(A989)),1)=")",TRIM(LEFT(IF(LEFT(TRIM(A989),1)="[",TRIM(MID(TRIM(A989),FIND("]",TRIM(A989)&amp;"]")+1,200)),TRIM(A989)),FIND("(",IF(LEFT(TRIM(A989),1)="[",TRIM(MID(TRIM(A989),FIND("]",TRIM(A989)&amp;"]")+1,200)),TRIM(A989))&amp;"(")-1)),IF(LEFT(TRIM(A989),1)="[",TRIM(MID(TRIM(A989),FIND("]",TRIM(A989)&amp;"]")+1,200)),TRIM(A989))))&gt;0,IF(RIGHT(IF(LEFT(TRIM(A989),1)="[",TRIM(MID(TRIM(A989),FIND("]",TRIM(A989)&amp;"]")+1,200)),TRIM(A989)),1)=")",TRIM(LEFT(IF(LEFT(TRIM(A989),1)="[",TRIM(MID(TRIM(A989),FIND("]",TRIM(A989)&amp;"]")+1,200)),TRIM(A989)),FIND("(",IF(LEFT(TRIM(A989),1)="[",TRIM(MID(TRIM(A989),FIND("]",TRIM(A989)&amp;"]")+1,200)),TRIM(A989))&amp;"(")-1)),IF(LEFT(TRIM(A989),1)="[",TRIM(MID(TRIM(A989),FIND("]",TRIM(A989)&amp;"]")+1,200)),TRIM(A989))),""))</f>
      </c>
      <c r="C989" s="17">
        <f>IF(B989&lt;&gt;"",B989,C988)</f>
      </c>
      <c r="D989" s="17">
        <f>IF(A989="","",IF(OR(LEFT(UPPER(TRIM(A989)),2)="Y:",LEFT(UPPER(TRIM(A989)),10)="YESTERDAY:"),"Y",IF(OR(LEFT(UPPER(TRIM(A989)),2)="T:",LEFT(UPPER(TRIM(A989)),6)="TODAY:"),"T",IF(OR(LEFT(UPPER(TRIM(A989)),2)="B:",LEFT(UPPER(TRIM(A989)),8)="BLOCKER:",LEFT(UPPER(TRIM(A989)),9)="BLOCKERS:",LEFT(UPPER(TRIM(A989)),8)="BLOCKED:"),"B",""))))</f>
      </c>
      <c r="E989" s="17">
        <f>IF(D989="","",TRIM(MID(A989,FIND(":",A989)+1,500)))</f>
      </c>
    </row>
    <row r="990">
      <c r="B990" s="17">
        <f>IF(A990="","",IF(COUNTIF(Roster[Name],IF(RIGHT(IF(LEFT(TRIM(A990),1)="[",TRIM(MID(TRIM(A990),FIND("]",TRIM(A990)&amp;"]")+1,200)),TRIM(A990)),1)=")",TRIM(LEFT(IF(LEFT(TRIM(A990),1)="[",TRIM(MID(TRIM(A990),FIND("]",TRIM(A990)&amp;"]")+1,200)),TRIM(A990)),FIND("(",IF(LEFT(TRIM(A990),1)="[",TRIM(MID(TRIM(A990),FIND("]",TRIM(A990)&amp;"]")+1,200)),TRIM(A990))&amp;"(")-1)),IF(LEFT(TRIM(A990),1)="[",TRIM(MID(TRIM(A990),FIND("]",TRIM(A990)&amp;"]")+1,200)),TRIM(A990))))&gt;0,IF(RIGHT(IF(LEFT(TRIM(A990),1)="[",TRIM(MID(TRIM(A990),FIND("]",TRIM(A990)&amp;"]")+1,200)),TRIM(A990)),1)=")",TRIM(LEFT(IF(LEFT(TRIM(A990),1)="[",TRIM(MID(TRIM(A990),FIND("]",TRIM(A990)&amp;"]")+1,200)),TRIM(A990)),FIND("(",IF(LEFT(TRIM(A990),1)="[",TRIM(MID(TRIM(A990),FIND("]",TRIM(A990)&amp;"]")+1,200)),TRIM(A990))&amp;"(")-1)),IF(LEFT(TRIM(A990),1)="[",TRIM(MID(TRIM(A990),FIND("]",TRIM(A990)&amp;"]")+1,200)),TRIM(A990))),""))</f>
      </c>
      <c r="C990" s="17">
        <f>IF(B990&lt;&gt;"",B990,C989)</f>
      </c>
      <c r="D990" s="17">
        <f>IF(A990="","",IF(OR(LEFT(UPPER(TRIM(A990)),2)="Y:",LEFT(UPPER(TRIM(A990)),10)="YESTERDAY:"),"Y",IF(OR(LEFT(UPPER(TRIM(A990)),2)="T:",LEFT(UPPER(TRIM(A990)),6)="TODAY:"),"T",IF(OR(LEFT(UPPER(TRIM(A990)),2)="B:",LEFT(UPPER(TRIM(A990)),8)="BLOCKER:",LEFT(UPPER(TRIM(A990)),9)="BLOCKERS:",LEFT(UPPER(TRIM(A990)),8)="BLOCKED:"),"B",""))))</f>
      </c>
      <c r="E990" s="17">
        <f>IF(D990="","",TRIM(MID(A990,FIND(":",A990)+1,500)))</f>
      </c>
    </row>
    <row r="991">
      <c r="B991" s="17">
        <f>IF(A991="","",IF(COUNTIF(Roster[Name],IF(RIGHT(IF(LEFT(TRIM(A991),1)="[",TRIM(MID(TRIM(A991),FIND("]",TRIM(A991)&amp;"]")+1,200)),TRIM(A991)),1)=")",TRIM(LEFT(IF(LEFT(TRIM(A991),1)="[",TRIM(MID(TRIM(A991),FIND("]",TRIM(A991)&amp;"]")+1,200)),TRIM(A991)),FIND("(",IF(LEFT(TRIM(A991),1)="[",TRIM(MID(TRIM(A991),FIND("]",TRIM(A991)&amp;"]")+1,200)),TRIM(A991))&amp;"(")-1)),IF(LEFT(TRIM(A991),1)="[",TRIM(MID(TRIM(A991),FIND("]",TRIM(A991)&amp;"]")+1,200)),TRIM(A991))))&gt;0,IF(RIGHT(IF(LEFT(TRIM(A991),1)="[",TRIM(MID(TRIM(A991),FIND("]",TRIM(A991)&amp;"]")+1,200)),TRIM(A991)),1)=")",TRIM(LEFT(IF(LEFT(TRIM(A991),1)="[",TRIM(MID(TRIM(A991),FIND("]",TRIM(A991)&amp;"]")+1,200)),TRIM(A991)),FIND("(",IF(LEFT(TRIM(A991),1)="[",TRIM(MID(TRIM(A991),FIND("]",TRIM(A991)&amp;"]")+1,200)),TRIM(A991))&amp;"(")-1)),IF(LEFT(TRIM(A991),1)="[",TRIM(MID(TRIM(A991),FIND("]",TRIM(A991)&amp;"]")+1,200)),TRIM(A991))),""))</f>
      </c>
      <c r="C991" s="17">
        <f>IF(B991&lt;&gt;"",B991,C990)</f>
      </c>
      <c r="D991" s="17">
        <f>IF(A991="","",IF(OR(LEFT(UPPER(TRIM(A991)),2)="Y:",LEFT(UPPER(TRIM(A991)),10)="YESTERDAY:"),"Y",IF(OR(LEFT(UPPER(TRIM(A991)),2)="T:",LEFT(UPPER(TRIM(A991)),6)="TODAY:"),"T",IF(OR(LEFT(UPPER(TRIM(A991)),2)="B:",LEFT(UPPER(TRIM(A991)),8)="BLOCKER:",LEFT(UPPER(TRIM(A991)),9)="BLOCKERS:",LEFT(UPPER(TRIM(A991)),8)="BLOCKED:"),"B",""))))</f>
      </c>
      <c r="E991" s="17">
        <f>IF(D991="","",TRIM(MID(A991,FIND(":",A991)+1,500)))</f>
      </c>
    </row>
    <row r="992">
      <c r="B992" s="17">
        <f>IF(A992="","",IF(COUNTIF(Roster[Name],IF(RIGHT(IF(LEFT(TRIM(A992),1)="[",TRIM(MID(TRIM(A992),FIND("]",TRIM(A992)&amp;"]")+1,200)),TRIM(A992)),1)=")",TRIM(LEFT(IF(LEFT(TRIM(A992),1)="[",TRIM(MID(TRIM(A992),FIND("]",TRIM(A992)&amp;"]")+1,200)),TRIM(A992)),FIND("(",IF(LEFT(TRIM(A992),1)="[",TRIM(MID(TRIM(A992),FIND("]",TRIM(A992)&amp;"]")+1,200)),TRIM(A992))&amp;"(")-1)),IF(LEFT(TRIM(A992),1)="[",TRIM(MID(TRIM(A992),FIND("]",TRIM(A992)&amp;"]")+1,200)),TRIM(A992))))&gt;0,IF(RIGHT(IF(LEFT(TRIM(A992),1)="[",TRIM(MID(TRIM(A992),FIND("]",TRIM(A992)&amp;"]")+1,200)),TRIM(A992)),1)=")",TRIM(LEFT(IF(LEFT(TRIM(A992),1)="[",TRIM(MID(TRIM(A992),FIND("]",TRIM(A992)&amp;"]")+1,200)),TRIM(A992)),FIND("(",IF(LEFT(TRIM(A992),1)="[",TRIM(MID(TRIM(A992),FIND("]",TRIM(A992)&amp;"]")+1,200)),TRIM(A992))&amp;"(")-1)),IF(LEFT(TRIM(A992),1)="[",TRIM(MID(TRIM(A992),FIND("]",TRIM(A992)&amp;"]")+1,200)),TRIM(A992))),""))</f>
      </c>
      <c r="C992" s="17">
        <f>IF(B992&lt;&gt;"",B992,C991)</f>
      </c>
      <c r="D992" s="17">
        <f>IF(A992="","",IF(OR(LEFT(UPPER(TRIM(A992)),2)="Y:",LEFT(UPPER(TRIM(A992)),10)="YESTERDAY:"),"Y",IF(OR(LEFT(UPPER(TRIM(A992)),2)="T:",LEFT(UPPER(TRIM(A992)),6)="TODAY:"),"T",IF(OR(LEFT(UPPER(TRIM(A992)),2)="B:",LEFT(UPPER(TRIM(A992)),8)="BLOCKER:",LEFT(UPPER(TRIM(A992)),9)="BLOCKERS:",LEFT(UPPER(TRIM(A992)),8)="BLOCKED:"),"B",""))))</f>
      </c>
      <c r="E992" s="17">
        <f>IF(D992="","",TRIM(MID(A992,FIND(":",A992)+1,500)))</f>
      </c>
    </row>
    <row r="993">
      <c r="B993" s="17">
        <f>IF(A993="","",IF(COUNTIF(Roster[Name],IF(RIGHT(IF(LEFT(TRIM(A993),1)="[",TRIM(MID(TRIM(A993),FIND("]",TRIM(A993)&amp;"]")+1,200)),TRIM(A993)),1)=")",TRIM(LEFT(IF(LEFT(TRIM(A993),1)="[",TRIM(MID(TRIM(A993),FIND("]",TRIM(A993)&amp;"]")+1,200)),TRIM(A993)),FIND("(",IF(LEFT(TRIM(A993),1)="[",TRIM(MID(TRIM(A993),FIND("]",TRIM(A993)&amp;"]")+1,200)),TRIM(A993))&amp;"(")-1)),IF(LEFT(TRIM(A993),1)="[",TRIM(MID(TRIM(A993),FIND("]",TRIM(A993)&amp;"]")+1,200)),TRIM(A993))))&gt;0,IF(RIGHT(IF(LEFT(TRIM(A993),1)="[",TRIM(MID(TRIM(A993),FIND("]",TRIM(A993)&amp;"]")+1,200)),TRIM(A993)),1)=")",TRIM(LEFT(IF(LEFT(TRIM(A993),1)="[",TRIM(MID(TRIM(A993),FIND("]",TRIM(A993)&amp;"]")+1,200)),TRIM(A993)),FIND("(",IF(LEFT(TRIM(A993),1)="[",TRIM(MID(TRIM(A993),FIND("]",TRIM(A993)&amp;"]")+1,200)),TRIM(A993))&amp;"(")-1)),IF(LEFT(TRIM(A993),1)="[",TRIM(MID(TRIM(A993),FIND("]",TRIM(A993)&amp;"]")+1,200)),TRIM(A993))),""))</f>
      </c>
      <c r="C993" s="17">
        <f>IF(B993&lt;&gt;"",B993,C992)</f>
      </c>
      <c r="D993" s="17">
        <f>IF(A993="","",IF(OR(LEFT(UPPER(TRIM(A993)),2)="Y:",LEFT(UPPER(TRIM(A993)),10)="YESTERDAY:"),"Y",IF(OR(LEFT(UPPER(TRIM(A993)),2)="T:",LEFT(UPPER(TRIM(A993)),6)="TODAY:"),"T",IF(OR(LEFT(UPPER(TRIM(A993)),2)="B:",LEFT(UPPER(TRIM(A993)),8)="BLOCKER:",LEFT(UPPER(TRIM(A993)),9)="BLOCKERS:",LEFT(UPPER(TRIM(A993)),8)="BLOCKED:"),"B",""))))</f>
      </c>
      <c r="E993" s="17">
        <f>IF(D993="","",TRIM(MID(A993,FIND(":",A993)+1,500)))</f>
      </c>
    </row>
    <row r="994">
      <c r="B994" s="17">
        <f>IF(A994="","",IF(COUNTIF(Roster[Name],IF(RIGHT(IF(LEFT(TRIM(A994),1)="[",TRIM(MID(TRIM(A994),FIND("]",TRIM(A994)&amp;"]")+1,200)),TRIM(A994)),1)=")",TRIM(LEFT(IF(LEFT(TRIM(A994),1)="[",TRIM(MID(TRIM(A994),FIND("]",TRIM(A994)&amp;"]")+1,200)),TRIM(A994)),FIND("(",IF(LEFT(TRIM(A994),1)="[",TRIM(MID(TRIM(A994),FIND("]",TRIM(A994)&amp;"]")+1,200)),TRIM(A994))&amp;"(")-1)),IF(LEFT(TRIM(A994),1)="[",TRIM(MID(TRIM(A994),FIND("]",TRIM(A994)&amp;"]")+1,200)),TRIM(A994))))&gt;0,IF(RIGHT(IF(LEFT(TRIM(A994),1)="[",TRIM(MID(TRIM(A994),FIND("]",TRIM(A994)&amp;"]")+1,200)),TRIM(A994)),1)=")",TRIM(LEFT(IF(LEFT(TRIM(A994),1)="[",TRIM(MID(TRIM(A994),FIND("]",TRIM(A994)&amp;"]")+1,200)),TRIM(A994)),FIND("(",IF(LEFT(TRIM(A994),1)="[",TRIM(MID(TRIM(A994),FIND("]",TRIM(A994)&amp;"]")+1,200)),TRIM(A994))&amp;"(")-1)),IF(LEFT(TRIM(A994),1)="[",TRIM(MID(TRIM(A994),FIND("]",TRIM(A994)&amp;"]")+1,200)),TRIM(A994))),""))</f>
      </c>
      <c r="C994" s="17">
        <f>IF(B994&lt;&gt;"",B994,C993)</f>
      </c>
      <c r="D994" s="17">
        <f>IF(A994="","",IF(OR(LEFT(UPPER(TRIM(A994)),2)="Y:",LEFT(UPPER(TRIM(A994)),10)="YESTERDAY:"),"Y",IF(OR(LEFT(UPPER(TRIM(A994)),2)="T:",LEFT(UPPER(TRIM(A994)),6)="TODAY:"),"T",IF(OR(LEFT(UPPER(TRIM(A994)),2)="B:",LEFT(UPPER(TRIM(A994)),8)="BLOCKER:",LEFT(UPPER(TRIM(A994)),9)="BLOCKERS:",LEFT(UPPER(TRIM(A994)),8)="BLOCKED:"),"B",""))))</f>
      </c>
      <c r="E994" s="17">
        <f>IF(D994="","",TRIM(MID(A994,FIND(":",A994)+1,500)))</f>
      </c>
    </row>
    <row r="995">
      <c r="B995" s="17">
        <f>IF(A995="","",IF(COUNTIF(Roster[Name],IF(RIGHT(IF(LEFT(TRIM(A995),1)="[",TRIM(MID(TRIM(A995),FIND("]",TRIM(A995)&amp;"]")+1,200)),TRIM(A995)),1)=")",TRIM(LEFT(IF(LEFT(TRIM(A995),1)="[",TRIM(MID(TRIM(A995),FIND("]",TRIM(A995)&amp;"]")+1,200)),TRIM(A995)),FIND("(",IF(LEFT(TRIM(A995),1)="[",TRIM(MID(TRIM(A995),FIND("]",TRIM(A995)&amp;"]")+1,200)),TRIM(A995))&amp;"(")-1)),IF(LEFT(TRIM(A995),1)="[",TRIM(MID(TRIM(A995),FIND("]",TRIM(A995)&amp;"]")+1,200)),TRIM(A995))))&gt;0,IF(RIGHT(IF(LEFT(TRIM(A995),1)="[",TRIM(MID(TRIM(A995),FIND("]",TRIM(A995)&amp;"]")+1,200)),TRIM(A995)),1)=")",TRIM(LEFT(IF(LEFT(TRIM(A995),1)="[",TRIM(MID(TRIM(A995),FIND("]",TRIM(A995)&amp;"]")+1,200)),TRIM(A995)),FIND("(",IF(LEFT(TRIM(A995),1)="[",TRIM(MID(TRIM(A995),FIND("]",TRIM(A995)&amp;"]")+1,200)),TRIM(A995))&amp;"(")-1)),IF(LEFT(TRIM(A995),1)="[",TRIM(MID(TRIM(A995),FIND("]",TRIM(A995)&amp;"]")+1,200)),TRIM(A995))),""))</f>
      </c>
      <c r="C995" s="17">
        <f>IF(B995&lt;&gt;"",B995,C994)</f>
      </c>
      <c r="D995" s="17">
        <f>IF(A995="","",IF(OR(LEFT(UPPER(TRIM(A995)),2)="Y:",LEFT(UPPER(TRIM(A995)),10)="YESTERDAY:"),"Y",IF(OR(LEFT(UPPER(TRIM(A995)),2)="T:",LEFT(UPPER(TRIM(A995)),6)="TODAY:"),"T",IF(OR(LEFT(UPPER(TRIM(A995)),2)="B:",LEFT(UPPER(TRIM(A995)),8)="BLOCKER:",LEFT(UPPER(TRIM(A995)),9)="BLOCKERS:",LEFT(UPPER(TRIM(A995)),8)="BLOCKED:"),"B",""))))</f>
      </c>
      <c r="E995" s="17">
        <f>IF(D995="","",TRIM(MID(A995,FIND(":",A995)+1,500)))</f>
      </c>
    </row>
    <row r="996">
      <c r="B996" s="17">
        <f>IF(A996="","",IF(COUNTIF(Roster[Name],IF(RIGHT(IF(LEFT(TRIM(A996),1)="[",TRIM(MID(TRIM(A996),FIND("]",TRIM(A996)&amp;"]")+1,200)),TRIM(A996)),1)=")",TRIM(LEFT(IF(LEFT(TRIM(A996),1)="[",TRIM(MID(TRIM(A996),FIND("]",TRIM(A996)&amp;"]")+1,200)),TRIM(A996)),FIND("(",IF(LEFT(TRIM(A996),1)="[",TRIM(MID(TRIM(A996),FIND("]",TRIM(A996)&amp;"]")+1,200)),TRIM(A996))&amp;"(")-1)),IF(LEFT(TRIM(A996),1)="[",TRIM(MID(TRIM(A996),FIND("]",TRIM(A996)&amp;"]")+1,200)),TRIM(A996))))&gt;0,IF(RIGHT(IF(LEFT(TRIM(A996),1)="[",TRIM(MID(TRIM(A996),FIND("]",TRIM(A996)&amp;"]")+1,200)),TRIM(A996)),1)=")",TRIM(LEFT(IF(LEFT(TRIM(A996),1)="[",TRIM(MID(TRIM(A996),FIND("]",TRIM(A996)&amp;"]")+1,200)),TRIM(A996)),FIND("(",IF(LEFT(TRIM(A996),1)="[",TRIM(MID(TRIM(A996),FIND("]",TRIM(A996)&amp;"]")+1,200)),TRIM(A996))&amp;"(")-1)),IF(LEFT(TRIM(A996),1)="[",TRIM(MID(TRIM(A996),FIND("]",TRIM(A996)&amp;"]")+1,200)),TRIM(A996))),""))</f>
      </c>
      <c r="C996" s="17">
        <f>IF(B996&lt;&gt;"",B996,C995)</f>
      </c>
      <c r="D996" s="17">
        <f>IF(A996="","",IF(OR(LEFT(UPPER(TRIM(A996)),2)="Y:",LEFT(UPPER(TRIM(A996)),10)="YESTERDAY:"),"Y",IF(OR(LEFT(UPPER(TRIM(A996)),2)="T:",LEFT(UPPER(TRIM(A996)),6)="TODAY:"),"T",IF(OR(LEFT(UPPER(TRIM(A996)),2)="B:",LEFT(UPPER(TRIM(A996)),8)="BLOCKER:",LEFT(UPPER(TRIM(A996)),9)="BLOCKERS:",LEFT(UPPER(TRIM(A996)),8)="BLOCKED:"),"B",""))))</f>
      </c>
      <c r="E996" s="17">
        <f>IF(D996="","",TRIM(MID(A996,FIND(":",A996)+1,500)))</f>
      </c>
    </row>
    <row r="997">
      <c r="B997" s="17">
        <f>IF(A997="","",IF(COUNTIF(Roster[Name],IF(RIGHT(IF(LEFT(TRIM(A997),1)="[",TRIM(MID(TRIM(A997),FIND("]",TRIM(A997)&amp;"]")+1,200)),TRIM(A997)),1)=")",TRIM(LEFT(IF(LEFT(TRIM(A997),1)="[",TRIM(MID(TRIM(A997),FIND("]",TRIM(A997)&amp;"]")+1,200)),TRIM(A997)),FIND("(",IF(LEFT(TRIM(A997),1)="[",TRIM(MID(TRIM(A997),FIND("]",TRIM(A997)&amp;"]")+1,200)),TRIM(A997))&amp;"(")-1)),IF(LEFT(TRIM(A997),1)="[",TRIM(MID(TRIM(A997),FIND("]",TRIM(A997)&amp;"]")+1,200)),TRIM(A997))))&gt;0,IF(RIGHT(IF(LEFT(TRIM(A997),1)="[",TRIM(MID(TRIM(A997),FIND("]",TRIM(A997)&amp;"]")+1,200)),TRIM(A997)),1)=")",TRIM(LEFT(IF(LEFT(TRIM(A997),1)="[",TRIM(MID(TRIM(A997),FIND("]",TRIM(A997)&amp;"]")+1,200)),TRIM(A997)),FIND("(",IF(LEFT(TRIM(A997),1)="[",TRIM(MID(TRIM(A997),FIND("]",TRIM(A997)&amp;"]")+1,200)),TRIM(A997))&amp;"(")-1)),IF(LEFT(TRIM(A997),1)="[",TRIM(MID(TRIM(A997),FIND("]",TRIM(A997)&amp;"]")+1,200)),TRIM(A997))),""))</f>
      </c>
      <c r="C997" s="17">
        <f>IF(B997&lt;&gt;"",B997,C996)</f>
      </c>
      <c r="D997" s="17">
        <f>IF(A997="","",IF(OR(LEFT(UPPER(TRIM(A997)),2)="Y:",LEFT(UPPER(TRIM(A997)),10)="YESTERDAY:"),"Y",IF(OR(LEFT(UPPER(TRIM(A997)),2)="T:",LEFT(UPPER(TRIM(A997)),6)="TODAY:"),"T",IF(OR(LEFT(UPPER(TRIM(A997)),2)="B:",LEFT(UPPER(TRIM(A997)),8)="BLOCKER:",LEFT(UPPER(TRIM(A997)),9)="BLOCKERS:",LEFT(UPPER(TRIM(A997)),8)="BLOCKED:"),"B",""))))</f>
      </c>
      <c r="E997" s="17">
        <f>IF(D997="","",TRIM(MID(A997,FIND(":",A997)+1,500)))</f>
      </c>
    </row>
    <row r="998">
      <c r="B998" s="17">
        <f>IF(A998="","",IF(COUNTIF(Roster[Name],IF(RIGHT(IF(LEFT(TRIM(A998),1)="[",TRIM(MID(TRIM(A998),FIND("]",TRIM(A998)&amp;"]")+1,200)),TRIM(A998)),1)=")",TRIM(LEFT(IF(LEFT(TRIM(A998),1)="[",TRIM(MID(TRIM(A998),FIND("]",TRIM(A998)&amp;"]")+1,200)),TRIM(A998)),FIND("(",IF(LEFT(TRIM(A998),1)="[",TRIM(MID(TRIM(A998),FIND("]",TRIM(A998)&amp;"]")+1,200)),TRIM(A998))&amp;"(")-1)),IF(LEFT(TRIM(A998),1)="[",TRIM(MID(TRIM(A998),FIND("]",TRIM(A998)&amp;"]")+1,200)),TRIM(A998))))&gt;0,IF(RIGHT(IF(LEFT(TRIM(A998),1)="[",TRIM(MID(TRIM(A998),FIND("]",TRIM(A998)&amp;"]")+1,200)),TRIM(A998)),1)=")",TRIM(LEFT(IF(LEFT(TRIM(A998),1)="[",TRIM(MID(TRIM(A998),FIND("]",TRIM(A998)&amp;"]")+1,200)),TRIM(A998)),FIND("(",IF(LEFT(TRIM(A998),1)="[",TRIM(MID(TRIM(A998),FIND("]",TRIM(A998)&amp;"]")+1,200)),TRIM(A998))&amp;"(")-1)),IF(LEFT(TRIM(A998),1)="[",TRIM(MID(TRIM(A998),FIND("]",TRIM(A998)&amp;"]")+1,200)),TRIM(A998))),""))</f>
      </c>
      <c r="C998" s="17">
        <f>IF(B998&lt;&gt;"",B998,C997)</f>
      </c>
      <c r="D998" s="17">
        <f>IF(A998="","",IF(OR(LEFT(UPPER(TRIM(A998)),2)="Y:",LEFT(UPPER(TRIM(A998)),10)="YESTERDAY:"),"Y",IF(OR(LEFT(UPPER(TRIM(A998)),2)="T:",LEFT(UPPER(TRIM(A998)),6)="TODAY:"),"T",IF(OR(LEFT(UPPER(TRIM(A998)),2)="B:",LEFT(UPPER(TRIM(A998)),8)="BLOCKER:",LEFT(UPPER(TRIM(A998)),9)="BLOCKERS:",LEFT(UPPER(TRIM(A998)),8)="BLOCKED:"),"B",""))))</f>
      </c>
      <c r="E998" s="17">
        <f>IF(D998="","",TRIM(MID(A998,FIND(":",A998)+1,500)))</f>
      </c>
    </row>
    <row r="999">
      <c r="B999" s="17">
        <f>IF(A999="","",IF(COUNTIF(Roster[Name],IF(RIGHT(IF(LEFT(TRIM(A999),1)="[",TRIM(MID(TRIM(A999),FIND("]",TRIM(A999)&amp;"]")+1,200)),TRIM(A999)),1)=")",TRIM(LEFT(IF(LEFT(TRIM(A999),1)="[",TRIM(MID(TRIM(A999),FIND("]",TRIM(A999)&amp;"]")+1,200)),TRIM(A999)),FIND("(",IF(LEFT(TRIM(A999),1)="[",TRIM(MID(TRIM(A999),FIND("]",TRIM(A999)&amp;"]")+1,200)),TRIM(A999))&amp;"(")-1)),IF(LEFT(TRIM(A999),1)="[",TRIM(MID(TRIM(A999),FIND("]",TRIM(A999)&amp;"]")+1,200)),TRIM(A999))))&gt;0,IF(RIGHT(IF(LEFT(TRIM(A999),1)="[",TRIM(MID(TRIM(A999),FIND("]",TRIM(A999)&amp;"]")+1,200)),TRIM(A999)),1)=")",TRIM(LEFT(IF(LEFT(TRIM(A999),1)="[",TRIM(MID(TRIM(A999),FIND("]",TRIM(A999)&amp;"]")+1,200)),TRIM(A999)),FIND("(",IF(LEFT(TRIM(A999),1)="[",TRIM(MID(TRIM(A999),FIND("]",TRIM(A999)&amp;"]")+1,200)),TRIM(A999))&amp;"(")-1)),IF(LEFT(TRIM(A999),1)="[",TRIM(MID(TRIM(A999),FIND("]",TRIM(A999)&amp;"]")+1,200)),TRIM(A999))),""))</f>
      </c>
      <c r="C999" s="17">
        <f>IF(B999&lt;&gt;"",B999,C998)</f>
      </c>
      <c r="D999" s="17">
        <f>IF(A999="","",IF(OR(LEFT(UPPER(TRIM(A999)),2)="Y:",LEFT(UPPER(TRIM(A999)),10)="YESTERDAY:"),"Y",IF(OR(LEFT(UPPER(TRIM(A999)),2)="T:",LEFT(UPPER(TRIM(A999)),6)="TODAY:"),"T",IF(OR(LEFT(UPPER(TRIM(A999)),2)="B:",LEFT(UPPER(TRIM(A999)),8)="BLOCKER:",LEFT(UPPER(TRIM(A999)),9)="BLOCKERS:",LEFT(UPPER(TRIM(A999)),8)="BLOCKED:"),"B",""))))</f>
      </c>
      <c r="E999" s="17">
        <f>IF(D999="","",TRIM(MID(A999,FIND(":",A999)+1,500)))</f>
      </c>
    </row>
    <row r="1000">
      <c r="B1000" s="17">
        <f>IF(A1000="","",IF(COUNTIF(Roster[Name],IF(RIGHT(IF(LEFT(TRIM(A1000),1)="[",TRIM(MID(TRIM(A1000),FIND("]",TRIM(A1000)&amp;"]")+1,200)),TRIM(A1000)),1)=")",TRIM(LEFT(IF(LEFT(TRIM(A1000),1)="[",TRIM(MID(TRIM(A1000),FIND("]",TRIM(A1000)&amp;"]")+1,200)),TRIM(A1000)),FIND("(",IF(LEFT(TRIM(A1000),1)="[",TRIM(MID(TRIM(A1000),FIND("]",TRIM(A1000)&amp;"]")+1,200)),TRIM(A1000))&amp;"(")-1)),IF(LEFT(TRIM(A1000),1)="[",TRIM(MID(TRIM(A1000),FIND("]",TRIM(A1000)&amp;"]")+1,200)),TRIM(A1000))))&gt;0,IF(RIGHT(IF(LEFT(TRIM(A1000),1)="[",TRIM(MID(TRIM(A1000),FIND("]",TRIM(A1000)&amp;"]")+1,200)),TRIM(A1000)),1)=")",TRIM(LEFT(IF(LEFT(TRIM(A1000),1)="[",TRIM(MID(TRIM(A1000),FIND("]",TRIM(A1000)&amp;"]")+1,200)),TRIM(A1000)),FIND("(",IF(LEFT(TRIM(A1000),1)="[",TRIM(MID(TRIM(A1000),FIND("]",TRIM(A1000)&amp;"]")+1,200)),TRIM(A1000))&amp;"(")-1)),IF(LEFT(TRIM(A1000),1)="[",TRIM(MID(TRIM(A1000),FIND("]",TRIM(A1000)&amp;"]")+1,200)),TRIM(A1000))),""))</f>
      </c>
      <c r="C1000" s="17">
        <f>IF(B1000&lt;&gt;"",B1000,C999)</f>
      </c>
      <c r="D1000" s="17">
        <f>IF(A1000="","",IF(OR(LEFT(UPPER(TRIM(A1000)),2)="Y:",LEFT(UPPER(TRIM(A1000)),10)="YESTERDAY:"),"Y",IF(OR(LEFT(UPPER(TRIM(A1000)),2)="T:",LEFT(UPPER(TRIM(A1000)),6)="TODAY:"),"T",IF(OR(LEFT(UPPER(TRIM(A1000)),2)="B:",LEFT(UPPER(TRIM(A1000)),8)="BLOCKER:",LEFT(UPPER(TRIM(A1000)),9)="BLOCKERS:",LEFT(UPPER(TRIM(A1000)),8)="BLOCKED:"),"B",""))))</f>
      </c>
      <c r="E1000" s="17">
        <f>IF(D1000="","",TRIM(MID(A1000,FIND(":",A1000)+1,500)))</f>
      </c>
    </row>
    <row r="1001">
      <c r="B1001" s="17">
        <f>IF(A1001="","",IF(COUNTIF(Roster[Name],IF(RIGHT(IF(LEFT(TRIM(A1001),1)="[",TRIM(MID(TRIM(A1001),FIND("]",TRIM(A1001)&amp;"]")+1,200)),TRIM(A1001)),1)=")",TRIM(LEFT(IF(LEFT(TRIM(A1001),1)="[",TRIM(MID(TRIM(A1001),FIND("]",TRIM(A1001)&amp;"]")+1,200)),TRIM(A1001)),FIND("(",IF(LEFT(TRIM(A1001),1)="[",TRIM(MID(TRIM(A1001),FIND("]",TRIM(A1001)&amp;"]")+1,200)),TRIM(A1001))&amp;"(")-1)),IF(LEFT(TRIM(A1001),1)="[",TRIM(MID(TRIM(A1001),FIND("]",TRIM(A1001)&amp;"]")+1,200)),TRIM(A1001))))&gt;0,IF(RIGHT(IF(LEFT(TRIM(A1001),1)="[",TRIM(MID(TRIM(A1001),FIND("]",TRIM(A1001)&amp;"]")+1,200)),TRIM(A1001)),1)=")",TRIM(LEFT(IF(LEFT(TRIM(A1001),1)="[",TRIM(MID(TRIM(A1001),FIND("]",TRIM(A1001)&amp;"]")+1,200)),TRIM(A1001)),FIND("(",IF(LEFT(TRIM(A1001),1)="[",TRIM(MID(TRIM(A1001),FIND("]",TRIM(A1001)&amp;"]")+1,200)),TRIM(A1001))&amp;"(")-1)),IF(LEFT(TRIM(A1001),1)="[",TRIM(MID(TRIM(A1001),FIND("]",TRIM(A1001)&amp;"]")+1,200)),TRIM(A1001))),""))</f>
      </c>
      <c r="C1001" s="17">
        <f>IF(B1001&lt;&gt;"",B1001,C1000)</f>
      </c>
      <c r="D1001" s="17">
        <f>IF(A1001="","",IF(OR(LEFT(UPPER(TRIM(A1001)),2)="Y:",LEFT(UPPER(TRIM(A1001)),10)="YESTERDAY:"),"Y",IF(OR(LEFT(UPPER(TRIM(A1001)),2)="T:",LEFT(UPPER(TRIM(A1001)),6)="TODAY:"),"T",IF(OR(LEFT(UPPER(TRIM(A1001)),2)="B:",LEFT(UPPER(TRIM(A1001)),8)="BLOCKER:",LEFT(UPPER(TRIM(A1001)),9)="BLOCKERS:",LEFT(UPPER(TRIM(A1001)),8)="BLOCKED:"),"B",""))))</f>
      </c>
      <c r="E1001" s="17">
        <f>IF(D1001="","",TRIM(MID(A1001,FIND(":",A1001)+1,500)))</f>
      </c>
    </row>
    <row r="1002">
      <c r="B1002" s="17">
        <f>IF(A1002="","",IF(COUNTIF(Roster[Name],IF(RIGHT(IF(LEFT(TRIM(A1002),1)="[",TRIM(MID(TRIM(A1002),FIND("]",TRIM(A1002)&amp;"]")+1,200)),TRIM(A1002)),1)=")",TRIM(LEFT(IF(LEFT(TRIM(A1002),1)="[",TRIM(MID(TRIM(A1002),FIND("]",TRIM(A1002)&amp;"]")+1,200)),TRIM(A1002)),FIND("(",IF(LEFT(TRIM(A1002),1)="[",TRIM(MID(TRIM(A1002),FIND("]",TRIM(A1002)&amp;"]")+1,200)),TRIM(A1002))&amp;"(")-1)),IF(LEFT(TRIM(A1002),1)="[",TRIM(MID(TRIM(A1002),FIND("]",TRIM(A1002)&amp;"]")+1,200)),TRIM(A1002))))&gt;0,IF(RIGHT(IF(LEFT(TRIM(A1002),1)="[",TRIM(MID(TRIM(A1002),FIND("]",TRIM(A1002)&amp;"]")+1,200)),TRIM(A1002)),1)=")",TRIM(LEFT(IF(LEFT(TRIM(A1002),1)="[",TRIM(MID(TRIM(A1002),FIND("]",TRIM(A1002)&amp;"]")+1,200)),TRIM(A1002)),FIND("(",IF(LEFT(TRIM(A1002),1)="[",TRIM(MID(TRIM(A1002),FIND("]",TRIM(A1002)&amp;"]")+1,200)),TRIM(A1002))&amp;"(")-1)),IF(LEFT(TRIM(A1002),1)="[",TRIM(MID(TRIM(A1002),FIND("]",TRIM(A1002)&amp;"]")+1,200)),TRIM(A1002))),""))</f>
      </c>
      <c r="C1002" s="17">
        <f>IF(B1002&lt;&gt;"",B1002,C1001)</f>
      </c>
      <c r="D1002" s="17">
        <f>IF(A1002="","",IF(OR(LEFT(UPPER(TRIM(A1002)),2)="Y:",LEFT(UPPER(TRIM(A1002)),10)="YESTERDAY:"),"Y",IF(OR(LEFT(UPPER(TRIM(A1002)),2)="T:",LEFT(UPPER(TRIM(A1002)),6)="TODAY:"),"T",IF(OR(LEFT(UPPER(TRIM(A1002)),2)="B:",LEFT(UPPER(TRIM(A1002)),8)="BLOCKER:",LEFT(UPPER(TRIM(A1002)),9)="BLOCKERS:",LEFT(UPPER(TRIM(A1002)),8)="BLOCKED:"),"B",""))))</f>
      </c>
      <c r="E1002" s="17">
        <f>IF(D1002="","",TRIM(MID(A1002,FIND(":",A1002)+1,500)))</f>
      </c>
    </row>
    <row r="1003">
      <c r="B1003" s="17">
        <f>IF(A1003="","",IF(COUNTIF(Roster[Name],IF(RIGHT(IF(LEFT(TRIM(A1003),1)="[",TRIM(MID(TRIM(A1003),FIND("]",TRIM(A1003)&amp;"]")+1,200)),TRIM(A1003)),1)=")",TRIM(LEFT(IF(LEFT(TRIM(A1003),1)="[",TRIM(MID(TRIM(A1003),FIND("]",TRIM(A1003)&amp;"]")+1,200)),TRIM(A1003)),FIND("(",IF(LEFT(TRIM(A1003),1)="[",TRIM(MID(TRIM(A1003),FIND("]",TRIM(A1003)&amp;"]")+1,200)),TRIM(A1003))&amp;"(")-1)),IF(LEFT(TRIM(A1003),1)="[",TRIM(MID(TRIM(A1003),FIND("]",TRIM(A1003)&amp;"]")+1,200)),TRIM(A1003))))&gt;0,IF(RIGHT(IF(LEFT(TRIM(A1003),1)="[",TRIM(MID(TRIM(A1003),FIND("]",TRIM(A1003)&amp;"]")+1,200)),TRIM(A1003)),1)=")",TRIM(LEFT(IF(LEFT(TRIM(A1003),1)="[",TRIM(MID(TRIM(A1003),FIND("]",TRIM(A1003)&amp;"]")+1,200)),TRIM(A1003)),FIND("(",IF(LEFT(TRIM(A1003),1)="[",TRIM(MID(TRIM(A1003),FIND("]",TRIM(A1003)&amp;"]")+1,200)),TRIM(A1003))&amp;"(")-1)),IF(LEFT(TRIM(A1003),1)="[",TRIM(MID(TRIM(A1003),FIND("]",TRIM(A1003)&amp;"]")+1,200)),TRIM(A1003))),""))</f>
      </c>
      <c r="C1003" s="17">
        <f>IF(B1003&lt;&gt;"",B1003,C1002)</f>
      </c>
      <c r="D1003" s="17">
        <f>IF(A1003="","",IF(OR(LEFT(UPPER(TRIM(A1003)),2)="Y:",LEFT(UPPER(TRIM(A1003)),10)="YESTERDAY:"),"Y",IF(OR(LEFT(UPPER(TRIM(A1003)),2)="T:",LEFT(UPPER(TRIM(A1003)),6)="TODAY:"),"T",IF(OR(LEFT(UPPER(TRIM(A1003)),2)="B:",LEFT(UPPER(TRIM(A1003)),8)="BLOCKER:",LEFT(UPPER(TRIM(A1003)),9)="BLOCKERS:",LEFT(UPPER(TRIM(A1003)),8)="BLOCKED:"),"B",""))))</f>
      </c>
      <c r="E1003" s="17">
        <f>IF(D1003="","",TRIM(MID(A1003,FIND(":",A1003)+1,500)))</f>
      </c>
    </row>
    <row r="1004">
      <c r="B1004" s="17">
        <f>IF(A1004="","",IF(COUNTIF(Roster[Name],IF(RIGHT(IF(LEFT(TRIM(A1004),1)="[",TRIM(MID(TRIM(A1004),FIND("]",TRIM(A1004)&amp;"]")+1,200)),TRIM(A1004)),1)=")",TRIM(LEFT(IF(LEFT(TRIM(A1004),1)="[",TRIM(MID(TRIM(A1004),FIND("]",TRIM(A1004)&amp;"]")+1,200)),TRIM(A1004)),FIND("(",IF(LEFT(TRIM(A1004),1)="[",TRIM(MID(TRIM(A1004),FIND("]",TRIM(A1004)&amp;"]")+1,200)),TRIM(A1004))&amp;"(")-1)),IF(LEFT(TRIM(A1004),1)="[",TRIM(MID(TRIM(A1004),FIND("]",TRIM(A1004)&amp;"]")+1,200)),TRIM(A1004))))&gt;0,IF(RIGHT(IF(LEFT(TRIM(A1004),1)="[",TRIM(MID(TRIM(A1004),FIND("]",TRIM(A1004)&amp;"]")+1,200)),TRIM(A1004)),1)=")",TRIM(LEFT(IF(LEFT(TRIM(A1004),1)="[",TRIM(MID(TRIM(A1004),FIND("]",TRIM(A1004)&amp;"]")+1,200)),TRIM(A1004)),FIND("(",IF(LEFT(TRIM(A1004),1)="[",TRIM(MID(TRIM(A1004),FIND("]",TRIM(A1004)&amp;"]")+1,200)),TRIM(A1004))&amp;"(")-1)),IF(LEFT(TRIM(A1004),1)="[",TRIM(MID(TRIM(A1004),FIND("]",TRIM(A1004)&amp;"]")+1,200)),TRIM(A1004))),""))</f>
      </c>
      <c r="C1004" s="17">
        <f>IF(B1004&lt;&gt;"",B1004,C1003)</f>
      </c>
      <c r="D1004" s="17">
        <f>IF(A1004="","",IF(OR(LEFT(UPPER(TRIM(A1004)),2)="Y:",LEFT(UPPER(TRIM(A1004)),10)="YESTERDAY:"),"Y",IF(OR(LEFT(UPPER(TRIM(A1004)),2)="T:",LEFT(UPPER(TRIM(A1004)),6)="TODAY:"),"T",IF(OR(LEFT(UPPER(TRIM(A1004)),2)="B:",LEFT(UPPER(TRIM(A1004)),8)="BLOCKER:",LEFT(UPPER(TRIM(A1004)),9)="BLOCKERS:",LEFT(UPPER(TRIM(A1004)),8)="BLOCKED:"),"B",""))))</f>
      </c>
      <c r="E1004" s="17">
        <f>IF(D1004="","",TRIM(MID(A1004,FIND(":",A1004)+1,500)))</f>
      </c>
    </row>
    <row r="1005">
      <c r="B1005" s="17">
        <f>IF(A1005="","",IF(COUNTIF(Roster[Name],IF(RIGHT(IF(LEFT(TRIM(A1005),1)="[",TRIM(MID(TRIM(A1005),FIND("]",TRIM(A1005)&amp;"]")+1,200)),TRIM(A1005)),1)=")",TRIM(LEFT(IF(LEFT(TRIM(A1005),1)="[",TRIM(MID(TRIM(A1005),FIND("]",TRIM(A1005)&amp;"]")+1,200)),TRIM(A1005)),FIND("(",IF(LEFT(TRIM(A1005),1)="[",TRIM(MID(TRIM(A1005),FIND("]",TRIM(A1005)&amp;"]")+1,200)),TRIM(A1005))&amp;"(")-1)),IF(LEFT(TRIM(A1005),1)="[",TRIM(MID(TRIM(A1005),FIND("]",TRIM(A1005)&amp;"]")+1,200)),TRIM(A1005))))&gt;0,IF(RIGHT(IF(LEFT(TRIM(A1005),1)="[",TRIM(MID(TRIM(A1005),FIND("]",TRIM(A1005)&amp;"]")+1,200)),TRIM(A1005)),1)=")",TRIM(LEFT(IF(LEFT(TRIM(A1005),1)="[",TRIM(MID(TRIM(A1005),FIND("]",TRIM(A1005)&amp;"]")+1,200)),TRIM(A1005)),FIND("(",IF(LEFT(TRIM(A1005),1)="[",TRIM(MID(TRIM(A1005),FIND("]",TRIM(A1005)&amp;"]")+1,200)),TRIM(A1005))&amp;"(")-1)),IF(LEFT(TRIM(A1005),1)="[",TRIM(MID(TRIM(A1005),FIND("]",TRIM(A1005)&amp;"]")+1,200)),TRIM(A1005))),""))</f>
      </c>
      <c r="C1005" s="17">
        <f>IF(B1005&lt;&gt;"",B1005,C1004)</f>
      </c>
      <c r="D1005" s="17">
        <f>IF(A1005="","",IF(OR(LEFT(UPPER(TRIM(A1005)),2)="Y:",LEFT(UPPER(TRIM(A1005)),10)="YESTERDAY:"),"Y",IF(OR(LEFT(UPPER(TRIM(A1005)),2)="T:",LEFT(UPPER(TRIM(A1005)),6)="TODAY:"),"T",IF(OR(LEFT(UPPER(TRIM(A1005)),2)="B:",LEFT(UPPER(TRIM(A1005)),8)="BLOCKER:",LEFT(UPPER(TRIM(A1005)),9)="BLOCKERS:",LEFT(UPPER(TRIM(A1005)),8)="BLOCKED:"),"B",""))))</f>
      </c>
      <c r="E1005" s="17">
        <f>IF(D1005="","",TRIM(MID(A1005,FIND(":",A1005)+1,500)))</f>
      </c>
    </row>
    <row r="1006">
      <c r="B1006" s="17">
        <f>IF(A1006="","",IF(COUNTIF(Roster[Name],IF(RIGHT(IF(LEFT(TRIM(A1006),1)="[",TRIM(MID(TRIM(A1006),FIND("]",TRIM(A1006)&amp;"]")+1,200)),TRIM(A1006)),1)=")",TRIM(LEFT(IF(LEFT(TRIM(A1006),1)="[",TRIM(MID(TRIM(A1006),FIND("]",TRIM(A1006)&amp;"]")+1,200)),TRIM(A1006)),FIND("(",IF(LEFT(TRIM(A1006),1)="[",TRIM(MID(TRIM(A1006),FIND("]",TRIM(A1006)&amp;"]")+1,200)),TRIM(A1006))&amp;"(")-1)),IF(LEFT(TRIM(A1006),1)="[",TRIM(MID(TRIM(A1006),FIND("]",TRIM(A1006)&amp;"]")+1,200)),TRIM(A1006))))&gt;0,IF(RIGHT(IF(LEFT(TRIM(A1006),1)="[",TRIM(MID(TRIM(A1006),FIND("]",TRIM(A1006)&amp;"]")+1,200)),TRIM(A1006)),1)=")",TRIM(LEFT(IF(LEFT(TRIM(A1006),1)="[",TRIM(MID(TRIM(A1006),FIND("]",TRIM(A1006)&amp;"]")+1,200)),TRIM(A1006)),FIND("(",IF(LEFT(TRIM(A1006),1)="[",TRIM(MID(TRIM(A1006),FIND("]",TRIM(A1006)&amp;"]")+1,200)),TRIM(A1006))&amp;"(")-1)),IF(LEFT(TRIM(A1006),1)="[",TRIM(MID(TRIM(A1006),FIND("]",TRIM(A1006)&amp;"]")+1,200)),TRIM(A1006))),""))</f>
      </c>
      <c r="C1006" s="17">
        <f>IF(B1006&lt;&gt;"",B1006,C1005)</f>
      </c>
      <c r="D1006" s="17">
        <f>IF(A1006="","",IF(OR(LEFT(UPPER(TRIM(A1006)),2)="Y:",LEFT(UPPER(TRIM(A1006)),10)="YESTERDAY:"),"Y",IF(OR(LEFT(UPPER(TRIM(A1006)),2)="T:",LEFT(UPPER(TRIM(A1006)),6)="TODAY:"),"T",IF(OR(LEFT(UPPER(TRIM(A1006)),2)="B:",LEFT(UPPER(TRIM(A1006)),8)="BLOCKER:",LEFT(UPPER(TRIM(A1006)),9)="BLOCKERS:",LEFT(UPPER(TRIM(A1006)),8)="BLOCKED:"),"B",""))))</f>
      </c>
      <c r="E1006" s="17">
        <f>IF(D1006="","",TRIM(MID(A1006,FIND(":",A1006)+1,500)))</f>
      </c>
    </row>
    <row r="1007">
      <c r="B1007" s="17">
        <f>IF(A1007="","",IF(COUNTIF(Roster[Name],IF(RIGHT(IF(LEFT(TRIM(A1007),1)="[",TRIM(MID(TRIM(A1007),FIND("]",TRIM(A1007)&amp;"]")+1,200)),TRIM(A1007)),1)=")",TRIM(LEFT(IF(LEFT(TRIM(A1007),1)="[",TRIM(MID(TRIM(A1007),FIND("]",TRIM(A1007)&amp;"]")+1,200)),TRIM(A1007)),FIND("(",IF(LEFT(TRIM(A1007),1)="[",TRIM(MID(TRIM(A1007),FIND("]",TRIM(A1007)&amp;"]")+1,200)),TRIM(A1007))&amp;"(")-1)),IF(LEFT(TRIM(A1007),1)="[",TRIM(MID(TRIM(A1007),FIND("]",TRIM(A1007)&amp;"]")+1,200)),TRIM(A1007))))&gt;0,IF(RIGHT(IF(LEFT(TRIM(A1007),1)="[",TRIM(MID(TRIM(A1007),FIND("]",TRIM(A1007)&amp;"]")+1,200)),TRIM(A1007)),1)=")",TRIM(LEFT(IF(LEFT(TRIM(A1007),1)="[",TRIM(MID(TRIM(A1007),FIND("]",TRIM(A1007)&amp;"]")+1,200)),TRIM(A1007)),FIND("(",IF(LEFT(TRIM(A1007),1)="[",TRIM(MID(TRIM(A1007),FIND("]",TRIM(A1007)&amp;"]")+1,200)),TRIM(A1007))&amp;"(")-1)),IF(LEFT(TRIM(A1007),1)="[",TRIM(MID(TRIM(A1007),FIND("]",TRIM(A1007)&amp;"]")+1,200)),TRIM(A1007))),""))</f>
      </c>
      <c r="C1007" s="17">
        <f>IF(B1007&lt;&gt;"",B1007,C1006)</f>
      </c>
      <c r="D1007" s="17">
        <f>IF(A1007="","",IF(OR(LEFT(UPPER(TRIM(A1007)),2)="Y:",LEFT(UPPER(TRIM(A1007)),10)="YESTERDAY:"),"Y",IF(OR(LEFT(UPPER(TRIM(A1007)),2)="T:",LEFT(UPPER(TRIM(A1007)),6)="TODAY:"),"T",IF(OR(LEFT(UPPER(TRIM(A1007)),2)="B:",LEFT(UPPER(TRIM(A1007)),8)="BLOCKER:",LEFT(UPPER(TRIM(A1007)),9)="BLOCKERS:",LEFT(UPPER(TRIM(A1007)),8)="BLOCKED:"),"B",""))))</f>
      </c>
      <c r="E1007" s="17">
        <f>IF(D1007="","",TRIM(MID(A1007,FIND(":",A1007)+1,500)))</f>
      </c>
    </row>
    <row r="1008">
      <c r="B1008" s="17">
        <f>IF(A1008="","",IF(COUNTIF(Roster[Name],IF(RIGHT(IF(LEFT(TRIM(A1008),1)="[",TRIM(MID(TRIM(A1008),FIND("]",TRIM(A1008)&amp;"]")+1,200)),TRIM(A1008)),1)=")",TRIM(LEFT(IF(LEFT(TRIM(A1008),1)="[",TRIM(MID(TRIM(A1008),FIND("]",TRIM(A1008)&amp;"]")+1,200)),TRIM(A1008)),FIND("(",IF(LEFT(TRIM(A1008),1)="[",TRIM(MID(TRIM(A1008),FIND("]",TRIM(A1008)&amp;"]")+1,200)),TRIM(A1008))&amp;"(")-1)),IF(LEFT(TRIM(A1008),1)="[",TRIM(MID(TRIM(A1008),FIND("]",TRIM(A1008)&amp;"]")+1,200)),TRIM(A1008))))&gt;0,IF(RIGHT(IF(LEFT(TRIM(A1008),1)="[",TRIM(MID(TRIM(A1008),FIND("]",TRIM(A1008)&amp;"]")+1,200)),TRIM(A1008)),1)=")",TRIM(LEFT(IF(LEFT(TRIM(A1008),1)="[",TRIM(MID(TRIM(A1008),FIND("]",TRIM(A1008)&amp;"]")+1,200)),TRIM(A1008)),FIND("(",IF(LEFT(TRIM(A1008),1)="[",TRIM(MID(TRIM(A1008),FIND("]",TRIM(A1008)&amp;"]")+1,200)),TRIM(A1008))&amp;"(")-1)),IF(LEFT(TRIM(A1008),1)="[",TRIM(MID(TRIM(A1008),FIND("]",TRIM(A1008)&amp;"]")+1,200)),TRIM(A1008))),""))</f>
      </c>
      <c r="C1008" s="17">
        <f>IF(B1008&lt;&gt;"",B1008,C1007)</f>
      </c>
      <c r="D1008" s="17">
        <f>IF(A1008="","",IF(OR(LEFT(UPPER(TRIM(A1008)),2)="Y:",LEFT(UPPER(TRIM(A1008)),10)="YESTERDAY:"),"Y",IF(OR(LEFT(UPPER(TRIM(A1008)),2)="T:",LEFT(UPPER(TRIM(A1008)),6)="TODAY:"),"T",IF(OR(LEFT(UPPER(TRIM(A1008)),2)="B:",LEFT(UPPER(TRIM(A1008)),8)="BLOCKER:",LEFT(UPPER(TRIM(A1008)),9)="BLOCKERS:",LEFT(UPPER(TRIM(A1008)),8)="BLOCKED:"),"B",""))))</f>
      </c>
      <c r="E1008" s="17">
        <f>IF(D1008="","",TRIM(MID(A1008,FIND(":",A1008)+1,500)))</f>
      </c>
    </row>
    <row r="1009">
      <c r="B1009" s="17">
        <f>IF(A1009="","",IF(COUNTIF(Roster[Name],IF(RIGHT(IF(LEFT(TRIM(A1009),1)="[",TRIM(MID(TRIM(A1009),FIND("]",TRIM(A1009)&amp;"]")+1,200)),TRIM(A1009)),1)=")",TRIM(LEFT(IF(LEFT(TRIM(A1009),1)="[",TRIM(MID(TRIM(A1009),FIND("]",TRIM(A1009)&amp;"]")+1,200)),TRIM(A1009)),FIND("(",IF(LEFT(TRIM(A1009),1)="[",TRIM(MID(TRIM(A1009),FIND("]",TRIM(A1009)&amp;"]")+1,200)),TRIM(A1009))&amp;"(")-1)),IF(LEFT(TRIM(A1009),1)="[",TRIM(MID(TRIM(A1009),FIND("]",TRIM(A1009)&amp;"]")+1,200)),TRIM(A1009))))&gt;0,IF(RIGHT(IF(LEFT(TRIM(A1009),1)="[",TRIM(MID(TRIM(A1009),FIND("]",TRIM(A1009)&amp;"]")+1,200)),TRIM(A1009)),1)=")",TRIM(LEFT(IF(LEFT(TRIM(A1009),1)="[",TRIM(MID(TRIM(A1009),FIND("]",TRIM(A1009)&amp;"]")+1,200)),TRIM(A1009)),FIND("(",IF(LEFT(TRIM(A1009),1)="[",TRIM(MID(TRIM(A1009),FIND("]",TRIM(A1009)&amp;"]")+1,200)),TRIM(A1009))&amp;"(")-1)),IF(LEFT(TRIM(A1009),1)="[",TRIM(MID(TRIM(A1009),FIND("]",TRIM(A1009)&amp;"]")+1,200)),TRIM(A1009))),""))</f>
      </c>
      <c r="C1009" s="17">
        <f>IF(B1009&lt;&gt;"",B1009,C1008)</f>
      </c>
      <c r="D1009" s="17">
        <f>IF(A1009="","",IF(OR(LEFT(UPPER(TRIM(A1009)),2)="Y:",LEFT(UPPER(TRIM(A1009)),10)="YESTERDAY:"),"Y",IF(OR(LEFT(UPPER(TRIM(A1009)),2)="T:",LEFT(UPPER(TRIM(A1009)),6)="TODAY:"),"T",IF(OR(LEFT(UPPER(TRIM(A1009)),2)="B:",LEFT(UPPER(TRIM(A1009)),8)="BLOCKER:",LEFT(UPPER(TRIM(A1009)),9)="BLOCKERS:",LEFT(UPPER(TRIM(A1009)),8)="BLOCKED:"),"B",""))))</f>
      </c>
      <c r="E1009" s="17">
        <f>IF(D1009="","",TRIM(MID(A1009,FIND(":",A1009)+1,500)))</f>
      </c>
    </row>
    <row r="1010">
      <c r="B1010" s="17">
        <f>IF(A1010="","",IF(COUNTIF(Roster[Name],IF(RIGHT(IF(LEFT(TRIM(A1010),1)="[",TRIM(MID(TRIM(A1010),FIND("]",TRIM(A1010)&amp;"]")+1,200)),TRIM(A1010)),1)=")",TRIM(LEFT(IF(LEFT(TRIM(A1010),1)="[",TRIM(MID(TRIM(A1010),FIND("]",TRIM(A1010)&amp;"]")+1,200)),TRIM(A1010)),FIND("(",IF(LEFT(TRIM(A1010),1)="[",TRIM(MID(TRIM(A1010),FIND("]",TRIM(A1010)&amp;"]")+1,200)),TRIM(A1010))&amp;"(")-1)),IF(LEFT(TRIM(A1010),1)="[",TRIM(MID(TRIM(A1010),FIND("]",TRIM(A1010)&amp;"]")+1,200)),TRIM(A1010))))&gt;0,IF(RIGHT(IF(LEFT(TRIM(A1010),1)="[",TRIM(MID(TRIM(A1010),FIND("]",TRIM(A1010)&amp;"]")+1,200)),TRIM(A1010)),1)=")",TRIM(LEFT(IF(LEFT(TRIM(A1010),1)="[",TRIM(MID(TRIM(A1010),FIND("]",TRIM(A1010)&amp;"]")+1,200)),TRIM(A1010)),FIND("(",IF(LEFT(TRIM(A1010),1)="[",TRIM(MID(TRIM(A1010),FIND("]",TRIM(A1010)&amp;"]")+1,200)),TRIM(A1010))&amp;"(")-1)),IF(LEFT(TRIM(A1010),1)="[",TRIM(MID(TRIM(A1010),FIND("]",TRIM(A1010)&amp;"]")+1,200)),TRIM(A1010))),""))</f>
      </c>
      <c r="C1010" s="17">
        <f>IF(B1010&lt;&gt;"",B1010,C1009)</f>
      </c>
      <c r="D1010" s="17">
        <f>IF(A1010="","",IF(OR(LEFT(UPPER(TRIM(A1010)),2)="Y:",LEFT(UPPER(TRIM(A1010)),10)="YESTERDAY:"),"Y",IF(OR(LEFT(UPPER(TRIM(A1010)),2)="T:",LEFT(UPPER(TRIM(A1010)),6)="TODAY:"),"T",IF(OR(LEFT(UPPER(TRIM(A1010)),2)="B:",LEFT(UPPER(TRIM(A1010)),8)="BLOCKER:",LEFT(UPPER(TRIM(A1010)),9)="BLOCKERS:",LEFT(UPPER(TRIM(A1010)),8)="BLOCKED:"),"B",""))))</f>
      </c>
      <c r="E1010" s="17">
        <f>IF(D1010="","",TRIM(MID(A1010,FIND(":",A1010)+1,500)))</f>
      </c>
    </row>
    <row r="1011">
      <c r="B1011" s="17">
        <f>IF(A1011="","",IF(COUNTIF(Roster[Name],IF(RIGHT(IF(LEFT(TRIM(A1011),1)="[",TRIM(MID(TRIM(A1011),FIND("]",TRIM(A1011)&amp;"]")+1,200)),TRIM(A1011)),1)=")",TRIM(LEFT(IF(LEFT(TRIM(A1011),1)="[",TRIM(MID(TRIM(A1011),FIND("]",TRIM(A1011)&amp;"]")+1,200)),TRIM(A1011)),FIND("(",IF(LEFT(TRIM(A1011),1)="[",TRIM(MID(TRIM(A1011),FIND("]",TRIM(A1011)&amp;"]")+1,200)),TRIM(A1011))&amp;"(")-1)),IF(LEFT(TRIM(A1011),1)="[",TRIM(MID(TRIM(A1011),FIND("]",TRIM(A1011)&amp;"]")+1,200)),TRIM(A1011))))&gt;0,IF(RIGHT(IF(LEFT(TRIM(A1011),1)="[",TRIM(MID(TRIM(A1011),FIND("]",TRIM(A1011)&amp;"]")+1,200)),TRIM(A1011)),1)=")",TRIM(LEFT(IF(LEFT(TRIM(A1011),1)="[",TRIM(MID(TRIM(A1011),FIND("]",TRIM(A1011)&amp;"]")+1,200)),TRIM(A1011)),FIND("(",IF(LEFT(TRIM(A1011),1)="[",TRIM(MID(TRIM(A1011),FIND("]",TRIM(A1011)&amp;"]")+1,200)),TRIM(A1011))&amp;"(")-1)),IF(LEFT(TRIM(A1011),1)="[",TRIM(MID(TRIM(A1011),FIND("]",TRIM(A1011)&amp;"]")+1,200)),TRIM(A1011))),""))</f>
      </c>
      <c r="C1011" s="17">
        <f>IF(B1011&lt;&gt;"",B1011,C1010)</f>
      </c>
      <c r="D1011" s="17">
        <f>IF(A1011="","",IF(OR(LEFT(UPPER(TRIM(A1011)),2)="Y:",LEFT(UPPER(TRIM(A1011)),10)="YESTERDAY:"),"Y",IF(OR(LEFT(UPPER(TRIM(A1011)),2)="T:",LEFT(UPPER(TRIM(A1011)),6)="TODAY:"),"T",IF(OR(LEFT(UPPER(TRIM(A1011)),2)="B:",LEFT(UPPER(TRIM(A1011)),8)="BLOCKER:",LEFT(UPPER(TRIM(A1011)),9)="BLOCKERS:",LEFT(UPPER(TRIM(A1011)),8)="BLOCKED:"),"B",""))))</f>
      </c>
      <c r="E1011" s="17">
        <f>IF(D1011="","",TRIM(MID(A1011,FIND(":",A1011)+1,500)))</f>
      </c>
    </row>
    <row r="1012">
      <c r="B1012" s="17">
        <f>IF(A1012="","",IF(COUNTIF(Roster[Name],IF(RIGHT(IF(LEFT(TRIM(A1012),1)="[",TRIM(MID(TRIM(A1012),FIND("]",TRIM(A1012)&amp;"]")+1,200)),TRIM(A1012)),1)=")",TRIM(LEFT(IF(LEFT(TRIM(A1012),1)="[",TRIM(MID(TRIM(A1012),FIND("]",TRIM(A1012)&amp;"]")+1,200)),TRIM(A1012)),FIND("(",IF(LEFT(TRIM(A1012),1)="[",TRIM(MID(TRIM(A1012),FIND("]",TRIM(A1012)&amp;"]")+1,200)),TRIM(A1012))&amp;"(")-1)),IF(LEFT(TRIM(A1012),1)="[",TRIM(MID(TRIM(A1012),FIND("]",TRIM(A1012)&amp;"]")+1,200)),TRIM(A1012))))&gt;0,IF(RIGHT(IF(LEFT(TRIM(A1012),1)="[",TRIM(MID(TRIM(A1012),FIND("]",TRIM(A1012)&amp;"]")+1,200)),TRIM(A1012)),1)=")",TRIM(LEFT(IF(LEFT(TRIM(A1012),1)="[",TRIM(MID(TRIM(A1012),FIND("]",TRIM(A1012)&amp;"]")+1,200)),TRIM(A1012)),FIND("(",IF(LEFT(TRIM(A1012),1)="[",TRIM(MID(TRIM(A1012),FIND("]",TRIM(A1012)&amp;"]")+1,200)),TRIM(A1012))&amp;"(")-1)),IF(LEFT(TRIM(A1012),1)="[",TRIM(MID(TRIM(A1012),FIND("]",TRIM(A1012)&amp;"]")+1,200)),TRIM(A1012))),""))</f>
      </c>
      <c r="C1012" s="17">
        <f>IF(B1012&lt;&gt;"",B1012,C1011)</f>
      </c>
      <c r="D1012" s="17">
        <f>IF(A1012="","",IF(OR(LEFT(UPPER(TRIM(A1012)),2)="Y:",LEFT(UPPER(TRIM(A1012)),10)="YESTERDAY:"),"Y",IF(OR(LEFT(UPPER(TRIM(A1012)),2)="T:",LEFT(UPPER(TRIM(A1012)),6)="TODAY:"),"T",IF(OR(LEFT(UPPER(TRIM(A1012)),2)="B:",LEFT(UPPER(TRIM(A1012)),8)="BLOCKER:",LEFT(UPPER(TRIM(A1012)),9)="BLOCKERS:",LEFT(UPPER(TRIM(A1012)),8)="BLOCKED:"),"B",""))))</f>
      </c>
      <c r="E1012" s="17">
        <f>IF(D1012="","",TRIM(MID(A1012,FIND(":",A1012)+1,500)))</f>
      </c>
    </row>
    <row r="1013">
      <c r="B1013" s="17">
        <f>IF(A1013="","",IF(COUNTIF(Roster[Name],IF(RIGHT(IF(LEFT(TRIM(A1013),1)="[",TRIM(MID(TRIM(A1013),FIND("]",TRIM(A1013)&amp;"]")+1,200)),TRIM(A1013)),1)=")",TRIM(LEFT(IF(LEFT(TRIM(A1013),1)="[",TRIM(MID(TRIM(A1013),FIND("]",TRIM(A1013)&amp;"]")+1,200)),TRIM(A1013)),FIND("(",IF(LEFT(TRIM(A1013),1)="[",TRIM(MID(TRIM(A1013),FIND("]",TRIM(A1013)&amp;"]")+1,200)),TRIM(A1013))&amp;"(")-1)),IF(LEFT(TRIM(A1013),1)="[",TRIM(MID(TRIM(A1013),FIND("]",TRIM(A1013)&amp;"]")+1,200)),TRIM(A1013))))&gt;0,IF(RIGHT(IF(LEFT(TRIM(A1013),1)="[",TRIM(MID(TRIM(A1013),FIND("]",TRIM(A1013)&amp;"]")+1,200)),TRIM(A1013)),1)=")",TRIM(LEFT(IF(LEFT(TRIM(A1013),1)="[",TRIM(MID(TRIM(A1013),FIND("]",TRIM(A1013)&amp;"]")+1,200)),TRIM(A1013)),FIND("(",IF(LEFT(TRIM(A1013),1)="[",TRIM(MID(TRIM(A1013),FIND("]",TRIM(A1013)&amp;"]")+1,200)),TRIM(A1013))&amp;"(")-1)),IF(LEFT(TRIM(A1013),1)="[",TRIM(MID(TRIM(A1013),FIND("]",TRIM(A1013)&amp;"]")+1,200)),TRIM(A1013))),""))</f>
      </c>
      <c r="C1013" s="17">
        <f>IF(B1013&lt;&gt;"",B1013,C1012)</f>
      </c>
      <c r="D1013" s="17">
        <f>IF(A1013="","",IF(OR(LEFT(UPPER(TRIM(A1013)),2)="Y:",LEFT(UPPER(TRIM(A1013)),10)="YESTERDAY:"),"Y",IF(OR(LEFT(UPPER(TRIM(A1013)),2)="T:",LEFT(UPPER(TRIM(A1013)),6)="TODAY:"),"T",IF(OR(LEFT(UPPER(TRIM(A1013)),2)="B:",LEFT(UPPER(TRIM(A1013)),8)="BLOCKER:",LEFT(UPPER(TRIM(A1013)),9)="BLOCKERS:",LEFT(UPPER(TRIM(A1013)),8)="BLOCKED:"),"B",""))))</f>
      </c>
      <c r="E1013" s="17">
        <f>IF(D1013="","",TRIM(MID(A1013,FIND(":",A1013)+1,500)))</f>
      </c>
    </row>
    <row r="1014">
      <c r="B1014" s="17">
        <f>IF(A1014="","",IF(COUNTIF(Roster[Name],IF(RIGHT(IF(LEFT(TRIM(A1014),1)="[",TRIM(MID(TRIM(A1014),FIND("]",TRIM(A1014)&amp;"]")+1,200)),TRIM(A1014)),1)=")",TRIM(LEFT(IF(LEFT(TRIM(A1014),1)="[",TRIM(MID(TRIM(A1014),FIND("]",TRIM(A1014)&amp;"]")+1,200)),TRIM(A1014)),FIND("(",IF(LEFT(TRIM(A1014),1)="[",TRIM(MID(TRIM(A1014),FIND("]",TRIM(A1014)&amp;"]")+1,200)),TRIM(A1014))&amp;"(")-1)),IF(LEFT(TRIM(A1014),1)="[",TRIM(MID(TRIM(A1014),FIND("]",TRIM(A1014)&amp;"]")+1,200)),TRIM(A1014))))&gt;0,IF(RIGHT(IF(LEFT(TRIM(A1014),1)="[",TRIM(MID(TRIM(A1014),FIND("]",TRIM(A1014)&amp;"]")+1,200)),TRIM(A1014)),1)=")",TRIM(LEFT(IF(LEFT(TRIM(A1014),1)="[",TRIM(MID(TRIM(A1014),FIND("]",TRIM(A1014)&amp;"]")+1,200)),TRIM(A1014)),FIND("(",IF(LEFT(TRIM(A1014),1)="[",TRIM(MID(TRIM(A1014),FIND("]",TRIM(A1014)&amp;"]")+1,200)),TRIM(A1014))&amp;"(")-1)),IF(LEFT(TRIM(A1014),1)="[",TRIM(MID(TRIM(A1014),FIND("]",TRIM(A1014)&amp;"]")+1,200)),TRIM(A1014))),""))</f>
      </c>
      <c r="C1014" s="17">
        <f>IF(B1014&lt;&gt;"",B1014,C1013)</f>
      </c>
      <c r="D1014" s="17">
        <f>IF(A1014="","",IF(OR(LEFT(UPPER(TRIM(A1014)),2)="Y:",LEFT(UPPER(TRIM(A1014)),10)="YESTERDAY:"),"Y",IF(OR(LEFT(UPPER(TRIM(A1014)),2)="T:",LEFT(UPPER(TRIM(A1014)),6)="TODAY:"),"T",IF(OR(LEFT(UPPER(TRIM(A1014)),2)="B:",LEFT(UPPER(TRIM(A1014)),8)="BLOCKER:",LEFT(UPPER(TRIM(A1014)),9)="BLOCKERS:",LEFT(UPPER(TRIM(A1014)),8)="BLOCKED:"),"B",""))))</f>
      </c>
      <c r="E1014" s="17">
        <f>IF(D1014="","",TRIM(MID(A1014,FIND(":",A1014)+1,500)))</f>
      </c>
    </row>
    <row r="1015">
      <c r="B1015" s="17">
        <f>IF(A1015="","",IF(COUNTIF(Roster[Name],IF(RIGHT(IF(LEFT(TRIM(A1015),1)="[",TRIM(MID(TRIM(A1015),FIND("]",TRIM(A1015)&amp;"]")+1,200)),TRIM(A1015)),1)=")",TRIM(LEFT(IF(LEFT(TRIM(A1015),1)="[",TRIM(MID(TRIM(A1015),FIND("]",TRIM(A1015)&amp;"]")+1,200)),TRIM(A1015)),FIND("(",IF(LEFT(TRIM(A1015),1)="[",TRIM(MID(TRIM(A1015),FIND("]",TRIM(A1015)&amp;"]")+1,200)),TRIM(A1015))&amp;"(")-1)),IF(LEFT(TRIM(A1015),1)="[",TRIM(MID(TRIM(A1015),FIND("]",TRIM(A1015)&amp;"]")+1,200)),TRIM(A1015))))&gt;0,IF(RIGHT(IF(LEFT(TRIM(A1015),1)="[",TRIM(MID(TRIM(A1015),FIND("]",TRIM(A1015)&amp;"]")+1,200)),TRIM(A1015)),1)=")",TRIM(LEFT(IF(LEFT(TRIM(A1015),1)="[",TRIM(MID(TRIM(A1015),FIND("]",TRIM(A1015)&amp;"]")+1,200)),TRIM(A1015)),FIND("(",IF(LEFT(TRIM(A1015),1)="[",TRIM(MID(TRIM(A1015),FIND("]",TRIM(A1015)&amp;"]")+1,200)),TRIM(A1015))&amp;"(")-1)),IF(LEFT(TRIM(A1015),1)="[",TRIM(MID(TRIM(A1015),FIND("]",TRIM(A1015)&amp;"]")+1,200)),TRIM(A1015))),""))</f>
      </c>
      <c r="C1015" s="17">
        <f>IF(B1015&lt;&gt;"",B1015,C1014)</f>
      </c>
      <c r="D1015" s="17">
        <f>IF(A1015="","",IF(OR(LEFT(UPPER(TRIM(A1015)),2)="Y:",LEFT(UPPER(TRIM(A1015)),10)="YESTERDAY:"),"Y",IF(OR(LEFT(UPPER(TRIM(A1015)),2)="T:",LEFT(UPPER(TRIM(A1015)),6)="TODAY:"),"T",IF(OR(LEFT(UPPER(TRIM(A1015)),2)="B:",LEFT(UPPER(TRIM(A1015)),8)="BLOCKER:",LEFT(UPPER(TRIM(A1015)),9)="BLOCKERS:",LEFT(UPPER(TRIM(A1015)),8)="BLOCKED:"),"B",""))))</f>
      </c>
      <c r="E1015" s="17">
        <f>IF(D1015="","",TRIM(MID(A1015,FIND(":",A1015)+1,500)))</f>
      </c>
    </row>
    <row r="1016">
      <c r="B1016" s="17">
        <f>IF(A1016="","",IF(COUNTIF(Roster[Name],IF(RIGHT(IF(LEFT(TRIM(A1016),1)="[",TRIM(MID(TRIM(A1016),FIND("]",TRIM(A1016)&amp;"]")+1,200)),TRIM(A1016)),1)=")",TRIM(LEFT(IF(LEFT(TRIM(A1016),1)="[",TRIM(MID(TRIM(A1016),FIND("]",TRIM(A1016)&amp;"]")+1,200)),TRIM(A1016)),FIND("(",IF(LEFT(TRIM(A1016),1)="[",TRIM(MID(TRIM(A1016),FIND("]",TRIM(A1016)&amp;"]")+1,200)),TRIM(A1016))&amp;"(")-1)),IF(LEFT(TRIM(A1016),1)="[",TRIM(MID(TRIM(A1016),FIND("]",TRIM(A1016)&amp;"]")+1,200)),TRIM(A1016))))&gt;0,IF(RIGHT(IF(LEFT(TRIM(A1016),1)="[",TRIM(MID(TRIM(A1016),FIND("]",TRIM(A1016)&amp;"]")+1,200)),TRIM(A1016)),1)=")",TRIM(LEFT(IF(LEFT(TRIM(A1016),1)="[",TRIM(MID(TRIM(A1016),FIND("]",TRIM(A1016)&amp;"]")+1,200)),TRIM(A1016)),FIND("(",IF(LEFT(TRIM(A1016),1)="[",TRIM(MID(TRIM(A1016),FIND("]",TRIM(A1016)&amp;"]")+1,200)),TRIM(A1016))&amp;"(")-1)),IF(LEFT(TRIM(A1016),1)="[",TRIM(MID(TRIM(A1016),FIND("]",TRIM(A1016)&amp;"]")+1,200)),TRIM(A1016))),""))</f>
      </c>
      <c r="C1016" s="17">
        <f>IF(B1016&lt;&gt;"",B1016,C1015)</f>
      </c>
      <c r="D1016" s="17">
        <f>IF(A1016="","",IF(OR(LEFT(UPPER(TRIM(A1016)),2)="Y:",LEFT(UPPER(TRIM(A1016)),10)="YESTERDAY:"),"Y",IF(OR(LEFT(UPPER(TRIM(A1016)),2)="T:",LEFT(UPPER(TRIM(A1016)),6)="TODAY:"),"T",IF(OR(LEFT(UPPER(TRIM(A1016)),2)="B:",LEFT(UPPER(TRIM(A1016)),8)="BLOCKER:",LEFT(UPPER(TRIM(A1016)),9)="BLOCKERS:",LEFT(UPPER(TRIM(A1016)),8)="BLOCKED:"),"B",""))))</f>
      </c>
      <c r="E1016" s="17">
        <f>IF(D1016="","",TRIM(MID(A1016,FIND(":",A1016)+1,500)))</f>
      </c>
    </row>
    <row r="1017">
      <c r="B1017" s="17">
        <f>IF(A1017="","",IF(COUNTIF(Roster[Name],IF(RIGHT(IF(LEFT(TRIM(A1017),1)="[",TRIM(MID(TRIM(A1017),FIND("]",TRIM(A1017)&amp;"]")+1,200)),TRIM(A1017)),1)=")",TRIM(LEFT(IF(LEFT(TRIM(A1017),1)="[",TRIM(MID(TRIM(A1017),FIND("]",TRIM(A1017)&amp;"]")+1,200)),TRIM(A1017)),FIND("(",IF(LEFT(TRIM(A1017),1)="[",TRIM(MID(TRIM(A1017),FIND("]",TRIM(A1017)&amp;"]")+1,200)),TRIM(A1017))&amp;"(")-1)),IF(LEFT(TRIM(A1017),1)="[",TRIM(MID(TRIM(A1017),FIND("]",TRIM(A1017)&amp;"]")+1,200)),TRIM(A1017))))&gt;0,IF(RIGHT(IF(LEFT(TRIM(A1017),1)="[",TRIM(MID(TRIM(A1017),FIND("]",TRIM(A1017)&amp;"]")+1,200)),TRIM(A1017)),1)=")",TRIM(LEFT(IF(LEFT(TRIM(A1017),1)="[",TRIM(MID(TRIM(A1017),FIND("]",TRIM(A1017)&amp;"]")+1,200)),TRIM(A1017)),FIND("(",IF(LEFT(TRIM(A1017),1)="[",TRIM(MID(TRIM(A1017),FIND("]",TRIM(A1017)&amp;"]")+1,200)),TRIM(A1017))&amp;"(")-1)),IF(LEFT(TRIM(A1017),1)="[",TRIM(MID(TRIM(A1017),FIND("]",TRIM(A1017)&amp;"]")+1,200)),TRIM(A1017))),""))</f>
      </c>
      <c r="C1017" s="17">
        <f>IF(B1017&lt;&gt;"",B1017,C1016)</f>
      </c>
      <c r="D1017" s="17">
        <f>IF(A1017="","",IF(OR(LEFT(UPPER(TRIM(A1017)),2)="Y:",LEFT(UPPER(TRIM(A1017)),10)="YESTERDAY:"),"Y",IF(OR(LEFT(UPPER(TRIM(A1017)),2)="T:",LEFT(UPPER(TRIM(A1017)),6)="TODAY:"),"T",IF(OR(LEFT(UPPER(TRIM(A1017)),2)="B:",LEFT(UPPER(TRIM(A1017)),8)="BLOCKER:",LEFT(UPPER(TRIM(A1017)),9)="BLOCKERS:",LEFT(UPPER(TRIM(A1017)),8)="BLOCKED:"),"B",""))))</f>
      </c>
      <c r="E1017" s="17">
        <f>IF(D1017="","",TRIM(MID(A1017,FIND(":",A1017)+1,500)))</f>
      </c>
    </row>
    <row r="1018">
      <c r="B1018" s="17">
        <f>IF(A1018="","",IF(COUNTIF(Roster[Name],IF(RIGHT(IF(LEFT(TRIM(A1018),1)="[",TRIM(MID(TRIM(A1018),FIND("]",TRIM(A1018)&amp;"]")+1,200)),TRIM(A1018)),1)=")",TRIM(LEFT(IF(LEFT(TRIM(A1018),1)="[",TRIM(MID(TRIM(A1018),FIND("]",TRIM(A1018)&amp;"]")+1,200)),TRIM(A1018)),FIND("(",IF(LEFT(TRIM(A1018),1)="[",TRIM(MID(TRIM(A1018),FIND("]",TRIM(A1018)&amp;"]")+1,200)),TRIM(A1018))&amp;"(")-1)),IF(LEFT(TRIM(A1018),1)="[",TRIM(MID(TRIM(A1018),FIND("]",TRIM(A1018)&amp;"]")+1,200)),TRIM(A1018))))&gt;0,IF(RIGHT(IF(LEFT(TRIM(A1018),1)="[",TRIM(MID(TRIM(A1018),FIND("]",TRIM(A1018)&amp;"]")+1,200)),TRIM(A1018)),1)=")",TRIM(LEFT(IF(LEFT(TRIM(A1018),1)="[",TRIM(MID(TRIM(A1018),FIND("]",TRIM(A1018)&amp;"]")+1,200)),TRIM(A1018)),FIND("(",IF(LEFT(TRIM(A1018),1)="[",TRIM(MID(TRIM(A1018),FIND("]",TRIM(A1018)&amp;"]")+1,200)),TRIM(A1018))&amp;"(")-1)),IF(LEFT(TRIM(A1018),1)="[",TRIM(MID(TRIM(A1018),FIND("]",TRIM(A1018)&amp;"]")+1,200)),TRIM(A1018))),""))</f>
      </c>
      <c r="C1018" s="17">
        <f>IF(B1018&lt;&gt;"",B1018,C1017)</f>
      </c>
      <c r="D1018" s="17">
        <f>IF(A1018="","",IF(OR(LEFT(UPPER(TRIM(A1018)),2)="Y:",LEFT(UPPER(TRIM(A1018)),10)="YESTERDAY:"),"Y",IF(OR(LEFT(UPPER(TRIM(A1018)),2)="T:",LEFT(UPPER(TRIM(A1018)),6)="TODAY:"),"T",IF(OR(LEFT(UPPER(TRIM(A1018)),2)="B:",LEFT(UPPER(TRIM(A1018)),8)="BLOCKER:",LEFT(UPPER(TRIM(A1018)),9)="BLOCKERS:",LEFT(UPPER(TRIM(A1018)),8)="BLOCKED:"),"B",""))))</f>
      </c>
      <c r="E1018" s="17">
        <f>IF(D1018="","",TRIM(MID(A1018,FIND(":",A1018)+1,500)))</f>
      </c>
    </row>
    <row r="1019">
      <c r="B1019" s="17">
        <f>IF(A1019="","",IF(COUNTIF(Roster[Name],IF(RIGHT(IF(LEFT(TRIM(A1019),1)="[",TRIM(MID(TRIM(A1019),FIND("]",TRIM(A1019)&amp;"]")+1,200)),TRIM(A1019)),1)=")",TRIM(LEFT(IF(LEFT(TRIM(A1019),1)="[",TRIM(MID(TRIM(A1019),FIND("]",TRIM(A1019)&amp;"]")+1,200)),TRIM(A1019)),FIND("(",IF(LEFT(TRIM(A1019),1)="[",TRIM(MID(TRIM(A1019),FIND("]",TRIM(A1019)&amp;"]")+1,200)),TRIM(A1019))&amp;"(")-1)),IF(LEFT(TRIM(A1019),1)="[",TRIM(MID(TRIM(A1019),FIND("]",TRIM(A1019)&amp;"]")+1,200)),TRIM(A1019))))&gt;0,IF(RIGHT(IF(LEFT(TRIM(A1019),1)="[",TRIM(MID(TRIM(A1019),FIND("]",TRIM(A1019)&amp;"]")+1,200)),TRIM(A1019)),1)=")",TRIM(LEFT(IF(LEFT(TRIM(A1019),1)="[",TRIM(MID(TRIM(A1019),FIND("]",TRIM(A1019)&amp;"]")+1,200)),TRIM(A1019)),FIND("(",IF(LEFT(TRIM(A1019),1)="[",TRIM(MID(TRIM(A1019),FIND("]",TRIM(A1019)&amp;"]")+1,200)),TRIM(A1019))&amp;"(")-1)),IF(LEFT(TRIM(A1019),1)="[",TRIM(MID(TRIM(A1019),FIND("]",TRIM(A1019)&amp;"]")+1,200)),TRIM(A1019))),""))</f>
      </c>
      <c r="C1019" s="17">
        <f>IF(B1019&lt;&gt;"",B1019,C1018)</f>
      </c>
      <c r="D1019" s="17">
        <f>IF(A1019="","",IF(OR(LEFT(UPPER(TRIM(A1019)),2)="Y:",LEFT(UPPER(TRIM(A1019)),10)="YESTERDAY:"),"Y",IF(OR(LEFT(UPPER(TRIM(A1019)),2)="T:",LEFT(UPPER(TRIM(A1019)),6)="TODAY:"),"T",IF(OR(LEFT(UPPER(TRIM(A1019)),2)="B:",LEFT(UPPER(TRIM(A1019)),8)="BLOCKER:",LEFT(UPPER(TRIM(A1019)),9)="BLOCKERS:",LEFT(UPPER(TRIM(A1019)),8)="BLOCKED:"),"B",""))))</f>
      </c>
      <c r="E1019" s="17">
        <f>IF(D1019="","",TRIM(MID(A1019,FIND(":",A1019)+1,500)))</f>
      </c>
    </row>
    <row r="1020">
      <c r="B1020" s="17">
        <f>IF(A1020="","",IF(COUNTIF(Roster[Name],IF(RIGHT(IF(LEFT(TRIM(A1020),1)="[",TRIM(MID(TRIM(A1020),FIND("]",TRIM(A1020)&amp;"]")+1,200)),TRIM(A1020)),1)=")",TRIM(LEFT(IF(LEFT(TRIM(A1020),1)="[",TRIM(MID(TRIM(A1020),FIND("]",TRIM(A1020)&amp;"]")+1,200)),TRIM(A1020)),FIND("(",IF(LEFT(TRIM(A1020),1)="[",TRIM(MID(TRIM(A1020),FIND("]",TRIM(A1020)&amp;"]")+1,200)),TRIM(A1020))&amp;"(")-1)),IF(LEFT(TRIM(A1020),1)="[",TRIM(MID(TRIM(A1020),FIND("]",TRIM(A1020)&amp;"]")+1,200)),TRIM(A1020))))&gt;0,IF(RIGHT(IF(LEFT(TRIM(A1020),1)="[",TRIM(MID(TRIM(A1020),FIND("]",TRIM(A1020)&amp;"]")+1,200)),TRIM(A1020)),1)=")",TRIM(LEFT(IF(LEFT(TRIM(A1020),1)="[",TRIM(MID(TRIM(A1020),FIND("]",TRIM(A1020)&amp;"]")+1,200)),TRIM(A1020)),FIND("(",IF(LEFT(TRIM(A1020),1)="[",TRIM(MID(TRIM(A1020),FIND("]",TRIM(A1020)&amp;"]")+1,200)),TRIM(A1020))&amp;"(")-1)),IF(LEFT(TRIM(A1020),1)="[",TRIM(MID(TRIM(A1020),FIND("]",TRIM(A1020)&amp;"]")+1,200)),TRIM(A1020))),""))</f>
      </c>
      <c r="C1020" s="17">
        <f>IF(B1020&lt;&gt;"",B1020,C1019)</f>
      </c>
      <c r="D1020" s="17">
        <f>IF(A1020="","",IF(OR(LEFT(UPPER(TRIM(A1020)),2)="Y:",LEFT(UPPER(TRIM(A1020)),10)="YESTERDAY:"),"Y",IF(OR(LEFT(UPPER(TRIM(A1020)),2)="T:",LEFT(UPPER(TRIM(A1020)),6)="TODAY:"),"T",IF(OR(LEFT(UPPER(TRIM(A1020)),2)="B:",LEFT(UPPER(TRIM(A1020)),8)="BLOCKER:",LEFT(UPPER(TRIM(A1020)),9)="BLOCKERS:",LEFT(UPPER(TRIM(A1020)),8)="BLOCKED:"),"B",""))))</f>
      </c>
      <c r="E1020" s="17">
        <f>IF(D1020="","",TRIM(MID(A1020,FIND(":",A1020)+1,500)))</f>
      </c>
    </row>
    <row r="1021">
      <c r="B1021" s="17">
        <f>IF(A1021="","",IF(COUNTIF(Roster[Name],IF(RIGHT(IF(LEFT(TRIM(A1021),1)="[",TRIM(MID(TRIM(A1021),FIND("]",TRIM(A1021)&amp;"]")+1,200)),TRIM(A1021)),1)=")",TRIM(LEFT(IF(LEFT(TRIM(A1021),1)="[",TRIM(MID(TRIM(A1021),FIND("]",TRIM(A1021)&amp;"]")+1,200)),TRIM(A1021)),FIND("(",IF(LEFT(TRIM(A1021),1)="[",TRIM(MID(TRIM(A1021),FIND("]",TRIM(A1021)&amp;"]")+1,200)),TRIM(A1021))&amp;"(")-1)),IF(LEFT(TRIM(A1021),1)="[",TRIM(MID(TRIM(A1021),FIND("]",TRIM(A1021)&amp;"]")+1,200)),TRIM(A1021))))&gt;0,IF(RIGHT(IF(LEFT(TRIM(A1021),1)="[",TRIM(MID(TRIM(A1021),FIND("]",TRIM(A1021)&amp;"]")+1,200)),TRIM(A1021)),1)=")",TRIM(LEFT(IF(LEFT(TRIM(A1021),1)="[",TRIM(MID(TRIM(A1021),FIND("]",TRIM(A1021)&amp;"]")+1,200)),TRIM(A1021)),FIND("(",IF(LEFT(TRIM(A1021),1)="[",TRIM(MID(TRIM(A1021),FIND("]",TRIM(A1021)&amp;"]")+1,200)),TRIM(A1021))&amp;"(")-1)),IF(LEFT(TRIM(A1021),1)="[",TRIM(MID(TRIM(A1021),FIND("]",TRIM(A1021)&amp;"]")+1,200)),TRIM(A1021))),""))</f>
      </c>
      <c r="C1021" s="17">
        <f>IF(B1021&lt;&gt;"",B1021,C1020)</f>
      </c>
      <c r="D1021" s="17">
        <f>IF(A1021="","",IF(OR(LEFT(UPPER(TRIM(A1021)),2)="Y:",LEFT(UPPER(TRIM(A1021)),10)="YESTERDAY:"),"Y",IF(OR(LEFT(UPPER(TRIM(A1021)),2)="T:",LEFT(UPPER(TRIM(A1021)),6)="TODAY:"),"T",IF(OR(LEFT(UPPER(TRIM(A1021)),2)="B:",LEFT(UPPER(TRIM(A1021)),8)="BLOCKER:",LEFT(UPPER(TRIM(A1021)),9)="BLOCKERS:",LEFT(UPPER(TRIM(A1021)),8)="BLOCKED:"),"B",""))))</f>
      </c>
      <c r="E1021" s="17">
        <f>IF(D1021="","",TRIM(MID(A1021,FIND(":",A1021)+1,500)))</f>
      </c>
    </row>
    <row r="1022">
      <c r="B1022" s="17">
        <f>IF(A1022="","",IF(COUNTIF(Roster[Name],IF(RIGHT(IF(LEFT(TRIM(A1022),1)="[",TRIM(MID(TRIM(A1022),FIND("]",TRIM(A1022)&amp;"]")+1,200)),TRIM(A1022)),1)=")",TRIM(LEFT(IF(LEFT(TRIM(A1022),1)="[",TRIM(MID(TRIM(A1022),FIND("]",TRIM(A1022)&amp;"]")+1,200)),TRIM(A1022)),FIND("(",IF(LEFT(TRIM(A1022),1)="[",TRIM(MID(TRIM(A1022),FIND("]",TRIM(A1022)&amp;"]")+1,200)),TRIM(A1022))&amp;"(")-1)),IF(LEFT(TRIM(A1022),1)="[",TRIM(MID(TRIM(A1022),FIND("]",TRIM(A1022)&amp;"]")+1,200)),TRIM(A1022))))&gt;0,IF(RIGHT(IF(LEFT(TRIM(A1022),1)="[",TRIM(MID(TRIM(A1022),FIND("]",TRIM(A1022)&amp;"]")+1,200)),TRIM(A1022)),1)=")",TRIM(LEFT(IF(LEFT(TRIM(A1022),1)="[",TRIM(MID(TRIM(A1022),FIND("]",TRIM(A1022)&amp;"]")+1,200)),TRIM(A1022)),FIND("(",IF(LEFT(TRIM(A1022),1)="[",TRIM(MID(TRIM(A1022),FIND("]",TRIM(A1022)&amp;"]")+1,200)),TRIM(A1022))&amp;"(")-1)),IF(LEFT(TRIM(A1022),1)="[",TRIM(MID(TRIM(A1022),FIND("]",TRIM(A1022)&amp;"]")+1,200)),TRIM(A1022))),""))</f>
      </c>
      <c r="C1022" s="17">
        <f>IF(B1022&lt;&gt;"",B1022,C1021)</f>
      </c>
      <c r="D1022" s="17">
        <f>IF(A1022="","",IF(OR(LEFT(UPPER(TRIM(A1022)),2)="Y:",LEFT(UPPER(TRIM(A1022)),10)="YESTERDAY:"),"Y",IF(OR(LEFT(UPPER(TRIM(A1022)),2)="T:",LEFT(UPPER(TRIM(A1022)),6)="TODAY:"),"T",IF(OR(LEFT(UPPER(TRIM(A1022)),2)="B:",LEFT(UPPER(TRIM(A1022)),8)="BLOCKER:",LEFT(UPPER(TRIM(A1022)),9)="BLOCKERS:",LEFT(UPPER(TRIM(A1022)),8)="BLOCKED:"),"B",""))))</f>
      </c>
      <c r="E1022" s="17">
        <f>IF(D1022="","",TRIM(MID(A1022,FIND(":",A1022)+1,500)))</f>
      </c>
    </row>
    <row r="1023">
      <c r="B1023" s="17">
        <f>IF(A1023="","",IF(COUNTIF(Roster[Name],IF(RIGHT(IF(LEFT(TRIM(A1023),1)="[",TRIM(MID(TRIM(A1023),FIND("]",TRIM(A1023)&amp;"]")+1,200)),TRIM(A1023)),1)=")",TRIM(LEFT(IF(LEFT(TRIM(A1023),1)="[",TRIM(MID(TRIM(A1023),FIND("]",TRIM(A1023)&amp;"]")+1,200)),TRIM(A1023)),FIND("(",IF(LEFT(TRIM(A1023),1)="[",TRIM(MID(TRIM(A1023),FIND("]",TRIM(A1023)&amp;"]")+1,200)),TRIM(A1023))&amp;"(")-1)),IF(LEFT(TRIM(A1023),1)="[",TRIM(MID(TRIM(A1023),FIND("]",TRIM(A1023)&amp;"]")+1,200)),TRIM(A1023))))&gt;0,IF(RIGHT(IF(LEFT(TRIM(A1023),1)="[",TRIM(MID(TRIM(A1023),FIND("]",TRIM(A1023)&amp;"]")+1,200)),TRIM(A1023)),1)=")",TRIM(LEFT(IF(LEFT(TRIM(A1023),1)="[",TRIM(MID(TRIM(A1023),FIND("]",TRIM(A1023)&amp;"]")+1,200)),TRIM(A1023)),FIND("(",IF(LEFT(TRIM(A1023),1)="[",TRIM(MID(TRIM(A1023),FIND("]",TRIM(A1023)&amp;"]")+1,200)),TRIM(A1023))&amp;"(")-1)),IF(LEFT(TRIM(A1023),1)="[",TRIM(MID(TRIM(A1023),FIND("]",TRIM(A1023)&amp;"]")+1,200)),TRIM(A1023))),""))</f>
      </c>
      <c r="C1023" s="17">
        <f>IF(B1023&lt;&gt;"",B1023,C1022)</f>
      </c>
      <c r="D1023" s="17">
        <f>IF(A1023="","",IF(OR(LEFT(UPPER(TRIM(A1023)),2)="Y:",LEFT(UPPER(TRIM(A1023)),10)="YESTERDAY:"),"Y",IF(OR(LEFT(UPPER(TRIM(A1023)),2)="T:",LEFT(UPPER(TRIM(A1023)),6)="TODAY:"),"T",IF(OR(LEFT(UPPER(TRIM(A1023)),2)="B:",LEFT(UPPER(TRIM(A1023)),8)="BLOCKER:",LEFT(UPPER(TRIM(A1023)),9)="BLOCKERS:",LEFT(UPPER(TRIM(A1023)),8)="BLOCKED:"),"B",""))))</f>
      </c>
      <c r="E1023" s="17">
        <f>IF(D1023="","",TRIM(MID(A1023,FIND(":",A1023)+1,500)))</f>
      </c>
    </row>
    <row r="1024">
      <c r="B1024" s="17">
        <f>IF(A1024="","",IF(COUNTIF(Roster[Name],IF(RIGHT(IF(LEFT(TRIM(A1024),1)="[",TRIM(MID(TRIM(A1024),FIND("]",TRIM(A1024)&amp;"]")+1,200)),TRIM(A1024)),1)=")",TRIM(LEFT(IF(LEFT(TRIM(A1024),1)="[",TRIM(MID(TRIM(A1024),FIND("]",TRIM(A1024)&amp;"]")+1,200)),TRIM(A1024)),FIND("(",IF(LEFT(TRIM(A1024),1)="[",TRIM(MID(TRIM(A1024),FIND("]",TRIM(A1024)&amp;"]")+1,200)),TRIM(A1024))&amp;"(")-1)),IF(LEFT(TRIM(A1024),1)="[",TRIM(MID(TRIM(A1024),FIND("]",TRIM(A1024)&amp;"]")+1,200)),TRIM(A1024))))&gt;0,IF(RIGHT(IF(LEFT(TRIM(A1024),1)="[",TRIM(MID(TRIM(A1024),FIND("]",TRIM(A1024)&amp;"]")+1,200)),TRIM(A1024)),1)=")",TRIM(LEFT(IF(LEFT(TRIM(A1024),1)="[",TRIM(MID(TRIM(A1024),FIND("]",TRIM(A1024)&amp;"]")+1,200)),TRIM(A1024)),FIND("(",IF(LEFT(TRIM(A1024),1)="[",TRIM(MID(TRIM(A1024),FIND("]",TRIM(A1024)&amp;"]")+1,200)),TRIM(A1024))&amp;"(")-1)),IF(LEFT(TRIM(A1024),1)="[",TRIM(MID(TRIM(A1024),FIND("]",TRIM(A1024)&amp;"]")+1,200)),TRIM(A1024))),""))</f>
      </c>
      <c r="C1024" s="17">
        <f>IF(B1024&lt;&gt;"",B1024,C1023)</f>
      </c>
      <c r="D1024" s="17">
        <f>IF(A1024="","",IF(OR(LEFT(UPPER(TRIM(A1024)),2)="Y:",LEFT(UPPER(TRIM(A1024)),10)="YESTERDAY:"),"Y",IF(OR(LEFT(UPPER(TRIM(A1024)),2)="T:",LEFT(UPPER(TRIM(A1024)),6)="TODAY:"),"T",IF(OR(LEFT(UPPER(TRIM(A1024)),2)="B:",LEFT(UPPER(TRIM(A1024)),8)="BLOCKER:",LEFT(UPPER(TRIM(A1024)),9)="BLOCKERS:",LEFT(UPPER(TRIM(A1024)),8)="BLOCKED:"),"B",""))))</f>
      </c>
      <c r="E1024" s="17">
        <f>IF(D1024="","",TRIM(MID(A1024,FIND(":",A1024)+1,500)))</f>
      </c>
    </row>
    <row r="1025">
      <c r="B1025" s="17">
        <f>IF(A1025="","",IF(COUNTIF(Roster[Name],IF(RIGHT(IF(LEFT(TRIM(A1025),1)="[",TRIM(MID(TRIM(A1025),FIND("]",TRIM(A1025)&amp;"]")+1,200)),TRIM(A1025)),1)=")",TRIM(LEFT(IF(LEFT(TRIM(A1025),1)="[",TRIM(MID(TRIM(A1025),FIND("]",TRIM(A1025)&amp;"]")+1,200)),TRIM(A1025)),FIND("(",IF(LEFT(TRIM(A1025),1)="[",TRIM(MID(TRIM(A1025),FIND("]",TRIM(A1025)&amp;"]")+1,200)),TRIM(A1025))&amp;"(")-1)),IF(LEFT(TRIM(A1025),1)="[",TRIM(MID(TRIM(A1025),FIND("]",TRIM(A1025)&amp;"]")+1,200)),TRIM(A1025))))&gt;0,IF(RIGHT(IF(LEFT(TRIM(A1025),1)="[",TRIM(MID(TRIM(A1025),FIND("]",TRIM(A1025)&amp;"]")+1,200)),TRIM(A1025)),1)=")",TRIM(LEFT(IF(LEFT(TRIM(A1025),1)="[",TRIM(MID(TRIM(A1025),FIND("]",TRIM(A1025)&amp;"]")+1,200)),TRIM(A1025)),FIND("(",IF(LEFT(TRIM(A1025),1)="[",TRIM(MID(TRIM(A1025),FIND("]",TRIM(A1025)&amp;"]")+1,200)),TRIM(A1025))&amp;"(")-1)),IF(LEFT(TRIM(A1025),1)="[",TRIM(MID(TRIM(A1025),FIND("]",TRIM(A1025)&amp;"]")+1,200)),TRIM(A1025))),""))</f>
      </c>
      <c r="C1025" s="17">
        <f>IF(B1025&lt;&gt;"",B1025,C1024)</f>
      </c>
      <c r="D1025" s="17">
        <f>IF(A1025="","",IF(OR(LEFT(UPPER(TRIM(A1025)),2)="Y:",LEFT(UPPER(TRIM(A1025)),10)="YESTERDAY:"),"Y",IF(OR(LEFT(UPPER(TRIM(A1025)),2)="T:",LEFT(UPPER(TRIM(A1025)),6)="TODAY:"),"T",IF(OR(LEFT(UPPER(TRIM(A1025)),2)="B:",LEFT(UPPER(TRIM(A1025)),8)="BLOCKER:",LEFT(UPPER(TRIM(A1025)),9)="BLOCKERS:",LEFT(UPPER(TRIM(A1025)),8)="BLOCKED:"),"B",""))))</f>
      </c>
      <c r="E1025" s="17">
        <f>IF(D1025="","",TRIM(MID(A1025,FIND(":",A1025)+1,500)))</f>
      </c>
    </row>
    <row r="1026">
      <c r="B1026" s="17">
        <f>IF(A1026="","",IF(COUNTIF(Roster[Name],IF(RIGHT(IF(LEFT(TRIM(A1026),1)="[",TRIM(MID(TRIM(A1026),FIND("]",TRIM(A1026)&amp;"]")+1,200)),TRIM(A1026)),1)=")",TRIM(LEFT(IF(LEFT(TRIM(A1026),1)="[",TRIM(MID(TRIM(A1026),FIND("]",TRIM(A1026)&amp;"]")+1,200)),TRIM(A1026)),FIND("(",IF(LEFT(TRIM(A1026),1)="[",TRIM(MID(TRIM(A1026),FIND("]",TRIM(A1026)&amp;"]")+1,200)),TRIM(A1026))&amp;"(")-1)),IF(LEFT(TRIM(A1026),1)="[",TRIM(MID(TRIM(A1026),FIND("]",TRIM(A1026)&amp;"]")+1,200)),TRIM(A1026))))&gt;0,IF(RIGHT(IF(LEFT(TRIM(A1026),1)="[",TRIM(MID(TRIM(A1026),FIND("]",TRIM(A1026)&amp;"]")+1,200)),TRIM(A1026)),1)=")",TRIM(LEFT(IF(LEFT(TRIM(A1026),1)="[",TRIM(MID(TRIM(A1026),FIND("]",TRIM(A1026)&amp;"]")+1,200)),TRIM(A1026)),FIND("(",IF(LEFT(TRIM(A1026),1)="[",TRIM(MID(TRIM(A1026),FIND("]",TRIM(A1026)&amp;"]")+1,200)),TRIM(A1026))&amp;"(")-1)),IF(LEFT(TRIM(A1026),1)="[",TRIM(MID(TRIM(A1026),FIND("]",TRIM(A1026)&amp;"]")+1,200)),TRIM(A1026))),""))</f>
      </c>
      <c r="C1026" s="17">
        <f>IF(B1026&lt;&gt;"",B1026,C1025)</f>
      </c>
      <c r="D1026" s="17">
        <f>IF(A1026="","",IF(OR(LEFT(UPPER(TRIM(A1026)),2)="Y:",LEFT(UPPER(TRIM(A1026)),10)="YESTERDAY:"),"Y",IF(OR(LEFT(UPPER(TRIM(A1026)),2)="T:",LEFT(UPPER(TRIM(A1026)),6)="TODAY:"),"T",IF(OR(LEFT(UPPER(TRIM(A1026)),2)="B:",LEFT(UPPER(TRIM(A1026)),8)="BLOCKER:",LEFT(UPPER(TRIM(A1026)),9)="BLOCKERS:",LEFT(UPPER(TRIM(A1026)),8)="BLOCKED:"),"B",""))))</f>
      </c>
      <c r="E1026" s="17">
        <f>IF(D1026="","",TRIM(MID(A1026,FIND(":",A1026)+1,500)))</f>
      </c>
    </row>
    <row r="1027">
      <c r="B1027" s="17">
        <f>IF(A1027="","",IF(COUNTIF(Roster[Name],IF(RIGHT(IF(LEFT(TRIM(A1027),1)="[",TRIM(MID(TRIM(A1027),FIND("]",TRIM(A1027)&amp;"]")+1,200)),TRIM(A1027)),1)=")",TRIM(LEFT(IF(LEFT(TRIM(A1027),1)="[",TRIM(MID(TRIM(A1027),FIND("]",TRIM(A1027)&amp;"]")+1,200)),TRIM(A1027)),FIND("(",IF(LEFT(TRIM(A1027),1)="[",TRIM(MID(TRIM(A1027),FIND("]",TRIM(A1027)&amp;"]")+1,200)),TRIM(A1027))&amp;"(")-1)),IF(LEFT(TRIM(A1027),1)="[",TRIM(MID(TRIM(A1027),FIND("]",TRIM(A1027)&amp;"]")+1,200)),TRIM(A1027))))&gt;0,IF(RIGHT(IF(LEFT(TRIM(A1027),1)="[",TRIM(MID(TRIM(A1027),FIND("]",TRIM(A1027)&amp;"]")+1,200)),TRIM(A1027)),1)=")",TRIM(LEFT(IF(LEFT(TRIM(A1027),1)="[",TRIM(MID(TRIM(A1027),FIND("]",TRIM(A1027)&amp;"]")+1,200)),TRIM(A1027)),FIND("(",IF(LEFT(TRIM(A1027),1)="[",TRIM(MID(TRIM(A1027),FIND("]",TRIM(A1027)&amp;"]")+1,200)),TRIM(A1027))&amp;"(")-1)),IF(LEFT(TRIM(A1027),1)="[",TRIM(MID(TRIM(A1027),FIND("]",TRIM(A1027)&amp;"]")+1,200)),TRIM(A1027))),""))</f>
      </c>
      <c r="C1027" s="17">
        <f>IF(B1027&lt;&gt;"",B1027,C1026)</f>
      </c>
      <c r="D1027" s="17">
        <f>IF(A1027="","",IF(OR(LEFT(UPPER(TRIM(A1027)),2)="Y:",LEFT(UPPER(TRIM(A1027)),10)="YESTERDAY:"),"Y",IF(OR(LEFT(UPPER(TRIM(A1027)),2)="T:",LEFT(UPPER(TRIM(A1027)),6)="TODAY:"),"T",IF(OR(LEFT(UPPER(TRIM(A1027)),2)="B:",LEFT(UPPER(TRIM(A1027)),8)="BLOCKER:",LEFT(UPPER(TRIM(A1027)),9)="BLOCKERS:",LEFT(UPPER(TRIM(A1027)),8)="BLOCKED:"),"B",""))))</f>
      </c>
      <c r="E1027" s="17">
        <f>IF(D1027="","",TRIM(MID(A1027,FIND(":",A1027)+1,500)))</f>
      </c>
    </row>
    <row r="1028">
      <c r="B1028" s="17">
        <f>IF(A1028="","",IF(COUNTIF(Roster[Name],IF(RIGHT(IF(LEFT(TRIM(A1028),1)="[",TRIM(MID(TRIM(A1028),FIND("]",TRIM(A1028)&amp;"]")+1,200)),TRIM(A1028)),1)=")",TRIM(LEFT(IF(LEFT(TRIM(A1028),1)="[",TRIM(MID(TRIM(A1028),FIND("]",TRIM(A1028)&amp;"]")+1,200)),TRIM(A1028)),FIND("(",IF(LEFT(TRIM(A1028),1)="[",TRIM(MID(TRIM(A1028),FIND("]",TRIM(A1028)&amp;"]")+1,200)),TRIM(A1028))&amp;"(")-1)),IF(LEFT(TRIM(A1028),1)="[",TRIM(MID(TRIM(A1028),FIND("]",TRIM(A1028)&amp;"]")+1,200)),TRIM(A1028))))&gt;0,IF(RIGHT(IF(LEFT(TRIM(A1028),1)="[",TRIM(MID(TRIM(A1028),FIND("]",TRIM(A1028)&amp;"]")+1,200)),TRIM(A1028)),1)=")",TRIM(LEFT(IF(LEFT(TRIM(A1028),1)="[",TRIM(MID(TRIM(A1028),FIND("]",TRIM(A1028)&amp;"]")+1,200)),TRIM(A1028)),FIND("(",IF(LEFT(TRIM(A1028),1)="[",TRIM(MID(TRIM(A1028),FIND("]",TRIM(A1028)&amp;"]")+1,200)),TRIM(A1028))&amp;"(")-1)),IF(LEFT(TRIM(A1028),1)="[",TRIM(MID(TRIM(A1028),FIND("]",TRIM(A1028)&amp;"]")+1,200)),TRIM(A1028))),""))</f>
      </c>
      <c r="C1028" s="17">
        <f>IF(B1028&lt;&gt;"",B1028,C1027)</f>
      </c>
      <c r="D1028" s="17">
        <f>IF(A1028="","",IF(OR(LEFT(UPPER(TRIM(A1028)),2)="Y:",LEFT(UPPER(TRIM(A1028)),10)="YESTERDAY:"),"Y",IF(OR(LEFT(UPPER(TRIM(A1028)),2)="T:",LEFT(UPPER(TRIM(A1028)),6)="TODAY:"),"T",IF(OR(LEFT(UPPER(TRIM(A1028)),2)="B:",LEFT(UPPER(TRIM(A1028)),8)="BLOCKER:",LEFT(UPPER(TRIM(A1028)),9)="BLOCKERS:",LEFT(UPPER(TRIM(A1028)),8)="BLOCKED:"),"B",""))))</f>
      </c>
      <c r="E1028" s="17">
        <f>IF(D1028="","",TRIM(MID(A1028,FIND(":",A1028)+1,500)))</f>
      </c>
    </row>
    <row r="1029">
      <c r="B1029" s="17">
        <f>IF(A1029="","",IF(COUNTIF(Roster[Name],IF(RIGHT(IF(LEFT(TRIM(A1029),1)="[",TRIM(MID(TRIM(A1029),FIND("]",TRIM(A1029)&amp;"]")+1,200)),TRIM(A1029)),1)=")",TRIM(LEFT(IF(LEFT(TRIM(A1029),1)="[",TRIM(MID(TRIM(A1029),FIND("]",TRIM(A1029)&amp;"]")+1,200)),TRIM(A1029)),FIND("(",IF(LEFT(TRIM(A1029),1)="[",TRIM(MID(TRIM(A1029),FIND("]",TRIM(A1029)&amp;"]")+1,200)),TRIM(A1029))&amp;"(")-1)),IF(LEFT(TRIM(A1029),1)="[",TRIM(MID(TRIM(A1029),FIND("]",TRIM(A1029)&amp;"]")+1,200)),TRIM(A1029))))&gt;0,IF(RIGHT(IF(LEFT(TRIM(A1029),1)="[",TRIM(MID(TRIM(A1029),FIND("]",TRIM(A1029)&amp;"]")+1,200)),TRIM(A1029)),1)=")",TRIM(LEFT(IF(LEFT(TRIM(A1029),1)="[",TRIM(MID(TRIM(A1029),FIND("]",TRIM(A1029)&amp;"]")+1,200)),TRIM(A1029)),FIND("(",IF(LEFT(TRIM(A1029),1)="[",TRIM(MID(TRIM(A1029),FIND("]",TRIM(A1029)&amp;"]")+1,200)),TRIM(A1029))&amp;"(")-1)),IF(LEFT(TRIM(A1029),1)="[",TRIM(MID(TRIM(A1029),FIND("]",TRIM(A1029)&amp;"]")+1,200)),TRIM(A1029))),""))</f>
      </c>
      <c r="C1029" s="17">
        <f>IF(B1029&lt;&gt;"",B1029,C1028)</f>
      </c>
      <c r="D1029" s="17">
        <f>IF(A1029="","",IF(OR(LEFT(UPPER(TRIM(A1029)),2)="Y:",LEFT(UPPER(TRIM(A1029)),10)="YESTERDAY:"),"Y",IF(OR(LEFT(UPPER(TRIM(A1029)),2)="T:",LEFT(UPPER(TRIM(A1029)),6)="TODAY:"),"T",IF(OR(LEFT(UPPER(TRIM(A1029)),2)="B:",LEFT(UPPER(TRIM(A1029)),8)="BLOCKER:",LEFT(UPPER(TRIM(A1029)),9)="BLOCKERS:",LEFT(UPPER(TRIM(A1029)),8)="BLOCKED:"),"B",""))))</f>
      </c>
      <c r="E1029" s="17">
        <f>IF(D1029="","",TRIM(MID(A1029,FIND(":",A1029)+1,500)))</f>
      </c>
    </row>
    <row r="1030">
      <c r="B1030" s="17">
        <f>IF(A1030="","",IF(COUNTIF(Roster[Name],IF(RIGHT(IF(LEFT(TRIM(A1030),1)="[",TRIM(MID(TRIM(A1030),FIND("]",TRIM(A1030)&amp;"]")+1,200)),TRIM(A1030)),1)=")",TRIM(LEFT(IF(LEFT(TRIM(A1030),1)="[",TRIM(MID(TRIM(A1030),FIND("]",TRIM(A1030)&amp;"]")+1,200)),TRIM(A1030)),FIND("(",IF(LEFT(TRIM(A1030),1)="[",TRIM(MID(TRIM(A1030),FIND("]",TRIM(A1030)&amp;"]")+1,200)),TRIM(A1030))&amp;"(")-1)),IF(LEFT(TRIM(A1030),1)="[",TRIM(MID(TRIM(A1030),FIND("]",TRIM(A1030)&amp;"]")+1,200)),TRIM(A1030))))&gt;0,IF(RIGHT(IF(LEFT(TRIM(A1030),1)="[",TRIM(MID(TRIM(A1030),FIND("]",TRIM(A1030)&amp;"]")+1,200)),TRIM(A1030)),1)=")",TRIM(LEFT(IF(LEFT(TRIM(A1030),1)="[",TRIM(MID(TRIM(A1030),FIND("]",TRIM(A1030)&amp;"]")+1,200)),TRIM(A1030)),FIND("(",IF(LEFT(TRIM(A1030),1)="[",TRIM(MID(TRIM(A1030),FIND("]",TRIM(A1030)&amp;"]")+1,200)),TRIM(A1030))&amp;"(")-1)),IF(LEFT(TRIM(A1030),1)="[",TRIM(MID(TRIM(A1030),FIND("]",TRIM(A1030)&amp;"]")+1,200)),TRIM(A1030))),""))</f>
      </c>
      <c r="C1030" s="17">
        <f>IF(B1030&lt;&gt;"",B1030,C1029)</f>
      </c>
      <c r="D1030" s="17">
        <f>IF(A1030="","",IF(OR(LEFT(UPPER(TRIM(A1030)),2)="Y:",LEFT(UPPER(TRIM(A1030)),10)="YESTERDAY:"),"Y",IF(OR(LEFT(UPPER(TRIM(A1030)),2)="T:",LEFT(UPPER(TRIM(A1030)),6)="TODAY:"),"T",IF(OR(LEFT(UPPER(TRIM(A1030)),2)="B:",LEFT(UPPER(TRIM(A1030)),8)="BLOCKER:",LEFT(UPPER(TRIM(A1030)),9)="BLOCKERS:",LEFT(UPPER(TRIM(A1030)),8)="BLOCKED:"),"B",""))))</f>
      </c>
      <c r="E1030" s="17">
        <f>IF(D1030="","",TRIM(MID(A1030,FIND(":",A1030)+1,500)))</f>
      </c>
    </row>
    <row r="1031">
      <c r="B1031" s="17">
        <f>IF(A1031="","",IF(COUNTIF(Roster[Name],IF(RIGHT(IF(LEFT(TRIM(A1031),1)="[",TRIM(MID(TRIM(A1031),FIND("]",TRIM(A1031)&amp;"]")+1,200)),TRIM(A1031)),1)=")",TRIM(LEFT(IF(LEFT(TRIM(A1031),1)="[",TRIM(MID(TRIM(A1031),FIND("]",TRIM(A1031)&amp;"]")+1,200)),TRIM(A1031)),FIND("(",IF(LEFT(TRIM(A1031),1)="[",TRIM(MID(TRIM(A1031),FIND("]",TRIM(A1031)&amp;"]")+1,200)),TRIM(A1031))&amp;"(")-1)),IF(LEFT(TRIM(A1031),1)="[",TRIM(MID(TRIM(A1031),FIND("]",TRIM(A1031)&amp;"]")+1,200)),TRIM(A1031))))&gt;0,IF(RIGHT(IF(LEFT(TRIM(A1031),1)="[",TRIM(MID(TRIM(A1031),FIND("]",TRIM(A1031)&amp;"]")+1,200)),TRIM(A1031)),1)=")",TRIM(LEFT(IF(LEFT(TRIM(A1031),1)="[",TRIM(MID(TRIM(A1031),FIND("]",TRIM(A1031)&amp;"]")+1,200)),TRIM(A1031)),FIND("(",IF(LEFT(TRIM(A1031),1)="[",TRIM(MID(TRIM(A1031),FIND("]",TRIM(A1031)&amp;"]")+1,200)),TRIM(A1031))&amp;"(")-1)),IF(LEFT(TRIM(A1031),1)="[",TRIM(MID(TRIM(A1031),FIND("]",TRIM(A1031)&amp;"]")+1,200)),TRIM(A1031))),""))</f>
      </c>
      <c r="C1031" s="17">
        <f>IF(B1031&lt;&gt;"",B1031,C1030)</f>
      </c>
      <c r="D1031" s="17">
        <f>IF(A1031="","",IF(OR(LEFT(UPPER(TRIM(A1031)),2)="Y:",LEFT(UPPER(TRIM(A1031)),10)="YESTERDAY:"),"Y",IF(OR(LEFT(UPPER(TRIM(A1031)),2)="T:",LEFT(UPPER(TRIM(A1031)),6)="TODAY:"),"T",IF(OR(LEFT(UPPER(TRIM(A1031)),2)="B:",LEFT(UPPER(TRIM(A1031)),8)="BLOCKER:",LEFT(UPPER(TRIM(A1031)),9)="BLOCKERS:",LEFT(UPPER(TRIM(A1031)),8)="BLOCKED:"),"B",""))))</f>
      </c>
      <c r="E1031" s="17">
        <f>IF(D1031="","",TRIM(MID(A1031,FIND(":",A1031)+1,500)))</f>
      </c>
    </row>
    <row r="1032">
      <c r="B1032" s="17">
        <f>IF(A1032="","",IF(COUNTIF(Roster[Name],IF(RIGHT(IF(LEFT(TRIM(A1032),1)="[",TRIM(MID(TRIM(A1032),FIND("]",TRIM(A1032)&amp;"]")+1,200)),TRIM(A1032)),1)=")",TRIM(LEFT(IF(LEFT(TRIM(A1032),1)="[",TRIM(MID(TRIM(A1032),FIND("]",TRIM(A1032)&amp;"]")+1,200)),TRIM(A1032)),FIND("(",IF(LEFT(TRIM(A1032),1)="[",TRIM(MID(TRIM(A1032),FIND("]",TRIM(A1032)&amp;"]")+1,200)),TRIM(A1032))&amp;"(")-1)),IF(LEFT(TRIM(A1032),1)="[",TRIM(MID(TRIM(A1032),FIND("]",TRIM(A1032)&amp;"]")+1,200)),TRIM(A1032))))&gt;0,IF(RIGHT(IF(LEFT(TRIM(A1032),1)="[",TRIM(MID(TRIM(A1032),FIND("]",TRIM(A1032)&amp;"]")+1,200)),TRIM(A1032)),1)=")",TRIM(LEFT(IF(LEFT(TRIM(A1032),1)="[",TRIM(MID(TRIM(A1032),FIND("]",TRIM(A1032)&amp;"]")+1,200)),TRIM(A1032)),FIND("(",IF(LEFT(TRIM(A1032),1)="[",TRIM(MID(TRIM(A1032),FIND("]",TRIM(A1032)&amp;"]")+1,200)),TRIM(A1032))&amp;"(")-1)),IF(LEFT(TRIM(A1032),1)="[",TRIM(MID(TRIM(A1032),FIND("]",TRIM(A1032)&amp;"]")+1,200)),TRIM(A1032))),""))</f>
      </c>
      <c r="C1032" s="17">
        <f>IF(B1032&lt;&gt;"",B1032,C1031)</f>
      </c>
      <c r="D1032" s="17">
        <f>IF(A1032="","",IF(OR(LEFT(UPPER(TRIM(A1032)),2)="Y:",LEFT(UPPER(TRIM(A1032)),10)="YESTERDAY:"),"Y",IF(OR(LEFT(UPPER(TRIM(A1032)),2)="T:",LEFT(UPPER(TRIM(A1032)),6)="TODAY:"),"T",IF(OR(LEFT(UPPER(TRIM(A1032)),2)="B:",LEFT(UPPER(TRIM(A1032)),8)="BLOCKER:",LEFT(UPPER(TRIM(A1032)),9)="BLOCKERS:",LEFT(UPPER(TRIM(A1032)),8)="BLOCKED:"),"B",""))))</f>
      </c>
      <c r="E1032" s="17">
        <f>IF(D1032="","",TRIM(MID(A1032,FIND(":",A1032)+1,500)))</f>
      </c>
    </row>
    <row r="1033">
      <c r="B1033" s="17">
        <f>IF(A1033="","",IF(COUNTIF(Roster[Name],IF(RIGHT(IF(LEFT(TRIM(A1033),1)="[",TRIM(MID(TRIM(A1033),FIND("]",TRIM(A1033)&amp;"]")+1,200)),TRIM(A1033)),1)=")",TRIM(LEFT(IF(LEFT(TRIM(A1033),1)="[",TRIM(MID(TRIM(A1033),FIND("]",TRIM(A1033)&amp;"]")+1,200)),TRIM(A1033)),FIND("(",IF(LEFT(TRIM(A1033),1)="[",TRIM(MID(TRIM(A1033),FIND("]",TRIM(A1033)&amp;"]")+1,200)),TRIM(A1033))&amp;"(")-1)),IF(LEFT(TRIM(A1033),1)="[",TRIM(MID(TRIM(A1033),FIND("]",TRIM(A1033)&amp;"]")+1,200)),TRIM(A1033))))&gt;0,IF(RIGHT(IF(LEFT(TRIM(A1033),1)="[",TRIM(MID(TRIM(A1033),FIND("]",TRIM(A1033)&amp;"]")+1,200)),TRIM(A1033)),1)=")",TRIM(LEFT(IF(LEFT(TRIM(A1033),1)="[",TRIM(MID(TRIM(A1033),FIND("]",TRIM(A1033)&amp;"]")+1,200)),TRIM(A1033)),FIND("(",IF(LEFT(TRIM(A1033),1)="[",TRIM(MID(TRIM(A1033),FIND("]",TRIM(A1033)&amp;"]")+1,200)),TRIM(A1033))&amp;"(")-1)),IF(LEFT(TRIM(A1033),1)="[",TRIM(MID(TRIM(A1033),FIND("]",TRIM(A1033)&amp;"]")+1,200)),TRIM(A1033))),""))</f>
      </c>
      <c r="C1033" s="17">
        <f>IF(B1033&lt;&gt;"",B1033,C1032)</f>
      </c>
      <c r="D1033" s="17">
        <f>IF(A1033="","",IF(OR(LEFT(UPPER(TRIM(A1033)),2)="Y:",LEFT(UPPER(TRIM(A1033)),10)="YESTERDAY:"),"Y",IF(OR(LEFT(UPPER(TRIM(A1033)),2)="T:",LEFT(UPPER(TRIM(A1033)),6)="TODAY:"),"T",IF(OR(LEFT(UPPER(TRIM(A1033)),2)="B:",LEFT(UPPER(TRIM(A1033)),8)="BLOCKER:",LEFT(UPPER(TRIM(A1033)),9)="BLOCKERS:",LEFT(UPPER(TRIM(A1033)),8)="BLOCKED:"),"B",""))))</f>
      </c>
      <c r="E1033" s="17">
        <f>IF(D1033="","",TRIM(MID(A1033,FIND(":",A1033)+1,500)))</f>
      </c>
    </row>
    <row r="1034">
      <c r="B1034" s="17">
        <f>IF(A1034="","",IF(COUNTIF(Roster[Name],IF(RIGHT(IF(LEFT(TRIM(A1034),1)="[",TRIM(MID(TRIM(A1034),FIND("]",TRIM(A1034)&amp;"]")+1,200)),TRIM(A1034)),1)=")",TRIM(LEFT(IF(LEFT(TRIM(A1034),1)="[",TRIM(MID(TRIM(A1034),FIND("]",TRIM(A1034)&amp;"]")+1,200)),TRIM(A1034)),FIND("(",IF(LEFT(TRIM(A1034),1)="[",TRIM(MID(TRIM(A1034),FIND("]",TRIM(A1034)&amp;"]")+1,200)),TRIM(A1034))&amp;"(")-1)),IF(LEFT(TRIM(A1034),1)="[",TRIM(MID(TRIM(A1034),FIND("]",TRIM(A1034)&amp;"]")+1,200)),TRIM(A1034))))&gt;0,IF(RIGHT(IF(LEFT(TRIM(A1034),1)="[",TRIM(MID(TRIM(A1034),FIND("]",TRIM(A1034)&amp;"]")+1,200)),TRIM(A1034)),1)=")",TRIM(LEFT(IF(LEFT(TRIM(A1034),1)="[",TRIM(MID(TRIM(A1034),FIND("]",TRIM(A1034)&amp;"]")+1,200)),TRIM(A1034)),FIND("(",IF(LEFT(TRIM(A1034),1)="[",TRIM(MID(TRIM(A1034),FIND("]",TRIM(A1034)&amp;"]")+1,200)),TRIM(A1034))&amp;"(")-1)),IF(LEFT(TRIM(A1034),1)="[",TRIM(MID(TRIM(A1034),FIND("]",TRIM(A1034)&amp;"]")+1,200)),TRIM(A1034))),""))</f>
      </c>
      <c r="C1034" s="17">
        <f>IF(B1034&lt;&gt;"",B1034,C1033)</f>
      </c>
      <c r="D1034" s="17">
        <f>IF(A1034="","",IF(OR(LEFT(UPPER(TRIM(A1034)),2)="Y:",LEFT(UPPER(TRIM(A1034)),10)="YESTERDAY:"),"Y",IF(OR(LEFT(UPPER(TRIM(A1034)),2)="T:",LEFT(UPPER(TRIM(A1034)),6)="TODAY:"),"T",IF(OR(LEFT(UPPER(TRIM(A1034)),2)="B:",LEFT(UPPER(TRIM(A1034)),8)="BLOCKER:",LEFT(UPPER(TRIM(A1034)),9)="BLOCKERS:",LEFT(UPPER(TRIM(A1034)),8)="BLOCKED:"),"B",""))))</f>
      </c>
      <c r="E1034" s="17">
        <f>IF(D1034="","",TRIM(MID(A1034,FIND(":",A1034)+1,500)))</f>
      </c>
    </row>
    <row r="1035">
      <c r="B1035" s="17">
        <f>IF(A1035="","",IF(COUNTIF(Roster[Name],IF(RIGHT(IF(LEFT(TRIM(A1035),1)="[",TRIM(MID(TRIM(A1035),FIND("]",TRIM(A1035)&amp;"]")+1,200)),TRIM(A1035)),1)=")",TRIM(LEFT(IF(LEFT(TRIM(A1035),1)="[",TRIM(MID(TRIM(A1035),FIND("]",TRIM(A1035)&amp;"]")+1,200)),TRIM(A1035)),FIND("(",IF(LEFT(TRIM(A1035),1)="[",TRIM(MID(TRIM(A1035),FIND("]",TRIM(A1035)&amp;"]")+1,200)),TRIM(A1035))&amp;"(")-1)),IF(LEFT(TRIM(A1035),1)="[",TRIM(MID(TRIM(A1035),FIND("]",TRIM(A1035)&amp;"]")+1,200)),TRIM(A1035))))&gt;0,IF(RIGHT(IF(LEFT(TRIM(A1035),1)="[",TRIM(MID(TRIM(A1035),FIND("]",TRIM(A1035)&amp;"]")+1,200)),TRIM(A1035)),1)=")",TRIM(LEFT(IF(LEFT(TRIM(A1035),1)="[",TRIM(MID(TRIM(A1035),FIND("]",TRIM(A1035)&amp;"]")+1,200)),TRIM(A1035)),FIND("(",IF(LEFT(TRIM(A1035),1)="[",TRIM(MID(TRIM(A1035),FIND("]",TRIM(A1035)&amp;"]")+1,200)),TRIM(A1035))&amp;"(")-1)),IF(LEFT(TRIM(A1035),1)="[",TRIM(MID(TRIM(A1035),FIND("]",TRIM(A1035)&amp;"]")+1,200)),TRIM(A1035))),""))</f>
      </c>
      <c r="C1035" s="17">
        <f>IF(B1035&lt;&gt;"",B1035,C1034)</f>
      </c>
      <c r="D1035" s="17">
        <f>IF(A1035="","",IF(OR(LEFT(UPPER(TRIM(A1035)),2)="Y:",LEFT(UPPER(TRIM(A1035)),10)="YESTERDAY:"),"Y",IF(OR(LEFT(UPPER(TRIM(A1035)),2)="T:",LEFT(UPPER(TRIM(A1035)),6)="TODAY:"),"T",IF(OR(LEFT(UPPER(TRIM(A1035)),2)="B:",LEFT(UPPER(TRIM(A1035)),8)="BLOCKER:",LEFT(UPPER(TRIM(A1035)),9)="BLOCKERS:",LEFT(UPPER(TRIM(A1035)),8)="BLOCKED:"),"B",""))))</f>
      </c>
      <c r="E1035" s="17">
        <f>IF(D1035="","",TRIM(MID(A1035,FIND(":",A1035)+1,500)))</f>
      </c>
    </row>
    <row r="1036">
      <c r="B1036" s="17">
        <f>IF(A1036="","",IF(COUNTIF(Roster[Name],IF(RIGHT(IF(LEFT(TRIM(A1036),1)="[",TRIM(MID(TRIM(A1036),FIND("]",TRIM(A1036)&amp;"]")+1,200)),TRIM(A1036)),1)=")",TRIM(LEFT(IF(LEFT(TRIM(A1036),1)="[",TRIM(MID(TRIM(A1036),FIND("]",TRIM(A1036)&amp;"]")+1,200)),TRIM(A1036)),FIND("(",IF(LEFT(TRIM(A1036),1)="[",TRIM(MID(TRIM(A1036),FIND("]",TRIM(A1036)&amp;"]")+1,200)),TRIM(A1036))&amp;"(")-1)),IF(LEFT(TRIM(A1036),1)="[",TRIM(MID(TRIM(A1036),FIND("]",TRIM(A1036)&amp;"]")+1,200)),TRIM(A1036))))&gt;0,IF(RIGHT(IF(LEFT(TRIM(A1036),1)="[",TRIM(MID(TRIM(A1036),FIND("]",TRIM(A1036)&amp;"]")+1,200)),TRIM(A1036)),1)=")",TRIM(LEFT(IF(LEFT(TRIM(A1036),1)="[",TRIM(MID(TRIM(A1036),FIND("]",TRIM(A1036)&amp;"]")+1,200)),TRIM(A1036)),FIND("(",IF(LEFT(TRIM(A1036),1)="[",TRIM(MID(TRIM(A1036),FIND("]",TRIM(A1036)&amp;"]")+1,200)),TRIM(A1036))&amp;"(")-1)),IF(LEFT(TRIM(A1036),1)="[",TRIM(MID(TRIM(A1036),FIND("]",TRIM(A1036)&amp;"]")+1,200)),TRIM(A1036))),""))</f>
      </c>
      <c r="C1036" s="17">
        <f>IF(B1036&lt;&gt;"",B1036,C1035)</f>
      </c>
      <c r="D1036" s="17">
        <f>IF(A1036="","",IF(OR(LEFT(UPPER(TRIM(A1036)),2)="Y:",LEFT(UPPER(TRIM(A1036)),10)="YESTERDAY:"),"Y",IF(OR(LEFT(UPPER(TRIM(A1036)),2)="T:",LEFT(UPPER(TRIM(A1036)),6)="TODAY:"),"T",IF(OR(LEFT(UPPER(TRIM(A1036)),2)="B:",LEFT(UPPER(TRIM(A1036)),8)="BLOCKER:",LEFT(UPPER(TRIM(A1036)),9)="BLOCKERS:",LEFT(UPPER(TRIM(A1036)),8)="BLOCKED:"),"B",""))))</f>
      </c>
      <c r="E1036" s="17">
        <f>IF(D1036="","",TRIM(MID(A1036,FIND(":",A1036)+1,500)))</f>
      </c>
    </row>
    <row r="1037">
      <c r="B1037" s="17">
        <f>IF(A1037="","",IF(COUNTIF(Roster[Name],IF(RIGHT(IF(LEFT(TRIM(A1037),1)="[",TRIM(MID(TRIM(A1037),FIND("]",TRIM(A1037)&amp;"]")+1,200)),TRIM(A1037)),1)=")",TRIM(LEFT(IF(LEFT(TRIM(A1037),1)="[",TRIM(MID(TRIM(A1037),FIND("]",TRIM(A1037)&amp;"]")+1,200)),TRIM(A1037)),FIND("(",IF(LEFT(TRIM(A1037),1)="[",TRIM(MID(TRIM(A1037),FIND("]",TRIM(A1037)&amp;"]")+1,200)),TRIM(A1037))&amp;"(")-1)),IF(LEFT(TRIM(A1037),1)="[",TRIM(MID(TRIM(A1037),FIND("]",TRIM(A1037)&amp;"]")+1,200)),TRIM(A1037))))&gt;0,IF(RIGHT(IF(LEFT(TRIM(A1037),1)="[",TRIM(MID(TRIM(A1037),FIND("]",TRIM(A1037)&amp;"]")+1,200)),TRIM(A1037)),1)=")",TRIM(LEFT(IF(LEFT(TRIM(A1037),1)="[",TRIM(MID(TRIM(A1037),FIND("]",TRIM(A1037)&amp;"]")+1,200)),TRIM(A1037)),FIND("(",IF(LEFT(TRIM(A1037),1)="[",TRIM(MID(TRIM(A1037),FIND("]",TRIM(A1037)&amp;"]")+1,200)),TRIM(A1037))&amp;"(")-1)),IF(LEFT(TRIM(A1037),1)="[",TRIM(MID(TRIM(A1037),FIND("]",TRIM(A1037)&amp;"]")+1,200)),TRIM(A1037))),""))</f>
      </c>
      <c r="C1037" s="17">
        <f>IF(B1037&lt;&gt;"",B1037,C1036)</f>
      </c>
      <c r="D1037" s="17">
        <f>IF(A1037="","",IF(OR(LEFT(UPPER(TRIM(A1037)),2)="Y:",LEFT(UPPER(TRIM(A1037)),10)="YESTERDAY:"),"Y",IF(OR(LEFT(UPPER(TRIM(A1037)),2)="T:",LEFT(UPPER(TRIM(A1037)),6)="TODAY:"),"T",IF(OR(LEFT(UPPER(TRIM(A1037)),2)="B:",LEFT(UPPER(TRIM(A1037)),8)="BLOCKER:",LEFT(UPPER(TRIM(A1037)),9)="BLOCKERS:",LEFT(UPPER(TRIM(A1037)),8)="BLOCKED:"),"B",""))))</f>
      </c>
      <c r="E1037" s="17">
        <f>IF(D1037="","",TRIM(MID(A1037,FIND(":",A1037)+1,500)))</f>
      </c>
    </row>
    <row r="1038">
      <c r="B1038" s="17">
        <f>IF(A1038="","",IF(COUNTIF(Roster[Name],IF(RIGHT(IF(LEFT(TRIM(A1038),1)="[",TRIM(MID(TRIM(A1038),FIND("]",TRIM(A1038)&amp;"]")+1,200)),TRIM(A1038)),1)=")",TRIM(LEFT(IF(LEFT(TRIM(A1038),1)="[",TRIM(MID(TRIM(A1038),FIND("]",TRIM(A1038)&amp;"]")+1,200)),TRIM(A1038)),FIND("(",IF(LEFT(TRIM(A1038),1)="[",TRIM(MID(TRIM(A1038),FIND("]",TRIM(A1038)&amp;"]")+1,200)),TRIM(A1038))&amp;"(")-1)),IF(LEFT(TRIM(A1038),1)="[",TRIM(MID(TRIM(A1038),FIND("]",TRIM(A1038)&amp;"]")+1,200)),TRIM(A1038))))&gt;0,IF(RIGHT(IF(LEFT(TRIM(A1038),1)="[",TRIM(MID(TRIM(A1038),FIND("]",TRIM(A1038)&amp;"]")+1,200)),TRIM(A1038)),1)=")",TRIM(LEFT(IF(LEFT(TRIM(A1038),1)="[",TRIM(MID(TRIM(A1038),FIND("]",TRIM(A1038)&amp;"]")+1,200)),TRIM(A1038)),FIND("(",IF(LEFT(TRIM(A1038),1)="[",TRIM(MID(TRIM(A1038),FIND("]",TRIM(A1038)&amp;"]")+1,200)),TRIM(A1038))&amp;"(")-1)),IF(LEFT(TRIM(A1038),1)="[",TRIM(MID(TRIM(A1038),FIND("]",TRIM(A1038)&amp;"]")+1,200)),TRIM(A1038))),""))</f>
      </c>
      <c r="C1038" s="17">
        <f>IF(B1038&lt;&gt;"",B1038,C1037)</f>
      </c>
      <c r="D1038" s="17">
        <f>IF(A1038="","",IF(OR(LEFT(UPPER(TRIM(A1038)),2)="Y:",LEFT(UPPER(TRIM(A1038)),10)="YESTERDAY:"),"Y",IF(OR(LEFT(UPPER(TRIM(A1038)),2)="T:",LEFT(UPPER(TRIM(A1038)),6)="TODAY:"),"T",IF(OR(LEFT(UPPER(TRIM(A1038)),2)="B:",LEFT(UPPER(TRIM(A1038)),8)="BLOCKER:",LEFT(UPPER(TRIM(A1038)),9)="BLOCKERS:",LEFT(UPPER(TRIM(A1038)),8)="BLOCKED:"),"B",""))))</f>
      </c>
      <c r="E1038" s="17">
        <f>IF(D1038="","",TRIM(MID(A1038,FIND(":",A1038)+1,500)))</f>
      </c>
    </row>
    <row r="1039">
      <c r="B1039" s="17">
        <f>IF(A1039="","",IF(COUNTIF(Roster[Name],IF(RIGHT(IF(LEFT(TRIM(A1039),1)="[",TRIM(MID(TRIM(A1039),FIND("]",TRIM(A1039)&amp;"]")+1,200)),TRIM(A1039)),1)=")",TRIM(LEFT(IF(LEFT(TRIM(A1039),1)="[",TRIM(MID(TRIM(A1039),FIND("]",TRIM(A1039)&amp;"]")+1,200)),TRIM(A1039)),FIND("(",IF(LEFT(TRIM(A1039),1)="[",TRIM(MID(TRIM(A1039),FIND("]",TRIM(A1039)&amp;"]")+1,200)),TRIM(A1039))&amp;"(")-1)),IF(LEFT(TRIM(A1039),1)="[",TRIM(MID(TRIM(A1039),FIND("]",TRIM(A1039)&amp;"]")+1,200)),TRIM(A1039))))&gt;0,IF(RIGHT(IF(LEFT(TRIM(A1039),1)="[",TRIM(MID(TRIM(A1039),FIND("]",TRIM(A1039)&amp;"]")+1,200)),TRIM(A1039)),1)=")",TRIM(LEFT(IF(LEFT(TRIM(A1039),1)="[",TRIM(MID(TRIM(A1039),FIND("]",TRIM(A1039)&amp;"]")+1,200)),TRIM(A1039)),FIND("(",IF(LEFT(TRIM(A1039),1)="[",TRIM(MID(TRIM(A1039),FIND("]",TRIM(A1039)&amp;"]")+1,200)),TRIM(A1039))&amp;"(")-1)),IF(LEFT(TRIM(A1039),1)="[",TRIM(MID(TRIM(A1039),FIND("]",TRIM(A1039)&amp;"]")+1,200)),TRIM(A1039))),""))</f>
      </c>
      <c r="C1039" s="17">
        <f>IF(B1039&lt;&gt;"",B1039,C1038)</f>
      </c>
      <c r="D1039" s="17">
        <f>IF(A1039="","",IF(OR(LEFT(UPPER(TRIM(A1039)),2)="Y:",LEFT(UPPER(TRIM(A1039)),10)="YESTERDAY:"),"Y",IF(OR(LEFT(UPPER(TRIM(A1039)),2)="T:",LEFT(UPPER(TRIM(A1039)),6)="TODAY:"),"T",IF(OR(LEFT(UPPER(TRIM(A1039)),2)="B:",LEFT(UPPER(TRIM(A1039)),8)="BLOCKER:",LEFT(UPPER(TRIM(A1039)),9)="BLOCKERS:",LEFT(UPPER(TRIM(A1039)),8)="BLOCKED:"),"B",""))))</f>
      </c>
      <c r="E1039" s="17">
        <f>IF(D1039="","",TRIM(MID(A1039,FIND(":",A1039)+1,500)))</f>
      </c>
    </row>
    <row r="1040">
      <c r="B1040" s="17">
        <f>IF(A1040="","",IF(COUNTIF(Roster[Name],IF(RIGHT(IF(LEFT(TRIM(A1040),1)="[",TRIM(MID(TRIM(A1040),FIND("]",TRIM(A1040)&amp;"]")+1,200)),TRIM(A1040)),1)=")",TRIM(LEFT(IF(LEFT(TRIM(A1040),1)="[",TRIM(MID(TRIM(A1040),FIND("]",TRIM(A1040)&amp;"]")+1,200)),TRIM(A1040)),FIND("(",IF(LEFT(TRIM(A1040),1)="[",TRIM(MID(TRIM(A1040),FIND("]",TRIM(A1040)&amp;"]")+1,200)),TRIM(A1040))&amp;"(")-1)),IF(LEFT(TRIM(A1040),1)="[",TRIM(MID(TRIM(A1040),FIND("]",TRIM(A1040)&amp;"]")+1,200)),TRIM(A1040))))&gt;0,IF(RIGHT(IF(LEFT(TRIM(A1040),1)="[",TRIM(MID(TRIM(A1040),FIND("]",TRIM(A1040)&amp;"]")+1,200)),TRIM(A1040)),1)=")",TRIM(LEFT(IF(LEFT(TRIM(A1040),1)="[",TRIM(MID(TRIM(A1040),FIND("]",TRIM(A1040)&amp;"]")+1,200)),TRIM(A1040)),FIND("(",IF(LEFT(TRIM(A1040),1)="[",TRIM(MID(TRIM(A1040),FIND("]",TRIM(A1040)&amp;"]")+1,200)),TRIM(A1040))&amp;"(")-1)),IF(LEFT(TRIM(A1040),1)="[",TRIM(MID(TRIM(A1040),FIND("]",TRIM(A1040)&amp;"]")+1,200)),TRIM(A1040))),""))</f>
      </c>
      <c r="C1040" s="17">
        <f>IF(B1040&lt;&gt;"",B1040,C1039)</f>
      </c>
      <c r="D1040" s="17">
        <f>IF(A1040="","",IF(OR(LEFT(UPPER(TRIM(A1040)),2)="Y:",LEFT(UPPER(TRIM(A1040)),10)="YESTERDAY:"),"Y",IF(OR(LEFT(UPPER(TRIM(A1040)),2)="T:",LEFT(UPPER(TRIM(A1040)),6)="TODAY:"),"T",IF(OR(LEFT(UPPER(TRIM(A1040)),2)="B:",LEFT(UPPER(TRIM(A1040)),8)="BLOCKER:",LEFT(UPPER(TRIM(A1040)),9)="BLOCKERS:",LEFT(UPPER(TRIM(A1040)),8)="BLOCKED:"),"B",""))))</f>
      </c>
      <c r="E1040" s="17">
        <f>IF(D1040="","",TRIM(MID(A1040,FIND(":",A1040)+1,500)))</f>
      </c>
    </row>
    <row r="1041">
      <c r="B1041" s="17">
        <f>IF(A1041="","",IF(COUNTIF(Roster[Name],IF(RIGHT(IF(LEFT(TRIM(A1041),1)="[",TRIM(MID(TRIM(A1041),FIND("]",TRIM(A1041)&amp;"]")+1,200)),TRIM(A1041)),1)=")",TRIM(LEFT(IF(LEFT(TRIM(A1041),1)="[",TRIM(MID(TRIM(A1041),FIND("]",TRIM(A1041)&amp;"]")+1,200)),TRIM(A1041)),FIND("(",IF(LEFT(TRIM(A1041),1)="[",TRIM(MID(TRIM(A1041),FIND("]",TRIM(A1041)&amp;"]")+1,200)),TRIM(A1041))&amp;"(")-1)),IF(LEFT(TRIM(A1041),1)="[",TRIM(MID(TRIM(A1041),FIND("]",TRIM(A1041)&amp;"]")+1,200)),TRIM(A1041))))&gt;0,IF(RIGHT(IF(LEFT(TRIM(A1041),1)="[",TRIM(MID(TRIM(A1041),FIND("]",TRIM(A1041)&amp;"]")+1,200)),TRIM(A1041)),1)=")",TRIM(LEFT(IF(LEFT(TRIM(A1041),1)="[",TRIM(MID(TRIM(A1041),FIND("]",TRIM(A1041)&amp;"]")+1,200)),TRIM(A1041)),FIND("(",IF(LEFT(TRIM(A1041),1)="[",TRIM(MID(TRIM(A1041),FIND("]",TRIM(A1041)&amp;"]")+1,200)),TRIM(A1041))&amp;"(")-1)),IF(LEFT(TRIM(A1041),1)="[",TRIM(MID(TRIM(A1041),FIND("]",TRIM(A1041)&amp;"]")+1,200)),TRIM(A1041))),""))</f>
      </c>
      <c r="C1041" s="17">
        <f>IF(B1041&lt;&gt;"",B1041,C1040)</f>
      </c>
      <c r="D1041" s="17">
        <f>IF(A1041="","",IF(OR(LEFT(UPPER(TRIM(A1041)),2)="Y:",LEFT(UPPER(TRIM(A1041)),10)="YESTERDAY:"),"Y",IF(OR(LEFT(UPPER(TRIM(A1041)),2)="T:",LEFT(UPPER(TRIM(A1041)),6)="TODAY:"),"T",IF(OR(LEFT(UPPER(TRIM(A1041)),2)="B:",LEFT(UPPER(TRIM(A1041)),8)="BLOCKER:",LEFT(UPPER(TRIM(A1041)),9)="BLOCKERS:",LEFT(UPPER(TRIM(A1041)),8)="BLOCKED:"),"B",""))))</f>
      </c>
      <c r="E1041" s="17">
        <f>IF(D1041="","",TRIM(MID(A1041,FIND(":",A1041)+1,500)))</f>
      </c>
    </row>
    <row r="1042">
      <c r="B1042" s="17">
        <f>IF(A1042="","",IF(COUNTIF(Roster[Name],IF(RIGHT(IF(LEFT(TRIM(A1042),1)="[",TRIM(MID(TRIM(A1042),FIND("]",TRIM(A1042)&amp;"]")+1,200)),TRIM(A1042)),1)=")",TRIM(LEFT(IF(LEFT(TRIM(A1042),1)="[",TRIM(MID(TRIM(A1042),FIND("]",TRIM(A1042)&amp;"]")+1,200)),TRIM(A1042)),FIND("(",IF(LEFT(TRIM(A1042),1)="[",TRIM(MID(TRIM(A1042),FIND("]",TRIM(A1042)&amp;"]")+1,200)),TRIM(A1042))&amp;"(")-1)),IF(LEFT(TRIM(A1042),1)="[",TRIM(MID(TRIM(A1042),FIND("]",TRIM(A1042)&amp;"]")+1,200)),TRIM(A1042))))&gt;0,IF(RIGHT(IF(LEFT(TRIM(A1042),1)="[",TRIM(MID(TRIM(A1042),FIND("]",TRIM(A1042)&amp;"]")+1,200)),TRIM(A1042)),1)=")",TRIM(LEFT(IF(LEFT(TRIM(A1042),1)="[",TRIM(MID(TRIM(A1042),FIND("]",TRIM(A1042)&amp;"]")+1,200)),TRIM(A1042)),FIND("(",IF(LEFT(TRIM(A1042),1)="[",TRIM(MID(TRIM(A1042),FIND("]",TRIM(A1042)&amp;"]")+1,200)),TRIM(A1042))&amp;"(")-1)),IF(LEFT(TRIM(A1042),1)="[",TRIM(MID(TRIM(A1042),FIND("]",TRIM(A1042)&amp;"]")+1,200)),TRIM(A1042))),""))</f>
      </c>
      <c r="C1042" s="17">
        <f>IF(B1042&lt;&gt;"",B1042,C1041)</f>
      </c>
      <c r="D1042" s="17">
        <f>IF(A1042="","",IF(OR(LEFT(UPPER(TRIM(A1042)),2)="Y:",LEFT(UPPER(TRIM(A1042)),10)="YESTERDAY:"),"Y",IF(OR(LEFT(UPPER(TRIM(A1042)),2)="T:",LEFT(UPPER(TRIM(A1042)),6)="TODAY:"),"T",IF(OR(LEFT(UPPER(TRIM(A1042)),2)="B:",LEFT(UPPER(TRIM(A1042)),8)="BLOCKER:",LEFT(UPPER(TRIM(A1042)),9)="BLOCKERS:",LEFT(UPPER(TRIM(A1042)),8)="BLOCKED:"),"B",""))))</f>
      </c>
      <c r="E1042" s="17">
        <f>IF(D1042="","",TRIM(MID(A1042,FIND(":",A1042)+1,500)))</f>
      </c>
    </row>
    <row r="1043">
      <c r="B1043" s="17">
        <f>IF(A1043="","",IF(COUNTIF(Roster[Name],IF(RIGHT(IF(LEFT(TRIM(A1043),1)="[",TRIM(MID(TRIM(A1043),FIND("]",TRIM(A1043)&amp;"]")+1,200)),TRIM(A1043)),1)=")",TRIM(LEFT(IF(LEFT(TRIM(A1043),1)="[",TRIM(MID(TRIM(A1043),FIND("]",TRIM(A1043)&amp;"]")+1,200)),TRIM(A1043)),FIND("(",IF(LEFT(TRIM(A1043),1)="[",TRIM(MID(TRIM(A1043),FIND("]",TRIM(A1043)&amp;"]")+1,200)),TRIM(A1043))&amp;"(")-1)),IF(LEFT(TRIM(A1043),1)="[",TRIM(MID(TRIM(A1043),FIND("]",TRIM(A1043)&amp;"]")+1,200)),TRIM(A1043))))&gt;0,IF(RIGHT(IF(LEFT(TRIM(A1043),1)="[",TRIM(MID(TRIM(A1043),FIND("]",TRIM(A1043)&amp;"]")+1,200)),TRIM(A1043)),1)=")",TRIM(LEFT(IF(LEFT(TRIM(A1043),1)="[",TRIM(MID(TRIM(A1043),FIND("]",TRIM(A1043)&amp;"]")+1,200)),TRIM(A1043)),FIND("(",IF(LEFT(TRIM(A1043),1)="[",TRIM(MID(TRIM(A1043),FIND("]",TRIM(A1043)&amp;"]")+1,200)),TRIM(A1043))&amp;"(")-1)),IF(LEFT(TRIM(A1043),1)="[",TRIM(MID(TRIM(A1043),FIND("]",TRIM(A1043)&amp;"]")+1,200)),TRIM(A1043))),""))</f>
      </c>
      <c r="C1043" s="17">
        <f>IF(B1043&lt;&gt;"",B1043,C1042)</f>
      </c>
      <c r="D1043" s="17">
        <f>IF(A1043="","",IF(OR(LEFT(UPPER(TRIM(A1043)),2)="Y:",LEFT(UPPER(TRIM(A1043)),10)="YESTERDAY:"),"Y",IF(OR(LEFT(UPPER(TRIM(A1043)),2)="T:",LEFT(UPPER(TRIM(A1043)),6)="TODAY:"),"T",IF(OR(LEFT(UPPER(TRIM(A1043)),2)="B:",LEFT(UPPER(TRIM(A1043)),8)="BLOCKER:",LEFT(UPPER(TRIM(A1043)),9)="BLOCKERS:",LEFT(UPPER(TRIM(A1043)),8)="BLOCKED:"),"B",""))))</f>
      </c>
      <c r="E1043" s="17">
        <f>IF(D1043="","",TRIM(MID(A1043,FIND(":",A1043)+1,500)))</f>
      </c>
    </row>
    <row r="1044">
      <c r="B1044" s="17">
        <f>IF(A1044="","",IF(COUNTIF(Roster[Name],IF(RIGHT(IF(LEFT(TRIM(A1044),1)="[",TRIM(MID(TRIM(A1044),FIND("]",TRIM(A1044)&amp;"]")+1,200)),TRIM(A1044)),1)=")",TRIM(LEFT(IF(LEFT(TRIM(A1044),1)="[",TRIM(MID(TRIM(A1044),FIND("]",TRIM(A1044)&amp;"]")+1,200)),TRIM(A1044)),FIND("(",IF(LEFT(TRIM(A1044),1)="[",TRIM(MID(TRIM(A1044),FIND("]",TRIM(A1044)&amp;"]")+1,200)),TRIM(A1044))&amp;"(")-1)),IF(LEFT(TRIM(A1044),1)="[",TRIM(MID(TRIM(A1044),FIND("]",TRIM(A1044)&amp;"]")+1,200)),TRIM(A1044))))&gt;0,IF(RIGHT(IF(LEFT(TRIM(A1044),1)="[",TRIM(MID(TRIM(A1044),FIND("]",TRIM(A1044)&amp;"]")+1,200)),TRIM(A1044)),1)=")",TRIM(LEFT(IF(LEFT(TRIM(A1044),1)="[",TRIM(MID(TRIM(A1044),FIND("]",TRIM(A1044)&amp;"]")+1,200)),TRIM(A1044)),FIND("(",IF(LEFT(TRIM(A1044),1)="[",TRIM(MID(TRIM(A1044),FIND("]",TRIM(A1044)&amp;"]")+1,200)),TRIM(A1044))&amp;"(")-1)),IF(LEFT(TRIM(A1044),1)="[",TRIM(MID(TRIM(A1044),FIND("]",TRIM(A1044)&amp;"]")+1,200)),TRIM(A1044))),""))</f>
      </c>
      <c r="C1044" s="17">
        <f>IF(B1044&lt;&gt;"",B1044,C1043)</f>
      </c>
      <c r="D1044" s="17">
        <f>IF(A1044="","",IF(OR(LEFT(UPPER(TRIM(A1044)),2)="Y:",LEFT(UPPER(TRIM(A1044)),10)="YESTERDAY:"),"Y",IF(OR(LEFT(UPPER(TRIM(A1044)),2)="T:",LEFT(UPPER(TRIM(A1044)),6)="TODAY:"),"T",IF(OR(LEFT(UPPER(TRIM(A1044)),2)="B:",LEFT(UPPER(TRIM(A1044)),8)="BLOCKER:",LEFT(UPPER(TRIM(A1044)),9)="BLOCKERS:",LEFT(UPPER(TRIM(A1044)),8)="BLOCKED:"),"B",""))))</f>
      </c>
      <c r="E1044" s="17">
        <f>IF(D1044="","",TRIM(MID(A1044,FIND(":",A1044)+1,500)))</f>
      </c>
    </row>
    <row r="1045">
      <c r="B1045" s="17">
        <f>IF(A1045="","",IF(COUNTIF(Roster[Name],IF(RIGHT(IF(LEFT(TRIM(A1045),1)="[",TRIM(MID(TRIM(A1045),FIND("]",TRIM(A1045)&amp;"]")+1,200)),TRIM(A1045)),1)=")",TRIM(LEFT(IF(LEFT(TRIM(A1045),1)="[",TRIM(MID(TRIM(A1045),FIND("]",TRIM(A1045)&amp;"]")+1,200)),TRIM(A1045)),FIND("(",IF(LEFT(TRIM(A1045),1)="[",TRIM(MID(TRIM(A1045),FIND("]",TRIM(A1045)&amp;"]")+1,200)),TRIM(A1045))&amp;"(")-1)),IF(LEFT(TRIM(A1045),1)="[",TRIM(MID(TRIM(A1045),FIND("]",TRIM(A1045)&amp;"]")+1,200)),TRIM(A1045))))&gt;0,IF(RIGHT(IF(LEFT(TRIM(A1045),1)="[",TRIM(MID(TRIM(A1045),FIND("]",TRIM(A1045)&amp;"]")+1,200)),TRIM(A1045)),1)=")",TRIM(LEFT(IF(LEFT(TRIM(A1045),1)="[",TRIM(MID(TRIM(A1045),FIND("]",TRIM(A1045)&amp;"]")+1,200)),TRIM(A1045)),FIND("(",IF(LEFT(TRIM(A1045),1)="[",TRIM(MID(TRIM(A1045),FIND("]",TRIM(A1045)&amp;"]")+1,200)),TRIM(A1045))&amp;"(")-1)),IF(LEFT(TRIM(A1045),1)="[",TRIM(MID(TRIM(A1045),FIND("]",TRIM(A1045)&amp;"]")+1,200)),TRIM(A1045))),""))</f>
      </c>
      <c r="C1045" s="17">
        <f>IF(B1045&lt;&gt;"",B1045,C1044)</f>
      </c>
      <c r="D1045" s="17">
        <f>IF(A1045="","",IF(OR(LEFT(UPPER(TRIM(A1045)),2)="Y:",LEFT(UPPER(TRIM(A1045)),10)="YESTERDAY:"),"Y",IF(OR(LEFT(UPPER(TRIM(A1045)),2)="T:",LEFT(UPPER(TRIM(A1045)),6)="TODAY:"),"T",IF(OR(LEFT(UPPER(TRIM(A1045)),2)="B:",LEFT(UPPER(TRIM(A1045)),8)="BLOCKER:",LEFT(UPPER(TRIM(A1045)),9)="BLOCKERS:",LEFT(UPPER(TRIM(A1045)),8)="BLOCKED:"),"B",""))))</f>
      </c>
      <c r="E1045" s="17">
        <f>IF(D1045="","",TRIM(MID(A1045,FIND(":",A1045)+1,500)))</f>
      </c>
    </row>
    <row r="1046">
      <c r="B1046" s="17">
        <f>IF(A1046="","",IF(COUNTIF(Roster[Name],IF(RIGHT(IF(LEFT(TRIM(A1046),1)="[",TRIM(MID(TRIM(A1046),FIND("]",TRIM(A1046)&amp;"]")+1,200)),TRIM(A1046)),1)=")",TRIM(LEFT(IF(LEFT(TRIM(A1046),1)="[",TRIM(MID(TRIM(A1046),FIND("]",TRIM(A1046)&amp;"]")+1,200)),TRIM(A1046)),FIND("(",IF(LEFT(TRIM(A1046),1)="[",TRIM(MID(TRIM(A1046),FIND("]",TRIM(A1046)&amp;"]")+1,200)),TRIM(A1046))&amp;"(")-1)),IF(LEFT(TRIM(A1046),1)="[",TRIM(MID(TRIM(A1046),FIND("]",TRIM(A1046)&amp;"]")+1,200)),TRIM(A1046))))&gt;0,IF(RIGHT(IF(LEFT(TRIM(A1046),1)="[",TRIM(MID(TRIM(A1046),FIND("]",TRIM(A1046)&amp;"]")+1,200)),TRIM(A1046)),1)=")",TRIM(LEFT(IF(LEFT(TRIM(A1046),1)="[",TRIM(MID(TRIM(A1046),FIND("]",TRIM(A1046)&amp;"]")+1,200)),TRIM(A1046)),FIND("(",IF(LEFT(TRIM(A1046),1)="[",TRIM(MID(TRIM(A1046),FIND("]",TRIM(A1046)&amp;"]")+1,200)),TRIM(A1046))&amp;"(")-1)),IF(LEFT(TRIM(A1046),1)="[",TRIM(MID(TRIM(A1046),FIND("]",TRIM(A1046)&amp;"]")+1,200)),TRIM(A1046))),""))</f>
      </c>
      <c r="C1046" s="17">
        <f>IF(B1046&lt;&gt;"",B1046,C1045)</f>
      </c>
      <c r="D1046" s="17">
        <f>IF(A1046="","",IF(OR(LEFT(UPPER(TRIM(A1046)),2)="Y:",LEFT(UPPER(TRIM(A1046)),10)="YESTERDAY:"),"Y",IF(OR(LEFT(UPPER(TRIM(A1046)),2)="T:",LEFT(UPPER(TRIM(A1046)),6)="TODAY:"),"T",IF(OR(LEFT(UPPER(TRIM(A1046)),2)="B:",LEFT(UPPER(TRIM(A1046)),8)="BLOCKER:",LEFT(UPPER(TRIM(A1046)),9)="BLOCKERS:",LEFT(UPPER(TRIM(A1046)),8)="BLOCKED:"),"B",""))))</f>
      </c>
      <c r="E1046" s="17">
        <f>IF(D1046="","",TRIM(MID(A1046,FIND(":",A1046)+1,500)))</f>
      </c>
    </row>
    <row r="1047">
      <c r="B1047" s="17">
        <f>IF(A1047="","",IF(COUNTIF(Roster[Name],IF(RIGHT(IF(LEFT(TRIM(A1047),1)="[",TRIM(MID(TRIM(A1047),FIND("]",TRIM(A1047)&amp;"]")+1,200)),TRIM(A1047)),1)=")",TRIM(LEFT(IF(LEFT(TRIM(A1047),1)="[",TRIM(MID(TRIM(A1047),FIND("]",TRIM(A1047)&amp;"]")+1,200)),TRIM(A1047)),FIND("(",IF(LEFT(TRIM(A1047),1)="[",TRIM(MID(TRIM(A1047),FIND("]",TRIM(A1047)&amp;"]")+1,200)),TRIM(A1047))&amp;"(")-1)),IF(LEFT(TRIM(A1047),1)="[",TRIM(MID(TRIM(A1047),FIND("]",TRIM(A1047)&amp;"]")+1,200)),TRIM(A1047))))&gt;0,IF(RIGHT(IF(LEFT(TRIM(A1047),1)="[",TRIM(MID(TRIM(A1047),FIND("]",TRIM(A1047)&amp;"]")+1,200)),TRIM(A1047)),1)=")",TRIM(LEFT(IF(LEFT(TRIM(A1047),1)="[",TRIM(MID(TRIM(A1047),FIND("]",TRIM(A1047)&amp;"]")+1,200)),TRIM(A1047)),FIND("(",IF(LEFT(TRIM(A1047),1)="[",TRIM(MID(TRIM(A1047),FIND("]",TRIM(A1047)&amp;"]")+1,200)),TRIM(A1047))&amp;"(")-1)),IF(LEFT(TRIM(A1047),1)="[",TRIM(MID(TRIM(A1047),FIND("]",TRIM(A1047)&amp;"]")+1,200)),TRIM(A1047))),""))</f>
      </c>
      <c r="C1047" s="17">
        <f>IF(B1047&lt;&gt;"",B1047,C1046)</f>
      </c>
      <c r="D1047" s="17">
        <f>IF(A1047="","",IF(OR(LEFT(UPPER(TRIM(A1047)),2)="Y:",LEFT(UPPER(TRIM(A1047)),10)="YESTERDAY:"),"Y",IF(OR(LEFT(UPPER(TRIM(A1047)),2)="T:",LEFT(UPPER(TRIM(A1047)),6)="TODAY:"),"T",IF(OR(LEFT(UPPER(TRIM(A1047)),2)="B:",LEFT(UPPER(TRIM(A1047)),8)="BLOCKER:",LEFT(UPPER(TRIM(A1047)),9)="BLOCKERS:",LEFT(UPPER(TRIM(A1047)),8)="BLOCKED:"),"B",""))))</f>
      </c>
      <c r="E1047" s="17">
        <f>IF(D1047="","",TRIM(MID(A1047,FIND(":",A1047)+1,500)))</f>
      </c>
    </row>
    <row r="1048">
      <c r="B1048" s="17">
        <f>IF(A1048="","",IF(COUNTIF(Roster[Name],IF(RIGHT(IF(LEFT(TRIM(A1048),1)="[",TRIM(MID(TRIM(A1048),FIND("]",TRIM(A1048)&amp;"]")+1,200)),TRIM(A1048)),1)=")",TRIM(LEFT(IF(LEFT(TRIM(A1048),1)="[",TRIM(MID(TRIM(A1048),FIND("]",TRIM(A1048)&amp;"]")+1,200)),TRIM(A1048)),FIND("(",IF(LEFT(TRIM(A1048),1)="[",TRIM(MID(TRIM(A1048),FIND("]",TRIM(A1048)&amp;"]")+1,200)),TRIM(A1048))&amp;"(")-1)),IF(LEFT(TRIM(A1048),1)="[",TRIM(MID(TRIM(A1048),FIND("]",TRIM(A1048)&amp;"]")+1,200)),TRIM(A1048))))&gt;0,IF(RIGHT(IF(LEFT(TRIM(A1048),1)="[",TRIM(MID(TRIM(A1048),FIND("]",TRIM(A1048)&amp;"]")+1,200)),TRIM(A1048)),1)=")",TRIM(LEFT(IF(LEFT(TRIM(A1048),1)="[",TRIM(MID(TRIM(A1048),FIND("]",TRIM(A1048)&amp;"]")+1,200)),TRIM(A1048)),FIND("(",IF(LEFT(TRIM(A1048),1)="[",TRIM(MID(TRIM(A1048),FIND("]",TRIM(A1048)&amp;"]")+1,200)),TRIM(A1048))&amp;"(")-1)),IF(LEFT(TRIM(A1048),1)="[",TRIM(MID(TRIM(A1048),FIND("]",TRIM(A1048)&amp;"]")+1,200)),TRIM(A1048))),""))</f>
      </c>
      <c r="C1048" s="17">
        <f>IF(B1048&lt;&gt;"",B1048,C1047)</f>
      </c>
      <c r="D1048" s="17">
        <f>IF(A1048="","",IF(OR(LEFT(UPPER(TRIM(A1048)),2)="Y:",LEFT(UPPER(TRIM(A1048)),10)="YESTERDAY:"),"Y",IF(OR(LEFT(UPPER(TRIM(A1048)),2)="T:",LEFT(UPPER(TRIM(A1048)),6)="TODAY:"),"T",IF(OR(LEFT(UPPER(TRIM(A1048)),2)="B:",LEFT(UPPER(TRIM(A1048)),8)="BLOCKER:",LEFT(UPPER(TRIM(A1048)),9)="BLOCKERS:",LEFT(UPPER(TRIM(A1048)),8)="BLOCKED:"),"B",""))))</f>
      </c>
      <c r="E1048" s="17">
        <f>IF(D1048="","",TRIM(MID(A1048,FIND(":",A1048)+1,500)))</f>
      </c>
    </row>
    <row r="1049">
      <c r="B1049" s="17">
        <f>IF(A1049="","",IF(COUNTIF(Roster[Name],IF(RIGHT(IF(LEFT(TRIM(A1049),1)="[",TRIM(MID(TRIM(A1049),FIND("]",TRIM(A1049)&amp;"]")+1,200)),TRIM(A1049)),1)=")",TRIM(LEFT(IF(LEFT(TRIM(A1049),1)="[",TRIM(MID(TRIM(A1049),FIND("]",TRIM(A1049)&amp;"]")+1,200)),TRIM(A1049)),FIND("(",IF(LEFT(TRIM(A1049),1)="[",TRIM(MID(TRIM(A1049),FIND("]",TRIM(A1049)&amp;"]")+1,200)),TRIM(A1049))&amp;"(")-1)),IF(LEFT(TRIM(A1049),1)="[",TRIM(MID(TRIM(A1049),FIND("]",TRIM(A1049)&amp;"]")+1,200)),TRIM(A1049))))&gt;0,IF(RIGHT(IF(LEFT(TRIM(A1049),1)="[",TRIM(MID(TRIM(A1049),FIND("]",TRIM(A1049)&amp;"]")+1,200)),TRIM(A1049)),1)=")",TRIM(LEFT(IF(LEFT(TRIM(A1049),1)="[",TRIM(MID(TRIM(A1049),FIND("]",TRIM(A1049)&amp;"]")+1,200)),TRIM(A1049)),FIND("(",IF(LEFT(TRIM(A1049),1)="[",TRIM(MID(TRIM(A1049),FIND("]",TRIM(A1049)&amp;"]")+1,200)),TRIM(A1049))&amp;"(")-1)),IF(LEFT(TRIM(A1049),1)="[",TRIM(MID(TRIM(A1049),FIND("]",TRIM(A1049)&amp;"]")+1,200)),TRIM(A1049))),""))</f>
      </c>
      <c r="C1049" s="17">
        <f>IF(B1049&lt;&gt;"",B1049,C1048)</f>
      </c>
      <c r="D1049" s="17">
        <f>IF(A1049="","",IF(OR(LEFT(UPPER(TRIM(A1049)),2)="Y:",LEFT(UPPER(TRIM(A1049)),10)="YESTERDAY:"),"Y",IF(OR(LEFT(UPPER(TRIM(A1049)),2)="T:",LEFT(UPPER(TRIM(A1049)),6)="TODAY:"),"T",IF(OR(LEFT(UPPER(TRIM(A1049)),2)="B:",LEFT(UPPER(TRIM(A1049)),8)="BLOCKER:",LEFT(UPPER(TRIM(A1049)),9)="BLOCKERS:",LEFT(UPPER(TRIM(A1049)),8)="BLOCKED:"),"B",""))))</f>
      </c>
      <c r="E1049" s="17">
        <f>IF(D1049="","",TRIM(MID(A1049,FIND(":",A1049)+1,500)))</f>
      </c>
    </row>
    <row r="1050">
      <c r="B1050" s="17">
        <f>IF(A1050="","",IF(COUNTIF(Roster[Name],IF(RIGHT(IF(LEFT(TRIM(A1050),1)="[",TRIM(MID(TRIM(A1050),FIND("]",TRIM(A1050)&amp;"]")+1,200)),TRIM(A1050)),1)=")",TRIM(LEFT(IF(LEFT(TRIM(A1050),1)="[",TRIM(MID(TRIM(A1050),FIND("]",TRIM(A1050)&amp;"]")+1,200)),TRIM(A1050)),FIND("(",IF(LEFT(TRIM(A1050),1)="[",TRIM(MID(TRIM(A1050),FIND("]",TRIM(A1050)&amp;"]")+1,200)),TRIM(A1050))&amp;"(")-1)),IF(LEFT(TRIM(A1050),1)="[",TRIM(MID(TRIM(A1050),FIND("]",TRIM(A1050)&amp;"]")+1,200)),TRIM(A1050))))&gt;0,IF(RIGHT(IF(LEFT(TRIM(A1050),1)="[",TRIM(MID(TRIM(A1050),FIND("]",TRIM(A1050)&amp;"]")+1,200)),TRIM(A1050)),1)=")",TRIM(LEFT(IF(LEFT(TRIM(A1050),1)="[",TRIM(MID(TRIM(A1050),FIND("]",TRIM(A1050)&amp;"]")+1,200)),TRIM(A1050)),FIND("(",IF(LEFT(TRIM(A1050),1)="[",TRIM(MID(TRIM(A1050),FIND("]",TRIM(A1050)&amp;"]")+1,200)),TRIM(A1050))&amp;"(")-1)),IF(LEFT(TRIM(A1050),1)="[",TRIM(MID(TRIM(A1050),FIND("]",TRIM(A1050)&amp;"]")+1,200)),TRIM(A1050))),""))</f>
      </c>
      <c r="C1050" s="17">
        <f>IF(B1050&lt;&gt;"",B1050,C1049)</f>
      </c>
      <c r="D1050" s="17">
        <f>IF(A1050="","",IF(OR(LEFT(UPPER(TRIM(A1050)),2)="Y:",LEFT(UPPER(TRIM(A1050)),10)="YESTERDAY:"),"Y",IF(OR(LEFT(UPPER(TRIM(A1050)),2)="T:",LEFT(UPPER(TRIM(A1050)),6)="TODAY:"),"T",IF(OR(LEFT(UPPER(TRIM(A1050)),2)="B:",LEFT(UPPER(TRIM(A1050)),8)="BLOCKER:",LEFT(UPPER(TRIM(A1050)),9)="BLOCKERS:",LEFT(UPPER(TRIM(A1050)),8)="BLOCKED:"),"B",""))))</f>
      </c>
      <c r="E1050" s="17">
        <f>IF(D1050="","",TRIM(MID(A1050,FIND(":",A1050)+1,500)))</f>
      </c>
    </row>
    <row r="1051">
      <c r="B1051" s="17">
        <f>IF(A1051="","",IF(COUNTIF(Roster[Name],IF(RIGHT(IF(LEFT(TRIM(A1051),1)="[",TRIM(MID(TRIM(A1051),FIND("]",TRIM(A1051)&amp;"]")+1,200)),TRIM(A1051)),1)=")",TRIM(LEFT(IF(LEFT(TRIM(A1051),1)="[",TRIM(MID(TRIM(A1051),FIND("]",TRIM(A1051)&amp;"]")+1,200)),TRIM(A1051)),FIND("(",IF(LEFT(TRIM(A1051),1)="[",TRIM(MID(TRIM(A1051),FIND("]",TRIM(A1051)&amp;"]")+1,200)),TRIM(A1051))&amp;"(")-1)),IF(LEFT(TRIM(A1051),1)="[",TRIM(MID(TRIM(A1051),FIND("]",TRIM(A1051)&amp;"]")+1,200)),TRIM(A1051))))&gt;0,IF(RIGHT(IF(LEFT(TRIM(A1051),1)="[",TRIM(MID(TRIM(A1051),FIND("]",TRIM(A1051)&amp;"]")+1,200)),TRIM(A1051)),1)=")",TRIM(LEFT(IF(LEFT(TRIM(A1051),1)="[",TRIM(MID(TRIM(A1051),FIND("]",TRIM(A1051)&amp;"]")+1,200)),TRIM(A1051)),FIND("(",IF(LEFT(TRIM(A1051),1)="[",TRIM(MID(TRIM(A1051),FIND("]",TRIM(A1051)&amp;"]")+1,200)),TRIM(A1051))&amp;"(")-1)),IF(LEFT(TRIM(A1051),1)="[",TRIM(MID(TRIM(A1051),FIND("]",TRIM(A1051)&amp;"]")+1,200)),TRIM(A1051))),""))</f>
      </c>
      <c r="C1051" s="17">
        <f>IF(B1051&lt;&gt;"",B1051,C1050)</f>
      </c>
      <c r="D1051" s="17">
        <f>IF(A1051="","",IF(OR(LEFT(UPPER(TRIM(A1051)),2)="Y:",LEFT(UPPER(TRIM(A1051)),10)="YESTERDAY:"),"Y",IF(OR(LEFT(UPPER(TRIM(A1051)),2)="T:",LEFT(UPPER(TRIM(A1051)),6)="TODAY:"),"T",IF(OR(LEFT(UPPER(TRIM(A1051)),2)="B:",LEFT(UPPER(TRIM(A1051)),8)="BLOCKER:",LEFT(UPPER(TRIM(A1051)),9)="BLOCKERS:",LEFT(UPPER(TRIM(A1051)),8)="BLOCKED:"),"B",""))))</f>
      </c>
      <c r="E1051" s="17">
        <f>IF(D1051="","",TRIM(MID(A1051,FIND(":",A1051)+1,500)))</f>
      </c>
    </row>
    <row r="1052">
      <c r="B1052" s="17">
        <f>IF(A1052="","",IF(COUNTIF(Roster[Name],IF(RIGHT(IF(LEFT(TRIM(A1052),1)="[",TRIM(MID(TRIM(A1052),FIND("]",TRIM(A1052)&amp;"]")+1,200)),TRIM(A1052)),1)=")",TRIM(LEFT(IF(LEFT(TRIM(A1052),1)="[",TRIM(MID(TRIM(A1052),FIND("]",TRIM(A1052)&amp;"]")+1,200)),TRIM(A1052)),FIND("(",IF(LEFT(TRIM(A1052),1)="[",TRIM(MID(TRIM(A1052),FIND("]",TRIM(A1052)&amp;"]")+1,200)),TRIM(A1052))&amp;"(")-1)),IF(LEFT(TRIM(A1052),1)="[",TRIM(MID(TRIM(A1052),FIND("]",TRIM(A1052)&amp;"]")+1,200)),TRIM(A1052))))&gt;0,IF(RIGHT(IF(LEFT(TRIM(A1052),1)="[",TRIM(MID(TRIM(A1052),FIND("]",TRIM(A1052)&amp;"]")+1,200)),TRIM(A1052)),1)=")",TRIM(LEFT(IF(LEFT(TRIM(A1052),1)="[",TRIM(MID(TRIM(A1052),FIND("]",TRIM(A1052)&amp;"]")+1,200)),TRIM(A1052)),FIND("(",IF(LEFT(TRIM(A1052),1)="[",TRIM(MID(TRIM(A1052),FIND("]",TRIM(A1052)&amp;"]")+1,200)),TRIM(A1052))&amp;"(")-1)),IF(LEFT(TRIM(A1052),1)="[",TRIM(MID(TRIM(A1052),FIND("]",TRIM(A1052)&amp;"]")+1,200)),TRIM(A1052))),""))</f>
      </c>
      <c r="C1052" s="17">
        <f>IF(B1052&lt;&gt;"",B1052,C1051)</f>
      </c>
      <c r="D1052" s="17">
        <f>IF(A1052="","",IF(OR(LEFT(UPPER(TRIM(A1052)),2)="Y:",LEFT(UPPER(TRIM(A1052)),10)="YESTERDAY:"),"Y",IF(OR(LEFT(UPPER(TRIM(A1052)),2)="T:",LEFT(UPPER(TRIM(A1052)),6)="TODAY:"),"T",IF(OR(LEFT(UPPER(TRIM(A1052)),2)="B:",LEFT(UPPER(TRIM(A1052)),8)="BLOCKER:",LEFT(UPPER(TRIM(A1052)),9)="BLOCKERS:",LEFT(UPPER(TRIM(A1052)),8)="BLOCKED:"),"B",""))))</f>
      </c>
      <c r="E1052" s="17">
        <f>IF(D1052="","",TRIM(MID(A1052,FIND(":",A1052)+1,500)))</f>
      </c>
    </row>
    <row r="1053">
      <c r="B1053" s="17">
        <f>IF(A1053="","",IF(COUNTIF(Roster[Name],IF(RIGHT(IF(LEFT(TRIM(A1053),1)="[",TRIM(MID(TRIM(A1053),FIND("]",TRIM(A1053)&amp;"]")+1,200)),TRIM(A1053)),1)=")",TRIM(LEFT(IF(LEFT(TRIM(A1053),1)="[",TRIM(MID(TRIM(A1053),FIND("]",TRIM(A1053)&amp;"]")+1,200)),TRIM(A1053)),FIND("(",IF(LEFT(TRIM(A1053),1)="[",TRIM(MID(TRIM(A1053),FIND("]",TRIM(A1053)&amp;"]")+1,200)),TRIM(A1053))&amp;"(")-1)),IF(LEFT(TRIM(A1053),1)="[",TRIM(MID(TRIM(A1053),FIND("]",TRIM(A1053)&amp;"]")+1,200)),TRIM(A1053))))&gt;0,IF(RIGHT(IF(LEFT(TRIM(A1053),1)="[",TRIM(MID(TRIM(A1053),FIND("]",TRIM(A1053)&amp;"]")+1,200)),TRIM(A1053)),1)=")",TRIM(LEFT(IF(LEFT(TRIM(A1053),1)="[",TRIM(MID(TRIM(A1053),FIND("]",TRIM(A1053)&amp;"]")+1,200)),TRIM(A1053)),FIND("(",IF(LEFT(TRIM(A1053),1)="[",TRIM(MID(TRIM(A1053),FIND("]",TRIM(A1053)&amp;"]")+1,200)),TRIM(A1053))&amp;"(")-1)),IF(LEFT(TRIM(A1053),1)="[",TRIM(MID(TRIM(A1053),FIND("]",TRIM(A1053)&amp;"]")+1,200)),TRIM(A1053))),""))</f>
      </c>
      <c r="C1053" s="17">
        <f>IF(B1053&lt;&gt;"",B1053,C1052)</f>
      </c>
      <c r="D1053" s="17">
        <f>IF(A1053="","",IF(OR(LEFT(UPPER(TRIM(A1053)),2)="Y:",LEFT(UPPER(TRIM(A1053)),10)="YESTERDAY:"),"Y",IF(OR(LEFT(UPPER(TRIM(A1053)),2)="T:",LEFT(UPPER(TRIM(A1053)),6)="TODAY:"),"T",IF(OR(LEFT(UPPER(TRIM(A1053)),2)="B:",LEFT(UPPER(TRIM(A1053)),8)="BLOCKER:",LEFT(UPPER(TRIM(A1053)),9)="BLOCKERS:",LEFT(UPPER(TRIM(A1053)),8)="BLOCKED:"),"B",""))))</f>
      </c>
      <c r="E1053" s="17">
        <f>IF(D1053="","",TRIM(MID(A1053,FIND(":",A1053)+1,500)))</f>
      </c>
    </row>
    <row r="1054">
      <c r="B1054" s="17">
        <f>IF(A1054="","",IF(COUNTIF(Roster[Name],IF(RIGHT(IF(LEFT(TRIM(A1054),1)="[",TRIM(MID(TRIM(A1054),FIND("]",TRIM(A1054)&amp;"]")+1,200)),TRIM(A1054)),1)=")",TRIM(LEFT(IF(LEFT(TRIM(A1054),1)="[",TRIM(MID(TRIM(A1054),FIND("]",TRIM(A1054)&amp;"]")+1,200)),TRIM(A1054)),FIND("(",IF(LEFT(TRIM(A1054),1)="[",TRIM(MID(TRIM(A1054),FIND("]",TRIM(A1054)&amp;"]")+1,200)),TRIM(A1054))&amp;"(")-1)),IF(LEFT(TRIM(A1054),1)="[",TRIM(MID(TRIM(A1054),FIND("]",TRIM(A1054)&amp;"]")+1,200)),TRIM(A1054))))&gt;0,IF(RIGHT(IF(LEFT(TRIM(A1054),1)="[",TRIM(MID(TRIM(A1054),FIND("]",TRIM(A1054)&amp;"]")+1,200)),TRIM(A1054)),1)=")",TRIM(LEFT(IF(LEFT(TRIM(A1054),1)="[",TRIM(MID(TRIM(A1054),FIND("]",TRIM(A1054)&amp;"]")+1,200)),TRIM(A1054)),FIND("(",IF(LEFT(TRIM(A1054),1)="[",TRIM(MID(TRIM(A1054),FIND("]",TRIM(A1054)&amp;"]")+1,200)),TRIM(A1054))&amp;"(")-1)),IF(LEFT(TRIM(A1054),1)="[",TRIM(MID(TRIM(A1054),FIND("]",TRIM(A1054)&amp;"]")+1,200)),TRIM(A1054))),""))</f>
      </c>
      <c r="C1054" s="17">
        <f>IF(B1054&lt;&gt;"",B1054,C1053)</f>
      </c>
      <c r="D1054" s="17">
        <f>IF(A1054="","",IF(OR(LEFT(UPPER(TRIM(A1054)),2)="Y:",LEFT(UPPER(TRIM(A1054)),10)="YESTERDAY:"),"Y",IF(OR(LEFT(UPPER(TRIM(A1054)),2)="T:",LEFT(UPPER(TRIM(A1054)),6)="TODAY:"),"T",IF(OR(LEFT(UPPER(TRIM(A1054)),2)="B:",LEFT(UPPER(TRIM(A1054)),8)="BLOCKER:",LEFT(UPPER(TRIM(A1054)),9)="BLOCKERS:",LEFT(UPPER(TRIM(A1054)),8)="BLOCKED:"),"B",""))))</f>
      </c>
      <c r="E1054" s="17">
        <f>IF(D1054="","",TRIM(MID(A1054,FIND(":",A1054)+1,500)))</f>
      </c>
    </row>
    <row r="1055">
      <c r="B1055" s="17">
        <f>IF(A1055="","",IF(COUNTIF(Roster[Name],IF(RIGHT(IF(LEFT(TRIM(A1055),1)="[",TRIM(MID(TRIM(A1055),FIND("]",TRIM(A1055)&amp;"]")+1,200)),TRIM(A1055)),1)=")",TRIM(LEFT(IF(LEFT(TRIM(A1055),1)="[",TRIM(MID(TRIM(A1055),FIND("]",TRIM(A1055)&amp;"]")+1,200)),TRIM(A1055)),FIND("(",IF(LEFT(TRIM(A1055),1)="[",TRIM(MID(TRIM(A1055),FIND("]",TRIM(A1055)&amp;"]")+1,200)),TRIM(A1055))&amp;"(")-1)),IF(LEFT(TRIM(A1055),1)="[",TRIM(MID(TRIM(A1055),FIND("]",TRIM(A1055)&amp;"]")+1,200)),TRIM(A1055))))&gt;0,IF(RIGHT(IF(LEFT(TRIM(A1055),1)="[",TRIM(MID(TRIM(A1055),FIND("]",TRIM(A1055)&amp;"]")+1,200)),TRIM(A1055)),1)=")",TRIM(LEFT(IF(LEFT(TRIM(A1055),1)="[",TRIM(MID(TRIM(A1055),FIND("]",TRIM(A1055)&amp;"]")+1,200)),TRIM(A1055)),FIND("(",IF(LEFT(TRIM(A1055),1)="[",TRIM(MID(TRIM(A1055),FIND("]",TRIM(A1055)&amp;"]")+1,200)),TRIM(A1055))&amp;"(")-1)),IF(LEFT(TRIM(A1055),1)="[",TRIM(MID(TRIM(A1055),FIND("]",TRIM(A1055)&amp;"]")+1,200)),TRIM(A1055))),""))</f>
      </c>
      <c r="C1055" s="17">
        <f>IF(B1055&lt;&gt;"",B1055,C1054)</f>
      </c>
      <c r="D1055" s="17">
        <f>IF(A1055="","",IF(OR(LEFT(UPPER(TRIM(A1055)),2)="Y:",LEFT(UPPER(TRIM(A1055)),10)="YESTERDAY:"),"Y",IF(OR(LEFT(UPPER(TRIM(A1055)),2)="T:",LEFT(UPPER(TRIM(A1055)),6)="TODAY:"),"T",IF(OR(LEFT(UPPER(TRIM(A1055)),2)="B:",LEFT(UPPER(TRIM(A1055)),8)="BLOCKER:",LEFT(UPPER(TRIM(A1055)),9)="BLOCKERS:",LEFT(UPPER(TRIM(A1055)),8)="BLOCKED:"),"B",""))))</f>
      </c>
      <c r="E1055" s="17">
        <f>IF(D1055="","",TRIM(MID(A1055,FIND(":",A1055)+1,500)))</f>
      </c>
    </row>
    <row r="1056">
      <c r="B1056" s="17">
        <f>IF(A1056="","",IF(COUNTIF(Roster[Name],IF(RIGHT(IF(LEFT(TRIM(A1056),1)="[",TRIM(MID(TRIM(A1056),FIND("]",TRIM(A1056)&amp;"]")+1,200)),TRIM(A1056)),1)=")",TRIM(LEFT(IF(LEFT(TRIM(A1056),1)="[",TRIM(MID(TRIM(A1056),FIND("]",TRIM(A1056)&amp;"]")+1,200)),TRIM(A1056)),FIND("(",IF(LEFT(TRIM(A1056),1)="[",TRIM(MID(TRIM(A1056),FIND("]",TRIM(A1056)&amp;"]")+1,200)),TRIM(A1056))&amp;"(")-1)),IF(LEFT(TRIM(A1056),1)="[",TRIM(MID(TRIM(A1056),FIND("]",TRIM(A1056)&amp;"]")+1,200)),TRIM(A1056))))&gt;0,IF(RIGHT(IF(LEFT(TRIM(A1056),1)="[",TRIM(MID(TRIM(A1056),FIND("]",TRIM(A1056)&amp;"]")+1,200)),TRIM(A1056)),1)=")",TRIM(LEFT(IF(LEFT(TRIM(A1056),1)="[",TRIM(MID(TRIM(A1056),FIND("]",TRIM(A1056)&amp;"]")+1,200)),TRIM(A1056)),FIND("(",IF(LEFT(TRIM(A1056),1)="[",TRIM(MID(TRIM(A1056),FIND("]",TRIM(A1056)&amp;"]")+1,200)),TRIM(A1056))&amp;"(")-1)),IF(LEFT(TRIM(A1056),1)="[",TRIM(MID(TRIM(A1056),FIND("]",TRIM(A1056)&amp;"]")+1,200)),TRIM(A1056))),""))</f>
      </c>
      <c r="C1056" s="17">
        <f>IF(B1056&lt;&gt;"",B1056,C1055)</f>
      </c>
      <c r="D1056" s="17">
        <f>IF(A1056="","",IF(OR(LEFT(UPPER(TRIM(A1056)),2)="Y:",LEFT(UPPER(TRIM(A1056)),10)="YESTERDAY:"),"Y",IF(OR(LEFT(UPPER(TRIM(A1056)),2)="T:",LEFT(UPPER(TRIM(A1056)),6)="TODAY:"),"T",IF(OR(LEFT(UPPER(TRIM(A1056)),2)="B:",LEFT(UPPER(TRIM(A1056)),8)="BLOCKER:",LEFT(UPPER(TRIM(A1056)),9)="BLOCKERS:",LEFT(UPPER(TRIM(A1056)),8)="BLOCKED:"),"B",""))))</f>
      </c>
      <c r="E1056" s="17">
        <f>IF(D1056="","",TRIM(MID(A1056,FIND(":",A1056)+1,500)))</f>
      </c>
    </row>
    <row r="1057">
      <c r="B1057" s="17">
        <f>IF(A1057="","",IF(COUNTIF(Roster[Name],IF(RIGHT(IF(LEFT(TRIM(A1057),1)="[",TRIM(MID(TRIM(A1057),FIND("]",TRIM(A1057)&amp;"]")+1,200)),TRIM(A1057)),1)=")",TRIM(LEFT(IF(LEFT(TRIM(A1057),1)="[",TRIM(MID(TRIM(A1057),FIND("]",TRIM(A1057)&amp;"]")+1,200)),TRIM(A1057)),FIND("(",IF(LEFT(TRIM(A1057),1)="[",TRIM(MID(TRIM(A1057),FIND("]",TRIM(A1057)&amp;"]")+1,200)),TRIM(A1057))&amp;"(")-1)),IF(LEFT(TRIM(A1057),1)="[",TRIM(MID(TRIM(A1057),FIND("]",TRIM(A1057)&amp;"]")+1,200)),TRIM(A1057))))&gt;0,IF(RIGHT(IF(LEFT(TRIM(A1057),1)="[",TRIM(MID(TRIM(A1057),FIND("]",TRIM(A1057)&amp;"]")+1,200)),TRIM(A1057)),1)=")",TRIM(LEFT(IF(LEFT(TRIM(A1057),1)="[",TRIM(MID(TRIM(A1057),FIND("]",TRIM(A1057)&amp;"]")+1,200)),TRIM(A1057)),FIND("(",IF(LEFT(TRIM(A1057),1)="[",TRIM(MID(TRIM(A1057),FIND("]",TRIM(A1057)&amp;"]")+1,200)),TRIM(A1057))&amp;"(")-1)),IF(LEFT(TRIM(A1057),1)="[",TRIM(MID(TRIM(A1057),FIND("]",TRIM(A1057)&amp;"]")+1,200)),TRIM(A1057))),""))</f>
      </c>
      <c r="C1057" s="17">
        <f>IF(B1057&lt;&gt;"",B1057,C1056)</f>
      </c>
      <c r="D1057" s="17">
        <f>IF(A1057="","",IF(OR(LEFT(UPPER(TRIM(A1057)),2)="Y:",LEFT(UPPER(TRIM(A1057)),10)="YESTERDAY:"),"Y",IF(OR(LEFT(UPPER(TRIM(A1057)),2)="T:",LEFT(UPPER(TRIM(A1057)),6)="TODAY:"),"T",IF(OR(LEFT(UPPER(TRIM(A1057)),2)="B:",LEFT(UPPER(TRIM(A1057)),8)="BLOCKER:",LEFT(UPPER(TRIM(A1057)),9)="BLOCKERS:",LEFT(UPPER(TRIM(A1057)),8)="BLOCKED:"),"B",""))))</f>
      </c>
      <c r="E1057" s="17">
        <f>IF(D1057="","",TRIM(MID(A1057,FIND(":",A1057)+1,500)))</f>
      </c>
    </row>
    <row r="1058">
      <c r="B1058" s="17">
        <f>IF(A1058="","",IF(COUNTIF(Roster[Name],IF(RIGHT(IF(LEFT(TRIM(A1058),1)="[",TRIM(MID(TRIM(A1058),FIND("]",TRIM(A1058)&amp;"]")+1,200)),TRIM(A1058)),1)=")",TRIM(LEFT(IF(LEFT(TRIM(A1058),1)="[",TRIM(MID(TRIM(A1058),FIND("]",TRIM(A1058)&amp;"]")+1,200)),TRIM(A1058)),FIND("(",IF(LEFT(TRIM(A1058),1)="[",TRIM(MID(TRIM(A1058),FIND("]",TRIM(A1058)&amp;"]")+1,200)),TRIM(A1058))&amp;"(")-1)),IF(LEFT(TRIM(A1058),1)="[",TRIM(MID(TRIM(A1058),FIND("]",TRIM(A1058)&amp;"]")+1,200)),TRIM(A1058))))&gt;0,IF(RIGHT(IF(LEFT(TRIM(A1058),1)="[",TRIM(MID(TRIM(A1058),FIND("]",TRIM(A1058)&amp;"]")+1,200)),TRIM(A1058)),1)=")",TRIM(LEFT(IF(LEFT(TRIM(A1058),1)="[",TRIM(MID(TRIM(A1058),FIND("]",TRIM(A1058)&amp;"]")+1,200)),TRIM(A1058)),FIND("(",IF(LEFT(TRIM(A1058),1)="[",TRIM(MID(TRIM(A1058),FIND("]",TRIM(A1058)&amp;"]")+1,200)),TRIM(A1058))&amp;"(")-1)),IF(LEFT(TRIM(A1058),1)="[",TRIM(MID(TRIM(A1058),FIND("]",TRIM(A1058)&amp;"]")+1,200)),TRIM(A1058))),""))</f>
      </c>
      <c r="C1058" s="17">
        <f>IF(B1058&lt;&gt;"",B1058,C1057)</f>
      </c>
      <c r="D1058" s="17">
        <f>IF(A1058="","",IF(OR(LEFT(UPPER(TRIM(A1058)),2)="Y:",LEFT(UPPER(TRIM(A1058)),10)="YESTERDAY:"),"Y",IF(OR(LEFT(UPPER(TRIM(A1058)),2)="T:",LEFT(UPPER(TRIM(A1058)),6)="TODAY:"),"T",IF(OR(LEFT(UPPER(TRIM(A1058)),2)="B:",LEFT(UPPER(TRIM(A1058)),8)="BLOCKER:",LEFT(UPPER(TRIM(A1058)),9)="BLOCKERS:",LEFT(UPPER(TRIM(A1058)),8)="BLOCKED:"),"B",""))))</f>
      </c>
      <c r="E1058" s="17">
        <f>IF(D1058="","",TRIM(MID(A1058,FIND(":",A1058)+1,500)))</f>
      </c>
    </row>
    <row r="1059">
      <c r="B1059" s="17">
        <f>IF(A1059="","",IF(COUNTIF(Roster[Name],IF(RIGHT(IF(LEFT(TRIM(A1059),1)="[",TRIM(MID(TRIM(A1059),FIND("]",TRIM(A1059)&amp;"]")+1,200)),TRIM(A1059)),1)=")",TRIM(LEFT(IF(LEFT(TRIM(A1059),1)="[",TRIM(MID(TRIM(A1059),FIND("]",TRIM(A1059)&amp;"]")+1,200)),TRIM(A1059)),FIND("(",IF(LEFT(TRIM(A1059),1)="[",TRIM(MID(TRIM(A1059),FIND("]",TRIM(A1059)&amp;"]")+1,200)),TRIM(A1059))&amp;"(")-1)),IF(LEFT(TRIM(A1059),1)="[",TRIM(MID(TRIM(A1059),FIND("]",TRIM(A1059)&amp;"]")+1,200)),TRIM(A1059))))&gt;0,IF(RIGHT(IF(LEFT(TRIM(A1059),1)="[",TRIM(MID(TRIM(A1059),FIND("]",TRIM(A1059)&amp;"]")+1,200)),TRIM(A1059)),1)=")",TRIM(LEFT(IF(LEFT(TRIM(A1059),1)="[",TRIM(MID(TRIM(A1059),FIND("]",TRIM(A1059)&amp;"]")+1,200)),TRIM(A1059)),FIND("(",IF(LEFT(TRIM(A1059),1)="[",TRIM(MID(TRIM(A1059),FIND("]",TRIM(A1059)&amp;"]")+1,200)),TRIM(A1059))&amp;"(")-1)),IF(LEFT(TRIM(A1059),1)="[",TRIM(MID(TRIM(A1059),FIND("]",TRIM(A1059)&amp;"]")+1,200)),TRIM(A1059))),""))</f>
      </c>
      <c r="C1059" s="17">
        <f>IF(B1059&lt;&gt;"",B1059,C1058)</f>
      </c>
      <c r="D1059" s="17">
        <f>IF(A1059="","",IF(OR(LEFT(UPPER(TRIM(A1059)),2)="Y:",LEFT(UPPER(TRIM(A1059)),10)="YESTERDAY:"),"Y",IF(OR(LEFT(UPPER(TRIM(A1059)),2)="T:",LEFT(UPPER(TRIM(A1059)),6)="TODAY:"),"T",IF(OR(LEFT(UPPER(TRIM(A1059)),2)="B:",LEFT(UPPER(TRIM(A1059)),8)="BLOCKER:",LEFT(UPPER(TRIM(A1059)),9)="BLOCKERS:",LEFT(UPPER(TRIM(A1059)),8)="BLOCKED:"),"B",""))))</f>
      </c>
      <c r="E1059" s="17">
        <f>IF(D1059="","",TRIM(MID(A1059,FIND(":",A1059)+1,500)))</f>
      </c>
    </row>
    <row r="1060">
      <c r="B1060" s="17">
        <f>IF(A1060="","",IF(COUNTIF(Roster[Name],IF(RIGHT(IF(LEFT(TRIM(A1060),1)="[",TRIM(MID(TRIM(A1060),FIND("]",TRIM(A1060)&amp;"]")+1,200)),TRIM(A1060)),1)=")",TRIM(LEFT(IF(LEFT(TRIM(A1060),1)="[",TRIM(MID(TRIM(A1060),FIND("]",TRIM(A1060)&amp;"]")+1,200)),TRIM(A1060)),FIND("(",IF(LEFT(TRIM(A1060),1)="[",TRIM(MID(TRIM(A1060),FIND("]",TRIM(A1060)&amp;"]")+1,200)),TRIM(A1060))&amp;"(")-1)),IF(LEFT(TRIM(A1060),1)="[",TRIM(MID(TRIM(A1060),FIND("]",TRIM(A1060)&amp;"]")+1,200)),TRIM(A1060))))&gt;0,IF(RIGHT(IF(LEFT(TRIM(A1060),1)="[",TRIM(MID(TRIM(A1060),FIND("]",TRIM(A1060)&amp;"]")+1,200)),TRIM(A1060)),1)=")",TRIM(LEFT(IF(LEFT(TRIM(A1060),1)="[",TRIM(MID(TRIM(A1060),FIND("]",TRIM(A1060)&amp;"]")+1,200)),TRIM(A1060)),FIND("(",IF(LEFT(TRIM(A1060),1)="[",TRIM(MID(TRIM(A1060),FIND("]",TRIM(A1060)&amp;"]")+1,200)),TRIM(A1060))&amp;"(")-1)),IF(LEFT(TRIM(A1060),1)="[",TRIM(MID(TRIM(A1060),FIND("]",TRIM(A1060)&amp;"]")+1,200)),TRIM(A1060))),""))</f>
      </c>
      <c r="C1060" s="17">
        <f>IF(B1060&lt;&gt;"",B1060,C1059)</f>
      </c>
      <c r="D1060" s="17">
        <f>IF(A1060="","",IF(OR(LEFT(UPPER(TRIM(A1060)),2)="Y:",LEFT(UPPER(TRIM(A1060)),10)="YESTERDAY:"),"Y",IF(OR(LEFT(UPPER(TRIM(A1060)),2)="T:",LEFT(UPPER(TRIM(A1060)),6)="TODAY:"),"T",IF(OR(LEFT(UPPER(TRIM(A1060)),2)="B:",LEFT(UPPER(TRIM(A1060)),8)="BLOCKER:",LEFT(UPPER(TRIM(A1060)),9)="BLOCKERS:",LEFT(UPPER(TRIM(A1060)),8)="BLOCKED:"),"B",""))))</f>
      </c>
      <c r="E1060" s="17">
        <f>IF(D1060="","",TRIM(MID(A1060,FIND(":",A1060)+1,500)))</f>
      </c>
    </row>
    <row r="1061">
      <c r="B1061" s="17">
        <f>IF(A1061="","",IF(COUNTIF(Roster[Name],IF(RIGHT(IF(LEFT(TRIM(A1061),1)="[",TRIM(MID(TRIM(A1061),FIND("]",TRIM(A1061)&amp;"]")+1,200)),TRIM(A1061)),1)=")",TRIM(LEFT(IF(LEFT(TRIM(A1061),1)="[",TRIM(MID(TRIM(A1061),FIND("]",TRIM(A1061)&amp;"]")+1,200)),TRIM(A1061)),FIND("(",IF(LEFT(TRIM(A1061),1)="[",TRIM(MID(TRIM(A1061),FIND("]",TRIM(A1061)&amp;"]")+1,200)),TRIM(A1061))&amp;"(")-1)),IF(LEFT(TRIM(A1061),1)="[",TRIM(MID(TRIM(A1061),FIND("]",TRIM(A1061)&amp;"]")+1,200)),TRIM(A1061))))&gt;0,IF(RIGHT(IF(LEFT(TRIM(A1061),1)="[",TRIM(MID(TRIM(A1061),FIND("]",TRIM(A1061)&amp;"]")+1,200)),TRIM(A1061)),1)=")",TRIM(LEFT(IF(LEFT(TRIM(A1061),1)="[",TRIM(MID(TRIM(A1061),FIND("]",TRIM(A1061)&amp;"]")+1,200)),TRIM(A1061)),FIND("(",IF(LEFT(TRIM(A1061),1)="[",TRIM(MID(TRIM(A1061),FIND("]",TRIM(A1061)&amp;"]")+1,200)),TRIM(A1061))&amp;"(")-1)),IF(LEFT(TRIM(A1061),1)="[",TRIM(MID(TRIM(A1061),FIND("]",TRIM(A1061)&amp;"]")+1,200)),TRIM(A1061))),""))</f>
      </c>
      <c r="C1061" s="17">
        <f>IF(B1061&lt;&gt;"",B1061,C1060)</f>
      </c>
      <c r="D1061" s="17">
        <f>IF(A1061="","",IF(OR(LEFT(UPPER(TRIM(A1061)),2)="Y:",LEFT(UPPER(TRIM(A1061)),10)="YESTERDAY:"),"Y",IF(OR(LEFT(UPPER(TRIM(A1061)),2)="T:",LEFT(UPPER(TRIM(A1061)),6)="TODAY:"),"T",IF(OR(LEFT(UPPER(TRIM(A1061)),2)="B:",LEFT(UPPER(TRIM(A1061)),8)="BLOCKER:",LEFT(UPPER(TRIM(A1061)),9)="BLOCKERS:",LEFT(UPPER(TRIM(A1061)),8)="BLOCKED:"),"B",""))))</f>
      </c>
      <c r="E1061" s="17">
        <f>IF(D1061="","",TRIM(MID(A1061,FIND(":",A1061)+1,500)))</f>
      </c>
    </row>
    <row r="1062">
      <c r="B1062" s="17">
        <f>IF(A1062="","",IF(COUNTIF(Roster[Name],IF(RIGHT(IF(LEFT(TRIM(A1062),1)="[",TRIM(MID(TRIM(A1062),FIND("]",TRIM(A1062)&amp;"]")+1,200)),TRIM(A1062)),1)=")",TRIM(LEFT(IF(LEFT(TRIM(A1062),1)="[",TRIM(MID(TRIM(A1062),FIND("]",TRIM(A1062)&amp;"]")+1,200)),TRIM(A1062)),FIND("(",IF(LEFT(TRIM(A1062),1)="[",TRIM(MID(TRIM(A1062),FIND("]",TRIM(A1062)&amp;"]")+1,200)),TRIM(A1062))&amp;"(")-1)),IF(LEFT(TRIM(A1062),1)="[",TRIM(MID(TRIM(A1062),FIND("]",TRIM(A1062)&amp;"]")+1,200)),TRIM(A1062))))&gt;0,IF(RIGHT(IF(LEFT(TRIM(A1062),1)="[",TRIM(MID(TRIM(A1062),FIND("]",TRIM(A1062)&amp;"]")+1,200)),TRIM(A1062)),1)=")",TRIM(LEFT(IF(LEFT(TRIM(A1062),1)="[",TRIM(MID(TRIM(A1062),FIND("]",TRIM(A1062)&amp;"]")+1,200)),TRIM(A1062)),FIND("(",IF(LEFT(TRIM(A1062),1)="[",TRIM(MID(TRIM(A1062),FIND("]",TRIM(A1062)&amp;"]")+1,200)),TRIM(A1062))&amp;"(")-1)),IF(LEFT(TRIM(A1062),1)="[",TRIM(MID(TRIM(A1062),FIND("]",TRIM(A1062)&amp;"]")+1,200)),TRIM(A1062))),""))</f>
      </c>
      <c r="C1062" s="17">
        <f>IF(B1062&lt;&gt;"",B1062,C1061)</f>
      </c>
      <c r="D1062" s="17">
        <f>IF(A1062="","",IF(OR(LEFT(UPPER(TRIM(A1062)),2)="Y:",LEFT(UPPER(TRIM(A1062)),10)="YESTERDAY:"),"Y",IF(OR(LEFT(UPPER(TRIM(A1062)),2)="T:",LEFT(UPPER(TRIM(A1062)),6)="TODAY:"),"T",IF(OR(LEFT(UPPER(TRIM(A1062)),2)="B:",LEFT(UPPER(TRIM(A1062)),8)="BLOCKER:",LEFT(UPPER(TRIM(A1062)),9)="BLOCKERS:",LEFT(UPPER(TRIM(A1062)),8)="BLOCKED:"),"B",""))))</f>
      </c>
      <c r="E1062" s="17">
        <f>IF(D1062="","",TRIM(MID(A1062,FIND(":",A1062)+1,500)))</f>
      </c>
    </row>
    <row r="1063">
      <c r="B1063" s="17">
        <f>IF(A1063="","",IF(COUNTIF(Roster[Name],IF(RIGHT(IF(LEFT(TRIM(A1063),1)="[",TRIM(MID(TRIM(A1063),FIND("]",TRIM(A1063)&amp;"]")+1,200)),TRIM(A1063)),1)=")",TRIM(LEFT(IF(LEFT(TRIM(A1063),1)="[",TRIM(MID(TRIM(A1063),FIND("]",TRIM(A1063)&amp;"]")+1,200)),TRIM(A1063)),FIND("(",IF(LEFT(TRIM(A1063),1)="[",TRIM(MID(TRIM(A1063),FIND("]",TRIM(A1063)&amp;"]")+1,200)),TRIM(A1063))&amp;"(")-1)),IF(LEFT(TRIM(A1063),1)="[",TRIM(MID(TRIM(A1063),FIND("]",TRIM(A1063)&amp;"]")+1,200)),TRIM(A1063))))&gt;0,IF(RIGHT(IF(LEFT(TRIM(A1063),1)="[",TRIM(MID(TRIM(A1063),FIND("]",TRIM(A1063)&amp;"]")+1,200)),TRIM(A1063)),1)=")",TRIM(LEFT(IF(LEFT(TRIM(A1063),1)="[",TRIM(MID(TRIM(A1063),FIND("]",TRIM(A1063)&amp;"]")+1,200)),TRIM(A1063)),FIND("(",IF(LEFT(TRIM(A1063),1)="[",TRIM(MID(TRIM(A1063),FIND("]",TRIM(A1063)&amp;"]")+1,200)),TRIM(A1063))&amp;"(")-1)),IF(LEFT(TRIM(A1063),1)="[",TRIM(MID(TRIM(A1063),FIND("]",TRIM(A1063)&amp;"]")+1,200)),TRIM(A1063))),""))</f>
      </c>
      <c r="C1063" s="17">
        <f>IF(B1063&lt;&gt;"",B1063,C1062)</f>
      </c>
      <c r="D1063" s="17">
        <f>IF(A1063="","",IF(OR(LEFT(UPPER(TRIM(A1063)),2)="Y:",LEFT(UPPER(TRIM(A1063)),10)="YESTERDAY:"),"Y",IF(OR(LEFT(UPPER(TRIM(A1063)),2)="T:",LEFT(UPPER(TRIM(A1063)),6)="TODAY:"),"T",IF(OR(LEFT(UPPER(TRIM(A1063)),2)="B:",LEFT(UPPER(TRIM(A1063)),8)="BLOCKER:",LEFT(UPPER(TRIM(A1063)),9)="BLOCKERS:",LEFT(UPPER(TRIM(A1063)),8)="BLOCKED:"),"B",""))))</f>
      </c>
      <c r="E1063" s="17">
        <f>IF(D1063="","",TRIM(MID(A1063,FIND(":",A1063)+1,500)))</f>
      </c>
    </row>
    <row r="1064">
      <c r="B1064" s="17">
        <f>IF(A1064="","",IF(COUNTIF(Roster[Name],IF(RIGHT(IF(LEFT(TRIM(A1064),1)="[",TRIM(MID(TRIM(A1064),FIND("]",TRIM(A1064)&amp;"]")+1,200)),TRIM(A1064)),1)=")",TRIM(LEFT(IF(LEFT(TRIM(A1064),1)="[",TRIM(MID(TRIM(A1064),FIND("]",TRIM(A1064)&amp;"]")+1,200)),TRIM(A1064)),FIND("(",IF(LEFT(TRIM(A1064),1)="[",TRIM(MID(TRIM(A1064),FIND("]",TRIM(A1064)&amp;"]")+1,200)),TRIM(A1064))&amp;"(")-1)),IF(LEFT(TRIM(A1064),1)="[",TRIM(MID(TRIM(A1064),FIND("]",TRIM(A1064)&amp;"]")+1,200)),TRIM(A1064))))&gt;0,IF(RIGHT(IF(LEFT(TRIM(A1064),1)="[",TRIM(MID(TRIM(A1064),FIND("]",TRIM(A1064)&amp;"]")+1,200)),TRIM(A1064)),1)=")",TRIM(LEFT(IF(LEFT(TRIM(A1064),1)="[",TRIM(MID(TRIM(A1064),FIND("]",TRIM(A1064)&amp;"]")+1,200)),TRIM(A1064)),FIND("(",IF(LEFT(TRIM(A1064),1)="[",TRIM(MID(TRIM(A1064),FIND("]",TRIM(A1064)&amp;"]")+1,200)),TRIM(A1064))&amp;"(")-1)),IF(LEFT(TRIM(A1064),1)="[",TRIM(MID(TRIM(A1064),FIND("]",TRIM(A1064)&amp;"]")+1,200)),TRIM(A1064))),""))</f>
      </c>
      <c r="C1064" s="17">
        <f>IF(B1064&lt;&gt;"",B1064,C1063)</f>
      </c>
      <c r="D1064" s="17">
        <f>IF(A1064="","",IF(OR(LEFT(UPPER(TRIM(A1064)),2)="Y:",LEFT(UPPER(TRIM(A1064)),10)="YESTERDAY:"),"Y",IF(OR(LEFT(UPPER(TRIM(A1064)),2)="T:",LEFT(UPPER(TRIM(A1064)),6)="TODAY:"),"T",IF(OR(LEFT(UPPER(TRIM(A1064)),2)="B:",LEFT(UPPER(TRIM(A1064)),8)="BLOCKER:",LEFT(UPPER(TRIM(A1064)),9)="BLOCKERS:",LEFT(UPPER(TRIM(A1064)),8)="BLOCKED:"),"B",""))))</f>
      </c>
      <c r="E1064" s="17">
        <f>IF(D1064="","",TRIM(MID(A1064,FIND(":",A1064)+1,500)))</f>
      </c>
    </row>
    <row r="1065">
      <c r="B1065" s="17">
        <f>IF(A1065="","",IF(COUNTIF(Roster[Name],IF(RIGHT(IF(LEFT(TRIM(A1065),1)="[",TRIM(MID(TRIM(A1065),FIND("]",TRIM(A1065)&amp;"]")+1,200)),TRIM(A1065)),1)=")",TRIM(LEFT(IF(LEFT(TRIM(A1065),1)="[",TRIM(MID(TRIM(A1065),FIND("]",TRIM(A1065)&amp;"]")+1,200)),TRIM(A1065)),FIND("(",IF(LEFT(TRIM(A1065),1)="[",TRIM(MID(TRIM(A1065),FIND("]",TRIM(A1065)&amp;"]")+1,200)),TRIM(A1065))&amp;"(")-1)),IF(LEFT(TRIM(A1065),1)="[",TRIM(MID(TRIM(A1065),FIND("]",TRIM(A1065)&amp;"]")+1,200)),TRIM(A1065))))&gt;0,IF(RIGHT(IF(LEFT(TRIM(A1065),1)="[",TRIM(MID(TRIM(A1065),FIND("]",TRIM(A1065)&amp;"]")+1,200)),TRIM(A1065)),1)=")",TRIM(LEFT(IF(LEFT(TRIM(A1065),1)="[",TRIM(MID(TRIM(A1065),FIND("]",TRIM(A1065)&amp;"]")+1,200)),TRIM(A1065)),FIND("(",IF(LEFT(TRIM(A1065),1)="[",TRIM(MID(TRIM(A1065),FIND("]",TRIM(A1065)&amp;"]")+1,200)),TRIM(A1065))&amp;"(")-1)),IF(LEFT(TRIM(A1065),1)="[",TRIM(MID(TRIM(A1065),FIND("]",TRIM(A1065)&amp;"]")+1,200)),TRIM(A1065))),""))</f>
      </c>
      <c r="C1065" s="17">
        <f>IF(B1065&lt;&gt;"",B1065,C1064)</f>
      </c>
      <c r="D1065" s="17">
        <f>IF(A1065="","",IF(OR(LEFT(UPPER(TRIM(A1065)),2)="Y:",LEFT(UPPER(TRIM(A1065)),10)="YESTERDAY:"),"Y",IF(OR(LEFT(UPPER(TRIM(A1065)),2)="T:",LEFT(UPPER(TRIM(A1065)),6)="TODAY:"),"T",IF(OR(LEFT(UPPER(TRIM(A1065)),2)="B:",LEFT(UPPER(TRIM(A1065)),8)="BLOCKER:",LEFT(UPPER(TRIM(A1065)),9)="BLOCKERS:",LEFT(UPPER(TRIM(A1065)),8)="BLOCKED:"),"B",""))))</f>
      </c>
      <c r="E1065" s="17">
        <f>IF(D1065="","",TRIM(MID(A1065,FIND(":",A1065)+1,500)))</f>
      </c>
    </row>
    <row r="1066">
      <c r="B1066" s="17">
        <f>IF(A1066="","",IF(COUNTIF(Roster[Name],IF(RIGHT(IF(LEFT(TRIM(A1066),1)="[",TRIM(MID(TRIM(A1066),FIND("]",TRIM(A1066)&amp;"]")+1,200)),TRIM(A1066)),1)=")",TRIM(LEFT(IF(LEFT(TRIM(A1066),1)="[",TRIM(MID(TRIM(A1066),FIND("]",TRIM(A1066)&amp;"]")+1,200)),TRIM(A1066)),FIND("(",IF(LEFT(TRIM(A1066),1)="[",TRIM(MID(TRIM(A1066),FIND("]",TRIM(A1066)&amp;"]")+1,200)),TRIM(A1066))&amp;"(")-1)),IF(LEFT(TRIM(A1066),1)="[",TRIM(MID(TRIM(A1066),FIND("]",TRIM(A1066)&amp;"]")+1,200)),TRIM(A1066))))&gt;0,IF(RIGHT(IF(LEFT(TRIM(A1066),1)="[",TRIM(MID(TRIM(A1066),FIND("]",TRIM(A1066)&amp;"]")+1,200)),TRIM(A1066)),1)=")",TRIM(LEFT(IF(LEFT(TRIM(A1066),1)="[",TRIM(MID(TRIM(A1066),FIND("]",TRIM(A1066)&amp;"]")+1,200)),TRIM(A1066)),FIND("(",IF(LEFT(TRIM(A1066),1)="[",TRIM(MID(TRIM(A1066),FIND("]",TRIM(A1066)&amp;"]")+1,200)),TRIM(A1066))&amp;"(")-1)),IF(LEFT(TRIM(A1066),1)="[",TRIM(MID(TRIM(A1066),FIND("]",TRIM(A1066)&amp;"]")+1,200)),TRIM(A1066))),""))</f>
      </c>
      <c r="C1066" s="17">
        <f>IF(B1066&lt;&gt;"",B1066,C1065)</f>
      </c>
      <c r="D1066" s="17">
        <f>IF(A1066="","",IF(OR(LEFT(UPPER(TRIM(A1066)),2)="Y:",LEFT(UPPER(TRIM(A1066)),10)="YESTERDAY:"),"Y",IF(OR(LEFT(UPPER(TRIM(A1066)),2)="T:",LEFT(UPPER(TRIM(A1066)),6)="TODAY:"),"T",IF(OR(LEFT(UPPER(TRIM(A1066)),2)="B:",LEFT(UPPER(TRIM(A1066)),8)="BLOCKER:",LEFT(UPPER(TRIM(A1066)),9)="BLOCKERS:",LEFT(UPPER(TRIM(A1066)),8)="BLOCKED:"),"B",""))))</f>
      </c>
      <c r="E1066" s="17">
        <f>IF(D1066="","",TRIM(MID(A1066,FIND(":",A1066)+1,500)))</f>
      </c>
    </row>
    <row r="1067">
      <c r="B1067" s="17">
        <f>IF(A1067="","",IF(COUNTIF(Roster[Name],IF(RIGHT(IF(LEFT(TRIM(A1067),1)="[",TRIM(MID(TRIM(A1067),FIND("]",TRIM(A1067)&amp;"]")+1,200)),TRIM(A1067)),1)=")",TRIM(LEFT(IF(LEFT(TRIM(A1067),1)="[",TRIM(MID(TRIM(A1067),FIND("]",TRIM(A1067)&amp;"]")+1,200)),TRIM(A1067)),FIND("(",IF(LEFT(TRIM(A1067),1)="[",TRIM(MID(TRIM(A1067),FIND("]",TRIM(A1067)&amp;"]")+1,200)),TRIM(A1067))&amp;"(")-1)),IF(LEFT(TRIM(A1067),1)="[",TRIM(MID(TRIM(A1067),FIND("]",TRIM(A1067)&amp;"]")+1,200)),TRIM(A1067))))&gt;0,IF(RIGHT(IF(LEFT(TRIM(A1067),1)="[",TRIM(MID(TRIM(A1067),FIND("]",TRIM(A1067)&amp;"]")+1,200)),TRIM(A1067)),1)=")",TRIM(LEFT(IF(LEFT(TRIM(A1067),1)="[",TRIM(MID(TRIM(A1067),FIND("]",TRIM(A1067)&amp;"]")+1,200)),TRIM(A1067)),FIND("(",IF(LEFT(TRIM(A1067),1)="[",TRIM(MID(TRIM(A1067),FIND("]",TRIM(A1067)&amp;"]")+1,200)),TRIM(A1067))&amp;"(")-1)),IF(LEFT(TRIM(A1067),1)="[",TRIM(MID(TRIM(A1067),FIND("]",TRIM(A1067)&amp;"]")+1,200)),TRIM(A1067))),""))</f>
      </c>
      <c r="C1067" s="17">
        <f>IF(B1067&lt;&gt;"",B1067,C1066)</f>
      </c>
      <c r="D1067" s="17">
        <f>IF(A1067="","",IF(OR(LEFT(UPPER(TRIM(A1067)),2)="Y:",LEFT(UPPER(TRIM(A1067)),10)="YESTERDAY:"),"Y",IF(OR(LEFT(UPPER(TRIM(A1067)),2)="T:",LEFT(UPPER(TRIM(A1067)),6)="TODAY:"),"T",IF(OR(LEFT(UPPER(TRIM(A1067)),2)="B:",LEFT(UPPER(TRIM(A1067)),8)="BLOCKER:",LEFT(UPPER(TRIM(A1067)),9)="BLOCKERS:",LEFT(UPPER(TRIM(A1067)),8)="BLOCKED:"),"B",""))))</f>
      </c>
      <c r="E1067" s="17">
        <f>IF(D1067="","",TRIM(MID(A1067,FIND(":",A1067)+1,500)))</f>
      </c>
    </row>
    <row r="1068">
      <c r="B1068" s="17">
        <f>IF(A1068="","",IF(COUNTIF(Roster[Name],IF(RIGHT(IF(LEFT(TRIM(A1068),1)="[",TRIM(MID(TRIM(A1068),FIND("]",TRIM(A1068)&amp;"]")+1,200)),TRIM(A1068)),1)=")",TRIM(LEFT(IF(LEFT(TRIM(A1068),1)="[",TRIM(MID(TRIM(A1068),FIND("]",TRIM(A1068)&amp;"]")+1,200)),TRIM(A1068)),FIND("(",IF(LEFT(TRIM(A1068),1)="[",TRIM(MID(TRIM(A1068),FIND("]",TRIM(A1068)&amp;"]")+1,200)),TRIM(A1068))&amp;"(")-1)),IF(LEFT(TRIM(A1068),1)="[",TRIM(MID(TRIM(A1068),FIND("]",TRIM(A1068)&amp;"]")+1,200)),TRIM(A1068))))&gt;0,IF(RIGHT(IF(LEFT(TRIM(A1068),1)="[",TRIM(MID(TRIM(A1068),FIND("]",TRIM(A1068)&amp;"]")+1,200)),TRIM(A1068)),1)=")",TRIM(LEFT(IF(LEFT(TRIM(A1068),1)="[",TRIM(MID(TRIM(A1068),FIND("]",TRIM(A1068)&amp;"]")+1,200)),TRIM(A1068)),FIND("(",IF(LEFT(TRIM(A1068),1)="[",TRIM(MID(TRIM(A1068),FIND("]",TRIM(A1068)&amp;"]")+1,200)),TRIM(A1068))&amp;"(")-1)),IF(LEFT(TRIM(A1068),1)="[",TRIM(MID(TRIM(A1068),FIND("]",TRIM(A1068)&amp;"]")+1,200)),TRIM(A1068))),""))</f>
      </c>
      <c r="C1068" s="17">
        <f>IF(B1068&lt;&gt;"",B1068,C1067)</f>
      </c>
      <c r="D1068" s="17">
        <f>IF(A1068="","",IF(OR(LEFT(UPPER(TRIM(A1068)),2)="Y:",LEFT(UPPER(TRIM(A1068)),10)="YESTERDAY:"),"Y",IF(OR(LEFT(UPPER(TRIM(A1068)),2)="T:",LEFT(UPPER(TRIM(A1068)),6)="TODAY:"),"T",IF(OR(LEFT(UPPER(TRIM(A1068)),2)="B:",LEFT(UPPER(TRIM(A1068)),8)="BLOCKER:",LEFT(UPPER(TRIM(A1068)),9)="BLOCKERS:",LEFT(UPPER(TRIM(A1068)),8)="BLOCKED:"),"B",""))))</f>
      </c>
      <c r="E1068" s="17">
        <f>IF(D1068="","",TRIM(MID(A1068,FIND(":",A1068)+1,500)))</f>
      </c>
    </row>
    <row r="1069">
      <c r="B1069" s="17">
        <f>IF(A1069="","",IF(COUNTIF(Roster[Name],IF(RIGHT(IF(LEFT(TRIM(A1069),1)="[",TRIM(MID(TRIM(A1069),FIND("]",TRIM(A1069)&amp;"]")+1,200)),TRIM(A1069)),1)=")",TRIM(LEFT(IF(LEFT(TRIM(A1069),1)="[",TRIM(MID(TRIM(A1069),FIND("]",TRIM(A1069)&amp;"]")+1,200)),TRIM(A1069)),FIND("(",IF(LEFT(TRIM(A1069),1)="[",TRIM(MID(TRIM(A1069),FIND("]",TRIM(A1069)&amp;"]")+1,200)),TRIM(A1069))&amp;"(")-1)),IF(LEFT(TRIM(A1069),1)="[",TRIM(MID(TRIM(A1069),FIND("]",TRIM(A1069)&amp;"]")+1,200)),TRIM(A1069))))&gt;0,IF(RIGHT(IF(LEFT(TRIM(A1069),1)="[",TRIM(MID(TRIM(A1069),FIND("]",TRIM(A1069)&amp;"]")+1,200)),TRIM(A1069)),1)=")",TRIM(LEFT(IF(LEFT(TRIM(A1069),1)="[",TRIM(MID(TRIM(A1069),FIND("]",TRIM(A1069)&amp;"]")+1,200)),TRIM(A1069)),FIND("(",IF(LEFT(TRIM(A1069),1)="[",TRIM(MID(TRIM(A1069),FIND("]",TRIM(A1069)&amp;"]")+1,200)),TRIM(A1069))&amp;"(")-1)),IF(LEFT(TRIM(A1069),1)="[",TRIM(MID(TRIM(A1069),FIND("]",TRIM(A1069)&amp;"]")+1,200)),TRIM(A1069))),""))</f>
      </c>
      <c r="C1069" s="17">
        <f>IF(B1069&lt;&gt;"",B1069,C1068)</f>
      </c>
      <c r="D1069" s="17">
        <f>IF(A1069="","",IF(OR(LEFT(UPPER(TRIM(A1069)),2)="Y:",LEFT(UPPER(TRIM(A1069)),10)="YESTERDAY:"),"Y",IF(OR(LEFT(UPPER(TRIM(A1069)),2)="T:",LEFT(UPPER(TRIM(A1069)),6)="TODAY:"),"T",IF(OR(LEFT(UPPER(TRIM(A1069)),2)="B:",LEFT(UPPER(TRIM(A1069)),8)="BLOCKER:",LEFT(UPPER(TRIM(A1069)),9)="BLOCKERS:",LEFT(UPPER(TRIM(A1069)),8)="BLOCKED:"),"B",""))))</f>
      </c>
      <c r="E1069" s="17">
        <f>IF(D1069="","",TRIM(MID(A1069,FIND(":",A1069)+1,500)))</f>
      </c>
    </row>
    <row r="1070">
      <c r="B1070" s="17">
        <f>IF(A1070="","",IF(COUNTIF(Roster[Name],IF(RIGHT(IF(LEFT(TRIM(A1070),1)="[",TRIM(MID(TRIM(A1070),FIND("]",TRIM(A1070)&amp;"]")+1,200)),TRIM(A1070)),1)=")",TRIM(LEFT(IF(LEFT(TRIM(A1070),1)="[",TRIM(MID(TRIM(A1070),FIND("]",TRIM(A1070)&amp;"]")+1,200)),TRIM(A1070)),FIND("(",IF(LEFT(TRIM(A1070),1)="[",TRIM(MID(TRIM(A1070),FIND("]",TRIM(A1070)&amp;"]")+1,200)),TRIM(A1070))&amp;"(")-1)),IF(LEFT(TRIM(A1070),1)="[",TRIM(MID(TRIM(A1070),FIND("]",TRIM(A1070)&amp;"]")+1,200)),TRIM(A1070))))&gt;0,IF(RIGHT(IF(LEFT(TRIM(A1070),1)="[",TRIM(MID(TRIM(A1070),FIND("]",TRIM(A1070)&amp;"]")+1,200)),TRIM(A1070)),1)=")",TRIM(LEFT(IF(LEFT(TRIM(A1070),1)="[",TRIM(MID(TRIM(A1070),FIND("]",TRIM(A1070)&amp;"]")+1,200)),TRIM(A1070)),FIND("(",IF(LEFT(TRIM(A1070),1)="[",TRIM(MID(TRIM(A1070),FIND("]",TRIM(A1070)&amp;"]")+1,200)),TRIM(A1070))&amp;"(")-1)),IF(LEFT(TRIM(A1070),1)="[",TRIM(MID(TRIM(A1070),FIND("]",TRIM(A1070)&amp;"]")+1,200)),TRIM(A1070))),""))</f>
      </c>
      <c r="C1070" s="17">
        <f>IF(B1070&lt;&gt;"",B1070,C1069)</f>
      </c>
      <c r="D1070" s="17">
        <f>IF(A1070="","",IF(OR(LEFT(UPPER(TRIM(A1070)),2)="Y:",LEFT(UPPER(TRIM(A1070)),10)="YESTERDAY:"),"Y",IF(OR(LEFT(UPPER(TRIM(A1070)),2)="T:",LEFT(UPPER(TRIM(A1070)),6)="TODAY:"),"T",IF(OR(LEFT(UPPER(TRIM(A1070)),2)="B:",LEFT(UPPER(TRIM(A1070)),8)="BLOCKER:",LEFT(UPPER(TRIM(A1070)),9)="BLOCKERS:",LEFT(UPPER(TRIM(A1070)),8)="BLOCKED:"),"B",""))))</f>
      </c>
      <c r="E1070" s="17">
        <f>IF(D1070="","",TRIM(MID(A1070,FIND(":",A1070)+1,500)))</f>
      </c>
    </row>
    <row r="1071">
      <c r="B1071" s="17">
        <f>IF(A1071="","",IF(COUNTIF(Roster[Name],IF(RIGHT(IF(LEFT(TRIM(A1071),1)="[",TRIM(MID(TRIM(A1071),FIND("]",TRIM(A1071)&amp;"]")+1,200)),TRIM(A1071)),1)=")",TRIM(LEFT(IF(LEFT(TRIM(A1071),1)="[",TRIM(MID(TRIM(A1071),FIND("]",TRIM(A1071)&amp;"]")+1,200)),TRIM(A1071)),FIND("(",IF(LEFT(TRIM(A1071),1)="[",TRIM(MID(TRIM(A1071),FIND("]",TRIM(A1071)&amp;"]")+1,200)),TRIM(A1071))&amp;"(")-1)),IF(LEFT(TRIM(A1071),1)="[",TRIM(MID(TRIM(A1071),FIND("]",TRIM(A1071)&amp;"]")+1,200)),TRIM(A1071))))&gt;0,IF(RIGHT(IF(LEFT(TRIM(A1071),1)="[",TRIM(MID(TRIM(A1071),FIND("]",TRIM(A1071)&amp;"]")+1,200)),TRIM(A1071)),1)=")",TRIM(LEFT(IF(LEFT(TRIM(A1071),1)="[",TRIM(MID(TRIM(A1071),FIND("]",TRIM(A1071)&amp;"]")+1,200)),TRIM(A1071)),FIND("(",IF(LEFT(TRIM(A1071),1)="[",TRIM(MID(TRIM(A1071),FIND("]",TRIM(A1071)&amp;"]")+1,200)),TRIM(A1071))&amp;"(")-1)),IF(LEFT(TRIM(A1071),1)="[",TRIM(MID(TRIM(A1071),FIND("]",TRIM(A1071)&amp;"]")+1,200)),TRIM(A1071))),""))</f>
      </c>
      <c r="C1071" s="17">
        <f>IF(B1071&lt;&gt;"",B1071,C1070)</f>
      </c>
      <c r="D1071" s="17">
        <f>IF(A1071="","",IF(OR(LEFT(UPPER(TRIM(A1071)),2)="Y:",LEFT(UPPER(TRIM(A1071)),10)="YESTERDAY:"),"Y",IF(OR(LEFT(UPPER(TRIM(A1071)),2)="T:",LEFT(UPPER(TRIM(A1071)),6)="TODAY:"),"T",IF(OR(LEFT(UPPER(TRIM(A1071)),2)="B:",LEFT(UPPER(TRIM(A1071)),8)="BLOCKER:",LEFT(UPPER(TRIM(A1071)),9)="BLOCKERS:",LEFT(UPPER(TRIM(A1071)),8)="BLOCKED:"),"B",""))))</f>
      </c>
      <c r="E1071" s="17">
        <f>IF(D1071="","",TRIM(MID(A1071,FIND(":",A1071)+1,500)))</f>
      </c>
    </row>
    <row r="1072">
      <c r="B1072" s="17">
        <f>IF(A1072="","",IF(COUNTIF(Roster[Name],IF(RIGHT(IF(LEFT(TRIM(A1072),1)="[",TRIM(MID(TRIM(A1072),FIND("]",TRIM(A1072)&amp;"]")+1,200)),TRIM(A1072)),1)=")",TRIM(LEFT(IF(LEFT(TRIM(A1072),1)="[",TRIM(MID(TRIM(A1072),FIND("]",TRIM(A1072)&amp;"]")+1,200)),TRIM(A1072)),FIND("(",IF(LEFT(TRIM(A1072),1)="[",TRIM(MID(TRIM(A1072),FIND("]",TRIM(A1072)&amp;"]")+1,200)),TRIM(A1072))&amp;"(")-1)),IF(LEFT(TRIM(A1072),1)="[",TRIM(MID(TRIM(A1072),FIND("]",TRIM(A1072)&amp;"]")+1,200)),TRIM(A1072))))&gt;0,IF(RIGHT(IF(LEFT(TRIM(A1072),1)="[",TRIM(MID(TRIM(A1072),FIND("]",TRIM(A1072)&amp;"]")+1,200)),TRIM(A1072)),1)=")",TRIM(LEFT(IF(LEFT(TRIM(A1072),1)="[",TRIM(MID(TRIM(A1072),FIND("]",TRIM(A1072)&amp;"]")+1,200)),TRIM(A1072)),FIND("(",IF(LEFT(TRIM(A1072),1)="[",TRIM(MID(TRIM(A1072),FIND("]",TRIM(A1072)&amp;"]")+1,200)),TRIM(A1072))&amp;"(")-1)),IF(LEFT(TRIM(A1072),1)="[",TRIM(MID(TRIM(A1072),FIND("]",TRIM(A1072)&amp;"]")+1,200)),TRIM(A1072))),""))</f>
      </c>
      <c r="C1072" s="17">
        <f>IF(B1072&lt;&gt;"",B1072,C1071)</f>
      </c>
      <c r="D1072" s="17">
        <f>IF(A1072="","",IF(OR(LEFT(UPPER(TRIM(A1072)),2)="Y:",LEFT(UPPER(TRIM(A1072)),10)="YESTERDAY:"),"Y",IF(OR(LEFT(UPPER(TRIM(A1072)),2)="T:",LEFT(UPPER(TRIM(A1072)),6)="TODAY:"),"T",IF(OR(LEFT(UPPER(TRIM(A1072)),2)="B:",LEFT(UPPER(TRIM(A1072)),8)="BLOCKER:",LEFT(UPPER(TRIM(A1072)),9)="BLOCKERS:",LEFT(UPPER(TRIM(A1072)),8)="BLOCKED:"),"B",""))))</f>
      </c>
      <c r="E1072" s="17">
        <f>IF(D1072="","",TRIM(MID(A1072,FIND(":",A1072)+1,500)))</f>
      </c>
    </row>
    <row r="1073">
      <c r="B1073" s="17">
        <f>IF(A1073="","",IF(COUNTIF(Roster[Name],IF(RIGHT(IF(LEFT(TRIM(A1073),1)="[",TRIM(MID(TRIM(A1073),FIND("]",TRIM(A1073)&amp;"]")+1,200)),TRIM(A1073)),1)=")",TRIM(LEFT(IF(LEFT(TRIM(A1073),1)="[",TRIM(MID(TRIM(A1073),FIND("]",TRIM(A1073)&amp;"]")+1,200)),TRIM(A1073)),FIND("(",IF(LEFT(TRIM(A1073),1)="[",TRIM(MID(TRIM(A1073),FIND("]",TRIM(A1073)&amp;"]")+1,200)),TRIM(A1073))&amp;"(")-1)),IF(LEFT(TRIM(A1073),1)="[",TRIM(MID(TRIM(A1073),FIND("]",TRIM(A1073)&amp;"]")+1,200)),TRIM(A1073))))&gt;0,IF(RIGHT(IF(LEFT(TRIM(A1073),1)="[",TRIM(MID(TRIM(A1073),FIND("]",TRIM(A1073)&amp;"]")+1,200)),TRIM(A1073)),1)=")",TRIM(LEFT(IF(LEFT(TRIM(A1073),1)="[",TRIM(MID(TRIM(A1073),FIND("]",TRIM(A1073)&amp;"]")+1,200)),TRIM(A1073)),FIND("(",IF(LEFT(TRIM(A1073),1)="[",TRIM(MID(TRIM(A1073),FIND("]",TRIM(A1073)&amp;"]")+1,200)),TRIM(A1073))&amp;"(")-1)),IF(LEFT(TRIM(A1073),1)="[",TRIM(MID(TRIM(A1073),FIND("]",TRIM(A1073)&amp;"]")+1,200)),TRIM(A1073))),""))</f>
      </c>
      <c r="C1073" s="17">
        <f>IF(B1073&lt;&gt;"",B1073,C1072)</f>
      </c>
      <c r="D1073" s="17">
        <f>IF(A1073="","",IF(OR(LEFT(UPPER(TRIM(A1073)),2)="Y:",LEFT(UPPER(TRIM(A1073)),10)="YESTERDAY:"),"Y",IF(OR(LEFT(UPPER(TRIM(A1073)),2)="T:",LEFT(UPPER(TRIM(A1073)),6)="TODAY:"),"T",IF(OR(LEFT(UPPER(TRIM(A1073)),2)="B:",LEFT(UPPER(TRIM(A1073)),8)="BLOCKER:",LEFT(UPPER(TRIM(A1073)),9)="BLOCKERS:",LEFT(UPPER(TRIM(A1073)),8)="BLOCKED:"),"B",""))))</f>
      </c>
      <c r="E1073" s="17">
        <f>IF(D1073="","",TRIM(MID(A1073,FIND(":",A1073)+1,500)))</f>
      </c>
    </row>
    <row r="1074">
      <c r="B1074" s="17">
        <f>IF(A1074="","",IF(COUNTIF(Roster[Name],IF(RIGHT(IF(LEFT(TRIM(A1074),1)="[",TRIM(MID(TRIM(A1074),FIND("]",TRIM(A1074)&amp;"]")+1,200)),TRIM(A1074)),1)=")",TRIM(LEFT(IF(LEFT(TRIM(A1074),1)="[",TRIM(MID(TRIM(A1074),FIND("]",TRIM(A1074)&amp;"]")+1,200)),TRIM(A1074)),FIND("(",IF(LEFT(TRIM(A1074),1)="[",TRIM(MID(TRIM(A1074),FIND("]",TRIM(A1074)&amp;"]")+1,200)),TRIM(A1074))&amp;"(")-1)),IF(LEFT(TRIM(A1074),1)="[",TRIM(MID(TRIM(A1074),FIND("]",TRIM(A1074)&amp;"]")+1,200)),TRIM(A1074))))&gt;0,IF(RIGHT(IF(LEFT(TRIM(A1074),1)="[",TRIM(MID(TRIM(A1074),FIND("]",TRIM(A1074)&amp;"]")+1,200)),TRIM(A1074)),1)=")",TRIM(LEFT(IF(LEFT(TRIM(A1074),1)="[",TRIM(MID(TRIM(A1074),FIND("]",TRIM(A1074)&amp;"]")+1,200)),TRIM(A1074)),FIND("(",IF(LEFT(TRIM(A1074),1)="[",TRIM(MID(TRIM(A1074),FIND("]",TRIM(A1074)&amp;"]")+1,200)),TRIM(A1074))&amp;"(")-1)),IF(LEFT(TRIM(A1074),1)="[",TRIM(MID(TRIM(A1074),FIND("]",TRIM(A1074)&amp;"]")+1,200)),TRIM(A1074))),""))</f>
      </c>
      <c r="C1074" s="17">
        <f>IF(B1074&lt;&gt;"",B1074,C1073)</f>
      </c>
      <c r="D1074" s="17">
        <f>IF(A1074="","",IF(OR(LEFT(UPPER(TRIM(A1074)),2)="Y:",LEFT(UPPER(TRIM(A1074)),10)="YESTERDAY:"),"Y",IF(OR(LEFT(UPPER(TRIM(A1074)),2)="T:",LEFT(UPPER(TRIM(A1074)),6)="TODAY:"),"T",IF(OR(LEFT(UPPER(TRIM(A1074)),2)="B:",LEFT(UPPER(TRIM(A1074)),8)="BLOCKER:",LEFT(UPPER(TRIM(A1074)),9)="BLOCKERS:",LEFT(UPPER(TRIM(A1074)),8)="BLOCKED:"),"B",""))))</f>
      </c>
      <c r="E1074" s="17">
        <f>IF(D1074="","",TRIM(MID(A1074,FIND(":",A1074)+1,500)))</f>
      </c>
    </row>
    <row r="1075">
      <c r="B1075" s="17">
        <f>IF(A1075="","",IF(COUNTIF(Roster[Name],IF(RIGHT(IF(LEFT(TRIM(A1075),1)="[",TRIM(MID(TRIM(A1075),FIND("]",TRIM(A1075)&amp;"]")+1,200)),TRIM(A1075)),1)=")",TRIM(LEFT(IF(LEFT(TRIM(A1075),1)="[",TRIM(MID(TRIM(A1075),FIND("]",TRIM(A1075)&amp;"]")+1,200)),TRIM(A1075)),FIND("(",IF(LEFT(TRIM(A1075),1)="[",TRIM(MID(TRIM(A1075),FIND("]",TRIM(A1075)&amp;"]")+1,200)),TRIM(A1075))&amp;"(")-1)),IF(LEFT(TRIM(A1075),1)="[",TRIM(MID(TRIM(A1075),FIND("]",TRIM(A1075)&amp;"]")+1,200)),TRIM(A1075))))&gt;0,IF(RIGHT(IF(LEFT(TRIM(A1075),1)="[",TRIM(MID(TRIM(A1075),FIND("]",TRIM(A1075)&amp;"]")+1,200)),TRIM(A1075)),1)=")",TRIM(LEFT(IF(LEFT(TRIM(A1075),1)="[",TRIM(MID(TRIM(A1075),FIND("]",TRIM(A1075)&amp;"]")+1,200)),TRIM(A1075)),FIND("(",IF(LEFT(TRIM(A1075),1)="[",TRIM(MID(TRIM(A1075),FIND("]",TRIM(A1075)&amp;"]")+1,200)),TRIM(A1075))&amp;"(")-1)),IF(LEFT(TRIM(A1075),1)="[",TRIM(MID(TRIM(A1075),FIND("]",TRIM(A1075)&amp;"]")+1,200)),TRIM(A1075))),""))</f>
      </c>
      <c r="C1075" s="17">
        <f>IF(B1075&lt;&gt;"",B1075,C1074)</f>
      </c>
      <c r="D1075" s="17">
        <f>IF(A1075="","",IF(OR(LEFT(UPPER(TRIM(A1075)),2)="Y:",LEFT(UPPER(TRIM(A1075)),10)="YESTERDAY:"),"Y",IF(OR(LEFT(UPPER(TRIM(A1075)),2)="T:",LEFT(UPPER(TRIM(A1075)),6)="TODAY:"),"T",IF(OR(LEFT(UPPER(TRIM(A1075)),2)="B:",LEFT(UPPER(TRIM(A1075)),8)="BLOCKER:",LEFT(UPPER(TRIM(A1075)),9)="BLOCKERS:",LEFT(UPPER(TRIM(A1075)),8)="BLOCKED:"),"B",""))))</f>
      </c>
      <c r="E1075" s="17">
        <f>IF(D1075="","",TRIM(MID(A1075,FIND(":",A1075)+1,500)))</f>
      </c>
    </row>
    <row r="1076">
      <c r="B1076" s="17">
        <f>IF(A1076="","",IF(COUNTIF(Roster[Name],IF(RIGHT(IF(LEFT(TRIM(A1076),1)="[",TRIM(MID(TRIM(A1076),FIND("]",TRIM(A1076)&amp;"]")+1,200)),TRIM(A1076)),1)=")",TRIM(LEFT(IF(LEFT(TRIM(A1076),1)="[",TRIM(MID(TRIM(A1076),FIND("]",TRIM(A1076)&amp;"]")+1,200)),TRIM(A1076)),FIND("(",IF(LEFT(TRIM(A1076),1)="[",TRIM(MID(TRIM(A1076),FIND("]",TRIM(A1076)&amp;"]")+1,200)),TRIM(A1076))&amp;"(")-1)),IF(LEFT(TRIM(A1076),1)="[",TRIM(MID(TRIM(A1076),FIND("]",TRIM(A1076)&amp;"]")+1,200)),TRIM(A1076))))&gt;0,IF(RIGHT(IF(LEFT(TRIM(A1076),1)="[",TRIM(MID(TRIM(A1076),FIND("]",TRIM(A1076)&amp;"]")+1,200)),TRIM(A1076)),1)=")",TRIM(LEFT(IF(LEFT(TRIM(A1076),1)="[",TRIM(MID(TRIM(A1076),FIND("]",TRIM(A1076)&amp;"]")+1,200)),TRIM(A1076)),FIND("(",IF(LEFT(TRIM(A1076),1)="[",TRIM(MID(TRIM(A1076),FIND("]",TRIM(A1076)&amp;"]")+1,200)),TRIM(A1076))&amp;"(")-1)),IF(LEFT(TRIM(A1076),1)="[",TRIM(MID(TRIM(A1076),FIND("]",TRIM(A1076)&amp;"]")+1,200)),TRIM(A1076))),""))</f>
      </c>
      <c r="C1076" s="17">
        <f>IF(B1076&lt;&gt;"",B1076,C1075)</f>
      </c>
      <c r="D1076" s="17">
        <f>IF(A1076="","",IF(OR(LEFT(UPPER(TRIM(A1076)),2)="Y:",LEFT(UPPER(TRIM(A1076)),10)="YESTERDAY:"),"Y",IF(OR(LEFT(UPPER(TRIM(A1076)),2)="T:",LEFT(UPPER(TRIM(A1076)),6)="TODAY:"),"T",IF(OR(LEFT(UPPER(TRIM(A1076)),2)="B:",LEFT(UPPER(TRIM(A1076)),8)="BLOCKER:",LEFT(UPPER(TRIM(A1076)),9)="BLOCKERS:",LEFT(UPPER(TRIM(A1076)),8)="BLOCKED:"),"B",""))))</f>
      </c>
      <c r="E1076" s="17">
        <f>IF(D1076="","",TRIM(MID(A1076,FIND(":",A1076)+1,500)))</f>
      </c>
    </row>
    <row r="1077">
      <c r="B1077" s="17">
        <f>IF(A1077="","",IF(COUNTIF(Roster[Name],IF(RIGHT(IF(LEFT(TRIM(A1077),1)="[",TRIM(MID(TRIM(A1077),FIND("]",TRIM(A1077)&amp;"]")+1,200)),TRIM(A1077)),1)=")",TRIM(LEFT(IF(LEFT(TRIM(A1077),1)="[",TRIM(MID(TRIM(A1077),FIND("]",TRIM(A1077)&amp;"]")+1,200)),TRIM(A1077)),FIND("(",IF(LEFT(TRIM(A1077),1)="[",TRIM(MID(TRIM(A1077),FIND("]",TRIM(A1077)&amp;"]")+1,200)),TRIM(A1077))&amp;"(")-1)),IF(LEFT(TRIM(A1077),1)="[",TRIM(MID(TRIM(A1077),FIND("]",TRIM(A1077)&amp;"]")+1,200)),TRIM(A1077))))&gt;0,IF(RIGHT(IF(LEFT(TRIM(A1077),1)="[",TRIM(MID(TRIM(A1077),FIND("]",TRIM(A1077)&amp;"]")+1,200)),TRIM(A1077)),1)=")",TRIM(LEFT(IF(LEFT(TRIM(A1077),1)="[",TRIM(MID(TRIM(A1077),FIND("]",TRIM(A1077)&amp;"]")+1,200)),TRIM(A1077)),FIND("(",IF(LEFT(TRIM(A1077),1)="[",TRIM(MID(TRIM(A1077),FIND("]",TRIM(A1077)&amp;"]")+1,200)),TRIM(A1077))&amp;"(")-1)),IF(LEFT(TRIM(A1077),1)="[",TRIM(MID(TRIM(A1077),FIND("]",TRIM(A1077)&amp;"]")+1,200)),TRIM(A1077))),""))</f>
      </c>
      <c r="C1077" s="17">
        <f>IF(B1077&lt;&gt;"",B1077,C1076)</f>
      </c>
      <c r="D1077" s="17">
        <f>IF(A1077="","",IF(OR(LEFT(UPPER(TRIM(A1077)),2)="Y:",LEFT(UPPER(TRIM(A1077)),10)="YESTERDAY:"),"Y",IF(OR(LEFT(UPPER(TRIM(A1077)),2)="T:",LEFT(UPPER(TRIM(A1077)),6)="TODAY:"),"T",IF(OR(LEFT(UPPER(TRIM(A1077)),2)="B:",LEFT(UPPER(TRIM(A1077)),8)="BLOCKER:",LEFT(UPPER(TRIM(A1077)),9)="BLOCKERS:",LEFT(UPPER(TRIM(A1077)),8)="BLOCKED:"),"B",""))))</f>
      </c>
      <c r="E1077" s="17">
        <f>IF(D1077="","",TRIM(MID(A1077,FIND(":",A1077)+1,500)))</f>
      </c>
    </row>
    <row r="1078">
      <c r="B1078" s="17">
        <f>IF(A1078="","",IF(COUNTIF(Roster[Name],IF(RIGHT(IF(LEFT(TRIM(A1078),1)="[",TRIM(MID(TRIM(A1078),FIND("]",TRIM(A1078)&amp;"]")+1,200)),TRIM(A1078)),1)=")",TRIM(LEFT(IF(LEFT(TRIM(A1078),1)="[",TRIM(MID(TRIM(A1078),FIND("]",TRIM(A1078)&amp;"]")+1,200)),TRIM(A1078)),FIND("(",IF(LEFT(TRIM(A1078),1)="[",TRIM(MID(TRIM(A1078),FIND("]",TRIM(A1078)&amp;"]")+1,200)),TRIM(A1078))&amp;"(")-1)),IF(LEFT(TRIM(A1078),1)="[",TRIM(MID(TRIM(A1078),FIND("]",TRIM(A1078)&amp;"]")+1,200)),TRIM(A1078))))&gt;0,IF(RIGHT(IF(LEFT(TRIM(A1078),1)="[",TRIM(MID(TRIM(A1078),FIND("]",TRIM(A1078)&amp;"]")+1,200)),TRIM(A1078)),1)=")",TRIM(LEFT(IF(LEFT(TRIM(A1078),1)="[",TRIM(MID(TRIM(A1078),FIND("]",TRIM(A1078)&amp;"]")+1,200)),TRIM(A1078)),FIND("(",IF(LEFT(TRIM(A1078),1)="[",TRIM(MID(TRIM(A1078),FIND("]",TRIM(A1078)&amp;"]")+1,200)),TRIM(A1078))&amp;"(")-1)),IF(LEFT(TRIM(A1078),1)="[",TRIM(MID(TRIM(A1078),FIND("]",TRIM(A1078)&amp;"]")+1,200)),TRIM(A1078))),""))</f>
      </c>
      <c r="C1078" s="17">
        <f>IF(B1078&lt;&gt;"",B1078,C1077)</f>
      </c>
      <c r="D1078" s="17">
        <f>IF(A1078="","",IF(OR(LEFT(UPPER(TRIM(A1078)),2)="Y:",LEFT(UPPER(TRIM(A1078)),10)="YESTERDAY:"),"Y",IF(OR(LEFT(UPPER(TRIM(A1078)),2)="T:",LEFT(UPPER(TRIM(A1078)),6)="TODAY:"),"T",IF(OR(LEFT(UPPER(TRIM(A1078)),2)="B:",LEFT(UPPER(TRIM(A1078)),8)="BLOCKER:",LEFT(UPPER(TRIM(A1078)),9)="BLOCKERS:",LEFT(UPPER(TRIM(A1078)),8)="BLOCKED:"),"B",""))))</f>
      </c>
      <c r="E1078" s="17">
        <f>IF(D1078="","",TRIM(MID(A1078,FIND(":",A1078)+1,500)))</f>
      </c>
    </row>
    <row r="1079">
      <c r="B1079" s="17">
        <f>IF(A1079="","",IF(COUNTIF(Roster[Name],IF(RIGHT(IF(LEFT(TRIM(A1079),1)="[",TRIM(MID(TRIM(A1079),FIND("]",TRIM(A1079)&amp;"]")+1,200)),TRIM(A1079)),1)=")",TRIM(LEFT(IF(LEFT(TRIM(A1079),1)="[",TRIM(MID(TRIM(A1079),FIND("]",TRIM(A1079)&amp;"]")+1,200)),TRIM(A1079)),FIND("(",IF(LEFT(TRIM(A1079),1)="[",TRIM(MID(TRIM(A1079),FIND("]",TRIM(A1079)&amp;"]")+1,200)),TRIM(A1079))&amp;"(")-1)),IF(LEFT(TRIM(A1079),1)="[",TRIM(MID(TRIM(A1079),FIND("]",TRIM(A1079)&amp;"]")+1,200)),TRIM(A1079))))&gt;0,IF(RIGHT(IF(LEFT(TRIM(A1079),1)="[",TRIM(MID(TRIM(A1079),FIND("]",TRIM(A1079)&amp;"]")+1,200)),TRIM(A1079)),1)=")",TRIM(LEFT(IF(LEFT(TRIM(A1079),1)="[",TRIM(MID(TRIM(A1079),FIND("]",TRIM(A1079)&amp;"]")+1,200)),TRIM(A1079)),FIND("(",IF(LEFT(TRIM(A1079),1)="[",TRIM(MID(TRIM(A1079),FIND("]",TRIM(A1079)&amp;"]")+1,200)),TRIM(A1079))&amp;"(")-1)),IF(LEFT(TRIM(A1079),1)="[",TRIM(MID(TRIM(A1079),FIND("]",TRIM(A1079)&amp;"]")+1,200)),TRIM(A1079))),""))</f>
      </c>
      <c r="C1079" s="17">
        <f>IF(B1079&lt;&gt;"",B1079,C1078)</f>
      </c>
      <c r="D1079" s="17">
        <f>IF(A1079="","",IF(OR(LEFT(UPPER(TRIM(A1079)),2)="Y:",LEFT(UPPER(TRIM(A1079)),10)="YESTERDAY:"),"Y",IF(OR(LEFT(UPPER(TRIM(A1079)),2)="T:",LEFT(UPPER(TRIM(A1079)),6)="TODAY:"),"T",IF(OR(LEFT(UPPER(TRIM(A1079)),2)="B:",LEFT(UPPER(TRIM(A1079)),8)="BLOCKER:",LEFT(UPPER(TRIM(A1079)),9)="BLOCKERS:",LEFT(UPPER(TRIM(A1079)),8)="BLOCKED:"),"B",""))))</f>
      </c>
      <c r="E1079" s="17">
        <f>IF(D1079="","",TRIM(MID(A1079,FIND(":",A1079)+1,500)))</f>
      </c>
    </row>
    <row r="1080">
      <c r="B1080" s="17">
        <f>IF(A1080="","",IF(COUNTIF(Roster[Name],IF(RIGHT(IF(LEFT(TRIM(A1080),1)="[",TRIM(MID(TRIM(A1080),FIND("]",TRIM(A1080)&amp;"]")+1,200)),TRIM(A1080)),1)=")",TRIM(LEFT(IF(LEFT(TRIM(A1080),1)="[",TRIM(MID(TRIM(A1080),FIND("]",TRIM(A1080)&amp;"]")+1,200)),TRIM(A1080)),FIND("(",IF(LEFT(TRIM(A1080),1)="[",TRIM(MID(TRIM(A1080),FIND("]",TRIM(A1080)&amp;"]")+1,200)),TRIM(A1080))&amp;"(")-1)),IF(LEFT(TRIM(A1080),1)="[",TRIM(MID(TRIM(A1080),FIND("]",TRIM(A1080)&amp;"]")+1,200)),TRIM(A1080))))&gt;0,IF(RIGHT(IF(LEFT(TRIM(A1080),1)="[",TRIM(MID(TRIM(A1080),FIND("]",TRIM(A1080)&amp;"]")+1,200)),TRIM(A1080)),1)=")",TRIM(LEFT(IF(LEFT(TRIM(A1080),1)="[",TRIM(MID(TRIM(A1080),FIND("]",TRIM(A1080)&amp;"]")+1,200)),TRIM(A1080)),FIND("(",IF(LEFT(TRIM(A1080),1)="[",TRIM(MID(TRIM(A1080),FIND("]",TRIM(A1080)&amp;"]")+1,200)),TRIM(A1080))&amp;"(")-1)),IF(LEFT(TRIM(A1080),1)="[",TRIM(MID(TRIM(A1080),FIND("]",TRIM(A1080)&amp;"]")+1,200)),TRIM(A1080))),""))</f>
      </c>
      <c r="C1080" s="17">
        <f>IF(B1080&lt;&gt;"",B1080,C1079)</f>
      </c>
      <c r="D1080" s="17">
        <f>IF(A1080="","",IF(OR(LEFT(UPPER(TRIM(A1080)),2)="Y:",LEFT(UPPER(TRIM(A1080)),10)="YESTERDAY:"),"Y",IF(OR(LEFT(UPPER(TRIM(A1080)),2)="T:",LEFT(UPPER(TRIM(A1080)),6)="TODAY:"),"T",IF(OR(LEFT(UPPER(TRIM(A1080)),2)="B:",LEFT(UPPER(TRIM(A1080)),8)="BLOCKER:",LEFT(UPPER(TRIM(A1080)),9)="BLOCKERS:",LEFT(UPPER(TRIM(A1080)),8)="BLOCKED:"),"B",""))))</f>
      </c>
      <c r="E1080" s="17">
        <f>IF(D1080="","",TRIM(MID(A1080,FIND(":",A1080)+1,500)))</f>
      </c>
    </row>
    <row r="1081">
      <c r="B1081" s="17">
        <f>IF(A1081="","",IF(COUNTIF(Roster[Name],IF(RIGHT(IF(LEFT(TRIM(A1081),1)="[",TRIM(MID(TRIM(A1081),FIND("]",TRIM(A1081)&amp;"]")+1,200)),TRIM(A1081)),1)=")",TRIM(LEFT(IF(LEFT(TRIM(A1081),1)="[",TRIM(MID(TRIM(A1081),FIND("]",TRIM(A1081)&amp;"]")+1,200)),TRIM(A1081)),FIND("(",IF(LEFT(TRIM(A1081),1)="[",TRIM(MID(TRIM(A1081),FIND("]",TRIM(A1081)&amp;"]")+1,200)),TRIM(A1081))&amp;"(")-1)),IF(LEFT(TRIM(A1081),1)="[",TRIM(MID(TRIM(A1081),FIND("]",TRIM(A1081)&amp;"]")+1,200)),TRIM(A1081))))&gt;0,IF(RIGHT(IF(LEFT(TRIM(A1081),1)="[",TRIM(MID(TRIM(A1081),FIND("]",TRIM(A1081)&amp;"]")+1,200)),TRIM(A1081)),1)=")",TRIM(LEFT(IF(LEFT(TRIM(A1081),1)="[",TRIM(MID(TRIM(A1081),FIND("]",TRIM(A1081)&amp;"]")+1,200)),TRIM(A1081)),FIND("(",IF(LEFT(TRIM(A1081),1)="[",TRIM(MID(TRIM(A1081),FIND("]",TRIM(A1081)&amp;"]")+1,200)),TRIM(A1081))&amp;"(")-1)),IF(LEFT(TRIM(A1081),1)="[",TRIM(MID(TRIM(A1081),FIND("]",TRIM(A1081)&amp;"]")+1,200)),TRIM(A1081))),""))</f>
      </c>
      <c r="C1081" s="17">
        <f>IF(B1081&lt;&gt;"",B1081,C1080)</f>
      </c>
      <c r="D1081" s="17">
        <f>IF(A1081="","",IF(OR(LEFT(UPPER(TRIM(A1081)),2)="Y:",LEFT(UPPER(TRIM(A1081)),10)="YESTERDAY:"),"Y",IF(OR(LEFT(UPPER(TRIM(A1081)),2)="T:",LEFT(UPPER(TRIM(A1081)),6)="TODAY:"),"T",IF(OR(LEFT(UPPER(TRIM(A1081)),2)="B:",LEFT(UPPER(TRIM(A1081)),8)="BLOCKER:",LEFT(UPPER(TRIM(A1081)),9)="BLOCKERS:",LEFT(UPPER(TRIM(A1081)),8)="BLOCKED:"),"B",""))))</f>
      </c>
      <c r="E1081" s="17">
        <f>IF(D1081="","",TRIM(MID(A1081,FIND(":",A1081)+1,500)))</f>
      </c>
    </row>
    <row r="1082">
      <c r="B1082" s="17">
        <f>IF(A1082="","",IF(COUNTIF(Roster[Name],IF(RIGHT(IF(LEFT(TRIM(A1082),1)="[",TRIM(MID(TRIM(A1082),FIND("]",TRIM(A1082)&amp;"]")+1,200)),TRIM(A1082)),1)=")",TRIM(LEFT(IF(LEFT(TRIM(A1082),1)="[",TRIM(MID(TRIM(A1082),FIND("]",TRIM(A1082)&amp;"]")+1,200)),TRIM(A1082)),FIND("(",IF(LEFT(TRIM(A1082),1)="[",TRIM(MID(TRIM(A1082),FIND("]",TRIM(A1082)&amp;"]")+1,200)),TRIM(A1082))&amp;"(")-1)),IF(LEFT(TRIM(A1082),1)="[",TRIM(MID(TRIM(A1082),FIND("]",TRIM(A1082)&amp;"]")+1,200)),TRIM(A1082))))&gt;0,IF(RIGHT(IF(LEFT(TRIM(A1082),1)="[",TRIM(MID(TRIM(A1082),FIND("]",TRIM(A1082)&amp;"]")+1,200)),TRIM(A1082)),1)=")",TRIM(LEFT(IF(LEFT(TRIM(A1082),1)="[",TRIM(MID(TRIM(A1082),FIND("]",TRIM(A1082)&amp;"]")+1,200)),TRIM(A1082)),FIND("(",IF(LEFT(TRIM(A1082),1)="[",TRIM(MID(TRIM(A1082),FIND("]",TRIM(A1082)&amp;"]")+1,200)),TRIM(A1082))&amp;"(")-1)),IF(LEFT(TRIM(A1082),1)="[",TRIM(MID(TRIM(A1082),FIND("]",TRIM(A1082)&amp;"]")+1,200)),TRIM(A1082))),""))</f>
      </c>
      <c r="C1082" s="17">
        <f>IF(B1082&lt;&gt;"",B1082,C1081)</f>
      </c>
      <c r="D1082" s="17">
        <f>IF(A1082="","",IF(OR(LEFT(UPPER(TRIM(A1082)),2)="Y:",LEFT(UPPER(TRIM(A1082)),10)="YESTERDAY:"),"Y",IF(OR(LEFT(UPPER(TRIM(A1082)),2)="T:",LEFT(UPPER(TRIM(A1082)),6)="TODAY:"),"T",IF(OR(LEFT(UPPER(TRIM(A1082)),2)="B:",LEFT(UPPER(TRIM(A1082)),8)="BLOCKER:",LEFT(UPPER(TRIM(A1082)),9)="BLOCKERS:",LEFT(UPPER(TRIM(A1082)),8)="BLOCKED:"),"B",""))))</f>
      </c>
      <c r="E1082" s="17">
        <f>IF(D1082="","",TRIM(MID(A1082,FIND(":",A1082)+1,500)))</f>
      </c>
    </row>
    <row r="1083">
      <c r="B1083" s="17">
        <f>IF(A1083="","",IF(COUNTIF(Roster[Name],IF(RIGHT(IF(LEFT(TRIM(A1083),1)="[",TRIM(MID(TRIM(A1083),FIND("]",TRIM(A1083)&amp;"]")+1,200)),TRIM(A1083)),1)=")",TRIM(LEFT(IF(LEFT(TRIM(A1083),1)="[",TRIM(MID(TRIM(A1083),FIND("]",TRIM(A1083)&amp;"]")+1,200)),TRIM(A1083)),FIND("(",IF(LEFT(TRIM(A1083),1)="[",TRIM(MID(TRIM(A1083),FIND("]",TRIM(A1083)&amp;"]")+1,200)),TRIM(A1083))&amp;"(")-1)),IF(LEFT(TRIM(A1083),1)="[",TRIM(MID(TRIM(A1083),FIND("]",TRIM(A1083)&amp;"]")+1,200)),TRIM(A1083))))&gt;0,IF(RIGHT(IF(LEFT(TRIM(A1083),1)="[",TRIM(MID(TRIM(A1083),FIND("]",TRIM(A1083)&amp;"]")+1,200)),TRIM(A1083)),1)=")",TRIM(LEFT(IF(LEFT(TRIM(A1083),1)="[",TRIM(MID(TRIM(A1083),FIND("]",TRIM(A1083)&amp;"]")+1,200)),TRIM(A1083)),FIND("(",IF(LEFT(TRIM(A1083),1)="[",TRIM(MID(TRIM(A1083),FIND("]",TRIM(A1083)&amp;"]")+1,200)),TRIM(A1083))&amp;"(")-1)),IF(LEFT(TRIM(A1083),1)="[",TRIM(MID(TRIM(A1083),FIND("]",TRIM(A1083)&amp;"]")+1,200)),TRIM(A1083))),""))</f>
      </c>
      <c r="C1083" s="17">
        <f>IF(B1083&lt;&gt;"",B1083,C1082)</f>
      </c>
      <c r="D1083" s="17">
        <f>IF(A1083="","",IF(OR(LEFT(UPPER(TRIM(A1083)),2)="Y:",LEFT(UPPER(TRIM(A1083)),10)="YESTERDAY:"),"Y",IF(OR(LEFT(UPPER(TRIM(A1083)),2)="T:",LEFT(UPPER(TRIM(A1083)),6)="TODAY:"),"T",IF(OR(LEFT(UPPER(TRIM(A1083)),2)="B:",LEFT(UPPER(TRIM(A1083)),8)="BLOCKER:",LEFT(UPPER(TRIM(A1083)),9)="BLOCKERS:",LEFT(UPPER(TRIM(A1083)),8)="BLOCKED:"),"B",""))))</f>
      </c>
      <c r="E1083" s="17">
        <f>IF(D1083="","",TRIM(MID(A1083,FIND(":",A1083)+1,500)))</f>
      </c>
    </row>
    <row r="1084">
      <c r="B1084" s="17">
        <f>IF(A1084="","",IF(COUNTIF(Roster[Name],IF(RIGHT(IF(LEFT(TRIM(A1084),1)="[",TRIM(MID(TRIM(A1084),FIND("]",TRIM(A1084)&amp;"]")+1,200)),TRIM(A1084)),1)=")",TRIM(LEFT(IF(LEFT(TRIM(A1084),1)="[",TRIM(MID(TRIM(A1084),FIND("]",TRIM(A1084)&amp;"]")+1,200)),TRIM(A1084)),FIND("(",IF(LEFT(TRIM(A1084),1)="[",TRIM(MID(TRIM(A1084),FIND("]",TRIM(A1084)&amp;"]")+1,200)),TRIM(A1084))&amp;"(")-1)),IF(LEFT(TRIM(A1084),1)="[",TRIM(MID(TRIM(A1084),FIND("]",TRIM(A1084)&amp;"]")+1,200)),TRIM(A1084))))&gt;0,IF(RIGHT(IF(LEFT(TRIM(A1084),1)="[",TRIM(MID(TRIM(A1084),FIND("]",TRIM(A1084)&amp;"]")+1,200)),TRIM(A1084)),1)=")",TRIM(LEFT(IF(LEFT(TRIM(A1084),1)="[",TRIM(MID(TRIM(A1084),FIND("]",TRIM(A1084)&amp;"]")+1,200)),TRIM(A1084)),FIND("(",IF(LEFT(TRIM(A1084),1)="[",TRIM(MID(TRIM(A1084),FIND("]",TRIM(A1084)&amp;"]")+1,200)),TRIM(A1084))&amp;"(")-1)),IF(LEFT(TRIM(A1084),1)="[",TRIM(MID(TRIM(A1084),FIND("]",TRIM(A1084)&amp;"]")+1,200)),TRIM(A1084))),""))</f>
      </c>
      <c r="C1084" s="17">
        <f>IF(B1084&lt;&gt;"",B1084,C1083)</f>
      </c>
      <c r="D1084" s="17">
        <f>IF(A1084="","",IF(OR(LEFT(UPPER(TRIM(A1084)),2)="Y:",LEFT(UPPER(TRIM(A1084)),10)="YESTERDAY:"),"Y",IF(OR(LEFT(UPPER(TRIM(A1084)),2)="T:",LEFT(UPPER(TRIM(A1084)),6)="TODAY:"),"T",IF(OR(LEFT(UPPER(TRIM(A1084)),2)="B:",LEFT(UPPER(TRIM(A1084)),8)="BLOCKER:",LEFT(UPPER(TRIM(A1084)),9)="BLOCKERS:",LEFT(UPPER(TRIM(A1084)),8)="BLOCKED:"),"B",""))))</f>
      </c>
      <c r="E1084" s="17">
        <f>IF(D1084="","",TRIM(MID(A1084,FIND(":",A1084)+1,500)))</f>
      </c>
    </row>
    <row r="1085">
      <c r="B1085" s="17">
        <f>IF(A1085="","",IF(COUNTIF(Roster[Name],IF(RIGHT(IF(LEFT(TRIM(A1085),1)="[",TRIM(MID(TRIM(A1085),FIND("]",TRIM(A1085)&amp;"]")+1,200)),TRIM(A1085)),1)=")",TRIM(LEFT(IF(LEFT(TRIM(A1085),1)="[",TRIM(MID(TRIM(A1085),FIND("]",TRIM(A1085)&amp;"]")+1,200)),TRIM(A1085)),FIND("(",IF(LEFT(TRIM(A1085),1)="[",TRIM(MID(TRIM(A1085),FIND("]",TRIM(A1085)&amp;"]")+1,200)),TRIM(A1085))&amp;"(")-1)),IF(LEFT(TRIM(A1085),1)="[",TRIM(MID(TRIM(A1085),FIND("]",TRIM(A1085)&amp;"]")+1,200)),TRIM(A1085))))&gt;0,IF(RIGHT(IF(LEFT(TRIM(A1085),1)="[",TRIM(MID(TRIM(A1085),FIND("]",TRIM(A1085)&amp;"]")+1,200)),TRIM(A1085)),1)=")",TRIM(LEFT(IF(LEFT(TRIM(A1085),1)="[",TRIM(MID(TRIM(A1085),FIND("]",TRIM(A1085)&amp;"]")+1,200)),TRIM(A1085)),FIND("(",IF(LEFT(TRIM(A1085),1)="[",TRIM(MID(TRIM(A1085),FIND("]",TRIM(A1085)&amp;"]")+1,200)),TRIM(A1085))&amp;"(")-1)),IF(LEFT(TRIM(A1085),1)="[",TRIM(MID(TRIM(A1085),FIND("]",TRIM(A1085)&amp;"]")+1,200)),TRIM(A1085))),""))</f>
      </c>
      <c r="C1085" s="17">
        <f>IF(B1085&lt;&gt;"",B1085,C1084)</f>
      </c>
      <c r="D1085" s="17">
        <f>IF(A1085="","",IF(OR(LEFT(UPPER(TRIM(A1085)),2)="Y:",LEFT(UPPER(TRIM(A1085)),10)="YESTERDAY:"),"Y",IF(OR(LEFT(UPPER(TRIM(A1085)),2)="T:",LEFT(UPPER(TRIM(A1085)),6)="TODAY:"),"T",IF(OR(LEFT(UPPER(TRIM(A1085)),2)="B:",LEFT(UPPER(TRIM(A1085)),8)="BLOCKER:",LEFT(UPPER(TRIM(A1085)),9)="BLOCKERS:",LEFT(UPPER(TRIM(A1085)),8)="BLOCKED:"),"B",""))))</f>
      </c>
      <c r="E1085" s="17">
        <f>IF(D1085="","",TRIM(MID(A1085,FIND(":",A1085)+1,500)))</f>
      </c>
    </row>
    <row r="1086">
      <c r="B1086" s="17">
        <f>IF(A1086="","",IF(COUNTIF(Roster[Name],IF(RIGHT(IF(LEFT(TRIM(A1086),1)="[",TRIM(MID(TRIM(A1086),FIND("]",TRIM(A1086)&amp;"]")+1,200)),TRIM(A1086)),1)=")",TRIM(LEFT(IF(LEFT(TRIM(A1086),1)="[",TRIM(MID(TRIM(A1086),FIND("]",TRIM(A1086)&amp;"]")+1,200)),TRIM(A1086)),FIND("(",IF(LEFT(TRIM(A1086),1)="[",TRIM(MID(TRIM(A1086),FIND("]",TRIM(A1086)&amp;"]")+1,200)),TRIM(A1086))&amp;"(")-1)),IF(LEFT(TRIM(A1086),1)="[",TRIM(MID(TRIM(A1086),FIND("]",TRIM(A1086)&amp;"]")+1,200)),TRIM(A1086))))&gt;0,IF(RIGHT(IF(LEFT(TRIM(A1086),1)="[",TRIM(MID(TRIM(A1086),FIND("]",TRIM(A1086)&amp;"]")+1,200)),TRIM(A1086)),1)=")",TRIM(LEFT(IF(LEFT(TRIM(A1086),1)="[",TRIM(MID(TRIM(A1086),FIND("]",TRIM(A1086)&amp;"]")+1,200)),TRIM(A1086)),FIND("(",IF(LEFT(TRIM(A1086),1)="[",TRIM(MID(TRIM(A1086),FIND("]",TRIM(A1086)&amp;"]")+1,200)),TRIM(A1086))&amp;"(")-1)),IF(LEFT(TRIM(A1086),1)="[",TRIM(MID(TRIM(A1086),FIND("]",TRIM(A1086)&amp;"]")+1,200)),TRIM(A1086))),""))</f>
      </c>
      <c r="C1086" s="17">
        <f>IF(B1086&lt;&gt;"",B1086,C1085)</f>
      </c>
      <c r="D1086" s="17">
        <f>IF(A1086="","",IF(OR(LEFT(UPPER(TRIM(A1086)),2)="Y:",LEFT(UPPER(TRIM(A1086)),10)="YESTERDAY:"),"Y",IF(OR(LEFT(UPPER(TRIM(A1086)),2)="T:",LEFT(UPPER(TRIM(A1086)),6)="TODAY:"),"T",IF(OR(LEFT(UPPER(TRIM(A1086)),2)="B:",LEFT(UPPER(TRIM(A1086)),8)="BLOCKER:",LEFT(UPPER(TRIM(A1086)),9)="BLOCKERS:",LEFT(UPPER(TRIM(A1086)),8)="BLOCKED:"),"B",""))))</f>
      </c>
      <c r="E1086" s="17">
        <f>IF(D1086="","",TRIM(MID(A1086,FIND(":",A1086)+1,500)))</f>
      </c>
    </row>
    <row r="1087">
      <c r="B1087" s="17">
        <f>IF(A1087="","",IF(COUNTIF(Roster[Name],IF(RIGHT(IF(LEFT(TRIM(A1087),1)="[",TRIM(MID(TRIM(A1087),FIND("]",TRIM(A1087)&amp;"]")+1,200)),TRIM(A1087)),1)=")",TRIM(LEFT(IF(LEFT(TRIM(A1087),1)="[",TRIM(MID(TRIM(A1087),FIND("]",TRIM(A1087)&amp;"]")+1,200)),TRIM(A1087)),FIND("(",IF(LEFT(TRIM(A1087),1)="[",TRIM(MID(TRIM(A1087),FIND("]",TRIM(A1087)&amp;"]")+1,200)),TRIM(A1087))&amp;"(")-1)),IF(LEFT(TRIM(A1087),1)="[",TRIM(MID(TRIM(A1087),FIND("]",TRIM(A1087)&amp;"]")+1,200)),TRIM(A1087))))&gt;0,IF(RIGHT(IF(LEFT(TRIM(A1087),1)="[",TRIM(MID(TRIM(A1087),FIND("]",TRIM(A1087)&amp;"]")+1,200)),TRIM(A1087)),1)=")",TRIM(LEFT(IF(LEFT(TRIM(A1087),1)="[",TRIM(MID(TRIM(A1087),FIND("]",TRIM(A1087)&amp;"]")+1,200)),TRIM(A1087)),FIND("(",IF(LEFT(TRIM(A1087),1)="[",TRIM(MID(TRIM(A1087),FIND("]",TRIM(A1087)&amp;"]")+1,200)),TRIM(A1087))&amp;"(")-1)),IF(LEFT(TRIM(A1087),1)="[",TRIM(MID(TRIM(A1087),FIND("]",TRIM(A1087)&amp;"]")+1,200)),TRIM(A1087))),""))</f>
      </c>
      <c r="C1087" s="17">
        <f>IF(B1087&lt;&gt;"",B1087,C1086)</f>
      </c>
      <c r="D1087" s="17">
        <f>IF(A1087="","",IF(OR(LEFT(UPPER(TRIM(A1087)),2)="Y:",LEFT(UPPER(TRIM(A1087)),10)="YESTERDAY:"),"Y",IF(OR(LEFT(UPPER(TRIM(A1087)),2)="T:",LEFT(UPPER(TRIM(A1087)),6)="TODAY:"),"T",IF(OR(LEFT(UPPER(TRIM(A1087)),2)="B:",LEFT(UPPER(TRIM(A1087)),8)="BLOCKER:",LEFT(UPPER(TRIM(A1087)),9)="BLOCKERS:",LEFT(UPPER(TRIM(A1087)),8)="BLOCKED:"),"B",""))))</f>
      </c>
      <c r="E1087" s="17">
        <f>IF(D1087="","",TRIM(MID(A1087,FIND(":",A1087)+1,500)))</f>
      </c>
    </row>
    <row r="1088">
      <c r="B1088" s="17">
        <f>IF(A1088="","",IF(COUNTIF(Roster[Name],IF(RIGHT(IF(LEFT(TRIM(A1088),1)="[",TRIM(MID(TRIM(A1088),FIND("]",TRIM(A1088)&amp;"]")+1,200)),TRIM(A1088)),1)=")",TRIM(LEFT(IF(LEFT(TRIM(A1088),1)="[",TRIM(MID(TRIM(A1088),FIND("]",TRIM(A1088)&amp;"]")+1,200)),TRIM(A1088)),FIND("(",IF(LEFT(TRIM(A1088),1)="[",TRIM(MID(TRIM(A1088),FIND("]",TRIM(A1088)&amp;"]")+1,200)),TRIM(A1088))&amp;"(")-1)),IF(LEFT(TRIM(A1088),1)="[",TRIM(MID(TRIM(A1088),FIND("]",TRIM(A1088)&amp;"]")+1,200)),TRIM(A1088))))&gt;0,IF(RIGHT(IF(LEFT(TRIM(A1088),1)="[",TRIM(MID(TRIM(A1088),FIND("]",TRIM(A1088)&amp;"]")+1,200)),TRIM(A1088)),1)=")",TRIM(LEFT(IF(LEFT(TRIM(A1088),1)="[",TRIM(MID(TRIM(A1088),FIND("]",TRIM(A1088)&amp;"]")+1,200)),TRIM(A1088)),FIND("(",IF(LEFT(TRIM(A1088),1)="[",TRIM(MID(TRIM(A1088),FIND("]",TRIM(A1088)&amp;"]")+1,200)),TRIM(A1088))&amp;"(")-1)),IF(LEFT(TRIM(A1088),1)="[",TRIM(MID(TRIM(A1088),FIND("]",TRIM(A1088)&amp;"]")+1,200)),TRIM(A1088))),""))</f>
      </c>
      <c r="C1088" s="17">
        <f>IF(B1088&lt;&gt;"",B1088,C1087)</f>
      </c>
      <c r="D1088" s="17">
        <f>IF(A1088="","",IF(OR(LEFT(UPPER(TRIM(A1088)),2)="Y:",LEFT(UPPER(TRIM(A1088)),10)="YESTERDAY:"),"Y",IF(OR(LEFT(UPPER(TRIM(A1088)),2)="T:",LEFT(UPPER(TRIM(A1088)),6)="TODAY:"),"T",IF(OR(LEFT(UPPER(TRIM(A1088)),2)="B:",LEFT(UPPER(TRIM(A1088)),8)="BLOCKER:",LEFT(UPPER(TRIM(A1088)),9)="BLOCKERS:",LEFT(UPPER(TRIM(A1088)),8)="BLOCKED:"),"B",""))))</f>
      </c>
      <c r="E1088" s="17">
        <f>IF(D1088="","",TRIM(MID(A1088,FIND(":",A1088)+1,500)))</f>
      </c>
    </row>
    <row r="1089">
      <c r="B1089" s="17">
        <f>IF(A1089="","",IF(COUNTIF(Roster[Name],IF(RIGHT(IF(LEFT(TRIM(A1089),1)="[",TRIM(MID(TRIM(A1089),FIND("]",TRIM(A1089)&amp;"]")+1,200)),TRIM(A1089)),1)=")",TRIM(LEFT(IF(LEFT(TRIM(A1089),1)="[",TRIM(MID(TRIM(A1089),FIND("]",TRIM(A1089)&amp;"]")+1,200)),TRIM(A1089)),FIND("(",IF(LEFT(TRIM(A1089),1)="[",TRIM(MID(TRIM(A1089),FIND("]",TRIM(A1089)&amp;"]")+1,200)),TRIM(A1089))&amp;"(")-1)),IF(LEFT(TRIM(A1089),1)="[",TRIM(MID(TRIM(A1089),FIND("]",TRIM(A1089)&amp;"]")+1,200)),TRIM(A1089))))&gt;0,IF(RIGHT(IF(LEFT(TRIM(A1089),1)="[",TRIM(MID(TRIM(A1089),FIND("]",TRIM(A1089)&amp;"]")+1,200)),TRIM(A1089)),1)=")",TRIM(LEFT(IF(LEFT(TRIM(A1089),1)="[",TRIM(MID(TRIM(A1089),FIND("]",TRIM(A1089)&amp;"]")+1,200)),TRIM(A1089)),FIND("(",IF(LEFT(TRIM(A1089),1)="[",TRIM(MID(TRIM(A1089),FIND("]",TRIM(A1089)&amp;"]")+1,200)),TRIM(A1089))&amp;"(")-1)),IF(LEFT(TRIM(A1089),1)="[",TRIM(MID(TRIM(A1089),FIND("]",TRIM(A1089)&amp;"]")+1,200)),TRIM(A1089))),""))</f>
      </c>
      <c r="C1089" s="17">
        <f>IF(B1089&lt;&gt;"",B1089,C1088)</f>
      </c>
      <c r="D1089" s="17">
        <f>IF(A1089="","",IF(OR(LEFT(UPPER(TRIM(A1089)),2)="Y:",LEFT(UPPER(TRIM(A1089)),10)="YESTERDAY:"),"Y",IF(OR(LEFT(UPPER(TRIM(A1089)),2)="T:",LEFT(UPPER(TRIM(A1089)),6)="TODAY:"),"T",IF(OR(LEFT(UPPER(TRIM(A1089)),2)="B:",LEFT(UPPER(TRIM(A1089)),8)="BLOCKER:",LEFT(UPPER(TRIM(A1089)),9)="BLOCKERS:",LEFT(UPPER(TRIM(A1089)),8)="BLOCKED:"),"B",""))))</f>
      </c>
      <c r="E1089" s="17">
        <f>IF(D1089="","",TRIM(MID(A1089,FIND(":",A1089)+1,500)))</f>
      </c>
    </row>
    <row r="1090">
      <c r="B1090" s="17">
        <f>IF(A1090="","",IF(COUNTIF(Roster[Name],IF(RIGHT(IF(LEFT(TRIM(A1090),1)="[",TRIM(MID(TRIM(A1090),FIND("]",TRIM(A1090)&amp;"]")+1,200)),TRIM(A1090)),1)=")",TRIM(LEFT(IF(LEFT(TRIM(A1090),1)="[",TRIM(MID(TRIM(A1090),FIND("]",TRIM(A1090)&amp;"]")+1,200)),TRIM(A1090)),FIND("(",IF(LEFT(TRIM(A1090),1)="[",TRIM(MID(TRIM(A1090),FIND("]",TRIM(A1090)&amp;"]")+1,200)),TRIM(A1090))&amp;"(")-1)),IF(LEFT(TRIM(A1090),1)="[",TRIM(MID(TRIM(A1090),FIND("]",TRIM(A1090)&amp;"]")+1,200)),TRIM(A1090))))&gt;0,IF(RIGHT(IF(LEFT(TRIM(A1090),1)="[",TRIM(MID(TRIM(A1090),FIND("]",TRIM(A1090)&amp;"]")+1,200)),TRIM(A1090)),1)=")",TRIM(LEFT(IF(LEFT(TRIM(A1090),1)="[",TRIM(MID(TRIM(A1090),FIND("]",TRIM(A1090)&amp;"]")+1,200)),TRIM(A1090)),FIND("(",IF(LEFT(TRIM(A1090),1)="[",TRIM(MID(TRIM(A1090),FIND("]",TRIM(A1090)&amp;"]")+1,200)),TRIM(A1090))&amp;"(")-1)),IF(LEFT(TRIM(A1090),1)="[",TRIM(MID(TRIM(A1090),FIND("]",TRIM(A1090)&amp;"]")+1,200)),TRIM(A1090))),""))</f>
      </c>
      <c r="C1090" s="17">
        <f>IF(B1090&lt;&gt;"",B1090,C1089)</f>
      </c>
      <c r="D1090" s="17">
        <f>IF(A1090="","",IF(OR(LEFT(UPPER(TRIM(A1090)),2)="Y:",LEFT(UPPER(TRIM(A1090)),10)="YESTERDAY:"),"Y",IF(OR(LEFT(UPPER(TRIM(A1090)),2)="T:",LEFT(UPPER(TRIM(A1090)),6)="TODAY:"),"T",IF(OR(LEFT(UPPER(TRIM(A1090)),2)="B:",LEFT(UPPER(TRIM(A1090)),8)="BLOCKER:",LEFT(UPPER(TRIM(A1090)),9)="BLOCKERS:",LEFT(UPPER(TRIM(A1090)),8)="BLOCKED:"),"B",""))))</f>
      </c>
      <c r="E1090" s="17">
        <f>IF(D1090="","",TRIM(MID(A1090,FIND(":",A1090)+1,500)))</f>
      </c>
    </row>
    <row r="1091">
      <c r="B1091" s="17">
        <f>IF(A1091="","",IF(COUNTIF(Roster[Name],IF(RIGHT(IF(LEFT(TRIM(A1091),1)="[",TRIM(MID(TRIM(A1091),FIND("]",TRIM(A1091)&amp;"]")+1,200)),TRIM(A1091)),1)=")",TRIM(LEFT(IF(LEFT(TRIM(A1091),1)="[",TRIM(MID(TRIM(A1091),FIND("]",TRIM(A1091)&amp;"]")+1,200)),TRIM(A1091)),FIND("(",IF(LEFT(TRIM(A1091),1)="[",TRIM(MID(TRIM(A1091),FIND("]",TRIM(A1091)&amp;"]")+1,200)),TRIM(A1091))&amp;"(")-1)),IF(LEFT(TRIM(A1091),1)="[",TRIM(MID(TRIM(A1091),FIND("]",TRIM(A1091)&amp;"]")+1,200)),TRIM(A1091))))&gt;0,IF(RIGHT(IF(LEFT(TRIM(A1091),1)="[",TRIM(MID(TRIM(A1091),FIND("]",TRIM(A1091)&amp;"]")+1,200)),TRIM(A1091)),1)=")",TRIM(LEFT(IF(LEFT(TRIM(A1091),1)="[",TRIM(MID(TRIM(A1091),FIND("]",TRIM(A1091)&amp;"]")+1,200)),TRIM(A1091)),FIND("(",IF(LEFT(TRIM(A1091),1)="[",TRIM(MID(TRIM(A1091),FIND("]",TRIM(A1091)&amp;"]")+1,200)),TRIM(A1091))&amp;"(")-1)),IF(LEFT(TRIM(A1091),1)="[",TRIM(MID(TRIM(A1091),FIND("]",TRIM(A1091)&amp;"]")+1,200)),TRIM(A1091))),""))</f>
      </c>
      <c r="C1091" s="17">
        <f>IF(B1091&lt;&gt;"",B1091,C1090)</f>
      </c>
      <c r="D1091" s="17">
        <f>IF(A1091="","",IF(OR(LEFT(UPPER(TRIM(A1091)),2)="Y:",LEFT(UPPER(TRIM(A1091)),10)="YESTERDAY:"),"Y",IF(OR(LEFT(UPPER(TRIM(A1091)),2)="T:",LEFT(UPPER(TRIM(A1091)),6)="TODAY:"),"T",IF(OR(LEFT(UPPER(TRIM(A1091)),2)="B:",LEFT(UPPER(TRIM(A1091)),8)="BLOCKER:",LEFT(UPPER(TRIM(A1091)),9)="BLOCKERS:",LEFT(UPPER(TRIM(A1091)),8)="BLOCKED:"),"B",""))))</f>
      </c>
      <c r="E1091" s="17">
        <f>IF(D1091="","",TRIM(MID(A1091,FIND(":",A1091)+1,500)))</f>
      </c>
    </row>
    <row r="1092">
      <c r="B1092" s="17">
        <f>IF(A1092="","",IF(COUNTIF(Roster[Name],IF(RIGHT(IF(LEFT(TRIM(A1092),1)="[",TRIM(MID(TRIM(A1092),FIND("]",TRIM(A1092)&amp;"]")+1,200)),TRIM(A1092)),1)=")",TRIM(LEFT(IF(LEFT(TRIM(A1092),1)="[",TRIM(MID(TRIM(A1092),FIND("]",TRIM(A1092)&amp;"]")+1,200)),TRIM(A1092)),FIND("(",IF(LEFT(TRIM(A1092),1)="[",TRIM(MID(TRIM(A1092),FIND("]",TRIM(A1092)&amp;"]")+1,200)),TRIM(A1092))&amp;"(")-1)),IF(LEFT(TRIM(A1092),1)="[",TRIM(MID(TRIM(A1092),FIND("]",TRIM(A1092)&amp;"]")+1,200)),TRIM(A1092))))&gt;0,IF(RIGHT(IF(LEFT(TRIM(A1092),1)="[",TRIM(MID(TRIM(A1092),FIND("]",TRIM(A1092)&amp;"]")+1,200)),TRIM(A1092)),1)=")",TRIM(LEFT(IF(LEFT(TRIM(A1092),1)="[",TRIM(MID(TRIM(A1092),FIND("]",TRIM(A1092)&amp;"]")+1,200)),TRIM(A1092)),FIND("(",IF(LEFT(TRIM(A1092),1)="[",TRIM(MID(TRIM(A1092),FIND("]",TRIM(A1092)&amp;"]")+1,200)),TRIM(A1092))&amp;"(")-1)),IF(LEFT(TRIM(A1092),1)="[",TRIM(MID(TRIM(A1092),FIND("]",TRIM(A1092)&amp;"]")+1,200)),TRIM(A1092))),""))</f>
      </c>
      <c r="C1092" s="17">
        <f>IF(B1092&lt;&gt;"",B1092,C1091)</f>
      </c>
      <c r="D1092" s="17">
        <f>IF(A1092="","",IF(OR(LEFT(UPPER(TRIM(A1092)),2)="Y:",LEFT(UPPER(TRIM(A1092)),10)="YESTERDAY:"),"Y",IF(OR(LEFT(UPPER(TRIM(A1092)),2)="T:",LEFT(UPPER(TRIM(A1092)),6)="TODAY:"),"T",IF(OR(LEFT(UPPER(TRIM(A1092)),2)="B:",LEFT(UPPER(TRIM(A1092)),8)="BLOCKER:",LEFT(UPPER(TRIM(A1092)),9)="BLOCKERS:",LEFT(UPPER(TRIM(A1092)),8)="BLOCKED:"),"B",""))))</f>
      </c>
      <c r="E1092" s="17">
        <f>IF(D1092="","",TRIM(MID(A1092,FIND(":",A1092)+1,500)))</f>
      </c>
    </row>
    <row r="1093">
      <c r="B1093" s="17">
        <f>IF(A1093="","",IF(COUNTIF(Roster[Name],IF(RIGHT(IF(LEFT(TRIM(A1093),1)="[",TRIM(MID(TRIM(A1093),FIND("]",TRIM(A1093)&amp;"]")+1,200)),TRIM(A1093)),1)=")",TRIM(LEFT(IF(LEFT(TRIM(A1093),1)="[",TRIM(MID(TRIM(A1093),FIND("]",TRIM(A1093)&amp;"]")+1,200)),TRIM(A1093)),FIND("(",IF(LEFT(TRIM(A1093),1)="[",TRIM(MID(TRIM(A1093),FIND("]",TRIM(A1093)&amp;"]")+1,200)),TRIM(A1093))&amp;"(")-1)),IF(LEFT(TRIM(A1093),1)="[",TRIM(MID(TRIM(A1093),FIND("]",TRIM(A1093)&amp;"]")+1,200)),TRIM(A1093))))&gt;0,IF(RIGHT(IF(LEFT(TRIM(A1093),1)="[",TRIM(MID(TRIM(A1093),FIND("]",TRIM(A1093)&amp;"]")+1,200)),TRIM(A1093)),1)=")",TRIM(LEFT(IF(LEFT(TRIM(A1093),1)="[",TRIM(MID(TRIM(A1093),FIND("]",TRIM(A1093)&amp;"]")+1,200)),TRIM(A1093)),FIND("(",IF(LEFT(TRIM(A1093),1)="[",TRIM(MID(TRIM(A1093),FIND("]",TRIM(A1093)&amp;"]")+1,200)),TRIM(A1093))&amp;"(")-1)),IF(LEFT(TRIM(A1093),1)="[",TRIM(MID(TRIM(A1093),FIND("]",TRIM(A1093)&amp;"]")+1,200)),TRIM(A1093))),""))</f>
      </c>
      <c r="C1093" s="17">
        <f>IF(B1093&lt;&gt;"",B1093,C1092)</f>
      </c>
      <c r="D1093" s="17">
        <f>IF(A1093="","",IF(OR(LEFT(UPPER(TRIM(A1093)),2)="Y:",LEFT(UPPER(TRIM(A1093)),10)="YESTERDAY:"),"Y",IF(OR(LEFT(UPPER(TRIM(A1093)),2)="T:",LEFT(UPPER(TRIM(A1093)),6)="TODAY:"),"T",IF(OR(LEFT(UPPER(TRIM(A1093)),2)="B:",LEFT(UPPER(TRIM(A1093)),8)="BLOCKER:",LEFT(UPPER(TRIM(A1093)),9)="BLOCKERS:",LEFT(UPPER(TRIM(A1093)),8)="BLOCKED:"),"B",""))))</f>
      </c>
      <c r="E1093" s="17">
        <f>IF(D1093="","",TRIM(MID(A1093,FIND(":",A1093)+1,500)))</f>
      </c>
    </row>
    <row r="1094">
      <c r="B1094" s="17">
        <f>IF(A1094="","",IF(COUNTIF(Roster[Name],IF(RIGHT(IF(LEFT(TRIM(A1094),1)="[",TRIM(MID(TRIM(A1094),FIND("]",TRIM(A1094)&amp;"]")+1,200)),TRIM(A1094)),1)=")",TRIM(LEFT(IF(LEFT(TRIM(A1094),1)="[",TRIM(MID(TRIM(A1094),FIND("]",TRIM(A1094)&amp;"]")+1,200)),TRIM(A1094)),FIND("(",IF(LEFT(TRIM(A1094),1)="[",TRIM(MID(TRIM(A1094),FIND("]",TRIM(A1094)&amp;"]")+1,200)),TRIM(A1094))&amp;"(")-1)),IF(LEFT(TRIM(A1094),1)="[",TRIM(MID(TRIM(A1094),FIND("]",TRIM(A1094)&amp;"]")+1,200)),TRIM(A1094))))&gt;0,IF(RIGHT(IF(LEFT(TRIM(A1094),1)="[",TRIM(MID(TRIM(A1094),FIND("]",TRIM(A1094)&amp;"]")+1,200)),TRIM(A1094)),1)=")",TRIM(LEFT(IF(LEFT(TRIM(A1094),1)="[",TRIM(MID(TRIM(A1094),FIND("]",TRIM(A1094)&amp;"]")+1,200)),TRIM(A1094)),FIND("(",IF(LEFT(TRIM(A1094),1)="[",TRIM(MID(TRIM(A1094),FIND("]",TRIM(A1094)&amp;"]")+1,200)),TRIM(A1094))&amp;"(")-1)),IF(LEFT(TRIM(A1094),1)="[",TRIM(MID(TRIM(A1094),FIND("]",TRIM(A1094)&amp;"]")+1,200)),TRIM(A1094))),""))</f>
      </c>
      <c r="C1094" s="17">
        <f>IF(B1094&lt;&gt;"",B1094,C1093)</f>
      </c>
      <c r="D1094" s="17">
        <f>IF(A1094="","",IF(OR(LEFT(UPPER(TRIM(A1094)),2)="Y:",LEFT(UPPER(TRIM(A1094)),10)="YESTERDAY:"),"Y",IF(OR(LEFT(UPPER(TRIM(A1094)),2)="T:",LEFT(UPPER(TRIM(A1094)),6)="TODAY:"),"T",IF(OR(LEFT(UPPER(TRIM(A1094)),2)="B:",LEFT(UPPER(TRIM(A1094)),8)="BLOCKER:",LEFT(UPPER(TRIM(A1094)),9)="BLOCKERS:",LEFT(UPPER(TRIM(A1094)),8)="BLOCKED:"),"B",""))))</f>
      </c>
      <c r="E1094" s="17">
        <f>IF(D1094="","",TRIM(MID(A1094,FIND(":",A1094)+1,500)))</f>
      </c>
    </row>
    <row r="1095">
      <c r="B1095" s="17">
        <f>IF(A1095="","",IF(COUNTIF(Roster[Name],IF(RIGHT(IF(LEFT(TRIM(A1095),1)="[",TRIM(MID(TRIM(A1095),FIND("]",TRIM(A1095)&amp;"]")+1,200)),TRIM(A1095)),1)=")",TRIM(LEFT(IF(LEFT(TRIM(A1095),1)="[",TRIM(MID(TRIM(A1095),FIND("]",TRIM(A1095)&amp;"]")+1,200)),TRIM(A1095)),FIND("(",IF(LEFT(TRIM(A1095),1)="[",TRIM(MID(TRIM(A1095),FIND("]",TRIM(A1095)&amp;"]")+1,200)),TRIM(A1095))&amp;"(")-1)),IF(LEFT(TRIM(A1095),1)="[",TRIM(MID(TRIM(A1095),FIND("]",TRIM(A1095)&amp;"]")+1,200)),TRIM(A1095))))&gt;0,IF(RIGHT(IF(LEFT(TRIM(A1095),1)="[",TRIM(MID(TRIM(A1095),FIND("]",TRIM(A1095)&amp;"]")+1,200)),TRIM(A1095)),1)=")",TRIM(LEFT(IF(LEFT(TRIM(A1095),1)="[",TRIM(MID(TRIM(A1095),FIND("]",TRIM(A1095)&amp;"]")+1,200)),TRIM(A1095)),FIND("(",IF(LEFT(TRIM(A1095),1)="[",TRIM(MID(TRIM(A1095),FIND("]",TRIM(A1095)&amp;"]")+1,200)),TRIM(A1095))&amp;"(")-1)),IF(LEFT(TRIM(A1095),1)="[",TRIM(MID(TRIM(A1095),FIND("]",TRIM(A1095)&amp;"]")+1,200)),TRIM(A1095))),""))</f>
      </c>
      <c r="C1095" s="17">
        <f>IF(B1095&lt;&gt;"",B1095,C1094)</f>
      </c>
      <c r="D1095" s="17">
        <f>IF(A1095="","",IF(OR(LEFT(UPPER(TRIM(A1095)),2)="Y:",LEFT(UPPER(TRIM(A1095)),10)="YESTERDAY:"),"Y",IF(OR(LEFT(UPPER(TRIM(A1095)),2)="T:",LEFT(UPPER(TRIM(A1095)),6)="TODAY:"),"T",IF(OR(LEFT(UPPER(TRIM(A1095)),2)="B:",LEFT(UPPER(TRIM(A1095)),8)="BLOCKER:",LEFT(UPPER(TRIM(A1095)),9)="BLOCKERS:",LEFT(UPPER(TRIM(A1095)),8)="BLOCKED:"),"B",""))))</f>
      </c>
      <c r="E1095" s="17">
        <f>IF(D1095="","",TRIM(MID(A1095,FIND(":",A1095)+1,500)))</f>
      </c>
    </row>
    <row r="1096">
      <c r="B1096" s="17">
        <f>IF(A1096="","",IF(COUNTIF(Roster[Name],IF(RIGHT(IF(LEFT(TRIM(A1096),1)="[",TRIM(MID(TRIM(A1096),FIND("]",TRIM(A1096)&amp;"]")+1,200)),TRIM(A1096)),1)=")",TRIM(LEFT(IF(LEFT(TRIM(A1096),1)="[",TRIM(MID(TRIM(A1096),FIND("]",TRIM(A1096)&amp;"]")+1,200)),TRIM(A1096)),FIND("(",IF(LEFT(TRIM(A1096),1)="[",TRIM(MID(TRIM(A1096),FIND("]",TRIM(A1096)&amp;"]")+1,200)),TRIM(A1096))&amp;"(")-1)),IF(LEFT(TRIM(A1096),1)="[",TRIM(MID(TRIM(A1096),FIND("]",TRIM(A1096)&amp;"]")+1,200)),TRIM(A1096))))&gt;0,IF(RIGHT(IF(LEFT(TRIM(A1096),1)="[",TRIM(MID(TRIM(A1096),FIND("]",TRIM(A1096)&amp;"]")+1,200)),TRIM(A1096)),1)=")",TRIM(LEFT(IF(LEFT(TRIM(A1096),1)="[",TRIM(MID(TRIM(A1096),FIND("]",TRIM(A1096)&amp;"]")+1,200)),TRIM(A1096)),FIND("(",IF(LEFT(TRIM(A1096),1)="[",TRIM(MID(TRIM(A1096),FIND("]",TRIM(A1096)&amp;"]")+1,200)),TRIM(A1096))&amp;"(")-1)),IF(LEFT(TRIM(A1096),1)="[",TRIM(MID(TRIM(A1096),FIND("]",TRIM(A1096)&amp;"]")+1,200)),TRIM(A1096))),""))</f>
      </c>
      <c r="C1096" s="17">
        <f>IF(B1096&lt;&gt;"",B1096,C1095)</f>
      </c>
      <c r="D1096" s="17">
        <f>IF(A1096="","",IF(OR(LEFT(UPPER(TRIM(A1096)),2)="Y:",LEFT(UPPER(TRIM(A1096)),10)="YESTERDAY:"),"Y",IF(OR(LEFT(UPPER(TRIM(A1096)),2)="T:",LEFT(UPPER(TRIM(A1096)),6)="TODAY:"),"T",IF(OR(LEFT(UPPER(TRIM(A1096)),2)="B:",LEFT(UPPER(TRIM(A1096)),8)="BLOCKER:",LEFT(UPPER(TRIM(A1096)),9)="BLOCKERS:",LEFT(UPPER(TRIM(A1096)),8)="BLOCKED:"),"B",""))))</f>
      </c>
      <c r="E1096" s="17">
        <f>IF(D1096="","",TRIM(MID(A1096,FIND(":",A1096)+1,500)))</f>
      </c>
    </row>
    <row r="1097">
      <c r="B1097" s="17">
        <f>IF(A1097="","",IF(COUNTIF(Roster[Name],IF(RIGHT(IF(LEFT(TRIM(A1097),1)="[",TRIM(MID(TRIM(A1097),FIND("]",TRIM(A1097)&amp;"]")+1,200)),TRIM(A1097)),1)=")",TRIM(LEFT(IF(LEFT(TRIM(A1097),1)="[",TRIM(MID(TRIM(A1097),FIND("]",TRIM(A1097)&amp;"]")+1,200)),TRIM(A1097)),FIND("(",IF(LEFT(TRIM(A1097),1)="[",TRIM(MID(TRIM(A1097),FIND("]",TRIM(A1097)&amp;"]")+1,200)),TRIM(A1097))&amp;"(")-1)),IF(LEFT(TRIM(A1097),1)="[",TRIM(MID(TRIM(A1097),FIND("]",TRIM(A1097)&amp;"]")+1,200)),TRIM(A1097))))&gt;0,IF(RIGHT(IF(LEFT(TRIM(A1097),1)="[",TRIM(MID(TRIM(A1097),FIND("]",TRIM(A1097)&amp;"]")+1,200)),TRIM(A1097)),1)=")",TRIM(LEFT(IF(LEFT(TRIM(A1097),1)="[",TRIM(MID(TRIM(A1097),FIND("]",TRIM(A1097)&amp;"]")+1,200)),TRIM(A1097)),FIND("(",IF(LEFT(TRIM(A1097),1)="[",TRIM(MID(TRIM(A1097),FIND("]",TRIM(A1097)&amp;"]")+1,200)),TRIM(A1097))&amp;"(")-1)),IF(LEFT(TRIM(A1097),1)="[",TRIM(MID(TRIM(A1097),FIND("]",TRIM(A1097)&amp;"]")+1,200)),TRIM(A1097))),""))</f>
      </c>
      <c r="C1097" s="17">
        <f>IF(B1097&lt;&gt;"",B1097,C1096)</f>
      </c>
      <c r="D1097" s="17">
        <f>IF(A1097="","",IF(OR(LEFT(UPPER(TRIM(A1097)),2)="Y:",LEFT(UPPER(TRIM(A1097)),10)="YESTERDAY:"),"Y",IF(OR(LEFT(UPPER(TRIM(A1097)),2)="T:",LEFT(UPPER(TRIM(A1097)),6)="TODAY:"),"T",IF(OR(LEFT(UPPER(TRIM(A1097)),2)="B:",LEFT(UPPER(TRIM(A1097)),8)="BLOCKER:",LEFT(UPPER(TRIM(A1097)),9)="BLOCKERS:",LEFT(UPPER(TRIM(A1097)),8)="BLOCKED:"),"B",""))))</f>
      </c>
      <c r="E1097" s="17">
        <f>IF(D1097="","",TRIM(MID(A1097,FIND(":",A1097)+1,500)))</f>
      </c>
    </row>
    <row r="1098">
      <c r="B1098" s="17">
        <f>IF(A1098="","",IF(COUNTIF(Roster[Name],IF(RIGHT(IF(LEFT(TRIM(A1098),1)="[",TRIM(MID(TRIM(A1098),FIND("]",TRIM(A1098)&amp;"]")+1,200)),TRIM(A1098)),1)=")",TRIM(LEFT(IF(LEFT(TRIM(A1098),1)="[",TRIM(MID(TRIM(A1098),FIND("]",TRIM(A1098)&amp;"]")+1,200)),TRIM(A1098)),FIND("(",IF(LEFT(TRIM(A1098),1)="[",TRIM(MID(TRIM(A1098),FIND("]",TRIM(A1098)&amp;"]")+1,200)),TRIM(A1098))&amp;"(")-1)),IF(LEFT(TRIM(A1098),1)="[",TRIM(MID(TRIM(A1098),FIND("]",TRIM(A1098)&amp;"]")+1,200)),TRIM(A1098))))&gt;0,IF(RIGHT(IF(LEFT(TRIM(A1098),1)="[",TRIM(MID(TRIM(A1098),FIND("]",TRIM(A1098)&amp;"]")+1,200)),TRIM(A1098)),1)=")",TRIM(LEFT(IF(LEFT(TRIM(A1098),1)="[",TRIM(MID(TRIM(A1098),FIND("]",TRIM(A1098)&amp;"]")+1,200)),TRIM(A1098)),FIND("(",IF(LEFT(TRIM(A1098),1)="[",TRIM(MID(TRIM(A1098),FIND("]",TRIM(A1098)&amp;"]")+1,200)),TRIM(A1098))&amp;"(")-1)),IF(LEFT(TRIM(A1098),1)="[",TRIM(MID(TRIM(A1098),FIND("]",TRIM(A1098)&amp;"]")+1,200)),TRIM(A1098))),""))</f>
      </c>
      <c r="C1098" s="17">
        <f>IF(B1098&lt;&gt;"",B1098,C1097)</f>
      </c>
      <c r="D1098" s="17">
        <f>IF(A1098="","",IF(OR(LEFT(UPPER(TRIM(A1098)),2)="Y:",LEFT(UPPER(TRIM(A1098)),10)="YESTERDAY:"),"Y",IF(OR(LEFT(UPPER(TRIM(A1098)),2)="T:",LEFT(UPPER(TRIM(A1098)),6)="TODAY:"),"T",IF(OR(LEFT(UPPER(TRIM(A1098)),2)="B:",LEFT(UPPER(TRIM(A1098)),8)="BLOCKER:",LEFT(UPPER(TRIM(A1098)),9)="BLOCKERS:",LEFT(UPPER(TRIM(A1098)),8)="BLOCKED:"),"B",""))))</f>
      </c>
      <c r="E1098" s="17">
        <f>IF(D1098="","",TRIM(MID(A1098,FIND(":",A1098)+1,500)))</f>
      </c>
    </row>
    <row r="1099">
      <c r="B1099" s="17">
        <f>IF(A1099="","",IF(COUNTIF(Roster[Name],IF(RIGHT(IF(LEFT(TRIM(A1099),1)="[",TRIM(MID(TRIM(A1099),FIND("]",TRIM(A1099)&amp;"]")+1,200)),TRIM(A1099)),1)=")",TRIM(LEFT(IF(LEFT(TRIM(A1099),1)="[",TRIM(MID(TRIM(A1099),FIND("]",TRIM(A1099)&amp;"]")+1,200)),TRIM(A1099)),FIND("(",IF(LEFT(TRIM(A1099),1)="[",TRIM(MID(TRIM(A1099),FIND("]",TRIM(A1099)&amp;"]")+1,200)),TRIM(A1099))&amp;"(")-1)),IF(LEFT(TRIM(A1099),1)="[",TRIM(MID(TRIM(A1099),FIND("]",TRIM(A1099)&amp;"]")+1,200)),TRIM(A1099))))&gt;0,IF(RIGHT(IF(LEFT(TRIM(A1099),1)="[",TRIM(MID(TRIM(A1099),FIND("]",TRIM(A1099)&amp;"]")+1,200)),TRIM(A1099)),1)=")",TRIM(LEFT(IF(LEFT(TRIM(A1099),1)="[",TRIM(MID(TRIM(A1099),FIND("]",TRIM(A1099)&amp;"]")+1,200)),TRIM(A1099)),FIND("(",IF(LEFT(TRIM(A1099),1)="[",TRIM(MID(TRIM(A1099),FIND("]",TRIM(A1099)&amp;"]")+1,200)),TRIM(A1099))&amp;"(")-1)),IF(LEFT(TRIM(A1099),1)="[",TRIM(MID(TRIM(A1099),FIND("]",TRIM(A1099)&amp;"]")+1,200)),TRIM(A1099))),""))</f>
      </c>
      <c r="C1099" s="17">
        <f>IF(B1099&lt;&gt;"",B1099,C1098)</f>
      </c>
      <c r="D1099" s="17">
        <f>IF(A1099="","",IF(OR(LEFT(UPPER(TRIM(A1099)),2)="Y:",LEFT(UPPER(TRIM(A1099)),10)="YESTERDAY:"),"Y",IF(OR(LEFT(UPPER(TRIM(A1099)),2)="T:",LEFT(UPPER(TRIM(A1099)),6)="TODAY:"),"T",IF(OR(LEFT(UPPER(TRIM(A1099)),2)="B:",LEFT(UPPER(TRIM(A1099)),8)="BLOCKER:",LEFT(UPPER(TRIM(A1099)),9)="BLOCKERS:",LEFT(UPPER(TRIM(A1099)),8)="BLOCKED:"),"B",""))))</f>
      </c>
      <c r="E1099" s="17">
        <f>IF(D1099="","",TRIM(MID(A1099,FIND(":",A1099)+1,500)))</f>
      </c>
    </row>
    <row r="1100">
      <c r="B1100" s="17">
        <f>IF(A1100="","",IF(COUNTIF(Roster[Name],IF(RIGHT(IF(LEFT(TRIM(A1100),1)="[",TRIM(MID(TRIM(A1100),FIND("]",TRIM(A1100)&amp;"]")+1,200)),TRIM(A1100)),1)=")",TRIM(LEFT(IF(LEFT(TRIM(A1100),1)="[",TRIM(MID(TRIM(A1100),FIND("]",TRIM(A1100)&amp;"]")+1,200)),TRIM(A1100)),FIND("(",IF(LEFT(TRIM(A1100),1)="[",TRIM(MID(TRIM(A1100),FIND("]",TRIM(A1100)&amp;"]")+1,200)),TRIM(A1100))&amp;"(")-1)),IF(LEFT(TRIM(A1100),1)="[",TRIM(MID(TRIM(A1100),FIND("]",TRIM(A1100)&amp;"]")+1,200)),TRIM(A1100))))&gt;0,IF(RIGHT(IF(LEFT(TRIM(A1100),1)="[",TRIM(MID(TRIM(A1100),FIND("]",TRIM(A1100)&amp;"]")+1,200)),TRIM(A1100)),1)=")",TRIM(LEFT(IF(LEFT(TRIM(A1100),1)="[",TRIM(MID(TRIM(A1100),FIND("]",TRIM(A1100)&amp;"]")+1,200)),TRIM(A1100)),FIND("(",IF(LEFT(TRIM(A1100),1)="[",TRIM(MID(TRIM(A1100),FIND("]",TRIM(A1100)&amp;"]")+1,200)),TRIM(A1100))&amp;"(")-1)),IF(LEFT(TRIM(A1100),1)="[",TRIM(MID(TRIM(A1100),FIND("]",TRIM(A1100)&amp;"]")+1,200)),TRIM(A1100))),""))</f>
      </c>
      <c r="C1100" s="17">
        <f>IF(B1100&lt;&gt;"",B1100,C1099)</f>
      </c>
      <c r="D1100" s="17">
        <f>IF(A1100="","",IF(OR(LEFT(UPPER(TRIM(A1100)),2)="Y:",LEFT(UPPER(TRIM(A1100)),10)="YESTERDAY:"),"Y",IF(OR(LEFT(UPPER(TRIM(A1100)),2)="T:",LEFT(UPPER(TRIM(A1100)),6)="TODAY:"),"T",IF(OR(LEFT(UPPER(TRIM(A1100)),2)="B:",LEFT(UPPER(TRIM(A1100)),8)="BLOCKER:",LEFT(UPPER(TRIM(A1100)),9)="BLOCKERS:",LEFT(UPPER(TRIM(A1100)),8)="BLOCKED:"),"B",""))))</f>
      </c>
      <c r="E1100" s="17">
        <f>IF(D1100="","",TRIM(MID(A1100,FIND(":",A1100)+1,500)))</f>
      </c>
    </row>
    <row r="1101">
      <c r="B1101" s="17">
        <f>IF(A1101="","",IF(COUNTIF(Roster[Name],IF(RIGHT(IF(LEFT(TRIM(A1101),1)="[",TRIM(MID(TRIM(A1101),FIND("]",TRIM(A1101)&amp;"]")+1,200)),TRIM(A1101)),1)=")",TRIM(LEFT(IF(LEFT(TRIM(A1101),1)="[",TRIM(MID(TRIM(A1101),FIND("]",TRIM(A1101)&amp;"]")+1,200)),TRIM(A1101)),FIND("(",IF(LEFT(TRIM(A1101),1)="[",TRIM(MID(TRIM(A1101),FIND("]",TRIM(A1101)&amp;"]")+1,200)),TRIM(A1101))&amp;"(")-1)),IF(LEFT(TRIM(A1101),1)="[",TRIM(MID(TRIM(A1101),FIND("]",TRIM(A1101)&amp;"]")+1,200)),TRIM(A1101))))&gt;0,IF(RIGHT(IF(LEFT(TRIM(A1101),1)="[",TRIM(MID(TRIM(A1101),FIND("]",TRIM(A1101)&amp;"]")+1,200)),TRIM(A1101)),1)=")",TRIM(LEFT(IF(LEFT(TRIM(A1101),1)="[",TRIM(MID(TRIM(A1101),FIND("]",TRIM(A1101)&amp;"]")+1,200)),TRIM(A1101)),FIND("(",IF(LEFT(TRIM(A1101),1)="[",TRIM(MID(TRIM(A1101),FIND("]",TRIM(A1101)&amp;"]")+1,200)),TRIM(A1101))&amp;"(")-1)),IF(LEFT(TRIM(A1101),1)="[",TRIM(MID(TRIM(A1101),FIND("]",TRIM(A1101)&amp;"]")+1,200)),TRIM(A1101))),""))</f>
      </c>
      <c r="C1101" s="17">
        <f>IF(B1101&lt;&gt;"",B1101,C1100)</f>
      </c>
      <c r="D1101" s="17">
        <f>IF(A1101="","",IF(OR(LEFT(UPPER(TRIM(A1101)),2)="Y:",LEFT(UPPER(TRIM(A1101)),10)="YESTERDAY:"),"Y",IF(OR(LEFT(UPPER(TRIM(A1101)),2)="T:",LEFT(UPPER(TRIM(A1101)),6)="TODAY:"),"T",IF(OR(LEFT(UPPER(TRIM(A1101)),2)="B:",LEFT(UPPER(TRIM(A1101)),8)="BLOCKER:",LEFT(UPPER(TRIM(A1101)),9)="BLOCKERS:",LEFT(UPPER(TRIM(A1101)),8)="BLOCKED:"),"B",""))))</f>
      </c>
      <c r="E1101" s="17">
        <f>IF(D1101="","",TRIM(MID(A1101,FIND(":",A1101)+1,500)))</f>
      </c>
    </row>
    <row r="1102">
      <c r="B1102" s="17">
        <f>IF(A1102="","",IF(COUNTIF(Roster[Name],IF(RIGHT(IF(LEFT(TRIM(A1102),1)="[",TRIM(MID(TRIM(A1102),FIND("]",TRIM(A1102)&amp;"]")+1,200)),TRIM(A1102)),1)=")",TRIM(LEFT(IF(LEFT(TRIM(A1102),1)="[",TRIM(MID(TRIM(A1102),FIND("]",TRIM(A1102)&amp;"]")+1,200)),TRIM(A1102)),FIND("(",IF(LEFT(TRIM(A1102),1)="[",TRIM(MID(TRIM(A1102),FIND("]",TRIM(A1102)&amp;"]")+1,200)),TRIM(A1102))&amp;"(")-1)),IF(LEFT(TRIM(A1102),1)="[",TRIM(MID(TRIM(A1102),FIND("]",TRIM(A1102)&amp;"]")+1,200)),TRIM(A1102))))&gt;0,IF(RIGHT(IF(LEFT(TRIM(A1102),1)="[",TRIM(MID(TRIM(A1102),FIND("]",TRIM(A1102)&amp;"]")+1,200)),TRIM(A1102)),1)=")",TRIM(LEFT(IF(LEFT(TRIM(A1102),1)="[",TRIM(MID(TRIM(A1102),FIND("]",TRIM(A1102)&amp;"]")+1,200)),TRIM(A1102)),FIND("(",IF(LEFT(TRIM(A1102),1)="[",TRIM(MID(TRIM(A1102),FIND("]",TRIM(A1102)&amp;"]")+1,200)),TRIM(A1102))&amp;"(")-1)),IF(LEFT(TRIM(A1102),1)="[",TRIM(MID(TRIM(A1102),FIND("]",TRIM(A1102)&amp;"]")+1,200)),TRIM(A1102))),""))</f>
      </c>
      <c r="C1102" s="17">
        <f>IF(B1102&lt;&gt;"",B1102,C1101)</f>
      </c>
      <c r="D1102" s="17">
        <f>IF(A1102="","",IF(OR(LEFT(UPPER(TRIM(A1102)),2)="Y:",LEFT(UPPER(TRIM(A1102)),10)="YESTERDAY:"),"Y",IF(OR(LEFT(UPPER(TRIM(A1102)),2)="T:",LEFT(UPPER(TRIM(A1102)),6)="TODAY:"),"T",IF(OR(LEFT(UPPER(TRIM(A1102)),2)="B:",LEFT(UPPER(TRIM(A1102)),8)="BLOCKER:",LEFT(UPPER(TRIM(A1102)),9)="BLOCKERS:",LEFT(UPPER(TRIM(A1102)),8)="BLOCKED:"),"B",""))))</f>
      </c>
      <c r="E1102" s="17">
        <f>IF(D1102="","",TRIM(MID(A1102,FIND(":",A1102)+1,500)))</f>
      </c>
    </row>
    <row r="1103">
      <c r="B1103" s="17">
        <f>IF(A1103="","",IF(COUNTIF(Roster[Name],IF(RIGHT(IF(LEFT(TRIM(A1103),1)="[",TRIM(MID(TRIM(A1103),FIND("]",TRIM(A1103)&amp;"]")+1,200)),TRIM(A1103)),1)=")",TRIM(LEFT(IF(LEFT(TRIM(A1103),1)="[",TRIM(MID(TRIM(A1103),FIND("]",TRIM(A1103)&amp;"]")+1,200)),TRIM(A1103)),FIND("(",IF(LEFT(TRIM(A1103),1)="[",TRIM(MID(TRIM(A1103),FIND("]",TRIM(A1103)&amp;"]")+1,200)),TRIM(A1103))&amp;"(")-1)),IF(LEFT(TRIM(A1103),1)="[",TRIM(MID(TRIM(A1103),FIND("]",TRIM(A1103)&amp;"]")+1,200)),TRIM(A1103))))&gt;0,IF(RIGHT(IF(LEFT(TRIM(A1103),1)="[",TRIM(MID(TRIM(A1103),FIND("]",TRIM(A1103)&amp;"]")+1,200)),TRIM(A1103)),1)=")",TRIM(LEFT(IF(LEFT(TRIM(A1103),1)="[",TRIM(MID(TRIM(A1103),FIND("]",TRIM(A1103)&amp;"]")+1,200)),TRIM(A1103)),FIND("(",IF(LEFT(TRIM(A1103),1)="[",TRIM(MID(TRIM(A1103),FIND("]",TRIM(A1103)&amp;"]")+1,200)),TRIM(A1103))&amp;"(")-1)),IF(LEFT(TRIM(A1103),1)="[",TRIM(MID(TRIM(A1103),FIND("]",TRIM(A1103)&amp;"]")+1,200)),TRIM(A1103))),""))</f>
      </c>
      <c r="C1103" s="17">
        <f>IF(B1103&lt;&gt;"",B1103,C1102)</f>
      </c>
      <c r="D1103" s="17">
        <f>IF(A1103="","",IF(OR(LEFT(UPPER(TRIM(A1103)),2)="Y:",LEFT(UPPER(TRIM(A1103)),10)="YESTERDAY:"),"Y",IF(OR(LEFT(UPPER(TRIM(A1103)),2)="T:",LEFT(UPPER(TRIM(A1103)),6)="TODAY:"),"T",IF(OR(LEFT(UPPER(TRIM(A1103)),2)="B:",LEFT(UPPER(TRIM(A1103)),8)="BLOCKER:",LEFT(UPPER(TRIM(A1103)),9)="BLOCKERS:",LEFT(UPPER(TRIM(A1103)),8)="BLOCKED:"),"B",""))))</f>
      </c>
      <c r="E1103" s="17">
        <f>IF(D1103="","",TRIM(MID(A1103,FIND(":",A1103)+1,500)))</f>
      </c>
    </row>
    <row r="1104">
      <c r="B1104" s="17">
        <f>IF(A1104="","",IF(COUNTIF(Roster[Name],IF(RIGHT(IF(LEFT(TRIM(A1104),1)="[",TRIM(MID(TRIM(A1104),FIND("]",TRIM(A1104)&amp;"]")+1,200)),TRIM(A1104)),1)=")",TRIM(LEFT(IF(LEFT(TRIM(A1104),1)="[",TRIM(MID(TRIM(A1104),FIND("]",TRIM(A1104)&amp;"]")+1,200)),TRIM(A1104)),FIND("(",IF(LEFT(TRIM(A1104),1)="[",TRIM(MID(TRIM(A1104),FIND("]",TRIM(A1104)&amp;"]")+1,200)),TRIM(A1104))&amp;"(")-1)),IF(LEFT(TRIM(A1104),1)="[",TRIM(MID(TRIM(A1104),FIND("]",TRIM(A1104)&amp;"]")+1,200)),TRIM(A1104))))&gt;0,IF(RIGHT(IF(LEFT(TRIM(A1104),1)="[",TRIM(MID(TRIM(A1104),FIND("]",TRIM(A1104)&amp;"]")+1,200)),TRIM(A1104)),1)=")",TRIM(LEFT(IF(LEFT(TRIM(A1104),1)="[",TRIM(MID(TRIM(A1104),FIND("]",TRIM(A1104)&amp;"]")+1,200)),TRIM(A1104)),FIND("(",IF(LEFT(TRIM(A1104),1)="[",TRIM(MID(TRIM(A1104),FIND("]",TRIM(A1104)&amp;"]")+1,200)),TRIM(A1104))&amp;"(")-1)),IF(LEFT(TRIM(A1104),1)="[",TRIM(MID(TRIM(A1104),FIND("]",TRIM(A1104)&amp;"]")+1,200)),TRIM(A1104))),""))</f>
      </c>
      <c r="C1104" s="17">
        <f>IF(B1104&lt;&gt;"",B1104,C1103)</f>
      </c>
      <c r="D1104" s="17">
        <f>IF(A1104="","",IF(OR(LEFT(UPPER(TRIM(A1104)),2)="Y:",LEFT(UPPER(TRIM(A1104)),10)="YESTERDAY:"),"Y",IF(OR(LEFT(UPPER(TRIM(A1104)),2)="T:",LEFT(UPPER(TRIM(A1104)),6)="TODAY:"),"T",IF(OR(LEFT(UPPER(TRIM(A1104)),2)="B:",LEFT(UPPER(TRIM(A1104)),8)="BLOCKER:",LEFT(UPPER(TRIM(A1104)),9)="BLOCKERS:",LEFT(UPPER(TRIM(A1104)),8)="BLOCKED:"),"B",""))))</f>
      </c>
      <c r="E1104" s="17">
        <f>IF(D1104="","",TRIM(MID(A1104,FIND(":",A1104)+1,500)))</f>
      </c>
    </row>
    <row r="1105">
      <c r="B1105" s="17">
        <f>IF(A1105="","",IF(COUNTIF(Roster[Name],IF(RIGHT(IF(LEFT(TRIM(A1105),1)="[",TRIM(MID(TRIM(A1105),FIND("]",TRIM(A1105)&amp;"]")+1,200)),TRIM(A1105)),1)=")",TRIM(LEFT(IF(LEFT(TRIM(A1105),1)="[",TRIM(MID(TRIM(A1105),FIND("]",TRIM(A1105)&amp;"]")+1,200)),TRIM(A1105)),FIND("(",IF(LEFT(TRIM(A1105),1)="[",TRIM(MID(TRIM(A1105),FIND("]",TRIM(A1105)&amp;"]")+1,200)),TRIM(A1105))&amp;"(")-1)),IF(LEFT(TRIM(A1105),1)="[",TRIM(MID(TRIM(A1105),FIND("]",TRIM(A1105)&amp;"]")+1,200)),TRIM(A1105))))&gt;0,IF(RIGHT(IF(LEFT(TRIM(A1105),1)="[",TRIM(MID(TRIM(A1105),FIND("]",TRIM(A1105)&amp;"]")+1,200)),TRIM(A1105)),1)=")",TRIM(LEFT(IF(LEFT(TRIM(A1105),1)="[",TRIM(MID(TRIM(A1105),FIND("]",TRIM(A1105)&amp;"]")+1,200)),TRIM(A1105)),FIND("(",IF(LEFT(TRIM(A1105),1)="[",TRIM(MID(TRIM(A1105),FIND("]",TRIM(A1105)&amp;"]")+1,200)),TRIM(A1105))&amp;"(")-1)),IF(LEFT(TRIM(A1105),1)="[",TRIM(MID(TRIM(A1105),FIND("]",TRIM(A1105)&amp;"]")+1,200)),TRIM(A1105))),""))</f>
      </c>
      <c r="C1105" s="17">
        <f>IF(B1105&lt;&gt;"",B1105,C1104)</f>
      </c>
      <c r="D1105" s="17">
        <f>IF(A1105="","",IF(OR(LEFT(UPPER(TRIM(A1105)),2)="Y:",LEFT(UPPER(TRIM(A1105)),10)="YESTERDAY:"),"Y",IF(OR(LEFT(UPPER(TRIM(A1105)),2)="T:",LEFT(UPPER(TRIM(A1105)),6)="TODAY:"),"T",IF(OR(LEFT(UPPER(TRIM(A1105)),2)="B:",LEFT(UPPER(TRIM(A1105)),8)="BLOCKER:",LEFT(UPPER(TRIM(A1105)),9)="BLOCKERS:",LEFT(UPPER(TRIM(A1105)),8)="BLOCKED:"),"B",""))))</f>
      </c>
      <c r="E1105" s="17">
        <f>IF(D1105="","",TRIM(MID(A1105,FIND(":",A1105)+1,500)))</f>
      </c>
    </row>
    <row r="1106">
      <c r="B1106" s="17">
        <f>IF(A1106="","",IF(COUNTIF(Roster[Name],IF(RIGHT(IF(LEFT(TRIM(A1106),1)="[",TRIM(MID(TRIM(A1106),FIND("]",TRIM(A1106)&amp;"]")+1,200)),TRIM(A1106)),1)=")",TRIM(LEFT(IF(LEFT(TRIM(A1106),1)="[",TRIM(MID(TRIM(A1106),FIND("]",TRIM(A1106)&amp;"]")+1,200)),TRIM(A1106)),FIND("(",IF(LEFT(TRIM(A1106),1)="[",TRIM(MID(TRIM(A1106),FIND("]",TRIM(A1106)&amp;"]")+1,200)),TRIM(A1106))&amp;"(")-1)),IF(LEFT(TRIM(A1106),1)="[",TRIM(MID(TRIM(A1106),FIND("]",TRIM(A1106)&amp;"]")+1,200)),TRIM(A1106))))&gt;0,IF(RIGHT(IF(LEFT(TRIM(A1106),1)="[",TRIM(MID(TRIM(A1106),FIND("]",TRIM(A1106)&amp;"]")+1,200)),TRIM(A1106)),1)=")",TRIM(LEFT(IF(LEFT(TRIM(A1106),1)="[",TRIM(MID(TRIM(A1106),FIND("]",TRIM(A1106)&amp;"]")+1,200)),TRIM(A1106)),FIND("(",IF(LEFT(TRIM(A1106),1)="[",TRIM(MID(TRIM(A1106),FIND("]",TRIM(A1106)&amp;"]")+1,200)),TRIM(A1106))&amp;"(")-1)),IF(LEFT(TRIM(A1106),1)="[",TRIM(MID(TRIM(A1106),FIND("]",TRIM(A1106)&amp;"]")+1,200)),TRIM(A1106))),""))</f>
      </c>
      <c r="C1106" s="17">
        <f>IF(B1106&lt;&gt;"",B1106,C1105)</f>
      </c>
      <c r="D1106" s="17">
        <f>IF(A1106="","",IF(OR(LEFT(UPPER(TRIM(A1106)),2)="Y:",LEFT(UPPER(TRIM(A1106)),10)="YESTERDAY:"),"Y",IF(OR(LEFT(UPPER(TRIM(A1106)),2)="T:",LEFT(UPPER(TRIM(A1106)),6)="TODAY:"),"T",IF(OR(LEFT(UPPER(TRIM(A1106)),2)="B:",LEFT(UPPER(TRIM(A1106)),8)="BLOCKER:",LEFT(UPPER(TRIM(A1106)),9)="BLOCKERS:",LEFT(UPPER(TRIM(A1106)),8)="BLOCKED:"),"B",""))))</f>
      </c>
      <c r="E1106" s="17">
        <f>IF(D1106="","",TRIM(MID(A1106,FIND(":",A1106)+1,500)))</f>
      </c>
    </row>
    <row r="1107">
      <c r="B1107" s="17">
        <f>IF(A1107="","",IF(COUNTIF(Roster[Name],IF(RIGHT(IF(LEFT(TRIM(A1107),1)="[",TRIM(MID(TRIM(A1107),FIND("]",TRIM(A1107)&amp;"]")+1,200)),TRIM(A1107)),1)=")",TRIM(LEFT(IF(LEFT(TRIM(A1107),1)="[",TRIM(MID(TRIM(A1107),FIND("]",TRIM(A1107)&amp;"]")+1,200)),TRIM(A1107)),FIND("(",IF(LEFT(TRIM(A1107),1)="[",TRIM(MID(TRIM(A1107),FIND("]",TRIM(A1107)&amp;"]")+1,200)),TRIM(A1107))&amp;"(")-1)),IF(LEFT(TRIM(A1107),1)="[",TRIM(MID(TRIM(A1107),FIND("]",TRIM(A1107)&amp;"]")+1,200)),TRIM(A1107))))&gt;0,IF(RIGHT(IF(LEFT(TRIM(A1107),1)="[",TRIM(MID(TRIM(A1107),FIND("]",TRIM(A1107)&amp;"]")+1,200)),TRIM(A1107)),1)=")",TRIM(LEFT(IF(LEFT(TRIM(A1107),1)="[",TRIM(MID(TRIM(A1107),FIND("]",TRIM(A1107)&amp;"]")+1,200)),TRIM(A1107)),FIND("(",IF(LEFT(TRIM(A1107),1)="[",TRIM(MID(TRIM(A1107),FIND("]",TRIM(A1107)&amp;"]")+1,200)),TRIM(A1107))&amp;"(")-1)),IF(LEFT(TRIM(A1107),1)="[",TRIM(MID(TRIM(A1107),FIND("]",TRIM(A1107)&amp;"]")+1,200)),TRIM(A1107))),""))</f>
      </c>
      <c r="C1107" s="17">
        <f>IF(B1107&lt;&gt;"",B1107,C1106)</f>
      </c>
      <c r="D1107" s="17">
        <f>IF(A1107="","",IF(OR(LEFT(UPPER(TRIM(A1107)),2)="Y:",LEFT(UPPER(TRIM(A1107)),10)="YESTERDAY:"),"Y",IF(OR(LEFT(UPPER(TRIM(A1107)),2)="T:",LEFT(UPPER(TRIM(A1107)),6)="TODAY:"),"T",IF(OR(LEFT(UPPER(TRIM(A1107)),2)="B:",LEFT(UPPER(TRIM(A1107)),8)="BLOCKER:",LEFT(UPPER(TRIM(A1107)),9)="BLOCKERS:",LEFT(UPPER(TRIM(A1107)),8)="BLOCKED:"),"B",""))))</f>
      </c>
      <c r="E1107" s="17">
        <f>IF(D1107="","",TRIM(MID(A1107,FIND(":",A1107)+1,500)))</f>
      </c>
    </row>
    <row r="1108">
      <c r="B1108" s="17">
        <f>IF(A1108="","",IF(COUNTIF(Roster[Name],IF(RIGHT(IF(LEFT(TRIM(A1108),1)="[",TRIM(MID(TRIM(A1108),FIND("]",TRIM(A1108)&amp;"]")+1,200)),TRIM(A1108)),1)=")",TRIM(LEFT(IF(LEFT(TRIM(A1108),1)="[",TRIM(MID(TRIM(A1108),FIND("]",TRIM(A1108)&amp;"]")+1,200)),TRIM(A1108)),FIND("(",IF(LEFT(TRIM(A1108),1)="[",TRIM(MID(TRIM(A1108),FIND("]",TRIM(A1108)&amp;"]")+1,200)),TRIM(A1108))&amp;"(")-1)),IF(LEFT(TRIM(A1108),1)="[",TRIM(MID(TRIM(A1108),FIND("]",TRIM(A1108)&amp;"]")+1,200)),TRIM(A1108))))&gt;0,IF(RIGHT(IF(LEFT(TRIM(A1108),1)="[",TRIM(MID(TRIM(A1108),FIND("]",TRIM(A1108)&amp;"]")+1,200)),TRIM(A1108)),1)=")",TRIM(LEFT(IF(LEFT(TRIM(A1108),1)="[",TRIM(MID(TRIM(A1108),FIND("]",TRIM(A1108)&amp;"]")+1,200)),TRIM(A1108)),FIND("(",IF(LEFT(TRIM(A1108),1)="[",TRIM(MID(TRIM(A1108),FIND("]",TRIM(A1108)&amp;"]")+1,200)),TRIM(A1108))&amp;"(")-1)),IF(LEFT(TRIM(A1108),1)="[",TRIM(MID(TRIM(A1108),FIND("]",TRIM(A1108)&amp;"]")+1,200)),TRIM(A1108))),""))</f>
      </c>
      <c r="C1108" s="17">
        <f>IF(B1108&lt;&gt;"",B1108,C1107)</f>
      </c>
      <c r="D1108" s="17">
        <f>IF(A1108="","",IF(OR(LEFT(UPPER(TRIM(A1108)),2)="Y:",LEFT(UPPER(TRIM(A1108)),10)="YESTERDAY:"),"Y",IF(OR(LEFT(UPPER(TRIM(A1108)),2)="T:",LEFT(UPPER(TRIM(A1108)),6)="TODAY:"),"T",IF(OR(LEFT(UPPER(TRIM(A1108)),2)="B:",LEFT(UPPER(TRIM(A1108)),8)="BLOCKER:",LEFT(UPPER(TRIM(A1108)),9)="BLOCKERS:",LEFT(UPPER(TRIM(A1108)),8)="BLOCKED:"),"B",""))))</f>
      </c>
      <c r="E1108" s="17">
        <f>IF(D1108="","",TRIM(MID(A1108,FIND(":",A1108)+1,500)))</f>
      </c>
    </row>
    <row r="1109">
      <c r="B1109" s="17">
        <f>IF(A1109="","",IF(COUNTIF(Roster[Name],IF(RIGHT(IF(LEFT(TRIM(A1109),1)="[",TRIM(MID(TRIM(A1109),FIND("]",TRIM(A1109)&amp;"]")+1,200)),TRIM(A1109)),1)=")",TRIM(LEFT(IF(LEFT(TRIM(A1109),1)="[",TRIM(MID(TRIM(A1109),FIND("]",TRIM(A1109)&amp;"]")+1,200)),TRIM(A1109)),FIND("(",IF(LEFT(TRIM(A1109),1)="[",TRIM(MID(TRIM(A1109),FIND("]",TRIM(A1109)&amp;"]")+1,200)),TRIM(A1109))&amp;"(")-1)),IF(LEFT(TRIM(A1109),1)="[",TRIM(MID(TRIM(A1109),FIND("]",TRIM(A1109)&amp;"]")+1,200)),TRIM(A1109))))&gt;0,IF(RIGHT(IF(LEFT(TRIM(A1109),1)="[",TRIM(MID(TRIM(A1109),FIND("]",TRIM(A1109)&amp;"]")+1,200)),TRIM(A1109)),1)=")",TRIM(LEFT(IF(LEFT(TRIM(A1109),1)="[",TRIM(MID(TRIM(A1109),FIND("]",TRIM(A1109)&amp;"]")+1,200)),TRIM(A1109)),FIND("(",IF(LEFT(TRIM(A1109),1)="[",TRIM(MID(TRIM(A1109),FIND("]",TRIM(A1109)&amp;"]")+1,200)),TRIM(A1109))&amp;"(")-1)),IF(LEFT(TRIM(A1109),1)="[",TRIM(MID(TRIM(A1109),FIND("]",TRIM(A1109)&amp;"]")+1,200)),TRIM(A1109))),""))</f>
      </c>
      <c r="C1109" s="17">
        <f>IF(B1109&lt;&gt;"",B1109,C1108)</f>
      </c>
      <c r="D1109" s="17">
        <f>IF(A1109="","",IF(OR(LEFT(UPPER(TRIM(A1109)),2)="Y:",LEFT(UPPER(TRIM(A1109)),10)="YESTERDAY:"),"Y",IF(OR(LEFT(UPPER(TRIM(A1109)),2)="T:",LEFT(UPPER(TRIM(A1109)),6)="TODAY:"),"T",IF(OR(LEFT(UPPER(TRIM(A1109)),2)="B:",LEFT(UPPER(TRIM(A1109)),8)="BLOCKER:",LEFT(UPPER(TRIM(A1109)),9)="BLOCKERS:",LEFT(UPPER(TRIM(A1109)),8)="BLOCKED:"),"B",""))))</f>
      </c>
      <c r="E1109" s="17">
        <f>IF(D1109="","",TRIM(MID(A1109,FIND(":",A1109)+1,500)))</f>
      </c>
    </row>
    <row r="1110">
      <c r="B1110" s="17">
        <f>IF(A1110="","",IF(COUNTIF(Roster[Name],IF(RIGHT(IF(LEFT(TRIM(A1110),1)="[",TRIM(MID(TRIM(A1110),FIND("]",TRIM(A1110)&amp;"]")+1,200)),TRIM(A1110)),1)=")",TRIM(LEFT(IF(LEFT(TRIM(A1110),1)="[",TRIM(MID(TRIM(A1110),FIND("]",TRIM(A1110)&amp;"]")+1,200)),TRIM(A1110)),FIND("(",IF(LEFT(TRIM(A1110),1)="[",TRIM(MID(TRIM(A1110),FIND("]",TRIM(A1110)&amp;"]")+1,200)),TRIM(A1110))&amp;"(")-1)),IF(LEFT(TRIM(A1110),1)="[",TRIM(MID(TRIM(A1110),FIND("]",TRIM(A1110)&amp;"]")+1,200)),TRIM(A1110))))&gt;0,IF(RIGHT(IF(LEFT(TRIM(A1110),1)="[",TRIM(MID(TRIM(A1110),FIND("]",TRIM(A1110)&amp;"]")+1,200)),TRIM(A1110)),1)=")",TRIM(LEFT(IF(LEFT(TRIM(A1110),1)="[",TRIM(MID(TRIM(A1110),FIND("]",TRIM(A1110)&amp;"]")+1,200)),TRIM(A1110)),FIND("(",IF(LEFT(TRIM(A1110),1)="[",TRIM(MID(TRIM(A1110),FIND("]",TRIM(A1110)&amp;"]")+1,200)),TRIM(A1110))&amp;"(")-1)),IF(LEFT(TRIM(A1110),1)="[",TRIM(MID(TRIM(A1110),FIND("]",TRIM(A1110)&amp;"]")+1,200)),TRIM(A1110))),""))</f>
      </c>
      <c r="C1110" s="17">
        <f>IF(B1110&lt;&gt;"",B1110,C1109)</f>
      </c>
      <c r="D1110" s="17">
        <f>IF(A1110="","",IF(OR(LEFT(UPPER(TRIM(A1110)),2)="Y:",LEFT(UPPER(TRIM(A1110)),10)="YESTERDAY:"),"Y",IF(OR(LEFT(UPPER(TRIM(A1110)),2)="T:",LEFT(UPPER(TRIM(A1110)),6)="TODAY:"),"T",IF(OR(LEFT(UPPER(TRIM(A1110)),2)="B:",LEFT(UPPER(TRIM(A1110)),8)="BLOCKER:",LEFT(UPPER(TRIM(A1110)),9)="BLOCKERS:",LEFT(UPPER(TRIM(A1110)),8)="BLOCKED:"),"B",""))))</f>
      </c>
      <c r="E1110" s="17">
        <f>IF(D1110="","",TRIM(MID(A1110,FIND(":",A1110)+1,500)))</f>
      </c>
    </row>
    <row r="1111">
      <c r="B1111" s="17">
        <f>IF(A1111="","",IF(COUNTIF(Roster[Name],IF(RIGHT(IF(LEFT(TRIM(A1111),1)="[",TRIM(MID(TRIM(A1111),FIND("]",TRIM(A1111)&amp;"]")+1,200)),TRIM(A1111)),1)=")",TRIM(LEFT(IF(LEFT(TRIM(A1111),1)="[",TRIM(MID(TRIM(A1111),FIND("]",TRIM(A1111)&amp;"]")+1,200)),TRIM(A1111)),FIND("(",IF(LEFT(TRIM(A1111),1)="[",TRIM(MID(TRIM(A1111),FIND("]",TRIM(A1111)&amp;"]")+1,200)),TRIM(A1111))&amp;"(")-1)),IF(LEFT(TRIM(A1111),1)="[",TRIM(MID(TRIM(A1111),FIND("]",TRIM(A1111)&amp;"]")+1,200)),TRIM(A1111))))&gt;0,IF(RIGHT(IF(LEFT(TRIM(A1111),1)="[",TRIM(MID(TRIM(A1111),FIND("]",TRIM(A1111)&amp;"]")+1,200)),TRIM(A1111)),1)=")",TRIM(LEFT(IF(LEFT(TRIM(A1111),1)="[",TRIM(MID(TRIM(A1111),FIND("]",TRIM(A1111)&amp;"]")+1,200)),TRIM(A1111)),FIND("(",IF(LEFT(TRIM(A1111),1)="[",TRIM(MID(TRIM(A1111),FIND("]",TRIM(A1111)&amp;"]")+1,200)),TRIM(A1111))&amp;"(")-1)),IF(LEFT(TRIM(A1111),1)="[",TRIM(MID(TRIM(A1111),FIND("]",TRIM(A1111)&amp;"]")+1,200)),TRIM(A1111))),""))</f>
      </c>
      <c r="C1111" s="17">
        <f>IF(B1111&lt;&gt;"",B1111,C1110)</f>
      </c>
      <c r="D1111" s="17">
        <f>IF(A1111="","",IF(OR(LEFT(UPPER(TRIM(A1111)),2)="Y:",LEFT(UPPER(TRIM(A1111)),10)="YESTERDAY:"),"Y",IF(OR(LEFT(UPPER(TRIM(A1111)),2)="T:",LEFT(UPPER(TRIM(A1111)),6)="TODAY:"),"T",IF(OR(LEFT(UPPER(TRIM(A1111)),2)="B:",LEFT(UPPER(TRIM(A1111)),8)="BLOCKER:",LEFT(UPPER(TRIM(A1111)),9)="BLOCKERS:",LEFT(UPPER(TRIM(A1111)),8)="BLOCKED:"),"B",""))))</f>
      </c>
      <c r="E1111" s="17">
        <f>IF(D1111="","",TRIM(MID(A1111,FIND(":",A1111)+1,500)))</f>
      </c>
    </row>
    <row r="1112">
      <c r="B1112" s="17">
        <f>IF(A1112="","",IF(COUNTIF(Roster[Name],IF(RIGHT(IF(LEFT(TRIM(A1112),1)="[",TRIM(MID(TRIM(A1112),FIND("]",TRIM(A1112)&amp;"]")+1,200)),TRIM(A1112)),1)=")",TRIM(LEFT(IF(LEFT(TRIM(A1112),1)="[",TRIM(MID(TRIM(A1112),FIND("]",TRIM(A1112)&amp;"]")+1,200)),TRIM(A1112)),FIND("(",IF(LEFT(TRIM(A1112),1)="[",TRIM(MID(TRIM(A1112),FIND("]",TRIM(A1112)&amp;"]")+1,200)),TRIM(A1112))&amp;"(")-1)),IF(LEFT(TRIM(A1112),1)="[",TRIM(MID(TRIM(A1112),FIND("]",TRIM(A1112)&amp;"]")+1,200)),TRIM(A1112))))&gt;0,IF(RIGHT(IF(LEFT(TRIM(A1112),1)="[",TRIM(MID(TRIM(A1112),FIND("]",TRIM(A1112)&amp;"]")+1,200)),TRIM(A1112)),1)=")",TRIM(LEFT(IF(LEFT(TRIM(A1112),1)="[",TRIM(MID(TRIM(A1112),FIND("]",TRIM(A1112)&amp;"]")+1,200)),TRIM(A1112)),FIND("(",IF(LEFT(TRIM(A1112),1)="[",TRIM(MID(TRIM(A1112),FIND("]",TRIM(A1112)&amp;"]")+1,200)),TRIM(A1112))&amp;"(")-1)),IF(LEFT(TRIM(A1112),1)="[",TRIM(MID(TRIM(A1112),FIND("]",TRIM(A1112)&amp;"]")+1,200)),TRIM(A1112))),""))</f>
      </c>
      <c r="C1112" s="17">
        <f>IF(B1112&lt;&gt;"",B1112,C1111)</f>
      </c>
      <c r="D1112" s="17">
        <f>IF(A1112="","",IF(OR(LEFT(UPPER(TRIM(A1112)),2)="Y:",LEFT(UPPER(TRIM(A1112)),10)="YESTERDAY:"),"Y",IF(OR(LEFT(UPPER(TRIM(A1112)),2)="T:",LEFT(UPPER(TRIM(A1112)),6)="TODAY:"),"T",IF(OR(LEFT(UPPER(TRIM(A1112)),2)="B:",LEFT(UPPER(TRIM(A1112)),8)="BLOCKER:",LEFT(UPPER(TRIM(A1112)),9)="BLOCKERS:",LEFT(UPPER(TRIM(A1112)),8)="BLOCKED:"),"B",""))))</f>
      </c>
      <c r="E1112" s="17">
        <f>IF(D1112="","",TRIM(MID(A1112,FIND(":",A1112)+1,500)))</f>
      </c>
    </row>
    <row r="1113">
      <c r="B1113" s="17">
        <f>IF(A1113="","",IF(COUNTIF(Roster[Name],IF(RIGHT(IF(LEFT(TRIM(A1113),1)="[",TRIM(MID(TRIM(A1113),FIND("]",TRIM(A1113)&amp;"]")+1,200)),TRIM(A1113)),1)=")",TRIM(LEFT(IF(LEFT(TRIM(A1113),1)="[",TRIM(MID(TRIM(A1113),FIND("]",TRIM(A1113)&amp;"]")+1,200)),TRIM(A1113)),FIND("(",IF(LEFT(TRIM(A1113),1)="[",TRIM(MID(TRIM(A1113),FIND("]",TRIM(A1113)&amp;"]")+1,200)),TRIM(A1113))&amp;"(")-1)),IF(LEFT(TRIM(A1113),1)="[",TRIM(MID(TRIM(A1113),FIND("]",TRIM(A1113)&amp;"]")+1,200)),TRIM(A1113))))&gt;0,IF(RIGHT(IF(LEFT(TRIM(A1113),1)="[",TRIM(MID(TRIM(A1113),FIND("]",TRIM(A1113)&amp;"]")+1,200)),TRIM(A1113)),1)=")",TRIM(LEFT(IF(LEFT(TRIM(A1113),1)="[",TRIM(MID(TRIM(A1113),FIND("]",TRIM(A1113)&amp;"]")+1,200)),TRIM(A1113)),FIND("(",IF(LEFT(TRIM(A1113),1)="[",TRIM(MID(TRIM(A1113),FIND("]",TRIM(A1113)&amp;"]")+1,200)),TRIM(A1113))&amp;"(")-1)),IF(LEFT(TRIM(A1113),1)="[",TRIM(MID(TRIM(A1113),FIND("]",TRIM(A1113)&amp;"]")+1,200)),TRIM(A1113))),""))</f>
      </c>
      <c r="C1113" s="17">
        <f>IF(B1113&lt;&gt;"",B1113,C1112)</f>
      </c>
      <c r="D1113" s="17">
        <f>IF(A1113="","",IF(OR(LEFT(UPPER(TRIM(A1113)),2)="Y:",LEFT(UPPER(TRIM(A1113)),10)="YESTERDAY:"),"Y",IF(OR(LEFT(UPPER(TRIM(A1113)),2)="T:",LEFT(UPPER(TRIM(A1113)),6)="TODAY:"),"T",IF(OR(LEFT(UPPER(TRIM(A1113)),2)="B:",LEFT(UPPER(TRIM(A1113)),8)="BLOCKER:",LEFT(UPPER(TRIM(A1113)),9)="BLOCKERS:",LEFT(UPPER(TRIM(A1113)),8)="BLOCKED:"),"B",""))))</f>
      </c>
      <c r="E1113" s="17">
        <f>IF(D1113="","",TRIM(MID(A1113,FIND(":",A1113)+1,500)))</f>
      </c>
    </row>
    <row r="1114">
      <c r="B1114" s="17">
        <f>IF(A1114="","",IF(COUNTIF(Roster[Name],IF(RIGHT(IF(LEFT(TRIM(A1114),1)="[",TRIM(MID(TRIM(A1114),FIND("]",TRIM(A1114)&amp;"]")+1,200)),TRIM(A1114)),1)=")",TRIM(LEFT(IF(LEFT(TRIM(A1114),1)="[",TRIM(MID(TRIM(A1114),FIND("]",TRIM(A1114)&amp;"]")+1,200)),TRIM(A1114)),FIND("(",IF(LEFT(TRIM(A1114),1)="[",TRIM(MID(TRIM(A1114),FIND("]",TRIM(A1114)&amp;"]")+1,200)),TRIM(A1114))&amp;"(")-1)),IF(LEFT(TRIM(A1114),1)="[",TRIM(MID(TRIM(A1114),FIND("]",TRIM(A1114)&amp;"]")+1,200)),TRIM(A1114))))&gt;0,IF(RIGHT(IF(LEFT(TRIM(A1114),1)="[",TRIM(MID(TRIM(A1114),FIND("]",TRIM(A1114)&amp;"]")+1,200)),TRIM(A1114)),1)=")",TRIM(LEFT(IF(LEFT(TRIM(A1114),1)="[",TRIM(MID(TRIM(A1114),FIND("]",TRIM(A1114)&amp;"]")+1,200)),TRIM(A1114)),FIND("(",IF(LEFT(TRIM(A1114),1)="[",TRIM(MID(TRIM(A1114),FIND("]",TRIM(A1114)&amp;"]")+1,200)),TRIM(A1114))&amp;"(")-1)),IF(LEFT(TRIM(A1114),1)="[",TRIM(MID(TRIM(A1114),FIND("]",TRIM(A1114)&amp;"]")+1,200)),TRIM(A1114))),""))</f>
      </c>
      <c r="C1114" s="17">
        <f>IF(B1114&lt;&gt;"",B1114,C1113)</f>
      </c>
      <c r="D1114" s="17">
        <f>IF(A1114="","",IF(OR(LEFT(UPPER(TRIM(A1114)),2)="Y:",LEFT(UPPER(TRIM(A1114)),10)="YESTERDAY:"),"Y",IF(OR(LEFT(UPPER(TRIM(A1114)),2)="T:",LEFT(UPPER(TRIM(A1114)),6)="TODAY:"),"T",IF(OR(LEFT(UPPER(TRIM(A1114)),2)="B:",LEFT(UPPER(TRIM(A1114)),8)="BLOCKER:",LEFT(UPPER(TRIM(A1114)),9)="BLOCKERS:",LEFT(UPPER(TRIM(A1114)),8)="BLOCKED:"),"B",""))))</f>
      </c>
      <c r="E1114" s="17">
        <f>IF(D1114="","",TRIM(MID(A1114,FIND(":",A1114)+1,500)))</f>
      </c>
    </row>
    <row r="1115">
      <c r="B1115" s="17">
        <f>IF(A1115="","",IF(COUNTIF(Roster[Name],IF(RIGHT(IF(LEFT(TRIM(A1115),1)="[",TRIM(MID(TRIM(A1115),FIND("]",TRIM(A1115)&amp;"]")+1,200)),TRIM(A1115)),1)=")",TRIM(LEFT(IF(LEFT(TRIM(A1115),1)="[",TRIM(MID(TRIM(A1115),FIND("]",TRIM(A1115)&amp;"]")+1,200)),TRIM(A1115)),FIND("(",IF(LEFT(TRIM(A1115),1)="[",TRIM(MID(TRIM(A1115),FIND("]",TRIM(A1115)&amp;"]")+1,200)),TRIM(A1115))&amp;"(")-1)),IF(LEFT(TRIM(A1115),1)="[",TRIM(MID(TRIM(A1115),FIND("]",TRIM(A1115)&amp;"]")+1,200)),TRIM(A1115))))&gt;0,IF(RIGHT(IF(LEFT(TRIM(A1115),1)="[",TRIM(MID(TRIM(A1115),FIND("]",TRIM(A1115)&amp;"]")+1,200)),TRIM(A1115)),1)=")",TRIM(LEFT(IF(LEFT(TRIM(A1115),1)="[",TRIM(MID(TRIM(A1115),FIND("]",TRIM(A1115)&amp;"]")+1,200)),TRIM(A1115)),FIND("(",IF(LEFT(TRIM(A1115),1)="[",TRIM(MID(TRIM(A1115),FIND("]",TRIM(A1115)&amp;"]")+1,200)),TRIM(A1115))&amp;"(")-1)),IF(LEFT(TRIM(A1115),1)="[",TRIM(MID(TRIM(A1115),FIND("]",TRIM(A1115)&amp;"]")+1,200)),TRIM(A1115))),""))</f>
      </c>
      <c r="C1115" s="17">
        <f>IF(B1115&lt;&gt;"",B1115,C1114)</f>
      </c>
      <c r="D1115" s="17">
        <f>IF(A1115="","",IF(OR(LEFT(UPPER(TRIM(A1115)),2)="Y:",LEFT(UPPER(TRIM(A1115)),10)="YESTERDAY:"),"Y",IF(OR(LEFT(UPPER(TRIM(A1115)),2)="T:",LEFT(UPPER(TRIM(A1115)),6)="TODAY:"),"T",IF(OR(LEFT(UPPER(TRIM(A1115)),2)="B:",LEFT(UPPER(TRIM(A1115)),8)="BLOCKER:",LEFT(UPPER(TRIM(A1115)),9)="BLOCKERS:",LEFT(UPPER(TRIM(A1115)),8)="BLOCKED:"),"B",""))))</f>
      </c>
      <c r="E1115" s="17">
        <f>IF(D1115="","",TRIM(MID(A1115,FIND(":",A1115)+1,500)))</f>
      </c>
    </row>
    <row r="1116">
      <c r="B1116" s="17">
        <f>IF(A1116="","",IF(COUNTIF(Roster[Name],IF(RIGHT(IF(LEFT(TRIM(A1116),1)="[",TRIM(MID(TRIM(A1116),FIND("]",TRIM(A1116)&amp;"]")+1,200)),TRIM(A1116)),1)=")",TRIM(LEFT(IF(LEFT(TRIM(A1116),1)="[",TRIM(MID(TRIM(A1116),FIND("]",TRIM(A1116)&amp;"]")+1,200)),TRIM(A1116)),FIND("(",IF(LEFT(TRIM(A1116),1)="[",TRIM(MID(TRIM(A1116),FIND("]",TRIM(A1116)&amp;"]")+1,200)),TRIM(A1116))&amp;"(")-1)),IF(LEFT(TRIM(A1116),1)="[",TRIM(MID(TRIM(A1116),FIND("]",TRIM(A1116)&amp;"]")+1,200)),TRIM(A1116))))&gt;0,IF(RIGHT(IF(LEFT(TRIM(A1116),1)="[",TRIM(MID(TRIM(A1116),FIND("]",TRIM(A1116)&amp;"]")+1,200)),TRIM(A1116)),1)=")",TRIM(LEFT(IF(LEFT(TRIM(A1116),1)="[",TRIM(MID(TRIM(A1116),FIND("]",TRIM(A1116)&amp;"]")+1,200)),TRIM(A1116)),FIND("(",IF(LEFT(TRIM(A1116),1)="[",TRIM(MID(TRIM(A1116),FIND("]",TRIM(A1116)&amp;"]")+1,200)),TRIM(A1116))&amp;"(")-1)),IF(LEFT(TRIM(A1116),1)="[",TRIM(MID(TRIM(A1116),FIND("]",TRIM(A1116)&amp;"]")+1,200)),TRIM(A1116))),""))</f>
      </c>
      <c r="C1116" s="17">
        <f>IF(B1116&lt;&gt;"",B1116,C1115)</f>
      </c>
      <c r="D1116" s="17">
        <f>IF(A1116="","",IF(OR(LEFT(UPPER(TRIM(A1116)),2)="Y:",LEFT(UPPER(TRIM(A1116)),10)="YESTERDAY:"),"Y",IF(OR(LEFT(UPPER(TRIM(A1116)),2)="T:",LEFT(UPPER(TRIM(A1116)),6)="TODAY:"),"T",IF(OR(LEFT(UPPER(TRIM(A1116)),2)="B:",LEFT(UPPER(TRIM(A1116)),8)="BLOCKER:",LEFT(UPPER(TRIM(A1116)),9)="BLOCKERS:",LEFT(UPPER(TRIM(A1116)),8)="BLOCKED:"),"B",""))))</f>
      </c>
      <c r="E1116" s="17">
        <f>IF(D1116="","",TRIM(MID(A1116,FIND(":",A1116)+1,500)))</f>
      </c>
    </row>
    <row r="1117">
      <c r="B1117" s="17">
        <f>IF(A1117="","",IF(COUNTIF(Roster[Name],IF(RIGHT(IF(LEFT(TRIM(A1117),1)="[",TRIM(MID(TRIM(A1117),FIND("]",TRIM(A1117)&amp;"]")+1,200)),TRIM(A1117)),1)=")",TRIM(LEFT(IF(LEFT(TRIM(A1117),1)="[",TRIM(MID(TRIM(A1117),FIND("]",TRIM(A1117)&amp;"]")+1,200)),TRIM(A1117)),FIND("(",IF(LEFT(TRIM(A1117),1)="[",TRIM(MID(TRIM(A1117),FIND("]",TRIM(A1117)&amp;"]")+1,200)),TRIM(A1117))&amp;"(")-1)),IF(LEFT(TRIM(A1117),1)="[",TRIM(MID(TRIM(A1117),FIND("]",TRIM(A1117)&amp;"]")+1,200)),TRIM(A1117))))&gt;0,IF(RIGHT(IF(LEFT(TRIM(A1117),1)="[",TRIM(MID(TRIM(A1117),FIND("]",TRIM(A1117)&amp;"]")+1,200)),TRIM(A1117)),1)=")",TRIM(LEFT(IF(LEFT(TRIM(A1117),1)="[",TRIM(MID(TRIM(A1117),FIND("]",TRIM(A1117)&amp;"]")+1,200)),TRIM(A1117)),FIND("(",IF(LEFT(TRIM(A1117),1)="[",TRIM(MID(TRIM(A1117),FIND("]",TRIM(A1117)&amp;"]")+1,200)),TRIM(A1117))&amp;"(")-1)),IF(LEFT(TRIM(A1117),1)="[",TRIM(MID(TRIM(A1117),FIND("]",TRIM(A1117)&amp;"]")+1,200)),TRIM(A1117))),""))</f>
      </c>
      <c r="C1117" s="17">
        <f>IF(B1117&lt;&gt;"",B1117,C1116)</f>
      </c>
      <c r="D1117" s="17">
        <f>IF(A1117="","",IF(OR(LEFT(UPPER(TRIM(A1117)),2)="Y:",LEFT(UPPER(TRIM(A1117)),10)="YESTERDAY:"),"Y",IF(OR(LEFT(UPPER(TRIM(A1117)),2)="T:",LEFT(UPPER(TRIM(A1117)),6)="TODAY:"),"T",IF(OR(LEFT(UPPER(TRIM(A1117)),2)="B:",LEFT(UPPER(TRIM(A1117)),8)="BLOCKER:",LEFT(UPPER(TRIM(A1117)),9)="BLOCKERS:",LEFT(UPPER(TRIM(A1117)),8)="BLOCKED:"),"B",""))))</f>
      </c>
      <c r="E1117" s="17">
        <f>IF(D1117="","",TRIM(MID(A1117,FIND(":",A1117)+1,500)))</f>
      </c>
    </row>
    <row r="1118">
      <c r="B1118" s="17">
        <f>IF(A1118="","",IF(COUNTIF(Roster[Name],IF(RIGHT(IF(LEFT(TRIM(A1118),1)="[",TRIM(MID(TRIM(A1118),FIND("]",TRIM(A1118)&amp;"]")+1,200)),TRIM(A1118)),1)=")",TRIM(LEFT(IF(LEFT(TRIM(A1118),1)="[",TRIM(MID(TRIM(A1118),FIND("]",TRIM(A1118)&amp;"]")+1,200)),TRIM(A1118)),FIND("(",IF(LEFT(TRIM(A1118),1)="[",TRIM(MID(TRIM(A1118),FIND("]",TRIM(A1118)&amp;"]")+1,200)),TRIM(A1118))&amp;"(")-1)),IF(LEFT(TRIM(A1118),1)="[",TRIM(MID(TRIM(A1118),FIND("]",TRIM(A1118)&amp;"]")+1,200)),TRIM(A1118))))&gt;0,IF(RIGHT(IF(LEFT(TRIM(A1118),1)="[",TRIM(MID(TRIM(A1118),FIND("]",TRIM(A1118)&amp;"]")+1,200)),TRIM(A1118)),1)=")",TRIM(LEFT(IF(LEFT(TRIM(A1118),1)="[",TRIM(MID(TRIM(A1118),FIND("]",TRIM(A1118)&amp;"]")+1,200)),TRIM(A1118)),FIND("(",IF(LEFT(TRIM(A1118),1)="[",TRIM(MID(TRIM(A1118),FIND("]",TRIM(A1118)&amp;"]")+1,200)),TRIM(A1118))&amp;"(")-1)),IF(LEFT(TRIM(A1118),1)="[",TRIM(MID(TRIM(A1118),FIND("]",TRIM(A1118)&amp;"]")+1,200)),TRIM(A1118))),""))</f>
      </c>
      <c r="C1118" s="17">
        <f>IF(B1118&lt;&gt;"",B1118,C1117)</f>
      </c>
      <c r="D1118" s="17">
        <f>IF(A1118="","",IF(OR(LEFT(UPPER(TRIM(A1118)),2)="Y:",LEFT(UPPER(TRIM(A1118)),10)="YESTERDAY:"),"Y",IF(OR(LEFT(UPPER(TRIM(A1118)),2)="T:",LEFT(UPPER(TRIM(A1118)),6)="TODAY:"),"T",IF(OR(LEFT(UPPER(TRIM(A1118)),2)="B:",LEFT(UPPER(TRIM(A1118)),8)="BLOCKER:",LEFT(UPPER(TRIM(A1118)),9)="BLOCKERS:",LEFT(UPPER(TRIM(A1118)),8)="BLOCKED:"),"B",""))))</f>
      </c>
      <c r="E1118" s="17">
        <f>IF(D1118="","",TRIM(MID(A1118,FIND(":",A1118)+1,500)))</f>
      </c>
    </row>
    <row r="1119">
      <c r="B1119" s="17">
        <f>IF(A1119="","",IF(COUNTIF(Roster[Name],IF(RIGHT(IF(LEFT(TRIM(A1119),1)="[",TRIM(MID(TRIM(A1119),FIND("]",TRIM(A1119)&amp;"]")+1,200)),TRIM(A1119)),1)=")",TRIM(LEFT(IF(LEFT(TRIM(A1119),1)="[",TRIM(MID(TRIM(A1119),FIND("]",TRIM(A1119)&amp;"]")+1,200)),TRIM(A1119)),FIND("(",IF(LEFT(TRIM(A1119),1)="[",TRIM(MID(TRIM(A1119),FIND("]",TRIM(A1119)&amp;"]")+1,200)),TRIM(A1119))&amp;"(")-1)),IF(LEFT(TRIM(A1119),1)="[",TRIM(MID(TRIM(A1119),FIND("]",TRIM(A1119)&amp;"]")+1,200)),TRIM(A1119))))&gt;0,IF(RIGHT(IF(LEFT(TRIM(A1119),1)="[",TRIM(MID(TRIM(A1119),FIND("]",TRIM(A1119)&amp;"]")+1,200)),TRIM(A1119)),1)=")",TRIM(LEFT(IF(LEFT(TRIM(A1119),1)="[",TRIM(MID(TRIM(A1119),FIND("]",TRIM(A1119)&amp;"]")+1,200)),TRIM(A1119)),FIND("(",IF(LEFT(TRIM(A1119),1)="[",TRIM(MID(TRIM(A1119),FIND("]",TRIM(A1119)&amp;"]")+1,200)),TRIM(A1119))&amp;"(")-1)),IF(LEFT(TRIM(A1119),1)="[",TRIM(MID(TRIM(A1119),FIND("]",TRIM(A1119)&amp;"]")+1,200)),TRIM(A1119))),""))</f>
      </c>
      <c r="C1119" s="17">
        <f>IF(B1119&lt;&gt;"",B1119,C1118)</f>
      </c>
      <c r="D1119" s="17">
        <f>IF(A1119="","",IF(OR(LEFT(UPPER(TRIM(A1119)),2)="Y:",LEFT(UPPER(TRIM(A1119)),10)="YESTERDAY:"),"Y",IF(OR(LEFT(UPPER(TRIM(A1119)),2)="T:",LEFT(UPPER(TRIM(A1119)),6)="TODAY:"),"T",IF(OR(LEFT(UPPER(TRIM(A1119)),2)="B:",LEFT(UPPER(TRIM(A1119)),8)="BLOCKER:",LEFT(UPPER(TRIM(A1119)),9)="BLOCKERS:",LEFT(UPPER(TRIM(A1119)),8)="BLOCKED:"),"B",""))))</f>
      </c>
      <c r="E1119" s="17">
        <f>IF(D1119="","",TRIM(MID(A1119,FIND(":",A1119)+1,500)))</f>
      </c>
    </row>
    <row r="1120">
      <c r="B1120" s="17">
        <f>IF(A1120="","",IF(COUNTIF(Roster[Name],IF(RIGHT(IF(LEFT(TRIM(A1120),1)="[",TRIM(MID(TRIM(A1120),FIND("]",TRIM(A1120)&amp;"]")+1,200)),TRIM(A1120)),1)=")",TRIM(LEFT(IF(LEFT(TRIM(A1120),1)="[",TRIM(MID(TRIM(A1120),FIND("]",TRIM(A1120)&amp;"]")+1,200)),TRIM(A1120)),FIND("(",IF(LEFT(TRIM(A1120),1)="[",TRIM(MID(TRIM(A1120),FIND("]",TRIM(A1120)&amp;"]")+1,200)),TRIM(A1120))&amp;"(")-1)),IF(LEFT(TRIM(A1120),1)="[",TRIM(MID(TRIM(A1120),FIND("]",TRIM(A1120)&amp;"]")+1,200)),TRIM(A1120))))&gt;0,IF(RIGHT(IF(LEFT(TRIM(A1120),1)="[",TRIM(MID(TRIM(A1120),FIND("]",TRIM(A1120)&amp;"]")+1,200)),TRIM(A1120)),1)=")",TRIM(LEFT(IF(LEFT(TRIM(A1120),1)="[",TRIM(MID(TRIM(A1120),FIND("]",TRIM(A1120)&amp;"]")+1,200)),TRIM(A1120)),FIND("(",IF(LEFT(TRIM(A1120),1)="[",TRIM(MID(TRIM(A1120),FIND("]",TRIM(A1120)&amp;"]")+1,200)),TRIM(A1120))&amp;"(")-1)),IF(LEFT(TRIM(A1120),1)="[",TRIM(MID(TRIM(A1120),FIND("]",TRIM(A1120)&amp;"]")+1,200)),TRIM(A1120))),""))</f>
      </c>
      <c r="C1120" s="17">
        <f>IF(B1120&lt;&gt;"",B1120,C1119)</f>
      </c>
      <c r="D1120" s="17">
        <f>IF(A1120="","",IF(OR(LEFT(UPPER(TRIM(A1120)),2)="Y:",LEFT(UPPER(TRIM(A1120)),10)="YESTERDAY:"),"Y",IF(OR(LEFT(UPPER(TRIM(A1120)),2)="T:",LEFT(UPPER(TRIM(A1120)),6)="TODAY:"),"T",IF(OR(LEFT(UPPER(TRIM(A1120)),2)="B:",LEFT(UPPER(TRIM(A1120)),8)="BLOCKER:",LEFT(UPPER(TRIM(A1120)),9)="BLOCKERS:",LEFT(UPPER(TRIM(A1120)),8)="BLOCKED:"),"B",""))))</f>
      </c>
      <c r="E1120" s="17">
        <f>IF(D1120="","",TRIM(MID(A1120,FIND(":",A1120)+1,500)))</f>
      </c>
    </row>
    <row r="1121">
      <c r="B1121" s="17">
        <f>IF(A1121="","",IF(COUNTIF(Roster[Name],IF(RIGHT(IF(LEFT(TRIM(A1121),1)="[",TRIM(MID(TRIM(A1121),FIND("]",TRIM(A1121)&amp;"]")+1,200)),TRIM(A1121)),1)=")",TRIM(LEFT(IF(LEFT(TRIM(A1121),1)="[",TRIM(MID(TRIM(A1121),FIND("]",TRIM(A1121)&amp;"]")+1,200)),TRIM(A1121)),FIND("(",IF(LEFT(TRIM(A1121),1)="[",TRIM(MID(TRIM(A1121),FIND("]",TRIM(A1121)&amp;"]")+1,200)),TRIM(A1121))&amp;"(")-1)),IF(LEFT(TRIM(A1121),1)="[",TRIM(MID(TRIM(A1121),FIND("]",TRIM(A1121)&amp;"]")+1,200)),TRIM(A1121))))&gt;0,IF(RIGHT(IF(LEFT(TRIM(A1121),1)="[",TRIM(MID(TRIM(A1121),FIND("]",TRIM(A1121)&amp;"]")+1,200)),TRIM(A1121)),1)=")",TRIM(LEFT(IF(LEFT(TRIM(A1121),1)="[",TRIM(MID(TRIM(A1121),FIND("]",TRIM(A1121)&amp;"]")+1,200)),TRIM(A1121)),FIND("(",IF(LEFT(TRIM(A1121),1)="[",TRIM(MID(TRIM(A1121),FIND("]",TRIM(A1121)&amp;"]")+1,200)),TRIM(A1121))&amp;"(")-1)),IF(LEFT(TRIM(A1121),1)="[",TRIM(MID(TRIM(A1121),FIND("]",TRIM(A1121)&amp;"]")+1,200)),TRIM(A1121))),""))</f>
      </c>
      <c r="C1121" s="17">
        <f>IF(B1121&lt;&gt;"",B1121,C1120)</f>
      </c>
      <c r="D1121" s="17">
        <f>IF(A1121="","",IF(OR(LEFT(UPPER(TRIM(A1121)),2)="Y:",LEFT(UPPER(TRIM(A1121)),10)="YESTERDAY:"),"Y",IF(OR(LEFT(UPPER(TRIM(A1121)),2)="T:",LEFT(UPPER(TRIM(A1121)),6)="TODAY:"),"T",IF(OR(LEFT(UPPER(TRIM(A1121)),2)="B:",LEFT(UPPER(TRIM(A1121)),8)="BLOCKER:",LEFT(UPPER(TRIM(A1121)),9)="BLOCKERS:",LEFT(UPPER(TRIM(A1121)),8)="BLOCKED:"),"B",""))))</f>
      </c>
      <c r="E1121" s="17">
        <f>IF(D1121="","",TRIM(MID(A1121,FIND(":",A1121)+1,500)))</f>
      </c>
    </row>
    <row r="1122">
      <c r="B1122" s="17">
        <f>IF(A1122="","",IF(COUNTIF(Roster[Name],IF(RIGHT(IF(LEFT(TRIM(A1122),1)="[",TRIM(MID(TRIM(A1122),FIND("]",TRIM(A1122)&amp;"]")+1,200)),TRIM(A1122)),1)=")",TRIM(LEFT(IF(LEFT(TRIM(A1122),1)="[",TRIM(MID(TRIM(A1122),FIND("]",TRIM(A1122)&amp;"]")+1,200)),TRIM(A1122)),FIND("(",IF(LEFT(TRIM(A1122),1)="[",TRIM(MID(TRIM(A1122),FIND("]",TRIM(A1122)&amp;"]")+1,200)),TRIM(A1122))&amp;"(")-1)),IF(LEFT(TRIM(A1122),1)="[",TRIM(MID(TRIM(A1122),FIND("]",TRIM(A1122)&amp;"]")+1,200)),TRIM(A1122))))&gt;0,IF(RIGHT(IF(LEFT(TRIM(A1122),1)="[",TRIM(MID(TRIM(A1122),FIND("]",TRIM(A1122)&amp;"]")+1,200)),TRIM(A1122)),1)=")",TRIM(LEFT(IF(LEFT(TRIM(A1122),1)="[",TRIM(MID(TRIM(A1122),FIND("]",TRIM(A1122)&amp;"]")+1,200)),TRIM(A1122)),FIND("(",IF(LEFT(TRIM(A1122),1)="[",TRIM(MID(TRIM(A1122),FIND("]",TRIM(A1122)&amp;"]")+1,200)),TRIM(A1122))&amp;"(")-1)),IF(LEFT(TRIM(A1122),1)="[",TRIM(MID(TRIM(A1122),FIND("]",TRIM(A1122)&amp;"]")+1,200)),TRIM(A1122))),""))</f>
      </c>
      <c r="C1122" s="17">
        <f>IF(B1122&lt;&gt;"",B1122,C1121)</f>
      </c>
      <c r="D1122" s="17">
        <f>IF(A1122="","",IF(OR(LEFT(UPPER(TRIM(A1122)),2)="Y:",LEFT(UPPER(TRIM(A1122)),10)="YESTERDAY:"),"Y",IF(OR(LEFT(UPPER(TRIM(A1122)),2)="T:",LEFT(UPPER(TRIM(A1122)),6)="TODAY:"),"T",IF(OR(LEFT(UPPER(TRIM(A1122)),2)="B:",LEFT(UPPER(TRIM(A1122)),8)="BLOCKER:",LEFT(UPPER(TRIM(A1122)),9)="BLOCKERS:",LEFT(UPPER(TRIM(A1122)),8)="BLOCKED:"),"B",""))))</f>
      </c>
      <c r="E1122" s="17">
        <f>IF(D1122="","",TRIM(MID(A1122,FIND(":",A1122)+1,500)))</f>
      </c>
    </row>
    <row r="1123">
      <c r="B1123" s="17">
        <f>IF(A1123="","",IF(COUNTIF(Roster[Name],IF(RIGHT(IF(LEFT(TRIM(A1123),1)="[",TRIM(MID(TRIM(A1123),FIND("]",TRIM(A1123)&amp;"]")+1,200)),TRIM(A1123)),1)=")",TRIM(LEFT(IF(LEFT(TRIM(A1123),1)="[",TRIM(MID(TRIM(A1123),FIND("]",TRIM(A1123)&amp;"]")+1,200)),TRIM(A1123)),FIND("(",IF(LEFT(TRIM(A1123),1)="[",TRIM(MID(TRIM(A1123),FIND("]",TRIM(A1123)&amp;"]")+1,200)),TRIM(A1123))&amp;"(")-1)),IF(LEFT(TRIM(A1123),1)="[",TRIM(MID(TRIM(A1123),FIND("]",TRIM(A1123)&amp;"]")+1,200)),TRIM(A1123))))&gt;0,IF(RIGHT(IF(LEFT(TRIM(A1123),1)="[",TRIM(MID(TRIM(A1123),FIND("]",TRIM(A1123)&amp;"]")+1,200)),TRIM(A1123)),1)=")",TRIM(LEFT(IF(LEFT(TRIM(A1123),1)="[",TRIM(MID(TRIM(A1123),FIND("]",TRIM(A1123)&amp;"]")+1,200)),TRIM(A1123)),FIND("(",IF(LEFT(TRIM(A1123),1)="[",TRIM(MID(TRIM(A1123),FIND("]",TRIM(A1123)&amp;"]")+1,200)),TRIM(A1123))&amp;"(")-1)),IF(LEFT(TRIM(A1123),1)="[",TRIM(MID(TRIM(A1123),FIND("]",TRIM(A1123)&amp;"]")+1,200)),TRIM(A1123))),""))</f>
      </c>
      <c r="C1123" s="17">
        <f>IF(B1123&lt;&gt;"",B1123,C1122)</f>
      </c>
      <c r="D1123" s="17">
        <f>IF(A1123="","",IF(OR(LEFT(UPPER(TRIM(A1123)),2)="Y:",LEFT(UPPER(TRIM(A1123)),10)="YESTERDAY:"),"Y",IF(OR(LEFT(UPPER(TRIM(A1123)),2)="T:",LEFT(UPPER(TRIM(A1123)),6)="TODAY:"),"T",IF(OR(LEFT(UPPER(TRIM(A1123)),2)="B:",LEFT(UPPER(TRIM(A1123)),8)="BLOCKER:",LEFT(UPPER(TRIM(A1123)),9)="BLOCKERS:",LEFT(UPPER(TRIM(A1123)),8)="BLOCKED:"),"B",""))))</f>
      </c>
      <c r="E1123" s="17">
        <f>IF(D1123="","",TRIM(MID(A1123,FIND(":",A1123)+1,500)))</f>
      </c>
    </row>
    <row r="1124">
      <c r="B1124" s="17">
        <f>IF(A1124="","",IF(COUNTIF(Roster[Name],IF(RIGHT(IF(LEFT(TRIM(A1124),1)="[",TRIM(MID(TRIM(A1124),FIND("]",TRIM(A1124)&amp;"]")+1,200)),TRIM(A1124)),1)=")",TRIM(LEFT(IF(LEFT(TRIM(A1124),1)="[",TRIM(MID(TRIM(A1124),FIND("]",TRIM(A1124)&amp;"]")+1,200)),TRIM(A1124)),FIND("(",IF(LEFT(TRIM(A1124),1)="[",TRIM(MID(TRIM(A1124),FIND("]",TRIM(A1124)&amp;"]")+1,200)),TRIM(A1124))&amp;"(")-1)),IF(LEFT(TRIM(A1124),1)="[",TRIM(MID(TRIM(A1124),FIND("]",TRIM(A1124)&amp;"]")+1,200)),TRIM(A1124))))&gt;0,IF(RIGHT(IF(LEFT(TRIM(A1124),1)="[",TRIM(MID(TRIM(A1124),FIND("]",TRIM(A1124)&amp;"]")+1,200)),TRIM(A1124)),1)=")",TRIM(LEFT(IF(LEFT(TRIM(A1124),1)="[",TRIM(MID(TRIM(A1124),FIND("]",TRIM(A1124)&amp;"]")+1,200)),TRIM(A1124)),FIND("(",IF(LEFT(TRIM(A1124),1)="[",TRIM(MID(TRIM(A1124),FIND("]",TRIM(A1124)&amp;"]")+1,200)),TRIM(A1124))&amp;"(")-1)),IF(LEFT(TRIM(A1124),1)="[",TRIM(MID(TRIM(A1124),FIND("]",TRIM(A1124)&amp;"]")+1,200)),TRIM(A1124))),""))</f>
      </c>
      <c r="C1124" s="17">
        <f>IF(B1124&lt;&gt;"",B1124,C1123)</f>
      </c>
      <c r="D1124" s="17">
        <f>IF(A1124="","",IF(OR(LEFT(UPPER(TRIM(A1124)),2)="Y:",LEFT(UPPER(TRIM(A1124)),10)="YESTERDAY:"),"Y",IF(OR(LEFT(UPPER(TRIM(A1124)),2)="T:",LEFT(UPPER(TRIM(A1124)),6)="TODAY:"),"T",IF(OR(LEFT(UPPER(TRIM(A1124)),2)="B:",LEFT(UPPER(TRIM(A1124)),8)="BLOCKER:",LEFT(UPPER(TRIM(A1124)),9)="BLOCKERS:",LEFT(UPPER(TRIM(A1124)),8)="BLOCKED:"),"B",""))))</f>
      </c>
      <c r="E1124" s="17">
        <f>IF(D1124="","",TRIM(MID(A1124,FIND(":",A1124)+1,500)))</f>
      </c>
    </row>
    <row r="1125">
      <c r="B1125" s="17">
        <f>IF(A1125="","",IF(COUNTIF(Roster[Name],IF(RIGHT(IF(LEFT(TRIM(A1125),1)="[",TRIM(MID(TRIM(A1125),FIND("]",TRIM(A1125)&amp;"]")+1,200)),TRIM(A1125)),1)=")",TRIM(LEFT(IF(LEFT(TRIM(A1125),1)="[",TRIM(MID(TRIM(A1125),FIND("]",TRIM(A1125)&amp;"]")+1,200)),TRIM(A1125)),FIND("(",IF(LEFT(TRIM(A1125),1)="[",TRIM(MID(TRIM(A1125),FIND("]",TRIM(A1125)&amp;"]")+1,200)),TRIM(A1125))&amp;"(")-1)),IF(LEFT(TRIM(A1125),1)="[",TRIM(MID(TRIM(A1125),FIND("]",TRIM(A1125)&amp;"]")+1,200)),TRIM(A1125))))&gt;0,IF(RIGHT(IF(LEFT(TRIM(A1125),1)="[",TRIM(MID(TRIM(A1125),FIND("]",TRIM(A1125)&amp;"]")+1,200)),TRIM(A1125)),1)=")",TRIM(LEFT(IF(LEFT(TRIM(A1125),1)="[",TRIM(MID(TRIM(A1125),FIND("]",TRIM(A1125)&amp;"]")+1,200)),TRIM(A1125)),FIND("(",IF(LEFT(TRIM(A1125),1)="[",TRIM(MID(TRIM(A1125),FIND("]",TRIM(A1125)&amp;"]")+1,200)),TRIM(A1125))&amp;"(")-1)),IF(LEFT(TRIM(A1125),1)="[",TRIM(MID(TRIM(A1125),FIND("]",TRIM(A1125)&amp;"]")+1,200)),TRIM(A1125))),""))</f>
      </c>
      <c r="C1125" s="17">
        <f>IF(B1125&lt;&gt;"",B1125,C1124)</f>
      </c>
      <c r="D1125" s="17">
        <f>IF(A1125="","",IF(OR(LEFT(UPPER(TRIM(A1125)),2)="Y:",LEFT(UPPER(TRIM(A1125)),10)="YESTERDAY:"),"Y",IF(OR(LEFT(UPPER(TRIM(A1125)),2)="T:",LEFT(UPPER(TRIM(A1125)),6)="TODAY:"),"T",IF(OR(LEFT(UPPER(TRIM(A1125)),2)="B:",LEFT(UPPER(TRIM(A1125)),8)="BLOCKER:",LEFT(UPPER(TRIM(A1125)),9)="BLOCKERS:",LEFT(UPPER(TRIM(A1125)),8)="BLOCKED:"),"B",""))))</f>
      </c>
      <c r="E1125" s="17">
        <f>IF(D1125="","",TRIM(MID(A1125,FIND(":",A1125)+1,500)))</f>
      </c>
    </row>
    <row r="1126">
      <c r="B1126" s="17">
        <f>IF(A1126="","",IF(COUNTIF(Roster[Name],IF(RIGHT(IF(LEFT(TRIM(A1126),1)="[",TRIM(MID(TRIM(A1126),FIND("]",TRIM(A1126)&amp;"]")+1,200)),TRIM(A1126)),1)=")",TRIM(LEFT(IF(LEFT(TRIM(A1126),1)="[",TRIM(MID(TRIM(A1126),FIND("]",TRIM(A1126)&amp;"]")+1,200)),TRIM(A1126)),FIND("(",IF(LEFT(TRIM(A1126),1)="[",TRIM(MID(TRIM(A1126),FIND("]",TRIM(A1126)&amp;"]")+1,200)),TRIM(A1126))&amp;"(")-1)),IF(LEFT(TRIM(A1126),1)="[",TRIM(MID(TRIM(A1126),FIND("]",TRIM(A1126)&amp;"]")+1,200)),TRIM(A1126))))&gt;0,IF(RIGHT(IF(LEFT(TRIM(A1126),1)="[",TRIM(MID(TRIM(A1126),FIND("]",TRIM(A1126)&amp;"]")+1,200)),TRIM(A1126)),1)=")",TRIM(LEFT(IF(LEFT(TRIM(A1126),1)="[",TRIM(MID(TRIM(A1126),FIND("]",TRIM(A1126)&amp;"]")+1,200)),TRIM(A1126)),FIND("(",IF(LEFT(TRIM(A1126),1)="[",TRIM(MID(TRIM(A1126),FIND("]",TRIM(A1126)&amp;"]")+1,200)),TRIM(A1126))&amp;"(")-1)),IF(LEFT(TRIM(A1126),1)="[",TRIM(MID(TRIM(A1126),FIND("]",TRIM(A1126)&amp;"]")+1,200)),TRIM(A1126))),""))</f>
      </c>
      <c r="C1126" s="17">
        <f>IF(B1126&lt;&gt;"",B1126,C1125)</f>
      </c>
      <c r="D1126" s="17">
        <f>IF(A1126="","",IF(OR(LEFT(UPPER(TRIM(A1126)),2)="Y:",LEFT(UPPER(TRIM(A1126)),10)="YESTERDAY:"),"Y",IF(OR(LEFT(UPPER(TRIM(A1126)),2)="T:",LEFT(UPPER(TRIM(A1126)),6)="TODAY:"),"T",IF(OR(LEFT(UPPER(TRIM(A1126)),2)="B:",LEFT(UPPER(TRIM(A1126)),8)="BLOCKER:",LEFT(UPPER(TRIM(A1126)),9)="BLOCKERS:",LEFT(UPPER(TRIM(A1126)),8)="BLOCKED:"),"B",""))))</f>
      </c>
      <c r="E1126" s="17">
        <f>IF(D1126="","",TRIM(MID(A1126,FIND(":",A1126)+1,500)))</f>
      </c>
    </row>
    <row r="1127">
      <c r="B1127" s="17">
        <f>IF(A1127="","",IF(COUNTIF(Roster[Name],IF(RIGHT(IF(LEFT(TRIM(A1127),1)="[",TRIM(MID(TRIM(A1127),FIND("]",TRIM(A1127)&amp;"]")+1,200)),TRIM(A1127)),1)=")",TRIM(LEFT(IF(LEFT(TRIM(A1127),1)="[",TRIM(MID(TRIM(A1127),FIND("]",TRIM(A1127)&amp;"]")+1,200)),TRIM(A1127)),FIND("(",IF(LEFT(TRIM(A1127),1)="[",TRIM(MID(TRIM(A1127),FIND("]",TRIM(A1127)&amp;"]")+1,200)),TRIM(A1127))&amp;"(")-1)),IF(LEFT(TRIM(A1127),1)="[",TRIM(MID(TRIM(A1127),FIND("]",TRIM(A1127)&amp;"]")+1,200)),TRIM(A1127))))&gt;0,IF(RIGHT(IF(LEFT(TRIM(A1127),1)="[",TRIM(MID(TRIM(A1127),FIND("]",TRIM(A1127)&amp;"]")+1,200)),TRIM(A1127)),1)=")",TRIM(LEFT(IF(LEFT(TRIM(A1127),1)="[",TRIM(MID(TRIM(A1127),FIND("]",TRIM(A1127)&amp;"]")+1,200)),TRIM(A1127)),FIND("(",IF(LEFT(TRIM(A1127),1)="[",TRIM(MID(TRIM(A1127),FIND("]",TRIM(A1127)&amp;"]")+1,200)),TRIM(A1127))&amp;"(")-1)),IF(LEFT(TRIM(A1127),1)="[",TRIM(MID(TRIM(A1127),FIND("]",TRIM(A1127)&amp;"]")+1,200)),TRIM(A1127))),""))</f>
      </c>
      <c r="C1127" s="17">
        <f>IF(B1127&lt;&gt;"",B1127,C1126)</f>
      </c>
      <c r="D1127" s="17">
        <f>IF(A1127="","",IF(OR(LEFT(UPPER(TRIM(A1127)),2)="Y:",LEFT(UPPER(TRIM(A1127)),10)="YESTERDAY:"),"Y",IF(OR(LEFT(UPPER(TRIM(A1127)),2)="T:",LEFT(UPPER(TRIM(A1127)),6)="TODAY:"),"T",IF(OR(LEFT(UPPER(TRIM(A1127)),2)="B:",LEFT(UPPER(TRIM(A1127)),8)="BLOCKER:",LEFT(UPPER(TRIM(A1127)),9)="BLOCKERS:",LEFT(UPPER(TRIM(A1127)),8)="BLOCKED:"),"B",""))))</f>
      </c>
      <c r="E1127" s="17">
        <f>IF(D1127="","",TRIM(MID(A1127,FIND(":",A1127)+1,500)))</f>
      </c>
    </row>
    <row r="1128">
      <c r="B1128" s="17">
        <f>IF(A1128="","",IF(COUNTIF(Roster[Name],IF(RIGHT(IF(LEFT(TRIM(A1128),1)="[",TRIM(MID(TRIM(A1128),FIND("]",TRIM(A1128)&amp;"]")+1,200)),TRIM(A1128)),1)=")",TRIM(LEFT(IF(LEFT(TRIM(A1128),1)="[",TRIM(MID(TRIM(A1128),FIND("]",TRIM(A1128)&amp;"]")+1,200)),TRIM(A1128)),FIND("(",IF(LEFT(TRIM(A1128),1)="[",TRIM(MID(TRIM(A1128),FIND("]",TRIM(A1128)&amp;"]")+1,200)),TRIM(A1128))&amp;"(")-1)),IF(LEFT(TRIM(A1128),1)="[",TRIM(MID(TRIM(A1128),FIND("]",TRIM(A1128)&amp;"]")+1,200)),TRIM(A1128))))&gt;0,IF(RIGHT(IF(LEFT(TRIM(A1128),1)="[",TRIM(MID(TRIM(A1128),FIND("]",TRIM(A1128)&amp;"]")+1,200)),TRIM(A1128)),1)=")",TRIM(LEFT(IF(LEFT(TRIM(A1128),1)="[",TRIM(MID(TRIM(A1128),FIND("]",TRIM(A1128)&amp;"]")+1,200)),TRIM(A1128)),FIND("(",IF(LEFT(TRIM(A1128),1)="[",TRIM(MID(TRIM(A1128),FIND("]",TRIM(A1128)&amp;"]")+1,200)),TRIM(A1128))&amp;"(")-1)),IF(LEFT(TRIM(A1128),1)="[",TRIM(MID(TRIM(A1128),FIND("]",TRIM(A1128)&amp;"]")+1,200)),TRIM(A1128))),""))</f>
      </c>
      <c r="C1128" s="17">
        <f>IF(B1128&lt;&gt;"",B1128,C1127)</f>
      </c>
      <c r="D1128" s="17">
        <f>IF(A1128="","",IF(OR(LEFT(UPPER(TRIM(A1128)),2)="Y:",LEFT(UPPER(TRIM(A1128)),10)="YESTERDAY:"),"Y",IF(OR(LEFT(UPPER(TRIM(A1128)),2)="T:",LEFT(UPPER(TRIM(A1128)),6)="TODAY:"),"T",IF(OR(LEFT(UPPER(TRIM(A1128)),2)="B:",LEFT(UPPER(TRIM(A1128)),8)="BLOCKER:",LEFT(UPPER(TRIM(A1128)),9)="BLOCKERS:",LEFT(UPPER(TRIM(A1128)),8)="BLOCKED:"),"B",""))))</f>
      </c>
      <c r="E1128" s="17">
        <f>IF(D1128="","",TRIM(MID(A1128,FIND(":",A1128)+1,500)))</f>
      </c>
    </row>
    <row r="1129">
      <c r="B1129" s="17">
        <f>IF(A1129="","",IF(COUNTIF(Roster[Name],IF(RIGHT(IF(LEFT(TRIM(A1129),1)="[",TRIM(MID(TRIM(A1129),FIND("]",TRIM(A1129)&amp;"]")+1,200)),TRIM(A1129)),1)=")",TRIM(LEFT(IF(LEFT(TRIM(A1129),1)="[",TRIM(MID(TRIM(A1129),FIND("]",TRIM(A1129)&amp;"]")+1,200)),TRIM(A1129)),FIND("(",IF(LEFT(TRIM(A1129),1)="[",TRIM(MID(TRIM(A1129),FIND("]",TRIM(A1129)&amp;"]")+1,200)),TRIM(A1129))&amp;"(")-1)),IF(LEFT(TRIM(A1129),1)="[",TRIM(MID(TRIM(A1129),FIND("]",TRIM(A1129)&amp;"]")+1,200)),TRIM(A1129))))&gt;0,IF(RIGHT(IF(LEFT(TRIM(A1129),1)="[",TRIM(MID(TRIM(A1129),FIND("]",TRIM(A1129)&amp;"]")+1,200)),TRIM(A1129)),1)=")",TRIM(LEFT(IF(LEFT(TRIM(A1129),1)="[",TRIM(MID(TRIM(A1129),FIND("]",TRIM(A1129)&amp;"]")+1,200)),TRIM(A1129)),FIND("(",IF(LEFT(TRIM(A1129),1)="[",TRIM(MID(TRIM(A1129),FIND("]",TRIM(A1129)&amp;"]")+1,200)),TRIM(A1129))&amp;"(")-1)),IF(LEFT(TRIM(A1129),1)="[",TRIM(MID(TRIM(A1129),FIND("]",TRIM(A1129)&amp;"]")+1,200)),TRIM(A1129))),""))</f>
      </c>
      <c r="C1129" s="17">
        <f>IF(B1129&lt;&gt;"",B1129,C1128)</f>
      </c>
      <c r="D1129" s="17">
        <f>IF(A1129="","",IF(OR(LEFT(UPPER(TRIM(A1129)),2)="Y:",LEFT(UPPER(TRIM(A1129)),10)="YESTERDAY:"),"Y",IF(OR(LEFT(UPPER(TRIM(A1129)),2)="T:",LEFT(UPPER(TRIM(A1129)),6)="TODAY:"),"T",IF(OR(LEFT(UPPER(TRIM(A1129)),2)="B:",LEFT(UPPER(TRIM(A1129)),8)="BLOCKER:",LEFT(UPPER(TRIM(A1129)),9)="BLOCKERS:",LEFT(UPPER(TRIM(A1129)),8)="BLOCKED:"),"B",""))))</f>
      </c>
      <c r="E1129" s="17">
        <f>IF(D1129="","",TRIM(MID(A1129,FIND(":",A1129)+1,500)))</f>
      </c>
    </row>
    <row r="1130">
      <c r="B1130" s="17">
        <f>IF(A1130="","",IF(COUNTIF(Roster[Name],IF(RIGHT(IF(LEFT(TRIM(A1130),1)="[",TRIM(MID(TRIM(A1130),FIND("]",TRIM(A1130)&amp;"]")+1,200)),TRIM(A1130)),1)=")",TRIM(LEFT(IF(LEFT(TRIM(A1130),1)="[",TRIM(MID(TRIM(A1130),FIND("]",TRIM(A1130)&amp;"]")+1,200)),TRIM(A1130)),FIND("(",IF(LEFT(TRIM(A1130),1)="[",TRIM(MID(TRIM(A1130),FIND("]",TRIM(A1130)&amp;"]")+1,200)),TRIM(A1130))&amp;"(")-1)),IF(LEFT(TRIM(A1130),1)="[",TRIM(MID(TRIM(A1130),FIND("]",TRIM(A1130)&amp;"]")+1,200)),TRIM(A1130))))&gt;0,IF(RIGHT(IF(LEFT(TRIM(A1130),1)="[",TRIM(MID(TRIM(A1130),FIND("]",TRIM(A1130)&amp;"]")+1,200)),TRIM(A1130)),1)=")",TRIM(LEFT(IF(LEFT(TRIM(A1130),1)="[",TRIM(MID(TRIM(A1130),FIND("]",TRIM(A1130)&amp;"]")+1,200)),TRIM(A1130)),FIND("(",IF(LEFT(TRIM(A1130),1)="[",TRIM(MID(TRIM(A1130),FIND("]",TRIM(A1130)&amp;"]")+1,200)),TRIM(A1130))&amp;"(")-1)),IF(LEFT(TRIM(A1130),1)="[",TRIM(MID(TRIM(A1130),FIND("]",TRIM(A1130)&amp;"]")+1,200)),TRIM(A1130))),""))</f>
      </c>
      <c r="C1130" s="17">
        <f>IF(B1130&lt;&gt;"",B1130,C1129)</f>
      </c>
      <c r="D1130" s="17">
        <f>IF(A1130="","",IF(OR(LEFT(UPPER(TRIM(A1130)),2)="Y:",LEFT(UPPER(TRIM(A1130)),10)="YESTERDAY:"),"Y",IF(OR(LEFT(UPPER(TRIM(A1130)),2)="T:",LEFT(UPPER(TRIM(A1130)),6)="TODAY:"),"T",IF(OR(LEFT(UPPER(TRIM(A1130)),2)="B:",LEFT(UPPER(TRIM(A1130)),8)="BLOCKER:",LEFT(UPPER(TRIM(A1130)),9)="BLOCKERS:",LEFT(UPPER(TRIM(A1130)),8)="BLOCKED:"),"B",""))))</f>
      </c>
      <c r="E1130" s="17">
        <f>IF(D1130="","",TRIM(MID(A1130,FIND(":",A1130)+1,500)))</f>
      </c>
    </row>
    <row r="1131">
      <c r="B1131" s="17">
        <f>IF(A1131="","",IF(COUNTIF(Roster[Name],IF(RIGHT(IF(LEFT(TRIM(A1131),1)="[",TRIM(MID(TRIM(A1131),FIND("]",TRIM(A1131)&amp;"]")+1,200)),TRIM(A1131)),1)=")",TRIM(LEFT(IF(LEFT(TRIM(A1131),1)="[",TRIM(MID(TRIM(A1131),FIND("]",TRIM(A1131)&amp;"]")+1,200)),TRIM(A1131)),FIND("(",IF(LEFT(TRIM(A1131),1)="[",TRIM(MID(TRIM(A1131),FIND("]",TRIM(A1131)&amp;"]")+1,200)),TRIM(A1131))&amp;"(")-1)),IF(LEFT(TRIM(A1131),1)="[",TRIM(MID(TRIM(A1131),FIND("]",TRIM(A1131)&amp;"]")+1,200)),TRIM(A1131))))&gt;0,IF(RIGHT(IF(LEFT(TRIM(A1131),1)="[",TRIM(MID(TRIM(A1131),FIND("]",TRIM(A1131)&amp;"]")+1,200)),TRIM(A1131)),1)=")",TRIM(LEFT(IF(LEFT(TRIM(A1131),1)="[",TRIM(MID(TRIM(A1131),FIND("]",TRIM(A1131)&amp;"]")+1,200)),TRIM(A1131)),FIND("(",IF(LEFT(TRIM(A1131),1)="[",TRIM(MID(TRIM(A1131),FIND("]",TRIM(A1131)&amp;"]")+1,200)),TRIM(A1131))&amp;"(")-1)),IF(LEFT(TRIM(A1131),1)="[",TRIM(MID(TRIM(A1131),FIND("]",TRIM(A1131)&amp;"]")+1,200)),TRIM(A1131))),""))</f>
      </c>
      <c r="C1131" s="17">
        <f>IF(B1131&lt;&gt;"",B1131,C1130)</f>
      </c>
      <c r="D1131" s="17">
        <f>IF(A1131="","",IF(OR(LEFT(UPPER(TRIM(A1131)),2)="Y:",LEFT(UPPER(TRIM(A1131)),10)="YESTERDAY:"),"Y",IF(OR(LEFT(UPPER(TRIM(A1131)),2)="T:",LEFT(UPPER(TRIM(A1131)),6)="TODAY:"),"T",IF(OR(LEFT(UPPER(TRIM(A1131)),2)="B:",LEFT(UPPER(TRIM(A1131)),8)="BLOCKER:",LEFT(UPPER(TRIM(A1131)),9)="BLOCKERS:",LEFT(UPPER(TRIM(A1131)),8)="BLOCKED:"),"B",""))))</f>
      </c>
      <c r="E1131" s="17">
        <f>IF(D1131="","",TRIM(MID(A1131,FIND(":",A1131)+1,500)))</f>
      </c>
    </row>
    <row r="1132">
      <c r="B1132" s="17">
        <f>IF(A1132="","",IF(COUNTIF(Roster[Name],IF(RIGHT(IF(LEFT(TRIM(A1132),1)="[",TRIM(MID(TRIM(A1132),FIND("]",TRIM(A1132)&amp;"]")+1,200)),TRIM(A1132)),1)=")",TRIM(LEFT(IF(LEFT(TRIM(A1132),1)="[",TRIM(MID(TRIM(A1132),FIND("]",TRIM(A1132)&amp;"]")+1,200)),TRIM(A1132)),FIND("(",IF(LEFT(TRIM(A1132),1)="[",TRIM(MID(TRIM(A1132),FIND("]",TRIM(A1132)&amp;"]")+1,200)),TRIM(A1132))&amp;"(")-1)),IF(LEFT(TRIM(A1132),1)="[",TRIM(MID(TRIM(A1132),FIND("]",TRIM(A1132)&amp;"]")+1,200)),TRIM(A1132))))&gt;0,IF(RIGHT(IF(LEFT(TRIM(A1132),1)="[",TRIM(MID(TRIM(A1132),FIND("]",TRIM(A1132)&amp;"]")+1,200)),TRIM(A1132)),1)=")",TRIM(LEFT(IF(LEFT(TRIM(A1132),1)="[",TRIM(MID(TRIM(A1132),FIND("]",TRIM(A1132)&amp;"]")+1,200)),TRIM(A1132)),FIND("(",IF(LEFT(TRIM(A1132),1)="[",TRIM(MID(TRIM(A1132),FIND("]",TRIM(A1132)&amp;"]")+1,200)),TRIM(A1132))&amp;"(")-1)),IF(LEFT(TRIM(A1132),1)="[",TRIM(MID(TRIM(A1132),FIND("]",TRIM(A1132)&amp;"]")+1,200)),TRIM(A1132))),""))</f>
      </c>
      <c r="C1132" s="17">
        <f>IF(B1132&lt;&gt;"",B1132,C1131)</f>
      </c>
      <c r="D1132" s="17">
        <f>IF(A1132="","",IF(OR(LEFT(UPPER(TRIM(A1132)),2)="Y:",LEFT(UPPER(TRIM(A1132)),10)="YESTERDAY:"),"Y",IF(OR(LEFT(UPPER(TRIM(A1132)),2)="T:",LEFT(UPPER(TRIM(A1132)),6)="TODAY:"),"T",IF(OR(LEFT(UPPER(TRIM(A1132)),2)="B:",LEFT(UPPER(TRIM(A1132)),8)="BLOCKER:",LEFT(UPPER(TRIM(A1132)),9)="BLOCKERS:",LEFT(UPPER(TRIM(A1132)),8)="BLOCKED:"),"B",""))))</f>
      </c>
      <c r="E1132" s="17">
        <f>IF(D1132="","",TRIM(MID(A1132,FIND(":",A1132)+1,500)))</f>
      </c>
    </row>
    <row r="1133">
      <c r="B1133" s="17">
        <f>IF(A1133="","",IF(COUNTIF(Roster[Name],IF(RIGHT(IF(LEFT(TRIM(A1133),1)="[",TRIM(MID(TRIM(A1133),FIND("]",TRIM(A1133)&amp;"]")+1,200)),TRIM(A1133)),1)=")",TRIM(LEFT(IF(LEFT(TRIM(A1133),1)="[",TRIM(MID(TRIM(A1133),FIND("]",TRIM(A1133)&amp;"]")+1,200)),TRIM(A1133)),FIND("(",IF(LEFT(TRIM(A1133),1)="[",TRIM(MID(TRIM(A1133),FIND("]",TRIM(A1133)&amp;"]")+1,200)),TRIM(A1133))&amp;"(")-1)),IF(LEFT(TRIM(A1133),1)="[",TRIM(MID(TRIM(A1133),FIND("]",TRIM(A1133)&amp;"]")+1,200)),TRIM(A1133))))&gt;0,IF(RIGHT(IF(LEFT(TRIM(A1133),1)="[",TRIM(MID(TRIM(A1133),FIND("]",TRIM(A1133)&amp;"]")+1,200)),TRIM(A1133)),1)=")",TRIM(LEFT(IF(LEFT(TRIM(A1133),1)="[",TRIM(MID(TRIM(A1133),FIND("]",TRIM(A1133)&amp;"]")+1,200)),TRIM(A1133)),FIND("(",IF(LEFT(TRIM(A1133),1)="[",TRIM(MID(TRIM(A1133),FIND("]",TRIM(A1133)&amp;"]")+1,200)),TRIM(A1133))&amp;"(")-1)),IF(LEFT(TRIM(A1133),1)="[",TRIM(MID(TRIM(A1133),FIND("]",TRIM(A1133)&amp;"]")+1,200)),TRIM(A1133))),""))</f>
      </c>
      <c r="C1133" s="17">
        <f>IF(B1133&lt;&gt;"",B1133,C1132)</f>
      </c>
      <c r="D1133" s="17">
        <f>IF(A1133="","",IF(OR(LEFT(UPPER(TRIM(A1133)),2)="Y:",LEFT(UPPER(TRIM(A1133)),10)="YESTERDAY:"),"Y",IF(OR(LEFT(UPPER(TRIM(A1133)),2)="T:",LEFT(UPPER(TRIM(A1133)),6)="TODAY:"),"T",IF(OR(LEFT(UPPER(TRIM(A1133)),2)="B:",LEFT(UPPER(TRIM(A1133)),8)="BLOCKER:",LEFT(UPPER(TRIM(A1133)),9)="BLOCKERS:",LEFT(UPPER(TRIM(A1133)),8)="BLOCKED:"),"B",""))))</f>
      </c>
      <c r="E1133" s="17">
        <f>IF(D1133="","",TRIM(MID(A1133,FIND(":",A1133)+1,500)))</f>
      </c>
    </row>
    <row r="1134">
      <c r="B1134" s="17">
        <f>IF(A1134="","",IF(COUNTIF(Roster[Name],IF(RIGHT(IF(LEFT(TRIM(A1134),1)="[",TRIM(MID(TRIM(A1134),FIND("]",TRIM(A1134)&amp;"]")+1,200)),TRIM(A1134)),1)=")",TRIM(LEFT(IF(LEFT(TRIM(A1134),1)="[",TRIM(MID(TRIM(A1134),FIND("]",TRIM(A1134)&amp;"]")+1,200)),TRIM(A1134)),FIND("(",IF(LEFT(TRIM(A1134),1)="[",TRIM(MID(TRIM(A1134),FIND("]",TRIM(A1134)&amp;"]")+1,200)),TRIM(A1134))&amp;"(")-1)),IF(LEFT(TRIM(A1134),1)="[",TRIM(MID(TRIM(A1134),FIND("]",TRIM(A1134)&amp;"]")+1,200)),TRIM(A1134))))&gt;0,IF(RIGHT(IF(LEFT(TRIM(A1134),1)="[",TRIM(MID(TRIM(A1134),FIND("]",TRIM(A1134)&amp;"]")+1,200)),TRIM(A1134)),1)=")",TRIM(LEFT(IF(LEFT(TRIM(A1134),1)="[",TRIM(MID(TRIM(A1134),FIND("]",TRIM(A1134)&amp;"]")+1,200)),TRIM(A1134)),FIND("(",IF(LEFT(TRIM(A1134),1)="[",TRIM(MID(TRIM(A1134),FIND("]",TRIM(A1134)&amp;"]")+1,200)),TRIM(A1134))&amp;"(")-1)),IF(LEFT(TRIM(A1134),1)="[",TRIM(MID(TRIM(A1134),FIND("]",TRIM(A1134)&amp;"]")+1,200)),TRIM(A1134))),""))</f>
      </c>
      <c r="C1134" s="17">
        <f>IF(B1134&lt;&gt;"",B1134,C1133)</f>
      </c>
      <c r="D1134" s="17">
        <f>IF(A1134="","",IF(OR(LEFT(UPPER(TRIM(A1134)),2)="Y:",LEFT(UPPER(TRIM(A1134)),10)="YESTERDAY:"),"Y",IF(OR(LEFT(UPPER(TRIM(A1134)),2)="T:",LEFT(UPPER(TRIM(A1134)),6)="TODAY:"),"T",IF(OR(LEFT(UPPER(TRIM(A1134)),2)="B:",LEFT(UPPER(TRIM(A1134)),8)="BLOCKER:",LEFT(UPPER(TRIM(A1134)),9)="BLOCKERS:",LEFT(UPPER(TRIM(A1134)),8)="BLOCKED:"),"B",""))))</f>
      </c>
      <c r="E1134" s="17">
        <f>IF(D1134="","",TRIM(MID(A1134,FIND(":",A1134)+1,500)))</f>
      </c>
    </row>
    <row r="1135">
      <c r="B1135" s="17">
        <f>IF(A1135="","",IF(COUNTIF(Roster[Name],IF(RIGHT(IF(LEFT(TRIM(A1135),1)="[",TRIM(MID(TRIM(A1135),FIND("]",TRIM(A1135)&amp;"]")+1,200)),TRIM(A1135)),1)=")",TRIM(LEFT(IF(LEFT(TRIM(A1135),1)="[",TRIM(MID(TRIM(A1135),FIND("]",TRIM(A1135)&amp;"]")+1,200)),TRIM(A1135)),FIND("(",IF(LEFT(TRIM(A1135),1)="[",TRIM(MID(TRIM(A1135),FIND("]",TRIM(A1135)&amp;"]")+1,200)),TRIM(A1135))&amp;"(")-1)),IF(LEFT(TRIM(A1135),1)="[",TRIM(MID(TRIM(A1135),FIND("]",TRIM(A1135)&amp;"]")+1,200)),TRIM(A1135))))&gt;0,IF(RIGHT(IF(LEFT(TRIM(A1135),1)="[",TRIM(MID(TRIM(A1135),FIND("]",TRIM(A1135)&amp;"]")+1,200)),TRIM(A1135)),1)=")",TRIM(LEFT(IF(LEFT(TRIM(A1135),1)="[",TRIM(MID(TRIM(A1135),FIND("]",TRIM(A1135)&amp;"]")+1,200)),TRIM(A1135)),FIND("(",IF(LEFT(TRIM(A1135),1)="[",TRIM(MID(TRIM(A1135),FIND("]",TRIM(A1135)&amp;"]")+1,200)),TRIM(A1135))&amp;"(")-1)),IF(LEFT(TRIM(A1135),1)="[",TRIM(MID(TRIM(A1135),FIND("]",TRIM(A1135)&amp;"]")+1,200)),TRIM(A1135))),""))</f>
      </c>
      <c r="C1135" s="17">
        <f>IF(B1135&lt;&gt;"",B1135,C1134)</f>
      </c>
      <c r="D1135" s="17">
        <f>IF(A1135="","",IF(OR(LEFT(UPPER(TRIM(A1135)),2)="Y:",LEFT(UPPER(TRIM(A1135)),10)="YESTERDAY:"),"Y",IF(OR(LEFT(UPPER(TRIM(A1135)),2)="T:",LEFT(UPPER(TRIM(A1135)),6)="TODAY:"),"T",IF(OR(LEFT(UPPER(TRIM(A1135)),2)="B:",LEFT(UPPER(TRIM(A1135)),8)="BLOCKER:",LEFT(UPPER(TRIM(A1135)),9)="BLOCKERS:",LEFT(UPPER(TRIM(A1135)),8)="BLOCKED:"),"B",""))))</f>
      </c>
      <c r="E1135" s="17">
        <f>IF(D1135="","",TRIM(MID(A1135,FIND(":",A1135)+1,500)))</f>
      </c>
    </row>
    <row r="1136">
      <c r="B1136" s="17">
        <f>IF(A1136="","",IF(COUNTIF(Roster[Name],IF(RIGHT(IF(LEFT(TRIM(A1136),1)="[",TRIM(MID(TRIM(A1136),FIND("]",TRIM(A1136)&amp;"]")+1,200)),TRIM(A1136)),1)=")",TRIM(LEFT(IF(LEFT(TRIM(A1136),1)="[",TRIM(MID(TRIM(A1136),FIND("]",TRIM(A1136)&amp;"]")+1,200)),TRIM(A1136)),FIND("(",IF(LEFT(TRIM(A1136),1)="[",TRIM(MID(TRIM(A1136),FIND("]",TRIM(A1136)&amp;"]")+1,200)),TRIM(A1136))&amp;"(")-1)),IF(LEFT(TRIM(A1136),1)="[",TRIM(MID(TRIM(A1136),FIND("]",TRIM(A1136)&amp;"]")+1,200)),TRIM(A1136))))&gt;0,IF(RIGHT(IF(LEFT(TRIM(A1136),1)="[",TRIM(MID(TRIM(A1136),FIND("]",TRIM(A1136)&amp;"]")+1,200)),TRIM(A1136)),1)=")",TRIM(LEFT(IF(LEFT(TRIM(A1136),1)="[",TRIM(MID(TRIM(A1136),FIND("]",TRIM(A1136)&amp;"]")+1,200)),TRIM(A1136)),FIND("(",IF(LEFT(TRIM(A1136),1)="[",TRIM(MID(TRIM(A1136),FIND("]",TRIM(A1136)&amp;"]")+1,200)),TRIM(A1136))&amp;"(")-1)),IF(LEFT(TRIM(A1136),1)="[",TRIM(MID(TRIM(A1136),FIND("]",TRIM(A1136)&amp;"]")+1,200)),TRIM(A1136))),""))</f>
      </c>
      <c r="C1136" s="17">
        <f>IF(B1136&lt;&gt;"",B1136,C1135)</f>
      </c>
      <c r="D1136" s="17">
        <f>IF(A1136="","",IF(OR(LEFT(UPPER(TRIM(A1136)),2)="Y:",LEFT(UPPER(TRIM(A1136)),10)="YESTERDAY:"),"Y",IF(OR(LEFT(UPPER(TRIM(A1136)),2)="T:",LEFT(UPPER(TRIM(A1136)),6)="TODAY:"),"T",IF(OR(LEFT(UPPER(TRIM(A1136)),2)="B:",LEFT(UPPER(TRIM(A1136)),8)="BLOCKER:",LEFT(UPPER(TRIM(A1136)),9)="BLOCKERS:",LEFT(UPPER(TRIM(A1136)),8)="BLOCKED:"),"B",""))))</f>
      </c>
      <c r="E1136" s="17">
        <f>IF(D1136="","",TRIM(MID(A1136,FIND(":",A1136)+1,500)))</f>
      </c>
    </row>
    <row r="1137">
      <c r="B1137" s="17">
        <f>IF(A1137="","",IF(COUNTIF(Roster[Name],IF(RIGHT(IF(LEFT(TRIM(A1137),1)="[",TRIM(MID(TRIM(A1137),FIND("]",TRIM(A1137)&amp;"]")+1,200)),TRIM(A1137)),1)=")",TRIM(LEFT(IF(LEFT(TRIM(A1137),1)="[",TRIM(MID(TRIM(A1137),FIND("]",TRIM(A1137)&amp;"]")+1,200)),TRIM(A1137)),FIND("(",IF(LEFT(TRIM(A1137),1)="[",TRIM(MID(TRIM(A1137),FIND("]",TRIM(A1137)&amp;"]")+1,200)),TRIM(A1137))&amp;"(")-1)),IF(LEFT(TRIM(A1137),1)="[",TRIM(MID(TRIM(A1137),FIND("]",TRIM(A1137)&amp;"]")+1,200)),TRIM(A1137))))&gt;0,IF(RIGHT(IF(LEFT(TRIM(A1137),1)="[",TRIM(MID(TRIM(A1137),FIND("]",TRIM(A1137)&amp;"]")+1,200)),TRIM(A1137)),1)=")",TRIM(LEFT(IF(LEFT(TRIM(A1137),1)="[",TRIM(MID(TRIM(A1137),FIND("]",TRIM(A1137)&amp;"]")+1,200)),TRIM(A1137)),FIND("(",IF(LEFT(TRIM(A1137),1)="[",TRIM(MID(TRIM(A1137),FIND("]",TRIM(A1137)&amp;"]")+1,200)),TRIM(A1137))&amp;"(")-1)),IF(LEFT(TRIM(A1137),1)="[",TRIM(MID(TRIM(A1137),FIND("]",TRIM(A1137)&amp;"]")+1,200)),TRIM(A1137))),""))</f>
      </c>
      <c r="C1137" s="17">
        <f>IF(B1137&lt;&gt;"",B1137,C1136)</f>
      </c>
      <c r="D1137" s="17">
        <f>IF(A1137="","",IF(OR(LEFT(UPPER(TRIM(A1137)),2)="Y:",LEFT(UPPER(TRIM(A1137)),10)="YESTERDAY:"),"Y",IF(OR(LEFT(UPPER(TRIM(A1137)),2)="T:",LEFT(UPPER(TRIM(A1137)),6)="TODAY:"),"T",IF(OR(LEFT(UPPER(TRIM(A1137)),2)="B:",LEFT(UPPER(TRIM(A1137)),8)="BLOCKER:",LEFT(UPPER(TRIM(A1137)),9)="BLOCKERS:",LEFT(UPPER(TRIM(A1137)),8)="BLOCKED:"),"B",""))))</f>
      </c>
      <c r="E1137" s="17">
        <f>IF(D1137="","",TRIM(MID(A1137,FIND(":",A1137)+1,500)))</f>
      </c>
    </row>
    <row r="1138">
      <c r="B1138" s="17">
        <f>IF(A1138="","",IF(COUNTIF(Roster[Name],IF(RIGHT(IF(LEFT(TRIM(A1138),1)="[",TRIM(MID(TRIM(A1138),FIND("]",TRIM(A1138)&amp;"]")+1,200)),TRIM(A1138)),1)=")",TRIM(LEFT(IF(LEFT(TRIM(A1138),1)="[",TRIM(MID(TRIM(A1138),FIND("]",TRIM(A1138)&amp;"]")+1,200)),TRIM(A1138)),FIND("(",IF(LEFT(TRIM(A1138),1)="[",TRIM(MID(TRIM(A1138),FIND("]",TRIM(A1138)&amp;"]")+1,200)),TRIM(A1138))&amp;"(")-1)),IF(LEFT(TRIM(A1138),1)="[",TRIM(MID(TRIM(A1138),FIND("]",TRIM(A1138)&amp;"]")+1,200)),TRIM(A1138))))&gt;0,IF(RIGHT(IF(LEFT(TRIM(A1138),1)="[",TRIM(MID(TRIM(A1138),FIND("]",TRIM(A1138)&amp;"]")+1,200)),TRIM(A1138)),1)=")",TRIM(LEFT(IF(LEFT(TRIM(A1138),1)="[",TRIM(MID(TRIM(A1138),FIND("]",TRIM(A1138)&amp;"]")+1,200)),TRIM(A1138)),FIND("(",IF(LEFT(TRIM(A1138),1)="[",TRIM(MID(TRIM(A1138),FIND("]",TRIM(A1138)&amp;"]")+1,200)),TRIM(A1138))&amp;"(")-1)),IF(LEFT(TRIM(A1138),1)="[",TRIM(MID(TRIM(A1138),FIND("]",TRIM(A1138)&amp;"]")+1,200)),TRIM(A1138))),""))</f>
      </c>
      <c r="C1138" s="17">
        <f>IF(B1138&lt;&gt;"",B1138,C1137)</f>
      </c>
      <c r="D1138" s="17">
        <f>IF(A1138="","",IF(OR(LEFT(UPPER(TRIM(A1138)),2)="Y:",LEFT(UPPER(TRIM(A1138)),10)="YESTERDAY:"),"Y",IF(OR(LEFT(UPPER(TRIM(A1138)),2)="T:",LEFT(UPPER(TRIM(A1138)),6)="TODAY:"),"T",IF(OR(LEFT(UPPER(TRIM(A1138)),2)="B:",LEFT(UPPER(TRIM(A1138)),8)="BLOCKER:",LEFT(UPPER(TRIM(A1138)),9)="BLOCKERS:",LEFT(UPPER(TRIM(A1138)),8)="BLOCKED:"),"B",""))))</f>
      </c>
      <c r="E1138" s="17">
        <f>IF(D1138="","",TRIM(MID(A1138,FIND(":",A1138)+1,500)))</f>
      </c>
    </row>
    <row r="1139">
      <c r="B1139" s="17">
        <f>IF(A1139="","",IF(COUNTIF(Roster[Name],IF(RIGHT(IF(LEFT(TRIM(A1139),1)="[",TRIM(MID(TRIM(A1139),FIND("]",TRIM(A1139)&amp;"]")+1,200)),TRIM(A1139)),1)=")",TRIM(LEFT(IF(LEFT(TRIM(A1139),1)="[",TRIM(MID(TRIM(A1139),FIND("]",TRIM(A1139)&amp;"]")+1,200)),TRIM(A1139)),FIND("(",IF(LEFT(TRIM(A1139),1)="[",TRIM(MID(TRIM(A1139),FIND("]",TRIM(A1139)&amp;"]")+1,200)),TRIM(A1139))&amp;"(")-1)),IF(LEFT(TRIM(A1139),1)="[",TRIM(MID(TRIM(A1139),FIND("]",TRIM(A1139)&amp;"]")+1,200)),TRIM(A1139))))&gt;0,IF(RIGHT(IF(LEFT(TRIM(A1139),1)="[",TRIM(MID(TRIM(A1139),FIND("]",TRIM(A1139)&amp;"]")+1,200)),TRIM(A1139)),1)=")",TRIM(LEFT(IF(LEFT(TRIM(A1139),1)="[",TRIM(MID(TRIM(A1139),FIND("]",TRIM(A1139)&amp;"]")+1,200)),TRIM(A1139)),FIND("(",IF(LEFT(TRIM(A1139),1)="[",TRIM(MID(TRIM(A1139),FIND("]",TRIM(A1139)&amp;"]")+1,200)),TRIM(A1139))&amp;"(")-1)),IF(LEFT(TRIM(A1139),1)="[",TRIM(MID(TRIM(A1139),FIND("]",TRIM(A1139)&amp;"]")+1,200)),TRIM(A1139))),""))</f>
      </c>
      <c r="C1139" s="17">
        <f>IF(B1139&lt;&gt;"",B1139,C1138)</f>
      </c>
      <c r="D1139" s="17">
        <f>IF(A1139="","",IF(OR(LEFT(UPPER(TRIM(A1139)),2)="Y:",LEFT(UPPER(TRIM(A1139)),10)="YESTERDAY:"),"Y",IF(OR(LEFT(UPPER(TRIM(A1139)),2)="T:",LEFT(UPPER(TRIM(A1139)),6)="TODAY:"),"T",IF(OR(LEFT(UPPER(TRIM(A1139)),2)="B:",LEFT(UPPER(TRIM(A1139)),8)="BLOCKER:",LEFT(UPPER(TRIM(A1139)),9)="BLOCKERS:",LEFT(UPPER(TRIM(A1139)),8)="BLOCKED:"),"B",""))))</f>
      </c>
      <c r="E1139" s="17">
        <f>IF(D1139="","",TRIM(MID(A1139,FIND(":",A1139)+1,500)))</f>
      </c>
    </row>
    <row r="1140">
      <c r="B1140" s="17">
        <f>IF(A1140="","",IF(COUNTIF(Roster[Name],IF(RIGHT(IF(LEFT(TRIM(A1140),1)="[",TRIM(MID(TRIM(A1140),FIND("]",TRIM(A1140)&amp;"]")+1,200)),TRIM(A1140)),1)=")",TRIM(LEFT(IF(LEFT(TRIM(A1140),1)="[",TRIM(MID(TRIM(A1140),FIND("]",TRIM(A1140)&amp;"]")+1,200)),TRIM(A1140)),FIND("(",IF(LEFT(TRIM(A1140),1)="[",TRIM(MID(TRIM(A1140),FIND("]",TRIM(A1140)&amp;"]")+1,200)),TRIM(A1140))&amp;"(")-1)),IF(LEFT(TRIM(A1140),1)="[",TRIM(MID(TRIM(A1140),FIND("]",TRIM(A1140)&amp;"]")+1,200)),TRIM(A1140))))&gt;0,IF(RIGHT(IF(LEFT(TRIM(A1140),1)="[",TRIM(MID(TRIM(A1140),FIND("]",TRIM(A1140)&amp;"]")+1,200)),TRIM(A1140)),1)=")",TRIM(LEFT(IF(LEFT(TRIM(A1140),1)="[",TRIM(MID(TRIM(A1140),FIND("]",TRIM(A1140)&amp;"]")+1,200)),TRIM(A1140)),FIND("(",IF(LEFT(TRIM(A1140),1)="[",TRIM(MID(TRIM(A1140),FIND("]",TRIM(A1140)&amp;"]")+1,200)),TRIM(A1140))&amp;"(")-1)),IF(LEFT(TRIM(A1140),1)="[",TRIM(MID(TRIM(A1140),FIND("]",TRIM(A1140)&amp;"]")+1,200)),TRIM(A1140))),""))</f>
      </c>
      <c r="C1140" s="17">
        <f>IF(B1140&lt;&gt;"",B1140,C1139)</f>
      </c>
      <c r="D1140" s="17">
        <f>IF(A1140="","",IF(OR(LEFT(UPPER(TRIM(A1140)),2)="Y:",LEFT(UPPER(TRIM(A1140)),10)="YESTERDAY:"),"Y",IF(OR(LEFT(UPPER(TRIM(A1140)),2)="T:",LEFT(UPPER(TRIM(A1140)),6)="TODAY:"),"T",IF(OR(LEFT(UPPER(TRIM(A1140)),2)="B:",LEFT(UPPER(TRIM(A1140)),8)="BLOCKER:",LEFT(UPPER(TRIM(A1140)),9)="BLOCKERS:",LEFT(UPPER(TRIM(A1140)),8)="BLOCKED:"),"B",""))))</f>
      </c>
      <c r="E1140" s="17">
        <f>IF(D1140="","",TRIM(MID(A1140,FIND(":",A1140)+1,500)))</f>
      </c>
    </row>
    <row r="1141">
      <c r="B1141" s="17">
        <f>IF(A1141="","",IF(COUNTIF(Roster[Name],IF(RIGHT(IF(LEFT(TRIM(A1141),1)="[",TRIM(MID(TRIM(A1141),FIND("]",TRIM(A1141)&amp;"]")+1,200)),TRIM(A1141)),1)=")",TRIM(LEFT(IF(LEFT(TRIM(A1141),1)="[",TRIM(MID(TRIM(A1141),FIND("]",TRIM(A1141)&amp;"]")+1,200)),TRIM(A1141)),FIND("(",IF(LEFT(TRIM(A1141),1)="[",TRIM(MID(TRIM(A1141),FIND("]",TRIM(A1141)&amp;"]")+1,200)),TRIM(A1141))&amp;"(")-1)),IF(LEFT(TRIM(A1141),1)="[",TRIM(MID(TRIM(A1141),FIND("]",TRIM(A1141)&amp;"]")+1,200)),TRIM(A1141))))&gt;0,IF(RIGHT(IF(LEFT(TRIM(A1141),1)="[",TRIM(MID(TRIM(A1141),FIND("]",TRIM(A1141)&amp;"]")+1,200)),TRIM(A1141)),1)=")",TRIM(LEFT(IF(LEFT(TRIM(A1141),1)="[",TRIM(MID(TRIM(A1141),FIND("]",TRIM(A1141)&amp;"]")+1,200)),TRIM(A1141)),FIND("(",IF(LEFT(TRIM(A1141),1)="[",TRIM(MID(TRIM(A1141),FIND("]",TRIM(A1141)&amp;"]")+1,200)),TRIM(A1141))&amp;"(")-1)),IF(LEFT(TRIM(A1141),1)="[",TRIM(MID(TRIM(A1141),FIND("]",TRIM(A1141)&amp;"]")+1,200)),TRIM(A1141))),""))</f>
      </c>
      <c r="C1141" s="17">
        <f>IF(B1141&lt;&gt;"",B1141,C1140)</f>
      </c>
      <c r="D1141" s="17">
        <f>IF(A1141="","",IF(OR(LEFT(UPPER(TRIM(A1141)),2)="Y:",LEFT(UPPER(TRIM(A1141)),10)="YESTERDAY:"),"Y",IF(OR(LEFT(UPPER(TRIM(A1141)),2)="T:",LEFT(UPPER(TRIM(A1141)),6)="TODAY:"),"T",IF(OR(LEFT(UPPER(TRIM(A1141)),2)="B:",LEFT(UPPER(TRIM(A1141)),8)="BLOCKER:",LEFT(UPPER(TRIM(A1141)),9)="BLOCKERS:",LEFT(UPPER(TRIM(A1141)),8)="BLOCKED:"),"B",""))))</f>
      </c>
      <c r="E1141" s="17">
        <f>IF(D1141="","",TRIM(MID(A1141,FIND(":",A1141)+1,500)))</f>
      </c>
    </row>
    <row r="1142">
      <c r="B1142" s="17">
        <f>IF(A1142="","",IF(COUNTIF(Roster[Name],IF(RIGHT(IF(LEFT(TRIM(A1142),1)="[",TRIM(MID(TRIM(A1142),FIND("]",TRIM(A1142)&amp;"]")+1,200)),TRIM(A1142)),1)=")",TRIM(LEFT(IF(LEFT(TRIM(A1142),1)="[",TRIM(MID(TRIM(A1142),FIND("]",TRIM(A1142)&amp;"]")+1,200)),TRIM(A1142)),FIND("(",IF(LEFT(TRIM(A1142),1)="[",TRIM(MID(TRIM(A1142),FIND("]",TRIM(A1142)&amp;"]")+1,200)),TRIM(A1142))&amp;"(")-1)),IF(LEFT(TRIM(A1142),1)="[",TRIM(MID(TRIM(A1142),FIND("]",TRIM(A1142)&amp;"]")+1,200)),TRIM(A1142))))&gt;0,IF(RIGHT(IF(LEFT(TRIM(A1142),1)="[",TRIM(MID(TRIM(A1142),FIND("]",TRIM(A1142)&amp;"]")+1,200)),TRIM(A1142)),1)=")",TRIM(LEFT(IF(LEFT(TRIM(A1142),1)="[",TRIM(MID(TRIM(A1142),FIND("]",TRIM(A1142)&amp;"]")+1,200)),TRIM(A1142)),FIND("(",IF(LEFT(TRIM(A1142),1)="[",TRIM(MID(TRIM(A1142),FIND("]",TRIM(A1142)&amp;"]")+1,200)),TRIM(A1142))&amp;"(")-1)),IF(LEFT(TRIM(A1142),1)="[",TRIM(MID(TRIM(A1142),FIND("]",TRIM(A1142)&amp;"]")+1,200)),TRIM(A1142))),""))</f>
      </c>
      <c r="C1142" s="17">
        <f>IF(B1142&lt;&gt;"",B1142,C1141)</f>
      </c>
      <c r="D1142" s="17">
        <f>IF(A1142="","",IF(OR(LEFT(UPPER(TRIM(A1142)),2)="Y:",LEFT(UPPER(TRIM(A1142)),10)="YESTERDAY:"),"Y",IF(OR(LEFT(UPPER(TRIM(A1142)),2)="T:",LEFT(UPPER(TRIM(A1142)),6)="TODAY:"),"T",IF(OR(LEFT(UPPER(TRIM(A1142)),2)="B:",LEFT(UPPER(TRIM(A1142)),8)="BLOCKER:",LEFT(UPPER(TRIM(A1142)),9)="BLOCKERS:",LEFT(UPPER(TRIM(A1142)),8)="BLOCKED:"),"B",""))))</f>
      </c>
      <c r="E1142" s="17">
        <f>IF(D1142="","",TRIM(MID(A1142,FIND(":",A1142)+1,500)))</f>
      </c>
    </row>
    <row r="1143">
      <c r="B1143" s="17">
        <f>IF(A1143="","",IF(COUNTIF(Roster[Name],IF(RIGHT(IF(LEFT(TRIM(A1143),1)="[",TRIM(MID(TRIM(A1143),FIND("]",TRIM(A1143)&amp;"]")+1,200)),TRIM(A1143)),1)=")",TRIM(LEFT(IF(LEFT(TRIM(A1143),1)="[",TRIM(MID(TRIM(A1143),FIND("]",TRIM(A1143)&amp;"]")+1,200)),TRIM(A1143)),FIND("(",IF(LEFT(TRIM(A1143),1)="[",TRIM(MID(TRIM(A1143),FIND("]",TRIM(A1143)&amp;"]")+1,200)),TRIM(A1143))&amp;"(")-1)),IF(LEFT(TRIM(A1143),1)="[",TRIM(MID(TRIM(A1143),FIND("]",TRIM(A1143)&amp;"]")+1,200)),TRIM(A1143))))&gt;0,IF(RIGHT(IF(LEFT(TRIM(A1143),1)="[",TRIM(MID(TRIM(A1143),FIND("]",TRIM(A1143)&amp;"]")+1,200)),TRIM(A1143)),1)=")",TRIM(LEFT(IF(LEFT(TRIM(A1143),1)="[",TRIM(MID(TRIM(A1143),FIND("]",TRIM(A1143)&amp;"]")+1,200)),TRIM(A1143)),FIND("(",IF(LEFT(TRIM(A1143),1)="[",TRIM(MID(TRIM(A1143),FIND("]",TRIM(A1143)&amp;"]")+1,200)),TRIM(A1143))&amp;"(")-1)),IF(LEFT(TRIM(A1143),1)="[",TRIM(MID(TRIM(A1143),FIND("]",TRIM(A1143)&amp;"]")+1,200)),TRIM(A1143))),""))</f>
      </c>
      <c r="C1143" s="17">
        <f>IF(B1143&lt;&gt;"",B1143,C1142)</f>
      </c>
      <c r="D1143" s="17">
        <f>IF(A1143="","",IF(OR(LEFT(UPPER(TRIM(A1143)),2)="Y:",LEFT(UPPER(TRIM(A1143)),10)="YESTERDAY:"),"Y",IF(OR(LEFT(UPPER(TRIM(A1143)),2)="T:",LEFT(UPPER(TRIM(A1143)),6)="TODAY:"),"T",IF(OR(LEFT(UPPER(TRIM(A1143)),2)="B:",LEFT(UPPER(TRIM(A1143)),8)="BLOCKER:",LEFT(UPPER(TRIM(A1143)),9)="BLOCKERS:",LEFT(UPPER(TRIM(A1143)),8)="BLOCKED:"),"B",""))))</f>
      </c>
      <c r="E1143" s="17">
        <f>IF(D1143="","",TRIM(MID(A1143,FIND(":",A1143)+1,500)))</f>
      </c>
    </row>
    <row r="1144">
      <c r="B1144" s="17">
        <f>IF(A1144="","",IF(COUNTIF(Roster[Name],IF(RIGHT(IF(LEFT(TRIM(A1144),1)="[",TRIM(MID(TRIM(A1144),FIND("]",TRIM(A1144)&amp;"]")+1,200)),TRIM(A1144)),1)=")",TRIM(LEFT(IF(LEFT(TRIM(A1144),1)="[",TRIM(MID(TRIM(A1144),FIND("]",TRIM(A1144)&amp;"]")+1,200)),TRIM(A1144)),FIND("(",IF(LEFT(TRIM(A1144),1)="[",TRIM(MID(TRIM(A1144),FIND("]",TRIM(A1144)&amp;"]")+1,200)),TRIM(A1144))&amp;"(")-1)),IF(LEFT(TRIM(A1144),1)="[",TRIM(MID(TRIM(A1144),FIND("]",TRIM(A1144)&amp;"]")+1,200)),TRIM(A1144))))&gt;0,IF(RIGHT(IF(LEFT(TRIM(A1144),1)="[",TRIM(MID(TRIM(A1144),FIND("]",TRIM(A1144)&amp;"]")+1,200)),TRIM(A1144)),1)=")",TRIM(LEFT(IF(LEFT(TRIM(A1144),1)="[",TRIM(MID(TRIM(A1144),FIND("]",TRIM(A1144)&amp;"]")+1,200)),TRIM(A1144)),FIND("(",IF(LEFT(TRIM(A1144),1)="[",TRIM(MID(TRIM(A1144),FIND("]",TRIM(A1144)&amp;"]")+1,200)),TRIM(A1144))&amp;"(")-1)),IF(LEFT(TRIM(A1144),1)="[",TRIM(MID(TRIM(A1144),FIND("]",TRIM(A1144)&amp;"]")+1,200)),TRIM(A1144))),""))</f>
      </c>
      <c r="C1144" s="17">
        <f>IF(B1144&lt;&gt;"",B1144,C1143)</f>
      </c>
      <c r="D1144" s="17">
        <f>IF(A1144="","",IF(OR(LEFT(UPPER(TRIM(A1144)),2)="Y:",LEFT(UPPER(TRIM(A1144)),10)="YESTERDAY:"),"Y",IF(OR(LEFT(UPPER(TRIM(A1144)),2)="T:",LEFT(UPPER(TRIM(A1144)),6)="TODAY:"),"T",IF(OR(LEFT(UPPER(TRIM(A1144)),2)="B:",LEFT(UPPER(TRIM(A1144)),8)="BLOCKER:",LEFT(UPPER(TRIM(A1144)),9)="BLOCKERS:",LEFT(UPPER(TRIM(A1144)),8)="BLOCKED:"),"B",""))))</f>
      </c>
      <c r="E1144" s="17">
        <f>IF(D1144="","",TRIM(MID(A1144,FIND(":",A1144)+1,500)))</f>
      </c>
    </row>
    <row r="1145">
      <c r="B1145" s="17">
        <f>IF(A1145="","",IF(COUNTIF(Roster[Name],IF(RIGHT(IF(LEFT(TRIM(A1145),1)="[",TRIM(MID(TRIM(A1145),FIND("]",TRIM(A1145)&amp;"]")+1,200)),TRIM(A1145)),1)=")",TRIM(LEFT(IF(LEFT(TRIM(A1145),1)="[",TRIM(MID(TRIM(A1145),FIND("]",TRIM(A1145)&amp;"]")+1,200)),TRIM(A1145)),FIND("(",IF(LEFT(TRIM(A1145),1)="[",TRIM(MID(TRIM(A1145),FIND("]",TRIM(A1145)&amp;"]")+1,200)),TRIM(A1145))&amp;"(")-1)),IF(LEFT(TRIM(A1145),1)="[",TRIM(MID(TRIM(A1145),FIND("]",TRIM(A1145)&amp;"]")+1,200)),TRIM(A1145))))&gt;0,IF(RIGHT(IF(LEFT(TRIM(A1145),1)="[",TRIM(MID(TRIM(A1145),FIND("]",TRIM(A1145)&amp;"]")+1,200)),TRIM(A1145)),1)=")",TRIM(LEFT(IF(LEFT(TRIM(A1145),1)="[",TRIM(MID(TRIM(A1145),FIND("]",TRIM(A1145)&amp;"]")+1,200)),TRIM(A1145)),FIND("(",IF(LEFT(TRIM(A1145),1)="[",TRIM(MID(TRIM(A1145),FIND("]",TRIM(A1145)&amp;"]")+1,200)),TRIM(A1145))&amp;"(")-1)),IF(LEFT(TRIM(A1145),1)="[",TRIM(MID(TRIM(A1145),FIND("]",TRIM(A1145)&amp;"]")+1,200)),TRIM(A1145))),""))</f>
      </c>
      <c r="C1145" s="17">
        <f>IF(B1145&lt;&gt;"",B1145,C1144)</f>
      </c>
      <c r="D1145" s="17">
        <f>IF(A1145="","",IF(OR(LEFT(UPPER(TRIM(A1145)),2)="Y:",LEFT(UPPER(TRIM(A1145)),10)="YESTERDAY:"),"Y",IF(OR(LEFT(UPPER(TRIM(A1145)),2)="T:",LEFT(UPPER(TRIM(A1145)),6)="TODAY:"),"T",IF(OR(LEFT(UPPER(TRIM(A1145)),2)="B:",LEFT(UPPER(TRIM(A1145)),8)="BLOCKER:",LEFT(UPPER(TRIM(A1145)),9)="BLOCKERS:",LEFT(UPPER(TRIM(A1145)),8)="BLOCKED:"),"B",""))))</f>
      </c>
      <c r="E1145" s="17">
        <f>IF(D1145="","",TRIM(MID(A1145,FIND(":",A1145)+1,500)))</f>
      </c>
    </row>
    <row r="1146">
      <c r="B1146" s="17">
        <f>IF(A1146="","",IF(COUNTIF(Roster[Name],IF(RIGHT(IF(LEFT(TRIM(A1146),1)="[",TRIM(MID(TRIM(A1146),FIND("]",TRIM(A1146)&amp;"]")+1,200)),TRIM(A1146)),1)=")",TRIM(LEFT(IF(LEFT(TRIM(A1146),1)="[",TRIM(MID(TRIM(A1146),FIND("]",TRIM(A1146)&amp;"]")+1,200)),TRIM(A1146)),FIND("(",IF(LEFT(TRIM(A1146),1)="[",TRIM(MID(TRIM(A1146),FIND("]",TRIM(A1146)&amp;"]")+1,200)),TRIM(A1146))&amp;"(")-1)),IF(LEFT(TRIM(A1146),1)="[",TRIM(MID(TRIM(A1146),FIND("]",TRIM(A1146)&amp;"]")+1,200)),TRIM(A1146))))&gt;0,IF(RIGHT(IF(LEFT(TRIM(A1146),1)="[",TRIM(MID(TRIM(A1146),FIND("]",TRIM(A1146)&amp;"]")+1,200)),TRIM(A1146)),1)=")",TRIM(LEFT(IF(LEFT(TRIM(A1146),1)="[",TRIM(MID(TRIM(A1146),FIND("]",TRIM(A1146)&amp;"]")+1,200)),TRIM(A1146)),FIND("(",IF(LEFT(TRIM(A1146),1)="[",TRIM(MID(TRIM(A1146),FIND("]",TRIM(A1146)&amp;"]")+1,200)),TRIM(A1146))&amp;"(")-1)),IF(LEFT(TRIM(A1146),1)="[",TRIM(MID(TRIM(A1146),FIND("]",TRIM(A1146)&amp;"]")+1,200)),TRIM(A1146))),""))</f>
      </c>
      <c r="C1146" s="17">
        <f>IF(B1146&lt;&gt;"",B1146,C1145)</f>
      </c>
      <c r="D1146" s="17">
        <f>IF(A1146="","",IF(OR(LEFT(UPPER(TRIM(A1146)),2)="Y:",LEFT(UPPER(TRIM(A1146)),10)="YESTERDAY:"),"Y",IF(OR(LEFT(UPPER(TRIM(A1146)),2)="T:",LEFT(UPPER(TRIM(A1146)),6)="TODAY:"),"T",IF(OR(LEFT(UPPER(TRIM(A1146)),2)="B:",LEFT(UPPER(TRIM(A1146)),8)="BLOCKER:",LEFT(UPPER(TRIM(A1146)),9)="BLOCKERS:",LEFT(UPPER(TRIM(A1146)),8)="BLOCKED:"),"B",""))))</f>
      </c>
      <c r="E1146" s="17">
        <f>IF(D1146="","",TRIM(MID(A1146,FIND(":",A1146)+1,500)))</f>
      </c>
    </row>
    <row r="1147">
      <c r="B1147" s="17">
        <f>IF(A1147="","",IF(COUNTIF(Roster[Name],IF(RIGHT(IF(LEFT(TRIM(A1147),1)="[",TRIM(MID(TRIM(A1147),FIND("]",TRIM(A1147)&amp;"]")+1,200)),TRIM(A1147)),1)=")",TRIM(LEFT(IF(LEFT(TRIM(A1147),1)="[",TRIM(MID(TRIM(A1147),FIND("]",TRIM(A1147)&amp;"]")+1,200)),TRIM(A1147)),FIND("(",IF(LEFT(TRIM(A1147),1)="[",TRIM(MID(TRIM(A1147),FIND("]",TRIM(A1147)&amp;"]")+1,200)),TRIM(A1147))&amp;"(")-1)),IF(LEFT(TRIM(A1147),1)="[",TRIM(MID(TRIM(A1147),FIND("]",TRIM(A1147)&amp;"]")+1,200)),TRIM(A1147))))&gt;0,IF(RIGHT(IF(LEFT(TRIM(A1147),1)="[",TRIM(MID(TRIM(A1147),FIND("]",TRIM(A1147)&amp;"]")+1,200)),TRIM(A1147)),1)=")",TRIM(LEFT(IF(LEFT(TRIM(A1147),1)="[",TRIM(MID(TRIM(A1147),FIND("]",TRIM(A1147)&amp;"]")+1,200)),TRIM(A1147)),FIND("(",IF(LEFT(TRIM(A1147),1)="[",TRIM(MID(TRIM(A1147),FIND("]",TRIM(A1147)&amp;"]")+1,200)),TRIM(A1147))&amp;"(")-1)),IF(LEFT(TRIM(A1147),1)="[",TRIM(MID(TRIM(A1147),FIND("]",TRIM(A1147)&amp;"]")+1,200)),TRIM(A1147))),""))</f>
      </c>
      <c r="C1147" s="17">
        <f>IF(B1147&lt;&gt;"",B1147,C1146)</f>
      </c>
      <c r="D1147" s="17">
        <f>IF(A1147="","",IF(OR(LEFT(UPPER(TRIM(A1147)),2)="Y:",LEFT(UPPER(TRIM(A1147)),10)="YESTERDAY:"),"Y",IF(OR(LEFT(UPPER(TRIM(A1147)),2)="T:",LEFT(UPPER(TRIM(A1147)),6)="TODAY:"),"T",IF(OR(LEFT(UPPER(TRIM(A1147)),2)="B:",LEFT(UPPER(TRIM(A1147)),8)="BLOCKER:",LEFT(UPPER(TRIM(A1147)),9)="BLOCKERS:",LEFT(UPPER(TRIM(A1147)),8)="BLOCKED:"),"B",""))))</f>
      </c>
      <c r="E1147" s="17">
        <f>IF(D1147="","",TRIM(MID(A1147,FIND(":",A1147)+1,500)))</f>
      </c>
    </row>
    <row r="1148">
      <c r="B1148" s="17">
        <f>IF(A1148="","",IF(COUNTIF(Roster[Name],IF(RIGHT(IF(LEFT(TRIM(A1148),1)="[",TRIM(MID(TRIM(A1148),FIND("]",TRIM(A1148)&amp;"]")+1,200)),TRIM(A1148)),1)=")",TRIM(LEFT(IF(LEFT(TRIM(A1148),1)="[",TRIM(MID(TRIM(A1148),FIND("]",TRIM(A1148)&amp;"]")+1,200)),TRIM(A1148)),FIND("(",IF(LEFT(TRIM(A1148),1)="[",TRIM(MID(TRIM(A1148),FIND("]",TRIM(A1148)&amp;"]")+1,200)),TRIM(A1148))&amp;"(")-1)),IF(LEFT(TRIM(A1148),1)="[",TRIM(MID(TRIM(A1148),FIND("]",TRIM(A1148)&amp;"]")+1,200)),TRIM(A1148))))&gt;0,IF(RIGHT(IF(LEFT(TRIM(A1148),1)="[",TRIM(MID(TRIM(A1148),FIND("]",TRIM(A1148)&amp;"]")+1,200)),TRIM(A1148)),1)=")",TRIM(LEFT(IF(LEFT(TRIM(A1148),1)="[",TRIM(MID(TRIM(A1148),FIND("]",TRIM(A1148)&amp;"]")+1,200)),TRIM(A1148)),FIND("(",IF(LEFT(TRIM(A1148),1)="[",TRIM(MID(TRIM(A1148),FIND("]",TRIM(A1148)&amp;"]")+1,200)),TRIM(A1148))&amp;"(")-1)),IF(LEFT(TRIM(A1148),1)="[",TRIM(MID(TRIM(A1148),FIND("]",TRIM(A1148)&amp;"]")+1,200)),TRIM(A1148))),""))</f>
      </c>
      <c r="C1148" s="17">
        <f>IF(B1148&lt;&gt;"",B1148,C1147)</f>
      </c>
      <c r="D1148" s="17">
        <f>IF(A1148="","",IF(OR(LEFT(UPPER(TRIM(A1148)),2)="Y:",LEFT(UPPER(TRIM(A1148)),10)="YESTERDAY:"),"Y",IF(OR(LEFT(UPPER(TRIM(A1148)),2)="T:",LEFT(UPPER(TRIM(A1148)),6)="TODAY:"),"T",IF(OR(LEFT(UPPER(TRIM(A1148)),2)="B:",LEFT(UPPER(TRIM(A1148)),8)="BLOCKER:",LEFT(UPPER(TRIM(A1148)),9)="BLOCKERS:",LEFT(UPPER(TRIM(A1148)),8)="BLOCKED:"),"B",""))))</f>
      </c>
      <c r="E1148" s="17">
        <f>IF(D1148="","",TRIM(MID(A1148,FIND(":",A1148)+1,500)))</f>
      </c>
    </row>
    <row r="1149">
      <c r="B1149" s="17">
        <f>IF(A1149="","",IF(COUNTIF(Roster[Name],IF(RIGHT(IF(LEFT(TRIM(A1149),1)="[",TRIM(MID(TRIM(A1149),FIND("]",TRIM(A1149)&amp;"]")+1,200)),TRIM(A1149)),1)=")",TRIM(LEFT(IF(LEFT(TRIM(A1149),1)="[",TRIM(MID(TRIM(A1149),FIND("]",TRIM(A1149)&amp;"]")+1,200)),TRIM(A1149)),FIND("(",IF(LEFT(TRIM(A1149),1)="[",TRIM(MID(TRIM(A1149),FIND("]",TRIM(A1149)&amp;"]")+1,200)),TRIM(A1149))&amp;"(")-1)),IF(LEFT(TRIM(A1149),1)="[",TRIM(MID(TRIM(A1149),FIND("]",TRIM(A1149)&amp;"]")+1,200)),TRIM(A1149))))&gt;0,IF(RIGHT(IF(LEFT(TRIM(A1149),1)="[",TRIM(MID(TRIM(A1149),FIND("]",TRIM(A1149)&amp;"]")+1,200)),TRIM(A1149)),1)=")",TRIM(LEFT(IF(LEFT(TRIM(A1149),1)="[",TRIM(MID(TRIM(A1149),FIND("]",TRIM(A1149)&amp;"]")+1,200)),TRIM(A1149)),FIND("(",IF(LEFT(TRIM(A1149),1)="[",TRIM(MID(TRIM(A1149),FIND("]",TRIM(A1149)&amp;"]")+1,200)),TRIM(A1149))&amp;"(")-1)),IF(LEFT(TRIM(A1149),1)="[",TRIM(MID(TRIM(A1149),FIND("]",TRIM(A1149)&amp;"]")+1,200)),TRIM(A1149))),""))</f>
      </c>
      <c r="C1149" s="17">
        <f>IF(B1149&lt;&gt;"",B1149,C1148)</f>
      </c>
      <c r="D1149" s="17">
        <f>IF(A1149="","",IF(OR(LEFT(UPPER(TRIM(A1149)),2)="Y:",LEFT(UPPER(TRIM(A1149)),10)="YESTERDAY:"),"Y",IF(OR(LEFT(UPPER(TRIM(A1149)),2)="T:",LEFT(UPPER(TRIM(A1149)),6)="TODAY:"),"T",IF(OR(LEFT(UPPER(TRIM(A1149)),2)="B:",LEFT(UPPER(TRIM(A1149)),8)="BLOCKER:",LEFT(UPPER(TRIM(A1149)),9)="BLOCKERS:",LEFT(UPPER(TRIM(A1149)),8)="BLOCKED:"),"B",""))))</f>
      </c>
      <c r="E1149" s="17">
        <f>IF(D1149="","",TRIM(MID(A1149,FIND(":",A1149)+1,500)))</f>
      </c>
    </row>
    <row r="1150">
      <c r="B1150" s="17">
        <f>IF(A1150="","",IF(COUNTIF(Roster[Name],IF(RIGHT(IF(LEFT(TRIM(A1150),1)="[",TRIM(MID(TRIM(A1150),FIND("]",TRIM(A1150)&amp;"]")+1,200)),TRIM(A1150)),1)=")",TRIM(LEFT(IF(LEFT(TRIM(A1150),1)="[",TRIM(MID(TRIM(A1150),FIND("]",TRIM(A1150)&amp;"]")+1,200)),TRIM(A1150)),FIND("(",IF(LEFT(TRIM(A1150),1)="[",TRIM(MID(TRIM(A1150),FIND("]",TRIM(A1150)&amp;"]")+1,200)),TRIM(A1150))&amp;"(")-1)),IF(LEFT(TRIM(A1150),1)="[",TRIM(MID(TRIM(A1150),FIND("]",TRIM(A1150)&amp;"]")+1,200)),TRIM(A1150))))&gt;0,IF(RIGHT(IF(LEFT(TRIM(A1150),1)="[",TRIM(MID(TRIM(A1150),FIND("]",TRIM(A1150)&amp;"]")+1,200)),TRIM(A1150)),1)=")",TRIM(LEFT(IF(LEFT(TRIM(A1150),1)="[",TRIM(MID(TRIM(A1150),FIND("]",TRIM(A1150)&amp;"]")+1,200)),TRIM(A1150)),FIND("(",IF(LEFT(TRIM(A1150),1)="[",TRIM(MID(TRIM(A1150),FIND("]",TRIM(A1150)&amp;"]")+1,200)),TRIM(A1150))&amp;"(")-1)),IF(LEFT(TRIM(A1150),1)="[",TRIM(MID(TRIM(A1150),FIND("]",TRIM(A1150)&amp;"]")+1,200)),TRIM(A1150))),""))</f>
      </c>
      <c r="C1150" s="17">
        <f>IF(B1150&lt;&gt;"",B1150,C1149)</f>
      </c>
      <c r="D1150" s="17">
        <f>IF(A1150="","",IF(OR(LEFT(UPPER(TRIM(A1150)),2)="Y:",LEFT(UPPER(TRIM(A1150)),10)="YESTERDAY:"),"Y",IF(OR(LEFT(UPPER(TRIM(A1150)),2)="T:",LEFT(UPPER(TRIM(A1150)),6)="TODAY:"),"T",IF(OR(LEFT(UPPER(TRIM(A1150)),2)="B:",LEFT(UPPER(TRIM(A1150)),8)="BLOCKER:",LEFT(UPPER(TRIM(A1150)),9)="BLOCKERS:",LEFT(UPPER(TRIM(A1150)),8)="BLOCKED:"),"B",""))))</f>
      </c>
      <c r="E1150" s="17">
        <f>IF(D1150="","",TRIM(MID(A1150,FIND(":",A1150)+1,500)))</f>
      </c>
    </row>
    <row r="1151">
      <c r="B1151" s="17">
        <f>IF(A1151="","",IF(COUNTIF(Roster[Name],IF(RIGHT(IF(LEFT(TRIM(A1151),1)="[",TRIM(MID(TRIM(A1151),FIND("]",TRIM(A1151)&amp;"]")+1,200)),TRIM(A1151)),1)=")",TRIM(LEFT(IF(LEFT(TRIM(A1151),1)="[",TRIM(MID(TRIM(A1151),FIND("]",TRIM(A1151)&amp;"]")+1,200)),TRIM(A1151)),FIND("(",IF(LEFT(TRIM(A1151),1)="[",TRIM(MID(TRIM(A1151),FIND("]",TRIM(A1151)&amp;"]")+1,200)),TRIM(A1151))&amp;"(")-1)),IF(LEFT(TRIM(A1151),1)="[",TRIM(MID(TRIM(A1151),FIND("]",TRIM(A1151)&amp;"]")+1,200)),TRIM(A1151))))&gt;0,IF(RIGHT(IF(LEFT(TRIM(A1151),1)="[",TRIM(MID(TRIM(A1151),FIND("]",TRIM(A1151)&amp;"]")+1,200)),TRIM(A1151)),1)=")",TRIM(LEFT(IF(LEFT(TRIM(A1151),1)="[",TRIM(MID(TRIM(A1151),FIND("]",TRIM(A1151)&amp;"]")+1,200)),TRIM(A1151)),FIND("(",IF(LEFT(TRIM(A1151),1)="[",TRIM(MID(TRIM(A1151),FIND("]",TRIM(A1151)&amp;"]")+1,200)),TRIM(A1151))&amp;"(")-1)),IF(LEFT(TRIM(A1151),1)="[",TRIM(MID(TRIM(A1151),FIND("]",TRIM(A1151)&amp;"]")+1,200)),TRIM(A1151))),""))</f>
      </c>
      <c r="C1151" s="17">
        <f>IF(B1151&lt;&gt;"",B1151,C1150)</f>
      </c>
      <c r="D1151" s="17">
        <f>IF(A1151="","",IF(OR(LEFT(UPPER(TRIM(A1151)),2)="Y:",LEFT(UPPER(TRIM(A1151)),10)="YESTERDAY:"),"Y",IF(OR(LEFT(UPPER(TRIM(A1151)),2)="T:",LEFT(UPPER(TRIM(A1151)),6)="TODAY:"),"T",IF(OR(LEFT(UPPER(TRIM(A1151)),2)="B:",LEFT(UPPER(TRIM(A1151)),8)="BLOCKER:",LEFT(UPPER(TRIM(A1151)),9)="BLOCKERS:",LEFT(UPPER(TRIM(A1151)),8)="BLOCKED:"),"B",""))))</f>
      </c>
      <c r="E1151" s="17">
        <f>IF(D1151="","",TRIM(MID(A1151,FIND(":",A1151)+1,500)))</f>
      </c>
    </row>
    <row r="1152">
      <c r="B1152" s="17">
        <f>IF(A1152="","",IF(COUNTIF(Roster[Name],IF(RIGHT(IF(LEFT(TRIM(A1152),1)="[",TRIM(MID(TRIM(A1152),FIND("]",TRIM(A1152)&amp;"]")+1,200)),TRIM(A1152)),1)=")",TRIM(LEFT(IF(LEFT(TRIM(A1152),1)="[",TRIM(MID(TRIM(A1152),FIND("]",TRIM(A1152)&amp;"]")+1,200)),TRIM(A1152)),FIND("(",IF(LEFT(TRIM(A1152),1)="[",TRIM(MID(TRIM(A1152),FIND("]",TRIM(A1152)&amp;"]")+1,200)),TRIM(A1152))&amp;"(")-1)),IF(LEFT(TRIM(A1152),1)="[",TRIM(MID(TRIM(A1152),FIND("]",TRIM(A1152)&amp;"]")+1,200)),TRIM(A1152))))&gt;0,IF(RIGHT(IF(LEFT(TRIM(A1152),1)="[",TRIM(MID(TRIM(A1152),FIND("]",TRIM(A1152)&amp;"]")+1,200)),TRIM(A1152)),1)=")",TRIM(LEFT(IF(LEFT(TRIM(A1152),1)="[",TRIM(MID(TRIM(A1152),FIND("]",TRIM(A1152)&amp;"]")+1,200)),TRIM(A1152)),FIND("(",IF(LEFT(TRIM(A1152),1)="[",TRIM(MID(TRIM(A1152),FIND("]",TRIM(A1152)&amp;"]")+1,200)),TRIM(A1152))&amp;"(")-1)),IF(LEFT(TRIM(A1152),1)="[",TRIM(MID(TRIM(A1152),FIND("]",TRIM(A1152)&amp;"]")+1,200)),TRIM(A1152))),""))</f>
      </c>
      <c r="C1152" s="17">
        <f>IF(B1152&lt;&gt;"",B1152,C1151)</f>
      </c>
      <c r="D1152" s="17">
        <f>IF(A1152="","",IF(OR(LEFT(UPPER(TRIM(A1152)),2)="Y:",LEFT(UPPER(TRIM(A1152)),10)="YESTERDAY:"),"Y",IF(OR(LEFT(UPPER(TRIM(A1152)),2)="T:",LEFT(UPPER(TRIM(A1152)),6)="TODAY:"),"T",IF(OR(LEFT(UPPER(TRIM(A1152)),2)="B:",LEFT(UPPER(TRIM(A1152)),8)="BLOCKER:",LEFT(UPPER(TRIM(A1152)),9)="BLOCKERS:",LEFT(UPPER(TRIM(A1152)),8)="BLOCKED:"),"B",""))))</f>
      </c>
      <c r="E1152" s="17">
        <f>IF(D1152="","",TRIM(MID(A1152,FIND(":",A1152)+1,500)))</f>
      </c>
    </row>
    <row r="1153">
      <c r="B1153" s="17">
        <f>IF(A1153="","",IF(COUNTIF(Roster[Name],IF(RIGHT(IF(LEFT(TRIM(A1153),1)="[",TRIM(MID(TRIM(A1153),FIND("]",TRIM(A1153)&amp;"]")+1,200)),TRIM(A1153)),1)=")",TRIM(LEFT(IF(LEFT(TRIM(A1153),1)="[",TRIM(MID(TRIM(A1153),FIND("]",TRIM(A1153)&amp;"]")+1,200)),TRIM(A1153)),FIND("(",IF(LEFT(TRIM(A1153),1)="[",TRIM(MID(TRIM(A1153),FIND("]",TRIM(A1153)&amp;"]")+1,200)),TRIM(A1153))&amp;"(")-1)),IF(LEFT(TRIM(A1153),1)="[",TRIM(MID(TRIM(A1153),FIND("]",TRIM(A1153)&amp;"]")+1,200)),TRIM(A1153))))&gt;0,IF(RIGHT(IF(LEFT(TRIM(A1153),1)="[",TRIM(MID(TRIM(A1153),FIND("]",TRIM(A1153)&amp;"]")+1,200)),TRIM(A1153)),1)=")",TRIM(LEFT(IF(LEFT(TRIM(A1153),1)="[",TRIM(MID(TRIM(A1153),FIND("]",TRIM(A1153)&amp;"]")+1,200)),TRIM(A1153)),FIND("(",IF(LEFT(TRIM(A1153),1)="[",TRIM(MID(TRIM(A1153),FIND("]",TRIM(A1153)&amp;"]")+1,200)),TRIM(A1153))&amp;"(")-1)),IF(LEFT(TRIM(A1153),1)="[",TRIM(MID(TRIM(A1153),FIND("]",TRIM(A1153)&amp;"]")+1,200)),TRIM(A1153))),""))</f>
      </c>
      <c r="C1153" s="17">
        <f>IF(B1153&lt;&gt;"",B1153,C1152)</f>
      </c>
      <c r="D1153" s="17">
        <f>IF(A1153="","",IF(OR(LEFT(UPPER(TRIM(A1153)),2)="Y:",LEFT(UPPER(TRIM(A1153)),10)="YESTERDAY:"),"Y",IF(OR(LEFT(UPPER(TRIM(A1153)),2)="T:",LEFT(UPPER(TRIM(A1153)),6)="TODAY:"),"T",IF(OR(LEFT(UPPER(TRIM(A1153)),2)="B:",LEFT(UPPER(TRIM(A1153)),8)="BLOCKER:",LEFT(UPPER(TRIM(A1153)),9)="BLOCKERS:",LEFT(UPPER(TRIM(A1153)),8)="BLOCKED:"),"B",""))))</f>
      </c>
      <c r="E1153" s="17">
        <f>IF(D1153="","",TRIM(MID(A1153,FIND(":",A1153)+1,500)))</f>
      </c>
    </row>
    <row r="1154">
      <c r="B1154" s="17">
        <f>IF(A1154="","",IF(COUNTIF(Roster[Name],IF(RIGHT(IF(LEFT(TRIM(A1154),1)="[",TRIM(MID(TRIM(A1154),FIND("]",TRIM(A1154)&amp;"]")+1,200)),TRIM(A1154)),1)=")",TRIM(LEFT(IF(LEFT(TRIM(A1154),1)="[",TRIM(MID(TRIM(A1154),FIND("]",TRIM(A1154)&amp;"]")+1,200)),TRIM(A1154)),FIND("(",IF(LEFT(TRIM(A1154),1)="[",TRIM(MID(TRIM(A1154),FIND("]",TRIM(A1154)&amp;"]")+1,200)),TRIM(A1154))&amp;"(")-1)),IF(LEFT(TRIM(A1154),1)="[",TRIM(MID(TRIM(A1154),FIND("]",TRIM(A1154)&amp;"]")+1,200)),TRIM(A1154))))&gt;0,IF(RIGHT(IF(LEFT(TRIM(A1154),1)="[",TRIM(MID(TRIM(A1154),FIND("]",TRIM(A1154)&amp;"]")+1,200)),TRIM(A1154)),1)=")",TRIM(LEFT(IF(LEFT(TRIM(A1154),1)="[",TRIM(MID(TRIM(A1154),FIND("]",TRIM(A1154)&amp;"]")+1,200)),TRIM(A1154)),FIND("(",IF(LEFT(TRIM(A1154),1)="[",TRIM(MID(TRIM(A1154),FIND("]",TRIM(A1154)&amp;"]")+1,200)),TRIM(A1154))&amp;"(")-1)),IF(LEFT(TRIM(A1154),1)="[",TRIM(MID(TRIM(A1154),FIND("]",TRIM(A1154)&amp;"]")+1,200)),TRIM(A1154))),""))</f>
      </c>
      <c r="C1154" s="17">
        <f>IF(B1154&lt;&gt;"",B1154,C1153)</f>
      </c>
      <c r="D1154" s="17">
        <f>IF(A1154="","",IF(OR(LEFT(UPPER(TRIM(A1154)),2)="Y:",LEFT(UPPER(TRIM(A1154)),10)="YESTERDAY:"),"Y",IF(OR(LEFT(UPPER(TRIM(A1154)),2)="T:",LEFT(UPPER(TRIM(A1154)),6)="TODAY:"),"T",IF(OR(LEFT(UPPER(TRIM(A1154)),2)="B:",LEFT(UPPER(TRIM(A1154)),8)="BLOCKER:",LEFT(UPPER(TRIM(A1154)),9)="BLOCKERS:",LEFT(UPPER(TRIM(A1154)),8)="BLOCKED:"),"B",""))))</f>
      </c>
      <c r="E1154" s="17">
        <f>IF(D1154="","",TRIM(MID(A1154,FIND(":",A1154)+1,500)))</f>
      </c>
    </row>
    <row r="1155">
      <c r="B1155" s="17">
        <f>IF(A1155="","",IF(COUNTIF(Roster[Name],IF(RIGHT(IF(LEFT(TRIM(A1155),1)="[",TRIM(MID(TRIM(A1155),FIND("]",TRIM(A1155)&amp;"]")+1,200)),TRIM(A1155)),1)=")",TRIM(LEFT(IF(LEFT(TRIM(A1155),1)="[",TRIM(MID(TRIM(A1155),FIND("]",TRIM(A1155)&amp;"]")+1,200)),TRIM(A1155)),FIND("(",IF(LEFT(TRIM(A1155),1)="[",TRIM(MID(TRIM(A1155),FIND("]",TRIM(A1155)&amp;"]")+1,200)),TRIM(A1155))&amp;"(")-1)),IF(LEFT(TRIM(A1155),1)="[",TRIM(MID(TRIM(A1155),FIND("]",TRIM(A1155)&amp;"]")+1,200)),TRIM(A1155))))&gt;0,IF(RIGHT(IF(LEFT(TRIM(A1155),1)="[",TRIM(MID(TRIM(A1155),FIND("]",TRIM(A1155)&amp;"]")+1,200)),TRIM(A1155)),1)=")",TRIM(LEFT(IF(LEFT(TRIM(A1155),1)="[",TRIM(MID(TRIM(A1155),FIND("]",TRIM(A1155)&amp;"]")+1,200)),TRIM(A1155)),FIND("(",IF(LEFT(TRIM(A1155),1)="[",TRIM(MID(TRIM(A1155),FIND("]",TRIM(A1155)&amp;"]")+1,200)),TRIM(A1155))&amp;"(")-1)),IF(LEFT(TRIM(A1155),1)="[",TRIM(MID(TRIM(A1155),FIND("]",TRIM(A1155)&amp;"]")+1,200)),TRIM(A1155))),""))</f>
      </c>
      <c r="C1155" s="17">
        <f>IF(B1155&lt;&gt;"",B1155,C1154)</f>
      </c>
      <c r="D1155" s="17">
        <f>IF(A1155="","",IF(OR(LEFT(UPPER(TRIM(A1155)),2)="Y:",LEFT(UPPER(TRIM(A1155)),10)="YESTERDAY:"),"Y",IF(OR(LEFT(UPPER(TRIM(A1155)),2)="T:",LEFT(UPPER(TRIM(A1155)),6)="TODAY:"),"T",IF(OR(LEFT(UPPER(TRIM(A1155)),2)="B:",LEFT(UPPER(TRIM(A1155)),8)="BLOCKER:",LEFT(UPPER(TRIM(A1155)),9)="BLOCKERS:",LEFT(UPPER(TRIM(A1155)),8)="BLOCKED:"),"B",""))))</f>
      </c>
      <c r="E1155" s="17">
        <f>IF(D1155="","",TRIM(MID(A1155,FIND(":",A1155)+1,500)))</f>
      </c>
    </row>
    <row r="1156">
      <c r="B1156" s="17">
        <f>IF(A1156="","",IF(COUNTIF(Roster[Name],IF(RIGHT(IF(LEFT(TRIM(A1156),1)="[",TRIM(MID(TRIM(A1156),FIND("]",TRIM(A1156)&amp;"]")+1,200)),TRIM(A1156)),1)=")",TRIM(LEFT(IF(LEFT(TRIM(A1156),1)="[",TRIM(MID(TRIM(A1156),FIND("]",TRIM(A1156)&amp;"]")+1,200)),TRIM(A1156)),FIND("(",IF(LEFT(TRIM(A1156),1)="[",TRIM(MID(TRIM(A1156),FIND("]",TRIM(A1156)&amp;"]")+1,200)),TRIM(A1156))&amp;"(")-1)),IF(LEFT(TRIM(A1156),1)="[",TRIM(MID(TRIM(A1156),FIND("]",TRIM(A1156)&amp;"]")+1,200)),TRIM(A1156))))&gt;0,IF(RIGHT(IF(LEFT(TRIM(A1156),1)="[",TRIM(MID(TRIM(A1156),FIND("]",TRIM(A1156)&amp;"]")+1,200)),TRIM(A1156)),1)=")",TRIM(LEFT(IF(LEFT(TRIM(A1156),1)="[",TRIM(MID(TRIM(A1156),FIND("]",TRIM(A1156)&amp;"]")+1,200)),TRIM(A1156)),FIND("(",IF(LEFT(TRIM(A1156),1)="[",TRIM(MID(TRIM(A1156),FIND("]",TRIM(A1156)&amp;"]")+1,200)),TRIM(A1156))&amp;"(")-1)),IF(LEFT(TRIM(A1156),1)="[",TRIM(MID(TRIM(A1156),FIND("]",TRIM(A1156)&amp;"]")+1,200)),TRIM(A1156))),""))</f>
      </c>
      <c r="C1156" s="17">
        <f>IF(B1156&lt;&gt;"",B1156,C1155)</f>
      </c>
      <c r="D1156" s="17">
        <f>IF(A1156="","",IF(OR(LEFT(UPPER(TRIM(A1156)),2)="Y:",LEFT(UPPER(TRIM(A1156)),10)="YESTERDAY:"),"Y",IF(OR(LEFT(UPPER(TRIM(A1156)),2)="T:",LEFT(UPPER(TRIM(A1156)),6)="TODAY:"),"T",IF(OR(LEFT(UPPER(TRIM(A1156)),2)="B:",LEFT(UPPER(TRIM(A1156)),8)="BLOCKER:",LEFT(UPPER(TRIM(A1156)),9)="BLOCKERS:",LEFT(UPPER(TRIM(A1156)),8)="BLOCKED:"),"B",""))))</f>
      </c>
      <c r="E1156" s="17">
        <f>IF(D1156="","",TRIM(MID(A1156,FIND(":",A1156)+1,500)))</f>
      </c>
    </row>
    <row r="1157">
      <c r="B1157" s="17">
        <f>IF(A1157="","",IF(COUNTIF(Roster[Name],IF(RIGHT(IF(LEFT(TRIM(A1157),1)="[",TRIM(MID(TRIM(A1157),FIND("]",TRIM(A1157)&amp;"]")+1,200)),TRIM(A1157)),1)=")",TRIM(LEFT(IF(LEFT(TRIM(A1157),1)="[",TRIM(MID(TRIM(A1157),FIND("]",TRIM(A1157)&amp;"]")+1,200)),TRIM(A1157)),FIND("(",IF(LEFT(TRIM(A1157),1)="[",TRIM(MID(TRIM(A1157),FIND("]",TRIM(A1157)&amp;"]")+1,200)),TRIM(A1157))&amp;"(")-1)),IF(LEFT(TRIM(A1157),1)="[",TRIM(MID(TRIM(A1157),FIND("]",TRIM(A1157)&amp;"]")+1,200)),TRIM(A1157))))&gt;0,IF(RIGHT(IF(LEFT(TRIM(A1157),1)="[",TRIM(MID(TRIM(A1157),FIND("]",TRIM(A1157)&amp;"]")+1,200)),TRIM(A1157)),1)=")",TRIM(LEFT(IF(LEFT(TRIM(A1157),1)="[",TRIM(MID(TRIM(A1157),FIND("]",TRIM(A1157)&amp;"]")+1,200)),TRIM(A1157)),FIND("(",IF(LEFT(TRIM(A1157),1)="[",TRIM(MID(TRIM(A1157),FIND("]",TRIM(A1157)&amp;"]")+1,200)),TRIM(A1157))&amp;"(")-1)),IF(LEFT(TRIM(A1157),1)="[",TRIM(MID(TRIM(A1157),FIND("]",TRIM(A1157)&amp;"]")+1,200)),TRIM(A1157))),""))</f>
      </c>
      <c r="C1157" s="17">
        <f>IF(B1157&lt;&gt;"",B1157,C1156)</f>
      </c>
      <c r="D1157" s="17">
        <f>IF(A1157="","",IF(OR(LEFT(UPPER(TRIM(A1157)),2)="Y:",LEFT(UPPER(TRIM(A1157)),10)="YESTERDAY:"),"Y",IF(OR(LEFT(UPPER(TRIM(A1157)),2)="T:",LEFT(UPPER(TRIM(A1157)),6)="TODAY:"),"T",IF(OR(LEFT(UPPER(TRIM(A1157)),2)="B:",LEFT(UPPER(TRIM(A1157)),8)="BLOCKER:",LEFT(UPPER(TRIM(A1157)),9)="BLOCKERS:",LEFT(UPPER(TRIM(A1157)),8)="BLOCKED:"),"B",""))))</f>
      </c>
      <c r="E1157" s="17">
        <f>IF(D1157="","",TRIM(MID(A1157,FIND(":",A1157)+1,500)))</f>
      </c>
    </row>
    <row r="1158">
      <c r="B1158" s="17">
        <f>IF(A1158="","",IF(COUNTIF(Roster[Name],IF(RIGHT(IF(LEFT(TRIM(A1158),1)="[",TRIM(MID(TRIM(A1158),FIND("]",TRIM(A1158)&amp;"]")+1,200)),TRIM(A1158)),1)=")",TRIM(LEFT(IF(LEFT(TRIM(A1158),1)="[",TRIM(MID(TRIM(A1158),FIND("]",TRIM(A1158)&amp;"]")+1,200)),TRIM(A1158)),FIND("(",IF(LEFT(TRIM(A1158),1)="[",TRIM(MID(TRIM(A1158),FIND("]",TRIM(A1158)&amp;"]")+1,200)),TRIM(A1158))&amp;"(")-1)),IF(LEFT(TRIM(A1158),1)="[",TRIM(MID(TRIM(A1158),FIND("]",TRIM(A1158)&amp;"]")+1,200)),TRIM(A1158))))&gt;0,IF(RIGHT(IF(LEFT(TRIM(A1158),1)="[",TRIM(MID(TRIM(A1158),FIND("]",TRIM(A1158)&amp;"]")+1,200)),TRIM(A1158)),1)=")",TRIM(LEFT(IF(LEFT(TRIM(A1158),1)="[",TRIM(MID(TRIM(A1158),FIND("]",TRIM(A1158)&amp;"]")+1,200)),TRIM(A1158)),FIND("(",IF(LEFT(TRIM(A1158),1)="[",TRIM(MID(TRIM(A1158),FIND("]",TRIM(A1158)&amp;"]")+1,200)),TRIM(A1158))&amp;"(")-1)),IF(LEFT(TRIM(A1158),1)="[",TRIM(MID(TRIM(A1158),FIND("]",TRIM(A1158)&amp;"]")+1,200)),TRIM(A1158))),""))</f>
      </c>
      <c r="C1158" s="17">
        <f>IF(B1158&lt;&gt;"",B1158,C1157)</f>
      </c>
      <c r="D1158" s="17">
        <f>IF(A1158="","",IF(OR(LEFT(UPPER(TRIM(A1158)),2)="Y:",LEFT(UPPER(TRIM(A1158)),10)="YESTERDAY:"),"Y",IF(OR(LEFT(UPPER(TRIM(A1158)),2)="T:",LEFT(UPPER(TRIM(A1158)),6)="TODAY:"),"T",IF(OR(LEFT(UPPER(TRIM(A1158)),2)="B:",LEFT(UPPER(TRIM(A1158)),8)="BLOCKER:",LEFT(UPPER(TRIM(A1158)),9)="BLOCKERS:",LEFT(UPPER(TRIM(A1158)),8)="BLOCKED:"),"B",""))))</f>
      </c>
      <c r="E1158" s="17">
        <f>IF(D1158="","",TRIM(MID(A1158,FIND(":",A1158)+1,500)))</f>
      </c>
    </row>
    <row r="1159">
      <c r="B1159" s="17">
        <f>IF(A1159="","",IF(COUNTIF(Roster[Name],IF(RIGHT(IF(LEFT(TRIM(A1159),1)="[",TRIM(MID(TRIM(A1159),FIND("]",TRIM(A1159)&amp;"]")+1,200)),TRIM(A1159)),1)=")",TRIM(LEFT(IF(LEFT(TRIM(A1159),1)="[",TRIM(MID(TRIM(A1159),FIND("]",TRIM(A1159)&amp;"]")+1,200)),TRIM(A1159)),FIND("(",IF(LEFT(TRIM(A1159),1)="[",TRIM(MID(TRIM(A1159),FIND("]",TRIM(A1159)&amp;"]")+1,200)),TRIM(A1159))&amp;"(")-1)),IF(LEFT(TRIM(A1159),1)="[",TRIM(MID(TRIM(A1159),FIND("]",TRIM(A1159)&amp;"]")+1,200)),TRIM(A1159))))&gt;0,IF(RIGHT(IF(LEFT(TRIM(A1159),1)="[",TRIM(MID(TRIM(A1159),FIND("]",TRIM(A1159)&amp;"]")+1,200)),TRIM(A1159)),1)=")",TRIM(LEFT(IF(LEFT(TRIM(A1159),1)="[",TRIM(MID(TRIM(A1159),FIND("]",TRIM(A1159)&amp;"]")+1,200)),TRIM(A1159)),FIND("(",IF(LEFT(TRIM(A1159),1)="[",TRIM(MID(TRIM(A1159),FIND("]",TRIM(A1159)&amp;"]")+1,200)),TRIM(A1159))&amp;"(")-1)),IF(LEFT(TRIM(A1159),1)="[",TRIM(MID(TRIM(A1159),FIND("]",TRIM(A1159)&amp;"]")+1,200)),TRIM(A1159))),""))</f>
      </c>
      <c r="C1159" s="17">
        <f>IF(B1159&lt;&gt;"",B1159,C1158)</f>
      </c>
      <c r="D1159" s="17">
        <f>IF(A1159="","",IF(OR(LEFT(UPPER(TRIM(A1159)),2)="Y:",LEFT(UPPER(TRIM(A1159)),10)="YESTERDAY:"),"Y",IF(OR(LEFT(UPPER(TRIM(A1159)),2)="T:",LEFT(UPPER(TRIM(A1159)),6)="TODAY:"),"T",IF(OR(LEFT(UPPER(TRIM(A1159)),2)="B:",LEFT(UPPER(TRIM(A1159)),8)="BLOCKER:",LEFT(UPPER(TRIM(A1159)),9)="BLOCKERS:",LEFT(UPPER(TRIM(A1159)),8)="BLOCKED:"),"B",""))))</f>
      </c>
      <c r="E1159" s="17">
        <f>IF(D1159="","",TRIM(MID(A1159,FIND(":",A1159)+1,500)))</f>
      </c>
    </row>
    <row r="1160">
      <c r="B1160" s="17">
        <f>IF(A1160="","",IF(COUNTIF(Roster[Name],IF(RIGHT(IF(LEFT(TRIM(A1160),1)="[",TRIM(MID(TRIM(A1160),FIND("]",TRIM(A1160)&amp;"]")+1,200)),TRIM(A1160)),1)=")",TRIM(LEFT(IF(LEFT(TRIM(A1160),1)="[",TRIM(MID(TRIM(A1160),FIND("]",TRIM(A1160)&amp;"]")+1,200)),TRIM(A1160)),FIND("(",IF(LEFT(TRIM(A1160),1)="[",TRIM(MID(TRIM(A1160),FIND("]",TRIM(A1160)&amp;"]")+1,200)),TRIM(A1160))&amp;"(")-1)),IF(LEFT(TRIM(A1160),1)="[",TRIM(MID(TRIM(A1160),FIND("]",TRIM(A1160)&amp;"]")+1,200)),TRIM(A1160))))&gt;0,IF(RIGHT(IF(LEFT(TRIM(A1160),1)="[",TRIM(MID(TRIM(A1160),FIND("]",TRIM(A1160)&amp;"]")+1,200)),TRIM(A1160)),1)=")",TRIM(LEFT(IF(LEFT(TRIM(A1160),1)="[",TRIM(MID(TRIM(A1160),FIND("]",TRIM(A1160)&amp;"]")+1,200)),TRIM(A1160)),FIND("(",IF(LEFT(TRIM(A1160),1)="[",TRIM(MID(TRIM(A1160),FIND("]",TRIM(A1160)&amp;"]")+1,200)),TRIM(A1160))&amp;"(")-1)),IF(LEFT(TRIM(A1160),1)="[",TRIM(MID(TRIM(A1160),FIND("]",TRIM(A1160)&amp;"]")+1,200)),TRIM(A1160))),""))</f>
      </c>
      <c r="C1160" s="17">
        <f>IF(B1160&lt;&gt;"",B1160,C1159)</f>
      </c>
      <c r="D1160" s="17">
        <f>IF(A1160="","",IF(OR(LEFT(UPPER(TRIM(A1160)),2)="Y:",LEFT(UPPER(TRIM(A1160)),10)="YESTERDAY:"),"Y",IF(OR(LEFT(UPPER(TRIM(A1160)),2)="T:",LEFT(UPPER(TRIM(A1160)),6)="TODAY:"),"T",IF(OR(LEFT(UPPER(TRIM(A1160)),2)="B:",LEFT(UPPER(TRIM(A1160)),8)="BLOCKER:",LEFT(UPPER(TRIM(A1160)),9)="BLOCKERS:",LEFT(UPPER(TRIM(A1160)),8)="BLOCKED:"),"B",""))))</f>
      </c>
      <c r="E1160" s="17">
        <f>IF(D1160="","",TRIM(MID(A1160,FIND(":",A1160)+1,500)))</f>
      </c>
    </row>
    <row r="1161">
      <c r="B1161" s="17">
        <f>IF(A1161="","",IF(COUNTIF(Roster[Name],IF(RIGHT(IF(LEFT(TRIM(A1161),1)="[",TRIM(MID(TRIM(A1161),FIND("]",TRIM(A1161)&amp;"]")+1,200)),TRIM(A1161)),1)=")",TRIM(LEFT(IF(LEFT(TRIM(A1161),1)="[",TRIM(MID(TRIM(A1161),FIND("]",TRIM(A1161)&amp;"]")+1,200)),TRIM(A1161)),FIND("(",IF(LEFT(TRIM(A1161),1)="[",TRIM(MID(TRIM(A1161),FIND("]",TRIM(A1161)&amp;"]")+1,200)),TRIM(A1161))&amp;"(")-1)),IF(LEFT(TRIM(A1161),1)="[",TRIM(MID(TRIM(A1161),FIND("]",TRIM(A1161)&amp;"]")+1,200)),TRIM(A1161))))&gt;0,IF(RIGHT(IF(LEFT(TRIM(A1161),1)="[",TRIM(MID(TRIM(A1161),FIND("]",TRIM(A1161)&amp;"]")+1,200)),TRIM(A1161)),1)=")",TRIM(LEFT(IF(LEFT(TRIM(A1161),1)="[",TRIM(MID(TRIM(A1161),FIND("]",TRIM(A1161)&amp;"]")+1,200)),TRIM(A1161)),FIND("(",IF(LEFT(TRIM(A1161),1)="[",TRIM(MID(TRIM(A1161),FIND("]",TRIM(A1161)&amp;"]")+1,200)),TRIM(A1161))&amp;"(")-1)),IF(LEFT(TRIM(A1161),1)="[",TRIM(MID(TRIM(A1161),FIND("]",TRIM(A1161)&amp;"]")+1,200)),TRIM(A1161))),""))</f>
      </c>
      <c r="C1161" s="17">
        <f>IF(B1161&lt;&gt;"",B1161,C1160)</f>
      </c>
      <c r="D1161" s="17">
        <f>IF(A1161="","",IF(OR(LEFT(UPPER(TRIM(A1161)),2)="Y:",LEFT(UPPER(TRIM(A1161)),10)="YESTERDAY:"),"Y",IF(OR(LEFT(UPPER(TRIM(A1161)),2)="T:",LEFT(UPPER(TRIM(A1161)),6)="TODAY:"),"T",IF(OR(LEFT(UPPER(TRIM(A1161)),2)="B:",LEFT(UPPER(TRIM(A1161)),8)="BLOCKER:",LEFT(UPPER(TRIM(A1161)),9)="BLOCKERS:",LEFT(UPPER(TRIM(A1161)),8)="BLOCKED:"),"B",""))))</f>
      </c>
      <c r="E1161" s="17">
        <f>IF(D1161="","",TRIM(MID(A1161,FIND(":",A1161)+1,500)))</f>
      </c>
    </row>
    <row r="1162">
      <c r="B1162" s="17">
        <f>IF(A1162="","",IF(COUNTIF(Roster[Name],IF(RIGHT(IF(LEFT(TRIM(A1162),1)="[",TRIM(MID(TRIM(A1162),FIND("]",TRIM(A1162)&amp;"]")+1,200)),TRIM(A1162)),1)=")",TRIM(LEFT(IF(LEFT(TRIM(A1162),1)="[",TRIM(MID(TRIM(A1162),FIND("]",TRIM(A1162)&amp;"]")+1,200)),TRIM(A1162)),FIND("(",IF(LEFT(TRIM(A1162),1)="[",TRIM(MID(TRIM(A1162),FIND("]",TRIM(A1162)&amp;"]")+1,200)),TRIM(A1162))&amp;"(")-1)),IF(LEFT(TRIM(A1162),1)="[",TRIM(MID(TRIM(A1162),FIND("]",TRIM(A1162)&amp;"]")+1,200)),TRIM(A1162))))&gt;0,IF(RIGHT(IF(LEFT(TRIM(A1162),1)="[",TRIM(MID(TRIM(A1162),FIND("]",TRIM(A1162)&amp;"]")+1,200)),TRIM(A1162)),1)=")",TRIM(LEFT(IF(LEFT(TRIM(A1162),1)="[",TRIM(MID(TRIM(A1162),FIND("]",TRIM(A1162)&amp;"]")+1,200)),TRIM(A1162)),FIND("(",IF(LEFT(TRIM(A1162),1)="[",TRIM(MID(TRIM(A1162),FIND("]",TRIM(A1162)&amp;"]")+1,200)),TRIM(A1162))&amp;"(")-1)),IF(LEFT(TRIM(A1162),1)="[",TRIM(MID(TRIM(A1162),FIND("]",TRIM(A1162)&amp;"]")+1,200)),TRIM(A1162))),""))</f>
      </c>
      <c r="C1162" s="17">
        <f>IF(B1162&lt;&gt;"",B1162,C1161)</f>
      </c>
      <c r="D1162" s="17">
        <f>IF(A1162="","",IF(OR(LEFT(UPPER(TRIM(A1162)),2)="Y:",LEFT(UPPER(TRIM(A1162)),10)="YESTERDAY:"),"Y",IF(OR(LEFT(UPPER(TRIM(A1162)),2)="T:",LEFT(UPPER(TRIM(A1162)),6)="TODAY:"),"T",IF(OR(LEFT(UPPER(TRIM(A1162)),2)="B:",LEFT(UPPER(TRIM(A1162)),8)="BLOCKER:",LEFT(UPPER(TRIM(A1162)),9)="BLOCKERS:",LEFT(UPPER(TRIM(A1162)),8)="BLOCKED:"),"B",""))))</f>
      </c>
      <c r="E1162" s="17">
        <f>IF(D1162="","",TRIM(MID(A1162,FIND(":",A1162)+1,500)))</f>
      </c>
    </row>
    <row r="1163">
      <c r="B1163" s="17">
        <f>IF(A1163="","",IF(COUNTIF(Roster[Name],IF(RIGHT(IF(LEFT(TRIM(A1163),1)="[",TRIM(MID(TRIM(A1163),FIND("]",TRIM(A1163)&amp;"]")+1,200)),TRIM(A1163)),1)=")",TRIM(LEFT(IF(LEFT(TRIM(A1163),1)="[",TRIM(MID(TRIM(A1163),FIND("]",TRIM(A1163)&amp;"]")+1,200)),TRIM(A1163)),FIND("(",IF(LEFT(TRIM(A1163),1)="[",TRIM(MID(TRIM(A1163),FIND("]",TRIM(A1163)&amp;"]")+1,200)),TRIM(A1163))&amp;"(")-1)),IF(LEFT(TRIM(A1163),1)="[",TRIM(MID(TRIM(A1163),FIND("]",TRIM(A1163)&amp;"]")+1,200)),TRIM(A1163))))&gt;0,IF(RIGHT(IF(LEFT(TRIM(A1163),1)="[",TRIM(MID(TRIM(A1163),FIND("]",TRIM(A1163)&amp;"]")+1,200)),TRIM(A1163)),1)=")",TRIM(LEFT(IF(LEFT(TRIM(A1163),1)="[",TRIM(MID(TRIM(A1163),FIND("]",TRIM(A1163)&amp;"]")+1,200)),TRIM(A1163)),FIND("(",IF(LEFT(TRIM(A1163),1)="[",TRIM(MID(TRIM(A1163),FIND("]",TRIM(A1163)&amp;"]")+1,200)),TRIM(A1163))&amp;"(")-1)),IF(LEFT(TRIM(A1163),1)="[",TRIM(MID(TRIM(A1163),FIND("]",TRIM(A1163)&amp;"]")+1,200)),TRIM(A1163))),""))</f>
      </c>
      <c r="C1163" s="17">
        <f>IF(B1163&lt;&gt;"",B1163,C1162)</f>
      </c>
      <c r="D1163" s="17">
        <f>IF(A1163="","",IF(OR(LEFT(UPPER(TRIM(A1163)),2)="Y:",LEFT(UPPER(TRIM(A1163)),10)="YESTERDAY:"),"Y",IF(OR(LEFT(UPPER(TRIM(A1163)),2)="T:",LEFT(UPPER(TRIM(A1163)),6)="TODAY:"),"T",IF(OR(LEFT(UPPER(TRIM(A1163)),2)="B:",LEFT(UPPER(TRIM(A1163)),8)="BLOCKER:",LEFT(UPPER(TRIM(A1163)),9)="BLOCKERS:",LEFT(UPPER(TRIM(A1163)),8)="BLOCKED:"),"B",""))))</f>
      </c>
      <c r="E1163" s="17">
        <f>IF(D1163="","",TRIM(MID(A1163,FIND(":",A1163)+1,500)))</f>
      </c>
    </row>
    <row r="1164">
      <c r="B1164" s="17">
        <f>IF(A1164="","",IF(COUNTIF(Roster[Name],IF(RIGHT(IF(LEFT(TRIM(A1164),1)="[",TRIM(MID(TRIM(A1164),FIND("]",TRIM(A1164)&amp;"]")+1,200)),TRIM(A1164)),1)=")",TRIM(LEFT(IF(LEFT(TRIM(A1164),1)="[",TRIM(MID(TRIM(A1164),FIND("]",TRIM(A1164)&amp;"]")+1,200)),TRIM(A1164)),FIND("(",IF(LEFT(TRIM(A1164),1)="[",TRIM(MID(TRIM(A1164),FIND("]",TRIM(A1164)&amp;"]")+1,200)),TRIM(A1164))&amp;"(")-1)),IF(LEFT(TRIM(A1164),1)="[",TRIM(MID(TRIM(A1164),FIND("]",TRIM(A1164)&amp;"]")+1,200)),TRIM(A1164))))&gt;0,IF(RIGHT(IF(LEFT(TRIM(A1164),1)="[",TRIM(MID(TRIM(A1164),FIND("]",TRIM(A1164)&amp;"]")+1,200)),TRIM(A1164)),1)=")",TRIM(LEFT(IF(LEFT(TRIM(A1164),1)="[",TRIM(MID(TRIM(A1164),FIND("]",TRIM(A1164)&amp;"]")+1,200)),TRIM(A1164)),FIND("(",IF(LEFT(TRIM(A1164),1)="[",TRIM(MID(TRIM(A1164),FIND("]",TRIM(A1164)&amp;"]")+1,200)),TRIM(A1164))&amp;"(")-1)),IF(LEFT(TRIM(A1164),1)="[",TRIM(MID(TRIM(A1164),FIND("]",TRIM(A1164)&amp;"]")+1,200)),TRIM(A1164))),""))</f>
      </c>
      <c r="C1164" s="17">
        <f>IF(B1164&lt;&gt;"",B1164,C1163)</f>
      </c>
      <c r="D1164" s="17">
        <f>IF(A1164="","",IF(OR(LEFT(UPPER(TRIM(A1164)),2)="Y:",LEFT(UPPER(TRIM(A1164)),10)="YESTERDAY:"),"Y",IF(OR(LEFT(UPPER(TRIM(A1164)),2)="T:",LEFT(UPPER(TRIM(A1164)),6)="TODAY:"),"T",IF(OR(LEFT(UPPER(TRIM(A1164)),2)="B:",LEFT(UPPER(TRIM(A1164)),8)="BLOCKER:",LEFT(UPPER(TRIM(A1164)),9)="BLOCKERS:",LEFT(UPPER(TRIM(A1164)),8)="BLOCKED:"),"B",""))))</f>
      </c>
      <c r="E1164" s="17">
        <f>IF(D1164="","",TRIM(MID(A1164,FIND(":",A1164)+1,500)))</f>
      </c>
    </row>
    <row r="1165">
      <c r="B1165" s="17">
        <f>IF(A1165="","",IF(COUNTIF(Roster[Name],IF(RIGHT(IF(LEFT(TRIM(A1165),1)="[",TRIM(MID(TRIM(A1165),FIND("]",TRIM(A1165)&amp;"]")+1,200)),TRIM(A1165)),1)=")",TRIM(LEFT(IF(LEFT(TRIM(A1165),1)="[",TRIM(MID(TRIM(A1165),FIND("]",TRIM(A1165)&amp;"]")+1,200)),TRIM(A1165)),FIND("(",IF(LEFT(TRIM(A1165),1)="[",TRIM(MID(TRIM(A1165),FIND("]",TRIM(A1165)&amp;"]")+1,200)),TRIM(A1165))&amp;"(")-1)),IF(LEFT(TRIM(A1165),1)="[",TRIM(MID(TRIM(A1165),FIND("]",TRIM(A1165)&amp;"]")+1,200)),TRIM(A1165))))&gt;0,IF(RIGHT(IF(LEFT(TRIM(A1165),1)="[",TRIM(MID(TRIM(A1165),FIND("]",TRIM(A1165)&amp;"]")+1,200)),TRIM(A1165)),1)=")",TRIM(LEFT(IF(LEFT(TRIM(A1165),1)="[",TRIM(MID(TRIM(A1165),FIND("]",TRIM(A1165)&amp;"]")+1,200)),TRIM(A1165)),FIND("(",IF(LEFT(TRIM(A1165),1)="[",TRIM(MID(TRIM(A1165),FIND("]",TRIM(A1165)&amp;"]")+1,200)),TRIM(A1165))&amp;"(")-1)),IF(LEFT(TRIM(A1165),1)="[",TRIM(MID(TRIM(A1165),FIND("]",TRIM(A1165)&amp;"]")+1,200)),TRIM(A1165))),""))</f>
      </c>
      <c r="C1165" s="17">
        <f>IF(B1165&lt;&gt;"",B1165,C1164)</f>
      </c>
      <c r="D1165" s="17">
        <f>IF(A1165="","",IF(OR(LEFT(UPPER(TRIM(A1165)),2)="Y:",LEFT(UPPER(TRIM(A1165)),10)="YESTERDAY:"),"Y",IF(OR(LEFT(UPPER(TRIM(A1165)),2)="T:",LEFT(UPPER(TRIM(A1165)),6)="TODAY:"),"T",IF(OR(LEFT(UPPER(TRIM(A1165)),2)="B:",LEFT(UPPER(TRIM(A1165)),8)="BLOCKER:",LEFT(UPPER(TRIM(A1165)),9)="BLOCKERS:",LEFT(UPPER(TRIM(A1165)),8)="BLOCKED:"),"B",""))))</f>
      </c>
      <c r="E1165" s="17">
        <f>IF(D1165="","",TRIM(MID(A1165,FIND(":",A1165)+1,500)))</f>
      </c>
    </row>
    <row r="1166">
      <c r="B1166" s="17">
        <f>IF(A1166="","",IF(COUNTIF(Roster[Name],IF(RIGHT(IF(LEFT(TRIM(A1166),1)="[",TRIM(MID(TRIM(A1166),FIND("]",TRIM(A1166)&amp;"]")+1,200)),TRIM(A1166)),1)=")",TRIM(LEFT(IF(LEFT(TRIM(A1166),1)="[",TRIM(MID(TRIM(A1166),FIND("]",TRIM(A1166)&amp;"]")+1,200)),TRIM(A1166)),FIND("(",IF(LEFT(TRIM(A1166),1)="[",TRIM(MID(TRIM(A1166),FIND("]",TRIM(A1166)&amp;"]")+1,200)),TRIM(A1166))&amp;"(")-1)),IF(LEFT(TRIM(A1166),1)="[",TRIM(MID(TRIM(A1166),FIND("]",TRIM(A1166)&amp;"]")+1,200)),TRIM(A1166))))&gt;0,IF(RIGHT(IF(LEFT(TRIM(A1166),1)="[",TRIM(MID(TRIM(A1166),FIND("]",TRIM(A1166)&amp;"]")+1,200)),TRIM(A1166)),1)=")",TRIM(LEFT(IF(LEFT(TRIM(A1166),1)="[",TRIM(MID(TRIM(A1166),FIND("]",TRIM(A1166)&amp;"]")+1,200)),TRIM(A1166)),FIND("(",IF(LEFT(TRIM(A1166),1)="[",TRIM(MID(TRIM(A1166),FIND("]",TRIM(A1166)&amp;"]")+1,200)),TRIM(A1166))&amp;"(")-1)),IF(LEFT(TRIM(A1166),1)="[",TRIM(MID(TRIM(A1166),FIND("]",TRIM(A1166)&amp;"]")+1,200)),TRIM(A1166))),""))</f>
      </c>
      <c r="C1166" s="17">
        <f>IF(B1166&lt;&gt;"",B1166,C1165)</f>
      </c>
      <c r="D1166" s="17">
        <f>IF(A1166="","",IF(OR(LEFT(UPPER(TRIM(A1166)),2)="Y:",LEFT(UPPER(TRIM(A1166)),10)="YESTERDAY:"),"Y",IF(OR(LEFT(UPPER(TRIM(A1166)),2)="T:",LEFT(UPPER(TRIM(A1166)),6)="TODAY:"),"T",IF(OR(LEFT(UPPER(TRIM(A1166)),2)="B:",LEFT(UPPER(TRIM(A1166)),8)="BLOCKER:",LEFT(UPPER(TRIM(A1166)),9)="BLOCKERS:",LEFT(UPPER(TRIM(A1166)),8)="BLOCKED:"),"B",""))))</f>
      </c>
      <c r="E1166" s="17">
        <f>IF(D1166="","",TRIM(MID(A1166,FIND(":",A1166)+1,500)))</f>
      </c>
    </row>
    <row r="1167">
      <c r="B1167" s="17">
        <f>IF(A1167="","",IF(COUNTIF(Roster[Name],IF(RIGHT(IF(LEFT(TRIM(A1167),1)="[",TRIM(MID(TRIM(A1167),FIND("]",TRIM(A1167)&amp;"]")+1,200)),TRIM(A1167)),1)=")",TRIM(LEFT(IF(LEFT(TRIM(A1167),1)="[",TRIM(MID(TRIM(A1167),FIND("]",TRIM(A1167)&amp;"]")+1,200)),TRIM(A1167)),FIND("(",IF(LEFT(TRIM(A1167),1)="[",TRIM(MID(TRIM(A1167),FIND("]",TRIM(A1167)&amp;"]")+1,200)),TRIM(A1167))&amp;"(")-1)),IF(LEFT(TRIM(A1167),1)="[",TRIM(MID(TRIM(A1167),FIND("]",TRIM(A1167)&amp;"]")+1,200)),TRIM(A1167))))&gt;0,IF(RIGHT(IF(LEFT(TRIM(A1167),1)="[",TRIM(MID(TRIM(A1167),FIND("]",TRIM(A1167)&amp;"]")+1,200)),TRIM(A1167)),1)=")",TRIM(LEFT(IF(LEFT(TRIM(A1167),1)="[",TRIM(MID(TRIM(A1167),FIND("]",TRIM(A1167)&amp;"]")+1,200)),TRIM(A1167)),FIND("(",IF(LEFT(TRIM(A1167),1)="[",TRIM(MID(TRIM(A1167),FIND("]",TRIM(A1167)&amp;"]")+1,200)),TRIM(A1167))&amp;"(")-1)),IF(LEFT(TRIM(A1167),1)="[",TRIM(MID(TRIM(A1167),FIND("]",TRIM(A1167)&amp;"]")+1,200)),TRIM(A1167))),""))</f>
      </c>
      <c r="C1167" s="17">
        <f>IF(B1167&lt;&gt;"",B1167,C1166)</f>
      </c>
      <c r="D1167" s="17">
        <f>IF(A1167="","",IF(OR(LEFT(UPPER(TRIM(A1167)),2)="Y:",LEFT(UPPER(TRIM(A1167)),10)="YESTERDAY:"),"Y",IF(OR(LEFT(UPPER(TRIM(A1167)),2)="T:",LEFT(UPPER(TRIM(A1167)),6)="TODAY:"),"T",IF(OR(LEFT(UPPER(TRIM(A1167)),2)="B:",LEFT(UPPER(TRIM(A1167)),8)="BLOCKER:",LEFT(UPPER(TRIM(A1167)),9)="BLOCKERS:",LEFT(UPPER(TRIM(A1167)),8)="BLOCKED:"),"B",""))))</f>
      </c>
      <c r="E1167" s="17">
        <f>IF(D1167="","",TRIM(MID(A1167,FIND(":",A1167)+1,500)))</f>
      </c>
    </row>
    <row r="1168">
      <c r="B1168" s="17">
        <f>IF(A1168="","",IF(COUNTIF(Roster[Name],IF(RIGHT(IF(LEFT(TRIM(A1168),1)="[",TRIM(MID(TRIM(A1168),FIND("]",TRIM(A1168)&amp;"]")+1,200)),TRIM(A1168)),1)=")",TRIM(LEFT(IF(LEFT(TRIM(A1168),1)="[",TRIM(MID(TRIM(A1168),FIND("]",TRIM(A1168)&amp;"]")+1,200)),TRIM(A1168)),FIND("(",IF(LEFT(TRIM(A1168),1)="[",TRIM(MID(TRIM(A1168),FIND("]",TRIM(A1168)&amp;"]")+1,200)),TRIM(A1168))&amp;"(")-1)),IF(LEFT(TRIM(A1168),1)="[",TRIM(MID(TRIM(A1168),FIND("]",TRIM(A1168)&amp;"]")+1,200)),TRIM(A1168))))&gt;0,IF(RIGHT(IF(LEFT(TRIM(A1168),1)="[",TRIM(MID(TRIM(A1168),FIND("]",TRIM(A1168)&amp;"]")+1,200)),TRIM(A1168)),1)=")",TRIM(LEFT(IF(LEFT(TRIM(A1168),1)="[",TRIM(MID(TRIM(A1168),FIND("]",TRIM(A1168)&amp;"]")+1,200)),TRIM(A1168)),FIND("(",IF(LEFT(TRIM(A1168),1)="[",TRIM(MID(TRIM(A1168),FIND("]",TRIM(A1168)&amp;"]")+1,200)),TRIM(A1168))&amp;"(")-1)),IF(LEFT(TRIM(A1168),1)="[",TRIM(MID(TRIM(A1168),FIND("]",TRIM(A1168)&amp;"]")+1,200)),TRIM(A1168))),""))</f>
      </c>
      <c r="C1168" s="17">
        <f>IF(B1168&lt;&gt;"",B1168,C1167)</f>
      </c>
      <c r="D1168" s="17">
        <f>IF(A1168="","",IF(OR(LEFT(UPPER(TRIM(A1168)),2)="Y:",LEFT(UPPER(TRIM(A1168)),10)="YESTERDAY:"),"Y",IF(OR(LEFT(UPPER(TRIM(A1168)),2)="T:",LEFT(UPPER(TRIM(A1168)),6)="TODAY:"),"T",IF(OR(LEFT(UPPER(TRIM(A1168)),2)="B:",LEFT(UPPER(TRIM(A1168)),8)="BLOCKER:",LEFT(UPPER(TRIM(A1168)),9)="BLOCKERS:",LEFT(UPPER(TRIM(A1168)),8)="BLOCKED:"),"B",""))))</f>
      </c>
      <c r="E1168" s="17">
        <f>IF(D1168="","",TRIM(MID(A1168,FIND(":",A1168)+1,500)))</f>
      </c>
    </row>
    <row r="1169">
      <c r="B1169" s="17">
        <f>IF(A1169="","",IF(COUNTIF(Roster[Name],IF(RIGHT(IF(LEFT(TRIM(A1169),1)="[",TRIM(MID(TRIM(A1169),FIND("]",TRIM(A1169)&amp;"]")+1,200)),TRIM(A1169)),1)=")",TRIM(LEFT(IF(LEFT(TRIM(A1169),1)="[",TRIM(MID(TRIM(A1169),FIND("]",TRIM(A1169)&amp;"]")+1,200)),TRIM(A1169)),FIND("(",IF(LEFT(TRIM(A1169),1)="[",TRIM(MID(TRIM(A1169),FIND("]",TRIM(A1169)&amp;"]")+1,200)),TRIM(A1169))&amp;"(")-1)),IF(LEFT(TRIM(A1169),1)="[",TRIM(MID(TRIM(A1169),FIND("]",TRIM(A1169)&amp;"]")+1,200)),TRIM(A1169))))&gt;0,IF(RIGHT(IF(LEFT(TRIM(A1169),1)="[",TRIM(MID(TRIM(A1169),FIND("]",TRIM(A1169)&amp;"]")+1,200)),TRIM(A1169)),1)=")",TRIM(LEFT(IF(LEFT(TRIM(A1169),1)="[",TRIM(MID(TRIM(A1169),FIND("]",TRIM(A1169)&amp;"]")+1,200)),TRIM(A1169)),FIND("(",IF(LEFT(TRIM(A1169),1)="[",TRIM(MID(TRIM(A1169),FIND("]",TRIM(A1169)&amp;"]")+1,200)),TRIM(A1169))&amp;"(")-1)),IF(LEFT(TRIM(A1169),1)="[",TRIM(MID(TRIM(A1169),FIND("]",TRIM(A1169)&amp;"]")+1,200)),TRIM(A1169))),""))</f>
      </c>
      <c r="C1169" s="17">
        <f>IF(B1169&lt;&gt;"",B1169,C1168)</f>
      </c>
      <c r="D1169" s="17">
        <f>IF(A1169="","",IF(OR(LEFT(UPPER(TRIM(A1169)),2)="Y:",LEFT(UPPER(TRIM(A1169)),10)="YESTERDAY:"),"Y",IF(OR(LEFT(UPPER(TRIM(A1169)),2)="T:",LEFT(UPPER(TRIM(A1169)),6)="TODAY:"),"T",IF(OR(LEFT(UPPER(TRIM(A1169)),2)="B:",LEFT(UPPER(TRIM(A1169)),8)="BLOCKER:",LEFT(UPPER(TRIM(A1169)),9)="BLOCKERS:",LEFT(UPPER(TRIM(A1169)),8)="BLOCKED:"),"B",""))))</f>
      </c>
      <c r="E1169" s="17">
        <f>IF(D1169="","",TRIM(MID(A1169,FIND(":",A1169)+1,500)))</f>
      </c>
    </row>
    <row r="1170">
      <c r="B1170" s="17">
        <f>IF(A1170="","",IF(COUNTIF(Roster[Name],IF(RIGHT(IF(LEFT(TRIM(A1170),1)="[",TRIM(MID(TRIM(A1170),FIND("]",TRIM(A1170)&amp;"]")+1,200)),TRIM(A1170)),1)=")",TRIM(LEFT(IF(LEFT(TRIM(A1170),1)="[",TRIM(MID(TRIM(A1170),FIND("]",TRIM(A1170)&amp;"]")+1,200)),TRIM(A1170)),FIND("(",IF(LEFT(TRIM(A1170),1)="[",TRIM(MID(TRIM(A1170),FIND("]",TRIM(A1170)&amp;"]")+1,200)),TRIM(A1170))&amp;"(")-1)),IF(LEFT(TRIM(A1170),1)="[",TRIM(MID(TRIM(A1170),FIND("]",TRIM(A1170)&amp;"]")+1,200)),TRIM(A1170))))&gt;0,IF(RIGHT(IF(LEFT(TRIM(A1170),1)="[",TRIM(MID(TRIM(A1170),FIND("]",TRIM(A1170)&amp;"]")+1,200)),TRIM(A1170)),1)=")",TRIM(LEFT(IF(LEFT(TRIM(A1170),1)="[",TRIM(MID(TRIM(A1170),FIND("]",TRIM(A1170)&amp;"]")+1,200)),TRIM(A1170)),FIND("(",IF(LEFT(TRIM(A1170),1)="[",TRIM(MID(TRIM(A1170),FIND("]",TRIM(A1170)&amp;"]")+1,200)),TRIM(A1170))&amp;"(")-1)),IF(LEFT(TRIM(A1170),1)="[",TRIM(MID(TRIM(A1170),FIND("]",TRIM(A1170)&amp;"]")+1,200)),TRIM(A1170))),""))</f>
      </c>
      <c r="C1170" s="17">
        <f>IF(B1170&lt;&gt;"",B1170,C1169)</f>
      </c>
      <c r="D1170" s="17">
        <f>IF(A1170="","",IF(OR(LEFT(UPPER(TRIM(A1170)),2)="Y:",LEFT(UPPER(TRIM(A1170)),10)="YESTERDAY:"),"Y",IF(OR(LEFT(UPPER(TRIM(A1170)),2)="T:",LEFT(UPPER(TRIM(A1170)),6)="TODAY:"),"T",IF(OR(LEFT(UPPER(TRIM(A1170)),2)="B:",LEFT(UPPER(TRIM(A1170)),8)="BLOCKER:",LEFT(UPPER(TRIM(A1170)),9)="BLOCKERS:",LEFT(UPPER(TRIM(A1170)),8)="BLOCKED:"),"B",""))))</f>
      </c>
      <c r="E1170" s="17">
        <f>IF(D1170="","",TRIM(MID(A1170,FIND(":",A1170)+1,500)))</f>
      </c>
    </row>
    <row r="1171">
      <c r="B1171" s="17">
        <f>IF(A1171="","",IF(COUNTIF(Roster[Name],IF(RIGHT(IF(LEFT(TRIM(A1171),1)="[",TRIM(MID(TRIM(A1171),FIND("]",TRIM(A1171)&amp;"]")+1,200)),TRIM(A1171)),1)=")",TRIM(LEFT(IF(LEFT(TRIM(A1171),1)="[",TRIM(MID(TRIM(A1171),FIND("]",TRIM(A1171)&amp;"]")+1,200)),TRIM(A1171)),FIND("(",IF(LEFT(TRIM(A1171),1)="[",TRIM(MID(TRIM(A1171),FIND("]",TRIM(A1171)&amp;"]")+1,200)),TRIM(A1171))&amp;"(")-1)),IF(LEFT(TRIM(A1171),1)="[",TRIM(MID(TRIM(A1171),FIND("]",TRIM(A1171)&amp;"]")+1,200)),TRIM(A1171))))&gt;0,IF(RIGHT(IF(LEFT(TRIM(A1171),1)="[",TRIM(MID(TRIM(A1171),FIND("]",TRIM(A1171)&amp;"]")+1,200)),TRIM(A1171)),1)=")",TRIM(LEFT(IF(LEFT(TRIM(A1171),1)="[",TRIM(MID(TRIM(A1171),FIND("]",TRIM(A1171)&amp;"]")+1,200)),TRIM(A1171)),FIND("(",IF(LEFT(TRIM(A1171),1)="[",TRIM(MID(TRIM(A1171),FIND("]",TRIM(A1171)&amp;"]")+1,200)),TRIM(A1171))&amp;"(")-1)),IF(LEFT(TRIM(A1171),1)="[",TRIM(MID(TRIM(A1171),FIND("]",TRIM(A1171)&amp;"]")+1,200)),TRIM(A1171))),""))</f>
      </c>
      <c r="C1171" s="17">
        <f>IF(B1171&lt;&gt;"",B1171,C1170)</f>
      </c>
      <c r="D1171" s="17">
        <f>IF(A1171="","",IF(OR(LEFT(UPPER(TRIM(A1171)),2)="Y:",LEFT(UPPER(TRIM(A1171)),10)="YESTERDAY:"),"Y",IF(OR(LEFT(UPPER(TRIM(A1171)),2)="T:",LEFT(UPPER(TRIM(A1171)),6)="TODAY:"),"T",IF(OR(LEFT(UPPER(TRIM(A1171)),2)="B:",LEFT(UPPER(TRIM(A1171)),8)="BLOCKER:",LEFT(UPPER(TRIM(A1171)),9)="BLOCKERS:",LEFT(UPPER(TRIM(A1171)),8)="BLOCKED:"),"B",""))))</f>
      </c>
      <c r="E1171" s="17">
        <f>IF(D1171="","",TRIM(MID(A1171,FIND(":",A1171)+1,500)))</f>
      </c>
    </row>
    <row r="1172">
      <c r="B1172" s="17">
        <f>IF(A1172="","",IF(COUNTIF(Roster[Name],IF(RIGHT(IF(LEFT(TRIM(A1172),1)="[",TRIM(MID(TRIM(A1172),FIND("]",TRIM(A1172)&amp;"]")+1,200)),TRIM(A1172)),1)=")",TRIM(LEFT(IF(LEFT(TRIM(A1172),1)="[",TRIM(MID(TRIM(A1172),FIND("]",TRIM(A1172)&amp;"]")+1,200)),TRIM(A1172)),FIND("(",IF(LEFT(TRIM(A1172),1)="[",TRIM(MID(TRIM(A1172),FIND("]",TRIM(A1172)&amp;"]")+1,200)),TRIM(A1172))&amp;"(")-1)),IF(LEFT(TRIM(A1172),1)="[",TRIM(MID(TRIM(A1172),FIND("]",TRIM(A1172)&amp;"]")+1,200)),TRIM(A1172))))&gt;0,IF(RIGHT(IF(LEFT(TRIM(A1172),1)="[",TRIM(MID(TRIM(A1172),FIND("]",TRIM(A1172)&amp;"]")+1,200)),TRIM(A1172)),1)=")",TRIM(LEFT(IF(LEFT(TRIM(A1172),1)="[",TRIM(MID(TRIM(A1172),FIND("]",TRIM(A1172)&amp;"]")+1,200)),TRIM(A1172)),FIND("(",IF(LEFT(TRIM(A1172),1)="[",TRIM(MID(TRIM(A1172),FIND("]",TRIM(A1172)&amp;"]")+1,200)),TRIM(A1172))&amp;"(")-1)),IF(LEFT(TRIM(A1172),1)="[",TRIM(MID(TRIM(A1172),FIND("]",TRIM(A1172)&amp;"]")+1,200)),TRIM(A1172))),""))</f>
      </c>
      <c r="C1172" s="17">
        <f>IF(B1172&lt;&gt;"",B1172,C1171)</f>
      </c>
      <c r="D1172" s="17">
        <f>IF(A1172="","",IF(OR(LEFT(UPPER(TRIM(A1172)),2)="Y:",LEFT(UPPER(TRIM(A1172)),10)="YESTERDAY:"),"Y",IF(OR(LEFT(UPPER(TRIM(A1172)),2)="T:",LEFT(UPPER(TRIM(A1172)),6)="TODAY:"),"T",IF(OR(LEFT(UPPER(TRIM(A1172)),2)="B:",LEFT(UPPER(TRIM(A1172)),8)="BLOCKER:",LEFT(UPPER(TRIM(A1172)),9)="BLOCKERS:",LEFT(UPPER(TRIM(A1172)),8)="BLOCKED:"),"B",""))))</f>
      </c>
      <c r="E1172" s="17">
        <f>IF(D1172="","",TRIM(MID(A1172,FIND(":",A1172)+1,500)))</f>
      </c>
    </row>
    <row r="1173">
      <c r="B1173" s="17">
        <f>IF(A1173="","",IF(COUNTIF(Roster[Name],IF(RIGHT(IF(LEFT(TRIM(A1173),1)="[",TRIM(MID(TRIM(A1173),FIND("]",TRIM(A1173)&amp;"]")+1,200)),TRIM(A1173)),1)=")",TRIM(LEFT(IF(LEFT(TRIM(A1173),1)="[",TRIM(MID(TRIM(A1173),FIND("]",TRIM(A1173)&amp;"]")+1,200)),TRIM(A1173)),FIND("(",IF(LEFT(TRIM(A1173),1)="[",TRIM(MID(TRIM(A1173),FIND("]",TRIM(A1173)&amp;"]")+1,200)),TRIM(A1173))&amp;"(")-1)),IF(LEFT(TRIM(A1173),1)="[",TRIM(MID(TRIM(A1173),FIND("]",TRIM(A1173)&amp;"]")+1,200)),TRIM(A1173))))&gt;0,IF(RIGHT(IF(LEFT(TRIM(A1173),1)="[",TRIM(MID(TRIM(A1173),FIND("]",TRIM(A1173)&amp;"]")+1,200)),TRIM(A1173)),1)=")",TRIM(LEFT(IF(LEFT(TRIM(A1173),1)="[",TRIM(MID(TRIM(A1173),FIND("]",TRIM(A1173)&amp;"]")+1,200)),TRIM(A1173)),FIND("(",IF(LEFT(TRIM(A1173),1)="[",TRIM(MID(TRIM(A1173),FIND("]",TRIM(A1173)&amp;"]")+1,200)),TRIM(A1173))&amp;"(")-1)),IF(LEFT(TRIM(A1173),1)="[",TRIM(MID(TRIM(A1173),FIND("]",TRIM(A1173)&amp;"]")+1,200)),TRIM(A1173))),""))</f>
      </c>
      <c r="C1173" s="17">
        <f>IF(B1173&lt;&gt;"",B1173,C1172)</f>
      </c>
      <c r="D1173" s="17">
        <f>IF(A1173="","",IF(OR(LEFT(UPPER(TRIM(A1173)),2)="Y:",LEFT(UPPER(TRIM(A1173)),10)="YESTERDAY:"),"Y",IF(OR(LEFT(UPPER(TRIM(A1173)),2)="T:",LEFT(UPPER(TRIM(A1173)),6)="TODAY:"),"T",IF(OR(LEFT(UPPER(TRIM(A1173)),2)="B:",LEFT(UPPER(TRIM(A1173)),8)="BLOCKER:",LEFT(UPPER(TRIM(A1173)),9)="BLOCKERS:",LEFT(UPPER(TRIM(A1173)),8)="BLOCKED:"),"B",""))))</f>
      </c>
      <c r="E1173" s="17">
        <f>IF(D1173="","",TRIM(MID(A1173,FIND(":",A1173)+1,500)))</f>
      </c>
    </row>
    <row r="1174">
      <c r="B1174" s="17">
        <f>IF(A1174="","",IF(COUNTIF(Roster[Name],IF(RIGHT(IF(LEFT(TRIM(A1174),1)="[",TRIM(MID(TRIM(A1174),FIND("]",TRIM(A1174)&amp;"]")+1,200)),TRIM(A1174)),1)=")",TRIM(LEFT(IF(LEFT(TRIM(A1174),1)="[",TRIM(MID(TRIM(A1174),FIND("]",TRIM(A1174)&amp;"]")+1,200)),TRIM(A1174)),FIND("(",IF(LEFT(TRIM(A1174),1)="[",TRIM(MID(TRIM(A1174),FIND("]",TRIM(A1174)&amp;"]")+1,200)),TRIM(A1174))&amp;"(")-1)),IF(LEFT(TRIM(A1174),1)="[",TRIM(MID(TRIM(A1174),FIND("]",TRIM(A1174)&amp;"]")+1,200)),TRIM(A1174))))&gt;0,IF(RIGHT(IF(LEFT(TRIM(A1174),1)="[",TRIM(MID(TRIM(A1174),FIND("]",TRIM(A1174)&amp;"]")+1,200)),TRIM(A1174)),1)=")",TRIM(LEFT(IF(LEFT(TRIM(A1174),1)="[",TRIM(MID(TRIM(A1174),FIND("]",TRIM(A1174)&amp;"]")+1,200)),TRIM(A1174)),FIND("(",IF(LEFT(TRIM(A1174),1)="[",TRIM(MID(TRIM(A1174),FIND("]",TRIM(A1174)&amp;"]")+1,200)),TRIM(A1174))&amp;"(")-1)),IF(LEFT(TRIM(A1174),1)="[",TRIM(MID(TRIM(A1174),FIND("]",TRIM(A1174)&amp;"]")+1,200)),TRIM(A1174))),""))</f>
      </c>
      <c r="C1174" s="17">
        <f>IF(B1174&lt;&gt;"",B1174,C1173)</f>
      </c>
      <c r="D1174" s="17">
        <f>IF(A1174="","",IF(OR(LEFT(UPPER(TRIM(A1174)),2)="Y:",LEFT(UPPER(TRIM(A1174)),10)="YESTERDAY:"),"Y",IF(OR(LEFT(UPPER(TRIM(A1174)),2)="T:",LEFT(UPPER(TRIM(A1174)),6)="TODAY:"),"T",IF(OR(LEFT(UPPER(TRIM(A1174)),2)="B:",LEFT(UPPER(TRIM(A1174)),8)="BLOCKER:",LEFT(UPPER(TRIM(A1174)),9)="BLOCKERS:",LEFT(UPPER(TRIM(A1174)),8)="BLOCKED:"),"B",""))))</f>
      </c>
      <c r="E1174" s="17">
        <f>IF(D1174="","",TRIM(MID(A1174,FIND(":",A1174)+1,500)))</f>
      </c>
    </row>
    <row r="1175">
      <c r="B1175" s="17">
        <f>IF(A1175="","",IF(COUNTIF(Roster[Name],IF(RIGHT(IF(LEFT(TRIM(A1175),1)="[",TRIM(MID(TRIM(A1175),FIND("]",TRIM(A1175)&amp;"]")+1,200)),TRIM(A1175)),1)=")",TRIM(LEFT(IF(LEFT(TRIM(A1175),1)="[",TRIM(MID(TRIM(A1175),FIND("]",TRIM(A1175)&amp;"]")+1,200)),TRIM(A1175)),FIND("(",IF(LEFT(TRIM(A1175),1)="[",TRIM(MID(TRIM(A1175),FIND("]",TRIM(A1175)&amp;"]")+1,200)),TRIM(A1175))&amp;"(")-1)),IF(LEFT(TRIM(A1175),1)="[",TRIM(MID(TRIM(A1175),FIND("]",TRIM(A1175)&amp;"]")+1,200)),TRIM(A1175))))&gt;0,IF(RIGHT(IF(LEFT(TRIM(A1175),1)="[",TRIM(MID(TRIM(A1175),FIND("]",TRIM(A1175)&amp;"]")+1,200)),TRIM(A1175)),1)=")",TRIM(LEFT(IF(LEFT(TRIM(A1175),1)="[",TRIM(MID(TRIM(A1175),FIND("]",TRIM(A1175)&amp;"]")+1,200)),TRIM(A1175)),FIND("(",IF(LEFT(TRIM(A1175),1)="[",TRIM(MID(TRIM(A1175),FIND("]",TRIM(A1175)&amp;"]")+1,200)),TRIM(A1175))&amp;"(")-1)),IF(LEFT(TRIM(A1175),1)="[",TRIM(MID(TRIM(A1175),FIND("]",TRIM(A1175)&amp;"]")+1,200)),TRIM(A1175))),""))</f>
      </c>
      <c r="C1175" s="17">
        <f>IF(B1175&lt;&gt;"",B1175,C1174)</f>
      </c>
      <c r="D1175" s="17">
        <f>IF(A1175="","",IF(OR(LEFT(UPPER(TRIM(A1175)),2)="Y:",LEFT(UPPER(TRIM(A1175)),10)="YESTERDAY:"),"Y",IF(OR(LEFT(UPPER(TRIM(A1175)),2)="T:",LEFT(UPPER(TRIM(A1175)),6)="TODAY:"),"T",IF(OR(LEFT(UPPER(TRIM(A1175)),2)="B:",LEFT(UPPER(TRIM(A1175)),8)="BLOCKER:",LEFT(UPPER(TRIM(A1175)),9)="BLOCKERS:",LEFT(UPPER(TRIM(A1175)),8)="BLOCKED:"),"B",""))))</f>
      </c>
      <c r="E1175" s="17">
        <f>IF(D1175="","",TRIM(MID(A1175,FIND(":",A1175)+1,500)))</f>
      </c>
    </row>
    <row r="1176">
      <c r="B1176" s="17">
        <f>IF(A1176="","",IF(COUNTIF(Roster[Name],IF(RIGHT(IF(LEFT(TRIM(A1176),1)="[",TRIM(MID(TRIM(A1176),FIND("]",TRIM(A1176)&amp;"]")+1,200)),TRIM(A1176)),1)=")",TRIM(LEFT(IF(LEFT(TRIM(A1176),1)="[",TRIM(MID(TRIM(A1176),FIND("]",TRIM(A1176)&amp;"]")+1,200)),TRIM(A1176)),FIND("(",IF(LEFT(TRIM(A1176),1)="[",TRIM(MID(TRIM(A1176),FIND("]",TRIM(A1176)&amp;"]")+1,200)),TRIM(A1176))&amp;"(")-1)),IF(LEFT(TRIM(A1176),1)="[",TRIM(MID(TRIM(A1176),FIND("]",TRIM(A1176)&amp;"]")+1,200)),TRIM(A1176))))&gt;0,IF(RIGHT(IF(LEFT(TRIM(A1176),1)="[",TRIM(MID(TRIM(A1176),FIND("]",TRIM(A1176)&amp;"]")+1,200)),TRIM(A1176)),1)=")",TRIM(LEFT(IF(LEFT(TRIM(A1176),1)="[",TRIM(MID(TRIM(A1176),FIND("]",TRIM(A1176)&amp;"]")+1,200)),TRIM(A1176)),FIND("(",IF(LEFT(TRIM(A1176),1)="[",TRIM(MID(TRIM(A1176),FIND("]",TRIM(A1176)&amp;"]")+1,200)),TRIM(A1176))&amp;"(")-1)),IF(LEFT(TRIM(A1176),1)="[",TRIM(MID(TRIM(A1176),FIND("]",TRIM(A1176)&amp;"]")+1,200)),TRIM(A1176))),""))</f>
      </c>
      <c r="C1176" s="17">
        <f>IF(B1176&lt;&gt;"",B1176,C1175)</f>
      </c>
      <c r="D1176" s="17">
        <f>IF(A1176="","",IF(OR(LEFT(UPPER(TRIM(A1176)),2)="Y:",LEFT(UPPER(TRIM(A1176)),10)="YESTERDAY:"),"Y",IF(OR(LEFT(UPPER(TRIM(A1176)),2)="T:",LEFT(UPPER(TRIM(A1176)),6)="TODAY:"),"T",IF(OR(LEFT(UPPER(TRIM(A1176)),2)="B:",LEFT(UPPER(TRIM(A1176)),8)="BLOCKER:",LEFT(UPPER(TRIM(A1176)),9)="BLOCKERS:",LEFT(UPPER(TRIM(A1176)),8)="BLOCKED:"),"B",""))))</f>
      </c>
      <c r="E1176" s="17">
        <f>IF(D1176="","",TRIM(MID(A1176,FIND(":",A1176)+1,500)))</f>
      </c>
    </row>
    <row r="1177">
      <c r="B1177" s="17">
        <f>IF(A1177="","",IF(COUNTIF(Roster[Name],IF(RIGHT(IF(LEFT(TRIM(A1177),1)="[",TRIM(MID(TRIM(A1177),FIND("]",TRIM(A1177)&amp;"]")+1,200)),TRIM(A1177)),1)=")",TRIM(LEFT(IF(LEFT(TRIM(A1177),1)="[",TRIM(MID(TRIM(A1177),FIND("]",TRIM(A1177)&amp;"]")+1,200)),TRIM(A1177)),FIND("(",IF(LEFT(TRIM(A1177),1)="[",TRIM(MID(TRIM(A1177),FIND("]",TRIM(A1177)&amp;"]")+1,200)),TRIM(A1177))&amp;"(")-1)),IF(LEFT(TRIM(A1177),1)="[",TRIM(MID(TRIM(A1177),FIND("]",TRIM(A1177)&amp;"]")+1,200)),TRIM(A1177))))&gt;0,IF(RIGHT(IF(LEFT(TRIM(A1177),1)="[",TRIM(MID(TRIM(A1177),FIND("]",TRIM(A1177)&amp;"]")+1,200)),TRIM(A1177)),1)=")",TRIM(LEFT(IF(LEFT(TRIM(A1177),1)="[",TRIM(MID(TRIM(A1177),FIND("]",TRIM(A1177)&amp;"]")+1,200)),TRIM(A1177)),FIND("(",IF(LEFT(TRIM(A1177),1)="[",TRIM(MID(TRIM(A1177),FIND("]",TRIM(A1177)&amp;"]")+1,200)),TRIM(A1177))&amp;"(")-1)),IF(LEFT(TRIM(A1177),1)="[",TRIM(MID(TRIM(A1177),FIND("]",TRIM(A1177)&amp;"]")+1,200)),TRIM(A1177))),""))</f>
      </c>
      <c r="C1177" s="17">
        <f>IF(B1177&lt;&gt;"",B1177,C1176)</f>
      </c>
      <c r="D1177" s="17">
        <f>IF(A1177="","",IF(OR(LEFT(UPPER(TRIM(A1177)),2)="Y:",LEFT(UPPER(TRIM(A1177)),10)="YESTERDAY:"),"Y",IF(OR(LEFT(UPPER(TRIM(A1177)),2)="T:",LEFT(UPPER(TRIM(A1177)),6)="TODAY:"),"T",IF(OR(LEFT(UPPER(TRIM(A1177)),2)="B:",LEFT(UPPER(TRIM(A1177)),8)="BLOCKER:",LEFT(UPPER(TRIM(A1177)),9)="BLOCKERS:",LEFT(UPPER(TRIM(A1177)),8)="BLOCKED:"),"B",""))))</f>
      </c>
      <c r="E1177" s="17">
        <f>IF(D1177="","",TRIM(MID(A1177,FIND(":",A1177)+1,500)))</f>
      </c>
    </row>
    <row r="1178">
      <c r="B1178" s="17">
        <f>IF(A1178="","",IF(COUNTIF(Roster[Name],IF(RIGHT(IF(LEFT(TRIM(A1178),1)="[",TRIM(MID(TRIM(A1178),FIND("]",TRIM(A1178)&amp;"]")+1,200)),TRIM(A1178)),1)=")",TRIM(LEFT(IF(LEFT(TRIM(A1178),1)="[",TRIM(MID(TRIM(A1178),FIND("]",TRIM(A1178)&amp;"]")+1,200)),TRIM(A1178)),FIND("(",IF(LEFT(TRIM(A1178),1)="[",TRIM(MID(TRIM(A1178),FIND("]",TRIM(A1178)&amp;"]")+1,200)),TRIM(A1178))&amp;"(")-1)),IF(LEFT(TRIM(A1178),1)="[",TRIM(MID(TRIM(A1178),FIND("]",TRIM(A1178)&amp;"]")+1,200)),TRIM(A1178))))&gt;0,IF(RIGHT(IF(LEFT(TRIM(A1178),1)="[",TRIM(MID(TRIM(A1178),FIND("]",TRIM(A1178)&amp;"]")+1,200)),TRIM(A1178)),1)=")",TRIM(LEFT(IF(LEFT(TRIM(A1178),1)="[",TRIM(MID(TRIM(A1178),FIND("]",TRIM(A1178)&amp;"]")+1,200)),TRIM(A1178)),FIND("(",IF(LEFT(TRIM(A1178),1)="[",TRIM(MID(TRIM(A1178),FIND("]",TRIM(A1178)&amp;"]")+1,200)),TRIM(A1178))&amp;"(")-1)),IF(LEFT(TRIM(A1178),1)="[",TRIM(MID(TRIM(A1178),FIND("]",TRIM(A1178)&amp;"]")+1,200)),TRIM(A1178))),""))</f>
      </c>
      <c r="C1178" s="17">
        <f>IF(B1178&lt;&gt;"",B1178,C1177)</f>
      </c>
      <c r="D1178" s="17">
        <f>IF(A1178="","",IF(OR(LEFT(UPPER(TRIM(A1178)),2)="Y:",LEFT(UPPER(TRIM(A1178)),10)="YESTERDAY:"),"Y",IF(OR(LEFT(UPPER(TRIM(A1178)),2)="T:",LEFT(UPPER(TRIM(A1178)),6)="TODAY:"),"T",IF(OR(LEFT(UPPER(TRIM(A1178)),2)="B:",LEFT(UPPER(TRIM(A1178)),8)="BLOCKER:",LEFT(UPPER(TRIM(A1178)),9)="BLOCKERS:",LEFT(UPPER(TRIM(A1178)),8)="BLOCKED:"),"B",""))))</f>
      </c>
      <c r="E1178" s="17">
        <f>IF(D1178="","",TRIM(MID(A1178,FIND(":",A1178)+1,500)))</f>
      </c>
    </row>
    <row r="1179">
      <c r="B1179" s="17">
        <f>IF(A1179="","",IF(COUNTIF(Roster[Name],IF(RIGHT(IF(LEFT(TRIM(A1179),1)="[",TRIM(MID(TRIM(A1179),FIND("]",TRIM(A1179)&amp;"]")+1,200)),TRIM(A1179)),1)=")",TRIM(LEFT(IF(LEFT(TRIM(A1179),1)="[",TRIM(MID(TRIM(A1179),FIND("]",TRIM(A1179)&amp;"]")+1,200)),TRIM(A1179)),FIND("(",IF(LEFT(TRIM(A1179),1)="[",TRIM(MID(TRIM(A1179),FIND("]",TRIM(A1179)&amp;"]")+1,200)),TRIM(A1179))&amp;"(")-1)),IF(LEFT(TRIM(A1179),1)="[",TRIM(MID(TRIM(A1179),FIND("]",TRIM(A1179)&amp;"]")+1,200)),TRIM(A1179))))&gt;0,IF(RIGHT(IF(LEFT(TRIM(A1179),1)="[",TRIM(MID(TRIM(A1179),FIND("]",TRIM(A1179)&amp;"]")+1,200)),TRIM(A1179)),1)=")",TRIM(LEFT(IF(LEFT(TRIM(A1179),1)="[",TRIM(MID(TRIM(A1179),FIND("]",TRIM(A1179)&amp;"]")+1,200)),TRIM(A1179)),FIND("(",IF(LEFT(TRIM(A1179),1)="[",TRIM(MID(TRIM(A1179),FIND("]",TRIM(A1179)&amp;"]")+1,200)),TRIM(A1179))&amp;"(")-1)),IF(LEFT(TRIM(A1179),1)="[",TRIM(MID(TRIM(A1179),FIND("]",TRIM(A1179)&amp;"]")+1,200)),TRIM(A1179))),""))</f>
      </c>
      <c r="C1179" s="17">
        <f>IF(B1179&lt;&gt;"",B1179,C1178)</f>
      </c>
      <c r="D1179" s="17">
        <f>IF(A1179="","",IF(OR(LEFT(UPPER(TRIM(A1179)),2)="Y:",LEFT(UPPER(TRIM(A1179)),10)="YESTERDAY:"),"Y",IF(OR(LEFT(UPPER(TRIM(A1179)),2)="T:",LEFT(UPPER(TRIM(A1179)),6)="TODAY:"),"T",IF(OR(LEFT(UPPER(TRIM(A1179)),2)="B:",LEFT(UPPER(TRIM(A1179)),8)="BLOCKER:",LEFT(UPPER(TRIM(A1179)),9)="BLOCKERS:",LEFT(UPPER(TRIM(A1179)),8)="BLOCKED:"),"B",""))))</f>
      </c>
      <c r="E1179" s="17">
        <f>IF(D1179="","",TRIM(MID(A1179,FIND(":",A1179)+1,500)))</f>
      </c>
    </row>
    <row r="1180">
      <c r="B1180" s="17">
        <f>IF(A1180="","",IF(COUNTIF(Roster[Name],IF(RIGHT(IF(LEFT(TRIM(A1180),1)="[",TRIM(MID(TRIM(A1180),FIND("]",TRIM(A1180)&amp;"]")+1,200)),TRIM(A1180)),1)=")",TRIM(LEFT(IF(LEFT(TRIM(A1180),1)="[",TRIM(MID(TRIM(A1180),FIND("]",TRIM(A1180)&amp;"]")+1,200)),TRIM(A1180)),FIND("(",IF(LEFT(TRIM(A1180),1)="[",TRIM(MID(TRIM(A1180),FIND("]",TRIM(A1180)&amp;"]")+1,200)),TRIM(A1180))&amp;"(")-1)),IF(LEFT(TRIM(A1180),1)="[",TRIM(MID(TRIM(A1180),FIND("]",TRIM(A1180)&amp;"]")+1,200)),TRIM(A1180))))&gt;0,IF(RIGHT(IF(LEFT(TRIM(A1180),1)="[",TRIM(MID(TRIM(A1180),FIND("]",TRIM(A1180)&amp;"]")+1,200)),TRIM(A1180)),1)=")",TRIM(LEFT(IF(LEFT(TRIM(A1180),1)="[",TRIM(MID(TRIM(A1180),FIND("]",TRIM(A1180)&amp;"]")+1,200)),TRIM(A1180)),FIND("(",IF(LEFT(TRIM(A1180),1)="[",TRIM(MID(TRIM(A1180),FIND("]",TRIM(A1180)&amp;"]")+1,200)),TRIM(A1180))&amp;"(")-1)),IF(LEFT(TRIM(A1180),1)="[",TRIM(MID(TRIM(A1180),FIND("]",TRIM(A1180)&amp;"]")+1,200)),TRIM(A1180))),""))</f>
      </c>
      <c r="C1180" s="17">
        <f>IF(B1180&lt;&gt;"",B1180,C1179)</f>
      </c>
      <c r="D1180" s="17">
        <f>IF(A1180="","",IF(OR(LEFT(UPPER(TRIM(A1180)),2)="Y:",LEFT(UPPER(TRIM(A1180)),10)="YESTERDAY:"),"Y",IF(OR(LEFT(UPPER(TRIM(A1180)),2)="T:",LEFT(UPPER(TRIM(A1180)),6)="TODAY:"),"T",IF(OR(LEFT(UPPER(TRIM(A1180)),2)="B:",LEFT(UPPER(TRIM(A1180)),8)="BLOCKER:",LEFT(UPPER(TRIM(A1180)),9)="BLOCKERS:",LEFT(UPPER(TRIM(A1180)),8)="BLOCKED:"),"B",""))))</f>
      </c>
      <c r="E1180" s="17">
        <f>IF(D1180="","",TRIM(MID(A1180,FIND(":",A1180)+1,500)))</f>
      </c>
    </row>
    <row r="1181">
      <c r="B1181" s="17">
        <f>IF(A1181="","",IF(COUNTIF(Roster[Name],IF(RIGHT(IF(LEFT(TRIM(A1181),1)="[",TRIM(MID(TRIM(A1181),FIND("]",TRIM(A1181)&amp;"]")+1,200)),TRIM(A1181)),1)=")",TRIM(LEFT(IF(LEFT(TRIM(A1181),1)="[",TRIM(MID(TRIM(A1181),FIND("]",TRIM(A1181)&amp;"]")+1,200)),TRIM(A1181)),FIND("(",IF(LEFT(TRIM(A1181),1)="[",TRIM(MID(TRIM(A1181),FIND("]",TRIM(A1181)&amp;"]")+1,200)),TRIM(A1181))&amp;"(")-1)),IF(LEFT(TRIM(A1181),1)="[",TRIM(MID(TRIM(A1181),FIND("]",TRIM(A1181)&amp;"]")+1,200)),TRIM(A1181))))&gt;0,IF(RIGHT(IF(LEFT(TRIM(A1181),1)="[",TRIM(MID(TRIM(A1181),FIND("]",TRIM(A1181)&amp;"]")+1,200)),TRIM(A1181)),1)=")",TRIM(LEFT(IF(LEFT(TRIM(A1181),1)="[",TRIM(MID(TRIM(A1181),FIND("]",TRIM(A1181)&amp;"]")+1,200)),TRIM(A1181)),FIND("(",IF(LEFT(TRIM(A1181),1)="[",TRIM(MID(TRIM(A1181),FIND("]",TRIM(A1181)&amp;"]")+1,200)),TRIM(A1181))&amp;"(")-1)),IF(LEFT(TRIM(A1181),1)="[",TRIM(MID(TRIM(A1181),FIND("]",TRIM(A1181)&amp;"]")+1,200)),TRIM(A1181))),""))</f>
      </c>
      <c r="C1181" s="17">
        <f>IF(B1181&lt;&gt;"",B1181,C1180)</f>
      </c>
      <c r="D1181" s="17">
        <f>IF(A1181="","",IF(OR(LEFT(UPPER(TRIM(A1181)),2)="Y:",LEFT(UPPER(TRIM(A1181)),10)="YESTERDAY:"),"Y",IF(OR(LEFT(UPPER(TRIM(A1181)),2)="T:",LEFT(UPPER(TRIM(A1181)),6)="TODAY:"),"T",IF(OR(LEFT(UPPER(TRIM(A1181)),2)="B:",LEFT(UPPER(TRIM(A1181)),8)="BLOCKER:",LEFT(UPPER(TRIM(A1181)),9)="BLOCKERS:",LEFT(UPPER(TRIM(A1181)),8)="BLOCKED:"),"B",""))))</f>
      </c>
      <c r="E1181" s="17">
        <f>IF(D1181="","",TRIM(MID(A1181,FIND(":",A1181)+1,500)))</f>
      </c>
    </row>
    <row r="1182">
      <c r="B1182" s="17">
        <f>IF(A1182="","",IF(COUNTIF(Roster[Name],IF(RIGHT(IF(LEFT(TRIM(A1182),1)="[",TRIM(MID(TRIM(A1182),FIND("]",TRIM(A1182)&amp;"]")+1,200)),TRIM(A1182)),1)=")",TRIM(LEFT(IF(LEFT(TRIM(A1182),1)="[",TRIM(MID(TRIM(A1182),FIND("]",TRIM(A1182)&amp;"]")+1,200)),TRIM(A1182)),FIND("(",IF(LEFT(TRIM(A1182),1)="[",TRIM(MID(TRIM(A1182),FIND("]",TRIM(A1182)&amp;"]")+1,200)),TRIM(A1182))&amp;"(")-1)),IF(LEFT(TRIM(A1182),1)="[",TRIM(MID(TRIM(A1182),FIND("]",TRIM(A1182)&amp;"]")+1,200)),TRIM(A1182))))&gt;0,IF(RIGHT(IF(LEFT(TRIM(A1182),1)="[",TRIM(MID(TRIM(A1182),FIND("]",TRIM(A1182)&amp;"]")+1,200)),TRIM(A1182)),1)=")",TRIM(LEFT(IF(LEFT(TRIM(A1182),1)="[",TRIM(MID(TRIM(A1182),FIND("]",TRIM(A1182)&amp;"]")+1,200)),TRIM(A1182)),FIND("(",IF(LEFT(TRIM(A1182),1)="[",TRIM(MID(TRIM(A1182),FIND("]",TRIM(A1182)&amp;"]")+1,200)),TRIM(A1182))&amp;"(")-1)),IF(LEFT(TRIM(A1182),1)="[",TRIM(MID(TRIM(A1182),FIND("]",TRIM(A1182)&amp;"]")+1,200)),TRIM(A1182))),""))</f>
      </c>
      <c r="C1182" s="17">
        <f>IF(B1182&lt;&gt;"",B1182,C1181)</f>
      </c>
      <c r="D1182" s="17">
        <f>IF(A1182="","",IF(OR(LEFT(UPPER(TRIM(A1182)),2)="Y:",LEFT(UPPER(TRIM(A1182)),10)="YESTERDAY:"),"Y",IF(OR(LEFT(UPPER(TRIM(A1182)),2)="T:",LEFT(UPPER(TRIM(A1182)),6)="TODAY:"),"T",IF(OR(LEFT(UPPER(TRIM(A1182)),2)="B:",LEFT(UPPER(TRIM(A1182)),8)="BLOCKER:",LEFT(UPPER(TRIM(A1182)),9)="BLOCKERS:",LEFT(UPPER(TRIM(A1182)),8)="BLOCKED:"),"B",""))))</f>
      </c>
      <c r="E1182" s="17">
        <f>IF(D1182="","",TRIM(MID(A1182,FIND(":",A1182)+1,500)))</f>
      </c>
    </row>
    <row r="1183">
      <c r="B1183" s="17">
        <f>IF(A1183="","",IF(COUNTIF(Roster[Name],IF(RIGHT(IF(LEFT(TRIM(A1183),1)="[",TRIM(MID(TRIM(A1183),FIND("]",TRIM(A1183)&amp;"]")+1,200)),TRIM(A1183)),1)=")",TRIM(LEFT(IF(LEFT(TRIM(A1183),1)="[",TRIM(MID(TRIM(A1183),FIND("]",TRIM(A1183)&amp;"]")+1,200)),TRIM(A1183)),FIND("(",IF(LEFT(TRIM(A1183),1)="[",TRIM(MID(TRIM(A1183),FIND("]",TRIM(A1183)&amp;"]")+1,200)),TRIM(A1183))&amp;"(")-1)),IF(LEFT(TRIM(A1183),1)="[",TRIM(MID(TRIM(A1183),FIND("]",TRIM(A1183)&amp;"]")+1,200)),TRIM(A1183))))&gt;0,IF(RIGHT(IF(LEFT(TRIM(A1183),1)="[",TRIM(MID(TRIM(A1183),FIND("]",TRIM(A1183)&amp;"]")+1,200)),TRIM(A1183)),1)=")",TRIM(LEFT(IF(LEFT(TRIM(A1183),1)="[",TRIM(MID(TRIM(A1183),FIND("]",TRIM(A1183)&amp;"]")+1,200)),TRIM(A1183)),FIND("(",IF(LEFT(TRIM(A1183),1)="[",TRIM(MID(TRIM(A1183),FIND("]",TRIM(A1183)&amp;"]")+1,200)),TRIM(A1183))&amp;"(")-1)),IF(LEFT(TRIM(A1183),1)="[",TRIM(MID(TRIM(A1183),FIND("]",TRIM(A1183)&amp;"]")+1,200)),TRIM(A1183))),""))</f>
      </c>
      <c r="C1183" s="17">
        <f>IF(B1183&lt;&gt;"",B1183,C1182)</f>
      </c>
      <c r="D1183" s="17">
        <f>IF(A1183="","",IF(OR(LEFT(UPPER(TRIM(A1183)),2)="Y:",LEFT(UPPER(TRIM(A1183)),10)="YESTERDAY:"),"Y",IF(OR(LEFT(UPPER(TRIM(A1183)),2)="T:",LEFT(UPPER(TRIM(A1183)),6)="TODAY:"),"T",IF(OR(LEFT(UPPER(TRIM(A1183)),2)="B:",LEFT(UPPER(TRIM(A1183)),8)="BLOCKER:",LEFT(UPPER(TRIM(A1183)),9)="BLOCKERS:",LEFT(UPPER(TRIM(A1183)),8)="BLOCKED:"),"B",""))))</f>
      </c>
      <c r="E1183" s="17">
        <f>IF(D1183="","",TRIM(MID(A1183,FIND(":",A1183)+1,500)))</f>
      </c>
    </row>
    <row r="1184">
      <c r="B1184" s="17">
        <f>IF(A1184="","",IF(COUNTIF(Roster[Name],IF(RIGHT(IF(LEFT(TRIM(A1184),1)="[",TRIM(MID(TRIM(A1184),FIND("]",TRIM(A1184)&amp;"]")+1,200)),TRIM(A1184)),1)=")",TRIM(LEFT(IF(LEFT(TRIM(A1184),1)="[",TRIM(MID(TRIM(A1184),FIND("]",TRIM(A1184)&amp;"]")+1,200)),TRIM(A1184)),FIND("(",IF(LEFT(TRIM(A1184),1)="[",TRIM(MID(TRIM(A1184),FIND("]",TRIM(A1184)&amp;"]")+1,200)),TRIM(A1184))&amp;"(")-1)),IF(LEFT(TRIM(A1184),1)="[",TRIM(MID(TRIM(A1184),FIND("]",TRIM(A1184)&amp;"]")+1,200)),TRIM(A1184))))&gt;0,IF(RIGHT(IF(LEFT(TRIM(A1184),1)="[",TRIM(MID(TRIM(A1184),FIND("]",TRIM(A1184)&amp;"]")+1,200)),TRIM(A1184)),1)=")",TRIM(LEFT(IF(LEFT(TRIM(A1184),1)="[",TRIM(MID(TRIM(A1184),FIND("]",TRIM(A1184)&amp;"]")+1,200)),TRIM(A1184)),FIND("(",IF(LEFT(TRIM(A1184),1)="[",TRIM(MID(TRIM(A1184),FIND("]",TRIM(A1184)&amp;"]")+1,200)),TRIM(A1184))&amp;"(")-1)),IF(LEFT(TRIM(A1184),1)="[",TRIM(MID(TRIM(A1184),FIND("]",TRIM(A1184)&amp;"]")+1,200)),TRIM(A1184))),""))</f>
      </c>
      <c r="C1184" s="17">
        <f>IF(B1184&lt;&gt;"",B1184,C1183)</f>
      </c>
      <c r="D1184" s="17">
        <f>IF(A1184="","",IF(OR(LEFT(UPPER(TRIM(A1184)),2)="Y:",LEFT(UPPER(TRIM(A1184)),10)="YESTERDAY:"),"Y",IF(OR(LEFT(UPPER(TRIM(A1184)),2)="T:",LEFT(UPPER(TRIM(A1184)),6)="TODAY:"),"T",IF(OR(LEFT(UPPER(TRIM(A1184)),2)="B:",LEFT(UPPER(TRIM(A1184)),8)="BLOCKER:",LEFT(UPPER(TRIM(A1184)),9)="BLOCKERS:",LEFT(UPPER(TRIM(A1184)),8)="BLOCKED:"),"B",""))))</f>
      </c>
      <c r="E1184" s="17">
        <f>IF(D1184="","",TRIM(MID(A1184,FIND(":",A1184)+1,500)))</f>
      </c>
    </row>
    <row r="1185">
      <c r="B1185" s="17">
        <f>IF(A1185="","",IF(COUNTIF(Roster[Name],IF(RIGHT(IF(LEFT(TRIM(A1185),1)="[",TRIM(MID(TRIM(A1185),FIND("]",TRIM(A1185)&amp;"]")+1,200)),TRIM(A1185)),1)=")",TRIM(LEFT(IF(LEFT(TRIM(A1185),1)="[",TRIM(MID(TRIM(A1185),FIND("]",TRIM(A1185)&amp;"]")+1,200)),TRIM(A1185)),FIND("(",IF(LEFT(TRIM(A1185),1)="[",TRIM(MID(TRIM(A1185),FIND("]",TRIM(A1185)&amp;"]")+1,200)),TRIM(A1185))&amp;"(")-1)),IF(LEFT(TRIM(A1185),1)="[",TRIM(MID(TRIM(A1185),FIND("]",TRIM(A1185)&amp;"]")+1,200)),TRIM(A1185))))&gt;0,IF(RIGHT(IF(LEFT(TRIM(A1185),1)="[",TRIM(MID(TRIM(A1185),FIND("]",TRIM(A1185)&amp;"]")+1,200)),TRIM(A1185)),1)=")",TRIM(LEFT(IF(LEFT(TRIM(A1185),1)="[",TRIM(MID(TRIM(A1185),FIND("]",TRIM(A1185)&amp;"]")+1,200)),TRIM(A1185)),FIND("(",IF(LEFT(TRIM(A1185),1)="[",TRIM(MID(TRIM(A1185),FIND("]",TRIM(A1185)&amp;"]")+1,200)),TRIM(A1185))&amp;"(")-1)),IF(LEFT(TRIM(A1185),1)="[",TRIM(MID(TRIM(A1185),FIND("]",TRIM(A1185)&amp;"]")+1,200)),TRIM(A1185))),""))</f>
      </c>
      <c r="C1185" s="17">
        <f>IF(B1185&lt;&gt;"",B1185,C1184)</f>
      </c>
      <c r="D1185" s="17">
        <f>IF(A1185="","",IF(OR(LEFT(UPPER(TRIM(A1185)),2)="Y:",LEFT(UPPER(TRIM(A1185)),10)="YESTERDAY:"),"Y",IF(OR(LEFT(UPPER(TRIM(A1185)),2)="T:",LEFT(UPPER(TRIM(A1185)),6)="TODAY:"),"T",IF(OR(LEFT(UPPER(TRIM(A1185)),2)="B:",LEFT(UPPER(TRIM(A1185)),8)="BLOCKER:",LEFT(UPPER(TRIM(A1185)),9)="BLOCKERS:",LEFT(UPPER(TRIM(A1185)),8)="BLOCKED:"),"B",""))))</f>
      </c>
      <c r="E1185" s="17">
        <f>IF(D1185="","",TRIM(MID(A1185,FIND(":",A1185)+1,500)))</f>
      </c>
    </row>
    <row r="1186">
      <c r="B1186" s="17">
        <f>IF(A1186="","",IF(COUNTIF(Roster[Name],IF(RIGHT(IF(LEFT(TRIM(A1186),1)="[",TRIM(MID(TRIM(A1186),FIND("]",TRIM(A1186)&amp;"]")+1,200)),TRIM(A1186)),1)=")",TRIM(LEFT(IF(LEFT(TRIM(A1186),1)="[",TRIM(MID(TRIM(A1186),FIND("]",TRIM(A1186)&amp;"]")+1,200)),TRIM(A1186)),FIND("(",IF(LEFT(TRIM(A1186),1)="[",TRIM(MID(TRIM(A1186),FIND("]",TRIM(A1186)&amp;"]")+1,200)),TRIM(A1186))&amp;"(")-1)),IF(LEFT(TRIM(A1186),1)="[",TRIM(MID(TRIM(A1186),FIND("]",TRIM(A1186)&amp;"]")+1,200)),TRIM(A1186))))&gt;0,IF(RIGHT(IF(LEFT(TRIM(A1186),1)="[",TRIM(MID(TRIM(A1186),FIND("]",TRIM(A1186)&amp;"]")+1,200)),TRIM(A1186)),1)=")",TRIM(LEFT(IF(LEFT(TRIM(A1186),1)="[",TRIM(MID(TRIM(A1186),FIND("]",TRIM(A1186)&amp;"]")+1,200)),TRIM(A1186)),FIND("(",IF(LEFT(TRIM(A1186),1)="[",TRIM(MID(TRIM(A1186),FIND("]",TRIM(A1186)&amp;"]")+1,200)),TRIM(A1186))&amp;"(")-1)),IF(LEFT(TRIM(A1186),1)="[",TRIM(MID(TRIM(A1186),FIND("]",TRIM(A1186)&amp;"]")+1,200)),TRIM(A1186))),""))</f>
      </c>
      <c r="C1186" s="17">
        <f>IF(B1186&lt;&gt;"",B1186,C1185)</f>
      </c>
      <c r="D1186" s="17">
        <f>IF(A1186="","",IF(OR(LEFT(UPPER(TRIM(A1186)),2)="Y:",LEFT(UPPER(TRIM(A1186)),10)="YESTERDAY:"),"Y",IF(OR(LEFT(UPPER(TRIM(A1186)),2)="T:",LEFT(UPPER(TRIM(A1186)),6)="TODAY:"),"T",IF(OR(LEFT(UPPER(TRIM(A1186)),2)="B:",LEFT(UPPER(TRIM(A1186)),8)="BLOCKER:",LEFT(UPPER(TRIM(A1186)),9)="BLOCKERS:",LEFT(UPPER(TRIM(A1186)),8)="BLOCKED:"),"B",""))))</f>
      </c>
      <c r="E1186" s="17">
        <f>IF(D1186="","",TRIM(MID(A1186,FIND(":",A1186)+1,500)))</f>
      </c>
    </row>
    <row r="1187">
      <c r="B1187" s="17">
        <f>IF(A1187="","",IF(COUNTIF(Roster[Name],IF(RIGHT(IF(LEFT(TRIM(A1187),1)="[",TRIM(MID(TRIM(A1187),FIND("]",TRIM(A1187)&amp;"]")+1,200)),TRIM(A1187)),1)=")",TRIM(LEFT(IF(LEFT(TRIM(A1187),1)="[",TRIM(MID(TRIM(A1187),FIND("]",TRIM(A1187)&amp;"]")+1,200)),TRIM(A1187)),FIND("(",IF(LEFT(TRIM(A1187),1)="[",TRIM(MID(TRIM(A1187),FIND("]",TRIM(A1187)&amp;"]")+1,200)),TRIM(A1187))&amp;"(")-1)),IF(LEFT(TRIM(A1187),1)="[",TRIM(MID(TRIM(A1187),FIND("]",TRIM(A1187)&amp;"]")+1,200)),TRIM(A1187))))&gt;0,IF(RIGHT(IF(LEFT(TRIM(A1187),1)="[",TRIM(MID(TRIM(A1187),FIND("]",TRIM(A1187)&amp;"]")+1,200)),TRIM(A1187)),1)=")",TRIM(LEFT(IF(LEFT(TRIM(A1187),1)="[",TRIM(MID(TRIM(A1187),FIND("]",TRIM(A1187)&amp;"]")+1,200)),TRIM(A1187)),FIND("(",IF(LEFT(TRIM(A1187),1)="[",TRIM(MID(TRIM(A1187),FIND("]",TRIM(A1187)&amp;"]")+1,200)),TRIM(A1187))&amp;"(")-1)),IF(LEFT(TRIM(A1187),1)="[",TRIM(MID(TRIM(A1187),FIND("]",TRIM(A1187)&amp;"]")+1,200)),TRIM(A1187))),""))</f>
      </c>
      <c r="C1187" s="17">
        <f>IF(B1187&lt;&gt;"",B1187,C1186)</f>
      </c>
      <c r="D1187" s="17">
        <f>IF(A1187="","",IF(OR(LEFT(UPPER(TRIM(A1187)),2)="Y:",LEFT(UPPER(TRIM(A1187)),10)="YESTERDAY:"),"Y",IF(OR(LEFT(UPPER(TRIM(A1187)),2)="T:",LEFT(UPPER(TRIM(A1187)),6)="TODAY:"),"T",IF(OR(LEFT(UPPER(TRIM(A1187)),2)="B:",LEFT(UPPER(TRIM(A1187)),8)="BLOCKER:",LEFT(UPPER(TRIM(A1187)),9)="BLOCKERS:",LEFT(UPPER(TRIM(A1187)),8)="BLOCKED:"),"B",""))))</f>
      </c>
      <c r="E1187" s="17">
        <f>IF(D1187="","",TRIM(MID(A1187,FIND(":",A1187)+1,500)))</f>
      </c>
    </row>
    <row r="1188">
      <c r="B1188" s="17">
        <f>IF(A1188="","",IF(COUNTIF(Roster[Name],IF(RIGHT(IF(LEFT(TRIM(A1188),1)="[",TRIM(MID(TRIM(A1188),FIND("]",TRIM(A1188)&amp;"]")+1,200)),TRIM(A1188)),1)=")",TRIM(LEFT(IF(LEFT(TRIM(A1188),1)="[",TRIM(MID(TRIM(A1188),FIND("]",TRIM(A1188)&amp;"]")+1,200)),TRIM(A1188)),FIND("(",IF(LEFT(TRIM(A1188),1)="[",TRIM(MID(TRIM(A1188),FIND("]",TRIM(A1188)&amp;"]")+1,200)),TRIM(A1188))&amp;"(")-1)),IF(LEFT(TRIM(A1188),1)="[",TRIM(MID(TRIM(A1188),FIND("]",TRIM(A1188)&amp;"]")+1,200)),TRIM(A1188))))&gt;0,IF(RIGHT(IF(LEFT(TRIM(A1188),1)="[",TRIM(MID(TRIM(A1188),FIND("]",TRIM(A1188)&amp;"]")+1,200)),TRIM(A1188)),1)=")",TRIM(LEFT(IF(LEFT(TRIM(A1188),1)="[",TRIM(MID(TRIM(A1188),FIND("]",TRIM(A1188)&amp;"]")+1,200)),TRIM(A1188)),FIND("(",IF(LEFT(TRIM(A1188),1)="[",TRIM(MID(TRIM(A1188),FIND("]",TRIM(A1188)&amp;"]")+1,200)),TRIM(A1188))&amp;"(")-1)),IF(LEFT(TRIM(A1188),1)="[",TRIM(MID(TRIM(A1188),FIND("]",TRIM(A1188)&amp;"]")+1,200)),TRIM(A1188))),""))</f>
      </c>
      <c r="C1188" s="17">
        <f>IF(B1188&lt;&gt;"",B1188,C1187)</f>
      </c>
      <c r="D1188" s="17">
        <f>IF(A1188="","",IF(OR(LEFT(UPPER(TRIM(A1188)),2)="Y:",LEFT(UPPER(TRIM(A1188)),10)="YESTERDAY:"),"Y",IF(OR(LEFT(UPPER(TRIM(A1188)),2)="T:",LEFT(UPPER(TRIM(A1188)),6)="TODAY:"),"T",IF(OR(LEFT(UPPER(TRIM(A1188)),2)="B:",LEFT(UPPER(TRIM(A1188)),8)="BLOCKER:",LEFT(UPPER(TRIM(A1188)),9)="BLOCKERS:",LEFT(UPPER(TRIM(A1188)),8)="BLOCKED:"),"B",""))))</f>
      </c>
      <c r="E1188" s="17">
        <f>IF(D1188="","",TRIM(MID(A1188,FIND(":",A1188)+1,500)))</f>
      </c>
    </row>
    <row r="1189">
      <c r="B1189" s="17">
        <f>IF(A1189="","",IF(COUNTIF(Roster[Name],IF(RIGHT(IF(LEFT(TRIM(A1189),1)="[",TRIM(MID(TRIM(A1189),FIND("]",TRIM(A1189)&amp;"]")+1,200)),TRIM(A1189)),1)=")",TRIM(LEFT(IF(LEFT(TRIM(A1189),1)="[",TRIM(MID(TRIM(A1189),FIND("]",TRIM(A1189)&amp;"]")+1,200)),TRIM(A1189)),FIND("(",IF(LEFT(TRIM(A1189),1)="[",TRIM(MID(TRIM(A1189),FIND("]",TRIM(A1189)&amp;"]")+1,200)),TRIM(A1189))&amp;"(")-1)),IF(LEFT(TRIM(A1189),1)="[",TRIM(MID(TRIM(A1189),FIND("]",TRIM(A1189)&amp;"]")+1,200)),TRIM(A1189))))&gt;0,IF(RIGHT(IF(LEFT(TRIM(A1189),1)="[",TRIM(MID(TRIM(A1189),FIND("]",TRIM(A1189)&amp;"]")+1,200)),TRIM(A1189)),1)=")",TRIM(LEFT(IF(LEFT(TRIM(A1189),1)="[",TRIM(MID(TRIM(A1189),FIND("]",TRIM(A1189)&amp;"]")+1,200)),TRIM(A1189)),FIND("(",IF(LEFT(TRIM(A1189),1)="[",TRIM(MID(TRIM(A1189),FIND("]",TRIM(A1189)&amp;"]")+1,200)),TRIM(A1189))&amp;"(")-1)),IF(LEFT(TRIM(A1189),1)="[",TRIM(MID(TRIM(A1189),FIND("]",TRIM(A1189)&amp;"]")+1,200)),TRIM(A1189))),""))</f>
      </c>
      <c r="C1189" s="17">
        <f>IF(B1189&lt;&gt;"",B1189,C1188)</f>
      </c>
      <c r="D1189" s="17">
        <f>IF(A1189="","",IF(OR(LEFT(UPPER(TRIM(A1189)),2)="Y:",LEFT(UPPER(TRIM(A1189)),10)="YESTERDAY:"),"Y",IF(OR(LEFT(UPPER(TRIM(A1189)),2)="T:",LEFT(UPPER(TRIM(A1189)),6)="TODAY:"),"T",IF(OR(LEFT(UPPER(TRIM(A1189)),2)="B:",LEFT(UPPER(TRIM(A1189)),8)="BLOCKER:",LEFT(UPPER(TRIM(A1189)),9)="BLOCKERS:",LEFT(UPPER(TRIM(A1189)),8)="BLOCKED:"),"B",""))))</f>
      </c>
      <c r="E1189" s="17">
        <f>IF(D1189="","",TRIM(MID(A1189,FIND(":",A1189)+1,500)))</f>
      </c>
    </row>
    <row r="1190">
      <c r="B1190" s="17">
        <f>IF(A1190="","",IF(COUNTIF(Roster[Name],IF(RIGHT(IF(LEFT(TRIM(A1190),1)="[",TRIM(MID(TRIM(A1190),FIND("]",TRIM(A1190)&amp;"]")+1,200)),TRIM(A1190)),1)=")",TRIM(LEFT(IF(LEFT(TRIM(A1190),1)="[",TRIM(MID(TRIM(A1190),FIND("]",TRIM(A1190)&amp;"]")+1,200)),TRIM(A1190)),FIND("(",IF(LEFT(TRIM(A1190),1)="[",TRIM(MID(TRIM(A1190),FIND("]",TRIM(A1190)&amp;"]")+1,200)),TRIM(A1190))&amp;"(")-1)),IF(LEFT(TRIM(A1190),1)="[",TRIM(MID(TRIM(A1190),FIND("]",TRIM(A1190)&amp;"]")+1,200)),TRIM(A1190))))&gt;0,IF(RIGHT(IF(LEFT(TRIM(A1190),1)="[",TRIM(MID(TRIM(A1190),FIND("]",TRIM(A1190)&amp;"]")+1,200)),TRIM(A1190)),1)=")",TRIM(LEFT(IF(LEFT(TRIM(A1190),1)="[",TRIM(MID(TRIM(A1190),FIND("]",TRIM(A1190)&amp;"]")+1,200)),TRIM(A1190)),FIND("(",IF(LEFT(TRIM(A1190),1)="[",TRIM(MID(TRIM(A1190),FIND("]",TRIM(A1190)&amp;"]")+1,200)),TRIM(A1190))&amp;"(")-1)),IF(LEFT(TRIM(A1190),1)="[",TRIM(MID(TRIM(A1190),FIND("]",TRIM(A1190)&amp;"]")+1,200)),TRIM(A1190))),""))</f>
      </c>
      <c r="C1190" s="17">
        <f>IF(B1190&lt;&gt;"",B1190,C1189)</f>
      </c>
      <c r="D1190" s="17">
        <f>IF(A1190="","",IF(OR(LEFT(UPPER(TRIM(A1190)),2)="Y:",LEFT(UPPER(TRIM(A1190)),10)="YESTERDAY:"),"Y",IF(OR(LEFT(UPPER(TRIM(A1190)),2)="T:",LEFT(UPPER(TRIM(A1190)),6)="TODAY:"),"T",IF(OR(LEFT(UPPER(TRIM(A1190)),2)="B:",LEFT(UPPER(TRIM(A1190)),8)="BLOCKER:",LEFT(UPPER(TRIM(A1190)),9)="BLOCKERS:",LEFT(UPPER(TRIM(A1190)),8)="BLOCKED:"),"B",""))))</f>
      </c>
      <c r="E1190" s="17">
        <f>IF(D1190="","",TRIM(MID(A1190,FIND(":",A1190)+1,500)))</f>
      </c>
    </row>
    <row r="1191">
      <c r="B1191" s="17">
        <f>IF(A1191="","",IF(COUNTIF(Roster[Name],IF(RIGHT(IF(LEFT(TRIM(A1191),1)="[",TRIM(MID(TRIM(A1191),FIND("]",TRIM(A1191)&amp;"]")+1,200)),TRIM(A1191)),1)=")",TRIM(LEFT(IF(LEFT(TRIM(A1191),1)="[",TRIM(MID(TRIM(A1191),FIND("]",TRIM(A1191)&amp;"]")+1,200)),TRIM(A1191)),FIND("(",IF(LEFT(TRIM(A1191),1)="[",TRIM(MID(TRIM(A1191),FIND("]",TRIM(A1191)&amp;"]")+1,200)),TRIM(A1191))&amp;"(")-1)),IF(LEFT(TRIM(A1191),1)="[",TRIM(MID(TRIM(A1191),FIND("]",TRIM(A1191)&amp;"]")+1,200)),TRIM(A1191))))&gt;0,IF(RIGHT(IF(LEFT(TRIM(A1191),1)="[",TRIM(MID(TRIM(A1191),FIND("]",TRIM(A1191)&amp;"]")+1,200)),TRIM(A1191)),1)=")",TRIM(LEFT(IF(LEFT(TRIM(A1191),1)="[",TRIM(MID(TRIM(A1191),FIND("]",TRIM(A1191)&amp;"]")+1,200)),TRIM(A1191)),FIND("(",IF(LEFT(TRIM(A1191),1)="[",TRIM(MID(TRIM(A1191),FIND("]",TRIM(A1191)&amp;"]")+1,200)),TRIM(A1191))&amp;"(")-1)),IF(LEFT(TRIM(A1191),1)="[",TRIM(MID(TRIM(A1191),FIND("]",TRIM(A1191)&amp;"]")+1,200)),TRIM(A1191))),""))</f>
      </c>
      <c r="C1191" s="17">
        <f>IF(B1191&lt;&gt;"",B1191,C1190)</f>
      </c>
      <c r="D1191" s="17">
        <f>IF(A1191="","",IF(OR(LEFT(UPPER(TRIM(A1191)),2)="Y:",LEFT(UPPER(TRIM(A1191)),10)="YESTERDAY:"),"Y",IF(OR(LEFT(UPPER(TRIM(A1191)),2)="T:",LEFT(UPPER(TRIM(A1191)),6)="TODAY:"),"T",IF(OR(LEFT(UPPER(TRIM(A1191)),2)="B:",LEFT(UPPER(TRIM(A1191)),8)="BLOCKER:",LEFT(UPPER(TRIM(A1191)),9)="BLOCKERS:",LEFT(UPPER(TRIM(A1191)),8)="BLOCKED:"),"B",""))))</f>
      </c>
      <c r="E1191" s="17">
        <f>IF(D1191="","",TRIM(MID(A1191,FIND(":",A1191)+1,500)))</f>
      </c>
    </row>
    <row r="1192">
      <c r="B1192" s="17">
        <f>IF(A1192="","",IF(COUNTIF(Roster[Name],IF(RIGHT(IF(LEFT(TRIM(A1192),1)="[",TRIM(MID(TRIM(A1192),FIND("]",TRIM(A1192)&amp;"]")+1,200)),TRIM(A1192)),1)=")",TRIM(LEFT(IF(LEFT(TRIM(A1192),1)="[",TRIM(MID(TRIM(A1192),FIND("]",TRIM(A1192)&amp;"]")+1,200)),TRIM(A1192)),FIND("(",IF(LEFT(TRIM(A1192),1)="[",TRIM(MID(TRIM(A1192),FIND("]",TRIM(A1192)&amp;"]")+1,200)),TRIM(A1192))&amp;"(")-1)),IF(LEFT(TRIM(A1192),1)="[",TRIM(MID(TRIM(A1192),FIND("]",TRIM(A1192)&amp;"]")+1,200)),TRIM(A1192))))&gt;0,IF(RIGHT(IF(LEFT(TRIM(A1192),1)="[",TRIM(MID(TRIM(A1192),FIND("]",TRIM(A1192)&amp;"]")+1,200)),TRIM(A1192)),1)=")",TRIM(LEFT(IF(LEFT(TRIM(A1192),1)="[",TRIM(MID(TRIM(A1192),FIND("]",TRIM(A1192)&amp;"]")+1,200)),TRIM(A1192)),FIND("(",IF(LEFT(TRIM(A1192),1)="[",TRIM(MID(TRIM(A1192),FIND("]",TRIM(A1192)&amp;"]")+1,200)),TRIM(A1192))&amp;"(")-1)),IF(LEFT(TRIM(A1192),1)="[",TRIM(MID(TRIM(A1192),FIND("]",TRIM(A1192)&amp;"]")+1,200)),TRIM(A1192))),""))</f>
      </c>
      <c r="C1192" s="17">
        <f>IF(B1192&lt;&gt;"",B1192,C1191)</f>
      </c>
      <c r="D1192" s="17">
        <f>IF(A1192="","",IF(OR(LEFT(UPPER(TRIM(A1192)),2)="Y:",LEFT(UPPER(TRIM(A1192)),10)="YESTERDAY:"),"Y",IF(OR(LEFT(UPPER(TRIM(A1192)),2)="T:",LEFT(UPPER(TRIM(A1192)),6)="TODAY:"),"T",IF(OR(LEFT(UPPER(TRIM(A1192)),2)="B:",LEFT(UPPER(TRIM(A1192)),8)="BLOCKER:",LEFT(UPPER(TRIM(A1192)),9)="BLOCKERS:",LEFT(UPPER(TRIM(A1192)),8)="BLOCKED:"),"B",""))))</f>
      </c>
      <c r="E1192" s="17">
        <f>IF(D1192="","",TRIM(MID(A1192,FIND(":",A1192)+1,500)))</f>
      </c>
    </row>
    <row r="1193">
      <c r="B1193" s="17">
        <f>IF(A1193="","",IF(COUNTIF(Roster[Name],IF(RIGHT(IF(LEFT(TRIM(A1193),1)="[",TRIM(MID(TRIM(A1193),FIND("]",TRIM(A1193)&amp;"]")+1,200)),TRIM(A1193)),1)=")",TRIM(LEFT(IF(LEFT(TRIM(A1193),1)="[",TRIM(MID(TRIM(A1193),FIND("]",TRIM(A1193)&amp;"]")+1,200)),TRIM(A1193)),FIND("(",IF(LEFT(TRIM(A1193),1)="[",TRIM(MID(TRIM(A1193),FIND("]",TRIM(A1193)&amp;"]")+1,200)),TRIM(A1193))&amp;"(")-1)),IF(LEFT(TRIM(A1193),1)="[",TRIM(MID(TRIM(A1193),FIND("]",TRIM(A1193)&amp;"]")+1,200)),TRIM(A1193))))&gt;0,IF(RIGHT(IF(LEFT(TRIM(A1193),1)="[",TRIM(MID(TRIM(A1193),FIND("]",TRIM(A1193)&amp;"]")+1,200)),TRIM(A1193)),1)=")",TRIM(LEFT(IF(LEFT(TRIM(A1193),1)="[",TRIM(MID(TRIM(A1193),FIND("]",TRIM(A1193)&amp;"]")+1,200)),TRIM(A1193)),FIND("(",IF(LEFT(TRIM(A1193),1)="[",TRIM(MID(TRIM(A1193),FIND("]",TRIM(A1193)&amp;"]")+1,200)),TRIM(A1193))&amp;"(")-1)),IF(LEFT(TRIM(A1193),1)="[",TRIM(MID(TRIM(A1193),FIND("]",TRIM(A1193)&amp;"]")+1,200)),TRIM(A1193))),""))</f>
      </c>
      <c r="C1193" s="17">
        <f>IF(B1193&lt;&gt;"",B1193,C1192)</f>
      </c>
      <c r="D1193" s="17">
        <f>IF(A1193="","",IF(OR(LEFT(UPPER(TRIM(A1193)),2)="Y:",LEFT(UPPER(TRIM(A1193)),10)="YESTERDAY:"),"Y",IF(OR(LEFT(UPPER(TRIM(A1193)),2)="T:",LEFT(UPPER(TRIM(A1193)),6)="TODAY:"),"T",IF(OR(LEFT(UPPER(TRIM(A1193)),2)="B:",LEFT(UPPER(TRIM(A1193)),8)="BLOCKER:",LEFT(UPPER(TRIM(A1193)),9)="BLOCKERS:",LEFT(UPPER(TRIM(A1193)),8)="BLOCKED:"),"B",""))))</f>
      </c>
      <c r="E1193" s="17">
        <f>IF(D1193="","",TRIM(MID(A1193,FIND(":",A1193)+1,500)))</f>
      </c>
    </row>
    <row r="1194">
      <c r="B1194" s="17">
        <f>IF(A1194="","",IF(COUNTIF(Roster[Name],IF(RIGHT(IF(LEFT(TRIM(A1194),1)="[",TRIM(MID(TRIM(A1194),FIND("]",TRIM(A1194)&amp;"]")+1,200)),TRIM(A1194)),1)=")",TRIM(LEFT(IF(LEFT(TRIM(A1194),1)="[",TRIM(MID(TRIM(A1194),FIND("]",TRIM(A1194)&amp;"]")+1,200)),TRIM(A1194)),FIND("(",IF(LEFT(TRIM(A1194),1)="[",TRIM(MID(TRIM(A1194),FIND("]",TRIM(A1194)&amp;"]")+1,200)),TRIM(A1194))&amp;"(")-1)),IF(LEFT(TRIM(A1194),1)="[",TRIM(MID(TRIM(A1194),FIND("]",TRIM(A1194)&amp;"]")+1,200)),TRIM(A1194))))&gt;0,IF(RIGHT(IF(LEFT(TRIM(A1194),1)="[",TRIM(MID(TRIM(A1194),FIND("]",TRIM(A1194)&amp;"]")+1,200)),TRIM(A1194)),1)=")",TRIM(LEFT(IF(LEFT(TRIM(A1194),1)="[",TRIM(MID(TRIM(A1194),FIND("]",TRIM(A1194)&amp;"]")+1,200)),TRIM(A1194)),FIND("(",IF(LEFT(TRIM(A1194),1)="[",TRIM(MID(TRIM(A1194),FIND("]",TRIM(A1194)&amp;"]")+1,200)),TRIM(A1194))&amp;"(")-1)),IF(LEFT(TRIM(A1194),1)="[",TRIM(MID(TRIM(A1194),FIND("]",TRIM(A1194)&amp;"]")+1,200)),TRIM(A1194))),""))</f>
      </c>
      <c r="C1194" s="17">
        <f>IF(B1194&lt;&gt;"",B1194,C1193)</f>
      </c>
      <c r="D1194" s="17">
        <f>IF(A1194="","",IF(OR(LEFT(UPPER(TRIM(A1194)),2)="Y:",LEFT(UPPER(TRIM(A1194)),10)="YESTERDAY:"),"Y",IF(OR(LEFT(UPPER(TRIM(A1194)),2)="T:",LEFT(UPPER(TRIM(A1194)),6)="TODAY:"),"T",IF(OR(LEFT(UPPER(TRIM(A1194)),2)="B:",LEFT(UPPER(TRIM(A1194)),8)="BLOCKER:",LEFT(UPPER(TRIM(A1194)),9)="BLOCKERS:",LEFT(UPPER(TRIM(A1194)),8)="BLOCKED:"),"B",""))))</f>
      </c>
      <c r="E1194" s="17">
        <f>IF(D1194="","",TRIM(MID(A1194,FIND(":",A1194)+1,500)))</f>
      </c>
    </row>
    <row r="1195">
      <c r="B1195" s="17">
        <f>IF(A1195="","",IF(COUNTIF(Roster[Name],IF(RIGHT(IF(LEFT(TRIM(A1195),1)="[",TRIM(MID(TRIM(A1195),FIND("]",TRIM(A1195)&amp;"]")+1,200)),TRIM(A1195)),1)=")",TRIM(LEFT(IF(LEFT(TRIM(A1195),1)="[",TRIM(MID(TRIM(A1195),FIND("]",TRIM(A1195)&amp;"]")+1,200)),TRIM(A1195)),FIND("(",IF(LEFT(TRIM(A1195),1)="[",TRIM(MID(TRIM(A1195),FIND("]",TRIM(A1195)&amp;"]")+1,200)),TRIM(A1195))&amp;"(")-1)),IF(LEFT(TRIM(A1195),1)="[",TRIM(MID(TRIM(A1195),FIND("]",TRIM(A1195)&amp;"]")+1,200)),TRIM(A1195))))&gt;0,IF(RIGHT(IF(LEFT(TRIM(A1195),1)="[",TRIM(MID(TRIM(A1195),FIND("]",TRIM(A1195)&amp;"]")+1,200)),TRIM(A1195)),1)=")",TRIM(LEFT(IF(LEFT(TRIM(A1195),1)="[",TRIM(MID(TRIM(A1195),FIND("]",TRIM(A1195)&amp;"]")+1,200)),TRIM(A1195)),FIND("(",IF(LEFT(TRIM(A1195),1)="[",TRIM(MID(TRIM(A1195),FIND("]",TRIM(A1195)&amp;"]")+1,200)),TRIM(A1195))&amp;"(")-1)),IF(LEFT(TRIM(A1195),1)="[",TRIM(MID(TRIM(A1195),FIND("]",TRIM(A1195)&amp;"]")+1,200)),TRIM(A1195))),""))</f>
      </c>
      <c r="C1195" s="17">
        <f>IF(B1195&lt;&gt;"",B1195,C1194)</f>
      </c>
      <c r="D1195" s="17">
        <f>IF(A1195="","",IF(OR(LEFT(UPPER(TRIM(A1195)),2)="Y:",LEFT(UPPER(TRIM(A1195)),10)="YESTERDAY:"),"Y",IF(OR(LEFT(UPPER(TRIM(A1195)),2)="T:",LEFT(UPPER(TRIM(A1195)),6)="TODAY:"),"T",IF(OR(LEFT(UPPER(TRIM(A1195)),2)="B:",LEFT(UPPER(TRIM(A1195)),8)="BLOCKER:",LEFT(UPPER(TRIM(A1195)),9)="BLOCKERS:",LEFT(UPPER(TRIM(A1195)),8)="BLOCKED:"),"B",""))))</f>
      </c>
      <c r="E1195" s="17">
        <f>IF(D1195="","",TRIM(MID(A1195,FIND(":",A1195)+1,500)))</f>
      </c>
    </row>
    <row r="1196">
      <c r="B1196" s="17">
        <f>IF(A1196="","",IF(COUNTIF(Roster[Name],IF(RIGHT(IF(LEFT(TRIM(A1196),1)="[",TRIM(MID(TRIM(A1196),FIND("]",TRIM(A1196)&amp;"]")+1,200)),TRIM(A1196)),1)=")",TRIM(LEFT(IF(LEFT(TRIM(A1196),1)="[",TRIM(MID(TRIM(A1196),FIND("]",TRIM(A1196)&amp;"]")+1,200)),TRIM(A1196)),FIND("(",IF(LEFT(TRIM(A1196),1)="[",TRIM(MID(TRIM(A1196),FIND("]",TRIM(A1196)&amp;"]")+1,200)),TRIM(A1196))&amp;"(")-1)),IF(LEFT(TRIM(A1196),1)="[",TRIM(MID(TRIM(A1196),FIND("]",TRIM(A1196)&amp;"]")+1,200)),TRIM(A1196))))&gt;0,IF(RIGHT(IF(LEFT(TRIM(A1196),1)="[",TRIM(MID(TRIM(A1196),FIND("]",TRIM(A1196)&amp;"]")+1,200)),TRIM(A1196)),1)=")",TRIM(LEFT(IF(LEFT(TRIM(A1196),1)="[",TRIM(MID(TRIM(A1196),FIND("]",TRIM(A1196)&amp;"]")+1,200)),TRIM(A1196)),FIND("(",IF(LEFT(TRIM(A1196),1)="[",TRIM(MID(TRIM(A1196),FIND("]",TRIM(A1196)&amp;"]")+1,200)),TRIM(A1196))&amp;"(")-1)),IF(LEFT(TRIM(A1196),1)="[",TRIM(MID(TRIM(A1196),FIND("]",TRIM(A1196)&amp;"]")+1,200)),TRIM(A1196))),""))</f>
      </c>
      <c r="C1196" s="17">
        <f>IF(B1196&lt;&gt;"",B1196,C1195)</f>
      </c>
      <c r="D1196" s="17">
        <f>IF(A1196="","",IF(OR(LEFT(UPPER(TRIM(A1196)),2)="Y:",LEFT(UPPER(TRIM(A1196)),10)="YESTERDAY:"),"Y",IF(OR(LEFT(UPPER(TRIM(A1196)),2)="T:",LEFT(UPPER(TRIM(A1196)),6)="TODAY:"),"T",IF(OR(LEFT(UPPER(TRIM(A1196)),2)="B:",LEFT(UPPER(TRIM(A1196)),8)="BLOCKER:",LEFT(UPPER(TRIM(A1196)),9)="BLOCKERS:",LEFT(UPPER(TRIM(A1196)),8)="BLOCKED:"),"B",""))))</f>
      </c>
      <c r="E1196" s="17">
        <f>IF(D1196="","",TRIM(MID(A1196,FIND(":",A1196)+1,500)))</f>
      </c>
    </row>
    <row r="1197">
      <c r="B1197" s="17">
        <f>IF(A1197="","",IF(COUNTIF(Roster[Name],IF(RIGHT(IF(LEFT(TRIM(A1197),1)="[",TRIM(MID(TRIM(A1197),FIND("]",TRIM(A1197)&amp;"]")+1,200)),TRIM(A1197)),1)=")",TRIM(LEFT(IF(LEFT(TRIM(A1197),1)="[",TRIM(MID(TRIM(A1197),FIND("]",TRIM(A1197)&amp;"]")+1,200)),TRIM(A1197)),FIND("(",IF(LEFT(TRIM(A1197),1)="[",TRIM(MID(TRIM(A1197),FIND("]",TRIM(A1197)&amp;"]")+1,200)),TRIM(A1197))&amp;"(")-1)),IF(LEFT(TRIM(A1197),1)="[",TRIM(MID(TRIM(A1197),FIND("]",TRIM(A1197)&amp;"]")+1,200)),TRIM(A1197))))&gt;0,IF(RIGHT(IF(LEFT(TRIM(A1197),1)="[",TRIM(MID(TRIM(A1197),FIND("]",TRIM(A1197)&amp;"]")+1,200)),TRIM(A1197)),1)=")",TRIM(LEFT(IF(LEFT(TRIM(A1197),1)="[",TRIM(MID(TRIM(A1197),FIND("]",TRIM(A1197)&amp;"]")+1,200)),TRIM(A1197)),FIND("(",IF(LEFT(TRIM(A1197),1)="[",TRIM(MID(TRIM(A1197),FIND("]",TRIM(A1197)&amp;"]")+1,200)),TRIM(A1197))&amp;"(")-1)),IF(LEFT(TRIM(A1197),1)="[",TRIM(MID(TRIM(A1197),FIND("]",TRIM(A1197)&amp;"]")+1,200)),TRIM(A1197))),""))</f>
      </c>
      <c r="C1197" s="17">
        <f>IF(B1197&lt;&gt;"",B1197,C1196)</f>
      </c>
      <c r="D1197" s="17">
        <f>IF(A1197="","",IF(OR(LEFT(UPPER(TRIM(A1197)),2)="Y:",LEFT(UPPER(TRIM(A1197)),10)="YESTERDAY:"),"Y",IF(OR(LEFT(UPPER(TRIM(A1197)),2)="T:",LEFT(UPPER(TRIM(A1197)),6)="TODAY:"),"T",IF(OR(LEFT(UPPER(TRIM(A1197)),2)="B:",LEFT(UPPER(TRIM(A1197)),8)="BLOCKER:",LEFT(UPPER(TRIM(A1197)),9)="BLOCKERS:",LEFT(UPPER(TRIM(A1197)),8)="BLOCKED:"),"B",""))))</f>
      </c>
      <c r="E1197" s="17">
        <f>IF(D1197="","",TRIM(MID(A1197,FIND(":",A1197)+1,500)))</f>
      </c>
    </row>
    <row r="1198">
      <c r="B1198" s="17">
        <f>IF(A1198="","",IF(COUNTIF(Roster[Name],IF(RIGHT(IF(LEFT(TRIM(A1198),1)="[",TRIM(MID(TRIM(A1198),FIND("]",TRIM(A1198)&amp;"]")+1,200)),TRIM(A1198)),1)=")",TRIM(LEFT(IF(LEFT(TRIM(A1198),1)="[",TRIM(MID(TRIM(A1198),FIND("]",TRIM(A1198)&amp;"]")+1,200)),TRIM(A1198)),FIND("(",IF(LEFT(TRIM(A1198),1)="[",TRIM(MID(TRIM(A1198),FIND("]",TRIM(A1198)&amp;"]")+1,200)),TRIM(A1198))&amp;"(")-1)),IF(LEFT(TRIM(A1198),1)="[",TRIM(MID(TRIM(A1198),FIND("]",TRIM(A1198)&amp;"]")+1,200)),TRIM(A1198))))&gt;0,IF(RIGHT(IF(LEFT(TRIM(A1198),1)="[",TRIM(MID(TRIM(A1198),FIND("]",TRIM(A1198)&amp;"]")+1,200)),TRIM(A1198)),1)=")",TRIM(LEFT(IF(LEFT(TRIM(A1198),1)="[",TRIM(MID(TRIM(A1198),FIND("]",TRIM(A1198)&amp;"]")+1,200)),TRIM(A1198)),FIND("(",IF(LEFT(TRIM(A1198),1)="[",TRIM(MID(TRIM(A1198),FIND("]",TRIM(A1198)&amp;"]")+1,200)),TRIM(A1198))&amp;"(")-1)),IF(LEFT(TRIM(A1198),1)="[",TRIM(MID(TRIM(A1198),FIND("]",TRIM(A1198)&amp;"]")+1,200)),TRIM(A1198))),""))</f>
      </c>
      <c r="C1198" s="17">
        <f>IF(B1198&lt;&gt;"",B1198,C1197)</f>
      </c>
      <c r="D1198" s="17">
        <f>IF(A1198="","",IF(OR(LEFT(UPPER(TRIM(A1198)),2)="Y:",LEFT(UPPER(TRIM(A1198)),10)="YESTERDAY:"),"Y",IF(OR(LEFT(UPPER(TRIM(A1198)),2)="T:",LEFT(UPPER(TRIM(A1198)),6)="TODAY:"),"T",IF(OR(LEFT(UPPER(TRIM(A1198)),2)="B:",LEFT(UPPER(TRIM(A1198)),8)="BLOCKER:",LEFT(UPPER(TRIM(A1198)),9)="BLOCKERS:",LEFT(UPPER(TRIM(A1198)),8)="BLOCKED:"),"B",""))))</f>
      </c>
      <c r="E1198" s="17">
        <f>IF(D1198="","",TRIM(MID(A1198,FIND(":",A1198)+1,500)))</f>
      </c>
    </row>
    <row r="1199">
      <c r="B1199" s="17">
        <f>IF(A1199="","",IF(COUNTIF(Roster[Name],IF(RIGHT(IF(LEFT(TRIM(A1199),1)="[",TRIM(MID(TRIM(A1199),FIND("]",TRIM(A1199)&amp;"]")+1,200)),TRIM(A1199)),1)=")",TRIM(LEFT(IF(LEFT(TRIM(A1199),1)="[",TRIM(MID(TRIM(A1199),FIND("]",TRIM(A1199)&amp;"]")+1,200)),TRIM(A1199)),FIND("(",IF(LEFT(TRIM(A1199),1)="[",TRIM(MID(TRIM(A1199),FIND("]",TRIM(A1199)&amp;"]")+1,200)),TRIM(A1199))&amp;"(")-1)),IF(LEFT(TRIM(A1199),1)="[",TRIM(MID(TRIM(A1199),FIND("]",TRIM(A1199)&amp;"]")+1,200)),TRIM(A1199))))&gt;0,IF(RIGHT(IF(LEFT(TRIM(A1199),1)="[",TRIM(MID(TRIM(A1199),FIND("]",TRIM(A1199)&amp;"]")+1,200)),TRIM(A1199)),1)=")",TRIM(LEFT(IF(LEFT(TRIM(A1199),1)="[",TRIM(MID(TRIM(A1199),FIND("]",TRIM(A1199)&amp;"]")+1,200)),TRIM(A1199)),FIND("(",IF(LEFT(TRIM(A1199),1)="[",TRIM(MID(TRIM(A1199),FIND("]",TRIM(A1199)&amp;"]")+1,200)),TRIM(A1199))&amp;"(")-1)),IF(LEFT(TRIM(A1199),1)="[",TRIM(MID(TRIM(A1199),FIND("]",TRIM(A1199)&amp;"]")+1,200)),TRIM(A1199))),""))</f>
      </c>
      <c r="C1199" s="17">
        <f>IF(B1199&lt;&gt;"",B1199,C1198)</f>
      </c>
      <c r="D1199" s="17">
        <f>IF(A1199="","",IF(OR(LEFT(UPPER(TRIM(A1199)),2)="Y:",LEFT(UPPER(TRIM(A1199)),10)="YESTERDAY:"),"Y",IF(OR(LEFT(UPPER(TRIM(A1199)),2)="T:",LEFT(UPPER(TRIM(A1199)),6)="TODAY:"),"T",IF(OR(LEFT(UPPER(TRIM(A1199)),2)="B:",LEFT(UPPER(TRIM(A1199)),8)="BLOCKER:",LEFT(UPPER(TRIM(A1199)),9)="BLOCKERS:",LEFT(UPPER(TRIM(A1199)),8)="BLOCKED:"),"B",""))))</f>
      </c>
      <c r="E1199" s="17">
        <f>IF(D1199="","",TRIM(MID(A1199,FIND(":",A1199)+1,500)))</f>
      </c>
    </row>
    <row r="1200">
      <c r="B1200" s="17">
        <f>IF(A1200="","",IF(COUNTIF(Roster[Name],IF(RIGHT(IF(LEFT(TRIM(A1200),1)="[",TRIM(MID(TRIM(A1200),FIND("]",TRIM(A1200)&amp;"]")+1,200)),TRIM(A1200)),1)=")",TRIM(LEFT(IF(LEFT(TRIM(A1200),1)="[",TRIM(MID(TRIM(A1200),FIND("]",TRIM(A1200)&amp;"]")+1,200)),TRIM(A1200)),FIND("(",IF(LEFT(TRIM(A1200),1)="[",TRIM(MID(TRIM(A1200),FIND("]",TRIM(A1200)&amp;"]")+1,200)),TRIM(A1200))&amp;"(")-1)),IF(LEFT(TRIM(A1200),1)="[",TRIM(MID(TRIM(A1200),FIND("]",TRIM(A1200)&amp;"]")+1,200)),TRIM(A1200))))&gt;0,IF(RIGHT(IF(LEFT(TRIM(A1200),1)="[",TRIM(MID(TRIM(A1200),FIND("]",TRIM(A1200)&amp;"]")+1,200)),TRIM(A1200)),1)=")",TRIM(LEFT(IF(LEFT(TRIM(A1200),1)="[",TRIM(MID(TRIM(A1200),FIND("]",TRIM(A1200)&amp;"]")+1,200)),TRIM(A1200)),FIND("(",IF(LEFT(TRIM(A1200),1)="[",TRIM(MID(TRIM(A1200),FIND("]",TRIM(A1200)&amp;"]")+1,200)),TRIM(A1200))&amp;"(")-1)),IF(LEFT(TRIM(A1200),1)="[",TRIM(MID(TRIM(A1200),FIND("]",TRIM(A1200)&amp;"]")+1,200)),TRIM(A1200))),""))</f>
      </c>
      <c r="C1200" s="17">
        <f>IF(B1200&lt;&gt;"",B1200,C1199)</f>
      </c>
      <c r="D1200" s="17">
        <f>IF(A1200="","",IF(OR(LEFT(UPPER(TRIM(A1200)),2)="Y:",LEFT(UPPER(TRIM(A1200)),10)="YESTERDAY:"),"Y",IF(OR(LEFT(UPPER(TRIM(A1200)),2)="T:",LEFT(UPPER(TRIM(A1200)),6)="TODAY:"),"T",IF(OR(LEFT(UPPER(TRIM(A1200)),2)="B:",LEFT(UPPER(TRIM(A1200)),8)="BLOCKER:",LEFT(UPPER(TRIM(A1200)),9)="BLOCKERS:",LEFT(UPPER(TRIM(A1200)),8)="BLOCKED:"),"B",""))))</f>
      </c>
      <c r="E1200" s="17">
        <f>IF(D1200="","",TRIM(MID(A1200,FIND(":",A1200)+1,500)))</f>
      </c>
    </row>
    <row r="1201">
      <c r="B1201" s="17">
        <f>IF(A1201="","",IF(COUNTIF(Roster[Name],IF(RIGHT(IF(LEFT(TRIM(A1201),1)="[",TRIM(MID(TRIM(A1201),FIND("]",TRIM(A1201)&amp;"]")+1,200)),TRIM(A1201)),1)=")",TRIM(LEFT(IF(LEFT(TRIM(A1201),1)="[",TRIM(MID(TRIM(A1201),FIND("]",TRIM(A1201)&amp;"]")+1,200)),TRIM(A1201)),FIND("(",IF(LEFT(TRIM(A1201),1)="[",TRIM(MID(TRIM(A1201),FIND("]",TRIM(A1201)&amp;"]")+1,200)),TRIM(A1201))&amp;"(")-1)),IF(LEFT(TRIM(A1201),1)="[",TRIM(MID(TRIM(A1201),FIND("]",TRIM(A1201)&amp;"]")+1,200)),TRIM(A1201))))&gt;0,IF(RIGHT(IF(LEFT(TRIM(A1201),1)="[",TRIM(MID(TRIM(A1201),FIND("]",TRIM(A1201)&amp;"]")+1,200)),TRIM(A1201)),1)=")",TRIM(LEFT(IF(LEFT(TRIM(A1201),1)="[",TRIM(MID(TRIM(A1201),FIND("]",TRIM(A1201)&amp;"]")+1,200)),TRIM(A1201)),FIND("(",IF(LEFT(TRIM(A1201),1)="[",TRIM(MID(TRIM(A1201),FIND("]",TRIM(A1201)&amp;"]")+1,200)),TRIM(A1201))&amp;"(")-1)),IF(LEFT(TRIM(A1201),1)="[",TRIM(MID(TRIM(A1201),FIND("]",TRIM(A1201)&amp;"]")+1,200)),TRIM(A1201))),""))</f>
      </c>
      <c r="C1201" s="17">
        <f>IF(B1201&lt;&gt;"",B1201,C1200)</f>
      </c>
      <c r="D1201" s="17">
        <f>IF(A1201="","",IF(OR(LEFT(UPPER(TRIM(A1201)),2)="Y:",LEFT(UPPER(TRIM(A1201)),10)="YESTERDAY:"),"Y",IF(OR(LEFT(UPPER(TRIM(A1201)),2)="T:",LEFT(UPPER(TRIM(A1201)),6)="TODAY:"),"T",IF(OR(LEFT(UPPER(TRIM(A1201)),2)="B:",LEFT(UPPER(TRIM(A1201)),8)="BLOCKER:",LEFT(UPPER(TRIM(A1201)),9)="BLOCKERS:",LEFT(UPPER(TRIM(A1201)),8)="BLOCKED:"),"B",""))))</f>
      </c>
      <c r="E1201" s="17">
        <f>IF(D1201="","",TRIM(MID(A1201,FIND(":",A1201)+1,500)))</f>
      </c>
    </row>
    <row r="1202">
      <c r="B1202" s="17">
        <f>IF(A1202="","",IF(COUNTIF(Roster[Name],IF(RIGHT(IF(LEFT(TRIM(A1202),1)="[",TRIM(MID(TRIM(A1202),FIND("]",TRIM(A1202)&amp;"]")+1,200)),TRIM(A1202)),1)=")",TRIM(LEFT(IF(LEFT(TRIM(A1202),1)="[",TRIM(MID(TRIM(A1202),FIND("]",TRIM(A1202)&amp;"]")+1,200)),TRIM(A1202)),FIND("(",IF(LEFT(TRIM(A1202),1)="[",TRIM(MID(TRIM(A1202),FIND("]",TRIM(A1202)&amp;"]")+1,200)),TRIM(A1202))&amp;"(")-1)),IF(LEFT(TRIM(A1202),1)="[",TRIM(MID(TRIM(A1202),FIND("]",TRIM(A1202)&amp;"]")+1,200)),TRIM(A1202))))&gt;0,IF(RIGHT(IF(LEFT(TRIM(A1202),1)="[",TRIM(MID(TRIM(A1202),FIND("]",TRIM(A1202)&amp;"]")+1,200)),TRIM(A1202)),1)=")",TRIM(LEFT(IF(LEFT(TRIM(A1202),1)="[",TRIM(MID(TRIM(A1202),FIND("]",TRIM(A1202)&amp;"]")+1,200)),TRIM(A1202)),FIND("(",IF(LEFT(TRIM(A1202),1)="[",TRIM(MID(TRIM(A1202),FIND("]",TRIM(A1202)&amp;"]")+1,200)),TRIM(A1202))&amp;"(")-1)),IF(LEFT(TRIM(A1202),1)="[",TRIM(MID(TRIM(A1202),FIND("]",TRIM(A1202)&amp;"]")+1,200)),TRIM(A1202))),""))</f>
      </c>
      <c r="C1202" s="17">
        <f>IF(B1202&lt;&gt;"",B1202,C1201)</f>
      </c>
      <c r="D1202" s="17">
        <f>IF(A1202="","",IF(OR(LEFT(UPPER(TRIM(A1202)),2)="Y:",LEFT(UPPER(TRIM(A1202)),10)="YESTERDAY:"),"Y",IF(OR(LEFT(UPPER(TRIM(A1202)),2)="T:",LEFT(UPPER(TRIM(A1202)),6)="TODAY:"),"T",IF(OR(LEFT(UPPER(TRIM(A1202)),2)="B:",LEFT(UPPER(TRIM(A1202)),8)="BLOCKER:",LEFT(UPPER(TRIM(A1202)),9)="BLOCKERS:",LEFT(UPPER(TRIM(A1202)),8)="BLOCKED:"),"B",""))))</f>
      </c>
      <c r="E1202" s="17">
        <f>IF(D1202="","",TRIM(MID(A1202,FIND(":",A1202)+1,500)))</f>
      </c>
    </row>
    <row r="1203">
      <c r="B1203" s="17">
        <f>IF(A1203="","",IF(COUNTIF(Roster[Name],IF(RIGHT(IF(LEFT(TRIM(A1203),1)="[",TRIM(MID(TRIM(A1203),FIND("]",TRIM(A1203)&amp;"]")+1,200)),TRIM(A1203)),1)=")",TRIM(LEFT(IF(LEFT(TRIM(A1203),1)="[",TRIM(MID(TRIM(A1203),FIND("]",TRIM(A1203)&amp;"]")+1,200)),TRIM(A1203)),FIND("(",IF(LEFT(TRIM(A1203),1)="[",TRIM(MID(TRIM(A1203),FIND("]",TRIM(A1203)&amp;"]")+1,200)),TRIM(A1203))&amp;"(")-1)),IF(LEFT(TRIM(A1203),1)="[",TRIM(MID(TRIM(A1203),FIND("]",TRIM(A1203)&amp;"]")+1,200)),TRIM(A1203))))&gt;0,IF(RIGHT(IF(LEFT(TRIM(A1203),1)="[",TRIM(MID(TRIM(A1203),FIND("]",TRIM(A1203)&amp;"]")+1,200)),TRIM(A1203)),1)=")",TRIM(LEFT(IF(LEFT(TRIM(A1203),1)="[",TRIM(MID(TRIM(A1203),FIND("]",TRIM(A1203)&amp;"]")+1,200)),TRIM(A1203)),FIND("(",IF(LEFT(TRIM(A1203),1)="[",TRIM(MID(TRIM(A1203),FIND("]",TRIM(A1203)&amp;"]")+1,200)),TRIM(A1203))&amp;"(")-1)),IF(LEFT(TRIM(A1203),1)="[",TRIM(MID(TRIM(A1203),FIND("]",TRIM(A1203)&amp;"]")+1,200)),TRIM(A1203))),""))</f>
      </c>
      <c r="C1203" s="17">
        <f>IF(B1203&lt;&gt;"",B1203,C1202)</f>
      </c>
      <c r="D1203" s="17">
        <f>IF(A1203="","",IF(OR(LEFT(UPPER(TRIM(A1203)),2)="Y:",LEFT(UPPER(TRIM(A1203)),10)="YESTERDAY:"),"Y",IF(OR(LEFT(UPPER(TRIM(A1203)),2)="T:",LEFT(UPPER(TRIM(A1203)),6)="TODAY:"),"T",IF(OR(LEFT(UPPER(TRIM(A1203)),2)="B:",LEFT(UPPER(TRIM(A1203)),8)="BLOCKER:",LEFT(UPPER(TRIM(A1203)),9)="BLOCKERS:",LEFT(UPPER(TRIM(A1203)),8)="BLOCKED:"),"B",""))))</f>
      </c>
      <c r="E1203" s="17">
        <f>IF(D1203="","",TRIM(MID(A1203,FIND(":",A1203)+1,500)))</f>
      </c>
    </row>
    <row r="1204">
      <c r="B1204" s="17">
        <f>IF(A1204="","",IF(COUNTIF(Roster[Name],IF(RIGHT(IF(LEFT(TRIM(A1204),1)="[",TRIM(MID(TRIM(A1204),FIND("]",TRIM(A1204)&amp;"]")+1,200)),TRIM(A1204)),1)=")",TRIM(LEFT(IF(LEFT(TRIM(A1204),1)="[",TRIM(MID(TRIM(A1204),FIND("]",TRIM(A1204)&amp;"]")+1,200)),TRIM(A1204)),FIND("(",IF(LEFT(TRIM(A1204),1)="[",TRIM(MID(TRIM(A1204),FIND("]",TRIM(A1204)&amp;"]")+1,200)),TRIM(A1204))&amp;"(")-1)),IF(LEFT(TRIM(A1204),1)="[",TRIM(MID(TRIM(A1204),FIND("]",TRIM(A1204)&amp;"]")+1,200)),TRIM(A1204))))&gt;0,IF(RIGHT(IF(LEFT(TRIM(A1204),1)="[",TRIM(MID(TRIM(A1204),FIND("]",TRIM(A1204)&amp;"]")+1,200)),TRIM(A1204)),1)=")",TRIM(LEFT(IF(LEFT(TRIM(A1204),1)="[",TRIM(MID(TRIM(A1204),FIND("]",TRIM(A1204)&amp;"]")+1,200)),TRIM(A1204)),FIND("(",IF(LEFT(TRIM(A1204),1)="[",TRIM(MID(TRIM(A1204),FIND("]",TRIM(A1204)&amp;"]")+1,200)),TRIM(A1204))&amp;"(")-1)),IF(LEFT(TRIM(A1204),1)="[",TRIM(MID(TRIM(A1204),FIND("]",TRIM(A1204)&amp;"]")+1,200)),TRIM(A1204))),""))</f>
      </c>
      <c r="C1204" s="17">
        <f>IF(B1204&lt;&gt;"",B1204,C1203)</f>
      </c>
      <c r="D1204" s="17">
        <f>IF(A1204="","",IF(OR(LEFT(UPPER(TRIM(A1204)),2)="Y:",LEFT(UPPER(TRIM(A1204)),10)="YESTERDAY:"),"Y",IF(OR(LEFT(UPPER(TRIM(A1204)),2)="T:",LEFT(UPPER(TRIM(A1204)),6)="TODAY:"),"T",IF(OR(LEFT(UPPER(TRIM(A1204)),2)="B:",LEFT(UPPER(TRIM(A1204)),8)="BLOCKER:",LEFT(UPPER(TRIM(A1204)),9)="BLOCKERS:",LEFT(UPPER(TRIM(A1204)),8)="BLOCKED:"),"B",""))))</f>
      </c>
      <c r="E1204" s="17">
        <f>IF(D1204="","",TRIM(MID(A1204,FIND(":",A1204)+1,500)))</f>
      </c>
    </row>
    <row r="1205">
      <c r="B1205" s="17">
        <f>IF(A1205="","",IF(COUNTIF(Roster[Name],IF(RIGHT(IF(LEFT(TRIM(A1205),1)="[",TRIM(MID(TRIM(A1205),FIND("]",TRIM(A1205)&amp;"]")+1,200)),TRIM(A1205)),1)=")",TRIM(LEFT(IF(LEFT(TRIM(A1205),1)="[",TRIM(MID(TRIM(A1205),FIND("]",TRIM(A1205)&amp;"]")+1,200)),TRIM(A1205)),FIND("(",IF(LEFT(TRIM(A1205),1)="[",TRIM(MID(TRIM(A1205),FIND("]",TRIM(A1205)&amp;"]")+1,200)),TRIM(A1205))&amp;"(")-1)),IF(LEFT(TRIM(A1205),1)="[",TRIM(MID(TRIM(A1205),FIND("]",TRIM(A1205)&amp;"]")+1,200)),TRIM(A1205))))&gt;0,IF(RIGHT(IF(LEFT(TRIM(A1205),1)="[",TRIM(MID(TRIM(A1205),FIND("]",TRIM(A1205)&amp;"]")+1,200)),TRIM(A1205)),1)=")",TRIM(LEFT(IF(LEFT(TRIM(A1205),1)="[",TRIM(MID(TRIM(A1205),FIND("]",TRIM(A1205)&amp;"]")+1,200)),TRIM(A1205)),FIND("(",IF(LEFT(TRIM(A1205),1)="[",TRIM(MID(TRIM(A1205),FIND("]",TRIM(A1205)&amp;"]")+1,200)),TRIM(A1205))&amp;"(")-1)),IF(LEFT(TRIM(A1205),1)="[",TRIM(MID(TRIM(A1205),FIND("]",TRIM(A1205)&amp;"]")+1,200)),TRIM(A1205))),""))</f>
      </c>
      <c r="C1205" s="17">
        <f>IF(B1205&lt;&gt;"",B1205,C1204)</f>
      </c>
      <c r="D1205" s="17">
        <f>IF(A1205="","",IF(OR(LEFT(UPPER(TRIM(A1205)),2)="Y:",LEFT(UPPER(TRIM(A1205)),10)="YESTERDAY:"),"Y",IF(OR(LEFT(UPPER(TRIM(A1205)),2)="T:",LEFT(UPPER(TRIM(A1205)),6)="TODAY:"),"T",IF(OR(LEFT(UPPER(TRIM(A1205)),2)="B:",LEFT(UPPER(TRIM(A1205)),8)="BLOCKER:",LEFT(UPPER(TRIM(A1205)),9)="BLOCKERS:",LEFT(UPPER(TRIM(A1205)),8)="BLOCKED:"),"B",""))))</f>
      </c>
      <c r="E1205" s="17">
        <f>IF(D1205="","",TRIM(MID(A1205,FIND(":",A1205)+1,500)))</f>
      </c>
    </row>
    <row r="1206">
      <c r="B1206" s="17">
        <f>IF(A1206="","",IF(COUNTIF(Roster[Name],IF(RIGHT(IF(LEFT(TRIM(A1206),1)="[",TRIM(MID(TRIM(A1206),FIND("]",TRIM(A1206)&amp;"]")+1,200)),TRIM(A1206)),1)=")",TRIM(LEFT(IF(LEFT(TRIM(A1206),1)="[",TRIM(MID(TRIM(A1206),FIND("]",TRIM(A1206)&amp;"]")+1,200)),TRIM(A1206)),FIND("(",IF(LEFT(TRIM(A1206),1)="[",TRIM(MID(TRIM(A1206),FIND("]",TRIM(A1206)&amp;"]")+1,200)),TRIM(A1206))&amp;"(")-1)),IF(LEFT(TRIM(A1206),1)="[",TRIM(MID(TRIM(A1206),FIND("]",TRIM(A1206)&amp;"]")+1,200)),TRIM(A1206))))&gt;0,IF(RIGHT(IF(LEFT(TRIM(A1206),1)="[",TRIM(MID(TRIM(A1206),FIND("]",TRIM(A1206)&amp;"]")+1,200)),TRIM(A1206)),1)=")",TRIM(LEFT(IF(LEFT(TRIM(A1206),1)="[",TRIM(MID(TRIM(A1206),FIND("]",TRIM(A1206)&amp;"]")+1,200)),TRIM(A1206)),FIND("(",IF(LEFT(TRIM(A1206),1)="[",TRIM(MID(TRIM(A1206),FIND("]",TRIM(A1206)&amp;"]")+1,200)),TRIM(A1206))&amp;"(")-1)),IF(LEFT(TRIM(A1206),1)="[",TRIM(MID(TRIM(A1206),FIND("]",TRIM(A1206)&amp;"]")+1,200)),TRIM(A1206))),""))</f>
      </c>
      <c r="C1206" s="17">
        <f>IF(B1206&lt;&gt;"",B1206,C1205)</f>
      </c>
      <c r="D1206" s="17">
        <f>IF(A1206="","",IF(OR(LEFT(UPPER(TRIM(A1206)),2)="Y:",LEFT(UPPER(TRIM(A1206)),10)="YESTERDAY:"),"Y",IF(OR(LEFT(UPPER(TRIM(A1206)),2)="T:",LEFT(UPPER(TRIM(A1206)),6)="TODAY:"),"T",IF(OR(LEFT(UPPER(TRIM(A1206)),2)="B:",LEFT(UPPER(TRIM(A1206)),8)="BLOCKER:",LEFT(UPPER(TRIM(A1206)),9)="BLOCKERS:",LEFT(UPPER(TRIM(A1206)),8)="BLOCKED:"),"B",""))))</f>
      </c>
      <c r="E1206" s="17">
        <f>IF(D1206="","",TRIM(MID(A1206,FIND(":",A1206)+1,500)))</f>
      </c>
    </row>
    <row r="1207">
      <c r="B1207" s="17">
        <f>IF(A1207="","",IF(COUNTIF(Roster[Name],IF(RIGHT(IF(LEFT(TRIM(A1207),1)="[",TRIM(MID(TRIM(A1207),FIND("]",TRIM(A1207)&amp;"]")+1,200)),TRIM(A1207)),1)=")",TRIM(LEFT(IF(LEFT(TRIM(A1207),1)="[",TRIM(MID(TRIM(A1207),FIND("]",TRIM(A1207)&amp;"]")+1,200)),TRIM(A1207)),FIND("(",IF(LEFT(TRIM(A1207),1)="[",TRIM(MID(TRIM(A1207),FIND("]",TRIM(A1207)&amp;"]")+1,200)),TRIM(A1207))&amp;"(")-1)),IF(LEFT(TRIM(A1207),1)="[",TRIM(MID(TRIM(A1207),FIND("]",TRIM(A1207)&amp;"]")+1,200)),TRIM(A1207))))&gt;0,IF(RIGHT(IF(LEFT(TRIM(A1207),1)="[",TRIM(MID(TRIM(A1207),FIND("]",TRIM(A1207)&amp;"]")+1,200)),TRIM(A1207)),1)=")",TRIM(LEFT(IF(LEFT(TRIM(A1207),1)="[",TRIM(MID(TRIM(A1207),FIND("]",TRIM(A1207)&amp;"]")+1,200)),TRIM(A1207)),FIND("(",IF(LEFT(TRIM(A1207),1)="[",TRIM(MID(TRIM(A1207),FIND("]",TRIM(A1207)&amp;"]")+1,200)),TRIM(A1207))&amp;"(")-1)),IF(LEFT(TRIM(A1207),1)="[",TRIM(MID(TRIM(A1207),FIND("]",TRIM(A1207)&amp;"]")+1,200)),TRIM(A1207))),""))</f>
      </c>
      <c r="C1207" s="17">
        <f>IF(B1207&lt;&gt;"",B1207,C1206)</f>
      </c>
      <c r="D1207" s="17">
        <f>IF(A1207="","",IF(OR(LEFT(UPPER(TRIM(A1207)),2)="Y:",LEFT(UPPER(TRIM(A1207)),10)="YESTERDAY:"),"Y",IF(OR(LEFT(UPPER(TRIM(A1207)),2)="T:",LEFT(UPPER(TRIM(A1207)),6)="TODAY:"),"T",IF(OR(LEFT(UPPER(TRIM(A1207)),2)="B:",LEFT(UPPER(TRIM(A1207)),8)="BLOCKER:",LEFT(UPPER(TRIM(A1207)),9)="BLOCKERS:",LEFT(UPPER(TRIM(A1207)),8)="BLOCKED:"),"B",""))))</f>
      </c>
      <c r="E1207" s="17">
        <f>IF(D1207="","",TRIM(MID(A1207,FIND(":",A1207)+1,500)))</f>
      </c>
    </row>
    <row r="1208">
      <c r="B1208" s="17">
        <f>IF(A1208="","",IF(COUNTIF(Roster[Name],IF(RIGHT(IF(LEFT(TRIM(A1208),1)="[",TRIM(MID(TRIM(A1208),FIND("]",TRIM(A1208)&amp;"]")+1,200)),TRIM(A1208)),1)=")",TRIM(LEFT(IF(LEFT(TRIM(A1208),1)="[",TRIM(MID(TRIM(A1208),FIND("]",TRIM(A1208)&amp;"]")+1,200)),TRIM(A1208)),FIND("(",IF(LEFT(TRIM(A1208),1)="[",TRIM(MID(TRIM(A1208),FIND("]",TRIM(A1208)&amp;"]")+1,200)),TRIM(A1208))&amp;"(")-1)),IF(LEFT(TRIM(A1208),1)="[",TRIM(MID(TRIM(A1208),FIND("]",TRIM(A1208)&amp;"]")+1,200)),TRIM(A1208))))&gt;0,IF(RIGHT(IF(LEFT(TRIM(A1208),1)="[",TRIM(MID(TRIM(A1208),FIND("]",TRIM(A1208)&amp;"]")+1,200)),TRIM(A1208)),1)=")",TRIM(LEFT(IF(LEFT(TRIM(A1208),1)="[",TRIM(MID(TRIM(A1208),FIND("]",TRIM(A1208)&amp;"]")+1,200)),TRIM(A1208)),FIND("(",IF(LEFT(TRIM(A1208),1)="[",TRIM(MID(TRIM(A1208),FIND("]",TRIM(A1208)&amp;"]")+1,200)),TRIM(A1208))&amp;"(")-1)),IF(LEFT(TRIM(A1208),1)="[",TRIM(MID(TRIM(A1208),FIND("]",TRIM(A1208)&amp;"]")+1,200)),TRIM(A1208))),""))</f>
      </c>
      <c r="C1208" s="17">
        <f>IF(B1208&lt;&gt;"",B1208,C1207)</f>
      </c>
      <c r="D1208" s="17">
        <f>IF(A1208="","",IF(OR(LEFT(UPPER(TRIM(A1208)),2)="Y:",LEFT(UPPER(TRIM(A1208)),10)="YESTERDAY:"),"Y",IF(OR(LEFT(UPPER(TRIM(A1208)),2)="T:",LEFT(UPPER(TRIM(A1208)),6)="TODAY:"),"T",IF(OR(LEFT(UPPER(TRIM(A1208)),2)="B:",LEFT(UPPER(TRIM(A1208)),8)="BLOCKER:",LEFT(UPPER(TRIM(A1208)),9)="BLOCKERS:",LEFT(UPPER(TRIM(A1208)),8)="BLOCKED:"),"B",""))))</f>
      </c>
      <c r="E1208" s="17">
        <f>IF(D1208="","",TRIM(MID(A1208,FIND(":",A1208)+1,500)))</f>
      </c>
    </row>
    <row r="1209">
      <c r="B1209" s="17">
        <f>IF(A1209="","",IF(COUNTIF(Roster[Name],IF(RIGHT(IF(LEFT(TRIM(A1209),1)="[",TRIM(MID(TRIM(A1209),FIND("]",TRIM(A1209)&amp;"]")+1,200)),TRIM(A1209)),1)=")",TRIM(LEFT(IF(LEFT(TRIM(A1209),1)="[",TRIM(MID(TRIM(A1209),FIND("]",TRIM(A1209)&amp;"]")+1,200)),TRIM(A1209)),FIND("(",IF(LEFT(TRIM(A1209),1)="[",TRIM(MID(TRIM(A1209),FIND("]",TRIM(A1209)&amp;"]")+1,200)),TRIM(A1209))&amp;"(")-1)),IF(LEFT(TRIM(A1209),1)="[",TRIM(MID(TRIM(A1209),FIND("]",TRIM(A1209)&amp;"]")+1,200)),TRIM(A1209))))&gt;0,IF(RIGHT(IF(LEFT(TRIM(A1209),1)="[",TRIM(MID(TRIM(A1209),FIND("]",TRIM(A1209)&amp;"]")+1,200)),TRIM(A1209)),1)=")",TRIM(LEFT(IF(LEFT(TRIM(A1209),1)="[",TRIM(MID(TRIM(A1209),FIND("]",TRIM(A1209)&amp;"]")+1,200)),TRIM(A1209)),FIND("(",IF(LEFT(TRIM(A1209),1)="[",TRIM(MID(TRIM(A1209),FIND("]",TRIM(A1209)&amp;"]")+1,200)),TRIM(A1209))&amp;"(")-1)),IF(LEFT(TRIM(A1209),1)="[",TRIM(MID(TRIM(A1209),FIND("]",TRIM(A1209)&amp;"]")+1,200)),TRIM(A1209))),""))</f>
      </c>
      <c r="C1209" s="17">
        <f>IF(B1209&lt;&gt;"",B1209,C1208)</f>
      </c>
      <c r="D1209" s="17">
        <f>IF(A1209="","",IF(OR(LEFT(UPPER(TRIM(A1209)),2)="Y:",LEFT(UPPER(TRIM(A1209)),10)="YESTERDAY:"),"Y",IF(OR(LEFT(UPPER(TRIM(A1209)),2)="T:",LEFT(UPPER(TRIM(A1209)),6)="TODAY:"),"T",IF(OR(LEFT(UPPER(TRIM(A1209)),2)="B:",LEFT(UPPER(TRIM(A1209)),8)="BLOCKER:",LEFT(UPPER(TRIM(A1209)),9)="BLOCKERS:",LEFT(UPPER(TRIM(A1209)),8)="BLOCKED:"),"B",""))))</f>
      </c>
      <c r="E1209" s="17">
        <f>IF(D1209="","",TRIM(MID(A1209,FIND(":",A1209)+1,500)))</f>
      </c>
    </row>
    <row r="1210">
      <c r="B1210" s="17">
        <f>IF(A1210="","",IF(COUNTIF(Roster[Name],IF(RIGHT(IF(LEFT(TRIM(A1210),1)="[",TRIM(MID(TRIM(A1210),FIND("]",TRIM(A1210)&amp;"]")+1,200)),TRIM(A1210)),1)=")",TRIM(LEFT(IF(LEFT(TRIM(A1210),1)="[",TRIM(MID(TRIM(A1210),FIND("]",TRIM(A1210)&amp;"]")+1,200)),TRIM(A1210)),FIND("(",IF(LEFT(TRIM(A1210),1)="[",TRIM(MID(TRIM(A1210),FIND("]",TRIM(A1210)&amp;"]")+1,200)),TRIM(A1210))&amp;"(")-1)),IF(LEFT(TRIM(A1210),1)="[",TRIM(MID(TRIM(A1210),FIND("]",TRIM(A1210)&amp;"]")+1,200)),TRIM(A1210))))&gt;0,IF(RIGHT(IF(LEFT(TRIM(A1210),1)="[",TRIM(MID(TRIM(A1210),FIND("]",TRIM(A1210)&amp;"]")+1,200)),TRIM(A1210)),1)=")",TRIM(LEFT(IF(LEFT(TRIM(A1210),1)="[",TRIM(MID(TRIM(A1210),FIND("]",TRIM(A1210)&amp;"]")+1,200)),TRIM(A1210)),FIND("(",IF(LEFT(TRIM(A1210),1)="[",TRIM(MID(TRIM(A1210),FIND("]",TRIM(A1210)&amp;"]")+1,200)),TRIM(A1210))&amp;"(")-1)),IF(LEFT(TRIM(A1210),1)="[",TRIM(MID(TRIM(A1210),FIND("]",TRIM(A1210)&amp;"]")+1,200)),TRIM(A1210))),""))</f>
      </c>
      <c r="C1210" s="17">
        <f>IF(B1210&lt;&gt;"",B1210,C1209)</f>
      </c>
      <c r="D1210" s="17">
        <f>IF(A1210="","",IF(OR(LEFT(UPPER(TRIM(A1210)),2)="Y:",LEFT(UPPER(TRIM(A1210)),10)="YESTERDAY:"),"Y",IF(OR(LEFT(UPPER(TRIM(A1210)),2)="T:",LEFT(UPPER(TRIM(A1210)),6)="TODAY:"),"T",IF(OR(LEFT(UPPER(TRIM(A1210)),2)="B:",LEFT(UPPER(TRIM(A1210)),8)="BLOCKER:",LEFT(UPPER(TRIM(A1210)),9)="BLOCKERS:",LEFT(UPPER(TRIM(A1210)),8)="BLOCKED:"),"B",""))))</f>
      </c>
      <c r="E1210" s="17">
        <f>IF(D1210="","",TRIM(MID(A1210,FIND(":",A1210)+1,500)))</f>
      </c>
    </row>
    <row r="1211">
      <c r="B1211" s="17">
        <f>IF(A1211="","",IF(COUNTIF(Roster[Name],IF(RIGHT(IF(LEFT(TRIM(A1211),1)="[",TRIM(MID(TRIM(A1211),FIND("]",TRIM(A1211)&amp;"]")+1,200)),TRIM(A1211)),1)=")",TRIM(LEFT(IF(LEFT(TRIM(A1211),1)="[",TRIM(MID(TRIM(A1211),FIND("]",TRIM(A1211)&amp;"]")+1,200)),TRIM(A1211)),FIND("(",IF(LEFT(TRIM(A1211),1)="[",TRIM(MID(TRIM(A1211),FIND("]",TRIM(A1211)&amp;"]")+1,200)),TRIM(A1211))&amp;"(")-1)),IF(LEFT(TRIM(A1211),1)="[",TRIM(MID(TRIM(A1211),FIND("]",TRIM(A1211)&amp;"]")+1,200)),TRIM(A1211))))&gt;0,IF(RIGHT(IF(LEFT(TRIM(A1211),1)="[",TRIM(MID(TRIM(A1211),FIND("]",TRIM(A1211)&amp;"]")+1,200)),TRIM(A1211)),1)=")",TRIM(LEFT(IF(LEFT(TRIM(A1211),1)="[",TRIM(MID(TRIM(A1211),FIND("]",TRIM(A1211)&amp;"]")+1,200)),TRIM(A1211)),FIND("(",IF(LEFT(TRIM(A1211),1)="[",TRIM(MID(TRIM(A1211),FIND("]",TRIM(A1211)&amp;"]")+1,200)),TRIM(A1211))&amp;"(")-1)),IF(LEFT(TRIM(A1211),1)="[",TRIM(MID(TRIM(A1211),FIND("]",TRIM(A1211)&amp;"]")+1,200)),TRIM(A1211))),""))</f>
      </c>
      <c r="C1211" s="17">
        <f>IF(B1211&lt;&gt;"",B1211,C1210)</f>
      </c>
      <c r="D1211" s="17">
        <f>IF(A1211="","",IF(OR(LEFT(UPPER(TRIM(A1211)),2)="Y:",LEFT(UPPER(TRIM(A1211)),10)="YESTERDAY:"),"Y",IF(OR(LEFT(UPPER(TRIM(A1211)),2)="T:",LEFT(UPPER(TRIM(A1211)),6)="TODAY:"),"T",IF(OR(LEFT(UPPER(TRIM(A1211)),2)="B:",LEFT(UPPER(TRIM(A1211)),8)="BLOCKER:",LEFT(UPPER(TRIM(A1211)),9)="BLOCKERS:",LEFT(UPPER(TRIM(A1211)),8)="BLOCKED:"),"B",""))))</f>
      </c>
      <c r="E1211" s="17">
        <f>IF(D1211="","",TRIM(MID(A1211,FIND(":",A1211)+1,500)))</f>
      </c>
    </row>
    <row r="1212">
      <c r="B1212" s="17">
        <f>IF(A1212="","",IF(COUNTIF(Roster[Name],IF(RIGHT(IF(LEFT(TRIM(A1212),1)="[",TRIM(MID(TRIM(A1212),FIND("]",TRIM(A1212)&amp;"]")+1,200)),TRIM(A1212)),1)=")",TRIM(LEFT(IF(LEFT(TRIM(A1212),1)="[",TRIM(MID(TRIM(A1212),FIND("]",TRIM(A1212)&amp;"]")+1,200)),TRIM(A1212)),FIND("(",IF(LEFT(TRIM(A1212),1)="[",TRIM(MID(TRIM(A1212),FIND("]",TRIM(A1212)&amp;"]")+1,200)),TRIM(A1212))&amp;"(")-1)),IF(LEFT(TRIM(A1212),1)="[",TRIM(MID(TRIM(A1212),FIND("]",TRIM(A1212)&amp;"]")+1,200)),TRIM(A1212))))&gt;0,IF(RIGHT(IF(LEFT(TRIM(A1212),1)="[",TRIM(MID(TRIM(A1212),FIND("]",TRIM(A1212)&amp;"]")+1,200)),TRIM(A1212)),1)=")",TRIM(LEFT(IF(LEFT(TRIM(A1212),1)="[",TRIM(MID(TRIM(A1212),FIND("]",TRIM(A1212)&amp;"]")+1,200)),TRIM(A1212)),FIND("(",IF(LEFT(TRIM(A1212),1)="[",TRIM(MID(TRIM(A1212),FIND("]",TRIM(A1212)&amp;"]")+1,200)),TRIM(A1212))&amp;"(")-1)),IF(LEFT(TRIM(A1212),1)="[",TRIM(MID(TRIM(A1212),FIND("]",TRIM(A1212)&amp;"]")+1,200)),TRIM(A1212))),""))</f>
      </c>
      <c r="C1212" s="17">
        <f>IF(B1212&lt;&gt;"",B1212,C1211)</f>
      </c>
      <c r="D1212" s="17">
        <f>IF(A1212="","",IF(OR(LEFT(UPPER(TRIM(A1212)),2)="Y:",LEFT(UPPER(TRIM(A1212)),10)="YESTERDAY:"),"Y",IF(OR(LEFT(UPPER(TRIM(A1212)),2)="T:",LEFT(UPPER(TRIM(A1212)),6)="TODAY:"),"T",IF(OR(LEFT(UPPER(TRIM(A1212)),2)="B:",LEFT(UPPER(TRIM(A1212)),8)="BLOCKER:",LEFT(UPPER(TRIM(A1212)),9)="BLOCKERS:",LEFT(UPPER(TRIM(A1212)),8)="BLOCKED:"),"B",""))))</f>
      </c>
      <c r="E1212" s="17">
        <f>IF(D1212="","",TRIM(MID(A1212,FIND(":",A1212)+1,500)))</f>
      </c>
    </row>
    <row r="1213">
      <c r="B1213" s="17">
        <f>IF(A1213="","",IF(COUNTIF(Roster[Name],IF(RIGHT(IF(LEFT(TRIM(A1213),1)="[",TRIM(MID(TRIM(A1213),FIND("]",TRIM(A1213)&amp;"]")+1,200)),TRIM(A1213)),1)=")",TRIM(LEFT(IF(LEFT(TRIM(A1213),1)="[",TRIM(MID(TRIM(A1213),FIND("]",TRIM(A1213)&amp;"]")+1,200)),TRIM(A1213)),FIND("(",IF(LEFT(TRIM(A1213),1)="[",TRIM(MID(TRIM(A1213),FIND("]",TRIM(A1213)&amp;"]")+1,200)),TRIM(A1213))&amp;"(")-1)),IF(LEFT(TRIM(A1213),1)="[",TRIM(MID(TRIM(A1213),FIND("]",TRIM(A1213)&amp;"]")+1,200)),TRIM(A1213))))&gt;0,IF(RIGHT(IF(LEFT(TRIM(A1213),1)="[",TRIM(MID(TRIM(A1213),FIND("]",TRIM(A1213)&amp;"]")+1,200)),TRIM(A1213)),1)=")",TRIM(LEFT(IF(LEFT(TRIM(A1213),1)="[",TRIM(MID(TRIM(A1213),FIND("]",TRIM(A1213)&amp;"]")+1,200)),TRIM(A1213)),FIND("(",IF(LEFT(TRIM(A1213),1)="[",TRIM(MID(TRIM(A1213),FIND("]",TRIM(A1213)&amp;"]")+1,200)),TRIM(A1213))&amp;"(")-1)),IF(LEFT(TRIM(A1213),1)="[",TRIM(MID(TRIM(A1213),FIND("]",TRIM(A1213)&amp;"]")+1,200)),TRIM(A1213))),""))</f>
      </c>
      <c r="C1213" s="17">
        <f>IF(B1213&lt;&gt;"",B1213,C1212)</f>
      </c>
      <c r="D1213" s="17">
        <f>IF(A1213="","",IF(OR(LEFT(UPPER(TRIM(A1213)),2)="Y:",LEFT(UPPER(TRIM(A1213)),10)="YESTERDAY:"),"Y",IF(OR(LEFT(UPPER(TRIM(A1213)),2)="T:",LEFT(UPPER(TRIM(A1213)),6)="TODAY:"),"T",IF(OR(LEFT(UPPER(TRIM(A1213)),2)="B:",LEFT(UPPER(TRIM(A1213)),8)="BLOCKER:",LEFT(UPPER(TRIM(A1213)),9)="BLOCKERS:",LEFT(UPPER(TRIM(A1213)),8)="BLOCKED:"),"B",""))))</f>
      </c>
      <c r="E1213" s="17">
        <f>IF(D1213="","",TRIM(MID(A1213,FIND(":",A1213)+1,500)))</f>
      </c>
    </row>
    <row r="1214">
      <c r="B1214" s="17">
        <f>IF(A1214="","",IF(COUNTIF(Roster[Name],IF(RIGHT(IF(LEFT(TRIM(A1214),1)="[",TRIM(MID(TRIM(A1214),FIND("]",TRIM(A1214)&amp;"]")+1,200)),TRIM(A1214)),1)=")",TRIM(LEFT(IF(LEFT(TRIM(A1214),1)="[",TRIM(MID(TRIM(A1214),FIND("]",TRIM(A1214)&amp;"]")+1,200)),TRIM(A1214)),FIND("(",IF(LEFT(TRIM(A1214),1)="[",TRIM(MID(TRIM(A1214),FIND("]",TRIM(A1214)&amp;"]")+1,200)),TRIM(A1214))&amp;"(")-1)),IF(LEFT(TRIM(A1214),1)="[",TRIM(MID(TRIM(A1214),FIND("]",TRIM(A1214)&amp;"]")+1,200)),TRIM(A1214))))&gt;0,IF(RIGHT(IF(LEFT(TRIM(A1214),1)="[",TRIM(MID(TRIM(A1214),FIND("]",TRIM(A1214)&amp;"]")+1,200)),TRIM(A1214)),1)=")",TRIM(LEFT(IF(LEFT(TRIM(A1214),1)="[",TRIM(MID(TRIM(A1214),FIND("]",TRIM(A1214)&amp;"]")+1,200)),TRIM(A1214)),FIND("(",IF(LEFT(TRIM(A1214),1)="[",TRIM(MID(TRIM(A1214),FIND("]",TRIM(A1214)&amp;"]")+1,200)),TRIM(A1214))&amp;"(")-1)),IF(LEFT(TRIM(A1214),1)="[",TRIM(MID(TRIM(A1214),FIND("]",TRIM(A1214)&amp;"]")+1,200)),TRIM(A1214))),""))</f>
      </c>
      <c r="C1214" s="17">
        <f>IF(B1214&lt;&gt;"",B1214,C1213)</f>
      </c>
      <c r="D1214" s="17">
        <f>IF(A1214="","",IF(OR(LEFT(UPPER(TRIM(A1214)),2)="Y:",LEFT(UPPER(TRIM(A1214)),10)="YESTERDAY:"),"Y",IF(OR(LEFT(UPPER(TRIM(A1214)),2)="T:",LEFT(UPPER(TRIM(A1214)),6)="TODAY:"),"T",IF(OR(LEFT(UPPER(TRIM(A1214)),2)="B:",LEFT(UPPER(TRIM(A1214)),8)="BLOCKER:",LEFT(UPPER(TRIM(A1214)),9)="BLOCKERS:",LEFT(UPPER(TRIM(A1214)),8)="BLOCKED:"),"B",""))))</f>
      </c>
      <c r="E1214" s="17">
        <f>IF(D1214="","",TRIM(MID(A1214,FIND(":",A1214)+1,500)))</f>
      </c>
    </row>
    <row r="1215">
      <c r="B1215" s="17">
        <f>IF(A1215="","",IF(COUNTIF(Roster[Name],IF(RIGHT(IF(LEFT(TRIM(A1215),1)="[",TRIM(MID(TRIM(A1215),FIND("]",TRIM(A1215)&amp;"]")+1,200)),TRIM(A1215)),1)=")",TRIM(LEFT(IF(LEFT(TRIM(A1215),1)="[",TRIM(MID(TRIM(A1215),FIND("]",TRIM(A1215)&amp;"]")+1,200)),TRIM(A1215)),FIND("(",IF(LEFT(TRIM(A1215),1)="[",TRIM(MID(TRIM(A1215),FIND("]",TRIM(A1215)&amp;"]")+1,200)),TRIM(A1215))&amp;"(")-1)),IF(LEFT(TRIM(A1215),1)="[",TRIM(MID(TRIM(A1215),FIND("]",TRIM(A1215)&amp;"]")+1,200)),TRIM(A1215))))&gt;0,IF(RIGHT(IF(LEFT(TRIM(A1215),1)="[",TRIM(MID(TRIM(A1215),FIND("]",TRIM(A1215)&amp;"]")+1,200)),TRIM(A1215)),1)=")",TRIM(LEFT(IF(LEFT(TRIM(A1215),1)="[",TRIM(MID(TRIM(A1215),FIND("]",TRIM(A1215)&amp;"]")+1,200)),TRIM(A1215)),FIND("(",IF(LEFT(TRIM(A1215),1)="[",TRIM(MID(TRIM(A1215),FIND("]",TRIM(A1215)&amp;"]")+1,200)),TRIM(A1215))&amp;"(")-1)),IF(LEFT(TRIM(A1215),1)="[",TRIM(MID(TRIM(A1215),FIND("]",TRIM(A1215)&amp;"]")+1,200)),TRIM(A1215))),""))</f>
      </c>
      <c r="C1215" s="17">
        <f>IF(B1215&lt;&gt;"",B1215,C1214)</f>
      </c>
      <c r="D1215" s="17">
        <f>IF(A1215="","",IF(OR(LEFT(UPPER(TRIM(A1215)),2)="Y:",LEFT(UPPER(TRIM(A1215)),10)="YESTERDAY:"),"Y",IF(OR(LEFT(UPPER(TRIM(A1215)),2)="T:",LEFT(UPPER(TRIM(A1215)),6)="TODAY:"),"T",IF(OR(LEFT(UPPER(TRIM(A1215)),2)="B:",LEFT(UPPER(TRIM(A1215)),8)="BLOCKER:",LEFT(UPPER(TRIM(A1215)),9)="BLOCKERS:",LEFT(UPPER(TRIM(A1215)),8)="BLOCKED:"),"B",""))))</f>
      </c>
      <c r="E1215" s="17">
        <f>IF(D1215="","",TRIM(MID(A1215,FIND(":",A1215)+1,500)))</f>
      </c>
    </row>
    <row r="1216">
      <c r="B1216" s="17">
        <f>IF(A1216="","",IF(COUNTIF(Roster[Name],IF(RIGHT(IF(LEFT(TRIM(A1216),1)="[",TRIM(MID(TRIM(A1216),FIND("]",TRIM(A1216)&amp;"]")+1,200)),TRIM(A1216)),1)=")",TRIM(LEFT(IF(LEFT(TRIM(A1216),1)="[",TRIM(MID(TRIM(A1216),FIND("]",TRIM(A1216)&amp;"]")+1,200)),TRIM(A1216)),FIND("(",IF(LEFT(TRIM(A1216),1)="[",TRIM(MID(TRIM(A1216),FIND("]",TRIM(A1216)&amp;"]")+1,200)),TRIM(A1216))&amp;"(")-1)),IF(LEFT(TRIM(A1216),1)="[",TRIM(MID(TRIM(A1216),FIND("]",TRIM(A1216)&amp;"]")+1,200)),TRIM(A1216))))&gt;0,IF(RIGHT(IF(LEFT(TRIM(A1216),1)="[",TRIM(MID(TRIM(A1216),FIND("]",TRIM(A1216)&amp;"]")+1,200)),TRIM(A1216)),1)=")",TRIM(LEFT(IF(LEFT(TRIM(A1216),1)="[",TRIM(MID(TRIM(A1216),FIND("]",TRIM(A1216)&amp;"]")+1,200)),TRIM(A1216)),FIND("(",IF(LEFT(TRIM(A1216),1)="[",TRIM(MID(TRIM(A1216),FIND("]",TRIM(A1216)&amp;"]")+1,200)),TRIM(A1216))&amp;"(")-1)),IF(LEFT(TRIM(A1216),1)="[",TRIM(MID(TRIM(A1216),FIND("]",TRIM(A1216)&amp;"]")+1,200)),TRIM(A1216))),""))</f>
      </c>
      <c r="C1216" s="17">
        <f>IF(B1216&lt;&gt;"",B1216,C1215)</f>
      </c>
      <c r="D1216" s="17">
        <f>IF(A1216="","",IF(OR(LEFT(UPPER(TRIM(A1216)),2)="Y:",LEFT(UPPER(TRIM(A1216)),10)="YESTERDAY:"),"Y",IF(OR(LEFT(UPPER(TRIM(A1216)),2)="T:",LEFT(UPPER(TRIM(A1216)),6)="TODAY:"),"T",IF(OR(LEFT(UPPER(TRIM(A1216)),2)="B:",LEFT(UPPER(TRIM(A1216)),8)="BLOCKER:",LEFT(UPPER(TRIM(A1216)),9)="BLOCKERS:",LEFT(UPPER(TRIM(A1216)),8)="BLOCKED:"),"B",""))))</f>
      </c>
      <c r="E1216" s="17">
        <f>IF(D1216="","",TRIM(MID(A1216,FIND(":",A1216)+1,500)))</f>
      </c>
    </row>
    <row r="1217">
      <c r="B1217" s="17">
        <f>IF(A1217="","",IF(COUNTIF(Roster[Name],IF(RIGHT(IF(LEFT(TRIM(A1217),1)="[",TRIM(MID(TRIM(A1217),FIND("]",TRIM(A1217)&amp;"]")+1,200)),TRIM(A1217)),1)=")",TRIM(LEFT(IF(LEFT(TRIM(A1217),1)="[",TRIM(MID(TRIM(A1217),FIND("]",TRIM(A1217)&amp;"]")+1,200)),TRIM(A1217)),FIND("(",IF(LEFT(TRIM(A1217),1)="[",TRIM(MID(TRIM(A1217),FIND("]",TRIM(A1217)&amp;"]")+1,200)),TRIM(A1217))&amp;"(")-1)),IF(LEFT(TRIM(A1217),1)="[",TRIM(MID(TRIM(A1217),FIND("]",TRIM(A1217)&amp;"]")+1,200)),TRIM(A1217))))&gt;0,IF(RIGHT(IF(LEFT(TRIM(A1217),1)="[",TRIM(MID(TRIM(A1217),FIND("]",TRIM(A1217)&amp;"]")+1,200)),TRIM(A1217)),1)=")",TRIM(LEFT(IF(LEFT(TRIM(A1217),1)="[",TRIM(MID(TRIM(A1217),FIND("]",TRIM(A1217)&amp;"]")+1,200)),TRIM(A1217)),FIND("(",IF(LEFT(TRIM(A1217),1)="[",TRIM(MID(TRIM(A1217),FIND("]",TRIM(A1217)&amp;"]")+1,200)),TRIM(A1217))&amp;"(")-1)),IF(LEFT(TRIM(A1217),1)="[",TRIM(MID(TRIM(A1217),FIND("]",TRIM(A1217)&amp;"]")+1,200)),TRIM(A1217))),""))</f>
      </c>
      <c r="C1217" s="17">
        <f>IF(B1217&lt;&gt;"",B1217,C1216)</f>
      </c>
      <c r="D1217" s="17">
        <f>IF(A1217="","",IF(OR(LEFT(UPPER(TRIM(A1217)),2)="Y:",LEFT(UPPER(TRIM(A1217)),10)="YESTERDAY:"),"Y",IF(OR(LEFT(UPPER(TRIM(A1217)),2)="T:",LEFT(UPPER(TRIM(A1217)),6)="TODAY:"),"T",IF(OR(LEFT(UPPER(TRIM(A1217)),2)="B:",LEFT(UPPER(TRIM(A1217)),8)="BLOCKER:",LEFT(UPPER(TRIM(A1217)),9)="BLOCKERS:",LEFT(UPPER(TRIM(A1217)),8)="BLOCKED:"),"B",""))))</f>
      </c>
      <c r="E1217" s="17">
        <f>IF(D1217="","",TRIM(MID(A1217,FIND(":",A1217)+1,500)))</f>
      </c>
    </row>
    <row r="1218">
      <c r="B1218" s="17">
        <f>IF(A1218="","",IF(COUNTIF(Roster[Name],IF(RIGHT(IF(LEFT(TRIM(A1218),1)="[",TRIM(MID(TRIM(A1218),FIND("]",TRIM(A1218)&amp;"]")+1,200)),TRIM(A1218)),1)=")",TRIM(LEFT(IF(LEFT(TRIM(A1218),1)="[",TRIM(MID(TRIM(A1218),FIND("]",TRIM(A1218)&amp;"]")+1,200)),TRIM(A1218)),FIND("(",IF(LEFT(TRIM(A1218),1)="[",TRIM(MID(TRIM(A1218),FIND("]",TRIM(A1218)&amp;"]")+1,200)),TRIM(A1218))&amp;"(")-1)),IF(LEFT(TRIM(A1218),1)="[",TRIM(MID(TRIM(A1218),FIND("]",TRIM(A1218)&amp;"]")+1,200)),TRIM(A1218))))&gt;0,IF(RIGHT(IF(LEFT(TRIM(A1218),1)="[",TRIM(MID(TRIM(A1218),FIND("]",TRIM(A1218)&amp;"]")+1,200)),TRIM(A1218)),1)=")",TRIM(LEFT(IF(LEFT(TRIM(A1218),1)="[",TRIM(MID(TRIM(A1218),FIND("]",TRIM(A1218)&amp;"]")+1,200)),TRIM(A1218)),FIND("(",IF(LEFT(TRIM(A1218),1)="[",TRIM(MID(TRIM(A1218),FIND("]",TRIM(A1218)&amp;"]")+1,200)),TRIM(A1218))&amp;"(")-1)),IF(LEFT(TRIM(A1218),1)="[",TRIM(MID(TRIM(A1218),FIND("]",TRIM(A1218)&amp;"]")+1,200)),TRIM(A1218))),""))</f>
      </c>
      <c r="C1218" s="17">
        <f>IF(B1218&lt;&gt;"",B1218,C1217)</f>
      </c>
      <c r="D1218" s="17">
        <f>IF(A1218="","",IF(OR(LEFT(UPPER(TRIM(A1218)),2)="Y:",LEFT(UPPER(TRIM(A1218)),10)="YESTERDAY:"),"Y",IF(OR(LEFT(UPPER(TRIM(A1218)),2)="T:",LEFT(UPPER(TRIM(A1218)),6)="TODAY:"),"T",IF(OR(LEFT(UPPER(TRIM(A1218)),2)="B:",LEFT(UPPER(TRIM(A1218)),8)="BLOCKER:",LEFT(UPPER(TRIM(A1218)),9)="BLOCKERS:",LEFT(UPPER(TRIM(A1218)),8)="BLOCKED:"),"B",""))))</f>
      </c>
      <c r="E1218" s="17">
        <f>IF(D1218="","",TRIM(MID(A1218,FIND(":",A1218)+1,500)))</f>
      </c>
    </row>
    <row r="1219">
      <c r="B1219" s="17">
        <f>IF(A1219="","",IF(COUNTIF(Roster[Name],IF(RIGHT(IF(LEFT(TRIM(A1219),1)="[",TRIM(MID(TRIM(A1219),FIND("]",TRIM(A1219)&amp;"]")+1,200)),TRIM(A1219)),1)=")",TRIM(LEFT(IF(LEFT(TRIM(A1219),1)="[",TRIM(MID(TRIM(A1219),FIND("]",TRIM(A1219)&amp;"]")+1,200)),TRIM(A1219)),FIND("(",IF(LEFT(TRIM(A1219),1)="[",TRIM(MID(TRIM(A1219),FIND("]",TRIM(A1219)&amp;"]")+1,200)),TRIM(A1219))&amp;"(")-1)),IF(LEFT(TRIM(A1219),1)="[",TRIM(MID(TRIM(A1219),FIND("]",TRIM(A1219)&amp;"]")+1,200)),TRIM(A1219))))&gt;0,IF(RIGHT(IF(LEFT(TRIM(A1219),1)="[",TRIM(MID(TRIM(A1219),FIND("]",TRIM(A1219)&amp;"]")+1,200)),TRIM(A1219)),1)=")",TRIM(LEFT(IF(LEFT(TRIM(A1219),1)="[",TRIM(MID(TRIM(A1219),FIND("]",TRIM(A1219)&amp;"]")+1,200)),TRIM(A1219)),FIND("(",IF(LEFT(TRIM(A1219),1)="[",TRIM(MID(TRIM(A1219),FIND("]",TRIM(A1219)&amp;"]")+1,200)),TRIM(A1219))&amp;"(")-1)),IF(LEFT(TRIM(A1219),1)="[",TRIM(MID(TRIM(A1219),FIND("]",TRIM(A1219)&amp;"]")+1,200)),TRIM(A1219))),""))</f>
      </c>
      <c r="C1219" s="17">
        <f>IF(B1219&lt;&gt;"",B1219,C1218)</f>
      </c>
      <c r="D1219" s="17">
        <f>IF(A1219="","",IF(OR(LEFT(UPPER(TRIM(A1219)),2)="Y:",LEFT(UPPER(TRIM(A1219)),10)="YESTERDAY:"),"Y",IF(OR(LEFT(UPPER(TRIM(A1219)),2)="T:",LEFT(UPPER(TRIM(A1219)),6)="TODAY:"),"T",IF(OR(LEFT(UPPER(TRIM(A1219)),2)="B:",LEFT(UPPER(TRIM(A1219)),8)="BLOCKER:",LEFT(UPPER(TRIM(A1219)),9)="BLOCKERS:",LEFT(UPPER(TRIM(A1219)),8)="BLOCKED:"),"B",""))))</f>
      </c>
      <c r="E1219" s="17">
        <f>IF(D1219="","",TRIM(MID(A1219,FIND(":",A1219)+1,500)))</f>
      </c>
    </row>
    <row r="1220">
      <c r="B1220" s="17">
        <f>IF(A1220="","",IF(COUNTIF(Roster[Name],IF(RIGHT(IF(LEFT(TRIM(A1220),1)="[",TRIM(MID(TRIM(A1220),FIND("]",TRIM(A1220)&amp;"]")+1,200)),TRIM(A1220)),1)=")",TRIM(LEFT(IF(LEFT(TRIM(A1220),1)="[",TRIM(MID(TRIM(A1220),FIND("]",TRIM(A1220)&amp;"]")+1,200)),TRIM(A1220)),FIND("(",IF(LEFT(TRIM(A1220),1)="[",TRIM(MID(TRIM(A1220),FIND("]",TRIM(A1220)&amp;"]")+1,200)),TRIM(A1220))&amp;"(")-1)),IF(LEFT(TRIM(A1220),1)="[",TRIM(MID(TRIM(A1220),FIND("]",TRIM(A1220)&amp;"]")+1,200)),TRIM(A1220))))&gt;0,IF(RIGHT(IF(LEFT(TRIM(A1220),1)="[",TRIM(MID(TRIM(A1220),FIND("]",TRIM(A1220)&amp;"]")+1,200)),TRIM(A1220)),1)=")",TRIM(LEFT(IF(LEFT(TRIM(A1220),1)="[",TRIM(MID(TRIM(A1220),FIND("]",TRIM(A1220)&amp;"]")+1,200)),TRIM(A1220)),FIND("(",IF(LEFT(TRIM(A1220),1)="[",TRIM(MID(TRIM(A1220),FIND("]",TRIM(A1220)&amp;"]")+1,200)),TRIM(A1220))&amp;"(")-1)),IF(LEFT(TRIM(A1220),1)="[",TRIM(MID(TRIM(A1220),FIND("]",TRIM(A1220)&amp;"]")+1,200)),TRIM(A1220))),""))</f>
      </c>
      <c r="C1220" s="17">
        <f>IF(B1220&lt;&gt;"",B1220,C1219)</f>
      </c>
      <c r="D1220" s="17">
        <f>IF(A1220="","",IF(OR(LEFT(UPPER(TRIM(A1220)),2)="Y:",LEFT(UPPER(TRIM(A1220)),10)="YESTERDAY:"),"Y",IF(OR(LEFT(UPPER(TRIM(A1220)),2)="T:",LEFT(UPPER(TRIM(A1220)),6)="TODAY:"),"T",IF(OR(LEFT(UPPER(TRIM(A1220)),2)="B:",LEFT(UPPER(TRIM(A1220)),8)="BLOCKER:",LEFT(UPPER(TRIM(A1220)),9)="BLOCKERS:",LEFT(UPPER(TRIM(A1220)),8)="BLOCKED:"),"B",""))))</f>
      </c>
      <c r="E1220" s="17">
        <f>IF(D1220="","",TRIM(MID(A1220,FIND(":",A1220)+1,500)))</f>
      </c>
    </row>
    <row r="1221">
      <c r="B1221" s="17">
        <f>IF(A1221="","",IF(COUNTIF(Roster[Name],IF(RIGHT(IF(LEFT(TRIM(A1221),1)="[",TRIM(MID(TRIM(A1221),FIND("]",TRIM(A1221)&amp;"]")+1,200)),TRIM(A1221)),1)=")",TRIM(LEFT(IF(LEFT(TRIM(A1221),1)="[",TRIM(MID(TRIM(A1221),FIND("]",TRIM(A1221)&amp;"]")+1,200)),TRIM(A1221)),FIND("(",IF(LEFT(TRIM(A1221),1)="[",TRIM(MID(TRIM(A1221),FIND("]",TRIM(A1221)&amp;"]")+1,200)),TRIM(A1221))&amp;"(")-1)),IF(LEFT(TRIM(A1221),1)="[",TRIM(MID(TRIM(A1221),FIND("]",TRIM(A1221)&amp;"]")+1,200)),TRIM(A1221))))&gt;0,IF(RIGHT(IF(LEFT(TRIM(A1221),1)="[",TRIM(MID(TRIM(A1221),FIND("]",TRIM(A1221)&amp;"]")+1,200)),TRIM(A1221)),1)=")",TRIM(LEFT(IF(LEFT(TRIM(A1221),1)="[",TRIM(MID(TRIM(A1221),FIND("]",TRIM(A1221)&amp;"]")+1,200)),TRIM(A1221)),FIND("(",IF(LEFT(TRIM(A1221),1)="[",TRIM(MID(TRIM(A1221),FIND("]",TRIM(A1221)&amp;"]")+1,200)),TRIM(A1221))&amp;"(")-1)),IF(LEFT(TRIM(A1221),1)="[",TRIM(MID(TRIM(A1221),FIND("]",TRIM(A1221)&amp;"]")+1,200)),TRIM(A1221))),""))</f>
      </c>
      <c r="C1221" s="17">
        <f>IF(B1221&lt;&gt;"",B1221,C1220)</f>
      </c>
      <c r="D1221" s="17">
        <f>IF(A1221="","",IF(OR(LEFT(UPPER(TRIM(A1221)),2)="Y:",LEFT(UPPER(TRIM(A1221)),10)="YESTERDAY:"),"Y",IF(OR(LEFT(UPPER(TRIM(A1221)),2)="T:",LEFT(UPPER(TRIM(A1221)),6)="TODAY:"),"T",IF(OR(LEFT(UPPER(TRIM(A1221)),2)="B:",LEFT(UPPER(TRIM(A1221)),8)="BLOCKER:",LEFT(UPPER(TRIM(A1221)),9)="BLOCKERS:",LEFT(UPPER(TRIM(A1221)),8)="BLOCKED:"),"B",""))))</f>
      </c>
      <c r="E1221" s="17">
        <f>IF(D1221="","",TRIM(MID(A1221,FIND(":",A1221)+1,500)))</f>
      </c>
    </row>
    <row r="1222">
      <c r="B1222" s="17">
        <f>IF(A1222="","",IF(COUNTIF(Roster[Name],IF(RIGHT(IF(LEFT(TRIM(A1222),1)="[",TRIM(MID(TRIM(A1222),FIND("]",TRIM(A1222)&amp;"]")+1,200)),TRIM(A1222)),1)=")",TRIM(LEFT(IF(LEFT(TRIM(A1222),1)="[",TRIM(MID(TRIM(A1222),FIND("]",TRIM(A1222)&amp;"]")+1,200)),TRIM(A1222)),FIND("(",IF(LEFT(TRIM(A1222),1)="[",TRIM(MID(TRIM(A1222),FIND("]",TRIM(A1222)&amp;"]")+1,200)),TRIM(A1222))&amp;"(")-1)),IF(LEFT(TRIM(A1222),1)="[",TRIM(MID(TRIM(A1222),FIND("]",TRIM(A1222)&amp;"]")+1,200)),TRIM(A1222))))&gt;0,IF(RIGHT(IF(LEFT(TRIM(A1222),1)="[",TRIM(MID(TRIM(A1222),FIND("]",TRIM(A1222)&amp;"]")+1,200)),TRIM(A1222)),1)=")",TRIM(LEFT(IF(LEFT(TRIM(A1222),1)="[",TRIM(MID(TRIM(A1222),FIND("]",TRIM(A1222)&amp;"]")+1,200)),TRIM(A1222)),FIND("(",IF(LEFT(TRIM(A1222),1)="[",TRIM(MID(TRIM(A1222),FIND("]",TRIM(A1222)&amp;"]")+1,200)),TRIM(A1222))&amp;"(")-1)),IF(LEFT(TRIM(A1222),1)="[",TRIM(MID(TRIM(A1222),FIND("]",TRIM(A1222)&amp;"]")+1,200)),TRIM(A1222))),""))</f>
      </c>
      <c r="C1222" s="17">
        <f>IF(B1222&lt;&gt;"",B1222,C1221)</f>
      </c>
      <c r="D1222" s="17">
        <f>IF(A1222="","",IF(OR(LEFT(UPPER(TRIM(A1222)),2)="Y:",LEFT(UPPER(TRIM(A1222)),10)="YESTERDAY:"),"Y",IF(OR(LEFT(UPPER(TRIM(A1222)),2)="T:",LEFT(UPPER(TRIM(A1222)),6)="TODAY:"),"T",IF(OR(LEFT(UPPER(TRIM(A1222)),2)="B:",LEFT(UPPER(TRIM(A1222)),8)="BLOCKER:",LEFT(UPPER(TRIM(A1222)),9)="BLOCKERS:",LEFT(UPPER(TRIM(A1222)),8)="BLOCKED:"),"B",""))))</f>
      </c>
      <c r="E1222" s="17">
        <f>IF(D1222="","",TRIM(MID(A1222,FIND(":",A1222)+1,500)))</f>
      </c>
    </row>
    <row r="1223">
      <c r="B1223" s="17">
        <f>IF(A1223="","",IF(COUNTIF(Roster[Name],IF(RIGHT(IF(LEFT(TRIM(A1223),1)="[",TRIM(MID(TRIM(A1223),FIND("]",TRIM(A1223)&amp;"]")+1,200)),TRIM(A1223)),1)=")",TRIM(LEFT(IF(LEFT(TRIM(A1223),1)="[",TRIM(MID(TRIM(A1223),FIND("]",TRIM(A1223)&amp;"]")+1,200)),TRIM(A1223)),FIND("(",IF(LEFT(TRIM(A1223),1)="[",TRIM(MID(TRIM(A1223),FIND("]",TRIM(A1223)&amp;"]")+1,200)),TRIM(A1223))&amp;"(")-1)),IF(LEFT(TRIM(A1223),1)="[",TRIM(MID(TRIM(A1223),FIND("]",TRIM(A1223)&amp;"]")+1,200)),TRIM(A1223))))&gt;0,IF(RIGHT(IF(LEFT(TRIM(A1223),1)="[",TRIM(MID(TRIM(A1223),FIND("]",TRIM(A1223)&amp;"]")+1,200)),TRIM(A1223)),1)=")",TRIM(LEFT(IF(LEFT(TRIM(A1223),1)="[",TRIM(MID(TRIM(A1223),FIND("]",TRIM(A1223)&amp;"]")+1,200)),TRIM(A1223)),FIND("(",IF(LEFT(TRIM(A1223),1)="[",TRIM(MID(TRIM(A1223),FIND("]",TRIM(A1223)&amp;"]")+1,200)),TRIM(A1223))&amp;"(")-1)),IF(LEFT(TRIM(A1223),1)="[",TRIM(MID(TRIM(A1223),FIND("]",TRIM(A1223)&amp;"]")+1,200)),TRIM(A1223))),""))</f>
      </c>
      <c r="C1223" s="17">
        <f>IF(B1223&lt;&gt;"",B1223,C1222)</f>
      </c>
      <c r="D1223" s="17">
        <f>IF(A1223="","",IF(OR(LEFT(UPPER(TRIM(A1223)),2)="Y:",LEFT(UPPER(TRIM(A1223)),10)="YESTERDAY:"),"Y",IF(OR(LEFT(UPPER(TRIM(A1223)),2)="T:",LEFT(UPPER(TRIM(A1223)),6)="TODAY:"),"T",IF(OR(LEFT(UPPER(TRIM(A1223)),2)="B:",LEFT(UPPER(TRIM(A1223)),8)="BLOCKER:",LEFT(UPPER(TRIM(A1223)),9)="BLOCKERS:",LEFT(UPPER(TRIM(A1223)),8)="BLOCKED:"),"B",""))))</f>
      </c>
      <c r="E1223" s="17">
        <f>IF(D1223="","",TRIM(MID(A1223,FIND(":",A1223)+1,500)))</f>
      </c>
    </row>
    <row r="1224">
      <c r="B1224" s="17">
        <f>IF(A1224="","",IF(COUNTIF(Roster[Name],IF(RIGHT(IF(LEFT(TRIM(A1224),1)="[",TRIM(MID(TRIM(A1224),FIND("]",TRIM(A1224)&amp;"]")+1,200)),TRIM(A1224)),1)=")",TRIM(LEFT(IF(LEFT(TRIM(A1224),1)="[",TRIM(MID(TRIM(A1224),FIND("]",TRIM(A1224)&amp;"]")+1,200)),TRIM(A1224)),FIND("(",IF(LEFT(TRIM(A1224),1)="[",TRIM(MID(TRIM(A1224),FIND("]",TRIM(A1224)&amp;"]")+1,200)),TRIM(A1224))&amp;"(")-1)),IF(LEFT(TRIM(A1224),1)="[",TRIM(MID(TRIM(A1224),FIND("]",TRIM(A1224)&amp;"]")+1,200)),TRIM(A1224))))&gt;0,IF(RIGHT(IF(LEFT(TRIM(A1224),1)="[",TRIM(MID(TRIM(A1224),FIND("]",TRIM(A1224)&amp;"]")+1,200)),TRIM(A1224)),1)=")",TRIM(LEFT(IF(LEFT(TRIM(A1224),1)="[",TRIM(MID(TRIM(A1224),FIND("]",TRIM(A1224)&amp;"]")+1,200)),TRIM(A1224)),FIND("(",IF(LEFT(TRIM(A1224),1)="[",TRIM(MID(TRIM(A1224),FIND("]",TRIM(A1224)&amp;"]")+1,200)),TRIM(A1224))&amp;"(")-1)),IF(LEFT(TRIM(A1224),1)="[",TRIM(MID(TRIM(A1224),FIND("]",TRIM(A1224)&amp;"]")+1,200)),TRIM(A1224))),""))</f>
      </c>
      <c r="C1224" s="17">
        <f>IF(B1224&lt;&gt;"",B1224,C1223)</f>
      </c>
      <c r="D1224" s="17">
        <f>IF(A1224="","",IF(OR(LEFT(UPPER(TRIM(A1224)),2)="Y:",LEFT(UPPER(TRIM(A1224)),10)="YESTERDAY:"),"Y",IF(OR(LEFT(UPPER(TRIM(A1224)),2)="T:",LEFT(UPPER(TRIM(A1224)),6)="TODAY:"),"T",IF(OR(LEFT(UPPER(TRIM(A1224)),2)="B:",LEFT(UPPER(TRIM(A1224)),8)="BLOCKER:",LEFT(UPPER(TRIM(A1224)),9)="BLOCKERS:",LEFT(UPPER(TRIM(A1224)),8)="BLOCKED:"),"B",""))))</f>
      </c>
      <c r="E1224" s="17">
        <f>IF(D1224="","",TRIM(MID(A1224,FIND(":",A1224)+1,500)))</f>
      </c>
    </row>
    <row r="1225">
      <c r="B1225" s="17">
        <f>IF(A1225="","",IF(COUNTIF(Roster[Name],IF(RIGHT(IF(LEFT(TRIM(A1225),1)="[",TRIM(MID(TRIM(A1225),FIND("]",TRIM(A1225)&amp;"]")+1,200)),TRIM(A1225)),1)=")",TRIM(LEFT(IF(LEFT(TRIM(A1225),1)="[",TRIM(MID(TRIM(A1225),FIND("]",TRIM(A1225)&amp;"]")+1,200)),TRIM(A1225)),FIND("(",IF(LEFT(TRIM(A1225),1)="[",TRIM(MID(TRIM(A1225),FIND("]",TRIM(A1225)&amp;"]")+1,200)),TRIM(A1225))&amp;"(")-1)),IF(LEFT(TRIM(A1225),1)="[",TRIM(MID(TRIM(A1225),FIND("]",TRIM(A1225)&amp;"]")+1,200)),TRIM(A1225))))&gt;0,IF(RIGHT(IF(LEFT(TRIM(A1225),1)="[",TRIM(MID(TRIM(A1225),FIND("]",TRIM(A1225)&amp;"]")+1,200)),TRIM(A1225)),1)=")",TRIM(LEFT(IF(LEFT(TRIM(A1225),1)="[",TRIM(MID(TRIM(A1225),FIND("]",TRIM(A1225)&amp;"]")+1,200)),TRIM(A1225)),FIND("(",IF(LEFT(TRIM(A1225),1)="[",TRIM(MID(TRIM(A1225),FIND("]",TRIM(A1225)&amp;"]")+1,200)),TRIM(A1225))&amp;"(")-1)),IF(LEFT(TRIM(A1225),1)="[",TRIM(MID(TRIM(A1225),FIND("]",TRIM(A1225)&amp;"]")+1,200)),TRIM(A1225))),""))</f>
      </c>
      <c r="C1225" s="17">
        <f>IF(B1225&lt;&gt;"",B1225,C1224)</f>
      </c>
      <c r="D1225" s="17">
        <f>IF(A1225="","",IF(OR(LEFT(UPPER(TRIM(A1225)),2)="Y:",LEFT(UPPER(TRIM(A1225)),10)="YESTERDAY:"),"Y",IF(OR(LEFT(UPPER(TRIM(A1225)),2)="T:",LEFT(UPPER(TRIM(A1225)),6)="TODAY:"),"T",IF(OR(LEFT(UPPER(TRIM(A1225)),2)="B:",LEFT(UPPER(TRIM(A1225)),8)="BLOCKER:",LEFT(UPPER(TRIM(A1225)),9)="BLOCKERS:",LEFT(UPPER(TRIM(A1225)),8)="BLOCKED:"),"B",""))))</f>
      </c>
      <c r="E1225" s="17">
        <f>IF(D1225="","",TRIM(MID(A1225,FIND(":",A1225)+1,500)))</f>
      </c>
    </row>
    <row r="1226">
      <c r="B1226" s="17">
        <f>IF(A1226="","",IF(COUNTIF(Roster[Name],IF(RIGHT(IF(LEFT(TRIM(A1226),1)="[",TRIM(MID(TRIM(A1226),FIND("]",TRIM(A1226)&amp;"]")+1,200)),TRIM(A1226)),1)=")",TRIM(LEFT(IF(LEFT(TRIM(A1226),1)="[",TRIM(MID(TRIM(A1226),FIND("]",TRIM(A1226)&amp;"]")+1,200)),TRIM(A1226)),FIND("(",IF(LEFT(TRIM(A1226),1)="[",TRIM(MID(TRIM(A1226),FIND("]",TRIM(A1226)&amp;"]")+1,200)),TRIM(A1226))&amp;"(")-1)),IF(LEFT(TRIM(A1226),1)="[",TRIM(MID(TRIM(A1226),FIND("]",TRIM(A1226)&amp;"]")+1,200)),TRIM(A1226))))&gt;0,IF(RIGHT(IF(LEFT(TRIM(A1226),1)="[",TRIM(MID(TRIM(A1226),FIND("]",TRIM(A1226)&amp;"]")+1,200)),TRIM(A1226)),1)=")",TRIM(LEFT(IF(LEFT(TRIM(A1226),1)="[",TRIM(MID(TRIM(A1226),FIND("]",TRIM(A1226)&amp;"]")+1,200)),TRIM(A1226)),FIND("(",IF(LEFT(TRIM(A1226),1)="[",TRIM(MID(TRIM(A1226),FIND("]",TRIM(A1226)&amp;"]")+1,200)),TRIM(A1226))&amp;"(")-1)),IF(LEFT(TRIM(A1226),1)="[",TRIM(MID(TRIM(A1226),FIND("]",TRIM(A1226)&amp;"]")+1,200)),TRIM(A1226))),""))</f>
      </c>
      <c r="C1226" s="17">
        <f>IF(B1226&lt;&gt;"",B1226,C1225)</f>
      </c>
      <c r="D1226" s="17">
        <f>IF(A1226="","",IF(OR(LEFT(UPPER(TRIM(A1226)),2)="Y:",LEFT(UPPER(TRIM(A1226)),10)="YESTERDAY:"),"Y",IF(OR(LEFT(UPPER(TRIM(A1226)),2)="T:",LEFT(UPPER(TRIM(A1226)),6)="TODAY:"),"T",IF(OR(LEFT(UPPER(TRIM(A1226)),2)="B:",LEFT(UPPER(TRIM(A1226)),8)="BLOCKER:",LEFT(UPPER(TRIM(A1226)),9)="BLOCKERS:",LEFT(UPPER(TRIM(A1226)),8)="BLOCKED:"),"B",""))))</f>
      </c>
      <c r="E1226" s="17">
        <f>IF(D1226="","",TRIM(MID(A1226,FIND(":",A1226)+1,500)))</f>
      </c>
    </row>
    <row r="1227">
      <c r="B1227" s="17">
        <f>IF(A1227="","",IF(COUNTIF(Roster[Name],IF(RIGHT(IF(LEFT(TRIM(A1227),1)="[",TRIM(MID(TRIM(A1227),FIND("]",TRIM(A1227)&amp;"]")+1,200)),TRIM(A1227)),1)=")",TRIM(LEFT(IF(LEFT(TRIM(A1227),1)="[",TRIM(MID(TRIM(A1227),FIND("]",TRIM(A1227)&amp;"]")+1,200)),TRIM(A1227)),FIND("(",IF(LEFT(TRIM(A1227),1)="[",TRIM(MID(TRIM(A1227),FIND("]",TRIM(A1227)&amp;"]")+1,200)),TRIM(A1227))&amp;"(")-1)),IF(LEFT(TRIM(A1227),1)="[",TRIM(MID(TRIM(A1227),FIND("]",TRIM(A1227)&amp;"]")+1,200)),TRIM(A1227))))&gt;0,IF(RIGHT(IF(LEFT(TRIM(A1227),1)="[",TRIM(MID(TRIM(A1227),FIND("]",TRIM(A1227)&amp;"]")+1,200)),TRIM(A1227)),1)=")",TRIM(LEFT(IF(LEFT(TRIM(A1227),1)="[",TRIM(MID(TRIM(A1227),FIND("]",TRIM(A1227)&amp;"]")+1,200)),TRIM(A1227)),FIND("(",IF(LEFT(TRIM(A1227),1)="[",TRIM(MID(TRIM(A1227),FIND("]",TRIM(A1227)&amp;"]")+1,200)),TRIM(A1227))&amp;"(")-1)),IF(LEFT(TRIM(A1227),1)="[",TRIM(MID(TRIM(A1227),FIND("]",TRIM(A1227)&amp;"]")+1,200)),TRIM(A1227))),""))</f>
      </c>
      <c r="C1227" s="17">
        <f>IF(B1227&lt;&gt;"",B1227,C1226)</f>
      </c>
      <c r="D1227" s="17">
        <f>IF(A1227="","",IF(OR(LEFT(UPPER(TRIM(A1227)),2)="Y:",LEFT(UPPER(TRIM(A1227)),10)="YESTERDAY:"),"Y",IF(OR(LEFT(UPPER(TRIM(A1227)),2)="T:",LEFT(UPPER(TRIM(A1227)),6)="TODAY:"),"T",IF(OR(LEFT(UPPER(TRIM(A1227)),2)="B:",LEFT(UPPER(TRIM(A1227)),8)="BLOCKER:",LEFT(UPPER(TRIM(A1227)),9)="BLOCKERS:",LEFT(UPPER(TRIM(A1227)),8)="BLOCKED:"),"B",""))))</f>
      </c>
      <c r="E1227" s="17">
        <f>IF(D1227="","",TRIM(MID(A1227,FIND(":",A1227)+1,500)))</f>
      </c>
    </row>
    <row r="1228">
      <c r="B1228" s="17">
        <f>IF(A1228="","",IF(COUNTIF(Roster[Name],IF(RIGHT(IF(LEFT(TRIM(A1228),1)="[",TRIM(MID(TRIM(A1228),FIND("]",TRIM(A1228)&amp;"]")+1,200)),TRIM(A1228)),1)=")",TRIM(LEFT(IF(LEFT(TRIM(A1228),1)="[",TRIM(MID(TRIM(A1228),FIND("]",TRIM(A1228)&amp;"]")+1,200)),TRIM(A1228)),FIND("(",IF(LEFT(TRIM(A1228),1)="[",TRIM(MID(TRIM(A1228),FIND("]",TRIM(A1228)&amp;"]")+1,200)),TRIM(A1228))&amp;"(")-1)),IF(LEFT(TRIM(A1228),1)="[",TRIM(MID(TRIM(A1228),FIND("]",TRIM(A1228)&amp;"]")+1,200)),TRIM(A1228))))&gt;0,IF(RIGHT(IF(LEFT(TRIM(A1228),1)="[",TRIM(MID(TRIM(A1228),FIND("]",TRIM(A1228)&amp;"]")+1,200)),TRIM(A1228)),1)=")",TRIM(LEFT(IF(LEFT(TRIM(A1228),1)="[",TRIM(MID(TRIM(A1228),FIND("]",TRIM(A1228)&amp;"]")+1,200)),TRIM(A1228)),FIND("(",IF(LEFT(TRIM(A1228),1)="[",TRIM(MID(TRIM(A1228),FIND("]",TRIM(A1228)&amp;"]")+1,200)),TRIM(A1228))&amp;"(")-1)),IF(LEFT(TRIM(A1228),1)="[",TRIM(MID(TRIM(A1228),FIND("]",TRIM(A1228)&amp;"]")+1,200)),TRIM(A1228))),""))</f>
      </c>
      <c r="C1228" s="17">
        <f>IF(B1228&lt;&gt;"",B1228,C1227)</f>
      </c>
      <c r="D1228" s="17">
        <f>IF(A1228="","",IF(OR(LEFT(UPPER(TRIM(A1228)),2)="Y:",LEFT(UPPER(TRIM(A1228)),10)="YESTERDAY:"),"Y",IF(OR(LEFT(UPPER(TRIM(A1228)),2)="T:",LEFT(UPPER(TRIM(A1228)),6)="TODAY:"),"T",IF(OR(LEFT(UPPER(TRIM(A1228)),2)="B:",LEFT(UPPER(TRIM(A1228)),8)="BLOCKER:",LEFT(UPPER(TRIM(A1228)),9)="BLOCKERS:",LEFT(UPPER(TRIM(A1228)),8)="BLOCKED:"),"B",""))))</f>
      </c>
      <c r="E1228" s="17">
        <f>IF(D1228="","",TRIM(MID(A1228,FIND(":",A1228)+1,500)))</f>
      </c>
    </row>
    <row r="1229">
      <c r="B1229" s="17">
        <f>IF(A1229="","",IF(COUNTIF(Roster[Name],IF(RIGHT(IF(LEFT(TRIM(A1229),1)="[",TRIM(MID(TRIM(A1229),FIND("]",TRIM(A1229)&amp;"]")+1,200)),TRIM(A1229)),1)=")",TRIM(LEFT(IF(LEFT(TRIM(A1229),1)="[",TRIM(MID(TRIM(A1229),FIND("]",TRIM(A1229)&amp;"]")+1,200)),TRIM(A1229)),FIND("(",IF(LEFT(TRIM(A1229),1)="[",TRIM(MID(TRIM(A1229),FIND("]",TRIM(A1229)&amp;"]")+1,200)),TRIM(A1229))&amp;"(")-1)),IF(LEFT(TRIM(A1229),1)="[",TRIM(MID(TRIM(A1229),FIND("]",TRIM(A1229)&amp;"]")+1,200)),TRIM(A1229))))&gt;0,IF(RIGHT(IF(LEFT(TRIM(A1229),1)="[",TRIM(MID(TRIM(A1229),FIND("]",TRIM(A1229)&amp;"]")+1,200)),TRIM(A1229)),1)=")",TRIM(LEFT(IF(LEFT(TRIM(A1229),1)="[",TRIM(MID(TRIM(A1229),FIND("]",TRIM(A1229)&amp;"]")+1,200)),TRIM(A1229)),FIND("(",IF(LEFT(TRIM(A1229),1)="[",TRIM(MID(TRIM(A1229),FIND("]",TRIM(A1229)&amp;"]")+1,200)),TRIM(A1229))&amp;"(")-1)),IF(LEFT(TRIM(A1229),1)="[",TRIM(MID(TRIM(A1229),FIND("]",TRIM(A1229)&amp;"]")+1,200)),TRIM(A1229))),""))</f>
      </c>
      <c r="C1229" s="17">
        <f>IF(B1229&lt;&gt;"",B1229,C1228)</f>
      </c>
      <c r="D1229" s="17">
        <f>IF(A1229="","",IF(OR(LEFT(UPPER(TRIM(A1229)),2)="Y:",LEFT(UPPER(TRIM(A1229)),10)="YESTERDAY:"),"Y",IF(OR(LEFT(UPPER(TRIM(A1229)),2)="T:",LEFT(UPPER(TRIM(A1229)),6)="TODAY:"),"T",IF(OR(LEFT(UPPER(TRIM(A1229)),2)="B:",LEFT(UPPER(TRIM(A1229)),8)="BLOCKER:",LEFT(UPPER(TRIM(A1229)),9)="BLOCKERS:",LEFT(UPPER(TRIM(A1229)),8)="BLOCKED:"),"B",""))))</f>
      </c>
      <c r="E1229" s="17">
        <f>IF(D1229="","",TRIM(MID(A1229,FIND(":",A1229)+1,500)))</f>
      </c>
    </row>
    <row r="1230">
      <c r="B1230" s="17">
        <f>IF(A1230="","",IF(COUNTIF(Roster[Name],IF(RIGHT(IF(LEFT(TRIM(A1230),1)="[",TRIM(MID(TRIM(A1230),FIND("]",TRIM(A1230)&amp;"]")+1,200)),TRIM(A1230)),1)=")",TRIM(LEFT(IF(LEFT(TRIM(A1230),1)="[",TRIM(MID(TRIM(A1230),FIND("]",TRIM(A1230)&amp;"]")+1,200)),TRIM(A1230)),FIND("(",IF(LEFT(TRIM(A1230),1)="[",TRIM(MID(TRIM(A1230),FIND("]",TRIM(A1230)&amp;"]")+1,200)),TRIM(A1230))&amp;"(")-1)),IF(LEFT(TRIM(A1230),1)="[",TRIM(MID(TRIM(A1230),FIND("]",TRIM(A1230)&amp;"]")+1,200)),TRIM(A1230))))&gt;0,IF(RIGHT(IF(LEFT(TRIM(A1230),1)="[",TRIM(MID(TRIM(A1230),FIND("]",TRIM(A1230)&amp;"]")+1,200)),TRIM(A1230)),1)=")",TRIM(LEFT(IF(LEFT(TRIM(A1230),1)="[",TRIM(MID(TRIM(A1230),FIND("]",TRIM(A1230)&amp;"]")+1,200)),TRIM(A1230)),FIND("(",IF(LEFT(TRIM(A1230),1)="[",TRIM(MID(TRIM(A1230),FIND("]",TRIM(A1230)&amp;"]")+1,200)),TRIM(A1230))&amp;"(")-1)),IF(LEFT(TRIM(A1230),1)="[",TRIM(MID(TRIM(A1230),FIND("]",TRIM(A1230)&amp;"]")+1,200)),TRIM(A1230))),""))</f>
      </c>
      <c r="C1230" s="17">
        <f>IF(B1230&lt;&gt;"",B1230,C1229)</f>
      </c>
      <c r="D1230" s="17">
        <f>IF(A1230="","",IF(OR(LEFT(UPPER(TRIM(A1230)),2)="Y:",LEFT(UPPER(TRIM(A1230)),10)="YESTERDAY:"),"Y",IF(OR(LEFT(UPPER(TRIM(A1230)),2)="T:",LEFT(UPPER(TRIM(A1230)),6)="TODAY:"),"T",IF(OR(LEFT(UPPER(TRIM(A1230)),2)="B:",LEFT(UPPER(TRIM(A1230)),8)="BLOCKER:",LEFT(UPPER(TRIM(A1230)),9)="BLOCKERS:",LEFT(UPPER(TRIM(A1230)),8)="BLOCKED:"),"B",""))))</f>
      </c>
      <c r="E1230" s="17">
        <f>IF(D1230="","",TRIM(MID(A1230,FIND(":",A1230)+1,500)))</f>
      </c>
    </row>
    <row r="1231">
      <c r="B1231" s="17">
        <f>IF(A1231="","",IF(COUNTIF(Roster[Name],IF(RIGHT(IF(LEFT(TRIM(A1231),1)="[",TRIM(MID(TRIM(A1231),FIND("]",TRIM(A1231)&amp;"]")+1,200)),TRIM(A1231)),1)=")",TRIM(LEFT(IF(LEFT(TRIM(A1231),1)="[",TRIM(MID(TRIM(A1231),FIND("]",TRIM(A1231)&amp;"]")+1,200)),TRIM(A1231)),FIND("(",IF(LEFT(TRIM(A1231),1)="[",TRIM(MID(TRIM(A1231),FIND("]",TRIM(A1231)&amp;"]")+1,200)),TRIM(A1231))&amp;"(")-1)),IF(LEFT(TRIM(A1231),1)="[",TRIM(MID(TRIM(A1231),FIND("]",TRIM(A1231)&amp;"]")+1,200)),TRIM(A1231))))&gt;0,IF(RIGHT(IF(LEFT(TRIM(A1231),1)="[",TRIM(MID(TRIM(A1231),FIND("]",TRIM(A1231)&amp;"]")+1,200)),TRIM(A1231)),1)=")",TRIM(LEFT(IF(LEFT(TRIM(A1231),1)="[",TRIM(MID(TRIM(A1231),FIND("]",TRIM(A1231)&amp;"]")+1,200)),TRIM(A1231)),FIND("(",IF(LEFT(TRIM(A1231),1)="[",TRIM(MID(TRIM(A1231),FIND("]",TRIM(A1231)&amp;"]")+1,200)),TRIM(A1231))&amp;"(")-1)),IF(LEFT(TRIM(A1231),1)="[",TRIM(MID(TRIM(A1231),FIND("]",TRIM(A1231)&amp;"]")+1,200)),TRIM(A1231))),""))</f>
      </c>
      <c r="C1231" s="17">
        <f>IF(B1231&lt;&gt;"",B1231,C1230)</f>
      </c>
      <c r="D1231" s="17">
        <f>IF(A1231="","",IF(OR(LEFT(UPPER(TRIM(A1231)),2)="Y:",LEFT(UPPER(TRIM(A1231)),10)="YESTERDAY:"),"Y",IF(OR(LEFT(UPPER(TRIM(A1231)),2)="T:",LEFT(UPPER(TRIM(A1231)),6)="TODAY:"),"T",IF(OR(LEFT(UPPER(TRIM(A1231)),2)="B:",LEFT(UPPER(TRIM(A1231)),8)="BLOCKER:",LEFT(UPPER(TRIM(A1231)),9)="BLOCKERS:",LEFT(UPPER(TRIM(A1231)),8)="BLOCKED:"),"B",""))))</f>
      </c>
      <c r="E1231" s="17">
        <f>IF(D1231="","",TRIM(MID(A1231,FIND(":",A1231)+1,500)))</f>
      </c>
    </row>
    <row r="1232">
      <c r="B1232" s="17">
        <f>IF(A1232="","",IF(COUNTIF(Roster[Name],IF(RIGHT(IF(LEFT(TRIM(A1232),1)="[",TRIM(MID(TRIM(A1232),FIND("]",TRIM(A1232)&amp;"]")+1,200)),TRIM(A1232)),1)=")",TRIM(LEFT(IF(LEFT(TRIM(A1232),1)="[",TRIM(MID(TRIM(A1232),FIND("]",TRIM(A1232)&amp;"]")+1,200)),TRIM(A1232)),FIND("(",IF(LEFT(TRIM(A1232),1)="[",TRIM(MID(TRIM(A1232),FIND("]",TRIM(A1232)&amp;"]")+1,200)),TRIM(A1232))&amp;"(")-1)),IF(LEFT(TRIM(A1232),1)="[",TRIM(MID(TRIM(A1232),FIND("]",TRIM(A1232)&amp;"]")+1,200)),TRIM(A1232))))&gt;0,IF(RIGHT(IF(LEFT(TRIM(A1232),1)="[",TRIM(MID(TRIM(A1232),FIND("]",TRIM(A1232)&amp;"]")+1,200)),TRIM(A1232)),1)=")",TRIM(LEFT(IF(LEFT(TRIM(A1232),1)="[",TRIM(MID(TRIM(A1232),FIND("]",TRIM(A1232)&amp;"]")+1,200)),TRIM(A1232)),FIND("(",IF(LEFT(TRIM(A1232),1)="[",TRIM(MID(TRIM(A1232),FIND("]",TRIM(A1232)&amp;"]")+1,200)),TRIM(A1232))&amp;"(")-1)),IF(LEFT(TRIM(A1232),1)="[",TRIM(MID(TRIM(A1232),FIND("]",TRIM(A1232)&amp;"]")+1,200)),TRIM(A1232))),""))</f>
      </c>
      <c r="C1232" s="17">
        <f>IF(B1232&lt;&gt;"",B1232,C1231)</f>
      </c>
      <c r="D1232" s="17">
        <f>IF(A1232="","",IF(OR(LEFT(UPPER(TRIM(A1232)),2)="Y:",LEFT(UPPER(TRIM(A1232)),10)="YESTERDAY:"),"Y",IF(OR(LEFT(UPPER(TRIM(A1232)),2)="T:",LEFT(UPPER(TRIM(A1232)),6)="TODAY:"),"T",IF(OR(LEFT(UPPER(TRIM(A1232)),2)="B:",LEFT(UPPER(TRIM(A1232)),8)="BLOCKER:",LEFT(UPPER(TRIM(A1232)),9)="BLOCKERS:",LEFT(UPPER(TRIM(A1232)),8)="BLOCKED:"),"B",""))))</f>
      </c>
      <c r="E1232" s="17">
        <f>IF(D1232="","",TRIM(MID(A1232,FIND(":",A1232)+1,500)))</f>
      </c>
    </row>
    <row r="1233">
      <c r="B1233" s="17">
        <f>IF(A1233="","",IF(COUNTIF(Roster[Name],IF(RIGHT(IF(LEFT(TRIM(A1233),1)="[",TRIM(MID(TRIM(A1233),FIND("]",TRIM(A1233)&amp;"]")+1,200)),TRIM(A1233)),1)=")",TRIM(LEFT(IF(LEFT(TRIM(A1233),1)="[",TRIM(MID(TRIM(A1233),FIND("]",TRIM(A1233)&amp;"]")+1,200)),TRIM(A1233)),FIND("(",IF(LEFT(TRIM(A1233),1)="[",TRIM(MID(TRIM(A1233),FIND("]",TRIM(A1233)&amp;"]")+1,200)),TRIM(A1233))&amp;"(")-1)),IF(LEFT(TRIM(A1233),1)="[",TRIM(MID(TRIM(A1233),FIND("]",TRIM(A1233)&amp;"]")+1,200)),TRIM(A1233))))&gt;0,IF(RIGHT(IF(LEFT(TRIM(A1233),1)="[",TRIM(MID(TRIM(A1233),FIND("]",TRIM(A1233)&amp;"]")+1,200)),TRIM(A1233)),1)=")",TRIM(LEFT(IF(LEFT(TRIM(A1233),1)="[",TRIM(MID(TRIM(A1233),FIND("]",TRIM(A1233)&amp;"]")+1,200)),TRIM(A1233)),FIND("(",IF(LEFT(TRIM(A1233),1)="[",TRIM(MID(TRIM(A1233),FIND("]",TRIM(A1233)&amp;"]")+1,200)),TRIM(A1233))&amp;"(")-1)),IF(LEFT(TRIM(A1233),1)="[",TRIM(MID(TRIM(A1233),FIND("]",TRIM(A1233)&amp;"]")+1,200)),TRIM(A1233))),""))</f>
      </c>
      <c r="C1233" s="17">
        <f>IF(B1233&lt;&gt;"",B1233,C1232)</f>
      </c>
      <c r="D1233" s="17">
        <f>IF(A1233="","",IF(OR(LEFT(UPPER(TRIM(A1233)),2)="Y:",LEFT(UPPER(TRIM(A1233)),10)="YESTERDAY:"),"Y",IF(OR(LEFT(UPPER(TRIM(A1233)),2)="T:",LEFT(UPPER(TRIM(A1233)),6)="TODAY:"),"T",IF(OR(LEFT(UPPER(TRIM(A1233)),2)="B:",LEFT(UPPER(TRIM(A1233)),8)="BLOCKER:",LEFT(UPPER(TRIM(A1233)),9)="BLOCKERS:",LEFT(UPPER(TRIM(A1233)),8)="BLOCKED:"),"B",""))))</f>
      </c>
      <c r="E1233" s="17">
        <f>IF(D1233="","",TRIM(MID(A1233,FIND(":",A1233)+1,500)))</f>
      </c>
    </row>
    <row r="1234">
      <c r="B1234" s="17">
        <f>IF(A1234="","",IF(COUNTIF(Roster[Name],IF(RIGHT(IF(LEFT(TRIM(A1234),1)="[",TRIM(MID(TRIM(A1234),FIND("]",TRIM(A1234)&amp;"]")+1,200)),TRIM(A1234)),1)=")",TRIM(LEFT(IF(LEFT(TRIM(A1234),1)="[",TRIM(MID(TRIM(A1234),FIND("]",TRIM(A1234)&amp;"]")+1,200)),TRIM(A1234)),FIND("(",IF(LEFT(TRIM(A1234),1)="[",TRIM(MID(TRIM(A1234),FIND("]",TRIM(A1234)&amp;"]")+1,200)),TRIM(A1234))&amp;"(")-1)),IF(LEFT(TRIM(A1234),1)="[",TRIM(MID(TRIM(A1234),FIND("]",TRIM(A1234)&amp;"]")+1,200)),TRIM(A1234))))&gt;0,IF(RIGHT(IF(LEFT(TRIM(A1234),1)="[",TRIM(MID(TRIM(A1234),FIND("]",TRIM(A1234)&amp;"]")+1,200)),TRIM(A1234)),1)=")",TRIM(LEFT(IF(LEFT(TRIM(A1234),1)="[",TRIM(MID(TRIM(A1234),FIND("]",TRIM(A1234)&amp;"]")+1,200)),TRIM(A1234)),FIND("(",IF(LEFT(TRIM(A1234),1)="[",TRIM(MID(TRIM(A1234),FIND("]",TRIM(A1234)&amp;"]")+1,200)),TRIM(A1234))&amp;"(")-1)),IF(LEFT(TRIM(A1234),1)="[",TRIM(MID(TRIM(A1234),FIND("]",TRIM(A1234)&amp;"]")+1,200)),TRIM(A1234))),""))</f>
      </c>
      <c r="C1234" s="17">
        <f>IF(B1234&lt;&gt;"",B1234,C1233)</f>
      </c>
      <c r="D1234" s="17">
        <f>IF(A1234="","",IF(OR(LEFT(UPPER(TRIM(A1234)),2)="Y:",LEFT(UPPER(TRIM(A1234)),10)="YESTERDAY:"),"Y",IF(OR(LEFT(UPPER(TRIM(A1234)),2)="T:",LEFT(UPPER(TRIM(A1234)),6)="TODAY:"),"T",IF(OR(LEFT(UPPER(TRIM(A1234)),2)="B:",LEFT(UPPER(TRIM(A1234)),8)="BLOCKER:",LEFT(UPPER(TRIM(A1234)),9)="BLOCKERS:",LEFT(UPPER(TRIM(A1234)),8)="BLOCKED:"),"B",""))))</f>
      </c>
      <c r="E1234" s="17">
        <f>IF(D1234="","",TRIM(MID(A1234,FIND(":",A1234)+1,500)))</f>
      </c>
    </row>
    <row r="1235">
      <c r="B1235" s="17">
        <f>IF(A1235="","",IF(COUNTIF(Roster[Name],IF(RIGHT(IF(LEFT(TRIM(A1235),1)="[",TRIM(MID(TRIM(A1235),FIND("]",TRIM(A1235)&amp;"]")+1,200)),TRIM(A1235)),1)=")",TRIM(LEFT(IF(LEFT(TRIM(A1235),1)="[",TRIM(MID(TRIM(A1235),FIND("]",TRIM(A1235)&amp;"]")+1,200)),TRIM(A1235)),FIND("(",IF(LEFT(TRIM(A1235),1)="[",TRIM(MID(TRIM(A1235),FIND("]",TRIM(A1235)&amp;"]")+1,200)),TRIM(A1235))&amp;"(")-1)),IF(LEFT(TRIM(A1235),1)="[",TRIM(MID(TRIM(A1235),FIND("]",TRIM(A1235)&amp;"]")+1,200)),TRIM(A1235))))&gt;0,IF(RIGHT(IF(LEFT(TRIM(A1235),1)="[",TRIM(MID(TRIM(A1235),FIND("]",TRIM(A1235)&amp;"]")+1,200)),TRIM(A1235)),1)=")",TRIM(LEFT(IF(LEFT(TRIM(A1235),1)="[",TRIM(MID(TRIM(A1235),FIND("]",TRIM(A1235)&amp;"]")+1,200)),TRIM(A1235)),FIND("(",IF(LEFT(TRIM(A1235),1)="[",TRIM(MID(TRIM(A1235),FIND("]",TRIM(A1235)&amp;"]")+1,200)),TRIM(A1235))&amp;"(")-1)),IF(LEFT(TRIM(A1235),1)="[",TRIM(MID(TRIM(A1235),FIND("]",TRIM(A1235)&amp;"]")+1,200)),TRIM(A1235))),""))</f>
      </c>
      <c r="C1235" s="17">
        <f>IF(B1235&lt;&gt;"",B1235,C1234)</f>
      </c>
      <c r="D1235" s="17">
        <f>IF(A1235="","",IF(OR(LEFT(UPPER(TRIM(A1235)),2)="Y:",LEFT(UPPER(TRIM(A1235)),10)="YESTERDAY:"),"Y",IF(OR(LEFT(UPPER(TRIM(A1235)),2)="T:",LEFT(UPPER(TRIM(A1235)),6)="TODAY:"),"T",IF(OR(LEFT(UPPER(TRIM(A1235)),2)="B:",LEFT(UPPER(TRIM(A1235)),8)="BLOCKER:",LEFT(UPPER(TRIM(A1235)),9)="BLOCKERS:",LEFT(UPPER(TRIM(A1235)),8)="BLOCKED:"),"B",""))))</f>
      </c>
      <c r="E1235" s="17">
        <f>IF(D1235="","",TRIM(MID(A1235,FIND(":",A1235)+1,500)))</f>
      </c>
    </row>
    <row r="1236">
      <c r="B1236" s="17">
        <f>IF(A1236="","",IF(COUNTIF(Roster[Name],IF(RIGHT(IF(LEFT(TRIM(A1236),1)="[",TRIM(MID(TRIM(A1236),FIND("]",TRIM(A1236)&amp;"]")+1,200)),TRIM(A1236)),1)=")",TRIM(LEFT(IF(LEFT(TRIM(A1236),1)="[",TRIM(MID(TRIM(A1236),FIND("]",TRIM(A1236)&amp;"]")+1,200)),TRIM(A1236)),FIND("(",IF(LEFT(TRIM(A1236),1)="[",TRIM(MID(TRIM(A1236),FIND("]",TRIM(A1236)&amp;"]")+1,200)),TRIM(A1236))&amp;"(")-1)),IF(LEFT(TRIM(A1236),1)="[",TRIM(MID(TRIM(A1236),FIND("]",TRIM(A1236)&amp;"]")+1,200)),TRIM(A1236))))&gt;0,IF(RIGHT(IF(LEFT(TRIM(A1236),1)="[",TRIM(MID(TRIM(A1236),FIND("]",TRIM(A1236)&amp;"]")+1,200)),TRIM(A1236)),1)=")",TRIM(LEFT(IF(LEFT(TRIM(A1236),1)="[",TRIM(MID(TRIM(A1236),FIND("]",TRIM(A1236)&amp;"]")+1,200)),TRIM(A1236)),FIND("(",IF(LEFT(TRIM(A1236),1)="[",TRIM(MID(TRIM(A1236),FIND("]",TRIM(A1236)&amp;"]")+1,200)),TRIM(A1236))&amp;"(")-1)),IF(LEFT(TRIM(A1236),1)="[",TRIM(MID(TRIM(A1236),FIND("]",TRIM(A1236)&amp;"]")+1,200)),TRIM(A1236))),""))</f>
      </c>
      <c r="C1236" s="17">
        <f>IF(B1236&lt;&gt;"",B1236,C1235)</f>
      </c>
      <c r="D1236" s="17">
        <f>IF(A1236="","",IF(OR(LEFT(UPPER(TRIM(A1236)),2)="Y:",LEFT(UPPER(TRIM(A1236)),10)="YESTERDAY:"),"Y",IF(OR(LEFT(UPPER(TRIM(A1236)),2)="T:",LEFT(UPPER(TRIM(A1236)),6)="TODAY:"),"T",IF(OR(LEFT(UPPER(TRIM(A1236)),2)="B:",LEFT(UPPER(TRIM(A1236)),8)="BLOCKER:",LEFT(UPPER(TRIM(A1236)),9)="BLOCKERS:",LEFT(UPPER(TRIM(A1236)),8)="BLOCKED:"),"B",""))))</f>
      </c>
      <c r="E1236" s="17">
        <f>IF(D1236="","",TRIM(MID(A1236,FIND(":",A1236)+1,500)))</f>
      </c>
    </row>
    <row r="1237">
      <c r="B1237" s="17">
        <f>IF(A1237="","",IF(COUNTIF(Roster[Name],IF(RIGHT(IF(LEFT(TRIM(A1237),1)="[",TRIM(MID(TRIM(A1237),FIND("]",TRIM(A1237)&amp;"]")+1,200)),TRIM(A1237)),1)=")",TRIM(LEFT(IF(LEFT(TRIM(A1237),1)="[",TRIM(MID(TRIM(A1237),FIND("]",TRIM(A1237)&amp;"]")+1,200)),TRIM(A1237)),FIND("(",IF(LEFT(TRIM(A1237),1)="[",TRIM(MID(TRIM(A1237),FIND("]",TRIM(A1237)&amp;"]")+1,200)),TRIM(A1237))&amp;"(")-1)),IF(LEFT(TRIM(A1237),1)="[",TRIM(MID(TRIM(A1237),FIND("]",TRIM(A1237)&amp;"]")+1,200)),TRIM(A1237))))&gt;0,IF(RIGHT(IF(LEFT(TRIM(A1237),1)="[",TRIM(MID(TRIM(A1237),FIND("]",TRIM(A1237)&amp;"]")+1,200)),TRIM(A1237)),1)=")",TRIM(LEFT(IF(LEFT(TRIM(A1237),1)="[",TRIM(MID(TRIM(A1237),FIND("]",TRIM(A1237)&amp;"]")+1,200)),TRIM(A1237)),FIND("(",IF(LEFT(TRIM(A1237),1)="[",TRIM(MID(TRIM(A1237),FIND("]",TRIM(A1237)&amp;"]")+1,200)),TRIM(A1237))&amp;"(")-1)),IF(LEFT(TRIM(A1237),1)="[",TRIM(MID(TRIM(A1237),FIND("]",TRIM(A1237)&amp;"]")+1,200)),TRIM(A1237))),""))</f>
      </c>
      <c r="C1237" s="17">
        <f>IF(B1237&lt;&gt;"",B1237,C1236)</f>
      </c>
      <c r="D1237" s="17">
        <f>IF(A1237="","",IF(OR(LEFT(UPPER(TRIM(A1237)),2)="Y:",LEFT(UPPER(TRIM(A1237)),10)="YESTERDAY:"),"Y",IF(OR(LEFT(UPPER(TRIM(A1237)),2)="T:",LEFT(UPPER(TRIM(A1237)),6)="TODAY:"),"T",IF(OR(LEFT(UPPER(TRIM(A1237)),2)="B:",LEFT(UPPER(TRIM(A1237)),8)="BLOCKER:",LEFT(UPPER(TRIM(A1237)),9)="BLOCKERS:",LEFT(UPPER(TRIM(A1237)),8)="BLOCKED:"),"B",""))))</f>
      </c>
      <c r="E1237" s="17">
        <f>IF(D1237="","",TRIM(MID(A1237,FIND(":",A1237)+1,500)))</f>
      </c>
    </row>
    <row r="1238">
      <c r="B1238" s="17">
        <f>IF(A1238="","",IF(COUNTIF(Roster[Name],IF(RIGHT(IF(LEFT(TRIM(A1238),1)="[",TRIM(MID(TRIM(A1238),FIND("]",TRIM(A1238)&amp;"]")+1,200)),TRIM(A1238)),1)=")",TRIM(LEFT(IF(LEFT(TRIM(A1238),1)="[",TRIM(MID(TRIM(A1238),FIND("]",TRIM(A1238)&amp;"]")+1,200)),TRIM(A1238)),FIND("(",IF(LEFT(TRIM(A1238),1)="[",TRIM(MID(TRIM(A1238),FIND("]",TRIM(A1238)&amp;"]")+1,200)),TRIM(A1238))&amp;"(")-1)),IF(LEFT(TRIM(A1238),1)="[",TRIM(MID(TRIM(A1238),FIND("]",TRIM(A1238)&amp;"]")+1,200)),TRIM(A1238))))&gt;0,IF(RIGHT(IF(LEFT(TRIM(A1238),1)="[",TRIM(MID(TRIM(A1238),FIND("]",TRIM(A1238)&amp;"]")+1,200)),TRIM(A1238)),1)=")",TRIM(LEFT(IF(LEFT(TRIM(A1238),1)="[",TRIM(MID(TRIM(A1238),FIND("]",TRIM(A1238)&amp;"]")+1,200)),TRIM(A1238)),FIND("(",IF(LEFT(TRIM(A1238),1)="[",TRIM(MID(TRIM(A1238),FIND("]",TRIM(A1238)&amp;"]")+1,200)),TRIM(A1238))&amp;"(")-1)),IF(LEFT(TRIM(A1238),1)="[",TRIM(MID(TRIM(A1238),FIND("]",TRIM(A1238)&amp;"]")+1,200)),TRIM(A1238))),""))</f>
      </c>
      <c r="C1238" s="17">
        <f>IF(B1238&lt;&gt;"",B1238,C1237)</f>
      </c>
      <c r="D1238" s="17">
        <f>IF(A1238="","",IF(OR(LEFT(UPPER(TRIM(A1238)),2)="Y:",LEFT(UPPER(TRIM(A1238)),10)="YESTERDAY:"),"Y",IF(OR(LEFT(UPPER(TRIM(A1238)),2)="T:",LEFT(UPPER(TRIM(A1238)),6)="TODAY:"),"T",IF(OR(LEFT(UPPER(TRIM(A1238)),2)="B:",LEFT(UPPER(TRIM(A1238)),8)="BLOCKER:",LEFT(UPPER(TRIM(A1238)),9)="BLOCKERS:",LEFT(UPPER(TRIM(A1238)),8)="BLOCKED:"),"B",""))))</f>
      </c>
      <c r="E1238" s="17">
        <f>IF(D1238="","",TRIM(MID(A1238,FIND(":",A1238)+1,500)))</f>
      </c>
    </row>
    <row r="1239">
      <c r="B1239" s="17">
        <f>IF(A1239="","",IF(COUNTIF(Roster[Name],IF(RIGHT(IF(LEFT(TRIM(A1239),1)="[",TRIM(MID(TRIM(A1239),FIND("]",TRIM(A1239)&amp;"]")+1,200)),TRIM(A1239)),1)=")",TRIM(LEFT(IF(LEFT(TRIM(A1239),1)="[",TRIM(MID(TRIM(A1239),FIND("]",TRIM(A1239)&amp;"]")+1,200)),TRIM(A1239)),FIND("(",IF(LEFT(TRIM(A1239),1)="[",TRIM(MID(TRIM(A1239),FIND("]",TRIM(A1239)&amp;"]")+1,200)),TRIM(A1239))&amp;"(")-1)),IF(LEFT(TRIM(A1239),1)="[",TRIM(MID(TRIM(A1239),FIND("]",TRIM(A1239)&amp;"]")+1,200)),TRIM(A1239))))&gt;0,IF(RIGHT(IF(LEFT(TRIM(A1239),1)="[",TRIM(MID(TRIM(A1239),FIND("]",TRIM(A1239)&amp;"]")+1,200)),TRIM(A1239)),1)=")",TRIM(LEFT(IF(LEFT(TRIM(A1239),1)="[",TRIM(MID(TRIM(A1239),FIND("]",TRIM(A1239)&amp;"]")+1,200)),TRIM(A1239)),FIND("(",IF(LEFT(TRIM(A1239),1)="[",TRIM(MID(TRIM(A1239),FIND("]",TRIM(A1239)&amp;"]")+1,200)),TRIM(A1239))&amp;"(")-1)),IF(LEFT(TRIM(A1239),1)="[",TRIM(MID(TRIM(A1239),FIND("]",TRIM(A1239)&amp;"]")+1,200)),TRIM(A1239))),""))</f>
      </c>
      <c r="C1239" s="17">
        <f>IF(B1239&lt;&gt;"",B1239,C1238)</f>
      </c>
      <c r="D1239" s="17">
        <f>IF(A1239="","",IF(OR(LEFT(UPPER(TRIM(A1239)),2)="Y:",LEFT(UPPER(TRIM(A1239)),10)="YESTERDAY:"),"Y",IF(OR(LEFT(UPPER(TRIM(A1239)),2)="T:",LEFT(UPPER(TRIM(A1239)),6)="TODAY:"),"T",IF(OR(LEFT(UPPER(TRIM(A1239)),2)="B:",LEFT(UPPER(TRIM(A1239)),8)="BLOCKER:",LEFT(UPPER(TRIM(A1239)),9)="BLOCKERS:",LEFT(UPPER(TRIM(A1239)),8)="BLOCKED:"),"B",""))))</f>
      </c>
      <c r="E1239" s="17">
        <f>IF(D1239="","",TRIM(MID(A1239,FIND(":",A1239)+1,500)))</f>
      </c>
    </row>
    <row r="1240">
      <c r="B1240" s="17">
        <f>IF(A1240="","",IF(COUNTIF(Roster[Name],IF(RIGHT(IF(LEFT(TRIM(A1240),1)="[",TRIM(MID(TRIM(A1240),FIND("]",TRIM(A1240)&amp;"]")+1,200)),TRIM(A1240)),1)=")",TRIM(LEFT(IF(LEFT(TRIM(A1240),1)="[",TRIM(MID(TRIM(A1240),FIND("]",TRIM(A1240)&amp;"]")+1,200)),TRIM(A1240)),FIND("(",IF(LEFT(TRIM(A1240),1)="[",TRIM(MID(TRIM(A1240),FIND("]",TRIM(A1240)&amp;"]")+1,200)),TRIM(A1240))&amp;"(")-1)),IF(LEFT(TRIM(A1240),1)="[",TRIM(MID(TRIM(A1240),FIND("]",TRIM(A1240)&amp;"]")+1,200)),TRIM(A1240))))&gt;0,IF(RIGHT(IF(LEFT(TRIM(A1240),1)="[",TRIM(MID(TRIM(A1240),FIND("]",TRIM(A1240)&amp;"]")+1,200)),TRIM(A1240)),1)=")",TRIM(LEFT(IF(LEFT(TRIM(A1240),1)="[",TRIM(MID(TRIM(A1240),FIND("]",TRIM(A1240)&amp;"]")+1,200)),TRIM(A1240)),FIND("(",IF(LEFT(TRIM(A1240),1)="[",TRIM(MID(TRIM(A1240),FIND("]",TRIM(A1240)&amp;"]")+1,200)),TRIM(A1240))&amp;"(")-1)),IF(LEFT(TRIM(A1240),1)="[",TRIM(MID(TRIM(A1240),FIND("]",TRIM(A1240)&amp;"]")+1,200)),TRIM(A1240))),""))</f>
      </c>
      <c r="C1240" s="17">
        <f>IF(B1240&lt;&gt;"",B1240,C1239)</f>
      </c>
      <c r="D1240" s="17">
        <f>IF(A1240="","",IF(OR(LEFT(UPPER(TRIM(A1240)),2)="Y:",LEFT(UPPER(TRIM(A1240)),10)="YESTERDAY:"),"Y",IF(OR(LEFT(UPPER(TRIM(A1240)),2)="T:",LEFT(UPPER(TRIM(A1240)),6)="TODAY:"),"T",IF(OR(LEFT(UPPER(TRIM(A1240)),2)="B:",LEFT(UPPER(TRIM(A1240)),8)="BLOCKER:",LEFT(UPPER(TRIM(A1240)),9)="BLOCKERS:",LEFT(UPPER(TRIM(A1240)),8)="BLOCKED:"),"B",""))))</f>
      </c>
      <c r="E1240" s="17">
        <f>IF(D1240="","",TRIM(MID(A1240,FIND(":",A1240)+1,500)))</f>
      </c>
    </row>
    <row r="1241">
      <c r="B1241" s="17">
        <f>IF(A1241="","",IF(COUNTIF(Roster[Name],IF(RIGHT(IF(LEFT(TRIM(A1241),1)="[",TRIM(MID(TRIM(A1241),FIND("]",TRIM(A1241)&amp;"]")+1,200)),TRIM(A1241)),1)=")",TRIM(LEFT(IF(LEFT(TRIM(A1241),1)="[",TRIM(MID(TRIM(A1241),FIND("]",TRIM(A1241)&amp;"]")+1,200)),TRIM(A1241)),FIND("(",IF(LEFT(TRIM(A1241),1)="[",TRIM(MID(TRIM(A1241),FIND("]",TRIM(A1241)&amp;"]")+1,200)),TRIM(A1241))&amp;"(")-1)),IF(LEFT(TRIM(A1241),1)="[",TRIM(MID(TRIM(A1241),FIND("]",TRIM(A1241)&amp;"]")+1,200)),TRIM(A1241))))&gt;0,IF(RIGHT(IF(LEFT(TRIM(A1241),1)="[",TRIM(MID(TRIM(A1241),FIND("]",TRIM(A1241)&amp;"]")+1,200)),TRIM(A1241)),1)=")",TRIM(LEFT(IF(LEFT(TRIM(A1241),1)="[",TRIM(MID(TRIM(A1241),FIND("]",TRIM(A1241)&amp;"]")+1,200)),TRIM(A1241)),FIND("(",IF(LEFT(TRIM(A1241),1)="[",TRIM(MID(TRIM(A1241),FIND("]",TRIM(A1241)&amp;"]")+1,200)),TRIM(A1241))&amp;"(")-1)),IF(LEFT(TRIM(A1241),1)="[",TRIM(MID(TRIM(A1241),FIND("]",TRIM(A1241)&amp;"]")+1,200)),TRIM(A1241))),""))</f>
      </c>
      <c r="C1241" s="17">
        <f>IF(B1241&lt;&gt;"",B1241,C1240)</f>
      </c>
      <c r="D1241" s="17">
        <f>IF(A1241="","",IF(OR(LEFT(UPPER(TRIM(A1241)),2)="Y:",LEFT(UPPER(TRIM(A1241)),10)="YESTERDAY:"),"Y",IF(OR(LEFT(UPPER(TRIM(A1241)),2)="T:",LEFT(UPPER(TRIM(A1241)),6)="TODAY:"),"T",IF(OR(LEFT(UPPER(TRIM(A1241)),2)="B:",LEFT(UPPER(TRIM(A1241)),8)="BLOCKER:",LEFT(UPPER(TRIM(A1241)),9)="BLOCKERS:",LEFT(UPPER(TRIM(A1241)),8)="BLOCKED:"),"B",""))))</f>
      </c>
      <c r="E1241" s="17">
        <f>IF(D1241="","",TRIM(MID(A1241,FIND(":",A1241)+1,500)))</f>
      </c>
    </row>
    <row r="1242">
      <c r="B1242" s="17">
        <f>IF(A1242="","",IF(COUNTIF(Roster[Name],IF(RIGHT(IF(LEFT(TRIM(A1242),1)="[",TRIM(MID(TRIM(A1242),FIND("]",TRIM(A1242)&amp;"]")+1,200)),TRIM(A1242)),1)=")",TRIM(LEFT(IF(LEFT(TRIM(A1242),1)="[",TRIM(MID(TRIM(A1242),FIND("]",TRIM(A1242)&amp;"]")+1,200)),TRIM(A1242)),FIND("(",IF(LEFT(TRIM(A1242),1)="[",TRIM(MID(TRIM(A1242),FIND("]",TRIM(A1242)&amp;"]")+1,200)),TRIM(A1242))&amp;"(")-1)),IF(LEFT(TRIM(A1242),1)="[",TRIM(MID(TRIM(A1242),FIND("]",TRIM(A1242)&amp;"]")+1,200)),TRIM(A1242))))&gt;0,IF(RIGHT(IF(LEFT(TRIM(A1242),1)="[",TRIM(MID(TRIM(A1242),FIND("]",TRIM(A1242)&amp;"]")+1,200)),TRIM(A1242)),1)=")",TRIM(LEFT(IF(LEFT(TRIM(A1242),1)="[",TRIM(MID(TRIM(A1242),FIND("]",TRIM(A1242)&amp;"]")+1,200)),TRIM(A1242)),FIND("(",IF(LEFT(TRIM(A1242),1)="[",TRIM(MID(TRIM(A1242),FIND("]",TRIM(A1242)&amp;"]")+1,200)),TRIM(A1242))&amp;"(")-1)),IF(LEFT(TRIM(A1242),1)="[",TRIM(MID(TRIM(A1242),FIND("]",TRIM(A1242)&amp;"]")+1,200)),TRIM(A1242))),""))</f>
      </c>
      <c r="C1242" s="17">
        <f>IF(B1242&lt;&gt;"",B1242,C1241)</f>
      </c>
      <c r="D1242" s="17">
        <f>IF(A1242="","",IF(OR(LEFT(UPPER(TRIM(A1242)),2)="Y:",LEFT(UPPER(TRIM(A1242)),10)="YESTERDAY:"),"Y",IF(OR(LEFT(UPPER(TRIM(A1242)),2)="T:",LEFT(UPPER(TRIM(A1242)),6)="TODAY:"),"T",IF(OR(LEFT(UPPER(TRIM(A1242)),2)="B:",LEFT(UPPER(TRIM(A1242)),8)="BLOCKER:",LEFT(UPPER(TRIM(A1242)),9)="BLOCKERS:",LEFT(UPPER(TRIM(A1242)),8)="BLOCKED:"),"B",""))))</f>
      </c>
      <c r="E1242" s="17">
        <f>IF(D1242="","",TRIM(MID(A1242,FIND(":",A1242)+1,500)))</f>
      </c>
    </row>
    <row r="1243">
      <c r="B1243" s="17">
        <f>IF(A1243="","",IF(COUNTIF(Roster[Name],IF(RIGHT(IF(LEFT(TRIM(A1243),1)="[",TRIM(MID(TRIM(A1243),FIND("]",TRIM(A1243)&amp;"]")+1,200)),TRIM(A1243)),1)=")",TRIM(LEFT(IF(LEFT(TRIM(A1243),1)="[",TRIM(MID(TRIM(A1243),FIND("]",TRIM(A1243)&amp;"]")+1,200)),TRIM(A1243)),FIND("(",IF(LEFT(TRIM(A1243),1)="[",TRIM(MID(TRIM(A1243),FIND("]",TRIM(A1243)&amp;"]")+1,200)),TRIM(A1243))&amp;"(")-1)),IF(LEFT(TRIM(A1243),1)="[",TRIM(MID(TRIM(A1243),FIND("]",TRIM(A1243)&amp;"]")+1,200)),TRIM(A1243))))&gt;0,IF(RIGHT(IF(LEFT(TRIM(A1243),1)="[",TRIM(MID(TRIM(A1243),FIND("]",TRIM(A1243)&amp;"]")+1,200)),TRIM(A1243)),1)=")",TRIM(LEFT(IF(LEFT(TRIM(A1243),1)="[",TRIM(MID(TRIM(A1243),FIND("]",TRIM(A1243)&amp;"]")+1,200)),TRIM(A1243)),FIND("(",IF(LEFT(TRIM(A1243),1)="[",TRIM(MID(TRIM(A1243),FIND("]",TRIM(A1243)&amp;"]")+1,200)),TRIM(A1243))&amp;"(")-1)),IF(LEFT(TRIM(A1243),1)="[",TRIM(MID(TRIM(A1243),FIND("]",TRIM(A1243)&amp;"]")+1,200)),TRIM(A1243))),""))</f>
      </c>
      <c r="C1243" s="17">
        <f>IF(B1243&lt;&gt;"",B1243,C1242)</f>
      </c>
      <c r="D1243" s="17">
        <f>IF(A1243="","",IF(OR(LEFT(UPPER(TRIM(A1243)),2)="Y:",LEFT(UPPER(TRIM(A1243)),10)="YESTERDAY:"),"Y",IF(OR(LEFT(UPPER(TRIM(A1243)),2)="T:",LEFT(UPPER(TRIM(A1243)),6)="TODAY:"),"T",IF(OR(LEFT(UPPER(TRIM(A1243)),2)="B:",LEFT(UPPER(TRIM(A1243)),8)="BLOCKER:",LEFT(UPPER(TRIM(A1243)),9)="BLOCKERS:",LEFT(UPPER(TRIM(A1243)),8)="BLOCKED:"),"B",""))))</f>
      </c>
      <c r="E1243" s="17">
        <f>IF(D1243="","",TRIM(MID(A1243,FIND(":",A1243)+1,500)))</f>
      </c>
    </row>
    <row r="1244">
      <c r="B1244" s="17">
        <f>IF(A1244="","",IF(COUNTIF(Roster[Name],IF(RIGHT(IF(LEFT(TRIM(A1244),1)="[",TRIM(MID(TRIM(A1244),FIND("]",TRIM(A1244)&amp;"]")+1,200)),TRIM(A1244)),1)=")",TRIM(LEFT(IF(LEFT(TRIM(A1244),1)="[",TRIM(MID(TRIM(A1244),FIND("]",TRIM(A1244)&amp;"]")+1,200)),TRIM(A1244)),FIND("(",IF(LEFT(TRIM(A1244),1)="[",TRIM(MID(TRIM(A1244),FIND("]",TRIM(A1244)&amp;"]")+1,200)),TRIM(A1244))&amp;"(")-1)),IF(LEFT(TRIM(A1244),1)="[",TRIM(MID(TRIM(A1244),FIND("]",TRIM(A1244)&amp;"]")+1,200)),TRIM(A1244))))&gt;0,IF(RIGHT(IF(LEFT(TRIM(A1244),1)="[",TRIM(MID(TRIM(A1244),FIND("]",TRIM(A1244)&amp;"]")+1,200)),TRIM(A1244)),1)=")",TRIM(LEFT(IF(LEFT(TRIM(A1244),1)="[",TRIM(MID(TRIM(A1244),FIND("]",TRIM(A1244)&amp;"]")+1,200)),TRIM(A1244)),FIND("(",IF(LEFT(TRIM(A1244),1)="[",TRIM(MID(TRIM(A1244),FIND("]",TRIM(A1244)&amp;"]")+1,200)),TRIM(A1244))&amp;"(")-1)),IF(LEFT(TRIM(A1244),1)="[",TRIM(MID(TRIM(A1244),FIND("]",TRIM(A1244)&amp;"]")+1,200)),TRIM(A1244))),""))</f>
      </c>
      <c r="C1244" s="17">
        <f>IF(B1244&lt;&gt;"",B1244,C1243)</f>
      </c>
      <c r="D1244" s="17">
        <f>IF(A1244="","",IF(OR(LEFT(UPPER(TRIM(A1244)),2)="Y:",LEFT(UPPER(TRIM(A1244)),10)="YESTERDAY:"),"Y",IF(OR(LEFT(UPPER(TRIM(A1244)),2)="T:",LEFT(UPPER(TRIM(A1244)),6)="TODAY:"),"T",IF(OR(LEFT(UPPER(TRIM(A1244)),2)="B:",LEFT(UPPER(TRIM(A1244)),8)="BLOCKER:",LEFT(UPPER(TRIM(A1244)),9)="BLOCKERS:",LEFT(UPPER(TRIM(A1244)),8)="BLOCKED:"),"B",""))))</f>
      </c>
      <c r="E1244" s="17">
        <f>IF(D1244="","",TRIM(MID(A1244,FIND(":",A1244)+1,500)))</f>
      </c>
    </row>
    <row r="1245">
      <c r="B1245" s="17">
        <f>IF(A1245="","",IF(COUNTIF(Roster[Name],IF(RIGHT(IF(LEFT(TRIM(A1245),1)="[",TRIM(MID(TRIM(A1245),FIND("]",TRIM(A1245)&amp;"]")+1,200)),TRIM(A1245)),1)=")",TRIM(LEFT(IF(LEFT(TRIM(A1245),1)="[",TRIM(MID(TRIM(A1245),FIND("]",TRIM(A1245)&amp;"]")+1,200)),TRIM(A1245)),FIND("(",IF(LEFT(TRIM(A1245),1)="[",TRIM(MID(TRIM(A1245),FIND("]",TRIM(A1245)&amp;"]")+1,200)),TRIM(A1245))&amp;"(")-1)),IF(LEFT(TRIM(A1245),1)="[",TRIM(MID(TRIM(A1245),FIND("]",TRIM(A1245)&amp;"]")+1,200)),TRIM(A1245))))&gt;0,IF(RIGHT(IF(LEFT(TRIM(A1245),1)="[",TRIM(MID(TRIM(A1245),FIND("]",TRIM(A1245)&amp;"]")+1,200)),TRIM(A1245)),1)=")",TRIM(LEFT(IF(LEFT(TRIM(A1245),1)="[",TRIM(MID(TRIM(A1245),FIND("]",TRIM(A1245)&amp;"]")+1,200)),TRIM(A1245)),FIND("(",IF(LEFT(TRIM(A1245),1)="[",TRIM(MID(TRIM(A1245),FIND("]",TRIM(A1245)&amp;"]")+1,200)),TRIM(A1245))&amp;"(")-1)),IF(LEFT(TRIM(A1245),1)="[",TRIM(MID(TRIM(A1245),FIND("]",TRIM(A1245)&amp;"]")+1,200)),TRIM(A1245))),""))</f>
      </c>
      <c r="C1245" s="17">
        <f>IF(B1245&lt;&gt;"",B1245,C1244)</f>
      </c>
      <c r="D1245" s="17">
        <f>IF(A1245="","",IF(OR(LEFT(UPPER(TRIM(A1245)),2)="Y:",LEFT(UPPER(TRIM(A1245)),10)="YESTERDAY:"),"Y",IF(OR(LEFT(UPPER(TRIM(A1245)),2)="T:",LEFT(UPPER(TRIM(A1245)),6)="TODAY:"),"T",IF(OR(LEFT(UPPER(TRIM(A1245)),2)="B:",LEFT(UPPER(TRIM(A1245)),8)="BLOCKER:",LEFT(UPPER(TRIM(A1245)),9)="BLOCKERS:",LEFT(UPPER(TRIM(A1245)),8)="BLOCKED:"),"B",""))))</f>
      </c>
      <c r="E1245" s="17">
        <f>IF(D1245="","",TRIM(MID(A1245,FIND(":",A1245)+1,500)))</f>
      </c>
    </row>
    <row r="1246">
      <c r="B1246" s="17">
        <f>IF(A1246="","",IF(COUNTIF(Roster[Name],IF(RIGHT(IF(LEFT(TRIM(A1246),1)="[",TRIM(MID(TRIM(A1246),FIND("]",TRIM(A1246)&amp;"]")+1,200)),TRIM(A1246)),1)=")",TRIM(LEFT(IF(LEFT(TRIM(A1246),1)="[",TRIM(MID(TRIM(A1246),FIND("]",TRIM(A1246)&amp;"]")+1,200)),TRIM(A1246)),FIND("(",IF(LEFT(TRIM(A1246),1)="[",TRIM(MID(TRIM(A1246),FIND("]",TRIM(A1246)&amp;"]")+1,200)),TRIM(A1246))&amp;"(")-1)),IF(LEFT(TRIM(A1246),1)="[",TRIM(MID(TRIM(A1246),FIND("]",TRIM(A1246)&amp;"]")+1,200)),TRIM(A1246))))&gt;0,IF(RIGHT(IF(LEFT(TRIM(A1246),1)="[",TRIM(MID(TRIM(A1246),FIND("]",TRIM(A1246)&amp;"]")+1,200)),TRIM(A1246)),1)=")",TRIM(LEFT(IF(LEFT(TRIM(A1246),1)="[",TRIM(MID(TRIM(A1246),FIND("]",TRIM(A1246)&amp;"]")+1,200)),TRIM(A1246)),FIND("(",IF(LEFT(TRIM(A1246),1)="[",TRIM(MID(TRIM(A1246),FIND("]",TRIM(A1246)&amp;"]")+1,200)),TRIM(A1246))&amp;"(")-1)),IF(LEFT(TRIM(A1246),1)="[",TRIM(MID(TRIM(A1246),FIND("]",TRIM(A1246)&amp;"]")+1,200)),TRIM(A1246))),""))</f>
      </c>
      <c r="C1246" s="17">
        <f>IF(B1246&lt;&gt;"",B1246,C1245)</f>
      </c>
      <c r="D1246" s="17">
        <f>IF(A1246="","",IF(OR(LEFT(UPPER(TRIM(A1246)),2)="Y:",LEFT(UPPER(TRIM(A1246)),10)="YESTERDAY:"),"Y",IF(OR(LEFT(UPPER(TRIM(A1246)),2)="T:",LEFT(UPPER(TRIM(A1246)),6)="TODAY:"),"T",IF(OR(LEFT(UPPER(TRIM(A1246)),2)="B:",LEFT(UPPER(TRIM(A1246)),8)="BLOCKER:",LEFT(UPPER(TRIM(A1246)),9)="BLOCKERS:",LEFT(UPPER(TRIM(A1246)),8)="BLOCKED:"),"B",""))))</f>
      </c>
      <c r="E1246" s="17">
        <f>IF(D1246="","",TRIM(MID(A1246,FIND(":",A1246)+1,500)))</f>
      </c>
    </row>
    <row r="1247">
      <c r="B1247" s="17">
        <f>IF(A1247="","",IF(COUNTIF(Roster[Name],IF(RIGHT(IF(LEFT(TRIM(A1247),1)="[",TRIM(MID(TRIM(A1247),FIND("]",TRIM(A1247)&amp;"]")+1,200)),TRIM(A1247)),1)=")",TRIM(LEFT(IF(LEFT(TRIM(A1247),1)="[",TRIM(MID(TRIM(A1247),FIND("]",TRIM(A1247)&amp;"]")+1,200)),TRIM(A1247)),FIND("(",IF(LEFT(TRIM(A1247),1)="[",TRIM(MID(TRIM(A1247),FIND("]",TRIM(A1247)&amp;"]")+1,200)),TRIM(A1247))&amp;"(")-1)),IF(LEFT(TRIM(A1247),1)="[",TRIM(MID(TRIM(A1247),FIND("]",TRIM(A1247)&amp;"]")+1,200)),TRIM(A1247))))&gt;0,IF(RIGHT(IF(LEFT(TRIM(A1247),1)="[",TRIM(MID(TRIM(A1247),FIND("]",TRIM(A1247)&amp;"]")+1,200)),TRIM(A1247)),1)=")",TRIM(LEFT(IF(LEFT(TRIM(A1247),1)="[",TRIM(MID(TRIM(A1247),FIND("]",TRIM(A1247)&amp;"]")+1,200)),TRIM(A1247)),FIND("(",IF(LEFT(TRIM(A1247),1)="[",TRIM(MID(TRIM(A1247),FIND("]",TRIM(A1247)&amp;"]")+1,200)),TRIM(A1247))&amp;"(")-1)),IF(LEFT(TRIM(A1247),1)="[",TRIM(MID(TRIM(A1247),FIND("]",TRIM(A1247)&amp;"]")+1,200)),TRIM(A1247))),""))</f>
      </c>
      <c r="C1247" s="17">
        <f>IF(B1247&lt;&gt;"",B1247,C1246)</f>
      </c>
      <c r="D1247" s="17">
        <f>IF(A1247="","",IF(OR(LEFT(UPPER(TRIM(A1247)),2)="Y:",LEFT(UPPER(TRIM(A1247)),10)="YESTERDAY:"),"Y",IF(OR(LEFT(UPPER(TRIM(A1247)),2)="T:",LEFT(UPPER(TRIM(A1247)),6)="TODAY:"),"T",IF(OR(LEFT(UPPER(TRIM(A1247)),2)="B:",LEFT(UPPER(TRIM(A1247)),8)="BLOCKER:",LEFT(UPPER(TRIM(A1247)),9)="BLOCKERS:",LEFT(UPPER(TRIM(A1247)),8)="BLOCKED:"),"B",""))))</f>
      </c>
      <c r="E1247" s="17">
        <f>IF(D1247="","",TRIM(MID(A1247,FIND(":",A1247)+1,500)))</f>
      </c>
    </row>
    <row r="1248">
      <c r="B1248" s="17">
        <f>IF(A1248="","",IF(COUNTIF(Roster[Name],IF(RIGHT(IF(LEFT(TRIM(A1248),1)="[",TRIM(MID(TRIM(A1248),FIND("]",TRIM(A1248)&amp;"]")+1,200)),TRIM(A1248)),1)=")",TRIM(LEFT(IF(LEFT(TRIM(A1248),1)="[",TRIM(MID(TRIM(A1248),FIND("]",TRIM(A1248)&amp;"]")+1,200)),TRIM(A1248)),FIND("(",IF(LEFT(TRIM(A1248),1)="[",TRIM(MID(TRIM(A1248),FIND("]",TRIM(A1248)&amp;"]")+1,200)),TRIM(A1248))&amp;"(")-1)),IF(LEFT(TRIM(A1248),1)="[",TRIM(MID(TRIM(A1248),FIND("]",TRIM(A1248)&amp;"]")+1,200)),TRIM(A1248))))&gt;0,IF(RIGHT(IF(LEFT(TRIM(A1248),1)="[",TRIM(MID(TRIM(A1248),FIND("]",TRIM(A1248)&amp;"]")+1,200)),TRIM(A1248)),1)=")",TRIM(LEFT(IF(LEFT(TRIM(A1248),1)="[",TRIM(MID(TRIM(A1248),FIND("]",TRIM(A1248)&amp;"]")+1,200)),TRIM(A1248)),FIND("(",IF(LEFT(TRIM(A1248),1)="[",TRIM(MID(TRIM(A1248),FIND("]",TRIM(A1248)&amp;"]")+1,200)),TRIM(A1248))&amp;"(")-1)),IF(LEFT(TRIM(A1248),1)="[",TRIM(MID(TRIM(A1248),FIND("]",TRIM(A1248)&amp;"]")+1,200)),TRIM(A1248))),""))</f>
      </c>
      <c r="C1248" s="17">
        <f>IF(B1248&lt;&gt;"",B1248,C1247)</f>
      </c>
      <c r="D1248" s="17">
        <f>IF(A1248="","",IF(OR(LEFT(UPPER(TRIM(A1248)),2)="Y:",LEFT(UPPER(TRIM(A1248)),10)="YESTERDAY:"),"Y",IF(OR(LEFT(UPPER(TRIM(A1248)),2)="T:",LEFT(UPPER(TRIM(A1248)),6)="TODAY:"),"T",IF(OR(LEFT(UPPER(TRIM(A1248)),2)="B:",LEFT(UPPER(TRIM(A1248)),8)="BLOCKER:",LEFT(UPPER(TRIM(A1248)),9)="BLOCKERS:",LEFT(UPPER(TRIM(A1248)),8)="BLOCKED:"),"B",""))))</f>
      </c>
      <c r="E1248" s="17">
        <f>IF(D1248="","",TRIM(MID(A1248,FIND(":",A1248)+1,500)))</f>
      </c>
    </row>
    <row r="1249">
      <c r="B1249" s="17">
        <f>IF(A1249="","",IF(COUNTIF(Roster[Name],IF(RIGHT(IF(LEFT(TRIM(A1249),1)="[",TRIM(MID(TRIM(A1249),FIND("]",TRIM(A1249)&amp;"]")+1,200)),TRIM(A1249)),1)=")",TRIM(LEFT(IF(LEFT(TRIM(A1249),1)="[",TRIM(MID(TRIM(A1249),FIND("]",TRIM(A1249)&amp;"]")+1,200)),TRIM(A1249)),FIND("(",IF(LEFT(TRIM(A1249),1)="[",TRIM(MID(TRIM(A1249),FIND("]",TRIM(A1249)&amp;"]")+1,200)),TRIM(A1249))&amp;"(")-1)),IF(LEFT(TRIM(A1249),1)="[",TRIM(MID(TRIM(A1249),FIND("]",TRIM(A1249)&amp;"]")+1,200)),TRIM(A1249))))&gt;0,IF(RIGHT(IF(LEFT(TRIM(A1249),1)="[",TRIM(MID(TRIM(A1249),FIND("]",TRIM(A1249)&amp;"]")+1,200)),TRIM(A1249)),1)=")",TRIM(LEFT(IF(LEFT(TRIM(A1249),1)="[",TRIM(MID(TRIM(A1249),FIND("]",TRIM(A1249)&amp;"]")+1,200)),TRIM(A1249)),FIND("(",IF(LEFT(TRIM(A1249),1)="[",TRIM(MID(TRIM(A1249),FIND("]",TRIM(A1249)&amp;"]")+1,200)),TRIM(A1249))&amp;"(")-1)),IF(LEFT(TRIM(A1249),1)="[",TRIM(MID(TRIM(A1249),FIND("]",TRIM(A1249)&amp;"]")+1,200)),TRIM(A1249))),""))</f>
      </c>
      <c r="C1249" s="17">
        <f>IF(B1249&lt;&gt;"",B1249,C1248)</f>
      </c>
      <c r="D1249" s="17">
        <f>IF(A1249="","",IF(OR(LEFT(UPPER(TRIM(A1249)),2)="Y:",LEFT(UPPER(TRIM(A1249)),10)="YESTERDAY:"),"Y",IF(OR(LEFT(UPPER(TRIM(A1249)),2)="T:",LEFT(UPPER(TRIM(A1249)),6)="TODAY:"),"T",IF(OR(LEFT(UPPER(TRIM(A1249)),2)="B:",LEFT(UPPER(TRIM(A1249)),8)="BLOCKER:",LEFT(UPPER(TRIM(A1249)),9)="BLOCKERS:",LEFT(UPPER(TRIM(A1249)),8)="BLOCKED:"),"B",""))))</f>
      </c>
      <c r="E1249" s="17">
        <f>IF(D1249="","",TRIM(MID(A1249,FIND(":",A1249)+1,500)))</f>
      </c>
    </row>
    <row r="1250">
      <c r="B1250" s="17">
        <f>IF(A1250="","",IF(COUNTIF(Roster[Name],IF(RIGHT(IF(LEFT(TRIM(A1250),1)="[",TRIM(MID(TRIM(A1250),FIND("]",TRIM(A1250)&amp;"]")+1,200)),TRIM(A1250)),1)=")",TRIM(LEFT(IF(LEFT(TRIM(A1250),1)="[",TRIM(MID(TRIM(A1250),FIND("]",TRIM(A1250)&amp;"]")+1,200)),TRIM(A1250)),FIND("(",IF(LEFT(TRIM(A1250),1)="[",TRIM(MID(TRIM(A1250),FIND("]",TRIM(A1250)&amp;"]")+1,200)),TRIM(A1250))&amp;"(")-1)),IF(LEFT(TRIM(A1250),1)="[",TRIM(MID(TRIM(A1250),FIND("]",TRIM(A1250)&amp;"]")+1,200)),TRIM(A1250))))&gt;0,IF(RIGHT(IF(LEFT(TRIM(A1250),1)="[",TRIM(MID(TRIM(A1250),FIND("]",TRIM(A1250)&amp;"]")+1,200)),TRIM(A1250)),1)=")",TRIM(LEFT(IF(LEFT(TRIM(A1250),1)="[",TRIM(MID(TRIM(A1250),FIND("]",TRIM(A1250)&amp;"]")+1,200)),TRIM(A1250)),FIND("(",IF(LEFT(TRIM(A1250),1)="[",TRIM(MID(TRIM(A1250),FIND("]",TRIM(A1250)&amp;"]")+1,200)),TRIM(A1250))&amp;"(")-1)),IF(LEFT(TRIM(A1250),1)="[",TRIM(MID(TRIM(A1250),FIND("]",TRIM(A1250)&amp;"]")+1,200)),TRIM(A1250))),""))</f>
      </c>
      <c r="C1250" s="17">
        <f>IF(B1250&lt;&gt;"",B1250,C1249)</f>
      </c>
      <c r="D1250" s="17">
        <f>IF(A1250="","",IF(OR(LEFT(UPPER(TRIM(A1250)),2)="Y:",LEFT(UPPER(TRIM(A1250)),10)="YESTERDAY:"),"Y",IF(OR(LEFT(UPPER(TRIM(A1250)),2)="T:",LEFT(UPPER(TRIM(A1250)),6)="TODAY:"),"T",IF(OR(LEFT(UPPER(TRIM(A1250)),2)="B:",LEFT(UPPER(TRIM(A1250)),8)="BLOCKER:",LEFT(UPPER(TRIM(A1250)),9)="BLOCKERS:",LEFT(UPPER(TRIM(A1250)),8)="BLOCKED:"),"B",""))))</f>
      </c>
      <c r="E1250" s="17">
        <f>IF(D1250="","",TRIM(MID(A1250,FIND(":",A1250)+1,500)))</f>
      </c>
    </row>
    <row r="1251">
      <c r="B1251" s="17">
        <f>IF(A1251="","",IF(COUNTIF(Roster[Name],IF(RIGHT(IF(LEFT(TRIM(A1251),1)="[",TRIM(MID(TRIM(A1251),FIND("]",TRIM(A1251)&amp;"]")+1,200)),TRIM(A1251)),1)=")",TRIM(LEFT(IF(LEFT(TRIM(A1251),1)="[",TRIM(MID(TRIM(A1251),FIND("]",TRIM(A1251)&amp;"]")+1,200)),TRIM(A1251)),FIND("(",IF(LEFT(TRIM(A1251),1)="[",TRIM(MID(TRIM(A1251),FIND("]",TRIM(A1251)&amp;"]")+1,200)),TRIM(A1251))&amp;"(")-1)),IF(LEFT(TRIM(A1251),1)="[",TRIM(MID(TRIM(A1251),FIND("]",TRIM(A1251)&amp;"]")+1,200)),TRIM(A1251))))&gt;0,IF(RIGHT(IF(LEFT(TRIM(A1251),1)="[",TRIM(MID(TRIM(A1251),FIND("]",TRIM(A1251)&amp;"]")+1,200)),TRIM(A1251)),1)=")",TRIM(LEFT(IF(LEFT(TRIM(A1251),1)="[",TRIM(MID(TRIM(A1251),FIND("]",TRIM(A1251)&amp;"]")+1,200)),TRIM(A1251)),FIND("(",IF(LEFT(TRIM(A1251),1)="[",TRIM(MID(TRIM(A1251),FIND("]",TRIM(A1251)&amp;"]")+1,200)),TRIM(A1251))&amp;"(")-1)),IF(LEFT(TRIM(A1251),1)="[",TRIM(MID(TRIM(A1251),FIND("]",TRIM(A1251)&amp;"]")+1,200)),TRIM(A1251))),""))</f>
      </c>
      <c r="C1251" s="17">
        <f>IF(B1251&lt;&gt;"",B1251,C1250)</f>
      </c>
      <c r="D1251" s="17">
        <f>IF(A1251="","",IF(OR(LEFT(UPPER(TRIM(A1251)),2)="Y:",LEFT(UPPER(TRIM(A1251)),10)="YESTERDAY:"),"Y",IF(OR(LEFT(UPPER(TRIM(A1251)),2)="T:",LEFT(UPPER(TRIM(A1251)),6)="TODAY:"),"T",IF(OR(LEFT(UPPER(TRIM(A1251)),2)="B:",LEFT(UPPER(TRIM(A1251)),8)="BLOCKER:",LEFT(UPPER(TRIM(A1251)),9)="BLOCKERS:",LEFT(UPPER(TRIM(A1251)),8)="BLOCKED:"),"B",""))))</f>
      </c>
      <c r="E1251" s="17">
        <f>IF(D1251="","",TRIM(MID(A1251,FIND(":",A1251)+1,500)))</f>
      </c>
    </row>
    <row r="1252">
      <c r="B1252" s="17">
        <f>IF(A1252="","",IF(COUNTIF(Roster[Name],IF(RIGHT(IF(LEFT(TRIM(A1252),1)="[",TRIM(MID(TRIM(A1252),FIND("]",TRIM(A1252)&amp;"]")+1,200)),TRIM(A1252)),1)=")",TRIM(LEFT(IF(LEFT(TRIM(A1252),1)="[",TRIM(MID(TRIM(A1252),FIND("]",TRIM(A1252)&amp;"]")+1,200)),TRIM(A1252)),FIND("(",IF(LEFT(TRIM(A1252),1)="[",TRIM(MID(TRIM(A1252),FIND("]",TRIM(A1252)&amp;"]")+1,200)),TRIM(A1252))&amp;"(")-1)),IF(LEFT(TRIM(A1252),1)="[",TRIM(MID(TRIM(A1252),FIND("]",TRIM(A1252)&amp;"]")+1,200)),TRIM(A1252))))&gt;0,IF(RIGHT(IF(LEFT(TRIM(A1252),1)="[",TRIM(MID(TRIM(A1252),FIND("]",TRIM(A1252)&amp;"]")+1,200)),TRIM(A1252)),1)=")",TRIM(LEFT(IF(LEFT(TRIM(A1252),1)="[",TRIM(MID(TRIM(A1252),FIND("]",TRIM(A1252)&amp;"]")+1,200)),TRIM(A1252)),FIND("(",IF(LEFT(TRIM(A1252),1)="[",TRIM(MID(TRIM(A1252),FIND("]",TRIM(A1252)&amp;"]")+1,200)),TRIM(A1252))&amp;"(")-1)),IF(LEFT(TRIM(A1252),1)="[",TRIM(MID(TRIM(A1252),FIND("]",TRIM(A1252)&amp;"]")+1,200)),TRIM(A1252))),""))</f>
      </c>
      <c r="C1252" s="17">
        <f>IF(B1252&lt;&gt;"",B1252,C1251)</f>
      </c>
      <c r="D1252" s="17">
        <f>IF(A1252="","",IF(OR(LEFT(UPPER(TRIM(A1252)),2)="Y:",LEFT(UPPER(TRIM(A1252)),10)="YESTERDAY:"),"Y",IF(OR(LEFT(UPPER(TRIM(A1252)),2)="T:",LEFT(UPPER(TRIM(A1252)),6)="TODAY:"),"T",IF(OR(LEFT(UPPER(TRIM(A1252)),2)="B:",LEFT(UPPER(TRIM(A1252)),8)="BLOCKER:",LEFT(UPPER(TRIM(A1252)),9)="BLOCKERS:",LEFT(UPPER(TRIM(A1252)),8)="BLOCKED:"),"B",""))))</f>
      </c>
      <c r="E1252" s="17">
        <f>IF(D1252="","",TRIM(MID(A1252,FIND(":",A1252)+1,500)))</f>
      </c>
    </row>
    <row r="1253">
      <c r="B1253" s="17">
        <f>IF(A1253="","",IF(COUNTIF(Roster[Name],IF(RIGHT(IF(LEFT(TRIM(A1253),1)="[",TRIM(MID(TRIM(A1253),FIND("]",TRIM(A1253)&amp;"]")+1,200)),TRIM(A1253)),1)=")",TRIM(LEFT(IF(LEFT(TRIM(A1253),1)="[",TRIM(MID(TRIM(A1253),FIND("]",TRIM(A1253)&amp;"]")+1,200)),TRIM(A1253)),FIND("(",IF(LEFT(TRIM(A1253),1)="[",TRIM(MID(TRIM(A1253),FIND("]",TRIM(A1253)&amp;"]")+1,200)),TRIM(A1253))&amp;"(")-1)),IF(LEFT(TRIM(A1253),1)="[",TRIM(MID(TRIM(A1253),FIND("]",TRIM(A1253)&amp;"]")+1,200)),TRIM(A1253))))&gt;0,IF(RIGHT(IF(LEFT(TRIM(A1253),1)="[",TRIM(MID(TRIM(A1253),FIND("]",TRIM(A1253)&amp;"]")+1,200)),TRIM(A1253)),1)=")",TRIM(LEFT(IF(LEFT(TRIM(A1253),1)="[",TRIM(MID(TRIM(A1253),FIND("]",TRIM(A1253)&amp;"]")+1,200)),TRIM(A1253)),FIND("(",IF(LEFT(TRIM(A1253),1)="[",TRIM(MID(TRIM(A1253),FIND("]",TRIM(A1253)&amp;"]")+1,200)),TRIM(A1253))&amp;"(")-1)),IF(LEFT(TRIM(A1253),1)="[",TRIM(MID(TRIM(A1253),FIND("]",TRIM(A1253)&amp;"]")+1,200)),TRIM(A1253))),""))</f>
      </c>
      <c r="C1253" s="17">
        <f>IF(B1253&lt;&gt;"",B1253,C1252)</f>
      </c>
      <c r="D1253" s="17">
        <f>IF(A1253="","",IF(OR(LEFT(UPPER(TRIM(A1253)),2)="Y:",LEFT(UPPER(TRIM(A1253)),10)="YESTERDAY:"),"Y",IF(OR(LEFT(UPPER(TRIM(A1253)),2)="T:",LEFT(UPPER(TRIM(A1253)),6)="TODAY:"),"T",IF(OR(LEFT(UPPER(TRIM(A1253)),2)="B:",LEFT(UPPER(TRIM(A1253)),8)="BLOCKER:",LEFT(UPPER(TRIM(A1253)),9)="BLOCKERS:",LEFT(UPPER(TRIM(A1253)),8)="BLOCKED:"),"B",""))))</f>
      </c>
      <c r="E1253" s="17">
        <f>IF(D1253="","",TRIM(MID(A1253,FIND(":",A1253)+1,500)))</f>
      </c>
    </row>
    <row r="1254">
      <c r="B1254" s="17">
        <f>IF(A1254="","",IF(COUNTIF(Roster[Name],IF(RIGHT(IF(LEFT(TRIM(A1254),1)="[",TRIM(MID(TRIM(A1254),FIND("]",TRIM(A1254)&amp;"]")+1,200)),TRIM(A1254)),1)=")",TRIM(LEFT(IF(LEFT(TRIM(A1254),1)="[",TRIM(MID(TRIM(A1254),FIND("]",TRIM(A1254)&amp;"]")+1,200)),TRIM(A1254)),FIND("(",IF(LEFT(TRIM(A1254),1)="[",TRIM(MID(TRIM(A1254),FIND("]",TRIM(A1254)&amp;"]")+1,200)),TRIM(A1254))&amp;"(")-1)),IF(LEFT(TRIM(A1254),1)="[",TRIM(MID(TRIM(A1254),FIND("]",TRIM(A1254)&amp;"]")+1,200)),TRIM(A1254))))&gt;0,IF(RIGHT(IF(LEFT(TRIM(A1254),1)="[",TRIM(MID(TRIM(A1254),FIND("]",TRIM(A1254)&amp;"]")+1,200)),TRIM(A1254)),1)=")",TRIM(LEFT(IF(LEFT(TRIM(A1254),1)="[",TRIM(MID(TRIM(A1254),FIND("]",TRIM(A1254)&amp;"]")+1,200)),TRIM(A1254)),FIND("(",IF(LEFT(TRIM(A1254),1)="[",TRIM(MID(TRIM(A1254),FIND("]",TRIM(A1254)&amp;"]")+1,200)),TRIM(A1254))&amp;"(")-1)),IF(LEFT(TRIM(A1254),1)="[",TRIM(MID(TRIM(A1254),FIND("]",TRIM(A1254)&amp;"]")+1,200)),TRIM(A1254))),""))</f>
      </c>
      <c r="C1254" s="17">
        <f>IF(B1254&lt;&gt;"",B1254,C1253)</f>
      </c>
      <c r="D1254" s="17">
        <f>IF(A1254="","",IF(OR(LEFT(UPPER(TRIM(A1254)),2)="Y:",LEFT(UPPER(TRIM(A1254)),10)="YESTERDAY:"),"Y",IF(OR(LEFT(UPPER(TRIM(A1254)),2)="T:",LEFT(UPPER(TRIM(A1254)),6)="TODAY:"),"T",IF(OR(LEFT(UPPER(TRIM(A1254)),2)="B:",LEFT(UPPER(TRIM(A1254)),8)="BLOCKER:",LEFT(UPPER(TRIM(A1254)),9)="BLOCKERS:",LEFT(UPPER(TRIM(A1254)),8)="BLOCKED:"),"B",""))))</f>
      </c>
      <c r="E1254" s="17">
        <f>IF(D1254="","",TRIM(MID(A1254,FIND(":",A1254)+1,500)))</f>
      </c>
    </row>
    <row r="1255">
      <c r="B1255" s="17">
        <f>IF(A1255="","",IF(COUNTIF(Roster[Name],IF(RIGHT(IF(LEFT(TRIM(A1255),1)="[",TRIM(MID(TRIM(A1255),FIND("]",TRIM(A1255)&amp;"]")+1,200)),TRIM(A1255)),1)=")",TRIM(LEFT(IF(LEFT(TRIM(A1255),1)="[",TRIM(MID(TRIM(A1255),FIND("]",TRIM(A1255)&amp;"]")+1,200)),TRIM(A1255)),FIND("(",IF(LEFT(TRIM(A1255),1)="[",TRIM(MID(TRIM(A1255),FIND("]",TRIM(A1255)&amp;"]")+1,200)),TRIM(A1255))&amp;"(")-1)),IF(LEFT(TRIM(A1255),1)="[",TRIM(MID(TRIM(A1255),FIND("]",TRIM(A1255)&amp;"]")+1,200)),TRIM(A1255))))&gt;0,IF(RIGHT(IF(LEFT(TRIM(A1255),1)="[",TRIM(MID(TRIM(A1255),FIND("]",TRIM(A1255)&amp;"]")+1,200)),TRIM(A1255)),1)=")",TRIM(LEFT(IF(LEFT(TRIM(A1255),1)="[",TRIM(MID(TRIM(A1255),FIND("]",TRIM(A1255)&amp;"]")+1,200)),TRIM(A1255)),FIND("(",IF(LEFT(TRIM(A1255),1)="[",TRIM(MID(TRIM(A1255),FIND("]",TRIM(A1255)&amp;"]")+1,200)),TRIM(A1255))&amp;"(")-1)),IF(LEFT(TRIM(A1255),1)="[",TRIM(MID(TRIM(A1255),FIND("]",TRIM(A1255)&amp;"]")+1,200)),TRIM(A1255))),""))</f>
      </c>
      <c r="C1255" s="17">
        <f>IF(B1255&lt;&gt;"",B1255,C1254)</f>
      </c>
      <c r="D1255" s="17">
        <f>IF(A1255="","",IF(OR(LEFT(UPPER(TRIM(A1255)),2)="Y:",LEFT(UPPER(TRIM(A1255)),10)="YESTERDAY:"),"Y",IF(OR(LEFT(UPPER(TRIM(A1255)),2)="T:",LEFT(UPPER(TRIM(A1255)),6)="TODAY:"),"T",IF(OR(LEFT(UPPER(TRIM(A1255)),2)="B:",LEFT(UPPER(TRIM(A1255)),8)="BLOCKER:",LEFT(UPPER(TRIM(A1255)),9)="BLOCKERS:",LEFT(UPPER(TRIM(A1255)),8)="BLOCKED:"),"B",""))))</f>
      </c>
      <c r="E1255" s="17">
        <f>IF(D1255="","",TRIM(MID(A1255,FIND(":",A1255)+1,500)))</f>
      </c>
    </row>
    <row r="1256">
      <c r="B1256" s="17">
        <f>IF(A1256="","",IF(COUNTIF(Roster[Name],IF(RIGHT(IF(LEFT(TRIM(A1256),1)="[",TRIM(MID(TRIM(A1256),FIND("]",TRIM(A1256)&amp;"]")+1,200)),TRIM(A1256)),1)=")",TRIM(LEFT(IF(LEFT(TRIM(A1256),1)="[",TRIM(MID(TRIM(A1256),FIND("]",TRIM(A1256)&amp;"]")+1,200)),TRIM(A1256)),FIND("(",IF(LEFT(TRIM(A1256),1)="[",TRIM(MID(TRIM(A1256),FIND("]",TRIM(A1256)&amp;"]")+1,200)),TRIM(A1256))&amp;"(")-1)),IF(LEFT(TRIM(A1256),1)="[",TRIM(MID(TRIM(A1256),FIND("]",TRIM(A1256)&amp;"]")+1,200)),TRIM(A1256))))&gt;0,IF(RIGHT(IF(LEFT(TRIM(A1256),1)="[",TRIM(MID(TRIM(A1256),FIND("]",TRIM(A1256)&amp;"]")+1,200)),TRIM(A1256)),1)=")",TRIM(LEFT(IF(LEFT(TRIM(A1256),1)="[",TRIM(MID(TRIM(A1256),FIND("]",TRIM(A1256)&amp;"]")+1,200)),TRIM(A1256)),FIND("(",IF(LEFT(TRIM(A1256),1)="[",TRIM(MID(TRIM(A1256),FIND("]",TRIM(A1256)&amp;"]")+1,200)),TRIM(A1256))&amp;"(")-1)),IF(LEFT(TRIM(A1256),1)="[",TRIM(MID(TRIM(A1256),FIND("]",TRIM(A1256)&amp;"]")+1,200)),TRIM(A1256))),""))</f>
      </c>
      <c r="C1256" s="17">
        <f>IF(B1256&lt;&gt;"",B1256,C1255)</f>
      </c>
      <c r="D1256" s="17">
        <f>IF(A1256="","",IF(OR(LEFT(UPPER(TRIM(A1256)),2)="Y:",LEFT(UPPER(TRIM(A1256)),10)="YESTERDAY:"),"Y",IF(OR(LEFT(UPPER(TRIM(A1256)),2)="T:",LEFT(UPPER(TRIM(A1256)),6)="TODAY:"),"T",IF(OR(LEFT(UPPER(TRIM(A1256)),2)="B:",LEFT(UPPER(TRIM(A1256)),8)="BLOCKER:",LEFT(UPPER(TRIM(A1256)),9)="BLOCKERS:",LEFT(UPPER(TRIM(A1256)),8)="BLOCKED:"),"B",""))))</f>
      </c>
      <c r="E1256" s="17">
        <f>IF(D1256="","",TRIM(MID(A1256,FIND(":",A1256)+1,500)))</f>
      </c>
    </row>
    <row r="1257">
      <c r="B1257" s="17">
        <f>IF(A1257="","",IF(COUNTIF(Roster[Name],IF(RIGHT(IF(LEFT(TRIM(A1257),1)="[",TRIM(MID(TRIM(A1257),FIND("]",TRIM(A1257)&amp;"]")+1,200)),TRIM(A1257)),1)=")",TRIM(LEFT(IF(LEFT(TRIM(A1257),1)="[",TRIM(MID(TRIM(A1257),FIND("]",TRIM(A1257)&amp;"]")+1,200)),TRIM(A1257)),FIND("(",IF(LEFT(TRIM(A1257),1)="[",TRIM(MID(TRIM(A1257),FIND("]",TRIM(A1257)&amp;"]")+1,200)),TRIM(A1257))&amp;"(")-1)),IF(LEFT(TRIM(A1257),1)="[",TRIM(MID(TRIM(A1257),FIND("]",TRIM(A1257)&amp;"]")+1,200)),TRIM(A1257))))&gt;0,IF(RIGHT(IF(LEFT(TRIM(A1257),1)="[",TRIM(MID(TRIM(A1257),FIND("]",TRIM(A1257)&amp;"]")+1,200)),TRIM(A1257)),1)=")",TRIM(LEFT(IF(LEFT(TRIM(A1257),1)="[",TRIM(MID(TRIM(A1257),FIND("]",TRIM(A1257)&amp;"]")+1,200)),TRIM(A1257)),FIND("(",IF(LEFT(TRIM(A1257),1)="[",TRIM(MID(TRIM(A1257),FIND("]",TRIM(A1257)&amp;"]")+1,200)),TRIM(A1257))&amp;"(")-1)),IF(LEFT(TRIM(A1257),1)="[",TRIM(MID(TRIM(A1257),FIND("]",TRIM(A1257)&amp;"]")+1,200)),TRIM(A1257))),""))</f>
      </c>
      <c r="C1257" s="17">
        <f>IF(B1257&lt;&gt;"",B1257,C1256)</f>
      </c>
      <c r="D1257" s="17">
        <f>IF(A1257="","",IF(OR(LEFT(UPPER(TRIM(A1257)),2)="Y:",LEFT(UPPER(TRIM(A1257)),10)="YESTERDAY:"),"Y",IF(OR(LEFT(UPPER(TRIM(A1257)),2)="T:",LEFT(UPPER(TRIM(A1257)),6)="TODAY:"),"T",IF(OR(LEFT(UPPER(TRIM(A1257)),2)="B:",LEFT(UPPER(TRIM(A1257)),8)="BLOCKER:",LEFT(UPPER(TRIM(A1257)),9)="BLOCKERS:",LEFT(UPPER(TRIM(A1257)),8)="BLOCKED:"),"B",""))))</f>
      </c>
      <c r="E1257" s="17">
        <f>IF(D1257="","",TRIM(MID(A1257,FIND(":",A1257)+1,500)))</f>
      </c>
    </row>
    <row r="1258">
      <c r="B1258" s="17">
        <f>IF(A1258="","",IF(COUNTIF(Roster[Name],IF(RIGHT(IF(LEFT(TRIM(A1258),1)="[",TRIM(MID(TRIM(A1258),FIND("]",TRIM(A1258)&amp;"]")+1,200)),TRIM(A1258)),1)=")",TRIM(LEFT(IF(LEFT(TRIM(A1258),1)="[",TRIM(MID(TRIM(A1258),FIND("]",TRIM(A1258)&amp;"]")+1,200)),TRIM(A1258)),FIND("(",IF(LEFT(TRIM(A1258),1)="[",TRIM(MID(TRIM(A1258),FIND("]",TRIM(A1258)&amp;"]")+1,200)),TRIM(A1258))&amp;"(")-1)),IF(LEFT(TRIM(A1258),1)="[",TRIM(MID(TRIM(A1258),FIND("]",TRIM(A1258)&amp;"]")+1,200)),TRIM(A1258))))&gt;0,IF(RIGHT(IF(LEFT(TRIM(A1258),1)="[",TRIM(MID(TRIM(A1258),FIND("]",TRIM(A1258)&amp;"]")+1,200)),TRIM(A1258)),1)=")",TRIM(LEFT(IF(LEFT(TRIM(A1258),1)="[",TRIM(MID(TRIM(A1258),FIND("]",TRIM(A1258)&amp;"]")+1,200)),TRIM(A1258)),FIND("(",IF(LEFT(TRIM(A1258),1)="[",TRIM(MID(TRIM(A1258),FIND("]",TRIM(A1258)&amp;"]")+1,200)),TRIM(A1258))&amp;"(")-1)),IF(LEFT(TRIM(A1258),1)="[",TRIM(MID(TRIM(A1258),FIND("]",TRIM(A1258)&amp;"]")+1,200)),TRIM(A1258))),""))</f>
      </c>
      <c r="C1258" s="17">
        <f>IF(B1258&lt;&gt;"",B1258,C1257)</f>
      </c>
      <c r="D1258" s="17">
        <f>IF(A1258="","",IF(OR(LEFT(UPPER(TRIM(A1258)),2)="Y:",LEFT(UPPER(TRIM(A1258)),10)="YESTERDAY:"),"Y",IF(OR(LEFT(UPPER(TRIM(A1258)),2)="T:",LEFT(UPPER(TRIM(A1258)),6)="TODAY:"),"T",IF(OR(LEFT(UPPER(TRIM(A1258)),2)="B:",LEFT(UPPER(TRIM(A1258)),8)="BLOCKER:",LEFT(UPPER(TRIM(A1258)),9)="BLOCKERS:",LEFT(UPPER(TRIM(A1258)),8)="BLOCKED:"),"B",""))))</f>
      </c>
      <c r="E1258" s="17">
        <f>IF(D1258="","",TRIM(MID(A1258,FIND(":",A1258)+1,500)))</f>
      </c>
    </row>
    <row r="1259">
      <c r="B1259" s="17">
        <f>IF(A1259="","",IF(COUNTIF(Roster[Name],IF(RIGHT(IF(LEFT(TRIM(A1259),1)="[",TRIM(MID(TRIM(A1259),FIND("]",TRIM(A1259)&amp;"]")+1,200)),TRIM(A1259)),1)=")",TRIM(LEFT(IF(LEFT(TRIM(A1259),1)="[",TRIM(MID(TRIM(A1259),FIND("]",TRIM(A1259)&amp;"]")+1,200)),TRIM(A1259)),FIND("(",IF(LEFT(TRIM(A1259),1)="[",TRIM(MID(TRIM(A1259),FIND("]",TRIM(A1259)&amp;"]")+1,200)),TRIM(A1259))&amp;"(")-1)),IF(LEFT(TRIM(A1259),1)="[",TRIM(MID(TRIM(A1259),FIND("]",TRIM(A1259)&amp;"]")+1,200)),TRIM(A1259))))&gt;0,IF(RIGHT(IF(LEFT(TRIM(A1259),1)="[",TRIM(MID(TRIM(A1259),FIND("]",TRIM(A1259)&amp;"]")+1,200)),TRIM(A1259)),1)=")",TRIM(LEFT(IF(LEFT(TRIM(A1259),1)="[",TRIM(MID(TRIM(A1259),FIND("]",TRIM(A1259)&amp;"]")+1,200)),TRIM(A1259)),FIND("(",IF(LEFT(TRIM(A1259),1)="[",TRIM(MID(TRIM(A1259),FIND("]",TRIM(A1259)&amp;"]")+1,200)),TRIM(A1259))&amp;"(")-1)),IF(LEFT(TRIM(A1259),1)="[",TRIM(MID(TRIM(A1259),FIND("]",TRIM(A1259)&amp;"]")+1,200)),TRIM(A1259))),""))</f>
      </c>
      <c r="C1259" s="17">
        <f>IF(B1259&lt;&gt;"",B1259,C1258)</f>
      </c>
      <c r="D1259" s="17">
        <f>IF(A1259="","",IF(OR(LEFT(UPPER(TRIM(A1259)),2)="Y:",LEFT(UPPER(TRIM(A1259)),10)="YESTERDAY:"),"Y",IF(OR(LEFT(UPPER(TRIM(A1259)),2)="T:",LEFT(UPPER(TRIM(A1259)),6)="TODAY:"),"T",IF(OR(LEFT(UPPER(TRIM(A1259)),2)="B:",LEFT(UPPER(TRIM(A1259)),8)="BLOCKER:",LEFT(UPPER(TRIM(A1259)),9)="BLOCKERS:",LEFT(UPPER(TRIM(A1259)),8)="BLOCKED:"),"B",""))))</f>
      </c>
      <c r="E1259" s="17">
        <f>IF(D1259="","",TRIM(MID(A1259,FIND(":",A1259)+1,500)))</f>
      </c>
    </row>
    <row r="1260">
      <c r="B1260" s="17">
        <f>IF(A1260="","",IF(COUNTIF(Roster[Name],IF(RIGHT(IF(LEFT(TRIM(A1260),1)="[",TRIM(MID(TRIM(A1260),FIND("]",TRIM(A1260)&amp;"]")+1,200)),TRIM(A1260)),1)=")",TRIM(LEFT(IF(LEFT(TRIM(A1260),1)="[",TRIM(MID(TRIM(A1260),FIND("]",TRIM(A1260)&amp;"]")+1,200)),TRIM(A1260)),FIND("(",IF(LEFT(TRIM(A1260),1)="[",TRIM(MID(TRIM(A1260),FIND("]",TRIM(A1260)&amp;"]")+1,200)),TRIM(A1260))&amp;"(")-1)),IF(LEFT(TRIM(A1260),1)="[",TRIM(MID(TRIM(A1260),FIND("]",TRIM(A1260)&amp;"]")+1,200)),TRIM(A1260))))&gt;0,IF(RIGHT(IF(LEFT(TRIM(A1260),1)="[",TRIM(MID(TRIM(A1260),FIND("]",TRIM(A1260)&amp;"]")+1,200)),TRIM(A1260)),1)=")",TRIM(LEFT(IF(LEFT(TRIM(A1260),1)="[",TRIM(MID(TRIM(A1260),FIND("]",TRIM(A1260)&amp;"]")+1,200)),TRIM(A1260)),FIND("(",IF(LEFT(TRIM(A1260),1)="[",TRIM(MID(TRIM(A1260),FIND("]",TRIM(A1260)&amp;"]")+1,200)),TRIM(A1260))&amp;"(")-1)),IF(LEFT(TRIM(A1260),1)="[",TRIM(MID(TRIM(A1260),FIND("]",TRIM(A1260)&amp;"]")+1,200)),TRIM(A1260))),""))</f>
      </c>
      <c r="C1260" s="17">
        <f>IF(B1260&lt;&gt;"",B1260,C1259)</f>
      </c>
      <c r="D1260" s="17">
        <f>IF(A1260="","",IF(OR(LEFT(UPPER(TRIM(A1260)),2)="Y:",LEFT(UPPER(TRIM(A1260)),10)="YESTERDAY:"),"Y",IF(OR(LEFT(UPPER(TRIM(A1260)),2)="T:",LEFT(UPPER(TRIM(A1260)),6)="TODAY:"),"T",IF(OR(LEFT(UPPER(TRIM(A1260)),2)="B:",LEFT(UPPER(TRIM(A1260)),8)="BLOCKER:",LEFT(UPPER(TRIM(A1260)),9)="BLOCKERS:",LEFT(UPPER(TRIM(A1260)),8)="BLOCKED:"),"B",""))))</f>
      </c>
      <c r="E1260" s="17">
        <f>IF(D1260="","",TRIM(MID(A1260,FIND(":",A1260)+1,500)))</f>
      </c>
    </row>
    <row r="1261">
      <c r="B1261" s="17">
        <f>IF(A1261="","",IF(COUNTIF(Roster[Name],IF(RIGHT(IF(LEFT(TRIM(A1261),1)="[",TRIM(MID(TRIM(A1261),FIND("]",TRIM(A1261)&amp;"]")+1,200)),TRIM(A1261)),1)=")",TRIM(LEFT(IF(LEFT(TRIM(A1261),1)="[",TRIM(MID(TRIM(A1261),FIND("]",TRIM(A1261)&amp;"]")+1,200)),TRIM(A1261)),FIND("(",IF(LEFT(TRIM(A1261),1)="[",TRIM(MID(TRIM(A1261),FIND("]",TRIM(A1261)&amp;"]")+1,200)),TRIM(A1261))&amp;"(")-1)),IF(LEFT(TRIM(A1261),1)="[",TRIM(MID(TRIM(A1261),FIND("]",TRIM(A1261)&amp;"]")+1,200)),TRIM(A1261))))&gt;0,IF(RIGHT(IF(LEFT(TRIM(A1261),1)="[",TRIM(MID(TRIM(A1261),FIND("]",TRIM(A1261)&amp;"]")+1,200)),TRIM(A1261)),1)=")",TRIM(LEFT(IF(LEFT(TRIM(A1261),1)="[",TRIM(MID(TRIM(A1261),FIND("]",TRIM(A1261)&amp;"]")+1,200)),TRIM(A1261)),FIND("(",IF(LEFT(TRIM(A1261),1)="[",TRIM(MID(TRIM(A1261),FIND("]",TRIM(A1261)&amp;"]")+1,200)),TRIM(A1261))&amp;"(")-1)),IF(LEFT(TRIM(A1261),1)="[",TRIM(MID(TRIM(A1261),FIND("]",TRIM(A1261)&amp;"]")+1,200)),TRIM(A1261))),""))</f>
      </c>
      <c r="C1261" s="17">
        <f>IF(B1261&lt;&gt;"",B1261,C1260)</f>
      </c>
      <c r="D1261" s="17">
        <f>IF(A1261="","",IF(OR(LEFT(UPPER(TRIM(A1261)),2)="Y:",LEFT(UPPER(TRIM(A1261)),10)="YESTERDAY:"),"Y",IF(OR(LEFT(UPPER(TRIM(A1261)),2)="T:",LEFT(UPPER(TRIM(A1261)),6)="TODAY:"),"T",IF(OR(LEFT(UPPER(TRIM(A1261)),2)="B:",LEFT(UPPER(TRIM(A1261)),8)="BLOCKER:",LEFT(UPPER(TRIM(A1261)),9)="BLOCKERS:",LEFT(UPPER(TRIM(A1261)),8)="BLOCKED:"),"B",""))))</f>
      </c>
      <c r="E1261" s="17">
        <f>IF(D1261="","",TRIM(MID(A1261,FIND(":",A1261)+1,500)))</f>
      </c>
    </row>
    <row r="1262">
      <c r="B1262" s="17">
        <f>IF(A1262="","",IF(COUNTIF(Roster[Name],IF(RIGHT(IF(LEFT(TRIM(A1262),1)="[",TRIM(MID(TRIM(A1262),FIND("]",TRIM(A1262)&amp;"]")+1,200)),TRIM(A1262)),1)=")",TRIM(LEFT(IF(LEFT(TRIM(A1262),1)="[",TRIM(MID(TRIM(A1262),FIND("]",TRIM(A1262)&amp;"]")+1,200)),TRIM(A1262)),FIND("(",IF(LEFT(TRIM(A1262),1)="[",TRIM(MID(TRIM(A1262),FIND("]",TRIM(A1262)&amp;"]")+1,200)),TRIM(A1262))&amp;"(")-1)),IF(LEFT(TRIM(A1262),1)="[",TRIM(MID(TRIM(A1262),FIND("]",TRIM(A1262)&amp;"]")+1,200)),TRIM(A1262))))&gt;0,IF(RIGHT(IF(LEFT(TRIM(A1262),1)="[",TRIM(MID(TRIM(A1262),FIND("]",TRIM(A1262)&amp;"]")+1,200)),TRIM(A1262)),1)=")",TRIM(LEFT(IF(LEFT(TRIM(A1262),1)="[",TRIM(MID(TRIM(A1262),FIND("]",TRIM(A1262)&amp;"]")+1,200)),TRIM(A1262)),FIND("(",IF(LEFT(TRIM(A1262),1)="[",TRIM(MID(TRIM(A1262),FIND("]",TRIM(A1262)&amp;"]")+1,200)),TRIM(A1262))&amp;"(")-1)),IF(LEFT(TRIM(A1262),1)="[",TRIM(MID(TRIM(A1262),FIND("]",TRIM(A1262)&amp;"]")+1,200)),TRIM(A1262))),""))</f>
      </c>
      <c r="C1262" s="17">
        <f>IF(B1262&lt;&gt;"",B1262,C1261)</f>
      </c>
      <c r="D1262" s="17">
        <f>IF(A1262="","",IF(OR(LEFT(UPPER(TRIM(A1262)),2)="Y:",LEFT(UPPER(TRIM(A1262)),10)="YESTERDAY:"),"Y",IF(OR(LEFT(UPPER(TRIM(A1262)),2)="T:",LEFT(UPPER(TRIM(A1262)),6)="TODAY:"),"T",IF(OR(LEFT(UPPER(TRIM(A1262)),2)="B:",LEFT(UPPER(TRIM(A1262)),8)="BLOCKER:",LEFT(UPPER(TRIM(A1262)),9)="BLOCKERS:",LEFT(UPPER(TRIM(A1262)),8)="BLOCKED:"),"B",""))))</f>
      </c>
      <c r="E1262" s="17">
        <f>IF(D1262="","",TRIM(MID(A1262,FIND(":",A1262)+1,500)))</f>
      </c>
    </row>
    <row r="1263">
      <c r="B1263" s="17">
        <f>IF(A1263="","",IF(COUNTIF(Roster[Name],IF(RIGHT(IF(LEFT(TRIM(A1263),1)="[",TRIM(MID(TRIM(A1263),FIND("]",TRIM(A1263)&amp;"]")+1,200)),TRIM(A1263)),1)=")",TRIM(LEFT(IF(LEFT(TRIM(A1263),1)="[",TRIM(MID(TRIM(A1263),FIND("]",TRIM(A1263)&amp;"]")+1,200)),TRIM(A1263)),FIND("(",IF(LEFT(TRIM(A1263),1)="[",TRIM(MID(TRIM(A1263),FIND("]",TRIM(A1263)&amp;"]")+1,200)),TRIM(A1263))&amp;"(")-1)),IF(LEFT(TRIM(A1263),1)="[",TRIM(MID(TRIM(A1263),FIND("]",TRIM(A1263)&amp;"]")+1,200)),TRIM(A1263))))&gt;0,IF(RIGHT(IF(LEFT(TRIM(A1263),1)="[",TRIM(MID(TRIM(A1263),FIND("]",TRIM(A1263)&amp;"]")+1,200)),TRIM(A1263)),1)=")",TRIM(LEFT(IF(LEFT(TRIM(A1263),1)="[",TRIM(MID(TRIM(A1263),FIND("]",TRIM(A1263)&amp;"]")+1,200)),TRIM(A1263)),FIND("(",IF(LEFT(TRIM(A1263),1)="[",TRIM(MID(TRIM(A1263),FIND("]",TRIM(A1263)&amp;"]")+1,200)),TRIM(A1263))&amp;"(")-1)),IF(LEFT(TRIM(A1263),1)="[",TRIM(MID(TRIM(A1263),FIND("]",TRIM(A1263)&amp;"]")+1,200)),TRIM(A1263))),""))</f>
      </c>
      <c r="C1263" s="17">
        <f>IF(B1263&lt;&gt;"",B1263,C1262)</f>
      </c>
      <c r="D1263" s="17">
        <f>IF(A1263="","",IF(OR(LEFT(UPPER(TRIM(A1263)),2)="Y:",LEFT(UPPER(TRIM(A1263)),10)="YESTERDAY:"),"Y",IF(OR(LEFT(UPPER(TRIM(A1263)),2)="T:",LEFT(UPPER(TRIM(A1263)),6)="TODAY:"),"T",IF(OR(LEFT(UPPER(TRIM(A1263)),2)="B:",LEFT(UPPER(TRIM(A1263)),8)="BLOCKER:",LEFT(UPPER(TRIM(A1263)),9)="BLOCKERS:",LEFT(UPPER(TRIM(A1263)),8)="BLOCKED:"),"B",""))))</f>
      </c>
      <c r="E1263" s="17">
        <f>IF(D1263="","",TRIM(MID(A1263,FIND(":",A1263)+1,500)))</f>
      </c>
    </row>
    <row r="1264">
      <c r="B1264" s="17">
        <f>IF(A1264="","",IF(COUNTIF(Roster[Name],IF(RIGHT(IF(LEFT(TRIM(A1264),1)="[",TRIM(MID(TRIM(A1264),FIND("]",TRIM(A1264)&amp;"]")+1,200)),TRIM(A1264)),1)=")",TRIM(LEFT(IF(LEFT(TRIM(A1264),1)="[",TRIM(MID(TRIM(A1264),FIND("]",TRIM(A1264)&amp;"]")+1,200)),TRIM(A1264)),FIND("(",IF(LEFT(TRIM(A1264),1)="[",TRIM(MID(TRIM(A1264),FIND("]",TRIM(A1264)&amp;"]")+1,200)),TRIM(A1264))&amp;"(")-1)),IF(LEFT(TRIM(A1264),1)="[",TRIM(MID(TRIM(A1264),FIND("]",TRIM(A1264)&amp;"]")+1,200)),TRIM(A1264))))&gt;0,IF(RIGHT(IF(LEFT(TRIM(A1264),1)="[",TRIM(MID(TRIM(A1264),FIND("]",TRIM(A1264)&amp;"]")+1,200)),TRIM(A1264)),1)=")",TRIM(LEFT(IF(LEFT(TRIM(A1264),1)="[",TRIM(MID(TRIM(A1264),FIND("]",TRIM(A1264)&amp;"]")+1,200)),TRIM(A1264)),FIND("(",IF(LEFT(TRIM(A1264),1)="[",TRIM(MID(TRIM(A1264),FIND("]",TRIM(A1264)&amp;"]")+1,200)),TRIM(A1264))&amp;"(")-1)),IF(LEFT(TRIM(A1264),1)="[",TRIM(MID(TRIM(A1264),FIND("]",TRIM(A1264)&amp;"]")+1,200)),TRIM(A1264))),""))</f>
      </c>
      <c r="C1264" s="17">
        <f>IF(B1264&lt;&gt;"",B1264,C1263)</f>
      </c>
      <c r="D1264" s="17">
        <f>IF(A1264="","",IF(OR(LEFT(UPPER(TRIM(A1264)),2)="Y:",LEFT(UPPER(TRIM(A1264)),10)="YESTERDAY:"),"Y",IF(OR(LEFT(UPPER(TRIM(A1264)),2)="T:",LEFT(UPPER(TRIM(A1264)),6)="TODAY:"),"T",IF(OR(LEFT(UPPER(TRIM(A1264)),2)="B:",LEFT(UPPER(TRIM(A1264)),8)="BLOCKER:",LEFT(UPPER(TRIM(A1264)),9)="BLOCKERS:",LEFT(UPPER(TRIM(A1264)),8)="BLOCKED:"),"B",""))))</f>
      </c>
      <c r="E1264" s="17">
        <f>IF(D1264="","",TRIM(MID(A1264,FIND(":",A1264)+1,500)))</f>
      </c>
    </row>
    <row r="1265">
      <c r="B1265" s="17">
        <f>IF(A1265="","",IF(COUNTIF(Roster[Name],IF(RIGHT(IF(LEFT(TRIM(A1265),1)="[",TRIM(MID(TRIM(A1265),FIND("]",TRIM(A1265)&amp;"]")+1,200)),TRIM(A1265)),1)=")",TRIM(LEFT(IF(LEFT(TRIM(A1265),1)="[",TRIM(MID(TRIM(A1265),FIND("]",TRIM(A1265)&amp;"]")+1,200)),TRIM(A1265)),FIND("(",IF(LEFT(TRIM(A1265),1)="[",TRIM(MID(TRIM(A1265),FIND("]",TRIM(A1265)&amp;"]")+1,200)),TRIM(A1265))&amp;"(")-1)),IF(LEFT(TRIM(A1265),1)="[",TRIM(MID(TRIM(A1265),FIND("]",TRIM(A1265)&amp;"]")+1,200)),TRIM(A1265))))&gt;0,IF(RIGHT(IF(LEFT(TRIM(A1265),1)="[",TRIM(MID(TRIM(A1265),FIND("]",TRIM(A1265)&amp;"]")+1,200)),TRIM(A1265)),1)=")",TRIM(LEFT(IF(LEFT(TRIM(A1265),1)="[",TRIM(MID(TRIM(A1265),FIND("]",TRIM(A1265)&amp;"]")+1,200)),TRIM(A1265)),FIND("(",IF(LEFT(TRIM(A1265),1)="[",TRIM(MID(TRIM(A1265),FIND("]",TRIM(A1265)&amp;"]")+1,200)),TRIM(A1265))&amp;"(")-1)),IF(LEFT(TRIM(A1265),1)="[",TRIM(MID(TRIM(A1265),FIND("]",TRIM(A1265)&amp;"]")+1,200)),TRIM(A1265))),""))</f>
      </c>
      <c r="C1265" s="17">
        <f>IF(B1265&lt;&gt;"",B1265,C1264)</f>
      </c>
      <c r="D1265" s="17">
        <f>IF(A1265="","",IF(OR(LEFT(UPPER(TRIM(A1265)),2)="Y:",LEFT(UPPER(TRIM(A1265)),10)="YESTERDAY:"),"Y",IF(OR(LEFT(UPPER(TRIM(A1265)),2)="T:",LEFT(UPPER(TRIM(A1265)),6)="TODAY:"),"T",IF(OR(LEFT(UPPER(TRIM(A1265)),2)="B:",LEFT(UPPER(TRIM(A1265)),8)="BLOCKER:",LEFT(UPPER(TRIM(A1265)),9)="BLOCKERS:",LEFT(UPPER(TRIM(A1265)),8)="BLOCKED:"),"B",""))))</f>
      </c>
      <c r="E1265" s="17">
        <f>IF(D1265="","",TRIM(MID(A1265,FIND(":",A1265)+1,500)))</f>
      </c>
    </row>
    <row r="1266">
      <c r="B1266" s="17">
        <f>IF(A1266="","",IF(COUNTIF(Roster[Name],IF(RIGHT(IF(LEFT(TRIM(A1266),1)="[",TRIM(MID(TRIM(A1266),FIND("]",TRIM(A1266)&amp;"]")+1,200)),TRIM(A1266)),1)=")",TRIM(LEFT(IF(LEFT(TRIM(A1266),1)="[",TRIM(MID(TRIM(A1266),FIND("]",TRIM(A1266)&amp;"]")+1,200)),TRIM(A1266)),FIND("(",IF(LEFT(TRIM(A1266),1)="[",TRIM(MID(TRIM(A1266),FIND("]",TRIM(A1266)&amp;"]")+1,200)),TRIM(A1266))&amp;"(")-1)),IF(LEFT(TRIM(A1266),1)="[",TRIM(MID(TRIM(A1266),FIND("]",TRIM(A1266)&amp;"]")+1,200)),TRIM(A1266))))&gt;0,IF(RIGHT(IF(LEFT(TRIM(A1266),1)="[",TRIM(MID(TRIM(A1266),FIND("]",TRIM(A1266)&amp;"]")+1,200)),TRIM(A1266)),1)=")",TRIM(LEFT(IF(LEFT(TRIM(A1266),1)="[",TRIM(MID(TRIM(A1266),FIND("]",TRIM(A1266)&amp;"]")+1,200)),TRIM(A1266)),FIND("(",IF(LEFT(TRIM(A1266),1)="[",TRIM(MID(TRIM(A1266),FIND("]",TRIM(A1266)&amp;"]")+1,200)),TRIM(A1266))&amp;"(")-1)),IF(LEFT(TRIM(A1266),1)="[",TRIM(MID(TRIM(A1266),FIND("]",TRIM(A1266)&amp;"]")+1,200)),TRIM(A1266))),""))</f>
      </c>
      <c r="C1266" s="17">
        <f>IF(B1266&lt;&gt;"",B1266,C1265)</f>
      </c>
      <c r="D1266" s="17">
        <f>IF(A1266="","",IF(OR(LEFT(UPPER(TRIM(A1266)),2)="Y:",LEFT(UPPER(TRIM(A1266)),10)="YESTERDAY:"),"Y",IF(OR(LEFT(UPPER(TRIM(A1266)),2)="T:",LEFT(UPPER(TRIM(A1266)),6)="TODAY:"),"T",IF(OR(LEFT(UPPER(TRIM(A1266)),2)="B:",LEFT(UPPER(TRIM(A1266)),8)="BLOCKER:",LEFT(UPPER(TRIM(A1266)),9)="BLOCKERS:",LEFT(UPPER(TRIM(A1266)),8)="BLOCKED:"),"B",""))))</f>
      </c>
      <c r="E1266" s="17">
        <f>IF(D1266="","",TRIM(MID(A1266,FIND(":",A1266)+1,500)))</f>
      </c>
    </row>
    <row r="1267">
      <c r="B1267" s="17">
        <f>IF(A1267="","",IF(COUNTIF(Roster[Name],IF(RIGHT(IF(LEFT(TRIM(A1267),1)="[",TRIM(MID(TRIM(A1267),FIND("]",TRIM(A1267)&amp;"]")+1,200)),TRIM(A1267)),1)=")",TRIM(LEFT(IF(LEFT(TRIM(A1267),1)="[",TRIM(MID(TRIM(A1267),FIND("]",TRIM(A1267)&amp;"]")+1,200)),TRIM(A1267)),FIND("(",IF(LEFT(TRIM(A1267),1)="[",TRIM(MID(TRIM(A1267),FIND("]",TRIM(A1267)&amp;"]")+1,200)),TRIM(A1267))&amp;"(")-1)),IF(LEFT(TRIM(A1267),1)="[",TRIM(MID(TRIM(A1267),FIND("]",TRIM(A1267)&amp;"]")+1,200)),TRIM(A1267))))&gt;0,IF(RIGHT(IF(LEFT(TRIM(A1267),1)="[",TRIM(MID(TRIM(A1267),FIND("]",TRIM(A1267)&amp;"]")+1,200)),TRIM(A1267)),1)=")",TRIM(LEFT(IF(LEFT(TRIM(A1267),1)="[",TRIM(MID(TRIM(A1267),FIND("]",TRIM(A1267)&amp;"]")+1,200)),TRIM(A1267)),FIND("(",IF(LEFT(TRIM(A1267),1)="[",TRIM(MID(TRIM(A1267),FIND("]",TRIM(A1267)&amp;"]")+1,200)),TRIM(A1267))&amp;"(")-1)),IF(LEFT(TRIM(A1267),1)="[",TRIM(MID(TRIM(A1267),FIND("]",TRIM(A1267)&amp;"]")+1,200)),TRIM(A1267))),""))</f>
      </c>
      <c r="C1267" s="17">
        <f>IF(B1267&lt;&gt;"",B1267,C1266)</f>
      </c>
      <c r="D1267" s="17">
        <f>IF(A1267="","",IF(OR(LEFT(UPPER(TRIM(A1267)),2)="Y:",LEFT(UPPER(TRIM(A1267)),10)="YESTERDAY:"),"Y",IF(OR(LEFT(UPPER(TRIM(A1267)),2)="T:",LEFT(UPPER(TRIM(A1267)),6)="TODAY:"),"T",IF(OR(LEFT(UPPER(TRIM(A1267)),2)="B:",LEFT(UPPER(TRIM(A1267)),8)="BLOCKER:",LEFT(UPPER(TRIM(A1267)),9)="BLOCKERS:",LEFT(UPPER(TRIM(A1267)),8)="BLOCKED:"),"B",""))))</f>
      </c>
      <c r="E1267" s="17">
        <f>IF(D1267="","",TRIM(MID(A1267,FIND(":",A1267)+1,500)))</f>
      </c>
    </row>
    <row r="1268">
      <c r="B1268" s="17">
        <f>IF(A1268="","",IF(COUNTIF(Roster[Name],IF(RIGHT(IF(LEFT(TRIM(A1268),1)="[",TRIM(MID(TRIM(A1268),FIND("]",TRIM(A1268)&amp;"]")+1,200)),TRIM(A1268)),1)=")",TRIM(LEFT(IF(LEFT(TRIM(A1268),1)="[",TRIM(MID(TRIM(A1268),FIND("]",TRIM(A1268)&amp;"]")+1,200)),TRIM(A1268)),FIND("(",IF(LEFT(TRIM(A1268),1)="[",TRIM(MID(TRIM(A1268),FIND("]",TRIM(A1268)&amp;"]")+1,200)),TRIM(A1268))&amp;"(")-1)),IF(LEFT(TRIM(A1268),1)="[",TRIM(MID(TRIM(A1268),FIND("]",TRIM(A1268)&amp;"]")+1,200)),TRIM(A1268))))&gt;0,IF(RIGHT(IF(LEFT(TRIM(A1268),1)="[",TRIM(MID(TRIM(A1268),FIND("]",TRIM(A1268)&amp;"]")+1,200)),TRIM(A1268)),1)=")",TRIM(LEFT(IF(LEFT(TRIM(A1268),1)="[",TRIM(MID(TRIM(A1268),FIND("]",TRIM(A1268)&amp;"]")+1,200)),TRIM(A1268)),FIND("(",IF(LEFT(TRIM(A1268),1)="[",TRIM(MID(TRIM(A1268),FIND("]",TRIM(A1268)&amp;"]")+1,200)),TRIM(A1268))&amp;"(")-1)),IF(LEFT(TRIM(A1268),1)="[",TRIM(MID(TRIM(A1268),FIND("]",TRIM(A1268)&amp;"]")+1,200)),TRIM(A1268))),""))</f>
      </c>
      <c r="C1268" s="17">
        <f>IF(B1268&lt;&gt;"",B1268,C1267)</f>
      </c>
      <c r="D1268" s="17">
        <f>IF(A1268="","",IF(OR(LEFT(UPPER(TRIM(A1268)),2)="Y:",LEFT(UPPER(TRIM(A1268)),10)="YESTERDAY:"),"Y",IF(OR(LEFT(UPPER(TRIM(A1268)),2)="T:",LEFT(UPPER(TRIM(A1268)),6)="TODAY:"),"T",IF(OR(LEFT(UPPER(TRIM(A1268)),2)="B:",LEFT(UPPER(TRIM(A1268)),8)="BLOCKER:",LEFT(UPPER(TRIM(A1268)),9)="BLOCKERS:",LEFT(UPPER(TRIM(A1268)),8)="BLOCKED:"),"B",""))))</f>
      </c>
      <c r="E1268" s="17">
        <f>IF(D1268="","",TRIM(MID(A1268,FIND(":",A1268)+1,500)))</f>
      </c>
    </row>
    <row r="1269">
      <c r="B1269" s="17">
        <f>IF(A1269="","",IF(COUNTIF(Roster[Name],IF(RIGHT(IF(LEFT(TRIM(A1269),1)="[",TRIM(MID(TRIM(A1269),FIND("]",TRIM(A1269)&amp;"]")+1,200)),TRIM(A1269)),1)=")",TRIM(LEFT(IF(LEFT(TRIM(A1269),1)="[",TRIM(MID(TRIM(A1269),FIND("]",TRIM(A1269)&amp;"]")+1,200)),TRIM(A1269)),FIND("(",IF(LEFT(TRIM(A1269),1)="[",TRIM(MID(TRIM(A1269),FIND("]",TRIM(A1269)&amp;"]")+1,200)),TRIM(A1269))&amp;"(")-1)),IF(LEFT(TRIM(A1269),1)="[",TRIM(MID(TRIM(A1269),FIND("]",TRIM(A1269)&amp;"]")+1,200)),TRIM(A1269))))&gt;0,IF(RIGHT(IF(LEFT(TRIM(A1269),1)="[",TRIM(MID(TRIM(A1269),FIND("]",TRIM(A1269)&amp;"]")+1,200)),TRIM(A1269)),1)=")",TRIM(LEFT(IF(LEFT(TRIM(A1269),1)="[",TRIM(MID(TRIM(A1269),FIND("]",TRIM(A1269)&amp;"]")+1,200)),TRIM(A1269)),FIND("(",IF(LEFT(TRIM(A1269),1)="[",TRIM(MID(TRIM(A1269),FIND("]",TRIM(A1269)&amp;"]")+1,200)),TRIM(A1269))&amp;"(")-1)),IF(LEFT(TRIM(A1269),1)="[",TRIM(MID(TRIM(A1269),FIND("]",TRIM(A1269)&amp;"]")+1,200)),TRIM(A1269))),""))</f>
      </c>
      <c r="C1269" s="17">
        <f>IF(B1269&lt;&gt;"",B1269,C1268)</f>
      </c>
      <c r="D1269" s="17">
        <f>IF(A1269="","",IF(OR(LEFT(UPPER(TRIM(A1269)),2)="Y:",LEFT(UPPER(TRIM(A1269)),10)="YESTERDAY:"),"Y",IF(OR(LEFT(UPPER(TRIM(A1269)),2)="T:",LEFT(UPPER(TRIM(A1269)),6)="TODAY:"),"T",IF(OR(LEFT(UPPER(TRIM(A1269)),2)="B:",LEFT(UPPER(TRIM(A1269)),8)="BLOCKER:",LEFT(UPPER(TRIM(A1269)),9)="BLOCKERS:",LEFT(UPPER(TRIM(A1269)),8)="BLOCKED:"),"B",""))))</f>
      </c>
      <c r="E1269" s="17">
        <f>IF(D1269="","",TRIM(MID(A1269,FIND(":",A1269)+1,500)))</f>
      </c>
    </row>
    <row r="1270">
      <c r="B1270" s="17">
        <f>IF(A1270="","",IF(COUNTIF(Roster[Name],IF(RIGHT(IF(LEFT(TRIM(A1270),1)="[",TRIM(MID(TRIM(A1270),FIND("]",TRIM(A1270)&amp;"]")+1,200)),TRIM(A1270)),1)=")",TRIM(LEFT(IF(LEFT(TRIM(A1270),1)="[",TRIM(MID(TRIM(A1270),FIND("]",TRIM(A1270)&amp;"]")+1,200)),TRIM(A1270)),FIND("(",IF(LEFT(TRIM(A1270),1)="[",TRIM(MID(TRIM(A1270),FIND("]",TRIM(A1270)&amp;"]")+1,200)),TRIM(A1270))&amp;"(")-1)),IF(LEFT(TRIM(A1270),1)="[",TRIM(MID(TRIM(A1270),FIND("]",TRIM(A1270)&amp;"]")+1,200)),TRIM(A1270))))&gt;0,IF(RIGHT(IF(LEFT(TRIM(A1270),1)="[",TRIM(MID(TRIM(A1270),FIND("]",TRIM(A1270)&amp;"]")+1,200)),TRIM(A1270)),1)=")",TRIM(LEFT(IF(LEFT(TRIM(A1270),1)="[",TRIM(MID(TRIM(A1270),FIND("]",TRIM(A1270)&amp;"]")+1,200)),TRIM(A1270)),FIND("(",IF(LEFT(TRIM(A1270),1)="[",TRIM(MID(TRIM(A1270),FIND("]",TRIM(A1270)&amp;"]")+1,200)),TRIM(A1270))&amp;"(")-1)),IF(LEFT(TRIM(A1270),1)="[",TRIM(MID(TRIM(A1270),FIND("]",TRIM(A1270)&amp;"]")+1,200)),TRIM(A1270))),""))</f>
      </c>
      <c r="C1270" s="17">
        <f>IF(B1270&lt;&gt;"",B1270,C1269)</f>
      </c>
      <c r="D1270" s="17">
        <f>IF(A1270="","",IF(OR(LEFT(UPPER(TRIM(A1270)),2)="Y:",LEFT(UPPER(TRIM(A1270)),10)="YESTERDAY:"),"Y",IF(OR(LEFT(UPPER(TRIM(A1270)),2)="T:",LEFT(UPPER(TRIM(A1270)),6)="TODAY:"),"T",IF(OR(LEFT(UPPER(TRIM(A1270)),2)="B:",LEFT(UPPER(TRIM(A1270)),8)="BLOCKER:",LEFT(UPPER(TRIM(A1270)),9)="BLOCKERS:",LEFT(UPPER(TRIM(A1270)),8)="BLOCKED:"),"B",""))))</f>
      </c>
      <c r="E1270" s="17">
        <f>IF(D1270="","",TRIM(MID(A1270,FIND(":",A1270)+1,500)))</f>
      </c>
    </row>
    <row r="1271">
      <c r="B1271" s="17">
        <f>IF(A1271="","",IF(COUNTIF(Roster[Name],IF(RIGHT(IF(LEFT(TRIM(A1271),1)="[",TRIM(MID(TRIM(A1271),FIND("]",TRIM(A1271)&amp;"]")+1,200)),TRIM(A1271)),1)=")",TRIM(LEFT(IF(LEFT(TRIM(A1271),1)="[",TRIM(MID(TRIM(A1271),FIND("]",TRIM(A1271)&amp;"]")+1,200)),TRIM(A1271)),FIND("(",IF(LEFT(TRIM(A1271),1)="[",TRIM(MID(TRIM(A1271),FIND("]",TRIM(A1271)&amp;"]")+1,200)),TRIM(A1271))&amp;"(")-1)),IF(LEFT(TRIM(A1271),1)="[",TRIM(MID(TRIM(A1271),FIND("]",TRIM(A1271)&amp;"]")+1,200)),TRIM(A1271))))&gt;0,IF(RIGHT(IF(LEFT(TRIM(A1271),1)="[",TRIM(MID(TRIM(A1271),FIND("]",TRIM(A1271)&amp;"]")+1,200)),TRIM(A1271)),1)=")",TRIM(LEFT(IF(LEFT(TRIM(A1271),1)="[",TRIM(MID(TRIM(A1271),FIND("]",TRIM(A1271)&amp;"]")+1,200)),TRIM(A1271)),FIND("(",IF(LEFT(TRIM(A1271),1)="[",TRIM(MID(TRIM(A1271),FIND("]",TRIM(A1271)&amp;"]")+1,200)),TRIM(A1271))&amp;"(")-1)),IF(LEFT(TRIM(A1271),1)="[",TRIM(MID(TRIM(A1271),FIND("]",TRIM(A1271)&amp;"]")+1,200)),TRIM(A1271))),""))</f>
      </c>
      <c r="C1271" s="17">
        <f>IF(B1271&lt;&gt;"",B1271,C1270)</f>
      </c>
      <c r="D1271" s="17">
        <f>IF(A1271="","",IF(OR(LEFT(UPPER(TRIM(A1271)),2)="Y:",LEFT(UPPER(TRIM(A1271)),10)="YESTERDAY:"),"Y",IF(OR(LEFT(UPPER(TRIM(A1271)),2)="T:",LEFT(UPPER(TRIM(A1271)),6)="TODAY:"),"T",IF(OR(LEFT(UPPER(TRIM(A1271)),2)="B:",LEFT(UPPER(TRIM(A1271)),8)="BLOCKER:",LEFT(UPPER(TRIM(A1271)),9)="BLOCKERS:",LEFT(UPPER(TRIM(A1271)),8)="BLOCKED:"),"B",""))))</f>
      </c>
      <c r="E1271" s="17">
        <f>IF(D1271="","",TRIM(MID(A1271,FIND(":",A1271)+1,500)))</f>
      </c>
    </row>
    <row r="1272">
      <c r="B1272" s="17">
        <f>IF(A1272="","",IF(COUNTIF(Roster[Name],IF(RIGHT(IF(LEFT(TRIM(A1272),1)="[",TRIM(MID(TRIM(A1272),FIND("]",TRIM(A1272)&amp;"]")+1,200)),TRIM(A1272)),1)=")",TRIM(LEFT(IF(LEFT(TRIM(A1272),1)="[",TRIM(MID(TRIM(A1272),FIND("]",TRIM(A1272)&amp;"]")+1,200)),TRIM(A1272)),FIND("(",IF(LEFT(TRIM(A1272),1)="[",TRIM(MID(TRIM(A1272),FIND("]",TRIM(A1272)&amp;"]")+1,200)),TRIM(A1272))&amp;"(")-1)),IF(LEFT(TRIM(A1272),1)="[",TRIM(MID(TRIM(A1272),FIND("]",TRIM(A1272)&amp;"]")+1,200)),TRIM(A1272))))&gt;0,IF(RIGHT(IF(LEFT(TRIM(A1272),1)="[",TRIM(MID(TRIM(A1272),FIND("]",TRIM(A1272)&amp;"]")+1,200)),TRIM(A1272)),1)=")",TRIM(LEFT(IF(LEFT(TRIM(A1272),1)="[",TRIM(MID(TRIM(A1272),FIND("]",TRIM(A1272)&amp;"]")+1,200)),TRIM(A1272)),FIND("(",IF(LEFT(TRIM(A1272),1)="[",TRIM(MID(TRIM(A1272),FIND("]",TRIM(A1272)&amp;"]")+1,200)),TRIM(A1272))&amp;"(")-1)),IF(LEFT(TRIM(A1272),1)="[",TRIM(MID(TRIM(A1272),FIND("]",TRIM(A1272)&amp;"]")+1,200)),TRIM(A1272))),""))</f>
      </c>
      <c r="C1272" s="17">
        <f>IF(B1272&lt;&gt;"",B1272,C1271)</f>
      </c>
      <c r="D1272" s="17">
        <f>IF(A1272="","",IF(OR(LEFT(UPPER(TRIM(A1272)),2)="Y:",LEFT(UPPER(TRIM(A1272)),10)="YESTERDAY:"),"Y",IF(OR(LEFT(UPPER(TRIM(A1272)),2)="T:",LEFT(UPPER(TRIM(A1272)),6)="TODAY:"),"T",IF(OR(LEFT(UPPER(TRIM(A1272)),2)="B:",LEFT(UPPER(TRIM(A1272)),8)="BLOCKER:",LEFT(UPPER(TRIM(A1272)),9)="BLOCKERS:",LEFT(UPPER(TRIM(A1272)),8)="BLOCKED:"),"B",""))))</f>
      </c>
      <c r="E1272" s="17">
        <f>IF(D1272="","",TRIM(MID(A1272,FIND(":",A1272)+1,500)))</f>
      </c>
    </row>
    <row r="1273">
      <c r="B1273" s="17">
        <f>IF(A1273="","",IF(COUNTIF(Roster[Name],IF(RIGHT(IF(LEFT(TRIM(A1273),1)="[",TRIM(MID(TRIM(A1273),FIND("]",TRIM(A1273)&amp;"]")+1,200)),TRIM(A1273)),1)=")",TRIM(LEFT(IF(LEFT(TRIM(A1273),1)="[",TRIM(MID(TRIM(A1273),FIND("]",TRIM(A1273)&amp;"]")+1,200)),TRIM(A1273)),FIND("(",IF(LEFT(TRIM(A1273),1)="[",TRIM(MID(TRIM(A1273),FIND("]",TRIM(A1273)&amp;"]")+1,200)),TRIM(A1273))&amp;"(")-1)),IF(LEFT(TRIM(A1273),1)="[",TRIM(MID(TRIM(A1273),FIND("]",TRIM(A1273)&amp;"]")+1,200)),TRIM(A1273))))&gt;0,IF(RIGHT(IF(LEFT(TRIM(A1273),1)="[",TRIM(MID(TRIM(A1273),FIND("]",TRIM(A1273)&amp;"]")+1,200)),TRIM(A1273)),1)=")",TRIM(LEFT(IF(LEFT(TRIM(A1273),1)="[",TRIM(MID(TRIM(A1273),FIND("]",TRIM(A1273)&amp;"]")+1,200)),TRIM(A1273)),FIND("(",IF(LEFT(TRIM(A1273),1)="[",TRIM(MID(TRIM(A1273),FIND("]",TRIM(A1273)&amp;"]")+1,200)),TRIM(A1273))&amp;"(")-1)),IF(LEFT(TRIM(A1273),1)="[",TRIM(MID(TRIM(A1273),FIND("]",TRIM(A1273)&amp;"]")+1,200)),TRIM(A1273))),""))</f>
      </c>
      <c r="C1273" s="17">
        <f>IF(B1273&lt;&gt;"",B1273,C1272)</f>
      </c>
      <c r="D1273" s="17">
        <f>IF(A1273="","",IF(OR(LEFT(UPPER(TRIM(A1273)),2)="Y:",LEFT(UPPER(TRIM(A1273)),10)="YESTERDAY:"),"Y",IF(OR(LEFT(UPPER(TRIM(A1273)),2)="T:",LEFT(UPPER(TRIM(A1273)),6)="TODAY:"),"T",IF(OR(LEFT(UPPER(TRIM(A1273)),2)="B:",LEFT(UPPER(TRIM(A1273)),8)="BLOCKER:",LEFT(UPPER(TRIM(A1273)),9)="BLOCKERS:",LEFT(UPPER(TRIM(A1273)),8)="BLOCKED:"),"B",""))))</f>
      </c>
      <c r="E1273" s="17">
        <f>IF(D1273="","",TRIM(MID(A1273,FIND(":",A1273)+1,500)))</f>
      </c>
    </row>
    <row r="1274">
      <c r="B1274" s="17">
        <f>IF(A1274="","",IF(COUNTIF(Roster[Name],IF(RIGHT(IF(LEFT(TRIM(A1274),1)="[",TRIM(MID(TRIM(A1274),FIND("]",TRIM(A1274)&amp;"]")+1,200)),TRIM(A1274)),1)=")",TRIM(LEFT(IF(LEFT(TRIM(A1274),1)="[",TRIM(MID(TRIM(A1274),FIND("]",TRIM(A1274)&amp;"]")+1,200)),TRIM(A1274)),FIND("(",IF(LEFT(TRIM(A1274),1)="[",TRIM(MID(TRIM(A1274),FIND("]",TRIM(A1274)&amp;"]")+1,200)),TRIM(A1274))&amp;"(")-1)),IF(LEFT(TRIM(A1274),1)="[",TRIM(MID(TRIM(A1274),FIND("]",TRIM(A1274)&amp;"]")+1,200)),TRIM(A1274))))&gt;0,IF(RIGHT(IF(LEFT(TRIM(A1274),1)="[",TRIM(MID(TRIM(A1274),FIND("]",TRIM(A1274)&amp;"]")+1,200)),TRIM(A1274)),1)=")",TRIM(LEFT(IF(LEFT(TRIM(A1274),1)="[",TRIM(MID(TRIM(A1274),FIND("]",TRIM(A1274)&amp;"]")+1,200)),TRIM(A1274)),FIND("(",IF(LEFT(TRIM(A1274),1)="[",TRIM(MID(TRIM(A1274),FIND("]",TRIM(A1274)&amp;"]")+1,200)),TRIM(A1274))&amp;"(")-1)),IF(LEFT(TRIM(A1274),1)="[",TRIM(MID(TRIM(A1274),FIND("]",TRIM(A1274)&amp;"]")+1,200)),TRIM(A1274))),""))</f>
      </c>
      <c r="C1274" s="17">
        <f>IF(B1274&lt;&gt;"",B1274,C1273)</f>
      </c>
      <c r="D1274" s="17">
        <f>IF(A1274="","",IF(OR(LEFT(UPPER(TRIM(A1274)),2)="Y:",LEFT(UPPER(TRIM(A1274)),10)="YESTERDAY:"),"Y",IF(OR(LEFT(UPPER(TRIM(A1274)),2)="T:",LEFT(UPPER(TRIM(A1274)),6)="TODAY:"),"T",IF(OR(LEFT(UPPER(TRIM(A1274)),2)="B:",LEFT(UPPER(TRIM(A1274)),8)="BLOCKER:",LEFT(UPPER(TRIM(A1274)),9)="BLOCKERS:",LEFT(UPPER(TRIM(A1274)),8)="BLOCKED:"),"B",""))))</f>
      </c>
      <c r="E1274" s="17">
        <f>IF(D1274="","",TRIM(MID(A1274,FIND(":",A1274)+1,500)))</f>
      </c>
    </row>
    <row r="1275">
      <c r="B1275" s="17">
        <f>IF(A1275="","",IF(COUNTIF(Roster[Name],IF(RIGHT(IF(LEFT(TRIM(A1275),1)="[",TRIM(MID(TRIM(A1275),FIND("]",TRIM(A1275)&amp;"]")+1,200)),TRIM(A1275)),1)=")",TRIM(LEFT(IF(LEFT(TRIM(A1275),1)="[",TRIM(MID(TRIM(A1275),FIND("]",TRIM(A1275)&amp;"]")+1,200)),TRIM(A1275)),FIND("(",IF(LEFT(TRIM(A1275),1)="[",TRIM(MID(TRIM(A1275),FIND("]",TRIM(A1275)&amp;"]")+1,200)),TRIM(A1275))&amp;"(")-1)),IF(LEFT(TRIM(A1275),1)="[",TRIM(MID(TRIM(A1275),FIND("]",TRIM(A1275)&amp;"]")+1,200)),TRIM(A1275))))&gt;0,IF(RIGHT(IF(LEFT(TRIM(A1275),1)="[",TRIM(MID(TRIM(A1275),FIND("]",TRIM(A1275)&amp;"]")+1,200)),TRIM(A1275)),1)=")",TRIM(LEFT(IF(LEFT(TRIM(A1275),1)="[",TRIM(MID(TRIM(A1275),FIND("]",TRIM(A1275)&amp;"]")+1,200)),TRIM(A1275)),FIND("(",IF(LEFT(TRIM(A1275),1)="[",TRIM(MID(TRIM(A1275),FIND("]",TRIM(A1275)&amp;"]")+1,200)),TRIM(A1275))&amp;"(")-1)),IF(LEFT(TRIM(A1275),1)="[",TRIM(MID(TRIM(A1275),FIND("]",TRIM(A1275)&amp;"]")+1,200)),TRIM(A1275))),""))</f>
      </c>
      <c r="C1275" s="17">
        <f>IF(B1275&lt;&gt;"",B1275,C1274)</f>
      </c>
      <c r="D1275" s="17">
        <f>IF(A1275="","",IF(OR(LEFT(UPPER(TRIM(A1275)),2)="Y:",LEFT(UPPER(TRIM(A1275)),10)="YESTERDAY:"),"Y",IF(OR(LEFT(UPPER(TRIM(A1275)),2)="T:",LEFT(UPPER(TRIM(A1275)),6)="TODAY:"),"T",IF(OR(LEFT(UPPER(TRIM(A1275)),2)="B:",LEFT(UPPER(TRIM(A1275)),8)="BLOCKER:",LEFT(UPPER(TRIM(A1275)),9)="BLOCKERS:",LEFT(UPPER(TRIM(A1275)),8)="BLOCKED:"),"B",""))))</f>
      </c>
      <c r="E1275" s="17">
        <f>IF(D1275="","",TRIM(MID(A1275,FIND(":",A1275)+1,500)))</f>
      </c>
    </row>
    <row r="1276">
      <c r="B1276" s="17">
        <f>IF(A1276="","",IF(COUNTIF(Roster[Name],IF(RIGHT(IF(LEFT(TRIM(A1276),1)="[",TRIM(MID(TRIM(A1276),FIND("]",TRIM(A1276)&amp;"]")+1,200)),TRIM(A1276)),1)=")",TRIM(LEFT(IF(LEFT(TRIM(A1276),1)="[",TRIM(MID(TRIM(A1276),FIND("]",TRIM(A1276)&amp;"]")+1,200)),TRIM(A1276)),FIND("(",IF(LEFT(TRIM(A1276),1)="[",TRIM(MID(TRIM(A1276),FIND("]",TRIM(A1276)&amp;"]")+1,200)),TRIM(A1276))&amp;"(")-1)),IF(LEFT(TRIM(A1276),1)="[",TRIM(MID(TRIM(A1276),FIND("]",TRIM(A1276)&amp;"]")+1,200)),TRIM(A1276))))&gt;0,IF(RIGHT(IF(LEFT(TRIM(A1276),1)="[",TRIM(MID(TRIM(A1276),FIND("]",TRIM(A1276)&amp;"]")+1,200)),TRIM(A1276)),1)=")",TRIM(LEFT(IF(LEFT(TRIM(A1276),1)="[",TRIM(MID(TRIM(A1276),FIND("]",TRIM(A1276)&amp;"]")+1,200)),TRIM(A1276)),FIND("(",IF(LEFT(TRIM(A1276),1)="[",TRIM(MID(TRIM(A1276),FIND("]",TRIM(A1276)&amp;"]")+1,200)),TRIM(A1276))&amp;"(")-1)),IF(LEFT(TRIM(A1276),1)="[",TRIM(MID(TRIM(A1276),FIND("]",TRIM(A1276)&amp;"]")+1,200)),TRIM(A1276))),""))</f>
      </c>
      <c r="C1276" s="17">
        <f>IF(B1276&lt;&gt;"",B1276,C1275)</f>
      </c>
      <c r="D1276" s="17">
        <f>IF(A1276="","",IF(OR(LEFT(UPPER(TRIM(A1276)),2)="Y:",LEFT(UPPER(TRIM(A1276)),10)="YESTERDAY:"),"Y",IF(OR(LEFT(UPPER(TRIM(A1276)),2)="T:",LEFT(UPPER(TRIM(A1276)),6)="TODAY:"),"T",IF(OR(LEFT(UPPER(TRIM(A1276)),2)="B:",LEFT(UPPER(TRIM(A1276)),8)="BLOCKER:",LEFT(UPPER(TRIM(A1276)),9)="BLOCKERS:",LEFT(UPPER(TRIM(A1276)),8)="BLOCKED:"),"B",""))))</f>
      </c>
      <c r="E1276" s="17">
        <f>IF(D1276="","",TRIM(MID(A1276,FIND(":",A1276)+1,500)))</f>
      </c>
    </row>
    <row r="1277">
      <c r="B1277" s="17">
        <f>IF(A1277="","",IF(COUNTIF(Roster[Name],IF(RIGHT(IF(LEFT(TRIM(A1277),1)="[",TRIM(MID(TRIM(A1277),FIND("]",TRIM(A1277)&amp;"]")+1,200)),TRIM(A1277)),1)=")",TRIM(LEFT(IF(LEFT(TRIM(A1277),1)="[",TRIM(MID(TRIM(A1277),FIND("]",TRIM(A1277)&amp;"]")+1,200)),TRIM(A1277)),FIND("(",IF(LEFT(TRIM(A1277),1)="[",TRIM(MID(TRIM(A1277),FIND("]",TRIM(A1277)&amp;"]")+1,200)),TRIM(A1277))&amp;"(")-1)),IF(LEFT(TRIM(A1277),1)="[",TRIM(MID(TRIM(A1277),FIND("]",TRIM(A1277)&amp;"]")+1,200)),TRIM(A1277))))&gt;0,IF(RIGHT(IF(LEFT(TRIM(A1277),1)="[",TRIM(MID(TRIM(A1277),FIND("]",TRIM(A1277)&amp;"]")+1,200)),TRIM(A1277)),1)=")",TRIM(LEFT(IF(LEFT(TRIM(A1277),1)="[",TRIM(MID(TRIM(A1277),FIND("]",TRIM(A1277)&amp;"]")+1,200)),TRIM(A1277)),FIND("(",IF(LEFT(TRIM(A1277),1)="[",TRIM(MID(TRIM(A1277),FIND("]",TRIM(A1277)&amp;"]")+1,200)),TRIM(A1277))&amp;"(")-1)),IF(LEFT(TRIM(A1277),1)="[",TRIM(MID(TRIM(A1277),FIND("]",TRIM(A1277)&amp;"]")+1,200)),TRIM(A1277))),""))</f>
      </c>
      <c r="C1277" s="17">
        <f>IF(B1277&lt;&gt;"",B1277,C1276)</f>
      </c>
      <c r="D1277" s="17">
        <f>IF(A1277="","",IF(OR(LEFT(UPPER(TRIM(A1277)),2)="Y:",LEFT(UPPER(TRIM(A1277)),10)="YESTERDAY:"),"Y",IF(OR(LEFT(UPPER(TRIM(A1277)),2)="T:",LEFT(UPPER(TRIM(A1277)),6)="TODAY:"),"T",IF(OR(LEFT(UPPER(TRIM(A1277)),2)="B:",LEFT(UPPER(TRIM(A1277)),8)="BLOCKER:",LEFT(UPPER(TRIM(A1277)),9)="BLOCKERS:",LEFT(UPPER(TRIM(A1277)),8)="BLOCKED:"),"B",""))))</f>
      </c>
      <c r="E1277" s="17">
        <f>IF(D1277="","",TRIM(MID(A1277,FIND(":",A1277)+1,500)))</f>
      </c>
    </row>
    <row r="1278">
      <c r="B1278" s="17">
        <f>IF(A1278="","",IF(COUNTIF(Roster[Name],IF(RIGHT(IF(LEFT(TRIM(A1278),1)="[",TRIM(MID(TRIM(A1278),FIND("]",TRIM(A1278)&amp;"]")+1,200)),TRIM(A1278)),1)=")",TRIM(LEFT(IF(LEFT(TRIM(A1278),1)="[",TRIM(MID(TRIM(A1278),FIND("]",TRIM(A1278)&amp;"]")+1,200)),TRIM(A1278)),FIND("(",IF(LEFT(TRIM(A1278),1)="[",TRIM(MID(TRIM(A1278),FIND("]",TRIM(A1278)&amp;"]")+1,200)),TRIM(A1278))&amp;"(")-1)),IF(LEFT(TRIM(A1278),1)="[",TRIM(MID(TRIM(A1278),FIND("]",TRIM(A1278)&amp;"]")+1,200)),TRIM(A1278))))&gt;0,IF(RIGHT(IF(LEFT(TRIM(A1278),1)="[",TRIM(MID(TRIM(A1278),FIND("]",TRIM(A1278)&amp;"]")+1,200)),TRIM(A1278)),1)=")",TRIM(LEFT(IF(LEFT(TRIM(A1278),1)="[",TRIM(MID(TRIM(A1278),FIND("]",TRIM(A1278)&amp;"]")+1,200)),TRIM(A1278)),FIND("(",IF(LEFT(TRIM(A1278),1)="[",TRIM(MID(TRIM(A1278),FIND("]",TRIM(A1278)&amp;"]")+1,200)),TRIM(A1278))&amp;"(")-1)),IF(LEFT(TRIM(A1278),1)="[",TRIM(MID(TRIM(A1278),FIND("]",TRIM(A1278)&amp;"]")+1,200)),TRIM(A1278))),""))</f>
      </c>
      <c r="C1278" s="17">
        <f>IF(B1278&lt;&gt;"",B1278,C1277)</f>
      </c>
      <c r="D1278" s="17">
        <f>IF(A1278="","",IF(OR(LEFT(UPPER(TRIM(A1278)),2)="Y:",LEFT(UPPER(TRIM(A1278)),10)="YESTERDAY:"),"Y",IF(OR(LEFT(UPPER(TRIM(A1278)),2)="T:",LEFT(UPPER(TRIM(A1278)),6)="TODAY:"),"T",IF(OR(LEFT(UPPER(TRIM(A1278)),2)="B:",LEFT(UPPER(TRIM(A1278)),8)="BLOCKER:",LEFT(UPPER(TRIM(A1278)),9)="BLOCKERS:",LEFT(UPPER(TRIM(A1278)),8)="BLOCKED:"),"B",""))))</f>
      </c>
      <c r="E1278" s="17">
        <f>IF(D1278="","",TRIM(MID(A1278,FIND(":",A1278)+1,500)))</f>
      </c>
    </row>
    <row r="1279">
      <c r="B1279" s="17">
        <f>IF(A1279="","",IF(COUNTIF(Roster[Name],IF(RIGHT(IF(LEFT(TRIM(A1279),1)="[",TRIM(MID(TRIM(A1279),FIND("]",TRIM(A1279)&amp;"]")+1,200)),TRIM(A1279)),1)=")",TRIM(LEFT(IF(LEFT(TRIM(A1279),1)="[",TRIM(MID(TRIM(A1279),FIND("]",TRIM(A1279)&amp;"]")+1,200)),TRIM(A1279)),FIND("(",IF(LEFT(TRIM(A1279),1)="[",TRIM(MID(TRIM(A1279),FIND("]",TRIM(A1279)&amp;"]")+1,200)),TRIM(A1279))&amp;"(")-1)),IF(LEFT(TRIM(A1279),1)="[",TRIM(MID(TRIM(A1279),FIND("]",TRIM(A1279)&amp;"]")+1,200)),TRIM(A1279))))&gt;0,IF(RIGHT(IF(LEFT(TRIM(A1279),1)="[",TRIM(MID(TRIM(A1279),FIND("]",TRIM(A1279)&amp;"]")+1,200)),TRIM(A1279)),1)=")",TRIM(LEFT(IF(LEFT(TRIM(A1279),1)="[",TRIM(MID(TRIM(A1279),FIND("]",TRIM(A1279)&amp;"]")+1,200)),TRIM(A1279)),FIND("(",IF(LEFT(TRIM(A1279),1)="[",TRIM(MID(TRIM(A1279),FIND("]",TRIM(A1279)&amp;"]")+1,200)),TRIM(A1279))&amp;"(")-1)),IF(LEFT(TRIM(A1279),1)="[",TRIM(MID(TRIM(A1279),FIND("]",TRIM(A1279)&amp;"]")+1,200)),TRIM(A1279))),""))</f>
      </c>
      <c r="C1279" s="17">
        <f>IF(B1279&lt;&gt;"",B1279,C1278)</f>
      </c>
      <c r="D1279" s="17">
        <f>IF(A1279="","",IF(OR(LEFT(UPPER(TRIM(A1279)),2)="Y:",LEFT(UPPER(TRIM(A1279)),10)="YESTERDAY:"),"Y",IF(OR(LEFT(UPPER(TRIM(A1279)),2)="T:",LEFT(UPPER(TRIM(A1279)),6)="TODAY:"),"T",IF(OR(LEFT(UPPER(TRIM(A1279)),2)="B:",LEFT(UPPER(TRIM(A1279)),8)="BLOCKER:",LEFT(UPPER(TRIM(A1279)),9)="BLOCKERS:",LEFT(UPPER(TRIM(A1279)),8)="BLOCKED:"),"B",""))))</f>
      </c>
      <c r="E1279" s="17">
        <f>IF(D1279="","",TRIM(MID(A1279,FIND(":",A1279)+1,500)))</f>
      </c>
    </row>
    <row r="1280">
      <c r="B1280" s="17">
        <f>IF(A1280="","",IF(COUNTIF(Roster[Name],IF(RIGHT(IF(LEFT(TRIM(A1280),1)="[",TRIM(MID(TRIM(A1280),FIND("]",TRIM(A1280)&amp;"]")+1,200)),TRIM(A1280)),1)=")",TRIM(LEFT(IF(LEFT(TRIM(A1280),1)="[",TRIM(MID(TRIM(A1280),FIND("]",TRIM(A1280)&amp;"]")+1,200)),TRIM(A1280)),FIND("(",IF(LEFT(TRIM(A1280),1)="[",TRIM(MID(TRIM(A1280),FIND("]",TRIM(A1280)&amp;"]")+1,200)),TRIM(A1280))&amp;"(")-1)),IF(LEFT(TRIM(A1280),1)="[",TRIM(MID(TRIM(A1280),FIND("]",TRIM(A1280)&amp;"]")+1,200)),TRIM(A1280))))&gt;0,IF(RIGHT(IF(LEFT(TRIM(A1280),1)="[",TRIM(MID(TRIM(A1280),FIND("]",TRIM(A1280)&amp;"]")+1,200)),TRIM(A1280)),1)=")",TRIM(LEFT(IF(LEFT(TRIM(A1280),1)="[",TRIM(MID(TRIM(A1280),FIND("]",TRIM(A1280)&amp;"]")+1,200)),TRIM(A1280)),FIND("(",IF(LEFT(TRIM(A1280),1)="[",TRIM(MID(TRIM(A1280),FIND("]",TRIM(A1280)&amp;"]")+1,200)),TRIM(A1280))&amp;"(")-1)),IF(LEFT(TRIM(A1280),1)="[",TRIM(MID(TRIM(A1280),FIND("]",TRIM(A1280)&amp;"]")+1,200)),TRIM(A1280))),""))</f>
      </c>
      <c r="C1280" s="17">
        <f>IF(B1280&lt;&gt;"",B1280,C1279)</f>
      </c>
      <c r="D1280" s="17">
        <f>IF(A1280="","",IF(OR(LEFT(UPPER(TRIM(A1280)),2)="Y:",LEFT(UPPER(TRIM(A1280)),10)="YESTERDAY:"),"Y",IF(OR(LEFT(UPPER(TRIM(A1280)),2)="T:",LEFT(UPPER(TRIM(A1280)),6)="TODAY:"),"T",IF(OR(LEFT(UPPER(TRIM(A1280)),2)="B:",LEFT(UPPER(TRIM(A1280)),8)="BLOCKER:",LEFT(UPPER(TRIM(A1280)),9)="BLOCKERS:",LEFT(UPPER(TRIM(A1280)),8)="BLOCKED:"),"B",""))))</f>
      </c>
      <c r="E1280" s="17">
        <f>IF(D1280="","",TRIM(MID(A1280,FIND(":",A1280)+1,500)))</f>
      </c>
    </row>
    <row r="1281">
      <c r="B1281" s="17">
        <f>IF(A1281="","",IF(COUNTIF(Roster[Name],IF(RIGHT(IF(LEFT(TRIM(A1281),1)="[",TRIM(MID(TRIM(A1281),FIND("]",TRIM(A1281)&amp;"]")+1,200)),TRIM(A1281)),1)=")",TRIM(LEFT(IF(LEFT(TRIM(A1281),1)="[",TRIM(MID(TRIM(A1281),FIND("]",TRIM(A1281)&amp;"]")+1,200)),TRIM(A1281)),FIND("(",IF(LEFT(TRIM(A1281),1)="[",TRIM(MID(TRIM(A1281),FIND("]",TRIM(A1281)&amp;"]")+1,200)),TRIM(A1281))&amp;"(")-1)),IF(LEFT(TRIM(A1281),1)="[",TRIM(MID(TRIM(A1281),FIND("]",TRIM(A1281)&amp;"]")+1,200)),TRIM(A1281))))&gt;0,IF(RIGHT(IF(LEFT(TRIM(A1281),1)="[",TRIM(MID(TRIM(A1281),FIND("]",TRIM(A1281)&amp;"]")+1,200)),TRIM(A1281)),1)=")",TRIM(LEFT(IF(LEFT(TRIM(A1281),1)="[",TRIM(MID(TRIM(A1281),FIND("]",TRIM(A1281)&amp;"]")+1,200)),TRIM(A1281)),FIND("(",IF(LEFT(TRIM(A1281),1)="[",TRIM(MID(TRIM(A1281),FIND("]",TRIM(A1281)&amp;"]")+1,200)),TRIM(A1281))&amp;"(")-1)),IF(LEFT(TRIM(A1281),1)="[",TRIM(MID(TRIM(A1281),FIND("]",TRIM(A1281)&amp;"]")+1,200)),TRIM(A1281))),""))</f>
      </c>
      <c r="C1281" s="17">
        <f>IF(B1281&lt;&gt;"",B1281,C1280)</f>
      </c>
      <c r="D1281" s="17">
        <f>IF(A1281="","",IF(OR(LEFT(UPPER(TRIM(A1281)),2)="Y:",LEFT(UPPER(TRIM(A1281)),10)="YESTERDAY:"),"Y",IF(OR(LEFT(UPPER(TRIM(A1281)),2)="T:",LEFT(UPPER(TRIM(A1281)),6)="TODAY:"),"T",IF(OR(LEFT(UPPER(TRIM(A1281)),2)="B:",LEFT(UPPER(TRIM(A1281)),8)="BLOCKER:",LEFT(UPPER(TRIM(A1281)),9)="BLOCKERS:",LEFT(UPPER(TRIM(A1281)),8)="BLOCKED:"),"B",""))))</f>
      </c>
      <c r="E1281" s="17">
        <f>IF(D1281="","",TRIM(MID(A1281,FIND(":",A1281)+1,500)))</f>
      </c>
    </row>
    <row r="1282">
      <c r="B1282" s="17">
        <f>IF(A1282="","",IF(COUNTIF(Roster[Name],IF(RIGHT(IF(LEFT(TRIM(A1282),1)="[",TRIM(MID(TRIM(A1282),FIND("]",TRIM(A1282)&amp;"]")+1,200)),TRIM(A1282)),1)=")",TRIM(LEFT(IF(LEFT(TRIM(A1282),1)="[",TRIM(MID(TRIM(A1282),FIND("]",TRIM(A1282)&amp;"]")+1,200)),TRIM(A1282)),FIND("(",IF(LEFT(TRIM(A1282),1)="[",TRIM(MID(TRIM(A1282),FIND("]",TRIM(A1282)&amp;"]")+1,200)),TRIM(A1282))&amp;"(")-1)),IF(LEFT(TRIM(A1282),1)="[",TRIM(MID(TRIM(A1282),FIND("]",TRIM(A1282)&amp;"]")+1,200)),TRIM(A1282))))&gt;0,IF(RIGHT(IF(LEFT(TRIM(A1282),1)="[",TRIM(MID(TRIM(A1282),FIND("]",TRIM(A1282)&amp;"]")+1,200)),TRIM(A1282)),1)=")",TRIM(LEFT(IF(LEFT(TRIM(A1282),1)="[",TRIM(MID(TRIM(A1282),FIND("]",TRIM(A1282)&amp;"]")+1,200)),TRIM(A1282)),FIND("(",IF(LEFT(TRIM(A1282),1)="[",TRIM(MID(TRIM(A1282),FIND("]",TRIM(A1282)&amp;"]")+1,200)),TRIM(A1282))&amp;"(")-1)),IF(LEFT(TRIM(A1282),1)="[",TRIM(MID(TRIM(A1282),FIND("]",TRIM(A1282)&amp;"]")+1,200)),TRIM(A1282))),""))</f>
      </c>
      <c r="C1282" s="17">
        <f>IF(B1282&lt;&gt;"",B1282,C1281)</f>
      </c>
      <c r="D1282" s="17">
        <f>IF(A1282="","",IF(OR(LEFT(UPPER(TRIM(A1282)),2)="Y:",LEFT(UPPER(TRIM(A1282)),10)="YESTERDAY:"),"Y",IF(OR(LEFT(UPPER(TRIM(A1282)),2)="T:",LEFT(UPPER(TRIM(A1282)),6)="TODAY:"),"T",IF(OR(LEFT(UPPER(TRIM(A1282)),2)="B:",LEFT(UPPER(TRIM(A1282)),8)="BLOCKER:",LEFT(UPPER(TRIM(A1282)),9)="BLOCKERS:",LEFT(UPPER(TRIM(A1282)),8)="BLOCKED:"),"B",""))))</f>
      </c>
      <c r="E1282" s="17">
        <f>IF(D1282="","",TRIM(MID(A1282,FIND(":",A1282)+1,500)))</f>
      </c>
    </row>
    <row r="1283">
      <c r="B1283" s="17">
        <f>IF(A1283="","",IF(COUNTIF(Roster[Name],IF(RIGHT(IF(LEFT(TRIM(A1283),1)="[",TRIM(MID(TRIM(A1283),FIND("]",TRIM(A1283)&amp;"]")+1,200)),TRIM(A1283)),1)=")",TRIM(LEFT(IF(LEFT(TRIM(A1283),1)="[",TRIM(MID(TRIM(A1283),FIND("]",TRIM(A1283)&amp;"]")+1,200)),TRIM(A1283)),FIND("(",IF(LEFT(TRIM(A1283),1)="[",TRIM(MID(TRIM(A1283),FIND("]",TRIM(A1283)&amp;"]")+1,200)),TRIM(A1283))&amp;"(")-1)),IF(LEFT(TRIM(A1283),1)="[",TRIM(MID(TRIM(A1283),FIND("]",TRIM(A1283)&amp;"]")+1,200)),TRIM(A1283))))&gt;0,IF(RIGHT(IF(LEFT(TRIM(A1283),1)="[",TRIM(MID(TRIM(A1283),FIND("]",TRIM(A1283)&amp;"]")+1,200)),TRIM(A1283)),1)=")",TRIM(LEFT(IF(LEFT(TRIM(A1283),1)="[",TRIM(MID(TRIM(A1283),FIND("]",TRIM(A1283)&amp;"]")+1,200)),TRIM(A1283)),FIND("(",IF(LEFT(TRIM(A1283),1)="[",TRIM(MID(TRIM(A1283),FIND("]",TRIM(A1283)&amp;"]")+1,200)),TRIM(A1283))&amp;"(")-1)),IF(LEFT(TRIM(A1283),1)="[",TRIM(MID(TRIM(A1283),FIND("]",TRIM(A1283)&amp;"]")+1,200)),TRIM(A1283))),""))</f>
      </c>
      <c r="C1283" s="17">
        <f>IF(B1283&lt;&gt;"",B1283,C1282)</f>
      </c>
      <c r="D1283" s="17">
        <f>IF(A1283="","",IF(OR(LEFT(UPPER(TRIM(A1283)),2)="Y:",LEFT(UPPER(TRIM(A1283)),10)="YESTERDAY:"),"Y",IF(OR(LEFT(UPPER(TRIM(A1283)),2)="T:",LEFT(UPPER(TRIM(A1283)),6)="TODAY:"),"T",IF(OR(LEFT(UPPER(TRIM(A1283)),2)="B:",LEFT(UPPER(TRIM(A1283)),8)="BLOCKER:",LEFT(UPPER(TRIM(A1283)),9)="BLOCKERS:",LEFT(UPPER(TRIM(A1283)),8)="BLOCKED:"),"B",""))))</f>
      </c>
      <c r="E1283" s="17">
        <f>IF(D1283="","",TRIM(MID(A1283,FIND(":",A1283)+1,500)))</f>
      </c>
    </row>
    <row r="1284">
      <c r="B1284" s="17">
        <f>IF(A1284="","",IF(COUNTIF(Roster[Name],IF(RIGHT(IF(LEFT(TRIM(A1284),1)="[",TRIM(MID(TRIM(A1284),FIND("]",TRIM(A1284)&amp;"]")+1,200)),TRIM(A1284)),1)=")",TRIM(LEFT(IF(LEFT(TRIM(A1284),1)="[",TRIM(MID(TRIM(A1284),FIND("]",TRIM(A1284)&amp;"]")+1,200)),TRIM(A1284)),FIND("(",IF(LEFT(TRIM(A1284),1)="[",TRIM(MID(TRIM(A1284),FIND("]",TRIM(A1284)&amp;"]")+1,200)),TRIM(A1284))&amp;"(")-1)),IF(LEFT(TRIM(A1284),1)="[",TRIM(MID(TRIM(A1284),FIND("]",TRIM(A1284)&amp;"]")+1,200)),TRIM(A1284))))&gt;0,IF(RIGHT(IF(LEFT(TRIM(A1284),1)="[",TRIM(MID(TRIM(A1284),FIND("]",TRIM(A1284)&amp;"]")+1,200)),TRIM(A1284)),1)=")",TRIM(LEFT(IF(LEFT(TRIM(A1284),1)="[",TRIM(MID(TRIM(A1284),FIND("]",TRIM(A1284)&amp;"]")+1,200)),TRIM(A1284)),FIND("(",IF(LEFT(TRIM(A1284),1)="[",TRIM(MID(TRIM(A1284),FIND("]",TRIM(A1284)&amp;"]")+1,200)),TRIM(A1284))&amp;"(")-1)),IF(LEFT(TRIM(A1284),1)="[",TRIM(MID(TRIM(A1284),FIND("]",TRIM(A1284)&amp;"]")+1,200)),TRIM(A1284))),""))</f>
      </c>
      <c r="C1284" s="17">
        <f>IF(B1284&lt;&gt;"",B1284,C1283)</f>
      </c>
      <c r="D1284" s="17">
        <f>IF(A1284="","",IF(OR(LEFT(UPPER(TRIM(A1284)),2)="Y:",LEFT(UPPER(TRIM(A1284)),10)="YESTERDAY:"),"Y",IF(OR(LEFT(UPPER(TRIM(A1284)),2)="T:",LEFT(UPPER(TRIM(A1284)),6)="TODAY:"),"T",IF(OR(LEFT(UPPER(TRIM(A1284)),2)="B:",LEFT(UPPER(TRIM(A1284)),8)="BLOCKER:",LEFT(UPPER(TRIM(A1284)),9)="BLOCKERS:",LEFT(UPPER(TRIM(A1284)),8)="BLOCKED:"),"B",""))))</f>
      </c>
      <c r="E1284" s="17">
        <f>IF(D1284="","",TRIM(MID(A1284,FIND(":",A1284)+1,500)))</f>
      </c>
    </row>
    <row r="1285">
      <c r="B1285" s="17">
        <f>IF(A1285="","",IF(COUNTIF(Roster[Name],IF(RIGHT(IF(LEFT(TRIM(A1285),1)="[",TRIM(MID(TRIM(A1285),FIND("]",TRIM(A1285)&amp;"]")+1,200)),TRIM(A1285)),1)=")",TRIM(LEFT(IF(LEFT(TRIM(A1285),1)="[",TRIM(MID(TRIM(A1285),FIND("]",TRIM(A1285)&amp;"]")+1,200)),TRIM(A1285)),FIND("(",IF(LEFT(TRIM(A1285),1)="[",TRIM(MID(TRIM(A1285),FIND("]",TRIM(A1285)&amp;"]")+1,200)),TRIM(A1285))&amp;"(")-1)),IF(LEFT(TRIM(A1285),1)="[",TRIM(MID(TRIM(A1285),FIND("]",TRIM(A1285)&amp;"]")+1,200)),TRIM(A1285))))&gt;0,IF(RIGHT(IF(LEFT(TRIM(A1285),1)="[",TRIM(MID(TRIM(A1285),FIND("]",TRIM(A1285)&amp;"]")+1,200)),TRIM(A1285)),1)=")",TRIM(LEFT(IF(LEFT(TRIM(A1285),1)="[",TRIM(MID(TRIM(A1285),FIND("]",TRIM(A1285)&amp;"]")+1,200)),TRIM(A1285)),FIND("(",IF(LEFT(TRIM(A1285),1)="[",TRIM(MID(TRIM(A1285),FIND("]",TRIM(A1285)&amp;"]")+1,200)),TRIM(A1285))&amp;"(")-1)),IF(LEFT(TRIM(A1285),1)="[",TRIM(MID(TRIM(A1285),FIND("]",TRIM(A1285)&amp;"]")+1,200)),TRIM(A1285))),""))</f>
      </c>
      <c r="C1285" s="17">
        <f>IF(B1285&lt;&gt;"",B1285,C1284)</f>
      </c>
      <c r="D1285" s="17">
        <f>IF(A1285="","",IF(OR(LEFT(UPPER(TRIM(A1285)),2)="Y:",LEFT(UPPER(TRIM(A1285)),10)="YESTERDAY:"),"Y",IF(OR(LEFT(UPPER(TRIM(A1285)),2)="T:",LEFT(UPPER(TRIM(A1285)),6)="TODAY:"),"T",IF(OR(LEFT(UPPER(TRIM(A1285)),2)="B:",LEFT(UPPER(TRIM(A1285)),8)="BLOCKER:",LEFT(UPPER(TRIM(A1285)),9)="BLOCKERS:",LEFT(UPPER(TRIM(A1285)),8)="BLOCKED:"),"B",""))))</f>
      </c>
      <c r="E1285" s="17">
        <f>IF(D1285="","",TRIM(MID(A1285,FIND(":",A1285)+1,500)))</f>
      </c>
    </row>
    <row r="1286">
      <c r="B1286" s="17">
        <f>IF(A1286="","",IF(COUNTIF(Roster[Name],IF(RIGHT(IF(LEFT(TRIM(A1286),1)="[",TRIM(MID(TRIM(A1286),FIND("]",TRIM(A1286)&amp;"]")+1,200)),TRIM(A1286)),1)=")",TRIM(LEFT(IF(LEFT(TRIM(A1286),1)="[",TRIM(MID(TRIM(A1286),FIND("]",TRIM(A1286)&amp;"]")+1,200)),TRIM(A1286)),FIND("(",IF(LEFT(TRIM(A1286),1)="[",TRIM(MID(TRIM(A1286),FIND("]",TRIM(A1286)&amp;"]")+1,200)),TRIM(A1286))&amp;"(")-1)),IF(LEFT(TRIM(A1286),1)="[",TRIM(MID(TRIM(A1286),FIND("]",TRIM(A1286)&amp;"]")+1,200)),TRIM(A1286))))&gt;0,IF(RIGHT(IF(LEFT(TRIM(A1286),1)="[",TRIM(MID(TRIM(A1286),FIND("]",TRIM(A1286)&amp;"]")+1,200)),TRIM(A1286)),1)=")",TRIM(LEFT(IF(LEFT(TRIM(A1286),1)="[",TRIM(MID(TRIM(A1286),FIND("]",TRIM(A1286)&amp;"]")+1,200)),TRIM(A1286)),FIND("(",IF(LEFT(TRIM(A1286),1)="[",TRIM(MID(TRIM(A1286),FIND("]",TRIM(A1286)&amp;"]")+1,200)),TRIM(A1286))&amp;"(")-1)),IF(LEFT(TRIM(A1286),1)="[",TRIM(MID(TRIM(A1286),FIND("]",TRIM(A1286)&amp;"]")+1,200)),TRIM(A1286))),""))</f>
      </c>
      <c r="C1286" s="17">
        <f>IF(B1286&lt;&gt;"",B1286,C1285)</f>
      </c>
      <c r="D1286" s="17">
        <f>IF(A1286="","",IF(OR(LEFT(UPPER(TRIM(A1286)),2)="Y:",LEFT(UPPER(TRIM(A1286)),10)="YESTERDAY:"),"Y",IF(OR(LEFT(UPPER(TRIM(A1286)),2)="T:",LEFT(UPPER(TRIM(A1286)),6)="TODAY:"),"T",IF(OR(LEFT(UPPER(TRIM(A1286)),2)="B:",LEFT(UPPER(TRIM(A1286)),8)="BLOCKER:",LEFT(UPPER(TRIM(A1286)),9)="BLOCKERS:",LEFT(UPPER(TRIM(A1286)),8)="BLOCKED:"),"B",""))))</f>
      </c>
      <c r="E1286" s="17">
        <f>IF(D1286="","",TRIM(MID(A1286,FIND(":",A1286)+1,500)))</f>
      </c>
    </row>
    <row r="1287">
      <c r="B1287" s="17">
        <f>IF(A1287="","",IF(COUNTIF(Roster[Name],IF(RIGHT(IF(LEFT(TRIM(A1287),1)="[",TRIM(MID(TRIM(A1287),FIND("]",TRIM(A1287)&amp;"]")+1,200)),TRIM(A1287)),1)=")",TRIM(LEFT(IF(LEFT(TRIM(A1287),1)="[",TRIM(MID(TRIM(A1287),FIND("]",TRIM(A1287)&amp;"]")+1,200)),TRIM(A1287)),FIND("(",IF(LEFT(TRIM(A1287),1)="[",TRIM(MID(TRIM(A1287),FIND("]",TRIM(A1287)&amp;"]")+1,200)),TRIM(A1287))&amp;"(")-1)),IF(LEFT(TRIM(A1287),1)="[",TRIM(MID(TRIM(A1287),FIND("]",TRIM(A1287)&amp;"]")+1,200)),TRIM(A1287))))&gt;0,IF(RIGHT(IF(LEFT(TRIM(A1287),1)="[",TRIM(MID(TRIM(A1287),FIND("]",TRIM(A1287)&amp;"]")+1,200)),TRIM(A1287)),1)=")",TRIM(LEFT(IF(LEFT(TRIM(A1287),1)="[",TRIM(MID(TRIM(A1287),FIND("]",TRIM(A1287)&amp;"]")+1,200)),TRIM(A1287)),FIND("(",IF(LEFT(TRIM(A1287),1)="[",TRIM(MID(TRIM(A1287),FIND("]",TRIM(A1287)&amp;"]")+1,200)),TRIM(A1287))&amp;"(")-1)),IF(LEFT(TRIM(A1287),1)="[",TRIM(MID(TRIM(A1287),FIND("]",TRIM(A1287)&amp;"]")+1,200)),TRIM(A1287))),""))</f>
      </c>
      <c r="C1287" s="17">
        <f>IF(B1287&lt;&gt;"",B1287,C1286)</f>
      </c>
      <c r="D1287" s="17">
        <f>IF(A1287="","",IF(OR(LEFT(UPPER(TRIM(A1287)),2)="Y:",LEFT(UPPER(TRIM(A1287)),10)="YESTERDAY:"),"Y",IF(OR(LEFT(UPPER(TRIM(A1287)),2)="T:",LEFT(UPPER(TRIM(A1287)),6)="TODAY:"),"T",IF(OR(LEFT(UPPER(TRIM(A1287)),2)="B:",LEFT(UPPER(TRIM(A1287)),8)="BLOCKER:",LEFT(UPPER(TRIM(A1287)),9)="BLOCKERS:",LEFT(UPPER(TRIM(A1287)),8)="BLOCKED:"),"B",""))))</f>
      </c>
      <c r="E1287" s="17">
        <f>IF(D1287="","",TRIM(MID(A1287,FIND(":",A1287)+1,500)))</f>
      </c>
    </row>
    <row r="1288">
      <c r="B1288" s="17">
        <f>IF(A1288="","",IF(COUNTIF(Roster[Name],IF(RIGHT(IF(LEFT(TRIM(A1288),1)="[",TRIM(MID(TRIM(A1288),FIND("]",TRIM(A1288)&amp;"]")+1,200)),TRIM(A1288)),1)=")",TRIM(LEFT(IF(LEFT(TRIM(A1288),1)="[",TRIM(MID(TRIM(A1288),FIND("]",TRIM(A1288)&amp;"]")+1,200)),TRIM(A1288)),FIND("(",IF(LEFT(TRIM(A1288),1)="[",TRIM(MID(TRIM(A1288),FIND("]",TRIM(A1288)&amp;"]")+1,200)),TRIM(A1288))&amp;"(")-1)),IF(LEFT(TRIM(A1288),1)="[",TRIM(MID(TRIM(A1288),FIND("]",TRIM(A1288)&amp;"]")+1,200)),TRIM(A1288))))&gt;0,IF(RIGHT(IF(LEFT(TRIM(A1288),1)="[",TRIM(MID(TRIM(A1288),FIND("]",TRIM(A1288)&amp;"]")+1,200)),TRIM(A1288)),1)=")",TRIM(LEFT(IF(LEFT(TRIM(A1288),1)="[",TRIM(MID(TRIM(A1288),FIND("]",TRIM(A1288)&amp;"]")+1,200)),TRIM(A1288)),FIND("(",IF(LEFT(TRIM(A1288),1)="[",TRIM(MID(TRIM(A1288),FIND("]",TRIM(A1288)&amp;"]")+1,200)),TRIM(A1288))&amp;"(")-1)),IF(LEFT(TRIM(A1288),1)="[",TRIM(MID(TRIM(A1288),FIND("]",TRIM(A1288)&amp;"]")+1,200)),TRIM(A1288))),""))</f>
      </c>
      <c r="C1288" s="17">
        <f>IF(B1288&lt;&gt;"",B1288,C1287)</f>
      </c>
      <c r="D1288" s="17">
        <f>IF(A1288="","",IF(OR(LEFT(UPPER(TRIM(A1288)),2)="Y:",LEFT(UPPER(TRIM(A1288)),10)="YESTERDAY:"),"Y",IF(OR(LEFT(UPPER(TRIM(A1288)),2)="T:",LEFT(UPPER(TRIM(A1288)),6)="TODAY:"),"T",IF(OR(LEFT(UPPER(TRIM(A1288)),2)="B:",LEFT(UPPER(TRIM(A1288)),8)="BLOCKER:",LEFT(UPPER(TRIM(A1288)),9)="BLOCKERS:",LEFT(UPPER(TRIM(A1288)),8)="BLOCKED:"),"B",""))))</f>
      </c>
      <c r="E1288" s="17">
        <f>IF(D1288="","",TRIM(MID(A1288,FIND(":",A1288)+1,500)))</f>
      </c>
    </row>
    <row r="1289">
      <c r="B1289" s="17">
        <f>IF(A1289="","",IF(COUNTIF(Roster[Name],IF(RIGHT(IF(LEFT(TRIM(A1289),1)="[",TRIM(MID(TRIM(A1289),FIND("]",TRIM(A1289)&amp;"]")+1,200)),TRIM(A1289)),1)=")",TRIM(LEFT(IF(LEFT(TRIM(A1289),1)="[",TRIM(MID(TRIM(A1289),FIND("]",TRIM(A1289)&amp;"]")+1,200)),TRIM(A1289)),FIND("(",IF(LEFT(TRIM(A1289),1)="[",TRIM(MID(TRIM(A1289),FIND("]",TRIM(A1289)&amp;"]")+1,200)),TRIM(A1289))&amp;"(")-1)),IF(LEFT(TRIM(A1289),1)="[",TRIM(MID(TRIM(A1289),FIND("]",TRIM(A1289)&amp;"]")+1,200)),TRIM(A1289))))&gt;0,IF(RIGHT(IF(LEFT(TRIM(A1289),1)="[",TRIM(MID(TRIM(A1289),FIND("]",TRIM(A1289)&amp;"]")+1,200)),TRIM(A1289)),1)=")",TRIM(LEFT(IF(LEFT(TRIM(A1289),1)="[",TRIM(MID(TRIM(A1289),FIND("]",TRIM(A1289)&amp;"]")+1,200)),TRIM(A1289)),FIND("(",IF(LEFT(TRIM(A1289),1)="[",TRIM(MID(TRIM(A1289),FIND("]",TRIM(A1289)&amp;"]")+1,200)),TRIM(A1289))&amp;"(")-1)),IF(LEFT(TRIM(A1289),1)="[",TRIM(MID(TRIM(A1289),FIND("]",TRIM(A1289)&amp;"]")+1,200)),TRIM(A1289))),""))</f>
      </c>
      <c r="C1289" s="17">
        <f>IF(B1289&lt;&gt;"",B1289,C1288)</f>
      </c>
      <c r="D1289" s="17">
        <f>IF(A1289="","",IF(OR(LEFT(UPPER(TRIM(A1289)),2)="Y:",LEFT(UPPER(TRIM(A1289)),10)="YESTERDAY:"),"Y",IF(OR(LEFT(UPPER(TRIM(A1289)),2)="T:",LEFT(UPPER(TRIM(A1289)),6)="TODAY:"),"T",IF(OR(LEFT(UPPER(TRIM(A1289)),2)="B:",LEFT(UPPER(TRIM(A1289)),8)="BLOCKER:",LEFT(UPPER(TRIM(A1289)),9)="BLOCKERS:",LEFT(UPPER(TRIM(A1289)),8)="BLOCKED:"),"B",""))))</f>
      </c>
      <c r="E1289" s="17">
        <f>IF(D1289="","",TRIM(MID(A1289,FIND(":",A1289)+1,500)))</f>
      </c>
    </row>
    <row r="1290">
      <c r="B1290" s="17">
        <f>IF(A1290="","",IF(COUNTIF(Roster[Name],IF(RIGHT(IF(LEFT(TRIM(A1290),1)="[",TRIM(MID(TRIM(A1290),FIND("]",TRIM(A1290)&amp;"]")+1,200)),TRIM(A1290)),1)=")",TRIM(LEFT(IF(LEFT(TRIM(A1290),1)="[",TRIM(MID(TRIM(A1290),FIND("]",TRIM(A1290)&amp;"]")+1,200)),TRIM(A1290)),FIND("(",IF(LEFT(TRIM(A1290),1)="[",TRIM(MID(TRIM(A1290),FIND("]",TRIM(A1290)&amp;"]")+1,200)),TRIM(A1290))&amp;"(")-1)),IF(LEFT(TRIM(A1290),1)="[",TRIM(MID(TRIM(A1290),FIND("]",TRIM(A1290)&amp;"]")+1,200)),TRIM(A1290))))&gt;0,IF(RIGHT(IF(LEFT(TRIM(A1290),1)="[",TRIM(MID(TRIM(A1290),FIND("]",TRIM(A1290)&amp;"]")+1,200)),TRIM(A1290)),1)=")",TRIM(LEFT(IF(LEFT(TRIM(A1290),1)="[",TRIM(MID(TRIM(A1290),FIND("]",TRIM(A1290)&amp;"]")+1,200)),TRIM(A1290)),FIND("(",IF(LEFT(TRIM(A1290),1)="[",TRIM(MID(TRIM(A1290),FIND("]",TRIM(A1290)&amp;"]")+1,200)),TRIM(A1290))&amp;"(")-1)),IF(LEFT(TRIM(A1290),1)="[",TRIM(MID(TRIM(A1290),FIND("]",TRIM(A1290)&amp;"]")+1,200)),TRIM(A1290))),""))</f>
      </c>
      <c r="C1290" s="17">
        <f>IF(B1290&lt;&gt;"",B1290,C1289)</f>
      </c>
      <c r="D1290" s="17">
        <f>IF(A1290="","",IF(OR(LEFT(UPPER(TRIM(A1290)),2)="Y:",LEFT(UPPER(TRIM(A1290)),10)="YESTERDAY:"),"Y",IF(OR(LEFT(UPPER(TRIM(A1290)),2)="T:",LEFT(UPPER(TRIM(A1290)),6)="TODAY:"),"T",IF(OR(LEFT(UPPER(TRIM(A1290)),2)="B:",LEFT(UPPER(TRIM(A1290)),8)="BLOCKER:",LEFT(UPPER(TRIM(A1290)),9)="BLOCKERS:",LEFT(UPPER(TRIM(A1290)),8)="BLOCKED:"),"B",""))))</f>
      </c>
      <c r="E1290" s="17">
        <f>IF(D1290="","",TRIM(MID(A1290,FIND(":",A1290)+1,500)))</f>
      </c>
    </row>
    <row r="1291">
      <c r="B1291" s="17">
        <f>IF(A1291="","",IF(COUNTIF(Roster[Name],IF(RIGHT(IF(LEFT(TRIM(A1291),1)="[",TRIM(MID(TRIM(A1291),FIND("]",TRIM(A1291)&amp;"]")+1,200)),TRIM(A1291)),1)=")",TRIM(LEFT(IF(LEFT(TRIM(A1291),1)="[",TRIM(MID(TRIM(A1291),FIND("]",TRIM(A1291)&amp;"]")+1,200)),TRIM(A1291)),FIND("(",IF(LEFT(TRIM(A1291),1)="[",TRIM(MID(TRIM(A1291),FIND("]",TRIM(A1291)&amp;"]")+1,200)),TRIM(A1291))&amp;"(")-1)),IF(LEFT(TRIM(A1291),1)="[",TRIM(MID(TRIM(A1291),FIND("]",TRIM(A1291)&amp;"]")+1,200)),TRIM(A1291))))&gt;0,IF(RIGHT(IF(LEFT(TRIM(A1291),1)="[",TRIM(MID(TRIM(A1291),FIND("]",TRIM(A1291)&amp;"]")+1,200)),TRIM(A1291)),1)=")",TRIM(LEFT(IF(LEFT(TRIM(A1291),1)="[",TRIM(MID(TRIM(A1291),FIND("]",TRIM(A1291)&amp;"]")+1,200)),TRIM(A1291)),FIND("(",IF(LEFT(TRIM(A1291),1)="[",TRIM(MID(TRIM(A1291),FIND("]",TRIM(A1291)&amp;"]")+1,200)),TRIM(A1291))&amp;"(")-1)),IF(LEFT(TRIM(A1291),1)="[",TRIM(MID(TRIM(A1291),FIND("]",TRIM(A1291)&amp;"]")+1,200)),TRIM(A1291))),""))</f>
      </c>
      <c r="C1291" s="17">
        <f>IF(B1291&lt;&gt;"",B1291,C1290)</f>
      </c>
      <c r="D1291" s="17">
        <f>IF(A1291="","",IF(OR(LEFT(UPPER(TRIM(A1291)),2)="Y:",LEFT(UPPER(TRIM(A1291)),10)="YESTERDAY:"),"Y",IF(OR(LEFT(UPPER(TRIM(A1291)),2)="T:",LEFT(UPPER(TRIM(A1291)),6)="TODAY:"),"T",IF(OR(LEFT(UPPER(TRIM(A1291)),2)="B:",LEFT(UPPER(TRIM(A1291)),8)="BLOCKER:",LEFT(UPPER(TRIM(A1291)),9)="BLOCKERS:",LEFT(UPPER(TRIM(A1291)),8)="BLOCKED:"),"B",""))))</f>
      </c>
      <c r="E1291" s="17">
        <f>IF(D1291="","",TRIM(MID(A1291,FIND(":",A1291)+1,500)))</f>
      </c>
    </row>
    <row r="1292">
      <c r="B1292" s="17">
        <f>IF(A1292="","",IF(COUNTIF(Roster[Name],IF(RIGHT(IF(LEFT(TRIM(A1292),1)="[",TRIM(MID(TRIM(A1292),FIND("]",TRIM(A1292)&amp;"]")+1,200)),TRIM(A1292)),1)=")",TRIM(LEFT(IF(LEFT(TRIM(A1292),1)="[",TRIM(MID(TRIM(A1292),FIND("]",TRIM(A1292)&amp;"]")+1,200)),TRIM(A1292)),FIND("(",IF(LEFT(TRIM(A1292),1)="[",TRIM(MID(TRIM(A1292),FIND("]",TRIM(A1292)&amp;"]")+1,200)),TRIM(A1292))&amp;"(")-1)),IF(LEFT(TRIM(A1292),1)="[",TRIM(MID(TRIM(A1292),FIND("]",TRIM(A1292)&amp;"]")+1,200)),TRIM(A1292))))&gt;0,IF(RIGHT(IF(LEFT(TRIM(A1292),1)="[",TRIM(MID(TRIM(A1292),FIND("]",TRIM(A1292)&amp;"]")+1,200)),TRIM(A1292)),1)=")",TRIM(LEFT(IF(LEFT(TRIM(A1292),1)="[",TRIM(MID(TRIM(A1292),FIND("]",TRIM(A1292)&amp;"]")+1,200)),TRIM(A1292)),FIND("(",IF(LEFT(TRIM(A1292),1)="[",TRIM(MID(TRIM(A1292),FIND("]",TRIM(A1292)&amp;"]")+1,200)),TRIM(A1292))&amp;"(")-1)),IF(LEFT(TRIM(A1292),1)="[",TRIM(MID(TRIM(A1292),FIND("]",TRIM(A1292)&amp;"]")+1,200)),TRIM(A1292))),""))</f>
      </c>
      <c r="C1292" s="17">
        <f>IF(B1292&lt;&gt;"",B1292,C1291)</f>
      </c>
      <c r="D1292" s="17">
        <f>IF(A1292="","",IF(OR(LEFT(UPPER(TRIM(A1292)),2)="Y:",LEFT(UPPER(TRIM(A1292)),10)="YESTERDAY:"),"Y",IF(OR(LEFT(UPPER(TRIM(A1292)),2)="T:",LEFT(UPPER(TRIM(A1292)),6)="TODAY:"),"T",IF(OR(LEFT(UPPER(TRIM(A1292)),2)="B:",LEFT(UPPER(TRIM(A1292)),8)="BLOCKER:",LEFT(UPPER(TRIM(A1292)),9)="BLOCKERS:",LEFT(UPPER(TRIM(A1292)),8)="BLOCKED:"),"B",""))))</f>
      </c>
      <c r="E1292" s="17">
        <f>IF(D1292="","",TRIM(MID(A1292,FIND(":",A1292)+1,500)))</f>
      </c>
    </row>
    <row r="1293">
      <c r="B1293" s="17">
        <f>IF(A1293="","",IF(COUNTIF(Roster[Name],IF(RIGHT(IF(LEFT(TRIM(A1293),1)="[",TRIM(MID(TRIM(A1293),FIND("]",TRIM(A1293)&amp;"]")+1,200)),TRIM(A1293)),1)=")",TRIM(LEFT(IF(LEFT(TRIM(A1293),1)="[",TRIM(MID(TRIM(A1293),FIND("]",TRIM(A1293)&amp;"]")+1,200)),TRIM(A1293)),FIND("(",IF(LEFT(TRIM(A1293),1)="[",TRIM(MID(TRIM(A1293),FIND("]",TRIM(A1293)&amp;"]")+1,200)),TRIM(A1293))&amp;"(")-1)),IF(LEFT(TRIM(A1293),1)="[",TRIM(MID(TRIM(A1293),FIND("]",TRIM(A1293)&amp;"]")+1,200)),TRIM(A1293))))&gt;0,IF(RIGHT(IF(LEFT(TRIM(A1293),1)="[",TRIM(MID(TRIM(A1293),FIND("]",TRIM(A1293)&amp;"]")+1,200)),TRIM(A1293)),1)=")",TRIM(LEFT(IF(LEFT(TRIM(A1293),1)="[",TRIM(MID(TRIM(A1293),FIND("]",TRIM(A1293)&amp;"]")+1,200)),TRIM(A1293)),FIND("(",IF(LEFT(TRIM(A1293),1)="[",TRIM(MID(TRIM(A1293),FIND("]",TRIM(A1293)&amp;"]")+1,200)),TRIM(A1293))&amp;"(")-1)),IF(LEFT(TRIM(A1293),1)="[",TRIM(MID(TRIM(A1293),FIND("]",TRIM(A1293)&amp;"]")+1,200)),TRIM(A1293))),""))</f>
      </c>
      <c r="C1293" s="17">
        <f>IF(B1293&lt;&gt;"",B1293,C1292)</f>
      </c>
      <c r="D1293" s="17">
        <f>IF(A1293="","",IF(OR(LEFT(UPPER(TRIM(A1293)),2)="Y:",LEFT(UPPER(TRIM(A1293)),10)="YESTERDAY:"),"Y",IF(OR(LEFT(UPPER(TRIM(A1293)),2)="T:",LEFT(UPPER(TRIM(A1293)),6)="TODAY:"),"T",IF(OR(LEFT(UPPER(TRIM(A1293)),2)="B:",LEFT(UPPER(TRIM(A1293)),8)="BLOCKER:",LEFT(UPPER(TRIM(A1293)),9)="BLOCKERS:",LEFT(UPPER(TRIM(A1293)),8)="BLOCKED:"),"B",""))))</f>
      </c>
      <c r="E1293" s="17">
        <f>IF(D1293="","",TRIM(MID(A1293,FIND(":",A1293)+1,500)))</f>
      </c>
    </row>
    <row r="1294">
      <c r="B1294" s="17">
        <f>IF(A1294="","",IF(COUNTIF(Roster[Name],IF(RIGHT(IF(LEFT(TRIM(A1294),1)="[",TRIM(MID(TRIM(A1294),FIND("]",TRIM(A1294)&amp;"]")+1,200)),TRIM(A1294)),1)=")",TRIM(LEFT(IF(LEFT(TRIM(A1294),1)="[",TRIM(MID(TRIM(A1294),FIND("]",TRIM(A1294)&amp;"]")+1,200)),TRIM(A1294)),FIND("(",IF(LEFT(TRIM(A1294),1)="[",TRIM(MID(TRIM(A1294),FIND("]",TRIM(A1294)&amp;"]")+1,200)),TRIM(A1294))&amp;"(")-1)),IF(LEFT(TRIM(A1294),1)="[",TRIM(MID(TRIM(A1294),FIND("]",TRIM(A1294)&amp;"]")+1,200)),TRIM(A1294))))&gt;0,IF(RIGHT(IF(LEFT(TRIM(A1294),1)="[",TRIM(MID(TRIM(A1294),FIND("]",TRIM(A1294)&amp;"]")+1,200)),TRIM(A1294)),1)=")",TRIM(LEFT(IF(LEFT(TRIM(A1294),1)="[",TRIM(MID(TRIM(A1294),FIND("]",TRIM(A1294)&amp;"]")+1,200)),TRIM(A1294)),FIND("(",IF(LEFT(TRIM(A1294),1)="[",TRIM(MID(TRIM(A1294),FIND("]",TRIM(A1294)&amp;"]")+1,200)),TRIM(A1294))&amp;"(")-1)),IF(LEFT(TRIM(A1294),1)="[",TRIM(MID(TRIM(A1294),FIND("]",TRIM(A1294)&amp;"]")+1,200)),TRIM(A1294))),""))</f>
      </c>
      <c r="C1294" s="17">
        <f>IF(B1294&lt;&gt;"",B1294,C1293)</f>
      </c>
      <c r="D1294" s="17">
        <f>IF(A1294="","",IF(OR(LEFT(UPPER(TRIM(A1294)),2)="Y:",LEFT(UPPER(TRIM(A1294)),10)="YESTERDAY:"),"Y",IF(OR(LEFT(UPPER(TRIM(A1294)),2)="T:",LEFT(UPPER(TRIM(A1294)),6)="TODAY:"),"T",IF(OR(LEFT(UPPER(TRIM(A1294)),2)="B:",LEFT(UPPER(TRIM(A1294)),8)="BLOCKER:",LEFT(UPPER(TRIM(A1294)),9)="BLOCKERS:",LEFT(UPPER(TRIM(A1294)),8)="BLOCKED:"),"B",""))))</f>
      </c>
      <c r="E1294" s="17">
        <f>IF(D1294="","",TRIM(MID(A1294,FIND(":",A1294)+1,500)))</f>
      </c>
    </row>
    <row r="1295">
      <c r="B1295" s="17">
        <f>IF(A1295="","",IF(COUNTIF(Roster[Name],IF(RIGHT(IF(LEFT(TRIM(A1295),1)="[",TRIM(MID(TRIM(A1295),FIND("]",TRIM(A1295)&amp;"]")+1,200)),TRIM(A1295)),1)=")",TRIM(LEFT(IF(LEFT(TRIM(A1295),1)="[",TRIM(MID(TRIM(A1295),FIND("]",TRIM(A1295)&amp;"]")+1,200)),TRIM(A1295)),FIND("(",IF(LEFT(TRIM(A1295),1)="[",TRIM(MID(TRIM(A1295),FIND("]",TRIM(A1295)&amp;"]")+1,200)),TRIM(A1295))&amp;"(")-1)),IF(LEFT(TRIM(A1295),1)="[",TRIM(MID(TRIM(A1295),FIND("]",TRIM(A1295)&amp;"]")+1,200)),TRIM(A1295))))&gt;0,IF(RIGHT(IF(LEFT(TRIM(A1295),1)="[",TRIM(MID(TRIM(A1295),FIND("]",TRIM(A1295)&amp;"]")+1,200)),TRIM(A1295)),1)=")",TRIM(LEFT(IF(LEFT(TRIM(A1295),1)="[",TRIM(MID(TRIM(A1295),FIND("]",TRIM(A1295)&amp;"]")+1,200)),TRIM(A1295)),FIND("(",IF(LEFT(TRIM(A1295),1)="[",TRIM(MID(TRIM(A1295),FIND("]",TRIM(A1295)&amp;"]")+1,200)),TRIM(A1295))&amp;"(")-1)),IF(LEFT(TRIM(A1295),1)="[",TRIM(MID(TRIM(A1295),FIND("]",TRIM(A1295)&amp;"]")+1,200)),TRIM(A1295))),""))</f>
      </c>
      <c r="C1295" s="17">
        <f>IF(B1295&lt;&gt;"",B1295,C1294)</f>
      </c>
      <c r="D1295" s="17">
        <f>IF(A1295="","",IF(OR(LEFT(UPPER(TRIM(A1295)),2)="Y:",LEFT(UPPER(TRIM(A1295)),10)="YESTERDAY:"),"Y",IF(OR(LEFT(UPPER(TRIM(A1295)),2)="T:",LEFT(UPPER(TRIM(A1295)),6)="TODAY:"),"T",IF(OR(LEFT(UPPER(TRIM(A1295)),2)="B:",LEFT(UPPER(TRIM(A1295)),8)="BLOCKER:",LEFT(UPPER(TRIM(A1295)),9)="BLOCKERS:",LEFT(UPPER(TRIM(A1295)),8)="BLOCKED:"),"B",""))))</f>
      </c>
      <c r="E1295" s="17">
        <f>IF(D1295="","",TRIM(MID(A1295,FIND(":",A1295)+1,500)))</f>
      </c>
    </row>
    <row r="1296">
      <c r="B1296" s="17">
        <f>IF(A1296="","",IF(COUNTIF(Roster[Name],IF(RIGHT(IF(LEFT(TRIM(A1296),1)="[",TRIM(MID(TRIM(A1296),FIND("]",TRIM(A1296)&amp;"]")+1,200)),TRIM(A1296)),1)=")",TRIM(LEFT(IF(LEFT(TRIM(A1296),1)="[",TRIM(MID(TRIM(A1296),FIND("]",TRIM(A1296)&amp;"]")+1,200)),TRIM(A1296)),FIND("(",IF(LEFT(TRIM(A1296),1)="[",TRIM(MID(TRIM(A1296),FIND("]",TRIM(A1296)&amp;"]")+1,200)),TRIM(A1296))&amp;"(")-1)),IF(LEFT(TRIM(A1296),1)="[",TRIM(MID(TRIM(A1296),FIND("]",TRIM(A1296)&amp;"]")+1,200)),TRIM(A1296))))&gt;0,IF(RIGHT(IF(LEFT(TRIM(A1296),1)="[",TRIM(MID(TRIM(A1296),FIND("]",TRIM(A1296)&amp;"]")+1,200)),TRIM(A1296)),1)=")",TRIM(LEFT(IF(LEFT(TRIM(A1296),1)="[",TRIM(MID(TRIM(A1296),FIND("]",TRIM(A1296)&amp;"]")+1,200)),TRIM(A1296)),FIND("(",IF(LEFT(TRIM(A1296),1)="[",TRIM(MID(TRIM(A1296),FIND("]",TRIM(A1296)&amp;"]")+1,200)),TRIM(A1296))&amp;"(")-1)),IF(LEFT(TRIM(A1296),1)="[",TRIM(MID(TRIM(A1296),FIND("]",TRIM(A1296)&amp;"]")+1,200)),TRIM(A1296))),""))</f>
      </c>
      <c r="C1296" s="17">
        <f>IF(B1296&lt;&gt;"",B1296,C1295)</f>
      </c>
      <c r="D1296" s="17">
        <f>IF(A1296="","",IF(OR(LEFT(UPPER(TRIM(A1296)),2)="Y:",LEFT(UPPER(TRIM(A1296)),10)="YESTERDAY:"),"Y",IF(OR(LEFT(UPPER(TRIM(A1296)),2)="T:",LEFT(UPPER(TRIM(A1296)),6)="TODAY:"),"T",IF(OR(LEFT(UPPER(TRIM(A1296)),2)="B:",LEFT(UPPER(TRIM(A1296)),8)="BLOCKER:",LEFT(UPPER(TRIM(A1296)),9)="BLOCKERS:",LEFT(UPPER(TRIM(A1296)),8)="BLOCKED:"),"B",""))))</f>
      </c>
      <c r="E1296" s="17">
        <f>IF(D1296="","",TRIM(MID(A1296,FIND(":",A1296)+1,500)))</f>
      </c>
    </row>
    <row r="1297">
      <c r="B1297" s="17">
        <f>IF(A1297="","",IF(COUNTIF(Roster[Name],IF(RIGHT(IF(LEFT(TRIM(A1297),1)="[",TRIM(MID(TRIM(A1297),FIND("]",TRIM(A1297)&amp;"]")+1,200)),TRIM(A1297)),1)=")",TRIM(LEFT(IF(LEFT(TRIM(A1297),1)="[",TRIM(MID(TRIM(A1297),FIND("]",TRIM(A1297)&amp;"]")+1,200)),TRIM(A1297)),FIND("(",IF(LEFT(TRIM(A1297),1)="[",TRIM(MID(TRIM(A1297),FIND("]",TRIM(A1297)&amp;"]")+1,200)),TRIM(A1297))&amp;"(")-1)),IF(LEFT(TRIM(A1297),1)="[",TRIM(MID(TRIM(A1297),FIND("]",TRIM(A1297)&amp;"]")+1,200)),TRIM(A1297))))&gt;0,IF(RIGHT(IF(LEFT(TRIM(A1297),1)="[",TRIM(MID(TRIM(A1297),FIND("]",TRIM(A1297)&amp;"]")+1,200)),TRIM(A1297)),1)=")",TRIM(LEFT(IF(LEFT(TRIM(A1297),1)="[",TRIM(MID(TRIM(A1297),FIND("]",TRIM(A1297)&amp;"]")+1,200)),TRIM(A1297)),FIND("(",IF(LEFT(TRIM(A1297),1)="[",TRIM(MID(TRIM(A1297),FIND("]",TRIM(A1297)&amp;"]")+1,200)),TRIM(A1297))&amp;"(")-1)),IF(LEFT(TRIM(A1297),1)="[",TRIM(MID(TRIM(A1297),FIND("]",TRIM(A1297)&amp;"]")+1,200)),TRIM(A1297))),""))</f>
      </c>
      <c r="C1297" s="17">
        <f>IF(B1297&lt;&gt;"",B1297,C1296)</f>
      </c>
      <c r="D1297" s="17">
        <f>IF(A1297="","",IF(OR(LEFT(UPPER(TRIM(A1297)),2)="Y:",LEFT(UPPER(TRIM(A1297)),10)="YESTERDAY:"),"Y",IF(OR(LEFT(UPPER(TRIM(A1297)),2)="T:",LEFT(UPPER(TRIM(A1297)),6)="TODAY:"),"T",IF(OR(LEFT(UPPER(TRIM(A1297)),2)="B:",LEFT(UPPER(TRIM(A1297)),8)="BLOCKER:",LEFT(UPPER(TRIM(A1297)),9)="BLOCKERS:",LEFT(UPPER(TRIM(A1297)),8)="BLOCKED:"),"B",""))))</f>
      </c>
      <c r="E1297" s="17">
        <f>IF(D1297="","",TRIM(MID(A1297,FIND(":",A1297)+1,500)))</f>
      </c>
    </row>
    <row r="1298">
      <c r="B1298" s="17">
        <f>IF(A1298="","",IF(COUNTIF(Roster[Name],IF(RIGHT(IF(LEFT(TRIM(A1298),1)="[",TRIM(MID(TRIM(A1298),FIND("]",TRIM(A1298)&amp;"]")+1,200)),TRIM(A1298)),1)=")",TRIM(LEFT(IF(LEFT(TRIM(A1298),1)="[",TRIM(MID(TRIM(A1298),FIND("]",TRIM(A1298)&amp;"]")+1,200)),TRIM(A1298)),FIND("(",IF(LEFT(TRIM(A1298),1)="[",TRIM(MID(TRIM(A1298),FIND("]",TRIM(A1298)&amp;"]")+1,200)),TRIM(A1298))&amp;"(")-1)),IF(LEFT(TRIM(A1298),1)="[",TRIM(MID(TRIM(A1298),FIND("]",TRIM(A1298)&amp;"]")+1,200)),TRIM(A1298))))&gt;0,IF(RIGHT(IF(LEFT(TRIM(A1298),1)="[",TRIM(MID(TRIM(A1298),FIND("]",TRIM(A1298)&amp;"]")+1,200)),TRIM(A1298)),1)=")",TRIM(LEFT(IF(LEFT(TRIM(A1298),1)="[",TRIM(MID(TRIM(A1298),FIND("]",TRIM(A1298)&amp;"]")+1,200)),TRIM(A1298)),FIND("(",IF(LEFT(TRIM(A1298),1)="[",TRIM(MID(TRIM(A1298),FIND("]",TRIM(A1298)&amp;"]")+1,200)),TRIM(A1298))&amp;"(")-1)),IF(LEFT(TRIM(A1298),1)="[",TRIM(MID(TRIM(A1298),FIND("]",TRIM(A1298)&amp;"]")+1,200)),TRIM(A1298))),""))</f>
      </c>
      <c r="C1298" s="17">
        <f>IF(B1298&lt;&gt;"",B1298,C1297)</f>
      </c>
      <c r="D1298" s="17">
        <f>IF(A1298="","",IF(OR(LEFT(UPPER(TRIM(A1298)),2)="Y:",LEFT(UPPER(TRIM(A1298)),10)="YESTERDAY:"),"Y",IF(OR(LEFT(UPPER(TRIM(A1298)),2)="T:",LEFT(UPPER(TRIM(A1298)),6)="TODAY:"),"T",IF(OR(LEFT(UPPER(TRIM(A1298)),2)="B:",LEFT(UPPER(TRIM(A1298)),8)="BLOCKER:",LEFT(UPPER(TRIM(A1298)),9)="BLOCKERS:",LEFT(UPPER(TRIM(A1298)),8)="BLOCKED:"),"B",""))))</f>
      </c>
      <c r="E1298" s="17">
        <f>IF(D1298="","",TRIM(MID(A1298,FIND(":",A1298)+1,500)))</f>
      </c>
    </row>
    <row r="1299">
      <c r="B1299" s="17">
        <f>IF(A1299="","",IF(COUNTIF(Roster[Name],IF(RIGHT(IF(LEFT(TRIM(A1299),1)="[",TRIM(MID(TRIM(A1299),FIND("]",TRIM(A1299)&amp;"]")+1,200)),TRIM(A1299)),1)=")",TRIM(LEFT(IF(LEFT(TRIM(A1299),1)="[",TRIM(MID(TRIM(A1299),FIND("]",TRIM(A1299)&amp;"]")+1,200)),TRIM(A1299)),FIND("(",IF(LEFT(TRIM(A1299),1)="[",TRIM(MID(TRIM(A1299),FIND("]",TRIM(A1299)&amp;"]")+1,200)),TRIM(A1299))&amp;"(")-1)),IF(LEFT(TRIM(A1299),1)="[",TRIM(MID(TRIM(A1299),FIND("]",TRIM(A1299)&amp;"]")+1,200)),TRIM(A1299))))&gt;0,IF(RIGHT(IF(LEFT(TRIM(A1299),1)="[",TRIM(MID(TRIM(A1299),FIND("]",TRIM(A1299)&amp;"]")+1,200)),TRIM(A1299)),1)=")",TRIM(LEFT(IF(LEFT(TRIM(A1299),1)="[",TRIM(MID(TRIM(A1299),FIND("]",TRIM(A1299)&amp;"]")+1,200)),TRIM(A1299)),FIND("(",IF(LEFT(TRIM(A1299),1)="[",TRIM(MID(TRIM(A1299),FIND("]",TRIM(A1299)&amp;"]")+1,200)),TRIM(A1299))&amp;"(")-1)),IF(LEFT(TRIM(A1299),1)="[",TRIM(MID(TRIM(A1299),FIND("]",TRIM(A1299)&amp;"]")+1,200)),TRIM(A1299))),""))</f>
      </c>
      <c r="C1299" s="17">
        <f>IF(B1299&lt;&gt;"",B1299,C1298)</f>
      </c>
      <c r="D1299" s="17">
        <f>IF(A1299="","",IF(OR(LEFT(UPPER(TRIM(A1299)),2)="Y:",LEFT(UPPER(TRIM(A1299)),10)="YESTERDAY:"),"Y",IF(OR(LEFT(UPPER(TRIM(A1299)),2)="T:",LEFT(UPPER(TRIM(A1299)),6)="TODAY:"),"T",IF(OR(LEFT(UPPER(TRIM(A1299)),2)="B:",LEFT(UPPER(TRIM(A1299)),8)="BLOCKER:",LEFT(UPPER(TRIM(A1299)),9)="BLOCKERS:",LEFT(UPPER(TRIM(A1299)),8)="BLOCKED:"),"B",""))))</f>
      </c>
      <c r="E1299" s="17">
        <f>IF(D1299="","",TRIM(MID(A1299,FIND(":",A1299)+1,500)))</f>
      </c>
    </row>
    <row r="1300">
      <c r="B1300" s="17">
        <f>IF(A1300="","",IF(COUNTIF(Roster[Name],IF(RIGHT(IF(LEFT(TRIM(A1300),1)="[",TRIM(MID(TRIM(A1300),FIND("]",TRIM(A1300)&amp;"]")+1,200)),TRIM(A1300)),1)=")",TRIM(LEFT(IF(LEFT(TRIM(A1300),1)="[",TRIM(MID(TRIM(A1300),FIND("]",TRIM(A1300)&amp;"]")+1,200)),TRIM(A1300)),FIND("(",IF(LEFT(TRIM(A1300),1)="[",TRIM(MID(TRIM(A1300),FIND("]",TRIM(A1300)&amp;"]")+1,200)),TRIM(A1300))&amp;"(")-1)),IF(LEFT(TRIM(A1300),1)="[",TRIM(MID(TRIM(A1300),FIND("]",TRIM(A1300)&amp;"]")+1,200)),TRIM(A1300))))&gt;0,IF(RIGHT(IF(LEFT(TRIM(A1300),1)="[",TRIM(MID(TRIM(A1300),FIND("]",TRIM(A1300)&amp;"]")+1,200)),TRIM(A1300)),1)=")",TRIM(LEFT(IF(LEFT(TRIM(A1300),1)="[",TRIM(MID(TRIM(A1300),FIND("]",TRIM(A1300)&amp;"]")+1,200)),TRIM(A1300)),FIND("(",IF(LEFT(TRIM(A1300),1)="[",TRIM(MID(TRIM(A1300),FIND("]",TRIM(A1300)&amp;"]")+1,200)),TRIM(A1300))&amp;"(")-1)),IF(LEFT(TRIM(A1300),1)="[",TRIM(MID(TRIM(A1300),FIND("]",TRIM(A1300)&amp;"]")+1,200)),TRIM(A1300))),""))</f>
      </c>
      <c r="C1300" s="17">
        <f>IF(B1300&lt;&gt;"",B1300,C1299)</f>
      </c>
      <c r="D1300" s="17">
        <f>IF(A1300="","",IF(OR(LEFT(UPPER(TRIM(A1300)),2)="Y:",LEFT(UPPER(TRIM(A1300)),10)="YESTERDAY:"),"Y",IF(OR(LEFT(UPPER(TRIM(A1300)),2)="T:",LEFT(UPPER(TRIM(A1300)),6)="TODAY:"),"T",IF(OR(LEFT(UPPER(TRIM(A1300)),2)="B:",LEFT(UPPER(TRIM(A1300)),8)="BLOCKER:",LEFT(UPPER(TRIM(A1300)),9)="BLOCKERS:",LEFT(UPPER(TRIM(A1300)),8)="BLOCKED:"),"B",""))))</f>
      </c>
      <c r="E1300" s="17">
        <f>IF(D1300="","",TRIM(MID(A1300,FIND(":",A1300)+1,500)))</f>
      </c>
    </row>
    <row r="1301">
      <c r="B1301" s="17">
        <f>IF(A1301="","",IF(COUNTIF(Roster[Name],IF(RIGHT(IF(LEFT(TRIM(A1301),1)="[",TRIM(MID(TRIM(A1301),FIND("]",TRIM(A1301)&amp;"]")+1,200)),TRIM(A1301)),1)=")",TRIM(LEFT(IF(LEFT(TRIM(A1301),1)="[",TRIM(MID(TRIM(A1301),FIND("]",TRIM(A1301)&amp;"]")+1,200)),TRIM(A1301)),FIND("(",IF(LEFT(TRIM(A1301),1)="[",TRIM(MID(TRIM(A1301),FIND("]",TRIM(A1301)&amp;"]")+1,200)),TRIM(A1301))&amp;"(")-1)),IF(LEFT(TRIM(A1301),1)="[",TRIM(MID(TRIM(A1301),FIND("]",TRIM(A1301)&amp;"]")+1,200)),TRIM(A1301))))&gt;0,IF(RIGHT(IF(LEFT(TRIM(A1301),1)="[",TRIM(MID(TRIM(A1301),FIND("]",TRIM(A1301)&amp;"]")+1,200)),TRIM(A1301)),1)=")",TRIM(LEFT(IF(LEFT(TRIM(A1301),1)="[",TRIM(MID(TRIM(A1301),FIND("]",TRIM(A1301)&amp;"]")+1,200)),TRIM(A1301)),FIND("(",IF(LEFT(TRIM(A1301),1)="[",TRIM(MID(TRIM(A1301),FIND("]",TRIM(A1301)&amp;"]")+1,200)),TRIM(A1301))&amp;"(")-1)),IF(LEFT(TRIM(A1301),1)="[",TRIM(MID(TRIM(A1301),FIND("]",TRIM(A1301)&amp;"]")+1,200)),TRIM(A1301))),""))</f>
      </c>
      <c r="C1301" s="17">
        <f>IF(B1301&lt;&gt;"",B1301,C1300)</f>
      </c>
      <c r="D1301" s="17">
        <f>IF(A1301="","",IF(OR(LEFT(UPPER(TRIM(A1301)),2)="Y:",LEFT(UPPER(TRIM(A1301)),10)="YESTERDAY:"),"Y",IF(OR(LEFT(UPPER(TRIM(A1301)),2)="T:",LEFT(UPPER(TRIM(A1301)),6)="TODAY:"),"T",IF(OR(LEFT(UPPER(TRIM(A1301)),2)="B:",LEFT(UPPER(TRIM(A1301)),8)="BLOCKER:",LEFT(UPPER(TRIM(A1301)),9)="BLOCKERS:",LEFT(UPPER(TRIM(A1301)),8)="BLOCKED:"),"B",""))))</f>
      </c>
      <c r="E1301" s="17">
        <f>IF(D1301="","",TRIM(MID(A1301,FIND(":",A1301)+1,500)))</f>
      </c>
    </row>
    <row r="1302">
      <c r="B1302" s="17">
        <f>IF(A1302="","",IF(COUNTIF(Roster[Name],IF(RIGHT(IF(LEFT(TRIM(A1302),1)="[",TRIM(MID(TRIM(A1302),FIND("]",TRIM(A1302)&amp;"]")+1,200)),TRIM(A1302)),1)=")",TRIM(LEFT(IF(LEFT(TRIM(A1302),1)="[",TRIM(MID(TRIM(A1302),FIND("]",TRIM(A1302)&amp;"]")+1,200)),TRIM(A1302)),FIND("(",IF(LEFT(TRIM(A1302),1)="[",TRIM(MID(TRIM(A1302),FIND("]",TRIM(A1302)&amp;"]")+1,200)),TRIM(A1302))&amp;"(")-1)),IF(LEFT(TRIM(A1302),1)="[",TRIM(MID(TRIM(A1302),FIND("]",TRIM(A1302)&amp;"]")+1,200)),TRIM(A1302))))&gt;0,IF(RIGHT(IF(LEFT(TRIM(A1302),1)="[",TRIM(MID(TRIM(A1302),FIND("]",TRIM(A1302)&amp;"]")+1,200)),TRIM(A1302)),1)=")",TRIM(LEFT(IF(LEFT(TRIM(A1302),1)="[",TRIM(MID(TRIM(A1302),FIND("]",TRIM(A1302)&amp;"]")+1,200)),TRIM(A1302)),FIND("(",IF(LEFT(TRIM(A1302),1)="[",TRIM(MID(TRIM(A1302),FIND("]",TRIM(A1302)&amp;"]")+1,200)),TRIM(A1302))&amp;"(")-1)),IF(LEFT(TRIM(A1302),1)="[",TRIM(MID(TRIM(A1302),FIND("]",TRIM(A1302)&amp;"]")+1,200)),TRIM(A1302))),""))</f>
      </c>
      <c r="C1302" s="17">
        <f>IF(B1302&lt;&gt;"",B1302,C1301)</f>
      </c>
      <c r="D1302" s="17">
        <f>IF(A1302="","",IF(OR(LEFT(UPPER(TRIM(A1302)),2)="Y:",LEFT(UPPER(TRIM(A1302)),10)="YESTERDAY:"),"Y",IF(OR(LEFT(UPPER(TRIM(A1302)),2)="T:",LEFT(UPPER(TRIM(A1302)),6)="TODAY:"),"T",IF(OR(LEFT(UPPER(TRIM(A1302)),2)="B:",LEFT(UPPER(TRIM(A1302)),8)="BLOCKER:",LEFT(UPPER(TRIM(A1302)),9)="BLOCKERS:",LEFT(UPPER(TRIM(A1302)),8)="BLOCKED:"),"B",""))))</f>
      </c>
      <c r="E1302" s="17">
        <f>IF(D1302="","",TRIM(MID(A1302,FIND(":",A1302)+1,500)))</f>
      </c>
    </row>
    <row r="1303">
      <c r="B1303" s="17">
        <f>IF(A1303="","",IF(COUNTIF(Roster[Name],IF(RIGHT(IF(LEFT(TRIM(A1303),1)="[",TRIM(MID(TRIM(A1303),FIND("]",TRIM(A1303)&amp;"]")+1,200)),TRIM(A1303)),1)=")",TRIM(LEFT(IF(LEFT(TRIM(A1303),1)="[",TRIM(MID(TRIM(A1303),FIND("]",TRIM(A1303)&amp;"]")+1,200)),TRIM(A1303)),FIND("(",IF(LEFT(TRIM(A1303),1)="[",TRIM(MID(TRIM(A1303),FIND("]",TRIM(A1303)&amp;"]")+1,200)),TRIM(A1303))&amp;"(")-1)),IF(LEFT(TRIM(A1303),1)="[",TRIM(MID(TRIM(A1303),FIND("]",TRIM(A1303)&amp;"]")+1,200)),TRIM(A1303))))&gt;0,IF(RIGHT(IF(LEFT(TRIM(A1303),1)="[",TRIM(MID(TRIM(A1303),FIND("]",TRIM(A1303)&amp;"]")+1,200)),TRIM(A1303)),1)=")",TRIM(LEFT(IF(LEFT(TRIM(A1303),1)="[",TRIM(MID(TRIM(A1303),FIND("]",TRIM(A1303)&amp;"]")+1,200)),TRIM(A1303)),FIND("(",IF(LEFT(TRIM(A1303),1)="[",TRIM(MID(TRIM(A1303),FIND("]",TRIM(A1303)&amp;"]")+1,200)),TRIM(A1303))&amp;"(")-1)),IF(LEFT(TRIM(A1303),1)="[",TRIM(MID(TRIM(A1303),FIND("]",TRIM(A1303)&amp;"]")+1,200)),TRIM(A1303))),""))</f>
      </c>
      <c r="C1303" s="17">
        <f>IF(B1303&lt;&gt;"",B1303,C1302)</f>
      </c>
      <c r="D1303" s="17">
        <f>IF(A1303="","",IF(OR(LEFT(UPPER(TRIM(A1303)),2)="Y:",LEFT(UPPER(TRIM(A1303)),10)="YESTERDAY:"),"Y",IF(OR(LEFT(UPPER(TRIM(A1303)),2)="T:",LEFT(UPPER(TRIM(A1303)),6)="TODAY:"),"T",IF(OR(LEFT(UPPER(TRIM(A1303)),2)="B:",LEFT(UPPER(TRIM(A1303)),8)="BLOCKER:",LEFT(UPPER(TRIM(A1303)),9)="BLOCKERS:",LEFT(UPPER(TRIM(A1303)),8)="BLOCKED:"),"B",""))))</f>
      </c>
      <c r="E1303" s="17">
        <f>IF(D1303="","",TRIM(MID(A1303,FIND(":",A1303)+1,500)))</f>
      </c>
    </row>
    <row r="1304">
      <c r="B1304" s="17">
        <f>IF(A1304="","",IF(COUNTIF(Roster[Name],IF(RIGHT(IF(LEFT(TRIM(A1304),1)="[",TRIM(MID(TRIM(A1304),FIND("]",TRIM(A1304)&amp;"]")+1,200)),TRIM(A1304)),1)=")",TRIM(LEFT(IF(LEFT(TRIM(A1304),1)="[",TRIM(MID(TRIM(A1304),FIND("]",TRIM(A1304)&amp;"]")+1,200)),TRIM(A1304)),FIND("(",IF(LEFT(TRIM(A1304),1)="[",TRIM(MID(TRIM(A1304),FIND("]",TRIM(A1304)&amp;"]")+1,200)),TRIM(A1304))&amp;"(")-1)),IF(LEFT(TRIM(A1304),1)="[",TRIM(MID(TRIM(A1304),FIND("]",TRIM(A1304)&amp;"]")+1,200)),TRIM(A1304))))&gt;0,IF(RIGHT(IF(LEFT(TRIM(A1304),1)="[",TRIM(MID(TRIM(A1304),FIND("]",TRIM(A1304)&amp;"]")+1,200)),TRIM(A1304)),1)=")",TRIM(LEFT(IF(LEFT(TRIM(A1304),1)="[",TRIM(MID(TRIM(A1304),FIND("]",TRIM(A1304)&amp;"]")+1,200)),TRIM(A1304)),FIND("(",IF(LEFT(TRIM(A1304),1)="[",TRIM(MID(TRIM(A1304),FIND("]",TRIM(A1304)&amp;"]")+1,200)),TRIM(A1304))&amp;"(")-1)),IF(LEFT(TRIM(A1304),1)="[",TRIM(MID(TRIM(A1304),FIND("]",TRIM(A1304)&amp;"]")+1,200)),TRIM(A1304))),""))</f>
      </c>
      <c r="C1304" s="17">
        <f>IF(B1304&lt;&gt;"",B1304,C1303)</f>
      </c>
      <c r="D1304" s="17">
        <f>IF(A1304="","",IF(OR(LEFT(UPPER(TRIM(A1304)),2)="Y:",LEFT(UPPER(TRIM(A1304)),10)="YESTERDAY:"),"Y",IF(OR(LEFT(UPPER(TRIM(A1304)),2)="T:",LEFT(UPPER(TRIM(A1304)),6)="TODAY:"),"T",IF(OR(LEFT(UPPER(TRIM(A1304)),2)="B:",LEFT(UPPER(TRIM(A1304)),8)="BLOCKER:",LEFT(UPPER(TRIM(A1304)),9)="BLOCKERS:",LEFT(UPPER(TRIM(A1304)),8)="BLOCKED:"),"B",""))))</f>
      </c>
      <c r="E1304" s="17">
        <f>IF(D1304="","",TRIM(MID(A1304,FIND(":",A1304)+1,500)))</f>
      </c>
    </row>
    <row r="1305">
      <c r="B1305" s="17">
        <f>IF(A1305="","",IF(COUNTIF(Roster[Name],IF(RIGHT(IF(LEFT(TRIM(A1305),1)="[",TRIM(MID(TRIM(A1305),FIND("]",TRIM(A1305)&amp;"]")+1,200)),TRIM(A1305)),1)=")",TRIM(LEFT(IF(LEFT(TRIM(A1305),1)="[",TRIM(MID(TRIM(A1305),FIND("]",TRIM(A1305)&amp;"]")+1,200)),TRIM(A1305)),FIND("(",IF(LEFT(TRIM(A1305),1)="[",TRIM(MID(TRIM(A1305),FIND("]",TRIM(A1305)&amp;"]")+1,200)),TRIM(A1305))&amp;"(")-1)),IF(LEFT(TRIM(A1305),1)="[",TRIM(MID(TRIM(A1305),FIND("]",TRIM(A1305)&amp;"]")+1,200)),TRIM(A1305))))&gt;0,IF(RIGHT(IF(LEFT(TRIM(A1305),1)="[",TRIM(MID(TRIM(A1305),FIND("]",TRIM(A1305)&amp;"]")+1,200)),TRIM(A1305)),1)=")",TRIM(LEFT(IF(LEFT(TRIM(A1305),1)="[",TRIM(MID(TRIM(A1305),FIND("]",TRIM(A1305)&amp;"]")+1,200)),TRIM(A1305)),FIND("(",IF(LEFT(TRIM(A1305),1)="[",TRIM(MID(TRIM(A1305),FIND("]",TRIM(A1305)&amp;"]")+1,200)),TRIM(A1305))&amp;"(")-1)),IF(LEFT(TRIM(A1305),1)="[",TRIM(MID(TRIM(A1305),FIND("]",TRIM(A1305)&amp;"]")+1,200)),TRIM(A1305))),""))</f>
      </c>
      <c r="C1305" s="17">
        <f>IF(B1305&lt;&gt;"",B1305,C1304)</f>
      </c>
      <c r="D1305" s="17">
        <f>IF(A1305="","",IF(OR(LEFT(UPPER(TRIM(A1305)),2)="Y:",LEFT(UPPER(TRIM(A1305)),10)="YESTERDAY:"),"Y",IF(OR(LEFT(UPPER(TRIM(A1305)),2)="T:",LEFT(UPPER(TRIM(A1305)),6)="TODAY:"),"T",IF(OR(LEFT(UPPER(TRIM(A1305)),2)="B:",LEFT(UPPER(TRIM(A1305)),8)="BLOCKER:",LEFT(UPPER(TRIM(A1305)),9)="BLOCKERS:",LEFT(UPPER(TRIM(A1305)),8)="BLOCKED:"),"B",""))))</f>
      </c>
      <c r="E1305" s="17">
        <f>IF(D1305="","",TRIM(MID(A1305,FIND(":",A1305)+1,500)))</f>
      </c>
    </row>
    <row r="1306">
      <c r="B1306" s="17">
        <f>IF(A1306="","",IF(COUNTIF(Roster[Name],IF(RIGHT(IF(LEFT(TRIM(A1306),1)="[",TRIM(MID(TRIM(A1306),FIND("]",TRIM(A1306)&amp;"]")+1,200)),TRIM(A1306)),1)=")",TRIM(LEFT(IF(LEFT(TRIM(A1306),1)="[",TRIM(MID(TRIM(A1306),FIND("]",TRIM(A1306)&amp;"]")+1,200)),TRIM(A1306)),FIND("(",IF(LEFT(TRIM(A1306),1)="[",TRIM(MID(TRIM(A1306),FIND("]",TRIM(A1306)&amp;"]")+1,200)),TRIM(A1306))&amp;"(")-1)),IF(LEFT(TRIM(A1306),1)="[",TRIM(MID(TRIM(A1306),FIND("]",TRIM(A1306)&amp;"]")+1,200)),TRIM(A1306))))&gt;0,IF(RIGHT(IF(LEFT(TRIM(A1306),1)="[",TRIM(MID(TRIM(A1306),FIND("]",TRIM(A1306)&amp;"]")+1,200)),TRIM(A1306)),1)=")",TRIM(LEFT(IF(LEFT(TRIM(A1306),1)="[",TRIM(MID(TRIM(A1306),FIND("]",TRIM(A1306)&amp;"]")+1,200)),TRIM(A1306)),FIND("(",IF(LEFT(TRIM(A1306),1)="[",TRIM(MID(TRIM(A1306),FIND("]",TRIM(A1306)&amp;"]")+1,200)),TRIM(A1306))&amp;"(")-1)),IF(LEFT(TRIM(A1306),1)="[",TRIM(MID(TRIM(A1306),FIND("]",TRIM(A1306)&amp;"]")+1,200)),TRIM(A1306))),""))</f>
      </c>
      <c r="C1306" s="17">
        <f>IF(B1306&lt;&gt;"",B1306,C1305)</f>
      </c>
      <c r="D1306" s="17">
        <f>IF(A1306="","",IF(OR(LEFT(UPPER(TRIM(A1306)),2)="Y:",LEFT(UPPER(TRIM(A1306)),10)="YESTERDAY:"),"Y",IF(OR(LEFT(UPPER(TRIM(A1306)),2)="T:",LEFT(UPPER(TRIM(A1306)),6)="TODAY:"),"T",IF(OR(LEFT(UPPER(TRIM(A1306)),2)="B:",LEFT(UPPER(TRIM(A1306)),8)="BLOCKER:",LEFT(UPPER(TRIM(A1306)),9)="BLOCKERS:",LEFT(UPPER(TRIM(A1306)),8)="BLOCKED:"),"B",""))))</f>
      </c>
      <c r="E1306" s="17">
        <f>IF(D1306="","",TRIM(MID(A1306,FIND(":",A1306)+1,500)))</f>
      </c>
    </row>
    <row r="1307">
      <c r="B1307" s="17">
        <f>IF(A1307="","",IF(COUNTIF(Roster[Name],IF(RIGHT(IF(LEFT(TRIM(A1307),1)="[",TRIM(MID(TRIM(A1307),FIND("]",TRIM(A1307)&amp;"]")+1,200)),TRIM(A1307)),1)=")",TRIM(LEFT(IF(LEFT(TRIM(A1307),1)="[",TRIM(MID(TRIM(A1307),FIND("]",TRIM(A1307)&amp;"]")+1,200)),TRIM(A1307)),FIND("(",IF(LEFT(TRIM(A1307),1)="[",TRIM(MID(TRIM(A1307),FIND("]",TRIM(A1307)&amp;"]")+1,200)),TRIM(A1307))&amp;"(")-1)),IF(LEFT(TRIM(A1307),1)="[",TRIM(MID(TRIM(A1307),FIND("]",TRIM(A1307)&amp;"]")+1,200)),TRIM(A1307))))&gt;0,IF(RIGHT(IF(LEFT(TRIM(A1307),1)="[",TRIM(MID(TRIM(A1307),FIND("]",TRIM(A1307)&amp;"]")+1,200)),TRIM(A1307)),1)=")",TRIM(LEFT(IF(LEFT(TRIM(A1307),1)="[",TRIM(MID(TRIM(A1307),FIND("]",TRIM(A1307)&amp;"]")+1,200)),TRIM(A1307)),FIND("(",IF(LEFT(TRIM(A1307),1)="[",TRIM(MID(TRIM(A1307),FIND("]",TRIM(A1307)&amp;"]")+1,200)),TRIM(A1307))&amp;"(")-1)),IF(LEFT(TRIM(A1307),1)="[",TRIM(MID(TRIM(A1307),FIND("]",TRIM(A1307)&amp;"]")+1,200)),TRIM(A1307))),""))</f>
      </c>
      <c r="C1307" s="17">
        <f>IF(B1307&lt;&gt;"",B1307,C1306)</f>
      </c>
      <c r="D1307" s="17">
        <f>IF(A1307="","",IF(OR(LEFT(UPPER(TRIM(A1307)),2)="Y:",LEFT(UPPER(TRIM(A1307)),10)="YESTERDAY:"),"Y",IF(OR(LEFT(UPPER(TRIM(A1307)),2)="T:",LEFT(UPPER(TRIM(A1307)),6)="TODAY:"),"T",IF(OR(LEFT(UPPER(TRIM(A1307)),2)="B:",LEFT(UPPER(TRIM(A1307)),8)="BLOCKER:",LEFT(UPPER(TRIM(A1307)),9)="BLOCKERS:",LEFT(UPPER(TRIM(A1307)),8)="BLOCKED:"),"B",""))))</f>
      </c>
      <c r="E1307" s="17">
        <f>IF(D1307="","",TRIM(MID(A1307,FIND(":",A1307)+1,500)))</f>
      </c>
    </row>
    <row r="1308">
      <c r="B1308" s="17">
        <f>IF(A1308="","",IF(COUNTIF(Roster[Name],IF(RIGHT(IF(LEFT(TRIM(A1308),1)="[",TRIM(MID(TRIM(A1308),FIND("]",TRIM(A1308)&amp;"]")+1,200)),TRIM(A1308)),1)=")",TRIM(LEFT(IF(LEFT(TRIM(A1308),1)="[",TRIM(MID(TRIM(A1308),FIND("]",TRIM(A1308)&amp;"]")+1,200)),TRIM(A1308)),FIND("(",IF(LEFT(TRIM(A1308),1)="[",TRIM(MID(TRIM(A1308),FIND("]",TRIM(A1308)&amp;"]")+1,200)),TRIM(A1308))&amp;"(")-1)),IF(LEFT(TRIM(A1308),1)="[",TRIM(MID(TRIM(A1308),FIND("]",TRIM(A1308)&amp;"]")+1,200)),TRIM(A1308))))&gt;0,IF(RIGHT(IF(LEFT(TRIM(A1308),1)="[",TRIM(MID(TRIM(A1308),FIND("]",TRIM(A1308)&amp;"]")+1,200)),TRIM(A1308)),1)=")",TRIM(LEFT(IF(LEFT(TRIM(A1308),1)="[",TRIM(MID(TRIM(A1308),FIND("]",TRIM(A1308)&amp;"]")+1,200)),TRIM(A1308)),FIND("(",IF(LEFT(TRIM(A1308),1)="[",TRIM(MID(TRIM(A1308),FIND("]",TRIM(A1308)&amp;"]")+1,200)),TRIM(A1308))&amp;"(")-1)),IF(LEFT(TRIM(A1308),1)="[",TRIM(MID(TRIM(A1308),FIND("]",TRIM(A1308)&amp;"]")+1,200)),TRIM(A1308))),""))</f>
      </c>
      <c r="C1308" s="17">
        <f>IF(B1308&lt;&gt;"",B1308,C1307)</f>
      </c>
      <c r="D1308" s="17">
        <f>IF(A1308="","",IF(OR(LEFT(UPPER(TRIM(A1308)),2)="Y:",LEFT(UPPER(TRIM(A1308)),10)="YESTERDAY:"),"Y",IF(OR(LEFT(UPPER(TRIM(A1308)),2)="T:",LEFT(UPPER(TRIM(A1308)),6)="TODAY:"),"T",IF(OR(LEFT(UPPER(TRIM(A1308)),2)="B:",LEFT(UPPER(TRIM(A1308)),8)="BLOCKER:",LEFT(UPPER(TRIM(A1308)),9)="BLOCKERS:",LEFT(UPPER(TRIM(A1308)),8)="BLOCKED:"),"B",""))))</f>
      </c>
      <c r="E1308" s="17">
        <f>IF(D1308="","",TRIM(MID(A1308,FIND(":",A1308)+1,500)))</f>
      </c>
    </row>
    <row r="1309">
      <c r="B1309" s="17">
        <f>IF(A1309="","",IF(COUNTIF(Roster[Name],IF(RIGHT(IF(LEFT(TRIM(A1309),1)="[",TRIM(MID(TRIM(A1309),FIND("]",TRIM(A1309)&amp;"]")+1,200)),TRIM(A1309)),1)=")",TRIM(LEFT(IF(LEFT(TRIM(A1309),1)="[",TRIM(MID(TRIM(A1309),FIND("]",TRIM(A1309)&amp;"]")+1,200)),TRIM(A1309)),FIND("(",IF(LEFT(TRIM(A1309),1)="[",TRIM(MID(TRIM(A1309),FIND("]",TRIM(A1309)&amp;"]")+1,200)),TRIM(A1309))&amp;"(")-1)),IF(LEFT(TRIM(A1309),1)="[",TRIM(MID(TRIM(A1309),FIND("]",TRIM(A1309)&amp;"]")+1,200)),TRIM(A1309))))&gt;0,IF(RIGHT(IF(LEFT(TRIM(A1309),1)="[",TRIM(MID(TRIM(A1309),FIND("]",TRIM(A1309)&amp;"]")+1,200)),TRIM(A1309)),1)=")",TRIM(LEFT(IF(LEFT(TRIM(A1309),1)="[",TRIM(MID(TRIM(A1309),FIND("]",TRIM(A1309)&amp;"]")+1,200)),TRIM(A1309)),FIND("(",IF(LEFT(TRIM(A1309),1)="[",TRIM(MID(TRIM(A1309),FIND("]",TRIM(A1309)&amp;"]")+1,200)),TRIM(A1309))&amp;"(")-1)),IF(LEFT(TRIM(A1309),1)="[",TRIM(MID(TRIM(A1309),FIND("]",TRIM(A1309)&amp;"]")+1,200)),TRIM(A1309))),""))</f>
      </c>
      <c r="C1309" s="17">
        <f>IF(B1309&lt;&gt;"",B1309,C1308)</f>
      </c>
      <c r="D1309" s="17">
        <f>IF(A1309="","",IF(OR(LEFT(UPPER(TRIM(A1309)),2)="Y:",LEFT(UPPER(TRIM(A1309)),10)="YESTERDAY:"),"Y",IF(OR(LEFT(UPPER(TRIM(A1309)),2)="T:",LEFT(UPPER(TRIM(A1309)),6)="TODAY:"),"T",IF(OR(LEFT(UPPER(TRIM(A1309)),2)="B:",LEFT(UPPER(TRIM(A1309)),8)="BLOCKER:",LEFT(UPPER(TRIM(A1309)),9)="BLOCKERS:",LEFT(UPPER(TRIM(A1309)),8)="BLOCKED:"),"B",""))))</f>
      </c>
      <c r="E1309" s="17">
        <f>IF(D1309="","",TRIM(MID(A1309,FIND(":",A1309)+1,500)))</f>
      </c>
    </row>
    <row r="1310">
      <c r="B1310" s="17">
        <f>IF(A1310="","",IF(COUNTIF(Roster[Name],IF(RIGHT(IF(LEFT(TRIM(A1310),1)="[",TRIM(MID(TRIM(A1310),FIND("]",TRIM(A1310)&amp;"]")+1,200)),TRIM(A1310)),1)=")",TRIM(LEFT(IF(LEFT(TRIM(A1310),1)="[",TRIM(MID(TRIM(A1310),FIND("]",TRIM(A1310)&amp;"]")+1,200)),TRIM(A1310)),FIND("(",IF(LEFT(TRIM(A1310),1)="[",TRIM(MID(TRIM(A1310),FIND("]",TRIM(A1310)&amp;"]")+1,200)),TRIM(A1310))&amp;"(")-1)),IF(LEFT(TRIM(A1310),1)="[",TRIM(MID(TRIM(A1310),FIND("]",TRIM(A1310)&amp;"]")+1,200)),TRIM(A1310))))&gt;0,IF(RIGHT(IF(LEFT(TRIM(A1310),1)="[",TRIM(MID(TRIM(A1310),FIND("]",TRIM(A1310)&amp;"]")+1,200)),TRIM(A1310)),1)=")",TRIM(LEFT(IF(LEFT(TRIM(A1310),1)="[",TRIM(MID(TRIM(A1310),FIND("]",TRIM(A1310)&amp;"]")+1,200)),TRIM(A1310)),FIND("(",IF(LEFT(TRIM(A1310),1)="[",TRIM(MID(TRIM(A1310),FIND("]",TRIM(A1310)&amp;"]")+1,200)),TRIM(A1310))&amp;"(")-1)),IF(LEFT(TRIM(A1310),1)="[",TRIM(MID(TRIM(A1310),FIND("]",TRIM(A1310)&amp;"]")+1,200)),TRIM(A1310))),""))</f>
      </c>
      <c r="C1310" s="17">
        <f>IF(B1310&lt;&gt;"",B1310,C1309)</f>
      </c>
      <c r="D1310" s="17">
        <f>IF(A1310="","",IF(OR(LEFT(UPPER(TRIM(A1310)),2)="Y:",LEFT(UPPER(TRIM(A1310)),10)="YESTERDAY:"),"Y",IF(OR(LEFT(UPPER(TRIM(A1310)),2)="T:",LEFT(UPPER(TRIM(A1310)),6)="TODAY:"),"T",IF(OR(LEFT(UPPER(TRIM(A1310)),2)="B:",LEFT(UPPER(TRIM(A1310)),8)="BLOCKER:",LEFT(UPPER(TRIM(A1310)),9)="BLOCKERS:",LEFT(UPPER(TRIM(A1310)),8)="BLOCKED:"),"B",""))))</f>
      </c>
      <c r="E1310" s="17">
        <f>IF(D1310="","",TRIM(MID(A1310,FIND(":",A1310)+1,500)))</f>
      </c>
    </row>
    <row r="1311">
      <c r="B1311" s="17">
        <f>IF(A1311="","",IF(COUNTIF(Roster[Name],IF(RIGHT(IF(LEFT(TRIM(A1311),1)="[",TRIM(MID(TRIM(A1311),FIND("]",TRIM(A1311)&amp;"]")+1,200)),TRIM(A1311)),1)=")",TRIM(LEFT(IF(LEFT(TRIM(A1311),1)="[",TRIM(MID(TRIM(A1311),FIND("]",TRIM(A1311)&amp;"]")+1,200)),TRIM(A1311)),FIND("(",IF(LEFT(TRIM(A1311),1)="[",TRIM(MID(TRIM(A1311),FIND("]",TRIM(A1311)&amp;"]")+1,200)),TRIM(A1311))&amp;"(")-1)),IF(LEFT(TRIM(A1311),1)="[",TRIM(MID(TRIM(A1311),FIND("]",TRIM(A1311)&amp;"]")+1,200)),TRIM(A1311))))&gt;0,IF(RIGHT(IF(LEFT(TRIM(A1311),1)="[",TRIM(MID(TRIM(A1311),FIND("]",TRIM(A1311)&amp;"]")+1,200)),TRIM(A1311)),1)=")",TRIM(LEFT(IF(LEFT(TRIM(A1311),1)="[",TRIM(MID(TRIM(A1311),FIND("]",TRIM(A1311)&amp;"]")+1,200)),TRIM(A1311)),FIND("(",IF(LEFT(TRIM(A1311),1)="[",TRIM(MID(TRIM(A1311),FIND("]",TRIM(A1311)&amp;"]")+1,200)),TRIM(A1311))&amp;"(")-1)),IF(LEFT(TRIM(A1311),1)="[",TRIM(MID(TRIM(A1311),FIND("]",TRIM(A1311)&amp;"]")+1,200)),TRIM(A1311))),""))</f>
      </c>
      <c r="C1311" s="17">
        <f>IF(B1311&lt;&gt;"",B1311,C1310)</f>
      </c>
      <c r="D1311" s="17">
        <f>IF(A1311="","",IF(OR(LEFT(UPPER(TRIM(A1311)),2)="Y:",LEFT(UPPER(TRIM(A1311)),10)="YESTERDAY:"),"Y",IF(OR(LEFT(UPPER(TRIM(A1311)),2)="T:",LEFT(UPPER(TRIM(A1311)),6)="TODAY:"),"T",IF(OR(LEFT(UPPER(TRIM(A1311)),2)="B:",LEFT(UPPER(TRIM(A1311)),8)="BLOCKER:",LEFT(UPPER(TRIM(A1311)),9)="BLOCKERS:",LEFT(UPPER(TRIM(A1311)),8)="BLOCKED:"),"B",""))))</f>
      </c>
      <c r="E1311" s="17">
        <f>IF(D1311="","",TRIM(MID(A1311,FIND(":",A1311)+1,500)))</f>
      </c>
    </row>
    <row r="1312">
      <c r="B1312" s="17">
        <f>IF(A1312="","",IF(COUNTIF(Roster[Name],IF(RIGHT(IF(LEFT(TRIM(A1312),1)="[",TRIM(MID(TRIM(A1312),FIND("]",TRIM(A1312)&amp;"]")+1,200)),TRIM(A1312)),1)=")",TRIM(LEFT(IF(LEFT(TRIM(A1312),1)="[",TRIM(MID(TRIM(A1312),FIND("]",TRIM(A1312)&amp;"]")+1,200)),TRIM(A1312)),FIND("(",IF(LEFT(TRIM(A1312),1)="[",TRIM(MID(TRIM(A1312),FIND("]",TRIM(A1312)&amp;"]")+1,200)),TRIM(A1312))&amp;"(")-1)),IF(LEFT(TRIM(A1312),1)="[",TRIM(MID(TRIM(A1312),FIND("]",TRIM(A1312)&amp;"]")+1,200)),TRIM(A1312))))&gt;0,IF(RIGHT(IF(LEFT(TRIM(A1312),1)="[",TRIM(MID(TRIM(A1312),FIND("]",TRIM(A1312)&amp;"]")+1,200)),TRIM(A1312)),1)=")",TRIM(LEFT(IF(LEFT(TRIM(A1312),1)="[",TRIM(MID(TRIM(A1312),FIND("]",TRIM(A1312)&amp;"]")+1,200)),TRIM(A1312)),FIND("(",IF(LEFT(TRIM(A1312),1)="[",TRIM(MID(TRIM(A1312),FIND("]",TRIM(A1312)&amp;"]")+1,200)),TRIM(A1312))&amp;"(")-1)),IF(LEFT(TRIM(A1312),1)="[",TRIM(MID(TRIM(A1312),FIND("]",TRIM(A1312)&amp;"]")+1,200)),TRIM(A1312))),""))</f>
      </c>
      <c r="C1312" s="17">
        <f>IF(B1312&lt;&gt;"",B1312,C1311)</f>
      </c>
      <c r="D1312" s="17">
        <f>IF(A1312="","",IF(OR(LEFT(UPPER(TRIM(A1312)),2)="Y:",LEFT(UPPER(TRIM(A1312)),10)="YESTERDAY:"),"Y",IF(OR(LEFT(UPPER(TRIM(A1312)),2)="T:",LEFT(UPPER(TRIM(A1312)),6)="TODAY:"),"T",IF(OR(LEFT(UPPER(TRIM(A1312)),2)="B:",LEFT(UPPER(TRIM(A1312)),8)="BLOCKER:",LEFT(UPPER(TRIM(A1312)),9)="BLOCKERS:",LEFT(UPPER(TRIM(A1312)),8)="BLOCKED:"),"B",""))))</f>
      </c>
      <c r="E1312" s="17">
        <f>IF(D1312="","",TRIM(MID(A1312,FIND(":",A1312)+1,500)))</f>
      </c>
    </row>
    <row r="1313">
      <c r="B1313" s="17">
        <f>IF(A1313="","",IF(COUNTIF(Roster[Name],IF(RIGHT(IF(LEFT(TRIM(A1313),1)="[",TRIM(MID(TRIM(A1313),FIND("]",TRIM(A1313)&amp;"]")+1,200)),TRIM(A1313)),1)=")",TRIM(LEFT(IF(LEFT(TRIM(A1313),1)="[",TRIM(MID(TRIM(A1313),FIND("]",TRIM(A1313)&amp;"]")+1,200)),TRIM(A1313)),FIND("(",IF(LEFT(TRIM(A1313),1)="[",TRIM(MID(TRIM(A1313),FIND("]",TRIM(A1313)&amp;"]")+1,200)),TRIM(A1313))&amp;"(")-1)),IF(LEFT(TRIM(A1313),1)="[",TRIM(MID(TRIM(A1313),FIND("]",TRIM(A1313)&amp;"]")+1,200)),TRIM(A1313))))&gt;0,IF(RIGHT(IF(LEFT(TRIM(A1313),1)="[",TRIM(MID(TRIM(A1313),FIND("]",TRIM(A1313)&amp;"]")+1,200)),TRIM(A1313)),1)=")",TRIM(LEFT(IF(LEFT(TRIM(A1313),1)="[",TRIM(MID(TRIM(A1313),FIND("]",TRIM(A1313)&amp;"]")+1,200)),TRIM(A1313)),FIND("(",IF(LEFT(TRIM(A1313),1)="[",TRIM(MID(TRIM(A1313),FIND("]",TRIM(A1313)&amp;"]")+1,200)),TRIM(A1313))&amp;"(")-1)),IF(LEFT(TRIM(A1313),1)="[",TRIM(MID(TRIM(A1313),FIND("]",TRIM(A1313)&amp;"]")+1,200)),TRIM(A1313))),""))</f>
      </c>
      <c r="C1313" s="17">
        <f>IF(B1313&lt;&gt;"",B1313,C1312)</f>
      </c>
      <c r="D1313" s="17">
        <f>IF(A1313="","",IF(OR(LEFT(UPPER(TRIM(A1313)),2)="Y:",LEFT(UPPER(TRIM(A1313)),10)="YESTERDAY:"),"Y",IF(OR(LEFT(UPPER(TRIM(A1313)),2)="T:",LEFT(UPPER(TRIM(A1313)),6)="TODAY:"),"T",IF(OR(LEFT(UPPER(TRIM(A1313)),2)="B:",LEFT(UPPER(TRIM(A1313)),8)="BLOCKER:",LEFT(UPPER(TRIM(A1313)),9)="BLOCKERS:",LEFT(UPPER(TRIM(A1313)),8)="BLOCKED:"),"B",""))))</f>
      </c>
      <c r="E1313" s="17">
        <f>IF(D1313="","",TRIM(MID(A1313,FIND(":",A1313)+1,500)))</f>
      </c>
    </row>
    <row r="1314">
      <c r="B1314" s="17">
        <f>IF(A1314="","",IF(COUNTIF(Roster[Name],IF(RIGHT(IF(LEFT(TRIM(A1314),1)="[",TRIM(MID(TRIM(A1314),FIND("]",TRIM(A1314)&amp;"]")+1,200)),TRIM(A1314)),1)=")",TRIM(LEFT(IF(LEFT(TRIM(A1314),1)="[",TRIM(MID(TRIM(A1314),FIND("]",TRIM(A1314)&amp;"]")+1,200)),TRIM(A1314)),FIND("(",IF(LEFT(TRIM(A1314),1)="[",TRIM(MID(TRIM(A1314),FIND("]",TRIM(A1314)&amp;"]")+1,200)),TRIM(A1314))&amp;"(")-1)),IF(LEFT(TRIM(A1314),1)="[",TRIM(MID(TRIM(A1314),FIND("]",TRIM(A1314)&amp;"]")+1,200)),TRIM(A1314))))&gt;0,IF(RIGHT(IF(LEFT(TRIM(A1314),1)="[",TRIM(MID(TRIM(A1314),FIND("]",TRIM(A1314)&amp;"]")+1,200)),TRIM(A1314)),1)=")",TRIM(LEFT(IF(LEFT(TRIM(A1314),1)="[",TRIM(MID(TRIM(A1314),FIND("]",TRIM(A1314)&amp;"]")+1,200)),TRIM(A1314)),FIND("(",IF(LEFT(TRIM(A1314),1)="[",TRIM(MID(TRIM(A1314),FIND("]",TRIM(A1314)&amp;"]")+1,200)),TRIM(A1314))&amp;"(")-1)),IF(LEFT(TRIM(A1314),1)="[",TRIM(MID(TRIM(A1314),FIND("]",TRIM(A1314)&amp;"]")+1,200)),TRIM(A1314))),""))</f>
      </c>
      <c r="C1314" s="17">
        <f>IF(B1314&lt;&gt;"",B1314,C1313)</f>
      </c>
      <c r="D1314" s="17">
        <f>IF(A1314="","",IF(OR(LEFT(UPPER(TRIM(A1314)),2)="Y:",LEFT(UPPER(TRIM(A1314)),10)="YESTERDAY:"),"Y",IF(OR(LEFT(UPPER(TRIM(A1314)),2)="T:",LEFT(UPPER(TRIM(A1314)),6)="TODAY:"),"T",IF(OR(LEFT(UPPER(TRIM(A1314)),2)="B:",LEFT(UPPER(TRIM(A1314)),8)="BLOCKER:",LEFT(UPPER(TRIM(A1314)),9)="BLOCKERS:",LEFT(UPPER(TRIM(A1314)),8)="BLOCKED:"),"B",""))))</f>
      </c>
      <c r="E1314" s="17">
        <f>IF(D1314="","",TRIM(MID(A1314,FIND(":",A1314)+1,500)))</f>
      </c>
    </row>
    <row r="1315">
      <c r="B1315" s="17">
        <f>IF(A1315="","",IF(COUNTIF(Roster[Name],IF(RIGHT(IF(LEFT(TRIM(A1315),1)="[",TRIM(MID(TRIM(A1315),FIND("]",TRIM(A1315)&amp;"]")+1,200)),TRIM(A1315)),1)=")",TRIM(LEFT(IF(LEFT(TRIM(A1315),1)="[",TRIM(MID(TRIM(A1315),FIND("]",TRIM(A1315)&amp;"]")+1,200)),TRIM(A1315)),FIND("(",IF(LEFT(TRIM(A1315),1)="[",TRIM(MID(TRIM(A1315),FIND("]",TRIM(A1315)&amp;"]")+1,200)),TRIM(A1315))&amp;"(")-1)),IF(LEFT(TRIM(A1315),1)="[",TRIM(MID(TRIM(A1315),FIND("]",TRIM(A1315)&amp;"]")+1,200)),TRIM(A1315))))&gt;0,IF(RIGHT(IF(LEFT(TRIM(A1315),1)="[",TRIM(MID(TRIM(A1315),FIND("]",TRIM(A1315)&amp;"]")+1,200)),TRIM(A1315)),1)=")",TRIM(LEFT(IF(LEFT(TRIM(A1315),1)="[",TRIM(MID(TRIM(A1315),FIND("]",TRIM(A1315)&amp;"]")+1,200)),TRIM(A1315)),FIND("(",IF(LEFT(TRIM(A1315),1)="[",TRIM(MID(TRIM(A1315),FIND("]",TRIM(A1315)&amp;"]")+1,200)),TRIM(A1315))&amp;"(")-1)),IF(LEFT(TRIM(A1315),1)="[",TRIM(MID(TRIM(A1315),FIND("]",TRIM(A1315)&amp;"]")+1,200)),TRIM(A1315))),""))</f>
      </c>
      <c r="C1315" s="17">
        <f>IF(B1315&lt;&gt;"",B1315,C1314)</f>
      </c>
      <c r="D1315" s="17">
        <f>IF(A1315="","",IF(OR(LEFT(UPPER(TRIM(A1315)),2)="Y:",LEFT(UPPER(TRIM(A1315)),10)="YESTERDAY:"),"Y",IF(OR(LEFT(UPPER(TRIM(A1315)),2)="T:",LEFT(UPPER(TRIM(A1315)),6)="TODAY:"),"T",IF(OR(LEFT(UPPER(TRIM(A1315)),2)="B:",LEFT(UPPER(TRIM(A1315)),8)="BLOCKER:",LEFT(UPPER(TRIM(A1315)),9)="BLOCKERS:",LEFT(UPPER(TRIM(A1315)),8)="BLOCKED:"),"B",""))))</f>
      </c>
      <c r="E1315" s="17">
        <f>IF(D1315="","",TRIM(MID(A1315,FIND(":",A1315)+1,500)))</f>
      </c>
    </row>
    <row r="1316">
      <c r="B1316" s="17">
        <f>IF(A1316="","",IF(COUNTIF(Roster[Name],IF(RIGHT(IF(LEFT(TRIM(A1316),1)="[",TRIM(MID(TRIM(A1316),FIND("]",TRIM(A1316)&amp;"]")+1,200)),TRIM(A1316)),1)=")",TRIM(LEFT(IF(LEFT(TRIM(A1316),1)="[",TRIM(MID(TRIM(A1316),FIND("]",TRIM(A1316)&amp;"]")+1,200)),TRIM(A1316)),FIND("(",IF(LEFT(TRIM(A1316),1)="[",TRIM(MID(TRIM(A1316),FIND("]",TRIM(A1316)&amp;"]")+1,200)),TRIM(A1316))&amp;"(")-1)),IF(LEFT(TRIM(A1316),1)="[",TRIM(MID(TRIM(A1316),FIND("]",TRIM(A1316)&amp;"]")+1,200)),TRIM(A1316))))&gt;0,IF(RIGHT(IF(LEFT(TRIM(A1316),1)="[",TRIM(MID(TRIM(A1316),FIND("]",TRIM(A1316)&amp;"]")+1,200)),TRIM(A1316)),1)=")",TRIM(LEFT(IF(LEFT(TRIM(A1316),1)="[",TRIM(MID(TRIM(A1316),FIND("]",TRIM(A1316)&amp;"]")+1,200)),TRIM(A1316)),FIND("(",IF(LEFT(TRIM(A1316),1)="[",TRIM(MID(TRIM(A1316),FIND("]",TRIM(A1316)&amp;"]")+1,200)),TRIM(A1316))&amp;"(")-1)),IF(LEFT(TRIM(A1316),1)="[",TRIM(MID(TRIM(A1316),FIND("]",TRIM(A1316)&amp;"]")+1,200)),TRIM(A1316))),""))</f>
      </c>
      <c r="C1316" s="17">
        <f>IF(B1316&lt;&gt;"",B1316,C1315)</f>
      </c>
      <c r="D1316" s="17">
        <f>IF(A1316="","",IF(OR(LEFT(UPPER(TRIM(A1316)),2)="Y:",LEFT(UPPER(TRIM(A1316)),10)="YESTERDAY:"),"Y",IF(OR(LEFT(UPPER(TRIM(A1316)),2)="T:",LEFT(UPPER(TRIM(A1316)),6)="TODAY:"),"T",IF(OR(LEFT(UPPER(TRIM(A1316)),2)="B:",LEFT(UPPER(TRIM(A1316)),8)="BLOCKER:",LEFT(UPPER(TRIM(A1316)),9)="BLOCKERS:",LEFT(UPPER(TRIM(A1316)),8)="BLOCKED:"),"B",""))))</f>
      </c>
      <c r="E1316" s="17">
        <f>IF(D1316="","",TRIM(MID(A1316,FIND(":",A1316)+1,500)))</f>
      </c>
    </row>
    <row r="1317">
      <c r="B1317" s="17">
        <f>IF(A1317="","",IF(COUNTIF(Roster[Name],IF(RIGHT(IF(LEFT(TRIM(A1317),1)="[",TRIM(MID(TRIM(A1317),FIND("]",TRIM(A1317)&amp;"]")+1,200)),TRIM(A1317)),1)=")",TRIM(LEFT(IF(LEFT(TRIM(A1317),1)="[",TRIM(MID(TRIM(A1317),FIND("]",TRIM(A1317)&amp;"]")+1,200)),TRIM(A1317)),FIND("(",IF(LEFT(TRIM(A1317),1)="[",TRIM(MID(TRIM(A1317),FIND("]",TRIM(A1317)&amp;"]")+1,200)),TRIM(A1317))&amp;"(")-1)),IF(LEFT(TRIM(A1317),1)="[",TRIM(MID(TRIM(A1317),FIND("]",TRIM(A1317)&amp;"]")+1,200)),TRIM(A1317))))&gt;0,IF(RIGHT(IF(LEFT(TRIM(A1317),1)="[",TRIM(MID(TRIM(A1317),FIND("]",TRIM(A1317)&amp;"]")+1,200)),TRIM(A1317)),1)=")",TRIM(LEFT(IF(LEFT(TRIM(A1317),1)="[",TRIM(MID(TRIM(A1317),FIND("]",TRIM(A1317)&amp;"]")+1,200)),TRIM(A1317)),FIND("(",IF(LEFT(TRIM(A1317),1)="[",TRIM(MID(TRIM(A1317),FIND("]",TRIM(A1317)&amp;"]")+1,200)),TRIM(A1317))&amp;"(")-1)),IF(LEFT(TRIM(A1317),1)="[",TRIM(MID(TRIM(A1317),FIND("]",TRIM(A1317)&amp;"]")+1,200)),TRIM(A1317))),""))</f>
      </c>
      <c r="C1317" s="17">
        <f>IF(B1317&lt;&gt;"",B1317,C1316)</f>
      </c>
      <c r="D1317" s="17">
        <f>IF(A1317="","",IF(OR(LEFT(UPPER(TRIM(A1317)),2)="Y:",LEFT(UPPER(TRIM(A1317)),10)="YESTERDAY:"),"Y",IF(OR(LEFT(UPPER(TRIM(A1317)),2)="T:",LEFT(UPPER(TRIM(A1317)),6)="TODAY:"),"T",IF(OR(LEFT(UPPER(TRIM(A1317)),2)="B:",LEFT(UPPER(TRIM(A1317)),8)="BLOCKER:",LEFT(UPPER(TRIM(A1317)),9)="BLOCKERS:",LEFT(UPPER(TRIM(A1317)),8)="BLOCKED:"),"B",""))))</f>
      </c>
      <c r="E1317" s="17">
        <f>IF(D1317="","",TRIM(MID(A1317,FIND(":",A1317)+1,500)))</f>
      </c>
    </row>
    <row r="1318">
      <c r="B1318" s="17">
        <f>IF(A1318="","",IF(COUNTIF(Roster[Name],IF(RIGHT(IF(LEFT(TRIM(A1318),1)="[",TRIM(MID(TRIM(A1318),FIND("]",TRIM(A1318)&amp;"]")+1,200)),TRIM(A1318)),1)=")",TRIM(LEFT(IF(LEFT(TRIM(A1318),1)="[",TRIM(MID(TRIM(A1318),FIND("]",TRIM(A1318)&amp;"]")+1,200)),TRIM(A1318)),FIND("(",IF(LEFT(TRIM(A1318),1)="[",TRIM(MID(TRIM(A1318),FIND("]",TRIM(A1318)&amp;"]")+1,200)),TRIM(A1318))&amp;"(")-1)),IF(LEFT(TRIM(A1318),1)="[",TRIM(MID(TRIM(A1318),FIND("]",TRIM(A1318)&amp;"]")+1,200)),TRIM(A1318))))&gt;0,IF(RIGHT(IF(LEFT(TRIM(A1318),1)="[",TRIM(MID(TRIM(A1318),FIND("]",TRIM(A1318)&amp;"]")+1,200)),TRIM(A1318)),1)=")",TRIM(LEFT(IF(LEFT(TRIM(A1318),1)="[",TRIM(MID(TRIM(A1318),FIND("]",TRIM(A1318)&amp;"]")+1,200)),TRIM(A1318)),FIND("(",IF(LEFT(TRIM(A1318),1)="[",TRIM(MID(TRIM(A1318),FIND("]",TRIM(A1318)&amp;"]")+1,200)),TRIM(A1318))&amp;"(")-1)),IF(LEFT(TRIM(A1318),1)="[",TRIM(MID(TRIM(A1318),FIND("]",TRIM(A1318)&amp;"]")+1,200)),TRIM(A1318))),""))</f>
      </c>
      <c r="C1318" s="17">
        <f>IF(B1318&lt;&gt;"",B1318,C1317)</f>
      </c>
      <c r="D1318" s="17">
        <f>IF(A1318="","",IF(OR(LEFT(UPPER(TRIM(A1318)),2)="Y:",LEFT(UPPER(TRIM(A1318)),10)="YESTERDAY:"),"Y",IF(OR(LEFT(UPPER(TRIM(A1318)),2)="T:",LEFT(UPPER(TRIM(A1318)),6)="TODAY:"),"T",IF(OR(LEFT(UPPER(TRIM(A1318)),2)="B:",LEFT(UPPER(TRIM(A1318)),8)="BLOCKER:",LEFT(UPPER(TRIM(A1318)),9)="BLOCKERS:",LEFT(UPPER(TRIM(A1318)),8)="BLOCKED:"),"B",""))))</f>
      </c>
      <c r="E1318" s="17">
        <f>IF(D1318="","",TRIM(MID(A1318,FIND(":",A1318)+1,500)))</f>
      </c>
    </row>
    <row r="1319">
      <c r="B1319" s="17">
        <f>IF(A1319="","",IF(COUNTIF(Roster[Name],IF(RIGHT(IF(LEFT(TRIM(A1319),1)="[",TRIM(MID(TRIM(A1319),FIND("]",TRIM(A1319)&amp;"]")+1,200)),TRIM(A1319)),1)=")",TRIM(LEFT(IF(LEFT(TRIM(A1319),1)="[",TRIM(MID(TRIM(A1319),FIND("]",TRIM(A1319)&amp;"]")+1,200)),TRIM(A1319)),FIND("(",IF(LEFT(TRIM(A1319),1)="[",TRIM(MID(TRIM(A1319),FIND("]",TRIM(A1319)&amp;"]")+1,200)),TRIM(A1319))&amp;"(")-1)),IF(LEFT(TRIM(A1319),1)="[",TRIM(MID(TRIM(A1319),FIND("]",TRIM(A1319)&amp;"]")+1,200)),TRIM(A1319))))&gt;0,IF(RIGHT(IF(LEFT(TRIM(A1319),1)="[",TRIM(MID(TRIM(A1319),FIND("]",TRIM(A1319)&amp;"]")+1,200)),TRIM(A1319)),1)=")",TRIM(LEFT(IF(LEFT(TRIM(A1319),1)="[",TRIM(MID(TRIM(A1319),FIND("]",TRIM(A1319)&amp;"]")+1,200)),TRIM(A1319)),FIND("(",IF(LEFT(TRIM(A1319),1)="[",TRIM(MID(TRIM(A1319),FIND("]",TRIM(A1319)&amp;"]")+1,200)),TRIM(A1319))&amp;"(")-1)),IF(LEFT(TRIM(A1319),1)="[",TRIM(MID(TRIM(A1319),FIND("]",TRIM(A1319)&amp;"]")+1,200)),TRIM(A1319))),""))</f>
      </c>
      <c r="C1319" s="17">
        <f>IF(B1319&lt;&gt;"",B1319,C1318)</f>
      </c>
      <c r="D1319" s="17">
        <f>IF(A1319="","",IF(OR(LEFT(UPPER(TRIM(A1319)),2)="Y:",LEFT(UPPER(TRIM(A1319)),10)="YESTERDAY:"),"Y",IF(OR(LEFT(UPPER(TRIM(A1319)),2)="T:",LEFT(UPPER(TRIM(A1319)),6)="TODAY:"),"T",IF(OR(LEFT(UPPER(TRIM(A1319)),2)="B:",LEFT(UPPER(TRIM(A1319)),8)="BLOCKER:",LEFT(UPPER(TRIM(A1319)),9)="BLOCKERS:",LEFT(UPPER(TRIM(A1319)),8)="BLOCKED:"),"B",""))))</f>
      </c>
      <c r="E1319" s="17">
        <f>IF(D1319="","",TRIM(MID(A1319,FIND(":",A1319)+1,500)))</f>
      </c>
    </row>
    <row r="1320">
      <c r="B1320" s="17">
        <f>IF(A1320="","",IF(COUNTIF(Roster[Name],IF(RIGHT(IF(LEFT(TRIM(A1320),1)="[",TRIM(MID(TRIM(A1320),FIND("]",TRIM(A1320)&amp;"]")+1,200)),TRIM(A1320)),1)=")",TRIM(LEFT(IF(LEFT(TRIM(A1320),1)="[",TRIM(MID(TRIM(A1320),FIND("]",TRIM(A1320)&amp;"]")+1,200)),TRIM(A1320)),FIND("(",IF(LEFT(TRIM(A1320),1)="[",TRIM(MID(TRIM(A1320),FIND("]",TRIM(A1320)&amp;"]")+1,200)),TRIM(A1320))&amp;"(")-1)),IF(LEFT(TRIM(A1320),1)="[",TRIM(MID(TRIM(A1320),FIND("]",TRIM(A1320)&amp;"]")+1,200)),TRIM(A1320))))&gt;0,IF(RIGHT(IF(LEFT(TRIM(A1320),1)="[",TRIM(MID(TRIM(A1320),FIND("]",TRIM(A1320)&amp;"]")+1,200)),TRIM(A1320)),1)=")",TRIM(LEFT(IF(LEFT(TRIM(A1320),1)="[",TRIM(MID(TRIM(A1320),FIND("]",TRIM(A1320)&amp;"]")+1,200)),TRIM(A1320)),FIND("(",IF(LEFT(TRIM(A1320),1)="[",TRIM(MID(TRIM(A1320),FIND("]",TRIM(A1320)&amp;"]")+1,200)),TRIM(A1320))&amp;"(")-1)),IF(LEFT(TRIM(A1320),1)="[",TRIM(MID(TRIM(A1320),FIND("]",TRIM(A1320)&amp;"]")+1,200)),TRIM(A1320))),""))</f>
      </c>
      <c r="C1320" s="17">
        <f>IF(B1320&lt;&gt;"",B1320,C1319)</f>
      </c>
      <c r="D1320" s="17">
        <f>IF(A1320="","",IF(OR(LEFT(UPPER(TRIM(A1320)),2)="Y:",LEFT(UPPER(TRIM(A1320)),10)="YESTERDAY:"),"Y",IF(OR(LEFT(UPPER(TRIM(A1320)),2)="T:",LEFT(UPPER(TRIM(A1320)),6)="TODAY:"),"T",IF(OR(LEFT(UPPER(TRIM(A1320)),2)="B:",LEFT(UPPER(TRIM(A1320)),8)="BLOCKER:",LEFT(UPPER(TRIM(A1320)),9)="BLOCKERS:",LEFT(UPPER(TRIM(A1320)),8)="BLOCKED:"),"B",""))))</f>
      </c>
      <c r="E1320" s="17">
        <f>IF(D1320="","",TRIM(MID(A1320,FIND(":",A1320)+1,500)))</f>
      </c>
    </row>
    <row r="1321">
      <c r="B1321" s="17">
        <f>IF(A1321="","",IF(COUNTIF(Roster[Name],IF(RIGHT(IF(LEFT(TRIM(A1321),1)="[",TRIM(MID(TRIM(A1321),FIND("]",TRIM(A1321)&amp;"]")+1,200)),TRIM(A1321)),1)=")",TRIM(LEFT(IF(LEFT(TRIM(A1321),1)="[",TRIM(MID(TRIM(A1321),FIND("]",TRIM(A1321)&amp;"]")+1,200)),TRIM(A1321)),FIND("(",IF(LEFT(TRIM(A1321),1)="[",TRIM(MID(TRIM(A1321),FIND("]",TRIM(A1321)&amp;"]")+1,200)),TRIM(A1321))&amp;"(")-1)),IF(LEFT(TRIM(A1321),1)="[",TRIM(MID(TRIM(A1321),FIND("]",TRIM(A1321)&amp;"]")+1,200)),TRIM(A1321))))&gt;0,IF(RIGHT(IF(LEFT(TRIM(A1321),1)="[",TRIM(MID(TRIM(A1321),FIND("]",TRIM(A1321)&amp;"]")+1,200)),TRIM(A1321)),1)=")",TRIM(LEFT(IF(LEFT(TRIM(A1321),1)="[",TRIM(MID(TRIM(A1321),FIND("]",TRIM(A1321)&amp;"]")+1,200)),TRIM(A1321)),FIND("(",IF(LEFT(TRIM(A1321),1)="[",TRIM(MID(TRIM(A1321),FIND("]",TRIM(A1321)&amp;"]")+1,200)),TRIM(A1321))&amp;"(")-1)),IF(LEFT(TRIM(A1321),1)="[",TRIM(MID(TRIM(A1321),FIND("]",TRIM(A1321)&amp;"]")+1,200)),TRIM(A1321))),""))</f>
      </c>
      <c r="C1321" s="17">
        <f>IF(B1321&lt;&gt;"",B1321,C1320)</f>
      </c>
      <c r="D1321" s="17">
        <f>IF(A1321="","",IF(OR(LEFT(UPPER(TRIM(A1321)),2)="Y:",LEFT(UPPER(TRIM(A1321)),10)="YESTERDAY:"),"Y",IF(OR(LEFT(UPPER(TRIM(A1321)),2)="T:",LEFT(UPPER(TRIM(A1321)),6)="TODAY:"),"T",IF(OR(LEFT(UPPER(TRIM(A1321)),2)="B:",LEFT(UPPER(TRIM(A1321)),8)="BLOCKER:",LEFT(UPPER(TRIM(A1321)),9)="BLOCKERS:",LEFT(UPPER(TRIM(A1321)),8)="BLOCKED:"),"B",""))))</f>
      </c>
      <c r="E1321" s="17">
        <f>IF(D1321="","",TRIM(MID(A1321,FIND(":",A1321)+1,500)))</f>
      </c>
    </row>
    <row r="1322">
      <c r="B1322" s="17">
        <f>IF(A1322="","",IF(COUNTIF(Roster[Name],IF(RIGHT(IF(LEFT(TRIM(A1322),1)="[",TRIM(MID(TRIM(A1322),FIND("]",TRIM(A1322)&amp;"]")+1,200)),TRIM(A1322)),1)=")",TRIM(LEFT(IF(LEFT(TRIM(A1322),1)="[",TRIM(MID(TRIM(A1322),FIND("]",TRIM(A1322)&amp;"]")+1,200)),TRIM(A1322)),FIND("(",IF(LEFT(TRIM(A1322),1)="[",TRIM(MID(TRIM(A1322),FIND("]",TRIM(A1322)&amp;"]")+1,200)),TRIM(A1322))&amp;"(")-1)),IF(LEFT(TRIM(A1322),1)="[",TRIM(MID(TRIM(A1322),FIND("]",TRIM(A1322)&amp;"]")+1,200)),TRIM(A1322))))&gt;0,IF(RIGHT(IF(LEFT(TRIM(A1322),1)="[",TRIM(MID(TRIM(A1322),FIND("]",TRIM(A1322)&amp;"]")+1,200)),TRIM(A1322)),1)=")",TRIM(LEFT(IF(LEFT(TRIM(A1322),1)="[",TRIM(MID(TRIM(A1322),FIND("]",TRIM(A1322)&amp;"]")+1,200)),TRIM(A1322)),FIND("(",IF(LEFT(TRIM(A1322),1)="[",TRIM(MID(TRIM(A1322),FIND("]",TRIM(A1322)&amp;"]")+1,200)),TRIM(A1322))&amp;"(")-1)),IF(LEFT(TRIM(A1322),1)="[",TRIM(MID(TRIM(A1322),FIND("]",TRIM(A1322)&amp;"]")+1,200)),TRIM(A1322))),""))</f>
      </c>
      <c r="C1322" s="17">
        <f>IF(B1322&lt;&gt;"",B1322,C1321)</f>
      </c>
      <c r="D1322" s="17">
        <f>IF(A1322="","",IF(OR(LEFT(UPPER(TRIM(A1322)),2)="Y:",LEFT(UPPER(TRIM(A1322)),10)="YESTERDAY:"),"Y",IF(OR(LEFT(UPPER(TRIM(A1322)),2)="T:",LEFT(UPPER(TRIM(A1322)),6)="TODAY:"),"T",IF(OR(LEFT(UPPER(TRIM(A1322)),2)="B:",LEFT(UPPER(TRIM(A1322)),8)="BLOCKER:",LEFT(UPPER(TRIM(A1322)),9)="BLOCKERS:",LEFT(UPPER(TRIM(A1322)),8)="BLOCKED:"),"B",""))))</f>
      </c>
      <c r="E1322" s="17">
        <f>IF(D1322="","",TRIM(MID(A1322,FIND(":",A1322)+1,500)))</f>
      </c>
    </row>
    <row r="1323">
      <c r="B1323" s="17">
        <f>IF(A1323="","",IF(COUNTIF(Roster[Name],IF(RIGHT(IF(LEFT(TRIM(A1323),1)="[",TRIM(MID(TRIM(A1323),FIND("]",TRIM(A1323)&amp;"]")+1,200)),TRIM(A1323)),1)=")",TRIM(LEFT(IF(LEFT(TRIM(A1323),1)="[",TRIM(MID(TRIM(A1323),FIND("]",TRIM(A1323)&amp;"]")+1,200)),TRIM(A1323)),FIND("(",IF(LEFT(TRIM(A1323),1)="[",TRIM(MID(TRIM(A1323),FIND("]",TRIM(A1323)&amp;"]")+1,200)),TRIM(A1323))&amp;"(")-1)),IF(LEFT(TRIM(A1323),1)="[",TRIM(MID(TRIM(A1323),FIND("]",TRIM(A1323)&amp;"]")+1,200)),TRIM(A1323))))&gt;0,IF(RIGHT(IF(LEFT(TRIM(A1323),1)="[",TRIM(MID(TRIM(A1323),FIND("]",TRIM(A1323)&amp;"]")+1,200)),TRIM(A1323)),1)=")",TRIM(LEFT(IF(LEFT(TRIM(A1323),1)="[",TRIM(MID(TRIM(A1323),FIND("]",TRIM(A1323)&amp;"]")+1,200)),TRIM(A1323)),FIND("(",IF(LEFT(TRIM(A1323),1)="[",TRIM(MID(TRIM(A1323),FIND("]",TRIM(A1323)&amp;"]")+1,200)),TRIM(A1323))&amp;"(")-1)),IF(LEFT(TRIM(A1323),1)="[",TRIM(MID(TRIM(A1323),FIND("]",TRIM(A1323)&amp;"]")+1,200)),TRIM(A1323))),""))</f>
      </c>
      <c r="C1323" s="17">
        <f>IF(B1323&lt;&gt;"",B1323,C1322)</f>
      </c>
      <c r="D1323" s="17">
        <f>IF(A1323="","",IF(OR(LEFT(UPPER(TRIM(A1323)),2)="Y:",LEFT(UPPER(TRIM(A1323)),10)="YESTERDAY:"),"Y",IF(OR(LEFT(UPPER(TRIM(A1323)),2)="T:",LEFT(UPPER(TRIM(A1323)),6)="TODAY:"),"T",IF(OR(LEFT(UPPER(TRIM(A1323)),2)="B:",LEFT(UPPER(TRIM(A1323)),8)="BLOCKER:",LEFT(UPPER(TRIM(A1323)),9)="BLOCKERS:",LEFT(UPPER(TRIM(A1323)),8)="BLOCKED:"),"B",""))))</f>
      </c>
      <c r="E1323" s="17">
        <f>IF(D1323="","",TRIM(MID(A1323,FIND(":",A1323)+1,500)))</f>
      </c>
    </row>
    <row r="1324">
      <c r="B1324" s="17">
        <f>IF(A1324="","",IF(COUNTIF(Roster[Name],IF(RIGHT(IF(LEFT(TRIM(A1324),1)="[",TRIM(MID(TRIM(A1324),FIND("]",TRIM(A1324)&amp;"]")+1,200)),TRIM(A1324)),1)=")",TRIM(LEFT(IF(LEFT(TRIM(A1324),1)="[",TRIM(MID(TRIM(A1324),FIND("]",TRIM(A1324)&amp;"]")+1,200)),TRIM(A1324)),FIND("(",IF(LEFT(TRIM(A1324),1)="[",TRIM(MID(TRIM(A1324),FIND("]",TRIM(A1324)&amp;"]")+1,200)),TRIM(A1324))&amp;"(")-1)),IF(LEFT(TRIM(A1324),1)="[",TRIM(MID(TRIM(A1324),FIND("]",TRIM(A1324)&amp;"]")+1,200)),TRIM(A1324))))&gt;0,IF(RIGHT(IF(LEFT(TRIM(A1324),1)="[",TRIM(MID(TRIM(A1324),FIND("]",TRIM(A1324)&amp;"]")+1,200)),TRIM(A1324)),1)=")",TRIM(LEFT(IF(LEFT(TRIM(A1324),1)="[",TRIM(MID(TRIM(A1324),FIND("]",TRIM(A1324)&amp;"]")+1,200)),TRIM(A1324)),FIND("(",IF(LEFT(TRIM(A1324),1)="[",TRIM(MID(TRIM(A1324),FIND("]",TRIM(A1324)&amp;"]")+1,200)),TRIM(A1324))&amp;"(")-1)),IF(LEFT(TRIM(A1324),1)="[",TRIM(MID(TRIM(A1324),FIND("]",TRIM(A1324)&amp;"]")+1,200)),TRIM(A1324))),""))</f>
      </c>
      <c r="C1324" s="17">
        <f>IF(B1324&lt;&gt;"",B1324,C1323)</f>
      </c>
      <c r="D1324" s="17">
        <f>IF(A1324="","",IF(OR(LEFT(UPPER(TRIM(A1324)),2)="Y:",LEFT(UPPER(TRIM(A1324)),10)="YESTERDAY:"),"Y",IF(OR(LEFT(UPPER(TRIM(A1324)),2)="T:",LEFT(UPPER(TRIM(A1324)),6)="TODAY:"),"T",IF(OR(LEFT(UPPER(TRIM(A1324)),2)="B:",LEFT(UPPER(TRIM(A1324)),8)="BLOCKER:",LEFT(UPPER(TRIM(A1324)),9)="BLOCKERS:",LEFT(UPPER(TRIM(A1324)),8)="BLOCKED:"),"B",""))))</f>
      </c>
      <c r="E1324" s="17">
        <f>IF(D1324="","",TRIM(MID(A1324,FIND(":",A1324)+1,500)))</f>
      </c>
    </row>
    <row r="1325">
      <c r="B1325" s="17">
        <f>IF(A1325="","",IF(COUNTIF(Roster[Name],IF(RIGHT(IF(LEFT(TRIM(A1325),1)="[",TRIM(MID(TRIM(A1325),FIND("]",TRIM(A1325)&amp;"]")+1,200)),TRIM(A1325)),1)=")",TRIM(LEFT(IF(LEFT(TRIM(A1325),1)="[",TRIM(MID(TRIM(A1325),FIND("]",TRIM(A1325)&amp;"]")+1,200)),TRIM(A1325)),FIND("(",IF(LEFT(TRIM(A1325),1)="[",TRIM(MID(TRIM(A1325),FIND("]",TRIM(A1325)&amp;"]")+1,200)),TRIM(A1325))&amp;"(")-1)),IF(LEFT(TRIM(A1325),1)="[",TRIM(MID(TRIM(A1325),FIND("]",TRIM(A1325)&amp;"]")+1,200)),TRIM(A1325))))&gt;0,IF(RIGHT(IF(LEFT(TRIM(A1325),1)="[",TRIM(MID(TRIM(A1325),FIND("]",TRIM(A1325)&amp;"]")+1,200)),TRIM(A1325)),1)=")",TRIM(LEFT(IF(LEFT(TRIM(A1325),1)="[",TRIM(MID(TRIM(A1325),FIND("]",TRIM(A1325)&amp;"]")+1,200)),TRIM(A1325)),FIND("(",IF(LEFT(TRIM(A1325),1)="[",TRIM(MID(TRIM(A1325),FIND("]",TRIM(A1325)&amp;"]")+1,200)),TRIM(A1325))&amp;"(")-1)),IF(LEFT(TRIM(A1325),1)="[",TRIM(MID(TRIM(A1325),FIND("]",TRIM(A1325)&amp;"]")+1,200)),TRIM(A1325))),""))</f>
      </c>
      <c r="C1325" s="17">
        <f>IF(B1325&lt;&gt;"",B1325,C1324)</f>
      </c>
      <c r="D1325" s="17">
        <f>IF(A1325="","",IF(OR(LEFT(UPPER(TRIM(A1325)),2)="Y:",LEFT(UPPER(TRIM(A1325)),10)="YESTERDAY:"),"Y",IF(OR(LEFT(UPPER(TRIM(A1325)),2)="T:",LEFT(UPPER(TRIM(A1325)),6)="TODAY:"),"T",IF(OR(LEFT(UPPER(TRIM(A1325)),2)="B:",LEFT(UPPER(TRIM(A1325)),8)="BLOCKER:",LEFT(UPPER(TRIM(A1325)),9)="BLOCKERS:",LEFT(UPPER(TRIM(A1325)),8)="BLOCKED:"),"B",""))))</f>
      </c>
      <c r="E1325" s="17">
        <f>IF(D1325="","",TRIM(MID(A1325,FIND(":",A1325)+1,500)))</f>
      </c>
    </row>
    <row r="1326">
      <c r="B1326" s="17">
        <f>IF(A1326="","",IF(COUNTIF(Roster[Name],IF(RIGHT(IF(LEFT(TRIM(A1326),1)="[",TRIM(MID(TRIM(A1326),FIND("]",TRIM(A1326)&amp;"]")+1,200)),TRIM(A1326)),1)=")",TRIM(LEFT(IF(LEFT(TRIM(A1326),1)="[",TRIM(MID(TRIM(A1326),FIND("]",TRIM(A1326)&amp;"]")+1,200)),TRIM(A1326)),FIND("(",IF(LEFT(TRIM(A1326),1)="[",TRIM(MID(TRIM(A1326),FIND("]",TRIM(A1326)&amp;"]")+1,200)),TRIM(A1326))&amp;"(")-1)),IF(LEFT(TRIM(A1326),1)="[",TRIM(MID(TRIM(A1326),FIND("]",TRIM(A1326)&amp;"]")+1,200)),TRIM(A1326))))&gt;0,IF(RIGHT(IF(LEFT(TRIM(A1326),1)="[",TRIM(MID(TRIM(A1326),FIND("]",TRIM(A1326)&amp;"]")+1,200)),TRIM(A1326)),1)=")",TRIM(LEFT(IF(LEFT(TRIM(A1326),1)="[",TRIM(MID(TRIM(A1326),FIND("]",TRIM(A1326)&amp;"]")+1,200)),TRIM(A1326)),FIND("(",IF(LEFT(TRIM(A1326),1)="[",TRIM(MID(TRIM(A1326),FIND("]",TRIM(A1326)&amp;"]")+1,200)),TRIM(A1326))&amp;"(")-1)),IF(LEFT(TRIM(A1326),1)="[",TRIM(MID(TRIM(A1326),FIND("]",TRIM(A1326)&amp;"]")+1,200)),TRIM(A1326))),""))</f>
      </c>
      <c r="C1326" s="17">
        <f>IF(B1326&lt;&gt;"",B1326,C1325)</f>
      </c>
      <c r="D1326" s="17">
        <f>IF(A1326="","",IF(OR(LEFT(UPPER(TRIM(A1326)),2)="Y:",LEFT(UPPER(TRIM(A1326)),10)="YESTERDAY:"),"Y",IF(OR(LEFT(UPPER(TRIM(A1326)),2)="T:",LEFT(UPPER(TRIM(A1326)),6)="TODAY:"),"T",IF(OR(LEFT(UPPER(TRIM(A1326)),2)="B:",LEFT(UPPER(TRIM(A1326)),8)="BLOCKER:",LEFT(UPPER(TRIM(A1326)),9)="BLOCKERS:",LEFT(UPPER(TRIM(A1326)),8)="BLOCKED:"),"B",""))))</f>
      </c>
      <c r="E1326" s="17">
        <f>IF(D1326="","",TRIM(MID(A1326,FIND(":",A1326)+1,500)))</f>
      </c>
    </row>
    <row r="1327">
      <c r="B1327" s="17">
        <f>IF(A1327="","",IF(COUNTIF(Roster[Name],IF(RIGHT(IF(LEFT(TRIM(A1327),1)="[",TRIM(MID(TRIM(A1327),FIND("]",TRIM(A1327)&amp;"]")+1,200)),TRIM(A1327)),1)=")",TRIM(LEFT(IF(LEFT(TRIM(A1327),1)="[",TRIM(MID(TRIM(A1327),FIND("]",TRIM(A1327)&amp;"]")+1,200)),TRIM(A1327)),FIND("(",IF(LEFT(TRIM(A1327),1)="[",TRIM(MID(TRIM(A1327),FIND("]",TRIM(A1327)&amp;"]")+1,200)),TRIM(A1327))&amp;"(")-1)),IF(LEFT(TRIM(A1327),1)="[",TRIM(MID(TRIM(A1327),FIND("]",TRIM(A1327)&amp;"]")+1,200)),TRIM(A1327))))&gt;0,IF(RIGHT(IF(LEFT(TRIM(A1327),1)="[",TRIM(MID(TRIM(A1327),FIND("]",TRIM(A1327)&amp;"]")+1,200)),TRIM(A1327)),1)=")",TRIM(LEFT(IF(LEFT(TRIM(A1327),1)="[",TRIM(MID(TRIM(A1327),FIND("]",TRIM(A1327)&amp;"]")+1,200)),TRIM(A1327)),FIND("(",IF(LEFT(TRIM(A1327),1)="[",TRIM(MID(TRIM(A1327),FIND("]",TRIM(A1327)&amp;"]")+1,200)),TRIM(A1327))&amp;"(")-1)),IF(LEFT(TRIM(A1327),1)="[",TRIM(MID(TRIM(A1327),FIND("]",TRIM(A1327)&amp;"]")+1,200)),TRIM(A1327))),""))</f>
      </c>
      <c r="C1327" s="17">
        <f>IF(B1327&lt;&gt;"",B1327,C1326)</f>
      </c>
      <c r="D1327" s="17">
        <f>IF(A1327="","",IF(OR(LEFT(UPPER(TRIM(A1327)),2)="Y:",LEFT(UPPER(TRIM(A1327)),10)="YESTERDAY:"),"Y",IF(OR(LEFT(UPPER(TRIM(A1327)),2)="T:",LEFT(UPPER(TRIM(A1327)),6)="TODAY:"),"T",IF(OR(LEFT(UPPER(TRIM(A1327)),2)="B:",LEFT(UPPER(TRIM(A1327)),8)="BLOCKER:",LEFT(UPPER(TRIM(A1327)),9)="BLOCKERS:",LEFT(UPPER(TRIM(A1327)),8)="BLOCKED:"),"B",""))))</f>
      </c>
      <c r="E1327" s="17">
        <f>IF(D1327="","",TRIM(MID(A1327,FIND(":",A1327)+1,500)))</f>
      </c>
    </row>
    <row r="1328">
      <c r="B1328" s="17">
        <f>IF(A1328="","",IF(COUNTIF(Roster[Name],IF(RIGHT(IF(LEFT(TRIM(A1328),1)="[",TRIM(MID(TRIM(A1328),FIND("]",TRIM(A1328)&amp;"]")+1,200)),TRIM(A1328)),1)=")",TRIM(LEFT(IF(LEFT(TRIM(A1328),1)="[",TRIM(MID(TRIM(A1328),FIND("]",TRIM(A1328)&amp;"]")+1,200)),TRIM(A1328)),FIND("(",IF(LEFT(TRIM(A1328),1)="[",TRIM(MID(TRIM(A1328),FIND("]",TRIM(A1328)&amp;"]")+1,200)),TRIM(A1328))&amp;"(")-1)),IF(LEFT(TRIM(A1328),1)="[",TRIM(MID(TRIM(A1328),FIND("]",TRIM(A1328)&amp;"]")+1,200)),TRIM(A1328))))&gt;0,IF(RIGHT(IF(LEFT(TRIM(A1328),1)="[",TRIM(MID(TRIM(A1328),FIND("]",TRIM(A1328)&amp;"]")+1,200)),TRIM(A1328)),1)=")",TRIM(LEFT(IF(LEFT(TRIM(A1328),1)="[",TRIM(MID(TRIM(A1328),FIND("]",TRIM(A1328)&amp;"]")+1,200)),TRIM(A1328)),FIND("(",IF(LEFT(TRIM(A1328),1)="[",TRIM(MID(TRIM(A1328),FIND("]",TRIM(A1328)&amp;"]")+1,200)),TRIM(A1328))&amp;"(")-1)),IF(LEFT(TRIM(A1328),1)="[",TRIM(MID(TRIM(A1328),FIND("]",TRIM(A1328)&amp;"]")+1,200)),TRIM(A1328))),""))</f>
      </c>
      <c r="C1328" s="17">
        <f>IF(B1328&lt;&gt;"",B1328,C1327)</f>
      </c>
      <c r="D1328" s="17">
        <f>IF(A1328="","",IF(OR(LEFT(UPPER(TRIM(A1328)),2)="Y:",LEFT(UPPER(TRIM(A1328)),10)="YESTERDAY:"),"Y",IF(OR(LEFT(UPPER(TRIM(A1328)),2)="T:",LEFT(UPPER(TRIM(A1328)),6)="TODAY:"),"T",IF(OR(LEFT(UPPER(TRIM(A1328)),2)="B:",LEFT(UPPER(TRIM(A1328)),8)="BLOCKER:",LEFT(UPPER(TRIM(A1328)),9)="BLOCKERS:",LEFT(UPPER(TRIM(A1328)),8)="BLOCKED:"),"B",""))))</f>
      </c>
      <c r="E1328" s="17">
        <f>IF(D1328="","",TRIM(MID(A1328,FIND(":",A1328)+1,500)))</f>
      </c>
    </row>
    <row r="1329">
      <c r="B1329" s="17">
        <f>IF(A1329="","",IF(COUNTIF(Roster[Name],IF(RIGHT(IF(LEFT(TRIM(A1329),1)="[",TRIM(MID(TRIM(A1329),FIND("]",TRIM(A1329)&amp;"]")+1,200)),TRIM(A1329)),1)=")",TRIM(LEFT(IF(LEFT(TRIM(A1329),1)="[",TRIM(MID(TRIM(A1329),FIND("]",TRIM(A1329)&amp;"]")+1,200)),TRIM(A1329)),FIND("(",IF(LEFT(TRIM(A1329),1)="[",TRIM(MID(TRIM(A1329),FIND("]",TRIM(A1329)&amp;"]")+1,200)),TRIM(A1329))&amp;"(")-1)),IF(LEFT(TRIM(A1329),1)="[",TRIM(MID(TRIM(A1329),FIND("]",TRIM(A1329)&amp;"]")+1,200)),TRIM(A1329))))&gt;0,IF(RIGHT(IF(LEFT(TRIM(A1329),1)="[",TRIM(MID(TRIM(A1329),FIND("]",TRIM(A1329)&amp;"]")+1,200)),TRIM(A1329)),1)=")",TRIM(LEFT(IF(LEFT(TRIM(A1329),1)="[",TRIM(MID(TRIM(A1329),FIND("]",TRIM(A1329)&amp;"]")+1,200)),TRIM(A1329)),FIND("(",IF(LEFT(TRIM(A1329),1)="[",TRIM(MID(TRIM(A1329),FIND("]",TRIM(A1329)&amp;"]")+1,200)),TRIM(A1329))&amp;"(")-1)),IF(LEFT(TRIM(A1329),1)="[",TRIM(MID(TRIM(A1329),FIND("]",TRIM(A1329)&amp;"]")+1,200)),TRIM(A1329))),""))</f>
      </c>
      <c r="C1329" s="17">
        <f>IF(B1329&lt;&gt;"",B1329,C1328)</f>
      </c>
      <c r="D1329" s="17">
        <f>IF(A1329="","",IF(OR(LEFT(UPPER(TRIM(A1329)),2)="Y:",LEFT(UPPER(TRIM(A1329)),10)="YESTERDAY:"),"Y",IF(OR(LEFT(UPPER(TRIM(A1329)),2)="T:",LEFT(UPPER(TRIM(A1329)),6)="TODAY:"),"T",IF(OR(LEFT(UPPER(TRIM(A1329)),2)="B:",LEFT(UPPER(TRIM(A1329)),8)="BLOCKER:",LEFT(UPPER(TRIM(A1329)),9)="BLOCKERS:",LEFT(UPPER(TRIM(A1329)),8)="BLOCKED:"),"B",""))))</f>
      </c>
      <c r="E1329" s="17">
        <f>IF(D1329="","",TRIM(MID(A1329,FIND(":",A1329)+1,500)))</f>
      </c>
    </row>
    <row r="1330">
      <c r="B1330" s="17">
        <f>IF(A1330="","",IF(COUNTIF(Roster[Name],IF(RIGHT(IF(LEFT(TRIM(A1330),1)="[",TRIM(MID(TRIM(A1330),FIND("]",TRIM(A1330)&amp;"]")+1,200)),TRIM(A1330)),1)=")",TRIM(LEFT(IF(LEFT(TRIM(A1330),1)="[",TRIM(MID(TRIM(A1330),FIND("]",TRIM(A1330)&amp;"]")+1,200)),TRIM(A1330)),FIND("(",IF(LEFT(TRIM(A1330),1)="[",TRIM(MID(TRIM(A1330),FIND("]",TRIM(A1330)&amp;"]")+1,200)),TRIM(A1330))&amp;"(")-1)),IF(LEFT(TRIM(A1330),1)="[",TRIM(MID(TRIM(A1330),FIND("]",TRIM(A1330)&amp;"]")+1,200)),TRIM(A1330))))&gt;0,IF(RIGHT(IF(LEFT(TRIM(A1330),1)="[",TRIM(MID(TRIM(A1330),FIND("]",TRIM(A1330)&amp;"]")+1,200)),TRIM(A1330)),1)=")",TRIM(LEFT(IF(LEFT(TRIM(A1330),1)="[",TRIM(MID(TRIM(A1330),FIND("]",TRIM(A1330)&amp;"]")+1,200)),TRIM(A1330)),FIND("(",IF(LEFT(TRIM(A1330),1)="[",TRIM(MID(TRIM(A1330),FIND("]",TRIM(A1330)&amp;"]")+1,200)),TRIM(A1330))&amp;"(")-1)),IF(LEFT(TRIM(A1330),1)="[",TRIM(MID(TRIM(A1330),FIND("]",TRIM(A1330)&amp;"]")+1,200)),TRIM(A1330))),""))</f>
      </c>
      <c r="C1330" s="17">
        <f>IF(B1330&lt;&gt;"",B1330,C1329)</f>
      </c>
      <c r="D1330" s="17">
        <f>IF(A1330="","",IF(OR(LEFT(UPPER(TRIM(A1330)),2)="Y:",LEFT(UPPER(TRIM(A1330)),10)="YESTERDAY:"),"Y",IF(OR(LEFT(UPPER(TRIM(A1330)),2)="T:",LEFT(UPPER(TRIM(A1330)),6)="TODAY:"),"T",IF(OR(LEFT(UPPER(TRIM(A1330)),2)="B:",LEFT(UPPER(TRIM(A1330)),8)="BLOCKER:",LEFT(UPPER(TRIM(A1330)),9)="BLOCKERS:",LEFT(UPPER(TRIM(A1330)),8)="BLOCKED:"),"B",""))))</f>
      </c>
      <c r="E1330" s="17">
        <f>IF(D1330="","",TRIM(MID(A1330,FIND(":",A1330)+1,500)))</f>
      </c>
    </row>
    <row r="1331">
      <c r="B1331" s="17">
        <f>IF(A1331="","",IF(COUNTIF(Roster[Name],IF(RIGHT(IF(LEFT(TRIM(A1331),1)="[",TRIM(MID(TRIM(A1331),FIND("]",TRIM(A1331)&amp;"]")+1,200)),TRIM(A1331)),1)=")",TRIM(LEFT(IF(LEFT(TRIM(A1331),1)="[",TRIM(MID(TRIM(A1331),FIND("]",TRIM(A1331)&amp;"]")+1,200)),TRIM(A1331)),FIND("(",IF(LEFT(TRIM(A1331),1)="[",TRIM(MID(TRIM(A1331),FIND("]",TRIM(A1331)&amp;"]")+1,200)),TRIM(A1331))&amp;"(")-1)),IF(LEFT(TRIM(A1331),1)="[",TRIM(MID(TRIM(A1331),FIND("]",TRIM(A1331)&amp;"]")+1,200)),TRIM(A1331))))&gt;0,IF(RIGHT(IF(LEFT(TRIM(A1331),1)="[",TRIM(MID(TRIM(A1331),FIND("]",TRIM(A1331)&amp;"]")+1,200)),TRIM(A1331)),1)=")",TRIM(LEFT(IF(LEFT(TRIM(A1331),1)="[",TRIM(MID(TRIM(A1331),FIND("]",TRIM(A1331)&amp;"]")+1,200)),TRIM(A1331)),FIND("(",IF(LEFT(TRIM(A1331),1)="[",TRIM(MID(TRIM(A1331),FIND("]",TRIM(A1331)&amp;"]")+1,200)),TRIM(A1331))&amp;"(")-1)),IF(LEFT(TRIM(A1331),1)="[",TRIM(MID(TRIM(A1331),FIND("]",TRIM(A1331)&amp;"]")+1,200)),TRIM(A1331))),""))</f>
      </c>
      <c r="C1331" s="17">
        <f>IF(B1331&lt;&gt;"",B1331,C1330)</f>
      </c>
      <c r="D1331" s="17">
        <f>IF(A1331="","",IF(OR(LEFT(UPPER(TRIM(A1331)),2)="Y:",LEFT(UPPER(TRIM(A1331)),10)="YESTERDAY:"),"Y",IF(OR(LEFT(UPPER(TRIM(A1331)),2)="T:",LEFT(UPPER(TRIM(A1331)),6)="TODAY:"),"T",IF(OR(LEFT(UPPER(TRIM(A1331)),2)="B:",LEFT(UPPER(TRIM(A1331)),8)="BLOCKER:",LEFT(UPPER(TRIM(A1331)),9)="BLOCKERS:",LEFT(UPPER(TRIM(A1331)),8)="BLOCKED:"),"B",""))))</f>
      </c>
      <c r="E1331" s="17">
        <f>IF(D1331="","",TRIM(MID(A1331,FIND(":",A1331)+1,500)))</f>
      </c>
    </row>
    <row r="1332">
      <c r="B1332" s="17">
        <f>IF(A1332="","",IF(COUNTIF(Roster[Name],IF(RIGHT(IF(LEFT(TRIM(A1332),1)="[",TRIM(MID(TRIM(A1332),FIND("]",TRIM(A1332)&amp;"]")+1,200)),TRIM(A1332)),1)=")",TRIM(LEFT(IF(LEFT(TRIM(A1332),1)="[",TRIM(MID(TRIM(A1332),FIND("]",TRIM(A1332)&amp;"]")+1,200)),TRIM(A1332)),FIND("(",IF(LEFT(TRIM(A1332),1)="[",TRIM(MID(TRIM(A1332),FIND("]",TRIM(A1332)&amp;"]")+1,200)),TRIM(A1332))&amp;"(")-1)),IF(LEFT(TRIM(A1332),1)="[",TRIM(MID(TRIM(A1332),FIND("]",TRIM(A1332)&amp;"]")+1,200)),TRIM(A1332))))&gt;0,IF(RIGHT(IF(LEFT(TRIM(A1332),1)="[",TRIM(MID(TRIM(A1332),FIND("]",TRIM(A1332)&amp;"]")+1,200)),TRIM(A1332)),1)=")",TRIM(LEFT(IF(LEFT(TRIM(A1332),1)="[",TRIM(MID(TRIM(A1332),FIND("]",TRIM(A1332)&amp;"]")+1,200)),TRIM(A1332)),FIND("(",IF(LEFT(TRIM(A1332),1)="[",TRIM(MID(TRIM(A1332),FIND("]",TRIM(A1332)&amp;"]")+1,200)),TRIM(A1332))&amp;"(")-1)),IF(LEFT(TRIM(A1332),1)="[",TRIM(MID(TRIM(A1332),FIND("]",TRIM(A1332)&amp;"]")+1,200)),TRIM(A1332))),""))</f>
      </c>
      <c r="C1332" s="17">
        <f>IF(B1332&lt;&gt;"",B1332,C1331)</f>
      </c>
      <c r="D1332" s="17">
        <f>IF(A1332="","",IF(OR(LEFT(UPPER(TRIM(A1332)),2)="Y:",LEFT(UPPER(TRIM(A1332)),10)="YESTERDAY:"),"Y",IF(OR(LEFT(UPPER(TRIM(A1332)),2)="T:",LEFT(UPPER(TRIM(A1332)),6)="TODAY:"),"T",IF(OR(LEFT(UPPER(TRIM(A1332)),2)="B:",LEFT(UPPER(TRIM(A1332)),8)="BLOCKER:",LEFT(UPPER(TRIM(A1332)),9)="BLOCKERS:",LEFT(UPPER(TRIM(A1332)),8)="BLOCKED:"),"B",""))))</f>
      </c>
      <c r="E1332" s="17">
        <f>IF(D1332="","",TRIM(MID(A1332,FIND(":",A1332)+1,500)))</f>
      </c>
    </row>
    <row r="1333">
      <c r="B1333" s="17">
        <f>IF(A1333="","",IF(COUNTIF(Roster[Name],IF(RIGHT(IF(LEFT(TRIM(A1333),1)="[",TRIM(MID(TRIM(A1333),FIND("]",TRIM(A1333)&amp;"]")+1,200)),TRIM(A1333)),1)=")",TRIM(LEFT(IF(LEFT(TRIM(A1333),1)="[",TRIM(MID(TRIM(A1333),FIND("]",TRIM(A1333)&amp;"]")+1,200)),TRIM(A1333)),FIND("(",IF(LEFT(TRIM(A1333),1)="[",TRIM(MID(TRIM(A1333),FIND("]",TRIM(A1333)&amp;"]")+1,200)),TRIM(A1333))&amp;"(")-1)),IF(LEFT(TRIM(A1333),1)="[",TRIM(MID(TRIM(A1333),FIND("]",TRIM(A1333)&amp;"]")+1,200)),TRIM(A1333))))&gt;0,IF(RIGHT(IF(LEFT(TRIM(A1333),1)="[",TRIM(MID(TRIM(A1333),FIND("]",TRIM(A1333)&amp;"]")+1,200)),TRIM(A1333)),1)=")",TRIM(LEFT(IF(LEFT(TRIM(A1333),1)="[",TRIM(MID(TRIM(A1333),FIND("]",TRIM(A1333)&amp;"]")+1,200)),TRIM(A1333)),FIND("(",IF(LEFT(TRIM(A1333),1)="[",TRIM(MID(TRIM(A1333),FIND("]",TRIM(A1333)&amp;"]")+1,200)),TRIM(A1333))&amp;"(")-1)),IF(LEFT(TRIM(A1333),1)="[",TRIM(MID(TRIM(A1333),FIND("]",TRIM(A1333)&amp;"]")+1,200)),TRIM(A1333))),""))</f>
      </c>
      <c r="C1333" s="17">
        <f>IF(B1333&lt;&gt;"",B1333,C1332)</f>
      </c>
      <c r="D1333" s="17">
        <f>IF(A1333="","",IF(OR(LEFT(UPPER(TRIM(A1333)),2)="Y:",LEFT(UPPER(TRIM(A1333)),10)="YESTERDAY:"),"Y",IF(OR(LEFT(UPPER(TRIM(A1333)),2)="T:",LEFT(UPPER(TRIM(A1333)),6)="TODAY:"),"T",IF(OR(LEFT(UPPER(TRIM(A1333)),2)="B:",LEFT(UPPER(TRIM(A1333)),8)="BLOCKER:",LEFT(UPPER(TRIM(A1333)),9)="BLOCKERS:",LEFT(UPPER(TRIM(A1333)),8)="BLOCKED:"),"B",""))))</f>
      </c>
      <c r="E1333" s="17">
        <f>IF(D1333="","",TRIM(MID(A1333,FIND(":",A1333)+1,500)))</f>
      </c>
    </row>
    <row r="1334">
      <c r="B1334" s="17">
        <f>IF(A1334="","",IF(COUNTIF(Roster[Name],IF(RIGHT(IF(LEFT(TRIM(A1334),1)="[",TRIM(MID(TRIM(A1334),FIND("]",TRIM(A1334)&amp;"]")+1,200)),TRIM(A1334)),1)=")",TRIM(LEFT(IF(LEFT(TRIM(A1334),1)="[",TRIM(MID(TRIM(A1334),FIND("]",TRIM(A1334)&amp;"]")+1,200)),TRIM(A1334)),FIND("(",IF(LEFT(TRIM(A1334),1)="[",TRIM(MID(TRIM(A1334),FIND("]",TRIM(A1334)&amp;"]")+1,200)),TRIM(A1334))&amp;"(")-1)),IF(LEFT(TRIM(A1334),1)="[",TRIM(MID(TRIM(A1334),FIND("]",TRIM(A1334)&amp;"]")+1,200)),TRIM(A1334))))&gt;0,IF(RIGHT(IF(LEFT(TRIM(A1334),1)="[",TRIM(MID(TRIM(A1334),FIND("]",TRIM(A1334)&amp;"]")+1,200)),TRIM(A1334)),1)=")",TRIM(LEFT(IF(LEFT(TRIM(A1334),1)="[",TRIM(MID(TRIM(A1334),FIND("]",TRIM(A1334)&amp;"]")+1,200)),TRIM(A1334)),FIND("(",IF(LEFT(TRIM(A1334),1)="[",TRIM(MID(TRIM(A1334),FIND("]",TRIM(A1334)&amp;"]")+1,200)),TRIM(A1334))&amp;"(")-1)),IF(LEFT(TRIM(A1334),1)="[",TRIM(MID(TRIM(A1334),FIND("]",TRIM(A1334)&amp;"]")+1,200)),TRIM(A1334))),""))</f>
      </c>
      <c r="C1334" s="17">
        <f>IF(B1334&lt;&gt;"",B1334,C1333)</f>
      </c>
      <c r="D1334" s="17">
        <f>IF(A1334="","",IF(OR(LEFT(UPPER(TRIM(A1334)),2)="Y:",LEFT(UPPER(TRIM(A1334)),10)="YESTERDAY:"),"Y",IF(OR(LEFT(UPPER(TRIM(A1334)),2)="T:",LEFT(UPPER(TRIM(A1334)),6)="TODAY:"),"T",IF(OR(LEFT(UPPER(TRIM(A1334)),2)="B:",LEFT(UPPER(TRIM(A1334)),8)="BLOCKER:",LEFT(UPPER(TRIM(A1334)),9)="BLOCKERS:",LEFT(UPPER(TRIM(A1334)),8)="BLOCKED:"),"B",""))))</f>
      </c>
      <c r="E1334" s="17">
        <f>IF(D1334="","",TRIM(MID(A1334,FIND(":",A1334)+1,500)))</f>
      </c>
    </row>
    <row r="1335">
      <c r="B1335" s="17">
        <f>IF(A1335="","",IF(COUNTIF(Roster[Name],IF(RIGHT(IF(LEFT(TRIM(A1335),1)="[",TRIM(MID(TRIM(A1335),FIND("]",TRIM(A1335)&amp;"]")+1,200)),TRIM(A1335)),1)=")",TRIM(LEFT(IF(LEFT(TRIM(A1335),1)="[",TRIM(MID(TRIM(A1335),FIND("]",TRIM(A1335)&amp;"]")+1,200)),TRIM(A1335)),FIND("(",IF(LEFT(TRIM(A1335),1)="[",TRIM(MID(TRIM(A1335),FIND("]",TRIM(A1335)&amp;"]")+1,200)),TRIM(A1335))&amp;"(")-1)),IF(LEFT(TRIM(A1335),1)="[",TRIM(MID(TRIM(A1335),FIND("]",TRIM(A1335)&amp;"]")+1,200)),TRIM(A1335))))&gt;0,IF(RIGHT(IF(LEFT(TRIM(A1335),1)="[",TRIM(MID(TRIM(A1335),FIND("]",TRIM(A1335)&amp;"]")+1,200)),TRIM(A1335)),1)=")",TRIM(LEFT(IF(LEFT(TRIM(A1335),1)="[",TRIM(MID(TRIM(A1335),FIND("]",TRIM(A1335)&amp;"]")+1,200)),TRIM(A1335)),FIND("(",IF(LEFT(TRIM(A1335),1)="[",TRIM(MID(TRIM(A1335),FIND("]",TRIM(A1335)&amp;"]")+1,200)),TRIM(A1335))&amp;"(")-1)),IF(LEFT(TRIM(A1335),1)="[",TRIM(MID(TRIM(A1335),FIND("]",TRIM(A1335)&amp;"]")+1,200)),TRIM(A1335))),""))</f>
      </c>
      <c r="C1335" s="17">
        <f>IF(B1335&lt;&gt;"",B1335,C1334)</f>
      </c>
      <c r="D1335" s="17">
        <f>IF(A1335="","",IF(OR(LEFT(UPPER(TRIM(A1335)),2)="Y:",LEFT(UPPER(TRIM(A1335)),10)="YESTERDAY:"),"Y",IF(OR(LEFT(UPPER(TRIM(A1335)),2)="T:",LEFT(UPPER(TRIM(A1335)),6)="TODAY:"),"T",IF(OR(LEFT(UPPER(TRIM(A1335)),2)="B:",LEFT(UPPER(TRIM(A1335)),8)="BLOCKER:",LEFT(UPPER(TRIM(A1335)),9)="BLOCKERS:",LEFT(UPPER(TRIM(A1335)),8)="BLOCKED:"),"B",""))))</f>
      </c>
      <c r="E1335" s="17">
        <f>IF(D1335="","",TRIM(MID(A1335,FIND(":",A1335)+1,500)))</f>
      </c>
    </row>
    <row r="1336">
      <c r="B1336" s="17">
        <f>IF(A1336="","",IF(COUNTIF(Roster[Name],IF(RIGHT(IF(LEFT(TRIM(A1336),1)="[",TRIM(MID(TRIM(A1336),FIND("]",TRIM(A1336)&amp;"]")+1,200)),TRIM(A1336)),1)=")",TRIM(LEFT(IF(LEFT(TRIM(A1336),1)="[",TRIM(MID(TRIM(A1336),FIND("]",TRIM(A1336)&amp;"]")+1,200)),TRIM(A1336)),FIND("(",IF(LEFT(TRIM(A1336),1)="[",TRIM(MID(TRIM(A1336),FIND("]",TRIM(A1336)&amp;"]")+1,200)),TRIM(A1336))&amp;"(")-1)),IF(LEFT(TRIM(A1336),1)="[",TRIM(MID(TRIM(A1336),FIND("]",TRIM(A1336)&amp;"]")+1,200)),TRIM(A1336))))&gt;0,IF(RIGHT(IF(LEFT(TRIM(A1336),1)="[",TRIM(MID(TRIM(A1336),FIND("]",TRIM(A1336)&amp;"]")+1,200)),TRIM(A1336)),1)=")",TRIM(LEFT(IF(LEFT(TRIM(A1336),1)="[",TRIM(MID(TRIM(A1336),FIND("]",TRIM(A1336)&amp;"]")+1,200)),TRIM(A1336)),FIND("(",IF(LEFT(TRIM(A1336),1)="[",TRIM(MID(TRIM(A1336),FIND("]",TRIM(A1336)&amp;"]")+1,200)),TRIM(A1336))&amp;"(")-1)),IF(LEFT(TRIM(A1336),1)="[",TRIM(MID(TRIM(A1336),FIND("]",TRIM(A1336)&amp;"]")+1,200)),TRIM(A1336))),""))</f>
      </c>
      <c r="C1336" s="17">
        <f>IF(B1336&lt;&gt;"",B1336,C1335)</f>
      </c>
      <c r="D1336" s="17">
        <f>IF(A1336="","",IF(OR(LEFT(UPPER(TRIM(A1336)),2)="Y:",LEFT(UPPER(TRIM(A1336)),10)="YESTERDAY:"),"Y",IF(OR(LEFT(UPPER(TRIM(A1336)),2)="T:",LEFT(UPPER(TRIM(A1336)),6)="TODAY:"),"T",IF(OR(LEFT(UPPER(TRIM(A1336)),2)="B:",LEFT(UPPER(TRIM(A1336)),8)="BLOCKER:",LEFT(UPPER(TRIM(A1336)),9)="BLOCKERS:",LEFT(UPPER(TRIM(A1336)),8)="BLOCKED:"),"B",""))))</f>
      </c>
      <c r="E1336" s="17">
        <f>IF(D1336="","",TRIM(MID(A1336,FIND(":",A1336)+1,500)))</f>
      </c>
    </row>
    <row r="1337">
      <c r="B1337" s="17">
        <f>IF(A1337="","",IF(COUNTIF(Roster[Name],IF(RIGHT(IF(LEFT(TRIM(A1337),1)="[",TRIM(MID(TRIM(A1337),FIND("]",TRIM(A1337)&amp;"]")+1,200)),TRIM(A1337)),1)=")",TRIM(LEFT(IF(LEFT(TRIM(A1337),1)="[",TRIM(MID(TRIM(A1337),FIND("]",TRIM(A1337)&amp;"]")+1,200)),TRIM(A1337)),FIND("(",IF(LEFT(TRIM(A1337),1)="[",TRIM(MID(TRIM(A1337),FIND("]",TRIM(A1337)&amp;"]")+1,200)),TRIM(A1337))&amp;"(")-1)),IF(LEFT(TRIM(A1337),1)="[",TRIM(MID(TRIM(A1337),FIND("]",TRIM(A1337)&amp;"]")+1,200)),TRIM(A1337))))&gt;0,IF(RIGHT(IF(LEFT(TRIM(A1337),1)="[",TRIM(MID(TRIM(A1337),FIND("]",TRIM(A1337)&amp;"]")+1,200)),TRIM(A1337)),1)=")",TRIM(LEFT(IF(LEFT(TRIM(A1337),1)="[",TRIM(MID(TRIM(A1337),FIND("]",TRIM(A1337)&amp;"]")+1,200)),TRIM(A1337)),FIND("(",IF(LEFT(TRIM(A1337),1)="[",TRIM(MID(TRIM(A1337),FIND("]",TRIM(A1337)&amp;"]")+1,200)),TRIM(A1337))&amp;"(")-1)),IF(LEFT(TRIM(A1337),1)="[",TRIM(MID(TRIM(A1337),FIND("]",TRIM(A1337)&amp;"]")+1,200)),TRIM(A1337))),""))</f>
      </c>
      <c r="C1337" s="17">
        <f>IF(B1337&lt;&gt;"",B1337,C1336)</f>
      </c>
      <c r="D1337" s="17">
        <f>IF(A1337="","",IF(OR(LEFT(UPPER(TRIM(A1337)),2)="Y:",LEFT(UPPER(TRIM(A1337)),10)="YESTERDAY:"),"Y",IF(OR(LEFT(UPPER(TRIM(A1337)),2)="T:",LEFT(UPPER(TRIM(A1337)),6)="TODAY:"),"T",IF(OR(LEFT(UPPER(TRIM(A1337)),2)="B:",LEFT(UPPER(TRIM(A1337)),8)="BLOCKER:",LEFT(UPPER(TRIM(A1337)),9)="BLOCKERS:",LEFT(UPPER(TRIM(A1337)),8)="BLOCKED:"),"B",""))))</f>
      </c>
      <c r="E1337" s="17">
        <f>IF(D1337="","",TRIM(MID(A1337,FIND(":",A1337)+1,500)))</f>
      </c>
    </row>
    <row r="1338">
      <c r="B1338" s="17">
        <f>IF(A1338="","",IF(COUNTIF(Roster[Name],IF(RIGHT(IF(LEFT(TRIM(A1338),1)="[",TRIM(MID(TRIM(A1338),FIND("]",TRIM(A1338)&amp;"]")+1,200)),TRIM(A1338)),1)=")",TRIM(LEFT(IF(LEFT(TRIM(A1338),1)="[",TRIM(MID(TRIM(A1338),FIND("]",TRIM(A1338)&amp;"]")+1,200)),TRIM(A1338)),FIND("(",IF(LEFT(TRIM(A1338),1)="[",TRIM(MID(TRIM(A1338),FIND("]",TRIM(A1338)&amp;"]")+1,200)),TRIM(A1338))&amp;"(")-1)),IF(LEFT(TRIM(A1338),1)="[",TRIM(MID(TRIM(A1338),FIND("]",TRIM(A1338)&amp;"]")+1,200)),TRIM(A1338))))&gt;0,IF(RIGHT(IF(LEFT(TRIM(A1338),1)="[",TRIM(MID(TRIM(A1338),FIND("]",TRIM(A1338)&amp;"]")+1,200)),TRIM(A1338)),1)=")",TRIM(LEFT(IF(LEFT(TRIM(A1338),1)="[",TRIM(MID(TRIM(A1338),FIND("]",TRIM(A1338)&amp;"]")+1,200)),TRIM(A1338)),FIND("(",IF(LEFT(TRIM(A1338),1)="[",TRIM(MID(TRIM(A1338),FIND("]",TRIM(A1338)&amp;"]")+1,200)),TRIM(A1338))&amp;"(")-1)),IF(LEFT(TRIM(A1338),1)="[",TRIM(MID(TRIM(A1338),FIND("]",TRIM(A1338)&amp;"]")+1,200)),TRIM(A1338))),""))</f>
      </c>
      <c r="C1338" s="17">
        <f>IF(B1338&lt;&gt;"",B1338,C1337)</f>
      </c>
      <c r="D1338" s="17">
        <f>IF(A1338="","",IF(OR(LEFT(UPPER(TRIM(A1338)),2)="Y:",LEFT(UPPER(TRIM(A1338)),10)="YESTERDAY:"),"Y",IF(OR(LEFT(UPPER(TRIM(A1338)),2)="T:",LEFT(UPPER(TRIM(A1338)),6)="TODAY:"),"T",IF(OR(LEFT(UPPER(TRIM(A1338)),2)="B:",LEFT(UPPER(TRIM(A1338)),8)="BLOCKER:",LEFT(UPPER(TRIM(A1338)),9)="BLOCKERS:",LEFT(UPPER(TRIM(A1338)),8)="BLOCKED:"),"B",""))))</f>
      </c>
      <c r="E1338" s="17">
        <f>IF(D1338="","",TRIM(MID(A1338,FIND(":",A1338)+1,500)))</f>
      </c>
    </row>
    <row r="1339">
      <c r="B1339" s="17">
        <f>IF(A1339="","",IF(COUNTIF(Roster[Name],IF(RIGHT(IF(LEFT(TRIM(A1339),1)="[",TRIM(MID(TRIM(A1339),FIND("]",TRIM(A1339)&amp;"]")+1,200)),TRIM(A1339)),1)=")",TRIM(LEFT(IF(LEFT(TRIM(A1339),1)="[",TRIM(MID(TRIM(A1339),FIND("]",TRIM(A1339)&amp;"]")+1,200)),TRIM(A1339)),FIND("(",IF(LEFT(TRIM(A1339),1)="[",TRIM(MID(TRIM(A1339),FIND("]",TRIM(A1339)&amp;"]")+1,200)),TRIM(A1339))&amp;"(")-1)),IF(LEFT(TRIM(A1339),1)="[",TRIM(MID(TRIM(A1339),FIND("]",TRIM(A1339)&amp;"]")+1,200)),TRIM(A1339))))&gt;0,IF(RIGHT(IF(LEFT(TRIM(A1339),1)="[",TRIM(MID(TRIM(A1339),FIND("]",TRIM(A1339)&amp;"]")+1,200)),TRIM(A1339)),1)=")",TRIM(LEFT(IF(LEFT(TRIM(A1339),1)="[",TRIM(MID(TRIM(A1339),FIND("]",TRIM(A1339)&amp;"]")+1,200)),TRIM(A1339)),FIND("(",IF(LEFT(TRIM(A1339),1)="[",TRIM(MID(TRIM(A1339),FIND("]",TRIM(A1339)&amp;"]")+1,200)),TRIM(A1339))&amp;"(")-1)),IF(LEFT(TRIM(A1339),1)="[",TRIM(MID(TRIM(A1339),FIND("]",TRIM(A1339)&amp;"]")+1,200)),TRIM(A1339))),""))</f>
      </c>
      <c r="C1339" s="17">
        <f>IF(B1339&lt;&gt;"",B1339,C1338)</f>
      </c>
      <c r="D1339" s="17">
        <f>IF(A1339="","",IF(OR(LEFT(UPPER(TRIM(A1339)),2)="Y:",LEFT(UPPER(TRIM(A1339)),10)="YESTERDAY:"),"Y",IF(OR(LEFT(UPPER(TRIM(A1339)),2)="T:",LEFT(UPPER(TRIM(A1339)),6)="TODAY:"),"T",IF(OR(LEFT(UPPER(TRIM(A1339)),2)="B:",LEFT(UPPER(TRIM(A1339)),8)="BLOCKER:",LEFT(UPPER(TRIM(A1339)),9)="BLOCKERS:",LEFT(UPPER(TRIM(A1339)),8)="BLOCKED:"),"B",""))))</f>
      </c>
      <c r="E1339" s="17">
        <f>IF(D1339="","",TRIM(MID(A1339,FIND(":",A1339)+1,500)))</f>
      </c>
    </row>
    <row r="1340">
      <c r="B1340" s="17">
        <f>IF(A1340="","",IF(COUNTIF(Roster[Name],IF(RIGHT(IF(LEFT(TRIM(A1340),1)="[",TRIM(MID(TRIM(A1340),FIND("]",TRIM(A1340)&amp;"]")+1,200)),TRIM(A1340)),1)=")",TRIM(LEFT(IF(LEFT(TRIM(A1340),1)="[",TRIM(MID(TRIM(A1340),FIND("]",TRIM(A1340)&amp;"]")+1,200)),TRIM(A1340)),FIND("(",IF(LEFT(TRIM(A1340),1)="[",TRIM(MID(TRIM(A1340),FIND("]",TRIM(A1340)&amp;"]")+1,200)),TRIM(A1340))&amp;"(")-1)),IF(LEFT(TRIM(A1340),1)="[",TRIM(MID(TRIM(A1340),FIND("]",TRIM(A1340)&amp;"]")+1,200)),TRIM(A1340))))&gt;0,IF(RIGHT(IF(LEFT(TRIM(A1340),1)="[",TRIM(MID(TRIM(A1340),FIND("]",TRIM(A1340)&amp;"]")+1,200)),TRIM(A1340)),1)=")",TRIM(LEFT(IF(LEFT(TRIM(A1340),1)="[",TRIM(MID(TRIM(A1340),FIND("]",TRIM(A1340)&amp;"]")+1,200)),TRIM(A1340)),FIND("(",IF(LEFT(TRIM(A1340),1)="[",TRIM(MID(TRIM(A1340),FIND("]",TRIM(A1340)&amp;"]")+1,200)),TRIM(A1340))&amp;"(")-1)),IF(LEFT(TRIM(A1340),1)="[",TRIM(MID(TRIM(A1340),FIND("]",TRIM(A1340)&amp;"]")+1,200)),TRIM(A1340))),""))</f>
      </c>
      <c r="C1340" s="17">
        <f>IF(B1340&lt;&gt;"",B1340,C1339)</f>
      </c>
      <c r="D1340" s="17">
        <f>IF(A1340="","",IF(OR(LEFT(UPPER(TRIM(A1340)),2)="Y:",LEFT(UPPER(TRIM(A1340)),10)="YESTERDAY:"),"Y",IF(OR(LEFT(UPPER(TRIM(A1340)),2)="T:",LEFT(UPPER(TRIM(A1340)),6)="TODAY:"),"T",IF(OR(LEFT(UPPER(TRIM(A1340)),2)="B:",LEFT(UPPER(TRIM(A1340)),8)="BLOCKER:",LEFT(UPPER(TRIM(A1340)),9)="BLOCKERS:",LEFT(UPPER(TRIM(A1340)),8)="BLOCKED:"),"B",""))))</f>
      </c>
      <c r="E1340" s="17">
        <f>IF(D1340="","",TRIM(MID(A1340,FIND(":",A1340)+1,500)))</f>
      </c>
    </row>
    <row r="1341">
      <c r="B1341" s="17">
        <f>IF(A1341="","",IF(COUNTIF(Roster[Name],IF(RIGHT(IF(LEFT(TRIM(A1341),1)="[",TRIM(MID(TRIM(A1341),FIND("]",TRIM(A1341)&amp;"]")+1,200)),TRIM(A1341)),1)=")",TRIM(LEFT(IF(LEFT(TRIM(A1341),1)="[",TRIM(MID(TRIM(A1341),FIND("]",TRIM(A1341)&amp;"]")+1,200)),TRIM(A1341)),FIND("(",IF(LEFT(TRIM(A1341),1)="[",TRIM(MID(TRIM(A1341),FIND("]",TRIM(A1341)&amp;"]")+1,200)),TRIM(A1341))&amp;"(")-1)),IF(LEFT(TRIM(A1341),1)="[",TRIM(MID(TRIM(A1341),FIND("]",TRIM(A1341)&amp;"]")+1,200)),TRIM(A1341))))&gt;0,IF(RIGHT(IF(LEFT(TRIM(A1341),1)="[",TRIM(MID(TRIM(A1341),FIND("]",TRIM(A1341)&amp;"]")+1,200)),TRIM(A1341)),1)=")",TRIM(LEFT(IF(LEFT(TRIM(A1341),1)="[",TRIM(MID(TRIM(A1341),FIND("]",TRIM(A1341)&amp;"]")+1,200)),TRIM(A1341)),FIND("(",IF(LEFT(TRIM(A1341),1)="[",TRIM(MID(TRIM(A1341),FIND("]",TRIM(A1341)&amp;"]")+1,200)),TRIM(A1341))&amp;"(")-1)),IF(LEFT(TRIM(A1341),1)="[",TRIM(MID(TRIM(A1341),FIND("]",TRIM(A1341)&amp;"]")+1,200)),TRIM(A1341))),""))</f>
      </c>
      <c r="C1341" s="17">
        <f>IF(B1341&lt;&gt;"",B1341,C1340)</f>
      </c>
      <c r="D1341" s="17">
        <f>IF(A1341="","",IF(OR(LEFT(UPPER(TRIM(A1341)),2)="Y:",LEFT(UPPER(TRIM(A1341)),10)="YESTERDAY:"),"Y",IF(OR(LEFT(UPPER(TRIM(A1341)),2)="T:",LEFT(UPPER(TRIM(A1341)),6)="TODAY:"),"T",IF(OR(LEFT(UPPER(TRIM(A1341)),2)="B:",LEFT(UPPER(TRIM(A1341)),8)="BLOCKER:",LEFT(UPPER(TRIM(A1341)),9)="BLOCKERS:",LEFT(UPPER(TRIM(A1341)),8)="BLOCKED:"),"B",""))))</f>
      </c>
      <c r="E1341" s="17">
        <f>IF(D1341="","",TRIM(MID(A1341,FIND(":",A1341)+1,500)))</f>
      </c>
    </row>
    <row r="1342">
      <c r="B1342" s="17">
        <f>IF(A1342="","",IF(COUNTIF(Roster[Name],IF(RIGHT(IF(LEFT(TRIM(A1342),1)="[",TRIM(MID(TRIM(A1342),FIND("]",TRIM(A1342)&amp;"]")+1,200)),TRIM(A1342)),1)=")",TRIM(LEFT(IF(LEFT(TRIM(A1342),1)="[",TRIM(MID(TRIM(A1342),FIND("]",TRIM(A1342)&amp;"]")+1,200)),TRIM(A1342)),FIND("(",IF(LEFT(TRIM(A1342),1)="[",TRIM(MID(TRIM(A1342),FIND("]",TRIM(A1342)&amp;"]")+1,200)),TRIM(A1342))&amp;"(")-1)),IF(LEFT(TRIM(A1342),1)="[",TRIM(MID(TRIM(A1342),FIND("]",TRIM(A1342)&amp;"]")+1,200)),TRIM(A1342))))&gt;0,IF(RIGHT(IF(LEFT(TRIM(A1342),1)="[",TRIM(MID(TRIM(A1342),FIND("]",TRIM(A1342)&amp;"]")+1,200)),TRIM(A1342)),1)=")",TRIM(LEFT(IF(LEFT(TRIM(A1342),1)="[",TRIM(MID(TRIM(A1342),FIND("]",TRIM(A1342)&amp;"]")+1,200)),TRIM(A1342)),FIND("(",IF(LEFT(TRIM(A1342),1)="[",TRIM(MID(TRIM(A1342),FIND("]",TRIM(A1342)&amp;"]")+1,200)),TRIM(A1342))&amp;"(")-1)),IF(LEFT(TRIM(A1342),1)="[",TRIM(MID(TRIM(A1342),FIND("]",TRIM(A1342)&amp;"]")+1,200)),TRIM(A1342))),""))</f>
      </c>
      <c r="C1342" s="17">
        <f>IF(B1342&lt;&gt;"",B1342,C1341)</f>
      </c>
      <c r="D1342" s="17">
        <f>IF(A1342="","",IF(OR(LEFT(UPPER(TRIM(A1342)),2)="Y:",LEFT(UPPER(TRIM(A1342)),10)="YESTERDAY:"),"Y",IF(OR(LEFT(UPPER(TRIM(A1342)),2)="T:",LEFT(UPPER(TRIM(A1342)),6)="TODAY:"),"T",IF(OR(LEFT(UPPER(TRIM(A1342)),2)="B:",LEFT(UPPER(TRIM(A1342)),8)="BLOCKER:",LEFT(UPPER(TRIM(A1342)),9)="BLOCKERS:",LEFT(UPPER(TRIM(A1342)),8)="BLOCKED:"),"B",""))))</f>
      </c>
      <c r="E1342" s="17">
        <f>IF(D1342="","",TRIM(MID(A1342,FIND(":",A1342)+1,500)))</f>
      </c>
    </row>
    <row r="1343">
      <c r="B1343" s="17">
        <f>IF(A1343="","",IF(COUNTIF(Roster[Name],IF(RIGHT(IF(LEFT(TRIM(A1343),1)="[",TRIM(MID(TRIM(A1343),FIND("]",TRIM(A1343)&amp;"]")+1,200)),TRIM(A1343)),1)=")",TRIM(LEFT(IF(LEFT(TRIM(A1343),1)="[",TRIM(MID(TRIM(A1343),FIND("]",TRIM(A1343)&amp;"]")+1,200)),TRIM(A1343)),FIND("(",IF(LEFT(TRIM(A1343),1)="[",TRIM(MID(TRIM(A1343),FIND("]",TRIM(A1343)&amp;"]")+1,200)),TRIM(A1343))&amp;"(")-1)),IF(LEFT(TRIM(A1343),1)="[",TRIM(MID(TRIM(A1343),FIND("]",TRIM(A1343)&amp;"]")+1,200)),TRIM(A1343))))&gt;0,IF(RIGHT(IF(LEFT(TRIM(A1343),1)="[",TRIM(MID(TRIM(A1343),FIND("]",TRIM(A1343)&amp;"]")+1,200)),TRIM(A1343)),1)=")",TRIM(LEFT(IF(LEFT(TRIM(A1343),1)="[",TRIM(MID(TRIM(A1343),FIND("]",TRIM(A1343)&amp;"]")+1,200)),TRIM(A1343)),FIND("(",IF(LEFT(TRIM(A1343),1)="[",TRIM(MID(TRIM(A1343),FIND("]",TRIM(A1343)&amp;"]")+1,200)),TRIM(A1343))&amp;"(")-1)),IF(LEFT(TRIM(A1343),1)="[",TRIM(MID(TRIM(A1343),FIND("]",TRIM(A1343)&amp;"]")+1,200)),TRIM(A1343))),""))</f>
      </c>
      <c r="C1343" s="17">
        <f>IF(B1343&lt;&gt;"",B1343,C1342)</f>
      </c>
      <c r="D1343" s="17">
        <f>IF(A1343="","",IF(OR(LEFT(UPPER(TRIM(A1343)),2)="Y:",LEFT(UPPER(TRIM(A1343)),10)="YESTERDAY:"),"Y",IF(OR(LEFT(UPPER(TRIM(A1343)),2)="T:",LEFT(UPPER(TRIM(A1343)),6)="TODAY:"),"T",IF(OR(LEFT(UPPER(TRIM(A1343)),2)="B:",LEFT(UPPER(TRIM(A1343)),8)="BLOCKER:",LEFT(UPPER(TRIM(A1343)),9)="BLOCKERS:",LEFT(UPPER(TRIM(A1343)),8)="BLOCKED:"),"B",""))))</f>
      </c>
      <c r="E1343" s="17">
        <f>IF(D1343="","",TRIM(MID(A1343,FIND(":",A1343)+1,500)))</f>
      </c>
    </row>
    <row r="1344">
      <c r="B1344" s="17">
        <f>IF(A1344="","",IF(COUNTIF(Roster[Name],IF(RIGHT(IF(LEFT(TRIM(A1344),1)="[",TRIM(MID(TRIM(A1344),FIND("]",TRIM(A1344)&amp;"]")+1,200)),TRIM(A1344)),1)=")",TRIM(LEFT(IF(LEFT(TRIM(A1344),1)="[",TRIM(MID(TRIM(A1344),FIND("]",TRIM(A1344)&amp;"]")+1,200)),TRIM(A1344)),FIND("(",IF(LEFT(TRIM(A1344),1)="[",TRIM(MID(TRIM(A1344),FIND("]",TRIM(A1344)&amp;"]")+1,200)),TRIM(A1344))&amp;"(")-1)),IF(LEFT(TRIM(A1344),1)="[",TRIM(MID(TRIM(A1344),FIND("]",TRIM(A1344)&amp;"]")+1,200)),TRIM(A1344))))&gt;0,IF(RIGHT(IF(LEFT(TRIM(A1344),1)="[",TRIM(MID(TRIM(A1344),FIND("]",TRIM(A1344)&amp;"]")+1,200)),TRIM(A1344)),1)=")",TRIM(LEFT(IF(LEFT(TRIM(A1344),1)="[",TRIM(MID(TRIM(A1344),FIND("]",TRIM(A1344)&amp;"]")+1,200)),TRIM(A1344)),FIND("(",IF(LEFT(TRIM(A1344),1)="[",TRIM(MID(TRIM(A1344),FIND("]",TRIM(A1344)&amp;"]")+1,200)),TRIM(A1344))&amp;"(")-1)),IF(LEFT(TRIM(A1344),1)="[",TRIM(MID(TRIM(A1344),FIND("]",TRIM(A1344)&amp;"]")+1,200)),TRIM(A1344))),""))</f>
      </c>
      <c r="C1344" s="17">
        <f>IF(B1344&lt;&gt;"",B1344,C1343)</f>
      </c>
      <c r="D1344" s="17">
        <f>IF(A1344="","",IF(OR(LEFT(UPPER(TRIM(A1344)),2)="Y:",LEFT(UPPER(TRIM(A1344)),10)="YESTERDAY:"),"Y",IF(OR(LEFT(UPPER(TRIM(A1344)),2)="T:",LEFT(UPPER(TRIM(A1344)),6)="TODAY:"),"T",IF(OR(LEFT(UPPER(TRIM(A1344)),2)="B:",LEFT(UPPER(TRIM(A1344)),8)="BLOCKER:",LEFT(UPPER(TRIM(A1344)),9)="BLOCKERS:",LEFT(UPPER(TRIM(A1344)),8)="BLOCKED:"),"B",""))))</f>
      </c>
      <c r="E1344" s="17">
        <f>IF(D1344="","",TRIM(MID(A1344,FIND(":",A1344)+1,500)))</f>
      </c>
    </row>
    <row r="1345">
      <c r="B1345" s="17">
        <f>IF(A1345="","",IF(COUNTIF(Roster[Name],IF(RIGHT(IF(LEFT(TRIM(A1345),1)="[",TRIM(MID(TRIM(A1345),FIND("]",TRIM(A1345)&amp;"]")+1,200)),TRIM(A1345)),1)=")",TRIM(LEFT(IF(LEFT(TRIM(A1345),1)="[",TRIM(MID(TRIM(A1345),FIND("]",TRIM(A1345)&amp;"]")+1,200)),TRIM(A1345)),FIND("(",IF(LEFT(TRIM(A1345),1)="[",TRIM(MID(TRIM(A1345),FIND("]",TRIM(A1345)&amp;"]")+1,200)),TRIM(A1345))&amp;"(")-1)),IF(LEFT(TRIM(A1345),1)="[",TRIM(MID(TRIM(A1345),FIND("]",TRIM(A1345)&amp;"]")+1,200)),TRIM(A1345))))&gt;0,IF(RIGHT(IF(LEFT(TRIM(A1345),1)="[",TRIM(MID(TRIM(A1345),FIND("]",TRIM(A1345)&amp;"]")+1,200)),TRIM(A1345)),1)=")",TRIM(LEFT(IF(LEFT(TRIM(A1345),1)="[",TRIM(MID(TRIM(A1345),FIND("]",TRIM(A1345)&amp;"]")+1,200)),TRIM(A1345)),FIND("(",IF(LEFT(TRIM(A1345),1)="[",TRIM(MID(TRIM(A1345),FIND("]",TRIM(A1345)&amp;"]")+1,200)),TRIM(A1345))&amp;"(")-1)),IF(LEFT(TRIM(A1345),1)="[",TRIM(MID(TRIM(A1345),FIND("]",TRIM(A1345)&amp;"]")+1,200)),TRIM(A1345))),""))</f>
      </c>
      <c r="C1345" s="17">
        <f>IF(B1345&lt;&gt;"",B1345,C1344)</f>
      </c>
      <c r="D1345" s="17">
        <f>IF(A1345="","",IF(OR(LEFT(UPPER(TRIM(A1345)),2)="Y:",LEFT(UPPER(TRIM(A1345)),10)="YESTERDAY:"),"Y",IF(OR(LEFT(UPPER(TRIM(A1345)),2)="T:",LEFT(UPPER(TRIM(A1345)),6)="TODAY:"),"T",IF(OR(LEFT(UPPER(TRIM(A1345)),2)="B:",LEFT(UPPER(TRIM(A1345)),8)="BLOCKER:",LEFT(UPPER(TRIM(A1345)),9)="BLOCKERS:",LEFT(UPPER(TRIM(A1345)),8)="BLOCKED:"),"B",""))))</f>
      </c>
      <c r="E1345" s="17">
        <f>IF(D1345="","",TRIM(MID(A1345,FIND(":",A1345)+1,500)))</f>
      </c>
    </row>
    <row r="1346">
      <c r="B1346" s="17">
        <f>IF(A1346="","",IF(COUNTIF(Roster[Name],IF(RIGHT(IF(LEFT(TRIM(A1346),1)="[",TRIM(MID(TRIM(A1346),FIND("]",TRIM(A1346)&amp;"]")+1,200)),TRIM(A1346)),1)=")",TRIM(LEFT(IF(LEFT(TRIM(A1346),1)="[",TRIM(MID(TRIM(A1346),FIND("]",TRIM(A1346)&amp;"]")+1,200)),TRIM(A1346)),FIND("(",IF(LEFT(TRIM(A1346),1)="[",TRIM(MID(TRIM(A1346),FIND("]",TRIM(A1346)&amp;"]")+1,200)),TRIM(A1346))&amp;"(")-1)),IF(LEFT(TRIM(A1346),1)="[",TRIM(MID(TRIM(A1346),FIND("]",TRIM(A1346)&amp;"]")+1,200)),TRIM(A1346))))&gt;0,IF(RIGHT(IF(LEFT(TRIM(A1346),1)="[",TRIM(MID(TRIM(A1346),FIND("]",TRIM(A1346)&amp;"]")+1,200)),TRIM(A1346)),1)=")",TRIM(LEFT(IF(LEFT(TRIM(A1346),1)="[",TRIM(MID(TRIM(A1346),FIND("]",TRIM(A1346)&amp;"]")+1,200)),TRIM(A1346)),FIND("(",IF(LEFT(TRIM(A1346),1)="[",TRIM(MID(TRIM(A1346),FIND("]",TRIM(A1346)&amp;"]")+1,200)),TRIM(A1346))&amp;"(")-1)),IF(LEFT(TRIM(A1346),1)="[",TRIM(MID(TRIM(A1346),FIND("]",TRIM(A1346)&amp;"]")+1,200)),TRIM(A1346))),""))</f>
      </c>
      <c r="C1346" s="17">
        <f>IF(B1346&lt;&gt;"",B1346,C1345)</f>
      </c>
      <c r="D1346" s="17">
        <f>IF(A1346="","",IF(OR(LEFT(UPPER(TRIM(A1346)),2)="Y:",LEFT(UPPER(TRIM(A1346)),10)="YESTERDAY:"),"Y",IF(OR(LEFT(UPPER(TRIM(A1346)),2)="T:",LEFT(UPPER(TRIM(A1346)),6)="TODAY:"),"T",IF(OR(LEFT(UPPER(TRIM(A1346)),2)="B:",LEFT(UPPER(TRIM(A1346)),8)="BLOCKER:",LEFT(UPPER(TRIM(A1346)),9)="BLOCKERS:",LEFT(UPPER(TRIM(A1346)),8)="BLOCKED:"),"B",""))))</f>
      </c>
      <c r="E1346" s="17">
        <f>IF(D1346="","",TRIM(MID(A1346,FIND(":",A1346)+1,500)))</f>
      </c>
    </row>
    <row r="1347">
      <c r="B1347" s="17">
        <f>IF(A1347="","",IF(COUNTIF(Roster[Name],IF(RIGHT(IF(LEFT(TRIM(A1347),1)="[",TRIM(MID(TRIM(A1347),FIND("]",TRIM(A1347)&amp;"]")+1,200)),TRIM(A1347)),1)=")",TRIM(LEFT(IF(LEFT(TRIM(A1347),1)="[",TRIM(MID(TRIM(A1347),FIND("]",TRIM(A1347)&amp;"]")+1,200)),TRIM(A1347)),FIND("(",IF(LEFT(TRIM(A1347),1)="[",TRIM(MID(TRIM(A1347),FIND("]",TRIM(A1347)&amp;"]")+1,200)),TRIM(A1347))&amp;"(")-1)),IF(LEFT(TRIM(A1347),1)="[",TRIM(MID(TRIM(A1347),FIND("]",TRIM(A1347)&amp;"]")+1,200)),TRIM(A1347))))&gt;0,IF(RIGHT(IF(LEFT(TRIM(A1347),1)="[",TRIM(MID(TRIM(A1347),FIND("]",TRIM(A1347)&amp;"]")+1,200)),TRIM(A1347)),1)=")",TRIM(LEFT(IF(LEFT(TRIM(A1347),1)="[",TRIM(MID(TRIM(A1347),FIND("]",TRIM(A1347)&amp;"]")+1,200)),TRIM(A1347)),FIND("(",IF(LEFT(TRIM(A1347),1)="[",TRIM(MID(TRIM(A1347),FIND("]",TRIM(A1347)&amp;"]")+1,200)),TRIM(A1347))&amp;"(")-1)),IF(LEFT(TRIM(A1347),1)="[",TRIM(MID(TRIM(A1347),FIND("]",TRIM(A1347)&amp;"]")+1,200)),TRIM(A1347))),""))</f>
      </c>
      <c r="C1347" s="17">
        <f>IF(B1347&lt;&gt;"",B1347,C1346)</f>
      </c>
      <c r="D1347" s="17">
        <f>IF(A1347="","",IF(OR(LEFT(UPPER(TRIM(A1347)),2)="Y:",LEFT(UPPER(TRIM(A1347)),10)="YESTERDAY:"),"Y",IF(OR(LEFT(UPPER(TRIM(A1347)),2)="T:",LEFT(UPPER(TRIM(A1347)),6)="TODAY:"),"T",IF(OR(LEFT(UPPER(TRIM(A1347)),2)="B:",LEFT(UPPER(TRIM(A1347)),8)="BLOCKER:",LEFT(UPPER(TRIM(A1347)),9)="BLOCKERS:",LEFT(UPPER(TRIM(A1347)),8)="BLOCKED:"),"B",""))))</f>
      </c>
      <c r="E1347" s="17">
        <f>IF(D1347="","",TRIM(MID(A1347,FIND(":",A1347)+1,500)))</f>
      </c>
    </row>
    <row r="1348">
      <c r="B1348" s="17">
        <f>IF(A1348="","",IF(COUNTIF(Roster[Name],IF(RIGHT(IF(LEFT(TRIM(A1348),1)="[",TRIM(MID(TRIM(A1348),FIND("]",TRIM(A1348)&amp;"]")+1,200)),TRIM(A1348)),1)=")",TRIM(LEFT(IF(LEFT(TRIM(A1348),1)="[",TRIM(MID(TRIM(A1348),FIND("]",TRIM(A1348)&amp;"]")+1,200)),TRIM(A1348)),FIND("(",IF(LEFT(TRIM(A1348),1)="[",TRIM(MID(TRIM(A1348),FIND("]",TRIM(A1348)&amp;"]")+1,200)),TRIM(A1348))&amp;"(")-1)),IF(LEFT(TRIM(A1348),1)="[",TRIM(MID(TRIM(A1348),FIND("]",TRIM(A1348)&amp;"]")+1,200)),TRIM(A1348))))&gt;0,IF(RIGHT(IF(LEFT(TRIM(A1348),1)="[",TRIM(MID(TRIM(A1348),FIND("]",TRIM(A1348)&amp;"]")+1,200)),TRIM(A1348)),1)=")",TRIM(LEFT(IF(LEFT(TRIM(A1348),1)="[",TRIM(MID(TRIM(A1348),FIND("]",TRIM(A1348)&amp;"]")+1,200)),TRIM(A1348)),FIND("(",IF(LEFT(TRIM(A1348),1)="[",TRIM(MID(TRIM(A1348),FIND("]",TRIM(A1348)&amp;"]")+1,200)),TRIM(A1348))&amp;"(")-1)),IF(LEFT(TRIM(A1348),1)="[",TRIM(MID(TRIM(A1348),FIND("]",TRIM(A1348)&amp;"]")+1,200)),TRIM(A1348))),""))</f>
      </c>
      <c r="C1348" s="17">
        <f>IF(B1348&lt;&gt;"",B1348,C1347)</f>
      </c>
      <c r="D1348" s="17">
        <f>IF(A1348="","",IF(OR(LEFT(UPPER(TRIM(A1348)),2)="Y:",LEFT(UPPER(TRIM(A1348)),10)="YESTERDAY:"),"Y",IF(OR(LEFT(UPPER(TRIM(A1348)),2)="T:",LEFT(UPPER(TRIM(A1348)),6)="TODAY:"),"T",IF(OR(LEFT(UPPER(TRIM(A1348)),2)="B:",LEFT(UPPER(TRIM(A1348)),8)="BLOCKER:",LEFT(UPPER(TRIM(A1348)),9)="BLOCKERS:",LEFT(UPPER(TRIM(A1348)),8)="BLOCKED:"),"B",""))))</f>
      </c>
      <c r="E1348" s="17">
        <f>IF(D1348="","",TRIM(MID(A1348,FIND(":",A1348)+1,500)))</f>
      </c>
    </row>
    <row r="1349">
      <c r="B1349" s="17">
        <f>IF(A1349="","",IF(COUNTIF(Roster[Name],IF(RIGHT(IF(LEFT(TRIM(A1349),1)="[",TRIM(MID(TRIM(A1349),FIND("]",TRIM(A1349)&amp;"]")+1,200)),TRIM(A1349)),1)=")",TRIM(LEFT(IF(LEFT(TRIM(A1349),1)="[",TRIM(MID(TRIM(A1349),FIND("]",TRIM(A1349)&amp;"]")+1,200)),TRIM(A1349)),FIND("(",IF(LEFT(TRIM(A1349),1)="[",TRIM(MID(TRIM(A1349),FIND("]",TRIM(A1349)&amp;"]")+1,200)),TRIM(A1349))&amp;"(")-1)),IF(LEFT(TRIM(A1349),1)="[",TRIM(MID(TRIM(A1349),FIND("]",TRIM(A1349)&amp;"]")+1,200)),TRIM(A1349))))&gt;0,IF(RIGHT(IF(LEFT(TRIM(A1349),1)="[",TRIM(MID(TRIM(A1349),FIND("]",TRIM(A1349)&amp;"]")+1,200)),TRIM(A1349)),1)=")",TRIM(LEFT(IF(LEFT(TRIM(A1349),1)="[",TRIM(MID(TRIM(A1349),FIND("]",TRIM(A1349)&amp;"]")+1,200)),TRIM(A1349)),FIND("(",IF(LEFT(TRIM(A1349),1)="[",TRIM(MID(TRIM(A1349),FIND("]",TRIM(A1349)&amp;"]")+1,200)),TRIM(A1349))&amp;"(")-1)),IF(LEFT(TRIM(A1349),1)="[",TRIM(MID(TRIM(A1349),FIND("]",TRIM(A1349)&amp;"]")+1,200)),TRIM(A1349))),""))</f>
      </c>
      <c r="C1349" s="17">
        <f>IF(B1349&lt;&gt;"",B1349,C1348)</f>
      </c>
      <c r="D1349" s="17">
        <f>IF(A1349="","",IF(OR(LEFT(UPPER(TRIM(A1349)),2)="Y:",LEFT(UPPER(TRIM(A1349)),10)="YESTERDAY:"),"Y",IF(OR(LEFT(UPPER(TRIM(A1349)),2)="T:",LEFT(UPPER(TRIM(A1349)),6)="TODAY:"),"T",IF(OR(LEFT(UPPER(TRIM(A1349)),2)="B:",LEFT(UPPER(TRIM(A1349)),8)="BLOCKER:",LEFT(UPPER(TRIM(A1349)),9)="BLOCKERS:",LEFT(UPPER(TRIM(A1349)),8)="BLOCKED:"),"B",""))))</f>
      </c>
      <c r="E1349" s="17">
        <f>IF(D1349="","",TRIM(MID(A1349,FIND(":",A1349)+1,500)))</f>
      </c>
    </row>
    <row r="1350">
      <c r="B1350" s="17">
        <f>IF(A1350="","",IF(COUNTIF(Roster[Name],IF(RIGHT(IF(LEFT(TRIM(A1350),1)="[",TRIM(MID(TRIM(A1350),FIND("]",TRIM(A1350)&amp;"]")+1,200)),TRIM(A1350)),1)=")",TRIM(LEFT(IF(LEFT(TRIM(A1350),1)="[",TRIM(MID(TRIM(A1350),FIND("]",TRIM(A1350)&amp;"]")+1,200)),TRIM(A1350)),FIND("(",IF(LEFT(TRIM(A1350),1)="[",TRIM(MID(TRIM(A1350),FIND("]",TRIM(A1350)&amp;"]")+1,200)),TRIM(A1350))&amp;"(")-1)),IF(LEFT(TRIM(A1350),1)="[",TRIM(MID(TRIM(A1350),FIND("]",TRIM(A1350)&amp;"]")+1,200)),TRIM(A1350))))&gt;0,IF(RIGHT(IF(LEFT(TRIM(A1350),1)="[",TRIM(MID(TRIM(A1350),FIND("]",TRIM(A1350)&amp;"]")+1,200)),TRIM(A1350)),1)=")",TRIM(LEFT(IF(LEFT(TRIM(A1350),1)="[",TRIM(MID(TRIM(A1350),FIND("]",TRIM(A1350)&amp;"]")+1,200)),TRIM(A1350)),FIND("(",IF(LEFT(TRIM(A1350),1)="[",TRIM(MID(TRIM(A1350),FIND("]",TRIM(A1350)&amp;"]")+1,200)),TRIM(A1350))&amp;"(")-1)),IF(LEFT(TRIM(A1350),1)="[",TRIM(MID(TRIM(A1350),FIND("]",TRIM(A1350)&amp;"]")+1,200)),TRIM(A1350))),""))</f>
      </c>
      <c r="C1350" s="17">
        <f>IF(B1350&lt;&gt;"",B1350,C1349)</f>
      </c>
      <c r="D1350" s="17">
        <f>IF(A1350="","",IF(OR(LEFT(UPPER(TRIM(A1350)),2)="Y:",LEFT(UPPER(TRIM(A1350)),10)="YESTERDAY:"),"Y",IF(OR(LEFT(UPPER(TRIM(A1350)),2)="T:",LEFT(UPPER(TRIM(A1350)),6)="TODAY:"),"T",IF(OR(LEFT(UPPER(TRIM(A1350)),2)="B:",LEFT(UPPER(TRIM(A1350)),8)="BLOCKER:",LEFT(UPPER(TRIM(A1350)),9)="BLOCKERS:",LEFT(UPPER(TRIM(A1350)),8)="BLOCKED:"),"B",""))))</f>
      </c>
      <c r="E1350" s="17">
        <f>IF(D1350="","",TRIM(MID(A1350,FIND(":",A1350)+1,500)))</f>
      </c>
    </row>
    <row r="1351">
      <c r="B1351" s="17">
        <f>IF(A1351="","",IF(COUNTIF(Roster[Name],IF(RIGHT(IF(LEFT(TRIM(A1351),1)="[",TRIM(MID(TRIM(A1351),FIND("]",TRIM(A1351)&amp;"]")+1,200)),TRIM(A1351)),1)=")",TRIM(LEFT(IF(LEFT(TRIM(A1351),1)="[",TRIM(MID(TRIM(A1351),FIND("]",TRIM(A1351)&amp;"]")+1,200)),TRIM(A1351)),FIND("(",IF(LEFT(TRIM(A1351),1)="[",TRIM(MID(TRIM(A1351),FIND("]",TRIM(A1351)&amp;"]")+1,200)),TRIM(A1351))&amp;"(")-1)),IF(LEFT(TRIM(A1351),1)="[",TRIM(MID(TRIM(A1351),FIND("]",TRIM(A1351)&amp;"]")+1,200)),TRIM(A1351))))&gt;0,IF(RIGHT(IF(LEFT(TRIM(A1351),1)="[",TRIM(MID(TRIM(A1351),FIND("]",TRIM(A1351)&amp;"]")+1,200)),TRIM(A1351)),1)=")",TRIM(LEFT(IF(LEFT(TRIM(A1351),1)="[",TRIM(MID(TRIM(A1351),FIND("]",TRIM(A1351)&amp;"]")+1,200)),TRIM(A1351)),FIND("(",IF(LEFT(TRIM(A1351),1)="[",TRIM(MID(TRIM(A1351),FIND("]",TRIM(A1351)&amp;"]")+1,200)),TRIM(A1351))&amp;"(")-1)),IF(LEFT(TRIM(A1351),1)="[",TRIM(MID(TRIM(A1351),FIND("]",TRIM(A1351)&amp;"]")+1,200)),TRIM(A1351))),""))</f>
      </c>
      <c r="C1351" s="17">
        <f>IF(B1351&lt;&gt;"",B1351,C1350)</f>
      </c>
      <c r="D1351" s="17">
        <f>IF(A1351="","",IF(OR(LEFT(UPPER(TRIM(A1351)),2)="Y:",LEFT(UPPER(TRIM(A1351)),10)="YESTERDAY:"),"Y",IF(OR(LEFT(UPPER(TRIM(A1351)),2)="T:",LEFT(UPPER(TRIM(A1351)),6)="TODAY:"),"T",IF(OR(LEFT(UPPER(TRIM(A1351)),2)="B:",LEFT(UPPER(TRIM(A1351)),8)="BLOCKER:",LEFT(UPPER(TRIM(A1351)),9)="BLOCKERS:",LEFT(UPPER(TRIM(A1351)),8)="BLOCKED:"),"B",""))))</f>
      </c>
      <c r="E1351" s="17">
        <f>IF(D1351="","",TRIM(MID(A1351,FIND(":",A1351)+1,500)))</f>
      </c>
    </row>
    <row r="1352">
      <c r="B1352" s="17">
        <f>IF(A1352="","",IF(COUNTIF(Roster[Name],IF(RIGHT(IF(LEFT(TRIM(A1352),1)="[",TRIM(MID(TRIM(A1352),FIND("]",TRIM(A1352)&amp;"]")+1,200)),TRIM(A1352)),1)=")",TRIM(LEFT(IF(LEFT(TRIM(A1352),1)="[",TRIM(MID(TRIM(A1352),FIND("]",TRIM(A1352)&amp;"]")+1,200)),TRIM(A1352)),FIND("(",IF(LEFT(TRIM(A1352),1)="[",TRIM(MID(TRIM(A1352),FIND("]",TRIM(A1352)&amp;"]")+1,200)),TRIM(A1352))&amp;"(")-1)),IF(LEFT(TRIM(A1352),1)="[",TRIM(MID(TRIM(A1352),FIND("]",TRIM(A1352)&amp;"]")+1,200)),TRIM(A1352))))&gt;0,IF(RIGHT(IF(LEFT(TRIM(A1352),1)="[",TRIM(MID(TRIM(A1352),FIND("]",TRIM(A1352)&amp;"]")+1,200)),TRIM(A1352)),1)=")",TRIM(LEFT(IF(LEFT(TRIM(A1352),1)="[",TRIM(MID(TRIM(A1352),FIND("]",TRIM(A1352)&amp;"]")+1,200)),TRIM(A1352)),FIND("(",IF(LEFT(TRIM(A1352),1)="[",TRIM(MID(TRIM(A1352),FIND("]",TRIM(A1352)&amp;"]")+1,200)),TRIM(A1352))&amp;"(")-1)),IF(LEFT(TRIM(A1352),1)="[",TRIM(MID(TRIM(A1352),FIND("]",TRIM(A1352)&amp;"]")+1,200)),TRIM(A1352))),""))</f>
      </c>
      <c r="C1352" s="17">
        <f>IF(B1352&lt;&gt;"",B1352,C1351)</f>
      </c>
      <c r="D1352" s="17">
        <f>IF(A1352="","",IF(OR(LEFT(UPPER(TRIM(A1352)),2)="Y:",LEFT(UPPER(TRIM(A1352)),10)="YESTERDAY:"),"Y",IF(OR(LEFT(UPPER(TRIM(A1352)),2)="T:",LEFT(UPPER(TRIM(A1352)),6)="TODAY:"),"T",IF(OR(LEFT(UPPER(TRIM(A1352)),2)="B:",LEFT(UPPER(TRIM(A1352)),8)="BLOCKER:",LEFT(UPPER(TRIM(A1352)),9)="BLOCKERS:",LEFT(UPPER(TRIM(A1352)),8)="BLOCKED:"),"B",""))))</f>
      </c>
      <c r="E1352" s="17">
        <f>IF(D1352="","",TRIM(MID(A1352,FIND(":",A1352)+1,500)))</f>
      </c>
    </row>
    <row r="1353">
      <c r="B1353" s="17">
        <f>IF(A1353="","",IF(COUNTIF(Roster[Name],IF(RIGHT(IF(LEFT(TRIM(A1353),1)="[",TRIM(MID(TRIM(A1353),FIND("]",TRIM(A1353)&amp;"]")+1,200)),TRIM(A1353)),1)=")",TRIM(LEFT(IF(LEFT(TRIM(A1353),1)="[",TRIM(MID(TRIM(A1353),FIND("]",TRIM(A1353)&amp;"]")+1,200)),TRIM(A1353)),FIND("(",IF(LEFT(TRIM(A1353),1)="[",TRIM(MID(TRIM(A1353),FIND("]",TRIM(A1353)&amp;"]")+1,200)),TRIM(A1353))&amp;"(")-1)),IF(LEFT(TRIM(A1353),1)="[",TRIM(MID(TRIM(A1353),FIND("]",TRIM(A1353)&amp;"]")+1,200)),TRIM(A1353))))&gt;0,IF(RIGHT(IF(LEFT(TRIM(A1353),1)="[",TRIM(MID(TRIM(A1353),FIND("]",TRIM(A1353)&amp;"]")+1,200)),TRIM(A1353)),1)=")",TRIM(LEFT(IF(LEFT(TRIM(A1353),1)="[",TRIM(MID(TRIM(A1353),FIND("]",TRIM(A1353)&amp;"]")+1,200)),TRIM(A1353)),FIND("(",IF(LEFT(TRIM(A1353),1)="[",TRIM(MID(TRIM(A1353),FIND("]",TRIM(A1353)&amp;"]")+1,200)),TRIM(A1353))&amp;"(")-1)),IF(LEFT(TRIM(A1353),1)="[",TRIM(MID(TRIM(A1353),FIND("]",TRIM(A1353)&amp;"]")+1,200)),TRIM(A1353))),""))</f>
      </c>
      <c r="C1353" s="17">
        <f>IF(B1353&lt;&gt;"",B1353,C1352)</f>
      </c>
      <c r="D1353" s="17">
        <f>IF(A1353="","",IF(OR(LEFT(UPPER(TRIM(A1353)),2)="Y:",LEFT(UPPER(TRIM(A1353)),10)="YESTERDAY:"),"Y",IF(OR(LEFT(UPPER(TRIM(A1353)),2)="T:",LEFT(UPPER(TRIM(A1353)),6)="TODAY:"),"T",IF(OR(LEFT(UPPER(TRIM(A1353)),2)="B:",LEFT(UPPER(TRIM(A1353)),8)="BLOCKER:",LEFT(UPPER(TRIM(A1353)),9)="BLOCKERS:",LEFT(UPPER(TRIM(A1353)),8)="BLOCKED:"),"B",""))))</f>
      </c>
      <c r="E1353" s="17">
        <f>IF(D1353="","",TRIM(MID(A1353,FIND(":",A1353)+1,500)))</f>
      </c>
    </row>
    <row r="1354">
      <c r="B1354" s="17">
        <f>IF(A1354="","",IF(COUNTIF(Roster[Name],IF(RIGHT(IF(LEFT(TRIM(A1354),1)="[",TRIM(MID(TRIM(A1354),FIND("]",TRIM(A1354)&amp;"]")+1,200)),TRIM(A1354)),1)=")",TRIM(LEFT(IF(LEFT(TRIM(A1354),1)="[",TRIM(MID(TRIM(A1354),FIND("]",TRIM(A1354)&amp;"]")+1,200)),TRIM(A1354)),FIND("(",IF(LEFT(TRIM(A1354),1)="[",TRIM(MID(TRIM(A1354),FIND("]",TRIM(A1354)&amp;"]")+1,200)),TRIM(A1354))&amp;"(")-1)),IF(LEFT(TRIM(A1354),1)="[",TRIM(MID(TRIM(A1354),FIND("]",TRIM(A1354)&amp;"]")+1,200)),TRIM(A1354))))&gt;0,IF(RIGHT(IF(LEFT(TRIM(A1354),1)="[",TRIM(MID(TRIM(A1354),FIND("]",TRIM(A1354)&amp;"]")+1,200)),TRIM(A1354)),1)=")",TRIM(LEFT(IF(LEFT(TRIM(A1354),1)="[",TRIM(MID(TRIM(A1354),FIND("]",TRIM(A1354)&amp;"]")+1,200)),TRIM(A1354)),FIND("(",IF(LEFT(TRIM(A1354),1)="[",TRIM(MID(TRIM(A1354),FIND("]",TRIM(A1354)&amp;"]")+1,200)),TRIM(A1354))&amp;"(")-1)),IF(LEFT(TRIM(A1354),1)="[",TRIM(MID(TRIM(A1354),FIND("]",TRIM(A1354)&amp;"]")+1,200)),TRIM(A1354))),""))</f>
      </c>
      <c r="C1354" s="17">
        <f>IF(B1354&lt;&gt;"",B1354,C1353)</f>
      </c>
      <c r="D1354" s="17">
        <f>IF(A1354="","",IF(OR(LEFT(UPPER(TRIM(A1354)),2)="Y:",LEFT(UPPER(TRIM(A1354)),10)="YESTERDAY:"),"Y",IF(OR(LEFT(UPPER(TRIM(A1354)),2)="T:",LEFT(UPPER(TRIM(A1354)),6)="TODAY:"),"T",IF(OR(LEFT(UPPER(TRIM(A1354)),2)="B:",LEFT(UPPER(TRIM(A1354)),8)="BLOCKER:",LEFT(UPPER(TRIM(A1354)),9)="BLOCKERS:",LEFT(UPPER(TRIM(A1354)),8)="BLOCKED:"),"B",""))))</f>
      </c>
      <c r="E1354" s="17">
        <f>IF(D1354="","",TRIM(MID(A1354,FIND(":",A1354)+1,500)))</f>
      </c>
    </row>
    <row r="1355">
      <c r="B1355" s="17">
        <f>IF(A1355="","",IF(COUNTIF(Roster[Name],IF(RIGHT(IF(LEFT(TRIM(A1355),1)="[",TRIM(MID(TRIM(A1355),FIND("]",TRIM(A1355)&amp;"]")+1,200)),TRIM(A1355)),1)=")",TRIM(LEFT(IF(LEFT(TRIM(A1355),1)="[",TRIM(MID(TRIM(A1355),FIND("]",TRIM(A1355)&amp;"]")+1,200)),TRIM(A1355)),FIND("(",IF(LEFT(TRIM(A1355),1)="[",TRIM(MID(TRIM(A1355),FIND("]",TRIM(A1355)&amp;"]")+1,200)),TRIM(A1355))&amp;"(")-1)),IF(LEFT(TRIM(A1355),1)="[",TRIM(MID(TRIM(A1355),FIND("]",TRIM(A1355)&amp;"]")+1,200)),TRIM(A1355))))&gt;0,IF(RIGHT(IF(LEFT(TRIM(A1355),1)="[",TRIM(MID(TRIM(A1355),FIND("]",TRIM(A1355)&amp;"]")+1,200)),TRIM(A1355)),1)=")",TRIM(LEFT(IF(LEFT(TRIM(A1355),1)="[",TRIM(MID(TRIM(A1355),FIND("]",TRIM(A1355)&amp;"]")+1,200)),TRIM(A1355)),FIND("(",IF(LEFT(TRIM(A1355),1)="[",TRIM(MID(TRIM(A1355),FIND("]",TRIM(A1355)&amp;"]")+1,200)),TRIM(A1355))&amp;"(")-1)),IF(LEFT(TRIM(A1355),1)="[",TRIM(MID(TRIM(A1355),FIND("]",TRIM(A1355)&amp;"]")+1,200)),TRIM(A1355))),""))</f>
      </c>
      <c r="C1355" s="17">
        <f>IF(B1355&lt;&gt;"",B1355,C1354)</f>
      </c>
      <c r="D1355" s="17">
        <f>IF(A1355="","",IF(OR(LEFT(UPPER(TRIM(A1355)),2)="Y:",LEFT(UPPER(TRIM(A1355)),10)="YESTERDAY:"),"Y",IF(OR(LEFT(UPPER(TRIM(A1355)),2)="T:",LEFT(UPPER(TRIM(A1355)),6)="TODAY:"),"T",IF(OR(LEFT(UPPER(TRIM(A1355)),2)="B:",LEFT(UPPER(TRIM(A1355)),8)="BLOCKER:",LEFT(UPPER(TRIM(A1355)),9)="BLOCKERS:",LEFT(UPPER(TRIM(A1355)),8)="BLOCKED:"),"B",""))))</f>
      </c>
      <c r="E1355" s="17">
        <f>IF(D1355="","",TRIM(MID(A1355,FIND(":",A1355)+1,500)))</f>
      </c>
    </row>
    <row r="1356">
      <c r="B1356" s="17">
        <f>IF(A1356="","",IF(COUNTIF(Roster[Name],IF(RIGHT(IF(LEFT(TRIM(A1356),1)="[",TRIM(MID(TRIM(A1356),FIND("]",TRIM(A1356)&amp;"]")+1,200)),TRIM(A1356)),1)=")",TRIM(LEFT(IF(LEFT(TRIM(A1356),1)="[",TRIM(MID(TRIM(A1356),FIND("]",TRIM(A1356)&amp;"]")+1,200)),TRIM(A1356)),FIND("(",IF(LEFT(TRIM(A1356),1)="[",TRIM(MID(TRIM(A1356),FIND("]",TRIM(A1356)&amp;"]")+1,200)),TRIM(A1356))&amp;"(")-1)),IF(LEFT(TRIM(A1356),1)="[",TRIM(MID(TRIM(A1356),FIND("]",TRIM(A1356)&amp;"]")+1,200)),TRIM(A1356))))&gt;0,IF(RIGHT(IF(LEFT(TRIM(A1356),1)="[",TRIM(MID(TRIM(A1356),FIND("]",TRIM(A1356)&amp;"]")+1,200)),TRIM(A1356)),1)=")",TRIM(LEFT(IF(LEFT(TRIM(A1356),1)="[",TRIM(MID(TRIM(A1356),FIND("]",TRIM(A1356)&amp;"]")+1,200)),TRIM(A1356)),FIND("(",IF(LEFT(TRIM(A1356),1)="[",TRIM(MID(TRIM(A1356),FIND("]",TRIM(A1356)&amp;"]")+1,200)),TRIM(A1356))&amp;"(")-1)),IF(LEFT(TRIM(A1356),1)="[",TRIM(MID(TRIM(A1356),FIND("]",TRIM(A1356)&amp;"]")+1,200)),TRIM(A1356))),""))</f>
      </c>
      <c r="C1356" s="17">
        <f>IF(B1356&lt;&gt;"",B1356,C1355)</f>
      </c>
      <c r="D1356" s="17">
        <f>IF(A1356="","",IF(OR(LEFT(UPPER(TRIM(A1356)),2)="Y:",LEFT(UPPER(TRIM(A1356)),10)="YESTERDAY:"),"Y",IF(OR(LEFT(UPPER(TRIM(A1356)),2)="T:",LEFT(UPPER(TRIM(A1356)),6)="TODAY:"),"T",IF(OR(LEFT(UPPER(TRIM(A1356)),2)="B:",LEFT(UPPER(TRIM(A1356)),8)="BLOCKER:",LEFT(UPPER(TRIM(A1356)),9)="BLOCKERS:",LEFT(UPPER(TRIM(A1356)),8)="BLOCKED:"),"B",""))))</f>
      </c>
      <c r="E1356" s="17">
        <f>IF(D1356="","",TRIM(MID(A1356,FIND(":",A1356)+1,500)))</f>
      </c>
    </row>
    <row r="1357">
      <c r="B1357" s="17">
        <f>IF(A1357="","",IF(COUNTIF(Roster[Name],IF(RIGHT(IF(LEFT(TRIM(A1357),1)="[",TRIM(MID(TRIM(A1357),FIND("]",TRIM(A1357)&amp;"]")+1,200)),TRIM(A1357)),1)=")",TRIM(LEFT(IF(LEFT(TRIM(A1357),1)="[",TRIM(MID(TRIM(A1357),FIND("]",TRIM(A1357)&amp;"]")+1,200)),TRIM(A1357)),FIND("(",IF(LEFT(TRIM(A1357),1)="[",TRIM(MID(TRIM(A1357),FIND("]",TRIM(A1357)&amp;"]")+1,200)),TRIM(A1357))&amp;"(")-1)),IF(LEFT(TRIM(A1357),1)="[",TRIM(MID(TRIM(A1357),FIND("]",TRIM(A1357)&amp;"]")+1,200)),TRIM(A1357))))&gt;0,IF(RIGHT(IF(LEFT(TRIM(A1357),1)="[",TRIM(MID(TRIM(A1357),FIND("]",TRIM(A1357)&amp;"]")+1,200)),TRIM(A1357)),1)=")",TRIM(LEFT(IF(LEFT(TRIM(A1357),1)="[",TRIM(MID(TRIM(A1357),FIND("]",TRIM(A1357)&amp;"]")+1,200)),TRIM(A1357)),FIND("(",IF(LEFT(TRIM(A1357),1)="[",TRIM(MID(TRIM(A1357),FIND("]",TRIM(A1357)&amp;"]")+1,200)),TRIM(A1357))&amp;"(")-1)),IF(LEFT(TRIM(A1357),1)="[",TRIM(MID(TRIM(A1357),FIND("]",TRIM(A1357)&amp;"]")+1,200)),TRIM(A1357))),""))</f>
      </c>
      <c r="C1357" s="17">
        <f>IF(B1357&lt;&gt;"",B1357,C1356)</f>
      </c>
      <c r="D1357" s="17">
        <f>IF(A1357="","",IF(OR(LEFT(UPPER(TRIM(A1357)),2)="Y:",LEFT(UPPER(TRIM(A1357)),10)="YESTERDAY:"),"Y",IF(OR(LEFT(UPPER(TRIM(A1357)),2)="T:",LEFT(UPPER(TRIM(A1357)),6)="TODAY:"),"T",IF(OR(LEFT(UPPER(TRIM(A1357)),2)="B:",LEFT(UPPER(TRIM(A1357)),8)="BLOCKER:",LEFT(UPPER(TRIM(A1357)),9)="BLOCKERS:",LEFT(UPPER(TRIM(A1357)),8)="BLOCKED:"),"B",""))))</f>
      </c>
      <c r="E1357" s="17">
        <f>IF(D1357="","",TRIM(MID(A1357,FIND(":",A1357)+1,500)))</f>
      </c>
    </row>
    <row r="1358">
      <c r="B1358" s="17">
        <f>IF(A1358="","",IF(COUNTIF(Roster[Name],IF(RIGHT(IF(LEFT(TRIM(A1358),1)="[",TRIM(MID(TRIM(A1358),FIND("]",TRIM(A1358)&amp;"]")+1,200)),TRIM(A1358)),1)=")",TRIM(LEFT(IF(LEFT(TRIM(A1358),1)="[",TRIM(MID(TRIM(A1358),FIND("]",TRIM(A1358)&amp;"]")+1,200)),TRIM(A1358)),FIND("(",IF(LEFT(TRIM(A1358),1)="[",TRIM(MID(TRIM(A1358),FIND("]",TRIM(A1358)&amp;"]")+1,200)),TRIM(A1358))&amp;"(")-1)),IF(LEFT(TRIM(A1358),1)="[",TRIM(MID(TRIM(A1358),FIND("]",TRIM(A1358)&amp;"]")+1,200)),TRIM(A1358))))&gt;0,IF(RIGHT(IF(LEFT(TRIM(A1358),1)="[",TRIM(MID(TRIM(A1358),FIND("]",TRIM(A1358)&amp;"]")+1,200)),TRIM(A1358)),1)=")",TRIM(LEFT(IF(LEFT(TRIM(A1358),1)="[",TRIM(MID(TRIM(A1358),FIND("]",TRIM(A1358)&amp;"]")+1,200)),TRIM(A1358)),FIND("(",IF(LEFT(TRIM(A1358),1)="[",TRIM(MID(TRIM(A1358),FIND("]",TRIM(A1358)&amp;"]")+1,200)),TRIM(A1358))&amp;"(")-1)),IF(LEFT(TRIM(A1358),1)="[",TRIM(MID(TRIM(A1358),FIND("]",TRIM(A1358)&amp;"]")+1,200)),TRIM(A1358))),""))</f>
      </c>
      <c r="C1358" s="17">
        <f>IF(B1358&lt;&gt;"",B1358,C1357)</f>
      </c>
      <c r="D1358" s="17">
        <f>IF(A1358="","",IF(OR(LEFT(UPPER(TRIM(A1358)),2)="Y:",LEFT(UPPER(TRIM(A1358)),10)="YESTERDAY:"),"Y",IF(OR(LEFT(UPPER(TRIM(A1358)),2)="T:",LEFT(UPPER(TRIM(A1358)),6)="TODAY:"),"T",IF(OR(LEFT(UPPER(TRIM(A1358)),2)="B:",LEFT(UPPER(TRIM(A1358)),8)="BLOCKER:",LEFT(UPPER(TRIM(A1358)),9)="BLOCKERS:",LEFT(UPPER(TRIM(A1358)),8)="BLOCKED:"),"B",""))))</f>
      </c>
      <c r="E1358" s="17">
        <f>IF(D1358="","",TRIM(MID(A1358,FIND(":",A1358)+1,500)))</f>
      </c>
    </row>
    <row r="1359">
      <c r="B1359" s="17">
        <f>IF(A1359="","",IF(COUNTIF(Roster[Name],IF(RIGHT(IF(LEFT(TRIM(A1359),1)="[",TRIM(MID(TRIM(A1359),FIND("]",TRIM(A1359)&amp;"]")+1,200)),TRIM(A1359)),1)=")",TRIM(LEFT(IF(LEFT(TRIM(A1359),1)="[",TRIM(MID(TRIM(A1359),FIND("]",TRIM(A1359)&amp;"]")+1,200)),TRIM(A1359)),FIND("(",IF(LEFT(TRIM(A1359),1)="[",TRIM(MID(TRIM(A1359),FIND("]",TRIM(A1359)&amp;"]")+1,200)),TRIM(A1359))&amp;"(")-1)),IF(LEFT(TRIM(A1359),1)="[",TRIM(MID(TRIM(A1359),FIND("]",TRIM(A1359)&amp;"]")+1,200)),TRIM(A1359))))&gt;0,IF(RIGHT(IF(LEFT(TRIM(A1359),1)="[",TRIM(MID(TRIM(A1359),FIND("]",TRIM(A1359)&amp;"]")+1,200)),TRIM(A1359)),1)=")",TRIM(LEFT(IF(LEFT(TRIM(A1359),1)="[",TRIM(MID(TRIM(A1359),FIND("]",TRIM(A1359)&amp;"]")+1,200)),TRIM(A1359)),FIND("(",IF(LEFT(TRIM(A1359),1)="[",TRIM(MID(TRIM(A1359),FIND("]",TRIM(A1359)&amp;"]")+1,200)),TRIM(A1359))&amp;"(")-1)),IF(LEFT(TRIM(A1359),1)="[",TRIM(MID(TRIM(A1359),FIND("]",TRIM(A1359)&amp;"]")+1,200)),TRIM(A1359))),""))</f>
      </c>
      <c r="C1359" s="17">
        <f>IF(B1359&lt;&gt;"",B1359,C1358)</f>
      </c>
      <c r="D1359" s="17">
        <f>IF(A1359="","",IF(OR(LEFT(UPPER(TRIM(A1359)),2)="Y:",LEFT(UPPER(TRIM(A1359)),10)="YESTERDAY:"),"Y",IF(OR(LEFT(UPPER(TRIM(A1359)),2)="T:",LEFT(UPPER(TRIM(A1359)),6)="TODAY:"),"T",IF(OR(LEFT(UPPER(TRIM(A1359)),2)="B:",LEFT(UPPER(TRIM(A1359)),8)="BLOCKER:",LEFT(UPPER(TRIM(A1359)),9)="BLOCKERS:",LEFT(UPPER(TRIM(A1359)),8)="BLOCKED:"),"B",""))))</f>
      </c>
      <c r="E1359" s="17">
        <f>IF(D1359="","",TRIM(MID(A1359,FIND(":",A1359)+1,500)))</f>
      </c>
    </row>
    <row r="1360">
      <c r="B1360" s="17">
        <f>IF(A1360="","",IF(COUNTIF(Roster[Name],IF(RIGHT(IF(LEFT(TRIM(A1360),1)="[",TRIM(MID(TRIM(A1360),FIND("]",TRIM(A1360)&amp;"]")+1,200)),TRIM(A1360)),1)=")",TRIM(LEFT(IF(LEFT(TRIM(A1360),1)="[",TRIM(MID(TRIM(A1360),FIND("]",TRIM(A1360)&amp;"]")+1,200)),TRIM(A1360)),FIND("(",IF(LEFT(TRIM(A1360),1)="[",TRIM(MID(TRIM(A1360),FIND("]",TRIM(A1360)&amp;"]")+1,200)),TRIM(A1360))&amp;"(")-1)),IF(LEFT(TRIM(A1360),1)="[",TRIM(MID(TRIM(A1360),FIND("]",TRIM(A1360)&amp;"]")+1,200)),TRIM(A1360))))&gt;0,IF(RIGHT(IF(LEFT(TRIM(A1360),1)="[",TRIM(MID(TRIM(A1360),FIND("]",TRIM(A1360)&amp;"]")+1,200)),TRIM(A1360)),1)=")",TRIM(LEFT(IF(LEFT(TRIM(A1360),1)="[",TRIM(MID(TRIM(A1360),FIND("]",TRIM(A1360)&amp;"]")+1,200)),TRIM(A1360)),FIND("(",IF(LEFT(TRIM(A1360),1)="[",TRIM(MID(TRIM(A1360),FIND("]",TRIM(A1360)&amp;"]")+1,200)),TRIM(A1360))&amp;"(")-1)),IF(LEFT(TRIM(A1360),1)="[",TRIM(MID(TRIM(A1360),FIND("]",TRIM(A1360)&amp;"]")+1,200)),TRIM(A1360))),""))</f>
      </c>
      <c r="C1360" s="17">
        <f>IF(B1360&lt;&gt;"",B1360,C1359)</f>
      </c>
      <c r="D1360" s="17">
        <f>IF(A1360="","",IF(OR(LEFT(UPPER(TRIM(A1360)),2)="Y:",LEFT(UPPER(TRIM(A1360)),10)="YESTERDAY:"),"Y",IF(OR(LEFT(UPPER(TRIM(A1360)),2)="T:",LEFT(UPPER(TRIM(A1360)),6)="TODAY:"),"T",IF(OR(LEFT(UPPER(TRIM(A1360)),2)="B:",LEFT(UPPER(TRIM(A1360)),8)="BLOCKER:",LEFT(UPPER(TRIM(A1360)),9)="BLOCKERS:",LEFT(UPPER(TRIM(A1360)),8)="BLOCKED:"),"B",""))))</f>
      </c>
      <c r="E1360" s="17">
        <f>IF(D1360="","",TRIM(MID(A1360,FIND(":",A1360)+1,500)))</f>
      </c>
    </row>
    <row r="1361">
      <c r="B1361" s="17">
        <f>IF(A1361="","",IF(COUNTIF(Roster[Name],IF(RIGHT(IF(LEFT(TRIM(A1361),1)="[",TRIM(MID(TRIM(A1361),FIND("]",TRIM(A1361)&amp;"]")+1,200)),TRIM(A1361)),1)=")",TRIM(LEFT(IF(LEFT(TRIM(A1361),1)="[",TRIM(MID(TRIM(A1361),FIND("]",TRIM(A1361)&amp;"]")+1,200)),TRIM(A1361)),FIND("(",IF(LEFT(TRIM(A1361),1)="[",TRIM(MID(TRIM(A1361),FIND("]",TRIM(A1361)&amp;"]")+1,200)),TRIM(A1361))&amp;"(")-1)),IF(LEFT(TRIM(A1361),1)="[",TRIM(MID(TRIM(A1361),FIND("]",TRIM(A1361)&amp;"]")+1,200)),TRIM(A1361))))&gt;0,IF(RIGHT(IF(LEFT(TRIM(A1361),1)="[",TRIM(MID(TRIM(A1361),FIND("]",TRIM(A1361)&amp;"]")+1,200)),TRIM(A1361)),1)=")",TRIM(LEFT(IF(LEFT(TRIM(A1361),1)="[",TRIM(MID(TRIM(A1361),FIND("]",TRIM(A1361)&amp;"]")+1,200)),TRIM(A1361)),FIND("(",IF(LEFT(TRIM(A1361),1)="[",TRIM(MID(TRIM(A1361),FIND("]",TRIM(A1361)&amp;"]")+1,200)),TRIM(A1361))&amp;"(")-1)),IF(LEFT(TRIM(A1361),1)="[",TRIM(MID(TRIM(A1361),FIND("]",TRIM(A1361)&amp;"]")+1,200)),TRIM(A1361))),""))</f>
      </c>
      <c r="C1361" s="17">
        <f>IF(B1361&lt;&gt;"",B1361,C1360)</f>
      </c>
      <c r="D1361" s="17">
        <f>IF(A1361="","",IF(OR(LEFT(UPPER(TRIM(A1361)),2)="Y:",LEFT(UPPER(TRIM(A1361)),10)="YESTERDAY:"),"Y",IF(OR(LEFT(UPPER(TRIM(A1361)),2)="T:",LEFT(UPPER(TRIM(A1361)),6)="TODAY:"),"T",IF(OR(LEFT(UPPER(TRIM(A1361)),2)="B:",LEFT(UPPER(TRIM(A1361)),8)="BLOCKER:",LEFT(UPPER(TRIM(A1361)),9)="BLOCKERS:",LEFT(UPPER(TRIM(A1361)),8)="BLOCKED:"),"B",""))))</f>
      </c>
      <c r="E1361" s="17">
        <f>IF(D1361="","",TRIM(MID(A1361,FIND(":",A1361)+1,500)))</f>
      </c>
    </row>
    <row r="1362">
      <c r="B1362" s="17">
        <f>IF(A1362="","",IF(COUNTIF(Roster[Name],IF(RIGHT(IF(LEFT(TRIM(A1362),1)="[",TRIM(MID(TRIM(A1362),FIND("]",TRIM(A1362)&amp;"]")+1,200)),TRIM(A1362)),1)=")",TRIM(LEFT(IF(LEFT(TRIM(A1362),1)="[",TRIM(MID(TRIM(A1362),FIND("]",TRIM(A1362)&amp;"]")+1,200)),TRIM(A1362)),FIND("(",IF(LEFT(TRIM(A1362),1)="[",TRIM(MID(TRIM(A1362),FIND("]",TRIM(A1362)&amp;"]")+1,200)),TRIM(A1362))&amp;"(")-1)),IF(LEFT(TRIM(A1362),1)="[",TRIM(MID(TRIM(A1362),FIND("]",TRIM(A1362)&amp;"]")+1,200)),TRIM(A1362))))&gt;0,IF(RIGHT(IF(LEFT(TRIM(A1362),1)="[",TRIM(MID(TRIM(A1362),FIND("]",TRIM(A1362)&amp;"]")+1,200)),TRIM(A1362)),1)=")",TRIM(LEFT(IF(LEFT(TRIM(A1362),1)="[",TRIM(MID(TRIM(A1362),FIND("]",TRIM(A1362)&amp;"]")+1,200)),TRIM(A1362)),FIND("(",IF(LEFT(TRIM(A1362),1)="[",TRIM(MID(TRIM(A1362),FIND("]",TRIM(A1362)&amp;"]")+1,200)),TRIM(A1362))&amp;"(")-1)),IF(LEFT(TRIM(A1362),1)="[",TRIM(MID(TRIM(A1362),FIND("]",TRIM(A1362)&amp;"]")+1,200)),TRIM(A1362))),""))</f>
      </c>
      <c r="C1362" s="17">
        <f>IF(B1362&lt;&gt;"",B1362,C1361)</f>
      </c>
      <c r="D1362" s="17">
        <f>IF(A1362="","",IF(OR(LEFT(UPPER(TRIM(A1362)),2)="Y:",LEFT(UPPER(TRIM(A1362)),10)="YESTERDAY:"),"Y",IF(OR(LEFT(UPPER(TRIM(A1362)),2)="T:",LEFT(UPPER(TRIM(A1362)),6)="TODAY:"),"T",IF(OR(LEFT(UPPER(TRIM(A1362)),2)="B:",LEFT(UPPER(TRIM(A1362)),8)="BLOCKER:",LEFT(UPPER(TRIM(A1362)),9)="BLOCKERS:",LEFT(UPPER(TRIM(A1362)),8)="BLOCKED:"),"B",""))))</f>
      </c>
      <c r="E1362" s="17">
        <f>IF(D1362="","",TRIM(MID(A1362,FIND(":",A1362)+1,500)))</f>
      </c>
    </row>
    <row r="1363">
      <c r="B1363" s="17">
        <f>IF(A1363="","",IF(COUNTIF(Roster[Name],IF(RIGHT(IF(LEFT(TRIM(A1363),1)="[",TRIM(MID(TRIM(A1363),FIND("]",TRIM(A1363)&amp;"]")+1,200)),TRIM(A1363)),1)=")",TRIM(LEFT(IF(LEFT(TRIM(A1363),1)="[",TRIM(MID(TRIM(A1363),FIND("]",TRIM(A1363)&amp;"]")+1,200)),TRIM(A1363)),FIND("(",IF(LEFT(TRIM(A1363),1)="[",TRIM(MID(TRIM(A1363),FIND("]",TRIM(A1363)&amp;"]")+1,200)),TRIM(A1363))&amp;"(")-1)),IF(LEFT(TRIM(A1363),1)="[",TRIM(MID(TRIM(A1363),FIND("]",TRIM(A1363)&amp;"]")+1,200)),TRIM(A1363))))&gt;0,IF(RIGHT(IF(LEFT(TRIM(A1363),1)="[",TRIM(MID(TRIM(A1363),FIND("]",TRIM(A1363)&amp;"]")+1,200)),TRIM(A1363)),1)=")",TRIM(LEFT(IF(LEFT(TRIM(A1363),1)="[",TRIM(MID(TRIM(A1363),FIND("]",TRIM(A1363)&amp;"]")+1,200)),TRIM(A1363)),FIND("(",IF(LEFT(TRIM(A1363),1)="[",TRIM(MID(TRIM(A1363),FIND("]",TRIM(A1363)&amp;"]")+1,200)),TRIM(A1363))&amp;"(")-1)),IF(LEFT(TRIM(A1363),1)="[",TRIM(MID(TRIM(A1363),FIND("]",TRIM(A1363)&amp;"]")+1,200)),TRIM(A1363))),""))</f>
      </c>
      <c r="C1363" s="17">
        <f>IF(B1363&lt;&gt;"",B1363,C1362)</f>
      </c>
      <c r="D1363" s="17">
        <f>IF(A1363="","",IF(OR(LEFT(UPPER(TRIM(A1363)),2)="Y:",LEFT(UPPER(TRIM(A1363)),10)="YESTERDAY:"),"Y",IF(OR(LEFT(UPPER(TRIM(A1363)),2)="T:",LEFT(UPPER(TRIM(A1363)),6)="TODAY:"),"T",IF(OR(LEFT(UPPER(TRIM(A1363)),2)="B:",LEFT(UPPER(TRIM(A1363)),8)="BLOCKER:",LEFT(UPPER(TRIM(A1363)),9)="BLOCKERS:",LEFT(UPPER(TRIM(A1363)),8)="BLOCKED:"),"B",""))))</f>
      </c>
      <c r="E1363" s="17">
        <f>IF(D1363="","",TRIM(MID(A1363,FIND(":",A1363)+1,500)))</f>
      </c>
    </row>
    <row r="1364">
      <c r="B1364" s="17">
        <f>IF(A1364="","",IF(COUNTIF(Roster[Name],IF(RIGHT(IF(LEFT(TRIM(A1364),1)="[",TRIM(MID(TRIM(A1364),FIND("]",TRIM(A1364)&amp;"]")+1,200)),TRIM(A1364)),1)=")",TRIM(LEFT(IF(LEFT(TRIM(A1364),1)="[",TRIM(MID(TRIM(A1364),FIND("]",TRIM(A1364)&amp;"]")+1,200)),TRIM(A1364)),FIND("(",IF(LEFT(TRIM(A1364),1)="[",TRIM(MID(TRIM(A1364),FIND("]",TRIM(A1364)&amp;"]")+1,200)),TRIM(A1364))&amp;"(")-1)),IF(LEFT(TRIM(A1364),1)="[",TRIM(MID(TRIM(A1364),FIND("]",TRIM(A1364)&amp;"]")+1,200)),TRIM(A1364))))&gt;0,IF(RIGHT(IF(LEFT(TRIM(A1364),1)="[",TRIM(MID(TRIM(A1364),FIND("]",TRIM(A1364)&amp;"]")+1,200)),TRIM(A1364)),1)=")",TRIM(LEFT(IF(LEFT(TRIM(A1364),1)="[",TRIM(MID(TRIM(A1364),FIND("]",TRIM(A1364)&amp;"]")+1,200)),TRIM(A1364)),FIND("(",IF(LEFT(TRIM(A1364),1)="[",TRIM(MID(TRIM(A1364),FIND("]",TRIM(A1364)&amp;"]")+1,200)),TRIM(A1364))&amp;"(")-1)),IF(LEFT(TRIM(A1364),1)="[",TRIM(MID(TRIM(A1364),FIND("]",TRIM(A1364)&amp;"]")+1,200)),TRIM(A1364))),""))</f>
      </c>
      <c r="C1364" s="17">
        <f>IF(B1364&lt;&gt;"",B1364,C1363)</f>
      </c>
      <c r="D1364" s="17">
        <f>IF(A1364="","",IF(OR(LEFT(UPPER(TRIM(A1364)),2)="Y:",LEFT(UPPER(TRIM(A1364)),10)="YESTERDAY:"),"Y",IF(OR(LEFT(UPPER(TRIM(A1364)),2)="T:",LEFT(UPPER(TRIM(A1364)),6)="TODAY:"),"T",IF(OR(LEFT(UPPER(TRIM(A1364)),2)="B:",LEFT(UPPER(TRIM(A1364)),8)="BLOCKER:",LEFT(UPPER(TRIM(A1364)),9)="BLOCKERS:",LEFT(UPPER(TRIM(A1364)),8)="BLOCKED:"),"B",""))))</f>
      </c>
      <c r="E1364" s="17">
        <f>IF(D1364="","",TRIM(MID(A1364,FIND(":",A1364)+1,500)))</f>
      </c>
    </row>
    <row r="1365">
      <c r="B1365" s="17">
        <f>IF(A1365="","",IF(COUNTIF(Roster[Name],IF(RIGHT(IF(LEFT(TRIM(A1365),1)="[",TRIM(MID(TRIM(A1365),FIND("]",TRIM(A1365)&amp;"]")+1,200)),TRIM(A1365)),1)=")",TRIM(LEFT(IF(LEFT(TRIM(A1365),1)="[",TRIM(MID(TRIM(A1365),FIND("]",TRIM(A1365)&amp;"]")+1,200)),TRIM(A1365)),FIND("(",IF(LEFT(TRIM(A1365),1)="[",TRIM(MID(TRIM(A1365),FIND("]",TRIM(A1365)&amp;"]")+1,200)),TRIM(A1365))&amp;"(")-1)),IF(LEFT(TRIM(A1365),1)="[",TRIM(MID(TRIM(A1365),FIND("]",TRIM(A1365)&amp;"]")+1,200)),TRIM(A1365))))&gt;0,IF(RIGHT(IF(LEFT(TRIM(A1365),1)="[",TRIM(MID(TRIM(A1365),FIND("]",TRIM(A1365)&amp;"]")+1,200)),TRIM(A1365)),1)=")",TRIM(LEFT(IF(LEFT(TRIM(A1365),1)="[",TRIM(MID(TRIM(A1365),FIND("]",TRIM(A1365)&amp;"]")+1,200)),TRIM(A1365)),FIND("(",IF(LEFT(TRIM(A1365),1)="[",TRIM(MID(TRIM(A1365),FIND("]",TRIM(A1365)&amp;"]")+1,200)),TRIM(A1365))&amp;"(")-1)),IF(LEFT(TRIM(A1365),1)="[",TRIM(MID(TRIM(A1365),FIND("]",TRIM(A1365)&amp;"]")+1,200)),TRIM(A1365))),""))</f>
      </c>
      <c r="C1365" s="17">
        <f>IF(B1365&lt;&gt;"",B1365,C1364)</f>
      </c>
      <c r="D1365" s="17">
        <f>IF(A1365="","",IF(OR(LEFT(UPPER(TRIM(A1365)),2)="Y:",LEFT(UPPER(TRIM(A1365)),10)="YESTERDAY:"),"Y",IF(OR(LEFT(UPPER(TRIM(A1365)),2)="T:",LEFT(UPPER(TRIM(A1365)),6)="TODAY:"),"T",IF(OR(LEFT(UPPER(TRIM(A1365)),2)="B:",LEFT(UPPER(TRIM(A1365)),8)="BLOCKER:",LEFT(UPPER(TRIM(A1365)),9)="BLOCKERS:",LEFT(UPPER(TRIM(A1365)),8)="BLOCKED:"),"B",""))))</f>
      </c>
      <c r="E1365" s="17">
        <f>IF(D1365="","",TRIM(MID(A1365,FIND(":",A1365)+1,500)))</f>
      </c>
    </row>
    <row r="1366">
      <c r="B1366" s="17">
        <f>IF(A1366="","",IF(COUNTIF(Roster[Name],IF(RIGHT(IF(LEFT(TRIM(A1366),1)="[",TRIM(MID(TRIM(A1366),FIND("]",TRIM(A1366)&amp;"]")+1,200)),TRIM(A1366)),1)=")",TRIM(LEFT(IF(LEFT(TRIM(A1366),1)="[",TRIM(MID(TRIM(A1366),FIND("]",TRIM(A1366)&amp;"]")+1,200)),TRIM(A1366)),FIND("(",IF(LEFT(TRIM(A1366),1)="[",TRIM(MID(TRIM(A1366),FIND("]",TRIM(A1366)&amp;"]")+1,200)),TRIM(A1366))&amp;"(")-1)),IF(LEFT(TRIM(A1366),1)="[",TRIM(MID(TRIM(A1366),FIND("]",TRIM(A1366)&amp;"]")+1,200)),TRIM(A1366))))&gt;0,IF(RIGHT(IF(LEFT(TRIM(A1366),1)="[",TRIM(MID(TRIM(A1366),FIND("]",TRIM(A1366)&amp;"]")+1,200)),TRIM(A1366)),1)=")",TRIM(LEFT(IF(LEFT(TRIM(A1366),1)="[",TRIM(MID(TRIM(A1366),FIND("]",TRIM(A1366)&amp;"]")+1,200)),TRIM(A1366)),FIND("(",IF(LEFT(TRIM(A1366),1)="[",TRIM(MID(TRIM(A1366),FIND("]",TRIM(A1366)&amp;"]")+1,200)),TRIM(A1366))&amp;"(")-1)),IF(LEFT(TRIM(A1366),1)="[",TRIM(MID(TRIM(A1366),FIND("]",TRIM(A1366)&amp;"]")+1,200)),TRIM(A1366))),""))</f>
      </c>
      <c r="C1366" s="17">
        <f>IF(B1366&lt;&gt;"",B1366,C1365)</f>
      </c>
      <c r="D1366" s="17">
        <f>IF(A1366="","",IF(OR(LEFT(UPPER(TRIM(A1366)),2)="Y:",LEFT(UPPER(TRIM(A1366)),10)="YESTERDAY:"),"Y",IF(OR(LEFT(UPPER(TRIM(A1366)),2)="T:",LEFT(UPPER(TRIM(A1366)),6)="TODAY:"),"T",IF(OR(LEFT(UPPER(TRIM(A1366)),2)="B:",LEFT(UPPER(TRIM(A1366)),8)="BLOCKER:",LEFT(UPPER(TRIM(A1366)),9)="BLOCKERS:",LEFT(UPPER(TRIM(A1366)),8)="BLOCKED:"),"B",""))))</f>
      </c>
      <c r="E1366" s="17">
        <f>IF(D1366="","",TRIM(MID(A1366,FIND(":",A1366)+1,500)))</f>
      </c>
    </row>
    <row r="1367">
      <c r="B1367" s="17">
        <f>IF(A1367="","",IF(COUNTIF(Roster[Name],IF(RIGHT(IF(LEFT(TRIM(A1367),1)="[",TRIM(MID(TRIM(A1367),FIND("]",TRIM(A1367)&amp;"]")+1,200)),TRIM(A1367)),1)=")",TRIM(LEFT(IF(LEFT(TRIM(A1367),1)="[",TRIM(MID(TRIM(A1367),FIND("]",TRIM(A1367)&amp;"]")+1,200)),TRIM(A1367)),FIND("(",IF(LEFT(TRIM(A1367),1)="[",TRIM(MID(TRIM(A1367),FIND("]",TRIM(A1367)&amp;"]")+1,200)),TRIM(A1367))&amp;"(")-1)),IF(LEFT(TRIM(A1367),1)="[",TRIM(MID(TRIM(A1367),FIND("]",TRIM(A1367)&amp;"]")+1,200)),TRIM(A1367))))&gt;0,IF(RIGHT(IF(LEFT(TRIM(A1367),1)="[",TRIM(MID(TRIM(A1367),FIND("]",TRIM(A1367)&amp;"]")+1,200)),TRIM(A1367)),1)=")",TRIM(LEFT(IF(LEFT(TRIM(A1367),1)="[",TRIM(MID(TRIM(A1367),FIND("]",TRIM(A1367)&amp;"]")+1,200)),TRIM(A1367)),FIND("(",IF(LEFT(TRIM(A1367),1)="[",TRIM(MID(TRIM(A1367),FIND("]",TRIM(A1367)&amp;"]")+1,200)),TRIM(A1367))&amp;"(")-1)),IF(LEFT(TRIM(A1367),1)="[",TRIM(MID(TRIM(A1367),FIND("]",TRIM(A1367)&amp;"]")+1,200)),TRIM(A1367))),""))</f>
      </c>
      <c r="C1367" s="17">
        <f>IF(B1367&lt;&gt;"",B1367,C1366)</f>
      </c>
      <c r="D1367" s="17">
        <f>IF(A1367="","",IF(OR(LEFT(UPPER(TRIM(A1367)),2)="Y:",LEFT(UPPER(TRIM(A1367)),10)="YESTERDAY:"),"Y",IF(OR(LEFT(UPPER(TRIM(A1367)),2)="T:",LEFT(UPPER(TRIM(A1367)),6)="TODAY:"),"T",IF(OR(LEFT(UPPER(TRIM(A1367)),2)="B:",LEFT(UPPER(TRIM(A1367)),8)="BLOCKER:",LEFT(UPPER(TRIM(A1367)),9)="BLOCKERS:",LEFT(UPPER(TRIM(A1367)),8)="BLOCKED:"),"B",""))))</f>
      </c>
      <c r="E1367" s="17">
        <f>IF(D1367="","",TRIM(MID(A1367,FIND(":",A1367)+1,500)))</f>
      </c>
    </row>
    <row r="1368">
      <c r="B1368" s="17">
        <f>IF(A1368="","",IF(COUNTIF(Roster[Name],IF(RIGHT(IF(LEFT(TRIM(A1368),1)="[",TRIM(MID(TRIM(A1368),FIND("]",TRIM(A1368)&amp;"]")+1,200)),TRIM(A1368)),1)=")",TRIM(LEFT(IF(LEFT(TRIM(A1368),1)="[",TRIM(MID(TRIM(A1368),FIND("]",TRIM(A1368)&amp;"]")+1,200)),TRIM(A1368)),FIND("(",IF(LEFT(TRIM(A1368),1)="[",TRIM(MID(TRIM(A1368),FIND("]",TRIM(A1368)&amp;"]")+1,200)),TRIM(A1368))&amp;"(")-1)),IF(LEFT(TRIM(A1368),1)="[",TRIM(MID(TRIM(A1368),FIND("]",TRIM(A1368)&amp;"]")+1,200)),TRIM(A1368))))&gt;0,IF(RIGHT(IF(LEFT(TRIM(A1368),1)="[",TRIM(MID(TRIM(A1368),FIND("]",TRIM(A1368)&amp;"]")+1,200)),TRIM(A1368)),1)=")",TRIM(LEFT(IF(LEFT(TRIM(A1368),1)="[",TRIM(MID(TRIM(A1368),FIND("]",TRIM(A1368)&amp;"]")+1,200)),TRIM(A1368)),FIND("(",IF(LEFT(TRIM(A1368),1)="[",TRIM(MID(TRIM(A1368),FIND("]",TRIM(A1368)&amp;"]")+1,200)),TRIM(A1368))&amp;"(")-1)),IF(LEFT(TRIM(A1368),1)="[",TRIM(MID(TRIM(A1368),FIND("]",TRIM(A1368)&amp;"]")+1,200)),TRIM(A1368))),""))</f>
      </c>
      <c r="C1368" s="17">
        <f>IF(B1368&lt;&gt;"",B1368,C1367)</f>
      </c>
      <c r="D1368" s="17">
        <f>IF(A1368="","",IF(OR(LEFT(UPPER(TRIM(A1368)),2)="Y:",LEFT(UPPER(TRIM(A1368)),10)="YESTERDAY:"),"Y",IF(OR(LEFT(UPPER(TRIM(A1368)),2)="T:",LEFT(UPPER(TRIM(A1368)),6)="TODAY:"),"T",IF(OR(LEFT(UPPER(TRIM(A1368)),2)="B:",LEFT(UPPER(TRIM(A1368)),8)="BLOCKER:",LEFT(UPPER(TRIM(A1368)),9)="BLOCKERS:",LEFT(UPPER(TRIM(A1368)),8)="BLOCKED:"),"B",""))))</f>
      </c>
      <c r="E1368" s="17">
        <f>IF(D1368="","",TRIM(MID(A1368,FIND(":",A1368)+1,500)))</f>
      </c>
    </row>
    <row r="1369">
      <c r="B1369" s="17">
        <f>IF(A1369="","",IF(COUNTIF(Roster[Name],IF(RIGHT(IF(LEFT(TRIM(A1369),1)="[",TRIM(MID(TRIM(A1369),FIND("]",TRIM(A1369)&amp;"]")+1,200)),TRIM(A1369)),1)=")",TRIM(LEFT(IF(LEFT(TRIM(A1369),1)="[",TRIM(MID(TRIM(A1369),FIND("]",TRIM(A1369)&amp;"]")+1,200)),TRIM(A1369)),FIND("(",IF(LEFT(TRIM(A1369),1)="[",TRIM(MID(TRIM(A1369),FIND("]",TRIM(A1369)&amp;"]")+1,200)),TRIM(A1369))&amp;"(")-1)),IF(LEFT(TRIM(A1369),1)="[",TRIM(MID(TRIM(A1369),FIND("]",TRIM(A1369)&amp;"]")+1,200)),TRIM(A1369))))&gt;0,IF(RIGHT(IF(LEFT(TRIM(A1369),1)="[",TRIM(MID(TRIM(A1369),FIND("]",TRIM(A1369)&amp;"]")+1,200)),TRIM(A1369)),1)=")",TRIM(LEFT(IF(LEFT(TRIM(A1369),1)="[",TRIM(MID(TRIM(A1369),FIND("]",TRIM(A1369)&amp;"]")+1,200)),TRIM(A1369)),FIND("(",IF(LEFT(TRIM(A1369),1)="[",TRIM(MID(TRIM(A1369),FIND("]",TRIM(A1369)&amp;"]")+1,200)),TRIM(A1369))&amp;"(")-1)),IF(LEFT(TRIM(A1369),1)="[",TRIM(MID(TRIM(A1369),FIND("]",TRIM(A1369)&amp;"]")+1,200)),TRIM(A1369))),""))</f>
      </c>
      <c r="C1369" s="17">
        <f>IF(B1369&lt;&gt;"",B1369,C1368)</f>
      </c>
      <c r="D1369" s="17">
        <f>IF(A1369="","",IF(OR(LEFT(UPPER(TRIM(A1369)),2)="Y:",LEFT(UPPER(TRIM(A1369)),10)="YESTERDAY:"),"Y",IF(OR(LEFT(UPPER(TRIM(A1369)),2)="T:",LEFT(UPPER(TRIM(A1369)),6)="TODAY:"),"T",IF(OR(LEFT(UPPER(TRIM(A1369)),2)="B:",LEFT(UPPER(TRIM(A1369)),8)="BLOCKER:",LEFT(UPPER(TRIM(A1369)),9)="BLOCKERS:",LEFT(UPPER(TRIM(A1369)),8)="BLOCKED:"),"B",""))))</f>
      </c>
      <c r="E1369" s="17">
        <f>IF(D1369="","",TRIM(MID(A1369,FIND(":",A1369)+1,500)))</f>
      </c>
    </row>
    <row r="1370">
      <c r="B1370" s="17">
        <f>IF(A1370="","",IF(COUNTIF(Roster[Name],IF(RIGHT(IF(LEFT(TRIM(A1370),1)="[",TRIM(MID(TRIM(A1370),FIND("]",TRIM(A1370)&amp;"]")+1,200)),TRIM(A1370)),1)=")",TRIM(LEFT(IF(LEFT(TRIM(A1370),1)="[",TRIM(MID(TRIM(A1370),FIND("]",TRIM(A1370)&amp;"]")+1,200)),TRIM(A1370)),FIND("(",IF(LEFT(TRIM(A1370),1)="[",TRIM(MID(TRIM(A1370),FIND("]",TRIM(A1370)&amp;"]")+1,200)),TRIM(A1370))&amp;"(")-1)),IF(LEFT(TRIM(A1370),1)="[",TRIM(MID(TRIM(A1370),FIND("]",TRIM(A1370)&amp;"]")+1,200)),TRIM(A1370))))&gt;0,IF(RIGHT(IF(LEFT(TRIM(A1370),1)="[",TRIM(MID(TRIM(A1370),FIND("]",TRIM(A1370)&amp;"]")+1,200)),TRIM(A1370)),1)=")",TRIM(LEFT(IF(LEFT(TRIM(A1370),1)="[",TRIM(MID(TRIM(A1370),FIND("]",TRIM(A1370)&amp;"]")+1,200)),TRIM(A1370)),FIND("(",IF(LEFT(TRIM(A1370),1)="[",TRIM(MID(TRIM(A1370),FIND("]",TRIM(A1370)&amp;"]")+1,200)),TRIM(A1370))&amp;"(")-1)),IF(LEFT(TRIM(A1370),1)="[",TRIM(MID(TRIM(A1370),FIND("]",TRIM(A1370)&amp;"]")+1,200)),TRIM(A1370))),""))</f>
      </c>
      <c r="C1370" s="17">
        <f>IF(B1370&lt;&gt;"",B1370,C1369)</f>
      </c>
      <c r="D1370" s="17">
        <f>IF(A1370="","",IF(OR(LEFT(UPPER(TRIM(A1370)),2)="Y:",LEFT(UPPER(TRIM(A1370)),10)="YESTERDAY:"),"Y",IF(OR(LEFT(UPPER(TRIM(A1370)),2)="T:",LEFT(UPPER(TRIM(A1370)),6)="TODAY:"),"T",IF(OR(LEFT(UPPER(TRIM(A1370)),2)="B:",LEFT(UPPER(TRIM(A1370)),8)="BLOCKER:",LEFT(UPPER(TRIM(A1370)),9)="BLOCKERS:",LEFT(UPPER(TRIM(A1370)),8)="BLOCKED:"),"B",""))))</f>
      </c>
      <c r="E1370" s="17">
        <f>IF(D1370="","",TRIM(MID(A1370,FIND(":",A1370)+1,500)))</f>
      </c>
    </row>
    <row r="1371">
      <c r="B1371" s="17">
        <f>IF(A1371="","",IF(COUNTIF(Roster[Name],IF(RIGHT(IF(LEFT(TRIM(A1371),1)="[",TRIM(MID(TRIM(A1371),FIND("]",TRIM(A1371)&amp;"]")+1,200)),TRIM(A1371)),1)=")",TRIM(LEFT(IF(LEFT(TRIM(A1371),1)="[",TRIM(MID(TRIM(A1371),FIND("]",TRIM(A1371)&amp;"]")+1,200)),TRIM(A1371)),FIND("(",IF(LEFT(TRIM(A1371),1)="[",TRIM(MID(TRIM(A1371),FIND("]",TRIM(A1371)&amp;"]")+1,200)),TRIM(A1371))&amp;"(")-1)),IF(LEFT(TRIM(A1371),1)="[",TRIM(MID(TRIM(A1371),FIND("]",TRIM(A1371)&amp;"]")+1,200)),TRIM(A1371))))&gt;0,IF(RIGHT(IF(LEFT(TRIM(A1371),1)="[",TRIM(MID(TRIM(A1371),FIND("]",TRIM(A1371)&amp;"]")+1,200)),TRIM(A1371)),1)=")",TRIM(LEFT(IF(LEFT(TRIM(A1371),1)="[",TRIM(MID(TRIM(A1371),FIND("]",TRIM(A1371)&amp;"]")+1,200)),TRIM(A1371)),FIND("(",IF(LEFT(TRIM(A1371),1)="[",TRIM(MID(TRIM(A1371),FIND("]",TRIM(A1371)&amp;"]")+1,200)),TRIM(A1371))&amp;"(")-1)),IF(LEFT(TRIM(A1371),1)="[",TRIM(MID(TRIM(A1371),FIND("]",TRIM(A1371)&amp;"]")+1,200)),TRIM(A1371))),""))</f>
      </c>
      <c r="C1371" s="17">
        <f>IF(B1371&lt;&gt;"",B1371,C1370)</f>
      </c>
      <c r="D1371" s="17">
        <f>IF(A1371="","",IF(OR(LEFT(UPPER(TRIM(A1371)),2)="Y:",LEFT(UPPER(TRIM(A1371)),10)="YESTERDAY:"),"Y",IF(OR(LEFT(UPPER(TRIM(A1371)),2)="T:",LEFT(UPPER(TRIM(A1371)),6)="TODAY:"),"T",IF(OR(LEFT(UPPER(TRIM(A1371)),2)="B:",LEFT(UPPER(TRIM(A1371)),8)="BLOCKER:",LEFT(UPPER(TRIM(A1371)),9)="BLOCKERS:",LEFT(UPPER(TRIM(A1371)),8)="BLOCKED:"),"B",""))))</f>
      </c>
      <c r="E1371" s="17">
        <f>IF(D1371="","",TRIM(MID(A1371,FIND(":",A1371)+1,500)))</f>
      </c>
    </row>
    <row r="1372">
      <c r="B1372" s="17">
        <f>IF(A1372="","",IF(COUNTIF(Roster[Name],IF(RIGHT(IF(LEFT(TRIM(A1372),1)="[",TRIM(MID(TRIM(A1372),FIND("]",TRIM(A1372)&amp;"]")+1,200)),TRIM(A1372)),1)=")",TRIM(LEFT(IF(LEFT(TRIM(A1372),1)="[",TRIM(MID(TRIM(A1372),FIND("]",TRIM(A1372)&amp;"]")+1,200)),TRIM(A1372)),FIND("(",IF(LEFT(TRIM(A1372),1)="[",TRIM(MID(TRIM(A1372),FIND("]",TRIM(A1372)&amp;"]")+1,200)),TRIM(A1372))&amp;"(")-1)),IF(LEFT(TRIM(A1372),1)="[",TRIM(MID(TRIM(A1372),FIND("]",TRIM(A1372)&amp;"]")+1,200)),TRIM(A1372))))&gt;0,IF(RIGHT(IF(LEFT(TRIM(A1372),1)="[",TRIM(MID(TRIM(A1372),FIND("]",TRIM(A1372)&amp;"]")+1,200)),TRIM(A1372)),1)=")",TRIM(LEFT(IF(LEFT(TRIM(A1372),1)="[",TRIM(MID(TRIM(A1372),FIND("]",TRIM(A1372)&amp;"]")+1,200)),TRIM(A1372)),FIND("(",IF(LEFT(TRIM(A1372),1)="[",TRIM(MID(TRIM(A1372),FIND("]",TRIM(A1372)&amp;"]")+1,200)),TRIM(A1372))&amp;"(")-1)),IF(LEFT(TRIM(A1372),1)="[",TRIM(MID(TRIM(A1372),FIND("]",TRIM(A1372)&amp;"]")+1,200)),TRIM(A1372))),""))</f>
      </c>
      <c r="C1372" s="17">
        <f>IF(B1372&lt;&gt;"",B1372,C1371)</f>
      </c>
      <c r="D1372" s="17">
        <f>IF(A1372="","",IF(OR(LEFT(UPPER(TRIM(A1372)),2)="Y:",LEFT(UPPER(TRIM(A1372)),10)="YESTERDAY:"),"Y",IF(OR(LEFT(UPPER(TRIM(A1372)),2)="T:",LEFT(UPPER(TRIM(A1372)),6)="TODAY:"),"T",IF(OR(LEFT(UPPER(TRIM(A1372)),2)="B:",LEFT(UPPER(TRIM(A1372)),8)="BLOCKER:",LEFT(UPPER(TRIM(A1372)),9)="BLOCKERS:",LEFT(UPPER(TRIM(A1372)),8)="BLOCKED:"),"B",""))))</f>
      </c>
      <c r="E1372" s="17">
        <f>IF(D1372="","",TRIM(MID(A1372,FIND(":",A1372)+1,500)))</f>
      </c>
    </row>
    <row r="1373">
      <c r="B1373" s="17">
        <f>IF(A1373="","",IF(COUNTIF(Roster[Name],IF(RIGHT(IF(LEFT(TRIM(A1373),1)="[",TRIM(MID(TRIM(A1373),FIND("]",TRIM(A1373)&amp;"]")+1,200)),TRIM(A1373)),1)=")",TRIM(LEFT(IF(LEFT(TRIM(A1373),1)="[",TRIM(MID(TRIM(A1373),FIND("]",TRIM(A1373)&amp;"]")+1,200)),TRIM(A1373)),FIND("(",IF(LEFT(TRIM(A1373),1)="[",TRIM(MID(TRIM(A1373),FIND("]",TRIM(A1373)&amp;"]")+1,200)),TRIM(A1373))&amp;"(")-1)),IF(LEFT(TRIM(A1373),1)="[",TRIM(MID(TRIM(A1373),FIND("]",TRIM(A1373)&amp;"]")+1,200)),TRIM(A1373))))&gt;0,IF(RIGHT(IF(LEFT(TRIM(A1373),1)="[",TRIM(MID(TRIM(A1373),FIND("]",TRIM(A1373)&amp;"]")+1,200)),TRIM(A1373)),1)=")",TRIM(LEFT(IF(LEFT(TRIM(A1373),1)="[",TRIM(MID(TRIM(A1373),FIND("]",TRIM(A1373)&amp;"]")+1,200)),TRIM(A1373)),FIND("(",IF(LEFT(TRIM(A1373),1)="[",TRIM(MID(TRIM(A1373),FIND("]",TRIM(A1373)&amp;"]")+1,200)),TRIM(A1373))&amp;"(")-1)),IF(LEFT(TRIM(A1373),1)="[",TRIM(MID(TRIM(A1373),FIND("]",TRIM(A1373)&amp;"]")+1,200)),TRIM(A1373))),""))</f>
      </c>
      <c r="C1373" s="17">
        <f>IF(B1373&lt;&gt;"",B1373,C1372)</f>
      </c>
      <c r="D1373" s="17">
        <f>IF(A1373="","",IF(OR(LEFT(UPPER(TRIM(A1373)),2)="Y:",LEFT(UPPER(TRIM(A1373)),10)="YESTERDAY:"),"Y",IF(OR(LEFT(UPPER(TRIM(A1373)),2)="T:",LEFT(UPPER(TRIM(A1373)),6)="TODAY:"),"T",IF(OR(LEFT(UPPER(TRIM(A1373)),2)="B:",LEFT(UPPER(TRIM(A1373)),8)="BLOCKER:",LEFT(UPPER(TRIM(A1373)),9)="BLOCKERS:",LEFT(UPPER(TRIM(A1373)),8)="BLOCKED:"),"B",""))))</f>
      </c>
      <c r="E1373" s="17">
        <f>IF(D1373="","",TRIM(MID(A1373,FIND(":",A1373)+1,500)))</f>
      </c>
    </row>
    <row r="1374">
      <c r="B1374" s="17">
        <f>IF(A1374="","",IF(COUNTIF(Roster[Name],IF(RIGHT(IF(LEFT(TRIM(A1374),1)="[",TRIM(MID(TRIM(A1374),FIND("]",TRIM(A1374)&amp;"]")+1,200)),TRIM(A1374)),1)=")",TRIM(LEFT(IF(LEFT(TRIM(A1374),1)="[",TRIM(MID(TRIM(A1374),FIND("]",TRIM(A1374)&amp;"]")+1,200)),TRIM(A1374)),FIND("(",IF(LEFT(TRIM(A1374),1)="[",TRIM(MID(TRIM(A1374),FIND("]",TRIM(A1374)&amp;"]")+1,200)),TRIM(A1374))&amp;"(")-1)),IF(LEFT(TRIM(A1374),1)="[",TRIM(MID(TRIM(A1374),FIND("]",TRIM(A1374)&amp;"]")+1,200)),TRIM(A1374))))&gt;0,IF(RIGHT(IF(LEFT(TRIM(A1374),1)="[",TRIM(MID(TRIM(A1374),FIND("]",TRIM(A1374)&amp;"]")+1,200)),TRIM(A1374)),1)=")",TRIM(LEFT(IF(LEFT(TRIM(A1374),1)="[",TRIM(MID(TRIM(A1374),FIND("]",TRIM(A1374)&amp;"]")+1,200)),TRIM(A1374)),FIND("(",IF(LEFT(TRIM(A1374),1)="[",TRIM(MID(TRIM(A1374),FIND("]",TRIM(A1374)&amp;"]")+1,200)),TRIM(A1374))&amp;"(")-1)),IF(LEFT(TRIM(A1374),1)="[",TRIM(MID(TRIM(A1374),FIND("]",TRIM(A1374)&amp;"]")+1,200)),TRIM(A1374))),""))</f>
      </c>
      <c r="C1374" s="17">
        <f>IF(B1374&lt;&gt;"",B1374,C1373)</f>
      </c>
      <c r="D1374" s="17">
        <f>IF(A1374="","",IF(OR(LEFT(UPPER(TRIM(A1374)),2)="Y:",LEFT(UPPER(TRIM(A1374)),10)="YESTERDAY:"),"Y",IF(OR(LEFT(UPPER(TRIM(A1374)),2)="T:",LEFT(UPPER(TRIM(A1374)),6)="TODAY:"),"T",IF(OR(LEFT(UPPER(TRIM(A1374)),2)="B:",LEFT(UPPER(TRIM(A1374)),8)="BLOCKER:",LEFT(UPPER(TRIM(A1374)),9)="BLOCKERS:",LEFT(UPPER(TRIM(A1374)),8)="BLOCKED:"),"B",""))))</f>
      </c>
      <c r="E1374" s="17">
        <f>IF(D1374="","",TRIM(MID(A1374,FIND(":",A1374)+1,500)))</f>
      </c>
    </row>
    <row r="1375">
      <c r="B1375" s="17">
        <f>IF(A1375="","",IF(COUNTIF(Roster[Name],IF(RIGHT(IF(LEFT(TRIM(A1375),1)="[",TRIM(MID(TRIM(A1375),FIND("]",TRIM(A1375)&amp;"]")+1,200)),TRIM(A1375)),1)=")",TRIM(LEFT(IF(LEFT(TRIM(A1375),1)="[",TRIM(MID(TRIM(A1375),FIND("]",TRIM(A1375)&amp;"]")+1,200)),TRIM(A1375)),FIND("(",IF(LEFT(TRIM(A1375),1)="[",TRIM(MID(TRIM(A1375),FIND("]",TRIM(A1375)&amp;"]")+1,200)),TRIM(A1375))&amp;"(")-1)),IF(LEFT(TRIM(A1375),1)="[",TRIM(MID(TRIM(A1375),FIND("]",TRIM(A1375)&amp;"]")+1,200)),TRIM(A1375))))&gt;0,IF(RIGHT(IF(LEFT(TRIM(A1375),1)="[",TRIM(MID(TRIM(A1375),FIND("]",TRIM(A1375)&amp;"]")+1,200)),TRIM(A1375)),1)=")",TRIM(LEFT(IF(LEFT(TRIM(A1375),1)="[",TRIM(MID(TRIM(A1375),FIND("]",TRIM(A1375)&amp;"]")+1,200)),TRIM(A1375)),FIND("(",IF(LEFT(TRIM(A1375),1)="[",TRIM(MID(TRIM(A1375),FIND("]",TRIM(A1375)&amp;"]")+1,200)),TRIM(A1375))&amp;"(")-1)),IF(LEFT(TRIM(A1375),1)="[",TRIM(MID(TRIM(A1375),FIND("]",TRIM(A1375)&amp;"]")+1,200)),TRIM(A1375))),""))</f>
      </c>
      <c r="C1375" s="17">
        <f>IF(B1375&lt;&gt;"",B1375,C1374)</f>
      </c>
      <c r="D1375" s="17">
        <f>IF(A1375="","",IF(OR(LEFT(UPPER(TRIM(A1375)),2)="Y:",LEFT(UPPER(TRIM(A1375)),10)="YESTERDAY:"),"Y",IF(OR(LEFT(UPPER(TRIM(A1375)),2)="T:",LEFT(UPPER(TRIM(A1375)),6)="TODAY:"),"T",IF(OR(LEFT(UPPER(TRIM(A1375)),2)="B:",LEFT(UPPER(TRIM(A1375)),8)="BLOCKER:",LEFT(UPPER(TRIM(A1375)),9)="BLOCKERS:",LEFT(UPPER(TRIM(A1375)),8)="BLOCKED:"),"B",""))))</f>
      </c>
      <c r="E1375" s="17">
        <f>IF(D1375="","",TRIM(MID(A1375,FIND(":",A1375)+1,500)))</f>
      </c>
    </row>
    <row r="1376">
      <c r="B1376" s="17">
        <f>IF(A1376="","",IF(COUNTIF(Roster[Name],IF(RIGHT(IF(LEFT(TRIM(A1376),1)="[",TRIM(MID(TRIM(A1376),FIND("]",TRIM(A1376)&amp;"]")+1,200)),TRIM(A1376)),1)=")",TRIM(LEFT(IF(LEFT(TRIM(A1376),1)="[",TRIM(MID(TRIM(A1376),FIND("]",TRIM(A1376)&amp;"]")+1,200)),TRIM(A1376)),FIND("(",IF(LEFT(TRIM(A1376),1)="[",TRIM(MID(TRIM(A1376),FIND("]",TRIM(A1376)&amp;"]")+1,200)),TRIM(A1376))&amp;"(")-1)),IF(LEFT(TRIM(A1376),1)="[",TRIM(MID(TRIM(A1376),FIND("]",TRIM(A1376)&amp;"]")+1,200)),TRIM(A1376))))&gt;0,IF(RIGHT(IF(LEFT(TRIM(A1376),1)="[",TRIM(MID(TRIM(A1376),FIND("]",TRIM(A1376)&amp;"]")+1,200)),TRIM(A1376)),1)=")",TRIM(LEFT(IF(LEFT(TRIM(A1376),1)="[",TRIM(MID(TRIM(A1376),FIND("]",TRIM(A1376)&amp;"]")+1,200)),TRIM(A1376)),FIND("(",IF(LEFT(TRIM(A1376),1)="[",TRIM(MID(TRIM(A1376),FIND("]",TRIM(A1376)&amp;"]")+1,200)),TRIM(A1376))&amp;"(")-1)),IF(LEFT(TRIM(A1376),1)="[",TRIM(MID(TRIM(A1376),FIND("]",TRIM(A1376)&amp;"]")+1,200)),TRIM(A1376))),""))</f>
      </c>
      <c r="C1376" s="17">
        <f>IF(B1376&lt;&gt;"",B1376,C1375)</f>
      </c>
      <c r="D1376" s="17">
        <f>IF(A1376="","",IF(OR(LEFT(UPPER(TRIM(A1376)),2)="Y:",LEFT(UPPER(TRIM(A1376)),10)="YESTERDAY:"),"Y",IF(OR(LEFT(UPPER(TRIM(A1376)),2)="T:",LEFT(UPPER(TRIM(A1376)),6)="TODAY:"),"T",IF(OR(LEFT(UPPER(TRIM(A1376)),2)="B:",LEFT(UPPER(TRIM(A1376)),8)="BLOCKER:",LEFT(UPPER(TRIM(A1376)),9)="BLOCKERS:",LEFT(UPPER(TRIM(A1376)),8)="BLOCKED:"),"B",""))))</f>
      </c>
      <c r="E1376" s="17">
        <f>IF(D1376="","",TRIM(MID(A1376,FIND(":",A1376)+1,500)))</f>
      </c>
    </row>
    <row r="1377">
      <c r="B1377" s="17">
        <f>IF(A1377="","",IF(COUNTIF(Roster[Name],IF(RIGHT(IF(LEFT(TRIM(A1377),1)="[",TRIM(MID(TRIM(A1377),FIND("]",TRIM(A1377)&amp;"]")+1,200)),TRIM(A1377)),1)=")",TRIM(LEFT(IF(LEFT(TRIM(A1377),1)="[",TRIM(MID(TRIM(A1377),FIND("]",TRIM(A1377)&amp;"]")+1,200)),TRIM(A1377)),FIND("(",IF(LEFT(TRIM(A1377),1)="[",TRIM(MID(TRIM(A1377),FIND("]",TRIM(A1377)&amp;"]")+1,200)),TRIM(A1377))&amp;"(")-1)),IF(LEFT(TRIM(A1377),1)="[",TRIM(MID(TRIM(A1377),FIND("]",TRIM(A1377)&amp;"]")+1,200)),TRIM(A1377))))&gt;0,IF(RIGHT(IF(LEFT(TRIM(A1377),1)="[",TRIM(MID(TRIM(A1377),FIND("]",TRIM(A1377)&amp;"]")+1,200)),TRIM(A1377)),1)=")",TRIM(LEFT(IF(LEFT(TRIM(A1377),1)="[",TRIM(MID(TRIM(A1377),FIND("]",TRIM(A1377)&amp;"]")+1,200)),TRIM(A1377)),FIND("(",IF(LEFT(TRIM(A1377),1)="[",TRIM(MID(TRIM(A1377),FIND("]",TRIM(A1377)&amp;"]")+1,200)),TRIM(A1377))&amp;"(")-1)),IF(LEFT(TRIM(A1377),1)="[",TRIM(MID(TRIM(A1377),FIND("]",TRIM(A1377)&amp;"]")+1,200)),TRIM(A1377))),""))</f>
      </c>
      <c r="C1377" s="17">
        <f>IF(B1377&lt;&gt;"",B1377,C1376)</f>
      </c>
      <c r="D1377" s="17">
        <f>IF(A1377="","",IF(OR(LEFT(UPPER(TRIM(A1377)),2)="Y:",LEFT(UPPER(TRIM(A1377)),10)="YESTERDAY:"),"Y",IF(OR(LEFT(UPPER(TRIM(A1377)),2)="T:",LEFT(UPPER(TRIM(A1377)),6)="TODAY:"),"T",IF(OR(LEFT(UPPER(TRIM(A1377)),2)="B:",LEFT(UPPER(TRIM(A1377)),8)="BLOCKER:",LEFT(UPPER(TRIM(A1377)),9)="BLOCKERS:",LEFT(UPPER(TRIM(A1377)),8)="BLOCKED:"),"B",""))))</f>
      </c>
      <c r="E1377" s="17">
        <f>IF(D1377="","",TRIM(MID(A1377,FIND(":",A1377)+1,500)))</f>
      </c>
    </row>
    <row r="1378">
      <c r="B1378" s="17">
        <f>IF(A1378="","",IF(COUNTIF(Roster[Name],IF(RIGHT(IF(LEFT(TRIM(A1378),1)="[",TRIM(MID(TRIM(A1378),FIND("]",TRIM(A1378)&amp;"]")+1,200)),TRIM(A1378)),1)=")",TRIM(LEFT(IF(LEFT(TRIM(A1378),1)="[",TRIM(MID(TRIM(A1378),FIND("]",TRIM(A1378)&amp;"]")+1,200)),TRIM(A1378)),FIND("(",IF(LEFT(TRIM(A1378),1)="[",TRIM(MID(TRIM(A1378),FIND("]",TRIM(A1378)&amp;"]")+1,200)),TRIM(A1378))&amp;"(")-1)),IF(LEFT(TRIM(A1378),1)="[",TRIM(MID(TRIM(A1378),FIND("]",TRIM(A1378)&amp;"]")+1,200)),TRIM(A1378))))&gt;0,IF(RIGHT(IF(LEFT(TRIM(A1378),1)="[",TRIM(MID(TRIM(A1378),FIND("]",TRIM(A1378)&amp;"]")+1,200)),TRIM(A1378)),1)=")",TRIM(LEFT(IF(LEFT(TRIM(A1378),1)="[",TRIM(MID(TRIM(A1378),FIND("]",TRIM(A1378)&amp;"]")+1,200)),TRIM(A1378)),FIND("(",IF(LEFT(TRIM(A1378),1)="[",TRIM(MID(TRIM(A1378),FIND("]",TRIM(A1378)&amp;"]")+1,200)),TRIM(A1378))&amp;"(")-1)),IF(LEFT(TRIM(A1378),1)="[",TRIM(MID(TRIM(A1378),FIND("]",TRIM(A1378)&amp;"]")+1,200)),TRIM(A1378))),""))</f>
      </c>
      <c r="C1378" s="17">
        <f>IF(B1378&lt;&gt;"",B1378,C1377)</f>
      </c>
      <c r="D1378" s="17">
        <f>IF(A1378="","",IF(OR(LEFT(UPPER(TRIM(A1378)),2)="Y:",LEFT(UPPER(TRIM(A1378)),10)="YESTERDAY:"),"Y",IF(OR(LEFT(UPPER(TRIM(A1378)),2)="T:",LEFT(UPPER(TRIM(A1378)),6)="TODAY:"),"T",IF(OR(LEFT(UPPER(TRIM(A1378)),2)="B:",LEFT(UPPER(TRIM(A1378)),8)="BLOCKER:",LEFT(UPPER(TRIM(A1378)),9)="BLOCKERS:",LEFT(UPPER(TRIM(A1378)),8)="BLOCKED:"),"B",""))))</f>
      </c>
      <c r="E1378" s="17">
        <f>IF(D1378="","",TRIM(MID(A1378,FIND(":",A1378)+1,500)))</f>
      </c>
    </row>
    <row r="1379">
      <c r="B1379" s="17">
        <f>IF(A1379="","",IF(COUNTIF(Roster[Name],IF(RIGHT(IF(LEFT(TRIM(A1379),1)="[",TRIM(MID(TRIM(A1379),FIND("]",TRIM(A1379)&amp;"]")+1,200)),TRIM(A1379)),1)=")",TRIM(LEFT(IF(LEFT(TRIM(A1379),1)="[",TRIM(MID(TRIM(A1379),FIND("]",TRIM(A1379)&amp;"]")+1,200)),TRIM(A1379)),FIND("(",IF(LEFT(TRIM(A1379),1)="[",TRIM(MID(TRIM(A1379),FIND("]",TRIM(A1379)&amp;"]")+1,200)),TRIM(A1379))&amp;"(")-1)),IF(LEFT(TRIM(A1379),1)="[",TRIM(MID(TRIM(A1379),FIND("]",TRIM(A1379)&amp;"]")+1,200)),TRIM(A1379))))&gt;0,IF(RIGHT(IF(LEFT(TRIM(A1379),1)="[",TRIM(MID(TRIM(A1379),FIND("]",TRIM(A1379)&amp;"]")+1,200)),TRIM(A1379)),1)=")",TRIM(LEFT(IF(LEFT(TRIM(A1379),1)="[",TRIM(MID(TRIM(A1379),FIND("]",TRIM(A1379)&amp;"]")+1,200)),TRIM(A1379)),FIND("(",IF(LEFT(TRIM(A1379),1)="[",TRIM(MID(TRIM(A1379),FIND("]",TRIM(A1379)&amp;"]")+1,200)),TRIM(A1379))&amp;"(")-1)),IF(LEFT(TRIM(A1379),1)="[",TRIM(MID(TRIM(A1379),FIND("]",TRIM(A1379)&amp;"]")+1,200)),TRIM(A1379))),""))</f>
      </c>
      <c r="C1379" s="17">
        <f>IF(B1379&lt;&gt;"",B1379,C1378)</f>
      </c>
      <c r="D1379" s="17">
        <f>IF(A1379="","",IF(OR(LEFT(UPPER(TRIM(A1379)),2)="Y:",LEFT(UPPER(TRIM(A1379)),10)="YESTERDAY:"),"Y",IF(OR(LEFT(UPPER(TRIM(A1379)),2)="T:",LEFT(UPPER(TRIM(A1379)),6)="TODAY:"),"T",IF(OR(LEFT(UPPER(TRIM(A1379)),2)="B:",LEFT(UPPER(TRIM(A1379)),8)="BLOCKER:",LEFT(UPPER(TRIM(A1379)),9)="BLOCKERS:",LEFT(UPPER(TRIM(A1379)),8)="BLOCKED:"),"B",""))))</f>
      </c>
      <c r="E1379" s="17">
        <f>IF(D1379="","",TRIM(MID(A1379,FIND(":",A1379)+1,500)))</f>
      </c>
    </row>
    <row r="1380">
      <c r="B1380" s="17">
        <f>IF(A1380="","",IF(COUNTIF(Roster[Name],IF(RIGHT(IF(LEFT(TRIM(A1380),1)="[",TRIM(MID(TRIM(A1380),FIND("]",TRIM(A1380)&amp;"]")+1,200)),TRIM(A1380)),1)=")",TRIM(LEFT(IF(LEFT(TRIM(A1380),1)="[",TRIM(MID(TRIM(A1380),FIND("]",TRIM(A1380)&amp;"]")+1,200)),TRIM(A1380)),FIND("(",IF(LEFT(TRIM(A1380),1)="[",TRIM(MID(TRIM(A1380),FIND("]",TRIM(A1380)&amp;"]")+1,200)),TRIM(A1380))&amp;"(")-1)),IF(LEFT(TRIM(A1380),1)="[",TRIM(MID(TRIM(A1380),FIND("]",TRIM(A1380)&amp;"]")+1,200)),TRIM(A1380))))&gt;0,IF(RIGHT(IF(LEFT(TRIM(A1380),1)="[",TRIM(MID(TRIM(A1380),FIND("]",TRIM(A1380)&amp;"]")+1,200)),TRIM(A1380)),1)=")",TRIM(LEFT(IF(LEFT(TRIM(A1380),1)="[",TRIM(MID(TRIM(A1380),FIND("]",TRIM(A1380)&amp;"]")+1,200)),TRIM(A1380)),FIND("(",IF(LEFT(TRIM(A1380),1)="[",TRIM(MID(TRIM(A1380),FIND("]",TRIM(A1380)&amp;"]")+1,200)),TRIM(A1380))&amp;"(")-1)),IF(LEFT(TRIM(A1380),1)="[",TRIM(MID(TRIM(A1380),FIND("]",TRIM(A1380)&amp;"]")+1,200)),TRIM(A1380))),""))</f>
      </c>
      <c r="C1380" s="17">
        <f>IF(B1380&lt;&gt;"",B1380,C1379)</f>
      </c>
      <c r="D1380" s="17">
        <f>IF(A1380="","",IF(OR(LEFT(UPPER(TRIM(A1380)),2)="Y:",LEFT(UPPER(TRIM(A1380)),10)="YESTERDAY:"),"Y",IF(OR(LEFT(UPPER(TRIM(A1380)),2)="T:",LEFT(UPPER(TRIM(A1380)),6)="TODAY:"),"T",IF(OR(LEFT(UPPER(TRIM(A1380)),2)="B:",LEFT(UPPER(TRIM(A1380)),8)="BLOCKER:",LEFT(UPPER(TRIM(A1380)),9)="BLOCKERS:",LEFT(UPPER(TRIM(A1380)),8)="BLOCKED:"),"B",""))))</f>
      </c>
      <c r="E1380" s="17">
        <f>IF(D1380="","",TRIM(MID(A1380,FIND(":",A1380)+1,500)))</f>
      </c>
    </row>
    <row r="1381">
      <c r="B1381" s="17">
        <f>IF(A1381="","",IF(COUNTIF(Roster[Name],IF(RIGHT(IF(LEFT(TRIM(A1381),1)="[",TRIM(MID(TRIM(A1381),FIND("]",TRIM(A1381)&amp;"]")+1,200)),TRIM(A1381)),1)=")",TRIM(LEFT(IF(LEFT(TRIM(A1381),1)="[",TRIM(MID(TRIM(A1381),FIND("]",TRIM(A1381)&amp;"]")+1,200)),TRIM(A1381)),FIND("(",IF(LEFT(TRIM(A1381),1)="[",TRIM(MID(TRIM(A1381),FIND("]",TRIM(A1381)&amp;"]")+1,200)),TRIM(A1381))&amp;"(")-1)),IF(LEFT(TRIM(A1381),1)="[",TRIM(MID(TRIM(A1381),FIND("]",TRIM(A1381)&amp;"]")+1,200)),TRIM(A1381))))&gt;0,IF(RIGHT(IF(LEFT(TRIM(A1381),1)="[",TRIM(MID(TRIM(A1381),FIND("]",TRIM(A1381)&amp;"]")+1,200)),TRIM(A1381)),1)=")",TRIM(LEFT(IF(LEFT(TRIM(A1381),1)="[",TRIM(MID(TRIM(A1381),FIND("]",TRIM(A1381)&amp;"]")+1,200)),TRIM(A1381)),FIND("(",IF(LEFT(TRIM(A1381),1)="[",TRIM(MID(TRIM(A1381),FIND("]",TRIM(A1381)&amp;"]")+1,200)),TRIM(A1381))&amp;"(")-1)),IF(LEFT(TRIM(A1381),1)="[",TRIM(MID(TRIM(A1381),FIND("]",TRIM(A1381)&amp;"]")+1,200)),TRIM(A1381))),""))</f>
      </c>
      <c r="C1381" s="17">
        <f>IF(B1381&lt;&gt;"",B1381,C1380)</f>
      </c>
      <c r="D1381" s="17">
        <f>IF(A1381="","",IF(OR(LEFT(UPPER(TRIM(A1381)),2)="Y:",LEFT(UPPER(TRIM(A1381)),10)="YESTERDAY:"),"Y",IF(OR(LEFT(UPPER(TRIM(A1381)),2)="T:",LEFT(UPPER(TRIM(A1381)),6)="TODAY:"),"T",IF(OR(LEFT(UPPER(TRIM(A1381)),2)="B:",LEFT(UPPER(TRIM(A1381)),8)="BLOCKER:",LEFT(UPPER(TRIM(A1381)),9)="BLOCKERS:",LEFT(UPPER(TRIM(A1381)),8)="BLOCKED:"),"B",""))))</f>
      </c>
      <c r="E1381" s="17">
        <f>IF(D1381="","",TRIM(MID(A1381,FIND(":",A1381)+1,500)))</f>
      </c>
    </row>
    <row r="1382">
      <c r="B1382" s="17">
        <f>IF(A1382="","",IF(COUNTIF(Roster[Name],IF(RIGHT(IF(LEFT(TRIM(A1382),1)="[",TRIM(MID(TRIM(A1382),FIND("]",TRIM(A1382)&amp;"]")+1,200)),TRIM(A1382)),1)=")",TRIM(LEFT(IF(LEFT(TRIM(A1382),1)="[",TRIM(MID(TRIM(A1382),FIND("]",TRIM(A1382)&amp;"]")+1,200)),TRIM(A1382)),FIND("(",IF(LEFT(TRIM(A1382),1)="[",TRIM(MID(TRIM(A1382),FIND("]",TRIM(A1382)&amp;"]")+1,200)),TRIM(A1382))&amp;"(")-1)),IF(LEFT(TRIM(A1382),1)="[",TRIM(MID(TRIM(A1382),FIND("]",TRIM(A1382)&amp;"]")+1,200)),TRIM(A1382))))&gt;0,IF(RIGHT(IF(LEFT(TRIM(A1382),1)="[",TRIM(MID(TRIM(A1382),FIND("]",TRIM(A1382)&amp;"]")+1,200)),TRIM(A1382)),1)=")",TRIM(LEFT(IF(LEFT(TRIM(A1382),1)="[",TRIM(MID(TRIM(A1382),FIND("]",TRIM(A1382)&amp;"]")+1,200)),TRIM(A1382)),FIND("(",IF(LEFT(TRIM(A1382),1)="[",TRIM(MID(TRIM(A1382),FIND("]",TRIM(A1382)&amp;"]")+1,200)),TRIM(A1382))&amp;"(")-1)),IF(LEFT(TRIM(A1382),1)="[",TRIM(MID(TRIM(A1382),FIND("]",TRIM(A1382)&amp;"]")+1,200)),TRIM(A1382))),""))</f>
      </c>
      <c r="C1382" s="17">
        <f>IF(B1382&lt;&gt;"",B1382,C1381)</f>
      </c>
      <c r="D1382" s="17">
        <f>IF(A1382="","",IF(OR(LEFT(UPPER(TRIM(A1382)),2)="Y:",LEFT(UPPER(TRIM(A1382)),10)="YESTERDAY:"),"Y",IF(OR(LEFT(UPPER(TRIM(A1382)),2)="T:",LEFT(UPPER(TRIM(A1382)),6)="TODAY:"),"T",IF(OR(LEFT(UPPER(TRIM(A1382)),2)="B:",LEFT(UPPER(TRIM(A1382)),8)="BLOCKER:",LEFT(UPPER(TRIM(A1382)),9)="BLOCKERS:",LEFT(UPPER(TRIM(A1382)),8)="BLOCKED:"),"B",""))))</f>
      </c>
      <c r="E1382" s="17">
        <f>IF(D1382="","",TRIM(MID(A1382,FIND(":",A1382)+1,500)))</f>
      </c>
    </row>
    <row r="1383">
      <c r="B1383" s="17">
        <f>IF(A1383="","",IF(COUNTIF(Roster[Name],IF(RIGHT(IF(LEFT(TRIM(A1383),1)="[",TRIM(MID(TRIM(A1383),FIND("]",TRIM(A1383)&amp;"]")+1,200)),TRIM(A1383)),1)=")",TRIM(LEFT(IF(LEFT(TRIM(A1383),1)="[",TRIM(MID(TRIM(A1383),FIND("]",TRIM(A1383)&amp;"]")+1,200)),TRIM(A1383)),FIND("(",IF(LEFT(TRIM(A1383),1)="[",TRIM(MID(TRIM(A1383),FIND("]",TRIM(A1383)&amp;"]")+1,200)),TRIM(A1383))&amp;"(")-1)),IF(LEFT(TRIM(A1383),1)="[",TRIM(MID(TRIM(A1383),FIND("]",TRIM(A1383)&amp;"]")+1,200)),TRIM(A1383))))&gt;0,IF(RIGHT(IF(LEFT(TRIM(A1383),1)="[",TRIM(MID(TRIM(A1383),FIND("]",TRIM(A1383)&amp;"]")+1,200)),TRIM(A1383)),1)=")",TRIM(LEFT(IF(LEFT(TRIM(A1383),1)="[",TRIM(MID(TRIM(A1383),FIND("]",TRIM(A1383)&amp;"]")+1,200)),TRIM(A1383)),FIND("(",IF(LEFT(TRIM(A1383),1)="[",TRIM(MID(TRIM(A1383),FIND("]",TRIM(A1383)&amp;"]")+1,200)),TRIM(A1383))&amp;"(")-1)),IF(LEFT(TRIM(A1383),1)="[",TRIM(MID(TRIM(A1383),FIND("]",TRIM(A1383)&amp;"]")+1,200)),TRIM(A1383))),""))</f>
      </c>
      <c r="C1383" s="17">
        <f>IF(B1383&lt;&gt;"",B1383,C1382)</f>
      </c>
      <c r="D1383" s="17">
        <f>IF(A1383="","",IF(OR(LEFT(UPPER(TRIM(A1383)),2)="Y:",LEFT(UPPER(TRIM(A1383)),10)="YESTERDAY:"),"Y",IF(OR(LEFT(UPPER(TRIM(A1383)),2)="T:",LEFT(UPPER(TRIM(A1383)),6)="TODAY:"),"T",IF(OR(LEFT(UPPER(TRIM(A1383)),2)="B:",LEFT(UPPER(TRIM(A1383)),8)="BLOCKER:",LEFT(UPPER(TRIM(A1383)),9)="BLOCKERS:",LEFT(UPPER(TRIM(A1383)),8)="BLOCKED:"),"B",""))))</f>
      </c>
      <c r="E1383" s="17">
        <f>IF(D1383="","",TRIM(MID(A1383,FIND(":",A1383)+1,500)))</f>
      </c>
    </row>
    <row r="1384">
      <c r="B1384" s="17">
        <f>IF(A1384="","",IF(COUNTIF(Roster[Name],IF(RIGHT(IF(LEFT(TRIM(A1384),1)="[",TRIM(MID(TRIM(A1384),FIND("]",TRIM(A1384)&amp;"]")+1,200)),TRIM(A1384)),1)=")",TRIM(LEFT(IF(LEFT(TRIM(A1384),1)="[",TRIM(MID(TRIM(A1384),FIND("]",TRIM(A1384)&amp;"]")+1,200)),TRIM(A1384)),FIND("(",IF(LEFT(TRIM(A1384),1)="[",TRIM(MID(TRIM(A1384),FIND("]",TRIM(A1384)&amp;"]")+1,200)),TRIM(A1384))&amp;"(")-1)),IF(LEFT(TRIM(A1384),1)="[",TRIM(MID(TRIM(A1384),FIND("]",TRIM(A1384)&amp;"]")+1,200)),TRIM(A1384))))&gt;0,IF(RIGHT(IF(LEFT(TRIM(A1384),1)="[",TRIM(MID(TRIM(A1384),FIND("]",TRIM(A1384)&amp;"]")+1,200)),TRIM(A1384)),1)=")",TRIM(LEFT(IF(LEFT(TRIM(A1384),1)="[",TRIM(MID(TRIM(A1384),FIND("]",TRIM(A1384)&amp;"]")+1,200)),TRIM(A1384)),FIND("(",IF(LEFT(TRIM(A1384),1)="[",TRIM(MID(TRIM(A1384),FIND("]",TRIM(A1384)&amp;"]")+1,200)),TRIM(A1384))&amp;"(")-1)),IF(LEFT(TRIM(A1384),1)="[",TRIM(MID(TRIM(A1384),FIND("]",TRIM(A1384)&amp;"]")+1,200)),TRIM(A1384))),""))</f>
      </c>
      <c r="C1384" s="17">
        <f>IF(B1384&lt;&gt;"",B1384,C1383)</f>
      </c>
      <c r="D1384" s="17">
        <f>IF(A1384="","",IF(OR(LEFT(UPPER(TRIM(A1384)),2)="Y:",LEFT(UPPER(TRIM(A1384)),10)="YESTERDAY:"),"Y",IF(OR(LEFT(UPPER(TRIM(A1384)),2)="T:",LEFT(UPPER(TRIM(A1384)),6)="TODAY:"),"T",IF(OR(LEFT(UPPER(TRIM(A1384)),2)="B:",LEFT(UPPER(TRIM(A1384)),8)="BLOCKER:",LEFT(UPPER(TRIM(A1384)),9)="BLOCKERS:",LEFT(UPPER(TRIM(A1384)),8)="BLOCKED:"),"B",""))))</f>
      </c>
      <c r="E1384" s="17">
        <f>IF(D1384="","",TRIM(MID(A1384,FIND(":",A1384)+1,500)))</f>
      </c>
    </row>
    <row r="1385">
      <c r="B1385" s="17">
        <f>IF(A1385="","",IF(COUNTIF(Roster[Name],IF(RIGHT(IF(LEFT(TRIM(A1385),1)="[",TRIM(MID(TRIM(A1385),FIND("]",TRIM(A1385)&amp;"]")+1,200)),TRIM(A1385)),1)=")",TRIM(LEFT(IF(LEFT(TRIM(A1385),1)="[",TRIM(MID(TRIM(A1385),FIND("]",TRIM(A1385)&amp;"]")+1,200)),TRIM(A1385)),FIND("(",IF(LEFT(TRIM(A1385),1)="[",TRIM(MID(TRIM(A1385),FIND("]",TRIM(A1385)&amp;"]")+1,200)),TRIM(A1385))&amp;"(")-1)),IF(LEFT(TRIM(A1385),1)="[",TRIM(MID(TRIM(A1385),FIND("]",TRIM(A1385)&amp;"]")+1,200)),TRIM(A1385))))&gt;0,IF(RIGHT(IF(LEFT(TRIM(A1385),1)="[",TRIM(MID(TRIM(A1385),FIND("]",TRIM(A1385)&amp;"]")+1,200)),TRIM(A1385)),1)=")",TRIM(LEFT(IF(LEFT(TRIM(A1385),1)="[",TRIM(MID(TRIM(A1385),FIND("]",TRIM(A1385)&amp;"]")+1,200)),TRIM(A1385)),FIND("(",IF(LEFT(TRIM(A1385),1)="[",TRIM(MID(TRIM(A1385),FIND("]",TRIM(A1385)&amp;"]")+1,200)),TRIM(A1385))&amp;"(")-1)),IF(LEFT(TRIM(A1385),1)="[",TRIM(MID(TRIM(A1385),FIND("]",TRIM(A1385)&amp;"]")+1,200)),TRIM(A1385))),""))</f>
      </c>
      <c r="C1385" s="17">
        <f>IF(B1385&lt;&gt;"",B1385,C1384)</f>
      </c>
      <c r="D1385" s="17">
        <f>IF(A1385="","",IF(OR(LEFT(UPPER(TRIM(A1385)),2)="Y:",LEFT(UPPER(TRIM(A1385)),10)="YESTERDAY:"),"Y",IF(OR(LEFT(UPPER(TRIM(A1385)),2)="T:",LEFT(UPPER(TRIM(A1385)),6)="TODAY:"),"T",IF(OR(LEFT(UPPER(TRIM(A1385)),2)="B:",LEFT(UPPER(TRIM(A1385)),8)="BLOCKER:",LEFT(UPPER(TRIM(A1385)),9)="BLOCKERS:",LEFT(UPPER(TRIM(A1385)),8)="BLOCKED:"),"B",""))))</f>
      </c>
      <c r="E1385" s="17">
        <f>IF(D1385="","",TRIM(MID(A1385,FIND(":",A1385)+1,500)))</f>
      </c>
    </row>
    <row r="1386">
      <c r="B1386" s="17">
        <f>IF(A1386="","",IF(COUNTIF(Roster[Name],IF(RIGHT(IF(LEFT(TRIM(A1386),1)="[",TRIM(MID(TRIM(A1386),FIND("]",TRIM(A1386)&amp;"]")+1,200)),TRIM(A1386)),1)=")",TRIM(LEFT(IF(LEFT(TRIM(A1386),1)="[",TRIM(MID(TRIM(A1386),FIND("]",TRIM(A1386)&amp;"]")+1,200)),TRIM(A1386)),FIND("(",IF(LEFT(TRIM(A1386),1)="[",TRIM(MID(TRIM(A1386),FIND("]",TRIM(A1386)&amp;"]")+1,200)),TRIM(A1386))&amp;"(")-1)),IF(LEFT(TRIM(A1386),1)="[",TRIM(MID(TRIM(A1386),FIND("]",TRIM(A1386)&amp;"]")+1,200)),TRIM(A1386))))&gt;0,IF(RIGHT(IF(LEFT(TRIM(A1386),1)="[",TRIM(MID(TRIM(A1386),FIND("]",TRIM(A1386)&amp;"]")+1,200)),TRIM(A1386)),1)=")",TRIM(LEFT(IF(LEFT(TRIM(A1386),1)="[",TRIM(MID(TRIM(A1386),FIND("]",TRIM(A1386)&amp;"]")+1,200)),TRIM(A1386)),FIND("(",IF(LEFT(TRIM(A1386),1)="[",TRIM(MID(TRIM(A1386),FIND("]",TRIM(A1386)&amp;"]")+1,200)),TRIM(A1386))&amp;"(")-1)),IF(LEFT(TRIM(A1386),1)="[",TRIM(MID(TRIM(A1386),FIND("]",TRIM(A1386)&amp;"]")+1,200)),TRIM(A1386))),""))</f>
      </c>
      <c r="C1386" s="17">
        <f>IF(B1386&lt;&gt;"",B1386,C1385)</f>
      </c>
      <c r="D1386" s="17">
        <f>IF(A1386="","",IF(OR(LEFT(UPPER(TRIM(A1386)),2)="Y:",LEFT(UPPER(TRIM(A1386)),10)="YESTERDAY:"),"Y",IF(OR(LEFT(UPPER(TRIM(A1386)),2)="T:",LEFT(UPPER(TRIM(A1386)),6)="TODAY:"),"T",IF(OR(LEFT(UPPER(TRIM(A1386)),2)="B:",LEFT(UPPER(TRIM(A1386)),8)="BLOCKER:",LEFT(UPPER(TRIM(A1386)),9)="BLOCKERS:",LEFT(UPPER(TRIM(A1386)),8)="BLOCKED:"),"B",""))))</f>
      </c>
      <c r="E1386" s="17">
        <f>IF(D1386="","",TRIM(MID(A1386,FIND(":",A1386)+1,500)))</f>
      </c>
    </row>
    <row r="1387">
      <c r="B1387" s="17">
        <f>IF(A1387="","",IF(COUNTIF(Roster[Name],IF(RIGHT(IF(LEFT(TRIM(A1387),1)="[",TRIM(MID(TRIM(A1387),FIND("]",TRIM(A1387)&amp;"]")+1,200)),TRIM(A1387)),1)=")",TRIM(LEFT(IF(LEFT(TRIM(A1387),1)="[",TRIM(MID(TRIM(A1387),FIND("]",TRIM(A1387)&amp;"]")+1,200)),TRIM(A1387)),FIND("(",IF(LEFT(TRIM(A1387),1)="[",TRIM(MID(TRIM(A1387),FIND("]",TRIM(A1387)&amp;"]")+1,200)),TRIM(A1387))&amp;"(")-1)),IF(LEFT(TRIM(A1387),1)="[",TRIM(MID(TRIM(A1387),FIND("]",TRIM(A1387)&amp;"]")+1,200)),TRIM(A1387))))&gt;0,IF(RIGHT(IF(LEFT(TRIM(A1387),1)="[",TRIM(MID(TRIM(A1387),FIND("]",TRIM(A1387)&amp;"]")+1,200)),TRIM(A1387)),1)=")",TRIM(LEFT(IF(LEFT(TRIM(A1387),1)="[",TRIM(MID(TRIM(A1387),FIND("]",TRIM(A1387)&amp;"]")+1,200)),TRIM(A1387)),FIND("(",IF(LEFT(TRIM(A1387),1)="[",TRIM(MID(TRIM(A1387),FIND("]",TRIM(A1387)&amp;"]")+1,200)),TRIM(A1387))&amp;"(")-1)),IF(LEFT(TRIM(A1387),1)="[",TRIM(MID(TRIM(A1387),FIND("]",TRIM(A1387)&amp;"]")+1,200)),TRIM(A1387))),""))</f>
      </c>
      <c r="C1387" s="17">
        <f>IF(B1387&lt;&gt;"",B1387,C1386)</f>
      </c>
      <c r="D1387" s="17">
        <f>IF(A1387="","",IF(OR(LEFT(UPPER(TRIM(A1387)),2)="Y:",LEFT(UPPER(TRIM(A1387)),10)="YESTERDAY:"),"Y",IF(OR(LEFT(UPPER(TRIM(A1387)),2)="T:",LEFT(UPPER(TRIM(A1387)),6)="TODAY:"),"T",IF(OR(LEFT(UPPER(TRIM(A1387)),2)="B:",LEFT(UPPER(TRIM(A1387)),8)="BLOCKER:",LEFT(UPPER(TRIM(A1387)),9)="BLOCKERS:",LEFT(UPPER(TRIM(A1387)),8)="BLOCKED:"),"B",""))))</f>
      </c>
      <c r="E1387" s="17">
        <f>IF(D1387="","",TRIM(MID(A1387,FIND(":",A1387)+1,500)))</f>
      </c>
    </row>
    <row r="1388">
      <c r="B1388" s="17">
        <f>IF(A1388="","",IF(COUNTIF(Roster[Name],IF(RIGHT(IF(LEFT(TRIM(A1388),1)="[",TRIM(MID(TRIM(A1388),FIND("]",TRIM(A1388)&amp;"]")+1,200)),TRIM(A1388)),1)=")",TRIM(LEFT(IF(LEFT(TRIM(A1388),1)="[",TRIM(MID(TRIM(A1388),FIND("]",TRIM(A1388)&amp;"]")+1,200)),TRIM(A1388)),FIND("(",IF(LEFT(TRIM(A1388),1)="[",TRIM(MID(TRIM(A1388),FIND("]",TRIM(A1388)&amp;"]")+1,200)),TRIM(A1388))&amp;"(")-1)),IF(LEFT(TRIM(A1388),1)="[",TRIM(MID(TRIM(A1388),FIND("]",TRIM(A1388)&amp;"]")+1,200)),TRIM(A1388))))&gt;0,IF(RIGHT(IF(LEFT(TRIM(A1388),1)="[",TRIM(MID(TRIM(A1388),FIND("]",TRIM(A1388)&amp;"]")+1,200)),TRIM(A1388)),1)=")",TRIM(LEFT(IF(LEFT(TRIM(A1388),1)="[",TRIM(MID(TRIM(A1388),FIND("]",TRIM(A1388)&amp;"]")+1,200)),TRIM(A1388)),FIND("(",IF(LEFT(TRIM(A1388),1)="[",TRIM(MID(TRIM(A1388),FIND("]",TRIM(A1388)&amp;"]")+1,200)),TRIM(A1388))&amp;"(")-1)),IF(LEFT(TRIM(A1388),1)="[",TRIM(MID(TRIM(A1388),FIND("]",TRIM(A1388)&amp;"]")+1,200)),TRIM(A1388))),""))</f>
      </c>
      <c r="C1388" s="17">
        <f>IF(B1388&lt;&gt;"",B1388,C1387)</f>
      </c>
      <c r="D1388" s="17">
        <f>IF(A1388="","",IF(OR(LEFT(UPPER(TRIM(A1388)),2)="Y:",LEFT(UPPER(TRIM(A1388)),10)="YESTERDAY:"),"Y",IF(OR(LEFT(UPPER(TRIM(A1388)),2)="T:",LEFT(UPPER(TRIM(A1388)),6)="TODAY:"),"T",IF(OR(LEFT(UPPER(TRIM(A1388)),2)="B:",LEFT(UPPER(TRIM(A1388)),8)="BLOCKER:",LEFT(UPPER(TRIM(A1388)),9)="BLOCKERS:",LEFT(UPPER(TRIM(A1388)),8)="BLOCKED:"),"B",""))))</f>
      </c>
      <c r="E1388" s="17">
        <f>IF(D1388="","",TRIM(MID(A1388,FIND(":",A1388)+1,500)))</f>
      </c>
    </row>
    <row r="1389">
      <c r="B1389" s="17">
        <f>IF(A1389="","",IF(COUNTIF(Roster[Name],IF(RIGHT(IF(LEFT(TRIM(A1389),1)="[",TRIM(MID(TRIM(A1389),FIND("]",TRIM(A1389)&amp;"]")+1,200)),TRIM(A1389)),1)=")",TRIM(LEFT(IF(LEFT(TRIM(A1389),1)="[",TRIM(MID(TRIM(A1389),FIND("]",TRIM(A1389)&amp;"]")+1,200)),TRIM(A1389)),FIND("(",IF(LEFT(TRIM(A1389),1)="[",TRIM(MID(TRIM(A1389),FIND("]",TRIM(A1389)&amp;"]")+1,200)),TRIM(A1389))&amp;"(")-1)),IF(LEFT(TRIM(A1389),1)="[",TRIM(MID(TRIM(A1389),FIND("]",TRIM(A1389)&amp;"]")+1,200)),TRIM(A1389))))&gt;0,IF(RIGHT(IF(LEFT(TRIM(A1389),1)="[",TRIM(MID(TRIM(A1389),FIND("]",TRIM(A1389)&amp;"]")+1,200)),TRIM(A1389)),1)=")",TRIM(LEFT(IF(LEFT(TRIM(A1389),1)="[",TRIM(MID(TRIM(A1389),FIND("]",TRIM(A1389)&amp;"]")+1,200)),TRIM(A1389)),FIND("(",IF(LEFT(TRIM(A1389),1)="[",TRIM(MID(TRIM(A1389),FIND("]",TRIM(A1389)&amp;"]")+1,200)),TRIM(A1389))&amp;"(")-1)),IF(LEFT(TRIM(A1389),1)="[",TRIM(MID(TRIM(A1389),FIND("]",TRIM(A1389)&amp;"]")+1,200)),TRIM(A1389))),""))</f>
      </c>
      <c r="C1389" s="17">
        <f>IF(B1389&lt;&gt;"",B1389,C1388)</f>
      </c>
      <c r="D1389" s="17">
        <f>IF(A1389="","",IF(OR(LEFT(UPPER(TRIM(A1389)),2)="Y:",LEFT(UPPER(TRIM(A1389)),10)="YESTERDAY:"),"Y",IF(OR(LEFT(UPPER(TRIM(A1389)),2)="T:",LEFT(UPPER(TRIM(A1389)),6)="TODAY:"),"T",IF(OR(LEFT(UPPER(TRIM(A1389)),2)="B:",LEFT(UPPER(TRIM(A1389)),8)="BLOCKER:",LEFT(UPPER(TRIM(A1389)),9)="BLOCKERS:",LEFT(UPPER(TRIM(A1389)),8)="BLOCKED:"),"B",""))))</f>
      </c>
      <c r="E1389" s="17">
        <f>IF(D1389="","",TRIM(MID(A1389,FIND(":",A1389)+1,500)))</f>
      </c>
    </row>
    <row r="1390">
      <c r="B1390" s="17">
        <f>IF(A1390="","",IF(COUNTIF(Roster[Name],IF(RIGHT(IF(LEFT(TRIM(A1390),1)="[",TRIM(MID(TRIM(A1390),FIND("]",TRIM(A1390)&amp;"]")+1,200)),TRIM(A1390)),1)=")",TRIM(LEFT(IF(LEFT(TRIM(A1390),1)="[",TRIM(MID(TRIM(A1390),FIND("]",TRIM(A1390)&amp;"]")+1,200)),TRIM(A1390)),FIND("(",IF(LEFT(TRIM(A1390),1)="[",TRIM(MID(TRIM(A1390),FIND("]",TRIM(A1390)&amp;"]")+1,200)),TRIM(A1390))&amp;"(")-1)),IF(LEFT(TRIM(A1390),1)="[",TRIM(MID(TRIM(A1390),FIND("]",TRIM(A1390)&amp;"]")+1,200)),TRIM(A1390))))&gt;0,IF(RIGHT(IF(LEFT(TRIM(A1390),1)="[",TRIM(MID(TRIM(A1390),FIND("]",TRIM(A1390)&amp;"]")+1,200)),TRIM(A1390)),1)=")",TRIM(LEFT(IF(LEFT(TRIM(A1390),1)="[",TRIM(MID(TRIM(A1390),FIND("]",TRIM(A1390)&amp;"]")+1,200)),TRIM(A1390)),FIND("(",IF(LEFT(TRIM(A1390),1)="[",TRIM(MID(TRIM(A1390),FIND("]",TRIM(A1390)&amp;"]")+1,200)),TRIM(A1390))&amp;"(")-1)),IF(LEFT(TRIM(A1390),1)="[",TRIM(MID(TRIM(A1390),FIND("]",TRIM(A1390)&amp;"]")+1,200)),TRIM(A1390))),""))</f>
      </c>
      <c r="C1390" s="17">
        <f>IF(B1390&lt;&gt;"",B1390,C1389)</f>
      </c>
      <c r="D1390" s="17">
        <f>IF(A1390="","",IF(OR(LEFT(UPPER(TRIM(A1390)),2)="Y:",LEFT(UPPER(TRIM(A1390)),10)="YESTERDAY:"),"Y",IF(OR(LEFT(UPPER(TRIM(A1390)),2)="T:",LEFT(UPPER(TRIM(A1390)),6)="TODAY:"),"T",IF(OR(LEFT(UPPER(TRIM(A1390)),2)="B:",LEFT(UPPER(TRIM(A1390)),8)="BLOCKER:",LEFT(UPPER(TRIM(A1390)),9)="BLOCKERS:",LEFT(UPPER(TRIM(A1390)),8)="BLOCKED:"),"B",""))))</f>
      </c>
      <c r="E1390" s="17">
        <f>IF(D1390="","",TRIM(MID(A1390,FIND(":",A1390)+1,500)))</f>
      </c>
    </row>
    <row r="1391">
      <c r="B1391" s="17">
        <f>IF(A1391="","",IF(COUNTIF(Roster[Name],IF(RIGHT(IF(LEFT(TRIM(A1391),1)="[",TRIM(MID(TRIM(A1391),FIND("]",TRIM(A1391)&amp;"]")+1,200)),TRIM(A1391)),1)=")",TRIM(LEFT(IF(LEFT(TRIM(A1391),1)="[",TRIM(MID(TRIM(A1391),FIND("]",TRIM(A1391)&amp;"]")+1,200)),TRIM(A1391)),FIND("(",IF(LEFT(TRIM(A1391),1)="[",TRIM(MID(TRIM(A1391),FIND("]",TRIM(A1391)&amp;"]")+1,200)),TRIM(A1391))&amp;"(")-1)),IF(LEFT(TRIM(A1391),1)="[",TRIM(MID(TRIM(A1391),FIND("]",TRIM(A1391)&amp;"]")+1,200)),TRIM(A1391))))&gt;0,IF(RIGHT(IF(LEFT(TRIM(A1391),1)="[",TRIM(MID(TRIM(A1391),FIND("]",TRIM(A1391)&amp;"]")+1,200)),TRIM(A1391)),1)=")",TRIM(LEFT(IF(LEFT(TRIM(A1391),1)="[",TRIM(MID(TRIM(A1391),FIND("]",TRIM(A1391)&amp;"]")+1,200)),TRIM(A1391)),FIND("(",IF(LEFT(TRIM(A1391),1)="[",TRIM(MID(TRIM(A1391),FIND("]",TRIM(A1391)&amp;"]")+1,200)),TRIM(A1391))&amp;"(")-1)),IF(LEFT(TRIM(A1391),1)="[",TRIM(MID(TRIM(A1391),FIND("]",TRIM(A1391)&amp;"]")+1,200)),TRIM(A1391))),""))</f>
      </c>
      <c r="C1391" s="17">
        <f>IF(B1391&lt;&gt;"",B1391,C1390)</f>
      </c>
      <c r="D1391" s="17">
        <f>IF(A1391="","",IF(OR(LEFT(UPPER(TRIM(A1391)),2)="Y:",LEFT(UPPER(TRIM(A1391)),10)="YESTERDAY:"),"Y",IF(OR(LEFT(UPPER(TRIM(A1391)),2)="T:",LEFT(UPPER(TRIM(A1391)),6)="TODAY:"),"T",IF(OR(LEFT(UPPER(TRIM(A1391)),2)="B:",LEFT(UPPER(TRIM(A1391)),8)="BLOCKER:",LEFT(UPPER(TRIM(A1391)),9)="BLOCKERS:",LEFT(UPPER(TRIM(A1391)),8)="BLOCKED:"),"B",""))))</f>
      </c>
      <c r="E1391" s="17">
        <f>IF(D1391="","",TRIM(MID(A1391,FIND(":",A1391)+1,500)))</f>
      </c>
    </row>
    <row r="1392">
      <c r="B1392" s="17">
        <f>IF(A1392="","",IF(COUNTIF(Roster[Name],IF(RIGHT(IF(LEFT(TRIM(A1392),1)="[",TRIM(MID(TRIM(A1392),FIND("]",TRIM(A1392)&amp;"]")+1,200)),TRIM(A1392)),1)=")",TRIM(LEFT(IF(LEFT(TRIM(A1392),1)="[",TRIM(MID(TRIM(A1392),FIND("]",TRIM(A1392)&amp;"]")+1,200)),TRIM(A1392)),FIND("(",IF(LEFT(TRIM(A1392),1)="[",TRIM(MID(TRIM(A1392),FIND("]",TRIM(A1392)&amp;"]")+1,200)),TRIM(A1392))&amp;"(")-1)),IF(LEFT(TRIM(A1392),1)="[",TRIM(MID(TRIM(A1392),FIND("]",TRIM(A1392)&amp;"]")+1,200)),TRIM(A1392))))&gt;0,IF(RIGHT(IF(LEFT(TRIM(A1392),1)="[",TRIM(MID(TRIM(A1392),FIND("]",TRIM(A1392)&amp;"]")+1,200)),TRIM(A1392)),1)=")",TRIM(LEFT(IF(LEFT(TRIM(A1392),1)="[",TRIM(MID(TRIM(A1392),FIND("]",TRIM(A1392)&amp;"]")+1,200)),TRIM(A1392)),FIND("(",IF(LEFT(TRIM(A1392),1)="[",TRIM(MID(TRIM(A1392),FIND("]",TRIM(A1392)&amp;"]")+1,200)),TRIM(A1392))&amp;"(")-1)),IF(LEFT(TRIM(A1392),1)="[",TRIM(MID(TRIM(A1392),FIND("]",TRIM(A1392)&amp;"]")+1,200)),TRIM(A1392))),""))</f>
      </c>
      <c r="C1392" s="17">
        <f>IF(B1392&lt;&gt;"",B1392,C1391)</f>
      </c>
      <c r="D1392" s="17">
        <f>IF(A1392="","",IF(OR(LEFT(UPPER(TRIM(A1392)),2)="Y:",LEFT(UPPER(TRIM(A1392)),10)="YESTERDAY:"),"Y",IF(OR(LEFT(UPPER(TRIM(A1392)),2)="T:",LEFT(UPPER(TRIM(A1392)),6)="TODAY:"),"T",IF(OR(LEFT(UPPER(TRIM(A1392)),2)="B:",LEFT(UPPER(TRIM(A1392)),8)="BLOCKER:",LEFT(UPPER(TRIM(A1392)),9)="BLOCKERS:",LEFT(UPPER(TRIM(A1392)),8)="BLOCKED:"),"B",""))))</f>
      </c>
      <c r="E1392" s="17">
        <f>IF(D1392="","",TRIM(MID(A1392,FIND(":",A1392)+1,500)))</f>
      </c>
    </row>
    <row r="1393">
      <c r="B1393" s="17">
        <f>IF(A1393="","",IF(COUNTIF(Roster[Name],IF(RIGHT(IF(LEFT(TRIM(A1393),1)="[",TRIM(MID(TRIM(A1393),FIND("]",TRIM(A1393)&amp;"]")+1,200)),TRIM(A1393)),1)=")",TRIM(LEFT(IF(LEFT(TRIM(A1393),1)="[",TRIM(MID(TRIM(A1393),FIND("]",TRIM(A1393)&amp;"]")+1,200)),TRIM(A1393)),FIND("(",IF(LEFT(TRIM(A1393),1)="[",TRIM(MID(TRIM(A1393),FIND("]",TRIM(A1393)&amp;"]")+1,200)),TRIM(A1393))&amp;"(")-1)),IF(LEFT(TRIM(A1393),1)="[",TRIM(MID(TRIM(A1393),FIND("]",TRIM(A1393)&amp;"]")+1,200)),TRIM(A1393))))&gt;0,IF(RIGHT(IF(LEFT(TRIM(A1393),1)="[",TRIM(MID(TRIM(A1393),FIND("]",TRIM(A1393)&amp;"]")+1,200)),TRIM(A1393)),1)=")",TRIM(LEFT(IF(LEFT(TRIM(A1393),1)="[",TRIM(MID(TRIM(A1393),FIND("]",TRIM(A1393)&amp;"]")+1,200)),TRIM(A1393)),FIND("(",IF(LEFT(TRIM(A1393),1)="[",TRIM(MID(TRIM(A1393),FIND("]",TRIM(A1393)&amp;"]")+1,200)),TRIM(A1393))&amp;"(")-1)),IF(LEFT(TRIM(A1393),1)="[",TRIM(MID(TRIM(A1393),FIND("]",TRIM(A1393)&amp;"]")+1,200)),TRIM(A1393))),""))</f>
      </c>
      <c r="C1393" s="17">
        <f>IF(B1393&lt;&gt;"",B1393,C1392)</f>
      </c>
      <c r="D1393" s="17">
        <f>IF(A1393="","",IF(OR(LEFT(UPPER(TRIM(A1393)),2)="Y:",LEFT(UPPER(TRIM(A1393)),10)="YESTERDAY:"),"Y",IF(OR(LEFT(UPPER(TRIM(A1393)),2)="T:",LEFT(UPPER(TRIM(A1393)),6)="TODAY:"),"T",IF(OR(LEFT(UPPER(TRIM(A1393)),2)="B:",LEFT(UPPER(TRIM(A1393)),8)="BLOCKER:",LEFT(UPPER(TRIM(A1393)),9)="BLOCKERS:",LEFT(UPPER(TRIM(A1393)),8)="BLOCKED:"),"B",""))))</f>
      </c>
      <c r="E1393" s="17">
        <f>IF(D1393="","",TRIM(MID(A1393,FIND(":",A1393)+1,500)))</f>
      </c>
    </row>
    <row r="1394">
      <c r="B1394" s="17">
        <f>IF(A1394="","",IF(COUNTIF(Roster[Name],IF(RIGHT(IF(LEFT(TRIM(A1394),1)="[",TRIM(MID(TRIM(A1394),FIND("]",TRIM(A1394)&amp;"]")+1,200)),TRIM(A1394)),1)=")",TRIM(LEFT(IF(LEFT(TRIM(A1394),1)="[",TRIM(MID(TRIM(A1394),FIND("]",TRIM(A1394)&amp;"]")+1,200)),TRIM(A1394)),FIND("(",IF(LEFT(TRIM(A1394),1)="[",TRIM(MID(TRIM(A1394),FIND("]",TRIM(A1394)&amp;"]")+1,200)),TRIM(A1394))&amp;"(")-1)),IF(LEFT(TRIM(A1394),1)="[",TRIM(MID(TRIM(A1394),FIND("]",TRIM(A1394)&amp;"]")+1,200)),TRIM(A1394))))&gt;0,IF(RIGHT(IF(LEFT(TRIM(A1394),1)="[",TRIM(MID(TRIM(A1394),FIND("]",TRIM(A1394)&amp;"]")+1,200)),TRIM(A1394)),1)=")",TRIM(LEFT(IF(LEFT(TRIM(A1394),1)="[",TRIM(MID(TRIM(A1394),FIND("]",TRIM(A1394)&amp;"]")+1,200)),TRIM(A1394)),FIND("(",IF(LEFT(TRIM(A1394),1)="[",TRIM(MID(TRIM(A1394),FIND("]",TRIM(A1394)&amp;"]")+1,200)),TRIM(A1394))&amp;"(")-1)),IF(LEFT(TRIM(A1394),1)="[",TRIM(MID(TRIM(A1394),FIND("]",TRIM(A1394)&amp;"]")+1,200)),TRIM(A1394))),""))</f>
      </c>
      <c r="C1394" s="17">
        <f>IF(B1394&lt;&gt;"",B1394,C1393)</f>
      </c>
      <c r="D1394" s="17">
        <f>IF(A1394="","",IF(OR(LEFT(UPPER(TRIM(A1394)),2)="Y:",LEFT(UPPER(TRIM(A1394)),10)="YESTERDAY:"),"Y",IF(OR(LEFT(UPPER(TRIM(A1394)),2)="T:",LEFT(UPPER(TRIM(A1394)),6)="TODAY:"),"T",IF(OR(LEFT(UPPER(TRIM(A1394)),2)="B:",LEFT(UPPER(TRIM(A1394)),8)="BLOCKER:",LEFT(UPPER(TRIM(A1394)),9)="BLOCKERS:",LEFT(UPPER(TRIM(A1394)),8)="BLOCKED:"),"B",""))))</f>
      </c>
      <c r="E1394" s="17">
        <f>IF(D1394="","",TRIM(MID(A1394,FIND(":",A1394)+1,500)))</f>
      </c>
    </row>
    <row r="1395">
      <c r="B1395" s="17">
        <f>IF(A1395="","",IF(COUNTIF(Roster[Name],IF(RIGHT(IF(LEFT(TRIM(A1395),1)="[",TRIM(MID(TRIM(A1395),FIND("]",TRIM(A1395)&amp;"]")+1,200)),TRIM(A1395)),1)=")",TRIM(LEFT(IF(LEFT(TRIM(A1395),1)="[",TRIM(MID(TRIM(A1395),FIND("]",TRIM(A1395)&amp;"]")+1,200)),TRIM(A1395)),FIND("(",IF(LEFT(TRIM(A1395),1)="[",TRIM(MID(TRIM(A1395),FIND("]",TRIM(A1395)&amp;"]")+1,200)),TRIM(A1395))&amp;"(")-1)),IF(LEFT(TRIM(A1395),1)="[",TRIM(MID(TRIM(A1395),FIND("]",TRIM(A1395)&amp;"]")+1,200)),TRIM(A1395))))&gt;0,IF(RIGHT(IF(LEFT(TRIM(A1395),1)="[",TRIM(MID(TRIM(A1395),FIND("]",TRIM(A1395)&amp;"]")+1,200)),TRIM(A1395)),1)=")",TRIM(LEFT(IF(LEFT(TRIM(A1395),1)="[",TRIM(MID(TRIM(A1395),FIND("]",TRIM(A1395)&amp;"]")+1,200)),TRIM(A1395)),FIND("(",IF(LEFT(TRIM(A1395),1)="[",TRIM(MID(TRIM(A1395),FIND("]",TRIM(A1395)&amp;"]")+1,200)),TRIM(A1395))&amp;"(")-1)),IF(LEFT(TRIM(A1395),1)="[",TRIM(MID(TRIM(A1395),FIND("]",TRIM(A1395)&amp;"]")+1,200)),TRIM(A1395))),""))</f>
      </c>
      <c r="C1395" s="17">
        <f>IF(B1395&lt;&gt;"",B1395,C1394)</f>
      </c>
      <c r="D1395" s="17">
        <f>IF(A1395="","",IF(OR(LEFT(UPPER(TRIM(A1395)),2)="Y:",LEFT(UPPER(TRIM(A1395)),10)="YESTERDAY:"),"Y",IF(OR(LEFT(UPPER(TRIM(A1395)),2)="T:",LEFT(UPPER(TRIM(A1395)),6)="TODAY:"),"T",IF(OR(LEFT(UPPER(TRIM(A1395)),2)="B:",LEFT(UPPER(TRIM(A1395)),8)="BLOCKER:",LEFT(UPPER(TRIM(A1395)),9)="BLOCKERS:",LEFT(UPPER(TRIM(A1395)),8)="BLOCKED:"),"B",""))))</f>
      </c>
      <c r="E1395" s="17">
        <f>IF(D1395="","",TRIM(MID(A1395,FIND(":",A1395)+1,500)))</f>
      </c>
    </row>
    <row r="1396">
      <c r="B1396" s="17">
        <f>IF(A1396="","",IF(COUNTIF(Roster[Name],IF(RIGHT(IF(LEFT(TRIM(A1396),1)="[",TRIM(MID(TRIM(A1396),FIND("]",TRIM(A1396)&amp;"]")+1,200)),TRIM(A1396)),1)=")",TRIM(LEFT(IF(LEFT(TRIM(A1396),1)="[",TRIM(MID(TRIM(A1396),FIND("]",TRIM(A1396)&amp;"]")+1,200)),TRIM(A1396)),FIND("(",IF(LEFT(TRIM(A1396),1)="[",TRIM(MID(TRIM(A1396),FIND("]",TRIM(A1396)&amp;"]")+1,200)),TRIM(A1396))&amp;"(")-1)),IF(LEFT(TRIM(A1396),1)="[",TRIM(MID(TRIM(A1396),FIND("]",TRIM(A1396)&amp;"]")+1,200)),TRIM(A1396))))&gt;0,IF(RIGHT(IF(LEFT(TRIM(A1396),1)="[",TRIM(MID(TRIM(A1396),FIND("]",TRIM(A1396)&amp;"]")+1,200)),TRIM(A1396)),1)=")",TRIM(LEFT(IF(LEFT(TRIM(A1396),1)="[",TRIM(MID(TRIM(A1396),FIND("]",TRIM(A1396)&amp;"]")+1,200)),TRIM(A1396)),FIND("(",IF(LEFT(TRIM(A1396),1)="[",TRIM(MID(TRIM(A1396),FIND("]",TRIM(A1396)&amp;"]")+1,200)),TRIM(A1396))&amp;"(")-1)),IF(LEFT(TRIM(A1396),1)="[",TRIM(MID(TRIM(A1396),FIND("]",TRIM(A1396)&amp;"]")+1,200)),TRIM(A1396))),""))</f>
      </c>
      <c r="C1396" s="17">
        <f>IF(B1396&lt;&gt;"",B1396,C1395)</f>
      </c>
      <c r="D1396" s="17">
        <f>IF(A1396="","",IF(OR(LEFT(UPPER(TRIM(A1396)),2)="Y:",LEFT(UPPER(TRIM(A1396)),10)="YESTERDAY:"),"Y",IF(OR(LEFT(UPPER(TRIM(A1396)),2)="T:",LEFT(UPPER(TRIM(A1396)),6)="TODAY:"),"T",IF(OR(LEFT(UPPER(TRIM(A1396)),2)="B:",LEFT(UPPER(TRIM(A1396)),8)="BLOCKER:",LEFT(UPPER(TRIM(A1396)),9)="BLOCKERS:",LEFT(UPPER(TRIM(A1396)),8)="BLOCKED:"),"B",""))))</f>
      </c>
      <c r="E1396" s="17">
        <f>IF(D1396="","",TRIM(MID(A1396,FIND(":",A1396)+1,500)))</f>
      </c>
    </row>
    <row r="1397">
      <c r="B1397" s="17">
        <f>IF(A1397="","",IF(COUNTIF(Roster[Name],IF(RIGHT(IF(LEFT(TRIM(A1397),1)="[",TRIM(MID(TRIM(A1397),FIND("]",TRIM(A1397)&amp;"]")+1,200)),TRIM(A1397)),1)=")",TRIM(LEFT(IF(LEFT(TRIM(A1397),1)="[",TRIM(MID(TRIM(A1397),FIND("]",TRIM(A1397)&amp;"]")+1,200)),TRIM(A1397)),FIND("(",IF(LEFT(TRIM(A1397),1)="[",TRIM(MID(TRIM(A1397),FIND("]",TRIM(A1397)&amp;"]")+1,200)),TRIM(A1397))&amp;"(")-1)),IF(LEFT(TRIM(A1397),1)="[",TRIM(MID(TRIM(A1397),FIND("]",TRIM(A1397)&amp;"]")+1,200)),TRIM(A1397))))&gt;0,IF(RIGHT(IF(LEFT(TRIM(A1397),1)="[",TRIM(MID(TRIM(A1397),FIND("]",TRIM(A1397)&amp;"]")+1,200)),TRIM(A1397)),1)=")",TRIM(LEFT(IF(LEFT(TRIM(A1397),1)="[",TRIM(MID(TRIM(A1397),FIND("]",TRIM(A1397)&amp;"]")+1,200)),TRIM(A1397)),FIND("(",IF(LEFT(TRIM(A1397),1)="[",TRIM(MID(TRIM(A1397),FIND("]",TRIM(A1397)&amp;"]")+1,200)),TRIM(A1397))&amp;"(")-1)),IF(LEFT(TRIM(A1397),1)="[",TRIM(MID(TRIM(A1397),FIND("]",TRIM(A1397)&amp;"]")+1,200)),TRIM(A1397))),""))</f>
      </c>
      <c r="C1397" s="17">
        <f>IF(B1397&lt;&gt;"",B1397,C1396)</f>
      </c>
      <c r="D1397" s="17">
        <f>IF(A1397="","",IF(OR(LEFT(UPPER(TRIM(A1397)),2)="Y:",LEFT(UPPER(TRIM(A1397)),10)="YESTERDAY:"),"Y",IF(OR(LEFT(UPPER(TRIM(A1397)),2)="T:",LEFT(UPPER(TRIM(A1397)),6)="TODAY:"),"T",IF(OR(LEFT(UPPER(TRIM(A1397)),2)="B:",LEFT(UPPER(TRIM(A1397)),8)="BLOCKER:",LEFT(UPPER(TRIM(A1397)),9)="BLOCKERS:",LEFT(UPPER(TRIM(A1397)),8)="BLOCKED:"),"B",""))))</f>
      </c>
      <c r="E1397" s="17">
        <f>IF(D1397="","",TRIM(MID(A1397,FIND(":",A1397)+1,500)))</f>
      </c>
    </row>
    <row r="1398">
      <c r="B1398" s="17">
        <f>IF(A1398="","",IF(COUNTIF(Roster[Name],IF(RIGHT(IF(LEFT(TRIM(A1398),1)="[",TRIM(MID(TRIM(A1398),FIND("]",TRIM(A1398)&amp;"]")+1,200)),TRIM(A1398)),1)=")",TRIM(LEFT(IF(LEFT(TRIM(A1398),1)="[",TRIM(MID(TRIM(A1398),FIND("]",TRIM(A1398)&amp;"]")+1,200)),TRIM(A1398)),FIND("(",IF(LEFT(TRIM(A1398),1)="[",TRIM(MID(TRIM(A1398),FIND("]",TRIM(A1398)&amp;"]")+1,200)),TRIM(A1398))&amp;"(")-1)),IF(LEFT(TRIM(A1398),1)="[",TRIM(MID(TRIM(A1398),FIND("]",TRIM(A1398)&amp;"]")+1,200)),TRIM(A1398))))&gt;0,IF(RIGHT(IF(LEFT(TRIM(A1398),1)="[",TRIM(MID(TRIM(A1398),FIND("]",TRIM(A1398)&amp;"]")+1,200)),TRIM(A1398)),1)=")",TRIM(LEFT(IF(LEFT(TRIM(A1398),1)="[",TRIM(MID(TRIM(A1398),FIND("]",TRIM(A1398)&amp;"]")+1,200)),TRIM(A1398)),FIND("(",IF(LEFT(TRIM(A1398),1)="[",TRIM(MID(TRIM(A1398),FIND("]",TRIM(A1398)&amp;"]")+1,200)),TRIM(A1398))&amp;"(")-1)),IF(LEFT(TRIM(A1398),1)="[",TRIM(MID(TRIM(A1398),FIND("]",TRIM(A1398)&amp;"]")+1,200)),TRIM(A1398))),""))</f>
      </c>
      <c r="C1398" s="17">
        <f>IF(B1398&lt;&gt;"",B1398,C1397)</f>
      </c>
      <c r="D1398" s="17">
        <f>IF(A1398="","",IF(OR(LEFT(UPPER(TRIM(A1398)),2)="Y:",LEFT(UPPER(TRIM(A1398)),10)="YESTERDAY:"),"Y",IF(OR(LEFT(UPPER(TRIM(A1398)),2)="T:",LEFT(UPPER(TRIM(A1398)),6)="TODAY:"),"T",IF(OR(LEFT(UPPER(TRIM(A1398)),2)="B:",LEFT(UPPER(TRIM(A1398)),8)="BLOCKER:",LEFT(UPPER(TRIM(A1398)),9)="BLOCKERS:",LEFT(UPPER(TRIM(A1398)),8)="BLOCKED:"),"B",""))))</f>
      </c>
      <c r="E1398" s="17">
        <f>IF(D1398="","",TRIM(MID(A1398,FIND(":",A1398)+1,500)))</f>
      </c>
    </row>
    <row r="1399">
      <c r="B1399" s="17">
        <f>IF(A1399="","",IF(COUNTIF(Roster[Name],IF(RIGHT(IF(LEFT(TRIM(A1399),1)="[",TRIM(MID(TRIM(A1399),FIND("]",TRIM(A1399)&amp;"]")+1,200)),TRIM(A1399)),1)=")",TRIM(LEFT(IF(LEFT(TRIM(A1399),1)="[",TRIM(MID(TRIM(A1399),FIND("]",TRIM(A1399)&amp;"]")+1,200)),TRIM(A1399)),FIND("(",IF(LEFT(TRIM(A1399),1)="[",TRIM(MID(TRIM(A1399),FIND("]",TRIM(A1399)&amp;"]")+1,200)),TRIM(A1399))&amp;"(")-1)),IF(LEFT(TRIM(A1399),1)="[",TRIM(MID(TRIM(A1399),FIND("]",TRIM(A1399)&amp;"]")+1,200)),TRIM(A1399))))&gt;0,IF(RIGHT(IF(LEFT(TRIM(A1399),1)="[",TRIM(MID(TRIM(A1399),FIND("]",TRIM(A1399)&amp;"]")+1,200)),TRIM(A1399)),1)=")",TRIM(LEFT(IF(LEFT(TRIM(A1399),1)="[",TRIM(MID(TRIM(A1399),FIND("]",TRIM(A1399)&amp;"]")+1,200)),TRIM(A1399)),FIND("(",IF(LEFT(TRIM(A1399),1)="[",TRIM(MID(TRIM(A1399),FIND("]",TRIM(A1399)&amp;"]")+1,200)),TRIM(A1399))&amp;"(")-1)),IF(LEFT(TRIM(A1399),1)="[",TRIM(MID(TRIM(A1399),FIND("]",TRIM(A1399)&amp;"]")+1,200)),TRIM(A1399))),""))</f>
      </c>
      <c r="C1399" s="17">
        <f>IF(B1399&lt;&gt;"",B1399,C1398)</f>
      </c>
      <c r="D1399" s="17">
        <f>IF(A1399="","",IF(OR(LEFT(UPPER(TRIM(A1399)),2)="Y:",LEFT(UPPER(TRIM(A1399)),10)="YESTERDAY:"),"Y",IF(OR(LEFT(UPPER(TRIM(A1399)),2)="T:",LEFT(UPPER(TRIM(A1399)),6)="TODAY:"),"T",IF(OR(LEFT(UPPER(TRIM(A1399)),2)="B:",LEFT(UPPER(TRIM(A1399)),8)="BLOCKER:",LEFT(UPPER(TRIM(A1399)),9)="BLOCKERS:",LEFT(UPPER(TRIM(A1399)),8)="BLOCKED:"),"B",""))))</f>
      </c>
      <c r="E1399" s="17">
        <f>IF(D1399="","",TRIM(MID(A1399,FIND(":",A1399)+1,500)))</f>
      </c>
    </row>
    <row r="1400">
      <c r="B1400" s="17">
        <f>IF(A1400="","",IF(COUNTIF(Roster[Name],IF(RIGHT(IF(LEFT(TRIM(A1400),1)="[",TRIM(MID(TRIM(A1400),FIND("]",TRIM(A1400)&amp;"]")+1,200)),TRIM(A1400)),1)=")",TRIM(LEFT(IF(LEFT(TRIM(A1400),1)="[",TRIM(MID(TRIM(A1400),FIND("]",TRIM(A1400)&amp;"]")+1,200)),TRIM(A1400)),FIND("(",IF(LEFT(TRIM(A1400),1)="[",TRIM(MID(TRIM(A1400),FIND("]",TRIM(A1400)&amp;"]")+1,200)),TRIM(A1400))&amp;"(")-1)),IF(LEFT(TRIM(A1400),1)="[",TRIM(MID(TRIM(A1400),FIND("]",TRIM(A1400)&amp;"]")+1,200)),TRIM(A1400))))&gt;0,IF(RIGHT(IF(LEFT(TRIM(A1400),1)="[",TRIM(MID(TRIM(A1400),FIND("]",TRIM(A1400)&amp;"]")+1,200)),TRIM(A1400)),1)=")",TRIM(LEFT(IF(LEFT(TRIM(A1400),1)="[",TRIM(MID(TRIM(A1400),FIND("]",TRIM(A1400)&amp;"]")+1,200)),TRIM(A1400)),FIND("(",IF(LEFT(TRIM(A1400),1)="[",TRIM(MID(TRIM(A1400),FIND("]",TRIM(A1400)&amp;"]")+1,200)),TRIM(A1400))&amp;"(")-1)),IF(LEFT(TRIM(A1400),1)="[",TRIM(MID(TRIM(A1400),FIND("]",TRIM(A1400)&amp;"]")+1,200)),TRIM(A1400))),""))</f>
      </c>
      <c r="C1400" s="17">
        <f>IF(B1400&lt;&gt;"",B1400,C1399)</f>
      </c>
      <c r="D1400" s="17">
        <f>IF(A1400="","",IF(OR(LEFT(UPPER(TRIM(A1400)),2)="Y:",LEFT(UPPER(TRIM(A1400)),10)="YESTERDAY:"),"Y",IF(OR(LEFT(UPPER(TRIM(A1400)),2)="T:",LEFT(UPPER(TRIM(A1400)),6)="TODAY:"),"T",IF(OR(LEFT(UPPER(TRIM(A1400)),2)="B:",LEFT(UPPER(TRIM(A1400)),8)="BLOCKER:",LEFT(UPPER(TRIM(A1400)),9)="BLOCKERS:",LEFT(UPPER(TRIM(A1400)),8)="BLOCKED:"),"B",""))))</f>
      </c>
      <c r="E1400" s="17">
        <f>IF(D1400="","",TRIM(MID(A1400,FIND(":",A1400)+1,500)))</f>
      </c>
    </row>
    <row r="1401">
      <c r="B1401" s="17">
        <f>IF(A1401="","",IF(COUNTIF(Roster[Name],IF(RIGHT(IF(LEFT(TRIM(A1401),1)="[",TRIM(MID(TRIM(A1401),FIND("]",TRIM(A1401)&amp;"]")+1,200)),TRIM(A1401)),1)=")",TRIM(LEFT(IF(LEFT(TRIM(A1401),1)="[",TRIM(MID(TRIM(A1401),FIND("]",TRIM(A1401)&amp;"]")+1,200)),TRIM(A1401)),FIND("(",IF(LEFT(TRIM(A1401),1)="[",TRIM(MID(TRIM(A1401),FIND("]",TRIM(A1401)&amp;"]")+1,200)),TRIM(A1401))&amp;"(")-1)),IF(LEFT(TRIM(A1401),1)="[",TRIM(MID(TRIM(A1401),FIND("]",TRIM(A1401)&amp;"]")+1,200)),TRIM(A1401))))&gt;0,IF(RIGHT(IF(LEFT(TRIM(A1401),1)="[",TRIM(MID(TRIM(A1401),FIND("]",TRIM(A1401)&amp;"]")+1,200)),TRIM(A1401)),1)=")",TRIM(LEFT(IF(LEFT(TRIM(A1401),1)="[",TRIM(MID(TRIM(A1401),FIND("]",TRIM(A1401)&amp;"]")+1,200)),TRIM(A1401)),FIND("(",IF(LEFT(TRIM(A1401),1)="[",TRIM(MID(TRIM(A1401),FIND("]",TRIM(A1401)&amp;"]")+1,200)),TRIM(A1401))&amp;"(")-1)),IF(LEFT(TRIM(A1401),1)="[",TRIM(MID(TRIM(A1401),FIND("]",TRIM(A1401)&amp;"]")+1,200)),TRIM(A1401))),""))</f>
      </c>
      <c r="C1401" s="17">
        <f>IF(B1401&lt;&gt;"",B1401,C1400)</f>
      </c>
      <c r="D1401" s="17">
        <f>IF(A1401="","",IF(OR(LEFT(UPPER(TRIM(A1401)),2)="Y:",LEFT(UPPER(TRIM(A1401)),10)="YESTERDAY:"),"Y",IF(OR(LEFT(UPPER(TRIM(A1401)),2)="T:",LEFT(UPPER(TRIM(A1401)),6)="TODAY:"),"T",IF(OR(LEFT(UPPER(TRIM(A1401)),2)="B:",LEFT(UPPER(TRIM(A1401)),8)="BLOCKER:",LEFT(UPPER(TRIM(A1401)),9)="BLOCKERS:",LEFT(UPPER(TRIM(A1401)),8)="BLOCKED:"),"B",""))))</f>
      </c>
      <c r="E1401" s="17">
        <f>IF(D1401="","",TRIM(MID(A1401,FIND(":",A1401)+1,500)))</f>
      </c>
    </row>
    <row r="1402">
      <c r="B1402" s="17">
        <f>IF(A1402="","",IF(COUNTIF(Roster[Name],IF(RIGHT(IF(LEFT(TRIM(A1402),1)="[",TRIM(MID(TRIM(A1402),FIND("]",TRIM(A1402)&amp;"]")+1,200)),TRIM(A1402)),1)=")",TRIM(LEFT(IF(LEFT(TRIM(A1402),1)="[",TRIM(MID(TRIM(A1402),FIND("]",TRIM(A1402)&amp;"]")+1,200)),TRIM(A1402)),FIND("(",IF(LEFT(TRIM(A1402),1)="[",TRIM(MID(TRIM(A1402),FIND("]",TRIM(A1402)&amp;"]")+1,200)),TRIM(A1402))&amp;"(")-1)),IF(LEFT(TRIM(A1402),1)="[",TRIM(MID(TRIM(A1402),FIND("]",TRIM(A1402)&amp;"]")+1,200)),TRIM(A1402))))&gt;0,IF(RIGHT(IF(LEFT(TRIM(A1402),1)="[",TRIM(MID(TRIM(A1402),FIND("]",TRIM(A1402)&amp;"]")+1,200)),TRIM(A1402)),1)=")",TRIM(LEFT(IF(LEFT(TRIM(A1402),1)="[",TRIM(MID(TRIM(A1402),FIND("]",TRIM(A1402)&amp;"]")+1,200)),TRIM(A1402)),FIND("(",IF(LEFT(TRIM(A1402),1)="[",TRIM(MID(TRIM(A1402),FIND("]",TRIM(A1402)&amp;"]")+1,200)),TRIM(A1402))&amp;"(")-1)),IF(LEFT(TRIM(A1402),1)="[",TRIM(MID(TRIM(A1402),FIND("]",TRIM(A1402)&amp;"]")+1,200)),TRIM(A1402))),""))</f>
      </c>
      <c r="C1402" s="17">
        <f>IF(B1402&lt;&gt;"",B1402,C1401)</f>
      </c>
      <c r="D1402" s="17">
        <f>IF(A1402="","",IF(OR(LEFT(UPPER(TRIM(A1402)),2)="Y:",LEFT(UPPER(TRIM(A1402)),10)="YESTERDAY:"),"Y",IF(OR(LEFT(UPPER(TRIM(A1402)),2)="T:",LEFT(UPPER(TRIM(A1402)),6)="TODAY:"),"T",IF(OR(LEFT(UPPER(TRIM(A1402)),2)="B:",LEFT(UPPER(TRIM(A1402)),8)="BLOCKER:",LEFT(UPPER(TRIM(A1402)),9)="BLOCKERS:",LEFT(UPPER(TRIM(A1402)),8)="BLOCKED:"),"B",""))))</f>
      </c>
      <c r="E1402" s="17">
        <f>IF(D1402="","",TRIM(MID(A1402,FIND(":",A1402)+1,500)))</f>
      </c>
    </row>
    <row r="1403">
      <c r="B1403" s="17">
        <f>IF(A1403="","",IF(COUNTIF(Roster[Name],IF(RIGHT(IF(LEFT(TRIM(A1403),1)="[",TRIM(MID(TRIM(A1403),FIND("]",TRIM(A1403)&amp;"]")+1,200)),TRIM(A1403)),1)=")",TRIM(LEFT(IF(LEFT(TRIM(A1403),1)="[",TRIM(MID(TRIM(A1403),FIND("]",TRIM(A1403)&amp;"]")+1,200)),TRIM(A1403)),FIND("(",IF(LEFT(TRIM(A1403),1)="[",TRIM(MID(TRIM(A1403),FIND("]",TRIM(A1403)&amp;"]")+1,200)),TRIM(A1403))&amp;"(")-1)),IF(LEFT(TRIM(A1403),1)="[",TRIM(MID(TRIM(A1403),FIND("]",TRIM(A1403)&amp;"]")+1,200)),TRIM(A1403))))&gt;0,IF(RIGHT(IF(LEFT(TRIM(A1403),1)="[",TRIM(MID(TRIM(A1403),FIND("]",TRIM(A1403)&amp;"]")+1,200)),TRIM(A1403)),1)=")",TRIM(LEFT(IF(LEFT(TRIM(A1403),1)="[",TRIM(MID(TRIM(A1403),FIND("]",TRIM(A1403)&amp;"]")+1,200)),TRIM(A1403)),FIND("(",IF(LEFT(TRIM(A1403),1)="[",TRIM(MID(TRIM(A1403),FIND("]",TRIM(A1403)&amp;"]")+1,200)),TRIM(A1403))&amp;"(")-1)),IF(LEFT(TRIM(A1403),1)="[",TRIM(MID(TRIM(A1403),FIND("]",TRIM(A1403)&amp;"]")+1,200)),TRIM(A1403))),""))</f>
      </c>
      <c r="C1403" s="17">
        <f>IF(B1403&lt;&gt;"",B1403,C1402)</f>
      </c>
      <c r="D1403" s="17">
        <f>IF(A1403="","",IF(OR(LEFT(UPPER(TRIM(A1403)),2)="Y:",LEFT(UPPER(TRIM(A1403)),10)="YESTERDAY:"),"Y",IF(OR(LEFT(UPPER(TRIM(A1403)),2)="T:",LEFT(UPPER(TRIM(A1403)),6)="TODAY:"),"T",IF(OR(LEFT(UPPER(TRIM(A1403)),2)="B:",LEFT(UPPER(TRIM(A1403)),8)="BLOCKER:",LEFT(UPPER(TRIM(A1403)),9)="BLOCKERS:",LEFT(UPPER(TRIM(A1403)),8)="BLOCKED:"),"B",""))))</f>
      </c>
      <c r="E1403" s="17">
        <f>IF(D1403="","",TRIM(MID(A1403,FIND(":",A1403)+1,500)))</f>
      </c>
    </row>
    <row r="1404">
      <c r="B1404" s="17">
        <f>IF(A1404="","",IF(COUNTIF(Roster[Name],IF(RIGHT(IF(LEFT(TRIM(A1404),1)="[",TRIM(MID(TRIM(A1404),FIND("]",TRIM(A1404)&amp;"]")+1,200)),TRIM(A1404)),1)=")",TRIM(LEFT(IF(LEFT(TRIM(A1404),1)="[",TRIM(MID(TRIM(A1404),FIND("]",TRIM(A1404)&amp;"]")+1,200)),TRIM(A1404)),FIND("(",IF(LEFT(TRIM(A1404),1)="[",TRIM(MID(TRIM(A1404),FIND("]",TRIM(A1404)&amp;"]")+1,200)),TRIM(A1404))&amp;"(")-1)),IF(LEFT(TRIM(A1404),1)="[",TRIM(MID(TRIM(A1404),FIND("]",TRIM(A1404)&amp;"]")+1,200)),TRIM(A1404))))&gt;0,IF(RIGHT(IF(LEFT(TRIM(A1404),1)="[",TRIM(MID(TRIM(A1404),FIND("]",TRIM(A1404)&amp;"]")+1,200)),TRIM(A1404)),1)=")",TRIM(LEFT(IF(LEFT(TRIM(A1404),1)="[",TRIM(MID(TRIM(A1404),FIND("]",TRIM(A1404)&amp;"]")+1,200)),TRIM(A1404)),FIND("(",IF(LEFT(TRIM(A1404),1)="[",TRIM(MID(TRIM(A1404),FIND("]",TRIM(A1404)&amp;"]")+1,200)),TRIM(A1404))&amp;"(")-1)),IF(LEFT(TRIM(A1404),1)="[",TRIM(MID(TRIM(A1404),FIND("]",TRIM(A1404)&amp;"]")+1,200)),TRIM(A1404))),""))</f>
      </c>
      <c r="C1404" s="17">
        <f>IF(B1404&lt;&gt;"",B1404,C1403)</f>
      </c>
      <c r="D1404" s="17">
        <f>IF(A1404="","",IF(OR(LEFT(UPPER(TRIM(A1404)),2)="Y:",LEFT(UPPER(TRIM(A1404)),10)="YESTERDAY:"),"Y",IF(OR(LEFT(UPPER(TRIM(A1404)),2)="T:",LEFT(UPPER(TRIM(A1404)),6)="TODAY:"),"T",IF(OR(LEFT(UPPER(TRIM(A1404)),2)="B:",LEFT(UPPER(TRIM(A1404)),8)="BLOCKER:",LEFT(UPPER(TRIM(A1404)),9)="BLOCKERS:",LEFT(UPPER(TRIM(A1404)),8)="BLOCKED:"),"B",""))))</f>
      </c>
      <c r="E1404" s="17">
        <f>IF(D1404="","",TRIM(MID(A1404,FIND(":",A1404)+1,500)))</f>
      </c>
    </row>
    <row r="1405">
      <c r="B1405" s="17">
        <f>IF(A1405="","",IF(COUNTIF(Roster[Name],IF(RIGHT(IF(LEFT(TRIM(A1405),1)="[",TRIM(MID(TRIM(A1405),FIND("]",TRIM(A1405)&amp;"]")+1,200)),TRIM(A1405)),1)=")",TRIM(LEFT(IF(LEFT(TRIM(A1405),1)="[",TRIM(MID(TRIM(A1405),FIND("]",TRIM(A1405)&amp;"]")+1,200)),TRIM(A1405)),FIND("(",IF(LEFT(TRIM(A1405),1)="[",TRIM(MID(TRIM(A1405),FIND("]",TRIM(A1405)&amp;"]")+1,200)),TRIM(A1405))&amp;"(")-1)),IF(LEFT(TRIM(A1405),1)="[",TRIM(MID(TRIM(A1405),FIND("]",TRIM(A1405)&amp;"]")+1,200)),TRIM(A1405))))&gt;0,IF(RIGHT(IF(LEFT(TRIM(A1405),1)="[",TRIM(MID(TRIM(A1405),FIND("]",TRIM(A1405)&amp;"]")+1,200)),TRIM(A1405)),1)=")",TRIM(LEFT(IF(LEFT(TRIM(A1405),1)="[",TRIM(MID(TRIM(A1405),FIND("]",TRIM(A1405)&amp;"]")+1,200)),TRIM(A1405)),FIND("(",IF(LEFT(TRIM(A1405),1)="[",TRIM(MID(TRIM(A1405),FIND("]",TRIM(A1405)&amp;"]")+1,200)),TRIM(A1405))&amp;"(")-1)),IF(LEFT(TRIM(A1405),1)="[",TRIM(MID(TRIM(A1405),FIND("]",TRIM(A1405)&amp;"]")+1,200)),TRIM(A1405))),""))</f>
      </c>
      <c r="C1405" s="17">
        <f>IF(B1405&lt;&gt;"",B1405,C1404)</f>
      </c>
      <c r="D1405" s="17">
        <f>IF(A1405="","",IF(OR(LEFT(UPPER(TRIM(A1405)),2)="Y:",LEFT(UPPER(TRIM(A1405)),10)="YESTERDAY:"),"Y",IF(OR(LEFT(UPPER(TRIM(A1405)),2)="T:",LEFT(UPPER(TRIM(A1405)),6)="TODAY:"),"T",IF(OR(LEFT(UPPER(TRIM(A1405)),2)="B:",LEFT(UPPER(TRIM(A1405)),8)="BLOCKER:",LEFT(UPPER(TRIM(A1405)),9)="BLOCKERS:",LEFT(UPPER(TRIM(A1405)),8)="BLOCKED:"),"B",""))))</f>
      </c>
      <c r="E1405" s="17">
        <f>IF(D1405="","",TRIM(MID(A1405,FIND(":",A1405)+1,500)))</f>
      </c>
    </row>
    <row r="1406">
      <c r="B1406" s="17">
        <f>IF(A1406="","",IF(COUNTIF(Roster[Name],IF(RIGHT(IF(LEFT(TRIM(A1406),1)="[",TRIM(MID(TRIM(A1406),FIND("]",TRIM(A1406)&amp;"]")+1,200)),TRIM(A1406)),1)=")",TRIM(LEFT(IF(LEFT(TRIM(A1406),1)="[",TRIM(MID(TRIM(A1406),FIND("]",TRIM(A1406)&amp;"]")+1,200)),TRIM(A1406)),FIND("(",IF(LEFT(TRIM(A1406),1)="[",TRIM(MID(TRIM(A1406),FIND("]",TRIM(A1406)&amp;"]")+1,200)),TRIM(A1406))&amp;"(")-1)),IF(LEFT(TRIM(A1406),1)="[",TRIM(MID(TRIM(A1406),FIND("]",TRIM(A1406)&amp;"]")+1,200)),TRIM(A1406))))&gt;0,IF(RIGHT(IF(LEFT(TRIM(A1406),1)="[",TRIM(MID(TRIM(A1406),FIND("]",TRIM(A1406)&amp;"]")+1,200)),TRIM(A1406)),1)=")",TRIM(LEFT(IF(LEFT(TRIM(A1406),1)="[",TRIM(MID(TRIM(A1406),FIND("]",TRIM(A1406)&amp;"]")+1,200)),TRIM(A1406)),FIND("(",IF(LEFT(TRIM(A1406),1)="[",TRIM(MID(TRIM(A1406),FIND("]",TRIM(A1406)&amp;"]")+1,200)),TRIM(A1406))&amp;"(")-1)),IF(LEFT(TRIM(A1406),1)="[",TRIM(MID(TRIM(A1406),FIND("]",TRIM(A1406)&amp;"]")+1,200)),TRIM(A1406))),""))</f>
      </c>
      <c r="C1406" s="17">
        <f>IF(B1406&lt;&gt;"",B1406,C1405)</f>
      </c>
      <c r="D1406" s="17">
        <f>IF(A1406="","",IF(OR(LEFT(UPPER(TRIM(A1406)),2)="Y:",LEFT(UPPER(TRIM(A1406)),10)="YESTERDAY:"),"Y",IF(OR(LEFT(UPPER(TRIM(A1406)),2)="T:",LEFT(UPPER(TRIM(A1406)),6)="TODAY:"),"T",IF(OR(LEFT(UPPER(TRIM(A1406)),2)="B:",LEFT(UPPER(TRIM(A1406)),8)="BLOCKER:",LEFT(UPPER(TRIM(A1406)),9)="BLOCKERS:",LEFT(UPPER(TRIM(A1406)),8)="BLOCKED:"),"B",""))))</f>
      </c>
      <c r="E1406" s="17">
        <f>IF(D1406="","",TRIM(MID(A1406,FIND(":",A1406)+1,500)))</f>
      </c>
    </row>
    <row r="1407">
      <c r="B1407" s="17">
        <f>IF(A1407="","",IF(COUNTIF(Roster[Name],IF(RIGHT(IF(LEFT(TRIM(A1407),1)="[",TRIM(MID(TRIM(A1407),FIND("]",TRIM(A1407)&amp;"]")+1,200)),TRIM(A1407)),1)=")",TRIM(LEFT(IF(LEFT(TRIM(A1407),1)="[",TRIM(MID(TRIM(A1407),FIND("]",TRIM(A1407)&amp;"]")+1,200)),TRIM(A1407)),FIND("(",IF(LEFT(TRIM(A1407),1)="[",TRIM(MID(TRIM(A1407),FIND("]",TRIM(A1407)&amp;"]")+1,200)),TRIM(A1407))&amp;"(")-1)),IF(LEFT(TRIM(A1407),1)="[",TRIM(MID(TRIM(A1407),FIND("]",TRIM(A1407)&amp;"]")+1,200)),TRIM(A1407))))&gt;0,IF(RIGHT(IF(LEFT(TRIM(A1407),1)="[",TRIM(MID(TRIM(A1407),FIND("]",TRIM(A1407)&amp;"]")+1,200)),TRIM(A1407)),1)=")",TRIM(LEFT(IF(LEFT(TRIM(A1407),1)="[",TRIM(MID(TRIM(A1407),FIND("]",TRIM(A1407)&amp;"]")+1,200)),TRIM(A1407)),FIND("(",IF(LEFT(TRIM(A1407),1)="[",TRIM(MID(TRIM(A1407),FIND("]",TRIM(A1407)&amp;"]")+1,200)),TRIM(A1407))&amp;"(")-1)),IF(LEFT(TRIM(A1407),1)="[",TRIM(MID(TRIM(A1407),FIND("]",TRIM(A1407)&amp;"]")+1,200)),TRIM(A1407))),""))</f>
      </c>
      <c r="C1407" s="17">
        <f>IF(B1407&lt;&gt;"",B1407,C1406)</f>
      </c>
      <c r="D1407" s="17">
        <f>IF(A1407="","",IF(OR(LEFT(UPPER(TRIM(A1407)),2)="Y:",LEFT(UPPER(TRIM(A1407)),10)="YESTERDAY:"),"Y",IF(OR(LEFT(UPPER(TRIM(A1407)),2)="T:",LEFT(UPPER(TRIM(A1407)),6)="TODAY:"),"T",IF(OR(LEFT(UPPER(TRIM(A1407)),2)="B:",LEFT(UPPER(TRIM(A1407)),8)="BLOCKER:",LEFT(UPPER(TRIM(A1407)),9)="BLOCKERS:",LEFT(UPPER(TRIM(A1407)),8)="BLOCKED:"),"B",""))))</f>
      </c>
      <c r="E1407" s="17">
        <f>IF(D1407="","",TRIM(MID(A1407,FIND(":",A1407)+1,500)))</f>
      </c>
    </row>
    <row r="1408">
      <c r="B1408" s="17">
        <f>IF(A1408="","",IF(COUNTIF(Roster[Name],IF(RIGHT(IF(LEFT(TRIM(A1408),1)="[",TRIM(MID(TRIM(A1408),FIND("]",TRIM(A1408)&amp;"]")+1,200)),TRIM(A1408)),1)=")",TRIM(LEFT(IF(LEFT(TRIM(A1408),1)="[",TRIM(MID(TRIM(A1408),FIND("]",TRIM(A1408)&amp;"]")+1,200)),TRIM(A1408)),FIND("(",IF(LEFT(TRIM(A1408),1)="[",TRIM(MID(TRIM(A1408),FIND("]",TRIM(A1408)&amp;"]")+1,200)),TRIM(A1408))&amp;"(")-1)),IF(LEFT(TRIM(A1408),1)="[",TRIM(MID(TRIM(A1408),FIND("]",TRIM(A1408)&amp;"]")+1,200)),TRIM(A1408))))&gt;0,IF(RIGHT(IF(LEFT(TRIM(A1408),1)="[",TRIM(MID(TRIM(A1408),FIND("]",TRIM(A1408)&amp;"]")+1,200)),TRIM(A1408)),1)=")",TRIM(LEFT(IF(LEFT(TRIM(A1408),1)="[",TRIM(MID(TRIM(A1408),FIND("]",TRIM(A1408)&amp;"]")+1,200)),TRIM(A1408)),FIND("(",IF(LEFT(TRIM(A1408),1)="[",TRIM(MID(TRIM(A1408),FIND("]",TRIM(A1408)&amp;"]")+1,200)),TRIM(A1408))&amp;"(")-1)),IF(LEFT(TRIM(A1408),1)="[",TRIM(MID(TRIM(A1408),FIND("]",TRIM(A1408)&amp;"]")+1,200)),TRIM(A1408))),""))</f>
      </c>
      <c r="C1408" s="17">
        <f>IF(B1408&lt;&gt;"",B1408,C1407)</f>
      </c>
      <c r="D1408" s="17">
        <f>IF(A1408="","",IF(OR(LEFT(UPPER(TRIM(A1408)),2)="Y:",LEFT(UPPER(TRIM(A1408)),10)="YESTERDAY:"),"Y",IF(OR(LEFT(UPPER(TRIM(A1408)),2)="T:",LEFT(UPPER(TRIM(A1408)),6)="TODAY:"),"T",IF(OR(LEFT(UPPER(TRIM(A1408)),2)="B:",LEFT(UPPER(TRIM(A1408)),8)="BLOCKER:",LEFT(UPPER(TRIM(A1408)),9)="BLOCKERS:",LEFT(UPPER(TRIM(A1408)),8)="BLOCKED:"),"B",""))))</f>
      </c>
      <c r="E1408" s="17">
        <f>IF(D1408="","",TRIM(MID(A1408,FIND(":",A1408)+1,500)))</f>
      </c>
    </row>
    <row r="1409">
      <c r="B1409" s="17">
        <f>IF(A1409="","",IF(COUNTIF(Roster[Name],IF(RIGHT(IF(LEFT(TRIM(A1409),1)="[",TRIM(MID(TRIM(A1409),FIND("]",TRIM(A1409)&amp;"]")+1,200)),TRIM(A1409)),1)=")",TRIM(LEFT(IF(LEFT(TRIM(A1409),1)="[",TRIM(MID(TRIM(A1409),FIND("]",TRIM(A1409)&amp;"]")+1,200)),TRIM(A1409)),FIND("(",IF(LEFT(TRIM(A1409),1)="[",TRIM(MID(TRIM(A1409),FIND("]",TRIM(A1409)&amp;"]")+1,200)),TRIM(A1409))&amp;"(")-1)),IF(LEFT(TRIM(A1409),1)="[",TRIM(MID(TRIM(A1409),FIND("]",TRIM(A1409)&amp;"]")+1,200)),TRIM(A1409))))&gt;0,IF(RIGHT(IF(LEFT(TRIM(A1409),1)="[",TRIM(MID(TRIM(A1409),FIND("]",TRIM(A1409)&amp;"]")+1,200)),TRIM(A1409)),1)=")",TRIM(LEFT(IF(LEFT(TRIM(A1409),1)="[",TRIM(MID(TRIM(A1409),FIND("]",TRIM(A1409)&amp;"]")+1,200)),TRIM(A1409)),FIND("(",IF(LEFT(TRIM(A1409),1)="[",TRIM(MID(TRIM(A1409),FIND("]",TRIM(A1409)&amp;"]")+1,200)),TRIM(A1409))&amp;"(")-1)),IF(LEFT(TRIM(A1409),1)="[",TRIM(MID(TRIM(A1409),FIND("]",TRIM(A1409)&amp;"]")+1,200)),TRIM(A1409))),""))</f>
      </c>
      <c r="C1409" s="17">
        <f>IF(B1409&lt;&gt;"",B1409,C1408)</f>
      </c>
      <c r="D1409" s="17">
        <f>IF(A1409="","",IF(OR(LEFT(UPPER(TRIM(A1409)),2)="Y:",LEFT(UPPER(TRIM(A1409)),10)="YESTERDAY:"),"Y",IF(OR(LEFT(UPPER(TRIM(A1409)),2)="T:",LEFT(UPPER(TRIM(A1409)),6)="TODAY:"),"T",IF(OR(LEFT(UPPER(TRIM(A1409)),2)="B:",LEFT(UPPER(TRIM(A1409)),8)="BLOCKER:",LEFT(UPPER(TRIM(A1409)),9)="BLOCKERS:",LEFT(UPPER(TRIM(A1409)),8)="BLOCKED:"),"B",""))))</f>
      </c>
      <c r="E1409" s="17">
        <f>IF(D1409="","",TRIM(MID(A1409,FIND(":",A1409)+1,500)))</f>
      </c>
    </row>
    <row r="1410">
      <c r="B1410" s="17">
        <f>IF(A1410="","",IF(COUNTIF(Roster[Name],IF(RIGHT(IF(LEFT(TRIM(A1410),1)="[",TRIM(MID(TRIM(A1410),FIND("]",TRIM(A1410)&amp;"]")+1,200)),TRIM(A1410)),1)=")",TRIM(LEFT(IF(LEFT(TRIM(A1410),1)="[",TRIM(MID(TRIM(A1410),FIND("]",TRIM(A1410)&amp;"]")+1,200)),TRIM(A1410)),FIND("(",IF(LEFT(TRIM(A1410),1)="[",TRIM(MID(TRIM(A1410),FIND("]",TRIM(A1410)&amp;"]")+1,200)),TRIM(A1410))&amp;"(")-1)),IF(LEFT(TRIM(A1410),1)="[",TRIM(MID(TRIM(A1410),FIND("]",TRIM(A1410)&amp;"]")+1,200)),TRIM(A1410))))&gt;0,IF(RIGHT(IF(LEFT(TRIM(A1410),1)="[",TRIM(MID(TRIM(A1410),FIND("]",TRIM(A1410)&amp;"]")+1,200)),TRIM(A1410)),1)=")",TRIM(LEFT(IF(LEFT(TRIM(A1410),1)="[",TRIM(MID(TRIM(A1410),FIND("]",TRIM(A1410)&amp;"]")+1,200)),TRIM(A1410)),FIND("(",IF(LEFT(TRIM(A1410),1)="[",TRIM(MID(TRIM(A1410),FIND("]",TRIM(A1410)&amp;"]")+1,200)),TRIM(A1410))&amp;"(")-1)),IF(LEFT(TRIM(A1410),1)="[",TRIM(MID(TRIM(A1410),FIND("]",TRIM(A1410)&amp;"]")+1,200)),TRIM(A1410))),""))</f>
      </c>
      <c r="C1410" s="17">
        <f>IF(B1410&lt;&gt;"",B1410,C1409)</f>
      </c>
      <c r="D1410" s="17">
        <f>IF(A1410="","",IF(OR(LEFT(UPPER(TRIM(A1410)),2)="Y:",LEFT(UPPER(TRIM(A1410)),10)="YESTERDAY:"),"Y",IF(OR(LEFT(UPPER(TRIM(A1410)),2)="T:",LEFT(UPPER(TRIM(A1410)),6)="TODAY:"),"T",IF(OR(LEFT(UPPER(TRIM(A1410)),2)="B:",LEFT(UPPER(TRIM(A1410)),8)="BLOCKER:",LEFT(UPPER(TRIM(A1410)),9)="BLOCKERS:",LEFT(UPPER(TRIM(A1410)),8)="BLOCKED:"),"B",""))))</f>
      </c>
      <c r="E1410" s="17">
        <f>IF(D1410="","",TRIM(MID(A1410,FIND(":",A1410)+1,500)))</f>
      </c>
    </row>
    <row r="1411">
      <c r="B1411" s="17">
        <f>IF(A1411="","",IF(COUNTIF(Roster[Name],IF(RIGHT(IF(LEFT(TRIM(A1411),1)="[",TRIM(MID(TRIM(A1411),FIND("]",TRIM(A1411)&amp;"]")+1,200)),TRIM(A1411)),1)=")",TRIM(LEFT(IF(LEFT(TRIM(A1411),1)="[",TRIM(MID(TRIM(A1411),FIND("]",TRIM(A1411)&amp;"]")+1,200)),TRIM(A1411)),FIND("(",IF(LEFT(TRIM(A1411),1)="[",TRIM(MID(TRIM(A1411),FIND("]",TRIM(A1411)&amp;"]")+1,200)),TRIM(A1411))&amp;"(")-1)),IF(LEFT(TRIM(A1411),1)="[",TRIM(MID(TRIM(A1411),FIND("]",TRIM(A1411)&amp;"]")+1,200)),TRIM(A1411))))&gt;0,IF(RIGHT(IF(LEFT(TRIM(A1411),1)="[",TRIM(MID(TRIM(A1411),FIND("]",TRIM(A1411)&amp;"]")+1,200)),TRIM(A1411)),1)=")",TRIM(LEFT(IF(LEFT(TRIM(A1411),1)="[",TRIM(MID(TRIM(A1411),FIND("]",TRIM(A1411)&amp;"]")+1,200)),TRIM(A1411)),FIND("(",IF(LEFT(TRIM(A1411),1)="[",TRIM(MID(TRIM(A1411),FIND("]",TRIM(A1411)&amp;"]")+1,200)),TRIM(A1411))&amp;"(")-1)),IF(LEFT(TRIM(A1411),1)="[",TRIM(MID(TRIM(A1411),FIND("]",TRIM(A1411)&amp;"]")+1,200)),TRIM(A1411))),""))</f>
      </c>
      <c r="C1411" s="17">
        <f>IF(B1411&lt;&gt;"",B1411,C1410)</f>
      </c>
      <c r="D1411" s="17">
        <f>IF(A1411="","",IF(OR(LEFT(UPPER(TRIM(A1411)),2)="Y:",LEFT(UPPER(TRIM(A1411)),10)="YESTERDAY:"),"Y",IF(OR(LEFT(UPPER(TRIM(A1411)),2)="T:",LEFT(UPPER(TRIM(A1411)),6)="TODAY:"),"T",IF(OR(LEFT(UPPER(TRIM(A1411)),2)="B:",LEFT(UPPER(TRIM(A1411)),8)="BLOCKER:",LEFT(UPPER(TRIM(A1411)),9)="BLOCKERS:",LEFT(UPPER(TRIM(A1411)),8)="BLOCKED:"),"B",""))))</f>
      </c>
      <c r="E1411" s="17">
        <f>IF(D1411="","",TRIM(MID(A1411,FIND(":",A1411)+1,500)))</f>
      </c>
    </row>
    <row r="1412">
      <c r="B1412" s="17">
        <f>IF(A1412="","",IF(COUNTIF(Roster[Name],IF(RIGHT(IF(LEFT(TRIM(A1412),1)="[",TRIM(MID(TRIM(A1412),FIND("]",TRIM(A1412)&amp;"]")+1,200)),TRIM(A1412)),1)=")",TRIM(LEFT(IF(LEFT(TRIM(A1412),1)="[",TRIM(MID(TRIM(A1412),FIND("]",TRIM(A1412)&amp;"]")+1,200)),TRIM(A1412)),FIND("(",IF(LEFT(TRIM(A1412),1)="[",TRIM(MID(TRIM(A1412),FIND("]",TRIM(A1412)&amp;"]")+1,200)),TRIM(A1412))&amp;"(")-1)),IF(LEFT(TRIM(A1412),1)="[",TRIM(MID(TRIM(A1412),FIND("]",TRIM(A1412)&amp;"]")+1,200)),TRIM(A1412))))&gt;0,IF(RIGHT(IF(LEFT(TRIM(A1412),1)="[",TRIM(MID(TRIM(A1412),FIND("]",TRIM(A1412)&amp;"]")+1,200)),TRIM(A1412)),1)=")",TRIM(LEFT(IF(LEFT(TRIM(A1412),1)="[",TRIM(MID(TRIM(A1412),FIND("]",TRIM(A1412)&amp;"]")+1,200)),TRIM(A1412)),FIND("(",IF(LEFT(TRIM(A1412),1)="[",TRIM(MID(TRIM(A1412),FIND("]",TRIM(A1412)&amp;"]")+1,200)),TRIM(A1412))&amp;"(")-1)),IF(LEFT(TRIM(A1412),1)="[",TRIM(MID(TRIM(A1412),FIND("]",TRIM(A1412)&amp;"]")+1,200)),TRIM(A1412))),""))</f>
      </c>
      <c r="C1412" s="17">
        <f>IF(B1412&lt;&gt;"",B1412,C1411)</f>
      </c>
      <c r="D1412" s="17">
        <f>IF(A1412="","",IF(OR(LEFT(UPPER(TRIM(A1412)),2)="Y:",LEFT(UPPER(TRIM(A1412)),10)="YESTERDAY:"),"Y",IF(OR(LEFT(UPPER(TRIM(A1412)),2)="T:",LEFT(UPPER(TRIM(A1412)),6)="TODAY:"),"T",IF(OR(LEFT(UPPER(TRIM(A1412)),2)="B:",LEFT(UPPER(TRIM(A1412)),8)="BLOCKER:",LEFT(UPPER(TRIM(A1412)),9)="BLOCKERS:",LEFT(UPPER(TRIM(A1412)),8)="BLOCKED:"),"B",""))))</f>
      </c>
      <c r="E1412" s="17">
        <f>IF(D1412="","",TRIM(MID(A1412,FIND(":",A1412)+1,500)))</f>
      </c>
    </row>
    <row r="1413">
      <c r="B1413" s="17">
        <f>IF(A1413="","",IF(COUNTIF(Roster[Name],IF(RIGHT(IF(LEFT(TRIM(A1413),1)="[",TRIM(MID(TRIM(A1413),FIND("]",TRIM(A1413)&amp;"]")+1,200)),TRIM(A1413)),1)=")",TRIM(LEFT(IF(LEFT(TRIM(A1413),1)="[",TRIM(MID(TRIM(A1413),FIND("]",TRIM(A1413)&amp;"]")+1,200)),TRIM(A1413)),FIND("(",IF(LEFT(TRIM(A1413),1)="[",TRIM(MID(TRIM(A1413),FIND("]",TRIM(A1413)&amp;"]")+1,200)),TRIM(A1413))&amp;"(")-1)),IF(LEFT(TRIM(A1413),1)="[",TRIM(MID(TRIM(A1413),FIND("]",TRIM(A1413)&amp;"]")+1,200)),TRIM(A1413))))&gt;0,IF(RIGHT(IF(LEFT(TRIM(A1413),1)="[",TRIM(MID(TRIM(A1413),FIND("]",TRIM(A1413)&amp;"]")+1,200)),TRIM(A1413)),1)=")",TRIM(LEFT(IF(LEFT(TRIM(A1413),1)="[",TRIM(MID(TRIM(A1413),FIND("]",TRIM(A1413)&amp;"]")+1,200)),TRIM(A1413)),FIND("(",IF(LEFT(TRIM(A1413),1)="[",TRIM(MID(TRIM(A1413),FIND("]",TRIM(A1413)&amp;"]")+1,200)),TRIM(A1413))&amp;"(")-1)),IF(LEFT(TRIM(A1413),1)="[",TRIM(MID(TRIM(A1413),FIND("]",TRIM(A1413)&amp;"]")+1,200)),TRIM(A1413))),""))</f>
      </c>
      <c r="C1413" s="17">
        <f>IF(B1413&lt;&gt;"",B1413,C1412)</f>
      </c>
      <c r="D1413" s="17">
        <f>IF(A1413="","",IF(OR(LEFT(UPPER(TRIM(A1413)),2)="Y:",LEFT(UPPER(TRIM(A1413)),10)="YESTERDAY:"),"Y",IF(OR(LEFT(UPPER(TRIM(A1413)),2)="T:",LEFT(UPPER(TRIM(A1413)),6)="TODAY:"),"T",IF(OR(LEFT(UPPER(TRIM(A1413)),2)="B:",LEFT(UPPER(TRIM(A1413)),8)="BLOCKER:",LEFT(UPPER(TRIM(A1413)),9)="BLOCKERS:",LEFT(UPPER(TRIM(A1413)),8)="BLOCKED:"),"B",""))))</f>
      </c>
      <c r="E1413" s="17">
        <f>IF(D1413="","",TRIM(MID(A1413,FIND(":",A1413)+1,500)))</f>
      </c>
    </row>
    <row r="1414">
      <c r="B1414" s="17">
        <f>IF(A1414="","",IF(COUNTIF(Roster[Name],IF(RIGHT(IF(LEFT(TRIM(A1414),1)="[",TRIM(MID(TRIM(A1414),FIND("]",TRIM(A1414)&amp;"]")+1,200)),TRIM(A1414)),1)=")",TRIM(LEFT(IF(LEFT(TRIM(A1414),1)="[",TRIM(MID(TRIM(A1414),FIND("]",TRIM(A1414)&amp;"]")+1,200)),TRIM(A1414)),FIND("(",IF(LEFT(TRIM(A1414),1)="[",TRIM(MID(TRIM(A1414),FIND("]",TRIM(A1414)&amp;"]")+1,200)),TRIM(A1414))&amp;"(")-1)),IF(LEFT(TRIM(A1414),1)="[",TRIM(MID(TRIM(A1414),FIND("]",TRIM(A1414)&amp;"]")+1,200)),TRIM(A1414))))&gt;0,IF(RIGHT(IF(LEFT(TRIM(A1414),1)="[",TRIM(MID(TRIM(A1414),FIND("]",TRIM(A1414)&amp;"]")+1,200)),TRIM(A1414)),1)=")",TRIM(LEFT(IF(LEFT(TRIM(A1414),1)="[",TRIM(MID(TRIM(A1414),FIND("]",TRIM(A1414)&amp;"]")+1,200)),TRIM(A1414)),FIND("(",IF(LEFT(TRIM(A1414),1)="[",TRIM(MID(TRIM(A1414),FIND("]",TRIM(A1414)&amp;"]")+1,200)),TRIM(A1414))&amp;"(")-1)),IF(LEFT(TRIM(A1414),1)="[",TRIM(MID(TRIM(A1414),FIND("]",TRIM(A1414)&amp;"]")+1,200)),TRIM(A1414))),""))</f>
      </c>
      <c r="C1414" s="17">
        <f>IF(B1414&lt;&gt;"",B1414,C1413)</f>
      </c>
      <c r="D1414" s="17">
        <f>IF(A1414="","",IF(OR(LEFT(UPPER(TRIM(A1414)),2)="Y:",LEFT(UPPER(TRIM(A1414)),10)="YESTERDAY:"),"Y",IF(OR(LEFT(UPPER(TRIM(A1414)),2)="T:",LEFT(UPPER(TRIM(A1414)),6)="TODAY:"),"T",IF(OR(LEFT(UPPER(TRIM(A1414)),2)="B:",LEFT(UPPER(TRIM(A1414)),8)="BLOCKER:",LEFT(UPPER(TRIM(A1414)),9)="BLOCKERS:",LEFT(UPPER(TRIM(A1414)),8)="BLOCKED:"),"B",""))))</f>
      </c>
      <c r="E1414" s="17">
        <f>IF(D1414="","",TRIM(MID(A1414,FIND(":",A1414)+1,500)))</f>
      </c>
    </row>
    <row r="1415">
      <c r="B1415" s="17">
        <f>IF(A1415="","",IF(COUNTIF(Roster[Name],IF(RIGHT(IF(LEFT(TRIM(A1415),1)="[",TRIM(MID(TRIM(A1415),FIND("]",TRIM(A1415)&amp;"]")+1,200)),TRIM(A1415)),1)=")",TRIM(LEFT(IF(LEFT(TRIM(A1415),1)="[",TRIM(MID(TRIM(A1415),FIND("]",TRIM(A1415)&amp;"]")+1,200)),TRIM(A1415)),FIND("(",IF(LEFT(TRIM(A1415),1)="[",TRIM(MID(TRIM(A1415),FIND("]",TRIM(A1415)&amp;"]")+1,200)),TRIM(A1415))&amp;"(")-1)),IF(LEFT(TRIM(A1415),1)="[",TRIM(MID(TRIM(A1415),FIND("]",TRIM(A1415)&amp;"]")+1,200)),TRIM(A1415))))&gt;0,IF(RIGHT(IF(LEFT(TRIM(A1415),1)="[",TRIM(MID(TRIM(A1415),FIND("]",TRIM(A1415)&amp;"]")+1,200)),TRIM(A1415)),1)=")",TRIM(LEFT(IF(LEFT(TRIM(A1415),1)="[",TRIM(MID(TRIM(A1415),FIND("]",TRIM(A1415)&amp;"]")+1,200)),TRIM(A1415)),FIND("(",IF(LEFT(TRIM(A1415),1)="[",TRIM(MID(TRIM(A1415),FIND("]",TRIM(A1415)&amp;"]")+1,200)),TRIM(A1415))&amp;"(")-1)),IF(LEFT(TRIM(A1415),1)="[",TRIM(MID(TRIM(A1415),FIND("]",TRIM(A1415)&amp;"]")+1,200)),TRIM(A1415))),""))</f>
      </c>
      <c r="C1415" s="17">
        <f>IF(B1415&lt;&gt;"",B1415,C1414)</f>
      </c>
      <c r="D1415" s="17">
        <f>IF(A1415="","",IF(OR(LEFT(UPPER(TRIM(A1415)),2)="Y:",LEFT(UPPER(TRIM(A1415)),10)="YESTERDAY:"),"Y",IF(OR(LEFT(UPPER(TRIM(A1415)),2)="T:",LEFT(UPPER(TRIM(A1415)),6)="TODAY:"),"T",IF(OR(LEFT(UPPER(TRIM(A1415)),2)="B:",LEFT(UPPER(TRIM(A1415)),8)="BLOCKER:",LEFT(UPPER(TRIM(A1415)),9)="BLOCKERS:",LEFT(UPPER(TRIM(A1415)),8)="BLOCKED:"),"B",""))))</f>
      </c>
      <c r="E1415" s="17">
        <f>IF(D1415="","",TRIM(MID(A1415,FIND(":",A1415)+1,500)))</f>
      </c>
    </row>
    <row r="1416">
      <c r="B1416" s="17">
        <f>IF(A1416="","",IF(COUNTIF(Roster[Name],IF(RIGHT(IF(LEFT(TRIM(A1416),1)="[",TRIM(MID(TRIM(A1416),FIND("]",TRIM(A1416)&amp;"]")+1,200)),TRIM(A1416)),1)=")",TRIM(LEFT(IF(LEFT(TRIM(A1416),1)="[",TRIM(MID(TRIM(A1416),FIND("]",TRIM(A1416)&amp;"]")+1,200)),TRIM(A1416)),FIND("(",IF(LEFT(TRIM(A1416),1)="[",TRIM(MID(TRIM(A1416),FIND("]",TRIM(A1416)&amp;"]")+1,200)),TRIM(A1416))&amp;"(")-1)),IF(LEFT(TRIM(A1416),1)="[",TRIM(MID(TRIM(A1416),FIND("]",TRIM(A1416)&amp;"]")+1,200)),TRIM(A1416))))&gt;0,IF(RIGHT(IF(LEFT(TRIM(A1416),1)="[",TRIM(MID(TRIM(A1416),FIND("]",TRIM(A1416)&amp;"]")+1,200)),TRIM(A1416)),1)=")",TRIM(LEFT(IF(LEFT(TRIM(A1416),1)="[",TRIM(MID(TRIM(A1416),FIND("]",TRIM(A1416)&amp;"]")+1,200)),TRIM(A1416)),FIND("(",IF(LEFT(TRIM(A1416),1)="[",TRIM(MID(TRIM(A1416),FIND("]",TRIM(A1416)&amp;"]")+1,200)),TRIM(A1416))&amp;"(")-1)),IF(LEFT(TRIM(A1416),1)="[",TRIM(MID(TRIM(A1416),FIND("]",TRIM(A1416)&amp;"]")+1,200)),TRIM(A1416))),""))</f>
      </c>
      <c r="C1416" s="17">
        <f>IF(B1416&lt;&gt;"",B1416,C1415)</f>
      </c>
      <c r="D1416" s="17">
        <f>IF(A1416="","",IF(OR(LEFT(UPPER(TRIM(A1416)),2)="Y:",LEFT(UPPER(TRIM(A1416)),10)="YESTERDAY:"),"Y",IF(OR(LEFT(UPPER(TRIM(A1416)),2)="T:",LEFT(UPPER(TRIM(A1416)),6)="TODAY:"),"T",IF(OR(LEFT(UPPER(TRIM(A1416)),2)="B:",LEFT(UPPER(TRIM(A1416)),8)="BLOCKER:",LEFT(UPPER(TRIM(A1416)),9)="BLOCKERS:",LEFT(UPPER(TRIM(A1416)),8)="BLOCKED:"),"B",""))))</f>
      </c>
      <c r="E1416" s="17">
        <f>IF(D1416="","",TRIM(MID(A1416,FIND(":",A1416)+1,500)))</f>
      </c>
    </row>
    <row r="1417">
      <c r="B1417" s="17">
        <f>IF(A1417="","",IF(COUNTIF(Roster[Name],IF(RIGHT(IF(LEFT(TRIM(A1417),1)="[",TRIM(MID(TRIM(A1417),FIND("]",TRIM(A1417)&amp;"]")+1,200)),TRIM(A1417)),1)=")",TRIM(LEFT(IF(LEFT(TRIM(A1417),1)="[",TRIM(MID(TRIM(A1417),FIND("]",TRIM(A1417)&amp;"]")+1,200)),TRIM(A1417)),FIND("(",IF(LEFT(TRIM(A1417),1)="[",TRIM(MID(TRIM(A1417),FIND("]",TRIM(A1417)&amp;"]")+1,200)),TRIM(A1417))&amp;"(")-1)),IF(LEFT(TRIM(A1417),1)="[",TRIM(MID(TRIM(A1417),FIND("]",TRIM(A1417)&amp;"]")+1,200)),TRIM(A1417))))&gt;0,IF(RIGHT(IF(LEFT(TRIM(A1417),1)="[",TRIM(MID(TRIM(A1417),FIND("]",TRIM(A1417)&amp;"]")+1,200)),TRIM(A1417)),1)=")",TRIM(LEFT(IF(LEFT(TRIM(A1417),1)="[",TRIM(MID(TRIM(A1417),FIND("]",TRIM(A1417)&amp;"]")+1,200)),TRIM(A1417)),FIND("(",IF(LEFT(TRIM(A1417),1)="[",TRIM(MID(TRIM(A1417),FIND("]",TRIM(A1417)&amp;"]")+1,200)),TRIM(A1417))&amp;"(")-1)),IF(LEFT(TRIM(A1417),1)="[",TRIM(MID(TRIM(A1417),FIND("]",TRIM(A1417)&amp;"]")+1,200)),TRIM(A1417))),""))</f>
      </c>
      <c r="C1417" s="17">
        <f>IF(B1417&lt;&gt;"",B1417,C1416)</f>
      </c>
      <c r="D1417" s="17">
        <f>IF(A1417="","",IF(OR(LEFT(UPPER(TRIM(A1417)),2)="Y:",LEFT(UPPER(TRIM(A1417)),10)="YESTERDAY:"),"Y",IF(OR(LEFT(UPPER(TRIM(A1417)),2)="T:",LEFT(UPPER(TRIM(A1417)),6)="TODAY:"),"T",IF(OR(LEFT(UPPER(TRIM(A1417)),2)="B:",LEFT(UPPER(TRIM(A1417)),8)="BLOCKER:",LEFT(UPPER(TRIM(A1417)),9)="BLOCKERS:",LEFT(UPPER(TRIM(A1417)),8)="BLOCKED:"),"B",""))))</f>
      </c>
      <c r="E1417" s="17">
        <f>IF(D1417="","",TRIM(MID(A1417,FIND(":",A1417)+1,500)))</f>
      </c>
    </row>
    <row r="1418">
      <c r="B1418" s="17">
        <f>IF(A1418="","",IF(COUNTIF(Roster[Name],IF(RIGHT(IF(LEFT(TRIM(A1418),1)="[",TRIM(MID(TRIM(A1418),FIND("]",TRIM(A1418)&amp;"]")+1,200)),TRIM(A1418)),1)=")",TRIM(LEFT(IF(LEFT(TRIM(A1418),1)="[",TRIM(MID(TRIM(A1418),FIND("]",TRIM(A1418)&amp;"]")+1,200)),TRIM(A1418)),FIND("(",IF(LEFT(TRIM(A1418),1)="[",TRIM(MID(TRIM(A1418),FIND("]",TRIM(A1418)&amp;"]")+1,200)),TRIM(A1418))&amp;"(")-1)),IF(LEFT(TRIM(A1418),1)="[",TRIM(MID(TRIM(A1418),FIND("]",TRIM(A1418)&amp;"]")+1,200)),TRIM(A1418))))&gt;0,IF(RIGHT(IF(LEFT(TRIM(A1418),1)="[",TRIM(MID(TRIM(A1418),FIND("]",TRIM(A1418)&amp;"]")+1,200)),TRIM(A1418)),1)=")",TRIM(LEFT(IF(LEFT(TRIM(A1418),1)="[",TRIM(MID(TRIM(A1418),FIND("]",TRIM(A1418)&amp;"]")+1,200)),TRIM(A1418)),FIND("(",IF(LEFT(TRIM(A1418),1)="[",TRIM(MID(TRIM(A1418),FIND("]",TRIM(A1418)&amp;"]")+1,200)),TRIM(A1418))&amp;"(")-1)),IF(LEFT(TRIM(A1418),1)="[",TRIM(MID(TRIM(A1418),FIND("]",TRIM(A1418)&amp;"]")+1,200)),TRIM(A1418))),""))</f>
      </c>
      <c r="C1418" s="17">
        <f>IF(B1418&lt;&gt;"",B1418,C1417)</f>
      </c>
      <c r="D1418" s="17">
        <f>IF(A1418="","",IF(OR(LEFT(UPPER(TRIM(A1418)),2)="Y:",LEFT(UPPER(TRIM(A1418)),10)="YESTERDAY:"),"Y",IF(OR(LEFT(UPPER(TRIM(A1418)),2)="T:",LEFT(UPPER(TRIM(A1418)),6)="TODAY:"),"T",IF(OR(LEFT(UPPER(TRIM(A1418)),2)="B:",LEFT(UPPER(TRIM(A1418)),8)="BLOCKER:",LEFT(UPPER(TRIM(A1418)),9)="BLOCKERS:",LEFT(UPPER(TRIM(A1418)),8)="BLOCKED:"),"B",""))))</f>
      </c>
      <c r="E1418" s="17">
        <f>IF(D1418="","",TRIM(MID(A1418,FIND(":",A1418)+1,500)))</f>
      </c>
    </row>
    <row r="1419">
      <c r="B1419" s="17">
        <f>IF(A1419="","",IF(COUNTIF(Roster[Name],IF(RIGHT(IF(LEFT(TRIM(A1419),1)="[",TRIM(MID(TRIM(A1419),FIND("]",TRIM(A1419)&amp;"]")+1,200)),TRIM(A1419)),1)=")",TRIM(LEFT(IF(LEFT(TRIM(A1419),1)="[",TRIM(MID(TRIM(A1419),FIND("]",TRIM(A1419)&amp;"]")+1,200)),TRIM(A1419)),FIND("(",IF(LEFT(TRIM(A1419),1)="[",TRIM(MID(TRIM(A1419),FIND("]",TRIM(A1419)&amp;"]")+1,200)),TRIM(A1419))&amp;"(")-1)),IF(LEFT(TRIM(A1419),1)="[",TRIM(MID(TRIM(A1419),FIND("]",TRIM(A1419)&amp;"]")+1,200)),TRIM(A1419))))&gt;0,IF(RIGHT(IF(LEFT(TRIM(A1419),1)="[",TRIM(MID(TRIM(A1419),FIND("]",TRIM(A1419)&amp;"]")+1,200)),TRIM(A1419)),1)=")",TRIM(LEFT(IF(LEFT(TRIM(A1419),1)="[",TRIM(MID(TRIM(A1419),FIND("]",TRIM(A1419)&amp;"]")+1,200)),TRIM(A1419)),FIND("(",IF(LEFT(TRIM(A1419),1)="[",TRIM(MID(TRIM(A1419),FIND("]",TRIM(A1419)&amp;"]")+1,200)),TRIM(A1419))&amp;"(")-1)),IF(LEFT(TRIM(A1419),1)="[",TRIM(MID(TRIM(A1419),FIND("]",TRIM(A1419)&amp;"]")+1,200)),TRIM(A1419))),""))</f>
      </c>
      <c r="C1419" s="17">
        <f>IF(B1419&lt;&gt;"",B1419,C1418)</f>
      </c>
      <c r="D1419" s="17">
        <f>IF(A1419="","",IF(OR(LEFT(UPPER(TRIM(A1419)),2)="Y:",LEFT(UPPER(TRIM(A1419)),10)="YESTERDAY:"),"Y",IF(OR(LEFT(UPPER(TRIM(A1419)),2)="T:",LEFT(UPPER(TRIM(A1419)),6)="TODAY:"),"T",IF(OR(LEFT(UPPER(TRIM(A1419)),2)="B:",LEFT(UPPER(TRIM(A1419)),8)="BLOCKER:",LEFT(UPPER(TRIM(A1419)),9)="BLOCKERS:",LEFT(UPPER(TRIM(A1419)),8)="BLOCKED:"),"B",""))))</f>
      </c>
      <c r="E1419" s="17">
        <f>IF(D1419="","",TRIM(MID(A1419,FIND(":",A1419)+1,500)))</f>
      </c>
    </row>
    <row r="1420">
      <c r="B1420" s="17">
        <f>IF(A1420="","",IF(COUNTIF(Roster[Name],IF(RIGHT(IF(LEFT(TRIM(A1420),1)="[",TRIM(MID(TRIM(A1420),FIND("]",TRIM(A1420)&amp;"]")+1,200)),TRIM(A1420)),1)=")",TRIM(LEFT(IF(LEFT(TRIM(A1420),1)="[",TRIM(MID(TRIM(A1420),FIND("]",TRIM(A1420)&amp;"]")+1,200)),TRIM(A1420)),FIND("(",IF(LEFT(TRIM(A1420),1)="[",TRIM(MID(TRIM(A1420),FIND("]",TRIM(A1420)&amp;"]")+1,200)),TRIM(A1420))&amp;"(")-1)),IF(LEFT(TRIM(A1420),1)="[",TRIM(MID(TRIM(A1420),FIND("]",TRIM(A1420)&amp;"]")+1,200)),TRIM(A1420))))&gt;0,IF(RIGHT(IF(LEFT(TRIM(A1420),1)="[",TRIM(MID(TRIM(A1420),FIND("]",TRIM(A1420)&amp;"]")+1,200)),TRIM(A1420)),1)=")",TRIM(LEFT(IF(LEFT(TRIM(A1420),1)="[",TRIM(MID(TRIM(A1420),FIND("]",TRIM(A1420)&amp;"]")+1,200)),TRIM(A1420)),FIND("(",IF(LEFT(TRIM(A1420),1)="[",TRIM(MID(TRIM(A1420),FIND("]",TRIM(A1420)&amp;"]")+1,200)),TRIM(A1420))&amp;"(")-1)),IF(LEFT(TRIM(A1420),1)="[",TRIM(MID(TRIM(A1420),FIND("]",TRIM(A1420)&amp;"]")+1,200)),TRIM(A1420))),""))</f>
      </c>
      <c r="C1420" s="17">
        <f>IF(B1420&lt;&gt;"",B1420,C1419)</f>
      </c>
      <c r="D1420" s="17">
        <f>IF(A1420="","",IF(OR(LEFT(UPPER(TRIM(A1420)),2)="Y:",LEFT(UPPER(TRIM(A1420)),10)="YESTERDAY:"),"Y",IF(OR(LEFT(UPPER(TRIM(A1420)),2)="T:",LEFT(UPPER(TRIM(A1420)),6)="TODAY:"),"T",IF(OR(LEFT(UPPER(TRIM(A1420)),2)="B:",LEFT(UPPER(TRIM(A1420)),8)="BLOCKER:",LEFT(UPPER(TRIM(A1420)),9)="BLOCKERS:",LEFT(UPPER(TRIM(A1420)),8)="BLOCKED:"),"B",""))))</f>
      </c>
      <c r="E1420" s="17">
        <f>IF(D1420="","",TRIM(MID(A1420,FIND(":",A1420)+1,500)))</f>
      </c>
    </row>
    <row r="1421">
      <c r="B1421" s="17">
        <f>IF(A1421="","",IF(COUNTIF(Roster[Name],IF(RIGHT(IF(LEFT(TRIM(A1421),1)="[",TRIM(MID(TRIM(A1421),FIND("]",TRIM(A1421)&amp;"]")+1,200)),TRIM(A1421)),1)=")",TRIM(LEFT(IF(LEFT(TRIM(A1421),1)="[",TRIM(MID(TRIM(A1421),FIND("]",TRIM(A1421)&amp;"]")+1,200)),TRIM(A1421)),FIND("(",IF(LEFT(TRIM(A1421),1)="[",TRIM(MID(TRIM(A1421),FIND("]",TRIM(A1421)&amp;"]")+1,200)),TRIM(A1421))&amp;"(")-1)),IF(LEFT(TRIM(A1421),1)="[",TRIM(MID(TRIM(A1421),FIND("]",TRIM(A1421)&amp;"]")+1,200)),TRIM(A1421))))&gt;0,IF(RIGHT(IF(LEFT(TRIM(A1421),1)="[",TRIM(MID(TRIM(A1421),FIND("]",TRIM(A1421)&amp;"]")+1,200)),TRIM(A1421)),1)=")",TRIM(LEFT(IF(LEFT(TRIM(A1421),1)="[",TRIM(MID(TRIM(A1421),FIND("]",TRIM(A1421)&amp;"]")+1,200)),TRIM(A1421)),FIND("(",IF(LEFT(TRIM(A1421),1)="[",TRIM(MID(TRIM(A1421),FIND("]",TRIM(A1421)&amp;"]")+1,200)),TRIM(A1421))&amp;"(")-1)),IF(LEFT(TRIM(A1421),1)="[",TRIM(MID(TRIM(A1421),FIND("]",TRIM(A1421)&amp;"]")+1,200)),TRIM(A1421))),""))</f>
      </c>
      <c r="C1421" s="17">
        <f>IF(B1421&lt;&gt;"",B1421,C1420)</f>
      </c>
      <c r="D1421" s="17">
        <f>IF(A1421="","",IF(OR(LEFT(UPPER(TRIM(A1421)),2)="Y:",LEFT(UPPER(TRIM(A1421)),10)="YESTERDAY:"),"Y",IF(OR(LEFT(UPPER(TRIM(A1421)),2)="T:",LEFT(UPPER(TRIM(A1421)),6)="TODAY:"),"T",IF(OR(LEFT(UPPER(TRIM(A1421)),2)="B:",LEFT(UPPER(TRIM(A1421)),8)="BLOCKER:",LEFT(UPPER(TRIM(A1421)),9)="BLOCKERS:",LEFT(UPPER(TRIM(A1421)),8)="BLOCKED:"),"B",""))))</f>
      </c>
      <c r="E1421" s="17">
        <f>IF(D1421="","",TRIM(MID(A1421,FIND(":",A1421)+1,500)))</f>
      </c>
    </row>
    <row r="1422">
      <c r="B1422" s="17">
        <f>IF(A1422="","",IF(COUNTIF(Roster[Name],IF(RIGHT(IF(LEFT(TRIM(A1422),1)="[",TRIM(MID(TRIM(A1422),FIND("]",TRIM(A1422)&amp;"]")+1,200)),TRIM(A1422)),1)=")",TRIM(LEFT(IF(LEFT(TRIM(A1422),1)="[",TRIM(MID(TRIM(A1422),FIND("]",TRIM(A1422)&amp;"]")+1,200)),TRIM(A1422)),FIND("(",IF(LEFT(TRIM(A1422),1)="[",TRIM(MID(TRIM(A1422),FIND("]",TRIM(A1422)&amp;"]")+1,200)),TRIM(A1422))&amp;"(")-1)),IF(LEFT(TRIM(A1422),1)="[",TRIM(MID(TRIM(A1422),FIND("]",TRIM(A1422)&amp;"]")+1,200)),TRIM(A1422))))&gt;0,IF(RIGHT(IF(LEFT(TRIM(A1422),1)="[",TRIM(MID(TRIM(A1422),FIND("]",TRIM(A1422)&amp;"]")+1,200)),TRIM(A1422)),1)=")",TRIM(LEFT(IF(LEFT(TRIM(A1422),1)="[",TRIM(MID(TRIM(A1422),FIND("]",TRIM(A1422)&amp;"]")+1,200)),TRIM(A1422)),FIND("(",IF(LEFT(TRIM(A1422),1)="[",TRIM(MID(TRIM(A1422),FIND("]",TRIM(A1422)&amp;"]")+1,200)),TRIM(A1422))&amp;"(")-1)),IF(LEFT(TRIM(A1422),1)="[",TRIM(MID(TRIM(A1422),FIND("]",TRIM(A1422)&amp;"]")+1,200)),TRIM(A1422))),""))</f>
      </c>
      <c r="C1422" s="17">
        <f>IF(B1422&lt;&gt;"",B1422,C1421)</f>
      </c>
      <c r="D1422" s="17">
        <f>IF(A1422="","",IF(OR(LEFT(UPPER(TRIM(A1422)),2)="Y:",LEFT(UPPER(TRIM(A1422)),10)="YESTERDAY:"),"Y",IF(OR(LEFT(UPPER(TRIM(A1422)),2)="T:",LEFT(UPPER(TRIM(A1422)),6)="TODAY:"),"T",IF(OR(LEFT(UPPER(TRIM(A1422)),2)="B:",LEFT(UPPER(TRIM(A1422)),8)="BLOCKER:",LEFT(UPPER(TRIM(A1422)),9)="BLOCKERS:",LEFT(UPPER(TRIM(A1422)),8)="BLOCKED:"),"B",""))))</f>
      </c>
      <c r="E1422" s="17">
        <f>IF(D1422="","",TRIM(MID(A1422,FIND(":",A1422)+1,500)))</f>
      </c>
    </row>
    <row r="1423">
      <c r="B1423" s="17">
        <f>IF(A1423="","",IF(COUNTIF(Roster[Name],IF(RIGHT(IF(LEFT(TRIM(A1423),1)="[",TRIM(MID(TRIM(A1423),FIND("]",TRIM(A1423)&amp;"]")+1,200)),TRIM(A1423)),1)=")",TRIM(LEFT(IF(LEFT(TRIM(A1423),1)="[",TRIM(MID(TRIM(A1423),FIND("]",TRIM(A1423)&amp;"]")+1,200)),TRIM(A1423)),FIND("(",IF(LEFT(TRIM(A1423),1)="[",TRIM(MID(TRIM(A1423),FIND("]",TRIM(A1423)&amp;"]")+1,200)),TRIM(A1423))&amp;"(")-1)),IF(LEFT(TRIM(A1423),1)="[",TRIM(MID(TRIM(A1423),FIND("]",TRIM(A1423)&amp;"]")+1,200)),TRIM(A1423))))&gt;0,IF(RIGHT(IF(LEFT(TRIM(A1423),1)="[",TRIM(MID(TRIM(A1423),FIND("]",TRIM(A1423)&amp;"]")+1,200)),TRIM(A1423)),1)=")",TRIM(LEFT(IF(LEFT(TRIM(A1423),1)="[",TRIM(MID(TRIM(A1423),FIND("]",TRIM(A1423)&amp;"]")+1,200)),TRIM(A1423)),FIND("(",IF(LEFT(TRIM(A1423),1)="[",TRIM(MID(TRIM(A1423),FIND("]",TRIM(A1423)&amp;"]")+1,200)),TRIM(A1423))&amp;"(")-1)),IF(LEFT(TRIM(A1423),1)="[",TRIM(MID(TRIM(A1423),FIND("]",TRIM(A1423)&amp;"]")+1,200)),TRIM(A1423))),""))</f>
      </c>
      <c r="C1423" s="17">
        <f>IF(B1423&lt;&gt;"",B1423,C1422)</f>
      </c>
      <c r="D1423" s="17">
        <f>IF(A1423="","",IF(OR(LEFT(UPPER(TRIM(A1423)),2)="Y:",LEFT(UPPER(TRIM(A1423)),10)="YESTERDAY:"),"Y",IF(OR(LEFT(UPPER(TRIM(A1423)),2)="T:",LEFT(UPPER(TRIM(A1423)),6)="TODAY:"),"T",IF(OR(LEFT(UPPER(TRIM(A1423)),2)="B:",LEFT(UPPER(TRIM(A1423)),8)="BLOCKER:",LEFT(UPPER(TRIM(A1423)),9)="BLOCKERS:",LEFT(UPPER(TRIM(A1423)),8)="BLOCKED:"),"B",""))))</f>
      </c>
      <c r="E1423" s="17">
        <f>IF(D1423="","",TRIM(MID(A1423,FIND(":",A1423)+1,500)))</f>
      </c>
    </row>
    <row r="1424">
      <c r="B1424" s="17">
        <f>IF(A1424="","",IF(COUNTIF(Roster[Name],IF(RIGHT(IF(LEFT(TRIM(A1424),1)="[",TRIM(MID(TRIM(A1424),FIND("]",TRIM(A1424)&amp;"]")+1,200)),TRIM(A1424)),1)=")",TRIM(LEFT(IF(LEFT(TRIM(A1424),1)="[",TRIM(MID(TRIM(A1424),FIND("]",TRIM(A1424)&amp;"]")+1,200)),TRIM(A1424)),FIND("(",IF(LEFT(TRIM(A1424),1)="[",TRIM(MID(TRIM(A1424),FIND("]",TRIM(A1424)&amp;"]")+1,200)),TRIM(A1424))&amp;"(")-1)),IF(LEFT(TRIM(A1424),1)="[",TRIM(MID(TRIM(A1424),FIND("]",TRIM(A1424)&amp;"]")+1,200)),TRIM(A1424))))&gt;0,IF(RIGHT(IF(LEFT(TRIM(A1424),1)="[",TRIM(MID(TRIM(A1424),FIND("]",TRIM(A1424)&amp;"]")+1,200)),TRIM(A1424)),1)=")",TRIM(LEFT(IF(LEFT(TRIM(A1424),1)="[",TRIM(MID(TRIM(A1424),FIND("]",TRIM(A1424)&amp;"]")+1,200)),TRIM(A1424)),FIND("(",IF(LEFT(TRIM(A1424),1)="[",TRIM(MID(TRIM(A1424),FIND("]",TRIM(A1424)&amp;"]")+1,200)),TRIM(A1424))&amp;"(")-1)),IF(LEFT(TRIM(A1424),1)="[",TRIM(MID(TRIM(A1424),FIND("]",TRIM(A1424)&amp;"]")+1,200)),TRIM(A1424))),""))</f>
      </c>
      <c r="C1424" s="17">
        <f>IF(B1424&lt;&gt;"",B1424,C1423)</f>
      </c>
      <c r="D1424" s="17">
        <f>IF(A1424="","",IF(OR(LEFT(UPPER(TRIM(A1424)),2)="Y:",LEFT(UPPER(TRIM(A1424)),10)="YESTERDAY:"),"Y",IF(OR(LEFT(UPPER(TRIM(A1424)),2)="T:",LEFT(UPPER(TRIM(A1424)),6)="TODAY:"),"T",IF(OR(LEFT(UPPER(TRIM(A1424)),2)="B:",LEFT(UPPER(TRIM(A1424)),8)="BLOCKER:",LEFT(UPPER(TRIM(A1424)),9)="BLOCKERS:",LEFT(UPPER(TRIM(A1424)),8)="BLOCKED:"),"B",""))))</f>
      </c>
      <c r="E1424" s="17">
        <f>IF(D1424="","",TRIM(MID(A1424,FIND(":",A1424)+1,500)))</f>
      </c>
    </row>
    <row r="1425">
      <c r="B1425" s="17">
        <f>IF(A1425="","",IF(COUNTIF(Roster[Name],IF(RIGHT(IF(LEFT(TRIM(A1425),1)="[",TRIM(MID(TRIM(A1425),FIND("]",TRIM(A1425)&amp;"]")+1,200)),TRIM(A1425)),1)=")",TRIM(LEFT(IF(LEFT(TRIM(A1425),1)="[",TRIM(MID(TRIM(A1425),FIND("]",TRIM(A1425)&amp;"]")+1,200)),TRIM(A1425)),FIND("(",IF(LEFT(TRIM(A1425),1)="[",TRIM(MID(TRIM(A1425),FIND("]",TRIM(A1425)&amp;"]")+1,200)),TRIM(A1425))&amp;"(")-1)),IF(LEFT(TRIM(A1425),1)="[",TRIM(MID(TRIM(A1425),FIND("]",TRIM(A1425)&amp;"]")+1,200)),TRIM(A1425))))&gt;0,IF(RIGHT(IF(LEFT(TRIM(A1425),1)="[",TRIM(MID(TRIM(A1425),FIND("]",TRIM(A1425)&amp;"]")+1,200)),TRIM(A1425)),1)=")",TRIM(LEFT(IF(LEFT(TRIM(A1425),1)="[",TRIM(MID(TRIM(A1425),FIND("]",TRIM(A1425)&amp;"]")+1,200)),TRIM(A1425)),FIND("(",IF(LEFT(TRIM(A1425),1)="[",TRIM(MID(TRIM(A1425),FIND("]",TRIM(A1425)&amp;"]")+1,200)),TRIM(A1425))&amp;"(")-1)),IF(LEFT(TRIM(A1425),1)="[",TRIM(MID(TRIM(A1425),FIND("]",TRIM(A1425)&amp;"]")+1,200)),TRIM(A1425))),""))</f>
      </c>
      <c r="C1425" s="17">
        <f>IF(B1425&lt;&gt;"",B1425,C1424)</f>
      </c>
      <c r="D1425" s="17">
        <f>IF(A1425="","",IF(OR(LEFT(UPPER(TRIM(A1425)),2)="Y:",LEFT(UPPER(TRIM(A1425)),10)="YESTERDAY:"),"Y",IF(OR(LEFT(UPPER(TRIM(A1425)),2)="T:",LEFT(UPPER(TRIM(A1425)),6)="TODAY:"),"T",IF(OR(LEFT(UPPER(TRIM(A1425)),2)="B:",LEFT(UPPER(TRIM(A1425)),8)="BLOCKER:",LEFT(UPPER(TRIM(A1425)),9)="BLOCKERS:",LEFT(UPPER(TRIM(A1425)),8)="BLOCKED:"),"B",""))))</f>
      </c>
      <c r="E1425" s="17">
        <f>IF(D1425="","",TRIM(MID(A1425,FIND(":",A1425)+1,500)))</f>
      </c>
    </row>
    <row r="1426">
      <c r="B1426" s="17">
        <f>IF(A1426="","",IF(COUNTIF(Roster[Name],IF(RIGHT(IF(LEFT(TRIM(A1426),1)="[",TRIM(MID(TRIM(A1426),FIND("]",TRIM(A1426)&amp;"]")+1,200)),TRIM(A1426)),1)=")",TRIM(LEFT(IF(LEFT(TRIM(A1426),1)="[",TRIM(MID(TRIM(A1426),FIND("]",TRIM(A1426)&amp;"]")+1,200)),TRIM(A1426)),FIND("(",IF(LEFT(TRIM(A1426),1)="[",TRIM(MID(TRIM(A1426),FIND("]",TRIM(A1426)&amp;"]")+1,200)),TRIM(A1426))&amp;"(")-1)),IF(LEFT(TRIM(A1426),1)="[",TRIM(MID(TRIM(A1426),FIND("]",TRIM(A1426)&amp;"]")+1,200)),TRIM(A1426))))&gt;0,IF(RIGHT(IF(LEFT(TRIM(A1426),1)="[",TRIM(MID(TRIM(A1426),FIND("]",TRIM(A1426)&amp;"]")+1,200)),TRIM(A1426)),1)=")",TRIM(LEFT(IF(LEFT(TRIM(A1426),1)="[",TRIM(MID(TRIM(A1426),FIND("]",TRIM(A1426)&amp;"]")+1,200)),TRIM(A1426)),FIND("(",IF(LEFT(TRIM(A1426),1)="[",TRIM(MID(TRIM(A1426),FIND("]",TRIM(A1426)&amp;"]")+1,200)),TRIM(A1426))&amp;"(")-1)),IF(LEFT(TRIM(A1426),1)="[",TRIM(MID(TRIM(A1426),FIND("]",TRIM(A1426)&amp;"]")+1,200)),TRIM(A1426))),""))</f>
      </c>
      <c r="C1426" s="17">
        <f>IF(B1426&lt;&gt;"",B1426,C1425)</f>
      </c>
      <c r="D1426" s="17">
        <f>IF(A1426="","",IF(OR(LEFT(UPPER(TRIM(A1426)),2)="Y:",LEFT(UPPER(TRIM(A1426)),10)="YESTERDAY:"),"Y",IF(OR(LEFT(UPPER(TRIM(A1426)),2)="T:",LEFT(UPPER(TRIM(A1426)),6)="TODAY:"),"T",IF(OR(LEFT(UPPER(TRIM(A1426)),2)="B:",LEFT(UPPER(TRIM(A1426)),8)="BLOCKER:",LEFT(UPPER(TRIM(A1426)),9)="BLOCKERS:",LEFT(UPPER(TRIM(A1426)),8)="BLOCKED:"),"B",""))))</f>
      </c>
      <c r="E1426" s="17">
        <f>IF(D1426="","",TRIM(MID(A1426,FIND(":",A1426)+1,500)))</f>
      </c>
    </row>
    <row r="1427">
      <c r="B1427" s="17">
        <f>IF(A1427="","",IF(COUNTIF(Roster[Name],IF(RIGHT(IF(LEFT(TRIM(A1427),1)="[",TRIM(MID(TRIM(A1427),FIND("]",TRIM(A1427)&amp;"]")+1,200)),TRIM(A1427)),1)=")",TRIM(LEFT(IF(LEFT(TRIM(A1427),1)="[",TRIM(MID(TRIM(A1427),FIND("]",TRIM(A1427)&amp;"]")+1,200)),TRIM(A1427)),FIND("(",IF(LEFT(TRIM(A1427),1)="[",TRIM(MID(TRIM(A1427),FIND("]",TRIM(A1427)&amp;"]")+1,200)),TRIM(A1427))&amp;"(")-1)),IF(LEFT(TRIM(A1427),1)="[",TRIM(MID(TRIM(A1427),FIND("]",TRIM(A1427)&amp;"]")+1,200)),TRIM(A1427))))&gt;0,IF(RIGHT(IF(LEFT(TRIM(A1427),1)="[",TRIM(MID(TRIM(A1427),FIND("]",TRIM(A1427)&amp;"]")+1,200)),TRIM(A1427)),1)=")",TRIM(LEFT(IF(LEFT(TRIM(A1427),1)="[",TRIM(MID(TRIM(A1427),FIND("]",TRIM(A1427)&amp;"]")+1,200)),TRIM(A1427)),FIND("(",IF(LEFT(TRIM(A1427),1)="[",TRIM(MID(TRIM(A1427),FIND("]",TRIM(A1427)&amp;"]")+1,200)),TRIM(A1427))&amp;"(")-1)),IF(LEFT(TRIM(A1427),1)="[",TRIM(MID(TRIM(A1427),FIND("]",TRIM(A1427)&amp;"]")+1,200)),TRIM(A1427))),""))</f>
      </c>
      <c r="C1427" s="17">
        <f>IF(B1427&lt;&gt;"",B1427,C1426)</f>
      </c>
      <c r="D1427" s="17">
        <f>IF(A1427="","",IF(OR(LEFT(UPPER(TRIM(A1427)),2)="Y:",LEFT(UPPER(TRIM(A1427)),10)="YESTERDAY:"),"Y",IF(OR(LEFT(UPPER(TRIM(A1427)),2)="T:",LEFT(UPPER(TRIM(A1427)),6)="TODAY:"),"T",IF(OR(LEFT(UPPER(TRIM(A1427)),2)="B:",LEFT(UPPER(TRIM(A1427)),8)="BLOCKER:",LEFT(UPPER(TRIM(A1427)),9)="BLOCKERS:",LEFT(UPPER(TRIM(A1427)),8)="BLOCKED:"),"B",""))))</f>
      </c>
      <c r="E1427" s="17">
        <f>IF(D1427="","",TRIM(MID(A1427,FIND(":",A1427)+1,500)))</f>
      </c>
    </row>
    <row r="1428">
      <c r="B1428" s="17">
        <f>IF(A1428="","",IF(COUNTIF(Roster[Name],IF(RIGHT(IF(LEFT(TRIM(A1428),1)="[",TRIM(MID(TRIM(A1428),FIND("]",TRIM(A1428)&amp;"]")+1,200)),TRIM(A1428)),1)=")",TRIM(LEFT(IF(LEFT(TRIM(A1428),1)="[",TRIM(MID(TRIM(A1428),FIND("]",TRIM(A1428)&amp;"]")+1,200)),TRIM(A1428)),FIND("(",IF(LEFT(TRIM(A1428),1)="[",TRIM(MID(TRIM(A1428),FIND("]",TRIM(A1428)&amp;"]")+1,200)),TRIM(A1428))&amp;"(")-1)),IF(LEFT(TRIM(A1428),1)="[",TRIM(MID(TRIM(A1428),FIND("]",TRIM(A1428)&amp;"]")+1,200)),TRIM(A1428))))&gt;0,IF(RIGHT(IF(LEFT(TRIM(A1428),1)="[",TRIM(MID(TRIM(A1428),FIND("]",TRIM(A1428)&amp;"]")+1,200)),TRIM(A1428)),1)=")",TRIM(LEFT(IF(LEFT(TRIM(A1428),1)="[",TRIM(MID(TRIM(A1428),FIND("]",TRIM(A1428)&amp;"]")+1,200)),TRIM(A1428)),FIND("(",IF(LEFT(TRIM(A1428),1)="[",TRIM(MID(TRIM(A1428),FIND("]",TRIM(A1428)&amp;"]")+1,200)),TRIM(A1428))&amp;"(")-1)),IF(LEFT(TRIM(A1428),1)="[",TRIM(MID(TRIM(A1428),FIND("]",TRIM(A1428)&amp;"]")+1,200)),TRIM(A1428))),""))</f>
      </c>
      <c r="C1428" s="17">
        <f>IF(B1428&lt;&gt;"",B1428,C1427)</f>
      </c>
      <c r="D1428" s="17">
        <f>IF(A1428="","",IF(OR(LEFT(UPPER(TRIM(A1428)),2)="Y:",LEFT(UPPER(TRIM(A1428)),10)="YESTERDAY:"),"Y",IF(OR(LEFT(UPPER(TRIM(A1428)),2)="T:",LEFT(UPPER(TRIM(A1428)),6)="TODAY:"),"T",IF(OR(LEFT(UPPER(TRIM(A1428)),2)="B:",LEFT(UPPER(TRIM(A1428)),8)="BLOCKER:",LEFT(UPPER(TRIM(A1428)),9)="BLOCKERS:",LEFT(UPPER(TRIM(A1428)),8)="BLOCKED:"),"B",""))))</f>
      </c>
      <c r="E1428" s="17">
        <f>IF(D1428="","",TRIM(MID(A1428,FIND(":",A1428)+1,500)))</f>
      </c>
    </row>
    <row r="1429">
      <c r="B1429" s="17">
        <f>IF(A1429="","",IF(COUNTIF(Roster[Name],IF(RIGHT(IF(LEFT(TRIM(A1429),1)="[",TRIM(MID(TRIM(A1429),FIND("]",TRIM(A1429)&amp;"]")+1,200)),TRIM(A1429)),1)=")",TRIM(LEFT(IF(LEFT(TRIM(A1429),1)="[",TRIM(MID(TRIM(A1429),FIND("]",TRIM(A1429)&amp;"]")+1,200)),TRIM(A1429)),FIND("(",IF(LEFT(TRIM(A1429),1)="[",TRIM(MID(TRIM(A1429),FIND("]",TRIM(A1429)&amp;"]")+1,200)),TRIM(A1429))&amp;"(")-1)),IF(LEFT(TRIM(A1429),1)="[",TRIM(MID(TRIM(A1429),FIND("]",TRIM(A1429)&amp;"]")+1,200)),TRIM(A1429))))&gt;0,IF(RIGHT(IF(LEFT(TRIM(A1429),1)="[",TRIM(MID(TRIM(A1429),FIND("]",TRIM(A1429)&amp;"]")+1,200)),TRIM(A1429)),1)=")",TRIM(LEFT(IF(LEFT(TRIM(A1429),1)="[",TRIM(MID(TRIM(A1429),FIND("]",TRIM(A1429)&amp;"]")+1,200)),TRIM(A1429)),FIND("(",IF(LEFT(TRIM(A1429),1)="[",TRIM(MID(TRIM(A1429),FIND("]",TRIM(A1429)&amp;"]")+1,200)),TRIM(A1429))&amp;"(")-1)),IF(LEFT(TRIM(A1429),1)="[",TRIM(MID(TRIM(A1429),FIND("]",TRIM(A1429)&amp;"]")+1,200)),TRIM(A1429))),""))</f>
      </c>
      <c r="C1429" s="17">
        <f>IF(B1429&lt;&gt;"",B1429,C1428)</f>
      </c>
      <c r="D1429" s="17">
        <f>IF(A1429="","",IF(OR(LEFT(UPPER(TRIM(A1429)),2)="Y:",LEFT(UPPER(TRIM(A1429)),10)="YESTERDAY:"),"Y",IF(OR(LEFT(UPPER(TRIM(A1429)),2)="T:",LEFT(UPPER(TRIM(A1429)),6)="TODAY:"),"T",IF(OR(LEFT(UPPER(TRIM(A1429)),2)="B:",LEFT(UPPER(TRIM(A1429)),8)="BLOCKER:",LEFT(UPPER(TRIM(A1429)),9)="BLOCKERS:",LEFT(UPPER(TRIM(A1429)),8)="BLOCKED:"),"B",""))))</f>
      </c>
      <c r="E1429" s="17">
        <f>IF(D1429="","",TRIM(MID(A1429,FIND(":",A1429)+1,500)))</f>
      </c>
    </row>
    <row r="1430">
      <c r="B1430" s="17">
        <f>IF(A1430="","",IF(COUNTIF(Roster[Name],IF(RIGHT(IF(LEFT(TRIM(A1430),1)="[",TRIM(MID(TRIM(A1430),FIND("]",TRIM(A1430)&amp;"]")+1,200)),TRIM(A1430)),1)=")",TRIM(LEFT(IF(LEFT(TRIM(A1430),1)="[",TRIM(MID(TRIM(A1430),FIND("]",TRIM(A1430)&amp;"]")+1,200)),TRIM(A1430)),FIND("(",IF(LEFT(TRIM(A1430),1)="[",TRIM(MID(TRIM(A1430),FIND("]",TRIM(A1430)&amp;"]")+1,200)),TRIM(A1430))&amp;"(")-1)),IF(LEFT(TRIM(A1430),1)="[",TRIM(MID(TRIM(A1430),FIND("]",TRIM(A1430)&amp;"]")+1,200)),TRIM(A1430))))&gt;0,IF(RIGHT(IF(LEFT(TRIM(A1430),1)="[",TRIM(MID(TRIM(A1430),FIND("]",TRIM(A1430)&amp;"]")+1,200)),TRIM(A1430)),1)=")",TRIM(LEFT(IF(LEFT(TRIM(A1430),1)="[",TRIM(MID(TRIM(A1430),FIND("]",TRIM(A1430)&amp;"]")+1,200)),TRIM(A1430)),FIND("(",IF(LEFT(TRIM(A1430),1)="[",TRIM(MID(TRIM(A1430),FIND("]",TRIM(A1430)&amp;"]")+1,200)),TRIM(A1430))&amp;"(")-1)),IF(LEFT(TRIM(A1430),1)="[",TRIM(MID(TRIM(A1430),FIND("]",TRIM(A1430)&amp;"]")+1,200)),TRIM(A1430))),""))</f>
      </c>
      <c r="C1430" s="17">
        <f>IF(B1430&lt;&gt;"",B1430,C1429)</f>
      </c>
      <c r="D1430" s="17">
        <f>IF(A1430="","",IF(OR(LEFT(UPPER(TRIM(A1430)),2)="Y:",LEFT(UPPER(TRIM(A1430)),10)="YESTERDAY:"),"Y",IF(OR(LEFT(UPPER(TRIM(A1430)),2)="T:",LEFT(UPPER(TRIM(A1430)),6)="TODAY:"),"T",IF(OR(LEFT(UPPER(TRIM(A1430)),2)="B:",LEFT(UPPER(TRIM(A1430)),8)="BLOCKER:",LEFT(UPPER(TRIM(A1430)),9)="BLOCKERS:",LEFT(UPPER(TRIM(A1430)),8)="BLOCKED:"),"B",""))))</f>
      </c>
      <c r="E1430" s="17">
        <f>IF(D1430="","",TRIM(MID(A1430,FIND(":",A1430)+1,500)))</f>
      </c>
    </row>
    <row r="1431">
      <c r="B1431" s="17">
        <f>IF(A1431="","",IF(COUNTIF(Roster[Name],IF(RIGHT(IF(LEFT(TRIM(A1431),1)="[",TRIM(MID(TRIM(A1431),FIND("]",TRIM(A1431)&amp;"]")+1,200)),TRIM(A1431)),1)=")",TRIM(LEFT(IF(LEFT(TRIM(A1431),1)="[",TRIM(MID(TRIM(A1431),FIND("]",TRIM(A1431)&amp;"]")+1,200)),TRIM(A1431)),FIND("(",IF(LEFT(TRIM(A1431),1)="[",TRIM(MID(TRIM(A1431),FIND("]",TRIM(A1431)&amp;"]")+1,200)),TRIM(A1431))&amp;"(")-1)),IF(LEFT(TRIM(A1431),1)="[",TRIM(MID(TRIM(A1431),FIND("]",TRIM(A1431)&amp;"]")+1,200)),TRIM(A1431))))&gt;0,IF(RIGHT(IF(LEFT(TRIM(A1431),1)="[",TRIM(MID(TRIM(A1431),FIND("]",TRIM(A1431)&amp;"]")+1,200)),TRIM(A1431)),1)=")",TRIM(LEFT(IF(LEFT(TRIM(A1431),1)="[",TRIM(MID(TRIM(A1431),FIND("]",TRIM(A1431)&amp;"]")+1,200)),TRIM(A1431)),FIND("(",IF(LEFT(TRIM(A1431),1)="[",TRIM(MID(TRIM(A1431),FIND("]",TRIM(A1431)&amp;"]")+1,200)),TRIM(A1431))&amp;"(")-1)),IF(LEFT(TRIM(A1431),1)="[",TRIM(MID(TRIM(A1431),FIND("]",TRIM(A1431)&amp;"]")+1,200)),TRIM(A1431))),""))</f>
      </c>
      <c r="C1431" s="17">
        <f>IF(B1431&lt;&gt;"",B1431,C1430)</f>
      </c>
      <c r="D1431" s="17">
        <f>IF(A1431="","",IF(OR(LEFT(UPPER(TRIM(A1431)),2)="Y:",LEFT(UPPER(TRIM(A1431)),10)="YESTERDAY:"),"Y",IF(OR(LEFT(UPPER(TRIM(A1431)),2)="T:",LEFT(UPPER(TRIM(A1431)),6)="TODAY:"),"T",IF(OR(LEFT(UPPER(TRIM(A1431)),2)="B:",LEFT(UPPER(TRIM(A1431)),8)="BLOCKER:",LEFT(UPPER(TRIM(A1431)),9)="BLOCKERS:",LEFT(UPPER(TRIM(A1431)),8)="BLOCKED:"),"B",""))))</f>
      </c>
      <c r="E1431" s="17">
        <f>IF(D1431="","",TRIM(MID(A1431,FIND(":",A1431)+1,500)))</f>
      </c>
    </row>
    <row r="1432">
      <c r="B1432" s="17">
        <f>IF(A1432="","",IF(COUNTIF(Roster[Name],IF(RIGHT(IF(LEFT(TRIM(A1432),1)="[",TRIM(MID(TRIM(A1432),FIND("]",TRIM(A1432)&amp;"]")+1,200)),TRIM(A1432)),1)=")",TRIM(LEFT(IF(LEFT(TRIM(A1432),1)="[",TRIM(MID(TRIM(A1432),FIND("]",TRIM(A1432)&amp;"]")+1,200)),TRIM(A1432)),FIND("(",IF(LEFT(TRIM(A1432),1)="[",TRIM(MID(TRIM(A1432),FIND("]",TRIM(A1432)&amp;"]")+1,200)),TRIM(A1432))&amp;"(")-1)),IF(LEFT(TRIM(A1432),1)="[",TRIM(MID(TRIM(A1432),FIND("]",TRIM(A1432)&amp;"]")+1,200)),TRIM(A1432))))&gt;0,IF(RIGHT(IF(LEFT(TRIM(A1432),1)="[",TRIM(MID(TRIM(A1432),FIND("]",TRIM(A1432)&amp;"]")+1,200)),TRIM(A1432)),1)=")",TRIM(LEFT(IF(LEFT(TRIM(A1432),1)="[",TRIM(MID(TRIM(A1432),FIND("]",TRIM(A1432)&amp;"]")+1,200)),TRIM(A1432)),FIND("(",IF(LEFT(TRIM(A1432),1)="[",TRIM(MID(TRIM(A1432),FIND("]",TRIM(A1432)&amp;"]")+1,200)),TRIM(A1432))&amp;"(")-1)),IF(LEFT(TRIM(A1432),1)="[",TRIM(MID(TRIM(A1432),FIND("]",TRIM(A1432)&amp;"]")+1,200)),TRIM(A1432))),""))</f>
      </c>
      <c r="C1432" s="17">
        <f>IF(B1432&lt;&gt;"",B1432,C1431)</f>
      </c>
      <c r="D1432" s="17">
        <f>IF(A1432="","",IF(OR(LEFT(UPPER(TRIM(A1432)),2)="Y:",LEFT(UPPER(TRIM(A1432)),10)="YESTERDAY:"),"Y",IF(OR(LEFT(UPPER(TRIM(A1432)),2)="T:",LEFT(UPPER(TRIM(A1432)),6)="TODAY:"),"T",IF(OR(LEFT(UPPER(TRIM(A1432)),2)="B:",LEFT(UPPER(TRIM(A1432)),8)="BLOCKER:",LEFT(UPPER(TRIM(A1432)),9)="BLOCKERS:",LEFT(UPPER(TRIM(A1432)),8)="BLOCKED:"),"B",""))))</f>
      </c>
      <c r="E1432" s="17">
        <f>IF(D1432="","",TRIM(MID(A1432,FIND(":",A1432)+1,500)))</f>
      </c>
    </row>
    <row r="1433">
      <c r="B1433" s="17">
        <f>IF(A1433="","",IF(COUNTIF(Roster[Name],IF(RIGHT(IF(LEFT(TRIM(A1433),1)="[",TRIM(MID(TRIM(A1433),FIND("]",TRIM(A1433)&amp;"]")+1,200)),TRIM(A1433)),1)=")",TRIM(LEFT(IF(LEFT(TRIM(A1433),1)="[",TRIM(MID(TRIM(A1433),FIND("]",TRIM(A1433)&amp;"]")+1,200)),TRIM(A1433)),FIND("(",IF(LEFT(TRIM(A1433),1)="[",TRIM(MID(TRIM(A1433),FIND("]",TRIM(A1433)&amp;"]")+1,200)),TRIM(A1433))&amp;"(")-1)),IF(LEFT(TRIM(A1433),1)="[",TRIM(MID(TRIM(A1433),FIND("]",TRIM(A1433)&amp;"]")+1,200)),TRIM(A1433))))&gt;0,IF(RIGHT(IF(LEFT(TRIM(A1433),1)="[",TRIM(MID(TRIM(A1433),FIND("]",TRIM(A1433)&amp;"]")+1,200)),TRIM(A1433)),1)=")",TRIM(LEFT(IF(LEFT(TRIM(A1433),1)="[",TRIM(MID(TRIM(A1433),FIND("]",TRIM(A1433)&amp;"]")+1,200)),TRIM(A1433)),FIND("(",IF(LEFT(TRIM(A1433),1)="[",TRIM(MID(TRIM(A1433),FIND("]",TRIM(A1433)&amp;"]")+1,200)),TRIM(A1433))&amp;"(")-1)),IF(LEFT(TRIM(A1433),1)="[",TRIM(MID(TRIM(A1433),FIND("]",TRIM(A1433)&amp;"]")+1,200)),TRIM(A1433))),""))</f>
      </c>
      <c r="C1433" s="17">
        <f>IF(B1433&lt;&gt;"",B1433,C1432)</f>
      </c>
      <c r="D1433" s="17">
        <f>IF(A1433="","",IF(OR(LEFT(UPPER(TRIM(A1433)),2)="Y:",LEFT(UPPER(TRIM(A1433)),10)="YESTERDAY:"),"Y",IF(OR(LEFT(UPPER(TRIM(A1433)),2)="T:",LEFT(UPPER(TRIM(A1433)),6)="TODAY:"),"T",IF(OR(LEFT(UPPER(TRIM(A1433)),2)="B:",LEFT(UPPER(TRIM(A1433)),8)="BLOCKER:",LEFT(UPPER(TRIM(A1433)),9)="BLOCKERS:",LEFT(UPPER(TRIM(A1433)),8)="BLOCKED:"),"B",""))))</f>
      </c>
      <c r="E1433" s="17">
        <f>IF(D1433="","",TRIM(MID(A1433,FIND(":",A1433)+1,500)))</f>
      </c>
    </row>
    <row r="1434">
      <c r="B1434" s="17">
        <f>IF(A1434="","",IF(COUNTIF(Roster[Name],IF(RIGHT(IF(LEFT(TRIM(A1434),1)="[",TRIM(MID(TRIM(A1434),FIND("]",TRIM(A1434)&amp;"]")+1,200)),TRIM(A1434)),1)=")",TRIM(LEFT(IF(LEFT(TRIM(A1434),1)="[",TRIM(MID(TRIM(A1434),FIND("]",TRIM(A1434)&amp;"]")+1,200)),TRIM(A1434)),FIND("(",IF(LEFT(TRIM(A1434),1)="[",TRIM(MID(TRIM(A1434),FIND("]",TRIM(A1434)&amp;"]")+1,200)),TRIM(A1434))&amp;"(")-1)),IF(LEFT(TRIM(A1434),1)="[",TRIM(MID(TRIM(A1434),FIND("]",TRIM(A1434)&amp;"]")+1,200)),TRIM(A1434))))&gt;0,IF(RIGHT(IF(LEFT(TRIM(A1434),1)="[",TRIM(MID(TRIM(A1434),FIND("]",TRIM(A1434)&amp;"]")+1,200)),TRIM(A1434)),1)=")",TRIM(LEFT(IF(LEFT(TRIM(A1434),1)="[",TRIM(MID(TRIM(A1434),FIND("]",TRIM(A1434)&amp;"]")+1,200)),TRIM(A1434)),FIND("(",IF(LEFT(TRIM(A1434),1)="[",TRIM(MID(TRIM(A1434),FIND("]",TRIM(A1434)&amp;"]")+1,200)),TRIM(A1434))&amp;"(")-1)),IF(LEFT(TRIM(A1434),1)="[",TRIM(MID(TRIM(A1434),FIND("]",TRIM(A1434)&amp;"]")+1,200)),TRIM(A1434))),""))</f>
      </c>
      <c r="C1434" s="17">
        <f>IF(B1434&lt;&gt;"",B1434,C1433)</f>
      </c>
      <c r="D1434" s="17">
        <f>IF(A1434="","",IF(OR(LEFT(UPPER(TRIM(A1434)),2)="Y:",LEFT(UPPER(TRIM(A1434)),10)="YESTERDAY:"),"Y",IF(OR(LEFT(UPPER(TRIM(A1434)),2)="T:",LEFT(UPPER(TRIM(A1434)),6)="TODAY:"),"T",IF(OR(LEFT(UPPER(TRIM(A1434)),2)="B:",LEFT(UPPER(TRIM(A1434)),8)="BLOCKER:",LEFT(UPPER(TRIM(A1434)),9)="BLOCKERS:",LEFT(UPPER(TRIM(A1434)),8)="BLOCKED:"),"B",""))))</f>
      </c>
      <c r="E1434" s="17">
        <f>IF(D1434="","",TRIM(MID(A1434,FIND(":",A1434)+1,500)))</f>
      </c>
    </row>
    <row r="1435">
      <c r="B1435" s="17">
        <f>IF(A1435="","",IF(COUNTIF(Roster[Name],IF(RIGHT(IF(LEFT(TRIM(A1435),1)="[",TRIM(MID(TRIM(A1435),FIND("]",TRIM(A1435)&amp;"]")+1,200)),TRIM(A1435)),1)=")",TRIM(LEFT(IF(LEFT(TRIM(A1435),1)="[",TRIM(MID(TRIM(A1435),FIND("]",TRIM(A1435)&amp;"]")+1,200)),TRIM(A1435)),FIND("(",IF(LEFT(TRIM(A1435),1)="[",TRIM(MID(TRIM(A1435),FIND("]",TRIM(A1435)&amp;"]")+1,200)),TRIM(A1435))&amp;"(")-1)),IF(LEFT(TRIM(A1435),1)="[",TRIM(MID(TRIM(A1435),FIND("]",TRIM(A1435)&amp;"]")+1,200)),TRIM(A1435))))&gt;0,IF(RIGHT(IF(LEFT(TRIM(A1435),1)="[",TRIM(MID(TRIM(A1435),FIND("]",TRIM(A1435)&amp;"]")+1,200)),TRIM(A1435)),1)=")",TRIM(LEFT(IF(LEFT(TRIM(A1435),1)="[",TRIM(MID(TRIM(A1435),FIND("]",TRIM(A1435)&amp;"]")+1,200)),TRIM(A1435)),FIND("(",IF(LEFT(TRIM(A1435),1)="[",TRIM(MID(TRIM(A1435),FIND("]",TRIM(A1435)&amp;"]")+1,200)),TRIM(A1435))&amp;"(")-1)),IF(LEFT(TRIM(A1435),1)="[",TRIM(MID(TRIM(A1435),FIND("]",TRIM(A1435)&amp;"]")+1,200)),TRIM(A1435))),""))</f>
      </c>
      <c r="C1435" s="17">
        <f>IF(B1435&lt;&gt;"",B1435,C1434)</f>
      </c>
      <c r="D1435" s="17">
        <f>IF(A1435="","",IF(OR(LEFT(UPPER(TRIM(A1435)),2)="Y:",LEFT(UPPER(TRIM(A1435)),10)="YESTERDAY:"),"Y",IF(OR(LEFT(UPPER(TRIM(A1435)),2)="T:",LEFT(UPPER(TRIM(A1435)),6)="TODAY:"),"T",IF(OR(LEFT(UPPER(TRIM(A1435)),2)="B:",LEFT(UPPER(TRIM(A1435)),8)="BLOCKER:",LEFT(UPPER(TRIM(A1435)),9)="BLOCKERS:",LEFT(UPPER(TRIM(A1435)),8)="BLOCKED:"),"B",""))))</f>
      </c>
      <c r="E1435" s="17">
        <f>IF(D1435="","",TRIM(MID(A1435,FIND(":",A1435)+1,500)))</f>
      </c>
    </row>
    <row r="1436">
      <c r="B1436" s="17">
        <f>IF(A1436="","",IF(COUNTIF(Roster[Name],IF(RIGHT(IF(LEFT(TRIM(A1436),1)="[",TRIM(MID(TRIM(A1436),FIND("]",TRIM(A1436)&amp;"]")+1,200)),TRIM(A1436)),1)=")",TRIM(LEFT(IF(LEFT(TRIM(A1436),1)="[",TRIM(MID(TRIM(A1436),FIND("]",TRIM(A1436)&amp;"]")+1,200)),TRIM(A1436)),FIND("(",IF(LEFT(TRIM(A1436),1)="[",TRIM(MID(TRIM(A1436),FIND("]",TRIM(A1436)&amp;"]")+1,200)),TRIM(A1436))&amp;"(")-1)),IF(LEFT(TRIM(A1436),1)="[",TRIM(MID(TRIM(A1436),FIND("]",TRIM(A1436)&amp;"]")+1,200)),TRIM(A1436))))&gt;0,IF(RIGHT(IF(LEFT(TRIM(A1436),1)="[",TRIM(MID(TRIM(A1436),FIND("]",TRIM(A1436)&amp;"]")+1,200)),TRIM(A1436)),1)=")",TRIM(LEFT(IF(LEFT(TRIM(A1436),1)="[",TRIM(MID(TRIM(A1436),FIND("]",TRIM(A1436)&amp;"]")+1,200)),TRIM(A1436)),FIND("(",IF(LEFT(TRIM(A1436),1)="[",TRIM(MID(TRIM(A1436),FIND("]",TRIM(A1436)&amp;"]")+1,200)),TRIM(A1436))&amp;"(")-1)),IF(LEFT(TRIM(A1436),1)="[",TRIM(MID(TRIM(A1436),FIND("]",TRIM(A1436)&amp;"]")+1,200)),TRIM(A1436))),""))</f>
      </c>
      <c r="C1436" s="17">
        <f>IF(B1436&lt;&gt;"",B1436,C1435)</f>
      </c>
      <c r="D1436" s="17">
        <f>IF(A1436="","",IF(OR(LEFT(UPPER(TRIM(A1436)),2)="Y:",LEFT(UPPER(TRIM(A1436)),10)="YESTERDAY:"),"Y",IF(OR(LEFT(UPPER(TRIM(A1436)),2)="T:",LEFT(UPPER(TRIM(A1436)),6)="TODAY:"),"T",IF(OR(LEFT(UPPER(TRIM(A1436)),2)="B:",LEFT(UPPER(TRIM(A1436)),8)="BLOCKER:",LEFT(UPPER(TRIM(A1436)),9)="BLOCKERS:",LEFT(UPPER(TRIM(A1436)),8)="BLOCKED:"),"B",""))))</f>
      </c>
      <c r="E1436" s="17">
        <f>IF(D1436="","",TRIM(MID(A1436,FIND(":",A1436)+1,500)))</f>
      </c>
    </row>
    <row r="1437">
      <c r="B1437" s="17">
        <f>IF(A1437="","",IF(COUNTIF(Roster[Name],IF(RIGHT(IF(LEFT(TRIM(A1437),1)="[",TRIM(MID(TRIM(A1437),FIND("]",TRIM(A1437)&amp;"]")+1,200)),TRIM(A1437)),1)=")",TRIM(LEFT(IF(LEFT(TRIM(A1437),1)="[",TRIM(MID(TRIM(A1437),FIND("]",TRIM(A1437)&amp;"]")+1,200)),TRIM(A1437)),FIND("(",IF(LEFT(TRIM(A1437),1)="[",TRIM(MID(TRIM(A1437),FIND("]",TRIM(A1437)&amp;"]")+1,200)),TRIM(A1437))&amp;"(")-1)),IF(LEFT(TRIM(A1437),1)="[",TRIM(MID(TRIM(A1437),FIND("]",TRIM(A1437)&amp;"]")+1,200)),TRIM(A1437))))&gt;0,IF(RIGHT(IF(LEFT(TRIM(A1437),1)="[",TRIM(MID(TRIM(A1437),FIND("]",TRIM(A1437)&amp;"]")+1,200)),TRIM(A1437)),1)=")",TRIM(LEFT(IF(LEFT(TRIM(A1437),1)="[",TRIM(MID(TRIM(A1437),FIND("]",TRIM(A1437)&amp;"]")+1,200)),TRIM(A1437)),FIND("(",IF(LEFT(TRIM(A1437),1)="[",TRIM(MID(TRIM(A1437),FIND("]",TRIM(A1437)&amp;"]")+1,200)),TRIM(A1437))&amp;"(")-1)),IF(LEFT(TRIM(A1437),1)="[",TRIM(MID(TRIM(A1437),FIND("]",TRIM(A1437)&amp;"]")+1,200)),TRIM(A1437))),""))</f>
      </c>
      <c r="C1437" s="17">
        <f>IF(B1437&lt;&gt;"",B1437,C1436)</f>
      </c>
      <c r="D1437" s="17">
        <f>IF(A1437="","",IF(OR(LEFT(UPPER(TRIM(A1437)),2)="Y:",LEFT(UPPER(TRIM(A1437)),10)="YESTERDAY:"),"Y",IF(OR(LEFT(UPPER(TRIM(A1437)),2)="T:",LEFT(UPPER(TRIM(A1437)),6)="TODAY:"),"T",IF(OR(LEFT(UPPER(TRIM(A1437)),2)="B:",LEFT(UPPER(TRIM(A1437)),8)="BLOCKER:",LEFT(UPPER(TRIM(A1437)),9)="BLOCKERS:",LEFT(UPPER(TRIM(A1437)),8)="BLOCKED:"),"B",""))))</f>
      </c>
      <c r="E1437" s="17">
        <f>IF(D1437="","",TRIM(MID(A1437,FIND(":",A1437)+1,500)))</f>
      </c>
    </row>
    <row r="1438">
      <c r="B1438" s="17">
        <f>IF(A1438="","",IF(COUNTIF(Roster[Name],IF(RIGHT(IF(LEFT(TRIM(A1438),1)="[",TRIM(MID(TRIM(A1438),FIND("]",TRIM(A1438)&amp;"]")+1,200)),TRIM(A1438)),1)=")",TRIM(LEFT(IF(LEFT(TRIM(A1438),1)="[",TRIM(MID(TRIM(A1438),FIND("]",TRIM(A1438)&amp;"]")+1,200)),TRIM(A1438)),FIND("(",IF(LEFT(TRIM(A1438),1)="[",TRIM(MID(TRIM(A1438),FIND("]",TRIM(A1438)&amp;"]")+1,200)),TRIM(A1438))&amp;"(")-1)),IF(LEFT(TRIM(A1438),1)="[",TRIM(MID(TRIM(A1438),FIND("]",TRIM(A1438)&amp;"]")+1,200)),TRIM(A1438))))&gt;0,IF(RIGHT(IF(LEFT(TRIM(A1438),1)="[",TRIM(MID(TRIM(A1438),FIND("]",TRIM(A1438)&amp;"]")+1,200)),TRIM(A1438)),1)=")",TRIM(LEFT(IF(LEFT(TRIM(A1438),1)="[",TRIM(MID(TRIM(A1438),FIND("]",TRIM(A1438)&amp;"]")+1,200)),TRIM(A1438)),FIND("(",IF(LEFT(TRIM(A1438),1)="[",TRIM(MID(TRIM(A1438),FIND("]",TRIM(A1438)&amp;"]")+1,200)),TRIM(A1438))&amp;"(")-1)),IF(LEFT(TRIM(A1438),1)="[",TRIM(MID(TRIM(A1438),FIND("]",TRIM(A1438)&amp;"]")+1,200)),TRIM(A1438))),""))</f>
      </c>
      <c r="C1438" s="17">
        <f>IF(B1438&lt;&gt;"",B1438,C1437)</f>
      </c>
      <c r="D1438" s="17">
        <f>IF(A1438="","",IF(OR(LEFT(UPPER(TRIM(A1438)),2)="Y:",LEFT(UPPER(TRIM(A1438)),10)="YESTERDAY:"),"Y",IF(OR(LEFT(UPPER(TRIM(A1438)),2)="T:",LEFT(UPPER(TRIM(A1438)),6)="TODAY:"),"T",IF(OR(LEFT(UPPER(TRIM(A1438)),2)="B:",LEFT(UPPER(TRIM(A1438)),8)="BLOCKER:",LEFT(UPPER(TRIM(A1438)),9)="BLOCKERS:",LEFT(UPPER(TRIM(A1438)),8)="BLOCKED:"),"B",""))))</f>
      </c>
      <c r="E1438" s="17">
        <f>IF(D1438="","",TRIM(MID(A1438,FIND(":",A1438)+1,500)))</f>
      </c>
    </row>
    <row r="1439">
      <c r="B1439" s="17">
        <f>IF(A1439="","",IF(COUNTIF(Roster[Name],IF(RIGHT(IF(LEFT(TRIM(A1439),1)="[",TRIM(MID(TRIM(A1439),FIND("]",TRIM(A1439)&amp;"]")+1,200)),TRIM(A1439)),1)=")",TRIM(LEFT(IF(LEFT(TRIM(A1439),1)="[",TRIM(MID(TRIM(A1439),FIND("]",TRIM(A1439)&amp;"]")+1,200)),TRIM(A1439)),FIND("(",IF(LEFT(TRIM(A1439),1)="[",TRIM(MID(TRIM(A1439),FIND("]",TRIM(A1439)&amp;"]")+1,200)),TRIM(A1439))&amp;"(")-1)),IF(LEFT(TRIM(A1439),1)="[",TRIM(MID(TRIM(A1439),FIND("]",TRIM(A1439)&amp;"]")+1,200)),TRIM(A1439))))&gt;0,IF(RIGHT(IF(LEFT(TRIM(A1439),1)="[",TRIM(MID(TRIM(A1439),FIND("]",TRIM(A1439)&amp;"]")+1,200)),TRIM(A1439)),1)=")",TRIM(LEFT(IF(LEFT(TRIM(A1439),1)="[",TRIM(MID(TRIM(A1439),FIND("]",TRIM(A1439)&amp;"]")+1,200)),TRIM(A1439)),FIND("(",IF(LEFT(TRIM(A1439),1)="[",TRIM(MID(TRIM(A1439),FIND("]",TRIM(A1439)&amp;"]")+1,200)),TRIM(A1439))&amp;"(")-1)),IF(LEFT(TRIM(A1439),1)="[",TRIM(MID(TRIM(A1439),FIND("]",TRIM(A1439)&amp;"]")+1,200)),TRIM(A1439))),""))</f>
      </c>
      <c r="C1439" s="17">
        <f>IF(B1439&lt;&gt;"",B1439,C1438)</f>
      </c>
      <c r="D1439" s="17">
        <f>IF(A1439="","",IF(OR(LEFT(UPPER(TRIM(A1439)),2)="Y:",LEFT(UPPER(TRIM(A1439)),10)="YESTERDAY:"),"Y",IF(OR(LEFT(UPPER(TRIM(A1439)),2)="T:",LEFT(UPPER(TRIM(A1439)),6)="TODAY:"),"T",IF(OR(LEFT(UPPER(TRIM(A1439)),2)="B:",LEFT(UPPER(TRIM(A1439)),8)="BLOCKER:",LEFT(UPPER(TRIM(A1439)),9)="BLOCKERS:",LEFT(UPPER(TRIM(A1439)),8)="BLOCKED:"),"B",""))))</f>
      </c>
      <c r="E1439" s="17">
        <f>IF(D1439="","",TRIM(MID(A1439,FIND(":",A1439)+1,500)))</f>
      </c>
    </row>
    <row r="1440">
      <c r="B1440" s="17">
        <f>IF(A1440="","",IF(COUNTIF(Roster[Name],IF(RIGHT(IF(LEFT(TRIM(A1440),1)="[",TRIM(MID(TRIM(A1440),FIND("]",TRIM(A1440)&amp;"]")+1,200)),TRIM(A1440)),1)=")",TRIM(LEFT(IF(LEFT(TRIM(A1440),1)="[",TRIM(MID(TRIM(A1440),FIND("]",TRIM(A1440)&amp;"]")+1,200)),TRIM(A1440)),FIND("(",IF(LEFT(TRIM(A1440),1)="[",TRIM(MID(TRIM(A1440),FIND("]",TRIM(A1440)&amp;"]")+1,200)),TRIM(A1440))&amp;"(")-1)),IF(LEFT(TRIM(A1440),1)="[",TRIM(MID(TRIM(A1440),FIND("]",TRIM(A1440)&amp;"]")+1,200)),TRIM(A1440))))&gt;0,IF(RIGHT(IF(LEFT(TRIM(A1440),1)="[",TRIM(MID(TRIM(A1440),FIND("]",TRIM(A1440)&amp;"]")+1,200)),TRIM(A1440)),1)=")",TRIM(LEFT(IF(LEFT(TRIM(A1440),1)="[",TRIM(MID(TRIM(A1440),FIND("]",TRIM(A1440)&amp;"]")+1,200)),TRIM(A1440)),FIND("(",IF(LEFT(TRIM(A1440),1)="[",TRIM(MID(TRIM(A1440),FIND("]",TRIM(A1440)&amp;"]")+1,200)),TRIM(A1440))&amp;"(")-1)),IF(LEFT(TRIM(A1440),1)="[",TRIM(MID(TRIM(A1440),FIND("]",TRIM(A1440)&amp;"]")+1,200)),TRIM(A1440))),""))</f>
      </c>
      <c r="C1440" s="17">
        <f>IF(B1440&lt;&gt;"",B1440,C1439)</f>
      </c>
      <c r="D1440" s="17">
        <f>IF(A1440="","",IF(OR(LEFT(UPPER(TRIM(A1440)),2)="Y:",LEFT(UPPER(TRIM(A1440)),10)="YESTERDAY:"),"Y",IF(OR(LEFT(UPPER(TRIM(A1440)),2)="T:",LEFT(UPPER(TRIM(A1440)),6)="TODAY:"),"T",IF(OR(LEFT(UPPER(TRIM(A1440)),2)="B:",LEFT(UPPER(TRIM(A1440)),8)="BLOCKER:",LEFT(UPPER(TRIM(A1440)),9)="BLOCKERS:",LEFT(UPPER(TRIM(A1440)),8)="BLOCKED:"),"B",""))))</f>
      </c>
      <c r="E1440" s="17">
        <f>IF(D1440="","",TRIM(MID(A1440,FIND(":",A1440)+1,500)))</f>
      </c>
    </row>
    <row r="1441">
      <c r="B1441" s="17">
        <f>IF(A1441="","",IF(COUNTIF(Roster[Name],IF(RIGHT(IF(LEFT(TRIM(A1441),1)="[",TRIM(MID(TRIM(A1441),FIND("]",TRIM(A1441)&amp;"]")+1,200)),TRIM(A1441)),1)=")",TRIM(LEFT(IF(LEFT(TRIM(A1441),1)="[",TRIM(MID(TRIM(A1441),FIND("]",TRIM(A1441)&amp;"]")+1,200)),TRIM(A1441)),FIND("(",IF(LEFT(TRIM(A1441),1)="[",TRIM(MID(TRIM(A1441),FIND("]",TRIM(A1441)&amp;"]")+1,200)),TRIM(A1441))&amp;"(")-1)),IF(LEFT(TRIM(A1441),1)="[",TRIM(MID(TRIM(A1441),FIND("]",TRIM(A1441)&amp;"]")+1,200)),TRIM(A1441))))&gt;0,IF(RIGHT(IF(LEFT(TRIM(A1441),1)="[",TRIM(MID(TRIM(A1441),FIND("]",TRIM(A1441)&amp;"]")+1,200)),TRIM(A1441)),1)=")",TRIM(LEFT(IF(LEFT(TRIM(A1441),1)="[",TRIM(MID(TRIM(A1441),FIND("]",TRIM(A1441)&amp;"]")+1,200)),TRIM(A1441)),FIND("(",IF(LEFT(TRIM(A1441),1)="[",TRIM(MID(TRIM(A1441),FIND("]",TRIM(A1441)&amp;"]")+1,200)),TRIM(A1441))&amp;"(")-1)),IF(LEFT(TRIM(A1441),1)="[",TRIM(MID(TRIM(A1441),FIND("]",TRIM(A1441)&amp;"]")+1,200)),TRIM(A1441))),""))</f>
      </c>
      <c r="C1441" s="17">
        <f>IF(B1441&lt;&gt;"",B1441,C1440)</f>
      </c>
      <c r="D1441" s="17">
        <f>IF(A1441="","",IF(OR(LEFT(UPPER(TRIM(A1441)),2)="Y:",LEFT(UPPER(TRIM(A1441)),10)="YESTERDAY:"),"Y",IF(OR(LEFT(UPPER(TRIM(A1441)),2)="T:",LEFT(UPPER(TRIM(A1441)),6)="TODAY:"),"T",IF(OR(LEFT(UPPER(TRIM(A1441)),2)="B:",LEFT(UPPER(TRIM(A1441)),8)="BLOCKER:",LEFT(UPPER(TRIM(A1441)),9)="BLOCKERS:",LEFT(UPPER(TRIM(A1441)),8)="BLOCKED:"),"B",""))))</f>
      </c>
      <c r="E1441" s="17">
        <f>IF(D1441="","",TRIM(MID(A1441,FIND(":",A1441)+1,500)))</f>
      </c>
    </row>
    <row r="1442">
      <c r="B1442" s="17">
        <f>IF(A1442="","",IF(COUNTIF(Roster[Name],IF(RIGHT(IF(LEFT(TRIM(A1442),1)="[",TRIM(MID(TRIM(A1442),FIND("]",TRIM(A1442)&amp;"]")+1,200)),TRIM(A1442)),1)=")",TRIM(LEFT(IF(LEFT(TRIM(A1442),1)="[",TRIM(MID(TRIM(A1442),FIND("]",TRIM(A1442)&amp;"]")+1,200)),TRIM(A1442)),FIND("(",IF(LEFT(TRIM(A1442),1)="[",TRIM(MID(TRIM(A1442),FIND("]",TRIM(A1442)&amp;"]")+1,200)),TRIM(A1442))&amp;"(")-1)),IF(LEFT(TRIM(A1442),1)="[",TRIM(MID(TRIM(A1442),FIND("]",TRIM(A1442)&amp;"]")+1,200)),TRIM(A1442))))&gt;0,IF(RIGHT(IF(LEFT(TRIM(A1442),1)="[",TRIM(MID(TRIM(A1442),FIND("]",TRIM(A1442)&amp;"]")+1,200)),TRIM(A1442)),1)=")",TRIM(LEFT(IF(LEFT(TRIM(A1442),1)="[",TRIM(MID(TRIM(A1442),FIND("]",TRIM(A1442)&amp;"]")+1,200)),TRIM(A1442)),FIND("(",IF(LEFT(TRIM(A1442),1)="[",TRIM(MID(TRIM(A1442),FIND("]",TRIM(A1442)&amp;"]")+1,200)),TRIM(A1442))&amp;"(")-1)),IF(LEFT(TRIM(A1442),1)="[",TRIM(MID(TRIM(A1442),FIND("]",TRIM(A1442)&amp;"]")+1,200)),TRIM(A1442))),""))</f>
      </c>
      <c r="C1442" s="17">
        <f>IF(B1442&lt;&gt;"",B1442,C1441)</f>
      </c>
      <c r="D1442" s="17">
        <f>IF(A1442="","",IF(OR(LEFT(UPPER(TRIM(A1442)),2)="Y:",LEFT(UPPER(TRIM(A1442)),10)="YESTERDAY:"),"Y",IF(OR(LEFT(UPPER(TRIM(A1442)),2)="T:",LEFT(UPPER(TRIM(A1442)),6)="TODAY:"),"T",IF(OR(LEFT(UPPER(TRIM(A1442)),2)="B:",LEFT(UPPER(TRIM(A1442)),8)="BLOCKER:",LEFT(UPPER(TRIM(A1442)),9)="BLOCKERS:",LEFT(UPPER(TRIM(A1442)),8)="BLOCKED:"),"B",""))))</f>
      </c>
      <c r="E1442" s="17">
        <f>IF(D1442="","",TRIM(MID(A1442,FIND(":",A1442)+1,500)))</f>
      </c>
    </row>
    <row r="1443">
      <c r="B1443" s="17">
        <f>IF(A1443="","",IF(COUNTIF(Roster[Name],IF(RIGHT(IF(LEFT(TRIM(A1443),1)="[",TRIM(MID(TRIM(A1443),FIND("]",TRIM(A1443)&amp;"]")+1,200)),TRIM(A1443)),1)=")",TRIM(LEFT(IF(LEFT(TRIM(A1443),1)="[",TRIM(MID(TRIM(A1443),FIND("]",TRIM(A1443)&amp;"]")+1,200)),TRIM(A1443)),FIND("(",IF(LEFT(TRIM(A1443),1)="[",TRIM(MID(TRIM(A1443),FIND("]",TRIM(A1443)&amp;"]")+1,200)),TRIM(A1443))&amp;"(")-1)),IF(LEFT(TRIM(A1443),1)="[",TRIM(MID(TRIM(A1443),FIND("]",TRIM(A1443)&amp;"]")+1,200)),TRIM(A1443))))&gt;0,IF(RIGHT(IF(LEFT(TRIM(A1443),1)="[",TRIM(MID(TRIM(A1443),FIND("]",TRIM(A1443)&amp;"]")+1,200)),TRIM(A1443)),1)=")",TRIM(LEFT(IF(LEFT(TRIM(A1443),1)="[",TRIM(MID(TRIM(A1443),FIND("]",TRIM(A1443)&amp;"]")+1,200)),TRIM(A1443)),FIND("(",IF(LEFT(TRIM(A1443),1)="[",TRIM(MID(TRIM(A1443),FIND("]",TRIM(A1443)&amp;"]")+1,200)),TRIM(A1443))&amp;"(")-1)),IF(LEFT(TRIM(A1443),1)="[",TRIM(MID(TRIM(A1443),FIND("]",TRIM(A1443)&amp;"]")+1,200)),TRIM(A1443))),""))</f>
      </c>
      <c r="C1443" s="17">
        <f>IF(B1443&lt;&gt;"",B1443,C1442)</f>
      </c>
      <c r="D1443" s="17">
        <f>IF(A1443="","",IF(OR(LEFT(UPPER(TRIM(A1443)),2)="Y:",LEFT(UPPER(TRIM(A1443)),10)="YESTERDAY:"),"Y",IF(OR(LEFT(UPPER(TRIM(A1443)),2)="T:",LEFT(UPPER(TRIM(A1443)),6)="TODAY:"),"T",IF(OR(LEFT(UPPER(TRIM(A1443)),2)="B:",LEFT(UPPER(TRIM(A1443)),8)="BLOCKER:",LEFT(UPPER(TRIM(A1443)),9)="BLOCKERS:",LEFT(UPPER(TRIM(A1443)),8)="BLOCKED:"),"B",""))))</f>
      </c>
      <c r="E1443" s="17">
        <f>IF(D1443="","",TRIM(MID(A1443,FIND(":",A1443)+1,500)))</f>
      </c>
    </row>
    <row r="1444">
      <c r="B1444" s="17">
        <f>IF(A1444="","",IF(COUNTIF(Roster[Name],IF(RIGHT(IF(LEFT(TRIM(A1444),1)="[",TRIM(MID(TRIM(A1444),FIND("]",TRIM(A1444)&amp;"]")+1,200)),TRIM(A1444)),1)=")",TRIM(LEFT(IF(LEFT(TRIM(A1444),1)="[",TRIM(MID(TRIM(A1444),FIND("]",TRIM(A1444)&amp;"]")+1,200)),TRIM(A1444)),FIND("(",IF(LEFT(TRIM(A1444),1)="[",TRIM(MID(TRIM(A1444),FIND("]",TRIM(A1444)&amp;"]")+1,200)),TRIM(A1444))&amp;"(")-1)),IF(LEFT(TRIM(A1444),1)="[",TRIM(MID(TRIM(A1444),FIND("]",TRIM(A1444)&amp;"]")+1,200)),TRIM(A1444))))&gt;0,IF(RIGHT(IF(LEFT(TRIM(A1444),1)="[",TRIM(MID(TRIM(A1444),FIND("]",TRIM(A1444)&amp;"]")+1,200)),TRIM(A1444)),1)=")",TRIM(LEFT(IF(LEFT(TRIM(A1444),1)="[",TRIM(MID(TRIM(A1444),FIND("]",TRIM(A1444)&amp;"]")+1,200)),TRIM(A1444)),FIND("(",IF(LEFT(TRIM(A1444),1)="[",TRIM(MID(TRIM(A1444),FIND("]",TRIM(A1444)&amp;"]")+1,200)),TRIM(A1444))&amp;"(")-1)),IF(LEFT(TRIM(A1444),1)="[",TRIM(MID(TRIM(A1444),FIND("]",TRIM(A1444)&amp;"]")+1,200)),TRIM(A1444))),""))</f>
      </c>
      <c r="C1444" s="17">
        <f>IF(B1444&lt;&gt;"",B1444,C1443)</f>
      </c>
      <c r="D1444" s="17">
        <f>IF(A1444="","",IF(OR(LEFT(UPPER(TRIM(A1444)),2)="Y:",LEFT(UPPER(TRIM(A1444)),10)="YESTERDAY:"),"Y",IF(OR(LEFT(UPPER(TRIM(A1444)),2)="T:",LEFT(UPPER(TRIM(A1444)),6)="TODAY:"),"T",IF(OR(LEFT(UPPER(TRIM(A1444)),2)="B:",LEFT(UPPER(TRIM(A1444)),8)="BLOCKER:",LEFT(UPPER(TRIM(A1444)),9)="BLOCKERS:",LEFT(UPPER(TRIM(A1444)),8)="BLOCKED:"),"B",""))))</f>
      </c>
      <c r="E1444" s="17">
        <f>IF(D1444="","",TRIM(MID(A1444,FIND(":",A1444)+1,500)))</f>
      </c>
    </row>
    <row r="1445">
      <c r="B1445" s="17">
        <f>IF(A1445="","",IF(COUNTIF(Roster[Name],IF(RIGHT(IF(LEFT(TRIM(A1445),1)="[",TRIM(MID(TRIM(A1445),FIND("]",TRIM(A1445)&amp;"]")+1,200)),TRIM(A1445)),1)=")",TRIM(LEFT(IF(LEFT(TRIM(A1445),1)="[",TRIM(MID(TRIM(A1445),FIND("]",TRIM(A1445)&amp;"]")+1,200)),TRIM(A1445)),FIND("(",IF(LEFT(TRIM(A1445),1)="[",TRIM(MID(TRIM(A1445),FIND("]",TRIM(A1445)&amp;"]")+1,200)),TRIM(A1445))&amp;"(")-1)),IF(LEFT(TRIM(A1445),1)="[",TRIM(MID(TRIM(A1445),FIND("]",TRIM(A1445)&amp;"]")+1,200)),TRIM(A1445))))&gt;0,IF(RIGHT(IF(LEFT(TRIM(A1445),1)="[",TRIM(MID(TRIM(A1445),FIND("]",TRIM(A1445)&amp;"]")+1,200)),TRIM(A1445)),1)=")",TRIM(LEFT(IF(LEFT(TRIM(A1445),1)="[",TRIM(MID(TRIM(A1445),FIND("]",TRIM(A1445)&amp;"]")+1,200)),TRIM(A1445)),FIND("(",IF(LEFT(TRIM(A1445),1)="[",TRIM(MID(TRIM(A1445),FIND("]",TRIM(A1445)&amp;"]")+1,200)),TRIM(A1445))&amp;"(")-1)),IF(LEFT(TRIM(A1445),1)="[",TRIM(MID(TRIM(A1445),FIND("]",TRIM(A1445)&amp;"]")+1,200)),TRIM(A1445))),""))</f>
      </c>
      <c r="C1445" s="17">
        <f>IF(B1445&lt;&gt;"",B1445,C1444)</f>
      </c>
      <c r="D1445" s="17">
        <f>IF(A1445="","",IF(OR(LEFT(UPPER(TRIM(A1445)),2)="Y:",LEFT(UPPER(TRIM(A1445)),10)="YESTERDAY:"),"Y",IF(OR(LEFT(UPPER(TRIM(A1445)),2)="T:",LEFT(UPPER(TRIM(A1445)),6)="TODAY:"),"T",IF(OR(LEFT(UPPER(TRIM(A1445)),2)="B:",LEFT(UPPER(TRIM(A1445)),8)="BLOCKER:",LEFT(UPPER(TRIM(A1445)),9)="BLOCKERS:",LEFT(UPPER(TRIM(A1445)),8)="BLOCKED:"),"B",""))))</f>
      </c>
      <c r="E1445" s="17">
        <f>IF(D1445="","",TRIM(MID(A1445,FIND(":",A1445)+1,500)))</f>
      </c>
    </row>
    <row r="1446">
      <c r="B1446" s="17">
        <f>IF(A1446="","",IF(COUNTIF(Roster[Name],IF(RIGHT(IF(LEFT(TRIM(A1446),1)="[",TRIM(MID(TRIM(A1446),FIND("]",TRIM(A1446)&amp;"]")+1,200)),TRIM(A1446)),1)=")",TRIM(LEFT(IF(LEFT(TRIM(A1446),1)="[",TRIM(MID(TRIM(A1446),FIND("]",TRIM(A1446)&amp;"]")+1,200)),TRIM(A1446)),FIND("(",IF(LEFT(TRIM(A1446),1)="[",TRIM(MID(TRIM(A1446),FIND("]",TRIM(A1446)&amp;"]")+1,200)),TRIM(A1446))&amp;"(")-1)),IF(LEFT(TRIM(A1446),1)="[",TRIM(MID(TRIM(A1446),FIND("]",TRIM(A1446)&amp;"]")+1,200)),TRIM(A1446))))&gt;0,IF(RIGHT(IF(LEFT(TRIM(A1446),1)="[",TRIM(MID(TRIM(A1446),FIND("]",TRIM(A1446)&amp;"]")+1,200)),TRIM(A1446)),1)=")",TRIM(LEFT(IF(LEFT(TRIM(A1446),1)="[",TRIM(MID(TRIM(A1446),FIND("]",TRIM(A1446)&amp;"]")+1,200)),TRIM(A1446)),FIND("(",IF(LEFT(TRIM(A1446),1)="[",TRIM(MID(TRIM(A1446),FIND("]",TRIM(A1446)&amp;"]")+1,200)),TRIM(A1446))&amp;"(")-1)),IF(LEFT(TRIM(A1446),1)="[",TRIM(MID(TRIM(A1446),FIND("]",TRIM(A1446)&amp;"]")+1,200)),TRIM(A1446))),""))</f>
      </c>
      <c r="C1446" s="17">
        <f>IF(B1446&lt;&gt;"",B1446,C1445)</f>
      </c>
      <c r="D1446" s="17">
        <f>IF(A1446="","",IF(OR(LEFT(UPPER(TRIM(A1446)),2)="Y:",LEFT(UPPER(TRIM(A1446)),10)="YESTERDAY:"),"Y",IF(OR(LEFT(UPPER(TRIM(A1446)),2)="T:",LEFT(UPPER(TRIM(A1446)),6)="TODAY:"),"T",IF(OR(LEFT(UPPER(TRIM(A1446)),2)="B:",LEFT(UPPER(TRIM(A1446)),8)="BLOCKER:",LEFT(UPPER(TRIM(A1446)),9)="BLOCKERS:",LEFT(UPPER(TRIM(A1446)),8)="BLOCKED:"),"B",""))))</f>
      </c>
      <c r="E1446" s="17">
        <f>IF(D1446="","",TRIM(MID(A1446,FIND(":",A1446)+1,500)))</f>
      </c>
    </row>
    <row r="1447">
      <c r="B1447" s="17">
        <f>IF(A1447="","",IF(COUNTIF(Roster[Name],IF(RIGHT(IF(LEFT(TRIM(A1447),1)="[",TRIM(MID(TRIM(A1447),FIND("]",TRIM(A1447)&amp;"]")+1,200)),TRIM(A1447)),1)=")",TRIM(LEFT(IF(LEFT(TRIM(A1447),1)="[",TRIM(MID(TRIM(A1447),FIND("]",TRIM(A1447)&amp;"]")+1,200)),TRIM(A1447)),FIND("(",IF(LEFT(TRIM(A1447),1)="[",TRIM(MID(TRIM(A1447),FIND("]",TRIM(A1447)&amp;"]")+1,200)),TRIM(A1447))&amp;"(")-1)),IF(LEFT(TRIM(A1447),1)="[",TRIM(MID(TRIM(A1447),FIND("]",TRIM(A1447)&amp;"]")+1,200)),TRIM(A1447))))&gt;0,IF(RIGHT(IF(LEFT(TRIM(A1447),1)="[",TRIM(MID(TRIM(A1447),FIND("]",TRIM(A1447)&amp;"]")+1,200)),TRIM(A1447)),1)=")",TRIM(LEFT(IF(LEFT(TRIM(A1447),1)="[",TRIM(MID(TRIM(A1447),FIND("]",TRIM(A1447)&amp;"]")+1,200)),TRIM(A1447)),FIND("(",IF(LEFT(TRIM(A1447),1)="[",TRIM(MID(TRIM(A1447),FIND("]",TRIM(A1447)&amp;"]")+1,200)),TRIM(A1447))&amp;"(")-1)),IF(LEFT(TRIM(A1447),1)="[",TRIM(MID(TRIM(A1447),FIND("]",TRIM(A1447)&amp;"]")+1,200)),TRIM(A1447))),""))</f>
      </c>
      <c r="C1447" s="17">
        <f>IF(B1447&lt;&gt;"",B1447,C1446)</f>
      </c>
      <c r="D1447" s="17">
        <f>IF(A1447="","",IF(OR(LEFT(UPPER(TRIM(A1447)),2)="Y:",LEFT(UPPER(TRIM(A1447)),10)="YESTERDAY:"),"Y",IF(OR(LEFT(UPPER(TRIM(A1447)),2)="T:",LEFT(UPPER(TRIM(A1447)),6)="TODAY:"),"T",IF(OR(LEFT(UPPER(TRIM(A1447)),2)="B:",LEFT(UPPER(TRIM(A1447)),8)="BLOCKER:",LEFT(UPPER(TRIM(A1447)),9)="BLOCKERS:",LEFT(UPPER(TRIM(A1447)),8)="BLOCKED:"),"B",""))))</f>
      </c>
      <c r="E1447" s="17">
        <f>IF(D1447="","",TRIM(MID(A1447,FIND(":",A1447)+1,500)))</f>
      </c>
    </row>
    <row r="1448">
      <c r="B1448" s="17">
        <f>IF(A1448="","",IF(COUNTIF(Roster[Name],IF(RIGHT(IF(LEFT(TRIM(A1448),1)="[",TRIM(MID(TRIM(A1448),FIND("]",TRIM(A1448)&amp;"]")+1,200)),TRIM(A1448)),1)=")",TRIM(LEFT(IF(LEFT(TRIM(A1448),1)="[",TRIM(MID(TRIM(A1448),FIND("]",TRIM(A1448)&amp;"]")+1,200)),TRIM(A1448)),FIND("(",IF(LEFT(TRIM(A1448),1)="[",TRIM(MID(TRIM(A1448),FIND("]",TRIM(A1448)&amp;"]")+1,200)),TRIM(A1448))&amp;"(")-1)),IF(LEFT(TRIM(A1448),1)="[",TRIM(MID(TRIM(A1448),FIND("]",TRIM(A1448)&amp;"]")+1,200)),TRIM(A1448))))&gt;0,IF(RIGHT(IF(LEFT(TRIM(A1448),1)="[",TRIM(MID(TRIM(A1448),FIND("]",TRIM(A1448)&amp;"]")+1,200)),TRIM(A1448)),1)=")",TRIM(LEFT(IF(LEFT(TRIM(A1448),1)="[",TRIM(MID(TRIM(A1448),FIND("]",TRIM(A1448)&amp;"]")+1,200)),TRIM(A1448)),FIND("(",IF(LEFT(TRIM(A1448),1)="[",TRIM(MID(TRIM(A1448),FIND("]",TRIM(A1448)&amp;"]")+1,200)),TRIM(A1448))&amp;"(")-1)),IF(LEFT(TRIM(A1448),1)="[",TRIM(MID(TRIM(A1448),FIND("]",TRIM(A1448)&amp;"]")+1,200)),TRIM(A1448))),""))</f>
      </c>
      <c r="C1448" s="17">
        <f>IF(B1448&lt;&gt;"",B1448,C1447)</f>
      </c>
      <c r="D1448" s="17">
        <f>IF(A1448="","",IF(OR(LEFT(UPPER(TRIM(A1448)),2)="Y:",LEFT(UPPER(TRIM(A1448)),10)="YESTERDAY:"),"Y",IF(OR(LEFT(UPPER(TRIM(A1448)),2)="T:",LEFT(UPPER(TRIM(A1448)),6)="TODAY:"),"T",IF(OR(LEFT(UPPER(TRIM(A1448)),2)="B:",LEFT(UPPER(TRIM(A1448)),8)="BLOCKER:",LEFT(UPPER(TRIM(A1448)),9)="BLOCKERS:",LEFT(UPPER(TRIM(A1448)),8)="BLOCKED:"),"B",""))))</f>
      </c>
      <c r="E1448" s="17">
        <f>IF(D1448="","",TRIM(MID(A1448,FIND(":",A1448)+1,500)))</f>
      </c>
    </row>
    <row r="1449">
      <c r="B1449" s="17">
        <f>IF(A1449="","",IF(COUNTIF(Roster[Name],IF(RIGHT(IF(LEFT(TRIM(A1449),1)="[",TRIM(MID(TRIM(A1449),FIND("]",TRIM(A1449)&amp;"]")+1,200)),TRIM(A1449)),1)=")",TRIM(LEFT(IF(LEFT(TRIM(A1449),1)="[",TRIM(MID(TRIM(A1449),FIND("]",TRIM(A1449)&amp;"]")+1,200)),TRIM(A1449)),FIND("(",IF(LEFT(TRIM(A1449),1)="[",TRIM(MID(TRIM(A1449),FIND("]",TRIM(A1449)&amp;"]")+1,200)),TRIM(A1449))&amp;"(")-1)),IF(LEFT(TRIM(A1449),1)="[",TRIM(MID(TRIM(A1449),FIND("]",TRIM(A1449)&amp;"]")+1,200)),TRIM(A1449))))&gt;0,IF(RIGHT(IF(LEFT(TRIM(A1449),1)="[",TRIM(MID(TRIM(A1449),FIND("]",TRIM(A1449)&amp;"]")+1,200)),TRIM(A1449)),1)=")",TRIM(LEFT(IF(LEFT(TRIM(A1449),1)="[",TRIM(MID(TRIM(A1449),FIND("]",TRIM(A1449)&amp;"]")+1,200)),TRIM(A1449)),FIND("(",IF(LEFT(TRIM(A1449),1)="[",TRIM(MID(TRIM(A1449),FIND("]",TRIM(A1449)&amp;"]")+1,200)),TRIM(A1449))&amp;"(")-1)),IF(LEFT(TRIM(A1449),1)="[",TRIM(MID(TRIM(A1449),FIND("]",TRIM(A1449)&amp;"]")+1,200)),TRIM(A1449))),""))</f>
      </c>
      <c r="C1449" s="17">
        <f>IF(B1449&lt;&gt;"",B1449,C1448)</f>
      </c>
      <c r="D1449" s="17">
        <f>IF(A1449="","",IF(OR(LEFT(UPPER(TRIM(A1449)),2)="Y:",LEFT(UPPER(TRIM(A1449)),10)="YESTERDAY:"),"Y",IF(OR(LEFT(UPPER(TRIM(A1449)),2)="T:",LEFT(UPPER(TRIM(A1449)),6)="TODAY:"),"T",IF(OR(LEFT(UPPER(TRIM(A1449)),2)="B:",LEFT(UPPER(TRIM(A1449)),8)="BLOCKER:",LEFT(UPPER(TRIM(A1449)),9)="BLOCKERS:",LEFT(UPPER(TRIM(A1449)),8)="BLOCKED:"),"B",""))))</f>
      </c>
      <c r="E1449" s="17">
        <f>IF(D1449="","",TRIM(MID(A1449,FIND(":",A1449)+1,500)))</f>
      </c>
    </row>
    <row r="1450">
      <c r="B1450" s="17">
        <f>IF(A1450="","",IF(COUNTIF(Roster[Name],IF(RIGHT(IF(LEFT(TRIM(A1450),1)="[",TRIM(MID(TRIM(A1450),FIND("]",TRIM(A1450)&amp;"]")+1,200)),TRIM(A1450)),1)=")",TRIM(LEFT(IF(LEFT(TRIM(A1450),1)="[",TRIM(MID(TRIM(A1450),FIND("]",TRIM(A1450)&amp;"]")+1,200)),TRIM(A1450)),FIND("(",IF(LEFT(TRIM(A1450),1)="[",TRIM(MID(TRIM(A1450),FIND("]",TRIM(A1450)&amp;"]")+1,200)),TRIM(A1450))&amp;"(")-1)),IF(LEFT(TRIM(A1450),1)="[",TRIM(MID(TRIM(A1450),FIND("]",TRIM(A1450)&amp;"]")+1,200)),TRIM(A1450))))&gt;0,IF(RIGHT(IF(LEFT(TRIM(A1450),1)="[",TRIM(MID(TRIM(A1450),FIND("]",TRIM(A1450)&amp;"]")+1,200)),TRIM(A1450)),1)=")",TRIM(LEFT(IF(LEFT(TRIM(A1450),1)="[",TRIM(MID(TRIM(A1450),FIND("]",TRIM(A1450)&amp;"]")+1,200)),TRIM(A1450)),FIND("(",IF(LEFT(TRIM(A1450),1)="[",TRIM(MID(TRIM(A1450),FIND("]",TRIM(A1450)&amp;"]")+1,200)),TRIM(A1450))&amp;"(")-1)),IF(LEFT(TRIM(A1450),1)="[",TRIM(MID(TRIM(A1450),FIND("]",TRIM(A1450)&amp;"]")+1,200)),TRIM(A1450))),""))</f>
      </c>
      <c r="C1450" s="17">
        <f>IF(B1450&lt;&gt;"",B1450,C1449)</f>
      </c>
      <c r="D1450" s="17">
        <f>IF(A1450="","",IF(OR(LEFT(UPPER(TRIM(A1450)),2)="Y:",LEFT(UPPER(TRIM(A1450)),10)="YESTERDAY:"),"Y",IF(OR(LEFT(UPPER(TRIM(A1450)),2)="T:",LEFT(UPPER(TRIM(A1450)),6)="TODAY:"),"T",IF(OR(LEFT(UPPER(TRIM(A1450)),2)="B:",LEFT(UPPER(TRIM(A1450)),8)="BLOCKER:",LEFT(UPPER(TRIM(A1450)),9)="BLOCKERS:",LEFT(UPPER(TRIM(A1450)),8)="BLOCKED:"),"B",""))))</f>
      </c>
      <c r="E1450" s="17">
        <f>IF(D1450="","",TRIM(MID(A1450,FIND(":",A1450)+1,500)))</f>
      </c>
    </row>
    <row r="1451">
      <c r="B1451" s="17">
        <f>IF(A1451="","",IF(COUNTIF(Roster[Name],IF(RIGHT(IF(LEFT(TRIM(A1451),1)="[",TRIM(MID(TRIM(A1451),FIND("]",TRIM(A1451)&amp;"]")+1,200)),TRIM(A1451)),1)=")",TRIM(LEFT(IF(LEFT(TRIM(A1451),1)="[",TRIM(MID(TRIM(A1451),FIND("]",TRIM(A1451)&amp;"]")+1,200)),TRIM(A1451)),FIND("(",IF(LEFT(TRIM(A1451),1)="[",TRIM(MID(TRIM(A1451),FIND("]",TRIM(A1451)&amp;"]")+1,200)),TRIM(A1451))&amp;"(")-1)),IF(LEFT(TRIM(A1451),1)="[",TRIM(MID(TRIM(A1451),FIND("]",TRIM(A1451)&amp;"]")+1,200)),TRIM(A1451))))&gt;0,IF(RIGHT(IF(LEFT(TRIM(A1451),1)="[",TRIM(MID(TRIM(A1451),FIND("]",TRIM(A1451)&amp;"]")+1,200)),TRIM(A1451)),1)=")",TRIM(LEFT(IF(LEFT(TRIM(A1451),1)="[",TRIM(MID(TRIM(A1451),FIND("]",TRIM(A1451)&amp;"]")+1,200)),TRIM(A1451)),FIND("(",IF(LEFT(TRIM(A1451),1)="[",TRIM(MID(TRIM(A1451),FIND("]",TRIM(A1451)&amp;"]")+1,200)),TRIM(A1451))&amp;"(")-1)),IF(LEFT(TRIM(A1451),1)="[",TRIM(MID(TRIM(A1451),FIND("]",TRIM(A1451)&amp;"]")+1,200)),TRIM(A1451))),""))</f>
      </c>
      <c r="C1451" s="17">
        <f>IF(B1451&lt;&gt;"",B1451,C1450)</f>
      </c>
      <c r="D1451" s="17">
        <f>IF(A1451="","",IF(OR(LEFT(UPPER(TRIM(A1451)),2)="Y:",LEFT(UPPER(TRIM(A1451)),10)="YESTERDAY:"),"Y",IF(OR(LEFT(UPPER(TRIM(A1451)),2)="T:",LEFT(UPPER(TRIM(A1451)),6)="TODAY:"),"T",IF(OR(LEFT(UPPER(TRIM(A1451)),2)="B:",LEFT(UPPER(TRIM(A1451)),8)="BLOCKER:",LEFT(UPPER(TRIM(A1451)),9)="BLOCKERS:",LEFT(UPPER(TRIM(A1451)),8)="BLOCKED:"),"B",""))))</f>
      </c>
      <c r="E1451" s="17">
        <f>IF(D1451="","",TRIM(MID(A1451,FIND(":",A1451)+1,500)))</f>
      </c>
    </row>
    <row r="1452">
      <c r="B1452" s="17">
        <f>IF(A1452="","",IF(COUNTIF(Roster[Name],IF(RIGHT(IF(LEFT(TRIM(A1452),1)="[",TRIM(MID(TRIM(A1452),FIND("]",TRIM(A1452)&amp;"]")+1,200)),TRIM(A1452)),1)=")",TRIM(LEFT(IF(LEFT(TRIM(A1452),1)="[",TRIM(MID(TRIM(A1452),FIND("]",TRIM(A1452)&amp;"]")+1,200)),TRIM(A1452)),FIND("(",IF(LEFT(TRIM(A1452),1)="[",TRIM(MID(TRIM(A1452),FIND("]",TRIM(A1452)&amp;"]")+1,200)),TRIM(A1452))&amp;"(")-1)),IF(LEFT(TRIM(A1452),1)="[",TRIM(MID(TRIM(A1452),FIND("]",TRIM(A1452)&amp;"]")+1,200)),TRIM(A1452))))&gt;0,IF(RIGHT(IF(LEFT(TRIM(A1452),1)="[",TRIM(MID(TRIM(A1452),FIND("]",TRIM(A1452)&amp;"]")+1,200)),TRIM(A1452)),1)=")",TRIM(LEFT(IF(LEFT(TRIM(A1452),1)="[",TRIM(MID(TRIM(A1452),FIND("]",TRIM(A1452)&amp;"]")+1,200)),TRIM(A1452)),FIND("(",IF(LEFT(TRIM(A1452),1)="[",TRIM(MID(TRIM(A1452),FIND("]",TRIM(A1452)&amp;"]")+1,200)),TRIM(A1452))&amp;"(")-1)),IF(LEFT(TRIM(A1452),1)="[",TRIM(MID(TRIM(A1452),FIND("]",TRIM(A1452)&amp;"]")+1,200)),TRIM(A1452))),""))</f>
      </c>
      <c r="C1452" s="17">
        <f>IF(B1452&lt;&gt;"",B1452,C1451)</f>
      </c>
      <c r="D1452" s="17">
        <f>IF(A1452="","",IF(OR(LEFT(UPPER(TRIM(A1452)),2)="Y:",LEFT(UPPER(TRIM(A1452)),10)="YESTERDAY:"),"Y",IF(OR(LEFT(UPPER(TRIM(A1452)),2)="T:",LEFT(UPPER(TRIM(A1452)),6)="TODAY:"),"T",IF(OR(LEFT(UPPER(TRIM(A1452)),2)="B:",LEFT(UPPER(TRIM(A1452)),8)="BLOCKER:",LEFT(UPPER(TRIM(A1452)),9)="BLOCKERS:",LEFT(UPPER(TRIM(A1452)),8)="BLOCKED:"),"B",""))))</f>
      </c>
      <c r="E1452" s="17">
        <f>IF(D1452="","",TRIM(MID(A1452,FIND(":",A1452)+1,500)))</f>
      </c>
    </row>
    <row r="1453">
      <c r="B1453" s="17">
        <f>IF(A1453="","",IF(COUNTIF(Roster[Name],IF(RIGHT(IF(LEFT(TRIM(A1453),1)="[",TRIM(MID(TRIM(A1453),FIND("]",TRIM(A1453)&amp;"]")+1,200)),TRIM(A1453)),1)=")",TRIM(LEFT(IF(LEFT(TRIM(A1453),1)="[",TRIM(MID(TRIM(A1453),FIND("]",TRIM(A1453)&amp;"]")+1,200)),TRIM(A1453)),FIND("(",IF(LEFT(TRIM(A1453),1)="[",TRIM(MID(TRIM(A1453),FIND("]",TRIM(A1453)&amp;"]")+1,200)),TRIM(A1453))&amp;"(")-1)),IF(LEFT(TRIM(A1453),1)="[",TRIM(MID(TRIM(A1453),FIND("]",TRIM(A1453)&amp;"]")+1,200)),TRIM(A1453))))&gt;0,IF(RIGHT(IF(LEFT(TRIM(A1453),1)="[",TRIM(MID(TRIM(A1453),FIND("]",TRIM(A1453)&amp;"]")+1,200)),TRIM(A1453)),1)=")",TRIM(LEFT(IF(LEFT(TRIM(A1453),1)="[",TRIM(MID(TRIM(A1453),FIND("]",TRIM(A1453)&amp;"]")+1,200)),TRIM(A1453)),FIND("(",IF(LEFT(TRIM(A1453),1)="[",TRIM(MID(TRIM(A1453),FIND("]",TRIM(A1453)&amp;"]")+1,200)),TRIM(A1453))&amp;"(")-1)),IF(LEFT(TRIM(A1453),1)="[",TRIM(MID(TRIM(A1453),FIND("]",TRIM(A1453)&amp;"]")+1,200)),TRIM(A1453))),""))</f>
      </c>
      <c r="C1453" s="17">
        <f>IF(B1453&lt;&gt;"",B1453,C1452)</f>
      </c>
      <c r="D1453" s="17">
        <f>IF(A1453="","",IF(OR(LEFT(UPPER(TRIM(A1453)),2)="Y:",LEFT(UPPER(TRIM(A1453)),10)="YESTERDAY:"),"Y",IF(OR(LEFT(UPPER(TRIM(A1453)),2)="T:",LEFT(UPPER(TRIM(A1453)),6)="TODAY:"),"T",IF(OR(LEFT(UPPER(TRIM(A1453)),2)="B:",LEFT(UPPER(TRIM(A1453)),8)="BLOCKER:",LEFT(UPPER(TRIM(A1453)),9)="BLOCKERS:",LEFT(UPPER(TRIM(A1453)),8)="BLOCKED:"),"B",""))))</f>
      </c>
      <c r="E1453" s="17">
        <f>IF(D1453="","",TRIM(MID(A1453,FIND(":",A1453)+1,500)))</f>
      </c>
    </row>
    <row r="1454">
      <c r="B1454" s="17">
        <f>IF(A1454="","",IF(COUNTIF(Roster[Name],IF(RIGHT(IF(LEFT(TRIM(A1454),1)="[",TRIM(MID(TRIM(A1454),FIND("]",TRIM(A1454)&amp;"]")+1,200)),TRIM(A1454)),1)=")",TRIM(LEFT(IF(LEFT(TRIM(A1454),1)="[",TRIM(MID(TRIM(A1454),FIND("]",TRIM(A1454)&amp;"]")+1,200)),TRIM(A1454)),FIND("(",IF(LEFT(TRIM(A1454),1)="[",TRIM(MID(TRIM(A1454),FIND("]",TRIM(A1454)&amp;"]")+1,200)),TRIM(A1454))&amp;"(")-1)),IF(LEFT(TRIM(A1454),1)="[",TRIM(MID(TRIM(A1454),FIND("]",TRIM(A1454)&amp;"]")+1,200)),TRIM(A1454))))&gt;0,IF(RIGHT(IF(LEFT(TRIM(A1454),1)="[",TRIM(MID(TRIM(A1454),FIND("]",TRIM(A1454)&amp;"]")+1,200)),TRIM(A1454)),1)=")",TRIM(LEFT(IF(LEFT(TRIM(A1454),1)="[",TRIM(MID(TRIM(A1454),FIND("]",TRIM(A1454)&amp;"]")+1,200)),TRIM(A1454)),FIND("(",IF(LEFT(TRIM(A1454),1)="[",TRIM(MID(TRIM(A1454),FIND("]",TRIM(A1454)&amp;"]")+1,200)),TRIM(A1454))&amp;"(")-1)),IF(LEFT(TRIM(A1454),1)="[",TRIM(MID(TRIM(A1454),FIND("]",TRIM(A1454)&amp;"]")+1,200)),TRIM(A1454))),""))</f>
      </c>
      <c r="C1454" s="17">
        <f>IF(B1454&lt;&gt;"",B1454,C1453)</f>
      </c>
      <c r="D1454" s="17">
        <f>IF(A1454="","",IF(OR(LEFT(UPPER(TRIM(A1454)),2)="Y:",LEFT(UPPER(TRIM(A1454)),10)="YESTERDAY:"),"Y",IF(OR(LEFT(UPPER(TRIM(A1454)),2)="T:",LEFT(UPPER(TRIM(A1454)),6)="TODAY:"),"T",IF(OR(LEFT(UPPER(TRIM(A1454)),2)="B:",LEFT(UPPER(TRIM(A1454)),8)="BLOCKER:",LEFT(UPPER(TRIM(A1454)),9)="BLOCKERS:",LEFT(UPPER(TRIM(A1454)),8)="BLOCKED:"),"B",""))))</f>
      </c>
      <c r="E1454" s="17">
        <f>IF(D1454="","",TRIM(MID(A1454,FIND(":",A1454)+1,500)))</f>
      </c>
    </row>
    <row r="1455">
      <c r="B1455" s="17">
        <f>IF(A1455="","",IF(COUNTIF(Roster[Name],IF(RIGHT(IF(LEFT(TRIM(A1455),1)="[",TRIM(MID(TRIM(A1455),FIND("]",TRIM(A1455)&amp;"]")+1,200)),TRIM(A1455)),1)=")",TRIM(LEFT(IF(LEFT(TRIM(A1455),1)="[",TRIM(MID(TRIM(A1455),FIND("]",TRIM(A1455)&amp;"]")+1,200)),TRIM(A1455)),FIND("(",IF(LEFT(TRIM(A1455),1)="[",TRIM(MID(TRIM(A1455),FIND("]",TRIM(A1455)&amp;"]")+1,200)),TRIM(A1455))&amp;"(")-1)),IF(LEFT(TRIM(A1455),1)="[",TRIM(MID(TRIM(A1455),FIND("]",TRIM(A1455)&amp;"]")+1,200)),TRIM(A1455))))&gt;0,IF(RIGHT(IF(LEFT(TRIM(A1455),1)="[",TRIM(MID(TRIM(A1455),FIND("]",TRIM(A1455)&amp;"]")+1,200)),TRIM(A1455)),1)=")",TRIM(LEFT(IF(LEFT(TRIM(A1455),1)="[",TRIM(MID(TRIM(A1455),FIND("]",TRIM(A1455)&amp;"]")+1,200)),TRIM(A1455)),FIND("(",IF(LEFT(TRIM(A1455),1)="[",TRIM(MID(TRIM(A1455),FIND("]",TRIM(A1455)&amp;"]")+1,200)),TRIM(A1455))&amp;"(")-1)),IF(LEFT(TRIM(A1455),1)="[",TRIM(MID(TRIM(A1455),FIND("]",TRIM(A1455)&amp;"]")+1,200)),TRIM(A1455))),""))</f>
      </c>
      <c r="C1455" s="17">
        <f>IF(B1455&lt;&gt;"",B1455,C1454)</f>
      </c>
      <c r="D1455" s="17">
        <f>IF(A1455="","",IF(OR(LEFT(UPPER(TRIM(A1455)),2)="Y:",LEFT(UPPER(TRIM(A1455)),10)="YESTERDAY:"),"Y",IF(OR(LEFT(UPPER(TRIM(A1455)),2)="T:",LEFT(UPPER(TRIM(A1455)),6)="TODAY:"),"T",IF(OR(LEFT(UPPER(TRIM(A1455)),2)="B:",LEFT(UPPER(TRIM(A1455)),8)="BLOCKER:",LEFT(UPPER(TRIM(A1455)),9)="BLOCKERS:",LEFT(UPPER(TRIM(A1455)),8)="BLOCKED:"),"B",""))))</f>
      </c>
      <c r="E1455" s="17">
        <f>IF(D1455="","",TRIM(MID(A1455,FIND(":",A1455)+1,500)))</f>
      </c>
    </row>
    <row r="1456">
      <c r="B1456" s="17">
        <f>IF(A1456="","",IF(COUNTIF(Roster[Name],IF(RIGHT(IF(LEFT(TRIM(A1456),1)="[",TRIM(MID(TRIM(A1456),FIND("]",TRIM(A1456)&amp;"]")+1,200)),TRIM(A1456)),1)=")",TRIM(LEFT(IF(LEFT(TRIM(A1456),1)="[",TRIM(MID(TRIM(A1456),FIND("]",TRIM(A1456)&amp;"]")+1,200)),TRIM(A1456)),FIND("(",IF(LEFT(TRIM(A1456),1)="[",TRIM(MID(TRIM(A1456),FIND("]",TRIM(A1456)&amp;"]")+1,200)),TRIM(A1456))&amp;"(")-1)),IF(LEFT(TRIM(A1456),1)="[",TRIM(MID(TRIM(A1456),FIND("]",TRIM(A1456)&amp;"]")+1,200)),TRIM(A1456))))&gt;0,IF(RIGHT(IF(LEFT(TRIM(A1456),1)="[",TRIM(MID(TRIM(A1456),FIND("]",TRIM(A1456)&amp;"]")+1,200)),TRIM(A1456)),1)=")",TRIM(LEFT(IF(LEFT(TRIM(A1456),1)="[",TRIM(MID(TRIM(A1456),FIND("]",TRIM(A1456)&amp;"]")+1,200)),TRIM(A1456)),FIND("(",IF(LEFT(TRIM(A1456),1)="[",TRIM(MID(TRIM(A1456),FIND("]",TRIM(A1456)&amp;"]")+1,200)),TRIM(A1456))&amp;"(")-1)),IF(LEFT(TRIM(A1456),1)="[",TRIM(MID(TRIM(A1456),FIND("]",TRIM(A1456)&amp;"]")+1,200)),TRIM(A1456))),""))</f>
      </c>
      <c r="C1456" s="17">
        <f>IF(B1456&lt;&gt;"",B1456,C1455)</f>
      </c>
      <c r="D1456" s="17">
        <f>IF(A1456="","",IF(OR(LEFT(UPPER(TRIM(A1456)),2)="Y:",LEFT(UPPER(TRIM(A1456)),10)="YESTERDAY:"),"Y",IF(OR(LEFT(UPPER(TRIM(A1456)),2)="T:",LEFT(UPPER(TRIM(A1456)),6)="TODAY:"),"T",IF(OR(LEFT(UPPER(TRIM(A1456)),2)="B:",LEFT(UPPER(TRIM(A1456)),8)="BLOCKER:",LEFT(UPPER(TRIM(A1456)),9)="BLOCKERS:",LEFT(UPPER(TRIM(A1456)),8)="BLOCKED:"),"B",""))))</f>
      </c>
      <c r="E1456" s="17">
        <f>IF(D1456="","",TRIM(MID(A1456,FIND(":",A1456)+1,500)))</f>
      </c>
    </row>
    <row r="1457">
      <c r="B1457" s="17">
        <f>IF(A1457="","",IF(COUNTIF(Roster[Name],IF(RIGHT(IF(LEFT(TRIM(A1457),1)="[",TRIM(MID(TRIM(A1457),FIND("]",TRIM(A1457)&amp;"]")+1,200)),TRIM(A1457)),1)=")",TRIM(LEFT(IF(LEFT(TRIM(A1457),1)="[",TRIM(MID(TRIM(A1457),FIND("]",TRIM(A1457)&amp;"]")+1,200)),TRIM(A1457)),FIND("(",IF(LEFT(TRIM(A1457),1)="[",TRIM(MID(TRIM(A1457),FIND("]",TRIM(A1457)&amp;"]")+1,200)),TRIM(A1457))&amp;"(")-1)),IF(LEFT(TRIM(A1457),1)="[",TRIM(MID(TRIM(A1457),FIND("]",TRIM(A1457)&amp;"]")+1,200)),TRIM(A1457))))&gt;0,IF(RIGHT(IF(LEFT(TRIM(A1457),1)="[",TRIM(MID(TRIM(A1457),FIND("]",TRIM(A1457)&amp;"]")+1,200)),TRIM(A1457)),1)=")",TRIM(LEFT(IF(LEFT(TRIM(A1457),1)="[",TRIM(MID(TRIM(A1457),FIND("]",TRIM(A1457)&amp;"]")+1,200)),TRIM(A1457)),FIND("(",IF(LEFT(TRIM(A1457),1)="[",TRIM(MID(TRIM(A1457),FIND("]",TRIM(A1457)&amp;"]")+1,200)),TRIM(A1457))&amp;"(")-1)),IF(LEFT(TRIM(A1457),1)="[",TRIM(MID(TRIM(A1457),FIND("]",TRIM(A1457)&amp;"]")+1,200)),TRIM(A1457))),""))</f>
      </c>
      <c r="C1457" s="17">
        <f>IF(B1457&lt;&gt;"",B1457,C1456)</f>
      </c>
      <c r="D1457" s="17">
        <f>IF(A1457="","",IF(OR(LEFT(UPPER(TRIM(A1457)),2)="Y:",LEFT(UPPER(TRIM(A1457)),10)="YESTERDAY:"),"Y",IF(OR(LEFT(UPPER(TRIM(A1457)),2)="T:",LEFT(UPPER(TRIM(A1457)),6)="TODAY:"),"T",IF(OR(LEFT(UPPER(TRIM(A1457)),2)="B:",LEFT(UPPER(TRIM(A1457)),8)="BLOCKER:",LEFT(UPPER(TRIM(A1457)),9)="BLOCKERS:",LEFT(UPPER(TRIM(A1457)),8)="BLOCKED:"),"B",""))))</f>
      </c>
      <c r="E1457" s="17">
        <f>IF(D1457="","",TRIM(MID(A1457,FIND(":",A1457)+1,500)))</f>
      </c>
    </row>
    <row r="1458">
      <c r="B1458" s="17">
        <f>IF(A1458="","",IF(COUNTIF(Roster[Name],IF(RIGHT(IF(LEFT(TRIM(A1458),1)="[",TRIM(MID(TRIM(A1458),FIND("]",TRIM(A1458)&amp;"]")+1,200)),TRIM(A1458)),1)=")",TRIM(LEFT(IF(LEFT(TRIM(A1458),1)="[",TRIM(MID(TRIM(A1458),FIND("]",TRIM(A1458)&amp;"]")+1,200)),TRIM(A1458)),FIND("(",IF(LEFT(TRIM(A1458),1)="[",TRIM(MID(TRIM(A1458),FIND("]",TRIM(A1458)&amp;"]")+1,200)),TRIM(A1458))&amp;"(")-1)),IF(LEFT(TRIM(A1458),1)="[",TRIM(MID(TRIM(A1458),FIND("]",TRIM(A1458)&amp;"]")+1,200)),TRIM(A1458))))&gt;0,IF(RIGHT(IF(LEFT(TRIM(A1458),1)="[",TRIM(MID(TRIM(A1458),FIND("]",TRIM(A1458)&amp;"]")+1,200)),TRIM(A1458)),1)=")",TRIM(LEFT(IF(LEFT(TRIM(A1458),1)="[",TRIM(MID(TRIM(A1458),FIND("]",TRIM(A1458)&amp;"]")+1,200)),TRIM(A1458)),FIND("(",IF(LEFT(TRIM(A1458),1)="[",TRIM(MID(TRIM(A1458),FIND("]",TRIM(A1458)&amp;"]")+1,200)),TRIM(A1458))&amp;"(")-1)),IF(LEFT(TRIM(A1458),1)="[",TRIM(MID(TRIM(A1458),FIND("]",TRIM(A1458)&amp;"]")+1,200)),TRIM(A1458))),""))</f>
      </c>
      <c r="C1458" s="17">
        <f>IF(B1458&lt;&gt;"",B1458,C1457)</f>
      </c>
      <c r="D1458" s="17">
        <f>IF(A1458="","",IF(OR(LEFT(UPPER(TRIM(A1458)),2)="Y:",LEFT(UPPER(TRIM(A1458)),10)="YESTERDAY:"),"Y",IF(OR(LEFT(UPPER(TRIM(A1458)),2)="T:",LEFT(UPPER(TRIM(A1458)),6)="TODAY:"),"T",IF(OR(LEFT(UPPER(TRIM(A1458)),2)="B:",LEFT(UPPER(TRIM(A1458)),8)="BLOCKER:",LEFT(UPPER(TRIM(A1458)),9)="BLOCKERS:",LEFT(UPPER(TRIM(A1458)),8)="BLOCKED:"),"B",""))))</f>
      </c>
      <c r="E1458" s="17">
        <f>IF(D1458="","",TRIM(MID(A1458,FIND(":",A1458)+1,500)))</f>
      </c>
    </row>
    <row r="1459">
      <c r="B1459" s="17">
        <f>IF(A1459="","",IF(COUNTIF(Roster[Name],IF(RIGHT(IF(LEFT(TRIM(A1459),1)="[",TRIM(MID(TRIM(A1459),FIND("]",TRIM(A1459)&amp;"]")+1,200)),TRIM(A1459)),1)=")",TRIM(LEFT(IF(LEFT(TRIM(A1459),1)="[",TRIM(MID(TRIM(A1459),FIND("]",TRIM(A1459)&amp;"]")+1,200)),TRIM(A1459)),FIND("(",IF(LEFT(TRIM(A1459),1)="[",TRIM(MID(TRIM(A1459),FIND("]",TRIM(A1459)&amp;"]")+1,200)),TRIM(A1459))&amp;"(")-1)),IF(LEFT(TRIM(A1459),1)="[",TRIM(MID(TRIM(A1459),FIND("]",TRIM(A1459)&amp;"]")+1,200)),TRIM(A1459))))&gt;0,IF(RIGHT(IF(LEFT(TRIM(A1459),1)="[",TRIM(MID(TRIM(A1459),FIND("]",TRIM(A1459)&amp;"]")+1,200)),TRIM(A1459)),1)=")",TRIM(LEFT(IF(LEFT(TRIM(A1459),1)="[",TRIM(MID(TRIM(A1459),FIND("]",TRIM(A1459)&amp;"]")+1,200)),TRIM(A1459)),FIND("(",IF(LEFT(TRIM(A1459),1)="[",TRIM(MID(TRIM(A1459),FIND("]",TRIM(A1459)&amp;"]")+1,200)),TRIM(A1459))&amp;"(")-1)),IF(LEFT(TRIM(A1459),1)="[",TRIM(MID(TRIM(A1459),FIND("]",TRIM(A1459)&amp;"]")+1,200)),TRIM(A1459))),""))</f>
      </c>
      <c r="C1459" s="17">
        <f>IF(B1459&lt;&gt;"",B1459,C1458)</f>
      </c>
      <c r="D1459" s="17">
        <f>IF(A1459="","",IF(OR(LEFT(UPPER(TRIM(A1459)),2)="Y:",LEFT(UPPER(TRIM(A1459)),10)="YESTERDAY:"),"Y",IF(OR(LEFT(UPPER(TRIM(A1459)),2)="T:",LEFT(UPPER(TRIM(A1459)),6)="TODAY:"),"T",IF(OR(LEFT(UPPER(TRIM(A1459)),2)="B:",LEFT(UPPER(TRIM(A1459)),8)="BLOCKER:",LEFT(UPPER(TRIM(A1459)),9)="BLOCKERS:",LEFT(UPPER(TRIM(A1459)),8)="BLOCKED:"),"B",""))))</f>
      </c>
      <c r="E1459" s="17">
        <f>IF(D1459="","",TRIM(MID(A1459,FIND(":",A1459)+1,500)))</f>
      </c>
    </row>
    <row r="1460">
      <c r="B1460" s="17">
        <f>IF(A1460="","",IF(COUNTIF(Roster[Name],IF(RIGHT(IF(LEFT(TRIM(A1460),1)="[",TRIM(MID(TRIM(A1460),FIND("]",TRIM(A1460)&amp;"]")+1,200)),TRIM(A1460)),1)=")",TRIM(LEFT(IF(LEFT(TRIM(A1460),1)="[",TRIM(MID(TRIM(A1460),FIND("]",TRIM(A1460)&amp;"]")+1,200)),TRIM(A1460)),FIND("(",IF(LEFT(TRIM(A1460),1)="[",TRIM(MID(TRIM(A1460),FIND("]",TRIM(A1460)&amp;"]")+1,200)),TRIM(A1460))&amp;"(")-1)),IF(LEFT(TRIM(A1460),1)="[",TRIM(MID(TRIM(A1460),FIND("]",TRIM(A1460)&amp;"]")+1,200)),TRIM(A1460))))&gt;0,IF(RIGHT(IF(LEFT(TRIM(A1460),1)="[",TRIM(MID(TRIM(A1460),FIND("]",TRIM(A1460)&amp;"]")+1,200)),TRIM(A1460)),1)=")",TRIM(LEFT(IF(LEFT(TRIM(A1460),1)="[",TRIM(MID(TRIM(A1460),FIND("]",TRIM(A1460)&amp;"]")+1,200)),TRIM(A1460)),FIND("(",IF(LEFT(TRIM(A1460),1)="[",TRIM(MID(TRIM(A1460),FIND("]",TRIM(A1460)&amp;"]")+1,200)),TRIM(A1460))&amp;"(")-1)),IF(LEFT(TRIM(A1460),1)="[",TRIM(MID(TRIM(A1460),FIND("]",TRIM(A1460)&amp;"]")+1,200)),TRIM(A1460))),""))</f>
      </c>
      <c r="C1460" s="17">
        <f>IF(B1460&lt;&gt;"",B1460,C1459)</f>
      </c>
      <c r="D1460" s="17">
        <f>IF(A1460="","",IF(OR(LEFT(UPPER(TRIM(A1460)),2)="Y:",LEFT(UPPER(TRIM(A1460)),10)="YESTERDAY:"),"Y",IF(OR(LEFT(UPPER(TRIM(A1460)),2)="T:",LEFT(UPPER(TRIM(A1460)),6)="TODAY:"),"T",IF(OR(LEFT(UPPER(TRIM(A1460)),2)="B:",LEFT(UPPER(TRIM(A1460)),8)="BLOCKER:",LEFT(UPPER(TRIM(A1460)),9)="BLOCKERS:",LEFT(UPPER(TRIM(A1460)),8)="BLOCKED:"),"B",""))))</f>
      </c>
      <c r="E1460" s="17">
        <f>IF(D1460="","",TRIM(MID(A1460,FIND(":",A1460)+1,500)))</f>
      </c>
    </row>
    <row r="1461">
      <c r="B1461" s="17">
        <f>IF(A1461="","",IF(COUNTIF(Roster[Name],IF(RIGHT(IF(LEFT(TRIM(A1461),1)="[",TRIM(MID(TRIM(A1461),FIND("]",TRIM(A1461)&amp;"]")+1,200)),TRIM(A1461)),1)=")",TRIM(LEFT(IF(LEFT(TRIM(A1461),1)="[",TRIM(MID(TRIM(A1461),FIND("]",TRIM(A1461)&amp;"]")+1,200)),TRIM(A1461)),FIND("(",IF(LEFT(TRIM(A1461),1)="[",TRIM(MID(TRIM(A1461),FIND("]",TRIM(A1461)&amp;"]")+1,200)),TRIM(A1461))&amp;"(")-1)),IF(LEFT(TRIM(A1461),1)="[",TRIM(MID(TRIM(A1461),FIND("]",TRIM(A1461)&amp;"]")+1,200)),TRIM(A1461))))&gt;0,IF(RIGHT(IF(LEFT(TRIM(A1461),1)="[",TRIM(MID(TRIM(A1461),FIND("]",TRIM(A1461)&amp;"]")+1,200)),TRIM(A1461)),1)=")",TRIM(LEFT(IF(LEFT(TRIM(A1461),1)="[",TRIM(MID(TRIM(A1461),FIND("]",TRIM(A1461)&amp;"]")+1,200)),TRIM(A1461)),FIND("(",IF(LEFT(TRIM(A1461),1)="[",TRIM(MID(TRIM(A1461),FIND("]",TRIM(A1461)&amp;"]")+1,200)),TRIM(A1461))&amp;"(")-1)),IF(LEFT(TRIM(A1461),1)="[",TRIM(MID(TRIM(A1461),FIND("]",TRIM(A1461)&amp;"]")+1,200)),TRIM(A1461))),""))</f>
      </c>
      <c r="C1461" s="17">
        <f>IF(B1461&lt;&gt;"",B1461,C1460)</f>
      </c>
      <c r="D1461" s="17">
        <f>IF(A1461="","",IF(OR(LEFT(UPPER(TRIM(A1461)),2)="Y:",LEFT(UPPER(TRIM(A1461)),10)="YESTERDAY:"),"Y",IF(OR(LEFT(UPPER(TRIM(A1461)),2)="T:",LEFT(UPPER(TRIM(A1461)),6)="TODAY:"),"T",IF(OR(LEFT(UPPER(TRIM(A1461)),2)="B:",LEFT(UPPER(TRIM(A1461)),8)="BLOCKER:",LEFT(UPPER(TRIM(A1461)),9)="BLOCKERS:",LEFT(UPPER(TRIM(A1461)),8)="BLOCKED:"),"B",""))))</f>
      </c>
      <c r="E1461" s="17">
        <f>IF(D1461="","",TRIM(MID(A1461,FIND(":",A1461)+1,500)))</f>
      </c>
    </row>
    <row r="1462">
      <c r="B1462" s="17">
        <f>IF(A1462="","",IF(COUNTIF(Roster[Name],IF(RIGHT(IF(LEFT(TRIM(A1462),1)="[",TRIM(MID(TRIM(A1462),FIND("]",TRIM(A1462)&amp;"]")+1,200)),TRIM(A1462)),1)=")",TRIM(LEFT(IF(LEFT(TRIM(A1462),1)="[",TRIM(MID(TRIM(A1462),FIND("]",TRIM(A1462)&amp;"]")+1,200)),TRIM(A1462)),FIND("(",IF(LEFT(TRIM(A1462),1)="[",TRIM(MID(TRIM(A1462),FIND("]",TRIM(A1462)&amp;"]")+1,200)),TRIM(A1462))&amp;"(")-1)),IF(LEFT(TRIM(A1462),1)="[",TRIM(MID(TRIM(A1462),FIND("]",TRIM(A1462)&amp;"]")+1,200)),TRIM(A1462))))&gt;0,IF(RIGHT(IF(LEFT(TRIM(A1462),1)="[",TRIM(MID(TRIM(A1462),FIND("]",TRIM(A1462)&amp;"]")+1,200)),TRIM(A1462)),1)=")",TRIM(LEFT(IF(LEFT(TRIM(A1462),1)="[",TRIM(MID(TRIM(A1462),FIND("]",TRIM(A1462)&amp;"]")+1,200)),TRIM(A1462)),FIND("(",IF(LEFT(TRIM(A1462),1)="[",TRIM(MID(TRIM(A1462),FIND("]",TRIM(A1462)&amp;"]")+1,200)),TRIM(A1462))&amp;"(")-1)),IF(LEFT(TRIM(A1462),1)="[",TRIM(MID(TRIM(A1462),FIND("]",TRIM(A1462)&amp;"]")+1,200)),TRIM(A1462))),""))</f>
      </c>
      <c r="C1462" s="17">
        <f>IF(B1462&lt;&gt;"",B1462,C1461)</f>
      </c>
      <c r="D1462" s="17">
        <f>IF(A1462="","",IF(OR(LEFT(UPPER(TRIM(A1462)),2)="Y:",LEFT(UPPER(TRIM(A1462)),10)="YESTERDAY:"),"Y",IF(OR(LEFT(UPPER(TRIM(A1462)),2)="T:",LEFT(UPPER(TRIM(A1462)),6)="TODAY:"),"T",IF(OR(LEFT(UPPER(TRIM(A1462)),2)="B:",LEFT(UPPER(TRIM(A1462)),8)="BLOCKER:",LEFT(UPPER(TRIM(A1462)),9)="BLOCKERS:",LEFT(UPPER(TRIM(A1462)),8)="BLOCKED:"),"B",""))))</f>
      </c>
      <c r="E1462" s="17">
        <f>IF(D1462="","",TRIM(MID(A1462,FIND(":",A1462)+1,500)))</f>
      </c>
    </row>
    <row r="1463">
      <c r="B1463" s="17">
        <f>IF(A1463="","",IF(COUNTIF(Roster[Name],IF(RIGHT(IF(LEFT(TRIM(A1463),1)="[",TRIM(MID(TRIM(A1463),FIND("]",TRIM(A1463)&amp;"]")+1,200)),TRIM(A1463)),1)=")",TRIM(LEFT(IF(LEFT(TRIM(A1463),1)="[",TRIM(MID(TRIM(A1463),FIND("]",TRIM(A1463)&amp;"]")+1,200)),TRIM(A1463)),FIND("(",IF(LEFT(TRIM(A1463),1)="[",TRIM(MID(TRIM(A1463),FIND("]",TRIM(A1463)&amp;"]")+1,200)),TRIM(A1463))&amp;"(")-1)),IF(LEFT(TRIM(A1463),1)="[",TRIM(MID(TRIM(A1463),FIND("]",TRIM(A1463)&amp;"]")+1,200)),TRIM(A1463))))&gt;0,IF(RIGHT(IF(LEFT(TRIM(A1463),1)="[",TRIM(MID(TRIM(A1463),FIND("]",TRIM(A1463)&amp;"]")+1,200)),TRIM(A1463)),1)=")",TRIM(LEFT(IF(LEFT(TRIM(A1463),1)="[",TRIM(MID(TRIM(A1463),FIND("]",TRIM(A1463)&amp;"]")+1,200)),TRIM(A1463)),FIND("(",IF(LEFT(TRIM(A1463),1)="[",TRIM(MID(TRIM(A1463),FIND("]",TRIM(A1463)&amp;"]")+1,200)),TRIM(A1463))&amp;"(")-1)),IF(LEFT(TRIM(A1463),1)="[",TRIM(MID(TRIM(A1463),FIND("]",TRIM(A1463)&amp;"]")+1,200)),TRIM(A1463))),""))</f>
      </c>
      <c r="C1463" s="17">
        <f>IF(B1463&lt;&gt;"",B1463,C1462)</f>
      </c>
      <c r="D1463" s="17">
        <f>IF(A1463="","",IF(OR(LEFT(UPPER(TRIM(A1463)),2)="Y:",LEFT(UPPER(TRIM(A1463)),10)="YESTERDAY:"),"Y",IF(OR(LEFT(UPPER(TRIM(A1463)),2)="T:",LEFT(UPPER(TRIM(A1463)),6)="TODAY:"),"T",IF(OR(LEFT(UPPER(TRIM(A1463)),2)="B:",LEFT(UPPER(TRIM(A1463)),8)="BLOCKER:",LEFT(UPPER(TRIM(A1463)),9)="BLOCKERS:",LEFT(UPPER(TRIM(A1463)),8)="BLOCKED:"),"B",""))))</f>
      </c>
      <c r="E1463" s="17">
        <f>IF(D1463="","",TRIM(MID(A1463,FIND(":",A1463)+1,500)))</f>
      </c>
    </row>
    <row r="1464">
      <c r="B1464" s="17">
        <f>IF(A1464="","",IF(COUNTIF(Roster[Name],IF(RIGHT(IF(LEFT(TRIM(A1464),1)="[",TRIM(MID(TRIM(A1464),FIND("]",TRIM(A1464)&amp;"]")+1,200)),TRIM(A1464)),1)=")",TRIM(LEFT(IF(LEFT(TRIM(A1464),1)="[",TRIM(MID(TRIM(A1464),FIND("]",TRIM(A1464)&amp;"]")+1,200)),TRIM(A1464)),FIND("(",IF(LEFT(TRIM(A1464),1)="[",TRIM(MID(TRIM(A1464),FIND("]",TRIM(A1464)&amp;"]")+1,200)),TRIM(A1464))&amp;"(")-1)),IF(LEFT(TRIM(A1464),1)="[",TRIM(MID(TRIM(A1464),FIND("]",TRIM(A1464)&amp;"]")+1,200)),TRIM(A1464))))&gt;0,IF(RIGHT(IF(LEFT(TRIM(A1464),1)="[",TRIM(MID(TRIM(A1464),FIND("]",TRIM(A1464)&amp;"]")+1,200)),TRIM(A1464)),1)=")",TRIM(LEFT(IF(LEFT(TRIM(A1464),1)="[",TRIM(MID(TRIM(A1464),FIND("]",TRIM(A1464)&amp;"]")+1,200)),TRIM(A1464)),FIND("(",IF(LEFT(TRIM(A1464),1)="[",TRIM(MID(TRIM(A1464),FIND("]",TRIM(A1464)&amp;"]")+1,200)),TRIM(A1464))&amp;"(")-1)),IF(LEFT(TRIM(A1464),1)="[",TRIM(MID(TRIM(A1464),FIND("]",TRIM(A1464)&amp;"]")+1,200)),TRIM(A1464))),""))</f>
      </c>
      <c r="C1464" s="17">
        <f>IF(B1464&lt;&gt;"",B1464,C1463)</f>
      </c>
      <c r="D1464" s="17">
        <f>IF(A1464="","",IF(OR(LEFT(UPPER(TRIM(A1464)),2)="Y:",LEFT(UPPER(TRIM(A1464)),10)="YESTERDAY:"),"Y",IF(OR(LEFT(UPPER(TRIM(A1464)),2)="T:",LEFT(UPPER(TRIM(A1464)),6)="TODAY:"),"T",IF(OR(LEFT(UPPER(TRIM(A1464)),2)="B:",LEFT(UPPER(TRIM(A1464)),8)="BLOCKER:",LEFT(UPPER(TRIM(A1464)),9)="BLOCKERS:",LEFT(UPPER(TRIM(A1464)),8)="BLOCKED:"),"B",""))))</f>
      </c>
      <c r="E1464" s="17">
        <f>IF(D1464="","",TRIM(MID(A1464,FIND(":",A1464)+1,500)))</f>
      </c>
    </row>
    <row r="1465">
      <c r="B1465" s="17">
        <f>IF(A1465="","",IF(COUNTIF(Roster[Name],IF(RIGHT(IF(LEFT(TRIM(A1465),1)="[",TRIM(MID(TRIM(A1465),FIND("]",TRIM(A1465)&amp;"]")+1,200)),TRIM(A1465)),1)=")",TRIM(LEFT(IF(LEFT(TRIM(A1465),1)="[",TRIM(MID(TRIM(A1465),FIND("]",TRIM(A1465)&amp;"]")+1,200)),TRIM(A1465)),FIND("(",IF(LEFT(TRIM(A1465),1)="[",TRIM(MID(TRIM(A1465),FIND("]",TRIM(A1465)&amp;"]")+1,200)),TRIM(A1465))&amp;"(")-1)),IF(LEFT(TRIM(A1465),1)="[",TRIM(MID(TRIM(A1465),FIND("]",TRIM(A1465)&amp;"]")+1,200)),TRIM(A1465))))&gt;0,IF(RIGHT(IF(LEFT(TRIM(A1465),1)="[",TRIM(MID(TRIM(A1465),FIND("]",TRIM(A1465)&amp;"]")+1,200)),TRIM(A1465)),1)=")",TRIM(LEFT(IF(LEFT(TRIM(A1465),1)="[",TRIM(MID(TRIM(A1465),FIND("]",TRIM(A1465)&amp;"]")+1,200)),TRIM(A1465)),FIND("(",IF(LEFT(TRIM(A1465),1)="[",TRIM(MID(TRIM(A1465),FIND("]",TRIM(A1465)&amp;"]")+1,200)),TRIM(A1465))&amp;"(")-1)),IF(LEFT(TRIM(A1465),1)="[",TRIM(MID(TRIM(A1465),FIND("]",TRIM(A1465)&amp;"]")+1,200)),TRIM(A1465))),""))</f>
      </c>
      <c r="C1465" s="17">
        <f>IF(B1465&lt;&gt;"",B1465,C1464)</f>
      </c>
      <c r="D1465" s="17">
        <f>IF(A1465="","",IF(OR(LEFT(UPPER(TRIM(A1465)),2)="Y:",LEFT(UPPER(TRIM(A1465)),10)="YESTERDAY:"),"Y",IF(OR(LEFT(UPPER(TRIM(A1465)),2)="T:",LEFT(UPPER(TRIM(A1465)),6)="TODAY:"),"T",IF(OR(LEFT(UPPER(TRIM(A1465)),2)="B:",LEFT(UPPER(TRIM(A1465)),8)="BLOCKER:",LEFT(UPPER(TRIM(A1465)),9)="BLOCKERS:",LEFT(UPPER(TRIM(A1465)),8)="BLOCKED:"),"B",""))))</f>
      </c>
      <c r="E1465" s="17">
        <f>IF(D1465="","",TRIM(MID(A1465,FIND(":",A1465)+1,500)))</f>
      </c>
    </row>
    <row r="1466">
      <c r="B1466" s="17">
        <f>IF(A1466="","",IF(COUNTIF(Roster[Name],IF(RIGHT(IF(LEFT(TRIM(A1466),1)="[",TRIM(MID(TRIM(A1466),FIND("]",TRIM(A1466)&amp;"]")+1,200)),TRIM(A1466)),1)=")",TRIM(LEFT(IF(LEFT(TRIM(A1466),1)="[",TRIM(MID(TRIM(A1466),FIND("]",TRIM(A1466)&amp;"]")+1,200)),TRIM(A1466)),FIND("(",IF(LEFT(TRIM(A1466),1)="[",TRIM(MID(TRIM(A1466),FIND("]",TRIM(A1466)&amp;"]")+1,200)),TRIM(A1466))&amp;"(")-1)),IF(LEFT(TRIM(A1466),1)="[",TRIM(MID(TRIM(A1466),FIND("]",TRIM(A1466)&amp;"]")+1,200)),TRIM(A1466))))&gt;0,IF(RIGHT(IF(LEFT(TRIM(A1466),1)="[",TRIM(MID(TRIM(A1466),FIND("]",TRIM(A1466)&amp;"]")+1,200)),TRIM(A1466)),1)=")",TRIM(LEFT(IF(LEFT(TRIM(A1466),1)="[",TRIM(MID(TRIM(A1466),FIND("]",TRIM(A1466)&amp;"]")+1,200)),TRIM(A1466)),FIND("(",IF(LEFT(TRIM(A1466),1)="[",TRIM(MID(TRIM(A1466),FIND("]",TRIM(A1466)&amp;"]")+1,200)),TRIM(A1466))&amp;"(")-1)),IF(LEFT(TRIM(A1466),1)="[",TRIM(MID(TRIM(A1466),FIND("]",TRIM(A1466)&amp;"]")+1,200)),TRIM(A1466))),""))</f>
      </c>
      <c r="C1466" s="17">
        <f>IF(B1466&lt;&gt;"",B1466,C1465)</f>
      </c>
      <c r="D1466" s="17">
        <f>IF(A1466="","",IF(OR(LEFT(UPPER(TRIM(A1466)),2)="Y:",LEFT(UPPER(TRIM(A1466)),10)="YESTERDAY:"),"Y",IF(OR(LEFT(UPPER(TRIM(A1466)),2)="T:",LEFT(UPPER(TRIM(A1466)),6)="TODAY:"),"T",IF(OR(LEFT(UPPER(TRIM(A1466)),2)="B:",LEFT(UPPER(TRIM(A1466)),8)="BLOCKER:",LEFT(UPPER(TRIM(A1466)),9)="BLOCKERS:",LEFT(UPPER(TRIM(A1466)),8)="BLOCKED:"),"B",""))))</f>
      </c>
      <c r="E1466" s="17">
        <f>IF(D1466="","",TRIM(MID(A1466,FIND(":",A1466)+1,500)))</f>
      </c>
    </row>
    <row r="1467">
      <c r="B1467" s="17">
        <f>IF(A1467="","",IF(COUNTIF(Roster[Name],IF(RIGHT(IF(LEFT(TRIM(A1467),1)="[",TRIM(MID(TRIM(A1467),FIND("]",TRIM(A1467)&amp;"]")+1,200)),TRIM(A1467)),1)=")",TRIM(LEFT(IF(LEFT(TRIM(A1467),1)="[",TRIM(MID(TRIM(A1467),FIND("]",TRIM(A1467)&amp;"]")+1,200)),TRIM(A1467)),FIND("(",IF(LEFT(TRIM(A1467),1)="[",TRIM(MID(TRIM(A1467),FIND("]",TRIM(A1467)&amp;"]")+1,200)),TRIM(A1467))&amp;"(")-1)),IF(LEFT(TRIM(A1467),1)="[",TRIM(MID(TRIM(A1467),FIND("]",TRIM(A1467)&amp;"]")+1,200)),TRIM(A1467))))&gt;0,IF(RIGHT(IF(LEFT(TRIM(A1467),1)="[",TRIM(MID(TRIM(A1467),FIND("]",TRIM(A1467)&amp;"]")+1,200)),TRIM(A1467)),1)=")",TRIM(LEFT(IF(LEFT(TRIM(A1467),1)="[",TRIM(MID(TRIM(A1467),FIND("]",TRIM(A1467)&amp;"]")+1,200)),TRIM(A1467)),FIND("(",IF(LEFT(TRIM(A1467),1)="[",TRIM(MID(TRIM(A1467),FIND("]",TRIM(A1467)&amp;"]")+1,200)),TRIM(A1467))&amp;"(")-1)),IF(LEFT(TRIM(A1467),1)="[",TRIM(MID(TRIM(A1467),FIND("]",TRIM(A1467)&amp;"]")+1,200)),TRIM(A1467))),""))</f>
      </c>
      <c r="C1467" s="17">
        <f>IF(B1467&lt;&gt;"",B1467,C1466)</f>
      </c>
      <c r="D1467" s="17">
        <f>IF(A1467="","",IF(OR(LEFT(UPPER(TRIM(A1467)),2)="Y:",LEFT(UPPER(TRIM(A1467)),10)="YESTERDAY:"),"Y",IF(OR(LEFT(UPPER(TRIM(A1467)),2)="T:",LEFT(UPPER(TRIM(A1467)),6)="TODAY:"),"T",IF(OR(LEFT(UPPER(TRIM(A1467)),2)="B:",LEFT(UPPER(TRIM(A1467)),8)="BLOCKER:",LEFT(UPPER(TRIM(A1467)),9)="BLOCKERS:",LEFT(UPPER(TRIM(A1467)),8)="BLOCKED:"),"B",""))))</f>
      </c>
      <c r="E1467" s="17">
        <f>IF(D1467="","",TRIM(MID(A1467,FIND(":",A1467)+1,500)))</f>
      </c>
    </row>
    <row r="1468">
      <c r="B1468" s="17">
        <f>IF(A1468="","",IF(COUNTIF(Roster[Name],IF(RIGHT(IF(LEFT(TRIM(A1468),1)="[",TRIM(MID(TRIM(A1468),FIND("]",TRIM(A1468)&amp;"]")+1,200)),TRIM(A1468)),1)=")",TRIM(LEFT(IF(LEFT(TRIM(A1468),1)="[",TRIM(MID(TRIM(A1468),FIND("]",TRIM(A1468)&amp;"]")+1,200)),TRIM(A1468)),FIND("(",IF(LEFT(TRIM(A1468),1)="[",TRIM(MID(TRIM(A1468),FIND("]",TRIM(A1468)&amp;"]")+1,200)),TRIM(A1468))&amp;"(")-1)),IF(LEFT(TRIM(A1468),1)="[",TRIM(MID(TRIM(A1468),FIND("]",TRIM(A1468)&amp;"]")+1,200)),TRIM(A1468))))&gt;0,IF(RIGHT(IF(LEFT(TRIM(A1468),1)="[",TRIM(MID(TRIM(A1468),FIND("]",TRIM(A1468)&amp;"]")+1,200)),TRIM(A1468)),1)=")",TRIM(LEFT(IF(LEFT(TRIM(A1468),1)="[",TRIM(MID(TRIM(A1468),FIND("]",TRIM(A1468)&amp;"]")+1,200)),TRIM(A1468)),FIND("(",IF(LEFT(TRIM(A1468),1)="[",TRIM(MID(TRIM(A1468),FIND("]",TRIM(A1468)&amp;"]")+1,200)),TRIM(A1468))&amp;"(")-1)),IF(LEFT(TRIM(A1468),1)="[",TRIM(MID(TRIM(A1468),FIND("]",TRIM(A1468)&amp;"]")+1,200)),TRIM(A1468))),""))</f>
      </c>
      <c r="C1468" s="17">
        <f>IF(B1468&lt;&gt;"",B1468,C1467)</f>
      </c>
      <c r="D1468" s="17">
        <f>IF(A1468="","",IF(OR(LEFT(UPPER(TRIM(A1468)),2)="Y:",LEFT(UPPER(TRIM(A1468)),10)="YESTERDAY:"),"Y",IF(OR(LEFT(UPPER(TRIM(A1468)),2)="T:",LEFT(UPPER(TRIM(A1468)),6)="TODAY:"),"T",IF(OR(LEFT(UPPER(TRIM(A1468)),2)="B:",LEFT(UPPER(TRIM(A1468)),8)="BLOCKER:",LEFT(UPPER(TRIM(A1468)),9)="BLOCKERS:",LEFT(UPPER(TRIM(A1468)),8)="BLOCKED:"),"B",""))))</f>
      </c>
      <c r="E1468" s="17">
        <f>IF(D1468="","",TRIM(MID(A1468,FIND(":",A1468)+1,500)))</f>
      </c>
    </row>
    <row r="1469">
      <c r="B1469" s="17">
        <f>IF(A1469="","",IF(COUNTIF(Roster[Name],IF(RIGHT(IF(LEFT(TRIM(A1469),1)="[",TRIM(MID(TRIM(A1469),FIND("]",TRIM(A1469)&amp;"]")+1,200)),TRIM(A1469)),1)=")",TRIM(LEFT(IF(LEFT(TRIM(A1469),1)="[",TRIM(MID(TRIM(A1469),FIND("]",TRIM(A1469)&amp;"]")+1,200)),TRIM(A1469)),FIND("(",IF(LEFT(TRIM(A1469),1)="[",TRIM(MID(TRIM(A1469),FIND("]",TRIM(A1469)&amp;"]")+1,200)),TRIM(A1469))&amp;"(")-1)),IF(LEFT(TRIM(A1469),1)="[",TRIM(MID(TRIM(A1469),FIND("]",TRIM(A1469)&amp;"]")+1,200)),TRIM(A1469))))&gt;0,IF(RIGHT(IF(LEFT(TRIM(A1469),1)="[",TRIM(MID(TRIM(A1469),FIND("]",TRIM(A1469)&amp;"]")+1,200)),TRIM(A1469)),1)=")",TRIM(LEFT(IF(LEFT(TRIM(A1469),1)="[",TRIM(MID(TRIM(A1469),FIND("]",TRIM(A1469)&amp;"]")+1,200)),TRIM(A1469)),FIND("(",IF(LEFT(TRIM(A1469),1)="[",TRIM(MID(TRIM(A1469),FIND("]",TRIM(A1469)&amp;"]")+1,200)),TRIM(A1469))&amp;"(")-1)),IF(LEFT(TRIM(A1469),1)="[",TRIM(MID(TRIM(A1469),FIND("]",TRIM(A1469)&amp;"]")+1,200)),TRIM(A1469))),""))</f>
      </c>
      <c r="C1469" s="17">
        <f>IF(B1469&lt;&gt;"",B1469,C1468)</f>
      </c>
      <c r="D1469" s="17">
        <f>IF(A1469="","",IF(OR(LEFT(UPPER(TRIM(A1469)),2)="Y:",LEFT(UPPER(TRIM(A1469)),10)="YESTERDAY:"),"Y",IF(OR(LEFT(UPPER(TRIM(A1469)),2)="T:",LEFT(UPPER(TRIM(A1469)),6)="TODAY:"),"T",IF(OR(LEFT(UPPER(TRIM(A1469)),2)="B:",LEFT(UPPER(TRIM(A1469)),8)="BLOCKER:",LEFT(UPPER(TRIM(A1469)),9)="BLOCKERS:",LEFT(UPPER(TRIM(A1469)),8)="BLOCKED:"),"B",""))))</f>
      </c>
      <c r="E1469" s="17">
        <f>IF(D1469="","",TRIM(MID(A1469,FIND(":",A1469)+1,500)))</f>
      </c>
    </row>
    <row r="1470">
      <c r="B1470" s="17">
        <f>IF(A1470="","",IF(COUNTIF(Roster[Name],IF(RIGHT(IF(LEFT(TRIM(A1470),1)="[",TRIM(MID(TRIM(A1470),FIND("]",TRIM(A1470)&amp;"]")+1,200)),TRIM(A1470)),1)=")",TRIM(LEFT(IF(LEFT(TRIM(A1470),1)="[",TRIM(MID(TRIM(A1470),FIND("]",TRIM(A1470)&amp;"]")+1,200)),TRIM(A1470)),FIND("(",IF(LEFT(TRIM(A1470),1)="[",TRIM(MID(TRIM(A1470),FIND("]",TRIM(A1470)&amp;"]")+1,200)),TRIM(A1470))&amp;"(")-1)),IF(LEFT(TRIM(A1470),1)="[",TRIM(MID(TRIM(A1470),FIND("]",TRIM(A1470)&amp;"]")+1,200)),TRIM(A1470))))&gt;0,IF(RIGHT(IF(LEFT(TRIM(A1470),1)="[",TRIM(MID(TRIM(A1470),FIND("]",TRIM(A1470)&amp;"]")+1,200)),TRIM(A1470)),1)=")",TRIM(LEFT(IF(LEFT(TRIM(A1470),1)="[",TRIM(MID(TRIM(A1470),FIND("]",TRIM(A1470)&amp;"]")+1,200)),TRIM(A1470)),FIND("(",IF(LEFT(TRIM(A1470),1)="[",TRIM(MID(TRIM(A1470),FIND("]",TRIM(A1470)&amp;"]")+1,200)),TRIM(A1470))&amp;"(")-1)),IF(LEFT(TRIM(A1470),1)="[",TRIM(MID(TRIM(A1470),FIND("]",TRIM(A1470)&amp;"]")+1,200)),TRIM(A1470))),""))</f>
      </c>
      <c r="C1470" s="17">
        <f>IF(B1470&lt;&gt;"",B1470,C1469)</f>
      </c>
      <c r="D1470" s="17">
        <f>IF(A1470="","",IF(OR(LEFT(UPPER(TRIM(A1470)),2)="Y:",LEFT(UPPER(TRIM(A1470)),10)="YESTERDAY:"),"Y",IF(OR(LEFT(UPPER(TRIM(A1470)),2)="T:",LEFT(UPPER(TRIM(A1470)),6)="TODAY:"),"T",IF(OR(LEFT(UPPER(TRIM(A1470)),2)="B:",LEFT(UPPER(TRIM(A1470)),8)="BLOCKER:",LEFT(UPPER(TRIM(A1470)),9)="BLOCKERS:",LEFT(UPPER(TRIM(A1470)),8)="BLOCKED:"),"B",""))))</f>
      </c>
      <c r="E1470" s="17">
        <f>IF(D1470="","",TRIM(MID(A1470,FIND(":",A1470)+1,500)))</f>
      </c>
    </row>
    <row r="1471">
      <c r="B1471" s="17">
        <f>IF(A1471="","",IF(COUNTIF(Roster[Name],IF(RIGHT(IF(LEFT(TRIM(A1471),1)="[",TRIM(MID(TRIM(A1471),FIND("]",TRIM(A1471)&amp;"]")+1,200)),TRIM(A1471)),1)=")",TRIM(LEFT(IF(LEFT(TRIM(A1471),1)="[",TRIM(MID(TRIM(A1471),FIND("]",TRIM(A1471)&amp;"]")+1,200)),TRIM(A1471)),FIND("(",IF(LEFT(TRIM(A1471),1)="[",TRIM(MID(TRIM(A1471),FIND("]",TRIM(A1471)&amp;"]")+1,200)),TRIM(A1471))&amp;"(")-1)),IF(LEFT(TRIM(A1471),1)="[",TRIM(MID(TRIM(A1471),FIND("]",TRIM(A1471)&amp;"]")+1,200)),TRIM(A1471))))&gt;0,IF(RIGHT(IF(LEFT(TRIM(A1471),1)="[",TRIM(MID(TRIM(A1471),FIND("]",TRIM(A1471)&amp;"]")+1,200)),TRIM(A1471)),1)=")",TRIM(LEFT(IF(LEFT(TRIM(A1471),1)="[",TRIM(MID(TRIM(A1471),FIND("]",TRIM(A1471)&amp;"]")+1,200)),TRIM(A1471)),FIND("(",IF(LEFT(TRIM(A1471),1)="[",TRIM(MID(TRIM(A1471),FIND("]",TRIM(A1471)&amp;"]")+1,200)),TRIM(A1471))&amp;"(")-1)),IF(LEFT(TRIM(A1471),1)="[",TRIM(MID(TRIM(A1471),FIND("]",TRIM(A1471)&amp;"]")+1,200)),TRIM(A1471))),""))</f>
      </c>
      <c r="C1471" s="17">
        <f>IF(B1471&lt;&gt;"",B1471,C1470)</f>
      </c>
      <c r="D1471" s="17">
        <f>IF(A1471="","",IF(OR(LEFT(UPPER(TRIM(A1471)),2)="Y:",LEFT(UPPER(TRIM(A1471)),10)="YESTERDAY:"),"Y",IF(OR(LEFT(UPPER(TRIM(A1471)),2)="T:",LEFT(UPPER(TRIM(A1471)),6)="TODAY:"),"T",IF(OR(LEFT(UPPER(TRIM(A1471)),2)="B:",LEFT(UPPER(TRIM(A1471)),8)="BLOCKER:",LEFT(UPPER(TRIM(A1471)),9)="BLOCKERS:",LEFT(UPPER(TRIM(A1471)),8)="BLOCKED:"),"B",""))))</f>
      </c>
      <c r="E1471" s="17">
        <f>IF(D1471="","",TRIM(MID(A1471,FIND(":",A1471)+1,500)))</f>
      </c>
    </row>
    <row r="1472">
      <c r="B1472" s="17">
        <f>IF(A1472="","",IF(COUNTIF(Roster[Name],IF(RIGHT(IF(LEFT(TRIM(A1472),1)="[",TRIM(MID(TRIM(A1472),FIND("]",TRIM(A1472)&amp;"]")+1,200)),TRIM(A1472)),1)=")",TRIM(LEFT(IF(LEFT(TRIM(A1472),1)="[",TRIM(MID(TRIM(A1472),FIND("]",TRIM(A1472)&amp;"]")+1,200)),TRIM(A1472)),FIND("(",IF(LEFT(TRIM(A1472),1)="[",TRIM(MID(TRIM(A1472),FIND("]",TRIM(A1472)&amp;"]")+1,200)),TRIM(A1472))&amp;"(")-1)),IF(LEFT(TRIM(A1472),1)="[",TRIM(MID(TRIM(A1472),FIND("]",TRIM(A1472)&amp;"]")+1,200)),TRIM(A1472))))&gt;0,IF(RIGHT(IF(LEFT(TRIM(A1472),1)="[",TRIM(MID(TRIM(A1472),FIND("]",TRIM(A1472)&amp;"]")+1,200)),TRIM(A1472)),1)=")",TRIM(LEFT(IF(LEFT(TRIM(A1472),1)="[",TRIM(MID(TRIM(A1472),FIND("]",TRIM(A1472)&amp;"]")+1,200)),TRIM(A1472)),FIND("(",IF(LEFT(TRIM(A1472),1)="[",TRIM(MID(TRIM(A1472),FIND("]",TRIM(A1472)&amp;"]")+1,200)),TRIM(A1472))&amp;"(")-1)),IF(LEFT(TRIM(A1472),1)="[",TRIM(MID(TRIM(A1472),FIND("]",TRIM(A1472)&amp;"]")+1,200)),TRIM(A1472))),""))</f>
      </c>
      <c r="C1472" s="17">
        <f>IF(B1472&lt;&gt;"",B1472,C1471)</f>
      </c>
      <c r="D1472" s="17">
        <f>IF(A1472="","",IF(OR(LEFT(UPPER(TRIM(A1472)),2)="Y:",LEFT(UPPER(TRIM(A1472)),10)="YESTERDAY:"),"Y",IF(OR(LEFT(UPPER(TRIM(A1472)),2)="T:",LEFT(UPPER(TRIM(A1472)),6)="TODAY:"),"T",IF(OR(LEFT(UPPER(TRIM(A1472)),2)="B:",LEFT(UPPER(TRIM(A1472)),8)="BLOCKER:",LEFT(UPPER(TRIM(A1472)),9)="BLOCKERS:",LEFT(UPPER(TRIM(A1472)),8)="BLOCKED:"),"B",""))))</f>
      </c>
      <c r="E1472" s="17">
        <f>IF(D1472="","",TRIM(MID(A1472,FIND(":",A1472)+1,500)))</f>
      </c>
    </row>
    <row r="1473">
      <c r="B1473" s="17">
        <f>IF(A1473="","",IF(COUNTIF(Roster[Name],IF(RIGHT(IF(LEFT(TRIM(A1473),1)="[",TRIM(MID(TRIM(A1473),FIND("]",TRIM(A1473)&amp;"]")+1,200)),TRIM(A1473)),1)=")",TRIM(LEFT(IF(LEFT(TRIM(A1473),1)="[",TRIM(MID(TRIM(A1473),FIND("]",TRIM(A1473)&amp;"]")+1,200)),TRIM(A1473)),FIND("(",IF(LEFT(TRIM(A1473),1)="[",TRIM(MID(TRIM(A1473),FIND("]",TRIM(A1473)&amp;"]")+1,200)),TRIM(A1473))&amp;"(")-1)),IF(LEFT(TRIM(A1473),1)="[",TRIM(MID(TRIM(A1473),FIND("]",TRIM(A1473)&amp;"]")+1,200)),TRIM(A1473))))&gt;0,IF(RIGHT(IF(LEFT(TRIM(A1473),1)="[",TRIM(MID(TRIM(A1473),FIND("]",TRIM(A1473)&amp;"]")+1,200)),TRIM(A1473)),1)=")",TRIM(LEFT(IF(LEFT(TRIM(A1473),1)="[",TRIM(MID(TRIM(A1473),FIND("]",TRIM(A1473)&amp;"]")+1,200)),TRIM(A1473)),FIND("(",IF(LEFT(TRIM(A1473),1)="[",TRIM(MID(TRIM(A1473),FIND("]",TRIM(A1473)&amp;"]")+1,200)),TRIM(A1473))&amp;"(")-1)),IF(LEFT(TRIM(A1473),1)="[",TRIM(MID(TRIM(A1473),FIND("]",TRIM(A1473)&amp;"]")+1,200)),TRIM(A1473))),""))</f>
      </c>
      <c r="C1473" s="17">
        <f>IF(B1473&lt;&gt;"",B1473,C1472)</f>
      </c>
      <c r="D1473" s="17">
        <f>IF(A1473="","",IF(OR(LEFT(UPPER(TRIM(A1473)),2)="Y:",LEFT(UPPER(TRIM(A1473)),10)="YESTERDAY:"),"Y",IF(OR(LEFT(UPPER(TRIM(A1473)),2)="T:",LEFT(UPPER(TRIM(A1473)),6)="TODAY:"),"T",IF(OR(LEFT(UPPER(TRIM(A1473)),2)="B:",LEFT(UPPER(TRIM(A1473)),8)="BLOCKER:",LEFT(UPPER(TRIM(A1473)),9)="BLOCKERS:",LEFT(UPPER(TRIM(A1473)),8)="BLOCKED:"),"B",""))))</f>
      </c>
      <c r="E1473" s="17">
        <f>IF(D1473="","",TRIM(MID(A1473,FIND(":",A1473)+1,500)))</f>
      </c>
    </row>
    <row r="1474">
      <c r="B1474" s="17">
        <f>IF(A1474="","",IF(COUNTIF(Roster[Name],IF(RIGHT(IF(LEFT(TRIM(A1474),1)="[",TRIM(MID(TRIM(A1474),FIND("]",TRIM(A1474)&amp;"]")+1,200)),TRIM(A1474)),1)=")",TRIM(LEFT(IF(LEFT(TRIM(A1474),1)="[",TRIM(MID(TRIM(A1474),FIND("]",TRIM(A1474)&amp;"]")+1,200)),TRIM(A1474)),FIND("(",IF(LEFT(TRIM(A1474),1)="[",TRIM(MID(TRIM(A1474),FIND("]",TRIM(A1474)&amp;"]")+1,200)),TRIM(A1474))&amp;"(")-1)),IF(LEFT(TRIM(A1474),1)="[",TRIM(MID(TRIM(A1474),FIND("]",TRIM(A1474)&amp;"]")+1,200)),TRIM(A1474))))&gt;0,IF(RIGHT(IF(LEFT(TRIM(A1474),1)="[",TRIM(MID(TRIM(A1474),FIND("]",TRIM(A1474)&amp;"]")+1,200)),TRIM(A1474)),1)=")",TRIM(LEFT(IF(LEFT(TRIM(A1474),1)="[",TRIM(MID(TRIM(A1474),FIND("]",TRIM(A1474)&amp;"]")+1,200)),TRIM(A1474)),FIND("(",IF(LEFT(TRIM(A1474),1)="[",TRIM(MID(TRIM(A1474),FIND("]",TRIM(A1474)&amp;"]")+1,200)),TRIM(A1474))&amp;"(")-1)),IF(LEFT(TRIM(A1474),1)="[",TRIM(MID(TRIM(A1474),FIND("]",TRIM(A1474)&amp;"]")+1,200)),TRIM(A1474))),""))</f>
      </c>
      <c r="C1474" s="17">
        <f>IF(B1474&lt;&gt;"",B1474,C1473)</f>
      </c>
      <c r="D1474" s="17">
        <f>IF(A1474="","",IF(OR(LEFT(UPPER(TRIM(A1474)),2)="Y:",LEFT(UPPER(TRIM(A1474)),10)="YESTERDAY:"),"Y",IF(OR(LEFT(UPPER(TRIM(A1474)),2)="T:",LEFT(UPPER(TRIM(A1474)),6)="TODAY:"),"T",IF(OR(LEFT(UPPER(TRIM(A1474)),2)="B:",LEFT(UPPER(TRIM(A1474)),8)="BLOCKER:",LEFT(UPPER(TRIM(A1474)),9)="BLOCKERS:",LEFT(UPPER(TRIM(A1474)),8)="BLOCKED:"),"B",""))))</f>
      </c>
      <c r="E1474" s="17">
        <f>IF(D1474="","",TRIM(MID(A1474,FIND(":",A1474)+1,500)))</f>
      </c>
    </row>
    <row r="1475">
      <c r="B1475" s="17">
        <f>IF(A1475="","",IF(COUNTIF(Roster[Name],IF(RIGHT(IF(LEFT(TRIM(A1475),1)="[",TRIM(MID(TRIM(A1475),FIND("]",TRIM(A1475)&amp;"]")+1,200)),TRIM(A1475)),1)=")",TRIM(LEFT(IF(LEFT(TRIM(A1475),1)="[",TRIM(MID(TRIM(A1475),FIND("]",TRIM(A1475)&amp;"]")+1,200)),TRIM(A1475)),FIND("(",IF(LEFT(TRIM(A1475),1)="[",TRIM(MID(TRIM(A1475),FIND("]",TRIM(A1475)&amp;"]")+1,200)),TRIM(A1475))&amp;"(")-1)),IF(LEFT(TRIM(A1475),1)="[",TRIM(MID(TRIM(A1475),FIND("]",TRIM(A1475)&amp;"]")+1,200)),TRIM(A1475))))&gt;0,IF(RIGHT(IF(LEFT(TRIM(A1475),1)="[",TRIM(MID(TRIM(A1475),FIND("]",TRIM(A1475)&amp;"]")+1,200)),TRIM(A1475)),1)=")",TRIM(LEFT(IF(LEFT(TRIM(A1475),1)="[",TRIM(MID(TRIM(A1475),FIND("]",TRIM(A1475)&amp;"]")+1,200)),TRIM(A1475)),FIND("(",IF(LEFT(TRIM(A1475),1)="[",TRIM(MID(TRIM(A1475),FIND("]",TRIM(A1475)&amp;"]")+1,200)),TRIM(A1475))&amp;"(")-1)),IF(LEFT(TRIM(A1475),1)="[",TRIM(MID(TRIM(A1475),FIND("]",TRIM(A1475)&amp;"]")+1,200)),TRIM(A1475))),""))</f>
      </c>
      <c r="C1475" s="17">
        <f>IF(B1475&lt;&gt;"",B1475,C1474)</f>
      </c>
      <c r="D1475" s="17">
        <f>IF(A1475="","",IF(OR(LEFT(UPPER(TRIM(A1475)),2)="Y:",LEFT(UPPER(TRIM(A1475)),10)="YESTERDAY:"),"Y",IF(OR(LEFT(UPPER(TRIM(A1475)),2)="T:",LEFT(UPPER(TRIM(A1475)),6)="TODAY:"),"T",IF(OR(LEFT(UPPER(TRIM(A1475)),2)="B:",LEFT(UPPER(TRIM(A1475)),8)="BLOCKER:",LEFT(UPPER(TRIM(A1475)),9)="BLOCKERS:",LEFT(UPPER(TRIM(A1475)),8)="BLOCKED:"),"B",""))))</f>
      </c>
      <c r="E1475" s="17">
        <f>IF(D1475="","",TRIM(MID(A1475,FIND(":",A1475)+1,500)))</f>
      </c>
    </row>
    <row r="1476">
      <c r="B1476" s="17">
        <f>IF(A1476="","",IF(COUNTIF(Roster[Name],IF(RIGHT(IF(LEFT(TRIM(A1476),1)="[",TRIM(MID(TRIM(A1476),FIND("]",TRIM(A1476)&amp;"]")+1,200)),TRIM(A1476)),1)=")",TRIM(LEFT(IF(LEFT(TRIM(A1476),1)="[",TRIM(MID(TRIM(A1476),FIND("]",TRIM(A1476)&amp;"]")+1,200)),TRIM(A1476)),FIND("(",IF(LEFT(TRIM(A1476),1)="[",TRIM(MID(TRIM(A1476),FIND("]",TRIM(A1476)&amp;"]")+1,200)),TRIM(A1476))&amp;"(")-1)),IF(LEFT(TRIM(A1476),1)="[",TRIM(MID(TRIM(A1476),FIND("]",TRIM(A1476)&amp;"]")+1,200)),TRIM(A1476))))&gt;0,IF(RIGHT(IF(LEFT(TRIM(A1476),1)="[",TRIM(MID(TRIM(A1476),FIND("]",TRIM(A1476)&amp;"]")+1,200)),TRIM(A1476)),1)=")",TRIM(LEFT(IF(LEFT(TRIM(A1476),1)="[",TRIM(MID(TRIM(A1476),FIND("]",TRIM(A1476)&amp;"]")+1,200)),TRIM(A1476)),FIND("(",IF(LEFT(TRIM(A1476),1)="[",TRIM(MID(TRIM(A1476),FIND("]",TRIM(A1476)&amp;"]")+1,200)),TRIM(A1476))&amp;"(")-1)),IF(LEFT(TRIM(A1476),1)="[",TRIM(MID(TRIM(A1476),FIND("]",TRIM(A1476)&amp;"]")+1,200)),TRIM(A1476))),""))</f>
      </c>
      <c r="C1476" s="17">
        <f>IF(B1476&lt;&gt;"",B1476,C1475)</f>
      </c>
      <c r="D1476" s="17">
        <f>IF(A1476="","",IF(OR(LEFT(UPPER(TRIM(A1476)),2)="Y:",LEFT(UPPER(TRIM(A1476)),10)="YESTERDAY:"),"Y",IF(OR(LEFT(UPPER(TRIM(A1476)),2)="T:",LEFT(UPPER(TRIM(A1476)),6)="TODAY:"),"T",IF(OR(LEFT(UPPER(TRIM(A1476)),2)="B:",LEFT(UPPER(TRIM(A1476)),8)="BLOCKER:",LEFT(UPPER(TRIM(A1476)),9)="BLOCKERS:",LEFT(UPPER(TRIM(A1476)),8)="BLOCKED:"),"B",""))))</f>
      </c>
      <c r="E1476" s="17">
        <f>IF(D1476="","",TRIM(MID(A1476,FIND(":",A1476)+1,500)))</f>
      </c>
    </row>
    <row r="1477">
      <c r="B1477" s="17">
        <f>IF(A1477="","",IF(COUNTIF(Roster[Name],IF(RIGHT(IF(LEFT(TRIM(A1477),1)="[",TRIM(MID(TRIM(A1477),FIND("]",TRIM(A1477)&amp;"]")+1,200)),TRIM(A1477)),1)=")",TRIM(LEFT(IF(LEFT(TRIM(A1477),1)="[",TRIM(MID(TRIM(A1477),FIND("]",TRIM(A1477)&amp;"]")+1,200)),TRIM(A1477)),FIND("(",IF(LEFT(TRIM(A1477),1)="[",TRIM(MID(TRIM(A1477),FIND("]",TRIM(A1477)&amp;"]")+1,200)),TRIM(A1477))&amp;"(")-1)),IF(LEFT(TRIM(A1477),1)="[",TRIM(MID(TRIM(A1477),FIND("]",TRIM(A1477)&amp;"]")+1,200)),TRIM(A1477))))&gt;0,IF(RIGHT(IF(LEFT(TRIM(A1477),1)="[",TRIM(MID(TRIM(A1477),FIND("]",TRIM(A1477)&amp;"]")+1,200)),TRIM(A1477)),1)=")",TRIM(LEFT(IF(LEFT(TRIM(A1477),1)="[",TRIM(MID(TRIM(A1477),FIND("]",TRIM(A1477)&amp;"]")+1,200)),TRIM(A1477)),FIND("(",IF(LEFT(TRIM(A1477),1)="[",TRIM(MID(TRIM(A1477),FIND("]",TRIM(A1477)&amp;"]")+1,200)),TRIM(A1477))&amp;"(")-1)),IF(LEFT(TRIM(A1477),1)="[",TRIM(MID(TRIM(A1477),FIND("]",TRIM(A1477)&amp;"]")+1,200)),TRIM(A1477))),""))</f>
      </c>
      <c r="C1477" s="17">
        <f>IF(B1477&lt;&gt;"",B1477,C1476)</f>
      </c>
      <c r="D1477" s="17">
        <f>IF(A1477="","",IF(OR(LEFT(UPPER(TRIM(A1477)),2)="Y:",LEFT(UPPER(TRIM(A1477)),10)="YESTERDAY:"),"Y",IF(OR(LEFT(UPPER(TRIM(A1477)),2)="T:",LEFT(UPPER(TRIM(A1477)),6)="TODAY:"),"T",IF(OR(LEFT(UPPER(TRIM(A1477)),2)="B:",LEFT(UPPER(TRIM(A1477)),8)="BLOCKER:",LEFT(UPPER(TRIM(A1477)),9)="BLOCKERS:",LEFT(UPPER(TRIM(A1477)),8)="BLOCKED:"),"B",""))))</f>
      </c>
      <c r="E1477" s="17">
        <f>IF(D1477="","",TRIM(MID(A1477,FIND(":",A1477)+1,500)))</f>
      </c>
    </row>
    <row r="1478">
      <c r="B1478" s="17">
        <f>IF(A1478="","",IF(COUNTIF(Roster[Name],IF(RIGHT(IF(LEFT(TRIM(A1478),1)="[",TRIM(MID(TRIM(A1478),FIND("]",TRIM(A1478)&amp;"]")+1,200)),TRIM(A1478)),1)=")",TRIM(LEFT(IF(LEFT(TRIM(A1478),1)="[",TRIM(MID(TRIM(A1478),FIND("]",TRIM(A1478)&amp;"]")+1,200)),TRIM(A1478)),FIND("(",IF(LEFT(TRIM(A1478),1)="[",TRIM(MID(TRIM(A1478),FIND("]",TRIM(A1478)&amp;"]")+1,200)),TRIM(A1478))&amp;"(")-1)),IF(LEFT(TRIM(A1478),1)="[",TRIM(MID(TRIM(A1478),FIND("]",TRIM(A1478)&amp;"]")+1,200)),TRIM(A1478))))&gt;0,IF(RIGHT(IF(LEFT(TRIM(A1478),1)="[",TRIM(MID(TRIM(A1478),FIND("]",TRIM(A1478)&amp;"]")+1,200)),TRIM(A1478)),1)=")",TRIM(LEFT(IF(LEFT(TRIM(A1478),1)="[",TRIM(MID(TRIM(A1478),FIND("]",TRIM(A1478)&amp;"]")+1,200)),TRIM(A1478)),FIND("(",IF(LEFT(TRIM(A1478),1)="[",TRIM(MID(TRIM(A1478),FIND("]",TRIM(A1478)&amp;"]")+1,200)),TRIM(A1478))&amp;"(")-1)),IF(LEFT(TRIM(A1478),1)="[",TRIM(MID(TRIM(A1478),FIND("]",TRIM(A1478)&amp;"]")+1,200)),TRIM(A1478))),""))</f>
      </c>
      <c r="C1478" s="17">
        <f>IF(B1478&lt;&gt;"",B1478,C1477)</f>
      </c>
      <c r="D1478" s="17">
        <f>IF(A1478="","",IF(OR(LEFT(UPPER(TRIM(A1478)),2)="Y:",LEFT(UPPER(TRIM(A1478)),10)="YESTERDAY:"),"Y",IF(OR(LEFT(UPPER(TRIM(A1478)),2)="T:",LEFT(UPPER(TRIM(A1478)),6)="TODAY:"),"T",IF(OR(LEFT(UPPER(TRIM(A1478)),2)="B:",LEFT(UPPER(TRIM(A1478)),8)="BLOCKER:",LEFT(UPPER(TRIM(A1478)),9)="BLOCKERS:",LEFT(UPPER(TRIM(A1478)),8)="BLOCKED:"),"B",""))))</f>
      </c>
      <c r="E1478" s="17">
        <f>IF(D1478="","",TRIM(MID(A1478,FIND(":",A1478)+1,500)))</f>
      </c>
    </row>
    <row r="1479">
      <c r="B1479" s="17">
        <f>IF(A1479="","",IF(COUNTIF(Roster[Name],IF(RIGHT(IF(LEFT(TRIM(A1479),1)="[",TRIM(MID(TRIM(A1479),FIND("]",TRIM(A1479)&amp;"]")+1,200)),TRIM(A1479)),1)=")",TRIM(LEFT(IF(LEFT(TRIM(A1479),1)="[",TRIM(MID(TRIM(A1479),FIND("]",TRIM(A1479)&amp;"]")+1,200)),TRIM(A1479)),FIND("(",IF(LEFT(TRIM(A1479),1)="[",TRIM(MID(TRIM(A1479),FIND("]",TRIM(A1479)&amp;"]")+1,200)),TRIM(A1479))&amp;"(")-1)),IF(LEFT(TRIM(A1479),1)="[",TRIM(MID(TRIM(A1479),FIND("]",TRIM(A1479)&amp;"]")+1,200)),TRIM(A1479))))&gt;0,IF(RIGHT(IF(LEFT(TRIM(A1479),1)="[",TRIM(MID(TRIM(A1479),FIND("]",TRIM(A1479)&amp;"]")+1,200)),TRIM(A1479)),1)=")",TRIM(LEFT(IF(LEFT(TRIM(A1479),1)="[",TRIM(MID(TRIM(A1479),FIND("]",TRIM(A1479)&amp;"]")+1,200)),TRIM(A1479)),FIND("(",IF(LEFT(TRIM(A1479),1)="[",TRIM(MID(TRIM(A1479),FIND("]",TRIM(A1479)&amp;"]")+1,200)),TRIM(A1479))&amp;"(")-1)),IF(LEFT(TRIM(A1479),1)="[",TRIM(MID(TRIM(A1479),FIND("]",TRIM(A1479)&amp;"]")+1,200)),TRIM(A1479))),""))</f>
      </c>
      <c r="C1479" s="17">
        <f>IF(B1479&lt;&gt;"",B1479,C1478)</f>
      </c>
      <c r="D1479" s="17">
        <f>IF(A1479="","",IF(OR(LEFT(UPPER(TRIM(A1479)),2)="Y:",LEFT(UPPER(TRIM(A1479)),10)="YESTERDAY:"),"Y",IF(OR(LEFT(UPPER(TRIM(A1479)),2)="T:",LEFT(UPPER(TRIM(A1479)),6)="TODAY:"),"T",IF(OR(LEFT(UPPER(TRIM(A1479)),2)="B:",LEFT(UPPER(TRIM(A1479)),8)="BLOCKER:",LEFT(UPPER(TRIM(A1479)),9)="BLOCKERS:",LEFT(UPPER(TRIM(A1479)),8)="BLOCKED:"),"B",""))))</f>
      </c>
      <c r="E1479" s="17">
        <f>IF(D1479="","",TRIM(MID(A1479,FIND(":",A1479)+1,500)))</f>
      </c>
    </row>
    <row r="1480">
      <c r="B1480" s="17">
        <f>IF(A1480="","",IF(COUNTIF(Roster[Name],IF(RIGHT(IF(LEFT(TRIM(A1480),1)="[",TRIM(MID(TRIM(A1480),FIND("]",TRIM(A1480)&amp;"]")+1,200)),TRIM(A1480)),1)=")",TRIM(LEFT(IF(LEFT(TRIM(A1480),1)="[",TRIM(MID(TRIM(A1480),FIND("]",TRIM(A1480)&amp;"]")+1,200)),TRIM(A1480)),FIND("(",IF(LEFT(TRIM(A1480),1)="[",TRIM(MID(TRIM(A1480),FIND("]",TRIM(A1480)&amp;"]")+1,200)),TRIM(A1480))&amp;"(")-1)),IF(LEFT(TRIM(A1480),1)="[",TRIM(MID(TRIM(A1480),FIND("]",TRIM(A1480)&amp;"]")+1,200)),TRIM(A1480))))&gt;0,IF(RIGHT(IF(LEFT(TRIM(A1480),1)="[",TRIM(MID(TRIM(A1480),FIND("]",TRIM(A1480)&amp;"]")+1,200)),TRIM(A1480)),1)=")",TRIM(LEFT(IF(LEFT(TRIM(A1480),1)="[",TRIM(MID(TRIM(A1480),FIND("]",TRIM(A1480)&amp;"]")+1,200)),TRIM(A1480)),FIND("(",IF(LEFT(TRIM(A1480),1)="[",TRIM(MID(TRIM(A1480),FIND("]",TRIM(A1480)&amp;"]")+1,200)),TRIM(A1480))&amp;"(")-1)),IF(LEFT(TRIM(A1480),1)="[",TRIM(MID(TRIM(A1480),FIND("]",TRIM(A1480)&amp;"]")+1,200)),TRIM(A1480))),""))</f>
      </c>
      <c r="C1480" s="17">
        <f>IF(B1480&lt;&gt;"",B1480,C1479)</f>
      </c>
      <c r="D1480" s="17">
        <f>IF(A1480="","",IF(OR(LEFT(UPPER(TRIM(A1480)),2)="Y:",LEFT(UPPER(TRIM(A1480)),10)="YESTERDAY:"),"Y",IF(OR(LEFT(UPPER(TRIM(A1480)),2)="T:",LEFT(UPPER(TRIM(A1480)),6)="TODAY:"),"T",IF(OR(LEFT(UPPER(TRIM(A1480)),2)="B:",LEFT(UPPER(TRIM(A1480)),8)="BLOCKER:",LEFT(UPPER(TRIM(A1480)),9)="BLOCKERS:",LEFT(UPPER(TRIM(A1480)),8)="BLOCKED:"),"B",""))))</f>
      </c>
      <c r="E1480" s="17">
        <f>IF(D1480="","",TRIM(MID(A1480,FIND(":",A1480)+1,500)))</f>
      </c>
    </row>
    <row r="1481">
      <c r="B1481" s="17">
        <f>IF(A1481="","",IF(COUNTIF(Roster[Name],IF(RIGHT(IF(LEFT(TRIM(A1481),1)="[",TRIM(MID(TRIM(A1481),FIND("]",TRIM(A1481)&amp;"]")+1,200)),TRIM(A1481)),1)=")",TRIM(LEFT(IF(LEFT(TRIM(A1481),1)="[",TRIM(MID(TRIM(A1481),FIND("]",TRIM(A1481)&amp;"]")+1,200)),TRIM(A1481)),FIND("(",IF(LEFT(TRIM(A1481),1)="[",TRIM(MID(TRIM(A1481),FIND("]",TRIM(A1481)&amp;"]")+1,200)),TRIM(A1481))&amp;"(")-1)),IF(LEFT(TRIM(A1481),1)="[",TRIM(MID(TRIM(A1481),FIND("]",TRIM(A1481)&amp;"]")+1,200)),TRIM(A1481))))&gt;0,IF(RIGHT(IF(LEFT(TRIM(A1481),1)="[",TRIM(MID(TRIM(A1481),FIND("]",TRIM(A1481)&amp;"]")+1,200)),TRIM(A1481)),1)=")",TRIM(LEFT(IF(LEFT(TRIM(A1481),1)="[",TRIM(MID(TRIM(A1481),FIND("]",TRIM(A1481)&amp;"]")+1,200)),TRIM(A1481)),FIND("(",IF(LEFT(TRIM(A1481),1)="[",TRIM(MID(TRIM(A1481),FIND("]",TRIM(A1481)&amp;"]")+1,200)),TRIM(A1481))&amp;"(")-1)),IF(LEFT(TRIM(A1481),1)="[",TRIM(MID(TRIM(A1481),FIND("]",TRIM(A1481)&amp;"]")+1,200)),TRIM(A1481))),""))</f>
      </c>
      <c r="C1481" s="17">
        <f>IF(B1481&lt;&gt;"",B1481,C1480)</f>
      </c>
      <c r="D1481" s="17">
        <f>IF(A1481="","",IF(OR(LEFT(UPPER(TRIM(A1481)),2)="Y:",LEFT(UPPER(TRIM(A1481)),10)="YESTERDAY:"),"Y",IF(OR(LEFT(UPPER(TRIM(A1481)),2)="T:",LEFT(UPPER(TRIM(A1481)),6)="TODAY:"),"T",IF(OR(LEFT(UPPER(TRIM(A1481)),2)="B:",LEFT(UPPER(TRIM(A1481)),8)="BLOCKER:",LEFT(UPPER(TRIM(A1481)),9)="BLOCKERS:",LEFT(UPPER(TRIM(A1481)),8)="BLOCKED:"),"B",""))))</f>
      </c>
      <c r="E1481" s="17">
        <f>IF(D1481="","",TRIM(MID(A1481,FIND(":",A1481)+1,500)))</f>
      </c>
    </row>
    <row r="1482">
      <c r="B1482" s="17">
        <f>IF(A1482="","",IF(COUNTIF(Roster[Name],IF(RIGHT(IF(LEFT(TRIM(A1482),1)="[",TRIM(MID(TRIM(A1482),FIND("]",TRIM(A1482)&amp;"]")+1,200)),TRIM(A1482)),1)=")",TRIM(LEFT(IF(LEFT(TRIM(A1482),1)="[",TRIM(MID(TRIM(A1482),FIND("]",TRIM(A1482)&amp;"]")+1,200)),TRIM(A1482)),FIND("(",IF(LEFT(TRIM(A1482),1)="[",TRIM(MID(TRIM(A1482),FIND("]",TRIM(A1482)&amp;"]")+1,200)),TRIM(A1482))&amp;"(")-1)),IF(LEFT(TRIM(A1482),1)="[",TRIM(MID(TRIM(A1482),FIND("]",TRIM(A1482)&amp;"]")+1,200)),TRIM(A1482))))&gt;0,IF(RIGHT(IF(LEFT(TRIM(A1482),1)="[",TRIM(MID(TRIM(A1482),FIND("]",TRIM(A1482)&amp;"]")+1,200)),TRIM(A1482)),1)=")",TRIM(LEFT(IF(LEFT(TRIM(A1482),1)="[",TRIM(MID(TRIM(A1482),FIND("]",TRIM(A1482)&amp;"]")+1,200)),TRIM(A1482)),FIND("(",IF(LEFT(TRIM(A1482),1)="[",TRIM(MID(TRIM(A1482),FIND("]",TRIM(A1482)&amp;"]")+1,200)),TRIM(A1482))&amp;"(")-1)),IF(LEFT(TRIM(A1482),1)="[",TRIM(MID(TRIM(A1482),FIND("]",TRIM(A1482)&amp;"]")+1,200)),TRIM(A1482))),""))</f>
      </c>
      <c r="C1482" s="17">
        <f>IF(B1482&lt;&gt;"",B1482,C1481)</f>
      </c>
      <c r="D1482" s="17">
        <f>IF(A1482="","",IF(OR(LEFT(UPPER(TRIM(A1482)),2)="Y:",LEFT(UPPER(TRIM(A1482)),10)="YESTERDAY:"),"Y",IF(OR(LEFT(UPPER(TRIM(A1482)),2)="T:",LEFT(UPPER(TRIM(A1482)),6)="TODAY:"),"T",IF(OR(LEFT(UPPER(TRIM(A1482)),2)="B:",LEFT(UPPER(TRIM(A1482)),8)="BLOCKER:",LEFT(UPPER(TRIM(A1482)),9)="BLOCKERS:",LEFT(UPPER(TRIM(A1482)),8)="BLOCKED:"),"B",""))))</f>
      </c>
      <c r="E1482" s="17">
        <f>IF(D1482="","",TRIM(MID(A1482,FIND(":",A1482)+1,500)))</f>
      </c>
    </row>
    <row r="1483">
      <c r="B1483" s="17">
        <f>IF(A1483="","",IF(COUNTIF(Roster[Name],IF(RIGHT(IF(LEFT(TRIM(A1483),1)="[",TRIM(MID(TRIM(A1483),FIND("]",TRIM(A1483)&amp;"]")+1,200)),TRIM(A1483)),1)=")",TRIM(LEFT(IF(LEFT(TRIM(A1483),1)="[",TRIM(MID(TRIM(A1483),FIND("]",TRIM(A1483)&amp;"]")+1,200)),TRIM(A1483)),FIND("(",IF(LEFT(TRIM(A1483),1)="[",TRIM(MID(TRIM(A1483),FIND("]",TRIM(A1483)&amp;"]")+1,200)),TRIM(A1483))&amp;"(")-1)),IF(LEFT(TRIM(A1483),1)="[",TRIM(MID(TRIM(A1483),FIND("]",TRIM(A1483)&amp;"]")+1,200)),TRIM(A1483))))&gt;0,IF(RIGHT(IF(LEFT(TRIM(A1483),1)="[",TRIM(MID(TRIM(A1483),FIND("]",TRIM(A1483)&amp;"]")+1,200)),TRIM(A1483)),1)=")",TRIM(LEFT(IF(LEFT(TRIM(A1483),1)="[",TRIM(MID(TRIM(A1483),FIND("]",TRIM(A1483)&amp;"]")+1,200)),TRIM(A1483)),FIND("(",IF(LEFT(TRIM(A1483),1)="[",TRIM(MID(TRIM(A1483),FIND("]",TRIM(A1483)&amp;"]")+1,200)),TRIM(A1483))&amp;"(")-1)),IF(LEFT(TRIM(A1483),1)="[",TRIM(MID(TRIM(A1483),FIND("]",TRIM(A1483)&amp;"]")+1,200)),TRIM(A1483))),""))</f>
      </c>
      <c r="C1483" s="17">
        <f>IF(B1483&lt;&gt;"",B1483,C1482)</f>
      </c>
      <c r="D1483" s="17">
        <f>IF(A1483="","",IF(OR(LEFT(UPPER(TRIM(A1483)),2)="Y:",LEFT(UPPER(TRIM(A1483)),10)="YESTERDAY:"),"Y",IF(OR(LEFT(UPPER(TRIM(A1483)),2)="T:",LEFT(UPPER(TRIM(A1483)),6)="TODAY:"),"T",IF(OR(LEFT(UPPER(TRIM(A1483)),2)="B:",LEFT(UPPER(TRIM(A1483)),8)="BLOCKER:",LEFT(UPPER(TRIM(A1483)),9)="BLOCKERS:",LEFT(UPPER(TRIM(A1483)),8)="BLOCKED:"),"B",""))))</f>
      </c>
      <c r="E1483" s="17">
        <f>IF(D1483="","",TRIM(MID(A1483,FIND(":",A1483)+1,500)))</f>
      </c>
    </row>
    <row r="1484">
      <c r="B1484" s="17">
        <f>IF(A1484="","",IF(COUNTIF(Roster[Name],IF(RIGHT(IF(LEFT(TRIM(A1484),1)="[",TRIM(MID(TRIM(A1484),FIND("]",TRIM(A1484)&amp;"]")+1,200)),TRIM(A1484)),1)=")",TRIM(LEFT(IF(LEFT(TRIM(A1484),1)="[",TRIM(MID(TRIM(A1484),FIND("]",TRIM(A1484)&amp;"]")+1,200)),TRIM(A1484)),FIND("(",IF(LEFT(TRIM(A1484),1)="[",TRIM(MID(TRIM(A1484),FIND("]",TRIM(A1484)&amp;"]")+1,200)),TRIM(A1484))&amp;"(")-1)),IF(LEFT(TRIM(A1484),1)="[",TRIM(MID(TRIM(A1484),FIND("]",TRIM(A1484)&amp;"]")+1,200)),TRIM(A1484))))&gt;0,IF(RIGHT(IF(LEFT(TRIM(A1484),1)="[",TRIM(MID(TRIM(A1484),FIND("]",TRIM(A1484)&amp;"]")+1,200)),TRIM(A1484)),1)=")",TRIM(LEFT(IF(LEFT(TRIM(A1484),1)="[",TRIM(MID(TRIM(A1484),FIND("]",TRIM(A1484)&amp;"]")+1,200)),TRIM(A1484)),FIND("(",IF(LEFT(TRIM(A1484),1)="[",TRIM(MID(TRIM(A1484),FIND("]",TRIM(A1484)&amp;"]")+1,200)),TRIM(A1484))&amp;"(")-1)),IF(LEFT(TRIM(A1484),1)="[",TRIM(MID(TRIM(A1484),FIND("]",TRIM(A1484)&amp;"]")+1,200)),TRIM(A1484))),""))</f>
      </c>
      <c r="C1484" s="17">
        <f>IF(B1484&lt;&gt;"",B1484,C1483)</f>
      </c>
      <c r="D1484" s="17">
        <f>IF(A1484="","",IF(OR(LEFT(UPPER(TRIM(A1484)),2)="Y:",LEFT(UPPER(TRIM(A1484)),10)="YESTERDAY:"),"Y",IF(OR(LEFT(UPPER(TRIM(A1484)),2)="T:",LEFT(UPPER(TRIM(A1484)),6)="TODAY:"),"T",IF(OR(LEFT(UPPER(TRIM(A1484)),2)="B:",LEFT(UPPER(TRIM(A1484)),8)="BLOCKER:",LEFT(UPPER(TRIM(A1484)),9)="BLOCKERS:",LEFT(UPPER(TRIM(A1484)),8)="BLOCKED:"),"B",""))))</f>
      </c>
      <c r="E1484" s="17">
        <f>IF(D1484="","",TRIM(MID(A1484,FIND(":",A1484)+1,500)))</f>
      </c>
    </row>
    <row r="1485">
      <c r="B1485" s="17">
        <f>IF(A1485="","",IF(COUNTIF(Roster[Name],IF(RIGHT(IF(LEFT(TRIM(A1485),1)="[",TRIM(MID(TRIM(A1485),FIND("]",TRIM(A1485)&amp;"]")+1,200)),TRIM(A1485)),1)=")",TRIM(LEFT(IF(LEFT(TRIM(A1485),1)="[",TRIM(MID(TRIM(A1485),FIND("]",TRIM(A1485)&amp;"]")+1,200)),TRIM(A1485)),FIND("(",IF(LEFT(TRIM(A1485),1)="[",TRIM(MID(TRIM(A1485),FIND("]",TRIM(A1485)&amp;"]")+1,200)),TRIM(A1485))&amp;"(")-1)),IF(LEFT(TRIM(A1485),1)="[",TRIM(MID(TRIM(A1485),FIND("]",TRIM(A1485)&amp;"]")+1,200)),TRIM(A1485))))&gt;0,IF(RIGHT(IF(LEFT(TRIM(A1485),1)="[",TRIM(MID(TRIM(A1485),FIND("]",TRIM(A1485)&amp;"]")+1,200)),TRIM(A1485)),1)=")",TRIM(LEFT(IF(LEFT(TRIM(A1485),1)="[",TRIM(MID(TRIM(A1485),FIND("]",TRIM(A1485)&amp;"]")+1,200)),TRIM(A1485)),FIND("(",IF(LEFT(TRIM(A1485),1)="[",TRIM(MID(TRIM(A1485),FIND("]",TRIM(A1485)&amp;"]")+1,200)),TRIM(A1485))&amp;"(")-1)),IF(LEFT(TRIM(A1485),1)="[",TRIM(MID(TRIM(A1485),FIND("]",TRIM(A1485)&amp;"]")+1,200)),TRIM(A1485))),""))</f>
      </c>
      <c r="C1485" s="17">
        <f>IF(B1485&lt;&gt;"",B1485,C1484)</f>
      </c>
      <c r="D1485" s="17">
        <f>IF(A1485="","",IF(OR(LEFT(UPPER(TRIM(A1485)),2)="Y:",LEFT(UPPER(TRIM(A1485)),10)="YESTERDAY:"),"Y",IF(OR(LEFT(UPPER(TRIM(A1485)),2)="T:",LEFT(UPPER(TRIM(A1485)),6)="TODAY:"),"T",IF(OR(LEFT(UPPER(TRIM(A1485)),2)="B:",LEFT(UPPER(TRIM(A1485)),8)="BLOCKER:",LEFT(UPPER(TRIM(A1485)),9)="BLOCKERS:",LEFT(UPPER(TRIM(A1485)),8)="BLOCKED:"),"B",""))))</f>
      </c>
      <c r="E1485" s="17">
        <f>IF(D1485="","",TRIM(MID(A1485,FIND(":",A1485)+1,500)))</f>
      </c>
    </row>
    <row r="1486">
      <c r="B1486" s="17">
        <f>IF(A1486="","",IF(COUNTIF(Roster[Name],IF(RIGHT(IF(LEFT(TRIM(A1486),1)="[",TRIM(MID(TRIM(A1486),FIND("]",TRIM(A1486)&amp;"]")+1,200)),TRIM(A1486)),1)=")",TRIM(LEFT(IF(LEFT(TRIM(A1486),1)="[",TRIM(MID(TRIM(A1486),FIND("]",TRIM(A1486)&amp;"]")+1,200)),TRIM(A1486)),FIND("(",IF(LEFT(TRIM(A1486),1)="[",TRIM(MID(TRIM(A1486),FIND("]",TRIM(A1486)&amp;"]")+1,200)),TRIM(A1486))&amp;"(")-1)),IF(LEFT(TRIM(A1486),1)="[",TRIM(MID(TRIM(A1486),FIND("]",TRIM(A1486)&amp;"]")+1,200)),TRIM(A1486))))&gt;0,IF(RIGHT(IF(LEFT(TRIM(A1486),1)="[",TRIM(MID(TRIM(A1486),FIND("]",TRIM(A1486)&amp;"]")+1,200)),TRIM(A1486)),1)=")",TRIM(LEFT(IF(LEFT(TRIM(A1486),1)="[",TRIM(MID(TRIM(A1486),FIND("]",TRIM(A1486)&amp;"]")+1,200)),TRIM(A1486)),FIND("(",IF(LEFT(TRIM(A1486),1)="[",TRIM(MID(TRIM(A1486),FIND("]",TRIM(A1486)&amp;"]")+1,200)),TRIM(A1486))&amp;"(")-1)),IF(LEFT(TRIM(A1486),1)="[",TRIM(MID(TRIM(A1486),FIND("]",TRIM(A1486)&amp;"]")+1,200)),TRIM(A1486))),""))</f>
      </c>
      <c r="C1486" s="17">
        <f>IF(B1486&lt;&gt;"",B1486,C1485)</f>
      </c>
      <c r="D1486" s="17">
        <f>IF(A1486="","",IF(OR(LEFT(UPPER(TRIM(A1486)),2)="Y:",LEFT(UPPER(TRIM(A1486)),10)="YESTERDAY:"),"Y",IF(OR(LEFT(UPPER(TRIM(A1486)),2)="T:",LEFT(UPPER(TRIM(A1486)),6)="TODAY:"),"T",IF(OR(LEFT(UPPER(TRIM(A1486)),2)="B:",LEFT(UPPER(TRIM(A1486)),8)="BLOCKER:",LEFT(UPPER(TRIM(A1486)),9)="BLOCKERS:",LEFT(UPPER(TRIM(A1486)),8)="BLOCKED:"),"B",""))))</f>
      </c>
      <c r="E1486" s="17">
        <f>IF(D1486="","",TRIM(MID(A1486,FIND(":",A1486)+1,500)))</f>
      </c>
    </row>
    <row r="1487">
      <c r="B1487" s="17">
        <f>IF(A1487="","",IF(COUNTIF(Roster[Name],IF(RIGHT(IF(LEFT(TRIM(A1487),1)="[",TRIM(MID(TRIM(A1487),FIND("]",TRIM(A1487)&amp;"]")+1,200)),TRIM(A1487)),1)=")",TRIM(LEFT(IF(LEFT(TRIM(A1487),1)="[",TRIM(MID(TRIM(A1487),FIND("]",TRIM(A1487)&amp;"]")+1,200)),TRIM(A1487)),FIND("(",IF(LEFT(TRIM(A1487),1)="[",TRIM(MID(TRIM(A1487),FIND("]",TRIM(A1487)&amp;"]")+1,200)),TRIM(A1487))&amp;"(")-1)),IF(LEFT(TRIM(A1487),1)="[",TRIM(MID(TRIM(A1487),FIND("]",TRIM(A1487)&amp;"]")+1,200)),TRIM(A1487))))&gt;0,IF(RIGHT(IF(LEFT(TRIM(A1487),1)="[",TRIM(MID(TRIM(A1487),FIND("]",TRIM(A1487)&amp;"]")+1,200)),TRIM(A1487)),1)=")",TRIM(LEFT(IF(LEFT(TRIM(A1487),1)="[",TRIM(MID(TRIM(A1487),FIND("]",TRIM(A1487)&amp;"]")+1,200)),TRIM(A1487)),FIND("(",IF(LEFT(TRIM(A1487),1)="[",TRIM(MID(TRIM(A1487),FIND("]",TRIM(A1487)&amp;"]")+1,200)),TRIM(A1487))&amp;"(")-1)),IF(LEFT(TRIM(A1487),1)="[",TRIM(MID(TRIM(A1487),FIND("]",TRIM(A1487)&amp;"]")+1,200)),TRIM(A1487))),""))</f>
      </c>
      <c r="C1487" s="17">
        <f>IF(B1487&lt;&gt;"",B1487,C1486)</f>
      </c>
      <c r="D1487" s="17">
        <f>IF(A1487="","",IF(OR(LEFT(UPPER(TRIM(A1487)),2)="Y:",LEFT(UPPER(TRIM(A1487)),10)="YESTERDAY:"),"Y",IF(OR(LEFT(UPPER(TRIM(A1487)),2)="T:",LEFT(UPPER(TRIM(A1487)),6)="TODAY:"),"T",IF(OR(LEFT(UPPER(TRIM(A1487)),2)="B:",LEFT(UPPER(TRIM(A1487)),8)="BLOCKER:",LEFT(UPPER(TRIM(A1487)),9)="BLOCKERS:",LEFT(UPPER(TRIM(A1487)),8)="BLOCKED:"),"B",""))))</f>
      </c>
      <c r="E1487" s="17">
        <f>IF(D1487="","",TRIM(MID(A1487,FIND(":",A1487)+1,500)))</f>
      </c>
    </row>
    <row r="1488">
      <c r="B1488" s="17">
        <f>IF(A1488="","",IF(COUNTIF(Roster[Name],IF(RIGHT(IF(LEFT(TRIM(A1488),1)="[",TRIM(MID(TRIM(A1488),FIND("]",TRIM(A1488)&amp;"]")+1,200)),TRIM(A1488)),1)=")",TRIM(LEFT(IF(LEFT(TRIM(A1488),1)="[",TRIM(MID(TRIM(A1488),FIND("]",TRIM(A1488)&amp;"]")+1,200)),TRIM(A1488)),FIND("(",IF(LEFT(TRIM(A1488),1)="[",TRIM(MID(TRIM(A1488),FIND("]",TRIM(A1488)&amp;"]")+1,200)),TRIM(A1488))&amp;"(")-1)),IF(LEFT(TRIM(A1488),1)="[",TRIM(MID(TRIM(A1488),FIND("]",TRIM(A1488)&amp;"]")+1,200)),TRIM(A1488))))&gt;0,IF(RIGHT(IF(LEFT(TRIM(A1488),1)="[",TRIM(MID(TRIM(A1488),FIND("]",TRIM(A1488)&amp;"]")+1,200)),TRIM(A1488)),1)=")",TRIM(LEFT(IF(LEFT(TRIM(A1488),1)="[",TRIM(MID(TRIM(A1488),FIND("]",TRIM(A1488)&amp;"]")+1,200)),TRIM(A1488)),FIND("(",IF(LEFT(TRIM(A1488),1)="[",TRIM(MID(TRIM(A1488),FIND("]",TRIM(A1488)&amp;"]")+1,200)),TRIM(A1488))&amp;"(")-1)),IF(LEFT(TRIM(A1488),1)="[",TRIM(MID(TRIM(A1488),FIND("]",TRIM(A1488)&amp;"]")+1,200)),TRIM(A1488))),""))</f>
      </c>
      <c r="C1488" s="17">
        <f>IF(B1488&lt;&gt;"",B1488,C1487)</f>
      </c>
      <c r="D1488" s="17">
        <f>IF(A1488="","",IF(OR(LEFT(UPPER(TRIM(A1488)),2)="Y:",LEFT(UPPER(TRIM(A1488)),10)="YESTERDAY:"),"Y",IF(OR(LEFT(UPPER(TRIM(A1488)),2)="T:",LEFT(UPPER(TRIM(A1488)),6)="TODAY:"),"T",IF(OR(LEFT(UPPER(TRIM(A1488)),2)="B:",LEFT(UPPER(TRIM(A1488)),8)="BLOCKER:",LEFT(UPPER(TRIM(A1488)),9)="BLOCKERS:",LEFT(UPPER(TRIM(A1488)),8)="BLOCKED:"),"B",""))))</f>
      </c>
      <c r="E1488" s="17">
        <f>IF(D1488="","",TRIM(MID(A1488,FIND(":",A1488)+1,500)))</f>
      </c>
    </row>
    <row r="1489">
      <c r="B1489" s="17">
        <f>IF(A1489="","",IF(COUNTIF(Roster[Name],IF(RIGHT(IF(LEFT(TRIM(A1489),1)="[",TRIM(MID(TRIM(A1489),FIND("]",TRIM(A1489)&amp;"]")+1,200)),TRIM(A1489)),1)=")",TRIM(LEFT(IF(LEFT(TRIM(A1489),1)="[",TRIM(MID(TRIM(A1489),FIND("]",TRIM(A1489)&amp;"]")+1,200)),TRIM(A1489)),FIND("(",IF(LEFT(TRIM(A1489),1)="[",TRIM(MID(TRIM(A1489),FIND("]",TRIM(A1489)&amp;"]")+1,200)),TRIM(A1489))&amp;"(")-1)),IF(LEFT(TRIM(A1489),1)="[",TRIM(MID(TRIM(A1489),FIND("]",TRIM(A1489)&amp;"]")+1,200)),TRIM(A1489))))&gt;0,IF(RIGHT(IF(LEFT(TRIM(A1489),1)="[",TRIM(MID(TRIM(A1489),FIND("]",TRIM(A1489)&amp;"]")+1,200)),TRIM(A1489)),1)=")",TRIM(LEFT(IF(LEFT(TRIM(A1489),1)="[",TRIM(MID(TRIM(A1489),FIND("]",TRIM(A1489)&amp;"]")+1,200)),TRIM(A1489)),FIND("(",IF(LEFT(TRIM(A1489),1)="[",TRIM(MID(TRIM(A1489),FIND("]",TRIM(A1489)&amp;"]")+1,200)),TRIM(A1489))&amp;"(")-1)),IF(LEFT(TRIM(A1489),1)="[",TRIM(MID(TRIM(A1489),FIND("]",TRIM(A1489)&amp;"]")+1,200)),TRIM(A1489))),""))</f>
      </c>
      <c r="C1489" s="17">
        <f>IF(B1489&lt;&gt;"",B1489,C1488)</f>
      </c>
      <c r="D1489" s="17">
        <f>IF(A1489="","",IF(OR(LEFT(UPPER(TRIM(A1489)),2)="Y:",LEFT(UPPER(TRIM(A1489)),10)="YESTERDAY:"),"Y",IF(OR(LEFT(UPPER(TRIM(A1489)),2)="T:",LEFT(UPPER(TRIM(A1489)),6)="TODAY:"),"T",IF(OR(LEFT(UPPER(TRIM(A1489)),2)="B:",LEFT(UPPER(TRIM(A1489)),8)="BLOCKER:",LEFT(UPPER(TRIM(A1489)),9)="BLOCKERS:",LEFT(UPPER(TRIM(A1489)),8)="BLOCKED:"),"B",""))))</f>
      </c>
      <c r="E1489" s="17">
        <f>IF(D1489="","",TRIM(MID(A1489,FIND(":",A1489)+1,500)))</f>
      </c>
    </row>
    <row r="1490">
      <c r="B1490" s="17">
        <f>IF(A1490="","",IF(COUNTIF(Roster[Name],IF(RIGHT(IF(LEFT(TRIM(A1490),1)="[",TRIM(MID(TRIM(A1490),FIND("]",TRIM(A1490)&amp;"]")+1,200)),TRIM(A1490)),1)=")",TRIM(LEFT(IF(LEFT(TRIM(A1490),1)="[",TRIM(MID(TRIM(A1490),FIND("]",TRIM(A1490)&amp;"]")+1,200)),TRIM(A1490)),FIND("(",IF(LEFT(TRIM(A1490),1)="[",TRIM(MID(TRIM(A1490),FIND("]",TRIM(A1490)&amp;"]")+1,200)),TRIM(A1490))&amp;"(")-1)),IF(LEFT(TRIM(A1490),1)="[",TRIM(MID(TRIM(A1490),FIND("]",TRIM(A1490)&amp;"]")+1,200)),TRIM(A1490))))&gt;0,IF(RIGHT(IF(LEFT(TRIM(A1490),1)="[",TRIM(MID(TRIM(A1490),FIND("]",TRIM(A1490)&amp;"]")+1,200)),TRIM(A1490)),1)=")",TRIM(LEFT(IF(LEFT(TRIM(A1490),1)="[",TRIM(MID(TRIM(A1490),FIND("]",TRIM(A1490)&amp;"]")+1,200)),TRIM(A1490)),FIND("(",IF(LEFT(TRIM(A1490),1)="[",TRIM(MID(TRIM(A1490),FIND("]",TRIM(A1490)&amp;"]")+1,200)),TRIM(A1490))&amp;"(")-1)),IF(LEFT(TRIM(A1490),1)="[",TRIM(MID(TRIM(A1490),FIND("]",TRIM(A1490)&amp;"]")+1,200)),TRIM(A1490))),""))</f>
      </c>
      <c r="C1490" s="17">
        <f>IF(B1490&lt;&gt;"",B1490,C1489)</f>
      </c>
      <c r="D1490" s="17">
        <f>IF(A1490="","",IF(OR(LEFT(UPPER(TRIM(A1490)),2)="Y:",LEFT(UPPER(TRIM(A1490)),10)="YESTERDAY:"),"Y",IF(OR(LEFT(UPPER(TRIM(A1490)),2)="T:",LEFT(UPPER(TRIM(A1490)),6)="TODAY:"),"T",IF(OR(LEFT(UPPER(TRIM(A1490)),2)="B:",LEFT(UPPER(TRIM(A1490)),8)="BLOCKER:",LEFT(UPPER(TRIM(A1490)),9)="BLOCKERS:",LEFT(UPPER(TRIM(A1490)),8)="BLOCKED:"),"B",""))))</f>
      </c>
      <c r="E1490" s="17">
        <f>IF(D1490="","",TRIM(MID(A1490,FIND(":",A1490)+1,500)))</f>
      </c>
    </row>
    <row r="1491">
      <c r="B1491" s="17">
        <f>IF(A1491="","",IF(COUNTIF(Roster[Name],IF(RIGHT(IF(LEFT(TRIM(A1491),1)="[",TRIM(MID(TRIM(A1491),FIND("]",TRIM(A1491)&amp;"]")+1,200)),TRIM(A1491)),1)=")",TRIM(LEFT(IF(LEFT(TRIM(A1491),1)="[",TRIM(MID(TRIM(A1491),FIND("]",TRIM(A1491)&amp;"]")+1,200)),TRIM(A1491)),FIND("(",IF(LEFT(TRIM(A1491),1)="[",TRIM(MID(TRIM(A1491),FIND("]",TRIM(A1491)&amp;"]")+1,200)),TRIM(A1491))&amp;"(")-1)),IF(LEFT(TRIM(A1491),1)="[",TRIM(MID(TRIM(A1491),FIND("]",TRIM(A1491)&amp;"]")+1,200)),TRIM(A1491))))&gt;0,IF(RIGHT(IF(LEFT(TRIM(A1491),1)="[",TRIM(MID(TRIM(A1491),FIND("]",TRIM(A1491)&amp;"]")+1,200)),TRIM(A1491)),1)=")",TRIM(LEFT(IF(LEFT(TRIM(A1491),1)="[",TRIM(MID(TRIM(A1491),FIND("]",TRIM(A1491)&amp;"]")+1,200)),TRIM(A1491)),FIND("(",IF(LEFT(TRIM(A1491),1)="[",TRIM(MID(TRIM(A1491),FIND("]",TRIM(A1491)&amp;"]")+1,200)),TRIM(A1491))&amp;"(")-1)),IF(LEFT(TRIM(A1491),1)="[",TRIM(MID(TRIM(A1491),FIND("]",TRIM(A1491)&amp;"]")+1,200)),TRIM(A1491))),""))</f>
      </c>
      <c r="C1491" s="17">
        <f>IF(B1491&lt;&gt;"",B1491,C1490)</f>
      </c>
      <c r="D1491" s="17">
        <f>IF(A1491="","",IF(OR(LEFT(UPPER(TRIM(A1491)),2)="Y:",LEFT(UPPER(TRIM(A1491)),10)="YESTERDAY:"),"Y",IF(OR(LEFT(UPPER(TRIM(A1491)),2)="T:",LEFT(UPPER(TRIM(A1491)),6)="TODAY:"),"T",IF(OR(LEFT(UPPER(TRIM(A1491)),2)="B:",LEFT(UPPER(TRIM(A1491)),8)="BLOCKER:",LEFT(UPPER(TRIM(A1491)),9)="BLOCKERS:",LEFT(UPPER(TRIM(A1491)),8)="BLOCKED:"),"B",""))))</f>
      </c>
      <c r="E1491" s="17">
        <f>IF(D1491="","",TRIM(MID(A1491,FIND(":",A1491)+1,500)))</f>
      </c>
    </row>
    <row r="1492">
      <c r="B1492" s="17">
        <f>IF(A1492="","",IF(COUNTIF(Roster[Name],IF(RIGHT(IF(LEFT(TRIM(A1492),1)="[",TRIM(MID(TRIM(A1492),FIND("]",TRIM(A1492)&amp;"]")+1,200)),TRIM(A1492)),1)=")",TRIM(LEFT(IF(LEFT(TRIM(A1492),1)="[",TRIM(MID(TRIM(A1492),FIND("]",TRIM(A1492)&amp;"]")+1,200)),TRIM(A1492)),FIND("(",IF(LEFT(TRIM(A1492),1)="[",TRIM(MID(TRIM(A1492),FIND("]",TRIM(A1492)&amp;"]")+1,200)),TRIM(A1492))&amp;"(")-1)),IF(LEFT(TRIM(A1492),1)="[",TRIM(MID(TRIM(A1492),FIND("]",TRIM(A1492)&amp;"]")+1,200)),TRIM(A1492))))&gt;0,IF(RIGHT(IF(LEFT(TRIM(A1492),1)="[",TRIM(MID(TRIM(A1492),FIND("]",TRIM(A1492)&amp;"]")+1,200)),TRIM(A1492)),1)=")",TRIM(LEFT(IF(LEFT(TRIM(A1492),1)="[",TRIM(MID(TRIM(A1492),FIND("]",TRIM(A1492)&amp;"]")+1,200)),TRIM(A1492)),FIND("(",IF(LEFT(TRIM(A1492),1)="[",TRIM(MID(TRIM(A1492),FIND("]",TRIM(A1492)&amp;"]")+1,200)),TRIM(A1492))&amp;"(")-1)),IF(LEFT(TRIM(A1492),1)="[",TRIM(MID(TRIM(A1492),FIND("]",TRIM(A1492)&amp;"]")+1,200)),TRIM(A1492))),""))</f>
      </c>
      <c r="C1492" s="17">
        <f>IF(B1492&lt;&gt;"",B1492,C1491)</f>
      </c>
      <c r="D1492" s="17">
        <f>IF(A1492="","",IF(OR(LEFT(UPPER(TRIM(A1492)),2)="Y:",LEFT(UPPER(TRIM(A1492)),10)="YESTERDAY:"),"Y",IF(OR(LEFT(UPPER(TRIM(A1492)),2)="T:",LEFT(UPPER(TRIM(A1492)),6)="TODAY:"),"T",IF(OR(LEFT(UPPER(TRIM(A1492)),2)="B:",LEFT(UPPER(TRIM(A1492)),8)="BLOCKER:",LEFT(UPPER(TRIM(A1492)),9)="BLOCKERS:",LEFT(UPPER(TRIM(A1492)),8)="BLOCKED:"),"B",""))))</f>
      </c>
      <c r="E1492" s="17">
        <f>IF(D1492="","",TRIM(MID(A1492,FIND(":",A1492)+1,500)))</f>
      </c>
    </row>
    <row r="1493">
      <c r="B1493" s="17">
        <f>IF(A1493="","",IF(COUNTIF(Roster[Name],IF(RIGHT(IF(LEFT(TRIM(A1493),1)="[",TRIM(MID(TRIM(A1493),FIND("]",TRIM(A1493)&amp;"]")+1,200)),TRIM(A1493)),1)=")",TRIM(LEFT(IF(LEFT(TRIM(A1493),1)="[",TRIM(MID(TRIM(A1493),FIND("]",TRIM(A1493)&amp;"]")+1,200)),TRIM(A1493)),FIND("(",IF(LEFT(TRIM(A1493),1)="[",TRIM(MID(TRIM(A1493),FIND("]",TRIM(A1493)&amp;"]")+1,200)),TRIM(A1493))&amp;"(")-1)),IF(LEFT(TRIM(A1493),1)="[",TRIM(MID(TRIM(A1493),FIND("]",TRIM(A1493)&amp;"]")+1,200)),TRIM(A1493))))&gt;0,IF(RIGHT(IF(LEFT(TRIM(A1493),1)="[",TRIM(MID(TRIM(A1493),FIND("]",TRIM(A1493)&amp;"]")+1,200)),TRIM(A1493)),1)=")",TRIM(LEFT(IF(LEFT(TRIM(A1493),1)="[",TRIM(MID(TRIM(A1493),FIND("]",TRIM(A1493)&amp;"]")+1,200)),TRIM(A1493)),FIND("(",IF(LEFT(TRIM(A1493),1)="[",TRIM(MID(TRIM(A1493),FIND("]",TRIM(A1493)&amp;"]")+1,200)),TRIM(A1493))&amp;"(")-1)),IF(LEFT(TRIM(A1493),1)="[",TRIM(MID(TRIM(A1493),FIND("]",TRIM(A1493)&amp;"]")+1,200)),TRIM(A1493))),""))</f>
      </c>
      <c r="C1493" s="17">
        <f>IF(B1493&lt;&gt;"",B1493,C1492)</f>
      </c>
      <c r="D1493" s="17">
        <f>IF(A1493="","",IF(OR(LEFT(UPPER(TRIM(A1493)),2)="Y:",LEFT(UPPER(TRIM(A1493)),10)="YESTERDAY:"),"Y",IF(OR(LEFT(UPPER(TRIM(A1493)),2)="T:",LEFT(UPPER(TRIM(A1493)),6)="TODAY:"),"T",IF(OR(LEFT(UPPER(TRIM(A1493)),2)="B:",LEFT(UPPER(TRIM(A1493)),8)="BLOCKER:",LEFT(UPPER(TRIM(A1493)),9)="BLOCKERS:",LEFT(UPPER(TRIM(A1493)),8)="BLOCKED:"),"B",""))))</f>
      </c>
      <c r="E1493" s="17">
        <f>IF(D1493="","",TRIM(MID(A1493,FIND(":",A1493)+1,500)))</f>
      </c>
    </row>
    <row r="1494">
      <c r="B1494" s="17">
        <f>IF(A1494="","",IF(COUNTIF(Roster[Name],IF(RIGHT(IF(LEFT(TRIM(A1494),1)="[",TRIM(MID(TRIM(A1494),FIND("]",TRIM(A1494)&amp;"]")+1,200)),TRIM(A1494)),1)=")",TRIM(LEFT(IF(LEFT(TRIM(A1494),1)="[",TRIM(MID(TRIM(A1494),FIND("]",TRIM(A1494)&amp;"]")+1,200)),TRIM(A1494)),FIND("(",IF(LEFT(TRIM(A1494),1)="[",TRIM(MID(TRIM(A1494),FIND("]",TRIM(A1494)&amp;"]")+1,200)),TRIM(A1494))&amp;"(")-1)),IF(LEFT(TRIM(A1494),1)="[",TRIM(MID(TRIM(A1494),FIND("]",TRIM(A1494)&amp;"]")+1,200)),TRIM(A1494))))&gt;0,IF(RIGHT(IF(LEFT(TRIM(A1494),1)="[",TRIM(MID(TRIM(A1494),FIND("]",TRIM(A1494)&amp;"]")+1,200)),TRIM(A1494)),1)=")",TRIM(LEFT(IF(LEFT(TRIM(A1494),1)="[",TRIM(MID(TRIM(A1494),FIND("]",TRIM(A1494)&amp;"]")+1,200)),TRIM(A1494)),FIND("(",IF(LEFT(TRIM(A1494),1)="[",TRIM(MID(TRIM(A1494),FIND("]",TRIM(A1494)&amp;"]")+1,200)),TRIM(A1494))&amp;"(")-1)),IF(LEFT(TRIM(A1494),1)="[",TRIM(MID(TRIM(A1494),FIND("]",TRIM(A1494)&amp;"]")+1,200)),TRIM(A1494))),""))</f>
      </c>
      <c r="C1494" s="17">
        <f>IF(B1494&lt;&gt;"",B1494,C1493)</f>
      </c>
      <c r="D1494" s="17">
        <f>IF(A1494="","",IF(OR(LEFT(UPPER(TRIM(A1494)),2)="Y:",LEFT(UPPER(TRIM(A1494)),10)="YESTERDAY:"),"Y",IF(OR(LEFT(UPPER(TRIM(A1494)),2)="T:",LEFT(UPPER(TRIM(A1494)),6)="TODAY:"),"T",IF(OR(LEFT(UPPER(TRIM(A1494)),2)="B:",LEFT(UPPER(TRIM(A1494)),8)="BLOCKER:",LEFT(UPPER(TRIM(A1494)),9)="BLOCKERS:",LEFT(UPPER(TRIM(A1494)),8)="BLOCKED:"),"B",""))))</f>
      </c>
      <c r="E1494" s="17">
        <f>IF(D1494="","",TRIM(MID(A1494,FIND(":",A1494)+1,500)))</f>
      </c>
    </row>
    <row r="1495">
      <c r="B1495" s="17">
        <f>IF(A1495="","",IF(COUNTIF(Roster[Name],IF(RIGHT(IF(LEFT(TRIM(A1495),1)="[",TRIM(MID(TRIM(A1495),FIND("]",TRIM(A1495)&amp;"]")+1,200)),TRIM(A1495)),1)=")",TRIM(LEFT(IF(LEFT(TRIM(A1495),1)="[",TRIM(MID(TRIM(A1495),FIND("]",TRIM(A1495)&amp;"]")+1,200)),TRIM(A1495)),FIND("(",IF(LEFT(TRIM(A1495),1)="[",TRIM(MID(TRIM(A1495),FIND("]",TRIM(A1495)&amp;"]")+1,200)),TRIM(A1495))&amp;"(")-1)),IF(LEFT(TRIM(A1495),1)="[",TRIM(MID(TRIM(A1495),FIND("]",TRIM(A1495)&amp;"]")+1,200)),TRIM(A1495))))&gt;0,IF(RIGHT(IF(LEFT(TRIM(A1495),1)="[",TRIM(MID(TRIM(A1495),FIND("]",TRIM(A1495)&amp;"]")+1,200)),TRIM(A1495)),1)=")",TRIM(LEFT(IF(LEFT(TRIM(A1495),1)="[",TRIM(MID(TRIM(A1495),FIND("]",TRIM(A1495)&amp;"]")+1,200)),TRIM(A1495)),FIND("(",IF(LEFT(TRIM(A1495),1)="[",TRIM(MID(TRIM(A1495),FIND("]",TRIM(A1495)&amp;"]")+1,200)),TRIM(A1495))&amp;"(")-1)),IF(LEFT(TRIM(A1495),1)="[",TRIM(MID(TRIM(A1495),FIND("]",TRIM(A1495)&amp;"]")+1,200)),TRIM(A1495))),""))</f>
      </c>
      <c r="C1495" s="17">
        <f>IF(B1495&lt;&gt;"",B1495,C1494)</f>
      </c>
      <c r="D1495" s="17">
        <f>IF(A1495="","",IF(OR(LEFT(UPPER(TRIM(A1495)),2)="Y:",LEFT(UPPER(TRIM(A1495)),10)="YESTERDAY:"),"Y",IF(OR(LEFT(UPPER(TRIM(A1495)),2)="T:",LEFT(UPPER(TRIM(A1495)),6)="TODAY:"),"T",IF(OR(LEFT(UPPER(TRIM(A1495)),2)="B:",LEFT(UPPER(TRIM(A1495)),8)="BLOCKER:",LEFT(UPPER(TRIM(A1495)),9)="BLOCKERS:",LEFT(UPPER(TRIM(A1495)),8)="BLOCKED:"),"B",""))))</f>
      </c>
      <c r="E1495" s="17">
        <f>IF(D1495="","",TRIM(MID(A1495,FIND(":",A1495)+1,500)))</f>
      </c>
    </row>
    <row r="1496">
      <c r="B1496" s="17">
        <f>IF(A1496="","",IF(COUNTIF(Roster[Name],IF(RIGHT(IF(LEFT(TRIM(A1496),1)="[",TRIM(MID(TRIM(A1496),FIND("]",TRIM(A1496)&amp;"]")+1,200)),TRIM(A1496)),1)=")",TRIM(LEFT(IF(LEFT(TRIM(A1496),1)="[",TRIM(MID(TRIM(A1496),FIND("]",TRIM(A1496)&amp;"]")+1,200)),TRIM(A1496)),FIND("(",IF(LEFT(TRIM(A1496),1)="[",TRIM(MID(TRIM(A1496),FIND("]",TRIM(A1496)&amp;"]")+1,200)),TRIM(A1496))&amp;"(")-1)),IF(LEFT(TRIM(A1496),1)="[",TRIM(MID(TRIM(A1496),FIND("]",TRIM(A1496)&amp;"]")+1,200)),TRIM(A1496))))&gt;0,IF(RIGHT(IF(LEFT(TRIM(A1496),1)="[",TRIM(MID(TRIM(A1496),FIND("]",TRIM(A1496)&amp;"]")+1,200)),TRIM(A1496)),1)=")",TRIM(LEFT(IF(LEFT(TRIM(A1496),1)="[",TRIM(MID(TRIM(A1496),FIND("]",TRIM(A1496)&amp;"]")+1,200)),TRIM(A1496)),FIND("(",IF(LEFT(TRIM(A1496),1)="[",TRIM(MID(TRIM(A1496),FIND("]",TRIM(A1496)&amp;"]")+1,200)),TRIM(A1496))&amp;"(")-1)),IF(LEFT(TRIM(A1496),1)="[",TRIM(MID(TRIM(A1496),FIND("]",TRIM(A1496)&amp;"]")+1,200)),TRIM(A1496))),""))</f>
      </c>
      <c r="C1496" s="17">
        <f>IF(B1496&lt;&gt;"",B1496,C1495)</f>
      </c>
      <c r="D1496" s="17">
        <f>IF(A1496="","",IF(OR(LEFT(UPPER(TRIM(A1496)),2)="Y:",LEFT(UPPER(TRIM(A1496)),10)="YESTERDAY:"),"Y",IF(OR(LEFT(UPPER(TRIM(A1496)),2)="T:",LEFT(UPPER(TRIM(A1496)),6)="TODAY:"),"T",IF(OR(LEFT(UPPER(TRIM(A1496)),2)="B:",LEFT(UPPER(TRIM(A1496)),8)="BLOCKER:",LEFT(UPPER(TRIM(A1496)),9)="BLOCKERS:",LEFT(UPPER(TRIM(A1496)),8)="BLOCKED:"),"B",""))))</f>
      </c>
      <c r="E1496" s="17">
        <f>IF(D1496="","",TRIM(MID(A1496,FIND(":",A1496)+1,500)))</f>
      </c>
    </row>
    <row r="1497">
      <c r="B1497" s="17">
        <f>IF(A1497="","",IF(COUNTIF(Roster[Name],IF(RIGHT(IF(LEFT(TRIM(A1497),1)="[",TRIM(MID(TRIM(A1497),FIND("]",TRIM(A1497)&amp;"]")+1,200)),TRIM(A1497)),1)=")",TRIM(LEFT(IF(LEFT(TRIM(A1497),1)="[",TRIM(MID(TRIM(A1497),FIND("]",TRIM(A1497)&amp;"]")+1,200)),TRIM(A1497)),FIND("(",IF(LEFT(TRIM(A1497),1)="[",TRIM(MID(TRIM(A1497),FIND("]",TRIM(A1497)&amp;"]")+1,200)),TRIM(A1497))&amp;"(")-1)),IF(LEFT(TRIM(A1497),1)="[",TRIM(MID(TRIM(A1497),FIND("]",TRIM(A1497)&amp;"]")+1,200)),TRIM(A1497))))&gt;0,IF(RIGHT(IF(LEFT(TRIM(A1497),1)="[",TRIM(MID(TRIM(A1497),FIND("]",TRIM(A1497)&amp;"]")+1,200)),TRIM(A1497)),1)=")",TRIM(LEFT(IF(LEFT(TRIM(A1497),1)="[",TRIM(MID(TRIM(A1497),FIND("]",TRIM(A1497)&amp;"]")+1,200)),TRIM(A1497)),FIND("(",IF(LEFT(TRIM(A1497),1)="[",TRIM(MID(TRIM(A1497),FIND("]",TRIM(A1497)&amp;"]")+1,200)),TRIM(A1497))&amp;"(")-1)),IF(LEFT(TRIM(A1497),1)="[",TRIM(MID(TRIM(A1497),FIND("]",TRIM(A1497)&amp;"]")+1,200)),TRIM(A1497))),""))</f>
      </c>
      <c r="C1497" s="17">
        <f>IF(B1497&lt;&gt;"",B1497,C1496)</f>
      </c>
      <c r="D1497" s="17">
        <f>IF(A1497="","",IF(OR(LEFT(UPPER(TRIM(A1497)),2)="Y:",LEFT(UPPER(TRIM(A1497)),10)="YESTERDAY:"),"Y",IF(OR(LEFT(UPPER(TRIM(A1497)),2)="T:",LEFT(UPPER(TRIM(A1497)),6)="TODAY:"),"T",IF(OR(LEFT(UPPER(TRIM(A1497)),2)="B:",LEFT(UPPER(TRIM(A1497)),8)="BLOCKER:",LEFT(UPPER(TRIM(A1497)),9)="BLOCKERS:",LEFT(UPPER(TRIM(A1497)),8)="BLOCKED:"),"B",""))))</f>
      </c>
      <c r="E1497" s="17">
        <f>IF(D1497="","",TRIM(MID(A1497,FIND(":",A1497)+1,500)))</f>
      </c>
    </row>
    <row r="1498">
      <c r="B1498" s="17">
        <f>IF(A1498="","",IF(COUNTIF(Roster[Name],IF(RIGHT(IF(LEFT(TRIM(A1498),1)="[",TRIM(MID(TRIM(A1498),FIND("]",TRIM(A1498)&amp;"]")+1,200)),TRIM(A1498)),1)=")",TRIM(LEFT(IF(LEFT(TRIM(A1498),1)="[",TRIM(MID(TRIM(A1498),FIND("]",TRIM(A1498)&amp;"]")+1,200)),TRIM(A1498)),FIND("(",IF(LEFT(TRIM(A1498),1)="[",TRIM(MID(TRIM(A1498),FIND("]",TRIM(A1498)&amp;"]")+1,200)),TRIM(A1498))&amp;"(")-1)),IF(LEFT(TRIM(A1498),1)="[",TRIM(MID(TRIM(A1498),FIND("]",TRIM(A1498)&amp;"]")+1,200)),TRIM(A1498))))&gt;0,IF(RIGHT(IF(LEFT(TRIM(A1498),1)="[",TRIM(MID(TRIM(A1498),FIND("]",TRIM(A1498)&amp;"]")+1,200)),TRIM(A1498)),1)=")",TRIM(LEFT(IF(LEFT(TRIM(A1498),1)="[",TRIM(MID(TRIM(A1498),FIND("]",TRIM(A1498)&amp;"]")+1,200)),TRIM(A1498)),FIND("(",IF(LEFT(TRIM(A1498),1)="[",TRIM(MID(TRIM(A1498),FIND("]",TRIM(A1498)&amp;"]")+1,200)),TRIM(A1498))&amp;"(")-1)),IF(LEFT(TRIM(A1498),1)="[",TRIM(MID(TRIM(A1498),FIND("]",TRIM(A1498)&amp;"]")+1,200)),TRIM(A1498))),""))</f>
      </c>
      <c r="C1498" s="17">
        <f>IF(B1498&lt;&gt;"",B1498,C1497)</f>
      </c>
      <c r="D1498" s="17">
        <f>IF(A1498="","",IF(OR(LEFT(UPPER(TRIM(A1498)),2)="Y:",LEFT(UPPER(TRIM(A1498)),10)="YESTERDAY:"),"Y",IF(OR(LEFT(UPPER(TRIM(A1498)),2)="T:",LEFT(UPPER(TRIM(A1498)),6)="TODAY:"),"T",IF(OR(LEFT(UPPER(TRIM(A1498)),2)="B:",LEFT(UPPER(TRIM(A1498)),8)="BLOCKER:",LEFT(UPPER(TRIM(A1498)),9)="BLOCKERS:",LEFT(UPPER(TRIM(A1498)),8)="BLOCKED:"),"B",""))))</f>
      </c>
      <c r="E1498" s="17">
        <f>IF(D1498="","",TRIM(MID(A1498,FIND(":",A1498)+1,500)))</f>
      </c>
    </row>
    <row r="1499">
      <c r="B1499" s="17">
        <f>IF(A1499="","",IF(COUNTIF(Roster[Name],IF(RIGHT(IF(LEFT(TRIM(A1499),1)="[",TRIM(MID(TRIM(A1499),FIND("]",TRIM(A1499)&amp;"]")+1,200)),TRIM(A1499)),1)=")",TRIM(LEFT(IF(LEFT(TRIM(A1499),1)="[",TRIM(MID(TRIM(A1499),FIND("]",TRIM(A1499)&amp;"]")+1,200)),TRIM(A1499)),FIND("(",IF(LEFT(TRIM(A1499),1)="[",TRIM(MID(TRIM(A1499),FIND("]",TRIM(A1499)&amp;"]")+1,200)),TRIM(A1499))&amp;"(")-1)),IF(LEFT(TRIM(A1499),1)="[",TRIM(MID(TRIM(A1499),FIND("]",TRIM(A1499)&amp;"]")+1,200)),TRIM(A1499))))&gt;0,IF(RIGHT(IF(LEFT(TRIM(A1499),1)="[",TRIM(MID(TRIM(A1499),FIND("]",TRIM(A1499)&amp;"]")+1,200)),TRIM(A1499)),1)=")",TRIM(LEFT(IF(LEFT(TRIM(A1499),1)="[",TRIM(MID(TRIM(A1499),FIND("]",TRIM(A1499)&amp;"]")+1,200)),TRIM(A1499)),FIND("(",IF(LEFT(TRIM(A1499),1)="[",TRIM(MID(TRIM(A1499),FIND("]",TRIM(A1499)&amp;"]")+1,200)),TRIM(A1499))&amp;"(")-1)),IF(LEFT(TRIM(A1499),1)="[",TRIM(MID(TRIM(A1499),FIND("]",TRIM(A1499)&amp;"]")+1,200)),TRIM(A1499))),""))</f>
      </c>
      <c r="C1499" s="17">
        <f>IF(B1499&lt;&gt;"",B1499,C1498)</f>
      </c>
      <c r="D1499" s="17">
        <f>IF(A1499="","",IF(OR(LEFT(UPPER(TRIM(A1499)),2)="Y:",LEFT(UPPER(TRIM(A1499)),10)="YESTERDAY:"),"Y",IF(OR(LEFT(UPPER(TRIM(A1499)),2)="T:",LEFT(UPPER(TRIM(A1499)),6)="TODAY:"),"T",IF(OR(LEFT(UPPER(TRIM(A1499)),2)="B:",LEFT(UPPER(TRIM(A1499)),8)="BLOCKER:",LEFT(UPPER(TRIM(A1499)),9)="BLOCKERS:",LEFT(UPPER(TRIM(A1499)),8)="BLOCKED:"),"B",""))))</f>
      </c>
      <c r="E1499" s="17">
        <f>IF(D1499="","",TRIM(MID(A1499,FIND(":",A1499)+1,500)))</f>
      </c>
    </row>
    <row r="1500">
      <c r="B1500" s="17">
        <f>IF(A1500="","",IF(COUNTIF(Roster[Name],IF(RIGHT(IF(LEFT(TRIM(A1500),1)="[",TRIM(MID(TRIM(A1500),FIND("]",TRIM(A1500)&amp;"]")+1,200)),TRIM(A1500)),1)=")",TRIM(LEFT(IF(LEFT(TRIM(A1500),1)="[",TRIM(MID(TRIM(A1500),FIND("]",TRIM(A1500)&amp;"]")+1,200)),TRIM(A1500)),FIND("(",IF(LEFT(TRIM(A1500),1)="[",TRIM(MID(TRIM(A1500),FIND("]",TRIM(A1500)&amp;"]")+1,200)),TRIM(A1500))&amp;"(")-1)),IF(LEFT(TRIM(A1500),1)="[",TRIM(MID(TRIM(A1500),FIND("]",TRIM(A1500)&amp;"]")+1,200)),TRIM(A1500))))&gt;0,IF(RIGHT(IF(LEFT(TRIM(A1500),1)="[",TRIM(MID(TRIM(A1500),FIND("]",TRIM(A1500)&amp;"]")+1,200)),TRIM(A1500)),1)=")",TRIM(LEFT(IF(LEFT(TRIM(A1500),1)="[",TRIM(MID(TRIM(A1500),FIND("]",TRIM(A1500)&amp;"]")+1,200)),TRIM(A1500)),FIND("(",IF(LEFT(TRIM(A1500),1)="[",TRIM(MID(TRIM(A1500),FIND("]",TRIM(A1500)&amp;"]")+1,200)),TRIM(A1500))&amp;"(")-1)),IF(LEFT(TRIM(A1500),1)="[",TRIM(MID(TRIM(A1500),FIND("]",TRIM(A1500)&amp;"]")+1,200)),TRIM(A1500))),""))</f>
      </c>
      <c r="C1500" s="17">
        <f>IF(B1500&lt;&gt;"",B1500,C1499)</f>
      </c>
      <c r="D1500" s="17">
        <f>IF(A1500="","",IF(OR(LEFT(UPPER(TRIM(A1500)),2)="Y:",LEFT(UPPER(TRIM(A1500)),10)="YESTERDAY:"),"Y",IF(OR(LEFT(UPPER(TRIM(A1500)),2)="T:",LEFT(UPPER(TRIM(A1500)),6)="TODAY:"),"T",IF(OR(LEFT(UPPER(TRIM(A1500)),2)="B:",LEFT(UPPER(TRIM(A1500)),8)="BLOCKER:",LEFT(UPPER(TRIM(A1500)),9)="BLOCKERS:",LEFT(UPPER(TRIM(A1500)),8)="BLOCKED:"),"B",""))))</f>
      </c>
      <c r="E1500" s="17">
        <f>IF(D1500="","",TRIM(MID(A1500,FIND(":",A1500)+1,500)))</f>
      </c>
    </row>
    <row r="1501">
      <c r="B1501" s="17">
        <f>IF(A1501="","",IF(COUNTIF(Roster[Name],IF(RIGHT(IF(LEFT(TRIM(A1501),1)="[",TRIM(MID(TRIM(A1501),FIND("]",TRIM(A1501)&amp;"]")+1,200)),TRIM(A1501)),1)=")",TRIM(LEFT(IF(LEFT(TRIM(A1501),1)="[",TRIM(MID(TRIM(A1501),FIND("]",TRIM(A1501)&amp;"]")+1,200)),TRIM(A1501)),FIND("(",IF(LEFT(TRIM(A1501),1)="[",TRIM(MID(TRIM(A1501),FIND("]",TRIM(A1501)&amp;"]")+1,200)),TRIM(A1501))&amp;"(")-1)),IF(LEFT(TRIM(A1501),1)="[",TRIM(MID(TRIM(A1501),FIND("]",TRIM(A1501)&amp;"]")+1,200)),TRIM(A1501))))&gt;0,IF(RIGHT(IF(LEFT(TRIM(A1501),1)="[",TRIM(MID(TRIM(A1501),FIND("]",TRIM(A1501)&amp;"]")+1,200)),TRIM(A1501)),1)=")",TRIM(LEFT(IF(LEFT(TRIM(A1501),1)="[",TRIM(MID(TRIM(A1501),FIND("]",TRIM(A1501)&amp;"]")+1,200)),TRIM(A1501)),FIND("(",IF(LEFT(TRIM(A1501),1)="[",TRIM(MID(TRIM(A1501),FIND("]",TRIM(A1501)&amp;"]")+1,200)),TRIM(A1501))&amp;"(")-1)),IF(LEFT(TRIM(A1501),1)="[",TRIM(MID(TRIM(A1501),FIND("]",TRIM(A1501)&amp;"]")+1,200)),TRIM(A1501))),""))</f>
      </c>
      <c r="C1501" s="17">
        <f>IF(B1501&lt;&gt;"",B1501,C1500)</f>
      </c>
      <c r="D1501" s="17">
        <f>IF(A1501="","",IF(OR(LEFT(UPPER(TRIM(A1501)),2)="Y:",LEFT(UPPER(TRIM(A1501)),10)="YESTERDAY:"),"Y",IF(OR(LEFT(UPPER(TRIM(A1501)),2)="T:",LEFT(UPPER(TRIM(A1501)),6)="TODAY:"),"T",IF(OR(LEFT(UPPER(TRIM(A1501)),2)="B:",LEFT(UPPER(TRIM(A1501)),8)="BLOCKER:",LEFT(UPPER(TRIM(A1501)),9)="BLOCKERS:",LEFT(UPPER(TRIM(A1501)),8)="BLOCKED:"),"B",""))))</f>
      </c>
      <c r="E1501" s="17">
        <f>IF(D1501="","",TRIM(MID(A1501,FIND(":",A1501)+1,500)))</f>
      </c>
    </row>
    <row r="1502">
      <c r="B1502" s="17">
        <f>IF(A1502="","",IF(COUNTIF(Roster[Name],IF(RIGHT(IF(LEFT(TRIM(A1502),1)="[",TRIM(MID(TRIM(A1502),FIND("]",TRIM(A1502)&amp;"]")+1,200)),TRIM(A1502)),1)=")",TRIM(LEFT(IF(LEFT(TRIM(A1502),1)="[",TRIM(MID(TRIM(A1502),FIND("]",TRIM(A1502)&amp;"]")+1,200)),TRIM(A1502)),FIND("(",IF(LEFT(TRIM(A1502),1)="[",TRIM(MID(TRIM(A1502),FIND("]",TRIM(A1502)&amp;"]")+1,200)),TRIM(A1502))&amp;"(")-1)),IF(LEFT(TRIM(A1502),1)="[",TRIM(MID(TRIM(A1502),FIND("]",TRIM(A1502)&amp;"]")+1,200)),TRIM(A1502))))&gt;0,IF(RIGHT(IF(LEFT(TRIM(A1502),1)="[",TRIM(MID(TRIM(A1502),FIND("]",TRIM(A1502)&amp;"]")+1,200)),TRIM(A1502)),1)=")",TRIM(LEFT(IF(LEFT(TRIM(A1502),1)="[",TRIM(MID(TRIM(A1502),FIND("]",TRIM(A1502)&amp;"]")+1,200)),TRIM(A1502)),FIND("(",IF(LEFT(TRIM(A1502),1)="[",TRIM(MID(TRIM(A1502),FIND("]",TRIM(A1502)&amp;"]")+1,200)),TRIM(A1502))&amp;"(")-1)),IF(LEFT(TRIM(A1502),1)="[",TRIM(MID(TRIM(A1502),FIND("]",TRIM(A1502)&amp;"]")+1,200)),TRIM(A1502))),""))</f>
      </c>
      <c r="C1502" s="17">
        <f>IF(B1502&lt;&gt;"",B1502,C1501)</f>
      </c>
      <c r="D1502" s="17">
        <f>IF(A1502="","",IF(OR(LEFT(UPPER(TRIM(A1502)),2)="Y:",LEFT(UPPER(TRIM(A1502)),10)="YESTERDAY:"),"Y",IF(OR(LEFT(UPPER(TRIM(A1502)),2)="T:",LEFT(UPPER(TRIM(A1502)),6)="TODAY:"),"T",IF(OR(LEFT(UPPER(TRIM(A1502)),2)="B:",LEFT(UPPER(TRIM(A1502)),8)="BLOCKER:",LEFT(UPPER(TRIM(A1502)),9)="BLOCKERS:",LEFT(UPPER(TRIM(A1502)),8)="BLOCKED:"),"B",""))))</f>
      </c>
      <c r="E1502" s="17">
        <f>IF(D1502="","",TRIM(MID(A1502,FIND(":",A1502)+1,500)))</f>
      </c>
    </row>
    <row r="1503">
      <c r="B1503" s="17">
        <f>IF(A1503="","",IF(COUNTIF(Roster[Name],IF(RIGHT(IF(LEFT(TRIM(A1503),1)="[",TRIM(MID(TRIM(A1503),FIND("]",TRIM(A1503)&amp;"]")+1,200)),TRIM(A1503)),1)=")",TRIM(LEFT(IF(LEFT(TRIM(A1503),1)="[",TRIM(MID(TRIM(A1503),FIND("]",TRIM(A1503)&amp;"]")+1,200)),TRIM(A1503)),FIND("(",IF(LEFT(TRIM(A1503),1)="[",TRIM(MID(TRIM(A1503),FIND("]",TRIM(A1503)&amp;"]")+1,200)),TRIM(A1503))&amp;"(")-1)),IF(LEFT(TRIM(A1503),1)="[",TRIM(MID(TRIM(A1503),FIND("]",TRIM(A1503)&amp;"]")+1,200)),TRIM(A1503))))&gt;0,IF(RIGHT(IF(LEFT(TRIM(A1503),1)="[",TRIM(MID(TRIM(A1503),FIND("]",TRIM(A1503)&amp;"]")+1,200)),TRIM(A1503)),1)=")",TRIM(LEFT(IF(LEFT(TRIM(A1503),1)="[",TRIM(MID(TRIM(A1503),FIND("]",TRIM(A1503)&amp;"]")+1,200)),TRIM(A1503)),FIND("(",IF(LEFT(TRIM(A1503),1)="[",TRIM(MID(TRIM(A1503),FIND("]",TRIM(A1503)&amp;"]")+1,200)),TRIM(A1503))&amp;"(")-1)),IF(LEFT(TRIM(A1503),1)="[",TRIM(MID(TRIM(A1503),FIND("]",TRIM(A1503)&amp;"]")+1,200)),TRIM(A1503))),""))</f>
      </c>
      <c r="C1503" s="17">
        <f>IF(B1503&lt;&gt;"",B1503,C1502)</f>
      </c>
      <c r="D1503" s="17">
        <f>IF(A1503="","",IF(OR(LEFT(UPPER(TRIM(A1503)),2)="Y:",LEFT(UPPER(TRIM(A1503)),10)="YESTERDAY:"),"Y",IF(OR(LEFT(UPPER(TRIM(A1503)),2)="T:",LEFT(UPPER(TRIM(A1503)),6)="TODAY:"),"T",IF(OR(LEFT(UPPER(TRIM(A1503)),2)="B:",LEFT(UPPER(TRIM(A1503)),8)="BLOCKER:",LEFT(UPPER(TRIM(A1503)),9)="BLOCKERS:",LEFT(UPPER(TRIM(A1503)),8)="BLOCKED:"),"B",""))))</f>
      </c>
      <c r="E1503" s="17">
        <f>IF(D1503="","",TRIM(MID(A1503,FIND(":",A1503)+1,500)))</f>
      </c>
    </row>
    <row r="1504">
      <c r="B1504" s="17">
        <f>IF(A1504="","",IF(COUNTIF(Roster[Name],IF(RIGHT(IF(LEFT(TRIM(A1504),1)="[",TRIM(MID(TRIM(A1504),FIND("]",TRIM(A1504)&amp;"]")+1,200)),TRIM(A1504)),1)=")",TRIM(LEFT(IF(LEFT(TRIM(A1504),1)="[",TRIM(MID(TRIM(A1504),FIND("]",TRIM(A1504)&amp;"]")+1,200)),TRIM(A1504)),FIND("(",IF(LEFT(TRIM(A1504),1)="[",TRIM(MID(TRIM(A1504),FIND("]",TRIM(A1504)&amp;"]")+1,200)),TRIM(A1504))&amp;"(")-1)),IF(LEFT(TRIM(A1504),1)="[",TRIM(MID(TRIM(A1504),FIND("]",TRIM(A1504)&amp;"]")+1,200)),TRIM(A1504))))&gt;0,IF(RIGHT(IF(LEFT(TRIM(A1504),1)="[",TRIM(MID(TRIM(A1504),FIND("]",TRIM(A1504)&amp;"]")+1,200)),TRIM(A1504)),1)=")",TRIM(LEFT(IF(LEFT(TRIM(A1504),1)="[",TRIM(MID(TRIM(A1504),FIND("]",TRIM(A1504)&amp;"]")+1,200)),TRIM(A1504)),FIND("(",IF(LEFT(TRIM(A1504),1)="[",TRIM(MID(TRIM(A1504),FIND("]",TRIM(A1504)&amp;"]")+1,200)),TRIM(A1504))&amp;"(")-1)),IF(LEFT(TRIM(A1504),1)="[",TRIM(MID(TRIM(A1504),FIND("]",TRIM(A1504)&amp;"]")+1,200)),TRIM(A1504))),""))</f>
      </c>
      <c r="C1504" s="17">
        <f>IF(B1504&lt;&gt;"",B1504,C1503)</f>
      </c>
      <c r="D1504" s="17">
        <f>IF(A1504="","",IF(OR(LEFT(UPPER(TRIM(A1504)),2)="Y:",LEFT(UPPER(TRIM(A1504)),10)="YESTERDAY:"),"Y",IF(OR(LEFT(UPPER(TRIM(A1504)),2)="T:",LEFT(UPPER(TRIM(A1504)),6)="TODAY:"),"T",IF(OR(LEFT(UPPER(TRIM(A1504)),2)="B:",LEFT(UPPER(TRIM(A1504)),8)="BLOCKER:",LEFT(UPPER(TRIM(A1504)),9)="BLOCKERS:",LEFT(UPPER(TRIM(A1504)),8)="BLOCKED:"),"B",""))))</f>
      </c>
      <c r="E1504" s="17">
        <f>IF(D1504="","",TRIM(MID(A1504,FIND(":",A1504)+1,500)))</f>
      </c>
    </row>
    <row r="1505">
      <c r="B1505" s="17">
        <f>IF(A1505="","",IF(COUNTIF(Roster[Name],IF(RIGHT(IF(LEFT(TRIM(A1505),1)="[",TRIM(MID(TRIM(A1505),FIND("]",TRIM(A1505)&amp;"]")+1,200)),TRIM(A1505)),1)=")",TRIM(LEFT(IF(LEFT(TRIM(A1505),1)="[",TRIM(MID(TRIM(A1505),FIND("]",TRIM(A1505)&amp;"]")+1,200)),TRIM(A1505)),FIND("(",IF(LEFT(TRIM(A1505),1)="[",TRIM(MID(TRIM(A1505),FIND("]",TRIM(A1505)&amp;"]")+1,200)),TRIM(A1505))&amp;"(")-1)),IF(LEFT(TRIM(A1505),1)="[",TRIM(MID(TRIM(A1505),FIND("]",TRIM(A1505)&amp;"]")+1,200)),TRIM(A1505))))&gt;0,IF(RIGHT(IF(LEFT(TRIM(A1505),1)="[",TRIM(MID(TRIM(A1505),FIND("]",TRIM(A1505)&amp;"]")+1,200)),TRIM(A1505)),1)=")",TRIM(LEFT(IF(LEFT(TRIM(A1505),1)="[",TRIM(MID(TRIM(A1505),FIND("]",TRIM(A1505)&amp;"]")+1,200)),TRIM(A1505)),FIND("(",IF(LEFT(TRIM(A1505),1)="[",TRIM(MID(TRIM(A1505),FIND("]",TRIM(A1505)&amp;"]")+1,200)),TRIM(A1505))&amp;"(")-1)),IF(LEFT(TRIM(A1505),1)="[",TRIM(MID(TRIM(A1505),FIND("]",TRIM(A1505)&amp;"]")+1,200)),TRIM(A1505))),""))</f>
      </c>
      <c r="C1505" s="17">
        <f>IF(B1505&lt;&gt;"",B1505,C1504)</f>
      </c>
      <c r="D1505" s="17">
        <f>IF(A1505="","",IF(OR(LEFT(UPPER(TRIM(A1505)),2)="Y:",LEFT(UPPER(TRIM(A1505)),10)="YESTERDAY:"),"Y",IF(OR(LEFT(UPPER(TRIM(A1505)),2)="T:",LEFT(UPPER(TRIM(A1505)),6)="TODAY:"),"T",IF(OR(LEFT(UPPER(TRIM(A1505)),2)="B:",LEFT(UPPER(TRIM(A1505)),8)="BLOCKER:",LEFT(UPPER(TRIM(A1505)),9)="BLOCKERS:",LEFT(UPPER(TRIM(A1505)),8)="BLOCKED:"),"B",""))))</f>
      </c>
      <c r="E1505" s="17">
        <f>IF(D1505="","",TRIM(MID(A1505,FIND(":",A1505)+1,500)))</f>
      </c>
    </row>
  </sheetData>
  <pageMargins left="0.5" right="0.5" top="0.6" bottom="0.6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E6AF22"/>
  </sheetPr>
  <sheetViews>
    <sheetView workbookViewId="0" showGridLines="1">
      <pane xSplit="1" ySplit="4" topLeftCell="B5" activePane="bottomRight" state="frozen"/>
    </sheetView>
  </sheetViews>
  <sheetFormatPr defaultRowHeight="13.8"/>
  <cols>
    <col min="1" max="1" width="18" customWidth="1"/>
    <col min="2" max="2" width="11" customWidth="1"/>
    <col min="3" max="3" width="6" customWidth="1"/>
    <col min="4" max="4" width="26" customWidth="1"/>
    <col min="5" max="5" width="26" customWidth="1"/>
    <col min="6" max="6" width="18" customWidth="1"/>
    <col min="7" max="7" width="7" customWidth="1"/>
    <col min="8" max="8" width="8" customWidth="1"/>
    <col min="9" max="9" width="7" customWidth="1"/>
    <col min="10" max="10" width="9" customWidth="1"/>
    <col min="11" max="11" width="34" customWidth="1"/>
    <col min="12" max="12" width="40" customWidth="1"/>
    <col min="13" max="13" width="11" customWidth="1"/>
    <col min="14" max="14" width="10" customWidth="1"/>
    <col min="15" max="15" width="7" customWidth="1"/>
    <col min="16" max="16" width="24" customWidth="1"/>
  </cols>
  <sheetData>
    <row r="1">
      <c r="A1" s="2" t="s">
        <v>142</v>
      </c>
    </row>
    <row r="2">
      <c r="A2" s="6" t="s">
        <v>143</v>
      </c>
    </row>
    <row r="4">
      <c r="A4" s="3" t="s">
        <v>138</v>
      </c>
      <c r="B4" s="3" t="s">
        <v>144</v>
      </c>
      <c r="C4" s="3" t="s">
        <v>145</v>
      </c>
      <c r="D4" s="3" t="s">
        <v>146</v>
      </c>
      <c r="E4" s="3" t="s">
        <v>147</v>
      </c>
      <c r="F4" s="3" t="s">
        <v>148</v>
      </c>
      <c r="G4" s="3" t="s">
        <v>149</v>
      </c>
      <c r="H4" s="3" t="s">
        <v>150</v>
      </c>
      <c r="I4" s="3" t="s">
        <v>151</v>
      </c>
      <c r="J4" s="3" t="s">
        <v>152</v>
      </c>
      <c r="K4" s="3" t="s">
        <v>153</v>
      </c>
      <c r="L4" s="3" t="s">
        <v>154</v>
      </c>
      <c r="M4" s="19" t="s">
        <v>135</v>
      </c>
      <c r="N4" s="19" t="s">
        <v>85</v>
      </c>
      <c r="O4" s="19" t="s">
        <v>30</v>
      </c>
      <c r="P4" s="19" t="s">
        <v>155</v>
      </c>
    </row>
    <row r="5">
      <c r="A5" s="17">
        <f>IFERROR(INDEX(Roster[Name],1)&amp;"","")</f>
      </c>
      <c r="B5" s="17">
        <f>IF(A5="","",INDEX(Roster[Team],1)&amp;"")</f>
      </c>
      <c r="C5" s="17">
        <f>IF(OR(A5="",COUNTA(ChatPaste)=0),"",COUNTIF(ChatSpeaker,A5))</f>
      </c>
      <c r="D5" s="20">
        <f>IF(A5="","",IFERROR(INDEX(ChatText,MATCH(1,INDEX((ChatSpeaker=A5)*(ChatTag="Y"),0),0)),""))</f>
      </c>
      <c r="E5" s="20">
        <f>IF(A5="","",IFERROR(INDEX(ChatText,MATCH(1,INDEX((ChatSpeaker=A5)*(ChatTag="T"),0),0)),""))</f>
      </c>
      <c r="F5" s="20">
        <f>IF(A5="","",IFERROR(INDEX(ChatText,MATCH(1,INDEX((ChatSpeaker=A5)*(ChatTag="B"),0),0)),""))</f>
      </c>
      <c r="G5" s="17">
        <f>IF(E5="",0,SUMPRODUCT((Items[ID]&lt;&gt;"")*ISNUMBER(SEARCH(" "&amp;Items[ID]&amp;" "," "&amp;SUBSTITUTE(SUBSTITUTE(SUBSTITUTE(SUBSTITUTE(SUBSTITUTE(SUBSTITUTE(SUBSTITUTE(E5,","," "),"."," "),";"," "),":"," "),"("," "),")"," "),"/"," ")&amp;" "))))</f>
      </c>
      <c r="H5" s="17">
        <f>IF(E5="",0,SUMPRODUCT((Items[ID]&lt;&gt;"")*(Items[Owner]=A5)*(Items[In sprint]=1)*ISNUMBER(SEARCH(" "&amp;Items[ID]&amp;" "," "&amp;SUBSTITUTE(SUBSTITUTE(SUBSTITUTE(SUBSTITUTE(SUBSTITUTE(SUBSTITUTE(SUBSTITUTE(E5,","," "),"."," "),";"," "),":"," "),"("," "),")"," "),"/"," ")&amp;" "))))</f>
      </c>
      <c r="I5" s="17">
        <f>IF(F5="","",IF(OR(LOWER(TRIM(F5))={"none","no","nothing","n/a","na","-","nope","no blockers","none.","nil"}),"","Y"))</f>
      </c>
      <c r="J5" s="17">
        <f>IF(D5="","",IF(OR(ISNUMBER(SEARCH({"done","finished","completed","closed","merged"},D5))),IFERROR(INDEX(Items[ID],MATCH(1,INDEX((Items[ID]&lt;&gt;"")*(Items[State]&lt;&gt;"DONE")*ISNUMBER(SEARCH(" "&amp;Items[ID]&amp;" "," "&amp;SUBSTITUTE(SUBSTITUTE(SUBSTITUTE(SUBSTITUTE(SUBSTITUTE(SUBSTITUTE(SUBSTITUTE(D5,","," "),"."," "),";"," "),":"," "),"("," "),")"," "),"/"," ")&amp;" ")),0),0)),""),""))</f>
      </c>
      <c r="K5" s="20">
        <f>IF(A5="","",TRIM(IF(C5=0,"silent; ","")&amp;IF(AND(N(C5)&gt;0,D5=""),"no Y; ","")&amp;IF(AND(N(C5)&gt;0,E5=""),"no T; ","")&amp;IF(AND(N(C5)&gt;0,F5=""),"no B; ","")&amp;IF(AND(E5&lt;&gt;"",G5=0),"no task id in T; ","")&amp;IF(AND(G5&gt;0,H5=0),"T names no task of yours in this sprint; ","")&amp;IF(I5="Y","blocker: "&amp;F5&amp;"; ","")))</f>
      </c>
      <c r="L5" s="20">
        <f>IF(A5="","",IF(C5=0,"@"&amp;A5&amp;" please post Y: / T: / B: for today.",IF(TRIM(IF(AND(N(C5)&gt;0,D5=""),"no Y; ","")&amp;IF(AND(N(C5)&gt;0,E5=""),"no T; ","")&amp;IF(AND(N(C5)&gt;0,F5=""),"no B; ","")&amp;IF(AND(E5&lt;&gt;"",G5=0),"no task id in T; ","")&amp;IF(AND(G5&gt;0,H5=0),"T names no task of yours in this sprint; ",""))="","","@"&amp;A5&amp;" please fix: "&amp;TRIM(IF(AND(N(C5)&gt;0,D5=""),"no Y; ","")&amp;IF(AND(N(C5)&gt;0,E5=""),"no T; ","")&amp;IF(AND(N(C5)&gt;0,F5=""),"no B; ","")&amp;IF(AND(E5&lt;&gt;"",G5=0),"no task id in T; ","")&amp;IF(AND(G5&gt;0,H5=0),"T names no task of yours in this sprint; ","")))))</f>
      </c>
      <c r="M5" s="11">
        <f>IF(N5="","",StandupDate)</f>
      </c>
      <c r="N5" s="17">
        <f>IF(J5&lt;&gt;"",J5,IF(I5="Y",IF(IFERROR(INDEX(Items[ID],MATCH(1,INDEX((Items[ID]&lt;&gt;"")*ISNUMBER(SEARCH(" "&amp;Items[ID]&amp;" "," "&amp;SUBSTITUTE(SUBSTITUTE(SUBSTITUTE(SUBSTITUTE(SUBSTITUTE(SUBSTITUTE(SUBSTITUTE(F5,",","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"&amp;SUBSTITUTE(SUBSTITUTE(SUBSTITUTE(SUBSTITUTE(SUBSTITUTE(SUBSTITUTE(SUBSTITUTE(F5,","," "),"."," "),";"," "),":"," "),"("," "),")"," "),"/"," ")&amp;" ")),0),0)),""),IFERROR(INDEX(Items[ID],MATCH(1,INDEX((Items[ID]&lt;&gt;"")*(Items[Owner]=A5)*ISNUMBER(SEARCH(" "&amp;Items[ID]&amp;" "," "&amp;SUBSTITUTE(SUBSTITUTE(SUBSTITUTE(SUBSTITUTE(SUBSTITUTE(SUBSTITUTE(SUBSTITUTE(E5,","," "),"."," "),";"," "),":"," "),"("," "),")"," "),"/"," ")&amp;" ")),0),0)),"")),""))</f>
      </c>
      <c r="O5" s="17">
        <f>IF(N5="","",IF(J5&lt;&gt;"","done","block"))</f>
      </c>
      <c r="P5" s="17">
        <f>IF(O5="block",F5,"")</f>
      </c>
    </row>
    <row r="6">
      <c r="A6" s="17">
        <f>IFERROR(INDEX(Roster[Name],2)&amp;"","")</f>
      </c>
      <c r="B6" s="17">
        <f>IF(A6="","",INDEX(Roster[Team],2)&amp;"")</f>
      </c>
      <c r="C6" s="17">
        <f>IF(OR(A6="",COUNTA(ChatPaste)=0),"",COUNTIF(ChatSpeaker,A6))</f>
      </c>
      <c r="D6" s="20">
        <f>IF(A6="","",IFERROR(INDEX(ChatText,MATCH(1,INDEX((ChatSpeaker=A6)*(ChatTag="Y"),0),0)),""))</f>
      </c>
      <c r="E6" s="20">
        <f>IF(A6="","",IFERROR(INDEX(ChatText,MATCH(1,INDEX((ChatSpeaker=A6)*(ChatTag="T"),0),0)),""))</f>
      </c>
      <c r="F6" s="20">
        <f>IF(A6="","",IFERROR(INDEX(ChatText,MATCH(1,INDEX((ChatSpeaker=A6)*(ChatTag="B"),0),0)),""))</f>
      </c>
      <c r="G6" s="17">
        <f>IF(E6="",0,SUMPRODUCT((Items[ID]&lt;&gt;"")*ISNUMBER(SEARCH(" "&amp;Items[ID]&amp;" "," "&amp;SUBSTITUTE(SUBSTITUTE(SUBSTITUTE(SUBSTITUTE(SUBSTITUTE(SUBSTITUTE(SUBSTITUTE(E6,","," "),"."," "),";"," "),":"," "),"("," "),")"," "),"/"," ")&amp;" "))))</f>
      </c>
      <c r="H6" s="17">
        <f>IF(E6="",0,SUMPRODUCT((Items[ID]&lt;&gt;"")*(Items[Owner]=A6)*(Items[In sprint]=1)*ISNUMBER(SEARCH(" "&amp;Items[ID]&amp;" "," "&amp;SUBSTITUTE(SUBSTITUTE(SUBSTITUTE(SUBSTITUTE(SUBSTITUTE(SUBSTITUTE(SUBSTITUTE(E6,","," "),"."," "),";"," "),":"," "),"("," "),")"," "),"/"," ")&amp;" "))))</f>
      </c>
      <c r="I6" s="17">
        <f>IF(F6="","",IF(OR(LOWER(TRIM(F6))={"none","no","nothing","n/a","na","-","nope","no blockers","none.","nil"}),"","Y"))</f>
      </c>
      <c r="J6" s="17">
        <f>IF(D6="","",IF(OR(ISNUMBER(SEARCH({"done","finished","completed","closed","merged"},D6))),IFERROR(INDEX(Items[ID],MATCH(1,INDEX((Items[ID]&lt;&gt;"")*(Items[State]&lt;&gt;"DONE")*ISNUMBER(SEARCH(" "&amp;Items[ID]&amp;" "," "&amp;SUBSTITUTE(SUBSTITUTE(SUBSTITUTE(SUBSTITUTE(SUBSTITUTE(SUBSTITUTE(SUBSTITUTE(D6,","," "),"."," "),";"," "),":"," "),"("," "),")"," "),"/"," ")&amp;" ")),0),0)),""),""))</f>
      </c>
      <c r="K6" s="20">
        <f>IF(A6="","",TRIM(IF(C6=0,"silent; ","")&amp;IF(AND(N(C6)&gt;0,D6=""),"no Y; ","")&amp;IF(AND(N(C6)&gt;0,E6=""),"no T; ","")&amp;IF(AND(N(C6)&gt;0,F6=""),"no B; ","")&amp;IF(AND(E6&lt;&gt;"",G6=0),"no task id in T; ","")&amp;IF(AND(G6&gt;0,H6=0),"T names no task of yours in this sprint; ","")&amp;IF(I6="Y","blocker: "&amp;F6&amp;"; ","")))</f>
      </c>
      <c r="L6" s="20">
        <f>IF(A6="","",IF(C6=0,"@"&amp;A6&amp;" please post Y: / T: / B: for today.",IF(TRIM(IF(AND(N(C6)&gt;0,D6=""),"no Y; ","")&amp;IF(AND(N(C6)&gt;0,E6=""),"no T; ","")&amp;IF(AND(N(C6)&gt;0,F6=""),"no B; ","")&amp;IF(AND(E6&lt;&gt;"",G6=0),"no task id in T; ","")&amp;IF(AND(G6&gt;0,H6=0),"T names no task of yours in this sprint; ",""))="","","@"&amp;A6&amp;" please fix: "&amp;TRIM(IF(AND(N(C6)&gt;0,D6=""),"no Y; ","")&amp;IF(AND(N(C6)&gt;0,E6=""),"no T; ","")&amp;IF(AND(N(C6)&gt;0,F6=""),"no B; ","")&amp;IF(AND(E6&lt;&gt;"",G6=0),"no task id in T; ","")&amp;IF(AND(G6&gt;0,H6=0),"T names no task of yours in this sprint; ","")))))</f>
      </c>
      <c r="M6" s="11">
        <f>IF(N6="","",StandupDate)</f>
      </c>
      <c r="N6" s="17">
        <f>IF(J6&lt;&gt;"",J6,IF(I6="Y",IF(IFERROR(INDEX(Items[ID],MATCH(1,INDEX((Items[ID]&lt;&gt;"")*ISNUMBER(SEARCH(" "&amp;Items[ID]&amp;" "," "&amp;SUBSTITUTE(SUBSTITUTE(SUBSTITUTE(SUBSTITUTE(SUBSTITUTE(SUBSTITUTE(SUBSTITUTE(F6,",","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"&amp;SUBSTITUTE(SUBSTITUTE(SUBSTITUTE(SUBSTITUTE(SUBSTITUTE(SUBSTITUTE(SUBSTITUTE(F6,","," "),"."," "),";"," "),":"," "),"("," "),")"," "),"/"," ")&amp;" ")),0),0)),""),IFERROR(INDEX(Items[ID],MATCH(1,INDEX((Items[ID]&lt;&gt;"")*(Items[Owner]=A6)*ISNUMBER(SEARCH(" "&amp;Items[ID]&amp;" "," "&amp;SUBSTITUTE(SUBSTITUTE(SUBSTITUTE(SUBSTITUTE(SUBSTITUTE(SUBSTITUTE(SUBSTITUTE(E6,","," "),"."," "),";"," "),":"," "),"("," "),")"," "),"/"," ")&amp;" ")),0),0)),"")),""))</f>
      </c>
      <c r="O6" s="17">
        <f>IF(N6="","",IF(J6&lt;&gt;"","done","block"))</f>
      </c>
      <c r="P6" s="17">
        <f>IF(O6="block",F6,"")</f>
      </c>
    </row>
    <row r="7">
      <c r="A7" s="17">
        <f>IFERROR(INDEX(Roster[Name],3)&amp;"","")</f>
      </c>
      <c r="B7" s="17">
        <f>IF(A7="","",INDEX(Roster[Team],3)&amp;"")</f>
      </c>
      <c r="C7" s="17">
        <f>IF(OR(A7="",COUNTA(ChatPaste)=0),"",COUNTIF(ChatSpeaker,A7))</f>
      </c>
      <c r="D7" s="20">
        <f>IF(A7="","",IFERROR(INDEX(ChatText,MATCH(1,INDEX((ChatSpeaker=A7)*(ChatTag="Y"),0),0)),""))</f>
      </c>
      <c r="E7" s="20">
        <f>IF(A7="","",IFERROR(INDEX(ChatText,MATCH(1,INDEX((ChatSpeaker=A7)*(ChatTag="T"),0),0)),""))</f>
      </c>
      <c r="F7" s="20">
        <f>IF(A7="","",IFERROR(INDEX(ChatText,MATCH(1,INDEX((ChatSpeaker=A7)*(ChatTag="B"),0),0)),""))</f>
      </c>
      <c r="G7" s="17">
        <f>IF(E7="",0,SUMPRODUCT((Items[ID]&lt;&gt;"")*ISNUMBER(SEARCH(" "&amp;Items[ID]&amp;" "," "&amp;SUBSTITUTE(SUBSTITUTE(SUBSTITUTE(SUBSTITUTE(SUBSTITUTE(SUBSTITUTE(SUBSTITUTE(E7,","," "),"."," "),";"," "),":"," "),"("," "),")"," "),"/"," ")&amp;" "))))</f>
      </c>
      <c r="H7" s="17">
        <f>IF(E7="",0,SUMPRODUCT((Items[ID]&lt;&gt;"")*(Items[Owner]=A7)*(Items[In sprint]=1)*ISNUMBER(SEARCH(" "&amp;Items[ID]&amp;" "," "&amp;SUBSTITUTE(SUBSTITUTE(SUBSTITUTE(SUBSTITUTE(SUBSTITUTE(SUBSTITUTE(SUBSTITUTE(E7,","," "),"."," "),";"," "),":"," "),"("," "),")"," "),"/"," ")&amp;" "))))</f>
      </c>
      <c r="I7" s="17">
        <f>IF(F7="","",IF(OR(LOWER(TRIM(F7))={"none","no","nothing","n/a","na","-","nope","no blockers","none.","nil"}),"","Y"))</f>
      </c>
      <c r="J7" s="17">
        <f>IF(D7="","",IF(OR(ISNUMBER(SEARCH({"done","finished","completed","closed","merged"},D7))),IFERROR(INDEX(Items[ID],MATCH(1,INDEX((Items[ID]&lt;&gt;"")*(Items[State]&lt;&gt;"DONE")*ISNUMBER(SEARCH(" "&amp;Items[ID]&amp;" "," "&amp;SUBSTITUTE(SUBSTITUTE(SUBSTITUTE(SUBSTITUTE(SUBSTITUTE(SUBSTITUTE(SUBSTITUTE(D7,","," "),"."," "),";"," "),":"," "),"("," "),")"," "),"/"," ")&amp;" ")),0),0)),""),""))</f>
      </c>
      <c r="K7" s="20">
        <f>IF(A7="","",TRIM(IF(C7=0,"silent; ","")&amp;IF(AND(N(C7)&gt;0,D7=""),"no Y; ","")&amp;IF(AND(N(C7)&gt;0,E7=""),"no T; ","")&amp;IF(AND(N(C7)&gt;0,F7=""),"no B; ","")&amp;IF(AND(E7&lt;&gt;"",G7=0),"no task id in T; ","")&amp;IF(AND(G7&gt;0,H7=0),"T names no task of yours in this sprint; ","")&amp;IF(I7="Y","blocker: "&amp;F7&amp;"; ","")))</f>
      </c>
      <c r="L7" s="20">
        <f>IF(A7="","",IF(C7=0,"@"&amp;A7&amp;" please post Y: / T: / B: for today.",IF(TRIM(IF(AND(N(C7)&gt;0,D7=""),"no Y; ","")&amp;IF(AND(N(C7)&gt;0,E7=""),"no T; ","")&amp;IF(AND(N(C7)&gt;0,F7=""),"no B; ","")&amp;IF(AND(E7&lt;&gt;"",G7=0),"no task id in T; ","")&amp;IF(AND(G7&gt;0,H7=0),"T names no task of yours in this sprint; ",""))="","","@"&amp;A7&amp;" please fix: "&amp;TRIM(IF(AND(N(C7)&gt;0,D7=""),"no Y; ","")&amp;IF(AND(N(C7)&gt;0,E7=""),"no T; ","")&amp;IF(AND(N(C7)&gt;0,F7=""),"no B; ","")&amp;IF(AND(E7&lt;&gt;"",G7=0),"no task id in T; ","")&amp;IF(AND(G7&gt;0,H7=0),"T names no task of yours in this sprint; ","")))))</f>
      </c>
      <c r="M7" s="11">
        <f>IF(N7="","",StandupDate)</f>
      </c>
      <c r="N7" s="17">
        <f>IF(J7&lt;&gt;"",J7,IF(I7="Y",IF(IFERROR(INDEX(Items[ID],MATCH(1,INDEX((Items[ID]&lt;&gt;"")*ISNUMBER(SEARCH(" "&amp;Items[ID]&amp;" "," "&amp;SUBSTITUTE(SUBSTITUTE(SUBSTITUTE(SUBSTITUTE(SUBSTITUTE(SUBSTITUTE(SUBSTITUTE(F7,",","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"&amp;SUBSTITUTE(SUBSTITUTE(SUBSTITUTE(SUBSTITUTE(SUBSTITUTE(SUBSTITUTE(SUBSTITUTE(F7,","," "),"."," "),";"," "),":"," "),"("," "),")"," "),"/"," ")&amp;" ")),0),0)),""),IFERROR(INDEX(Items[ID],MATCH(1,INDEX((Items[ID]&lt;&gt;"")*(Items[Owner]=A7)*ISNUMBER(SEARCH(" "&amp;Items[ID]&amp;" "," "&amp;SUBSTITUTE(SUBSTITUTE(SUBSTITUTE(SUBSTITUTE(SUBSTITUTE(SUBSTITUTE(SUBSTITUTE(E7,","," "),"."," "),";"," "),":"," "),"("," "),")"," "),"/"," ")&amp;" ")),0),0)),"")),""))</f>
      </c>
      <c r="O7" s="17">
        <f>IF(N7="","",IF(J7&lt;&gt;"","done","block"))</f>
      </c>
      <c r="P7" s="17">
        <f>IF(O7="block",F7,"")</f>
      </c>
    </row>
    <row r="8">
      <c r="A8" s="17">
        <f>IFERROR(INDEX(Roster[Name],4)&amp;"","")</f>
      </c>
      <c r="B8" s="17">
        <f>IF(A8="","",INDEX(Roster[Team],4)&amp;"")</f>
      </c>
      <c r="C8" s="17">
        <f>IF(OR(A8="",COUNTA(ChatPaste)=0),"",COUNTIF(ChatSpeaker,A8))</f>
      </c>
      <c r="D8" s="20">
        <f>IF(A8="","",IFERROR(INDEX(ChatText,MATCH(1,INDEX((ChatSpeaker=A8)*(ChatTag="Y"),0),0)),""))</f>
      </c>
      <c r="E8" s="20">
        <f>IF(A8="","",IFERROR(INDEX(ChatText,MATCH(1,INDEX((ChatSpeaker=A8)*(ChatTag="T"),0),0)),""))</f>
      </c>
      <c r="F8" s="20">
        <f>IF(A8="","",IFERROR(INDEX(ChatText,MATCH(1,INDEX((ChatSpeaker=A8)*(ChatTag="B"),0),0)),""))</f>
      </c>
      <c r="G8" s="17">
        <f>IF(E8="",0,SUMPRODUCT((Items[ID]&lt;&gt;"")*ISNUMBER(SEARCH(" "&amp;Items[ID]&amp;" "," "&amp;SUBSTITUTE(SUBSTITUTE(SUBSTITUTE(SUBSTITUTE(SUBSTITUTE(SUBSTITUTE(SUBSTITUTE(E8,","," "),"."," "),";"," "),":"," "),"("," "),")"," "),"/"," ")&amp;" "))))</f>
      </c>
      <c r="H8" s="17">
        <f>IF(E8="",0,SUMPRODUCT((Items[ID]&lt;&gt;"")*(Items[Owner]=A8)*(Items[In sprint]=1)*ISNUMBER(SEARCH(" "&amp;Items[ID]&amp;" "," "&amp;SUBSTITUTE(SUBSTITUTE(SUBSTITUTE(SUBSTITUTE(SUBSTITUTE(SUBSTITUTE(SUBSTITUTE(E8,","," "),"."," "),";"," "),":"," "),"("," "),")"," "),"/"," ")&amp;" "))))</f>
      </c>
      <c r="I8" s="17">
        <f>IF(F8="","",IF(OR(LOWER(TRIM(F8))={"none","no","nothing","n/a","na","-","nope","no blockers","none.","nil"}),"","Y"))</f>
      </c>
      <c r="J8" s="17">
        <f>IF(D8="","",IF(OR(ISNUMBER(SEARCH({"done","finished","completed","closed","merged"},D8))),IFERROR(INDEX(Items[ID],MATCH(1,INDEX((Items[ID]&lt;&gt;"")*(Items[State]&lt;&gt;"DONE")*ISNUMBER(SEARCH(" "&amp;Items[ID]&amp;" "," "&amp;SUBSTITUTE(SUBSTITUTE(SUBSTITUTE(SUBSTITUTE(SUBSTITUTE(SUBSTITUTE(SUBSTITUTE(D8,","," "),"."," "),";"," "),":"," "),"("," "),")"," "),"/"," ")&amp;" ")),0),0)),""),""))</f>
      </c>
      <c r="K8" s="20">
        <f>IF(A8="","",TRIM(IF(C8=0,"silent; ","")&amp;IF(AND(N(C8)&gt;0,D8=""),"no Y; ","")&amp;IF(AND(N(C8)&gt;0,E8=""),"no T; ","")&amp;IF(AND(N(C8)&gt;0,F8=""),"no B; ","")&amp;IF(AND(E8&lt;&gt;"",G8=0),"no task id in T; ","")&amp;IF(AND(G8&gt;0,H8=0),"T names no task of yours in this sprint; ","")&amp;IF(I8="Y","blocker: "&amp;F8&amp;"; ","")))</f>
      </c>
      <c r="L8" s="20">
        <f>IF(A8="","",IF(C8=0,"@"&amp;A8&amp;" please post Y: / T: / B: for today.",IF(TRIM(IF(AND(N(C8)&gt;0,D8=""),"no Y; ","")&amp;IF(AND(N(C8)&gt;0,E8=""),"no T; ","")&amp;IF(AND(N(C8)&gt;0,F8=""),"no B; ","")&amp;IF(AND(E8&lt;&gt;"",G8=0),"no task id in T; ","")&amp;IF(AND(G8&gt;0,H8=0),"T names no task of yours in this sprint; ",""))="","","@"&amp;A8&amp;" please fix: "&amp;TRIM(IF(AND(N(C8)&gt;0,D8=""),"no Y; ","")&amp;IF(AND(N(C8)&gt;0,E8=""),"no T; ","")&amp;IF(AND(N(C8)&gt;0,F8=""),"no B; ","")&amp;IF(AND(E8&lt;&gt;"",G8=0),"no task id in T; ","")&amp;IF(AND(G8&gt;0,H8=0),"T names no task of yours in this sprint; ","")))))</f>
      </c>
      <c r="M8" s="11">
        <f>IF(N8="","",StandupDate)</f>
      </c>
      <c r="N8" s="17">
        <f>IF(J8&lt;&gt;"",J8,IF(I8="Y",IF(IFERROR(INDEX(Items[ID],MATCH(1,INDEX((Items[ID]&lt;&gt;"")*ISNUMBER(SEARCH(" "&amp;Items[ID]&amp;" "," "&amp;SUBSTITUTE(SUBSTITUTE(SUBSTITUTE(SUBSTITUTE(SUBSTITUTE(SUBSTITUTE(SUBSTITUTE(F8,",","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"&amp;SUBSTITUTE(SUBSTITUTE(SUBSTITUTE(SUBSTITUTE(SUBSTITUTE(SUBSTITUTE(SUBSTITUTE(F8,","," "),"."," "),";"," "),":"," "),"("," "),")"," "),"/"," ")&amp;" ")),0),0)),""),IFERROR(INDEX(Items[ID],MATCH(1,INDEX((Items[ID]&lt;&gt;"")*(Items[Owner]=A8)*ISNUMBER(SEARCH(" "&amp;Items[ID]&amp;" "," "&amp;SUBSTITUTE(SUBSTITUTE(SUBSTITUTE(SUBSTITUTE(SUBSTITUTE(SUBSTITUTE(SUBSTITUTE(E8,","," "),"."," "),";"," "),":"," "),"("," "),")"," "),"/"," ")&amp;" ")),0),0)),"")),""))</f>
      </c>
      <c r="O8" s="17">
        <f>IF(N8="","",IF(J8&lt;&gt;"","done","block"))</f>
      </c>
      <c r="P8" s="17">
        <f>IF(O8="block",F8,"")</f>
      </c>
    </row>
    <row r="9">
      <c r="A9" s="17">
        <f>IFERROR(INDEX(Roster[Name],5)&amp;"","")</f>
      </c>
      <c r="B9" s="17">
        <f>IF(A9="","",INDEX(Roster[Team],5)&amp;"")</f>
      </c>
      <c r="C9" s="17">
        <f>IF(OR(A9="",COUNTA(ChatPaste)=0),"",COUNTIF(ChatSpeaker,A9))</f>
      </c>
      <c r="D9" s="20">
        <f>IF(A9="","",IFERROR(INDEX(ChatText,MATCH(1,INDEX((ChatSpeaker=A9)*(ChatTag="Y"),0),0)),""))</f>
      </c>
      <c r="E9" s="20">
        <f>IF(A9="","",IFERROR(INDEX(ChatText,MATCH(1,INDEX((ChatSpeaker=A9)*(ChatTag="T"),0),0)),""))</f>
      </c>
      <c r="F9" s="20">
        <f>IF(A9="","",IFERROR(INDEX(ChatText,MATCH(1,INDEX((ChatSpeaker=A9)*(ChatTag="B"),0),0)),""))</f>
      </c>
      <c r="G9" s="17">
        <f>IF(E9="",0,SUMPRODUCT((Items[ID]&lt;&gt;"")*ISNUMBER(SEARCH(" "&amp;Items[ID]&amp;" "," "&amp;SUBSTITUTE(SUBSTITUTE(SUBSTITUTE(SUBSTITUTE(SUBSTITUTE(SUBSTITUTE(SUBSTITUTE(E9,","," "),"."," "),";"," "),":"," "),"("," "),")"," "),"/"," ")&amp;" "))))</f>
      </c>
      <c r="H9" s="17">
        <f>IF(E9="",0,SUMPRODUCT((Items[ID]&lt;&gt;"")*(Items[Owner]=A9)*(Items[In sprint]=1)*ISNUMBER(SEARCH(" "&amp;Items[ID]&amp;" "," "&amp;SUBSTITUTE(SUBSTITUTE(SUBSTITUTE(SUBSTITUTE(SUBSTITUTE(SUBSTITUTE(SUBSTITUTE(E9,","," "),"."," "),";"," "),":"," "),"("," "),")"," "),"/"," ")&amp;" "))))</f>
      </c>
      <c r="I9" s="17">
        <f>IF(F9="","",IF(OR(LOWER(TRIM(F9))={"none","no","nothing","n/a","na","-","nope","no blockers","none.","nil"}),"","Y"))</f>
      </c>
      <c r="J9" s="17">
        <f>IF(D9="","",IF(OR(ISNUMBER(SEARCH({"done","finished","completed","closed","merged"},D9))),IFERROR(INDEX(Items[ID],MATCH(1,INDEX((Items[ID]&lt;&gt;"")*(Items[State]&lt;&gt;"DONE")*ISNUMBER(SEARCH(" "&amp;Items[ID]&amp;" "," "&amp;SUBSTITUTE(SUBSTITUTE(SUBSTITUTE(SUBSTITUTE(SUBSTITUTE(SUBSTITUTE(SUBSTITUTE(D9,","," "),"."," "),";"," "),":"," "),"("," "),")"," "),"/"," ")&amp;" ")),0),0)),""),""))</f>
      </c>
      <c r="K9" s="20">
        <f>IF(A9="","",TRIM(IF(C9=0,"silent; ","")&amp;IF(AND(N(C9)&gt;0,D9=""),"no Y; ","")&amp;IF(AND(N(C9)&gt;0,E9=""),"no T; ","")&amp;IF(AND(N(C9)&gt;0,F9=""),"no B; ","")&amp;IF(AND(E9&lt;&gt;"",G9=0),"no task id in T; ","")&amp;IF(AND(G9&gt;0,H9=0),"T names no task of yours in this sprint; ","")&amp;IF(I9="Y","blocker: "&amp;F9&amp;"; ","")))</f>
      </c>
      <c r="L9" s="20">
        <f>IF(A9="","",IF(C9=0,"@"&amp;A9&amp;" please post Y: / T: / B: for today.",IF(TRIM(IF(AND(N(C9)&gt;0,D9=""),"no Y; ","")&amp;IF(AND(N(C9)&gt;0,E9=""),"no T; ","")&amp;IF(AND(N(C9)&gt;0,F9=""),"no B; ","")&amp;IF(AND(E9&lt;&gt;"",G9=0),"no task id in T; ","")&amp;IF(AND(G9&gt;0,H9=0),"T names no task of yours in this sprint; ",""))="","","@"&amp;A9&amp;" please fix: "&amp;TRIM(IF(AND(N(C9)&gt;0,D9=""),"no Y; ","")&amp;IF(AND(N(C9)&gt;0,E9=""),"no T; ","")&amp;IF(AND(N(C9)&gt;0,F9=""),"no B; ","")&amp;IF(AND(E9&lt;&gt;"",G9=0),"no task id in T; ","")&amp;IF(AND(G9&gt;0,H9=0),"T names no task of yours in this sprint; ","")))))</f>
      </c>
      <c r="M9" s="11">
        <f>IF(N9="","",StandupDate)</f>
      </c>
      <c r="N9" s="17">
        <f>IF(J9&lt;&gt;"",J9,IF(I9="Y",IF(IFERROR(INDEX(Items[ID],MATCH(1,INDEX((Items[ID]&lt;&gt;"")*ISNUMBER(SEARCH(" "&amp;Items[ID]&amp;" "," "&amp;SUBSTITUTE(SUBSTITUTE(SUBSTITUTE(SUBSTITUTE(SUBSTITUTE(SUBSTITUTE(SUBSTITUTE(F9,",","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"&amp;SUBSTITUTE(SUBSTITUTE(SUBSTITUTE(SUBSTITUTE(SUBSTITUTE(SUBSTITUTE(SUBSTITUTE(F9,","," "),"."," "),";"," "),":"," "),"("," "),")"," "),"/"," ")&amp;" ")),0),0)),""),IFERROR(INDEX(Items[ID],MATCH(1,INDEX((Items[ID]&lt;&gt;"")*(Items[Owner]=A9)*ISNUMBER(SEARCH(" "&amp;Items[ID]&amp;" "," "&amp;SUBSTITUTE(SUBSTITUTE(SUBSTITUTE(SUBSTITUTE(SUBSTITUTE(SUBSTITUTE(SUBSTITUTE(E9,","," "),"."," "),";"," "),":"," "),"("," "),")"," "),"/"," ")&amp;" ")),0),0)),"")),""))</f>
      </c>
      <c r="O9" s="17">
        <f>IF(N9="","",IF(J9&lt;&gt;"","done","block"))</f>
      </c>
      <c r="P9" s="17">
        <f>IF(O9="block",F9,"")</f>
      </c>
    </row>
    <row r="10">
      <c r="A10" s="17">
        <f>IFERROR(INDEX(Roster[Name],6)&amp;"","")</f>
      </c>
      <c r="B10" s="17">
        <f>IF(A10="","",INDEX(Roster[Team],6)&amp;"")</f>
      </c>
      <c r="C10" s="17">
        <f>IF(OR(A10="",COUNTA(ChatPaste)=0),"",COUNTIF(ChatSpeaker,A10))</f>
      </c>
      <c r="D10" s="20">
        <f>IF(A10="","",IFERROR(INDEX(ChatText,MATCH(1,INDEX((ChatSpeaker=A10)*(ChatTag="Y"),0),0)),""))</f>
      </c>
      <c r="E10" s="20">
        <f>IF(A10="","",IFERROR(INDEX(ChatText,MATCH(1,INDEX((ChatSpeaker=A10)*(ChatTag="T"),0),0)),""))</f>
      </c>
      <c r="F10" s="20">
        <f>IF(A10="","",IFERROR(INDEX(ChatText,MATCH(1,INDEX((ChatSpeaker=A10)*(ChatTag="B"),0),0)),""))</f>
      </c>
      <c r="G10" s="17">
        <f>IF(E10="",0,SUMPRODUCT((Items[ID]&lt;&gt;"")*ISNUMBER(SEARCH(" "&amp;Items[ID]&amp;" "," "&amp;SUBSTITUTE(SUBSTITUTE(SUBSTITUTE(SUBSTITUTE(SUBSTITUTE(SUBSTITUTE(SUBSTITUTE(E10,","," "),"."," "),";"," "),":"," "),"("," "),")"," "),"/"," ")&amp;" "))))</f>
      </c>
      <c r="H10" s="17">
        <f>IF(E10="",0,SUMPRODUCT((Items[ID]&lt;&gt;"")*(Items[Owner]=A10)*(Items[In sprint]=1)*ISNUMBER(SEARCH(" "&amp;Items[ID]&amp;" "," "&amp;SUBSTITUTE(SUBSTITUTE(SUBSTITUTE(SUBSTITUTE(SUBSTITUTE(SUBSTITUTE(SUBSTITUTE(E10,","," "),"."," "),";"," "),":"," "),"("," "),")"," "),"/"," ")&amp;" "))))</f>
      </c>
      <c r="I10" s="17">
        <f>IF(F10="","",IF(OR(LOWER(TRIM(F10))={"none","no","nothing","n/a","na","-","nope","no blockers","none.","nil"}),"","Y"))</f>
      </c>
      <c r="J10" s="17">
        <f>IF(D10="","",IF(OR(ISNUMBER(SEARCH({"done","finished","completed","closed","merged"},D10))),IFERROR(INDEX(Items[ID],MATCH(1,INDEX((Items[ID]&lt;&gt;"")*(Items[State]&lt;&gt;"DONE")*ISNUMBER(SEARCH(" "&amp;Items[ID]&amp;" "," "&amp;SUBSTITUTE(SUBSTITUTE(SUBSTITUTE(SUBSTITUTE(SUBSTITUTE(SUBSTITUTE(SUBSTITUTE(D10,","," "),"."," "),";"," "),":"," "),"("," "),")"," "),"/"," ")&amp;" ")),0),0)),""),""))</f>
      </c>
      <c r="K10" s="20">
        <f>IF(A10="","",TRIM(IF(C10=0,"silent; ","")&amp;IF(AND(N(C10)&gt;0,D10=""),"no Y; ","")&amp;IF(AND(N(C10)&gt;0,E10=""),"no T; ","")&amp;IF(AND(N(C10)&gt;0,F10=""),"no B; ","")&amp;IF(AND(E10&lt;&gt;"",G10=0),"no task id in T; ","")&amp;IF(AND(G10&gt;0,H10=0),"T names no task of yours in this sprint; ","")&amp;IF(I10="Y","blocker: "&amp;F10&amp;"; ","")))</f>
      </c>
      <c r="L10" s="20">
        <f>IF(A10="","",IF(C10=0,"@"&amp;A10&amp;" please post Y: / T: / B: for today.",IF(TRIM(IF(AND(N(C10)&gt;0,D10=""),"no Y; ","")&amp;IF(AND(N(C10)&gt;0,E10=""),"no T; ","")&amp;IF(AND(N(C10)&gt;0,F10=""),"no B; ","")&amp;IF(AND(E10&lt;&gt;"",G10=0),"no task id in T; ","")&amp;IF(AND(G10&gt;0,H10=0),"T names no task of yours in this sprint; ",""))="","","@"&amp;A10&amp;" please fix: "&amp;TRIM(IF(AND(N(C10)&gt;0,D10=""),"no Y; ","")&amp;IF(AND(N(C10)&gt;0,E10=""),"no T; ","")&amp;IF(AND(N(C10)&gt;0,F10=""),"no B; ","")&amp;IF(AND(E10&lt;&gt;"",G10=0),"no task id in T; ","")&amp;IF(AND(G10&gt;0,H10=0),"T names no task of yours in this sprint; ","")))))</f>
      </c>
      <c r="M10" s="11">
        <f>IF(N10="","",StandupDate)</f>
      </c>
      <c r="N10" s="17">
        <f>IF(J10&lt;&gt;"",J10,IF(I10="Y",IF(IFERROR(INDEX(Items[ID],MATCH(1,INDEX((Items[ID]&lt;&gt;"")*ISNUMBER(SEARCH(" "&amp;Items[ID]&amp;" "," "&amp;SUBSTITUTE(SUBSTITUTE(SUBSTITUTE(SUBSTITUTE(SUBSTITUTE(SUBSTITUTE(SUBSTITUTE(F10,",","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"&amp;SUBSTITUTE(SUBSTITUTE(SUBSTITUTE(SUBSTITUTE(SUBSTITUTE(SUBSTITUTE(SUBSTITUTE(F10,","," "),"."," "),";"," "),":"," "),"("," "),")"," "),"/"," ")&amp;" ")),0),0)),""),IFERROR(INDEX(Items[ID],MATCH(1,INDEX((Items[ID]&lt;&gt;"")*(Items[Owner]=A10)*ISNUMBER(SEARCH(" "&amp;Items[ID]&amp;" "," "&amp;SUBSTITUTE(SUBSTITUTE(SUBSTITUTE(SUBSTITUTE(SUBSTITUTE(SUBSTITUTE(SUBSTITUTE(E10,","," "),"."," "),";"," "),":"," "),"("," "),")"," "),"/"," ")&amp;" ")),0),0)),"")),""))</f>
      </c>
      <c r="O10" s="17">
        <f>IF(N10="","",IF(J10&lt;&gt;"","done","block"))</f>
      </c>
      <c r="P10" s="17">
        <f>IF(O10="block",F10,"")</f>
      </c>
    </row>
    <row r="11">
      <c r="A11" s="17">
        <f>IFERROR(INDEX(Roster[Name],7)&amp;"","")</f>
      </c>
      <c r="B11" s="17">
        <f>IF(A11="","",INDEX(Roster[Team],7)&amp;"")</f>
      </c>
      <c r="C11" s="17">
        <f>IF(OR(A11="",COUNTA(ChatPaste)=0),"",COUNTIF(ChatSpeaker,A11))</f>
      </c>
      <c r="D11" s="20">
        <f>IF(A11="","",IFERROR(INDEX(ChatText,MATCH(1,INDEX((ChatSpeaker=A11)*(ChatTag="Y"),0),0)),""))</f>
      </c>
      <c r="E11" s="20">
        <f>IF(A11="","",IFERROR(INDEX(ChatText,MATCH(1,INDEX((ChatSpeaker=A11)*(ChatTag="T"),0),0)),""))</f>
      </c>
      <c r="F11" s="20">
        <f>IF(A11="","",IFERROR(INDEX(ChatText,MATCH(1,INDEX((ChatSpeaker=A11)*(ChatTag="B"),0),0)),""))</f>
      </c>
      <c r="G11" s="17">
        <f>IF(E11="",0,SUMPRODUCT((Items[ID]&lt;&gt;"")*ISNUMBER(SEARCH(" "&amp;Items[ID]&amp;" "," "&amp;SUBSTITUTE(SUBSTITUTE(SUBSTITUTE(SUBSTITUTE(SUBSTITUTE(SUBSTITUTE(SUBSTITUTE(E11,","," "),"."," "),";"," "),":"," "),"("," "),")"," "),"/"," ")&amp;" "))))</f>
      </c>
      <c r="H11" s="17">
        <f>IF(E11="",0,SUMPRODUCT((Items[ID]&lt;&gt;"")*(Items[Owner]=A11)*(Items[In sprint]=1)*ISNUMBER(SEARCH(" "&amp;Items[ID]&amp;" "," "&amp;SUBSTITUTE(SUBSTITUTE(SUBSTITUTE(SUBSTITUTE(SUBSTITUTE(SUBSTITUTE(SUBSTITUTE(E11,","," "),"."," "),";"," "),":"," "),"("," "),")"," "),"/"," ")&amp;" "))))</f>
      </c>
      <c r="I11" s="17">
        <f>IF(F11="","",IF(OR(LOWER(TRIM(F11))={"none","no","nothing","n/a","na","-","nope","no blockers","none.","nil"}),"","Y"))</f>
      </c>
      <c r="J11" s="17">
        <f>IF(D11="","",IF(OR(ISNUMBER(SEARCH({"done","finished","completed","closed","merged"},D11))),IFERROR(INDEX(Items[ID],MATCH(1,INDEX((Items[ID]&lt;&gt;"")*(Items[State]&lt;&gt;"DONE")*ISNUMBER(SEARCH(" "&amp;Items[ID]&amp;" "," "&amp;SUBSTITUTE(SUBSTITUTE(SUBSTITUTE(SUBSTITUTE(SUBSTITUTE(SUBSTITUTE(SUBSTITUTE(D11,","," "),"."," "),";"," "),":"," "),"("," "),")"," "),"/"," ")&amp;" ")),0),0)),""),""))</f>
      </c>
      <c r="K11" s="20">
        <f>IF(A11="","",TRIM(IF(C11=0,"silent; ","")&amp;IF(AND(N(C11)&gt;0,D11=""),"no Y; ","")&amp;IF(AND(N(C11)&gt;0,E11=""),"no T; ","")&amp;IF(AND(N(C11)&gt;0,F11=""),"no B; ","")&amp;IF(AND(E11&lt;&gt;"",G11=0),"no task id in T; ","")&amp;IF(AND(G11&gt;0,H11=0),"T names no task of yours in this sprint; ","")&amp;IF(I11="Y","blocker: "&amp;F11&amp;"; ","")))</f>
      </c>
      <c r="L11" s="20">
        <f>IF(A11="","",IF(C11=0,"@"&amp;A11&amp;" please post Y: / T: / B: for today.",IF(TRIM(IF(AND(N(C11)&gt;0,D11=""),"no Y; ","")&amp;IF(AND(N(C11)&gt;0,E11=""),"no T; ","")&amp;IF(AND(N(C11)&gt;0,F11=""),"no B; ","")&amp;IF(AND(E11&lt;&gt;"",G11=0),"no task id in T; ","")&amp;IF(AND(G11&gt;0,H11=0),"T names no task of yours in this sprint; ",""))="","","@"&amp;A11&amp;" please fix: "&amp;TRIM(IF(AND(N(C11)&gt;0,D11=""),"no Y; ","")&amp;IF(AND(N(C11)&gt;0,E11=""),"no T; ","")&amp;IF(AND(N(C11)&gt;0,F11=""),"no B; ","")&amp;IF(AND(E11&lt;&gt;"",G11=0),"no task id in T; ","")&amp;IF(AND(G11&gt;0,H11=0),"T names no task of yours in this sprint; ","")))))</f>
      </c>
      <c r="M11" s="11">
        <f>IF(N11="","",StandupDate)</f>
      </c>
      <c r="N11" s="17">
        <f>IF(J11&lt;&gt;"",J11,IF(I11="Y",IF(IFERROR(INDEX(Items[ID],MATCH(1,INDEX((Items[ID]&lt;&gt;"")*ISNUMBER(SEARCH(" "&amp;Items[ID]&amp;" "," "&amp;SUBSTITUTE(SUBSTITUTE(SUBSTITUTE(SUBSTITUTE(SUBSTITUTE(SUBSTITUTE(SUBSTITUTE(F11,",","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"&amp;SUBSTITUTE(SUBSTITUTE(SUBSTITUTE(SUBSTITUTE(SUBSTITUTE(SUBSTITUTE(SUBSTITUTE(F11,","," "),"."," "),";"," "),":"," "),"("," "),")"," "),"/"," ")&amp;" ")),0),0)),""),IFERROR(INDEX(Items[ID],MATCH(1,INDEX((Items[ID]&lt;&gt;"")*(Items[Owner]=A11)*ISNUMBER(SEARCH(" "&amp;Items[ID]&amp;" "," "&amp;SUBSTITUTE(SUBSTITUTE(SUBSTITUTE(SUBSTITUTE(SUBSTITUTE(SUBSTITUTE(SUBSTITUTE(E11,","," "),"."," "),";"," "),":"," "),"("," "),")"," "),"/"," ")&amp;" ")),0),0)),"")),""))</f>
      </c>
      <c r="O11" s="17">
        <f>IF(N11="","",IF(J11&lt;&gt;"","done","block"))</f>
      </c>
      <c r="P11" s="17">
        <f>IF(O11="block",F11,"")</f>
      </c>
    </row>
    <row r="12">
      <c r="A12" s="17">
        <f>IFERROR(INDEX(Roster[Name],8)&amp;"","")</f>
      </c>
      <c r="B12" s="17">
        <f>IF(A12="","",INDEX(Roster[Team],8)&amp;"")</f>
      </c>
      <c r="C12" s="17">
        <f>IF(OR(A12="",COUNTA(ChatPaste)=0),"",COUNTIF(ChatSpeaker,A12))</f>
      </c>
      <c r="D12" s="20">
        <f>IF(A12="","",IFERROR(INDEX(ChatText,MATCH(1,INDEX((ChatSpeaker=A12)*(ChatTag="Y"),0),0)),""))</f>
      </c>
      <c r="E12" s="20">
        <f>IF(A12="","",IFERROR(INDEX(ChatText,MATCH(1,INDEX((ChatSpeaker=A12)*(ChatTag="T"),0),0)),""))</f>
      </c>
      <c r="F12" s="20">
        <f>IF(A12="","",IFERROR(INDEX(ChatText,MATCH(1,INDEX((ChatSpeaker=A12)*(ChatTag="B"),0),0)),""))</f>
      </c>
      <c r="G12" s="17">
        <f>IF(E12="",0,SUMPRODUCT((Items[ID]&lt;&gt;"")*ISNUMBER(SEARCH(" "&amp;Items[ID]&amp;" "," "&amp;SUBSTITUTE(SUBSTITUTE(SUBSTITUTE(SUBSTITUTE(SUBSTITUTE(SUBSTITUTE(SUBSTITUTE(E12,","," "),"."," "),";"," "),":"," "),"("," "),")"," "),"/"," ")&amp;" "))))</f>
      </c>
      <c r="H12" s="17">
        <f>IF(E12="",0,SUMPRODUCT((Items[ID]&lt;&gt;"")*(Items[Owner]=A12)*(Items[In sprint]=1)*ISNUMBER(SEARCH(" "&amp;Items[ID]&amp;" "," "&amp;SUBSTITUTE(SUBSTITUTE(SUBSTITUTE(SUBSTITUTE(SUBSTITUTE(SUBSTITUTE(SUBSTITUTE(E12,","," "),"."," "),";"," "),":"," "),"("," "),")"," "),"/"," ")&amp;" "))))</f>
      </c>
      <c r="I12" s="17">
        <f>IF(F12="","",IF(OR(LOWER(TRIM(F12))={"none","no","nothing","n/a","na","-","nope","no blockers","none.","nil"}),"","Y"))</f>
      </c>
      <c r="J12" s="17">
        <f>IF(D12="","",IF(OR(ISNUMBER(SEARCH({"done","finished","completed","closed","merged"},D12))),IFERROR(INDEX(Items[ID],MATCH(1,INDEX((Items[ID]&lt;&gt;"")*(Items[State]&lt;&gt;"DONE")*ISNUMBER(SEARCH(" "&amp;Items[ID]&amp;" "," "&amp;SUBSTITUTE(SUBSTITUTE(SUBSTITUTE(SUBSTITUTE(SUBSTITUTE(SUBSTITUTE(SUBSTITUTE(D12,","," "),"."," "),";"," "),":"," "),"("," "),")"," "),"/"," ")&amp;" ")),0),0)),""),""))</f>
      </c>
      <c r="K12" s="20">
        <f>IF(A12="","",TRIM(IF(C12=0,"silent; ","")&amp;IF(AND(N(C12)&gt;0,D12=""),"no Y; ","")&amp;IF(AND(N(C12)&gt;0,E12=""),"no T; ","")&amp;IF(AND(N(C12)&gt;0,F12=""),"no B; ","")&amp;IF(AND(E12&lt;&gt;"",G12=0),"no task id in T; ","")&amp;IF(AND(G12&gt;0,H12=0),"T names no task of yours in this sprint; ","")&amp;IF(I12="Y","blocker: "&amp;F12&amp;"; ","")))</f>
      </c>
      <c r="L12" s="20">
        <f>IF(A12="","",IF(C12=0,"@"&amp;A12&amp;" please post Y: / T: / B: for today.",IF(TRIM(IF(AND(N(C12)&gt;0,D12=""),"no Y; ","")&amp;IF(AND(N(C12)&gt;0,E12=""),"no T; ","")&amp;IF(AND(N(C12)&gt;0,F12=""),"no B; ","")&amp;IF(AND(E12&lt;&gt;"",G12=0),"no task id in T; ","")&amp;IF(AND(G12&gt;0,H12=0),"T names no task of yours in this sprint; ",""))="","","@"&amp;A12&amp;" please fix: "&amp;TRIM(IF(AND(N(C12)&gt;0,D12=""),"no Y; ","")&amp;IF(AND(N(C12)&gt;0,E12=""),"no T; ","")&amp;IF(AND(N(C12)&gt;0,F12=""),"no B; ","")&amp;IF(AND(E12&lt;&gt;"",G12=0),"no task id in T; ","")&amp;IF(AND(G12&gt;0,H12=0),"T names no task of yours in this sprint; ","")))))</f>
      </c>
      <c r="M12" s="11">
        <f>IF(N12="","",StandupDate)</f>
      </c>
      <c r="N12" s="17">
        <f>IF(J12&lt;&gt;"",J12,IF(I12="Y",IF(IFERROR(INDEX(Items[ID],MATCH(1,INDEX((Items[ID]&lt;&gt;"")*ISNUMBER(SEARCH(" "&amp;Items[ID]&amp;" "," "&amp;SUBSTITUTE(SUBSTITUTE(SUBSTITUTE(SUBSTITUTE(SUBSTITUTE(SUBSTITUTE(SUBSTITUTE(F12,",","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"&amp;SUBSTITUTE(SUBSTITUTE(SUBSTITUTE(SUBSTITUTE(SUBSTITUTE(SUBSTITUTE(SUBSTITUTE(F12,","," "),"."," "),";"," "),":"," "),"("," "),")"," "),"/"," ")&amp;" ")),0),0)),""),IFERROR(INDEX(Items[ID],MATCH(1,INDEX((Items[ID]&lt;&gt;"")*(Items[Owner]=A12)*ISNUMBER(SEARCH(" "&amp;Items[ID]&amp;" "," "&amp;SUBSTITUTE(SUBSTITUTE(SUBSTITUTE(SUBSTITUTE(SUBSTITUTE(SUBSTITUTE(SUBSTITUTE(E12,","," "),"."," "),";"," "),":"," "),"("," "),")"," "),"/"," ")&amp;" ")),0),0)),"")),""))</f>
      </c>
      <c r="O12" s="17">
        <f>IF(N12="","",IF(J12&lt;&gt;"","done","block"))</f>
      </c>
      <c r="P12" s="17">
        <f>IF(O12="block",F12,"")</f>
      </c>
    </row>
    <row r="13">
      <c r="A13" s="17">
        <f>IFERROR(INDEX(Roster[Name],9)&amp;"","")</f>
      </c>
      <c r="B13" s="17">
        <f>IF(A13="","",INDEX(Roster[Team],9)&amp;"")</f>
      </c>
      <c r="C13" s="17">
        <f>IF(OR(A13="",COUNTA(ChatPaste)=0),"",COUNTIF(ChatSpeaker,A13))</f>
      </c>
      <c r="D13" s="20">
        <f>IF(A13="","",IFERROR(INDEX(ChatText,MATCH(1,INDEX((ChatSpeaker=A13)*(ChatTag="Y"),0),0)),""))</f>
      </c>
      <c r="E13" s="20">
        <f>IF(A13="","",IFERROR(INDEX(ChatText,MATCH(1,INDEX((ChatSpeaker=A13)*(ChatTag="T"),0),0)),""))</f>
      </c>
      <c r="F13" s="20">
        <f>IF(A13="","",IFERROR(INDEX(ChatText,MATCH(1,INDEX((ChatSpeaker=A13)*(ChatTag="B"),0),0)),""))</f>
      </c>
      <c r="G13" s="17">
        <f>IF(E13="",0,SUMPRODUCT((Items[ID]&lt;&gt;"")*ISNUMBER(SEARCH(" "&amp;Items[ID]&amp;" "," "&amp;SUBSTITUTE(SUBSTITUTE(SUBSTITUTE(SUBSTITUTE(SUBSTITUTE(SUBSTITUTE(SUBSTITUTE(E13,","," "),"."," "),";"," "),":"," "),"("," "),")"," "),"/"," ")&amp;" "))))</f>
      </c>
      <c r="H13" s="17">
        <f>IF(E13="",0,SUMPRODUCT((Items[ID]&lt;&gt;"")*(Items[Owner]=A13)*(Items[In sprint]=1)*ISNUMBER(SEARCH(" "&amp;Items[ID]&amp;" "," "&amp;SUBSTITUTE(SUBSTITUTE(SUBSTITUTE(SUBSTITUTE(SUBSTITUTE(SUBSTITUTE(SUBSTITUTE(E13,","," "),"."," "),";"," "),":"," "),"("," "),")"," "),"/"," ")&amp;" "))))</f>
      </c>
      <c r="I13" s="17">
        <f>IF(F13="","",IF(OR(LOWER(TRIM(F13))={"none","no","nothing","n/a","na","-","nope","no blockers","none.","nil"}),"","Y"))</f>
      </c>
      <c r="J13" s="17">
        <f>IF(D13="","",IF(OR(ISNUMBER(SEARCH({"done","finished","completed","closed","merged"},D13))),IFERROR(INDEX(Items[ID],MATCH(1,INDEX((Items[ID]&lt;&gt;"")*(Items[State]&lt;&gt;"DONE")*ISNUMBER(SEARCH(" "&amp;Items[ID]&amp;" "," "&amp;SUBSTITUTE(SUBSTITUTE(SUBSTITUTE(SUBSTITUTE(SUBSTITUTE(SUBSTITUTE(SUBSTITUTE(D13,","," "),"."," "),";"," "),":"," "),"("," "),")"," "),"/"," ")&amp;" ")),0),0)),""),""))</f>
      </c>
      <c r="K13" s="20">
        <f>IF(A13="","",TRIM(IF(C13=0,"silent; ","")&amp;IF(AND(N(C13)&gt;0,D13=""),"no Y; ","")&amp;IF(AND(N(C13)&gt;0,E13=""),"no T; ","")&amp;IF(AND(N(C13)&gt;0,F13=""),"no B; ","")&amp;IF(AND(E13&lt;&gt;"",G13=0),"no task id in T; ","")&amp;IF(AND(G13&gt;0,H13=0),"T names no task of yours in this sprint; ","")&amp;IF(I13="Y","blocker: "&amp;F13&amp;"; ","")))</f>
      </c>
      <c r="L13" s="20">
        <f>IF(A13="","",IF(C13=0,"@"&amp;A13&amp;" please post Y: / T: / B: for today.",IF(TRIM(IF(AND(N(C13)&gt;0,D13=""),"no Y; ","")&amp;IF(AND(N(C13)&gt;0,E13=""),"no T; ","")&amp;IF(AND(N(C13)&gt;0,F13=""),"no B; ","")&amp;IF(AND(E13&lt;&gt;"",G13=0),"no task id in T; ","")&amp;IF(AND(G13&gt;0,H13=0),"T names no task of yours in this sprint; ",""))="","","@"&amp;A13&amp;" please fix: "&amp;TRIM(IF(AND(N(C13)&gt;0,D13=""),"no Y; ","")&amp;IF(AND(N(C13)&gt;0,E13=""),"no T; ","")&amp;IF(AND(N(C13)&gt;0,F13=""),"no B; ","")&amp;IF(AND(E13&lt;&gt;"",G13=0),"no task id in T; ","")&amp;IF(AND(G13&gt;0,H13=0),"T names no task of yours in this sprint; ","")))))</f>
      </c>
      <c r="M13" s="11">
        <f>IF(N13="","",StandupDate)</f>
      </c>
      <c r="N13" s="17">
        <f>IF(J13&lt;&gt;"",J13,IF(I13="Y",IF(IFERROR(INDEX(Items[ID],MATCH(1,INDEX((Items[ID]&lt;&gt;"")*ISNUMBER(SEARCH(" "&amp;Items[ID]&amp;" "," "&amp;SUBSTITUTE(SUBSTITUTE(SUBSTITUTE(SUBSTITUTE(SUBSTITUTE(SUBSTITUTE(SUBSTITUTE(F13,",","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"&amp;SUBSTITUTE(SUBSTITUTE(SUBSTITUTE(SUBSTITUTE(SUBSTITUTE(SUBSTITUTE(SUBSTITUTE(F13,","," "),"."," "),";"," "),":"," "),"("," "),")"," "),"/"," ")&amp;" ")),0),0)),""),IFERROR(INDEX(Items[ID],MATCH(1,INDEX((Items[ID]&lt;&gt;"")*(Items[Owner]=A13)*ISNUMBER(SEARCH(" "&amp;Items[ID]&amp;" "," "&amp;SUBSTITUTE(SUBSTITUTE(SUBSTITUTE(SUBSTITUTE(SUBSTITUTE(SUBSTITUTE(SUBSTITUTE(E13,","," "),"."," "),";"," "),":"," "),"("," "),")"," "),"/"," ")&amp;" ")),0),0)),"")),""))</f>
      </c>
      <c r="O13" s="17">
        <f>IF(N13="","",IF(J13&lt;&gt;"","done","block"))</f>
      </c>
      <c r="P13" s="17">
        <f>IF(O13="block",F13,"")</f>
      </c>
    </row>
    <row r="14">
      <c r="A14" s="17">
        <f>IFERROR(INDEX(Roster[Name],10)&amp;"","")</f>
      </c>
      <c r="B14" s="17">
        <f>IF(A14="","",INDEX(Roster[Team],10)&amp;"")</f>
      </c>
      <c r="C14" s="17">
        <f>IF(OR(A14="",COUNTA(ChatPaste)=0),"",COUNTIF(ChatSpeaker,A14))</f>
      </c>
      <c r="D14" s="20">
        <f>IF(A14="","",IFERROR(INDEX(ChatText,MATCH(1,INDEX((ChatSpeaker=A14)*(ChatTag="Y"),0),0)),""))</f>
      </c>
      <c r="E14" s="20">
        <f>IF(A14="","",IFERROR(INDEX(ChatText,MATCH(1,INDEX((ChatSpeaker=A14)*(ChatTag="T"),0),0)),""))</f>
      </c>
      <c r="F14" s="20">
        <f>IF(A14="","",IFERROR(INDEX(ChatText,MATCH(1,INDEX((ChatSpeaker=A14)*(ChatTag="B"),0),0)),""))</f>
      </c>
      <c r="G14" s="17">
        <f>IF(E14="",0,SUMPRODUCT((Items[ID]&lt;&gt;"")*ISNUMBER(SEARCH(" "&amp;Items[ID]&amp;" "," "&amp;SUBSTITUTE(SUBSTITUTE(SUBSTITUTE(SUBSTITUTE(SUBSTITUTE(SUBSTITUTE(SUBSTITUTE(E14,","," "),"."," "),";"," "),":"," "),"("," "),")"," "),"/"," ")&amp;" "))))</f>
      </c>
      <c r="H14" s="17">
        <f>IF(E14="",0,SUMPRODUCT((Items[ID]&lt;&gt;"")*(Items[Owner]=A14)*(Items[In sprint]=1)*ISNUMBER(SEARCH(" "&amp;Items[ID]&amp;" "," "&amp;SUBSTITUTE(SUBSTITUTE(SUBSTITUTE(SUBSTITUTE(SUBSTITUTE(SUBSTITUTE(SUBSTITUTE(E14,","," "),"."," "),";"," "),":"," "),"("," "),")"," "),"/"," ")&amp;" "))))</f>
      </c>
      <c r="I14" s="17">
        <f>IF(F14="","",IF(OR(LOWER(TRIM(F14))={"none","no","nothing","n/a","na","-","nope","no blockers","none.","nil"}),"","Y"))</f>
      </c>
      <c r="J14" s="17">
        <f>IF(D14="","",IF(OR(ISNUMBER(SEARCH({"done","finished","completed","closed","merged"},D14))),IFERROR(INDEX(Items[ID],MATCH(1,INDEX((Items[ID]&lt;&gt;"")*(Items[State]&lt;&gt;"DONE")*ISNUMBER(SEARCH(" "&amp;Items[ID]&amp;" "," "&amp;SUBSTITUTE(SUBSTITUTE(SUBSTITUTE(SUBSTITUTE(SUBSTITUTE(SUBSTITUTE(SUBSTITUTE(D14,","," "),"."," "),";"," "),":"," "),"("," "),")"," "),"/"," ")&amp;" ")),0),0)),""),""))</f>
      </c>
      <c r="K14" s="20">
        <f>IF(A14="","",TRIM(IF(C14=0,"silent; ","")&amp;IF(AND(N(C14)&gt;0,D14=""),"no Y; ","")&amp;IF(AND(N(C14)&gt;0,E14=""),"no T; ","")&amp;IF(AND(N(C14)&gt;0,F14=""),"no B; ","")&amp;IF(AND(E14&lt;&gt;"",G14=0),"no task id in T; ","")&amp;IF(AND(G14&gt;0,H14=0),"T names no task of yours in this sprint; ","")&amp;IF(I14="Y","blocker: "&amp;F14&amp;"; ","")))</f>
      </c>
      <c r="L14" s="20">
        <f>IF(A14="","",IF(C14=0,"@"&amp;A14&amp;" please post Y: / T: / B: for today.",IF(TRIM(IF(AND(N(C14)&gt;0,D14=""),"no Y; ","")&amp;IF(AND(N(C14)&gt;0,E14=""),"no T; ","")&amp;IF(AND(N(C14)&gt;0,F14=""),"no B; ","")&amp;IF(AND(E14&lt;&gt;"",G14=0),"no task id in T; ","")&amp;IF(AND(G14&gt;0,H14=0),"T names no task of yours in this sprint; ",""))="","","@"&amp;A14&amp;" please fix: "&amp;TRIM(IF(AND(N(C14)&gt;0,D14=""),"no Y; ","")&amp;IF(AND(N(C14)&gt;0,E14=""),"no T; ","")&amp;IF(AND(N(C14)&gt;0,F14=""),"no B; ","")&amp;IF(AND(E14&lt;&gt;"",G14=0),"no task id in T; ","")&amp;IF(AND(G14&gt;0,H14=0),"T names no task of yours in this sprint; ","")))))</f>
      </c>
      <c r="M14" s="11">
        <f>IF(N14="","",StandupDate)</f>
      </c>
      <c r="N14" s="17">
        <f>IF(J14&lt;&gt;"",J14,IF(I14="Y",IF(IFERROR(INDEX(Items[ID],MATCH(1,INDEX((Items[ID]&lt;&gt;"")*ISNUMBER(SEARCH(" "&amp;Items[ID]&amp;" "," "&amp;SUBSTITUTE(SUBSTITUTE(SUBSTITUTE(SUBSTITUTE(SUBSTITUTE(SUBSTITUTE(SUBSTITUTE(F14,",","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"&amp;SUBSTITUTE(SUBSTITUTE(SUBSTITUTE(SUBSTITUTE(SUBSTITUTE(SUBSTITUTE(SUBSTITUTE(F14,","," "),"."," "),";"," "),":"," "),"("," "),")"," "),"/"," ")&amp;" ")),0),0)),""),IFERROR(INDEX(Items[ID],MATCH(1,INDEX((Items[ID]&lt;&gt;"")*(Items[Owner]=A14)*ISNUMBER(SEARCH(" "&amp;Items[ID]&amp;" "," "&amp;SUBSTITUTE(SUBSTITUTE(SUBSTITUTE(SUBSTITUTE(SUBSTITUTE(SUBSTITUTE(SUBSTITUTE(E14,","," "),"."," "),";"," "),":"," "),"("," "),")"," "),"/"," ")&amp;" ")),0),0)),"")),""))</f>
      </c>
      <c r="O14" s="17">
        <f>IF(N14="","",IF(J14&lt;&gt;"","done","block"))</f>
      </c>
      <c r="P14" s="17">
        <f>IF(O14="block",F14,"")</f>
      </c>
    </row>
    <row r="15">
      <c r="A15" s="17">
        <f>IFERROR(INDEX(Roster[Name],11)&amp;"","")</f>
      </c>
      <c r="B15" s="17">
        <f>IF(A15="","",INDEX(Roster[Team],11)&amp;"")</f>
      </c>
      <c r="C15" s="17">
        <f>IF(OR(A15="",COUNTA(ChatPaste)=0),"",COUNTIF(ChatSpeaker,A15))</f>
      </c>
      <c r="D15" s="20">
        <f>IF(A15="","",IFERROR(INDEX(ChatText,MATCH(1,INDEX((ChatSpeaker=A15)*(ChatTag="Y"),0),0)),""))</f>
      </c>
      <c r="E15" s="20">
        <f>IF(A15="","",IFERROR(INDEX(ChatText,MATCH(1,INDEX((ChatSpeaker=A15)*(ChatTag="T"),0),0)),""))</f>
      </c>
      <c r="F15" s="20">
        <f>IF(A15="","",IFERROR(INDEX(ChatText,MATCH(1,INDEX((ChatSpeaker=A15)*(ChatTag="B"),0),0)),""))</f>
      </c>
      <c r="G15" s="17">
        <f>IF(E15="",0,SUMPRODUCT((Items[ID]&lt;&gt;"")*ISNUMBER(SEARCH(" "&amp;Items[ID]&amp;" "," "&amp;SUBSTITUTE(SUBSTITUTE(SUBSTITUTE(SUBSTITUTE(SUBSTITUTE(SUBSTITUTE(SUBSTITUTE(E15,","," "),"."," "),";"," "),":"," "),"("," "),")"," "),"/"," ")&amp;" "))))</f>
      </c>
      <c r="H15" s="17">
        <f>IF(E15="",0,SUMPRODUCT((Items[ID]&lt;&gt;"")*(Items[Owner]=A15)*(Items[In sprint]=1)*ISNUMBER(SEARCH(" "&amp;Items[ID]&amp;" "," "&amp;SUBSTITUTE(SUBSTITUTE(SUBSTITUTE(SUBSTITUTE(SUBSTITUTE(SUBSTITUTE(SUBSTITUTE(E15,","," "),"."," "),";"," "),":"," "),"("," "),")"," "),"/"," ")&amp;" "))))</f>
      </c>
      <c r="I15" s="17">
        <f>IF(F15="","",IF(OR(LOWER(TRIM(F15))={"none","no","nothing","n/a","na","-","nope","no blockers","none.","nil"}),"","Y"))</f>
      </c>
      <c r="J15" s="17">
        <f>IF(D15="","",IF(OR(ISNUMBER(SEARCH({"done","finished","completed","closed","merged"},D15))),IFERROR(INDEX(Items[ID],MATCH(1,INDEX((Items[ID]&lt;&gt;"")*(Items[State]&lt;&gt;"DONE")*ISNUMBER(SEARCH(" "&amp;Items[ID]&amp;" "," "&amp;SUBSTITUTE(SUBSTITUTE(SUBSTITUTE(SUBSTITUTE(SUBSTITUTE(SUBSTITUTE(SUBSTITUTE(D15,","," "),"."," "),";"," "),":"," "),"("," "),")"," "),"/"," ")&amp;" ")),0),0)),""),""))</f>
      </c>
      <c r="K15" s="20">
        <f>IF(A15="","",TRIM(IF(C15=0,"silent; ","")&amp;IF(AND(N(C15)&gt;0,D15=""),"no Y; ","")&amp;IF(AND(N(C15)&gt;0,E15=""),"no T; ","")&amp;IF(AND(N(C15)&gt;0,F15=""),"no B; ","")&amp;IF(AND(E15&lt;&gt;"",G15=0),"no task id in T; ","")&amp;IF(AND(G15&gt;0,H15=0),"T names no task of yours in this sprint; ","")&amp;IF(I15="Y","blocker: "&amp;F15&amp;"; ","")))</f>
      </c>
      <c r="L15" s="20">
        <f>IF(A15="","",IF(C15=0,"@"&amp;A15&amp;" please post Y: / T: / B: for today.",IF(TRIM(IF(AND(N(C15)&gt;0,D15=""),"no Y; ","")&amp;IF(AND(N(C15)&gt;0,E15=""),"no T; ","")&amp;IF(AND(N(C15)&gt;0,F15=""),"no B; ","")&amp;IF(AND(E15&lt;&gt;"",G15=0),"no task id in T; ","")&amp;IF(AND(G15&gt;0,H15=0),"T names no task of yours in this sprint; ",""))="","","@"&amp;A15&amp;" please fix: "&amp;TRIM(IF(AND(N(C15)&gt;0,D15=""),"no Y; ","")&amp;IF(AND(N(C15)&gt;0,E15=""),"no T; ","")&amp;IF(AND(N(C15)&gt;0,F15=""),"no B; ","")&amp;IF(AND(E15&lt;&gt;"",G15=0),"no task id in T; ","")&amp;IF(AND(G15&gt;0,H15=0),"T names no task of yours in this sprint; ","")))))</f>
      </c>
      <c r="M15" s="11">
        <f>IF(N15="","",StandupDate)</f>
      </c>
      <c r="N15" s="17">
        <f>IF(J15&lt;&gt;"",J15,IF(I15="Y",IF(IFERROR(INDEX(Items[ID],MATCH(1,INDEX((Items[ID]&lt;&gt;"")*ISNUMBER(SEARCH(" "&amp;Items[ID]&amp;" "," "&amp;SUBSTITUTE(SUBSTITUTE(SUBSTITUTE(SUBSTITUTE(SUBSTITUTE(SUBSTITUTE(SUBSTITUTE(F15,",","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"&amp;SUBSTITUTE(SUBSTITUTE(SUBSTITUTE(SUBSTITUTE(SUBSTITUTE(SUBSTITUTE(SUBSTITUTE(F15,","," "),"."," "),";"," "),":"," "),"("," "),")"," "),"/"," ")&amp;" ")),0),0)),""),IFERROR(INDEX(Items[ID],MATCH(1,INDEX((Items[ID]&lt;&gt;"")*(Items[Owner]=A15)*ISNUMBER(SEARCH(" "&amp;Items[ID]&amp;" "," "&amp;SUBSTITUTE(SUBSTITUTE(SUBSTITUTE(SUBSTITUTE(SUBSTITUTE(SUBSTITUTE(SUBSTITUTE(E15,","," "),"."," "),";"," "),":"," "),"("," "),")"," "),"/"," ")&amp;" ")),0),0)),"")),""))</f>
      </c>
      <c r="O15" s="17">
        <f>IF(N15="","",IF(J15&lt;&gt;"","done","block"))</f>
      </c>
      <c r="P15" s="17">
        <f>IF(O15="block",F15,"")</f>
      </c>
    </row>
    <row r="16">
      <c r="A16" s="17">
        <f>IFERROR(INDEX(Roster[Name],12)&amp;"","")</f>
      </c>
      <c r="B16" s="17">
        <f>IF(A16="","",INDEX(Roster[Team],12)&amp;"")</f>
      </c>
      <c r="C16" s="17">
        <f>IF(OR(A16="",COUNTA(ChatPaste)=0),"",COUNTIF(ChatSpeaker,A16))</f>
      </c>
      <c r="D16" s="20">
        <f>IF(A16="","",IFERROR(INDEX(ChatText,MATCH(1,INDEX((ChatSpeaker=A16)*(ChatTag="Y"),0),0)),""))</f>
      </c>
      <c r="E16" s="20">
        <f>IF(A16="","",IFERROR(INDEX(ChatText,MATCH(1,INDEX((ChatSpeaker=A16)*(ChatTag="T"),0),0)),""))</f>
      </c>
      <c r="F16" s="20">
        <f>IF(A16="","",IFERROR(INDEX(ChatText,MATCH(1,INDEX((ChatSpeaker=A16)*(ChatTag="B"),0),0)),""))</f>
      </c>
      <c r="G16" s="17">
        <f>IF(E16="",0,SUMPRODUCT((Items[ID]&lt;&gt;"")*ISNUMBER(SEARCH(" "&amp;Items[ID]&amp;" "," "&amp;SUBSTITUTE(SUBSTITUTE(SUBSTITUTE(SUBSTITUTE(SUBSTITUTE(SUBSTITUTE(SUBSTITUTE(E16,","," "),"."," "),";"," "),":"," "),"("," "),")"," "),"/"," ")&amp;" "))))</f>
      </c>
      <c r="H16" s="17">
        <f>IF(E16="",0,SUMPRODUCT((Items[ID]&lt;&gt;"")*(Items[Owner]=A16)*(Items[In sprint]=1)*ISNUMBER(SEARCH(" "&amp;Items[ID]&amp;" "," "&amp;SUBSTITUTE(SUBSTITUTE(SUBSTITUTE(SUBSTITUTE(SUBSTITUTE(SUBSTITUTE(SUBSTITUTE(E16,","," "),"."," "),";"," "),":"," "),"("," "),")"," "),"/"," ")&amp;" "))))</f>
      </c>
      <c r="I16" s="17">
        <f>IF(F16="","",IF(OR(LOWER(TRIM(F16))={"none","no","nothing","n/a","na","-","nope","no blockers","none.","nil"}),"","Y"))</f>
      </c>
      <c r="J16" s="17">
        <f>IF(D16="","",IF(OR(ISNUMBER(SEARCH({"done","finished","completed","closed","merged"},D16))),IFERROR(INDEX(Items[ID],MATCH(1,INDEX((Items[ID]&lt;&gt;"")*(Items[State]&lt;&gt;"DONE")*ISNUMBER(SEARCH(" "&amp;Items[ID]&amp;" "," "&amp;SUBSTITUTE(SUBSTITUTE(SUBSTITUTE(SUBSTITUTE(SUBSTITUTE(SUBSTITUTE(SUBSTITUTE(D16,","," "),"."," "),";"," "),":"," "),"("," "),")"," "),"/"," ")&amp;" ")),0),0)),""),""))</f>
      </c>
      <c r="K16" s="20">
        <f>IF(A16="","",TRIM(IF(C16=0,"silent; ","")&amp;IF(AND(N(C16)&gt;0,D16=""),"no Y; ","")&amp;IF(AND(N(C16)&gt;0,E16=""),"no T; ","")&amp;IF(AND(N(C16)&gt;0,F16=""),"no B; ","")&amp;IF(AND(E16&lt;&gt;"",G16=0),"no task id in T; ","")&amp;IF(AND(G16&gt;0,H16=0),"T names no task of yours in this sprint; ","")&amp;IF(I16="Y","blocker: "&amp;F16&amp;"; ","")))</f>
      </c>
      <c r="L16" s="20">
        <f>IF(A16="","",IF(C16=0,"@"&amp;A16&amp;" please post Y: / T: / B: for today.",IF(TRIM(IF(AND(N(C16)&gt;0,D16=""),"no Y; ","")&amp;IF(AND(N(C16)&gt;0,E16=""),"no T; ","")&amp;IF(AND(N(C16)&gt;0,F16=""),"no B; ","")&amp;IF(AND(E16&lt;&gt;"",G16=0),"no task id in T; ","")&amp;IF(AND(G16&gt;0,H16=0),"T names no task of yours in this sprint; ",""))="","","@"&amp;A16&amp;" please fix: "&amp;TRIM(IF(AND(N(C16)&gt;0,D16=""),"no Y; ","")&amp;IF(AND(N(C16)&gt;0,E16=""),"no T; ","")&amp;IF(AND(N(C16)&gt;0,F16=""),"no B; ","")&amp;IF(AND(E16&lt;&gt;"",G16=0),"no task id in T; ","")&amp;IF(AND(G16&gt;0,H16=0),"T names no task of yours in this sprint; ","")))))</f>
      </c>
      <c r="M16" s="11">
        <f>IF(N16="","",StandupDate)</f>
      </c>
      <c r="N16" s="17">
        <f>IF(J16&lt;&gt;"",J16,IF(I16="Y",IF(IFERROR(INDEX(Items[ID],MATCH(1,INDEX((Items[ID]&lt;&gt;"")*ISNUMBER(SEARCH(" "&amp;Items[ID]&amp;" "," "&amp;SUBSTITUTE(SUBSTITUTE(SUBSTITUTE(SUBSTITUTE(SUBSTITUTE(SUBSTITUTE(SUBSTITUTE(F16,",","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"&amp;SUBSTITUTE(SUBSTITUTE(SUBSTITUTE(SUBSTITUTE(SUBSTITUTE(SUBSTITUTE(SUBSTITUTE(F16,","," "),"."," "),";"," "),":"," "),"("," "),")"," "),"/"," ")&amp;" ")),0),0)),""),IFERROR(INDEX(Items[ID],MATCH(1,INDEX((Items[ID]&lt;&gt;"")*(Items[Owner]=A16)*ISNUMBER(SEARCH(" "&amp;Items[ID]&amp;" "," "&amp;SUBSTITUTE(SUBSTITUTE(SUBSTITUTE(SUBSTITUTE(SUBSTITUTE(SUBSTITUTE(SUBSTITUTE(E16,","," "),"."," "),";"," "),":"," "),"("," "),")"," "),"/"," ")&amp;" ")),0),0)),"")),""))</f>
      </c>
      <c r="O16" s="17">
        <f>IF(N16="","",IF(J16&lt;&gt;"","done","block"))</f>
      </c>
      <c r="P16" s="17">
        <f>IF(O16="block",F16,"")</f>
      </c>
    </row>
    <row r="17">
      <c r="A17" s="17">
        <f>IFERROR(INDEX(Roster[Name],13)&amp;"","")</f>
      </c>
      <c r="B17" s="17">
        <f>IF(A17="","",INDEX(Roster[Team],13)&amp;"")</f>
      </c>
      <c r="C17" s="17">
        <f>IF(OR(A17="",COUNTA(ChatPaste)=0),"",COUNTIF(ChatSpeaker,A17))</f>
      </c>
      <c r="D17" s="20">
        <f>IF(A17="","",IFERROR(INDEX(ChatText,MATCH(1,INDEX((ChatSpeaker=A17)*(ChatTag="Y"),0),0)),""))</f>
      </c>
      <c r="E17" s="20">
        <f>IF(A17="","",IFERROR(INDEX(ChatText,MATCH(1,INDEX((ChatSpeaker=A17)*(ChatTag="T"),0),0)),""))</f>
      </c>
      <c r="F17" s="20">
        <f>IF(A17="","",IFERROR(INDEX(ChatText,MATCH(1,INDEX((ChatSpeaker=A17)*(ChatTag="B"),0),0)),""))</f>
      </c>
      <c r="G17" s="17">
        <f>IF(E17="",0,SUMPRODUCT((Items[ID]&lt;&gt;"")*ISNUMBER(SEARCH(" "&amp;Items[ID]&amp;" "," "&amp;SUBSTITUTE(SUBSTITUTE(SUBSTITUTE(SUBSTITUTE(SUBSTITUTE(SUBSTITUTE(SUBSTITUTE(E17,","," "),"."," "),";"," "),":"," "),"("," "),")"," "),"/"," ")&amp;" "))))</f>
      </c>
      <c r="H17" s="17">
        <f>IF(E17="",0,SUMPRODUCT((Items[ID]&lt;&gt;"")*(Items[Owner]=A17)*(Items[In sprint]=1)*ISNUMBER(SEARCH(" "&amp;Items[ID]&amp;" "," "&amp;SUBSTITUTE(SUBSTITUTE(SUBSTITUTE(SUBSTITUTE(SUBSTITUTE(SUBSTITUTE(SUBSTITUTE(E17,","," "),"."," "),";"," "),":"," "),"("," "),")"," "),"/"," ")&amp;" "))))</f>
      </c>
      <c r="I17" s="17">
        <f>IF(F17="","",IF(OR(LOWER(TRIM(F17))={"none","no","nothing","n/a","na","-","nope","no blockers","none.","nil"}),"","Y"))</f>
      </c>
      <c r="J17" s="17">
        <f>IF(D17="","",IF(OR(ISNUMBER(SEARCH({"done","finished","completed","closed","merged"},D17))),IFERROR(INDEX(Items[ID],MATCH(1,INDEX((Items[ID]&lt;&gt;"")*(Items[State]&lt;&gt;"DONE")*ISNUMBER(SEARCH(" "&amp;Items[ID]&amp;" "," "&amp;SUBSTITUTE(SUBSTITUTE(SUBSTITUTE(SUBSTITUTE(SUBSTITUTE(SUBSTITUTE(SUBSTITUTE(D17,","," "),"."," "),";"," "),":"," "),"("," "),")"," "),"/"," ")&amp;" ")),0),0)),""),""))</f>
      </c>
      <c r="K17" s="20">
        <f>IF(A17="","",TRIM(IF(C17=0,"silent; ","")&amp;IF(AND(N(C17)&gt;0,D17=""),"no Y; ","")&amp;IF(AND(N(C17)&gt;0,E17=""),"no T; ","")&amp;IF(AND(N(C17)&gt;0,F17=""),"no B; ","")&amp;IF(AND(E17&lt;&gt;"",G17=0),"no task id in T; ","")&amp;IF(AND(G17&gt;0,H17=0),"T names no task of yours in this sprint; ","")&amp;IF(I17="Y","blocker: "&amp;F17&amp;"; ","")))</f>
      </c>
      <c r="L17" s="20">
        <f>IF(A17="","",IF(C17=0,"@"&amp;A17&amp;" please post Y: / T: / B: for today.",IF(TRIM(IF(AND(N(C17)&gt;0,D17=""),"no Y; ","")&amp;IF(AND(N(C17)&gt;0,E17=""),"no T; ","")&amp;IF(AND(N(C17)&gt;0,F17=""),"no B; ","")&amp;IF(AND(E17&lt;&gt;"",G17=0),"no task id in T; ","")&amp;IF(AND(G17&gt;0,H17=0),"T names no task of yours in this sprint; ",""))="","","@"&amp;A17&amp;" please fix: "&amp;TRIM(IF(AND(N(C17)&gt;0,D17=""),"no Y; ","")&amp;IF(AND(N(C17)&gt;0,E17=""),"no T; ","")&amp;IF(AND(N(C17)&gt;0,F17=""),"no B; ","")&amp;IF(AND(E17&lt;&gt;"",G17=0),"no task id in T; ","")&amp;IF(AND(G17&gt;0,H17=0),"T names no task of yours in this sprint; ","")))))</f>
      </c>
      <c r="M17" s="11">
        <f>IF(N17="","",StandupDate)</f>
      </c>
      <c r="N17" s="17">
        <f>IF(J17&lt;&gt;"",J17,IF(I17="Y",IF(IFERROR(INDEX(Items[ID],MATCH(1,INDEX((Items[ID]&lt;&gt;"")*ISNUMBER(SEARCH(" "&amp;Items[ID]&amp;" "," "&amp;SUBSTITUTE(SUBSTITUTE(SUBSTITUTE(SUBSTITUTE(SUBSTITUTE(SUBSTITUTE(SUBSTITUTE(F17,",","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"&amp;SUBSTITUTE(SUBSTITUTE(SUBSTITUTE(SUBSTITUTE(SUBSTITUTE(SUBSTITUTE(SUBSTITUTE(F17,","," "),"."," "),";"," "),":"," "),"("," "),")"," "),"/"," ")&amp;" ")),0),0)),""),IFERROR(INDEX(Items[ID],MATCH(1,INDEX((Items[ID]&lt;&gt;"")*(Items[Owner]=A17)*ISNUMBER(SEARCH(" "&amp;Items[ID]&amp;" "," "&amp;SUBSTITUTE(SUBSTITUTE(SUBSTITUTE(SUBSTITUTE(SUBSTITUTE(SUBSTITUTE(SUBSTITUTE(E17,","," "),"."," "),";"," "),":"," "),"("," "),")"," "),"/"," ")&amp;" ")),0),0)),"")),""))</f>
      </c>
      <c r="O17" s="17">
        <f>IF(N17="","",IF(J17&lt;&gt;"","done","block"))</f>
      </c>
      <c r="P17" s="17">
        <f>IF(O17="block",F17,"")</f>
      </c>
    </row>
    <row r="18">
      <c r="A18" s="17">
        <f>IFERROR(INDEX(Roster[Name],14)&amp;"","")</f>
      </c>
      <c r="B18" s="17">
        <f>IF(A18="","",INDEX(Roster[Team],14)&amp;"")</f>
      </c>
      <c r="C18" s="17">
        <f>IF(OR(A18="",COUNTA(ChatPaste)=0),"",COUNTIF(ChatSpeaker,A18))</f>
      </c>
      <c r="D18" s="20">
        <f>IF(A18="","",IFERROR(INDEX(ChatText,MATCH(1,INDEX((ChatSpeaker=A18)*(ChatTag="Y"),0),0)),""))</f>
      </c>
      <c r="E18" s="20">
        <f>IF(A18="","",IFERROR(INDEX(ChatText,MATCH(1,INDEX((ChatSpeaker=A18)*(ChatTag="T"),0),0)),""))</f>
      </c>
      <c r="F18" s="20">
        <f>IF(A18="","",IFERROR(INDEX(ChatText,MATCH(1,INDEX((ChatSpeaker=A18)*(ChatTag="B"),0),0)),""))</f>
      </c>
      <c r="G18" s="17">
        <f>IF(E18="",0,SUMPRODUCT((Items[ID]&lt;&gt;"")*ISNUMBER(SEARCH(" "&amp;Items[ID]&amp;" "," "&amp;SUBSTITUTE(SUBSTITUTE(SUBSTITUTE(SUBSTITUTE(SUBSTITUTE(SUBSTITUTE(SUBSTITUTE(E18,","," "),"."," "),";"," "),":"," "),"("," "),")"," "),"/"," ")&amp;" "))))</f>
      </c>
      <c r="H18" s="17">
        <f>IF(E18="",0,SUMPRODUCT((Items[ID]&lt;&gt;"")*(Items[Owner]=A18)*(Items[In sprint]=1)*ISNUMBER(SEARCH(" "&amp;Items[ID]&amp;" "," "&amp;SUBSTITUTE(SUBSTITUTE(SUBSTITUTE(SUBSTITUTE(SUBSTITUTE(SUBSTITUTE(SUBSTITUTE(E18,","," "),"."," "),";"," "),":"," "),"("," "),")"," "),"/"," ")&amp;" "))))</f>
      </c>
      <c r="I18" s="17">
        <f>IF(F18="","",IF(OR(LOWER(TRIM(F18))={"none","no","nothing","n/a","na","-","nope","no blockers","none.","nil"}),"","Y"))</f>
      </c>
      <c r="J18" s="17">
        <f>IF(D18="","",IF(OR(ISNUMBER(SEARCH({"done","finished","completed","closed","merged"},D18))),IFERROR(INDEX(Items[ID],MATCH(1,INDEX((Items[ID]&lt;&gt;"")*(Items[State]&lt;&gt;"DONE")*ISNUMBER(SEARCH(" "&amp;Items[ID]&amp;" "," "&amp;SUBSTITUTE(SUBSTITUTE(SUBSTITUTE(SUBSTITUTE(SUBSTITUTE(SUBSTITUTE(SUBSTITUTE(D18,","," "),"."," "),";"," "),":"," "),"("," "),")"," "),"/"," ")&amp;" ")),0),0)),""),""))</f>
      </c>
      <c r="K18" s="20">
        <f>IF(A18="","",TRIM(IF(C18=0,"silent; ","")&amp;IF(AND(N(C18)&gt;0,D18=""),"no Y; ","")&amp;IF(AND(N(C18)&gt;0,E18=""),"no T; ","")&amp;IF(AND(N(C18)&gt;0,F18=""),"no B; ","")&amp;IF(AND(E18&lt;&gt;"",G18=0),"no task id in T; ","")&amp;IF(AND(G18&gt;0,H18=0),"T names no task of yours in this sprint; ","")&amp;IF(I18="Y","blocker: "&amp;F18&amp;"; ","")))</f>
      </c>
      <c r="L18" s="20">
        <f>IF(A18="","",IF(C18=0,"@"&amp;A18&amp;" please post Y: / T: / B: for today.",IF(TRIM(IF(AND(N(C18)&gt;0,D18=""),"no Y; ","")&amp;IF(AND(N(C18)&gt;0,E18=""),"no T; ","")&amp;IF(AND(N(C18)&gt;0,F18=""),"no B; ","")&amp;IF(AND(E18&lt;&gt;"",G18=0),"no task id in T; ","")&amp;IF(AND(G18&gt;0,H18=0),"T names no task of yours in this sprint; ",""))="","","@"&amp;A18&amp;" please fix: "&amp;TRIM(IF(AND(N(C18)&gt;0,D18=""),"no Y; ","")&amp;IF(AND(N(C18)&gt;0,E18=""),"no T; ","")&amp;IF(AND(N(C18)&gt;0,F18=""),"no B; ","")&amp;IF(AND(E18&lt;&gt;"",G18=0),"no task id in T; ","")&amp;IF(AND(G18&gt;0,H18=0),"T names no task of yours in this sprint; ","")))))</f>
      </c>
      <c r="M18" s="11">
        <f>IF(N18="","",StandupDate)</f>
      </c>
      <c r="N18" s="17">
        <f>IF(J18&lt;&gt;"",J18,IF(I18="Y",IF(IFERROR(INDEX(Items[ID],MATCH(1,INDEX((Items[ID]&lt;&gt;"")*ISNUMBER(SEARCH(" "&amp;Items[ID]&amp;" "," "&amp;SUBSTITUTE(SUBSTITUTE(SUBSTITUTE(SUBSTITUTE(SUBSTITUTE(SUBSTITUTE(SUBSTITUTE(F18,",","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"&amp;SUBSTITUTE(SUBSTITUTE(SUBSTITUTE(SUBSTITUTE(SUBSTITUTE(SUBSTITUTE(SUBSTITUTE(F18,","," "),"."," "),";"," "),":"," "),"("," "),")"," "),"/"," ")&amp;" ")),0),0)),""),IFERROR(INDEX(Items[ID],MATCH(1,INDEX((Items[ID]&lt;&gt;"")*(Items[Owner]=A18)*ISNUMBER(SEARCH(" "&amp;Items[ID]&amp;" "," "&amp;SUBSTITUTE(SUBSTITUTE(SUBSTITUTE(SUBSTITUTE(SUBSTITUTE(SUBSTITUTE(SUBSTITUTE(E18,","," "),"."," "),";"," "),":"," "),"("," "),")"," "),"/"," ")&amp;" ")),0),0)),"")),""))</f>
      </c>
      <c r="O18" s="17">
        <f>IF(N18="","",IF(J18&lt;&gt;"","done","block"))</f>
      </c>
      <c r="P18" s="17">
        <f>IF(O18="block",F18,"")</f>
      </c>
    </row>
    <row r="19">
      <c r="A19" s="17">
        <f>IFERROR(INDEX(Roster[Name],15)&amp;"","")</f>
      </c>
      <c r="B19" s="17">
        <f>IF(A19="","",INDEX(Roster[Team],15)&amp;"")</f>
      </c>
      <c r="C19" s="17">
        <f>IF(OR(A19="",COUNTA(ChatPaste)=0),"",COUNTIF(ChatSpeaker,A19))</f>
      </c>
      <c r="D19" s="20">
        <f>IF(A19="","",IFERROR(INDEX(ChatText,MATCH(1,INDEX((ChatSpeaker=A19)*(ChatTag="Y"),0),0)),""))</f>
      </c>
      <c r="E19" s="20">
        <f>IF(A19="","",IFERROR(INDEX(ChatText,MATCH(1,INDEX((ChatSpeaker=A19)*(ChatTag="T"),0),0)),""))</f>
      </c>
      <c r="F19" s="20">
        <f>IF(A19="","",IFERROR(INDEX(ChatText,MATCH(1,INDEX((ChatSpeaker=A19)*(ChatTag="B"),0),0)),""))</f>
      </c>
      <c r="G19" s="17">
        <f>IF(E19="",0,SUMPRODUCT((Items[ID]&lt;&gt;"")*ISNUMBER(SEARCH(" "&amp;Items[ID]&amp;" "," "&amp;SUBSTITUTE(SUBSTITUTE(SUBSTITUTE(SUBSTITUTE(SUBSTITUTE(SUBSTITUTE(SUBSTITUTE(E19,","," "),"."," "),";"," "),":"," "),"("," "),")"," "),"/"," ")&amp;" "))))</f>
      </c>
      <c r="H19" s="17">
        <f>IF(E19="",0,SUMPRODUCT((Items[ID]&lt;&gt;"")*(Items[Owner]=A19)*(Items[In sprint]=1)*ISNUMBER(SEARCH(" "&amp;Items[ID]&amp;" "," "&amp;SUBSTITUTE(SUBSTITUTE(SUBSTITUTE(SUBSTITUTE(SUBSTITUTE(SUBSTITUTE(SUBSTITUTE(E19,","," "),"."," "),";"," "),":"," "),"("," "),")"," "),"/"," ")&amp;" "))))</f>
      </c>
      <c r="I19" s="17">
        <f>IF(F19="","",IF(OR(LOWER(TRIM(F19))={"none","no","nothing","n/a","na","-","nope","no blockers","none.","nil"}),"","Y"))</f>
      </c>
      <c r="J19" s="17">
        <f>IF(D19="","",IF(OR(ISNUMBER(SEARCH({"done","finished","completed","closed","merged"},D19))),IFERROR(INDEX(Items[ID],MATCH(1,INDEX((Items[ID]&lt;&gt;"")*(Items[State]&lt;&gt;"DONE")*ISNUMBER(SEARCH(" "&amp;Items[ID]&amp;" "," "&amp;SUBSTITUTE(SUBSTITUTE(SUBSTITUTE(SUBSTITUTE(SUBSTITUTE(SUBSTITUTE(SUBSTITUTE(D19,","," "),"."," "),";"," "),":"," "),"("," "),")"," "),"/"," ")&amp;" ")),0),0)),""),""))</f>
      </c>
      <c r="K19" s="20">
        <f>IF(A19="","",TRIM(IF(C19=0,"silent; ","")&amp;IF(AND(N(C19)&gt;0,D19=""),"no Y; ","")&amp;IF(AND(N(C19)&gt;0,E19=""),"no T; ","")&amp;IF(AND(N(C19)&gt;0,F19=""),"no B; ","")&amp;IF(AND(E19&lt;&gt;"",G19=0),"no task id in T; ","")&amp;IF(AND(G19&gt;0,H19=0),"T names no task of yours in this sprint; ","")&amp;IF(I19="Y","blocker: "&amp;F19&amp;"; ","")))</f>
      </c>
      <c r="L19" s="20">
        <f>IF(A19="","",IF(C19=0,"@"&amp;A19&amp;" please post Y: / T: / B: for today.",IF(TRIM(IF(AND(N(C19)&gt;0,D19=""),"no Y; ","")&amp;IF(AND(N(C19)&gt;0,E19=""),"no T; ","")&amp;IF(AND(N(C19)&gt;0,F19=""),"no B; ","")&amp;IF(AND(E19&lt;&gt;"",G19=0),"no task id in T; ","")&amp;IF(AND(G19&gt;0,H19=0),"T names no task of yours in this sprint; ",""))="","","@"&amp;A19&amp;" please fix: "&amp;TRIM(IF(AND(N(C19)&gt;0,D19=""),"no Y; ","")&amp;IF(AND(N(C19)&gt;0,E19=""),"no T; ","")&amp;IF(AND(N(C19)&gt;0,F19=""),"no B; ","")&amp;IF(AND(E19&lt;&gt;"",G19=0),"no task id in T; ","")&amp;IF(AND(G19&gt;0,H19=0),"T names no task of yours in this sprint; ","")))))</f>
      </c>
      <c r="M19" s="11">
        <f>IF(N19="","",StandupDate)</f>
      </c>
      <c r="N19" s="17">
        <f>IF(J19&lt;&gt;"",J19,IF(I19="Y",IF(IFERROR(INDEX(Items[ID],MATCH(1,INDEX((Items[ID]&lt;&gt;"")*ISNUMBER(SEARCH(" "&amp;Items[ID]&amp;" "," "&amp;SUBSTITUTE(SUBSTITUTE(SUBSTITUTE(SUBSTITUTE(SUBSTITUTE(SUBSTITUTE(SUBSTITUTE(F19,",","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"&amp;SUBSTITUTE(SUBSTITUTE(SUBSTITUTE(SUBSTITUTE(SUBSTITUTE(SUBSTITUTE(SUBSTITUTE(F19,","," "),"."," "),";"," "),":"," "),"("," "),")"," "),"/"," ")&amp;" ")),0),0)),""),IFERROR(INDEX(Items[ID],MATCH(1,INDEX((Items[ID]&lt;&gt;"")*(Items[Owner]=A19)*ISNUMBER(SEARCH(" "&amp;Items[ID]&amp;" "," "&amp;SUBSTITUTE(SUBSTITUTE(SUBSTITUTE(SUBSTITUTE(SUBSTITUTE(SUBSTITUTE(SUBSTITUTE(E19,","," "),"."," "),";"," "),":"," "),"("," "),")"," "),"/"," ")&amp;" ")),0),0)),"")),""))</f>
      </c>
      <c r="O19" s="17">
        <f>IF(N19="","",IF(J19&lt;&gt;"","done","block"))</f>
      </c>
      <c r="P19" s="17">
        <f>IF(O19="block",F19,"")</f>
      </c>
    </row>
    <row r="20">
      <c r="A20" s="17">
        <f>IFERROR(INDEX(Roster[Name],16)&amp;"","")</f>
      </c>
      <c r="B20" s="17">
        <f>IF(A20="","",INDEX(Roster[Team],16)&amp;"")</f>
      </c>
      <c r="C20" s="17">
        <f>IF(OR(A20="",COUNTA(ChatPaste)=0),"",COUNTIF(ChatSpeaker,A20))</f>
      </c>
      <c r="D20" s="20">
        <f>IF(A20="","",IFERROR(INDEX(ChatText,MATCH(1,INDEX((ChatSpeaker=A20)*(ChatTag="Y"),0),0)),""))</f>
      </c>
      <c r="E20" s="20">
        <f>IF(A20="","",IFERROR(INDEX(ChatText,MATCH(1,INDEX((ChatSpeaker=A20)*(ChatTag="T"),0),0)),""))</f>
      </c>
      <c r="F20" s="20">
        <f>IF(A20="","",IFERROR(INDEX(ChatText,MATCH(1,INDEX((ChatSpeaker=A20)*(ChatTag="B"),0),0)),""))</f>
      </c>
      <c r="G20" s="17">
        <f>IF(E20="",0,SUMPRODUCT((Items[ID]&lt;&gt;"")*ISNUMBER(SEARCH(" "&amp;Items[ID]&amp;" "," "&amp;SUBSTITUTE(SUBSTITUTE(SUBSTITUTE(SUBSTITUTE(SUBSTITUTE(SUBSTITUTE(SUBSTITUTE(E20,","," "),"."," "),";"," "),":"," "),"("," "),")"," "),"/"," ")&amp;" "))))</f>
      </c>
      <c r="H20" s="17">
        <f>IF(E20="",0,SUMPRODUCT((Items[ID]&lt;&gt;"")*(Items[Owner]=A20)*(Items[In sprint]=1)*ISNUMBER(SEARCH(" "&amp;Items[ID]&amp;" "," "&amp;SUBSTITUTE(SUBSTITUTE(SUBSTITUTE(SUBSTITUTE(SUBSTITUTE(SUBSTITUTE(SUBSTITUTE(E20,","," "),"."," "),";"," "),":"," "),"("," "),")"," "),"/"," ")&amp;" "))))</f>
      </c>
      <c r="I20" s="17">
        <f>IF(F20="","",IF(OR(LOWER(TRIM(F20))={"none","no","nothing","n/a","na","-","nope","no blockers","none.","nil"}),"","Y"))</f>
      </c>
      <c r="J20" s="17">
        <f>IF(D20="","",IF(OR(ISNUMBER(SEARCH({"done","finished","completed","closed","merged"},D20))),IFERROR(INDEX(Items[ID],MATCH(1,INDEX((Items[ID]&lt;&gt;"")*(Items[State]&lt;&gt;"DONE")*ISNUMBER(SEARCH(" "&amp;Items[ID]&amp;" "," "&amp;SUBSTITUTE(SUBSTITUTE(SUBSTITUTE(SUBSTITUTE(SUBSTITUTE(SUBSTITUTE(SUBSTITUTE(D20,","," "),"."," "),";"," "),":"," "),"("," "),")"," "),"/"," ")&amp;" ")),0),0)),""),""))</f>
      </c>
      <c r="K20" s="20">
        <f>IF(A20="","",TRIM(IF(C20=0,"silent; ","")&amp;IF(AND(N(C20)&gt;0,D20=""),"no Y; ","")&amp;IF(AND(N(C20)&gt;0,E20=""),"no T; ","")&amp;IF(AND(N(C20)&gt;0,F20=""),"no B; ","")&amp;IF(AND(E20&lt;&gt;"",G20=0),"no task id in T; ","")&amp;IF(AND(G20&gt;0,H20=0),"T names no task of yours in this sprint; ","")&amp;IF(I20="Y","blocker: "&amp;F20&amp;"; ","")))</f>
      </c>
      <c r="L20" s="20">
        <f>IF(A20="","",IF(C20=0,"@"&amp;A20&amp;" please post Y: / T: / B: for today.",IF(TRIM(IF(AND(N(C20)&gt;0,D20=""),"no Y; ","")&amp;IF(AND(N(C20)&gt;0,E20=""),"no T; ","")&amp;IF(AND(N(C20)&gt;0,F20=""),"no B; ","")&amp;IF(AND(E20&lt;&gt;"",G20=0),"no task id in T; ","")&amp;IF(AND(G20&gt;0,H20=0),"T names no task of yours in this sprint; ",""))="","","@"&amp;A20&amp;" please fix: "&amp;TRIM(IF(AND(N(C20)&gt;0,D20=""),"no Y; ","")&amp;IF(AND(N(C20)&gt;0,E20=""),"no T; ","")&amp;IF(AND(N(C20)&gt;0,F20=""),"no B; ","")&amp;IF(AND(E20&lt;&gt;"",G20=0),"no task id in T; ","")&amp;IF(AND(G20&gt;0,H20=0),"T names no task of yours in this sprint; ","")))))</f>
      </c>
      <c r="M20" s="11">
        <f>IF(N20="","",StandupDate)</f>
      </c>
      <c r="N20" s="17">
        <f>IF(J20&lt;&gt;"",J20,IF(I20="Y",IF(IFERROR(INDEX(Items[ID],MATCH(1,INDEX((Items[ID]&lt;&gt;"")*ISNUMBER(SEARCH(" "&amp;Items[ID]&amp;" "," "&amp;SUBSTITUTE(SUBSTITUTE(SUBSTITUTE(SUBSTITUTE(SUBSTITUTE(SUBSTITUTE(SUBSTITUTE(F20,",","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"&amp;SUBSTITUTE(SUBSTITUTE(SUBSTITUTE(SUBSTITUTE(SUBSTITUTE(SUBSTITUTE(SUBSTITUTE(F20,","," "),"."," "),";"," "),":"," "),"("," "),")"," "),"/"," ")&amp;" ")),0),0)),""),IFERROR(INDEX(Items[ID],MATCH(1,INDEX((Items[ID]&lt;&gt;"")*(Items[Owner]=A20)*ISNUMBER(SEARCH(" "&amp;Items[ID]&amp;" "," "&amp;SUBSTITUTE(SUBSTITUTE(SUBSTITUTE(SUBSTITUTE(SUBSTITUTE(SUBSTITUTE(SUBSTITUTE(E20,","," "),"."," "),";"," "),":"," "),"("," "),")"," "),"/"," ")&amp;" ")),0),0)),"")),""))</f>
      </c>
      <c r="O20" s="17">
        <f>IF(N20="","",IF(J20&lt;&gt;"","done","block"))</f>
      </c>
      <c r="P20" s="17">
        <f>IF(O20="block",F20,"")</f>
      </c>
    </row>
    <row r="21">
      <c r="A21" s="17">
        <f>IFERROR(INDEX(Roster[Name],17)&amp;"","")</f>
      </c>
      <c r="B21" s="17">
        <f>IF(A21="","",INDEX(Roster[Team],17)&amp;"")</f>
      </c>
      <c r="C21" s="17">
        <f>IF(OR(A21="",COUNTA(ChatPaste)=0),"",COUNTIF(ChatSpeaker,A21))</f>
      </c>
      <c r="D21" s="20">
        <f>IF(A21="","",IFERROR(INDEX(ChatText,MATCH(1,INDEX((ChatSpeaker=A21)*(ChatTag="Y"),0),0)),""))</f>
      </c>
      <c r="E21" s="20">
        <f>IF(A21="","",IFERROR(INDEX(ChatText,MATCH(1,INDEX((ChatSpeaker=A21)*(ChatTag="T"),0),0)),""))</f>
      </c>
      <c r="F21" s="20">
        <f>IF(A21="","",IFERROR(INDEX(ChatText,MATCH(1,INDEX((ChatSpeaker=A21)*(ChatTag="B"),0),0)),""))</f>
      </c>
      <c r="G21" s="17">
        <f>IF(E21="",0,SUMPRODUCT((Items[ID]&lt;&gt;"")*ISNUMBER(SEARCH(" "&amp;Items[ID]&amp;" "," "&amp;SUBSTITUTE(SUBSTITUTE(SUBSTITUTE(SUBSTITUTE(SUBSTITUTE(SUBSTITUTE(SUBSTITUTE(E21,","," "),"."," "),";"," "),":"," "),"("," "),")"," "),"/"," ")&amp;" "))))</f>
      </c>
      <c r="H21" s="17">
        <f>IF(E21="",0,SUMPRODUCT((Items[ID]&lt;&gt;"")*(Items[Owner]=A21)*(Items[In sprint]=1)*ISNUMBER(SEARCH(" "&amp;Items[ID]&amp;" "," "&amp;SUBSTITUTE(SUBSTITUTE(SUBSTITUTE(SUBSTITUTE(SUBSTITUTE(SUBSTITUTE(SUBSTITUTE(E21,","," "),"."," "),";"," "),":"," "),"("," "),")"," "),"/"," ")&amp;" "))))</f>
      </c>
      <c r="I21" s="17">
        <f>IF(F21="","",IF(OR(LOWER(TRIM(F21))={"none","no","nothing","n/a","na","-","nope","no blockers","none.","nil"}),"","Y"))</f>
      </c>
      <c r="J21" s="17">
        <f>IF(D21="","",IF(OR(ISNUMBER(SEARCH({"done","finished","completed","closed","merged"},D21))),IFERROR(INDEX(Items[ID],MATCH(1,INDEX((Items[ID]&lt;&gt;"")*(Items[State]&lt;&gt;"DONE")*ISNUMBER(SEARCH(" "&amp;Items[ID]&amp;" "," "&amp;SUBSTITUTE(SUBSTITUTE(SUBSTITUTE(SUBSTITUTE(SUBSTITUTE(SUBSTITUTE(SUBSTITUTE(D21,","," "),"."," "),";"," "),":"," "),"("," "),")"," "),"/"," ")&amp;" ")),0),0)),""),""))</f>
      </c>
      <c r="K21" s="20">
        <f>IF(A21="","",TRIM(IF(C21=0,"silent; ","")&amp;IF(AND(N(C21)&gt;0,D21=""),"no Y; ","")&amp;IF(AND(N(C21)&gt;0,E21=""),"no T; ","")&amp;IF(AND(N(C21)&gt;0,F21=""),"no B; ","")&amp;IF(AND(E21&lt;&gt;"",G21=0),"no task id in T; ","")&amp;IF(AND(G21&gt;0,H21=0),"T names no task of yours in this sprint; ","")&amp;IF(I21="Y","blocker: "&amp;F21&amp;"; ","")))</f>
      </c>
      <c r="L21" s="20">
        <f>IF(A21="","",IF(C21=0,"@"&amp;A21&amp;" please post Y: / T: / B: for today.",IF(TRIM(IF(AND(N(C21)&gt;0,D21=""),"no Y; ","")&amp;IF(AND(N(C21)&gt;0,E21=""),"no T; ","")&amp;IF(AND(N(C21)&gt;0,F21=""),"no B; ","")&amp;IF(AND(E21&lt;&gt;"",G21=0),"no task id in T; ","")&amp;IF(AND(G21&gt;0,H21=0),"T names no task of yours in this sprint; ",""))="","","@"&amp;A21&amp;" please fix: "&amp;TRIM(IF(AND(N(C21)&gt;0,D21=""),"no Y; ","")&amp;IF(AND(N(C21)&gt;0,E21=""),"no T; ","")&amp;IF(AND(N(C21)&gt;0,F21=""),"no B; ","")&amp;IF(AND(E21&lt;&gt;"",G21=0),"no task id in T; ","")&amp;IF(AND(G21&gt;0,H21=0),"T names no task of yours in this sprint; ","")))))</f>
      </c>
      <c r="M21" s="11">
        <f>IF(N21="","",StandupDate)</f>
      </c>
      <c r="N21" s="17">
        <f>IF(J21&lt;&gt;"",J21,IF(I21="Y",IF(IFERROR(INDEX(Items[ID],MATCH(1,INDEX((Items[ID]&lt;&gt;"")*ISNUMBER(SEARCH(" "&amp;Items[ID]&amp;" "," "&amp;SUBSTITUTE(SUBSTITUTE(SUBSTITUTE(SUBSTITUTE(SUBSTITUTE(SUBSTITUTE(SUBSTITUTE(F21,",","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"&amp;SUBSTITUTE(SUBSTITUTE(SUBSTITUTE(SUBSTITUTE(SUBSTITUTE(SUBSTITUTE(SUBSTITUTE(F21,","," "),"."," "),";"," "),":"," "),"("," "),")"," "),"/"," ")&amp;" ")),0),0)),""),IFERROR(INDEX(Items[ID],MATCH(1,INDEX((Items[ID]&lt;&gt;"")*(Items[Owner]=A21)*ISNUMBER(SEARCH(" "&amp;Items[ID]&amp;" "," "&amp;SUBSTITUTE(SUBSTITUTE(SUBSTITUTE(SUBSTITUTE(SUBSTITUTE(SUBSTITUTE(SUBSTITUTE(E21,","," "),"."," "),";"," "),":"," "),"("," "),")"," "),"/"," ")&amp;" ")),0),0)),"")),""))</f>
      </c>
      <c r="O21" s="17">
        <f>IF(N21="","",IF(J21&lt;&gt;"","done","block"))</f>
      </c>
      <c r="P21" s="17">
        <f>IF(O21="block",F21,"")</f>
      </c>
    </row>
    <row r="22">
      <c r="A22" s="17">
        <f>IFERROR(INDEX(Roster[Name],18)&amp;"","")</f>
      </c>
      <c r="B22" s="17">
        <f>IF(A22="","",INDEX(Roster[Team],18)&amp;"")</f>
      </c>
      <c r="C22" s="17">
        <f>IF(OR(A22="",COUNTA(ChatPaste)=0),"",COUNTIF(ChatSpeaker,A22))</f>
      </c>
      <c r="D22" s="20">
        <f>IF(A22="","",IFERROR(INDEX(ChatText,MATCH(1,INDEX((ChatSpeaker=A22)*(ChatTag="Y"),0),0)),""))</f>
      </c>
      <c r="E22" s="20">
        <f>IF(A22="","",IFERROR(INDEX(ChatText,MATCH(1,INDEX((ChatSpeaker=A22)*(ChatTag="T"),0),0)),""))</f>
      </c>
      <c r="F22" s="20">
        <f>IF(A22="","",IFERROR(INDEX(ChatText,MATCH(1,INDEX((ChatSpeaker=A22)*(ChatTag="B"),0),0)),""))</f>
      </c>
      <c r="G22" s="17">
        <f>IF(E22="",0,SUMPRODUCT((Items[ID]&lt;&gt;"")*ISNUMBER(SEARCH(" "&amp;Items[ID]&amp;" "," "&amp;SUBSTITUTE(SUBSTITUTE(SUBSTITUTE(SUBSTITUTE(SUBSTITUTE(SUBSTITUTE(SUBSTITUTE(E22,","," "),"."," "),";"," "),":"," "),"("," "),")"," "),"/"," ")&amp;" "))))</f>
      </c>
      <c r="H22" s="17">
        <f>IF(E22="",0,SUMPRODUCT((Items[ID]&lt;&gt;"")*(Items[Owner]=A22)*(Items[In sprint]=1)*ISNUMBER(SEARCH(" "&amp;Items[ID]&amp;" "," "&amp;SUBSTITUTE(SUBSTITUTE(SUBSTITUTE(SUBSTITUTE(SUBSTITUTE(SUBSTITUTE(SUBSTITUTE(E22,","," "),"."," "),";"," "),":"," "),"("," "),")"," "),"/"," ")&amp;" "))))</f>
      </c>
      <c r="I22" s="17">
        <f>IF(F22="","",IF(OR(LOWER(TRIM(F22))={"none","no","nothing","n/a","na","-","nope","no blockers","none.","nil"}),"","Y"))</f>
      </c>
      <c r="J22" s="17">
        <f>IF(D22="","",IF(OR(ISNUMBER(SEARCH({"done","finished","completed","closed","merged"},D22))),IFERROR(INDEX(Items[ID],MATCH(1,INDEX((Items[ID]&lt;&gt;"")*(Items[State]&lt;&gt;"DONE")*ISNUMBER(SEARCH(" "&amp;Items[ID]&amp;" "," "&amp;SUBSTITUTE(SUBSTITUTE(SUBSTITUTE(SUBSTITUTE(SUBSTITUTE(SUBSTITUTE(SUBSTITUTE(D22,","," "),"."," "),";"," "),":"," "),"("," "),")"," "),"/"," ")&amp;" ")),0),0)),""),""))</f>
      </c>
      <c r="K22" s="20">
        <f>IF(A22="","",TRIM(IF(C22=0,"silent; ","")&amp;IF(AND(N(C22)&gt;0,D22=""),"no Y; ","")&amp;IF(AND(N(C22)&gt;0,E22=""),"no T; ","")&amp;IF(AND(N(C22)&gt;0,F22=""),"no B; ","")&amp;IF(AND(E22&lt;&gt;"",G22=0),"no task id in T; ","")&amp;IF(AND(G22&gt;0,H22=0),"T names no task of yours in this sprint; ","")&amp;IF(I22="Y","blocker: "&amp;F22&amp;"; ","")))</f>
      </c>
      <c r="L22" s="20">
        <f>IF(A22="","",IF(C22=0,"@"&amp;A22&amp;" please post Y: / T: / B: for today.",IF(TRIM(IF(AND(N(C22)&gt;0,D22=""),"no Y; ","")&amp;IF(AND(N(C22)&gt;0,E22=""),"no T; ","")&amp;IF(AND(N(C22)&gt;0,F22=""),"no B; ","")&amp;IF(AND(E22&lt;&gt;"",G22=0),"no task id in T; ","")&amp;IF(AND(G22&gt;0,H22=0),"T names no task of yours in this sprint; ",""))="","","@"&amp;A22&amp;" please fix: "&amp;TRIM(IF(AND(N(C22)&gt;0,D22=""),"no Y; ","")&amp;IF(AND(N(C22)&gt;0,E22=""),"no T; ","")&amp;IF(AND(N(C22)&gt;0,F22=""),"no B; ","")&amp;IF(AND(E22&lt;&gt;"",G22=0),"no task id in T; ","")&amp;IF(AND(G22&gt;0,H22=0),"T names no task of yours in this sprint; ","")))))</f>
      </c>
      <c r="M22" s="11">
        <f>IF(N22="","",StandupDate)</f>
      </c>
      <c r="N22" s="17">
        <f>IF(J22&lt;&gt;"",J22,IF(I22="Y",IF(IFERROR(INDEX(Items[ID],MATCH(1,INDEX((Items[ID]&lt;&gt;"")*ISNUMBER(SEARCH(" "&amp;Items[ID]&amp;" "," "&amp;SUBSTITUTE(SUBSTITUTE(SUBSTITUTE(SUBSTITUTE(SUBSTITUTE(SUBSTITUTE(SUBSTITUTE(F22,",","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"&amp;SUBSTITUTE(SUBSTITUTE(SUBSTITUTE(SUBSTITUTE(SUBSTITUTE(SUBSTITUTE(SUBSTITUTE(F22,","," "),"."," "),";"," "),":"," "),"("," "),")"," "),"/"," ")&amp;" ")),0),0)),""),IFERROR(INDEX(Items[ID],MATCH(1,INDEX((Items[ID]&lt;&gt;"")*(Items[Owner]=A22)*ISNUMBER(SEARCH(" "&amp;Items[ID]&amp;" "," "&amp;SUBSTITUTE(SUBSTITUTE(SUBSTITUTE(SUBSTITUTE(SUBSTITUTE(SUBSTITUTE(SUBSTITUTE(E22,","," "),"."," "),";"," "),":"," "),"("," "),")"," "),"/"," ")&amp;" ")),0),0)),"")),""))</f>
      </c>
      <c r="O22" s="17">
        <f>IF(N22="","",IF(J22&lt;&gt;"","done","block"))</f>
      </c>
      <c r="P22" s="17">
        <f>IF(O22="block",F22,"")</f>
      </c>
    </row>
    <row r="23">
      <c r="A23" s="17">
        <f>IFERROR(INDEX(Roster[Name],19)&amp;"","")</f>
      </c>
      <c r="B23" s="17">
        <f>IF(A23="","",INDEX(Roster[Team],19)&amp;"")</f>
      </c>
      <c r="C23" s="17">
        <f>IF(OR(A23="",COUNTA(ChatPaste)=0),"",COUNTIF(ChatSpeaker,A23))</f>
      </c>
      <c r="D23" s="20">
        <f>IF(A23="","",IFERROR(INDEX(ChatText,MATCH(1,INDEX((ChatSpeaker=A23)*(ChatTag="Y"),0),0)),""))</f>
      </c>
      <c r="E23" s="20">
        <f>IF(A23="","",IFERROR(INDEX(ChatText,MATCH(1,INDEX((ChatSpeaker=A23)*(ChatTag="T"),0),0)),""))</f>
      </c>
      <c r="F23" s="20">
        <f>IF(A23="","",IFERROR(INDEX(ChatText,MATCH(1,INDEX((ChatSpeaker=A23)*(ChatTag="B"),0),0)),""))</f>
      </c>
      <c r="G23" s="17">
        <f>IF(E23="",0,SUMPRODUCT((Items[ID]&lt;&gt;"")*ISNUMBER(SEARCH(" "&amp;Items[ID]&amp;" "," "&amp;SUBSTITUTE(SUBSTITUTE(SUBSTITUTE(SUBSTITUTE(SUBSTITUTE(SUBSTITUTE(SUBSTITUTE(E23,","," "),"."," "),";"," "),":"," "),"("," "),")"," "),"/"," ")&amp;" "))))</f>
      </c>
      <c r="H23" s="17">
        <f>IF(E23="",0,SUMPRODUCT((Items[ID]&lt;&gt;"")*(Items[Owner]=A23)*(Items[In sprint]=1)*ISNUMBER(SEARCH(" "&amp;Items[ID]&amp;" "," "&amp;SUBSTITUTE(SUBSTITUTE(SUBSTITUTE(SUBSTITUTE(SUBSTITUTE(SUBSTITUTE(SUBSTITUTE(E23,","," "),"."," "),";"," "),":"," "),"("," "),")"," "),"/"," ")&amp;" "))))</f>
      </c>
      <c r="I23" s="17">
        <f>IF(F23="","",IF(OR(LOWER(TRIM(F23))={"none","no","nothing","n/a","na","-","nope","no blockers","none.","nil"}),"","Y"))</f>
      </c>
      <c r="J23" s="17">
        <f>IF(D23="","",IF(OR(ISNUMBER(SEARCH({"done","finished","completed","closed","merged"},D23))),IFERROR(INDEX(Items[ID],MATCH(1,INDEX((Items[ID]&lt;&gt;"")*(Items[State]&lt;&gt;"DONE")*ISNUMBER(SEARCH(" "&amp;Items[ID]&amp;" "," "&amp;SUBSTITUTE(SUBSTITUTE(SUBSTITUTE(SUBSTITUTE(SUBSTITUTE(SUBSTITUTE(SUBSTITUTE(D23,","," "),"."," "),";"," "),":"," "),"("," "),")"," "),"/"," ")&amp;" ")),0),0)),""),""))</f>
      </c>
      <c r="K23" s="20">
        <f>IF(A23="","",TRIM(IF(C23=0,"silent; ","")&amp;IF(AND(N(C23)&gt;0,D23=""),"no Y; ","")&amp;IF(AND(N(C23)&gt;0,E23=""),"no T; ","")&amp;IF(AND(N(C23)&gt;0,F23=""),"no B; ","")&amp;IF(AND(E23&lt;&gt;"",G23=0),"no task id in T; ","")&amp;IF(AND(G23&gt;0,H23=0),"T names no task of yours in this sprint; ","")&amp;IF(I23="Y","blocker: "&amp;F23&amp;"; ","")))</f>
      </c>
      <c r="L23" s="20">
        <f>IF(A23="","",IF(C23=0,"@"&amp;A23&amp;" please post Y: / T: / B: for today.",IF(TRIM(IF(AND(N(C23)&gt;0,D23=""),"no Y; ","")&amp;IF(AND(N(C23)&gt;0,E23=""),"no T; ","")&amp;IF(AND(N(C23)&gt;0,F23=""),"no B; ","")&amp;IF(AND(E23&lt;&gt;"",G23=0),"no task id in T; ","")&amp;IF(AND(G23&gt;0,H23=0),"T names no task of yours in this sprint; ",""))="","","@"&amp;A23&amp;" please fix: "&amp;TRIM(IF(AND(N(C23)&gt;0,D23=""),"no Y; ","")&amp;IF(AND(N(C23)&gt;0,E23=""),"no T; ","")&amp;IF(AND(N(C23)&gt;0,F23=""),"no B; ","")&amp;IF(AND(E23&lt;&gt;"",G23=0),"no task id in T; ","")&amp;IF(AND(G23&gt;0,H23=0),"T names no task of yours in this sprint; ","")))))</f>
      </c>
      <c r="M23" s="11">
        <f>IF(N23="","",StandupDate)</f>
      </c>
      <c r="N23" s="17">
        <f>IF(J23&lt;&gt;"",J23,IF(I23="Y",IF(IFERROR(INDEX(Items[ID],MATCH(1,INDEX((Items[ID]&lt;&gt;"")*ISNUMBER(SEARCH(" "&amp;Items[ID]&amp;" "," "&amp;SUBSTITUTE(SUBSTITUTE(SUBSTITUTE(SUBSTITUTE(SUBSTITUTE(SUBSTITUTE(SUBSTITUTE(F23,",","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"&amp;SUBSTITUTE(SUBSTITUTE(SUBSTITUTE(SUBSTITUTE(SUBSTITUTE(SUBSTITUTE(SUBSTITUTE(F23,","," "),"."," "),";"," "),":"," "),"("," "),")"," "),"/"," ")&amp;" ")),0),0)),""),IFERROR(INDEX(Items[ID],MATCH(1,INDEX((Items[ID]&lt;&gt;"")*(Items[Owner]=A23)*ISNUMBER(SEARCH(" "&amp;Items[ID]&amp;" "," "&amp;SUBSTITUTE(SUBSTITUTE(SUBSTITUTE(SUBSTITUTE(SUBSTITUTE(SUBSTITUTE(SUBSTITUTE(E23,","," "),"."," "),";"," "),":"," "),"("," "),")"," "),"/"," ")&amp;" ")),0),0)),"")),""))</f>
      </c>
      <c r="O23" s="17">
        <f>IF(N23="","",IF(J23&lt;&gt;"","done","block"))</f>
      </c>
      <c r="P23" s="17">
        <f>IF(O23="block",F23,"")</f>
      </c>
    </row>
    <row r="24">
      <c r="A24" s="17">
        <f>IFERROR(INDEX(Roster[Name],20)&amp;"","")</f>
      </c>
      <c r="B24" s="17">
        <f>IF(A24="","",INDEX(Roster[Team],20)&amp;"")</f>
      </c>
      <c r="C24" s="17">
        <f>IF(OR(A24="",COUNTA(ChatPaste)=0),"",COUNTIF(ChatSpeaker,A24))</f>
      </c>
      <c r="D24" s="20">
        <f>IF(A24="","",IFERROR(INDEX(ChatText,MATCH(1,INDEX((ChatSpeaker=A24)*(ChatTag="Y"),0),0)),""))</f>
      </c>
      <c r="E24" s="20">
        <f>IF(A24="","",IFERROR(INDEX(ChatText,MATCH(1,INDEX((ChatSpeaker=A24)*(ChatTag="T"),0),0)),""))</f>
      </c>
      <c r="F24" s="20">
        <f>IF(A24="","",IFERROR(INDEX(ChatText,MATCH(1,INDEX((ChatSpeaker=A24)*(ChatTag="B"),0),0)),""))</f>
      </c>
      <c r="G24" s="17">
        <f>IF(E24="",0,SUMPRODUCT((Items[ID]&lt;&gt;"")*ISNUMBER(SEARCH(" "&amp;Items[ID]&amp;" "," "&amp;SUBSTITUTE(SUBSTITUTE(SUBSTITUTE(SUBSTITUTE(SUBSTITUTE(SUBSTITUTE(SUBSTITUTE(E24,","," "),"."," "),";"," "),":"," "),"("," "),")"," "),"/"," ")&amp;" "))))</f>
      </c>
      <c r="H24" s="17">
        <f>IF(E24="",0,SUMPRODUCT((Items[ID]&lt;&gt;"")*(Items[Owner]=A24)*(Items[In sprint]=1)*ISNUMBER(SEARCH(" "&amp;Items[ID]&amp;" "," "&amp;SUBSTITUTE(SUBSTITUTE(SUBSTITUTE(SUBSTITUTE(SUBSTITUTE(SUBSTITUTE(SUBSTITUTE(E24,","," "),"."," "),";"," "),":"," "),"("," "),")"," "),"/"," ")&amp;" "))))</f>
      </c>
      <c r="I24" s="17">
        <f>IF(F24="","",IF(OR(LOWER(TRIM(F24))={"none","no","nothing","n/a","na","-","nope","no blockers","none.","nil"}),"","Y"))</f>
      </c>
      <c r="J24" s="17">
        <f>IF(D24="","",IF(OR(ISNUMBER(SEARCH({"done","finished","completed","closed","merged"},D24))),IFERROR(INDEX(Items[ID],MATCH(1,INDEX((Items[ID]&lt;&gt;"")*(Items[State]&lt;&gt;"DONE")*ISNUMBER(SEARCH(" "&amp;Items[ID]&amp;" "," "&amp;SUBSTITUTE(SUBSTITUTE(SUBSTITUTE(SUBSTITUTE(SUBSTITUTE(SUBSTITUTE(SUBSTITUTE(D24,","," "),"."," "),";"," "),":"," "),"("," "),")"," "),"/"," ")&amp;" ")),0),0)),""),""))</f>
      </c>
      <c r="K24" s="20">
        <f>IF(A24="","",TRIM(IF(C24=0,"silent; ","")&amp;IF(AND(N(C24)&gt;0,D24=""),"no Y; ","")&amp;IF(AND(N(C24)&gt;0,E24=""),"no T; ","")&amp;IF(AND(N(C24)&gt;0,F24=""),"no B; ","")&amp;IF(AND(E24&lt;&gt;"",G24=0),"no task id in T; ","")&amp;IF(AND(G24&gt;0,H24=0),"T names no task of yours in this sprint; ","")&amp;IF(I24="Y","blocker: "&amp;F24&amp;"; ","")))</f>
      </c>
      <c r="L24" s="20">
        <f>IF(A24="","",IF(C24=0,"@"&amp;A24&amp;" please post Y: / T: / B: for today.",IF(TRIM(IF(AND(N(C24)&gt;0,D24=""),"no Y; ","")&amp;IF(AND(N(C24)&gt;0,E24=""),"no T; ","")&amp;IF(AND(N(C24)&gt;0,F24=""),"no B; ","")&amp;IF(AND(E24&lt;&gt;"",G24=0),"no task id in T; ","")&amp;IF(AND(G24&gt;0,H24=0),"T names no task of yours in this sprint; ",""))="","","@"&amp;A24&amp;" please fix: "&amp;TRIM(IF(AND(N(C24)&gt;0,D24=""),"no Y; ","")&amp;IF(AND(N(C24)&gt;0,E24=""),"no T; ","")&amp;IF(AND(N(C24)&gt;0,F24=""),"no B; ","")&amp;IF(AND(E24&lt;&gt;"",G24=0),"no task id in T; ","")&amp;IF(AND(G24&gt;0,H24=0),"T names no task of yours in this sprint; ","")))))</f>
      </c>
      <c r="M24" s="11">
        <f>IF(N24="","",StandupDate)</f>
      </c>
      <c r="N24" s="17">
        <f>IF(J24&lt;&gt;"",J24,IF(I24="Y",IF(IFERROR(INDEX(Items[ID],MATCH(1,INDEX((Items[ID]&lt;&gt;"")*ISNUMBER(SEARCH(" "&amp;Items[ID]&amp;" "," "&amp;SUBSTITUTE(SUBSTITUTE(SUBSTITUTE(SUBSTITUTE(SUBSTITUTE(SUBSTITUTE(SUBSTITUTE(F24,",","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"&amp;SUBSTITUTE(SUBSTITUTE(SUBSTITUTE(SUBSTITUTE(SUBSTITUTE(SUBSTITUTE(SUBSTITUTE(F24,","," "),"."," "),";"," "),":"," "),"("," "),")"," "),"/"," ")&amp;" ")),0),0)),""),IFERROR(INDEX(Items[ID],MATCH(1,INDEX((Items[ID]&lt;&gt;"")*(Items[Owner]=A24)*ISNUMBER(SEARCH(" "&amp;Items[ID]&amp;" "," "&amp;SUBSTITUTE(SUBSTITUTE(SUBSTITUTE(SUBSTITUTE(SUBSTITUTE(SUBSTITUTE(SUBSTITUTE(E24,","," "),"."," "),";"," "),":"," "),"("," "),")"," "),"/"," ")&amp;" ")),0),0)),"")),""))</f>
      </c>
      <c r="O24" s="17">
        <f>IF(N24="","",IF(J24&lt;&gt;"","done","block"))</f>
      </c>
      <c r="P24" s="17">
        <f>IF(O24="block",F24,"")</f>
      </c>
    </row>
    <row r="25">
      <c r="A25" s="17">
        <f>IFERROR(INDEX(Roster[Name],21)&amp;"","")</f>
      </c>
      <c r="B25" s="17">
        <f>IF(A25="","",INDEX(Roster[Team],21)&amp;"")</f>
      </c>
      <c r="C25" s="17">
        <f>IF(OR(A25="",COUNTA(ChatPaste)=0),"",COUNTIF(ChatSpeaker,A25))</f>
      </c>
      <c r="D25" s="20">
        <f>IF(A25="","",IFERROR(INDEX(ChatText,MATCH(1,INDEX((ChatSpeaker=A25)*(ChatTag="Y"),0),0)),""))</f>
      </c>
      <c r="E25" s="20">
        <f>IF(A25="","",IFERROR(INDEX(ChatText,MATCH(1,INDEX((ChatSpeaker=A25)*(ChatTag="T"),0),0)),""))</f>
      </c>
      <c r="F25" s="20">
        <f>IF(A25="","",IFERROR(INDEX(ChatText,MATCH(1,INDEX((ChatSpeaker=A25)*(ChatTag="B"),0),0)),""))</f>
      </c>
      <c r="G25" s="17">
        <f>IF(E25="",0,SUMPRODUCT((Items[ID]&lt;&gt;"")*ISNUMBER(SEARCH(" "&amp;Items[ID]&amp;" "," "&amp;SUBSTITUTE(SUBSTITUTE(SUBSTITUTE(SUBSTITUTE(SUBSTITUTE(SUBSTITUTE(SUBSTITUTE(E25,","," "),"."," "),";"," "),":"," "),"("," "),")"," "),"/"," ")&amp;" "))))</f>
      </c>
      <c r="H25" s="17">
        <f>IF(E25="",0,SUMPRODUCT((Items[ID]&lt;&gt;"")*(Items[Owner]=A25)*(Items[In sprint]=1)*ISNUMBER(SEARCH(" "&amp;Items[ID]&amp;" "," "&amp;SUBSTITUTE(SUBSTITUTE(SUBSTITUTE(SUBSTITUTE(SUBSTITUTE(SUBSTITUTE(SUBSTITUTE(E25,","," "),"."," "),";"," "),":"," "),"("," "),")"," "),"/"," ")&amp;" "))))</f>
      </c>
      <c r="I25" s="17">
        <f>IF(F25="","",IF(OR(LOWER(TRIM(F25))={"none","no","nothing","n/a","na","-","nope","no blockers","none.","nil"}),"","Y"))</f>
      </c>
      <c r="J25" s="17">
        <f>IF(D25="","",IF(OR(ISNUMBER(SEARCH({"done","finished","completed","closed","merged"},D25))),IFERROR(INDEX(Items[ID],MATCH(1,INDEX((Items[ID]&lt;&gt;"")*(Items[State]&lt;&gt;"DONE")*ISNUMBER(SEARCH(" "&amp;Items[ID]&amp;" "," "&amp;SUBSTITUTE(SUBSTITUTE(SUBSTITUTE(SUBSTITUTE(SUBSTITUTE(SUBSTITUTE(SUBSTITUTE(D25,","," "),"."," "),";"," "),":"," "),"("," "),")"," "),"/"," ")&amp;" ")),0),0)),""),""))</f>
      </c>
      <c r="K25" s="20">
        <f>IF(A25="","",TRIM(IF(C25=0,"silent; ","")&amp;IF(AND(N(C25)&gt;0,D25=""),"no Y; ","")&amp;IF(AND(N(C25)&gt;0,E25=""),"no T; ","")&amp;IF(AND(N(C25)&gt;0,F25=""),"no B; ","")&amp;IF(AND(E25&lt;&gt;"",G25=0),"no task id in T; ","")&amp;IF(AND(G25&gt;0,H25=0),"T names no task of yours in this sprint; ","")&amp;IF(I25="Y","blocker: "&amp;F25&amp;"; ","")))</f>
      </c>
      <c r="L25" s="20">
        <f>IF(A25="","",IF(C25=0,"@"&amp;A25&amp;" please post Y: / T: / B: for today.",IF(TRIM(IF(AND(N(C25)&gt;0,D25=""),"no Y; ","")&amp;IF(AND(N(C25)&gt;0,E25=""),"no T; ","")&amp;IF(AND(N(C25)&gt;0,F25=""),"no B; ","")&amp;IF(AND(E25&lt;&gt;"",G25=0),"no task id in T; ","")&amp;IF(AND(G25&gt;0,H25=0),"T names no task of yours in this sprint; ",""))="","","@"&amp;A25&amp;" please fix: "&amp;TRIM(IF(AND(N(C25)&gt;0,D25=""),"no Y; ","")&amp;IF(AND(N(C25)&gt;0,E25=""),"no T; ","")&amp;IF(AND(N(C25)&gt;0,F25=""),"no B; ","")&amp;IF(AND(E25&lt;&gt;"",G25=0),"no task id in T; ","")&amp;IF(AND(G25&gt;0,H25=0),"T names no task of yours in this sprint; ","")))))</f>
      </c>
      <c r="M25" s="11">
        <f>IF(N25="","",StandupDate)</f>
      </c>
      <c r="N25" s="17">
        <f>IF(J25&lt;&gt;"",J25,IF(I25="Y",IF(IFERROR(INDEX(Items[ID],MATCH(1,INDEX((Items[ID]&lt;&gt;"")*ISNUMBER(SEARCH(" "&amp;Items[ID]&amp;" "," "&amp;SUBSTITUTE(SUBSTITUTE(SUBSTITUTE(SUBSTITUTE(SUBSTITUTE(SUBSTITUTE(SUBSTITUTE(F25,",","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"&amp;SUBSTITUTE(SUBSTITUTE(SUBSTITUTE(SUBSTITUTE(SUBSTITUTE(SUBSTITUTE(SUBSTITUTE(F25,","," "),"."," "),";"," "),":"," "),"("," "),")"," "),"/"," ")&amp;" ")),0),0)),""),IFERROR(INDEX(Items[ID],MATCH(1,INDEX((Items[ID]&lt;&gt;"")*(Items[Owner]=A25)*ISNUMBER(SEARCH(" "&amp;Items[ID]&amp;" "," "&amp;SUBSTITUTE(SUBSTITUTE(SUBSTITUTE(SUBSTITUTE(SUBSTITUTE(SUBSTITUTE(SUBSTITUTE(E25,","," "),"."," "),";"," "),":"," "),"("," "),")"," "),"/"," ")&amp;" ")),0),0)),"")),""))</f>
      </c>
      <c r="O25" s="17">
        <f>IF(N25="","",IF(J25&lt;&gt;"","done","block"))</f>
      </c>
      <c r="P25" s="17">
        <f>IF(O25="block",F25,"")</f>
      </c>
    </row>
    <row r="26">
      <c r="A26" s="17">
        <f>IFERROR(INDEX(Roster[Name],22)&amp;"","")</f>
      </c>
      <c r="B26" s="17">
        <f>IF(A26="","",INDEX(Roster[Team],22)&amp;"")</f>
      </c>
      <c r="C26" s="17">
        <f>IF(OR(A26="",COUNTA(ChatPaste)=0),"",COUNTIF(ChatSpeaker,A26))</f>
      </c>
      <c r="D26" s="20">
        <f>IF(A26="","",IFERROR(INDEX(ChatText,MATCH(1,INDEX((ChatSpeaker=A26)*(ChatTag="Y"),0),0)),""))</f>
      </c>
      <c r="E26" s="20">
        <f>IF(A26="","",IFERROR(INDEX(ChatText,MATCH(1,INDEX((ChatSpeaker=A26)*(ChatTag="T"),0),0)),""))</f>
      </c>
      <c r="F26" s="20">
        <f>IF(A26="","",IFERROR(INDEX(ChatText,MATCH(1,INDEX((ChatSpeaker=A26)*(ChatTag="B"),0),0)),""))</f>
      </c>
      <c r="G26" s="17">
        <f>IF(E26="",0,SUMPRODUCT((Items[ID]&lt;&gt;"")*ISNUMBER(SEARCH(" "&amp;Items[ID]&amp;" "," "&amp;SUBSTITUTE(SUBSTITUTE(SUBSTITUTE(SUBSTITUTE(SUBSTITUTE(SUBSTITUTE(SUBSTITUTE(E26,","," "),"."," "),";"," "),":"," "),"("," "),")"," "),"/"," ")&amp;" "))))</f>
      </c>
      <c r="H26" s="17">
        <f>IF(E26="",0,SUMPRODUCT((Items[ID]&lt;&gt;"")*(Items[Owner]=A26)*(Items[In sprint]=1)*ISNUMBER(SEARCH(" "&amp;Items[ID]&amp;" "," "&amp;SUBSTITUTE(SUBSTITUTE(SUBSTITUTE(SUBSTITUTE(SUBSTITUTE(SUBSTITUTE(SUBSTITUTE(E26,","," "),"."," "),";"," "),":"," "),"("," "),")"," "),"/"," ")&amp;" "))))</f>
      </c>
      <c r="I26" s="17">
        <f>IF(F26="","",IF(OR(LOWER(TRIM(F26))={"none","no","nothing","n/a","na","-","nope","no blockers","none.","nil"}),"","Y"))</f>
      </c>
      <c r="J26" s="17">
        <f>IF(D26="","",IF(OR(ISNUMBER(SEARCH({"done","finished","completed","closed","merged"},D26))),IFERROR(INDEX(Items[ID],MATCH(1,INDEX((Items[ID]&lt;&gt;"")*(Items[State]&lt;&gt;"DONE")*ISNUMBER(SEARCH(" "&amp;Items[ID]&amp;" "," "&amp;SUBSTITUTE(SUBSTITUTE(SUBSTITUTE(SUBSTITUTE(SUBSTITUTE(SUBSTITUTE(SUBSTITUTE(D26,","," "),"."," "),";"," "),":"," "),"("," "),")"," "),"/"," ")&amp;" ")),0),0)),""),""))</f>
      </c>
      <c r="K26" s="20">
        <f>IF(A26="","",TRIM(IF(C26=0,"silent; ","")&amp;IF(AND(N(C26)&gt;0,D26=""),"no Y; ","")&amp;IF(AND(N(C26)&gt;0,E26=""),"no T; ","")&amp;IF(AND(N(C26)&gt;0,F26=""),"no B; ","")&amp;IF(AND(E26&lt;&gt;"",G26=0),"no task id in T; ","")&amp;IF(AND(G26&gt;0,H26=0),"T names no task of yours in this sprint; ","")&amp;IF(I26="Y","blocker: "&amp;F26&amp;"; ","")))</f>
      </c>
      <c r="L26" s="20">
        <f>IF(A26="","",IF(C26=0,"@"&amp;A26&amp;" please post Y: / T: / B: for today.",IF(TRIM(IF(AND(N(C26)&gt;0,D26=""),"no Y; ","")&amp;IF(AND(N(C26)&gt;0,E26=""),"no T; ","")&amp;IF(AND(N(C26)&gt;0,F26=""),"no B; ","")&amp;IF(AND(E26&lt;&gt;"",G26=0),"no task id in T; ","")&amp;IF(AND(G26&gt;0,H26=0),"T names no task of yours in this sprint; ",""))="","","@"&amp;A26&amp;" please fix: "&amp;TRIM(IF(AND(N(C26)&gt;0,D26=""),"no Y; ","")&amp;IF(AND(N(C26)&gt;0,E26=""),"no T; ","")&amp;IF(AND(N(C26)&gt;0,F26=""),"no B; ","")&amp;IF(AND(E26&lt;&gt;"",G26=0),"no task id in T; ","")&amp;IF(AND(G26&gt;0,H26=0),"T names no task of yours in this sprint; ","")))))</f>
      </c>
      <c r="M26" s="11">
        <f>IF(N26="","",StandupDate)</f>
      </c>
      <c r="N26" s="17">
        <f>IF(J26&lt;&gt;"",J26,IF(I26="Y",IF(IFERROR(INDEX(Items[ID],MATCH(1,INDEX((Items[ID]&lt;&gt;"")*ISNUMBER(SEARCH(" "&amp;Items[ID]&amp;" "," "&amp;SUBSTITUTE(SUBSTITUTE(SUBSTITUTE(SUBSTITUTE(SUBSTITUTE(SUBSTITUTE(SUBSTITUTE(F26,",","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"&amp;SUBSTITUTE(SUBSTITUTE(SUBSTITUTE(SUBSTITUTE(SUBSTITUTE(SUBSTITUTE(SUBSTITUTE(F26,","," "),"."," "),";"," "),":"," "),"("," "),")"," "),"/"," ")&amp;" ")),0),0)),""),IFERROR(INDEX(Items[ID],MATCH(1,INDEX((Items[ID]&lt;&gt;"")*(Items[Owner]=A26)*ISNUMBER(SEARCH(" "&amp;Items[ID]&amp;" "," "&amp;SUBSTITUTE(SUBSTITUTE(SUBSTITUTE(SUBSTITUTE(SUBSTITUTE(SUBSTITUTE(SUBSTITUTE(E26,","," "),"."," "),";"," "),":"," "),"("," "),")"," "),"/"," ")&amp;" ")),0),0)),"")),""))</f>
      </c>
      <c r="O26" s="17">
        <f>IF(N26="","",IF(J26&lt;&gt;"","done","block"))</f>
      </c>
      <c r="P26" s="17">
        <f>IF(O26="block",F26,"")</f>
      </c>
    </row>
    <row r="27">
      <c r="A27" s="17">
        <f>IFERROR(INDEX(Roster[Name],23)&amp;"","")</f>
      </c>
      <c r="B27" s="17">
        <f>IF(A27="","",INDEX(Roster[Team],23)&amp;"")</f>
      </c>
      <c r="C27" s="17">
        <f>IF(OR(A27="",COUNTA(ChatPaste)=0),"",COUNTIF(ChatSpeaker,A27))</f>
      </c>
      <c r="D27" s="20">
        <f>IF(A27="","",IFERROR(INDEX(ChatText,MATCH(1,INDEX((ChatSpeaker=A27)*(ChatTag="Y"),0),0)),""))</f>
      </c>
      <c r="E27" s="20">
        <f>IF(A27="","",IFERROR(INDEX(ChatText,MATCH(1,INDEX((ChatSpeaker=A27)*(ChatTag="T"),0),0)),""))</f>
      </c>
      <c r="F27" s="20">
        <f>IF(A27="","",IFERROR(INDEX(ChatText,MATCH(1,INDEX((ChatSpeaker=A27)*(ChatTag="B"),0),0)),""))</f>
      </c>
      <c r="G27" s="17">
        <f>IF(E27="",0,SUMPRODUCT((Items[ID]&lt;&gt;"")*ISNUMBER(SEARCH(" "&amp;Items[ID]&amp;" "," "&amp;SUBSTITUTE(SUBSTITUTE(SUBSTITUTE(SUBSTITUTE(SUBSTITUTE(SUBSTITUTE(SUBSTITUTE(E27,","," "),"."," "),";"," "),":"," "),"("," "),")"," "),"/"," ")&amp;" "))))</f>
      </c>
      <c r="H27" s="17">
        <f>IF(E27="",0,SUMPRODUCT((Items[ID]&lt;&gt;"")*(Items[Owner]=A27)*(Items[In sprint]=1)*ISNUMBER(SEARCH(" "&amp;Items[ID]&amp;" "," "&amp;SUBSTITUTE(SUBSTITUTE(SUBSTITUTE(SUBSTITUTE(SUBSTITUTE(SUBSTITUTE(SUBSTITUTE(E27,","," "),"."," "),";"," "),":"," "),"("," "),")"," "),"/"," ")&amp;" "))))</f>
      </c>
      <c r="I27" s="17">
        <f>IF(F27="","",IF(OR(LOWER(TRIM(F27))={"none","no","nothing","n/a","na","-","nope","no blockers","none.","nil"}),"","Y"))</f>
      </c>
      <c r="J27" s="17">
        <f>IF(D27="","",IF(OR(ISNUMBER(SEARCH({"done","finished","completed","closed","merged"},D27))),IFERROR(INDEX(Items[ID],MATCH(1,INDEX((Items[ID]&lt;&gt;"")*(Items[State]&lt;&gt;"DONE")*ISNUMBER(SEARCH(" "&amp;Items[ID]&amp;" "," "&amp;SUBSTITUTE(SUBSTITUTE(SUBSTITUTE(SUBSTITUTE(SUBSTITUTE(SUBSTITUTE(SUBSTITUTE(D27,","," "),"."," "),";"," "),":"," "),"("," "),")"," "),"/"," ")&amp;" ")),0),0)),""),""))</f>
      </c>
      <c r="K27" s="20">
        <f>IF(A27="","",TRIM(IF(C27=0,"silent; ","")&amp;IF(AND(N(C27)&gt;0,D27=""),"no Y; ","")&amp;IF(AND(N(C27)&gt;0,E27=""),"no T; ","")&amp;IF(AND(N(C27)&gt;0,F27=""),"no B; ","")&amp;IF(AND(E27&lt;&gt;"",G27=0),"no task id in T; ","")&amp;IF(AND(G27&gt;0,H27=0),"T names no task of yours in this sprint; ","")&amp;IF(I27="Y","blocker: "&amp;F27&amp;"; ","")))</f>
      </c>
      <c r="L27" s="20">
        <f>IF(A27="","",IF(C27=0,"@"&amp;A27&amp;" please post Y: / T: / B: for today.",IF(TRIM(IF(AND(N(C27)&gt;0,D27=""),"no Y; ","")&amp;IF(AND(N(C27)&gt;0,E27=""),"no T; ","")&amp;IF(AND(N(C27)&gt;0,F27=""),"no B; ","")&amp;IF(AND(E27&lt;&gt;"",G27=0),"no task id in T; ","")&amp;IF(AND(G27&gt;0,H27=0),"T names no task of yours in this sprint; ",""))="","","@"&amp;A27&amp;" please fix: "&amp;TRIM(IF(AND(N(C27)&gt;0,D27=""),"no Y; ","")&amp;IF(AND(N(C27)&gt;0,E27=""),"no T; ","")&amp;IF(AND(N(C27)&gt;0,F27=""),"no B; ","")&amp;IF(AND(E27&lt;&gt;"",G27=0),"no task id in T; ","")&amp;IF(AND(G27&gt;0,H27=0),"T names no task of yours in this sprint; ","")))))</f>
      </c>
      <c r="M27" s="11">
        <f>IF(N27="","",StandupDate)</f>
      </c>
      <c r="N27" s="17">
        <f>IF(J27&lt;&gt;"",J27,IF(I27="Y",IF(IFERROR(INDEX(Items[ID],MATCH(1,INDEX((Items[ID]&lt;&gt;"")*ISNUMBER(SEARCH(" "&amp;Items[ID]&amp;" "," "&amp;SUBSTITUTE(SUBSTITUTE(SUBSTITUTE(SUBSTITUTE(SUBSTITUTE(SUBSTITUTE(SUBSTITUTE(F27,",","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"&amp;SUBSTITUTE(SUBSTITUTE(SUBSTITUTE(SUBSTITUTE(SUBSTITUTE(SUBSTITUTE(SUBSTITUTE(F27,","," "),"."," "),";"," "),":"," "),"("," "),")"," "),"/"," ")&amp;" ")),0),0)),""),IFERROR(INDEX(Items[ID],MATCH(1,INDEX((Items[ID]&lt;&gt;"")*(Items[Owner]=A27)*ISNUMBER(SEARCH(" "&amp;Items[ID]&amp;" "," "&amp;SUBSTITUTE(SUBSTITUTE(SUBSTITUTE(SUBSTITUTE(SUBSTITUTE(SUBSTITUTE(SUBSTITUTE(E27,","," "),"."," "),";"," "),":"," "),"("," "),")"," "),"/"," ")&amp;" ")),0),0)),"")),""))</f>
      </c>
      <c r="O27" s="17">
        <f>IF(N27="","",IF(J27&lt;&gt;"","done","block"))</f>
      </c>
      <c r="P27" s="17">
        <f>IF(O27="block",F27,"")</f>
      </c>
    </row>
    <row r="28">
      <c r="A28" s="17">
        <f>IFERROR(INDEX(Roster[Name],24)&amp;"","")</f>
      </c>
      <c r="B28" s="17">
        <f>IF(A28="","",INDEX(Roster[Team],24)&amp;"")</f>
      </c>
      <c r="C28" s="17">
        <f>IF(OR(A28="",COUNTA(ChatPaste)=0),"",COUNTIF(ChatSpeaker,A28))</f>
      </c>
      <c r="D28" s="20">
        <f>IF(A28="","",IFERROR(INDEX(ChatText,MATCH(1,INDEX((ChatSpeaker=A28)*(ChatTag="Y"),0),0)),""))</f>
      </c>
      <c r="E28" s="20">
        <f>IF(A28="","",IFERROR(INDEX(ChatText,MATCH(1,INDEX((ChatSpeaker=A28)*(ChatTag="T"),0),0)),""))</f>
      </c>
      <c r="F28" s="20">
        <f>IF(A28="","",IFERROR(INDEX(ChatText,MATCH(1,INDEX((ChatSpeaker=A28)*(ChatTag="B"),0),0)),""))</f>
      </c>
      <c r="G28" s="17">
        <f>IF(E28="",0,SUMPRODUCT((Items[ID]&lt;&gt;"")*ISNUMBER(SEARCH(" "&amp;Items[ID]&amp;" "," "&amp;SUBSTITUTE(SUBSTITUTE(SUBSTITUTE(SUBSTITUTE(SUBSTITUTE(SUBSTITUTE(SUBSTITUTE(E28,","," "),"."," "),";"," "),":"," "),"("," "),")"," "),"/"," ")&amp;" "))))</f>
      </c>
      <c r="H28" s="17">
        <f>IF(E28="",0,SUMPRODUCT((Items[ID]&lt;&gt;"")*(Items[Owner]=A28)*(Items[In sprint]=1)*ISNUMBER(SEARCH(" "&amp;Items[ID]&amp;" "," "&amp;SUBSTITUTE(SUBSTITUTE(SUBSTITUTE(SUBSTITUTE(SUBSTITUTE(SUBSTITUTE(SUBSTITUTE(E28,","," "),"."," "),";"," "),":"," "),"("," "),")"," "),"/"," ")&amp;" "))))</f>
      </c>
      <c r="I28" s="17">
        <f>IF(F28="","",IF(OR(LOWER(TRIM(F28))={"none","no","nothing","n/a","na","-","nope","no blockers","none.","nil"}),"","Y"))</f>
      </c>
      <c r="J28" s="17">
        <f>IF(D28="","",IF(OR(ISNUMBER(SEARCH({"done","finished","completed","closed","merged"},D28))),IFERROR(INDEX(Items[ID],MATCH(1,INDEX((Items[ID]&lt;&gt;"")*(Items[State]&lt;&gt;"DONE")*ISNUMBER(SEARCH(" "&amp;Items[ID]&amp;" "," "&amp;SUBSTITUTE(SUBSTITUTE(SUBSTITUTE(SUBSTITUTE(SUBSTITUTE(SUBSTITUTE(SUBSTITUTE(D28,","," "),"."," "),";"," "),":"," "),"("," "),")"," "),"/"," ")&amp;" ")),0),0)),""),""))</f>
      </c>
      <c r="K28" s="20">
        <f>IF(A28="","",TRIM(IF(C28=0,"silent; ","")&amp;IF(AND(N(C28)&gt;0,D28=""),"no Y; ","")&amp;IF(AND(N(C28)&gt;0,E28=""),"no T; ","")&amp;IF(AND(N(C28)&gt;0,F28=""),"no B; ","")&amp;IF(AND(E28&lt;&gt;"",G28=0),"no task id in T; ","")&amp;IF(AND(G28&gt;0,H28=0),"T names no task of yours in this sprint; ","")&amp;IF(I28="Y","blocker: "&amp;F28&amp;"; ","")))</f>
      </c>
      <c r="L28" s="20">
        <f>IF(A28="","",IF(C28=0,"@"&amp;A28&amp;" please post Y: / T: / B: for today.",IF(TRIM(IF(AND(N(C28)&gt;0,D28=""),"no Y; ","")&amp;IF(AND(N(C28)&gt;0,E28=""),"no T; ","")&amp;IF(AND(N(C28)&gt;0,F28=""),"no B; ","")&amp;IF(AND(E28&lt;&gt;"",G28=0),"no task id in T; ","")&amp;IF(AND(G28&gt;0,H28=0),"T names no task of yours in this sprint; ",""))="","","@"&amp;A28&amp;" please fix: "&amp;TRIM(IF(AND(N(C28)&gt;0,D28=""),"no Y; ","")&amp;IF(AND(N(C28)&gt;0,E28=""),"no T; ","")&amp;IF(AND(N(C28)&gt;0,F28=""),"no B; ","")&amp;IF(AND(E28&lt;&gt;"",G28=0),"no task id in T; ","")&amp;IF(AND(G28&gt;0,H28=0),"T names no task of yours in this sprint; ","")))))</f>
      </c>
      <c r="M28" s="11">
        <f>IF(N28="","",StandupDate)</f>
      </c>
      <c r="N28" s="17">
        <f>IF(J28&lt;&gt;"",J28,IF(I28="Y",IF(IFERROR(INDEX(Items[ID],MATCH(1,INDEX((Items[ID]&lt;&gt;"")*ISNUMBER(SEARCH(" "&amp;Items[ID]&amp;" "," "&amp;SUBSTITUTE(SUBSTITUTE(SUBSTITUTE(SUBSTITUTE(SUBSTITUTE(SUBSTITUTE(SUBSTITUTE(F28,",","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"&amp;SUBSTITUTE(SUBSTITUTE(SUBSTITUTE(SUBSTITUTE(SUBSTITUTE(SUBSTITUTE(SUBSTITUTE(F28,","," "),"."," "),";"," "),":"," "),"("," "),")"," "),"/"," ")&amp;" ")),0),0)),""),IFERROR(INDEX(Items[ID],MATCH(1,INDEX((Items[ID]&lt;&gt;"")*(Items[Owner]=A28)*ISNUMBER(SEARCH(" "&amp;Items[ID]&amp;" "," "&amp;SUBSTITUTE(SUBSTITUTE(SUBSTITUTE(SUBSTITUTE(SUBSTITUTE(SUBSTITUTE(SUBSTITUTE(E28,","," "),"."," "),";"," "),":"," "),"("," "),")"," "),"/"," ")&amp;" ")),0),0)),"")),""))</f>
      </c>
      <c r="O28" s="17">
        <f>IF(N28="","",IF(J28&lt;&gt;"","done","block"))</f>
      </c>
      <c r="P28" s="17">
        <f>IF(O28="block",F28,"")</f>
      </c>
    </row>
    <row r="29">
      <c r="A29" s="17">
        <f>IFERROR(INDEX(Roster[Name],25)&amp;"","")</f>
      </c>
      <c r="B29" s="17">
        <f>IF(A29="","",INDEX(Roster[Team],25)&amp;"")</f>
      </c>
      <c r="C29" s="17">
        <f>IF(OR(A29="",COUNTA(ChatPaste)=0),"",COUNTIF(ChatSpeaker,A29))</f>
      </c>
      <c r="D29" s="20">
        <f>IF(A29="","",IFERROR(INDEX(ChatText,MATCH(1,INDEX((ChatSpeaker=A29)*(ChatTag="Y"),0),0)),""))</f>
      </c>
      <c r="E29" s="20">
        <f>IF(A29="","",IFERROR(INDEX(ChatText,MATCH(1,INDEX((ChatSpeaker=A29)*(ChatTag="T"),0),0)),""))</f>
      </c>
      <c r="F29" s="20">
        <f>IF(A29="","",IFERROR(INDEX(ChatText,MATCH(1,INDEX((ChatSpeaker=A29)*(ChatTag="B"),0),0)),""))</f>
      </c>
      <c r="G29" s="17">
        <f>IF(E29="",0,SUMPRODUCT((Items[ID]&lt;&gt;"")*ISNUMBER(SEARCH(" "&amp;Items[ID]&amp;" "," "&amp;SUBSTITUTE(SUBSTITUTE(SUBSTITUTE(SUBSTITUTE(SUBSTITUTE(SUBSTITUTE(SUBSTITUTE(E29,","," "),"."," "),";"," "),":"," "),"("," "),")"," "),"/"," ")&amp;" "))))</f>
      </c>
      <c r="H29" s="17">
        <f>IF(E29="",0,SUMPRODUCT((Items[ID]&lt;&gt;"")*(Items[Owner]=A29)*(Items[In sprint]=1)*ISNUMBER(SEARCH(" "&amp;Items[ID]&amp;" "," "&amp;SUBSTITUTE(SUBSTITUTE(SUBSTITUTE(SUBSTITUTE(SUBSTITUTE(SUBSTITUTE(SUBSTITUTE(E29,","," "),"."," "),";"," "),":"," "),"("," "),")"," "),"/"," ")&amp;" "))))</f>
      </c>
      <c r="I29" s="17">
        <f>IF(F29="","",IF(OR(LOWER(TRIM(F29))={"none","no","nothing","n/a","na","-","nope","no blockers","none.","nil"}),"","Y"))</f>
      </c>
      <c r="J29" s="17">
        <f>IF(D29="","",IF(OR(ISNUMBER(SEARCH({"done","finished","completed","closed","merged"},D29))),IFERROR(INDEX(Items[ID],MATCH(1,INDEX((Items[ID]&lt;&gt;"")*(Items[State]&lt;&gt;"DONE")*ISNUMBER(SEARCH(" "&amp;Items[ID]&amp;" "," "&amp;SUBSTITUTE(SUBSTITUTE(SUBSTITUTE(SUBSTITUTE(SUBSTITUTE(SUBSTITUTE(SUBSTITUTE(D29,","," "),"."," "),";"," "),":"," "),"("," "),")"," "),"/"," ")&amp;" ")),0),0)),""),""))</f>
      </c>
      <c r="K29" s="20">
        <f>IF(A29="","",TRIM(IF(C29=0,"silent; ","")&amp;IF(AND(N(C29)&gt;0,D29=""),"no Y; ","")&amp;IF(AND(N(C29)&gt;0,E29=""),"no T; ","")&amp;IF(AND(N(C29)&gt;0,F29=""),"no B; ","")&amp;IF(AND(E29&lt;&gt;"",G29=0),"no task id in T; ","")&amp;IF(AND(G29&gt;0,H29=0),"T names no task of yours in this sprint; ","")&amp;IF(I29="Y","blocker: "&amp;F29&amp;"; ","")))</f>
      </c>
      <c r="L29" s="20">
        <f>IF(A29="","",IF(C29=0,"@"&amp;A29&amp;" please post Y: / T: / B: for today.",IF(TRIM(IF(AND(N(C29)&gt;0,D29=""),"no Y; ","")&amp;IF(AND(N(C29)&gt;0,E29=""),"no T; ","")&amp;IF(AND(N(C29)&gt;0,F29=""),"no B; ","")&amp;IF(AND(E29&lt;&gt;"",G29=0),"no task id in T; ","")&amp;IF(AND(G29&gt;0,H29=0),"T names no task of yours in this sprint; ",""))="","","@"&amp;A29&amp;" please fix: "&amp;TRIM(IF(AND(N(C29)&gt;0,D29=""),"no Y; ","")&amp;IF(AND(N(C29)&gt;0,E29=""),"no T; ","")&amp;IF(AND(N(C29)&gt;0,F29=""),"no B; ","")&amp;IF(AND(E29&lt;&gt;"",G29=0),"no task id in T; ","")&amp;IF(AND(G29&gt;0,H29=0),"T names no task of yours in this sprint; ","")))))</f>
      </c>
      <c r="M29" s="11">
        <f>IF(N29="","",StandupDate)</f>
      </c>
      <c r="N29" s="17">
        <f>IF(J29&lt;&gt;"",J29,IF(I29="Y",IF(IFERROR(INDEX(Items[ID],MATCH(1,INDEX((Items[ID]&lt;&gt;"")*ISNUMBER(SEARCH(" "&amp;Items[ID]&amp;" "," "&amp;SUBSTITUTE(SUBSTITUTE(SUBSTITUTE(SUBSTITUTE(SUBSTITUTE(SUBSTITUTE(SUBSTITUTE(F29,",","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"&amp;SUBSTITUTE(SUBSTITUTE(SUBSTITUTE(SUBSTITUTE(SUBSTITUTE(SUBSTITUTE(SUBSTITUTE(F29,","," "),"."," "),";"," "),":"," "),"("," "),")"," "),"/"," ")&amp;" ")),0),0)),""),IFERROR(INDEX(Items[ID],MATCH(1,INDEX((Items[ID]&lt;&gt;"")*(Items[Owner]=A29)*ISNUMBER(SEARCH(" "&amp;Items[ID]&amp;" "," "&amp;SUBSTITUTE(SUBSTITUTE(SUBSTITUTE(SUBSTITUTE(SUBSTITUTE(SUBSTITUTE(SUBSTITUTE(E29,","," "),"."," "),";"," "),":"," "),"("," "),")"," "),"/"," ")&amp;" ")),0),0)),"")),""))</f>
      </c>
      <c r="O29" s="17">
        <f>IF(N29="","",IF(J29&lt;&gt;"","done","block"))</f>
      </c>
      <c r="P29" s="17">
        <f>IF(O29="block",F29,"")</f>
      </c>
    </row>
    <row r="30">
      <c r="A30" s="17">
        <f>IFERROR(INDEX(Roster[Name],26)&amp;"","")</f>
      </c>
      <c r="B30" s="17">
        <f>IF(A30="","",INDEX(Roster[Team],26)&amp;"")</f>
      </c>
      <c r="C30" s="17">
        <f>IF(OR(A30="",COUNTA(ChatPaste)=0),"",COUNTIF(ChatSpeaker,A30))</f>
      </c>
      <c r="D30" s="20">
        <f>IF(A30="","",IFERROR(INDEX(ChatText,MATCH(1,INDEX((ChatSpeaker=A30)*(ChatTag="Y"),0),0)),""))</f>
      </c>
      <c r="E30" s="20">
        <f>IF(A30="","",IFERROR(INDEX(ChatText,MATCH(1,INDEX((ChatSpeaker=A30)*(ChatTag="T"),0),0)),""))</f>
      </c>
      <c r="F30" s="20">
        <f>IF(A30="","",IFERROR(INDEX(ChatText,MATCH(1,INDEX((ChatSpeaker=A30)*(ChatTag="B"),0),0)),""))</f>
      </c>
      <c r="G30" s="17">
        <f>IF(E30="",0,SUMPRODUCT((Items[ID]&lt;&gt;"")*ISNUMBER(SEARCH(" "&amp;Items[ID]&amp;" "," "&amp;SUBSTITUTE(SUBSTITUTE(SUBSTITUTE(SUBSTITUTE(SUBSTITUTE(SUBSTITUTE(SUBSTITUTE(E30,","," "),"."," "),";"," "),":"," "),"("," "),")"," "),"/"," ")&amp;" "))))</f>
      </c>
      <c r="H30" s="17">
        <f>IF(E30="",0,SUMPRODUCT((Items[ID]&lt;&gt;"")*(Items[Owner]=A30)*(Items[In sprint]=1)*ISNUMBER(SEARCH(" "&amp;Items[ID]&amp;" "," "&amp;SUBSTITUTE(SUBSTITUTE(SUBSTITUTE(SUBSTITUTE(SUBSTITUTE(SUBSTITUTE(SUBSTITUTE(E30,","," "),"."," "),";"," "),":"," "),"("," "),")"," "),"/"," ")&amp;" "))))</f>
      </c>
      <c r="I30" s="17">
        <f>IF(F30="","",IF(OR(LOWER(TRIM(F30))={"none","no","nothing","n/a","na","-","nope","no blockers","none.","nil"}),"","Y"))</f>
      </c>
      <c r="J30" s="17">
        <f>IF(D30="","",IF(OR(ISNUMBER(SEARCH({"done","finished","completed","closed","merged"},D30))),IFERROR(INDEX(Items[ID],MATCH(1,INDEX((Items[ID]&lt;&gt;"")*(Items[State]&lt;&gt;"DONE")*ISNUMBER(SEARCH(" "&amp;Items[ID]&amp;" "," "&amp;SUBSTITUTE(SUBSTITUTE(SUBSTITUTE(SUBSTITUTE(SUBSTITUTE(SUBSTITUTE(SUBSTITUTE(D30,","," "),"."," "),";"," "),":"," "),"("," "),")"," "),"/"," ")&amp;" ")),0),0)),""),""))</f>
      </c>
      <c r="K30" s="20">
        <f>IF(A30="","",TRIM(IF(C30=0,"silent; ","")&amp;IF(AND(N(C30)&gt;0,D30=""),"no Y; ","")&amp;IF(AND(N(C30)&gt;0,E30=""),"no T; ","")&amp;IF(AND(N(C30)&gt;0,F30=""),"no B; ","")&amp;IF(AND(E30&lt;&gt;"",G30=0),"no task id in T; ","")&amp;IF(AND(G30&gt;0,H30=0),"T names no task of yours in this sprint; ","")&amp;IF(I30="Y","blocker: "&amp;F30&amp;"; ","")))</f>
      </c>
      <c r="L30" s="20">
        <f>IF(A30="","",IF(C30=0,"@"&amp;A30&amp;" please post Y: / T: / B: for today.",IF(TRIM(IF(AND(N(C30)&gt;0,D30=""),"no Y; ","")&amp;IF(AND(N(C30)&gt;0,E30=""),"no T; ","")&amp;IF(AND(N(C30)&gt;0,F30=""),"no B; ","")&amp;IF(AND(E30&lt;&gt;"",G30=0),"no task id in T; ","")&amp;IF(AND(G30&gt;0,H30=0),"T names no task of yours in this sprint; ",""))="","","@"&amp;A30&amp;" please fix: "&amp;TRIM(IF(AND(N(C30)&gt;0,D30=""),"no Y; ","")&amp;IF(AND(N(C30)&gt;0,E30=""),"no T; ","")&amp;IF(AND(N(C30)&gt;0,F30=""),"no B; ","")&amp;IF(AND(E30&lt;&gt;"",G30=0),"no task id in T; ","")&amp;IF(AND(G30&gt;0,H30=0),"T names no task of yours in this sprint; ","")))))</f>
      </c>
      <c r="M30" s="11">
        <f>IF(N30="","",StandupDate)</f>
      </c>
      <c r="N30" s="17">
        <f>IF(J30&lt;&gt;"",J30,IF(I30="Y",IF(IFERROR(INDEX(Items[ID],MATCH(1,INDEX((Items[ID]&lt;&gt;"")*ISNUMBER(SEARCH(" "&amp;Items[ID]&amp;" "," "&amp;SUBSTITUTE(SUBSTITUTE(SUBSTITUTE(SUBSTITUTE(SUBSTITUTE(SUBSTITUTE(SUBSTITUTE(F30,",","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"&amp;SUBSTITUTE(SUBSTITUTE(SUBSTITUTE(SUBSTITUTE(SUBSTITUTE(SUBSTITUTE(SUBSTITUTE(F30,","," "),"."," "),";"," "),":"," "),"("," "),")"," "),"/"," ")&amp;" ")),0),0)),""),IFERROR(INDEX(Items[ID],MATCH(1,INDEX((Items[ID]&lt;&gt;"")*(Items[Owner]=A30)*ISNUMBER(SEARCH(" "&amp;Items[ID]&amp;" "," "&amp;SUBSTITUTE(SUBSTITUTE(SUBSTITUTE(SUBSTITUTE(SUBSTITUTE(SUBSTITUTE(SUBSTITUTE(E30,","," "),"."," "),";"," "),":"," "),"("," "),")"," "),"/"," ")&amp;" ")),0),0)),"")),""))</f>
      </c>
      <c r="O30" s="17">
        <f>IF(N30="","",IF(J30&lt;&gt;"","done","block"))</f>
      </c>
      <c r="P30" s="17">
        <f>IF(O30="block",F30,"")</f>
      </c>
    </row>
    <row r="31">
      <c r="A31" s="17">
        <f>IFERROR(INDEX(Roster[Name],27)&amp;"","")</f>
      </c>
      <c r="B31" s="17">
        <f>IF(A31="","",INDEX(Roster[Team],27)&amp;"")</f>
      </c>
      <c r="C31" s="17">
        <f>IF(OR(A31="",COUNTA(ChatPaste)=0),"",COUNTIF(ChatSpeaker,A31))</f>
      </c>
      <c r="D31" s="20">
        <f>IF(A31="","",IFERROR(INDEX(ChatText,MATCH(1,INDEX((ChatSpeaker=A31)*(ChatTag="Y"),0),0)),""))</f>
      </c>
      <c r="E31" s="20">
        <f>IF(A31="","",IFERROR(INDEX(ChatText,MATCH(1,INDEX((ChatSpeaker=A31)*(ChatTag="T"),0),0)),""))</f>
      </c>
      <c r="F31" s="20">
        <f>IF(A31="","",IFERROR(INDEX(ChatText,MATCH(1,INDEX((ChatSpeaker=A31)*(ChatTag="B"),0),0)),""))</f>
      </c>
      <c r="G31" s="17">
        <f>IF(E31="",0,SUMPRODUCT((Items[ID]&lt;&gt;"")*ISNUMBER(SEARCH(" "&amp;Items[ID]&amp;" "," "&amp;SUBSTITUTE(SUBSTITUTE(SUBSTITUTE(SUBSTITUTE(SUBSTITUTE(SUBSTITUTE(SUBSTITUTE(E31,","," "),"."," "),";"," "),":"," "),"("," "),")"," "),"/"," ")&amp;" "))))</f>
      </c>
      <c r="H31" s="17">
        <f>IF(E31="",0,SUMPRODUCT((Items[ID]&lt;&gt;"")*(Items[Owner]=A31)*(Items[In sprint]=1)*ISNUMBER(SEARCH(" "&amp;Items[ID]&amp;" "," "&amp;SUBSTITUTE(SUBSTITUTE(SUBSTITUTE(SUBSTITUTE(SUBSTITUTE(SUBSTITUTE(SUBSTITUTE(E31,","," "),"."," "),";"," "),":"," "),"("," "),")"," "),"/"," ")&amp;" "))))</f>
      </c>
      <c r="I31" s="17">
        <f>IF(F31="","",IF(OR(LOWER(TRIM(F31))={"none","no","nothing","n/a","na","-","nope","no blockers","none.","nil"}),"","Y"))</f>
      </c>
      <c r="J31" s="17">
        <f>IF(D31="","",IF(OR(ISNUMBER(SEARCH({"done","finished","completed","closed","merged"},D31))),IFERROR(INDEX(Items[ID],MATCH(1,INDEX((Items[ID]&lt;&gt;"")*(Items[State]&lt;&gt;"DONE")*ISNUMBER(SEARCH(" "&amp;Items[ID]&amp;" "," "&amp;SUBSTITUTE(SUBSTITUTE(SUBSTITUTE(SUBSTITUTE(SUBSTITUTE(SUBSTITUTE(SUBSTITUTE(D31,","," "),"."," "),";"," "),":"," "),"("," "),")"," "),"/"," ")&amp;" ")),0),0)),""),""))</f>
      </c>
      <c r="K31" s="20">
        <f>IF(A31="","",TRIM(IF(C31=0,"silent; ","")&amp;IF(AND(N(C31)&gt;0,D31=""),"no Y; ","")&amp;IF(AND(N(C31)&gt;0,E31=""),"no T; ","")&amp;IF(AND(N(C31)&gt;0,F31=""),"no B; ","")&amp;IF(AND(E31&lt;&gt;"",G31=0),"no task id in T; ","")&amp;IF(AND(G31&gt;0,H31=0),"T names no task of yours in this sprint; ","")&amp;IF(I31="Y","blocker: "&amp;F31&amp;"; ","")))</f>
      </c>
      <c r="L31" s="20">
        <f>IF(A31="","",IF(C31=0,"@"&amp;A31&amp;" please post Y: / T: / B: for today.",IF(TRIM(IF(AND(N(C31)&gt;0,D31=""),"no Y; ","")&amp;IF(AND(N(C31)&gt;0,E31=""),"no T; ","")&amp;IF(AND(N(C31)&gt;0,F31=""),"no B; ","")&amp;IF(AND(E31&lt;&gt;"",G31=0),"no task id in T; ","")&amp;IF(AND(G31&gt;0,H31=0),"T names no task of yours in this sprint; ",""))="","","@"&amp;A31&amp;" please fix: "&amp;TRIM(IF(AND(N(C31)&gt;0,D31=""),"no Y; ","")&amp;IF(AND(N(C31)&gt;0,E31=""),"no T; ","")&amp;IF(AND(N(C31)&gt;0,F31=""),"no B; ","")&amp;IF(AND(E31&lt;&gt;"",G31=0),"no task id in T; ","")&amp;IF(AND(G31&gt;0,H31=0),"T names no task of yours in this sprint; ","")))))</f>
      </c>
      <c r="M31" s="11">
        <f>IF(N31="","",StandupDate)</f>
      </c>
      <c r="N31" s="17">
        <f>IF(J31&lt;&gt;"",J31,IF(I31="Y",IF(IFERROR(INDEX(Items[ID],MATCH(1,INDEX((Items[ID]&lt;&gt;"")*ISNUMBER(SEARCH(" "&amp;Items[ID]&amp;" "," "&amp;SUBSTITUTE(SUBSTITUTE(SUBSTITUTE(SUBSTITUTE(SUBSTITUTE(SUBSTITUTE(SUBSTITUTE(F31,",","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"&amp;SUBSTITUTE(SUBSTITUTE(SUBSTITUTE(SUBSTITUTE(SUBSTITUTE(SUBSTITUTE(SUBSTITUTE(F31,","," "),"."," "),";"," "),":"," "),"("," "),")"," "),"/"," ")&amp;" ")),0),0)),""),IFERROR(INDEX(Items[ID],MATCH(1,INDEX((Items[ID]&lt;&gt;"")*(Items[Owner]=A31)*ISNUMBER(SEARCH(" "&amp;Items[ID]&amp;" "," "&amp;SUBSTITUTE(SUBSTITUTE(SUBSTITUTE(SUBSTITUTE(SUBSTITUTE(SUBSTITUTE(SUBSTITUTE(E31,","," "),"."," "),";"," "),":"," "),"("," "),")"," "),"/"," ")&amp;" ")),0),0)),"")),""))</f>
      </c>
      <c r="O31" s="17">
        <f>IF(N31="","",IF(J31&lt;&gt;"","done","block"))</f>
      </c>
      <c r="P31" s="17">
        <f>IF(O31="block",F31,"")</f>
      </c>
    </row>
    <row r="32">
      <c r="A32" s="17">
        <f>IFERROR(INDEX(Roster[Name],28)&amp;"","")</f>
      </c>
      <c r="B32" s="17">
        <f>IF(A32="","",INDEX(Roster[Team],28)&amp;"")</f>
      </c>
      <c r="C32" s="17">
        <f>IF(OR(A32="",COUNTA(ChatPaste)=0),"",COUNTIF(ChatSpeaker,A32))</f>
      </c>
      <c r="D32" s="20">
        <f>IF(A32="","",IFERROR(INDEX(ChatText,MATCH(1,INDEX((ChatSpeaker=A32)*(ChatTag="Y"),0),0)),""))</f>
      </c>
      <c r="E32" s="20">
        <f>IF(A32="","",IFERROR(INDEX(ChatText,MATCH(1,INDEX((ChatSpeaker=A32)*(ChatTag="T"),0),0)),""))</f>
      </c>
      <c r="F32" s="20">
        <f>IF(A32="","",IFERROR(INDEX(ChatText,MATCH(1,INDEX((ChatSpeaker=A32)*(ChatTag="B"),0),0)),""))</f>
      </c>
      <c r="G32" s="17">
        <f>IF(E32="",0,SUMPRODUCT((Items[ID]&lt;&gt;"")*ISNUMBER(SEARCH(" "&amp;Items[ID]&amp;" "," "&amp;SUBSTITUTE(SUBSTITUTE(SUBSTITUTE(SUBSTITUTE(SUBSTITUTE(SUBSTITUTE(SUBSTITUTE(E32,","," "),"."," "),";"," "),":"," "),"("," "),")"," "),"/"," ")&amp;" "))))</f>
      </c>
      <c r="H32" s="17">
        <f>IF(E32="",0,SUMPRODUCT((Items[ID]&lt;&gt;"")*(Items[Owner]=A32)*(Items[In sprint]=1)*ISNUMBER(SEARCH(" "&amp;Items[ID]&amp;" "," "&amp;SUBSTITUTE(SUBSTITUTE(SUBSTITUTE(SUBSTITUTE(SUBSTITUTE(SUBSTITUTE(SUBSTITUTE(E32,","," "),"."," "),";"," "),":"," "),"("," "),")"," "),"/"," ")&amp;" "))))</f>
      </c>
      <c r="I32" s="17">
        <f>IF(F32="","",IF(OR(LOWER(TRIM(F32))={"none","no","nothing","n/a","na","-","nope","no blockers","none.","nil"}),"","Y"))</f>
      </c>
      <c r="J32" s="17">
        <f>IF(D32="","",IF(OR(ISNUMBER(SEARCH({"done","finished","completed","closed","merged"},D32))),IFERROR(INDEX(Items[ID],MATCH(1,INDEX((Items[ID]&lt;&gt;"")*(Items[State]&lt;&gt;"DONE")*ISNUMBER(SEARCH(" "&amp;Items[ID]&amp;" "," "&amp;SUBSTITUTE(SUBSTITUTE(SUBSTITUTE(SUBSTITUTE(SUBSTITUTE(SUBSTITUTE(SUBSTITUTE(D32,","," "),"."," "),";"," "),":"," "),"("," "),")"," "),"/"," ")&amp;" ")),0),0)),""),""))</f>
      </c>
      <c r="K32" s="20">
        <f>IF(A32="","",TRIM(IF(C32=0,"silent; ","")&amp;IF(AND(N(C32)&gt;0,D32=""),"no Y; ","")&amp;IF(AND(N(C32)&gt;0,E32=""),"no T; ","")&amp;IF(AND(N(C32)&gt;0,F32=""),"no B; ","")&amp;IF(AND(E32&lt;&gt;"",G32=0),"no task id in T; ","")&amp;IF(AND(G32&gt;0,H32=0),"T names no task of yours in this sprint; ","")&amp;IF(I32="Y","blocker: "&amp;F32&amp;"; ","")))</f>
      </c>
      <c r="L32" s="20">
        <f>IF(A32="","",IF(C32=0,"@"&amp;A32&amp;" please post Y: / T: / B: for today.",IF(TRIM(IF(AND(N(C32)&gt;0,D32=""),"no Y; ","")&amp;IF(AND(N(C32)&gt;0,E32=""),"no T; ","")&amp;IF(AND(N(C32)&gt;0,F32=""),"no B; ","")&amp;IF(AND(E32&lt;&gt;"",G32=0),"no task id in T; ","")&amp;IF(AND(G32&gt;0,H32=0),"T names no task of yours in this sprint; ",""))="","","@"&amp;A32&amp;" please fix: "&amp;TRIM(IF(AND(N(C32)&gt;0,D32=""),"no Y; ","")&amp;IF(AND(N(C32)&gt;0,E32=""),"no T; ","")&amp;IF(AND(N(C32)&gt;0,F32=""),"no B; ","")&amp;IF(AND(E32&lt;&gt;"",G32=0),"no task id in T; ","")&amp;IF(AND(G32&gt;0,H32=0),"T names no task of yours in this sprint; ","")))))</f>
      </c>
      <c r="M32" s="11">
        <f>IF(N32="","",StandupDate)</f>
      </c>
      <c r="N32" s="17">
        <f>IF(J32&lt;&gt;"",J32,IF(I32="Y",IF(IFERROR(INDEX(Items[ID],MATCH(1,INDEX((Items[ID]&lt;&gt;"")*ISNUMBER(SEARCH(" "&amp;Items[ID]&amp;" "," "&amp;SUBSTITUTE(SUBSTITUTE(SUBSTITUTE(SUBSTITUTE(SUBSTITUTE(SUBSTITUTE(SUBSTITUTE(F32,",","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"&amp;SUBSTITUTE(SUBSTITUTE(SUBSTITUTE(SUBSTITUTE(SUBSTITUTE(SUBSTITUTE(SUBSTITUTE(F32,","," "),"."," "),";"," "),":"," "),"("," "),")"," "),"/"," ")&amp;" ")),0),0)),""),IFERROR(INDEX(Items[ID],MATCH(1,INDEX((Items[ID]&lt;&gt;"")*(Items[Owner]=A32)*ISNUMBER(SEARCH(" "&amp;Items[ID]&amp;" "," "&amp;SUBSTITUTE(SUBSTITUTE(SUBSTITUTE(SUBSTITUTE(SUBSTITUTE(SUBSTITUTE(SUBSTITUTE(E32,","," "),"."," "),";"," "),":"," "),"("," "),")"," "),"/"," ")&amp;" ")),0),0)),"")),""))</f>
      </c>
      <c r="O32" s="17">
        <f>IF(N32="","",IF(J32&lt;&gt;"","done","block"))</f>
      </c>
      <c r="P32" s="17">
        <f>IF(O32="block",F32,"")</f>
      </c>
    </row>
    <row r="33">
      <c r="A33" s="17">
        <f>IFERROR(INDEX(Roster[Name],29)&amp;"","")</f>
      </c>
      <c r="B33" s="17">
        <f>IF(A33="","",INDEX(Roster[Team],29)&amp;"")</f>
      </c>
      <c r="C33" s="17">
        <f>IF(OR(A33="",COUNTA(ChatPaste)=0),"",COUNTIF(ChatSpeaker,A33))</f>
      </c>
      <c r="D33" s="20">
        <f>IF(A33="","",IFERROR(INDEX(ChatText,MATCH(1,INDEX((ChatSpeaker=A33)*(ChatTag="Y"),0),0)),""))</f>
      </c>
      <c r="E33" s="20">
        <f>IF(A33="","",IFERROR(INDEX(ChatText,MATCH(1,INDEX((ChatSpeaker=A33)*(ChatTag="T"),0),0)),""))</f>
      </c>
      <c r="F33" s="20">
        <f>IF(A33="","",IFERROR(INDEX(ChatText,MATCH(1,INDEX((ChatSpeaker=A33)*(ChatTag="B"),0),0)),""))</f>
      </c>
      <c r="G33" s="17">
        <f>IF(E33="",0,SUMPRODUCT((Items[ID]&lt;&gt;"")*ISNUMBER(SEARCH(" "&amp;Items[ID]&amp;" "," "&amp;SUBSTITUTE(SUBSTITUTE(SUBSTITUTE(SUBSTITUTE(SUBSTITUTE(SUBSTITUTE(SUBSTITUTE(E33,","," "),"."," "),";"," "),":"," "),"("," "),")"," "),"/"," ")&amp;" "))))</f>
      </c>
      <c r="H33" s="17">
        <f>IF(E33="",0,SUMPRODUCT((Items[ID]&lt;&gt;"")*(Items[Owner]=A33)*(Items[In sprint]=1)*ISNUMBER(SEARCH(" "&amp;Items[ID]&amp;" "," "&amp;SUBSTITUTE(SUBSTITUTE(SUBSTITUTE(SUBSTITUTE(SUBSTITUTE(SUBSTITUTE(SUBSTITUTE(E33,","," "),"."," "),";"," "),":"," "),"("," "),")"," "),"/"," ")&amp;" "))))</f>
      </c>
      <c r="I33" s="17">
        <f>IF(F33="","",IF(OR(LOWER(TRIM(F33))={"none","no","nothing","n/a","na","-","nope","no blockers","none.","nil"}),"","Y"))</f>
      </c>
      <c r="J33" s="17">
        <f>IF(D33="","",IF(OR(ISNUMBER(SEARCH({"done","finished","completed","closed","merged"},D33))),IFERROR(INDEX(Items[ID],MATCH(1,INDEX((Items[ID]&lt;&gt;"")*(Items[State]&lt;&gt;"DONE")*ISNUMBER(SEARCH(" "&amp;Items[ID]&amp;" "," "&amp;SUBSTITUTE(SUBSTITUTE(SUBSTITUTE(SUBSTITUTE(SUBSTITUTE(SUBSTITUTE(SUBSTITUTE(D33,","," "),"."," "),";"," "),":"," "),"("," "),")"," "),"/"," ")&amp;" ")),0),0)),""),""))</f>
      </c>
      <c r="K33" s="20">
        <f>IF(A33="","",TRIM(IF(C33=0,"silent; ","")&amp;IF(AND(N(C33)&gt;0,D33=""),"no Y; ","")&amp;IF(AND(N(C33)&gt;0,E33=""),"no T; ","")&amp;IF(AND(N(C33)&gt;0,F33=""),"no B; ","")&amp;IF(AND(E33&lt;&gt;"",G33=0),"no task id in T; ","")&amp;IF(AND(G33&gt;0,H33=0),"T names no task of yours in this sprint; ","")&amp;IF(I33="Y","blocker: "&amp;F33&amp;"; ","")))</f>
      </c>
      <c r="L33" s="20">
        <f>IF(A33="","",IF(C33=0,"@"&amp;A33&amp;" please post Y: / T: / B: for today.",IF(TRIM(IF(AND(N(C33)&gt;0,D33=""),"no Y; ","")&amp;IF(AND(N(C33)&gt;0,E33=""),"no T; ","")&amp;IF(AND(N(C33)&gt;0,F33=""),"no B; ","")&amp;IF(AND(E33&lt;&gt;"",G33=0),"no task id in T; ","")&amp;IF(AND(G33&gt;0,H33=0),"T names no task of yours in this sprint; ",""))="","","@"&amp;A33&amp;" please fix: "&amp;TRIM(IF(AND(N(C33)&gt;0,D33=""),"no Y; ","")&amp;IF(AND(N(C33)&gt;0,E33=""),"no T; ","")&amp;IF(AND(N(C33)&gt;0,F33=""),"no B; ","")&amp;IF(AND(E33&lt;&gt;"",G33=0),"no task id in T; ","")&amp;IF(AND(G33&gt;0,H33=0),"T names no task of yours in this sprint; ","")))))</f>
      </c>
      <c r="M33" s="11">
        <f>IF(N33="","",StandupDate)</f>
      </c>
      <c r="N33" s="17">
        <f>IF(J33&lt;&gt;"",J33,IF(I33="Y",IF(IFERROR(INDEX(Items[ID],MATCH(1,INDEX((Items[ID]&lt;&gt;"")*ISNUMBER(SEARCH(" "&amp;Items[ID]&amp;" "," "&amp;SUBSTITUTE(SUBSTITUTE(SUBSTITUTE(SUBSTITUTE(SUBSTITUTE(SUBSTITUTE(SUBSTITUTE(F33,",","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"&amp;SUBSTITUTE(SUBSTITUTE(SUBSTITUTE(SUBSTITUTE(SUBSTITUTE(SUBSTITUTE(SUBSTITUTE(F33,","," "),"."," "),";"," "),":"," "),"("," "),")"," "),"/"," ")&amp;" ")),0),0)),""),IFERROR(INDEX(Items[ID],MATCH(1,INDEX((Items[ID]&lt;&gt;"")*(Items[Owner]=A33)*ISNUMBER(SEARCH(" "&amp;Items[ID]&amp;" "," "&amp;SUBSTITUTE(SUBSTITUTE(SUBSTITUTE(SUBSTITUTE(SUBSTITUTE(SUBSTITUTE(SUBSTITUTE(E33,","," "),"."," "),";"," "),":"," "),"("," "),")"," "),"/"," ")&amp;" ")),0),0)),"")),""))</f>
      </c>
      <c r="O33" s="17">
        <f>IF(N33="","",IF(J33&lt;&gt;"","done","block"))</f>
      </c>
      <c r="P33" s="17">
        <f>IF(O33="block",F33,"")</f>
      </c>
    </row>
    <row r="34">
      <c r="A34" s="17">
        <f>IFERROR(INDEX(Roster[Name],30)&amp;"","")</f>
      </c>
      <c r="B34" s="17">
        <f>IF(A34="","",INDEX(Roster[Team],30)&amp;"")</f>
      </c>
      <c r="C34" s="17">
        <f>IF(OR(A34="",COUNTA(ChatPaste)=0),"",COUNTIF(ChatSpeaker,A34))</f>
      </c>
      <c r="D34" s="20">
        <f>IF(A34="","",IFERROR(INDEX(ChatText,MATCH(1,INDEX((ChatSpeaker=A34)*(ChatTag="Y"),0),0)),""))</f>
      </c>
      <c r="E34" s="20">
        <f>IF(A34="","",IFERROR(INDEX(ChatText,MATCH(1,INDEX((ChatSpeaker=A34)*(ChatTag="T"),0),0)),""))</f>
      </c>
      <c r="F34" s="20">
        <f>IF(A34="","",IFERROR(INDEX(ChatText,MATCH(1,INDEX((ChatSpeaker=A34)*(ChatTag="B"),0),0)),""))</f>
      </c>
      <c r="G34" s="17">
        <f>IF(E34="",0,SUMPRODUCT((Items[ID]&lt;&gt;"")*ISNUMBER(SEARCH(" "&amp;Items[ID]&amp;" "," "&amp;SUBSTITUTE(SUBSTITUTE(SUBSTITUTE(SUBSTITUTE(SUBSTITUTE(SUBSTITUTE(SUBSTITUTE(E34,","," "),"."," "),";"," "),":"," "),"("," "),")"," "),"/"," ")&amp;" "))))</f>
      </c>
      <c r="H34" s="17">
        <f>IF(E34="",0,SUMPRODUCT((Items[ID]&lt;&gt;"")*(Items[Owner]=A34)*(Items[In sprint]=1)*ISNUMBER(SEARCH(" "&amp;Items[ID]&amp;" "," "&amp;SUBSTITUTE(SUBSTITUTE(SUBSTITUTE(SUBSTITUTE(SUBSTITUTE(SUBSTITUTE(SUBSTITUTE(E34,","," "),"."," "),";"," "),":"," "),"("," "),")"," "),"/"," ")&amp;" "))))</f>
      </c>
      <c r="I34" s="17">
        <f>IF(F34="","",IF(OR(LOWER(TRIM(F34))={"none","no","nothing","n/a","na","-","nope","no blockers","none.","nil"}),"","Y"))</f>
      </c>
      <c r="J34" s="17">
        <f>IF(D34="","",IF(OR(ISNUMBER(SEARCH({"done","finished","completed","closed","merged"},D34))),IFERROR(INDEX(Items[ID],MATCH(1,INDEX((Items[ID]&lt;&gt;"")*(Items[State]&lt;&gt;"DONE")*ISNUMBER(SEARCH(" "&amp;Items[ID]&amp;" "," "&amp;SUBSTITUTE(SUBSTITUTE(SUBSTITUTE(SUBSTITUTE(SUBSTITUTE(SUBSTITUTE(SUBSTITUTE(D34,","," "),"."," "),";"," "),":"," "),"("," "),")"," "),"/"," ")&amp;" ")),0),0)),""),""))</f>
      </c>
      <c r="K34" s="20">
        <f>IF(A34="","",TRIM(IF(C34=0,"silent; ","")&amp;IF(AND(N(C34)&gt;0,D34=""),"no Y; ","")&amp;IF(AND(N(C34)&gt;0,E34=""),"no T; ","")&amp;IF(AND(N(C34)&gt;0,F34=""),"no B; ","")&amp;IF(AND(E34&lt;&gt;"",G34=0),"no task id in T; ","")&amp;IF(AND(G34&gt;0,H34=0),"T names no task of yours in this sprint; ","")&amp;IF(I34="Y","blocker: "&amp;F34&amp;"; ","")))</f>
      </c>
      <c r="L34" s="20">
        <f>IF(A34="","",IF(C34=0,"@"&amp;A34&amp;" please post Y: / T: / B: for today.",IF(TRIM(IF(AND(N(C34)&gt;0,D34=""),"no Y; ","")&amp;IF(AND(N(C34)&gt;0,E34=""),"no T; ","")&amp;IF(AND(N(C34)&gt;0,F34=""),"no B; ","")&amp;IF(AND(E34&lt;&gt;"",G34=0),"no task id in T; ","")&amp;IF(AND(G34&gt;0,H34=0),"T names no task of yours in this sprint; ",""))="","","@"&amp;A34&amp;" please fix: "&amp;TRIM(IF(AND(N(C34)&gt;0,D34=""),"no Y; ","")&amp;IF(AND(N(C34)&gt;0,E34=""),"no T; ","")&amp;IF(AND(N(C34)&gt;0,F34=""),"no B; ","")&amp;IF(AND(E34&lt;&gt;"",G34=0),"no task id in T; ","")&amp;IF(AND(G34&gt;0,H34=0),"T names no task of yours in this sprint; ","")))))</f>
      </c>
      <c r="M34" s="11">
        <f>IF(N34="","",StandupDate)</f>
      </c>
      <c r="N34" s="17">
        <f>IF(J34&lt;&gt;"",J34,IF(I34="Y",IF(IFERROR(INDEX(Items[ID],MATCH(1,INDEX((Items[ID]&lt;&gt;"")*ISNUMBER(SEARCH(" "&amp;Items[ID]&amp;" "," "&amp;SUBSTITUTE(SUBSTITUTE(SUBSTITUTE(SUBSTITUTE(SUBSTITUTE(SUBSTITUTE(SUBSTITUTE(F34,",","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"&amp;SUBSTITUTE(SUBSTITUTE(SUBSTITUTE(SUBSTITUTE(SUBSTITUTE(SUBSTITUTE(SUBSTITUTE(F34,","," "),"."," "),";"," "),":"," "),"("," "),")"," "),"/"," ")&amp;" ")),0),0)),""),IFERROR(INDEX(Items[ID],MATCH(1,INDEX((Items[ID]&lt;&gt;"")*(Items[Owner]=A34)*ISNUMBER(SEARCH(" "&amp;Items[ID]&amp;" "," "&amp;SUBSTITUTE(SUBSTITUTE(SUBSTITUTE(SUBSTITUTE(SUBSTITUTE(SUBSTITUTE(SUBSTITUTE(E34,","," "),"."," "),";"," "),":"," "),"("," "),")"," "),"/"," ")&amp;" ")),0),0)),"")),""))</f>
      </c>
      <c r="O34" s="17">
        <f>IF(N34="","",IF(J34&lt;&gt;"","done","block"))</f>
      </c>
      <c r="P34" s="17">
        <f>IF(O34="block",F34,"")</f>
      </c>
    </row>
    <row r="35">
      <c r="A35" s="17">
        <f>IFERROR(INDEX(Roster[Name],31)&amp;"","")</f>
      </c>
      <c r="B35" s="17">
        <f>IF(A35="","",INDEX(Roster[Team],31)&amp;"")</f>
      </c>
      <c r="C35" s="17">
        <f>IF(OR(A35="",COUNTA(ChatPaste)=0),"",COUNTIF(ChatSpeaker,A35))</f>
      </c>
      <c r="D35" s="20">
        <f>IF(A35="","",IFERROR(INDEX(ChatText,MATCH(1,INDEX((ChatSpeaker=A35)*(ChatTag="Y"),0),0)),""))</f>
      </c>
      <c r="E35" s="20">
        <f>IF(A35="","",IFERROR(INDEX(ChatText,MATCH(1,INDEX((ChatSpeaker=A35)*(ChatTag="T"),0),0)),""))</f>
      </c>
      <c r="F35" s="20">
        <f>IF(A35="","",IFERROR(INDEX(ChatText,MATCH(1,INDEX((ChatSpeaker=A35)*(ChatTag="B"),0),0)),""))</f>
      </c>
      <c r="G35" s="17">
        <f>IF(E35="",0,SUMPRODUCT((Items[ID]&lt;&gt;"")*ISNUMBER(SEARCH(" "&amp;Items[ID]&amp;" "," "&amp;SUBSTITUTE(SUBSTITUTE(SUBSTITUTE(SUBSTITUTE(SUBSTITUTE(SUBSTITUTE(SUBSTITUTE(E35,","," "),"."," "),";"," "),":"," "),"("," "),")"," "),"/"," ")&amp;" "))))</f>
      </c>
      <c r="H35" s="17">
        <f>IF(E35="",0,SUMPRODUCT((Items[ID]&lt;&gt;"")*(Items[Owner]=A35)*(Items[In sprint]=1)*ISNUMBER(SEARCH(" "&amp;Items[ID]&amp;" "," "&amp;SUBSTITUTE(SUBSTITUTE(SUBSTITUTE(SUBSTITUTE(SUBSTITUTE(SUBSTITUTE(SUBSTITUTE(E35,","," "),"."," "),";"," "),":"," "),"("," "),")"," "),"/"," ")&amp;" "))))</f>
      </c>
      <c r="I35" s="17">
        <f>IF(F35="","",IF(OR(LOWER(TRIM(F35))={"none","no","nothing","n/a","na","-","nope","no blockers","none.","nil"}),"","Y"))</f>
      </c>
      <c r="J35" s="17">
        <f>IF(D35="","",IF(OR(ISNUMBER(SEARCH({"done","finished","completed","closed","merged"},D35))),IFERROR(INDEX(Items[ID],MATCH(1,INDEX((Items[ID]&lt;&gt;"")*(Items[State]&lt;&gt;"DONE")*ISNUMBER(SEARCH(" "&amp;Items[ID]&amp;" "," "&amp;SUBSTITUTE(SUBSTITUTE(SUBSTITUTE(SUBSTITUTE(SUBSTITUTE(SUBSTITUTE(SUBSTITUTE(D35,","," "),"."," "),";"," "),":"," "),"("," "),")"," "),"/"," ")&amp;" ")),0),0)),""),""))</f>
      </c>
      <c r="K35" s="20">
        <f>IF(A35="","",TRIM(IF(C35=0,"silent; ","")&amp;IF(AND(N(C35)&gt;0,D35=""),"no Y; ","")&amp;IF(AND(N(C35)&gt;0,E35=""),"no T; ","")&amp;IF(AND(N(C35)&gt;0,F35=""),"no B; ","")&amp;IF(AND(E35&lt;&gt;"",G35=0),"no task id in T; ","")&amp;IF(AND(G35&gt;0,H35=0),"T names no task of yours in this sprint; ","")&amp;IF(I35="Y","blocker: "&amp;F35&amp;"; ","")))</f>
      </c>
      <c r="L35" s="20">
        <f>IF(A35="","",IF(C35=0,"@"&amp;A35&amp;" please post Y: / T: / B: for today.",IF(TRIM(IF(AND(N(C35)&gt;0,D35=""),"no Y; ","")&amp;IF(AND(N(C35)&gt;0,E35=""),"no T; ","")&amp;IF(AND(N(C35)&gt;0,F35=""),"no B; ","")&amp;IF(AND(E35&lt;&gt;"",G35=0),"no task id in T; ","")&amp;IF(AND(G35&gt;0,H35=0),"T names no task of yours in this sprint; ",""))="","","@"&amp;A35&amp;" please fix: "&amp;TRIM(IF(AND(N(C35)&gt;0,D35=""),"no Y; ","")&amp;IF(AND(N(C35)&gt;0,E35=""),"no T; ","")&amp;IF(AND(N(C35)&gt;0,F35=""),"no B; ","")&amp;IF(AND(E35&lt;&gt;"",G35=0),"no task id in T; ","")&amp;IF(AND(G35&gt;0,H35=0),"T names no task of yours in this sprint; ","")))))</f>
      </c>
      <c r="M35" s="11">
        <f>IF(N35="","",StandupDate)</f>
      </c>
      <c r="N35" s="17">
        <f>IF(J35&lt;&gt;"",J35,IF(I35="Y",IF(IFERROR(INDEX(Items[ID],MATCH(1,INDEX((Items[ID]&lt;&gt;"")*ISNUMBER(SEARCH(" "&amp;Items[ID]&amp;" "," "&amp;SUBSTITUTE(SUBSTITUTE(SUBSTITUTE(SUBSTITUTE(SUBSTITUTE(SUBSTITUTE(SUBSTITUTE(F35,",","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"&amp;SUBSTITUTE(SUBSTITUTE(SUBSTITUTE(SUBSTITUTE(SUBSTITUTE(SUBSTITUTE(SUBSTITUTE(F35,","," "),"."," "),";"," "),":"," "),"("," "),")"," "),"/"," ")&amp;" ")),0),0)),""),IFERROR(INDEX(Items[ID],MATCH(1,INDEX((Items[ID]&lt;&gt;"")*(Items[Owner]=A35)*ISNUMBER(SEARCH(" "&amp;Items[ID]&amp;" "," "&amp;SUBSTITUTE(SUBSTITUTE(SUBSTITUTE(SUBSTITUTE(SUBSTITUTE(SUBSTITUTE(SUBSTITUTE(E35,","," "),"."," "),";"," "),":"," "),"("," "),")"," "),"/"," ")&amp;" ")),0),0)),"")),""))</f>
      </c>
      <c r="O35" s="17">
        <f>IF(N35="","",IF(J35&lt;&gt;"","done","block"))</f>
      </c>
      <c r="P35" s="17">
        <f>IF(O35="block",F35,"")</f>
      </c>
    </row>
    <row r="36">
      <c r="A36" s="17">
        <f>IFERROR(INDEX(Roster[Name],32)&amp;"","")</f>
      </c>
      <c r="B36" s="17">
        <f>IF(A36="","",INDEX(Roster[Team],32)&amp;"")</f>
      </c>
      <c r="C36" s="17">
        <f>IF(OR(A36="",COUNTA(ChatPaste)=0),"",COUNTIF(ChatSpeaker,A36))</f>
      </c>
      <c r="D36" s="20">
        <f>IF(A36="","",IFERROR(INDEX(ChatText,MATCH(1,INDEX((ChatSpeaker=A36)*(ChatTag="Y"),0),0)),""))</f>
      </c>
      <c r="E36" s="20">
        <f>IF(A36="","",IFERROR(INDEX(ChatText,MATCH(1,INDEX((ChatSpeaker=A36)*(ChatTag="T"),0),0)),""))</f>
      </c>
      <c r="F36" s="20">
        <f>IF(A36="","",IFERROR(INDEX(ChatText,MATCH(1,INDEX((ChatSpeaker=A36)*(ChatTag="B"),0),0)),""))</f>
      </c>
      <c r="G36" s="17">
        <f>IF(E36="",0,SUMPRODUCT((Items[ID]&lt;&gt;"")*ISNUMBER(SEARCH(" "&amp;Items[ID]&amp;" "," "&amp;SUBSTITUTE(SUBSTITUTE(SUBSTITUTE(SUBSTITUTE(SUBSTITUTE(SUBSTITUTE(SUBSTITUTE(E36,","," "),"."," "),";"," "),":"," "),"("," "),")"," "),"/"," ")&amp;" "))))</f>
      </c>
      <c r="H36" s="17">
        <f>IF(E36="",0,SUMPRODUCT((Items[ID]&lt;&gt;"")*(Items[Owner]=A36)*(Items[In sprint]=1)*ISNUMBER(SEARCH(" "&amp;Items[ID]&amp;" "," "&amp;SUBSTITUTE(SUBSTITUTE(SUBSTITUTE(SUBSTITUTE(SUBSTITUTE(SUBSTITUTE(SUBSTITUTE(E36,","," "),"."," "),";"," "),":"," "),"("," "),")"," "),"/"," ")&amp;" "))))</f>
      </c>
      <c r="I36" s="17">
        <f>IF(F36="","",IF(OR(LOWER(TRIM(F36))={"none","no","nothing","n/a","na","-","nope","no blockers","none.","nil"}),"","Y"))</f>
      </c>
      <c r="J36" s="17">
        <f>IF(D36="","",IF(OR(ISNUMBER(SEARCH({"done","finished","completed","closed","merged"},D36))),IFERROR(INDEX(Items[ID],MATCH(1,INDEX((Items[ID]&lt;&gt;"")*(Items[State]&lt;&gt;"DONE")*ISNUMBER(SEARCH(" "&amp;Items[ID]&amp;" "," "&amp;SUBSTITUTE(SUBSTITUTE(SUBSTITUTE(SUBSTITUTE(SUBSTITUTE(SUBSTITUTE(SUBSTITUTE(D36,","," "),"."," "),";"," "),":"," "),"("," "),")"," "),"/"," ")&amp;" ")),0),0)),""),""))</f>
      </c>
      <c r="K36" s="20">
        <f>IF(A36="","",TRIM(IF(C36=0,"silent; ","")&amp;IF(AND(N(C36)&gt;0,D36=""),"no Y; ","")&amp;IF(AND(N(C36)&gt;0,E36=""),"no T; ","")&amp;IF(AND(N(C36)&gt;0,F36=""),"no B; ","")&amp;IF(AND(E36&lt;&gt;"",G36=0),"no task id in T; ","")&amp;IF(AND(G36&gt;0,H36=0),"T names no task of yours in this sprint; ","")&amp;IF(I36="Y","blocker: "&amp;F36&amp;"; ","")))</f>
      </c>
      <c r="L36" s="20">
        <f>IF(A36="","",IF(C36=0,"@"&amp;A36&amp;" please post Y: / T: / B: for today.",IF(TRIM(IF(AND(N(C36)&gt;0,D36=""),"no Y; ","")&amp;IF(AND(N(C36)&gt;0,E36=""),"no T; ","")&amp;IF(AND(N(C36)&gt;0,F36=""),"no B; ","")&amp;IF(AND(E36&lt;&gt;"",G36=0),"no task id in T; ","")&amp;IF(AND(G36&gt;0,H36=0),"T names no task of yours in this sprint; ",""))="","","@"&amp;A36&amp;" please fix: "&amp;TRIM(IF(AND(N(C36)&gt;0,D36=""),"no Y; ","")&amp;IF(AND(N(C36)&gt;0,E36=""),"no T; ","")&amp;IF(AND(N(C36)&gt;0,F36=""),"no B; ","")&amp;IF(AND(E36&lt;&gt;"",G36=0),"no task id in T; ","")&amp;IF(AND(G36&gt;0,H36=0),"T names no task of yours in this sprint; ","")))))</f>
      </c>
      <c r="M36" s="11">
        <f>IF(N36="","",StandupDate)</f>
      </c>
      <c r="N36" s="17">
        <f>IF(J36&lt;&gt;"",J36,IF(I36="Y",IF(IFERROR(INDEX(Items[ID],MATCH(1,INDEX((Items[ID]&lt;&gt;"")*ISNUMBER(SEARCH(" "&amp;Items[ID]&amp;" "," "&amp;SUBSTITUTE(SUBSTITUTE(SUBSTITUTE(SUBSTITUTE(SUBSTITUTE(SUBSTITUTE(SUBSTITUTE(F36,",","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"&amp;SUBSTITUTE(SUBSTITUTE(SUBSTITUTE(SUBSTITUTE(SUBSTITUTE(SUBSTITUTE(SUBSTITUTE(F36,","," "),"."," "),";"," "),":"," "),"("," "),")"," "),"/"," ")&amp;" ")),0),0)),""),IFERROR(INDEX(Items[ID],MATCH(1,INDEX((Items[ID]&lt;&gt;"")*(Items[Owner]=A36)*ISNUMBER(SEARCH(" "&amp;Items[ID]&amp;" "," "&amp;SUBSTITUTE(SUBSTITUTE(SUBSTITUTE(SUBSTITUTE(SUBSTITUTE(SUBSTITUTE(SUBSTITUTE(E36,","," "),"."," "),";"," "),":"," "),"("," "),")"," "),"/"," ")&amp;" ")),0),0)),"")),""))</f>
      </c>
      <c r="O36" s="17">
        <f>IF(N36="","",IF(J36&lt;&gt;"","done","block"))</f>
      </c>
      <c r="P36" s="17">
        <f>IF(O36="block",F36,"")</f>
      </c>
    </row>
    <row r="37">
      <c r="A37" s="17">
        <f>IFERROR(INDEX(Roster[Name],33)&amp;"","")</f>
      </c>
      <c r="B37" s="17">
        <f>IF(A37="","",INDEX(Roster[Team],33)&amp;"")</f>
      </c>
      <c r="C37" s="17">
        <f>IF(OR(A37="",COUNTA(ChatPaste)=0),"",COUNTIF(ChatSpeaker,A37))</f>
      </c>
      <c r="D37" s="20">
        <f>IF(A37="","",IFERROR(INDEX(ChatText,MATCH(1,INDEX((ChatSpeaker=A37)*(ChatTag="Y"),0),0)),""))</f>
      </c>
      <c r="E37" s="20">
        <f>IF(A37="","",IFERROR(INDEX(ChatText,MATCH(1,INDEX((ChatSpeaker=A37)*(ChatTag="T"),0),0)),""))</f>
      </c>
      <c r="F37" s="20">
        <f>IF(A37="","",IFERROR(INDEX(ChatText,MATCH(1,INDEX((ChatSpeaker=A37)*(ChatTag="B"),0),0)),""))</f>
      </c>
      <c r="G37" s="17">
        <f>IF(E37="",0,SUMPRODUCT((Items[ID]&lt;&gt;"")*ISNUMBER(SEARCH(" "&amp;Items[ID]&amp;" "," "&amp;SUBSTITUTE(SUBSTITUTE(SUBSTITUTE(SUBSTITUTE(SUBSTITUTE(SUBSTITUTE(SUBSTITUTE(E37,","," "),"."," "),";"," "),":"," "),"("," "),")"," "),"/"," ")&amp;" "))))</f>
      </c>
      <c r="H37" s="17">
        <f>IF(E37="",0,SUMPRODUCT((Items[ID]&lt;&gt;"")*(Items[Owner]=A37)*(Items[In sprint]=1)*ISNUMBER(SEARCH(" "&amp;Items[ID]&amp;" "," "&amp;SUBSTITUTE(SUBSTITUTE(SUBSTITUTE(SUBSTITUTE(SUBSTITUTE(SUBSTITUTE(SUBSTITUTE(E37,","," "),"."," "),";"," "),":"," "),"("," "),")"," "),"/"," ")&amp;" "))))</f>
      </c>
      <c r="I37" s="17">
        <f>IF(F37="","",IF(OR(LOWER(TRIM(F37))={"none","no","nothing","n/a","na","-","nope","no blockers","none.","nil"}),"","Y"))</f>
      </c>
      <c r="J37" s="17">
        <f>IF(D37="","",IF(OR(ISNUMBER(SEARCH({"done","finished","completed","closed","merged"},D37))),IFERROR(INDEX(Items[ID],MATCH(1,INDEX((Items[ID]&lt;&gt;"")*(Items[State]&lt;&gt;"DONE")*ISNUMBER(SEARCH(" "&amp;Items[ID]&amp;" "," "&amp;SUBSTITUTE(SUBSTITUTE(SUBSTITUTE(SUBSTITUTE(SUBSTITUTE(SUBSTITUTE(SUBSTITUTE(D37,","," "),"."," "),";"," "),":"," "),"("," "),")"," "),"/"," ")&amp;" ")),0),0)),""),""))</f>
      </c>
      <c r="K37" s="20">
        <f>IF(A37="","",TRIM(IF(C37=0,"silent; ","")&amp;IF(AND(N(C37)&gt;0,D37=""),"no Y; ","")&amp;IF(AND(N(C37)&gt;0,E37=""),"no T; ","")&amp;IF(AND(N(C37)&gt;0,F37=""),"no B; ","")&amp;IF(AND(E37&lt;&gt;"",G37=0),"no task id in T; ","")&amp;IF(AND(G37&gt;0,H37=0),"T names no task of yours in this sprint; ","")&amp;IF(I37="Y","blocker: "&amp;F37&amp;"; ","")))</f>
      </c>
      <c r="L37" s="20">
        <f>IF(A37="","",IF(C37=0,"@"&amp;A37&amp;" please post Y: / T: / B: for today.",IF(TRIM(IF(AND(N(C37)&gt;0,D37=""),"no Y; ","")&amp;IF(AND(N(C37)&gt;0,E37=""),"no T; ","")&amp;IF(AND(N(C37)&gt;0,F37=""),"no B; ","")&amp;IF(AND(E37&lt;&gt;"",G37=0),"no task id in T; ","")&amp;IF(AND(G37&gt;0,H37=0),"T names no task of yours in this sprint; ",""))="","","@"&amp;A37&amp;" please fix: "&amp;TRIM(IF(AND(N(C37)&gt;0,D37=""),"no Y; ","")&amp;IF(AND(N(C37)&gt;0,E37=""),"no T; ","")&amp;IF(AND(N(C37)&gt;0,F37=""),"no B; ","")&amp;IF(AND(E37&lt;&gt;"",G37=0),"no task id in T; ","")&amp;IF(AND(G37&gt;0,H37=0),"T names no task of yours in this sprint; ","")))))</f>
      </c>
      <c r="M37" s="11">
        <f>IF(N37="","",StandupDate)</f>
      </c>
      <c r="N37" s="17">
        <f>IF(J37&lt;&gt;"",J37,IF(I37="Y",IF(IFERROR(INDEX(Items[ID],MATCH(1,INDEX((Items[ID]&lt;&gt;"")*ISNUMBER(SEARCH(" "&amp;Items[ID]&amp;" "," "&amp;SUBSTITUTE(SUBSTITUTE(SUBSTITUTE(SUBSTITUTE(SUBSTITUTE(SUBSTITUTE(SUBSTITUTE(F37,",","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"&amp;SUBSTITUTE(SUBSTITUTE(SUBSTITUTE(SUBSTITUTE(SUBSTITUTE(SUBSTITUTE(SUBSTITUTE(F37,","," "),"."," "),";"," "),":"," "),"("," "),")"," "),"/"," ")&amp;" ")),0),0)),""),IFERROR(INDEX(Items[ID],MATCH(1,INDEX((Items[ID]&lt;&gt;"")*(Items[Owner]=A37)*ISNUMBER(SEARCH(" "&amp;Items[ID]&amp;" "," "&amp;SUBSTITUTE(SUBSTITUTE(SUBSTITUTE(SUBSTITUTE(SUBSTITUTE(SUBSTITUTE(SUBSTITUTE(E37,","," "),"."," "),";"," "),":"," "),"("," "),")"," "),"/"," ")&amp;" ")),0),0)),"")),""))</f>
      </c>
      <c r="O37" s="17">
        <f>IF(N37="","",IF(J37&lt;&gt;"","done","block"))</f>
      </c>
      <c r="P37" s="17">
        <f>IF(O37="block",F37,"")</f>
      </c>
    </row>
    <row r="38">
      <c r="A38" s="17">
        <f>IFERROR(INDEX(Roster[Name],34)&amp;"","")</f>
      </c>
      <c r="B38" s="17">
        <f>IF(A38="","",INDEX(Roster[Team],34)&amp;"")</f>
      </c>
      <c r="C38" s="17">
        <f>IF(OR(A38="",COUNTA(ChatPaste)=0),"",COUNTIF(ChatSpeaker,A38))</f>
      </c>
      <c r="D38" s="20">
        <f>IF(A38="","",IFERROR(INDEX(ChatText,MATCH(1,INDEX((ChatSpeaker=A38)*(ChatTag="Y"),0),0)),""))</f>
      </c>
      <c r="E38" s="20">
        <f>IF(A38="","",IFERROR(INDEX(ChatText,MATCH(1,INDEX((ChatSpeaker=A38)*(ChatTag="T"),0),0)),""))</f>
      </c>
      <c r="F38" s="20">
        <f>IF(A38="","",IFERROR(INDEX(ChatText,MATCH(1,INDEX((ChatSpeaker=A38)*(ChatTag="B"),0),0)),""))</f>
      </c>
      <c r="G38" s="17">
        <f>IF(E38="",0,SUMPRODUCT((Items[ID]&lt;&gt;"")*ISNUMBER(SEARCH(" "&amp;Items[ID]&amp;" "," "&amp;SUBSTITUTE(SUBSTITUTE(SUBSTITUTE(SUBSTITUTE(SUBSTITUTE(SUBSTITUTE(SUBSTITUTE(E38,","," "),"."," "),";"," "),":"," "),"("," "),")"," "),"/"," ")&amp;" "))))</f>
      </c>
      <c r="H38" s="17">
        <f>IF(E38="",0,SUMPRODUCT((Items[ID]&lt;&gt;"")*(Items[Owner]=A38)*(Items[In sprint]=1)*ISNUMBER(SEARCH(" "&amp;Items[ID]&amp;" "," "&amp;SUBSTITUTE(SUBSTITUTE(SUBSTITUTE(SUBSTITUTE(SUBSTITUTE(SUBSTITUTE(SUBSTITUTE(E38,","," "),"."," "),";"," "),":"," "),"("," "),")"," "),"/"," ")&amp;" "))))</f>
      </c>
      <c r="I38" s="17">
        <f>IF(F38="","",IF(OR(LOWER(TRIM(F38))={"none","no","nothing","n/a","na","-","nope","no blockers","none.","nil"}),"","Y"))</f>
      </c>
      <c r="J38" s="17">
        <f>IF(D38="","",IF(OR(ISNUMBER(SEARCH({"done","finished","completed","closed","merged"},D38))),IFERROR(INDEX(Items[ID],MATCH(1,INDEX((Items[ID]&lt;&gt;"")*(Items[State]&lt;&gt;"DONE")*ISNUMBER(SEARCH(" "&amp;Items[ID]&amp;" "," "&amp;SUBSTITUTE(SUBSTITUTE(SUBSTITUTE(SUBSTITUTE(SUBSTITUTE(SUBSTITUTE(SUBSTITUTE(D38,","," "),"."," "),";"," "),":"," "),"("," "),")"," "),"/"," ")&amp;" ")),0),0)),""),""))</f>
      </c>
      <c r="K38" s="20">
        <f>IF(A38="","",TRIM(IF(C38=0,"silent; ","")&amp;IF(AND(N(C38)&gt;0,D38=""),"no Y; ","")&amp;IF(AND(N(C38)&gt;0,E38=""),"no T; ","")&amp;IF(AND(N(C38)&gt;0,F38=""),"no B; ","")&amp;IF(AND(E38&lt;&gt;"",G38=0),"no task id in T; ","")&amp;IF(AND(G38&gt;0,H38=0),"T names no task of yours in this sprint; ","")&amp;IF(I38="Y","blocker: "&amp;F38&amp;"; ","")))</f>
      </c>
      <c r="L38" s="20">
        <f>IF(A38="","",IF(C38=0,"@"&amp;A38&amp;" please post Y: / T: / B: for today.",IF(TRIM(IF(AND(N(C38)&gt;0,D38=""),"no Y; ","")&amp;IF(AND(N(C38)&gt;0,E38=""),"no T; ","")&amp;IF(AND(N(C38)&gt;0,F38=""),"no B; ","")&amp;IF(AND(E38&lt;&gt;"",G38=0),"no task id in T; ","")&amp;IF(AND(G38&gt;0,H38=0),"T names no task of yours in this sprint; ",""))="","","@"&amp;A38&amp;" please fix: "&amp;TRIM(IF(AND(N(C38)&gt;0,D38=""),"no Y; ","")&amp;IF(AND(N(C38)&gt;0,E38=""),"no T; ","")&amp;IF(AND(N(C38)&gt;0,F38=""),"no B; ","")&amp;IF(AND(E38&lt;&gt;"",G38=0),"no task id in T; ","")&amp;IF(AND(G38&gt;0,H38=0),"T names no task of yours in this sprint; ","")))))</f>
      </c>
      <c r="M38" s="11">
        <f>IF(N38="","",StandupDate)</f>
      </c>
      <c r="N38" s="17">
        <f>IF(J38&lt;&gt;"",J38,IF(I38="Y",IF(IFERROR(INDEX(Items[ID],MATCH(1,INDEX((Items[ID]&lt;&gt;"")*ISNUMBER(SEARCH(" "&amp;Items[ID]&amp;" "," "&amp;SUBSTITUTE(SUBSTITUTE(SUBSTITUTE(SUBSTITUTE(SUBSTITUTE(SUBSTITUTE(SUBSTITUTE(F38,",","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"&amp;SUBSTITUTE(SUBSTITUTE(SUBSTITUTE(SUBSTITUTE(SUBSTITUTE(SUBSTITUTE(SUBSTITUTE(F38,","," "),"."," "),";"," "),":"," "),"("," "),")"," "),"/"," ")&amp;" ")),0),0)),""),IFERROR(INDEX(Items[ID],MATCH(1,INDEX((Items[ID]&lt;&gt;"")*(Items[Owner]=A38)*ISNUMBER(SEARCH(" "&amp;Items[ID]&amp;" "," "&amp;SUBSTITUTE(SUBSTITUTE(SUBSTITUTE(SUBSTITUTE(SUBSTITUTE(SUBSTITUTE(SUBSTITUTE(E38,","," "),"."," "),";"," "),":"," "),"("," "),")"," "),"/"," ")&amp;" ")),0),0)),"")),""))</f>
      </c>
      <c r="O38" s="17">
        <f>IF(N38="","",IF(J38&lt;&gt;"","done","block"))</f>
      </c>
      <c r="P38" s="17">
        <f>IF(O38="block",F38,"")</f>
      </c>
    </row>
    <row r="39">
      <c r="A39" s="17">
        <f>IFERROR(INDEX(Roster[Name],35)&amp;"","")</f>
      </c>
      <c r="B39" s="17">
        <f>IF(A39="","",INDEX(Roster[Team],35)&amp;"")</f>
      </c>
      <c r="C39" s="17">
        <f>IF(OR(A39="",COUNTA(ChatPaste)=0),"",COUNTIF(ChatSpeaker,A39))</f>
      </c>
      <c r="D39" s="20">
        <f>IF(A39="","",IFERROR(INDEX(ChatText,MATCH(1,INDEX((ChatSpeaker=A39)*(ChatTag="Y"),0),0)),""))</f>
      </c>
      <c r="E39" s="20">
        <f>IF(A39="","",IFERROR(INDEX(ChatText,MATCH(1,INDEX((ChatSpeaker=A39)*(ChatTag="T"),0),0)),""))</f>
      </c>
      <c r="F39" s="20">
        <f>IF(A39="","",IFERROR(INDEX(ChatText,MATCH(1,INDEX((ChatSpeaker=A39)*(ChatTag="B"),0),0)),""))</f>
      </c>
      <c r="G39" s="17">
        <f>IF(E39="",0,SUMPRODUCT((Items[ID]&lt;&gt;"")*ISNUMBER(SEARCH(" "&amp;Items[ID]&amp;" "," "&amp;SUBSTITUTE(SUBSTITUTE(SUBSTITUTE(SUBSTITUTE(SUBSTITUTE(SUBSTITUTE(SUBSTITUTE(E39,","," "),"."," "),";"," "),":"," "),"("," "),")"," "),"/"," ")&amp;" "))))</f>
      </c>
      <c r="H39" s="17">
        <f>IF(E39="",0,SUMPRODUCT((Items[ID]&lt;&gt;"")*(Items[Owner]=A39)*(Items[In sprint]=1)*ISNUMBER(SEARCH(" "&amp;Items[ID]&amp;" "," "&amp;SUBSTITUTE(SUBSTITUTE(SUBSTITUTE(SUBSTITUTE(SUBSTITUTE(SUBSTITUTE(SUBSTITUTE(E39,","," "),"."," "),";"," "),":"," "),"("," "),")"," "),"/"," ")&amp;" "))))</f>
      </c>
      <c r="I39" s="17">
        <f>IF(F39="","",IF(OR(LOWER(TRIM(F39))={"none","no","nothing","n/a","na","-","nope","no blockers","none.","nil"}),"","Y"))</f>
      </c>
      <c r="J39" s="17">
        <f>IF(D39="","",IF(OR(ISNUMBER(SEARCH({"done","finished","completed","closed","merged"},D39))),IFERROR(INDEX(Items[ID],MATCH(1,INDEX((Items[ID]&lt;&gt;"")*(Items[State]&lt;&gt;"DONE")*ISNUMBER(SEARCH(" "&amp;Items[ID]&amp;" "," "&amp;SUBSTITUTE(SUBSTITUTE(SUBSTITUTE(SUBSTITUTE(SUBSTITUTE(SUBSTITUTE(SUBSTITUTE(D39,","," "),"."," "),";"," "),":"," "),"("," "),")"," "),"/"," ")&amp;" ")),0),0)),""),""))</f>
      </c>
      <c r="K39" s="20">
        <f>IF(A39="","",TRIM(IF(C39=0,"silent; ","")&amp;IF(AND(N(C39)&gt;0,D39=""),"no Y; ","")&amp;IF(AND(N(C39)&gt;0,E39=""),"no T; ","")&amp;IF(AND(N(C39)&gt;0,F39=""),"no B; ","")&amp;IF(AND(E39&lt;&gt;"",G39=0),"no task id in T; ","")&amp;IF(AND(G39&gt;0,H39=0),"T names no task of yours in this sprint; ","")&amp;IF(I39="Y","blocker: "&amp;F39&amp;"; ","")))</f>
      </c>
      <c r="L39" s="20">
        <f>IF(A39="","",IF(C39=0,"@"&amp;A39&amp;" please post Y: / T: / B: for today.",IF(TRIM(IF(AND(N(C39)&gt;0,D39=""),"no Y; ","")&amp;IF(AND(N(C39)&gt;0,E39=""),"no T; ","")&amp;IF(AND(N(C39)&gt;0,F39=""),"no B; ","")&amp;IF(AND(E39&lt;&gt;"",G39=0),"no task id in T; ","")&amp;IF(AND(G39&gt;0,H39=0),"T names no task of yours in this sprint; ",""))="","","@"&amp;A39&amp;" please fix: "&amp;TRIM(IF(AND(N(C39)&gt;0,D39=""),"no Y; ","")&amp;IF(AND(N(C39)&gt;0,E39=""),"no T; ","")&amp;IF(AND(N(C39)&gt;0,F39=""),"no B; ","")&amp;IF(AND(E39&lt;&gt;"",G39=0),"no task id in T; ","")&amp;IF(AND(G39&gt;0,H39=0),"T names no task of yours in this sprint; ","")))))</f>
      </c>
      <c r="M39" s="11">
        <f>IF(N39="","",StandupDate)</f>
      </c>
      <c r="N39" s="17">
        <f>IF(J39&lt;&gt;"",J39,IF(I39="Y",IF(IFERROR(INDEX(Items[ID],MATCH(1,INDEX((Items[ID]&lt;&gt;"")*ISNUMBER(SEARCH(" "&amp;Items[ID]&amp;" "," "&amp;SUBSTITUTE(SUBSTITUTE(SUBSTITUTE(SUBSTITUTE(SUBSTITUTE(SUBSTITUTE(SUBSTITUTE(F39,",","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"&amp;SUBSTITUTE(SUBSTITUTE(SUBSTITUTE(SUBSTITUTE(SUBSTITUTE(SUBSTITUTE(SUBSTITUTE(F39,","," "),"."," "),";"," "),":"," "),"("," "),")"," "),"/"," ")&amp;" ")),0),0)),""),IFERROR(INDEX(Items[ID],MATCH(1,INDEX((Items[ID]&lt;&gt;"")*(Items[Owner]=A39)*ISNUMBER(SEARCH(" "&amp;Items[ID]&amp;" "," "&amp;SUBSTITUTE(SUBSTITUTE(SUBSTITUTE(SUBSTITUTE(SUBSTITUTE(SUBSTITUTE(SUBSTITUTE(E39,","," "),"."," "),";"," "),":"," "),"("," "),")"," "),"/"," ")&amp;" ")),0),0)),"")),""))</f>
      </c>
      <c r="O39" s="17">
        <f>IF(N39="","",IF(J39&lt;&gt;"","done","block"))</f>
      </c>
      <c r="P39" s="17">
        <f>IF(O39="block",F39,"")</f>
      </c>
    </row>
    <row r="40">
      <c r="A40" s="17">
        <f>IFERROR(INDEX(Roster[Name],36)&amp;"","")</f>
      </c>
      <c r="B40" s="17">
        <f>IF(A40="","",INDEX(Roster[Team],36)&amp;"")</f>
      </c>
      <c r="C40" s="17">
        <f>IF(OR(A40="",COUNTA(ChatPaste)=0),"",COUNTIF(ChatSpeaker,A40))</f>
      </c>
      <c r="D40" s="20">
        <f>IF(A40="","",IFERROR(INDEX(ChatText,MATCH(1,INDEX((ChatSpeaker=A40)*(ChatTag="Y"),0),0)),""))</f>
      </c>
      <c r="E40" s="20">
        <f>IF(A40="","",IFERROR(INDEX(ChatText,MATCH(1,INDEX((ChatSpeaker=A40)*(ChatTag="T"),0),0)),""))</f>
      </c>
      <c r="F40" s="20">
        <f>IF(A40="","",IFERROR(INDEX(ChatText,MATCH(1,INDEX((ChatSpeaker=A40)*(ChatTag="B"),0),0)),""))</f>
      </c>
      <c r="G40" s="17">
        <f>IF(E40="",0,SUMPRODUCT((Items[ID]&lt;&gt;"")*ISNUMBER(SEARCH(" "&amp;Items[ID]&amp;" "," "&amp;SUBSTITUTE(SUBSTITUTE(SUBSTITUTE(SUBSTITUTE(SUBSTITUTE(SUBSTITUTE(SUBSTITUTE(E40,","," "),"."," "),";"," "),":"," "),"("," "),")"," "),"/"," ")&amp;" "))))</f>
      </c>
      <c r="H40" s="17">
        <f>IF(E40="",0,SUMPRODUCT((Items[ID]&lt;&gt;"")*(Items[Owner]=A40)*(Items[In sprint]=1)*ISNUMBER(SEARCH(" "&amp;Items[ID]&amp;" "," "&amp;SUBSTITUTE(SUBSTITUTE(SUBSTITUTE(SUBSTITUTE(SUBSTITUTE(SUBSTITUTE(SUBSTITUTE(E40,","," "),"."," "),";"," "),":"," "),"("," "),")"," "),"/"," ")&amp;" "))))</f>
      </c>
      <c r="I40" s="17">
        <f>IF(F40="","",IF(OR(LOWER(TRIM(F40))={"none","no","nothing","n/a","na","-","nope","no blockers","none.","nil"}),"","Y"))</f>
      </c>
      <c r="J40" s="17">
        <f>IF(D40="","",IF(OR(ISNUMBER(SEARCH({"done","finished","completed","closed","merged"},D40))),IFERROR(INDEX(Items[ID],MATCH(1,INDEX((Items[ID]&lt;&gt;"")*(Items[State]&lt;&gt;"DONE")*ISNUMBER(SEARCH(" "&amp;Items[ID]&amp;" "," "&amp;SUBSTITUTE(SUBSTITUTE(SUBSTITUTE(SUBSTITUTE(SUBSTITUTE(SUBSTITUTE(SUBSTITUTE(D40,","," "),"."," "),";"," "),":"," "),"("," "),")"," "),"/"," ")&amp;" ")),0),0)),""),""))</f>
      </c>
      <c r="K40" s="20">
        <f>IF(A40="","",TRIM(IF(C40=0,"silent; ","")&amp;IF(AND(N(C40)&gt;0,D40=""),"no Y; ","")&amp;IF(AND(N(C40)&gt;0,E40=""),"no T; ","")&amp;IF(AND(N(C40)&gt;0,F40=""),"no B; ","")&amp;IF(AND(E40&lt;&gt;"",G40=0),"no task id in T; ","")&amp;IF(AND(G40&gt;0,H40=0),"T names no task of yours in this sprint; ","")&amp;IF(I40="Y","blocker: "&amp;F40&amp;"; ","")))</f>
      </c>
      <c r="L40" s="20">
        <f>IF(A40="","",IF(C40=0,"@"&amp;A40&amp;" please post Y: / T: / B: for today.",IF(TRIM(IF(AND(N(C40)&gt;0,D40=""),"no Y; ","")&amp;IF(AND(N(C40)&gt;0,E40=""),"no T; ","")&amp;IF(AND(N(C40)&gt;0,F40=""),"no B; ","")&amp;IF(AND(E40&lt;&gt;"",G40=0),"no task id in T; ","")&amp;IF(AND(G40&gt;0,H40=0),"T names no task of yours in this sprint; ",""))="","","@"&amp;A40&amp;" please fix: "&amp;TRIM(IF(AND(N(C40)&gt;0,D40=""),"no Y; ","")&amp;IF(AND(N(C40)&gt;0,E40=""),"no T; ","")&amp;IF(AND(N(C40)&gt;0,F40=""),"no B; ","")&amp;IF(AND(E40&lt;&gt;"",G40=0),"no task id in T; ","")&amp;IF(AND(G40&gt;0,H40=0),"T names no task of yours in this sprint; ","")))))</f>
      </c>
      <c r="M40" s="11">
        <f>IF(N40="","",StandupDate)</f>
      </c>
      <c r="N40" s="17">
        <f>IF(J40&lt;&gt;"",J40,IF(I40="Y",IF(IFERROR(INDEX(Items[ID],MATCH(1,INDEX((Items[ID]&lt;&gt;"")*ISNUMBER(SEARCH(" "&amp;Items[ID]&amp;" "," "&amp;SUBSTITUTE(SUBSTITUTE(SUBSTITUTE(SUBSTITUTE(SUBSTITUTE(SUBSTITUTE(SUBSTITUTE(F40,",","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"&amp;SUBSTITUTE(SUBSTITUTE(SUBSTITUTE(SUBSTITUTE(SUBSTITUTE(SUBSTITUTE(SUBSTITUTE(F40,","," "),"."," "),";"," "),":"," "),"("," "),")"," "),"/"," ")&amp;" ")),0),0)),""),IFERROR(INDEX(Items[ID],MATCH(1,INDEX((Items[ID]&lt;&gt;"")*(Items[Owner]=A40)*ISNUMBER(SEARCH(" "&amp;Items[ID]&amp;" "," "&amp;SUBSTITUTE(SUBSTITUTE(SUBSTITUTE(SUBSTITUTE(SUBSTITUTE(SUBSTITUTE(SUBSTITUTE(E40,","," "),"."," "),";"," "),":"," "),"("," "),")"," "),"/"," ")&amp;" ")),0),0)),"")),""))</f>
      </c>
      <c r="O40" s="17">
        <f>IF(N40="","",IF(J40&lt;&gt;"","done","block"))</f>
      </c>
      <c r="P40" s="17">
        <f>IF(O40="block",F40,"")</f>
      </c>
    </row>
    <row r="41">
      <c r="A41" s="17">
        <f>IFERROR(INDEX(Roster[Name],37)&amp;"","")</f>
      </c>
      <c r="B41" s="17">
        <f>IF(A41="","",INDEX(Roster[Team],37)&amp;"")</f>
      </c>
      <c r="C41" s="17">
        <f>IF(OR(A41="",COUNTA(ChatPaste)=0),"",COUNTIF(ChatSpeaker,A41))</f>
      </c>
      <c r="D41" s="20">
        <f>IF(A41="","",IFERROR(INDEX(ChatText,MATCH(1,INDEX((ChatSpeaker=A41)*(ChatTag="Y"),0),0)),""))</f>
      </c>
      <c r="E41" s="20">
        <f>IF(A41="","",IFERROR(INDEX(ChatText,MATCH(1,INDEX((ChatSpeaker=A41)*(ChatTag="T"),0),0)),""))</f>
      </c>
      <c r="F41" s="20">
        <f>IF(A41="","",IFERROR(INDEX(ChatText,MATCH(1,INDEX((ChatSpeaker=A41)*(ChatTag="B"),0),0)),""))</f>
      </c>
      <c r="G41" s="17">
        <f>IF(E41="",0,SUMPRODUCT((Items[ID]&lt;&gt;"")*ISNUMBER(SEARCH(" "&amp;Items[ID]&amp;" "," "&amp;SUBSTITUTE(SUBSTITUTE(SUBSTITUTE(SUBSTITUTE(SUBSTITUTE(SUBSTITUTE(SUBSTITUTE(E41,","," "),"."," "),";"," "),":"," "),"("," "),")"," "),"/"," ")&amp;" "))))</f>
      </c>
      <c r="H41" s="17">
        <f>IF(E41="",0,SUMPRODUCT((Items[ID]&lt;&gt;"")*(Items[Owner]=A41)*(Items[In sprint]=1)*ISNUMBER(SEARCH(" "&amp;Items[ID]&amp;" "," "&amp;SUBSTITUTE(SUBSTITUTE(SUBSTITUTE(SUBSTITUTE(SUBSTITUTE(SUBSTITUTE(SUBSTITUTE(E41,","," "),"."," "),";"," "),":"," "),"("," "),")"," "),"/"," ")&amp;" "))))</f>
      </c>
      <c r="I41" s="17">
        <f>IF(F41="","",IF(OR(LOWER(TRIM(F41))={"none","no","nothing","n/a","na","-","nope","no blockers","none.","nil"}),"","Y"))</f>
      </c>
      <c r="J41" s="17">
        <f>IF(D41="","",IF(OR(ISNUMBER(SEARCH({"done","finished","completed","closed","merged"},D41))),IFERROR(INDEX(Items[ID],MATCH(1,INDEX((Items[ID]&lt;&gt;"")*(Items[State]&lt;&gt;"DONE")*ISNUMBER(SEARCH(" "&amp;Items[ID]&amp;" "," "&amp;SUBSTITUTE(SUBSTITUTE(SUBSTITUTE(SUBSTITUTE(SUBSTITUTE(SUBSTITUTE(SUBSTITUTE(D41,","," "),"."," "),";"," "),":"," "),"("," "),")"," "),"/"," ")&amp;" ")),0),0)),""),""))</f>
      </c>
      <c r="K41" s="20">
        <f>IF(A41="","",TRIM(IF(C41=0,"silent; ","")&amp;IF(AND(N(C41)&gt;0,D41=""),"no Y; ","")&amp;IF(AND(N(C41)&gt;0,E41=""),"no T; ","")&amp;IF(AND(N(C41)&gt;0,F41=""),"no B; ","")&amp;IF(AND(E41&lt;&gt;"",G41=0),"no task id in T; ","")&amp;IF(AND(G41&gt;0,H41=0),"T names no task of yours in this sprint; ","")&amp;IF(I41="Y","blocker: "&amp;F41&amp;"; ","")))</f>
      </c>
      <c r="L41" s="20">
        <f>IF(A41="","",IF(C41=0,"@"&amp;A41&amp;" please post Y: / T: / B: for today.",IF(TRIM(IF(AND(N(C41)&gt;0,D41=""),"no Y; ","")&amp;IF(AND(N(C41)&gt;0,E41=""),"no T; ","")&amp;IF(AND(N(C41)&gt;0,F41=""),"no B; ","")&amp;IF(AND(E41&lt;&gt;"",G41=0),"no task id in T; ","")&amp;IF(AND(G41&gt;0,H41=0),"T names no task of yours in this sprint; ",""))="","","@"&amp;A41&amp;" please fix: "&amp;TRIM(IF(AND(N(C41)&gt;0,D41=""),"no Y; ","")&amp;IF(AND(N(C41)&gt;0,E41=""),"no T; ","")&amp;IF(AND(N(C41)&gt;0,F41=""),"no B; ","")&amp;IF(AND(E41&lt;&gt;"",G41=0),"no task id in T; ","")&amp;IF(AND(G41&gt;0,H41=0),"T names no task of yours in this sprint; ","")))))</f>
      </c>
      <c r="M41" s="11">
        <f>IF(N41="","",StandupDate)</f>
      </c>
      <c r="N41" s="17">
        <f>IF(J41&lt;&gt;"",J41,IF(I41="Y",IF(IFERROR(INDEX(Items[ID],MATCH(1,INDEX((Items[ID]&lt;&gt;"")*ISNUMBER(SEARCH(" "&amp;Items[ID]&amp;" "," "&amp;SUBSTITUTE(SUBSTITUTE(SUBSTITUTE(SUBSTITUTE(SUBSTITUTE(SUBSTITUTE(SUBSTITUTE(F41,",","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"&amp;SUBSTITUTE(SUBSTITUTE(SUBSTITUTE(SUBSTITUTE(SUBSTITUTE(SUBSTITUTE(SUBSTITUTE(F41,","," "),"."," "),";"," "),":"," "),"("," "),")"," "),"/"," ")&amp;" ")),0),0)),""),IFERROR(INDEX(Items[ID],MATCH(1,INDEX((Items[ID]&lt;&gt;"")*(Items[Owner]=A41)*ISNUMBER(SEARCH(" "&amp;Items[ID]&amp;" "," "&amp;SUBSTITUTE(SUBSTITUTE(SUBSTITUTE(SUBSTITUTE(SUBSTITUTE(SUBSTITUTE(SUBSTITUTE(E41,","," "),"."," "),";"," "),":"," "),"("," "),")"," "),"/"," ")&amp;" ")),0),0)),"")),""))</f>
      </c>
      <c r="O41" s="17">
        <f>IF(N41="","",IF(J41&lt;&gt;"","done","block"))</f>
      </c>
      <c r="P41" s="17">
        <f>IF(O41="block",F41,"")</f>
      </c>
    </row>
    <row r="42">
      <c r="A42" s="17">
        <f>IFERROR(INDEX(Roster[Name],38)&amp;"","")</f>
      </c>
      <c r="B42" s="17">
        <f>IF(A42="","",INDEX(Roster[Team],38)&amp;"")</f>
      </c>
      <c r="C42" s="17">
        <f>IF(OR(A42="",COUNTA(ChatPaste)=0),"",COUNTIF(ChatSpeaker,A42))</f>
      </c>
      <c r="D42" s="20">
        <f>IF(A42="","",IFERROR(INDEX(ChatText,MATCH(1,INDEX((ChatSpeaker=A42)*(ChatTag="Y"),0),0)),""))</f>
      </c>
      <c r="E42" s="20">
        <f>IF(A42="","",IFERROR(INDEX(ChatText,MATCH(1,INDEX((ChatSpeaker=A42)*(ChatTag="T"),0),0)),""))</f>
      </c>
      <c r="F42" s="20">
        <f>IF(A42="","",IFERROR(INDEX(ChatText,MATCH(1,INDEX((ChatSpeaker=A42)*(ChatTag="B"),0),0)),""))</f>
      </c>
      <c r="G42" s="17">
        <f>IF(E42="",0,SUMPRODUCT((Items[ID]&lt;&gt;"")*ISNUMBER(SEARCH(" "&amp;Items[ID]&amp;" "," "&amp;SUBSTITUTE(SUBSTITUTE(SUBSTITUTE(SUBSTITUTE(SUBSTITUTE(SUBSTITUTE(SUBSTITUTE(E42,","," "),"."," "),";"," "),":"," "),"("," "),")"," "),"/"," ")&amp;" "))))</f>
      </c>
      <c r="H42" s="17">
        <f>IF(E42="",0,SUMPRODUCT((Items[ID]&lt;&gt;"")*(Items[Owner]=A42)*(Items[In sprint]=1)*ISNUMBER(SEARCH(" "&amp;Items[ID]&amp;" "," "&amp;SUBSTITUTE(SUBSTITUTE(SUBSTITUTE(SUBSTITUTE(SUBSTITUTE(SUBSTITUTE(SUBSTITUTE(E42,","," "),"."," "),";"," "),":"," "),"("," "),")"," "),"/"," ")&amp;" "))))</f>
      </c>
      <c r="I42" s="17">
        <f>IF(F42="","",IF(OR(LOWER(TRIM(F42))={"none","no","nothing","n/a","na","-","nope","no blockers","none.","nil"}),"","Y"))</f>
      </c>
      <c r="J42" s="17">
        <f>IF(D42="","",IF(OR(ISNUMBER(SEARCH({"done","finished","completed","closed","merged"},D42))),IFERROR(INDEX(Items[ID],MATCH(1,INDEX((Items[ID]&lt;&gt;"")*(Items[State]&lt;&gt;"DONE")*ISNUMBER(SEARCH(" "&amp;Items[ID]&amp;" "," "&amp;SUBSTITUTE(SUBSTITUTE(SUBSTITUTE(SUBSTITUTE(SUBSTITUTE(SUBSTITUTE(SUBSTITUTE(D42,","," "),"."," "),";"," "),":"," "),"("," "),")"," "),"/"," ")&amp;" ")),0),0)),""),""))</f>
      </c>
      <c r="K42" s="20">
        <f>IF(A42="","",TRIM(IF(C42=0,"silent; ","")&amp;IF(AND(N(C42)&gt;0,D42=""),"no Y; ","")&amp;IF(AND(N(C42)&gt;0,E42=""),"no T; ","")&amp;IF(AND(N(C42)&gt;0,F42=""),"no B; ","")&amp;IF(AND(E42&lt;&gt;"",G42=0),"no task id in T; ","")&amp;IF(AND(G42&gt;0,H42=0),"T names no task of yours in this sprint; ","")&amp;IF(I42="Y","blocker: "&amp;F42&amp;"; ","")))</f>
      </c>
      <c r="L42" s="20">
        <f>IF(A42="","",IF(C42=0,"@"&amp;A42&amp;" please post Y: / T: / B: for today.",IF(TRIM(IF(AND(N(C42)&gt;0,D42=""),"no Y; ","")&amp;IF(AND(N(C42)&gt;0,E42=""),"no T; ","")&amp;IF(AND(N(C42)&gt;0,F42=""),"no B; ","")&amp;IF(AND(E42&lt;&gt;"",G42=0),"no task id in T; ","")&amp;IF(AND(G42&gt;0,H42=0),"T names no task of yours in this sprint; ",""))="","","@"&amp;A42&amp;" please fix: "&amp;TRIM(IF(AND(N(C42)&gt;0,D42=""),"no Y; ","")&amp;IF(AND(N(C42)&gt;0,E42=""),"no T; ","")&amp;IF(AND(N(C42)&gt;0,F42=""),"no B; ","")&amp;IF(AND(E42&lt;&gt;"",G42=0),"no task id in T; ","")&amp;IF(AND(G42&gt;0,H42=0),"T names no task of yours in this sprint; ","")))))</f>
      </c>
      <c r="M42" s="11">
        <f>IF(N42="","",StandupDate)</f>
      </c>
      <c r="N42" s="17">
        <f>IF(J42&lt;&gt;"",J42,IF(I42="Y",IF(IFERROR(INDEX(Items[ID],MATCH(1,INDEX((Items[ID]&lt;&gt;"")*ISNUMBER(SEARCH(" "&amp;Items[ID]&amp;" "," "&amp;SUBSTITUTE(SUBSTITUTE(SUBSTITUTE(SUBSTITUTE(SUBSTITUTE(SUBSTITUTE(SUBSTITUTE(F42,",","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"&amp;SUBSTITUTE(SUBSTITUTE(SUBSTITUTE(SUBSTITUTE(SUBSTITUTE(SUBSTITUTE(SUBSTITUTE(F42,","," "),"."," "),";"," "),":"," "),"("," "),")"," "),"/"," ")&amp;" ")),0),0)),""),IFERROR(INDEX(Items[ID],MATCH(1,INDEX((Items[ID]&lt;&gt;"")*(Items[Owner]=A42)*ISNUMBER(SEARCH(" "&amp;Items[ID]&amp;" "," "&amp;SUBSTITUTE(SUBSTITUTE(SUBSTITUTE(SUBSTITUTE(SUBSTITUTE(SUBSTITUTE(SUBSTITUTE(E42,","," "),"."," "),";"," "),":"," "),"("," "),")"," "),"/"," ")&amp;" ")),0),0)),"")),""))</f>
      </c>
      <c r="O42" s="17">
        <f>IF(N42="","",IF(J42&lt;&gt;"","done","block"))</f>
      </c>
      <c r="P42" s="17">
        <f>IF(O42="block",F42,"")</f>
      </c>
    </row>
    <row r="43">
      <c r="A43" s="17">
        <f>IFERROR(INDEX(Roster[Name],39)&amp;"","")</f>
      </c>
      <c r="B43" s="17">
        <f>IF(A43="","",INDEX(Roster[Team],39)&amp;"")</f>
      </c>
      <c r="C43" s="17">
        <f>IF(OR(A43="",COUNTA(ChatPaste)=0),"",COUNTIF(ChatSpeaker,A43))</f>
      </c>
      <c r="D43" s="20">
        <f>IF(A43="","",IFERROR(INDEX(ChatText,MATCH(1,INDEX((ChatSpeaker=A43)*(ChatTag="Y"),0),0)),""))</f>
      </c>
      <c r="E43" s="20">
        <f>IF(A43="","",IFERROR(INDEX(ChatText,MATCH(1,INDEX((ChatSpeaker=A43)*(ChatTag="T"),0),0)),""))</f>
      </c>
      <c r="F43" s="20">
        <f>IF(A43="","",IFERROR(INDEX(ChatText,MATCH(1,INDEX((ChatSpeaker=A43)*(ChatTag="B"),0),0)),""))</f>
      </c>
      <c r="G43" s="17">
        <f>IF(E43="",0,SUMPRODUCT((Items[ID]&lt;&gt;"")*ISNUMBER(SEARCH(" "&amp;Items[ID]&amp;" "," "&amp;SUBSTITUTE(SUBSTITUTE(SUBSTITUTE(SUBSTITUTE(SUBSTITUTE(SUBSTITUTE(SUBSTITUTE(E43,","," "),"."," "),";"," "),":"," "),"("," "),")"," "),"/"," ")&amp;" "))))</f>
      </c>
      <c r="H43" s="17">
        <f>IF(E43="",0,SUMPRODUCT((Items[ID]&lt;&gt;"")*(Items[Owner]=A43)*(Items[In sprint]=1)*ISNUMBER(SEARCH(" "&amp;Items[ID]&amp;" "," "&amp;SUBSTITUTE(SUBSTITUTE(SUBSTITUTE(SUBSTITUTE(SUBSTITUTE(SUBSTITUTE(SUBSTITUTE(E43,","," "),"."," "),";"," "),":"," "),"("," "),")"," "),"/"," ")&amp;" "))))</f>
      </c>
      <c r="I43" s="17">
        <f>IF(F43="","",IF(OR(LOWER(TRIM(F43))={"none","no","nothing","n/a","na","-","nope","no blockers","none.","nil"}),"","Y"))</f>
      </c>
      <c r="J43" s="17">
        <f>IF(D43="","",IF(OR(ISNUMBER(SEARCH({"done","finished","completed","closed","merged"},D43))),IFERROR(INDEX(Items[ID],MATCH(1,INDEX((Items[ID]&lt;&gt;"")*(Items[State]&lt;&gt;"DONE")*ISNUMBER(SEARCH(" "&amp;Items[ID]&amp;" "," "&amp;SUBSTITUTE(SUBSTITUTE(SUBSTITUTE(SUBSTITUTE(SUBSTITUTE(SUBSTITUTE(SUBSTITUTE(D43,","," "),"."," "),";"," "),":"," "),"("," "),")"," "),"/"," ")&amp;" ")),0),0)),""),""))</f>
      </c>
      <c r="K43" s="20">
        <f>IF(A43="","",TRIM(IF(C43=0,"silent; ","")&amp;IF(AND(N(C43)&gt;0,D43=""),"no Y; ","")&amp;IF(AND(N(C43)&gt;0,E43=""),"no T; ","")&amp;IF(AND(N(C43)&gt;0,F43=""),"no B; ","")&amp;IF(AND(E43&lt;&gt;"",G43=0),"no task id in T; ","")&amp;IF(AND(G43&gt;0,H43=0),"T names no task of yours in this sprint; ","")&amp;IF(I43="Y","blocker: "&amp;F43&amp;"; ","")))</f>
      </c>
      <c r="L43" s="20">
        <f>IF(A43="","",IF(C43=0,"@"&amp;A43&amp;" please post Y: / T: / B: for today.",IF(TRIM(IF(AND(N(C43)&gt;0,D43=""),"no Y; ","")&amp;IF(AND(N(C43)&gt;0,E43=""),"no T; ","")&amp;IF(AND(N(C43)&gt;0,F43=""),"no B; ","")&amp;IF(AND(E43&lt;&gt;"",G43=0),"no task id in T; ","")&amp;IF(AND(G43&gt;0,H43=0),"T names no task of yours in this sprint; ",""))="","","@"&amp;A43&amp;" please fix: "&amp;TRIM(IF(AND(N(C43)&gt;0,D43=""),"no Y; ","")&amp;IF(AND(N(C43)&gt;0,E43=""),"no T; ","")&amp;IF(AND(N(C43)&gt;0,F43=""),"no B; ","")&amp;IF(AND(E43&lt;&gt;"",G43=0),"no task id in T; ","")&amp;IF(AND(G43&gt;0,H43=0),"T names no task of yours in this sprint; ","")))))</f>
      </c>
      <c r="M43" s="11">
        <f>IF(N43="","",StandupDate)</f>
      </c>
      <c r="N43" s="17">
        <f>IF(J43&lt;&gt;"",J43,IF(I43="Y",IF(IFERROR(INDEX(Items[ID],MATCH(1,INDEX((Items[ID]&lt;&gt;"")*ISNUMBER(SEARCH(" "&amp;Items[ID]&amp;" "," "&amp;SUBSTITUTE(SUBSTITUTE(SUBSTITUTE(SUBSTITUTE(SUBSTITUTE(SUBSTITUTE(SUBSTITUTE(F43,",","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"&amp;SUBSTITUTE(SUBSTITUTE(SUBSTITUTE(SUBSTITUTE(SUBSTITUTE(SUBSTITUTE(SUBSTITUTE(F43,","," "),"."," "),";"," "),":"," "),"("," "),")"," "),"/"," ")&amp;" ")),0),0)),""),IFERROR(INDEX(Items[ID],MATCH(1,INDEX((Items[ID]&lt;&gt;"")*(Items[Owner]=A43)*ISNUMBER(SEARCH(" "&amp;Items[ID]&amp;" "," "&amp;SUBSTITUTE(SUBSTITUTE(SUBSTITUTE(SUBSTITUTE(SUBSTITUTE(SUBSTITUTE(SUBSTITUTE(E43,","," "),"."," "),";"," "),":"," "),"("," "),")"," "),"/"," ")&amp;" ")),0),0)),"")),""))</f>
      </c>
      <c r="O43" s="17">
        <f>IF(N43="","",IF(J43&lt;&gt;"","done","block"))</f>
      </c>
      <c r="P43" s="17">
        <f>IF(O43="block",F43,"")</f>
      </c>
    </row>
    <row r="44">
      <c r="A44" s="17">
        <f>IFERROR(INDEX(Roster[Name],40)&amp;"","")</f>
      </c>
      <c r="B44" s="17">
        <f>IF(A44="","",INDEX(Roster[Team],40)&amp;"")</f>
      </c>
      <c r="C44" s="17">
        <f>IF(OR(A44="",COUNTA(ChatPaste)=0),"",COUNTIF(ChatSpeaker,A44))</f>
      </c>
      <c r="D44" s="20">
        <f>IF(A44="","",IFERROR(INDEX(ChatText,MATCH(1,INDEX((ChatSpeaker=A44)*(ChatTag="Y"),0),0)),""))</f>
      </c>
      <c r="E44" s="20">
        <f>IF(A44="","",IFERROR(INDEX(ChatText,MATCH(1,INDEX((ChatSpeaker=A44)*(ChatTag="T"),0),0)),""))</f>
      </c>
      <c r="F44" s="20">
        <f>IF(A44="","",IFERROR(INDEX(ChatText,MATCH(1,INDEX((ChatSpeaker=A44)*(ChatTag="B"),0),0)),""))</f>
      </c>
      <c r="G44" s="17">
        <f>IF(E44="",0,SUMPRODUCT((Items[ID]&lt;&gt;"")*ISNUMBER(SEARCH(" "&amp;Items[ID]&amp;" "," "&amp;SUBSTITUTE(SUBSTITUTE(SUBSTITUTE(SUBSTITUTE(SUBSTITUTE(SUBSTITUTE(SUBSTITUTE(E44,","," "),"."," "),";"," "),":"," "),"("," "),")"," "),"/"," ")&amp;" "))))</f>
      </c>
      <c r="H44" s="17">
        <f>IF(E44="",0,SUMPRODUCT((Items[ID]&lt;&gt;"")*(Items[Owner]=A44)*(Items[In sprint]=1)*ISNUMBER(SEARCH(" "&amp;Items[ID]&amp;" "," "&amp;SUBSTITUTE(SUBSTITUTE(SUBSTITUTE(SUBSTITUTE(SUBSTITUTE(SUBSTITUTE(SUBSTITUTE(E44,","," "),"."," "),";"," "),":"," "),"("," "),")"," "),"/"," ")&amp;" "))))</f>
      </c>
      <c r="I44" s="17">
        <f>IF(F44="","",IF(OR(LOWER(TRIM(F44))={"none","no","nothing","n/a","na","-","nope","no blockers","none.","nil"}),"","Y"))</f>
      </c>
      <c r="J44" s="17">
        <f>IF(D44="","",IF(OR(ISNUMBER(SEARCH({"done","finished","completed","closed","merged"},D44))),IFERROR(INDEX(Items[ID],MATCH(1,INDEX((Items[ID]&lt;&gt;"")*(Items[State]&lt;&gt;"DONE")*ISNUMBER(SEARCH(" "&amp;Items[ID]&amp;" "," "&amp;SUBSTITUTE(SUBSTITUTE(SUBSTITUTE(SUBSTITUTE(SUBSTITUTE(SUBSTITUTE(SUBSTITUTE(D44,","," "),"."," "),";"," "),":"," "),"("," "),")"," "),"/"," ")&amp;" ")),0),0)),""),""))</f>
      </c>
      <c r="K44" s="20">
        <f>IF(A44="","",TRIM(IF(C44=0,"silent; ","")&amp;IF(AND(N(C44)&gt;0,D44=""),"no Y; ","")&amp;IF(AND(N(C44)&gt;0,E44=""),"no T; ","")&amp;IF(AND(N(C44)&gt;0,F44=""),"no B; ","")&amp;IF(AND(E44&lt;&gt;"",G44=0),"no task id in T; ","")&amp;IF(AND(G44&gt;0,H44=0),"T names no task of yours in this sprint; ","")&amp;IF(I44="Y","blocker: "&amp;F44&amp;"; ","")))</f>
      </c>
      <c r="L44" s="20">
        <f>IF(A44="","",IF(C44=0,"@"&amp;A44&amp;" please post Y: / T: / B: for today.",IF(TRIM(IF(AND(N(C44)&gt;0,D44=""),"no Y; ","")&amp;IF(AND(N(C44)&gt;0,E44=""),"no T; ","")&amp;IF(AND(N(C44)&gt;0,F44=""),"no B; ","")&amp;IF(AND(E44&lt;&gt;"",G44=0),"no task id in T; ","")&amp;IF(AND(G44&gt;0,H44=0),"T names no task of yours in this sprint; ",""))="","","@"&amp;A44&amp;" please fix: "&amp;TRIM(IF(AND(N(C44)&gt;0,D44=""),"no Y; ","")&amp;IF(AND(N(C44)&gt;0,E44=""),"no T; ","")&amp;IF(AND(N(C44)&gt;0,F44=""),"no B; ","")&amp;IF(AND(E44&lt;&gt;"",G44=0),"no task id in T; ","")&amp;IF(AND(G44&gt;0,H44=0),"T names no task of yours in this sprint; ","")))))</f>
      </c>
      <c r="M44" s="11">
        <f>IF(N44="","",StandupDate)</f>
      </c>
      <c r="N44" s="17">
        <f>IF(J44&lt;&gt;"",J44,IF(I44="Y",IF(IFERROR(INDEX(Items[ID],MATCH(1,INDEX((Items[ID]&lt;&gt;"")*ISNUMBER(SEARCH(" "&amp;Items[ID]&amp;" "," "&amp;SUBSTITUTE(SUBSTITUTE(SUBSTITUTE(SUBSTITUTE(SUBSTITUTE(SUBSTITUTE(SUBSTITUTE(F44,",","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"&amp;SUBSTITUTE(SUBSTITUTE(SUBSTITUTE(SUBSTITUTE(SUBSTITUTE(SUBSTITUTE(SUBSTITUTE(F44,","," "),"."," "),";"," "),":"," "),"("," "),")"," "),"/"," ")&amp;" ")),0),0)),""),IFERROR(INDEX(Items[ID],MATCH(1,INDEX((Items[ID]&lt;&gt;"")*(Items[Owner]=A44)*ISNUMBER(SEARCH(" "&amp;Items[ID]&amp;" "," "&amp;SUBSTITUTE(SUBSTITUTE(SUBSTITUTE(SUBSTITUTE(SUBSTITUTE(SUBSTITUTE(SUBSTITUTE(E44,","," "),"."," "),";"," "),":"," "),"("," "),")"," "),"/"," ")&amp;" ")),0),0)),"")),""))</f>
      </c>
      <c r="O44" s="17">
        <f>IF(N44="","",IF(J44&lt;&gt;"","done","block"))</f>
      </c>
      <c r="P44" s="17">
        <f>IF(O44="block",F44,"")</f>
      </c>
    </row>
    <row r="45">
      <c r="A45" s="17">
        <f>IFERROR(INDEX(Roster[Name],41)&amp;"","")</f>
      </c>
      <c r="B45" s="17">
        <f>IF(A45="","",INDEX(Roster[Team],41)&amp;"")</f>
      </c>
      <c r="C45" s="17">
        <f>IF(OR(A45="",COUNTA(ChatPaste)=0),"",COUNTIF(ChatSpeaker,A45))</f>
      </c>
      <c r="D45" s="20">
        <f>IF(A45="","",IFERROR(INDEX(ChatText,MATCH(1,INDEX((ChatSpeaker=A45)*(ChatTag="Y"),0),0)),""))</f>
      </c>
      <c r="E45" s="20">
        <f>IF(A45="","",IFERROR(INDEX(ChatText,MATCH(1,INDEX((ChatSpeaker=A45)*(ChatTag="T"),0),0)),""))</f>
      </c>
      <c r="F45" s="20">
        <f>IF(A45="","",IFERROR(INDEX(ChatText,MATCH(1,INDEX((ChatSpeaker=A45)*(ChatTag="B"),0),0)),""))</f>
      </c>
      <c r="G45" s="17">
        <f>IF(E45="",0,SUMPRODUCT((Items[ID]&lt;&gt;"")*ISNUMBER(SEARCH(" "&amp;Items[ID]&amp;" "," "&amp;SUBSTITUTE(SUBSTITUTE(SUBSTITUTE(SUBSTITUTE(SUBSTITUTE(SUBSTITUTE(SUBSTITUTE(E45,","," "),"."," "),";"," "),":"," "),"("," "),")"," "),"/"," ")&amp;" "))))</f>
      </c>
      <c r="H45" s="17">
        <f>IF(E45="",0,SUMPRODUCT((Items[ID]&lt;&gt;"")*(Items[Owner]=A45)*(Items[In sprint]=1)*ISNUMBER(SEARCH(" "&amp;Items[ID]&amp;" "," "&amp;SUBSTITUTE(SUBSTITUTE(SUBSTITUTE(SUBSTITUTE(SUBSTITUTE(SUBSTITUTE(SUBSTITUTE(E45,","," "),"."," "),";"," "),":"," "),"("," "),")"," "),"/"," ")&amp;" "))))</f>
      </c>
      <c r="I45" s="17">
        <f>IF(F45="","",IF(OR(LOWER(TRIM(F45))={"none","no","nothing","n/a","na","-","nope","no blockers","none.","nil"}),"","Y"))</f>
      </c>
      <c r="J45" s="17">
        <f>IF(D45="","",IF(OR(ISNUMBER(SEARCH({"done","finished","completed","closed","merged"},D45))),IFERROR(INDEX(Items[ID],MATCH(1,INDEX((Items[ID]&lt;&gt;"")*(Items[State]&lt;&gt;"DONE")*ISNUMBER(SEARCH(" "&amp;Items[ID]&amp;" "," "&amp;SUBSTITUTE(SUBSTITUTE(SUBSTITUTE(SUBSTITUTE(SUBSTITUTE(SUBSTITUTE(SUBSTITUTE(D45,","," "),"."," "),";"," "),":"," "),"("," "),")"," "),"/"," ")&amp;" ")),0),0)),""),""))</f>
      </c>
      <c r="K45" s="20">
        <f>IF(A45="","",TRIM(IF(C45=0,"silent; ","")&amp;IF(AND(N(C45)&gt;0,D45=""),"no Y; ","")&amp;IF(AND(N(C45)&gt;0,E45=""),"no T; ","")&amp;IF(AND(N(C45)&gt;0,F45=""),"no B; ","")&amp;IF(AND(E45&lt;&gt;"",G45=0),"no task id in T; ","")&amp;IF(AND(G45&gt;0,H45=0),"T names no task of yours in this sprint; ","")&amp;IF(I45="Y","blocker: "&amp;F45&amp;"; ","")))</f>
      </c>
      <c r="L45" s="20">
        <f>IF(A45="","",IF(C45=0,"@"&amp;A45&amp;" please post Y: / T: / B: for today.",IF(TRIM(IF(AND(N(C45)&gt;0,D45=""),"no Y; ","")&amp;IF(AND(N(C45)&gt;0,E45=""),"no T; ","")&amp;IF(AND(N(C45)&gt;0,F45=""),"no B; ","")&amp;IF(AND(E45&lt;&gt;"",G45=0),"no task id in T; ","")&amp;IF(AND(G45&gt;0,H45=0),"T names no task of yours in this sprint; ",""))="","","@"&amp;A45&amp;" please fix: "&amp;TRIM(IF(AND(N(C45)&gt;0,D45=""),"no Y; ","")&amp;IF(AND(N(C45)&gt;0,E45=""),"no T; ","")&amp;IF(AND(N(C45)&gt;0,F45=""),"no B; ","")&amp;IF(AND(E45&lt;&gt;"",G45=0),"no task id in T; ","")&amp;IF(AND(G45&gt;0,H45=0),"T names no task of yours in this sprint; ","")))))</f>
      </c>
      <c r="M45" s="11">
        <f>IF(N45="","",StandupDate)</f>
      </c>
      <c r="N45" s="17">
        <f>IF(J45&lt;&gt;"",J45,IF(I45="Y",IF(IFERROR(INDEX(Items[ID],MATCH(1,INDEX((Items[ID]&lt;&gt;"")*ISNUMBER(SEARCH(" "&amp;Items[ID]&amp;" "," "&amp;SUBSTITUTE(SUBSTITUTE(SUBSTITUTE(SUBSTITUTE(SUBSTITUTE(SUBSTITUTE(SUBSTITUTE(F45,",","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"&amp;SUBSTITUTE(SUBSTITUTE(SUBSTITUTE(SUBSTITUTE(SUBSTITUTE(SUBSTITUTE(SUBSTITUTE(F45,","," "),"."," "),";"," "),":"," "),"("," "),")"," "),"/"," ")&amp;" ")),0),0)),""),IFERROR(INDEX(Items[ID],MATCH(1,INDEX((Items[ID]&lt;&gt;"")*(Items[Owner]=A45)*ISNUMBER(SEARCH(" "&amp;Items[ID]&amp;" "," "&amp;SUBSTITUTE(SUBSTITUTE(SUBSTITUTE(SUBSTITUTE(SUBSTITUTE(SUBSTITUTE(SUBSTITUTE(E45,","," "),"."," "),";"," "),":"," "),"("," "),")"," "),"/"," ")&amp;" ")),0),0)),"")),""))</f>
      </c>
      <c r="O45" s="17">
        <f>IF(N45="","",IF(J45&lt;&gt;"","done","block"))</f>
      </c>
      <c r="P45" s="17">
        <f>IF(O45="block",F45,"")</f>
      </c>
    </row>
    <row r="46">
      <c r="A46" s="17">
        <f>IFERROR(INDEX(Roster[Name],42)&amp;"","")</f>
      </c>
      <c r="B46" s="17">
        <f>IF(A46="","",INDEX(Roster[Team],42)&amp;"")</f>
      </c>
      <c r="C46" s="17">
        <f>IF(OR(A46="",COUNTA(ChatPaste)=0),"",COUNTIF(ChatSpeaker,A46))</f>
      </c>
      <c r="D46" s="20">
        <f>IF(A46="","",IFERROR(INDEX(ChatText,MATCH(1,INDEX((ChatSpeaker=A46)*(ChatTag="Y"),0),0)),""))</f>
      </c>
      <c r="E46" s="20">
        <f>IF(A46="","",IFERROR(INDEX(ChatText,MATCH(1,INDEX((ChatSpeaker=A46)*(ChatTag="T"),0),0)),""))</f>
      </c>
      <c r="F46" s="20">
        <f>IF(A46="","",IFERROR(INDEX(ChatText,MATCH(1,INDEX((ChatSpeaker=A46)*(ChatTag="B"),0),0)),""))</f>
      </c>
      <c r="G46" s="17">
        <f>IF(E46="",0,SUMPRODUCT((Items[ID]&lt;&gt;"")*ISNUMBER(SEARCH(" "&amp;Items[ID]&amp;" "," "&amp;SUBSTITUTE(SUBSTITUTE(SUBSTITUTE(SUBSTITUTE(SUBSTITUTE(SUBSTITUTE(SUBSTITUTE(E46,","," "),"."," "),";"," "),":"," "),"("," "),")"," "),"/"," ")&amp;" "))))</f>
      </c>
      <c r="H46" s="17">
        <f>IF(E46="",0,SUMPRODUCT((Items[ID]&lt;&gt;"")*(Items[Owner]=A46)*(Items[In sprint]=1)*ISNUMBER(SEARCH(" "&amp;Items[ID]&amp;" "," "&amp;SUBSTITUTE(SUBSTITUTE(SUBSTITUTE(SUBSTITUTE(SUBSTITUTE(SUBSTITUTE(SUBSTITUTE(E46,","," "),"."," "),";"," "),":"," "),"("," "),")"," "),"/"," ")&amp;" "))))</f>
      </c>
      <c r="I46" s="17">
        <f>IF(F46="","",IF(OR(LOWER(TRIM(F46))={"none","no","nothing","n/a","na","-","nope","no blockers","none.","nil"}),"","Y"))</f>
      </c>
      <c r="J46" s="17">
        <f>IF(D46="","",IF(OR(ISNUMBER(SEARCH({"done","finished","completed","closed","merged"},D46))),IFERROR(INDEX(Items[ID],MATCH(1,INDEX((Items[ID]&lt;&gt;"")*(Items[State]&lt;&gt;"DONE")*ISNUMBER(SEARCH(" "&amp;Items[ID]&amp;" "," "&amp;SUBSTITUTE(SUBSTITUTE(SUBSTITUTE(SUBSTITUTE(SUBSTITUTE(SUBSTITUTE(SUBSTITUTE(D46,","," "),"."," "),";"," "),":"," "),"("," "),")"," "),"/"," ")&amp;" ")),0),0)),""),""))</f>
      </c>
      <c r="K46" s="20">
        <f>IF(A46="","",TRIM(IF(C46=0,"silent; ","")&amp;IF(AND(N(C46)&gt;0,D46=""),"no Y; ","")&amp;IF(AND(N(C46)&gt;0,E46=""),"no T; ","")&amp;IF(AND(N(C46)&gt;0,F46=""),"no B; ","")&amp;IF(AND(E46&lt;&gt;"",G46=0),"no task id in T; ","")&amp;IF(AND(G46&gt;0,H46=0),"T names no task of yours in this sprint; ","")&amp;IF(I46="Y","blocker: "&amp;F46&amp;"; ","")))</f>
      </c>
      <c r="L46" s="20">
        <f>IF(A46="","",IF(C46=0,"@"&amp;A46&amp;" please post Y: / T: / B: for today.",IF(TRIM(IF(AND(N(C46)&gt;0,D46=""),"no Y; ","")&amp;IF(AND(N(C46)&gt;0,E46=""),"no T; ","")&amp;IF(AND(N(C46)&gt;0,F46=""),"no B; ","")&amp;IF(AND(E46&lt;&gt;"",G46=0),"no task id in T; ","")&amp;IF(AND(G46&gt;0,H46=0),"T names no task of yours in this sprint; ",""))="","","@"&amp;A46&amp;" please fix: "&amp;TRIM(IF(AND(N(C46)&gt;0,D46=""),"no Y; ","")&amp;IF(AND(N(C46)&gt;0,E46=""),"no T; ","")&amp;IF(AND(N(C46)&gt;0,F46=""),"no B; ","")&amp;IF(AND(E46&lt;&gt;"",G46=0),"no task id in T; ","")&amp;IF(AND(G46&gt;0,H46=0),"T names no task of yours in this sprint; ","")))))</f>
      </c>
      <c r="M46" s="11">
        <f>IF(N46="","",StandupDate)</f>
      </c>
      <c r="N46" s="17">
        <f>IF(J46&lt;&gt;"",J46,IF(I46="Y",IF(IFERROR(INDEX(Items[ID],MATCH(1,INDEX((Items[ID]&lt;&gt;"")*ISNUMBER(SEARCH(" "&amp;Items[ID]&amp;" "," "&amp;SUBSTITUTE(SUBSTITUTE(SUBSTITUTE(SUBSTITUTE(SUBSTITUTE(SUBSTITUTE(SUBSTITUTE(F46,",","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"&amp;SUBSTITUTE(SUBSTITUTE(SUBSTITUTE(SUBSTITUTE(SUBSTITUTE(SUBSTITUTE(SUBSTITUTE(F46,","," "),"."," "),";"," "),":"," "),"("," "),")"," "),"/"," ")&amp;" ")),0),0)),""),IFERROR(INDEX(Items[ID],MATCH(1,INDEX((Items[ID]&lt;&gt;"")*(Items[Owner]=A46)*ISNUMBER(SEARCH(" "&amp;Items[ID]&amp;" "," "&amp;SUBSTITUTE(SUBSTITUTE(SUBSTITUTE(SUBSTITUTE(SUBSTITUTE(SUBSTITUTE(SUBSTITUTE(E46,","," "),"."," "),";"," "),":"," "),"("," "),")"," "),"/"," ")&amp;" ")),0),0)),"")),""))</f>
      </c>
      <c r="O46" s="17">
        <f>IF(N46="","",IF(J46&lt;&gt;"","done","block"))</f>
      </c>
      <c r="P46" s="17">
        <f>IF(O46="block",F46,"")</f>
      </c>
    </row>
    <row r="47">
      <c r="A47" s="17">
        <f>IFERROR(INDEX(Roster[Name],43)&amp;"","")</f>
      </c>
      <c r="B47" s="17">
        <f>IF(A47="","",INDEX(Roster[Team],43)&amp;"")</f>
      </c>
      <c r="C47" s="17">
        <f>IF(OR(A47="",COUNTA(ChatPaste)=0),"",COUNTIF(ChatSpeaker,A47))</f>
      </c>
      <c r="D47" s="20">
        <f>IF(A47="","",IFERROR(INDEX(ChatText,MATCH(1,INDEX((ChatSpeaker=A47)*(ChatTag="Y"),0),0)),""))</f>
      </c>
      <c r="E47" s="20">
        <f>IF(A47="","",IFERROR(INDEX(ChatText,MATCH(1,INDEX((ChatSpeaker=A47)*(ChatTag="T"),0),0)),""))</f>
      </c>
      <c r="F47" s="20">
        <f>IF(A47="","",IFERROR(INDEX(ChatText,MATCH(1,INDEX((ChatSpeaker=A47)*(ChatTag="B"),0),0)),""))</f>
      </c>
      <c r="G47" s="17">
        <f>IF(E47="",0,SUMPRODUCT((Items[ID]&lt;&gt;"")*ISNUMBER(SEARCH(" "&amp;Items[ID]&amp;" "," "&amp;SUBSTITUTE(SUBSTITUTE(SUBSTITUTE(SUBSTITUTE(SUBSTITUTE(SUBSTITUTE(SUBSTITUTE(E47,","," "),"."," "),";"," "),":"," "),"("," "),")"," "),"/"," ")&amp;" "))))</f>
      </c>
      <c r="H47" s="17">
        <f>IF(E47="",0,SUMPRODUCT((Items[ID]&lt;&gt;"")*(Items[Owner]=A47)*(Items[In sprint]=1)*ISNUMBER(SEARCH(" "&amp;Items[ID]&amp;" "," "&amp;SUBSTITUTE(SUBSTITUTE(SUBSTITUTE(SUBSTITUTE(SUBSTITUTE(SUBSTITUTE(SUBSTITUTE(E47,","," "),"."," "),";"," "),":"," "),"("," "),")"," "),"/"," ")&amp;" "))))</f>
      </c>
      <c r="I47" s="17">
        <f>IF(F47="","",IF(OR(LOWER(TRIM(F47))={"none","no","nothing","n/a","na","-","nope","no blockers","none.","nil"}),"","Y"))</f>
      </c>
      <c r="J47" s="17">
        <f>IF(D47="","",IF(OR(ISNUMBER(SEARCH({"done","finished","completed","closed","merged"},D47))),IFERROR(INDEX(Items[ID],MATCH(1,INDEX((Items[ID]&lt;&gt;"")*(Items[State]&lt;&gt;"DONE")*ISNUMBER(SEARCH(" "&amp;Items[ID]&amp;" "," "&amp;SUBSTITUTE(SUBSTITUTE(SUBSTITUTE(SUBSTITUTE(SUBSTITUTE(SUBSTITUTE(SUBSTITUTE(D47,","," "),"."," "),";"," "),":"," "),"("," "),")"," "),"/"," ")&amp;" ")),0),0)),""),""))</f>
      </c>
      <c r="K47" s="20">
        <f>IF(A47="","",TRIM(IF(C47=0,"silent; ","")&amp;IF(AND(N(C47)&gt;0,D47=""),"no Y; ","")&amp;IF(AND(N(C47)&gt;0,E47=""),"no T; ","")&amp;IF(AND(N(C47)&gt;0,F47=""),"no B; ","")&amp;IF(AND(E47&lt;&gt;"",G47=0),"no task id in T; ","")&amp;IF(AND(G47&gt;0,H47=0),"T names no task of yours in this sprint; ","")&amp;IF(I47="Y","blocker: "&amp;F47&amp;"; ","")))</f>
      </c>
      <c r="L47" s="20">
        <f>IF(A47="","",IF(C47=0,"@"&amp;A47&amp;" please post Y: / T: / B: for today.",IF(TRIM(IF(AND(N(C47)&gt;0,D47=""),"no Y; ","")&amp;IF(AND(N(C47)&gt;0,E47=""),"no T; ","")&amp;IF(AND(N(C47)&gt;0,F47=""),"no B; ","")&amp;IF(AND(E47&lt;&gt;"",G47=0),"no task id in T; ","")&amp;IF(AND(G47&gt;0,H47=0),"T names no task of yours in this sprint; ",""))="","","@"&amp;A47&amp;" please fix: "&amp;TRIM(IF(AND(N(C47)&gt;0,D47=""),"no Y; ","")&amp;IF(AND(N(C47)&gt;0,E47=""),"no T; ","")&amp;IF(AND(N(C47)&gt;0,F47=""),"no B; ","")&amp;IF(AND(E47&lt;&gt;"",G47=0),"no task id in T; ","")&amp;IF(AND(G47&gt;0,H47=0),"T names no task of yours in this sprint; ","")))))</f>
      </c>
      <c r="M47" s="11">
        <f>IF(N47="","",StandupDate)</f>
      </c>
      <c r="N47" s="17">
        <f>IF(J47&lt;&gt;"",J47,IF(I47="Y",IF(IFERROR(INDEX(Items[ID],MATCH(1,INDEX((Items[ID]&lt;&gt;"")*ISNUMBER(SEARCH(" "&amp;Items[ID]&amp;" "," "&amp;SUBSTITUTE(SUBSTITUTE(SUBSTITUTE(SUBSTITUTE(SUBSTITUTE(SUBSTITUTE(SUBSTITUTE(F47,",","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"&amp;SUBSTITUTE(SUBSTITUTE(SUBSTITUTE(SUBSTITUTE(SUBSTITUTE(SUBSTITUTE(SUBSTITUTE(F47,","," "),"."," "),";"," "),":"," "),"("," "),")"," "),"/"," ")&amp;" ")),0),0)),""),IFERROR(INDEX(Items[ID],MATCH(1,INDEX((Items[ID]&lt;&gt;"")*(Items[Owner]=A47)*ISNUMBER(SEARCH(" "&amp;Items[ID]&amp;" "," "&amp;SUBSTITUTE(SUBSTITUTE(SUBSTITUTE(SUBSTITUTE(SUBSTITUTE(SUBSTITUTE(SUBSTITUTE(E47,","," "),"."," "),";"," "),":"," "),"("," "),")"," "),"/"," ")&amp;" ")),0),0)),"")),""))</f>
      </c>
      <c r="O47" s="17">
        <f>IF(N47="","",IF(J47&lt;&gt;"","done","block"))</f>
      </c>
      <c r="P47" s="17">
        <f>IF(O47="block",F47,"")</f>
      </c>
    </row>
    <row r="48">
      <c r="A48" s="17">
        <f>IFERROR(INDEX(Roster[Name],44)&amp;"","")</f>
      </c>
      <c r="B48" s="17">
        <f>IF(A48="","",INDEX(Roster[Team],44)&amp;"")</f>
      </c>
      <c r="C48" s="17">
        <f>IF(OR(A48="",COUNTA(ChatPaste)=0),"",COUNTIF(ChatSpeaker,A48))</f>
      </c>
      <c r="D48" s="20">
        <f>IF(A48="","",IFERROR(INDEX(ChatText,MATCH(1,INDEX((ChatSpeaker=A48)*(ChatTag="Y"),0),0)),""))</f>
      </c>
      <c r="E48" s="20">
        <f>IF(A48="","",IFERROR(INDEX(ChatText,MATCH(1,INDEX((ChatSpeaker=A48)*(ChatTag="T"),0),0)),""))</f>
      </c>
      <c r="F48" s="20">
        <f>IF(A48="","",IFERROR(INDEX(ChatText,MATCH(1,INDEX((ChatSpeaker=A48)*(ChatTag="B"),0),0)),""))</f>
      </c>
      <c r="G48" s="17">
        <f>IF(E48="",0,SUMPRODUCT((Items[ID]&lt;&gt;"")*ISNUMBER(SEARCH(" "&amp;Items[ID]&amp;" "," "&amp;SUBSTITUTE(SUBSTITUTE(SUBSTITUTE(SUBSTITUTE(SUBSTITUTE(SUBSTITUTE(SUBSTITUTE(E48,","," "),"."," "),";"," "),":"," "),"("," "),")"," "),"/"," ")&amp;" "))))</f>
      </c>
      <c r="H48" s="17">
        <f>IF(E48="",0,SUMPRODUCT((Items[ID]&lt;&gt;"")*(Items[Owner]=A48)*(Items[In sprint]=1)*ISNUMBER(SEARCH(" "&amp;Items[ID]&amp;" "," "&amp;SUBSTITUTE(SUBSTITUTE(SUBSTITUTE(SUBSTITUTE(SUBSTITUTE(SUBSTITUTE(SUBSTITUTE(E48,","," "),"."," "),";"," "),":"," "),"("," "),")"," "),"/"," ")&amp;" "))))</f>
      </c>
      <c r="I48" s="17">
        <f>IF(F48="","",IF(OR(LOWER(TRIM(F48))={"none","no","nothing","n/a","na","-","nope","no blockers","none.","nil"}),"","Y"))</f>
      </c>
      <c r="J48" s="17">
        <f>IF(D48="","",IF(OR(ISNUMBER(SEARCH({"done","finished","completed","closed","merged"},D48))),IFERROR(INDEX(Items[ID],MATCH(1,INDEX((Items[ID]&lt;&gt;"")*(Items[State]&lt;&gt;"DONE")*ISNUMBER(SEARCH(" "&amp;Items[ID]&amp;" "," "&amp;SUBSTITUTE(SUBSTITUTE(SUBSTITUTE(SUBSTITUTE(SUBSTITUTE(SUBSTITUTE(SUBSTITUTE(D48,","," "),"."," "),";"," "),":"," "),"("," "),")"," "),"/"," ")&amp;" ")),0),0)),""),""))</f>
      </c>
      <c r="K48" s="20">
        <f>IF(A48="","",TRIM(IF(C48=0,"silent; ","")&amp;IF(AND(N(C48)&gt;0,D48=""),"no Y; ","")&amp;IF(AND(N(C48)&gt;0,E48=""),"no T; ","")&amp;IF(AND(N(C48)&gt;0,F48=""),"no B; ","")&amp;IF(AND(E48&lt;&gt;"",G48=0),"no task id in T; ","")&amp;IF(AND(G48&gt;0,H48=0),"T names no task of yours in this sprint; ","")&amp;IF(I48="Y","blocker: "&amp;F48&amp;"; ","")))</f>
      </c>
      <c r="L48" s="20">
        <f>IF(A48="","",IF(C48=0,"@"&amp;A48&amp;" please post Y: / T: / B: for today.",IF(TRIM(IF(AND(N(C48)&gt;0,D48=""),"no Y; ","")&amp;IF(AND(N(C48)&gt;0,E48=""),"no T; ","")&amp;IF(AND(N(C48)&gt;0,F48=""),"no B; ","")&amp;IF(AND(E48&lt;&gt;"",G48=0),"no task id in T; ","")&amp;IF(AND(G48&gt;0,H48=0),"T names no task of yours in this sprint; ",""))="","","@"&amp;A48&amp;" please fix: "&amp;TRIM(IF(AND(N(C48)&gt;0,D48=""),"no Y; ","")&amp;IF(AND(N(C48)&gt;0,E48=""),"no T; ","")&amp;IF(AND(N(C48)&gt;0,F48=""),"no B; ","")&amp;IF(AND(E48&lt;&gt;"",G48=0),"no task id in T; ","")&amp;IF(AND(G48&gt;0,H48=0),"T names no task of yours in this sprint; ","")))))</f>
      </c>
      <c r="M48" s="11">
        <f>IF(N48="","",StandupDate)</f>
      </c>
      <c r="N48" s="17">
        <f>IF(J48&lt;&gt;"",J48,IF(I48="Y",IF(IFERROR(INDEX(Items[ID],MATCH(1,INDEX((Items[ID]&lt;&gt;"")*ISNUMBER(SEARCH(" "&amp;Items[ID]&amp;" "," "&amp;SUBSTITUTE(SUBSTITUTE(SUBSTITUTE(SUBSTITUTE(SUBSTITUTE(SUBSTITUTE(SUBSTITUTE(F48,",","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"&amp;SUBSTITUTE(SUBSTITUTE(SUBSTITUTE(SUBSTITUTE(SUBSTITUTE(SUBSTITUTE(SUBSTITUTE(F48,","," "),"."," "),";"," "),":"," "),"("," "),")"," "),"/"," ")&amp;" ")),0),0)),""),IFERROR(INDEX(Items[ID],MATCH(1,INDEX((Items[ID]&lt;&gt;"")*(Items[Owner]=A48)*ISNUMBER(SEARCH(" "&amp;Items[ID]&amp;" "," "&amp;SUBSTITUTE(SUBSTITUTE(SUBSTITUTE(SUBSTITUTE(SUBSTITUTE(SUBSTITUTE(SUBSTITUTE(E48,","," "),"."," "),";"," "),":"," "),"("," "),")"," "),"/"," ")&amp;" ")),0),0)),"")),""))</f>
      </c>
      <c r="O48" s="17">
        <f>IF(N48="","",IF(J48&lt;&gt;"","done","block"))</f>
      </c>
      <c r="P48" s="17">
        <f>IF(O48="block",F48,"")</f>
      </c>
    </row>
    <row r="49">
      <c r="A49" s="17">
        <f>IFERROR(INDEX(Roster[Name],45)&amp;"","")</f>
      </c>
      <c r="B49" s="17">
        <f>IF(A49="","",INDEX(Roster[Team],45)&amp;"")</f>
      </c>
      <c r="C49" s="17">
        <f>IF(OR(A49="",COUNTA(ChatPaste)=0),"",COUNTIF(ChatSpeaker,A49))</f>
      </c>
      <c r="D49" s="20">
        <f>IF(A49="","",IFERROR(INDEX(ChatText,MATCH(1,INDEX((ChatSpeaker=A49)*(ChatTag="Y"),0),0)),""))</f>
      </c>
      <c r="E49" s="20">
        <f>IF(A49="","",IFERROR(INDEX(ChatText,MATCH(1,INDEX((ChatSpeaker=A49)*(ChatTag="T"),0),0)),""))</f>
      </c>
      <c r="F49" s="20">
        <f>IF(A49="","",IFERROR(INDEX(ChatText,MATCH(1,INDEX((ChatSpeaker=A49)*(ChatTag="B"),0),0)),""))</f>
      </c>
      <c r="G49" s="17">
        <f>IF(E49="",0,SUMPRODUCT((Items[ID]&lt;&gt;"")*ISNUMBER(SEARCH(" "&amp;Items[ID]&amp;" "," "&amp;SUBSTITUTE(SUBSTITUTE(SUBSTITUTE(SUBSTITUTE(SUBSTITUTE(SUBSTITUTE(SUBSTITUTE(E49,","," "),"."," "),";"," "),":"," "),"("," "),")"," "),"/"," ")&amp;" "))))</f>
      </c>
      <c r="H49" s="17">
        <f>IF(E49="",0,SUMPRODUCT((Items[ID]&lt;&gt;"")*(Items[Owner]=A49)*(Items[In sprint]=1)*ISNUMBER(SEARCH(" "&amp;Items[ID]&amp;" "," "&amp;SUBSTITUTE(SUBSTITUTE(SUBSTITUTE(SUBSTITUTE(SUBSTITUTE(SUBSTITUTE(SUBSTITUTE(E49,","," "),"."," "),";"," "),":"," "),"("," "),")"," "),"/"," ")&amp;" "))))</f>
      </c>
      <c r="I49" s="17">
        <f>IF(F49="","",IF(OR(LOWER(TRIM(F49))={"none","no","nothing","n/a","na","-","nope","no blockers","none.","nil"}),"","Y"))</f>
      </c>
      <c r="J49" s="17">
        <f>IF(D49="","",IF(OR(ISNUMBER(SEARCH({"done","finished","completed","closed","merged"},D49))),IFERROR(INDEX(Items[ID],MATCH(1,INDEX((Items[ID]&lt;&gt;"")*(Items[State]&lt;&gt;"DONE")*ISNUMBER(SEARCH(" "&amp;Items[ID]&amp;" "," "&amp;SUBSTITUTE(SUBSTITUTE(SUBSTITUTE(SUBSTITUTE(SUBSTITUTE(SUBSTITUTE(SUBSTITUTE(D49,","," "),"."," "),";"," "),":"," "),"("," "),")"," "),"/"," ")&amp;" ")),0),0)),""),""))</f>
      </c>
      <c r="K49" s="20">
        <f>IF(A49="","",TRIM(IF(C49=0,"silent; ","")&amp;IF(AND(N(C49)&gt;0,D49=""),"no Y; ","")&amp;IF(AND(N(C49)&gt;0,E49=""),"no T; ","")&amp;IF(AND(N(C49)&gt;0,F49=""),"no B; ","")&amp;IF(AND(E49&lt;&gt;"",G49=0),"no task id in T; ","")&amp;IF(AND(G49&gt;0,H49=0),"T names no task of yours in this sprint; ","")&amp;IF(I49="Y","blocker: "&amp;F49&amp;"; ","")))</f>
      </c>
      <c r="L49" s="20">
        <f>IF(A49="","",IF(C49=0,"@"&amp;A49&amp;" please post Y: / T: / B: for today.",IF(TRIM(IF(AND(N(C49)&gt;0,D49=""),"no Y; ","")&amp;IF(AND(N(C49)&gt;0,E49=""),"no T; ","")&amp;IF(AND(N(C49)&gt;0,F49=""),"no B; ","")&amp;IF(AND(E49&lt;&gt;"",G49=0),"no task id in T; ","")&amp;IF(AND(G49&gt;0,H49=0),"T names no task of yours in this sprint; ",""))="","","@"&amp;A49&amp;" please fix: "&amp;TRIM(IF(AND(N(C49)&gt;0,D49=""),"no Y; ","")&amp;IF(AND(N(C49)&gt;0,E49=""),"no T; ","")&amp;IF(AND(N(C49)&gt;0,F49=""),"no B; ","")&amp;IF(AND(E49&lt;&gt;"",G49=0),"no task id in T; ","")&amp;IF(AND(G49&gt;0,H49=0),"T names no task of yours in this sprint; ","")))))</f>
      </c>
      <c r="M49" s="11">
        <f>IF(N49="","",StandupDate)</f>
      </c>
      <c r="N49" s="17">
        <f>IF(J49&lt;&gt;"",J49,IF(I49="Y",IF(IFERROR(INDEX(Items[ID],MATCH(1,INDEX((Items[ID]&lt;&gt;"")*ISNUMBER(SEARCH(" "&amp;Items[ID]&amp;" "," "&amp;SUBSTITUTE(SUBSTITUTE(SUBSTITUTE(SUBSTITUTE(SUBSTITUTE(SUBSTITUTE(SUBSTITUTE(F49,",","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"&amp;SUBSTITUTE(SUBSTITUTE(SUBSTITUTE(SUBSTITUTE(SUBSTITUTE(SUBSTITUTE(SUBSTITUTE(F49,","," "),"."," "),";"," "),":"," "),"("," "),")"," "),"/"," ")&amp;" ")),0),0)),""),IFERROR(INDEX(Items[ID],MATCH(1,INDEX((Items[ID]&lt;&gt;"")*(Items[Owner]=A49)*ISNUMBER(SEARCH(" "&amp;Items[ID]&amp;" "," "&amp;SUBSTITUTE(SUBSTITUTE(SUBSTITUTE(SUBSTITUTE(SUBSTITUTE(SUBSTITUTE(SUBSTITUTE(E49,","," "),"."," "),";"," "),":"," "),"("," "),")"," "),"/"," ")&amp;" ")),0),0)),"")),""))</f>
      </c>
      <c r="O49" s="17">
        <f>IF(N49="","",IF(J49&lt;&gt;"","done","block"))</f>
      </c>
      <c r="P49" s="17">
        <f>IF(O49="block",F49,"")</f>
      </c>
    </row>
    <row r="50">
      <c r="A50" s="17">
        <f>IFERROR(INDEX(Roster[Name],46)&amp;"","")</f>
      </c>
      <c r="B50" s="17">
        <f>IF(A50="","",INDEX(Roster[Team],46)&amp;"")</f>
      </c>
      <c r="C50" s="17">
        <f>IF(OR(A50="",COUNTA(ChatPaste)=0),"",COUNTIF(ChatSpeaker,A50))</f>
      </c>
      <c r="D50" s="20">
        <f>IF(A50="","",IFERROR(INDEX(ChatText,MATCH(1,INDEX((ChatSpeaker=A50)*(ChatTag="Y"),0),0)),""))</f>
      </c>
      <c r="E50" s="20">
        <f>IF(A50="","",IFERROR(INDEX(ChatText,MATCH(1,INDEX((ChatSpeaker=A50)*(ChatTag="T"),0),0)),""))</f>
      </c>
      <c r="F50" s="20">
        <f>IF(A50="","",IFERROR(INDEX(ChatText,MATCH(1,INDEX((ChatSpeaker=A50)*(ChatTag="B"),0),0)),""))</f>
      </c>
      <c r="G50" s="17">
        <f>IF(E50="",0,SUMPRODUCT((Items[ID]&lt;&gt;"")*ISNUMBER(SEARCH(" "&amp;Items[ID]&amp;" "," "&amp;SUBSTITUTE(SUBSTITUTE(SUBSTITUTE(SUBSTITUTE(SUBSTITUTE(SUBSTITUTE(SUBSTITUTE(E50,","," "),"."," "),";"," "),":"," "),"("," "),")"," "),"/"," ")&amp;" "))))</f>
      </c>
      <c r="H50" s="17">
        <f>IF(E50="",0,SUMPRODUCT((Items[ID]&lt;&gt;"")*(Items[Owner]=A50)*(Items[In sprint]=1)*ISNUMBER(SEARCH(" "&amp;Items[ID]&amp;" "," "&amp;SUBSTITUTE(SUBSTITUTE(SUBSTITUTE(SUBSTITUTE(SUBSTITUTE(SUBSTITUTE(SUBSTITUTE(E50,","," "),"."," "),";"," "),":"," "),"("," "),")"," "),"/"," ")&amp;" "))))</f>
      </c>
      <c r="I50" s="17">
        <f>IF(F50="","",IF(OR(LOWER(TRIM(F50))={"none","no","nothing","n/a","na","-","nope","no blockers","none.","nil"}),"","Y"))</f>
      </c>
      <c r="J50" s="17">
        <f>IF(D50="","",IF(OR(ISNUMBER(SEARCH({"done","finished","completed","closed","merged"},D50))),IFERROR(INDEX(Items[ID],MATCH(1,INDEX((Items[ID]&lt;&gt;"")*(Items[State]&lt;&gt;"DONE")*ISNUMBER(SEARCH(" "&amp;Items[ID]&amp;" "," "&amp;SUBSTITUTE(SUBSTITUTE(SUBSTITUTE(SUBSTITUTE(SUBSTITUTE(SUBSTITUTE(SUBSTITUTE(D50,","," "),"."," "),";"," "),":"," "),"("," "),")"," "),"/"," ")&amp;" ")),0),0)),""),""))</f>
      </c>
      <c r="K50" s="20">
        <f>IF(A50="","",TRIM(IF(C50=0,"silent; ","")&amp;IF(AND(N(C50)&gt;0,D50=""),"no Y; ","")&amp;IF(AND(N(C50)&gt;0,E50=""),"no T; ","")&amp;IF(AND(N(C50)&gt;0,F50=""),"no B; ","")&amp;IF(AND(E50&lt;&gt;"",G50=0),"no task id in T; ","")&amp;IF(AND(G50&gt;0,H50=0),"T names no task of yours in this sprint; ","")&amp;IF(I50="Y","blocker: "&amp;F50&amp;"; ","")))</f>
      </c>
      <c r="L50" s="20">
        <f>IF(A50="","",IF(C50=0,"@"&amp;A50&amp;" please post Y: / T: / B: for today.",IF(TRIM(IF(AND(N(C50)&gt;0,D50=""),"no Y; ","")&amp;IF(AND(N(C50)&gt;0,E50=""),"no T; ","")&amp;IF(AND(N(C50)&gt;0,F50=""),"no B; ","")&amp;IF(AND(E50&lt;&gt;"",G50=0),"no task id in T; ","")&amp;IF(AND(G50&gt;0,H50=0),"T names no task of yours in this sprint; ",""))="","","@"&amp;A50&amp;" please fix: "&amp;TRIM(IF(AND(N(C50)&gt;0,D50=""),"no Y; ","")&amp;IF(AND(N(C50)&gt;0,E50=""),"no T; ","")&amp;IF(AND(N(C50)&gt;0,F50=""),"no B; ","")&amp;IF(AND(E50&lt;&gt;"",G50=0),"no task id in T; ","")&amp;IF(AND(G50&gt;0,H50=0),"T names no task of yours in this sprint; ","")))))</f>
      </c>
      <c r="M50" s="11">
        <f>IF(N50="","",StandupDate)</f>
      </c>
      <c r="N50" s="17">
        <f>IF(J50&lt;&gt;"",J50,IF(I50="Y",IF(IFERROR(INDEX(Items[ID],MATCH(1,INDEX((Items[ID]&lt;&gt;"")*ISNUMBER(SEARCH(" "&amp;Items[ID]&amp;" "," "&amp;SUBSTITUTE(SUBSTITUTE(SUBSTITUTE(SUBSTITUTE(SUBSTITUTE(SUBSTITUTE(SUBSTITUTE(F50,",","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"&amp;SUBSTITUTE(SUBSTITUTE(SUBSTITUTE(SUBSTITUTE(SUBSTITUTE(SUBSTITUTE(SUBSTITUTE(F50,","," "),"."," "),";"," "),":"," "),"("," "),")"," "),"/"," ")&amp;" ")),0),0)),""),IFERROR(INDEX(Items[ID],MATCH(1,INDEX((Items[ID]&lt;&gt;"")*(Items[Owner]=A50)*ISNUMBER(SEARCH(" "&amp;Items[ID]&amp;" "," "&amp;SUBSTITUTE(SUBSTITUTE(SUBSTITUTE(SUBSTITUTE(SUBSTITUTE(SUBSTITUTE(SUBSTITUTE(E50,","," "),"."," "),";"," "),":"," "),"("," "),")"," "),"/"," ")&amp;" ")),0),0)),"")),""))</f>
      </c>
      <c r="O50" s="17">
        <f>IF(N50="","",IF(J50&lt;&gt;"","done","block"))</f>
      </c>
      <c r="P50" s="17">
        <f>IF(O50="block",F50,"")</f>
      </c>
    </row>
    <row r="51">
      <c r="A51" s="17">
        <f>IFERROR(INDEX(Roster[Name],47)&amp;"","")</f>
      </c>
      <c r="B51" s="17">
        <f>IF(A51="","",INDEX(Roster[Team],47)&amp;"")</f>
      </c>
      <c r="C51" s="17">
        <f>IF(OR(A51="",COUNTA(ChatPaste)=0),"",COUNTIF(ChatSpeaker,A51))</f>
      </c>
      <c r="D51" s="20">
        <f>IF(A51="","",IFERROR(INDEX(ChatText,MATCH(1,INDEX((ChatSpeaker=A51)*(ChatTag="Y"),0),0)),""))</f>
      </c>
      <c r="E51" s="20">
        <f>IF(A51="","",IFERROR(INDEX(ChatText,MATCH(1,INDEX((ChatSpeaker=A51)*(ChatTag="T"),0),0)),""))</f>
      </c>
      <c r="F51" s="20">
        <f>IF(A51="","",IFERROR(INDEX(ChatText,MATCH(1,INDEX((ChatSpeaker=A51)*(ChatTag="B"),0),0)),""))</f>
      </c>
      <c r="G51" s="17">
        <f>IF(E51="",0,SUMPRODUCT((Items[ID]&lt;&gt;"")*ISNUMBER(SEARCH(" "&amp;Items[ID]&amp;" "," "&amp;SUBSTITUTE(SUBSTITUTE(SUBSTITUTE(SUBSTITUTE(SUBSTITUTE(SUBSTITUTE(SUBSTITUTE(E51,","," "),"."," "),";"," "),":"," "),"("," "),")"," "),"/"," ")&amp;" "))))</f>
      </c>
      <c r="H51" s="17">
        <f>IF(E51="",0,SUMPRODUCT((Items[ID]&lt;&gt;"")*(Items[Owner]=A51)*(Items[In sprint]=1)*ISNUMBER(SEARCH(" "&amp;Items[ID]&amp;" "," "&amp;SUBSTITUTE(SUBSTITUTE(SUBSTITUTE(SUBSTITUTE(SUBSTITUTE(SUBSTITUTE(SUBSTITUTE(E51,","," "),"."," "),";"," "),":"," "),"("," "),")"," "),"/"," ")&amp;" "))))</f>
      </c>
      <c r="I51" s="17">
        <f>IF(F51="","",IF(OR(LOWER(TRIM(F51))={"none","no","nothing","n/a","na","-","nope","no blockers","none.","nil"}),"","Y"))</f>
      </c>
      <c r="J51" s="17">
        <f>IF(D51="","",IF(OR(ISNUMBER(SEARCH({"done","finished","completed","closed","merged"},D51))),IFERROR(INDEX(Items[ID],MATCH(1,INDEX((Items[ID]&lt;&gt;"")*(Items[State]&lt;&gt;"DONE")*ISNUMBER(SEARCH(" "&amp;Items[ID]&amp;" "," "&amp;SUBSTITUTE(SUBSTITUTE(SUBSTITUTE(SUBSTITUTE(SUBSTITUTE(SUBSTITUTE(SUBSTITUTE(D51,","," "),"."," "),";"," "),":"," "),"("," "),")"," "),"/"," ")&amp;" ")),0),0)),""),""))</f>
      </c>
      <c r="K51" s="20">
        <f>IF(A51="","",TRIM(IF(C51=0,"silent; ","")&amp;IF(AND(N(C51)&gt;0,D51=""),"no Y; ","")&amp;IF(AND(N(C51)&gt;0,E51=""),"no T; ","")&amp;IF(AND(N(C51)&gt;0,F51=""),"no B; ","")&amp;IF(AND(E51&lt;&gt;"",G51=0),"no task id in T; ","")&amp;IF(AND(G51&gt;0,H51=0),"T names no task of yours in this sprint; ","")&amp;IF(I51="Y","blocker: "&amp;F51&amp;"; ","")))</f>
      </c>
      <c r="L51" s="20">
        <f>IF(A51="","",IF(C51=0,"@"&amp;A51&amp;" please post Y: / T: / B: for today.",IF(TRIM(IF(AND(N(C51)&gt;0,D51=""),"no Y; ","")&amp;IF(AND(N(C51)&gt;0,E51=""),"no T; ","")&amp;IF(AND(N(C51)&gt;0,F51=""),"no B; ","")&amp;IF(AND(E51&lt;&gt;"",G51=0),"no task id in T; ","")&amp;IF(AND(G51&gt;0,H51=0),"T names no task of yours in this sprint; ",""))="","","@"&amp;A51&amp;" please fix: "&amp;TRIM(IF(AND(N(C51)&gt;0,D51=""),"no Y; ","")&amp;IF(AND(N(C51)&gt;0,E51=""),"no T; ","")&amp;IF(AND(N(C51)&gt;0,F51=""),"no B; ","")&amp;IF(AND(E51&lt;&gt;"",G51=0),"no task id in T; ","")&amp;IF(AND(G51&gt;0,H51=0),"T names no task of yours in this sprint; ","")))))</f>
      </c>
      <c r="M51" s="11">
        <f>IF(N51="","",StandupDate)</f>
      </c>
      <c r="N51" s="17">
        <f>IF(J51&lt;&gt;"",J51,IF(I51="Y",IF(IFERROR(INDEX(Items[ID],MATCH(1,INDEX((Items[ID]&lt;&gt;"")*ISNUMBER(SEARCH(" "&amp;Items[ID]&amp;" "," "&amp;SUBSTITUTE(SUBSTITUTE(SUBSTITUTE(SUBSTITUTE(SUBSTITUTE(SUBSTITUTE(SUBSTITUTE(F51,",","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"&amp;SUBSTITUTE(SUBSTITUTE(SUBSTITUTE(SUBSTITUTE(SUBSTITUTE(SUBSTITUTE(SUBSTITUTE(F51,","," "),"."," "),";"," "),":"," "),"("," "),")"," "),"/"," ")&amp;" ")),0),0)),""),IFERROR(INDEX(Items[ID],MATCH(1,INDEX((Items[ID]&lt;&gt;"")*(Items[Owner]=A51)*ISNUMBER(SEARCH(" "&amp;Items[ID]&amp;" "," "&amp;SUBSTITUTE(SUBSTITUTE(SUBSTITUTE(SUBSTITUTE(SUBSTITUTE(SUBSTITUTE(SUBSTITUTE(E51,","," "),"."," "),";"," "),":"," "),"("," "),")"," "),"/"," ")&amp;" ")),0),0)),"")),""))</f>
      </c>
      <c r="O51" s="17">
        <f>IF(N51="","",IF(J51&lt;&gt;"","done","block"))</f>
      </c>
      <c r="P51" s="17">
        <f>IF(O51="block",F51,"")</f>
      </c>
    </row>
    <row r="52">
      <c r="A52" s="17">
        <f>IFERROR(INDEX(Roster[Name],48)&amp;"","")</f>
      </c>
      <c r="B52" s="17">
        <f>IF(A52="","",INDEX(Roster[Team],48)&amp;"")</f>
      </c>
      <c r="C52" s="17">
        <f>IF(OR(A52="",COUNTA(ChatPaste)=0),"",COUNTIF(ChatSpeaker,A52))</f>
      </c>
      <c r="D52" s="20">
        <f>IF(A52="","",IFERROR(INDEX(ChatText,MATCH(1,INDEX((ChatSpeaker=A52)*(ChatTag="Y"),0),0)),""))</f>
      </c>
      <c r="E52" s="20">
        <f>IF(A52="","",IFERROR(INDEX(ChatText,MATCH(1,INDEX((ChatSpeaker=A52)*(ChatTag="T"),0),0)),""))</f>
      </c>
      <c r="F52" s="20">
        <f>IF(A52="","",IFERROR(INDEX(ChatText,MATCH(1,INDEX((ChatSpeaker=A52)*(ChatTag="B"),0),0)),""))</f>
      </c>
      <c r="G52" s="17">
        <f>IF(E52="",0,SUMPRODUCT((Items[ID]&lt;&gt;"")*ISNUMBER(SEARCH(" "&amp;Items[ID]&amp;" "," "&amp;SUBSTITUTE(SUBSTITUTE(SUBSTITUTE(SUBSTITUTE(SUBSTITUTE(SUBSTITUTE(SUBSTITUTE(E52,","," "),"."," "),";"," "),":"," "),"("," "),")"," "),"/"," ")&amp;" "))))</f>
      </c>
      <c r="H52" s="17">
        <f>IF(E52="",0,SUMPRODUCT((Items[ID]&lt;&gt;"")*(Items[Owner]=A52)*(Items[In sprint]=1)*ISNUMBER(SEARCH(" "&amp;Items[ID]&amp;" "," "&amp;SUBSTITUTE(SUBSTITUTE(SUBSTITUTE(SUBSTITUTE(SUBSTITUTE(SUBSTITUTE(SUBSTITUTE(E52,","," "),"."," "),";"," "),":"," "),"("," "),")"," "),"/"," ")&amp;" "))))</f>
      </c>
      <c r="I52" s="17">
        <f>IF(F52="","",IF(OR(LOWER(TRIM(F52))={"none","no","nothing","n/a","na","-","nope","no blockers","none.","nil"}),"","Y"))</f>
      </c>
      <c r="J52" s="17">
        <f>IF(D52="","",IF(OR(ISNUMBER(SEARCH({"done","finished","completed","closed","merged"},D52))),IFERROR(INDEX(Items[ID],MATCH(1,INDEX((Items[ID]&lt;&gt;"")*(Items[State]&lt;&gt;"DONE")*ISNUMBER(SEARCH(" "&amp;Items[ID]&amp;" "," "&amp;SUBSTITUTE(SUBSTITUTE(SUBSTITUTE(SUBSTITUTE(SUBSTITUTE(SUBSTITUTE(SUBSTITUTE(D52,","," "),"."," "),";"," "),":"," "),"("," "),")"," "),"/"," ")&amp;" ")),0),0)),""),""))</f>
      </c>
      <c r="K52" s="20">
        <f>IF(A52="","",TRIM(IF(C52=0,"silent; ","")&amp;IF(AND(N(C52)&gt;0,D52=""),"no Y; ","")&amp;IF(AND(N(C52)&gt;0,E52=""),"no T; ","")&amp;IF(AND(N(C52)&gt;0,F52=""),"no B; ","")&amp;IF(AND(E52&lt;&gt;"",G52=0),"no task id in T; ","")&amp;IF(AND(G52&gt;0,H52=0),"T names no task of yours in this sprint; ","")&amp;IF(I52="Y","blocker: "&amp;F52&amp;"; ","")))</f>
      </c>
      <c r="L52" s="20">
        <f>IF(A52="","",IF(C52=0,"@"&amp;A52&amp;" please post Y: / T: / B: for today.",IF(TRIM(IF(AND(N(C52)&gt;0,D52=""),"no Y; ","")&amp;IF(AND(N(C52)&gt;0,E52=""),"no T; ","")&amp;IF(AND(N(C52)&gt;0,F52=""),"no B; ","")&amp;IF(AND(E52&lt;&gt;"",G52=0),"no task id in T; ","")&amp;IF(AND(G52&gt;0,H52=0),"T names no task of yours in this sprint; ",""))="","","@"&amp;A52&amp;" please fix: "&amp;TRIM(IF(AND(N(C52)&gt;0,D52=""),"no Y; ","")&amp;IF(AND(N(C52)&gt;0,E52=""),"no T; ","")&amp;IF(AND(N(C52)&gt;0,F52=""),"no B; ","")&amp;IF(AND(E52&lt;&gt;"",G52=0),"no task id in T; ","")&amp;IF(AND(G52&gt;0,H52=0),"T names no task of yours in this sprint; ","")))))</f>
      </c>
      <c r="M52" s="11">
        <f>IF(N52="","",StandupDate)</f>
      </c>
      <c r="N52" s="17">
        <f>IF(J52&lt;&gt;"",J52,IF(I52="Y",IF(IFERROR(INDEX(Items[ID],MATCH(1,INDEX((Items[ID]&lt;&gt;"")*ISNUMBER(SEARCH(" "&amp;Items[ID]&amp;" "," "&amp;SUBSTITUTE(SUBSTITUTE(SUBSTITUTE(SUBSTITUTE(SUBSTITUTE(SUBSTITUTE(SUBSTITUTE(F52,",","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"&amp;SUBSTITUTE(SUBSTITUTE(SUBSTITUTE(SUBSTITUTE(SUBSTITUTE(SUBSTITUTE(SUBSTITUTE(F52,","," "),"."," "),";"," "),":"," "),"("," "),")"," "),"/"," ")&amp;" ")),0),0)),""),IFERROR(INDEX(Items[ID],MATCH(1,INDEX((Items[ID]&lt;&gt;"")*(Items[Owner]=A52)*ISNUMBER(SEARCH(" "&amp;Items[ID]&amp;" "," "&amp;SUBSTITUTE(SUBSTITUTE(SUBSTITUTE(SUBSTITUTE(SUBSTITUTE(SUBSTITUTE(SUBSTITUTE(E52,","," "),"."," "),";"," "),":"," "),"("," "),")"," "),"/"," ")&amp;" ")),0),0)),"")),""))</f>
      </c>
      <c r="O52" s="17">
        <f>IF(N52="","",IF(J52&lt;&gt;"","done","block"))</f>
      </c>
      <c r="P52" s="17">
        <f>IF(O52="block",F52,"")</f>
      </c>
    </row>
    <row r="53">
      <c r="A53" s="17">
        <f>IFERROR(INDEX(Roster[Name],49)&amp;"","")</f>
      </c>
      <c r="B53" s="17">
        <f>IF(A53="","",INDEX(Roster[Team],49)&amp;"")</f>
      </c>
      <c r="C53" s="17">
        <f>IF(OR(A53="",COUNTA(ChatPaste)=0),"",COUNTIF(ChatSpeaker,A53))</f>
      </c>
      <c r="D53" s="20">
        <f>IF(A53="","",IFERROR(INDEX(ChatText,MATCH(1,INDEX((ChatSpeaker=A53)*(ChatTag="Y"),0),0)),""))</f>
      </c>
      <c r="E53" s="20">
        <f>IF(A53="","",IFERROR(INDEX(ChatText,MATCH(1,INDEX((ChatSpeaker=A53)*(ChatTag="T"),0),0)),""))</f>
      </c>
      <c r="F53" s="20">
        <f>IF(A53="","",IFERROR(INDEX(ChatText,MATCH(1,INDEX((ChatSpeaker=A53)*(ChatTag="B"),0),0)),""))</f>
      </c>
      <c r="G53" s="17">
        <f>IF(E53="",0,SUMPRODUCT((Items[ID]&lt;&gt;"")*ISNUMBER(SEARCH(" "&amp;Items[ID]&amp;" "," "&amp;SUBSTITUTE(SUBSTITUTE(SUBSTITUTE(SUBSTITUTE(SUBSTITUTE(SUBSTITUTE(SUBSTITUTE(E53,","," "),"."," "),";"," "),":"," "),"("," "),")"," "),"/"," ")&amp;" "))))</f>
      </c>
      <c r="H53" s="17">
        <f>IF(E53="",0,SUMPRODUCT((Items[ID]&lt;&gt;"")*(Items[Owner]=A53)*(Items[In sprint]=1)*ISNUMBER(SEARCH(" "&amp;Items[ID]&amp;" "," "&amp;SUBSTITUTE(SUBSTITUTE(SUBSTITUTE(SUBSTITUTE(SUBSTITUTE(SUBSTITUTE(SUBSTITUTE(E53,","," "),"."," "),";"," "),":"," "),"("," "),")"," "),"/"," ")&amp;" "))))</f>
      </c>
      <c r="I53" s="17">
        <f>IF(F53="","",IF(OR(LOWER(TRIM(F53))={"none","no","nothing","n/a","na","-","nope","no blockers","none.","nil"}),"","Y"))</f>
      </c>
      <c r="J53" s="17">
        <f>IF(D53="","",IF(OR(ISNUMBER(SEARCH({"done","finished","completed","closed","merged"},D53))),IFERROR(INDEX(Items[ID],MATCH(1,INDEX((Items[ID]&lt;&gt;"")*(Items[State]&lt;&gt;"DONE")*ISNUMBER(SEARCH(" "&amp;Items[ID]&amp;" "," "&amp;SUBSTITUTE(SUBSTITUTE(SUBSTITUTE(SUBSTITUTE(SUBSTITUTE(SUBSTITUTE(SUBSTITUTE(D53,","," "),"."," "),";"," "),":"," "),"("," "),")"," "),"/"," ")&amp;" ")),0),0)),""),""))</f>
      </c>
      <c r="K53" s="20">
        <f>IF(A53="","",TRIM(IF(C53=0,"silent; ","")&amp;IF(AND(N(C53)&gt;0,D53=""),"no Y; ","")&amp;IF(AND(N(C53)&gt;0,E53=""),"no T; ","")&amp;IF(AND(N(C53)&gt;0,F53=""),"no B; ","")&amp;IF(AND(E53&lt;&gt;"",G53=0),"no task id in T; ","")&amp;IF(AND(G53&gt;0,H53=0),"T names no task of yours in this sprint; ","")&amp;IF(I53="Y","blocker: "&amp;F53&amp;"; ","")))</f>
      </c>
      <c r="L53" s="20">
        <f>IF(A53="","",IF(C53=0,"@"&amp;A53&amp;" please post Y: / T: / B: for today.",IF(TRIM(IF(AND(N(C53)&gt;0,D53=""),"no Y; ","")&amp;IF(AND(N(C53)&gt;0,E53=""),"no T; ","")&amp;IF(AND(N(C53)&gt;0,F53=""),"no B; ","")&amp;IF(AND(E53&lt;&gt;"",G53=0),"no task id in T; ","")&amp;IF(AND(G53&gt;0,H53=0),"T names no task of yours in this sprint; ",""))="","","@"&amp;A53&amp;" please fix: "&amp;TRIM(IF(AND(N(C53)&gt;0,D53=""),"no Y; ","")&amp;IF(AND(N(C53)&gt;0,E53=""),"no T; ","")&amp;IF(AND(N(C53)&gt;0,F53=""),"no B; ","")&amp;IF(AND(E53&lt;&gt;"",G53=0),"no task id in T; ","")&amp;IF(AND(G53&gt;0,H53=0),"T names no task of yours in this sprint; ","")))))</f>
      </c>
      <c r="M53" s="11">
        <f>IF(N53="","",StandupDate)</f>
      </c>
      <c r="N53" s="17">
        <f>IF(J53&lt;&gt;"",J53,IF(I53="Y",IF(IFERROR(INDEX(Items[ID],MATCH(1,INDEX((Items[ID]&lt;&gt;"")*ISNUMBER(SEARCH(" "&amp;Items[ID]&amp;" "," "&amp;SUBSTITUTE(SUBSTITUTE(SUBSTITUTE(SUBSTITUTE(SUBSTITUTE(SUBSTITUTE(SUBSTITUTE(F53,",","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"&amp;SUBSTITUTE(SUBSTITUTE(SUBSTITUTE(SUBSTITUTE(SUBSTITUTE(SUBSTITUTE(SUBSTITUTE(F53,","," "),"."," "),";"," "),":"," "),"("," "),")"," "),"/"," ")&amp;" ")),0),0)),""),IFERROR(INDEX(Items[ID],MATCH(1,INDEX((Items[ID]&lt;&gt;"")*(Items[Owner]=A53)*ISNUMBER(SEARCH(" "&amp;Items[ID]&amp;" "," "&amp;SUBSTITUTE(SUBSTITUTE(SUBSTITUTE(SUBSTITUTE(SUBSTITUTE(SUBSTITUTE(SUBSTITUTE(E53,","," "),"."," "),";"," "),":"," "),"("," "),")"," "),"/"," ")&amp;" ")),0),0)),"")),""))</f>
      </c>
      <c r="O53" s="17">
        <f>IF(N53="","",IF(J53&lt;&gt;"","done","block"))</f>
      </c>
      <c r="P53" s="17">
        <f>IF(O53="block",F53,"")</f>
      </c>
    </row>
    <row r="54">
      <c r="A54" s="17">
        <f>IFERROR(INDEX(Roster[Name],50)&amp;"","")</f>
      </c>
      <c r="B54" s="17">
        <f>IF(A54="","",INDEX(Roster[Team],50)&amp;"")</f>
      </c>
      <c r="C54" s="17">
        <f>IF(OR(A54="",COUNTA(ChatPaste)=0),"",COUNTIF(ChatSpeaker,A54))</f>
      </c>
      <c r="D54" s="20">
        <f>IF(A54="","",IFERROR(INDEX(ChatText,MATCH(1,INDEX((ChatSpeaker=A54)*(ChatTag="Y"),0),0)),""))</f>
      </c>
      <c r="E54" s="20">
        <f>IF(A54="","",IFERROR(INDEX(ChatText,MATCH(1,INDEX((ChatSpeaker=A54)*(ChatTag="T"),0),0)),""))</f>
      </c>
      <c r="F54" s="20">
        <f>IF(A54="","",IFERROR(INDEX(ChatText,MATCH(1,INDEX((ChatSpeaker=A54)*(ChatTag="B"),0),0)),""))</f>
      </c>
      <c r="G54" s="17">
        <f>IF(E54="",0,SUMPRODUCT((Items[ID]&lt;&gt;"")*ISNUMBER(SEARCH(" "&amp;Items[ID]&amp;" "," "&amp;SUBSTITUTE(SUBSTITUTE(SUBSTITUTE(SUBSTITUTE(SUBSTITUTE(SUBSTITUTE(SUBSTITUTE(E54,","," "),"."," "),";"," "),":"," "),"("," "),")"," "),"/"," ")&amp;" "))))</f>
      </c>
      <c r="H54" s="17">
        <f>IF(E54="",0,SUMPRODUCT((Items[ID]&lt;&gt;"")*(Items[Owner]=A54)*(Items[In sprint]=1)*ISNUMBER(SEARCH(" "&amp;Items[ID]&amp;" "," "&amp;SUBSTITUTE(SUBSTITUTE(SUBSTITUTE(SUBSTITUTE(SUBSTITUTE(SUBSTITUTE(SUBSTITUTE(E54,","," "),"."," "),";"," "),":"," "),"("," "),")"," "),"/"," ")&amp;" "))))</f>
      </c>
      <c r="I54" s="17">
        <f>IF(F54="","",IF(OR(LOWER(TRIM(F54))={"none","no","nothing","n/a","na","-","nope","no blockers","none.","nil"}),"","Y"))</f>
      </c>
      <c r="J54" s="17">
        <f>IF(D54="","",IF(OR(ISNUMBER(SEARCH({"done","finished","completed","closed","merged"},D54))),IFERROR(INDEX(Items[ID],MATCH(1,INDEX((Items[ID]&lt;&gt;"")*(Items[State]&lt;&gt;"DONE")*ISNUMBER(SEARCH(" "&amp;Items[ID]&amp;" "," "&amp;SUBSTITUTE(SUBSTITUTE(SUBSTITUTE(SUBSTITUTE(SUBSTITUTE(SUBSTITUTE(SUBSTITUTE(D54,","," "),"."," "),";"," "),":"," "),"("," "),")"," "),"/"," ")&amp;" ")),0),0)),""),""))</f>
      </c>
      <c r="K54" s="20">
        <f>IF(A54="","",TRIM(IF(C54=0,"silent; ","")&amp;IF(AND(N(C54)&gt;0,D54=""),"no Y; ","")&amp;IF(AND(N(C54)&gt;0,E54=""),"no T; ","")&amp;IF(AND(N(C54)&gt;0,F54=""),"no B; ","")&amp;IF(AND(E54&lt;&gt;"",G54=0),"no task id in T; ","")&amp;IF(AND(G54&gt;0,H54=0),"T names no task of yours in this sprint; ","")&amp;IF(I54="Y","blocker: "&amp;F54&amp;"; ","")))</f>
      </c>
      <c r="L54" s="20">
        <f>IF(A54="","",IF(C54=0,"@"&amp;A54&amp;" please post Y: / T: / B: for today.",IF(TRIM(IF(AND(N(C54)&gt;0,D54=""),"no Y; ","")&amp;IF(AND(N(C54)&gt;0,E54=""),"no T; ","")&amp;IF(AND(N(C54)&gt;0,F54=""),"no B; ","")&amp;IF(AND(E54&lt;&gt;"",G54=0),"no task id in T; ","")&amp;IF(AND(G54&gt;0,H54=0),"T names no task of yours in this sprint; ",""))="","","@"&amp;A54&amp;" please fix: "&amp;TRIM(IF(AND(N(C54)&gt;0,D54=""),"no Y; ","")&amp;IF(AND(N(C54)&gt;0,E54=""),"no T; ","")&amp;IF(AND(N(C54)&gt;0,F54=""),"no B; ","")&amp;IF(AND(E54&lt;&gt;"",G54=0),"no task id in T; ","")&amp;IF(AND(G54&gt;0,H54=0),"T names no task of yours in this sprint; ","")))))</f>
      </c>
      <c r="M54" s="11">
        <f>IF(N54="","",StandupDate)</f>
      </c>
      <c r="N54" s="17">
        <f>IF(J54&lt;&gt;"",J54,IF(I54="Y",IF(IFERROR(INDEX(Items[ID],MATCH(1,INDEX((Items[ID]&lt;&gt;"")*ISNUMBER(SEARCH(" "&amp;Items[ID]&amp;" "," "&amp;SUBSTITUTE(SUBSTITUTE(SUBSTITUTE(SUBSTITUTE(SUBSTITUTE(SUBSTITUTE(SUBSTITUTE(F54,",","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"&amp;SUBSTITUTE(SUBSTITUTE(SUBSTITUTE(SUBSTITUTE(SUBSTITUTE(SUBSTITUTE(SUBSTITUTE(F54,","," "),"."," "),";"," "),":"," "),"("," "),")"," "),"/"," ")&amp;" ")),0),0)),""),IFERROR(INDEX(Items[ID],MATCH(1,INDEX((Items[ID]&lt;&gt;"")*(Items[Owner]=A54)*ISNUMBER(SEARCH(" "&amp;Items[ID]&amp;" "," "&amp;SUBSTITUTE(SUBSTITUTE(SUBSTITUTE(SUBSTITUTE(SUBSTITUTE(SUBSTITUTE(SUBSTITUTE(E54,","," "),"."," "),";"," "),":"," "),"("," "),")"," "),"/"," ")&amp;" ")),0),0)),"")),""))</f>
      </c>
      <c r="O54" s="17">
        <f>IF(N54="","",IF(J54&lt;&gt;"","done","block"))</f>
      </c>
      <c r="P54" s="17">
        <f>IF(O54="block",F54,"")</f>
      </c>
    </row>
    <row r="55">
      <c r="A55" s="17">
        <f>IFERROR(INDEX(Roster[Name],51)&amp;"","")</f>
      </c>
      <c r="B55" s="17">
        <f>IF(A55="","",INDEX(Roster[Team],51)&amp;"")</f>
      </c>
      <c r="C55" s="17">
        <f>IF(OR(A55="",COUNTA(ChatPaste)=0),"",COUNTIF(ChatSpeaker,A55))</f>
      </c>
      <c r="D55" s="20">
        <f>IF(A55="","",IFERROR(INDEX(ChatText,MATCH(1,INDEX((ChatSpeaker=A55)*(ChatTag="Y"),0),0)),""))</f>
      </c>
      <c r="E55" s="20">
        <f>IF(A55="","",IFERROR(INDEX(ChatText,MATCH(1,INDEX((ChatSpeaker=A55)*(ChatTag="T"),0),0)),""))</f>
      </c>
      <c r="F55" s="20">
        <f>IF(A55="","",IFERROR(INDEX(ChatText,MATCH(1,INDEX((ChatSpeaker=A55)*(ChatTag="B"),0),0)),""))</f>
      </c>
      <c r="G55" s="17">
        <f>IF(E55="",0,SUMPRODUCT((Items[ID]&lt;&gt;"")*ISNUMBER(SEARCH(" "&amp;Items[ID]&amp;" "," "&amp;SUBSTITUTE(SUBSTITUTE(SUBSTITUTE(SUBSTITUTE(SUBSTITUTE(SUBSTITUTE(SUBSTITUTE(E55,","," "),"."," "),";"," "),":"," "),"("," "),")"," "),"/"," ")&amp;" "))))</f>
      </c>
      <c r="H55" s="17">
        <f>IF(E55="",0,SUMPRODUCT((Items[ID]&lt;&gt;"")*(Items[Owner]=A55)*(Items[In sprint]=1)*ISNUMBER(SEARCH(" "&amp;Items[ID]&amp;" "," "&amp;SUBSTITUTE(SUBSTITUTE(SUBSTITUTE(SUBSTITUTE(SUBSTITUTE(SUBSTITUTE(SUBSTITUTE(E55,","," "),"."," "),";"," "),":"," "),"("," "),")"," "),"/"," ")&amp;" "))))</f>
      </c>
      <c r="I55" s="17">
        <f>IF(F55="","",IF(OR(LOWER(TRIM(F55))={"none","no","nothing","n/a","na","-","nope","no blockers","none.","nil"}),"","Y"))</f>
      </c>
      <c r="J55" s="17">
        <f>IF(D55="","",IF(OR(ISNUMBER(SEARCH({"done","finished","completed","closed","merged"},D55))),IFERROR(INDEX(Items[ID],MATCH(1,INDEX((Items[ID]&lt;&gt;"")*(Items[State]&lt;&gt;"DONE")*ISNUMBER(SEARCH(" "&amp;Items[ID]&amp;" "," "&amp;SUBSTITUTE(SUBSTITUTE(SUBSTITUTE(SUBSTITUTE(SUBSTITUTE(SUBSTITUTE(SUBSTITUTE(D55,","," "),"."," "),";"," "),":"," "),"("," "),")"," "),"/"," ")&amp;" ")),0),0)),""),""))</f>
      </c>
      <c r="K55" s="20">
        <f>IF(A55="","",TRIM(IF(C55=0,"silent; ","")&amp;IF(AND(N(C55)&gt;0,D55=""),"no Y; ","")&amp;IF(AND(N(C55)&gt;0,E55=""),"no T; ","")&amp;IF(AND(N(C55)&gt;0,F55=""),"no B; ","")&amp;IF(AND(E55&lt;&gt;"",G55=0),"no task id in T; ","")&amp;IF(AND(G55&gt;0,H55=0),"T names no task of yours in this sprint; ","")&amp;IF(I55="Y","blocker: "&amp;F55&amp;"; ","")))</f>
      </c>
      <c r="L55" s="20">
        <f>IF(A55="","",IF(C55=0,"@"&amp;A55&amp;" please post Y: / T: / B: for today.",IF(TRIM(IF(AND(N(C55)&gt;0,D55=""),"no Y; ","")&amp;IF(AND(N(C55)&gt;0,E55=""),"no T; ","")&amp;IF(AND(N(C55)&gt;0,F55=""),"no B; ","")&amp;IF(AND(E55&lt;&gt;"",G55=0),"no task id in T; ","")&amp;IF(AND(G55&gt;0,H55=0),"T names no task of yours in this sprint; ",""))="","","@"&amp;A55&amp;" please fix: "&amp;TRIM(IF(AND(N(C55)&gt;0,D55=""),"no Y; ","")&amp;IF(AND(N(C55)&gt;0,E55=""),"no T; ","")&amp;IF(AND(N(C55)&gt;0,F55=""),"no B; ","")&amp;IF(AND(E55&lt;&gt;"",G55=0),"no task id in T; ","")&amp;IF(AND(G55&gt;0,H55=0),"T names no task of yours in this sprint; ","")))))</f>
      </c>
      <c r="M55" s="11">
        <f>IF(N55="","",StandupDate)</f>
      </c>
      <c r="N55" s="17">
        <f>IF(J55&lt;&gt;"",J55,IF(I55="Y",IF(IFERROR(INDEX(Items[ID],MATCH(1,INDEX((Items[ID]&lt;&gt;"")*ISNUMBER(SEARCH(" "&amp;Items[ID]&amp;" "," "&amp;SUBSTITUTE(SUBSTITUTE(SUBSTITUTE(SUBSTITUTE(SUBSTITUTE(SUBSTITUTE(SUBSTITUTE(F55,",","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"&amp;SUBSTITUTE(SUBSTITUTE(SUBSTITUTE(SUBSTITUTE(SUBSTITUTE(SUBSTITUTE(SUBSTITUTE(F55,","," "),"."," "),";"," "),":"," "),"("," "),")"," "),"/"," ")&amp;" ")),0),0)),""),IFERROR(INDEX(Items[ID],MATCH(1,INDEX((Items[ID]&lt;&gt;"")*(Items[Owner]=A55)*ISNUMBER(SEARCH(" "&amp;Items[ID]&amp;" "," "&amp;SUBSTITUTE(SUBSTITUTE(SUBSTITUTE(SUBSTITUTE(SUBSTITUTE(SUBSTITUTE(SUBSTITUTE(E55,","," "),"."," "),";"," "),":"," "),"("," "),")"," "),"/"," ")&amp;" ")),0),0)),"")),""))</f>
      </c>
      <c r="O55" s="17">
        <f>IF(N55="","",IF(J55&lt;&gt;"","done","block"))</f>
      </c>
      <c r="P55" s="17">
        <f>IF(O55="block",F55,"")</f>
      </c>
    </row>
    <row r="56">
      <c r="A56" s="17">
        <f>IFERROR(INDEX(Roster[Name],52)&amp;"","")</f>
      </c>
      <c r="B56" s="17">
        <f>IF(A56="","",INDEX(Roster[Team],52)&amp;"")</f>
      </c>
      <c r="C56" s="17">
        <f>IF(OR(A56="",COUNTA(ChatPaste)=0),"",COUNTIF(ChatSpeaker,A56))</f>
      </c>
      <c r="D56" s="20">
        <f>IF(A56="","",IFERROR(INDEX(ChatText,MATCH(1,INDEX((ChatSpeaker=A56)*(ChatTag="Y"),0),0)),""))</f>
      </c>
      <c r="E56" s="20">
        <f>IF(A56="","",IFERROR(INDEX(ChatText,MATCH(1,INDEX((ChatSpeaker=A56)*(ChatTag="T"),0),0)),""))</f>
      </c>
      <c r="F56" s="20">
        <f>IF(A56="","",IFERROR(INDEX(ChatText,MATCH(1,INDEX((ChatSpeaker=A56)*(ChatTag="B"),0),0)),""))</f>
      </c>
      <c r="G56" s="17">
        <f>IF(E56="",0,SUMPRODUCT((Items[ID]&lt;&gt;"")*ISNUMBER(SEARCH(" "&amp;Items[ID]&amp;" "," "&amp;SUBSTITUTE(SUBSTITUTE(SUBSTITUTE(SUBSTITUTE(SUBSTITUTE(SUBSTITUTE(SUBSTITUTE(E56,","," "),"."," "),";"," "),":"," "),"("," "),")"," "),"/"," ")&amp;" "))))</f>
      </c>
      <c r="H56" s="17">
        <f>IF(E56="",0,SUMPRODUCT((Items[ID]&lt;&gt;"")*(Items[Owner]=A56)*(Items[In sprint]=1)*ISNUMBER(SEARCH(" "&amp;Items[ID]&amp;" "," "&amp;SUBSTITUTE(SUBSTITUTE(SUBSTITUTE(SUBSTITUTE(SUBSTITUTE(SUBSTITUTE(SUBSTITUTE(E56,","," "),"."," "),";"," "),":"," "),"("," "),")"," "),"/"," ")&amp;" "))))</f>
      </c>
      <c r="I56" s="17">
        <f>IF(F56="","",IF(OR(LOWER(TRIM(F56))={"none","no","nothing","n/a","na","-","nope","no blockers","none.","nil"}),"","Y"))</f>
      </c>
      <c r="J56" s="17">
        <f>IF(D56="","",IF(OR(ISNUMBER(SEARCH({"done","finished","completed","closed","merged"},D56))),IFERROR(INDEX(Items[ID],MATCH(1,INDEX((Items[ID]&lt;&gt;"")*(Items[State]&lt;&gt;"DONE")*ISNUMBER(SEARCH(" "&amp;Items[ID]&amp;" "," "&amp;SUBSTITUTE(SUBSTITUTE(SUBSTITUTE(SUBSTITUTE(SUBSTITUTE(SUBSTITUTE(SUBSTITUTE(D56,","," "),"."," "),";"," "),":"," "),"("," "),")"," "),"/"," ")&amp;" ")),0),0)),""),""))</f>
      </c>
      <c r="K56" s="20">
        <f>IF(A56="","",TRIM(IF(C56=0,"silent; ","")&amp;IF(AND(N(C56)&gt;0,D56=""),"no Y; ","")&amp;IF(AND(N(C56)&gt;0,E56=""),"no T; ","")&amp;IF(AND(N(C56)&gt;0,F56=""),"no B; ","")&amp;IF(AND(E56&lt;&gt;"",G56=0),"no task id in T; ","")&amp;IF(AND(G56&gt;0,H56=0),"T names no task of yours in this sprint; ","")&amp;IF(I56="Y","blocker: "&amp;F56&amp;"; ","")))</f>
      </c>
      <c r="L56" s="20">
        <f>IF(A56="","",IF(C56=0,"@"&amp;A56&amp;" please post Y: / T: / B: for today.",IF(TRIM(IF(AND(N(C56)&gt;0,D56=""),"no Y; ","")&amp;IF(AND(N(C56)&gt;0,E56=""),"no T; ","")&amp;IF(AND(N(C56)&gt;0,F56=""),"no B; ","")&amp;IF(AND(E56&lt;&gt;"",G56=0),"no task id in T; ","")&amp;IF(AND(G56&gt;0,H56=0),"T names no task of yours in this sprint; ",""))="","","@"&amp;A56&amp;" please fix: "&amp;TRIM(IF(AND(N(C56)&gt;0,D56=""),"no Y; ","")&amp;IF(AND(N(C56)&gt;0,E56=""),"no T; ","")&amp;IF(AND(N(C56)&gt;0,F56=""),"no B; ","")&amp;IF(AND(E56&lt;&gt;"",G56=0),"no task id in T; ","")&amp;IF(AND(G56&gt;0,H56=0),"T names no task of yours in this sprint; ","")))))</f>
      </c>
      <c r="M56" s="11">
        <f>IF(N56="","",StandupDate)</f>
      </c>
      <c r="N56" s="17">
        <f>IF(J56&lt;&gt;"",J56,IF(I56="Y",IF(IFERROR(INDEX(Items[ID],MATCH(1,INDEX((Items[ID]&lt;&gt;"")*ISNUMBER(SEARCH(" "&amp;Items[ID]&amp;" "," "&amp;SUBSTITUTE(SUBSTITUTE(SUBSTITUTE(SUBSTITUTE(SUBSTITUTE(SUBSTITUTE(SUBSTITUTE(F56,",","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"&amp;SUBSTITUTE(SUBSTITUTE(SUBSTITUTE(SUBSTITUTE(SUBSTITUTE(SUBSTITUTE(SUBSTITUTE(F56,","," "),"."," "),";"," "),":"," "),"("," "),")"," "),"/"," ")&amp;" ")),0),0)),""),IFERROR(INDEX(Items[ID],MATCH(1,INDEX((Items[ID]&lt;&gt;"")*(Items[Owner]=A56)*ISNUMBER(SEARCH(" "&amp;Items[ID]&amp;" "," "&amp;SUBSTITUTE(SUBSTITUTE(SUBSTITUTE(SUBSTITUTE(SUBSTITUTE(SUBSTITUTE(SUBSTITUTE(E56,","," "),"."," "),";"," "),":"," "),"("," "),")"," "),"/"," ")&amp;" ")),0),0)),"")),""))</f>
      </c>
      <c r="O56" s="17">
        <f>IF(N56="","",IF(J56&lt;&gt;"","done","block"))</f>
      </c>
      <c r="P56" s="17">
        <f>IF(O56="block",F56,"")</f>
      </c>
    </row>
    <row r="57">
      <c r="A57" s="17">
        <f>IFERROR(INDEX(Roster[Name],53)&amp;"","")</f>
      </c>
      <c r="B57" s="17">
        <f>IF(A57="","",INDEX(Roster[Team],53)&amp;"")</f>
      </c>
      <c r="C57" s="17">
        <f>IF(OR(A57="",COUNTA(ChatPaste)=0),"",COUNTIF(ChatSpeaker,A57))</f>
      </c>
      <c r="D57" s="20">
        <f>IF(A57="","",IFERROR(INDEX(ChatText,MATCH(1,INDEX((ChatSpeaker=A57)*(ChatTag="Y"),0),0)),""))</f>
      </c>
      <c r="E57" s="20">
        <f>IF(A57="","",IFERROR(INDEX(ChatText,MATCH(1,INDEX((ChatSpeaker=A57)*(ChatTag="T"),0),0)),""))</f>
      </c>
      <c r="F57" s="20">
        <f>IF(A57="","",IFERROR(INDEX(ChatText,MATCH(1,INDEX((ChatSpeaker=A57)*(ChatTag="B"),0),0)),""))</f>
      </c>
      <c r="G57" s="17">
        <f>IF(E57="",0,SUMPRODUCT((Items[ID]&lt;&gt;"")*ISNUMBER(SEARCH(" "&amp;Items[ID]&amp;" "," "&amp;SUBSTITUTE(SUBSTITUTE(SUBSTITUTE(SUBSTITUTE(SUBSTITUTE(SUBSTITUTE(SUBSTITUTE(E57,","," "),"."," "),";"," "),":"," "),"("," "),")"," "),"/"," ")&amp;" "))))</f>
      </c>
      <c r="H57" s="17">
        <f>IF(E57="",0,SUMPRODUCT((Items[ID]&lt;&gt;"")*(Items[Owner]=A57)*(Items[In sprint]=1)*ISNUMBER(SEARCH(" "&amp;Items[ID]&amp;" "," "&amp;SUBSTITUTE(SUBSTITUTE(SUBSTITUTE(SUBSTITUTE(SUBSTITUTE(SUBSTITUTE(SUBSTITUTE(E57,","," "),"."," "),";"," "),":"," "),"("," "),")"," "),"/"," ")&amp;" "))))</f>
      </c>
      <c r="I57" s="17">
        <f>IF(F57="","",IF(OR(LOWER(TRIM(F57))={"none","no","nothing","n/a","na","-","nope","no blockers","none.","nil"}),"","Y"))</f>
      </c>
      <c r="J57" s="17">
        <f>IF(D57="","",IF(OR(ISNUMBER(SEARCH({"done","finished","completed","closed","merged"},D57))),IFERROR(INDEX(Items[ID],MATCH(1,INDEX((Items[ID]&lt;&gt;"")*(Items[State]&lt;&gt;"DONE")*ISNUMBER(SEARCH(" "&amp;Items[ID]&amp;" "," "&amp;SUBSTITUTE(SUBSTITUTE(SUBSTITUTE(SUBSTITUTE(SUBSTITUTE(SUBSTITUTE(SUBSTITUTE(D57,","," "),"."," "),";"," "),":"," "),"("," "),")"," "),"/"," ")&amp;" ")),0),0)),""),""))</f>
      </c>
      <c r="K57" s="20">
        <f>IF(A57="","",TRIM(IF(C57=0,"silent; ","")&amp;IF(AND(N(C57)&gt;0,D57=""),"no Y; ","")&amp;IF(AND(N(C57)&gt;0,E57=""),"no T; ","")&amp;IF(AND(N(C57)&gt;0,F57=""),"no B; ","")&amp;IF(AND(E57&lt;&gt;"",G57=0),"no task id in T; ","")&amp;IF(AND(G57&gt;0,H57=0),"T names no task of yours in this sprint; ","")&amp;IF(I57="Y","blocker: "&amp;F57&amp;"; ","")))</f>
      </c>
      <c r="L57" s="20">
        <f>IF(A57="","",IF(C57=0,"@"&amp;A57&amp;" please post Y: / T: / B: for today.",IF(TRIM(IF(AND(N(C57)&gt;0,D57=""),"no Y; ","")&amp;IF(AND(N(C57)&gt;0,E57=""),"no T; ","")&amp;IF(AND(N(C57)&gt;0,F57=""),"no B; ","")&amp;IF(AND(E57&lt;&gt;"",G57=0),"no task id in T; ","")&amp;IF(AND(G57&gt;0,H57=0),"T names no task of yours in this sprint; ",""))="","","@"&amp;A57&amp;" please fix: "&amp;TRIM(IF(AND(N(C57)&gt;0,D57=""),"no Y; ","")&amp;IF(AND(N(C57)&gt;0,E57=""),"no T; ","")&amp;IF(AND(N(C57)&gt;0,F57=""),"no B; ","")&amp;IF(AND(E57&lt;&gt;"",G57=0),"no task id in T; ","")&amp;IF(AND(G57&gt;0,H57=0),"T names no task of yours in this sprint; ","")))))</f>
      </c>
      <c r="M57" s="11">
        <f>IF(N57="","",StandupDate)</f>
      </c>
      <c r="N57" s="17">
        <f>IF(J57&lt;&gt;"",J57,IF(I57="Y",IF(IFERROR(INDEX(Items[ID],MATCH(1,INDEX((Items[ID]&lt;&gt;"")*ISNUMBER(SEARCH(" "&amp;Items[ID]&amp;" "," "&amp;SUBSTITUTE(SUBSTITUTE(SUBSTITUTE(SUBSTITUTE(SUBSTITUTE(SUBSTITUTE(SUBSTITUTE(F57,",","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"&amp;SUBSTITUTE(SUBSTITUTE(SUBSTITUTE(SUBSTITUTE(SUBSTITUTE(SUBSTITUTE(SUBSTITUTE(F57,","," "),"."," "),";"," "),":"," "),"("," "),")"," "),"/"," ")&amp;" ")),0),0)),""),IFERROR(INDEX(Items[ID],MATCH(1,INDEX((Items[ID]&lt;&gt;"")*(Items[Owner]=A57)*ISNUMBER(SEARCH(" "&amp;Items[ID]&amp;" "," "&amp;SUBSTITUTE(SUBSTITUTE(SUBSTITUTE(SUBSTITUTE(SUBSTITUTE(SUBSTITUTE(SUBSTITUTE(E57,","," "),"."," "),";"," "),":"," "),"("," "),")"," "),"/"," ")&amp;" ")),0),0)),"")),""))</f>
      </c>
      <c r="O57" s="17">
        <f>IF(N57="","",IF(J57&lt;&gt;"","done","block"))</f>
      </c>
      <c r="P57" s="17">
        <f>IF(O57="block",F57,"")</f>
      </c>
    </row>
    <row r="58">
      <c r="A58" s="17">
        <f>IFERROR(INDEX(Roster[Name],54)&amp;"","")</f>
      </c>
      <c r="B58" s="17">
        <f>IF(A58="","",INDEX(Roster[Team],54)&amp;"")</f>
      </c>
      <c r="C58" s="17">
        <f>IF(OR(A58="",COUNTA(ChatPaste)=0),"",COUNTIF(ChatSpeaker,A58))</f>
      </c>
      <c r="D58" s="20">
        <f>IF(A58="","",IFERROR(INDEX(ChatText,MATCH(1,INDEX((ChatSpeaker=A58)*(ChatTag="Y"),0),0)),""))</f>
      </c>
      <c r="E58" s="20">
        <f>IF(A58="","",IFERROR(INDEX(ChatText,MATCH(1,INDEX((ChatSpeaker=A58)*(ChatTag="T"),0),0)),""))</f>
      </c>
      <c r="F58" s="20">
        <f>IF(A58="","",IFERROR(INDEX(ChatText,MATCH(1,INDEX((ChatSpeaker=A58)*(ChatTag="B"),0),0)),""))</f>
      </c>
      <c r="G58" s="17">
        <f>IF(E58="",0,SUMPRODUCT((Items[ID]&lt;&gt;"")*ISNUMBER(SEARCH(" "&amp;Items[ID]&amp;" "," "&amp;SUBSTITUTE(SUBSTITUTE(SUBSTITUTE(SUBSTITUTE(SUBSTITUTE(SUBSTITUTE(SUBSTITUTE(E58,","," "),"."," "),";"," "),":"," "),"("," "),")"," "),"/"," ")&amp;" "))))</f>
      </c>
      <c r="H58" s="17">
        <f>IF(E58="",0,SUMPRODUCT((Items[ID]&lt;&gt;"")*(Items[Owner]=A58)*(Items[In sprint]=1)*ISNUMBER(SEARCH(" "&amp;Items[ID]&amp;" "," "&amp;SUBSTITUTE(SUBSTITUTE(SUBSTITUTE(SUBSTITUTE(SUBSTITUTE(SUBSTITUTE(SUBSTITUTE(E58,","," "),"."," "),";"," "),":"," "),"("," "),")"," "),"/"," ")&amp;" "))))</f>
      </c>
      <c r="I58" s="17">
        <f>IF(F58="","",IF(OR(LOWER(TRIM(F58))={"none","no","nothing","n/a","na","-","nope","no blockers","none.","nil"}),"","Y"))</f>
      </c>
      <c r="J58" s="17">
        <f>IF(D58="","",IF(OR(ISNUMBER(SEARCH({"done","finished","completed","closed","merged"},D58))),IFERROR(INDEX(Items[ID],MATCH(1,INDEX((Items[ID]&lt;&gt;"")*(Items[State]&lt;&gt;"DONE")*ISNUMBER(SEARCH(" "&amp;Items[ID]&amp;" "," "&amp;SUBSTITUTE(SUBSTITUTE(SUBSTITUTE(SUBSTITUTE(SUBSTITUTE(SUBSTITUTE(SUBSTITUTE(D58,","," "),"."," "),";"," "),":"," "),"("," "),")"," "),"/"," ")&amp;" ")),0),0)),""),""))</f>
      </c>
      <c r="K58" s="20">
        <f>IF(A58="","",TRIM(IF(C58=0,"silent; ","")&amp;IF(AND(N(C58)&gt;0,D58=""),"no Y; ","")&amp;IF(AND(N(C58)&gt;0,E58=""),"no T; ","")&amp;IF(AND(N(C58)&gt;0,F58=""),"no B; ","")&amp;IF(AND(E58&lt;&gt;"",G58=0),"no task id in T; ","")&amp;IF(AND(G58&gt;0,H58=0),"T names no task of yours in this sprint; ","")&amp;IF(I58="Y","blocker: "&amp;F58&amp;"; ","")))</f>
      </c>
      <c r="L58" s="20">
        <f>IF(A58="","",IF(C58=0,"@"&amp;A58&amp;" please post Y: / T: / B: for today.",IF(TRIM(IF(AND(N(C58)&gt;0,D58=""),"no Y; ","")&amp;IF(AND(N(C58)&gt;0,E58=""),"no T; ","")&amp;IF(AND(N(C58)&gt;0,F58=""),"no B; ","")&amp;IF(AND(E58&lt;&gt;"",G58=0),"no task id in T; ","")&amp;IF(AND(G58&gt;0,H58=0),"T names no task of yours in this sprint; ",""))="","","@"&amp;A58&amp;" please fix: "&amp;TRIM(IF(AND(N(C58)&gt;0,D58=""),"no Y; ","")&amp;IF(AND(N(C58)&gt;0,E58=""),"no T; ","")&amp;IF(AND(N(C58)&gt;0,F58=""),"no B; ","")&amp;IF(AND(E58&lt;&gt;"",G58=0),"no task id in T; ","")&amp;IF(AND(G58&gt;0,H58=0),"T names no task of yours in this sprint; ","")))))</f>
      </c>
      <c r="M58" s="11">
        <f>IF(N58="","",StandupDate)</f>
      </c>
      <c r="N58" s="17">
        <f>IF(J58&lt;&gt;"",J58,IF(I58="Y",IF(IFERROR(INDEX(Items[ID],MATCH(1,INDEX((Items[ID]&lt;&gt;"")*ISNUMBER(SEARCH(" "&amp;Items[ID]&amp;" "," "&amp;SUBSTITUTE(SUBSTITUTE(SUBSTITUTE(SUBSTITUTE(SUBSTITUTE(SUBSTITUTE(SUBSTITUTE(F58,",","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"&amp;SUBSTITUTE(SUBSTITUTE(SUBSTITUTE(SUBSTITUTE(SUBSTITUTE(SUBSTITUTE(SUBSTITUTE(F58,","," "),"."," "),";"," "),":"," "),"("," "),")"," "),"/"," ")&amp;" ")),0),0)),""),IFERROR(INDEX(Items[ID],MATCH(1,INDEX((Items[ID]&lt;&gt;"")*(Items[Owner]=A58)*ISNUMBER(SEARCH(" "&amp;Items[ID]&amp;" "," "&amp;SUBSTITUTE(SUBSTITUTE(SUBSTITUTE(SUBSTITUTE(SUBSTITUTE(SUBSTITUTE(SUBSTITUTE(E58,","," "),"."," "),";"," "),":"," "),"("," "),")"," "),"/"," ")&amp;" ")),0),0)),"")),""))</f>
      </c>
      <c r="O58" s="17">
        <f>IF(N58="","",IF(J58&lt;&gt;"","done","block"))</f>
      </c>
      <c r="P58" s="17">
        <f>IF(O58="block",F58,"")</f>
      </c>
    </row>
    <row r="59">
      <c r="A59" s="17">
        <f>IFERROR(INDEX(Roster[Name],55)&amp;"","")</f>
      </c>
      <c r="B59" s="17">
        <f>IF(A59="","",INDEX(Roster[Team],55)&amp;"")</f>
      </c>
      <c r="C59" s="17">
        <f>IF(OR(A59="",COUNTA(ChatPaste)=0),"",COUNTIF(ChatSpeaker,A59))</f>
      </c>
      <c r="D59" s="20">
        <f>IF(A59="","",IFERROR(INDEX(ChatText,MATCH(1,INDEX((ChatSpeaker=A59)*(ChatTag="Y"),0),0)),""))</f>
      </c>
      <c r="E59" s="20">
        <f>IF(A59="","",IFERROR(INDEX(ChatText,MATCH(1,INDEX((ChatSpeaker=A59)*(ChatTag="T"),0),0)),""))</f>
      </c>
      <c r="F59" s="20">
        <f>IF(A59="","",IFERROR(INDEX(ChatText,MATCH(1,INDEX((ChatSpeaker=A59)*(ChatTag="B"),0),0)),""))</f>
      </c>
      <c r="G59" s="17">
        <f>IF(E59="",0,SUMPRODUCT((Items[ID]&lt;&gt;"")*ISNUMBER(SEARCH(" "&amp;Items[ID]&amp;" "," "&amp;SUBSTITUTE(SUBSTITUTE(SUBSTITUTE(SUBSTITUTE(SUBSTITUTE(SUBSTITUTE(SUBSTITUTE(E59,","," "),"."," "),";"," "),":"," "),"("," "),")"," "),"/"," ")&amp;" "))))</f>
      </c>
      <c r="H59" s="17">
        <f>IF(E59="",0,SUMPRODUCT((Items[ID]&lt;&gt;"")*(Items[Owner]=A59)*(Items[In sprint]=1)*ISNUMBER(SEARCH(" "&amp;Items[ID]&amp;" "," "&amp;SUBSTITUTE(SUBSTITUTE(SUBSTITUTE(SUBSTITUTE(SUBSTITUTE(SUBSTITUTE(SUBSTITUTE(E59,","," "),"."," "),";"," "),":"," "),"("," "),")"," "),"/"," ")&amp;" "))))</f>
      </c>
      <c r="I59" s="17">
        <f>IF(F59="","",IF(OR(LOWER(TRIM(F59))={"none","no","nothing","n/a","na","-","nope","no blockers","none.","nil"}),"","Y"))</f>
      </c>
      <c r="J59" s="17">
        <f>IF(D59="","",IF(OR(ISNUMBER(SEARCH({"done","finished","completed","closed","merged"},D59))),IFERROR(INDEX(Items[ID],MATCH(1,INDEX((Items[ID]&lt;&gt;"")*(Items[State]&lt;&gt;"DONE")*ISNUMBER(SEARCH(" "&amp;Items[ID]&amp;" "," "&amp;SUBSTITUTE(SUBSTITUTE(SUBSTITUTE(SUBSTITUTE(SUBSTITUTE(SUBSTITUTE(SUBSTITUTE(D59,","," "),"."," "),";"," "),":"," "),"("," "),")"," "),"/"," ")&amp;" ")),0),0)),""),""))</f>
      </c>
      <c r="K59" s="20">
        <f>IF(A59="","",TRIM(IF(C59=0,"silent; ","")&amp;IF(AND(N(C59)&gt;0,D59=""),"no Y; ","")&amp;IF(AND(N(C59)&gt;0,E59=""),"no T; ","")&amp;IF(AND(N(C59)&gt;0,F59=""),"no B; ","")&amp;IF(AND(E59&lt;&gt;"",G59=0),"no task id in T; ","")&amp;IF(AND(G59&gt;0,H59=0),"T names no task of yours in this sprint; ","")&amp;IF(I59="Y","blocker: "&amp;F59&amp;"; ","")))</f>
      </c>
      <c r="L59" s="20">
        <f>IF(A59="","",IF(C59=0,"@"&amp;A59&amp;" please post Y: / T: / B: for today.",IF(TRIM(IF(AND(N(C59)&gt;0,D59=""),"no Y; ","")&amp;IF(AND(N(C59)&gt;0,E59=""),"no T; ","")&amp;IF(AND(N(C59)&gt;0,F59=""),"no B; ","")&amp;IF(AND(E59&lt;&gt;"",G59=0),"no task id in T; ","")&amp;IF(AND(G59&gt;0,H59=0),"T names no task of yours in this sprint; ",""))="","","@"&amp;A59&amp;" please fix: "&amp;TRIM(IF(AND(N(C59)&gt;0,D59=""),"no Y; ","")&amp;IF(AND(N(C59)&gt;0,E59=""),"no T; ","")&amp;IF(AND(N(C59)&gt;0,F59=""),"no B; ","")&amp;IF(AND(E59&lt;&gt;"",G59=0),"no task id in T; ","")&amp;IF(AND(G59&gt;0,H59=0),"T names no task of yours in this sprint; ","")))))</f>
      </c>
      <c r="M59" s="11">
        <f>IF(N59="","",StandupDate)</f>
      </c>
      <c r="N59" s="17">
        <f>IF(J59&lt;&gt;"",J59,IF(I59="Y",IF(IFERROR(INDEX(Items[ID],MATCH(1,INDEX((Items[ID]&lt;&gt;"")*ISNUMBER(SEARCH(" "&amp;Items[ID]&amp;" "," "&amp;SUBSTITUTE(SUBSTITUTE(SUBSTITUTE(SUBSTITUTE(SUBSTITUTE(SUBSTITUTE(SUBSTITUTE(F59,",","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"&amp;SUBSTITUTE(SUBSTITUTE(SUBSTITUTE(SUBSTITUTE(SUBSTITUTE(SUBSTITUTE(SUBSTITUTE(F59,","," "),"."," "),";"," "),":"," "),"("," "),")"," "),"/"," ")&amp;" ")),0),0)),""),IFERROR(INDEX(Items[ID],MATCH(1,INDEX((Items[ID]&lt;&gt;"")*(Items[Owner]=A59)*ISNUMBER(SEARCH(" "&amp;Items[ID]&amp;" "," "&amp;SUBSTITUTE(SUBSTITUTE(SUBSTITUTE(SUBSTITUTE(SUBSTITUTE(SUBSTITUTE(SUBSTITUTE(E59,","," "),"."," "),";"," "),":"," "),"("," "),")"," "),"/"," ")&amp;" ")),0),0)),"")),""))</f>
      </c>
      <c r="O59" s="17">
        <f>IF(N59="","",IF(J59&lt;&gt;"","done","block"))</f>
      </c>
      <c r="P59" s="17">
        <f>IF(O59="block",F59,"")</f>
      </c>
    </row>
    <row r="60">
      <c r="A60" s="17">
        <f>IFERROR(INDEX(Roster[Name],56)&amp;"","")</f>
      </c>
      <c r="B60" s="17">
        <f>IF(A60="","",INDEX(Roster[Team],56)&amp;"")</f>
      </c>
      <c r="C60" s="17">
        <f>IF(OR(A60="",COUNTA(ChatPaste)=0),"",COUNTIF(ChatSpeaker,A60))</f>
      </c>
      <c r="D60" s="20">
        <f>IF(A60="","",IFERROR(INDEX(ChatText,MATCH(1,INDEX((ChatSpeaker=A60)*(ChatTag="Y"),0),0)),""))</f>
      </c>
      <c r="E60" s="20">
        <f>IF(A60="","",IFERROR(INDEX(ChatText,MATCH(1,INDEX((ChatSpeaker=A60)*(ChatTag="T"),0),0)),""))</f>
      </c>
      <c r="F60" s="20">
        <f>IF(A60="","",IFERROR(INDEX(ChatText,MATCH(1,INDEX((ChatSpeaker=A60)*(ChatTag="B"),0),0)),""))</f>
      </c>
      <c r="G60" s="17">
        <f>IF(E60="",0,SUMPRODUCT((Items[ID]&lt;&gt;"")*ISNUMBER(SEARCH(" "&amp;Items[ID]&amp;" "," "&amp;SUBSTITUTE(SUBSTITUTE(SUBSTITUTE(SUBSTITUTE(SUBSTITUTE(SUBSTITUTE(SUBSTITUTE(E60,","," "),"."," "),";"," "),":"," "),"("," "),")"," "),"/"," ")&amp;" "))))</f>
      </c>
      <c r="H60" s="17">
        <f>IF(E60="",0,SUMPRODUCT((Items[ID]&lt;&gt;"")*(Items[Owner]=A60)*(Items[In sprint]=1)*ISNUMBER(SEARCH(" "&amp;Items[ID]&amp;" "," "&amp;SUBSTITUTE(SUBSTITUTE(SUBSTITUTE(SUBSTITUTE(SUBSTITUTE(SUBSTITUTE(SUBSTITUTE(E60,","," "),"."," "),";"," "),":"," "),"("," "),")"," "),"/"," ")&amp;" "))))</f>
      </c>
      <c r="I60" s="17">
        <f>IF(F60="","",IF(OR(LOWER(TRIM(F60))={"none","no","nothing","n/a","na","-","nope","no blockers","none.","nil"}),"","Y"))</f>
      </c>
      <c r="J60" s="17">
        <f>IF(D60="","",IF(OR(ISNUMBER(SEARCH({"done","finished","completed","closed","merged"},D60))),IFERROR(INDEX(Items[ID],MATCH(1,INDEX((Items[ID]&lt;&gt;"")*(Items[State]&lt;&gt;"DONE")*ISNUMBER(SEARCH(" "&amp;Items[ID]&amp;" "," "&amp;SUBSTITUTE(SUBSTITUTE(SUBSTITUTE(SUBSTITUTE(SUBSTITUTE(SUBSTITUTE(SUBSTITUTE(D60,","," "),"."," "),";"," "),":"," "),"("," "),")"," "),"/"," ")&amp;" ")),0),0)),""),""))</f>
      </c>
      <c r="K60" s="20">
        <f>IF(A60="","",TRIM(IF(C60=0,"silent; ","")&amp;IF(AND(N(C60)&gt;0,D60=""),"no Y; ","")&amp;IF(AND(N(C60)&gt;0,E60=""),"no T; ","")&amp;IF(AND(N(C60)&gt;0,F60=""),"no B; ","")&amp;IF(AND(E60&lt;&gt;"",G60=0),"no task id in T; ","")&amp;IF(AND(G60&gt;0,H60=0),"T names no task of yours in this sprint; ","")&amp;IF(I60="Y","blocker: "&amp;F60&amp;"; ","")))</f>
      </c>
      <c r="L60" s="20">
        <f>IF(A60="","",IF(C60=0,"@"&amp;A60&amp;" please post Y: / T: / B: for today.",IF(TRIM(IF(AND(N(C60)&gt;0,D60=""),"no Y; ","")&amp;IF(AND(N(C60)&gt;0,E60=""),"no T; ","")&amp;IF(AND(N(C60)&gt;0,F60=""),"no B; ","")&amp;IF(AND(E60&lt;&gt;"",G60=0),"no task id in T; ","")&amp;IF(AND(G60&gt;0,H60=0),"T names no task of yours in this sprint; ",""))="","","@"&amp;A60&amp;" please fix: "&amp;TRIM(IF(AND(N(C60)&gt;0,D60=""),"no Y; ","")&amp;IF(AND(N(C60)&gt;0,E60=""),"no T; ","")&amp;IF(AND(N(C60)&gt;0,F60=""),"no B; ","")&amp;IF(AND(E60&lt;&gt;"",G60=0),"no task id in T; ","")&amp;IF(AND(G60&gt;0,H60=0),"T names no task of yours in this sprint; ","")))))</f>
      </c>
      <c r="M60" s="11">
        <f>IF(N60="","",StandupDate)</f>
      </c>
      <c r="N60" s="17">
        <f>IF(J60&lt;&gt;"",J60,IF(I60="Y",IF(IFERROR(INDEX(Items[ID],MATCH(1,INDEX((Items[ID]&lt;&gt;"")*ISNUMBER(SEARCH(" "&amp;Items[ID]&amp;" "," "&amp;SUBSTITUTE(SUBSTITUTE(SUBSTITUTE(SUBSTITUTE(SUBSTITUTE(SUBSTITUTE(SUBSTITUTE(F60,",","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"&amp;SUBSTITUTE(SUBSTITUTE(SUBSTITUTE(SUBSTITUTE(SUBSTITUTE(SUBSTITUTE(SUBSTITUTE(F60,","," "),"."," "),";"," "),":"," "),"("," "),")"," "),"/"," ")&amp;" ")),0),0)),""),IFERROR(INDEX(Items[ID],MATCH(1,INDEX((Items[ID]&lt;&gt;"")*(Items[Owner]=A60)*ISNUMBER(SEARCH(" "&amp;Items[ID]&amp;" "," "&amp;SUBSTITUTE(SUBSTITUTE(SUBSTITUTE(SUBSTITUTE(SUBSTITUTE(SUBSTITUTE(SUBSTITUTE(E60,","," "),"."," "),";"," "),":"," "),"("," "),")"," "),"/"," ")&amp;" ")),0),0)),"")),""))</f>
      </c>
      <c r="O60" s="17">
        <f>IF(N60="","",IF(J60&lt;&gt;"","done","block"))</f>
      </c>
      <c r="P60" s="17">
        <f>IF(O60="block",F60,"")</f>
      </c>
    </row>
    <row r="61">
      <c r="A61" s="17">
        <f>IFERROR(INDEX(Roster[Name],57)&amp;"","")</f>
      </c>
      <c r="B61" s="17">
        <f>IF(A61="","",INDEX(Roster[Team],57)&amp;"")</f>
      </c>
      <c r="C61" s="17">
        <f>IF(OR(A61="",COUNTA(ChatPaste)=0),"",COUNTIF(ChatSpeaker,A61))</f>
      </c>
      <c r="D61" s="20">
        <f>IF(A61="","",IFERROR(INDEX(ChatText,MATCH(1,INDEX((ChatSpeaker=A61)*(ChatTag="Y"),0),0)),""))</f>
      </c>
      <c r="E61" s="20">
        <f>IF(A61="","",IFERROR(INDEX(ChatText,MATCH(1,INDEX((ChatSpeaker=A61)*(ChatTag="T"),0),0)),""))</f>
      </c>
      <c r="F61" s="20">
        <f>IF(A61="","",IFERROR(INDEX(ChatText,MATCH(1,INDEX((ChatSpeaker=A61)*(ChatTag="B"),0),0)),""))</f>
      </c>
      <c r="G61" s="17">
        <f>IF(E61="",0,SUMPRODUCT((Items[ID]&lt;&gt;"")*ISNUMBER(SEARCH(" "&amp;Items[ID]&amp;" "," "&amp;SUBSTITUTE(SUBSTITUTE(SUBSTITUTE(SUBSTITUTE(SUBSTITUTE(SUBSTITUTE(SUBSTITUTE(E61,","," "),"."," "),";"," "),":"," "),"("," "),")"," "),"/"," ")&amp;" "))))</f>
      </c>
      <c r="H61" s="17">
        <f>IF(E61="",0,SUMPRODUCT((Items[ID]&lt;&gt;"")*(Items[Owner]=A61)*(Items[In sprint]=1)*ISNUMBER(SEARCH(" "&amp;Items[ID]&amp;" "," "&amp;SUBSTITUTE(SUBSTITUTE(SUBSTITUTE(SUBSTITUTE(SUBSTITUTE(SUBSTITUTE(SUBSTITUTE(E61,","," "),"."," "),";"," "),":"," "),"("," "),")"," "),"/"," ")&amp;" "))))</f>
      </c>
      <c r="I61" s="17">
        <f>IF(F61="","",IF(OR(LOWER(TRIM(F61))={"none","no","nothing","n/a","na","-","nope","no blockers","none.","nil"}),"","Y"))</f>
      </c>
      <c r="J61" s="17">
        <f>IF(D61="","",IF(OR(ISNUMBER(SEARCH({"done","finished","completed","closed","merged"},D61))),IFERROR(INDEX(Items[ID],MATCH(1,INDEX((Items[ID]&lt;&gt;"")*(Items[State]&lt;&gt;"DONE")*ISNUMBER(SEARCH(" "&amp;Items[ID]&amp;" "," "&amp;SUBSTITUTE(SUBSTITUTE(SUBSTITUTE(SUBSTITUTE(SUBSTITUTE(SUBSTITUTE(SUBSTITUTE(D61,","," "),"."," "),";"," "),":"," "),"("," "),")"," "),"/"," ")&amp;" ")),0),0)),""),""))</f>
      </c>
      <c r="K61" s="20">
        <f>IF(A61="","",TRIM(IF(C61=0,"silent; ","")&amp;IF(AND(N(C61)&gt;0,D61=""),"no Y; ","")&amp;IF(AND(N(C61)&gt;0,E61=""),"no T; ","")&amp;IF(AND(N(C61)&gt;0,F61=""),"no B; ","")&amp;IF(AND(E61&lt;&gt;"",G61=0),"no task id in T; ","")&amp;IF(AND(G61&gt;0,H61=0),"T names no task of yours in this sprint; ","")&amp;IF(I61="Y","blocker: "&amp;F61&amp;"; ","")))</f>
      </c>
      <c r="L61" s="20">
        <f>IF(A61="","",IF(C61=0,"@"&amp;A61&amp;" please post Y: / T: / B: for today.",IF(TRIM(IF(AND(N(C61)&gt;0,D61=""),"no Y; ","")&amp;IF(AND(N(C61)&gt;0,E61=""),"no T; ","")&amp;IF(AND(N(C61)&gt;0,F61=""),"no B; ","")&amp;IF(AND(E61&lt;&gt;"",G61=0),"no task id in T; ","")&amp;IF(AND(G61&gt;0,H61=0),"T names no task of yours in this sprint; ",""))="","","@"&amp;A61&amp;" please fix: "&amp;TRIM(IF(AND(N(C61)&gt;0,D61=""),"no Y; ","")&amp;IF(AND(N(C61)&gt;0,E61=""),"no T; ","")&amp;IF(AND(N(C61)&gt;0,F61=""),"no B; ","")&amp;IF(AND(E61&lt;&gt;"",G61=0),"no task id in T; ","")&amp;IF(AND(G61&gt;0,H61=0),"T names no task of yours in this sprint; ","")))))</f>
      </c>
      <c r="M61" s="11">
        <f>IF(N61="","",StandupDate)</f>
      </c>
      <c r="N61" s="17">
        <f>IF(J61&lt;&gt;"",J61,IF(I61="Y",IF(IFERROR(INDEX(Items[ID],MATCH(1,INDEX((Items[ID]&lt;&gt;"")*ISNUMBER(SEARCH(" "&amp;Items[ID]&amp;" "," "&amp;SUBSTITUTE(SUBSTITUTE(SUBSTITUTE(SUBSTITUTE(SUBSTITUTE(SUBSTITUTE(SUBSTITUTE(F61,",","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"&amp;SUBSTITUTE(SUBSTITUTE(SUBSTITUTE(SUBSTITUTE(SUBSTITUTE(SUBSTITUTE(SUBSTITUTE(F61,","," "),"."," "),";"," "),":"," "),"("," "),")"," "),"/"," ")&amp;" ")),0),0)),""),IFERROR(INDEX(Items[ID],MATCH(1,INDEX((Items[ID]&lt;&gt;"")*(Items[Owner]=A61)*ISNUMBER(SEARCH(" "&amp;Items[ID]&amp;" "," "&amp;SUBSTITUTE(SUBSTITUTE(SUBSTITUTE(SUBSTITUTE(SUBSTITUTE(SUBSTITUTE(SUBSTITUTE(E61,","," "),"."," "),";"," "),":"," "),"("," "),")"," "),"/"," ")&amp;" ")),0),0)),"")),""))</f>
      </c>
      <c r="O61" s="17">
        <f>IF(N61="","",IF(J61&lt;&gt;"","done","block"))</f>
      </c>
      <c r="P61" s="17">
        <f>IF(O61="block",F61,"")</f>
      </c>
    </row>
    <row r="62">
      <c r="A62" s="17">
        <f>IFERROR(INDEX(Roster[Name],58)&amp;"","")</f>
      </c>
      <c r="B62" s="17">
        <f>IF(A62="","",INDEX(Roster[Team],58)&amp;"")</f>
      </c>
      <c r="C62" s="17">
        <f>IF(OR(A62="",COUNTA(ChatPaste)=0),"",COUNTIF(ChatSpeaker,A62))</f>
      </c>
      <c r="D62" s="20">
        <f>IF(A62="","",IFERROR(INDEX(ChatText,MATCH(1,INDEX((ChatSpeaker=A62)*(ChatTag="Y"),0),0)),""))</f>
      </c>
      <c r="E62" s="20">
        <f>IF(A62="","",IFERROR(INDEX(ChatText,MATCH(1,INDEX((ChatSpeaker=A62)*(ChatTag="T"),0),0)),""))</f>
      </c>
      <c r="F62" s="20">
        <f>IF(A62="","",IFERROR(INDEX(ChatText,MATCH(1,INDEX((ChatSpeaker=A62)*(ChatTag="B"),0),0)),""))</f>
      </c>
      <c r="G62" s="17">
        <f>IF(E62="",0,SUMPRODUCT((Items[ID]&lt;&gt;"")*ISNUMBER(SEARCH(" "&amp;Items[ID]&amp;" "," "&amp;SUBSTITUTE(SUBSTITUTE(SUBSTITUTE(SUBSTITUTE(SUBSTITUTE(SUBSTITUTE(SUBSTITUTE(E62,","," "),"."," "),";"," "),":"," "),"("," "),")"," "),"/"," ")&amp;" "))))</f>
      </c>
      <c r="H62" s="17">
        <f>IF(E62="",0,SUMPRODUCT((Items[ID]&lt;&gt;"")*(Items[Owner]=A62)*(Items[In sprint]=1)*ISNUMBER(SEARCH(" "&amp;Items[ID]&amp;" "," "&amp;SUBSTITUTE(SUBSTITUTE(SUBSTITUTE(SUBSTITUTE(SUBSTITUTE(SUBSTITUTE(SUBSTITUTE(E62,","," "),"."," "),";"," "),":"," "),"("," "),")"," "),"/"," ")&amp;" "))))</f>
      </c>
      <c r="I62" s="17">
        <f>IF(F62="","",IF(OR(LOWER(TRIM(F62))={"none","no","nothing","n/a","na","-","nope","no blockers","none.","nil"}),"","Y"))</f>
      </c>
      <c r="J62" s="17">
        <f>IF(D62="","",IF(OR(ISNUMBER(SEARCH({"done","finished","completed","closed","merged"},D62))),IFERROR(INDEX(Items[ID],MATCH(1,INDEX((Items[ID]&lt;&gt;"")*(Items[State]&lt;&gt;"DONE")*ISNUMBER(SEARCH(" "&amp;Items[ID]&amp;" "," "&amp;SUBSTITUTE(SUBSTITUTE(SUBSTITUTE(SUBSTITUTE(SUBSTITUTE(SUBSTITUTE(SUBSTITUTE(D62,","," "),"."," "),";"," "),":"," "),"("," "),")"," "),"/"," ")&amp;" ")),0),0)),""),""))</f>
      </c>
      <c r="K62" s="20">
        <f>IF(A62="","",TRIM(IF(C62=0,"silent; ","")&amp;IF(AND(N(C62)&gt;0,D62=""),"no Y; ","")&amp;IF(AND(N(C62)&gt;0,E62=""),"no T; ","")&amp;IF(AND(N(C62)&gt;0,F62=""),"no B; ","")&amp;IF(AND(E62&lt;&gt;"",G62=0),"no task id in T; ","")&amp;IF(AND(G62&gt;0,H62=0),"T names no task of yours in this sprint; ","")&amp;IF(I62="Y","blocker: "&amp;F62&amp;"; ","")))</f>
      </c>
      <c r="L62" s="20">
        <f>IF(A62="","",IF(C62=0,"@"&amp;A62&amp;" please post Y: / T: / B: for today.",IF(TRIM(IF(AND(N(C62)&gt;0,D62=""),"no Y; ","")&amp;IF(AND(N(C62)&gt;0,E62=""),"no T; ","")&amp;IF(AND(N(C62)&gt;0,F62=""),"no B; ","")&amp;IF(AND(E62&lt;&gt;"",G62=0),"no task id in T; ","")&amp;IF(AND(G62&gt;0,H62=0),"T names no task of yours in this sprint; ",""))="","","@"&amp;A62&amp;" please fix: "&amp;TRIM(IF(AND(N(C62)&gt;0,D62=""),"no Y; ","")&amp;IF(AND(N(C62)&gt;0,E62=""),"no T; ","")&amp;IF(AND(N(C62)&gt;0,F62=""),"no B; ","")&amp;IF(AND(E62&lt;&gt;"",G62=0),"no task id in T; ","")&amp;IF(AND(G62&gt;0,H62=0),"T names no task of yours in this sprint; ","")))))</f>
      </c>
      <c r="M62" s="11">
        <f>IF(N62="","",StandupDate)</f>
      </c>
      <c r="N62" s="17">
        <f>IF(J62&lt;&gt;"",J62,IF(I62="Y",IF(IFERROR(INDEX(Items[ID],MATCH(1,INDEX((Items[ID]&lt;&gt;"")*ISNUMBER(SEARCH(" "&amp;Items[ID]&amp;" "," "&amp;SUBSTITUTE(SUBSTITUTE(SUBSTITUTE(SUBSTITUTE(SUBSTITUTE(SUBSTITUTE(SUBSTITUTE(F62,",","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"&amp;SUBSTITUTE(SUBSTITUTE(SUBSTITUTE(SUBSTITUTE(SUBSTITUTE(SUBSTITUTE(SUBSTITUTE(F62,","," "),"."," "),";"," "),":"," "),"("," "),")"," "),"/"," ")&amp;" ")),0),0)),""),IFERROR(INDEX(Items[ID],MATCH(1,INDEX((Items[ID]&lt;&gt;"")*(Items[Owner]=A62)*ISNUMBER(SEARCH(" "&amp;Items[ID]&amp;" "," "&amp;SUBSTITUTE(SUBSTITUTE(SUBSTITUTE(SUBSTITUTE(SUBSTITUTE(SUBSTITUTE(SUBSTITUTE(E62,","," "),"."," "),";"," "),":"," "),"("," "),")"," "),"/"," ")&amp;" ")),0),0)),"")),""))</f>
      </c>
      <c r="O62" s="17">
        <f>IF(N62="","",IF(J62&lt;&gt;"","done","block"))</f>
      </c>
      <c r="P62" s="17">
        <f>IF(O62="block",F62,"")</f>
      </c>
    </row>
    <row r="63">
      <c r="A63" s="17">
        <f>IFERROR(INDEX(Roster[Name],59)&amp;"","")</f>
      </c>
      <c r="B63" s="17">
        <f>IF(A63="","",INDEX(Roster[Team],59)&amp;"")</f>
      </c>
      <c r="C63" s="17">
        <f>IF(OR(A63="",COUNTA(ChatPaste)=0),"",COUNTIF(ChatSpeaker,A63))</f>
      </c>
      <c r="D63" s="20">
        <f>IF(A63="","",IFERROR(INDEX(ChatText,MATCH(1,INDEX((ChatSpeaker=A63)*(ChatTag="Y"),0),0)),""))</f>
      </c>
      <c r="E63" s="20">
        <f>IF(A63="","",IFERROR(INDEX(ChatText,MATCH(1,INDEX((ChatSpeaker=A63)*(ChatTag="T"),0),0)),""))</f>
      </c>
      <c r="F63" s="20">
        <f>IF(A63="","",IFERROR(INDEX(ChatText,MATCH(1,INDEX((ChatSpeaker=A63)*(ChatTag="B"),0),0)),""))</f>
      </c>
      <c r="G63" s="17">
        <f>IF(E63="",0,SUMPRODUCT((Items[ID]&lt;&gt;"")*ISNUMBER(SEARCH(" "&amp;Items[ID]&amp;" "," "&amp;SUBSTITUTE(SUBSTITUTE(SUBSTITUTE(SUBSTITUTE(SUBSTITUTE(SUBSTITUTE(SUBSTITUTE(E63,","," "),"."," "),";"," "),":"," "),"("," "),")"," "),"/"," ")&amp;" "))))</f>
      </c>
      <c r="H63" s="17">
        <f>IF(E63="",0,SUMPRODUCT((Items[ID]&lt;&gt;"")*(Items[Owner]=A63)*(Items[In sprint]=1)*ISNUMBER(SEARCH(" "&amp;Items[ID]&amp;" "," "&amp;SUBSTITUTE(SUBSTITUTE(SUBSTITUTE(SUBSTITUTE(SUBSTITUTE(SUBSTITUTE(SUBSTITUTE(E63,","," "),"."," "),";"," "),":"," "),"("," "),")"," "),"/"," ")&amp;" "))))</f>
      </c>
      <c r="I63" s="17">
        <f>IF(F63="","",IF(OR(LOWER(TRIM(F63))={"none","no","nothing","n/a","na","-","nope","no blockers","none.","nil"}),"","Y"))</f>
      </c>
      <c r="J63" s="17">
        <f>IF(D63="","",IF(OR(ISNUMBER(SEARCH({"done","finished","completed","closed","merged"},D63))),IFERROR(INDEX(Items[ID],MATCH(1,INDEX((Items[ID]&lt;&gt;"")*(Items[State]&lt;&gt;"DONE")*ISNUMBER(SEARCH(" "&amp;Items[ID]&amp;" "," "&amp;SUBSTITUTE(SUBSTITUTE(SUBSTITUTE(SUBSTITUTE(SUBSTITUTE(SUBSTITUTE(SUBSTITUTE(D63,","," "),"."," "),";"," "),":"," "),"("," "),")"," "),"/"," ")&amp;" ")),0),0)),""),""))</f>
      </c>
      <c r="K63" s="20">
        <f>IF(A63="","",TRIM(IF(C63=0,"silent; ","")&amp;IF(AND(N(C63)&gt;0,D63=""),"no Y; ","")&amp;IF(AND(N(C63)&gt;0,E63=""),"no T; ","")&amp;IF(AND(N(C63)&gt;0,F63=""),"no B; ","")&amp;IF(AND(E63&lt;&gt;"",G63=0),"no task id in T; ","")&amp;IF(AND(G63&gt;0,H63=0),"T names no task of yours in this sprint; ","")&amp;IF(I63="Y","blocker: "&amp;F63&amp;"; ","")))</f>
      </c>
      <c r="L63" s="20">
        <f>IF(A63="","",IF(C63=0,"@"&amp;A63&amp;" please post Y: / T: / B: for today.",IF(TRIM(IF(AND(N(C63)&gt;0,D63=""),"no Y; ","")&amp;IF(AND(N(C63)&gt;0,E63=""),"no T; ","")&amp;IF(AND(N(C63)&gt;0,F63=""),"no B; ","")&amp;IF(AND(E63&lt;&gt;"",G63=0),"no task id in T; ","")&amp;IF(AND(G63&gt;0,H63=0),"T names no task of yours in this sprint; ",""))="","","@"&amp;A63&amp;" please fix: "&amp;TRIM(IF(AND(N(C63)&gt;0,D63=""),"no Y; ","")&amp;IF(AND(N(C63)&gt;0,E63=""),"no T; ","")&amp;IF(AND(N(C63)&gt;0,F63=""),"no B; ","")&amp;IF(AND(E63&lt;&gt;"",G63=0),"no task id in T; ","")&amp;IF(AND(G63&gt;0,H63=0),"T names no task of yours in this sprint; ","")))))</f>
      </c>
      <c r="M63" s="11">
        <f>IF(N63="","",StandupDate)</f>
      </c>
      <c r="N63" s="17">
        <f>IF(J63&lt;&gt;"",J63,IF(I63="Y",IF(IFERROR(INDEX(Items[ID],MATCH(1,INDEX((Items[ID]&lt;&gt;"")*ISNUMBER(SEARCH(" "&amp;Items[ID]&amp;" "," "&amp;SUBSTITUTE(SUBSTITUTE(SUBSTITUTE(SUBSTITUTE(SUBSTITUTE(SUBSTITUTE(SUBSTITUTE(F63,",","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"&amp;SUBSTITUTE(SUBSTITUTE(SUBSTITUTE(SUBSTITUTE(SUBSTITUTE(SUBSTITUTE(SUBSTITUTE(F63,","," "),"."," "),";"," "),":"," "),"("," "),")"," "),"/"," ")&amp;" ")),0),0)),""),IFERROR(INDEX(Items[ID],MATCH(1,INDEX((Items[ID]&lt;&gt;"")*(Items[Owner]=A63)*ISNUMBER(SEARCH(" "&amp;Items[ID]&amp;" "," "&amp;SUBSTITUTE(SUBSTITUTE(SUBSTITUTE(SUBSTITUTE(SUBSTITUTE(SUBSTITUTE(SUBSTITUTE(E63,","," "),"."," "),";"," "),":"," "),"("," "),")"," "),"/"," ")&amp;" ")),0),0)),"")),""))</f>
      </c>
      <c r="O63" s="17">
        <f>IF(N63="","",IF(J63&lt;&gt;"","done","block"))</f>
      </c>
      <c r="P63" s="17">
        <f>IF(O63="block",F63,"")</f>
      </c>
    </row>
    <row r="64">
      <c r="A64" s="17">
        <f>IFERROR(INDEX(Roster[Name],60)&amp;"","")</f>
      </c>
      <c r="B64" s="17">
        <f>IF(A64="","",INDEX(Roster[Team],60)&amp;"")</f>
      </c>
      <c r="C64" s="17">
        <f>IF(OR(A64="",COUNTA(ChatPaste)=0),"",COUNTIF(ChatSpeaker,A64))</f>
      </c>
      <c r="D64" s="20">
        <f>IF(A64="","",IFERROR(INDEX(ChatText,MATCH(1,INDEX((ChatSpeaker=A64)*(ChatTag="Y"),0),0)),""))</f>
      </c>
      <c r="E64" s="20">
        <f>IF(A64="","",IFERROR(INDEX(ChatText,MATCH(1,INDEX((ChatSpeaker=A64)*(ChatTag="T"),0),0)),""))</f>
      </c>
      <c r="F64" s="20">
        <f>IF(A64="","",IFERROR(INDEX(ChatText,MATCH(1,INDEX((ChatSpeaker=A64)*(ChatTag="B"),0),0)),""))</f>
      </c>
      <c r="G64" s="17">
        <f>IF(E64="",0,SUMPRODUCT((Items[ID]&lt;&gt;"")*ISNUMBER(SEARCH(" "&amp;Items[ID]&amp;" "," "&amp;SUBSTITUTE(SUBSTITUTE(SUBSTITUTE(SUBSTITUTE(SUBSTITUTE(SUBSTITUTE(SUBSTITUTE(E64,","," "),"."," "),";"," "),":"," "),"("," "),")"," "),"/"," ")&amp;" "))))</f>
      </c>
      <c r="H64" s="17">
        <f>IF(E64="",0,SUMPRODUCT((Items[ID]&lt;&gt;"")*(Items[Owner]=A64)*(Items[In sprint]=1)*ISNUMBER(SEARCH(" "&amp;Items[ID]&amp;" "," "&amp;SUBSTITUTE(SUBSTITUTE(SUBSTITUTE(SUBSTITUTE(SUBSTITUTE(SUBSTITUTE(SUBSTITUTE(E64,","," "),"."," "),";"," "),":"," "),"("," "),")"," "),"/"," ")&amp;" "))))</f>
      </c>
      <c r="I64" s="17">
        <f>IF(F64="","",IF(OR(LOWER(TRIM(F64))={"none","no","nothing","n/a","na","-","nope","no blockers","none.","nil"}),"","Y"))</f>
      </c>
      <c r="J64" s="17">
        <f>IF(D64="","",IF(OR(ISNUMBER(SEARCH({"done","finished","completed","closed","merged"},D64))),IFERROR(INDEX(Items[ID],MATCH(1,INDEX((Items[ID]&lt;&gt;"")*(Items[State]&lt;&gt;"DONE")*ISNUMBER(SEARCH(" "&amp;Items[ID]&amp;" "," "&amp;SUBSTITUTE(SUBSTITUTE(SUBSTITUTE(SUBSTITUTE(SUBSTITUTE(SUBSTITUTE(SUBSTITUTE(D64,","," "),"."," "),";"," "),":"," "),"("," "),")"," "),"/"," ")&amp;" ")),0),0)),""),""))</f>
      </c>
      <c r="K64" s="20">
        <f>IF(A64="","",TRIM(IF(C64=0,"silent; ","")&amp;IF(AND(N(C64)&gt;0,D64=""),"no Y; ","")&amp;IF(AND(N(C64)&gt;0,E64=""),"no T; ","")&amp;IF(AND(N(C64)&gt;0,F64=""),"no B; ","")&amp;IF(AND(E64&lt;&gt;"",G64=0),"no task id in T; ","")&amp;IF(AND(G64&gt;0,H64=0),"T names no task of yours in this sprint; ","")&amp;IF(I64="Y","blocker: "&amp;F64&amp;"; ","")))</f>
      </c>
      <c r="L64" s="20">
        <f>IF(A64="","",IF(C64=0,"@"&amp;A64&amp;" please post Y: / T: / B: for today.",IF(TRIM(IF(AND(N(C64)&gt;0,D64=""),"no Y; ","")&amp;IF(AND(N(C64)&gt;0,E64=""),"no T; ","")&amp;IF(AND(N(C64)&gt;0,F64=""),"no B; ","")&amp;IF(AND(E64&lt;&gt;"",G64=0),"no task id in T; ","")&amp;IF(AND(G64&gt;0,H64=0),"T names no task of yours in this sprint; ",""))="","","@"&amp;A64&amp;" please fix: "&amp;TRIM(IF(AND(N(C64)&gt;0,D64=""),"no Y; ","")&amp;IF(AND(N(C64)&gt;0,E64=""),"no T; ","")&amp;IF(AND(N(C64)&gt;0,F64=""),"no B; ","")&amp;IF(AND(E64&lt;&gt;"",G64=0),"no task id in T; ","")&amp;IF(AND(G64&gt;0,H64=0),"T names no task of yours in this sprint; ","")))))</f>
      </c>
      <c r="M64" s="11">
        <f>IF(N64="","",StandupDate)</f>
      </c>
      <c r="N64" s="17">
        <f>IF(J64&lt;&gt;"",J64,IF(I64="Y",IF(IFERROR(INDEX(Items[ID],MATCH(1,INDEX((Items[ID]&lt;&gt;"")*ISNUMBER(SEARCH(" "&amp;Items[ID]&amp;" "," "&amp;SUBSTITUTE(SUBSTITUTE(SUBSTITUTE(SUBSTITUTE(SUBSTITUTE(SUBSTITUTE(SUBSTITUTE(F64,",","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"&amp;SUBSTITUTE(SUBSTITUTE(SUBSTITUTE(SUBSTITUTE(SUBSTITUTE(SUBSTITUTE(SUBSTITUTE(F64,","," "),"."," "),";"," "),":"," "),"("," "),")"," "),"/"," ")&amp;" ")),0),0)),""),IFERROR(INDEX(Items[ID],MATCH(1,INDEX((Items[ID]&lt;&gt;"")*(Items[Owner]=A64)*ISNUMBER(SEARCH(" "&amp;Items[ID]&amp;" "," "&amp;SUBSTITUTE(SUBSTITUTE(SUBSTITUTE(SUBSTITUTE(SUBSTITUTE(SUBSTITUTE(SUBSTITUTE(E64,","," "),"."," "),";"," "),":"," "),"("," "),")"," "),"/"," ")&amp;" ")),0),0)),"")),""))</f>
      </c>
      <c r="O64" s="17">
        <f>IF(N64="","",IF(J64&lt;&gt;"","done","block"))</f>
      </c>
      <c r="P64" s="17">
        <f>IF(O64="block",F64,"")</f>
      </c>
    </row>
    <row r="65">
      <c r="A65" s="17">
        <f>IFERROR(INDEX(Roster[Name],61)&amp;"","")</f>
      </c>
      <c r="B65" s="17">
        <f>IF(A65="","",INDEX(Roster[Team],61)&amp;"")</f>
      </c>
      <c r="C65" s="17">
        <f>IF(OR(A65="",COUNTA(ChatPaste)=0),"",COUNTIF(ChatSpeaker,A65))</f>
      </c>
      <c r="D65" s="20">
        <f>IF(A65="","",IFERROR(INDEX(ChatText,MATCH(1,INDEX((ChatSpeaker=A65)*(ChatTag="Y"),0),0)),""))</f>
      </c>
      <c r="E65" s="20">
        <f>IF(A65="","",IFERROR(INDEX(ChatText,MATCH(1,INDEX((ChatSpeaker=A65)*(ChatTag="T"),0),0)),""))</f>
      </c>
      <c r="F65" s="20">
        <f>IF(A65="","",IFERROR(INDEX(ChatText,MATCH(1,INDEX((ChatSpeaker=A65)*(ChatTag="B"),0),0)),""))</f>
      </c>
      <c r="G65" s="17">
        <f>IF(E65="",0,SUMPRODUCT((Items[ID]&lt;&gt;"")*ISNUMBER(SEARCH(" "&amp;Items[ID]&amp;" "," "&amp;SUBSTITUTE(SUBSTITUTE(SUBSTITUTE(SUBSTITUTE(SUBSTITUTE(SUBSTITUTE(SUBSTITUTE(E65,","," "),"."," "),";"," "),":"," "),"("," "),")"," "),"/"," ")&amp;" "))))</f>
      </c>
      <c r="H65" s="17">
        <f>IF(E65="",0,SUMPRODUCT((Items[ID]&lt;&gt;"")*(Items[Owner]=A65)*(Items[In sprint]=1)*ISNUMBER(SEARCH(" "&amp;Items[ID]&amp;" "," "&amp;SUBSTITUTE(SUBSTITUTE(SUBSTITUTE(SUBSTITUTE(SUBSTITUTE(SUBSTITUTE(SUBSTITUTE(E65,","," "),"."," "),";"," "),":"," "),"("," "),")"," "),"/"," ")&amp;" "))))</f>
      </c>
      <c r="I65" s="17">
        <f>IF(F65="","",IF(OR(LOWER(TRIM(F65))={"none","no","nothing","n/a","na","-","nope","no blockers","none.","nil"}),"","Y"))</f>
      </c>
      <c r="J65" s="17">
        <f>IF(D65="","",IF(OR(ISNUMBER(SEARCH({"done","finished","completed","closed","merged"},D65))),IFERROR(INDEX(Items[ID],MATCH(1,INDEX((Items[ID]&lt;&gt;"")*(Items[State]&lt;&gt;"DONE")*ISNUMBER(SEARCH(" "&amp;Items[ID]&amp;" "," "&amp;SUBSTITUTE(SUBSTITUTE(SUBSTITUTE(SUBSTITUTE(SUBSTITUTE(SUBSTITUTE(SUBSTITUTE(D65,","," "),"."," "),";"," "),":"," "),"("," "),")"," "),"/"," ")&amp;" ")),0),0)),""),""))</f>
      </c>
      <c r="K65" s="20">
        <f>IF(A65="","",TRIM(IF(C65=0,"silent; ","")&amp;IF(AND(N(C65)&gt;0,D65=""),"no Y; ","")&amp;IF(AND(N(C65)&gt;0,E65=""),"no T; ","")&amp;IF(AND(N(C65)&gt;0,F65=""),"no B; ","")&amp;IF(AND(E65&lt;&gt;"",G65=0),"no task id in T; ","")&amp;IF(AND(G65&gt;0,H65=0),"T names no task of yours in this sprint; ","")&amp;IF(I65="Y","blocker: "&amp;F65&amp;"; ","")))</f>
      </c>
      <c r="L65" s="20">
        <f>IF(A65="","",IF(C65=0,"@"&amp;A65&amp;" please post Y: / T: / B: for today.",IF(TRIM(IF(AND(N(C65)&gt;0,D65=""),"no Y; ","")&amp;IF(AND(N(C65)&gt;0,E65=""),"no T; ","")&amp;IF(AND(N(C65)&gt;0,F65=""),"no B; ","")&amp;IF(AND(E65&lt;&gt;"",G65=0),"no task id in T; ","")&amp;IF(AND(G65&gt;0,H65=0),"T names no task of yours in this sprint; ",""))="","","@"&amp;A65&amp;" please fix: "&amp;TRIM(IF(AND(N(C65)&gt;0,D65=""),"no Y; ","")&amp;IF(AND(N(C65)&gt;0,E65=""),"no T; ","")&amp;IF(AND(N(C65)&gt;0,F65=""),"no B; ","")&amp;IF(AND(E65&lt;&gt;"",G65=0),"no task id in T; ","")&amp;IF(AND(G65&gt;0,H65=0),"T names no task of yours in this sprint; ","")))))</f>
      </c>
      <c r="M65" s="11">
        <f>IF(N65="","",StandupDate)</f>
      </c>
      <c r="N65" s="17">
        <f>IF(J65&lt;&gt;"",J65,IF(I65="Y",IF(IFERROR(INDEX(Items[ID],MATCH(1,INDEX((Items[ID]&lt;&gt;"")*ISNUMBER(SEARCH(" "&amp;Items[ID]&amp;" "," "&amp;SUBSTITUTE(SUBSTITUTE(SUBSTITUTE(SUBSTITUTE(SUBSTITUTE(SUBSTITUTE(SUBSTITUTE(F65,",","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"&amp;SUBSTITUTE(SUBSTITUTE(SUBSTITUTE(SUBSTITUTE(SUBSTITUTE(SUBSTITUTE(SUBSTITUTE(F65,","," "),"."," "),";"," "),":"," "),"("," "),")"," "),"/"," ")&amp;" ")),0),0)),""),IFERROR(INDEX(Items[ID],MATCH(1,INDEX((Items[ID]&lt;&gt;"")*(Items[Owner]=A65)*ISNUMBER(SEARCH(" "&amp;Items[ID]&amp;" "," "&amp;SUBSTITUTE(SUBSTITUTE(SUBSTITUTE(SUBSTITUTE(SUBSTITUTE(SUBSTITUTE(SUBSTITUTE(E65,","," "),"."," "),";"," "),":"," "),"("," "),")"," "),"/"," ")&amp;" ")),0),0)),"")),""))</f>
      </c>
      <c r="O65" s="17">
        <f>IF(N65="","",IF(J65&lt;&gt;"","done","block"))</f>
      </c>
      <c r="P65" s="17">
        <f>IF(O65="block",F65,"")</f>
      </c>
    </row>
    <row r="66">
      <c r="A66" s="17">
        <f>IFERROR(INDEX(Roster[Name],62)&amp;"","")</f>
      </c>
      <c r="B66" s="17">
        <f>IF(A66="","",INDEX(Roster[Team],62)&amp;"")</f>
      </c>
      <c r="C66" s="17">
        <f>IF(OR(A66="",COUNTA(ChatPaste)=0),"",COUNTIF(ChatSpeaker,A66))</f>
      </c>
      <c r="D66" s="20">
        <f>IF(A66="","",IFERROR(INDEX(ChatText,MATCH(1,INDEX((ChatSpeaker=A66)*(ChatTag="Y"),0),0)),""))</f>
      </c>
      <c r="E66" s="20">
        <f>IF(A66="","",IFERROR(INDEX(ChatText,MATCH(1,INDEX((ChatSpeaker=A66)*(ChatTag="T"),0),0)),""))</f>
      </c>
      <c r="F66" s="20">
        <f>IF(A66="","",IFERROR(INDEX(ChatText,MATCH(1,INDEX((ChatSpeaker=A66)*(ChatTag="B"),0),0)),""))</f>
      </c>
      <c r="G66" s="17">
        <f>IF(E66="",0,SUMPRODUCT((Items[ID]&lt;&gt;"")*ISNUMBER(SEARCH(" "&amp;Items[ID]&amp;" "," "&amp;SUBSTITUTE(SUBSTITUTE(SUBSTITUTE(SUBSTITUTE(SUBSTITUTE(SUBSTITUTE(SUBSTITUTE(E66,","," "),"."," "),";"," "),":"," "),"("," "),")"," "),"/"," ")&amp;" "))))</f>
      </c>
      <c r="H66" s="17">
        <f>IF(E66="",0,SUMPRODUCT((Items[ID]&lt;&gt;"")*(Items[Owner]=A66)*(Items[In sprint]=1)*ISNUMBER(SEARCH(" "&amp;Items[ID]&amp;" "," "&amp;SUBSTITUTE(SUBSTITUTE(SUBSTITUTE(SUBSTITUTE(SUBSTITUTE(SUBSTITUTE(SUBSTITUTE(E66,","," "),"."," "),";"," "),":"," "),"("," "),")"," "),"/"," ")&amp;" "))))</f>
      </c>
      <c r="I66" s="17">
        <f>IF(F66="","",IF(OR(LOWER(TRIM(F66))={"none","no","nothing","n/a","na","-","nope","no blockers","none.","nil"}),"","Y"))</f>
      </c>
      <c r="J66" s="17">
        <f>IF(D66="","",IF(OR(ISNUMBER(SEARCH({"done","finished","completed","closed","merged"},D66))),IFERROR(INDEX(Items[ID],MATCH(1,INDEX((Items[ID]&lt;&gt;"")*(Items[State]&lt;&gt;"DONE")*ISNUMBER(SEARCH(" "&amp;Items[ID]&amp;" "," "&amp;SUBSTITUTE(SUBSTITUTE(SUBSTITUTE(SUBSTITUTE(SUBSTITUTE(SUBSTITUTE(SUBSTITUTE(D66,","," "),"."," "),";"," "),":"," "),"("," "),")"," "),"/"," ")&amp;" ")),0),0)),""),""))</f>
      </c>
      <c r="K66" s="20">
        <f>IF(A66="","",TRIM(IF(C66=0,"silent; ","")&amp;IF(AND(N(C66)&gt;0,D66=""),"no Y; ","")&amp;IF(AND(N(C66)&gt;0,E66=""),"no T; ","")&amp;IF(AND(N(C66)&gt;0,F66=""),"no B; ","")&amp;IF(AND(E66&lt;&gt;"",G66=0),"no task id in T; ","")&amp;IF(AND(G66&gt;0,H66=0),"T names no task of yours in this sprint; ","")&amp;IF(I66="Y","blocker: "&amp;F66&amp;"; ","")))</f>
      </c>
      <c r="L66" s="20">
        <f>IF(A66="","",IF(C66=0,"@"&amp;A66&amp;" please post Y: / T: / B: for today.",IF(TRIM(IF(AND(N(C66)&gt;0,D66=""),"no Y; ","")&amp;IF(AND(N(C66)&gt;0,E66=""),"no T; ","")&amp;IF(AND(N(C66)&gt;0,F66=""),"no B; ","")&amp;IF(AND(E66&lt;&gt;"",G66=0),"no task id in T; ","")&amp;IF(AND(G66&gt;0,H66=0),"T names no task of yours in this sprint; ",""))="","","@"&amp;A66&amp;" please fix: "&amp;TRIM(IF(AND(N(C66)&gt;0,D66=""),"no Y; ","")&amp;IF(AND(N(C66)&gt;0,E66=""),"no T; ","")&amp;IF(AND(N(C66)&gt;0,F66=""),"no B; ","")&amp;IF(AND(E66&lt;&gt;"",G66=0),"no task id in T; ","")&amp;IF(AND(G66&gt;0,H66=0),"T names no task of yours in this sprint; ","")))))</f>
      </c>
      <c r="M66" s="11">
        <f>IF(N66="","",StandupDate)</f>
      </c>
      <c r="N66" s="17">
        <f>IF(J66&lt;&gt;"",J66,IF(I66="Y",IF(IFERROR(INDEX(Items[ID],MATCH(1,INDEX((Items[ID]&lt;&gt;"")*ISNUMBER(SEARCH(" "&amp;Items[ID]&amp;" "," "&amp;SUBSTITUTE(SUBSTITUTE(SUBSTITUTE(SUBSTITUTE(SUBSTITUTE(SUBSTITUTE(SUBSTITUTE(F66,",","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"&amp;SUBSTITUTE(SUBSTITUTE(SUBSTITUTE(SUBSTITUTE(SUBSTITUTE(SUBSTITUTE(SUBSTITUTE(F66,","," "),"."," "),";"," "),":"," "),"("," "),")"," "),"/"," ")&amp;" ")),0),0)),""),IFERROR(INDEX(Items[ID],MATCH(1,INDEX((Items[ID]&lt;&gt;"")*(Items[Owner]=A66)*ISNUMBER(SEARCH(" "&amp;Items[ID]&amp;" "," "&amp;SUBSTITUTE(SUBSTITUTE(SUBSTITUTE(SUBSTITUTE(SUBSTITUTE(SUBSTITUTE(SUBSTITUTE(E66,","," "),"."," "),";"," "),":"," "),"("," "),")"," "),"/"," ")&amp;" ")),0),0)),"")),""))</f>
      </c>
      <c r="O66" s="17">
        <f>IF(N66="","",IF(J66&lt;&gt;"","done","block"))</f>
      </c>
      <c r="P66" s="17">
        <f>IF(O66="block",F66,"")</f>
      </c>
    </row>
    <row r="67">
      <c r="A67" s="17">
        <f>IFERROR(INDEX(Roster[Name],63)&amp;"","")</f>
      </c>
      <c r="B67" s="17">
        <f>IF(A67="","",INDEX(Roster[Team],63)&amp;"")</f>
      </c>
      <c r="C67" s="17">
        <f>IF(OR(A67="",COUNTA(ChatPaste)=0),"",COUNTIF(ChatSpeaker,A67))</f>
      </c>
      <c r="D67" s="20">
        <f>IF(A67="","",IFERROR(INDEX(ChatText,MATCH(1,INDEX((ChatSpeaker=A67)*(ChatTag="Y"),0),0)),""))</f>
      </c>
      <c r="E67" s="20">
        <f>IF(A67="","",IFERROR(INDEX(ChatText,MATCH(1,INDEX((ChatSpeaker=A67)*(ChatTag="T"),0),0)),""))</f>
      </c>
      <c r="F67" s="20">
        <f>IF(A67="","",IFERROR(INDEX(ChatText,MATCH(1,INDEX((ChatSpeaker=A67)*(ChatTag="B"),0),0)),""))</f>
      </c>
      <c r="G67" s="17">
        <f>IF(E67="",0,SUMPRODUCT((Items[ID]&lt;&gt;"")*ISNUMBER(SEARCH(" "&amp;Items[ID]&amp;" "," "&amp;SUBSTITUTE(SUBSTITUTE(SUBSTITUTE(SUBSTITUTE(SUBSTITUTE(SUBSTITUTE(SUBSTITUTE(E67,","," "),"."," "),";"," "),":"," "),"("," "),")"," "),"/"," ")&amp;" "))))</f>
      </c>
      <c r="H67" s="17">
        <f>IF(E67="",0,SUMPRODUCT((Items[ID]&lt;&gt;"")*(Items[Owner]=A67)*(Items[In sprint]=1)*ISNUMBER(SEARCH(" "&amp;Items[ID]&amp;" "," "&amp;SUBSTITUTE(SUBSTITUTE(SUBSTITUTE(SUBSTITUTE(SUBSTITUTE(SUBSTITUTE(SUBSTITUTE(E67,","," "),"."," "),";"," "),":"," "),"("," "),")"," "),"/"," ")&amp;" "))))</f>
      </c>
      <c r="I67" s="17">
        <f>IF(F67="","",IF(OR(LOWER(TRIM(F67))={"none","no","nothing","n/a","na","-","nope","no blockers","none.","nil"}),"","Y"))</f>
      </c>
      <c r="J67" s="17">
        <f>IF(D67="","",IF(OR(ISNUMBER(SEARCH({"done","finished","completed","closed","merged"},D67))),IFERROR(INDEX(Items[ID],MATCH(1,INDEX((Items[ID]&lt;&gt;"")*(Items[State]&lt;&gt;"DONE")*ISNUMBER(SEARCH(" "&amp;Items[ID]&amp;" "," "&amp;SUBSTITUTE(SUBSTITUTE(SUBSTITUTE(SUBSTITUTE(SUBSTITUTE(SUBSTITUTE(SUBSTITUTE(D67,","," "),"."," "),";"," "),":"," "),"("," "),")"," "),"/"," ")&amp;" ")),0),0)),""),""))</f>
      </c>
      <c r="K67" s="20">
        <f>IF(A67="","",TRIM(IF(C67=0,"silent; ","")&amp;IF(AND(N(C67)&gt;0,D67=""),"no Y; ","")&amp;IF(AND(N(C67)&gt;0,E67=""),"no T; ","")&amp;IF(AND(N(C67)&gt;0,F67=""),"no B; ","")&amp;IF(AND(E67&lt;&gt;"",G67=0),"no task id in T; ","")&amp;IF(AND(G67&gt;0,H67=0),"T names no task of yours in this sprint; ","")&amp;IF(I67="Y","blocker: "&amp;F67&amp;"; ","")))</f>
      </c>
      <c r="L67" s="20">
        <f>IF(A67="","",IF(C67=0,"@"&amp;A67&amp;" please post Y: / T: / B: for today.",IF(TRIM(IF(AND(N(C67)&gt;0,D67=""),"no Y; ","")&amp;IF(AND(N(C67)&gt;0,E67=""),"no T; ","")&amp;IF(AND(N(C67)&gt;0,F67=""),"no B; ","")&amp;IF(AND(E67&lt;&gt;"",G67=0),"no task id in T; ","")&amp;IF(AND(G67&gt;0,H67=0),"T names no task of yours in this sprint; ",""))="","","@"&amp;A67&amp;" please fix: "&amp;TRIM(IF(AND(N(C67)&gt;0,D67=""),"no Y; ","")&amp;IF(AND(N(C67)&gt;0,E67=""),"no T; ","")&amp;IF(AND(N(C67)&gt;0,F67=""),"no B; ","")&amp;IF(AND(E67&lt;&gt;"",G67=0),"no task id in T; ","")&amp;IF(AND(G67&gt;0,H67=0),"T names no task of yours in this sprint; ","")))))</f>
      </c>
      <c r="M67" s="11">
        <f>IF(N67="","",StandupDate)</f>
      </c>
      <c r="N67" s="17">
        <f>IF(J67&lt;&gt;"",J67,IF(I67="Y",IF(IFERROR(INDEX(Items[ID],MATCH(1,INDEX((Items[ID]&lt;&gt;"")*ISNUMBER(SEARCH(" "&amp;Items[ID]&amp;" "," "&amp;SUBSTITUTE(SUBSTITUTE(SUBSTITUTE(SUBSTITUTE(SUBSTITUTE(SUBSTITUTE(SUBSTITUTE(F67,",","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"&amp;SUBSTITUTE(SUBSTITUTE(SUBSTITUTE(SUBSTITUTE(SUBSTITUTE(SUBSTITUTE(SUBSTITUTE(F67,","," "),"."," "),";"," "),":"," "),"("," "),")"," "),"/"," ")&amp;" ")),0),0)),""),IFERROR(INDEX(Items[ID],MATCH(1,INDEX((Items[ID]&lt;&gt;"")*(Items[Owner]=A67)*ISNUMBER(SEARCH(" "&amp;Items[ID]&amp;" "," "&amp;SUBSTITUTE(SUBSTITUTE(SUBSTITUTE(SUBSTITUTE(SUBSTITUTE(SUBSTITUTE(SUBSTITUTE(E67,","," "),"."," "),";"," "),":"," "),"("," "),")"," "),"/"," ")&amp;" ")),0),0)),"")),""))</f>
      </c>
      <c r="O67" s="17">
        <f>IF(N67="","",IF(J67&lt;&gt;"","done","block"))</f>
      </c>
      <c r="P67" s="17">
        <f>IF(O67="block",F67,"")</f>
      </c>
    </row>
    <row r="68">
      <c r="A68" s="17">
        <f>IFERROR(INDEX(Roster[Name],64)&amp;"","")</f>
      </c>
      <c r="B68" s="17">
        <f>IF(A68="","",INDEX(Roster[Team],64)&amp;"")</f>
      </c>
      <c r="C68" s="17">
        <f>IF(OR(A68="",COUNTA(ChatPaste)=0),"",COUNTIF(ChatSpeaker,A68))</f>
      </c>
      <c r="D68" s="20">
        <f>IF(A68="","",IFERROR(INDEX(ChatText,MATCH(1,INDEX((ChatSpeaker=A68)*(ChatTag="Y"),0),0)),""))</f>
      </c>
      <c r="E68" s="20">
        <f>IF(A68="","",IFERROR(INDEX(ChatText,MATCH(1,INDEX((ChatSpeaker=A68)*(ChatTag="T"),0),0)),""))</f>
      </c>
      <c r="F68" s="20">
        <f>IF(A68="","",IFERROR(INDEX(ChatText,MATCH(1,INDEX((ChatSpeaker=A68)*(ChatTag="B"),0),0)),""))</f>
      </c>
      <c r="G68" s="17">
        <f>IF(E68="",0,SUMPRODUCT((Items[ID]&lt;&gt;"")*ISNUMBER(SEARCH(" "&amp;Items[ID]&amp;" "," "&amp;SUBSTITUTE(SUBSTITUTE(SUBSTITUTE(SUBSTITUTE(SUBSTITUTE(SUBSTITUTE(SUBSTITUTE(E68,","," "),"."," "),";"," "),":"," "),"("," "),")"," "),"/"," ")&amp;" "))))</f>
      </c>
      <c r="H68" s="17">
        <f>IF(E68="",0,SUMPRODUCT((Items[ID]&lt;&gt;"")*(Items[Owner]=A68)*(Items[In sprint]=1)*ISNUMBER(SEARCH(" "&amp;Items[ID]&amp;" "," "&amp;SUBSTITUTE(SUBSTITUTE(SUBSTITUTE(SUBSTITUTE(SUBSTITUTE(SUBSTITUTE(SUBSTITUTE(E68,","," "),"."," "),";"," "),":"," "),"("," "),")"," "),"/"," ")&amp;" "))))</f>
      </c>
      <c r="I68" s="17">
        <f>IF(F68="","",IF(OR(LOWER(TRIM(F68))={"none","no","nothing","n/a","na","-","nope","no blockers","none.","nil"}),"","Y"))</f>
      </c>
      <c r="J68" s="17">
        <f>IF(D68="","",IF(OR(ISNUMBER(SEARCH({"done","finished","completed","closed","merged"},D68))),IFERROR(INDEX(Items[ID],MATCH(1,INDEX((Items[ID]&lt;&gt;"")*(Items[State]&lt;&gt;"DONE")*ISNUMBER(SEARCH(" "&amp;Items[ID]&amp;" "," "&amp;SUBSTITUTE(SUBSTITUTE(SUBSTITUTE(SUBSTITUTE(SUBSTITUTE(SUBSTITUTE(SUBSTITUTE(D68,","," "),"."," "),";"," "),":"," "),"("," "),")"," "),"/"," ")&amp;" ")),0),0)),""),""))</f>
      </c>
      <c r="K68" s="20">
        <f>IF(A68="","",TRIM(IF(C68=0,"silent; ","")&amp;IF(AND(N(C68)&gt;0,D68=""),"no Y; ","")&amp;IF(AND(N(C68)&gt;0,E68=""),"no T; ","")&amp;IF(AND(N(C68)&gt;0,F68=""),"no B; ","")&amp;IF(AND(E68&lt;&gt;"",G68=0),"no task id in T; ","")&amp;IF(AND(G68&gt;0,H68=0),"T names no task of yours in this sprint; ","")&amp;IF(I68="Y","blocker: "&amp;F68&amp;"; ","")))</f>
      </c>
      <c r="L68" s="20">
        <f>IF(A68="","",IF(C68=0,"@"&amp;A68&amp;" please post Y: / T: / B: for today.",IF(TRIM(IF(AND(N(C68)&gt;0,D68=""),"no Y; ","")&amp;IF(AND(N(C68)&gt;0,E68=""),"no T; ","")&amp;IF(AND(N(C68)&gt;0,F68=""),"no B; ","")&amp;IF(AND(E68&lt;&gt;"",G68=0),"no task id in T; ","")&amp;IF(AND(G68&gt;0,H68=0),"T names no task of yours in this sprint; ",""))="","","@"&amp;A68&amp;" please fix: "&amp;TRIM(IF(AND(N(C68)&gt;0,D68=""),"no Y; ","")&amp;IF(AND(N(C68)&gt;0,E68=""),"no T; ","")&amp;IF(AND(N(C68)&gt;0,F68=""),"no B; ","")&amp;IF(AND(E68&lt;&gt;"",G68=0),"no task id in T; ","")&amp;IF(AND(G68&gt;0,H68=0),"T names no task of yours in this sprint; ","")))))</f>
      </c>
      <c r="M68" s="11">
        <f>IF(N68="","",StandupDate)</f>
      </c>
      <c r="N68" s="17">
        <f>IF(J68&lt;&gt;"",J68,IF(I68="Y",IF(IFERROR(INDEX(Items[ID],MATCH(1,INDEX((Items[ID]&lt;&gt;"")*ISNUMBER(SEARCH(" "&amp;Items[ID]&amp;" "," "&amp;SUBSTITUTE(SUBSTITUTE(SUBSTITUTE(SUBSTITUTE(SUBSTITUTE(SUBSTITUTE(SUBSTITUTE(F68,",","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"&amp;SUBSTITUTE(SUBSTITUTE(SUBSTITUTE(SUBSTITUTE(SUBSTITUTE(SUBSTITUTE(SUBSTITUTE(F68,","," "),"."," "),";"," "),":"," "),"("," "),")"," "),"/"," ")&amp;" ")),0),0)),""),IFERROR(INDEX(Items[ID],MATCH(1,INDEX((Items[ID]&lt;&gt;"")*(Items[Owner]=A68)*ISNUMBER(SEARCH(" "&amp;Items[ID]&amp;" "," "&amp;SUBSTITUTE(SUBSTITUTE(SUBSTITUTE(SUBSTITUTE(SUBSTITUTE(SUBSTITUTE(SUBSTITUTE(E68,","," "),"."," "),";"," "),":"," "),"("," "),")"," "),"/"," ")&amp;" ")),0),0)),"")),""))</f>
      </c>
      <c r="O68" s="17">
        <f>IF(N68="","",IF(J68&lt;&gt;"","done","block"))</f>
      </c>
      <c r="P68" s="17">
        <f>IF(O68="block",F68,"")</f>
      </c>
    </row>
    <row r="69">
      <c r="A69" s="17">
        <f>IFERROR(INDEX(Roster[Name],65)&amp;"","")</f>
      </c>
      <c r="B69" s="17">
        <f>IF(A69="","",INDEX(Roster[Team],65)&amp;"")</f>
      </c>
      <c r="C69" s="17">
        <f>IF(OR(A69="",COUNTA(ChatPaste)=0),"",COUNTIF(ChatSpeaker,A69))</f>
      </c>
      <c r="D69" s="20">
        <f>IF(A69="","",IFERROR(INDEX(ChatText,MATCH(1,INDEX((ChatSpeaker=A69)*(ChatTag="Y"),0),0)),""))</f>
      </c>
      <c r="E69" s="20">
        <f>IF(A69="","",IFERROR(INDEX(ChatText,MATCH(1,INDEX((ChatSpeaker=A69)*(ChatTag="T"),0),0)),""))</f>
      </c>
      <c r="F69" s="20">
        <f>IF(A69="","",IFERROR(INDEX(ChatText,MATCH(1,INDEX((ChatSpeaker=A69)*(ChatTag="B"),0),0)),""))</f>
      </c>
      <c r="G69" s="17">
        <f>IF(E69="",0,SUMPRODUCT((Items[ID]&lt;&gt;"")*ISNUMBER(SEARCH(" "&amp;Items[ID]&amp;" "," "&amp;SUBSTITUTE(SUBSTITUTE(SUBSTITUTE(SUBSTITUTE(SUBSTITUTE(SUBSTITUTE(SUBSTITUTE(E69,","," "),"."," "),";"," "),":"," "),"("," "),")"," "),"/"," ")&amp;" "))))</f>
      </c>
      <c r="H69" s="17">
        <f>IF(E69="",0,SUMPRODUCT((Items[ID]&lt;&gt;"")*(Items[Owner]=A69)*(Items[In sprint]=1)*ISNUMBER(SEARCH(" "&amp;Items[ID]&amp;" "," "&amp;SUBSTITUTE(SUBSTITUTE(SUBSTITUTE(SUBSTITUTE(SUBSTITUTE(SUBSTITUTE(SUBSTITUTE(E69,","," "),"."," "),";"," "),":"," "),"("," "),")"," "),"/"," ")&amp;" "))))</f>
      </c>
      <c r="I69" s="17">
        <f>IF(F69="","",IF(OR(LOWER(TRIM(F69))={"none","no","nothing","n/a","na","-","nope","no blockers","none.","nil"}),"","Y"))</f>
      </c>
      <c r="J69" s="17">
        <f>IF(D69="","",IF(OR(ISNUMBER(SEARCH({"done","finished","completed","closed","merged"},D69))),IFERROR(INDEX(Items[ID],MATCH(1,INDEX((Items[ID]&lt;&gt;"")*(Items[State]&lt;&gt;"DONE")*ISNUMBER(SEARCH(" "&amp;Items[ID]&amp;" "," "&amp;SUBSTITUTE(SUBSTITUTE(SUBSTITUTE(SUBSTITUTE(SUBSTITUTE(SUBSTITUTE(SUBSTITUTE(D69,","," "),"."," "),";"," "),":"," "),"("," "),")"," "),"/"," ")&amp;" ")),0),0)),""),""))</f>
      </c>
      <c r="K69" s="20">
        <f>IF(A69="","",TRIM(IF(C69=0,"silent; ","")&amp;IF(AND(N(C69)&gt;0,D69=""),"no Y; ","")&amp;IF(AND(N(C69)&gt;0,E69=""),"no T; ","")&amp;IF(AND(N(C69)&gt;0,F69=""),"no B; ","")&amp;IF(AND(E69&lt;&gt;"",G69=0),"no task id in T; ","")&amp;IF(AND(G69&gt;0,H69=0),"T names no task of yours in this sprint; ","")&amp;IF(I69="Y","blocker: "&amp;F69&amp;"; ","")))</f>
      </c>
      <c r="L69" s="20">
        <f>IF(A69="","",IF(C69=0,"@"&amp;A69&amp;" please post Y: / T: / B: for today.",IF(TRIM(IF(AND(N(C69)&gt;0,D69=""),"no Y; ","")&amp;IF(AND(N(C69)&gt;0,E69=""),"no T; ","")&amp;IF(AND(N(C69)&gt;0,F69=""),"no B; ","")&amp;IF(AND(E69&lt;&gt;"",G69=0),"no task id in T; ","")&amp;IF(AND(G69&gt;0,H69=0),"T names no task of yours in this sprint; ",""))="","","@"&amp;A69&amp;" please fix: "&amp;TRIM(IF(AND(N(C69)&gt;0,D69=""),"no Y; ","")&amp;IF(AND(N(C69)&gt;0,E69=""),"no T; ","")&amp;IF(AND(N(C69)&gt;0,F69=""),"no B; ","")&amp;IF(AND(E69&lt;&gt;"",G69=0),"no task id in T; ","")&amp;IF(AND(G69&gt;0,H69=0),"T names no task of yours in this sprint; ","")))))</f>
      </c>
      <c r="M69" s="11">
        <f>IF(N69="","",StandupDate)</f>
      </c>
      <c r="N69" s="17">
        <f>IF(J69&lt;&gt;"",J69,IF(I69="Y",IF(IFERROR(INDEX(Items[ID],MATCH(1,INDEX((Items[ID]&lt;&gt;"")*ISNUMBER(SEARCH(" "&amp;Items[ID]&amp;" "," "&amp;SUBSTITUTE(SUBSTITUTE(SUBSTITUTE(SUBSTITUTE(SUBSTITUTE(SUBSTITUTE(SUBSTITUTE(F69,",","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"&amp;SUBSTITUTE(SUBSTITUTE(SUBSTITUTE(SUBSTITUTE(SUBSTITUTE(SUBSTITUTE(SUBSTITUTE(F69,","," "),"."," "),";"," "),":"," "),"("," "),")"," "),"/"," ")&amp;" ")),0),0)),""),IFERROR(INDEX(Items[ID],MATCH(1,INDEX((Items[ID]&lt;&gt;"")*(Items[Owner]=A69)*ISNUMBER(SEARCH(" "&amp;Items[ID]&amp;" "," "&amp;SUBSTITUTE(SUBSTITUTE(SUBSTITUTE(SUBSTITUTE(SUBSTITUTE(SUBSTITUTE(SUBSTITUTE(E69,","," "),"."," "),";"," "),":"," "),"("," "),")"," "),"/"," ")&amp;" ")),0),0)),"")),""))</f>
      </c>
      <c r="O69" s="17">
        <f>IF(N69="","",IF(J69&lt;&gt;"","done","block"))</f>
      </c>
      <c r="P69" s="17">
        <f>IF(O69="block",F69,"")</f>
      </c>
    </row>
    <row r="70">
      <c r="A70" s="17">
        <f>IFERROR(INDEX(Roster[Name],66)&amp;"","")</f>
      </c>
      <c r="B70" s="17">
        <f>IF(A70="","",INDEX(Roster[Team],66)&amp;"")</f>
      </c>
      <c r="C70" s="17">
        <f>IF(OR(A70="",COUNTA(ChatPaste)=0),"",COUNTIF(ChatSpeaker,A70))</f>
      </c>
      <c r="D70" s="20">
        <f>IF(A70="","",IFERROR(INDEX(ChatText,MATCH(1,INDEX((ChatSpeaker=A70)*(ChatTag="Y"),0),0)),""))</f>
      </c>
      <c r="E70" s="20">
        <f>IF(A70="","",IFERROR(INDEX(ChatText,MATCH(1,INDEX((ChatSpeaker=A70)*(ChatTag="T"),0),0)),""))</f>
      </c>
      <c r="F70" s="20">
        <f>IF(A70="","",IFERROR(INDEX(ChatText,MATCH(1,INDEX((ChatSpeaker=A70)*(ChatTag="B"),0),0)),""))</f>
      </c>
      <c r="G70" s="17">
        <f>IF(E70="",0,SUMPRODUCT((Items[ID]&lt;&gt;"")*ISNUMBER(SEARCH(" "&amp;Items[ID]&amp;" "," "&amp;SUBSTITUTE(SUBSTITUTE(SUBSTITUTE(SUBSTITUTE(SUBSTITUTE(SUBSTITUTE(SUBSTITUTE(E70,","," "),"."," "),";"," "),":"," "),"("," "),")"," "),"/"," ")&amp;" "))))</f>
      </c>
      <c r="H70" s="17">
        <f>IF(E70="",0,SUMPRODUCT((Items[ID]&lt;&gt;"")*(Items[Owner]=A70)*(Items[In sprint]=1)*ISNUMBER(SEARCH(" "&amp;Items[ID]&amp;" "," "&amp;SUBSTITUTE(SUBSTITUTE(SUBSTITUTE(SUBSTITUTE(SUBSTITUTE(SUBSTITUTE(SUBSTITUTE(E70,","," "),"."," "),";"," "),":"," "),"("," "),")"," "),"/"," ")&amp;" "))))</f>
      </c>
      <c r="I70" s="17">
        <f>IF(F70="","",IF(OR(LOWER(TRIM(F70))={"none","no","nothing","n/a","na","-","nope","no blockers","none.","nil"}),"","Y"))</f>
      </c>
      <c r="J70" s="17">
        <f>IF(D70="","",IF(OR(ISNUMBER(SEARCH({"done","finished","completed","closed","merged"},D70))),IFERROR(INDEX(Items[ID],MATCH(1,INDEX((Items[ID]&lt;&gt;"")*(Items[State]&lt;&gt;"DONE")*ISNUMBER(SEARCH(" "&amp;Items[ID]&amp;" "," "&amp;SUBSTITUTE(SUBSTITUTE(SUBSTITUTE(SUBSTITUTE(SUBSTITUTE(SUBSTITUTE(SUBSTITUTE(D70,","," "),"."," "),";"," "),":"," "),"("," "),")"," "),"/"," ")&amp;" ")),0),0)),""),""))</f>
      </c>
      <c r="K70" s="20">
        <f>IF(A70="","",TRIM(IF(C70=0,"silent; ","")&amp;IF(AND(N(C70)&gt;0,D70=""),"no Y; ","")&amp;IF(AND(N(C70)&gt;0,E70=""),"no T; ","")&amp;IF(AND(N(C70)&gt;0,F70=""),"no B; ","")&amp;IF(AND(E70&lt;&gt;"",G70=0),"no task id in T; ","")&amp;IF(AND(G70&gt;0,H70=0),"T names no task of yours in this sprint; ","")&amp;IF(I70="Y","blocker: "&amp;F70&amp;"; ","")))</f>
      </c>
      <c r="L70" s="20">
        <f>IF(A70="","",IF(C70=0,"@"&amp;A70&amp;" please post Y: / T: / B: for today.",IF(TRIM(IF(AND(N(C70)&gt;0,D70=""),"no Y; ","")&amp;IF(AND(N(C70)&gt;0,E70=""),"no T; ","")&amp;IF(AND(N(C70)&gt;0,F70=""),"no B; ","")&amp;IF(AND(E70&lt;&gt;"",G70=0),"no task id in T; ","")&amp;IF(AND(G70&gt;0,H70=0),"T names no task of yours in this sprint; ",""))="","","@"&amp;A70&amp;" please fix: "&amp;TRIM(IF(AND(N(C70)&gt;0,D70=""),"no Y; ","")&amp;IF(AND(N(C70)&gt;0,E70=""),"no T; ","")&amp;IF(AND(N(C70)&gt;0,F70=""),"no B; ","")&amp;IF(AND(E70&lt;&gt;"",G70=0),"no task id in T; ","")&amp;IF(AND(G70&gt;0,H70=0),"T names no task of yours in this sprint; ","")))))</f>
      </c>
      <c r="M70" s="11">
        <f>IF(N70="","",StandupDate)</f>
      </c>
      <c r="N70" s="17">
        <f>IF(J70&lt;&gt;"",J70,IF(I70="Y",IF(IFERROR(INDEX(Items[ID],MATCH(1,INDEX((Items[ID]&lt;&gt;"")*ISNUMBER(SEARCH(" "&amp;Items[ID]&amp;" "," "&amp;SUBSTITUTE(SUBSTITUTE(SUBSTITUTE(SUBSTITUTE(SUBSTITUTE(SUBSTITUTE(SUBSTITUTE(F70,",","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"&amp;SUBSTITUTE(SUBSTITUTE(SUBSTITUTE(SUBSTITUTE(SUBSTITUTE(SUBSTITUTE(SUBSTITUTE(F70,","," "),"."," "),";"," "),":"," "),"("," "),")"," "),"/"," ")&amp;" ")),0),0)),""),IFERROR(INDEX(Items[ID],MATCH(1,INDEX((Items[ID]&lt;&gt;"")*(Items[Owner]=A70)*ISNUMBER(SEARCH(" "&amp;Items[ID]&amp;" "," "&amp;SUBSTITUTE(SUBSTITUTE(SUBSTITUTE(SUBSTITUTE(SUBSTITUTE(SUBSTITUTE(SUBSTITUTE(E70,","," "),"."," "),";"," "),":"," "),"("," "),")"," "),"/"," ")&amp;" ")),0),0)),"")),""))</f>
      </c>
      <c r="O70" s="17">
        <f>IF(N70="","",IF(J70&lt;&gt;"","done","block"))</f>
      </c>
      <c r="P70" s="17">
        <f>IF(O70="block",F70,"")</f>
      </c>
    </row>
    <row r="71">
      <c r="A71" s="17">
        <f>IFERROR(INDEX(Roster[Name],67)&amp;"","")</f>
      </c>
      <c r="B71" s="17">
        <f>IF(A71="","",INDEX(Roster[Team],67)&amp;"")</f>
      </c>
      <c r="C71" s="17">
        <f>IF(OR(A71="",COUNTA(ChatPaste)=0),"",COUNTIF(ChatSpeaker,A71))</f>
      </c>
      <c r="D71" s="20">
        <f>IF(A71="","",IFERROR(INDEX(ChatText,MATCH(1,INDEX((ChatSpeaker=A71)*(ChatTag="Y"),0),0)),""))</f>
      </c>
      <c r="E71" s="20">
        <f>IF(A71="","",IFERROR(INDEX(ChatText,MATCH(1,INDEX((ChatSpeaker=A71)*(ChatTag="T"),0),0)),""))</f>
      </c>
      <c r="F71" s="20">
        <f>IF(A71="","",IFERROR(INDEX(ChatText,MATCH(1,INDEX((ChatSpeaker=A71)*(ChatTag="B"),0),0)),""))</f>
      </c>
      <c r="G71" s="17">
        <f>IF(E71="",0,SUMPRODUCT((Items[ID]&lt;&gt;"")*ISNUMBER(SEARCH(" "&amp;Items[ID]&amp;" "," "&amp;SUBSTITUTE(SUBSTITUTE(SUBSTITUTE(SUBSTITUTE(SUBSTITUTE(SUBSTITUTE(SUBSTITUTE(E71,","," "),"."," "),";"," "),":"," "),"("," "),")"," "),"/"," ")&amp;" "))))</f>
      </c>
      <c r="H71" s="17">
        <f>IF(E71="",0,SUMPRODUCT((Items[ID]&lt;&gt;"")*(Items[Owner]=A71)*(Items[In sprint]=1)*ISNUMBER(SEARCH(" "&amp;Items[ID]&amp;" "," "&amp;SUBSTITUTE(SUBSTITUTE(SUBSTITUTE(SUBSTITUTE(SUBSTITUTE(SUBSTITUTE(SUBSTITUTE(E71,","," "),"."," "),";"," "),":"," "),"("," "),")"," "),"/"," ")&amp;" "))))</f>
      </c>
      <c r="I71" s="17">
        <f>IF(F71="","",IF(OR(LOWER(TRIM(F71))={"none","no","nothing","n/a","na","-","nope","no blockers","none.","nil"}),"","Y"))</f>
      </c>
      <c r="J71" s="17">
        <f>IF(D71="","",IF(OR(ISNUMBER(SEARCH({"done","finished","completed","closed","merged"},D71))),IFERROR(INDEX(Items[ID],MATCH(1,INDEX((Items[ID]&lt;&gt;"")*(Items[State]&lt;&gt;"DONE")*ISNUMBER(SEARCH(" "&amp;Items[ID]&amp;" "," "&amp;SUBSTITUTE(SUBSTITUTE(SUBSTITUTE(SUBSTITUTE(SUBSTITUTE(SUBSTITUTE(SUBSTITUTE(D71,","," "),"."," "),";"," "),":"," "),"("," "),")"," "),"/"," ")&amp;" ")),0),0)),""),""))</f>
      </c>
      <c r="K71" s="20">
        <f>IF(A71="","",TRIM(IF(C71=0,"silent; ","")&amp;IF(AND(N(C71)&gt;0,D71=""),"no Y; ","")&amp;IF(AND(N(C71)&gt;0,E71=""),"no T; ","")&amp;IF(AND(N(C71)&gt;0,F71=""),"no B; ","")&amp;IF(AND(E71&lt;&gt;"",G71=0),"no task id in T; ","")&amp;IF(AND(G71&gt;0,H71=0),"T names no task of yours in this sprint; ","")&amp;IF(I71="Y","blocker: "&amp;F71&amp;"; ","")))</f>
      </c>
      <c r="L71" s="20">
        <f>IF(A71="","",IF(C71=0,"@"&amp;A71&amp;" please post Y: / T: / B: for today.",IF(TRIM(IF(AND(N(C71)&gt;0,D71=""),"no Y; ","")&amp;IF(AND(N(C71)&gt;0,E71=""),"no T; ","")&amp;IF(AND(N(C71)&gt;0,F71=""),"no B; ","")&amp;IF(AND(E71&lt;&gt;"",G71=0),"no task id in T; ","")&amp;IF(AND(G71&gt;0,H71=0),"T names no task of yours in this sprint; ",""))="","","@"&amp;A71&amp;" please fix: "&amp;TRIM(IF(AND(N(C71)&gt;0,D71=""),"no Y; ","")&amp;IF(AND(N(C71)&gt;0,E71=""),"no T; ","")&amp;IF(AND(N(C71)&gt;0,F71=""),"no B; ","")&amp;IF(AND(E71&lt;&gt;"",G71=0),"no task id in T; ","")&amp;IF(AND(G71&gt;0,H71=0),"T names no task of yours in this sprint; ","")))))</f>
      </c>
      <c r="M71" s="11">
        <f>IF(N71="","",StandupDate)</f>
      </c>
      <c r="N71" s="17">
        <f>IF(J71&lt;&gt;"",J71,IF(I71="Y",IF(IFERROR(INDEX(Items[ID],MATCH(1,INDEX((Items[ID]&lt;&gt;"")*ISNUMBER(SEARCH(" "&amp;Items[ID]&amp;" "," "&amp;SUBSTITUTE(SUBSTITUTE(SUBSTITUTE(SUBSTITUTE(SUBSTITUTE(SUBSTITUTE(SUBSTITUTE(F71,",","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"&amp;SUBSTITUTE(SUBSTITUTE(SUBSTITUTE(SUBSTITUTE(SUBSTITUTE(SUBSTITUTE(SUBSTITUTE(F71,","," "),"."," "),";"," "),":"," "),"("," "),")"," "),"/"," ")&amp;" ")),0),0)),""),IFERROR(INDEX(Items[ID],MATCH(1,INDEX((Items[ID]&lt;&gt;"")*(Items[Owner]=A71)*ISNUMBER(SEARCH(" "&amp;Items[ID]&amp;" "," "&amp;SUBSTITUTE(SUBSTITUTE(SUBSTITUTE(SUBSTITUTE(SUBSTITUTE(SUBSTITUTE(SUBSTITUTE(E71,","," "),"."," "),";"," "),":"," "),"("," "),")"," "),"/"," ")&amp;" ")),0),0)),"")),""))</f>
      </c>
      <c r="O71" s="17">
        <f>IF(N71="","",IF(J71&lt;&gt;"","done","block"))</f>
      </c>
      <c r="P71" s="17">
        <f>IF(O71="block",F71,"")</f>
      </c>
    </row>
    <row r="72">
      <c r="A72" s="17">
        <f>IFERROR(INDEX(Roster[Name],68)&amp;"","")</f>
      </c>
      <c r="B72" s="17">
        <f>IF(A72="","",INDEX(Roster[Team],68)&amp;"")</f>
      </c>
      <c r="C72" s="17">
        <f>IF(OR(A72="",COUNTA(ChatPaste)=0),"",COUNTIF(ChatSpeaker,A72))</f>
      </c>
      <c r="D72" s="20">
        <f>IF(A72="","",IFERROR(INDEX(ChatText,MATCH(1,INDEX((ChatSpeaker=A72)*(ChatTag="Y"),0),0)),""))</f>
      </c>
      <c r="E72" s="20">
        <f>IF(A72="","",IFERROR(INDEX(ChatText,MATCH(1,INDEX((ChatSpeaker=A72)*(ChatTag="T"),0),0)),""))</f>
      </c>
      <c r="F72" s="20">
        <f>IF(A72="","",IFERROR(INDEX(ChatText,MATCH(1,INDEX((ChatSpeaker=A72)*(ChatTag="B"),0),0)),""))</f>
      </c>
      <c r="G72" s="17">
        <f>IF(E72="",0,SUMPRODUCT((Items[ID]&lt;&gt;"")*ISNUMBER(SEARCH(" "&amp;Items[ID]&amp;" "," "&amp;SUBSTITUTE(SUBSTITUTE(SUBSTITUTE(SUBSTITUTE(SUBSTITUTE(SUBSTITUTE(SUBSTITUTE(E72,","," "),"."," "),";"," "),":"," "),"("," "),")"," "),"/"," ")&amp;" "))))</f>
      </c>
      <c r="H72" s="17">
        <f>IF(E72="",0,SUMPRODUCT((Items[ID]&lt;&gt;"")*(Items[Owner]=A72)*(Items[In sprint]=1)*ISNUMBER(SEARCH(" "&amp;Items[ID]&amp;" "," "&amp;SUBSTITUTE(SUBSTITUTE(SUBSTITUTE(SUBSTITUTE(SUBSTITUTE(SUBSTITUTE(SUBSTITUTE(E72,","," "),"."," "),";"," "),":"," "),"("," "),")"," "),"/"," ")&amp;" "))))</f>
      </c>
      <c r="I72" s="17">
        <f>IF(F72="","",IF(OR(LOWER(TRIM(F72))={"none","no","nothing","n/a","na","-","nope","no blockers","none.","nil"}),"","Y"))</f>
      </c>
      <c r="J72" s="17">
        <f>IF(D72="","",IF(OR(ISNUMBER(SEARCH({"done","finished","completed","closed","merged"},D72))),IFERROR(INDEX(Items[ID],MATCH(1,INDEX((Items[ID]&lt;&gt;"")*(Items[State]&lt;&gt;"DONE")*ISNUMBER(SEARCH(" "&amp;Items[ID]&amp;" "," "&amp;SUBSTITUTE(SUBSTITUTE(SUBSTITUTE(SUBSTITUTE(SUBSTITUTE(SUBSTITUTE(SUBSTITUTE(D72,","," "),"."," "),";"," "),":"," "),"("," "),")"," "),"/"," ")&amp;" ")),0),0)),""),""))</f>
      </c>
      <c r="K72" s="20">
        <f>IF(A72="","",TRIM(IF(C72=0,"silent; ","")&amp;IF(AND(N(C72)&gt;0,D72=""),"no Y; ","")&amp;IF(AND(N(C72)&gt;0,E72=""),"no T; ","")&amp;IF(AND(N(C72)&gt;0,F72=""),"no B; ","")&amp;IF(AND(E72&lt;&gt;"",G72=0),"no task id in T; ","")&amp;IF(AND(G72&gt;0,H72=0),"T names no task of yours in this sprint; ","")&amp;IF(I72="Y","blocker: "&amp;F72&amp;"; ","")))</f>
      </c>
      <c r="L72" s="20">
        <f>IF(A72="","",IF(C72=0,"@"&amp;A72&amp;" please post Y: / T: / B: for today.",IF(TRIM(IF(AND(N(C72)&gt;0,D72=""),"no Y; ","")&amp;IF(AND(N(C72)&gt;0,E72=""),"no T; ","")&amp;IF(AND(N(C72)&gt;0,F72=""),"no B; ","")&amp;IF(AND(E72&lt;&gt;"",G72=0),"no task id in T; ","")&amp;IF(AND(G72&gt;0,H72=0),"T names no task of yours in this sprint; ",""))="","","@"&amp;A72&amp;" please fix: "&amp;TRIM(IF(AND(N(C72)&gt;0,D72=""),"no Y; ","")&amp;IF(AND(N(C72)&gt;0,E72=""),"no T; ","")&amp;IF(AND(N(C72)&gt;0,F72=""),"no B; ","")&amp;IF(AND(E72&lt;&gt;"",G72=0),"no task id in T; ","")&amp;IF(AND(G72&gt;0,H72=0),"T names no task of yours in this sprint; ","")))))</f>
      </c>
      <c r="M72" s="11">
        <f>IF(N72="","",StandupDate)</f>
      </c>
      <c r="N72" s="17">
        <f>IF(J72&lt;&gt;"",J72,IF(I72="Y",IF(IFERROR(INDEX(Items[ID],MATCH(1,INDEX((Items[ID]&lt;&gt;"")*ISNUMBER(SEARCH(" "&amp;Items[ID]&amp;" "," "&amp;SUBSTITUTE(SUBSTITUTE(SUBSTITUTE(SUBSTITUTE(SUBSTITUTE(SUBSTITUTE(SUBSTITUTE(F72,",","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"&amp;SUBSTITUTE(SUBSTITUTE(SUBSTITUTE(SUBSTITUTE(SUBSTITUTE(SUBSTITUTE(SUBSTITUTE(F72,","," "),"."," "),";"," "),":"," "),"("," "),")"," "),"/"," ")&amp;" ")),0),0)),""),IFERROR(INDEX(Items[ID],MATCH(1,INDEX((Items[ID]&lt;&gt;"")*(Items[Owner]=A72)*ISNUMBER(SEARCH(" "&amp;Items[ID]&amp;" "," "&amp;SUBSTITUTE(SUBSTITUTE(SUBSTITUTE(SUBSTITUTE(SUBSTITUTE(SUBSTITUTE(SUBSTITUTE(E72,","," "),"."," "),";"," "),":"," "),"("," "),")"," "),"/"," ")&amp;" ")),0),0)),"")),""))</f>
      </c>
      <c r="O72" s="17">
        <f>IF(N72="","",IF(J72&lt;&gt;"","done","block"))</f>
      </c>
      <c r="P72" s="17">
        <f>IF(O72="block",F72,"")</f>
      </c>
    </row>
    <row r="73">
      <c r="A73" s="17">
        <f>IFERROR(INDEX(Roster[Name],69)&amp;"","")</f>
      </c>
      <c r="B73" s="17">
        <f>IF(A73="","",INDEX(Roster[Team],69)&amp;"")</f>
      </c>
      <c r="C73" s="17">
        <f>IF(OR(A73="",COUNTA(ChatPaste)=0),"",COUNTIF(ChatSpeaker,A73))</f>
      </c>
      <c r="D73" s="20">
        <f>IF(A73="","",IFERROR(INDEX(ChatText,MATCH(1,INDEX((ChatSpeaker=A73)*(ChatTag="Y"),0),0)),""))</f>
      </c>
      <c r="E73" s="20">
        <f>IF(A73="","",IFERROR(INDEX(ChatText,MATCH(1,INDEX((ChatSpeaker=A73)*(ChatTag="T"),0),0)),""))</f>
      </c>
      <c r="F73" s="20">
        <f>IF(A73="","",IFERROR(INDEX(ChatText,MATCH(1,INDEX((ChatSpeaker=A73)*(ChatTag="B"),0),0)),""))</f>
      </c>
      <c r="G73" s="17">
        <f>IF(E73="",0,SUMPRODUCT((Items[ID]&lt;&gt;"")*ISNUMBER(SEARCH(" "&amp;Items[ID]&amp;" "," "&amp;SUBSTITUTE(SUBSTITUTE(SUBSTITUTE(SUBSTITUTE(SUBSTITUTE(SUBSTITUTE(SUBSTITUTE(E73,","," "),"."," "),";"," "),":"," "),"("," "),")"," "),"/"," ")&amp;" "))))</f>
      </c>
      <c r="H73" s="17">
        <f>IF(E73="",0,SUMPRODUCT((Items[ID]&lt;&gt;"")*(Items[Owner]=A73)*(Items[In sprint]=1)*ISNUMBER(SEARCH(" "&amp;Items[ID]&amp;" "," "&amp;SUBSTITUTE(SUBSTITUTE(SUBSTITUTE(SUBSTITUTE(SUBSTITUTE(SUBSTITUTE(SUBSTITUTE(E73,","," "),"."," "),";"," "),":"," "),"("," "),")"," "),"/"," ")&amp;" "))))</f>
      </c>
      <c r="I73" s="17">
        <f>IF(F73="","",IF(OR(LOWER(TRIM(F73))={"none","no","nothing","n/a","na","-","nope","no blockers","none.","nil"}),"","Y"))</f>
      </c>
      <c r="J73" s="17">
        <f>IF(D73="","",IF(OR(ISNUMBER(SEARCH({"done","finished","completed","closed","merged"},D73))),IFERROR(INDEX(Items[ID],MATCH(1,INDEX((Items[ID]&lt;&gt;"")*(Items[State]&lt;&gt;"DONE")*ISNUMBER(SEARCH(" "&amp;Items[ID]&amp;" "," "&amp;SUBSTITUTE(SUBSTITUTE(SUBSTITUTE(SUBSTITUTE(SUBSTITUTE(SUBSTITUTE(SUBSTITUTE(D73,","," "),"."," "),";"," "),":"," "),"("," "),")"," "),"/"," ")&amp;" ")),0),0)),""),""))</f>
      </c>
      <c r="K73" s="20">
        <f>IF(A73="","",TRIM(IF(C73=0,"silent; ","")&amp;IF(AND(N(C73)&gt;0,D73=""),"no Y; ","")&amp;IF(AND(N(C73)&gt;0,E73=""),"no T; ","")&amp;IF(AND(N(C73)&gt;0,F73=""),"no B; ","")&amp;IF(AND(E73&lt;&gt;"",G73=0),"no task id in T; ","")&amp;IF(AND(G73&gt;0,H73=0),"T names no task of yours in this sprint; ","")&amp;IF(I73="Y","blocker: "&amp;F73&amp;"; ","")))</f>
      </c>
      <c r="L73" s="20">
        <f>IF(A73="","",IF(C73=0,"@"&amp;A73&amp;" please post Y: / T: / B: for today.",IF(TRIM(IF(AND(N(C73)&gt;0,D73=""),"no Y; ","")&amp;IF(AND(N(C73)&gt;0,E73=""),"no T; ","")&amp;IF(AND(N(C73)&gt;0,F73=""),"no B; ","")&amp;IF(AND(E73&lt;&gt;"",G73=0),"no task id in T; ","")&amp;IF(AND(G73&gt;0,H73=0),"T names no task of yours in this sprint; ",""))="","","@"&amp;A73&amp;" please fix: "&amp;TRIM(IF(AND(N(C73)&gt;0,D73=""),"no Y; ","")&amp;IF(AND(N(C73)&gt;0,E73=""),"no T; ","")&amp;IF(AND(N(C73)&gt;0,F73=""),"no B; ","")&amp;IF(AND(E73&lt;&gt;"",G73=0),"no task id in T; ","")&amp;IF(AND(G73&gt;0,H73=0),"T names no task of yours in this sprint; ","")))))</f>
      </c>
      <c r="M73" s="11">
        <f>IF(N73="","",StandupDate)</f>
      </c>
      <c r="N73" s="17">
        <f>IF(J73&lt;&gt;"",J73,IF(I73="Y",IF(IFERROR(INDEX(Items[ID],MATCH(1,INDEX((Items[ID]&lt;&gt;"")*ISNUMBER(SEARCH(" "&amp;Items[ID]&amp;" "," "&amp;SUBSTITUTE(SUBSTITUTE(SUBSTITUTE(SUBSTITUTE(SUBSTITUTE(SUBSTITUTE(SUBSTITUTE(F73,",","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"&amp;SUBSTITUTE(SUBSTITUTE(SUBSTITUTE(SUBSTITUTE(SUBSTITUTE(SUBSTITUTE(SUBSTITUTE(F73,","," "),"."," "),";"," "),":"," "),"("," "),")"," "),"/"," ")&amp;" ")),0),0)),""),IFERROR(INDEX(Items[ID],MATCH(1,INDEX((Items[ID]&lt;&gt;"")*(Items[Owner]=A73)*ISNUMBER(SEARCH(" "&amp;Items[ID]&amp;" "," "&amp;SUBSTITUTE(SUBSTITUTE(SUBSTITUTE(SUBSTITUTE(SUBSTITUTE(SUBSTITUTE(SUBSTITUTE(E73,","," "),"."," "),";"," "),":"," "),"("," "),")"," "),"/"," ")&amp;" ")),0),0)),"")),""))</f>
      </c>
      <c r="O73" s="17">
        <f>IF(N73="","",IF(J73&lt;&gt;"","done","block"))</f>
      </c>
      <c r="P73" s="17">
        <f>IF(O73="block",F73,"")</f>
      </c>
    </row>
    <row r="74">
      <c r="A74" s="17">
        <f>IFERROR(INDEX(Roster[Name],70)&amp;"","")</f>
      </c>
      <c r="B74" s="17">
        <f>IF(A74="","",INDEX(Roster[Team],70)&amp;"")</f>
      </c>
      <c r="C74" s="17">
        <f>IF(OR(A74="",COUNTA(ChatPaste)=0),"",COUNTIF(ChatSpeaker,A74))</f>
      </c>
      <c r="D74" s="20">
        <f>IF(A74="","",IFERROR(INDEX(ChatText,MATCH(1,INDEX((ChatSpeaker=A74)*(ChatTag="Y"),0),0)),""))</f>
      </c>
      <c r="E74" s="20">
        <f>IF(A74="","",IFERROR(INDEX(ChatText,MATCH(1,INDEX((ChatSpeaker=A74)*(ChatTag="T"),0),0)),""))</f>
      </c>
      <c r="F74" s="20">
        <f>IF(A74="","",IFERROR(INDEX(ChatText,MATCH(1,INDEX((ChatSpeaker=A74)*(ChatTag="B"),0),0)),""))</f>
      </c>
      <c r="G74" s="17">
        <f>IF(E74="",0,SUMPRODUCT((Items[ID]&lt;&gt;"")*ISNUMBER(SEARCH(" "&amp;Items[ID]&amp;" "," "&amp;SUBSTITUTE(SUBSTITUTE(SUBSTITUTE(SUBSTITUTE(SUBSTITUTE(SUBSTITUTE(SUBSTITUTE(E74,","," "),"."," "),";"," "),":"," "),"("," "),")"," "),"/"," ")&amp;" "))))</f>
      </c>
      <c r="H74" s="17">
        <f>IF(E74="",0,SUMPRODUCT((Items[ID]&lt;&gt;"")*(Items[Owner]=A74)*(Items[In sprint]=1)*ISNUMBER(SEARCH(" "&amp;Items[ID]&amp;" "," "&amp;SUBSTITUTE(SUBSTITUTE(SUBSTITUTE(SUBSTITUTE(SUBSTITUTE(SUBSTITUTE(SUBSTITUTE(E74,","," "),"."," "),";"," "),":"," "),"("," "),")"," "),"/"," ")&amp;" "))))</f>
      </c>
      <c r="I74" s="17">
        <f>IF(F74="","",IF(OR(LOWER(TRIM(F74))={"none","no","nothing","n/a","na","-","nope","no blockers","none.","nil"}),"","Y"))</f>
      </c>
      <c r="J74" s="17">
        <f>IF(D74="","",IF(OR(ISNUMBER(SEARCH({"done","finished","completed","closed","merged"},D74))),IFERROR(INDEX(Items[ID],MATCH(1,INDEX((Items[ID]&lt;&gt;"")*(Items[State]&lt;&gt;"DONE")*ISNUMBER(SEARCH(" "&amp;Items[ID]&amp;" "," "&amp;SUBSTITUTE(SUBSTITUTE(SUBSTITUTE(SUBSTITUTE(SUBSTITUTE(SUBSTITUTE(SUBSTITUTE(D74,","," "),"."," "),";"," "),":"," "),"("," "),")"," "),"/"," ")&amp;" ")),0),0)),""),""))</f>
      </c>
      <c r="K74" s="20">
        <f>IF(A74="","",TRIM(IF(C74=0,"silent; ","")&amp;IF(AND(N(C74)&gt;0,D74=""),"no Y; ","")&amp;IF(AND(N(C74)&gt;0,E74=""),"no T; ","")&amp;IF(AND(N(C74)&gt;0,F74=""),"no B; ","")&amp;IF(AND(E74&lt;&gt;"",G74=0),"no task id in T; ","")&amp;IF(AND(G74&gt;0,H74=0),"T names no task of yours in this sprint; ","")&amp;IF(I74="Y","blocker: "&amp;F74&amp;"; ","")))</f>
      </c>
      <c r="L74" s="20">
        <f>IF(A74="","",IF(C74=0,"@"&amp;A74&amp;" please post Y: / T: / B: for today.",IF(TRIM(IF(AND(N(C74)&gt;0,D74=""),"no Y; ","")&amp;IF(AND(N(C74)&gt;0,E74=""),"no T; ","")&amp;IF(AND(N(C74)&gt;0,F74=""),"no B; ","")&amp;IF(AND(E74&lt;&gt;"",G74=0),"no task id in T; ","")&amp;IF(AND(G74&gt;0,H74=0),"T names no task of yours in this sprint; ",""))="","","@"&amp;A74&amp;" please fix: "&amp;TRIM(IF(AND(N(C74)&gt;0,D74=""),"no Y; ","")&amp;IF(AND(N(C74)&gt;0,E74=""),"no T; ","")&amp;IF(AND(N(C74)&gt;0,F74=""),"no B; ","")&amp;IF(AND(E74&lt;&gt;"",G74=0),"no task id in T; ","")&amp;IF(AND(G74&gt;0,H74=0),"T names no task of yours in this sprint; ","")))))</f>
      </c>
      <c r="M74" s="11">
        <f>IF(N74="","",StandupDate)</f>
      </c>
      <c r="N74" s="17">
        <f>IF(J74&lt;&gt;"",J74,IF(I74="Y",IF(IFERROR(INDEX(Items[ID],MATCH(1,INDEX((Items[ID]&lt;&gt;"")*ISNUMBER(SEARCH(" "&amp;Items[ID]&amp;" "," "&amp;SUBSTITUTE(SUBSTITUTE(SUBSTITUTE(SUBSTITUTE(SUBSTITUTE(SUBSTITUTE(SUBSTITUTE(F74,",","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"&amp;SUBSTITUTE(SUBSTITUTE(SUBSTITUTE(SUBSTITUTE(SUBSTITUTE(SUBSTITUTE(SUBSTITUTE(F74,","," "),"."," "),";"," "),":"," "),"("," "),")"," "),"/"," ")&amp;" ")),0),0)),""),IFERROR(INDEX(Items[ID],MATCH(1,INDEX((Items[ID]&lt;&gt;"")*(Items[Owner]=A74)*ISNUMBER(SEARCH(" "&amp;Items[ID]&amp;" "," "&amp;SUBSTITUTE(SUBSTITUTE(SUBSTITUTE(SUBSTITUTE(SUBSTITUTE(SUBSTITUTE(SUBSTITUTE(E74,","," "),"."," "),";"," "),":"," "),"("," "),")"," "),"/"," ")&amp;" ")),0),0)),"")),""))</f>
      </c>
      <c r="O74" s="17">
        <f>IF(N74="","",IF(J74&lt;&gt;"","done","block"))</f>
      </c>
      <c r="P74" s="17">
        <f>IF(O74="block",F74,"")</f>
      </c>
    </row>
    <row r="75">
      <c r="A75" s="17">
        <f>IFERROR(INDEX(Roster[Name],71)&amp;"","")</f>
      </c>
      <c r="B75" s="17">
        <f>IF(A75="","",INDEX(Roster[Team],71)&amp;"")</f>
      </c>
      <c r="C75" s="17">
        <f>IF(OR(A75="",COUNTA(ChatPaste)=0),"",COUNTIF(ChatSpeaker,A75))</f>
      </c>
      <c r="D75" s="20">
        <f>IF(A75="","",IFERROR(INDEX(ChatText,MATCH(1,INDEX((ChatSpeaker=A75)*(ChatTag="Y"),0),0)),""))</f>
      </c>
      <c r="E75" s="20">
        <f>IF(A75="","",IFERROR(INDEX(ChatText,MATCH(1,INDEX((ChatSpeaker=A75)*(ChatTag="T"),0),0)),""))</f>
      </c>
      <c r="F75" s="20">
        <f>IF(A75="","",IFERROR(INDEX(ChatText,MATCH(1,INDEX((ChatSpeaker=A75)*(ChatTag="B"),0),0)),""))</f>
      </c>
      <c r="G75" s="17">
        <f>IF(E75="",0,SUMPRODUCT((Items[ID]&lt;&gt;"")*ISNUMBER(SEARCH(" "&amp;Items[ID]&amp;" "," "&amp;SUBSTITUTE(SUBSTITUTE(SUBSTITUTE(SUBSTITUTE(SUBSTITUTE(SUBSTITUTE(SUBSTITUTE(E75,","," "),"."," "),";"," "),":"," "),"("," "),")"," "),"/"," ")&amp;" "))))</f>
      </c>
      <c r="H75" s="17">
        <f>IF(E75="",0,SUMPRODUCT((Items[ID]&lt;&gt;"")*(Items[Owner]=A75)*(Items[In sprint]=1)*ISNUMBER(SEARCH(" "&amp;Items[ID]&amp;" "," "&amp;SUBSTITUTE(SUBSTITUTE(SUBSTITUTE(SUBSTITUTE(SUBSTITUTE(SUBSTITUTE(SUBSTITUTE(E75,","," "),"."," "),";"," "),":"," "),"("," "),")"," "),"/"," ")&amp;" "))))</f>
      </c>
      <c r="I75" s="17">
        <f>IF(F75="","",IF(OR(LOWER(TRIM(F75))={"none","no","nothing","n/a","na","-","nope","no blockers","none.","nil"}),"","Y"))</f>
      </c>
      <c r="J75" s="17">
        <f>IF(D75="","",IF(OR(ISNUMBER(SEARCH({"done","finished","completed","closed","merged"},D75))),IFERROR(INDEX(Items[ID],MATCH(1,INDEX((Items[ID]&lt;&gt;"")*(Items[State]&lt;&gt;"DONE")*ISNUMBER(SEARCH(" "&amp;Items[ID]&amp;" "," "&amp;SUBSTITUTE(SUBSTITUTE(SUBSTITUTE(SUBSTITUTE(SUBSTITUTE(SUBSTITUTE(SUBSTITUTE(D75,","," "),"."," "),";"," "),":"," "),"("," "),")"," "),"/"," ")&amp;" ")),0),0)),""),""))</f>
      </c>
      <c r="K75" s="20">
        <f>IF(A75="","",TRIM(IF(C75=0,"silent; ","")&amp;IF(AND(N(C75)&gt;0,D75=""),"no Y; ","")&amp;IF(AND(N(C75)&gt;0,E75=""),"no T; ","")&amp;IF(AND(N(C75)&gt;0,F75=""),"no B; ","")&amp;IF(AND(E75&lt;&gt;"",G75=0),"no task id in T; ","")&amp;IF(AND(G75&gt;0,H75=0),"T names no task of yours in this sprint; ","")&amp;IF(I75="Y","blocker: "&amp;F75&amp;"; ","")))</f>
      </c>
      <c r="L75" s="20">
        <f>IF(A75="","",IF(C75=0,"@"&amp;A75&amp;" please post Y: / T: / B: for today.",IF(TRIM(IF(AND(N(C75)&gt;0,D75=""),"no Y; ","")&amp;IF(AND(N(C75)&gt;0,E75=""),"no T; ","")&amp;IF(AND(N(C75)&gt;0,F75=""),"no B; ","")&amp;IF(AND(E75&lt;&gt;"",G75=0),"no task id in T; ","")&amp;IF(AND(G75&gt;0,H75=0),"T names no task of yours in this sprint; ",""))="","","@"&amp;A75&amp;" please fix: "&amp;TRIM(IF(AND(N(C75)&gt;0,D75=""),"no Y; ","")&amp;IF(AND(N(C75)&gt;0,E75=""),"no T; ","")&amp;IF(AND(N(C75)&gt;0,F75=""),"no B; ","")&amp;IF(AND(E75&lt;&gt;"",G75=0),"no task id in T; ","")&amp;IF(AND(G75&gt;0,H75=0),"T names no task of yours in this sprint; ","")))))</f>
      </c>
      <c r="M75" s="11">
        <f>IF(N75="","",StandupDate)</f>
      </c>
      <c r="N75" s="17">
        <f>IF(J75&lt;&gt;"",J75,IF(I75="Y",IF(IFERROR(INDEX(Items[ID],MATCH(1,INDEX((Items[ID]&lt;&gt;"")*ISNUMBER(SEARCH(" "&amp;Items[ID]&amp;" "," "&amp;SUBSTITUTE(SUBSTITUTE(SUBSTITUTE(SUBSTITUTE(SUBSTITUTE(SUBSTITUTE(SUBSTITUTE(F75,",","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"&amp;SUBSTITUTE(SUBSTITUTE(SUBSTITUTE(SUBSTITUTE(SUBSTITUTE(SUBSTITUTE(SUBSTITUTE(F75,","," "),"."," "),";"," "),":"," "),"("," "),")"," "),"/"," ")&amp;" ")),0),0)),""),IFERROR(INDEX(Items[ID],MATCH(1,INDEX((Items[ID]&lt;&gt;"")*(Items[Owner]=A75)*ISNUMBER(SEARCH(" "&amp;Items[ID]&amp;" "," "&amp;SUBSTITUTE(SUBSTITUTE(SUBSTITUTE(SUBSTITUTE(SUBSTITUTE(SUBSTITUTE(SUBSTITUTE(E75,","," "),"."," "),";"," "),":"," "),"("," "),")"," "),"/"," ")&amp;" ")),0),0)),"")),""))</f>
      </c>
      <c r="O75" s="17">
        <f>IF(N75="","",IF(J75&lt;&gt;"","done","block"))</f>
      </c>
      <c r="P75" s="17">
        <f>IF(O75="block",F75,"")</f>
      </c>
    </row>
    <row r="76">
      <c r="A76" s="17">
        <f>IFERROR(INDEX(Roster[Name],72)&amp;"","")</f>
      </c>
      <c r="B76" s="17">
        <f>IF(A76="","",INDEX(Roster[Team],72)&amp;"")</f>
      </c>
      <c r="C76" s="17">
        <f>IF(OR(A76="",COUNTA(ChatPaste)=0),"",COUNTIF(ChatSpeaker,A76))</f>
      </c>
      <c r="D76" s="20">
        <f>IF(A76="","",IFERROR(INDEX(ChatText,MATCH(1,INDEX((ChatSpeaker=A76)*(ChatTag="Y"),0),0)),""))</f>
      </c>
      <c r="E76" s="20">
        <f>IF(A76="","",IFERROR(INDEX(ChatText,MATCH(1,INDEX((ChatSpeaker=A76)*(ChatTag="T"),0),0)),""))</f>
      </c>
      <c r="F76" s="20">
        <f>IF(A76="","",IFERROR(INDEX(ChatText,MATCH(1,INDEX((ChatSpeaker=A76)*(ChatTag="B"),0),0)),""))</f>
      </c>
      <c r="G76" s="17">
        <f>IF(E76="",0,SUMPRODUCT((Items[ID]&lt;&gt;"")*ISNUMBER(SEARCH(" "&amp;Items[ID]&amp;" "," "&amp;SUBSTITUTE(SUBSTITUTE(SUBSTITUTE(SUBSTITUTE(SUBSTITUTE(SUBSTITUTE(SUBSTITUTE(E76,","," "),"."," "),";"," "),":"," "),"("," "),")"," "),"/"," ")&amp;" "))))</f>
      </c>
      <c r="H76" s="17">
        <f>IF(E76="",0,SUMPRODUCT((Items[ID]&lt;&gt;"")*(Items[Owner]=A76)*(Items[In sprint]=1)*ISNUMBER(SEARCH(" "&amp;Items[ID]&amp;" "," "&amp;SUBSTITUTE(SUBSTITUTE(SUBSTITUTE(SUBSTITUTE(SUBSTITUTE(SUBSTITUTE(SUBSTITUTE(E76,","," "),"."," "),";"," "),":"," "),"("," "),")"," "),"/"," ")&amp;" "))))</f>
      </c>
      <c r="I76" s="17">
        <f>IF(F76="","",IF(OR(LOWER(TRIM(F76))={"none","no","nothing","n/a","na","-","nope","no blockers","none.","nil"}),"","Y"))</f>
      </c>
      <c r="J76" s="17">
        <f>IF(D76="","",IF(OR(ISNUMBER(SEARCH({"done","finished","completed","closed","merged"},D76))),IFERROR(INDEX(Items[ID],MATCH(1,INDEX((Items[ID]&lt;&gt;"")*(Items[State]&lt;&gt;"DONE")*ISNUMBER(SEARCH(" "&amp;Items[ID]&amp;" "," "&amp;SUBSTITUTE(SUBSTITUTE(SUBSTITUTE(SUBSTITUTE(SUBSTITUTE(SUBSTITUTE(SUBSTITUTE(D76,","," "),"."," "),";"," "),":"," "),"("," "),")"," "),"/"," ")&amp;" ")),0),0)),""),""))</f>
      </c>
      <c r="K76" s="20">
        <f>IF(A76="","",TRIM(IF(C76=0,"silent; ","")&amp;IF(AND(N(C76)&gt;0,D76=""),"no Y; ","")&amp;IF(AND(N(C76)&gt;0,E76=""),"no T; ","")&amp;IF(AND(N(C76)&gt;0,F76=""),"no B; ","")&amp;IF(AND(E76&lt;&gt;"",G76=0),"no task id in T; ","")&amp;IF(AND(G76&gt;0,H76=0),"T names no task of yours in this sprint; ","")&amp;IF(I76="Y","blocker: "&amp;F76&amp;"; ","")))</f>
      </c>
      <c r="L76" s="20">
        <f>IF(A76="","",IF(C76=0,"@"&amp;A76&amp;" please post Y: / T: / B: for today.",IF(TRIM(IF(AND(N(C76)&gt;0,D76=""),"no Y; ","")&amp;IF(AND(N(C76)&gt;0,E76=""),"no T; ","")&amp;IF(AND(N(C76)&gt;0,F76=""),"no B; ","")&amp;IF(AND(E76&lt;&gt;"",G76=0),"no task id in T; ","")&amp;IF(AND(G76&gt;0,H76=0),"T names no task of yours in this sprint; ",""))="","","@"&amp;A76&amp;" please fix: "&amp;TRIM(IF(AND(N(C76)&gt;0,D76=""),"no Y; ","")&amp;IF(AND(N(C76)&gt;0,E76=""),"no T; ","")&amp;IF(AND(N(C76)&gt;0,F76=""),"no B; ","")&amp;IF(AND(E76&lt;&gt;"",G76=0),"no task id in T; ","")&amp;IF(AND(G76&gt;0,H76=0),"T names no task of yours in this sprint; ","")))))</f>
      </c>
      <c r="M76" s="11">
        <f>IF(N76="","",StandupDate)</f>
      </c>
      <c r="N76" s="17">
        <f>IF(J76&lt;&gt;"",J76,IF(I76="Y",IF(IFERROR(INDEX(Items[ID],MATCH(1,INDEX((Items[ID]&lt;&gt;"")*ISNUMBER(SEARCH(" "&amp;Items[ID]&amp;" "," "&amp;SUBSTITUTE(SUBSTITUTE(SUBSTITUTE(SUBSTITUTE(SUBSTITUTE(SUBSTITUTE(SUBSTITUTE(F76,",","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"&amp;SUBSTITUTE(SUBSTITUTE(SUBSTITUTE(SUBSTITUTE(SUBSTITUTE(SUBSTITUTE(SUBSTITUTE(F76,","," "),"."," "),";"," "),":"," "),"("," "),")"," "),"/"," ")&amp;" ")),0),0)),""),IFERROR(INDEX(Items[ID],MATCH(1,INDEX((Items[ID]&lt;&gt;"")*(Items[Owner]=A76)*ISNUMBER(SEARCH(" "&amp;Items[ID]&amp;" "," "&amp;SUBSTITUTE(SUBSTITUTE(SUBSTITUTE(SUBSTITUTE(SUBSTITUTE(SUBSTITUTE(SUBSTITUTE(E76,","," "),"."," "),";"," "),":"," "),"("," "),")"," "),"/"," ")&amp;" ")),0),0)),"")),""))</f>
      </c>
      <c r="O76" s="17">
        <f>IF(N76="","",IF(J76&lt;&gt;"","done","block"))</f>
      </c>
      <c r="P76" s="17">
        <f>IF(O76="block",F76,"")</f>
      </c>
    </row>
    <row r="77">
      <c r="A77" s="17">
        <f>IFERROR(INDEX(Roster[Name],73)&amp;"","")</f>
      </c>
      <c r="B77" s="17">
        <f>IF(A77="","",INDEX(Roster[Team],73)&amp;"")</f>
      </c>
      <c r="C77" s="17">
        <f>IF(OR(A77="",COUNTA(ChatPaste)=0),"",COUNTIF(ChatSpeaker,A77))</f>
      </c>
      <c r="D77" s="20">
        <f>IF(A77="","",IFERROR(INDEX(ChatText,MATCH(1,INDEX((ChatSpeaker=A77)*(ChatTag="Y"),0),0)),""))</f>
      </c>
      <c r="E77" s="20">
        <f>IF(A77="","",IFERROR(INDEX(ChatText,MATCH(1,INDEX((ChatSpeaker=A77)*(ChatTag="T"),0),0)),""))</f>
      </c>
      <c r="F77" s="20">
        <f>IF(A77="","",IFERROR(INDEX(ChatText,MATCH(1,INDEX((ChatSpeaker=A77)*(ChatTag="B"),0),0)),""))</f>
      </c>
      <c r="G77" s="17">
        <f>IF(E77="",0,SUMPRODUCT((Items[ID]&lt;&gt;"")*ISNUMBER(SEARCH(" "&amp;Items[ID]&amp;" "," "&amp;SUBSTITUTE(SUBSTITUTE(SUBSTITUTE(SUBSTITUTE(SUBSTITUTE(SUBSTITUTE(SUBSTITUTE(E77,","," "),"."," "),";"," "),":"," "),"("," "),")"," "),"/"," ")&amp;" "))))</f>
      </c>
      <c r="H77" s="17">
        <f>IF(E77="",0,SUMPRODUCT((Items[ID]&lt;&gt;"")*(Items[Owner]=A77)*(Items[In sprint]=1)*ISNUMBER(SEARCH(" "&amp;Items[ID]&amp;" "," "&amp;SUBSTITUTE(SUBSTITUTE(SUBSTITUTE(SUBSTITUTE(SUBSTITUTE(SUBSTITUTE(SUBSTITUTE(E77,","," "),"."," "),";"," "),":"," "),"("," "),")"," "),"/"," ")&amp;" "))))</f>
      </c>
      <c r="I77" s="17">
        <f>IF(F77="","",IF(OR(LOWER(TRIM(F77))={"none","no","nothing","n/a","na","-","nope","no blockers","none.","nil"}),"","Y"))</f>
      </c>
      <c r="J77" s="17">
        <f>IF(D77="","",IF(OR(ISNUMBER(SEARCH({"done","finished","completed","closed","merged"},D77))),IFERROR(INDEX(Items[ID],MATCH(1,INDEX((Items[ID]&lt;&gt;"")*(Items[State]&lt;&gt;"DONE")*ISNUMBER(SEARCH(" "&amp;Items[ID]&amp;" "," "&amp;SUBSTITUTE(SUBSTITUTE(SUBSTITUTE(SUBSTITUTE(SUBSTITUTE(SUBSTITUTE(SUBSTITUTE(D77,","," "),"."," "),";"," "),":"," "),"("," "),")"," "),"/"," ")&amp;" ")),0),0)),""),""))</f>
      </c>
      <c r="K77" s="20">
        <f>IF(A77="","",TRIM(IF(C77=0,"silent; ","")&amp;IF(AND(N(C77)&gt;0,D77=""),"no Y; ","")&amp;IF(AND(N(C77)&gt;0,E77=""),"no T; ","")&amp;IF(AND(N(C77)&gt;0,F77=""),"no B; ","")&amp;IF(AND(E77&lt;&gt;"",G77=0),"no task id in T; ","")&amp;IF(AND(G77&gt;0,H77=0),"T names no task of yours in this sprint; ","")&amp;IF(I77="Y","blocker: "&amp;F77&amp;"; ","")))</f>
      </c>
      <c r="L77" s="20">
        <f>IF(A77="","",IF(C77=0,"@"&amp;A77&amp;" please post Y: / T: / B: for today.",IF(TRIM(IF(AND(N(C77)&gt;0,D77=""),"no Y; ","")&amp;IF(AND(N(C77)&gt;0,E77=""),"no T; ","")&amp;IF(AND(N(C77)&gt;0,F77=""),"no B; ","")&amp;IF(AND(E77&lt;&gt;"",G77=0),"no task id in T; ","")&amp;IF(AND(G77&gt;0,H77=0),"T names no task of yours in this sprint; ",""))="","","@"&amp;A77&amp;" please fix: "&amp;TRIM(IF(AND(N(C77)&gt;0,D77=""),"no Y; ","")&amp;IF(AND(N(C77)&gt;0,E77=""),"no T; ","")&amp;IF(AND(N(C77)&gt;0,F77=""),"no B; ","")&amp;IF(AND(E77&lt;&gt;"",G77=0),"no task id in T; ","")&amp;IF(AND(G77&gt;0,H77=0),"T names no task of yours in this sprint; ","")))))</f>
      </c>
      <c r="M77" s="11">
        <f>IF(N77="","",StandupDate)</f>
      </c>
      <c r="N77" s="17">
        <f>IF(J77&lt;&gt;"",J77,IF(I77="Y",IF(IFERROR(INDEX(Items[ID],MATCH(1,INDEX((Items[ID]&lt;&gt;"")*ISNUMBER(SEARCH(" "&amp;Items[ID]&amp;" "," "&amp;SUBSTITUTE(SUBSTITUTE(SUBSTITUTE(SUBSTITUTE(SUBSTITUTE(SUBSTITUTE(SUBSTITUTE(F77,",","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"&amp;SUBSTITUTE(SUBSTITUTE(SUBSTITUTE(SUBSTITUTE(SUBSTITUTE(SUBSTITUTE(SUBSTITUTE(F77,","," "),"."," "),";"," "),":"," "),"("," "),")"," "),"/"," ")&amp;" ")),0),0)),""),IFERROR(INDEX(Items[ID],MATCH(1,INDEX((Items[ID]&lt;&gt;"")*(Items[Owner]=A77)*ISNUMBER(SEARCH(" "&amp;Items[ID]&amp;" "," "&amp;SUBSTITUTE(SUBSTITUTE(SUBSTITUTE(SUBSTITUTE(SUBSTITUTE(SUBSTITUTE(SUBSTITUTE(E77,","," "),"."," "),";"," "),":"," "),"("," "),")"," "),"/"," ")&amp;" ")),0),0)),"")),""))</f>
      </c>
      <c r="O77" s="17">
        <f>IF(N77="","",IF(J77&lt;&gt;"","done","block"))</f>
      </c>
      <c r="P77" s="17">
        <f>IF(O77="block",F77,"")</f>
      </c>
    </row>
    <row r="78">
      <c r="A78" s="17">
        <f>IFERROR(INDEX(Roster[Name],74)&amp;"","")</f>
      </c>
      <c r="B78" s="17">
        <f>IF(A78="","",INDEX(Roster[Team],74)&amp;"")</f>
      </c>
      <c r="C78" s="17">
        <f>IF(OR(A78="",COUNTA(ChatPaste)=0),"",COUNTIF(ChatSpeaker,A78))</f>
      </c>
      <c r="D78" s="20">
        <f>IF(A78="","",IFERROR(INDEX(ChatText,MATCH(1,INDEX((ChatSpeaker=A78)*(ChatTag="Y"),0),0)),""))</f>
      </c>
      <c r="E78" s="20">
        <f>IF(A78="","",IFERROR(INDEX(ChatText,MATCH(1,INDEX((ChatSpeaker=A78)*(ChatTag="T"),0),0)),""))</f>
      </c>
      <c r="F78" s="20">
        <f>IF(A78="","",IFERROR(INDEX(ChatText,MATCH(1,INDEX((ChatSpeaker=A78)*(ChatTag="B"),0),0)),""))</f>
      </c>
      <c r="G78" s="17">
        <f>IF(E78="",0,SUMPRODUCT((Items[ID]&lt;&gt;"")*ISNUMBER(SEARCH(" "&amp;Items[ID]&amp;" "," "&amp;SUBSTITUTE(SUBSTITUTE(SUBSTITUTE(SUBSTITUTE(SUBSTITUTE(SUBSTITUTE(SUBSTITUTE(E78,","," "),"."," "),";"," "),":"," "),"("," "),")"," "),"/"," ")&amp;" "))))</f>
      </c>
      <c r="H78" s="17">
        <f>IF(E78="",0,SUMPRODUCT((Items[ID]&lt;&gt;"")*(Items[Owner]=A78)*(Items[In sprint]=1)*ISNUMBER(SEARCH(" "&amp;Items[ID]&amp;" "," "&amp;SUBSTITUTE(SUBSTITUTE(SUBSTITUTE(SUBSTITUTE(SUBSTITUTE(SUBSTITUTE(SUBSTITUTE(E78,","," "),"."," "),";"," "),":"," "),"("," "),")"," "),"/"," ")&amp;" "))))</f>
      </c>
      <c r="I78" s="17">
        <f>IF(F78="","",IF(OR(LOWER(TRIM(F78))={"none","no","nothing","n/a","na","-","nope","no blockers","none.","nil"}),"","Y"))</f>
      </c>
      <c r="J78" s="17">
        <f>IF(D78="","",IF(OR(ISNUMBER(SEARCH({"done","finished","completed","closed","merged"},D78))),IFERROR(INDEX(Items[ID],MATCH(1,INDEX((Items[ID]&lt;&gt;"")*(Items[State]&lt;&gt;"DONE")*ISNUMBER(SEARCH(" "&amp;Items[ID]&amp;" "," "&amp;SUBSTITUTE(SUBSTITUTE(SUBSTITUTE(SUBSTITUTE(SUBSTITUTE(SUBSTITUTE(SUBSTITUTE(D78,","," "),"."," "),";"," "),":"," "),"("," "),")"," "),"/"," ")&amp;" ")),0),0)),""),""))</f>
      </c>
      <c r="K78" s="20">
        <f>IF(A78="","",TRIM(IF(C78=0,"silent; ","")&amp;IF(AND(N(C78)&gt;0,D78=""),"no Y; ","")&amp;IF(AND(N(C78)&gt;0,E78=""),"no T; ","")&amp;IF(AND(N(C78)&gt;0,F78=""),"no B; ","")&amp;IF(AND(E78&lt;&gt;"",G78=0),"no task id in T; ","")&amp;IF(AND(G78&gt;0,H78=0),"T names no task of yours in this sprint; ","")&amp;IF(I78="Y","blocker: "&amp;F78&amp;"; ","")))</f>
      </c>
      <c r="L78" s="20">
        <f>IF(A78="","",IF(C78=0,"@"&amp;A78&amp;" please post Y: / T: / B: for today.",IF(TRIM(IF(AND(N(C78)&gt;0,D78=""),"no Y; ","")&amp;IF(AND(N(C78)&gt;0,E78=""),"no T; ","")&amp;IF(AND(N(C78)&gt;0,F78=""),"no B; ","")&amp;IF(AND(E78&lt;&gt;"",G78=0),"no task id in T; ","")&amp;IF(AND(G78&gt;0,H78=0),"T names no task of yours in this sprint; ",""))="","","@"&amp;A78&amp;" please fix: "&amp;TRIM(IF(AND(N(C78)&gt;0,D78=""),"no Y; ","")&amp;IF(AND(N(C78)&gt;0,E78=""),"no T; ","")&amp;IF(AND(N(C78)&gt;0,F78=""),"no B; ","")&amp;IF(AND(E78&lt;&gt;"",G78=0),"no task id in T; ","")&amp;IF(AND(G78&gt;0,H78=0),"T names no task of yours in this sprint; ","")))))</f>
      </c>
      <c r="M78" s="11">
        <f>IF(N78="","",StandupDate)</f>
      </c>
      <c r="N78" s="17">
        <f>IF(J78&lt;&gt;"",J78,IF(I78="Y",IF(IFERROR(INDEX(Items[ID],MATCH(1,INDEX((Items[ID]&lt;&gt;"")*ISNUMBER(SEARCH(" "&amp;Items[ID]&amp;" "," "&amp;SUBSTITUTE(SUBSTITUTE(SUBSTITUTE(SUBSTITUTE(SUBSTITUTE(SUBSTITUTE(SUBSTITUTE(F78,",","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"&amp;SUBSTITUTE(SUBSTITUTE(SUBSTITUTE(SUBSTITUTE(SUBSTITUTE(SUBSTITUTE(SUBSTITUTE(F78,","," "),"."," "),";"," "),":"," "),"("," "),")"," "),"/"," ")&amp;" ")),0),0)),""),IFERROR(INDEX(Items[ID],MATCH(1,INDEX((Items[ID]&lt;&gt;"")*(Items[Owner]=A78)*ISNUMBER(SEARCH(" "&amp;Items[ID]&amp;" "," "&amp;SUBSTITUTE(SUBSTITUTE(SUBSTITUTE(SUBSTITUTE(SUBSTITUTE(SUBSTITUTE(SUBSTITUTE(E78,","," "),"."," "),";"," "),":"," "),"("," "),")"," "),"/"," ")&amp;" ")),0),0)),"")),""))</f>
      </c>
      <c r="O78" s="17">
        <f>IF(N78="","",IF(J78&lt;&gt;"","done","block"))</f>
      </c>
      <c r="P78" s="17">
        <f>IF(O78="block",F78,"")</f>
      </c>
    </row>
    <row r="79">
      <c r="A79" s="17">
        <f>IFERROR(INDEX(Roster[Name],75)&amp;"","")</f>
      </c>
      <c r="B79" s="17">
        <f>IF(A79="","",INDEX(Roster[Team],75)&amp;"")</f>
      </c>
      <c r="C79" s="17">
        <f>IF(OR(A79="",COUNTA(ChatPaste)=0),"",COUNTIF(ChatSpeaker,A79))</f>
      </c>
      <c r="D79" s="20">
        <f>IF(A79="","",IFERROR(INDEX(ChatText,MATCH(1,INDEX((ChatSpeaker=A79)*(ChatTag="Y"),0),0)),""))</f>
      </c>
      <c r="E79" s="20">
        <f>IF(A79="","",IFERROR(INDEX(ChatText,MATCH(1,INDEX((ChatSpeaker=A79)*(ChatTag="T"),0),0)),""))</f>
      </c>
      <c r="F79" s="20">
        <f>IF(A79="","",IFERROR(INDEX(ChatText,MATCH(1,INDEX((ChatSpeaker=A79)*(ChatTag="B"),0),0)),""))</f>
      </c>
      <c r="G79" s="17">
        <f>IF(E79="",0,SUMPRODUCT((Items[ID]&lt;&gt;"")*ISNUMBER(SEARCH(" "&amp;Items[ID]&amp;" "," "&amp;SUBSTITUTE(SUBSTITUTE(SUBSTITUTE(SUBSTITUTE(SUBSTITUTE(SUBSTITUTE(SUBSTITUTE(E79,","," "),"."," "),";"," "),":"," "),"("," "),")"," "),"/"," ")&amp;" "))))</f>
      </c>
      <c r="H79" s="17">
        <f>IF(E79="",0,SUMPRODUCT((Items[ID]&lt;&gt;"")*(Items[Owner]=A79)*(Items[In sprint]=1)*ISNUMBER(SEARCH(" "&amp;Items[ID]&amp;" "," "&amp;SUBSTITUTE(SUBSTITUTE(SUBSTITUTE(SUBSTITUTE(SUBSTITUTE(SUBSTITUTE(SUBSTITUTE(E79,","," "),"."," "),";"," "),":"," "),"("," "),")"," "),"/"," ")&amp;" "))))</f>
      </c>
      <c r="I79" s="17">
        <f>IF(F79="","",IF(OR(LOWER(TRIM(F79))={"none","no","nothing","n/a","na","-","nope","no blockers","none.","nil"}),"","Y"))</f>
      </c>
      <c r="J79" s="17">
        <f>IF(D79="","",IF(OR(ISNUMBER(SEARCH({"done","finished","completed","closed","merged"},D79))),IFERROR(INDEX(Items[ID],MATCH(1,INDEX((Items[ID]&lt;&gt;"")*(Items[State]&lt;&gt;"DONE")*ISNUMBER(SEARCH(" "&amp;Items[ID]&amp;" "," "&amp;SUBSTITUTE(SUBSTITUTE(SUBSTITUTE(SUBSTITUTE(SUBSTITUTE(SUBSTITUTE(SUBSTITUTE(D79,","," "),"."," "),";"," "),":"," "),"("," "),")"," "),"/"," ")&amp;" ")),0),0)),""),""))</f>
      </c>
      <c r="K79" s="20">
        <f>IF(A79="","",TRIM(IF(C79=0,"silent; ","")&amp;IF(AND(N(C79)&gt;0,D79=""),"no Y; ","")&amp;IF(AND(N(C79)&gt;0,E79=""),"no T; ","")&amp;IF(AND(N(C79)&gt;0,F79=""),"no B; ","")&amp;IF(AND(E79&lt;&gt;"",G79=0),"no task id in T; ","")&amp;IF(AND(G79&gt;0,H79=0),"T names no task of yours in this sprint; ","")&amp;IF(I79="Y","blocker: "&amp;F79&amp;"; ","")))</f>
      </c>
      <c r="L79" s="20">
        <f>IF(A79="","",IF(C79=0,"@"&amp;A79&amp;" please post Y: / T: / B: for today.",IF(TRIM(IF(AND(N(C79)&gt;0,D79=""),"no Y; ","")&amp;IF(AND(N(C79)&gt;0,E79=""),"no T; ","")&amp;IF(AND(N(C79)&gt;0,F79=""),"no B; ","")&amp;IF(AND(E79&lt;&gt;"",G79=0),"no task id in T; ","")&amp;IF(AND(G79&gt;0,H79=0),"T names no task of yours in this sprint; ",""))="","","@"&amp;A79&amp;" please fix: "&amp;TRIM(IF(AND(N(C79)&gt;0,D79=""),"no Y; ","")&amp;IF(AND(N(C79)&gt;0,E79=""),"no T; ","")&amp;IF(AND(N(C79)&gt;0,F79=""),"no B; ","")&amp;IF(AND(E79&lt;&gt;"",G79=0),"no task id in T; ","")&amp;IF(AND(G79&gt;0,H79=0),"T names no task of yours in this sprint; ","")))))</f>
      </c>
      <c r="M79" s="11">
        <f>IF(N79="","",StandupDate)</f>
      </c>
      <c r="N79" s="17">
        <f>IF(J79&lt;&gt;"",J79,IF(I79="Y",IF(IFERROR(INDEX(Items[ID],MATCH(1,INDEX((Items[ID]&lt;&gt;"")*ISNUMBER(SEARCH(" "&amp;Items[ID]&amp;" "," "&amp;SUBSTITUTE(SUBSTITUTE(SUBSTITUTE(SUBSTITUTE(SUBSTITUTE(SUBSTITUTE(SUBSTITUTE(F79,",","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"&amp;SUBSTITUTE(SUBSTITUTE(SUBSTITUTE(SUBSTITUTE(SUBSTITUTE(SUBSTITUTE(SUBSTITUTE(F79,","," "),"."," "),";"," "),":"," "),"("," "),")"," "),"/"," ")&amp;" ")),0),0)),""),IFERROR(INDEX(Items[ID],MATCH(1,INDEX((Items[ID]&lt;&gt;"")*(Items[Owner]=A79)*ISNUMBER(SEARCH(" "&amp;Items[ID]&amp;" "," "&amp;SUBSTITUTE(SUBSTITUTE(SUBSTITUTE(SUBSTITUTE(SUBSTITUTE(SUBSTITUTE(SUBSTITUTE(E79,","," "),"."," "),";"," "),":"," "),"("," "),")"," "),"/"," ")&amp;" ")),0),0)),"")),""))</f>
      </c>
      <c r="O79" s="17">
        <f>IF(N79="","",IF(J79&lt;&gt;"","done","block"))</f>
      </c>
      <c r="P79" s="17">
        <f>IF(O79="block",F79,"")</f>
      </c>
    </row>
    <row r="80">
      <c r="A80" s="17">
        <f>IFERROR(INDEX(Roster[Name],76)&amp;"","")</f>
      </c>
      <c r="B80" s="17">
        <f>IF(A80="","",INDEX(Roster[Team],76)&amp;"")</f>
      </c>
      <c r="C80" s="17">
        <f>IF(OR(A80="",COUNTA(ChatPaste)=0),"",COUNTIF(ChatSpeaker,A80))</f>
      </c>
      <c r="D80" s="20">
        <f>IF(A80="","",IFERROR(INDEX(ChatText,MATCH(1,INDEX((ChatSpeaker=A80)*(ChatTag="Y"),0),0)),""))</f>
      </c>
      <c r="E80" s="20">
        <f>IF(A80="","",IFERROR(INDEX(ChatText,MATCH(1,INDEX((ChatSpeaker=A80)*(ChatTag="T"),0),0)),""))</f>
      </c>
      <c r="F80" s="20">
        <f>IF(A80="","",IFERROR(INDEX(ChatText,MATCH(1,INDEX((ChatSpeaker=A80)*(ChatTag="B"),0),0)),""))</f>
      </c>
      <c r="G80" s="17">
        <f>IF(E80="",0,SUMPRODUCT((Items[ID]&lt;&gt;"")*ISNUMBER(SEARCH(" "&amp;Items[ID]&amp;" "," "&amp;SUBSTITUTE(SUBSTITUTE(SUBSTITUTE(SUBSTITUTE(SUBSTITUTE(SUBSTITUTE(SUBSTITUTE(E80,","," "),"."," "),";"," "),":"," "),"("," "),")"," "),"/"," ")&amp;" "))))</f>
      </c>
      <c r="H80" s="17">
        <f>IF(E80="",0,SUMPRODUCT((Items[ID]&lt;&gt;"")*(Items[Owner]=A80)*(Items[In sprint]=1)*ISNUMBER(SEARCH(" "&amp;Items[ID]&amp;" "," "&amp;SUBSTITUTE(SUBSTITUTE(SUBSTITUTE(SUBSTITUTE(SUBSTITUTE(SUBSTITUTE(SUBSTITUTE(E80,","," "),"."," "),";"," "),":"," "),"("," "),")"," "),"/"," ")&amp;" "))))</f>
      </c>
      <c r="I80" s="17">
        <f>IF(F80="","",IF(OR(LOWER(TRIM(F80))={"none","no","nothing","n/a","na","-","nope","no blockers","none.","nil"}),"","Y"))</f>
      </c>
      <c r="J80" s="17">
        <f>IF(D80="","",IF(OR(ISNUMBER(SEARCH({"done","finished","completed","closed","merged"},D80))),IFERROR(INDEX(Items[ID],MATCH(1,INDEX((Items[ID]&lt;&gt;"")*(Items[State]&lt;&gt;"DONE")*ISNUMBER(SEARCH(" "&amp;Items[ID]&amp;" "," "&amp;SUBSTITUTE(SUBSTITUTE(SUBSTITUTE(SUBSTITUTE(SUBSTITUTE(SUBSTITUTE(SUBSTITUTE(D80,","," "),"."," "),";"," "),":"," "),"("," "),")"," "),"/"," ")&amp;" ")),0),0)),""),""))</f>
      </c>
      <c r="K80" s="20">
        <f>IF(A80="","",TRIM(IF(C80=0,"silent; ","")&amp;IF(AND(N(C80)&gt;0,D80=""),"no Y; ","")&amp;IF(AND(N(C80)&gt;0,E80=""),"no T; ","")&amp;IF(AND(N(C80)&gt;0,F80=""),"no B; ","")&amp;IF(AND(E80&lt;&gt;"",G80=0),"no task id in T; ","")&amp;IF(AND(G80&gt;0,H80=0),"T names no task of yours in this sprint; ","")&amp;IF(I80="Y","blocker: "&amp;F80&amp;"; ","")))</f>
      </c>
      <c r="L80" s="20">
        <f>IF(A80="","",IF(C80=0,"@"&amp;A80&amp;" please post Y: / T: / B: for today.",IF(TRIM(IF(AND(N(C80)&gt;0,D80=""),"no Y; ","")&amp;IF(AND(N(C80)&gt;0,E80=""),"no T; ","")&amp;IF(AND(N(C80)&gt;0,F80=""),"no B; ","")&amp;IF(AND(E80&lt;&gt;"",G80=0),"no task id in T; ","")&amp;IF(AND(G80&gt;0,H80=0),"T names no task of yours in this sprint; ",""))="","","@"&amp;A80&amp;" please fix: "&amp;TRIM(IF(AND(N(C80)&gt;0,D80=""),"no Y; ","")&amp;IF(AND(N(C80)&gt;0,E80=""),"no T; ","")&amp;IF(AND(N(C80)&gt;0,F80=""),"no B; ","")&amp;IF(AND(E80&lt;&gt;"",G80=0),"no task id in T; ","")&amp;IF(AND(G80&gt;0,H80=0),"T names no task of yours in this sprint; ","")))))</f>
      </c>
      <c r="M80" s="11">
        <f>IF(N80="","",StandupDate)</f>
      </c>
      <c r="N80" s="17">
        <f>IF(J80&lt;&gt;"",J80,IF(I80="Y",IF(IFERROR(INDEX(Items[ID],MATCH(1,INDEX((Items[ID]&lt;&gt;"")*ISNUMBER(SEARCH(" "&amp;Items[ID]&amp;" "," "&amp;SUBSTITUTE(SUBSTITUTE(SUBSTITUTE(SUBSTITUTE(SUBSTITUTE(SUBSTITUTE(SUBSTITUTE(F80,",","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"&amp;SUBSTITUTE(SUBSTITUTE(SUBSTITUTE(SUBSTITUTE(SUBSTITUTE(SUBSTITUTE(SUBSTITUTE(F80,","," "),"."," "),";"," "),":"," "),"("," "),")"," "),"/"," ")&amp;" ")),0),0)),""),IFERROR(INDEX(Items[ID],MATCH(1,INDEX((Items[ID]&lt;&gt;"")*(Items[Owner]=A80)*ISNUMBER(SEARCH(" "&amp;Items[ID]&amp;" "," "&amp;SUBSTITUTE(SUBSTITUTE(SUBSTITUTE(SUBSTITUTE(SUBSTITUTE(SUBSTITUTE(SUBSTITUTE(E80,","," "),"."," "),";"," "),":"," "),"("," "),")"," "),"/"," ")&amp;" ")),0),0)),"")),""))</f>
      </c>
      <c r="O80" s="17">
        <f>IF(N80="","",IF(J80&lt;&gt;"","done","block"))</f>
      </c>
      <c r="P80" s="17">
        <f>IF(O80="block",F80,"")</f>
      </c>
    </row>
    <row r="81">
      <c r="A81" s="17">
        <f>IFERROR(INDEX(Roster[Name],77)&amp;"","")</f>
      </c>
      <c r="B81" s="17">
        <f>IF(A81="","",INDEX(Roster[Team],77)&amp;"")</f>
      </c>
      <c r="C81" s="17">
        <f>IF(OR(A81="",COUNTA(ChatPaste)=0),"",COUNTIF(ChatSpeaker,A81))</f>
      </c>
      <c r="D81" s="20">
        <f>IF(A81="","",IFERROR(INDEX(ChatText,MATCH(1,INDEX((ChatSpeaker=A81)*(ChatTag="Y"),0),0)),""))</f>
      </c>
      <c r="E81" s="20">
        <f>IF(A81="","",IFERROR(INDEX(ChatText,MATCH(1,INDEX((ChatSpeaker=A81)*(ChatTag="T"),0),0)),""))</f>
      </c>
      <c r="F81" s="20">
        <f>IF(A81="","",IFERROR(INDEX(ChatText,MATCH(1,INDEX((ChatSpeaker=A81)*(ChatTag="B"),0),0)),""))</f>
      </c>
      <c r="G81" s="17">
        <f>IF(E81="",0,SUMPRODUCT((Items[ID]&lt;&gt;"")*ISNUMBER(SEARCH(" "&amp;Items[ID]&amp;" "," "&amp;SUBSTITUTE(SUBSTITUTE(SUBSTITUTE(SUBSTITUTE(SUBSTITUTE(SUBSTITUTE(SUBSTITUTE(E81,","," "),"."," "),";"," "),":"," "),"("," "),")"," "),"/"," ")&amp;" "))))</f>
      </c>
      <c r="H81" s="17">
        <f>IF(E81="",0,SUMPRODUCT((Items[ID]&lt;&gt;"")*(Items[Owner]=A81)*(Items[In sprint]=1)*ISNUMBER(SEARCH(" "&amp;Items[ID]&amp;" "," "&amp;SUBSTITUTE(SUBSTITUTE(SUBSTITUTE(SUBSTITUTE(SUBSTITUTE(SUBSTITUTE(SUBSTITUTE(E81,","," "),"."," "),";"," "),":"," "),"("," "),")"," "),"/"," ")&amp;" "))))</f>
      </c>
      <c r="I81" s="17">
        <f>IF(F81="","",IF(OR(LOWER(TRIM(F81))={"none","no","nothing","n/a","na","-","nope","no blockers","none.","nil"}),"","Y"))</f>
      </c>
      <c r="J81" s="17">
        <f>IF(D81="","",IF(OR(ISNUMBER(SEARCH({"done","finished","completed","closed","merged"},D81))),IFERROR(INDEX(Items[ID],MATCH(1,INDEX((Items[ID]&lt;&gt;"")*(Items[State]&lt;&gt;"DONE")*ISNUMBER(SEARCH(" "&amp;Items[ID]&amp;" "," "&amp;SUBSTITUTE(SUBSTITUTE(SUBSTITUTE(SUBSTITUTE(SUBSTITUTE(SUBSTITUTE(SUBSTITUTE(D81,","," "),"."," "),";"," "),":"," "),"("," "),")"," "),"/"," ")&amp;" ")),0),0)),""),""))</f>
      </c>
      <c r="K81" s="20">
        <f>IF(A81="","",TRIM(IF(C81=0,"silent; ","")&amp;IF(AND(N(C81)&gt;0,D81=""),"no Y; ","")&amp;IF(AND(N(C81)&gt;0,E81=""),"no T; ","")&amp;IF(AND(N(C81)&gt;0,F81=""),"no B; ","")&amp;IF(AND(E81&lt;&gt;"",G81=0),"no task id in T; ","")&amp;IF(AND(G81&gt;0,H81=0),"T names no task of yours in this sprint; ","")&amp;IF(I81="Y","blocker: "&amp;F81&amp;"; ","")))</f>
      </c>
      <c r="L81" s="20">
        <f>IF(A81="","",IF(C81=0,"@"&amp;A81&amp;" please post Y: / T: / B: for today.",IF(TRIM(IF(AND(N(C81)&gt;0,D81=""),"no Y; ","")&amp;IF(AND(N(C81)&gt;0,E81=""),"no T; ","")&amp;IF(AND(N(C81)&gt;0,F81=""),"no B; ","")&amp;IF(AND(E81&lt;&gt;"",G81=0),"no task id in T; ","")&amp;IF(AND(G81&gt;0,H81=0),"T names no task of yours in this sprint; ",""))="","","@"&amp;A81&amp;" please fix: "&amp;TRIM(IF(AND(N(C81)&gt;0,D81=""),"no Y; ","")&amp;IF(AND(N(C81)&gt;0,E81=""),"no T; ","")&amp;IF(AND(N(C81)&gt;0,F81=""),"no B; ","")&amp;IF(AND(E81&lt;&gt;"",G81=0),"no task id in T; ","")&amp;IF(AND(G81&gt;0,H81=0),"T names no task of yours in this sprint; ","")))))</f>
      </c>
      <c r="M81" s="11">
        <f>IF(N81="","",StandupDate)</f>
      </c>
      <c r="N81" s="17">
        <f>IF(J81&lt;&gt;"",J81,IF(I81="Y",IF(IFERROR(INDEX(Items[ID],MATCH(1,INDEX((Items[ID]&lt;&gt;"")*ISNUMBER(SEARCH(" "&amp;Items[ID]&amp;" "," "&amp;SUBSTITUTE(SUBSTITUTE(SUBSTITUTE(SUBSTITUTE(SUBSTITUTE(SUBSTITUTE(SUBSTITUTE(F81,",","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"&amp;SUBSTITUTE(SUBSTITUTE(SUBSTITUTE(SUBSTITUTE(SUBSTITUTE(SUBSTITUTE(SUBSTITUTE(F81,","," "),"."," "),";"," "),":"," "),"("," "),")"," "),"/"," ")&amp;" ")),0),0)),""),IFERROR(INDEX(Items[ID],MATCH(1,INDEX((Items[ID]&lt;&gt;"")*(Items[Owner]=A81)*ISNUMBER(SEARCH(" "&amp;Items[ID]&amp;" "," "&amp;SUBSTITUTE(SUBSTITUTE(SUBSTITUTE(SUBSTITUTE(SUBSTITUTE(SUBSTITUTE(SUBSTITUTE(E81,","," "),"."," "),";"," "),":"," "),"("," "),")"," "),"/"," ")&amp;" ")),0),0)),"")),""))</f>
      </c>
      <c r="O81" s="17">
        <f>IF(N81="","",IF(J81&lt;&gt;"","done","block"))</f>
      </c>
      <c r="P81" s="17">
        <f>IF(O81="block",F81,"")</f>
      </c>
    </row>
    <row r="82">
      <c r="A82" s="17">
        <f>IFERROR(INDEX(Roster[Name],78)&amp;"","")</f>
      </c>
      <c r="B82" s="17">
        <f>IF(A82="","",INDEX(Roster[Team],78)&amp;"")</f>
      </c>
      <c r="C82" s="17">
        <f>IF(OR(A82="",COUNTA(ChatPaste)=0),"",COUNTIF(ChatSpeaker,A82))</f>
      </c>
      <c r="D82" s="20">
        <f>IF(A82="","",IFERROR(INDEX(ChatText,MATCH(1,INDEX((ChatSpeaker=A82)*(ChatTag="Y"),0),0)),""))</f>
      </c>
      <c r="E82" s="20">
        <f>IF(A82="","",IFERROR(INDEX(ChatText,MATCH(1,INDEX((ChatSpeaker=A82)*(ChatTag="T"),0),0)),""))</f>
      </c>
      <c r="F82" s="20">
        <f>IF(A82="","",IFERROR(INDEX(ChatText,MATCH(1,INDEX((ChatSpeaker=A82)*(ChatTag="B"),0),0)),""))</f>
      </c>
      <c r="G82" s="17">
        <f>IF(E82="",0,SUMPRODUCT((Items[ID]&lt;&gt;"")*ISNUMBER(SEARCH(" "&amp;Items[ID]&amp;" "," "&amp;SUBSTITUTE(SUBSTITUTE(SUBSTITUTE(SUBSTITUTE(SUBSTITUTE(SUBSTITUTE(SUBSTITUTE(E82,","," "),"."," "),";"," "),":"," "),"("," "),")"," "),"/"," ")&amp;" "))))</f>
      </c>
      <c r="H82" s="17">
        <f>IF(E82="",0,SUMPRODUCT((Items[ID]&lt;&gt;"")*(Items[Owner]=A82)*(Items[In sprint]=1)*ISNUMBER(SEARCH(" "&amp;Items[ID]&amp;" "," "&amp;SUBSTITUTE(SUBSTITUTE(SUBSTITUTE(SUBSTITUTE(SUBSTITUTE(SUBSTITUTE(SUBSTITUTE(E82,","," "),"."," "),";"," "),":"," "),"("," "),")"," "),"/"," ")&amp;" "))))</f>
      </c>
      <c r="I82" s="17">
        <f>IF(F82="","",IF(OR(LOWER(TRIM(F82))={"none","no","nothing","n/a","na","-","nope","no blockers","none.","nil"}),"","Y"))</f>
      </c>
      <c r="J82" s="17">
        <f>IF(D82="","",IF(OR(ISNUMBER(SEARCH({"done","finished","completed","closed","merged"},D82))),IFERROR(INDEX(Items[ID],MATCH(1,INDEX((Items[ID]&lt;&gt;"")*(Items[State]&lt;&gt;"DONE")*ISNUMBER(SEARCH(" "&amp;Items[ID]&amp;" "," "&amp;SUBSTITUTE(SUBSTITUTE(SUBSTITUTE(SUBSTITUTE(SUBSTITUTE(SUBSTITUTE(SUBSTITUTE(D82,","," "),"."," "),";"," "),":"," "),"("," "),")"," "),"/"," ")&amp;" ")),0),0)),""),""))</f>
      </c>
      <c r="K82" s="20">
        <f>IF(A82="","",TRIM(IF(C82=0,"silent; ","")&amp;IF(AND(N(C82)&gt;0,D82=""),"no Y; ","")&amp;IF(AND(N(C82)&gt;0,E82=""),"no T; ","")&amp;IF(AND(N(C82)&gt;0,F82=""),"no B; ","")&amp;IF(AND(E82&lt;&gt;"",G82=0),"no task id in T; ","")&amp;IF(AND(G82&gt;0,H82=0),"T names no task of yours in this sprint; ","")&amp;IF(I82="Y","blocker: "&amp;F82&amp;"; ","")))</f>
      </c>
      <c r="L82" s="20">
        <f>IF(A82="","",IF(C82=0,"@"&amp;A82&amp;" please post Y: / T: / B: for today.",IF(TRIM(IF(AND(N(C82)&gt;0,D82=""),"no Y; ","")&amp;IF(AND(N(C82)&gt;0,E82=""),"no T; ","")&amp;IF(AND(N(C82)&gt;0,F82=""),"no B; ","")&amp;IF(AND(E82&lt;&gt;"",G82=0),"no task id in T; ","")&amp;IF(AND(G82&gt;0,H82=0),"T names no task of yours in this sprint; ",""))="","","@"&amp;A82&amp;" please fix: "&amp;TRIM(IF(AND(N(C82)&gt;0,D82=""),"no Y; ","")&amp;IF(AND(N(C82)&gt;0,E82=""),"no T; ","")&amp;IF(AND(N(C82)&gt;0,F82=""),"no B; ","")&amp;IF(AND(E82&lt;&gt;"",G82=0),"no task id in T; ","")&amp;IF(AND(G82&gt;0,H82=0),"T names no task of yours in this sprint; ","")))))</f>
      </c>
      <c r="M82" s="11">
        <f>IF(N82="","",StandupDate)</f>
      </c>
      <c r="N82" s="17">
        <f>IF(J82&lt;&gt;"",J82,IF(I82="Y",IF(IFERROR(INDEX(Items[ID],MATCH(1,INDEX((Items[ID]&lt;&gt;"")*ISNUMBER(SEARCH(" "&amp;Items[ID]&amp;" "," "&amp;SUBSTITUTE(SUBSTITUTE(SUBSTITUTE(SUBSTITUTE(SUBSTITUTE(SUBSTITUTE(SUBSTITUTE(F82,",","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"&amp;SUBSTITUTE(SUBSTITUTE(SUBSTITUTE(SUBSTITUTE(SUBSTITUTE(SUBSTITUTE(SUBSTITUTE(F82,","," "),"."," "),";"," "),":"," "),"("," "),")"," "),"/"," ")&amp;" ")),0),0)),""),IFERROR(INDEX(Items[ID],MATCH(1,INDEX((Items[ID]&lt;&gt;"")*(Items[Owner]=A82)*ISNUMBER(SEARCH(" "&amp;Items[ID]&amp;" "," "&amp;SUBSTITUTE(SUBSTITUTE(SUBSTITUTE(SUBSTITUTE(SUBSTITUTE(SUBSTITUTE(SUBSTITUTE(E82,","," "),"."," "),";"," "),":"," "),"("," "),")"," "),"/"," ")&amp;" ")),0),0)),"")),""))</f>
      </c>
      <c r="O82" s="17">
        <f>IF(N82="","",IF(J82&lt;&gt;"","done","block"))</f>
      </c>
      <c r="P82" s="17">
        <f>IF(O82="block",F82,"")</f>
      </c>
    </row>
    <row r="83">
      <c r="A83" s="17">
        <f>IFERROR(INDEX(Roster[Name],79)&amp;"","")</f>
      </c>
      <c r="B83" s="17">
        <f>IF(A83="","",INDEX(Roster[Team],79)&amp;"")</f>
      </c>
      <c r="C83" s="17">
        <f>IF(OR(A83="",COUNTA(ChatPaste)=0),"",COUNTIF(ChatSpeaker,A83))</f>
      </c>
      <c r="D83" s="20">
        <f>IF(A83="","",IFERROR(INDEX(ChatText,MATCH(1,INDEX((ChatSpeaker=A83)*(ChatTag="Y"),0),0)),""))</f>
      </c>
      <c r="E83" s="20">
        <f>IF(A83="","",IFERROR(INDEX(ChatText,MATCH(1,INDEX((ChatSpeaker=A83)*(ChatTag="T"),0),0)),""))</f>
      </c>
      <c r="F83" s="20">
        <f>IF(A83="","",IFERROR(INDEX(ChatText,MATCH(1,INDEX((ChatSpeaker=A83)*(ChatTag="B"),0),0)),""))</f>
      </c>
      <c r="G83" s="17">
        <f>IF(E83="",0,SUMPRODUCT((Items[ID]&lt;&gt;"")*ISNUMBER(SEARCH(" "&amp;Items[ID]&amp;" "," "&amp;SUBSTITUTE(SUBSTITUTE(SUBSTITUTE(SUBSTITUTE(SUBSTITUTE(SUBSTITUTE(SUBSTITUTE(E83,","," "),"."," "),";"," "),":"," "),"("," "),")"," "),"/"," ")&amp;" "))))</f>
      </c>
      <c r="H83" s="17">
        <f>IF(E83="",0,SUMPRODUCT((Items[ID]&lt;&gt;"")*(Items[Owner]=A83)*(Items[In sprint]=1)*ISNUMBER(SEARCH(" "&amp;Items[ID]&amp;" "," "&amp;SUBSTITUTE(SUBSTITUTE(SUBSTITUTE(SUBSTITUTE(SUBSTITUTE(SUBSTITUTE(SUBSTITUTE(E83,","," "),"."," "),";"," "),":"," "),"("," "),")"," "),"/"," ")&amp;" "))))</f>
      </c>
      <c r="I83" s="17">
        <f>IF(F83="","",IF(OR(LOWER(TRIM(F83))={"none","no","nothing","n/a","na","-","nope","no blockers","none.","nil"}),"","Y"))</f>
      </c>
      <c r="J83" s="17">
        <f>IF(D83="","",IF(OR(ISNUMBER(SEARCH({"done","finished","completed","closed","merged"},D83))),IFERROR(INDEX(Items[ID],MATCH(1,INDEX((Items[ID]&lt;&gt;"")*(Items[State]&lt;&gt;"DONE")*ISNUMBER(SEARCH(" "&amp;Items[ID]&amp;" "," "&amp;SUBSTITUTE(SUBSTITUTE(SUBSTITUTE(SUBSTITUTE(SUBSTITUTE(SUBSTITUTE(SUBSTITUTE(D83,","," "),"."," "),";"," "),":"," "),"("," "),")"," "),"/"," ")&amp;" ")),0),0)),""),""))</f>
      </c>
      <c r="K83" s="20">
        <f>IF(A83="","",TRIM(IF(C83=0,"silent; ","")&amp;IF(AND(N(C83)&gt;0,D83=""),"no Y; ","")&amp;IF(AND(N(C83)&gt;0,E83=""),"no T; ","")&amp;IF(AND(N(C83)&gt;0,F83=""),"no B; ","")&amp;IF(AND(E83&lt;&gt;"",G83=0),"no task id in T; ","")&amp;IF(AND(G83&gt;0,H83=0),"T names no task of yours in this sprint; ","")&amp;IF(I83="Y","blocker: "&amp;F83&amp;"; ","")))</f>
      </c>
      <c r="L83" s="20">
        <f>IF(A83="","",IF(C83=0,"@"&amp;A83&amp;" please post Y: / T: / B: for today.",IF(TRIM(IF(AND(N(C83)&gt;0,D83=""),"no Y; ","")&amp;IF(AND(N(C83)&gt;0,E83=""),"no T; ","")&amp;IF(AND(N(C83)&gt;0,F83=""),"no B; ","")&amp;IF(AND(E83&lt;&gt;"",G83=0),"no task id in T; ","")&amp;IF(AND(G83&gt;0,H83=0),"T names no task of yours in this sprint; ",""))="","","@"&amp;A83&amp;" please fix: "&amp;TRIM(IF(AND(N(C83)&gt;0,D83=""),"no Y; ","")&amp;IF(AND(N(C83)&gt;0,E83=""),"no T; ","")&amp;IF(AND(N(C83)&gt;0,F83=""),"no B; ","")&amp;IF(AND(E83&lt;&gt;"",G83=0),"no task id in T; ","")&amp;IF(AND(G83&gt;0,H83=0),"T names no task of yours in this sprint; ","")))))</f>
      </c>
      <c r="M83" s="11">
        <f>IF(N83="","",StandupDate)</f>
      </c>
      <c r="N83" s="17">
        <f>IF(J83&lt;&gt;"",J83,IF(I83="Y",IF(IFERROR(INDEX(Items[ID],MATCH(1,INDEX((Items[ID]&lt;&gt;"")*ISNUMBER(SEARCH(" "&amp;Items[ID]&amp;" "," "&amp;SUBSTITUTE(SUBSTITUTE(SUBSTITUTE(SUBSTITUTE(SUBSTITUTE(SUBSTITUTE(SUBSTITUTE(F83,",","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"&amp;SUBSTITUTE(SUBSTITUTE(SUBSTITUTE(SUBSTITUTE(SUBSTITUTE(SUBSTITUTE(SUBSTITUTE(F83,","," "),"."," "),";"," "),":"," "),"("," "),")"," "),"/"," ")&amp;" ")),0),0)),""),IFERROR(INDEX(Items[ID],MATCH(1,INDEX((Items[ID]&lt;&gt;"")*(Items[Owner]=A83)*ISNUMBER(SEARCH(" "&amp;Items[ID]&amp;" "," "&amp;SUBSTITUTE(SUBSTITUTE(SUBSTITUTE(SUBSTITUTE(SUBSTITUTE(SUBSTITUTE(SUBSTITUTE(E83,","," "),"."," "),";"," "),":"," "),"("," "),")"," "),"/"," ")&amp;" ")),0),0)),"")),""))</f>
      </c>
      <c r="O83" s="17">
        <f>IF(N83="","",IF(J83&lt;&gt;"","done","block"))</f>
      </c>
      <c r="P83" s="17">
        <f>IF(O83="block",F83,"")</f>
      </c>
    </row>
    <row r="84">
      <c r="A84" s="17">
        <f>IFERROR(INDEX(Roster[Name],80)&amp;"","")</f>
      </c>
      <c r="B84" s="17">
        <f>IF(A84="","",INDEX(Roster[Team],80)&amp;"")</f>
      </c>
      <c r="C84" s="17">
        <f>IF(OR(A84="",COUNTA(ChatPaste)=0),"",COUNTIF(ChatSpeaker,A84))</f>
      </c>
      <c r="D84" s="20">
        <f>IF(A84="","",IFERROR(INDEX(ChatText,MATCH(1,INDEX((ChatSpeaker=A84)*(ChatTag="Y"),0),0)),""))</f>
      </c>
      <c r="E84" s="20">
        <f>IF(A84="","",IFERROR(INDEX(ChatText,MATCH(1,INDEX((ChatSpeaker=A84)*(ChatTag="T"),0),0)),""))</f>
      </c>
      <c r="F84" s="20">
        <f>IF(A84="","",IFERROR(INDEX(ChatText,MATCH(1,INDEX((ChatSpeaker=A84)*(ChatTag="B"),0),0)),""))</f>
      </c>
      <c r="G84" s="17">
        <f>IF(E84="",0,SUMPRODUCT((Items[ID]&lt;&gt;"")*ISNUMBER(SEARCH(" "&amp;Items[ID]&amp;" "," "&amp;SUBSTITUTE(SUBSTITUTE(SUBSTITUTE(SUBSTITUTE(SUBSTITUTE(SUBSTITUTE(SUBSTITUTE(E84,","," "),"."," "),";"," "),":"," "),"("," "),")"," "),"/"," ")&amp;" "))))</f>
      </c>
      <c r="H84" s="17">
        <f>IF(E84="",0,SUMPRODUCT((Items[ID]&lt;&gt;"")*(Items[Owner]=A84)*(Items[In sprint]=1)*ISNUMBER(SEARCH(" "&amp;Items[ID]&amp;" "," "&amp;SUBSTITUTE(SUBSTITUTE(SUBSTITUTE(SUBSTITUTE(SUBSTITUTE(SUBSTITUTE(SUBSTITUTE(E84,","," "),"."," "),";"," "),":"," "),"("," "),")"," "),"/"," ")&amp;" "))))</f>
      </c>
      <c r="I84" s="17">
        <f>IF(F84="","",IF(OR(LOWER(TRIM(F84))={"none","no","nothing","n/a","na","-","nope","no blockers","none.","nil"}),"","Y"))</f>
      </c>
      <c r="J84" s="17">
        <f>IF(D84="","",IF(OR(ISNUMBER(SEARCH({"done","finished","completed","closed","merged"},D84))),IFERROR(INDEX(Items[ID],MATCH(1,INDEX((Items[ID]&lt;&gt;"")*(Items[State]&lt;&gt;"DONE")*ISNUMBER(SEARCH(" "&amp;Items[ID]&amp;" "," "&amp;SUBSTITUTE(SUBSTITUTE(SUBSTITUTE(SUBSTITUTE(SUBSTITUTE(SUBSTITUTE(SUBSTITUTE(D84,","," "),"."," "),";"," "),":"," "),"("," "),")"," "),"/"," ")&amp;" ")),0),0)),""),""))</f>
      </c>
      <c r="K84" s="20">
        <f>IF(A84="","",TRIM(IF(C84=0,"silent; ","")&amp;IF(AND(N(C84)&gt;0,D84=""),"no Y; ","")&amp;IF(AND(N(C84)&gt;0,E84=""),"no T; ","")&amp;IF(AND(N(C84)&gt;0,F84=""),"no B; ","")&amp;IF(AND(E84&lt;&gt;"",G84=0),"no task id in T; ","")&amp;IF(AND(G84&gt;0,H84=0),"T names no task of yours in this sprint; ","")&amp;IF(I84="Y","blocker: "&amp;F84&amp;"; ","")))</f>
      </c>
      <c r="L84" s="20">
        <f>IF(A84="","",IF(C84=0,"@"&amp;A84&amp;" please post Y: / T: / B: for today.",IF(TRIM(IF(AND(N(C84)&gt;0,D84=""),"no Y; ","")&amp;IF(AND(N(C84)&gt;0,E84=""),"no T; ","")&amp;IF(AND(N(C84)&gt;0,F84=""),"no B; ","")&amp;IF(AND(E84&lt;&gt;"",G84=0),"no task id in T; ","")&amp;IF(AND(G84&gt;0,H84=0),"T names no task of yours in this sprint; ",""))="","","@"&amp;A84&amp;" please fix: "&amp;TRIM(IF(AND(N(C84)&gt;0,D84=""),"no Y; ","")&amp;IF(AND(N(C84)&gt;0,E84=""),"no T; ","")&amp;IF(AND(N(C84)&gt;0,F84=""),"no B; ","")&amp;IF(AND(E84&lt;&gt;"",G84=0),"no task id in T; ","")&amp;IF(AND(G84&gt;0,H84=0),"T names no task of yours in this sprint; ","")))))</f>
      </c>
      <c r="M84" s="11">
        <f>IF(N84="","",StandupDate)</f>
      </c>
      <c r="N84" s="17">
        <f>IF(J84&lt;&gt;"",J84,IF(I84="Y",IF(IFERROR(INDEX(Items[ID],MATCH(1,INDEX((Items[ID]&lt;&gt;"")*ISNUMBER(SEARCH(" "&amp;Items[ID]&amp;" "," "&amp;SUBSTITUTE(SUBSTITUTE(SUBSTITUTE(SUBSTITUTE(SUBSTITUTE(SUBSTITUTE(SUBSTITUTE(F84,",","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"&amp;SUBSTITUTE(SUBSTITUTE(SUBSTITUTE(SUBSTITUTE(SUBSTITUTE(SUBSTITUTE(SUBSTITUTE(F84,","," "),"."," "),";"," "),":"," "),"("," "),")"," "),"/"," ")&amp;" ")),0),0)),""),IFERROR(INDEX(Items[ID],MATCH(1,INDEX((Items[ID]&lt;&gt;"")*(Items[Owner]=A84)*ISNUMBER(SEARCH(" "&amp;Items[ID]&amp;" "," "&amp;SUBSTITUTE(SUBSTITUTE(SUBSTITUTE(SUBSTITUTE(SUBSTITUTE(SUBSTITUTE(SUBSTITUTE(E84,","," "),"."," "),";"," "),":"," "),"("," "),")"," "),"/"," ")&amp;" ")),0),0)),"")),""))</f>
      </c>
      <c r="O84" s="17">
        <f>IF(N84="","",IF(J84&lt;&gt;"","done","block"))</f>
      </c>
      <c r="P84" s="17">
        <f>IF(O84="block",F84,"")</f>
      </c>
    </row>
    <row r="85">
      <c r="A85" s="17">
        <f>IFERROR(INDEX(Roster[Name],81)&amp;"","")</f>
      </c>
      <c r="B85" s="17">
        <f>IF(A85="","",INDEX(Roster[Team],81)&amp;"")</f>
      </c>
      <c r="C85" s="17">
        <f>IF(OR(A85="",COUNTA(ChatPaste)=0),"",COUNTIF(ChatSpeaker,A85))</f>
      </c>
      <c r="D85" s="20">
        <f>IF(A85="","",IFERROR(INDEX(ChatText,MATCH(1,INDEX((ChatSpeaker=A85)*(ChatTag="Y"),0),0)),""))</f>
      </c>
      <c r="E85" s="20">
        <f>IF(A85="","",IFERROR(INDEX(ChatText,MATCH(1,INDEX((ChatSpeaker=A85)*(ChatTag="T"),0),0)),""))</f>
      </c>
      <c r="F85" s="20">
        <f>IF(A85="","",IFERROR(INDEX(ChatText,MATCH(1,INDEX((ChatSpeaker=A85)*(ChatTag="B"),0),0)),""))</f>
      </c>
      <c r="G85" s="17">
        <f>IF(E85="",0,SUMPRODUCT((Items[ID]&lt;&gt;"")*ISNUMBER(SEARCH(" "&amp;Items[ID]&amp;" "," "&amp;SUBSTITUTE(SUBSTITUTE(SUBSTITUTE(SUBSTITUTE(SUBSTITUTE(SUBSTITUTE(SUBSTITUTE(E85,","," "),"."," "),";"," "),":"," "),"("," "),")"," "),"/"," ")&amp;" "))))</f>
      </c>
      <c r="H85" s="17">
        <f>IF(E85="",0,SUMPRODUCT((Items[ID]&lt;&gt;"")*(Items[Owner]=A85)*(Items[In sprint]=1)*ISNUMBER(SEARCH(" "&amp;Items[ID]&amp;" "," "&amp;SUBSTITUTE(SUBSTITUTE(SUBSTITUTE(SUBSTITUTE(SUBSTITUTE(SUBSTITUTE(SUBSTITUTE(E85,","," "),"."," "),";"," "),":"," "),"("," "),")"," "),"/"," ")&amp;" "))))</f>
      </c>
      <c r="I85" s="17">
        <f>IF(F85="","",IF(OR(LOWER(TRIM(F85))={"none","no","nothing","n/a","na","-","nope","no blockers","none.","nil"}),"","Y"))</f>
      </c>
      <c r="J85" s="17">
        <f>IF(D85="","",IF(OR(ISNUMBER(SEARCH({"done","finished","completed","closed","merged"},D85))),IFERROR(INDEX(Items[ID],MATCH(1,INDEX((Items[ID]&lt;&gt;"")*(Items[State]&lt;&gt;"DONE")*ISNUMBER(SEARCH(" "&amp;Items[ID]&amp;" "," "&amp;SUBSTITUTE(SUBSTITUTE(SUBSTITUTE(SUBSTITUTE(SUBSTITUTE(SUBSTITUTE(SUBSTITUTE(D85,","," "),"."," "),";"," "),":"," "),"("," "),")"," "),"/"," ")&amp;" ")),0),0)),""),""))</f>
      </c>
      <c r="K85" s="20">
        <f>IF(A85="","",TRIM(IF(C85=0,"silent; ","")&amp;IF(AND(N(C85)&gt;0,D85=""),"no Y; ","")&amp;IF(AND(N(C85)&gt;0,E85=""),"no T; ","")&amp;IF(AND(N(C85)&gt;0,F85=""),"no B; ","")&amp;IF(AND(E85&lt;&gt;"",G85=0),"no task id in T; ","")&amp;IF(AND(G85&gt;0,H85=0),"T names no task of yours in this sprint; ","")&amp;IF(I85="Y","blocker: "&amp;F85&amp;"; ","")))</f>
      </c>
      <c r="L85" s="20">
        <f>IF(A85="","",IF(C85=0,"@"&amp;A85&amp;" please post Y: / T: / B: for today.",IF(TRIM(IF(AND(N(C85)&gt;0,D85=""),"no Y; ","")&amp;IF(AND(N(C85)&gt;0,E85=""),"no T; ","")&amp;IF(AND(N(C85)&gt;0,F85=""),"no B; ","")&amp;IF(AND(E85&lt;&gt;"",G85=0),"no task id in T; ","")&amp;IF(AND(G85&gt;0,H85=0),"T names no task of yours in this sprint; ",""))="","","@"&amp;A85&amp;" please fix: "&amp;TRIM(IF(AND(N(C85)&gt;0,D85=""),"no Y; ","")&amp;IF(AND(N(C85)&gt;0,E85=""),"no T; ","")&amp;IF(AND(N(C85)&gt;0,F85=""),"no B; ","")&amp;IF(AND(E85&lt;&gt;"",G85=0),"no task id in T; ","")&amp;IF(AND(G85&gt;0,H85=0),"T names no task of yours in this sprint; ","")))))</f>
      </c>
      <c r="M85" s="11">
        <f>IF(N85="","",StandupDate)</f>
      </c>
      <c r="N85" s="17">
        <f>IF(J85&lt;&gt;"",J85,IF(I85="Y",IF(IFERROR(INDEX(Items[ID],MATCH(1,INDEX((Items[ID]&lt;&gt;"")*ISNUMBER(SEARCH(" "&amp;Items[ID]&amp;" "," "&amp;SUBSTITUTE(SUBSTITUTE(SUBSTITUTE(SUBSTITUTE(SUBSTITUTE(SUBSTITUTE(SUBSTITUTE(F85,",","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"&amp;SUBSTITUTE(SUBSTITUTE(SUBSTITUTE(SUBSTITUTE(SUBSTITUTE(SUBSTITUTE(SUBSTITUTE(F85,","," "),"."," "),";"," "),":"," "),"("," "),")"," "),"/"," ")&amp;" ")),0),0)),""),IFERROR(INDEX(Items[ID],MATCH(1,INDEX((Items[ID]&lt;&gt;"")*(Items[Owner]=A85)*ISNUMBER(SEARCH(" "&amp;Items[ID]&amp;" "," "&amp;SUBSTITUTE(SUBSTITUTE(SUBSTITUTE(SUBSTITUTE(SUBSTITUTE(SUBSTITUTE(SUBSTITUTE(E85,","," "),"."," "),";"," "),":"," "),"("," "),")"," "),"/"," ")&amp;" ")),0),0)),"")),""))</f>
      </c>
      <c r="O85" s="17">
        <f>IF(N85="","",IF(J85&lt;&gt;"","done","block"))</f>
      </c>
      <c r="P85" s="17">
        <f>IF(O85="block",F85,"")</f>
      </c>
    </row>
    <row r="86">
      <c r="A86" s="17">
        <f>IFERROR(INDEX(Roster[Name],82)&amp;"","")</f>
      </c>
      <c r="B86" s="17">
        <f>IF(A86="","",INDEX(Roster[Team],82)&amp;"")</f>
      </c>
      <c r="C86" s="17">
        <f>IF(OR(A86="",COUNTA(ChatPaste)=0),"",COUNTIF(ChatSpeaker,A86))</f>
      </c>
      <c r="D86" s="20">
        <f>IF(A86="","",IFERROR(INDEX(ChatText,MATCH(1,INDEX((ChatSpeaker=A86)*(ChatTag="Y"),0),0)),""))</f>
      </c>
      <c r="E86" s="20">
        <f>IF(A86="","",IFERROR(INDEX(ChatText,MATCH(1,INDEX((ChatSpeaker=A86)*(ChatTag="T"),0),0)),""))</f>
      </c>
      <c r="F86" s="20">
        <f>IF(A86="","",IFERROR(INDEX(ChatText,MATCH(1,INDEX((ChatSpeaker=A86)*(ChatTag="B"),0),0)),""))</f>
      </c>
      <c r="G86" s="17">
        <f>IF(E86="",0,SUMPRODUCT((Items[ID]&lt;&gt;"")*ISNUMBER(SEARCH(" "&amp;Items[ID]&amp;" "," "&amp;SUBSTITUTE(SUBSTITUTE(SUBSTITUTE(SUBSTITUTE(SUBSTITUTE(SUBSTITUTE(SUBSTITUTE(E86,","," "),"."," "),";"," "),":"," "),"("," "),")"," "),"/"," ")&amp;" "))))</f>
      </c>
      <c r="H86" s="17">
        <f>IF(E86="",0,SUMPRODUCT((Items[ID]&lt;&gt;"")*(Items[Owner]=A86)*(Items[In sprint]=1)*ISNUMBER(SEARCH(" "&amp;Items[ID]&amp;" "," "&amp;SUBSTITUTE(SUBSTITUTE(SUBSTITUTE(SUBSTITUTE(SUBSTITUTE(SUBSTITUTE(SUBSTITUTE(E86,","," "),"."," "),";"," "),":"," "),"("," "),")"," "),"/"," ")&amp;" "))))</f>
      </c>
      <c r="I86" s="17">
        <f>IF(F86="","",IF(OR(LOWER(TRIM(F86))={"none","no","nothing","n/a","na","-","nope","no blockers","none.","nil"}),"","Y"))</f>
      </c>
      <c r="J86" s="17">
        <f>IF(D86="","",IF(OR(ISNUMBER(SEARCH({"done","finished","completed","closed","merged"},D86))),IFERROR(INDEX(Items[ID],MATCH(1,INDEX((Items[ID]&lt;&gt;"")*(Items[State]&lt;&gt;"DONE")*ISNUMBER(SEARCH(" "&amp;Items[ID]&amp;" "," "&amp;SUBSTITUTE(SUBSTITUTE(SUBSTITUTE(SUBSTITUTE(SUBSTITUTE(SUBSTITUTE(SUBSTITUTE(D86,","," "),"."," "),";"," "),":"," "),"("," "),")"," "),"/"," ")&amp;" ")),0),0)),""),""))</f>
      </c>
      <c r="K86" s="20">
        <f>IF(A86="","",TRIM(IF(C86=0,"silent; ","")&amp;IF(AND(N(C86)&gt;0,D86=""),"no Y; ","")&amp;IF(AND(N(C86)&gt;0,E86=""),"no T; ","")&amp;IF(AND(N(C86)&gt;0,F86=""),"no B; ","")&amp;IF(AND(E86&lt;&gt;"",G86=0),"no task id in T; ","")&amp;IF(AND(G86&gt;0,H86=0),"T names no task of yours in this sprint; ","")&amp;IF(I86="Y","blocker: "&amp;F86&amp;"; ","")))</f>
      </c>
      <c r="L86" s="20">
        <f>IF(A86="","",IF(C86=0,"@"&amp;A86&amp;" please post Y: / T: / B: for today.",IF(TRIM(IF(AND(N(C86)&gt;0,D86=""),"no Y; ","")&amp;IF(AND(N(C86)&gt;0,E86=""),"no T; ","")&amp;IF(AND(N(C86)&gt;0,F86=""),"no B; ","")&amp;IF(AND(E86&lt;&gt;"",G86=0),"no task id in T; ","")&amp;IF(AND(G86&gt;0,H86=0),"T names no task of yours in this sprint; ",""))="","","@"&amp;A86&amp;" please fix: "&amp;TRIM(IF(AND(N(C86)&gt;0,D86=""),"no Y; ","")&amp;IF(AND(N(C86)&gt;0,E86=""),"no T; ","")&amp;IF(AND(N(C86)&gt;0,F86=""),"no B; ","")&amp;IF(AND(E86&lt;&gt;"",G86=0),"no task id in T; ","")&amp;IF(AND(G86&gt;0,H86=0),"T names no task of yours in this sprint; ","")))))</f>
      </c>
      <c r="M86" s="11">
        <f>IF(N86="","",StandupDate)</f>
      </c>
      <c r="N86" s="17">
        <f>IF(J86&lt;&gt;"",J86,IF(I86="Y",IF(IFERROR(INDEX(Items[ID],MATCH(1,INDEX((Items[ID]&lt;&gt;"")*ISNUMBER(SEARCH(" "&amp;Items[ID]&amp;" "," "&amp;SUBSTITUTE(SUBSTITUTE(SUBSTITUTE(SUBSTITUTE(SUBSTITUTE(SUBSTITUTE(SUBSTITUTE(F86,",","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"&amp;SUBSTITUTE(SUBSTITUTE(SUBSTITUTE(SUBSTITUTE(SUBSTITUTE(SUBSTITUTE(SUBSTITUTE(F86,","," "),"."," "),";"," "),":"," "),"("," "),")"," "),"/"," ")&amp;" ")),0),0)),""),IFERROR(INDEX(Items[ID],MATCH(1,INDEX((Items[ID]&lt;&gt;"")*(Items[Owner]=A86)*ISNUMBER(SEARCH(" "&amp;Items[ID]&amp;" "," "&amp;SUBSTITUTE(SUBSTITUTE(SUBSTITUTE(SUBSTITUTE(SUBSTITUTE(SUBSTITUTE(SUBSTITUTE(E86,","," "),"."," "),";"," "),":"," "),"("," "),")"," "),"/"," ")&amp;" ")),0),0)),"")),""))</f>
      </c>
      <c r="O86" s="17">
        <f>IF(N86="","",IF(J86&lt;&gt;"","done","block"))</f>
      </c>
      <c r="P86" s="17">
        <f>IF(O86="block",F86,"")</f>
      </c>
    </row>
    <row r="87">
      <c r="A87" s="17">
        <f>IFERROR(INDEX(Roster[Name],83)&amp;"","")</f>
      </c>
      <c r="B87" s="17">
        <f>IF(A87="","",INDEX(Roster[Team],83)&amp;"")</f>
      </c>
      <c r="C87" s="17">
        <f>IF(OR(A87="",COUNTA(ChatPaste)=0),"",COUNTIF(ChatSpeaker,A87))</f>
      </c>
      <c r="D87" s="20">
        <f>IF(A87="","",IFERROR(INDEX(ChatText,MATCH(1,INDEX((ChatSpeaker=A87)*(ChatTag="Y"),0),0)),""))</f>
      </c>
      <c r="E87" s="20">
        <f>IF(A87="","",IFERROR(INDEX(ChatText,MATCH(1,INDEX((ChatSpeaker=A87)*(ChatTag="T"),0),0)),""))</f>
      </c>
      <c r="F87" s="20">
        <f>IF(A87="","",IFERROR(INDEX(ChatText,MATCH(1,INDEX((ChatSpeaker=A87)*(ChatTag="B"),0),0)),""))</f>
      </c>
      <c r="G87" s="17">
        <f>IF(E87="",0,SUMPRODUCT((Items[ID]&lt;&gt;"")*ISNUMBER(SEARCH(" "&amp;Items[ID]&amp;" "," "&amp;SUBSTITUTE(SUBSTITUTE(SUBSTITUTE(SUBSTITUTE(SUBSTITUTE(SUBSTITUTE(SUBSTITUTE(E87,","," "),"."," "),";"," "),":"," "),"("," "),")"," "),"/"," ")&amp;" "))))</f>
      </c>
      <c r="H87" s="17">
        <f>IF(E87="",0,SUMPRODUCT((Items[ID]&lt;&gt;"")*(Items[Owner]=A87)*(Items[In sprint]=1)*ISNUMBER(SEARCH(" "&amp;Items[ID]&amp;" "," "&amp;SUBSTITUTE(SUBSTITUTE(SUBSTITUTE(SUBSTITUTE(SUBSTITUTE(SUBSTITUTE(SUBSTITUTE(E87,","," "),"."," "),";"," "),":"," "),"("," "),")"," "),"/"," ")&amp;" "))))</f>
      </c>
      <c r="I87" s="17">
        <f>IF(F87="","",IF(OR(LOWER(TRIM(F87))={"none","no","nothing","n/a","na","-","nope","no blockers","none.","nil"}),"","Y"))</f>
      </c>
      <c r="J87" s="17">
        <f>IF(D87="","",IF(OR(ISNUMBER(SEARCH({"done","finished","completed","closed","merged"},D87))),IFERROR(INDEX(Items[ID],MATCH(1,INDEX((Items[ID]&lt;&gt;"")*(Items[State]&lt;&gt;"DONE")*ISNUMBER(SEARCH(" "&amp;Items[ID]&amp;" "," "&amp;SUBSTITUTE(SUBSTITUTE(SUBSTITUTE(SUBSTITUTE(SUBSTITUTE(SUBSTITUTE(SUBSTITUTE(D87,","," "),"."," "),";"," "),":"," "),"("," "),")"," "),"/"," ")&amp;" ")),0),0)),""),""))</f>
      </c>
      <c r="K87" s="20">
        <f>IF(A87="","",TRIM(IF(C87=0,"silent; ","")&amp;IF(AND(N(C87)&gt;0,D87=""),"no Y; ","")&amp;IF(AND(N(C87)&gt;0,E87=""),"no T; ","")&amp;IF(AND(N(C87)&gt;0,F87=""),"no B; ","")&amp;IF(AND(E87&lt;&gt;"",G87=0),"no task id in T; ","")&amp;IF(AND(G87&gt;0,H87=0),"T names no task of yours in this sprint; ","")&amp;IF(I87="Y","blocker: "&amp;F87&amp;"; ","")))</f>
      </c>
      <c r="L87" s="20">
        <f>IF(A87="","",IF(C87=0,"@"&amp;A87&amp;" please post Y: / T: / B: for today.",IF(TRIM(IF(AND(N(C87)&gt;0,D87=""),"no Y; ","")&amp;IF(AND(N(C87)&gt;0,E87=""),"no T; ","")&amp;IF(AND(N(C87)&gt;0,F87=""),"no B; ","")&amp;IF(AND(E87&lt;&gt;"",G87=0),"no task id in T; ","")&amp;IF(AND(G87&gt;0,H87=0),"T names no task of yours in this sprint; ",""))="","","@"&amp;A87&amp;" please fix: "&amp;TRIM(IF(AND(N(C87)&gt;0,D87=""),"no Y; ","")&amp;IF(AND(N(C87)&gt;0,E87=""),"no T; ","")&amp;IF(AND(N(C87)&gt;0,F87=""),"no B; ","")&amp;IF(AND(E87&lt;&gt;"",G87=0),"no task id in T; ","")&amp;IF(AND(G87&gt;0,H87=0),"T names no task of yours in this sprint; ","")))))</f>
      </c>
      <c r="M87" s="11">
        <f>IF(N87="","",StandupDate)</f>
      </c>
      <c r="N87" s="17">
        <f>IF(J87&lt;&gt;"",J87,IF(I87="Y",IF(IFERROR(INDEX(Items[ID],MATCH(1,INDEX((Items[ID]&lt;&gt;"")*ISNUMBER(SEARCH(" "&amp;Items[ID]&amp;" "," "&amp;SUBSTITUTE(SUBSTITUTE(SUBSTITUTE(SUBSTITUTE(SUBSTITUTE(SUBSTITUTE(SUBSTITUTE(F87,",","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"&amp;SUBSTITUTE(SUBSTITUTE(SUBSTITUTE(SUBSTITUTE(SUBSTITUTE(SUBSTITUTE(SUBSTITUTE(F87,","," "),"."," "),";"," "),":"," "),"("," "),")"," "),"/"," ")&amp;" ")),0),0)),""),IFERROR(INDEX(Items[ID],MATCH(1,INDEX((Items[ID]&lt;&gt;"")*(Items[Owner]=A87)*ISNUMBER(SEARCH(" "&amp;Items[ID]&amp;" "," "&amp;SUBSTITUTE(SUBSTITUTE(SUBSTITUTE(SUBSTITUTE(SUBSTITUTE(SUBSTITUTE(SUBSTITUTE(E87,","," "),"."," "),";"," "),":"," "),"("," "),")"," "),"/"," ")&amp;" ")),0),0)),"")),""))</f>
      </c>
      <c r="O87" s="17">
        <f>IF(N87="","",IF(J87&lt;&gt;"","done","block"))</f>
      </c>
      <c r="P87" s="17">
        <f>IF(O87="block",F87,"")</f>
      </c>
    </row>
    <row r="88">
      <c r="A88" s="17">
        <f>IFERROR(INDEX(Roster[Name],84)&amp;"","")</f>
      </c>
      <c r="B88" s="17">
        <f>IF(A88="","",INDEX(Roster[Team],84)&amp;"")</f>
      </c>
      <c r="C88" s="17">
        <f>IF(OR(A88="",COUNTA(ChatPaste)=0),"",COUNTIF(ChatSpeaker,A88))</f>
      </c>
      <c r="D88" s="20">
        <f>IF(A88="","",IFERROR(INDEX(ChatText,MATCH(1,INDEX((ChatSpeaker=A88)*(ChatTag="Y"),0),0)),""))</f>
      </c>
      <c r="E88" s="20">
        <f>IF(A88="","",IFERROR(INDEX(ChatText,MATCH(1,INDEX((ChatSpeaker=A88)*(ChatTag="T"),0),0)),""))</f>
      </c>
      <c r="F88" s="20">
        <f>IF(A88="","",IFERROR(INDEX(ChatText,MATCH(1,INDEX((ChatSpeaker=A88)*(ChatTag="B"),0),0)),""))</f>
      </c>
      <c r="G88" s="17">
        <f>IF(E88="",0,SUMPRODUCT((Items[ID]&lt;&gt;"")*ISNUMBER(SEARCH(" "&amp;Items[ID]&amp;" "," "&amp;SUBSTITUTE(SUBSTITUTE(SUBSTITUTE(SUBSTITUTE(SUBSTITUTE(SUBSTITUTE(SUBSTITUTE(E88,","," "),"."," "),";"," "),":"," "),"("," "),")"," "),"/"," ")&amp;" "))))</f>
      </c>
      <c r="H88" s="17">
        <f>IF(E88="",0,SUMPRODUCT((Items[ID]&lt;&gt;"")*(Items[Owner]=A88)*(Items[In sprint]=1)*ISNUMBER(SEARCH(" "&amp;Items[ID]&amp;" "," "&amp;SUBSTITUTE(SUBSTITUTE(SUBSTITUTE(SUBSTITUTE(SUBSTITUTE(SUBSTITUTE(SUBSTITUTE(E88,","," "),"."," "),";"," "),":"," "),"("," "),")"," "),"/"," ")&amp;" "))))</f>
      </c>
      <c r="I88" s="17">
        <f>IF(F88="","",IF(OR(LOWER(TRIM(F88))={"none","no","nothing","n/a","na","-","nope","no blockers","none.","nil"}),"","Y"))</f>
      </c>
      <c r="J88" s="17">
        <f>IF(D88="","",IF(OR(ISNUMBER(SEARCH({"done","finished","completed","closed","merged"},D88))),IFERROR(INDEX(Items[ID],MATCH(1,INDEX((Items[ID]&lt;&gt;"")*(Items[State]&lt;&gt;"DONE")*ISNUMBER(SEARCH(" "&amp;Items[ID]&amp;" "," "&amp;SUBSTITUTE(SUBSTITUTE(SUBSTITUTE(SUBSTITUTE(SUBSTITUTE(SUBSTITUTE(SUBSTITUTE(D88,","," "),"."," "),";"," "),":"," "),"("," "),")"," "),"/"," ")&amp;" ")),0),0)),""),""))</f>
      </c>
      <c r="K88" s="20">
        <f>IF(A88="","",TRIM(IF(C88=0,"silent; ","")&amp;IF(AND(N(C88)&gt;0,D88=""),"no Y; ","")&amp;IF(AND(N(C88)&gt;0,E88=""),"no T; ","")&amp;IF(AND(N(C88)&gt;0,F88=""),"no B; ","")&amp;IF(AND(E88&lt;&gt;"",G88=0),"no task id in T; ","")&amp;IF(AND(G88&gt;0,H88=0),"T names no task of yours in this sprint; ","")&amp;IF(I88="Y","blocker: "&amp;F88&amp;"; ","")))</f>
      </c>
      <c r="L88" s="20">
        <f>IF(A88="","",IF(C88=0,"@"&amp;A88&amp;" please post Y: / T: / B: for today.",IF(TRIM(IF(AND(N(C88)&gt;0,D88=""),"no Y; ","")&amp;IF(AND(N(C88)&gt;0,E88=""),"no T; ","")&amp;IF(AND(N(C88)&gt;0,F88=""),"no B; ","")&amp;IF(AND(E88&lt;&gt;"",G88=0),"no task id in T; ","")&amp;IF(AND(G88&gt;0,H88=0),"T names no task of yours in this sprint; ",""))="","","@"&amp;A88&amp;" please fix: "&amp;TRIM(IF(AND(N(C88)&gt;0,D88=""),"no Y; ","")&amp;IF(AND(N(C88)&gt;0,E88=""),"no T; ","")&amp;IF(AND(N(C88)&gt;0,F88=""),"no B; ","")&amp;IF(AND(E88&lt;&gt;"",G88=0),"no task id in T; ","")&amp;IF(AND(G88&gt;0,H88=0),"T names no task of yours in this sprint; ","")))))</f>
      </c>
      <c r="M88" s="11">
        <f>IF(N88="","",StandupDate)</f>
      </c>
      <c r="N88" s="17">
        <f>IF(J88&lt;&gt;"",J88,IF(I88="Y",IF(IFERROR(INDEX(Items[ID],MATCH(1,INDEX((Items[ID]&lt;&gt;"")*ISNUMBER(SEARCH(" "&amp;Items[ID]&amp;" "," "&amp;SUBSTITUTE(SUBSTITUTE(SUBSTITUTE(SUBSTITUTE(SUBSTITUTE(SUBSTITUTE(SUBSTITUTE(F88,",","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"&amp;SUBSTITUTE(SUBSTITUTE(SUBSTITUTE(SUBSTITUTE(SUBSTITUTE(SUBSTITUTE(SUBSTITUTE(F88,","," "),"."," "),";"," "),":"," "),"("," "),")"," "),"/"," ")&amp;" ")),0),0)),""),IFERROR(INDEX(Items[ID],MATCH(1,INDEX((Items[ID]&lt;&gt;"")*(Items[Owner]=A88)*ISNUMBER(SEARCH(" "&amp;Items[ID]&amp;" "," "&amp;SUBSTITUTE(SUBSTITUTE(SUBSTITUTE(SUBSTITUTE(SUBSTITUTE(SUBSTITUTE(SUBSTITUTE(E88,","," "),"."," "),";"," "),":"," "),"("," "),")"," "),"/"," ")&amp;" ")),0),0)),"")),""))</f>
      </c>
      <c r="O88" s="17">
        <f>IF(N88="","",IF(J88&lt;&gt;"","done","block"))</f>
      </c>
      <c r="P88" s="17">
        <f>IF(O88="block",F88,"")</f>
      </c>
    </row>
    <row r="89">
      <c r="A89" s="17">
        <f>IFERROR(INDEX(Roster[Name],85)&amp;"","")</f>
      </c>
      <c r="B89" s="17">
        <f>IF(A89="","",INDEX(Roster[Team],85)&amp;"")</f>
      </c>
      <c r="C89" s="17">
        <f>IF(OR(A89="",COUNTA(ChatPaste)=0),"",COUNTIF(ChatSpeaker,A89))</f>
      </c>
      <c r="D89" s="20">
        <f>IF(A89="","",IFERROR(INDEX(ChatText,MATCH(1,INDEX((ChatSpeaker=A89)*(ChatTag="Y"),0),0)),""))</f>
      </c>
      <c r="E89" s="20">
        <f>IF(A89="","",IFERROR(INDEX(ChatText,MATCH(1,INDEX((ChatSpeaker=A89)*(ChatTag="T"),0),0)),""))</f>
      </c>
      <c r="F89" s="20">
        <f>IF(A89="","",IFERROR(INDEX(ChatText,MATCH(1,INDEX((ChatSpeaker=A89)*(ChatTag="B"),0),0)),""))</f>
      </c>
      <c r="G89" s="17">
        <f>IF(E89="",0,SUMPRODUCT((Items[ID]&lt;&gt;"")*ISNUMBER(SEARCH(" "&amp;Items[ID]&amp;" "," "&amp;SUBSTITUTE(SUBSTITUTE(SUBSTITUTE(SUBSTITUTE(SUBSTITUTE(SUBSTITUTE(SUBSTITUTE(E89,","," "),"."," "),";"," "),":"," "),"("," "),")"," "),"/"," ")&amp;" "))))</f>
      </c>
      <c r="H89" s="17">
        <f>IF(E89="",0,SUMPRODUCT((Items[ID]&lt;&gt;"")*(Items[Owner]=A89)*(Items[In sprint]=1)*ISNUMBER(SEARCH(" "&amp;Items[ID]&amp;" "," "&amp;SUBSTITUTE(SUBSTITUTE(SUBSTITUTE(SUBSTITUTE(SUBSTITUTE(SUBSTITUTE(SUBSTITUTE(E89,","," "),"."," "),";"," "),":"," "),"("," "),")"," "),"/"," ")&amp;" "))))</f>
      </c>
      <c r="I89" s="17">
        <f>IF(F89="","",IF(OR(LOWER(TRIM(F89))={"none","no","nothing","n/a","na","-","nope","no blockers","none.","nil"}),"","Y"))</f>
      </c>
      <c r="J89" s="17">
        <f>IF(D89="","",IF(OR(ISNUMBER(SEARCH({"done","finished","completed","closed","merged"},D89))),IFERROR(INDEX(Items[ID],MATCH(1,INDEX((Items[ID]&lt;&gt;"")*(Items[State]&lt;&gt;"DONE")*ISNUMBER(SEARCH(" "&amp;Items[ID]&amp;" "," "&amp;SUBSTITUTE(SUBSTITUTE(SUBSTITUTE(SUBSTITUTE(SUBSTITUTE(SUBSTITUTE(SUBSTITUTE(D89,","," "),"."," "),";"," "),":"," "),"("," "),")"," "),"/"," ")&amp;" ")),0),0)),""),""))</f>
      </c>
      <c r="K89" s="20">
        <f>IF(A89="","",TRIM(IF(C89=0,"silent; ","")&amp;IF(AND(N(C89)&gt;0,D89=""),"no Y; ","")&amp;IF(AND(N(C89)&gt;0,E89=""),"no T; ","")&amp;IF(AND(N(C89)&gt;0,F89=""),"no B; ","")&amp;IF(AND(E89&lt;&gt;"",G89=0),"no task id in T; ","")&amp;IF(AND(G89&gt;0,H89=0),"T names no task of yours in this sprint; ","")&amp;IF(I89="Y","blocker: "&amp;F89&amp;"; ","")))</f>
      </c>
      <c r="L89" s="20">
        <f>IF(A89="","",IF(C89=0,"@"&amp;A89&amp;" please post Y: / T: / B: for today.",IF(TRIM(IF(AND(N(C89)&gt;0,D89=""),"no Y; ","")&amp;IF(AND(N(C89)&gt;0,E89=""),"no T; ","")&amp;IF(AND(N(C89)&gt;0,F89=""),"no B; ","")&amp;IF(AND(E89&lt;&gt;"",G89=0),"no task id in T; ","")&amp;IF(AND(G89&gt;0,H89=0),"T names no task of yours in this sprint; ",""))="","","@"&amp;A89&amp;" please fix: "&amp;TRIM(IF(AND(N(C89)&gt;0,D89=""),"no Y; ","")&amp;IF(AND(N(C89)&gt;0,E89=""),"no T; ","")&amp;IF(AND(N(C89)&gt;0,F89=""),"no B; ","")&amp;IF(AND(E89&lt;&gt;"",G89=0),"no task id in T; ","")&amp;IF(AND(G89&gt;0,H89=0),"T names no task of yours in this sprint; ","")))))</f>
      </c>
      <c r="M89" s="11">
        <f>IF(N89="","",StandupDate)</f>
      </c>
      <c r="N89" s="17">
        <f>IF(J89&lt;&gt;"",J89,IF(I89="Y",IF(IFERROR(INDEX(Items[ID],MATCH(1,INDEX((Items[ID]&lt;&gt;"")*ISNUMBER(SEARCH(" "&amp;Items[ID]&amp;" "," "&amp;SUBSTITUTE(SUBSTITUTE(SUBSTITUTE(SUBSTITUTE(SUBSTITUTE(SUBSTITUTE(SUBSTITUTE(F89,",","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"&amp;SUBSTITUTE(SUBSTITUTE(SUBSTITUTE(SUBSTITUTE(SUBSTITUTE(SUBSTITUTE(SUBSTITUTE(F89,","," "),"."," "),";"," "),":"," "),"("," "),")"," "),"/"," ")&amp;" ")),0),0)),""),IFERROR(INDEX(Items[ID],MATCH(1,INDEX((Items[ID]&lt;&gt;"")*(Items[Owner]=A89)*ISNUMBER(SEARCH(" "&amp;Items[ID]&amp;" "," "&amp;SUBSTITUTE(SUBSTITUTE(SUBSTITUTE(SUBSTITUTE(SUBSTITUTE(SUBSTITUTE(SUBSTITUTE(E89,","," "),"."," "),";"," "),":"," "),"("," "),")"," "),"/"," ")&amp;" ")),0),0)),"")),""))</f>
      </c>
      <c r="O89" s="17">
        <f>IF(N89="","",IF(J89&lt;&gt;"","done","block"))</f>
      </c>
      <c r="P89" s="17">
        <f>IF(O89="block",F89,"")</f>
      </c>
    </row>
    <row r="90">
      <c r="A90" s="17">
        <f>IFERROR(INDEX(Roster[Name],86)&amp;"","")</f>
      </c>
      <c r="B90" s="17">
        <f>IF(A90="","",INDEX(Roster[Team],86)&amp;"")</f>
      </c>
      <c r="C90" s="17">
        <f>IF(OR(A90="",COUNTA(ChatPaste)=0),"",COUNTIF(ChatSpeaker,A90))</f>
      </c>
      <c r="D90" s="20">
        <f>IF(A90="","",IFERROR(INDEX(ChatText,MATCH(1,INDEX((ChatSpeaker=A90)*(ChatTag="Y"),0),0)),""))</f>
      </c>
      <c r="E90" s="20">
        <f>IF(A90="","",IFERROR(INDEX(ChatText,MATCH(1,INDEX((ChatSpeaker=A90)*(ChatTag="T"),0),0)),""))</f>
      </c>
      <c r="F90" s="20">
        <f>IF(A90="","",IFERROR(INDEX(ChatText,MATCH(1,INDEX((ChatSpeaker=A90)*(ChatTag="B"),0),0)),""))</f>
      </c>
      <c r="G90" s="17">
        <f>IF(E90="",0,SUMPRODUCT((Items[ID]&lt;&gt;"")*ISNUMBER(SEARCH(" "&amp;Items[ID]&amp;" "," "&amp;SUBSTITUTE(SUBSTITUTE(SUBSTITUTE(SUBSTITUTE(SUBSTITUTE(SUBSTITUTE(SUBSTITUTE(E90,","," "),"."," "),";"," "),":"," "),"("," "),")"," "),"/"," ")&amp;" "))))</f>
      </c>
      <c r="H90" s="17">
        <f>IF(E90="",0,SUMPRODUCT((Items[ID]&lt;&gt;"")*(Items[Owner]=A90)*(Items[In sprint]=1)*ISNUMBER(SEARCH(" "&amp;Items[ID]&amp;" "," "&amp;SUBSTITUTE(SUBSTITUTE(SUBSTITUTE(SUBSTITUTE(SUBSTITUTE(SUBSTITUTE(SUBSTITUTE(E90,","," "),"."," "),";"," "),":"," "),"("," "),")"," "),"/"," ")&amp;" "))))</f>
      </c>
      <c r="I90" s="17">
        <f>IF(F90="","",IF(OR(LOWER(TRIM(F90))={"none","no","nothing","n/a","na","-","nope","no blockers","none.","nil"}),"","Y"))</f>
      </c>
      <c r="J90" s="17">
        <f>IF(D90="","",IF(OR(ISNUMBER(SEARCH({"done","finished","completed","closed","merged"},D90))),IFERROR(INDEX(Items[ID],MATCH(1,INDEX((Items[ID]&lt;&gt;"")*(Items[State]&lt;&gt;"DONE")*ISNUMBER(SEARCH(" "&amp;Items[ID]&amp;" "," "&amp;SUBSTITUTE(SUBSTITUTE(SUBSTITUTE(SUBSTITUTE(SUBSTITUTE(SUBSTITUTE(SUBSTITUTE(D90,","," "),"."," "),";"," "),":"," "),"("," "),")"," "),"/"," ")&amp;" ")),0),0)),""),""))</f>
      </c>
      <c r="K90" s="20">
        <f>IF(A90="","",TRIM(IF(C90=0,"silent; ","")&amp;IF(AND(N(C90)&gt;0,D90=""),"no Y; ","")&amp;IF(AND(N(C90)&gt;0,E90=""),"no T; ","")&amp;IF(AND(N(C90)&gt;0,F90=""),"no B; ","")&amp;IF(AND(E90&lt;&gt;"",G90=0),"no task id in T; ","")&amp;IF(AND(G90&gt;0,H90=0),"T names no task of yours in this sprint; ","")&amp;IF(I90="Y","blocker: "&amp;F90&amp;"; ","")))</f>
      </c>
      <c r="L90" s="20">
        <f>IF(A90="","",IF(C90=0,"@"&amp;A90&amp;" please post Y: / T: / B: for today.",IF(TRIM(IF(AND(N(C90)&gt;0,D90=""),"no Y; ","")&amp;IF(AND(N(C90)&gt;0,E90=""),"no T; ","")&amp;IF(AND(N(C90)&gt;0,F90=""),"no B; ","")&amp;IF(AND(E90&lt;&gt;"",G90=0),"no task id in T; ","")&amp;IF(AND(G90&gt;0,H90=0),"T names no task of yours in this sprint; ",""))="","","@"&amp;A90&amp;" please fix: "&amp;TRIM(IF(AND(N(C90)&gt;0,D90=""),"no Y; ","")&amp;IF(AND(N(C90)&gt;0,E90=""),"no T; ","")&amp;IF(AND(N(C90)&gt;0,F90=""),"no B; ","")&amp;IF(AND(E90&lt;&gt;"",G90=0),"no task id in T; ","")&amp;IF(AND(G90&gt;0,H90=0),"T names no task of yours in this sprint; ","")))))</f>
      </c>
      <c r="M90" s="11">
        <f>IF(N90="","",StandupDate)</f>
      </c>
      <c r="N90" s="17">
        <f>IF(J90&lt;&gt;"",J90,IF(I90="Y",IF(IFERROR(INDEX(Items[ID],MATCH(1,INDEX((Items[ID]&lt;&gt;"")*ISNUMBER(SEARCH(" "&amp;Items[ID]&amp;" "," "&amp;SUBSTITUTE(SUBSTITUTE(SUBSTITUTE(SUBSTITUTE(SUBSTITUTE(SUBSTITUTE(SUBSTITUTE(F90,",","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"&amp;SUBSTITUTE(SUBSTITUTE(SUBSTITUTE(SUBSTITUTE(SUBSTITUTE(SUBSTITUTE(SUBSTITUTE(F90,","," "),"."," "),";"," "),":"," "),"("," "),")"," "),"/"," ")&amp;" ")),0),0)),""),IFERROR(INDEX(Items[ID],MATCH(1,INDEX((Items[ID]&lt;&gt;"")*(Items[Owner]=A90)*ISNUMBER(SEARCH(" "&amp;Items[ID]&amp;" "," "&amp;SUBSTITUTE(SUBSTITUTE(SUBSTITUTE(SUBSTITUTE(SUBSTITUTE(SUBSTITUTE(SUBSTITUTE(E90,","," "),"."," "),";"," "),":"," "),"("," "),")"," "),"/"," ")&amp;" ")),0),0)),"")),""))</f>
      </c>
      <c r="O90" s="17">
        <f>IF(N90="","",IF(J90&lt;&gt;"","done","block"))</f>
      </c>
      <c r="P90" s="17">
        <f>IF(O90="block",F90,"")</f>
      </c>
    </row>
    <row r="91">
      <c r="A91" s="17">
        <f>IFERROR(INDEX(Roster[Name],87)&amp;"","")</f>
      </c>
      <c r="B91" s="17">
        <f>IF(A91="","",INDEX(Roster[Team],87)&amp;"")</f>
      </c>
      <c r="C91" s="17">
        <f>IF(OR(A91="",COUNTA(ChatPaste)=0),"",COUNTIF(ChatSpeaker,A91))</f>
      </c>
      <c r="D91" s="20">
        <f>IF(A91="","",IFERROR(INDEX(ChatText,MATCH(1,INDEX((ChatSpeaker=A91)*(ChatTag="Y"),0),0)),""))</f>
      </c>
      <c r="E91" s="20">
        <f>IF(A91="","",IFERROR(INDEX(ChatText,MATCH(1,INDEX((ChatSpeaker=A91)*(ChatTag="T"),0),0)),""))</f>
      </c>
      <c r="F91" s="20">
        <f>IF(A91="","",IFERROR(INDEX(ChatText,MATCH(1,INDEX((ChatSpeaker=A91)*(ChatTag="B"),0),0)),""))</f>
      </c>
      <c r="G91" s="17">
        <f>IF(E91="",0,SUMPRODUCT((Items[ID]&lt;&gt;"")*ISNUMBER(SEARCH(" "&amp;Items[ID]&amp;" "," "&amp;SUBSTITUTE(SUBSTITUTE(SUBSTITUTE(SUBSTITUTE(SUBSTITUTE(SUBSTITUTE(SUBSTITUTE(E91,","," "),"."," "),";"," "),":"," "),"("," "),")"," "),"/"," ")&amp;" "))))</f>
      </c>
      <c r="H91" s="17">
        <f>IF(E91="",0,SUMPRODUCT((Items[ID]&lt;&gt;"")*(Items[Owner]=A91)*(Items[In sprint]=1)*ISNUMBER(SEARCH(" "&amp;Items[ID]&amp;" "," "&amp;SUBSTITUTE(SUBSTITUTE(SUBSTITUTE(SUBSTITUTE(SUBSTITUTE(SUBSTITUTE(SUBSTITUTE(E91,","," "),"."," "),";"," "),":"," "),"("," "),")"," "),"/"," ")&amp;" "))))</f>
      </c>
      <c r="I91" s="17">
        <f>IF(F91="","",IF(OR(LOWER(TRIM(F91))={"none","no","nothing","n/a","na","-","nope","no blockers","none.","nil"}),"","Y"))</f>
      </c>
      <c r="J91" s="17">
        <f>IF(D91="","",IF(OR(ISNUMBER(SEARCH({"done","finished","completed","closed","merged"},D91))),IFERROR(INDEX(Items[ID],MATCH(1,INDEX((Items[ID]&lt;&gt;"")*(Items[State]&lt;&gt;"DONE")*ISNUMBER(SEARCH(" "&amp;Items[ID]&amp;" "," "&amp;SUBSTITUTE(SUBSTITUTE(SUBSTITUTE(SUBSTITUTE(SUBSTITUTE(SUBSTITUTE(SUBSTITUTE(D91,","," "),"."," "),";"," "),":"," "),"("," "),")"," "),"/"," ")&amp;" ")),0),0)),""),""))</f>
      </c>
      <c r="K91" s="20">
        <f>IF(A91="","",TRIM(IF(C91=0,"silent; ","")&amp;IF(AND(N(C91)&gt;0,D91=""),"no Y; ","")&amp;IF(AND(N(C91)&gt;0,E91=""),"no T; ","")&amp;IF(AND(N(C91)&gt;0,F91=""),"no B; ","")&amp;IF(AND(E91&lt;&gt;"",G91=0),"no task id in T; ","")&amp;IF(AND(G91&gt;0,H91=0),"T names no task of yours in this sprint; ","")&amp;IF(I91="Y","blocker: "&amp;F91&amp;"; ","")))</f>
      </c>
      <c r="L91" s="20">
        <f>IF(A91="","",IF(C91=0,"@"&amp;A91&amp;" please post Y: / T: / B: for today.",IF(TRIM(IF(AND(N(C91)&gt;0,D91=""),"no Y; ","")&amp;IF(AND(N(C91)&gt;0,E91=""),"no T; ","")&amp;IF(AND(N(C91)&gt;0,F91=""),"no B; ","")&amp;IF(AND(E91&lt;&gt;"",G91=0),"no task id in T; ","")&amp;IF(AND(G91&gt;0,H91=0),"T names no task of yours in this sprint; ",""))="","","@"&amp;A91&amp;" please fix: "&amp;TRIM(IF(AND(N(C91)&gt;0,D91=""),"no Y; ","")&amp;IF(AND(N(C91)&gt;0,E91=""),"no T; ","")&amp;IF(AND(N(C91)&gt;0,F91=""),"no B; ","")&amp;IF(AND(E91&lt;&gt;"",G91=0),"no task id in T; ","")&amp;IF(AND(G91&gt;0,H91=0),"T names no task of yours in this sprint; ","")))))</f>
      </c>
      <c r="M91" s="11">
        <f>IF(N91="","",StandupDate)</f>
      </c>
      <c r="N91" s="17">
        <f>IF(J91&lt;&gt;"",J91,IF(I91="Y",IF(IFERROR(INDEX(Items[ID],MATCH(1,INDEX((Items[ID]&lt;&gt;"")*ISNUMBER(SEARCH(" "&amp;Items[ID]&amp;" "," "&amp;SUBSTITUTE(SUBSTITUTE(SUBSTITUTE(SUBSTITUTE(SUBSTITUTE(SUBSTITUTE(SUBSTITUTE(F91,",","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"&amp;SUBSTITUTE(SUBSTITUTE(SUBSTITUTE(SUBSTITUTE(SUBSTITUTE(SUBSTITUTE(SUBSTITUTE(F91,","," "),"."," "),";"," "),":"," "),"("," "),")"," "),"/"," ")&amp;" ")),0),0)),""),IFERROR(INDEX(Items[ID],MATCH(1,INDEX((Items[ID]&lt;&gt;"")*(Items[Owner]=A91)*ISNUMBER(SEARCH(" "&amp;Items[ID]&amp;" "," "&amp;SUBSTITUTE(SUBSTITUTE(SUBSTITUTE(SUBSTITUTE(SUBSTITUTE(SUBSTITUTE(SUBSTITUTE(E91,","," "),"."," "),";"," "),":"," "),"("," "),")"," "),"/"," ")&amp;" ")),0),0)),"")),""))</f>
      </c>
      <c r="O91" s="17">
        <f>IF(N91="","",IF(J91&lt;&gt;"","done","block"))</f>
      </c>
      <c r="P91" s="17">
        <f>IF(O91="block",F91,"")</f>
      </c>
    </row>
    <row r="92">
      <c r="A92" s="17">
        <f>IFERROR(INDEX(Roster[Name],88)&amp;"","")</f>
      </c>
      <c r="B92" s="17">
        <f>IF(A92="","",INDEX(Roster[Team],88)&amp;"")</f>
      </c>
      <c r="C92" s="17">
        <f>IF(OR(A92="",COUNTA(ChatPaste)=0),"",COUNTIF(ChatSpeaker,A92))</f>
      </c>
      <c r="D92" s="20">
        <f>IF(A92="","",IFERROR(INDEX(ChatText,MATCH(1,INDEX((ChatSpeaker=A92)*(ChatTag="Y"),0),0)),""))</f>
      </c>
      <c r="E92" s="20">
        <f>IF(A92="","",IFERROR(INDEX(ChatText,MATCH(1,INDEX((ChatSpeaker=A92)*(ChatTag="T"),0),0)),""))</f>
      </c>
      <c r="F92" s="20">
        <f>IF(A92="","",IFERROR(INDEX(ChatText,MATCH(1,INDEX((ChatSpeaker=A92)*(ChatTag="B"),0),0)),""))</f>
      </c>
      <c r="G92" s="17">
        <f>IF(E92="",0,SUMPRODUCT((Items[ID]&lt;&gt;"")*ISNUMBER(SEARCH(" "&amp;Items[ID]&amp;" "," "&amp;SUBSTITUTE(SUBSTITUTE(SUBSTITUTE(SUBSTITUTE(SUBSTITUTE(SUBSTITUTE(SUBSTITUTE(E92,","," "),"."," "),";"," "),":"," "),"("," "),")"," "),"/"," ")&amp;" "))))</f>
      </c>
      <c r="H92" s="17">
        <f>IF(E92="",0,SUMPRODUCT((Items[ID]&lt;&gt;"")*(Items[Owner]=A92)*(Items[In sprint]=1)*ISNUMBER(SEARCH(" "&amp;Items[ID]&amp;" "," "&amp;SUBSTITUTE(SUBSTITUTE(SUBSTITUTE(SUBSTITUTE(SUBSTITUTE(SUBSTITUTE(SUBSTITUTE(E92,","," "),"."," "),";"," "),":"," "),"("," "),")"," "),"/"," ")&amp;" "))))</f>
      </c>
      <c r="I92" s="17">
        <f>IF(F92="","",IF(OR(LOWER(TRIM(F92))={"none","no","nothing","n/a","na","-","nope","no blockers","none.","nil"}),"","Y"))</f>
      </c>
      <c r="J92" s="17">
        <f>IF(D92="","",IF(OR(ISNUMBER(SEARCH({"done","finished","completed","closed","merged"},D92))),IFERROR(INDEX(Items[ID],MATCH(1,INDEX((Items[ID]&lt;&gt;"")*(Items[State]&lt;&gt;"DONE")*ISNUMBER(SEARCH(" "&amp;Items[ID]&amp;" "," "&amp;SUBSTITUTE(SUBSTITUTE(SUBSTITUTE(SUBSTITUTE(SUBSTITUTE(SUBSTITUTE(SUBSTITUTE(D92,","," "),"."," "),";"," "),":"," "),"("," "),")"," "),"/"," ")&amp;" ")),0),0)),""),""))</f>
      </c>
      <c r="K92" s="20">
        <f>IF(A92="","",TRIM(IF(C92=0,"silent; ","")&amp;IF(AND(N(C92)&gt;0,D92=""),"no Y; ","")&amp;IF(AND(N(C92)&gt;0,E92=""),"no T; ","")&amp;IF(AND(N(C92)&gt;0,F92=""),"no B; ","")&amp;IF(AND(E92&lt;&gt;"",G92=0),"no task id in T; ","")&amp;IF(AND(G92&gt;0,H92=0),"T names no task of yours in this sprint; ","")&amp;IF(I92="Y","blocker: "&amp;F92&amp;"; ","")))</f>
      </c>
      <c r="L92" s="20">
        <f>IF(A92="","",IF(C92=0,"@"&amp;A92&amp;" please post Y: / T: / B: for today.",IF(TRIM(IF(AND(N(C92)&gt;0,D92=""),"no Y; ","")&amp;IF(AND(N(C92)&gt;0,E92=""),"no T; ","")&amp;IF(AND(N(C92)&gt;0,F92=""),"no B; ","")&amp;IF(AND(E92&lt;&gt;"",G92=0),"no task id in T; ","")&amp;IF(AND(G92&gt;0,H92=0),"T names no task of yours in this sprint; ",""))="","","@"&amp;A92&amp;" please fix: "&amp;TRIM(IF(AND(N(C92)&gt;0,D92=""),"no Y; ","")&amp;IF(AND(N(C92)&gt;0,E92=""),"no T; ","")&amp;IF(AND(N(C92)&gt;0,F92=""),"no B; ","")&amp;IF(AND(E92&lt;&gt;"",G92=0),"no task id in T; ","")&amp;IF(AND(G92&gt;0,H92=0),"T names no task of yours in this sprint; ","")))))</f>
      </c>
      <c r="M92" s="11">
        <f>IF(N92="","",StandupDate)</f>
      </c>
      <c r="N92" s="17">
        <f>IF(J92&lt;&gt;"",J92,IF(I92="Y",IF(IFERROR(INDEX(Items[ID],MATCH(1,INDEX((Items[ID]&lt;&gt;"")*ISNUMBER(SEARCH(" "&amp;Items[ID]&amp;" "," "&amp;SUBSTITUTE(SUBSTITUTE(SUBSTITUTE(SUBSTITUTE(SUBSTITUTE(SUBSTITUTE(SUBSTITUTE(F92,",","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"&amp;SUBSTITUTE(SUBSTITUTE(SUBSTITUTE(SUBSTITUTE(SUBSTITUTE(SUBSTITUTE(SUBSTITUTE(F92,","," "),"."," "),";"," "),":"," "),"("," "),")"," "),"/"," ")&amp;" ")),0),0)),""),IFERROR(INDEX(Items[ID],MATCH(1,INDEX((Items[ID]&lt;&gt;"")*(Items[Owner]=A92)*ISNUMBER(SEARCH(" "&amp;Items[ID]&amp;" "," "&amp;SUBSTITUTE(SUBSTITUTE(SUBSTITUTE(SUBSTITUTE(SUBSTITUTE(SUBSTITUTE(SUBSTITUTE(E92,","," "),"."," "),";"," "),":"," "),"("," "),")"," "),"/"," ")&amp;" ")),0),0)),"")),""))</f>
      </c>
      <c r="O92" s="17">
        <f>IF(N92="","",IF(J92&lt;&gt;"","done","block"))</f>
      </c>
      <c r="P92" s="17">
        <f>IF(O92="block",F92,"")</f>
      </c>
    </row>
    <row r="93">
      <c r="A93" s="17">
        <f>IFERROR(INDEX(Roster[Name],89)&amp;"","")</f>
      </c>
      <c r="B93" s="17">
        <f>IF(A93="","",INDEX(Roster[Team],89)&amp;"")</f>
      </c>
      <c r="C93" s="17">
        <f>IF(OR(A93="",COUNTA(ChatPaste)=0),"",COUNTIF(ChatSpeaker,A93))</f>
      </c>
      <c r="D93" s="20">
        <f>IF(A93="","",IFERROR(INDEX(ChatText,MATCH(1,INDEX((ChatSpeaker=A93)*(ChatTag="Y"),0),0)),""))</f>
      </c>
      <c r="E93" s="20">
        <f>IF(A93="","",IFERROR(INDEX(ChatText,MATCH(1,INDEX((ChatSpeaker=A93)*(ChatTag="T"),0),0)),""))</f>
      </c>
      <c r="F93" s="20">
        <f>IF(A93="","",IFERROR(INDEX(ChatText,MATCH(1,INDEX((ChatSpeaker=A93)*(ChatTag="B"),0),0)),""))</f>
      </c>
      <c r="G93" s="17">
        <f>IF(E93="",0,SUMPRODUCT((Items[ID]&lt;&gt;"")*ISNUMBER(SEARCH(" "&amp;Items[ID]&amp;" "," "&amp;SUBSTITUTE(SUBSTITUTE(SUBSTITUTE(SUBSTITUTE(SUBSTITUTE(SUBSTITUTE(SUBSTITUTE(E93,","," "),"."," "),";"," "),":"," "),"("," "),")"," "),"/"," ")&amp;" "))))</f>
      </c>
      <c r="H93" s="17">
        <f>IF(E93="",0,SUMPRODUCT((Items[ID]&lt;&gt;"")*(Items[Owner]=A93)*(Items[In sprint]=1)*ISNUMBER(SEARCH(" "&amp;Items[ID]&amp;" "," "&amp;SUBSTITUTE(SUBSTITUTE(SUBSTITUTE(SUBSTITUTE(SUBSTITUTE(SUBSTITUTE(SUBSTITUTE(E93,","," "),"."," "),";"," "),":"," "),"("," "),")"," "),"/"," ")&amp;" "))))</f>
      </c>
      <c r="I93" s="17">
        <f>IF(F93="","",IF(OR(LOWER(TRIM(F93))={"none","no","nothing","n/a","na","-","nope","no blockers","none.","nil"}),"","Y"))</f>
      </c>
      <c r="J93" s="17">
        <f>IF(D93="","",IF(OR(ISNUMBER(SEARCH({"done","finished","completed","closed","merged"},D93))),IFERROR(INDEX(Items[ID],MATCH(1,INDEX((Items[ID]&lt;&gt;"")*(Items[State]&lt;&gt;"DONE")*ISNUMBER(SEARCH(" "&amp;Items[ID]&amp;" "," "&amp;SUBSTITUTE(SUBSTITUTE(SUBSTITUTE(SUBSTITUTE(SUBSTITUTE(SUBSTITUTE(SUBSTITUTE(D93,","," "),"."," "),";"," "),":"," "),"("," "),")"," "),"/"," ")&amp;" ")),0),0)),""),""))</f>
      </c>
      <c r="K93" s="20">
        <f>IF(A93="","",TRIM(IF(C93=0,"silent; ","")&amp;IF(AND(N(C93)&gt;0,D93=""),"no Y; ","")&amp;IF(AND(N(C93)&gt;0,E93=""),"no T; ","")&amp;IF(AND(N(C93)&gt;0,F93=""),"no B; ","")&amp;IF(AND(E93&lt;&gt;"",G93=0),"no task id in T; ","")&amp;IF(AND(G93&gt;0,H93=0),"T names no task of yours in this sprint; ","")&amp;IF(I93="Y","blocker: "&amp;F93&amp;"; ","")))</f>
      </c>
      <c r="L93" s="20">
        <f>IF(A93="","",IF(C93=0,"@"&amp;A93&amp;" please post Y: / T: / B: for today.",IF(TRIM(IF(AND(N(C93)&gt;0,D93=""),"no Y; ","")&amp;IF(AND(N(C93)&gt;0,E93=""),"no T; ","")&amp;IF(AND(N(C93)&gt;0,F93=""),"no B; ","")&amp;IF(AND(E93&lt;&gt;"",G93=0),"no task id in T; ","")&amp;IF(AND(G93&gt;0,H93=0),"T names no task of yours in this sprint; ",""))="","","@"&amp;A93&amp;" please fix: "&amp;TRIM(IF(AND(N(C93)&gt;0,D93=""),"no Y; ","")&amp;IF(AND(N(C93)&gt;0,E93=""),"no T; ","")&amp;IF(AND(N(C93)&gt;0,F93=""),"no B; ","")&amp;IF(AND(E93&lt;&gt;"",G93=0),"no task id in T; ","")&amp;IF(AND(G93&gt;0,H93=0),"T names no task of yours in this sprint; ","")))))</f>
      </c>
      <c r="M93" s="11">
        <f>IF(N93="","",StandupDate)</f>
      </c>
      <c r="N93" s="17">
        <f>IF(J93&lt;&gt;"",J93,IF(I93="Y",IF(IFERROR(INDEX(Items[ID],MATCH(1,INDEX((Items[ID]&lt;&gt;"")*ISNUMBER(SEARCH(" "&amp;Items[ID]&amp;" "," "&amp;SUBSTITUTE(SUBSTITUTE(SUBSTITUTE(SUBSTITUTE(SUBSTITUTE(SUBSTITUTE(SUBSTITUTE(F93,",","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"&amp;SUBSTITUTE(SUBSTITUTE(SUBSTITUTE(SUBSTITUTE(SUBSTITUTE(SUBSTITUTE(SUBSTITUTE(F93,","," "),"."," "),";"," "),":"," "),"("," "),")"," "),"/"," ")&amp;" ")),0),0)),""),IFERROR(INDEX(Items[ID],MATCH(1,INDEX((Items[ID]&lt;&gt;"")*(Items[Owner]=A93)*ISNUMBER(SEARCH(" "&amp;Items[ID]&amp;" "," "&amp;SUBSTITUTE(SUBSTITUTE(SUBSTITUTE(SUBSTITUTE(SUBSTITUTE(SUBSTITUTE(SUBSTITUTE(E93,","," "),"."," "),";"," "),":"," "),"("," "),")"," "),"/"," ")&amp;" ")),0),0)),"")),""))</f>
      </c>
      <c r="O93" s="17">
        <f>IF(N93="","",IF(J93&lt;&gt;"","done","block"))</f>
      </c>
      <c r="P93" s="17">
        <f>IF(O93="block",F93,"")</f>
      </c>
    </row>
    <row r="94">
      <c r="A94" s="17">
        <f>IFERROR(INDEX(Roster[Name],90)&amp;"","")</f>
      </c>
      <c r="B94" s="17">
        <f>IF(A94="","",INDEX(Roster[Team],90)&amp;"")</f>
      </c>
      <c r="C94" s="17">
        <f>IF(OR(A94="",COUNTA(ChatPaste)=0),"",COUNTIF(ChatSpeaker,A94))</f>
      </c>
      <c r="D94" s="20">
        <f>IF(A94="","",IFERROR(INDEX(ChatText,MATCH(1,INDEX((ChatSpeaker=A94)*(ChatTag="Y"),0),0)),""))</f>
      </c>
      <c r="E94" s="20">
        <f>IF(A94="","",IFERROR(INDEX(ChatText,MATCH(1,INDEX((ChatSpeaker=A94)*(ChatTag="T"),0),0)),""))</f>
      </c>
      <c r="F94" s="20">
        <f>IF(A94="","",IFERROR(INDEX(ChatText,MATCH(1,INDEX((ChatSpeaker=A94)*(ChatTag="B"),0),0)),""))</f>
      </c>
      <c r="G94" s="17">
        <f>IF(E94="",0,SUMPRODUCT((Items[ID]&lt;&gt;"")*ISNUMBER(SEARCH(" "&amp;Items[ID]&amp;" "," "&amp;SUBSTITUTE(SUBSTITUTE(SUBSTITUTE(SUBSTITUTE(SUBSTITUTE(SUBSTITUTE(SUBSTITUTE(E94,","," "),"."," "),";"," "),":"," "),"("," "),")"," "),"/"," ")&amp;" "))))</f>
      </c>
      <c r="H94" s="17">
        <f>IF(E94="",0,SUMPRODUCT((Items[ID]&lt;&gt;"")*(Items[Owner]=A94)*(Items[In sprint]=1)*ISNUMBER(SEARCH(" "&amp;Items[ID]&amp;" "," "&amp;SUBSTITUTE(SUBSTITUTE(SUBSTITUTE(SUBSTITUTE(SUBSTITUTE(SUBSTITUTE(SUBSTITUTE(E94,","," "),"."," "),";"," "),":"," "),"("," "),")"," "),"/"," ")&amp;" "))))</f>
      </c>
      <c r="I94" s="17">
        <f>IF(F94="","",IF(OR(LOWER(TRIM(F94))={"none","no","nothing","n/a","na","-","nope","no blockers","none.","nil"}),"","Y"))</f>
      </c>
      <c r="J94" s="17">
        <f>IF(D94="","",IF(OR(ISNUMBER(SEARCH({"done","finished","completed","closed","merged"},D94))),IFERROR(INDEX(Items[ID],MATCH(1,INDEX((Items[ID]&lt;&gt;"")*(Items[State]&lt;&gt;"DONE")*ISNUMBER(SEARCH(" "&amp;Items[ID]&amp;" "," "&amp;SUBSTITUTE(SUBSTITUTE(SUBSTITUTE(SUBSTITUTE(SUBSTITUTE(SUBSTITUTE(SUBSTITUTE(D94,","," "),"."," "),";"," "),":"," "),"("," "),")"," "),"/"," ")&amp;" ")),0),0)),""),""))</f>
      </c>
      <c r="K94" s="20">
        <f>IF(A94="","",TRIM(IF(C94=0,"silent; ","")&amp;IF(AND(N(C94)&gt;0,D94=""),"no Y; ","")&amp;IF(AND(N(C94)&gt;0,E94=""),"no T; ","")&amp;IF(AND(N(C94)&gt;0,F94=""),"no B; ","")&amp;IF(AND(E94&lt;&gt;"",G94=0),"no task id in T; ","")&amp;IF(AND(G94&gt;0,H94=0),"T names no task of yours in this sprint; ","")&amp;IF(I94="Y","blocker: "&amp;F94&amp;"; ","")))</f>
      </c>
      <c r="L94" s="20">
        <f>IF(A94="","",IF(C94=0,"@"&amp;A94&amp;" please post Y: / T: / B: for today.",IF(TRIM(IF(AND(N(C94)&gt;0,D94=""),"no Y; ","")&amp;IF(AND(N(C94)&gt;0,E94=""),"no T; ","")&amp;IF(AND(N(C94)&gt;0,F94=""),"no B; ","")&amp;IF(AND(E94&lt;&gt;"",G94=0),"no task id in T; ","")&amp;IF(AND(G94&gt;0,H94=0),"T names no task of yours in this sprint; ",""))="","","@"&amp;A94&amp;" please fix: "&amp;TRIM(IF(AND(N(C94)&gt;0,D94=""),"no Y; ","")&amp;IF(AND(N(C94)&gt;0,E94=""),"no T; ","")&amp;IF(AND(N(C94)&gt;0,F94=""),"no B; ","")&amp;IF(AND(E94&lt;&gt;"",G94=0),"no task id in T; ","")&amp;IF(AND(G94&gt;0,H94=0),"T names no task of yours in this sprint; ","")))))</f>
      </c>
      <c r="M94" s="11">
        <f>IF(N94="","",StandupDate)</f>
      </c>
      <c r="N94" s="17">
        <f>IF(J94&lt;&gt;"",J94,IF(I94="Y",IF(IFERROR(INDEX(Items[ID],MATCH(1,INDEX((Items[ID]&lt;&gt;"")*ISNUMBER(SEARCH(" "&amp;Items[ID]&amp;" "," "&amp;SUBSTITUTE(SUBSTITUTE(SUBSTITUTE(SUBSTITUTE(SUBSTITUTE(SUBSTITUTE(SUBSTITUTE(F94,",","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"&amp;SUBSTITUTE(SUBSTITUTE(SUBSTITUTE(SUBSTITUTE(SUBSTITUTE(SUBSTITUTE(SUBSTITUTE(F94,","," "),"."," "),";"," "),":"," "),"("," "),")"," "),"/"," ")&amp;" ")),0),0)),""),IFERROR(INDEX(Items[ID],MATCH(1,INDEX((Items[ID]&lt;&gt;"")*(Items[Owner]=A94)*ISNUMBER(SEARCH(" "&amp;Items[ID]&amp;" "," "&amp;SUBSTITUTE(SUBSTITUTE(SUBSTITUTE(SUBSTITUTE(SUBSTITUTE(SUBSTITUTE(SUBSTITUTE(E94,","," "),"."," "),";"," "),":"," "),"("," "),")"," "),"/"," ")&amp;" ")),0),0)),"")),""))</f>
      </c>
      <c r="O94" s="17">
        <f>IF(N94="","",IF(J94&lt;&gt;"","done","block"))</f>
      </c>
      <c r="P94" s="17">
        <f>IF(O94="block",F94,"")</f>
      </c>
    </row>
    <row r="95">
      <c r="A95" s="17">
        <f>IFERROR(INDEX(Roster[Name],91)&amp;"","")</f>
      </c>
      <c r="B95" s="17">
        <f>IF(A95="","",INDEX(Roster[Team],91)&amp;"")</f>
      </c>
      <c r="C95" s="17">
        <f>IF(OR(A95="",COUNTA(ChatPaste)=0),"",COUNTIF(ChatSpeaker,A95))</f>
      </c>
      <c r="D95" s="20">
        <f>IF(A95="","",IFERROR(INDEX(ChatText,MATCH(1,INDEX((ChatSpeaker=A95)*(ChatTag="Y"),0),0)),""))</f>
      </c>
      <c r="E95" s="20">
        <f>IF(A95="","",IFERROR(INDEX(ChatText,MATCH(1,INDEX((ChatSpeaker=A95)*(ChatTag="T"),0),0)),""))</f>
      </c>
      <c r="F95" s="20">
        <f>IF(A95="","",IFERROR(INDEX(ChatText,MATCH(1,INDEX((ChatSpeaker=A95)*(ChatTag="B"),0),0)),""))</f>
      </c>
      <c r="G95" s="17">
        <f>IF(E95="",0,SUMPRODUCT((Items[ID]&lt;&gt;"")*ISNUMBER(SEARCH(" "&amp;Items[ID]&amp;" "," "&amp;SUBSTITUTE(SUBSTITUTE(SUBSTITUTE(SUBSTITUTE(SUBSTITUTE(SUBSTITUTE(SUBSTITUTE(E95,","," "),"."," "),";"," "),":"," "),"("," "),")"," "),"/"," ")&amp;" "))))</f>
      </c>
      <c r="H95" s="17">
        <f>IF(E95="",0,SUMPRODUCT((Items[ID]&lt;&gt;"")*(Items[Owner]=A95)*(Items[In sprint]=1)*ISNUMBER(SEARCH(" "&amp;Items[ID]&amp;" "," "&amp;SUBSTITUTE(SUBSTITUTE(SUBSTITUTE(SUBSTITUTE(SUBSTITUTE(SUBSTITUTE(SUBSTITUTE(E95,","," "),"."," "),";"," "),":"," "),"("," "),")"," "),"/"," ")&amp;" "))))</f>
      </c>
      <c r="I95" s="17">
        <f>IF(F95="","",IF(OR(LOWER(TRIM(F95))={"none","no","nothing","n/a","na","-","nope","no blockers","none.","nil"}),"","Y"))</f>
      </c>
      <c r="J95" s="17">
        <f>IF(D95="","",IF(OR(ISNUMBER(SEARCH({"done","finished","completed","closed","merged"},D95))),IFERROR(INDEX(Items[ID],MATCH(1,INDEX((Items[ID]&lt;&gt;"")*(Items[State]&lt;&gt;"DONE")*ISNUMBER(SEARCH(" "&amp;Items[ID]&amp;" "," "&amp;SUBSTITUTE(SUBSTITUTE(SUBSTITUTE(SUBSTITUTE(SUBSTITUTE(SUBSTITUTE(SUBSTITUTE(D95,","," "),"."," "),";"," "),":"," "),"("," "),")"," "),"/"," ")&amp;" ")),0),0)),""),""))</f>
      </c>
      <c r="K95" s="20">
        <f>IF(A95="","",TRIM(IF(C95=0,"silent; ","")&amp;IF(AND(N(C95)&gt;0,D95=""),"no Y; ","")&amp;IF(AND(N(C95)&gt;0,E95=""),"no T; ","")&amp;IF(AND(N(C95)&gt;0,F95=""),"no B; ","")&amp;IF(AND(E95&lt;&gt;"",G95=0),"no task id in T; ","")&amp;IF(AND(G95&gt;0,H95=0),"T names no task of yours in this sprint; ","")&amp;IF(I95="Y","blocker: "&amp;F95&amp;"; ","")))</f>
      </c>
      <c r="L95" s="20">
        <f>IF(A95="","",IF(C95=0,"@"&amp;A95&amp;" please post Y: / T: / B: for today.",IF(TRIM(IF(AND(N(C95)&gt;0,D95=""),"no Y; ","")&amp;IF(AND(N(C95)&gt;0,E95=""),"no T; ","")&amp;IF(AND(N(C95)&gt;0,F95=""),"no B; ","")&amp;IF(AND(E95&lt;&gt;"",G95=0),"no task id in T; ","")&amp;IF(AND(G95&gt;0,H95=0),"T names no task of yours in this sprint; ",""))="","","@"&amp;A95&amp;" please fix: "&amp;TRIM(IF(AND(N(C95)&gt;0,D95=""),"no Y; ","")&amp;IF(AND(N(C95)&gt;0,E95=""),"no T; ","")&amp;IF(AND(N(C95)&gt;0,F95=""),"no B; ","")&amp;IF(AND(E95&lt;&gt;"",G95=0),"no task id in T; ","")&amp;IF(AND(G95&gt;0,H95=0),"T names no task of yours in this sprint; ","")))))</f>
      </c>
      <c r="M95" s="11">
        <f>IF(N95="","",StandupDate)</f>
      </c>
      <c r="N95" s="17">
        <f>IF(J95&lt;&gt;"",J95,IF(I95="Y",IF(IFERROR(INDEX(Items[ID],MATCH(1,INDEX((Items[ID]&lt;&gt;"")*ISNUMBER(SEARCH(" "&amp;Items[ID]&amp;" "," "&amp;SUBSTITUTE(SUBSTITUTE(SUBSTITUTE(SUBSTITUTE(SUBSTITUTE(SUBSTITUTE(SUBSTITUTE(F95,",","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"&amp;SUBSTITUTE(SUBSTITUTE(SUBSTITUTE(SUBSTITUTE(SUBSTITUTE(SUBSTITUTE(SUBSTITUTE(F95,","," "),"."," "),";"," "),":"," "),"("," "),")"," "),"/"," ")&amp;" ")),0),0)),""),IFERROR(INDEX(Items[ID],MATCH(1,INDEX((Items[ID]&lt;&gt;"")*(Items[Owner]=A95)*ISNUMBER(SEARCH(" "&amp;Items[ID]&amp;" "," "&amp;SUBSTITUTE(SUBSTITUTE(SUBSTITUTE(SUBSTITUTE(SUBSTITUTE(SUBSTITUTE(SUBSTITUTE(E95,","," "),"."," "),";"," "),":"," "),"("," "),")"," "),"/"," ")&amp;" ")),0),0)),"")),""))</f>
      </c>
      <c r="O95" s="17">
        <f>IF(N95="","",IF(J95&lt;&gt;"","done","block"))</f>
      </c>
      <c r="P95" s="17">
        <f>IF(O95="block",F95,"")</f>
      </c>
    </row>
    <row r="96">
      <c r="A96" s="17">
        <f>IFERROR(INDEX(Roster[Name],92)&amp;"","")</f>
      </c>
      <c r="B96" s="17">
        <f>IF(A96="","",INDEX(Roster[Team],92)&amp;"")</f>
      </c>
      <c r="C96" s="17">
        <f>IF(OR(A96="",COUNTA(ChatPaste)=0),"",COUNTIF(ChatSpeaker,A96))</f>
      </c>
      <c r="D96" s="20">
        <f>IF(A96="","",IFERROR(INDEX(ChatText,MATCH(1,INDEX((ChatSpeaker=A96)*(ChatTag="Y"),0),0)),""))</f>
      </c>
      <c r="E96" s="20">
        <f>IF(A96="","",IFERROR(INDEX(ChatText,MATCH(1,INDEX((ChatSpeaker=A96)*(ChatTag="T"),0),0)),""))</f>
      </c>
      <c r="F96" s="20">
        <f>IF(A96="","",IFERROR(INDEX(ChatText,MATCH(1,INDEX((ChatSpeaker=A96)*(ChatTag="B"),0),0)),""))</f>
      </c>
      <c r="G96" s="17">
        <f>IF(E96="",0,SUMPRODUCT((Items[ID]&lt;&gt;"")*ISNUMBER(SEARCH(" "&amp;Items[ID]&amp;" "," "&amp;SUBSTITUTE(SUBSTITUTE(SUBSTITUTE(SUBSTITUTE(SUBSTITUTE(SUBSTITUTE(SUBSTITUTE(E96,","," "),"."," "),";"," "),":"," "),"("," "),")"," "),"/"," ")&amp;" "))))</f>
      </c>
      <c r="H96" s="17">
        <f>IF(E96="",0,SUMPRODUCT((Items[ID]&lt;&gt;"")*(Items[Owner]=A96)*(Items[In sprint]=1)*ISNUMBER(SEARCH(" "&amp;Items[ID]&amp;" "," "&amp;SUBSTITUTE(SUBSTITUTE(SUBSTITUTE(SUBSTITUTE(SUBSTITUTE(SUBSTITUTE(SUBSTITUTE(E96,","," "),"."," "),";"," "),":"," "),"("," "),")"," "),"/"," ")&amp;" "))))</f>
      </c>
      <c r="I96" s="17">
        <f>IF(F96="","",IF(OR(LOWER(TRIM(F96))={"none","no","nothing","n/a","na","-","nope","no blockers","none.","nil"}),"","Y"))</f>
      </c>
      <c r="J96" s="17">
        <f>IF(D96="","",IF(OR(ISNUMBER(SEARCH({"done","finished","completed","closed","merged"},D96))),IFERROR(INDEX(Items[ID],MATCH(1,INDEX((Items[ID]&lt;&gt;"")*(Items[State]&lt;&gt;"DONE")*ISNUMBER(SEARCH(" "&amp;Items[ID]&amp;" "," "&amp;SUBSTITUTE(SUBSTITUTE(SUBSTITUTE(SUBSTITUTE(SUBSTITUTE(SUBSTITUTE(SUBSTITUTE(D96,","," "),"."," "),";"," "),":"," "),"("," "),")"," "),"/"," ")&amp;" ")),0),0)),""),""))</f>
      </c>
      <c r="K96" s="20">
        <f>IF(A96="","",TRIM(IF(C96=0,"silent; ","")&amp;IF(AND(N(C96)&gt;0,D96=""),"no Y; ","")&amp;IF(AND(N(C96)&gt;0,E96=""),"no T; ","")&amp;IF(AND(N(C96)&gt;0,F96=""),"no B; ","")&amp;IF(AND(E96&lt;&gt;"",G96=0),"no task id in T; ","")&amp;IF(AND(G96&gt;0,H96=0),"T names no task of yours in this sprint; ","")&amp;IF(I96="Y","blocker: "&amp;F96&amp;"; ","")))</f>
      </c>
      <c r="L96" s="20">
        <f>IF(A96="","",IF(C96=0,"@"&amp;A96&amp;" please post Y: / T: / B: for today.",IF(TRIM(IF(AND(N(C96)&gt;0,D96=""),"no Y; ","")&amp;IF(AND(N(C96)&gt;0,E96=""),"no T; ","")&amp;IF(AND(N(C96)&gt;0,F96=""),"no B; ","")&amp;IF(AND(E96&lt;&gt;"",G96=0),"no task id in T; ","")&amp;IF(AND(G96&gt;0,H96=0),"T names no task of yours in this sprint; ",""))="","","@"&amp;A96&amp;" please fix: "&amp;TRIM(IF(AND(N(C96)&gt;0,D96=""),"no Y; ","")&amp;IF(AND(N(C96)&gt;0,E96=""),"no T; ","")&amp;IF(AND(N(C96)&gt;0,F96=""),"no B; ","")&amp;IF(AND(E96&lt;&gt;"",G96=0),"no task id in T; ","")&amp;IF(AND(G96&gt;0,H96=0),"T names no task of yours in this sprint; ","")))))</f>
      </c>
      <c r="M96" s="11">
        <f>IF(N96="","",StandupDate)</f>
      </c>
      <c r="N96" s="17">
        <f>IF(J96&lt;&gt;"",J96,IF(I96="Y",IF(IFERROR(INDEX(Items[ID],MATCH(1,INDEX((Items[ID]&lt;&gt;"")*ISNUMBER(SEARCH(" "&amp;Items[ID]&amp;" "," "&amp;SUBSTITUTE(SUBSTITUTE(SUBSTITUTE(SUBSTITUTE(SUBSTITUTE(SUBSTITUTE(SUBSTITUTE(F96,",","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"&amp;SUBSTITUTE(SUBSTITUTE(SUBSTITUTE(SUBSTITUTE(SUBSTITUTE(SUBSTITUTE(SUBSTITUTE(F96,","," "),"."," "),";"," "),":"," "),"("," "),")"," "),"/"," ")&amp;" ")),0),0)),""),IFERROR(INDEX(Items[ID],MATCH(1,INDEX((Items[ID]&lt;&gt;"")*(Items[Owner]=A96)*ISNUMBER(SEARCH(" "&amp;Items[ID]&amp;" "," "&amp;SUBSTITUTE(SUBSTITUTE(SUBSTITUTE(SUBSTITUTE(SUBSTITUTE(SUBSTITUTE(SUBSTITUTE(E96,","," "),"."," "),";"," "),":"," "),"("," "),")"," "),"/"," ")&amp;" ")),0),0)),"")),""))</f>
      </c>
      <c r="O96" s="17">
        <f>IF(N96="","",IF(J96&lt;&gt;"","done","block"))</f>
      </c>
      <c r="P96" s="17">
        <f>IF(O96="block",F96,"")</f>
      </c>
    </row>
    <row r="97">
      <c r="A97" s="17">
        <f>IFERROR(INDEX(Roster[Name],93)&amp;"","")</f>
      </c>
      <c r="B97" s="17">
        <f>IF(A97="","",INDEX(Roster[Team],93)&amp;"")</f>
      </c>
      <c r="C97" s="17">
        <f>IF(OR(A97="",COUNTA(ChatPaste)=0),"",COUNTIF(ChatSpeaker,A97))</f>
      </c>
      <c r="D97" s="20">
        <f>IF(A97="","",IFERROR(INDEX(ChatText,MATCH(1,INDEX((ChatSpeaker=A97)*(ChatTag="Y"),0),0)),""))</f>
      </c>
      <c r="E97" s="20">
        <f>IF(A97="","",IFERROR(INDEX(ChatText,MATCH(1,INDEX((ChatSpeaker=A97)*(ChatTag="T"),0),0)),""))</f>
      </c>
      <c r="F97" s="20">
        <f>IF(A97="","",IFERROR(INDEX(ChatText,MATCH(1,INDEX((ChatSpeaker=A97)*(ChatTag="B"),0),0)),""))</f>
      </c>
      <c r="G97" s="17">
        <f>IF(E97="",0,SUMPRODUCT((Items[ID]&lt;&gt;"")*ISNUMBER(SEARCH(" "&amp;Items[ID]&amp;" "," "&amp;SUBSTITUTE(SUBSTITUTE(SUBSTITUTE(SUBSTITUTE(SUBSTITUTE(SUBSTITUTE(SUBSTITUTE(E97,","," "),"."," "),";"," "),":"," "),"("," "),")"," "),"/"," ")&amp;" "))))</f>
      </c>
      <c r="H97" s="17">
        <f>IF(E97="",0,SUMPRODUCT((Items[ID]&lt;&gt;"")*(Items[Owner]=A97)*(Items[In sprint]=1)*ISNUMBER(SEARCH(" "&amp;Items[ID]&amp;" "," "&amp;SUBSTITUTE(SUBSTITUTE(SUBSTITUTE(SUBSTITUTE(SUBSTITUTE(SUBSTITUTE(SUBSTITUTE(E97,","," "),"."," "),";"," "),":"," "),"("," "),")"," "),"/"," ")&amp;" "))))</f>
      </c>
      <c r="I97" s="17">
        <f>IF(F97="","",IF(OR(LOWER(TRIM(F97))={"none","no","nothing","n/a","na","-","nope","no blockers","none.","nil"}),"","Y"))</f>
      </c>
      <c r="J97" s="17">
        <f>IF(D97="","",IF(OR(ISNUMBER(SEARCH({"done","finished","completed","closed","merged"},D97))),IFERROR(INDEX(Items[ID],MATCH(1,INDEX((Items[ID]&lt;&gt;"")*(Items[State]&lt;&gt;"DONE")*ISNUMBER(SEARCH(" "&amp;Items[ID]&amp;" "," "&amp;SUBSTITUTE(SUBSTITUTE(SUBSTITUTE(SUBSTITUTE(SUBSTITUTE(SUBSTITUTE(SUBSTITUTE(D97,","," "),"."," "),";"," "),":"," "),"("," "),")"," "),"/"," ")&amp;" ")),0),0)),""),""))</f>
      </c>
      <c r="K97" s="20">
        <f>IF(A97="","",TRIM(IF(C97=0,"silent; ","")&amp;IF(AND(N(C97)&gt;0,D97=""),"no Y; ","")&amp;IF(AND(N(C97)&gt;0,E97=""),"no T; ","")&amp;IF(AND(N(C97)&gt;0,F97=""),"no B; ","")&amp;IF(AND(E97&lt;&gt;"",G97=0),"no task id in T; ","")&amp;IF(AND(G97&gt;0,H97=0),"T names no task of yours in this sprint; ","")&amp;IF(I97="Y","blocker: "&amp;F97&amp;"; ","")))</f>
      </c>
      <c r="L97" s="20">
        <f>IF(A97="","",IF(C97=0,"@"&amp;A97&amp;" please post Y: / T: / B: for today.",IF(TRIM(IF(AND(N(C97)&gt;0,D97=""),"no Y; ","")&amp;IF(AND(N(C97)&gt;0,E97=""),"no T; ","")&amp;IF(AND(N(C97)&gt;0,F97=""),"no B; ","")&amp;IF(AND(E97&lt;&gt;"",G97=0),"no task id in T; ","")&amp;IF(AND(G97&gt;0,H97=0),"T names no task of yours in this sprint; ",""))="","","@"&amp;A97&amp;" please fix: "&amp;TRIM(IF(AND(N(C97)&gt;0,D97=""),"no Y; ","")&amp;IF(AND(N(C97)&gt;0,E97=""),"no T; ","")&amp;IF(AND(N(C97)&gt;0,F97=""),"no B; ","")&amp;IF(AND(E97&lt;&gt;"",G97=0),"no task id in T; ","")&amp;IF(AND(G97&gt;0,H97=0),"T names no task of yours in this sprint; ","")))))</f>
      </c>
      <c r="M97" s="11">
        <f>IF(N97="","",StandupDate)</f>
      </c>
      <c r="N97" s="17">
        <f>IF(J97&lt;&gt;"",J97,IF(I97="Y",IF(IFERROR(INDEX(Items[ID],MATCH(1,INDEX((Items[ID]&lt;&gt;"")*ISNUMBER(SEARCH(" "&amp;Items[ID]&amp;" "," "&amp;SUBSTITUTE(SUBSTITUTE(SUBSTITUTE(SUBSTITUTE(SUBSTITUTE(SUBSTITUTE(SUBSTITUTE(F97,",","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"&amp;SUBSTITUTE(SUBSTITUTE(SUBSTITUTE(SUBSTITUTE(SUBSTITUTE(SUBSTITUTE(SUBSTITUTE(F97,","," "),"."," "),";"," "),":"," "),"("," "),")"," "),"/"," ")&amp;" ")),0),0)),""),IFERROR(INDEX(Items[ID],MATCH(1,INDEX((Items[ID]&lt;&gt;"")*(Items[Owner]=A97)*ISNUMBER(SEARCH(" "&amp;Items[ID]&amp;" "," "&amp;SUBSTITUTE(SUBSTITUTE(SUBSTITUTE(SUBSTITUTE(SUBSTITUTE(SUBSTITUTE(SUBSTITUTE(E97,","," "),"."," "),";"," "),":"," "),"("," "),")"," "),"/"," ")&amp;" ")),0),0)),"")),""))</f>
      </c>
      <c r="O97" s="17">
        <f>IF(N97="","",IF(J97&lt;&gt;"","done","block"))</f>
      </c>
      <c r="P97" s="17">
        <f>IF(O97="block",F97,"")</f>
      </c>
    </row>
    <row r="98">
      <c r="A98" s="17">
        <f>IFERROR(INDEX(Roster[Name],94)&amp;"","")</f>
      </c>
      <c r="B98" s="17">
        <f>IF(A98="","",INDEX(Roster[Team],94)&amp;"")</f>
      </c>
      <c r="C98" s="17">
        <f>IF(OR(A98="",COUNTA(ChatPaste)=0),"",COUNTIF(ChatSpeaker,A98))</f>
      </c>
      <c r="D98" s="20">
        <f>IF(A98="","",IFERROR(INDEX(ChatText,MATCH(1,INDEX((ChatSpeaker=A98)*(ChatTag="Y"),0),0)),""))</f>
      </c>
      <c r="E98" s="20">
        <f>IF(A98="","",IFERROR(INDEX(ChatText,MATCH(1,INDEX((ChatSpeaker=A98)*(ChatTag="T"),0),0)),""))</f>
      </c>
      <c r="F98" s="20">
        <f>IF(A98="","",IFERROR(INDEX(ChatText,MATCH(1,INDEX((ChatSpeaker=A98)*(ChatTag="B"),0),0)),""))</f>
      </c>
      <c r="G98" s="17">
        <f>IF(E98="",0,SUMPRODUCT((Items[ID]&lt;&gt;"")*ISNUMBER(SEARCH(" "&amp;Items[ID]&amp;" "," "&amp;SUBSTITUTE(SUBSTITUTE(SUBSTITUTE(SUBSTITUTE(SUBSTITUTE(SUBSTITUTE(SUBSTITUTE(E98,","," "),"."," "),";"," "),":"," "),"("," "),")"," "),"/"," ")&amp;" "))))</f>
      </c>
      <c r="H98" s="17">
        <f>IF(E98="",0,SUMPRODUCT((Items[ID]&lt;&gt;"")*(Items[Owner]=A98)*(Items[In sprint]=1)*ISNUMBER(SEARCH(" "&amp;Items[ID]&amp;" "," "&amp;SUBSTITUTE(SUBSTITUTE(SUBSTITUTE(SUBSTITUTE(SUBSTITUTE(SUBSTITUTE(SUBSTITUTE(E98,","," "),"."," "),";"," "),":"," "),"("," "),")"," "),"/"," ")&amp;" "))))</f>
      </c>
      <c r="I98" s="17">
        <f>IF(F98="","",IF(OR(LOWER(TRIM(F98))={"none","no","nothing","n/a","na","-","nope","no blockers","none.","nil"}),"","Y"))</f>
      </c>
      <c r="J98" s="17">
        <f>IF(D98="","",IF(OR(ISNUMBER(SEARCH({"done","finished","completed","closed","merged"},D98))),IFERROR(INDEX(Items[ID],MATCH(1,INDEX((Items[ID]&lt;&gt;"")*(Items[State]&lt;&gt;"DONE")*ISNUMBER(SEARCH(" "&amp;Items[ID]&amp;" "," "&amp;SUBSTITUTE(SUBSTITUTE(SUBSTITUTE(SUBSTITUTE(SUBSTITUTE(SUBSTITUTE(SUBSTITUTE(D98,","," "),"."," "),";"," "),":"," "),"("," "),")"," "),"/"," ")&amp;" ")),0),0)),""),""))</f>
      </c>
      <c r="K98" s="20">
        <f>IF(A98="","",TRIM(IF(C98=0,"silent; ","")&amp;IF(AND(N(C98)&gt;0,D98=""),"no Y; ","")&amp;IF(AND(N(C98)&gt;0,E98=""),"no T; ","")&amp;IF(AND(N(C98)&gt;0,F98=""),"no B; ","")&amp;IF(AND(E98&lt;&gt;"",G98=0),"no task id in T; ","")&amp;IF(AND(G98&gt;0,H98=0),"T names no task of yours in this sprint; ","")&amp;IF(I98="Y","blocker: "&amp;F98&amp;"; ","")))</f>
      </c>
      <c r="L98" s="20">
        <f>IF(A98="","",IF(C98=0,"@"&amp;A98&amp;" please post Y: / T: / B: for today.",IF(TRIM(IF(AND(N(C98)&gt;0,D98=""),"no Y; ","")&amp;IF(AND(N(C98)&gt;0,E98=""),"no T; ","")&amp;IF(AND(N(C98)&gt;0,F98=""),"no B; ","")&amp;IF(AND(E98&lt;&gt;"",G98=0),"no task id in T; ","")&amp;IF(AND(G98&gt;0,H98=0),"T names no task of yours in this sprint; ",""))="","","@"&amp;A98&amp;" please fix: "&amp;TRIM(IF(AND(N(C98)&gt;0,D98=""),"no Y; ","")&amp;IF(AND(N(C98)&gt;0,E98=""),"no T; ","")&amp;IF(AND(N(C98)&gt;0,F98=""),"no B; ","")&amp;IF(AND(E98&lt;&gt;"",G98=0),"no task id in T; ","")&amp;IF(AND(G98&gt;0,H98=0),"T names no task of yours in this sprint; ","")))))</f>
      </c>
      <c r="M98" s="11">
        <f>IF(N98="","",StandupDate)</f>
      </c>
      <c r="N98" s="17">
        <f>IF(J98&lt;&gt;"",J98,IF(I98="Y",IF(IFERROR(INDEX(Items[ID],MATCH(1,INDEX((Items[ID]&lt;&gt;"")*ISNUMBER(SEARCH(" "&amp;Items[ID]&amp;" "," "&amp;SUBSTITUTE(SUBSTITUTE(SUBSTITUTE(SUBSTITUTE(SUBSTITUTE(SUBSTITUTE(SUBSTITUTE(F98,",","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"&amp;SUBSTITUTE(SUBSTITUTE(SUBSTITUTE(SUBSTITUTE(SUBSTITUTE(SUBSTITUTE(SUBSTITUTE(F98,","," "),"."," "),";"," "),":"," "),"("," "),")"," "),"/"," ")&amp;" ")),0),0)),""),IFERROR(INDEX(Items[ID],MATCH(1,INDEX((Items[ID]&lt;&gt;"")*(Items[Owner]=A98)*ISNUMBER(SEARCH(" "&amp;Items[ID]&amp;" "," "&amp;SUBSTITUTE(SUBSTITUTE(SUBSTITUTE(SUBSTITUTE(SUBSTITUTE(SUBSTITUTE(SUBSTITUTE(E98,","," "),"."," "),";"," "),":"," "),"("," "),")"," "),"/"," ")&amp;" ")),0),0)),"")),""))</f>
      </c>
      <c r="O98" s="17">
        <f>IF(N98="","",IF(J98&lt;&gt;"","done","block"))</f>
      </c>
      <c r="P98" s="17">
        <f>IF(O98="block",F98,"")</f>
      </c>
    </row>
    <row r="99">
      <c r="A99" s="17">
        <f>IFERROR(INDEX(Roster[Name],95)&amp;"","")</f>
      </c>
      <c r="B99" s="17">
        <f>IF(A99="","",INDEX(Roster[Team],95)&amp;"")</f>
      </c>
      <c r="C99" s="17">
        <f>IF(OR(A99="",COUNTA(ChatPaste)=0),"",COUNTIF(ChatSpeaker,A99))</f>
      </c>
      <c r="D99" s="20">
        <f>IF(A99="","",IFERROR(INDEX(ChatText,MATCH(1,INDEX((ChatSpeaker=A99)*(ChatTag="Y"),0),0)),""))</f>
      </c>
      <c r="E99" s="20">
        <f>IF(A99="","",IFERROR(INDEX(ChatText,MATCH(1,INDEX((ChatSpeaker=A99)*(ChatTag="T"),0),0)),""))</f>
      </c>
      <c r="F99" s="20">
        <f>IF(A99="","",IFERROR(INDEX(ChatText,MATCH(1,INDEX((ChatSpeaker=A99)*(ChatTag="B"),0),0)),""))</f>
      </c>
      <c r="G99" s="17">
        <f>IF(E99="",0,SUMPRODUCT((Items[ID]&lt;&gt;"")*ISNUMBER(SEARCH(" "&amp;Items[ID]&amp;" "," "&amp;SUBSTITUTE(SUBSTITUTE(SUBSTITUTE(SUBSTITUTE(SUBSTITUTE(SUBSTITUTE(SUBSTITUTE(E99,","," "),"."," "),";"," "),":"," "),"("," "),")"," "),"/"," ")&amp;" "))))</f>
      </c>
      <c r="H99" s="17">
        <f>IF(E99="",0,SUMPRODUCT((Items[ID]&lt;&gt;"")*(Items[Owner]=A99)*(Items[In sprint]=1)*ISNUMBER(SEARCH(" "&amp;Items[ID]&amp;" "," "&amp;SUBSTITUTE(SUBSTITUTE(SUBSTITUTE(SUBSTITUTE(SUBSTITUTE(SUBSTITUTE(SUBSTITUTE(E99,","," "),"."," "),";"," "),":"," "),"("," "),")"," "),"/"," ")&amp;" "))))</f>
      </c>
      <c r="I99" s="17">
        <f>IF(F99="","",IF(OR(LOWER(TRIM(F99))={"none","no","nothing","n/a","na","-","nope","no blockers","none.","nil"}),"","Y"))</f>
      </c>
      <c r="J99" s="17">
        <f>IF(D99="","",IF(OR(ISNUMBER(SEARCH({"done","finished","completed","closed","merged"},D99))),IFERROR(INDEX(Items[ID],MATCH(1,INDEX((Items[ID]&lt;&gt;"")*(Items[State]&lt;&gt;"DONE")*ISNUMBER(SEARCH(" "&amp;Items[ID]&amp;" "," "&amp;SUBSTITUTE(SUBSTITUTE(SUBSTITUTE(SUBSTITUTE(SUBSTITUTE(SUBSTITUTE(SUBSTITUTE(D99,","," "),"."," "),";"," "),":"," "),"("," "),")"," "),"/"," ")&amp;" ")),0),0)),""),""))</f>
      </c>
      <c r="K99" s="20">
        <f>IF(A99="","",TRIM(IF(C99=0,"silent; ","")&amp;IF(AND(N(C99)&gt;0,D99=""),"no Y; ","")&amp;IF(AND(N(C99)&gt;0,E99=""),"no T; ","")&amp;IF(AND(N(C99)&gt;0,F99=""),"no B; ","")&amp;IF(AND(E99&lt;&gt;"",G99=0),"no task id in T; ","")&amp;IF(AND(G99&gt;0,H99=0),"T names no task of yours in this sprint; ","")&amp;IF(I99="Y","blocker: "&amp;F99&amp;"; ","")))</f>
      </c>
      <c r="L99" s="20">
        <f>IF(A99="","",IF(C99=0,"@"&amp;A99&amp;" please post Y: / T: / B: for today.",IF(TRIM(IF(AND(N(C99)&gt;0,D99=""),"no Y; ","")&amp;IF(AND(N(C99)&gt;0,E99=""),"no T; ","")&amp;IF(AND(N(C99)&gt;0,F99=""),"no B; ","")&amp;IF(AND(E99&lt;&gt;"",G99=0),"no task id in T; ","")&amp;IF(AND(G99&gt;0,H99=0),"T names no task of yours in this sprint; ",""))="","","@"&amp;A99&amp;" please fix: "&amp;TRIM(IF(AND(N(C99)&gt;0,D99=""),"no Y; ","")&amp;IF(AND(N(C99)&gt;0,E99=""),"no T; ","")&amp;IF(AND(N(C99)&gt;0,F99=""),"no B; ","")&amp;IF(AND(E99&lt;&gt;"",G99=0),"no task id in T; ","")&amp;IF(AND(G99&gt;0,H99=0),"T names no task of yours in this sprint; ","")))))</f>
      </c>
      <c r="M99" s="11">
        <f>IF(N99="","",StandupDate)</f>
      </c>
      <c r="N99" s="17">
        <f>IF(J99&lt;&gt;"",J99,IF(I99="Y",IF(IFERROR(INDEX(Items[ID],MATCH(1,INDEX((Items[ID]&lt;&gt;"")*ISNUMBER(SEARCH(" "&amp;Items[ID]&amp;" "," "&amp;SUBSTITUTE(SUBSTITUTE(SUBSTITUTE(SUBSTITUTE(SUBSTITUTE(SUBSTITUTE(SUBSTITUTE(F99,",","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"&amp;SUBSTITUTE(SUBSTITUTE(SUBSTITUTE(SUBSTITUTE(SUBSTITUTE(SUBSTITUTE(SUBSTITUTE(F99,","," "),"."," "),";"," "),":"," "),"("," "),")"," "),"/"," ")&amp;" ")),0),0)),""),IFERROR(INDEX(Items[ID],MATCH(1,INDEX((Items[ID]&lt;&gt;"")*(Items[Owner]=A99)*ISNUMBER(SEARCH(" "&amp;Items[ID]&amp;" "," "&amp;SUBSTITUTE(SUBSTITUTE(SUBSTITUTE(SUBSTITUTE(SUBSTITUTE(SUBSTITUTE(SUBSTITUTE(E99,","," "),"."," "),";"," "),":"," "),"("," "),")"," "),"/"," ")&amp;" ")),0),0)),"")),""))</f>
      </c>
      <c r="O99" s="17">
        <f>IF(N99="","",IF(J99&lt;&gt;"","done","block"))</f>
      </c>
      <c r="P99" s="17">
        <f>IF(O99="block",F99,"")</f>
      </c>
    </row>
    <row r="100">
      <c r="A100" s="17">
        <f>IFERROR(INDEX(Roster[Name],96)&amp;"","")</f>
      </c>
      <c r="B100" s="17">
        <f>IF(A100="","",INDEX(Roster[Team],96)&amp;"")</f>
      </c>
      <c r="C100" s="17">
        <f>IF(OR(A100="",COUNTA(ChatPaste)=0),"",COUNTIF(ChatSpeaker,A100))</f>
      </c>
      <c r="D100" s="20">
        <f>IF(A100="","",IFERROR(INDEX(ChatText,MATCH(1,INDEX((ChatSpeaker=A100)*(ChatTag="Y"),0),0)),""))</f>
      </c>
      <c r="E100" s="20">
        <f>IF(A100="","",IFERROR(INDEX(ChatText,MATCH(1,INDEX((ChatSpeaker=A100)*(ChatTag="T"),0),0)),""))</f>
      </c>
      <c r="F100" s="20">
        <f>IF(A100="","",IFERROR(INDEX(ChatText,MATCH(1,INDEX((ChatSpeaker=A100)*(ChatTag="B"),0),0)),""))</f>
      </c>
      <c r="G100" s="17">
        <f>IF(E100="",0,SUMPRODUCT((Items[ID]&lt;&gt;"")*ISNUMBER(SEARCH(" "&amp;Items[ID]&amp;" "," "&amp;SUBSTITUTE(SUBSTITUTE(SUBSTITUTE(SUBSTITUTE(SUBSTITUTE(SUBSTITUTE(SUBSTITUTE(E100,","," "),"."," "),";"," "),":"," "),"("," "),")"," "),"/"," ")&amp;" "))))</f>
      </c>
      <c r="H100" s="17">
        <f>IF(E100="",0,SUMPRODUCT((Items[ID]&lt;&gt;"")*(Items[Owner]=A100)*(Items[In sprint]=1)*ISNUMBER(SEARCH(" "&amp;Items[ID]&amp;" "," "&amp;SUBSTITUTE(SUBSTITUTE(SUBSTITUTE(SUBSTITUTE(SUBSTITUTE(SUBSTITUTE(SUBSTITUTE(E100,","," "),"."," "),";"," "),":"," "),"("," "),")"," "),"/"," ")&amp;" "))))</f>
      </c>
      <c r="I100" s="17">
        <f>IF(F100="","",IF(OR(LOWER(TRIM(F100))={"none","no","nothing","n/a","na","-","nope","no blockers","none.","nil"}),"","Y"))</f>
      </c>
      <c r="J100" s="17">
        <f>IF(D100="","",IF(OR(ISNUMBER(SEARCH({"done","finished","completed","closed","merged"},D100))),IFERROR(INDEX(Items[ID],MATCH(1,INDEX((Items[ID]&lt;&gt;"")*(Items[State]&lt;&gt;"DONE")*ISNUMBER(SEARCH(" "&amp;Items[ID]&amp;" "," "&amp;SUBSTITUTE(SUBSTITUTE(SUBSTITUTE(SUBSTITUTE(SUBSTITUTE(SUBSTITUTE(SUBSTITUTE(D100,","," "),"."," "),";"," "),":"," "),"("," "),")"," "),"/"," ")&amp;" ")),0),0)),""),""))</f>
      </c>
      <c r="K100" s="20">
        <f>IF(A100="","",TRIM(IF(C100=0,"silent; ","")&amp;IF(AND(N(C100)&gt;0,D100=""),"no Y; ","")&amp;IF(AND(N(C100)&gt;0,E100=""),"no T; ","")&amp;IF(AND(N(C100)&gt;0,F100=""),"no B; ","")&amp;IF(AND(E100&lt;&gt;"",G100=0),"no task id in T; ","")&amp;IF(AND(G100&gt;0,H100=0),"T names no task of yours in this sprint; ","")&amp;IF(I100="Y","blocker: "&amp;F100&amp;"; ","")))</f>
      </c>
      <c r="L100" s="20">
        <f>IF(A100="","",IF(C100=0,"@"&amp;A100&amp;" please post Y: / T: / B: for today.",IF(TRIM(IF(AND(N(C100)&gt;0,D100=""),"no Y; ","")&amp;IF(AND(N(C100)&gt;0,E100=""),"no T; ","")&amp;IF(AND(N(C100)&gt;0,F100=""),"no B; ","")&amp;IF(AND(E100&lt;&gt;"",G100=0),"no task id in T; ","")&amp;IF(AND(G100&gt;0,H100=0),"T names no task of yours in this sprint; ",""))="","","@"&amp;A100&amp;" please fix: "&amp;TRIM(IF(AND(N(C100)&gt;0,D100=""),"no Y; ","")&amp;IF(AND(N(C100)&gt;0,E100=""),"no T; ","")&amp;IF(AND(N(C100)&gt;0,F100=""),"no B; ","")&amp;IF(AND(E100&lt;&gt;"",G100=0),"no task id in T; ","")&amp;IF(AND(G100&gt;0,H100=0),"T names no task of yours in this sprint; ","")))))</f>
      </c>
      <c r="M100" s="11">
        <f>IF(N100="","",StandupDate)</f>
      </c>
      <c r="N100" s="17">
        <f>IF(J100&lt;&gt;"",J100,IF(I100="Y",IF(IFERROR(INDEX(Items[ID],MATCH(1,INDEX((Items[ID]&lt;&gt;"")*ISNUMBER(SEARCH(" "&amp;Items[ID]&amp;" "," "&amp;SUBSTITUTE(SUBSTITUTE(SUBSTITUTE(SUBSTITUTE(SUBSTITUTE(SUBSTITUTE(SUBSTITUTE(F100,",","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"&amp;SUBSTITUTE(SUBSTITUTE(SUBSTITUTE(SUBSTITUTE(SUBSTITUTE(SUBSTITUTE(SUBSTITUTE(F100,","," "),"."," "),";"," "),":"," "),"("," "),")"," "),"/"," ")&amp;" ")),0),0)),""),IFERROR(INDEX(Items[ID],MATCH(1,INDEX((Items[ID]&lt;&gt;"")*(Items[Owner]=A100)*ISNUMBER(SEARCH(" "&amp;Items[ID]&amp;" "," "&amp;SUBSTITUTE(SUBSTITUTE(SUBSTITUTE(SUBSTITUTE(SUBSTITUTE(SUBSTITUTE(SUBSTITUTE(E100,","," "),"."," "),";"," "),":"," "),"("," "),")"," "),"/"," ")&amp;" ")),0),0)),"")),""))</f>
      </c>
      <c r="O100" s="17">
        <f>IF(N100="","",IF(J100&lt;&gt;"","done","block"))</f>
      </c>
      <c r="P100" s="17">
        <f>IF(O100="block",F100,"")</f>
      </c>
    </row>
    <row r="101">
      <c r="A101" s="17">
        <f>IFERROR(INDEX(Roster[Name],97)&amp;"","")</f>
      </c>
      <c r="B101" s="17">
        <f>IF(A101="","",INDEX(Roster[Team],97)&amp;"")</f>
      </c>
      <c r="C101" s="17">
        <f>IF(OR(A101="",COUNTA(ChatPaste)=0),"",COUNTIF(ChatSpeaker,A101))</f>
      </c>
      <c r="D101" s="20">
        <f>IF(A101="","",IFERROR(INDEX(ChatText,MATCH(1,INDEX((ChatSpeaker=A101)*(ChatTag="Y"),0),0)),""))</f>
      </c>
      <c r="E101" s="20">
        <f>IF(A101="","",IFERROR(INDEX(ChatText,MATCH(1,INDEX((ChatSpeaker=A101)*(ChatTag="T"),0),0)),""))</f>
      </c>
      <c r="F101" s="20">
        <f>IF(A101="","",IFERROR(INDEX(ChatText,MATCH(1,INDEX((ChatSpeaker=A101)*(ChatTag="B"),0),0)),""))</f>
      </c>
      <c r="G101" s="17">
        <f>IF(E101="",0,SUMPRODUCT((Items[ID]&lt;&gt;"")*ISNUMBER(SEARCH(" "&amp;Items[ID]&amp;" "," "&amp;SUBSTITUTE(SUBSTITUTE(SUBSTITUTE(SUBSTITUTE(SUBSTITUTE(SUBSTITUTE(SUBSTITUTE(E101,","," "),"."," "),";"," "),":"," "),"("," "),")"," "),"/"," ")&amp;" "))))</f>
      </c>
      <c r="H101" s="17">
        <f>IF(E101="",0,SUMPRODUCT((Items[ID]&lt;&gt;"")*(Items[Owner]=A101)*(Items[In sprint]=1)*ISNUMBER(SEARCH(" "&amp;Items[ID]&amp;" "," "&amp;SUBSTITUTE(SUBSTITUTE(SUBSTITUTE(SUBSTITUTE(SUBSTITUTE(SUBSTITUTE(SUBSTITUTE(E101,","," "),"."," "),";"," "),":"," "),"("," "),")"," "),"/"," ")&amp;" "))))</f>
      </c>
      <c r="I101" s="17">
        <f>IF(F101="","",IF(OR(LOWER(TRIM(F101))={"none","no","nothing","n/a","na","-","nope","no blockers","none.","nil"}),"","Y"))</f>
      </c>
      <c r="J101" s="17">
        <f>IF(D101="","",IF(OR(ISNUMBER(SEARCH({"done","finished","completed","closed","merged"},D101))),IFERROR(INDEX(Items[ID],MATCH(1,INDEX((Items[ID]&lt;&gt;"")*(Items[State]&lt;&gt;"DONE")*ISNUMBER(SEARCH(" "&amp;Items[ID]&amp;" "," "&amp;SUBSTITUTE(SUBSTITUTE(SUBSTITUTE(SUBSTITUTE(SUBSTITUTE(SUBSTITUTE(SUBSTITUTE(D101,","," "),"."," "),";"," "),":"," "),"("," "),")"," "),"/"," ")&amp;" ")),0),0)),""),""))</f>
      </c>
      <c r="K101" s="20">
        <f>IF(A101="","",TRIM(IF(C101=0,"silent; ","")&amp;IF(AND(N(C101)&gt;0,D101=""),"no Y; ","")&amp;IF(AND(N(C101)&gt;0,E101=""),"no T; ","")&amp;IF(AND(N(C101)&gt;0,F101=""),"no B; ","")&amp;IF(AND(E101&lt;&gt;"",G101=0),"no task id in T; ","")&amp;IF(AND(G101&gt;0,H101=0),"T names no task of yours in this sprint; ","")&amp;IF(I101="Y","blocker: "&amp;F101&amp;"; ","")))</f>
      </c>
      <c r="L101" s="20">
        <f>IF(A101="","",IF(C101=0,"@"&amp;A101&amp;" please post Y: / T: / B: for today.",IF(TRIM(IF(AND(N(C101)&gt;0,D101=""),"no Y; ","")&amp;IF(AND(N(C101)&gt;0,E101=""),"no T; ","")&amp;IF(AND(N(C101)&gt;0,F101=""),"no B; ","")&amp;IF(AND(E101&lt;&gt;"",G101=0),"no task id in T; ","")&amp;IF(AND(G101&gt;0,H101=0),"T names no task of yours in this sprint; ",""))="","","@"&amp;A101&amp;" please fix: "&amp;TRIM(IF(AND(N(C101)&gt;0,D101=""),"no Y; ","")&amp;IF(AND(N(C101)&gt;0,E101=""),"no T; ","")&amp;IF(AND(N(C101)&gt;0,F101=""),"no B; ","")&amp;IF(AND(E101&lt;&gt;"",G101=0),"no task id in T; ","")&amp;IF(AND(G101&gt;0,H101=0),"T names no task of yours in this sprint; ","")))))</f>
      </c>
      <c r="M101" s="11">
        <f>IF(N101="","",StandupDate)</f>
      </c>
      <c r="N101" s="17">
        <f>IF(J101&lt;&gt;"",J101,IF(I101="Y",IF(IFERROR(INDEX(Items[ID],MATCH(1,INDEX((Items[ID]&lt;&gt;"")*ISNUMBER(SEARCH(" "&amp;Items[ID]&amp;" "," "&amp;SUBSTITUTE(SUBSTITUTE(SUBSTITUTE(SUBSTITUTE(SUBSTITUTE(SUBSTITUTE(SUBSTITUTE(F101,",","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"&amp;SUBSTITUTE(SUBSTITUTE(SUBSTITUTE(SUBSTITUTE(SUBSTITUTE(SUBSTITUTE(SUBSTITUTE(F101,","," "),"."," "),";"," "),":"," "),"("," "),")"," "),"/"," ")&amp;" ")),0),0)),""),IFERROR(INDEX(Items[ID],MATCH(1,INDEX((Items[ID]&lt;&gt;"")*(Items[Owner]=A101)*ISNUMBER(SEARCH(" "&amp;Items[ID]&amp;" "," "&amp;SUBSTITUTE(SUBSTITUTE(SUBSTITUTE(SUBSTITUTE(SUBSTITUTE(SUBSTITUTE(SUBSTITUTE(E101,","," "),"."," "),";"," "),":"," "),"("," "),")"," "),"/"," ")&amp;" ")),0),0)),"")),""))</f>
      </c>
      <c r="O101" s="17">
        <f>IF(N101="","",IF(J101&lt;&gt;"","done","block"))</f>
      </c>
      <c r="P101" s="17">
        <f>IF(O101="block",F101,"")</f>
      </c>
    </row>
    <row r="102">
      <c r="A102" s="17">
        <f>IFERROR(INDEX(Roster[Name],98)&amp;"","")</f>
      </c>
      <c r="B102" s="17">
        <f>IF(A102="","",INDEX(Roster[Team],98)&amp;"")</f>
      </c>
      <c r="C102" s="17">
        <f>IF(OR(A102="",COUNTA(ChatPaste)=0),"",COUNTIF(ChatSpeaker,A102))</f>
      </c>
      <c r="D102" s="20">
        <f>IF(A102="","",IFERROR(INDEX(ChatText,MATCH(1,INDEX((ChatSpeaker=A102)*(ChatTag="Y"),0),0)),""))</f>
      </c>
      <c r="E102" s="20">
        <f>IF(A102="","",IFERROR(INDEX(ChatText,MATCH(1,INDEX((ChatSpeaker=A102)*(ChatTag="T"),0),0)),""))</f>
      </c>
      <c r="F102" s="20">
        <f>IF(A102="","",IFERROR(INDEX(ChatText,MATCH(1,INDEX((ChatSpeaker=A102)*(ChatTag="B"),0),0)),""))</f>
      </c>
      <c r="G102" s="17">
        <f>IF(E102="",0,SUMPRODUCT((Items[ID]&lt;&gt;"")*ISNUMBER(SEARCH(" "&amp;Items[ID]&amp;" "," "&amp;SUBSTITUTE(SUBSTITUTE(SUBSTITUTE(SUBSTITUTE(SUBSTITUTE(SUBSTITUTE(SUBSTITUTE(E102,","," "),"."," "),";"," "),":"," "),"("," "),")"," "),"/"," ")&amp;" "))))</f>
      </c>
      <c r="H102" s="17">
        <f>IF(E102="",0,SUMPRODUCT((Items[ID]&lt;&gt;"")*(Items[Owner]=A102)*(Items[In sprint]=1)*ISNUMBER(SEARCH(" "&amp;Items[ID]&amp;" "," "&amp;SUBSTITUTE(SUBSTITUTE(SUBSTITUTE(SUBSTITUTE(SUBSTITUTE(SUBSTITUTE(SUBSTITUTE(E102,","," "),"."," "),";"," "),":"," "),"("," "),")"," "),"/"," ")&amp;" "))))</f>
      </c>
      <c r="I102" s="17">
        <f>IF(F102="","",IF(OR(LOWER(TRIM(F102))={"none","no","nothing","n/a","na","-","nope","no blockers","none.","nil"}),"","Y"))</f>
      </c>
      <c r="J102" s="17">
        <f>IF(D102="","",IF(OR(ISNUMBER(SEARCH({"done","finished","completed","closed","merged"},D102))),IFERROR(INDEX(Items[ID],MATCH(1,INDEX((Items[ID]&lt;&gt;"")*(Items[State]&lt;&gt;"DONE")*ISNUMBER(SEARCH(" "&amp;Items[ID]&amp;" "," "&amp;SUBSTITUTE(SUBSTITUTE(SUBSTITUTE(SUBSTITUTE(SUBSTITUTE(SUBSTITUTE(SUBSTITUTE(D102,","," "),"."," "),";"," "),":"," "),"("," "),")"," "),"/"," ")&amp;" ")),0),0)),""),""))</f>
      </c>
      <c r="K102" s="20">
        <f>IF(A102="","",TRIM(IF(C102=0,"silent; ","")&amp;IF(AND(N(C102)&gt;0,D102=""),"no Y; ","")&amp;IF(AND(N(C102)&gt;0,E102=""),"no T; ","")&amp;IF(AND(N(C102)&gt;0,F102=""),"no B; ","")&amp;IF(AND(E102&lt;&gt;"",G102=0),"no task id in T; ","")&amp;IF(AND(G102&gt;0,H102=0),"T names no task of yours in this sprint; ","")&amp;IF(I102="Y","blocker: "&amp;F102&amp;"; ","")))</f>
      </c>
      <c r="L102" s="20">
        <f>IF(A102="","",IF(C102=0,"@"&amp;A102&amp;" please post Y: / T: / B: for today.",IF(TRIM(IF(AND(N(C102)&gt;0,D102=""),"no Y; ","")&amp;IF(AND(N(C102)&gt;0,E102=""),"no T; ","")&amp;IF(AND(N(C102)&gt;0,F102=""),"no B; ","")&amp;IF(AND(E102&lt;&gt;"",G102=0),"no task id in T; ","")&amp;IF(AND(G102&gt;0,H102=0),"T names no task of yours in this sprint; ",""))="","","@"&amp;A102&amp;" please fix: "&amp;TRIM(IF(AND(N(C102)&gt;0,D102=""),"no Y; ","")&amp;IF(AND(N(C102)&gt;0,E102=""),"no T; ","")&amp;IF(AND(N(C102)&gt;0,F102=""),"no B; ","")&amp;IF(AND(E102&lt;&gt;"",G102=0),"no task id in T; ","")&amp;IF(AND(G102&gt;0,H102=0),"T names no task of yours in this sprint; ","")))))</f>
      </c>
      <c r="M102" s="11">
        <f>IF(N102="","",StandupDate)</f>
      </c>
      <c r="N102" s="17">
        <f>IF(J102&lt;&gt;"",J102,IF(I102="Y",IF(IFERROR(INDEX(Items[ID],MATCH(1,INDEX((Items[ID]&lt;&gt;"")*ISNUMBER(SEARCH(" "&amp;Items[ID]&amp;" "," "&amp;SUBSTITUTE(SUBSTITUTE(SUBSTITUTE(SUBSTITUTE(SUBSTITUTE(SUBSTITUTE(SUBSTITUTE(F102,",","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"&amp;SUBSTITUTE(SUBSTITUTE(SUBSTITUTE(SUBSTITUTE(SUBSTITUTE(SUBSTITUTE(SUBSTITUTE(F102,","," "),"."," "),";"," "),":"," "),"("," "),")"," "),"/"," ")&amp;" ")),0),0)),""),IFERROR(INDEX(Items[ID],MATCH(1,INDEX((Items[ID]&lt;&gt;"")*(Items[Owner]=A102)*ISNUMBER(SEARCH(" "&amp;Items[ID]&amp;" "," "&amp;SUBSTITUTE(SUBSTITUTE(SUBSTITUTE(SUBSTITUTE(SUBSTITUTE(SUBSTITUTE(SUBSTITUTE(E102,","," "),"."," "),";"," "),":"," "),"("," "),")"," "),"/"," ")&amp;" ")),0),0)),"")),""))</f>
      </c>
      <c r="O102" s="17">
        <f>IF(N102="","",IF(J102&lt;&gt;"","done","block"))</f>
      </c>
      <c r="P102" s="17">
        <f>IF(O102="block",F102,"")</f>
      </c>
    </row>
    <row r="103">
      <c r="A103" s="17">
        <f>IFERROR(INDEX(Roster[Name],99)&amp;"","")</f>
      </c>
      <c r="B103" s="17">
        <f>IF(A103="","",INDEX(Roster[Team],99)&amp;"")</f>
      </c>
      <c r="C103" s="17">
        <f>IF(OR(A103="",COUNTA(ChatPaste)=0),"",COUNTIF(ChatSpeaker,A103))</f>
      </c>
      <c r="D103" s="20">
        <f>IF(A103="","",IFERROR(INDEX(ChatText,MATCH(1,INDEX((ChatSpeaker=A103)*(ChatTag="Y"),0),0)),""))</f>
      </c>
      <c r="E103" s="20">
        <f>IF(A103="","",IFERROR(INDEX(ChatText,MATCH(1,INDEX((ChatSpeaker=A103)*(ChatTag="T"),0),0)),""))</f>
      </c>
      <c r="F103" s="20">
        <f>IF(A103="","",IFERROR(INDEX(ChatText,MATCH(1,INDEX((ChatSpeaker=A103)*(ChatTag="B"),0),0)),""))</f>
      </c>
      <c r="G103" s="17">
        <f>IF(E103="",0,SUMPRODUCT((Items[ID]&lt;&gt;"")*ISNUMBER(SEARCH(" "&amp;Items[ID]&amp;" "," "&amp;SUBSTITUTE(SUBSTITUTE(SUBSTITUTE(SUBSTITUTE(SUBSTITUTE(SUBSTITUTE(SUBSTITUTE(E103,","," "),"."," "),";"," "),":"," "),"("," "),")"," "),"/"," ")&amp;" "))))</f>
      </c>
      <c r="H103" s="17">
        <f>IF(E103="",0,SUMPRODUCT((Items[ID]&lt;&gt;"")*(Items[Owner]=A103)*(Items[In sprint]=1)*ISNUMBER(SEARCH(" "&amp;Items[ID]&amp;" "," "&amp;SUBSTITUTE(SUBSTITUTE(SUBSTITUTE(SUBSTITUTE(SUBSTITUTE(SUBSTITUTE(SUBSTITUTE(E103,","," "),"."," "),";"," "),":"," "),"("," "),")"," "),"/"," ")&amp;" "))))</f>
      </c>
      <c r="I103" s="17">
        <f>IF(F103="","",IF(OR(LOWER(TRIM(F103))={"none","no","nothing","n/a","na","-","nope","no blockers","none.","nil"}),"","Y"))</f>
      </c>
      <c r="J103" s="17">
        <f>IF(D103="","",IF(OR(ISNUMBER(SEARCH({"done","finished","completed","closed","merged"},D103))),IFERROR(INDEX(Items[ID],MATCH(1,INDEX((Items[ID]&lt;&gt;"")*(Items[State]&lt;&gt;"DONE")*ISNUMBER(SEARCH(" "&amp;Items[ID]&amp;" "," "&amp;SUBSTITUTE(SUBSTITUTE(SUBSTITUTE(SUBSTITUTE(SUBSTITUTE(SUBSTITUTE(SUBSTITUTE(D103,","," "),"."," "),";"," "),":"," "),"("," "),")"," "),"/"," ")&amp;" ")),0),0)),""),""))</f>
      </c>
      <c r="K103" s="20">
        <f>IF(A103="","",TRIM(IF(C103=0,"silent; ","")&amp;IF(AND(N(C103)&gt;0,D103=""),"no Y; ","")&amp;IF(AND(N(C103)&gt;0,E103=""),"no T; ","")&amp;IF(AND(N(C103)&gt;0,F103=""),"no B; ","")&amp;IF(AND(E103&lt;&gt;"",G103=0),"no task id in T; ","")&amp;IF(AND(G103&gt;0,H103=0),"T names no task of yours in this sprint; ","")&amp;IF(I103="Y","blocker: "&amp;F103&amp;"; ","")))</f>
      </c>
      <c r="L103" s="20">
        <f>IF(A103="","",IF(C103=0,"@"&amp;A103&amp;" please post Y: / T: / B: for today.",IF(TRIM(IF(AND(N(C103)&gt;0,D103=""),"no Y; ","")&amp;IF(AND(N(C103)&gt;0,E103=""),"no T; ","")&amp;IF(AND(N(C103)&gt;0,F103=""),"no B; ","")&amp;IF(AND(E103&lt;&gt;"",G103=0),"no task id in T; ","")&amp;IF(AND(G103&gt;0,H103=0),"T names no task of yours in this sprint; ",""))="","","@"&amp;A103&amp;" please fix: "&amp;TRIM(IF(AND(N(C103)&gt;0,D103=""),"no Y; ","")&amp;IF(AND(N(C103)&gt;0,E103=""),"no T; ","")&amp;IF(AND(N(C103)&gt;0,F103=""),"no B; ","")&amp;IF(AND(E103&lt;&gt;"",G103=0),"no task id in T; ","")&amp;IF(AND(G103&gt;0,H103=0),"T names no task of yours in this sprint; ","")))))</f>
      </c>
      <c r="M103" s="11">
        <f>IF(N103="","",StandupDate)</f>
      </c>
      <c r="N103" s="17">
        <f>IF(J103&lt;&gt;"",J103,IF(I103="Y",IF(IFERROR(INDEX(Items[ID],MATCH(1,INDEX((Items[ID]&lt;&gt;"")*ISNUMBER(SEARCH(" "&amp;Items[ID]&amp;" "," "&amp;SUBSTITUTE(SUBSTITUTE(SUBSTITUTE(SUBSTITUTE(SUBSTITUTE(SUBSTITUTE(SUBSTITUTE(F103,",","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"&amp;SUBSTITUTE(SUBSTITUTE(SUBSTITUTE(SUBSTITUTE(SUBSTITUTE(SUBSTITUTE(SUBSTITUTE(F103,","," "),"."," "),";"," "),":"," "),"("," "),")"," "),"/"," ")&amp;" ")),0),0)),""),IFERROR(INDEX(Items[ID],MATCH(1,INDEX((Items[ID]&lt;&gt;"")*(Items[Owner]=A103)*ISNUMBER(SEARCH(" "&amp;Items[ID]&amp;" "," "&amp;SUBSTITUTE(SUBSTITUTE(SUBSTITUTE(SUBSTITUTE(SUBSTITUTE(SUBSTITUTE(SUBSTITUTE(E103,","," "),"."," "),";"," "),":"," "),"("," "),")"," "),"/"," ")&amp;" ")),0),0)),"")),""))</f>
      </c>
      <c r="O103" s="17">
        <f>IF(N103="","",IF(J103&lt;&gt;"","done","block"))</f>
      </c>
      <c r="P103" s="17">
        <f>IF(O103="block",F103,"")</f>
      </c>
    </row>
    <row r="104">
      <c r="A104" s="17">
        <f>IFERROR(INDEX(Roster[Name],100)&amp;"","")</f>
      </c>
      <c r="B104" s="17">
        <f>IF(A104="","",INDEX(Roster[Team],100)&amp;"")</f>
      </c>
      <c r="C104" s="17">
        <f>IF(OR(A104="",COUNTA(ChatPaste)=0),"",COUNTIF(ChatSpeaker,A104))</f>
      </c>
      <c r="D104" s="20">
        <f>IF(A104="","",IFERROR(INDEX(ChatText,MATCH(1,INDEX((ChatSpeaker=A104)*(ChatTag="Y"),0),0)),""))</f>
      </c>
      <c r="E104" s="20">
        <f>IF(A104="","",IFERROR(INDEX(ChatText,MATCH(1,INDEX((ChatSpeaker=A104)*(ChatTag="T"),0),0)),""))</f>
      </c>
      <c r="F104" s="20">
        <f>IF(A104="","",IFERROR(INDEX(ChatText,MATCH(1,INDEX((ChatSpeaker=A104)*(ChatTag="B"),0),0)),""))</f>
      </c>
      <c r="G104" s="17">
        <f>IF(E104="",0,SUMPRODUCT((Items[ID]&lt;&gt;"")*ISNUMBER(SEARCH(" "&amp;Items[ID]&amp;" "," "&amp;SUBSTITUTE(SUBSTITUTE(SUBSTITUTE(SUBSTITUTE(SUBSTITUTE(SUBSTITUTE(SUBSTITUTE(E104,","," "),"."," "),";"," "),":"," "),"("," "),")"," "),"/"," ")&amp;" "))))</f>
      </c>
      <c r="H104" s="17">
        <f>IF(E104="",0,SUMPRODUCT((Items[ID]&lt;&gt;"")*(Items[Owner]=A104)*(Items[In sprint]=1)*ISNUMBER(SEARCH(" "&amp;Items[ID]&amp;" "," "&amp;SUBSTITUTE(SUBSTITUTE(SUBSTITUTE(SUBSTITUTE(SUBSTITUTE(SUBSTITUTE(SUBSTITUTE(E104,","," "),"."," "),";"," "),":"," "),"("," "),")"," "),"/"," ")&amp;" "))))</f>
      </c>
      <c r="I104" s="17">
        <f>IF(F104="","",IF(OR(LOWER(TRIM(F104))={"none","no","nothing","n/a","na","-","nope","no blockers","none.","nil"}),"","Y"))</f>
      </c>
      <c r="J104" s="17">
        <f>IF(D104="","",IF(OR(ISNUMBER(SEARCH({"done","finished","completed","closed","merged"},D104))),IFERROR(INDEX(Items[ID],MATCH(1,INDEX((Items[ID]&lt;&gt;"")*(Items[State]&lt;&gt;"DONE")*ISNUMBER(SEARCH(" "&amp;Items[ID]&amp;" "," "&amp;SUBSTITUTE(SUBSTITUTE(SUBSTITUTE(SUBSTITUTE(SUBSTITUTE(SUBSTITUTE(SUBSTITUTE(D104,","," "),"."," "),";"," "),":"," "),"("," "),")"," "),"/"," ")&amp;" ")),0),0)),""),""))</f>
      </c>
      <c r="K104" s="20">
        <f>IF(A104="","",TRIM(IF(C104=0,"silent; ","")&amp;IF(AND(N(C104)&gt;0,D104=""),"no Y; ","")&amp;IF(AND(N(C104)&gt;0,E104=""),"no T; ","")&amp;IF(AND(N(C104)&gt;0,F104=""),"no B; ","")&amp;IF(AND(E104&lt;&gt;"",G104=0),"no task id in T; ","")&amp;IF(AND(G104&gt;0,H104=0),"T names no task of yours in this sprint; ","")&amp;IF(I104="Y","blocker: "&amp;F104&amp;"; ","")))</f>
      </c>
      <c r="L104" s="20">
        <f>IF(A104="","",IF(C104=0,"@"&amp;A104&amp;" please post Y: / T: / B: for today.",IF(TRIM(IF(AND(N(C104)&gt;0,D104=""),"no Y; ","")&amp;IF(AND(N(C104)&gt;0,E104=""),"no T; ","")&amp;IF(AND(N(C104)&gt;0,F104=""),"no B; ","")&amp;IF(AND(E104&lt;&gt;"",G104=0),"no task id in T; ","")&amp;IF(AND(G104&gt;0,H104=0),"T names no task of yours in this sprint; ",""))="","","@"&amp;A104&amp;" please fix: "&amp;TRIM(IF(AND(N(C104)&gt;0,D104=""),"no Y; ","")&amp;IF(AND(N(C104)&gt;0,E104=""),"no T; ","")&amp;IF(AND(N(C104)&gt;0,F104=""),"no B; ","")&amp;IF(AND(E104&lt;&gt;"",G104=0),"no task id in T; ","")&amp;IF(AND(G104&gt;0,H104=0),"T names no task of yours in this sprint; ","")))))</f>
      </c>
      <c r="M104" s="11">
        <f>IF(N104="","",StandupDate)</f>
      </c>
      <c r="N104" s="17">
        <f>IF(J104&lt;&gt;"",J104,IF(I104="Y",IF(IFERROR(INDEX(Items[ID],MATCH(1,INDEX((Items[ID]&lt;&gt;"")*ISNUMBER(SEARCH(" "&amp;Items[ID]&amp;" "," "&amp;SUBSTITUTE(SUBSTITUTE(SUBSTITUTE(SUBSTITUTE(SUBSTITUTE(SUBSTITUTE(SUBSTITUTE(F104,",","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"&amp;SUBSTITUTE(SUBSTITUTE(SUBSTITUTE(SUBSTITUTE(SUBSTITUTE(SUBSTITUTE(SUBSTITUTE(F104,","," "),"."," "),";"," "),":"," "),"("," "),")"," "),"/"," ")&amp;" ")),0),0)),""),IFERROR(INDEX(Items[ID],MATCH(1,INDEX((Items[ID]&lt;&gt;"")*(Items[Owner]=A104)*ISNUMBER(SEARCH(" "&amp;Items[ID]&amp;" "," "&amp;SUBSTITUTE(SUBSTITUTE(SUBSTITUTE(SUBSTITUTE(SUBSTITUTE(SUBSTITUTE(SUBSTITUTE(E104,","," "),"."," "),";"," "),":"," "),"("," "),")"," "),"/"," ")&amp;" ")),0),0)),"")),""))</f>
      </c>
      <c r="O104" s="17">
        <f>IF(N104="","",IF(J104&lt;&gt;"","done","block"))</f>
      </c>
      <c r="P104" s="17">
        <f>IF(O104="block",F104,"")</f>
      </c>
    </row>
    <row r="105">
      <c r="A105" s="17">
        <f>IFERROR(INDEX(Roster[Name],101)&amp;"","")</f>
      </c>
      <c r="B105" s="17">
        <f>IF(A105="","",INDEX(Roster[Team],101)&amp;"")</f>
      </c>
      <c r="C105" s="17">
        <f>IF(OR(A105="",COUNTA(ChatPaste)=0),"",COUNTIF(ChatSpeaker,A105))</f>
      </c>
      <c r="D105" s="20">
        <f>IF(A105="","",IFERROR(INDEX(ChatText,MATCH(1,INDEX((ChatSpeaker=A105)*(ChatTag="Y"),0),0)),""))</f>
      </c>
      <c r="E105" s="20">
        <f>IF(A105="","",IFERROR(INDEX(ChatText,MATCH(1,INDEX((ChatSpeaker=A105)*(ChatTag="T"),0),0)),""))</f>
      </c>
      <c r="F105" s="20">
        <f>IF(A105="","",IFERROR(INDEX(ChatText,MATCH(1,INDEX((ChatSpeaker=A105)*(ChatTag="B"),0),0)),""))</f>
      </c>
      <c r="G105" s="17">
        <f>IF(E105="",0,SUMPRODUCT((Items[ID]&lt;&gt;"")*ISNUMBER(SEARCH(" "&amp;Items[ID]&amp;" "," "&amp;SUBSTITUTE(SUBSTITUTE(SUBSTITUTE(SUBSTITUTE(SUBSTITUTE(SUBSTITUTE(SUBSTITUTE(E105,","," "),"."," "),";"," "),":"," "),"("," "),")"," "),"/"," ")&amp;" "))))</f>
      </c>
      <c r="H105" s="17">
        <f>IF(E105="",0,SUMPRODUCT((Items[ID]&lt;&gt;"")*(Items[Owner]=A105)*(Items[In sprint]=1)*ISNUMBER(SEARCH(" "&amp;Items[ID]&amp;" "," "&amp;SUBSTITUTE(SUBSTITUTE(SUBSTITUTE(SUBSTITUTE(SUBSTITUTE(SUBSTITUTE(SUBSTITUTE(E105,","," "),"."," "),";"," "),":"," "),"("," "),")"," "),"/"," ")&amp;" "))))</f>
      </c>
      <c r="I105" s="17">
        <f>IF(F105="","",IF(OR(LOWER(TRIM(F105))={"none","no","nothing","n/a","na","-","nope","no blockers","none.","nil"}),"","Y"))</f>
      </c>
      <c r="J105" s="17">
        <f>IF(D105="","",IF(OR(ISNUMBER(SEARCH({"done","finished","completed","closed","merged"},D105))),IFERROR(INDEX(Items[ID],MATCH(1,INDEX((Items[ID]&lt;&gt;"")*(Items[State]&lt;&gt;"DONE")*ISNUMBER(SEARCH(" "&amp;Items[ID]&amp;" "," "&amp;SUBSTITUTE(SUBSTITUTE(SUBSTITUTE(SUBSTITUTE(SUBSTITUTE(SUBSTITUTE(SUBSTITUTE(D105,","," "),"."," "),";"," "),":"," "),"("," "),")"," "),"/"," ")&amp;" ")),0),0)),""),""))</f>
      </c>
      <c r="K105" s="20">
        <f>IF(A105="","",TRIM(IF(C105=0,"silent; ","")&amp;IF(AND(N(C105)&gt;0,D105=""),"no Y; ","")&amp;IF(AND(N(C105)&gt;0,E105=""),"no T; ","")&amp;IF(AND(N(C105)&gt;0,F105=""),"no B; ","")&amp;IF(AND(E105&lt;&gt;"",G105=0),"no task id in T; ","")&amp;IF(AND(G105&gt;0,H105=0),"T names no task of yours in this sprint; ","")&amp;IF(I105="Y","blocker: "&amp;F105&amp;"; ","")))</f>
      </c>
      <c r="L105" s="20">
        <f>IF(A105="","",IF(C105=0,"@"&amp;A105&amp;" please post Y: / T: / B: for today.",IF(TRIM(IF(AND(N(C105)&gt;0,D105=""),"no Y; ","")&amp;IF(AND(N(C105)&gt;0,E105=""),"no T; ","")&amp;IF(AND(N(C105)&gt;0,F105=""),"no B; ","")&amp;IF(AND(E105&lt;&gt;"",G105=0),"no task id in T; ","")&amp;IF(AND(G105&gt;0,H105=0),"T names no task of yours in this sprint; ",""))="","","@"&amp;A105&amp;" please fix: "&amp;TRIM(IF(AND(N(C105)&gt;0,D105=""),"no Y; ","")&amp;IF(AND(N(C105)&gt;0,E105=""),"no T; ","")&amp;IF(AND(N(C105)&gt;0,F105=""),"no B; ","")&amp;IF(AND(E105&lt;&gt;"",G105=0),"no task id in T; ","")&amp;IF(AND(G105&gt;0,H105=0),"T names no task of yours in this sprint; ","")))))</f>
      </c>
      <c r="M105" s="11">
        <f>IF(N105="","",StandupDate)</f>
      </c>
      <c r="N105" s="17">
        <f>IF(J105&lt;&gt;"",J105,IF(I105="Y",IF(IFERROR(INDEX(Items[ID],MATCH(1,INDEX((Items[ID]&lt;&gt;"")*ISNUMBER(SEARCH(" "&amp;Items[ID]&amp;" "," "&amp;SUBSTITUTE(SUBSTITUTE(SUBSTITUTE(SUBSTITUTE(SUBSTITUTE(SUBSTITUTE(SUBSTITUTE(F105,",","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"&amp;SUBSTITUTE(SUBSTITUTE(SUBSTITUTE(SUBSTITUTE(SUBSTITUTE(SUBSTITUTE(SUBSTITUTE(F105,","," "),"."," "),";"," "),":"," "),"("," "),")"," "),"/"," ")&amp;" ")),0),0)),""),IFERROR(INDEX(Items[ID],MATCH(1,INDEX((Items[ID]&lt;&gt;"")*(Items[Owner]=A105)*ISNUMBER(SEARCH(" "&amp;Items[ID]&amp;" "," "&amp;SUBSTITUTE(SUBSTITUTE(SUBSTITUTE(SUBSTITUTE(SUBSTITUTE(SUBSTITUTE(SUBSTITUTE(E105,","," "),"."," "),";"," "),":"," "),"("," "),")"," "),"/"," ")&amp;" ")),0),0)),"")),""))</f>
      </c>
      <c r="O105" s="17">
        <f>IF(N105="","",IF(J105&lt;&gt;"","done","block"))</f>
      </c>
      <c r="P105" s="17">
        <f>IF(O105="block",F105,"")</f>
      </c>
    </row>
    <row r="106">
      <c r="A106" s="17">
        <f>IFERROR(INDEX(Roster[Name],102)&amp;"","")</f>
      </c>
      <c r="B106" s="17">
        <f>IF(A106="","",INDEX(Roster[Team],102)&amp;"")</f>
      </c>
      <c r="C106" s="17">
        <f>IF(OR(A106="",COUNTA(ChatPaste)=0),"",COUNTIF(ChatSpeaker,A106))</f>
      </c>
      <c r="D106" s="20">
        <f>IF(A106="","",IFERROR(INDEX(ChatText,MATCH(1,INDEX((ChatSpeaker=A106)*(ChatTag="Y"),0),0)),""))</f>
      </c>
      <c r="E106" s="20">
        <f>IF(A106="","",IFERROR(INDEX(ChatText,MATCH(1,INDEX((ChatSpeaker=A106)*(ChatTag="T"),0),0)),""))</f>
      </c>
      <c r="F106" s="20">
        <f>IF(A106="","",IFERROR(INDEX(ChatText,MATCH(1,INDEX((ChatSpeaker=A106)*(ChatTag="B"),0),0)),""))</f>
      </c>
      <c r="G106" s="17">
        <f>IF(E106="",0,SUMPRODUCT((Items[ID]&lt;&gt;"")*ISNUMBER(SEARCH(" "&amp;Items[ID]&amp;" "," "&amp;SUBSTITUTE(SUBSTITUTE(SUBSTITUTE(SUBSTITUTE(SUBSTITUTE(SUBSTITUTE(SUBSTITUTE(E106,","," "),"."," "),";"," "),":"," "),"("," "),")"," "),"/"," ")&amp;" "))))</f>
      </c>
      <c r="H106" s="17">
        <f>IF(E106="",0,SUMPRODUCT((Items[ID]&lt;&gt;"")*(Items[Owner]=A106)*(Items[In sprint]=1)*ISNUMBER(SEARCH(" "&amp;Items[ID]&amp;" "," "&amp;SUBSTITUTE(SUBSTITUTE(SUBSTITUTE(SUBSTITUTE(SUBSTITUTE(SUBSTITUTE(SUBSTITUTE(E106,","," "),"."," "),";"," "),":"," "),"("," "),")"," "),"/"," ")&amp;" "))))</f>
      </c>
      <c r="I106" s="17">
        <f>IF(F106="","",IF(OR(LOWER(TRIM(F106))={"none","no","nothing","n/a","na","-","nope","no blockers","none.","nil"}),"","Y"))</f>
      </c>
      <c r="J106" s="17">
        <f>IF(D106="","",IF(OR(ISNUMBER(SEARCH({"done","finished","completed","closed","merged"},D106))),IFERROR(INDEX(Items[ID],MATCH(1,INDEX((Items[ID]&lt;&gt;"")*(Items[State]&lt;&gt;"DONE")*ISNUMBER(SEARCH(" "&amp;Items[ID]&amp;" "," "&amp;SUBSTITUTE(SUBSTITUTE(SUBSTITUTE(SUBSTITUTE(SUBSTITUTE(SUBSTITUTE(SUBSTITUTE(D106,","," "),"."," "),";"," "),":"," "),"("," "),")"," "),"/"," ")&amp;" ")),0),0)),""),""))</f>
      </c>
      <c r="K106" s="20">
        <f>IF(A106="","",TRIM(IF(C106=0,"silent; ","")&amp;IF(AND(N(C106)&gt;0,D106=""),"no Y; ","")&amp;IF(AND(N(C106)&gt;0,E106=""),"no T; ","")&amp;IF(AND(N(C106)&gt;0,F106=""),"no B; ","")&amp;IF(AND(E106&lt;&gt;"",G106=0),"no task id in T; ","")&amp;IF(AND(G106&gt;0,H106=0),"T names no task of yours in this sprint; ","")&amp;IF(I106="Y","blocker: "&amp;F106&amp;"; ","")))</f>
      </c>
      <c r="L106" s="20">
        <f>IF(A106="","",IF(C106=0,"@"&amp;A106&amp;" please post Y: / T: / B: for today.",IF(TRIM(IF(AND(N(C106)&gt;0,D106=""),"no Y; ","")&amp;IF(AND(N(C106)&gt;0,E106=""),"no T; ","")&amp;IF(AND(N(C106)&gt;0,F106=""),"no B; ","")&amp;IF(AND(E106&lt;&gt;"",G106=0),"no task id in T; ","")&amp;IF(AND(G106&gt;0,H106=0),"T names no task of yours in this sprint; ",""))="","","@"&amp;A106&amp;" please fix: "&amp;TRIM(IF(AND(N(C106)&gt;0,D106=""),"no Y; ","")&amp;IF(AND(N(C106)&gt;0,E106=""),"no T; ","")&amp;IF(AND(N(C106)&gt;0,F106=""),"no B; ","")&amp;IF(AND(E106&lt;&gt;"",G106=0),"no task id in T; ","")&amp;IF(AND(G106&gt;0,H106=0),"T names no task of yours in this sprint; ","")))))</f>
      </c>
      <c r="M106" s="11">
        <f>IF(N106="","",StandupDate)</f>
      </c>
      <c r="N106" s="17">
        <f>IF(J106&lt;&gt;"",J106,IF(I106="Y",IF(IFERROR(INDEX(Items[ID],MATCH(1,INDEX((Items[ID]&lt;&gt;"")*ISNUMBER(SEARCH(" "&amp;Items[ID]&amp;" "," "&amp;SUBSTITUTE(SUBSTITUTE(SUBSTITUTE(SUBSTITUTE(SUBSTITUTE(SUBSTITUTE(SUBSTITUTE(F106,",","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"&amp;SUBSTITUTE(SUBSTITUTE(SUBSTITUTE(SUBSTITUTE(SUBSTITUTE(SUBSTITUTE(SUBSTITUTE(F106,","," "),"."," "),";"," "),":"," "),"("," "),")"," "),"/"," ")&amp;" ")),0),0)),""),IFERROR(INDEX(Items[ID],MATCH(1,INDEX((Items[ID]&lt;&gt;"")*(Items[Owner]=A106)*ISNUMBER(SEARCH(" "&amp;Items[ID]&amp;" "," "&amp;SUBSTITUTE(SUBSTITUTE(SUBSTITUTE(SUBSTITUTE(SUBSTITUTE(SUBSTITUTE(SUBSTITUTE(E106,","," "),"."," "),";"," "),":"," "),"("," "),")"," "),"/"," ")&amp;" ")),0),0)),"")),""))</f>
      </c>
      <c r="O106" s="17">
        <f>IF(N106="","",IF(J106&lt;&gt;"","done","block"))</f>
      </c>
      <c r="P106" s="17">
        <f>IF(O106="block",F106,"")</f>
      </c>
    </row>
    <row r="107">
      <c r="A107" s="17">
        <f>IFERROR(INDEX(Roster[Name],103)&amp;"","")</f>
      </c>
      <c r="B107" s="17">
        <f>IF(A107="","",INDEX(Roster[Team],103)&amp;"")</f>
      </c>
      <c r="C107" s="17">
        <f>IF(OR(A107="",COUNTA(ChatPaste)=0),"",COUNTIF(ChatSpeaker,A107))</f>
      </c>
      <c r="D107" s="20">
        <f>IF(A107="","",IFERROR(INDEX(ChatText,MATCH(1,INDEX((ChatSpeaker=A107)*(ChatTag="Y"),0),0)),""))</f>
      </c>
      <c r="E107" s="20">
        <f>IF(A107="","",IFERROR(INDEX(ChatText,MATCH(1,INDEX((ChatSpeaker=A107)*(ChatTag="T"),0),0)),""))</f>
      </c>
      <c r="F107" s="20">
        <f>IF(A107="","",IFERROR(INDEX(ChatText,MATCH(1,INDEX((ChatSpeaker=A107)*(ChatTag="B"),0),0)),""))</f>
      </c>
      <c r="G107" s="17">
        <f>IF(E107="",0,SUMPRODUCT((Items[ID]&lt;&gt;"")*ISNUMBER(SEARCH(" "&amp;Items[ID]&amp;" "," "&amp;SUBSTITUTE(SUBSTITUTE(SUBSTITUTE(SUBSTITUTE(SUBSTITUTE(SUBSTITUTE(SUBSTITUTE(E107,","," "),"."," "),";"," "),":"," "),"("," "),")"," "),"/"," ")&amp;" "))))</f>
      </c>
      <c r="H107" s="17">
        <f>IF(E107="",0,SUMPRODUCT((Items[ID]&lt;&gt;"")*(Items[Owner]=A107)*(Items[In sprint]=1)*ISNUMBER(SEARCH(" "&amp;Items[ID]&amp;" "," "&amp;SUBSTITUTE(SUBSTITUTE(SUBSTITUTE(SUBSTITUTE(SUBSTITUTE(SUBSTITUTE(SUBSTITUTE(E107,","," "),"."," "),";"," "),":"," "),"("," "),")"," "),"/"," ")&amp;" "))))</f>
      </c>
      <c r="I107" s="17">
        <f>IF(F107="","",IF(OR(LOWER(TRIM(F107))={"none","no","nothing","n/a","na","-","nope","no blockers","none.","nil"}),"","Y"))</f>
      </c>
      <c r="J107" s="17">
        <f>IF(D107="","",IF(OR(ISNUMBER(SEARCH({"done","finished","completed","closed","merged"},D107))),IFERROR(INDEX(Items[ID],MATCH(1,INDEX((Items[ID]&lt;&gt;"")*(Items[State]&lt;&gt;"DONE")*ISNUMBER(SEARCH(" "&amp;Items[ID]&amp;" "," "&amp;SUBSTITUTE(SUBSTITUTE(SUBSTITUTE(SUBSTITUTE(SUBSTITUTE(SUBSTITUTE(SUBSTITUTE(D107,","," "),"."," "),";"," "),":"," "),"("," "),")"," "),"/"," ")&amp;" ")),0),0)),""),""))</f>
      </c>
      <c r="K107" s="20">
        <f>IF(A107="","",TRIM(IF(C107=0,"silent; ","")&amp;IF(AND(N(C107)&gt;0,D107=""),"no Y; ","")&amp;IF(AND(N(C107)&gt;0,E107=""),"no T; ","")&amp;IF(AND(N(C107)&gt;0,F107=""),"no B; ","")&amp;IF(AND(E107&lt;&gt;"",G107=0),"no task id in T; ","")&amp;IF(AND(G107&gt;0,H107=0),"T names no task of yours in this sprint; ","")&amp;IF(I107="Y","blocker: "&amp;F107&amp;"; ","")))</f>
      </c>
      <c r="L107" s="20">
        <f>IF(A107="","",IF(C107=0,"@"&amp;A107&amp;" please post Y: / T: / B: for today.",IF(TRIM(IF(AND(N(C107)&gt;0,D107=""),"no Y; ","")&amp;IF(AND(N(C107)&gt;0,E107=""),"no T; ","")&amp;IF(AND(N(C107)&gt;0,F107=""),"no B; ","")&amp;IF(AND(E107&lt;&gt;"",G107=0),"no task id in T; ","")&amp;IF(AND(G107&gt;0,H107=0),"T names no task of yours in this sprint; ",""))="","","@"&amp;A107&amp;" please fix: "&amp;TRIM(IF(AND(N(C107)&gt;0,D107=""),"no Y; ","")&amp;IF(AND(N(C107)&gt;0,E107=""),"no T; ","")&amp;IF(AND(N(C107)&gt;0,F107=""),"no B; ","")&amp;IF(AND(E107&lt;&gt;"",G107=0),"no task id in T; ","")&amp;IF(AND(G107&gt;0,H107=0),"T names no task of yours in this sprint; ","")))))</f>
      </c>
      <c r="M107" s="11">
        <f>IF(N107="","",StandupDate)</f>
      </c>
      <c r="N107" s="17">
        <f>IF(J107&lt;&gt;"",J107,IF(I107="Y",IF(IFERROR(INDEX(Items[ID],MATCH(1,INDEX((Items[ID]&lt;&gt;"")*ISNUMBER(SEARCH(" "&amp;Items[ID]&amp;" "," "&amp;SUBSTITUTE(SUBSTITUTE(SUBSTITUTE(SUBSTITUTE(SUBSTITUTE(SUBSTITUTE(SUBSTITUTE(F107,",","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"&amp;SUBSTITUTE(SUBSTITUTE(SUBSTITUTE(SUBSTITUTE(SUBSTITUTE(SUBSTITUTE(SUBSTITUTE(F107,","," "),"."," "),";"," "),":"," "),"("," "),")"," "),"/"," ")&amp;" ")),0),0)),""),IFERROR(INDEX(Items[ID],MATCH(1,INDEX((Items[ID]&lt;&gt;"")*(Items[Owner]=A107)*ISNUMBER(SEARCH(" "&amp;Items[ID]&amp;" "," "&amp;SUBSTITUTE(SUBSTITUTE(SUBSTITUTE(SUBSTITUTE(SUBSTITUTE(SUBSTITUTE(SUBSTITUTE(E107,","," "),"."," "),";"," "),":"," "),"("," "),")"," "),"/"," ")&amp;" ")),0),0)),"")),""))</f>
      </c>
      <c r="O107" s="17">
        <f>IF(N107="","",IF(J107&lt;&gt;"","done","block"))</f>
      </c>
      <c r="P107" s="17">
        <f>IF(O107="block",F107,"")</f>
      </c>
    </row>
    <row r="108">
      <c r="A108" s="17">
        <f>IFERROR(INDEX(Roster[Name],104)&amp;"","")</f>
      </c>
      <c r="B108" s="17">
        <f>IF(A108="","",INDEX(Roster[Team],104)&amp;"")</f>
      </c>
      <c r="C108" s="17">
        <f>IF(OR(A108="",COUNTA(ChatPaste)=0),"",COUNTIF(ChatSpeaker,A108))</f>
      </c>
      <c r="D108" s="20">
        <f>IF(A108="","",IFERROR(INDEX(ChatText,MATCH(1,INDEX((ChatSpeaker=A108)*(ChatTag="Y"),0),0)),""))</f>
      </c>
      <c r="E108" s="20">
        <f>IF(A108="","",IFERROR(INDEX(ChatText,MATCH(1,INDEX((ChatSpeaker=A108)*(ChatTag="T"),0),0)),""))</f>
      </c>
      <c r="F108" s="20">
        <f>IF(A108="","",IFERROR(INDEX(ChatText,MATCH(1,INDEX((ChatSpeaker=A108)*(ChatTag="B"),0),0)),""))</f>
      </c>
      <c r="G108" s="17">
        <f>IF(E108="",0,SUMPRODUCT((Items[ID]&lt;&gt;"")*ISNUMBER(SEARCH(" "&amp;Items[ID]&amp;" "," "&amp;SUBSTITUTE(SUBSTITUTE(SUBSTITUTE(SUBSTITUTE(SUBSTITUTE(SUBSTITUTE(SUBSTITUTE(E108,","," "),"."," "),";"," "),":"," "),"("," "),")"," "),"/"," ")&amp;" "))))</f>
      </c>
      <c r="H108" s="17">
        <f>IF(E108="",0,SUMPRODUCT((Items[ID]&lt;&gt;"")*(Items[Owner]=A108)*(Items[In sprint]=1)*ISNUMBER(SEARCH(" "&amp;Items[ID]&amp;" "," "&amp;SUBSTITUTE(SUBSTITUTE(SUBSTITUTE(SUBSTITUTE(SUBSTITUTE(SUBSTITUTE(SUBSTITUTE(E108,","," "),"."," "),";"," "),":"," "),"("," "),")"," "),"/"," ")&amp;" "))))</f>
      </c>
      <c r="I108" s="17">
        <f>IF(F108="","",IF(OR(LOWER(TRIM(F108))={"none","no","nothing","n/a","na","-","nope","no blockers","none.","nil"}),"","Y"))</f>
      </c>
      <c r="J108" s="17">
        <f>IF(D108="","",IF(OR(ISNUMBER(SEARCH({"done","finished","completed","closed","merged"},D108))),IFERROR(INDEX(Items[ID],MATCH(1,INDEX((Items[ID]&lt;&gt;"")*(Items[State]&lt;&gt;"DONE")*ISNUMBER(SEARCH(" "&amp;Items[ID]&amp;" "," "&amp;SUBSTITUTE(SUBSTITUTE(SUBSTITUTE(SUBSTITUTE(SUBSTITUTE(SUBSTITUTE(SUBSTITUTE(D108,","," "),"."," "),";"," "),":"," "),"("," "),")"," "),"/"," ")&amp;" ")),0),0)),""),""))</f>
      </c>
      <c r="K108" s="20">
        <f>IF(A108="","",TRIM(IF(C108=0,"silent; ","")&amp;IF(AND(N(C108)&gt;0,D108=""),"no Y; ","")&amp;IF(AND(N(C108)&gt;0,E108=""),"no T; ","")&amp;IF(AND(N(C108)&gt;0,F108=""),"no B; ","")&amp;IF(AND(E108&lt;&gt;"",G108=0),"no task id in T; ","")&amp;IF(AND(G108&gt;0,H108=0),"T names no task of yours in this sprint; ","")&amp;IF(I108="Y","blocker: "&amp;F108&amp;"; ","")))</f>
      </c>
      <c r="L108" s="20">
        <f>IF(A108="","",IF(C108=0,"@"&amp;A108&amp;" please post Y: / T: / B: for today.",IF(TRIM(IF(AND(N(C108)&gt;0,D108=""),"no Y; ","")&amp;IF(AND(N(C108)&gt;0,E108=""),"no T; ","")&amp;IF(AND(N(C108)&gt;0,F108=""),"no B; ","")&amp;IF(AND(E108&lt;&gt;"",G108=0),"no task id in T; ","")&amp;IF(AND(G108&gt;0,H108=0),"T names no task of yours in this sprint; ",""))="","","@"&amp;A108&amp;" please fix: "&amp;TRIM(IF(AND(N(C108)&gt;0,D108=""),"no Y; ","")&amp;IF(AND(N(C108)&gt;0,E108=""),"no T; ","")&amp;IF(AND(N(C108)&gt;0,F108=""),"no B; ","")&amp;IF(AND(E108&lt;&gt;"",G108=0),"no task id in T; ","")&amp;IF(AND(G108&gt;0,H108=0),"T names no task of yours in this sprint; ","")))))</f>
      </c>
      <c r="M108" s="11">
        <f>IF(N108="","",StandupDate)</f>
      </c>
      <c r="N108" s="17">
        <f>IF(J108&lt;&gt;"",J108,IF(I108="Y",IF(IFERROR(INDEX(Items[ID],MATCH(1,INDEX((Items[ID]&lt;&gt;"")*ISNUMBER(SEARCH(" "&amp;Items[ID]&amp;" "," "&amp;SUBSTITUTE(SUBSTITUTE(SUBSTITUTE(SUBSTITUTE(SUBSTITUTE(SUBSTITUTE(SUBSTITUTE(F108,",","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"&amp;SUBSTITUTE(SUBSTITUTE(SUBSTITUTE(SUBSTITUTE(SUBSTITUTE(SUBSTITUTE(SUBSTITUTE(F108,","," "),"."," "),";"," "),":"," "),"("," "),")"," "),"/"," ")&amp;" ")),0),0)),""),IFERROR(INDEX(Items[ID],MATCH(1,INDEX((Items[ID]&lt;&gt;"")*(Items[Owner]=A108)*ISNUMBER(SEARCH(" "&amp;Items[ID]&amp;" "," "&amp;SUBSTITUTE(SUBSTITUTE(SUBSTITUTE(SUBSTITUTE(SUBSTITUTE(SUBSTITUTE(SUBSTITUTE(E108,","," "),"."," "),";"," "),":"," "),"("," "),")"," "),"/"," ")&amp;" ")),0),0)),"")),""))</f>
      </c>
      <c r="O108" s="17">
        <f>IF(N108="","",IF(J108&lt;&gt;"","done","block"))</f>
      </c>
      <c r="P108" s="17">
        <f>IF(O108="block",F108,"")</f>
      </c>
    </row>
    <row r="109">
      <c r="A109" s="17">
        <f>IFERROR(INDEX(Roster[Name],105)&amp;"","")</f>
      </c>
      <c r="B109" s="17">
        <f>IF(A109="","",INDEX(Roster[Team],105)&amp;"")</f>
      </c>
      <c r="C109" s="17">
        <f>IF(OR(A109="",COUNTA(ChatPaste)=0),"",COUNTIF(ChatSpeaker,A109))</f>
      </c>
      <c r="D109" s="20">
        <f>IF(A109="","",IFERROR(INDEX(ChatText,MATCH(1,INDEX((ChatSpeaker=A109)*(ChatTag="Y"),0),0)),""))</f>
      </c>
      <c r="E109" s="20">
        <f>IF(A109="","",IFERROR(INDEX(ChatText,MATCH(1,INDEX((ChatSpeaker=A109)*(ChatTag="T"),0),0)),""))</f>
      </c>
      <c r="F109" s="20">
        <f>IF(A109="","",IFERROR(INDEX(ChatText,MATCH(1,INDEX((ChatSpeaker=A109)*(ChatTag="B"),0),0)),""))</f>
      </c>
      <c r="G109" s="17">
        <f>IF(E109="",0,SUMPRODUCT((Items[ID]&lt;&gt;"")*ISNUMBER(SEARCH(" "&amp;Items[ID]&amp;" "," "&amp;SUBSTITUTE(SUBSTITUTE(SUBSTITUTE(SUBSTITUTE(SUBSTITUTE(SUBSTITUTE(SUBSTITUTE(E109,","," "),"."," "),";"," "),":"," "),"("," "),")"," "),"/"," ")&amp;" "))))</f>
      </c>
      <c r="H109" s="17">
        <f>IF(E109="",0,SUMPRODUCT((Items[ID]&lt;&gt;"")*(Items[Owner]=A109)*(Items[In sprint]=1)*ISNUMBER(SEARCH(" "&amp;Items[ID]&amp;" "," "&amp;SUBSTITUTE(SUBSTITUTE(SUBSTITUTE(SUBSTITUTE(SUBSTITUTE(SUBSTITUTE(SUBSTITUTE(E109,","," "),"."," "),";"," "),":"," "),"("," "),")"," "),"/"," ")&amp;" "))))</f>
      </c>
      <c r="I109" s="17">
        <f>IF(F109="","",IF(OR(LOWER(TRIM(F109))={"none","no","nothing","n/a","na","-","nope","no blockers","none.","nil"}),"","Y"))</f>
      </c>
      <c r="J109" s="17">
        <f>IF(D109="","",IF(OR(ISNUMBER(SEARCH({"done","finished","completed","closed","merged"},D109))),IFERROR(INDEX(Items[ID],MATCH(1,INDEX((Items[ID]&lt;&gt;"")*(Items[State]&lt;&gt;"DONE")*ISNUMBER(SEARCH(" "&amp;Items[ID]&amp;" "," "&amp;SUBSTITUTE(SUBSTITUTE(SUBSTITUTE(SUBSTITUTE(SUBSTITUTE(SUBSTITUTE(SUBSTITUTE(D109,","," "),"."," "),";"," "),":"," "),"("," "),")"," "),"/"," ")&amp;" ")),0),0)),""),""))</f>
      </c>
      <c r="K109" s="20">
        <f>IF(A109="","",TRIM(IF(C109=0,"silent; ","")&amp;IF(AND(N(C109)&gt;0,D109=""),"no Y; ","")&amp;IF(AND(N(C109)&gt;0,E109=""),"no T; ","")&amp;IF(AND(N(C109)&gt;0,F109=""),"no B; ","")&amp;IF(AND(E109&lt;&gt;"",G109=0),"no task id in T; ","")&amp;IF(AND(G109&gt;0,H109=0),"T names no task of yours in this sprint; ","")&amp;IF(I109="Y","blocker: "&amp;F109&amp;"; ","")))</f>
      </c>
      <c r="L109" s="20">
        <f>IF(A109="","",IF(C109=0,"@"&amp;A109&amp;" please post Y: / T: / B: for today.",IF(TRIM(IF(AND(N(C109)&gt;0,D109=""),"no Y; ","")&amp;IF(AND(N(C109)&gt;0,E109=""),"no T; ","")&amp;IF(AND(N(C109)&gt;0,F109=""),"no B; ","")&amp;IF(AND(E109&lt;&gt;"",G109=0),"no task id in T; ","")&amp;IF(AND(G109&gt;0,H109=0),"T names no task of yours in this sprint; ",""))="","","@"&amp;A109&amp;" please fix: "&amp;TRIM(IF(AND(N(C109)&gt;0,D109=""),"no Y; ","")&amp;IF(AND(N(C109)&gt;0,E109=""),"no T; ","")&amp;IF(AND(N(C109)&gt;0,F109=""),"no B; ","")&amp;IF(AND(E109&lt;&gt;"",G109=0),"no task id in T; ","")&amp;IF(AND(G109&gt;0,H109=0),"T names no task of yours in this sprint; ","")))))</f>
      </c>
      <c r="M109" s="11">
        <f>IF(N109="","",StandupDate)</f>
      </c>
      <c r="N109" s="17">
        <f>IF(J109&lt;&gt;"",J109,IF(I109="Y",IF(IFERROR(INDEX(Items[ID],MATCH(1,INDEX((Items[ID]&lt;&gt;"")*ISNUMBER(SEARCH(" "&amp;Items[ID]&amp;" "," "&amp;SUBSTITUTE(SUBSTITUTE(SUBSTITUTE(SUBSTITUTE(SUBSTITUTE(SUBSTITUTE(SUBSTITUTE(F109,",","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"&amp;SUBSTITUTE(SUBSTITUTE(SUBSTITUTE(SUBSTITUTE(SUBSTITUTE(SUBSTITUTE(SUBSTITUTE(F109,","," "),"."," "),";"," "),":"," "),"("," "),")"," "),"/"," ")&amp;" ")),0),0)),""),IFERROR(INDEX(Items[ID],MATCH(1,INDEX((Items[ID]&lt;&gt;"")*(Items[Owner]=A109)*ISNUMBER(SEARCH(" "&amp;Items[ID]&amp;" "," "&amp;SUBSTITUTE(SUBSTITUTE(SUBSTITUTE(SUBSTITUTE(SUBSTITUTE(SUBSTITUTE(SUBSTITUTE(E109,","," "),"."," "),";"," "),":"," "),"("," "),")"," "),"/"," ")&amp;" ")),0),0)),"")),""))</f>
      </c>
      <c r="O109" s="17">
        <f>IF(N109="","",IF(J109&lt;&gt;"","done","block"))</f>
      </c>
      <c r="P109" s="17">
        <f>IF(O109="block",F109,"")</f>
      </c>
    </row>
    <row r="110">
      <c r="A110" s="17">
        <f>IFERROR(INDEX(Roster[Name],106)&amp;"","")</f>
      </c>
      <c r="B110" s="17">
        <f>IF(A110="","",INDEX(Roster[Team],106)&amp;"")</f>
      </c>
      <c r="C110" s="17">
        <f>IF(OR(A110="",COUNTA(ChatPaste)=0),"",COUNTIF(ChatSpeaker,A110))</f>
      </c>
      <c r="D110" s="20">
        <f>IF(A110="","",IFERROR(INDEX(ChatText,MATCH(1,INDEX((ChatSpeaker=A110)*(ChatTag="Y"),0),0)),""))</f>
      </c>
      <c r="E110" s="20">
        <f>IF(A110="","",IFERROR(INDEX(ChatText,MATCH(1,INDEX((ChatSpeaker=A110)*(ChatTag="T"),0),0)),""))</f>
      </c>
      <c r="F110" s="20">
        <f>IF(A110="","",IFERROR(INDEX(ChatText,MATCH(1,INDEX((ChatSpeaker=A110)*(ChatTag="B"),0),0)),""))</f>
      </c>
      <c r="G110" s="17">
        <f>IF(E110="",0,SUMPRODUCT((Items[ID]&lt;&gt;"")*ISNUMBER(SEARCH(" "&amp;Items[ID]&amp;" "," "&amp;SUBSTITUTE(SUBSTITUTE(SUBSTITUTE(SUBSTITUTE(SUBSTITUTE(SUBSTITUTE(SUBSTITUTE(E110,","," "),"."," "),";"," "),":"," "),"("," "),")"," "),"/"," ")&amp;" "))))</f>
      </c>
      <c r="H110" s="17">
        <f>IF(E110="",0,SUMPRODUCT((Items[ID]&lt;&gt;"")*(Items[Owner]=A110)*(Items[In sprint]=1)*ISNUMBER(SEARCH(" "&amp;Items[ID]&amp;" "," "&amp;SUBSTITUTE(SUBSTITUTE(SUBSTITUTE(SUBSTITUTE(SUBSTITUTE(SUBSTITUTE(SUBSTITUTE(E110,","," "),"."," "),";"," "),":"," "),"("," "),")"," "),"/"," ")&amp;" "))))</f>
      </c>
      <c r="I110" s="17">
        <f>IF(F110="","",IF(OR(LOWER(TRIM(F110))={"none","no","nothing","n/a","na","-","nope","no blockers","none.","nil"}),"","Y"))</f>
      </c>
      <c r="J110" s="17">
        <f>IF(D110="","",IF(OR(ISNUMBER(SEARCH({"done","finished","completed","closed","merged"},D110))),IFERROR(INDEX(Items[ID],MATCH(1,INDEX((Items[ID]&lt;&gt;"")*(Items[State]&lt;&gt;"DONE")*ISNUMBER(SEARCH(" "&amp;Items[ID]&amp;" "," "&amp;SUBSTITUTE(SUBSTITUTE(SUBSTITUTE(SUBSTITUTE(SUBSTITUTE(SUBSTITUTE(SUBSTITUTE(D110,","," "),"."," "),";"," "),":"," "),"("," "),")"," "),"/"," ")&amp;" ")),0),0)),""),""))</f>
      </c>
      <c r="K110" s="20">
        <f>IF(A110="","",TRIM(IF(C110=0,"silent; ","")&amp;IF(AND(N(C110)&gt;0,D110=""),"no Y; ","")&amp;IF(AND(N(C110)&gt;0,E110=""),"no T; ","")&amp;IF(AND(N(C110)&gt;0,F110=""),"no B; ","")&amp;IF(AND(E110&lt;&gt;"",G110=0),"no task id in T; ","")&amp;IF(AND(G110&gt;0,H110=0),"T names no task of yours in this sprint; ","")&amp;IF(I110="Y","blocker: "&amp;F110&amp;"; ","")))</f>
      </c>
      <c r="L110" s="20">
        <f>IF(A110="","",IF(C110=0,"@"&amp;A110&amp;" please post Y: / T: / B: for today.",IF(TRIM(IF(AND(N(C110)&gt;0,D110=""),"no Y; ","")&amp;IF(AND(N(C110)&gt;0,E110=""),"no T; ","")&amp;IF(AND(N(C110)&gt;0,F110=""),"no B; ","")&amp;IF(AND(E110&lt;&gt;"",G110=0),"no task id in T; ","")&amp;IF(AND(G110&gt;0,H110=0),"T names no task of yours in this sprint; ",""))="","","@"&amp;A110&amp;" please fix: "&amp;TRIM(IF(AND(N(C110)&gt;0,D110=""),"no Y; ","")&amp;IF(AND(N(C110)&gt;0,E110=""),"no T; ","")&amp;IF(AND(N(C110)&gt;0,F110=""),"no B; ","")&amp;IF(AND(E110&lt;&gt;"",G110=0),"no task id in T; ","")&amp;IF(AND(G110&gt;0,H110=0),"T names no task of yours in this sprint; ","")))))</f>
      </c>
      <c r="M110" s="11">
        <f>IF(N110="","",StandupDate)</f>
      </c>
      <c r="N110" s="17">
        <f>IF(J110&lt;&gt;"",J110,IF(I110="Y",IF(IFERROR(INDEX(Items[ID],MATCH(1,INDEX((Items[ID]&lt;&gt;"")*ISNUMBER(SEARCH(" "&amp;Items[ID]&amp;" "," "&amp;SUBSTITUTE(SUBSTITUTE(SUBSTITUTE(SUBSTITUTE(SUBSTITUTE(SUBSTITUTE(SUBSTITUTE(F110,",","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"&amp;SUBSTITUTE(SUBSTITUTE(SUBSTITUTE(SUBSTITUTE(SUBSTITUTE(SUBSTITUTE(SUBSTITUTE(F110,","," "),"."," "),";"," "),":"," "),"("," "),")"," "),"/"," ")&amp;" ")),0),0)),""),IFERROR(INDEX(Items[ID],MATCH(1,INDEX((Items[ID]&lt;&gt;"")*(Items[Owner]=A110)*ISNUMBER(SEARCH(" "&amp;Items[ID]&amp;" "," "&amp;SUBSTITUTE(SUBSTITUTE(SUBSTITUTE(SUBSTITUTE(SUBSTITUTE(SUBSTITUTE(SUBSTITUTE(E110,","," "),"."," "),";"," "),":"," "),"("," "),")"," "),"/"," ")&amp;" ")),0),0)),"")),""))</f>
      </c>
      <c r="O110" s="17">
        <f>IF(N110="","",IF(J110&lt;&gt;"","done","block"))</f>
      </c>
      <c r="P110" s="17">
        <f>IF(O110="block",F110,"")</f>
      </c>
    </row>
    <row r="111">
      <c r="A111" s="17">
        <f>IFERROR(INDEX(Roster[Name],107)&amp;"","")</f>
      </c>
      <c r="B111" s="17">
        <f>IF(A111="","",INDEX(Roster[Team],107)&amp;"")</f>
      </c>
      <c r="C111" s="17">
        <f>IF(OR(A111="",COUNTA(ChatPaste)=0),"",COUNTIF(ChatSpeaker,A111))</f>
      </c>
      <c r="D111" s="20">
        <f>IF(A111="","",IFERROR(INDEX(ChatText,MATCH(1,INDEX((ChatSpeaker=A111)*(ChatTag="Y"),0),0)),""))</f>
      </c>
      <c r="E111" s="20">
        <f>IF(A111="","",IFERROR(INDEX(ChatText,MATCH(1,INDEX((ChatSpeaker=A111)*(ChatTag="T"),0),0)),""))</f>
      </c>
      <c r="F111" s="20">
        <f>IF(A111="","",IFERROR(INDEX(ChatText,MATCH(1,INDEX((ChatSpeaker=A111)*(ChatTag="B"),0),0)),""))</f>
      </c>
      <c r="G111" s="17">
        <f>IF(E111="",0,SUMPRODUCT((Items[ID]&lt;&gt;"")*ISNUMBER(SEARCH(" "&amp;Items[ID]&amp;" "," "&amp;SUBSTITUTE(SUBSTITUTE(SUBSTITUTE(SUBSTITUTE(SUBSTITUTE(SUBSTITUTE(SUBSTITUTE(E111,","," "),"."," "),";"," "),":"," "),"("," "),")"," "),"/"," ")&amp;" "))))</f>
      </c>
      <c r="H111" s="17">
        <f>IF(E111="",0,SUMPRODUCT((Items[ID]&lt;&gt;"")*(Items[Owner]=A111)*(Items[In sprint]=1)*ISNUMBER(SEARCH(" "&amp;Items[ID]&amp;" "," "&amp;SUBSTITUTE(SUBSTITUTE(SUBSTITUTE(SUBSTITUTE(SUBSTITUTE(SUBSTITUTE(SUBSTITUTE(E111,","," "),"."," "),";"," "),":"," "),"("," "),")"," "),"/"," ")&amp;" "))))</f>
      </c>
      <c r="I111" s="17">
        <f>IF(F111="","",IF(OR(LOWER(TRIM(F111))={"none","no","nothing","n/a","na","-","nope","no blockers","none.","nil"}),"","Y"))</f>
      </c>
      <c r="J111" s="17">
        <f>IF(D111="","",IF(OR(ISNUMBER(SEARCH({"done","finished","completed","closed","merged"},D111))),IFERROR(INDEX(Items[ID],MATCH(1,INDEX((Items[ID]&lt;&gt;"")*(Items[State]&lt;&gt;"DONE")*ISNUMBER(SEARCH(" "&amp;Items[ID]&amp;" "," "&amp;SUBSTITUTE(SUBSTITUTE(SUBSTITUTE(SUBSTITUTE(SUBSTITUTE(SUBSTITUTE(SUBSTITUTE(D111,","," "),"."," "),";"," "),":"," "),"("," "),")"," "),"/"," ")&amp;" ")),0),0)),""),""))</f>
      </c>
      <c r="K111" s="20">
        <f>IF(A111="","",TRIM(IF(C111=0,"silent; ","")&amp;IF(AND(N(C111)&gt;0,D111=""),"no Y; ","")&amp;IF(AND(N(C111)&gt;0,E111=""),"no T; ","")&amp;IF(AND(N(C111)&gt;0,F111=""),"no B; ","")&amp;IF(AND(E111&lt;&gt;"",G111=0),"no task id in T; ","")&amp;IF(AND(G111&gt;0,H111=0),"T names no task of yours in this sprint; ","")&amp;IF(I111="Y","blocker: "&amp;F111&amp;"; ","")))</f>
      </c>
      <c r="L111" s="20">
        <f>IF(A111="","",IF(C111=0,"@"&amp;A111&amp;" please post Y: / T: / B: for today.",IF(TRIM(IF(AND(N(C111)&gt;0,D111=""),"no Y; ","")&amp;IF(AND(N(C111)&gt;0,E111=""),"no T; ","")&amp;IF(AND(N(C111)&gt;0,F111=""),"no B; ","")&amp;IF(AND(E111&lt;&gt;"",G111=0),"no task id in T; ","")&amp;IF(AND(G111&gt;0,H111=0),"T names no task of yours in this sprint; ",""))="","","@"&amp;A111&amp;" please fix: "&amp;TRIM(IF(AND(N(C111)&gt;0,D111=""),"no Y; ","")&amp;IF(AND(N(C111)&gt;0,E111=""),"no T; ","")&amp;IF(AND(N(C111)&gt;0,F111=""),"no B; ","")&amp;IF(AND(E111&lt;&gt;"",G111=0),"no task id in T; ","")&amp;IF(AND(G111&gt;0,H111=0),"T names no task of yours in this sprint; ","")))))</f>
      </c>
      <c r="M111" s="11">
        <f>IF(N111="","",StandupDate)</f>
      </c>
      <c r="N111" s="17">
        <f>IF(J111&lt;&gt;"",J111,IF(I111="Y",IF(IFERROR(INDEX(Items[ID],MATCH(1,INDEX((Items[ID]&lt;&gt;"")*ISNUMBER(SEARCH(" "&amp;Items[ID]&amp;" "," "&amp;SUBSTITUTE(SUBSTITUTE(SUBSTITUTE(SUBSTITUTE(SUBSTITUTE(SUBSTITUTE(SUBSTITUTE(F111,",","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"&amp;SUBSTITUTE(SUBSTITUTE(SUBSTITUTE(SUBSTITUTE(SUBSTITUTE(SUBSTITUTE(SUBSTITUTE(F111,","," "),"."," "),";"," "),":"," "),"("," "),")"," "),"/"," ")&amp;" ")),0),0)),""),IFERROR(INDEX(Items[ID],MATCH(1,INDEX((Items[ID]&lt;&gt;"")*(Items[Owner]=A111)*ISNUMBER(SEARCH(" "&amp;Items[ID]&amp;" "," "&amp;SUBSTITUTE(SUBSTITUTE(SUBSTITUTE(SUBSTITUTE(SUBSTITUTE(SUBSTITUTE(SUBSTITUTE(E111,","," "),"."," "),";"," "),":"," "),"("," "),")"," "),"/"," ")&amp;" ")),0),0)),"")),""))</f>
      </c>
      <c r="O111" s="17">
        <f>IF(N111="","",IF(J111&lt;&gt;"","done","block"))</f>
      </c>
      <c r="P111" s="17">
        <f>IF(O111="block",F111,"")</f>
      </c>
    </row>
    <row r="112">
      <c r="A112" s="17">
        <f>IFERROR(INDEX(Roster[Name],108)&amp;"","")</f>
      </c>
      <c r="B112" s="17">
        <f>IF(A112="","",INDEX(Roster[Team],108)&amp;"")</f>
      </c>
      <c r="C112" s="17">
        <f>IF(OR(A112="",COUNTA(ChatPaste)=0),"",COUNTIF(ChatSpeaker,A112))</f>
      </c>
      <c r="D112" s="20">
        <f>IF(A112="","",IFERROR(INDEX(ChatText,MATCH(1,INDEX((ChatSpeaker=A112)*(ChatTag="Y"),0),0)),""))</f>
      </c>
      <c r="E112" s="20">
        <f>IF(A112="","",IFERROR(INDEX(ChatText,MATCH(1,INDEX((ChatSpeaker=A112)*(ChatTag="T"),0),0)),""))</f>
      </c>
      <c r="F112" s="20">
        <f>IF(A112="","",IFERROR(INDEX(ChatText,MATCH(1,INDEX((ChatSpeaker=A112)*(ChatTag="B"),0),0)),""))</f>
      </c>
      <c r="G112" s="17">
        <f>IF(E112="",0,SUMPRODUCT((Items[ID]&lt;&gt;"")*ISNUMBER(SEARCH(" "&amp;Items[ID]&amp;" "," "&amp;SUBSTITUTE(SUBSTITUTE(SUBSTITUTE(SUBSTITUTE(SUBSTITUTE(SUBSTITUTE(SUBSTITUTE(E112,","," "),"."," "),";"," "),":"," "),"("," "),")"," "),"/"," ")&amp;" "))))</f>
      </c>
      <c r="H112" s="17">
        <f>IF(E112="",0,SUMPRODUCT((Items[ID]&lt;&gt;"")*(Items[Owner]=A112)*(Items[In sprint]=1)*ISNUMBER(SEARCH(" "&amp;Items[ID]&amp;" "," "&amp;SUBSTITUTE(SUBSTITUTE(SUBSTITUTE(SUBSTITUTE(SUBSTITUTE(SUBSTITUTE(SUBSTITUTE(E112,","," "),"."," "),";"," "),":"," "),"("," "),")"," "),"/"," ")&amp;" "))))</f>
      </c>
      <c r="I112" s="17">
        <f>IF(F112="","",IF(OR(LOWER(TRIM(F112))={"none","no","nothing","n/a","na","-","nope","no blockers","none.","nil"}),"","Y"))</f>
      </c>
      <c r="J112" s="17">
        <f>IF(D112="","",IF(OR(ISNUMBER(SEARCH({"done","finished","completed","closed","merged"},D112))),IFERROR(INDEX(Items[ID],MATCH(1,INDEX((Items[ID]&lt;&gt;"")*(Items[State]&lt;&gt;"DONE")*ISNUMBER(SEARCH(" "&amp;Items[ID]&amp;" "," "&amp;SUBSTITUTE(SUBSTITUTE(SUBSTITUTE(SUBSTITUTE(SUBSTITUTE(SUBSTITUTE(SUBSTITUTE(D112,","," "),"."," "),";"," "),":"," "),"("," "),")"," "),"/"," ")&amp;" ")),0),0)),""),""))</f>
      </c>
      <c r="K112" s="20">
        <f>IF(A112="","",TRIM(IF(C112=0,"silent; ","")&amp;IF(AND(N(C112)&gt;0,D112=""),"no Y; ","")&amp;IF(AND(N(C112)&gt;0,E112=""),"no T; ","")&amp;IF(AND(N(C112)&gt;0,F112=""),"no B; ","")&amp;IF(AND(E112&lt;&gt;"",G112=0),"no task id in T; ","")&amp;IF(AND(G112&gt;0,H112=0),"T names no task of yours in this sprint; ","")&amp;IF(I112="Y","blocker: "&amp;F112&amp;"; ","")))</f>
      </c>
      <c r="L112" s="20">
        <f>IF(A112="","",IF(C112=0,"@"&amp;A112&amp;" please post Y: / T: / B: for today.",IF(TRIM(IF(AND(N(C112)&gt;0,D112=""),"no Y; ","")&amp;IF(AND(N(C112)&gt;0,E112=""),"no T; ","")&amp;IF(AND(N(C112)&gt;0,F112=""),"no B; ","")&amp;IF(AND(E112&lt;&gt;"",G112=0),"no task id in T; ","")&amp;IF(AND(G112&gt;0,H112=0),"T names no task of yours in this sprint; ",""))="","","@"&amp;A112&amp;" please fix: "&amp;TRIM(IF(AND(N(C112)&gt;0,D112=""),"no Y; ","")&amp;IF(AND(N(C112)&gt;0,E112=""),"no T; ","")&amp;IF(AND(N(C112)&gt;0,F112=""),"no B; ","")&amp;IF(AND(E112&lt;&gt;"",G112=0),"no task id in T; ","")&amp;IF(AND(G112&gt;0,H112=0),"T names no task of yours in this sprint; ","")))))</f>
      </c>
      <c r="M112" s="11">
        <f>IF(N112="","",StandupDate)</f>
      </c>
      <c r="N112" s="17">
        <f>IF(J112&lt;&gt;"",J112,IF(I112="Y",IF(IFERROR(INDEX(Items[ID],MATCH(1,INDEX((Items[ID]&lt;&gt;"")*ISNUMBER(SEARCH(" "&amp;Items[ID]&amp;" "," "&amp;SUBSTITUTE(SUBSTITUTE(SUBSTITUTE(SUBSTITUTE(SUBSTITUTE(SUBSTITUTE(SUBSTITUTE(F112,",","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"&amp;SUBSTITUTE(SUBSTITUTE(SUBSTITUTE(SUBSTITUTE(SUBSTITUTE(SUBSTITUTE(SUBSTITUTE(F112,","," "),"."," "),";"," "),":"," "),"("," "),")"," "),"/"," ")&amp;" ")),0),0)),""),IFERROR(INDEX(Items[ID],MATCH(1,INDEX((Items[ID]&lt;&gt;"")*(Items[Owner]=A112)*ISNUMBER(SEARCH(" "&amp;Items[ID]&amp;" "," "&amp;SUBSTITUTE(SUBSTITUTE(SUBSTITUTE(SUBSTITUTE(SUBSTITUTE(SUBSTITUTE(SUBSTITUTE(E112,","," "),"."," "),";"," "),":"," "),"("," "),")"," "),"/"," ")&amp;" ")),0),0)),"")),""))</f>
      </c>
      <c r="O112" s="17">
        <f>IF(N112="","",IF(J112&lt;&gt;"","done","block"))</f>
      </c>
      <c r="P112" s="17">
        <f>IF(O112="block",F112,"")</f>
      </c>
    </row>
    <row r="113">
      <c r="A113" s="17">
        <f>IFERROR(INDEX(Roster[Name],109)&amp;"","")</f>
      </c>
      <c r="B113" s="17">
        <f>IF(A113="","",INDEX(Roster[Team],109)&amp;"")</f>
      </c>
      <c r="C113" s="17">
        <f>IF(OR(A113="",COUNTA(ChatPaste)=0),"",COUNTIF(ChatSpeaker,A113))</f>
      </c>
      <c r="D113" s="20">
        <f>IF(A113="","",IFERROR(INDEX(ChatText,MATCH(1,INDEX((ChatSpeaker=A113)*(ChatTag="Y"),0),0)),""))</f>
      </c>
      <c r="E113" s="20">
        <f>IF(A113="","",IFERROR(INDEX(ChatText,MATCH(1,INDEX((ChatSpeaker=A113)*(ChatTag="T"),0),0)),""))</f>
      </c>
      <c r="F113" s="20">
        <f>IF(A113="","",IFERROR(INDEX(ChatText,MATCH(1,INDEX((ChatSpeaker=A113)*(ChatTag="B"),0),0)),""))</f>
      </c>
      <c r="G113" s="17">
        <f>IF(E113="",0,SUMPRODUCT((Items[ID]&lt;&gt;"")*ISNUMBER(SEARCH(" "&amp;Items[ID]&amp;" "," "&amp;SUBSTITUTE(SUBSTITUTE(SUBSTITUTE(SUBSTITUTE(SUBSTITUTE(SUBSTITUTE(SUBSTITUTE(E113,","," "),"."," "),";"," "),":"," "),"("," "),")"," "),"/"," ")&amp;" "))))</f>
      </c>
      <c r="H113" s="17">
        <f>IF(E113="",0,SUMPRODUCT((Items[ID]&lt;&gt;"")*(Items[Owner]=A113)*(Items[In sprint]=1)*ISNUMBER(SEARCH(" "&amp;Items[ID]&amp;" "," "&amp;SUBSTITUTE(SUBSTITUTE(SUBSTITUTE(SUBSTITUTE(SUBSTITUTE(SUBSTITUTE(SUBSTITUTE(E113,","," "),"."," "),";"," "),":"," "),"("," "),")"," "),"/"," ")&amp;" "))))</f>
      </c>
      <c r="I113" s="17">
        <f>IF(F113="","",IF(OR(LOWER(TRIM(F113))={"none","no","nothing","n/a","na","-","nope","no blockers","none.","nil"}),"","Y"))</f>
      </c>
      <c r="J113" s="17">
        <f>IF(D113="","",IF(OR(ISNUMBER(SEARCH({"done","finished","completed","closed","merged"},D113))),IFERROR(INDEX(Items[ID],MATCH(1,INDEX((Items[ID]&lt;&gt;"")*(Items[State]&lt;&gt;"DONE")*ISNUMBER(SEARCH(" "&amp;Items[ID]&amp;" "," "&amp;SUBSTITUTE(SUBSTITUTE(SUBSTITUTE(SUBSTITUTE(SUBSTITUTE(SUBSTITUTE(SUBSTITUTE(D113,","," "),"."," "),";"," "),":"," "),"("," "),")"," "),"/"," ")&amp;" ")),0),0)),""),""))</f>
      </c>
      <c r="K113" s="20">
        <f>IF(A113="","",TRIM(IF(C113=0,"silent; ","")&amp;IF(AND(N(C113)&gt;0,D113=""),"no Y; ","")&amp;IF(AND(N(C113)&gt;0,E113=""),"no T; ","")&amp;IF(AND(N(C113)&gt;0,F113=""),"no B; ","")&amp;IF(AND(E113&lt;&gt;"",G113=0),"no task id in T; ","")&amp;IF(AND(G113&gt;0,H113=0),"T names no task of yours in this sprint; ","")&amp;IF(I113="Y","blocker: "&amp;F113&amp;"; ","")))</f>
      </c>
      <c r="L113" s="20">
        <f>IF(A113="","",IF(C113=0,"@"&amp;A113&amp;" please post Y: / T: / B: for today.",IF(TRIM(IF(AND(N(C113)&gt;0,D113=""),"no Y; ","")&amp;IF(AND(N(C113)&gt;0,E113=""),"no T; ","")&amp;IF(AND(N(C113)&gt;0,F113=""),"no B; ","")&amp;IF(AND(E113&lt;&gt;"",G113=0),"no task id in T; ","")&amp;IF(AND(G113&gt;0,H113=0),"T names no task of yours in this sprint; ",""))="","","@"&amp;A113&amp;" please fix: "&amp;TRIM(IF(AND(N(C113)&gt;0,D113=""),"no Y; ","")&amp;IF(AND(N(C113)&gt;0,E113=""),"no T; ","")&amp;IF(AND(N(C113)&gt;0,F113=""),"no B; ","")&amp;IF(AND(E113&lt;&gt;"",G113=0),"no task id in T; ","")&amp;IF(AND(G113&gt;0,H113=0),"T names no task of yours in this sprint; ","")))))</f>
      </c>
      <c r="M113" s="11">
        <f>IF(N113="","",StandupDate)</f>
      </c>
      <c r="N113" s="17">
        <f>IF(J113&lt;&gt;"",J113,IF(I113="Y",IF(IFERROR(INDEX(Items[ID],MATCH(1,INDEX((Items[ID]&lt;&gt;"")*ISNUMBER(SEARCH(" "&amp;Items[ID]&amp;" "," "&amp;SUBSTITUTE(SUBSTITUTE(SUBSTITUTE(SUBSTITUTE(SUBSTITUTE(SUBSTITUTE(SUBSTITUTE(F113,",","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"&amp;SUBSTITUTE(SUBSTITUTE(SUBSTITUTE(SUBSTITUTE(SUBSTITUTE(SUBSTITUTE(SUBSTITUTE(F113,","," "),"."," "),";"," "),":"," "),"("," "),")"," "),"/"," ")&amp;" ")),0),0)),""),IFERROR(INDEX(Items[ID],MATCH(1,INDEX((Items[ID]&lt;&gt;"")*(Items[Owner]=A113)*ISNUMBER(SEARCH(" "&amp;Items[ID]&amp;" "," "&amp;SUBSTITUTE(SUBSTITUTE(SUBSTITUTE(SUBSTITUTE(SUBSTITUTE(SUBSTITUTE(SUBSTITUTE(E113,","," "),"."," "),";"," "),":"," "),"("," "),")"," "),"/"," ")&amp;" ")),0),0)),"")),""))</f>
      </c>
      <c r="O113" s="17">
        <f>IF(N113="","",IF(J113&lt;&gt;"","done","block"))</f>
      </c>
      <c r="P113" s="17">
        <f>IF(O113="block",F113,"")</f>
      </c>
    </row>
    <row r="114">
      <c r="A114" s="17">
        <f>IFERROR(INDEX(Roster[Name],110)&amp;"","")</f>
      </c>
      <c r="B114" s="17">
        <f>IF(A114="","",INDEX(Roster[Team],110)&amp;"")</f>
      </c>
      <c r="C114" s="17">
        <f>IF(OR(A114="",COUNTA(ChatPaste)=0),"",COUNTIF(ChatSpeaker,A114))</f>
      </c>
      <c r="D114" s="20">
        <f>IF(A114="","",IFERROR(INDEX(ChatText,MATCH(1,INDEX((ChatSpeaker=A114)*(ChatTag="Y"),0),0)),""))</f>
      </c>
      <c r="E114" s="20">
        <f>IF(A114="","",IFERROR(INDEX(ChatText,MATCH(1,INDEX((ChatSpeaker=A114)*(ChatTag="T"),0),0)),""))</f>
      </c>
      <c r="F114" s="20">
        <f>IF(A114="","",IFERROR(INDEX(ChatText,MATCH(1,INDEX((ChatSpeaker=A114)*(ChatTag="B"),0),0)),""))</f>
      </c>
      <c r="G114" s="17">
        <f>IF(E114="",0,SUMPRODUCT((Items[ID]&lt;&gt;"")*ISNUMBER(SEARCH(" "&amp;Items[ID]&amp;" "," "&amp;SUBSTITUTE(SUBSTITUTE(SUBSTITUTE(SUBSTITUTE(SUBSTITUTE(SUBSTITUTE(SUBSTITUTE(E114,","," "),"."," "),";"," "),":"," "),"("," "),")"," "),"/"," ")&amp;" "))))</f>
      </c>
      <c r="H114" s="17">
        <f>IF(E114="",0,SUMPRODUCT((Items[ID]&lt;&gt;"")*(Items[Owner]=A114)*(Items[In sprint]=1)*ISNUMBER(SEARCH(" "&amp;Items[ID]&amp;" "," "&amp;SUBSTITUTE(SUBSTITUTE(SUBSTITUTE(SUBSTITUTE(SUBSTITUTE(SUBSTITUTE(SUBSTITUTE(E114,","," "),"."," "),";"," "),":"," "),"("," "),")"," "),"/"," ")&amp;" "))))</f>
      </c>
      <c r="I114" s="17">
        <f>IF(F114="","",IF(OR(LOWER(TRIM(F114))={"none","no","nothing","n/a","na","-","nope","no blockers","none.","nil"}),"","Y"))</f>
      </c>
      <c r="J114" s="17">
        <f>IF(D114="","",IF(OR(ISNUMBER(SEARCH({"done","finished","completed","closed","merged"},D114))),IFERROR(INDEX(Items[ID],MATCH(1,INDEX((Items[ID]&lt;&gt;"")*(Items[State]&lt;&gt;"DONE")*ISNUMBER(SEARCH(" "&amp;Items[ID]&amp;" "," "&amp;SUBSTITUTE(SUBSTITUTE(SUBSTITUTE(SUBSTITUTE(SUBSTITUTE(SUBSTITUTE(SUBSTITUTE(D114,","," "),"."," "),";"," "),":"," "),"("," "),")"," "),"/"," ")&amp;" ")),0),0)),""),""))</f>
      </c>
      <c r="K114" s="20">
        <f>IF(A114="","",TRIM(IF(C114=0,"silent; ","")&amp;IF(AND(N(C114)&gt;0,D114=""),"no Y; ","")&amp;IF(AND(N(C114)&gt;0,E114=""),"no T; ","")&amp;IF(AND(N(C114)&gt;0,F114=""),"no B; ","")&amp;IF(AND(E114&lt;&gt;"",G114=0),"no task id in T; ","")&amp;IF(AND(G114&gt;0,H114=0),"T names no task of yours in this sprint; ","")&amp;IF(I114="Y","blocker: "&amp;F114&amp;"; ","")))</f>
      </c>
      <c r="L114" s="20">
        <f>IF(A114="","",IF(C114=0,"@"&amp;A114&amp;" please post Y: / T: / B: for today.",IF(TRIM(IF(AND(N(C114)&gt;0,D114=""),"no Y; ","")&amp;IF(AND(N(C114)&gt;0,E114=""),"no T; ","")&amp;IF(AND(N(C114)&gt;0,F114=""),"no B; ","")&amp;IF(AND(E114&lt;&gt;"",G114=0),"no task id in T; ","")&amp;IF(AND(G114&gt;0,H114=0),"T names no task of yours in this sprint; ",""))="","","@"&amp;A114&amp;" please fix: "&amp;TRIM(IF(AND(N(C114)&gt;0,D114=""),"no Y; ","")&amp;IF(AND(N(C114)&gt;0,E114=""),"no T; ","")&amp;IF(AND(N(C114)&gt;0,F114=""),"no B; ","")&amp;IF(AND(E114&lt;&gt;"",G114=0),"no task id in T; ","")&amp;IF(AND(G114&gt;0,H114=0),"T names no task of yours in this sprint; ","")))))</f>
      </c>
      <c r="M114" s="11">
        <f>IF(N114="","",StandupDate)</f>
      </c>
      <c r="N114" s="17">
        <f>IF(J114&lt;&gt;"",J114,IF(I114="Y",IF(IFERROR(INDEX(Items[ID],MATCH(1,INDEX((Items[ID]&lt;&gt;"")*ISNUMBER(SEARCH(" "&amp;Items[ID]&amp;" "," "&amp;SUBSTITUTE(SUBSTITUTE(SUBSTITUTE(SUBSTITUTE(SUBSTITUTE(SUBSTITUTE(SUBSTITUTE(F114,",","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"&amp;SUBSTITUTE(SUBSTITUTE(SUBSTITUTE(SUBSTITUTE(SUBSTITUTE(SUBSTITUTE(SUBSTITUTE(F114,","," "),"."," "),";"," "),":"," "),"("," "),")"," "),"/"," ")&amp;" ")),0),0)),""),IFERROR(INDEX(Items[ID],MATCH(1,INDEX((Items[ID]&lt;&gt;"")*(Items[Owner]=A114)*ISNUMBER(SEARCH(" "&amp;Items[ID]&amp;" "," "&amp;SUBSTITUTE(SUBSTITUTE(SUBSTITUTE(SUBSTITUTE(SUBSTITUTE(SUBSTITUTE(SUBSTITUTE(E114,","," "),"."," "),";"," "),":"," "),"("," "),")"," "),"/"," ")&amp;" ")),0),0)),"")),""))</f>
      </c>
      <c r="O114" s="17">
        <f>IF(N114="","",IF(J114&lt;&gt;"","done","block"))</f>
      </c>
      <c r="P114" s="17">
        <f>IF(O114="block",F114,"")</f>
      </c>
    </row>
    <row r="115">
      <c r="A115" s="17">
        <f>IFERROR(INDEX(Roster[Name],111)&amp;"","")</f>
      </c>
      <c r="B115" s="17">
        <f>IF(A115="","",INDEX(Roster[Team],111)&amp;"")</f>
      </c>
      <c r="C115" s="17">
        <f>IF(OR(A115="",COUNTA(ChatPaste)=0),"",COUNTIF(ChatSpeaker,A115))</f>
      </c>
      <c r="D115" s="20">
        <f>IF(A115="","",IFERROR(INDEX(ChatText,MATCH(1,INDEX((ChatSpeaker=A115)*(ChatTag="Y"),0),0)),""))</f>
      </c>
      <c r="E115" s="20">
        <f>IF(A115="","",IFERROR(INDEX(ChatText,MATCH(1,INDEX((ChatSpeaker=A115)*(ChatTag="T"),0),0)),""))</f>
      </c>
      <c r="F115" s="20">
        <f>IF(A115="","",IFERROR(INDEX(ChatText,MATCH(1,INDEX((ChatSpeaker=A115)*(ChatTag="B"),0),0)),""))</f>
      </c>
      <c r="G115" s="17">
        <f>IF(E115="",0,SUMPRODUCT((Items[ID]&lt;&gt;"")*ISNUMBER(SEARCH(" "&amp;Items[ID]&amp;" "," "&amp;SUBSTITUTE(SUBSTITUTE(SUBSTITUTE(SUBSTITUTE(SUBSTITUTE(SUBSTITUTE(SUBSTITUTE(E115,","," "),"."," "),";"," "),":"," "),"("," "),")"," "),"/"," ")&amp;" "))))</f>
      </c>
      <c r="H115" s="17">
        <f>IF(E115="",0,SUMPRODUCT((Items[ID]&lt;&gt;"")*(Items[Owner]=A115)*(Items[In sprint]=1)*ISNUMBER(SEARCH(" "&amp;Items[ID]&amp;" "," "&amp;SUBSTITUTE(SUBSTITUTE(SUBSTITUTE(SUBSTITUTE(SUBSTITUTE(SUBSTITUTE(SUBSTITUTE(E115,","," "),"."," "),";"," "),":"," "),"("," "),")"," "),"/"," ")&amp;" "))))</f>
      </c>
      <c r="I115" s="17">
        <f>IF(F115="","",IF(OR(LOWER(TRIM(F115))={"none","no","nothing","n/a","na","-","nope","no blockers","none.","nil"}),"","Y"))</f>
      </c>
      <c r="J115" s="17">
        <f>IF(D115="","",IF(OR(ISNUMBER(SEARCH({"done","finished","completed","closed","merged"},D115))),IFERROR(INDEX(Items[ID],MATCH(1,INDEX((Items[ID]&lt;&gt;"")*(Items[State]&lt;&gt;"DONE")*ISNUMBER(SEARCH(" "&amp;Items[ID]&amp;" "," "&amp;SUBSTITUTE(SUBSTITUTE(SUBSTITUTE(SUBSTITUTE(SUBSTITUTE(SUBSTITUTE(SUBSTITUTE(D115,","," "),"."," "),";"," "),":"," "),"("," "),")"," "),"/"," ")&amp;" ")),0),0)),""),""))</f>
      </c>
      <c r="K115" s="20">
        <f>IF(A115="","",TRIM(IF(C115=0,"silent; ","")&amp;IF(AND(N(C115)&gt;0,D115=""),"no Y; ","")&amp;IF(AND(N(C115)&gt;0,E115=""),"no T; ","")&amp;IF(AND(N(C115)&gt;0,F115=""),"no B; ","")&amp;IF(AND(E115&lt;&gt;"",G115=0),"no task id in T; ","")&amp;IF(AND(G115&gt;0,H115=0),"T names no task of yours in this sprint; ","")&amp;IF(I115="Y","blocker: "&amp;F115&amp;"; ","")))</f>
      </c>
      <c r="L115" s="20">
        <f>IF(A115="","",IF(C115=0,"@"&amp;A115&amp;" please post Y: / T: / B: for today.",IF(TRIM(IF(AND(N(C115)&gt;0,D115=""),"no Y; ","")&amp;IF(AND(N(C115)&gt;0,E115=""),"no T; ","")&amp;IF(AND(N(C115)&gt;0,F115=""),"no B; ","")&amp;IF(AND(E115&lt;&gt;"",G115=0),"no task id in T; ","")&amp;IF(AND(G115&gt;0,H115=0),"T names no task of yours in this sprint; ",""))="","","@"&amp;A115&amp;" please fix: "&amp;TRIM(IF(AND(N(C115)&gt;0,D115=""),"no Y; ","")&amp;IF(AND(N(C115)&gt;0,E115=""),"no T; ","")&amp;IF(AND(N(C115)&gt;0,F115=""),"no B; ","")&amp;IF(AND(E115&lt;&gt;"",G115=0),"no task id in T; ","")&amp;IF(AND(G115&gt;0,H115=0),"T names no task of yours in this sprint; ","")))))</f>
      </c>
      <c r="M115" s="11">
        <f>IF(N115="","",StandupDate)</f>
      </c>
      <c r="N115" s="17">
        <f>IF(J115&lt;&gt;"",J115,IF(I115="Y",IF(IFERROR(INDEX(Items[ID],MATCH(1,INDEX((Items[ID]&lt;&gt;"")*ISNUMBER(SEARCH(" "&amp;Items[ID]&amp;" "," "&amp;SUBSTITUTE(SUBSTITUTE(SUBSTITUTE(SUBSTITUTE(SUBSTITUTE(SUBSTITUTE(SUBSTITUTE(F115,",","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"&amp;SUBSTITUTE(SUBSTITUTE(SUBSTITUTE(SUBSTITUTE(SUBSTITUTE(SUBSTITUTE(SUBSTITUTE(F115,","," "),"."," "),";"," "),":"," "),"("," "),")"," "),"/"," ")&amp;" ")),0),0)),""),IFERROR(INDEX(Items[ID],MATCH(1,INDEX((Items[ID]&lt;&gt;"")*(Items[Owner]=A115)*ISNUMBER(SEARCH(" "&amp;Items[ID]&amp;" "," "&amp;SUBSTITUTE(SUBSTITUTE(SUBSTITUTE(SUBSTITUTE(SUBSTITUTE(SUBSTITUTE(SUBSTITUTE(E115,","," "),"."," "),";"," "),":"," "),"("," "),")"," "),"/"," ")&amp;" ")),0),0)),"")),""))</f>
      </c>
      <c r="O115" s="17">
        <f>IF(N115="","",IF(J115&lt;&gt;"","done","block"))</f>
      </c>
      <c r="P115" s="17">
        <f>IF(O115="block",F115,"")</f>
      </c>
    </row>
    <row r="116">
      <c r="A116" s="17">
        <f>IFERROR(INDEX(Roster[Name],112)&amp;"","")</f>
      </c>
      <c r="B116" s="17">
        <f>IF(A116="","",INDEX(Roster[Team],112)&amp;"")</f>
      </c>
      <c r="C116" s="17">
        <f>IF(OR(A116="",COUNTA(ChatPaste)=0),"",COUNTIF(ChatSpeaker,A116))</f>
      </c>
      <c r="D116" s="20">
        <f>IF(A116="","",IFERROR(INDEX(ChatText,MATCH(1,INDEX((ChatSpeaker=A116)*(ChatTag="Y"),0),0)),""))</f>
      </c>
      <c r="E116" s="20">
        <f>IF(A116="","",IFERROR(INDEX(ChatText,MATCH(1,INDEX((ChatSpeaker=A116)*(ChatTag="T"),0),0)),""))</f>
      </c>
      <c r="F116" s="20">
        <f>IF(A116="","",IFERROR(INDEX(ChatText,MATCH(1,INDEX((ChatSpeaker=A116)*(ChatTag="B"),0),0)),""))</f>
      </c>
      <c r="G116" s="17">
        <f>IF(E116="",0,SUMPRODUCT((Items[ID]&lt;&gt;"")*ISNUMBER(SEARCH(" "&amp;Items[ID]&amp;" "," "&amp;SUBSTITUTE(SUBSTITUTE(SUBSTITUTE(SUBSTITUTE(SUBSTITUTE(SUBSTITUTE(SUBSTITUTE(E116,","," "),"."," "),";"," "),":"," "),"("," "),")"," "),"/"," ")&amp;" "))))</f>
      </c>
      <c r="H116" s="17">
        <f>IF(E116="",0,SUMPRODUCT((Items[ID]&lt;&gt;"")*(Items[Owner]=A116)*(Items[In sprint]=1)*ISNUMBER(SEARCH(" "&amp;Items[ID]&amp;" "," "&amp;SUBSTITUTE(SUBSTITUTE(SUBSTITUTE(SUBSTITUTE(SUBSTITUTE(SUBSTITUTE(SUBSTITUTE(E116,","," "),"."," "),";"," "),":"," "),"("," "),")"," "),"/"," ")&amp;" "))))</f>
      </c>
      <c r="I116" s="17">
        <f>IF(F116="","",IF(OR(LOWER(TRIM(F116))={"none","no","nothing","n/a","na","-","nope","no blockers","none.","nil"}),"","Y"))</f>
      </c>
      <c r="J116" s="17">
        <f>IF(D116="","",IF(OR(ISNUMBER(SEARCH({"done","finished","completed","closed","merged"},D116))),IFERROR(INDEX(Items[ID],MATCH(1,INDEX((Items[ID]&lt;&gt;"")*(Items[State]&lt;&gt;"DONE")*ISNUMBER(SEARCH(" "&amp;Items[ID]&amp;" "," "&amp;SUBSTITUTE(SUBSTITUTE(SUBSTITUTE(SUBSTITUTE(SUBSTITUTE(SUBSTITUTE(SUBSTITUTE(D116,","," "),"."," "),";"," "),":"," "),"("," "),")"," "),"/"," ")&amp;" ")),0),0)),""),""))</f>
      </c>
      <c r="K116" s="20">
        <f>IF(A116="","",TRIM(IF(C116=0,"silent; ","")&amp;IF(AND(N(C116)&gt;0,D116=""),"no Y; ","")&amp;IF(AND(N(C116)&gt;0,E116=""),"no T; ","")&amp;IF(AND(N(C116)&gt;0,F116=""),"no B; ","")&amp;IF(AND(E116&lt;&gt;"",G116=0),"no task id in T; ","")&amp;IF(AND(G116&gt;0,H116=0),"T names no task of yours in this sprint; ","")&amp;IF(I116="Y","blocker: "&amp;F116&amp;"; ","")))</f>
      </c>
      <c r="L116" s="20">
        <f>IF(A116="","",IF(C116=0,"@"&amp;A116&amp;" please post Y: / T: / B: for today.",IF(TRIM(IF(AND(N(C116)&gt;0,D116=""),"no Y; ","")&amp;IF(AND(N(C116)&gt;0,E116=""),"no T; ","")&amp;IF(AND(N(C116)&gt;0,F116=""),"no B; ","")&amp;IF(AND(E116&lt;&gt;"",G116=0),"no task id in T; ","")&amp;IF(AND(G116&gt;0,H116=0),"T names no task of yours in this sprint; ",""))="","","@"&amp;A116&amp;" please fix: "&amp;TRIM(IF(AND(N(C116)&gt;0,D116=""),"no Y; ","")&amp;IF(AND(N(C116)&gt;0,E116=""),"no T; ","")&amp;IF(AND(N(C116)&gt;0,F116=""),"no B; ","")&amp;IF(AND(E116&lt;&gt;"",G116=0),"no task id in T; ","")&amp;IF(AND(G116&gt;0,H116=0),"T names no task of yours in this sprint; ","")))))</f>
      </c>
      <c r="M116" s="11">
        <f>IF(N116="","",StandupDate)</f>
      </c>
      <c r="N116" s="17">
        <f>IF(J116&lt;&gt;"",J116,IF(I116="Y",IF(IFERROR(INDEX(Items[ID],MATCH(1,INDEX((Items[ID]&lt;&gt;"")*ISNUMBER(SEARCH(" "&amp;Items[ID]&amp;" "," "&amp;SUBSTITUTE(SUBSTITUTE(SUBSTITUTE(SUBSTITUTE(SUBSTITUTE(SUBSTITUTE(SUBSTITUTE(F116,",","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"&amp;SUBSTITUTE(SUBSTITUTE(SUBSTITUTE(SUBSTITUTE(SUBSTITUTE(SUBSTITUTE(SUBSTITUTE(F116,","," "),"."," "),";"," "),":"," "),"("," "),")"," "),"/"," ")&amp;" ")),0),0)),""),IFERROR(INDEX(Items[ID],MATCH(1,INDEX((Items[ID]&lt;&gt;"")*(Items[Owner]=A116)*ISNUMBER(SEARCH(" "&amp;Items[ID]&amp;" "," "&amp;SUBSTITUTE(SUBSTITUTE(SUBSTITUTE(SUBSTITUTE(SUBSTITUTE(SUBSTITUTE(SUBSTITUTE(E116,","," "),"."," "),";"," "),":"," "),"("," "),")"," "),"/"," ")&amp;" ")),0),0)),"")),""))</f>
      </c>
      <c r="O116" s="17">
        <f>IF(N116="","",IF(J116&lt;&gt;"","done","block"))</f>
      </c>
      <c r="P116" s="17">
        <f>IF(O116="block",F116,"")</f>
      </c>
    </row>
    <row r="117">
      <c r="A117" s="17">
        <f>IFERROR(INDEX(Roster[Name],113)&amp;"","")</f>
      </c>
      <c r="B117" s="17">
        <f>IF(A117="","",INDEX(Roster[Team],113)&amp;"")</f>
      </c>
      <c r="C117" s="17">
        <f>IF(OR(A117="",COUNTA(ChatPaste)=0),"",COUNTIF(ChatSpeaker,A117))</f>
      </c>
      <c r="D117" s="20">
        <f>IF(A117="","",IFERROR(INDEX(ChatText,MATCH(1,INDEX((ChatSpeaker=A117)*(ChatTag="Y"),0),0)),""))</f>
      </c>
      <c r="E117" s="20">
        <f>IF(A117="","",IFERROR(INDEX(ChatText,MATCH(1,INDEX((ChatSpeaker=A117)*(ChatTag="T"),0),0)),""))</f>
      </c>
      <c r="F117" s="20">
        <f>IF(A117="","",IFERROR(INDEX(ChatText,MATCH(1,INDEX((ChatSpeaker=A117)*(ChatTag="B"),0),0)),""))</f>
      </c>
      <c r="G117" s="17">
        <f>IF(E117="",0,SUMPRODUCT((Items[ID]&lt;&gt;"")*ISNUMBER(SEARCH(" "&amp;Items[ID]&amp;" "," "&amp;SUBSTITUTE(SUBSTITUTE(SUBSTITUTE(SUBSTITUTE(SUBSTITUTE(SUBSTITUTE(SUBSTITUTE(E117,","," "),"."," "),";"," "),":"," "),"("," "),")"," "),"/"," ")&amp;" "))))</f>
      </c>
      <c r="H117" s="17">
        <f>IF(E117="",0,SUMPRODUCT((Items[ID]&lt;&gt;"")*(Items[Owner]=A117)*(Items[In sprint]=1)*ISNUMBER(SEARCH(" "&amp;Items[ID]&amp;" "," "&amp;SUBSTITUTE(SUBSTITUTE(SUBSTITUTE(SUBSTITUTE(SUBSTITUTE(SUBSTITUTE(SUBSTITUTE(E117,","," "),"."," "),";"," "),":"," "),"("," "),")"," "),"/"," ")&amp;" "))))</f>
      </c>
      <c r="I117" s="17">
        <f>IF(F117="","",IF(OR(LOWER(TRIM(F117))={"none","no","nothing","n/a","na","-","nope","no blockers","none.","nil"}),"","Y"))</f>
      </c>
      <c r="J117" s="17">
        <f>IF(D117="","",IF(OR(ISNUMBER(SEARCH({"done","finished","completed","closed","merged"},D117))),IFERROR(INDEX(Items[ID],MATCH(1,INDEX((Items[ID]&lt;&gt;"")*(Items[State]&lt;&gt;"DONE")*ISNUMBER(SEARCH(" "&amp;Items[ID]&amp;" "," "&amp;SUBSTITUTE(SUBSTITUTE(SUBSTITUTE(SUBSTITUTE(SUBSTITUTE(SUBSTITUTE(SUBSTITUTE(D117,","," "),"."," "),";"," "),":"," "),"("," "),")"," "),"/"," ")&amp;" ")),0),0)),""),""))</f>
      </c>
      <c r="K117" s="20">
        <f>IF(A117="","",TRIM(IF(C117=0,"silent; ","")&amp;IF(AND(N(C117)&gt;0,D117=""),"no Y; ","")&amp;IF(AND(N(C117)&gt;0,E117=""),"no T; ","")&amp;IF(AND(N(C117)&gt;0,F117=""),"no B; ","")&amp;IF(AND(E117&lt;&gt;"",G117=0),"no task id in T; ","")&amp;IF(AND(G117&gt;0,H117=0),"T names no task of yours in this sprint; ","")&amp;IF(I117="Y","blocker: "&amp;F117&amp;"; ","")))</f>
      </c>
      <c r="L117" s="20">
        <f>IF(A117="","",IF(C117=0,"@"&amp;A117&amp;" please post Y: / T: / B: for today.",IF(TRIM(IF(AND(N(C117)&gt;0,D117=""),"no Y; ","")&amp;IF(AND(N(C117)&gt;0,E117=""),"no T; ","")&amp;IF(AND(N(C117)&gt;0,F117=""),"no B; ","")&amp;IF(AND(E117&lt;&gt;"",G117=0),"no task id in T; ","")&amp;IF(AND(G117&gt;0,H117=0),"T names no task of yours in this sprint; ",""))="","","@"&amp;A117&amp;" please fix: "&amp;TRIM(IF(AND(N(C117)&gt;0,D117=""),"no Y; ","")&amp;IF(AND(N(C117)&gt;0,E117=""),"no T; ","")&amp;IF(AND(N(C117)&gt;0,F117=""),"no B; ","")&amp;IF(AND(E117&lt;&gt;"",G117=0),"no task id in T; ","")&amp;IF(AND(G117&gt;0,H117=0),"T names no task of yours in this sprint; ","")))))</f>
      </c>
      <c r="M117" s="11">
        <f>IF(N117="","",StandupDate)</f>
      </c>
      <c r="N117" s="17">
        <f>IF(J117&lt;&gt;"",J117,IF(I117="Y",IF(IFERROR(INDEX(Items[ID],MATCH(1,INDEX((Items[ID]&lt;&gt;"")*ISNUMBER(SEARCH(" "&amp;Items[ID]&amp;" "," "&amp;SUBSTITUTE(SUBSTITUTE(SUBSTITUTE(SUBSTITUTE(SUBSTITUTE(SUBSTITUTE(SUBSTITUTE(F117,",","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"&amp;SUBSTITUTE(SUBSTITUTE(SUBSTITUTE(SUBSTITUTE(SUBSTITUTE(SUBSTITUTE(SUBSTITUTE(F117,","," "),"."," "),";"," "),":"," "),"("," "),")"," "),"/"," ")&amp;" ")),0),0)),""),IFERROR(INDEX(Items[ID],MATCH(1,INDEX((Items[ID]&lt;&gt;"")*(Items[Owner]=A117)*ISNUMBER(SEARCH(" "&amp;Items[ID]&amp;" "," "&amp;SUBSTITUTE(SUBSTITUTE(SUBSTITUTE(SUBSTITUTE(SUBSTITUTE(SUBSTITUTE(SUBSTITUTE(E117,","," "),"."," "),";"," "),":"," "),"("," "),")"," "),"/"," ")&amp;" ")),0),0)),"")),""))</f>
      </c>
      <c r="O117" s="17">
        <f>IF(N117="","",IF(J117&lt;&gt;"","done","block"))</f>
      </c>
      <c r="P117" s="17">
        <f>IF(O117="block",F117,"")</f>
      </c>
    </row>
    <row r="118">
      <c r="A118" s="17">
        <f>IFERROR(INDEX(Roster[Name],114)&amp;"","")</f>
      </c>
      <c r="B118" s="17">
        <f>IF(A118="","",INDEX(Roster[Team],114)&amp;"")</f>
      </c>
      <c r="C118" s="17">
        <f>IF(OR(A118="",COUNTA(ChatPaste)=0),"",COUNTIF(ChatSpeaker,A118))</f>
      </c>
      <c r="D118" s="20">
        <f>IF(A118="","",IFERROR(INDEX(ChatText,MATCH(1,INDEX((ChatSpeaker=A118)*(ChatTag="Y"),0),0)),""))</f>
      </c>
      <c r="E118" s="20">
        <f>IF(A118="","",IFERROR(INDEX(ChatText,MATCH(1,INDEX((ChatSpeaker=A118)*(ChatTag="T"),0),0)),""))</f>
      </c>
      <c r="F118" s="20">
        <f>IF(A118="","",IFERROR(INDEX(ChatText,MATCH(1,INDEX((ChatSpeaker=A118)*(ChatTag="B"),0),0)),""))</f>
      </c>
      <c r="G118" s="17">
        <f>IF(E118="",0,SUMPRODUCT((Items[ID]&lt;&gt;"")*ISNUMBER(SEARCH(" "&amp;Items[ID]&amp;" "," "&amp;SUBSTITUTE(SUBSTITUTE(SUBSTITUTE(SUBSTITUTE(SUBSTITUTE(SUBSTITUTE(SUBSTITUTE(E118,","," "),"."," "),";"," "),":"," "),"("," "),")"," "),"/"," ")&amp;" "))))</f>
      </c>
      <c r="H118" s="17">
        <f>IF(E118="",0,SUMPRODUCT((Items[ID]&lt;&gt;"")*(Items[Owner]=A118)*(Items[In sprint]=1)*ISNUMBER(SEARCH(" "&amp;Items[ID]&amp;" "," "&amp;SUBSTITUTE(SUBSTITUTE(SUBSTITUTE(SUBSTITUTE(SUBSTITUTE(SUBSTITUTE(SUBSTITUTE(E118,","," "),"."," "),";"," "),":"," "),"("," "),")"," "),"/"," ")&amp;" "))))</f>
      </c>
      <c r="I118" s="17">
        <f>IF(F118="","",IF(OR(LOWER(TRIM(F118))={"none","no","nothing","n/a","na","-","nope","no blockers","none.","nil"}),"","Y"))</f>
      </c>
      <c r="J118" s="17">
        <f>IF(D118="","",IF(OR(ISNUMBER(SEARCH({"done","finished","completed","closed","merged"},D118))),IFERROR(INDEX(Items[ID],MATCH(1,INDEX((Items[ID]&lt;&gt;"")*(Items[State]&lt;&gt;"DONE")*ISNUMBER(SEARCH(" "&amp;Items[ID]&amp;" "," "&amp;SUBSTITUTE(SUBSTITUTE(SUBSTITUTE(SUBSTITUTE(SUBSTITUTE(SUBSTITUTE(SUBSTITUTE(D118,","," "),"."," "),";"," "),":"," "),"("," "),")"," "),"/"," ")&amp;" ")),0),0)),""),""))</f>
      </c>
      <c r="K118" s="20">
        <f>IF(A118="","",TRIM(IF(C118=0,"silent; ","")&amp;IF(AND(N(C118)&gt;0,D118=""),"no Y; ","")&amp;IF(AND(N(C118)&gt;0,E118=""),"no T; ","")&amp;IF(AND(N(C118)&gt;0,F118=""),"no B; ","")&amp;IF(AND(E118&lt;&gt;"",G118=0),"no task id in T; ","")&amp;IF(AND(G118&gt;0,H118=0),"T names no task of yours in this sprint; ","")&amp;IF(I118="Y","blocker: "&amp;F118&amp;"; ","")))</f>
      </c>
      <c r="L118" s="20">
        <f>IF(A118="","",IF(C118=0,"@"&amp;A118&amp;" please post Y: / T: / B: for today.",IF(TRIM(IF(AND(N(C118)&gt;0,D118=""),"no Y; ","")&amp;IF(AND(N(C118)&gt;0,E118=""),"no T; ","")&amp;IF(AND(N(C118)&gt;0,F118=""),"no B; ","")&amp;IF(AND(E118&lt;&gt;"",G118=0),"no task id in T; ","")&amp;IF(AND(G118&gt;0,H118=0),"T names no task of yours in this sprint; ",""))="","","@"&amp;A118&amp;" please fix: "&amp;TRIM(IF(AND(N(C118)&gt;0,D118=""),"no Y; ","")&amp;IF(AND(N(C118)&gt;0,E118=""),"no T; ","")&amp;IF(AND(N(C118)&gt;0,F118=""),"no B; ","")&amp;IF(AND(E118&lt;&gt;"",G118=0),"no task id in T; ","")&amp;IF(AND(G118&gt;0,H118=0),"T names no task of yours in this sprint; ","")))))</f>
      </c>
      <c r="M118" s="11">
        <f>IF(N118="","",StandupDate)</f>
      </c>
      <c r="N118" s="17">
        <f>IF(J118&lt;&gt;"",J118,IF(I118="Y",IF(IFERROR(INDEX(Items[ID],MATCH(1,INDEX((Items[ID]&lt;&gt;"")*ISNUMBER(SEARCH(" "&amp;Items[ID]&amp;" "," "&amp;SUBSTITUTE(SUBSTITUTE(SUBSTITUTE(SUBSTITUTE(SUBSTITUTE(SUBSTITUTE(SUBSTITUTE(F118,",","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"&amp;SUBSTITUTE(SUBSTITUTE(SUBSTITUTE(SUBSTITUTE(SUBSTITUTE(SUBSTITUTE(SUBSTITUTE(F118,","," "),"."," "),";"," "),":"," "),"("," "),")"," "),"/"," ")&amp;" ")),0),0)),""),IFERROR(INDEX(Items[ID],MATCH(1,INDEX((Items[ID]&lt;&gt;"")*(Items[Owner]=A118)*ISNUMBER(SEARCH(" "&amp;Items[ID]&amp;" "," "&amp;SUBSTITUTE(SUBSTITUTE(SUBSTITUTE(SUBSTITUTE(SUBSTITUTE(SUBSTITUTE(SUBSTITUTE(E118,","," "),"."," "),";"," "),":"," "),"("," "),")"," "),"/"," ")&amp;" ")),0),0)),"")),""))</f>
      </c>
      <c r="O118" s="17">
        <f>IF(N118="","",IF(J118&lt;&gt;"","done","block"))</f>
      </c>
      <c r="P118" s="17">
        <f>IF(O118="block",F118,"")</f>
      </c>
    </row>
    <row r="119">
      <c r="A119" s="17">
        <f>IFERROR(INDEX(Roster[Name],115)&amp;"","")</f>
      </c>
      <c r="B119" s="17">
        <f>IF(A119="","",INDEX(Roster[Team],115)&amp;"")</f>
      </c>
      <c r="C119" s="17">
        <f>IF(OR(A119="",COUNTA(ChatPaste)=0),"",COUNTIF(ChatSpeaker,A119))</f>
      </c>
      <c r="D119" s="20">
        <f>IF(A119="","",IFERROR(INDEX(ChatText,MATCH(1,INDEX((ChatSpeaker=A119)*(ChatTag="Y"),0),0)),""))</f>
      </c>
      <c r="E119" s="20">
        <f>IF(A119="","",IFERROR(INDEX(ChatText,MATCH(1,INDEX((ChatSpeaker=A119)*(ChatTag="T"),0),0)),""))</f>
      </c>
      <c r="F119" s="20">
        <f>IF(A119="","",IFERROR(INDEX(ChatText,MATCH(1,INDEX((ChatSpeaker=A119)*(ChatTag="B"),0),0)),""))</f>
      </c>
      <c r="G119" s="17">
        <f>IF(E119="",0,SUMPRODUCT((Items[ID]&lt;&gt;"")*ISNUMBER(SEARCH(" "&amp;Items[ID]&amp;" "," "&amp;SUBSTITUTE(SUBSTITUTE(SUBSTITUTE(SUBSTITUTE(SUBSTITUTE(SUBSTITUTE(SUBSTITUTE(E119,","," "),"."," "),";"," "),":"," "),"("," "),")"," "),"/"," ")&amp;" "))))</f>
      </c>
      <c r="H119" s="17">
        <f>IF(E119="",0,SUMPRODUCT((Items[ID]&lt;&gt;"")*(Items[Owner]=A119)*(Items[In sprint]=1)*ISNUMBER(SEARCH(" "&amp;Items[ID]&amp;" "," "&amp;SUBSTITUTE(SUBSTITUTE(SUBSTITUTE(SUBSTITUTE(SUBSTITUTE(SUBSTITUTE(SUBSTITUTE(E119,","," "),"."," "),";"," "),":"," "),"("," "),")"," "),"/"," ")&amp;" "))))</f>
      </c>
      <c r="I119" s="17">
        <f>IF(F119="","",IF(OR(LOWER(TRIM(F119))={"none","no","nothing","n/a","na","-","nope","no blockers","none.","nil"}),"","Y"))</f>
      </c>
      <c r="J119" s="17">
        <f>IF(D119="","",IF(OR(ISNUMBER(SEARCH({"done","finished","completed","closed","merged"},D119))),IFERROR(INDEX(Items[ID],MATCH(1,INDEX((Items[ID]&lt;&gt;"")*(Items[State]&lt;&gt;"DONE")*ISNUMBER(SEARCH(" "&amp;Items[ID]&amp;" "," "&amp;SUBSTITUTE(SUBSTITUTE(SUBSTITUTE(SUBSTITUTE(SUBSTITUTE(SUBSTITUTE(SUBSTITUTE(D119,","," "),"."," "),";"," "),":"," "),"("," "),")"," "),"/"," ")&amp;" ")),0),0)),""),""))</f>
      </c>
      <c r="K119" s="20">
        <f>IF(A119="","",TRIM(IF(C119=0,"silent; ","")&amp;IF(AND(N(C119)&gt;0,D119=""),"no Y; ","")&amp;IF(AND(N(C119)&gt;0,E119=""),"no T; ","")&amp;IF(AND(N(C119)&gt;0,F119=""),"no B; ","")&amp;IF(AND(E119&lt;&gt;"",G119=0),"no task id in T; ","")&amp;IF(AND(G119&gt;0,H119=0),"T names no task of yours in this sprint; ","")&amp;IF(I119="Y","blocker: "&amp;F119&amp;"; ","")))</f>
      </c>
      <c r="L119" s="20">
        <f>IF(A119="","",IF(C119=0,"@"&amp;A119&amp;" please post Y: / T: / B: for today.",IF(TRIM(IF(AND(N(C119)&gt;0,D119=""),"no Y; ","")&amp;IF(AND(N(C119)&gt;0,E119=""),"no T; ","")&amp;IF(AND(N(C119)&gt;0,F119=""),"no B; ","")&amp;IF(AND(E119&lt;&gt;"",G119=0),"no task id in T; ","")&amp;IF(AND(G119&gt;0,H119=0),"T names no task of yours in this sprint; ",""))="","","@"&amp;A119&amp;" please fix: "&amp;TRIM(IF(AND(N(C119)&gt;0,D119=""),"no Y; ","")&amp;IF(AND(N(C119)&gt;0,E119=""),"no T; ","")&amp;IF(AND(N(C119)&gt;0,F119=""),"no B; ","")&amp;IF(AND(E119&lt;&gt;"",G119=0),"no task id in T; ","")&amp;IF(AND(G119&gt;0,H119=0),"T names no task of yours in this sprint; ","")))))</f>
      </c>
      <c r="M119" s="11">
        <f>IF(N119="","",StandupDate)</f>
      </c>
      <c r="N119" s="17">
        <f>IF(J119&lt;&gt;"",J119,IF(I119="Y",IF(IFERROR(INDEX(Items[ID],MATCH(1,INDEX((Items[ID]&lt;&gt;"")*ISNUMBER(SEARCH(" "&amp;Items[ID]&amp;" "," "&amp;SUBSTITUTE(SUBSTITUTE(SUBSTITUTE(SUBSTITUTE(SUBSTITUTE(SUBSTITUTE(SUBSTITUTE(F119,",","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"&amp;SUBSTITUTE(SUBSTITUTE(SUBSTITUTE(SUBSTITUTE(SUBSTITUTE(SUBSTITUTE(SUBSTITUTE(F119,","," "),"."," "),";"," "),":"," "),"("," "),")"," "),"/"," ")&amp;" ")),0),0)),""),IFERROR(INDEX(Items[ID],MATCH(1,INDEX((Items[ID]&lt;&gt;"")*(Items[Owner]=A119)*ISNUMBER(SEARCH(" "&amp;Items[ID]&amp;" "," "&amp;SUBSTITUTE(SUBSTITUTE(SUBSTITUTE(SUBSTITUTE(SUBSTITUTE(SUBSTITUTE(SUBSTITUTE(E119,","," "),"."," "),";"," "),":"," "),"("," "),")"," "),"/"," ")&amp;" ")),0),0)),"")),""))</f>
      </c>
      <c r="O119" s="17">
        <f>IF(N119="","",IF(J119&lt;&gt;"","done","block"))</f>
      </c>
      <c r="P119" s="17">
        <f>IF(O119="block",F119,"")</f>
      </c>
    </row>
    <row r="120">
      <c r="A120" s="17">
        <f>IFERROR(INDEX(Roster[Name],116)&amp;"","")</f>
      </c>
      <c r="B120" s="17">
        <f>IF(A120="","",INDEX(Roster[Team],116)&amp;"")</f>
      </c>
      <c r="C120" s="17">
        <f>IF(OR(A120="",COUNTA(ChatPaste)=0),"",COUNTIF(ChatSpeaker,A120))</f>
      </c>
      <c r="D120" s="20">
        <f>IF(A120="","",IFERROR(INDEX(ChatText,MATCH(1,INDEX((ChatSpeaker=A120)*(ChatTag="Y"),0),0)),""))</f>
      </c>
      <c r="E120" s="20">
        <f>IF(A120="","",IFERROR(INDEX(ChatText,MATCH(1,INDEX((ChatSpeaker=A120)*(ChatTag="T"),0),0)),""))</f>
      </c>
      <c r="F120" s="20">
        <f>IF(A120="","",IFERROR(INDEX(ChatText,MATCH(1,INDEX((ChatSpeaker=A120)*(ChatTag="B"),0),0)),""))</f>
      </c>
      <c r="G120" s="17">
        <f>IF(E120="",0,SUMPRODUCT((Items[ID]&lt;&gt;"")*ISNUMBER(SEARCH(" "&amp;Items[ID]&amp;" "," "&amp;SUBSTITUTE(SUBSTITUTE(SUBSTITUTE(SUBSTITUTE(SUBSTITUTE(SUBSTITUTE(SUBSTITUTE(E120,","," "),"."," "),";"," "),":"," "),"("," "),")"," "),"/"," ")&amp;" "))))</f>
      </c>
      <c r="H120" s="17">
        <f>IF(E120="",0,SUMPRODUCT((Items[ID]&lt;&gt;"")*(Items[Owner]=A120)*(Items[In sprint]=1)*ISNUMBER(SEARCH(" "&amp;Items[ID]&amp;" "," "&amp;SUBSTITUTE(SUBSTITUTE(SUBSTITUTE(SUBSTITUTE(SUBSTITUTE(SUBSTITUTE(SUBSTITUTE(E120,","," "),"."," "),";"," "),":"," "),"("," "),")"," "),"/"," ")&amp;" "))))</f>
      </c>
      <c r="I120" s="17">
        <f>IF(F120="","",IF(OR(LOWER(TRIM(F120))={"none","no","nothing","n/a","na","-","nope","no blockers","none.","nil"}),"","Y"))</f>
      </c>
      <c r="J120" s="17">
        <f>IF(D120="","",IF(OR(ISNUMBER(SEARCH({"done","finished","completed","closed","merged"},D120))),IFERROR(INDEX(Items[ID],MATCH(1,INDEX((Items[ID]&lt;&gt;"")*(Items[State]&lt;&gt;"DONE")*ISNUMBER(SEARCH(" "&amp;Items[ID]&amp;" "," "&amp;SUBSTITUTE(SUBSTITUTE(SUBSTITUTE(SUBSTITUTE(SUBSTITUTE(SUBSTITUTE(SUBSTITUTE(D120,","," "),"."," "),";"," "),":"," "),"("," "),")"," "),"/"," ")&amp;" ")),0),0)),""),""))</f>
      </c>
      <c r="K120" s="20">
        <f>IF(A120="","",TRIM(IF(C120=0,"silent; ","")&amp;IF(AND(N(C120)&gt;0,D120=""),"no Y; ","")&amp;IF(AND(N(C120)&gt;0,E120=""),"no T; ","")&amp;IF(AND(N(C120)&gt;0,F120=""),"no B; ","")&amp;IF(AND(E120&lt;&gt;"",G120=0),"no task id in T; ","")&amp;IF(AND(G120&gt;0,H120=0),"T names no task of yours in this sprint; ","")&amp;IF(I120="Y","blocker: "&amp;F120&amp;"; ","")))</f>
      </c>
      <c r="L120" s="20">
        <f>IF(A120="","",IF(C120=0,"@"&amp;A120&amp;" please post Y: / T: / B: for today.",IF(TRIM(IF(AND(N(C120)&gt;0,D120=""),"no Y; ","")&amp;IF(AND(N(C120)&gt;0,E120=""),"no T; ","")&amp;IF(AND(N(C120)&gt;0,F120=""),"no B; ","")&amp;IF(AND(E120&lt;&gt;"",G120=0),"no task id in T; ","")&amp;IF(AND(G120&gt;0,H120=0),"T names no task of yours in this sprint; ",""))="","","@"&amp;A120&amp;" please fix: "&amp;TRIM(IF(AND(N(C120)&gt;0,D120=""),"no Y; ","")&amp;IF(AND(N(C120)&gt;0,E120=""),"no T; ","")&amp;IF(AND(N(C120)&gt;0,F120=""),"no B; ","")&amp;IF(AND(E120&lt;&gt;"",G120=0),"no task id in T; ","")&amp;IF(AND(G120&gt;0,H120=0),"T names no task of yours in this sprint; ","")))))</f>
      </c>
      <c r="M120" s="11">
        <f>IF(N120="","",StandupDate)</f>
      </c>
      <c r="N120" s="17">
        <f>IF(J120&lt;&gt;"",J120,IF(I120="Y",IF(IFERROR(INDEX(Items[ID],MATCH(1,INDEX((Items[ID]&lt;&gt;"")*ISNUMBER(SEARCH(" "&amp;Items[ID]&amp;" "," "&amp;SUBSTITUTE(SUBSTITUTE(SUBSTITUTE(SUBSTITUTE(SUBSTITUTE(SUBSTITUTE(SUBSTITUTE(F120,",","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"&amp;SUBSTITUTE(SUBSTITUTE(SUBSTITUTE(SUBSTITUTE(SUBSTITUTE(SUBSTITUTE(SUBSTITUTE(F120,","," "),"."," "),";"," "),":"," "),"("," "),")"," "),"/"," ")&amp;" ")),0),0)),""),IFERROR(INDEX(Items[ID],MATCH(1,INDEX((Items[ID]&lt;&gt;"")*(Items[Owner]=A120)*ISNUMBER(SEARCH(" "&amp;Items[ID]&amp;" "," "&amp;SUBSTITUTE(SUBSTITUTE(SUBSTITUTE(SUBSTITUTE(SUBSTITUTE(SUBSTITUTE(SUBSTITUTE(E120,","," "),"."," "),";"," "),":"," "),"("," "),")"," "),"/"," ")&amp;" ")),0),0)),"")),""))</f>
      </c>
      <c r="O120" s="17">
        <f>IF(N120="","",IF(J120&lt;&gt;"","done","block"))</f>
      </c>
      <c r="P120" s="17">
        <f>IF(O120="block",F120,"")</f>
      </c>
    </row>
    <row r="121">
      <c r="A121" s="17">
        <f>IFERROR(INDEX(Roster[Name],117)&amp;"","")</f>
      </c>
      <c r="B121" s="17">
        <f>IF(A121="","",INDEX(Roster[Team],117)&amp;"")</f>
      </c>
      <c r="C121" s="17">
        <f>IF(OR(A121="",COUNTA(ChatPaste)=0),"",COUNTIF(ChatSpeaker,A121))</f>
      </c>
      <c r="D121" s="20">
        <f>IF(A121="","",IFERROR(INDEX(ChatText,MATCH(1,INDEX((ChatSpeaker=A121)*(ChatTag="Y"),0),0)),""))</f>
      </c>
      <c r="E121" s="20">
        <f>IF(A121="","",IFERROR(INDEX(ChatText,MATCH(1,INDEX((ChatSpeaker=A121)*(ChatTag="T"),0),0)),""))</f>
      </c>
      <c r="F121" s="20">
        <f>IF(A121="","",IFERROR(INDEX(ChatText,MATCH(1,INDEX((ChatSpeaker=A121)*(ChatTag="B"),0),0)),""))</f>
      </c>
      <c r="G121" s="17">
        <f>IF(E121="",0,SUMPRODUCT((Items[ID]&lt;&gt;"")*ISNUMBER(SEARCH(" "&amp;Items[ID]&amp;" "," "&amp;SUBSTITUTE(SUBSTITUTE(SUBSTITUTE(SUBSTITUTE(SUBSTITUTE(SUBSTITUTE(SUBSTITUTE(E121,","," "),"."," "),";"," "),":"," "),"("," "),")"," "),"/"," ")&amp;" "))))</f>
      </c>
      <c r="H121" s="17">
        <f>IF(E121="",0,SUMPRODUCT((Items[ID]&lt;&gt;"")*(Items[Owner]=A121)*(Items[In sprint]=1)*ISNUMBER(SEARCH(" "&amp;Items[ID]&amp;" "," "&amp;SUBSTITUTE(SUBSTITUTE(SUBSTITUTE(SUBSTITUTE(SUBSTITUTE(SUBSTITUTE(SUBSTITUTE(E121,","," "),"."," "),";"," "),":"," "),"("," "),")"," "),"/"," ")&amp;" "))))</f>
      </c>
      <c r="I121" s="17">
        <f>IF(F121="","",IF(OR(LOWER(TRIM(F121))={"none","no","nothing","n/a","na","-","nope","no blockers","none.","nil"}),"","Y"))</f>
      </c>
      <c r="J121" s="17">
        <f>IF(D121="","",IF(OR(ISNUMBER(SEARCH({"done","finished","completed","closed","merged"},D121))),IFERROR(INDEX(Items[ID],MATCH(1,INDEX((Items[ID]&lt;&gt;"")*(Items[State]&lt;&gt;"DONE")*ISNUMBER(SEARCH(" "&amp;Items[ID]&amp;" "," "&amp;SUBSTITUTE(SUBSTITUTE(SUBSTITUTE(SUBSTITUTE(SUBSTITUTE(SUBSTITUTE(SUBSTITUTE(D121,","," "),"."," "),";"," "),":"," "),"("," "),")"," "),"/"," ")&amp;" ")),0),0)),""),""))</f>
      </c>
      <c r="K121" s="20">
        <f>IF(A121="","",TRIM(IF(C121=0,"silent; ","")&amp;IF(AND(N(C121)&gt;0,D121=""),"no Y; ","")&amp;IF(AND(N(C121)&gt;0,E121=""),"no T; ","")&amp;IF(AND(N(C121)&gt;0,F121=""),"no B; ","")&amp;IF(AND(E121&lt;&gt;"",G121=0),"no task id in T; ","")&amp;IF(AND(G121&gt;0,H121=0),"T names no task of yours in this sprint; ","")&amp;IF(I121="Y","blocker: "&amp;F121&amp;"; ","")))</f>
      </c>
      <c r="L121" s="20">
        <f>IF(A121="","",IF(C121=0,"@"&amp;A121&amp;" please post Y: / T: / B: for today.",IF(TRIM(IF(AND(N(C121)&gt;0,D121=""),"no Y; ","")&amp;IF(AND(N(C121)&gt;0,E121=""),"no T; ","")&amp;IF(AND(N(C121)&gt;0,F121=""),"no B; ","")&amp;IF(AND(E121&lt;&gt;"",G121=0),"no task id in T; ","")&amp;IF(AND(G121&gt;0,H121=0),"T names no task of yours in this sprint; ",""))="","","@"&amp;A121&amp;" please fix: "&amp;TRIM(IF(AND(N(C121)&gt;0,D121=""),"no Y; ","")&amp;IF(AND(N(C121)&gt;0,E121=""),"no T; ","")&amp;IF(AND(N(C121)&gt;0,F121=""),"no B; ","")&amp;IF(AND(E121&lt;&gt;"",G121=0),"no task id in T; ","")&amp;IF(AND(G121&gt;0,H121=0),"T names no task of yours in this sprint; ","")))))</f>
      </c>
      <c r="M121" s="11">
        <f>IF(N121="","",StandupDate)</f>
      </c>
      <c r="N121" s="17">
        <f>IF(J121&lt;&gt;"",J121,IF(I121="Y",IF(IFERROR(INDEX(Items[ID],MATCH(1,INDEX((Items[ID]&lt;&gt;"")*ISNUMBER(SEARCH(" "&amp;Items[ID]&amp;" "," "&amp;SUBSTITUTE(SUBSTITUTE(SUBSTITUTE(SUBSTITUTE(SUBSTITUTE(SUBSTITUTE(SUBSTITUTE(F121,",","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"&amp;SUBSTITUTE(SUBSTITUTE(SUBSTITUTE(SUBSTITUTE(SUBSTITUTE(SUBSTITUTE(SUBSTITUTE(F121,","," "),"."," "),";"," "),":"," "),"("," "),")"," "),"/"," ")&amp;" ")),0),0)),""),IFERROR(INDEX(Items[ID],MATCH(1,INDEX((Items[ID]&lt;&gt;"")*(Items[Owner]=A121)*ISNUMBER(SEARCH(" "&amp;Items[ID]&amp;" "," "&amp;SUBSTITUTE(SUBSTITUTE(SUBSTITUTE(SUBSTITUTE(SUBSTITUTE(SUBSTITUTE(SUBSTITUTE(E121,","," "),"."," "),";"," "),":"," "),"("," "),")"," "),"/"," ")&amp;" ")),0),0)),"")),""))</f>
      </c>
      <c r="O121" s="17">
        <f>IF(N121="","",IF(J121&lt;&gt;"","done","block"))</f>
      </c>
      <c r="P121" s="17">
        <f>IF(O121="block",F121,"")</f>
      </c>
    </row>
    <row r="122">
      <c r="A122" s="17">
        <f>IFERROR(INDEX(Roster[Name],118)&amp;"","")</f>
      </c>
      <c r="B122" s="17">
        <f>IF(A122="","",INDEX(Roster[Team],118)&amp;"")</f>
      </c>
      <c r="C122" s="17">
        <f>IF(OR(A122="",COUNTA(ChatPaste)=0),"",COUNTIF(ChatSpeaker,A122))</f>
      </c>
      <c r="D122" s="20">
        <f>IF(A122="","",IFERROR(INDEX(ChatText,MATCH(1,INDEX((ChatSpeaker=A122)*(ChatTag="Y"),0),0)),""))</f>
      </c>
      <c r="E122" s="20">
        <f>IF(A122="","",IFERROR(INDEX(ChatText,MATCH(1,INDEX((ChatSpeaker=A122)*(ChatTag="T"),0),0)),""))</f>
      </c>
      <c r="F122" s="20">
        <f>IF(A122="","",IFERROR(INDEX(ChatText,MATCH(1,INDEX((ChatSpeaker=A122)*(ChatTag="B"),0),0)),""))</f>
      </c>
      <c r="G122" s="17">
        <f>IF(E122="",0,SUMPRODUCT((Items[ID]&lt;&gt;"")*ISNUMBER(SEARCH(" "&amp;Items[ID]&amp;" "," "&amp;SUBSTITUTE(SUBSTITUTE(SUBSTITUTE(SUBSTITUTE(SUBSTITUTE(SUBSTITUTE(SUBSTITUTE(E122,","," "),"."," "),";"," "),":"," "),"("," "),")"," "),"/"," ")&amp;" "))))</f>
      </c>
      <c r="H122" s="17">
        <f>IF(E122="",0,SUMPRODUCT((Items[ID]&lt;&gt;"")*(Items[Owner]=A122)*(Items[In sprint]=1)*ISNUMBER(SEARCH(" "&amp;Items[ID]&amp;" "," "&amp;SUBSTITUTE(SUBSTITUTE(SUBSTITUTE(SUBSTITUTE(SUBSTITUTE(SUBSTITUTE(SUBSTITUTE(E122,","," "),"."," "),";"," "),":"," "),"("," "),")"," "),"/"," ")&amp;" "))))</f>
      </c>
      <c r="I122" s="17">
        <f>IF(F122="","",IF(OR(LOWER(TRIM(F122))={"none","no","nothing","n/a","na","-","nope","no blockers","none.","nil"}),"","Y"))</f>
      </c>
      <c r="J122" s="17">
        <f>IF(D122="","",IF(OR(ISNUMBER(SEARCH({"done","finished","completed","closed","merged"},D122))),IFERROR(INDEX(Items[ID],MATCH(1,INDEX((Items[ID]&lt;&gt;"")*(Items[State]&lt;&gt;"DONE")*ISNUMBER(SEARCH(" "&amp;Items[ID]&amp;" "," "&amp;SUBSTITUTE(SUBSTITUTE(SUBSTITUTE(SUBSTITUTE(SUBSTITUTE(SUBSTITUTE(SUBSTITUTE(D122,","," "),"."," "),";"," "),":"," "),"("," "),")"," "),"/"," ")&amp;" ")),0),0)),""),""))</f>
      </c>
      <c r="K122" s="20">
        <f>IF(A122="","",TRIM(IF(C122=0,"silent; ","")&amp;IF(AND(N(C122)&gt;0,D122=""),"no Y; ","")&amp;IF(AND(N(C122)&gt;0,E122=""),"no T; ","")&amp;IF(AND(N(C122)&gt;0,F122=""),"no B; ","")&amp;IF(AND(E122&lt;&gt;"",G122=0),"no task id in T; ","")&amp;IF(AND(G122&gt;0,H122=0),"T names no task of yours in this sprint; ","")&amp;IF(I122="Y","blocker: "&amp;F122&amp;"; ","")))</f>
      </c>
      <c r="L122" s="20">
        <f>IF(A122="","",IF(C122=0,"@"&amp;A122&amp;" please post Y: / T: / B: for today.",IF(TRIM(IF(AND(N(C122)&gt;0,D122=""),"no Y; ","")&amp;IF(AND(N(C122)&gt;0,E122=""),"no T; ","")&amp;IF(AND(N(C122)&gt;0,F122=""),"no B; ","")&amp;IF(AND(E122&lt;&gt;"",G122=0),"no task id in T; ","")&amp;IF(AND(G122&gt;0,H122=0),"T names no task of yours in this sprint; ",""))="","","@"&amp;A122&amp;" please fix: "&amp;TRIM(IF(AND(N(C122)&gt;0,D122=""),"no Y; ","")&amp;IF(AND(N(C122)&gt;0,E122=""),"no T; ","")&amp;IF(AND(N(C122)&gt;0,F122=""),"no B; ","")&amp;IF(AND(E122&lt;&gt;"",G122=0),"no task id in T; ","")&amp;IF(AND(G122&gt;0,H122=0),"T names no task of yours in this sprint; ","")))))</f>
      </c>
      <c r="M122" s="11">
        <f>IF(N122="","",StandupDate)</f>
      </c>
      <c r="N122" s="17">
        <f>IF(J122&lt;&gt;"",J122,IF(I122="Y",IF(IFERROR(INDEX(Items[ID],MATCH(1,INDEX((Items[ID]&lt;&gt;"")*ISNUMBER(SEARCH(" "&amp;Items[ID]&amp;" "," "&amp;SUBSTITUTE(SUBSTITUTE(SUBSTITUTE(SUBSTITUTE(SUBSTITUTE(SUBSTITUTE(SUBSTITUTE(F122,",","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"&amp;SUBSTITUTE(SUBSTITUTE(SUBSTITUTE(SUBSTITUTE(SUBSTITUTE(SUBSTITUTE(SUBSTITUTE(F122,","," "),"."," "),";"," "),":"," "),"("," "),")"," "),"/"," ")&amp;" ")),0),0)),""),IFERROR(INDEX(Items[ID],MATCH(1,INDEX((Items[ID]&lt;&gt;"")*(Items[Owner]=A122)*ISNUMBER(SEARCH(" "&amp;Items[ID]&amp;" "," "&amp;SUBSTITUTE(SUBSTITUTE(SUBSTITUTE(SUBSTITUTE(SUBSTITUTE(SUBSTITUTE(SUBSTITUTE(E122,","," "),"."," "),";"," "),":"," "),"("," "),")"," "),"/"," ")&amp;" ")),0),0)),"")),""))</f>
      </c>
      <c r="O122" s="17">
        <f>IF(N122="","",IF(J122&lt;&gt;"","done","block"))</f>
      </c>
      <c r="P122" s="17">
        <f>IF(O122="block",F122,"")</f>
      </c>
    </row>
    <row r="123">
      <c r="A123" s="17">
        <f>IFERROR(INDEX(Roster[Name],119)&amp;"","")</f>
      </c>
      <c r="B123" s="17">
        <f>IF(A123="","",INDEX(Roster[Team],119)&amp;"")</f>
      </c>
      <c r="C123" s="17">
        <f>IF(OR(A123="",COUNTA(ChatPaste)=0),"",COUNTIF(ChatSpeaker,A123))</f>
      </c>
      <c r="D123" s="20">
        <f>IF(A123="","",IFERROR(INDEX(ChatText,MATCH(1,INDEX((ChatSpeaker=A123)*(ChatTag="Y"),0),0)),""))</f>
      </c>
      <c r="E123" s="20">
        <f>IF(A123="","",IFERROR(INDEX(ChatText,MATCH(1,INDEX((ChatSpeaker=A123)*(ChatTag="T"),0),0)),""))</f>
      </c>
      <c r="F123" s="20">
        <f>IF(A123="","",IFERROR(INDEX(ChatText,MATCH(1,INDEX((ChatSpeaker=A123)*(ChatTag="B"),0),0)),""))</f>
      </c>
      <c r="G123" s="17">
        <f>IF(E123="",0,SUMPRODUCT((Items[ID]&lt;&gt;"")*ISNUMBER(SEARCH(" "&amp;Items[ID]&amp;" "," "&amp;SUBSTITUTE(SUBSTITUTE(SUBSTITUTE(SUBSTITUTE(SUBSTITUTE(SUBSTITUTE(SUBSTITUTE(E123,","," "),"."," "),";"," "),":"," "),"("," "),")"," "),"/"," ")&amp;" "))))</f>
      </c>
      <c r="H123" s="17">
        <f>IF(E123="",0,SUMPRODUCT((Items[ID]&lt;&gt;"")*(Items[Owner]=A123)*(Items[In sprint]=1)*ISNUMBER(SEARCH(" "&amp;Items[ID]&amp;" "," "&amp;SUBSTITUTE(SUBSTITUTE(SUBSTITUTE(SUBSTITUTE(SUBSTITUTE(SUBSTITUTE(SUBSTITUTE(E123,","," "),"."," "),";"," "),":"," "),"("," "),")"," "),"/"," ")&amp;" "))))</f>
      </c>
      <c r="I123" s="17">
        <f>IF(F123="","",IF(OR(LOWER(TRIM(F123))={"none","no","nothing","n/a","na","-","nope","no blockers","none.","nil"}),"","Y"))</f>
      </c>
      <c r="J123" s="17">
        <f>IF(D123="","",IF(OR(ISNUMBER(SEARCH({"done","finished","completed","closed","merged"},D123))),IFERROR(INDEX(Items[ID],MATCH(1,INDEX((Items[ID]&lt;&gt;"")*(Items[State]&lt;&gt;"DONE")*ISNUMBER(SEARCH(" "&amp;Items[ID]&amp;" "," "&amp;SUBSTITUTE(SUBSTITUTE(SUBSTITUTE(SUBSTITUTE(SUBSTITUTE(SUBSTITUTE(SUBSTITUTE(D123,","," "),"."," "),";"," "),":"," "),"("," "),")"," "),"/"," ")&amp;" ")),0),0)),""),""))</f>
      </c>
      <c r="K123" s="20">
        <f>IF(A123="","",TRIM(IF(C123=0,"silent; ","")&amp;IF(AND(N(C123)&gt;0,D123=""),"no Y; ","")&amp;IF(AND(N(C123)&gt;0,E123=""),"no T; ","")&amp;IF(AND(N(C123)&gt;0,F123=""),"no B; ","")&amp;IF(AND(E123&lt;&gt;"",G123=0),"no task id in T; ","")&amp;IF(AND(G123&gt;0,H123=0),"T names no task of yours in this sprint; ","")&amp;IF(I123="Y","blocker: "&amp;F123&amp;"; ","")))</f>
      </c>
      <c r="L123" s="20">
        <f>IF(A123="","",IF(C123=0,"@"&amp;A123&amp;" please post Y: / T: / B: for today.",IF(TRIM(IF(AND(N(C123)&gt;0,D123=""),"no Y; ","")&amp;IF(AND(N(C123)&gt;0,E123=""),"no T; ","")&amp;IF(AND(N(C123)&gt;0,F123=""),"no B; ","")&amp;IF(AND(E123&lt;&gt;"",G123=0),"no task id in T; ","")&amp;IF(AND(G123&gt;0,H123=0),"T names no task of yours in this sprint; ",""))="","","@"&amp;A123&amp;" please fix: "&amp;TRIM(IF(AND(N(C123)&gt;0,D123=""),"no Y; ","")&amp;IF(AND(N(C123)&gt;0,E123=""),"no T; ","")&amp;IF(AND(N(C123)&gt;0,F123=""),"no B; ","")&amp;IF(AND(E123&lt;&gt;"",G123=0),"no task id in T; ","")&amp;IF(AND(G123&gt;0,H123=0),"T names no task of yours in this sprint; ","")))))</f>
      </c>
      <c r="M123" s="11">
        <f>IF(N123="","",StandupDate)</f>
      </c>
      <c r="N123" s="17">
        <f>IF(J123&lt;&gt;"",J123,IF(I123="Y",IF(IFERROR(INDEX(Items[ID],MATCH(1,INDEX((Items[ID]&lt;&gt;"")*ISNUMBER(SEARCH(" "&amp;Items[ID]&amp;" "," "&amp;SUBSTITUTE(SUBSTITUTE(SUBSTITUTE(SUBSTITUTE(SUBSTITUTE(SUBSTITUTE(SUBSTITUTE(F123,",","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"&amp;SUBSTITUTE(SUBSTITUTE(SUBSTITUTE(SUBSTITUTE(SUBSTITUTE(SUBSTITUTE(SUBSTITUTE(F123,","," "),"."," "),";"," "),":"," "),"("," "),")"," "),"/"," ")&amp;" ")),0),0)),""),IFERROR(INDEX(Items[ID],MATCH(1,INDEX((Items[ID]&lt;&gt;"")*(Items[Owner]=A123)*ISNUMBER(SEARCH(" "&amp;Items[ID]&amp;" "," "&amp;SUBSTITUTE(SUBSTITUTE(SUBSTITUTE(SUBSTITUTE(SUBSTITUTE(SUBSTITUTE(SUBSTITUTE(E123,","," "),"."," "),";"," "),":"," "),"("," "),")"," "),"/"," ")&amp;" ")),0),0)),"")),""))</f>
      </c>
      <c r="O123" s="17">
        <f>IF(N123="","",IF(J123&lt;&gt;"","done","block"))</f>
      </c>
      <c r="P123" s="17">
        <f>IF(O123="block",F123,"")</f>
      </c>
    </row>
    <row r="124">
      <c r="A124" s="17">
        <f>IFERROR(INDEX(Roster[Name],120)&amp;"","")</f>
      </c>
      <c r="B124" s="17">
        <f>IF(A124="","",INDEX(Roster[Team],120)&amp;"")</f>
      </c>
      <c r="C124" s="17">
        <f>IF(OR(A124="",COUNTA(ChatPaste)=0),"",COUNTIF(ChatSpeaker,A124))</f>
      </c>
      <c r="D124" s="20">
        <f>IF(A124="","",IFERROR(INDEX(ChatText,MATCH(1,INDEX((ChatSpeaker=A124)*(ChatTag="Y"),0),0)),""))</f>
      </c>
      <c r="E124" s="20">
        <f>IF(A124="","",IFERROR(INDEX(ChatText,MATCH(1,INDEX((ChatSpeaker=A124)*(ChatTag="T"),0),0)),""))</f>
      </c>
      <c r="F124" s="20">
        <f>IF(A124="","",IFERROR(INDEX(ChatText,MATCH(1,INDEX((ChatSpeaker=A124)*(ChatTag="B"),0),0)),""))</f>
      </c>
      <c r="G124" s="17">
        <f>IF(E124="",0,SUMPRODUCT((Items[ID]&lt;&gt;"")*ISNUMBER(SEARCH(" "&amp;Items[ID]&amp;" "," "&amp;SUBSTITUTE(SUBSTITUTE(SUBSTITUTE(SUBSTITUTE(SUBSTITUTE(SUBSTITUTE(SUBSTITUTE(E124,","," "),"."," "),";"," "),":"," "),"("," "),")"," "),"/"," ")&amp;" "))))</f>
      </c>
      <c r="H124" s="17">
        <f>IF(E124="",0,SUMPRODUCT((Items[ID]&lt;&gt;"")*(Items[Owner]=A124)*(Items[In sprint]=1)*ISNUMBER(SEARCH(" "&amp;Items[ID]&amp;" "," "&amp;SUBSTITUTE(SUBSTITUTE(SUBSTITUTE(SUBSTITUTE(SUBSTITUTE(SUBSTITUTE(SUBSTITUTE(E124,","," "),"."," "),";"," "),":"," "),"("," "),")"," "),"/"," ")&amp;" "))))</f>
      </c>
      <c r="I124" s="17">
        <f>IF(F124="","",IF(OR(LOWER(TRIM(F124))={"none","no","nothing","n/a","na","-","nope","no blockers","none.","nil"}),"","Y"))</f>
      </c>
      <c r="J124" s="17">
        <f>IF(D124="","",IF(OR(ISNUMBER(SEARCH({"done","finished","completed","closed","merged"},D124))),IFERROR(INDEX(Items[ID],MATCH(1,INDEX((Items[ID]&lt;&gt;"")*(Items[State]&lt;&gt;"DONE")*ISNUMBER(SEARCH(" "&amp;Items[ID]&amp;" "," "&amp;SUBSTITUTE(SUBSTITUTE(SUBSTITUTE(SUBSTITUTE(SUBSTITUTE(SUBSTITUTE(SUBSTITUTE(D124,","," "),"."," "),";"," "),":"," "),"("," "),")"," "),"/"," ")&amp;" ")),0),0)),""),""))</f>
      </c>
      <c r="K124" s="20">
        <f>IF(A124="","",TRIM(IF(C124=0,"silent; ","")&amp;IF(AND(N(C124)&gt;0,D124=""),"no Y; ","")&amp;IF(AND(N(C124)&gt;0,E124=""),"no T; ","")&amp;IF(AND(N(C124)&gt;0,F124=""),"no B; ","")&amp;IF(AND(E124&lt;&gt;"",G124=0),"no task id in T; ","")&amp;IF(AND(G124&gt;0,H124=0),"T names no task of yours in this sprint; ","")&amp;IF(I124="Y","blocker: "&amp;F124&amp;"; ","")))</f>
      </c>
      <c r="L124" s="20">
        <f>IF(A124="","",IF(C124=0,"@"&amp;A124&amp;" please post Y: / T: / B: for today.",IF(TRIM(IF(AND(N(C124)&gt;0,D124=""),"no Y; ","")&amp;IF(AND(N(C124)&gt;0,E124=""),"no T; ","")&amp;IF(AND(N(C124)&gt;0,F124=""),"no B; ","")&amp;IF(AND(E124&lt;&gt;"",G124=0),"no task id in T; ","")&amp;IF(AND(G124&gt;0,H124=0),"T names no task of yours in this sprint; ",""))="","","@"&amp;A124&amp;" please fix: "&amp;TRIM(IF(AND(N(C124)&gt;0,D124=""),"no Y; ","")&amp;IF(AND(N(C124)&gt;0,E124=""),"no T; ","")&amp;IF(AND(N(C124)&gt;0,F124=""),"no B; ","")&amp;IF(AND(E124&lt;&gt;"",G124=0),"no task id in T; ","")&amp;IF(AND(G124&gt;0,H124=0),"T names no task of yours in this sprint; ","")))))</f>
      </c>
      <c r="M124" s="11">
        <f>IF(N124="","",StandupDate)</f>
      </c>
      <c r="N124" s="17">
        <f>IF(J124&lt;&gt;"",J124,IF(I124="Y",IF(IFERROR(INDEX(Items[ID],MATCH(1,INDEX((Items[ID]&lt;&gt;"")*ISNUMBER(SEARCH(" "&amp;Items[ID]&amp;" "," "&amp;SUBSTITUTE(SUBSTITUTE(SUBSTITUTE(SUBSTITUTE(SUBSTITUTE(SUBSTITUTE(SUBSTITUTE(F124,",","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"&amp;SUBSTITUTE(SUBSTITUTE(SUBSTITUTE(SUBSTITUTE(SUBSTITUTE(SUBSTITUTE(SUBSTITUTE(F124,","," "),"."," "),";"," "),":"," "),"("," "),")"," "),"/"," ")&amp;" ")),0),0)),""),IFERROR(INDEX(Items[ID],MATCH(1,INDEX((Items[ID]&lt;&gt;"")*(Items[Owner]=A124)*ISNUMBER(SEARCH(" "&amp;Items[ID]&amp;" "," "&amp;SUBSTITUTE(SUBSTITUTE(SUBSTITUTE(SUBSTITUTE(SUBSTITUTE(SUBSTITUTE(SUBSTITUTE(E124,","," "),"."," "),";"," "),":"," "),"("," "),")"," "),"/"," ")&amp;" ")),0),0)),"")),""))</f>
      </c>
      <c r="O124" s="17">
        <f>IF(N124="","",IF(J124&lt;&gt;"","done","block"))</f>
      </c>
      <c r="P124" s="17">
        <f>IF(O124="block",F124,"")</f>
      </c>
    </row>
    <row r="125">
      <c r="A125" s="17">
        <f>IFERROR(INDEX(Roster[Name],121)&amp;"","")</f>
      </c>
      <c r="B125" s="17">
        <f>IF(A125="","",INDEX(Roster[Team],121)&amp;"")</f>
      </c>
      <c r="C125" s="17">
        <f>IF(OR(A125="",COUNTA(ChatPaste)=0),"",COUNTIF(ChatSpeaker,A125))</f>
      </c>
      <c r="D125" s="20">
        <f>IF(A125="","",IFERROR(INDEX(ChatText,MATCH(1,INDEX((ChatSpeaker=A125)*(ChatTag="Y"),0),0)),""))</f>
      </c>
      <c r="E125" s="20">
        <f>IF(A125="","",IFERROR(INDEX(ChatText,MATCH(1,INDEX((ChatSpeaker=A125)*(ChatTag="T"),0),0)),""))</f>
      </c>
      <c r="F125" s="20">
        <f>IF(A125="","",IFERROR(INDEX(ChatText,MATCH(1,INDEX((ChatSpeaker=A125)*(ChatTag="B"),0),0)),""))</f>
      </c>
      <c r="G125" s="17">
        <f>IF(E125="",0,SUMPRODUCT((Items[ID]&lt;&gt;"")*ISNUMBER(SEARCH(" "&amp;Items[ID]&amp;" "," "&amp;SUBSTITUTE(SUBSTITUTE(SUBSTITUTE(SUBSTITUTE(SUBSTITUTE(SUBSTITUTE(SUBSTITUTE(E125,","," "),"."," "),";"," "),":"," "),"("," "),")"," "),"/"," ")&amp;" "))))</f>
      </c>
      <c r="H125" s="17">
        <f>IF(E125="",0,SUMPRODUCT((Items[ID]&lt;&gt;"")*(Items[Owner]=A125)*(Items[In sprint]=1)*ISNUMBER(SEARCH(" "&amp;Items[ID]&amp;" "," "&amp;SUBSTITUTE(SUBSTITUTE(SUBSTITUTE(SUBSTITUTE(SUBSTITUTE(SUBSTITUTE(SUBSTITUTE(E125,","," "),"."," "),";"," "),":"," "),"("," "),")"," "),"/"," ")&amp;" "))))</f>
      </c>
      <c r="I125" s="17">
        <f>IF(F125="","",IF(OR(LOWER(TRIM(F125))={"none","no","nothing","n/a","na","-","nope","no blockers","none.","nil"}),"","Y"))</f>
      </c>
      <c r="J125" s="17">
        <f>IF(D125="","",IF(OR(ISNUMBER(SEARCH({"done","finished","completed","closed","merged"},D125))),IFERROR(INDEX(Items[ID],MATCH(1,INDEX((Items[ID]&lt;&gt;"")*(Items[State]&lt;&gt;"DONE")*ISNUMBER(SEARCH(" "&amp;Items[ID]&amp;" "," "&amp;SUBSTITUTE(SUBSTITUTE(SUBSTITUTE(SUBSTITUTE(SUBSTITUTE(SUBSTITUTE(SUBSTITUTE(D125,","," "),"."," "),";"," "),":"," "),"("," "),")"," "),"/"," ")&amp;" ")),0),0)),""),""))</f>
      </c>
      <c r="K125" s="20">
        <f>IF(A125="","",TRIM(IF(C125=0,"silent; ","")&amp;IF(AND(N(C125)&gt;0,D125=""),"no Y; ","")&amp;IF(AND(N(C125)&gt;0,E125=""),"no T; ","")&amp;IF(AND(N(C125)&gt;0,F125=""),"no B; ","")&amp;IF(AND(E125&lt;&gt;"",G125=0),"no task id in T; ","")&amp;IF(AND(G125&gt;0,H125=0),"T names no task of yours in this sprint; ","")&amp;IF(I125="Y","blocker: "&amp;F125&amp;"; ","")))</f>
      </c>
      <c r="L125" s="20">
        <f>IF(A125="","",IF(C125=0,"@"&amp;A125&amp;" please post Y: / T: / B: for today.",IF(TRIM(IF(AND(N(C125)&gt;0,D125=""),"no Y; ","")&amp;IF(AND(N(C125)&gt;0,E125=""),"no T; ","")&amp;IF(AND(N(C125)&gt;0,F125=""),"no B; ","")&amp;IF(AND(E125&lt;&gt;"",G125=0),"no task id in T; ","")&amp;IF(AND(G125&gt;0,H125=0),"T names no task of yours in this sprint; ",""))="","","@"&amp;A125&amp;" please fix: "&amp;TRIM(IF(AND(N(C125)&gt;0,D125=""),"no Y; ","")&amp;IF(AND(N(C125)&gt;0,E125=""),"no T; ","")&amp;IF(AND(N(C125)&gt;0,F125=""),"no B; ","")&amp;IF(AND(E125&lt;&gt;"",G125=0),"no task id in T; ","")&amp;IF(AND(G125&gt;0,H125=0),"T names no task of yours in this sprint; ","")))))</f>
      </c>
      <c r="M125" s="11">
        <f>IF(N125="","",StandupDate)</f>
      </c>
      <c r="N125" s="17">
        <f>IF(J125&lt;&gt;"",J125,IF(I125="Y",IF(IFERROR(INDEX(Items[ID],MATCH(1,INDEX((Items[ID]&lt;&gt;"")*ISNUMBER(SEARCH(" "&amp;Items[ID]&amp;" "," "&amp;SUBSTITUTE(SUBSTITUTE(SUBSTITUTE(SUBSTITUTE(SUBSTITUTE(SUBSTITUTE(SUBSTITUTE(F125,",","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"&amp;SUBSTITUTE(SUBSTITUTE(SUBSTITUTE(SUBSTITUTE(SUBSTITUTE(SUBSTITUTE(SUBSTITUTE(F125,","," "),"."," "),";"," "),":"," "),"("," "),")"," "),"/"," ")&amp;" ")),0),0)),""),IFERROR(INDEX(Items[ID],MATCH(1,INDEX((Items[ID]&lt;&gt;"")*(Items[Owner]=A125)*ISNUMBER(SEARCH(" "&amp;Items[ID]&amp;" "," "&amp;SUBSTITUTE(SUBSTITUTE(SUBSTITUTE(SUBSTITUTE(SUBSTITUTE(SUBSTITUTE(SUBSTITUTE(E125,","," "),"."," "),";"," "),":"," "),"("," "),")"," "),"/"," ")&amp;" ")),0),0)),"")),""))</f>
      </c>
      <c r="O125" s="17">
        <f>IF(N125="","",IF(J125&lt;&gt;"","done","block"))</f>
      </c>
      <c r="P125" s="17">
        <f>IF(O125="block",F125,"")</f>
      </c>
    </row>
    <row r="126">
      <c r="A126" s="17">
        <f>IFERROR(INDEX(Roster[Name],122)&amp;"","")</f>
      </c>
      <c r="B126" s="17">
        <f>IF(A126="","",INDEX(Roster[Team],122)&amp;"")</f>
      </c>
      <c r="C126" s="17">
        <f>IF(OR(A126="",COUNTA(ChatPaste)=0),"",COUNTIF(ChatSpeaker,A126))</f>
      </c>
      <c r="D126" s="20">
        <f>IF(A126="","",IFERROR(INDEX(ChatText,MATCH(1,INDEX((ChatSpeaker=A126)*(ChatTag="Y"),0),0)),""))</f>
      </c>
      <c r="E126" s="20">
        <f>IF(A126="","",IFERROR(INDEX(ChatText,MATCH(1,INDEX((ChatSpeaker=A126)*(ChatTag="T"),0),0)),""))</f>
      </c>
      <c r="F126" s="20">
        <f>IF(A126="","",IFERROR(INDEX(ChatText,MATCH(1,INDEX((ChatSpeaker=A126)*(ChatTag="B"),0),0)),""))</f>
      </c>
      <c r="G126" s="17">
        <f>IF(E126="",0,SUMPRODUCT((Items[ID]&lt;&gt;"")*ISNUMBER(SEARCH(" "&amp;Items[ID]&amp;" "," "&amp;SUBSTITUTE(SUBSTITUTE(SUBSTITUTE(SUBSTITUTE(SUBSTITUTE(SUBSTITUTE(SUBSTITUTE(E126,","," "),"."," "),";"," "),":"," "),"("," "),")"," "),"/"," ")&amp;" "))))</f>
      </c>
      <c r="H126" s="17">
        <f>IF(E126="",0,SUMPRODUCT((Items[ID]&lt;&gt;"")*(Items[Owner]=A126)*(Items[In sprint]=1)*ISNUMBER(SEARCH(" "&amp;Items[ID]&amp;" "," "&amp;SUBSTITUTE(SUBSTITUTE(SUBSTITUTE(SUBSTITUTE(SUBSTITUTE(SUBSTITUTE(SUBSTITUTE(E126,","," "),"."," "),";"," "),":"," "),"("," "),")"," "),"/"," ")&amp;" "))))</f>
      </c>
      <c r="I126" s="17">
        <f>IF(F126="","",IF(OR(LOWER(TRIM(F126))={"none","no","nothing","n/a","na","-","nope","no blockers","none.","nil"}),"","Y"))</f>
      </c>
      <c r="J126" s="17">
        <f>IF(D126="","",IF(OR(ISNUMBER(SEARCH({"done","finished","completed","closed","merged"},D126))),IFERROR(INDEX(Items[ID],MATCH(1,INDEX((Items[ID]&lt;&gt;"")*(Items[State]&lt;&gt;"DONE")*ISNUMBER(SEARCH(" "&amp;Items[ID]&amp;" "," "&amp;SUBSTITUTE(SUBSTITUTE(SUBSTITUTE(SUBSTITUTE(SUBSTITUTE(SUBSTITUTE(SUBSTITUTE(D126,","," "),"."," "),";"," "),":"," "),"("," "),")"," "),"/"," ")&amp;" ")),0),0)),""),""))</f>
      </c>
      <c r="K126" s="20">
        <f>IF(A126="","",TRIM(IF(C126=0,"silent; ","")&amp;IF(AND(N(C126)&gt;0,D126=""),"no Y; ","")&amp;IF(AND(N(C126)&gt;0,E126=""),"no T; ","")&amp;IF(AND(N(C126)&gt;0,F126=""),"no B; ","")&amp;IF(AND(E126&lt;&gt;"",G126=0),"no task id in T; ","")&amp;IF(AND(G126&gt;0,H126=0),"T names no task of yours in this sprint; ","")&amp;IF(I126="Y","blocker: "&amp;F126&amp;"; ","")))</f>
      </c>
      <c r="L126" s="20">
        <f>IF(A126="","",IF(C126=0,"@"&amp;A126&amp;" please post Y: / T: / B: for today.",IF(TRIM(IF(AND(N(C126)&gt;0,D126=""),"no Y; ","")&amp;IF(AND(N(C126)&gt;0,E126=""),"no T; ","")&amp;IF(AND(N(C126)&gt;0,F126=""),"no B; ","")&amp;IF(AND(E126&lt;&gt;"",G126=0),"no task id in T; ","")&amp;IF(AND(G126&gt;0,H126=0),"T names no task of yours in this sprint; ",""))="","","@"&amp;A126&amp;" please fix: "&amp;TRIM(IF(AND(N(C126)&gt;0,D126=""),"no Y; ","")&amp;IF(AND(N(C126)&gt;0,E126=""),"no T; ","")&amp;IF(AND(N(C126)&gt;0,F126=""),"no B; ","")&amp;IF(AND(E126&lt;&gt;"",G126=0),"no task id in T; ","")&amp;IF(AND(G126&gt;0,H126=0),"T names no task of yours in this sprint; ","")))))</f>
      </c>
      <c r="M126" s="11">
        <f>IF(N126="","",StandupDate)</f>
      </c>
      <c r="N126" s="17">
        <f>IF(J126&lt;&gt;"",J126,IF(I126="Y",IF(IFERROR(INDEX(Items[ID],MATCH(1,INDEX((Items[ID]&lt;&gt;"")*ISNUMBER(SEARCH(" "&amp;Items[ID]&amp;" "," "&amp;SUBSTITUTE(SUBSTITUTE(SUBSTITUTE(SUBSTITUTE(SUBSTITUTE(SUBSTITUTE(SUBSTITUTE(F126,",","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"&amp;SUBSTITUTE(SUBSTITUTE(SUBSTITUTE(SUBSTITUTE(SUBSTITUTE(SUBSTITUTE(SUBSTITUTE(F126,","," "),"."," "),";"," "),":"," "),"("," "),")"," "),"/"," ")&amp;" ")),0),0)),""),IFERROR(INDEX(Items[ID],MATCH(1,INDEX((Items[ID]&lt;&gt;"")*(Items[Owner]=A126)*ISNUMBER(SEARCH(" "&amp;Items[ID]&amp;" "," "&amp;SUBSTITUTE(SUBSTITUTE(SUBSTITUTE(SUBSTITUTE(SUBSTITUTE(SUBSTITUTE(SUBSTITUTE(E126,","," "),"."," "),";"," "),":"," "),"("," "),")"," "),"/"," ")&amp;" ")),0),0)),"")),""))</f>
      </c>
      <c r="O126" s="17">
        <f>IF(N126="","",IF(J126&lt;&gt;"","done","block"))</f>
      </c>
      <c r="P126" s="17">
        <f>IF(O126="block",F126,"")</f>
      </c>
    </row>
    <row r="127">
      <c r="A127" s="17">
        <f>IFERROR(INDEX(Roster[Name],123)&amp;"","")</f>
      </c>
      <c r="B127" s="17">
        <f>IF(A127="","",INDEX(Roster[Team],123)&amp;"")</f>
      </c>
      <c r="C127" s="17">
        <f>IF(OR(A127="",COUNTA(ChatPaste)=0),"",COUNTIF(ChatSpeaker,A127))</f>
      </c>
      <c r="D127" s="20">
        <f>IF(A127="","",IFERROR(INDEX(ChatText,MATCH(1,INDEX((ChatSpeaker=A127)*(ChatTag="Y"),0),0)),""))</f>
      </c>
      <c r="E127" s="20">
        <f>IF(A127="","",IFERROR(INDEX(ChatText,MATCH(1,INDEX((ChatSpeaker=A127)*(ChatTag="T"),0),0)),""))</f>
      </c>
      <c r="F127" s="20">
        <f>IF(A127="","",IFERROR(INDEX(ChatText,MATCH(1,INDEX((ChatSpeaker=A127)*(ChatTag="B"),0),0)),""))</f>
      </c>
      <c r="G127" s="17">
        <f>IF(E127="",0,SUMPRODUCT((Items[ID]&lt;&gt;"")*ISNUMBER(SEARCH(" "&amp;Items[ID]&amp;" "," "&amp;SUBSTITUTE(SUBSTITUTE(SUBSTITUTE(SUBSTITUTE(SUBSTITUTE(SUBSTITUTE(SUBSTITUTE(E127,","," "),"."," "),";"," "),":"," "),"("," "),")"," "),"/"," ")&amp;" "))))</f>
      </c>
      <c r="H127" s="17">
        <f>IF(E127="",0,SUMPRODUCT((Items[ID]&lt;&gt;"")*(Items[Owner]=A127)*(Items[In sprint]=1)*ISNUMBER(SEARCH(" "&amp;Items[ID]&amp;" "," "&amp;SUBSTITUTE(SUBSTITUTE(SUBSTITUTE(SUBSTITUTE(SUBSTITUTE(SUBSTITUTE(SUBSTITUTE(E127,","," "),"."," "),";"," "),":"," "),"("," "),")"," "),"/"," ")&amp;" "))))</f>
      </c>
      <c r="I127" s="17">
        <f>IF(F127="","",IF(OR(LOWER(TRIM(F127))={"none","no","nothing","n/a","na","-","nope","no blockers","none.","nil"}),"","Y"))</f>
      </c>
      <c r="J127" s="17">
        <f>IF(D127="","",IF(OR(ISNUMBER(SEARCH({"done","finished","completed","closed","merged"},D127))),IFERROR(INDEX(Items[ID],MATCH(1,INDEX((Items[ID]&lt;&gt;"")*(Items[State]&lt;&gt;"DONE")*ISNUMBER(SEARCH(" "&amp;Items[ID]&amp;" "," "&amp;SUBSTITUTE(SUBSTITUTE(SUBSTITUTE(SUBSTITUTE(SUBSTITUTE(SUBSTITUTE(SUBSTITUTE(D127,","," "),"."," "),";"," "),":"," "),"("," "),")"," "),"/"," ")&amp;" ")),0),0)),""),""))</f>
      </c>
      <c r="K127" s="20">
        <f>IF(A127="","",TRIM(IF(C127=0,"silent; ","")&amp;IF(AND(N(C127)&gt;0,D127=""),"no Y; ","")&amp;IF(AND(N(C127)&gt;0,E127=""),"no T; ","")&amp;IF(AND(N(C127)&gt;0,F127=""),"no B; ","")&amp;IF(AND(E127&lt;&gt;"",G127=0),"no task id in T; ","")&amp;IF(AND(G127&gt;0,H127=0),"T names no task of yours in this sprint; ","")&amp;IF(I127="Y","blocker: "&amp;F127&amp;"; ","")))</f>
      </c>
      <c r="L127" s="20">
        <f>IF(A127="","",IF(C127=0,"@"&amp;A127&amp;" please post Y: / T: / B: for today.",IF(TRIM(IF(AND(N(C127)&gt;0,D127=""),"no Y; ","")&amp;IF(AND(N(C127)&gt;0,E127=""),"no T; ","")&amp;IF(AND(N(C127)&gt;0,F127=""),"no B; ","")&amp;IF(AND(E127&lt;&gt;"",G127=0),"no task id in T; ","")&amp;IF(AND(G127&gt;0,H127=0),"T names no task of yours in this sprint; ",""))="","","@"&amp;A127&amp;" please fix: "&amp;TRIM(IF(AND(N(C127)&gt;0,D127=""),"no Y; ","")&amp;IF(AND(N(C127)&gt;0,E127=""),"no T; ","")&amp;IF(AND(N(C127)&gt;0,F127=""),"no B; ","")&amp;IF(AND(E127&lt;&gt;"",G127=0),"no task id in T; ","")&amp;IF(AND(G127&gt;0,H127=0),"T names no task of yours in this sprint; ","")))))</f>
      </c>
      <c r="M127" s="11">
        <f>IF(N127="","",StandupDate)</f>
      </c>
      <c r="N127" s="17">
        <f>IF(J127&lt;&gt;"",J127,IF(I127="Y",IF(IFERROR(INDEX(Items[ID],MATCH(1,INDEX((Items[ID]&lt;&gt;"")*ISNUMBER(SEARCH(" "&amp;Items[ID]&amp;" "," "&amp;SUBSTITUTE(SUBSTITUTE(SUBSTITUTE(SUBSTITUTE(SUBSTITUTE(SUBSTITUTE(SUBSTITUTE(F127,",","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"&amp;SUBSTITUTE(SUBSTITUTE(SUBSTITUTE(SUBSTITUTE(SUBSTITUTE(SUBSTITUTE(SUBSTITUTE(F127,","," "),"."," "),";"," "),":"," "),"("," "),")"," "),"/"," ")&amp;" ")),0),0)),""),IFERROR(INDEX(Items[ID],MATCH(1,INDEX((Items[ID]&lt;&gt;"")*(Items[Owner]=A127)*ISNUMBER(SEARCH(" "&amp;Items[ID]&amp;" "," "&amp;SUBSTITUTE(SUBSTITUTE(SUBSTITUTE(SUBSTITUTE(SUBSTITUTE(SUBSTITUTE(SUBSTITUTE(E127,","," "),"."," "),";"," "),":"," "),"("," "),")"," "),"/"," ")&amp;" ")),0),0)),"")),""))</f>
      </c>
      <c r="O127" s="17">
        <f>IF(N127="","",IF(J127&lt;&gt;"","done","block"))</f>
      </c>
      <c r="P127" s="17">
        <f>IF(O127="block",F127,"")</f>
      </c>
    </row>
    <row r="128">
      <c r="A128" s="17">
        <f>IFERROR(INDEX(Roster[Name],124)&amp;"","")</f>
      </c>
      <c r="B128" s="17">
        <f>IF(A128="","",INDEX(Roster[Team],124)&amp;"")</f>
      </c>
      <c r="C128" s="17">
        <f>IF(OR(A128="",COUNTA(ChatPaste)=0),"",COUNTIF(ChatSpeaker,A128))</f>
      </c>
      <c r="D128" s="20">
        <f>IF(A128="","",IFERROR(INDEX(ChatText,MATCH(1,INDEX((ChatSpeaker=A128)*(ChatTag="Y"),0),0)),""))</f>
      </c>
      <c r="E128" s="20">
        <f>IF(A128="","",IFERROR(INDEX(ChatText,MATCH(1,INDEX((ChatSpeaker=A128)*(ChatTag="T"),0),0)),""))</f>
      </c>
      <c r="F128" s="20">
        <f>IF(A128="","",IFERROR(INDEX(ChatText,MATCH(1,INDEX((ChatSpeaker=A128)*(ChatTag="B"),0),0)),""))</f>
      </c>
      <c r="G128" s="17">
        <f>IF(E128="",0,SUMPRODUCT((Items[ID]&lt;&gt;"")*ISNUMBER(SEARCH(" "&amp;Items[ID]&amp;" "," "&amp;SUBSTITUTE(SUBSTITUTE(SUBSTITUTE(SUBSTITUTE(SUBSTITUTE(SUBSTITUTE(SUBSTITUTE(E128,","," "),"."," "),";"," "),":"," "),"("," "),")"," "),"/"," ")&amp;" "))))</f>
      </c>
      <c r="H128" s="17">
        <f>IF(E128="",0,SUMPRODUCT((Items[ID]&lt;&gt;"")*(Items[Owner]=A128)*(Items[In sprint]=1)*ISNUMBER(SEARCH(" "&amp;Items[ID]&amp;" "," "&amp;SUBSTITUTE(SUBSTITUTE(SUBSTITUTE(SUBSTITUTE(SUBSTITUTE(SUBSTITUTE(SUBSTITUTE(E128,","," "),"."," "),";"," "),":"," "),"("," "),")"," "),"/"," ")&amp;" "))))</f>
      </c>
      <c r="I128" s="17">
        <f>IF(F128="","",IF(OR(LOWER(TRIM(F128))={"none","no","nothing","n/a","na","-","nope","no blockers","none.","nil"}),"","Y"))</f>
      </c>
      <c r="J128" s="17">
        <f>IF(D128="","",IF(OR(ISNUMBER(SEARCH({"done","finished","completed","closed","merged"},D128))),IFERROR(INDEX(Items[ID],MATCH(1,INDEX((Items[ID]&lt;&gt;"")*(Items[State]&lt;&gt;"DONE")*ISNUMBER(SEARCH(" "&amp;Items[ID]&amp;" "," "&amp;SUBSTITUTE(SUBSTITUTE(SUBSTITUTE(SUBSTITUTE(SUBSTITUTE(SUBSTITUTE(SUBSTITUTE(D128,","," "),"."," "),";"," "),":"," "),"("," "),")"," "),"/"," ")&amp;" ")),0),0)),""),""))</f>
      </c>
      <c r="K128" s="20">
        <f>IF(A128="","",TRIM(IF(C128=0,"silent; ","")&amp;IF(AND(N(C128)&gt;0,D128=""),"no Y; ","")&amp;IF(AND(N(C128)&gt;0,E128=""),"no T; ","")&amp;IF(AND(N(C128)&gt;0,F128=""),"no B; ","")&amp;IF(AND(E128&lt;&gt;"",G128=0),"no task id in T; ","")&amp;IF(AND(G128&gt;0,H128=0),"T names no task of yours in this sprint; ","")&amp;IF(I128="Y","blocker: "&amp;F128&amp;"; ","")))</f>
      </c>
      <c r="L128" s="20">
        <f>IF(A128="","",IF(C128=0,"@"&amp;A128&amp;" please post Y: / T: / B: for today.",IF(TRIM(IF(AND(N(C128)&gt;0,D128=""),"no Y; ","")&amp;IF(AND(N(C128)&gt;0,E128=""),"no T; ","")&amp;IF(AND(N(C128)&gt;0,F128=""),"no B; ","")&amp;IF(AND(E128&lt;&gt;"",G128=0),"no task id in T; ","")&amp;IF(AND(G128&gt;0,H128=0),"T names no task of yours in this sprint; ",""))="","","@"&amp;A128&amp;" please fix: "&amp;TRIM(IF(AND(N(C128)&gt;0,D128=""),"no Y; ","")&amp;IF(AND(N(C128)&gt;0,E128=""),"no T; ","")&amp;IF(AND(N(C128)&gt;0,F128=""),"no B; ","")&amp;IF(AND(E128&lt;&gt;"",G128=0),"no task id in T; ","")&amp;IF(AND(G128&gt;0,H128=0),"T names no task of yours in this sprint; ","")))))</f>
      </c>
      <c r="M128" s="11">
        <f>IF(N128="","",StandupDate)</f>
      </c>
      <c r="N128" s="17">
        <f>IF(J128&lt;&gt;"",J128,IF(I128="Y",IF(IFERROR(INDEX(Items[ID],MATCH(1,INDEX((Items[ID]&lt;&gt;"")*ISNUMBER(SEARCH(" "&amp;Items[ID]&amp;" "," "&amp;SUBSTITUTE(SUBSTITUTE(SUBSTITUTE(SUBSTITUTE(SUBSTITUTE(SUBSTITUTE(SUBSTITUTE(F128,",","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"&amp;SUBSTITUTE(SUBSTITUTE(SUBSTITUTE(SUBSTITUTE(SUBSTITUTE(SUBSTITUTE(SUBSTITUTE(F128,","," "),"."," "),";"," "),":"," "),"("," "),")"," "),"/"," ")&amp;" ")),0),0)),""),IFERROR(INDEX(Items[ID],MATCH(1,INDEX((Items[ID]&lt;&gt;"")*(Items[Owner]=A128)*ISNUMBER(SEARCH(" "&amp;Items[ID]&amp;" "," "&amp;SUBSTITUTE(SUBSTITUTE(SUBSTITUTE(SUBSTITUTE(SUBSTITUTE(SUBSTITUTE(SUBSTITUTE(E128,","," "),"."," "),";"," "),":"," "),"("," "),")"," "),"/"," ")&amp;" ")),0),0)),"")),""))</f>
      </c>
      <c r="O128" s="17">
        <f>IF(N128="","",IF(J128&lt;&gt;"","done","block"))</f>
      </c>
      <c r="P128" s="17">
        <f>IF(O128="block",F128,"")</f>
      </c>
    </row>
    <row r="129">
      <c r="A129" s="17">
        <f>IFERROR(INDEX(Roster[Name],125)&amp;"","")</f>
      </c>
      <c r="B129" s="17">
        <f>IF(A129="","",INDEX(Roster[Team],125)&amp;"")</f>
      </c>
      <c r="C129" s="17">
        <f>IF(OR(A129="",COUNTA(ChatPaste)=0),"",COUNTIF(ChatSpeaker,A129))</f>
      </c>
      <c r="D129" s="20">
        <f>IF(A129="","",IFERROR(INDEX(ChatText,MATCH(1,INDEX((ChatSpeaker=A129)*(ChatTag="Y"),0),0)),""))</f>
      </c>
      <c r="E129" s="20">
        <f>IF(A129="","",IFERROR(INDEX(ChatText,MATCH(1,INDEX((ChatSpeaker=A129)*(ChatTag="T"),0),0)),""))</f>
      </c>
      <c r="F129" s="20">
        <f>IF(A129="","",IFERROR(INDEX(ChatText,MATCH(1,INDEX((ChatSpeaker=A129)*(ChatTag="B"),0),0)),""))</f>
      </c>
      <c r="G129" s="17">
        <f>IF(E129="",0,SUMPRODUCT((Items[ID]&lt;&gt;"")*ISNUMBER(SEARCH(" "&amp;Items[ID]&amp;" "," "&amp;SUBSTITUTE(SUBSTITUTE(SUBSTITUTE(SUBSTITUTE(SUBSTITUTE(SUBSTITUTE(SUBSTITUTE(E129,","," "),"."," "),";"," "),":"," "),"("," "),")"," "),"/"," ")&amp;" "))))</f>
      </c>
      <c r="H129" s="17">
        <f>IF(E129="",0,SUMPRODUCT((Items[ID]&lt;&gt;"")*(Items[Owner]=A129)*(Items[In sprint]=1)*ISNUMBER(SEARCH(" "&amp;Items[ID]&amp;" "," "&amp;SUBSTITUTE(SUBSTITUTE(SUBSTITUTE(SUBSTITUTE(SUBSTITUTE(SUBSTITUTE(SUBSTITUTE(E129,","," "),"."," "),";"," "),":"," "),"("," "),")"," "),"/"," ")&amp;" "))))</f>
      </c>
      <c r="I129" s="17">
        <f>IF(F129="","",IF(OR(LOWER(TRIM(F129))={"none","no","nothing","n/a","na","-","nope","no blockers","none.","nil"}),"","Y"))</f>
      </c>
      <c r="J129" s="17">
        <f>IF(D129="","",IF(OR(ISNUMBER(SEARCH({"done","finished","completed","closed","merged"},D129))),IFERROR(INDEX(Items[ID],MATCH(1,INDEX((Items[ID]&lt;&gt;"")*(Items[State]&lt;&gt;"DONE")*ISNUMBER(SEARCH(" "&amp;Items[ID]&amp;" "," "&amp;SUBSTITUTE(SUBSTITUTE(SUBSTITUTE(SUBSTITUTE(SUBSTITUTE(SUBSTITUTE(SUBSTITUTE(D129,","," "),"."," "),";"," "),":"," "),"("," "),")"," "),"/"," ")&amp;" ")),0),0)),""),""))</f>
      </c>
      <c r="K129" s="20">
        <f>IF(A129="","",TRIM(IF(C129=0,"silent; ","")&amp;IF(AND(N(C129)&gt;0,D129=""),"no Y; ","")&amp;IF(AND(N(C129)&gt;0,E129=""),"no T; ","")&amp;IF(AND(N(C129)&gt;0,F129=""),"no B; ","")&amp;IF(AND(E129&lt;&gt;"",G129=0),"no task id in T; ","")&amp;IF(AND(G129&gt;0,H129=0),"T names no task of yours in this sprint; ","")&amp;IF(I129="Y","blocker: "&amp;F129&amp;"; ","")))</f>
      </c>
      <c r="L129" s="20">
        <f>IF(A129="","",IF(C129=0,"@"&amp;A129&amp;" please post Y: / T: / B: for today.",IF(TRIM(IF(AND(N(C129)&gt;0,D129=""),"no Y; ","")&amp;IF(AND(N(C129)&gt;0,E129=""),"no T; ","")&amp;IF(AND(N(C129)&gt;0,F129=""),"no B; ","")&amp;IF(AND(E129&lt;&gt;"",G129=0),"no task id in T; ","")&amp;IF(AND(G129&gt;0,H129=0),"T names no task of yours in this sprint; ",""))="","","@"&amp;A129&amp;" please fix: "&amp;TRIM(IF(AND(N(C129)&gt;0,D129=""),"no Y; ","")&amp;IF(AND(N(C129)&gt;0,E129=""),"no T; ","")&amp;IF(AND(N(C129)&gt;0,F129=""),"no B; ","")&amp;IF(AND(E129&lt;&gt;"",G129=0),"no task id in T; ","")&amp;IF(AND(G129&gt;0,H129=0),"T names no task of yours in this sprint; ","")))))</f>
      </c>
      <c r="M129" s="11">
        <f>IF(N129="","",StandupDate)</f>
      </c>
      <c r="N129" s="17">
        <f>IF(J129&lt;&gt;"",J129,IF(I129="Y",IF(IFERROR(INDEX(Items[ID],MATCH(1,INDEX((Items[ID]&lt;&gt;"")*ISNUMBER(SEARCH(" "&amp;Items[ID]&amp;" "," "&amp;SUBSTITUTE(SUBSTITUTE(SUBSTITUTE(SUBSTITUTE(SUBSTITUTE(SUBSTITUTE(SUBSTITUTE(F129,",","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"&amp;SUBSTITUTE(SUBSTITUTE(SUBSTITUTE(SUBSTITUTE(SUBSTITUTE(SUBSTITUTE(SUBSTITUTE(F129,","," "),"."," "),";"," "),":"," "),"("," "),")"," "),"/"," ")&amp;" ")),0),0)),""),IFERROR(INDEX(Items[ID],MATCH(1,INDEX((Items[ID]&lt;&gt;"")*(Items[Owner]=A129)*ISNUMBER(SEARCH(" "&amp;Items[ID]&amp;" "," "&amp;SUBSTITUTE(SUBSTITUTE(SUBSTITUTE(SUBSTITUTE(SUBSTITUTE(SUBSTITUTE(SUBSTITUTE(E129,","," "),"."," "),";"," "),":"," "),"("," "),")"," "),"/"," ")&amp;" ")),0),0)),"")),""))</f>
      </c>
      <c r="O129" s="17">
        <f>IF(N129="","",IF(J129&lt;&gt;"","done","block"))</f>
      </c>
      <c r="P129" s="17">
        <f>IF(O129="block",F129,"")</f>
      </c>
    </row>
    <row r="130">
      <c r="A130" s="17">
        <f>IFERROR(INDEX(Roster[Name],126)&amp;"","")</f>
      </c>
      <c r="B130" s="17">
        <f>IF(A130="","",INDEX(Roster[Team],126)&amp;"")</f>
      </c>
      <c r="C130" s="17">
        <f>IF(OR(A130="",COUNTA(ChatPaste)=0),"",COUNTIF(ChatSpeaker,A130))</f>
      </c>
      <c r="D130" s="20">
        <f>IF(A130="","",IFERROR(INDEX(ChatText,MATCH(1,INDEX((ChatSpeaker=A130)*(ChatTag="Y"),0),0)),""))</f>
      </c>
      <c r="E130" s="20">
        <f>IF(A130="","",IFERROR(INDEX(ChatText,MATCH(1,INDEX((ChatSpeaker=A130)*(ChatTag="T"),0),0)),""))</f>
      </c>
      <c r="F130" s="20">
        <f>IF(A130="","",IFERROR(INDEX(ChatText,MATCH(1,INDEX((ChatSpeaker=A130)*(ChatTag="B"),0),0)),""))</f>
      </c>
      <c r="G130" s="17">
        <f>IF(E130="",0,SUMPRODUCT((Items[ID]&lt;&gt;"")*ISNUMBER(SEARCH(" "&amp;Items[ID]&amp;" "," "&amp;SUBSTITUTE(SUBSTITUTE(SUBSTITUTE(SUBSTITUTE(SUBSTITUTE(SUBSTITUTE(SUBSTITUTE(E130,","," "),"."," "),";"," "),":"," "),"("," "),")"," "),"/"," ")&amp;" "))))</f>
      </c>
      <c r="H130" s="17">
        <f>IF(E130="",0,SUMPRODUCT((Items[ID]&lt;&gt;"")*(Items[Owner]=A130)*(Items[In sprint]=1)*ISNUMBER(SEARCH(" "&amp;Items[ID]&amp;" "," "&amp;SUBSTITUTE(SUBSTITUTE(SUBSTITUTE(SUBSTITUTE(SUBSTITUTE(SUBSTITUTE(SUBSTITUTE(E130,","," "),"."," "),";"," "),":"," "),"("," "),")"," "),"/"," ")&amp;" "))))</f>
      </c>
      <c r="I130" s="17">
        <f>IF(F130="","",IF(OR(LOWER(TRIM(F130))={"none","no","nothing","n/a","na","-","nope","no blockers","none.","nil"}),"","Y"))</f>
      </c>
      <c r="J130" s="17">
        <f>IF(D130="","",IF(OR(ISNUMBER(SEARCH({"done","finished","completed","closed","merged"},D130))),IFERROR(INDEX(Items[ID],MATCH(1,INDEX((Items[ID]&lt;&gt;"")*(Items[State]&lt;&gt;"DONE")*ISNUMBER(SEARCH(" "&amp;Items[ID]&amp;" "," "&amp;SUBSTITUTE(SUBSTITUTE(SUBSTITUTE(SUBSTITUTE(SUBSTITUTE(SUBSTITUTE(SUBSTITUTE(D130,","," "),"."," "),";"," "),":"," "),"("," "),")"," "),"/"," ")&amp;" ")),0),0)),""),""))</f>
      </c>
      <c r="K130" s="20">
        <f>IF(A130="","",TRIM(IF(C130=0,"silent; ","")&amp;IF(AND(N(C130)&gt;0,D130=""),"no Y; ","")&amp;IF(AND(N(C130)&gt;0,E130=""),"no T; ","")&amp;IF(AND(N(C130)&gt;0,F130=""),"no B; ","")&amp;IF(AND(E130&lt;&gt;"",G130=0),"no task id in T; ","")&amp;IF(AND(G130&gt;0,H130=0),"T names no task of yours in this sprint; ","")&amp;IF(I130="Y","blocker: "&amp;F130&amp;"; ","")))</f>
      </c>
      <c r="L130" s="20">
        <f>IF(A130="","",IF(C130=0,"@"&amp;A130&amp;" please post Y: / T: / B: for today.",IF(TRIM(IF(AND(N(C130)&gt;0,D130=""),"no Y; ","")&amp;IF(AND(N(C130)&gt;0,E130=""),"no T; ","")&amp;IF(AND(N(C130)&gt;0,F130=""),"no B; ","")&amp;IF(AND(E130&lt;&gt;"",G130=0),"no task id in T; ","")&amp;IF(AND(G130&gt;0,H130=0),"T names no task of yours in this sprint; ",""))="","","@"&amp;A130&amp;" please fix: "&amp;TRIM(IF(AND(N(C130)&gt;0,D130=""),"no Y; ","")&amp;IF(AND(N(C130)&gt;0,E130=""),"no T; ","")&amp;IF(AND(N(C130)&gt;0,F130=""),"no B; ","")&amp;IF(AND(E130&lt;&gt;"",G130=0),"no task id in T; ","")&amp;IF(AND(G130&gt;0,H130=0),"T names no task of yours in this sprint; ","")))))</f>
      </c>
      <c r="M130" s="11">
        <f>IF(N130="","",StandupDate)</f>
      </c>
      <c r="N130" s="17">
        <f>IF(J130&lt;&gt;"",J130,IF(I130="Y",IF(IFERROR(INDEX(Items[ID],MATCH(1,INDEX((Items[ID]&lt;&gt;"")*ISNUMBER(SEARCH(" "&amp;Items[ID]&amp;" "," "&amp;SUBSTITUTE(SUBSTITUTE(SUBSTITUTE(SUBSTITUTE(SUBSTITUTE(SUBSTITUTE(SUBSTITUTE(F130,",","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"&amp;SUBSTITUTE(SUBSTITUTE(SUBSTITUTE(SUBSTITUTE(SUBSTITUTE(SUBSTITUTE(SUBSTITUTE(F130,","," "),"."," "),";"," "),":"," "),"("," "),")"," "),"/"," ")&amp;" ")),0),0)),""),IFERROR(INDEX(Items[ID],MATCH(1,INDEX((Items[ID]&lt;&gt;"")*(Items[Owner]=A130)*ISNUMBER(SEARCH(" "&amp;Items[ID]&amp;" "," "&amp;SUBSTITUTE(SUBSTITUTE(SUBSTITUTE(SUBSTITUTE(SUBSTITUTE(SUBSTITUTE(SUBSTITUTE(E130,","," "),"."," "),";"," "),":"," "),"("," "),")"," "),"/"," ")&amp;" ")),0),0)),"")),""))</f>
      </c>
      <c r="O130" s="17">
        <f>IF(N130="","",IF(J130&lt;&gt;"","done","block"))</f>
      </c>
      <c r="P130" s="17">
        <f>IF(O130="block",F130,"")</f>
      </c>
    </row>
    <row r="131">
      <c r="A131" s="17">
        <f>IFERROR(INDEX(Roster[Name],127)&amp;"","")</f>
      </c>
      <c r="B131" s="17">
        <f>IF(A131="","",INDEX(Roster[Team],127)&amp;"")</f>
      </c>
      <c r="C131" s="17">
        <f>IF(OR(A131="",COUNTA(ChatPaste)=0),"",COUNTIF(ChatSpeaker,A131))</f>
      </c>
      <c r="D131" s="20">
        <f>IF(A131="","",IFERROR(INDEX(ChatText,MATCH(1,INDEX((ChatSpeaker=A131)*(ChatTag="Y"),0),0)),""))</f>
      </c>
      <c r="E131" s="20">
        <f>IF(A131="","",IFERROR(INDEX(ChatText,MATCH(1,INDEX((ChatSpeaker=A131)*(ChatTag="T"),0),0)),""))</f>
      </c>
      <c r="F131" s="20">
        <f>IF(A131="","",IFERROR(INDEX(ChatText,MATCH(1,INDEX((ChatSpeaker=A131)*(ChatTag="B"),0),0)),""))</f>
      </c>
      <c r="G131" s="17">
        <f>IF(E131="",0,SUMPRODUCT((Items[ID]&lt;&gt;"")*ISNUMBER(SEARCH(" "&amp;Items[ID]&amp;" "," "&amp;SUBSTITUTE(SUBSTITUTE(SUBSTITUTE(SUBSTITUTE(SUBSTITUTE(SUBSTITUTE(SUBSTITUTE(E131,","," "),"."," "),";"," "),":"," "),"("," "),")"," "),"/"," ")&amp;" "))))</f>
      </c>
      <c r="H131" s="17">
        <f>IF(E131="",0,SUMPRODUCT((Items[ID]&lt;&gt;"")*(Items[Owner]=A131)*(Items[In sprint]=1)*ISNUMBER(SEARCH(" "&amp;Items[ID]&amp;" "," "&amp;SUBSTITUTE(SUBSTITUTE(SUBSTITUTE(SUBSTITUTE(SUBSTITUTE(SUBSTITUTE(SUBSTITUTE(E131,","," "),"."," "),";"," "),":"," "),"("," "),")"," "),"/"," ")&amp;" "))))</f>
      </c>
      <c r="I131" s="17">
        <f>IF(F131="","",IF(OR(LOWER(TRIM(F131))={"none","no","nothing","n/a","na","-","nope","no blockers","none.","nil"}),"","Y"))</f>
      </c>
      <c r="J131" s="17">
        <f>IF(D131="","",IF(OR(ISNUMBER(SEARCH({"done","finished","completed","closed","merged"},D131))),IFERROR(INDEX(Items[ID],MATCH(1,INDEX((Items[ID]&lt;&gt;"")*(Items[State]&lt;&gt;"DONE")*ISNUMBER(SEARCH(" "&amp;Items[ID]&amp;" "," "&amp;SUBSTITUTE(SUBSTITUTE(SUBSTITUTE(SUBSTITUTE(SUBSTITUTE(SUBSTITUTE(SUBSTITUTE(D131,","," "),"."," "),";"," "),":"," "),"("," "),")"," "),"/"," ")&amp;" ")),0),0)),""),""))</f>
      </c>
      <c r="K131" s="20">
        <f>IF(A131="","",TRIM(IF(C131=0,"silent; ","")&amp;IF(AND(N(C131)&gt;0,D131=""),"no Y; ","")&amp;IF(AND(N(C131)&gt;0,E131=""),"no T; ","")&amp;IF(AND(N(C131)&gt;0,F131=""),"no B; ","")&amp;IF(AND(E131&lt;&gt;"",G131=0),"no task id in T; ","")&amp;IF(AND(G131&gt;0,H131=0),"T names no task of yours in this sprint; ","")&amp;IF(I131="Y","blocker: "&amp;F131&amp;"; ","")))</f>
      </c>
      <c r="L131" s="20">
        <f>IF(A131="","",IF(C131=0,"@"&amp;A131&amp;" please post Y: / T: / B: for today.",IF(TRIM(IF(AND(N(C131)&gt;0,D131=""),"no Y; ","")&amp;IF(AND(N(C131)&gt;0,E131=""),"no T; ","")&amp;IF(AND(N(C131)&gt;0,F131=""),"no B; ","")&amp;IF(AND(E131&lt;&gt;"",G131=0),"no task id in T; ","")&amp;IF(AND(G131&gt;0,H131=0),"T names no task of yours in this sprint; ",""))="","","@"&amp;A131&amp;" please fix: "&amp;TRIM(IF(AND(N(C131)&gt;0,D131=""),"no Y; ","")&amp;IF(AND(N(C131)&gt;0,E131=""),"no T; ","")&amp;IF(AND(N(C131)&gt;0,F131=""),"no B; ","")&amp;IF(AND(E131&lt;&gt;"",G131=0),"no task id in T; ","")&amp;IF(AND(G131&gt;0,H131=0),"T names no task of yours in this sprint; ","")))))</f>
      </c>
      <c r="M131" s="11">
        <f>IF(N131="","",StandupDate)</f>
      </c>
      <c r="N131" s="17">
        <f>IF(J131&lt;&gt;"",J131,IF(I131="Y",IF(IFERROR(INDEX(Items[ID],MATCH(1,INDEX((Items[ID]&lt;&gt;"")*ISNUMBER(SEARCH(" "&amp;Items[ID]&amp;" "," "&amp;SUBSTITUTE(SUBSTITUTE(SUBSTITUTE(SUBSTITUTE(SUBSTITUTE(SUBSTITUTE(SUBSTITUTE(F131,",","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"&amp;SUBSTITUTE(SUBSTITUTE(SUBSTITUTE(SUBSTITUTE(SUBSTITUTE(SUBSTITUTE(SUBSTITUTE(F131,","," "),"."," "),";"," "),":"," "),"("," "),")"," "),"/"," ")&amp;" ")),0),0)),""),IFERROR(INDEX(Items[ID],MATCH(1,INDEX((Items[ID]&lt;&gt;"")*(Items[Owner]=A131)*ISNUMBER(SEARCH(" "&amp;Items[ID]&amp;" "," "&amp;SUBSTITUTE(SUBSTITUTE(SUBSTITUTE(SUBSTITUTE(SUBSTITUTE(SUBSTITUTE(SUBSTITUTE(E131,","," "),"."," "),";"," "),":"," "),"("," "),")"," "),"/"," ")&amp;" ")),0),0)),"")),""))</f>
      </c>
      <c r="O131" s="17">
        <f>IF(N131="","",IF(J131&lt;&gt;"","done","block"))</f>
      </c>
      <c r="P131" s="17">
        <f>IF(O131="block",F131,"")</f>
      </c>
    </row>
    <row r="132">
      <c r="A132" s="17">
        <f>IFERROR(INDEX(Roster[Name],128)&amp;"","")</f>
      </c>
      <c r="B132" s="17">
        <f>IF(A132="","",INDEX(Roster[Team],128)&amp;"")</f>
      </c>
      <c r="C132" s="17">
        <f>IF(OR(A132="",COUNTA(ChatPaste)=0),"",COUNTIF(ChatSpeaker,A132))</f>
      </c>
      <c r="D132" s="20">
        <f>IF(A132="","",IFERROR(INDEX(ChatText,MATCH(1,INDEX((ChatSpeaker=A132)*(ChatTag="Y"),0),0)),""))</f>
      </c>
      <c r="E132" s="20">
        <f>IF(A132="","",IFERROR(INDEX(ChatText,MATCH(1,INDEX((ChatSpeaker=A132)*(ChatTag="T"),0),0)),""))</f>
      </c>
      <c r="F132" s="20">
        <f>IF(A132="","",IFERROR(INDEX(ChatText,MATCH(1,INDEX((ChatSpeaker=A132)*(ChatTag="B"),0),0)),""))</f>
      </c>
      <c r="G132" s="17">
        <f>IF(E132="",0,SUMPRODUCT((Items[ID]&lt;&gt;"")*ISNUMBER(SEARCH(" "&amp;Items[ID]&amp;" "," "&amp;SUBSTITUTE(SUBSTITUTE(SUBSTITUTE(SUBSTITUTE(SUBSTITUTE(SUBSTITUTE(SUBSTITUTE(E132,","," "),"."," "),";"," "),":"," "),"("," "),")"," "),"/"," ")&amp;" "))))</f>
      </c>
      <c r="H132" s="17">
        <f>IF(E132="",0,SUMPRODUCT((Items[ID]&lt;&gt;"")*(Items[Owner]=A132)*(Items[In sprint]=1)*ISNUMBER(SEARCH(" "&amp;Items[ID]&amp;" "," "&amp;SUBSTITUTE(SUBSTITUTE(SUBSTITUTE(SUBSTITUTE(SUBSTITUTE(SUBSTITUTE(SUBSTITUTE(E132,","," "),"."," "),";"," "),":"," "),"("," "),")"," "),"/"," ")&amp;" "))))</f>
      </c>
      <c r="I132" s="17">
        <f>IF(F132="","",IF(OR(LOWER(TRIM(F132))={"none","no","nothing","n/a","na","-","nope","no blockers","none.","nil"}),"","Y"))</f>
      </c>
      <c r="J132" s="17">
        <f>IF(D132="","",IF(OR(ISNUMBER(SEARCH({"done","finished","completed","closed","merged"},D132))),IFERROR(INDEX(Items[ID],MATCH(1,INDEX((Items[ID]&lt;&gt;"")*(Items[State]&lt;&gt;"DONE")*ISNUMBER(SEARCH(" "&amp;Items[ID]&amp;" "," "&amp;SUBSTITUTE(SUBSTITUTE(SUBSTITUTE(SUBSTITUTE(SUBSTITUTE(SUBSTITUTE(SUBSTITUTE(D132,","," "),"."," "),";"," "),":"," "),"("," "),")"," "),"/"," ")&amp;" ")),0),0)),""),""))</f>
      </c>
      <c r="K132" s="20">
        <f>IF(A132="","",TRIM(IF(C132=0,"silent; ","")&amp;IF(AND(N(C132)&gt;0,D132=""),"no Y; ","")&amp;IF(AND(N(C132)&gt;0,E132=""),"no T; ","")&amp;IF(AND(N(C132)&gt;0,F132=""),"no B; ","")&amp;IF(AND(E132&lt;&gt;"",G132=0),"no task id in T; ","")&amp;IF(AND(G132&gt;0,H132=0),"T names no task of yours in this sprint; ","")&amp;IF(I132="Y","blocker: "&amp;F132&amp;"; ","")))</f>
      </c>
      <c r="L132" s="20">
        <f>IF(A132="","",IF(C132=0,"@"&amp;A132&amp;" please post Y: / T: / B: for today.",IF(TRIM(IF(AND(N(C132)&gt;0,D132=""),"no Y; ","")&amp;IF(AND(N(C132)&gt;0,E132=""),"no T; ","")&amp;IF(AND(N(C132)&gt;0,F132=""),"no B; ","")&amp;IF(AND(E132&lt;&gt;"",G132=0),"no task id in T; ","")&amp;IF(AND(G132&gt;0,H132=0),"T names no task of yours in this sprint; ",""))="","","@"&amp;A132&amp;" please fix: "&amp;TRIM(IF(AND(N(C132)&gt;0,D132=""),"no Y; ","")&amp;IF(AND(N(C132)&gt;0,E132=""),"no T; ","")&amp;IF(AND(N(C132)&gt;0,F132=""),"no B; ","")&amp;IF(AND(E132&lt;&gt;"",G132=0),"no task id in T; ","")&amp;IF(AND(G132&gt;0,H132=0),"T names no task of yours in this sprint; ","")))))</f>
      </c>
      <c r="M132" s="11">
        <f>IF(N132="","",StandupDate)</f>
      </c>
      <c r="N132" s="17">
        <f>IF(J132&lt;&gt;"",J132,IF(I132="Y",IF(IFERROR(INDEX(Items[ID],MATCH(1,INDEX((Items[ID]&lt;&gt;"")*ISNUMBER(SEARCH(" "&amp;Items[ID]&amp;" "," "&amp;SUBSTITUTE(SUBSTITUTE(SUBSTITUTE(SUBSTITUTE(SUBSTITUTE(SUBSTITUTE(SUBSTITUTE(F132,",","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"&amp;SUBSTITUTE(SUBSTITUTE(SUBSTITUTE(SUBSTITUTE(SUBSTITUTE(SUBSTITUTE(SUBSTITUTE(F132,","," "),"."," "),";"," "),":"," "),"("," "),")"," "),"/"," ")&amp;" ")),0),0)),""),IFERROR(INDEX(Items[ID],MATCH(1,INDEX((Items[ID]&lt;&gt;"")*(Items[Owner]=A132)*ISNUMBER(SEARCH(" "&amp;Items[ID]&amp;" "," "&amp;SUBSTITUTE(SUBSTITUTE(SUBSTITUTE(SUBSTITUTE(SUBSTITUTE(SUBSTITUTE(SUBSTITUTE(E132,","," "),"."," "),";"," "),":"," "),"("," "),")"," "),"/"," ")&amp;" ")),0),0)),"")),""))</f>
      </c>
      <c r="O132" s="17">
        <f>IF(N132="","",IF(J132&lt;&gt;"","done","block"))</f>
      </c>
      <c r="P132" s="17">
        <f>IF(O132="block",F132,"")</f>
      </c>
    </row>
    <row r="133">
      <c r="A133" s="17">
        <f>IFERROR(INDEX(Roster[Name],129)&amp;"","")</f>
      </c>
      <c r="B133" s="17">
        <f>IF(A133="","",INDEX(Roster[Team],129)&amp;"")</f>
      </c>
      <c r="C133" s="17">
        <f>IF(OR(A133="",COUNTA(ChatPaste)=0),"",COUNTIF(ChatSpeaker,A133))</f>
      </c>
      <c r="D133" s="20">
        <f>IF(A133="","",IFERROR(INDEX(ChatText,MATCH(1,INDEX((ChatSpeaker=A133)*(ChatTag="Y"),0),0)),""))</f>
      </c>
      <c r="E133" s="20">
        <f>IF(A133="","",IFERROR(INDEX(ChatText,MATCH(1,INDEX((ChatSpeaker=A133)*(ChatTag="T"),0),0)),""))</f>
      </c>
      <c r="F133" s="20">
        <f>IF(A133="","",IFERROR(INDEX(ChatText,MATCH(1,INDEX((ChatSpeaker=A133)*(ChatTag="B"),0),0)),""))</f>
      </c>
      <c r="G133" s="17">
        <f>IF(E133="",0,SUMPRODUCT((Items[ID]&lt;&gt;"")*ISNUMBER(SEARCH(" "&amp;Items[ID]&amp;" "," "&amp;SUBSTITUTE(SUBSTITUTE(SUBSTITUTE(SUBSTITUTE(SUBSTITUTE(SUBSTITUTE(SUBSTITUTE(E133,","," "),"."," "),";"," "),":"," "),"("," "),")"," "),"/"," ")&amp;" "))))</f>
      </c>
      <c r="H133" s="17">
        <f>IF(E133="",0,SUMPRODUCT((Items[ID]&lt;&gt;"")*(Items[Owner]=A133)*(Items[In sprint]=1)*ISNUMBER(SEARCH(" "&amp;Items[ID]&amp;" "," "&amp;SUBSTITUTE(SUBSTITUTE(SUBSTITUTE(SUBSTITUTE(SUBSTITUTE(SUBSTITUTE(SUBSTITUTE(E133,","," "),"."," "),";"," "),":"," "),"("," "),")"," "),"/"," ")&amp;" "))))</f>
      </c>
      <c r="I133" s="17">
        <f>IF(F133="","",IF(OR(LOWER(TRIM(F133))={"none","no","nothing","n/a","na","-","nope","no blockers","none.","nil"}),"","Y"))</f>
      </c>
      <c r="J133" s="17">
        <f>IF(D133="","",IF(OR(ISNUMBER(SEARCH({"done","finished","completed","closed","merged"},D133))),IFERROR(INDEX(Items[ID],MATCH(1,INDEX((Items[ID]&lt;&gt;"")*(Items[State]&lt;&gt;"DONE")*ISNUMBER(SEARCH(" "&amp;Items[ID]&amp;" "," "&amp;SUBSTITUTE(SUBSTITUTE(SUBSTITUTE(SUBSTITUTE(SUBSTITUTE(SUBSTITUTE(SUBSTITUTE(D133,","," "),"."," "),";"," "),":"," "),"("," "),")"," "),"/"," ")&amp;" ")),0),0)),""),""))</f>
      </c>
      <c r="K133" s="20">
        <f>IF(A133="","",TRIM(IF(C133=0,"silent; ","")&amp;IF(AND(N(C133)&gt;0,D133=""),"no Y; ","")&amp;IF(AND(N(C133)&gt;0,E133=""),"no T; ","")&amp;IF(AND(N(C133)&gt;0,F133=""),"no B; ","")&amp;IF(AND(E133&lt;&gt;"",G133=0),"no task id in T; ","")&amp;IF(AND(G133&gt;0,H133=0),"T names no task of yours in this sprint; ","")&amp;IF(I133="Y","blocker: "&amp;F133&amp;"; ","")))</f>
      </c>
      <c r="L133" s="20">
        <f>IF(A133="","",IF(C133=0,"@"&amp;A133&amp;" please post Y: / T: / B: for today.",IF(TRIM(IF(AND(N(C133)&gt;0,D133=""),"no Y; ","")&amp;IF(AND(N(C133)&gt;0,E133=""),"no T; ","")&amp;IF(AND(N(C133)&gt;0,F133=""),"no B; ","")&amp;IF(AND(E133&lt;&gt;"",G133=0),"no task id in T; ","")&amp;IF(AND(G133&gt;0,H133=0),"T names no task of yours in this sprint; ",""))="","","@"&amp;A133&amp;" please fix: "&amp;TRIM(IF(AND(N(C133)&gt;0,D133=""),"no Y; ","")&amp;IF(AND(N(C133)&gt;0,E133=""),"no T; ","")&amp;IF(AND(N(C133)&gt;0,F133=""),"no B; ","")&amp;IF(AND(E133&lt;&gt;"",G133=0),"no task id in T; ","")&amp;IF(AND(G133&gt;0,H133=0),"T names no task of yours in this sprint; ","")))))</f>
      </c>
      <c r="M133" s="11">
        <f>IF(N133="","",StandupDate)</f>
      </c>
      <c r="N133" s="17">
        <f>IF(J133&lt;&gt;"",J133,IF(I133="Y",IF(IFERROR(INDEX(Items[ID],MATCH(1,INDEX((Items[ID]&lt;&gt;"")*ISNUMBER(SEARCH(" "&amp;Items[ID]&amp;" "," "&amp;SUBSTITUTE(SUBSTITUTE(SUBSTITUTE(SUBSTITUTE(SUBSTITUTE(SUBSTITUTE(SUBSTITUTE(F133,",","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"&amp;SUBSTITUTE(SUBSTITUTE(SUBSTITUTE(SUBSTITUTE(SUBSTITUTE(SUBSTITUTE(SUBSTITUTE(F133,","," "),"."," "),";"," "),":"," "),"("," "),")"," "),"/"," ")&amp;" ")),0),0)),""),IFERROR(INDEX(Items[ID],MATCH(1,INDEX((Items[ID]&lt;&gt;"")*(Items[Owner]=A133)*ISNUMBER(SEARCH(" "&amp;Items[ID]&amp;" "," "&amp;SUBSTITUTE(SUBSTITUTE(SUBSTITUTE(SUBSTITUTE(SUBSTITUTE(SUBSTITUTE(SUBSTITUTE(E133,","," "),"."," "),";"," "),":"," "),"("," "),")"," "),"/"," ")&amp;" ")),0),0)),"")),""))</f>
      </c>
      <c r="O133" s="17">
        <f>IF(N133="","",IF(J133&lt;&gt;"","done","block"))</f>
      </c>
      <c r="P133" s="17">
        <f>IF(O133="block",F133,"")</f>
      </c>
    </row>
    <row r="134">
      <c r="A134" s="17">
        <f>IFERROR(INDEX(Roster[Name],130)&amp;"","")</f>
      </c>
      <c r="B134" s="17">
        <f>IF(A134="","",INDEX(Roster[Team],130)&amp;"")</f>
      </c>
      <c r="C134" s="17">
        <f>IF(OR(A134="",COUNTA(ChatPaste)=0),"",COUNTIF(ChatSpeaker,A134))</f>
      </c>
      <c r="D134" s="20">
        <f>IF(A134="","",IFERROR(INDEX(ChatText,MATCH(1,INDEX((ChatSpeaker=A134)*(ChatTag="Y"),0),0)),""))</f>
      </c>
      <c r="E134" s="20">
        <f>IF(A134="","",IFERROR(INDEX(ChatText,MATCH(1,INDEX((ChatSpeaker=A134)*(ChatTag="T"),0),0)),""))</f>
      </c>
      <c r="F134" s="20">
        <f>IF(A134="","",IFERROR(INDEX(ChatText,MATCH(1,INDEX((ChatSpeaker=A134)*(ChatTag="B"),0),0)),""))</f>
      </c>
      <c r="G134" s="17">
        <f>IF(E134="",0,SUMPRODUCT((Items[ID]&lt;&gt;"")*ISNUMBER(SEARCH(" "&amp;Items[ID]&amp;" "," "&amp;SUBSTITUTE(SUBSTITUTE(SUBSTITUTE(SUBSTITUTE(SUBSTITUTE(SUBSTITUTE(SUBSTITUTE(E134,","," "),"."," "),";"," "),":"," "),"("," "),")"," "),"/"," ")&amp;" "))))</f>
      </c>
      <c r="H134" s="17">
        <f>IF(E134="",0,SUMPRODUCT((Items[ID]&lt;&gt;"")*(Items[Owner]=A134)*(Items[In sprint]=1)*ISNUMBER(SEARCH(" "&amp;Items[ID]&amp;" "," "&amp;SUBSTITUTE(SUBSTITUTE(SUBSTITUTE(SUBSTITUTE(SUBSTITUTE(SUBSTITUTE(SUBSTITUTE(E134,","," "),"."," "),";"," "),":"," "),"("," "),")"," "),"/"," ")&amp;" "))))</f>
      </c>
      <c r="I134" s="17">
        <f>IF(F134="","",IF(OR(LOWER(TRIM(F134))={"none","no","nothing","n/a","na","-","nope","no blockers","none.","nil"}),"","Y"))</f>
      </c>
      <c r="J134" s="17">
        <f>IF(D134="","",IF(OR(ISNUMBER(SEARCH({"done","finished","completed","closed","merged"},D134))),IFERROR(INDEX(Items[ID],MATCH(1,INDEX((Items[ID]&lt;&gt;"")*(Items[State]&lt;&gt;"DONE")*ISNUMBER(SEARCH(" "&amp;Items[ID]&amp;" "," "&amp;SUBSTITUTE(SUBSTITUTE(SUBSTITUTE(SUBSTITUTE(SUBSTITUTE(SUBSTITUTE(SUBSTITUTE(D134,","," "),"."," "),";"," "),":"," "),"("," "),")"," "),"/"," ")&amp;" ")),0),0)),""),""))</f>
      </c>
      <c r="K134" s="20">
        <f>IF(A134="","",TRIM(IF(C134=0,"silent; ","")&amp;IF(AND(N(C134)&gt;0,D134=""),"no Y; ","")&amp;IF(AND(N(C134)&gt;0,E134=""),"no T; ","")&amp;IF(AND(N(C134)&gt;0,F134=""),"no B; ","")&amp;IF(AND(E134&lt;&gt;"",G134=0),"no task id in T; ","")&amp;IF(AND(G134&gt;0,H134=0),"T names no task of yours in this sprint; ","")&amp;IF(I134="Y","blocker: "&amp;F134&amp;"; ","")))</f>
      </c>
      <c r="L134" s="20">
        <f>IF(A134="","",IF(C134=0,"@"&amp;A134&amp;" please post Y: / T: / B: for today.",IF(TRIM(IF(AND(N(C134)&gt;0,D134=""),"no Y; ","")&amp;IF(AND(N(C134)&gt;0,E134=""),"no T; ","")&amp;IF(AND(N(C134)&gt;0,F134=""),"no B; ","")&amp;IF(AND(E134&lt;&gt;"",G134=0),"no task id in T; ","")&amp;IF(AND(G134&gt;0,H134=0),"T names no task of yours in this sprint; ",""))="","","@"&amp;A134&amp;" please fix: "&amp;TRIM(IF(AND(N(C134)&gt;0,D134=""),"no Y; ","")&amp;IF(AND(N(C134)&gt;0,E134=""),"no T; ","")&amp;IF(AND(N(C134)&gt;0,F134=""),"no B; ","")&amp;IF(AND(E134&lt;&gt;"",G134=0),"no task id in T; ","")&amp;IF(AND(G134&gt;0,H134=0),"T names no task of yours in this sprint; ","")))))</f>
      </c>
      <c r="M134" s="11">
        <f>IF(N134="","",StandupDate)</f>
      </c>
      <c r="N134" s="17">
        <f>IF(J134&lt;&gt;"",J134,IF(I134="Y",IF(IFERROR(INDEX(Items[ID],MATCH(1,INDEX((Items[ID]&lt;&gt;"")*ISNUMBER(SEARCH(" "&amp;Items[ID]&amp;" "," "&amp;SUBSTITUTE(SUBSTITUTE(SUBSTITUTE(SUBSTITUTE(SUBSTITUTE(SUBSTITUTE(SUBSTITUTE(F134,",","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"&amp;SUBSTITUTE(SUBSTITUTE(SUBSTITUTE(SUBSTITUTE(SUBSTITUTE(SUBSTITUTE(SUBSTITUTE(F134,","," "),"."," "),";"," "),":"," "),"("," "),")"," "),"/"," ")&amp;" ")),0),0)),""),IFERROR(INDEX(Items[ID],MATCH(1,INDEX((Items[ID]&lt;&gt;"")*(Items[Owner]=A134)*ISNUMBER(SEARCH(" "&amp;Items[ID]&amp;" "," "&amp;SUBSTITUTE(SUBSTITUTE(SUBSTITUTE(SUBSTITUTE(SUBSTITUTE(SUBSTITUTE(SUBSTITUTE(E134,","," "),"."," "),";"," "),":"," "),"("," "),")"," "),"/"," ")&amp;" ")),0),0)),"")),""))</f>
      </c>
      <c r="O134" s="17">
        <f>IF(N134="","",IF(J134&lt;&gt;"","done","block"))</f>
      </c>
      <c r="P134" s="17">
        <f>IF(O134="block",F134,"")</f>
      </c>
    </row>
    <row r="135">
      <c r="A135" s="17">
        <f>IFERROR(INDEX(Roster[Name],131)&amp;"","")</f>
      </c>
      <c r="B135" s="17">
        <f>IF(A135="","",INDEX(Roster[Team],131)&amp;"")</f>
      </c>
      <c r="C135" s="17">
        <f>IF(OR(A135="",COUNTA(ChatPaste)=0),"",COUNTIF(ChatSpeaker,A135))</f>
      </c>
      <c r="D135" s="20">
        <f>IF(A135="","",IFERROR(INDEX(ChatText,MATCH(1,INDEX((ChatSpeaker=A135)*(ChatTag="Y"),0),0)),""))</f>
      </c>
      <c r="E135" s="20">
        <f>IF(A135="","",IFERROR(INDEX(ChatText,MATCH(1,INDEX((ChatSpeaker=A135)*(ChatTag="T"),0),0)),""))</f>
      </c>
      <c r="F135" s="20">
        <f>IF(A135="","",IFERROR(INDEX(ChatText,MATCH(1,INDEX((ChatSpeaker=A135)*(ChatTag="B"),0),0)),""))</f>
      </c>
      <c r="G135" s="17">
        <f>IF(E135="",0,SUMPRODUCT((Items[ID]&lt;&gt;"")*ISNUMBER(SEARCH(" "&amp;Items[ID]&amp;" "," "&amp;SUBSTITUTE(SUBSTITUTE(SUBSTITUTE(SUBSTITUTE(SUBSTITUTE(SUBSTITUTE(SUBSTITUTE(E135,","," "),"."," "),";"," "),":"," "),"("," "),")"," "),"/"," ")&amp;" "))))</f>
      </c>
      <c r="H135" s="17">
        <f>IF(E135="",0,SUMPRODUCT((Items[ID]&lt;&gt;"")*(Items[Owner]=A135)*(Items[In sprint]=1)*ISNUMBER(SEARCH(" "&amp;Items[ID]&amp;" "," "&amp;SUBSTITUTE(SUBSTITUTE(SUBSTITUTE(SUBSTITUTE(SUBSTITUTE(SUBSTITUTE(SUBSTITUTE(E135,","," "),"."," "),";"," "),":"," "),"("," "),")"," "),"/"," ")&amp;" "))))</f>
      </c>
      <c r="I135" s="17">
        <f>IF(F135="","",IF(OR(LOWER(TRIM(F135))={"none","no","nothing","n/a","na","-","nope","no blockers","none.","nil"}),"","Y"))</f>
      </c>
      <c r="J135" s="17">
        <f>IF(D135="","",IF(OR(ISNUMBER(SEARCH({"done","finished","completed","closed","merged"},D135))),IFERROR(INDEX(Items[ID],MATCH(1,INDEX((Items[ID]&lt;&gt;"")*(Items[State]&lt;&gt;"DONE")*ISNUMBER(SEARCH(" "&amp;Items[ID]&amp;" "," "&amp;SUBSTITUTE(SUBSTITUTE(SUBSTITUTE(SUBSTITUTE(SUBSTITUTE(SUBSTITUTE(SUBSTITUTE(D135,","," "),"."," "),";"," "),":"," "),"("," "),")"," "),"/"," ")&amp;" ")),0),0)),""),""))</f>
      </c>
      <c r="K135" s="20">
        <f>IF(A135="","",TRIM(IF(C135=0,"silent; ","")&amp;IF(AND(N(C135)&gt;0,D135=""),"no Y; ","")&amp;IF(AND(N(C135)&gt;0,E135=""),"no T; ","")&amp;IF(AND(N(C135)&gt;0,F135=""),"no B; ","")&amp;IF(AND(E135&lt;&gt;"",G135=0),"no task id in T; ","")&amp;IF(AND(G135&gt;0,H135=0),"T names no task of yours in this sprint; ","")&amp;IF(I135="Y","blocker: "&amp;F135&amp;"; ","")))</f>
      </c>
      <c r="L135" s="20">
        <f>IF(A135="","",IF(C135=0,"@"&amp;A135&amp;" please post Y: / T: / B: for today.",IF(TRIM(IF(AND(N(C135)&gt;0,D135=""),"no Y; ","")&amp;IF(AND(N(C135)&gt;0,E135=""),"no T; ","")&amp;IF(AND(N(C135)&gt;0,F135=""),"no B; ","")&amp;IF(AND(E135&lt;&gt;"",G135=0),"no task id in T; ","")&amp;IF(AND(G135&gt;0,H135=0),"T names no task of yours in this sprint; ",""))="","","@"&amp;A135&amp;" please fix: "&amp;TRIM(IF(AND(N(C135)&gt;0,D135=""),"no Y; ","")&amp;IF(AND(N(C135)&gt;0,E135=""),"no T; ","")&amp;IF(AND(N(C135)&gt;0,F135=""),"no B; ","")&amp;IF(AND(E135&lt;&gt;"",G135=0),"no task id in T; ","")&amp;IF(AND(G135&gt;0,H135=0),"T names no task of yours in this sprint; ","")))))</f>
      </c>
      <c r="M135" s="11">
        <f>IF(N135="","",StandupDate)</f>
      </c>
      <c r="N135" s="17">
        <f>IF(J135&lt;&gt;"",J135,IF(I135="Y",IF(IFERROR(INDEX(Items[ID],MATCH(1,INDEX((Items[ID]&lt;&gt;"")*ISNUMBER(SEARCH(" "&amp;Items[ID]&amp;" "," "&amp;SUBSTITUTE(SUBSTITUTE(SUBSTITUTE(SUBSTITUTE(SUBSTITUTE(SUBSTITUTE(SUBSTITUTE(F135,",","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"&amp;SUBSTITUTE(SUBSTITUTE(SUBSTITUTE(SUBSTITUTE(SUBSTITUTE(SUBSTITUTE(SUBSTITUTE(F135,","," "),"."," "),";"," "),":"," "),"("," "),")"," "),"/"," ")&amp;" ")),0),0)),""),IFERROR(INDEX(Items[ID],MATCH(1,INDEX((Items[ID]&lt;&gt;"")*(Items[Owner]=A135)*ISNUMBER(SEARCH(" "&amp;Items[ID]&amp;" "," "&amp;SUBSTITUTE(SUBSTITUTE(SUBSTITUTE(SUBSTITUTE(SUBSTITUTE(SUBSTITUTE(SUBSTITUTE(E135,","," "),"."," "),";"," "),":"," "),"("," "),")"," "),"/"," ")&amp;" ")),0),0)),"")),""))</f>
      </c>
      <c r="O135" s="17">
        <f>IF(N135="","",IF(J135&lt;&gt;"","done","block"))</f>
      </c>
      <c r="P135" s="17">
        <f>IF(O135="block",F135,"")</f>
      </c>
    </row>
    <row r="136">
      <c r="A136" s="17">
        <f>IFERROR(INDEX(Roster[Name],132)&amp;"","")</f>
      </c>
      <c r="B136" s="17">
        <f>IF(A136="","",INDEX(Roster[Team],132)&amp;"")</f>
      </c>
      <c r="C136" s="17">
        <f>IF(OR(A136="",COUNTA(ChatPaste)=0),"",COUNTIF(ChatSpeaker,A136))</f>
      </c>
      <c r="D136" s="20">
        <f>IF(A136="","",IFERROR(INDEX(ChatText,MATCH(1,INDEX((ChatSpeaker=A136)*(ChatTag="Y"),0),0)),""))</f>
      </c>
      <c r="E136" s="20">
        <f>IF(A136="","",IFERROR(INDEX(ChatText,MATCH(1,INDEX((ChatSpeaker=A136)*(ChatTag="T"),0),0)),""))</f>
      </c>
      <c r="F136" s="20">
        <f>IF(A136="","",IFERROR(INDEX(ChatText,MATCH(1,INDEX((ChatSpeaker=A136)*(ChatTag="B"),0),0)),""))</f>
      </c>
      <c r="G136" s="17">
        <f>IF(E136="",0,SUMPRODUCT((Items[ID]&lt;&gt;"")*ISNUMBER(SEARCH(" "&amp;Items[ID]&amp;" "," "&amp;SUBSTITUTE(SUBSTITUTE(SUBSTITUTE(SUBSTITUTE(SUBSTITUTE(SUBSTITUTE(SUBSTITUTE(E136,","," "),"."," "),";"," "),":"," "),"("," "),")"," "),"/"," ")&amp;" "))))</f>
      </c>
      <c r="H136" s="17">
        <f>IF(E136="",0,SUMPRODUCT((Items[ID]&lt;&gt;"")*(Items[Owner]=A136)*(Items[In sprint]=1)*ISNUMBER(SEARCH(" "&amp;Items[ID]&amp;" "," "&amp;SUBSTITUTE(SUBSTITUTE(SUBSTITUTE(SUBSTITUTE(SUBSTITUTE(SUBSTITUTE(SUBSTITUTE(E136,","," "),"."," "),";"," "),":"," "),"("," "),")"," "),"/"," ")&amp;" "))))</f>
      </c>
      <c r="I136" s="17">
        <f>IF(F136="","",IF(OR(LOWER(TRIM(F136))={"none","no","nothing","n/a","na","-","nope","no blockers","none.","nil"}),"","Y"))</f>
      </c>
      <c r="J136" s="17">
        <f>IF(D136="","",IF(OR(ISNUMBER(SEARCH({"done","finished","completed","closed","merged"},D136))),IFERROR(INDEX(Items[ID],MATCH(1,INDEX((Items[ID]&lt;&gt;"")*(Items[State]&lt;&gt;"DONE")*ISNUMBER(SEARCH(" "&amp;Items[ID]&amp;" "," "&amp;SUBSTITUTE(SUBSTITUTE(SUBSTITUTE(SUBSTITUTE(SUBSTITUTE(SUBSTITUTE(SUBSTITUTE(D136,","," "),"."," "),";"," "),":"," "),"("," "),")"," "),"/"," ")&amp;" ")),0),0)),""),""))</f>
      </c>
      <c r="K136" s="20">
        <f>IF(A136="","",TRIM(IF(C136=0,"silent; ","")&amp;IF(AND(N(C136)&gt;0,D136=""),"no Y; ","")&amp;IF(AND(N(C136)&gt;0,E136=""),"no T; ","")&amp;IF(AND(N(C136)&gt;0,F136=""),"no B; ","")&amp;IF(AND(E136&lt;&gt;"",G136=0),"no task id in T; ","")&amp;IF(AND(G136&gt;0,H136=0),"T names no task of yours in this sprint; ","")&amp;IF(I136="Y","blocker: "&amp;F136&amp;"; ","")))</f>
      </c>
      <c r="L136" s="20">
        <f>IF(A136="","",IF(C136=0,"@"&amp;A136&amp;" please post Y: / T: / B: for today.",IF(TRIM(IF(AND(N(C136)&gt;0,D136=""),"no Y; ","")&amp;IF(AND(N(C136)&gt;0,E136=""),"no T; ","")&amp;IF(AND(N(C136)&gt;0,F136=""),"no B; ","")&amp;IF(AND(E136&lt;&gt;"",G136=0),"no task id in T; ","")&amp;IF(AND(G136&gt;0,H136=0),"T names no task of yours in this sprint; ",""))="","","@"&amp;A136&amp;" please fix: "&amp;TRIM(IF(AND(N(C136)&gt;0,D136=""),"no Y; ","")&amp;IF(AND(N(C136)&gt;0,E136=""),"no T; ","")&amp;IF(AND(N(C136)&gt;0,F136=""),"no B; ","")&amp;IF(AND(E136&lt;&gt;"",G136=0),"no task id in T; ","")&amp;IF(AND(G136&gt;0,H136=0),"T names no task of yours in this sprint; ","")))))</f>
      </c>
      <c r="M136" s="11">
        <f>IF(N136="","",StandupDate)</f>
      </c>
      <c r="N136" s="17">
        <f>IF(J136&lt;&gt;"",J136,IF(I136="Y",IF(IFERROR(INDEX(Items[ID],MATCH(1,INDEX((Items[ID]&lt;&gt;"")*ISNUMBER(SEARCH(" "&amp;Items[ID]&amp;" "," "&amp;SUBSTITUTE(SUBSTITUTE(SUBSTITUTE(SUBSTITUTE(SUBSTITUTE(SUBSTITUTE(SUBSTITUTE(F136,",","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"&amp;SUBSTITUTE(SUBSTITUTE(SUBSTITUTE(SUBSTITUTE(SUBSTITUTE(SUBSTITUTE(SUBSTITUTE(F136,","," "),"."," "),";"," "),":"," "),"("," "),")"," "),"/"," ")&amp;" ")),0),0)),""),IFERROR(INDEX(Items[ID],MATCH(1,INDEX((Items[ID]&lt;&gt;"")*(Items[Owner]=A136)*ISNUMBER(SEARCH(" "&amp;Items[ID]&amp;" "," "&amp;SUBSTITUTE(SUBSTITUTE(SUBSTITUTE(SUBSTITUTE(SUBSTITUTE(SUBSTITUTE(SUBSTITUTE(E136,","," "),"."," "),";"," "),":"," "),"("," "),")"," "),"/"," ")&amp;" ")),0),0)),"")),""))</f>
      </c>
      <c r="O136" s="17">
        <f>IF(N136="","",IF(J136&lt;&gt;"","done","block"))</f>
      </c>
      <c r="P136" s="17">
        <f>IF(O136="block",F136,"")</f>
      </c>
    </row>
    <row r="137">
      <c r="A137" s="17">
        <f>IFERROR(INDEX(Roster[Name],133)&amp;"","")</f>
      </c>
      <c r="B137" s="17">
        <f>IF(A137="","",INDEX(Roster[Team],133)&amp;"")</f>
      </c>
      <c r="C137" s="17">
        <f>IF(OR(A137="",COUNTA(ChatPaste)=0),"",COUNTIF(ChatSpeaker,A137))</f>
      </c>
      <c r="D137" s="20">
        <f>IF(A137="","",IFERROR(INDEX(ChatText,MATCH(1,INDEX((ChatSpeaker=A137)*(ChatTag="Y"),0),0)),""))</f>
      </c>
      <c r="E137" s="20">
        <f>IF(A137="","",IFERROR(INDEX(ChatText,MATCH(1,INDEX((ChatSpeaker=A137)*(ChatTag="T"),0),0)),""))</f>
      </c>
      <c r="F137" s="20">
        <f>IF(A137="","",IFERROR(INDEX(ChatText,MATCH(1,INDEX((ChatSpeaker=A137)*(ChatTag="B"),0),0)),""))</f>
      </c>
      <c r="G137" s="17">
        <f>IF(E137="",0,SUMPRODUCT((Items[ID]&lt;&gt;"")*ISNUMBER(SEARCH(" "&amp;Items[ID]&amp;" "," "&amp;SUBSTITUTE(SUBSTITUTE(SUBSTITUTE(SUBSTITUTE(SUBSTITUTE(SUBSTITUTE(SUBSTITUTE(E137,","," "),"."," "),";"," "),":"," "),"("," "),")"," "),"/"," ")&amp;" "))))</f>
      </c>
      <c r="H137" s="17">
        <f>IF(E137="",0,SUMPRODUCT((Items[ID]&lt;&gt;"")*(Items[Owner]=A137)*(Items[In sprint]=1)*ISNUMBER(SEARCH(" "&amp;Items[ID]&amp;" "," "&amp;SUBSTITUTE(SUBSTITUTE(SUBSTITUTE(SUBSTITUTE(SUBSTITUTE(SUBSTITUTE(SUBSTITUTE(E137,","," "),"."," "),";"," "),":"," "),"("," "),")"," "),"/"," ")&amp;" "))))</f>
      </c>
      <c r="I137" s="17">
        <f>IF(F137="","",IF(OR(LOWER(TRIM(F137))={"none","no","nothing","n/a","na","-","nope","no blockers","none.","nil"}),"","Y"))</f>
      </c>
      <c r="J137" s="17">
        <f>IF(D137="","",IF(OR(ISNUMBER(SEARCH({"done","finished","completed","closed","merged"},D137))),IFERROR(INDEX(Items[ID],MATCH(1,INDEX((Items[ID]&lt;&gt;"")*(Items[State]&lt;&gt;"DONE")*ISNUMBER(SEARCH(" "&amp;Items[ID]&amp;" "," "&amp;SUBSTITUTE(SUBSTITUTE(SUBSTITUTE(SUBSTITUTE(SUBSTITUTE(SUBSTITUTE(SUBSTITUTE(D137,","," "),"."," "),";"," "),":"," "),"("," "),")"," "),"/"," ")&amp;" ")),0),0)),""),""))</f>
      </c>
      <c r="K137" s="20">
        <f>IF(A137="","",TRIM(IF(C137=0,"silent; ","")&amp;IF(AND(N(C137)&gt;0,D137=""),"no Y; ","")&amp;IF(AND(N(C137)&gt;0,E137=""),"no T; ","")&amp;IF(AND(N(C137)&gt;0,F137=""),"no B; ","")&amp;IF(AND(E137&lt;&gt;"",G137=0),"no task id in T; ","")&amp;IF(AND(G137&gt;0,H137=0),"T names no task of yours in this sprint; ","")&amp;IF(I137="Y","blocker: "&amp;F137&amp;"; ","")))</f>
      </c>
      <c r="L137" s="20">
        <f>IF(A137="","",IF(C137=0,"@"&amp;A137&amp;" please post Y: / T: / B: for today.",IF(TRIM(IF(AND(N(C137)&gt;0,D137=""),"no Y; ","")&amp;IF(AND(N(C137)&gt;0,E137=""),"no T; ","")&amp;IF(AND(N(C137)&gt;0,F137=""),"no B; ","")&amp;IF(AND(E137&lt;&gt;"",G137=0),"no task id in T; ","")&amp;IF(AND(G137&gt;0,H137=0),"T names no task of yours in this sprint; ",""))="","","@"&amp;A137&amp;" please fix: "&amp;TRIM(IF(AND(N(C137)&gt;0,D137=""),"no Y; ","")&amp;IF(AND(N(C137)&gt;0,E137=""),"no T; ","")&amp;IF(AND(N(C137)&gt;0,F137=""),"no B; ","")&amp;IF(AND(E137&lt;&gt;"",G137=0),"no task id in T; ","")&amp;IF(AND(G137&gt;0,H137=0),"T names no task of yours in this sprint; ","")))))</f>
      </c>
      <c r="M137" s="11">
        <f>IF(N137="","",StandupDate)</f>
      </c>
      <c r="N137" s="17">
        <f>IF(J137&lt;&gt;"",J137,IF(I137="Y",IF(IFERROR(INDEX(Items[ID],MATCH(1,INDEX((Items[ID]&lt;&gt;"")*ISNUMBER(SEARCH(" "&amp;Items[ID]&amp;" "," "&amp;SUBSTITUTE(SUBSTITUTE(SUBSTITUTE(SUBSTITUTE(SUBSTITUTE(SUBSTITUTE(SUBSTITUTE(F137,",","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"&amp;SUBSTITUTE(SUBSTITUTE(SUBSTITUTE(SUBSTITUTE(SUBSTITUTE(SUBSTITUTE(SUBSTITUTE(F137,","," "),"."," "),";"," "),":"," "),"("," "),")"," "),"/"," ")&amp;" ")),0),0)),""),IFERROR(INDEX(Items[ID],MATCH(1,INDEX((Items[ID]&lt;&gt;"")*(Items[Owner]=A137)*ISNUMBER(SEARCH(" "&amp;Items[ID]&amp;" "," "&amp;SUBSTITUTE(SUBSTITUTE(SUBSTITUTE(SUBSTITUTE(SUBSTITUTE(SUBSTITUTE(SUBSTITUTE(E137,","," "),"."," "),";"," "),":"," "),"("," "),")"," "),"/"," ")&amp;" ")),0),0)),"")),""))</f>
      </c>
      <c r="O137" s="17">
        <f>IF(N137="","",IF(J137&lt;&gt;"","done","block"))</f>
      </c>
      <c r="P137" s="17">
        <f>IF(O137="block",F137,"")</f>
      </c>
    </row>
    <row r="138">
      <c r="A138" s="17">
        <f>IFERROR(INDEX(Roster[Name],134)&amp;"","")</f>
      </c>
      <c r="B138" s="17">
        <f>IF(A138="","",INDEX(Roster[Team],134)&amp;"")</f>
      </c>
      <c r="C138" s="17">
        <f>IF(OR(A138="",COUNTA(ChatPaste)=0),"",COUNTIF(ChatSpeaker,A138))</f>
      </c>
      <c r="D138" s="20">
        <f>IF(A138="","",IFERROR(INDEX(ChatText,MATCH(1,INDEX((ChatSpeaker=A138)*(ChatTag="Y"),0),0)),""))</f>
      </c>
      <c r="E138" s="20">
        <f>IF(A138="","",IFERROR(INDEX(ChatText,MATCH(1,INDEX((ChatSpeaker=A138)*(ChatTag="T"),0),0)),""))</f>
      </c>
      <c r="F138" s="20">
        <f>IF(A138="","",IFERROR(INDEX(ChatText,MATCH(1,INDEX((ChatSpeaker=A138)*(ChatTag="B"),0),0)),""))</f>
      </c>
      <c r="G138" s="17">
        <f>IF(E138="",0,SUMPRODUCT((Items[ID]&lt;&gt;"")*ISNUMBER(SEARCH(" "&amp;Items[ID]&amp;" "," "&amp;SUBSTITUTE(SUBSTITUTE(SUBSTITUTE(SUBSTITUTE(SUBSTITUTE(SUBSTITUTE(SUBSTITUTE(E138,","," "),"."," "),";"," "),":"," "),"("," "),")"," "),"/"," ")&amp;" "))))</f>
      </c>
      <c r="H138" s="17">
        <f>IF(E138="",0,SUMPRODUCT((Items[ID]&lt;&gt;"")*(Items[Owner]=A138)*(Items[In sprint]=1)*ISNUMBER(SEARCH(" "&amp;Items[ID]&amp;" "," "&amp;SUBSTITUTE(SUBSTITUTE(SUBSTITUTE(SUBSTITUTE(SUBSTITUTE(SUBSTITUTE(SUBSTITUTE(E138,","," "),"."," "),";"," "),":"," "),"("," "),")"," "),"/"," ")&amp;" "))))</f>
      </c>
      <c r="I138" s="17">
        <f>IF(F138="","",IF(OR(LOWER(TRIM(F138))={"none","no","nothing","n/a","na","-","nope","no blockers","none.","nil"}),"","Y"))</f>
      </c>
      <c r="J138" s="17">
        <f>IF(D138="","",IF(OR(ISNUMBER(SEARCH({"done","finished","completed","closed","merged"},D138))),IFERROR(INDEX(Items[ID],MATCH(1,INDEX((Items[ID]&lt;&gt;"")*(Items[State]&lt;&gt;"DONE")*ISNUMBER(SEARCH(" "&amp;Items[ID]&amp;" "," "&amp;SUBSTITUTE(SUBSTITUTE(SUBSTITUTE(SUBSTITUTE(SUBSTITUTE(SUBSTITUTE(SUBSTITUTE(D138,","," "),"."," "),";"," "),":"," "),"("," "),")"," "),"/"," ")&amp;" ")),0),0)),""),""))</f>
      </c>
      <c r="K138" s="20">
        <f>IF(A138="","",TRIM(IF(C138=0,"silent; ","")&amp;IF(AND(N(C138)&gt;0,D138=""),"no Y; ","")&amp;IF(AND(N(C138)&gt;0,E138=""),"no T; ","")&amp;IF(AND(N(C138)&gt;0,F138=""),"no B; ","")&amp;IF(AND(E138&lt;&gt;"",G138=0),"no task id in T; ","")&amp;IF(AND(G138&gt;0,H138=0),"T names no task of yours in this sprint; ","")&amp;IF(I138="Y","blocker: "&amp;F138&amp;"; ","")))</f>
      </c>
      <c r="L138" s="20">
        <f>IF(A138="","",IF(C138=0,"@"&amp;A138&amp;" please post Y: / T: / B: for today.",IF(TRIM(IF(AND(N(C138)&gt;0,D138=""),"no Y; ","")&amp;IF(AND(N(C138)&gt;0,E138=""),"no T; ","")&amp;IF(AND(N(C138)&gt;0,F138=""),"no B; ","")&amp;IF(AND(E138&lt;&gt;"",G138=0),"no task id in T; ","")&amp;IF(AND(G138&gt;0,H138=0),"T names no task of yours in this sprint; ",""))="","","@"&amp;A138&amp;" please fix: "&amp;TRIM(IF(AND(N(C138)&gt;0,D138=""),"no Y; ","")&amp;IF(AND(N(C138)&gt;0,E138=""),"no T; ","")&amp;IF(AND(N(C138)&gt;0,F138=""),"no B; ","")&amp;IF(AND(E138&lt;&gt;"",G138=0),"no task id in T; ","")&amp;IF(AND(G138&gt;0,H138=0),"T names no task of yours in this sprint; ","")))))</f>
      </c>
      <c r="M138" s="11">
        <f>IF(N138="","",StandupDate)</f>
      </c>
      <c r="N138" s="17">
        <f>IF(J138&lt;&gt;"",J138,IF(I138="Y",IF(IFERROR(INDEX(Items[ID],MATCH(1,INDEX((Items[ID]&lt;&gt;"")*ISNUMBER(SEARCH(" "&amp;Items[ID]&amp;" "," "&amp;SUBSTITUTE(SUBSTITUTE(SUBSTITUTE(SUBSTITUTE(SUBSTITUTE(SUBSTITUTE(SUBSTITUTE(F138,",","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"&amp;SUBSTITUTE(SUBSTITUTE(SUBSTITUTE(SUBSTITUTE(SUBSTITUTE(SUBSTITUTE(SUBSTITUTE(F138,","," "),"."," "),";"," "),":"," "),"("," "),")"," "),"/"," ")&amp;" ")),0),0)),""),IFERROR(INDEX(Items[ID],MATCH(1,INDEX((Items[ID]&lt;&gt;"")*(Items[Owner]=A138)*ISNUMBER(SEARCH(" "&amp;Items[ID]&amp;" "," "&amp;SUBSTITUTE(SUBSTITUTE(SUBSTITUTE(SUBSTITUTE(SUBSTITUTE(SUBSTITUTE(SUBSTITUTE(E138,","," "),"."," "),";"," "),":"," "),"("," "),")"," "),"/"," ")&amp;" ")),0),0)),"")),""))</f>
      </c>
      <c r="O138" s="17">
        <f>IF(N138="","",IF(J138&lt;&gt;"","done","block"))</f>
      </c>
      <c r="P138" s="17">
        <f>IF(O138="block",F138,"")</f>
      </c>
    </row>
    <row r="139">
      <c r="A139" s="17">
        <f>IFERROR(INDEX(Roster[Name],135)&amp;"","")</f>
      </c>
      <c r="B139" s="17">
        <f>IF(A139="","",INDEX(Roster[Team],135)&amp;"")</f>
      </c>
      <c r="C139" s="17">
        <f>IF(OR(A139="",COUNTA(ChatPaste)=0),"",COUNTIF(ChatSpeaker,A139))</f>
      </c>
      <c r="D139" s="20">
        <f>IF(A139="","",IFERROR(INDEX(ChatText,MATCH(1,INDEX((ChatSpeaker=A139)*(ChatTag="Y"),0),0)),""))</f>
      </c>
      <c r="E139" s="20">
        <f>IF(A139="","",IFERROR(INDEX(ChatText,MATCH(1,INDEX((ChatSpeaker=A139)*(ChatTag="T"),0),0)),""))</f>
      </c>
      <c r="F139" s="20">
        <f>IF(A139="","",IFERROR(INDEX(ChatText,MATCH(1,INDEX((ChatSpeaker=A139)*(ChatTag="B"),0),0)),""))</f>
      </c>
      <c r="G139" s="17">
        <f>IF(E139="",0,SUMPRODUCT((Items[ID]&lt;&gt;"")*ISNUMBER(SEARCH(" "&amp;Items[ID]&amp;" "," "&amp;SUBSTITUTE(SUBSTITUTE(SUBSTITUTE(SUBSTITUTE(SUBSTITUTE(SUBSTITUTE(SUBSTITUTE(E139,","," "),"."," "),";"," "),":"," "),"("," "),")"," "),"/"," ")&amp;" "))))</f>
      </c>
      <c r="H139" s="17">
        <f>IF(E139="",0,SUMPRODUCT((Items[ID]&lt;&gt;"")*(Items[Owner]=A139)*(Items[In sprint]=1)*ISNUMBER(SEARCH(" "&amp;Items[ID]&amp;" "," "&amp;SUBSTITUTE(SUBSTITUTE(SUBSTITUTE(SUBSTITUTE(SUBSTITUTE(SUBSTITUTE(SUBSTITUTE(E139,","," "),"."," "),";"," "),":"," "),"("," "),")"," "),"/"," ")&amp;" "))))</f>
      </c>
      <c r="I139" s="17">
        <f>IF(F139="","",IF(OR(LOWER(TRIM(F139))={"none","no","nothing","n/a","na","-","nope","no blockers","none.","nil"}),"","Y"))</f>
      </c>
      <c r="J139" s="17">
        <f>IF(D139="","",IF(OR(ISNUMBER(SEARCH({"done","finished","completed","closed","merged"},D139))),IFERROR(INDEX(Items[ID],MATCH(1,INDEX((Items[ID]&lt;&gt;"")*(Items[State]&lt;&gt;"DONE")*ISNUMBER(SEARCH(" "&amp;Items[ID]&amp;" "," "&amp;SUBSTITUTE(SUBSTITUTE(SUBSTITUTE(SUBSTITUTE(SUBSTITUTE(SUBSTITUTE(SUBSTITUTE(D139,","," "),"."," "),";"," "),":"," "),"("," "),")"," "),"/"," ")&amp;" ")),0),0)),""),""))</f>
      </c>
      <c r="K139" s="20">
        <f>IF(A139="","",TRIM(IF(C139=0,"silent; ","")&amp;IF(AND(N(C139)&gt;0,D139=""),"no Y; ","")&amp;IF(AND(N(C139)&gt;0,E139=""),"no T; ","")&amp;IF(AND(N(C139)&gt;0,F139=""),"no B; ","")&amp;IF(AND(E139&lt;&gt;"",G139=0),"no task id in T; ","")&amp;IF(AND(G139&gt;0,H139=0),"T names no task of yours in this sprint; ","")&amp;IF(I139="Y","blocker: "&amp;F139&amp;"; ","")))</f>
      </c>
      <c r="L139" s="20">
        <f>IF(A139="","",IF(C139=0,"@"&amp;A139&amp;" please post Y: / T: / B: for today.",IF(TRIM(IF(AND(N(C139)&gt;0,D139=""),"no Y; ","")&amp;IF(AND(N(C139)&gt;0,E139=""),"no T; ","")&amp;IF(AND(N(C139)&gt;0,F139=""),"no B; ","")&amp;IF(AND(E139&lt;&gt;"",G139=0),"no task id in T; ","")&amp;IF(AND(G139&gt;0,H139=0),"T names no task of yours in this sprint; ",""))="","","@"&amp;A139&amp;" please fix: "&amp;TRIM(IF(AND(N(C139)&gt;0,D139=""),"no Y; ","")&amp;IF(AND(N(C139)&gt;0,E139=""),"no T; ","")&amp;IF(AND(N(C139)&gt;0,F139=""),"no B; ","")&amp;IF(AND(E139&lt;&gt;"",G139=0),"no task id in T; ","")&amp;IF(AND(G139&gt;0,H139=0),"T names no task of yours in this sprint; ","")))))</f>
      </c>
      <c r="M139" s="11">
        <f>IF(N139="","",StandupDate)</f>
      </c>
      <c r="N139" s="17">
        <f>IF(J139&lt;&gt;"",J139,IF(I139="Y",IF(IFERROR(INDEX(Items[ID],MATCH(1,INDEX((Items[ID]&lt;&gt;"")*ISNUMBER(SEARCH(" "&amp;Items[ID]&amp;" "," "&amp;SUBSTITUTE(SUBSTITUTE(SUBSTITUTE(SUBSTITUTE(SUBSTITUTE(SUBSTITUTE(SUBSTITUTE(F139,",","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"&amp;SUBSTITUTE(SUBSTITUTE(SUBSTITUTE(SUBSTITUTE(SUBSTITUTE(SUBSTITUTE(SUBSTITUTE(F139,","," "),"."," "),";"," "),":"," "),"("," "),")"," "),"/"," ")&amp;" ")),0),0)),""),IFERROR(INDEX(Items[ID],MATCH(1,INDEX((Items[ID]&lt;&gt;"")*(Items[Owner]=A139)*ISNUMBER(SEARCH(" "&amp;Items[ID]&amp;" "," "&amp;SUBSTITUTE(SUBSTITUTE(SUBSTITUTE(SUBSTITUTE(SUBSTITUTE(SUBSTITUTE(SUBSTITUTE(E139,","," "),"."," "),";"," "),":"," "),"("," "),")"," "),"/"," ")&amp;" ")),0),0)),"")),""))</f>
      </c>
      <c r="O139" s="17">
        <f>IF(N139="","",IF(J139&lt;&gt;"","done","block"))</f>
      </c>
      <c r="P139" s="17">
        <f>IF(O139="block",F139,"")</f>
      </c>
    </row>
    <row r="140">
      <c r="A140" s="17">
        <f>IFERROR(INDEX(Roster[Name],136)&amp;"","")</f>
      </c>
      <c r="B140" s="17">
        <f>IF(A140="","",INDEX(Roster[Team],136)&amp;"")</f>
      </c>
      <c r="C140" s="17">
        <f>IF(OR(A140="",COUNTA(ChatPaste)=0),"",COUNTIF(ChatSpeaker,A140))</f>
      </c>
      <c r="D140" s="20">
        <f>IF(A140="","",IFERROR(INDEX(ChatText,MATCH(1,INDEX((ChatSpeaker=A140)*(ChatTag="Y"),0),0)),""))</f>
      </c>
      <c r="E140" s="20">
        <f>IF(A140="","",IFERROR(INDEX(ChatText,MATCH(1,INDEX((ChatSpeaker=A140)*(ChatTag="T"),0),0)),""))</f>
      </c>
      <c r="F140" s="20">
        <f>IF(A140="","",IFERROR(INDEX(ChatText,MATCH(1,INDEX((ChatSpeaker=A140)*(ChatTag="B"),0),0)),""))</f>
      </c>
      <c r="G140" s="17">
        <f>IF(E140="",0,SUMPRODUCT((Items[ID]&lt;&gt;"")*ISNUMBER(SEARCH(" "&amp;Items[ID]&amp;" "," "&amp;SUBSTITUTE(SUBSTITUTE(SUBSTITUTE(SUBSTITUTE(SUBSTITUTE(SUBSTITUTE(SUBSTITUTE(E140,","," "),"."," "),";"," "),":"," "),"("," "),")"," "),"/"," ")&amp;" "))))</f>
      </c>
      <c r="H140" s="17">
        <f>IF(E140="",0,SUMPRODUCT((Items[ID]&lt;&gt;"")*(Items[Owner]=A140)*(Items[In sprint]=1)*ISNUMBER(SEARCH(" "&amp;Items[ID]&amp;" "," "&amp;SUBSTITUTE(SUBSTITUTE(SUBSTITUTE(SUBSTITUTE(SUBSTITUTE(SUBSTITUTE(SUBSTITUTE(E140,","," "),"."," "),";"," "),":"," "),"("," "),")"," "),"/"," ")&amp;" "))))</f>
      </c>
      <c r="I140" s="17">
        <f>IF(F140="","",IF(OR(LOWER(TRIM(F140))={"none","no","nothing","n/a","na","-","nope","no blockers","none.","nil"}),"","Y"))</f>
      </c>
      <c r="J140" s="17">
        <f>IF(D140="","",IF(OR(ISNUMBER(SEARCH({"done","finished","completed","closed","merged"},D140))),IFERROR(INDEX(Items[ID],MATCH(1,INDEX((Items[ID]&lt;&gt;"")*(Items[State]&lt;&gt;"DONE")*ISNUMBER(SEARCH(" "&amp;Items[ID]&amp;" "," "&amp;SUBSTITUTE(SUBSTITUTE(SUBSTITUTE(SUBSTITUTE(SUBSTITUTE(SUBSTITUTE(SUBSTITUTE(D140,","," "),"."," "),";"," "),":"," "),"("," "),")"," "),"/"," ")&amp;" ")),0),0)),""),""))</f>
      </c>
      <c r="K140" s="20">
        <f>IF(A140="","",TRIM(IF(C140=0,"silent; ","")&amp;IF(AND(N(C140)&gt;0,D140=""),"no Y; ","")&amp;IF(AND(N(C140)&gt;0,E140=""),"no T; ","")&amp;IF(AND(N(C140)&gt;0,F140=""),"no B; ","")&amp;IF(AND(E140&lt;&gt;"",G140=0),"no task id in T; ","")&amp;IF(AND(G140&gt;0,H140=0),"T names no task of yours in this sprint; ","")&amp;IF(I140="Y","blocker: "&amp;F140&amp;"; ","")))</f>
      </c>
      <c r="L140" s="20">
        <f>IF(A140="","",IF(C140=0,"@"&amp;A140&amp;" please post Y: / T: / B: for today.",IF(TRIM(IF(AND(N(C140)&gt;0,D140=""),"no Y; ","")&amp;IF(AND(N(C140)&gt;0,E140=""),"no T; ","")&amp;IF(AND(N(C140)&gt;0,F140=""),"no B; ","")&amp;IF(AND(E140&lt;&gt;"",G140=0),"no task id in T; ","")&amp;IF(AND(G140&gt;0,H140=0),"T names no task of yours in this sprint; ",""))="","","@"&amp;A140&amp;" please fix: "&amp;TRIM(IF(AND(N(C140)&gt;0,D140=""),"no Y; ","")&amp;IF(AND(N(C140)&gt;0,E140=""),"no T; ","")&amp;IF(AND(N(C140)&gt;0,F140=""),"no B; ","")&amp;IF(AND(E140&lt;&gt;"",G140=0),"no task id in T; ","")&amp;IF(AND(G140&gt;0,H140=0),"T names no task of yours in this sprint; ","")))))</f>
      </c>
      <c r="M140" s="11">
        <f>IF(N140="","",StandupDate)</f>
      </c>
      <c r="N140" s="17">
        <f>IF(J140&lt;&gt;"",J140,IF(I140="Y",IF(IFERROR(INDEX(Items[ID],MATCH(1,INDEX((Items[ID]&lt;&gt;"")*ISNUMBER(SEARCH(" "&amp;Items[ID]&amp;" "," "&amp;SUBSTITUTE(SUBSTITUTE(SUBSTITUTE(SUBSTITUTE(SUBSTITUTE(SUBSTITUTE(SUBSTITUTE(F140,",","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"&amp;SUBSTITUTE(SUBSTITUTE(SUBSTITUTE(SUBSTITUTE(SUBSTITUTE(SUBSTITUTE(SUBSTITUTE(F140,","," "),"."," "),";"," "),":"," "),"("," "),")"," "),"/"," ")&amp;" ")),0),0)),""),IFERROR(INDEX(Items[ID],MATCH(1,INDEX((Items[ID]&lt;&gt;"")*(Items[Owner]=A140)*ISNUMBER(SEARCH(" "&amp;Items[ID]&amp;" "," "&amp;SUBSTITUTE(SUBSTITUTE(SUBSTITUTE(SUBSTITUTE(SUBSTITUTE(SUBSTITUTE(SUBSTITUTE(E140,","," "),"."," "),";"," "),":"," "),"("," "),")"," "),"/"," ")&amp;" ")),0),0)),"")),""))</f>
      </c>
      <c r="O140" s="17">
        <f>IF(N140="","",IF(J140&lt;&gt;"","done","block"))</f>
      </c>
      <c r="P140" s="17">
        <f>IF(O140="block",F140,"")</f>
      </c>
    </row>
    <row r="141">
      <c r="A141" s="17">
        <f>IFERROR(INDEX(Roster[Name],137)&amp;"","")</f>
      </c>
      <c r="B141" s="17">
        <f>IF(A141="","",INDEX(Roster[Team],137)&amp;"")</f>
      </c>
      <c r="C141" s="17">
        <f>IF(OR(A141="",COUNTA(ChatPaste)=0),"",COUNTIF(ChatSpeaker,A141))</f>
      </c>
      <c r="D141" s="20">
        <f>IF(A141="","",IFERROR(INDEX(ChatText,MATCH(1,INDEX((ChatSpeaker=A141)*(ChatTag="Y"),0),0)),""))</f>
      </c>
      <c r="E141" s="20">
        <f>IF(A141="","",IFERROR(INDEX(ChatText,MATCH(1,INDEX((ChatSpeaker=A141)*(ChatTag="T"),0),0)),""))</f>
      </c>
      <c r="F141" s="20">
        <f>IF(A141="","",IFERROR(INDEX(ChatText,MATCH(1,INDEX((ChatSpeaker=A141)*(ChatTag="B"),0),0)),""))</f>
      </c>
      <c r="G141" s="17">
        <f>IF(E141="",0,SUMPRODUCT((Items[ID]&lt;&gt;"")*ISNUMBER(SEARCH(" "&amp;Items[ID]&amp;" "," "&amp;SUBSTITUTE(SUBSTITUTE(SUBSTITUTE(SUBSTITUTE(SUBSTITUTE(SUBSTITUTE(SUBSTITUTE(E141,","," "),"."," "),";"," "),":"," "),"("," "),")"," "),"/"," ")&amp;" "))))</f>
      </c>
      <c r="H141" s="17">
        <f>IF(E141="",0,SUMPRODUCT((Items[ID]&lt;&gt;"")*(Items[Owner]=A141)*(Items[In sprint]=1)*ISNUMBER(SEARCH(" "&amp;Items[ID]&amp;" "," "&amp;SUBSTITUTE(SUBSTITUTE(SUBSTITUTE(SUBSTITUTE(SUBSTITUTE(SUBSTITUTE(SUBSTITUTE(E141,","," "),"."," "),";"," "),":"," "),"("," "),")"," "),"/"," ")&amp;" "))))</f>
      </c>
      <c r="I141" s="17">
        <f>IF(F141="","",IF(OR(LOWER(TRIM(F141))={"none","no","nothing","n/a","na","-","nope","no blockers","none.","nil"}),"","Y"))</f>
      </c>
      <c r="J141" s="17">
        <f>IF(D141="","",IF(OR(ISNUMBER(SEARCH({"done","finished","completed","closed","merged"},D141))),IFERROR(INDEX(Items[ID],MATCH(1,INDEX((Items[ID]&lt;&gt;"")*(Items[State]&lt;&gt;"DONE")*ISNUMBER(SEARCH(" "&amp;Items[ID]&amp;" "," "&amp;SUBSTITUTE(SUBSTITUTE(SUBSTITUTE(SUBSTITUTE(SUBSTITUTE(SUBSTITUTE(SUBSTITUTE(D141,","," "),"."," "),";"," "),":"," "),"("," "),")"," "),"/"," ")&amp;" ")),0),0)),""),""))</f>
      </c>
      <c r="K141" s="20">
        <f>IF(A141="","",TRIM(IF(C141=0,"silent; ","")&amp;IF(AND(N(C141)&gt;0,D141=""),"no Y; ","")&amp;IF(AND(N(C141)&gt;0,E141=""),"no T; ","")&amp;IF(AND(N(C141)&gt;0,F141=""),"no B; ","")&amp;IF(AND(E141&lt;&gt;"",G141=0),"no task id in T; ","")&amp;IF(AND(G141&gt;0,H141=0),"T names no task of yours in this sprint; ","")&amp;IF(I141="Y","blocker: "&amp;F141&amp;"; ","")))</f>
      </c>
      <c r="L141" s="20">
        <f>IF(A141="","",IF(C141=0,"@"&amp;A141&amp;" please post Y: / T: / B: for today.",IF(TRIM(IF(AND(N(C141)&gt;0,D141=""),"no Y; ","")&amp;IF(AND(N(C141)&gt;0,E141=""),"no T; ","")&amp;IF(AND(N(C141)&gt;0,F141=""),"no B; ","")&amp;IF(AND(E141&lt;&gt;"",G141=0),"no task id in T; ","")&amp;IF(AND(G141&gt;0,H141=0),"T names no task of yours in this sprint; ",""))="","","@"&amp;A141&amp;" please fix: "&amp;TRIM(IF(AND(N(C141)&gt;0,D141=""),"no Y; ","")&amp;IF(AND(N(C141)&gt;0,E141=""),"no T; ","")&amp;IF(AND(N(C141)&gt;0,F141=""),"no B; ","")&amp;IF(AND(E141&lt;&gt;"",G141=0),"no task id in T; ","")&amp;IF(AND(G141&gt;0,H141=0),"T names no task of yours in this sprint; ","")))))</f>
      </c>
      <c r="M141" s="11">
        <f>IF(N141="","",StandupDate)</f>
      </c>
      <c r="N141" s="17">
        <f>IF(J141&lt;&gt;"",J141,IF(I141="Y",IF(IFERROR(INDEX(Items[ID],MATCH(1,INDEX((Items[ID]&lt;&gt;"")*ISNUMBER(SEARCH(" "&amp;Items[ID]&amp;" "," "&amp;SUBSTITUTE(SUBSTITUTE(SUBSTITUTE(SUBSTITUTE(SUBSTITUTE(SUBSTITUTE(SUBSTITUTE(F141,",","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"&amp;SUBSTITUTE(SUBSTITUTE(SUBSTITUTE(SUBSTITUTE(SUBSTITUTE(SUBSTITUTE(SUBSTITUTE(F141,","," "),"."," "),";"," "),":"," "),"("," "),")"," "),"/"," ")&amp;" ")),0),0)),""),IFERROR(INDEX(Items[ID],MATCH(1,INDEX((Items[ID]&lt;&gt;"")*(Items[Owner]=A141)*ISNUMBER(SEARCH(" "&amp;Items[ID]&amp;" "," "&amp;SUBSTITUTE(SUBSTITUTE(SUBSTITUTE(SUBSTITUTE(SUBSTITUTE(SUBSTITUTE(SUBSTITUTE(E141,","," "),"."," "),";"," "),":"," "),"("," "),")"," "),"/"," ")&amp;" ")),0),0)),"")),""))</f>
      </c>
      <c r="O141" s="17">
        <f>IF(N141="","",IF(J141&lt;&gt;"","done","block"))</f>
      </c>
      <c r="P141" s="17">
        <f>IF(O141="block",F141,"")</f>
      </c>
    </row>
    <row r="142">
      <c r="A142" s="17">
        <f>IFERROR(INDEX(Roster[Name],138)&amp;"","")</f>
      </c>
      <c r="B142" s="17">
        <f>IF(A142="","",INDEX(Roster[Team],138)&amp;"")</f>
      </c>
      <c r="C142" s="17">
        <f>IF(OR(A142="",COUNTA(ChatPaste)=0),"",COUNTIF(ChatSpeaker,A142))</f>
      </c>
      <c r="D142" s="20">
        <f>IF(A142="","",IFERROR(INDEX(ChatText,MATCH(1,INDEX((ChatSpeaker=A142)*(ChatTag="Y"),0),0)),""))</f>
      </c>
      <c r="E142" s="20">
        <f>IF(A142="","",IFERROR(INDEX(ChatText,MATCH(1,INDEX((ChatSpeaker=A142)*(ChatTag="T"),0),0)),""))</f>
      </c>
      <c r="F142" s="20">
        <f>IF(A142="","",IFERROR(INDEX(ChatText,MATCH(1,INDEX((ChatSpeaker=A142)*(ChatTag="B"),0),0)),""))</f>
      </c>
      <c r="G142" s="17">
        <f>IF(E142="",0,SUMPRODUCT((Items[ID]&lt;&gt;"")*ISNUMBER(SEARCH(" "&amp;Items[ID]&amp;" "," "&amp;SUBSTITUTE(SUBSTITUTE(SUBSTITUTE(SUBSTITUTE(SUBSTITUTE(SUBSTITUTE(SUBSTITUTE(E142,","," "),"."," "),";"," "),":"," "),"("," "),")"," "),"/"," ")&amp;" "))))</f>
      </c>
      <c r="H142" s="17">
        <f>IF(E142="",0,SUMPRODUCT((Items[ID]&lt;&gt;"")*(Items[Owner]=A142)*(Items[In sprint]=1)*ISNUMBER(SEARCH(" "&amp;Items[ID]&amp;" "," "&amp;SUBSTITUTE(SUBSTITUTE(SUBSTITUTE(SUBSTITUTE(SUBSTITUTE(SUBSTITUTE(SUBSTITUTE(E142,","," "),"."," "),";"," "),":"," "),"("," "),")"," "),"/"," ")&amp;" "))))</f>
      </c>
      <c r="I142" s="17">
        <f>IF(F142="","",IF(OR(LOWER(TRIM(F142))={"none","no","nothing","n/a","na","-","nope","no blockers","none.","nil"}),"","Y"))</f>
      </c>
      <c r="J142" s="17">
        <f>IF(D142="","",IF(OR(ISNUMBER(SEARCH({"done","finished","completed","closed","merged"},D142))),IFERROR(INDEX(Items[ID],MATCH(1,INDEX((Items[ID]&lt;&gt;"")*(Items[State]&lt;&gt;"DONE")*ISNUMBER(SEARCH(" "&amp;Items[ID]&amp;" "," "&amp;SUBSTITUTE(SUBSTITUTE(SUBSTITUTE(SUBSTITUTE(SUBSTITUTE(SUBSTITUTE(SUBSTITUTE(D142,","," "),"."," "),";"," "),":"," "),"("," "),")"," "),"/"," ")&amp;" ")),0),0)),""),""))</f>
      </c>
      <c r="K142" s="20">
        <f>IF(A142="","",TRIM(IF(C142=0,"silent; ","")&amp;IF(AND(N(C142)&gt;0,D142=""),"no Y; ","")&amp;IF(AND(N(C142)&gt;0,E142=""),"no T; ","")&amp;IF(AND(N(C142)&gt;0,F142=""),"no B; ","")&amp;IF(AND(E142&lt;&gt;"",G142=0),"no task id in T; ","")&amp;IF(AND(G142&gt;0,H142=0),"T names no task of yours in this sprint; ","")&amp;IF(I142="Y","blocker: "&amp;F142&amp;"; ","")))</f>
      </c>
      <c r="L142" s="20">
        <f>IF(A142="","",IF(C142=0,"@"&amp;A142&amp;" please post Y: / T: / B: for today.",IF(TRIM(IF(AND(N(C142)&gt;0,D142=""),"no Y; ","")&amp;IF(AND(N(C142)&gt;0,E142=""),"no T; ","")&amp;IF(AND(N(C142)&gt;0,F142=""),"no B; ","")&amp;IF(AND(E142&lt;&gt;"",G142=0),"no task id in T; ","")&amp;IF(AND(G142&gt;0,H142=0),"T names no task of yours in this sprint; ",""))="","","@"&amp;A142&amp;" please fix: "&amp;TRIM(IF(AND(N(C142)&gt;0,D142=""),"no Y; ","")&amp;IF(AND(N(C142)&gt;0,E142=""),"no T; ","")&amp;IF(AND(N(C142)&gt;0,F142=""),"no B; ","")&amp;IF(AND(E142&lt;&gt;"",G142=0),"no task id in T; ","")&amp;IF(AND(G142&gt;0,H142=0),"T names no task of yours in this sprint; ","")))))</f>
      </c>
      <c r="M142" s="11">
        <f>IF(N142="","",StandupDate)</f>
      </c>
      <c r="N142" s="17">
        <f>IF(J142&lt;&gt;"",J142,IF(I142="Y",IF(IFERROR(INDEX(Items[ID],MATCH(1,INDEX((Items[ID]&lt;&gt;"")*ISNUMBER(SEARCH(" "&amp;Items[ID]&amp;" "," "&amp;SUBSTITUTE(SUBSTITUTE(SUBSTITUTE(SUBSTITUTE(SUBSTITUTE(SUBSTITUTE(SUBSTITUTE(F142,",","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"&amp;SUBSTITUTE(SUBSTITUTE(SUBSTITUTE(SUBSTITUTE(SUBSTITUTE(SUBSTITUTE(SUBSTITUTE(F142,","," "),"."," "),";"," "),":"," "),"("," "),")"," "),"/"," ")&amp;" ")),0),0)),""),IFERROR(INDEX(Items[ID],MATCH(1,INDEX((Items[ID]&lt;&gt;"")*(Items[Owner]=A142)*ISNUMBER(SEARCH(" "&amp;Items[ID]&amp;" "," "&amp;SUBSTITUTE(SUBSTITUTE(SUBSTITUTE(SUBSTITUTE(SUBSTITUTE(SUBSTITUTE(SUBSTITUTE(E142,","," "),"."," "),";"," "),":"," "),"("," "),")"," "),"/"," ")&amp;" ")),0),0)),"")),""))</f>
      </c>
      <c r="O142" s="17">
        <f>IF(N142="","",IF(J142&lt;&gt;"","done","block"))</f>
      </c>
      <c r="P142" s="17">
        <f>IF(O142="block",F142,"")</f>
      </c>
    </row>
    <row r="143">
      <c r="A143" s="17">
        <f>IFERROR(INDEX(Roster[Name],139)&amp;"","")</f>
      </c>
      <c r="B143" s="17">
        <f>IF(A143="","",INDEX(Roster[Team],139)&amp;"")</f>
      </c>
      <c r="C143" s="17">
        <f>IF(OR(A143="",COUNTA(ChatPaste)=0),"",COUNTIF(ChatSpeaker,A143))</f>
      </c>
      <c r="D143" s="20">
        <f>IF(A143="","",IFERROR(INDEX(ChatText,MATCH(1,INDEX((ChatSpeaker=A143)*(ChatTag="Y"),0),0)),""))</f>
      </c>
      <c r="E143" s="20">
        <f>IF(A143="","",IFERROR(INDEX(ChatText,MATCH(1,INDEX((ChatSpeaker=A143)*(ChatTag="T"),0),0)),""))</f>
      </c>
      <c r="F143" s="20">
        <f>IF(A143="","",IFERROR(INDEX(ChatText,MATCH(1,INDEX((ChatSpeaker=A143)*(ChatTag="B"),0),0)),""))</f>
      </c>
      <c r="G143" s="17">
        <f>IF(E143="",0,SUMPRODUCT((Items[ID]&lt;&gt;"")*ISNUMBER(SEARCH(" "&amp;Items[ID]&amp;" "," "&amp;SUBSTITUTE(SUBSTITUTE(SUBSTITUTE(SUBSTITUTE(SUBSTITUTE(SUBSTITUTE(SUBSTITUTE(E143,","," "),"."," "),";"," "),":"," "),"("," "),")"," "),"/"," ")&amp;" "))))</f>
      </c>
      <c r="H143" s="17">
        <f>IF(E143="",0,SUMPRODUCT((Items[ID]&lt;&gt;"")*(Items[Owner]=A143)*(Items[In sprint]=1)*ISNUMBER(SEARCH(" "&amp;Items[ID]&amp;" "," "&amp;SUBSTITUTE(SUBSTITUTE(SUBSTITUTE(SUBSTITUTE(SUBSTITUTE(SUBSTITUTE(SUBSTITUTE(E143,","," "),"."," "),";"," "),":"," "),"("," "),")"," "),"/"," ")&amp;" "))))</f>
      </c>
      <c r="I143" s="17">
        <f>IF(F143="","",IF(OR(LOWER(TRIM(F143))={"none","no","nothing","n/a","na","-","nope","no blockers","none.","nil"}),"","Y"))</f>
      </c>
      <c r="J143" s="17">
        <f>IF(D143="","",IF(OR(ISNUMBER(SEARCH({"done","finished","completed","closed","merged"},D143))),IFERROR(INDEX(Items[ID],MATCH(1,INDEX((Items[ID]&lt;&gt;"")*(Items[State]&lt;&gt;"DONE")*ISNUMBER(SEARCH(" "&amp;Items[ID]&amp;" "," "&amp;SUBSTITUTE(SUBSTITUTE(SUBSTITUTE(SUBSTITUTE(SUBSTITUTE(SUBSTITUTE(SUBSTITUTE(D143,","," "),"."," "),";"," "),":"," "),"("," "),")"," "),"/"," ")&amp;" ")),0),0)),""),""))</f>
      </c>
      <c r="K143" s="20">
        <f>IF(A143="","",TRIM(IF(C143=0,"silent; ","")&amp;IF(AND(N(C143)&gt;0,D143=""),"no Y; ","")&amp;IF(AND(N(C143)&gt;0,E143=""),"no T; ","")&amp;IF(AND(N(C143)&gt;0,F143=""),"no B; ","")&amp;IF(AND(E143&lt;&gt;"",G143=0),"no task id in T; ","")&amp;IF(AND(G143&gt;0,H143=0),"T names no task of yours in this sprint; ","")&amp;IF(I143="Y","blocker: "&amp;F143&amp;"; ","")))</f>
      </c>
      <c r="L143" s="20">
        <f>IF(A143="","",IF(C143=0,"@"&amp;A143&amp;" please post Y: / T: / B: for today.",IF(TRIM(IF(AND(N(C143)&gt;0,D143=""),"no Y; ","")&amp;IF(AND(N(C143)&gt;0,E143=""),"no T; ","")&amp;IF(AND(N(C143)&gt;0,F143=""),"no B; ","")&amp;IF(AND(E143&lt;&gt;"",G143=0),"no task id in T; ","")&amp;IF(AND(G143&gt;0,H143=0),"T names no task of yours in this sprint; ",""))="","","@"&amp;A143&amp;" please fix: "&amp;TRIM(IF(AND(N(C143)&gt;0,D143=""),"no Y; ","")&amp;IF(AND(N(C143)&gt;0,E143=""),"no T; ","")&amp;IF(AND(N(C143)&gt;0,F143=""),"no B; ","")&amp;IF(AND(E143&lt;&gt;"",G143=0),"no task id in T; ","")&amp;IF(AND(G143&gt;0,H143=0),"T names no task of yours in this sprint; ","")))))</f>
      </c>
      <c r="M143" s="11">
        <f>IF(N143="","",StandupDate)</f>
      </c>
      <c r="N143" s="17">
        <f>IF(J143&lt;&gt;"",J143,IF(I143="Y",IF(IFERROR(INDEX(Items[ID],MATCH(1,INDEX((Items[ID]&lt;&gt;"")*ISNUMBER(SEARCH(" "&amp;Items[ID]&amp;" "," "&amp;SUBSTITUTE(SUBSTITUTE(SUBSTITUTE(SUBSTITUTE(SUBSTITUTE(SUBSTITUTE(SUBSTITUTE(F143,",","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"&amp;SUBSTITUTE(SUBSTITUTE(SUBSTITUTE(SUBSTITUTE(SUBSTITUTE(SUBSTITUTE(SUBSTITUTE(F143,","," "),"."," "),";"," "),":"," "),"("," "),")"," "),"/"," ")&amp;" ")),0),0)),""),IFERROR(INDEX(Items[ID],MATCH(1,INDEX((Items[ID]&lt;&gt;"")*(Items[Owner]=A143)*ISNUMBER(SEARCH(" "&amp;Items[ID]&amp;" "," "&amp;SUBSTITUTE(SUBSTITUTE(SUBSTITUTE(SUBSTITUTE(SUBSTITUTE(SUBSTITUTE(SUBSTITUTE(E143,","," "),"."," "),";"," "),":"," "),"("," "),")"," "),"/"," ")&amp;" ")),0),0)),"")),""))</f>
      </c>
      <c r="O143" s="17">
        <f>IF(N143="","",IF(J143&lt;&gt;"","done","block"))</f>
      </c>
      <c r="P143" s="17">
        <f>IF(O143="block",F143,"")</f>
      </c>
    </row>
    <row r="144">
      <c r="A144" s="17">
        <f>IFERROR(INDEX(Roster[Name],140)&amp;"","")</f>
      </c>
      <c r="B144" s="17">
        <f>IF(A144="","",INDEX(Roster[Team],140)&amp;"")</f>
      </c>
      <c r="C144" s="17">
        <f>IF(OR(A144="",COUNTA(ChatPaste)=0),"",COUNTIF(ChatSpeaker,A144))</f>
      </c>
      <c r="D144" s="20">
        <f>IF(A144="","",IFERROR(INDEX(ChatText,MATCH(1,INDEX((ChatSpeaker=A144)*(ChatTag="Y"),0),0)),""))</f>
      </c>
      <c r="E144" s="20">
        <f>IF(A144="","",IFERROR(INDEX(ChatText,MATCH(1,INDEX((ChatSpeaker=A144)*(ChatTag="T"),0),0)),""))</f>
      </c>
      <c r="F144" s="20">
        <f>IF(A144="","",IFERROR(INDEX(ChatText,MATCH(1,INDEX((ChatSpeaker=A144)*(ChatTag="B"),0),0)),""))</f>
      </c>
      <c r="G144" s="17">
        <f>IF(E144="",0,SUMPRODUCT((Items[ID]&lt;&gt;"")*ISNUMBER(SEARCH(" "&amp;Items[ID]&amp;" "," "&amp;SUBSTITUTE(SUBSTITUTE(SUBSTITUTE(SUBSTITUTE(SUBSTITUTE(SUBSTITUTE(SUBSTITUTE(E144,","," "),"."," "),";"," "),":"," "),"("," "),")"," "),"/"," ")&amp;" "))))</f>
      </c>
      <c r="H144" s="17">
        <f>IF(E144="",0,SUMPRODUCT((Items[ID]&lt;&gt;"")*(Items[Owner]=A144)*(Items[In sprint]=1)*ISNUMBER(SEARCH(" "&amp;Items[ID]&amp;" "," "&amp;SUBSTITUTE(SUBSTITUTE(SUBSTITUTE(SUBSTITUTE(SUBSTITUTE(SUBSTITUTE(SUBSTITUTE(E144,","," "),"."," "),";"," "),":"," "),"("," "),")"," "),"/"," ")&amp;" "))))</f>
      </c>
      <c r="I144" s="17">
        <f>IF(F144="","",IF(OR(LOWER(TRIM(F144))={"none","no","nothing","n/a","na","-","nope","no blockers","none.","nil"}),"","Y"))</f>
      </c>
      <c r="J144" s="17">
        <f>IF(D144="","",IF(OR(ISNUMBER(SEARCH({"done","finished","completed","closed","merged"},D144))),IFERROR(INDEX(Items[ID],MATCH(1,INDEX((Items[ID]&lt;&gt;"")*(Items[State]&lt;&gt;"DONE")*ISNUMBER(SEARCH(" "&amp;Items[ID]&amp;" "," "&amp;SUBSTITUTE(SUBSTITUTE(SUBSTITUTE(SUBSTITUTE(SUBSTITUTE(SUBSTITUTE(SUBSTITUTE(D144,","," "),"."," "),";"," "),":"," "),"("," "),")"," "),"/"," ")&amp;" ")),0),0)),""),""))</f>
      </c>
      <c r="K144" s="20">
        <f>IF(A144="","",TRIM(IF(C144=0,"silent; ","")&amp;IF(AND(N(C144)&gt;0,D144=""),"no Y; ","")&amp;IF(AND(N(C144)&gt;0,E144=""),"no T; ","")&amp;IF(AND(N(C144)&gt;0,F144=""),"no B; ","")&amp;IF(AND(E144&lt;&gt;"",G144=0),"no task id in T; ","")&amp;IF(AND(G144&gt;0,H144=0),"T names no task of yours in this sprint; ","")&amp;IF(I144="Y","blocker: "&amp;F144&amp;"; ","")))</f>
      </c>
      <c r="L144" s="20">
        <f>IF(A144="","",IF(C144=0,"@"&amp;A144&amp;" please post Y: / T: / B: for today.",IF(TRIM(IF(AND(N(C144)&gt;0,D144=""),"no Y; ","")&amp;IF(AND(N(C144)&gt;0,E144=""),"no T; ","")&amp;IF(AND(N(C144)&gt;0,F144=""),"no B; ","")&amp;IF(AND(E144&lt;&gt;"",G144=0),"no task id in T; ","")&amp;IF(AND(G144&gt;0,H144=0),"T names no task of yours in this sprint; ",""))="","","@"&amp;A144&amp;" please fix: "&amp;TRIM(IF(AND(N(C144)&gt;0,D144=""),"no Y; ","")&amp;IF(AND(N(C144)&gt;0,E144=""),"no T; ","")&amp;IF(AND(N(C144)&gt;0,F144=""),"no B; ","")&amp;IF(AND(E144&lt;&gt;"",G144=0),"no task id in T; ","")&amp;IF(AND(G144&gt;0,H144=0),"T names no task of yours in this sprint; ","")))))</f>
      </c>
      <c r="M144" s="11">
        <f>IF(N144="","",StandupDate)</f>
      </c>
      <c r="N144" s="17">
        <f>IF(J144&lt;&gt;"",J144,IF(I144="Y",IF(IFERROR(INDEX(Items[ID],MATCH(1,INDEX((Items[ID]&lt;&gt;"")*ISNUMBER(SEARCH(" "&amp;Items[ID]&amp;" "," "&amp;SUBSTITUTE(SUBSTITUTE(SUBSTITUTE(SUBSTITUTE(SUBSTITUTE(SUBSTITUTE(SUBSTITUTE(F144,",","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"&amp;SUBSTITUTE(SUBSTITUTE(SUBSTITUTE(SUBSTITUTE(SUBSTITUTE(SUBSTITUTE(SUBSTITUTE(F144,","," "),"."," "),";"," "),":"," "),"("," "),")"," "),"/"," ")&amp;" ")),0),0)),""),IFERROR(INDEX(Items[ID],MATCH(1,INDEX((Items[ID]&lt;&gt;"")*(Items[Owner]=A144)*ISNUMBER(SEARCH(" "&amp;Items[ID]&amp;" "," "&amp;SUBSTITUTE(SUBSTITUTE(SUBSTITUTE(SUBSTITUTE(SUBSTITUTE(SUBSTITUTE(SUBSTITUTE(E144,","," "),"."," "),";"," "),":"," "),"("," "),")"," "),"/"," ")&amp;" ")),0),0)),"")),""))</f>
      </c>
      <c r="O144" s="17">
        <f>IF(N144="","",IF(J144&lt;&gt;"","done","block"))</f>
      </c>
      <c r="P144" s="17">
        <f>IF(O144="block",F144,"")</f>
      </c>
    </row>
    <row r="145">
      <c r="A145" s="17">
        <f>IFERROR(INDEX(Roster[Name],141)&amp;"","")</f>
      </c>
      <c r="B145" s="17">
        <f>IF(A145="","",INDEX(Roster[Team],141)&amp;"")</f>
      </c>
      <c r="C145" s="17">
        <f>IF(OR(A145="",COUNTA(ChatPaste)=0),"",COUNTIF(ChatSpeaker,A145))</f>
      </c>
      <c r="D145" s="20">
        <f>IF(A145="","",IFERROR(INDEX(ChatText,MATCH(1,INDEX((ChatSpeaker=A145)*(ChatTag="Y"),0),0)),""))</f>
      </c>
      <c r="E145" s="20">
        <f>IF(A145="","",IFERROR(INDEX(ChatText,MATCH(1,INDEX((ChatSpeaker=A145)*(ChatTag="T"),0),0)),""))</f>
      </c>
      <c r="F145" s="20">
        <f>IF(A145="","",IFERROR(INDEX(ChatText,MATCH(1,INDEX((ChatSpeaker=A145)*(ChatTag="B"),0),0)),""))</f>
      </c>
      <c r="G145" s="17">
        <f>IF(E145="",0,SUMPRODUCT((Items[ID]&lt;&gt;"")*ISNUMBER(SEARCH(" "&amp;Items[ID]&amp;" "," "&amp;SUBSTITUTE(SUBSTITUTE(SUBSTITUTE(SUBSTITUTE(SUBSTITUTE(SUBSTITUTE(SUBSTITUTE(E145,","," "),"."," "),";"," "),":"," "),"("," "),")"," "),"/"," ")&amp;" "))))</f>
      </c>
      <c r="H145" s="17">
        <f>IF(E145="",0,SUMPRODUCT((Items[ID]&lt;&gt;"")*(Items[Owner]=A145)*(Items[In sprint]=1)*ISNUMBER(SEARCH(" "&amp;Items[ID]&amp;" "," "&amp;SUBSTITUTE(SUBSTITUTE(SUBSTITUTE(SUBSTITUTE(SUBSTITUTE(SUBSTITUTE(SUBSTITUTE(E145,","," "),"."," "),";"," "),":"," "),"("," "),")"," "),"/"," ")&amp;" "))))</f>
      </c>
      <c r="I145" s="17">
        <f>IF(F145="","",IF(OR(LOWER(TRIM(F145))={"none","no","nothing","n/a","na","-","nope","no blockers","none.","nil"}),"","Y"))</f>
      </c>
      <c r="J145" s="17">
        <f>IF(D145="","",IF(OR(ISNUMBER(SEARCH({"done","finished","completed","closed","merged"},D145))),IFERROR(INDEX(Items[ID],MATCH(1,INDEX((Items[ID]&lt;&gt;"")*(Items[State]&lt;&gt;"DONE")*ISNUMBER(SEARCH(" "&amp;Items[ID]&amp;" "," "&amp;SUBSTITUTE(SUBSTITUTE(SUBSTITUTE(SUBSTITUTE(SUBSTITUTE(SUBSTITUTE(SUBSTITUTE(D145,","," "),"."," "),";"," "),":"," "),"("," "),")"," "),"/"," ")&amp;" ")),0),0)),""),""))</f>
      </c>
      <c r="K145" s="20">
        <f>IF(A145="","",TRIM(IF(C145=0,"silent; ","")&amp;IF(AND(N(C145)&gt;0,D145=""),"no Y; ","")&amp;IF(AND(N(C145)&gt;0,E145=""),"no T; ","")&amp;IF(AND(N(C145)&gt;0,F145=""),"no B; ","")&amp;IF(AND(E145&lt;&gt;"",G145=0),"no task id in T; ","")&amp;IF(AND(G145&gt;0,H145=0),"T names no task of yours in this sprint; ","")&amp;IF(I145="Y","blocker: "&amp;F145&amp;"; ","")))</f>
      </c>
      <c r="L145" s="20">
        <f>IF(A145="","",IF(C145=0,"@"&amp;A145&amp;" please post Y: / T: / B: for today.",IF(TRIM(IF(AND(N(C145)&gt;0,D145=""),"no Y; ","")&amp;IF(AND(N(C145)&gt;0,E145=""),"no T; ","")&amp;IF(AND(N(C145)&gt;0,F145=""),"no B; ","")&amp;IF(AND(E145&lt;&gt;"",G145=0),"no task id in T; ","")&amp;IF(AND(G145&gt;0,H145=0),"T names no task of yours in this sprint; ",""))="","","@"&amp;A145&amp;" please fix: "&amp;TRIM(IF(AND(N(C145)&gt;0,D145=""),"no Y; ","")&amp;IF(AND(N(C145)&gt;0,E145=""),"no T; ","")&amp;IF(AND(N(C145)&gt;0,F145=""),"no B; ","")&amp;IF(AND(E145&lt;&gt;"",G145=0),"no task id in T; ","")&amp;IF(AND(G145&gt;0,H145=0),"T names no task of yours in this sprint; ","")))))</f>
      </c>
      <c r="M145" s="11">
        <f>IF(N145="","",StandupDate)</f>
      </c>
      <c r="N145" s="17">
        <f>IF(J145&lt;&gt;"",J145,IF(I145="Y",IF(IFERROR(INDEX(Items[ID],MATCH(1,INDEX((Items[ID]&lt;&gt;"")*ISNUMBER(SEARCH(" "&amp;Items[ID]&amp;" "," "&amp;SUBSTITUTE(SUBSTITUTE(SUBSTITUTE(SUBSTITUTE(SUBSTITUTE(SUBSTITUTE(SUBSTITUTE(F145,",","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"&amp;SUBSTITUTE(SUBSTITUTE(SUBSTITUTE(SUBSTITUTE(SUBSTITUTE(SUBSTITUTE(SUBSTITUTE(F145,","," "),"."," "),";"," "),":"," "),"("," "),")"," "),"/"," ")&amp;" ")),0),0)),""),IFERROR(INDEX(Items[ID],MATCH(1,INDEX((Items[ID]&lt;&gt;"")*(Items[Owner]=A145)*ISNUMBER(SEARCH(" "&amp;Items[ID]&amp;" "," "&amp;SUBSTITUTE(SUBSTITUTE(SUBSTITUTE(SUBSTITUTE(SUBSTITUTE(SUBSTITUTE(SUBSTITUTE(E145,","," "),"."," "),";"," "),":"," "),"("," "),")"," "),"/"," ")&amp;" ")),0),0)),"")),""))</f>
      </c>
      <c r="O145" s="17">
        <f>IF(N145="","",IF(J145&lt;&gt;"","done","block"))</f>
      </c>
      <c r="P145" s="17">
        <f>IF(O145="block",F145,"")</f>
      </c>
    </row>
    <row r="146">
      <c r="A146" s="17">
        <f>IFERROR(INDEX(Roster[Name],142)&amp;"","")</f>
      </c>
      <c r="B146" s="17">
        <f>IF(A146="","",INDEX(Roster[Team],142)&amp;"")</f>
      </c>
      <c r="C146" s="17">
        <f>IF(OR(A146="",COUNTA(ChatPaste)=0),"",COUNTIF(ChatSpeaker,A146))</f>
      </c>
      <c r="D146" s="20">
        <f>IF(A146="","",IFERROR(INDEX(ChatText,MATCH(1,INDEX((ChatSpeaker=A146)*(ChatTag="Y"),0),0)),""))</f>
      </c>
      <c r="E146" s="20">
        <f>IF(A146="","",IFERROR(INDEX(ChatText,MATCH(1,INDEX((ChatSpeaker=A146)*(ChatTag="T"),0),0)),""))</f>
      </c>
      <c r="F146" s="20">
        <f>IF(A146="","",IFERROR(INDEX(ChatText,MATCH(1,INDEX((ChatSpeaker=A146)*(ChatTag="B"),0),0)),""))</f>
      </c>
      <c r="G146" s="17">
        <f>IF(E146="",0,SUMPRODUCT((Items[ID]&lt;&gt;"")*ISNUMBER(SEARCH(" "&amp;Items[ID]&amp;" "," "&amp;SUBSTITUTE(SUBSTITUTE(SUBSTITUTE(SUBSTITUTE(SUBSTITUTE(SUBSTITUTE(SUBSTITUTE(E146,","," "),"."," "),";"," "),":"," "),"("," "),")"," "),"/"," ")&amp;" "))))</f>
      </c>
      <c r="H146" s="17">
        <f>IF(E146="",0,SUMPRODUCT((Items[ID]&lt;&gt;"")*(Items[Owner]=A146)*(Items[In sprint]=1)*ISNUMBER(SEARCH(" "&amp;Items[ID]&amp;" "," "&amp;SUBSTITUTE(SUBSTITUTE(SUBSTITUTE(SUBSTITUTE(SUBSTITUTE(SUBSTITUTE(SUBSTITUTE(E146,","," "),"."," "),";"," "),":"," "),"("," "),")"," "),"/"," ")&amp;" "))))</f>
      </c>
      <c r="I146" s="17">
        <f>IF(F146="","",IF(OR(LOWER(TRIM(F146))={"none","no","nothing","n/a","na","-","nope","no blockers","none.","nil"}),"","Y"))</f>
      </c>
      <c r="J146" s="17">
        <f>IF(D146="","",IF(OR(ISNUMBER(SEARCH({"done","finished","completed","closed","merged"},D146))),IFERROR(INDEX(Items[ID],MATCH(1,INDEX((Items[ID]&lt;&gt;"")*(Items[State]&lt;&gt;"DONE")*ISNUMBER(SEARCH(" "&amp;Items[ID]&amp;" "," "&amp;SUBSTITUTE(SUBSTITUTE(SUBSTITUTE(SUBSTITUTE(SUBSTITUTE(SUBSTITUTE(SUBSTITUTE(D146,","," "),"."," "),";"," "),":"," "),"("," "),")"," "),"/"," ")&amp;" ")),0),0)),""),""))</f>
      </c>
      <c r="K146" s="20">
        <f>IF(A146="","",TRIM(IF(C146=0,"silent; ","")&amp;IF(AND(N(C146)&gt;0,D146=""),"no Y; ","")&amp;IF(AND(N(C146)&gt;0,E146=""),"no T; ","")&amp;IF(AND(N(C146)&gt;0,F146=""),"no B; ","")&amp;IF(AND(E146&lt;&gt;"",G146=0),"no task id in T; ","")&amp;IF(AND(G146&gt;0,H146=0),"T names no task of yours in this sprint; ","")&amp;IF(I146="Y","blocker: "&amp;F146&amp;"; ","")))</f>
      </c>
      <c r="L146" s="20">
        <f>IF(A146="","",IF(C146=0,"@"&amp;A146&amp;" please post Y: / T: / B: for today.",IF(TRIM(IF(AND(N(C146)&gt;0,D146=""),"no Y; ","")&amp;IF(AND(N(C146)&gt;0,E146=""),"no T; ","")&amp;IF(AND(N(C146)&gt;0,F146=""),"no B; ","")&amp;IF(AND(E146&lt;&gt;"",G146=0),"no task id in T; ","")&amp;IF(AND(G146&gt;0,H146=0),"T names no task of yours in this sprint; ",""))="","","@"&amp;A146&amp;" please fix: "&amp;TRIM(IF(AND(N(C146)&gt;0,D146=""),"no Y; ","")&amp;IF(AND(N(C146)&gt;0,E146=""),"no T; ","")&amp;IF(AND(N(C146)&gt;0,F146=""),"no B; ","")&amp;IF(AND(E146&lt;&gt;"",G146=0),"no task id in T; ","")&amp;IF(AND(G146&gt;0,H146=0),"T names no task of yours in this sprint; ","")))))</f>
      </c>
      <c r="M146" s="11">
        <f>IF(N146="","",StandupDate)</f>
      </c>
      <c r="N146" s="17">
        <f>IF(J146&lt;&gt;"",J146,IF(I146="Y",IF(IFERROR(INDEX(Items[ID],MATCH(1,INDEX((Items[ID]&lt;&gt;"")*ISNUMBER(SEARCH(" "&amp;Items[ID]&amp;" "," "&amp;SUBSTITUTE(SUBSTITUTE(SUBSTITUTE(SUBSTITUTE(SUBSTITUTE(SUBSTITUTE(SUBSTITUTE(F146,",","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"&amp;SUBSTITUTE(SUBSTITUTE(SUBSTITUTE(SUBSTITUTE(SUBSTITUTE(SUBSTITUTE(SUBSTITUTE(F146,","," "),"."," "),";"," "),":"," "),"("," "),")"," "),"/"," ")&amp;" ")),0),0)),""),IFERROR(INDEX(Items[ID],MATCH(1,INDEX((Items[ID]&lt;&gt;"")*(Items[Owner]=A146)*ISNUMBER(SEARCH(" "&amp;Items[ID]&amp;" "," "&amp;SUBSTITUTE(SUBSTITUTE(SUBSTITUTE(SUBSTITUTE(SUBSTITUTE(SUBSTITUTE(SUBSTITUTE(E146,","," "),"."," "),";"," "),":"," "),"("," "),")"," "),"/"," ")&amp;" ")),0),0)),"")),""))</f>
      </c>
      <c r="O146" s="17">
        <f>IF(N146="","",IF(J146&lt;&gt;"","done","block"))</f>
      </c>
      <c r="P146" s="17">
        <f>IF(O146="block",F146,"")</f>
      </c>
    </row>
    <row r="147">
      <c r="A147" s="17">
        <f>IFERROR(INDEX(Roster[Name],143)&amp;"","")</f>
      </c>
      <c r="B147" s="17">
        <f>IF(A147="","",INDEX(Roster[Team],143)&amp;"")</f>
      </c>
      <c r="C147" s="17">
        <f>IF(OR(A147="",COUNTA(ChatPaste)=0),"",COUNTIF(ChatSpeaker,A147))</f>
      </c>
      <c r="D147" s="20">
        <f>IF(A147="","",IFERROR(INDEX(ChatText,MATCH(1,INDEX((ChatSpeaker=A147)*(ChatTag="Y"),0),0)),""))</f>
      </c>
      <c r="E147" s="20">
        <f>IF(A147="","",IFERROR(INDEX(ChatText,MATCH(1,INDEX((ChatSpeaker=A147)*(ChatTag="T"),0),0)),""))</f>
      </c>
      <c r="F147" s="20">
        <f>IF(A147="","",IFERROR(INDEX(ChatText,MATCH(1,INDEX((ChatSpeaker=A147)*(ChatTag="B"),0),0)),""))</f>
      </c>
      <c r="G147" s="17">
        <f>IF(E147="",0,SUMPRODUCT((Items[ID]&lt;&gt;"")*ISNUMBER(SEARCH(" "&amp;Items[ID]&amp;" "," "&amp;SUBSTITUTE(SUBSTITUTE(SUBSTITUTE(SUBSTITUTE(SUBSTITUTE(SUBSTITUTE(SUBSTITUTE(E147,","," "),"."," "),";"," "),":"," "),"("," "),")"," "),"/"," ")&amp;" "))))</f>
      </c>
      <c r="H147" s="17">
        <f>IF(E147="",0,SUMPRODUCT((Items[ID]&lt;&gt;"")*(Items[Owner]=A147)*(Items[In sprint]=1)*ISNUMBER(SEARCH(" "&amp;Items[ID]&amp;" "," "&amp;SUBSTITUTE(SUBSTITUTE(SUBSTITUTE(SUBSTITUTE(SUBSTITUTE(SUBSTITUTE(SUBSTITUTE(E147,","," "),"."," "),";"," "),":"," "),"("," "),")"," "),"/"," ")&amp;" "))))</f>
      </c>
      <c r="I147" s="17">
        <f>IF(F147="","",IF(OR(LOWER(TRIM(F147))={"none","no","nothing","n/a","na","-","nope","no blockers","none.","nil"}),"","Y"))</f>
      </c>
      <c r="J147" s="17">
        <f>IF(D147="","",IF(OR(ISNUMBER(SEARCH({"done","finished","completed","closed","merged"},D147))),IFERROR(INDEX(Items[ID],MATCH(1,INDEX((Items[ID]&lt;&gt;"")*(Items[State]&lt;&gt;"DONE")*ISNUMBER(SEARCH(" "&amp;Items[ID]&amp;" "," "&amp;SUBSTITUTE(SUBSTITUTE(SUBSTITUTE(SUBSTITUTE(SUBSTITUTE(SUBSTITUTE(SUBSTITUTE(D147,","," "),"."," "),";"," "),":"," "),"("," "),")"," "),"/"," ")&amp;" ")),0),0)),""),""))</f>
      </c>
      <c r="K147" s="20">
        <f>IF(A147="","",TRIM(IF(C147=0,"silent; ","")&amp;IF(AND(N(C147)&gt;0,D147=""),"no Y; ","")&amp;IF(AND(N(C147)&gt;0,E147=""),"no T; ","")&amp;IF(AND(N(C147)&gt;0,F147=""),"no B; ","")&amp;IF(AND(E147&lt;&gt;"",G147=0),"no task id in T; ","")&amp;IF(AND(G147&gt;0,H147=0),"T names no task of yours in this sprint; ","")&amp;IF(I147="Y","blocker: "&amp;F147&amp;"; ","")))</f>
      </c>
      <c r="L147" s="20">
        <f>IF(A147="","",IF(C147=0,"@"&amp;A147&amp;" please post Y: / T: / B: for today.",IF(TRIM(IF(AND(N(C147)&gt;0,D147=""),"no Y; ","")&amp;IF(AND(N(C147)&gt;0,E147=""),"no T; ","")&amp;IF(AND(N(C147)&gt;0,F147=""),"no B; ","")&amp;IF(AND(E147&lt;&gt;"",G147=0),"no task id in T; ","")&amp;IF(AND(G147&gt;0,H147=0),"T names no task of yours in this sprint; ",""))="","","@"&amp;A147&amp;" please fix: "&amp;TRIM(IF(AND(N(C147)&gt;0,D147=""),"no Y; ","")&amp;IF(AND(N(C147)&gt;0,E147=""),"no T; ","")&amp;IF(AND(N(C147)&gt;0,F147=""),"no B; ","")&amp;IF(AND(E147&lt;&gt;"",G147=0),"no task id in T; ","")&amp;IF(AND(G147&gt;0,H147=0),"T names no task of yours in this sprint; ","")))))</f>
      </c>
      <c r="M147" s="11">
        <f>IF(N147="","",StandupDate)</f>
      </c>
      <c r="N147" s="17">
        <f>IF(J147&lt;&gt;"",J147,IF(I147="Y",IF(IFERROR(INDEX(Items[ID],MATCH(1,INDEX((Items[ID]&lt;&gt;"")*ISNUMBER(SEARCH(" "&amp;Items[ID]&amp;" "," "&amp;SUBSTITUTE(SUBSTITUTE(SUBSTITUTE(SUBSTITUTE(SUBSTITUTE(SUBSTITUTE(SUBSTITUTE(F147,",","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"&amp;SUBSTITUTE(SUBSTITUTE(SUBSTITUTE(SUBSTITUTE(SUBSTITUTE(SUBSTITUTE(SUBSTITUTE(F147,","," "),"."," "),";"," "),":"," "),"("," "),")"," "),"/"," ")&amp;" ")),0),0)),""),IFERROR(INDEX(Items[ID],MATCH(1,INDEX((Items[ID]&lt;&gt;"")*(Items[Owner]=A147)*ISNUMBER(SEARCH(" "&amp;Items[ID]&amp;" "," "&amp;SUBSTITUTE(SUBSTITUTE(SUBSTITUTE(SUBSTITUTE(SUBSTITUTE(SUBSTITUTE(SUBSTITUTE(E147,","," "),"."," "),";"," "),":"," "),"("," "),")"," "),"/"," ")&amp;" ")),0),0)),"")),""))</f>
      </c>
      <c r="O147" s="17">
        <f>IF(N147="","",IF(J147&lt;&gt;"","done","block"))</f>
      </c>
      <c r="P147" s="17">
        <f>IF(O147="block",F147,"")</f>
      </c>
    </row>
    <row r="148">
      <c r="A148" s="17">
        <f>IFERROR(INDEX(Roster[Name],144)&amp;"","")</f>
      </c>
      <c r="B148" s="17">
        <f>IF(A148="","",INDEX(Roster[Team],144)&amp;"")</f>
      </c>
      <c r="C148" s="17">
        <f>IF(OR(A148="",COUNTA(ChatPaste)=0),"",COUNTIF(ChatSpeaker,A148))</f>
      </c>
      <c r="D148" s="20">
        <f>IF(A148="","",IFERROR(INDEX(ChatText,MATCH(1,INDEX((ChatSpeaker=A148)*(ChatTag="Y"),0),0)),""))</f>
      </c>
      <c r="E148" s="20">
        <f>IF(A148="","",IFERROR(INDEX(ChatText,MATCH(1,INDEX((ChatSpeaker=A148)*(ChatTag="T"),0),0)),""))</f>
      </c>
      <c r="F148" s="20">
        <f>IF(A148="","",IFERROR(INDEX(ChatText,MATCH(1,INDEX((ChatSpeaker=A148)*(ChatTag="B"),0),0)),""))</f>
      </c>
      <c r="G148" s="17">
        <f>IF(E148="",0,SUMPRODUCT((Items[ID]&lt;&gt;"")*ISNUMBER(SEARCH(" "&amp;Items[ID]&amp;" "," "&amp;SUBSTITUTE(SUBSTITUTE(SUBSTITUTE(SUBSTITUTE(SUBSTITUTE(SUBSTITUTE(SUBSTITUTE(E148,","," "),"."," "),";"," "),":"," "),"("," "),")"," "),"/"," ")&amp;" "))))</f>
      </c>
      <c r="H148" s="17">
        <f>IF(E148="",0,SUMPRODUCT((Items[ID]&lt;&gt;"")*(Items[Owner]=A148)*(Items[In sprint]=1)*ISNUMBER(SEARCH(" "&amp;Items[ID]&amp;" "," "&amp;SUBSTITUTE(SUBSTITUTE(SUBSTITUTE(SUBSTITUTE(SUBSTITUTE(SUBSTITUTE(SUBSTITUTE(E148,","," "),"."," "),";"," "),":"," "),"("," "),")"," "),"/"," ")&amp;" "))))</f>
      </c>
      <c r="I148" s="17">
        <f>IF(F148="","",IF(OR(LOWER(TRIM(F148))={"none","no","nothing","n/a","na","-","nope","no blockers","none.","nil"}),"","Y"))</f>
      </c>
      <c r="J148" s="17">
        <f>IF(D148="","",IF(OR(ISNUMBER(SEARCH({"done","finished","completed","closed","merged"},D148))),IFERROR(INDEX(Items[ID],MATCH(1,INDEX((Items[ID]&lt;&gt;"")*(Items[State]&lt;&gt;"DONE")*ISNUMBER(SEARCH(" "&amp;Items[ID]&amp;" "," "&amp;SUBSTITUTE(SUBSTITUTE(SUBSTITUTE(SUBSTITUTE(SUBSTITUTE(SUBSTITUTE(SUBSTITUTE(D148,","," "),"."," "),";"," "),":"," "),"("," "),")"," "),"/"," ")&amp;" ")),0),0)),""),""))</f>
      </c>
      <c r="K148" s="20">
        <f>IF(A148="","",TRIM(IF(C148=0,"silent; ","")&amp;IF(AND(N(C148)&gt;0,D148=""),"no Y; ","")&amp;IF(AND(N(C148)&gt;0,E148=""),"no T; ","")&amp;IF(AND(N(C148)&gt;0,F148=""),"no B; ","")&amp;IF(AND(E148&lt;&gt;"",G148=0),"no task id in T; ","")&amp;IF(AND(G148&gt;0,H148=0),"T names no task of yours in this sprint; ","")&amp;IF(I148="Y","blocker: "&amp;F148&amp;"; ","")))</f>
      </c>
      <c r="L148" s="20">
        <f>IF(A148="","",IF(C148=0,"@"&amp;A148&amp;" please post Y: / T: / B: for today.",IF(TRIM(IF(AND(N(C148)&gt;0,D148=""),"no Y; ","")&amp;IF(AND(N(C148)&gt;0,E148=""),"no T; ","")&amp;IF(AND(N(C148)&gt;0,F148=""),"no B; ","")&amp;IF(AND(E148&lt;&gt;"",G148=0),"no task id in T; ","")&amp;IF(AND(G148&gt;0,H148=0),"T names no task of yours in this sprint; ",""))="","","@"&amp;A148&amp;" please fix: "&amp;TRIM(IF(AND(N(C148)&gt;0,D148=""),"no Y; ","")&amp;IF(AND(N(C148)&gt;0,E148=""),"no T; ","")&amp;IF(AND(N(C148)&gt;0,F148=""),"no B; ","")&amp;IF(AND(E148&lt;&gt;"",G148=0),"no task id in T; ","")&amp;IF(AND(G148&gt;0,H148=0),"T names no task of yours in this sprint; ","")))))</f>
      </c>
      <c r="M148" s="11">
        <f>IF(N148="","",StandupDate)</f>
      </c>
      <c r="N148" s="17">
        <f>IF(J148&lt;&gt;"",J148,IF(I148="Y",IF(IFERROR(INDEX(Items[ID],MATCH(1,INDEX((Items[ID]&lt;&gt;"")*ISNUMBER(SEARCH(" "&amp;Items[ID]&amp;" "," "&amp;SUBSTITUTE(SUBSTITUTE(SUBSTITUTE(SUBSTITUTE(SUBSTITUTE(SUBSTITUTE(SUBSTITUTE(F148,",","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"&amp;SUBSTITUTE(SUBSTITUTE(SUBSTITUTE(SUBSTITUTE(SUBSTITUTE(SUBSTITUTE(SUBSTITUTE(F148,","," "),"."," "),";"," "),":"," "),"("," "),")"," "),"/"," ")&amp;" ")),0),0)),""),IFERROR(INDEX(Items[ID],MATCH(1,INDEX((Items[ID]&lt;&gt;"")*(Items[Owner]=A148)*ISNUMBER(SEARCH(" "&amp;Items[ID]&amp;" "," "&amp;SUBSTITUTE(SUBSTITUTE(SUBSTITUTE(SUBSTITUTE(SUBSTITUTE(SUBSTITUTE(SUBSTITUTE(E148,","," "),"."," "),";"," "),":"," "),"("," "),")"," "),"/"," ")&amp;" ")),0),0)),"")),""))</f>
      </c>
      <c r="O148" s="17">
        <f>IF(N148="","",IF(J148&lt;&gt;"","done","block"))</f>
      </c>
      <c r="P148" s="17">
        <f>IF(O148="block",F148,"")</f>
      </c>
    </row>
    <row r="149">
      <c r="A149" s="17">
        <f>IFERROR(INDEX(Roster[Name],145)&amp;"","")</f>
      </c>
      <c r="B149" s="17">
        <f>IF(A149="","",INDEX(Roster[Team],145)&amp;"")</f>
      </c>
      <c r="C149" s="17">
        <f>IF(OR(A149="",COUNTA(ChatPaste)=0),"",COUNTIF(ChatSpeaker,A149))</f>
      </c>
      <c r="D149" s="20">
        <f>IF(A149="","",IFERROR(INDEX(ChatText,MATCH(1,INDEX((ChatSpeaker=A149)*(ChatTag="Y"),0),0)),""))</f>
      </c>
      <c r="E149" s="20">
        <f>IF(A149="","",IFERROR(INDEX(ChatText,MATCH(1,INDEX((ChatSpeaker=A149)*(ChatTag="T"),0),0)),""))</f>
      </c>
      <c r="F149" s="20">
        <f>IF(A149="","",IFERROR(INDEX(ChatText,MATCH(1,INDEX((ChatSpeaker=A149)*(ChatTag="B"),0),0)),""))</f>
      </c>
      <c r="G149" s="17">
        <f>IF(E149="",0,SUMPRODUCT((Items[ID]&lt;&gt;"")*ISNUMBER(SEARCH(" "&amp;Items[ID]&amp;" "," "&amp;SUBSTITUTE(SUBSTITUTE(SUBSTITUTE(SUBSTITUTE(SUBSTITUTE(SUBSTITUTE(SUBSTITUTE(E149,","," "),"."," "),";"," "),":"," "),"("," "),")"," "),"/"," ")&amp;" "))))</f>
      </c>
      <c r="H149" s="17">
        <f>IF(E149="",0,SUMPRODUCT((Items[ID]&lt;&gt;"")*(Items[Owner]=A149)*(Items[In sprint]=1)*ISNUMBER(SEARCH(" "&amp;Items[ID]&amp;" "," "&amp;SUBSTITUTE(SUBSTITUTE(SUBSTITUTE(SUBSTITUTE(SUBSTITUTE(SUBSTITUTE(SUBSTITUTE(E149,","," "),"."," "),";"," "),":"," "),"("," "),")"," "),"/"," ")&amp;" "))))</f>
      </c>
      <c r="I149" s="17">
        <f>IF(F149="","",IF(OR(LOWER(TRIM(F149))={"none","no","nothing","n/a","na","-","nope","no blockers","none.","nil"}),"","Y"))</f>
      </c>
      <c r="J149" s="17">
        <f>IF(D149="","",IF(OR(ISNUMBER(SEARCH({"done","finished","completed","closed","merged"},D149))),IFERROR(INDEX(Items[ID],MATCH(1,INDEX((Items[ID]&lt;&gt;"")*(Items[State]&lt;&gt;"DONE")*ISNUMBER(SEARCH(" "&amp;Items[ID]&amp;" "," "&amp;SUBSTITUTE(SUBSTITUTE(SUBSTITUTE(SUBSTITUTE(SUBSTITUTE(SUBSTITUTE(SUBSTITUTE(D149,","," "),"."," "),";"," "),":"," "),"("," "),")"," "),"/"," ")&amp;" ")),0),0)),""),""))</f>
      </c>
      <c r="K149" s="20">
        <f>IF(A149="","",TRIM(IF(C149=0,"silent; ","")&amp;IF(AND(N(C149)&gt;0,D149=""),"no Y; ","")&amp;IF(AND(N(C149)&gt;0,E149=""),"no T; ","")&amp;IF(AND(N(C149)&gt;0,F149=""),"no B; ","")&amp;IF(AND(E149&lt;&gt;"",G149=0),"no task id in T; ","")&amp;IF(AND(G149&gt;0,H149=0),"T names no task of yours in this sprint; ","")&amp;IF(I149="Y","blocker: "&amp;F149&amp;"; ","")))</f>
      </c>
      <c r="L149" s="20">
        <f>IF(A149="","",IF(C149=0,"@"&amp;A149&amp;" please post Y: / T: / B: for today.",IF(TRIM(IF(AND(N(C149)&gt;0,D149=""),"no Y; ","")&amp;IF(AND(N(C149)&gt;0,E149=""),"no T; ","")&amp;IF(AND(N(C149)&gt;0,F149=""),"no B; ","")&amp;IF(AND(E149&lt;&gt;"",G149=0),"no task id in T; ","")&amp;IF(AND(G149&gt;0,H149=0),"T names no task of yours in this sprint; ",""))="","","@"&amp;A149&amp;" please fix: "&amp;TRIM(IF(AND(N(C149)&gt;0,D149=""),"no Y; ","")&amp;IF(AND(N(C149)&gt;0,E149=""),"no T; ","")&amp;IF(AND(N(C149)&gt;0,F149=""),"no B; ","")&amp;IF(AND(E149&lt;&gt;"",G149=0),"no task id in T; ","")&amp;IF(AND(G149&gt;0,H149=0),"T names no task of yours in this sprint; ","")))))</f>
      </c>
      <c r="M149" s="11">
        <f>IF(N149="","",StandupDate)</f>
      </c>
      <c r="N149" s="17">
        <f>IF(J149&lt;&gt;"",J149,IF(I149="Y",IF(IFERROR(INDEX(Items[ID],MATCH(1,INDEX((Items[ID]&lt;&gt;"")*ISNUMBER(SEARCH(" "&amp;Items[ID]&amp;" "," "&amp;SUBSTITUTE(SUBSTITUTE(SUBSTITUTE(SUBSTITUTE(SUBSTITUTE(SUBSTITUTE(SUBSTITUTE(F149,",","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"&amp;SUBSTITUTE(SUBSTITUTE(SUBSTITUTE(SUBSTITUTE(SUBSTITUTE(SUBSTITUTE(SUBSTITUTE(F149,","," "),"."," "),";"," "),":"," "),"("," "),")"," "),"/"," ")&amp;" ")),0),0)),""),IFERROR(INDEX(Items[ID],MATCH(1,INDEX((Items[ID]&lt;&gt;"")*(Items[Owner]=A149)*ISNUMBER(SEARCH(" "&amp;Items[ID]&amp;" "," "&amp;SUBSTITUTE(SUBSTITUTE(SUBSTITUTE(SUBSTITUTE(SUBSTITUTE(SUBSTITUTE(SUBSTITUTE(E149,","," "),"."," "),";"," "),":"," "),"("," "),")"," "),"/"," ")&amp;" ")),0),0)),"")),""))</f>
      </c>
      <c r="O149" s="17">
        <f>IF(N149="","",IF(J149&lt;&gt;"","done","block"))</f>
      </c>
      <c r="P149" s="17">
        <f>IF(O149="block",F149,"")</f>
      </c>
    </row>
    <row r="150">
      <c r="A150" s="17">
        <f>IFERROR(INDEX(Roster[Name],146)&amp;"","")</f>
      </c>
      <c r="B150" s="17">
        <f>IF(A150="","",INDEX(Roster[Team],146)&amp;"")</f>
      </c>
      <c r="C150" s="17">
        <f>IF(OR(A150="",COUNTA(ChatPaste)=0),"",COUNTIF(ChatSpeaker,A150))</f>
      </c>
      <c r="D150" s="20">
        <f>IF(A150="","",IFERROR(INDEX(ChatText,MATCH(1,INDEX((ChatSpeaker=A150)*(ChatTag="Y"),0),0)),""))</f>
      </c>
      <c r="E150" s="20">
        <f>IF(A150="","",IFERROR(INDEX(ChatText,MATCH(1,INDEX((ChatSpeaker=A150)*(ChatTag="T"),0),0)),""))</f>
      </c>
      <c r="F150" s="20">
        <f>IF(A150="","",IFERROR(INDEX(ChatText,MATCH(1,INDEX((ChatSpeaker=A150)*(ChatTag="B"),0),0)),""))</f>
      </c>
      <c r="G150" s="17">
        <f>IF(E150="",0,SUMPRODUCT((Items[ID]&lt;&gt;"")*ISNUMBER(SEARCH(" "&amp;Items[ID]&amp;" "," "&amp;SUBSTITUTE(SUBSTITUTE(SUBSTITUTE(SUBSTITUTE(SUBSTITUTE(SUBSTITUTE(SUBSTITUTE(E150,","," "),"."," "),";"," "),":"," "),"("," "),")"," "),"/"," ")&amp;" "))))</f>
      </c>
      <c r="H150" s="17">
        <f>IF(E150="",0,SUMPRODUCT((Items[ID]&lt;&gt;"")*(Items[Owner]=A150)*(Items[In sprint]=1)*ISNUMBER(SEARCH(" "&amp;Items[ID]&amp;" "," "&amp;SUBSTITUTE(SUBSTITUTE(SUBSTITUTE(SUBSTITUTE(SUBSTITUTE(SUBSTITUTE(SUBSTITUTE(E150,","," "),"."," "),";"," "),":"," "),"("," "),")"," "),"/"," ")&amp;" "))))</f>
      </c>
      <c r="I150" s="17">
        <f>IF(F150="","",IF(OR(LOWER(TRIM(F150))={"none","no","nothing","n/a","na","-","nope","no blockers","none.","nil"}),"","Y"))</f>
      </c>
      <c r="J150" s="17">
        <f>IF(D150="","",IF(OR(ISNUMBER(SEARCH({"done","finished","completed","closed","merged"},D150))),IFERROR(INDEX(Items[ID],MATCH(1,INDEX((Items[ID]&lt;&gt;"")*(Items[State]&lt;&gt;"DONE")*ISNUMBER(SEARCH(" "&amp;Items[ID]&amp;" "," "&amp;SUBSTITUTE(SUBSTITUTE(SUBSTITUTE(SUBSTITUTE(SUBSTITUTE(SUBSTITUTE(SUBSTITUTE(D150,","," "),"."," "),";"," "),":"," "),"("," "),")"," "),"/"," ")&amp;" ")),0),0)),""),""))</f>
      </c>
      <c r="K150" s="20">
        <f>IF(A150="","",TRIM(IF(C150=0,"silent; ","")&amp;IF(AND(N(C150)&gt;0,D150=""),"no Y; ","")&amp;IF(AND(N(C150)&gt;0,E150=""),"no T; ","")&amp;IF(AND(N(C150)&gt;0,F150=""),"no B; ","")&amp;IF(AND(E150&lt;&gt;"",G150=0),"no task id in T; ","")&amp;IF(AND(G150&gt;0,H150=0),"T names no task of yours in this sprint; ","")&amp;IF(I150="Y","blocker: "&amp;F150&amp;"; ","")))</f>
      </c>
      <c r="L150" s="20">
        <f>IF(A150="","",IF(C150=0,"@"&amp;A150&amp;" please post Y: / T: / B: for today.",IF(TRIM(IF(AND(N(C150)&gt;0,D150=""),"no Y; ","")&amp;IF(AND(N(C150)&gt;0,E150=""),"no T; ","")&amp;IF(AND(N(C150)&gt;0,F150=""),"no B; ","")&amp;IF(AND(E150&lt;&gt;"",G150=0),"no task id in T; ","")&amp;IF(AND(G150&gt;0,H150=0),"T names no task of yours in this sprint; ",""))="","","@"&amp;A150&amp;" please fix: "&amp;TRIM(IF(AND(N(C150)&gt;0,D150=""),"no Y; ","")&amp;IF(AND(N(C150)&gt;0,E150=""),"no T; ","")&amp;IF(AND(N(C150)&gt;0,F150=""),"no B; ","")&amp;IF(AND(E150&lt;&gt;"",G150=0),"no task id in T; ","")&amp;IF(AND(G150&gt;0,H150=0),"T names no task of yours in this sprint; ","")))))</f>
      </c>
      <c r="M150" s="11">
        <f>IF(N150="","",StandupDate)</f>
      </c>
      <c r="N150" s="17">
        <f>IF(J150&lt;&gt;"",J150,IF(I150="Y",IF(IFERROR(INDEX(Items[ID],MATCH(1,INDEX((Items[ID]&lt;&gt;"")*ISNUMBER(SEARCH(" "&amp;Items[ID]&amp;" "," "&amp;SUBSTITUTE(SUBSTITUTE(SUBSTITUTE(SUBSTITUTE(SUBSTITUTE(SUBSTITUTE(SUBSTITUTE(F150,",","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"&amp;SUBSTITUTE(SUBSTITUTE(SUBSTITUTE(SUBSTITUTE(SUBSTITUTE(SUBSTITUTE(SUBSTITUTE(F150,","," "),"."," "),";"," "),":"," "),"("," "),")"," "),"/"," ")&amp;" ")),0),0)),""),IFERROR(INDEX(Items[ID],MATCH(1,INDEX((Items[ID]&lt;&gt;"")*(Items[Owner]=A150)*ISNUMBER(SEARCH(" "&amp;Items[ID]&amp;" "," "&amp;SUBSTITUTE(SUBSTITUTE(SUBSTITUTE(SUBSTITUTE(SUBSTITUTE(SUBSTITUTE(SUBSTITUTE(E150,","," "),"."," "),";"," "),":"," "),"("," "),")"," "),"/"," ")&amp;" ")),0),0)),"")),""))</f>
      </c>
      <c r="O150" s="17">
        <f>IF(N150="","",IF(J150&lt;&gt;"","done","block"))</f>
      </c>
      <c r="P150" s="17">
        <f>IF(O150="block",F150,"")</f>
      </c>
    </row>
    <row r="151">
      <c r="A151" s="17">
        <f>IFERROR(INDEX(Roster[Name],147)&amp;"","")</f>
      </c>
      <c r="B151" s="17">
        <f>IF(A151="","",INDEX(Roster[Team],147)&amp;"")</f>
      </c>
      <c r="C151" s="17">
        <f>IF(OR(A151="",COUNTA(ChatPaste)=0),"",COUNTIF(ChatSpeaker,A151))</f>
      </c>
      <c r="D151" s="20">
        <f>IF(A151="","",IFERROR(INDEX(ChatText,MATCH(1,INDEX((ChatSpeaker=A151)*(ChatTag="Y"),0),0)),""))</f>
      </c>
      <c r="E151" s="20">
        <f>IF(A151="","",IFERROR(INDEX(ChatText,MATCH(1,INDEX((ChatSpeaker=A151)*(ChatTag="T"),0),0)),""))</f>
      </c>
      <c r="F151" s="20">
        <f>IF(A151="","",IFERROR(INDEX(ChatText,MATCH(1,INDEX((ChatSpeaker=A151)*(ChatTag="B"),0),0)),""))</f>
      </c>
      <c r="G151" s="17">
        <f>IF(E151="",0,SUMPRODUCT((Items[ID]&lt;&gt;"")*ISNUMBER(SEARCH(" "&amp;Items[ID]&amp;" "," "&amp;SUBSTITUTE(SUBSTITUTE(SUBSTITUTE(SUBSTITUTE(SUBSTITUTE(SUBSTITUTE(SUBSTITUTE(E151,","," "),"."," "),";"," "),":"," "),"("," "),")"," "),"/"," ")&amp;" "))))</f>
      </c>
      <c r="H151" s="17">
        <f>IF(E151="",0,SUMPRODUCT((Items[ID]&lt;&gt;"")*(Items[Owner]=A151)*(Items[In sprint]=1)*ISNUMBER(SEARCH(" "&amp;Items[ID]&amp;" "," "&amp;SUBSTITUTE(SUBSTITUTE(SUBSTITUTE(SUBSTITUTE(SUBSTITUTE(SUBSTITUTE(SUBSTITUTE(E151,","," "),"."," "),";"," "),":"," "),"("," "),")"," "),"/"," ")&amp;" "))))</f>
      </c>
      <c r="I151" s="17">
        <f>IF(F151="","",IF(OR(LOWER(TRIM(F151))={"none","no","nothing","n/a","na","-","nope","no blockers","none.","nil"}),"","Y"))</f>
      </c>
      <c r="J151" s="17">
        <f>IF(D151="","",IF(OR(ISNUMBER(SEARCH({"done","finished","completed","closed","merged"},D151))),IFERROR(INDEX(Items[ID],MATCH(1,INDEX((Items[ID]&lt;&gt;"")*(Items[State]&lt;&gt;"DONE")*ISNUMBER(SEARCH(" "&amp;Items[ID]&amp;" "," "&amp;SUBSTITUTE(SUBSTITUTE(SUBSTITUTE(SUBSTITUTE(SUBSTITUTE(SUBSTITUTE(SUBSTITUTE(D151,","," "),"."," "),";"," "),":"," "),"("," "),")"," "),"/"," ")&amp;" ")),0),0)),""),""))</f>
      </c>
      <c r="K151" s="20">
        <f>IF(A151="","",TRIM(IF(C151=0,"silent; ","")&amp;IF(AND(N(C151)&gt;0,D151=""),"no Y; ","")&amp;IF(AND(N(C151)&gt;0,E151=""),"no T; ","")&amp;IF(AND(N(C151)&gt;0,F151=""),"no B; ","")&amp;IF(AND(E151&lt;&gt;"",G151=0),"no task id in T; ","")&amp;IF(AND(G151&gt;0,H151=0),"T names no task of yours in this sprint; ","")&amp;IF(I151="Y","blocker: "&amp;F151&amp;"; ","")))</f>
      </c>
      <c r="L151" s="20">
        <f>IF(A151="","",IF(C151=0,"@"&amp;A151&amp;" please post Y: / T: / B: for today.",IF(TRIM(IF(AND(N(C151)&gt;0,D151=""),"no Y; ","")&amp;IF(AND(N(C151)&gt;0,E151=""),"no T; ","")&amp;IF(AND(N(C151)&gt;0,F151=""),"no B; ","")&amp;IF(AND(E151&lt;&gt;"",G151=0),"no task id in T; ","")&amp;IF(AND(G151&gt;0,H151=0),"T names no task of yours in this sprint; ",""))="","","@"&amp;A151&amp;" please fix: "&amp;TRIM(IF(AND(N(C151)&gt;0,D151=""),"no Y; ","")&amp;IF(AND(N(C151)&gt;0,E151=""),"no T; ","")&amp;IF(AND(N(C151)&gt;0,F151=""),"no B; ","")&amp;IF(AND(E151&lt;&gt;"",G151=0),"no task id in T; ","")&amp;IF(AND(G151&gt;0,H151=0),"T names no task of yours in this sprint; ","")))))</f>
      </c>
      <c r="M151" s="11">
        <f>IF(N151="","",StandupDate)</f>
      </c>
      <c r="N151" s="17">
        <f>IF(J151&lt;&gt;"",J151,IF(I151="Y",IF(IFERROR(INDEX(Items[ID],MATCH(1,INDEX((Items[ID]&lt;&gt;"")*ISNUMBER(SEARCH(" "&amp;Items[ID]&amp;" "," "&amp;SUBSTITUTE(SUBSTITUTE(SUBSTITUTE(SUBSTITUTE(SUBSTITUTE(SUBSTITUTE(SUBSTITUTE(F151,",","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"&amp;SUBSTITUTE(SUBSTITUTE(SUBSTITUTE(SUBSTITUTE(SUBSTITUTE(SUBSTITUTE(SUBSTITUTE(F151,","," "),"."," "),";"," "),":"," "),"("," "),")"," "),"/"," ")&amp;" ")),0),0)),""),IFERROR(INDEX(Items[ID],MATCH(1,INDEX((Items[ID]&lt;&gt;"")*(Items[Owner]=A151)*ISNUMBER(SEARCH(" "&amp;Items[ID]&amp;" "," "&amp;SUBSTITUTE(SUBSTITUTE(SUBSTITUTE(SUBSTITUTE(SUBSTITUTE(SUBSTITUTE(SUBSTITUTE(E151,","," "),"."," "),";"," "),":"," "),"("," "),")"," "),"/"," ")&amp;" ")),0),0)),"")),""))</f>
      </c>
      <c r="O151" s="17">
        <f>IF(N151="","",IF(J151&lt;&gt;"","done","block"))</f>
      </c>
      <c r="P151" s="17">
        <f>IF(O151="block",F151,"")</f>
      </c>
    </row>
    <row r="152">
      <c r="A152" s="17">
        <f>IFERROR(INDEX(Roster[Name],148)&amp;"","")</f>
      </c>
      <c r="B152" s="17">
        <f>IF(A152="","",INDEX(Roster[Team],148)&amp;"")</f>
      </c>
      <c r="C152" s="17">
        <f>IF(OR(A152="",COUNTA(ChatPaste)=0),"",COUNTIF(ChatSpeaker,A152))</f>
      </c>
      <c r="D152" s="20">
        <f>IF(A152="","",IFERROR(INDEX(ChatText,MATCH(1,INDEX((ChatSpeaker=A152)*(ChatTag="Y"),0),0)),""))</f>
      </c>
      <c r="E152" s="20">
        <f>IF(A152="","",IFERROR(INDEX(ChatText,MATCH(1,INDEX((ChatSpeaker=A152)*(ChatTag="T"),0),0)),""))</f>
      </c>
      <c r="F152" s="20">
        <f>IF(A152="","",IFERROR(INDEX(ChatText,MATCH(1,INDEX((ChatSpeaker=A152)*(ChatTag="B"),0),0)),""))</f>
      </c>
      <c r="G152" s="17">
        <f>IF(E152="",0,SUMPRODUCT((Items[ID]&lt;&gt;"")*ISNUMBER(SEARCH(" "&amp;Items[ID]&amp;" "," "&amp;SUBSTITUTE(SUBSTITUTE(SUBSTITUTE(SUBSTITUTE(SUBSTITUTE(SUBSTITUTE(SUBSTITUTE(E152,","," "),"."," "),";"," "),":"," "),"("," "),")"," "),"/"," ")&amp;" "))))</f>
      </c>
      <c r="H152" s="17">
        <f>IF(E152="",0,SUMPRODUCT((Items[ID]&lt;&gt;"")*(Items[Owner]=A152)*(Items[In sprint]=1)*ISNUMBER(SEARCH(" "&amp;Items[ID]&amp;" "," "&amp;SUBSTITUTE(SUBSTITUTE(SUBSTITUTE(SUBSTITUTE(SUBSTITUTE(SUBSTITUTE(SUBSTITUTE(E152,","," "),"."," "),";"," "),":"," "),"("," "),")"," "),"/"," ")&amp;" "))))</f>
      </c>
      <c r="I152" s="17">
        <f>IF(F152="","",IF(OR(LOWER(TRIM(F152))={"none","no","nothing","n/a","na","-","nope","no blockers","none.","nil"}),"","Y"))</f>
      </c>
      <c r="J152" s="17">
        <f>IF(D152="","",IF(OR(ISNUMBER(SEARCH({"done","finished","completed","closed","merged"},D152))),IFERROR(INDEX(Items[ID],MATCH(1,INDEX((Items[ID]&lt;&gt;"")*(Items[State]&lt;&gt;"DONE")*ISNUMBER(SEARCH(" "&amp;Items[ID]&amp;" "," "&amp;SUBSTITUTE(SUBSTITUTE(SUBSTITUTE(SUBSTITUTE(SUBSTITUTE(SUBSTITUTE(SUBSTITUTE(D152,","," "),"."," "),";"," "),":"," "),"("," "),")"," "),"/"," ")&amp;" ")),0),0)),""),""))</f>
      </c>
      <c r="K152" s="20">
        <f>IF(A152="","",TRIM(IF(C152=0,"silent; ","")&amp;IF(AND(N(C152)&gt;0,D152=""),"no Y; ","")&amp;IF(AND(N(C152)&gt;0,E152=""),"no T; ","")&amp;IF(AND(N(C152)&gt;0,F152=""),"no B; ","")&amp;IF(AND(E152&lt;&gt;"",G152=0),"no task id in T; ","")&amp;IF(AND(G152&gt;0,H152=0),"T names no task of yours in this sprint; ","")&amp;IF(I152="Y","blocker: "&amp;F152&amp;"; ","")))</f>
      </c>
      <c r="L152" s="20">
        <f>IF(A152="","",IF(C152=0,"@"&amp;A152&amp;" please post Y: / T: / B: for today.",IF(TRIM(IF(AND(N(C152)&gt;0,D152=""),"no Y; ","")&amp;IF(AND(N(C152)&gt;0,E152=""),"no T; ","")&amp;IF(AND(N(C152)&gt;0,F152=""),"no B; ","")&amp;IF(AND(E152&lt;&gt;"",G152=0),"no task id in T; ","")&amp;IF(AND(G152&gt;0,H152=0),"T names no task of yours in this sprint; ",""))="","","@"&amp;A152&amp;" please fix: "&amp;TRIM(IF(AND(N(C152)&gt;0,D152=""),"no Y; ","")&amp;IF(AND(N(C152)&gt;0,E152=""),"no T; ","")&amp;IF(AND(N(C152)&gt;0,F152=""),"no B; ","")&amp;IF(AND(E152&lt;&gt;"",G152=0),"no task id in T; ","")&amp;IF(AND(G152&gt;0,H152=0),"T names no task of yours in this sprint; ","")))))</f>
      </c>
      <c r="M152" s="11">
        <f>IF(N152="","",StandupDate)</f>
      </c>
      <c r="N152" s="17">
        <f>IF(J152&lt;&gt;"",J152,IF(I152="Y",IF(IFERROR(INDEX(Items[ID],MATCH(1,INDEX((Items[ID]&lt;&gt;"")*ISNUMBER(SEARCH(" "&amp;Items[ID]&amp;" "," "&amp;SUBSTITUTE(SUBSTITUTE(SUBSTITUTE(SUBSTITUTE(SUBSTITUTE(SUBSTITUTE(SUBSTITUTE(F152,",","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"&amp;SUBSTITUTE(SUBSTITUTE(SUBSTITUTE(SUBSTITUTE(SUBSTITUTE(SUBSTITUTE(SUBSTITUTE(F152,","," "),"."," "),";"," "),":"," "),"("," "),")"," "),"/"," ")&amp;" ")),0),0)),""),IFERROR(INDEX(Items[ID],MATCH(1,INDEX((Items[ID]&lt;&gt;"")*(Items[Owner]=A152)*ISNUMBER(SEARCH(" "&amp;Items[ID]&amp;" "," "&amp;SUBSTITUTE(SUBSTITUTE(SUBSTITUTE(SUBSTITUTE(SUBSTITUTE(SUBSTITUTE(SUBSTITUTE(E152,","," "),"."," "),";"," "),":"," "),"("," "),")"," "),"/"," ")&amp;" ")),0),0)),"")),""))</f>
      </c>
      <c r="O152" s="17">
        <f>IF(N152="","",IF(J152&lt;&gt;"","done","block"))</f>
      </c>
      <c r="P152" s="17">
        <f>IF(O152="block",F152,"")</f>
      </c>
    </row>
    <row r="153">
      <c r="A153" s="17">
        <f>IFERROR(INDEX(Roster[Name],149)&amp;"","")</f>
      </c>
      <c r="B153" s="17">
        <f>IF(A153="","",INDEX(Roster[Team],149)&amp;"")</f>
      </c>
      <c r="C153" s="17">
        <f>IF(OR(A153="",COUNTA(ChatPaste)=0),"",COUNTIF(ChatSpeaker,A153))</f>
      </c>
      <c r="D153" s="20">
        <f>IF(A153="","",IFERROR(INDEX(ChatText,MATCH(1,INDEX((ChatSpeaker=A153)*(ChatTag="Y"),0),0)),""))</f>
      </c>
      <c r="E153" s="20">
        <f>IF(A153="","",IFERROR(INDEX(ChatText,MATCH(1,INDEX((ChatSpeaker=A153)*(ChatTag="T"),0),0)),""))</f>
      </c>
      <c r="F153" s="20">
        <f>IF(A153="","",IFERROR(INDEX(ChatText,MATCH(1,INDEX((ChatSpeaker=A153)*(ChatTag="B"),0),0)),""))</f>
      </c>
      <c r="G153" s="17">
        <f>IF(E153="",0,SUMPRODUCT((Items[ID]&lt;&gt;"")*ISNUMBER(SEARCH(" "&amp;Items[ID]&amp;" "," "&amp;SUBSTITUTE(SUBSTITUTE(SUBSTITUTE(SUBSTITUTE(SUBSTITUTE(SUBSTITUTE(SUBSTITUTE(E153,","," "),"."," "),";"," "),":"," "),"("," "),")"," "),"/"," ")&amp;" "))))</f>
      </c>
      <c r="H153" s="17">
        <f>IF(E153="",0,SUMPRODUCT((Items[ID]&lt;&gt;"")*(Items[Owner]=A153)*(Items[In sprint]=1)*ISNUMBER(SEARCH(" "&amp;Items[ID]&amp;" "," "&amp;SUBSTITUTE(SUBSTITUTE(SUBSTITUTE(SUBSTITUTE(SUBSTITUTE(SUBSTITUTE(SUBSTITUTE(E153,","," "),"."," "),";"," "),":"," "),"("," "),")"," "),"/"," ")&amp;" "))))</f>
      </c>
      <c r="I153" s="17">
        <f>IF(F153="","",IF(OR(LOWER(TRIM(F153))={"none","no","nothing","n/a","na","-","nope","no blockers","none.","nil"}),"","Y"))</f>
      </c>
      <c r="J153" s="17">
        <f>IF(D153="","",IF(OR(ISNUMBER(SEARCH({"done","finished","completed","closed","merged"},D153))),IFERROR(INDEX(Items[ID],MATCH(1,INDEX((Items[ID]&lt;&gt;"")*(Items[State]&lt;&gt;"DONE")*ISNUMBER(SEARCH(" "&amp;Items[ID]&amp;" "," "&amp;SUBSTITUTE(SUBSTITUTE(SUBSTITUTE(SUBSTITUTE(SUBSTITUTE(SUBSTITUTE(SUBSTITUTE(D153,","," "),"."," "),";"," "),":"," "),"("," "),")"," "),"/"," ")&amp;" ")),0),0)),""),""))</f>
      </c>
      <c r="K153" s="20">
        <f>IF(A153="","",TRIM(IF(C153=0,"silent; ","")&amp;IF(AND(N(C153)&gt;0,D153=""),"no Y; ","")&amp;IF(AND(N(C153)&gt;0,E153=""),"no T; ","")&amp;IF(AND(N(C153)&gt;0,F153=""),"no B; ","")&amp;IF(AND(E153&lt;&gt;"",G153=0),"no task id in T; ","")&amp;IF(AND(G153&gt;0,H153=0),"T names no task of yours in this sprint; ","")&amp;IF(I153="Y","blocker: "&amp;F153&amp;"; ","")))</f>
      </c>
      <c r="L153" s="20">
        <f>IF(A153="","",IF(C153=0,"@"&amp;A153&amp;" please post Y: / T: / B: for today.",IF(TRIM(IF(AND(N(C153)&gt;0,D153=""),"no Y; ","")&amp;IF(AND(N(C153)&gt;0,E153=""),"no T; ","")&amp;IF(AND(N(C153)&gt;0,F153=""),"no B; ","")&amp;IF(AND(E153&lt;&gt;"",G153=0),"no task id in T; ","")&amp;IF(AND(G153&gt;0,H153=0),"T names no task of yours in this sprint; ",""))="","","@"&amp;A153&amp;" please fix: "&amp;TRIM(IF(AND(N(C153)&gt;0,D153=""),"no Y; ","")&amp;IF(AND(N(C153)&gt;0,E153=""),"no T; ","")&amp;IF(AND(N(C153)&gt;0,F153=""),"no B; ","")&amp;IF(AND(E153&lt;&gt;"",G153=0),"no task id in T; ","")&amp;IF(AND(G153&gt;0,H153=0),"T names no task of yours in this sprint; ","")))))</f>
      </c>
      <c r="M153" s="11">
        <f>IF(N153="","",StandupDate)</f>
      </c>
      <c r="N153" s="17">
        <f>IF(J153&lt;&gt;"",J153,IF(I153="Y",IF(IFERROR(INDEX(Items[ID],MATCH(1,INDEX((Items[ID]&lt;&gt;"")*ISNUMBER(SEARCH(" "&amp;Items[ID]&amp;" "," "&amp;SUBSTITUTE(SUBSTITUTE(SUBSTITUTE(SUBSTITUTE(SUBSTITUTE(SUBSTITUTE(SUBSTITUTE(F153,",","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"&amp;SUBSTITUTE(SUBSTITUTE(SUBSTITUTE(SUBSTITUTE(SUBSTITUTE(SUBSTITUTE(SUBSTITUTE(F153,","," "),"."," "),";"," "),":"," "),"("," "),")"," "),"/"," ")&amp;" ")),0),0)),""),IFERROR(INDEX(Items[ID],MATCH(1,INDEX((Items[ID]&lt;&gt;"")*(Items[Owner]=A153)*ISNUMBER(SEARCH(" "&amp;Items[ID]&amp;" "," "&amp;SUBSTITUTE(SUBSTITUTE(SUBSTITUTE(SUBSTITUTE(SUBSTITUTE(SUBSTITUTE(SUBSTITUTE(E153,","," "),"."," "),";"," "),":"," "),"("," "),")"," "),"/"," ")&amp;" ")),0),0)),"")),""))</f>
      </c>
      <c r="O153" s="17">
        <f>IF(N153="","",IF(J153&lt;&gt;"","done","block"))</f>
      </c>
      <c r="P153" s="17">
        <f>IF(O153="block",F153,"")</f>
      </c>
    </row>
    <row r="154">
      <c r="A154" s="17">
        <f>IFERROR(INDEX(Roster[Name],150)&amp;"","")</f>
      </c>
      <c r="B154" s="17">
        <f>IF(A154="","",INDEX(Roster[Team],150)&amp;"")</f>
      </c>
      <c r="C154" s="17">
        <f>IF(OR(A154="",COUNTA(ChatPaste)=0),"",COUNTIF(ChatSpeaker,A154))</f>
      </c>
      <c r="D154" s="20">
        <f>IF(A154="","",IFERROR(INDEX(ChatText,MATCH(1,INDEX((ChatSpeaker=A154)*(ChatTag="Y"),0),0)),""))</f>
      </c>
      <c r="E154" s="20">
        <f>IF(A154="","",IFERROR(INDEX(ChatText,MATCH(1,INDEX((ChatSpeaker=A154)*(ChatTag="T"),0),0)),""))</f>
      </c>
      <c r="F154" s="20">
        <f>IF(A154="","",IFERROR(INDEX(ChatText,MATCH(1,INDEX((ChatSpeaker=A154)*(ChatTag="B"),0),0)),""))</f>
      </c>
      <c r="G154" s="17">
        <f>IF(E154="",0,SUMPRODUCT((Items[ID]&lt;&gt;"")*ISNUMBER(SEARCH(" "&amp;Items[ID]&amp;" "," "&amp;SUBSTITUTE(SUBSTITUTE(SUBSTITUTE(SUBSTITUTE(SUBSTITUTE(SUBSTITUTE(SUBSTITUTE(E154,","," "),"."," "),";"," "),":"," "),"("," "),")"," "),"/"," ")&amp;" "))))</f>
      </c>
      <c r="H154" s="17">
        <f>IF(E154="",0,SUMPRODUCT((Items[ID]&lt;&gt;"")*(Items[Owner]=A154)*(Items[In sprint]=1)*ISNUMBER(SEARCH(" "&amp;Items[ID]&amp;" "," "&amp;SUBSTITUTE(SUBSTITUTE(SUBSTITUTE(SUBSTITUTE(SUBSTITUTE(SUBSTITUTE(SUBSTITUTE(E154,","," "),"."," "),";"," "),":"," "),"("," "),")"," "),"/"," ")&amp;" "))))</f>
      </c>
      <c r="I154" s="17">
        <f>IF(F154="","",IF(OR(LOWER(TRIM(F154))={"none","no","nothing","n/a","na","-","nope","no blockers","none.","nil"}),"","Y"))</f>
      </c>
      <c r="J154" s="17">
        <f>IF(D154="","",IF(OR(ISNUMBER(SEARCH({"done","finished","completed","closed","merged"},D154))),IFERROR(INDEX(Items[ID],MATCH(1,INDEX((Items[ID]&lt;&gt;"")*(Items[State]&lt;&gt;"DONE")*ISNUMBER(SEARCH(" "&amp;Items[ID]&amp;" "," "&amp;SUBSTITUTE(SUBSTITUTE(SUBSTITUTE(SUBSTITUTE(SUBSTITUTE(SUBSTITUTE(SUBSTITUTE(D154,","," "),"."," "),";"," "),":"," "),"("," "),")"," "),"/"," ")&amp;" ")),0),0)),""),""))</f>
      </c>
      <c r="K154" s="20">
        <f>IF(A154="","",TRIM(IF(C154=0,"silent; ","")&amp;IF(AND(N(C154)&gt;0,D154=""),"no Y; ","")&amp;IF(AND(N(C154)&gt;0,E154=""),"no T; ","")&amp;IF(AND(N(C154)&gt;0,F154=""),"no B; ","")&amp;IF(AND(E154&lt;&gt;"",G154=0),"no task id in T; ","")&amp;IF(AND(G154&gt;0,H154=0),"T names no task of yours in this sprint; ","")&amp;IF(I154="Y","blocker: "&amp;F154&amp;"; ","")))</f>
      </c>
      <c r="L154" s="20">
        <f>IF(A154="","",IF(C154=0,"@"&amp;A154&amp;" please post Y: / T: / B: for today.",IF(TRIM(IF(AND(N(C154)&gt;0,D154=""),"no Y; ","")&amp;IF(AND(N(C154)&gt;0,E154=""),"no T; ","")&amp;IF(AND(N(C154)&gt;0,F154=""),"no B; ","")&amp;IF(AND(E154&lt;&gt;"",G154=0),"no task id in T; ","")&amp;IF(AND(G154&gt;0,H154=0),"T names no task of yours in this sprint; ",""))="","","@"&amp;A154&amp;" please fix: "&amp;TRIM(IF(AND(N(C154)&gt;0,D154=""),"no Y; ","")&amp;IF(AND(N(C154)&gt;0,E154=""),"no T; ","")&amp;IF(AND(N(C154)&gt;0,F154=""),"no B; ","")&amp;IF(AND(E154&lt;&gt;"",G154=0),"no task id in T; ","")&amp;IF(AND(G154&gt;0,H154=0),"T names no task of yours in this sprint; ","")))))</f>
      </c>
      <c r="M154" s="11">
        <f>IF(N154="","",StandupDate)</f>
      </c>
      <c r="N154" s="17">
        <f>IF(J154&lt;&gt;"",J154,IF(I154="Y",IF(IFERROR(INDEX(Items[ID],MATCH(1,INDEX((Items[ID]&lt;&gt;"")*ISNUMBER(SEARCH(" "&amp;Items[ID]&amp;" "," "&amp;SUBSTITUTE(SUBSTITUTE(SUBSTITUTE(SUBSTITUTE(SUBSTITUTE(SUBSTITUTE(SUBSTITUTE(F154,",","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"&amp;SUBSTITUTE(SUBSTITUTE(SUBSTITUTE(SUBSTITUTE(SUBSTITUTE(SUBSTITUTE(SUBSTITUTE(F154,","," "),"."," "),";"," "),":"," "),"("," "),")"," "),"/"," ")&amp;" ")),0),0)),""),IFERROR(INDEX(Items[ID],MATCH(1,INDEX((Items[ID]&lt;&gt;"")*(Items[Owner]=A154)*ISNUMBER(SEARCH(" "&amp;Items[ID]&amp;" "," "&amp;SUBSTITUTE(SUBSTITUTE(SUBSTITUTE(SUBSTITUTE(SUBSTITUTE(SUBSTITUTE(SUBSTITUTE(E154,","," "),"."," "),";"," "),":"," "),"("," "),")"," "),"/"," ")&amp;" ")),0),0)),"")),""))</f>
      </c>
      <c r="O154" s="17">
        <f>IF(N154="","",IF(J154&lt;&gt;"","done","block"))</f>
      </c>
      <c r="P154" s="17">
        <f>IF(O154="block",F154,"")</f>
      </c>
    </row>
  </sheetData>
  <conditionalFormatting sqref="K5:K154">
    <cfRule type="expression" dxfId="0" priority="1">
      <formula>LEFT(K5,6)="silent"</formula>
    </cfRule>
  </conditionalFormatting>
  <conditionalFormatting sqref="K5:K154">
    <cfRule type="expression" dxfId="1" priority="2">
      <formula>K5&lt;&gt;""</formula>
    </cfRule>
  </conditionalFormatting>
  <conditionalFormatting sqref="A5:A154">
    <cfRule type="expression" dxfId="3" priority="3">
      <formula>AND(A5&lt;&gt;"",C5=0)</formula>
    </cfRule>
  </conditionalFormatting>
  <pageMargins left="0.5" right="0.5" top="0.6" bottom="0.6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27235D"/>
  </sheetPr>
  <sheetViews>
    <sheetView workbookViewId="0" showGridLines="1">
      <pane ySplit="1" topLeftCell="A2" activePane="bottomLeft" state="frozen"/>
    </sheetView>
  </sheetViews>
  <sheetFormatPr defaultRowHeight="13.8"/>
  <cols>
    <col min="1" max="1" width="11" customWidth="1"/>
    <col min="2" max="2" width="11" customWidth="1"/>
    <col min="3" max="3" width="9" customWidth="1"/>
    <col min="4" max="4" width="8" customWidth="1"/>
    <col min="5" max="5" width="44" customWidth="1"/>
    <col min="6" max="6" width="14" customWidth="1"/>
    <col min="7" max="7" width="7" customWidth="1"/>
    <col min="8" max="8" width="7" customWidth="1"/>
    <col min="9" max="9" width="6" customWidth="1"/>
    <col min="10" max="10" width="5" customWidth="1"/>
    <col min="11" max="11" width="6" customWidth="1"/>
    <col min="12" max="12" width="12" customWidth="1"/>
    <col min="13" max="13" width="6" customWidth="1"/>
  </cols>
  <sheetData>
    <row r="1">
      <c r="A1" s="3" t="s">
        <v>135</v>
      </c>
      <c r="B1" s="3" t="s">
        <v>85</v>
      </c>
      <c r="C1" s="3" t="s">
        <v>30</v>
      </c>
      <c r="D1" s="3" t="s">
        <v>31</v>
      </c>
      <c r="E1" s="3" t="s">
        <v>155</v>
      </c>
      <c r="F1" s="4" t="s">
        <v>156</v>
      </c>
      <c r="G1" s="4" t="s">
        <v>86</v>
      </c>
      <c r="H1" s="4" t="s">
        <v>157</v>
      </c>
      <c r="I1" s="4" t="s">
        <v>158</v>
      </c>
      <c r="J1" s="4" t="s">
        <v>159</v>
      </c>
      <c r="K1" s="4" t="s">
        <v>160</v>
      </c>
      <c r="L1" s="4" t="s">
        <v>144</v>
      </c>
      <c r="M1" s="4" t="s">
        <v>161</v>
      </c>
    </row>
    <row r="2">
      <c r="A2" s="11">
        <v>46049</v>
      </c>
      <c r="B2" t="s">
        <v>162</v>
      </c>
      <c r="C2" t="s">
        <v>34</v>
      </c>
      <c r="D2">
        <v>36</v>
      </c>
      <c r="F2" s="17">
        <f>IF(Log[[#This Row],[ID]]="","",IF(ISNA(MATCH(Log[[#This Row],[ID]],Items[ID],0)),"unknown ID",IF(ISNA(MATCH(Log[[#This Row],[Verb]],VerbList,0)),"unknown verb",IF(Log[[#This Row],[Date]]="","no date",""))))</f>
      </c>
      <c r="G2" s="17">
        <f>IF(Log[[#This Row],[ID]]="","",IFERROR(VLOOKUP(Log[[#This Row],[Verb]],Verbs,3,FALSE)&amp;"",""))</f>
      </c>
      <c r="H2" s="17">
        <f>IF(Log[[#This Row],[Date]]="","",INT((Log[[#This Row],[Date]]-Sprint1)/SprintDays)+1)</f>
      </c>
      <c r="I2" s="17">
        <f>IF(OR(Log[[#This Row],[Verb]]="commit",Log[[#This Row],[Verb]]="carry",Log[[#This Row],[Verb]]="redo"),IF(Log[[#This Row],[Arg]]="",Log[[#This Row],[Sprint]],N(Log[[#This Row],[Arg]])),"")</f>
      </c>
      <c r="J2" s="17">
        <f>IF(Log[[#This Row],[Verb]]="block",1,IF(OR(Log[[#This Row],[Verb]]="unblock",Log[[#This Row],[Verb]]="done",Log[[#This Row],[Verb]]="drop",Log[[#This Row],[Verb]]="punt",Log[[#This Row],[Verb]]="pass"),0,""))</f>
      </c>
      <c r="K2" s="17">
        <f>IF(Log[[#This Row],[ID]]="",0,IFERROR(INDEX(Items[Pts],MATCH(Log[[#This Row],[ID]],Items[ID],0))*1,0))</f>
      </c>
      <c r="L2" s="17">
        <f>IF(Log[[#This Row],[ID]]="","",IFERROR(INDEX(Items[Cur team],MATCH(Log[[#This Row],[ID]],Items[ID],0))&amp;"",""))</f>
      </c>
      <c r="M2" s="17">
        <f>IF(OR(Log[[#This Row],[Verb]]="done",Log[[#This Row],[Verb]]="punt",Log[[#This Row],[Verb]]="drop",Log[[#This Row],[Verb]]="pass"),Log[[#This Row],[Pts]],0)</f>
      </c>
    </row>
    <row r="3">
      <c r="A3" s="11">
        <v>46049</v>
      </c>
      <c r="B3" t="s">
        <v>163</v>
      </c>
      <c r="C3" t="s">
        <v>34</v>
      </c>
      <c r="D3">
        <v>36</v>
      </c>
      <c r="F3" s="17">
        <f>IF(Log[[#This Row],[ID]]="","",IF(ISNA(MATCH(Log[[#This Row],[ID]],Items[ID],0)),"unknown ID",IF(ISNA(MATCH(Log[[#This Row],[Verb]],VerbList,0)),"unknown verb",IF(Log[[#This Row],[Date]]="","no date",""))))</f>
      </c>
      <c r="G3" s="17">
        <f>IF(Log[[#This Row],[ID]]="","",IFERROR(VLOOKUP(Log[[#This Row],[Verb]],Verbs,3,FALSE)&amp;"",""))</f>
      </c>
      <c r="H3" s="17">
        <f>IF(Log[[#This Row],[Date]]="","",INT((Log[[#This Row],[Date]]-Sprint1)/SprintDays)+1)</f>
      </c>
      <c r="I3" s="17">
        <f>IF(OR(Log[[#This Row],[Verb]]="commit",Log[[#This Row],[Verb]]="carry",Log[[#This Row],[Verb]]="redo"),IF(Log[[#This Row],[Arg]]="",Log[[#This Row],[Sprint]],N(Log[[#This Row],[Arg]])),"")</f>
      </c>
      <c r="J3" s="17">
        <f>IF(Log[[#This Row],[Verb]]="block",1,IF(OR(Log[[#This Row],[Verb]]="unblock",Log[[#This Row],[Verb]]="done",Log[[#This Row],[Verb]]="drop",Log[[#This Row],[Verb]]="punt",Log[[#This Row],[Verb]]="pass"),0,""))</f>
      </c>
      <c r="K3" s="17">
        <f>IF(Log[[#This Row],[ID]]="",0,IFERROR(INDEX(Items[Pts],MATCH(Log[[#This Row],[ID]],Items[ID],0))*1,0))</f>
      </c>
      <c r="L3" s="17">
        <f>IF(Log[[#This Row],[ID]]="","",IFERROR(INDEX(Items[Cur team],MATCH(Log[[#This Row],[ID]],Items[ID],0))&amp;"",""))</f>
      </c>
      <c r="M3" s="17">
        <f>IF(OR(Log[[#This Row],[Verb]]="done",Log[[#This Row],[Verb]]="punt",Log[[#This Row],[Verb]]="drop",Log[[#This Row],[Verb]]="pass"),Log[[#This Row],[Pts]],0)</f>
      </c>
    </row>
    <row r="4">
      <c r="A4" s="11">
        <v>46049</v>
      </c>
      <c r="B4" t="s">
        <v>164</v>
      </c>
      <c r="C4" t="s">
        <v>34</v>
      </c>
      <c r="D4">
        <v>36</v>
      </c>
      <c r="F4" s="17">
        <f>IF(Log[[#This Row],[ID]]="","",IF(ISNA(MATCH(Log[[#This Row],[ID]],Items[ID],0)),"unknown ID",IF(ISNA(MATCH(Log[[#This Row],[Verb]],VerbList,0)),"unknown verb",IF(Log[[#This Row],[Date]]="","no date",""))))</f>
      </c>
      <c r="G4" s="17">
        <f>IF(Log[[#This Row],[ID]]="","",IFERROR(VLOOKUP(Log[[#This Row],[Verb]],Verbs,3,FALSE)&amp;"",""))</f>
      </c>
      <c r="H4" s="17">
        <f>IF(Log[[#This Row],[Date]]="","",INT((Log[[#This Row],[Date]]-Sprint1)/SprintDays)+1)</f>
      </c>
      <c r="I4" s="17">
        <f>IF(OR(Log[[#This Row],[Verb]]="commit",Log[[#This Row],[Verb]]="carry",Log[[#This Row],[Verb]]="redo"),IF(Log[[#This Row],[Arg]]="",Log[[#This Row],[Sprint]],N(Log[[#This Row],[Arg]])),"")</f>
      </c>
      <c r="J4" s="17">
        <f>IF(Log[[#This Row],[Verb]]="block",1,IF(OR(Log[[#This Row],[Verb]]="unblock",Log[[#This Row],[Verb]]="done",Log[[#This Row],[Verb]]="drop",Log[[#This Row],[Verb]]="punt",Log[[#This Row],[Verb]]="pass"),0,""))</f>
      </c>
      <c r="K4" s="17">
        <f>IF(Log[[#This Row],[ID]]="",0,IFERROR(INDEX(Items[Pts],MATCH(Log[[#This Row],[ID]],Items[ID],0))*1,0))</f>
      </c>
      <c r="L4" s="17">
        <f>IF(Log[[#This Row],[ID]]="","",IFERROR(INDEX(Items[Cur team],MATCH(Log[[#This Row],[ID]],Items[ID],0))&amp;"",""))</f>
      </c>
      <c r="M4" s="17">
        <f>IF(OR(Log[[#This Row],[Verb]]="done",Log[[#This Row],[Verb]]="punt",Log[[#This Row],[Verb]]="drop",Log[[#This Row],[Verb]]="pass"),Log[[#This Row],[Pts]],0)</f>
      </c>
    </row>
    <row r="5">
      <c r="A5" s="11">
        <v>46049</v>
      </c>
      <c r="B5" t="s">
        <v>165</v>
      </c>
      <c r="C5" t="s">
        <v>34</v>
      </c>
      <c r="D5">
        <v>36</v>
      </c>
      <c r="F5" s="17">
        <f>IF(Log[[#This Row],[ID]]="","",IF(ISNA(MATCH(Log[[#This Row],[ID]],Items[ID],0)),"unknown ID",IF(ISNA(MATCH(Log[[#This Row],[Verb]],VerbList,0)),"unknown verb",IF(Log[[#This Row],[Date]]="","no date",""))))</f>
      </c>
      <c r="G5" s="17">
        <f>IF(Log[[#This Row],[ID]]="","",IFERROR(VLOOKUP(Log[[#This Row],[Verb]],Verbs,3,FALSE)&amp;"",""))</f>
      </c>
      <c r="H5" s="17">
        <f>IF(Log[[#This Row],[Date]]="","",INT((Log[[#This Row],[Date]]-Sprint1)/SprintDays)+1)</f>
      </c>
      <c r="I5" s="17">
        <f>IF(OR(Log[[#This Row],[Verb]]="commit",Log[[#This Row],[Verb]]="carry",Log[[#This Row],[Verb]]="redo"),IF(Log[[#This Row],[Arg]]="",Log[[#This Row],[Sprint]],N(Log[[#This Row],[Arg]])),"")</f>
      </c>
      <c r="J5" s="17">
        <f>IF(Log[[#This Row],[Verb]]="block",1,IF(OR(Log[[#This Row],[Verb]]="unblock",Log[[#This Row],[Verb]]="done",Log[[#This Row],[Verb]]="drop",Log[[#This Row],[Verb]]="punt",Log[[#This Row],[Verb]]="pass"),0,""))</f>
      </c>
      <c r="K5" s="17">
        <f>IF(Log[[#This Row],[ID]]="",0,IFERROR(INDEX(Items[Pts],MATCH(Log[[#This Row],[ID]],Items[ID],0))*1,0))</f>
      </c>
      <c r="L5" s="17">
        <f>IF(Log[[#This Row],[ID]]="","",IFERROR(INDEX(Items[Cur team],MATCH(Log[[#This Row],[ID]],Items[ID],0))&amp;"",""))</f>
      </c>
      <c r="M5" s="17">
        <f>IF(OR(Log[[#This Row],[Verb]]="done",Log[[#This Row],[Verb]]="punt",Log[[#This Row],[Verb]]="drop",Log[[#This Row],[Verb]]="pass"),Log[[#This Row],[Pts]],0)</f>
      </c>
    </row>
    <row r="6">
      <c r="A6" s="11">
        <v>46049</v>
      </c>
      <c r="B6" t="s">
        <v>166</v>
      </c>
      <c r="C6" t="s">
        <v>34</v>
      </c>
      <c r="D6">
        <v>36</v>
      </c>
      <c r="F6" s="17">
        <f>IF(Log[[#This Row],[ID]]="","",IF(ISNA(MATCH(Log[[#This Row],[ID]],Items[ID],0)),"unknown ID",IF(ISNA(MATCH(Log[[#This Row],[Verb]],VerbList,0)),"unknown verb",IF(Log[[#This Row],[Date]]="","no date",""))))</f>
      </c>
      <c r="G6" s="17">
        <f>IF(Log[[#This Row],[ID]]="","",IFERROR(VLOOKUP(Log[[#This Row],[Verb]],Verbs,3,FALSE)&amp;"",""))</f>
      </c>
      <c r="H6" s="17">
        <f>IF(Log[[#This Row],[Date]]="","",INT((Log[[#This Row],[Date]]-Sprint1)/SprintDays)+1)</f>
      </c>
      <c r="I6" s="17">
        <f>IF(OR(Log[[#This Row],[Verb]]="commit",Log[[#This Row],[Verb]]="carry",Log[[#This Row],[Verb]]="redo"),IF(Log[[#This Row],[Arg]]="",Log[[#This Row],[Sprint]],N(Log[[#This Row],[Arg]])),"")</f>
      </c>
      <c r="J6" s="17">
        <f>IF(Log[[#This Row],[Verb]]="block",1,IF(OR(Log[[#This Row],[Verb]]="unblock",Log[[#This Row],[Verb]]="done",Log[[#This Row],[Verb]]="drop",Log[[#This Row],[Verb]]="punt",Log[[#This Row],[Verb]]="pass"),0,""))</f>
      </c>
      <c r="K6" s="17">
        <f>IF(Log[[#This Row],[ID]]="",0,IFERROR(INDEX(Items[Pts],MATCH(Log[[#This Row],[ID]],Items[ID],0))*1,0))</f>
      </c>
      <c r="L6" s="17">
        <f>IF(Log[[#This Row],[ID]]="","",IFERROR(INDEX(Items[Cur team],MATCH(Log[[#This Row],[ID]],Items[ID],0))&amp;"",""))</f>
      </c>
      <c r="M6" s="17">
        <f>IF(OR(Log[[#This Row],[Verb]]="done",Log[[#This Row],[Verb]]="punt",Log[[#This Row],[Verb]]="drop",Log[[#This Row],[Verb]]="pass"),Log[[#This Row],[Pts]],0)</f>
      </c>
    </row>
    <row r="7">
      <c r="A7" s="11">
        <v>46049</v>
      </c>
      <c r="B7" t="s">
        <v>167</v>
      </c>
      <c r="C7" t="s">
        <v>34</v>
      </c>
      <c r="D7">
        <v>36</v>
      </c>
      <c r="F7" s="17">
        <f>IF(Log[[#This Row],[ID]]="","",IF(ISNA(MATCH(Log[[#This Row],[ID]],Items[ID],0)),"unknown ID",IF(ISNA(MATCH(Log[[#This Row],[Verb]],VerbList,0)),"unknown verb",IF(Log[[#This Row],[Date]]="","no date",""))))</f>
      </c>
      <c r="G7" s="17">
        <f>IF(Log[[#This Row],[ID]]="","",IFERROR(VLOOKUP(Log[[#This Row],[Verb]],Verbs,3,FALSE)&amp;"",""))</f>
      </c>
      <c r="H7" s="17">
        <f>IF(Log[[#This Row],[Date]]="","",INT((Log[[#This Row],[Date]]-Sprint1)/SprintDays)+1)</f>
      </c>
      <c r="I7" s="17">
        <f>IF(OR(Log[[#This Row],[Verb]]="commit",Log[[#This Row],[Verb]]="carry",Log[[#This Row],[Verb]]="redo"),IF(Log[[#This Row],[Arg]]="",Log[[#This Row],[Sprint]],N(Log[[#This Row],[Arg]])),"")</f>
      </c>
      <c r="J7" s="17">
        <f>IF(Log[[#This Row],[Verb]]="block",1,IF(OR(Log[[#This Row],[Verb]]="unblock",Log[[#This Row],[Verb]]="done",Log[[#This Row],[Verb]]="drop",Log[[#This Row],[Verb]]="punt",Log[[#This Row],[Verb]]="pass"),0,""))</f>
      </c>
      <c r="K7" s="17">
        <f>IF(Log[[#This Row],[ID]]="",0,IFERROR(INDEX(Items[Pts],MATCH(Log[[#This Row],[ID]],Items[ID],0))*1,0))</f>
      </c>
      <c r="L7" s="17">
        <f>IF(Log[[#This Row],[ID]]="","",IFERROR(INDEX(Items[Cur team],MATCH(Log[[#This Row],[ID]],Items[ID],0))&amp;"",""))</f>
      </c>
      <c r="M7" s="17">
        <f>IF(OR(Log[[#This Row],[Verb]]="done",Log[[#This Row],[Verb]]="punt",Log[[#This Row],[Verb]]="drop",Log[[#This Row],[Verb]]="pass"),Log[[#This Row],[Pts]],0)</f>
      </c>
    </row>
    <row r="8">
      <c r="A8" s="11">
        <v>46049</v>
      </c>
      <c r="B8" t="s">
        <v>168</v>
      </c>
      <c r="C8" t="s">
        <v>34</v>
      </c>
      <c r="D8">
        <v>36</v>
      </c>
      <c r="F8" s="17">
        <f>IF(Log[[#This Row],[ID]]="","",IF(ISNA(MATCH(Log[[#This Row],[ID]],Items[ID],0)),"unknown ID",IF(ISNA(MATCH(Log[[#This Row],[Verb]],VerbList,0)),"unknown verb",IF(Log[[#This Row],[Date]]="","no date",""))))</f>
      </c>
      <c r="G8" s="17">
        <f>IF(Log[[#This Row],[ID]]="","",IFERROR(VLOOKUP(Log[[#This Row],[Verb]],Verbs,3,FALSE)&amp;"",""))</f>
      </c>
      <c r="H8" s="17">
        <f>IF(Log[[#This Row],[Date]]="","",INT((Log[[#This Row],[Date]]-Sprint1)/SprintDays)+1)</f>
      </c>
      <c r="I8" s="17">
        <f>IF(OR(Log[[#This Row],[Verb]]="commit",Log[[#This Row],[Verb]]="carry",Log[[#This Row],[Verb]]="redo"),IF(Log[[#This Row],[Arg]]="",Log[[#This Row],[Sprint]],N(Log[[#This Row],[Arg]])),"")</f>
      </c>
      <c r="J8" s="17">
        <f>IF(Log[[#This Row],[Verb]]="block",1,IF(OR(Log[[#This Row],[Verb]]="unblock",Log[[#This Row],[Verb]]="done",Log[[#This Row],[Verb]]="drop",Log[[#This Row],[Verb]]="punt",Log[[#This Row],[Verb]]="pass"),0,""))</f>
      </c>
      <c r="K8" s="17">
        <f>IF(Log[[#This Row],[ID]]="",0,IFERROR(INDEX(Items[Pts],MATCH(Log[[#This Row],[ID]],Items[ID],0))*1,0))</f>
      </c>
      <c r="L8" s="17">
        <f>IF(Log[[#This Row],[ID]]="","",IFERROR(INDEX(Items[Cur team],MATCH(Log[[#This Row],[ID]],Items[ID],0))&amp;"",""))</f>
      </c>
      <c r="M8" s="17">
        <f>IF(OR(Log[[#This Row],[Verb]]="done",Log[[#This Row],[Verb]]="punt",Log[[#This Row],[Verb]]="drop",Log[[#This Row],[Verb]]="pass"),Log[[#This Row],[Pts]],0)</f>
      </c>
    </row>
    <row r="9">
      <c r="A9" s="11">
        <v>46049</v>
      </c>
      <c r="B9" t="s">
        <v>169</v>
      </c>
      <c r="C9" t="s">
        <v>34</v>
      </c>
      <c r="D9">
        <v>36</v>
      </c>
      <c r="F9" s="17">
        <f>IF(Log[[#This Row],[ID]]="","",IF(ISNA(MATCH(Log[[#This Row],[ID]],Items[ID],0)),"unknown ID",IF(ISNA(MATCH(Log[[#This Row],[Verb]],VerbList,0)),"unknown verb",IF(Log[[#This Row],[Date]]="","no date",""))))</f>
      </c>
      <c r="G9" s="17">
        <f>IF(Log[[#This Row],[ID]]="","",IFERROR(VLOOKUP(Log[[#This Row],[Verb]],Verbs,3,FALSE)&amp;"",""))</f>
      </c>
      <c r="H9" s="17">
        <f>IF(Log[[#This Row],[Date]]="","",INT((Log[[#This Row],[Date]]-Sprint1)/SprintDays)+1)</f>
      </c>
      <c r="I9" s="17">
        <f>IF(OR(Log[[#This Row],[Verb]]="commit",Log[[#This Row],[Verb]]="carry",Log[[#This Row],[Verb]]="redo"),IF(Log[[#This Row],[Arg]]="",Log[[#This Row],[Sprint]],N(Log[[#This Row],[Arg]])),"")</f>
      </c>
      <c r="J9" s="17">
        <f>IF(Log[[#This Row],[Verb]]="block",1,IF(OR(Log[[#This Row],[Verb]]="unblock",Log[[#This Row],[Verb]]="done",Log[[#This Row],[Verb]]="drop",Log[[#This Row],[Verb]]="punt",Log[[#This Row],[Verb]]="pass"),0,""))</f>
      </c>
      <c r="K9" s="17">
        <f>IF(Log[[#This Row],[ID]]="",0,IFERROR(INDEX(Items[Pts],MATCH(Log[[#This Row],[ID]],Items[ID],0))*1,0))</f>
      </c>
      <c r="L9" s="17">
        <f>IF(Log[[#This Row],[ID]]="","",IFERROR(INDEX(Items[Cur team],MATCH(Log[[#This Row],[ID]],Items[ID],0))&amp;"",""))</f>
      </c>
      <c r="M9" s="17">
        <f>IF(OR(Log[[#This Row],[Verb]]="done",Log[[#This Row],[Verb]]="punt",Log[[#This Row],[Verb]]="drop",Log[[#This Row],[Verb]]="pass"),Log[[#This Row],[Pts]],0)</f>
      </c>
    </row>
    <row r="10">
      <c r="A10" s="11">
        <v>46062</v>
      </c>
      <c r="B10" t="s">
        <v>162</v>
      </c>
      <c r="C10" t="s">
        <v>38</v>
      </c>
      <c r="D10">
        <v>37</v>
      </c>
      <c r="F10" s="17">
        <f>IF(Log[[#This Row],[ID]]="","",IF(ISNA(MATCH(Log[[#This Row],[ID]],Items[ID],0)),"unknown ID",IF(ISNA(MATCH(Log[[#This Row],[Verb]],VerbList,0)),"unknown verb",IF(Log[[#This Row],[Date]]="","no date",""))))</f>
      </c>
      <c r="G10" s="17">
        <f>IF(Log[[#This Row],[ID]]="","",IFERROR(VLOOKUP(Log[[#This Row],[Verb]],Verbs,3,FALSE)&amp;"",""))</f>
      </c>
      <c r="H10" s="17">
        <f>IF(Log[[#This Row],[Date]]="","",INT((Log[[#This Row],[Date]]-Sprint1)/SprintDays)+1)</f>
      </c>
      <c r="I10" s="17">
        <f>IF(OR(Log[[#This Row],[Verb]]="commit",Log[[#This Row],[Verb]]="carry",Log[[#This Row],[Verb]]="redo"),IF(Log[[#This Row],[Arg]]="",Log[[#This Row],[Sprint]],N(Log[[#This Row],[Arg]])),"")</f>
      </c>
      <c r="J10" s="17">
        <f>IF(Log[[#This Row],[Verb]]="block",1,IF(OR(Log[[#This Row],[Verb]]="unblock",Log[[#This Row],[Verb]]="done",Log[[#This Row],[Verb]]="drop",Log[[#This Row],[Verb]]="punt",Log[[#This Row],[Verb]]="pass"),0,""))</f>
      </c>
      <c r="K10" s="17">
        <f>IF(Log[[#This Row],[ID]]="",0,IFERROR(INDEX(Items[Pts],MATCH(Log[[#This Row],[ID]],Items[ID],0))*1,0))</f>
      </c>
      <c r="L10" s="17">
        <f>IF(Log[[#This Row],[ID]]="","",IFERROR(INDEX(Items[Cur team],MATCH(Log[[#This Row],[ID]],Items[ID],0))&amp;"",""))</f>
      </c>
      <c r="M10" s="17">
        <f>IF(OR(Log[[#This Row],[Verb]]="done",Log[[#This Row],[Verb]]="punt",Log[[#This Row],[Verb]]="drop",Log[[#This Row],[Verb]]="pass"),Log[[#This Row],[Pts]],0)</f>
      </c>
    </row>
    <row r="11">
      <c r="A11" s="11">
        <v>46062</v>
      </c>
      <c r="B11" t="s">
        <v>163</v>
      </c>
      <c r="C11" t="s">
        <v>38</v>
      </c>
      <c r="D11">
        <v>37</v>
      </c>
      <c r="F11" s="17">
        <f>IF(Log[[#This Row],[ID]]="","",IF(ISNA(MATCH(Log[[#This Row],[ID]],Items[ID],0)),"unknown ID",IF(ISNA(MATCH(Log[[#This Row],[Verb]],VerbList,0)),"unknown verb",IF(Log[[#This Row],[Date]]="","no date",""))))</f>
      </c>
      <c r="G11" s="17">
        <f>IF(Log[[#This Row],[ID]]="","",IFERROR(VLOOKUP(Log[[#This Row],[Verb]],Verbs,3,FALSE)&amp;"",""))</f>
      </c>
      <c r="H11" s="17">
        <f>IF(Log[[#This Row],[Date]]="","",INT((Log[[#This Row],[Date]]-Sprint1)/SprintDays)+1)</f>
      </c>
      <c r="I11" s="17">
        <f>IF(OR(Log[[#This Row],[Verb]]="commit",Log[[#This Row],[Verb]]="carry",Log[[#This Row],[Verb]]="redo"),IF(Log[[#This Row],[Arg]]="",Log[[#This Row],[Sprint]],N(Log[[#This Row],[Arg]])),"")</f>
      </c>
      <c r="J11" s="17">
        <f>IF(Log[[#This Row],[Verb]]="block",1,IF(OR(Log[[#This Row],[Verb]]="unblock",Log[[#This Row],[Verb]]="done",Log[[#This Row],[Verb]]="drop",Log[[#This Row],[Verb]]="punt",Log[[#This Row],[Verb]]="pass"),0,""))</f>
      </c>
      <c r="K11" s="17">
        <f>IF(Log[[#This Row],[ID]]="",0,IFERROR(INDEX(Items[Pts],MATCH(Log[[#This Row],[ID]],Items[ID],0))*1,0))</f>
      </c>
      <c r="L11" s="17">
        <f>IF(Log[[#This Row],[ID]]="","",IFERROR(INDEX(Items[Cur team],MATCH(Log[[#This Row],[ID]],Items[ID],0))&amp;"",""))</f>
      </c>
      <c r="M11" s="17">
        <f>IF(OR(Log[[#This Row],[Verb]]="done",Log[[#This Row],[Verb]]="punt",Log[[#This Row],[Verb]]="drop",Log[[#This Row],[Verb]]="pass"),Log[[#This Row],[Pts]],0)</f>
      </c>
    </row>
    <row r="12">
      <c r="A12" s="11">
        <v>46062</v>
      </c>
      <c r="B12" t="s">
        <v>164</v>
      </c>
      <c r="C12" t="s">
        <v>38</v>
      </c>
      <c r="D12">
        <v>37</v>
      </c>
      <c r="F12" s="17">
        <f>IF(Log[[#This Row],[ID]]="","",IF(ISNA(MATCH(Log[[#This Row],[ID]],Items[ID],0)),"unknown ID",IF(ISNA(MATCH(Log[[#This Row],[Verb]],VerbList,0)),"unknown verb",IF(Log[[#This Row],[Date]]="","no date",""))))</f>
      </c>
      <c r="G12" s="17">
        <f>IF(Log[[#This Row],[ID]]="","",IFERROR(VLOOKUP(Log[[#This Row],[Verb]],Verbs,3,FALSE)&amp;"",""))</f>
      </c>
      <c r="H12" s="17">
        <f>IF(Log[[#This Row],[Date]]="","",INT((Log[[#This Row],[Date]]-Sprint1)/SprintDays)+1)</f>
      </c>
      <c r="I12" s="17">
        <f>IF(OR(Log[[#This Row],[Verb]]="commit",Log[[#This Row],[Verb]]="carry",Log[[#This Row],[Verb]]="redo"),IF(Log[[#This Row],[Arg]]="",Log[[#This Row],[Sprint]],N(Log[[#This Row],[Arg]])),"")</f>
      </c>
      <c r="J12" s="17">
        <f>IF(Log[[#This Row],[Verb]]="block",1,IF(OR(Log[[#This Row],[Verb]]="unblock",Log[[#This Row],[Verb]]="done",Log[[#This Row],[Verb]]="drop",Log[[#This Row],[Verb]]="punt",Log[[#This Row],[Verb]]="pass"),0,""))</f>
      </c>
      <c r="K12" s="17">
        <f>IF(Log[[#This Row],[ID]]="",0,IFERROR(INDEX(Items[Pts],MATCH(Log[[#This Row],[ID]],Items[ID],0))*1,0))</f>
      </c>
      <c r="L12" s="17">
        <f>IF(Log[[#This Row],[ID]]="","",IFERROR(INDEX(Items[Cur team],MATCH(Log[[#This Row],[ID]],Items[ID],0))&amp;"",""))</f>
      </c>
      <c r="M12" s="17">
        <f>IF(OR(Log[[#This Row],[Verb]]="done",Log[[#This Row],[Verb]]="punt",Log[[#This Row],[Verb]]="drop",Log[[#This Row],[Verb]]="pass"),Log[[#This Row],[Pts]],0)</f>
      </c>
    </row>
    <row r="13">
      <c r="A13" s="11">
        <v>46062</v>
      </c>
      <c r="B13" t="s">
        <v>165</v>
      </c>
      <c r="C13" t="s">
        <v>38</v>
      </c>
      <c r="D13">
        <v>37</v>
      </c>
      <c r="F13" s="17">
        <f>IF(Log[[#This Row],[ID]]="","",IF(ISNA(MATCH(Log[[#This Row],[ID]],Items[ID],0)),"unknown ID",IF(ISNA(MATCH(Log[[#This Row],[Verb]],VerbList,0)),"unknown verb",IF(Log[[#This Row],[Date]]="","no date",""))))</f>
      </c>
      <c r="G13" s="17">
        <f>IF(Log[[#This Row],[ID]]="","",IFERROR(VLOOKUP(Log[[#This Row],[Verb]],Verbs,3,FALSE)&amp;"",""))</f>
      </c>
      <c r="H13" s="17">
        <f>IF(Log[[#This Row],[Date]]="","",INT((Log[[#This Row],[Date]]-Sprint1)/SprintDays)+1)</f>
      </c>
      <c r="I13" s="17">
        <f>IF(OR(Log[[#This Row],[Verb]]="commit",Log[[#This Row],[Verb]]="carry",Log[[#This Row],[Verb]]="redo"),IF(Log[[#This Row],[Arg]]="",Log[[#This Row],[Sprint]],N(Log[[#This Row],[Arg]])),"")</f>
      </c>
      <c r="J13" s="17">
        <f>IF(Log[[#This Row],[Verb]]="block",1,IF(OR(Log[[#This Row],[Verb]]="unblock",Log[[#This Row],[Verb]]="done",Log[[#This Row],[Verb]]="drop",Log[[#This Row],[Verb]]="punt",Log[[#This Row],[Verb]]="pass"),0,""))</f>
      </c>
      <c r="K13" s="17">
        <f>IF(Log[[#This Row],[ID]]="",0,IFERROR(INDEX(Items[Pts],MATCH(Log[[#This Row],[ID]],Items[ID],0))*1,0))</f>
      </c>
      <c r="L13" s="17">
        <f>IF(Log[[#This Row],[ID]]="","",IFERROR(INDEX(Items[Cur team],MATCH(Log[[#This Row],[ID]],Items[ID],0))&amp;"",""))</f>
      </c>
      <c r="M13" s="17">
        <f>IF(OR(Log[[#This Row],[Verb]]="done",Log[[#This Row],[Verb]]="punt",Log[[#This Row],[Verb]]="drop",Log[[#This Row],[Verb]]="pass"),Log[[#This Row],[Pts]],0)</f>
      </c>
    </row>
    <row r="14">
      <c r="A14" s="11">
        <v>46062</v>
      </c>
      <c r="B14" t="s">
        <v>166</v>
      </c>
      <c r="C14" t="s">
        <v>38</v>
      </c>
      <c r="D14">
        <v>37</v>
      </c>
      <c r="F14" s="17">
        <f>IF(Log[[#This Row],[ID]]="","",IF(ISNA(MATCH(Log[[#This Row],[ID]],Items[ID],0)),"unknown ID",IF(ISNA(MATCH(Log[[#This Row],[Verb]],VerbList,0)),"unknown verb",IF(Log[[#This Row],[Date]]="","no date",""))))</f>
      </c>
      <c r="G14" s="17">
        <f>IF(Log[[#This Row],[ID]]="","",IFERROR(VLOOKUP(Log[[#This Row],[Verb]],Verbs,3,FALSE)&amp;"",""))</f>
      </c>
      <c r="H14" s="17">
        <f>IF(Log[[#This Row],[Date]]="","",INT((Log[[#This Row],[Date]]-Sprint1)/SprintDays)+1)</f>
      </c>
      <c r="I14" s="17">
        <f>IF(OR(Log[[#This Row],[Verb]]="commit",Log[[#This Row],[Verb]]="carry",Log[[#This Row],[Verb]]="redo"),IF(Log[[#This Row],[Arg]]="",Log[[#This Row],[Sprint]],N(Log[[#This Row],[Arg]])),"")</f>
      </c>
      <c r="J14" s="17">
        <f>IF(Log[[#This Row],[Verb]]="block",1,IF(OR(Log[[#This Row],[Verb]]="unblock",Log[[#This Row],[Verb]]="done",Log[[#This Row],[Verb]]="drop",Log[[#This Row],[Verb]]="punt",Log[[#This Row],[Verb]]="pass"),0,""))</f>
      </c>
      <c r="K14" s="17">
        <f>IF(Log[[#This Row],[ID]]="",0,IFERROR(INDEX(Items[Pts],MATCH(Log[[#This Row],[ID]],Items[ID],0))*1,0))</f>
      </c>
      <c r="L14" s="17">
        <f>IF(Log[[#This Row],[ID]]="","",IFERROR(INDEX(Items[Cur team],MATCH(Log[[#This Row],[ID]],Items[ID],0))&amp;"",""))</f>
      </c>
      <c r="M14" s="17">
        <f>IF(OR(Log[[#This Row],[Verb]]="done",Log[[#This Row],[Verb]]="punt",Log[[#This Row],[Verb]]="drop",Log[[#This Row],[Verb]]="pass"),Log[[#This Row],[Pts]],0)</f>
      </c>
    </row>
    <row r="15">
      <c r="A15" s="11">
        <v>46062</v>
      </c>
      <c r="B15" t="s">
        <v>167</v>
      </c>
      <c r="C15" t="s">
        <v>38</v>
      </c>
      <c r="D15">
        <v>37</v>
      </c>
      <c r="F15" s="17">
        <f>IF(Log[[#This Row],[ID]]="","",IF(ISNA(MATCH(Log[[#This Row],[ID]],Items[ID],0)),"unknown ID",IF(ISNA(MATCH(Log[[#This Row],[Verb]],VerbList,0)),"unknown verb",IF(Log[[#This Row],[Date]]="","no date",""))))</f>
      </c>
      <c r="G15" s="17">
        <f>IF(Log[[#This Row],[ID]]="","",IFERROR(VLOOKUP(Log[[#This Row],[Verb]],Verbs,3,FALSE)&amp;"",""))</f>
      </c>
      <c r="H15" s="17">
        <f>IF(Log[[#This Row],[Date]]="","",INT((Log[[#This Row],[Date]]-Sprint1)/SprintDays)+1)</f>
      </c>
      <c r="I15" s="17">
        <f>IF(OR(Log[[#This Row],[Verb]]="commit",Log[[#This Row],[Verb]]="carry",Log[[#This Row],[Verb]]="redo"),IF(Log[[#This Row],[Arg]]="",Log[[#This Row],[Sprint]],N(Log[[#This Row],[Arg]])),"")</f>
      </c>
      <c r="J15" s="17">
        <f>IF(Log[[#This Row],[Verb]]="block",1,IF(OR(Log[[#This Row],[Verb]]="unblock",Log[[#This Row],[Verb]]="done",Log[[#This Row],[Verb]]="drop",Log[[#This Row],[Verb]]="punt",Log[[#This Row],[Verb]]="pass"),0,""))</f>
      </c>
      <c r="K15" s="17">
        <f>IF(Log[[#This Row],[ID]]="",0,IFERROR(INDEX(Items[Pts],MATCH(Log[[#This Row],[ID]],Items[ID],0))*1,0))</f>
      </c>
      <c r="L15" s="17">
        <f>IF(Log[[#This Row],[ID]]="","",IFERROR(INDEX(Items[Cur team],MATCH(Log[[#This Row],[ID]],Items[ID],0))&amp;"",""))</f>
      </c>
      <c r="M15" s="17">
        <f>IF(OR(Log[[#This Row],[Verb]]="done",Log[[#This Row],[Verb]]="punt",Log[[#This Row],[Verb]]="drop",Log[[#This Row],[Verb]]="pass"),Log[[#This Row],[Pts]],0)</f>
      </c>
    </row>
    <row r="16">
      <c r="A16" s="11">
        <v>46062</v>
      </c>
      <c r="B16" t="s">
        <v>168</v>
      </c>
      <c r="C16" t="s">
        <v>38</v>
      </c>
      <c r="D16">
        <v>37</v>
      </c>
      <c r="F16" s="17">
        <f>IF(Log[[#This Row],[ID]]="","",IF(ISNA(MATCH(Log[[#This Row],[ID]],Items[ID],0)),"unknown ID",IF(ISNA(MATCH(Log[[#This Row],[Verb]],VerbList,0)),"unknown verb",IF(Log[[#This Row],[Date]]="","no date",""))))</f>
      </c>
      <c r="G16" s="17">
        <f>IF(Log[[#This Row],[ID]]="","",IFERROR(VLOOKUP(Log[[#This Row],[Verb]],Verbs,3,FALSE)&amp;"",""))</f>
      </c>
      <c r="H16" s="17">
        <f>IF(Log[[#This Row],[Date]]="","",INT((Log[[#This Row],[Date]]-Sprint1)/SprintDays)+1)</f>
      </c>
      <c r="I16" s="17">
        <f>IF(OR(Log[[#This Row],[Verb]]="commit",Log[[#This Row],[Verb]]="carry",Log[[#This Row],[Verb]]="redo"),IF(Log[[#This Row],[Arg]]="",Log[[#This Row],[Sprint]],N(Log[[#This Row],[Arg]])),"")</f>
      </c>
      <c r="J16" s="17">
        <f>IF(Log[[#This Row],[Verb]]="block",1,IF(OR(Log[[#This Row],[Verb]]="unblock",Log[[#This Row],[Verb]]="done",Log[[#This Row],[Verb]]="drop",Log[[#This Row],[Verb]]="punt",Log[[#This Row],[Verb]]="pass"),0,""))</f>
      </c>
      <c r="K16" s="17">
        <f>IF(Log[[#This Row],[ID]]="",0,IFERROR(INDEX(Items[Pts],MATCH(Log[[#This Row],[ID]],Items[ID],0))*1,0))</f>
      </c>
      <c r="L16" s="17">
        <f>IF(Log[[#This Row],[ID]]="","",IFERROR(INDEX(Items[Cur team],MATCH(Log[[#This Row],[ID]],Items[ID],0))&amp;"",""))</f>
      </c>
      <c r="M16" s="17">
        <f>IF(OR(Log[[#This Row],[Verb]]="done",Log[[#This Row],[Verb]]="punt",Log[[#This Row],[Verb]]="drop",Log[[#This Row],[Verb]]="pass"),Log[[#This Row],[Pts]],0)</f>
      </c>
    </row>
    <row r="17">
      <c r="A17" s="11">
        <v>46062</v>
      </c>
      <c r="B17" t="s">
        <v>169</v>
      </c>
      <c r="C17" t="s">
        <v>38</v>
      </c>
      <c r="D17">
        <v>37</v>
      </c>
      <c r="F17" s="17">
        <f>IF(Log[[#This Row],[ID]]="","",IF(ISNA(MATCH(Log[[#This Row],[ID]],Items[ID],0)),"unknown ID",IF(ISNA(MATCH(Log[[#This Row],[Verb]],VerbList,0)),"unknown verb",IF(Log[[#This Row],[Date]]="","no date",""))))</f>
      </c>
      <c r="G17" s="17">
        <f>IF(Log[[#This Row],[ID]]="","",IFERROR(VLOOKUP(Log[[#This Row],[Verb]],Verbs,3,FALSE)&amp;"",""))</f>
      </c>
      <c r="H17" s="17">
        <f>IF(Log[[#This Row],[Date]]="","",INT((Log[[#This Row],[Date]]-Sprint1)/SprintDays)+1)</f>
      </c>
      <c r="I17" s="17">
        <f>IF(OR(Log[[#This Row],[Verb]]="commit",Log[[#This Row],[Verb]]="carry",Log[[#This Row],[Verb]]="redo"),IF(Log[[#This Row],[Arg]]="",Log[[#This Row],[Sprint]],N(Log[[#This Row],[Arg]])),"")</f>
      </c>
      <c r="J17" s="17">
        <f>IF(Log[[#This Row],[Verb]]="block",1,IF(OR(Log[[#This Row],[Verb]]="unblock",Log[[#This Row],[Verb]]="done",Log[[#This Row],[Verb]]="drop",Log[[#This Row],[Verb]]="punt",Log[[#This Row],[Verb]]="pass"),0,""))</f>
      </c>
      <c r="K17" s="17">
        <f>IF(Log[[#This Row],[ID]]="",0,IFERROR(INDEX(Items[Pts],MATCH(Log[[#This Row],[ID]],Items[ID],0))*1,0))</f>
      </c>
      <c r="L17" s="17">
        <f>IF(Log[[#This Row],[ID]]="","",IFERROR(INDEX(Items[Cur team],MATCH(Log[[#This Row],[ID]],Items[ID],0))&amp;"",""))</f>
      </c>
      <c r="M17" s="17">
        <f>IF(OR(Log[[#This Row],[Verb]]="done",Log[[#This Row],[Verb]]="punt",Log[[#This Row],[Verb]]="drop",Log[[#This Row],[Verb]]="pass"),Log[[#This Row],[Pts]],0)</f>
      </c>
    </row>
    <row r="18">
      <c r="A18" s="11">
        <v>46063</v>
      </c>
      <c r="B18" t="s">
        <v>170</v>
      </c>
      <c r="C18" t="s">
        <v>34</v>
      </c>
      <c r="D18">
        <v>37</v>
      </c>
      <c r="F18" s="17">
        <f>IF(Log[[#This Row],[ID]]="","",IF(ISNA(MATCH(Log[[#This Row],[ID]],Items[ID],0)),"unknown ID",IF(ISNA(MATCH(Log[[#This Row],[Verb]],VerbList,0)),"unknown verb",IF(Log[[#This Row],[Date]]="","no date",""))))</f>
      </c>
      <c r="G18" s="17">
        <f>IF(Log[[#This Row],[ID]]="","",IFERROR(VLOOKUP(Log[[#This Row],[Verb]],Verbs,3,FALSE)&amp;"",""))</f>
      </c>
      <c r="H18" s="17">
        <f>IF(Log[[#This Row],[Date]]="","",INT((Log[[#This Row],[Date]]-Sprint1)/SprintDays)+1)</f>
      </c>
      <c r="I18" s="17">
        <f>IF(OR(Log[[#This Row],[Verb]]="commit",Log[[#This Row],[Verb]]="carry",Log[[#This Row],[Verb]]="redo"),IF(Log[[#This Row],[Arg]]="",Log[[#This Row],[Sprint]],N(Log[[#This Row],[Arg]])),"")</f>
      </c>
      <c r="J18" s="17">
        <f>IF(Log[[#This Row],[Verb]]="block",1,IF(OR(Log[[#This Row],[Verb]]="unblock",Log[[#This Row],[Verb]]="done",Log[[#This Row],[Verb]]="drop",Log[[#This Row],[Verb]]="punt",Log[[#This Row],[Verb]]="pass"),0,""))</f>
      </c>
      <c r="K18" s="17">
        <f>IF(Log[[#This Row],[ID]]="",0,IFERROR(INDEX(Items[Pts],MATCH(Log[[#This Row],[ID]],Items[ID],0))*1,0))</f>
      </c>
      <c r="L18" s="17">
        <f>IF(Log[[#This Row],[ID]]="","",IFERROR(INDEX(Items[Cur team],MATCH(Log[[#This Row],[ID]],Items[ID],0))&amp;"",""))</f>
      </c>
      <c r="M18" s="17">
        <f>IF(OR(Log[[#This Row],[Verb]]="done",Log[[#This Row],[Verb]]="punt",Log[[#This Row],[Verb]]="drop",Log[[#This Row],[Verb]]="pass"),Log[[#This Row],[Pts]],0)</f>
      </c>
    </row>
    <row r="19">
      <c r="A19" s="11">
        <v>46063</v>
      </c>
      <c r="B19" t="s">
        <v>171</v>
      </c>
      <c r="C19" t="s">
        <v>34</v>
      </c>
      <c r="D19">
        <v>37</v>
      </c>
      <c r="F19" s="17">
        <f>IF(Log[[#This Row],[ID]]="","",IF(ISNA(MATCH(Log[[#This Row],[ID]],Items[ID],0)),"unknown ID",IF(ISNA(MATCH(Log[[#This Row],[Verb]],VerbList,0)),"unknown verb",IF(Log[[#This Row],[Date]]="","no date",""))))</f>
      </c>
      <c r="G19" s="17">
        <f>IF(Log[[#This Row],[ID]]="","",IFERROR(VLOOKUP(Log[[#This Row],[Verb]],Verbs,3,FALSE)&amp;"",""))</f>
      </c>
      <c r="H19" s="17">
        <f>IF(Log[[#This Row],[Date]]="","",INT((Log[[#This Row],[Date]]-Sprint1)/SprintDays)+1)</f>
      </c>
      <c r="I19" s="17">
        <f>IF(OR(Log[[#This Row],[Verb]]="commit",Log[[#This Row],[Verb]]="carry",Log[[#This Row],[Verb]]="redo"),IF(Log[[#This Row],[Arg]]="",Log[[#This Row],[Sprint]],N(Log[[#This Row],[Arg]])),"")</f>
      </c>
      <c r="J19" s="17">
        <f>IF(Log[[#This Row],[Verb]]="block",1,IF(OR(Log[[#This Row],[Verb]]="unblock",Log[[#This Row],[Verb]]="done",Log[[#This Row],[Verb]]="drop",Log[[#This Row],[Verb]]="punt",Log[[#This Row],[Verb]]="pass"),0,""))</f>
      </c>
      <c r="K19" s="17">
        <f>IF(Log[[#This Row],[ID]]="",0,IFERROR(INDEX(Items[Pts],MATCH(Log[[#This Row],[ID]],Items[ID],0))*1,0))</f>
      </c>
      <c r="L19" s="17">
        <f>IF(Log[[#This Row],[ID]]="","",IFERROR(INDEX(Items[Cur team],MATCH(Log[[#This Row],[ID]],Items[ID],0))&amp;"",""))</f>
      </c>
      <c r="M19" s="17">
        <f>IF(OR(Log[[#This Row],[Verb]]="done",Log[[#This Row],[Verb]]="punt",Log[[#This Row],[Verb]]="drop",Log[[#This Row],[Verb]]="pass"),Log[[#This Row],[Pts]],0)</f>
      </c>
    </row>
    <row r="20">
      <c r="A20" s="11">
        <v>46063</v>
      </c>
      <c r="B20" t="s">
        <v>172</v>
      </c>
      <c r="C20" t="s">
        <v>34</v>
      </c>
      <c r="D20">
        <v>37</v>
      </c>
      <c r="F20" s="17">
        <f>IF(Log[[#This Row],[ID]]="","",IF(ISNA(MATCH(Log[[#This Row],[ID]],Items[ID],0)),"unknown ID",IF(ISNA(MATCH(Log[[#This Row],[Verb]],VerbList,0)),"unknown verb",IF(Log[[#This Row],[Date]]="","no date",""))))</f>
      </c>
      <c r="G20" s="17">
        <f>IF(Log[[#This Row],[ID]]="","",IFERROR(VLOOKUP(Log[[#This Row],[Verb]],Verbs,3,FALSE)&amp;"",""))</f>
      </c>
      <c r="H20" s="17">
        <f>IF(Log[[#This Row],[Date]]="","",INT((Log[[#This Row],[Date]]-Sprint1)/SprintDays)+1)</f>
      </c>
      <c r="I20" s="17">
        <f>IF(OR(Log[[#This Row],[Verb]]="commit",Log[[#This Row],[Verb]]="carry",Log[[#This Row],[Verb]]="redo"),IF(Log[[#This Row],[Arg]]="",Log[[#This Row],[Sprint]],N(Log[[#This Row],[Arg]])),"")</f>
      </c>
      <c r="J20" s="17">
        <f>IF(Log[[#This Row],[Verb]]="block",1,IF(OR(Log[[#This Row],[Verb]]="unblock",Log[[#This Row],[Verb]]="done",Log[[#This Row],[Verb]]="drop",Log[[#This Row],[Verb]]="punt",Log[[#This Row],[Verb]]="pass"),0,""))</f>
      </c>
      <c r="K20" s="17">
        <f>IF(Log[[#This Row],[ID]]="",0,IFERROR(INDEX(Items[Pts],MATCH(Log[[#This Row],[ID]],Items[ID],0))*1,0))</f>
      </c>
      <c r="L20" s="17">
        <f>IF(Log[[#This Row],[ID]]="","",IFERROR(INDEX(Items[Cur team],MATCH(Log[[#This Row],[ID]],Items[ID],0))&amp;"",""))</f>
      </c>
      <c r="M20" s="17">
        <f>IF(OR(Log[[#This Row],[Verb]]="done",Log[[#This Row],[Verb]]="punt",Log[[#This Row],[Verb]]="drop",Log[[#This Row],[Verb]]="pass"),Log[[#This Row],[Pts]],0)</f>
      </c>
    </row>
    <row r="21">
      <c r="A21" s="11">
        <v>46063</v>
      </c>
      <c r="B21" t="s">
        <v>173</v>
      </c>
      <c r="C21" t="s">
        <v>34</v>
      </c>
      <c r="D21">
        <v>37</v>
      </c>
      <c r="F21" s="17">
        <f>IF(Log[[#This Row],[ID]]="","",IF(ISNA(MATCH(Log[[#This Row],[ID]],Items[ID],0)),"unknown ID",IF(ISNA(MATCH(Log[[#This Row],[Verb]],VerbList,0)),"unknown verb",IF(Log[[#This Row],[Date]]="","no date",""))))</f>
      </c>
      <c r="G21" s="17">
        <f>IF(Log[[#This Row],[ID]]="","",IFERROR(VLOOKUP(Log[[#This Row],[Verb]],Verbs,3,FALSE)&amp;"",""))</f>
      </c>
      <c r="H21" s="17">
        <f>IF(Log[[#This Row],[Date]]="","",INT((Log[[#This Row],[Date]]-Sprint1)/SprintDays)+1)</f>
      </c>
      <c r="I21" s="17">
        <f>IF(OR(Log[[#This Row],[Verb]]="commit",Log[[#This Row],[Verb]]="carry",Log[[#This Row],[Verb]]="redo"),IF(Log[[#This Row],[Arg]]="",Log[[#This Row],[Sprint]],N(Log[[#This Row],[Arg]])),"")</f>
      </c>
      <c r="J21" s="17">
        <f>IF(Log[[#This Row],[Verb]]="block",1,IF(OR(Log[[#This Row],[Verb]]="unblock",Log[[#This Row],[Verb]]="done",Log[[#This Row],[Verb]]="drop",Log[[#This Row],[Verb]]="punt",Log[[#This Row],[Verb]]="pass"),0,""))</f>
      </c>
      <c r="K21" s="17">
        <f>IF(Log[[#This Row],[ID]]="",0,IFERROR(INDEX(Items[Pts],MATCH(Log[[#This Row],[ID]],Items[ID],0))*1,0))</f>
      </c>
      <c r="L21" s="17">
        <f>IF(Log[[#This Row],[ID]]="","",IFERROR(INDEX(Items[Cur team],MATCH(Log[[#This Row],[ID]],Items[ID],0))&amp;"",""))</f>
      </c>
      <c r="M21" s="17">
        <f>IF(OR(Log[[#This Row],[Verb]]="done",Log[[#This Row],[Verb]]="punt",Log[[#This Row],[Verb]]="drop",Log[[#This Row],[Verb]]="pass"),Log[[#This Row],[Pts]],0)</f>
      </c>
    </row>
    <row r="22">
      <c r="A22" s="11">
        <v>46063</v>
      </c>
      <c r="B22" t="s">
        <v>174</v>
      </c>
      <c r="C22" t="s">
        <v>34</v>
      </c>
      <c r="D22">
        <v>37</v>
      </c>
      <c r="F22" s="17">
        <f>IF(Log[[#This Row],[ID]]="","",IF(ISNA(MATCH(Log[[#This Row],[ID]],Items[ID],0)),"unknown ID",IF(ISNA(MATCH(Log[[#This Row],[Verb]],VerbList,0)),"unknown verb",IF(Log[[#This Row],[Date]]="","no date",""))))</f>
      </c>
      <c r="G22" s="17">
        <f>IF(Log[[#This Row],[ID]]="","",IFERROR(VLOOKUP(Log[[#This Row],[Verb]],Verbs,3,FALSE)&amp;"",""))</f>
      </c>
      <c r="H22" s="17">
        <f>IF(Log[[#This Row],[Date]]="","",INT((Log[[#This Row],[Date]]-Sprint1)/SprintDays)+1)</f>
      </c>
      <c r="I22" s="17">
        <f>IF(OR(Log[[#This Row],[Verb]]="commit",Log[[#This Row],[Verb]]="carry",Log[[#This Row],[Verb]]="redo"),IF(Log[[#This Row],[Arg]]="",Log[[#This Row],[Sprint]],N(Log[[#This Row],[Arg]])),"")</f>
      </c>
      <c r="J22" s="17">
        <f>IF(Log[[#This Row],[Verb]]="block",1,IF(OR(Log[[#This Row],[Verb]]="unblock",Log[[#This Row],[Verb]]="done",Log[[#This Row],[Verb]]="drop",Log[[#This Row],[Verb]]="punt",Log[[#This Row],[Verb]]="pass"),0,""))</f>
      </c>
      <c r="K22" s="17">
        <f>IF(Log[[#This Row],[ID]]="",0,IFERROR(INDEX(Items[Pts],MATCH(Log[[#This Row],[ID]],Items[ID],0))*1,0))</f>
      </c>
      <c r="L22" s="17">
        <f>IF(Log[[#This Row],[ID]]="","",IFERROR(INDEX(Items[Cur team],MATCH(Log[[#This Row],[ID]],Items[ID],0))&amp;"",""))</f>
      </c>
      <c r="M22" s="17">
        <f>IF(OR(Log[[#This Row],[Verb]]="done",Log[[#This Row],[Verb]]="punt",Log[[#This Row],[Verb]]="drop",Log[[#This Row],[Verb]]="pass"),Log[[#This Row],[Pts]],0)</f>
      </c>
    </row>
    <row r="23">
      <c r="A23" s="11">
        <v>46063</v>
      </c>
      <c r="B23" t="s">
        <v>175</v>
      </c>
      <c r="C23" t="s">
        <v>34</v>
      </c>
      <c r="D23">
        <v>37</v>
      </c>
      <c r="F23" s="17">
        <f>IF(Log[[#This Row],[ID]]="","",IF(ISNA(MATCH(Log[[#This Row],[ID]],Items[ID],0)),"unknown ID",IF(ISNA(MATCH(Log[[#This Row],[Verb]],VerbList,0)),"unknown verb",IF(Log[[#This Row],[Date]]="","no date",""))))</f>
      </c>
      <c r="G23" s="17">
        <f>IF(Log[[#This Row],[ID]]="","",IFERROR(VLOOKUP(Log[[#This Row],[Verb]],Verbs,3,FALSE)&amp;"",""))</f>
      </c>
      <c r="H23" s="17">
        <f>IF(Log[[#This Row],[Date]]="","",INT((Log[[#This Row],[Date]]-Sprint1)/SprintDays)+1)</f>
      </c>
      <c r="I23" s="17">
        <f>IF(OR(Log[[#This Row],[Verb]]="commit",Log[[#This Row],[Verb]]="carry",Log[[#This Row],[Verb]]="redo"),IF(Log[[#This Row],[Arg]]="",Log[[#This Row],[Sprint]],N(Log[[#This Row],[Arg]])),"")</f>
      </c>
      <c r="J23" s="17">
        <f>IF(Log[[#This Row],[Verb]]="block",1,IF(OR(Log[[#This Row],[Verb]]="unblock",Log[[#This Row],[Verb]]="done",Log[[#This Row],[Verb]]="drop",Log[[#This Row],[Verb]]="punt",Log[[#This Row],[Verb]]="pass"),0,""))</f>
      </c>
      <c r="K23" s="17">
        <f>IF(Log[[#This Row],[ID]]="",0,IFERROR(INDEX(Items[Pts],MATCH(Log[[#This Row],[ID]],Items[ID],0))*1,0))</f>
      </c>
      <c r="L23" s="17">
        <f>IF(Log[[#This Row],[ID]]="","",IFERROR(INDEX(Items[Cur team],MATCH(Log[[#This Row],[ID]],Items[ID],0))&amp;"",""))</f>
      </c>
      <c r="M23" s="17">
        <f>IF(OR(Log[[#This Row],[Verb]]="done",Log[[#This Row],[Verb]]="punt",Log[[#This Row],[Verb]]="drop",Log[[#This Row],[Verb]]="pass"),Log[[#This Row],[Pts]],0)</f>
      </c>
    </row>
    <row r="24">
      <c r="A24" s="11">
        <v>46063</v>
      </c>
      <c r="B24" t="s">
        <v>176</v>
      </c>
      <c r="C24" t="s">
        <v>34</v>
      </c>
      <c r="D24">
        <v>37</v>
      </c>
      <c r="F24" s="17">
        <f>IF(Log[[#This Row],[ID]]="","",IF(ISNA(MATCH(Log[[#This Row],[ID]],Items[ID],0)),"unknown ID",IF(ISNA(MATCH(Log[[#This Row],[Verb]],VerbList,0)),"unknown verb",IF(Log[[#This Row],[Date]]="","no date",""))))</f>
      </c>
      <c r="G24" s="17">
        <f>IF(Log[[#This Row],[ID]]="","",IFERROR(VLOOKUP(Log[[#This Row],[Verb]],Verbs,3,FALSE)&amp;"",""))</f>
      </c>
      <c r="H24" s="17">
        <f>IF(Log[[#This Row],[Date]]="","",INT((Log[[#This Row],[Date]]-Sprint1)/SprintDays)+1)</f>
      </c>
      <c r="I24" s="17">
        <f>IF(OR(Log[[#This Row],[Verb]]="commit",Log[[#This Row],[Verb]]="carry",Log[[#This Row],[Verb]]="redo"),IF(Log[[#This Row],[Arg]]="",Log[[#This Row],[Sprint]],N(Log[[#This Row],[Arg]])),"")</f>
      </c>
      <c r="J24" s="17">
        <f>IF(Log[[#This Row],[Verb]]="block",1,IF(OR(Log[[#This Row],[Verb]]="unblock",Log[[#This Row],[Verb]]="done",Log[[#This Row],[Verb]]="drop",Log[[#This Row],[Verb]]="punt",Log[[#This Row],[Verb]]="pass"),0,""))</f>
      </c>
      <c r="K24" s="17">
        <f>IF(Log[[#This Row],[ID]]="",0,IFERROR(INDEX(Items[Pts],MATCH(Log[[#This Row],[ID]],Items[ID],0))*1,0))</f>
      </c>
      <c r="L24" s="17">
        <f>IF(Log[[#This Row],[ID]]="","",IFERROR(INDEX(Items[Cur team],MATCH(Log[[#This Row],[ID]],Items[ID],0))&amp;"",""))</f>
      </c>
      <c r="M24" s="17">
        <f>IF(OR(Log[[#This Row],[Verb]]="done",Log[[#This Row],[Verb]]="punt",Log[[#This Row],[Verb]]="drop",Log[[#This Row],[Verb]]="pass"),Log[[#This Row],[Pts]],0)</f>
      </c>
    </row>
    <row r="25">
      <c r="A25" s="11">
        <v>46063</v>
      </c>
      <c r="B25" t="s">
        <v>177</v>
      </c>
      <c r="C25" t="s">
        <v>34</v>
      </c>
      <c r="D25">
        <v>37</v>
      </c>
      <c r="F25" s="17">
        <f>IF(Log[[#This Row],[ID]]="","",IF(ISNA(MATCH(Log[[#This Row],[ID]],Items[ID],0)),"unknown ID",IF(ISNA(MATCH(Log[[#This Row],[Verb]],VerbList,0)),"unknown verb",IF(Log[[#This Row],[Date]]="","no date",""))))</f>
      </c>
      <c r="G25" s="17">
        <f>IF(Log[[#This Row],[ID]]="","",IFERROR(VLOOKUP(Log[[#This Row],[Verb]],Verbs,3,FALSE)&amp;"",""))</f>
      </c>
      <c r="H25" s="17">
        <f>IF(Log[[#This Row],[Date]]="","",INT((Log[[#This Row],[Date]]-Sprint1)/SprintDays)+1)</f>
      </c>
      <c r="I25" s="17">
        <f>IF(OR(Log[[#This Row],[Verb]]="commit",Log[[#This Row],[Verb]]="carry",Log[[#This Row],[Verb]]="redo"),IF(Log[[#This Row],[Arg]]="",Log[[#This Row],[Sprint]],N(Log[[#This Row],[Arg]])),"")</f>
      </c>
      <c r="J25" s="17">
        <f>IF(Log[[#This Row],[Verb]]="block",1,IF(OR(Log[[#This Row],[Verb]]="unblock",Log[[#This Row],[Verb]]="done",Log[[#This Row],[Verb]]="drop",Log[[#This Row],[Verb]]="punt",Log[[#This Row],[Verb]]="pass"),0,""))</f>
      </c>
      <c r="K25" s="17">
        <f>IF(Log[[#This Row],[ID]]="",0,IFERROR(INDEX(Items[Pts],MATCH(Log[[#This Row],[ID]],Items[ID],0))*1,0))</f>
      </c>
      <c r="L25" s="17">
        <f>IF(Log[[#This Row],[ID]]="","",IFERROR(INDEX(Items[Cur team],MATCH(Log[[#This Row],[ID]],Items[ID],0))&amp;"",""))</f>
      </c>
      <c r="M25" s="17">
        <f>IF(OR(Log[[#This Row],[Verb]]="done",Log[[#This Row],[Verb]]="punt",Log[[#This Row],[Verb]]="drop",Log[[#This Row],[Verb]]="pass"),Log[[#This Row],[Pts]],0)</f>
      </c>
    </row>
    <row r="26">
      <c r="A26" s="11">
        <v>46063</v>
      </c>
      <c r="B26" t="s">
        <v>178</v>
      </c>
      <c r="C26" t="s">
        <v>34</v>
      </c>
      <c r="D26">
        <v>37</v>
      </c>
      <c r="F26" s="17">
        <f>IF(Log[[#This Row],[ID]]="","",IF(ISNA(MATCH(Log[[#This Row],[ID]],Items[ID],0)),"unknown ID",IF(ISNA(MATCH(Log[[#This Row],[Verb]],VerbList,0)),"unknown verb",IF(Log[[#This Row],[Date]]="","no date",""))))</f>
      </c>
      <c r="G26" s="17">
        <f>IF(Log[[#This Row],[ID]]="","",IFERROR(VLOOKUP(Log[[#This Row],[Verb]],Verbs,3,FALSE)&amp;"",""))</f>
      </c>
      <c r="H26" s="17">
        <f>IF(Log[[#This Row],[Date]]="","",INT((Log[[#This Row],[Date]]-Sprint1)/SprintDays)+1)</f>
      </c>
      <c r="I26" s="17">
        <f>IF(OR(Log[[#This Row],[Verb]]="commit",Log[[#This Row],[Verb]]="carry",Log[[#This Row],[Verb]]="redo"),IF(Log[[#This Row],[Arg]]="",Log[[#This Row],[Sprint]],N(Log[[#This Row],[Arg]])),"")</f>
      </c>
      <c r="J26" s="17">
        <f>IF(Log[[#This Row],[Verb]]="block",1,IF(OR(Log[[#This Row],[Verb]]="unblock",Log[[#This Row],[Verb]]="done",Log[[#This Row],[Verb]]="drop",Log[[#This Row],[Verb]]="punt",Log[[#This Row],[Verb]]="pass"),0,""))</f>
      </c>
      <c r="K26" s="17">
        <f>IF(Log[[#This Row],[ID]]="",0,IFERROR(INDEX(Items[Pts],MATCH(Log[[#This Row],[ID]],Items[ID],0))*1,0))</f>
      </c>
      <c r="L26" s="17">
        <f>IF(Log[[#This Row],[ID]]="","",IFERROR(INDEX(Items[Cur team],MATCH(Log[[#This Row],[ID]],Items[ID],0))&amp;"",""))</f>
      </c>
      <c r="M26" s="17">
        <f>IF(OR(Log[[#This Row],[Verb]]="done",Log[[#This Row],[Verb]]="punt",Log[[#This Row],[Verb]]="drop",Log[[#This Row],[Verb]]="pass"),Log[[#This Row],[Pts]],0)</f>
      </c>
    </row>
    <row r="27">
      <c r="A27" s="11">
        <v>46063</v>
      </c>
      <c r="B27" t="s">
        <v>179</v>
      </c>
      <c r="C27" t="s">
        <v>34</v>
      </c>
      <c r="D27">
        <v>37</v>
      </c>
      <c r="F27" s="17">
        <f>IF(Log[[#This Row],[ID]]="","",IF(ISNA(MATCH(Log[[#This Row],[ID]],Items[ID],0)),"unknown ID",IF(ISNA(MATCH(Log[[#This Row],[Verb]],VerbList,0)),"unknown verb",IF(Log[[#This Row],[Date]]="","no date",""))))</f>
      </c>
      <c r="G27" s="17">
        <f>IF(Log[[#This Row],[ID]]="","",IFERROR(VLOOKUP(Log[[#This Row],[Verb]],Verbs,3,FALSE)&amp;"",""))</f>
      </c>
      <c r="H27" s="17">
        <f>IF(Log[[#This Row],[Date]]="","",INT((Log[[#This Row],[Date]]-Sprint1)/SprintDays)+1)</f>
      </c>
      <c r="I27" s="17">
        <f>IF(OR(Log[[#This Row],[Verb]]="commit",Log[[#This Row],[Verb]]="carry",Log[[#This Row],[Verb]]="redo"),IF(Log[[#This Row],[Arg]]="",Log[[#This Row],[Sprint]],N(Log[[#This Row],[Arg]])),"")</f>
      </c>
      <c r="J27" s="17">
        <f>IF(Log[[#This Row],[Verb]]="block",1,IF(OR(Log[[#This Row],[Verb]]="unblock",Log[[#This Row],[Verb]]="done",Log[[#This Row],[Verb]]="drop",Log[[#This Row],[Verb]]="punt",Log[[#This Row],[Verb]]="pass"),0,""))</f>
      </c>
      <c r="K27" s="17">
        <f>IF(Log[[#This Row],[ID]]="",0,IFERROR(INDEX(Items[Pts],MATCH(Log[[#This Row],[ID]],Items[ID],0))*1,0))</f>
      </c>
      <c r="L27" s="17">
        <f>IF(Log[[#This Row],[ID]]="","",IFERROR(INDEX(Items[Cur team],MATCH(Log[[#This Row],[ID]],Items[ID],0))&amp;"",""))</f>
      </c>
      <c r="M27" s="17">
        <f>IF(OR(Log[[#This Row],[Verb]]="done",Log[[#This Row],[Verb]]="punt",Log[[#This Row],[Verb]]="drop",Log[[#This Row],[Verb]]="pass"),Log[[#This Row],[Pts]],0)</f>
      </c>
    </row>
    <row r="28">
      <c r="A28" s="11">
        <v>46063</v>
      </c>
      <c r="B28" t="s">
        <v>180</v>
      </c>
      <c r="C28" t="s">
        <v>34</v>
      </c>
      <c r="D28">
        <v>37</v>
      </c>
      <c r="F28" s="17">
        <f>IF(Log[[#This Row],[ID]]="","",IF(ISNA(MATCH(Log[[#This Row],[ID]],Items[ID],0)),"unknown ID",IF(ISNA(MATCH(Log[[#This Row],[Verb]],VerbList,0)),"unknown verb",IF(Log[[#This Row],[Date]]="","no date",""))))</f>
      </c>
      <c r="G28" s="17">
        <f>IF(Log[[#This Row],[ID]]="","",IFERROR(VLOOKUP(Log[[#This Row],[Verb]],Verbs,3,FALSE)&amp;"",""))</f>
      </c>
      <c r="H28" s="17">
        <f>IF(Log[[#This Row],[Date]]="","",INT((Log[[#This Row],[Date]]-Sprint1)/SprintDays)+1)</f>
      </c>
      <c r="I28" s="17">
        <f>IF(OR(Log[[#This Row],[Verb]]="commit",Log[[#This Row],[Verb]]="carry",Log[[#This Row],[Verb]]="redo"),IF(Log[[#This Row],[Arg]]="",Log[[#This Row],[Sprint]],N(Log[[#This Row],[Arg]])),"")</f>
      </c>
      <c r="J28" s="17">
        <f>IF(Log[[#This Row],[Verb]]="block",1,IF(OR(Log[[#This Row],[Verb]]="unblock",Log[[#This Row],[Verb]]="done",Log[[#This Row],[Verb]]="drop",Log[[#This Row],[Verb]]="punt",Log[[#This Row],[Verb]]="pass"),0,""))</f>
      </c>
      <c r="K28" s="17">
        <f>IF(Log[[#This Row],[ID]]="",0,IFERROR(INDEX(Items[Pts],MATCH(Log[[#This Row],[ID]],Items[ID],0))*1,0))</f>
      </c>
      <c r="L28" s="17">
        <f>IF(Log[[#This Row],[ID]]="","",IFERROR(INDEX(Items[Cur team],MATCH(Log[[#This Row],[ID]],Items[ID],0))&amp;"",""))</f>
      </c>
      <c r="M28" s="17">
        <f>IF(OR(Log[[#This Row],[Verb]]="done",Log[[#This Row],[Verb]]="punt",Log[[#This Row],[Verb]]="drop",Log[[#This Row],[Verb]]="pass"),Log[[#This Row],[Pts]],0)</f>
      </c>
    </row>
    <row r="29">
      <c r="A29" s="11">
        <v>46063</v>
      </c>
      <c r="B29" t="s">
        <v>181</v>
      </c>
      <c r="C29" t="s">
        <v>34</v>
      </c>
      <c r="D29">
        <v>37</v>
      </c>
      <c r="F29" s="17">
        <f>IF(Log[[#This Row],[ID]]="","",IF(ISNA(MATCH(Log[[#This Row],[ID]],Items[ID],0)),"unknown ID",IF(ISNA(MATCH(Log[[#This Row],[Verb]],VerbList,0)),"unknown verb",IF(Log[[#This Row],[Date]]="","no date",""))))</f>
      </c>
      <c r="G29" s="17">
        <f>IF(Log[[#This Row],[ID]]="","",IFERROR(VLOOKUP(Log[[#This Row],[Verb]],Verbs,3,FALSE)&amp;"",""))</f>
      </c>
      <c r="H29" s="17">
        <f>IF(Log[[#This Row],[Date]]="","",INT((Log[[#This Row],[Date]]-Sprint1)/SprintDays)+1)</f>
      </c>
      <c r="I29" s="17">
        <f>IF(OR(Log[[#This Row],[Verb]]="commit",Log[[#This Row],[Verb]]="carry",Log[[#This Row],[Verb]]="redo"),IF(Log[[#This Row],[Arg]]="",Log[[#This Row],[Sprint]],N(Log[[#This Row],[Arg]])),"")</f>
      </c>
      <c r="J29" s="17">
        <f>IF(Log[[#This Row],[Verb]]="block",1,IF(OR(Log[[#This Row],[Verb]]="unblock",Log[[#This Row],[Verb]]="done",Log[[#This Row],[Verb]]="drop",Log[[#This Row],[Verb]]="punt",Log[[#This Row],[Verb]]="pass"),0,""))</f>
      </c>
      <c r="K29" s="17">
        <f>IF(Log[[#This Row],[ID]]="",0,IFERROR(INDEX(Items[Pts],MATCH(Log[[#This Row],[ID]],Items[ID],0))*1,0))</f>
      </c>
      <c r="L29" s="17">
        <f>IF(Log[[#This Row],[ID]]="","",IFERROR(INDEX(Items[Cur team],MATCH(Log[[#This Row],[ID]],Items[ID],0))&amp;"",""))</f>
      </c>
      <c r="M29" s="17">
        <f>IF(OR(Log[[#This Row],[Verb]]="done",Log[[#This Row],[Verb]]="punt",Log[[#This Row],[Verb]]="drop",Log[[#This Row],[Verb]]="pass"),Log[[#This Row],[Pts]],0)</f>
      </c>
    </row>
    <row r="30">
      <c r="A30" s="11">
        <v>46063</v>
      </c>
      <c r="B30" t="s">
        <v>182</v>
      </c>
      <c r="C30" t="s">
        <v>34</v>
      </c>
      <c r="D30">
        <v>37</v>
      </c>
      <c r="F30" s="17">
        <f>IF(Log[[#This Row],[ID]]="","",IF(ISNA(MATCH(Log[[#This Row],[ID]],Items[ID],0)),"unknown ID",IF(ISNA(MATCH(Log[[#This Row],[Verb]],VerbList,0)),"unknown verb",IF(Log[[#This Row],[Date]]="","no date",""))))</f>
      </c>
      <c r="G30" s="17">
        <f>IF(Log[[#This Row],[ID]]="","",IFERROR(VLOOKUP(Log[[#This Row],[Verb]],Verbs,3,FALSE)&amp;"",""))</f>
      </c>
      <c r="H30" s="17">
        <f>IF(Log[[#This Row],[Date]]="","",INT((Log[[#This Row],[Date]]-Sprint1)/SprintDays)+1)</f>
      </c>
      <c r="I30" s="17">
        <f>IF(OR(Log[[#This Row],[Verb]]="commit",Log[[#This Row],[Verb]]="carry",Log[[#This Row],[Verb]]="redo"),IF(Log[[#This Row],[Arg]]="",Log[[#This Row],[Sprint]],N(Log[[#This Row],[Arg]])),"")</f>
      </c>
      <c r="J30" s="17">
        <f>IF(Log[[#This Row],[Verb]]="block",1,IF(OR(Log[[#This Row],[Verb]]="unblock",Log[[#This Row],[Verb]]="done",Log[[#This Row],[Verb]]="drop",Log[[#This Row],[Verb]]="punt",Log[[#This Row],[Verb]]="pass"),0,""))</f>
      </c>
      <c r="K30" s="17">
        <f>IF(Log[[#This Row],[ID]]="",0,IFERROR(INDEX(Items[Pts],MATCH(Log[[#This Row],[ID]],Items[ID],0))*1,0))</f>
      </c>
      <c r="L30" s="17">
        <f>IF(Log[[#This Row],[ID]]="","",IFERROR(INDEX(Items[Cur team],MATCH(Log[[#This Row],[ID]],Items[ID],0))&amp;"",""))</f>
      </c>
      <c r="M30" s="17">
        <f>IF(OR(Log[[#This Row],[Verb]]="done",Log[[#This Row],[Verb]]="punt",Log[[#This Row],[Verb]]="drop",Log[[#This Row],[Verb]]="pass"),Log[[#This Row],[Pts]],0)</f>
      </c>
    </row>
    <row r="31">
      <c r="A31" s="11">
        <v>46076</v>
      </c>
      <c r="B31" t="s">
        <v>162</v>
      </c>
      <c r="C31" t="s">
        <v>38</v>
      </c>
      <c r="D31">
        <v>38</v>
      </c>
      <c r="F31" s="17">
        <f>IF(Log[[#This Row],[ID]]="","",IF(ISNA(MATCH(Log[[#This Row],[ID]],Items[ID],0)),"unknown ID",IF(ISNA(MATCH(Log[[#This Row],[Verb]],VerbList,0)),"unknown verb",IF(Log[[#This Row],[Date]]="","no date",""))))</f>
      </c>
      <c r="G31" s="17">
        <f>IF(Log[[#This Row],[ID]]="","",IFERROR(VLOOKUP(Log[[#This Row],[Verb]],Verbs,3,FALSE)&amp;"",""))</f>
      </c>
      <c r="H31" s="17">
        <f>IF(Log[[#This Row],[Date]]="","",INT((Log[[#This Row],[Date]]-Sprint1)/SprintDays)+1)</f>
      </c>
      <c r="I31" s="17">
        <f>IF(OR(Log[[#This Row],[Verb]]="commit",Log[[#This Row],[Verb]]="carry",Log[[#This Row],[Verb]]="redo"),IF(Log[[#This Row],[Arg]]="",Log[[#This Row],[Sprint]],N(Log[[#This Row],[Arg]])),"")</f>
      </c>
      <c r="J31" s="17">
        <f>IF(Log[[#This Row],[Verb]]="block",1,IF(OR(Log[[#This Row],[Verb]]="unblock",Log[[#This Row],[Verb]]="done",Log[[#This Row],[Verb]]="drop",Log[[#This Row],[Verb]]="punt",Log[[#This Row],[Verb]]="pass"),0,""))</f>
      </c>
      <c r="K31" s="17">
        <f>IF(Log[[#This Row],[ID]]="",0,IFERROR(INDEX(Items[Pts],MATCH(Log[[#This Row],[ID]],Items[ID],0))*1,0))</f>
      </c>
      <c r="L31" s="17">
        <f>IF(Log[[#This Row],[ID]]="","",IFERROR(INDEX(Items[Cur team],MATCH(Log[[#This Row],[ID]],Items[ID],0))&amp;"",""))</f>
      </c>
      <c r="M31" s="17">
        <f>IF(OR(Log[[#This Row],[Verb]]="done",Log[[#This Row],[Verb]]="punt",Log[[#This Row],[Verb]]="drop",Log[[#This Row],[Verb]]="pass"),Log[[#This Row],[Pts]],0)</f>
      </c>
    </row>
    <row r="32">
      <c r="A32" s="11">
        <v>46076</v>
      </c>
      <c r="B32" t="s">
        <v>170</v>
      </c>
      <c r="C32" t="s">
        <v>38</v>
      </c>
      <c r="D32">
        <v>38</v>
      </c>
      <c r="F32" s="17">
        <f>IF(Log[[#This Row],[ID]]="","",IF(ISNA(MATCH(Log[[#This Row],[ID]],Items[ID],0)),"unknown ID",IF(ISNA(MATCH(Log[[#This Row],[Verb]],VerbList,0)),"unknown verb",IF(Log[[#This Row],[Date]]="","no date",""))))</f>
      </c>
      <c r="G32" s="17">
        <f>IF(Log[[#This Row],[ID]]="","",IFERROR(VLOOKUP(Log[[#This Row],[Verb]],Verbs,3,FALSE)&amp;"",""))</f>
      </c>
      <c r="H32" s="17">
        <f>IF(Log[[#This Row],[Date]]="","",INT((Log[[#This Row],[Date]]-Sprint1)/SprintDays)+1)</f>
      </c>
      <c r="I32" s="17">
        <f>IF(OR(Log[[#This Row],[Verb]]="commit",Log[[#This Row],[Verb]]="carry",Log[[#This Row],[Verb]]="redo"),IF(Log[[#This Row],[Arg]]="",Log[[#This Row],[Sprint]],N(Log[[#This Row],[Arg]])),"")</f>
      </c>
      <c r="J32" s="17">
        <f>IF(Log[[#This Row],[Verb]]="block",1,IF(OR(Log[[#This Row],[Verb]]="unblock",Log[[#This Row],[Verb]]="done",Log[[#This Row],[Verb]]="drop",Log[[#This Row],[Verb]]="punt",Log[[#This Row],[Verb]]="pass"),0,""))</f>
      </c>
      <c r="K32" s="17">
        <f>IF(Log[[#This Row],[ID]]="",0,IFERROR(INDEX(Items[Pts],MATCH(Log[[#This Row],[ID]],Items[ID],0))*1,0))</f>
      </c>
      <c r="L32" s="17">
        <f>IF(Log[[#This Row],[ID]]="","",IFERROR(INDEX(Items[Cur team],MATCH(Log[[#This Row],[ID]],Items[ID],0))&amp;"",""))</f>
      </c>
      <c r="M32" s="17">
        <f>IF(OR(Log[[#This Row],[Verb]]="done",Log[[#This Row],[Verb]]="punt",Log[[#This Row],[Verb]]="drop",Log[[#This Row],[Verb]]="pass"),Log[[#This Row],[Pts]],0)</f>
      </c>
    </row>
    <row r="33">
      <c r="A33" s="11">
        <v>46076</v>
      </c>
      <c r="B33" t="s">
        <v>163</v>
      </c>
      <c r="C33" t="s">
        <v>38</v>
      </c>
      <c r="D33">
        <v>38</v>
      </c>
      <c r="F33" s="17">
        <f>IF(Log[[#This Row],[ID]]="","",IF(ISNA(MATCH(Log[[#This Row],[ID]],Items[ID],0)),"unknown ID",IF(ISNA(MATCH(Log[[#This Row],[Verb]],VerbList,0)),"unknown verb",IF(Log[[#This Row],[Date]]="","no date",""))))</f>
      </c>
      <c r="G33" s="17">
        <f>IF(Log[[#This Row],[ID]]="","",IFERROR(VLOOKUP(Log[[#This Row],[Verb]],Verbs,3,FALSE)&amp;"",""))</f>
      </c>
      <c r="H33" s="17">
        <f>IF(Log[[#This Row],[Date]]="","",INT((Log[[#This Row],[Date]]-Sprint1)/SprintDays)+1)</f>
      </c>
      <c r="I33" s="17">
        <f>IF(OR(Log[[#This Row],[Verb]]="commit",Log[[#This Row],[Verb]]="carry",Log[[#This Row],[Verb]]="redo"),IF(Log[[#This Row],[Arg]]="",Log[[#This Row],[Sprint]],N(Log[[#This Row],[Arg]])),"")</f>
      </c>
      <c r="J33" s="17">
        <f>IF(Log[[#This Row],[Verb]]="block",1,IF(OR(Log[[#This Row],[Verb]]="unblock",Log[[#This Row],[Verb]]="done",Log[[#This Row],[Verb]]="drop",Log[[#This Row],[Verb]]="punt",Log[[#This Row],[Verb]]="pass"),0,""))</f>
      </c>
      <c r="K33" s="17">
        <f>IF(Log[[#This Row],[ID]]="",0,IFERROR(INDEX(Items[Pts],MATCH(Log[[#This Row],[ID]],Items[ID],0))*1,0))</f>
      </c>
      <c r="L33" s="17">
        <f>IF(Log[[#This Row],[ID]]="","",IFERROR(INDEX(Items[Cur team],MATCH(Log[[#This Row],[ID]],Items[ID],0))&amp;"",""))</f>
      </c>
      <c r="M33" s="17">
        <f>IF(OR(Log[[#This Row],[Verb]]="done",Log[[#This Row],[Verb]]="punt",Log[[#This Row],[Verb]]="drop",Log[[#This Row],[Verb]]="pass"),Log[[#This Row],[Pts]],0)</f>
      </c>
    </row>
    <row r="34">
      <c r="A34" s="11">
        <v>46076</v>
      </c>
      <c r="B34" t="s">
        <v>171</v>
      </c>
      <c r="C34" t="s">
        <v>38</v>
      </c>
      <c r="D34">
        <v>38</v>
      </c>
      <c r="F34" s="17">
        <f>IF(Log[[#This Row],[ID]]="","",IF(ISNA(MATCH(Log[[#This Row],[ID]],Items[ID],0)),"unknown ID",IF(ISNA(MATCH(Log[[#This Row],[Verb]],VerbList,0)),"unknown verb",IF(Log[[#This Row],[Date]]="","no date",""))))</f>
      </c>
      <c r="G34" s="17">
        <f>IF(Log[[#This Row],[ID]]="","",IFERROR(VLOOKUP(Log[[#This Row],[Verb]],Verbs,3,FALSE)&amp;"",""))</f>
      </c>
      <c r="H34" s="17">
        <f>IF(Log[[#This Row],[Date]]="","",INT((Log[[#This Row],[Date]]-Sprint1)/SprintDays)+1)</f>
      </c>
      <c r="I34" s="17">
        <f>IF(OR(Log[[#This Row],[Verb]]="commit",Log[[#This Row],[Verb]]="carry",Log[[#This Row],[Verb]]="redo"),IF(Log[[#This Row],[Arg]]="",Log[[#This Row],[Sprint]],N(Log[[#This Row],[Arg]])),"")</f>
      </c>
      <c r="J34" s="17">
        <f>IF(Log[[#This Row],[Verb]]="block",1,IF(OR(Log[[#This Row],[Verb]]="unblock",Log[[#This Row],[Verb]]="done",Log[[#This Row],[Verb]]="drop",Log[[#This Row],[Verb]]="punt",Log[[#This Row],[Verb]]="pass"),0,""))</f>
      </c>
      <c r="K34" s="17">
        <f>IF(Log[[#This Row],[ID]]="",0,IFERROR(INDEX(Items[Pts],MATCH(Log[[#This Row],[ID]],Items[ID],0))*1,0))</f>
      </c>
      <c r="L34" s="17">
        <f>IF(Log[[#This Row],[ID]]="","",IFERROR(INDEX(Items[Cur team],MATCH(Log[[#This Row],[ID]],Items[ID],0))&amp;"",""))</f>
      </c>
      <c r="M34" s="17">
        <f>IF(OR(Log[[#This Row],[Verb]]="done",Log[[#This Row],[Verb]]="punt",Log[[#This Row],[Verb]]="drop",Log[[#This Row],[Verb]]="pass"),Log[[#This Row],[Pts]],0)</f>
      </c>
    </row>
    <row r="35">
      <c r="A35" s="11">
        <v>46076</v>
      </c>
      <c r="B35" t="s">
        <v>172</v>
      </c>
      <c r="C35" t="s">
        <v>38</v>
      </c>
      <c r="D35">
        <v>38</v>
      </c>
      <c r="F35" s="17">
        <f>IF(Log[[#This Row],[ID]]="","",IF(ISNA(MATCH(Log[[#This Row],[ID]],Items[ID],0)),"unknown ID",IF(ISNA(MATCH(Log[[#This Row],[Verb]],VerbList,0)),"unknown verb",IF(Log[[#This Row],[Date]]="","no date",""))))</f>
      </c>
      <c r="G35" s="17">
        <f>IF(Log[[#This Row],[ID]]="","",IFERROR(VLOOKUP(Log[[#This Row],[Verb]],Verbs,3,FALSE)&amp;"",""))</f>
      </c>
      <c r="H35" s="17">
        <f>IF(Log[[#This Row],[Date]]="","",INT((Log[[#This Row],[Date]]-Sprint1)/SprintDays)+1)</f>
      </c>
      <c r="I35" s="17">
        <f>IF(OR(Log[[#This Row],[Verb]]="commit",Log[[#This Row],[Verb]]="carry",Log[[#This Row],[Verb]]="redo"),IF(Log[[#This Row],[Arg]]="",Log[[#This Row],[Sprint]],N(Log[[#This Row],[Arg]])),"")</f>
      </c>
      <c r="J35" s="17">
        <f>IF(Log[[#This Row],[Verb]]="block",1,IF(OR(Log[[#This Row],[Verb]]="unblock",Log[[#This Row],[Verb]]="done",Log[[#This Row],[Verb]]="drop",Log[[#This Row],[Verb]]="punt",Log[[#This Row],[Verb]]="pass"),0,""))</f>
      </c>
      <c r="K35" s="17">
        <f>IF(Log[[#This Row],[ID]]="",0,IFERROR(INDEX(Items[Pts],MATCH(Log[[#This Row],[ID]],Items[ID],0))*1,0))</f>
      </c>
      <c r="L35" s="17">
        <f>IF(Log[[#This Row],[ID]]="","",IFERROR(INDEX(Items[Cur team],MATCH(Log[[#This Row],[ID]],Items[ID],0))&amp;"",""))</f>
      </c>
      <c r="M35" s="17">
        <f>IF(OR(Log[[#This Row],[Verb]]="done",Log[[#This Row],[Verb]]="punt",Log[[#This Row],[Verb]]="drop",Log[[#This Row],[Verb]]="pass"),Log[[#This Row],[Pts]],0)</f>
      </c>
    </row>
    <row r="36">
      <c r="A36" s="11">
        <v>46076</v>
      </c>
      <c r="B36" t="s">
        <v>164</v>
      </c>
      <c r="C36" t="s">
        <v>38</v>
      </c>
      <c r="D36">
        <v>38</v>
      </c>
      <c r="F36" s="17">
        <f>IF(Log[[#This Row],[ID]]="","",IF(ISNA(MATCH(Log[[#This Row],[ID]],Items[ID],0)),"unknown ID",IF(ISNA(MATCH(Log[[#This Row],[Verb]],VerbList,0)),"unknown verb",IF(Log[[#This Row],[Date]]="","no date",""))))</f>
      </c>
      <c r="G36" s="17">
        <f>IF(Log[[#This Row],[ID]]="","",IFERROR(VLOOKUP(Log[[#This Row],[Verb]],Verbs,3,FALSE)&amp;"",""))</f>
      </c>
      <c r="H36" s="17">
        <f>IF(Log[[#This Row],[Date]]="","",INT((Log[[#This Row],[Date]]-Sprint1)/SprintDays)+1)</f>
      </c>
      <c r="I36" s="17">
        <f>IF(OR(Log[[#This Row],[Verb]]="commit",Log[[#This Row],[Verb]]="carry",Log[[#This Row],[Verb]]="redo"),IF(Log[[#This Row],[Arg]]="",Log[[#This Row],[Sprint]],N(Log[[#This Row],[Arg]])),"")</f>
      </c>
      <c r="J36" s="17">
        <f>IF(Log[[#This Row],[Verb]]="block",1,IF(OR(Log[[#This Row],[Verb]]="unblock",Log[[#This Row],[Verb]]="done",Log[[#This Row],[Verb]]="drop",Log[[#This Row],[Verb]]="punt",Log[[#This Row],[Verb]]="pass"),0,""))</f>
      </c>
      <c r="K36" s="17">
        <f>IF(Log[[#This Row],[ID]]="",0,IFERROR(INDEX(Items[Pts],MATCH(Log[[#This Row],[ID]],Items[ID],0))*1,0))</f>
      </c>
      <c r="L36" s="17">
        <f>IF(Log[[#This Row],[ID]]="","",IFERROR(INDEX(Items[Cur team],MATCH(Log[[#This Row],[ID]],Items[ID],0))&amp;"",""))</f>
      </c>
      <c r="M36" s="17">
        <f>IF(OR(Log[[#This Row],[Verb]]="done",Log[[#This Row],[Verb]]="punt",Log[[#This Row],[Verb]]="drop",Log[[#This Row],[Verb]]="pass"),Log[[#This Row],[Pts]],0)</f>
      </c>
    </row>
    <row r="37">
      <c r="A37" s="11">
        <v>46076</v>
      </c>
      <c r="B37" t="s">
        <v>165</v>
      </c>
      <c r="C37" t="s">
        <v>41</v>
      </c>
      <c r="F37" s="17">
        <f>IF(Log[[#This Row],[ID]]="","",IF(ISNA(MATCH(Log[[#This Row],[ID]],Items[ID],0)),"unknown ID",IF(ISNA(MATCH(Log[[#This Row],[Verb]],VerbList,0)),"unknown verb",IF(Log[[#This Row],[Date]]="","no date",""))))</f>
      </c>
      <c r="G37" s="17">
        <f>IF(Log[[#This Row],[ID]]="","",IFERROR(VLOOKUP(Log[[#This Row],[Verb]],Verbs,3,FALSE)&amp;"",""))</f>
      </c>
      <c r="H37" s="17">
        <f>IF(Log[[#This Row],[Date]]="","",INT((Log[[#This Row],[Date]]-Sprint1)/SprintDays)+1)</f>
      </c>
      <c r="I37" s="17">
        <f>IF(OR(Log[[#This Row],[Verb]]="commit",Log[[#This Row],[Verb]]="carry",Log[[#This Row],[Verb]]="redo"),IF(Log[[#This Row],[Arg]]="",Log[[#This Row],[Sprint]],N(Log[[#This Row],[Arg]])),"")</f>
      </c>
      <c r="J37" s="17">
        <f>IF(Log[[#This Row],[Verb]]="block",1,IF(OR(Log[[#This Row],[Verb]]="unblock",Log[[#This Row],[Verb]]="done",Log[[#This Row],[Verb]]="drop",Log[[#This Row],[Verb]]="punt",Log[[#This Row],[Verb]]="pass"),0,""))</f>
      </c>
      <c r="K37" s="17">
        <f>IF(Log[[#This Row],[ID]]="",0,IFERROR(INDEX(Items[Pts],MATCH(Log[[#This Row],[ID]],Items[ID],0))*1,0))</f>
      </c>
      <c r="L37" s="17">
        <f>IF(Log[[#This Row],[ID]]="","",IFERROR(INDEX(Items[Cur team],MATCH(Log[[#This Row],[ID]],Items[ID],0))&amp;"",""))</f>
      </c>
      <c r="M37" s="17">
        <f>IF(OR(Log[[#This Row],[Verb]]="done",Log[[#This Row],[Verb]]="punt",Log[[#This Row],[Verb]]="drop",Log[[#This Row],[Verb]]="pass"),Log[[#This Row],[Pts]],0)</f>
      </c>
    </row>
    <row r="38">
      <c r="A38" s="11">
        <v>46076</v>
      </c>
      <c r="B38" t="s">
        <v>173</v>
      </c>
      <c r="C38" t="s">
        <v>38</v>
      </c>
      <c r="D38">
        <v>38</v>
      </c>
      <c r="F38" s="17">
        <f>IF(Log[[#This Row],[ID]]="","",IF(ISNA(MATCH(Log[[#This Row],[ID]],Items[ID],0)),"unknown ID",IF(ISNA(MATCH(Log[[#This Row],[Verb]],VerbList,0)),"unknown verb",IF(Log[[#This Row],[Date]]="","no date",""))))</f>
      </c>
      <c r="G38" s="17">
        <f>IF(Log[[#This Row],[ID]]="","",IFERROR(VLOOKUP(Log[[#This Row],[Verb]],Verbs,3,FALSE)&amp;"",""))</f>
      </c>
      <c r="H38" s="17">
        <f>IF(Log[[#This Row],[Date]]="","",INT((Log[[#This Row],[Date]]-Sprint1)/SprintDays)+1)</f>
      </c>
      <c r="I38" s="17">
        <f>IF(OR(Log[[#This Row],[Verb]]="commit",Log[[#This Row],[Verb]]="carry",Log[[#This Row],[Verb]]="redo"),IF(Log[[#This Row],[Arg]]="",Log[[#This Row],[Sprint]],N(Log[[#This Row],[Arg]])),"")</f>
      </c>
      <c r="J38" s="17">
        <f>IF(Log[[#This Row],[Verb]]="block",1,IF(OR(Log[[#This Row],[Verb]]="unblock",Log[[#This Row],[Verb]]="done",Log[[#This Row],[Verb]]="drop",Log[[#This Row],[Verb]]="punt",Log[[#This Row],[Verb]]="pass"),0,""))</f>
      </c>
      <c r="K38" s="17">
        <f>IF(Log[[#This Row],[ID]]="",0,IFERROR(INDEX(Items[Pts],MATCH(Log[[#This Row],[ID]],Items[ID],0))*1,0))</f>
      </c>
      <c r="L38" s="17">
        <f>IF(Log[[#This Row],[ID]]="","",IFERROR(INDEX(Items[Cur team],MATCH(Log[[#This Row],[ID]],Items[ID],0))&amp;"",""))</f>
      </c>
      <c r="M38" s="17">
        <f>IF(OR(Log[[#This Row],[Verb]]="done",Log[[#This Row],[Verb]]="punt",Log[[#This Row],[Verb]]="drop",Log[[#This Row],[Verb]]="pass"),Log[[#This Row],[Pts]],0)</f>
      </c>
    </row>
    <row r="39">
      <c r="A39" s="11">
        <v>46076</v>
      </c>
      <c r="B39" t="s">
        <v>174</v>
      </c>
      <c r="C39" t="s">
        <v>38</v>
      </c>
      <c r="D39">
        <v>38</v>
      </c>
      <c r="F39" s="17">
        <f>IF(Log[[#This Row],[ID]]="","",IF(ISNA(MATCH(Log[[#This Row],[ID]],Items[ID],0)),"unknown ID",IF(ISNA(MATCH(Log[[#This Row],[Verb]],VerbList,0)),"unknown verb",IF(Log[[#This Row],[Date]]="","no date",""))))</f>
      </c>
      <c r="G39" s="17">
        <f>IF(Log[[#This Row],[ID]]="","",IFERROR(VLOOKUP(Log[[#This Row],[Verb]],Verbs,3,FALSE)&amp;"",""))</f>
      </c>
      <c r="H39" s="17">
        <f>IF(Log[[#This Row],[Date]]="","",INT((Log[[#This Row],[Date]]-Sprint1)/SprintDays)+1)</f>
      </c>
      <c r="I39" s="17">
        <f>IF(OR(Log[[#This Row],[Verb]]="commit",Log[[#This Row],[Verb]]="carry",Log[[#This Row],[Verb]]="redo"),IF(Log[[#This Row],[Arg]]="",Log[[#This Row],[Sprint]],N(Log[[#This Row],[Arg]])),"")</f>
      </c>
      <c r="J39" s="17">
        <f>IF(Log[[#This Row],[Verb]]="block",1,IF(OR(Log[[#This Row],[Verb]]="unblock",Log[[#This Row],[Verb]]="done",Log[[#This Row],[Verb]]="drop",Log[[#This Row],[Verb]]="punt",Log[[#This Row],[Verb]]="pass"),0,""))</f>
      </c>
      <c r="K39" s="17">
        <f>IF(Log[[#This Row],[ID]]="",0,IFERROR(INDEX(Items[Pts],MATCH(Log[[#This Row],[ID]],Items[ID],0))*1,0))</f>
      </c>
      <c r="L39" s="17">
        <f>IF(Log[[#This Row],[ID]]="","",IFERROR(INDEX(Items[Cur team],MATCH(Log[[#This Row],[ID]],Items[ID],0))&amp;"",""))</f>
      </c>
      <c r="M39" s="17">
        <f>IF(OR(Log[[#This Row],[Verb]]="done",Log[[#This Row],[Verb]]="punt",Log[[#This Row],[Verb]]="drop",Log[[#This Row],[Verb]]="pass"),Log[[#This Row],[Pts]],0)</f>
      </c>
    </row>
    <row r="40">
      <c r="A40" s="11">
        <v>46076</v>
      </c>
      <c r="B40" t="s">
        <v>175</v>
      </c>
      <c r="C40" t="s">
        <v>38</v>
      </c>
      <c r="D40">
        <v>38</v>
      </c>
      <c r="F40" s="17">
        <f>IF(Log[[#This Row],[ID]]="","",IF(ISNA(MATCH(Log[[#This Row],[ID]],Items[ID],0)),"unknown ID",IF(ISNA(MATCH(Log[[#This Row],[Verb]],VerbList,0)),"unknown verb",IF(Log[[#This Row],[Date]]="","no date",""))))</f>
      </c>
      <c r="G40" s="17">
        <f>IF(Log[[#This Row],[ID]]="","",IFERROR(VLOOKUP(Log[[#This Row],[Verb]],Verbs,3,FALSE)&amp;"",""))</f>
      </c>
      <c r="H40" s="17">
        <f>IF(Log[[#This Row],[Date]]="","",INT((Log[[#This Row],[Date]]-Sprint1)/SprintDays)+1)</f>
      </c>
      <c r="I40" s="17">
        <f>IF(OR(Log[[#This Row],[Verb]]="commit",Log[[#This Row],[Verb]]="carry",Log[[#This Row],[Verb]]="redo"),IF(Log[[#This Row],[Arg]]="",Log[[#This Row],[Sprint]],N(Log[[#This Row],[Arg]])),"")</f>
      </c>
      <c r="J40" s="17">
        <f>IF(Log[[#This Row],[Verb]]="block",1,IF(OR(Log[[#This Row],[Verb]]="unblock",Log[[#This Row],[Verb]]="done",Log[[#This Row],[Verb]]="drop",Log[[#This Row],[Verb]]="punt",Log[[#This Row],[Verb]]="pass"),0,""))</f>
      </c>
      <c r="K40" s="17">
        <f>IF(Log[[#This Row],[ID]]="",0,IFERROR(INDEX(Items[Pts],MATCH(Log[[#This Row],[ID]],Items[ID],0))*1,0))</f>
      </c>
      <c r="L40" s="17">
        <f>IF(Log[[#This Row],[ID]]="","",IFERROR(INDEX(Items[Cur team],MATCH(Log[[#This Row],[ID]],Items[ID],0))&amp;"",""))</f>
      </c>
      <c r="M40" s="17">
        <f>IF(OR(Log[[#This Row],[Verb]]="done",Log[[#This Row],[Verb]]="punt",Log[[#This Row],[Verb]]="drop",Log[[#This Row],[Verb]]="pass"),Log[[#This Row],[Pts]],0)</f>
      </c>
    </row>
    <row r="41">
      <c r="A41" s="11">
        <v>46076</v>
      </c>
      <c r="B41" t="s">
        <v>176</v>
      </c>
      <c r="C41" t="s">
        <v>38</v>
      </c>
      <c r="D41">
        <v>38</v>
      </c>
      <c r="F41" s="17">
        <f>IF(Log[[#This Row],[ID]]="","",IF(ISNA(MATCH(Log[[#This Row],[ID]],Items[ID],0)),"unknown ID",IF(ISNA(MATCH(Log[[#This Row],[Verb]],VerbList,0)),"unknown verb",IF(Log[[#This Row],[Date]]="","no date",""))))</f>
      </c>
      <c r="G41" s="17">
        <f>IF(Log[[#This Row],[ID]]="","",IFERROR(VLOOKUP(Log[[#This Row],[Verb]],Verbs,3,FALSE)&amp;"",""))</f>
      </c>
      <c r="H41" s="17">
        <f>IF(Log[[#This Row],[Date]]="","",INT((Log[[#This Row],[Date]]-Sprint1)/SprintDays)+1)</f>
      </c>
      <c r="I41" s="17">
        <f>IF(OR(Log[[#This Row],[Verb]]="commit",Log[[#This Row],[Verb]]="carry",Log[[#This Row],[Verb]]="redo"),IF(Log[[#This Row],[Arg]]="",Log[[#This Row],[Sprint]],N(Log[[#This Row],[Arg]])),"")</f>
      </c>
      <c r="J41" s="17">
        <f>IF(Log[[#This Row],[Verb]]="block",1,IF(OR(Log[[#This Row],[Verb]]="unblock",Log[[#This Row],[Verb]]="done",Log[[#This Row],[Verb]]="drop",Log[[#This Row],[Verb]]="punt",Log[[#This Row],[Verb]]="pass"),0,""))</f>
      </c>
      <c r="K41" s="17">
        <f>IF(Log[[#This Row],[ID]]="",0,IFERROR(INDEX(Items[Pts],MATCH(Log[[#This Row],[ID]],Items[ID],0))*1,0))</f>
      </c>
      <c r="L41" s="17">
        <f>IF(Log[[#This Row],[ID]]="","",IFERROR(INDEX(Items[Cur team],MATCH(Log[[#This Row],[ID]],Items[ID],0))&amp;"",""))</f>
      </c>
      <c r="M41" s="17">
        <f>IF(OR(Log[[#This Row],[Verb]]="done",Log[[#This Row],[Verb]]="punt",Log[[#This Row],[Verb]]="drop",Log[[#This Row],[Verb]]="pass"),Log[[#This Row],[Pts]],0)</f>
      </c>
    </row>
    <row r="42">
      <c r="A42" s="11">
        <v>46076</v>
      </c>
      <c r="B42" t="s">
        <v>166</v>
      </c>
      <c r="C42" t="s">
        <v>38</v>
      </c>
      <c r="D42">
        <v>38</v>
      </c>
      <c r="F42" s="17">
        <f>IF(Log[[#This Row],[ID]]="","",IF(ISNA(MATCH(Log[[#This Row],[ID]],Items[ID],0)),"unknown ID",IF(ISNA(MATCH(Log[[#This Row],[Verb]],VerbList,0)),"unknown verb",IF(Log[[#This Row],[Date]]="","no date",""))))</f>
      </c>
      <c r="G42" s="17">
        <f>IF(Log[[#This Row],[ID]]="","",IFERROR(VLOOKUP(Log[[#This Row],[Verb]],Verbs,3,FALSE)&amp;"",""))</f>
      </c>
      <c r="H42" s="17">
        <f>IF(Log[[#This Row],[Date]]="","",INT((Log[[#This Row],[Date]]-Sprint1)/SprintDays)+1)</f>
      </c>
      <c r="I42" s="17">
        <f>IF(OR(Log[[#This Row],[Verb]]="commit",Log[[#This Row],[Verb]]="carry",Log[[#This Row],[Verb]]="redo"),IF(Log[[#This Row],[Arg]]="",Log[[#This Row],[Sprint]],N(Log[[#This Row],[Arg]])),"")</f>
      </c>
      <c r="J42" s="17">
        <f>IF(Log[[#This Row],[Verb]]="block",1,IF(OR(Log[[#This Row],[Verb]]="unblock",Log[[#This Row],[Verb]]="done",Log[[#This Row],[Verb]]="drop",Log[[#This Row],[Verb]]="punt",Log[[#This Row],[Verb]]="pass"),0,""))</f>
      </c>
      <c r="K42" s="17">
        <f>IF(Log[[#This Row],[ID]]="",0,IFERROR(INDEX(Items[Pts],MATCH(Log[[#This Row],[ID]],Items[ID],0))*1,0))</f>
      </c>
      <c r="L42" s="17">
        <f>IF(Log[[#This Row],[ID]]="","",IFERROR(INDEX(Items[Cur team],MATCH(Log[[#This Row],[ID]],Items[ID],0))&amp;"",""))</f>
      </c>
      <c r="M42" s="17">
        <f>IF(OR(Log[[#This Row],[Verb]]="done",Log[[#This Row],[Verb]]="punt",Log[[#This Row],[Verb]]="drop",Log[[#This Row],[Verb]]="pass"),Log[[#This Row],[Pts]],0)</f>
      </c>
    </row>
    <row r="43">
      <c r="A43" s="11">
        <v>46076</v>
      </c>
      <c r="B43" t="s">
        <v>177</v>
      </c>
      <c r="C43" t="s">
        <v>38</v>
      </c>
      <c r="D43">
        <v>38</v>
      </c>
      <c r="F43" s="17">
        <f>IF(Log[[#This Row],[ID]]="","",IF(ISNA(MATCH(Log[[#This Row],[ID]],Items[ID],0)),"unknown ID",IF(ISNA(MATCH(Log[[#This Row],[Verb]],VerbList,0)),"unknown verb",IF(Log[[#This Row],[Date]]="","no date",""))))</f>
      </c>
      <c r="G43" s="17">
        <f>IF(Log[[#This Row],[ID]]="","",IFERROR(VLOOKUP(Log[[#This Row],[Verb]],Verbs,3,FALSE)&amp;"",""))</f>
      </c>
      <c r="H43" s="17">
        <f>IF(Log[[#This Row],[Date]]="","",INT((Log[[#This Row],[Date]]-Sprint1)/SprintDays)+1)</f>
      </c>
      <c r="I43" s="17">
        <f>IF(OR(Log[[#This Row],[Verb]]="commit",Log[[#This Row],[Verb]]="carry",Log[[#This Row],[Verb]]="redo"),IF(Log[[#This Row],[Arg]]="",Log[[#This Row],[Sprint]],N(Log[[#This Row],[Arg]])),"")</f>
      </c>
      <c r="J43" s="17">
        <f>IF(Log[[#This Row],[Verb]]="block",1,IF(OR(Log[[#This Row],[Verb]]="unblock",Log[[#This Row],[Verb]]="done",Log[[#This Row],[Verb]]="drop",Log[[#This Row],[Verb]]="punt",Log[[#This Row],[Verb]]="pass"),0,""))</f>
      </c>
      <c r="K43" s="17">
        <f>IF(Log[[#This Row],[ID]]="",0,IFERROR(INDEX(Items[Pts],MATCH(Log[[#This Row],[ID]],Items[ID],0))*1,0))</f>
      </c>
      <c r="L43" s="17">
        <f>IF(Log[[#This Row],[ID]]="","",IFERROR(INDEX(Items[Cur team],MATCH(Log[[#This Row],[ID]],Items[ID],0))&amp;"",""))</f>
      </c>
      <c r="M43" s="17">
        <f>IF(OR(Log[[#This Row],[Verb]]="done",Log[[#This Row],[Verb]]="punt",Log[[#This Row],[Verb]]="drop",Log[[#This Row],[Verb]]="pass"),Log[[#This Row],[Pts]],0)</f>
      </c>
    </row>
    <row r="44">
      <c r="A44" s="11">
        <v>46076</v>
      </c>
      <c r="B44" t="s">
        <v>167</v>
      </c>
      <c r="C44" t="s">
        <v>38</v>
      </c>
      <c r="D44">
        <v>38</v>
      </c>
      <c r="F44" s="17">
        <f>IF(Log[[#This Row],[ID]]="","",IF(ISNA(MATCH(Log[[#This Row],[ID]],Items[ID],0)),"unknown ID",IF(ISNA(MATCH(Log[[#This Row],[Verb]],VerbList,0)),"unknown verb",IF(Log[[#This Row],[Date]]="","no date",""))))</f>
      </c>
      <c r="G44" s="17">
        <f>IF(Log[[#This Row],[ID]]="","",IFERROR(VLOOKUP(Log[[#This Row],[Verb]],Verbs,3,FALSE)&amp;"",""))</f>
      </c>
      <c r="H44" s="17">
        <f>IF(Log[[#This Row],[Date]]="","",INT((Log[[#This Row],[Date]]-Sprint1)/SprintDays)+1)</f>
      </c>
      <c r="I44" s="17">
        <f>IF(OR(Log[[#This Row],[Verb]]="commit",Log[[#This Row],[Verb]]="carry",Log[[#This Row],[Verb]]="redo"),IF(Log[[#This Row],[Arg]]="",Log[[#This Row],[Sprint]],N(Log[[#This Row],[Arg]])),"")</f>
      </c>
      <c r="J44" s="17">
        <f>IF(Log[[#This Row],[Verb]]="block",1,IF(OR(Log[[#This Row],[Verb]]="unblock",Log[[#This Row],[Verb]]="done",Log[[#This Row],[Verb]]="drop",Log[[#This Row],[Verb]]="punt",Log[[#This Row],[Verb]]="pass"),0,""))</f>
      </c>
      <c r="K44" s="17">
        <f>IF(Log[[#This Row],[ID]]="",0,IFERROR(INDEX(Items[Pts],MATCH(Log[[#This Row],[ID]],Items[ID],0))*1,0))</f>
      </c>
      <c r="L44" s="17">
        <f>IF(Log[[#This Row],[ID]]="","",IFERROR(INDEX(Items[Cur team],MATCH(Log[[#This Row],[ID]],Items[ID],0))&amp;"",""))</f>
      </c>
      <c r="M44" s="17">
        <f>IF(OR(Log[[#This Row],[Verb]]="done",Log[[#This Row],[Verb]]="punt",Log[[#This Row],[Verb]]="drop",Log[[#This Row],[Verb]]="pass"),Log[[#This Row],[Pts]],0)</f>
      </c>
    </row>
    <row r="45">
      <c r="A45" s="11">
        <v>46076</v>
      </c>
      <c r="B45" t="s">
        <v>178</v>
      </c>
      <c r="C45" t="s">
        <v>38</v>
      </c>
      <c r="D45">
        <v>38</v>
      </c>
      <c r="F45" s="17">
        <f>IF(Log[[#This Row],[ID]]="","",IF(ISNA(MATCH(Log[[#This Row],[ID]],Items[ID],0)),"unknown ID",IF(ISNA(MATCH(Log[[#This Row],[Verb]],VerbList,0)),"unknown verb",IF(Log[[#This Row],[Date]]="","no date",""))))</f>
      </c>
      <c r="G45" s="17">
        <f>IF(Log[[#This Row],[ID]]="","",IFERROR(VLOOKUP(Log[[#This Row],[Verb]],Verbs,3,FALSE)&amp;"",""))</f>
      </c>
      <c r="H45" s="17">
        <f>IF(Log[[#This Row],[Date]]="","",INT((Log[[#This Row],[Date]]-Sprint1)/SprintDays)+1)</f>
      </c>
      <c r="I45" s="17">
        <f>IF(OR(Log[[#This Row],[Verb]]="commit",Log[[#This Row],[Verb]]="carry",Log[[#This Row],[Verb]]="redo"),IF(Log[[#This Row],[Arg]]="",Log[[#This Row],[Sprint]],N(Log[[#This Row],[Arg]])),"")</f>
      </c>
      <c r="J45" s="17">
        <f>IF(Log[[#This Row],[Verb]]="block",1,IF(OR(Log[[#This Row],[Verb]]="unblock",Log[[#This Row],[Verb]]="done",Log[[#This Row],[Verb]]="drop",Log[[#This Row],[Verb]]="punt",Log[[#This Row],[Verb]]="pass"),0,""))</f>
      </c>
      <c r="K45" s="17">
        <f>IF(Log[[#This Row],[ID]]="",0,IFERROR(INDEX(Items[Pts],MATCH(Log[[#This Row],[ID]],Items[ID],0))*1,0))</f>
      </c>
      <c r="L45" s="17">
        <f>IF(Log[[#This Row],[ID]]="","",IFERROR(INDEX(Items[Cur team],MATCH(Log[[#This Row],[ID]],Items[ID],0))&amp;"",""))</f>
      </c>
      <c r="M45" s="17">
        <f>IF(OR(Log[[#This Row],[Verb]]="done",Log[[#This Row],[Verb]]="punt",Log[[#This Row],[Verb]]="drop",Log[[#This Row],[Verb]]="pass"),Log[[#This Row],[Pts]],0)</f>
      </c>
    </row>
    <row r="46">
      <c r="A46" s="11">
        <v>46076</v>
      </c>
      <c r="B46" t="s">
        <v>168</v>
      </c>
      <c r="C46" t="s">
        <v>38</v>
      </c>
      <c r="D46">
        <v>38</v>
      </c>
      <c r="F46" s="17">
        <f>IF(Log[[#This Row],[ID]]="","",IF(ISNA(MATCH(Log[[#This Row],[ID]],Items[ID],0)),"unknown ID",IF(ISNA(MATCH(Log[[#This Row],[Verb]],VerbList,0)),"unknown verb",IF(Log[[#This Row],[Date]]="","no date",""))))</f>
      </c>
      <c r="G46" s="17">
        <f>IF(Log[[#This Row],[ID]]="","",IFERROR(VLOOKUP(Log[[#This Row],[Verb]],Verbs,3,FALSE)&amp;"",""))</f>
      </c>
      <c r="H46" s="17">
        <f>IF(Log[[#This Row],[Date]]="","",INT((Log[[#This Row],[Date]]-Sprint1)/SprintDays)+1)</f>
      </c>
      <c r="I46" s="17">
        <f>IF(OR(Log[[#This Row],[Verb]]="commit",Log[[#This Row],[Verb]]="carry",Log[[#This Row],[Verb]]="redo"),IF(Log[[#This Row],[Arg]]="",Log[[#This Row],[Sprint]],N(Log[[#This Row],[Arg]])),"")</f>
      </c>
      <c r="J46" s="17">
        <f>IF(Log[[#This Row],[Verb]]="block",1,IF(OR(Log[[#This Row],[Verb]]="unblock",Log[[#This Row],[Verb]]="done",Log[[#This Row],[Verb]]="drop",Log[[#This Row],[Verb]]="punt",Log[[#This Row],[Verb]]="pass"),0,""))</f>
      </c>
      <c r="K46" s="17">
        <f>IF(Log[[#This Row],[ID]]="",0,IFERROR(INDEX(Items[Pts],MATCH(Log[[#This Row],[ID]],Items[ID],0))*1,0))</f>
      </c>
      <c r="L46" s="17">
        <f>IF(Log[[#This Row],[ID]]="","",IFERROR(INDEX(Items[Cur team],MATCH(Log[[#This Row],[ID]],Items[ID],0))&amp;"",""))</f>
      </c>
      <c r="M46" s="17">
        <f>IF(OR(Log[[#This Row],[Verb]]="done",Log[[#This Row],[Verb]]="punt",Log[[#This Row],[Verb]]="drop",Log[[#This Row],[Verb]]="pass"),Log[[#This Row],[Pts]],0)</f>
      </c>
    </row>
    <row r="47">
      <c r="A47" s="11">
        <v>46076</v>
      </c>
      <c r="B47" t="s">
        <v>179</v>
      </c>
      <c r="C47" t="s">
        <v>38</v>
      </c>
      <c r="D47">
        <v>38</v>
      </c>
      <c r="F47" s="17">
        <f>IF(Log[[#This Row],[ID]]="","",IF(ISNA(MATCH(Log[[#This Row],[ID]],Items[ID],0)),"unknown ID",IF(ISNA(MATCH(Log[[#This Row],[Verb]],VerbList,0)),"unknown verb",IF(Log[[#This Row],[Date]]="","no date",""))))</f>
      </c>
      <c r="G47" s="17">
        <f>IF(Log[[#This Row],[ID]]="","",IFERROR(VLOOKUP(Log[[#This Row],[Verb]],Verbs,3,FALSE)&amp;"",""))</f>
      </c>
      <c r="H47" s="17">
        <f>IF(Log[[#This Row],[Date]]="","",INT((Log[[#This Row],[Date]]-Sprint1)/SprintDays)+1)</f>
      </c>
      <c r="I47" s="17">
        <f>IF(OR(Log[[#This Row],[Verb]]="commit",Log[[#This Row],[Verb]]="carry",Log[[#This Row],[Verb]]="redo"),IF(Log[[#This Row],[Arg]]="",Log[[#This Row],[Sprint]],N(Log[[#This Row],[Arg]])),"")</f>
      </c>
      <c r="J47" s="17">
        <f>IF(Log[[#This Row],[Verb]]="block",1,IF(OR(Log[[#This Row],[Verb]]="unblock",Log[[#This Row],[Verb]]="done",Log[[#This Row],[Verb]]="drop",Log[[#This Row],[Verb]]="punt",Log[[#This Row],[Verb]]="pass"),0,""))</f>
      </c>
      <c r="K47" s="17">
        <f>IF(Log[[#This Row],[ID]]="",0,IFERROR(INDEX(Items[Pts],MATCH(Log[[#This Row],[ID]],Items[ID],0))*1,0))</f>
      </c>
      <c r="L47" s="17">
        <f>IF(Log[[#This Row],[ID]]="","",IFERROR(INDEX(Items[Cur team],MATCH(Log[[#This Row],[ID]],Items[ID],0))&amp;"",""))</f>
      </c>
      <c r="M47" s="17">
        <f>IF(OR(Log[[#This Row],[Verb]]="done",Log[[#This Row],[Verb]]="punt",Log[[#This Row],[Verb]]="drop",Log[[#This Row],[Verb]]="pass"),Log[[#This Row],[Pts]],0)</f>
      </c>
    </row>
    <row r="48">
      <c r="A48" s="11">
        <v>46076</v>
      </c>
      <c r="B48" t="s">
        <v>180</v>
      </c>
      <c r="C48" t="s">
        <v>38</v>
      </c>
      <c r="D48">
        <v>38</v>
      </c>
      <c r="F48" s="17">
        <f>IF(Log[[#This Row],[ID]]="","",IF(ISNA(MATCH(Log[[#This Row],[ID]],Items[ID],0)),"unknown ID",IF(ISNA(MATCH(Log[[#This Row],[Verb]],VerbList,0)),"unknown verb",IF(Log[[#This Row],[Date]]="","no date",""))))</f>
      </c>
      <c r="G48" s="17">
        <f>IF(Log[[#This Row],[ID]]="","",IFERROR(VLOOKUP(Log[[#This Row],[Verb]],Verbs,3,FALSE)&amp;"",""))</f>
      </c>
      <c r="H48" s="17">
        <f>IF(Log[[#This Row],[Date]]="","",INT((Log[[#This Row],[Date]]-Sprint1)/SprintDays)+1)</f>
      </c>
      <c r="I48" s="17">
        <f>IF(OR(Log[[#This Row],[Verb]]="commit",Log[[#This Row],[Verb]]="carry",Log[[#This Row],[Verb]]="redo"),IF(Log[[#This Row],[Arg]]="",Log[[#This Row],[Sprint]],N(Log[[#This Row],[Arg]])),"")</f>
      </c>
      <c r="J48" s="17">
        <f>IF(Log[[#This Row],[Verb]]="block",1,IF(OR(Log[[#This Row],[Verb]]="unblock",Log[[#This Row],[Verb]]="done",Log[[#This Row],[Verb]]="drop",Log[[#This Row],[Verb]]="punt",Log[[#This Row],[Verb]]="pass"),0,""))</f>
      </c>
      <c r="K48" s="17">
        <f>IF(Log[[#This Row],[ID]]="",0,IFERROR(INDEX(Items[Pts],MATCH(Log[[#This Row],[ID]],Items[ID],0))*1,0))</f>
      </c>
      <c r="L48" s="17">
        <f>IF(Log[[#This Row],[ID]]="","",IFERROR(INDEX(Items[Cur team],MATCH(Log[[#This Row],[ID]],Items[ID],0))&amp;"",""))</f>
      </c>
      <c r="M48" s="17">
        <f>IF(OR(Log[[#This Row],[Verb]]="done",Log[[#This Row],[Verb]]="punt",Log[[#This Row],[Verb]]="drop",Log[[#This Row],[Verb]]="pass"),Log[[#This Row],[Pts]],0)</f>
      </c>
    </row>
    <row r="49">
      <c r="A49" s="11">
        <v>46076</v>
      </c>
      <c r="B49" t="s">
        <v>169</v>
      </c>
      <c r="C49" t="s">
        <v>38</v>
      </c>
      <c r="D49">
        <v>38</v>
      </c>
      <c r="F49" s="17">
        <f>IF(Log[[#This Row],[ID]]="","",IF(ISNA(MATCH(Log[[#This Row],[ID]],Items[ID],0)),"unknown ID",IF(ISNA(MATCH(Log[[#This Row],[Verb]],VerbList,0)),"unknown verb",IF(Log[[#This Row],[Date]]="","no date",""))))</f>
      </c>
      <c r="G49" s="17">
        <f>IF(Log[[#This Row],[ID]]="","",IFERROR(VLOOKUP(Log[[#This Row],[Verb]],Verbs,3,FALSE)&amp;"",""))</f>
      </c>
      <c r="H49" s="17">
        <f>IF(Log[[#This Row],[Date]]="","",INT((Log[[#This Row],[Date]]-Sprint1)/SprintDays)+1)</f>
      </c>
      <c r="I49" s="17">
        <f>IF(OR(Log[[#This Row],[Verb]]="commit",Log[[#This Row],[Verb]]="carry",Log[[#This Row],[Verb]]="redo"),IF(Log[[#This Row],[Arg]]="",Log[[#This Row],[Sprint]],N(Log[[#This Row],[Arg]])),"")</f>
      </c>
      <c r="J49" s="17">
        <f>IF(Log[[#This Row],[Verb]]="block",1,IF(OR(Log[[#This Row],[Verb]]="unblock",Log[[#This Row],[Verb]]="done",Log[[#This Row],[Verb]]="drop",Log[[#This Row],[Verb]]="punt",Log[[#This Row],[Verb]]="pass"),0,""))</f>
      </c>
      <c r="K49" s="17">
        <f>IF(Log[[#This Row],[ID]]="",0,IFERROR(INDEX(Items[Pts],MATCH(Log[[#This Row],[ID]],Items[ID],0))*1,0))</f>
      </c>
      <c r="L49" s="17">
        <f>IF(Log[[#This Row],[ID]]="","",IFERROR(INDEX(Items[Cur team],MATCH(Log[[#This Row],[ID]],Items[ID],0))&amp;"",""))</f>
      </c>
      <c r="M49" s="17">
        <f>IF(OR(Log[[#This Row],[Verb]]="done",Log[[#This Row],[Verb]]="punt",Log[[#This Row],[Verb]]="drop",Log[[#This Row],[Verb]]="pass"),Log[[#This Row],[Pts]],0)</f>
      </c>
    </row>
    <row r="50">
      <c r="A50" s="11">
        <v>46076</v>
      </c>
      <c r="B50" t="s">
        <v>181</v>
      </c>
      <c r="C50" t="s">
        <v>41</v>
      </c>
      <c r="F50" s="17">
        <f>IF(Log[[#This Row],[ID]]="","",IF(ISNA(MATCH(Log[[#This Row],[ID]],Items[ID],0)),"unknown ID",IF(ISNA(MATCH(Log[[#This Row],[Verb]],VerbList,0)),"unknown verb",IF(Log[[#This Row],[Date]]="","no date",""))))</f>
      </c>
      <c r="G50" s="17">
        <f>IF(Log[[#This Row],[ID]]="","",IFERROR(VLOOKUP(Log[[#This Row],[Verb]],Verbs,3,FALSE)&amp;"",""))</f>
      </c>
      <c r="H50" s="17">
        <f>IF(Log[[#This Row],[Date]]="","",INT((Log[[#This Row],[Date]]-Sprint1)/SprintDays)+1)</f>
      </c>
      <c r="I50" s="17">
        <f>IF(OR(Log[[#This Row],[Verb]]="commit",Log[[#This Row],[Verb]]="carry",Log[[#This Row],[Verb]]="redo"),IF(Log[[#This Row],[Arg]]="",Log[[#This Row],[Sprint]],N(Log[[#This Row],[Arg]])),"")</f>
      </c>
      <c r="J50" s="17">
        <f>IF(Log[[#This Row],[Verb]]="block",1,IF(OR(Log[[#This Row],[Verb]]="unblock",Log[[#This Row],[Verb]]="done",Log[[#This Row],[Verb]]="drop",Log[[#This Row],[Verb]]="punt",Log[[#This Row],[Verb]]="pass"),0,""))</f>
      </c>
      <c r="K50" s="17">
        <f>IF(Log[[#This Row],[ID]]="",0,IFERROR(INDEX(Items[Pts],MATCH(Log[[#This Row],[ID]],Items[ID],0))*1,0))</f>
      </c>
      <c r="L50" s="17">
        <f>IF(Log[[#This Row],[ID]]="","",IFERROR(INDEX(Items[Cur team],MATCH(Log[[#This Row],[ID]],Items[ID],0))&amp;"",""))</f>
      </c>
      <c r="M50" s="17">
        <f>IF(OR(Log[[#This Row],[Verb]]="done",Log[[#This Row],[Verb]]="punt",Log[[#This Row],[Verb]]="drop",Log[[#This Row],[Verb]]="pass"),Log[[#This Row],[Pts]],0)</f>
      </c>
    </row>
    <row r="51">
      <c r="A51" s="11">
        <v>46076</v>
      </c>
      <c r="B51" t="s">
        <v>182</v>
      </c>
      <c r="C51" t="s">
        <v>38</v>
      </c>
      <c r="D51">
        <v>38</v>
      </c>
      <c r="F51" s="17">
        <f>IF(Log[[#This Row],[ID]]="","",IF(ISNA(MATCH(Log[[#This Row],[ID]],Items[ID],0)),"unknown ID",IF(ISNA(MATCH(Log[[#This Row],[Verb]],VerbList,0)),"unknown verb",IF(Log[[#This Row],[Date]]="","no date",""))))</f>
      </c>
      <c r="G51" s="17">
        <f>IF(Log[[#This Row],[ID]]="","",IFERROR(VLOOKUP(Log[[#This Row],[Verb]],Verbs,3,FALSE)&amp;"",""))</f>
      </c>
      <c r="H51" s="17">
        <f>IF(Log[[#This Row],[Date]]="","",INT((Log[[#This Row],[Date]]-Sprint1)/SprintDays)+1)</f>
      </c>
      <c r="I51" s="17">
        <f>IF(OR(Log[[#This Row],[Verb]]="commit",Log[[#This Row],[Verb]]="carry",Log[[#This Row],[Verb]]="redo"),IF(Log[[#This Row],[Arg]]="",Log[[#This Row],[Sprint]],N(Log[[#This Row],[Arg]])),"")</f>
      </c>
      <c r="J51" s="17">
        <f>IF(Log[[#This Row],[Verb]]="block",1,IF(OR(Log[[#This Row],[Verb]]="unblock",Log[[#This Row],[Verb]]="done",Log[[#This Row],[Verb]]="drop",Log[[#This Row],[Verb]]="punt",Log[[#This Row],[Verb]]="pass"),0,""))</f>
      </c>
      <c r="K51" s="17">
        <f>IF(Log[[#This Row],[ID]]="",0,IFERROR(INDEX(Items[Pts],MATCH(Log[[#This Row],[ID]],Items[ID],0))*1,0))</f>
      </c>
      <c r="L51" s="17">
        <f>IF(Log[[#This Row],[ID]]="","",IFERROR(INDEX(Items[Cur team],MATCH(Log[[#This Row],[ID]],Items[ID],0))&amp;"",""))</f>
      </c>
      <c r="M51" s="17">
        <f>IF(OR(Log[[#This Row],[Verb]]="done",Log[[#This Row],[Verb]]="punt",Log[[#This Row],[Verb]]="drop",Log[[#This Row],[Verb]]="pass"),Log[[#This Row],[Pts]],0)</f>
      </c>
    </row>
    <row r="52">
      <c r="A52" s="11">
        <v>46077</v>
      </c>
      <c r="B52" t="s">
        <v>183</v>
      </c>
      <c r="C52" t="s">
        <v>34</v>
      </c>
      <c r="D52">
        <v>38</v>
      </c>
      <c r="F52" s="17">
        <f>IF(Log[[#This Row],[ID]]="","",IF(ISNA(MATCH(Log[[#This Row],[ID]],Items[ID],0)),"unknown ID",IF(ISNA(MATCH(Log[[#This Row],[Verb]],VerbList,0)),"unknown verb",IF(Log[[#This Row],[Date]]="","no date",""))))</f>
      </c>
      <c r="G52" s="17">
        <f>IF(Log[[#This Row],[ID]]="","",IFERROR(VLOOKUP(Log[[#This Row],[Verb]],Verbs,3,FALSE)&amp;"",""))</f>
      </c>
      <c r="H52" s="17">
        <f>IF(Log[[#This Row],[Date]]="","",INT((Log[[#This Row],[Date]]-Sprint1)/SprintDays)+1)</f>
      </c>
      <c r="I52" s="17">
        <f>IF(OR(Log[[#This Row],[Verb]]="commit",Log[[#This Row],[Verb]]="carry",Log[[#This Row],[Verb]]="redo"),IF(Log[[#This Row],[Arg]]="",Log[[#This Row],[Sprint]],N(Log[[#This Row],[Arg]])),"")</f>
      </c>
      <c r="J52" s="17">
        <f>IF(Log[[#This Row],[Verb]]="block",1,IF(OR(Log[[#This Row],[Verb]]="unblock",Log[[#This Row],[Verb]]="done",Log[[#This Row],[Verb]]="drop",Log[[#This Row],[Verb]]="punt",Log[[#This Row],[Verb]]="pass"),0,""))</f>
      </c>
      <c r="K52" s="17">
        <f>IF(Log[[#This Row],[ID]]="",0,IFERROR(INDEX(Items[Pts],MATCH(Log[[#This Row],[ID]],Items[ID],0))*1,0))</f>
      </c>
      <c r="L52" s="17">
        <f>IF(Log[[#This Row],[ID]]="","",IFERROR(INDEX(Items[Cur team],MATCH(Log[[#This Row],[ID]],Items[ID],0))&amp;"",""))</f>
      </c>
      <c r="M52" s="17">
        <f>IF(OR(Log[[#This Row],[Verb]]="done",Log[[#This Row],[Verb]]="punt",Log[[#This Row],[Verb]]="drop",Log[[#This Row],[Verb]]="pass"),Log[[#This Row],[Pts]],0)</f>
      </c>
    </row>
    <row r="53">
      <c r="A53" s="11">
        <v>46077</v>
      </c>
      <c r="B53" t="s">
        <v>184</v>
      </c>
      <c r="C53" t="s">
        <v>34</v>
      </c>
      <c r="D53">
        <v>38</v>
      </c>
      <c r="F53" s="17">
        <f>IF(Log[[#This Row],[ID]]="","",IF(ISNA(MATCH(Log[[#This Row],[ID]],Items[ID],0)),"unknown ID",IF(ISNA(MATCH(Log[[#This Row],[Verb]],VerbList,0)),"unknown verb",IF(Log[[#This Row],[Date]]="","no date",""))))</f>
      </c>
      <c r="G53" s="17">
        <f>IF(Log[[#This Row],[ID]]="","",IFERROR(VLOOKUP(Log[[#This Row],[Verb]],Verbs,3,FALSE)&amp;"",""))</f>
      </c>
      <c r="H53" s="17">
        <f>IF(Log[[#This Row],[Date]]="","",INT((Log[[#This Row],[Date]]-Sprint1)/SprintDays)+1)</f>
      </c>
      <c r="I53" s="17">
        <f>IF(OR(Log[[#This Row],[Verb]]="commit",Log[[#This Row],[Verb]]="carry",Log[[#This Row],[Verb]]="redo"),IF(Log[[#This Row],[Arg]]="",Log[[#This Row],[Sprint]],N(Log[[#This Row],[Arg]])),"")</f>
      </c>
      <c r="J53" s="17">
        <f>IF(Log[[#This Row],[Verb]]="block",1,IF(OR(Log[[#This Row],[Verb]]="unblock",Log[[#This Row],[Verb]]="done",Log[[#This Row],[Verb]]="drop",Log[[#This Row],[Verb]]="punt",Log[[#This Row],[Verb]]="pass"),0,""))</f>
      </c>
      <c r="K53" s="17">
        <f>IF(Log[[#This Row],[ID]]="",0,IFERROR(INDEX(Items[Pts],MATCH(Log[[#This Row],[ID]],Items[ID],0))*1,0))</f>
      </c>
      <c r="L53" s="17">
        <f>IF(Log[[#This Row],[ID]]="","",IFERROR(INDEX(Items[Cur team],MATCH(Log[[#This Row],[ID]],Items[ID],0))&amp;"",""))</f>
      </c>
      <c r="M53" s="17">
        <f>IF(OR(Log[[#This Row],[Verb]]="done",Log[[#This Row],[Verb]]="punt",Log[[#This Row],[Verb]]="drop",Log[[#This Row],[Verb]]="pass"),Log[[#This Row],[Pts]],0)</f>
      </c>
    </row>
    <row r="54">
      <c r="A54" s="11">
        <v>46077</v>
      </c>
      <c r="B54" t="s">
        <v>185</v>
      </c>
      <c r="C54" t="s">
        <v>34</v>
      </c>
      <c r="D54">
        <v>38</v>
      </c>
      <c r="F54" s="17">
        <f>IF(Log[[#This Row],[ID]]="","",IF(ISNA(MATCH(Log[[#This Row],[ID]],Items[ID],0)),"unknown ID",IF(ISNA(MATCH(Log[[#This Row],[Verb]],VerbList,0)),"unknown verb",IF(Log[[#This Row],[Date]]="","no date",""))))</f>
      </c>
      <c r="G54" s="17">
        <f>IF(Log[[#This Row],[ID]]="","",IFERROR(VLOOKUP(Log[[#This Row],[Verb]],Verbs,3,FALSE)&amp;"",""))</f>
      </c>
      <c r="H54" s="17">
        <f>IF(Log[[#This Row],[Date]]="","",INT((Log[[#This Row],[Date]]-Sprint1)/SprintDays)+1)</f>
      </c>
      <c r="I54" s="17">
        <f>IF(OR(Log[[#This Row],[Verb]]="commit",Log[[#This Row],[Verb]]="carry",Log[[#This Row],[Verb]]="redo"),IF(Log[[#This Row],[Arg]]="",Log[[#This Row],[Sprint]],N(Log[[#This Row],[Arg]])),"")</f>
      </c>
      <c r="J54" s="17">
        <f>IF(Log[[#This Row],[Verb]]="block",1,IF(OR(Log[[#This Row],[Verb]]="unblock",Log[[#This Row],[Verb]]="done",Log[[#This Row],[Verb]]="drop",Log[[#This Row],[Verb]]="punt",Log[[#This Row],[Verb]]="pass"),0,""))</f>
      </c>
      <c r="K54" s="17">
        <f>IF(Log[[#This Row],[ID]]="",0,IFERROR(INDEX(Items[Pts],MATCH(Log[[#This Row],[ID]],Items[ID],0))*1,0))</f>
      </c>
      <c r="L54" s="17">
        <f>IF(Log[[#This Row],[ID]]="","",IFERROR(INDEX(Items[Cur team],MATCH(Log[[#This Row],[ID]],Items[ID],0))&amp;"",""))</f>
      </c>
      <c r="M54" s="17">
        <f>IF(OR(Log[[#This Row],[Verb]]="done",Log[[#This Row],[Verb]]="punt",Log[[#This Row],[Verb]]="drop",Log[[#This Row],[Verb]]="pass"),Log[[#This Row],[Pts]],0)</f>
      </c>
    </row>
    <row r="55">
      <c r="A55" s="11">
        <v>46077</v>
      </c>
      <c r="B55" t="s">
        <v>186</v>
      </c>
      <c r="C55" t="s">
        <v>34</v>
      </c>
      <c r="D55">
        <v>38</v>
      </c>
      <c r="F55" s="17">
        <f>IF(Log[[#This Row],[ID]]="","",IF(ISNA(MATCH(Log[[#This Row],[ID]],Items[ID],0)),"unknown ID",IF(ISNA(MATCH(Log[[#This Row],[Verb]],VerbList,0)),"unknown verb",IF(Log[[#This Row],[Date]]="","no date",""))))</f>
      </c>
      <c r="G55" s="17">
        <f>IF(Log[[#This Row],[ID]]="","",IFERROR(VLOOKUP(Log[[#This Row],[Verb]],Verbs,3,FALSE)&amp;"",""))</f>
      </c>
      <c r="H55" s="17">
        <f>IF(Log[[#This Row],[Date]]="","",INT((Log[[#This Row],[Date]]-Sprint1)/SprintDays)+1)</f>
      </c>
      <c r="I55" s="17">
        <f>IF(OR(Log[[#This Row],[Verb]]="commit",Log[[#This Row],[Verb]]="carry",Log[[#This Row],[Verb]]="redo"),IF(Log[[#This Row],[Arg]]="",Log[[#This Row],[Sprint]],N(Log[[#This Row],[Arg]])),"")</f>
      </c>
      <c r="J55" s="17">
        <f>IF(Log[[#This Row],[Verb]]="block",1,IF(OR(Log[[#This Row],[Verb]]="unblock",Log[[#This Row],[Verb]]="done",Log[[#This Row],[Verb]]="drop",Log[[#This Row],[Verb]]="punt",Log[[#This Row],[Verb]]="pass"),0,""))</f>
      </c>
      <c r="K55" s="17">
        <f>IF(Log[[#This Row],[ID]]="",0,IFERROR(INDEX(Items[Pts],MATCH(Log[[#This Row],[ID]],Items[ID],0))*1,0))</f>
      </c>
      <c r="L55" s="17">
        <f>IF(Log[[#This Row],[ID]]="","",IFERROR(INDEX(Items[Cur team],MATCH(Log[[#This Row],[ID]],Items[ID],0))&amp;"",""))</f>
      </c>
      <c r="M55" s="17">
        <f>IF(OR(Log[[#This Row],[Verb]]="done",Log[[#This Row],[Verb]]="punt",Log[[#This Row],[Verb]]="drop",Log[[#This Row],[Verb]]="pass"),Log[[#This Row],[Pts]],0)</f>
      </c>
    </row>
    <row r="56">
      <c r="A56" s="11">
        <v>46077</v>
      </c>
      <c r="B56" t="s">
        <v>187</v>
      </c>
      <c r="C56" t="s">
        <v>34</v>
      </c>
      <c r="D56">
        <v>38</v>
      </c>
      <c r="F56" s="17">
        <f>IF(Log[[#This Row],[ID]]="","",IF(ISNA(MATCH(Log[[#This Row],[ID]],Items[ID],0)),"unknown ID",IF(ISNA(MATCH(Log[[#This Row],[Verb]],VerbList,0)),"unknown verb",IF(Log[[#This Row],[Date]]="","no date",""))))</f>
      </c>
      <c r="G56" s="17">
        <f>IF(Log[[#This Row],[ID]]="","",IFERROR(VLOOKUP(Log[[#This Row],[Verb]],Verbs,3,FALSE)&amp;"",""))</f>
      </c>
      <c r="H56" s="17">
        <f>IF(Log[[#This Row],[Date]]="","",INT((Log[[#This Row],[Date]]-Sprint1)/SprintDays)+1)</f>
      </c>
      <c r="I56" s="17">
        <f>IF(OR(Log[[#This Row],[Verb]]="commit",Log[[#This Row],[Verb]]="carry",Log[[#This Row],[Verb]]="redo"),IF(Log[[#This Row],[Arg]]="",Log[[#This Row],[Sprint]],N(Log[[#This Row],[Arg]])),"")</f>
      </c>
      <c r="J56" s="17">
        <f>IF(Log[[#This Row],[Verb]]="block",1,IF(OR(Log[[#This Row],[Verb]]="unblock",Log[[#This Row],[Verb]]="done",Log[[#This Row],[Verb]]="drop",Log[[#This Row],[Verb]]="punt",Log[[#This Row],[Verb]]="pass"),0,""))</f>
      </c>
      <c r="K56" s="17">
        <f>IF(Log[[#This Row],[ID]]="",0,IFERROR(INDEX(Items[Pts],MATCH(Log[[#This Row],[ID]],Items[ID],0))*1,0))</f>
      </c>
      <c r="L56" s="17">
        <f>IF(Log[[#This Row],[ID]]="","",IFERROR(INDEX(Items[Cur team],MATCH(Log[[#This Row],[ID]],Items[ID],0))&amp;"",""))</f>
      </c>
      <c r="M56" s="17">
        <f>IF(OR(Log[[#This Row],[Verb]]="done",Log[[#This Row],[Verb]]="punt",Log[[#This Row],[Verb]]="drop",Log[[#This Row],[Verb]]="pass"),Log[[#This Row],[Pts]],0)</f>
      </c>
    </row>
    <row r="57">
      <c r="A57" s="11">
        <v>46077</v>
      </c>
      <c r="B57" t="s">
        <v>188</v>
      </c>
      <c r="C57" t="s">
        <v>34</v>
      </c>
      <c r="D57">
        <v>38</v>
      </c>
      <c r="F57" s="17">
        <f>IF(Log[[#This Row],[ID]]="","",IF(ISNA(MATCH(Log[[#This Row],[ID]],Items[ID],0)),"unknown ID",IF(ISNA(MATCH(Log[[#This Row],[Verb]],VerbList,0)),"unknown verb",IF(Log[[#This Row],[Date]]="","no date",""))))</f>
      </c>
      <c r="G57" s="17">
        <f>IF(Log[[#This Row],[ID]]="","",IFERROR(VLOOKUP(Log[[#This Row],[Verb]],Verbs,3,FALSE)&amp;"",""))</f>
      </c>
      <c r="H57" s="17">
        <f>IF(Log[[#This Row],[Date]]="","",INT((Log[[#This Row],[Date]]-Sprint1)/SprintDays)+1)</f>
      </c>
      <c r="I57" s="17">
        <f>IF(OR(Log[[#This Row],[Verb]]="commit",Log[[#This Row],[Verb]]="carry",Log[[#This Row],[Verb]]="redo"),IF(Log[[#This Row],[Arg]]="",Log[[#This Row],[Sprint]],N(Log[[#This Row],[Arg]])),"")</f>
      </c>
      <c r="J57" s="17">
        <f>IF(Log[[#This Row],[Verb]]="block",1,IF(OR(Log[[#This Row],[Verb]]="unblock",Log[[#This Row],[Verb]]="done",Log[[#This Row],[Verb]]="drop",Log[[#This Row],[Verb]]="punt",Log[[#This Row],[Verb]]="pass"),0,""))</f>
      </c>
      <c r="K57" s="17">
        <f>IF(Log[[#This Row],[ID]]="",0,IFERROR(INDEX(Items[Pts],MATCH(Log[[#This Row],[ID]],Items[ID],0))*1,0))</f>
      </c>
      <c r="L57" s="17">
        <f>IF(Log[[#This Row],[ID]]="","",IFERROR(INDEX(Items[Cur team],MATCH(Log[[#This Row],[ID]],Items[ID],0))&amp;"",""))</f>
      </c>
      <c r="M57" s="17">
        <f>IF(OR(Log[[#This Row],[Verb]]="done",Log[[#This Row],[Verb]]="punt",Log[[#This Row],[Verb]]="drop",Log[[#This Row],[Verb]]="pass"),Log[[#This Row],[Pts]],0)</f>
      </c>
    </row>
    <row r="58">
      <c r="A58" s="11">
        <v>46077</v>
      </c>
      <c r="B58" t="s">
        <v>189</v>
      </c>
      <c r="C58" t="s">
        <v>34</v>
      </c>
      <c r="D58">
        <v>38</v>
      </c>
      <c r="F58" s="17">
        <f>IF(Log[[#This Row],[ID]]="","",IF(ISNA(MATCH(Log[[#This Row],[ID]],Items[ID],0)),"unknown ID",IF(ISNA(MATCH(Log[[#This Row],[Verb]],VerbList,0)),"unknown verb",IF(Log[[#This Row],[Date]]="","no date",""))))</f>
      </c>
      <c r="G58" s="17">
        <f>IF(Log[[#This Row],[ID]]="","",IFERROR(VLOOKUP(Log[[#This Row],[Verb]],Verbs,3,FALSE)&amp;"",""))</f>
      </c>
      <c r="H58" s="17">
        <f>IF(Log[[#This Row],[Date]]="","",INT((Log[[#This Row],[Date]]-Sprint1)/SprintDays)+1)</f>
      </c>
      <c r="I58" s="17">
        <f>IF(OR(Log[[#This Row],[Verb]]="commit",Log[[#This Row],[Verb]]="carry",Log[[#This Row],[Verb]]="redo"),IF(Log[[#This Row],[Arg]]="",Log[[#This Row],[Sprint]],N(Log[[#This Row],[Arg]])),"")</f>
      </c>
      <c r="J58" s="17">
        <f>IF(Log[[#This Row],[Verb]]="block",1,IF(OR(Log[[#This Row],[Verb]]="unblock",Log[[#This Row],[Verb]]="done",Log[[#This Row],[Verb]]="drop",Log[[#This Row],[Verb]]="punt",Log[[#This Row],[Verb]]="pass"),0,""))</f>
      </c>
      <c r="K58" s="17">
        <f>IF(Log[[#This Row],[ID]]="",0,IFERROR(INDEX(Items[Pts],MATCH(Log[[#This Row],[ID]],Items[ID],0))*1,0))</f>
      </c>
      <c r="L58" s="17">
        <f>IF(Log[[#This Row],[ID]]="","",IFERROR(INDEX(Items[Cur team],MATCH(Log[[#This Row],[ID]],Items[ID],0))&amp;"",""))</f>
      </c>
      <c r="M58" s="17">
        <f>IF(OR(Log[[#This Row],[Verb]]="done",Log[[#This Row],[Verb]]="punt",Log[[#This Row],[Verb]]="drop",Log[[#This Row],[Verb]]="pass"),Log[[#This Row],[Pts]],0)</f>
      </c>
    </row>
    <row r="59">
      <c r="A59" s="11">
        <v>46077</v>
      </c>
      <c r="B59" t="s">
        <v>190</v>
      </c>
      <c r="C59" t="s">
        <v>34</v>
      </c>
      <c r="D59">
        <v>38</v>
      </c>
      <c r="F59" s="17">
        <f>IF(Log[[#This Row],[ID]]="","",IF(ISNA(MATCH(Log[[#This Row],[ID]],Items[ID],0)),"unknown ID",IF(ISNA(MATCH(Log[[#This Row],[Verb]],VerbList,0)),"unknown verb",IF(Log[[#This Row],[Date]]="","no date",""))))</f>
      </c>
      <c r="G59" s="17">
        <f>IF(Log[[#This Row],[ID]]="","",IFERROR(VLOOKUP(Log[[#This Row],[Verb]],Verbs,3,FALSE)&amp;"",""))</f>
      </c>
      <c r="H59" s="17">
        <f>IF(Log[[#This Row],[Date]]="","",INT((Log[[#This Row],[Date]]-Sprint1)/SprintDays)+1)</f>
      </c>
      <c r="I59" s="17">
        <f>IF(OR(Log[[#This Row],[Verb]]="commit",Log[[#This Row],[Verb]]="carry",Log[[#This Row],[Verb]]="redo"),IF(Log[[#This Row],[Arg]]="",Log[[#This Row],[Sprint]],N(Log[[#This Row],[Arg]])),"")</f>
      </c>
      <c r="J59" s="17">
        <f>IF(Log[[#This Row],[Verb]]="block",1,IF(OR(Log[[#This Row],[Verb]]="unblock",Log[[#This Row],[Verb]]="done",Log[[#This Row],[Verb]]="drop",Log[[#This Row],[Verb]]="punt",Log[[#This Row],[Verb]]="pass"),0,""))</f>
      </c>
      <c r="K59" s="17">
        <f>IF(Log[[#This Row],[ID]]="",0,IFERROR(INDEX(Items[Pts],MATCH(Log[[#This Row],[ID]],Items[ID],0))*1,0))</f>
      </c>
      <c r="L59" s="17">
        <f>IF(Log[[#This Row],[ID]]="","",IFERROR(INDEX(Items[Cur team],MATCH(Log[[#This Row],[ID]],Items[ID],0))&amp;"",""))</f>
      </c>
      <c r="M59" s="17">
        <f>IF(OR(Log[[#This Row],[Verb]]="done",Log[[#This Row],[Verb]]="punt",Log[[#This Row],[Verb]]="drop",Log[[#This Row],[Verb]]="pass"),Log[[#This Row],[Pts]],0)</f>
      </c>
    </row>
    <row r="60">
      <c r="A60" s="11">
        <v>46077</v>
      </c>
      <c r="B60" t="s">
        <v>191</v>
      </c>
      <c r="C60" t="s">
        <v>34</v>
      </c>
      <c r="D60">
        <v>38</v>
      </c>
      <c r="F60" s="17">
        <f>IF(Log[[#This Row],[ID]]="","",IF(ISNA(MATCH(Log[[#This Row],[ID]],Items[ID],0)),"unknown ID",IF(ISNA(MATCH(Log[[#This Row],[Verb]],VerbList,0)),"unknown verb",IF(Log[[#This Row],[Date]]="","no date",""))))</f>
      </c>
      <c r="G60" s="17">
        <f>IF(Log[[#This Row],[ID]]="","",IFERROR(VLOOKUP(Log[[#This Row],[Verb]],Verbs,3,FALSE)&amp;"",""))</f>
      </c>
      <c r="H60" s="17">
        <f>IF(Log[[#This Row],[Date]]="","",INT((Log[[#This Row],[Date]]-Sprint1)/SprintDays)+1)</f>
      </c>
      <c r="I60" s="17">
        <f>IF(OR(Log[[#This Row],[Verb]]="commit",Log[[#This Row],[Verb]]="carry",Log[[#This Row],[Verb]]="redo"),IF(Log[[#This Row],[Arg]]="",Log[[#This Row],[Sprint]],N(Log[[#This Row],[Arg]])),"")</f>
      </c>
      <c r="J60" s="17">
        <f>IF(Log[[#This Row],[Verb]]="block",1,IF(OR(Log[[#This Row],[Verb]]="unblock",Log[[#This Row],[Verb]]="done",Log[[#This Row],[Verb]]="drop",Log[[#This Row],[Verb]]="punt",Log[[#This Row],[Verb]]="pass"),0,""))</f>
      </c>
      <c r="K60" s="17">
        <f>IF(Log[[#This Row],[ID]]="",0,IFERROR(INDEX(Items[Pts],MATCH(Log[[#This Row],[ID]],Items[ID],0))*1,0))</f>
      </c>
      <c r="L60" s="17">
        <f>IF(Log[[#This Row],[ID]]="","",IFERROR(INDEX(Items[Cur team],MATCH(Log[[#This Row],[ID]],Items[ID],0))&amp;"",""))</f>
      </c>
      <c r="M60" s="17">
        <f>IF(OR(Log[[#This Row],[Verb]]="done",Log[[#This Row],[Verb]]="punt",Log[[#This Row],[Verb]]="drop",Log[[#This Row],[Verb]]="pass"),Log[[#This Row],[Pts]],0)</f>
      </c>
    </row>
    <row r="61">
      <c r="A61" s="11">
        <v>46077</v>
      </c>
      <c r="B61" t="s">
        <v>192</v>
      </c>
      <c r="C61" t="s">
        <v>34</v>
      </c>
      <c r="D61">
        <v>38</v>
      </c>
      <c r="F61" s="17">
        <f>IF(Log[[#This Row],[ID]]="","",IF(ISNA(MATCH(Log[[#This Row],[ID]],Items[ID],0)),"unknown ID",IF(ISNA(MATCH(Log[[#This Row],[Verb]],VerbList,0)),"unknown verb",IF(Log[[#This Row],[Date]]="","no date",""))))</f>
      </c>
      <c r="G61" s="17">
        <f>IF(Log[[#This Row],[ID]]="","",IFERROR(VLOOKUP(Log[[#This Row],[Verb]],Verbs,3,FALSE)&amp;"",""))</f>
      </c>
      <c r="H61" s="17">
        <f>IF(Log[[#This Row],[Date]]="","",INT((Log[[#This Row],[Date]]-Sprint1)/SprintDays)+1)</f>
      </c>
      <c r="I61" s="17">
        <f>IF(OR(Log[[#This Row],[Verb]]="commit",Log[[#This Row],[Verb]]="carry",Log[[#This Row],[Verb]]="redo"),IF(Log[[#This Row],[Arg]]="",Log[[#This Row],[Sprint]],N(Log[[#This Row],[Arg]])),"")</f>
      </c>
      <c r="J61" s="17">
        <f>IF(Log[[#This Row],[Verb]]="block",1,IF(OR(Log[[#This Row],[Verb]]="unblock",Log[[#This Row],[Verb]]="done",Log[[#This Row],[Verb]]="drop",Log[[#This Row],[Verb]]="punt",Log[[#This Row],[Verb]]="pass"),0,""))</f>
      </c>
      <c r="K61" s="17">
        <f>IF(Log[[#This Row],[ID]]="",0,IFERROR(INDEX(Items[Pts],MATCH(Log[[#This Row],[ID]],Items[ID],0))*1,0))</f>
      </c>
      <c r="L61" s="17">
        <f>IF(Log[[#This Row],[ID]]="","",IFERROR(INDEX(Items[Cur team],MATCH(Log[[#This Row],[ID]],Items[ID],0))&amp;"",""))</f>
      </c>
      <c r="M61" s="17">
        <f>IF(OR(Log[[#This Row],[Verb]]="done",Log[[#This Row],[Verb]]="punt",Log[[#This Row],[Verb]]="drop",Log[[#This Row],[Verb]]="pass"),Log[[#This Row],[Pts]],0)</f>
      </c>
    </row>
    <row r="62">
      <c r="A62" s="11">
        <v>46077</v>
      </c>
      <c r="B62" t="s">
        <v>165</v>
      </c>
      <c r="C62" t="s">
        <v>57</v>
      </c>
      <c r="D62">
        <v>38</v>
      </c>
      <c r="E62" t="s">
        <v>193</v>
      </c>
      <c r="F62" s="17">
        <f>IF(Log[[#This Row],[ID]]="","",IF(ISNA(MATCH(Log[[#This Row],[ID]],Items[ID],0)),"unknown ID",IF(ISNA(MATCH(Log[[#This Row],[Verb]],VerbList,0)),"unknown verb",IF(Log[[#This Row],[Date]]="","no date",""))))</f>
      </c>
      <c r="G62" s="17">
        <f>IF(Log[[#This Row],[ID]]="","",IFERROR(VLOOKUP(Log[[#This Row],[Verb]],Verbs,3,FALSE)&amp;"",""))</f>
      </c>
      <c r="H62" s="17">
        <f>IF(Log[[#This Row],[Date]]="","",INT((Log[[#This Row],[Date]]-Sprint1)/SprintDays)+1)</f>
      </c>
      <c r="I62" s="17">
        <f>IF(OR(Log[[#This Row],[Verb]]="commit",Log[[#This Row],[Verb]]="carry",Log[[#This Row],[Verb]]="redo"),IF(Log[[#This Row],[Arg]]="",Log[[#This Row],[Sprint]],N(Log[[#This Row],[Arg]])),"")</f>
      </c>
      <c r="J62" s="17">
        <f>IF(Log[[#This Row],[Verb]]="block",1,IF(OR(Log[[#This Row],[Verb]]="unblock",Log[[#This Row],[Verb]]="done",Log[[#This Row],[Verb]]="drop",Log[[#This Row],[Verb]]="punt",Log[[#This Row],[Verb]]="pass"),0,""))</f>
      </c>
      <c r="K62" s="17">
        <f>IF(Log[[#This Row],[ID]]="",0,IFERROR(INDEX(Items[Pts],MATCH(Log[[#This Row],[ID]],Items[ID],0))*1,0))</f>
      </c>
      <c r="L62" s="17">
        <f>IF(Log[[#This Row],[ID]]="","",IFERROR(INDEX(Items[Cur team],MATCH(Log[[#This Row],[ID]],Items[ID],0))&amp;"",""))</f>
      </c>
      <c r="M62" s="17">
        <f>IF(OR(Log[[#This Row],[Verb]]="done",Log[[#This Row],[Verb]]="punt",Log[[#This Row],[Verb]]="drop",Log[[#This Row],[Verb]]="pass"),Log[[#This Row],[Pts]],0)</f>
      </c>
    </row>
    <row r="63">
      <c r="A63" s="11">
        <v>46077</v>
      </c>
      <c r="B63" t="s">
        <v>194</v>
      </c>
      <c r="C63" t="s">
        <v>34</v>
      </c>
      <c r="D63">
        <v>38</v>
      </c>
      <c r="F63" s="17">
        <f>IF(Log[[#This Row],[ID]]="","",IF(ISNA(MATCH(Log[[#This Row],[ID]],Items[ID],0)),"unknown ID",IF(ISNA(MATCH(Log[[#This Row],[Verb]],VerbList,0)),"unknown verb",IF(Log[[#This Row],[Date]]="","no date",""))))</f>
      </c>
      <c r="G63" s="17">
        <f>IF(Log[[#This Row],[ID]]="","",IFERROR(VLOOKUP(Log[[#This Row],[Verb]],Verbs,3,FALSE)&amp;"",""))</f>
      </c>
      <c r="H63" s="17">
        <f>IF(Log[[#This Row],[Date]]="","",INT((Log[[#This Row],[Date]]-Sprint1)/SprintDays)+1)</f>
      </c>
      <c r="I63" s="17">
        <f>IF(OR(Log[[#This Row],[Verb]]="commit",Log[[#This Row],[Verb]]="carry",Log[[#This Row],[Verb]]="redo"),IF(Log[[#This Row],[Arg]]="",Log[[#This Row],[Sprint]],N(Log[[#This Row],[Arg]])),"")</f>
      </c>
      <c r="J63" s="17">
        <f>IF(Log[[#This Row],[Verb]]="block",1,IF(OR(Log[[#This Row],[Verb]]="unblock",Log[[#This Row],[Verb]]="done",Log[[#This Row],[Verb]]="drop",Log[[#This Row],[Verb]]="punt",Log[[#This Row],[Verb]]="pass"),0,""))</f>
      </c>
      <c r="K63" s="17">
        <f>IF(Log[[#This Row],[ID]]="",0,IFERROR(INDEX(Items[Pts],MATCH(Log[[#This Row],[ID]],Items[ID],0))*1,0))</f>
      </c>
      <c r="L63" s="17">
        <f>IF(Log[[#This Row],[ID]]="","",IFERROR(INDEX(Items[Cur team],MATCH(Log[[#This Row],[ID]],Items[ID],0))&amp;"",""))</f>
      </c>
      <c r="M63" s="17">
        <f>IF(OR(Log[[#This Row],[Verb]]="done",Log[[#This Row],[Verb]]="punt",Log[[#This Row],[Verb]]="drop",Log[[#This Row],[Verb]]="pass"),Log[[#This Row],[Pts]],0)</f>
      </c>
    </row>
    <row r="64">
      <c r="A64" s="11">
        <v>46077</v>
      </c>
      <c r="B64" t="s">
        <v>195</v>
      </c>
      <c r="C64" t="s">
        <v>34</v>
      </c>
      <c r="D64">
        <v>38</v>
      </c>
      <c r="F64" s="17">
        <f>IF(Log[[#This Row],[ID]]="","",IF(ISNA(MATCH(Log[[#This Row],[ID]],Items[ID],0)),"unknown ID",IF(ISNA(MATCH(Log[[#This Row],[Verb]],VerbList,0)),"unknown verb",IF(Log[[#This Row],[Date]]="","no date",""))))</f>
      </c>
      <c r="G64" s="17">
        <f>IF(Log[[#This Row],[ID]]="","",IFERROR(VLOOKUP(Log[[#This Row],[Verb]],Verbs,3,FALSE)&amp;"",""))</f>
      </c>
      <c r="H64" s="17">
        <f>IF(Log[[#This Row],[Date]]="","",INT((Log[[#This Row],[Date]]-Sprint1)/SprintDays)+1)</f>
      </c>
      <c r="I64" s="17">
        <f>IF(OR(Log[[#This Row],[Verb]]="commit",Log[[#This Row],[Verb]]="carry",Log[[#This Row],[Verb]]="redo"),IF(Log[[#This Row],[Arg]]="",Log[[#This Row],[Sprint]],N(Log[[#This Row],[Arg]])),"")</f>
      </c>
      <c r="J64" s="17">
        <f>IF(Log[[#This Row],[Verb]]="block",1,IF(OR(Log[[#This Row],[Verb]]="unblock",Log[[#This Row],[Verb]]="done",Log[[#This Row],[Verb]]="drop",Log[[#This Row],[Verb]]="punt",Log[[#This Row],[Verb]]="pass"),0,""))</f>
      </c>
      <c r="K64" s="17">
        <f>IF(Log[[#This Row],[ID]]="",0,IFERROR(INDEX(Items[Pts],MATCH(Log[[#This Row],[ID]],Items[ID],0))*1,0))</f>
      </c>
      <c r="L64" s="17">
        <f>IF(Log[[#This Row],[ID]]="","",IFERROR(INDEX(Items[Cur team],MATCH(Log[[#This Row],[ID]],Items[ID],0))&amp;"",""))</f>
      </c>
      <c r="M64" s="17">
        <f>IF(OR(Log[[#This Row],[Verb]]="done",Log[[#This Row],[Verb]]="punt",Log[[#This Row],[Verb]]="drop",Log[[#This Row],[Verb]]="pass"),Log[[#This Row],[Pts]],0)</f>
      </c>
    </row>
    <row r="65">
      <c r="A65" s="11">
        <v>46077</v>
      </c>
      <c r="B65" t="s">
        <v>196</v>
      </c>
      <c r="C65" t="s">
        <v>34</v>
      </c>
      <c r="D65">
        <v>38</v>
      </c>
      <c r="F65" s="17">
        <f>IF(Log[[#This Row],[ID]]="","",IF(ISNA(MATCH(Log[[#This Row],[ID]],Items[ID],0)),"unknown ID",IF(ISNA(MATCH(Log[[#This Row],[Verb]],VerbList,0)),"unknown verb",IF(Log[[#This Row],[Date]]="","no date",""))))</f>
      </c>
      <c r="G65" s="17">
        <f>IF(Log[[#This Row],[ID]]="","",IFERROR(VLOOKUP(Log[[#This Row],[Verb]],Verbs,3,FALSE)&amp;"",""))</f>
      </c>
      <c r="H65" s="17">
        <f>IF(Log[[#This Row],[Date]]="","",INT((Log[[#This Row],[Date]]-Sprint1)/SprintDays)+1)</f>
      </c>
      <c r="I65" s="17">
        <f>IF(OR(Log[[#This Row],[Verb]]="commit",Log[[#This Row],[Verb]]="carry",Log[[#This Row],[Verb]]="redo"),IF(Log[[#This Row],[Arg]]="",Log[[#This Row],[Sprint]],N(Log[[#This Row],[Arg]])),"")</f>
      </c>
      <c r="J65" s="17">
        <f>IF(Log[[#This Row],[Verb]]="block",1,IF(OR(Log[[#This Row],[Verb]]="unblock",Log[[#This Row],[Verb]]="done",Log[[#This Row],[Verb]]="drop",Log[[#This Row],[Verb]]="punt",Log[[#This Row],[Verb]]="pass"),0,""))</f>
      </c>
      <c r="K65" s="17">
        <f>IF(Log[[#This Row],[ID]]="",0,IFERROR(INDEX(Items[Pts],MATCH(Log[[#This Row],[ID]],Items[ID],0))*1,0))</f>
      </c>
      <c r="L65" s="17">
        <f>IF(Log[[#This Row],[ID]]="","",IFERROR(INDEX(Items[Cur team],MATCH(Log[[#This Row],[ID]],Items[ID],0))&amp;"",""))</f>
      </c>
      <c r="M65" s="17">
        <f>IF(OR(Log[[#This Row],[Verb]]="done",Log[[#This Row],[Verb]]="punt",Log[[#This Row],[Verb]]="drop",Log[[#This Row],[Verb]]="pass"),Log[[#This Row],[Pts]],0)</f>
      </c>
    </row>
    <row r="66">
      <c r="A66" s="11">
        <v>46077</v>
      </c>
      <c r="B66" t="s">
        <v>197</v>
      </c>
      <c r="C66" t="s">
        <v>34</v>
      </c>
      <c r="D66">
        <v>38</v>
      </c>
      <c r="F66" s="17">
        <f>IF(Log[[#This Row],[ID]]="","",IF(ISNA(MATCH(Log[[#This Row],[ID]],Items[ID],0)),"unknown ID",IF(ISNA(MATCH(Log[[#This Row],[Verb]],VerbList,0)),"unknown verb",IF(Log[[#This Row],[Date]]="","no date",""))))</f>
      </c>
      <c r="G66" s="17">
        <f>IF(Log[[#This Row],[ID]]="","",IFERROR(VLOOKUP(Log[[#This Row],[Verb]],Verbs,3,FALSE)&amp;"",""))</f>
      </c>
      <c r="H66" s="17">
        <f>IF(Log[[#This Row],[Date]]="","",INT((Log[[#This Row],[Date]]-Sprint1)/SprintDays)+1)</f>
      </c>
      <c r="I66" s="17">
        <f>IF(OR(Log[[#This Row],[Verb]]="commit",Log[[#This Row],[Verb]]="carry",Log[[#This Row],[Verb]]="redo"),IF(Log[[#This Row],[Arg]]="",Log[[#This Row],[Sprint]],N(Log[[#This Row],[Arg]])),"")</f>
      </c>
      <c r="J66" s="17">
        <f>IF(Log[[#This Row],[Verb]]="block",1,IF(OR(Log[[#This Row],[Verb]]="unblock",Log[[#This Row],[Verb]]="done",Log[[#This Row],[Verb]]="drop",Log[[#This Row],[Verb]]="punt",Log[[#This Row],[Verb]]="pass"),0,""))</f>
      </c>
      <c r="K66" s="17">
        <f>IF(Log[[#This Row],[ID]]="",0,IFERROR(INDEX(Items[Pts],MATCH(Log[[#This Row],[ID]],Items[ID],0))*1,0))</f>
      </c>
      <c r="L66" s="17">
        <f>IF(Log[[#This Row],[ID]]="","",IFERROR(INDEX(Items[Cur team],MATCH(Log[[#This Row],[ID]],Items[ID],0))&amp;"",""))</f>
      </c>
      <c r="M66" s="17">
        <f>IF(OR(Log[[#This Row],[Verb]]="done",Log[[#This Row],[Verb]]="punt",Log[[#This Row],[Verb]]="drop",Log[[#This Row],[Verb]]="pass"),Log[[#This Row],[Pts]],0)</f>
      </c>
    </row>
    <row r="67">
      <c r="A67" s="11">
        <v>46077</v>
      </c>
      <c r="B67" t="s">
        <v>198</v>
      </c>
      <c r="C67" t="s">
        <v>34</v>
      </c>
      <c r="D67">
        <v>38</v>
      </c>
      <c r="F67" s="17">
        <f>IF(Log[[#This Row],[ID]]="","",IF(ISNA(MATCH(Log[[#This Row],[ID]],Items[ID],0)),"unknown ID",IF(ISNA(MATCH(Log[[#This Row],[Verb]],VerbList,0)),"unknown verb",IF(Log[[#This Row],[Date]]="","no date",""))))</f>
      </c>
      <c r="G67" s="17">
        <f>IF(Log[[#This Row],[ID]]="","",IFERROR(VLOOKUP(Log[[#This Row],[Verb]],Verbs,3,FALSE)&amp;"",""))</f>
      </c>
      <c r="H67" s="17">
        <f>IF(Log[[#This Row],[Date]]="","",INT((Log[[#This Row],[Date]]-Sprint1)/SprintDays)+1)</f>
      </c>
      <c r="I67" s="17">
        <f>IF(OR(Log[[#This Row],[Verb]]="commit",Log[[#This Row],[Verb]]="carry",Log[[#This Row],[Verb]]="redo"),IF(Log[[#This Row],[Arg]]="",Log[[#This Row],[Sprint]],N(Log[[#This Row],[Arg]])),"")</f>
      </c>
      <c r="J67" s="17">
        <f>IF(Log[[#This Row],[Verb]]="block",1,IF(OR(Log[[#This Row],[Verb]]="unblock",Log[[#This Row],[Verb]]="done",Log[[#This Row],[Verb]]="drop",Log[[#This Row],[Verb]]="punt",Log[[#This Row],[Verb]]="pass"),0,""))</f>
      </c>
      <c r="K67" s="17">
        <f>IF(Log[[#This Row],[ID]]="",0,IFERROR(INDEX(Items[Pts],MATCH(Log[[#This Row],[ID]],Items[ID],0))*1,0))</f>
      </c>
      <c r="L67" s="17">
        <f>IF(Log[[#This Row],[ID]]="","",IFERROR(INDEX(Items[Cur team],MATCH(Log[[#This Row],[ID]],Items[ID],0))&amp;"",""))</f>
      </c>
      <c r="M67" s="17">
        <f>IF(OR(Log[[#This Row],[Verb]]="done",Log[[#This Row],[Verb]]="punt",Log[[#This Row],[Verb]]="drop",Log[[#This Row],[Verb]]="pass"),Log[[#This Row],[Pts]],0)</f>
      </c>
    </row>
    <row r="68">
      <c r="A68" s="11">
        <v>46077</v>
      </c>
      <c r="B68" t="s">
        <v>199</v>
      </c>
      <c r="C68" t="s">
        <v>34</v>
      </c>
      <c r="D68">
        <v>38</v>
      </c>
      <c r="F68" s="17">
        <f>IF(Log[[#This Row],[ID]]="","",IF(ISNA(MATCH(Log[[#This Row],[ID]],Items[ID],0)),"unknown ID",IF(ISNA(MATCH(Log[[#This Row],[Verb]],VerbList,0)),"unknown verb",IF(Log[[#This Row],[Date]]="","no date",""))))</f>
      </c>
      <c r="G68" s="17">
        <f>IF(Log[[#This Row],[ID]]="","",IFERROR(VLOOKUP(Log[[#This Row],[Verb]],Verbs,3,FALSE)&amp;"",""))</f>
      </c>
      <c r="H68" s="17">
        <f>IF(Log[[#This Row],[Date]]="","",INT((Log[[#This Row],[Date]]-Sprint1)/SprintDays)+1)</f>
      </c>
      <c r="I68" s="17">
        <f>IF(OR(Log[[#This Row],[Verb]]="commit",Log[[#This Row],[Verb]]="carry",Log[[#This Row],[Verb]]="redo"),IF(Log[[#This Row],[Arg]]="",Log[[#This Row],[Sprint]],N(Log[[#This Row],[Arg]])),"")</f>
      </c>
      <c r="J68" s="17">
        <f>IF(Log[[#This Row],[Verb]]="block",1,IF(OR(Log[[#This Row],[Verb]]="unblock",Log[[#This Row],[Verb]]="done",Log[[#This Row],[Verb]]="drop",Log[[#This Row],[Verb]]="punt",Log[[#This Row],[Verb]]="pass"),0,""))</f>
      </c>
      <c r="K68" s="17">
        <f>IF(Log[[#This Row],[ID]]="",0,IFERROR(INDEX(Items[Pts],MATCH(Log[[#This Row],[ID]],Items[ID],0))*1,0))</f>
      </c>
      <c r="L68" s="17">
        <f>IF(Log[[#This Row],[ID]]="","",IFERROR(INDEX(Items[Cur team],MATCH(Log[[#This Row],[ID]],Items[ID],0))&amp;"",""))</f>
      </c>
      <c r="M68" s="17">
        <f>IF(OR(Log[[#This Row],[Verb]]="done",Log[[#This Row],[Verb]]="punt",Log[[#This Row],[Verb]]="drop",Log[[#This Row],[Verb]]="pass"),Log[[#This Row],[Pts]],0)</f>
      </c>
    </row>
    <row r="69">
      <c r="A69" s="11">
        <v>46077</v>
      </c>
      <c r="B69" t="s">
        <v>200</v>
      </c>
      <c r="C69" t="s">
        <v>34</v>
      </c>
      <c r="D69">
        <v>38</v>
      </c>
      <c r="F69" s="17">
        <f>IF(Log[[#This Row],[ID]]="","",IF(ISNA(MATCH(Log[[#This Row],[ID]],Items[ID],0)),"unknown ID",IF(ISNA(MATCH(Log[[#This Row],[Verb]],VerbList,0)),"unknown verb",IF(Log[[#This Row],[Date]]="","no date",""))))</f>
      </c>
      <c r="G69" s="17">
        <f>IF(Log[[#This Row],[ID]]="","",IFERROR(VLOOKUP(Log[[#This Row],[Verb]],Verbs,3,FALSE)&amp;"",""))</f>
      </c>
      <c r="H69" s="17">
        <f>IF(Log[[#This Row],[Date]]="","",INT((Log[[#This Row],[Date]]-Sprint1)/SprintDays)+1)</f>
      </c>
      <c r="I69" s="17">
        <f>IF(OR(Log[[#This Row],[Verb]]="commit",Log[[#This Row],[Verb]]="carry",Log[[#This Row],[Verb]]="redo"),IF(Log[[#This Row],[Arg]]="",Log[[#This Row],[Sprint]],N(Log[[#This Row],[Arg]])),"")</f>
      </c>
      <c r="J69" s="17">
        <f>IF(Log[[#This Row],[Verb]]="block",1,IF(OR(Log[[#This Row],[Verb]]="unblock",Log[[#This Row],[Verb]]="done",Log[[#This Row],[Verb]]="drop",Log[[#This Row],[Verb]]="punt",Log[[#This Row],[Verb]]="pass"),0,""))</f>
      </c>
      <c r="K69" s="17">
        <f>IF(Log[[#This Row],[ID]]="",0,IFERROR(INDEX(Items[Pts],MATCH(Log[[#This Row],[ID]],Items[ID],0))*1,0))</f>
      </c>
      <c r="L69" s="17">
        <f>IF(Log[[#This Row],[ID]]="","",IFERROR(INDEX(Items[Cur team],MATCH(Log[[#This Row],[ID]],Items[ID],0))&amp;"",""))</f>
      </c>
      <c r="M69" s="17">
        <f>IF(OR(Log[[#This Row],[Verb]]="done",Log[[#This Row],[Verb]]="punt",Log[[#This Row],[Verb]]="drop",Log[[#This Row],[Verb]]="pass"),Log[[#This Row],[Pts]],0)</f>
      </c>
    </row>
    <row r="70">
      <c r="A70" s="11">
        <v>46077</v>
      </c>
      <c r="B70" t="s">
        <v>201</v>
      </c>
      <c r="C70" t="s">
        <v>34</v>
      </c>
      <c r="D70">
        <v>38</v>
      </c>
      <c r="F70" s="17">
        <f>IF(Log[[#This Row],[ID]]="","",IF(ISNA(MATCH(Log[[#This Row],[ID]],Items[ID],0)),"unknown ID",IF(ISNA(MATCH(Log[[#This Row],[Verb]],VerbList,0)),"unknown verb",IF(Log[[#This Row],[Date]]="","no date",""))))</f>
      </c>
      <c r="G70" s="17">
        <f>IF(Log[[#This Row],[ID]]="","",IFERROR(VLOOKUP(Log[[#This Row],[Verb]],Verbs,3,FALSE)&amp;"",""))</f>
      </c>
      <c r="H70" s="17">
        <f>IF(Log[[#This Row],[Date]]="","",INT((Log[[#This Row],[Date]]-Sprint1)/SprintDays)+1)</f>
      </c>
      <c r="I70" s="17">
        <f>IF(OR(Log[[#This Row],[Verb]]="commit",Log[[#This Row],[Verb]]="carry",Log[[#This Row],[Verb]]="redo"),IF(Log[[#This Row],[Arg]]="",Log[[#This Row],[Sprint]],N(Log[[#This Row],[Arg]])),"")</f>
      </c>
      <c r="J70" s="17">
        <f>IF(Log[[#This Row],[Verb]]="block",1,IF(OR(Log[[#This Row],[Verb]]="unblock",Log[[#This Row],[Verb]]="done",Log[[#This Row],[Verb]]="drop",Log[[#This Row],[Verb]]="punt",Log[[#This Row],[Verb]]="pass"),0,""))</f>
      </c>
      <c r="K70" s="17">
        <f>IF(Log[[#This Row],[ID]]="",0,IFERROR(INDEX(Items[Pts],MATCH(Log[[#This Row],[ID]],Items[ID],0))*1,0))</f>
      </c>
      <c r="L70" s="17">
        <f>IF(Log[[#This Row],[ID]]="","",IFERROR(INDEX(Items[Cur team],MATCH(Log[[#This Row],[ID]],Items[ID],0))&amp;"",""))</f>
      </c>
      <c r="M70" s="17">
        <f>IF(OR(Log[[#This Row],[Verb]]="done",Log[[#This Row],[Verb]]="punt",Log[[#This Row],[Verb]]="drop",Log[[#This Row],[Verb]]="pass"),Log[[#This Row],[Pts]],0)</f>
      </c>
    </row>
    <row r="71">
      <c r="A71" s="11">
        <v>46077</v>
      </c>
      <c r="B71" t="s">
        <v>202</v>
      </c>
      <c r="C71" t="s">
        <v>34</v>
      </c>
      <c r="D71">
        <v>38</v>
      </c>
      <c r="F71" s="17">
        <f>IF(Log[[#This Row],[ID]]="","",IF(ISNA(MATCH(Log[[#This Row],[ID]],Items[ID],0)),"unknown ID",IF(ISNA(MATCH(Log[[#This Row],[Verb]],VerbList,0)),"unknown verb",IF(Log[[#This Row],[Date]]="","no date",""))))</f>
      </c>
      <c r="G71" s="17">
        <f>IF(Log[[#This Row],[ID]]="","",IFERROR(VLOOKUP(Log[[#This Row],[Verb]],Verbs,3,FALSE)&amp;"",""))</f>
      </c>
      <c r="H71" s="17">
        <f>IF(Log[[#This Row],[Date]]="","",INT((Log[[#This Row],[Date]]-Sprint1)/SprintDays)+1)</f>
      </c>
      <c r="I71" s="17">
        <f>IF(OR(Log[[#This Row],[Verb]]="commit",Log[[#This Row],[Verb]]="carry",Log[[#This Row],[Verb]]="redo"),IF(Log[[#This Row],[Arg]]="",Log[[#This Row],[Sprint]],N(Log[[#This Row],[Arg]])),"")</f>
      </c>
      <c r="J71" s="17">
        <f>IF(Log[[#This Row],[Verb]]="block",1,IF(OR(Log[[#This Row],[Verb]]="unblock",Log[[#This Row],[Verb]]="done",Log[[#This Row],[Verb]]="drop",Log[[#This Row],[Verb]]="punt",Log[[#This Row],[Verb]]="pass"),0,""))</f>
      </c>
      <c r="K71" s="17">
        <f>IF(Log[[#This Row],[ID]]="",0,IFERROR(INDEX(Items[Pts],MATCH(Log[[#This Row],[ID]],Items[ID],0))*1,0))</f>
      </c>
      <c r="L71" s="17">
        <f>IF(Log[[#This Row],[ID]]="","",IFERROR(INDEX(Items[Cur team],MATCH(Log[[#This Row],[ID]],Items[ID],0))&amp;"",""))</f>
      </c>
      <c r="M71" s="17">
        <f>IF(OR(Log[[#This Row],[Verb]]="done",Log[[#This Row],[Verb]]="punt",Log[[#This Row],[Verb]]="drop",Log[[#This Row],[Verb]]="pass"),Log[[#This Row],[Pts]],0)</f>
      </c>
    </row>
    <row r="72">
      <c r="A72" s="11">
        <v>46077</v>
      </c>
      <c r="B72" t="s">
        <v>203</v>
      </c>
      <c r="C72" t="s">
        <v>34</v>
      </c>
      <c r="D72">
        <v>38</v>
      </c>
      <c r="F72" s="17">
        <f>IF(Log[[#This Row],[ID]]="","",IF(ISNA(MATCH(Log[[#This Row],[ID]],Items[ID],0)),"unknown ID",IF(ISNA(MATCH(Log[[#This Row],[Verb]],VerbList,0)),"unknown verb",IF(Log[[#This Row],[Date]]="","no date",""))))</f>
      </c>
      <c r="G72" s="17">
        <f>IF(Log[[#This Row],[ID]]="","",IFERROR(VLOOKUP(Log[[#This Row],[Verb]],Verbs,3,FALSE)&amp;"",""))</f>
      </c>
      <c r="H72" s="17">
        <f>IF(Log[[#This Row],[Date]]="","",INT((Log[[#This Row],[Date]]-Sprint1)/SprintDays)+1)</f>
      </c>
      <c r="I72" s="17">
        <f>IF(OR(Log[[#This Row],[Verb]]="commit",Log[[#This Row],[Verb]]="carry",Log[[#This Row],[Verb]]="redo"),IF(Log[[#This Row],[Arg]]="",Log[[#This Row],[Sprint]],N(Log[[#This Row],[Arg]])),"")</f>
      </c>
      <c r="J72" s="17">
        <f>IF(Log[[#This Row],[Verb]]="block",1,IF(OR(Log[[#This Row],[Verb]]="unblock",Log[[#This Row],[Verb]]="done",Log[[#This Row],[Verb]]="drop",Log[[#This Row],[Verb]]="punt",Log[[#This Row],[Verb]]="pass"),0,""))</f>
      </c>
      <c r="K72" s="17">
        <f>IF(Log[[#This Row],[ID]]="",0,IFERROR(INDEX(Items[Pts],MATCH(Log[[#This Row],[ID]],Items[ID],0))*1,0))</f>
      </c>
      <c r="L72" s="17">
        <f>IF(Log[[#This Row],[ID]]="","",IFERROR(INDEX(Items[Cur team],MATCH(Log[[#This Row],[ID]],Items[ID],0))&amp;"",""))</f>
      </c>
      <c r="M72" s="17">
        <f>IF(OR(Log[[#This Row],[Verb]]="done",Log[[#This Row],[Verb]]="punt",Log[[#This Row],[Verb]]="drop",Log[[#This Row],[Verb]]="pass"),Log[[#This Row],[Pts]],0)</f>
      </c>
    </row>
    <row r="73">
      <c r="A73" s="11">
        <v>46077</v>
      </c>
      <c r="B73" t="s">
        <v>204</v>
      </c>
      <c r="C73" t="s">
        <v>34</v>
      </c>
      <c r="D73">
        <v>38</v>
      </c>
      <c r="F73" s="17">
        <f>IF(Log[[#This Row],[ID]]="","",IF(ISNA(MATCH(Log[[#This Row],[ID]],Items[ID],0)),"unknown ID",IF(ISNA(MATCH(Log[[#This Row],[Verb]],VerbList,0)),"unknown verb",IF(Log[[#This Row],[Date]]="","no date",""))))</f>
      </c>
      <c r="G73" s="17">
        <f>IF(Log[[#This Row],[ID]]="","",IFERROR(VLOOKUP(Log[[#This Row],[Verb]],Verbs,3,FALSE)&amp;"",""))</f>
      </c>
      <c r="H73" s="17">
        <f>IF(Log[[#This Row],[Date]]="","",INT((Log[[#This Row],[Date]]-Sprint1)/SprintDays)+1)</f>
      </c>
      <c r="I73" s="17">
        <f>IF(OR(Log[[#This Row],[Verb]]="commit",Log[[#This Row],[Verb]]="carry",Log[[#This Row],[Verb]]="redo"),IF(Log[[#This Row],[Arg]]="",Log[[#This Row],[Sprint]],N(Log[[#This Row],[Arg]])),"")</f>
      </c>
      <c r="J73" s="17">
        <f>IF(Log[[#This Row],[Verb]]="block",1,IF(OR(Log[[#This Row],[Verb]]="unblock",Log[[#This Row],[Verb]]="done",Log[[#This Row],[Verb]]="drop",Log[[#This Row],[Verb]]="punt",Log[[#This Row],[Verb]]="pass"),0,""))</f>
      </c>
      <c r="K73" s="17">
        <f>IF(Log[[#This Row],[ID]]="",0,IFERROR(INDEX(Items[Pts],MATCH(Log[[#This Row],[ID]],Items[ID],0))*1,0))</f>
      </c>
      <c r="L73" s="17">
        <f>IF(Log[[#This Row],[ID]]="","",IFERROR(INDEX(Items[Cur team],MATCH(Log[[#This Row],[ID]],Items[ID],0))&amp;"",""))</f>
      </c>
      <c r="M73" s="17">
        <f>IF(OR(Log[[#This Row],[Verb]]="done",Log[[#This Row],[Verb]]="punt",Log[[#This Row],[Verb]]="drop",Log[[#This Row],[Verb]]="pass"),Log[[#This Row],[Pts]],0)</f>
      </c>
    </row>
    <row r="74">
      <c r="A74" s="11">
        <v>46077</v>
      </c>
      <c r="B74" t="s">
        <v>205</v>
      </c>
      <c r="C74" t="s">
        <v>34</v>
      </c>
      <c r="D74">
        <v>38</v>
      </c>
      <c r="F74" s="17">
        <f>IF(Log[[#This Row],[ID]]="","",IF(ISNA(MATCH(Log[[#This Row],[ID]],Items[ID],0)),"unknown ID",IF(ISNA(MATCH(Log[[#This Row],[Verb]],VerbList,0)),"unknown verb",IF(Log[[#This Row],[Date]]="","no date",""))))</f>
      </c>
      <c r="G74" s="17">
        <f>IF(Log[[#This Row],[ID]]="","",IFERROR(VLOOKUP(Log[[#This Row],[Verb]],Verbs,3,FALSE)&amp;"",""))</f>
      </c>
      <c r="H74" s="17">
        <f>IF(Log[[#This Row],[Date]]="","",INT((Log[[#This Row],[Date]]-Sprint1)/SprintDays)+1)</f>
      </c>
      <c r="I74" s="17">
        <f>IF(OR(Log[[#This Row],[Verb]]="commit",Log[[#This Row],[Verb]]="carry",Log[[#This Row],[Verb]]="redo"),IF(Log[[#This Row],[Arg]]="",Log[[#This Row],[Sprint]],N(Log[[#This Row],[Arg]])),"")</f>
      </c>
      <c r="J74" s="17">
        <f>IF(Log[[#This Row],[Verb]]="block",1,IF(OR(Log[[#This Row],[Verb]]="unblock",Log[[#This Row],[Verb]]="done",Log[[#This Row],[Verb]]="drop",Log[[#This Row],[Verb]]="punt",Log[[#This Row],[Verb]]="pass"),0,""))</f>
      </c>
      <c r="K74" s="17">
        <f>IF(Log[[#This Row],[ID]]="",0,IFERROR(INDEX(Items[Pts],MATCH(Log[[#This Row],[ID]],Items[ID],0))*1,0))</f>
      </c>
      <c r="L74" s="17">
        <f>IF(Log[[#This Row],[ID]]="","",IFERROR(INDEX(Items[Cur team],MATCH(Log[[#This Row],[ID]],Items[ID],0))&amp;"",""))</f>
      </c>
      <c r="M74" s="17">
        <f>IF(OR(Log[[#This Row],[Verb]]="done",Log[[#This Row],[Verb]]="punt",Log[[#This Row],[Verb]]="drop",Log[[#This Row],[Verb]]="pass"),Log[[#This Row],[Pts]],0)</f>
      </c>
    </row>
    <row r="75">
      <c r="A75" s="11">
        <v>46077</v>
      </c>
      <c r="B75" t="s">
        <v>206</v>
      </c>
      <c r="C75" t="s">
        <v>34</v>
      </c>
      <c r="D75">
        <v>38</v>
      </c>
      <c r="F75" s="17">
        <f>IF(Log[[#This Row],[ID]]="","",IF(ISNA(MATCH(Log[[#This Row],[ID]],Items[ID],0)),"unknown ID",IF(ISNA(MATCH(Log[[#This Row],[Verb]],VerbList,0)),"unknown verb",IF(Log[[#This Row],[Date]]="","no date",""))))</f>
      </c>
      <c r="G75" s="17">
        <f>IF(Log[[#This Row],[ID]]="","",IFERROR(VLOOKUP(Log[[#This Row],[Verb]],Verbs,3,FALSE)&amp;"",""))</f>
      </c>
      <c r="H75" s="17">
        <f>IF(Log[[#This Row],[Date]]="","",INT((Log[[#This Row],[Date]]-Sprint1)/SprintDays)+1)</f>
      </c>
      <c r="I75" s="17">
        <f>IF(OR(Log[[#This Row],[Verb]]="commit",Log[[#This Row],[Verb]]="carry",Log[[#This Row],[Verb]]="redo"),IF(Log[[#This Row],[Arg]]="",Log[[#This Row],[Sprint]],N(Log[[#This Row],[Arg]])),"")</f>
      </c>
      <c r="J75" s="17">
        <f>IF(Log[[#This Row],[Verb]]="block",1,IF(OR(Log[[#This Row],[Verb]]="unblock",Log[[#This Row],[Verb]]="done",Log[[#This Row],[Verb]]="drop",Log[[#This Row],[Verb]]="punt",Log[[#This Row],[Verb]]="pass"),0,""))</f>
      </c>
      <c r="K75" s="17">
        <f>IF(Log[[#This Row],[ID]]="",0,IFERROR(INDEX(Items[Pts],MATCH(Log[[#This Row],[ID]],Items[ID],0))*1,0))</f>
      </c>
      <c r="L75" s="17">
        <f>IF(Log[[#This Row],[ID]]="","",IFERROR(INDEX(Items[Cur team],MATCH(Log[[#This Row],[ID]],Items[ID],0))&amp;"",""))</f>
      </c>
      <c r="M75" s="17">
        <f>IF(OR(Log[[#This Row],[Verb]]="done",Log[[#This Row],[Verb]]="punt",Log[[#This Row],[Verb]]="drop",Log[[#This Row],[Verb]]="pass"),Log[[#This Row],[Pts]],0)</f>
      </c>
    </row>
    <row r="76">
      <c r="A76" s="11">
        <v>46077</v>
      </c>
      <c r="B76" t="s">
        <v>207</v>
      </c>
      <c r="C76" t="s">
        <v>34</v>
      </c>
      <c r="D76">
        <v>38</v>
      </c>
      <c r="F76" s="17">
        <f>IF(Log[[#This Row],[ID]]="","",IF(ISNA(MATCH(Log[[#This Row],[ID]],Items[ID],0)),"unknown ID",IF(ISNA(MATCH(Log[[#This Row],[Verb]],VerbList,0)),"unknown verb",IF(Log[[#This Row],[Date]]="","no date",""))))</f>
      </c>
      <c r="G76" s="17">
        <f>IF(Log[[#This Row],[ID]]="","",IFERROR(VLOOKUP(Log[[#This Row],[Verb]],Verbs,3,FALSE)&amp;"",""))</f>
      </c>
      <c r="H76" s="17">
        <f>IF(Log[[#This Row],[Date]]="","",INT((Log[[#This Row],[Date]]-Sprint1)/SprintDays)+1)</f>
      </c>
      <c r="I76" s="17">
        <f>IF(OR(Log[[#This Row],[Verb]]="commit",Log[[#This Row],[Verb]]="carry",Log[[#This Row],[Verb]]="redo"),IF(Log[[#This Row],[Arg]]="",Log[[#This Row],[Sprint]],N(Log[[#This Row],[Arg]])),"")</f>
      </c>
      <c r="J76" s="17">
        <f>IF(Log[[#This Row],[Verb]]="block",1,IF(OR(Log[[#This Row],[Verb]]="unblock",Log[[#This Row],[Verb]]="done",Log[[#This Row],[Verb]]="drop",Log[[#This Row],[Verb]]="punt",Log[[#This Row],[Verb]]="pass"),0,""))</f>
      </c>
      <c r="K76" s="17">
        <f>IF(Log[[#This Row],[ID]]="",0,IFERROR(INDEX(Items[Pts],MATCH(Log[[#This Row],[ID]],Items[ID],0))*1,0))</f>
      </c>
      <c r="L76" s="17">
        <f>IF(Log[[#This Row],[ID]]="","",IFERROR(INDEX(Items[Cur team],MATCH(Log[[#This Row],[ID]],Items[ID],0))&amp;"",""))</f>
      </c>
      <c r="M76" s="17">
        <f>IF(OR(Log[[#This Row],[Verb]]="done",Log[[#This Row],[Verb]]="punt",Log[[#This Row],[Verb]]="drop",Log[[#This Row],[Verb]]="pass"),Log[[#This Row],[Pts]],0)</f>
      </c>
    </row>
    <row r="77">
      <c r="A77" s="11">
        <v>46077</v>
      </c>
      <c r="B77" t="s">
        <v>208</v>
      </c>
      <c r="C77" t="s">
        <v>34</v>
      </c>
      <c r="D77">
        <v>38</v>
      </c>
      <c r="F77" s="17">
        <f>IF(Log[[#This Row],[ID]]="","",IF(ISNA(MATCH(Log[[#This Row],[ID]],Items[ID],0)),"unknown ID",IF(ISNA(MATCH(Log[[#This Row],[Verb]],VerbList,0)),"unknown verb",IF(Log[[#This Row],[Date]]="","no date",""))))</f>
      </c>
      <c r="G77" s="17">
        <f>IF(Log[[#This Row],[ID]]="","",IFERROR(VLOOKUP(Log[[#This Row],[Verb]],Verbs,3,FALSE)&amp;"",""))</f>
      </c>
      <c r="H77" s="17">
        <f>IF(Log[[#This Row],[Date]]="","",INT((Log[[#This Row],[Date]]-Sprint1)/SprintDays)+1)</f>
      </c>
      <c r="I77" s="17">
        <f>IF(OR(Log[[#This Row],[Verb]]="commit",Log[[#This Row],[Verb]]="carry",Log[[#This Row],[Verb]]="redo"),IF(Log[[#This Row],[Arg]]="",Log[[#This Row],[Sprint]],N(Log[[#This Row],[Arg]])),"")</f>
      </c>
      <c r="J77" s="17">
        <f>IF(Log[[#This Row],[Verb]]="block",1,IF(OR(Log[[#This Row],[Verb]]="unblock",Log[[#This Row],[Verb]]="done",Log[[#This Row],[Verb]]="drop",Log[[#This Row],[Verb]]="punt",Log[[#This Row],[Verb]]="pass"),0,""))</f>
      </c>
      <c r="K77" s="17">
        <f>IF(Log[[#This Row],[ID]]="",0,IFERROR(INDEX(Items[Pts],MATCH(Log[[#This Row],[ID]],Items[ID],0))*1,0))</f>
      </c>
      <c r="L77" s="17">
        <f>IF(Log[[#This Row],[ID]]="","",IFERROR(INDEX(Items[Cur team],MATCH(Log[[#This Row],[ID]],Items[ID],0))&amp;"",""))</f>
      </c>
      <c r="M77" s="17">
        <f>IF(OR(Log[[#This Row],[Verb]]="done",Log[[#This Row],[Verb]]="punt",Log[[#This Row],[Verb]]="drop",Log[[#This Row],[Verb]]="pass"),Log[[#This Row],[Pts]],0)</f>
      </c>
    </row>
    <row r="78">
      <c r="A78" s="11">
        <v>46077</v>
      </c>
      <c r="B78" t="s">
        <v>209</v>
      </c>
      <c r="C78" t="s">
        <v>34</v>
      </c>
      <c r="D78">
        <v>38</v>
      </c>
      <c r="F78" s="17">
        <f>IF(Log[[#This Row],[ID]]="","",IF(ISNA(MATCH(Log[[#This Row],[ID]],Items[ID],0)),"unknown ID",IF(ISNA(MATCH(Log[[#This Row],[Verb]],VerbList,0)),"unknown verb",IF(Log[[#This Row],[Date]]="","no date",""))))</f>
      </c>
      <c r="G78" s="17">
        <f>IF(Log[[#This Row],[ID]]="","",IFERROR(VLOOKUP(Log[[#This Row],[Verb]],Verbs,3,FALSE)&amp;"",""))</f>
      </c>
      <c r="H78" s="17">
        <f>IF(Log[[#This Row],[Date]]="","",INT((Log[[#This Row],[Date]]-Sprint1)/SprintDays)+1)</f>
      </c>
      <c r="I78" s="17">
        <f>IF(OR(Log[[#This Row],[Verb]]="commit",Log[[#This Row],[Verb]]="carry",Log[[#This Row],[Verb]]="redo"),IF(Log[[#This Row],[Arg]]="",Log[[#This Row],[Sprint]],N(Log[[#This Row],[Arg]])),"")</f>
      </c>
      <c r="J78" s="17">
        <f>IF(Log[[#This Row],[Verb]]="block",1,IF(OR(Log[[#This Row],[Verb]]="unblock",Log[[#This Row],[Verb]]="done",Log[[#This Row],[Verb]]="drop",Log[[#This Row],[Verb]]="punt",Log[[#This Row],[Verb]]="pass"),0,""))</f>
      </c>
      <c r="K78" s="17">
        <f>IF(Log[[#This Row],[ID]]="",0,IFERROR(INDEX(Items[Pts],MATCH(Log[[#This Row],[ID]],Items[ID],0))*1,0))</f>
      </c>
      <c r="L78" s="17">
        <f>IF(Log[[#This Row],[ID]]="","",IFERROR(INDEX(Items[Cur team],MATCH(Log[[#This Row],[ID]],Items[ID],0))&amp;"",""))</f>
      </c>
      <c r="M78" s="17">
        <f>IF(OR(Log[[#This Row],[Verb]]="done",Log[[#This Row],[Verb]]="punt",Log[[#This Row],[Verb]]="drop",Log[[#This Row],[Verb]]="pass"),Log[[#This Row],[Pts]],0)</f>
      </c>
    </row>
    <row r="79">
      <c r="A79" s="11">
        <v>46077</v>
      </c>
      <c r="B79" t="s">
        <v>210</v>
      </c>
      <c r="C79" t="s">
        <v>34</v>
      </c>
      <c r="D79">
        <v>38</v>
      </c>
      <c r="F79" s="17">
        <f>IF(Log[[#This Row],[ID]]="","",IF(ISNA(MATCH(Log[[#This Row],[ID]],Items[ID],0)),"unknown ID",IF(ISNA(MATCH(Log[[#This Row],[Verb]],VerbList,0)),"unknown verb",IF(Log[[#This Row],[Date]]="","no date",""))))</f>
      </c>
      <c r="G79" s="17">
        <f>IF(Log[[#This Row],[ID]]="","",IFERROR(VLOOKUP(Log[[#This Row],[Verb]],Verbs,3,FALSE)&amp;"",""))</f>
      </c>
      <c r="H79" s="17">
        <f>IF(Log[[#This Row],[Date]]="","",INT((Log[[#This Row],[Date]]-Sprint1)/SprintDays)+1)</f>
      </c>
      <c r="I79" s="17">
        <f>IF(OR(Log[[#This Row],[Verb]]="commit",Log[[#This Row],[Verb]]="carry",Log[[#This Row],[Verb]]="redo"),IF(Log[[#This Row],[Arg]]="",Log[[#This Row],[Sprint]],N(Log[[#This Row],[Arg]])),"")</f>
      </c>
      <c r="J79" s="17">
        <f>IF(Log[[#This Row],[Verb]]="block",1,IF(OR(Log[[#This Row],[Verb]]="unblock",Log[[#This Row],[Verb]]="done",Log[[#This Row],[Verb]]="drop",Log[[#This Row],[Verb]]="punt",Log[[#This Row],[Verb]]="pass"),0,""))</f>
      </c>
      <c r="K79" s="17">
        <f>IF(Log[[#This Row],[ID]]="",0,IFERROR(INDEX(Items[Pts],MATCH(Log[[#This Row],[ID]],Items[ID],0))*1,0))</f>
      </c>
      <c r="L79" s="17">
        <f>IF(Log[[#This Row],[ID]]="","",IFERROR(INDEX(Items[Cur team],MATCH(Log[[#This Row],[ID]],Items[ID],0))&amp;"",""))</f>
      </c>
      <c r="M79" s="17">
        <f>IF(OR(Log[[#This Row],[Verb]]="done",Log[[#This Row],[Verb]]="punt",Log[[#This Row],[Verb]]="drop",Log[[#This Row],[Verb]]="pass"),Log[[#This Row],[Pts]],0)</f>
      </c>
    </row>
    <row r="80">
      <c r="A80" s="11">
        <v>46077</v>
      </c>
      <c r="B80" t="s">
        <v>211</v>
      </c>
      <c r="C80" t="s">
        <v>34</v>
      </c>
      <c r="D80">
        <v>38</v>
      </c>
      <c r="F80" s="17">
        <f>IF(Log[[#This Row],[ID]]="","",IF(ISNA(MATCH(Log[[#This Row],[ID]],Items[ID],0)),"unknown ID",IF(ISNA(MATCH(Log[[#This Row],[Verb]],VerbList,0)),"unknown verb",IF(Log[[#This Row],[Date]]="","no date",""))))</f>
      </c>
      <c r="G80" s="17">
        <f>IF(Log[[#This Row],[ID]]="","",IFERROR(VLOOKUP(Log[[#This Row],[Verb]],Verbs,3,FALSE)&amp;"",""))</f>
      </c>
      <c r="H80" s="17">
        <f>IF(Log[[#This Row],[Date]]="","",INT((Log[[#This Row],[Date]]-Sprint1)/SprintDays)+1)</f>
      </c>
      <c r="I80" s="17">
        <f>IF(OR(Log[[#This Row],[Verb]]="commit",Log[[#This Row],[Verb]]="carry",Log[[#This Row],[Verb]]="redo"),IF(Log[[#This Row],[Arg]]="",Log[[#This Row],[Sprint]],N(Log[[#This Row],[Arg]])),"")</f>
      </c>
      <c r="J80" s="17">
        <f>IF(Log[[#This Row],[Verb]]="block",1,IF(OR(Log[[#This Row],[Verb]]="unblock",Log[[#This Row],[Verb]]="done",Log[[#This Row],[Verb]]="drop",Log[[#This Row],[Verb]]="punt",Log[[#This Row],[Verb]]="pass"),0,""))</f>
      </c>
      <c r="K80" s="17">
        <f>IF(Log[[#This Row],[ID]]="",0,IFERROR(INDEX(Items[Pts],MATCH(Log[[#This Row],[ID]],Items[ID],0))*1,0))</f>
      </c>
      <c r="L80" s="17">
        <f>IF(Log[[#This Row],[ID]]="","",IFERROR(INDEX(Items[Cur team],MATCH(Log[[#This Row],[ID]],Items[ID],0))&amp;"",""))</f>
      </c>
      <c r="M80" s="17">
        <f>IF(OR(Log[[#This Row],[Verb]]="done",Log[[#This Row],[Verb]]="punt",Log[[#This Row],[Verb]]="drop",Log[[#This Row],[Verb]]="pass"),Log[[#This Row],[Pts]],0)</f>
      </c>
    </row>
    <row r="81">
      <c r="A81" s="11">
        <v>46077</v>
      </c>
      <c r="B81" t="s">
        <v>212</v>
      </c>
      <c r="C81" t="s">
        <v>34</v>
      </c>
      <c r="D81">
        <v>38</v>
      </c>
      <c r="F81" s="17">
        <f>IF(Log[[#This Row],[ID]]="","",IF(ISNA(MATCH(Log[[#This Row],[ID]],Items[ID],0)),"unknown ID",IF(ISNA(MATCH(Log[[#This Row],[Verb]],VerbList,0)),"unknown verb",IF(Log[[#This Row],[Date]]="","no date",""))))</f>
      </c>
      <c r="G81" s="17">
        <f>IF(Log[[#This Row],[ID]]="","",IFERROR(VLOOKUP(Log[[#This Row],[Verb]],Verbs,3,FALSE)&amp;"",""))</f>
      </c>
      <c r="H81" s="17">
        <f>IF(Log[[#This Row],[Date]]="","",INT((Log[[#This Row],[Date]]-Sprint1)/SprintDays)+1)</f>
      </c>
      <c r="I81" s="17">
        <f>IF(OR(Log[[#This Row],[Verb]]="commit",Log[[#This Row],[Verb]]="carry",Log[[#This Row],[Verb]]="redo"),IF(Log[[#This Row],[Arg]]="",Log[[#This Row],[Sprint]],N(Log[[#This Row],[Arg]])),"")</f>
      </c>
      <c r="J81" s="17">
        <f>IF(Log[[#This Row],[Verb]]="block",1,IF(OR(Log[[#This Row],[Verb]]="unblock",Log[[#This Row],[Verb]]="done",Log[[#This Row],[Verb]]="drop",Log[[#This Row],[Verb]]="punt",Log[[#This Row],[Verb]]="pass"),0,""))</f>
      </c>
      <c r="K81" s="17">
        <f>IF(Log[[#This Row],[ID]]="",0,IFERROR(INDEX(Items[Pts],MATCH(Log[[#This Row],[ID]],Items[ID],0))*1,0))</f>
      </c>
      <c r="L81" s="17">
        <f>IF(Log[[#This Row],[ID]]="","",IFERROR(INDEX(Items[Cur team],MATCH(Log[[#This Row],[ID]],Items[ID],0))&amp;"",""))</f>
      </c>
      <c r="M81" s="17">
        <f>IF(OR(Log[[#This Row],[Verb]]="done",Log[[#This Row],[Verb]]="punt",Log[[#This Row],[Verb]]="drop",Log[[#This Row],[Verb]]="pass"),Log[[#This Row],[Pts]],0)</f>
      </c>
    </row>
    <row r="82">
      <c r="A82" s="11">
        <v>46077</v>
      </c>
      <c r="B82" t="s">
        <v>213</v>
      </c>
      <c r="C82" t="s">
        <v>34</v>
      </c>
      <c r="D82">
        <v>38</v>
      </c>
      <c r="F82" s="17">
        <f>IF(Log[[#This Row],[ID]]="","",IF(ISNA(MATCH(Log[[#This Row],[ID]],Items[ID],0)),"unknown ID",IF(ISNA(MATCH(Log[[#This Row],[Verb]],VerbList,0)),"unknown verb",IF(Log[[#This Row],[Date]]="","no date",""))))</f>
      </c>
      <c r="G82" s="17">
        <f>IF(Log[[#This Row],[ID]]="","",IFERROR(VLOOKUP(Log[[#This Row],[Verb]],Verbs,3,FALSE)&amp;"",""))</f>
      </c>
      <c r="H82" s="17">
        <f>IF(Log[[#This Row],[Date]]="","",INT((Log[[#This Row],[Date]]-Sprint1)/SprintDays)+1)</f>
      </c>
      <c r="I82" s="17">
        <f>IF(OR(Log[[#This Row],[Verb]]="commit",Log[[#This Row],[Verb]]="carry",Log[[#This Row],[Verb]]="redo"),IF(Log[[#This Row],[Arg]]="",Log[[#This Row],[Sprint]],N(Log[[#This Row],[Arg]])),"")</f>
      </c>
      <c r="J82" s="17">
        <f>IF(Log[[#This Row],[Verb]]="block",1,IF(OR(Log[[#This Row],[Verb]]="unblock",Log[[#This Row],[Verb]]="done",Log[[#This Row],[Verb]]="drop",Log[[#This Row],[Verb]]="punt",Log[[#This Row],[Verb]]="pass"),0,""))</f>
      </c>
      <c r="K82" s="17">
        <f>IF(Log[[#This Row],[ID]]="",0,IFERROR(INDEX(Items[Pts],MATCH(Log[[#This Row],[ID]],Items[ID],0))*1,0))</f>
      </c>
      <c r="L82" s="17">
        <f>IF(Log[[#This Row],[ID]]="","",IFERROR(INDEX(Items[Cur team],MATCH(Log[[#This Row],[ID]],Items[ID],0))&amp;"",""))</f>
      </c>
      <c r="M82" s="17">
        <f>IF(OR(Log[[#This Row],[Verb]]="done",Log[[#This Row],[Verb]]="punt",Log[[#This Row],[Verb]]="drop",Log[[#This Row],[Verb]]="pass"),Log[[#This Row],[Pts]],0)</f>
      </c>
    </row>
    <row r="83">
      <c r="A83" s="11">
        <v>46077</v>
      </c>
      <c r="B83" t="s">
        <v>214</v>
      </c>
      <c r="C83" t="s">
        <v>34</v>
      </c>
      <c r="D83">
        <v>38</v>
      </c>
      <c r="F83" s="17">
        <f>IF(Log[[#This Row],[ID]]="","",IF(ISNA(MATCH(Log[[#This Row],[ID]],Items[ID],0)),"unknown ID",IF(ISNA(MATCH(Log[[#This Row],[Verb]],VerbList,0)),"unknown verb",IF(Log[[#This Row],[Date]]="","no date",""))))</f>
      </c>
      <c r="G83" s="17">
        <f>IF(Log[[#This Row],[ID]]="","",IFERROR(VLOOKUP(Log[[#This Row],[Verb]],Verbs,3,FALSE)&amp;"",""))</f>
      </c>
      <c r="H83" s="17">
        <f>IF(Log[[#This Row],[Date]]="","",INT((Log[[#This Row],[Date]]-Sprint1)/SprintDays)+1)</f>
      </c>
      <c r="I83" s="17">
        <f>IF(OR(Log[[#This Row],[Verb]]="commit",Log[[#This Row],[Verb]]="carry",Log[[#This Row],[Verb]]="redo"),IF(Log[[#This Row],[Arg]]="",Log[[#This Row],[Sprint]],N(Log[[#This Row],[Arg]])),"")</f>
      </c>
      <c r="J83" s="17">
        <f>IF(Log[[#This Row],[Verb]]="block",1,IF(OR(Log[[#This Row],[Verb]]="unblock",Log[[#This Row],[Verb]]="done",Log[[#This Row],[Verb]]="drop",Log[[#This Row],[Verb]]="punt",Log[[#This Row],[Verb]]="pass"),0,""))</f>
      </c>
      <c r="K83" s="17">
        <f>IF(Log[[#This Row],[ID]]="",0,IFERROR(INDEX(Items[Pts],MATCH(Log[[#This Row],[ID]],Items[ID],0))*1,0))</f>
      </c>
      <c r="L83" s="17">
        <f>IF(Log[[#This Row],[ID]]="","",IFERROR(INDEX(Items[Cur team],MATCH(Log[[#This Row],[ID]],Items[ID],0))&amp;"",""))</f>
      </c>
      <c r="M83" s="17">
        <f>IF(OR(Log[[#This Row],[Verb]]="done",Log[[#This Row],[Verb]]="punt",Log[[#This Row],[Verb]]="drop",Log[[#This Row],[Verb]]="pass"),Log[[#This Row],[Pts]],0)</f>
      </c>
    </row>
    <row r="84">
      <c r="A84" s="11">
        <v>46077</v>
      </c>
      <c r="B84" t="s">
        <v>215</v>
      </c>
      <c r="C84" t="s">
        <v>34</v>
      </c>
      <c r="D84">
        <v>38</v>
      </c>
      <c r="F84" s="17">
        <f>IF(Log[[#This Row],[ID]]="","",IF(ISNA(MATCH(Log[[#This Row],[ID]],Items[ID],0)),"unknown ID",IF(ISNA(MATCH(Log[[#This Row],[Verb]],VerbList,0)),"unknown verb",IF(Log[[#This Row],[Date]]="","no date",""))))</f>
      </c>
      <c r="G84" s="17">
        <f>IF(Log[[#This Row],[ID]]="","",IFERROR(VLOOKUP(Log[[#This Row],[Verb]],Verbs,3,FALSE)&amp;"",""))</f>
      </c>
      <c r="H84" s="17">
        <f>IF(Log[[#This Row],[Date]]="","",INT((Log[[#This Row],[Date]]-Sprint1)/SprintDays)+1)</f>
      </c>
      <c r="I84" s="17">
        <f>IF(OR(Log[[#This Row],[Verb]]="commit",Log[[#This Row],[Verb]]="carry",Log[[#This Row],[Verb]]="redo"),IF(Log[[#This Row],[Arg]]="",Log[[#This Row],[Sprint]],N(Log[[#This Row],[Arg]])),"")</f>
      </c>
      <c r="J84" s="17">
        <f>IF(Log[[#This Row],[Verb]]="block",1,IF(OR(Log[[#This Row],[Verb]]="unblock",Log[[#This Row],[Verb]]="done",Log[[#This Row],[Verb]]="drop",Log[[#This Row],[Verb]]="punt",Log[[#This Row],[Verb]]="pass"),0,""))</f>
      </c>
      <c r="K84" s="17">
        <f>IF(Log[[#This Row],[ID]]="",0,IFERROR(INDEX(Items[Pts],MATCH(Log[[#This Row],[ID]],Items[ID],0))*1,0))</f>
      </c>
      <c r="L84" s="17">
        <f>IF(Log[[#This Row],[ID]]="","",IFERROR(INDEX(Items[Cur team],MATCH(Log[[#This Row],[ID]],Items[ID],0))&amp;"",""))</f>
      </c>
      <c r="M84" s="17">
        <f>IF(OR(Log[[#This Row],[Verb]]="done",Log[[#This Row],[Verb]]="punt",Log[[#This Row],[Verb]]="drop",Log[[#This Row],[Verb]]="pass"),Log[[#This Row],[Pts]],0)</f>
      </c>
    </row>
    <row r="85">
      <c r="A85" s="11">
        <v>46077</v>
      </c>
      <c r="B85" t="s">
        <v>216</v>
      </c>
      <c r="C85" t="s">
        <v>34</v>
      </c>
      <c r="D85">
        <v>38</v>
      </c>
      <c r="F85" s="17">
        <f>IF(Log[[#This Row],[ID]]="","",IF(ISNA(MATCH(Log[[#This Row],[ID]],Items[ID],0)),"unknown ID",IF(ISNA(MATCH(Log[[#This Row],[Verb]],VerbList,0)),"unknown verb",IF(Log[[#This Row],[Date]]="","no date",""))))</f>
      </c>
      <c r="G85" s="17">
        <f>IF(Log[[#This Row],[ID]]="","",IFERROR(VLOOKUP(Log[[#This Row],[Verb]],Verbs,3,FALSE)&amp;"",""))</f>
      </c>
      <c r="H85" s="17">
        <f>IF(Log[[#This Row],[Date]]="","",INT((Log[[#This Row],[Date]]-Sprint1)/SprintDays)+1)</f>
      </c>
      <c r="I85" s="17">
        <f>IF(OR(Log[[#This Row],[Verb]]="commit",Log[[#This Row],[Verb]]="carry",Log[[#This Row],[Verb]]="redo"),IF(Log[[#This Row],[Arg]]="",Log[[#This Row],[Sprint]],N(Log[[#This Row],[Arg]])),"")</f>
      </c>
      <c r="J85" s="17">
        <f>IF(Log[[#This Row],[Verb]]="block",1,IF(OR(Log[[#This Row],[Verb]]="unblock",Log[[#This Row],[Verb]]="done",Log[[#This Row],[Verb]]="drop",Log[[#This Row],[Verb]]="punt",Log[[#This Row],[Verb]]="pass"),0,""))</f>
      </c>
      <c r="K85" s="17">
        <f>IF(Log[[#This Row],[ID]]="",0,IFERROR(INDEX(Items[Pts],MATCH(Log[[#This Row],[ID]],Items[ID],0))*1,0))</f>
      </c>
      <c r="L85" s="17">
        <f>IF(Log[[#This Row],[ID]]="","",IFERROR(INDEX(Items[Cur team],MATCH(Log[[#This Row],[ID]],Items[ID],0))&amp;"",""))</f>
      </c>
      <c r="M85" s="17">
        <f>IF(OR(Log[[#This Row],[Verb]]="done",Log[[#This Row],[Verb]]="punt",Log[[#This Row],[Verb]]="drop",Log[[#This Row],[Verb]]="pass"),Log[[#This Row],[Pts]],0)</f>
      </c>
    </row>
    <row r="86">
      <c r="A86" s="11">
        <v>46077</v>
      </c>
      <c r="B86" t="s">
        <v>217</v>
      </c>
      <c r="C86" t="s">
        <v>34</v>
      </c>
      <c r="D86">
        <v>38</v>
      </c>
      <c r="F86" s="17">
        <f>IF(Log[[#This Row],[ID]]="","",IF(ISNA(MATCH(Log[[#This Row],[ID]],Items[ID],0)),"unknown ID",IF(ISNA(MATCH(Log[[#This Row],[Verb]],VerbList,0)),"unknown verb",IF(Log[[#This Row],[Date]]="","no date",""))))</f>
      </c>
      <c r="G86" s="17">
        <f>IF(Log[[#This Row],[ID]]="","",IFERROR(VLOOKUP(Log[[#This Row],[Verb]],Verbs,3,FALSE)&amp;"",""))</f>
      </c>
      <c r="H86" s="17">
        <f>IF(Log[[#This Row],[Date]]="","",INT((Log[[#This Row],[Date]]-Sprint1)/SprintDays)+1)</f>
      </c>
      <c r="I86" s="17">
        <f>IF(OR(Log[[#This Row],[Verb]]="commit",Log[[#This Row],[Verb]]="carry",Log[[#This Row],[Verb]]="redo"),IF(Log[[#This Row],[Arg]]="",Log[[#This Row],[Sprint]],N(Log[[#This Row],[Arg]])),"")</f>
      </c>
      <c r="J86" s="17">
        <f>IF(Log[[#This Row],[Verb]]="block",1,IF(OR(Log[[#This Row],[Verb]]="unblock",Log[[#This Row],[Verb]]="done",Log[[#This Row],[Verb]]="drop",Log[[#This Row],[Verb]]="punt",Log[[#This Row],[Verb]]="pass"),0,""))</f>
      </c>
      <c r="K86" s="17">
        <f>IF(Log[[#This Row],[ID]]="",0,IFERROR(INDEX(Items[Pts],MATCH(Log[[#This Row],[ID]],Items[ID],0))*1,0))</f>
      </c>
      <c r="L86" s="17">
        <f>IF(Log[[#This Row],[ID]]="","",IFERROR(INDEX(Items[Cur team],MATCH(Log[[#This Row],[ID]],Items[ID],0))&amp;"",""))</f>
      </c>
      <c r="M86" s="17">
        <f>IF(OR(Log[[#This Row],[Verb]]="done",Log[[#This Row],[Verb]]="punt",Log[[#This Row],[Verb]]="drop",Log[[#This Row],[Verb]]="pass"),Log[[#This Row],[Pts]],0)</f>
      </c>
    </row>
    <row r="87">
      <c r="A87" s="11">
        <v>46077</v>
      </c>
      <c r="B87" t="s">
        <v>218</v>
      </c>
      <c r="C87" t="s">
        <v>34</v>
      </c>
      <c r="D87">
        <v>38</v>
      </c>
      <c r="F87" s="17">
        <f>IF(Log[[#This Row],[ID]]="","",IF(ISNA(MATCH(Log[[#This Row],[ID]],Items[ID],0)),"unknown ID",IF(ISNA(MATCH(Log[[#This Row],[Verb]],VerbList,0)),"unknown verb",IF(Log[[#This Row],[Date]]="","no date",""))))</f>
      </c>
      <c r="G87" s="17">
        <f>IF(Log[[#This Row],[ID]]="","",IFERROR(VLOOKUP(Log[[#This Row],[Verb]],Verbs,3,FALSE)&amp;"",""))</f>
      </c>
      <c r="H87" s="17">
        <f>IF(Log[[#This Row],[Date]]="","",INT((Log[[#This Row],[Date]]-Sprint1)/SprintDays)+1)</f>
      </c>
      <c r="I87" s="17">
        <f>IF(OR(Log[[#This Row],[Verb]]="commit",Log[[#This Row],[Verb]]="carry",Log[[#This Row],[Verb]]="redo"),IF(Log[[#This Row],[Arg]]="",Log[[#This Row],[Sprint]],N(Log[[#This Row],[Arg]])),"")</f>
      </c>
      <c r="J87" s="17">
        <f>IF(Log[[#This Row],[Verb]]="block",1,IF(OR(Log[[#This Row],[Verb]]="unblock",Log[[#This Row],[Verb]]="done",Log[[#This Row],[Verb]]="drop",Log[[#This Row],[Verb]]="punt",Log[[#This Row],[Verb]]="pass"),0,""))</f>
      </c>
      <c r="K87" s="17">
        <f>IF(Log[[#This Row],[ID]]="",0,IFERROR(INDEX(Items[Pts],MATCH(Log[[#This Row],[ID]],Items[ID],0))*1,0))</f>
      </c>
      <c r="L87" s="17">
        <f>IF(Log[[#This Row],[ID]]="","",IFERROR(INDEX(Items[Cur team],MATCH(Log[[#This Row],[ID]],Items[ID],0))&amp;"",""))</f>
      </c>
      <c r="M87" s="17">
        <f>IF(OR(Log[[#This Row],[Verb]]="done",Log[[#This Row],[Verb]]="punt",Log[[#This Row],[Verb]]="drop",Log[[#This Row],[Verb]]="pass"),Log[[#This Row],[Pts]],0)</f>
      </c>
    </row>
    <row r="88">
      <c r="A88" s="11">
        <v>46077</v>
      </c>
      <c r="B88" t="s">
        <v>219</v>
      </c>
      <c r="C88" t="s">
        <v>34</v>
      </c>
      <c r="D88">
        <v>38</v>
      </c>
      <c r="F88" s="17">
        <f>IF(Log[[#This Row],[ID]]="","",IF(ISNA(MATCH(Log[[#This Row],[ID]],Items[ID],0)),"unknown ID",IF(ISNA(MATCH(Log[[#This Row],[Verb]],VerbList,0)),"unknown verb",IF(Log[[#This Row],[Date]]="","no date",""))))</f>
      </c>
      <c r="G88" s="17">
        <f>IF(Log[[#This Row],[ID]]="","",IFERROR(VLOOKUP(Log[[#This Row],[Verb]],Verbs,3,FALSE)&amp;"",""))</f>
      </c>
      <c r="H88" s="17">
        <f>IF(Log[[#This Row],[Date]]="","",INT((Log[[#This Row],[Date]]-Sprint1)/SprintDays)+1)</f>
      </c>
      <c r="I88" s="17">
        <f>IF(OR(Log[[#This Row],[Verb]]="commit",Log[[#This Row],[Verb]]="carry",Log[[#This Row],[Verb]]="redo"),IF(Log[[#This Row],[Arg]]="",Log[[#This Row],[Sprint]],N(Log[[#This Row],[Arg]])),"")</f>
      </c>
      <c r="J88" s="17">
        <f>IF(Log[[#This Row],[Verb]]="block",1,IF(OR(Log[[#This Row],[Verb]]="unblock",Log[[#This Row],[Verb]]="done",Log[[#This Row],[Verb]]="drop",Log[[#This Row],[Verb]]="punt",Log[[#This Row],[Verb]]="pass"),0,""))</f>
      </c>
      <c r="K88" s="17">
        <f>IF(Log[[#This Row],[ID]]="",0,IFERROR(INDEX(Items[Pts],MATCH(Log[[#This Row],[ID]],Items[ID],0))*1,0))</f>
      </c>
      <c r="L88" s="17">
        <f>IF(Log[[#This Row],[ID]]="","",IFERROR(INDEX(Items[Cur team],MATCH(Log[[#This Row],[ID]],Items[ID],0))&amp;"",""))</f>
      </c>
      <c r="M88" s="17">
        <f>IF(OR(Log[[#This Row],[Verb]]="done",Log[[#This Row],[Verb]]="punt",Log[[#This Row],[Verb]]="drop",Log[[#This Row],[Verb]]="pass"),Log[[#This Row],[Pts]],0)</f>
      </c>
    </row>
    <row r="89">
      <c r="A89" s="11">
        <v>46077</v>
      </c>
      <c r="B89" t="s">
        <v>220</v>
      </c>
      <c r="C89" t="s">
        <v>34</v>
      </c>
      <c r="D89">
        <v>38</v>
      </c>
      <c r="F89" s="17">
        <f>IF(Log[[#This Row],[ID]]="","",IF(ISNA(MATCH(Log[[#This Row],[ID]],Items[ID],0)),"unknown ID",IF(ISNA(MATCH(Log[[#This Row],[Verb]],VerbList,0)),"unknown verb",IF(Log[[#This Row],[Date]]="","no date",""))))</f>
      </c>
      <c r="G89" s="17">
        <f>IF(Log[[#This Row],[ID]]="","",IFERROR(VLOOKUP(Log[[#This Row],[Verb]],Verbs,3,FALSE)&amp;"",""))</f>
      </c>
      <c r="H89" s="17">
        <f>IF(Log[[#This Row],[Date]]="","",INT((Log[[#This Row],[Date]]-Sprint1)/SprintDays)+1)</f>
      </c>
      <c r="I89" s="17">
        <f>IF(OR(Log[[#This Row],[Verb]]="commit",Log[[#This Row],[Verb]]="carry",Log[[#This Row],[Verb]]="redo"),IF(Log[[#This Row],[Arg]]="",Log[[#This Row],[Sprint]],N(Log[[#This Row],[Arg]])),"")</f>
      </c>
      <c r="J89" s="17">
        <f>IF(Log[[#This Row],[Verb]]="block",1,IF(OR(Log[[#This Row],[Verb]]="unblock",Log[[#This Row],[Verb]]="done",Log[[#This Row],[Verb]]="drop",Log[[#This Row],[Verb]]="punt",Log[[#This Row],[Verb]]="pass"),0,""))</f>
      </c>
      <c r="K89" s="17">
        <f>IF(Log[[#This Row],[ID]]="",0,IFERROR(INDEX(Items[Pts],MATCH(Log[[#This Row],[ID]],Items[ID],0))*1,0))</f>
      </c>
      <c r="L89" s="17">
        <f>IF(Log[[#This Row],[ID]]="","",IFERROR(INDEX(Items[Cur team],MATCH(Log[[#This Row],[ID]],Items[ID],0))&amp;"",""))</f>
      </c>
      <c r="M89" s="17">
        <f>IF(OR(Log[[#This Row],[Verb]]="done",Log[[#This Row],[Verb]]="punt",Log[[#This Row],[Verb]]="drop",Log[[#This Row],[Verb]]="pass"),Log[[#This Row],[Pts]],0)</f>
      </c>
    </row>
    <row r="90">
      <c r="A90" s="11">
        <v>46077</v>
      </c>
      <c r="B90" t="s">
        <v>221</v>
      </c>
      <c r="C90" t="s">
        <v>34</v>
      </c>
      <c r="D90">
        <v>38</v>
      </c>
      <c r="F90" s="17">
        <f>IF(Log[[#This Row],[ID]]="","",IF(ISNA(MATCH(Log[[#This Row],[ID]],Items[ID],0)),"unknown ID",IF(ISNA(MATCH(Log[[#This Row],[Verb]],VerbList,0)),"unknown verb",IF(Log[[#This Row],[Date]]="","no date",""))))</f>
      </c>
      <c r="G90" s="17">
        <f>IF(Log[[#This Row],[ID]]="","",IFERROR(VLOOKUP(Log[[#This Row],[Verb]],Verbs,3,FALSE)&amp;"",""))</f>
      </c>
      <c r="H90" s="17">
        <f>IF(Log[[#This Row],[Date]]="","",INT((Log[[#This Row],[Date]]-Sprint1)/SprintDays)+1)</f>
      </c>
      <c r="I90" s="17">
        <f>IF(OR(Log[[#This Row],[Verb]]="commit",Log[[#This Row],[Verb]]="carry",Log[[#This Row],[Verb]]="redo"),IF(Log[[#This Row],[Arg]]="",Log[[#This Row],[Sprint]],N(Log[[#This Row],[Arg]])),"")</f>
      </c>
      <c r="J90" s="17">
        <f>IF(Log[[#This Row],[Verb]]="block",1,IF(OR(Log[[#This Row],[Verb]]="unblock",Log[[#This Row],[Verb]]="done",Log[[#This Row],[Verb]]="drop",Log[[#This Row],[Verb]]="punt",Log[[#This Row],[Verb]]="pass"),0,""))</f>
      </c>
      <c r="K90" s="17">
        <f>IF(Log[[#This Row],[ID]]="",0,IFERROR(INDEX(Items[Pts],MATCH(Log[[#This Row],[ID]],Items[ID],0))*1,0))</f>
      </c>
      <c r="L90" s="17">
        <f>IF(Log[[#This Row],[ID]]="","",IFERROR(INDEX(Items[Cur team],MATCH(Log[[#This Row],[ID]],Items[ID],0))&amp;"",""))</f>
      </c>
      <c r="M90" s="17">
        <f>IF(OR(Log[[#This Row],[Verb]]="done",Log[[#This Row],[Verb]]="punt",Log[[#This Row],[Verb]]="drop",Log[[#This Row],[Verb]]="pass"),Log[[#This Row],[Pts]],0)</f>
      </c>
    </row>
    <row r="91">
      <c r="A91" s="11">
        <v>46077</v>
      </c>
      <c r="B91" t="s">
        <v>222</v>
      </c>
      <c r="C91" t="s">
        <v>34</v>
      </c>
      <c r="D91">
        <v>38</v>
      </c>
      <c r="F91" s="17">
        <f>IF(Log[[#This Row],[ID]]="","",IF(ISNA(MATCH(Log[[#This Row],[ID]],Items[ID],0)),"unknown ID",IF(ISNA(MATCH(Log[[#This Row],[Verb]],VerbList,0)),"unknown verb",IF(Log[[#This Row],[Date]]="","no date",""))))</f>
      </c>
      <c r="G91" s="17">
        <f>IF(Log[[#This Row],[ID]]="","",IFERROR(VLOOKUP(Log[[#This Row],[Verb]],Verbs,3,FALSE)&amp;"",""))</f>
      </c>
      <c r="H91" s="17">
        <f>IF(Log[[#This Row],[Date]]="","",INT((Log[[#This Row],[Date]]-Sprint1)/SprintDays)+1)</f>
      </c>
      <c r="I91" s="17">
        <f>IF(OR(Log[[#This Row],[Verb]]="commit",Log[[#This Row],[Verb]]="carry",Log[[#This Row],[Verb]]="redo"),IF(Log[[#This Row],[Arg]]="",Log[[#This Row],[Sprint]],N(Log[[#This Row],[Arg]])),"")</f>
      </c>
      <c r="J91" s="17">
        <f>IF(Log[[#This Row],[Verb]]="block",1,IF(OR(Log[[#This Row],[Verb]]="unblock",Log[[#This Row],[Verb]]="done",Log[[#This Row],[Verb]]="drop",Log[[#This Row],[Verb]]="punt",Log[[#This Row],[Verb]]="pass"),0,""))</f>
      </c>
      <c r="K91" s="17">
        <f>IF(Log[[#This Row],[ID]]="",0,IFERROR(INDEX(Items[Pts],MATCH(Log[[#This Row],[ID]],Items[ID],0))*1,0))</f>
      </c>
      <c r="L91" s="17">
        <f>IF(Log[[#This Row],[ID]]="","",IFERROR(INDEX(Items[Cur team],MATCH(Log[[#This Row],[ID]],Items[ID],0))&amp;"",""))</f>
      </c>
      <c r="M91" s="17">
        <f>IF(OR(Log[[#This Row],[Verb]]="done",Log[[#This Row],[Verb]]="punt",Log[[#This Row],[Verb]]="drop",Log[[#This Row],[Verb]]="pass"),Log[[#This Row],[Pts]],0)</f>
      </c>
    </row>
    <row r="92">
      <c r="A92" s="11">
        <v>46077</v>
      </c>
      <c r="B92" t="s">
        <v>223</v>
      </c>
      <c r="C92" t="s">
        <v>34</v>
      </c>
      <c r="D92">
        <v>38</v>
      </c>
      <c r="F92" s="17">
        <f>IF(Log[[#This Row],[ID]]="","",IF(ISNA(MATCH(Log[[#This Row],[ID]],Items[ID],0)),"unknown ID",IF(ISNA(MATCH(Log[[#This Row],[Verb]],VerbList,0)),"unknown verb",IF(Log[[#This Row],[Date]]="","no date",""))))</f>
      </c>
      <c r="G92" s="17">
        <f>IF(Log[[#This Row],[ID]]="","",IFERROR(VLOOKUP(Log[[#This Row],[Verb]],Verbs,3,FALSE)&amp;"",""))</f>
      </c>
      <c r="H92" s="17">
        <f>IF(Log[[#This Row],[Date]]="","",INT((Log[[#This Row],[Date]]-Sprint1)/SprintDays)+1)</f>
      </c>
      <c r="I92" s="17">
        <f>IF(OR(Log[[#This Row],[Verb]]="commit",Log[[#This Row],[Verb]]="carry",Log[[#This Row],[Verb]]="redo"),IF(Log[[#This Row],[Arg]]="",Log[[#This Row],[Sprint]],N(Log[[#This Row],[Arg]])),"")</f>
      </c>
      <c r="J92" s="17">
        <f>IF(Log[[#This Row],[Verb]]="block",1,IF(OR(Log[[#This Row],[Verb]]="unblock",Log[[#This Row],[Verb]]="done",Log[[#This Row],[Verb]]="drop",Log[[#This Row],[Verb]]="punt",Log[[#This Row],[Verb]]="pass"),0,""))</f>
      </c>
      <c r="K92" s="17">
        <f>IF(Log[[#This Row],[ID]]="",0,IFERROR(INDEX(Items[Pts],MATCH(Log[[#This Row],[ID]],Items[ID],0))*1,0))</f>
      </c>
      <c r="L92" s="17">
        <f>IF(Log[[#This Row],[ID]]="","",IFERROR(INDEX(Items[Cur team],MATCH(Log[[#This Row],[ID]],Items[ID],0))&amp;"",""))</f>
      </c>
      <c r="M92" s="17">
        <f>IF(OR(Log[[#This Row],[Verb]]="done",Log[[#This Row],[Verb]]="punt",Log[[#This Row],[Verb]]="drop",Log[[#This Row],[Verb]]="pass"),Log[[#This Row],[Pts]],0)</f>
      </c>
    </row>
    <row r="93">
      <c r="A93" s="11">
        <v>46077</v>
      </c>
      <c r="B93" t="s">
        <v>181</v>
      </c>
      <c r="C93" t="s">
        <v>57</v>
      </c>
      <c r="D93">
        <v>38</v>
      </c>
      <c r="E93" t="s">
        <v>193</v>
      </c>
      <c r="F93" s="17">
        <f>IF(Log[[#This Row],[ID]]="","",IF(ISNA(MATCH(Log[[#This Row],[ID]],Items[ID],0)),"unknown ID",IF(ISNA(MATCH(Log[[#This Row],[Verb]],VerbList,0)),"unknown verb",IF(Log[[#This Row],[Date]]="","no date",""))))</f>
      </c>
      <c r="G93" s="17">
        <f>IF(Log[[#This Row],[ID]]="","",IFERROR(VLOOKUP(Log[[#This Row],[Verb]],Verbs,3,FALSE)&amp;"",""))</f>
      </c>
      <c r="H93" s="17">
        <f>IF(Log[[#This Row],[Date]]="","",INT((Log[[#This Row],[Date]]-Sprint1)/SprintDays)+1)</f>
      </c>
      <c r="I93" s="17">
        <f>IF(OR(Log[[#This Row],[Verb]]="commit",Log[[#This Row],[Verb]]="carry",Log[[#This Row],[Verb]]="redo"),IF(Log[[#This Row],[Arg]]="",Log[[#This Row],[Sprint]],N(Log[[#This Row],[Arg]])),"")</f>
      </c>
      <c r="J93" s="17">
        <f>IF(Log[[#This Row],[Verb]]="block",1,IF(OR(Log[[#This Row],[Verb]]="unblock",Log[[#This Row],[Verb]]="done",Log[[#This Row],[Verb]]="drop",Log[[#This Row],[Verb]]="punt",Log[[#This Row],[Verb]]="pass"),0,""))</f>
      </c>
      <c r="K93" s="17">
        <f>IF(Log[[#This Row],[ID]]="",0,IFERROR(INDEX(Items[Pts],MATCH(Log[[#This Row],[ID]],Items[ID],0))*1,0))</f>
      </c>
      <c r="L93" s="17">
        <f>IF(Log[[#This Row],[ID]]="","",IFERROR(INDEX(Items[Cur team],MATCH(Log[[#This Row],[ID]],Items[ID],0))&amp;"",""))</f>
      </c>
      <c r="M93" s="17">
        <f>IF(OR(Log[[#This Row],[Verb]]="done",Log[[#This Row],[Verb]]="punt",Log[[#This Row],[Verb]]="drop",Log[[#This Row],[Verb]]="pass"),Log[[#This Row],[Pts]],0)</f>
      </c>
    </row>
    <row r="94">
      <c r="A94" s="11">
        <v>46077</v>
      </c>
      <c r="B94" t="s">
        <v>224</v>
      </c>
      <c r="C94" t="s">
        <v>34</v>
      </c>
      <c r="D94">
        <v>38</v>
      </c>
      <c r="F94" s="17">
        <f>IF(Log[[#This Row],[ID]]="","",IF(ISNA(MATCH(Log[[#This Row],[ID]],Items[ID],0)),"unknown ID",IF(ISNA(MATCH(Log[[#This Row],[Verb]],VerbList,0)),"unknown verb",IF(Log[[#This Row],[Date]]="","no date",""))))</f>
      </c>
      <c r="G94" s="17">
        <f>IF(Log[[#This Row],[ID]]="","",IFERROR(VLOOKUP(Log[[#This Row],[Verb]],Verbs,3,FALSE)&amp;"",""))</f>
      </c>
      <c r="H94" s="17">
        <f>IF(Log[[#This Row],[Date]]="","",INT((Log[[#This Row],[Date]]-Sprint1)/SprintDays)+1)</f>
      </c>
      <c r="I94" s="17">
        <f>IF(OR(Log[[#This Row],[Verb]]="commit",Log[[#This Row],[Verb]]="carry",Log[[#This Row],[Verb]]="redo"),IF(Log[[#This Row],[Arg]]="",Log[[#This Row],[Sprint]],N(Log[[#This Row],[Arg]])),"")</f>
      </c>
      <c r="J94" s="17">
        <f>IF(Log[[#This Row],[Verb]]="block",1,IF(OR(Log[[#This Row],[Verb]]="unblock",Log[[#This Row],[Verb]]="done",Log[[#This Row],[Verb]]="drop",Log[[#This Row],[Verb]]="punt",Log[[#This Row],[Verb]]="pass"),0,""))</f>
      </c>
      <c r="K94" s="17">
        <f>IF(Log[[#This Row],[ID]]="",0,IFERROR(INDEX(Items[Pts],MATCH(Log[[#This Row],[ID]],Items[ID],0))*1,0))</f>
      </c>
      <c r="L94" s="17">
        <f>IF(Log[[#This Row],[ID]]="","",IFERROR(INDEX(Items[Cur team],MATCH(Log[[#This Row],[ID]],Items[ID],0))&amp;"",""))</f>
      </c>
      <c r="M94" s="17">
        <f>IF(OR(Log[[#This Row],[Verb]]="done",Log[[#This Row],[Verb]]="punt",Log[[#This Row],[Verb]]="drop",Log[[#This Row],[Verb]]="pass"),Log[[#This Row],[Pts]],0)</f>
      </c>
    </row>
    <row r="95">
      <c r="A95" s="11">
        <v>46077</v>
      </c>
      <c r="B95" t="s">
        <v>225</v>
      </c>
      <c r="C95" t="s">
        <v>34</v>
      </c>
      <c r="D95">
        <v>38</v>
      </c>
      <c r="F95" s="17">
        <f>IF(Log[[#This Row],[ID]]="","",IF(ISNA(MATCH(Log[[#This Row],[ID]],Items[ID],0)),"unknown ID",IF(ISNA(MATCH(Log[[#This Row],[Verb]],VerbList,0)),"unknown verb",IF(Log[[#This Row],[Date]]="","no date",""))))</f>
      </c>
      <c r="G95" s="17">
        <f>IF(Log[[#This Row],[ID]]="","",IFERROR(VLOOKUP(Log[[#This Row],[Verb]],Verbs,3,FALSE)&amp;"",""))</f>
      </c>
      <c r="H95" s="17">
        <f>IF(Log[[#This Row],[Date]]="","",INT((Log[[#This Row],[Date]]-Sprint1)/SprintDays)+1)</f>
      </c>
      <c r="I95" s="17">
        <f>IF(OR(Log[[#This Row],[Verb]]="commit",Log[[#This Row],[Verb]]="carry",Log[[#This Row],[Verb]]="redo"),IF(Log[[#This Row],[Arg]]="",Log[[#This Row],[Sprint]],N(Log[[#This Row],[Arg]])),"")</f>
      </c>
      <c r="J95" s="17">
        <f>IF(Log[[#This Row],[Verb]]="block",1,IF(OR(Log[[#This Row],[Verb]]="unblock",Log[[#This Row],[Verb]]="done",Log[[#This Row],[Verb]]="drop",Log[[#This Row],[Verb]]="punt",Log[[#This Row],[Verb]]="pass"),0,""))</f>
      </c>
      <c r="K95" s="17">
        <f>IF(Log[[#This Row],[ID]]="",0,IFERROR(INDEX(Items[Pts],MATCH(Log[[#This Row],[ID]],Items[ID],0))*1,0))</f>
      </c>
      <c r="L95" s="17">
        <f>IF(Log[[#This Row],[ID]]="","",IFERROR(INDEX(Items[Cur team],MATCH(Log[[#This Row],[ID]],Items[ID],0))&amp;"",""))</f>
      </c>
      <c r="M95" s="17">
        <f>IF(OR(Log[[#This Row],[Verb]]="done",Log[[#This Row],[Verb]]="punt",Log[[#This Row],[Verb]]="drop",Log[[#This Row],[Verb]]="pass"),Log[[#This Row],[Pts]],0)</f>
      </c>
    </row>
    <row r="96">
      <c r="A96" s="11">
        <v>46077</v>
      </c>
      <c r="B96" t="s">
        <v>226</v>
      </c>
      <c r="C96" t="s">
        <v>34</v>
      </c>
      <c r="D96">
        <v>38</v>
      </c>
      <c r="F96" s="17">
        <f>IF(Log[[#This Row],[ID]]="","",IF(ISNA(MATCH(Log[[#This Row],[ID]],Items[ID],0)),"unknown ID",IF(ISNA(MATCH(Log[[#This Row],[Verb]],VerbList,0)),"unknown verb",IF(Log[[#This Row],[Date]]="","no date",""))))</f>
      </c>
      <c r="G96" s="17">
        <f>IF(Log[[#This Row],[ID]]="","",IFERROR(VLOOKUP(Log[[#This Row],[Verb]],Verbs,3,FALSE)&amp;"",""))</f>
      </c>
      <c r="H96" s="17">
        <f>IF(Log[[#This Row],[Date]]="","",INT((Log[[#This Row],[Date]]-Sprint1)/SprintDays)+1)</f>
      </c>
      <c r="I96" s="17">
        <f>IF(OR(Log[[#This Row],[Verb]]="commit",Log[[#This Row],[Verb]]="carry",Log[[#This Row],[Verb]]="redo"),IF(Log[[#This Row],[Arg]]="",Log[[#This Row],[Sprint]],N(Log[[#This Row],[Arg]])),"")</f>
      </c>
      <c r="J96" s="17">
        <f>IF(Log[[#This Row],[Verb]]="block",1,IF(OR(Log[[#This Row],[Verb]]="unblock",Log[[#This Row],[Verb]]="done",Log[[#This Row],[Verb]]="drop",Log[[#This Row],[Verb]]="punt",Log[[#This Row],[Verb]]="pass"),0,""))</f>
      </c>
      <c r="K96" s="17">
        <f>IF(Log[[#This Row],[ID]]="",0,IFERROR(INDEX(Items[Pts],MATCH(Log[[#This Row],[ID]],Items[ID],0))*1,0))</f>
      </c>
      <c r="L96" s="17">
        <f>IF(Log[[#This Row],[ID]]="","",IFERROR(INDEX(Items[Cur team],MATCH(Log[[#This Row],[ID]],Items[ID],0))&amp;"",""))</f>
      </c>
      <c r="M96" s="17">
        <f>IF(OR(Log[[#This Row],[Verb]]="done",Log[[#This Row],[Verb]]="punt",Log[[#This Row],[Verb]]="drop",Log[[#This Row],[Verb]]="pass"),Log[[#This Row],[Pts]],0)</f>
      </c>
    </row>
    <row r="97">
      <c r="A97" s="11">
        <v>46077</v>
      </c>
      <c r="B97" t="s">
        <v>227</v>
      </c>
      <c r="C97" t="s">
        <v>34</v>
      </c>
      <c r="D97">
        <v>38</v>
      </c>
      <c r="F97" s="17">
        <f>IF(Log[[#This Row],[ID]]="","",IF(ISNA(MATCH(Log[[#This Row],[ID]],Items[ID],0)),"unknown ID",IF(ISNA(MATCH(Log[[#This Row],[Verb]],VerbList,0)),"unknown verb",IF(Log[[#This Row],[Date]]="","no date",""))))</f>
      </c>
      <c r="G97" s="17">
        <f>IF(Log[[#This Row],[ID]]="","",IFERROR(VLOOKUP(Log[[#This Row],[Verb]],Verbs,3,FALSE)&amp;"",""))</f>
      </c>
      <c r="H97" s="17">
        <f>IF(Log[[#This Row],[Date]]="","",INT((Log[[#This Row],[Date]]-Sprint1)/SprintDays)+1)</f>
      </c>
      <c r="I97" s="17">
        <f>IF(OR(Log[[#This Row],[Verb]]="commit",Log[[#This Row],[Verb]]="carry",Log[[#This Row],[Verb]]="redo"),IF(Log[[#This Row],[Arg]]="",Log[[#This Row],[Sprint]],N(Log[[#This Row],[Arg]])),"")</f>
      </c>
      <c r="J97" s="17">
        <f>IF(Log[[#This Row],[Verb]]="block",1,IF(OR(Log[[#This Row],[Verb]]="unblock",Log[[#This Row],[Verb]]="done",Log[[#This Row],[Verb]]="drop",Log[[#This Row],[Verb]]="punt",Log[[#This Row],[Verb]]="pass"),0,""))</f>
      </c>
      <c r="K97" s="17">
        <f>IF(Log[[#This Row],[ID]]="",0,IFERROR(INDEX(Items[Pts],MATCH(Log[[#This Row],[ID]],Items[ID],0))*1,0))</f>
      </c>
      <c r="L97" s="17">
        <f>IF(Log[[#This Row],[ID]]="","",IFERROR(INDEX(Items[Cur team],MATCH(Log[[#This Row],[ID]],Items[ID],0))&amp;"",""))</f>
      </c>
      <c r="M97" s="17">
        <f>IF(OR(Log[[#This Row],[Verb]]="done",Log[[#This Row],[Verb]]="punt",Log[[#This Row],[Verb]]="drop",Log[[#This Row],[Verb]]="pass"),Log[[#This Row],[Pts]],0)</f>
      </c>
    </row>
    <row r="98">
      <c r="A98" s="11">
        <v>46077</v>
      </c>
      <c r="B98" t="s">
        <v>228</v>
      </c>
      <c r="C98" t="s">
        <v>34</v>
      </c>
      <c r="D98">
        <v>38</v>
      </c>
      <c r="F98" s="17">
        <f>IF(Log[[#This Row],[ID]]="","",IF(ISNA(MATCH(Log[[#This Row],[ID]],Items[ID],0)),"unknown ID",IF(ISNA(MATCH(Log[[#This Row],[Verb]],VerbList,0)),"unknown verb",IF(Log[[#This Row],[Date]]="","no date",""))))</f>
      </c>
      <c r="G98" s="17">
        <f>IF(Log[[#This Row],[ID]]="","",IFERROR(VLOOKUP(Log[[#This Row],[Verb]],Verbs,3,FALSE)&amp;"",""))</f>
      </c>
      <c r="H98" s="17">
        <f>IF(Log[[#This Row],[Date]]="","",INT((Log[[#This Row],[Date]]-Sprint1)/SprintDays)+1)</f>
      </c>
      <c r="I98" s="17">
        <f>IF(OR(Log[[#This Row],[Verb]]="commit",Log[[#This Row],[Verb]]="carry",Log[[#This Row],[Verb]]="redo"),IF(Log[[#This Row],[Arg]]="",Log[[#This Row],[Sprint]],N(Log[[#This Row],[Arg]])),"")</f>
      </c>
      <c r="J98" s="17">
        <f>IF(Log[[#This Row],[Verb]]="block",1,IF(OR(Log[[#This Row],[Verb]]="unblock",Log[[#This Row],[Verb]]="done",Log[[#This Row],[Verb]]="drop",Log[[#This Row],[Verb]]="punt",Log[[#This Row],[Verb]]="pass"),0,""))</f>
      </c>
      <c r="K98" s="17">
        <f>IF(Log[[#This Row],[ID]]="",0,IFERROR(INDEX(Items[Pts],MATCH(Log[[#This Row],[ID]],Items[ID],0))*1,0))</f>
      </c>
      <c r="L98" s="17">
        <f>IF(Log[[#This Row],[ID]]="","",IFERROR(INDEX(Items[Cur team],MATCH(Log[[#This Row],[ID]],Items[ID],0))&amp;"",""))</f>
      </c>
      <c r="M98" s="17">
        <f>IF(OR(Log[[#This Row],[Verb]]="done",Log[[#This Row],[Verb]]="punt",Log[[#This Row],[Verb]]="drop",Log[[#This Row],[Verb]]="pass"),Log[[#This Row],[Pts]],0)</f>
      </c>
    </row>
    <row r="99">
      <c r="A99" s="11">
        <v>46077</v>
      </c>
      <c r="B99" t="s">
        <v>229</v>
      </c>
      <c r="C99" t="s">
        <v>34</v>
      </c>
      <c r="D99">
        <v>38</v>
      </c>
      <c r="F99" s="17">
        <f>IF(Log[[#This Row],[ID]]="","",IF(ISNA(MATCH(Log[[#This Row],[ID]],Items[ID],0)),"unknown ID",IF(ISNA(MATCH(Log[[#This Row],[Verb]],VerbList,0)),"unknown verb",IF(Log[[#This Row],[Date]]="","no date",""))))</f>
      </c>
      <c r="G99" s="17">
        <f>IF(Log[[#This Row],[ID]]="","",IFERROR(VLOOKUP(Log[[#This Row],[Verb]],Verbs,3,FALSE)&amp;"",""))</f>
      </c>
      <c r="H99" s="17">
        <f>IF(Log[[#This Row],[Date]]="","",INT((Log[[#This Row],[Date]]-Sprint1)/SprintDays)+1)</f>
      </c>
      <c r="I99" s="17">
        <f>IF(OR(Log[[#This Row],[Verb]]="commit",Log[[#This Row],[Verb]]="carry",Log[[#This Row],[Verb]]="redo"),IF(Log[[#This Row],[Arg]]="",Log[[#This Row],[Sprint]],N(Log[[#This Row],[Arg]])),"")</f>
      </c>
      <c r="J99" s="17">
        <f>IF(Log[[#This Row],[Verb]]="block",1,IF(OR(Log[[#This Row],[Verb]]="unblock",Log[[#This Row],[Verb]]="done",Log[[#This Row],[Verb]]="drop",Log[[#This Row],[Verb]]="punt",Log[[#This Row],[Verb]]="pass"),0,""))</f>
      </c>
      <c r="K99" s="17">
        <f>IF(Log[[#This Row],[ID]]="",0,IFERROR(INDEX(Items[Pts],MATCH(Log[[#This Row],[ID]],Items[ID],0))*1,0))</f>
      </c>
      <c r="L99" s="17">
        <f>IF(Log[[#This Row],[ID]]="","",IFERROR(INDEX(Items[Cur team],MATCH(Log[[#This Row],[ID]],Items[ID],0))&amp;"",""))</f>
      </c>
      <c r="M99" s="17">
        <f>IF(OR(Log[[#This Row],[Verb]]="done",Log[[#This Row],[Verb]]="punt",Log[[#This Row],[Verb]]="drop",Log[[#This Row],[Verb]]="pass"),Log[[#This Row],[Pts]],0)</f>
      </c>
    </row>
    <row r="100">
      <c r="A100" s="11">
        <v>46077</v>
      </c>
      <c r="B100" t="s">
        <v>230</v>
      </c>
      <c r="C100" t="s">
        <v>34</v>
      </c>
      <c r="D100">
        <v>38</v>
      </c>
      <c r="F100" s="17">
        <f>IF(Log[[#This Row],[ID]]="","",IF(ISNA(MATCH(Log[[#This Row],[ID]],Items[ID],0)),"unknown ID",IF(ISNA(MATCH(Log[[#This Row],[Verb]],VerbList,0)),"unknown verb",IF(Log[[#This Row],[Date]]="","no date",""))))</f>
      </c>
      <c r="G100" s="17">
        <f>IF(Log[[#This Row],[ID]]="","",IFERROR(VLOOKUP(Log[[#This Row],[Verb]],Verbs,3,FALSE)&amp;"",""))</f>
      </c>
      <c r="H100" s="17">
        <f>IF(Log[[#This Row],[Date]]="","",INT((Log[[#This Row],[Date]]-Sprint1)/SprintDays)+1)</f>
      </c>
      <c r="I100" s="17">
        <f>IF(OR(Log[[#This Row],[Verb]]="commit",Log[[#This Row],[Verb]]="carry",Log[[#This Row],[Verb]]="redo"),IF(Log[[#This Row],[Arg]]="",Log[[#This Row],[Sprint]],N(Log[[#This Row],[Arg]])),"")</f>
      </c>
      <c r="J100" s="17">
        <f>IF(Log[[#This Row],[Verb]]="block",1,IF(OR(Log[[#This Row],[Verb]]="unblock",Log[[#This Row],[Verb]]="done",Log[[#This Row],[Verb]]="drop",Log[[#This Row],[Verb]]="punt",Log[[#This Row],[Verb]]="pass"),0,""))</f>
      </c>
      <c r="K100" s="17">
        <f>IF(Log[[#This Row],[ID]]="",0,IFERROR(INDEX(Items[Pts],MATCH(Log[[#This Row],[ID]],Items[ID],0))*1,0))</f>
      </c>
      <c r="L100" s="17">
        <f>IF(Log[[#This Row],[ID]]="","",IFERROR(INDEX(Items[Cur team],MATCH(Log[[#This Row],[ID]],Items[ID],0))&amp;"",""))</f>
      </c>
      <c r="M100" s="17">
        <f>IF(OR(Log[[#This Row],[Verb]]="done",Log[[#This Row],[Verb]]="punt",Log[[#This Row],[Verb]]="drop",Log[[#This Row],[Verb]]="pass"),Log[[#This Row],[Pts]],0)</f>
      </c>
    </row>
    <row r="101">
      <c r="A101" s="11">
        <v>46077</v>
      </c>
      <c r="B101" t="s">
        <v>231</v>
      </c>
      <c r="C101" t="s">
        <v>34</v>
      </c>
      <c r="D101">
        <v>38</v>
      </c>
      <c r="F101" s="17">
        <f>IF(Log[[#This Row],[ID]]="","",IF(ISNA(MATCH(Log[[#This Row],[ID]],Items[ID],0)),"unknown ID",IF(ISNA(MATCH(Log[[#This Row],[Verb]],VerbList,0)),"unknown verb",IF(Log[[#This Row],[Date]]="","no date",""))))</f>
      </c>
      <c r="G101" s="17">
        <f>IF(Log[[#This Row],[ID]]="","",IFERROR(VLOOKUP(Log[[#This Row],[Verb]],Verbs,3,FALSE)&amp;"",""))</f>
      </c>
      <c r="H101" s="17">
        <f>IF(Log[[#This Row],[Date]]="","",INT((Log[[#This Row],[Date]]-Sprint1)/SprintDays)+1)</f>
      </c>
      <c r="I101" s="17">
        <f>IF(OR(Log[[#This Row],[Verb]]="commit",Log[[#This Row],[Verb]]="carry",Log[[#This Row],[Verb]]="redo"),IF(Log[[#This Row],[Arg]]="",Log[[#This Row],[Sprint]],N(Log[[#This Row],[Arg]])),"")</f>
      </c>
      <c r="J101" s="17">
        <f>IF(Log[[#This Row],[Verb]]="block",1,IF(OR(Log[[#This Row],[Verb]]="unblock",Log[[#This Row],[Verb]]="done",Log[[#This Row],[Verb]]="drop",Log[[#This Row],[Verb]]="punt",Log[[#This Row],[Verb]]="pass"),0,""))</f>
      </c>
      <c r="K101" s="17">
        <f>IF(Log[[#This Row],[ID]]="",0,IFERROR(INDEX(Items[Pts],MATCH(Log[[#This Row],[ID]],Items[ID],0))*1,0))</f>
      </c>
      <c r="L101" s="17">
        <f>IF(Log[[#This Row],[ID]]="","",IFERROR(INDEX(Items[Cur team],MATCH(Log[[#This Row],[ID]],Items[ID],0))&amp;"",""))</f>
      </c>
      <c r="M101" s="17">
        <f>IF(OR(Log[[#This Row],[Verb]]="done",Log[[#This Row],[Verb]]="punt",Log[[#This Row],[Verb]]="drop",Log[[#This Row],[Verb]]="pass"),Log[[#This Row],[Pts]],0)</f>
      </c>
    </row>
    <row r="102">
      <c r="A102" s="11">
        <v>46077</v>
      </c>
      <c r="B102" t="s">
        <v>232</v>
      </c>
      <c r="C102" t="s">
        <v>34</v>
      </c>
      <c r="D102">
        <v>38</v>
      </c>
      <c r="F102" s="17">
        <f>IF(Log[[#This Row],[ID]]="","",IF(ISNA(MATCH(Log[[#This Row],[ID]],Items[ID],0)),"unknown ID",IF(ISNA(MATCH(Log[[#This Row],[Verb]],VerbList,0)),"unknown verb",IF(Log[[#This Row],[Date]]="","no date",""))))</f>
      </c>
      <c r="G102" s="17">
        <f>IF(Log[[#This Row],[ID]]="","",IFERROR(VLOOKUP(Log[[#This Row],[Verb]],Verbs,3,FALSE)&amp;"",""))</f>
      </c>
      <c r="H102" s="17">
        <f>IF(Log[[#This Row],[Date]]="","",INT((Log[[#This Row],[Date]]-Sprint1)/SprintDays)+1)</f>
      </c>
      <c r="I102" s="17">
        <f>IF(OR(Log[[#This Row],[Verb]]="commit",Log[[#This Row],[Verb]]="carry",Log[[#This Row],[Verb]]="redo"),IF(Log[[#This Row],[Arg]]="",Log[[#This Row],[Sprint]],N(Log[[#This Row],[Arg]])),"")</f>
      </c>
      <c r="J102" s="17">
        <f>IF(Log[[#This Row],[Verb]]="block",1,IF(OR(Log[[#This Row],[Verb]]="unblock",Log[[#This Row],[Verb]]="done",Log[[#This Row],[Verb]]="drop",Log[[#This Row],[Verb]]="punt",Log[[#This Row],[Verb]]="pass"),0,""))</f>
      </c>
      <c r="K102" s="17">
        <f>IF(Log[[#This Row],[ID]]="",0,IFERROR(INDEX(Items[Pts],MATCH(Log[[#This Row],[ID]],Items[ID],0))*1,0))</f>
      </c>
      <c r="L102" s="17">
        <f>IF(Log[[#This Row],[ID]]="","",IFERROR(INDEX(Items[Cur team],MATCH(Log[[#This Row],[ID]],Items[ID],0))&amp;"",""))</f>
      </c>
      <c r="M102" s="17">
        <f>IF(OR(Log[[#This Row],[Verb]]="done",Log[[#This Row],[Verb]]="punt",Log[[#This Row],[Verb]]="drop",Log[[#This Row],[Verb]]="pass"),Log[[#This Row],[Pts]],0)</f>
      </c>
    </row>
    <row r="103">
      <c r="A103" s="11">
        <v>46077</v>
      </c>
      <c r="B103" t="s">
        <v>233</v>
      </c>
      <c r="C103" t="s">
        <v>34</v>
      </c>
      <c r="D103">
        <v>38</v>
      </c>
      <c r="F103" s="17">
        <f>IF(Log[[#This Row],[ID]]="","",IF(ISNA(MATCH(Log[[#This Row],[ID]],Items[ID],0)),"unknown ID",IF(ISNA(MATCH(Log[[#This Row],[Verb]],VerbList,0)),"unknown verb",IF(Log[[#This Row],[Date]]="","no date",""))))</f>
      </c>
      <c r="G103" s="17">
        <f>IF(Log[[#This Row],[ID]]="","",IFERROR(VLOOKUP(Log[[#This Row],[Verb]],Verbs,3,FALSE)&amp;"",""))</f>
      </c>
      <c r="H103" s="17">
        <f>IF(Log[[#This Row],[Date]]="","",INT((Log[[#This Row],[Date]]-Sprint1)/SprintDays)+1)</f>
      </c>
      <c r="I103" s="17">
        <f>IF(OR(Log[[#This Row],[Verb]]="commit",Log[[#This Row],[Verb]]="carry",Log[[#This Row],[Verb]]="redo"),IF(Log[[#This Row],[Arg]]="",Log[[#This Row],[Sprint]],N(Log[[#This Row],[Arg]])),"")</f>
      </c>
      <c r="J103" s="17">
        <f>IF(Log[[#This Row],[Verb]]="block",1,IF(OR(Log[[#This Row],[Verb]]="unblock",Log[[#This Row],[Verb]]="done",Log[[#This Row],[Verb]]="drop",Log[[#This Row],[Verb]]="punt",Log[[#This Row],[Verb]]="pass"),0,""))</f>
      </c>
      <c r="K103" s="17">
        <f>IF(Log[[#This Row],[ID]]="",0,IFERROR(INDEX(Items[Pts],MATCH(Log[[#This Row],[ID]],Items[ID],0))*1,0))</f>
      </c>
      <c r="L103" s="17">
        <f>IF(Log[[#This Row],[ID]]="","",IFERROR(INDEX(Items[Cur team],MATCH(Log[[#This Row],[ID]],Items[ID],0))&amp;"",""))</f>
      </c>
      <c r="M103" s="17">
        <f>IF(OR(Log[[#This Row],[Verb]]="done",Log[[#This Row],[Verb]]="punt",Log[[#This Row],[Verb]]="drop",Log[[#This Row],[Verb]]="pass"),Log[[#This Row],[Pts]],0)</f>
      </c>
    </row>
    <row r="104">
      <c r="A104" s="11">
        <v>46077</v>
      </c>
      <c r="B104" t="s">
        <v>234</v>
      </c>
      <c r="C104" t="s">
        <v>34</v>
      </c>
      <c r="D104">
        <v>38</v>
      </c>
      <c r="F104" s="17">
        <f>IF(Log[[#This Row],[ID]]="","",IF(ISNA(MATCH(Log[[#This Row],[ID]],Items[ID],0)),"unknown ID",IF(ISNA(MATCH(Log[[#This Row],[Verb]],VerbList,0)),"unknown verb",IF(Log[[#This Row],[Date]]="","no date",""))))</f>
      </c>
      <c r="G104" s="17">
        <f>IF(Log[[#This Row],[ID]]="","",IFERROR(VLOOKUP(Log[[#This Row],[Verb]],Verbs,3,FALSE)&amp;"",""))</f>
      </c>
      <c r="H104" s="17">
        <f>IF(Log[[#This Row],[Date]]="","",INT((Log[[#This Row],[Date]]-Sprint1)/SprintDays)+1)</f>
      </c>
      <c r="I104" s="17">
        <f>IF(OR(Log[[#This Row],[Verb]]="commit",Log[[#This Row],[Verb]]="carry",Log[[#This Row],[Verb]]="redo"),IF(Log[[#This Row],[Arg]]="",Log[[#This Row],[Sprint]],N(Log[[#This Row],[Arg]])),"")</f>
      </c>
      <c r="J104" s="17">
        <f>IF(Log[[#This Row],[Verb]]="block",1,IF(OR(Log[[#This Row],[Verb]]="unblock",Log[[#This Row],[Verb]]="done",Log[[#This Row],[Verb]]="drop",Log[[#This Row],[Verb]]="punt",Log[[#This Row],[Verb]]="pass"),0,""))</f>
      </c>
      <c r="K104" s="17">
        <f>IF(Log[[#This Row],[ID]]="",0,IFERROR(INDEX(Items[Pts],MATCH(Log[[#This Row],[ID]],Items[ID],0))*1,0))</f>
      </c>
      <c r="L104" s="17">
        <f>IF(Log[[#This Row],[ID]]="","",IFERROR(INDEX(Items[Cur team],MATCH(Log[[#This Row],[ID]],Items[ID],0))&amp;"",""))</f>
      </c>
      <c r="M104" s="17">
        <f>IF(OR(Log[[#This Row],[Verb]]="done",Log[[#This Row],[Verb]]="punt",Log[[#This Row],[Verb]]="drop",Log[[#This Row],[Verb]]="pass"),Log[[#This Row],[Pts]],0)</f>
      </c>
    </row>
    <row r="105">
      <c r="A105" s="11">
        <v>46090</v>
      </c>
      <c r="B105" t="s">
        <v>162</v>
      </c>
      <c r="C105" t="s">
        <v>38</v>
      </c>
      <c r="D105">
        <v>39</v>
      </c>
      <c r="F105" s="17">
        <f>IF(Log[[#This Row],[ID]]="","",IF(ISNA(MATCH(Log[[#This Row],[ID]],Items[ID],0)),"unknown ID",IF(ISNA(MATCH(Log[[#This Row],[Verb]],VerbList,0)),"unknown verb",IF(Log[[#This Row],[Date]]="","no date",""))))</f>
      </c>
      <c r="G105" s="17">
        <f>IF(Log[[#This Row],[ID]]="","",IFERROR(VLOOKUP(Log[[#This Row],[Verb]],Verbs,3,FALSE)&amp;"",""))</f>
      </c>
      <c r="H105" s="17">
        <f>IF(Log[[#This Row],[Date]]="","",INT((Log[[#This Row],[Date]]-Sprint1)/SprintDays)+1)</f>
      </c>
      <c r="I105" s="17">
        <f>IF(OR(Log[[#This Row],[Verb]]="commit",Log[[#This Row],[Verb]]="carry",Log[[#This Row],[Verb]]="redo"),IF(Log[[#This Row],[Arg]]="",Log[[#This Row],[Sprint]],N(Log[[#This Row],[Arg]])),"")</f>
      </c>
      <c r="J105" s="17">
        <f>IF(Log[[#This Row],[Verb]]="block",1,IF(OR(Log[[#This Row],[Verb]]="unblock",Log[[#This Row],[Verb]]="done",Log[[#This Row],[Verb]]="drop",Log[[#This Row],[Verb]]="punt",Log[[#This Row],[Verb]]="pass"),0,""))</f>
      </c>
      <c r="K105" s="17">
        <f>IF(Log[[#This Row],[ID]]="",0,IFERROR(INDEX(Items[Pts],MATCH(Log[[#This Row],[ID]],Items[ID],0))*1,0))</f>
      </c>
      <c r="L105" s="17">
        <f>IF(Log[[#This Row],[ID]]="","",IFERROR(INDEX(Items[Cur team],MATCH(Log[[#This Row],[ID]],Items[ID],0))&amp;"",""))</f>
      </c>
      <c r="M105" s="17">
        <f>IF(OR(Log[[#This Row],[Verb]]="done",Log[[#This Row],[Verb]]="punt",Log[[#This Row],[Verb]]="drop",Log[[#This Row],[Verb]]="pass"),Log[[#This Row],[Pts]],0)</f>
      </c>
    </row>
    <row r="106">
      <c r="A106" s="11">
        <v>46090</v>
      </c>
      <c r="B106" t="s">
        <v>170</v>
      </c>
      <c r="C106" t="s">
        <v>41</v>
      </c>
      <c r="F106" s="17">
        <f>IF(Log[[#This Row],[ID]]="","",IF(ISNA(MATCH(Log[[#This Row],[ID]],Items[ID],0)),"unknown ID",IF(ISNA(MATCH(Log[[#This Row],[Verb]],VerbList,0)),"unknown verb",IF(Log[[#This Row],[Date]]="","no date",""))))</f>
      </c>
      <c r="G106" s="17">
        <f>IF(Log[[#This Row],[ID]]="","",IFERROR(VLOOKUP(Log[[#This Row],[Verb]],Verbs,3,FALSE)&amp;"",""))</f>
      </c>
      <c r="H106" s="17">
        <f>IF(Log[[#This Row],[Date]]="","",INT((Log[[#This Row],[Date]]-Sprint1)/SprintDays)+1)</f>
      </c>
      <c r="I106" s="17">
        <f>IF(OR(Log[[#This Row],[Verb]]="commit",Log[[#This Row],[Verb]]="carry",Log[[#This Row],[Verb]]="redo"),IF(Log[[#This Row],[Arg]]="",Log[[#This Row],[Sprint]],N(Log[[#This Row],[Arg]])),"")</f>
      </c>
      <c r="J106" s="17">
        <f>IF(Log[[#This Row],[Verb]]="block",1,IF(OR(Log[[#This Row],[Verb]]="unblock",Log[[#This Row],[Verb]]="done",Log[[#This Row],[Verb]]="drop",Log[[#This Row],[Verb]]="punt",Log[[#This Row],[Verb]]="pass"),0,""))</f>
      </c>
      <c r="K106" s="17">
        <f>IF(Log[[#This Row],[ID]]="",0,IFERROR(INDEX(Items[Pts],MATCH(Log[[#This Row],[ID]],Items[ID],0))*1,0))</f>
      </c>
      <c r="L106" s="17">
        <f>IF(Log[[#This Row],[ID]]="","",IFERROR(INDEX(Items[Cur team],MATCH(Log[[#This Row],[ID]],Items[ID],0))&amp;"",""))</f>
      </c>
      <c r="M106" s="17">
        <f>IF(OR(Log[[#This Row],[Verb]]="done",Log[[#This Row],[Verb]]="punt",Log[[#This Row],[Verb]]="drop",Log[[#This Row],[Verb]]="pass"),Log[[#This Row],[Pts]],0)</f>
      </c>
    </row>
    <row r="107">
      <c r="A107" s="11">
        <v>46090</v>
      </c>
      <c r="B107" t="s">
        <v>183</v>
      </c>
      <c r="C107" t="s">
        <v>41</v>
      </c>
      <c r="F107" s="17">
        <f>IF(Log[[#This Row],[ID]]="","",IF(ISNA(MATCH(Log[[#This Row],[ID]],Items[ID],0)),"unknown ID",IF(ISNA(MATCH(Log[[#This Row],[Verb]],VerbList,0)),"unknown verb",IF(Log[[#This Row],[Date]]="","no date",""))))</f>
      </c>
      <c r="G107" s="17">
        <f>IF(Log[[#This Row],[ID]]="","",IFERROR(VLOOKUP(Log[[#This Row],[Verb]],Verbs,3,FALSE)&amp;"",""))</f>
      </c>
      <c r="H107" s="17">
        <f>IF(Log[[#This Row],[Date]]="","",INT((Log[[#This Row],[Date]]-Sprint1)/SprintDays)+1)</f>
      </c>
      <c r="I107" s="17">
        <f>IF(OR(Log[[#This Row],[Verb]]="commit",Log[[#This Row],[Verb]]="carry",Log[[#This Row],[Verb]]="redo"),IF(Log[[#This Row],[Arg]]="",Log[[#This Row],[Sprint]],N(Log[[#This Row],[Arg]])),"")</f>
      </c>
      <c r="J107" s="17">
        <f>IF(Log[[#This Row],[Verb]]="block",1,IF(OR(Log[[#This Row],[Verb]]="unblock",Log[[#This Row],[Verb]]="done",Log[[#This Row],[Verb]]="drop",Log[[#This Row],[Verb]]="punt",Log[[#This Row],[Verb]]="pass"),0,""))</f>
      </c>
      <c r="K107" s="17">
        <f>IF(Log[[#This Row],[ID]]="",0,IFERROR(INDEX(Items[Pts],MATCH(Log[[#This Row],[ID]],Items[ID],0))*1,0))</f>
      </c>
      <c r="L107" s="17">
        <f>IF(Log[[#This Row],[ID]]="","",IFERROR(INDEX(Items[Cur team],MATCH(Log[[#This Row],[ID]],Items[ID],0))&amp;"",""))</f>
      </c>
      <c r="M107" s="17">
        <f>IF(OR(Log[[#This Row],[Verb]]="done",Log[[#This Row],[Verb]]="punt",Log[[#This Row],[Verb]]="drop",Log[[#This Row],[Verb]]="pass"),Log[[#This Row],[Pts]],0)</f>
      </c>
    </row>
    <row r="108">
      <c r="A108" s="11">
        <v>46090</v>
      </c>
      <c r="B108" t="s">
        <v>184</v>
      </c>
      <c r="C108" t="s">
        <v>41</v>
      </c>
      <c r="F108" s="17">
        <f>IF(Log[[#This Row],[ID]]="","",IF(ISNA(MATCH(Log[[#This Row],[ID]],Items[ID],0)),"unknown ID",IF(ISNA(MATCH(Log[[#This Row],[Verb]],VerbList,0)),"unknown verb",IF(Log[[#This Row],[Date]]="","no date",""))))</f>
      </c>
      <c r="G108" s="17">
        <f>IF(Log[[#This Row],[ID]]="","",IFERROR(VLOOKUP(Log[[#This Row],[Verb]],Verbs,3,FALSE)&amp;"",""))</f>
      </c>
      <c r="H108" s="17">
        <f>IF(Log[[#This Row],[Date]]="","",INT((Log[[#This Row],[Date]]-Sprint1)/SprintDays)+1)</f>
      </c>
      <c r="I108" s="17">
        <f>IF(OR(Log[[#This Row],[Verb]]="commit",Log[[#This Row],[Verb]]="carry",Log[[#This Row],[Verb]]="redo"),IF(Log[[#This Row],[Arg]]="",Log[[#This Row],[Sprint]],N(Log[[#This Row],[Arg]])),"")</f>
      </c>
      <c r="J108" s="17">
        <f>IF(Log[[#This Row],[Verb]]="block",1,IF(OR(Log[[#This Row],[Verb]]="unblock",Log[[#This Row],[Verb]]="done",Log[[#This Row],[Verb]]="drop",Log[[#This Row],[Verb]]="punt",Log[[#This Row],[Verb]]="pass"),0,""))</f>
      </c>
      <c r="K108" s="17">
        <f>IF(Log[[#This Row],[ID]]="",0,IFERROR(INDEX(Items[Pts],MATCH(Log[[#This Row],[ID]],Items[ID],0))*1,0))</f>
      </c>
      <c r="L108" s="17">
        <f>IF(Log[[#This Row],[ID]]="","",IFERROR(INDEX(Items[Cur team],MATCH(Log[[#This Row],[ID]],Items[ID],0))&amp;"",""))</f>
      </c>
      <c r="M108" s="17">
        <f>IF(OR(Log[[#This Row],[Verb]]="done",Log[[#This Row],[Verb]]="punt",Log[[#This Row],[Verb]]="drop",Log[[#This Row],[Verb]]="pass"),Log[[#This Row],[Pts]],0)</f>
      </c>
    </row>
    <row r="109">
      <c r="A109" s="11">
        <v>46090</v>
      </c>
      <c r="B109" t="s">
        <v>185</v>
      </c>
      <c r="C109" t="s">
        <v>41</v>
      </c>
      <c r="F109" s="17">
        <f>IF(Log[[#This Row],[ID]]="","",IF(ISNA(MATCH(Log[[#This Row],[ID]],Items[ID],0)),"unknown ID",IF(ISNA(MATCH(Log[[#This Row],[Verb]],VerbList,0)),"unknown verb",IF(Log[[#This Row],[Date]]="","no date",""))))</f>
      </c>
      <c r="G109" s="17">
        <f>IF(Log[[#This Row],[ID]]="","",IFERROR(VLOOKUP(Log[[#This Row],[Verb]],Verbs,3,FALSE)&amp;"",""))</f>
      </c>
      <c r="H109" s="17">
        <f>IF(Log[[#This Row],[Date]]="","",INT((Log[[#This Row],[Date]]-Sprint1)/SprintDays)+1)</f>
      </c>
      <c r="I109" s="17">
        <f>IF(OR(Log[[#This Row],[Verb]]="commit",Log[[#This Row],[Verb]]="carry",Log[[#This Row],[Verb]]="redo"),IF(Log[[#This Row],[Arg]]="",Log[[#This Row],[Sprint]],N(Log[[#This Row],[Arg]])),"")</f>
      </c>
      <c r="J109" s="17">
        <f>IF(Log[[#This Row],[Verb]]="block",1,IF(OR(Log[[#This Row],[Verb]]="unblock",Log[[#This Row],[Verb]]="done",Log[[#This Row],[Verb]]="drop",Log[[#This Row],[Verb]]="punt",Log[[#This Row],[Verb]]="pass"),0,""))</f>
      </c>
      <c r="K109" s="17">
        <f>IF(Log[[#This Row],[ID]]="",0,IFERROR(INDEX(Items[Pts],MATCH(Log[[#This Row],[ID]],Items[ID],0))*1,0))</f>
      </c>
      <c r="L109" s="17">
        <f>IF(Log[[#This Row],[ID]]="","",IFERROR(INDEX(Items[Cur team],MATCH(Log[[#This Row],[ID]],Items[ID],0))&amp;"",""))</f>
      </c>
      <c r="M109" s="17">
        <f>IF(OR(Log[[#This Row],[Verb]]="done",Log[[#This Row],[Verb]]="punt",Log[[#This Row],[Verb]]="drop",Log[[#This Row],[Verb]]="pass"),Log[[#This Row],[Pts]],0)</f>
      </c>
    </row>
    <row r="110">
      <c r="A110" s="11">
        <v>46090</v>
      </c>
      <c r="B110" t="s">
        <v>186</v>
      </c>
      <c r="C110" t="s">
        <v>38</v>
      </c>
      <c r="D110">
        <v>39</v>
      </c>
      <c r="F110" s="17">
        <f>IF(Log[[#This Row],[ID]]="","",IF(ISNA(MATCH(Log[[#This Row],[ID]],Items[ID],0)),"unknown ID",IF(ISNA(MATCH(Log[[#This Row],[Verb]],VerbList,0)),"unknown verb",IF(Log[[#This Row],[Date]]="","no date",""))))</f>
      </c>
      <c r="G110" s="17">
        <f>IF(Log[[#This Row],[ID]]="","",IFERROR(VLOOKUP(Log[[#This Row],[Verb]],Verbs,3,FALSE)&amp;"",""))</f>
      </c>
      <c r="H110" s="17">
        <f>IF(Log[[#This Row],[Date]]="","",INT((Log[[#This Row],[Date]]-Sprint1)/SprintDays)+1)</f>
      </c>
      <c r="I110" s="17">
        <f>IF(OR(Log[[#This Row],[Verb]]="commit",Log[[#This Row],[Verb]]="carry",Log[[#This Row],[Verb]]="redo"),IF(Log[[#This Row],[Arg]]="",Log[[#This Row],[Sprint]],N(Log[[#This Row],[Arg]])),"")</f>
      </c>
      <c r="J110" s="17">
        <f>IF(Log[[#This Row],[Verb]]="block",1,IF(OR(Log[[#This Row],[Verb]]="unblock",Log[[#This Row],[Verb]]="done",Log[[#This Row],[Verb]]="drop",Log[[#This Row],[Verb]]="punt",Log[[#This Row],[Verb]]="pass"),0,""))</f>
      </c>
      <c r="K110" s="17">
        <f>IF(Log[[#This Row],[ID]]="",0,IFERROR(INDEX(Items[Pts],MATCH(Log[[#This Row],[ID]],Items[ID],0))*1,0))</f>
      </c>
      <c r="L110" s="17">
        <f>IF(Log[[#This Row],[ID]]="","",IFERROR(INDEX(Items[Cur team],MATCH(Log[[#This Row],[ID]],Items[ID],0))&amp;"",""))</f>
      </c>
      <c r="M110" s="17">
        <f>IF(OR(Log[[#This Row],[Verb]]="done",Log[[#This Row],[Verb]]="punt",Log[[#This Row],[Verb]]="drop",Log[[#This Row],[Verb]]="pass"),Log[[#This Row],[Pts]],0)</f>
      </c>
    </row>
    <row r="111">
      <c r="A111" s="11">
        <v>46090</v>
      </c>
      <c r="B111" t="s">
        <v>187</v>
      </c>
      <c r="C111" t="s">
        <v>41</v>
      </c>
      <c r="F111" s="17">
        <f>IF(Log[[#This Row],[ID]]="","",IF(ISNA(MATCH(Log[[#This Row],[ID]],Items[ID],0)),"unknown ID",IF(ISNA(MATCH(Log[[#This Row],[Verb]],VerbList,0)),"unknown verb",IF(Log[[#This Row],[Date]]="","no date",""))))</f>
      </c>
      <c r="G111" s="17">
        <f>IF(Log[[#This Row],[ID]]="","",IFERROR(VLOOKUP(Log[[#This Row],[Verb]],Verbs,3,FALSE)&amp;"",""))</f>
      </c>
      <c r="H111" s="17">
        <f>IF(Log[[#This Row],[Date]]="","",INT((Log[[#This Row],[Date]]-Sprint1)/SprintDays)+1)</f>
      </c>
      <c r="I111" s="17">
        <f>IF(OR(Log[[#This Row],[Verb]]="commit",Log[[#This Row],[Verb]]="carry",Log[[#This Row],[Verb]]="redo"),IF(Log[[#This Row],[Arg]]="",Log[[#This Row],[Sprint]],N(Log[[#This Row],[Arg]])),"")</f>
      </c>
      <c r="J111" s="17">
        <f>IF(Log[[#This Row],[Verb]]="block",1,IF(OR(Log[[#This Row],[Verb]]="unblock",Log[[#This Row],[Verb]]="done",Log[[#This Row],[Verb]]="drop",Log[[#This Row],[Verb]]="punt",Log[[#This Row],[Verb]]="pass"),0,""))</f>
      </c>
      <c r="K111" s="17">
        <f>IF(Log[[#This Row],[ID]]="",0,IFERROR(INDEX(Items[Pts],MATCH(Log[[#This Row],[ID]],Items[ID],0))*1,0))</f>
      </c>
      <c r="L111" s="17">
        <f>IF(Log[[#This Row],[ID]]="","",IFERROR(INDEX(Items[Cur team],MATCH(Log[[#This Row],[ID]],Items[ID],0))&amp;"",""))</f>
      </c>
      <c r="M111" s="17">
        <f>IF(OR(Log[[#This Row],[Verb]]="done",Log[[#This Row],[Verb]]="punt",Log[[#This Row],[Verb]]="drop",Log[[#This Row],[Verb]]="pass"),Log[[#This Row],[Pts]],0)</f>
      </c>
    </row>
    <row r="112">
      <c r="A112" s="11">
        <v>46090</v>
      </c>
      <c r="B112" t="s">
        <v>163</v>
      </c>
      <c r="C112" t="s">
        <v>41</v>
      </c>
      <c r="F112" s="17">
        <f>IF(Log[[#This Row],[ID]]="","",IF(ISNA(MATCH(Log[[#This Row],[ID]],Items[ID],0)),"unknown ID",IF(ISNA(MATCH(Log[[#This Row],[Verb]],VerbList,0)),"unknown verb",IF(Log[[#This Row],[Date]]="","no date",""))))</f>
      </c>
      <c r="G112" s="17">
        <f>IF(Log[[#This Row],[ID]]="","",IFERROR(VLOOKUP(Log[[#This Row],[Verb]],Verbs,3,FALSE)&amp;"",""))</f>
      </c>
      <c r="H112" s="17">
        <f>IF(Log[[#This Row],[Date]]="","",INT((Log[[#This Row],[Date]]-Sprint1)/SprintDays)+1)</f>
      </c>
      <c r="I112" s="17">
        <f>IF(OR(Log[[#This Row],[Verb]]="commit",Log[[#This Row],[Verb]]="carry",Log[[#This Row],[Verb]]="redo"),IF(Log[[#This Row],[Arg]]="",Log[[#This Row],[Sprint]],N(Log[[#This Row],[Arg]])),"")</f>
      </c>
      <c r="J112" s="17">
        <f>IF(Log[[#This Row],[Verb]]="block",1,IF(OR(Log[[#This Row],[Verb]]="unblock",Log[[#This Row],[Verb]]="done",Log[[#This Row],[Verb]]="drop",Log[[#This Row],[Verb]]="punt",Log[[#This Row],[Verb]]="pass"),0,""))</f>
      </c>
      <c r="K112" s="17">
        <f>IF(Log[[#This Row],[ID]]="",0,IFERROR(INDEX(Items[Pts],MATCH(Log[[#This Row],[ID]],Items[ID],0))*1,0))</f>
      </c>
      <c r="L112" s="17">
        <f>IF(Log[[#This Row],[ID]]="","",IFERROR(INDEX(Items[Cur team],MATCH(Log[[#This Row],[ID]],Items[ID],0))&amp;"",""))</f>
      </c>
      <c r="M112" s="17">
        <f>IF(OR(Log[[#This Row],[Verb]]="done",Log[[#This Row],[Verb]]="punt",Log[[#This Row],[Verb]]="drop",Log[[#This Row],[Verb]]="pass"),Log[[#This Row],[Pts]],0)</f>
      </c>
    </row>
    <row r="113">
      <c r="A113" s="11">
        <v>46090</v>
      </c>
      <c r="B113" t="s">
        <v>171</v>
      </c>
      <c r="C113" t="s">
        <v>41</v>
      </c>
      <c r="F113" s="17">
        <f>IF(Log[[#This Row],[ID]]="","",IF(ISNA(MATCH(Log[[#This Row],[ID]],Items[ID],0)),"unknown ID",IF(ISNA(MATCH(Log[[#This Row],[Verb]],VerbList,0)),"unknown verb",IF(Log[[#This Row],[Date]]="","no date",""))))</f>
      </c>
      <c r="G113" s="17">
        <f>IF(Log[[#This Row],[ID]]="","",IFERROR(VLOOKUP(Log[[#This Row],[Verb]],Verbs,3,FALSE)&amp;"",""))</f>
      </c>
      <c r="H113" s="17">
        <f>IF(Log[[#This Row],[Date]]="","",INT((Log[[#This Row],[Date]]-Sprint1)/SprintDays)+1)</f>
      </c>
      <c r="I113" s="17">
        <f>IF(OR(Log[[#This Row],[Verb]]="commit",Log[[#This Row],[Verb]]="carry",Log[[#This Row],[Verb]]="redo"),IF(Log[[#This Row],[Arg]]="",Log[[#This Row],[Sprint]],N(Log[[#This Row],[Arg]])),"")</f>
      </c>
      <c r="J113" s="17">
        <f>IF(Log[[#This Row],[Verb]]="block",1,IF(OR(Log[[#This Row],[Verb]]="unblock",Log[[#This Row],[Verb]]="done",Log[[#This Row],[Verb]]="drop",Log[[#This Row],[Verb]]="punt",Log[[#This Row],[Verb]]="pass"),0,""))</f>
      </c>
      <c r="K113" s="17">
        <f>IF(Log[[#This Row],[ID]]="",0,IFERROR(INDEX(Items[Pts],MATCH(Log[[#This Row],[ID]],Items[ID],0))*1,0))</f>
      </c>
      <c r="L113" s="17">
        <f>IF(Log[[#This Row],[ID]]="","",IFERROR(INDEX(Items[Cur team],MATCH(Log[[#This Row],[ID]],Items[ID],0))&amp;"",""))</f>
      </c>
      <c r="M113" s="17">
        <f>IF(OR(Log[[#This Row],[Verb]]="done",Log[[#This Row],[Verb]]="punt",Log[[#This Row],[Verb]]="drop",Log[[#This Row],[Verb]]="pass"),Log[[#This Row],[Pts]],0)</f>
      </c>
    </row>
    <row r="114">
      <c r="A114" s="11">
        <v>46090</v>
      </c>
      <c r="B114" t="s">
        <v>172</v>
      </c>
      <c r="C114" t="s">
        <v>41</v>
      </c>
      <c r="F114" s="17">
        <f>IF(Log[[#This Row],[ID]]="","",IF(ISNA(MATCH(Log[[#This Row],[ID]],Items[ID],0)),"unknown ID",IF(ISNA(MATCH(Log[[#This Row],[Verb]],VerbList,0)),"unknown verb",IF(Log[[#This Row],[Date]]="","no date",""))))</f>
      </c>
      <c r="G114" s="17">
        <f>IF(Log[[#This Row],[ID]]="","",IFERROR(VLOOKUP(Log[[#This Row],[Verb]],Verbs,3,FALSE)&amp;"",""))</f>
      </c>
      <c r="H114" s="17">
        <f>IF(Log[[#This Row],[Date]]="","",INT((Log[[#This Row],[Date]]-Sprint1)/SprintDays)+1)</f>
      </c>
      <c r="I114" s="17">
        <f>IF(OR(Log[[#This Row],[Verb]]="commit",Log[[#This Row],[Verb]]="carry",Log[[#This Row],[Verb]]="redo"),IF(Log[[#This Row],[Arg]]="",Log[[#This Row],[Sprint]],N(Log[[#This Row],[Arg]])),"")</f>
      </c>
      <c r="J114" s="17">
        <f>IF(Log[[#This Row],[Verb]]="block",1,IF(OR(Log[[#This Row],[Verb]]="unblock",Log[[#This Row],[Verb]]="done",Log[[#This Row],[Verb]]="drop",Log[[#This Row],[Verb]]="punt",Log[[#This Row],[Verb]]="pass"),0,""))</f>
      </c>
      <c r="K114" s="17">
        <f>IF(Log[[#This Row],[ID]]="",0,IFERROR(INDEX(Items[Pts],MATCH(Log[[#This Row],[ID]],Items[ID],0))*1,0))</f>
      </c>
      <c r="L114" s="17">
        <f>IF(Log[[#This Row],[ID]]="","",IFERROR(INDEX(Items[Cur team],MATCH(Log[[#This Row],[ID]],Items[ID],0))&amp;"",""))</f>
      </c>
      <c r="M114" s="17">
        <f>IF(OR(Log[[#This Row],[Verb]]="done",Log[[#This Row],[Verb]]="punt",Log[[#This Row],[Verb]]="drop",Log[[#This Row],[Verb]]="pass"),Log[[#This Row],[Pts]],0)</f>
      </c>
    </row>
    <row r="115">
      <c r="A115" s="11">
        <v>46090</v>
      </c>
      <c r="B115" t="s">
        <v>188</v>
      </c>
      <c r="C115" t="s">
        <v>41</v>
      </c>
      <c r="F115" s="17">
        <f>IF(Log[[#This Row],[ID]]="","",IF(ISNA(MATCH(Log[[#This Row],[ID]],Items[ID],0)),"unknown ID",IF(ISNA(MATCH(Log[[#This Row],[Verb]],VerbList,0)),"unknown verb",IF(Log[[#This Row],[Date]]="","no date",""))))</f>
      </c>
      <c r="G115" s="17">
        <f>IF(Log[[#This Row],[ID]]="","",IFERROR(VLOOKUP(Log[[#This Row],[Verb]],Verbs,3,FALSE)&amp;"",""))</f>
      </c>
      <c r="H115" s="17">
        <f>IF(Log[[#This Row],[Date]]="","",INT((Log[[#This Row],[Date]]-Sprint1)/SprintDays)+1)</f>
      </c>
      <c r="I115" s="17">
        <f>IF(OR(Log[[#This Row],[Verb]]="commit",Log[[#This Row],[Verb]]="carry",Log[[#This Row],[Verb]]="redo"),IF(Log[[#This Row],[Arg]]="",Log[[#This Row],[Sprint]],N(Log[[#This Row],[Arg]])),"")</f>
      </c>
      <c r="J115" s="17">
        <f>IF(Log[[#This Row],[Verb]]="block",1,IF(OR(Log[[#This Row],[Verb]]="unblock",Log[[#This Row],[Verb]]="done",Log[[#This Row],[Verb]]="drop",Log[[#This Row],[Verb]]="punt",Log[[#This Row],[Verb]]="pass"),0,""))</f>
      </c>
      <c r="K115" s="17">
        <f>IF(Log[[#This Row],[ID]]="",0,IFERROR(INDEX(Items[Pts],MATCH(Log[[#This Row],[ID]],Items[ID],0))*1,0))</f>
      </c>
      <c r="L115" s="17">
        <f>IF(Log[[#This Row],[ID]]="","",IFERROR(INDEX(Items[Cur team],MATCH(Log[[#This Row],[ID]],Items[ID],0))&amp;"",""))</f>
      </c>
      <c r="M115" s="17">
        <f>IF(OR(Log[[#This Row],[Verb]]="done",Log[[#This Row],[Verb]]="punt",Log[[#This Row],[Verb]]="drop",Log[[#This Row],[Verb]]="pass"),Log[[#This Row],[Pts]],0)</f>
      </c>
    </row>
    <row r="116">
      <c r="A116" s="11">
        <v>46090</v>
      </c>
      <c r="B116" t="s">
        <v>189</v>
      </c>
      <c r="C116" t="s">
        <v>41</v>
      </c>
      <c r="F116" s="17">
        <f>IF(Log[[#This Row],[ID]]="","",IF(ISNA(MATCH(Log[[#This Row],[ID]],Items[ID],0)),"unknown ID",IF(ISNA(MATCH(Log[[#This Row],[Verb]],VerbList,0)),"unknown verb",IF(Log[[#This Row],[Date]]="","no date",""))))</f>
      </c>
      <c r="G116" s="17">
        <f>IF(Log[[#This Row],[ID]]="","",IFERROR(VLOOKUP(Log[[#This Row],[Verb]],Verbs,3,FALSE)&amp;"",""))</f>
      </c>
      <c r="H116" s="17">
        <f>IF(Log[[#This Row],[Date]]="","",INT((Log[[#This Row],[Date]]-Sprint1)/SprintDays)+1)</f>
      </c>
      <c r="I116" s="17">
        <f>IF(OR(Log[[#This Row],[Verb]]="commit",Log[[#This Row],[Verb]]="carry",Log[[#This Row],[Verb]]="redo"),IF(Log[[#This Row],[Arg]]="",Log[[#This Row],[Sprint]],N(Log[[#This Row],[Arg]])),"")</f>
      </c>
      <c r="J116" s="17">
        <f>IF(Log[[#This Row],[Verb]]="block",1,IF(OR(Log[[#This Row],[Verb]]="unblock",Log[[#This Row],[Verb]]="done",Log[[#This Row],[Verb]]="drop",Log[[#This Row],[Verb]]="punt",Log[[#This Row],[Verb]]="pass"),0,""))</f>
      </c>
      <c r="K116" s="17">
        <f>IF(Log[[#This Row],[ID]]="",0,IFERROR(INDEX(Items[Pts],MATCH(Log[[#This Row],[ID]],Items[ID],0))*1,0))</f>
      </c>
      <c r="L116" s="17">
        <f>IF(Log[[#This Row],[ID]]="","",IFERROR(INDEX(Items[Cur team],MATCH(Log[[#This Row],[ID]],Items[ID],0))&amp;"",""))</f>
      </c>
      <c r="M116" s="17">
        <f>IF(OR(Log[[#This Row],[Verb]]="done",Log[[#This Row],[Verb]]="punt",Log[[#This Row],[Verb]]="drop",Log[[#This Row],[Verb]]="pass"),Log[[#This Row],[Pts]],0)</f>
      </c>
    </row>
    <row r="117">
      <c r="A117" s="11">
        <v>46090</v>
      </c>
      <c r="B117" t="s">
        <v>190</v>
      </c>
      <c r="C117" t="s">
        <v>38</v>
      </c>
      <c r="D117">
        <v>39</v>
      </c>
      <c r="F117" s="17">
        <f>IF(Log[[#This Row],[ID]]="","",IF(ISNA(MATCH(Log[[#This Row],[ID]],Items[ID],0)),"unknown ID",IF(ISNA(MATCH(Log[[#This Row],[Verb]],VerbList,0)),"unknown verb",IF(Log[[#This Row],[Date]]="","no date",""))))</f>
      </c>
      <c r="G117" s="17">
        <f>IF(Log[[#This Row],[ID]]="","",IFERROR(VLOOKUP(Log[[#This Row],[Verb]],Verbs,3,FALSE)&amp;"",""))</f>
      </c>
      <c r="H117" s="17">
        <f>IF(Log[[#This Row],[Date]]="","",INT((Log[[#This Row],[Date]]-Sprint1)/SprintDays)+1)</f>
      </c>
      <c r="I117" s="17">
        <f>IF(OR(Log[[#This Row],[Verb]]="commit",Log[[#This Row],[Verb]]="carry",Log[[#This Row],[Verb]]="redo"),IF(Log[[#This Row],[Arg]]="",Log[[#This Row],[Sprint]],N(Log[[#This Row],[Arg]])),"")</f>
      </c>
      <c r="J117" s="17">
        <f>IF(Log[[#This Row],[Verb]]="block",1,IF(OR(Log[[#This Row],[Verb]]="unblock",Log[[#This Row],[Verb]]="done",Log[[#This Row],[Verb]]="drop",Log[[#This Row],[Verb]]="punt",Log[[#This Row],[Verb]]="pass"),0,""))</f>
      </c>
      <c r="K117" s="17">
        <f>IF(Log[[#This Row],[ID]]="",0,IFERROR(INDEX(Items[Pts],MATCH(Log[[#This Row],[ID]],Items[ID],0))*1,0))</f>
      </c>
      <c r="L117" s="17">
        <f>IF(Log[[#This Row],[ID]]="","",IFERROR(INDEX(Items[Cur team],MATCH(Log[[#This Row],[ID]],Items[ID],0))&amp;"",""))</f>
      </c>
      <c r="M117" s="17">
        <f>IF(OR(Log[[#This Row],[Verb]]="done",Log[[#This Row],[Verb]]="punt",Log[[#This Row],[Verb]]="drop",Log[[#This Row],[Verb]]="pass"),Log[[#This Row],[Pts]],0)</f>
      </c>
    </row>
    <row r="118">
      <c r="A118" s="11">
        <v>46090</v>
      </c>
      <c r="B118" t="s">
        <v>191</v>
      </c>
      <c r="C118" t="s">
        <v>41</v>
      </c>
      <c r="F118" s="17">
        <f>IF(Log[[#This Row],[ID]]="","",IF(ISNA(MATCH(Log[[#This Row],[ID]],Items[ID],0)),"unknown ID",IF(ISNA(MATCH(Log[[#This Row],[Verb]],VerbList,0)),"unknown verb",IF(Log[[#This Row],[Date]]="","no date",""))))</f>
      </c>
      <c r="G118" s="17">
        <f>IF(Log[[#This Row],[ID]]="","",IFERROR(VLOOKUP(Log[[#This Row],[Verb]],Verbs,3,FALSE)&amp;"",""))</f>
      </c>
      <c r="H118" s="17">
        <f>IF(Log[[#This Row],[Date]]="","",INT((Log[[#This Row],[Date]]-Sprint1)/SprintDays)+1)</f>
      </c>
      <c r="I118" s="17">
        <f>IF(OR(Log[[#This Row],[Verb]]="commit",Log[[#This Row],[Verb]]="carry",Log[[#This Row],[Verb]]="redo"),IF(Log[[#This Row],[Arg]]="",Log[[#This Row],[Sprint]],N(Log[[#This Row],[Arg]])),"")</f>
      </c>
      <c r="J118" s="17">
        <f>IF(Log[[#This Row],[Verb]]="block",1,IF(OR(Log[[#This Row],[Verb]]="unblock",Log[[#This Row],[Verb]]="done",Log[[#This Row],[Verb]]="drop",Log[[#This Row],[Verb]]="punt",Log[[#This Row],[Verb]]="pass"),0,""))</f>
      </c>
      <c r="K118" s="17">
        <f>IF(Log[[#This Row],[ID]]="",0,IFERROR(INDEX(Items[Pts],MATCH(Log[[#This Row],[ID]],Items[ID],0))*1,0))</f>
      </c>
      <c r="L118" s="17">
        <f>IF(Log[[#This Row],[ID]]="","",IFERROR(INDEX(Items[Cur team],MATCH(Log[[#This Row],[ID]],Items[ID],0))&amp;"",""))</f>
      </c>
      <c r="M118" s="17">
        <f>IF(OR(Log[[#This Row],[Verb]]="done",Log[[#This Row],[Verb]]="punt",Log[[#This Row],[Verb]]="drop",Log[[#This Row],[Verb]]="pass"),Log[[#This Row],[Pts]],0)</f>
      </c>
    </row>
    <row r="119">
      <c r="A119" s="11">
        <v>46090</v>
      </c>
      <c r="B119" t="s">
        <v>192</v>
      </c>
      <c r="C119" t="s">
        <v>41</v>
      </c>
      <c r="F119" s="17">
        <f>IF(Log[[#This Row],[ID]]="","",IF(ISNA(MATCH(Log[[#This Row],[ID]],Items[ID],0)),"unknown ID",IF(ISNA(MATCH(Log[[#This Row],[Verb]],VerbList,0)),"unknown verb",IF(Log[[#This Row],[Date]]="","no date",""))))</f>
      </c>
      <c r="G119" s="17">
        <f>IF(Log[[#This Row],[ID]]="","",IFERROR(VLOOKUP(Log[[#This Row],[Verb]],Verbs,3,FALSE)&amp;"",""))</f>
      </c>
      <c r="H119" s="17">
        <f>IF(Log[[#This Row],[Date]]="","",INT((Log[[#This Row],[Date]]-Sprint1)/SprintDays)+1)</f>
      </c>
      <c r="I119" s="17">
        <f>IF(OR(Log[[#This Row],[Verb]]="commit",Log[[#This Row],[Verb]]="carry",Log[[#This Row],[Verb]]="redo"),IF(Log[[#This Row],[Arg]]="",Log[[#This Row],[Sprint]],N(Log[[#This Row],[Arg]])),"")</f>
      </c>
      <c r="J119" s="17">
        <f>IF(Log[[#This Row],[Verb]]="block",1,IF(OR(Log[[#This Row],[Verb]]="unblock",Log[[#This Row],[Verb]]="done",Log[[#This Row],[Verb]]="drop",Log[[#This Row],[Verb]]="punt",Log[[#This Row],[Verb]]="pass"),0,""))</f>
      </c>
      <c r="K119" s="17">
        <f>IF(Log[[#This Row],[ID]]="",0,IFERROR(INDEX(Items[Pts],MATCH(Log[[#This Row],[ID]],Items[ID],0))*1,0))</f>
      </c>
      <c r="L119" s="17">
        <f>IF(Log[[#This Row],[ID]]="","",IFERROR(INDEX(Items[Cur team],MATCH(Log[[#This Row],[ID]],Items[ID],0))&amp;"",""))</f>
      </c>
      <c r="M119" s="17">
        <f>IF(OR(Log[[#This Row],[Verb]]="done",Log[[#This Row],[Verb]]="punt",Log[[#This Row],[Verb]]="drop",Log[[#This Row],[Verb]]="pass"),Log[[#This Row],[Pts]],0)</f>
      </c>
    </row>
    <row r="120">
      <c r="A120" s="11">
        <v>46090</v>
      </c>
      <c r="B120" t="s">
        <v>164</v>
      </c>
      <c r="C120" t="s">
        <v>38</v>
      </c>
      <c r="D120">
        <v>39</v>
      </c>
      <c r="F120" s="17">
        <f>IF(Log[[#This Row],[ID]]="","",IF(ISNA(MATCH(Log[[#This Row],[ID]],Items[ID],0)),"unknown ID",IF(ISNA(MATCH(Log[[#This Row],[Verb]],VerbList,0)),"unknown verb",IF(Log[[#This Row],[Date]]="","no date",""))))</f>
      </c>
      <c r="G120" s="17">
        <f>IF(Log[[#This Row],[ID]]="","",IFERROR(VLOOKUP(Log[[#This Row],[Verb]],Verbs,3,FALSE)&amp;"",""))</f>
      </c>
      <c r="H120" s="17">
        <f>IF(Log[[#This Row],[Date]]="","",INT((Log[[#This Row],[Date]]-Sprint1)/SprintDays)+1)</f>
      </c>
      <c r="I120" s="17">
        <f>IF(OR(Log[[#This Row],[Verb]]="commit",Log[[#This Row],[Verb]]="carry",Log[[#This Row],[Verb]]="redo"),IF(Log[[#This Row],[Arg]]="",Log[[#This Row],[Sprint]],N(Log[[#This Row],[Arg]])),"")</f>
      </c>
      <c r="J120" s="17">
        <f>IF(Log[[#This Row],[Verb]]="block",1,IF(OR(Log[[#This Row],[Verb]]="unblock",Log[[#This Row],[Verb]]="done",Log[[#This Row],[Verb]]="drop",Log[[#This Row],[Verb]]="punt",Log[[#This Row],[Verb]]="pass"),0,""))</f>
      </c>
      <c r="K120" s="17">
        <f>IF(Log[[#This Row],[ID]]="",0,IFERROR(INDEX(Items[Pts],MATCH(Log[[#This Row],[ID]],Items[ID],0))*1,0))</f>
      </c>
      <c r="L120" s="17">
        <f>IF(Log[[#This Row],[ID]]="","",IFERROR(INDEX(Items[Cur team],MATCH(Log[[#This Row],[ID]],Items[ID],0))&amp;"",""))</f>
      </c>
      <c r="M120" s="17">
        <f>IF(OR(Log[[#This Row],[Verb]]="done",Log[[#This Row],[Verb]]="punt",Log[[#This Row],[Verb]]="drop",Log[[#This Row],[Verb]]="pass"),Log[[#This Row],[Pts]],0)</f>
      </c>
    </row>
    <row r="121">
      <c r="A121" s="11">
        <v>46090</v>
      </c>
      <c r="B121" t="s">
        <v>165</v>
      </c>
      <c r="C121" t="s">
        <v>41</v>
      </c>
      <c r="F121" s="17">
        <f>IF(Log[[#This Row],[ID]]="","",IF(ISNA(MATCH(Log[[#This Row],[ID]],Items[ID],0)),"unknown ID",IF(ISNA(MATCH(Log[[#This Row],[Verb]],VerbList,0)),"unknown verb",IF(Log[[#This Row],[Date]]="","no date",""))))</f>
      </c>
      <c r="G121" s="17">
        <f>IF(Log[[#This Row],[ID]]="","",IFERROR(VLOOKUP(Log[[#This Row],[Verb]],Verbs,3,FALSE)&amp;"",""))</f>
      </c>
      <c r="H121" s="17">
        <f>IF(Log[[#This Row],[Date]]="","",INT((Log[[#This Row],[Date]]-Sprint1)/SprintDays)+1)</f>
      </c>
      <c r="I121" s="17">
        <f>IF(OR(Log[[#This Row],[Verb]]="commit",Log[[#This Row],[Verb]]="carry",Log[[#This Row],[Verb]]="redo"),IF(Log[[#This Row],[Arg]]="",Log[[#This Row],[Sprint]],N(Log[[#This Row],[Arg]])),"")</f>
      </c>
      <c r="J121" s="17">
        <f>IF(Log[[#This Row],[Verb]]="block",1,IF(OR(Log[[#This Row],[Verb]]="unblock",Log[[#This Row],[Verb]]="done",Log[[#This Row],[Verb]]="drop",Log[[#This Row],[Verb]]="punt",Log[[#This Row],[Verb]]="pass"),0,""))</f>
      </c>
      <c r="K121" s="17">
        <f>IF(Log[[#This Row],[ID]]="",0,IFERROR(INDEX(Items[Pts],MATCH(Log[[#This Row],[ID]],Items[ID],0))*1,0))</f>
      </c>
      <c r="L121" s="17">
        <f>IF(Log[[#This Row],[ID]]="","",IFERROR(INDEX(Items[Cur team],MATCH(Log[[#This Row],[ID]],Items[ID],0))&amp;"",""))</f>
      </c>
      <c r="M121" s="17">
        <f>IF(OR(Log[[#This Row],[Verb]]="done",Log[[#This Row],[Verb]]="punt",Log[[#This Row],[Verb]]="drop",Log[[#This Row],[Verb]]="pass"),Log[[#This Row],[Pts]],0)</f>
      </c>
    </row>
    <row r="122">
      <c r="A122" s="11">
        <v>46090</v>
      </c>
      <c r="B122" t="s">
        <v>173</v>
      </c>
      <c r="C122" t="s">
        <v>41</v>
      </c>
      <c r="F122" s="17">
        <f>IF(Log[[#This Row],[ID]]="","",IF(ISNA(MATCH(Log[[#This Row],[ID]],Items[ID],0)),"unknown ID",IF(ISNA(MATCH(Log[[#This Row],[Verb]],VerbList,0)),"unknown verb",IF(Log[[#This Row],[Date]]="","no date",""))))</f>
      </c>
      <c r="G122" s="17">
        <f>IF(Log[[#This Row],[ID]]="","",IFERROR(VLOOKUP(Log[[#This Row],[Verb]],Verbs,3,FALSE)&amp;"",""))</f>
      </c>
      <c r="H122" s="17">
        <f>IF(Log[[#This Row],[Date]]="","",INT((Log[[#This Row],[Date]]-Sprint1)/SprintDays)+1)</f>
      </c>
      <c r="I122" s="17">
        <f>IF(OR(Log[[#This Row],[Verb]]="commit",Log[[#This Row],[Verb]]="carry",Log[[#This Row],[Verb]]="redo"),IF(Log[[#This Row],[Arg]]="",Log[[#This Row],[Sprint]],N(Log[[#This Row],[Arg]])),"")</f>
      </c>
      <c r="J122" s="17">
        <f>IF(Log[[#This Row],[Verb]]="block",1,IF(OR(Log[[#This Row],[Verb]]="unblock",Log[[#This Row],[Verb]]="done",Log[[#This Row],[Verb]]="drop",Log[[#This Row],[Verb]]="punt",Log[[#This Row],[Verb]]="pass"),0,""))</f>
      </c>
      <c r="K122" s="17">
        <f>IF(Log[[#This Row],[ID]]="",0,IFERROR(INDEX(Items[Pts],MATCH(Log[[#This Row],[ID]],Items[ID],0))*1,0))</f>
      </c>
      <c r="L122" s="17">
        <f>IF(Log[[#This Row],[ID]]="","",IFERROR(INDEX(Items[Cur team],MATCH(Log[[#This Row],[ID]],Items[ID],0))&amp;"",""))</f>
      </c>
      <c r="M122" s="17">
        <f>IF(OR(Log[[#This Row],[Verb]]="done",Log[[#This Row],[Verb]]="punt",Log[[#This Row],[Verb]]="drop",Log[[#This Row],[Verb]]="pass"),Log[[#This Row],[Pts]],0)</f>
      </c>
    </row>
    <row r="123">
      <c r="A123" s="11">
        <v>46090</v>
      </c>
      <c r="B123" t="s">
        <v>194</v>
      </c>
      <c r="C123" t="s">
        <v>41</v>
      </c>
      <c r="F123" s="17">
        <f>IF(Log[[#This Row],[ID]]="","",IF(ISNA(MATCH(Log[[#This Row],[ID]],Items[ID],0)),"unknown ID",IF(ISNA(MATCH(Log[[#This Row],[Verb]],VerbList,0)),"unknown verb",IF(Log[[#This Row],[Date]]="","no date",""))))</f>
      </c>
      <c r="G123" s="17">
        <f>IF(Log[[#This Row],[ID]]="","",IFERROR(VLOOKUP(Log[[#This Row],[Verb]],Verbs,3,FALSE)&amp;"",""))</f>
      </c>
      <c r="H123" s="17">
        <f>IF(Log[[#This Row],[Date]]="","",INT((Log[[#This Row],[Date]]-Sprint1)/SprintDays)+1)</f>
      </c>
      <c r="I123" s="17">
        <f>IF(OR(Log[[#This Row],[Verb]]="commit",Log[[#This Row],[Verb]]="carry",Log[[#This Row],[Verb]]="redo"),IF(Log[[#This Row],[Arg]]="",Log[[#This Row],[Sprint]],N(Log[[#This Row],[Arg]])),"")</f>
      </c>
      <c r="J123" s="17">
        <f>IF(Log[[#This Row],[Verb]]="block",1,IF(OR(Log[[#This Row],[Verb]]="unblock",Log[[#This Row],[Verb]]="done",Log[[#This Row],[Verb]]="drop",Log[[#This Row],[Verb]]="punt",Log[[#This Row],[Verb]]="pass"),0,""))</f>
      </c>
      <c r="K123" s="17">
        <f>IF(Log[[#This Row],[ID]]="",0,IFERROR(INDEX(Items[Pts],MATCH(Log[[#This Row],[ID]],Items[ID],0))*1,0))</f>
      </c>
      <c r="L123" s="17">
        <f>IF(Log[[#This Row],[ID]]="","",IFERROR(INDEX(Items[Cur team],MATCH(Log[[#This Row],[ID]],Items[ID],0))&amp;"",""))</f>
      </c>
      <c r="M123" s="17">
        <f>IF(OR(Log[[#This Row],[Verb]]="done",Log[[#This Row],[Verb]]="punt",Log[[#This Row],[Verb]]="drop",Log[[#This Row],[Verb]]="pass"),Log[[#This Row],[Pts]],0)</f>
      </c>
    </row>
    <row r="124">
      <c r="A124" s="11">
        <v>46090</v>
      </c>
      <c r="B124" t="s">
        <v>195</v>
      </c>
      <c r="C124" t="s">
        <v>41</v>
      </c>
      <c r="F124" s="17">
        <f>IF(Log[[#This Row],[ID]]="","",IF(ISNA(MATCH(Log[[#This Row],[ID]],Items[ID],0)),"unknown ID",IF(ISNA(MATCH(Log[[#This Row],[Verb]],VerbList,0)),"unknown verb",IF(Log[[#This Row],[Date]]="","no date",""))))</f>
      </c>
      <c r="G124" s="17">
        <f>IF(Log[[#This Row],[ID]]="","",IFERROR(VLOOKUP(Log[[#This Row],[Verb]],Verbs,3,FALSE)&amp;"",""))</f>
      </c>
      <c r="H124" s="17">
        <f>IF(Log[[#This Row],[Date]]="","",INT((Log[[#This Row],[Date]]-Sprint1)/SprintDays)+1)</f>
      </c>
      <c r="I124" s="17">
        <f>IF(OR(Log[[#This Row],[Verb]]="commit",Log[[#This Row],[Verb]]="carry",Log[[#This Row],[Verb]]="redo"),IF(Log[[#This Row],[Arg]]="",Log[[#This Row],[Sprint]],N(Log[[#This Row],[Arg]])),"")</f>
      </c>
      <c r="J124" s="17">
        <f>IF(Log[[#This Row],[Verb]]="block",1,IF(OR(Log[[#This Row],[Verb]]="unblock",Log[[#This Row],[Verb]]="done",Log[[#This Row],[Verb]]="drop",Log[[#This Row],[Verb]]="punt",Log[[#This Row],[Verb]]="pass"),0,""))</f>
      </c>
      <c r="K124" s="17">
        <f>IF(Log[[#This Row],[ID]]="",0,IFERROR(INDEX(Items[Pts],MATCH(Log[[#This Row],[ID]],Items[ID],0))*1,0))</f>
      </c>
      <c r="L124" s="17">
        <f>IF(Log[[#This Row],[ID]]="","",IFERROR(INDEX(Items[Cur team],MATCH(Log[[#This Row],[ID]],Items[ID],0))&amp;"",""))</f>
      </c>
      <c r="M124" s="17">
        <f>IF(OR(Log[[#This Row],[Verb]]="done",Log[[#This Row],[Verb]]="punt",Log[[#This Row],[Verb]]="drop",Log[[#This Row],[Verb]]="pass"),Log[[#This Row],[Pts]],0)</f>
      </c>
    </row>
    <row r="125">
      <c r="A125" s="11">
        <v>46090</v>
      </c>
      <c r="B125" t="s">
        <v>196</v>
      </c>
      <c r="C125" t="s">
        <v>41</v>
      </c>
      <c r="F125" s="17">
        <f>IF(Log[[#This Row],[ID]]="","",IF(ISNA(MATCH(Log[[#This Row],[ID]],Items[ID],0)),"unknown ID",IF(ISNA(MATCH(Log[[#This Row],[Verb]],VerbList,0)),"unknown verb",IF(Log[[#This Row],[Date]]="","no date",""))))</f>
      </c>
      <c r="G125" s="17">
        <f>IF(Log[[#This Row],[ID]]="","",IFERROR(VLOOKUP(Log[[#This Row],[Verb]],Verbs,3,FALSE)&amp;"",""))</f>
      </c>
      <c r="H125" s="17">
        <f>IF(Log[[#This Row],[Date]]="","",INT((Log[[#This Row],[Date]]-Sprint1)/SprintDays)+1)</f>
      </c>
      <c r="I125" s="17">
        <f>IF(OR(Log[[#This Row],[Verb]]="commit",Log[[#This Row],[Verb]]="carry",Log[[#This Row],[Verb]]="redo"),IF(Log[[#This Row],[Arg]]="",Log[[#This Row],[Sprint]],N(Log[[#This Row],[Arg]])),"")</f>
      </c>
      <c r="J125" s="17">
        <f>IF(Log[[#This Row],[Verb]]="block",1,IF(OR(Log[[#This Row],[Verb]]="unblock",Log[[#This Row],[Verb]]="done",Log[[#This Row],[Verb]]="drop",Log[[#This Row],[Verb]]="punt",Log[[#This Row],[Verb]]="pass"),0,""))</f>
      </c>
      <c r="K125" s="17">
        <f>IF(Log[[#This Row],[ID]]="",0,IFERROR(INDEX(Items[Pts],MATCH(Log[[#This Row],[ID]],Items[ID],0))*1,0))</f>
      </c>
      <c r="L125" s="17">
        <f>IF(Log[[#This Row],[ID]]="","",IFERROR(INDEX(Items[Cur team],MATCH(Log[[#This Row],[ID]],Items[ID],0))&amp;"",""))</f>
      </c>
      <c r="M125" s="17">
        <f>IF(OR(Log[[#This Row],[Verb]]="done",Log[[#This Row],[Verb]]="punt",Log[[#This Row],[Verb]]="drop",Log[[#This Row],[Verb]]="pass"),Log[[#This Row],[Pts]],0)</f>
      </c>
    </row>
    <row r="126">
      <c r="A126" s="11">
        <v>46090</v>
      </c>
      <c r="B126" t="s">
        <v>197</v>
      </c>
      <c r="C126" t="s">
        <v>41</v>
      </c>
      <c r="F126" s="17">
        <f>IF(Log[[#This Row],[ID]]="","",IF(ISNA(MATCH(Log[[#This Row],[ID]],Items[ID],0)),"unknown ID",IF(ISNA(MATCH(Log[[#This Row],[Verb]],VerbList,0)),"unknown verb",IF(Log[[#This Row],[Date]]="","no date",""))))</f>
      </c>
      <c r="G126" s="17">
        <f>IF(Log[[#This Row],[ID]]="","",IFERROR(VLOOKUP(Log[[#This Row],[Verb]],Verbs,3,FALSE)&amp;"",""))</f>
      </c>
      <c r="H126" s="17">
        <f>IF(Log[[#This Row],[Date]]="","",INT((Log[[#This Row],[Date]]-Sprint1)/SprintDays)+1)</f>
      </c>
      <c r="I126" s="17">
        <f>IF(OR(Log[[#This Row],[Verb]]="commit",Log[[#This Row],[Verb]]="carry",Log[[#This Row],[Verb]]="redo"),IF(Log[[#This Row],[Arg]]="",Log[[#This Row],[Sprint]],N(Log[[#This Row],[Arg]])),"")</f>
      </c>
      <c r="J126" s="17">
        <f>IF(Log[[#This Row],[Verb]]="block",1,IF(OR(Log[[#This Row],[Verb]]="unblock",Log[[#This Row],[Verb]]="done",Log[[#This Row],[Verb]]="drop",Log[[#This Row],[Verb]]="punt",Log[[#This Row],[Verb]]="pass"),0,""))</f>
      </c>
      <c r="K126" s="17">
        <f>IF(Log[[#This Row],[ID]]="",0,IFERROR(INDEX(Items[Pts],MATCH(Log[[#This Row],[ID]],Items[ID],0))*1,0))</f>
      </c>
      <c r="L126" s="17">
        <f>IF(Log[[#This Row],[ID]]="","",IFERROR(INDEX(Items[Cur team],MATCH(Log[[#This Row],[ID]],Items[ID],0))&amp;"",""))</f>
      </c>
      <c r="M126" s="17">
        <f>IF(OR(Log[[#This Row],[Verb]]="done",Log[[#This Row],[Verb]]="punt",Log[[#This Row],[Verb]]="drop",Log[[#This Row],[Verb]]="pass"),Log[[#This Row],[Pts]],0)</f>
      </c>
    </row>
    <row r="127">
      <c r="A127" s="11">
        <v>46090</v>
      </c>
      <c r="B127" t="s">
        <v>198</v>
      </c>
      <c r="C127" t="s">
        <v>38</v>
      </c>
      <c r="D127">
        <v>39</v>
      </c>
      <c r="F127" s="17">
        <f>IF(Log[[#This Row],[ID]]="","",IF(ISNA(MATCH(Log[[#This Row],[ID]],Items[ID],0)),"unknown ID",IF(ISNA(MATCH(Log[[#This Row],[Verb]],VerbList,0)),"unknown verb",IF(Log[[#This Row],[Date]]="","no date",""))))</f>
      </c>
      <c r="G127" s="17">
        <f>IF(Log[[#This Row],[ID]]="","",IFERROR(VLOOKUP(Log[[#This Row],[Verb]],Verbs,3,FALSE)&amp;"",""))</f>
      </c>
      <c r="H127" s="17">
        <f>IF(Log[[#This Row],[Date]]="","",INT((Log[[#This Row],[Date]]-Sprint1)/SprintDays)+1)</f>
      </c>
      <c r="I127" s="17">
        <f>IF(OR(Log[[#This Row],[Verb]]="commit",Log[[#This Row],[Verb]]="carry",Log[[#This Row],[Verb]]="redo"),IF(Log[[#This Row],[Arg]]="",Log[[#This Row],[Sprint]],N(Log[[#This Row],[Arg]])),"")</f>
      </c>
      <c r="J127" s="17">
        <f>IF(Log[[#This Row],[Verb]]="block",1,IF(OR(Log[[#This Row],[Verb]]="unblock",Log[[#This Row],[Verb]]="done",Log[[#This Row],[Verb]]="drop",Log[[#This Row],[Verb]]="punt",Log[[#This Row],[Verb]]="pass"),0,""))</f>
      </c>
      <c r="K127" s="17">
        <f>IF(Log[[#This Row],[ID]]="",0,IFERROR(INDEX(Items[Pts],MATCH(Log[[#This Row],[ID]],Items[ID],0))*1,0))</f>
      </c>
      <c r="L127" s="17">
        <f>IF(Log[[#This Row],[ID]]="","",IFERROR(INDEX(Items[Cur team],MATCH(Log[[#This Row],[ID]],Items[ID],0))&amp;"",""))</f>
      </c>
      <c r="M127" s="17">
        <f>IF(OR(Log[[#This Row],[Verb]]="done",Log[[#This Row],[Verb]]="punt",Log[[#This Row],[Verb]]="drop",Log[[#This Row],[Verb]]="pass"),Log[[#This Row],[Pts]],0)</f>
      </c>
    </row>
    <row r="128">
      <c r="A128" s="11">
        <v>46090</v>
      </c>
      <c r="B128" t="s">
        <v>199</v>
      </c>
      <c r="C128" t="s">
        <v>41</v>
      </c>
      <c r="F128" s="17">
        <f>IF(Log[[#This Row],[ID]]="","",IF(ISNA(MATCH(Log[[#This Row],[ID]],Items[ID],0)),"unknown ID",IF(ISNA(MATCH(Log[[#This Row],[Verb]],VerbList,0)),"unknown verb",IF(Log[[#This Row],[Date]]="","no date",""))))</f>
      </c>
      <c r="G128" s="17">
        <f>IF(Log[[#This Row],[ID]]="","",IFERROR(VLOOKUP(Log[[#This Row],[Verb]],Verbs,3,FALSE)&amp;"",""))</f>
      </c>
      <c r="H128" s="17">
        <f>IF(Log[[#This Row],[Date]]="","",INT((Log[[#This Row],[Date]]-Sprint1)/SprintDays)+1)</f>
      </c>
      <c r="I128" s="17">
        <f>IF(OR(Log[[#This Row],[Verb]]="commit",Log[[#This Row],[Verb]]="carry",Log[[#This Row],[Verb]]="redo"),IF(Log[[#This Row],[Arg]]="",Log[[#This Row],[Sprint]],N(Log[[#This Row],[Arg]])),"")</f>
      </c>
      <c r="J128" s="17">
        <f>IF(Log[[#This Row],[Verb]]="block",1,IF(OR(Log[[#This Row],[Verb]]="unblock",Log[[#This Row],[Verb]]="done",Log[[#This Row],[Verb]]="drop",Log[[#This Row],[Verb]]="punt",Log[[#This Row],[Verb]]="pass"),0,""))</f>
      </c>
      <c r="K128" s="17">
        <f>IF(Log[[#This Row],[ID]]="",0,IFERROR(INDEX(Items[Pts],MATCH(Log[[#This Row],[ID]],Items[ID],0))*1,0))</f>
      </c>
      <c r="L128" s="17">
        <f>IF(Log[[#This Row],[ID]]="","",IFERROR(INDEX(Items[Cur team],MATCH(Log[[#This Row],[ID]],Items[ID],0))&amp;"",""))</f>
      </c>
      <c r="M128" s="17">
        <f>IF(OR(Log[[#This Row],[Verb]]="done",Log[[#This Row],[Verb]]="punt",Log[[#This Row],[Verb]]="drop",Log[[#This Row],[Verb]]="pass"),Log[[#This Row],[Pts]],0)</f>
      </c>
    </row>
    <row r="129">
      <c r="A129" s="11">
        <v>46090</v>
      </c>
      <c r="B129" t="s">
        <v>174</v>
      </c>
      <c r="C129" t="s">
        <v>41</v>
      </c>
      <c r="F129" s="17">
        <f>IF(Log[[#This Row],[ID]]="","",IF(ISNA(MATCH(Log[[#This Row],[ID]],Items[ID],0)),"unknown ID",IF(ISNA(MATCH(Log[[#This Row],[Verb]],VerbList,0)),"unknown verb",IF(Log[[#This Row],[Date]]="","no date",""))))</f>
      </c>
      <c r="G129" s="17">
        <f>IF(Log[[#This Row],[ID]]="","",IFERROR(VLOOKUP(Log[[#This Row],[Verb]],Verbs,3,FALSE)&amp;"",""))</f>
      </c>
      <c r="H129" s="17">
        <f>IF(Log[[#This Row],[Date]]="","",INT((Log[[#This Row],[Date]]-Sprint1)/SprintDays)+1)</f>
      </c>
      <c r="I129" s="17">
        <f>IF(OR(Log[[#This Row],[Verb]]="commit",Log[[#This Row],[Verb]]="carry",Log[[#This Row],[Verb]]="redo"),IF(Log[[#This Row],[Arg]]="",Log[[#This Row],[Sprint]],N(Log[[#This Row],[Arg]])),"")</f>
      </c>
      <c r="J129" s="17">
        <f>IF(Log[[#This Row],[Verb]]="block",1,IF(OR(Log[[#This Row],[Verb]]="unblock",Log[[#This Row],[Verb]]="done",Log[[#This Row],[Verb]]="drop",Log[[#This Row],[Verb]]="punt",Log[[#This Row],[Verb]]="pass"),0,""))</f>
      </c>
      <c r="K129" s="17">
        <f>IF(Log[[#This Row],[ID]]="",0,IFERROR(INDEX(Items[Pts],MATCH(Log[[#This Row],[ID]],Items[ID],0))*1,0))</f>
      </c>
      <c r="L129" s="17">
        <f>IF(Log[[#This Row],[ID]]="","",IFERROR(INDEX(Items[Cur team],MATCH(Log[[#This Row],[ID]],Items[ID],0))&amp;"",""))</f>
      </c>
      <c r="M129" s="17">
        <f>IF(OR(Log[[#This Row],[Verb]]="done",Log[[#This Row],[Verb]]="punt",Log[[#This Row],[Verb]]="drop",Log[[#This Row],[Verb]]="pass"),Log[[#This Row],[Pts]],0)</f>
      </c>
    </row>
    <row r="130">
      <c r="A130" s="11">
        <v>46090</v>
      </c>
      <c r="B130" t="s">
        <v>175</v>
      </c>
      <c r="C130" t="s">
        <v>38</v>
      </c>
      <c r="D130">
        <v>39</v>
      </c>
      <c r="F130" s="17">
        <f>IF(Log[[#This Row],[ID]]="","",IF(ISNA(MATCH(Log[[#This Row],[ID]],Items[ID],0)),"unknown ID",IF(ISNA(MATCH(Log[[#This Row],[Verb]],VerbList,0)),"unknown verb",IF(Log[[#This Row],[Date]]="","no date",""))))</f>
      </c>
      <c r="G130" s="17">
        <f>IF(Log[[#This Row],[ID]]="","",IFERROR(VLOOKUP(Log[[#This Row],[Verb]],Verbs,3,FALSE)&amp;"",""))</f>
      </c>
      <c r="H130" s="17">
        <f>IF(Log[[#This Row],[Date]]="","",INT((Log[[#This Row],[Date]]-Sprint1)/SprintDays)+1)</f>
      </c>
      <c r="I130" s="17">
        <f>IF(OR(Log[[#This Row],[Verb]]="commit",Log[[#This Row],[Verb]]="carry",Log[[#This Row],[Verb]]="redo"),IF(Log[[#This Row],[Arg]]="",Log[[#This Row],[Sprint]],N(Log[[#This Row],[Arg]])),"")</f>
      </c>
      <c r="J130" s="17">
        <f>IF(Log[[#This Row],[Verb]]="block",1,IF(OR(Log[[#This Row],[Verb]]="unblock",Log[[#This Row],[Verb]]="done",Log[[#This Row],[Verb]]="drop",Log[[#This Row],[Verb]]="punt",Log[[#This Row],[Verb]]="pass"),0,""))</f>
      </c>
      <c r="K130" s="17">
        <f>IF(Log[[#This Row],[ID]]="",0,IFERROR(INDEX(Items[Pts],MATCH(Log[[#This Row],[ID]],Items[ID],0))*1,0))</f>
      </c>
      <c r="L130" s="17">
        <f>IF(Log[[#This Row],[ID]]="","",IFERROR(INDEX(Items[Cur team],MATCH(Log[[#This Row],[ID]],Items[ID],0))&amp;"",""))</f>
      </c>
      <c r="M130" s="17">
        <f>IF(OR(Log[[#This Row],[Verb]]="done",Log[[#This Row],[Verb]]="punt",Log[[#This Row],[Verb]]="drop",Log[[#This Row],[Verb]]="pass"),Log[[#This Row],[Pts]],0)</f>
      </c>
    </row>
    <row r="131">
      <c r="A131" s="11">
        <v>46090</v>
      </c>
      <c r="B131" t="s">
        <v>200</v>
      </c>
      <c r="C131" t="s">
        <v>41</v>
      </c>
      <c r="F131" s="17">
        <f>IF(Log[[#This Row],[ID]]="","",IF(ISNA(MATCH(Log[[#This Row],[ID]],Items[ID],0)),"unknown ID",IF(ISNA(MATCH(Log[[#This Row],[Verb]],VerbList,0)),"unknown verb",IF(Log[[#This Row],[Date]]="","no date",""))))</f>
      </c>
      <c r="G131" s="17">
        <f>IF(Log[[#This Row],[ID]]="","",IFERROR(VLOOKUP(Log[[#This Row],[Verb]],Verbs,3,FALSE)&amp;"",""))</f>
      </c>
      <c r="H131" s="17">
        <f>IF(Log[[#This Row],[Date]]="","",INT((Log[[#This Row],[Date]]-Sprint1)/SprintDays)+1)</f>
      </c>
      <c r="I131" s="17">
        <f>IF(OR(Log[[#This Row],[Verb]]="commit",Log[[#This Row],[Verb]]="carry",Log[[#This Row],[Verb]]="redo"),IF(Log[[#This Row],[Arg]]="",Log[[#This Row],[Sprint]],N(Log[[#This Row],[Arg]])),"")</f>
      </c>
      <c r="J131" s="17">
        <f>IF(Log[[#This Row],[Verb]]="block",1,IF(OR(Log[[#This Row],[Verb]]="unblock",Log[[#This Row],[Verb]]="done",Log[[#This Row],[Verb]]="drop",Log[[#This Row],[Verb]]="punt",Log[[#This Row],[Verb]]="pass"),0,""))</f>
      </c>
      <c r="K131" s="17">
        <f>IF(Log[[#This Row],[ID]]="",0,IFERROR(INDEX(Items[Pts],MATCH(Log[[#This Row],[ID]],Items[ID],0))*1,0))</f>
      </c>
      <c r="L131" s="17">
        <f>IF(Log[[#This Row],[ID]]="","",IFERROR(INDEX(Items[Cur team],MATCH(Log[[#This Row],[ID]],Items[ID],0))&amp;"",""))</f>
      </c>
      <c r="M131" s="17">
        <f>IF(OR(Log[[#This Row],[Verb]]="done",Log[[#This Row],[Verb]]="punt",Log[[#This Row],[Verb]]="drop",Log[[#This Row],[Verb]]="pass"),Log[[#This Row],[Pts]],0)</f>
      </c>
    </row>
    <row r="132">
      <c r="A132" s="11">
        <v>46090</v>
      </c>
      <c r="B132" t="s">
        <v>201</v>
      </c>
      <c r="C132" t="s">
        <v>41</v>
      </c>
      <c r="F132" s="17">
        <f>IF(Log[[#This Row],[ID]]="","",IF(ISNA(MATCH(Log[[#This Row],[ID]],Items[ID],0)),"unknown ID",IF(ISNA(MATCH(Log[[#This Row],[Verb]],VerbList,0)),"unknown verb",IF(Log[[#This Row],[Date]]="","no date",""))))</f>
      </c>
      <c r="G132" s="17">
        <f>IF(Log[[#This Row],[ID]]="","",IFERROR(VLOOKUP(Log[[#This Row],[Verb]],Verbs,3,FALSE)&amp;"",""))</f>
      </c>
      <c r="H132" s="17">
        <f>IF(Log[[#This Row],[Date]]="","",INT((Log[[#This Row],[Date]]-Sprint1)/SprintDays)+1)</f>
      </c>
      <c r="I132" s="17">
        <f>IF(OR(Log[[#This Row],[Verb]]="commit",Log[[#This Row],[Verb]]="carry",Log[[#This Row],[Verb]]="redo"),IF(Log[[#This Row],[Arg]]="",Log[[#This Row],[Sprint]],N(Log[[#This Row],[Arg]])),"")</f>
      </c>
      <c r="J132" s="17">
        <f>IF(Log[[#This Row],[Verb]]="block",1,IF(OR(Log[[#This Row],[Verb]]="unblock",Log[[#This Row],[Verb]]="done",Log[[#This Row],[Verb]]="drop",Log[[#This Row],[Verb]]="punt",Log[[#This Row],[Verb]]="pass"),0,""))</f>
      </c>
      <c r="K132" s="17">
        <f>IF(Log[[#This Row],[ID]]="",0,IFERROR(INDEX(Items[Pts],MATCH(Log[[#This Row],[ID]],Items[ID],0))*1,0))</f>
      </c>
      <c r="L132" s="17">
        <f>IF(Log[[#This Row],[ID]]="","",IFERROR(INDEX(Items[Cur team],MATCH(Log[[#This Row],[ID]],Items[ID],0))&amp;"",""))</f>
      </c>
      <c r="M132" s="17">
        <f>IF(OR(Log[[#This Row],[Verb]]="done",Log[[#This Row],[Verb]]="punt",Log[[#This Row],[Verb]]="drop",Log[[#This Row],[Verb]]="pass"),Log[[#This Row],[Pts]],0)</f>
      </c>
    </row>
    <row r="133">
      <c r="A133" s="11">
        <v>46090</v>
      </c>
      <c r="B133" t="s">
        <v>202</v>
      </c>
      <c r="C133" t="s">
        <v>41</v>
      </c>
      <c r="F133" s="17">
        <f>IF(Log[[#This Row],[ID]]="","",IF(ISNA(MATCH(Log[[#This Row],[ID]],Items[ID],0)),"unknown ID",IF(ISNA(MATCH(Log[[#This Row],[Verb]],VerbList,0)),"unknown verb",IF(Log[[#This Row],[Date]]="","no date",""))))</f>
      </c>
      <c r="G133" s="17">
        <f>IF(Log[[#This Row],[ID]]="","",IFERROR(VLOOKUP(Log[[#This Row],[Verb]],Verbs,3,FALSE)&amp;"",""))</f>
      </c>
      <c r="H133" s="17">
        <f>IF(Log[[#This Row],[Date]]="","",INT((Log[[#This Row],[Date]]-Sprint1)/SprintDays)+1)</f>
      </c>
      <c r="I133" s="17">
        <f>IF(OR(Log[[#This Row],[Verb]]="commit",Log[[#This Row],[Verb]]="carry",Log[[#This Row],[Verb]]="redo"),IF(Log[[#This Row],[Arg]]="",Log[[#This Row],[Sprint]],N(Log[[#This Row],[Arg]])),"")</f>
      </c>
      <c r="J133" s="17">
        <f>IF(Log[[#This Row],[Verb]]="block",1,IF(OR(Log[[#This Row],[Verb]]="unblock",Log[[#This Row],[Verb]]="done",Log[[#This Row],[Verb]]="drop",Log[[#This Row],[Verb]]="punt",Log[[#This Row],[Verb]]="pass"),0,""))</f>
      </c>
      <c r="K133" s="17">
        <f>IF(Log[[#This Row],[ID]]="",0,IFERROR(INDEX(Items[Pts],MATCH(Log[[#This Row],[ID]],Items[ID],0))*1,0))</f>
      </c>
      <c r="L133" s="17">
        <f>IF(Log[[#This Row],[ID]]="","",IFERROR(INDEX(Items[Cur team],MATCH(Log[[#This Row],[ID]],Items[ID],0))&amp;"",""))</f>
      </c>
      <c r="M133" s="17">
        <f>IF(OR(Log[[#This Row],[Verb]]="done",Log[[#This Row],[Verb]]="punt",Log[[#This Row],[Verb]]="drop",Log[[#This Row],[Verb]]="pass"),Log[[#This Row],[Pts]],0)</f>
      </c>
    </row>
    <row r="134">
      <c r="A134" s="11">
        <v>46090</v>
      </c>
      <c r="B134" t="s">
        <v>203</v>
      </c>
      <c r="C134" t="s">
        <v>41</v>
      </c>
      <c r="F134" s="17">
        <f>IF(Log[[#This Row],[ID]]="","",IF(ISNA(MATCH(Log[[#This Row],[ID]],Items[ID],0)),"unknown ID",IF(ISNA(MATCH(Log[[#This Row],[Verb]],VerbList,0)),"unknown verb",IF(Log[[#This Row],[Date]]="","no date",""))))</f>
      </c>
      <c r="G134" s="17">
        <f>IF(Log[[#This Row],[ID]]="","",IFERROR(VLOOKUP(Log[[#This Row],[Verb]],Verbs,3,FALSE)&amp;"",""))</f>
      </c>
      <c r="H134" s="17">
        <f>IF(Log[[#This Row],[Date]]="","",INT((Log[[#This Row],[Date]]-Sprint1)/SprintDays)+1)</f>
      </c>
      <c r="I134" s="17">
        <f>IF(OR(Log[[#This Row],[Verb]]="commit",Log[[#This Row],[Verb]]="carry",Log[[#This Row],[Verb]]="redo"),IF(Log[[#This Row],[Arg]]="",Log[[#This Row],[Sprint]],N(Log[[#This Row],[Arg]])),"")</f>
      </c>
      <c r="J134" s="17">
        <f>IF(Log[[#This Row],[Verb]]="block",1,IF(OR(Log[[#This Row],[Verb]]="unblock",Log[[#This Row],[Verb]]="done",Log[[#This Row],[Verb]]="drop",Log[[#This Row],[Verb]]="punt",Log[[#This Row],[Verb]]="pass"),0,""))</f>
      </c>
      <c r="K134" s="17">
        <f>IF(Log[[#This Row],[ID]]="",0,IFERROR(INDEX(Items[Pts],MATCH(Log[[#This Row],[ID]],Items[ID],0))*1,0))</f>
      </c>
      <c r="L134" s="17">
        <f>IF(Log[[#This Row],[ID]]="","",IFERROR(INDEX(Items[Cur team],MATCH(Log[[#This Row],[ID]],Items[ID],0))&amp;"",""))</f>
      </c>
      <c r="M134" s="17">
        <f>IF(OR(Log[[#This Row],[Verb]]="done",Log[[#This Row],[Verb]]="punt",Log[[#This Row],[Verb]]="drop",Log[[#This Row],[Verb]]="pass"),Log[[#This Row],[Pts]],0)</f>
      </c>
    </row>
    <row r="135">
      <c r="A135" s="11">
        <v>46090</v>
      </c>
      <c r="B135" t="s">
        <v>176</v>
      </c>
      <c r="C135" t="s">
        <v>38</v>
      </c>
      <c r="D135">
        <v>39</v>
      </c>
      <c r="F135" s="17">
        <f>IF(Log[[#This Row],[ID]]="","",IF(ISNA(MATCH(Log[[#This Row],[ID]],Items[ID],0)),"unknown ID",IF(ISNA(MATCH(Log[[#This Row],[Verb]],VerbList,0)),"unknown verb",IF(Log[[#This Row],[Date]]="","no date",""))))</f>
      </c>
      <c r="G135" s="17">
        <f>IF(Log[[#This Row],[ID]]="","",IFERROR(VLOOKUP(Log[[#This Row],[Verb]],Verbs,3,FALSE)&amp;"",""))</f>
      </c>
      <c r="H135" s="17">
        <f>IF(Log[[#This Row],[Date]]="","",INT((Log[[#This Row],[Date]]-Sprint1)/SprintDays)+1)</f>
      </c>
      <c r="I135" s="17">
        <f>IF(OR(Log[[#This Row],[Verb]]="commit",Log[[#This Row],[Verb]]="carry",Log[[#This Row],[Verb]]="redo"),IF(Log[[#This Row],[Arg]]="",Log[[#This Row],[Sprint]],N(Log[[#This Row],[Arg]])),"")</f>
      </c>
      <c r="J135" s="17">
        <f>IF(Log[[#This Row],[Verb]]="block",1,IF(OR(Log[[#This Row],[Verb]]="unblock",Log[[#This Row],[Verb]]="done",Log[[#This Row],[Verb]]="drop",Log[[#This Row],[Verb]]="punt",Log[[#This Row],[Verb]]="pass"),0,""))</f>
      </c>
      <c r="K135" s="17">
        <f>IF(Log[[#This Row],[ID]]="",0,IFERROR(INDEX(Items[Pts],MATCH(Log[[#This Row],[ID]],Items[ID],0))*1,0))</f>
      </c>
      <c r="L135" s="17">
        <f>IF(Log[[#This Row],[ID]]="","",IFERROR(INDEX(Items[Cur team],MATCH(Log[[#This Row],[ID]],Items[ID],0))&amp;"",""))</f>
      </c>
      <c r="M135" s="17">
        <f>IF(OR(Log[[#This Row],[Verb]]="done",Log[[#This Row],[Verb]]="punt",Log[[#This Row],[Verb]]="drop",Log[[#This Row],[Verb]]="pass"),Log[[#This Row],[Pts]],0)</f>
      </c>
    </row>
    <row r="136">
      <c r="A136" s="11">
        <v>46090</v>
      </c>
      <c r="B136" t="s">
        <v>204</v>
      </c>
      <c r="C136" t="s">
        <v>41</v>
      </c>
      <c r="F136" s="17">
        <f>IF(Log[[#This Row],[ID]]="","",IF(ISNA(MATCH(Log[[#This Row],[ID]],Items[ID],0)),"unknown ID",IF(ISNA(MATCH(Log[[#This Row],[Verb]],VerbList,0)),"unknown verb",IF(Log[[#This Row],[Date]]="","no date",""))))</f>
      </c>
      <c r="G136" s="17">
        <f>IF(Log[[#This Row],[ID]]="","",IFERROR(VLOOKUP(Log[[#This Row],[Verb]],Verbs,3,FALSE)&amp;"",""))</f>
      </c>
      <c r="H136" s="17">
        <f>IF(Log[[#This Row],[Date]]="","",INT((Log[[#This Row],[Date]]-Sprint1)/SprintDays)+1)</f>
      </c>
      <c r="I136" s="17">
        <f>IF(OR(Log[[#This Row],[Verb]]="commit",Log[[#This Row],[Verb]]="carry",Log[[#This Row],[Verb]]="redo"),IF(Log[[#This Row],[Arg]]="",Log[[#This Row],[Sprint]],N(Log[[#This Row],[Arg]])),"")</f>
      </c>
      <c r="J136" s="17">
        <f>IF(Log[[#This Row],[Verb]]="block",1,IF(OR(Log[[#This Row],[Verb]]="unblock",Log[[#This Row],[Verb]]="done",Log[[#This Row],[Verb]]="drop",Log[[#This Row],[Verb]]="punt",Log[[#This Row],[Verb]]="pass"),0,""))</f>
      </c>
      <c r="K136" s="17">
        <f>IF(Log[[#This Row],[ID]]="",0,IFERROR(INDEX(Items[Pts],MATCH(Log[[#This Row],[ID]],Items[ID],0))*1,0))</f>
      </c>
      <c r="L136" s="17">
        <f>IF(Log[[#This Row],[ID]]="","",IFERROR(INDEX(Items[Cur team],MATCH(Log[[#This Row],[ID]],Items[ID],0))&amp;"",""))</f>
      </c>
      <c r="M136" s="17">
        <f>IF(OR(Log[[#This Row],[Verb]]="done",Log[[#This Row],[Verb]]="punt",Log[[#This Row],[Verb]]="drop",Log[[#This Row],[Verb]]="pass"),Log[[#This Row],[Pts]],0)</f>
      </c>
    </row>
    <row r="137">
      <c r="A137" s="11">
        <v>46090</v>
      </c>
      <c r="B137" t="s">
        <v>205</v>
      </c>
      <c r="C137" t="s">
        <v>41</v>
      </c>
      <c r="F137" s="17">
        <f>IF(Log[[#This Row],[ID]]="","",IF(ISNA(MATCH(Log[[#This Row],[ID]],Items[ID],0)),"unknown ID",IF(ISNA(MATCH(Log[[#This Row],[Verb]],VerbList,0)),"unknown verb",IF(Log[[#This Row],[Date]]="","no date",""))))</f>
      </c>
      <c r="G137" s="17">
        <f>IF(Log[[#This Row],[ID]]="","",IFERROR(VLOOKUP(Log[[#This Row],[Verb]],Verbs,3,FALSE)&amp;"",""))</f>
      </c>
      <c r="H137" s="17">
        <f>IF(Log[[#This Row],[Date]]="","",INT((Log[[#This Row],[Date]]-Sprint1)/SprintDays)+1)</f>
      </c>
      <c r="I137" s="17">
        <f>IF(OR(Log[[#This Row],[Verb]]="commit",Log[[#This Row],[Verb]]="carry",Log[[#This Row],[Verb]]="redo"),IF(Log[[#This Row],[Arg]]="",Log[[#This Row],[Sprint]],N(Log[[#This Row],[Arg]])),"")</f>
      </c>
      <c r="J137" s="17">
        <f>IF(Log[[#This Row],[Verb]]="block",1,IF(OR(Log[[#This Row],[Verb]]="unblock",Log[[#This Row],[Verb]]="done",Log[[#This Row],[Verb]]="drop",Log[[#This Row],[Verb]]="punt",Log[[#This Row],[Verb]]="pass"),0,""))</f>
      </c>
      <c r="K137" s="17">
        <f>IF(Log[[#This Row],[ID]]="",0,IFERROR(INDEX(Items[Pts],MATCH(Log[[#This Row],[ID]],Items[ID],0))*1,0))</f>
      </c>
      <c r="L137" s="17">
        <f>IF(Log[[#This Row],[ID]]="","",IFERROR(INDEX(Items[Cur team],MATCH(Log[[#This Row],[ID]],Items[ID],0))&amp;"",""))</f>
      </c>
      <c r="M137" s="17">
        <f>IF(OR(Log[[#This Row],[Verb]]="done",Log[[#This Row],[Verb]]="punt",Log[[#This Row],[Verb]]="drop",Log[[#This Row],[Verb]]="pass"),Log[[#This Row],[Pts]],0)</f>
      </c>
    </row>
    <row r="138">
      <c r="A138" s="11">
        <v>46090</v>
      </c>
      <c r="B138" t="s">
        <v>206</v>
      </c>
      <c r="C138" t="s">
        <v>41</v>
      </c>
      <c r="F138" s="17">
        <f>IF(Log[[#This Row],[ID]]="","",IF(ISNA(MATCH(Log[[#This Row],[ID]],Items[ID],0)),"unknown ID",IF(ISNA(MATCH(Log[[#This Row],[Verb]],VerbList,0)),"unknown verb",IF(Log[[#This Row],[Date]]="","no date",""))))</f>
      </c>
      <c r="G138" s="17">
        <f>IF(Log[[#This Row],[ID]]="","",IFERROR(VLOOKUP(Log[[#This Row],[Verb]],Verbs,3,FALSE)&amp;"",""))</f>
      </c>
      <c r="H138" s="17">
        <f>IF(Log[[#This Row],[Date]]="","",INT((Log[[#This Row],[Date]]-Sprint1)/SprintDays)+1)</f>
      </c>
      <c r="I138" s="17">
        <f>IF(OR(Log[[#This Row],[Verb]]="commit",Log[[#This Row],[Verb]]="carry",Log[[#This Row],[Verb]]="redo"),IF(Log[[#This Row],[Arg]]="",Log[[#This Row],[Sprint]],N(Log[[#This Row],[Arg]])),"")</f>
      </c>
      <c r="J138" s="17">
        <f>IF(Log[[#This Row],[Verb]]="block",1,IF(OR(Log[[#This Row],[Verb]]="unblock",Log[[#This Row],[Verb]]="done",Log[[#This Row],[Verb]]="drop",Log[[#This Row],[Verb]]="punt",Log[[#This Row],[Verb]]="pass"),0,""))</f>
      </c>
      <c r="K138" s="17">
        <f>IF(Log[[#This Row],[ID]]="",0,IFERROR(INDEX(Items[Pts],MATCH(Log[[#This Row],[ID]],Items[ID],0))*1,0))</f>
      </c>
      <c r="L138" s="17">
        <f>IF(Log[[#This Row],[ID]]="","",IFERROR(INDEX(Items[Cur team],MATCH(Log[[#This Row],[ID]],Items[ID],0))&amp;"",""))</f>
      </c>
      <c r="M138" s="17">
        <f>IF(OR(Log[[#This Row],[Verb]]="done",Log[[#This Row],[Verb]]="punt",Log[[#This Row],[Verb]]="drop",Log[[#This Row],[Verb]]="pass"),Log[[#This Row],[Pts]],0)</f>
      </c>
    </row>
    <row r="139">
      <c r="A139" s="11">
        <v>46090</v>
      </c>
      <c r="B139" t="s">
        <v>207</v>
      </c>
      <c r="C139" t="s">
        <v>41</v>
      </c>
      <c r="F139" s="17">
        <f>IF(Log[[#This Row],[ID]]="","",IF(ISNA(MATCH(Log[[#This Row],[ID]],Items[ID],0)),"unknown ID",IF(ISNA(MATCH(Log[[#This Row],[Verb]],VerbList,0)),"unknown verb",IF(Log[[#This Row],[Date]]="","no date",""))))</f>
      </c>
      <c r="G139" s="17">
        <f>IF(Log[[#This Row],[ID]]="","",IFERROR(VLOOKUP(Log[[#This Row],[Verb]],Verbs,3,FALSE)&amp;"",""))</f>
      </c>
      <c r="H139" s="17">
        <f>IF(Log[[#This Row],[Date]]="","",INT((Log[[#This Row],[Date]]-Sprint1)/SprintDays)+1)</f>
      </c>
      <c r="I139" s="17">
        <f>IF(OR(Log[[#This Row],[Verb]]="commit",Log[[#This Row],[Verb]]="carry",Log[[#This Row],[Verb]]="redo"),IF(Log[[#This Row],[Arg]]="",Log[[#This Row],[Sprint]],N(Log[[#This Row],[Arg]])),"")</f>
      </c>
      <c r="J139" s="17">
        <f>IF(Log[[#This Row],[Verb]]="block",1,IF(OR(Log[[#This Row],[Verb]]="unblock",Log[[#This Row],[Verb]]="done",Log[[#This Row],[Verb]]="drop",Log[[#This Row],[Verb]]="punt",Log[[#This Row],[Verb]]="pass"),0,""))</f>
      </c>
      <c r="K139" s="17">
        <f>IF(Log[[#This Row],[ID]]="",0,IFERROR(INDEX(Items[Pts],MATCH(Log[[#This Row],[ID]],Items[ID],0))*1,0))</f>
      </c>
      <c r="L139" s="17">
        <f>IF(Log[[#This Row],[ID]]="","",IFERROR(INDEX(Items[Cur team],MATCH(Log[[#This Row],[ID]],Items[ID],0))&amp;"",""))</f>
      </c>
      <c r="M139" s="17">
        <f>IF(OR(Log[[#This Row],[Verb]]="done",Log[[#This Row],[Verb]]="punt",Log[[#This Row],[Verb]]="drop",Log[[#This Row],[Verb]]="pass"),Log[[#This Row],[Pts]],0)</f>
      </c>
    </row>
    <row r="140">
      <c r="A140" s="11">
        <v>46090</v>
      </c>
      <c r="B140" t="s">
        <v>208</v>
      </c>
      <c r="C140" t="s">
        <v>41</v>
      </c>
      <c r="F140" s="17">
        <f>IF(Log[[#This Row],[ID]]="","",IF(ISNA(MATCH(Log[[#This Row],[ID]],Items[ID],0)),"unknown ID",IF(ISNA(MATCH(Log[[#This Row],[Verb]],VerbList,0)),"unknown verb",IF(Log[[#This Row],[Date]]="","no date",""))))</f>
      </c>
      <c r="G140" s="17">
        <f>IF(Log[[#This Row],[ID]]="","",IFERROR(VLOOKUP(Log[[#This Row],[Verb]],Verbs,3,FALSE)&amp;"",""))</f>
      </c>
      <c r="H140" s="17">
        <f>IF(Log[[#This Row],[Date]]="","",INT((Log[[#This Row],[Date]]-Sprint1)/SprintDays)+1)</f>
      </c>
      <c r="I140" s="17">
        <f>IF(OR(Log[[#This Row],[Verb]]="commit",Log[[#This Row],[Verb]]="carry",Log[[#This Row],[Verb]]="redo"),IF(Log[[#This Row],[Arg]]="",Log[[#This Row],[Sprint]],N(Log[[#This Row],[Arg]])),"")</f>
      </c>
      <c r="J140" s="17">
        <f>IF(Log[[#This Row],[Verb]]="block",1,IF(OR(Log[[#This Row],[Verb]]="unblock",Log[[#This Row],[Verb]]="done",Log[[#This Row],[Verb]]="drop",Log[[#This Row],[Verb]]="punt",Log[[#This Row],[Verb]]="pass"),0,""))</f>
      </c>
      <c r="K140" s="17">
        <f>IF(Log[[#This Row],[ID]]="",0,IFERROR(INDEX(Items[Pts],MATCH(Log[[#This Row],[ID]],Items[ID],0))*1,0))</f>
      </c>
      <c r="L140" s="17">
        <f>IF(Log[[#This Row],[ID]]="","",IFERROR(INDEX(Items[Cur team],MATCH(Log[[#This Row],[ID]],Items[ID],0))&amp;"",""))</f>
      </c>
      <c r="M140" s="17">
        <f>IF(OR(Log[[#This Row],[Verb]]="done",Log[[#This Row],[Verb]]="punt",Log[[#This Row],[Verb]]="drop",Log[[#This Row],[Verb]]="pass"),Log[[#This Row],[Pts]],0)</f>
      </c>
    </row>
    <row r="141">
      <c r="A141" s="11">
        <v>46090</v>
      </c>
      <c r="B141" t="s">
        <v>166</v>
      </c>
      <c r="C141" t="s">
        <v>41</v>
      </c>
      <c r="F141" s="17">
        <f>IF(Log[[#This Row],[ID]]="","",IF(ISNA(MATCH(Log[[#This Row],[ID]],Items[ID],0)),"unknown ID",IF(ISNA(MATCH(Log[[#This Row],[Verb]],VerbList,0)),"unknown verb",IF(Log[[#This Row],[Date]]="","no date",""))))</f>
      </c>
      <c r="G141" s="17">
        <f>IF(Log[[#This Row],[ID]]="","",IFERROR(VLOOKUP(Log[[#This Row],[Verb]],Verbs,3,FALSE)&amp;"",""))</f>
      </c>
      <c r="H141" s="17">
        <f>IF(Log[[#This Row],[Date]]="","",INT((Log[[#This Row],[Date]]-Sprint1)/SprintDays)+1)</f>
      </c>
      <c r="I141" s="17">
        <f>IF(OR(Log[[#This Row],[Verb]]="commit",Log[[#This Row],[Verb]]="carry",Log[[#This Row],[Verb]]="redo"),IF(Log[[#This Row],[Arg]]="",Log[[#This Row],[Sprint]],N(Log[[#This Row],[Arg]])),"")</f>
      </c>
      <c r="J141" s="17">
        <f>IF(Log[[#This Row],[Verb]]="block",1,IF(OR(Log[[#This Row],[Verb]]="unblock",Log[[#This Row],[Verb]]="done",Log[[#This Row],[Verb]]="drop",Log[[#This Row],[Verb]]="punt",Log[[#This Row],[Verb]]="pass"),0,""))</f>
      </c>
      <c r="K141" s="17">
        <f>IF(Log[[#This Row],[ID]]="",0,IFERROR(INDEX(Items[Pts],MATCH(Log[[#This Row],[ID]],Items[ID],0))*1,0))</f>
      </c>
      <c r="L141" s="17">
        <f>IF(Log[[#This Row],[ID]]="","",IFERROR(INDEX(Items[Cur team],MATCH(Log[[#This Row],[ID]],Items[ID],0))&amp;"",""))</f>
      </c>
      <c r="M141" s="17">
        <f>IF(OR(Log[[#This Row],[Verb]]="done",Log[[#This Row],[Verb]]="punt",Log[[#This Row],[Verb]]="drop",Log[[#This Row],[Verb]]="pass"),Log[[#This Row],[Pts]],0)</f>
      </c>
    </row>
    <row r="142">
      <c r="A142" s="11">
        <v>46090</v>
      </c>
      <c r="B142" t="s">
        <v>177</v>
      </c>
      <c r="C142" t="s">
        <v>41</v>
      </c>
      <c r="F142" s="17">
        <f>IF(Log[[#This Row],[ID]]="","",IF(ISNA(MATCH(Log[[#This Row],[ID]],Items[ID],0)),"unknown ID",IF(ISNA(MATCH(Log[[#This Row],[Verb]],VerbList,0)),"unknown verb",IF(Log[[#This Row],[Date]]="","no date",""))))</f>
      </c>
      <c r="G142" s="17">
        <f>IF(Log[[#This Row],[ID]]="","",IFERROR(VLOOKUP(Log[[#This Row],[Verb]],Verbs,3,FALSE)&amp;"",""))</f>
      </c>
      <c r="H142" s="17">
        <f>IF(Log[[#This Row],[Date]]="","",INT((Log[[#This Row],[Date]]-Sprint1)/SprintDays)+1)</f>
      </c>
      <c r="I142" s="17">
        <f>IF(OR(Log[[#This Row],[Verb]]="commit",Log[[#This Row],[Verb]]="carry",Log[[#This Row],[Verb]]="redo"),IF(Log[[#This Row],[Arg]]="",Log[[#This Row],[Sprint]],N(Log[[#This Row],[Arg]])),"")</f>
      </c>
      <c r="J142" s="17">
        <f>IF(Log[[#This Row],[Verb]]="block",1,IF(OR(Log[[#This Row],[Verb]]="unblock",Log[[#This Row],[Verb]]="done",Log[[#This Row],[Verb]]="drop",Log[[#This Row],[Verb]]="punt",Log[[#This Row],[Verb]]="pass"),0,""))</f>
      </c>
      <c r="K142" s="17">
        <f>IF(Log[[#This Row],[ID]]="",0,IFERROR(INDEX(Items[Pts],MATCH(Log[[#This Row],[ID]],Items[ID],0))*1,0))</f>
      </c>
      <c r="L142" s="17">
        <f>IF(Log[[#This Row],[ID]]="","",IFERROR(INDEX(Items[Cur team],MATCH(Log[[#This Row],[ID]],Items[ID],0))&amp;"",""))</f>
      </c>
      <c r="M142" s="17">
        <f>IF(OR(Log[[#This Row],[Verb]]="done",Log[[#This Row],[Verb]]="punt",Log[[#This Row],[Verb]]="drop",Log[[#This Row],[Verb]]="pass"),Log[[#This Row],[Pts]],0)</f>
      </c>
    </row>
    <row r="143">
      <c r="A143" s="11">
        <v>46090</v>
      </c>
      <c r="B143" t="s">
        <v>209</v>
      </c>
      <c r="C143" t="s">
        <v>41</v>
      </c>
      <c r="F143" s="17">
        <f>IF(Log[[#This Row],[ID]]="","",IF(ISNA(MATCH(Log[[#This Row],[ID]],Items[ID],0)),"unknown ID",IF(ISNA(MATCH(Log[[#This Row],[Verb]],VerbList,0)),"unknown verb",IF(Log[[#This Row],[Date]]="","no date",""))))</f>
      </c>
      <c r="G143" s="17">
        <f>IF(Log[[#This Row],[ID]]="","",IFERROR(VLOOKUP(Log[[#This Row],[Verb]],Verbs,3,FALSE)&amp;"",""))</f>
      </c>
      <c r="H143" s="17">
        <f>IF(Log[[#This Row],[Date]]="","",INT((Log[[#This Row],[Date]]-Sprint1)/SprintDays)+1)</f>
      </c>
      <c r="I143" s="17">
        <f>IF(OR(Log[[#This Row],[Verb]]="commit",Log[[#This Row],[Verb]]="carry",Log[[#This Row],[Verb]]="redo"),IF(Log[[#This Row],[Arg]]="",Log[[#This Row],[Sprint]],N(Log[[#This Row],[Arg]])),"")</f>
      </c>
      <c r="J143" s="17">
        <f>IF(Log[[#This Row],[Verb]]="block",1,IF(OR(Log[[#This Row],[Verb]]="unblock",Log[[#This Row],[Verb]]="done",Log[[#This Row],[Verb]]="drop",Log[[#This Row],[Verb]]="punt",Log[[#This Row],[Verb]]="pass"),0,""))</f>
      </c>
      <c r="K143" s="17">
        <f>IF(Log[[#This Row],[ID]]="",0,IFERROR(INDEX(Items[Pts],MATCH(Log[[#This Row],[ID]],Items[ID],0))*1,0))</f>
      </c>
      <c r="L143" s="17">
        <f>IF(Log[[#This Row],[ID]]="","",IFERROR(INDEX(Items[Cur team],MATCH(Log[[#This Row],[ID]],Items[ID],0))&amp;"",""))</f>
      </c>
      <c r="M143" s="17">
        <f>IF(OR(Log[[#This Row],[Verb]]="done",Log[[#This Row],[Verb]]="punt",Log[[#This Row],[Verb]]="drop",Log[[#This Row],[Verb]]="pass"),Log[[#This Row],[Pts]],0)</f>
      </c>
    </row>
    <row r="144">
      <c r="A144" s="11">
        <v>46090</v>
      </c>
      <c r="B144" t="s">
        <v>210</v>
      </c>
      <c r="C144" t="s">
        <v>41</v>
      </c>
      <c r="F144" s="17">
        <f>IF(Log[[#This Row],[ID]]="","",IF(ISNA(MATCH(Log[[#This Row],[ID]],Items[ID],0)),"unknown ID",IF(ISNA(MATCH(Log[[#This Row],[Verb]],VerbList,0)),"unknown verb",IF(Log[[#This Row],[Date]]="","no date",""))))</f>
      </c>
      <c r="G144" s="17">
        <f>IF(Log[[#This Row],[ID]]="","",IFERROR(VLOOKUP(Log[[#This Row],[Verb]],Verbs,3,FALSE)&amp;"",""))</f>
      </c>
      <c r="H144" s="17">
        <f>IF(Log[[#This Row],[Date]]="","",INT((Log[[#This Row],[Date]]-Sprint1)/SprintDays)+1)</f>
      </c>
      <c r="I144" s="17">
        <f>IF(OR(Log[[#This Row],[Verb]]="commit",Log[[#This Row],[Verb]]="carry",Log[[#This Row],[Verb]]="redo"),IF(Log[[#This Row],[Arg]]="",Log[[#This Row],[Sprint]],N(Log[[#This Row],[Arg]])),"")</f>
      </c>
      <c r="J144" s="17">
        <f>IF(Log[[#This Row],[Verb]]="block",1,IF(OR(Log[[#This Row],[Verb]]="unblock",Log[[#This Row],[Verb]]="done",Log[[#This Row],[Verb]]="drop",Log[[#This Row],[Verb]]="punt",Log[[#This Row],[Verb]]="pass"),0,""))</f>
      </c>
      <c r="K144" s="17">
        <f>IF(Log[[#This Row],[ID]]="",0,IFERROR(INDEX(Items[Pts],MATCH(Log[[#This Row],[ID]],Items[ID],0))*1,0))</f>
      </c>
      <c r="L144" s="17">
        <f>IF(Log[[#This Row],[ID]]="","",IFERROR(INDEX(Items[Cur team],MATCH(Log[[#This Row],[ID]],Items[ID],0))&amp;"",""))</f>
      </c>
      <c r="M144" s="17">
        <f>IF(OR(Log[[#This Row],[Verb]]="done",Log[[#This Row],[Verb]]="punt",Log[[#This Row],[Verb]]="drop",Log[[#This Row],[Verb]]="pass"),Log[[#This Row],[Pts]],0)</f>
      </c>
    </row>
    <row r="145">
      <c r="A145" s="11">
        <v>46090</v>
      </c>
      <c r="B145" t="s">
        <v>211</v>
      </c>
      <c r="C145" t="s">
        <v>41</v>
      </c>
      <c r="F145" s="17">
        <f>IF(Log[[#This Row],[ID]]="","",IF(ISNA(MATCH(Log[[#This Row],[ID]],Items[ID],0)),"unknown ID",IF(ISNA(MATCH(Log[[#This Row],[Verb]],VerbList,0)),"unknown verb",IF(Log[[#This Row],[Date]]="","no date",""))))</f>
      </c>
      <c r="G145" s="17">
        <f>IF(Log[[#This Row],[ID]]="","",IFERROR(VLOOKUP(Log[[#This Row],[Verb]],Verbs,3,FALSE)&amp;"",""))</f>
      </c>
      <c r="H145" s="17">
        <f>IF(Log[[#This Row],[Date]]="","",INT((Log[[#This Row],[Date]]-Sprint1)/SprintDays)+1)</f>
      </c>
      <c r="I145" s="17">
        <f>IF(OR(Log[[#This Row],[Verb]]="commit",Log[[#This Row],[Verb]]="carry",Log[[#This Row],[Verb]]="redo"),IF(Log[[#This Row],[Arg]]="",Log[[#This Row],[Sprint]],N(Log[[#This Row],[Arg]])),"")</f>
      </c>
      <c r="J145" s="17">
        <f>IF(Log[[#This Row],[Verb]]="block",1,IF(OR(Log[[#This Row],[Verb]]="unblock",Log[[#This Row],[Verb]]="done",Log[[#This Row],[Verb]]="drop",Log[[#This Row],[Verb]]="punt",Log[[#This Row],[Verb]]="pass"),0,""))</f>
      </c>
      <c r="K145" s="17">
        <f>IF(Log[[#This Row],[ID]]="",0,IFERROR(INDEX(Items[Pts],MATCH(Log[[#This Row],[ID]],Items[ID],0))*1,0))</f>
      </c>
      <c r="L145" s="17">
        <f>IF(Log[[#This Row],[ID]]="","",IFERROR(INDEX(Items[Cur team],MATCH(Log[[#This Row],[ID]],Items[ID],0))&amp;"",""))</f>
      </c>
      <c r="M145" s="17">
        <f>IF(OR(Log[[#This Row],[Verb]]="done",Log[[#This Row],[Verb]]="punt",Log[[#This Row],[Verb]]="drop",Log[[#This Row],[Verb]]="pass"),Log[[#This Row],[Pts]],0)</f>
      </c>
    </row>
    <row r="146">
      <c r="A146" s="11">
        <v>46090</v>
      </c>
      <c r="B146" t="s">
        <v>212</v>
      </c>
      <c r="C146" t="s">
        <v>41</v>
      </c>
      <c r="F146" s="17">
        <f>IF(Log[[#This Row],[ID]]="","",IF(ISNA(MATCH(Log[[#This Row],[ID]],Items[ID],0)),"unknown ID",IF(ISNA(MATCH(Log[[#This Row],[Verb]],VerbList,0)),"unknown verb",IF(Log[[#This Row],[Date]]="","no date",""))))</f>
      </c>
      <c r="G146" s="17">
        <f>IF(Log[[#This Row],[ID]]="","",IFERROR(VLOOKUP(Log[[#This Row],[Verb]],Verbs,3,FALSE)&amp;"",""))</f>
      </c>
      <c r="H146" s="17">
        <f>IF(Log[[#This Row],[Date]]="","",INT((Log[[#This Row],[Date]]-Sprint1)/SprintDays)+1)</f>
      </c>
      <c r="I146" s="17">
        <f>IF(OR(Log[[#This Row],[Verb]]="commit",Log[[#This Row],[Verb]]="carry",Log[[#This Row],[Verb]]="redo"),IF(Log[[#This Row],[Arg]]="",Log[[#This Row],[Sprint]],N(Log[[#This Row],[Arg]])),"")</f>
      </c>
      <c r="J146" s="17">
        <f>IF(Log[[#This Row],[Verb]]="block",1,IF(OR(Log[[#This Row],[Verb]]="unblock",Log[[#This Row],[Verb]]="done",Log[[#This Row],[Verb]]="drop",Log[[#This Row],[Verb]]="punt",Log[[#This Row],[Verb]]="pass"),0,""))</f>
      </c>
      <c r="K146" s="17">
        <f>IF(Log[[#This Row],[ID]]="",0,IFERROR(INDEX(Items[Pts],MATCH(Log[[#This Row],[ID]],Items[ID],0))*1,0))</f>
      </c>
      <c r="L146" s="17">
        <f>IF(Log[[#This Row],[ID]]="","",IFERROR(INDEX(Items[Cur team],MATCH(Log[[#This Row],[ID]],Items[ID],0))&amp;"",""))</f>
      </c>
      <c r="M146" s="17">
        <f>IF(OR(Log[[#This Row],[Verb]]="done",Log[[#This Row],[Verb]]="punt",Log[[#This Row],[Verb]]="drop",Log[[#This Row],[Verb]]="pass"),Log[[#This Row],[Pts]],0)</f>
      </c>
    </row>
    <row r="147">
      <c r="A147" s="11">
        <v>46090</v>
      </c>
      <c r="B147" t="s">
        <v>213</v>
      </c>
      <c r="C147" t="s">
        <v>41</v>
      </c>
      <c r="F147" s="17">
        <f>IF(Log[[#This Row],[ID]]="","",IF(ISNA(MATCH(Log[[#This Row],[ID]],Items[ID],0)),"unknown ID",IF(ISNA(MATCH(Log[[#This Row],[Verb]],VerbList,0)),"unknown verb",IF(Log[[#This Row],[Date]]="","no date",""))))</f>
      </c>
      <c r="G147" s="17">
        <f>IF(Log[[#This Row],[ID]]="","",IFERROR(VLOOKUP(Log[[#This Row],[Verb]],Verbs,3,FALSE)&amp;"",""))</f>
      </c>
      <c r="H147" s="17">
        <f>IF(Log[[#This Row],[Date]]="","",INT((Log[[#This Row],[Date]]-Sprint1)/SprintDays)+1)</f>
      </c>
      <c r="I147" s="17">
        <f>IF(OR(Log[[#This Row],[Verb]]="commit",Log[[#This Row],[Verb]]="carry",Log[[#This Row],[Verb]]="redo"),IF(Log[[#This Row],[Arg]]="",Log[[#This Row],[Sprint]],N(Log[[#This Row],[Arg]])),"")</f>
      </c>
      <c r="J147" s="17">
        <f>IF(Log[[#This Row],[Verb]]="block",1,IF(OR(Log[[#This Row],[Verb]]="unblock",Log[[#This Row],[Verb]]="done",Log[[#This Row],[Verb]]="drop",Log[[#This Row],[Verb]]="punt",Log[[#This Row],[Verb]]="pass"),0,""))</f>
      </c>
      <c r="K147" s="17">
        <f>IF(Log[[#This Row],[ID]]="",0,IFERROR(INDEX(Items[Pts],MATCH(Log[[#This Row],[ID]],Items[ID],0))*1,0))</f>
      </c>
      <c r="L147" s="17">
        <f>IF(Log[[#This Row],[ID]]="","",IFERROR(INDEX(Items[Cur team],MATCH(Log[[#This Row],[ID]],Items[ID],0))&amp;"",""))</f>
      </c>
      <c r="M147" s="17">
        <f>IF(OR(Log[[#This Row],[Verb]]="done",Log[[#This Row],[Verb]]="punt",Log[[#This Row],[Verb]]="drop",Log[[#This Row],[Verb]]="pass"),Log[[#This Row],[Pts]],0)</f>
      </c>
    </row>
    <row r="148">
      <c r="A148" s="11">
        <v>46090</v>
      </c>
      <c r="B148" t="s">
        <v>167</v>
      </c>
      <c r="C148" t="s">
        <v>41</v>
      </c>
      <c r="F148" s="17">
        <f>IF(Log[[#This Row],[ID]]="","",IF(ISNA(MATCH(Log[[#This Row],[ID]],Items[ID],0)),"unknown ID",IF(ISNA(MATCH(Log[[#This Row],[Verb]],VerbList,0)),"unknown verb",IF(Log[[#This Row],[Date]]="","no date",""))))</f>
      </c>
      <c r="G148" s="17">
        <f>IF(Log[[#This Row],[ID]]="","",IFERROR(VLOOKUP(Log[[#This Row],[Verb]],Verbs,3,FALSE)&amp;"",""))</f>
      </c>
      <c r="H148" s="17">
        <f>IF(Log[[#This Row],[Date]]="","",INT((Log[[#This Row],[Date]]-Sprint1)/SprintDays)+1)</f>
      </c>
      <c r="I148" s="17">
        <f>IF(OR(Log[[#This Row],[Verb]]="commit",Log[[#This Row],[Verb]]="carry",Log[[#This Row],[Verb]]="redo"),IF(Log[[#This Row],[Arg]]="",Log[[#This Row],[Sprint]],N(Log[[#This Row],[Arg]])),"")</f>
      </c>
      <c r="J148" s="17">
        <f>IF(Log[[#This Row],[Verb]]="block",1,IF(OR(Log[[#This Row],[Verb]]="unblock",Log[[#This Row],[Verb]]="done",Log[[#This Row],[Verb]]="drop",Log[[#This Row],[Verb]]="punt",Log[[#This Row],[Verb]]="pass"),0,""))</f>
      </c>
      <c r="K148" s="17">
        <f>IF(Log[[#This Row],[ID]]="",0,IFERROR(INDEX(Items[Pts],MATCH(Log[[#This Row],[ID]],Items[ID],0))*1,0))</f>
      </c>
      <c r="L148" s="17">
        <f>IF(Log[[#This Row],[ID]]="","",IFERROR(INDEX(Items[Cur team],MATCH(Log[[#This Row],[ID]],Items[ID],0))&amp;"",""))</f>
      </c>
      <c r="M148" s="17">
        <f>IF(OR(Log[[#This Row],[Verb]]="done",Log[[#This Row],[Verb]]="punt",Log[[#This Row],[Verb]]="drop",Log[[#This Row],[Verb]]="pass"),Log[[#This Row],[Pts]],0)</f>
      </c>
    </row>
    <row r="149">
      <c r="A149" s="11">
        <v>46090</v>
      </c>
      <c r="B149" t="s">
        <v>178</v>
      </c>
      <c r="C149" t="s">
        <v>38</v>
      </c>
      <c r="D149">
        <v>39</v>
      </c>
      <c r="F149" s="17">
        <f>IF(Log[[#This Row],[ID]]="","",IF(ISNA(MATCH(Log[[#This Row],[ID]],Items[ID],0)),"unknown ID",IF(ISNA(MATCH(Log[[#This Row],[Verb]],VerbList,0)),"unknown verb",IF(Log[[#This Row],[Date]]="","no date",""))))</f>
      </c>
      <c r="G149" s="17">
        <f>IF(Log[[#This Row],[ID]]="","",IFERROR(VLOOKUP(Log[[#This Row],[Verb]],Verbs,3,FALSE)&amp;"",""))</f>
      </c>
      <c r="H149" s="17">
        <f>IF(Log[[#This Row],[Date]]="","",INT((Log[[#This Row],[Date]]-Sprint1)/SprintDays)+1)</f>
      </c>
      <c r="I149" s="17">
        <f>IF(OR(Log[[#This Row],[Verb]]="commit",Log[[#This Row],[Verb]]="carry",Log[[#This Row],[Verb]]="redo"),IF(Log[[#This Row],[Arg]]="",Log[[#This Row],[Sprint]],N(Log[[#This Row],[Arg]])),"")</f>
      </c>
      <c r="J149" s="17">
        <f>IF(Log[[#This Row],[Verb]]="block",1,IF(OR(Log[[#This Row],[Verb]]="unblock",Log[[#This Row],[Verb]]="done",Log[[#This Row],[Verb]]="drop",Log[[#This Row],[Verb]]="punt",Log[[#This Row],[Verb]]="pass"),0,""))</f>
      </c>
      <c r="K149" s="17">
        <f>IF(Log[[#This Row],[ID]]="",0,IFERROR(INDEX(Items[Pts],MATCH(Log[[#This Row],[ID]],Items[ID],0))*1,0))</f>
      </c>
      <c r="L149" s="17">
        <f>IF(Log[[#This Row],[ID]]="","",IFERROR(INDEX(Items[Cur team],MATCH(Log[[#This Row],[ID]],Items[ID],0))&amp;"",""))</f>
      </c>
      <c r="M149" s="17">
        <f>IF(OR(Log[[#This Row],[Verb]]="done",Log[[#This Row],[Verb]]="punt",Log[[#This Row],[Verb]]="drop",Log[[#This Row],[Verb]]="pass"),Log[[#This Row],[Pts]],0)</f>
      </c>
    </row>
    <row r="150">
      <c r="A150" s="11">
        <v>46090</v>
      </c>
      <c r="B150" t="s">
        <v>214</v>
      </c>
      <c r="C150" t="s">
        <v>38</v>
      </c>
      <c r="D150">
        <v>39</v>
      </c>
      <c r="F150" s="17">
        <f>IF(Log[[#This Row],[ID]]="","",IF(ISNA(MATCH(Log[[#This Row],[ID]],Items[ID],0)),"unknown ID",IF(ISNA(MATCH(Log[[#This Row],[Verb]],VerbList,0)),"unknown verb",IF(Log[[#This Row],[Date]]="","no date",""))))</f>
      </c>
      <c r="G150" s="17">
        <f>IF(Log[[#This Row],[ID]]="","",IFERROR(VLOOKUP(Log[[#This Row],[Verb]],Verbs,3,FALSE)&amp;"",""))</f>
      </c>
      <c r="H150" s="17">
        <f>IF(Log[[#This Row],[Date]]="","",INT((Log[[#This Row],[Date]]-Sprint1)/SprintDays)+1)</f>
      </c>
      <c r="I150" s="17">
        <f>IF(OR(Log[[#This Row],[Verb]]="commit",Log[[#This Row],[Verb]]="carry",Log[[#This Row],[Verb]]="redo"),IF(Log[[#This Row],[Arg]]="",Log[[#This Row],[Sprint]],N(Log[[#This Row],[Arg]])),"")</f>
      </c>
      <c r="J150" s="17">
        <f>IF(Log[[#This Row],[Verb]]="block",1,IF(OR(Log[[#This Row],[Verb]]="unblock",Log[[#This Row],[Verb]]="done",Log[[#This Row],[Verb]]="drop",Log[[#This Row],[Verb]]="punt",Log[[#This Row],[Verb]]="pass"),0,""))</f>
      </c>
      <c r="K150" s="17">
        <f>IF(Log[[#This Row],[ID]]="",0,IFERROR(INDEX(Items[Pts],MATCH(Log[[#This Row],[ID]],Items[ID],0))*1,0))</f>
      </c>
      <c r="L150" s="17">
        <f>IF(Log[[#This Row],[ID]]="","",IFERROR(INDEX(Items[Cur team],MATCH(Log[[#This Row],[ID]],Items[ID],0))&amp;"",""))</f>
      </c>
      <c r="M150" s="17">
        <f>IF(OR(Log[[#This Row],[Verb]]="done",Log[[#This Row],[Verb]]="punt",Log[[#This Row],[Verb]]="drop",Log[[#This Row],[Verb]]="pass"),Log[[#This Row],[Pts]],0)</f>
      </c>
    </row>
    <row r="151">
      <c r="A151" s="11">
        <v>46090</v>
      </c>
      <c r="B151" t="s">
        <v>215</v>
      </c>
      <c r="C151" t="s">
        <v>38</v>
      </c>
      <c r="D151">
        <v>39</v>
      </c>
      <c r="F151" s="17">
        <f>IF(Log[[#This Row],[ID]]="","",IF(ISNA(MATCH(Log[[#This Row],[ID]],Items[ID],0)),"unknown ID",IF(ISNA(MATCH(Log[[#This Row],[Verb]],VerbList,0)),"unknown verb",IF(Log[[#This Row],[Date]]="","no date",""))))</f>
      </c>
      <c r="G151" s="17">
        <f>IF(Log[[#This Row],[ID]]="","",IFERROR(VLOOKUP(Log[[#This Row],[Verb]],Verbs,3,FALSE)&amp;"",""))</f>
      </c>
      <c r="H151" s="17">
        <f>IF(Log[[#This Row],[Date]]="","",INT((Log[[#This Row],[Date]]-Sprint1)/SprintDays)+1)</f>
      </c>
      <c r="I151" s="17">
        <f>IF(OR(Log[[#This Row],[Verb]]="commit",Log[[#This Row],[Verb]]="carry",Log[[#This Row],[Verb]]="redo"),IF(Log[[#This Row],[Arg]]="",Log[[#This Row],[Sprint]],N(Log[[#This Row],[Arg]])),"")</f>
      </c>
      <c r="J151" s="17">
        <f>IF(Log[[#This Row],[Verb]]="block",1,IF(OR(Log[[#This Row],[Verb]]="unblock",Log[[#This Row],[Verb]]="done",Log[[#This Row],[Verb]]="drop",Log[[#This Row],[Verb]]="punt",Log[[#This Row],[Verb]]="pass"),0,""))</f>
      </c>
      <c r="K151" s="17">
        <f>IF(Log[[#This Row],[ID]]="",0,IFERROR(INDEX(Items[Pts],MATCH(Log[[#This Row],[ID]],Items[ID],0))*1,0))</f>
      </c>
      <c r="L151" s="17">
        <f>IF(Log[[#This Row],[ID]]="","",IFERROR(INDEX(Items[Cur team],MATCH(Log[[#This Row],[ID]],Items[ID],0))&amp;"",""))</f>
      </c>
      <c r="M151" s="17">
        <f>IF(OR(Log[[#This Row],[Verb]]="done",Log[[#This Row],[Verb]]="punt",Log[[#This Row],[Verb]]="drop",Log[[#This Row],[Verb]]="pass"),Log[[#This Row],[Pts]],0)</f>
      </c>
    </row>
    <row r="152">
      <c r="A152" s="11">
        <v>46090</v>
      </c>
      <c r="B152" t="s">
        <v>216</v>
      </c>
      <c r="C152" t="s">
        <v>41</v>
      </c>
      <c r="F152" s="17">
        <f>IF(Log[[#This Row],[ID]]="","",IF(ISNA(MATCH(Log[[#This Row],[ID]],Items[ID],0)),"unknown ID",IF(ISNA(MATCH(Log[[#This Row],[Verb]],VerbList,0)),"unknown verb",IF(Log[[#This Row],[Date]]="","no date",""))))</f>
      </c>
      <c r="G152" s="17">
        <f>IF(Log[[#This Row],[ID]]="","",IFERROR(VLOOKUP(Log[[#This Row],[Verb]],Verbs,3,FALSE)&amp;"",""))</f>
      </c>
      <c r="H152" s="17">
        <f>IF(Log[[#This Row],[Date]]="","",INT((Log[[#This Row],[Date]]-Sprint1)/SprintDays)+1)</f>
      </c>
      <c r="I152" s="17">
        <f>IF(OR(Log[[#This Row],[Verb]]="commit",Log[[#This Row],[Verb]]="carry",Log[[#This Row],[Verb]]="redo"),IF(Log[[#This Row],[Arg]]="",Log[[#This Row],[Sprint]],N(Log[[#This Row],[Arg]])),"")</f>
      </c>
      <c r="J152" s="17">
        <f>IF(Log[[#This Row],[Verb]]="block",1,IF(OR(Log[[#This Row],[Verb]]="unblock",Log[[#This Row],[Verb]]="done",Log[[#This Row],[Verb]]="drop",Log[[#This Row],[Verb]]="punt",Log[[#This Row],[Verb]]="pass"),0,""))</f>
      </c>
      <c r="K152" s="17">
        <f>IF(Log[[#This Row],[ID]]="",0,IFERROR(INDEX(Items[Pts],MATCH(Log[[#This Row],[ID]],Items[ID],0))*1,0))</f>
      </c>
      <c r="L152" s="17">
        <f>IF(Log[[#This Row],[ID]]="","",IFERROR(INDEX(Items[Cur team],MATCH(Log[[#This Row],[ID]],Items[ID],0))&amp;"",""))</f>
      </c>
      <c r="M152" s="17">
        <f>IF(OR(Log[[#This Row],[Verb]]="done",Log[[#This Row],[Verb]]="punt",Log[[#This Row],[Verb]]="drop",Log[[#This Row],[Verb]]="pass"),Log[[#This Row],[Pts]],0)</f>
      </c>
    </row>
    <row r="153">
      <c r="A153" s="11">
        <v>46090</v>
      </c>
      <c r="B153" t="s">
        <v>217</v>
      </c>
      <c r="C153" t="s">
        <v>41</v>
      </c>
      <c r="F153" s="17">
        <f>IF(Log[[#This Row],[ID]]="","",IF(ISNA(MATCH(Log[[#This Row],[ID]],Items[ID],0)),"unknown ID",IF(ISNA(MATCH(Log[[#This Row],[Verb]],VerbList,0)),"unknown verb",IF(Log[[#This Row],[Date]]="","no date",""))))</f>
      </c>
      <c r="G153" s="17">
        <f>IF(Log[[#This Row],[ID]]="","",IFERROR(VLOOKUP(Log[[#This Row],[Verb]],Verbs,3,FALSE)&amp;"",""))</f>
      </c>
      <c r="H153" s="17">
        <f>IF(Log[[#This Row],[Date]]="","",INT((Log[[#This Row],[Date]]-Sprint1)/SprintDays)+1)</f>
      </c>
      <c r="I153" s="17">
        <f>IF(OR(Log[[#This Row],[Verb]]="commit",Log[[#This Row],[Verb]]="carry",Log[[#This Row],[Verb]]="redo"),IF(Log[[#This Row],[Arg]]="",Log[[#This Row],[Sprint]],N(Log[[#This Row],[Arg]])),"")</f>
      </c>
      <c r="J153" s="17">
        <f>IF(Log[[#This Row],[Verb]]="block",1,IF(OR(Log[[#This Row],[Verb]]="unblock",Log[[#This Row],[Verb]]="done",Log[[#This Row],[Verb]]="drop",Log[[#This Row],[Verb]]="punt",Log[[#This Row],[Verb]]="pass"),0,""))</f>
      </c>
      <c r="K153" s="17">
        <f>IF(Log[[#This Row],[ID]]="",0,IFERROR(INDEX(Items[Pts],MATCH(Log[[#This Row],[ID]],Items[ID],0))*1,0))</f>
      </c>
      <c r="L153" s="17">
        <f>IF(Log[[#This Row],[ID]]="","",IFERROR(INDEX(Items[Cur team],MATCH(Log[[#This Row],[ID]],Items[ID],0))&amp;"",""))</f>
      </c>
      <c r="M153" s="17">
        <f>IF(OR(Log[[#This Row],[Verb]]="done",Log[[#This Row],[Verb]]="punt",Log[[#This Row],[Verb]]="drop",Log[[#This Row],[Verb]]="pass"),Log[[#This Row],[Pts]],0)</f>
      </c>
    </row>
    <row r="154">
      <c r="A154" s="11">
        <v>46090</v>
      </c>
      <c r="B154" t="s">
        <v>218</v>
      </c>
      <c r="C154" t="s">
        <v>41</v>
      </c>
      <c r="F154" s="17">
        <f>IF(Log[[#This Row],[ID]]="","",IF(ISNA(MATCH(Log[[#This Row],[ID]],Items[ID],0)),"unknown ID",IF(ISNA(MATCH(Log[[#This Row],[Verb]],VerbList,0)),"unknown verb",IF(Log[[#This Row],[Date]]="","no date",""))))</f>
      </c>
      <c r="G154" s="17">
        <f>IF(Log[[#This Row],[ID]]="","",IFERROR(VLOOKUP(Log[[#This Row],[Verb]],Verbs,3,FALSE)&amp;"",""))</f>
      </c>
      <c r="H154" s="17">
        <f>IF(Log[[#This Row],[Date]]="","",INT((Log[[#This Row],[Date]]-Sprint1)/SprintDays)+1)</f>
      </c>
      <c r="I154" s="17">
        <f>IF(OR(Log[[#This Row],[Verb]]="commit",Log[[#This Row],[Verb]]="carry",Log[[#This Row],[Verb]]="redo"),IF(Log[[#This Row],[Arg]]="",Log[[#This Row],[Sprint]],N(Log[[#This Row],[Arg]])),"")</f>
      </c>
      <c r="J154" s="17">
        <f>IF(Log[[#This Row],[Verb]]="block",1,IF(OR(Log[[#This Row],[Verb]]="unblock",Log[[#This Row],[Verb]]="done",Log[[#This Row],[Verb]]="drop",Log[[#This Row],[Verb]]="punt",Log[[#This Row],[Verb]]="pass"),0,""))</f>
      </c>
      <c r="K154" s="17">
        <f>IF(Log[[#This Row],[ID]]="",0,IFERROR(INDEX(Items[Pts],MATCH(Log[[#This Row],[ID]],Items[ID],0))*1,0))</f>
      </c>
      <c r="L154" s="17">
        <f>IF(Log[[#This Row],[ID]]="","",IFERROR(INDEX(Items[Cur team],MATCH(Log[[#This Row],[ID]],Items[ID],0))&amp;"",""))</f>
      </c>
      <c r="M154" s="17">
        <f>IF(OR(Log[[#This Row],[Verb]]="done",Log[[#This Row],[Verb]]="punt",Log[[#This Row],[Verb]]="drop",Log[[#This Row],[Verb]]="pass"),Log[[#This Row],[Pts]],0)</f>
      </c>
    </row>
    <row r="155">
      <c r="A155" s="11">
        <v>46090</v>
      </c>
      <c r="B155" t="s">
        <v>168</v>
      </c>
      <c r="C155" t="s">
        <v>38</v>
      </c>
      <c r="D155">
        <v>39</v>
      </c>
      <c r="F155" s="17">
        <f>IF(Log[[#This Row],[ID]]="","",IF(ISNA(MATCH(Log[[#This Row],[ID]],Items[ID],0)),"unknown ID",IF(ISNA(MATCH(Log[[#This Row],[Verb]],VerbList,0)),"unknown verb",IF(Log[[#This Row],[Date]]="","no date",""))))</f>
      </c>
      <c r="G155" s="17">
        <f>IF(Log[[#This Row],[ID]]="","",IFERROR(VLOOKUP(Log[[#This Row],[Verb]],Verbs,3,FALSE)&amp;"",""))</f>
      </c>
      <c r="H155" s="17">
        <f>IF(Log[[#This Row],[Date]]="","",INT((Log[[#This Row],[Date]]-Sprint1)/SprintDays)+1)</f>
      </c>
      <c r="I155" s="17">
        <f>IF(OR(Log[[#This Row],[Verb]]="commit",Log[[#This Row],[Verb]]="carry",Log[[#This Row],[Verb]]="redo"),IF(Log[[#This Row],[Arg]]="",Log[[#This Row],[Sprint]],N(Log[[#This Row],[Arg]])),"")</f>
      </c>
      <c r="J155" s="17">
        <f>IF(Log[[#This Row],[Verb]]="block",1,IF(OR(Log[[#This Row],[Verb]]="unblock",Log[[#This Row],[Verb]]="done",Log[[#This Row],[Verb]]="drop",Log[[#This Row],[Verb]]="punt",Log[[#This Row],[Verb]]="pass"),0,""))</f>
      </c>
      <c r="K155" s="17">
        <f>IF(Log[[#This Row],[ID]]="",0,IFERROR(INDEX(Items[Pts],MATCH(Log[[#This Row],[ID]],Items[ID],0))*1,0))</f>
      </c>
      <c r="L155" s="17">
        <f>IF(Log[[#This Row],[ID]]="","",IFERROR(INDEX(Items[Cur team],MATCH(Log[[#This Row],[ID]],Items[ID],0))&amp;"",""))</f>
      </c>
      <c r="M155" s="17">
        <f>IF(OR(Log[[#This Row],[Verb]]="done",Log[[#This Row],[Verb]]="punt",Log[[#This Row],[Verb]]="drop",Log[[#This Row],[Verb]]="pass"),Log[[#This Row],[Pts]],0)</f>
      </c>
    </row>
    <row r="156">
      <c r="A156" s="11">
        <v>46090</v>
      </c>
      <c r="B156" t="s">
        <v>179</v>
      </c>
      <c r="C156" t="s">
        <v>38</v>
      </c>
      <c r="D156">
        <v>39</v>
      </c>
      <c r="F156" s="17">
        <f>IF(Log[[#This Row],[ID]]="","",IF(ISNA(MATCH(Log[[#This Row],[ID]],Items[ID],0)),"unknown ID",IF(ISNA(MATCH(Log[[#This Row],[Verb]],VerbList,0)),"unknown verb",IF(Log[[#This Row],[Date]]="","no date",""))))</f>
      </c>
      <c r="G156" s="17">
        <f>IF(Log[[#This Row],[ID]]="","",IFERROR(VLOOKUP(Log[[#This Row],[Verb]],Verbs,3,FALSE)&amp;"",""))</f>
      </c>
      <c r="H156" s="17">
        <f>IF(Log[[#This Row],[Date]]="","",INT((Log[[#This Row],[Date]]-Sprint1)/SprintDays)+1)</f>
      </c>
      <c r="I156" s="17">
        <f>IF(OR(Log[[#This Row],[Verb]]="commit",Log[[#This Row],[Verb]]="carry",Log[[#This Row],[Verb]]="redo"),IF(Log[[#This Row],[Arg]]="",Log[[#This Row],[Sprint]],N(Log[[#This Row],[Arg]])),"")</f>
      </c>
      <c r="J156" s="17">
        <f>IF(Log[[#This Row],[Verb]]="block",1,IF(OR(Log[[#This Row],[Verb]]="unblock",Log[[#This Row],[Verb]]="done",Log[[#This Row],[Verb]]="drop",Log[[#This Row],[Verb]]="punt",Log[[#This Row],[Verb]]="pass"),0,""))</f>
      </c>
      <c r="K156" s="17">
        <f>IF(Log[[#This Row],[ID]]="",0,IFERROR(INDEX(Items[Pts],MATCH(Log[[#This Row],[ID]],Items[ID],0))*1,0))</f>
      </c>
      <c r="L156" s="17">
        <f>IF(Log[[#This Row],[ID]]="","",IFERROR(INDEX(Items[Cur team],MATCH(Log[[#This Row],[ID]],Items[ID],0))&amp;"",""))</f>
      </c>
      <c r="M156" s="17">
        <f>IF(OR(Log[[#This Row],[Verb]]="done",Log[[#This Row],[Verb]]="punt",Log[[#This Row],[Verb]]="drop",Log[[#This Row],[Verb]]="pass"),Log[[#This Row],[Pts]],0)</f>
      </c>
    </row>
    <row r="157">
      <c r="A157" s="11">
        <v>46090</v>
      </c>
      <c r="B157" t="s">
        <v>180</v>
      </c>
      <c r="C157" t="s">
        <v>41</v>
      </c>
      <c r="F157" s="17">
        <f>IF(Log[[#This Row],[ID]]="","",IF(ISNA(MATCH(Log[[#This Row],[ID]],Items[ID],0)),"unknown ID",IF(ISNA(MATCH(Log[[#This Row],[Verb]],VerbList,0)),"unknown verb",IF(Log[[#This Row],[Date]]="","no date",""))))</f>
      </c>
      <c r="G157" s="17">
        <f>IF(Log[[#This Row],[ID]]="","",IFERROR(VLOOKUP(Log[[#This Row],[Verb]],Verbs,3,FALSE)&amp;"",""))</f>
      </c>
      <c r="H157" s="17">
        <f>IF(Log[[#This Row],[Date]]="","",INT((Log[[#This Row],[Date]]-Sprint1)/SprintDays)+1)</f>
      </c>
      <c r="I157" s="17">
        <f>IF(OR(Log[[#This Row],[Verb]]="commit",Log[[#This Row],[Verb]]="carry",Log[[#This Row],[Verb]]="redo"),IF(Log[[#This Row],[Arg]]="",Log[[#This Row],[Sprint]],N(Log[[#This Row],[Arg]])),"")</f>
      </c>
      <c r="J157" s="17">
        <f>IF(Log[[#This Row],[Verb]]="block",1,IF(OR(Log[[#This Row],[Verb]]="unblock",Log[[#This Row],[Verb]]="done",Log[[#This Row],[Verb]]="drop",Log[[#This Row],[Verb]]="punt",Log[[#This Row],[Verb]]="pass"),0,""))</f>
      </c>
      <c r="K157" s="17">
        <f>IF(Log[[#This Row],[ID]]="",0,IFERROR(INDEX(Items[Pts],MATCH(Log[[#This Row],[ID]],Items[ID],0))*1,0))</f>
      </c>
      <c r="L157" s="17">
        <f>IF(Log[[#This Row],[ID]]="","",IFERROR(INDEX(Items[Cur team],MATCH(Log[[#This Row],[ID]],Items[ID],0))&amp;"",""))</f>
      </c>
      <c r="M157" s="17">
        <f>IF(OR(Log[[#This Row],[Verb]]="done",Log[[#This Row],[Verb]]="punt",Log[[#This Row],[Verb]]="drop",Log[[#This Row],[Verb]]="pass"),Log[[#This Row],[Pts]],0)</f>
      </c>
    </row>
    <row r="158">
      <c r="A158" s="11">
        <v>46090</v>
      </c>
      <c r="B158" t="s">
        <v>219</v>
      </c>
      <c r="C158" t="s">
        <v>38</v>
      </c>
      <c r="D158">
        <v>39</v>
      </c>
      <c r="F158" s="17">
        <f>IF(Log[[#This Row],[ID]]="","",IF(ISNA(MATCH(Log[[#This Row],[ID]],Items[ID],0)),"unknown ID",IF(ISNA(MATCH(Log[[#This Row],[Verb]],VerbList,0)),"unknown verb",IF(Log[[#This Row],[Date]]="","no date",""))))</f>
      </c>
      <c r="G158" s="17">
        <f>IF(Log[[#This Row],[ID]]="","",IFERROR(VLOOKUP(Log[[#This Row],[Verb]],Verbs,3,FALSE)&amp;"",""))</f>
      </c>
      <c r="H158" s="17">
        <f>IF(Log[[#This Row],[Date]]="","",INT((Log[[#This Row],[Date]]-Sprint1)/SprintDays)+1)</f>
      </c>
      <c r="I158" s="17">
        <f>IF(OR(Log[[#This Row],[Verb]]="commit",Log[[#This Row],[Verb]]="carry",Log[[#This Row],[Verb]]="redo"),IF(Log[[#This Row],[Arg]]="",Log[[#This Row],[Sprint]],N(Log[[#This Row],[Arg]])),"")</f>
      </c>
      <c r="J158" s="17">
        <f>IF(Log[[#This Row],[Verb]]="block",1,IF(OR(Log[[#This Row],[Verb]]="unblock",Log[[#This Row],[Verb]]="done",Log[[#This Row],[Verb]]="drop",Log[[#This Row],[Verb]]="punt",Log[[#This Row],[Verb]]="pass"),0,""))</f>
      </c>
      <c r="K158" s="17">
        <f>IF(Log[[#This Row],[ID]]="",0,IFERROR(INDEX(Items[Pts],MATCH(Log[[#This Row],[ID]],Items[ID],0))*1,0))</f>
      </c>
      <c r="L158" s="17">
        <f>IF(Log[[#This Row],[ID]]="","",IFERROR(INDEX(Items[Cur team],MATCH(Log[[#This Row],[ID]],Items[ID],0))&amp;"",""))</f>
      </c>
      <c r="M158" s="17">
        <f>IF(OR(Log[[#This Row],[Verb]]="done",Log[[#This Row],[Verb]]="punt",Log[[#This Row],[Verb]]="drop",Log[[#This Row],[Verb]]="pass"),Log[[#This Row],[Pts]],0)</f>
      </c>
    </row>
    <row r="159">
      <c r="A159" s="11">
        <v>46090</v>
      </c>
      <c r="B159" t="s">
        <v>220</v>
      </c>
      <c r="C159" t="s">
        <v>41</v>
      </c>
      <c r="F159" s="17">
        <f>IF(Log[[#This Row],[ID]]="","",IF(ISNA(MATCH(Log[[#This Row],[ID]],Items[ID],0)),"unknown ID",IF(ISNA(MATCH(Log[[#This Row],[Verb]],VerbList,0)),"unknown verb",IF(Log[[#This Row],[Date]]="","no date",""))))</f>
      </c>
      <c r="G159" s="17">
        <f>IF(Log[[#This Row],[ID]]="","",IFERROR(VLOOKUP(Log[[#This Row],[Verb]],Verbs,3,FALSE)&amp;"",""))</f>
      </c>
      <c r="H159" s="17">
        <f>IF(Log[[#This Row],[Date]]="","",INT((Log[[#This Row],[Date]]-Sprint1)/SprintDays)+1)</f>
      </c>
      <c r="I159" s="17">
        <f>IF(OR(Log[[#This Row],[Verb]]="commit",Log[[#This Row],[Verb]]="carry",Log[[#This Row],[Verb]]="redo"),IF(Log[[#This Row],[Arg]]="",Log[[#This Row],[Sprint]],N(Log[[#This Row],[Arg]])),"")</f>
      </c>
      <c r="J159" s="17">
        <f>IF(Log[[#This Row],[Verb]]="block",1,IF(OR(Log[[#This Row],[Verb]]="unblock",Log[[#This Row],[Verb]]="done",Log[[#This Row],[Verb]]="drop",Log[[#This Row],[Verb]]="punt",Log[[#This Row],[Verb]]="pass"),0,""))</f>
      </c>
      <c r="K159" s="17">
        <f>IF(Log[[#This Row],[ID]]="",0,IFERROR(INDEX(Items[Pts],MATCH(Log[[#This Row],[ID]],Items[ID],0))*1,0))</f>
      </c>
      <c r="L159" s="17">
        <f>IF(Log[[#This Row],[ID]]="","",IFERROR(INDEX(Items[Cur team],MATCH(Log[[#This Row],[ID]],Items[ID],0))&amp;"",""))</f>
      </c>
      <c r="M159" s="17">
        <f>IF(OR(Log[[#This Row],[Verb]]="done",Log[[#This Row],[Verb]]="punt",Log[[#This Row],[Verb]]="drop",Log[[#This Row],[Verb]]="pass"),Log[[#This Row],[Pts]],0)</f>
      </c>
    </row>
    <row r="160">
      <c r="A160" s="11">
        <v>46090</v>
      </c>
      <c r="B160" t="s">
        <v>221</v>
      </c>
      <c r="C160" t="s">
        <v>41</v>
      </c>
      <c r="F160" s="17">
        <f>IF(Log[[#This Row],[ID]]="","",IF(ISNA(MATCH(Log[[#This Row],[ID]],Items[ID],0)),"unknown ID",IF(ISNA(MATCH(Log[[#This Row],[Verb]],VerbList,0)),"unknown verb",IF(Log[[#This Row],[Date]]="","no date",""))))</f>
      </c>
      <c r="G160" s="17">
        <f>IF(Log[[#This Row],[ID]]="","",IFERROR(VLOOKUP(Log[[#This Row],[Verb]],Verbs,3,FALSE)&amp;"",""))</f>
      </c>
      <c r="H160" s="17">
        <f>IF(Log[[#This Row],[Date]]="","",INT((Log[[#This Row],[Date]]-Sprint1)/SprintDays)+1)</f>
      </c>
      <c r="I160" s="17">
        <f>IF(OR(Log[[#This Row],[Verb]]="commit",Log[[#This Row],[Verb]]="carry",Log[[#This Row],[Verb]]="redo"),IF(Log[[#This Row],[Arg]]="",Log[[#This Row],[Sprint]],N(Log[[#This Row],[Arg]])),"")</f>
      </c>
      <c r="J160" s="17">
        <f>IF(Log[[#This Row],[Verb]]="block",1,IF(OR(Log[[#This Row],[Verb]]="unblock",Log[[#This Row],[Verb]]="done",Log[[#This Row],[Verb]]="drop",Log[[#This Row],[Verb]]="punt",Log[[#This Row],[Verb]]="pass"),0,""))</f>
      </c>
      <c r="K160" s="17">
        <f>IF(Log[[#This Row],[ID]]="",0,IFERROR(INDEX(Items[Pts],MATCH(Log[[#This Row],[ID]],Items[ID],0))*1,0))</f>
      </c>
      <c r="L160" s="17">
        <f>IF(Log[[#This Row],[ID]]="","",IFERROR(INDEX(Items[Cur team],MATCH(Log[[#This Row],[ID]],Items[ID],0))&amp;"",""))</f>
      </c>
      <c r="M160" s="17">
        <f>IF(OR(Log[[#This Row],[Verb]]="done",Log[[#This Row],[Verb]]="punt",Log[[#This Row],[Verb]]="drop",Log[[#This Row],[Verb]]="pass"),Log[[#This Row],[Pts]],0)</f>
      </c>
    </row>
    <row r="161">
      <c r="A161" s="11">
        <v>46090</v>
      </c>
      <c r="B161" t="s">
        <v>222</v>
      </c>
      <c r="C161" t="s">
        <v>41</v>
      </c>
      <c r="F161" s="17">
        <f>IF(Log[[#This Row],[ID]]="","",IF(ISNA(MATCH(Log[[#This Row],[ID]],Items[ID],0)),"unknown ID",IF(ISNA(MATCH(Log[[#This Row],[Verb]],VerbList,0)),"unknown verb",IF(Log[[#This Row],[Date]]="","no date",""))))</f>
      </c>
      <c r="G161" s="17">
        <f>IF(Log[[#This Row],[ID]]="","",IFERROR(VLOOKUP(Log[[#This Row],[Verb]],Verbs,3,FALSE)&amp;"",""))</f>
      </c>
      <c r="H161" s="17">
        <f>IF(Log[[#This Row],[Date]]="","",INT((Log[[#This Row],[Date]]-Sprint1)/SprintDays)+1)</f>
      </c>
      <c r="I161" s="17">
        <f>IF(OR(Log[[#This Row],[Verb]]="commit",Log[[#This Row],[Verb]]="carry",Log[[#This Row],[Verb]]="redo"),IF(Log[[#This Row],[Arg]]="",Log[[#This Row],[Sprint]],N(Log[[#This Row],[Arg]])),"")</f>
      </c>
      <c r="J161" s="17">
        <f>IF(Log[[#This Row],[Verb]]="block",1,IF(OR(Log[[#This Row],[Verb]]="unblock",Log[[#This Row],[Verb]]="done",Log[[#This Row],[Verb]]="drop",Log[[#This Row],[Verb]]="punt",Log[[#This Row],[Verb]]="pass"),0,""))</f>
      </c>
      <c r="K161" s="17">
        <f>IF(Log[[#This Row],[ID]]="",0,IFERROR(INDEX(Items[Pts],MATCH(Log[[#This Row],[ID]],Items[ID],0))*1,0))</f>
      </c>
      <c r="L161" s="17">
        <f>IF(Log[[#This Row],[ID]]="","",IFERROR(INDEX(Items[Cur team],MATCH(Log[[#This Row],[ID]],Items[ID],0))&amp;"",""))</f>
      </c>
      <c r="M161" s="17">
        <f>IF(OR(Log[[#This Row],[Verb]]="done",Log[[#This Row],[Verb]]="punt",Log[[#This Row],[Verb]]="drop",Log[[#This Row],[Verb]]="pass"),Log[[#This Row],[Pts]],0)</f>
      </c>
    </row>
    <row r="162">
      <c r="A162" s="11">
        <v>46090</v>
      </c>
      <c r="B162" t="s">
        <v>223</v>
      </c>
      <c r="C162" t="s">
        <v>41</v>
      </c>
      <c r="F162" s="17">
        <f>IF(Log[[#This Row],[ID]]="","",IF(ISNA(MATCH(Log[[#This Row],[ID]],Items[ID],0)),"unknown ID",IF(ISNA(MATCH(Log[[#This Row],[Verb]],VerbList,0)),"unknown verb",IF(Log[[#This Row],[Date]]="","no date",""))))</f>
      </c>
      <c r="G162" s="17">
        <f>IF(Log[[#This Row],[ID]]="","",IFERROR(VLOOKUP(Log[[#This Row],[Verb]],Verbs,3,FALSE)&amp;"",""))</f>
      </c>
      <c r="H162" s="17">
        <f>IF(Log[[#This Row],[Date]]="","",INT((Log[[#This Row],[Date]]-Sprint1)/SprintDays)+1)</f>
      </c>
      <c r="I162" s="17">
        <f>IF(OR(Log[[#This Row],[Verb]]="commit",Log[[#This Row],[Verb]]="carry",Log[[#This Row],[Verb]]="redo"),IF(Log[[#This Row],[Arg]]="",Log[[#This Row],[Sprint]],N(Log[[#This Row],[Arg]])),"")</f>
      </c>
      <c r="J162" s="17">
        <f>IF(Log[[#This Row],[Verb]]="block",1,IF(OR(Log[[#This Row],[Verb]]="unblock",Log[[#This Row],[Verb]]="done",Log[[#This Row],[Verb]]="drop",Log[[#This Row],[Verb]]="punt",Log[[#This Row],[Verb]]="pass"),0,""))</f>
      </c>
      <c r="K162" s="17">
        <f>IF(Log[[#This Row],[ID]]="",0,IFERROR(INDEX(Items[Pts],MATCH(Log[[#This Row],[ID]],Items[ID],0))*1,0))</f>
      </c>
      <c r="L162" s="17">
        <f>IF(Log[[#This Row],[ID]]="","",IFERROR(INDEX(Items[Cur team],MATCH(Log[[#This Row],[ID]],Items[ID],0))&amp;"",""))</f>
      </c>
      <c r="M162" s="17">
        <f>IF(OR(Log[[#This Row],[Verb]]="done",Log[[#This Row],[Verb]]="punt",Log[[#This Row],[Verb]]="drop",Log[[#This Row],[Verb]]="pass"),Log[[#This Row],[Pts]],0)</f>
      </c>
    </row>
    <row r="163">
      <c r="A163" s="11">
        <v>46090</v>
      </c>
      <c r="B163" t="s">
        <v>169</v>
      </c>
      <c r="C163" t="s">
        <v>41</v>
      </c>
      <c r="F163" s="17">
        <f>IF(Log[[#This Row],[ID]]="","",IF(ISNA(MATCH(Log[[#This Row],[ID]],Items[ID],0)),"unknown ID",IF(ISNA(MATCH(Log[[#This Row],[Verb]],VerbList,0)),"unknown verb",IF(Log[[#This Row],[Date]]="","no date",""))))</f>
      </c>
      <c r="G163" s="17">
        <f>IF(Log[[#This Row],[ID]]="","",IFERROR(VLOOKUP(Log[[#This Row],[Verb]],Verbs,3,FALSE)&amp;"",""))</f>
      </c>
      <c r="H163" s="17">
        <f>IF(Log[[#This Row],[Date]]="","",INT((Log[[#This Row],[Date]]-Sprint1)/SprintDays)+1)</f>
      </c>
      <c r="I163" s="17">
        <f>IF(OR(Log[[#This Row],[Verb]]="commit",Log[[#This Row],[Verb]]="carry",Log[[#This Row],[Verb]]="redo"),IF(Log[[#This Row],[Arg]]="",Log[[#This Row],[Sprint]],N(Log[[#This Row],[Arg]])),"")</f>
      </c>
      <c r="J163" s="17">
        <f>IF(Log[[#This Row],[Verb]]="block",1,IF(OR(Log[[#This Row],[Verb]]="unblock",Log[[#This Row],[Verb]]="done",Log[[#This Row],[Verb]]="drop",Log[[#This Row],[Verb]]="punt",Log[[#This Row],[Verb]]="pass"),0,""))</f>
      </c>
      <c r="K163" s="17">
        <f>IF(Log[[#This Row],[ID]]="",0,IFERROR(INDEX(Items[Pts],MATCH(Log[[#This Row],[ID]],Items[ID],0))*1,0))</f>
      </c>
      <c r="L163" s="17">
        <f>IF(Log[[#This Row],[ID]]="","",IFERROR(INDEX(Items[Cur team],MATCH(Log[[#This Row],[ID]],Items[ID],0))&amp;"",""))</f>
      </c>
      <c r="M163" s="17">
        <f>IF(OR(Log[[#This Row],[Verb]]="done",Log[[#This Row],[Verb]]="punt",Log[[#This Row],[Verb]]="drop",Log[[#This Row],[Verb]]="pass"),Log[[#This Row],[Pts]],0)</f>
      </c>
    </row>
    <row r="164">
      <c r="A164" s="11">
        <v>46090</v>
      </c>
      <c r="B164" t="s">
        <v>181</v>
      </c>
      <c r="C164" t="s">
        <v>38</v>
      </c>
      <c r="D164">
        <v>39</v>
      </c>
      <c r="F164" s="17">
        <f>IF(Log[[#This Row],[ID]]="","",IF(ISNA(MATCH(Log[[#This Row],[ID]],Items[ID],0)),"unknown ID",IF(ISNA(MATCH(Log[[#This Row],[Verb]],VerbList,0)),"unknown verb",IF(Log[[#This Row],[Date]]="","no date",""))))</f>
      </c>
      <c r="G164" s="17">
        <f>IF(Log[[#This Row],[ID]]="","",IFERROR(VLOOKUP(Log[[#This Row],[Verb]],Verbs,3,FALSE)&amp;"",""))</f>
      </c>
      <c r="H164" s="17">
        <f>IF(Log[[#This Row],[Date]]="","",INT((Log[[#This Row],[Date]]-Sprint1)/SprintDays)+1)</f>
      </c>
      <c r="I164" s="17">
        <f>IF(OR(Log[[#This Row],[Verb]]="commit",Log[[#This Row],[Verb]]="carry",Log[[#This Row],[Verb]]="redo"),IF(Log[[#This Row],[Arg]]="",Log[[#This Row],[Sprint]],N(Log[[#This Row],[Arg]])),"")</f>
      </c>
      <c r="J164" s="17">
        <f>IF(Log[[#This Row],[Verb]]="block",1,IF(OR(Log[[#This Row],[Verb]]="unblock",Log[[#This Row],[Verb]]="done",Log[[#This Row],[Verb]]="drop",Log[[#This Row],[Verb]]="punt",Log[[#This Row],[Verb]]="pass"),0,""))</f>
      </c>
      <c r="K164" s="17">
        <f>IF(Log[[#This Row],[ID]]="",0,IFERROR(INDEX(Items[Pts],MATCH(Log[[#This Row],[ID]],Items[ID],0))*1,0))</f>
      </c>
      <c r="L164" s="17">
        <f>IF(Log[[#This Row],[ID]]="","",IFERROR(INDEX(Items[Cur team],MATCH(Log[[#This Row],[ID]],Items[ID],0))&amp;"",""))</f>
      </c>
      <c r="M164" s="17">
        <f>IF(OR(Log[[#This Row],[Verb]]="done",Log[[#This Row],[Verb]]="punt",Log[[#This Row],[Verb]]="drop",Log[[#This Row],[Verb]]="pass"),Log[[#This Row],[Pts]],0)</f>
      </c>
    </row>
    <row r="165">
      <c r="A165" s="11">
        <v>46090</v>
      </c>
      <c r="B165" t="s">
        <v>224</v>
      </c>
      <c r="C165" t="s">
        <v>41</v>
      </c>
      <c r="F165" s="17">
        <f>IF(Log[[#This Row],[ID]]="","",IF(ISNA(MATCH(Log[[#This Row],[ID]],Items[ID],0)),"unknown ID",IF(ISNA(MATCH(Log[[#This Row],[Verb]],VerbList,0)),"unknown verb",IF(Log[[#This Row],[Date]]="","no date",""))))</f>
      </c>
      <c r="G165" s="17">
        <f>IF(Log[[#This Row],[ID]]="","",IFERROR(VLOOKUP(Log[[#This Row],[Verb]],Verbs,3,FALSE)&amp;"",""))</f>
      </c>
      <c r="H165" s="17">
        <f>IF(Log[[#This Row],[Date]]="","",INT((Log[[#This Row],[Date]]-Sprint1)/SprintDays)+1)</f>
      </c>
      <c r="I165" s="17">
        <f>IF(OR(Log[[#This Row],[Verb]]="commit",Log[[#This Row],[Verb]]="carry",Log[[#This Row],[Verb]]="redo"),IF(Log[[#This Row],[Arg]]="",Log[[#This Row],[Sprint]],N(Log[[#This Row],[Arg]])),"")</f>
      </c>
      <c r="J165" s="17">
        <f>IF(Log[[#This Row],[Verb]]="block",1,IF(OR(Log[[#This Row],[Verb]]="unblock",Log[[#This Row],[Verb]]="done",Log[[#This Row],[Verb]]="drop",Log[[#This Row],[Verb]]="punt",Log[[#This Row],[Verb]]="pass"),0,""))</f>
      </c>
      <c r="K165" s="17">
        <f>IF(Log[[#This Row],[ID]]="",0,IFERROR(INDEX(Items[Pts],MATCH(Log[[#This Row],[ID]],Items[ID],0))*1,0))</f>
      </c>
      <c r="L165" s="17">
        <f>IF(Log[[#This Row],[ID]]="","",IFERROR(INDEX(Items[Cur team],MATCH(Log[[#This Row],[ID]],Items[ID],0))&amp;"",""))</f>
      </c>
      <c r="M165" s="17">
        <f>IF(OR(Log[[#This Row],[Verb]]="done",Log[[#This Row],[Verb]]="punt",Log[[#This Row],[Verb]]="drop",Log[[#This Row],[Verb]]="pass"),Log[[#This Row],[Pts]],0)</f>
      </c>
    </row>
    <row r="166">
      <c r="A166" s="11">
        <v>46090</v>
      </c>
      <c r="B166" t="s">
        <v>225</v>
      </c>
      <c r="C166" t="s">
        <v>41</v>
      </c>
      <c r="F166" s="17">
        <f>IF(Log[[#This Row],[ID]]="","",IF(ISNA(MATCH(Log[[#This Row],[ID]],Items[ID],0)),"unknown ID",IF(ISNA(MATCH(Log[[#This Row],[Verb]],VerbList,0)),"unknown verb",IF(Log[[#This Row],[Date]]="","no date",""))))</f>
      </c>
      <c r="G166" s="17">
        <f>IF(Log[[#This Row],[ID]]="","",IFERROR(VLOOKUP(Log[[#This Row],[Verb]],Verbs,3,FALSE)&amp;"",""))</f>
      </c>
      <c r="H166" s="17">
        <f>IF(Log[[#This Row],[Date]]="","",INT((Log[[#This Row],[Date]]-Sprint1)/SprintDays)+1)</f>
      </c>
      <c r="I166" s="17">
        <f>IF(OR(Log[[#This Row],[Verb]]="commit",Log[[#This Row],[Verb]]="carry",Log[[#This Row],[Verb]]="redo"),IF(Log[[#This Row],[Arg]]="",Log[[#This Row],[Sprint]],N(Log[[#This Row],[Arg]])),"")</f>
      </c>
      <c r="J166" s="17">
        <f>IF(Log[[#This Row],[Verb]]="block",1,IF(OR(Log[[#This Row],[Verb]]="unblock",Log[[#This Row],[Verb]]="done",Log[[#This Row],[Verb]]="drop",Log[[#This Row],[Verb]]="punt",Log[[#This Row],[Verb]]="pass"),0,""))</f>
      </c>
      <c r="K166" s="17">
        <f>IF(Log[[#This Row],[ID]]="",0,IFERROR(INDEX(Items[Pts],MATCH(Log[[#This Row],[ID]],Items[ID],0))*1,0))</f>
      </c>
      <c r="L166" s="17">
        <f>IF(Log[[#This Row],[ID]]="","",IFERROR(INDEX(Items[Cur team],MATCH(Log[[#This Row],[ID]],Items[ID],0))&amp;"",""))</f>
      </c>
      <c r="M166" s="17">
        <f>IF(OR(Log[[#This Row],[Verb]]="done",Log[[#This Row],[Verb]]="punt",Log[[#This Row],[Verb]]="drop",Log[[#This Row],[Verb]]="pass"),Log[[#This Row],[Pts]],0)</f>
      </c>
    </row>
    <row r="167">
      <c r="A167" s="11">
        <v>46090</v>
      </c>
      <c r="B167" t="s">
        <v>226</v>
      </c>
      <c r="C167" t="s">
        <v>54</v>
      </c>
      <c r="E167" t="s">
        <v>235</v>
      </c>
      <c r="F167" s="17">
        <f>IF(Log[[#This Row],[ID]]="","",IF(ISNA(MATCH(Log[[#This Row],[ID]],Items[ID],0)),"unknown ID",IF(ISNA(MATCH(Log[[#This Row],[Verb]],VerbList,0)),"unknown verb",IF(Log[[#This Row],[Date]]="","no date",""))))</f>
      </c>
      <c r="G167" s="17">
        <f>IF(Log[[#This Row],[ID]]="","",IFERROR(VLOOKUP(Log[[#This Row],[Verb]],Verbs,3,FALSE)&amp;"",""))</f>
      </c>
      <c r="H167" s="17">
        <f>IF(Log[[#This Row],[Date]]="","",INT((Log[[#This Row],[Date]]-Sprint1)/SprintDays)+1)</f>
      </c>
      <c r="I167" s="17">
        <f>IF(OR(Log[[#This Row],[Verb]]="commit",Log[[#This Row],[Verb]]="carry",Log[[#This Row],[Verb]]="redo"),IF(Log[[#This Row],[Arg]]="",Log[[#This Row],[Sprint]],N(Log[[#This Row],[Arg]])),"")</f>
      </c>
      <c r="J167" s="17">
        <f>IF(Log[[#This Row],[Verb]]="block",1,IF(OR(Log[[#This Row],[Verb]]="unblock",Log[[#This Row],[Verb]]="done",Log[[#This Row],[Verb]]="drop",Log[[#This Row],[Verb]]="punt",Log[[#This Row],[Verb]]="pass"),0,""))</f>
      </c>
      <c r="K167" s="17">
        <f>IF(Log[[#This Row],[ID]]="",0,IFERROR(INDEX(Items[Pts],MATCH(Log[[#This Row],[ID]],Items[ID],0))*1,0))</f>
      </c>
      <c r="L167" s="17">
        <f>IF(Log[[#This Row],[ID]]="","",IFERROR(INDEX(Items[Cur team],MATCH(Log[[#This Row],[ID]],Items[ID],0))&amp;"",""))</f>
      </c>
      <c r="M167" s="17">
        <f>IF(OR(Log[[#This Row],[Verb]]="done",Log[[#This Row],[Verb]]="punt",Log[[#This Row],[Verb]]="drop",Log[[#This Row],[Verb]]="pass"),Log[[#This Row],[Pts]],0)</f>
      </c>
    </row>
    <row r="168">
      <c r="A168" s="11">
        <v>46090</v>
      </c>
      <c r="B168" t="s">
        <v>227</v>
      </c>
      <c r="C168" t="s">
        <v>41</v>
      </c>
      <c r="F168" s="17">
        <f>IF(Log[[#This Row],[ID]]="","",IF(ISNA(MATCH(Log[[#This Row],[ID]],Items[ID],0)),"unknown ID",IF(ISNA(MATCH(Log[[#This Row],[Verb]],VerbList,0)),"unknown verb",IF(Log[[#This Row],[Date]]="","no date",""))))</f>
      </c>
      <c r="G168" s="17">
        <f>IF(Log[[#This Row],[ID]]="","",IFERROR(VLOOKUP(Log[[#This Row],[Verb]],Verbs,3,FALSE)&amp;"",""))</f>
      </c>
      <c r="H168" s="17">
        <f>IF(Log[[#This Row],[Date]]="","",INT((Log[[#This Row],[Date]]-Sprint1)/SprintDays)+1)</f>
      </c>
      <c r="I168" s="17">
        <f>IF(OR(Log[[#This Row],[Verb]]="commit",Log[[#This Row],[Verb]]="carry",Log[[#This Row],[Verb]]="redo"),IF(Log[[#This Row],[Arg]]="",Log[[#This Row],[Sprint]],N(Log[[#This Row],[Arg]])),"")</f>
      </c>
      <c r="J168" s="17">
        <f>IF(Log[[#This Row],[Verb]]="block",1,IF(OR(Log[[#This Row],[Verb]]="unblock",Log[[#This Row],[Verb]]="done",Log[[#This Row],[Verb]]="drop",Log[[#This Row],[Verb]]="punt",Log[[#This Row],[Verb]]="pass"),0,""))</f>
      </c>
      <c r="K168" s="17">
        <f>IF(Log[[#This Row],[ID]]="",0,IFERROR(INDEX(Items[Pts],MATCH(Log[[#This Row],[ID]],Items[ID],0))*1,0))</f>
      </c>
      <c r="L168" s="17">
        <f>IF(Log[[#This Row],[ID]]="","",IFERROR(INDEX(Items[Cur team],MATCH(Log[[#This Row],[ID]],Items[ID],0))&amp;"",""))</f>
      </c>
      <c r="M168" s="17">
        <f>IF(OR(Log[[#This Row],[Verb]]="done",Log[[#This Row],[Verb]]="punt",Log[[#This Row],[Verb]]="drop",Log[[#This Row],[Verb]]="pass"),Log[[#This Row],[Pts]],0)</f>
      </c>
    </row>
    <row r="169">
      <c r="A169" s="11">
        <v>46090</v>
      </c>
      <c r="B169" t="s">
        <v>182</v>
      </c>
      <c r="C169" t="s">
        <v>41</v>
      </c>
      <c r="F169" s="17">
        <f>IF(Log[[#This Row],[ID]]="","",IF(ISNA(MATCH(Log[[#This Row],[ID]],Items[ID],0)),"unknown ID",IF(ISNA(MATCH(Log[[#This Row],[Verb]],VerbList,0)),"unknown verb",IF(Log[[#This Row],[Date]]="","no date",""))))</f>
      </c>
      <c r="G169" s="17">
        <f>IF(Log[[#This Row],[ID]]="","",IFERROR(VLOOKUP(Log[[#This Row],[Verb]],Verbs,3,FALSE)&amp;"",""))</f>
      </c>
      <c r="H169" s="17">
        <f>IF(Log[[#This Row],[Date]]="","",INT((Log[[#This Row],[Date]]-Sprint1)/SprintDays)+1)</f>
      </c>
      <c r="I169" s="17">
        <f>IF(OR(Log[[#This Row],[Verb]]="commit",Log[[#This Row],[Verb]]="carry",Log[[#This Row],[Verb]]="redo"),IF(Log[[#This Row],[Arg]]="",Log[[#This Row],[Sprint]],N(Log[[#This Row],[Arg]])),"")</f>
      </c>
      <c r="J169" s="17">
        <f>IF(Log[[#This Row],[Verb]]="block",1,IF(OR(Log[[#This Row],[Verb]]="unblock",Log[[#This Row],[Verb]]="done",Log[[#This Row],[Verb]]="drop",Log[[#This Row],[Verb]]="punt",Log[[#This Row],[Verb]]="pass"),0,""))</f>
      </c>
      <c r="K169" s="17">
        <f>IF(Log[[#This Row],[ID]]="",0,IFERROR(INDEX(Items[Pts],MATCH(Log[[#This Row],[ID]],Items[ID],0))*1,0))</f>
      </c>
      <c r="L169" s="17">
        <f>IF(Log[[#This Row],[ID]]="","",IFERROR(INDEX(Items[Cur team],MATCH(Log[[#This Row],[ID]],Items[ID],0))&amp;"",""))</f>
      </c>
      <c r="M169" s="17">
        <f>IF(OR(Log[[#This Row],[Verb]]="done",Log[[#This Row],[Verb]]="punt",Log[[#This Row],[Verb]]="drop",Log[[#This Row],[Verb]]="pass"),Log[[#This Row],[Pts]],0)</f>
      </c>
    </row>
    <row r="170">
      <c r="A170" s="11">
        <v>46090</v>
      </c>
      <c r="B170" t="s">
        <v>228</v>
      </c>
      <c r="C170" t="s">
        <v>41</v>
      </c>
      <c r="F170" s="17">
        <f>IF(Log[[#This Row],[ID]]="","",IF(ISNA(MATCH(Log[[#This Row],[ID]],Items[ID],0)),"unknown ID",IF(ISNA(MATCH(Log[[#This Row],[Verb]],VerbList,0)),"unknown verb",IF(Log[[#This Row],[Date]]="","no date",""))))</f>
      </c>
      <c r="G170" s="17">
        <f>IF(Log[[#This Row],[ID]]="","",IFERROR(VLOOKUP(Log[[#This Row],[Verb]],Verbs,3,FALSE)&amp;"",""))</f>
      </c>
      <c r="H170" s="17">
        <f>IF(Log[[#This Row],[Date]]="","",INT((Log[[#This Row],[Date]]-Sprint1)/SprintDays)+1)</f>
      </c>
      <c r="I170" s="17">
        <f>IF(OR(Log[[#This Row],[Verb]]="commit",Log[[#This Row],[Verb]]="carry",Log[[#This Row],[Verb]]="redo"),IF(Log[[#This Row],[Arg]]="",Log[[#This Row],[Sprint]],N(Log[[#This Row],[Arg]])),"")</f>
      </c>
      <c r="J170" s="17">
        <f>IF(Log[[#This Row],[Verb]]="block",1,IF(OR(Log[[#This Row],[Verb]]="unblock",Log[[#This Row],[Verb]]="done",Log[[#This Row],[Verb]]="drop",Log[[#This Row],[Verb]]="punt",Log[[#This Row],[Verb]]="pass"),0,""))</f>
      </c>
      <c r="K170" s="17">
        <f>IF(Log[[#This Row],[ID]]="",0,IFERROR(INDEX(Items[Pts],MATCH(Log[[#This Row],[ID]],Items[ID],0))*1,0))</f>
      </c>
      <c r="L170" s="17">
        <f>IF(Log[[#This Row],[ID]]="","",IFERROR(INDEX(Items[Cur team],MATCH(Log[[#This Row],[ID]],Items[ID],0))&amp;"",""))</f>
      </c>
      <c r="M170" s="17">
        <f>IF(OR(Log[[#This Row],[Verb]]="done",Log[[#This Row],[Verb]]="punt",Log[[#This Row],[Verb]]="drop",Log[[#This Row],[Verb]]="pass"),Log[[#This Row],[Pts]],0)</f>
      </c>
    </row>
    <row r="171">
      <c r="A171" s="11">
        <v>46090</v>
      </c>
      <c r="B171" t="s">
        <v>229</v>
      </c>
      <c r="C171" t="s">
        <v>41</v>
      </c>
      <c r="F171" s="17">
        <f>IF(Log[[#This Row],[ID]]="","",IF(ISNA(MATCH(Log[[#This Row],[ID]],Items[ID],0)),"unknown ID",IF(ISNA(MATCH(Log[[#This Row],[Verb]],VerbList,0)),"unknown verb",IF(Log[[#This Row],[Date]]="","no date",""))))</f>
      </c>
      <c r="G171" s="17">
        <f>IF(Log[[#This Row],[ID]]="","",IFERROR(VLOOKUP(Log[[#This Row],[Verb]],Verbs,3,FALSE)&amp;"",""))</f>
      </c>
      <c r="H171" s="17">
        <f>IF(Log[[#This Row],[Date]]="","",INT((Log[[#This Row],[Date]]-Sprint1)/SprintDays)+1)</f>
      </c>
      <c r="I171" s="17">
        <f>IF(OR(Log[[#This Row],[Verb]]="commit",Log[[#This Row],[Verb]]="carry",Log[[#This Row],[Verb]]="redo"),IF(Log[[#This Row],[Arg]]="",Log[[#This Row],[Sprint]],N(Log[[#This Row],[Arg]])),"")</f>
      </c>
      <c r="J171" s="17">
        <f>IF(Log[[#This Row],[Verb]]="block",1,IF(OR(Log[[#This Row],[Verb]]="unblock",Log[[#This Row],[Verb]]="done",Log[[#This Row],[Verb]]="drop",Log[[#This Row],[Verb]]="punt",Log[[#This Row],[Verb]]="pass"),0,""))</f>
      </c>
      <c r="K171" s="17">
        <f>IF(Log[[#This Row],[ID]]="",0,IFERROR(INDEX(Items[Pts],MATCH(Log[[#This Row],[ID]],Items[ID],0))*1,0))</f>
      </c>
      <c r="L171" s="17">
        <f>IF(Log[[#This Row],[ID]]="","",IFERROR(INDEX(Items[Cur team],MATCH(Log[[#This Row],[ID]],Items[ID],0))&amp;"",""))</f>
      </c>
      <c r="M171" s="17">
        <f>IF(OR(Log[[#This Row],[Verb]]="done",Log[[#This Row],[Verb]]="punt",Log[[#This Row],[Verb]]="drop",Log[[#This Row],[Verb]]="pass"),Log[[#This Row],[Pts]],0)</f>
      </c>
    </row>
    <row r="172">
      <c r="A172" s="11">
        <v>46090</v>
      </c>
      <c r="B172" t="s">
        <v>230</v>
      </c>
      <c r="C172" t="s">
        <v>41</v>
      </c>
      <c r="F172" s="17">
        <f>IF(Log[[#This Row],[ID]]="","",IF(ISNA(MATCH(Log[[#This Row],[ID]],Items[ID],0)),"unknown ID",IF(ISNA(MATCH(Log[[#This Row],[Verb]],VerbList,0)),"unknown verb",IF(Log[[#This Row],[Date]]="","no date",""))))</f>
      </c>
      <c r="G172" s="17">
        <f>IF(Log[[#This Row],[ID]]="","",IFERROR(VLOOKUP(Log[[#This Row],[Verb]],Verbs,3,FALSE)&amp;"",""))</f>
      </c>
      <c r="H172" s="17">
        <f>IF(Log[[#This Row],[Date]]="","",INT((Log[[#This Row],[Date]]-Sprint1)/SprintDays)+1)</f>
      </c>
      <c r="I172" s="17">
        <f>IF(OR(Log[[#This Row],[Verb]]="commit",Log[[#This Row],[Verb]]="carry",Log[[#This Row],[Verb]]="redo"),IF(Log[[#This Row],[Arg]]="",Log[[#This Row],[Sprint]],N(Log[[#This Row],[Arg]])),"")</f>
      </c>
      <c r="J172" s="17">
        <f>IF(Log[[#This Row],[Verb]]="block",1,IF(OR(Log[[#This Row],[Verb]]="unblock",Log[[#This Row],[Verb]]="done",Log[[#This Row],[Verb]]="drop",Log[[#This Row],[Verb]]="punt",Log[[#This Row],[Verb]]="pass"),0,""))</f>
      </c>
      <c r="K172" s="17">
        <f>IF(Log[[#This Row],[ID]]="",0,IFERROR(INDEX(Items[Pts],MATCH(Log[[#This Row],[ID]],Items[ID],0))*1,0))</f>
      </c>
      <c r="L172" s="17">
        <f>IF(Log[[#This Row],[ID]]="","",IFERROR(INDEX(Items[Cur team],MATCH(Log[[#This Row],[ID]],Items[ID],0))&amp;"",""))</f>
      </c>
      <c r="M172" s="17">
        <f>IF(OR(Log[[#This Row],[Verb]]="done",Log[[#This Row],[Verb]]="punt",Log[[#This Row],[Verb]]="drop",Log[[#This Row],[Verb]]="pass"),Log[[#This Row],[Pts]],0)</f>
      </c>
    </row>
    <row r="173">
      <c r="A173" s="11">
        <v>46090</v>
      </c>
      <c r="B173" t="s">
        <v>231</v>
      </c>
      <c r="C173" t="s">
        <v>41</v>
      </c>
      <c r="F173" s="17">
        <f>IF(Log[[#This Row],[ID]]="","",IF(ISNA(MATCH(Log[[#This Row],[ID]],Items[ID],0)),"unknown ID",IF(ISNA(MATCH(Log[[#This Row],[Verb]],VerbList,0)),"unknown verb",IF(Log[[#This Row],[Date]]="","no date",""))))</f>
      </c>
      <c r="G173" s="17">
        <f>IF(Log[[#This Row],[ID]]="","",IFERROR(VLOOKUP(Log[[#This Row],[Verb]],Verbs,3,FALSE)&amp;"",""))</f>
      </c>
      <c r="H173" s="17">
        <f>IF(Log[[#This Row],[Date]]="","",INT((Log[[#This Row],[Date]]-Sprint1)/SprintDays)+1)</f>
      </c>
      <c r="I173" s="17">
        <f>IF(OR(Log[[#This Row],[Verb]]="commit",Log[[#This Row],[Verb]]="carry",Log[[#This Row],[Verb]]="redo"),IF(Log[[#This Row],[Arg]]="",Log[[#This Row],[Sprint]],N(Log[[#This Row],[Arg]])),"")</f>
      </c>
      <c r="J173" s="17">
        <f>IF(Log[[#This Row],[Verb]]="block",1,IF(OR(Log[[#This Row],[Verb]]="unblock",Log[[#This Row],[Verb]]="done",Log[[#This Row],[Verb]]="drop",Log[[#This Row],[Verb]]="punt",Log[[#This Row],[Verb]]="pass"),0,""))</f>
      </c>
      <c r="K173" s="17">
        <f>IF(Log[[#This Row],[ID]]="",0,IFERROR(INDEX(Items[Pts],MATCH(Log[[#This Row],[ID]],Items[ID],0))*1,0))</f>
      </c>
      <c r="L173" s="17">
        <f>IF(Log[[#This Row],[ID]]="","",IFERROR(INDEX(Items[Cur team],MATCH(Log[[#This Row],[ID]],Items[ID],0))&amp;"",""))</f>
      </c>
      <c r="M173" s="17">
        <f>IF(OR(Log[[#This Row],[Verb]]="done",Log[[#This Row],[Verb]]="punt",Log[[#This Row],[Verb]]="drop",Log[[#This Row],[Verb]]="pass"),Log[[#This Row],[Pts]],0)</f>
      </c>
    </row>
    <row r="174">
      <c r="A174" s="11">
        <v>46090</v>
      </c>
      <c r="B174" t="s">
        <v>232</v>
      </c>
      <c r="C174" t="s">
        <v>38</v>
      </c>
      <c r="D174">
        <v>39</v>
      </c>
      <c r="F174" s="17">
        <f>IF(Log[[#This Row],[ID]]="","",IF(ISNA(MATCH(Log[[#This Row],[ID]],Items[ID],0)),"unknown ID",IF(ISNA(MATCH(Log[[#This Row],[Verb]],VerbList,0)),"unknown verb",IF(Log[[#This Row],[Date]]="","no date",""))))</f>
      </c>
      <c r="G174" s="17">
        <f>IF(Log[[#This Row],[ID]]="","",IFERROR(VLOOKUP(Log[[#This Row],[Verb]],Verbs,3,FALSE)&amp;"",""))</f>
      </c>
      <c r="H174" s="17">
        <f>IF(Log[[#This Row],[Date]]="","",INT((Log[[#This Row],[Date]]-Sprint1)/SprintDays)+1)</f>
      </c>
      <c r="I174" s="17">
        <f>IF(OR(Log[[#This Row],[Verb]]="commit",Log[[#This Row],[Verb]]="carry",Log[[#This Row],[Verb]]="redo"),IF(Log[[#This Row],[Arg]]="",Log[[#This Row],[Sprint]],N(Log[[#This Row],[Arg]])),"")</f>
      </c>
      <c r="J174" s="17">
        <f>IF(Log[[#This Row],[Verb]]="block",1,IF(OR(Log[[#This Row],[Verb]]="unblock",Log[[#This Row],[Verb]]="done",Log[[#This Row],[Verb]]="drop",Log[[#This Row],[Verb]]="punt",Log[[#This Row],[Verb]]="pass"),0,""))</f>
      </c>
      <c r="K174" s="17">
        <f>IF(Log[[#This Row],[ID]]="",0,IFERROR(INDEX(Items[Pts],MATCH(Log[[#This Row],[ID]],Items[ID],0))*1,0))</f>
      </c>
      <c r="L174" s="17">
        <f>IF(Log[[#This Row],[ID]]="","",IFERROR(INDEX(Items[Cur team],MATCH(Log[[#This Row],[ID]],Items[ID],0))&amp;"",""))</f>
      </c>
      <c r="M174" s="17">
        <f>IF(OR(Log[[#This Row],[Verb]]="done",Log[[#This Row],[Verb]]="punt",Log[[#This Row],[Verb]]="drop",Log[[#This Row],[Verb]]="pass"),Log[[#This Row],[Pts]],0)</f>
      </c>
    </row>
    <row r="175">
      <c r="A175" s="11">
        <v>46090</v>
      </c>
      <c r="B175" t="s">
        <v>233</v>
      </c>
      <c r="C175" t="s">
        <v>41</v>
      </c>
      <c r="F175" s="17">
        <f>IF(Log[[#This Row],[ID]]="","",IF(ISNA(MATCH(Log[[#This Row],[ID]],Items[ID],0)),"unknown ID",IF(ISNA(MATCH(Log[[#This Row],[Verb]],VerbList,0)),"unknown verb",IF(Log[[#This Row],[Date]]="","no date",""))))</f>
      </c>
      <c r="G175" s="17">
        <f>IF(Log[[#This Row],[ID]]="","",IFERROR(VLOOKUP(Log[[#This Row],[Verb]],Verbs,3,FALSE)&amp;"",""))</f>
      </c>
      <c r="H175" s="17">
        <f>IF(Log[[#This Row],[Date]]="","",INT((Log[[#This Row],[Date]]-Sprint1)/SprintDays)+1)</f>
      </c>
      <c r="I175" s="17">
        <f>IF(OR(Log[[#This Row],[Verb]]="commit",Log[[#This Row],[Verb]]="carry",Log[[#This Row],[Verb]]="redo"),IF(Log[[#This Row],[Arg]]="",Log[[#This Row],[Sprint]],N(Log[[#This Row],[Arg]])),"")</f>
      </c>
      <c r="J175" s="17">
        <f>IF(Log[[#This Row],[Verb]]="block",1,IF(OR(Log[[#This Row],[Verb]]="unblock",Log[[#This Row],[Verb]]="done",Log[[#This Row],[Verb]]="drop",Log[[#This Row],[Verb]]="punt",Log[[#This Row],[Verb]]="pass"),0,""))</f>
      </c>
      <c r="K175" s="17">
        <f>IF(Log[[#This Row],[ID]]="",0,IFERROR(INDEX(Items[Pts],MATCH(Log[[#This Row],[ID]],Items[ID],0))*1,0))</f>
      </c>
      <c r="L175" s="17">
        <f>IF(Log[[#This Row],[ID]]="","",IFERROR(INDEX(Items[Cur team],MATCH(Log[[#This Row],[ID]],Items[ID],0))&amp;"",""))</f>
      </c>
      <c r="M175" s="17">
        <f>IF(OR(Log[[#This Row],[Verb]]="done",Log[[#This Row],[Verb]]="punt",Log[[#This Row],[Verb]]="drop",Log[[#This Row],[Verb]]="pass"),Log[[#This Row],[Pts]],0)</f>
      </c>
    </row>
    <row r="176">
      <c r="A176" s="11">
        <v>46090</v>
      </c>
      <c r="B176" t="s">
        <v>234</v>
      </c>
      <c r="C176" t="s">
        <v>41</v>
      </c>
      <c r="F176" s="17">
        <f>IF(Log[[#This Row],[ID]]="","",IF(ISNA(MATCH(Log[[#This Row],[ID]],Items[ID],0)),"unknown ID",IF(ISNA(MATCH(Log[[#This Row],[Verb]],VerbList,0)),"unknown verb",IF(Log[[#This Row],[Date]]="","no date",""))))</f>
      </c>
      <c r="G176" s="17">
        <f>IF(Log[[#This Row],[ID]]="","",IFERROR(VLOOKUP(Log[[#This Row],[Verb]],Verbs,3,FALSE)&amp;"",""))</f>
      </c>
      <c r="H176" s="17">
        <f>IF(Log[[#This Row],[Date]]="","",INT((Log[[#This Row],[Date]]-Sprint1)/SprintDays)+1)</f>
      </c>
      <c r="I176" s="17">
        <f>IF(OR(Log[[#This Row],[Verb]]="commit",Log[[#This Row],[Verb]]="carry",Log[[#This Row],[Verb]]="redo"),IF(Log[[#This Row],[Arg]]="",Log[[#This Row],[Sprint]],N(Log[[#This Row],[Arg]])),"")</f>
      </c>
      <c r="J176" s="17">
        <f>IF(Log[[#This Row],[Verb]]="block",1,IF(OR(Log[[#This Row],[Verb]]="unblock",Log[[#This Row],[Verb]]="done",Log[[#This Row],[Verb]]="drop",Log[[#This Row],[Verb]]="punt",Log[[#This Row],[Verb]]="pass"),0,""))</f>
      </c>
      <c r="K176" s="17">
        <f>IF(Log[[#This Row],[ID]]="",0,IFERROR(INDEX(Items[Pts],MATCH(Log[[#This Row],[ID]],Items[ID],0))*1,0))</f>
      </c>
      <c r="L176" s="17">
        <f>IF(Log[[#This Row],[ID]]="","",IFERROR(INDEX(Items[Cur team],MATCH(Log[[#This Row],[ID]],Items[ID],0))&amp;"",""))</f>
      </c>
      <c r="M176" s="17">
        <f>IF(OR(Log[[#This Row],[Verb]]="done",Log[[#This Row],[Verb]]="punt",Log[[#This Row],[Verb]]="drop",Log[[#This Row],[Verb]]="pass"),Log[[#This Row],[Pts]],0)</f>
      </c>
    </row>
    <row r="177">
      <c r="A177" s="11">
        <v>46091</v>
      </c>
      <c r="B177" t="s">
        <v>236</v>
      </c>
      <c r="C177" t="s">
        <v>34</v>
      </c>
      <c r="D177">
        <v>39</v>
      </c>
      <c r="F177" s="17">
        <f>IF(Log[[#This Row],[ID]]="","",IF(ISNA(MATCH(Log[[#This Row],[ID]],Items[ID],0)),"unknown ID",IF(ISNA(MATCH(Log[[#This Row],[Verb]],VerbList,0)),"unknown verb",IF(Log[[#This Row],[Date]]="","no date",""))))</f>
      </c>
      <c r="G177" s="17">
        <f>IF(Log[[#This Row],[ID]]="","",IFERROR(VLOOKUP(Log[[#This Row],[Verb]],Verbs,3,FALSE)&amp;"",""))</f>
      </c>
      <c r="H177" s="17">
        <f>IF(Log[[#This Row],[Date]]="","",INT((Log[[#This Row],[Date]]-Sprint1)/SprintDays)+1)</f>
      </c>
      <c r="I177" s="17">
        <f>IF(OR(Log[[#This Row],[Verb]]="commit",Log[[#This Row],[Verb]]="carry",Log[[#This Row],[Verb]]="redo"),IF(Log[[#This Row],[Arg]]="",Log[[#This Row],[Sprint]],N(Log[[#This Row],[Arg]])),"")</f>
      </c>
      <c r="J177" s="17">
        <f>IF(Log[[#This Row],[Verb]]="block",1,IF(OR(Log[[#This Row],[Verb]]="unblock",Log[[#This Row],[Verb]]="done",Log[[#This Row],[Verb]]="drop",Log[[#This Row],[Verb]]="punt",Log[[#This Row],[Verb]]="pass"),0,""))</f>
      </c>
      <c r="K177" s="17">
        <f>IF(Log[[#This Row],[ID]]="",0,IFERROR(INDEX(Items[Pts],MATCH(Log[[#This Row],[ID]],Items[ID],0))*1,0))</f>
      </c>
      <c r="L177" s="17">
        <f>IF(Log[[#This Row],[ID]]="","",IFERROR(INDEX(Items[Cur team],MATCH(Log[[#This Row],[ID]],Items[ID],0))&amp;"",""))</f>
      </c>
      <c r="M177" s="17">
        <f>IF(OR(Log[[#This Row],[Verb]]="done",Log[[#This Row],[Verb]]="punt",Log[[#This Row],[Verb]]="drop",Log[[#This Row],[Verb]]="pass"),Log[[#This Row],[Pts]],0)</f>
      </c>
    </row>
    <row r="178">
      <c r="A178" s="11">
        <v>46091</v>
      </c>
      <c r="B178" t="s">
        <v>237</v>
      </c>
      <c r="C178" t="s">
        <v>34</v>
      </c>
      <c r="D178">
        <v>39</v>
      </c>
      <c r="F178" s="17">
        <f>IF(Log[[#This Row],[ID]]="","",IF(ISNA(MATCH(Log[[#This Row],[ID]],Items[ID],0)),"unknown ID",IF(ISNA(MATCH(Log[[#This Row],[Verb]],VerbList,0)),"unknown verb",IF(Log[[#This Row],[Date]]="","no date",""))))</f>
      </c>
      <c r="G178" s="17">
        <f>IF(Log[[#This Row],[ID]]="","",IFERROR(VLOOKUP(Log[[#This Row],[Verb]],Verbs,3,FALSE)&amp;"",""))</f>
      </c>
      <c r="H178" s="17">
        <f>IF(Log[[#This Row],[Date]]="","",INT((Log[[#This Row],[Date]]-Sprint1)/SprintDays)+1)</f>
      </c>
      <c r="I178" s="17">
        <f>IF(OR(Log[[#This Row],[Verb]]="commit",Log[[#This Row],[Verb]]="carry",Log[[#This Row],[Verb]]="redo"),IF(Log[[#This Row],[Arg]]="",Log[[#This Row],[Sprint]],N(Log[[#This Row],[Arg]])),"")</f>
      </c>
      <c r="J178" s="17">
        <f>IF(Log[[#This Row],[Verb]]="block",1,IF(OR(Log[[#This Row],[Verb]]="unblock",Log[[#This Row],[Verb]]="done",Log[[#This Row],[Verb]]="drop",Log[[#This Row],[Verb]]="punt",Log[[#This Row],[Verb]]="pass"),0,""))</f>
      </c>
      <c r="K178" s="17">
        <f>IF(Log[[#This Row],[ID]]="",0,IFERROR(INDEX(Items[Pts],MATCH(Log[[#This Row],[ID]],Items[ID],0))*1,0))</f>
      </c>
      <c r="L178" s="17">
        <f>IF(Log[[#This Row],[ID]]="","",IFERROR(INDEX(Items[Cur team],MATCH(Log[[#This Row],[ID]],Items[ID],0))&amp;"",""))</f>
      </c>
      <c r="M178" s="17">
        <f>IF(OR(Log[[#This Row],[Verb]]="done",Log[[#This Row],[Verb]]="punt",Log[[#This Row],[Verb]]="drop",Log[[#This Row],[Verb]]="pass"),Log[[#This Row],[Pts]],0)</f>
      </c>
    </row>
    <row r="179">
      <c r="A179" s="11">
        <v>46091</v>
      </c>
      <c r="B179" t="s">
        <v>238</v>
      </c>
      <c r="C179" t="s">
        <v>34</v>
      </c>
      <c r="D179">
        <v>39</v>
      </c>
      <c r="F179" s="17">
        <f>IF(Log[[#This Row],[ID]]="","",IF(ISNA(MATCH(Log[[#This Row],[ID]],Items[ID],0)),"unknown ID",IF(ISNA(MATCH(Log[[#This Row],[Verb]],VerbList,0)),"unknown verb",IF(Log[[#This Row],[Date]]="","no date",""))))</f>
      </c>
      <c r="G179" s="17">
        <f>IF(Log[[#This Row],[ID]]="","",IFERROR(VLOOKUP(Log[[#This Row],[Verb]],Verbs,3,FALSE)&amp;"",""))</f>
      </c>
      <c r="H179" s="17">
        <f>IF(Log[[#This Row],[Date]]="","",INT((Log[[#This Row],[Date]]-Sprint1)/SprintDays)+1)</f>
      </c>
      <c r="I179" s="17">
        <f>IF(OR(Log[[#This Row],[Verb]]="commit",Log[[#This Row],[Verb]]="carry",Log[[#This Row],[Verb]]="redo"),IF(Log[[#This Row],[Arg]]="",Log[[#This Row],[Sprint]],N(Log[[#This Row],[Arg]])),"")</f>
      </c>
      <c r="J179" s="17">
        <f>IF(Log[[#This Row],[Verb]]="block",1,IF(OR(Log[[#This Row],[Verb]]="unblock",Log[[#This Row],[Verb]]="done",Log[[#This Row],[Verb]]="drop",Log[[#This Row],[Verb]]="punt",Log[[#This Row],[Verb]]="pass"),0,""))</f>
      </c>
      <c r="K179" s="17">
        <f>IF(Log[[#This Row],[ID]]="",0,IFERROR(INDEX(Items[Pts],MATCH(Log[[#This Row],[ID]],Items[ID],0))*1,0))</f>
      </c>
      <c r="L179" s="17">
        <f>IF(Log[[#This Row],[ID]]="","",IFERROR(INDEX(Items[Cur team],MATCH(Log[[#This Row],[ID]],Items[ID],0))&amp;"",""))</f>
      </c>
      <c r="M179" s="17">
        <f>IF(OR(Log[[#This Row],[Verb]]="done",Log[[#This Row],[Verb]]="punt",Log[[#This Row],[Verb]]="drop",Log[[#This Row],[Verb]]="pass"),Log[[#This Row],[Pts]],0)</f>
      </c>
    </row>
    <row r="180">
      <c r="A180" s="11">
        <v>46091</v>
      </c>
      <c r="B180" t="s">
        <v>239</v>
      </c>
      <c r="C180" t="s">
        <v>34</v>
      </c>
      <c r="D180">
        <v>39</v>
      </c>
      <c r="F180" s="17">
        <f>IF(Log[[#This Row],[ID]]="","",IF(ISNA(MATCH(Log[[#This Row],[ID]],Items[ID],0)),"unknown ID",IF(ISNA(MATCH(Log[[#This Row],[Verb]],VerbList,0)),"unknown verb",IF(Log[[#This Row],[Date]]="","no date",""))))</f>
      </c>
      <c r="G180" s="17">
        <f>IF(Log[[#This Row],[ID]]="","",IFERROR(VLOOKUP(Log[[#This Row],[Verb]],Verbs,3,FALSE)&amp;"",""))</f>
      </c>
      <c r="H180" s="17">
        <f>IF(Log[[#This Row],[Date]]="","",INT((Log[[#This Row],[Date]]-Sprint1)/SprintDays)+1)</f>
      </c>
      <c r="I180" s="17">
        <f>IF(OR(Log[[#This Row],[Verb]]="commit",Log[[#This Row],[Verb]]="carry",Log[[#This Row],[Verb]]="redo"),IF(Log[[#This Row],[Arg]]="",Log[[#This Row],[Sprint]],N(Log[[#This Row],[Arg]])),"")</f>
      </c>
      <c r="J180" s="17">
        <f>IF(Log[[#This Row],[Verb]]="block",1,IF(OR(Log[[#This Row],[Verb]]="unblock",Log[[#This Row],[Verb]]="done",Log[[#This Row],[Verb]]="drop",Log[[#This Row],[Verb]]="punt",Log[[#This Row],[Verb]]="pass"),0,""))</f>
      </c>
      <c r="K180" s="17">
        <f>IF(Log[[#This Row],[ID]]="",0,IFERROR(INDEX(Items[Pts],MATCH(Log[[#This Row],[ID]],Items[ID],0))*1,0))</f>
      </c>
      <c r="L180" s="17">
        <f>IF(Log[[#This Row],[ID]]="","",IFERROR(INDEX(Items[Cur team],MATCH(Log[[#This Row],[ID]],Items[ID],0))&amp;"",""))</f>
      </c>
      <c r="M180" s="17">
        <f>IF(OR(Log[[#This Row],[Verb]]="done",Log[[#This Row],[Verb]]="punt",Log[[#This Row],[Verb]]="drop",Log[[#This Row],[Verb]]="pass"),Log[[#This Row],[Pts]],0)</f>
      </c>
    </row>
    <row r="181">
      <c r="A181" s="11">
        <v>46091</v>
      </c>
      <c r="B181" t="s">
        <v>240</v>
      </c>
      <c r="C181" t="s">
        <v>34</v>
      </c>
      <c r="D181">
        <v>39</v>
      </c>
      <c r="F181" s="17">
        <f>IF(Log[[#This Row],[ID]]="","",IF(ISNA(MATCH(Log[[#This Row],[ID]],Items[ID],0)),"unknown ID",IF(ISNA(MATCH(Log[[#This Row],[Verb]],VerbList,0)),"unknown verb",IF(Log[[#This Row],[Date]]="","no date",""))))</f>
      </c>
      <c r="G181" s="17">
        <f>IF(Log[[#This Row],[ID]]="","",IFERROR(VLOOKUP(Log[[#This Row],[Verb]],Verbs,3,FALSE)&amp;"",""))</f>
      </c>
      <c r="H181" s="17">
        <f>IF(Log[[#This Row],[Date]]="","",INT((Log[[#This Row],[Date]]-Sprint1)/SprintDays)+1)</f>
      </c>
      <c r="I181" s="17">
        <f>IF(OR(Log[[#This Row],[Verb]]="commit",Log[[#This Row],[Verb]]="carry",Log[[#This Row],[Verb]]="redo"),IF(Log[[#This Row],[Arg]]="",Log[[#This Row],[Sprint]],N(Log[[#This Row],[Arg]])),"")</f>
      </c>
      <c r="J181" s="17">
        <f>IF(Log[[#This Row],[Verb]]="block",1,IF(OR(Log[[#This Row],[Verb]]="unblock",Log[[#This Row],[Verb]]="done",Log[[#This Row],[Verb]]="drop",Log[[#This Row],[Verb]]="punt",Log[[#This Row],[Verb]]="pass"),0,""))</f>
      </c>
      <c r="K181" s="17">
        <f>IF(Log[[#This Row],[ID]]="",0,IFERROR(INDEX(Items[Pts],MATCH(Log[[#This Row],[ID]],Items[ID],0))*1,0))</f>
      </c>
      <c r="L181" s="17">
        <f>IF(Log[[#This Row],[ID]]="","",IFERROR(INDEX(Items[Cur team],MATCH(Log[[#This Row],[ID]],Items[ID],0))&amp;"",""))</f>
      </c>
      <c r="M181" s="17">
        <f>IF(OR(Log[[#This Row],[Verb]]="done",Log[[#This Row],[Verb]]="punt",Log[[#This Row],[Verb]]="drop",Log[[#This Row],[Verb]]="pass"),Log[[#This Row],[Pts]],0)</f>
      </c>
    </row>
    <row r="182">
      <c r="A182" s="11">
        <v>46091</v>
      </c>
      <c r="B182" t="s">
        <v>241</v>
      </c>
      <c r="C182" t="s">
        <v>34</v>
      </c>
      <c r="D182">
        <v>39</v>
      </c>
      <c r="F182" s="17">
        <f>IF(Log[[#This Row],[ID]]="","",IF(ISNA(MATCH(Log[[#This Row],[ID]],Items[ID],0)),"unknown ID",IF(ISNA(MATCH(Log[[#This Row],[Verb]],VerbList,0)),"unknown verb",IF(Log[[#This Row],[Date]]="","no date",""))))</f>
      </c>
      <c r="G182" s="17">
        <f>IF(Log[[#This Row],[ID]]="","",IFERROR(VLOOKUP(Log[[#This Row],[Verb]],Verbs,3,FALSE)&amp;"",""))</f>
      </c>
      <c r="H182" s="17">
        <f>IF(Log[[#This Row],[Date]]="","",INT((Log[[#This Row],[Date]]-Sprint1)/SprintDays)+1)</f>
      </c>
      <c r="I182" s="17">
        <f>IF(OR(Log[[#This Row],[Verb]]="commit",Log[[#This Row],[Verb]]="carry",Log[[#This Row],[Verb]]="redo"),IF(Log[[#This Row],[Arg]]="",Log[[#This Row],[Sprint]],N(Log[[#This Row],[Arg]])),"")</f>
      </c>
      <c r="J182" s="17">
        <f>IF(Log[[#This Row],[Verb]]="block",1,IF(OR(Log[[#This Row],[Verb]]="unblock",Log[[#This Row],[Verb]]="done",Log[[#This Row],[Verb]]="drop",Log[[#This Row],[Verb]]="punt",Log[[#This Row],[Verb]]="pass"),0,""))</f>
      </c>
      <c r="K182" s="17">
        <f>IF(Log[[#This Row],[ID]]="",0,IFERROR(INDEX(Items[Pts],MATCH(Log[[#This Row],[ID]],Items[ID],0))*1,0))</f>
      </c>
      <c r="L182" s="17">
        <f>IF(Log[[#This Row],[ID]]="","",IFERROR(INDEX(Items[Cur team],MATCH(Log[[#This Row],[ID]],Items[ID],0))&amp;"",""))</f>
      </c>
      <c r="M182" s="17">
        <f>IF(OR(Log[[#This Row],[Verb]]="done",Log[[#This Row],[Verb]]="punt",Log[[#This Row],[Verb]]="drop",Log[[#This Row],[Verb]]="pass"),Log[[#This Row],[Pts]],0)</f>
      </c>
    </row>
    <row r="183">
      <c r="A183" s="11">
        <v>46091</v>
      </c>
      <c r="B183" t="s">
        <v>242</v>
      </c>
      <c r="C183" t="s">
        <v>34</v>
      </c>
      <c r="D183">
        <v>39</v>
      </c>
      <c r="F183" s="17">
        <f>IF(Log[[#This Row],[ID]]="","",IF(ISNA(MATCH(Log[[#This Row],[ID]],Items[ID],0)),"unknown ID",IF(ISNA(MATCH(Log[[#This Row],[Verb]],VerbList,0)),"unknown verb",IF(Log[[#This Row],[Date]]="","no date",""))))</f>
      </c>
      <c r="G183" s="17">
        <f>IF(Log[[#This Row],[ID]]="","",IFERROR(VLOOKUP(Log[[#This Row],[Verb]],Verbs,3,FALSE)&amp;"",""))</f>
      </c>
      <c r="H183" s="17">
        <f>IF(Log[[#This Row],[Date]]="","",INT((Log[[#This Row],[Date]]-Sprint1)/SprintDays)+1)</f>
      </c>
      <c r="I183" s="17">
        <f>IF(OR(Log[[#This Row],[Verb]]="commit",Log[[#This Row],[Verb]]="carry",Log[[#This Row],[Verb]]="redo"),IF(Log[[#This Row],[Arg]]="",Log[[#This Row],[Sprint]],N(Log[[#This Row],[Arg]])),"")</f>
      </c>
      <c r="J183" s="17">
        <f>IF(Log[[#This Row],[Verb]]="block",1,IF(OR(Log[[#This Row],[Verb]]="unblock",Log[[#This Row],[Verb]]="done",Log[[#This Row],[Verb]]="drop",Log[[#This Row],[Verb]]="punt",Log[[#This Row],[Verb]]="pass"),0,""))</f>
      </c>
      <c r="K183" s="17">
        <f>IF(Log[[#This Row],[ID]]="",0,IFERROR(INDEX(Items[Pts],MATCH(Log[[#This Row],[ID]],Items[ID],0))*1,0))</f>
      </c>
      <c r="L183" s="17">
        <f>IF(Log[[#This Row],[ID]]="","",IFERROR(INDEX(Items[Cur team],MATCH(Log[[#This Row],[ID]],Items[ID],0))&amp;"",""))</f>
      </c>
      <c r="M183" s="17">
        <f>IF(OR(Log[[#This Row],[Verb]]="done",Log[[#This Row],[Verb]]="punt",Log[[#This Row],[Verb]]="drop",Log[[#This Row],[Verb]]="pass"),Log[[#This Row],[Pts]],0)</f>
      </c>
    </row>
    <row r="184">
      <c r="A184" s="11">
        <v>46091</v>
      </c>
      <c r="B184" t="s">
        <v>243</v>
      </c>
      <c r="C184" t="s">
        <v>34</v>
      </c>
      <c r="D184">
        <v>39</v>
      </c>
      <c r="F184" s="17">
        <f>IF(Log[[#This Row],[ID]]="","",IF(ISNA(MATCH(Log[[#This Row],[ID]],Items[ID],0)),"unknown ID",IF(ISNA(MATCH(Log[[#This Row],[Verb]],VerbList,0)),"unknown verb",IF(Log[[#This Row],[Date]]="","no date",""))))</f>
      </c>
      <c r="G184" s="17">
        <f>IF(Log[[#This Row],[ID]]="","",IFERROR(VLOOKUP(Log[[#This Row],[Verb]],Verbs,3,FALSE)&amp;"",""))</f>
      </c>
      <c r="H184" s="17">
        <f>IF(Log[[#This Row],[Date]]="","",INT((Log[[#This Row],[Date]]-Sprint1)/SprintDays)+1)</f>
      </c>
      <c r="I184" s="17">
        <f>IF(OR(Log[[#This Row],[Verb]]="commit",Log[[#This Row],[Verb]]="carry",Log[[#This Row],[Verb]]="redo"),IF(Log[[#This Row],[Arg]]="",Log[[#This Row],[Sprint]],N(Log[[#This Row],[Arg]])),"")</f>
      </c>
      <c r="J184" s="17">
        <f>IF(Log[[#This Row],[Verb]]="block",1,IF(OR(Log[[#This Row],[Verb]]="unblock",Log[[#This Row],[Verb]]="done",Log[[#This Row],[Verb]]="drop",Log[[#This Row],[Verb]]="punt",Log[[#This Row],[Verb]]="pass"),0,""))</f>
      </c>
      <c r="K184" s="17">
        <f>IF(Log[[#This Row],[ID]]="",0,IFERROR(INDEX(Items[Pts],MATCH(Log[[#This Row],[ID]],Items[ID],0))*1,0))</f>
      </c>
      <c r="L184" s="17">
        <f>IF(Log[[#This Row],[ID]]="","",IFERROR(INDEX(Items[Cur team],MATCH(Log[[#This Row],[ID]],Items[ID],0))&amp;"",""))</f>
      </c>
      <c r="M184" s="17">
        <f>IF(OR(Log[[#This Row],[Verb]]="done",Log[[#This Row],[Verb]]="punt",Log[[#This Row],[Verb]]="drop",Log[[#This Row],[Verb]]="pass"),Log[[#This Row],[Pts]],0)</f>
      </c>
    </row>
    <row r="185">
      <c r="A185" s="11">
        <v>46091</v>
      </c>
      <c r="B185" t="s">
        <v>244</v>
      </c>
      <c r="C185" t="s">
        <v>34</v>
      </c>
      <c r="D185">
        <v>39</v>
      </c>
      <c r="F185" s="17">
        <f>IF(Log[[#This Row],[ID]]="","",IF(ISNA(MATCH(Log[[#This Row],[ID]],Items[ID],0)),"unknown ID",IF(ISNA(MATCH(Log[[#This Row],[Verb]],VerbList,0)),"unknown verb",IF(Log[[#This Row],[Date]]="","no date",""))))</f>
      </c>
      <c r="G185" s="17">
        <f>IF(Log[[#This Row],[ID]]="","",IFERROR(VLOOKUP(Log[[#This Row],[Verb]],Verbs,3,FALSE)&amp;"",""))</f>
      </c>
      <c r="H185" s="17">
        <f>IF(Log[[#This Row],[Date]]="","",INT((Log[[#This Row],[Date]]-Sprint1)/SprintDays)+1)</f>
      </c>
      <c r="I185" s="17">
        <f>IF(OR(Log[[#This Row],[Verb]]="commit",Log[[#This Row],[Verb]]="carry",Log[[#This Row],[Verb]]="redo"),IF(Log[[#This Row],[Arg]]="",Log[[#This Row],[Sprint]],N(Log[[#This Row],[Arg]])),"")</f>
      </c>
      <c r="J185" s="17">
        <f>IF(Log[[#This Row],[Verb]]="block",1,IF(OR(Log[[#This Row],[Verb]]="unblock",Log[[#This Row],[Verb]]="done",Log[[#This Row],[Verb]]="drop",Log[[#This Row],[Verb]]="punt",Log[[#This Row],[Verb]]="pass"),0,""))</f>
      </c>
      <c r="K185" s="17">
        <f>IF(Log[[#This Row],[ID]]="",0,IFERROR(INDEX(Items[Pts],MATCH(Log[[#This Row],[ID]],Items[ID],0))*1,0))</f>
      </c>
      <c r="L185" s="17">
        <f>IF(Log[[#This Row],[ID]]="","",IFERROR(INDEX(Items[Cur team],MATCH(Log[[#This Row],[ID]],Items[ID],0))&amp;"",""))</f>
      </c>
      <c r="M185" s="17">
        <f>IF(OR(Log[[#This Row],[Verb]]="done",Log[[#This Row],[Verb]]="punt",Log[[#This Row],[Verb]]="drop",Log[[#This Row],[Verb]]="pass"),Log[[#This Row],[Pts]],0)</f>
      </c>
    </row>
    <row r="186">
      <c r="A186" s="11">
        <v>46091</v>
      </c>
      <c r="B186" t="s">
        <v>245</v>
      </c>
      <c r="C186" t="s">
        <v>34</v>
      </c>
      <c r="D186">
        <v>39</v>
      </c>
      <c r="F186" s="17">
        <f>IF(Log[[#This Row],[ID]]="","",IF(ISNA(MATCH(Log[[#This Row],[ID]],Items[ID],0)),"unknown ID",IF(ISNA(MATCH(Log[[#This Row],[Verb]],VerbList,0)),"unknown verb",IF(Log[[#This Row],[Date]]="","no date",""))))</f>
      </c>
      <c r="G186" s="17">
        <f>IF(Log[[#This Row],[ID]]="","",IFERROR(VLOOKUP(Log[[#This Row],[Verb]],Verbs,3,FALSE)&amp;"",""))</f>
      </c>
      <c r="H186" s="17">
        <f>IF(Log[[#This Row],[Date]]="","",INT((Log[[#This Row],[Date]]-Sprint1)/SprintDays)+1)</f>
      </c>
      <c r="I186" s="17">
        <f>IF(OR(Log[[#This Row],[Verb]]="commit",Log[[#This Row],[Verb]]="carry",Log[[#This Row],[Verb]]="redo"),IF(Log[[#This Row],[Arg]]="",Log[[#This Row],[Sprint]],N(Log[[#This Row],[Arg]])),"")</f>
      </c>
      <c r="J186" s="17">
        <f>IF(Log[[#This Row],[Verb]]="block",1,IF(OR(Log[[#This Row],[Verb]]="unblock",Log[[#This Row],[Verb]]="done",Log[[#This Row],[Verb]]="drop",Log[[#This Row],[Verb]]="punt",Log[[#This Row],[Verb]]="pass"),0,""))</f>
      </c>
      <c r="K186" s="17">
        <f>IF(Log[[#This Row],[ID]]="",0,IFERROR(INDEX(Items[Pts],MATCH(Log[[#This Row],[ID]],Items[ID],0))*1,0))</f>
      </c>
      <c r="L186" s="17">
        <f>IF(Log[[#This Row],[ID]]="","",IFERROR(INDEX(Items[Cur team],MATCH(Log[[#This Row],[ID]],Items[ID],0))&amp;"",""))</f>
      </c>
      <c r="M186" s="17">
        <f>IF(OR(Log[[#This Row],[Verb]]="done",Log[[#This Row],[Verb]]="punt",Log[[#This Row],[Verb]]="drop",Log[[#This Row],[Verb]]="pass"),Log[[#This Row],[Pts]],0)</f>
      </c>
    </row>
    <row r="187">
      <c r="A187" s="11">
        <v>46091</v>
      </c>
      <c r="B187" t="s">
        <v>246</v>
      </c>
      <c r="C187" t="s">
        <v>34</v>
      </c>
      <c r="D187">
        <v>39</v>
      </c>
      <c r="F187" s="17">
        <f>IF(Log[[#This Row],[ID]]="","",IF(ISNA(MATCH(Log[[#This Row],[ID]],Items[ID],0)),"unknown ID",IF(ISNA(MATCH(Log[[#This Row],[Verb]],VerbList,0)),"unknown verb",IF(Log[[#This Row],[Date]]="","no date",""))))</f>
      </c>
      <c r="G187" s="17">
        <f>IF(Log[[#This Row],[ID]]="","",IFERROR(VLOOKUP(Log[[#This Row],[Verb]],Verbs,3,FALSE)&amp;"",""))</f>
      </c>
      <c r="H187" s="17">
        <f>IF(Log[[#This Row],[Date]]="","",INT((Log[[#This Row],[Date]]-Sprint1)/SprintDays)+1)</f>
      </c>
      <c r="I187" s="17">
        <f>IF(OR(Log[[#This Row],[Verb]]="commit",Log[[#This Row],[Verb]]="carry",Log[[#This Row],[Verb]]="redo"),IF(Log[[#This Row],[Arg]]="",Log[[#This Row],[Sprint]],N(Log[[#This Row],[Arg]])),"")</f>
      </c>
      <c r="J187" s="17">
        <f>IF(Log[[#This Row],[Verb]]="block",1,IF(OR(Log[[#This Row],[Verb]]="unblock",Log[[#This Row],[Verb]]="done",Log[[#This Row],[Verb]]="drop",Log[[#This Row],[Verb]]="punt",Log[[#This Row],[Verb]]="pass"),0,""))</f>
      </c>
      <c r="K187" s="17">
        <f>IF(Log[[#This Row],[ID]]="",0,IFERROR(INDEX(Items[Pts],MATCH(Log[[#This Row],[ID]],Items[ID],0))*1,0))</f>
      </c>
      <c r="L187" s="17">
        <f>IF(Log[[#This Row],[ID]]="","",IFERROR(INDEX(Items[Cur team],MATCH(Log[[#This Row],[ID]],Items[ID],0))&amp;"",""))</f>
      </c>
      <c r="M187" s="17">
        <f>IF(OR(Log[[#This Row],[Verb]]="done",Log[[#This Row],[Verb]]="punt",Log[[#This Row],[Verb]]="drop",Log[[#This Row],[Verb]]="pass"),Log[[#This Row],[Pts]],0)</f>
      </c>
    </row>
    <row r="188">
      <c r="A188" s="11">
        <v>46091</v>
      </c>
      <c r="B188" t="s">
        <v>247</v>
      </c>
      <c r="C188" t="s">
        <v>34</v>
      </c>
      <c r="D188">
        <v>39</v>
      </c>
      <c r="F188" s="17">
        <f>IF(Log[[#This Row],[ID]]="","",IF(ISNA(MATCH(Log[[#This Row],[ID]],Items[ID],0)),"unknown ID",IF(ISNA(MATCH(Log[[#This Row],[Verb]],VerbList,0)),"unknown verb",IF(Log[[#This Row],[Date]]="","no date",""))))</f>
      </c>
      <c r="G188" s="17">
        <f>IF(Log[[#This Row],[ID]]="","",IFERROR(VLOOKUP(Log[[#This Row],[Verb]],Verbs,3,FALSE)&amp;"",""))</f>
      </c>
      <c r="H188" s="17">
        <f>IF(Log[[#This Row],[Date]]="","",INT((Log[[#This Row],[Date]]-Sprint1)/SprintDays)+1)</f>
      </c>
      <c r="I188" s="17">
        <f>IF(OR(Log[[#This Row],[Verb]]="commit",Log[[#This Row],[Verb]]="carry",Log[[#This Row],[Verb]]="redo"),IF(Log[[#This Row],[Arg]]="",Log[[#This Row],[Sprint]],N(Log[[#This Row],[Arg]])),"")</f>
      </c>
      <c r="J188" s="17">
        <f>IF(Log[[#This Row],[Verb]]="block",1,IF(OR(Log[[#This Row],[Verb]]="unblock",Log[[#This Row],[Verb]]="done",Log[[#This Row],[Verb]]="drop",Log[[#This Row],[Verb]]="punt",Log[[#This Row],[Verb]]="pass"),0,""))</f>
      </c>
      <c r="K188" s="17">
        <f>IF(Log[[#This Row],[ID]]="",0,IFERROR(INDEX(Items[Pts],MATCH(Log[[#This Row],[ID]],Items[ID],0))*1,0))</f>
      </c>
      <c r="L188" s="17">
        <f>IF(Log[[#This Row],[ID]]="","",IFERROR(INDEX(Items[Cur team],MATCH(Log[[#This Row],[ID]],Items[ID],0))&amp;"",""))</f>
      </c>
      <c r="M188" s="17">
        <f>IF(OR(Log[[#This Row],[Verb]]="done",Log[[#This Row],[Verb]]="punt",Log[[#This Row],[Verb]]="drop",Log[[#This Row],[Verb]]="pass"),Log[[#This Row],[Pts]],0)</f>
      </c>
    </row>
    <row r="189">
      <c r="A189" s="11">
        <v>46091</v>
      </c>
      <c r="B189" t="s">
        <v>248</v>
      </c>
      <c r="C189" t="s">
        <v>34</v>
      </c>
      <c r="D189">
        <v>39</v>
      </c>
      <c r="F189" s="17">
        <f>IF(Log[[#This Row],[ID]]="","",IF(ISNA(MATCH(Log[[#This Row],[ID]],Items[ID],0)),"unknown ID",IF(ISNA(MATCH(Log[[#This Row],[Verb]],VerbList,0)),"unknown verb",IF(Log[[#This Row],[Date]]="","no date",""))))</f>
      </c>
      <c r="G189" s="17">
        <f>IF(Log[[#This Row],[ID]]="","",IFERROR(VLOOKUP(Log[[#This Row],[Verb]],Verbs,3,FALSE)&amp;"",""))</f>
      </c>
      <c r="H189" s="17">
        <f>IF(Log[[#This Row],[Date]]="","",INT((Log[[#This Row],[Date]]-Sprint1)/SprintDays)+1)</f>
      </c>
      <c r="I189" s="17">
        <f>IF(OR(Log[[#This Row],[Verb]]="commit",Log[[#This Row],[Verb]]="carry",Log[[#This Row],[Verb]]="redo"),IF(Log[[#This Row],[Arg]]="",Log[[#This Row],[Sprint]],N(Log[[#This Row],[Arg]])),"")</f>
      </c>
      <c r="J189" s="17">
        <f>IF(Log[[#This Row],[Verb]]="block",1,IF(OR(Log[[#This Row],[Verb]]="unblock",Log[[#This Row],[Verb]]="done",Log[[#This Row],[Verb]]="drop",Log[[#This Row],[Verb]]="punt",Log[[#This Row],[Verb]]="pass"),0,""))</f>
      </c>
      <c r="K189" s="17">
        <f>IF(Log[[#This Row],[ID]]="",0,IFERROR(INDEX(Items[Pts],MATCH(Log[[#This Row],[ID]],Items[ID],0))*1,0))</f>
      </c>
      <c r="L189" s="17">
        <f>IF(Log[[#This Row],[ID]]="","",IFERROR(INDEX(Items[Cur team],MATCH(Log[[#This Row],[ID]],Items[ID],0))&amp;"",""))</f>
      </c>
      <c r="M189" s="17">
        <f>IF(OR(Log[[#This Row],[Verb]]="done",Log[[#This Row],[Verb]]="punt",Log[[#This Row],[Verb]]="drop",Log[[#This Row],[Verb]]="pass"),Log[[#This Row],[Pts]],0)</f>
      </c>
    </row>
    <row r="190">
      <c r="A190" s="11">
        <v>46091</v>
      </c>
      <c r="B190" t="s">
        <v>249</v>
      </c>
      <c r="C190" t="s">
        <v>34</v>
      </c>
      <c r="D190">
        <v>39</v>
      </c>
      <c r="F190" s="17">
        <f>IF(Log[[#This Row],[ID]]="","",IF(ISNA(MATCH(Log[[#This Row],[ID]],Items[ID],0)),"unknown ID",IF(ISNA(MATCH(Log[[#This Row],[Verb]],VerbList,0)),"unknown verb",IF(Log[[#This Row],[Date]]="","no date",""))))</f>
      </c>
      <c r="G190" s="17">
        <f>IF(Log[[#This Row],[ID]]="","",IFERROR(VLOOKUP(Log[[#This Row],[Verb]],Verbs,3,FALSE)&amp;"",""))</f>
      </c>
      <c r="H190" s="17">
        <f>IF(Log[[#This Row],[Date]]="","",INT((Log[[#This Row],[Date]]-Sprint1)/SprintDays)+1)</f>
      </c>
      <c r="I190" s="17">
        <f>IF(OR(Log[[#This Row],[Verb]]="commit",Log[[#This Row],[Verb]]="carry",Log[[#This Row],[Verb]]="redo"),IF(Log[[#This Row],[Arg]]="",Log[[#This Row],[Sprint]],N(Log[[#This Row],[Arg]])),"")</f>
      </c>
      <c r="J190" s="17">
        <f>IF(Log[[#This Row],[Verb]]="block",1,IF(OR(Log[[#This Row],[Verb]]="unblock",Log[[#This Row],[Verb]]="done",Log[[#This Row],[Verb]]="drop",Log[[#This Row],[Verb]]="punt",Log[[#This Row],[Verb]]="pass"),0,""))</f>
      </c>
      <c r="K190" s="17">
        <f>IF(Log[[#This Row],[ID]]="",0,IFERROR(INDEX(Items[Pts],MATCH(Log[[#This Row],[ID]],Items[ID],0))*1,0))</f>
      </c>
      <c r="L190" s="17">
        <f>IF(Log[[#This Row],[ID]]="","",IFERROR(INDEX(Items[Cur team],MATCH(Log[[#This Row],[ID]],Items[ID],0))&amp;"",""))</f>
      </c>
      <c r="M190" s="17">
        <f>IF(OR(Log[[#This Row],[Verb]]="done",Log[[#This Row],[Verb]]="punt",Log[[#This Row],[Verb]]="drop",Log[[#This Row],[Verb]]="pass"),Log[[#This Row],[Pts]],0)</f>
      </c>
    </row>
    <row r="191">
      <c r="A191" s="11">
        <v>46091</v>
      </c>
      <c r="B191" t="s">
        <v>250</v>
      </c>
      <c r="C191" t="s">
        <v>34</v>
      </c>
      <c r="D191">
        <v>39</v>
      </c>
      <c r="F191" s="17">
        <f>IF(Log[[#This Row],[ID]]="","",IF(ISNA(MATCH(Log[[#This Row],[ID]],Items[ID],0)),"unknown ID",IF(ISNA(MATCH(Log[[#This Row],[Verb]],VerbList,0)),"unknown verb",IF(Log[[#This Row],[Date]]="","no date",""))))</f>
      </c>
      <c r="G191" s="17">
        <f>IF(Log[[#This Row],[ID]]="","",IFERROR(VLOOKUP(Log[[#This Row],[Verb]],Verbs,3,FALSE)&amp;"",""))</f>
      </c>
      <c r="H191" s="17">
        <f>IF(Log[[#This Row],[Date]]="","",INT((Log[[#This Row],[Date]]-Sprint1)/SprintDays)+1)</f>
      </c>
      <c r="I191" s="17">
        <f>IF(OR(Log[[#This Row],[Verb]]="commit",Log[[#This Row],[Verb]]="carry",Log[[#This Row],[Verb]]="redo"),IF(Log[[#This Row],[Arg]]="",Log[[#This Row],[Sprint]],N(Log[[#This Row],[Arg]])),"")</f>
      </c>
      <c r="J191" s="17">
        <f>IF(Log[[#This Row],[Verb]]="block",1,IF(OR(Log[[#This Row],[Verb]]="unblock",Log[[#This Row],[Verb]]="done",Log[[#This Row],[Verb]]="drop",Log[[#This Row],[Verb]]="punt",Log[[#This Row],[Verb]]="pass"),0,""))</f>
      </c>
      <c r="K191" s="17">
        <f>IF(Log[[#This Row],[ID]]="",0,IFERROR(INDEX(Items[Pts],MATCH(Log[[#This Row],[ID]],Items[ID],0))*1,0))</f>
      </c>
      <c r="L191" s="17">
        <f>IF(Log[[#This Row],[ID]]="","",IFERROR(INDEX(Items[Cur team],MATCH(Log[[#This Row],[ID]],Items[ID],0))&amp;"",""))</f>
      </c>
      <c r="M191" s="17">
        <f>IF(OR(Log[[#This Row],[Verb]]="done",Log[[#This Row],[Verb]]="punt",Log[[#This Row],[Verb]]="drop",Log[[#This Row],[Verb]]="pass"),Log[[#This Row],[Pts]],0)</f>
      </c>
    </row>
    <row r="192">
      <c r="A192" s="11">
        <v>46091</v>
      </c>
      <c r="B192" t="s">
        <v>251</v>
      </c>
      <c r="C192" t="s">
        <v>34</v>
      </c>
      <c r="D192">
        <v>39</v>
      </c>
      <c r="F192" s="17">
        <f>IF(Log[[#This Row],[ID]]="","",IF(ISNA(MATCH(Log[[#This Row],[ID]],Items[ID],0)),"unknown ID",IF(ISNA(MATCH(Log[[#This Row],[Verb]],VerbList,0)),"unknown verb",IF(Log[[#This Row],[Date]]="","no date",""))))</f>
      </c>
      <c r="G192" s="17">
        <f>IF(Log[[#This Row],[ID]]="","",IFERROR(VLOOKUP(Log[[#This Row],[Verb]],Verbs,3,FALSE)&amp;"",""))</f>
      </c>
      <c r="H192" s="17">
        <f>IF(Log[[#This Row],[Date]]="","",INT((Log[[#This Row],[Date]]-Sprint1)/SprintDays)+1)</f>
      </c>
      <c r="I192" s="17">
        <f>IF(OR(Log[[#This Row],[Verb]]="commit",Log[[#This Row],[Verb]]="carry",Log[[#This Row],[Verb]]="redo"),IF(Log[[#This Row],[Arg]]="",Log[[#This Row],[Sprint]],N(Log[[#This Row],[Arg]])),"")</f>
      </c>
      <c r="J192" s="17">
        <f>IF(Log[[#This Row],[Verb]]="block",1,IF(OR(Log[[#This Row],[Verb]]="unblock",Log[[#This Row],[Verb]]="done",Log[[#This Row],[Verb]]="drop",Log[[#This Row],[Verb]]="punt",Log[[#This Row],[Verb]]="pass"),0,""))</f>
      </c>
      <c r="K192" s="17">
        <f>IF(Log[[#This Row],[ID]]="",0,IFERROR(INDEX(Items[Pts],MATCH(Log[[#This Row],[ID]],Items[ID],0))*1,0))</f>
      </c>
      <c r="L192" s="17">
        <f>IF(Log[[#This Row],[ID]]="","",IFERROR(INDEX(Items[Cur team],MATCH(Log[[#This Row],[ID]],Items[ID],0))&amp;"",""))</f>
      </c>
      <c r="M192" s="17">
        <f>IF(OR(Log[[#This Row],[Verb]]="done",Log[[#This Row],[Verb]]="punt",Log[[#This Row],[Verb]]="drop",Log[[#This Row],[Verb]]="pass"),Log[[#This Row],[Pts]],0)</f>
      </c>
    </row>
    <row r="193">
      <c r="A193" s="11">
        <v>46091</v>
      </c>
      <c r="B193" t="s">
        <v>252</v>
      </c>
      <c r="C193" t="s">
        <v>34</v>
      </c>
      <c r="D193">
        <v>39</v>
      </c>
      <c r="F193" s="17">
        <f>IF(Log[[#This Row],[ID]]="","",IF(ISNA(MATCH(Log[[#This Row],[ID]],Items[ID],0)),"unknown ID",IF(ISNA(MATCH(Log[[#This Row],[Verb]],VerbList,0)),"unknown verb",IF(Log[[#This Row],[Date]]="","no date",""))))</f>
      </c>
      <c r="G193" s="17">
        <f>IF(Log[[#This Row],[ID]]="","",IFERROR(VLOOKUP(Log[[#This Row],[Verb]],Verbs,3,FALSE)&amp;"",""))</f>
      </c>
      <c r="H193" s="17">
        <f>IF(Log[[#This Row],[Date]]="","",INT((Log[[#This Row],[Date]]-Sprint1)/SprintDays)+1)</f>
      </c>
      <c r="I193" s="17">
        <f>IF(OR(Log[[#This Row],[Verb]]="commit",Log[[#This Row],[Verb]]="carry",Log[[#This Row],[Verb]]="redo"),IF(Log[[#This Row],[Arg]]="",Log[[#This Row],[Sprint]],N(Log[[#This Row],[Arg]])),"")</f>
      </c>
      <c r="J193" s="17">
        <f>IF(Log[[#This Row],[Verb]]="block",1,IF(OR(Log[[#This Row],[Verb]]="unblock",Log[[#This Row],[Verb]]="done",Log[[#This Row],[Verb]]="drop",Log[[#This Row],[Verb]]="punt",Log[[#This Row],[Verb]]="pass"),0,""))</f>
      </c>
      <c r="K193" s="17">
        <f>IF(Log[[#This Row],[ID]]="",0,IFERROR(INDEX(Items[Pts],MATCH(Log[[#This Row],[ID]],Items[ID],0))*1,0))</f>
      </c>
      <c r="L193" s="17">
        <f>IF(Log[[#This Row],[ID]]="","",IFERROR(INDEX(Items[Cur team],MATCH(Log[[#This Row],[ID]],Items[ID],0))&amp;"",""))</f>
      </c>
      <c r="M193" s="17">
        <f>IF(OR(Log[[#This Row],[Verb]]="done",Log[[#This Row],[Verb]]="punt",Log[[#This Row],[Verb]]="drop",Log[[#This Row],[Verb]]="pass"),Log[[#This Row],[Pts]],0)</f>
      </c>
    </row>
    <row r="194">
      <c r="A194" s="11">
        <v>46091</v>
      </c>
      <c r="B194" t="s">
        <v>253</v>
      </c>
      <c r="C194" t="s">
        <v>34</v>
      </c>
      <c r="D194">
        <v>39</v>
      </c>
      <c r="F194" s="17">
        <f>IF(Log[[#This Row],[ID]]="","",IF(ISNA(MATCH(Log[[#This Row],[ID]],Items[ID],0)),"unknown ID",IF(ISNA(MATCH(Log[[#This Row],[Verb]],VerbList,0)),"unknown verb",IF(Log[[#This Row],[Date]]="","no date",""))))</f>
      </c>
      <c r="G194" s="17">
        <f>IF(Log[[#This Row],[ID]]="","",IFERROR(VLOOKUP(Log[[#This Row],[Verb]],Verbs,3,FALSE)&amp;"",""))</f>
      </c>
      <c r="H194" s="17">
        <f>IF(Log[[#This Row],[Date]]="","",INT((Log[[#This Row],[Date]]-Sprint1)/SprintDays)+1)</f>
      </c>
      <c r="I194" s="17">
        <f>IF(OR(Log[[#This Row],[Verb]]="commit",Log[[#This Row],[Verb]]="carry",Log[[#This Row],[Verb]]="redo"),IF(Log[[#This Row],[Arg]]="",Log[[#This Row],[Sprint]],N(Log[[#This Row],[Arg]])),"")</f>
      </c>
      <c r="J194" s="17">
        <f>IF(Log[[#This Row],[Verb]]="block",1,IF(OR(Log[[#This Row],[Verb]]="unblock",Log[[#This Row],[Verb]]="done",Log[[#This Row],[Verb]]="drop",Log[[#This Row],[Verb]]="punt",Log[[#This Row],[Verb]]="pass"),0,""))</f>
      </c>
      <c r="K194" s="17">
        <f>IF(Log[[#This Row],[ID]]="",0,IFERROR(INDEX(Items[Pts],MATCH(Log[[#This Row],[ID]],Items[ID],0))*1,0))</f>
      </c>
      <c r="L194" s="17">
        <f>IF(Log[[#This Row],[ID]]="","",IFERROR(INDEX(Items[Cur team],MATCH(Log[[#This Row],[ID]],Items[ID],0))&amp;"",""))</f>
      </c>
      <c r="M194" s="17">
        <f>IF(OR(Log[[#This Row],[Verb]]="done",Log[[#This Row],[Verb]]="punt",Log[[#This Row],[Verb]]="drop",Log[[#This Row],[Verb]]="pass"),Log[[#This Row],[Pts]],0)</f>
      </c>
    </row>
    <row r="195">
      <c r="A195" s="11">
        <v>46091</v>
      </c>
      <c r="B195" t="s">
        <v>254</v>
      </c>
      <c r="C195" t="s">
        <v>34</v>
      </c>
      <c r="D195">
        <v>39</v>
      </c>
      <c r="F195" s="17">
        <f>IF(Log[[#This Row],[ID]]="","",IF(ISNA(MATCH(Log[[#This Row],[ID]],Items[ID],0)),"unknown ID",IF(ISNA(MATCH(Log[[#This Row],[Verb]],VerbList,0)),"unknown verb",IF(Log[[#This Row],[Date]]="","no date",""))))</f>
      </c>
      <c r="G195" s="17">
        <f>IF(Log[[#This Row],[ID]]="","",IFERROR(VLOOKUP(Log[[#This Row],[Verb]],Verbs,3,FALSE)&amp;"",""))</f>
      </c>
      <c r="H195" s="17">
        <f>IF(Log[[#This Row],[Date]]="","",INT((Log[[#This Row],[Date]]-Sprint1)/SprintDays)+1)</f>
      </c>
      <c r="I195" s="17">
        <f>IF(OR(Log[[#This Row],[Verb]]="commit",Log[[#This Row],[Verb]]="carry",Log[[#This Row],[Verb]]="redo"),IF(Log[[#This Row],[Arg]]="",Log[[#This Row],[Sprint]],N(Log[[#This Row],[Arg]])),"")</f>
      </c>
      <c r="J195" s="17">
        <f>IF(Log[[#This Row],[Verb]]="block",1,IF(OR(Log[[#This Row],[Verb]]="unblock",Log[[#This Row],[Verb]]="done",Log[[#This Row],[Verb]]="drop",Log[[#This Row],[Verb]]="punt",Log[[#This Row],[Verb]]="pass"),0,""))</f>
      </c>
      <c r="K195" s="17">
        <f>IF(Log[[#This Row],[ID]]="",0,IFERROR(INDEX(Items[Pts],MATCH(Log[[#This Row],[ID]],Items[ID],0))*1,0))</f>
      </c>
      <c r="L195" s="17">
        <f>IF(Log[[#This Row],[ID]]="","",IFERROR(INDEX(Items[Cur team],MATCH(Log[[#This Row],[ID]],Items[ID],0))&amp;"",""))</f>
      </c>
      <c r="M195" s="17">
        <f>IF(OR(Log[[#This Row],[Verb]]="done",Log[[#This Row],[Verb]]="punt",Log[[#This Row],[Verb]]="drop",Log[[#This Row],[Verb]]="pass"),Log[[#This Row],[Pts]],0)</f>
      </c>
    </row>
    <row r="196">
      <c r="A196" s="11">
        <v>46091</v>
      </c>
      <c r="B196" t="s">
        <v>255</v>
      </c>
      <c r="C196" t="s">
        <v>34</v>
      </c>
      <c r="D196">
        <v>39</v>
      </c>
      <c r="F196" s="17">
        <f>IF(Log[[#This Row],[ID]]="","",IF(ISNA(MATCH(Log[[#This Row],[ID]],Items[ID],0)),"unknown ID",IF(ISNA(MATCH(Log[[#This Row],[Verb]],VerbList,0)),"unknown verb",IF(Log[[#This Row],[Date]]="","no date",""))))</f>
      </c>
      <c r="G196" s="17">
        <f>IF(Log[[#This Row],[ID]]="","",IFERROR(VLOOKUP(Log[[#This Row],[Verb]],Verbs,3,FALSE)&amp;"",""))</f>
      </c>
      <c r="H196" s="17">
        <f>IF(Log[[#This Row],[Date]]="","",INT((Log[[#This Row],[Date]]-Sprint1)/SprintDays)+1)</f>
      </c>
      <c r="I196" s="17">
        <f>IF(OR(Log[[#This Row],[Verb]]="commit",Log[[#This Row],[Verb]]="carry",Log[[#This Row],[Verb]]="redo"),IF(Log[[#This Row],[Arg]]="",Log[[#This Row],[Sprint]],N(Log[[#This Row],[Arg]])),"")</f>
      </c>
      <c r="J196" s="17">
        <f>IF(Log[[#This Row],[Verb]]="block",1,IF(OR(Log[[#This Row],[Verb]]="unblock",Log[[#This Row],[Verb]]="done",Log[[#This Row],[Verb]]="drop",Log[[#This Row],[Verb]]="punt",Log[[#This Row],[Verb]]="pass"),0,""))</f>
      </c>
      <c r="K196" s="17">
        <f>IF(Log[[#This Row],[ID]]="",0,IFERROR(INDEX(Items[Pts],MATCH(Log[[#This Row],[ID]],Items[ID],0))*1,0))</f>
      </c>
      <c r="L196" s="17">
        <f>IF(Log[[#This Row],[ID]]="","",IFERROR(INDEX(Items[Cur team],MATCH(Log[[#This Row],[ID]],Items[ID],0))&amp;"",""))</f>
      </c>
      <c r="M196" s="17">
        <f>IF(OR(Log[[#This Row],[Verb]]="done",Log[[#This Row],[Verb]]="punt",Log[[#This Row],[Verb]]="drop",Log[[#This Row],[Verb]]="pass"),Log[[#This Row],[Pts]],0)</f>
      </c>
    </row>
    <row r="197">
      <c r="A197" s="11">
        <v>46091</v>
      </c>
      <c r="B197" t="s">
        <v>256</v>
      </c>
      <c r="C197" t="s">
        <v>34</v>
      </c>
      <c r="D197">
        <v>39</v>
      </c>
      <c r="F197" s="17">
        <f>IF(Log[[#This Row],[ID]]="","",IF(ISNA(MATCH(Log[[#This Row],[ID]],Items[ID],0)),"unknown ID",IF(ISNA(MATCH(Log[[#This Row],[Verb]],VerbList,0)),"unknown verb",IF(Log[[#This Row],[Date]]="","no date",""))))</f>
      </c>
      <c r="G197" s="17">
        <f>IF(Log[[#This Row],[ID]]="","",IFERROR(VLOOKUP(Log[[#This Row],[Verb]],Verbs,3,FALSE)&amp;"",""))</f>
      </c>
      <c r="H197" s="17">
        <f>IF(Log[[#This Row],[Date]]="","",INT((Log[[#This Row],[Date]]-Sprint1)/SprintDays)+1)</f>
      </c>
      <c r="I197" s="17">
        <f>IF(OR(Log[[#This Row],[Verb]]="commit",Log[[#This Row],[Verb]]="carry",Log[[#This Row],[Verb]]="redo"),IF(Log[[#This Row],[Arg]]="",Log[[#This Row],[Sprint]],N(Log[[#This Row],[Arg]])),"")</f>
      </c>
      <c r="J197" s="17">
        <f>IF(Log[[#This Row],[Verb]]="block",1,IF(OR(Log[[#This Row],[Verb]]="unblock",Log[[#This Row],[Verb]]="done",Log[[#This Row],[Verb]]="drop",Log[[#This Row],[Verb]]="punt",Log[[#This Row],[Verb]]="pass"),0,""))</f>
      </c>
      <c r="K197" s="17">
        <f>IF(Log[[#This Row],[ID]]="",0,IFERROR(INDEX(Items[Pts],MATCH(Log[[#This Row],[ID]],Items[ID],0))*1,0))</f>
      </c>
      <c r="L197" s="17">
        <f>IF(Log[[#This Row],[ID]]="","",IFERROR(INDEX(Items[Cur team],MATCH(Log[[#This Row],[ID]],Items[ID],0))&amp;"",""))</f>
      </c>
      <c r="M197" s="17">
        <f>IF(OR(Log[[#This Row],[Verb]]="done",Log[[#This Row],[Verb]]="punt",Log[[#This Row],[Verb]]="drop",Log[[#This Row],[Verb]]="pass"),Log[[#This Row],[Pts]],0)</f>
      </c>
    </row>
    <row r="198">
      <c r="A198" s="11">
        <v>46091</v>
      </c>
      <c r="B198" t="s">
        <v>257</v>
      </c>
      <c r="C198" t="s">
        <v>34</v>
      </c>
      <c r="D198">
        <v>39</v>
      </c>
      <c r="F198" s="17">
        <f>IF(Log[[#This Row],[ID]]="","",IF(ISNA(MATCH(Log[[#This Row],[ID]],Items[ID],0)),"unknown ID",IF(ISNA(MATCH(Log[[#This Row],[Verb]],VerbList,0)),"unknown verb",IF(Log[[#This Row],[Date]]="","no date",""))))</f>
      </c>
      <c r="G198" s="17">
        <f>IF(Log[[#This Row],[ID]]="","",IFERROR(VLOOKUP(Log[[#This Row],[Verb]],Verbs,3,FALSE)&amp;"",""))</f>
      </c>
      <c r="H198" s="17">
        <f>IF(Log[[#This Row],[Date]]="","",INT((Log[[#This Row],[Date]]-Sprint1)/SprintDays)+1)</f>
      </c>
      <c r="I198" s="17">
        <f>IF(OR(Log[[#This Row],[Verb]]="commit",Log[[#This Row],[Verb]]="carry",Log[[#This Row],[Verb]]="redo"),IF(Log[[#This Row],[Arg]]="",Log[[#This Row],[Sprint]],N(Log[[#This Row],[Arg]])),"")</f>
      </c>
      <c r="J198" s="17">
        <f>IF(Log[[#This Row],[Verb]]="block",1,IF(OR(Log[[#This Row],[Verb]]="unblock",Log[[#This Row],[Verb]]="done",Log[[#This Row],[Verb]]="drop",Log[[#This Row],[Verb]]="punt",Log[[#This Row],[Verb]]="pass"),0,""))</f>
      </c>
      <c r="K198" s="17">
        <f>IF(Log[[#This Row],[ID]]="",0,IFERROR(INDEX(Items[Pts],MATCH(Log[[#This Row],[ID]],Items[ID],0))*1,0))</f>
      </c>
      <c r="L198" s="17">
        <f>IF(Log[[#This Row],[ID]]="","",IFERROR(INDEX(Items[Cur team],MATCH(Log[[#This Row],[ID]],Items[ID],0))&amp;"",""))</f>
      </c>
      <c r="M198" s="17">
        <f>IF(OR(Log[[#This Row],[Verb]]="done",Log[[#This Row],[Verb]]="punt",Log[[#This Row],[Verb]]="drop",Log[[#This Row],[Verb]]="pass"),Log[[#This Row],[Pts]],0)</f>
      </c>
    </row>
    <row r="199">
      <c r="A199" s="11">
        <v>46091</v>
      </c>
      <c r="B199" t="s">
        <v>258</v>
      </c>
      <c r="C199" t="s">
        <v>34</v>
      </c>
      <c r="D199">
        <v>39</v>
      </c>
      <c r="F199" s="17">
        <f>IF(Log[[#This Row],[ID]]="","",IF(ISNA(MATCH(Log[[#This Row],[ID]],Items[ID],0)),"unknown ID",IF(ISNA(MATCH(Log[[#This Row],[Verb]],VerbList,0)),"unknown verb",IF(Log[[#This Row],[Date]]="","no date",""))))</f>
      </c>
      <c r="G199" s="17">
        <f>IF(Log[[#This Row],[ID]]="","",IFERROR(VLOOKUP(Log[[#This Row],[Verb]],Verbs,3,FALSE)&amp;"",""))</f>
      </c>
      <c r="H199" s="17">
        <f>IF(Log[[#This Row],[Date]]="","",INT((Log[[#This Row],[Date]]-Sprint1)/SprintDays)+1)</f>
      </c>
      <c r="I199" s="17">
        <f>IF(OR(Log[[#This Row],[Verb]]="commit",Log[[#This Row],[Verb]]="carry",Log[[#This Row],[Verb]]="redo"),IF(Log[[#This Row],[Arg]]="",Log[[#This Row],[Sprint]],N(Log[[#This Row],[Arg]])),"")</f>
      </c>
      <c r="J199" s="17">
        <f>IF(Log[[#This Row],[Verb]]="block",1,IF(OR(Log[[#This Row],[Verb]]="unblock",Log[[#This Row],[Verb]]="done",Log[[#This Row],[Verb]]="drop",Log[[#This Row],[Verb]]="punt",Log[[#This Row],[Verb]]="pass"),0,""))</f>
      </c>
      <c r="K199" s="17">
        <f>IF(Log[[#This Row],[ID]]="",0,IFERROR(INDEX(Items[Pts],MATCH(Log[[#This Row],[ID]],Items[ID],0))*1,0))</f>
      </c>
      <c r="L199" s="17">
        <f>IF(Log[[#This Row],[ID]]="","",IFERROR(INDEX(Items[Cur team],MATCH(Log[[#This Row],[ID]],Items[ID],0))&amp;"",""))</f>
      </c>
      <c r="M199" s="17">
        <f>IF(OR(Log[[#This Row],[Verb]]="done",Log[[#This Row],[Verb]]="punt",Log[[#This Row],[Verb]]="drop",Log[[#This Row],[Verb]]="pass"),Log[[#This Row],[Pts]],0)</f>
      </c>
    </row>
    <row r="200">
      <c r="A200" s="11">
        <v>46091</v>
      </c>
      <c r="B200" t="s">
        <v>259</v>
      </c>
      <c r="C200" t="s">
        <v>34</v>
      </c>
      <c r="D200">
        <v>39</v>
      </c>
      <c r="F200" s="17">
        <f>IF(Log[[#This Row],[ID]]="","",IF(ISNA(MATCH(Log[[#This Row],[ID]],Items[ID],0)),"unknown ID",IF(ISNA(MATCH(Log[[#This Row],[Verb]],VerbList,0)),"unknown verb",IF(Log[[#This Row],[Date]]="","no date",""))))</f>
      </c>
      <c r="G200" s="17">
        <f>IF(Log[[#This Row],[ID]]="","",IFERROR(VLOOKUP(Log[[#This Row],[Verb]],Verbs,3,FALSE)&amp;"",""))</f>
      </c>
      <c r="H200" s="17">
        <f>IF(Log[[#This Row],[Date]]="","",INT((Log[[#This Row],[Date]]-Sprint1)/SprintDays)+1)</f>
      </c>
      <c r="I200" s="17">
        <f>IF(OR(Log[[#This Row],[Verb]]="commit",Log[[#This Row],[Verb]]="carry",Log[[#This Row],[Verb]]="redo"),IF(Log[[#This Row],[Arg]]="",Log[[#This Row],[Sprint]],N(Log[[#This Row],[Arg]])),"")</f>
      </c>
      <c r="J200" s="17">
        <f>IF(Log[[#This Row],[Verb]]="block",1,IF(OR(Log[[#This Row],[Verb]]="unblock",Log[[#This Row],[Verb]]="done",Log[[#This Row],[Verb]]="drop",Log[[#This Row],[Verb]]="punt",Log[[#This Row],[Verb]]="pass"),0,""))</f>
      </c>
      <c r="K200" s="17">
        <f>IF(Log[[#This Row],[ID]]="",0,IFERROR(INDEX(Items[Pts],MATCH(Log[[#This Row],[ID]],Items[ID],0))*1,0))</f>
      </c>
      <c r="L200" s="17">
        <f>IF(Log[[#This Row],[ID]]="","",IFERROR(INDEX(Items[Cur team],MATCH(Log[[#This Row],[ID]],Items[ID],0))&amp;"",""))</f>
      </c>
      <c r="M200" s="17">
        <f>IF(OR(Log[[#This Row],[Verb]]="done",Log[[#This Row],[Verb]]="punt",Log[[#This Row],[Verb]]="drop",Log[[#This Row],[Verb]]="pass"),Log[[#This Row],[Pts]],0)</f>
      </c>
    </row>
    <row r="201">
      <c r="A201" s="11">
        <v>46091</v>
      </c>
      <c r="B201" t="s">
        <v>260</v>
      </c>
      <c r="C201" t="s">
        <v>34</v>
      </c>
      <c r="D201">
        <v>39</v>
      </c>
      <c r="F201" s="17">
        <f>IF(Log[[#This Row],[ID]]="","",IF(ISNA(MATCH(Log[[#This Row],[ID]],Items[ID],0)),"unknown ID",IF(ISNA(MATCH(Log[[#This Row],[Verb]],VerbList,0)),"unknown verb",IF(Log[[#This Row],[Date]]="","no date",""))))</f>
      </c>
      <c r="G201" s="17">
        <f>IF(Log[[#This Row],[ID]]="","",IFERROR(VLOOKUP(Log[[#This Row],[Verb]],Verbs,3,FALSE)&amp;"",""))</f>
      </c>
      <c r="H201" s="17">
        <f>IF(Log[[#This Row],[Date]]="","",INT((Log[[#This Row],[Date]]-Sprint1)/SprintDays)+1)</f>
      </c>
      <c r="I201" s="17">
        <f>IF(OR(Log[[#This Row],[Verb]]="commit",Log[[#This Row],[Verb]]="carry",Log[[#This Row],[Verb]]="redo"),IF(Log[[#This Row],[Arg]]="",Log[[#This Row],[Sprint]],N(Log[[#This Row],[Arg]])),"")</f>
      </c>
      <c r="J201" s="17">
        <f>IF(Log[[#This Row],[Verb]]="block",1,IF(OR(Log[[#This Row],[Verb]]="unblock",Log[[#This Row],[Verb]]="done",Log[[#This Row],[Verb]]="drop",Log[[#This Row],[Verb]]="punt",Log[[#This Row],[Verb]]="pass"),0,""))</f>
      </c>
      <c r="K201" s="17">
        <f>IF(Log[[#This Row],[ID]]="",0,IFERROR(INDEX(Items[Pts],MATCH(Log[[#This Row],[ID]],Items[ID],0))*1,0))</f>
      </c>
      <c r="L201" s="17">
        <f>IF(Log[[#This Row],[ID]]="","",IFERROR(INDEX(Items[Cur team],MATCH(Log[[#This Row],[ID]],Items[ID],0))&amp;"",""))</f>
      </c>
      <c r="M201" s="17">
        <f>IF(OR(Log[[#This Row],[Verb]]="done",Log[[#This Row],[Verb]]="punt",Log[[#This Row],[Verb]]="drop",Log[[#This Row],[Verb]]="pass"),Log[[#This Row],[Pts]],0)</f>
      </c>
    </row>
    <row r="202">
      <c r="A202" s="11">
        <v>46091</v>
      </c>
      <c r="B202" t="s">
        <v>261</v>
      </c>
      <c r="C202" t="s">
        <v>34</v>
      </c>
      <c r="D202">
        <v>39</v>
      </c>
      <c r="F202" s="17">
        <f>IF(Log[[#This Row],[ID]]="","",IF(ISNA(MATCH(Log[[#This Row],[ID]],Items[ID],0)),"unknown ID",IF(ISNA(MATCH(Log[[#This Row],[Verb]],VerbList,0)),"unknown verb",IF(Log[[#This Row],[Date]]="","no date",""))))</f>
      </c>
      <c r="G202" s="17">
        <f>IF(Log[[#This Row],[ID]]="","",IFERROR(VLOOKUP(Log[[#This Row],[Verb]],Verbs,3,FALSE)&amp;"",""))</f>
      </c>
      <c r="H202" s="17">
        <f>IF(Log[[#This Row],[Date]]="","",INT((Log[[#This Row],[Date]]-Sprint1)/SprintDays)+1)</f>
      </c>
      <c r="I202" s="17">
        <f>IF(OR(Log[[#This Row],[Verb]]="commit",Log[[#This Row],[Verb]]="carry",Log[[#This Row],[Verb]]="redo"),IF(Log[[#This Row],[Arg]]="",Log[[#This Row],[Sprint]],N(Log[[#This Row],[Arg]])),"")</f>
      </c>
      <c r="J202" s="17">
        <f>IF(Log[[#This Row],[Verb]]="block",1,IF(OR(Log[[#This Row],[Verb]]="unblock",Log[[#This Row],[Verb]]="done",Log[[#This Row],[Verb]]="drop",Log[[#This Row],[Verb]]="punt",Log[[#This Row],[Verb]]="pass"),0,""))</f>
      </c>
      <c r="K202" s="17">
        <f>IF(Log[[#This Row],[ID]]="",0,IFERROR(INDEX(Items[Pts],MATCH(Log[[#This Row],[ID]],Items[ID],0))*1,0))</f>
      </c>
      <c r="L202" s="17">
        <f>IF(Log[[#This Row],[ID]]="","",IFERROR(INDEX(Items[Cur team],MATCH(Log[[#This Row],[ID]],Items[ID],0))&amp;"",""))</f>
      </c>
      <c r="M202" s="17">
        <f>IF(OR(Log[[#This Row],[Verb]]="done",Log[[#This Row],[Verb]]="punt",Log[[#This Row],[Verb]]="drop",Log[[#This Row],[Verb]]="pass"),Log[[#This Row],[Pts]],0)</f>
      </c>
    </row>
    <row r="203">
      <c r="A203" s="11">
        <v>46091</v>
      </c>
      <c r="B203" t="s">
        <v>262</v>
      </c>
      <c r="C203" t="s">
        <v>34</v>
      </c>
      <c r="D203">
        <v>39</v>
      </c>
      <c r="F203" s="17">
        <f>IF(Log[[#This Row],[ID]]="","",IF(ISNA(MATCH(Log[[#This Row],[ID]],Items[ID],0)),"unknown ID",IF(ISNA(MATCH(Log[[#This Row],[Verb]],VerbList,0)),"unknown verb",IF(Log[[#This Row],[Date]]="","no date",""))))</f>
      </c>
      <c r="G203" s="17">
        <f>IF(Log[[#This Row],[ID]]="","",IFERROR(VLOOKUP(Log[[#This Row],[Verb]],Verbs,3,FALSE)&amp;"",""))</f>
      </c>
      <c r="H203" s="17">
        <f>IF(Log[[#This Row],[Date]]="","",INT((Log[[#This Row],[Date]]-Sprint1)/SprintDays)+1)</f>
      </c>
      <c r="I203" s="17">
        <f>IF(OR(Log[[#This Row],[Verb]]="commit",Log[[#This Row],[Verb]]="carry",Log[[#This Row],[Verb]]="redo"),IF(Log[[#This Row],[Arg]]="",Log[[#This Row],[Sprint]],N(Log[[#This Row],[Arg]])),"")</f>
      </c>
      <c r="J203" s="17">
        <f>IF(Log[[#This Row],[Verb]]="block",1,IF(OR(Log[[#This Row],[Verb]]="unblock",Log[[#This Row],[Verb]]="done",Log[[#This Row],[Verb]]="drop",Log[[#This Row],[Verb]]="punt",Log[[#This Row],[Verb]]="pass"),0,""))</f>
      </c>
      <c r="K203" s="17">
        <f>IF(Log[[#This Row],[ID]]="",0,IFERROR(INDEX(Items[Pts],MATCH(Log[[#This Row],[ID]],Items[ID],0))*1,0))</f>
      </c>
      <c r="L203" s="17">
        <f>IF(Log[[#This Row],[ID]]="","",IFERROR(INDEX(Items[Cur team],MATCH(Log[[#This Row],[ID]],Items[ID],0))&amp;"",""))</f>
      </c>
      <c r="M203" s="17">
        <f>IF(OR(Log[[#This Row],[Verb]]="done",Log[[#This Row],[Verb]]="punt",Log[[#This Row],[Verb]]="drop",Log[[#This Row],[Verb]]="pass"),Log[[#This Row],[Pts]],0)</f>
      </c>
    </row>
    <row r="204">
      <c r="A204" s="11">
        <v>46091</v>
      </c>
      <c r="B204" t="s">
        <v>263</v>
      </c>
      <c r="C204" t="s">
        <v>34</v>
      </c>
      <c r="D204">
        <v>39</v>
      </c>
      <c r="F204" s="17">
        <f>IF(Log[[#This Row],[ID]]="","",IF(ISNA(MATCH(Log[[#This Row],[ID]],Items[ID],0)),"unknown ID",IF(ISNA(MATCH(Log[[#This Row],[Verb]],VerbList,0)),"unknown verb",IF(Log[[#This Row],[Date]]="","no date",""))))</f>
      </c>
      <c r="G204" s="17">
        <f>IF(Log[[#This Row],[ID]]="","",IFERROR(VLOOKUP(Log[[#This Row],[Verb]],Verbs,3,FALSE)&amp;"",""))</f>
      </c>
      <c r="H204" s="17">
        <f>IF(Log[[#This Row],[Date]]="","",INT((Log[[#This Row],[Date]]-Sprint1)/SprintDays)+1)</f>
      </c>
      <c r="I204" s="17">
        <f>IF(OR(Log[[#This Row],[Verb]]="commit",Log[[#This Row],[Verb]]="carry",Log[[#This Row],[Verb]]="redo"),IF(Log[[#This Row],[Arg]]="",Log[[#This Row],[Sprint]],N(Log[[#This Row],[Arg]])),"")</f>
      </c>
      <c r="J204" s="17">
        <f>IF(Log[[#This Row],[Verb]]="block",1,IF(OR(Log[[#This Row],[Verb]]="unblock",Log[[#This Row],[Verb]]="done",Log[[#This Row],[Verb]]="drop",Log[[#This Row],[Verb]]="punt",Log[[#This Row],[Verb]]="pass"),0,""))</f>
      </c>
      <c r="K204" s="17">
        <f>IF(Log[[#This Row],[ID]]="",0,IFERROR(INDEX(Items[Pts],MATCH(Log[[#This Row],[ID]],Items[ID],0))*1,0))</f>
      </c>
      <c r="L204" s="17">
        <f>IF(Log[[#This Row],[ID]]="","",IFERROR(INDEX(Items[Cur team],MATCH(Log[[#This Row],[ID]],Items[ID],0))&amp;"",""))</f>
      </c>
      <c r="M204" s="17">
        <f>IF(OR(Log[[#This Row],[Verb]]="done",Log[[#This Row],[Verb]]="punt",Log[[#This Row],[Verb]]="drop",Log[[#This Row],[Verb]]="pass"),Log[[#This Row],[Pts]],0)</f>
      </c>
    </row>
    <row r="205">
      <c r="A205" s="11">
        <v>46091</v>
      </c>
      <c r="B205" t="s">
        <v>264</v>
      </c>
      <c r="C205" t="s">
        <v>34</v>
      </c>
      <c r="D205">
        <v>39</v>
      </c>
      <c r="F205" s="17">
        <f>IF(Log[[#This Row],[ID]]="","",IF(ISNA(MATCH(Log[[#This Row],[ID]],Items[ID],0)),"unknown ID",IF(ISNA(MATCH(Log[[#This Row],[Verb]],VerbList,0)),"unknown verb",IF(Log[[#This Row],[Date]]="","no date",""))))</f>
      </c>
      <c r="G205" s="17">
        <f>IF(Log[[#This Row],[ID]]="","",IFERROR(VLOOKUP(Log[[#This Row],[Verb]],Verbs,3,FALSE)&amp;"",""))</f>
      </c>
      <c r="H205" s="17">
        <f>IF(Log[[#This Row],[Date]]="","",INT((Log[[#This Row],[Date]]-Sprint1)/SprintDays)+1)</f>
      </c>
      <c r="I205" s="17">
        <f>IF(OR(Log[[#This Row],[Verb]]="commit",Log[[#This Row],[Verb]]="carry",Log[[#This Row],[Verb]]="redo"),IF(Log[[#This Row],[Arg]]="",Log[[#This Row],[Sprint]],N(Log[[#This Row],[Arg]])),"")</f>
      </c>
      <c r="J205" s="17">
        <f>IF(Log[[#This Row],[Verb]]="block",1,IF(OR(Log[[#This Row],[Verb]]="unblock",Log[[#This Row],[Verb]]="done",Log[[#This Row],[Verb]]="drop",Log[[#This Row],[Verb]]="punt",Log[[#This Row],[Verb]]="pass"),0,""))</f>
      </c>
      <c r="K205" s="17">
        <f>IF(Log[[#This Row],[ID]]="",0,IFERROR(INDEX(Items[Pts],MATCH(Log[[#This Row],[ID]],Items[ID],0))*1,0))</f>
      </c>
      <c r="L205" s="17">
        <f>IF(Log[[#This Row],[ID]]="","",IFERROR(INDEX(Items[Cur team],MATCH(Log[[#This Row],[ID]],Items[ID],0))&amp;"",""))</f>
      </c>
      <c r="M205" s="17">
        <f>IF(OR(Log[[#This Row],[Verb]]="done",Log[[#This Row],[Verb]]="punt",Log[[#This Row],[Verb]]="drop",Log[[#This Row],[Verb]]="pass"),Log[[#This Row],[Pts]],0)</f>
      </c>
    </row>
    <row r="206">
      <c r="A206" s="11">
        <v>46091</v>
      </c>
      <c r="B206" t="s">
        <v>265</v>
      </c>
      <c r="C206" t="s">
        <v>34</v>
      </c>
      <c r="D206">
        <v>39</v>
      </c>
      <c r="F206" s="17">
        <f>IF(Log[[#This Row],[ID]]="","",IF(ISNA(MATCH(Log[[#This Row],[ID]],Items[ID],0)),"unknown ID",IF(ISNA(MATCH(Log[[#This Row],[Verb]],VerbList,0)),"unknown verb",IF(Log[[#This Row],[Date]]="","no date",""))))</f>
      </c>
      <c r="G206" s="17">
        <f>IF(Log[[#This Row],[ID]]="","",IFERROR(VLOOKUP(Log[[#This Row],[Verb]],Verbs,3,FALSE)&amp;"",""))</f>
      </c>
      <c r="H206" s="17">
        <f>IF(Log[[#This Row],[Date]]="","",INT((Log[[#This Row],[Date]]-Sprint1)/SprintDays)+1)</f>
      </c>
      <c r="I206" s="17">
        <f>IF(OR(Log[[#This Row],[Verb]]="commit",Log[[#This Row],[Verb]]="carry",Log[[#This Row],[Verb]]="redo"),IF(Log[[#This Row],[Arg]]="",Log[[#This Row],[Sprint]],N(Log[[#This Row],[Arg]])),"")</f>
      </c>
      <c r="J206" s="17">
        <f>IF(Log[[#This Row],[Verb]]="block",1,IF(OR(Log[[#This Row],[Verb]]="unblock",Log[[#This Row],[Verb]]="done",Log[[#This Row],[Verb]]="drop",Log[[#This Row],[Verb]]="punt",Log[[#This Row],[Verb]]="pass"),0,""))</f>
      </c>
      <c r="K206" s="17">
        <f>IF(Log[[#This Row],[ID]]="",0,IFERROR(INDEX(Items[Pts],MATCH(Log[[#This Row],[ID]],Items[ID],0))*1,0))</f>
      </c>
      <c r="L206" s="17">
        <f>IF(Log[[#This Row],[ID]]="","",IFERROR(INDEX(Items[Cur team],MATCH(Log[[#This Row],[ID]],Items[ID],0))&amp;"",""))</f>
      </c>
      <c r="M206" s="17">
        <f>IF(OR(Log[[#This Row],[Verb]]="done",Log[[#This Row],[Verb]]="punt",Log[[#This Row],[Verb]]="drop",Log[[#This Row],[Verb]]="pass"),Log[[#This Row],[Pts]],0)</f>
      </c>
    </row>
    <row r="207">
      <c r="A207" s="11">
        <v>46091</v>
      </c>
      <c r="B207" t="s">
        <v>266</v>
      </c>
      <c r="C207" t="s">
        <v>34</v>
      </c>
      <c r="D207">
        <v>39</v>
      </c>
      <c r="F207" s="17">
        <f>IF(Log[[#This Row],[ID]]="","",IF(ISNA(MATCH(Log[[#This Row],[ID]],Items[ID],0)),"unknown ID",IF(ISNA(MATCH(Log[[#This Row],[Verb]],VerbList,0)),"unknown verb",IF(Log[[#This Row],[Date]]="","no date",""))))</f>
      </c>
      <c r="G207" s="17">
        <f>IF(Log[[#This Row],[ID]]="","",IFERROR(VLOOKUP(Log[[#This Row],[Verb]],Verbs,3,FALSE)&amp;"",""))</f>
      </c>
      <c r="H207" s="17">
        <f>IF(Log[[#This Row],[Date]]="","",INT((Log[[#This Row],[Date]]-Sprint1)/SprintDays)+1)</f>
      </c>
      <c r="I207" s="17">
        <f>IF(OR(Log[[#This Row],[Verb]]="commit",Log[[#This Row],[Verb]]="carry",Log[[#This Row],[Verb]]="redo"),IF(Log[[#This Row],[Arg]]="",Log[[#This Row],[Sprint]],N(Log[[#This Row],[Arg]])),"")</f>
      </c>
      <c r="J207" s="17">
        <f>IF(Log[[#This Row],[Verb]]="block",1,IF(OR(Log[[#This Row],[Verb]]="unblock",Log[[#This Row],[Verb]]="done",Log[[#This Row],[Verb]]="drop",Log[[#This Row],[Verb]]="punt",Log[[#This Row],[Verb]]="pass"),0,""))</f>
      </c>
      <c r="K207" s="17">
        <f>IF(Log[[#This Row],[ID]]="",0,IFERROR(INDEX(Items[Pts],MATCH(Log[[#This Row],[ID]],Items[ID],0))*1,0))</f>
      </c>
      <c r="L207" s="17">
        <f>IF(Log[[#This Row],[ID]]="","",IFERROR(INDEX(Items[Cur team],MATCH(Log[[#This Row],[ID]],Items[ID],0))&amp;"",""))</f>
      </c>
      <c r="M207" s="17">
        <f>IF(OR(Log[[#This Row],[Verb]]="done",Log[[#This Row],[Verb]]="punt",Log[[#This Row],[Verb]]="drop",Log[[#This Row],[Verb]]="pass"),Log[[#This Row],[Pts]],0)</f>
      </c>
    </row>
    <row r="208">
      <c r="A208" s="11">
        <v>46091</v>
      </c>
      <c r="B208" t="s">
        <v>267</v>
      </c>
      <c r="C208" t="s">
        <v>34</v>
      </c>
      <c r="D208">
        <v>39</v>
      </c>
      <c r="F208" s="17">
        <f>IF(Log[[#This Row],[ID]]="","",IF(ISNA(MATCH(Log[[#This Row],[ID]],Items[ID],0)),"unknown ID",IF(ISNA(MATCH(Log[[#This Row],[Verb]],VerbList,0)),"unknown verb",IF(Log[[#This Row],[Date]]="","no date",""))))</f>
      </c>
      <c r="G208" s="17">
        <f>IF(Log[[#This Row],[ID]]="","",IFERROR(VLOOKUP(Log[[#This Row],[Verb]],Verbs,3,FALSE)&amp;"",""))</f>
      </c>
      <c r="H208" s="17">
        <f>IF(Log[[#This Row],[Date]]="","",INT((Log[[#This Row],[Date]]-Sprint1)/SprintDays)+1)</f>
      </c>
      <c r="I208" s="17">
        <f>IF(OR(Log[[#This Row],[Verb]]="commit",Log[[#This Row],[Verb]]="carry",Log[[#This Row],[Verb]]="redo"),IF(Log[[#This Row],[Arg]]="",Log[[#This Row],[Sprint]],N(Log[[#This Row],[Arg]])),"")</f>
      </c>
      <c r="J208" s="17">
        <f>IF(Log[[#This Row],[Verb]]="block",1,IF(OR(Log[[#This Row],[Verb]]="unblock",Log[[#This Row],[Verb]]="done",Log[[#This Row],[Verb]]="drop",Log[[#This Row],[Verb]]="punt",Log[[#This Row],[Verb]]="pass"),0,""))</f>
      </c>
      <c r="K208" s="17">
        <f>IF(Log[[#This Row],[ID]]="",0,IFERROR(INDEX(Items[Pts],MATCH(Log[[#This Row],[ID]],Items[ID],0))*1,0))</f>
      </c>
      <c r="L208" s="17">
        <f>IF(Log[[#This Row],[ID]]="","",IFERROR(INDEX(Items[Cur team],MATCH(Log[[#This Row],[ID]],Items[ID],0))&amp;"",""))</f>
      </c>
      <c r="M208" s="17">
        <f>IF(OR(Log[[#This Row],[Verb]]="done",Log[[#This Row],[Verb]]="punt",Log[[#This Row],[Verb]]="drop",Log[[#This Row],[Verb]]="pass"),Log[[#This Row],[Pts]],0)</f>
      </c>
    </row>
    <row r="209">
      <c r="A209" s="11">
        <v>46091</v>
      </c>
      <c r="B209" t="s">
        <v>268</v>
      </c>
      <c r="C209" t="s">
        <v>34</v>
      </c>
      <c r="D209">
        <v>39</v>
      </c>
      <c r="F209" s="17">
        <f>IF(Log[[#This Row],[ID]]="","",IF(ISNA(MATCH(Log[[#This Row],[ID]],Items[ID],0)),"unknown ID",IF(ISNA(MATCH(Log[[#This Row],[Verb]],VerbList,0)),"unknown verb",IF(Log[[#This Row],[Date]]="","no date",""))))</f>
      </c>
      <c r="G209" s="17">
        <f>IF(Log[[#This Row],[ID]]="","",IFERROR(VLOOKUP(Log[[#This Row],[Verb]],Verbs,3,FALSE)&amp;"",""))</f>
      </c>
      <c r="H209" s="17">
        <f>IF(Log[[#This Row],[Date]]="","",INT((Log[[#This Row],[Date]]-Sprint1)/SprintDays)+1)</f>
      </c>
      <c r="I209" s="17">
        <f>IF(OR(Log[[#This Row],[Verb]]="commit",Log[[#This Row],[Verb]]="carry",Log[[#This Row],[Verb]]="redo"),IF(Log[[#This Row],[Arg]]="",Log[[#This Row],[Sprint]],N(Log[[#This Row],[Arg]])),"")</f>
      </c>
      <c r="J209" s="17">
        <f>IF(Log[[#This Row],[Verb]]="block",1,IF(OR(Log[[#This Row],[Verb]]="unblock",Log[[#This Row],[Verb]]="done",Log[[#This Row],[Verb]]="drop",Log[[#This Row],[Verb]]="punt",Log[[#This Row],[Verb]]="pass"),0,""))</f>
      </c>
      <c r="K209" s="17">
        <f>IF(Log[[#This Row],[ID]]="",0,IFERROR(INDEX(Items[Pts],MATCH(Log[[#This Row],[ID]],Items[ID],0))*1,0))</f>
      </c>
      <c r="L209" s="17">
        <f>IF(Log[[#This Row],[ID]]="","",IFERROR(INDEX(Items[Cur team],MATCH(Log[[#This Row],[ID]],Items[ID],0))&amp;"",""))</f>
      </c>
      <c r="M209" s="17">
        <f>IF(OR(Log[[#This Row],[Verb]]="done",Log[[#This Row],[Verb]]="punt",Log[[#This Row],[Verb]]="drop",Log[[#This Row],[Verb]]="pass"),Log[[#This Row],[Pts]],0)</f>
      </c>
    </row>
    <row r="210">
      <c r="A210" s="11">
        <v>46091</v>
      </c>
      <c r="B210" t="s">
        <v>269</v>
      </c>
      <c r="C210" t="s">
        <v>34</v>
      </c>
      <c r="D210">
        <v>39</v>
      </c>
      <c r="F210" s="17">
        <f>IF(Log[[#This Row],[ID]]="","",IF(ISNA(MATCH(Log[[#This Row],[ID]],Items[ID],0)),"unknown ID",IF(ISNA(MATCH(Log[[#This Row],[Verb]],VerbList,0)),"unknown verb",IF(Log[[#This Row],[Date]]="","no date",""))))</f>
      </c>
      <c r="G210" s="17">
        <f>IF(Log[[#This Row],[ID]]="","",IFERROR(VLOOKUP(Log[[#This Row],[Verb]],Verbs,3,FALSE)&amp;"",""))</f>
      </c>
      <c r="H210" s="17">
        <f>IF(Log[[#This Row],[Date]]="","",INT((Log[[#This Row],[Date]]-Sprint1)/SprintDays)+1)</f>
      </c>
      <c r="I210" s="17">
        <f>IF(OR(Log[[#This Row],[Verb]]="commit",Log[[#This Row],[Verb]]="carry",Log[[#This Row],[Verb]]="redo"),IF(Log[[#This Row],[Arg]]="",Log[[#This Row],[Sprint]],N(Log[[#This Row],[Arg]])),"")</f>
      </c>
      <c r="J210" s="17">
        <f>IF(Log[[#This Row],[Verb]]="block",1,IF(OR(Log[[#This Row],[Verb]]="unblock",Log[[#This Row],[Verb]]="done",Log[[#This Row],[Verb]]="drop",Log[[#This Row],[Verb]]="punt",Log[[#This Row],[Verb]]="pass"),0,""))</f>
      </c>
      <c r="K210" s="17">
        <f>IF(Log[[#This Row],[ID]]="",0,IFERROR(INDEX(Items[Pts],MATCH(Log[[#This Row],[ID]],Items[ID],0))*1,0))</f>
      </c>
      <c r="L210" s="17">
        <f>IF(Log[[#This Row],[ID]]="","",IFERROR(INDEX(Items[Cur team],MATCH(Log[[#This Row],[ID]],Items[ID],0))&amp;"",""))</f>
      </c>
      <c r="M210" s="17">
        <f>IF(OR(Log[[#This Row],[Verb]]="done",Log[[#This Row],[Verb]]="punt",Log[[#This Row],[Verb]]="drop",Log[[#This Row],[Verb]]="pass"),Log[[#This Row],[Pts]],0)</f>
      </c>
    </row>
    <row r="211">
      <c r="A211" s="11">
        <v>46091</v>
      </c>
      <c r="B211" t="s">
        <v>270</v>
      </c>
      <c r="C211" t="s">
        <v>34</v>
      </c>
      <c r="D211">
        <v>39</v>
      </c>
      <c r="F211" s="17">
        <f>IF(Log[[#This Row],[ID]]="","",IF(ISNA(MATCH(Log[[#This Row],[ID]],Items[ID],0)),"unknown ID",IF(ISNA(MATCH(Log[[#This Row],[Verb]],VerbList,0)),"unknown verb",IF(Log[[#This Row],[Date]]="","no date",""))))</f>
      </c>
      <c r="G211" s="17">
        <f>IF(Log[[#This Row],[ID]]="","",IFERROR(VLOOKUP(Log[[#This Row],[Verb]],Verbs,3,FALSE)&amp;"",""))</f>
      </c>
      <c r="H211" s="17">
        <f>IF(Log[[#This Row],[Date]]="","",INT((Log[[#This Row],[Date]]-Sprint1)/SprintDays)+1)</f>
      </c>
      <c r="I211" s="17">
        <f>IF(OR(Log[[#This Row],[Verb]]="commit",Log[[#This Row],[Verb]]="carry",Log[[#This Row],[Verb]]="redo"),IF(Log[[#This Row],[Arg]]="",Log[[#This Row],[Sprint]],N(Log[[#This Row],[Arg]])),"")</f>
      </c>
      <c r="J211" s="17">
        <f>IF(Log[[#This Row],[Verb]]="block",1,IF(OR(Log[[#This Row],[Verb]]="unblock",Log[[#This Row],[Verb]]="done",Log[[#This Row],[Verb]]="drop",Log[[#This Row],[Verb]]="punt",Log[[#This Row],[Verb]]="pass"),0,""))</f>
      </c>
      <c r="K211" s="17">
        <f>IF(Log[[#This Row],[ID]]="",0,IFERROR(INDEX(Items[Pts],MATCH(Log[[#This Row],[ID]],Items[ID],0))*1,0))</f>
      </c>
      <c r="L211" s="17">
        <f>IF(Log[[#This Row],[ID]]="","",IFERROR(INDEX(Items[Cur team],MATCH(Log[[#This Row],[ID]],Items[ID],0))&amp;"",""))</f>
      </c>
      <c r="M211" s="17">
        <f>IF(OR(Log[[#This Row],[Verb]]="done",Log[[#This Row],[Verb]]="punt",Log[[#This Row],[Verb]]="drop",Log[[#This Row],[Verb]]="pass"),Log[[#This Row],[Pts]],0)</f>
      </c>
    </row>
    <row r="212">
      <c r="A212" s="11">
        <v>46091</v>
      </c>
      <c r="B212" t="s">
        <v>271</v>
      </c>
      <c r="C212" t="s">
        <v>34</v>
      </c>
      <c r="D212">
        <v>39</v>
      </c>
      <c r="F212" s="17">
        <f>IF(Log[[#This Row],[ID]]="","",IF(ISNA(MATCH(Log[[#This Row],[ID]],Items[ID],0)),"unknown ID",IF(ISNA(MATCH(Log[[#This Row],[Verb]],VerbList,0)),"unknown verb",IF(Log[[#This Row],[Date]]="","no date",""))))</f>
      </c>
      <c r="G212" s="17">
        <f>IF(Log[[#This Row],[ID]]="","",IFERROR(VLOOKUP(Log[[#This Row],[Verb]],Verbs,3,FALSE)&amp;"",""))</f>
      </c>
      <c r="H212" s="17">
        <f>IF(Log[[#This Row],[Date]]="","",INT((Log[[#This Row],[Date]]-Sprint1)/SprintDays)+1)</f>
      </c>
      <c r="I212" s="17">
        <f>IF(OR(Log[[#This Row],[Verb]]="commit",Log[[#This Row],[Verb]]="carry",Log[[#This Row],[Verb]]="redo"),IF(Log[[#This Row],[Arg]]="",Log[[#This Row],[Sprint]],N(Log[[#This Row],[Arg]])),"")</f>
      </c>
      <c r="J212" s="17">
        <f>IF(Log[[#This Row],[Verb]]="block",1,IF(OR(Log[[#This Row],[Verb]]="unblock",Log[[#This Row],[Verb]]="done",Log[[#This Row],[Verb]]="drop",Log[[#This Row],[Verb]]="punt",Log[[#This Row],[Verb]]="pass"),0,""))</f>
      </c>
      <c r="K212" s="17">
        <f>IF(Log[[#This Row],[ID]]="",0,IFERROR(INDEX(Items[Pts],MATCH(Log[[#This Row],[ID]],Items[ID],0))*1,0))</f>
      </c>
      <c r="L212" s="17">
        <f>IF(Log[[#This Row],[ID]]="","",IFERROR(INDEX(Items[Cur team],MATCH(Log[[#This Row],[ID]],Items[ID],0))&amp;"",""))</f>
      </c>
      <c r="M212" s="17">
        <f>IF(OR(Log[[#This Row],[Verb]]="done",Log[[#This Row],[Verb]]="punt",Log[[#This Row],[Verb]]="drop",Log[[#This Row],[Verb]]="pass"),Log[[#This Row],[Pts]],0)</f>
      </c>
    </row>
    <row r="213">
      <c r="A213" s="11">
        <v>46091</v>
      </c>
      <c r="B213" t="s">
        <v>272</v>
      </c>
      <c r="C213" t="s">
        <v>34</v>
      </c>
      <c r="D213">
        <v>39</v>
      </c>
      <c r="F213" s="17">
        <f>IF(Log[[#This Row],[ID]]="","",IF(ISNA(MATCH(Log[[#This Row],[ID]],Items[ID],0)),"unknown ID",IF(ISNA(MATCH(Log[[#This Row],[Verb]],VerbList,0)),"unknown verb",IF(Log[[#This Row],[Date]]="","no date",""))))</f>
      </c>
      <c r="G213" s="17">
        <f>IF(Log[[#This Row],[ID]]="","",IFERROR(VLOOKUP(Log[[#This Row],[Verb]],Verbs,3,FALSE)&amp;"",""))</f>
      </c>
      <c r="H213" s="17">
        <f>IF(Log[[#This Row],[Date]]="","",INT((Log[[#This Row],[Date]]-Sprint1)/SprintDays)+1)</f>
      </c>
      <c r="I213" s="17">
        <f>IF(OR(Log[[#This Row],[Verb]]="commit",Log[[#This Row],[Verb]]="carry",Log[[#This Row],[Verb]]="redo"),IF(Log[[#This Row],[Arg]]="",Log[[#This Row],[Sprint]],N(Log[[#This Row],[Arg]])),"")</f>
      </c>
      <c r="J213" s="17">
        <f>IF(Log[[#This Row],[Verb]]="block",1,IF(OR(Log[[#This Row],[Verb]]="unblock",Log[[#This Row],[Verb]]="done",Log[[#This Row],[Verb]]="drop",Log[[#This Row],[Verb]]="punt",Log[[#This Row],[Verb]]="pass"),0,""))</f>
      </c>
      <c r="K213" s="17">
        <f>IF(Log[[#This Row],[ID]]="",0,IFERROR(INDEX(Items[Pts],MATCH(Log[[#This Row],[ID]],Items[ID],0))*1,0))</f>
      </c>
      <c r="L213" s="17">
        <f>IF(Log[[#This Row],[ID]]="","",IFERROR(INDEX(Items[Cur team],MATCH(Log[[#This Row],[ID]],Items[ID],0))&amp;"",""))</f>
      </c>
      <c r="M213" s="17">
        <f>IF(OR(Log[[#This Row],[Verb]]="done",Log[[#This Row],[Verb]]="punt",Log[[#This Row],[Verb]]="drop",Log[[#This Row],[Verb]]="pass"),Log[[#This Row],[Pts]],0)</f>
      </c>
    </row>
    <row r="214">
      <c r="A214" s="11">
        <v>46091</v>
      </c>
      <c r="B214" t="s">
        <v>273</v>
      </c>
      <c r="C214" t="s">
        <v>34</v>
      </c>
      <c r="D214">
        <v>39</v>
      </c>
      <c r="F214" s="17">
        <f>IF(Log[[#This Row],[ID]]="","",IF(ISNA(MATCH(Log[[#This Row],[ID]],Items[ID],0)),"unknown ID",IF(ISNA(MATCH(Log[[#This Row],[Verb]],VerbList,0)),"unknown verb",IF(Log[[#This Row],[Date]]="","no date",""))))</f>
      </c>
      <c r="G214" s="17">
        <f>IF(Log[[#This Row],[ID]]="","",IFERROR(VLOOKUP(Log[[#This Row],[Verb]],Verbs,3,FALSE)&amp;"",""))</f>
      </c>
      <c r="H214" s="17">
        <f>IF(Log[[#This Row],[Date]]="","",INT((Log[[#This Row],[Date]]-Sprint1)/SprintDays)+1)</f>
      </c>
      <c r="I214" s="17">
        <f>IF(OR(Log[[#This Row],[Verb]]="commit",Log[[#This Row],[Verb]]="carry",Log[[#This Row],[Verb]]="redo"),IF(Log[[#This Row],[Arg]]="",Log[[#This Row],[Sprint]],N(Log[[#This Row],[Arg]])),"")</f>
      </c>
      <c r="J214" s="17">
        <f>IF(Log[[#This Row],[Verb]]="block",1,IF(OR(Log[[#This Row],[Verb]]="unblock",Log[[#This Row],[Verb]]="done",Log[[#This Row],[Verb]]="drop",Log[[#This Row],[Verb]]="punt",Log[[#This Row],[Verb]]="pass"),0,""))</f>
      </c>
      <c r="K214" s="17">
        <f>IF(Log[[#This Row],[ID]]="",0,IFERROR(INDEX(Items[Pts],MATCH(Log[[#This Row],[ID]],Items[ID],0))*1,0))</f>
      </c>
      <c r="L214" s="17">
        <f>IF(Log[[#This Row],[ID]]="","",IFERROR(INDEX(Items[Cur team],MATCH(Log[[#This Row],[ID]],Items[ID],0))&amp;"",""))</f>
      </c>
      <c r="M214" s="17">
        <f>IF(OR(Log[[#This Row],[Verb]]="done",Log[[#This Row],[Verb]]="punt",Log[[#This Row],[Verb]]="drop",Log[[#This Row],[Verb]]="pass"),Log[[#This Row],[Pts]],0)</f>
      </c>
    </row>
    <row r="215">
      <c r="A215" s="11">
        <v>46091</v>
      </c>
      <c r="B215" t="s">
        <v>274</v>
      </c>
      <c r="C215" t="s">
        <v>34</v>
      </c>
      <c r="D215">
        <v>39</v>
      </c>
      <c r="F215" s="17">
        <f>IF(Log[[#This Row],[ID]]="","",IF(ISNA(MATCH(Log[[#This Row],[ID]],Items[ID],0)),"unknown ID",IF(ISNA(MATCH(Log[[#This Row],[Verb]],VerbList,0)),"unknown verb",IF(Log[[#This Row],[Date]]="","no date",""))))</f>
      </c>
      <c r="G215" s="17">
        <f>IF(Log[[#This Row],[ID]]="","",IFERROR(VLOOKUP(Log[[#This Row],[Verb]],Verbs,3,FALSE)&amp;"",""))</f>
      </c>
      <c r="H215" s="17">
        <f>IF(Log[[#This Row],[Date]]="","",INT((Log[[#This Row],[Date]]-Sprint1)/SprintDays)+1)</f>
      </c>
      <c r="I215" s="17">
        <f>IF(OR(Log[[#This Row],[Verb]]="commit",Log[[#This Row],[Verb]]="carry",Log[[#This Row],[Verb]]="redo"),IF(Log[[#This Row],[Arg]]="",Log[[#This Row],[Sprint]],N(Log[[#This Row],[Arg]])),"")</f>
      </c>
      <c r="J215" s="17">
        <f>IF(Log[[#This Row],[Verb]]="block",1,IF(OR(Log[[#This Row],[Verb]]="unblock",Log[[#This Row],[Verb]]="done",Log[[#This Row],[Verb]]="drop",Log[[#This Row],[Verb]]="punt",Log[[#This Row],[Verb]]="pass"),0,""))</f>
      </c>
      <c r="K215" s="17">
        <f>IF(Log[[#This Row],[ID]]="",0,IFERROR(INDEX(Items[Pts],MATCH(Log[[#This Row],[ID]],Items[ID],0))*1,0))</f>
      </c>
      <c r="L215" s="17">
        <f>IF(Log[[#This Row],[ID]]="","",IFERROR(INDEX(Items[Cur team],MATCH(Log[[#This Row],[ID]],Items[ID],0))&amp;"",""))</f>
      </c>
      <c r="M215" s="17">
        <f>IF(OR(Log[[#This Row],[Verb]]="done",Log[[#This Row],[Verb]]="punt",Log[[#This Row],[Verb]]="drop",Log[[#This Row],[Verb]]="pass"),Log[[#This Row],[Pts]],0)</f>
      </c>
    </row>
    <row r="216">
      <c r="A216" s="11">
        <v>46091</v>
      </c>
      <c r="B216" t="s">
        <v>275</v>
      </c>
      <c r="C216" t="s">
        <v>34</v>
      </c>
      <c r="D216">
        <v>39</v>
      </c>
      <c r="F216" s="17">
        <f>IF(Log[[#This Row],[ID]]="","",IF(ISNA(MATCH(Log[[#This Row],[ID]],Items[ID],0)),"unknown ID",IF(ISNA(MATCH(Log[[#This Row],[Verb]],VerbList,0)),"unknown verb",IF(Log[[#This Row],[Date]]="","no date",""))))</f>
      </c>
      <c r="G216" s="17">
        <f>IF(Log[[#This Row],[ID]]="","",IFERROR(VLOOKUP(Log[[#This Row],[Verb]],Verbs,3,FALSE)&amp;"",""))</f>
      </c>
      <c r="H216" s="17">
        <f>IF(Log[[#This Row],[Date]]="","",INT((Log[[#This Row],[Date]]-Sprint1)/SprintDays)+1)</f>
      </c>
      <c r="I216" s="17">
        <f>IF(OR(Log[[#This Row],[Verb]]="commit",Log[[#This Row],[Verb]]="carry",Log[[#This Row],[Verb]]="redo"),IF(Log[[#This Row],[Arg]]="",Log[[#This Row],[Sprint]],N(Log[[#This Row],[Arg]])),"")</f>
      </c>
      <c r="J216" s="17">
        <f>IF(Log[[#This Row],[Verb]]="block",1,IF(OR(Log[[#This Row],[Verb]]="unblock",Log[[#This Row],[Verb]]="done",Log[[#This Row],[Verb]]="drop",Log[[#This Row],[Verb]]="punt",Log[[#This Row],[Verb]]="pass"),0,""))</f>
      </c>
      <c r="K216" s="17">
        <f>IF(Log[[#This Row],[ID]]="",0,IFERROR(INDEX(Items[Pts],MATCH(Log[[#This Row],[ID]],Items[ID],0))*1,0))</f>
      </c>
      <c r="L216" s="17">
        <f>IF(Log[[#This Row],[ID]]="","",IFERROR(INDEX(Items[Cur team],MATCH(Log[[#This Row],[ID]],Items[ID],0))&amp;"",""))</f>
      </c>
      <c r="M216" s="17">
        <f>IF(OR(Log[[#This Row],[Verb]]="done",Log[[#This Row],[Verb]]="punt",Log[[#This Row],[Verb]]="drop",Log[[#This Row],[Verb]]="pass"),Log[[#This Row],[Pts]],0)</f>
      </c>
    </row>
    <row r="217">
      <c r="A217" s="11">
        <v>46091</v>
      </c>
      <c r="B217" t="s">
        <v>276</v>
      </c>
      <c r="C217" t="s">
        <v>34</v>
      </c>
      <c r="D217">
        <v>39</v>
      </c>
      <c r="F217" s="17">
        <f>IF(Log[[#This Row],[ID]]="","",IF(ISNA(MATCH(Log[[#This Row],[ID]],Items[ID],0)),"unknown ID",IF(ISNA(MATCH(Log[[#This Row],[Verb]],VerbList,0)),"unknown verb",IF(Log[[#This Row],[Date]]="","no date",""))))</f>
      </c>
      <c r="G217" s="17">
        <f>IF(Log[[#This Row],[ID]]="","",IFERROR(VLOOKUP(Log[[#This Row],[Verb]],Verbs,3,FALSE)&amp;"",""))</f>
      </c>
      <c r="H217" s="17">
        <f>IF(Log[[#This Row],[Date]]="","",INT((Log[[#This Row],[Date]]-Sprint1)/SprintDays)+1)</f>
      </c>
      <c r="I217" s="17">
        <f>IF(OR(Log[[#This Row],[Verb]]="commit",Log[[#This Row],[Verb]]="carry",Log[[#This Row],[Verb]]="redo"),IF(Log[[#This Row],[Arg]]="",Log[[#This Row],[Sprint]],N(Log[[#This Row],[Arg]])),"")</f>
      </c>
      <c r="J217" s="17">
        <f>IF(Log[[#This Row],[Verb]]="block",1,IF(OR(Log[[#This Row],[Verb]]="unblock",Log[[#This Row],[Verb]]="done",Log[[#This Row],[Verb]]="drop",Log[[#This Row],[Verb]]="punt",Log[[#This Row],[Verb]]="pass"),0,""))</f>
      </c>
      <c r="K217" s="17">
        <f>IF(Log[[#This Row],[ID]]="",0,IFERROR(INDEX(Items[Pts],MATCH(Log[[#This Row],[ID]],Items[ID],0))*1,0))</f>
      </c>
      <c r="L217" s="17">
        <f>IF(Log[[#This Row],[ID]]="","",IFERROR(INDEX(Items[Cur team],MATCH(Log[[#This Row],[ID]],Items[ID],0))&amp;"",""))</f>
      </c>
      <c r="M217" s="17">
        <f>IF(OR(Log[[#This Row],[Verb]]="done",Log[[#This Row],[Verb]]="punt",Log[[#This Row],[Verb]]="drop",Log[[#This Row],[Verb]]="pass"),Log[[#This Row],[Pts]],0)</f>
      </c>
    </row>
    <row r="218">
      <c r="A218" s="11">
        <v>46091</v>
      </c>
      <c r="B218" t="s">
        <v>277</v>
      </c>
      <c r="C218" t="s">
        <v>34</v>
      </c>
      <c r="D218">
        <v>39</v>
      </c>
      <c r="F218" s="17">
        <f>IF(Log[[#This Row],[ID]]="","",IF(ISNA(MATCH(Log[[#This Row],[ID]],Items[ID],0)),"unknown ID",IF(ISNA(MATCH(Log[[#This Row],[Verb]],VerbList,0)),"unknown verb",IF(Log[[#This Row],[Date]]="","no date",""))))</f>
      </c>
      <c r="G218" s="17">
        <f>IF(Log[[#This Row],[ID]]="","",IFERROR(VLOOKUP(Log[[#This Row],[Verb]],Verbs,3,FALSE)&amp;"",""))</f>
      </c>
      <c r="H218" s="17">
        <f>IF(Log[[#This Row],[Date]]="","",INT((Log[[#This Row],[Date]]-Sprint1)/SprintDays)+1)</f>
      </c>
      <c r="I218" s="17">
        <f>IF(OR(Log[[#This Row],[Verb]]="commit",Log[[#This Row],[Verb]]="carry",Log[[#This Row],[Verb]]="redo"),IF(Log[[#This Row],[Arg]]="",Log[[#This Row],[Sprint]],N(Log[[#This Row],[Arg]])),"")</f>
      </c>
      <c r="J218" s="17">
        <f>IF(Log[[#This Row],[Verb]]="block",1,IF(OR(Log[[#This Row],[Verb]]="unblock",Log[[#This Row],[Verb]]="done",Log[[#This Row],[Verb]]="drop",Log[[#This Row],[Verb]]="punt",Log[[#This Row],[Verb]]="pass"),0,""))</f>
      </c>
      <c r="K218" s="17">
        <f>IF(Log[[#This Row],[ID]]="",0,IFERROR(INDEX(Items[Pts],MATCH(Log[[#This Row],[ID]],Items[ID],0))*1,0))</f>
      </c>
      <c r="L218" s="17">
        <f>IF(Log[[#This Row],[ID]]="","",IFERROR(INDEX(Items[Cur team],MATCH(Log[[#This Row],[ID]],Items[ID],0))&amp;"",""))</f>
      </c>
      <c r="M218" s="17">
        <f>IF(OR(Log[[#This Row],[Verb]]="done",Log[[#This Row],[Verb]]="punt",Log[[#This Row],[Verb]]="drop",Log[[#This Row],[Verb]]="pass"),Log[[#This Row],[Pts]],0)</f>
      </c>
    </row>
    <row r="219">
      <c r="A219" s="11">
        <v>46091</v>
      </c>
      <c r="B219" t="s">
        <v>278</v>
      </c>
      <c r="C219" t="s">
        <v>34</v>
      </c>
      <c r="D219">
        <v>39</v>
      </c>
      <c r="F219" s="17">
        <f>IF(Log[[#This Row],[ID]]="","",IF(ISNA(MATCH(Log[[#This Row],[ID]],Items[ID],0)),"unknown ID",IF(ISNA(MATCH(Log[[#This Row],[Verb]],VerbList,0)),"unknown verb",IF(Log[[#This Row],[Date]]="","no date",""))))</f>
      </c>
      <c r="G219" s="17">
        <f>IF(Log[[#This Row],[ID]]="","",IFERROR(VLOOKUP(Log[[#This Row],[Verb]],Verbs,3,FALSE)&amp;"",""))</f>
      </c>
      <c r="H219" s="17">
        <f>IF(Log[[#This Row],[Date]]="","",INT((Log[[#This Row],[Date]]-Sprint1)/SprintDays)+1)</f>
      </c>
      <c r="I219" s="17">
        <f>IF(OR(Log[[#This Row],[Verb]]="commit",Log[[#This Row],[Verb]]="carry",Log[[#This Row],[Verb]]="redo"),IF(Log[[#This Row],[Arg]]="",Log[[#This Row],[Sprint]],N(Log[[#This Row],[Arg]])),"")</f>
      </c>
      <c r="J219" s="17">
        <f>IF(Log[[#This Row],[Verb]]="block",1,IF(OR(Log[[#This Row],[Verb]]="unblock",Log[[#This Row],[Verb]]="done",Log[[#This Row],[Verb]]="drop",Log[[#This Row],[Verb]]="punt",Log[[#This Row],[Verb]]="pass"),0,""))</f>
      </c>
      <c r="K219" s="17">
        <f>IF(Log[[#This Row],[ID]]="",0,IFERROR(INDEX(Items[Pts],MATCH(Log[[#This Row],[ID]],Items[ID],0))*1,0))</f>
      </c>
      <c r="L219" s="17">
        <f>IF(Log[[#This Row],[ID]]="","",IFERROR(INDEX(Items[Cur team],MATCH(Log[[#This Row],[ID]],Items[ID],0))&amp;"",""))</f>
      </c>
      <c r="M219" s="17">
        <f>IF(OR(Log[[#This Row],[Verb]]="done",Log[[#This Row],[Verb]]="punt",Log[[#This Row],[Verb]]="drop",Log[[#This Row],[Verb]]="pass"),Log[[#This Row],[Pts]],0)</f>
      </c>
    </row>
    <row r="220">
      <c r="A220" s="11">
        <v>46091</v>
      </c>
      <c r="B220" t="s">
        <v>279</v>
      </c>
      <c r="C220" t="s">
        <v>34</v>
      </c>
      <c r="D220">
        <v>39</v>
      </c>
      <c r="F220" s="17">
        <f>IF(Log[[#This Row],[ID]]="","",IF(ISNA(MATCH(Log[[#This Row],[ID]],Items[ID],0)),"unknown ID",IF(ISNA(MATCH(Log[[#This Row],[Verb]],VerbList,0)),"unknown verb",IF(Log[[#This Row],[Date]]="","no date",""))))</f>
      </c>
      <c r="G220" s="17">
        <f>IF(Log[[#This Row],[ID]]="","",IFERROR(VLOOKUP(Log[[#This Row],[Verb]],Verbs,3,FALSE)&amp;"",""))</f>
      </c>
      <c r="H220" s="17">
        <f>IF(Log[[#This Row],[Date]]="","",INT((Log[[#This Row],[Date]]-Sprint1)/SprintDays)+1)</f>
      </c>
      <c r="I220" s="17">
        <f>IF(OR(Log[[#This Row],[Verb]]="commit",Log[[#This Row],[Verb]]="carry",Log[[#This Row],[Verb]]="redo"),IF(Log[[#This Row],[Arg]]="",Log[[#This Row],[Sprint]],N(Log[[#This Row],[Arg]])),"")</f>
      </c>
      <c r="J220" s="17">
        <f>IF(Log[[#This Row],[Verb]]="block",1,IF(OR(Log[[#This Row],[Verb]]="unblock",Log[[#This Row],[Verb]]="done",Log[[#This Row],[Verb]]="drop",Log[[#This Row],[Verb]]="punt",Log[[#This Row],[Verb]]="pass"),0,""))</f>
      </c>
      <c r="K220" s="17">
        <f>IF(Log[[#This Row],[ID]]="",0,IFERROR(INDEX(Items[Pts],MATCH(Log[[#This Row],[ID]],Items[ID],0))*1,0))</f>
      </c>
      <c r="L220" s="17">
        <f>IF(Log[[#This Row],[ID]]="","",IFERROR(INDEX(Items[Cur team],MATCH(Log[[#This Row],[ID]],Items[ID],0))&amp;"",""))</f>
      </c>
      <c r="M220" s="17">
        <f>IF(OR(Log[[#This Row],[Verb]]="done",Log[[#This Row],[Verb]]="punt",Log[[#This Row],[Verb]]="drop",Log[[#This Row],[Verb]]="pass"),Log[[#This Row],[Pts]],0)</f>
      </c>
    </row>
    <row r="221">
      <c r="A221" s="11">
        <v>46091</v>
      </c>
      <c r="B221" t="s">
        <v>280</v>
      </c>
      <c r="C221" t="s">
        <v>34</v>
      </c>
      <c r="D221">
        <v>39</v>
      </c>
      <c r="F221" s="17">
        <f>IF(Log[[#This Row],[ID]]="","",IF(ISNA(MATCH(Log[[#This Row],[ID]],Items[ID],0)),"unknown ID",IF(ISNA(MATCH(Log[[#This Row],[Verb]],VerbList,0)),"unknown verb",IF(Log[[#This Row],[Date]]="","no date",""))))</f>
      </c>
      <c r="G221" s="17">
        <f>IF(Log[[#This Row],[ID]]="","",IFERROR(VLOOKUP(Log[[#This Row],[Verb]],Verbs,3,FALSE)&amp;"",""))</f>
      </c>
      <c r="H221" s="17">
        <f>IF(Log[[#This Row],[Date]]="","",INT((Log[[#This Row],[Date]]-Sprint1)/SprintDays)+1)</f>
      </c>
      <c r="I221" s="17">
        <f>IF(OR(Log[[#This Row],[Verb]]="commit",Log[[#This Row],[Verb]]="carry",Log[[#This Row],[Verb]]="redo"),IF(Log[[#This Row],[Arg]]="",Log[[#This Row],[Sprint]],N(Log[[#This Row],[Arg]])),"")</f>
      </c>
      <c r="J221" s="17">
        <f>IF(Log[[#This Row],[Verb]]="block",1,IF(OR(Log[[#This Row],[Verb]]="unblock",Log[[#This Row],[Verb]]="done",Log[[#This Row],[Verb]]="drop",Log[[#This Row],[Verb]]="punt",Log[[#This Row],[Verb]]="pass"),0,""))</f>
      </c>
      <c r="K221" s="17">
        <f>IF(Log[[#This Row],[ID]]="",0,IFERROR(INDEX(Items[Pts],MATCH(Log[[#This Row],[ID]],Items[ID],0))*1,0))</f>
      </c>
      <c r="L221" s="17">
        <f>IF(Log[[#This Row],[ID]]="","",IFERROR(INDEX(Items[Cur team],MATCH(Log[[#This Row],[ID]],Items[ID],0))&amp;"",""))</f>
      </c>
      <c r="M221" s="17">
        <f>IF(OR(Log[[#This Row],[Verb]]="done",Log[[#This Row],[Verb]]="punt",Log[[#This Row],[Verb]]="drop",Log[[#This Row],[Verb]]="pass"),Log[[#This Row],[Pts]],0)</f>
      </c>
    </row>
    <row r="222">
      <c r="A222" s="11">
        <v>46091</v>
      </c>
      <c r="B222" t="s">
        <v>221</v>
      </c>
      <c r="C222" t="s">
        <v>57</v>
      </c>
      <c r="D222">
        <v>39</v>
      </c>
      <c r="E222" t="s">
        <v>193</v>
      </c>
      <c r="F222" s="17">
        <f>IF(Log[[#This Row],[ID]]="","",IF(ISNA(MATCH(Log[[#This Row],[ID]],Items[ID],0)),"unknown ID",IF(ISNA(MATCH(Log[[#This Row],[Verb]],VerbList,0)),"unknown verb",IF(Log[[#This Row],[Date]]="","no date",""))))</f>
      </c>
      <c r="G222" s="17">
        <f>IF(Log[[#This Row],[ID]]="","",IFERROR(VLOOKUP(Log[[#This Row],[Verb]],Verbs,3,FALSE)&amp;"",""))</f>
      </c>
      <c r="H222" s="17">
        <f>IF(Log[[#This Row],[Date]]="","",INT((Log[[#This Row],[Date]]-Sprint1)/SprintDays)+1)</f>
      </c>
      <c r="I222" s="17">
        <f>IF(OR(Log[[#This Row],[Verb]]="commit",Log[[#This Row],[Verb]]="carry",Log[[#This Row],[Verb]]="redo"),IF(Log[[#This Row],[Arg]]="",Log[[#This Row],[Sprint]],N(Log[[#This Row],[Arg]])),"")</f>
      </c>
      <c r="J222" s="17">
        <f>IF(Log[[#This Row],[Verb]]="block",1,IF(OR(Log[[#This Row],[Verb]]="unblock",Log[[#This Row],[Verb]]="done",Log[[#This Row],[Verb]]="drop",Log[[#This Row],[Verb]]="punt",Log[[#This Row],[Verb]]="pass"),0,""))</f>
      </c>
      <c r="K222" s="17">
        <f>IF(Log[[#This Row],[ID]]="",0,IFERROR(INDEX(Items[Pts],MATCH(Log[[#This Row],[ID]],Items[ID],0))*1,0))</f>
      </c>
      <c r="L222" s="17">
        <f>IF(Log[[#This Row],[ID]]="","",IFERROR(INDEX(Items[Cur team],MATCH(Log[[#This Row],[ID]],Items[ID],0))&amp;"",""))</f>
      </c>
      <c r="M222" s="17">
        <f>IF(OR(Log[[#This Row],[Verb]]="done",Log[[#This Row],[Verb]]="punt",Log[[#This Row],[Verb]]="drop",Log[[#This Row],[Verb]]="pass"),Log[[#This Row],[Pts]],0)</f>
      </c>
    </row>
    <row r="223">
      <c r="A223" s="11">
        <v>46091</v>
      </c>
      <c r="B223" t="s">
        <v>281</v>
      </c>
      <c r="C223" t="s">
        <v>34</v>
      </c>
      <c r="D223">
        <v>39</v>
      </c>
      <c r="F223" s="17">
        <f>IF(Log[[#This Row],[ID]]="","",IF(ISNA(MATCH(Log[[#This Row],[ID]],Items[ID],0)),"unknown ID",IF(ISNA(MATCH(Log[[#This Row],[Verb]],VerbList,0)),"unknown verb",IF(Log[[#This Row],[Date]]="","no date",""))))</f>
      </c>
      <c r="G223" s="17">
        <f>IF(Log[[#This Row],[ID]]="","",IFERROR(VLOOKUP(Log[[#This Row],[Verb]],Verbs,3,FALSE)&amp;"",""))</f>
      </c>
      <c r="H223" s="17">
        <f>IF(Log[[#This Row],[Date]]="","",INT((Log[[#This Row],[Date]]-Sprint1)/SprintDays)+1)</f>
      </c>
      <c r="I223" s="17">
        <f>IF(OR(Log[[#This Row],[Verb]]="commit",Log[[#This Row],[Verb]]="carry",Log[[#This Row],[Verb]]="redo"),IF(Log[[#This Row],[Arg]]="",Log[[#This Row],[Sprint]],N(Log[[#This Row],[Arg]])),"")</f>
      </c>
      <c r="J223" s="17">
        <f>IF(Log[[#This Row],[Verb]]="block",1,IF(OR(Log[[#This Row],[Verb]]="unblock",Log[[#This Row],[Verb]]="done",Log[[#This Row],[Verb]]="drop",Log[[#This Row],[Verb]]="punt",Log[[#This Row],[Verb]]="pass"),0,""))</f>
      </c>
      <c r="K223" s="17">
        <f>IF(Log[[#This Row],[ID]]="",0,IFERROR(INDEX(Items[Pts],MATCH(Log[[#This Row],[ID]],Items[ID],0))*1,0))</f>
      </c>
      <c r="L223" s="17">
        <f>IF(Log[[#This Row],[ID]]="","",IFERROR(INDEX(Items[Cur team],MATCH(Log[[#This Row],[ID]],Items[ID],0))&amp;"",""))</f>
      </c>
      <c r="M223" s="17">
        <f>IF(OR(Log[[#This Row],[Verb]]="done",Log[[#This Row],[Verb]]="punt",Log[[#This Row],[Verb]]="drop",Log[[#This Row],[Verb]]="pass"),Log[[#This Row],[Pts]],0)</f>
      </c>
    </row>
    <row r="224">
      <c r="A224" s="11">
        <v>46091</v>
      </c>
      <c r="B224" t="s">
        <v>282</v>
      </c>
      <c r="C224" t="s">
        <v>34</v>
      </c>
      <c r="D224">
        <v>39</v>
      </c>
      <c r="F224" s="17">
        <f>IF(Log[[#This Row],[ID]]="","",IF(ISNA(MATCH(Log[[#This Row],[ID]],Items[ID],0)),"unknown ID",IF(ISNA(MATCH(Log[[#This Row],[Verb]],VerbList,0)),"unknown verb",IF(Log[[#This Row],[Date]]="","no date",""))))</f>
      </c>
      <c r="G224" s="17">
        <f>IF(Log[[#This Row],[ID]]="","",IFERROR(VLOOKUP(Log[[#This Row],[Verb]],Verbs,3,FALSE)&amp;"",""))</f>
      </c>
      <c r="H224" s="17">
        <f>IF(Log[[#This Row],[Date]]="","",INT((Log[[#This Row],[Date]]-Sprint1)/SprintDays)+1)</f>
      </c>
      <c r="I224" s="17">
        <f>IF(OR(Log[[#This Row],[Verb]]="commit",Log[[#This Row],[Verb]]="carry",Log[[#This Row],[Verb]]="redo"),IF(Log[[#This Row],[Arg]]="",Log[[#This Row],[Sprint]],N(Log[[#This Row],[Arg]])),"")</f>
      </c>
      <c r="J224" s="17">
        <f>IF(Log[[#This Row],[Verb]]="block",1,IF(OR(Log[[#This Row],[Verb]]="unblock",Log[[#This Row],[Verb]]="done",Log[[#This Row],[Verb]]="drop",Log[[#This Row],[Verb]]="punt",Log[[#This Row],[Verb]]="pass"),0,""))</f>
      </c>
      <c r="K224" s="17">
        <f>IF(Log[[#This Row],[ID]]="",0,IFERROR(INDEX(Items[Pts],MATCH(Log[[#This Row],[ID]],Items[ID],0))*1,0))</f>
      </c>
      <c r="L224" s="17">
        <f>IF(Log[[#This Row],[ID]]="","",IFERROR(INDEX(Items[Cur team],MATCH(Log[[#This Row],[ID]],Items[ID],0))&amp;"",""))</f>
      </c>
      <c r="M224" s="17">
        <f>IF(OR(Log[[#This Row],[Verb]]="done",Log[[#This Row],[Verb]]="punt",Log[[#This Row],[Verb]]="drop",Log[[#This Row],[Verb]]="pass"),Log[[#This Row],[Pts]],0)</f>
      </c>
    </row>
    <row r="225">
      <c r="A225" s="11">
        <v>46091</v>
      </c>
      <c r="B225" t="s">
        <v>283</v>
      </c>
      <c r="C225" t="s">
        <v>34</v>
      </c>
      <c r="D225">
        <v>39</v>
      </c>
      <c r="F225" s="17">
        <f>IF(Log[[#This Row],[ID]]="","",IF(ISNA(MATCH(Log[[#This Row],[ID]],Items[ID],0)),"unknown ID",IF(ISNA(MATCH(Log[[#This Row],[Verb]],VerbList,0)),"unknown verb",IF(Log[[#This Row],[Date]]="","no date",""))))</f>
      </c>
      <c r="G225" s="17">
        <f>IF(Log[[#This Row],[ID]]="","",IFERROR(VLOOKUP(Log[[#This Row],[Verb]],Verbs,3,FALSE)&amp;"",""))</f>
      </c>
      <c r="H225" s="17">
        <f>IF(Log[[#This Row],[Date]]="","",INT((Log[[#This Row],[Date]]-Sprint1)/SprintDays)+1)</f>
      </c>
      <c r="I225" s="17">
        <f>IF(OR(Log[[#This Row],[Verb]]="commit",Log[[#This Row],[Verb]]="carry",Log[[#This Row],[Verb]]="redo"),IF(Log[[#This Row],[Arg]]="",Log[[#This Row],[Sprint]],N(Log[[#This Row],[Arg]])),"")</f>
      </c>
      <c r="J225" s="17">
        <f>IF(Log[[#This Row],[Verb]]="block",1,IF(OR(Log[[#This Row],[Verb]]="unblock",Log[[#This Row],[Verb]]="done",Log[[#This Row],[Verb]]="drop",Log[[#This Row],[Verb]]="punt",Log[[#This Row],[Verb]]="pass"),0,""))</f>
      </c>
      <c r="K225" s="17">
        <f>IF(Log[[#This Row],[ID]]="",0,IFERROR(INDEX(Items[Pts],MATCH(Log[[#This Row],[ID]],Items[ID],0))*1,0))</f>
      </c>
      <c r="L225" s="17">
        <f>IF(Log[[#This Row],[ID]]="","",IFERROR(INDEX(Items[Cur team],MATCH(Log[[#This Row],[ID]],Items[ID],0))&amp;"",""))</f>
      </c>
      <c r="M225" s="17">
        <f>IF(OR(Log[[#This Row],[Verb]]="done",Log[[#This Row],[Verb]]="punt",Log[[#This Row],[Verb]]="drop",Log[[#This Row],[Verb]]="pass"),Log[[#This Row],[Pts]],0)</f>
      </c>
    </row>
    <row r="226">
      <c r="A226" s="11">
        <v>46091</v>
      </c>
      <c r="B226" t="s">
        <v>284</v>
      </c>
      <c r="C226" t="s">
        <v>34</v>
      </c>
      <c r="D226">
        <v>39</v>
      </c>
      <c r="F226" s="17">
        <f>IF(Log[[#This Row],[ID]]="","",IF(ISNA(MATCH(Log[[#This Row],[ID]],Items[ID],0)),"unknown ID",IF(ISNA(MATCH(Log[[#This Row],[Verb]],VerbList,0)),"unknown verb",IF(Log[[#This Row],[Date]]="","no date",""))))</f>
      </c>
      <c r="G226" s="17">
        <f>IF(Log[[#This Row],[ID]]="","",IFERROR(VLOOKUP(Log[[#This Row],[Verb]],Verbs,3,FALSE)&amp;"",""))</f>
      </c>
      <c r="H226" s="17">
        <f>IF(Log[[#This Row],[Date]]="","",INT((Log[[#This Row],[Date]]-Sprint1)/SprintDays)+1)</f>
      </c>
      <c r="I226" s="17">
        <f>IF(OR(Log[[#This Row],[Verb]]="commit",Log[[#This Row],[Verb]]="carry",Log[[#This Row],[Verb]]="redo"),IF(Log[[#This Row],[Arg]]="",Log[[#This Row],[Sprint]],N(Log[[#This Row],[Arg]])),"")</f>
      </c>
      <c r="J226" s="17">
        <f>IF(Log[[#This Row],[Verb]]="block",1,IF(OR(Log[[#This Row],[Verb]]="unblock",Log[[#This Row],[Verb]]="done",Log[[#This Row],[Verb]]="drop",Log[[#This Row],[Verb]]="punt",Log[[#This Row],[Verb]]="pass"),0,""))</f>
      </c>
      <c r="K226" s="17">
        <f>IF(Log[[#This Row],[ID]]="",0,IFERROR(INDEX(Items[Pts],MATCH(Log[[#This Row],[ID]],Items[ID],0))*1,0))</f>
      </c>
      <c r="L226" s="17">
        <f>IF(Log[[#This Row],[ID]]="","",IFERROR(INDEX(Items[Cur team],MATCH(Log[[#This Row],[ID]],Items[ID],0))&amp;"",""))</f>
      </c>
      <c r="M226" s="17">
        <f>IF(OR(Log[[#This Row],[Verb]]="done",Log[[#This Row],[Verb]]="punt",Log[[#This Row],[Verb]]="drop",Log[[#This Row],[Verb]]="pass"),Log[[#This Row],[Pts]],0)</f>
      </c>
    </row>
    <row r="227">
      <c r="A227" s="11">
        <v>46091</v>
      </c>
      <c r="B227" t="s">
        <v>285</v>
      </c>
      <c r="C227" t="s">
        <v>34</v>
      </c>
      <c r="D227">
        <v>39</v>
      </c>
      <c r="F227" s="17">
        <f>IF(Log[[#This Row],[ID]]="","",IF(ISNA(MATCH(Log[[#This Row],[ID]],Items[ID],0)),"unknown ID",IF(ISNA(MATCH(Log[[#This Row],[Verb]],VerbList,0)),"unknown verb",IF(Log[[#This Row],[Date]]="","no date",""))))</f>
      </c>
      <c r="G227" s="17">
        <f>IF(Log[[#This Row],[ID]]="","",IFERROR(VLOOKUP(Log[[#This Row],[Verb]],Verbs,3,FALSE)&amp;"",""))</f>
      </c>
      <c r="H227" s="17">
        <f>IF(Log[[#This Row],[Date]]="","",INT((Log[[#This Row],[Date]]-Sprint1)/SprintDays)+1)</f>
      </c>
      <c r="I227" s="17">
        <f>IF(OR(Log[[#This Row],[Verb]]="commit",Log[[#This Row],[Verb]]="carry",Log[[#This Row],[Verb]]="redo"),IF(Log[[#This Row],[Arg]]="",Log[[#This Row],[Sprint]],N(Log[[#This Row],[Arg]])),"")</f>
      </c>
      <c r="J227" s="17">
        <f>IF(Log[[#This Row],[Verb]]="block",1,IF(OR(Log[[#This Row],[Verb]]="unblock",Log[[#This Row],[Verb]]="done",Log[[#This Row],[Verb]]="drop",Log[[#This Row],[Verb]]="punt",Log[[#This Row],[Verb]]="pass"),0,""))</f>
      </c>
      <c r="K227" s="17">
        <f>IF(Log[[#This Row],[ID]]="",0,IFERROR(INDEX(Items[Pts],MATCH(Log[[#This Row],[ID]],Items[ID],0))*1,0))</f>
      </c>
      <c r="L227" s="17">
        <f>IF(Log[[#This Row],[ID]]="","",IFERROR(INDEX(Items[Cur team],MATCH(Log[[#This Row],[ID]],Items[ID],0))&amp;"",""))</f>
      </c>
      <c r="M227" s="17">
        <f>IF(OR(Log[[#This Row],[Verb]]="done",Log[[#This Row],[Verb]]="punt",Log[[#This Row],[Verb]]="drop",Log[[#This Row],[Verb]]="pass"),Log[[#This Row],[Pts]],0)</f>
      </c>
    </row>
    <row r="228">
      <c r="A228" s="11">
        <v>46091</v>
      </c>
      <c r="B228" t="s">
        <v>286</v>
      </c>
      <c r="C228" t="s">
        <v>34</v>
      </c>
      <c r="D228">
        <v>39</v>
      </c>
      <c r="F228" s="17">
        <f>IF(Log[[#This Row],[ID]]="","",IF(ISNA(MATCH(Log[[#This Row],[ID]],Items[ID],0)),"unknown ID",IF(ISNA(MATCH(Log[[#This Row],[Verb]],VerbList,0)),"unknown verb",IF(Log[[#This Row],[Date]]="","no date",""))))</f>
      </c>
      <c r="G228" s="17">
        <f>IF(Log[[#This Row],[ID]]="","",IFERROR(VLOOKUP(Log[[#This Row],[Verb]],Verbs,3,FALSE)&amp;"",""))</f>
      </c>
      <c r="H228" s="17">
        <f>IF(Log[[#This Row],[Date]]="","",INT((Log[[#This Row],[Date]]-Sprint1)/SprintDays)+1)</f>
      </c>
      <c r="I228" s="17">
        <f>IF(OR(Log[[#This Row],[Verb]]="commit",Log[[#This Row],[Verb]]="carry",Log[[#This Row],[Verb]]="redo"),IF(Log[[#This Row],[Arg]]="",Log[[#This Row],[Sprint]],N(Log[[#This Row],[Arg]])),"")</f>
      </c>
      <c r="J228" s="17">
        <f>IF(Log[[#This Row],[Verb]]="block",1,IF(OR(Log[[#This Row],[Verb]]="unblock",Log[[#This Row],[Verb]]="done",Log[[#This Row],[Verb]]="drop",Log[[#This Row],[Verb]]="punt",Log[[#This Row],[Verb]]="pass"),0,""))</f>
      </c>
      <c r="K228" s="17">
        <f>IF(Log[[#This Row],[ID]]="",0,IFERROR(INDEX(Items[Pts],MATCH(Log[[#This Row],[ID]],Items[ID],0))*1,0))</f>
      </c>
      <c r="L228" s="17">
        <f>IF(Log[[#This Row],[ID]]="","",IFERROR(INDEX(Items[Cur team],MATCH(Log[[#This Row],[ID]],Items[ID],0))&amp;"",""))</f>
      </c>
      <c r="M228" s="17">
        <f>IF(OR(Log[[#This Row],[Verb]]="done",Log[[#This Row],[Verb]]="punt",Log[[#This Row],[Verb]]="drop",Log[[#This Row],[Verb]]="pass"),Log[[#This Row],[Pts]],0)</f>
      </c>
    </row>
    <row r="229">
      <c r="A229" s="11">
        <v>46091</v>
      </c>
      <c r="B229" t="s">
        <v>287</v>
      </c>
      <c r="C229" t="s">
        <v>34</v>
      </c>
      <c r="D229">
        <v>39</v>
      </c>
      <c r="F229" s="17">
        <f>IF(Log[[#This Row],[ID]]="","",IF(ISNA(MATCH(Log[[#This Row],[ID]],Items[ID],0)),"unknown ID",IF(ISNA(MATCH(Log[[#This Row],[Verb]],VerbList,0)),"unknown verb",IF(Log[[#This Row],[Date]]="","no date",""))))</f>
      </c>
      <c r="G229" s="17">
        <f>IF(Log[[#This Row],[ID]]="","",IFERROR(VLOOKUP(Log[[#This Row],[Verb]],Verbs,3,FALSE)&amp;"",""))</f>
      </c>
      <c r="H229" s="17">
        <f>IF(Log[[#This Row],[Date]]="","",INT((Log[[#This Row],[Date]]-Sprint1)/SprintDays)+1)</f>
      </c>
      <c r="I229" s="17">
        <f>IF(OR(Log[[#This Row],[Verb]]="commit",Log[[#This Row],[Verb]]="carry",Log[[#This Row],[Verb]]="redo"),IF(Log[[#This Row],[Arg]]="",Log[[#This Row],[Sprint]],N(Log[[#This Row],[Arg]])),"")</f>
      </c>
      <c r="J229" s="17">
        <f>IF(Log[[#This Row],[Verb]]="block",1,IF(OR(Log[[#This Row],[Verb]]="unblock",Log[[#This Row],[Verb]]="done",Log[[#This Row],[Verb]]="drop",Log[[#This Row],[Verb]]="punt",Log[[#This Row],[Verb]]="pass"),0,""))</f>
      </c>
      <c r="K229" s="17">
        <f>IF(Log[[#This Row],[ID]]="",0,IFERROR(INDEX(Items[Pts],MATCH(Log[[#This Row],[ID]],Items[ID],0))*1,0))</f>
      </c>
      <c r="L229" s="17">
        <f>IF(Log[[#This Row],[ID]]="","",IFERROR(INDEX(Items[Cur team],MATCH(Log[[#This Row],[ID]],Items[ID],0))&amp;"",""))</f>
      </c>
      <c r="M229" s="17">
        <f>IF(OR(Log[[#This Row],[Verb]]="done",Log[[#This Row],[Verb]]="punt",Log[[#This Row],[Verb]]="drop",Log[[#This Row],[Verb]]="pass"),Log[[#This Row],[Pts]],0)</f>
      </c>
    </row>
    <row r="230">
      <c r="A230" s="11">
        <v>46091</v>
      </c>
      <c r="B230" t="s">
        <v>288</v>
      </c>
      <c r="C230" t="s">
        <v>34</v>
      </c>
      <c r="D230">
        <v>39</v>
      </c>
      <c r="F230" s="17">
        <f>IF(Log[[#This Row],[ID]]="","",IF(ISNA(MATCH(Log[[#This Row],[ID]],Items[ID],0)),"unknown ID",IF(ISNA(MATCH(Log[[#This Row],[Verb]],VerbList,0)),"unknown verb",IF(Log[[#This Row],[Date]]="","no date",""))))</f>
      </c>
      <c r="G230" s="17">
        <f>IF(Log[[#This Row],[ID]]="","",IFERROR(VLOOKUP(Log[[#This Row],[Verb]],Verbs,3,FALSE)&amp;"",""))</f>
      </c>
      <c r="H230" s="17">
        <f>IF(Log[[#This Row],[Date]]="","",INT((Log[[#This Row],[Date]]-Sprint1)/SprintDays)+1)</f>
      </c>
      <c r="I230" s="17">
        <f>IF(OR(Log[[#This Row],[Verb]]="commit",Log[[#This Row],[Verb]]="carry",Log[[#This Row],[Verb]]="redo"),IF(Log[[#This Row],[Arg]]="",Log[[#This Row],[Sprint]],N(Log[[#This Row],[Arg]])),"")</f>
      </c>
      <c r="J230" s="17">
        <f>IF(Log[[#This Row],[Verb]]="block",1,IF(OR(Log[[#This Row],[Verb]]="unblock",Log[[#This Row],[Verb]]="done",Log[[#This Row],[Verb]]="drop",Log[[#This Row],[Verb]]="punt",Log[[#This Row],[Verb]]="pass"),0,""))</f>
      </c>
      <c r="K230" s="17">
        <f>IF(Log[[#This Row],[ID]]="",0,IFERROR(INDEX(Items[Pts],MATCH(Log[[#This Row],[ID]],Items[ID],0))*1,0))</f>
      </c>
      <c r="L230" s="17">
        <f>IF(Log[[#This Row],[ID]]="","",IFERROR(INDEX(Items[Cur team],MATCH(Log[[#This Row],[ID]],Items[ID],0))&amp;"",""))</f>
      </c>
      <c r="M230" s="17">
        <f>IF(OR(Log[[#This Row],[Verb]]="done",Log[[#This Row],[Verb]]="punt",Log[[#This Row],[Verb]]="drop",Log[[#This Row],[Verb]]="pass"),Log[[#This Row],[Pts]],0)</f>
      </c>
    </row>
    <row r="231">
      <c r="A231" s="11">
        <v>46091</v>
      </c>
      <c r="B231" t="s">
        <v>289</v>
      </c>
      <c r="C231" t="s">
        <v>34</v>
      </c>
      <c r="D231">
        <v>39</v>
      </c>
      <c r="F231" s="17">
        <f>IF(Log[[#This Row],[ID]]="","",IF(ISNA(MATCH(Log[[#This Row],[ID]],Items[ID],0)),"unknown ID",IF(ISNA(MATCH(Log[[#This Row],[Verb]],VerbList,0)),"unknown verb",IF(Log[[#This Row],[Date]]="","no date",""))))</f>
      </c>
      <c r="G231" s="17">
        <f>IF(Log[[#This Row],[ID]]="","",IFERROR(VLOOKUP(Log[[#This Row],[Verb]],Verbs,3,FALSE)&amp;"",""))</f>
      </c>
      <c r="H231" s="17">
        <f>IF(Log[[#This Row],[Date]]="","",INT((Log[[#This Row],[Date]]-Sprint1)/SprintDays)+1)</f>
      </c>
      <c r="I231" s="17">
        <f>IF(OR(Log[[#This Row],[Verb]]="commit",Log[[#This Row],[Verb]]="carry",Log[[#This Row],[Verb]]="redo"),IF(Log[[#This Row],[Arg]]="",Log[[#This Row],[Sprint]],N(Log[[#This Row],[Arg]])),"")</f>
      </c>
      <c r="J231" s="17">
        <f>IF(Log[[#This Row],[Verb]]="block",1,IF(OR(Log[[#This Row],[Verb]]="unblock",Log[[#This Row],[Verb]]="done",Log[[#This Row],[Verb]]="drop",Log[[#This Row],[Verb]]="punt",Log[[#This Row],[Verb]]="pass"),0,""))</f>
      </c>
      <c r="K231" s="17">
        <f>IF(Log[[#This Row],[ID]]="",0,IFERROR(INDEX(Items[Pts],MATCH(Log[[#This Row],[ID]],Items[ID],0))*1,0))</f>
      </c>
      <c r="L231" s="17">
        <f>IF(Log[[#This Row],[ID]]="","",IFERROR(INDEX(Items[Cur team],MATCH(Log[[#This Row],[ID]],Items[ID],0))&amp;"",""))</f>
      </c>
      <c r="M231" s="17">
        <f>IF(OR(Log[[#This Row],[Verb]]="done",Log[[#This Row],[Verb]]="punt",Log[[#This Row],[Verb]]="drop",Log[[#This Row],[Verb]]="pass"),Log[[#This Row],[Pts]],0)</f>
      </c>
    </row>
    <row r="232">
      <c r="A232" s="11">
        <v>46091</v>
      </c>
      <c r="B232" t="s">
        <v>290</v>
      </c>
      <c r="C232" t="s">
        <v>34</v>
      </c>
      <c r="D232">
        <v>39</v>
      </c>
      <c r="F232" s="17">
        <f>IF(Log[[#This Row],[ID]]="","",IF(ISNA(MATCH(Log[[#This Row],[ID]],Items[ID],0)),"unknown ID",IF(ISNA(MATCH(Log[[#This Row],[Verb]],VerbList,0)),"unknown verb",IF(Log[[#This Row],[Date]]="","no date",""))))</f>
      </c>
      <c r="G232" s="17">
        <f>IF(Log[[#This Row],[ID]]="","",IFERROR(VLOOKUP(Log[[#This Row],[Verb]],Verbs,3,FALSE)&amp;"",""))</f>
      </c>
      <c r="H232" s="17">
        <f>IF(Log[[#This Row],[Date]]="","",INT((Log[[#This Row],[Date]]-Sprint1)/SprintDays)+1)</f>
      </c>
      <c r="I232" s="17">
        <f>IF(OR(Log[[#This Row],[Verb]]="commit",Log[[#This Row],[Verb]]="carry",Log[[#This Row],[Verb]]="redo"),IF(Log[[#This Row],[Arg]]="",Log[[#This Row],[Sprint]],N(Log[[#This Row],[Arg]])),"")</f>
      </c>
      <c r="J232" s="17">
        <f>IF(Log[[#This Row],[Verb]]="block",1,IF(OR(Log[[#This Row],[Verb]]="unblock",Log[[#This Row],[Verb]]="done",Log[[#This Row],[Verb]]="drop",Log[[#This Row],[Verb]]="punt",Log[[#This Row],[Verb]]="pass"),0,""))</f>
      </c>
      <c r="K232" s="17">
        <f>IF(Log[[#This Row],[ID]]="",0,IFERROR(INDEX(Items[Pts],MATCH(Log[[#This Row],[ID]],Items[ID],0))*1,0))</f>
      </c>
      <c r="L232" s="17">
        <f>IF(Log[[#This Row],[ID]]="","",IFERROR(INDEX(Items[Cur team],MATCH(Log[[#This Row],[ID]],Items[ID],0))&amp;"",""))</f>
      </c>
      <c r="M232" s="17">
        <f>IF(OR(Log[[#This Row],[Verb]]="done",Log[[#This Row],[Verb]]="punt",Log[[#This Row],[Verb]]="drop",Log[[#This Row],[Verb]]="pass"),Log[[#This Row],[Pts]],0)</f>
      </c>
    </row>
    <row r="233">
      <c r="A233" s="11">
        <v>46091</v>
      </c>
      <c r="B233" t="s">
        <v>291</v>
      </c>
      <c r="C233" t="s">
        <v>34</v>
      </c>
      <c r="D233">
        <v>39</v>
      </c>
      <c r="F233" s="17">
        <f>IF(Log[[#This Row],[ID]]="","",IF(ISNA(MATCH(Log[[#This Row],[ID]],Items[ID],0)),"unknown ID",IF(ISNA(MATCH(Log[[#This Row],[Verb]],VerbList,0)),"unknown verb",IF(Log[[#This Row],[Date]]="","no date",""))))</f>
      </c>
      <c r="G233" s="17">
        <f>IF(Log[[#This Row],[ID]]="","",IFERROR(VLOOKUP(Log[[#This Row],[Verb]],Verbs,3,FALSE)&amp;"",""))</f>
      </c>
      <c r="H233" s="17">
        <f>IF(Log[[#This Row],[Date]]="","",INT((Log[[#This Row],[Date]]-Sprint1)/SprintDays)+1)</f>
      </c>
      <c r="I233" s="17">
        <f>IF(OR(Log[[#This Row],[Verb]]="commit",Log[[#This Row],[Verb]]="carry",Log[[#This Row],[Verb]]="redo"),IF(Log[[#This Row],[Arg]]="",Log[[#This Row],[Sprint]],N(Log[[#This Row],[Arg]])),"")</f>
      </c>
      <c r="J233" s="17">
        <f>IF(Log[[#This Row],[Verb]]="block",1,IF(OR(Log[[#This Row],[Verb]]="unblock",Log[[#This Row],[Verb]]="done",Log[[#This Row],[Verb]]="drop",Log[[#This Row],[Verb]]="punt",Log[[#This Row],[Verb]]="pass"),0,""))</f>
      </c>
      <c r="K233" s="17">
        <f>IF(Log[[#This Row],[ID]]="",0,IFERROR(INDEX(Items[Pts],MATCH(Log[[#This Row],[ID]],Items[ID],0))*1,0))</f>
      </c>
      <c r="L233" s="17">
        <f>IF(Log[[#This Row],[ID]]="","",IFERROR(INDEX(Items[Cur team],MATCH(Log[[#This Row],[ID]],Items[ID],0))&amp;"",""))</f>
      </c>
      <c r="M233" s="17">
        <f>IF(OR(Log[[#This Row],[Verb]]="done",Log[[#This Row],[Verb]]="punt",Log[[#This Row],[Verb]]="drop",Log[[#This Row],[Verb]]="pass"),Log[[#This Row],[Pts]],0)</f>
      </c>
    </row>
    <row r="234">
      <c r="A234" s="11">
        <v>46091</v>
      </c>
      <c r="B234" t="s">
        <v>292</v>
      </c>
      <c r="C234" t="s">
        <v>34</v>
      </c>
      <c r="D234">
        <v>39</v>
      </c>
      <c r="F234" s="17">
        <f>IF(Log[[#This Row],[ID]]="","",IF(ISNA(MATCH(Log[[#This Row],[ID]],Items[ID],0)),"unknown ID",IF(ISNA(MATCH(Log[[#This Row],[Verb]],VerbList,0)),"unknown verb",IF(Log[[#This Row],[Date]]="","no date",""))))</f>
      </c>
      <c r="G234" s="17">
        <f>IF(Log[[#This Row],[ID]]="","",IFERROR(VLOOKUP(Log[[#This Row],[Verb]],Verbs,3,FALSE)&amp;"",""))</f>
      </c>
      <c r="H234" s="17">
        <f>IF(Log[[#This Row],[Date]]="","",INT((Log[[#This Row],[Date]]-Sprint1)/SprintDays)+1)</f>
      </c>
      <c r="I234" s="17">
        <f>IF(OR(Log[[#This Row],[Verb]]="commit",Log[[#This Row],[Verb]]="carry",Log[[#This Row],[Verb]]="redo"),IF(Log[[#This Row],[Arg]]="",Log[[#This Row],[Sprint]],N(Log[[#This Row],[Arg]])),"")</f>
      </c>
      <c r="J234" s="17">
        <f>IF(Log[[#This Row],[Verb]]="block",1,IF(OR(Log[[#This Row],[Verb]]="unblock",Log[[#This Row],[Verb]]="done",Log[[#This Row],[Verb]]="drop",Log[[#This Row],[Verb]]="punt",Log[[#This Row],[Verb]]="pass"),0,""))</f>
      </c>
      <c r="K234" s="17">
        <f>IF(Log[[#This Row],[ID]]="",0,IFERROR(INDEX(Items[Pts],MATCH(Log[[#This Row],[ID]],Items[ID],0))*1,0))</f>
      </c>
      <c r="L234" s="17">
        <f>IF(Log[[#This Row],[ID]]="","",IFERROR(INDEX(Items[Cur team],MATCH(Log[[#This Row],[ID]],Items[ID],0))&amp;"",""))</f>
      </c>
      <c r="M234" s="17">
        <f>IF(OR(Log[[#This Row],[Verb]]="done",Log[[#This Row],[Verb]]="punt",Log[[#This Row],[Verb]]="drop",Log[[#This Row],[Verb]]="pass"),Log[[#This Row],[Pts]],0)</f>
      </c>
    </row>
    <row r="235">
      <c r="A235" s="11">
        <v>46091</v>
      </c>
      <c r="B235" t="s">
        <v>293</v>
      </c>
      <c r="C235" t="s">
        <v>34</v>
      </c>
      <c r="D235">
        <v>39</v>
      </c>
      <c r="F235" s="17">
        <f>IF(Log[[#This Row],[ID]]="","",IF(ISNA(MATCH(Log[[#This Row],[ID]],Items[ID],0)),"unknown ID",IF(ISNA(MATCH(Log[[#This Row],[Verb]],VerbList,0)),"unknown verb",IF(Log[[#This Row],[Date]]="","no date",""))))</f>
      </c>
      <c r="G235" s="17">
        <f>IF(Log[[#This Row],[ID]]="","",IFERROR(VLOOKUP(Log[[#This Row],[Verb]],Verbs,3,FALSE)&amp;"",""))</f>
      </c>
      <c r="H235" s="17">
        <f>IF(Log[[#This Row],[Date]]="","",INT((Log[[#This Row],[Date]]-Sprint1)/SprintDays)+1)</f>
      </c>
      <c r="I235" s="17">
        <f>IF(OR(Log[[#This Row],[Verb]]="commit",Log[[#This Row],[Verb]]="carry",Log[[#This Row],[Verb]]="redo"),IF(Log[[#This Row],[Arg]]="",Log[[#This Row],[Sprint]],N(Log[[#This Row],[Arg]])),"")</f>
      </c>
      <c r="J235" s="17">
        <f>IF(Log[[#This Row],[Verb]]="block",1,IF(OR(Log[[#This Row],[Verb]]="unblock",Log[[#This Row],[Verb]]="done",Log[[#This Row],[Verb]]="drop",Log[[#This Row],[Verb]]="punt",Log[[#This Row],[Verb]]="pass"),0,""))</f>
      </c>
      <c r="K235" s="17">
        <f>IF(Log[[#This Row],[ID]]="",0,IFERROR(INDEX(Items[Pts],MATCH(Log[[#This Row],[ID]],Items[ID],0))*1,0))</f>
      </c>
      <c r="L235" s="17">
        <f>IF(Log[[#This Row],[ID]]="","",IFERROR(INDEX(Items[Cur team],MATCH(Log[[#This Row],[ID]],Items[ID],0))&amp;"",""))</f>
      </c>
      <c r="M235" s="17">
        <f>IF(OR(Log[[#This Row],[Verb]]="done",Log[[#This Row],[Verb]]="punt",Log[[#This Row],[Verb]]="drop",Log[[#This Row],[Verb]]="pass"),Log[[#This Row],[Pts]],0)</f>
      </c>
    </row>
    <row r="236">
      <c r="A236" s="11">
        <v>46091</v>
      </c>
      <c r="B236" t="s">
        <v>294</v>
      </c>
      <c r="C236" t="s">
        <v>34</v>
      </c>
      <c r="D236">
        <v>39</v>
      </c>
      <c r="F236" s="17">
        <f>IF(Log[[#This Row],[ID]]="","",IF(ISNA(MATCH(Log[[#This Row],[ID]],Items[ID],0)),"unknown ID",IF(ISNA(MATCH(Log[[#This Row],[Verb]],VerbList,0)),"unknown verb",IF(Log[[#This Row],[Date]]="","no date",""))))</f>
      </c>
      <c r="G236" s="17">
        <f>IF(Log[[#This Row],[ID]]="","",IFERROR(VLOOKUP(Log[[#This Row],[Verb]],Verbs,3,FALSE)&amp;"",""))</f>
      </c>
      <c r="H236" s="17">
        <f>IF(Log[[#This Row],[Date]]="","",INT((Log[[#This Row],[Date]]-Sprint1)/SprintDays)+1)</f>
      </c>
      <c r="I236" s="17">
        <f>IF(OR(Log[[#This Row],[Verb]]="commit",Log[[#This Row],[Verb]]="carry",Log[[#This Row],[Verb]]="redo"),IF(Log[[#This Row],[Arg]]="",Log[[#This Row],[Sprint]],N(Log[[#This Row],[Arg]])),"")</f>
      </c>
      <c r="J236" s="17">
        <f>IF(Log[[#This Row],[Verb]]="block",1,IF(OR(Log[[#This Row],[Verb]]="unblock",Log[[#This Row],[Verb]]="done",Log[[#This Row],[Verb]]="drop",Log[[#This Row],[Verb]]="punt",Log[[#This Row],[Verb]]="pass"),0,""))</f>
      </c>
      <c r="K236" s="17">
        <f>IF(Log[[#This Row],[ID]]="",0,IFERROR(INDEX(Items[Pts],MATCH(Log[[#This Row],[ID]],Items[ID],0))*1,0))</f>
      </c>
      <c r="L236" s="17">
        <f>IF(Log[[#This Row],[ID]]="","",IFERROR(INDEX(Items[Cur team],MATCH(Log[[#This Row],[ID]],Items[ID],0))&amp;"",""))</f>
      </c>
      <c r="M236" s="17">
        <f>IF(OR(Log[[#This Row],[Verb]]="done",Log[[#This Row],[Verb]]="punt",Log[[#This Row],[Verb]]="drop",Log[[#This Row],[Verb]]="pass"),Log[[#This Row],[Pts]],0)</f>
      </c>
    </row>
    <row r="237">
      <c r="A237" s="11">
        <v>46091</v>
      </c>
      <c r="B237" t="s">
        <v>295</v>
      </c>
      <c r="C237" t="s">
        <v>34</v>
      </c>
      <c r="D237">
        <v>39</v>
      </c>
      <c r="F237" s="17">
        <f>IF(Log[[#This Row],[ID]]="","",IF(ISNA(MATCH(Log[[#This Row],[ID]],Items[ID],0)),"unknown ID",IF(ISNA(MATCH(Log[[#This Row],[Verb]],VerbList,0)),"unknown verb",IF(Log[[#This Row],[Date]]="","no date",""))))</f>
      </c>
      <c r="G237" s="17">
        <f>IF(Log[[#This Row],[ID]]="","",IFERROR(VLOOKUP(Log[[#This Row],[Verb]],Verbs,3,FALSE)&amp;"",""))</f>
      </c>
      <c r="H237" s="17">
        <f>IF(Log[[#This Row],[Date]]="","",INT((Log[[#This Row],[Date]]-Sprint1)/SprintDays)+1)</f>
      </c>
      <c r="I237" s="17">
        <f>IF(OR(Log[[#This Row],[Verb]]="commit",Log[[#This Row],[Verb]]="carry",Log[[#This Row],[Verb]]="redo"),IF(Log[[#This Row],[Arg]]="",Log[[#This Row],[Sprint]],N(Log[[#This Row],[Arg]])),"")</f>
      </c>
      <c r="J237" s="17">
        <f>IF(Log[[#This Row],[Verb]]="block",1,IF(OR(Log[[#This Row],[Verb]]="unblock",Log[[#This Row],[Verb]]="done",Log[[#This Row],[Verb]]="drop",Log[[#This Row],[Verb]]="punt",Log[[#This Row],[Verb]]="pass"),0,""))</f>
      </c>
      <c r="K237" s="17">
        <f>IF(Log[[#This Row],[ID]]="",0,IFERROR(INDEX(Items[Pts],MATCH(Log[[#This Row],[ID]],Items[ID],0))*1,0))</f>
      </c>
      <c r="L237" s="17">
        <f>IF(Log[[#This Row],[ID]]="","",IFERROR(INDEX(Items[Cur team],MATCH(Log[[#This Row],[ID]],Items[ID],0))&amp;"",""))</f>
      </c>
      <c r="M237" s="17">
        <f>IF(OR(Log[[#This Row],[Verb]]="done",Log[[#This Row],[Verb]]="punt",Log[[#This Row],[Verb]]="drop",Log[[#This Row],[Verb]]="pass"),Log[[#This Row],[Pts]],0)</f>
      </c>
    </row>
    <row r="238">
      <c r="A238" s="11">
        <v>46104</v>
      </c>
      <c r="B238" t="s">
        <v>162</v>
      </c>
      <c r="C238" t="s">
        <v>41</v>
      </c>
      <c r="F238" s="17">
        <f>IF(Log[[#This Row],[ID]]="","",IF(ISNA(MATCH(Log[[#This Row],[ID]],Items[ID],0)),"unknown ID",IF(ISNA(MATCH(Log[[#This Row],[Verb]],VerbList,0)),"unknown verb",IF(Log[[#This Row],[Date]]="","no date",""))))</f>
      </c>
      <c r="G238" s="17">
        <f>IF(Log[[#This Row],[ID]]="","",IFERROR(VLOOKUP(Log[[#This Row],[Verb]],Verbs,3,FALSE)&amp;"",""))</f>
      </c>
      <c r="H238" s="17">
        <f>IF(Log[[#This Row],[Date]]="","",INT((Log[[#This Row],[Date]]-Sprint1)/SprintDays)+1)</f>
      </c>
      <c r="I238" s="17">
        <f>IF(OR(Log[[#This Row],[Verb]]="commit",Log[[#This Row],[Verb]]="carry",Log[[#This Row],[Verb]]="redo"),IF(Log[[#This Row],[Arg]]="",Log[[#This Row],[Sprint]],N(Log[[#This Row],[Arg]])),"")</f>
      </c>
      <c r="J238" s="17">
        <f>IF(Log[[#This Row],[Verb]]="block",1,IF(OR(Log[[#This Row],[Verb]]="unblock",Log[[#This Row],[Verb]]="done",Log[[#This Row],[Verb]]="drop",Log[[#This Row],[Verb]]="punt",Log[[#This Row],[Verb]]="pass"),0,""))</f>
      </c>
      <c r="K238" s="17">
        <f>IF(Log[[#This Row],[ID]]="",0,IFERROR(INDEX(Items[Pts],MATCH(Log[[#This Row],[ID]],Items[ID],0))*1,0))</f>
      </c>
      <c r="L238" s="17">
        <f>IF(Log[[#This Row],[ID]]="","",IFERROR(INDEX(Items[Cur team],MATCH(Log[[#This Row],[ID]],Items[ID],0))&amp;"",""))</f>
      </c>
      <c r="M238" s="17">
        <f>IF(OR(Log[[#This Row],[Verb]]="done",Log[[#This Row],[Verb]]="punt",Log[[#This Row],[Verb]]="drop",Log[[#This Row],[Verb]]="pass"),Log[[#This Row],[Pts]],0)</f>
      </c>
    </row>
    <row r="239">
      <c r="A239" s="11">
        <v>46104</v>
      </c>
      <c r="B239" t="s">
        <v>186</v>
      </c>
      <c r="C239" t="s">
        <v>41</v>
      </c>
      <c r="F239" s="17">
        <f>IF(Log[[#This Row],[ID]]="","",IF(ISNA(MATCH(Log[[#This Row],[ID]],Items[ID],0)),"unknown ID",IF(ISNA(MATCH(Log[[#This Row],[Verb]],VerbList,0)),"unknown verb",IF(Log[[#This Row],[Date]]="","no date",""))))</f>
      </c>
      <c r="G239" s="17">
        <f>IF(Log[[#This Row],[ID]]="","",IFERROR(VLOOKUP(Log[[#This Row],[Verb]],Verbs,3,FALSE)&amp;"",""))</f>
      </c>
      <c r="H239" s="17">
        <f>IF(Log[[#This Row],[Date]]="","",INT((Log[[#This Row],[Date]]-Sprint1)/SprintDays)+1)</f>
      </c>
      <c r="I239" s="17">
        <f>IF(OR(Log[[#This Row],[Verb]]="commit",Log[[#This Row],[Verb]]="carry",Log[[#This Row],[Verb]]="redo"),IF(Log[[#This Row],[Arg]]="",Log[[#This Row],[Sprint]],N(Log[[#This Row],[Arg]])),"")</f>
      </c>
      <c r="J239" s="17">
        <f>IF(Log[[#This Row],[Verb]]="block",1,IF(OR(Log[[#This Row],[Verb]]="unblock",Log[[#This Row],[Verb]]="done",Log[[#This Row],[Verb]]="drop",Log[[#This Row],[Verb]]="punt",Log[[#This Row],[Verb]]="pass"),0,""))</f>
      </c>
      <c r="K239" s="17">
        <f>IF(Log[[#This Row],[ID]]="",0,IFERROR(INDEX(Items[Pts],MATCH(Log[[#This Row],[ID]],Items[ID],0))*1,0))</f>
      </c>
      <c r="L239" s="17">
        <f>IF(Log[[#This Row],[ID]]="","",IFERROR(INDEX(Items[Cur team],MATCH(Log[[#This Row],[ID]],Items[ID],0))&amp;"",""))</f>
      </c>
      <c r="M239" s="17">
        <f>IF(OR(Log[[#This Row],[Verb]]="done",Log[[#This Row],[Verb]]="punt",Log[[#This Row],[Verb]]="drop",Log[[#This Row],[Verb]]="pass"),Log[[#This Row],[Pts]],0)</f>
      </c>
    </row>
    <row r="240">
      <c r="A240" s="11">
        <v>46104</v>
      </c>
      <c r="B240" t="s">
        <v>236</v>
      </c>
      <c r="C240" t="s">
        <v>41</v>
      </c>
      <c r="F240" s="17">
        <f>IF(Log[[#This Row],[ID]]="","",IF(ISNA(MATCH(Log[[#This Row],[ID]],Items[ID],0)),"unknown ID",IF(ISNA(MATCH(Log[[#This Row],[Verb]],VerbList,0)),"unknown verb",IF(Log[[#This Row],[Date]]="","no date",""))))</f>
      </c>
      <c r="G240" s="17">
        <f>IF(Log[[#This Row],[ID]]="","",IFERROR(VLOOKUP(Log[[#This Row],[Verb]],Verbs,3,FALSE)&amp;"",""))</f>
      </c>
      <c r="H240" s="17">
        <f>IF(Log[[#This Row],[Date]]="","",INT((Log[[#This Row],[Date]]-Sprint1)/SprintDays)+1)</f>
      </c>
      <c r="I240" s="17">
        <f>IF(OR(Log[[#This Row],[Verb]]="commit",Log[[#This Row],[Verb]]="carry",Log[[#This Row],[Verb]]="redo"),IF(Log[[#This Row],[Arg]]="",Log[[#This Row],[Sprint]],N(Log[[#This Row],[Arg]])),"")</f>
      </c>
      <c r="J240" s="17">
        <f>IF(Log[[#This Row],[Verb]]="block",1,IF(OR(Log[[#This Row],[Verb]]="unblock",Log[[#This Row],[Verb]]="done",Log[[#This Row],[Verb]]="drop",Log[[#This Row],[Verb]]="punt",Log[[#This Row],[Verb]]="pass"),0,""))</f>
      </c>
      <c r="K240" s="17">
        <f>IF(Log[[#This Row],[ID]]="",0,IFERROR(INDEX(Items[Pts],MATCH(Log[[#This Row],[ID]],Items[ID],0))*1,0))</f>
      </c>
      <c r="L240" s="17">
        <f>IF(Log[[#This Row],[ID]]="","",IFERROR(INDEX(Items[Cur team],MATCH(Log[[#This Row],[ID]],Items[ID],0))&amp;"",""))</f>
      </c>
      <c r="M240" s="17">
        <f>IF(OR(Log[[#This Row],[Verb]]="done",Log[[#This Row],[Verb]]="punt",Log[[#This Row],[Verb]]="drop",Log[[#This Row],[Verb]]="pass"),Log[[#This Row],[Pts]],0)</f>
      </c>
    </row>
    <row r="241">
      <c r="A241" s="11">
        <v>46104</v>
      </c>
      <c r="B241" t="s">
        <v>237</v>
      </c>
      <c r="C241" t="s">
        <v>41</v>
      </c>
      <c r="F241" s="17">
        <f>IF(Log[[#This Row],[ID]]="","",IF(ISNA(MATCH(Log[[#This Row],[ID]],Items[ID],0)),"unknown ID",IF(ISNA(MATCH(Log[[#This Row],[Verb]],VerbList,0)),"unknown verb",IF(Log[[#This Row],[Date]]="","no date",""))))</f>
      </c>
      <c r="G241" s="17">
        <f>IF(Log[[#This Row],[ID]]="","",IFERROR(VLOOKUP(Log[[#This Row],[Verb]],Verbs,3,FALSE)&amp;"",""))</f>
      </c>
      <c r="H241" s="17">
        <f>IF(Log[[#This Row],[Date]]="","",INT((Log[[#This Row],[Date]]-Sprint1)/SprintDays)+1)</f>
      </c>
      <c r="I241" s="17">
        <f>IF(OR(Log[[#This Row],[Verb]]="commit",Log[[#This Row],[Verb]]="carry",Log[[#This Row],[Verb]]="redo"),IF(Log[[#This Row],[Arg]]="",Log[[#This Row],[Sprint]],N(Log[[#This Row],[Arg]])),"")</f>
      </c>
      <c r="J241" s="17">
        <f>IF(Log[[#This Row],[Verb]]="block",1,IF(OR(Log[[#This Row],[Verb]]="unblock",Log[[#This Row],[Verb]]="done",Log[[#This Row],[Verb]]="drop",Log[[#This Row],[Verb]]="punt",Log[[#This Row],[Verb]]="pass"),0,""))</f>
      </c>
      <c r="K241" s="17">
        <f>IF(Log[[#This Row],[ID]]="",0,IFERROR(INDEX(Items[Pts],MATCH(Log[[#This Row],[ID]],Items[ID],0))*1,0))</f>
      </c>
      <c r="L241" s="17">
        <f>IF(Log[[#This Row],[ID]]="","",IFERROR(INDEX(Items[Cur team],MATCH(Log[[#This Row],[ID]],Items[ID],0))&amp;"",""))</f>
      </c>
      <c r="M241" s="17">
        <f>IF(OR(Log[[#This Row],[Verb]]="done",Log[[#This Row],[Verb]]="punt",Log[[#This Row],[Verb]]="drop",Log[[#This Row],[Verb]]="pass"),Log[[#This Row],[Pts]],0)</f>
      </c>
    </row>
    <row r="242">
      <c r="A242" s="11">
        <v>46104</v>
      </c>
      <c r="B242" t="s">
        <v>238</v>
      </c>
      <c r="C242" t="s">
        <v>41</v>
      </c>
      <c r="F242" s="17">
        <f>IF(Log[[#This Row],[ID]]="","",IF(ISNA(MATCH(Log[[#This Row],[ID]],Items[ID],0)),"unknown ID",IF(ISNA(MATCH(Log[[#This Row],[Verb]],VerbList,0)),"unknown verb",IF(Log[[#This Row],[Date]]="","no date",""))))</f>
      </c>
      <c r="G242" s="17">
        <f>IF(Log[[#This Row],[ID]]="","",IFERROR(VLOOKUP(Log[[#This Row],[Verb]],Verbs,3,FALSE)&amp;"",""))</f>
      </c>
      <c r="H242" s="17">
        <f>IF(Log[[#This Row],[Date]]="","",INT((Log[[#This Row],[Date]]-Sprint1)/SprintDays)+1)</f>
      </c>
      <c r="I242" s="17">
        <f>IF(OR(Log[[#This Row],[Verb]]="commit",Log[[#This Row],[Verb]]="carry",Log[[#This Row],[Verb]]="redo"),IF(Log[[#This Row],[Arg]]="",Log[[#This Row],[Sprint]],N(Log[[#This Row],[Arg]])),"")</f>
      </c>
      <c r="J242" s="17">
        <f>IF(Log[[#This Row],[Verb]]="block",1,IF(OR(Log[[#This Row],[Verb]]="unblock",Log[[#This Row],[Verb]]="done",Log[[#This Row],[Verb]]="drop",Log[[#This Row],[Verb]]="punt",Log[[#This Row],[Verb]]="pass"),0,""))</f>
      </c>
      <c r="K242" s="17">
        <f>IF(Log[[#This Row],[ID]]="",0,IFERROR(INDEX(Items[Pts],MATCH(Log[[#This Row],[ID]],Items[ID],0))*1,0))</f>
      </c>
      <c r="L242" s="17">
        <f>IF(Log[[#This Row],[ID]]="","",IFERROR(INDEX(Items[Cur team],MATCH(Log[[#This Row],[ID]],Items[ID],0))&amp;"",""))</f>
      </c>
      <c r="M242" s="17">
        <f>IF(OR(Log[[#This Row],[Verb]]="done",Log[[#This Row],[Verb]]="punt",Log[[#This Row],[Verb]]="drop",Log[[#This Row],[Verb]]="pass"),Log[[#This Row],[Pts]],0)</f>
      </c>
    </row>
    <row r="243">
      <c r="A243" s="11">
        <v>46104</v>
      </c>
      <c r="B243" t="s">
        <v>239</v>
      </c>
      <c r="C243" t="s">
        <v>41</v>
      </c>
      <c r="F243" s="17">
        <f>IF(Log[[#This Row],[ID]]="","",IF(ISNA(MATCH(Log[[#This Row],[ID]],Items[ID],0)),"unknown ID",IF(ISNA(MATCH(Log[[#This Row],[Verb]],VerbList,0)),"unknown verb",IF(Log[[#This Row],[Date]]="","no date",""))))</f>
      </c>
      <c r="G243" s="17">
        <f>IF(Log[[#This Row],[ID]]="","",IFERROR(VLOOKUP(Log[[#This Row],[Verb]],Verbs,3,FALSE)&amp;"",""))</f>
      </c>
      <c r="H243" s="17">
        <f>IF(Log[[#This Row],[Date]]="","",INT((Log[[#This Row],[Date]]-Sprint1)/SprintDays)+1)</f>
      </c>
      <c r="I243" s="17">
        <f>IF(OR(Log[[#This Row],[Verb]]="commit",Log[[#This Row],[Verb]]="carry",Log[[#This Row],[Verb]]="redo"),IF(Log[[#This Row],[Arg]]="",Log[[#This Row],[Sprint]],N(Log[[#This Row],[Arg]])),"")</f>
      </c>
      <c r="J243" s="17">
        <f>IF(Log[[#This Row],[Verb]]="block",1,IF(OR(Log[[#This Row],[Verb]]="unblock",Log[[#This Row],[Verb]]="done",Log[[#This Row],[Verb]]="drop",Log[[#This Row],[Verb]]="punt",Log[[#This Row],[Verb]]="pass"),0,""))</f>
      </c>
      <c r="K243" s="17">
        <f>IF(Log[[#This Row],[ID]]="",0,IFERROR(INDEX(Items[Pts],MATCH(Log[[#This Row],[ID]],Items[ID],0))*1,0))</f>
      </c>
      <c r="L243" s="17">
        <f>IF(Log[[#This Row],[ID]]="","",IFERROR(INDEX(Items[Cur team],MATCH(Log[[#This Row],[ID]],Items[ID],0))&amp;"",""))</f>
      </c>
      <c r="M243" s="17">
        <f>IF(OR(Log[[#This Row],[Verb]]="done",Log[[#This Row],[Verb]]="punt",Log[[#This Row],[Verb]]="drop",Log[[#This Row],[Verb]]="pass"),Log[[#This Row],[Pts]],0)</f>
      </c>
    </row>
    <row r="244">
      <c r="A244" s="11">
        <v>46104</v>
      </c>
      <c r="B244" t="s">
        <v>240</v>
      </c>
      <c r="C244" t="s">
        <v>41</v>
      </c>
      <c r="F244" s="17">
        <f>IF(Log[[#This Row],[ID]]="","",IF(ISNA(MATCH(Log[[#This Row],[ID]],Items[ID],0)),"unknown ID",IF(ISNA(MATCH(Log[[#This Row],[Verb]],VerbList,0)),"unknown verb",IF(Log[[#This Row],[Date]]="","no date",""))))</f>
      </c>
      <c r="G244" s="17">
        <f>IF(Log[[#This Row],[ID]]="","",IFERROR(VLOOKUP(Log[[#This Row],[Verb]],Verbs,3,FALSE)&amp;"",""))</f>
      </c>
      <c r="H244" s="17">
        <f>IF(Log[[#This Row],[Date]]="","",INT((Log[[#This Row],[Date]]-Sprint1)/SprintDays)+1)</f>
      </c>
      <c r="I244" s="17">
        <f>IF(OR(Log[[#This Row],[Verb]]="commit",Log[[#This Row],[Verb]]="carry",Log[[#This Row],[Verb]]="redo"),IF(Log[[#This Row],[Arg]]="",Log[[#This Row],[Sprint]],N(Log[[#This Row],[Arg]])),"")</f>
      </c>
      <c r="J244" s="17">
        <f>IF(Log[[#This Row],[Verb]]="block",1,IF(OR(Log[[#This Row],[Verb]]="unblock",Log[[#This Row],[Verb]]="done",Log[[#This Row],[Verb]]="drop",Log[[#This Row],[Verb]]="punt",Log[[#This Row],[Verb]]="pass"),0,""))</f>
      </c>
      <c r="K244" s="17">
        <f>IF(Log[[#This Row],[ID]]="",0,IFERROR(INDEX(Items[Pts],MATCH(Log[[#This Row],[ID]],Items[ID],0))*1,0))</f>
      </c>
      <c r="L244" s="17">
        <f>IF(Log[[#This Row],[ID]]="","",IFERROR(INDEX(Items[Cur team],MATCH(Log[[#This Row],[ID]],Items[ID],0))&amp;"",""))</f>
      </c>
      <c r="M244" s="17">
        <f>IF(OR(Log[[#This Row],[Verb]]="done",Log[[#This Row],[Verb]]="punt",Log[[#This Row],[Verb]]="drop",Log[[#This Row],[Verb]]="pass"),Log[[#This Row],[Pts]],0)</f>
      </c>
    </row>
    <row r="245">
      <c r="A245" s="11">
        <v>46104</v>
      </c>
      <c r="B245" t="s">
        <v>241</v>
      </c>
      <c r="C245" t="s">
        <v>41</v>
      </c>
      <c r="F245" s="17">
        <f>IF(Log[[#This Row],[ID]]="","",IF(ISNA(MATCH(Log[[#This Row],[ID]],Items[ID],0)),"unknown ID",IF(ISNA(MATCH(Log[[#This Row],[Verb]],VerbList,0)),"unknown verb",IF(Log[[#This Row],[Date]]="","no date",""))))</f>
      </c>
      <c r="G245" s="17">
        <f>IF(Log[[#This Row],[ID]]="","",IFERROR(VLOOKUP(Log[[#This Row],[Verb]],Verbs,3,FALSE)&amp;"",""))</f>
      </c>
      <c r="H245" s="17">
        <f>IF(Log[[#This Row],[Date]]="","",INT((Log[[#This Row],[Date]]-Sprint1)/SprintDays)+1)</f>
      </c>
      <c r="I245" s="17">
        <f>IF(OR(Log[[#This Row],[Verb]]="commit",Log[[#This Row],[Verb]]="carry",Log[[#This Row],[Verb]]="redo"),IF(Log[[#This Row],[Arg]]="",Log[[#This Row],[Sprint]],N(Log[[#This Row],[Arg]])),"")</f>
      </c>
      <c r="J245" s="17">
        <f>IF(Log[[#This Row],[Verb]]="block",1,IF(OR(Log[[#This Row],[Verb]]="unblock",Log[[#This Row],[Verb]]="done",Log[[#This Row],[Verb]]="drop",Log[[#This Row],[Verb]]="punt",Log[[#This Row],[Verb]]="pass"),0,""))</f>
      </c>
      <c r="K245" s="17">
        <f>IF(Log[[#This Row],[ID]]="",0,IFERROR(INDEX(Items[Pts],MATCH(Log[[#This Row],[ID]],Items[ID],0))*1,0))</f>
      </c>
      <c r="L245" s="17">
        <f>IF(Log[[#This Row],[ID]]="","",IFERROR(INDEX(Items[Cur team],MATCH(Log[[#This Row],[ID]],Items[ID],0))&amp;"",""))</f>
      </c>
      <c r="M245" s="17">
        <f>IF(OR(Log[[#This Row],[Verb]]="done",Log[[#This Row],[Verb]]="punt",Log[[#This Row],[Verb]]="drop",Log[[#This Row],[Verb]]="pass"),Log[[#This Row],[Pts]],0)</f>
      </c>
    </row>
    <row r="246">
      <c r="A246" s="11">
        <v>46104</v>
      </c>
      <c r="B246" t="s">
        <v>190</v>
      </c>
      <c r="C246" t="s">
        <v>38</v>
      </c>
      <c r="D246">
        <v>40</v>
      </c>
      <c r="F246" s="17">
        <f>IF(Log[[#This Row],[ID]]="","",IF(ISNA(MATCH(Log[[#This Row],[ID]],Items[ID],0)),"unknown ID",IF(ISNA(MATCH(Log[[#This Row],[Verb]],VerbList,0)),"unknown verb",IF(Log[[#This Row],[Date]]="","no date",""))))</f>
      </c>
      <c r="G246" s="17">
        <f>IF(Log[[#This Row],[ID]]="","",IFERROR(VLOOKUP(Log[[#This Row],[Verb]],Verbs,3,FALSE)&amp;"",""))</f>
      </c>
      <c r="H246" s="17">
        <f>IF(Log[[#This Row],[Date]]="","",INT((Log[[#This Row],[Date]]-Sprint1)/SprintDays)+1)</f>
      </c>
      <c r="I246" s="17">
        <f>IF(OR(Log[[#This Row],[Verb]]="commit",Log[[#This Row],[Verb]]="carry",Log[[#This Row],[Verb]]="redo"),IF(Log[[#This Row],[Arg]]="",Log[[#This Row],[Sprint]],N(Log[[#This Row],[Arg]])),"")</f>
      </c>
      <c r="J246" s="17">
        <f>IF(Log[[#This Row],[Verb]]="block",1,IF(OR(Log[[#This Row],[Verb]]="unblock",Log[[#This Row],[Verb]]="done",Log[[#This Row],[Verb]]="drop",Log[[#This Row],[Verb]]="punt",Log[[#This Row],[Verb]]="pass"),0,""))</f>
      </c>
      <c r="K246" s="17">
        <f>IF(Log[[#This Row],[ID]]="",0,IFERROR(INDEX(Items[Pts],MATCH(Log[[#This Row],[ID]],Items[ID],0))*1,0))</f>
      </c>
      <c r="L246" s="17">
        <f>IF(Log[[#This Row],[ID]]="","",IFERROR(INDEX(Items[Cur team],MATCH(Log[[#This Row],[ID]],Items[ID],0))&amp;"",""))</f>
      </c>
      <c r="M246" s="17">
        <f>IF(OR(Log[[#This Row],[Verb]]="done",Log[[#This Row],[Verb]]="punt",Log[[#This Row],[Verb]]="drop",Log[[#This Row],[Verb]]="pass"),Log[[#This Row],[Pts]],0)</f>
      </c>
    </row>
    <row r="247">
      <c r="A247" s="11">
        <v>46104</v>
      </c>
      <c r="B247" t="s">
        <v>242</v>
      </c>
      <c r="C247" t="s">
        <v>41</v>
      </c>
      <c r="F247" s="17">
        <f>IF(Log[[#This Row],[ID]]="","",IF(ISNA(MATCH(Log[[#This Row],[ID]],Items[ID],0)),"unknown ID",IF(ISNA(MATCH(Log[[#This Row],[Verb]],VerbList,0)),"unknown verb",IF(Log[[#This Row],[Date]]="","no date",""))))</f>
      </c>
      <c r="G247" s="17">
        <f>IF(Log[[#This Row],[ID]]="","",IFERROR(VLOOKUP(Log[[#This Row],[Verb]],Verbs,3,FALSE)&amp;"",""))</f>
      </c>
      <c r="H247" s="17">
        <f>IF(Log[[#This Row],[Date]]="","",INT((Log[[#This Row],[Date]]-Sprint1)/SprintDays)+1)</f>
      </c>
      <c r="I247" s="17">
        <f>IF(OR(Log[[#This Row],[Verb]]="commit",Log[[#This Row],[Verb]]="carry",Log[[#This Row],[Verb]]="redo"),IF(Log[[#This Row],[Arg]]="",Log[[#This Row],[Sprint]],N(Log[[#This Row],[Arg]])),"")</f>
      </c>
      <c r="J247" s="17">
        <f>IF(Log[[#This Row],[Verb]]="block",1,IF(OR(Log[[#This Row],[Verb]]="unblock",Log[[#This Row],[Verb]]="done",Log[[#This Row],[Verb]]="drop",Log[[#This Row],[Verb]]="punt",Log[[#This Row],[Verb]]="pass"),0,""))</f>
      </c>
      <c r="K247" s="17">
        <f>IF(Log[[#This Row],[ID]]="",0,IFERROR(INDEX(Items[Pts],MATCH(Log[[#This Row],[ID]],Items[ID],0))*1,0))</f>
      </c>
      <c r="L247" s="17">
        <f>IF(Log[[#This Row],[ID]]="","",IFERROR(INDEX(Items[Cur team],MATCH(Log[[#This Row],[ID]],Items[ID],0))&amp;"",""))</f>
      </c>
      <c r="M247" s="17">
        <f>IF(OR(Log[[#This Row],[Verb]]="done",Log[[#This Row],[Verb]]="punt",Log[[#This Row],[Verb]]="drop",Log[[#This Row],[Verb]]="pass"),Log[[#This Row],[Pts]],0)</f>
      </c>
    </row>
    <row r="248">
      <c r="A248" s="11">
        <v>46104</v>
      </c>
      <c r="B248" t="s">
        <v>243</v>
      </c>
      <c r="C248" t="s">
        <v>41</v>
      </c>
      <c r="F248" s="17">
        <f>IF(Log[[#This Row],[ID]]="","",IF(ISNA(MATCH(Log[[#This Row],[ID]],Items[ID],0)),"unknown ID",IF(ISNA(MATCH(Log[[#This Row],[Verb]],VerbList,0)),"unknown verb",IF(Log[[#This Row],[Date]]="","no date",""))))</f>
      </c>
      <c r="G248" s="17">
        <f>IF(Log[[#This Row],[ID]]="","",IFERROR(VLOOKUP(Log[[#This Row],[Verb]],Verbs,3,FALSE)&amp;"",""))</f>
      </c>
      <c r="H248" s="17">
        <f>IF(Log[[#This Row],[Date]]="","",INT((Log[[#This Row],[Date]]-Sprint1)/SprintDays)+1)</f>
      </c>
      <c r="I248" s="17">
        <f>IF(OR(Log[[#This Row],[Verb]]="commit",Log[[#This Row],[Verb]]="carry",Log[[#This Row],[Verb]]="redo"),IF(Log[[#This Row],[Arg]]="",Log[[#This Row],[Sprint]],N(Log[[#This Row],[Arg]])),"")</f>
      </c>
      <c r="J248" s="17">
        <f>IF(Log[[#This Row],[Verb]]="block",1,IF(OR(Log[[#This Row],[Verb]]="unblock",Log[[#This Row],[Verb]]="done",Log[[#This Row],[Verb]]="drop",Log[[#This Row],[Verb]]="punt",Log[[#This Row],[Verb]]="pass"),0,""))</f>
      </c>
      <c r="K248" s="17">
        <f>IF(Log[[#This Row],[ID]]="",0,IFERROR(INDEX(Items[Pts],MATCH(Log[[#This Row],[ID]],Items[ID],0))*1,0))</f>
      </c>
      <c r="L248" s="17">
        <f>IF(Log[[#This Row],[ID]]="","",IFERROR(INDEX(Items[Cur team],MATCH(Log[[#This Row],[ID]],Items[ID],0))&amp;"",""))</f>
      </c>
      <c r="M248" s="17">
        <f>IF(OR(Log[[#This Row],[Verb]]="done",Log[[#This Row],[Verb]]="punt",Log[[#This Row],[Verb]]="drop",Log[[#This Row],[Verb]]="pass"),Log[[#This Row],[Pts]],0)</f>
      </c>
    </row>
    <row r="249">
      <c r="A249" s="11">
        <v>46104</v>
      </c>
      <c r="B249" t="s">
        <v>244</v>
      </c>
      <c r="C249" t="s">
        <v>41</v>
      </c>
      <c r="F249" s="17">
        <f>IF(Log[[#This Row],[ID]]="","",IF(ISNA(MATCH(Log[[#This Row],[ID]],Items[ID],0)),"unknown ID",IF(ISNA(MATCH(Log[[#This Row],[Verb]],VerbList,0)),"unknown verb",IF(Log[[#This Row],[Date]]="","no date",""))))</f>
      </c>
      <c r="G249" s="17">
        <f>IF(Log[[#This Row],[ID]]="","",IFERROR(VLOOKUP(Log[[#This Row],[Verb]],Verbs,3,FALSE)&amp;"",""))</f>
      </c>
      <c r="H249" s="17">
        <f>IF(Log[[#This Row],[Date]]="","",INT((Log[[#This Row],[Date]]-Sprint1)/SprintDays)+1)</f>
      </c>
      <c r="I249" s="17">
        <f>IF(OR(Log[[#This Row],[Verb]]="commit",Log[[#This Row],[Verb]]="carry",Log[[#This Row],[Verb]]="redo"),IF(Log[[#This Row],[Arg]]="",Log[[#This Row],[Sprint]],N(Log[[#This Row],[Arg]])),"")</f>
      </c>
      <c r="J249" s="17">
        <f>IF(Log[[#This Row],[Verb]]="block",1,IF(OR(Log[[#This Row],[Verb]]="unblock",Log[[#This Row],[Verb]]="done",Log[[#This Row],[Verb]]="drop",Log[[#This Row],[Verb]]="punt",Log[[#This Row],[Verb]]="pass"),0,""))</f>
      </c>
      <c r="K249" s="17">
        <f>IF(Log[[#This Row],[ID]]="",0,IFERROR(INDEX(Items[Pts],MATCH(Log[[#This Row],[ID]],Items[ID],0))*1,0))</f>
      </c>
      <c r="L249" s="17">
        <f>IF(Log[[#This Row],[ID]]="","",IFERROR(INDEX(Items[Cur team],MATCH(Log[[#This Row],[ID]],Items[ID],0))&amp;"",""))</f>
      </c>
      <c r="M249" s="17">
        <f>IF(OR(Log[[#This Row],[Verb]]="done",Log[[#This Row],[Verb]]="punt",Log[[#This Row],[Verb]]="drop",Log[[#This Row],[Verb]]="pass"),Log[[#This Row],[Pts]],0)</f>
      </c>
    </row>
    <row r="250">
      <c r="A250" s="11">
        <v>46104</v>
      </c>
      <c r="B250" t="s">
        <v>245</v>
      </c>
      <c r="C250" t="s">
        <v>38</v>
      </c>
      <c r="D250">
        <v>40</v>
      </c>
      <c r="F250" s="17">
        <f>IF(Log[[#This Row],[ID]]="","",IF(ISNA(MATCH(Log[[#This Row],[ID]],Items[ID],0)),"unknown ID",IF(ISNA(MATCH(Log[[#This Row],[Verb]],VerbList,0)),"unknown verb",IF(Log[[#This Row],[Date]]="","no date",""))))</f>
      </c>
      <c r="G250" s="17">
        <f>IF(Log[[#This Row],[ID]]="","",IFERROR(VLOOKUP(Log[[#This Row],[Verb]],Verbs,3,FALSE)&amp;"",""))</f>
      </c>
      <c r="H250" s="17">
        <f>IF(Log[[#This Row],[Date]]="","",INT((Log[[#This Row],[Date]]-Sprint1)/SprintDays)+1)</f>
      </c>
      <c r="I250" s="17">
        <f>IF(OR(Log[[#This Row],[Verb]]="commit",Log[[#This Row],[Verb]]="carry",Log[[#This Row],[Verb]]="redo"),IF(Log[[#This Row],[Arg]]="",Log[[#This Row],[Sprint]],N(Log[[#This Row],[Arg]])),"")</f>
      </c>
      <c r="J250" s="17">
        <f>IF(Log[[#This Row],[Verb]]="block",1,IF(OR(Log[[#This Row],[Verb]]="unblock",Log[[#This Row],[Verb]]="done",Log[[#This Row],[Verb]]="drop",Log[[#This Row],[Verb]]="punt",Log[[#This Row],[Verb]]="pass"),0,""))</f>
      </c>
      <c r="K250" s="17">
        <f>IF(Log[[#This Row],[ID]]="",0,IFERROR(INDEX(Items[Pts],MATCH(Log[[#This Row],[ID]],Items[ID],0))*1,0))</f>
      </c>
      <c r="L250" s="17">
        <f>IF(Log[[#This Row],[ID]]="","",IFERROR(INDEX(Items[Cur team],MATCH(Log[[#This Row],[ID]],Items[ID],0))&amp;"",""))</f>
      </c>
      <c r="M250" s="17">
        <f>IF(OR(Log[[#This Row],[Verb]]="done",Log[[#This Row],[Verb]]="punt",Log[[#This Row],[Verb]]="drop",Log[[#This Row],[Verb]]="pass"),Log[[#This Row],[Pts]],0)</f>
      </c>
    </row>
    <row r="251">
      <c r="A251" s="11">
        <v>46104</v>
      </c>
      <c r="B251" t="s">
        <v>246</v>
      </c>
      <c r="C251" t="s">
        <v>41</v>
      </c>
      <c r="F251" s="17">
        <f>IF(Log[[#This Row],[ID]]="","",IF(ISNA(MATCH(Log[[#This Row],[ID]],Items[ID],0)),"unknown ID",IF(ISNA(MATCH(Log[[#This Row],[Verb]],VerbList,0)),"unknown verb",IF(Log[[#This Row],[Date]]="","no date",""))))</f>
      </c>
      <c r="G251" s="17">
        <f>IF(Log[[#This Row],[ID]]="","",IFERROR(VLOOKUP(Log[[#This Row],[Verb]],Verbs,3,FALSE)&amp;"",""))</f>
      </c>
      <c r="H251" s="17">
        <f>IF(Log[[#This Row],[Date]]="","",INT((Log[[#This Row],[Date]]-Sprint1)/SprintDays)+1)</f>
      </c>
      <c r="I251" s="17">
        <f>IF(OR(Log[[#This Row],[Verb]]="commit",Log[[#This Row],[Verb]]="carry",Log[[#This Row],[Verb]]="redo"),IF(Log[[#This Row],[Arg]]="",Log[[#This Row],[Sprint]],N(Log[[#This Row],[Arg]])),"")</f>
      </c>
      <c r="J251" s="17">
        <f>IF(Log[[#This Row],[Verb]]="block",1,IF(OR(Log[[#This Row],[Verb]]="unblock",Log[[#This Row],[Verb]]="done",Log[[#This Row],[Verb]]="drop",Log[[#This Row],[Verb]]="punt",Log[[#This Row],[Verb]]="pass"),0,""))</f>
      </c>
      <c r="K251" s="17">
        <f>IF(Log[[#This Row],[ID]]="",0,IFERROR(INDEX(Items[Pts],MATCH(Log[[#This Row],[ID]],Items[ID],0))*1,0))</f>
      </c>
      <c r="L251" s="17">
        <f>IF(Log[[#This Row],[ID]]="","",IFERROR(INDEX(Items[Cur team],MATCH(Log[[#This Row],[ID]],Items[ID],0))&amp;"",""))</f>
      </c>
      <c r="M251" s="17">
        <f>IF(OR(Log[[#This Row],[Verb]]="done",Log[[#This Row],[Verb]]="punt",Log[[#This Row],[Verb]]="drop",Log[[#This Row],[Verb]]="pass"),Log[[#This Row],[Pts]],0)</f>
      </c>
    </row>
    <row r="252">
      <c r="A252" s="11">
        <v>46104</v>
      </c>
      <c r="B252" t="s">
        <v>247</v>
      </c>
      <c r="C252" t="s">
        <v>41</v>
      </c>
      <c r="F252" s="17">
        <f>IF(Log[[#This Row],[ID]]="","",IF(ISNA(MATCH(Log[[#This Row],[ID]],Items[ID],0)),"unknown ID",IF(ISNA(MATCH(Log[[#This Row],[Verb]],VerbList,0)),"unknown verb",IF(Log[[#This Row],[Date]]="","no date",""))))</f>
      </c>
      <c r="G252" s="17">
        <f>IF(Log[[#This Row],[ID]]="","",IFERROR(VLOOKUP(Log[[#This Row],[Verb]],Verbs,3,FALSE)&amp;"",""))</f>
      </c>
      <c r="H252" s="17">
        <f>IF(Log[[#This Row],[Date]]="","",INT((Log[[#This Row],[Date]]-Sprint1)/SprintDays)+1)</f>
      </c>
      <c r="I252" s="17">
        <f>IF(OR(Log[[#This Row],[Verb]]="commit",Log[[#This Row],[Verb]]="carry",Log[[#This Row],[Verb]]="redo"),IF(Log[[#This Row],[Arg]]="",Log[[#This Row],[Sprint]],N(Log[[#This Row],[Arg]])),"")</f>
      </c>
      <c r="J252" s="17">
        <f>IF(Log[[#This Row],[Verb]]="block",1,IF(OR(Log[[#This Row],[Verb]]="unblock",Log[[#This Row],[Verb]]="done",Log[[#This Row],[Verb]]="drop",Log[[#This Row],[Verb]]="punt",Log[[#This Row],[Verb]]="pass"),0,""))</f>
      </c>
      <c r="K252" s="17">
        <f>IF(Log[[#This Row],[ID]]="",0,IFERROR(INDEX(Items[Pts],MATCH(Log[[#This Row],[ID]],Items[ID],0))*1,0))</f>
      </c>
      <c r="L252" s="17">
        <f>IF(Log[[#This Row],[ID]]="","",IFERROR(INDEX(Items[Cur team],MATCH(Log[[#This Row],[ID]],Items[ID],0))&amp;"",""))</f>
      </c>
      <c r="M252" s="17">
        <f>IF(OR(Log[[#This Row],[Verb]]="done",Log[[#This Row],[Verb]]="punt",Log[[#This Row],[Verb]]="drop",Log[[#This Row],[Verb]]="pass"),Log[[#This Row],[Pts]],0)</f>
      </c>
    </row>
    <row r="253">
      <c r="A253" s="11">
        <v>46104</v>
      </c>
      <c r="B253" t="s">
        <v>248</v>
      </c>
      <c r="C253" t="s">
        <v>41</v>
      </c>
      <c r="F253" s="17">
        <f>IF(Log[[#This Row],[ID]]="","",IF(ISNA(MATCH(Log[[#This Row],[ID]],Items[ID],0)),"unknown ID",IF(ISNA(MATCH(Log[[#This Row],[Verb]],VerbList,0)),"unknown verb",IF(Log[[#This Row],[Date]]="","no date",""))))</f>
      </c>
      <c r="G253" s="17">
        <f>IF(Log[[#This Row],[ID]]="","",IFERROR(VLOOKUP(Log[[#This Row],[Verb]],Verbs,3,FALSE)&amp;"",""))</f>
      </c>
      <c r="H253" s="17">
        <f>IF(Log[[#This Row],[Date]]="","",INT((Log[[#This Row],[Date]]-Sprint1)/SprintDays)+1)</f>
      </c>
      <c r="I253" s="17">
        <f>IF(OR(Log[[#This Row],[Verb]]="commit",Log[[#This Row],[Verb]]="carry",Log[[#This Row],[Verb]]="redo"),IF(Log[[#This Row],[Arg]]="",Log[[#This Row],[Sprint]],N(Log[[#This Row],[Arg]])),"")</f>
      </c>
      <c r="J253" s="17">
        <f>IF(Log[[#This Row],[Verb]]="block",1,IF(OR(Log[[#This Row],[Verb]]="unblock",Log[[#This Row],[Verb]]="done",Log[[#This Row],[Verb]]="drop",Log[[#This Row],[Verb]]="punt",Log[[#This Row],[Verb]]="pass"),0,""))</f>
      </c>
      <c r="K253" s="17">
        <f>IF(Log[[#This Row],[ID]]="",0,IFERROR(INDEX(Items[Pts],MATCH(Log[[#This Row],[ID]],Items[ID],0))*1,0))</f>
      </c>
      <c r="L253" s="17">
        <f>IF(Log[[#This Row],[ID]]="","",IFERROR(INDEX(Items[Cur team],MATCH(Log[[#This Row],[ID]],Items[ID],0))&amp;"",""))</f>
      </c>
      <c r="M253" s="17">
        <f>IF(OR(Log[[#This Row],[Verb]]="done",Log[[#This Row],[Verb]]="punt",Log[[#This Row],[Verb]]="drop",Log[[#This Row],[Verb]]="pass"),Log[[#This Row],[Pts]],0)</f>
      </c>
    </row>
    <row r="254">
      <c r="A254" s="11">
        <v>46104</v>
      </c>
      <c r="B254" t="s">
        <v>249</v>
      </c>
      <c r="C254" t="s">
        <v>41</v>
      </c>
      <c r="F254" s="17">
        <f>IF(Log[[#This Row],[ID]]="","",IF(ISNA(MATCH(Log[[#This Row],[ID]],Items[ID],0)),"unknown ID",IF(ISNA(MATCH(Log[[#This Row],[Verb]],VerbList,0)),"unknown verb",IF(Log[[#This Row],[Date]]="","no date",""))))</f>
      </c>
      <c r="G254" s="17">
        <f>IF(Log[[#This Row],[ID]]="","",IFERROR(VLOOKUP(Log[[#This Row],[Verb]],Verbs,3,FALSE)&amp;"",""))</f>
      </c>
      <c r="H254" s="17">
        <f>IF(Log[[#This Row],[Date]]="","",INT((Log[[#This Row],[Date]]-Sprint1)/SprintDays)+1)</f>
      </c>
      <c r="I254" s="17">
        <f>IF(OR(Log[[#This Row],[Verb]]="commit",Log[[#This Row],[Verb]]="carry",Log[[#This Row],[Verb]]="redo"),IF(Log[[#This Row],[Arg]]="",Log[[#This Row],[Sprint]],N(Log[[#This Row],[Arg]])),"")</f>
      </c>
      <c r="J254" s="17">
        <f>IF(Log[[#This Row],[Verb]]="block",1,IF(OR(Log[[#This Row],[Verb]]="unblock",Log[[#This Row],[Verb]]="done",Log[[#This Row],[Verb]]="drop",Log[[#This Row],[Verb]]="punt",Log[[#This Row],[Verb]]="pass"),0,""))</f>
      </c>
      <c r="K254" s="17">
        <f>IF(Log[[#This Row],[ID]]="",0,IFERROR(INDEX(Items[Pts],MATCH(Log[[#This Row],[ID]],Items[ID],0))*1,0))</f>
      </c>
      <c r="L254" s="17">
        <f>IF(Log[[#This Row],[ID]]="","",IFERROR(INDEX(Items[Cur team],MATCH(Log[[#This Row],[ID]],Items[ID],0))&amp;"",""))</f>
      </c>
      <c r="M254" s="17">
        <f>IF(OR(Log[[#This Row],[Verb]]="done",Log[[#This Row],[Verb]]="punt",Log[[#This Row],[Verb]]="drop",Log[[#This Row],[Verb]]="pass"),Log[[#This Row],[Pts]],0)</f>
      </c>
    </row>
    <row r="255">
      <c r="A255" s="11">
        <v>46104</v>
      </c>
      <c r="B255" t="s">
        <v>164</v>
      </c>
      <c r="C255" t="s">
        <v>54</v>
      </c>
      <c r="E255" t="s">
        <v>235</v>
      </c>
      <c r="F255" s="17">
        <f>IF(Log[[#This Row],[ID]]="","",IF(ISNA(MATCH(Log[[#This Row],[ID]],Items[ID],0)),"unknown ID",IF(ISNA(MATCH(Log[[#This Row],[Verb]],VerbList,0)),"unknown verb",IF(Log[[#This Row],[Date]]="","no date",""))))</f>
      </c>
      <c r="G255" s="17">
        <f>IF(Log[[#This Row],[ID]]="","",IFERROR(VLOOKUP(Log[[#This Row],[Verb]],Verbs,3,FALSE)&amp;"",""))</f>
      </c>
      <c r="H255" s="17">
        <f>IF(Log[[#This Row],[Date]]="","",INT((Log[[#This Row],[Date]]-Sprint1)/SprintDays)+1)</f>
      </c>
      <c r="I255" s="17">
        <f>IF(OR(Log[[#This Row],[Verb]]="commit",Log[[#This Row],[Verb]]="carry",Log[[#This Row],[Verb]]="redo"),IF(Log[[#This Row],[Arg]]="",Log[[#This Row],[Sprint]],N(Log[[#This Row],[Arg]])),"")</f>
      </c>
      <c r="J255" s="17">
        <f>IF(Log[[#This Row],[Verb]]="block",1,IF(OR(Log[[#This Row],[Verb]]="unblock",Log[[#This Row],[Verb]]="done",Log[[#This Row],[Verb]]="drop",Log[[#This Row],[Verb]]="punt",Log[[#This Row],[Verb]]="pass"),0,""))</f>
      </c>
      <c r="K255" s="17">
        <f>IF(Log[[#This Row],[ID]]="",0,IFERROR(INDEX(Items[Pts],MATCH(Log[[#This Row],[ID]],Items[ID],0))*1,0))</f>
      </c>
      <c r="L255" s="17">
        <f>IF(Log[[#This Row],[ID]]="","",IFERROR(INDEX(Items[Cur team],MATCH(Log[[#This Row],[ID]],Items[ID],0))&amp;"",""))</f>
      </c>
      <c r="M255" s="17">
        <f>IF(OR(Log[[#This Row],[Verb]]="done",Log[[#This Row],[Verb]]="punt",Log[[#This Row],[Verb]]="drop",Log[[#This Row],[Verb]]="pass"),Log[[#This Row],[Pts]],0)</f>
      </c>
    </row>
    <row r="256">
      <c r="A256" s="11">
        <v>46104</v>
      </c>
      <c r="B256" t="s">
        <v>198</v>
      </c>
      <c r="C256" t="s">
        <v>38</v>
      </c>
      <c r="D256">
        <v>40</v>
      </c>
      <c r="F256" s="17">
        <f>IF(Log[[#This Row],[ID]]="","",IF(ISNA(MATCH(Log[[#This Row],[ID]],Items[ID],0)),"unknown ID",IF(ISNA(MATCH(Log[[#This Row],[Verb]],VerbList,0)),"unknown verb",IF(Log[[#This Row],[Date]]="","no date",""))))</f>
      </c>
      <c r="G256" s="17">
        <f>IF(Log[[#This Row],[ID]]="","",IFERROR(VLOOKUP(Log[[#This Row],[Verb]],Verbs,3,FALSE)&amp;"",""))</f>
      </c>
      <c r="H256" s="17">
        <f>IF(Log[[#This Row],[Date]]="","",INT((Log[[#This Row],[Date]]-Sprint1)/SprintDays)+1)</f>
      </c>
      <c r="I256" s="17">
        <f>IF(OR(Log[[#This Row],[Verb]]="commit",Log[[#This Row],[Verb]]="carry",Log[[#This Row],[Verb]]="redo"),IF(Log[[#This Row],[Arg]]="",Log[[#This Row],[Sprint]],N(Log[[#This Row],[Arg]])),"")</f>
      </c>
      <c r="J256" s="17">
        <f>IF(Log[[#This Row],[Verb]]="block",1,IF(OR(Log[[#This Row],[Verb]]="unblock",Log[[#This Row],[Verb]]="done",Log[[#This Row],[Verb]]="drop",Log[[#This Row],[Verb]]="punt",Log[[#This Row],[Verb]]="pass"),0,""))</f>
      </c>
      <c r="K256" s="17">
        <f>IF(Log[[#This Row],[ID]]="",0,IFERROR(INDEX(Items[Pts],MATCH(Log[[#This Row],[ID]],Items[ID],0))*1,0))</f>
      </c>
      <c r="L256" s="17">
        <f>IF(Log[[#This Row],[ID]]="","",IFERROR(INDEX(Items[Cur team],MATCH(Log[[#This Row],[ID]],Items[ID],0))&amp;"",""))</f>
      </c>
      <c r="M256" s="17">
        <f>IF(OR(Log[[#This Row],[Verb]]="done",Log[[#This Row],[Verb]]="punt",Log[[#This Row],[Verb]]="drop",Log[[#This Row],[Verb]]="pass"),Log[[#This Row],[Pts]],0)</f>
      </c>
    </row>
    <row r="257">
      <c r="A257" s="11">
        <v>46104</v>
      </c>
      <c r="B257" t="s">
        <v>250</v>
      </c>
      <c r="C257" t="s">
        <v>41</v>
      </c>
      <c r="F257" s="17">
        <f>IF(Log[[#This Row],[ID]]="","",IF(ISNA(MATCH(Log[[#This Row],[ID]],Items[ID],0)),"unknown ID",IF(ISNA(MATCH(Log[[#This Row],[Verb]],VerbList,0)),"unknown verb",IF(Log[[#This Row],[Date]]="","no date",""))))</f>
      </c>
      <c r="G257" s="17">
        <f>IF(Log[[#This Row],[ID]]="","",IFERROR(VLOOKUP(Log[[#This Row],[Verb]],Verbs,3,FALSE)&amp;"",""))</f>
      </c>
      <c r="H257" s="17">
        <f>IF(Log[[#This Row],[Date]]="","",INT((Log[[#This Row],[Date]]-Sprint1)/SprintDays)+1)</f>
      </c>
      <c r="I257" s="17">
        <f>IF(OR(Log[[#This Row],[Verb]]="commit",Log[[#This Row],[Verb]]="carry",Log[[#This Row],[Verb]]="redo"),IF(Log[[#This Row],[Arg]]="",Log[[#This Row],[Sprint]],N(Log[[#This Row],[Arg]])),"")</f>
      </c>
      <c r="J257" s="17">
        <f>IF(Log[[#This Row],[Verb]]="block",1,IF(OR(Log[[#This Row],[Verb]]="unblock",Log[[#This Row],[Verb]]="done",Log[[#This Row],[Verb]]="drop",Log[[#This Row],[Verb]]="punt",Log[[#This Row],[Verb]]="pass"),0,""))</f>
      </c>
      <c r="K257" s="17">
        <f>IF(Log[[#This Row],[ID]]="",0,IFERROR(INDEX(Items[Pts],MATCH(Log[[#This Row],[ID]],Items[ID],0))*1,0))</f>
      </c>
      <c r="L257" s="17">
        <f>IF(Log[[#This Row],[ID]]="","",IFERROR(INDEX(Items[Cur team],MATCH(Log[[#This Row],[ID]],Items[ID],0))&amp;"",""))</f>
      </c>
      <c r="M257" s="17">
        <f>IF(OR(Log[[#This Row],[Verb]]="done",Log[[#This Row],[Verb]]="punt",Log[[#This Row],[Verb]]="drop",Log[[#This Row],[Verb]]="pass"),Log[[#This Row],[Pts]],0)</f>
      </c>
    </row>
    <row r="258">
      <c r="A258" s="11">
        <v>46104</v>
      </c>
      <c r="B258" t="s">
        <v>251</v>
      </c>
      <c r="C258" t="s">
        <v>41</v>
      </c>
      <c r="F258" s="17">
        <f>IF(Log[[#This Row],[ID]]="","",IF(ISNA(MATCH(Log[[#This Row],[ID]],Items[ID],0)),"unknown ID",IF(ISNA(MATCH(Log[[#This Row],[Verb]],VerbList,0)),"unknown verb",IF(Log[[#This Row],[Date]]="","no date",""))))</f>
      </c>
      <c r="G258" s="17">
        <f>IF(Log[[#This Row],[ID]]="","",IFERROR(VLOOKUP(Log[[#This Row],[Verb]],Verbs,3,FALSE)&amp;"",""))</f>
      </c>
      <c r="H258" s="17">
        <f>IF(Log[[#This Row],[Date]]="","",INT((Log[[#This Row],[Date]]-Sprint1)/SprintDays)+1)</f>
      </c>
      <c r="I258" s="17">
        <f>IF(OR(Log[[#This Row],[Verb]]="commit",Log[[#This Row],[Verb]]="carry",Log[[#This Row],[Verb]]="redo"),IF(Log[[#This Row],[Arg]]="",Log[[#This Row],[Sprint]],N(Log[[#This Row],[Arg]])),"")</f>
      </c>
      <c r="J258" s="17">
        <f>IF(Log[[#This Row],[Verb]]="block",1,IF(OR(Log[[#This Row],[Verb]]="unblock",Log[[#This Row],[Verb]]="done",Log[[#This Row],[Verb]]="drop",Log[[#This Row],[Verb]]="punt",Log[[#This Row],[Verb]]="pass"),0,""))</f>
      </c>
      <c r="K258" s="17">
        <f>IF(Log[[#This Row],[ID]]="",0,IFERROR(INDEX(Items[Pts],MATCH(Log[[#This Row],[ID]],Items[ID],0))*1,0))</f>
      </c>
      <c r="L258" s="17">
        <f>IF(Log[[#This Row],[ID]]="","",IFERROR(INDEX(Items[Cur team],MATCH(Log[[#This Row],[ID]],Items[ID],0))&amp;"",""))</f>
      </c>
      <c r="M258" s="17">
        <f>IF(OR(Log[[#This Row],[Verb]]="done",Log[[#This Row],[Verb]]="punt",Log[[#This Row],[Verb]]="drop",Log[[#This Row],[Verb]]="pass"),Log[[#This Row],[Pts]],0)</f>
      </c>
    </row>
    <row r="259">
      <c r="A259" s="11">
        <v>46104</v>
      </c>
      <c r="B259" t="s">
        <v>252</v>
      </c>
      <c r="C259" t="s">
        <v>41</v>
      </c>
      <c r="F259" s="17">
        <f>IF(Log[[#This Row],[ID]]="","",IF(ISNA(MATCH(Log[[#This Row],[ID]],Items[ID],0)),"unknown ID",IF(ISNA(MATCH(Log[[#This Row],[Verb]],VerbList,0)),"unknown verb",IF(Log[[#This Row],[Date]]="","no date",""))))</f>
      </c>
      <c r="G259" s="17">
        <f>IF(Log[[#This Row],[ID]]="","",IFERROR(VLOOKUP(Log[[#This Row],[Verb]],Verbs,3,FALSE)&amp;"",""))</f>
      </c>
      <c r="H259" s="17">
        <f>IF(Log[[#This Row],[Date]]="","",INT((Log[[#This Row],[Date]]-Sprint1)/SprintDays)+1)</f>
      </c>
      <c r="I259" s="17">
        <f>IF(OR(Log[[#This Row],[Verb]]="commit",Log[[#This Row],[Verb]]="carry",Log[[#This Row],[Verb]]="redo"),IF(Log[[#This Row],[Arg]]="",Log[[#This Row],[Sprint]],N(Log[[#This Row],[Arg]])),"")</f>
      </c>
      <c r="J259" s="17">
        <f>IF(Log[[#This Row],[Verb]]="block",1,IF(OR(Log[[#This Row],[Verb]]="unblock",Log[[#This Row],[Verb]]="done",Log[[#This Row],[Verb]]="drop",Log[[#This Row],[Verb]]="punt",Log[[#This Row],[Verb]]="pass"),0,""))</f>
      </c>
      <c r="K259" s="17">
        <f>IF(Log[[#This Row],[ID]]="",0,IFERROR(INDEX(Items[Pts],MATCH(Log[[#This Row],[ID]],Items[ID],0))*1,0))</f>
      </c>
      <c r="L259" s="17">
        <f>IF(Log[[#This Row],[ID]]="","",IFERROR(INDEX(Items[Cur team],MATCH(Log[[#This Row],[ID]],Items[ID],0))&amp;"",""))</f>
      </c>
      <c r="M259" s="17">
        <f>IF(OR(Log[[#This Row],[Verb]]="done",Log[[#This Row],[Verb]]="punt",Log[[#This Row],[Verb]]="drop",Log[[#This Row],[Verb]]="pass"),Log[[#This Row],[Pts]],0)</f>
      </c>
    </row>
    <row r="260">
      <c r="A260" s="11">
        <v>46104</v>
      </c>
      <c r="B260" t="s">
        <v>253</v>
      </c>
      <c r="C260" t="s">
        <v>38</v>
      </c>
      <c r="D260">
        <v>40</v>
      </c>
      <c r="F260" s="17">
        <f>IF(Log[[#This Row],[ID]]="","",IF(ISNA(MATCH(Log[[#This Row],[ID]],Items[ID],0)),"unknown ID",IF(ISNA(MATCH(Log[[#This Row],[Verb]],VerbList,0)),"unknown verb",IF(Log[[#This Row],[Date]]="","no date",""))))</f>
      </c>
      <c r="G260" s="17">
        <f>IF(Log[[#This Row],[ID]]="","",IFERROR(VLOOKUP(Log[[#This Row],[Verb]],Verbs,3,FALSE)&amp;"",""))</f>
      </c>
      <c r="H260" s="17">
        <f>IF(Log[[#This Row],[Date]]="","",INT((Log[[#This Row],[Date]]-Sprint1)/SprintDays)+1)</f>
      </c>
      <c r="I260" s="17">
        <f>IF(OR(Log[[#This Row],[Verb]]="commit",Log[[#This Row],[Verb]]="carry",Log[[#This Row],[Verb]]="redo"),IF(Log[[#This Row],[Arg]]="",Log[[#This Row],[Sprint]],N(Log[[#This Row],[Arg]])),"")</f>
      </c>
      <c r="J260" s="17">
        <f>IF(Log[[#This Row],[Verb]]="block",1,IF(OR(Log[[#This Row],[Verb]]="unblock",Log[[#This Row],[Verb]]="done",Log[[#This Row],[Verb]]="drop",Log[[#This Row],[Verb]]="punt",Log[[#This Row],[Verb]]="pass"),0,""))</f>
      </c>
      <c r="K260" s="17">
        <f>IF(Log[[#This Row],[ID]]="",0,IFERROR(INDEX(Items[Pts],MATCH(Log[[#This Row],[ID]],Items[ID],0))*1,0))</f>
      </c>
      <c r="L260" s="17">
        <f>IF(Log[[#This Row],[ID]]="","",IFERROR(INDEX(Items[Cur team],MATCH(Log[[#This Row],[ID]],Items[ID],0))&amp;"",""))</f>
      </c>
      <c r="M260" s="17">
        <f>IF(OR(Log[[#This Row],[Verb]]="done",Log[[#This Row],[Verb]]="punt",Log[[#This Row],[Verb]]="drop",Log[[#This Row],[Verb]]="pass"),Log[[#This Row],[Pts]],0)</f>
      </c>
    </row>
    <row r="261">
      <c r="A261" s="11">
        <v>46104</v>
      </c>
      <c r="B261" t="s">
        <v>254</v>
      </c>
      <c r="C261" t="s">
        <v>41</v>
      </c>
      <c r="F261" s="17">
        <f>IF(Log[[#This Row],[ID]]="","",IF(ISNA(MATCH(Log[[#This Row],[ID]],Items[ID],0)),"unknown ID",IF(ISNA(MATCH(Log[[#This Row],[Verb]],VerbList,0)),"unknown verb",IF(Log[[#This Row],[Date]]="","no date",""))))</f>
      </c>
      <c r="G261" s="17">
        <f>IF(Log[[#This Row],[ID]]="","",IFERROR(VLOOKUP(Log[[#This Row],[Verb]],Verbs,3,FALSE)&amp;"",""))</f>
      </c>
      <c r="H261" s="17">
        <f>IF(Log[[#This Row],[Date]]="","",INT((Log[[#This Row],[Date]]-Sprint1)/SprintDays)+1)</f>
      </c>
      <c r="I261" s="17">
        <f>IF(OR(Log[[#This Row],[Verb]]="commit",Log[[#This Row],[Verb]]="carry",Log[[#This Row],[Verb]]="redo"),IF(Log[[#This Row],[Arg]]="",Log[[#This Row],[Sprint]],N(Log[[#This Row],[Arg]])),"")</f>
      </c>
      <c r="J261" s="17">
        <f>IF(Log[[#This Row],[Verb]]="block",1,IF(OR(Log[[#This Row],[Verb]]="unblock",Log[[#This Row],[Verb]]="done",Log[[#This Row],[Verb]]="drop",Log[[#This Row],[Verb]]="punt",Log[[#This Row],[Verb]]="pass"),0,""))</f>
      </c>
      <c r="K261" s="17">
        <f>IF(Log[[#This Row],[ID]]="",0,IFERROR(INDEX(Items[Pts],MATCH(Log[[#This Row],[ID]],Items[ID],0))*1,0))</f>
      </c>
      <c r="L261" s="17">
        <f>IF(Log[[#This Row],[ID]]="","",IFERROR(INDEX(Items[Cur team],MATCH(Log[[#This Row],[ID]],Items[ID],0))&amp;"",""))</f>
      </c>
      <c r="M261" s="17">
        <f>IF(OR(Log[[#This Row],[Verb]]="done",Log[[#This Row],[Verb]]="punt",Log[[#This Row],[Verb]]="drop",Log[[#This Row],[Verb]]="pass"),Log[[#This Row],[Pts]],0)</f>
      </c>
    </row>
    <row r="262">
      <c r="A262" s="11">
        <v>46104</v>
      </c>
      <c r="B262" t="s">
        <v>255</v>
      </c>
      <c r="C262" t="s">
        <v>41</v>
      </c>
      <c r="F262" s="17">
        <f>IF(Log[[#This Row],[ID]]="","",IF(ISNA(MATCH(Log[[#This Row],[ID]],Items[ID],0)),"unknown ID",IF(ISNA(MATCH(Log[[#This Row],[Verb]],VerbList,0)),"unknown verb",IF(Log[[#This Row],[Date]]="","no date",""))))</f>
      </c>
      <c r="G262" s="17">
        <f>IF(Log[[#This Row],[ID]]="","",IFERROR(VLOOKUP(Log[[#This Row],[Verb]],Verbs,3,FALSE)&amp;"",""))</f>
      </c>
      <c r="H262" s="17">
        <f>IF(Log[[#This Row],[Date]]="","",INT((Log[[#This Row],[Date]]-Sprint1)/SprintDays)+1)</f>
      </c>
      <c r="I262" s="17">
        <f>IF(OR(Log[[#This Row],[Verb]]="commit",Log[[#This Row],[Verb]]="carry",Log[[#This Row],[Verb]]="redo"),IF(Log[[#This Row],[Arg]]="",Log[[#This Row],[Sprint]],N(Log[[#This Row],[Arg]])),"")</f>
      </c>
      <c r="J262" s="17">
        <f>IF(Log[[#This Row],[Verb]]="block",1,IF(OR(Log[[#This Row],[Verb]]="unblock",Log[[#This Row],[Verb]]="done",Log[[#This Row],[Verb]]="drop",Log[[#This Row],[Verb]]="punt",Log[[#This Row],[Verb]]="pass"),0,""))</f>
      </c>
      <c r="K262" s="17">
        <f>IF(Log[[#This Row],[ID]]="",0,IFERROR(INDEX(Items[Pts],MATCH(Log[[#This Row],[ID]],Items[ID],0))*1,0))</f>
      </c>
      <c r="L262" s="17">
        <f>IF(Log[[#This Row],[ID]]="","",IFERROR(INDEX(Items[Cur team],MATCH(Log[[#This Row],[ID]],Items[ID],0))&amp;"",""))</f>
      </c>
      <c r="M262" s="17">
        <f>IF(OR(Log[[#This Row],[Verb]]="done",Log[[#This Row],[Verb]]="punt",Log[[#This Row],[Verb]]="drop",Log[[#This Row],[Verb]]="pass"),Log[[#This Row],[Pts]],0)</f>
      </c>
    </row>
    <row r="263">
      <c r="A263" s="11">
        <v>46104</v>
      </c>
      <c r="B263" t="s">
        <v>256</v>
      </c>
      <c r="C263" t="s">
        <v>41</v>
      </c>
      <c r="F263" s="17">
        <f>IF(Log[[#This Row],[ID]]="","",IF(ISNA(MATCH(Log[[#This Row],[ID]],Items[ID],0)),"unknown ID",IF(ISNA(MATCH(Log[[#This Row],[Verb]],VerbList,0)),"unknown verb",IF(Log[[#This Row],[Date]]="","no date",""))))</f>
      </c>
      <c r="G263" s="17">
        <f>IF(Log[[#This Row],[ID]]="","",IFERROR(VLOOKUP(Log[[#This Row],[Verb]],Verbs,3,FALSE)&amp;"",""))</f>
      </c>
      <c r="H263" s="17">
        <f>IF(Log[[#This Row],[Date]]="","",INT((Log[[#This Row],[Date]]-Sprint1)/SprintDays)+1)</f>
      </c>
      <c r="I263" s="17">
        <f>IF(OR(Log[[#This Row],[Verb]]="commit",Log[[#This Row],[Verb]]="carry",Log[[#This Row],[Verb]]="redo"),IF(Log[[#This Row],[Arg]]="",Log[[#This Row],[Sprint]],N(Log[[#This Row],[Arg]])),"")</f>
      </c>
      <c r="J263" s="17">
        <f>IF(Log[[#This Row],[Verb]]="block",1,IF(OR(Log[[#This Row],[Verb]]="unblock",Log[[#This Row],[Verb]]="done",Log[[#This Row],[Verb]]="drop",Log[[#This Row],[Verb]]="punt",Log[[#This Row],[Verb]]="pass"),0,""))</f>
      </c>
      <c r="K263" s="17">
        <f>IF(Log[[#This Row],[ID]]="",0,IFERROR(INDEX(Items[Pts],MATCH(Log[[#This Row],[ID]],Items[ID],0))*1,0))</f>
      </c>
      <c r="L263" s="17">
        <f>IF(Log[[#This Row],[ID]]="","",IFERROR(INDEX(Items[Cur team],MATCH(Log[[#This Row],[ID]],Items[ID],0))&amp;"",""))</f>
      </c>
      <c r="M263" s="17">
        <f>IF(OR(Log[[#This Row],[Verb]]="done",Log[[#This Row],[Verb]]="punt",Log[[#This Row],[Verb]]="drop",Log[[#This Row],[Verb]]="pass"),Log[[#This Row],[Pts]],0)</f>
      </c>
    </row>
    <row r="264">
      <c r="A264" s="11">
        <v>46104</v>
      </c>
      <c r="B264" t="s">
        <v>175</v>
      </c>
      <c r="C264" t="s">
        <v>41</v>
      </c>
      <c r="F264" s="17">
        <f>IF(Log[[#This Row],[ID]]="","",IF(ISNA(MATCH(Log[[#This Row],[ID]],Items[ID],0)),"unknown ID",IF(ISNA(MATCH(Log[[#This Row],[Verb]],VerbList,0)),"unknown verb",IF(Log[[#This Row],[Date]]="","no date",""))))</f>
      </c>
      <c r="G264" s="17">
        <f>IF(Log[[#This Row],[ID]]="","",IFERROR(VLOOKUP(Log[[#This Row],[Verb]],Verbs,3,FALSE)&amp;"",""))</f>
      </c>
      <c r="H264" s="17">
        <f>IF(Log[[#This Row],[Date]]="","",INT((Log[[#This Row],[Date]]-Sprint1)/SprintDays)+1)</f>
      </c>
      <c r="I264" s="17">
        <f>IF(OR(Log[[#This Row],[Verb]]="commit",Log[[#This Row],[Verb]]="carry",Log[[#This Row],[Verb]]="redo"),IF(Log[[#This Row],[Arg]]="",Log[[#This Row],[Sprint]],N(Log[[#This Row],[Arg]])),"")</f>
      </c>
      <c r="J264" s="17">
        <f>IF(Log[[#This Row],[Verb]]="block",1,IF(OR(Log[[#This Row],[Verb]]="unblock",Log[[#This Row],[Verb]]="done",Log[[#This Row],[Verb]]="drop",Log[[#This Row],[Verb]]="punt",Log[[#This Row],[Verb]]="pass"),0,""))</f>
      </c>
      <c r="K264" s="17">
        <f>IF(Log[[#This Row],[ID]]="",0,IFERROR(INDEX(Items[Pts],MATCH(Log[[#This Row],[ID]],Items[ID],0))*1,0))</f>
      </c>
      <c r="L264" s="17">
        <f>IF(Log[[#This Row],[ID]]="","",IFERROR(INDEX(Items[Cur team],MATCH(Log[[#This Row],[ID]],Items[ID],0))&amp;"",""))</f>
      </c>
      <c r="M264" s="17">
        <f>IF(OR(Log[[#This Row],[Verb]]="done",Log[[#This Row],[Verb]]="punt",Log[[#This Row],[Verb]]="drop",Log[[#This Row],[Verb]]="pass"),Log[[#This Row],[Pts]],0)</f>
      </c>
    </row>
    <row r="265">
      <c r="A265" s="11">
        <v>46104</v>
      </c>
      <c r="B265" t="s">
        <v>257</v>
      </c>
      <c r="C265" t="s">
        <v>41</v>
      </c>
      <c r="F265" s="17">
        <f>IF(Log[[#This Row],[ID]]="","",IF(ISNA(MATCH(Log[[#This Row],[ID]],Items[ID],0)),"unknown ID",IF(ISNA(MATCH(Log[[#This Row],[Verb]],VerbList,0)),"unknown verb",IF(Log[[#This Row],[Date]]="","no date",""))))</f>
      </c>
      <c r="G265" s="17">
        <f>IF(Log[[#This Row],[ID]]="","",IFERROR(VLOOKUP(Log[[#This Row],[Verb]],Verbs,3,FALSE)&amp;"",""))</f>
      </c>
      <c r="H265" s="17">
        <f>IF(Log[[#This Row],[Date]]="","",INT((Log[[#This Row],[Date]]-Sprint1)/SprintDays)+1)</f>
      </c>
      <c r="I265" s="17">
        <f>IF(OR(Log[[#This Row],[Verb]]="commit",Log[[#This Row],[Verb]]="carry",Log[[#This Row],[Verb]]="redo"),IF(Log[[#This Row],[Arg]]="",Log[[#This Row],[Sprint]],N(Log[[#This Row],[Arg]])),"")</f>
      </c>
      <c r="J265" s="17">
        <f>IF(Log[[#This Row],[Verb]]="block",1,IF(OR(Log[[#This Row],[Verb]]="unblock",Log[[#This Row],[Verb]]="done",Log[[#This Row],[Verb]]="drop",Log[[#This Row],[Verb]]="punt",Log[[#This Row],[Verb]]="pass"),0,""))</f>
      </c>
      <c r="K265" s="17">
        <f>IF(Log[[#This Row],[ID]]="",0,IFERROR(INDEX(Items[Pts],MATCH(Log[[#This Row],[ID]],Items[ID],0))*1,0))</f>
      </c>
      <c r="L265" s="17">
        <f>IF(Log[[#This Row],[ID]]="","",IFERROR(INDEX(Items[Cur team],MATCH(Log[[#This Row],[ID]],Items[ID],0))&amp;"",""))</f>
      </c>
      <c r="M265" s="17">
        <f>IF(OR(Log[[#This Row],[Verb]]="done",Log[[#This Row],[Verb]]="punt",Log[[#This Row],[Verb]]="drop",Log[[#This Row],[Verb]]="pass"),Log[[#This Row],[Pts]],0)</f>
      </c>
    </row>
    <row r="266">
      <c r="A266" s="11">
        <v>46104</v>
      </c>
      <c r="B266" t="s">
        <v>258</v>
      </c>
      <c r="C266" t="s">
        <v>41</v>
      </c>
      <c r="F266" s="17">
        <f>IF(Log[[#This Row],[ID]]="","",IF(ISNA(MATCH(Log[[#This Row],[ID]],Items[ID],0)),"unknown ID",IF(ISNA(MATCH(Log[[#This Row],[Verb]],VerbList,0)),"unknown verb",IF(Log[[#This Row],[Date]]="","no date",""))))</f>
      </c>
      <c r="G266" s="17">
        <f>IF(Log[[#This Row],[ID]]="","",IFERROR(VLOOKUP(Log[[#This Row],[Verb]],Verbs,3,FALSE)&amp;"",""))</f>
      </c>
      <c r="H266" s="17">
        <f>IF(Log[[#This Row],[Date]]="","",INT((Log[[#This Row],[Date]]-Sprint1)/SprintDays)+1)</f>
      </c>
      <c r="I266" s="17">
        <f>IF(OR(Log[[#This Row],[Verb]]="commit",Log[[#This Row],[Verb]]="carry",Log[[#This Row],[Verb]]="redo"),IF(Log[[#This Row],[Arg]]="",Log[[#This Row],[Sprint]],N(Log[[#This Row],[Arg]])),"")</f>
      </c>
      <c r="J266" s="17">
        <f>IF(Log[[#This Row],[Verb]]="block",1,IF(OR(Log[[#This Row],[Verb]]="unblock",Log[[#This Row],[Verb]]="done",Log[[#This Row],[Verb]]="drop",Log[[#This Row],[Verb]]="punt",Log[[#This Row],[Verb]]="pass"),0,""))</f>
      </c>
      <c r="K266" s="17">
        <f>IF(Log[[#This Row],[ID]]="",0,IFERROR(INDEX(Items[Pts],MATCH(Log[[#This Row],[ID]],Items[ID],0))*1,0))</f>
      </c>
      <c r="L266" s="17">
        <f>IF(Log[[#This Row],[ID]]="","",IFERROR(INDEX(Items[Cur team],MATCH(Log[[#This Row],[ID]],Items[ID],0))&amp;"",""))</f>
      </c>
      <c r="M266" s="17">
        <f>IF(OR(Log[[#This Row],[Verb]]="done",Log[[#This Row],[Verb]]="punt",Log[[#This Row],[Verb]]="drop",Log[[#This Row],[Verb]]="pass"),Log[[#This Row],[Pts]],0)</f>
      </c>
    </row>
    <row r="267">
      <c r="A267" s="11">
        <v>46104</v>
      </c>
      <c r="B267" t="s">
        <v>259</v>
      </c>
      <c r="C267" t="s">
        <v>41</v>
      </c>
      <c r="F267" s="17">
        <f>IF(Log[[#This Row],[ID]]="","",IF(ISNA(MATCH(Log[[#This Row],[ID]],Items[ID],0)),"unknown ID",IF(ISNA(MATCH(Log[[#This Row],[Verb]],VerbList,0)),"unknown verb",IF(Log[[#This Row],[Date]]="","no date",""))))</f>
      </c>
      <c r="G267" s="17">
        <f>IF(Log[[#This Row],[ID]]="","",IFERROR(VLOOKUP(Log[[#This Row],[Verb]],Verbs,3,FALSE)&amp;"",""))</f>
      </c>
      <c r="H267" s="17">
        <f>IF(Log[[#This Row],[Date]]="","",INT((Log[[#This Row],[Date]]-Sprint1)/SprintDays)+1)</f>
      </c>
      <c r="I267" s="17">
        <f>IF(OR(Log[[#This Row],[Verb]]="commit",Log[[#This Row],[Verb]]="carry",Log[[#This Row],[Verb]]="redo"),IF(Log[[#This Row],[Arg]]="",Log[[#This Row],[Sprint]],N(Log[[#This Row],[Arg]])),"")</f>
      </c>
      <c r="J267" s="17">
        <f>IF(Log[[#This Row],[Verb]]="block",1,IF(OR(Log[[#This Row],[Verb]]="unblock",Log[[#This Row],[Verb]]="done",Log[[#This Row],[Verb]]="drop",Log[[#This Row],[Verb]]="punt",Log[[#This Row],[Verb]]="pass"),0,""))</f>
      </c>
      <c r="K267" s="17">
        <f>IF(Log[[#This Row],[ID]]="",0,IFERROR(INDEX(Items[Pts],MATCH(Log[[#This Row],[ID]],Items[ID],0))*1,0))</f>
      </c>
      <c r="L267" s="17">
        <f>IF(Log[[#This Row],[ID]]="","",IFERROR(INDEX(Items[Cur team],MATCH(Log[[#This Row],[ID]],Items[ID],0))&amp;"",""))</f>
      </c>
      <c r="M267" s="17">
        <f>IF(OR(Log[[#This Row],[Verb]]="done",Log[[#This Row],[Verb]]="punt",Log[[#This Row],[Verb]]="drop",Log[[#This Row],[Verb]]="pass"),Log[[#This Row],[Pts]],0)</f>
      </c>
    </row>
    <row r="268">
      <c r="A268" s="11">
        <v>46104</v>
      </c>
      <c r="B268" t="s">
        <v>260</v>
      </c>
      <c r="C268" t="s">
        <v>41</v>
      </c>
      <c r="F268" s="17">
        <f>IF(Log[[#This Row],[ID]]="","",IF(ISNA(MATCH(Log[[#This Row],[ID]],Items[ID],0)),"unknown ID",IF(ISNA(MATCH(Log[[#This Row],[Verb]],VerbList,0)),"unknown verb",IF(Log[[#This Row],[Date]]="","no date",""))))</f>
      </c>
      <c r="G268" s="17">
        <f>IF(Log[[#This Row],[ID]]="","",IFERROR(VLOOKUP(Log[[#This Row],[Verb]],Verbs,3,FALSE)&amp;"",""))</f>
      </c>
      <c r="H268" s="17">
        <f>IF(Log[[#This Row],[Date]]="","",INT((Log[[#This Row],[Date]]-Sprint1)/SprintDays)+1)</f>
      </c>
      <c r="I268" s="17">
        <f>IF(OR(Log[[#This Row],[Verb]]="commit",Log[[#This Row],[Verb]]="carry",Log[[#This Row],[Verb]]="redo"),IF(Log[[#This Row],[Arg]]="",Log[[#This Row],[Sprint]],N(Log[[#This Row],[Arg]])),"")</f>
      </c>
      <c r="J268" s="17">
        <f>IF(Log[[#This Row],[Verb]]="block",1,IF(OR(Log[[#This Row],[Verb]]="unblock",Log[[#This Row],[Verb]]="done",Log[[#This Row],[Verb]]="drop",Log[[#This Row],[Verb]]="punt",Log[[#This Row],[Verb]]="pass"),0,""))</f>
      </c>
      <c r="K268" s="17">
        <f>IF(Log[[#This Row],[ID]]="",0,IFERROR(INDEX(Items[Pts],MATCH(Log[[#This Row],[ID]],Items[ID],0))*1,0))</f>
      </c>
      <c r="L268" s="17">
        <f>IF(Log[[#This Row],[ID]]="","",IFERROR(INDEX(Items[Cur team],MATCH(Log[[#This Row],[ID]],Items[ID],0))&amp;"",""))</f>
      </c>
      <c r="M268" s="17">
        <f>IF(OR(Log[[#This Row],[Verb]]="done",Log[[#This Row],[Verb]]="punt",Log[[#This Row],[Verb]]="drop",Log[[#This Row],[Verb]]="pass"),Log[[#This Row],[Pts]],0)</f>
      </c>
    </row>
    <row r="269">
      <c r="A269" s="11">
        <v>46104</v>
      </c>
      <c r="B269" t="s">
        <v>261</v>
      </c>
      <c r="C269" t="s">
        <v>41</v>
      </c>
      <c r="F269" s="17">
        <f>IF(Log[[#This Row],[ID]]="","",IF(ISNA(MATCH(Log[[#This Row],[ID]],Items[ID],0)),"unknown ID",IF(ISNA(MATCH(Log[[#This Row],[Verb]],VerbList,0)),"unknown verb",IF(Log[[#This Row],[Date]]="","no date",""))))</f>
      </c>
      <c r="G269" s="17">
        <f>IF(Log[[#This Row],[ID]]="","",IFERROR(VLOOKUP(Log[[#This Row],[Verb]],Verbs,3,FALSE)&amp;"",""))</f>
      </c>
      <c r="H269" s="17">
        <f>IF(Log[[#This Row],[Date]]="","",INT((Log[[#This Row],[Date]]-Sprint1)/SprintDays)+1)</f>
      </c>
      <c r="I269" s="17">
        <f>IF(OR(Log[[#This Row],[Verb]]="commit",Log[[#This Row],[Verb]]="carry",Log[[#This Row],[Verb]]="redo"),IF(Log[[#This Row],[Arg]]="",Log[[#This Row],[Sprint]],N(Log[[#This Row],[Arg]])),"")</f>
      </c>
      <c r="J269" s="17">
        <f>IF(Log[[#This Row],[Verb]]="block",1,IF(OR(Log[[#This Row],[Verb]]="unblock",Log[[#This Row],[Verb]]="done",Log[[#This Row],[Verb]]="drop",Log[[#This Row],[Verb]]="punt",Log[[#This Row],[Verb]]="pass"),0,""))</f>
      </c>
      <c r="K269" s="17">
        <f>IF(Log[[#This Row],[ID]]="",0,IFERROR(INDEX(Items[Pts],MATCH(Log[[#This Row],[ID]],Items[ID],0))*1,0))</f>
      </c>
      <c r="L269" s="17">
        <f>IF(Log[[#This Row],[ID]]="","",IFERROR(INDEX(Items[Cur team],MATCH(Log[[#This Row],[ID]],Items[ID],0))&amp;"",""))</f>
      </c>
      <c r="M269" s="17">
        <f>IF(OR(Log[[#This Row],[Verb]]="done",Log[[#This Row],[Verb]]="punt",Log[[#This Row],[Verb]]="drop",Log[[#This Row],[Verb]]="pass"),Log[[#This Row],[Pts]],0)</f>
      </c>
    </row>
    <row r="270">
      <c r="A270" s="11">
        <v>46104</v>
      </c>
      <c r="B270" t="s">
        <v>262</v>
      </c>
      <c r="C270" t="s">
        <v>41</v>
      </c>
      <c r="F270" s="17">
        <f>IF(Log[[#This Row],[ID]]="","",IF(ISNA(MATCH(Log[[#This Row],[ID]],Items[ID],0)),"unknown ID",IF(ISNA(MATCH(Log[[#This Row],[Verb]],VerbList,0)),"unknown verb",IF(Log[[#This Row],[Date]]="","no date",""))))</f>
      </c>
      <c r="G270" s="17">
        <f>IF(Log[[#This Row],[ID]]="","",IFERROR(VLOOKUP(Log[[#This Row],[Verb]],Verbs,3,FALSE)&amp;"",""))</f>
      </c>
      <c r="H270" s="17">
        <f>IF(Log[[#This Row],[Date]]="","",INT((Log[[#This Row],[Date]]-Sprint1)/SprintDays)+1)</f>
      </c>
      <c r="I270" s="17">
        <f>IF(OR(Log[[#This Row],[Verb]]="commit",Log[[#This Row],[Verb]]="carry",Log[[#This Row],[Verb]]="redo"),IF(Log[[#This Row],[Arg]]="",Log[[#This Row],[Sprint]],N(Log[[#This Row],[Arg]])),"")</f>
      </c>
      <c r="J270" s="17">
        <f>IF(Log[[#This Row],[Verb]]="block",1,IF(OR(Log[[#This Row],[Verb]]="unblock",Log[[#This Row],[Verb]]="done",Log[[#This Row],[Verb]]="drop",Log[[#This Row],[Verb]]="punt",Log[[#This Row],[Verb]]="pass"),0,""))</f>
      </c>
      <c r="K270" s="17">
        <f>IF(Log[[#This Row],[ID]]="",0,IFERROR(INDEX(Items[Pts],MATCH(Log[[#This Row],[ID]],Items[ID],0))*1,0))</f>
      </c>
      <c r="L270" s="17">
        <f>IF(Log[[#This Row],[ID]]="","",IFERROR(INDEX(Items[Cur team],MATCH(Log[[#This Row],[ID]],Items[ID],0))&amp;"",""))</f>
      </c>
      <c r="M270" s="17">
        <f>IF(OR(Log[[#This Row],[Verb]]="done",Log[[#This Row],[Verb]]="punt",Log[[#This Row],[Verb]]="drop",Log[[#This Row],[Verb]]="pass"),Log[[#This Row],[Pts]],0)</f>
      </c>
    </row>
    <row r="271">
      <c r="A271" s="11">
        <v>46104</v>
      </c>
      <c r="B271" t="s">
        <v>176</v>
      </c>
      <c r="C271" t="s">
        <v>41</v>
      </c>
      <c r="F271" s="17">
        <f>IF(Log[[#This Row],[ID]]="","",IF(ISNA(MATCH(Log[[#This Row],[ID]],Items[ID],0)),"unknown ID",IF(ISNA(MATCH(Log[[#This Row],[Verb]],VerbList,0)),"unknown verb",IF(Log[[#This Row],[Date]]="","no date",""))))</f>
      </c>
      <c r="G271" s="17">
        <f>IF(Log[[#This Row],[ID]]="","",IFERROR(VLOOKUP(Log[[#This Row],[Verb]],Verbs,3,FALSE)&amp;"",""))</f>
      </c>
      <c r="H271" s="17">
        <f>IF(Log[[#This Row],[Date]]="","",INT((Log[[#This Row],[Date]]-Sprint1)/SprintDays)+1)</f>
      </c>
      <c r="I271" s="17">
        <f>IF(OR(Log[[#This Row],[Verb]]="commit",Log[[#This Row],[Verb]]="carry",Log[[#This Row],[Verb]]="redo"),IF(Log[[#This Row],[Arg]]="",Log[[#This Row],[Sprint]],N(Log[[#This Row],[Arg]])),"")</f>
      </c>
      <c r="J271" s="17">
        <f>IF(Log[[#This Row],[Verb]]="block",1,IF(OR(Log[[#This Row],[Verb]]="unblock",Log[[#This Row],[Verb]]="done",Log[[#This Row],[Verb]]="drop",Log[[#This Row],[Verb]]="punt",Log[[#This Row],[Verb]]="pass"),0,""))</f>
      </c>
      <c r="K271" s="17">
        <f>IF(Log[[#This Row],[ID]]="",0,IFERROR(INDEX(Items[Pts],MATCH(Log[[#This Row],[ID]],Items[ID],0))*1,0))</f>
      </c>
      <c r="L271" s="17">
        <f>IF(Log[[#This Row],[ID]]="","",IFERROR(INDEX(Items[Cur team],MATCH(Log[[#This Row],[ID]],Items[ID],0))&amp;"",""))</f>
      </c>
      <c r="M271" s="17">
        <f>IF(OR(Log[[#This Row],[Verb]]="done",Log[[#This Row],[Verb]]="punt",Log[[#This Row],[Verb]]="drop",Log[[#This Row],[Verb]]="pass"),Log[[#This Row],[Pts]],0)</f>
      </c>
    </row>
    <row r="272">
      <c r="A272" s="11">
        <v>46104</v>
      </c>
      <c r="B272" t="s">
        <v>263</v>
      </c>
      <c r="C272" t="s">
        <v>41</v>
      </c>
      <c r="F272" s="17">
        <f>IF(Log[[#This Row],[ID]]="","",IF(ISNA(MATCH(Log[[#This Row],[ID]],Items[ID],0)),"unknown ID",IF(ISNA(MATCH(Log[[#This Row],[Verb]],VerbList,0)),"unknown verb",IF(Log[[#This Row],[Date]]="","no date",""))))</f>
      </c>
      <c r="G272" s="17">
        <f>IF(Log[[#This Row],[ID]]="","",IFERROR(VLOOKUP(Log[[#This Row],[Verb]],Verbs,3,FALSE)&amp;"",""))</f>
      </c>
      <c r="H272" s="17">
        <f>IF(Log[[#This Row],[Date]]="","",INT((Log[[#This Row],[Date]]-Sprint1)/SprintDays)+1)</f>
      </c>
      <c r="I272" s="17">
        <f>IF(OR(Log[[#This Row],[Verb]]="commit",Log[[#This Row],[Verb]]="carry",Log[[#This Row],[Verb]]="redo"),IF(Log[[#This Row],[Arg]]="",Log[[#This Row],[Sprint]],N(Log[[#This Row],[Arg]])),"")</f>
      </c>
      <c r="J272" s="17">
        <f>IF(Log[[#This Row],[Verb]]="block",1,IF(OR(Log[[#This Row],[Verb]]="unblock",Log[[#This Row],[Verb]]="done",Log[[#This Row],[Verb]]="drop",Log[[#This Row],[Verb]]="punt",Log[[#This Row],[Verb]]="pass"),0,""))</f>
      </c>
      <c r="K272" s="17">
        <f>IF(Log[[#This Row],[ID]]="",0,IFERROR(INDEX(Items[Pts],MATCH(Log[[#This Row],[ID]],Items[ID],0))*1,0))</f>
      </c>
      <c r="L272" s="17">
        <f>IF(Log[[#This Row],[ID]]="","",IFERROR(INDEX(Items[Cur team],MATCH(Log[[#This Row],[ID]],Items[ID],0))&amp;"",""))</f>
      </c>
      <c r="M272" s="17">
        <f>IF(OR(Log[[#This Row],[Verb]]="done",Log[[#This Row],[Verb]]="punt",Log[[#This Row],[Verb]]="drop",Log[[#This Row],[Verb]]="pass"),Log[[#This Row],[Pts]],0)</f>
      </c>
    </row>
    <row r="273">
      <c r="A273" s="11">
        <v>46104</v>
      </c>
      <c r="B273" t="s">
        <v>264</v>
      </c>
      <c r="C273" t="s">
        <v>41</v>
      </c>
      <c r="F273" s="17">
        <f>IF(Log[[#This Row],[ID]]="","",IF(ISNA(MATCH(Log[[#This Row],[ID]],Items[ID],0)),"unknown ID",IF(ISNA(MATCH(Log[[#This Row],[Verb]],VerbList,0)),"unknown verb",IF(Log[[#This Row],[Date]]="","no date",""))))</f>
      </c>
      <c r="G273" s="17">
        <f>IF(Log[[#This Row],[ID]]="","",IFERROR(VLOOKUP(Log[[#This Row],[Verb]],Verbs,3,FALSE)&amp;"",""))</f>
      </c>
      <c r="H273" s="17">
        <f>IF(Log[[#This Row],[Date]]="","",INT((Log[[#This Row],[Date]]-Sprint1)/SprintDays)+1)</f>
      </c>
      <c r="I273" s="17">
        <f>IF(OR(Log[[#This Row],[Verb]]="commit",Log[[#This Row],[Verb]]="carry",Log[[#This Row],[Verb]]="redo"),IF(Log[[#This Row],[Arg]]="",Log[[#This Row],[Sprint]],N(Log[[#This Row],[Arg]])),"")</f>
      </c>
      <c r="J273" s="17">
        <f>IF(Log[[#This Row],[Verb]]="block",1,IF(OR(Log[[#This Row],[Verb]]="unblock",Log[[#This Row],[Verb]]="done",Log[[#This Row],[Verb]]="drop",Log[[#This Row],[Verb]]="punt",Log[[#This Row],[Verb]]="pass"),0,""))</f>
      </c>
      <c r="K273" s="17">
        <f>IF(Log[[#This Row],[ID]]="",0,IFERROR(INDEX(Items[Pts],MATCH(Log[[#This Row],[ID]],Items[ID],0))*1,0))</f>
      </c>
      <c r="L273" s="17">
        <f>IF(Log[[#This Row],[ID]]="","",IFERROR(INDEX(Items[Cur team],MATCH(Log[[#This Row],[ID]],Items[ID],0))&amp;"",""))</f>
      </c>
      <c r="M273" s="17">
        <f>IF(OR(Log[[#This Row],[Verb]]="done",Log[[#This Row],[Verb]]="punt",Log[[#This Row],[Verb]]="drop",Log[[#This Row],[Verb]]="pass"),Log[[#This Row],[Pts]],0)</f>
      </c>
    </row>
    <row r="274">
      <c r="A274" s="11">
        <v>46104</v>
      </c>
      <c r="B274" t="s">
        <v>265</v>
      </c>
      <c r="C274" t="s">
        <v>41</v>
      </c>
      <c r="F274" s="17">
        <f>IF(Log[[#This Row],[ID]]="","",IF(ISNA(MATCH(Log[[#This Row],[ID]],Items[ID],0)),"unknown ID",IF(ISNA(MATCH(Log[[#This Row],[Verb]],VerbList,0)),"unknown verb",IF(Log[[#This Row],[Date]]="","no date",""))))</f>
      </c>
      <c r="G274" s="17">
        <f>IF(Log[[#This Row],[ID]]="","",IFERROR(VLOOKUP(Log[[#This Row],[Verb]],Verbs,3,FALSE)&amp;"",""))</f>
      </c>
      <c r="H274" s="17">
        <f>IF(Log[[#This Row],[Date]]="","",INT((Log[[#This Row],[Date]]-Sprint1)/SprintDays)+1)</f>
      </c>
      <c r="I274" s="17">
        <f>IF(OR(Log[[#This Row],[Verb]]="commit",Log[[#This Row],[Verb]]="carry",Log[[#This Row],[Verb]]="redo"),IF(Log[[#This Row],[Arg]]="",Log[[#This Row],[Sprint]],N(Log[[#This Row],[Arg]])),"")</f>
      </c>
      <c r="J274" s="17">
        <f>IF(Log[[#This Row],[Verb]]="block",1,IF(OR(Log[[#This Row],[Verb]]="unblock",Log[[#This Row],[Verb]]="done",Log[[#This Row],[Verb]]="drop",Log[[#This Row],[Verb]]="punt",Log[[#This Row],[Verb]]="pass"),0,""))</f>
      </c>
      <c r="K274" s="17">
        <f>IF(Log[[#This Row],[ID]]="",0,IFERROR(INDEX(Items[Pts],MATCH(Log[[#This Row],[ID]],Items[ID],0))*1,0))</f>
      </c>
      <c r="L274" s="17">
        <f>IF(Log[[#This Row],[ID]]="","",IFERROR(INDEX(Items[Cur team],MATCH(Log[[#This Row],[ID]],Items[ID],0))&amp;"",""))</f>
      </c>
      <c r="M274" s="17">
        <f>IF(OR(Log[[#This Row],[Verb]]="done",Log[[#This Row],[Verb]]="punt",Log[[#This Row],[Verb]]="drop",Log[[#This Row],[Verb]]="pass"),Log[[#This Row],[Pts]],0)</f>
      </c>
    </row>
    <row r="275">
      <c r="A275" s="11">
        <v>46104</v>
      </c>
      <c r="B275" t="s">
        <v>266</v>
      </c>
      <c r="C275" t="s">
        <v>41</v>
      </c>
      <c r="F275" s="17">
        <f>IF(Log[[#This Row],[ID]]="","",IF(ISNA(MATCH(Log[[#This Row],[ID]],Items[ID],0)),"unknown ID",IF(ISNA(MATCH(Log[[#This Row],[Verb]],VerbList,0)),"unknown verb",IF(Log[[#This Row],[Date]]="","no date",""))))</f>
      </c>
      <c r="G275" s="17">
        <f>IF(Log[[#This Row],[ID]]="","",IFERROR(VLOOKUP(Log[[#This Row],[Verb]],Verbs,3,FALSE)&amp;"",""))</f>
      </c>
      <c r="H275" s="17">
        <f>IF(Log[[#This Row],[Date]]="","",INT((Log[[#This Row],[Date]]-Sprint1)/SprintDays)+1)</f>
      </c>
      <c r="I275" s="17">
        <f>IF(OR(Log[[#This Row],[Verb]]="commit",Log[[#This Row],[Verb]]="carry",Log[[#This Row],[Verb]]="redo"),IF(Log[[#This Row],[Arg]]="",Log[[#This Row],[Sprint]],N(Log[[#This Row],[Arg]])),"")</f>
      </c>
      <c r="J275" s="17">
        <f>IF(Log[[#This Row],[Verb]]="block",1,IF(OR(Log[[#This Row],[Verb]]="unblock",Log[[#This Row],[Verb]]="done",Log[[#This Row],[Verb]]="drop",Log[[#This Row],[Verb]]="punt",Log[[#This Row],[Verb]]="pass"),0,""))</f>
      </c>
      <c r="K275" s="17">
        <f>IF(Log[[#This Row],[ID]]="",0,IFERROR(INDEX(Items[Pts],MATCH(Log[[#This Row],[ID]],Items[ID],0))*1,0))</f>
      </c>
      <c r="L275" s="17">
        <f>IF(Log[[#This Row],[ID]]="","",IFERROR(INDEX(Items[Cur team],MATCH(Log[[#This Row],[ID]],Items[ID],0))&amp;"",""))</f>
      </c>
      <c r="M275" s="17">
        <f>IF(OR(Log[[#This Row],[Verb]]="done",Log[[#This Row],[Verb]]="punt",Log[[#This Row],[Verb]]="drop",Log[[#This Row],[Verb]]="pass"),Log[[#This Row],[Pts]],0)</f>
      </c>
    </row>
    <row r="276">
      <c r="A276" s="11">
        <v>46104</v>
      </c>
      <c r="B276" t="s">
        <v>267</v>
      </c>
      <c r="C276" t="s">
        <v>41</v>
      </c>
      <c r="F276" s="17">
        <f>IF(Log[[#This Row],[ID]]="","",IF(ISNA(MATCH(Log[[#This Row],[ID]],Items[ID],0)),"unknown ID",IF(ISNA(MATCH(Log[[#This Row],[Verb]],VerbList,0)),"unknown verb",IF(Log[[#This Row],[Date]]="","no date",""))))</f>
      </c>
      <c r="G276" s="17">
        <f>IF(Log[[#This Row],[ID]]="","",IFERROR(VLOOKUP(Log[[#This Row],[Verb]],Verbs,3,FALSE)&amp;"",""))</f>
      </c>
      <c r="H276" s="17">
        <f>IF(Log[[#This Row],[Date]]="","",INT((Log[[#This Row],[Date]]-Sprint1)/SprintDays)+1)</f>
      </c>
      <c r="I276" s="17">
        <f>IF(OR(Log[[#This Row],[Verb]]="commit",Log[[#This Row],[Verb]]="carry",Log[[#This Row],[Verb]]="redo"),IF(Log[[#This Row],[Arg]]="",Log[[#This Row],[Sprint]],N(Log[[#This Row],[Arg]])),"")</f>
      </c>
      <c r="J276" s="17">
        <f>IF(Log[[#This Row],[Verb]]="block",1,IF(OR(Log[[#This Row],[Verb]]="unblock",Log[[#This Row],[Verb]]="done",Log[[#This Row],[Verb]]="drop",Log[[#This Row],[Verb]]="punt",Log[[#This Row],[Verb]]="pass"),0,""))</f>
      </c>
      <c r="K276" s="17">
        <f>IF(Log[[#This Row],[ID]]="",0,IFERROR(INDEX(Items[Pts],MATCH(Log[[#This Row],[ID]],Items[ID],0))*1,0))</f>
      </c>
      <c r="L276" s="17">
        <f>IF(Log[[#This Row],[ID]]="","",IFERROR(INDEX(Items[Cur team],MATCH(Log[[#This Row],[ID]],Items[ID],0))&amp;"",""))</f>
      </c>
      <c r="M276" s="17">
        <f>IF(OR(Log[[#This Row],[Verb]]="done",Log[[#This Row],[Verb]]="punt",Log[[#This Row],[Verb]]="drop",Log[[#This Row],[Verb]]="pass"),Log[[#This Row],[Pts]],0)</f>
      </c>
    </row>
    <row r="277">
      <c r="A277" s="11">
        <v>46104</v>
      </c>
      <c r="B277" t="s">
        <v>268</v>
      </c>
      <c r="C277" t="s">
        <v>41</v>
      </c>
      <c r="F277" s="17">
        <f>IF(Log[[#This Row],[ID]]="","",IF(ISNA(MATCH(Log[[#This Row],[ID]],Items[ID],0)),"unknown ID",IF(ISNA(MATCH(Log[[#This Row],[Verb]],VerbList,0)),"unknown verb",IF(Log[[#This Row],[Date]]="","no date",""))))</f>
      </c>
      <c r="G277" s="17">
        <f>IF(Log[[#This Row],[ID]]="","",IFERROR(VLOOKUP(Log[[#This Row],[Verb]],Verbs,3,FALSE)&amp;"",""))</f>
      </c>
      <c r="H277" s="17">
        <f>IF(Log[[#This Row],[Date]]="","",INT((Log[[#This Row],[Date]]-Sprint1)/SprintDays)+1)</f>
      </c>
      <c r="I277" s="17">
        <f>IF(OR(Log[[#This Row],[Verb]]="commit",Log[[#This Row],[Verb]]="carry",Log[[#This Row],[Verb]]="redo"),IF(Log[[#This Row],[Arg]]="",Log[[#This Row],[Sprint]],N(Log[[#This Row],[Arg]])),"")</f>
      </c>
      <c r="J277" s="17">
        <f>IF(Log[[#This Row],[Verb]]="block",1,IF(OR(Log[[#This Row],[Verb]]="unblock",Log[[#This Row],[Verb]]="done",Log[[#This Row],[Verb]]="drop",Log[[#This Row],[Verb]]="punt",Log[[#This Row],[Verb]]="pass"),0,""))</f>
      </c>
      <c r="K277" s="17">
        <f>IF(Log[[#This Row],[ID]]="",0,IFERROR(INDEX(Items[Pts],MATCH(Log[[#This Row],[ID]],Items[ID],0))*1,0))</f>
      </c>
      <c r="L277" s="17">
        <f>IF(Log[[#This Row],[ID]]="","",IFERROR(INDEX(Items[Cur team],MATCH(Log[[#This Row],[ID]],Items[ID],0))&amp;"",""))</f>
      </c>
      <c r="M277" s="17">
        <f>IF(OR(Log[[#This Row],[Verb]]="done",Log[[#This Row],[Verb]]="punt",Log[[#This Row],[Verb]]="drop",Log[[#This Row],[Verb]]="pass"),Log[[#This Row],[Pts]],0)</f>
      </c>
    </row>
    <row r="278">
      <c r="A278" s="11">
        <v>46104</v>
      </c>
      <c r="B278" t="s">
        <v>269</v>
      </c>
      <c r="C278" t="s">
        <v>41</v>
      </c>
      <c r="F278" s="17">
        <f>IF(Log[[#This Row],[ID]]="","",IF(ISNA(MATCH(Log[[#This Row],[ID]],Items[ID],0)),"unknown ID",IF(ISNA(MATCH(Log[[#This Row],[Verb]],VerbList,0)),"unknown verb",IF(Log[[#This Row],[Date]]="","no date",""))))</f>
      </c>
      <c r="G278" s="17">
        <f>IF(Log[[#This Row],[ID]]="","",IFERROR(VLOOKUP(Log[[#This Row],[Verb]],Verbs,3,FALSE)&amp;"",""))</f>
      </c>
      <c r="H278" s="17">
        <f>IF(Log[[#This Row],[Date]]="","",INT((Log[[#This Row],[Date]]-Sprint1)/SprintDays)+1)</f>
      </c>
      <c r="I278" s="17">
        <f>IF(OR(Log[[#This Row],[Verb]]="commit",Log[[#This Row],[Verb]]="carry",Log[[#This Row],[Verb]]="redo"),IF(Log[[#This Row],[Arg]]="",Log[[#This Row],[Sprint]],N(Log[[#This Row],[Arg]])),"")</f>
      </c>
      <c r="J278" s="17">
        <f>IF(Log[[#This Row],[Verb]]="block",1,IF(OR(Log[[#This Row],[Verb]]="unblock",Log[[#This Row],[Verb]]="done",Log[[#This Row],[Verb]]="drop",Log[[#This Row],[Verb]]="punt",Log[[#This Row],[Verb]]="pass"),0,""))</f>
      </c>
      <c r="K278" s="17">
        <f>IF(Log[[#This Row],[ID]]="",0,IFERROR(INDEX(Items[Pts],MATCH(Log[[#This Row],[ID]],Items[ID],0))*1,0))</f>
      </c>
      <c r="L278" s="17">
        <f>IF(Log[[#This Row],[ID]]="","",IFERROR(INDEX(Items[Cur team],MATCH(Log[[#This Row],[ID]],Items[ID],0))&amp;"",""))</f>
      </c>
      <c r="M278" s="17">
        <f>IF(OR(Log[[#This Row],[Verb]]="done",Log[[#This Row],[Verb]]="punt",Log[[#This Row],[Verb]]="drop",Log[[#This Row],[Verb]]="pass"),Log[[#This Row],[Pts]],0)</f>
      </c>
    </row>
    <row r="279">
      <c r="A279" s="11">
        <v>46104</v>
      </c>
      <c r="B279" t="s">
        <v>270</v>
      </c>
      <c r="C279" t="s">
        <v>41</v>
      </c>
      <c r="F279" s="17">
        <f>IF(Log[[#This Row],[ID]]="","",IF(ISNA(MATCH(Log[[#This Row],[ID]],Items[ID],0)),"unknown ID",IF(ISNA(MATCH(Log[[#This Row],[Verb]],VerbList,0)),"unknown verb",IF(Log[[#This Row],[Date]]="","no date",""))))</f>
      </c>
      <c r="G279" s="17">
        <f>IF(Log[[#This Row],[ID]]="","",IFERROR(VLOOKUP(Log[[#This Row],[Verb]],Verbs,3,FALSE)&amp;"",""))</f>
      </c>
      <c r="H279" s="17">
        <f>IF(Log[[#This Row],[Date]]="","",INT((Log[[#This Row],[Date]]-Sprint1)/SprintDays)+1)</f>
      </c>
      <c r="I279" s="17">
        <f>IF(OR(Log[[#This Row],[Verb]]="commit",Log[[#This Row],[Verb]]="carry",Log[[#This Row],[Verb]]="redo"),IF(Log[[#This Row],[Arg]]="",Log[[#This Row],[Sprint]],N(Log[[#This Row],[Arg]])),"")</f>
      </c>
      <c r="J279" s="17">
        <f>IF(Log[[#This Row],[Verb]]="block",1,IF(OR(Log[[#This Row],[Verb]]="unblock",Log[[#This Row],[Verb]]="done",Log[[#This Row],[Verb]]="drop",Log[[#This Row],[Verb]]="punt",Log[[#This Row],[Verb]]="pass"),0,""))</f>
      </c>
      <c r="K279" s="17">
        <f>IF(Log[[#This Row],[ID]]="",0,IFERROR(INDEX(Items[Pts],MATCH(Log[[#This Row],[ID]],Items[ID],0))*1,0))</f>
      </c>
      <c r="L279" s="17">
        <f>IF(Log[[#This Row],[ID]]="","",IFERROR(INDEX(Items[Cur team],MATCH(Log[[#This Row],[ID]],Items[ID],0))&amp;"",""))</f>
      </c>
      <c r="M279" s="17">
        <f>IF(OR(Log[[#This Row],[Verb]]="done",Log[[#This Row],[Verb]]="punt",Log[[#This Row],[Verb]]="drop",Log[[#This Row],[Verb]]="pass"),Log[[#This Row],[Pts]],0)</f>
      </c>
    </row>
    <row r="280">
      <c r="A280" s="11">
        <v>46104</v>
      </c>
      <c r="B280" t="s">
        <v>271</v>
      </c>
      <c r="C280" t="s">
        <v>41</v>
      </c>
      <c r="F280" s="17">
        <f>IF(Log[[#This Row],[ID]]="","",IF(ISNA(MATCH(Log[[#This Row],[ID]],Items[ID],0)),"unknown ID",IF(ISNA(MATCH(Log[[#This Row],[Verb]],VerbList,0)),"unknown verb",IF(Log[[#This Row],[Date]]="","no date",""))))</f>
      </c>
      <c r="G280" s="17">
        <f>IF(Log[[#This Row],[ID]]="","",IFERROR(VLOOKUP(Log[[#This Row],[Verb]],Verbs,3,FALSE)&amp;"",""))</f>
      </c>
      <c r="H280" s="17">
        <f>IF(Log[[#This Row],[Date]]="","",INT((Log[[#This Row],[Date]]-Sprint1)/SprintDays)+1)</f>
      </c>
      <c r="I280" s="17">
        <f>IF(OR(Log[[#This Row],[Verb]]="commit",Log[[#This Row],[Verb]]="carry",Log[[#This Row],[Verb]]="redo"),IF(Log[[#This Row],[Arg]]="",Log[[#This Row],[Sprint]],N(Log[[#This Row],[Arg]])),"")</f>
      </c>
      <c r="J280" s="17">
        <f>IF(Log[[#This Row],[Verb]]="block",1,IF(OR(Log[[#This Row],[Verb]]="unblock",Log[[#This Row],[Verb]]="done",Log[[#This Row],[Verb]]="drop",Log[[#This Row],[Verb]]="punt",Log[[#This Row],[Verb]]="pass"),0,""))</f>
      </c>
      <c r="K280" s="17">
        <f>IF(Log[[#This Row],[ID]]="",0,IFERROR(INDEX(Items[Pts],MATCH(Log[[#This Row],[ID]],Items[ID],0))*1,0))</f>
      </c>
      <c r="L280" s="17">
        <f>IF(Log[[#This Row],[ID]]="","",IFERROR(INDEX(Items[Cur team],MATCH(Log[[#This Row],[ID]],Items[ID],0))&amp;"",""))</f>
      </c>
      <c r="M280" s="17">
        <f>IF(OR(Log[[#This Row],[Verb]]="done",Log[[#This Row],[Verb]]="punt",Log[[#This Row],[Verb]]="drop",Log[[#This Row],[Verb]]="pass"),Log[[#This Row],[Pts]],0)</f>
      </c>
    </row>
    <row r="281">
      <c r="A281" s="11">
        <v>46104</v>
      </c>
      <c r="B281" t="s">
        <v>272</v>
      </c>
      <c r="C281" t="s">
        <v>38</v>
      </c>
      <c r="D281">
        <v>40</v>
      </c>
      <c r="F281" s="17">
        <f>IF(Log[[#This Row],[ID]]="","",IF(ISNA(MATCH(Log[[#This Row],[ID]],Items[ID],0)),"unknown ID",IF(ISNA(MATCH(Log[[#This Row],[Verb]],VerbList,0)),"unknown verb",IF(Log[[#This Row],[Date]]="","no date",""))))</f>
      </c>
      <c r="G281" s="17">
        <f>IF(Log[[#This Row],[ID]]="","",IFERROR(VLOOKUP(Log[[#This Row],[Verb]],Verbs,3,FALSE)&amp;"",""))</f>
      </c>
      <c r="H281" s="17">
        <f>IF(Log[[#This Row],[Date]]="","",INT((Log[[#This Row],[Date]]-Sprint1)/SprintDays)+1)</f>
      </c>
      <c r="I281" s="17">
        <f>IF(OR(Log[[#This Row],[Verb]]="commit",Log[[#This Row],[Verb]]="carry",Log[[#This Row],[Verb]]="redo"),IF(Log[[#This Row],[Arg]]="",Log[[#This Row],[Sprint]],N(Log[[#This Row],[Arg]])),"")</f>
      </c>
      <c r="J281" s="17">
        <f>IF(Log[[#This Row],[Verb]]="block",1,IF(OR(Log[[#This Row],[Verb]]="unblock",Log[[#This Row],[Verb]]="done",Log[[#This Row],[Verb]]="drop",Log[[#This Row],[Verb]]="punt",Log[[#This Row],[Verb]]="pass"),0,""))</f>
      </c>
      <c r="K281" s="17">
        <f>IF(Log[[#This Row],[ID]]="",0,IFERROR(INDEX(Items[Pts],MATCH(Log[[#This Row],[ID]],Items[ID],0))*1,0))</f>
      </c>
      <c r="L281" s="17">
        <f>IF(Log[[#This Row],[ID]]="","",IFERROR(INDEX(Items[Cur team],MATCH(Log[[#This Row],[ID]],Items[ID],0))&amp;"",""))</f>
      </c>
      <c r="M281" s="17">
        <f>IF(OR(Log[[#This Row],[Verb]]="done",Log[[#This Row],[Verb]]="punt",Log[[#This Row],[Verb]]="drop",Log[[#This Row],[Verb]]="pass"),Log[[#This Row],[Pts]],0)</f>
      </c>
    </row>
    <row r="282">
      <c r="A282" s="11">
        <v>46104</v>
      </c>
      <c r="B282" t="s">
        <v>273</v>
      </c>
      <c r="C282" t="s">
        <v>41</v>
      </c>
      <c r="F282" s="17">
        <f>IF(Log[[#This Row],[ID]]="","",IF(ISNA(MATCH(Log[[#This Row],[ID]],Items[ID],0)),"unknown ID",IF(ISNA(MATCH(Log[[#This Row],[Verb]],VerbList,0)),"unknown verb",IF(Log[[#This Row],[Date]]="","no date",""))))</f>
      </c>
      <c r="G282" s="17">
        <f>IF(Log[[#This Row],[ID]]="","",IFERROR(VLOOKUP(Log[[#This Row],[Verb]],Verbs,3,FALSE)&amp;"",""))</f>
      </c>
      <c r="H282" s="17">
        <f>IF(Log[[#This Row],[Date]]="","",INT((Log[[#This Row],[Date]]-Sprint1)/SprintDays)+1)</f>
      </c>
      <c r="I282" s="17">
        <f>IF(OR(Log[[#This Row],[Verb]]="commit",Log[[#This Row],[Verb]]="carry",Log[[#This Row],[Verb]]="redo"),IF(Log[[#This Row],[Arg]]="",Log[[#This Row],[Sprint]],N(Log[[#This Row],[Arg]])),"")</f>
      </c>
      <c r="J282" s="17">
        <f>IF(Log[[#This Row],[Verb]]="block",1,IF(OR(Log[[#This Row],[Verb]]="unblock",Log[[#This Row],[Verb]]="done",Log[[#This Row],[Verb]]="drop",Log[[#This Row],[Verb]]="punt",Log[[#This Row],[Verb]]="pass"),0,""))</f>
      </c>
      <c r="K282" s="17">
        <f>IF(Log[[#This Row],[ID]]="",0,IFERROR(INDEX(Items[Pts],MATCH(Log[[#This Row],[ID]],Items[ID],0))*1,0))</f>
      </c>
      <c r="L282" s="17">
        <f>IF(Log[[#This Row],[ID]]="","",IFERROR(INDEX(Items[Cur team],MATCH(Log[[#This Row],[ID]],Items[ID],0))&amp;"",""))</f>
      </c>
      <c r="M282" s="17">
        <f>IF(OR(Log[[#This Row],[Verb]]="done",Log[[#This Row],[Verb]]="punt",Log[[#This Row],[Verb]]="drop",Log[[#This Row],[Verb]]="pass"),Log[[#This Row],[Pts]],0)</f>
      </c>
    </row>
    <row r="283">
      <c r="A283" s="11">
        <v>46104</v>
      </c>
      <c r="B283" t="s">
        <v>274</v>
      </c>
      <c r="C283" t="s">
        <v>41</v>
      </c>
      <c r="F283" s="17">
        <f>IF(Log[[#This Row],[ID]]="","",IF(ISNA(MATCH(Log[[#This Row],[ID]],Items[ID],0)),"unknown ID",IF(ISNA(MATCH(Log[[#This Row],[Verb]],VerbList,0)),"unknown verb",IF(Log[[#This Row],[Date]]="","no date",""))))</f>
      </c>
      <c r="G283" s="17">
        <f>IF(Log[[#This Row],[ID]]="","",IFERROR(VLOOKUP(Log[[#This Row],[Verb]],Verbs,3,FALSE)&amp;"",""))</f>
      </c>
      <c r="H283" s="17">
        <f>IF(Log[[#This Row],[Date]]="","",INT((Log[[#This Row],[Date]]-Sprint1)/SprintDays)+1)</f>
      </c>
      <c r="I283" s="17">
        <f>IF(OR(Log[[#This Row],[Verb]]="commit",Log[[#This Row],[Verb]]="carry",Log[[#This Row],[Verb]]="redo"),IF(Log[[#This Row],[Arg]]="",Log[[#This Row],[Sprint]],N(Log[[#This Row],[Arg]])),"")</f>
      </c>
      <c r="J283" s="17">
        <f>IF(Log[[#This Row],[Verb]]="block",1,IF(OR(Log[[#This Row],[Verb]]="unblock",Log[[#This Row],[Verb]]="done",Log[[#This Row],[Verb]]="drop",Log[[#This Row],[Verb]]="punt",Log[[#This Row],[Verb]]="pass"),0,""))</f>
      </c>
      <c r="K283" s="17">
        <f>IF(Log[[#This Row],[ID]]="",0,IFERROR(INDEX(Items[Pts],MATCH(Log[[#This Row],[ID]],Items[ID],0))*1,0))</f>
      </c>
      <c r="L283" s="17">
        <f>IF(Log[[#This Row],[ID]]="","",IFERROR(INDEX(Items[Cur team],MATCH(Log[[#This Row],[ID]],Items[ID],0))&amp;"",""))</f>
      </c>
      <c r="M283" s="17">
        <f>IF(OR(Log[[#This Row],[Verb]]="done",Log[[#This Row],[Verb]]="punt",Log[[#This Row],[Verb]]="drop",Log[[#This Row],[Verb]]="pass"),Log[[#This Row],[Pts]],0)</f>
      </c>
    </row>
    <row r="284">
      <c r="A284" s="11">
        <v>46104</v>
      </c>
      <c r="B284" t="s">
        <v>275</v>
      </c>
      <c r="C284" t="s">
        <v>41</v>
      </c>
      <c r="F284" s="17">
        <f>IF(Log[[#This Row],[ID]]="","",IF(ISNA(MATCH(Log[[#This Row],[ID]],Items[ID],0)),"unknown ID",IF(ISNA(MATCH(Log[[#This Row],[Verb]],VerbList,0)),"unknown verb",IF(Log[[#This Row],[Date]]="","no date",""))))</f>
      </c>
      <c r="G284" s="17">
        <f>IF(Log[[#This Row],[ID]]="","",IFERROR(VLOOKUP(Log[[#This Row],[Verb]],Verbs,3,FALSE)&amp;"",""))</f>
      </c>
      <c r="H284" s="17">
        <f>IF(Log[[#This Row],[Date]]="","",INT((Log[[#This Row],[Date]]-Sprint1)/SprintDays)+1)</f>
      </c>
      <c r="I284" s="17">
        <f>IF(OR(Log[[#This Row],[Verb]]="commit",Log[[#This Row],[Verb]]="carry",Log[[#This Row],[Verb]]="redo"),IF(Log[[#This Row],[Arg]]="",Log[[#This Row],[Sprint]],N(Log[[#This Row],[Arg]])),"")</f>
      </c>
      <c r="J284" s="17">
        <f>IF(Log[[#This Row],[Verb]]="block",1,IF(OR(Log[[#This Row],[Verb]]="unblock",Log[[#This Row],[Verb]]="done",Log[[#This Row],[Verb]]="drop",Log[[#This Row],[Verb]]="punt",Log[[#This Row],[Verb]]="pass"),0,""))</f>
      </c>
      <c r="K284" s="17">
        <f>IF(Log[[#This Row],[ID]]="",0,IFERROR(INDEX(Items[Pts],MATCH(Log[[#This Row],[ID]],Items[ID],0))*1,0))</f>
      </c>
      <c r="L284" s="17">
        <f>IF(Log[[#This Row],[ID]]="","",IFERROR(INDEX(Items[Cur team],MATCH(Log[[#This Row],[ID]],Items[ID],0))&amp;"",""))</f>
      </c>
      <c r="M284" s="17">
        <f>IF(OR(Log[[#This Row],[Verb]]="done",Log[[#This Row],[Verb]]="punt",Log[[#This Row],[Verb]]="drop",Log[[#This Row],[Verb]]="pass"),Log[[#This Row],[Pts]],0)</f>
      </c>
    </row>
    <row r="285">
      <c r="A285" s="11">
        <v>46104</v>
      </c>
      <c r="B285" t="s">
        <v>276</v>
      </c>
      <c r="C285" t="s">
        <v>41</v>
      </c>
      <c r="F285" s="17">
        <f>IF(Log[[#This Row],[ID]]="","",IF(ISNA(MATCH(Log[[#This Row],[ID]],Items[ID],0)),"unknown ID",IF(ISNA(MATCH(Log[[#This Row],[Verb]],VerbList,0)),"unknown verb",IF(Log[[#This Row],[Date]]="","no date",""))))</f>
      </c>
      <c r="G285" s="17">
        <f>IF(Log[[#This Row],[ID]]="","",IFERROR(VLOOKUP(Log[[#This Row],[Verb]],Verbs,3,FALSE)&amp;"",""))</f>
      </c>
      <c r="H285" s="17">
        <f>IF(Log[[#This Row],[Date]]="","",INT((Log[[#This Row],[Date]]-Sprint1)/SprintDays)+1)</f>
      </c>
      <c r="I285" s="17">
        <f>IF(OR(Log[[#This Row],[Verb]]="commit",Log[[#This Row],[Verb]]="carry",Log[[#This Row],[Verb]]="redo"),IF(Log[[#This Row],[Arg]]="",Log[[#This Row],[Sprint]],N(Log[[#This Row],[Arg]])),"")</f>
      </c>
      <c r="J285" s="17">
        <f>IF(Log[[#This Row],[Verb]]="block",1,IF(OR(Log[[#This Row],[Verb]]="unblock",Log[[#This Row],[Verb]]="done",Log[[#This Row],[Verb]]="drop",Log[[#This Row],[Verb]]="punt",Log[[#This Row],[Verb]]="pass"),0,""))</f>
      </c>
      <c r="K285" s="17">
        <f>IF(Log[[#This Row],[ID]]="",0,IFERROR(INDEX(Items[Pts],MATCH(Log[[#This Row],[ID]],Items[ID],0))*1,0))</f>
      </c>
      <c r="L285" s="17">
        <f>IF(Log[[#This Row],[ID]]="","",IFERROR(INDEX(Items[Cur team],MATCH(Log[[#This Row],[ID]],Items[ID],0))&amp;"",""))</f>
      </c>
      <c r="M285" s="17">
        <f>IF(OR(Log[[#This Row],[Verb]]="done",Log[[#This Row],[Verb]]="punt",Log[[#This Row],[Verb]]="drop",Log[[#This Row],[Verb]]="pass"),Log[[#This Row],[Pts]],0)</f>
      </c>
    </row>
    <row r="286">
      <c r="A286" s="11">
        <v>46104</v>
      </c>
      <c r="B286" t="s">
        <v>178</v>
      </c>
      <c r="C286" t="s">
        <v>41</v>
      </c>
      <c r="F286" s="17">
        <f>IF(Log[[#This Row],[ID]]="","",IF(ISNA(MATCH(Log[[#This Row],[ID]],Items[ID],0)),"unknown ID",IF(ISNA(MATCH(Log[[#This Row],[Verb]],VerbList,0)),"unknown verb",IF(Log[[#This Row],[Date]]="","no date",""))))</f>
      </c>
      <c r="G286" s="17">
        <f>IF(Log[[#This Row],[ID]]="","",IFERROR(VLOOKUP(Log[[#This Row],[Verb]],Verbs,3,FALSE)&amp;"",""))</f>
      </c>
      <c r="H286" s="17">
        <f>IF(Log[[#This Row],[Date]]="","",INT((Log[[#This Row],[Date]]-Sprint1)/SprintDays)+1)</f>
      </c>
      <c r="I286" s="17">
        <f>IF(OR(Log[[#This Row],[Verb]]="commit",Log[[#This Row],[Verb]]="carry",Log[[#This Row],[Verb]]="redo"),IF(Log[[#This Row],[Arg]]="",Log[[#This Row],[Sprint]],N(Log[[#This Row],[Arg]])),"")</f>
      </c>
      <c r="J286" s="17">
        <f>IF(Log[[#This Row],[Verb]]="block",1,IF(OR(Log[[#This Row],[Verb]]="unblock",Log[[#This Row],[Verb]]="done",Log[[#This Row],[Verb]]="drop",Log[[#This Row],[Verb]]="punt",Log[[#This Row],[Verb]]="pass"),0,""))</f>
      </c>
      <c r="K286" s="17">
        <f>IF(Log[[#This Row],[ID]]="",0,IFERROR(INDEX(Items[Pts],MATCH(Log[[#This Row],[ID]],Items[ID],0))*1,0))</f>
      </c>
      <c r="L286" s="17">
        <f>IF(Log[[#This Row],[ID]]="","",IFERROR(INDEX(Items[Cur team],MATCH(Log[[#This Row],[ID]],Items[ID],0))&amp;"",""))</f>
      </c>
      <c r="M286" s="17">
        <f>IF(OR(Log[[#This Row],[Verb]]="done",Log[[#This Row],[Verb]]="punt",Log[[#This Row],[Verb]]="drop",Log[[#This Row],[Verb]]="pass"),Log[[#This Row],[Pts]],0)</f>
      </c>
    </row>
    <row r="287">
      <c r="A287" s="11">
        <v>46104</v>
      </c>
      <c r="B287" t="s">
        <v>214</v>
      </c>
      <c r="C287" t="s">
        <v>41</v>
      </c>
      <c r="F287" s="17">
        <f>IF(Log[[#This Row],[ID]]="","",IF(ISNA(MATCH(Log[[#This Row],[ID]],Items[ID],0)),"unknown ID",IF(ISNA(MATCH(Log[[#This Row],[Verb]],VerbList,0)),"unknown verb",IF(Log[[#This Row],[Date]]="","no date",""))))</f>
      </c>
      <c r="G287" s="17">
        <f>IF(Log[[#This Row],[ID]]="","",IFERROR(VLOOKUP(Log[[#This Row],[Verb]],Verbs,3,FALSE)&amp;"",""))</f>
      </c>
      <c r="H287" s="17">
        <f>IF(Log[[#This Row],[Date]]="","",INT((Log[[#This Row],[Date]]-Sprint1)/SprintDays)+1)</f>
      </c>
      <c r="I287" s="17">
        <f>IF(OR(Log[[#This Row],[Verb]]="commit",Log[[#This Row],[Verb]]="carry",Log[[#This Row],[Verb]]="redo"),IF(Log[[#This Row],[Arg]]="",Log[[#This Row],[Sprint]],N(Log[[#This Row],[Arg]])),"")</f>
      </c>
      <c r="J287" s="17">
        <f>IF(Log[[#This Row],[Verb]]="block",1,IF(OR(Log[[#This Row],[Verb]]="unblock",Log[[#This Row],[Verb]]="done",Log[[#This Row],[Verb]]="drop",Log[[#This Row],[Verb]]="punt",Log[[#This Row],[Verb]]="pass"),0,""))</f>
      </c>
      <c r="K287" s="17">
        <f>IF(Log[[#This Row],[ID]]="",0,IFERROR(INDEX(Items[Pts],MATCH(Log[[#This Row],[ID]],Items[ID],0))*1,0))</f>
      </c>
      <c r="L287" s="17">
        <f>IF(Log[[#This Row],[ID]]="","",IFERROR(INDEX(Items[Cur team],MATCH(Log[[#This Row],[ID]],Items[ID],0))&amp;"",""))</f>
      </c>
      <c r="M287" s="17">
        <f>IF(OR(Log[[#This Row],[Verb]]="done",Log[[#This Row],[Verb]]="punt",Log[[#This Row],[Verb]]="drop",Log[[#This Row],[Verb]]="pass"),Log[[#This Row],[Pts]],0)</f>
      </c>
    </row>
    <row r="288">
      <c r="A288" s="11">
        <v>46104</v>
      </c>
      <c r="B288" t="s">
        <v>215</v>
      </c>
      <c r="C288" t="s">
        <v>41</v>
      </c>
      <c r="F288" s="17">
        <f>IF(Log[[#This Row],[ID]]="","",IF(ISNA(MATCH(Log[[#This Row],[ID]],Items[ID],0)),"unknown ID",IF(ISNA(MATCH(Log[[#This Row],[Verb]],VerbList,0)),"unknown verb",IF(Log[[#This Row],[Date]]="","no date",""))))</f>
      </c>
      <c r="G288" s="17">
        <f>IF(Log[[#This Row],[ID]]="","",IFERROR(VLOOKUP(Log[[#This Row],[Verb]],Verbs,3,FALSE)&amp;"",""))</f>
      </c>
      <c r="H288" s="17">
        <f>IF(Log[[#This Row],[Date]]="","",INT((Log[[#This Row],[Date]]-Sprint1)/SprintDays)+1)</f>
      </c>
      <c r="I288" s="17">
        <f>IF(OR(Log[[#This Row],[Verb]]="commit",Log[[#This Row],[Verb]]="carry",Log[[#This Row],[Verb]]="redo"),IF(Log[[#This Row],[Arg]]="",Log[[#This Row],[Sprint]],N(Log[[#This Row],[Arg]])),"")</f>
      </c>
      <c r="J288" s="17">
        <f>IF(Log[[#This Row],[Verb]]="block",1,IF(OR(Log[[#This Row],[Verb]]="unblock",Log[[#This Row],[Verb]]="done",Log[[#This Row],[Verb]]="drop",Log[[#This Row],[Verb]]="punt",Log[[#This Row],[Verb]]="pass"),0,""))</f>
      </c>
      <c r="K288" s="17">
        <f>IF(Log[[#This Row],[ID]]="",0,IFERROR(INDEX(Items[Pts],MATCH(Log[[#This Row],[ID]],Items[ID],0))*1,0))</f>
      </c>
      <c r="L288" s="17">
        <f>IF(Log[[#This Row],[ID]]="","",IFERROR(INDEX(Items[Cur team],MATCH(Log[[#This Row],[ID]],Items[ID],0))&amp;"",""))</f>
      </c>
      <c r="M288" s="17">
        <f>IF(OR(Log[[#This Row],[Verb]]="done",Log[[#This Row],[Verb]]="punt",Log[[#This Row],[Verb]]="drop",Log[[#This Row],[Verb]]="pass"),Log[[#This Row],[Pts]],0)</f>
      </c>
    </row>
    <row r="289">
      <c r="A289" s="11">
        <v>46104</v>
      </c>
      <c r="B289" t="s">
        <v>277</v>
      </c>
      <c r="C289" t="s">
        <v>41</v>
      </c>
      <c r="F289" s="17">
        <f>IF(Log[[#This Row],[ID]]="","",IF(ISNA(MATCH(Log[[#This Row],[ID]],Items[ID],0)),"unknown ID",IF(ISNA(MATCH(Log[[#This Row],[Verb]],VerbList,0)),"unknown verb",IF(Log[[#This Row],[Date]]="","no date",""))))</f>
      </c>
      <c r="G289" s="17">
        <f>IF(Log[[#This Row],[ID]]="","",IFERROR(VLOOKUP(Log[[#This Row],[Verb]],Verbs,3,FALSE)&amp;"",""))</f>
      </c>
      <c r="H289" s="17">
        <f>IF(Log[[#This Row],[Date]]="","",INT((Log[[#This Row],[Date]]-Sprint1)/SprintDays)+1)</f>
      </c>
      <c r="I289" s="17">
        <f>IF(OR(Log[[#This Row],[Verb]]="commit",Log[[#This Row],[Verb]]="carry",Log[[#This Row],[Verb]]="redo"),IF(Log[[#This Row],[Arg]]="",Log[[#This Row],[Sprint]],N(Log[[#This Row],[Arg]])),"")</f>
      </c>
      <c r="J289" s="17">
        <f>IF(Log[[#This Row],[Verb]]="block",1,IF(OR(Log[[#This Row],[Verb]]="unblock",Log[[#This Row],[Verb]]="done",Log[[#This Row],[Verb]]="drop",Log[[#This Row],[Verb]]="punt",Log[[#This Row],[Verb]]="pass"),0,""))</f>
      </c>
      <c r="K289" s="17">
        <f>IF(Log[[#This Row],[ID]]="",0,IFERROR(INDEX(Items[Pts],MATCH(Log[[#This Row],[ID]],Items[ID],0))*1,0))</f>
      </c>
      <c r="L289" s="17">
        <f>IF(Log[[#This Row],[ID]]="","",IFERROR(INDEX(Items[Cur team],MATCH(Log[[#This Row],[ID]],Items[ID],0))&amp;"",""))</f>
      </c>
      <c r="M289" s="17">
        <f>IF(OR(Log[[#This Row],[Verb]]="done",Log[[#This Row],[Verb]]="punt",Log[[#This Row],[Verb]]="drop",Log[[#This Row],[Verb]]="pass"),Log[[#This Row],[Pts]],0)</f>
      </c>
    </row>
    <row r="290">
      <c r="A290" s="11">
        <v>46104</v>
      </c>
      <c r="B290" t="s">
        <v>278</v>
      </c>
      <c r="C290" t="s">
        <v>41</v>
      </c>
      <c r="F290" s="17">
        <f>IF(Log[[#This Row],[ID]]="","",IF(ISNA(MATCH(Log[[#This Row],[ID]],Items[ID],0)),"unknown ID",IF(ISNA(MATCH(Log[[#This Row],[Verb]],VerbList,0)),"unknown verb",IF(Log[[#This Row],[Date]]="","no date",""))))</f>
      </c>
      <c r="G290" s="17">
        <f>IF(Log[[#This Row],[ID]]="","",IFERROR(VLOOKUP(Log[[#This Row],[Verb]],Verbs,3,FALSE)&amp;"",""))</f>
      </c>
      <c r="H290" s="17">
        <f>IF(Log[[#This Row],[Date]]="","",INT((Log[[#This Row],[Date]]-Sprint1)/SprintDays)+1)</f>
      </c>
      <c r="I290" s="17">
        <f>IF(OR(Log[[#This Row],[Verb]]="commit",Log[[#This Row],[Verb]]="carry",Log[[#This Row],[Verb]]="redo"),IF(Log[[#This Row],[Arg]]="",Log[[#This Row],[Sprint]],N(Log[[#This Row],[Arg]])),"")</f>
      </c>
      <c r="J290" s="17">
        <f>IF(Log[[#This Row],[Verb]]="block",1,IF(OR(Log[[#This Row],[Verb]]="unblock",Log[[#This Row],[Verb]]="done",Log[[#This Row],[Verb]]="drop",Log[[#This Row],[Verb]]="punt",Log[[#This Row],[Verb]]="pass"),0,""))</f>
      </c>
      <c r="K290" s="17">
        <f>IF(Log[[#This Row],[ID]]="",0,IFERROR(INDEX(Items[Pts],MATCH(Log[[#This Row],[ID]],Items[ID],0))*1,0))</f>
      </c>
      <c r="L290" s="17">
        <f>IF(Log[[#This Row],[ID]]="","",IFERROR(INDEX(Items[Cur team],MATCH(Log[[#This Row],[ID]],Items[ID],0))&amp;"",""))</f>
      </c>
      <c r="M290" s="17">
        <f>IF(OR(Log[[#This Row],[Verb]]="done",Log[[#This Row],[Verb]]="punt",Log[[#This Row],[Verb]]="drop",Log[[#This Row],[Verb]]="pass"),Log[[#This Row],[Pts]],0)</f>
      </c>
    </row>
    <row r="291">
      <c r="A291" s="11">
        <v>46104</v>
      </c>
      <c r="B291" t="s">
        <v>279</v>
      </c>
      <c r="C291" t="s">
        <v>41</v>
      </c>
      <c r="F291" s="17">
        <f>IF(Log[[#This Row],[ID]]="","",IF(ISNA(MATCH(Log[[#This Row],[ID]],Items[ID],0)),"unknown ID",IF(ISNA(MATCH(Log[[#This Row],[Verb]],VerbList,0)),"unknown verb",IF(Log[[#This Row],[Date]]="","no date",""))))</f>
      </c>
      <c r="G291" s="17">
        <f>IF(Log[[#This Row],[ID]]="","",IFERROR(VLOOKUP(Log[[#This Row],[Verb]],Verbs,3,FALSE)&amp;"",""))</f>
      </c>
      <c r="H291" s="17">
        <f>IF(Log[[#This Row],[Date]]="","",INT((Log[[#This Row],[Date]]-Sprint1)/SprintDays)+1)</f>
      </c>
      <c r="I291" s="17">
        <f>IF(OR(Log[[#This Row],[Verb]]="commit",Log[[#This Row],[Verb]]="carry",Log[[#This Row],[Verb]]="redo"),IF(Log[[#This Row],[Arg]]="",Log[[#This Row],[Sprint]],N(Log[[#This Row],[Arg]])),"")</f>
      </c>
      <c r="J291" s="17">
        <f>IF(Log[[#This Row],[Verb]]="block",1,IF(OR(Log[[#This Row],[Verb]]="unblock",Log[[#This Row],[Verb]]="done",Log[[#This Row],[Verb]]="drop",Log[[#This Row],[Verb]]="punt",Log[[#This Row],[Verb]]="pass"),0,""))</f>
      </c>
      <c r="K291" s="17">
        <f>IF(Log[[#This Row],[ID]]="",0,IFERROR(INDEX(Items[Pts],MATCH(Log[[#This Row],[ID]],Items[ID],0))*1,0))</f>
      </c>
      <c r="L291" s="17">
        <f>IF(Log[[#This Row],[ID]]="","",IFERROR(INDEX(Items[Cur team],MATCH(Log[[#This Row],[ID]],Items[ID],0))&amp;"",""))</f>
      </c>
      <c r="M291" s="17">
        <f>IF(OR(Log[[#This Row],[Verb]]="done",Log[[#This Row],[Verb]]="punt",Log[[#This Row],[Verb]]="drop",Log[[#This Row],[Verb]]="pass"),Log[[#This Row],[Pts]],0)</f>
      </c>
    </row>
    <row r="292">
      <c r="A292" s="11">
        <v>46104</v>
      </c>
      <c r="B292" t="s">
        <v>168</v>
      </c>
      <c r="C292" t="s">
        <v>41</v>
      </c>
      <c r="F292" s="17">
        <f>IF(Log[[#This Row],[ID]]="","",IF(ISNA(MATCH(Log[[#This Row],[ID]],Items[ID],0)),"unknown ID",IF(ISNA(MATCH(Log[[#This Row],[Verb]],VerbList,0)),"unknown verb",IF(Log[[#This Row],[Date]]="","no date",""))))</f>
      </c>
      <c r="G292" s="17">
        <f>IF(Log[[#This Row],[ID]]="","",IFERROR(VLOOKUP(Log[[#This Row],[Verb]],Verbs,3,FALSE)&amp;"",""))</f>
      </c>
      <c r="H292" s="17">
        <f>IF(Log[[#This Row],[Date]]="","",INT((Log[[#This Row],[Date]]-Sprint1)/SprintDays)+1)</f>
      </c>
      <c r="I292" s="17">
        <f>IF(OR(Log[[#This Row],[Verb]]="commit",Log[[#This Row],[Verb]]="carry",Log[[#This Row],[Verb]]="redo"),IF(Log[[#This Row],[Arg]]="",Log[[#This Row],[Sprint]],N(Log[[#This Row],[Arg]])),"")</f>
      </c>
      <c r="J292" s="17">
        <f>IF(Log[[#This Row],[Verb]]="block",1,IF(OR(Log[[#This Row],[Verb]]="unblock",Log[[#This Row],[Verb]]="done",Log[[#This Row],[Verb]]="drop",Log[[#This Row],[Verb]]="punt",Log[[#This Row],[Verb]]="pass"),0,""))</f>
      </c>
      <c r="K292" s="17">
        <f>IF(Log[[#This Row],[ID]]="",0,IFERROR(INDEX(Items[Pts],MATCH(Log[[#This Row],[ID]],Items[ID],0))*1,0))</f>
      </c>
      <c r="L292" s="17">
        <f>IF(Log[[#This Row],[ID]]="","",IFERROR(INDEX(Items[Cur team],MATCH(Log[[#This Row],[ID]],Items[ID],0))&amp;"",""))</f>
      </c>
      <c r="M292" s="17">
        <f>IF(OR(Log[[#This Row],[Verb]]="done",Log[[#This Row],[Verb]]="punt",Log[[#This Row],[Verb]]="drop",Log[[#This Row],[Verb]]="pass"),Log[[#This Row],[Pts]],0)</f>
      </c>
    </row>
    <row r="293">
      <c r="A293" s="11">
        <v>46104</v>
      </c>
      <c r="B293" t="s">
        <v>179</v>
      </c>
      <c r="C293" t="s">
        <v>41</v>
      </c>
      <c r="F293" s="17">
        <f>IF(Log[[#This Row],[ID]]="","",IF(ISNA(MATCH(Log[[#This Row],[ID]],Items[ID],0)),"unknown ID",IF(ISNA(MATCH(Log[[#This Row],[Verb]],VerbList,0)),"unknown verb",IF(Log[[#This Row],[Date]]="","no date",""))))</f>
      </c>
      <c r="G293" s="17">
        <f>IF(Log[[#This Row],[ID]]="","",IFERROR(VLOOKUP(Log[[#This Row],[Verb]],Verbs,3,FALSE)&amp;"",""))</f>
      </c>
      <c r="H293" s="17">
        <f>IF(Log[[#This Row],[Date]]="","",INT((Log[[#This Row],[Date]]-Sprint1)/SprintDays)+1)</f>
      </c>
      <c r="I293" s="17">
        <f>IF(OR(Log[[#This Row],[Verb]]="commit",Log[[#This Row],[Verb]]="carry",Log[[#This Row],[Verb]]="redo"),IF(Log[[#This Row],[Arg]]="",Log[[#This Row],[Sprint]],N(Log[[#This Row],[Arg]])),"")</f>
      </c>
      <c r="J293" s="17">
        <f>IF(Log[[#This Row],[Verb]]="block",1,IF(OR(Log[[#This Row],[Verb]]="unblock",Log[[#This Row],[Verb]]="done",Log[[#This Row],[Verb]]="drop",Log[[#This Row],[Verb]]="punt",Log[[#This Row],[Verb]]="pass"),0,""))</f>
      </c>
      <c r="K293" s="17">
        <f>IF(Log[[#This Row],[ID]]="",0,IFERROR(INDEX(Items[Pts],MATCH(Log[[#This Row],[ID]],Items[ID],0))*1,0))</f>
      </c>
      <c r="L293" s="17">
        <f>IF(Log[[#This Row],[ID]]="","",IFERROR(INDEX(Items[Cur team],MATCH(Log[[#This Row],[ID]],Items[ID],0))&amp;"",""))</f>
      </c>
      <c r="M293" s="17">
        <f>IF(OR(Log[[#This Row],[Verb]]="done",Log[[#This Row],[Verb]]="punt",Log[[#This Row],[Verb]]="drop",Log[[#This Row],[Verb]]="pass"),Log[[#This Row],[Pts]],0)</f>
      </c>
    </row>
    <row r="294">
      <c r="A294" s="11">
        <v>46104</v>
      </c>
      <c r="B294" t="s">
        <v>219</v>
      </c>
      <c r="C294" t="s">
        <v>41</v>
      </c>
      <c r="F294" s="17">
        <f>IF(Log[[#This Row],[ID]]="","",IF(ISNA(MATCH(Log[[#This Row],[ID]],Items[ID],0)),"unknown ID",IF(ISNA(MATCH(Log[[#This Row],[Verb]],VerbList,0)),"unknown verb",IF(Log[[#This Row],[Date]]="","no date",""))))</f>
      </c>
      <c r="G294" s="17">
        <f>IF(Log[[#This Row],[ID]]="","",IFERROR(VLOOKUP(Log[[#This Row],[Verb]],Verbs,3,FALSE)&amp;"",""))</f>
      </c>
      <c r="H294" s="17">
        <f>IF(Log[[#This Row],[Date]]="","",INT((Log[[#This Row],[Date]]-Sprint1)/SprintDays)+1)</f>
      </c>
      <c r="I294" s="17">
        <f>IF(OR(Log[[#This Row],[Verb]]="commit",Log[[#This Row],[Verb]]="carry",Log[[#This Row],[Verb]]="redo"),IF(Log[[#This Row],[Arg]]="",Log[[#This Row],[Sprint]],N(Log[[#This Row],[Arg]])),"")</f>
      </c>
      <c r="J294" s="17">
        <f>IF(Log[[#This Row],[Verb]]="block",1,IF(OR(Log[[#This Row],[Verb]]="unblock",Log[[#This Row],[Verb]]="done",Log[[#This Row],[Verb]]="drop",Log[[#This Row],[Verb]]="punt",Log[[#This Row],[Verb]]="pass"),0,""))</f>
      </c>
      <c r="K294" s="17">
        <f>IF(Log[[#This Row],[ID]]="",0,IFERROR(INDEX(Items[Pts],MATCH(Log[[#This Row],[ID]],Items[ID],0))*1,0))</f>
      </c>
      <c r="L294" s="17">
        <f>IF(Log[[#This Row],[ID]]="","",IFERROR(INDEX(Items[Cur team],MATCH(Log[[#This Row],[ID]],Items[ID],0))&amp;"",""))</f>
      </c>
      <c r="M294" s="17">
        <f>IF(OR(Log[[#This Row],[Verb]]="done",Log[[#This Row],[Verb]]="punt",Log[[#This Row],[Verb]]="drop",Log[[#This Row],[Verb]]="pass"),Log[[#This Row],[Pts]],0)</f>
      </c>
    </row>
    <row r="295">
      <c r="A295" s="11">
        <v>46104</v>
      </c>
      <c r="B295" t="s">
        <v>280</v>
      </c>
      <c r="C295" t="s">
        <v>41</v>
      </c>
      <c r="F295" s="17">
        <f>IF(Log[[#This Row],[ID]]="","",IF(ISNA(MATCH(Log[[#This Row],[ID]],Items[ID],0)),"unknown ID",IF(ISNA(MATCH(Log[[#This Row],[Verb]],VerbList,0)),"unknown verb",IF(Log[[#This Row],[Date]]="","no date",""))))</f>
      </c>
      <c r="G295" s="17">
        <f>IF(Log[[#This Row],[ID]]="","",IFERROR(VLOOKUP(Log[[#This Row],[Verb]],Verbs,3,FALSE)&amp;"",""))</f>
      </c>
      <c r="H295" s="17">
        <f>IF(Log[[#This Row],[Date]]="","",INT((Log[[#This Row],[Date]]-Sprint1)/SprintDays)+1)</f>
      </c>
      <c r="I295" s="17">
        <f>IF(OR(Log[[#This Row],[Verb]]="commit",Log[[#This Row],[Verb]]="carry",Log[[#This Row],[Verb]]="redo"),IF(Log[[#This Row],[Arg]]="",Log[[#This Row],[Sprint]],N(Log[[#This Row],[Arg]])),"")</f>
      </c>
      <c r="J295" s="17">
        <f>IF(Log[[#This Row],[Verb]]="block",1,IF(OR(Log[[#This Row],[Verb]]="unblock",Log[[#This Row],[Verb]]="done",Log[[#This Row],[Verb]]="drop",Log[[#This Row],[Verb]]="punt",Log[[#This Row],[Verb]]="pass"),0,""))</f>
      </c>
      <c r="K295" s="17">
        <f>IF(Log[[#This Row],[ID]]="",0,IFERROR(INDEX(Items[Pts],MATCH(Log[[#This Row],[ID]],Items[ID],0))*1,0))</f>
      </c>
      <c r="L295" s="17">
        <f>IF(Log[[#This Row],[ID]]="","",IFERROR(INDEX(Items[Cur team],MATCH(Log[[#This Row],[ID]],Items[ID],0))&amp;"",""))</f>
      </c>
      <c r="M295" s="17">
        <f>IF(OR(Log[[#This Row],[Verb]]="done",Log[[#This Row],[Verb]]="punt",Log[[#This Row],[Verb]]="drop",Log[[#This Row],[Verb]]="pass"),Log[[#This Row],[Pts]],0)</f>
      </c>
    </row>
    <row r="296">
      <c r="A296" s="11">
        <v>46104</v>
      </c>
      <c r="B296" t="s">
        <v>221</v>
      </c>
      <c r="C296" t="s">
        <v>41</v>
      </c>
      <c r="F296" s="17">
        <f>IF(Log[[#This Row],[ID]]="","",IF(ISNA(MATCH(Log[[#This Row],[ID]],Items[ID],0)),"unknown ID",IF(ISNA(MATCH(Log[[#This Row],[Verb]],VerbList,0)),"unknown verb",IF(Log[[#This Row],[Date]]="","no date",""))))</f>
      </c>
      <c r="G296" s="17">
        <f>IF(Log[[#This Row],[ID]]="","",IFERROR(VLOOKUP(Log[[#This Row],[Verb]],Verbs,3,FALSE)&amp;"",""))</f>
      </c>
      <c r="H296" s="17">
        <f>IF(Log[[#This Row],[Date]]="","",INT((Log[[#This Row],[Date]]-Sprint1)/SprintDays)+1)</f>
      </c>
      <c r="I296" s="17">
        <f>IF(OR(Log[[#This Row],[Verb]]="commit",Log[[#This Row],[Verb]]="carry",Log[[#This Row],[Verb]]="redo"),IF(Log[[#This Row],[Arg]]="",Log[[#This Row],[Sprint]],N(Log[[#This Row],[Arg]])),"")</f>
      </c>
      <c r="J296" s="17">
        <f>IF(Log[[#This Row],[Verb]]="block",1,IF(OR(Log[[#This Row],[Verb]]="unblock",Log[[#This Row],[Verb]]="done",Log[[#This Row],[Verb]]="drop",Log[[#This Row],[Verb]]="punt",Log[[#This Row],[Verb]]="pass"),0,""))</f>
      </c>
      <c r="K296" s="17">
        <f>IF(Log[[#This Row],[ID]]="",0,IFERROR(INDEX(Items[Pts],MATCH(Log[[#This Row],[ID]],Items[ID],0))*1,0))</f>
      </c>
      <c r="L296" s="17">
        <f>IF(Log[[#This Row],[ID]]="","",IFERROR(INDEX(Items[Cur team],MATCH(Log[[#This Row],[ID]],Items[ID],0))&amp;"",""))</f>
      </c>
      <c r="M296" s="17">
        <f>IF(OR(Log[[#This Row],[Verb]]="done",Log[[#This Row],[Verb]]="punt",Log[[#This Row],[Verb]]="drop",Log[[#This Row],[Verb]]="pass"),Log[[#This Row],[Pts]],0)</f>
      </c>
    </row>
    <row r="297">
      <c r="A297" s="11">
        <v>46104</v>
      </c>
      <c r="B297" t="s">
        <v>281</v>
      </c>
      <c r="C297" t="s">
        <v>41</v>
      </c>
      <c r="F297" s="17">
        <f>IF(Log[[#This Row],[ID]]="","",IF(ISNA(MATCH(Log[[#This Row],[ID]],Items[ID],0)),"unknown ID",IF(ISNA(MATCH(Log[[#This Row],[Verb]],VerbList,0)),"unknown verb",IF(Log[[#This Row],[Date]]="","no date",""))))</f>
      </c>
      <c r="G297" s="17">
        <f>IF(Log[[#This Row],[ID]]="","",IFERROR(VLOOKUP(Log[[#This Row],[Verb]],Verbs,3,FALSE)&amp;"",""))</f>
      </c>
      <c r="H297" s="17">
        <f>IF(Log[[#This Row],[Date]]="","",INT((Log[[#This Row],[Date]]-Sprint1)/SprintDays)+1)</f>
      </c>
      <c r="I297" s="17">
        <f>IF(OR(Log[[#This Row],[Verb]]="commit",Log[[#This Row],[Verb]]="carry",Log[[#This Row],[Verb]]="redo"),IF(Log[[#This Row],[Arg]]="",Log[[#This Row],[Sprint]],N(Log[[#This Row],[Arg]])),"")</f>
      </c>
      <c r="J297" s="17">
        <f>IF(Log[[#This Row],[Verb]]="block",1,IF(OR(Log[[#This Row],[Verb]]="unblock",Log[[#This Row],[Verb]]="done",Log[[#This Row],[Verb]]="drop",Log[[#This Row],[Verb]]="punt",Log[[#This Row],[Verb]]="pass"),0,""))</f>
      </c>
      <c r="K297" s="17">
        <f>IF(Log[[#This Row],[ID]]="",0,IFERROR(INDEX(Items[Pts],MATCH(Log[[#This Row],[ID]],Items[ID],0))*1,0))</f>
      </c>
      <c r="L297" s="17">
        <f>IF(Log[[#This Row],[ID]]="","",IFERROR(INDEX(Items[Cur team],MATCH(Log[[#This Row],[ID]],Items[ID],0))&amp;"",""))</f>
      </c>
      <c r="M297" s="17">
        <f>IF(OR(Log[[#This Row],[Verb]]="done",Log[[#This Row],[Verb]]="punt",Log[[#This Row],[Verb]]="drop",Log[[#This Row],[Verb]]="pass"),Log[[#This Row],[Pts]],0)</f>
      </c>
    </row>
    <row r="298">
      <c r="A298" s="11">
        <v>46104</v>
      </c>
      <c r="B298" t="s">
        <v>282</v>
      </c>
      <c r="C298" t="s">
        <v>41</v>
      </c>
      <c r="F298" s="17">
        <f>IF(Log[[#This Row],[ID]]="","",IF(ISNA(MATCH(Log[[#This Row],[ID]],Items[ID],0)),"unknown ID",IF(ISNA(MATCH(Log[[#This Row],[Verb]],VerbList,0)),"unknown verb",IF(Log[[#This Row],[Date]]="","no date",""))))</f>
      </c>
      <c r="G298" s="17">
        <f>IF(Log[[#This Row],[ID]]="","",IFERROR(VLOOKUP(Log[[#This Row],[Verb]],Verbs,3,FALSE)&amp;"",""))</f>
      </c>
      <c r="H298" s="17">
        <f>IF(Log[[#This Row],[Date]]="","",INT((Log[[#This Row],[Date]]-Sprint1)/SprintDays)+1)</f>
      </c>
      <c r="I298" s="17">
        <f>IF(OR(Log[[#This Row],[Verb]]="commit",Log[[#This Row],[Verb]]="carry",Log[[#This Row],[Verb]]="redo"),IF(Log[[#This Row],[Arg]]="",Log[[#This Row],[Sprint]],N(Log[[#This Row],[Arg]])),"")</f>
      </c>
      <c r="J298" s="17">
        <f>IF(Log[[#This Row],[Verb]]="block",1,IF(OR(Log[[#This Row],[Verb]]="unblock",Log[[#This Row],[Verb]]="done",Log[[#This Row],[Verb]]="drop",Log[[#This Row],[Verb]]="punt",Log[[#This Row],[Verb]]="pass"),0,""))</f>
      </c>
      <c r="K298" s="17">
        <f>IF(Log[[#This Row],[ID]]="",0,IFERROR(INDEX(Items[Pts],MATCH(Log[[#This Row],[ID]],Items[ID],0))*1,0))</f>
      </c>
      <c r="L298" s="17">
        <f>IF(Log[[#This Row],[ID]]="","",IFERROR(INDEX(Items[Cur team],MATCH(Log[[#This Row],[ID]],Items[ID],0))&amp;"",""))</f>
      </c>
      <c r="M298" s="17">
        <f>IF(OR(Log[[#This Row],[Verb]]="done",Log[[#This Row],[Verb]]="punt",Log[[#This Row],[Verb]]="drop",Log[[#This Row],[Verb]]="pass"),Log[[#This Row],[Pts]],0)</f>
      </c>
    </row>
    <row r="299">
      <c r="A299" s="11">
        <v>46104</v>
      </c>
      <c r="B299" t="s">
        <v>181</v>
      </c>
      <c r="C299" t="s">
        <v>41</v>
      </c>
      <c r="F299" s="17">
        <f>IF(Log[[#This Row],[ID]]="","",IF(ISNA(MATCH(Log[[#This Row],[ID]],Items[ID],0)),"unknown ID",IF(ISNA(MATCH(Log[[#This Row],[Verb]],VerbList,0)),"unknown verb",IF(Log[[#This Row],[Date]]="","no date",""))))</f>
      </c>
      <c r="G299" s="17">
        <f>IF(Log[[#This Row],[ID]]="","",IFERROR(VLOOKUP(Log[[#This Row],[Verb]],Verbs,3,FALSE)&amp;"",""))</f>
      </c>
      <c r="H299" s="17">
        <f>IF(Log[[#This Row],[Date]]="","",INT((Log[[#This Row],[Date]]-Sprint1)/SprintDays)+1)</f>
      </c>
      <c r="I299" s="17">
        <f>IF(OR(Log[[#This Row],[Verb]]="commit",Log[[#This Row],[Verb]]="carry",Log[[#This Row],[Verb]]="redo"),IF(Log[[#This Row],[Arg]]="",Log[[#This Row],[Sprint]],N(Log[[#This Row],[Arg]])),"")</f>
      </c>
      <c r="J299" s="17">
        <f>IF(Log[[#This Row],[Verb]]="block",1,IF(OR(Log[[#This Row],[Verb]]="unblock",Log[[#This Row],[Verb]]="done",Log[[#This Row],[Verb]]="drop",Log[[#This Row],[Verb]]="punt",Log[[#This Row],[Verb]]="pass"),0,""))</f>
      </c>
      <c r="K299" s="17">
        <f>IF(Log[[#This Row],[ID]]="",0,IFERROR(INDEX(Items[Pts],MATCH(Log[[#This Row],[ID]],Items[ID],0))*1,0))</f>
      </c>
      <c r="L299" s="17">
        <f>IF(Log[[#This Row],[ID]]="","",IFERROR(INDEX(Items[Cur team],MATCH(Log[[#This Row],[ID]],Items[ID],0))&amp;"",""))</f>
      </c>
      <c r="M299" s="17">
        <f>IF(OR(Log[[#This Row],[Verb]]="done",Log[[#This Row],[Verb]]="punt",Log[[#This Row],[Verb]]="drop",Log[[#This Row],[Verb]]="pass"),Log[[#This Row],[Pts]],0)</f>
      </c>
    </row>
    <row r="300">
      <c r="A300" s="11">
        <v>46104</v>
      </c>
      <c r="B300" t="s">
        <v>283</v>
      </c>
      <c r="C300" t="s">
        <v>41</v>
      </c>
      <c r="F300" s="17">
        <f>IF(Log[[#This Row],[ID]]="","",IF(ISNA(MATCH(Log[[#This Row],[ID]],Items[ID],0)),"unknown ID",IF(ISNA(MATCH(Log[[#This Row],[Verb]],VerbList,0)),"unknown verb",IF(Log[[#This Row],[Date]]="","no date",""))))</f>
      </c>
      <c r="G300" s="17">
        <f>IF(Log[[#This Row],[ID]]="","",IFERROR(VLOOKUP(Log[[#This Row],[Verb]],Verbs,3,FALSE)&amp;"",""))</f>
      </c>
      <c r="H300" s="17">
        <f>IF(Log[[#This Row],[Date]]="","",INT((Log[[#This Row],[Date]]-Sprint1)/SprintDays)+1)</f>
      </c>
      <c r="I300" s="17">
        <f>IF(OR(Log[[#This Row],[Verb]]="commit",Log[[#This Row],[Verb]]="carry",Log[[#This Row],[Verb]]="redo"),IF(Log[[#This Row],[Arg]]="",Log[[#This Row],[Sprint]],N(Log[[#This Row],[Arg]])),"")</f>
      </c>
      <c r="J300" s="17">
        <f>IF(Log[[#This Row],[Verb]]="block",1,IF(OR(Log[[#This Row],[Verb]]="unblock",Log[[#This Row],[Verb]]="done",Log[[#This Row],[Verb]]="drop",Log[[#This Row],[Verb]]="punt",Log[[#This Row],[Verb]]="pass"),0,""))</f>
      </c>
      <c r="K300" s="17">
        <f>IF(Log[[#This Row],[ID]]="",0,IFERROR(INDEX(Items[Pts],MATCH(Log[[#This Row],[ID]],Items[ID],0))*1,0))</f>
      </c>
      <c r="L300" s="17">
        <f>IF(Log[[#This Row],[ID]]="","",IFERROR(INDEX(Items[Cur team],MATCH(Log[[#This Row],[ID]],Items[ID],0))&amp;"",""))</f>
      </c>
      <c r="M300" s="17">
        <f>IF(OR(Log[[#This Row],[Verb]]="done",Log[[#This Row],[Verb]]="punt",Log[[#This Row],[Verb]]="drop",Log[[#This Row],[Verb]]="pass"),Log[[#This Row],[Pts]],0)</f>
      </c>
    </row>
    <row r="301">
      <c r="A301" s="11">
        <v>46104</v>
      </c>
      <c r="B301" t="s">
        <v>284</v>
      </c>
      <c r="C301" t="s">
        <v>38</v>
      </c>
      <c r="D301">
        <v>40</v>
      </c>
      <c r="F301" s="17">
        <f>IF(Log[[#This Row],[ID]]="","",IF(ISNA(MATCH(Log[[#This Row],[ID]],Items[ID],0)),"unknown ID",IF(ISNA(MATCH(Log[[#This Row],[Verb]],VerbList,0)),"unknown verb",IF(Log[[#This Row],[Date]]="","no date",""))))</f>
      </c>
      <c r="G301" s="17">
        <f>IF(Log[[#This Row],[ID]]="","",IFERROR(VLOOKUP(Log[[#This Row],[Verb]],Verbs,3,FALSE)&amp;"",""))</f>
      </c>
      <c r="H301" s="17">
        <f>IF(Log[[#This Row],[Date]]="","",INT((Log[[#This Row],[Date]]-Sprint1)/SprintDays)+1)</f>
      </c>
      <c r="I301" s="17">
        <f>IF(OR(Log[[#This Row],[Verb]]="commit",Log[[#This Row],[Verb]]="carry",Log[[#This Row],[Verb]]="redo"),IF(Log[[#This Row],[Arg]]="",Log[[#This Row],[Sprint]],N(Log[[#This Row],[Arg]])),"")</f>
      </c>
      <c r="J301" s="17">
        <f>IF(Log[[#This Row],[Verb]]="block",1,IF(OR(Log[[#This Row],[Verb]]="unblock",Log[[#This Row],[Verb]]="done",Log[[#This Row],[Verb]]="drop",Log[[#This Row],[Verb]]="punt",Log[[#This Row],[Verb]]="pass"),0,""))</f>
      </c>
      <c r="K301" s="17">
        <f>IF(Log[[#This Row],[ID]]="",0,IFERROR(INDEX(Items[Pts],MATCH(Log[[#This Row],[ID]],Items[ID],0))*1,0))</f>
      </c>
      <c r="L301" s="17">
        <f>IF(Log[[#This Row],[ID]]="","",IFERROR(INDEX(Items[Cur team],MATCH(Log[[#This Row],[ID]],Items[ID],0))&amp;"",""))</f>
      </c>
      <c r="M301" s="17">
        <f>IF(OR(Log[[#This Row],[Verb]]="done",Log[[#This Row],[Verb]]="punt",Log[[#This Row],[Verb]]="drop",Log[[#This Row],[Verb]]="pass"),Log[[#This Row],[Pts]],0)</f>
      </c>
    </row>
    <row r="302">
      <c r="A302" s="11">
        <v>46104</v>
      </c>
      <c r="B302" t="s">
        <v>285</v>
      </c>
      <c r="C302" t="s">
        <v>41</v>
      </c>
      <c r="F302" s="17">
        <f>IF(Log[[#This Row],[ID]]="","",IF(ISNA(MATCH(Log[[#This Row],[ID]],Items[ID],0)),"unknown ID",IF(ISNA(MATCH(Log[[#This Row],[Verb]],VerbList,0)),"unknown verb",IF(Log[[#This Row],[Date]]="","no date",""))))</f>
      </c>
      <c r="G302" s="17">
        <f>IF(Log[[#This Row],[ID]]="","",IFERROR(VLOOKUP(Log[[#This Row],[Verb]],Verbs,3,FALSE)&amp;"",""))</f>
      </c>
      <c r="H302" s="17">
        <f>IF(Log[[#This Row],[Date]]="","",INT((Log[[#This Row],[Date]]-Sprint1)/SprintDays)+1)</f>
      </c>
      <c r="I302" s="17">
        <f>IF(OR(Log[[#This Row],[Verb]]="commit",Log[[#This Row],[Verb]]="carry",Log[[#This Row],[Verb]]="redo"),IF(Log[[#This Row],[Arg]]="",Log[[#This Row],[Sprint]],N(Log[[#This Row],[Arg]])),"")</f>
      </c>
      <c r="J302" s="17">
        <f>IF(Log[[#This Row],[Verb]]="block",1,IF(OR(Log[[#This Row],[Verb]]="unblock",Log[[#This Row],[Verb]]="done",Log[[#This Row],[Verb]]="drop",Log[[#This Row],[Verb]]="punt",Log[[#This Row],[Verb]]="pass"),0,""))</f>
      </c>
      <c r="K302" s="17">
        <f>IF(Log[[#This Row],[ID]]="",0,IFERROR(INDEX(Items[Pts],MATCH(Log[[#This Row],[ID]],Items[ID],0))*1,0))</f>
      </c>
      <c r="L302" s="17">
        <f>IF(Log[[#This Row],[ID]]="","",IFERROR(INDEX(Items[Cur team],MATCH(Log[[#This Row],[ID]],Items[ID],0))&amp;"",""))</f>
      </c>
      <c r="M302" s="17">
        <f>IF(OR(Log[[#This Row],[Verb]]="done",Log[[#This Row],[Verb]]="punt",Log[[#This Row],[Verb]]="drop",Log[[#This Row],[Verb]]="pass"),Log[[#This Row],[Pts]],0)</f>
      </c>
    </row>
    <row r="303">
      <c r="A303" s="11">
        <v>46104</v>
      </c>
      <c r="B303" t="s">
        <v>286</v>
      </c>
      <c r="C303" t="s">
        <v>41</v>
      </c>
      <c r="F303" s="17">
        <f>IF(Log[[#This Row],[ID]]="","",IF(ISNA(MATCH(Log[[#This Row],[ID]],Items[ID],0)),"unknown ID",IF(ISNA(MATCH(Log[[#This Row],[Verb]],VerbList,0)),"unknown verb",IF(Log[[#This Row],[Date]]="","no date",""))))</f>
      </c>
      <c r="G303" s="17">
        <f>IF(Log[[#This Row],[ID]]="","",IFERROR(VLOOKUP(Log[[#This Row],[Verb]],Verbs,3,FALSE)&amp;"",""))</f>
      </c>
      <c r="H303" s="17">
        <f>IF(Log[[#This Row],[Date]]="","",INT((Log[[#This Row],[Date]]-Sprint1)/SprintDays)+1)</f>
      </c>
      <c r="I303" s="17">
        <f>IF(OR(Log[[#This Row],[Verb]]="commit",Log[[#This Row],[Verb]]="carry",Log[[#This Row],[Verb]]="redo"),IF(Log[[#This Row],[Arg]]="",Log[[#This Row],[Sprint]],N(Log[[#This Row],[Arg]])),"")</f>
      </c>
      <c r="J303" s="17">
        <f>IF(Log[[#This Row],[Verb]]="block",1,IF(OR(Log[[#This Row],[Verb]]="unblock",Log[[#This Row],[Verb]]="done",Log[[#This Row],[Verb]]="drop",Log[[#This Row],[Verb]]="punt",Log[[#This Row],[Verb]]="pass"),0,""))</f>
      </c>
      <c r="K303" s="17">
        <f>IF(Log[[#This Row],[ID]]="",0,IFERROR(INDEX(Items[Pts],MATCH(Log[[#This Row],[ID]],Items[ID],0))*1,0))</f>
      </c>
      <c r="L303" s="17">
        <f>IF(Log[[#This Row],[ID]]="","",IFERROR(INDEX(Items[Cur team],MATCH(Log[[#This Row],[ID]],Items[ID],0))&amp;"",""))</f>
      </c>
      <c r="M303" s="17">
        <f>IF(OR(Log[[#This Row],[Verb]]="done",Log[[#This Row],[Verb]]="punt",Log[[#This Row],[Verb]]="drop",Log[[#This Row],[Verb]]="pass"),Log[[#This Row],[Pts]],0)</f>
      </c>
    </row>
    <row r="304">
      <c r="A304" s="11">
        <v>46104</v>
      </c>
      <c r="B304" t="s">
        <v>287</v>
      </c>
      <c r="C304" t="s">
        <v>38</v>
      </c>
      <c r="D304">
        <v>40</v>
      </c>
      <c r="F304" s="17">
        <f>IF(Log[[#This Row],[ID]]="","",IF(ISNA(MATCH(Log[[#This Row],[ID]],Items[ID],0)),"unknown ID",IF(ISNA(MATCH(Log[[#This Row],[Verb]],VerbList,0)),"unknown verb",IF(Log[[#This Row],[Date]]="","no date",""))))</f>
      </c>
      <c r="G304" s="17">
        <f>IF(Log[[#This Row],[ID]]="","",IFERROR(VLOOKUP(Log[[#This Row],[Verb]],Verbs,3,FALSE)&amp;"",""))</f>
      </c>
      <c r="H304" s="17">
        <f>IF(Log[[#This Row],[Date]]="","",INT((Log[[#This Row],[Date]]-Sprint1)/SprintDays)+1)</f>
      </c>
      <c r="I304" s="17">
        <f>IF(OR(Log[[#This Row],[Verb]]="commit",Log[[#This Row],[Verb]]="carry",Log[[#This Row],[Verb]]="redo"),IF(Log[[#This Row],[Arg]]="",Log[[#This Row],[Sprint]],N(Log[[#This Row],[Arg]])),"")</f>
      </c>
      <c r="J304" s="17">
        <f>IF(Log[[#This Row],[Verb]]="block",1,IF(OR(Log[[#This Row],[Verb]]="unblock",Log[[#This Row],[Verb]]="done",Log[[#This Row],[Verb]]="drop",Log[[#This Row],[Verb]]="punt",Log[[#This Row],[Verb]]="pass"),0,""))</f>
      </c>
      <c r="K304" s="17">
        <f>IF(Log[[#This Row],[ID]]="",0,IFERROR(INDEX(Items[Pts],MATCH(Log[[#This Row],[ID]],Items[ID],0))*1,0))</f>
      </c>
      <c r="L304" s="17">
        <f>IF(Log[[#This Row],[ID]]="","",IFERROR(INDEX(Items[Cur team],MATCH(Log[[#This Row],[ID]],Items[ID],0))&amp;"",""))</f>
      </c>
      <c r="M304" s="17">
        <f>IF(OR(Log[[#This Row],[Verb]]="done",Log[[#This Row],[Verb]]="punt",Log[[#This Row],[Verb]]="drop",Log[[#This Row],[Verb]]="pass"),Log[[#This Row],[Pts]],0)</f>
      </c>
    </row>
    <row r="305">
      <c r="A305" s="11">
        <v>46104</v>
      </c>
      <c r="B305" t="s">
        <v>288</v>
      </c>
      <c r="C305" t="s">
        <v>38</v>
      </c>
      <c r="D305">
        <v>40</v>
      </c>
      <c r="F305" s="17">
        <f>IF(Log[[#This Row],[ID]]="","",IF(ISNA(MATCH(Log[[#This Row],[ID]],Items[ID],0)),"unknown ID",IF(ISNA(MATCH(Log[[#This Row],[Verb]],VerbList,0)),"unknown verb",IF(Log[[#This Row],[Date]]="","no date",""))))</f>
      </c>
      <c r="G305" s="17">
        <f>IF(Log[[#This Row],[ID]]="","",IFERROR(VLOOKUP(Log[[#This Row],[Verb]],Verbs,3,FALSE)&amp;"",""))</f>
      </c>
      <c r="H305" s="17">
        <f>IF(Log[[#This Row],[Date]]="","",INT((Log[[#This Row],[Date]]-Sprint1)/SprintDays)+1)</f>
      </c>
      <c r="I305" s="17">
        <f>IF(OR(Log[[#This Row],[Verb]]="commit",Log[[#This Row],[Verb]]="carry",Log[[#This Row],[Verb]]="redo"),IF(Log[[#This Row],[Arg]]="",Log[[#This Row],[Sprint]],N(Log[[#This Row],[Arg]])),"")</f>
      </c>
      <c r="J305" s="17">
        <f>IF(Log[[#This Row],[Verb]]="block",1,IF(OR(Log[[#This Row],[Verb]]="unblock",Log[[#This Row],[Verb]]="done",Log[[#This Row],[Verb]]="drop",Log[[#This Row],[Verb]]="punt",Log[[#This Row],[Verb]]="pass"),0,""))</f>
      </c>
      <c r="K305" s="17">
        <f>IF(Log[[#This Row],[ID]]="",0,IFERROR(INDEX(Items[Pts],MATCH(Log[[#This Row],[ID]],Items[ID],0))*1,0))</f>
      </c>
      <c r="L305" s="17">
        <f>IF(Log[[#This Row],[ID]]="","",IFERROR(INDEX(Items[Cur team],MATCH(Log[[#This Row],[ID]],Items[ID],0))&amp;"",""))</f>
      </c>
      <c r="M305" s="17">
        <f>IF(OR(Log[[#This Row],[Verb]]="done",Log[[#This Row],[Verb]]="punt",Log[[#This Row],[Verb]]="drop",Log[[#This Row],[Verb]]="pass"),Log[[#This Row],[Pts]],0)</f>
      </c>
    </row>
    <row r="306">
      <c r="A306" s="11">
        <v>46104</v>
      </c>
      <c r="B306" t="s">
        <v>232</v>
      </c>
      <c r="C306" t="s">
        <v>41</v>
      </c>
      <c r="F306" s="17">
        <f>IF(Log[[#This Row],[ID]]="","",IF(ISNA(MATCH(Log[[#This Row],[ID]],Items[ID],0)),"unknown ID",IF(ISNA(MATCH(Log[[#This Row],[Verb]],VerbList,0)),"unknown verb",IF(Log[[#This Row],[Date]]="","no date",""))))</f>
      </c>
      <c r="G306" s="17">
        <f>IF(Log[[#This Row],[ID]]="","",IFERROR(VLOOKUP(Log[[#This Row],[Verb]],Verbs,3,FALSE)&amp;"",""))</f>
      </c>
      <c r="H306" s="17">
        <f>IF(Log[[#This Row],[Date]]="","",INT((Log[[#This Row],[Date]]-Sprint1)/SprintDays)+1)</f>
      </c>
      <c r="I306" s="17">
        <f>IF(OR(Log[[#This Row],[Verb]]="commit",Log[[#This Row],[Verb]]="carry",Log[[#This Row],[Verb]]="redo"),IF(Log[[#This Row],[Arg]]="",Log[[#This Row],[Sprint]],N(Log[[#This Row],[Arg]])),"")</f>
      </c>
      <c r="J306" s="17">
        <f>IF(Log[[#This Row],[Verb]]="block",1,IF(OR(Log[[#This Row],[Verb]]="unblock",Log[[#This Row],[Verb]]="done",Log[[#This Row],[Verb]]="drop",Log[[#This Row],[Verb]]="punt",Log[[#This Row],[Verb]]="pass"),0,""))</f>
      </c>
      <c r="K306" s="17">
        <f>IF(Log[[#This Row],[ID]]="",0,IFERROR(INDEX(Items[Pts],MATCH(Log[[#This Row],[ID]],Items[ID],0))*1,0))</f>
      </c>
      <c r="L306" s="17">
        <f>IF(Log[[#This Row],[ID]]="","",IFERROR(INDEX(Items[Cur team],MATCH(Log[[#This Row],[ID]],Items[ID],0))&amp;"",""))</f>
      </c>
      <c r="M306" s="17">
        <f>IF(OR(Log[[#This Row],[Verb]]="done",Log[[#This Row],[Verb]]="punt",Log[[#This Row],[Verb]]="drop",Log[[#This Row],[Verb]]="pass"),Log[[#This Row],[Pts]],0)</f>
      </c>
    </row>
    <row r="307">
      <c r="A307" s="11">
        <v>46104</v>
      </c>
      <c r="B307" t="s">
        <v>289</v>
      </c>
      <c r="C307" t="s">
        <v>41</v>
      </c>
      <c r="F307" s="17">
        <f>IF(Log[[#This Row],[ID]]="","",IF(ISNA(MATCH(Log[[#This Row],[ID]],Items[ID],0)),"unknown ID",IF(ISNA(MATCH(Log[[#This Row],[Verb]],VerbList,0)),"unknown verb",IF(Log[[#This Row],[Date]]="","no date",""))))</f>
      </c>
      <c r="G307" s="17">
        <f>IF(Log[[#This Row],[ID]]="","",IFERROR(VLOOKUP(Log[[#This Row],[Verb]],Verbs,3,FALSE)&amp;"",""))</f>
      </c>
      <c r="H307" s="17">
        <f>IF(Log[[#This Row],[Date]]="","",INT((Log[[#This Row],[Date]]-Sprint1)/SprintDays)+1)</f>
      </c>
      <c r="I307" s="17">
        <f>IF(OR(Log[[#This Row],[Verb]]="commit",Log[[#This Row],[Verb]]="carry",Log[[#This Row],[Verb]]="redo"),IF(Log[[#This Row],[Arg]]="",Log[[#This Row],[Sprint]],N(Log[[#This Row],[Arg]])),"")</f>
      </c>
      <c r="J307" s="17">
        <f>IF(Log[[#This Row],[Verb]]="block",1,IF(OR(Log[[#This Row],[Verb]]="unblock",Log[[#This Row],[Verb]]="done",Log[[#This Row],[Verb]]="drop",Log[[#This Row],[Verb]]="punt",Log[[#This Row],[Verb]]="pass"),0,""))</f>
      </c>
      <c r="K307" s="17">
        <f>IF(Log[[#This Row],[ID]]="",0,IFERROR(INDEX(Items[Pts],MATCH(Log[[#This Row],[ID]],Items[ID],0))*1,0))</f>
      </c>
      <c r="L307" s="17">
        <f>IF(Log[[#This Row],[ID]]="","",IFERROR(INDEX(Items[Cur team],MATCH(Log[[#This Row],[ID]],Items[ID],0))&amp;"",""))</f>
      </c>
      <c r="M307" s="17">
        <f>IF(OR(Log[[#This Row],[Verb]]="done",Log[[#This Row],[Verb]]="punt",Log[[#This Row],[Verb]]="drop",Log[[#This Row],[Verb]]="pass"),Log[[#This Row],[Pts]],0)</f>
      </c>
    </row>
    <row r="308">
      <c r="A308" s="11">
        <v>46104</v>
      </c>
      <c r="B308" t="s">
        <v>290</v>
      </c>
      <c r="C308" t="s">
        <v>41</v>
      </c>
      <c r="F308" s="17">
        <f>IF(Log[[#This Row],[ID]]="","",IF(ISNA(MATCH(Log[[#This Row],[ID]],Items[ID],0)),"unknown ID",IF(ISNA(MATCH(Log[[#This Row],[Verb]],VerbList,0)),"unknown verb",IF(Log[[#This Row],[Date]]="","no date",""))))</f>
      </c>
      <c r="G308" s="17">
        <f>IF(Log[[#This Row],[ID]]="","",IFERROR(VLOOKUP(Log[[#This Row],[Verb]],Verbs,3,FALSE)&amp;"",""))</f>
      </c>
      <c r="H308" s="17">
        <f>IF(Log[[#This Row],[Date]]="","",INT((Log[[#This Row],[Date]]-Sprint1)/SprintDays)+1)</f>
      </c>
      <c r="I308" s="17">
        <f>IF(OR(Log[[#This Row],[Verb]]="commit",Log[[#This Row],[Verb]]="carry",Log[[#This Row],[Verb]]="redo"),IF(Log[[#This Row],[Arg]]="",Log[[#This Row],[Sprint]],N(Log[[#This Row],[Arg]])),"")</f>
      </c>
      <c r="J308" s="17">
        <f>IF(Log[[#This Row],[Verb]]="block",1,IF(OR(Log[[#This Row],[Verb]]="unblock",Log[[#This Row],[Verb]]="done",Log[[#This Row],[Verb]]="drop",Log[[#This Row],[Verb]]="punt",Log[[#This Row],[Verb]]="pass"),0,""))</f>
      </c>
      <c r="K308" s="17">
        <f>IF(Log[[#This Row],[ID]]="",0,IFERROR(INDEX(Items[Pts],MATCH(Log[[#This Row],[ID]],Items[ID],0))*1,0))</f>
      </c>
      <c r="L308" s="17">
        <f>IF(Log[[#This Row],[ID]]="","",IFERROR(INDEX(Items[Cur team],MATCH(Log[[#This Row],[ID]],Items[ID],0))&amp;"",""))</f>
      </c>
      <c r="M308" s="17">
        <f>IF(OR(Log[[#This Row],[Verb]]="done",Log[[#This Row],[Verb]]="punt",Log[[#This Row],[Verb]]="drop",Log[[#This Row],[Verb]]="pass"),Log[[#This Row],[Pts]],0)</f>
      </c>
    </row>
    <row r="309">
      <c r="A309" s="11">
        <v>46104</v>
      </c>
      <c r="B309" t="s">
        <v>291</v>
      </c>
      <c r="C309" t="s">
        <v>41</v>
      </c>
      <c r="F309" s="17">
        <f>IF(Log[[#This Row],[ID]]="","",IF(ISNA(MATCH(Log[[#This Row],[ID]],Items[ID],0)),"unknown ID",IF(ISNA(MATCH(Log[[#This Row],[Verb]],VerbList,0)),"unknown verb",IF(Log[[#This Row],[Date]]="","no date",""))))</f>
      </c>
      <c r="G309" s="17">
        <f>IF(Log[[#This Row],[ID]]="","",IFERROR(VLOOKUP(Log[[#This Row],[Verb]],Verbs,3,FALSE)&amp;"",""))</f>
      </c>
      <c r="H309" s="17">
        <f>IF(Log[[#This Row],[Date]]="","",INT((Log[[#This Row],[Date]]-Sprint1)/SprintDays)+1)</f>
      </c>
      <c r="I309" s="17">
        <f>IF(OR(Log[[#This Row],[Verb]]="commit",Log[[#This Row],[Verb]]="carry",Log[[#This Row],[Verb]]="redo"),IF(Log[[#This Row],[Arg]]="",Log[[#This Row],[Sprint]],N(Log[[#This Row],[Arg]])),"")</f>
      </c>
      <c r="J309" s="17">
        <f>IF(Log[[#This Row],[Verb]]="block",1,IF(OR(Log[[#This Row],[Verb]]="unblock",Log[[#This Row],[Verb]]="done",Log[[#This Row],[Verb]]="drop",Log[[#This Row],[Verb]]="punt",Log[[#This Row],[Verb]]="pass"),0,""))</f>
      </c>
      <c r="K309" s="17">
        <f>IF(Log[[#This Row],[ID]]="",0,IFERROR(INDEX(Items[Pts],MATCH(Log[[#This Row],[ID]],Items[ID],0))*1,0))</f>
      </c>
      <c r="L309" s="17">
        <f>IF(Log[[#This Row],[ID]]="","",IFERROR(INDEX(Items[Cur team],MATCH(Log[[#This Row],[ID]],Items[ID],0))&amp;"",""))</f>
      </c>
      <c r="M309" s="17">
        <f>IF(OR(Log[[#This Row],[Verb]]="done",Log[[#This Row],[Verb]]="punt",Log[[#This Row],[Verb]]="drop",Log[[#This Row],[Verb]]="pass"),Log[[#This Row],[Pts]],0)</f>
      </c>
    </row>
    <row r="310">
      <c r="A310" s="11">
        <v>46104</v>
      </c>
      <c r="B310" t="s">
        <v>292</v>
      </c>
      <c r="C310" t="s">
        <v>41</v>
      </c>
      <c r="F310" s="17">
        <f>IF(Log[[#This Row],[ID]]="","",IF(ISNA(MATCH(Log[[#This Row],[ID]],Items[ID],0)),"unknown ID",IF(ISNA(MATCH(Log[[#This Row],[Verb]],VerbList,0)),"unknown verb",IF(Log[[#This Row],[Date]]="","no date",""))))</f>
      </c>
      <c r="G310" s="17">
        <f>IF(Log[[#This Row],[ID]]="","",IFERROR(VLOOKUP(Log[[#This Row],[Verb]],Verbs,3,FALSE)&amp;"",""))</f>
      </c>
      <c r="H310" s="17">
        <f>IF(Log[[#This Row],[Date]]="","",INT((Log[[#This Row],[Date]]-Sprint1)/SprintDays)+1)</f>
      </c>
      <c r="I310" s="17">
        <f>IF(OR(Log[[#This Row],[Verb]]="commit",Log[[#This Row],[Verb]]="carry",Log[[#This Row],[Verb]]="redo"),IF(Log[[#This Row],[Arg]]="",Log[[#This Row],[Sprint]],N(Log[[#This Row],[Arg]])),"")</f>
      </c>
      <c r="J310" s="17">
        <f>IF(Log[[#This Row],[Verb]]="block",1,IF(OR(Log[[#This Row],[Verb]]="unblock",Log[[#This Row],[Verb]]="done",Log[[#This Row],[Verb]]="drop",Log[[#This Row],[Verb]]="punt",Log[[#This Row],[Verb]]="pass"),0,""))</f>
      </c>
      <c r="K310" s="17">
        <f>IF(Log[[#This Row],[ID]]="",0,IFERROR(INDEX(Items[Pts],MATCH(Log[[#This Row],[ID]],Items[ID],0))*1,0))</f>
      </c>
      <c r="L310" s="17">
        <f>IF(Log[[#This Row],[ID]]="","",IFERROR(INDEX(Items[Cur team],MATCH(Log[[#This Row],[ID]],Items[ID],0))&amp;"",""))</f>
      </c>
      <c r="M310" s="17">
        <f>IF(OR(Log[[#This Row],[Verb]]="done",Log[[#This Row],[Verb]]="punt",Log[[#This Row],[Verb]]="drop",Log[[#This Row],[Verb]]="pass"),Log[[#This Row],[Pts]],0)</f>
      </c>
    </row>
    <row r="311">
      <c r="A311" s="11">
        <v>46104</v>
      </c>
      <c r="B311" t="s">
        <v>293</v>
      </c>
      <c r="C311" t="s">
        <v>41</v>
      </c>
      <c r="F311" s="17">
        <f>IF(Log[[#This Row],[ID]]="","",IF(ISNA(MATCH(Log[[#This Row],[ID]],Items[ID],0)),"unknown ID",IF(ISNA(MATCH(Log[[#This Row],[Verb]],VerbList,0)),"unknown verb",IF(Log[[#This Row],[Date]]="","no date",""))))</f>
      </c>
      <c r="G311" s="17">
        <f>IF(Log[[#This Row],[ID]]="","",IFERROR(VLOOKUP(Log[[#This Row],[Verb]],Verbs,3,FALSE)&amp;"",""))</f>
      </c>
      <c r="H311" s="17">
        <f>IF(Log[[#This Row],[Date]]="","",INT((Log[[#This Row],[Date]]-Sprint1)/SprintDays)+1)</f>
      </c>
      <c r="I311" s="17">
        <f>IF(OR(Log[[#This Row],[Verb]]="commit",Log[[#This Row],[Verb]]="carry",Log[[#This Row],[Verb]]="redo"),IF(Log[[#This Row],[Arg]]="",Log[[#This Row],[Sprint]],N(Log[[#This Row],[Arg]])),"")</f>
      </c>
      <c r="J311" s="17">
        <f>IF(Log[[#This Row],[Verb]]="block",1,IF(OR(Log[[#This Row],[Verb]]="unblock",Log[[#This Row],[Verb]]="done",Log[[#This Row],[Verb]]="drop",Log[[#This Row],[Verb]]="punt",Log[[#This Row],[Verb]]="pass"),0,""))</f>
      </c>
      <c r="K311" s="17">
        <f>IF(Log[[#This Row],[ID]]="",0,IFERROR(INDEX(Items[Pts],MATCH(Log[[#This Row],[ID]],Items[ID],0))*1,0))</f>
      </c>
      <c r="L311" s="17">
        <f>IF(Log[[#This Row],[ID]]="","",IFERROR(INDEX(Items[Cur team],MATCH(Log[[#This Row],[ID]],Items[ID],0))&amp;"",""))</f>
      </c>
      <c r="M311" s="17">
        <f>IF(OR(Log[[#This Row],[Verb]]="done",Log[[#This Row],[Verb]]="punt",Log[[#This Row],[Verb]]="drop",Log[[#This Row],[Verb]]="pass"),Log[[#This Row],[Pts]],0)</f>
      </c>
    </row>
    <row r="312">
      <c r="A312" s="11">
        <v>46104</v>
      </c>
      <c r="B312" t="s">
        <v>294</v>
      </c>
      <c r="C312" t="s">
        <v>41</v>
      </c>
      <c r="F312" s="17">
        <f>IF(Log[[#This Row],[ID]]="","",IF(ISNA(MATCH(Log[[#This Row],[ID]],Items[ID],0)),"unknown ID",IF(ISNA(MATCH(Log[[#This Row],[Verb]],VerbList,0)),"unknown verb",IF(Log[[#This Row],[Date]]="","no date",""))))</f>
      </c>
      <c r="G312" s="17">
        <f>IF(Log[[#This Row],[ID]]="","",IFERROR(VLOOKUP(Log[[#This Row],[Verb]],Verbs,3,FALSE)&amp;"",""))</f>
      </c>
      <c r="H312" s="17">
        <f>IF(Log[[#This Row],[Date]]="","",INT((Log[[#This Row],[Date]]-Sprint1)/SprintDays)+1)</f>
      </c>
      <c r="I312" s="17">
        <f>IF(OR(Log[[#This Row],[Verb]]="commit",Log[[#This Row],[Verb]]="carry",Log[[#This Row],[Verb]]="redo"),IF(Log[[#This Row],[Arg]]="",Log[[#This Row],[Sprint]],N(Log[[#This Row],[Arg]])),"")</f>
      </c>
      <c r="J312" s="17">
        <f>IF(Log[[#This Row],[Verb]]="block",1,IF(OR(Log[[#This Row],[Verb]]="unblock",Log[[#This Row],[Verb]]="done",Log[[#This Row],[Verb]]="drop",Log[[#This Row],[Verb]]="punt",Log[[#This Row],[Verb]]="pass"),0,""))</f>
      </c>
      <c r="K312" s="17">
        <f>IF(Log[[#This Row],[ID]]="",0,IFERROR(INDEX(Items[Pts],MATCH(Log[[#This Row],[ID]],Items[ID],0))*1,0))</f>
      </c>
      <c r="L312" s="17">
        <f>IF(Log[[#This Row],[ID]]="","",IFERROR(INDEX(Items[Cur team],MATCH(Log[[#This Row],[ID]],Items[ID],0))&amp;"",""))</f>
      </c>
      <c r="M312" s="17">
        <f>IF(OR(Log[[#This Row],[Verb]]="done",Log[[#This Row],[Verb]]="punt",Log[[#This Row],[Verb]]="drop",Log[[#This Row],[Verb]]="pass"),Log[[#This Row],[Pts]],0)</f>
      </c>
    </row>
    <row r="313">
      <c r="A313" s="11">
        <v>46104</v>
      </c>
      <c r="B313" t="s">
        <v>295</v>
      </c>
      <c r="C313" t="s">
        <v>41</v>
      </c>
      <c r="F313" s="17">
        <f>IF(Log[[#This Row],[ID]]="","",IF(ISNA(MATCH(Log[[#This Row],[ID]],Items[ID],0)),"unknown ID",IF(ISNA(MATCH(Log[[#This Row],[Verb]],VerbList,0)),"unknown verb",IF(Log[[#This Row],[Date]]="","no date",""))))</f>
      </c>
      <c r="G313" s="17">
        <f>IF(Log[[#This Row],[ID]]="","",IFERROR(VLOOKUP(Log[[#This Row],[Verb]],Verbs,3,FALSE)&amp;"",""))</f>
      </c>
      <c r="H313" s="17">
        <f>IF(Log[[#This Row],[Date]]="","",INT((Log[[#This Row],[Date]]-Sprint1)/SprintDays)+1)</f>
      </c>
      <c r="I313" s="17">
        <f>IF(OR(Log[[#This Row],[Verb]]="commit",Log[[#This Row],[Verb]]="carry",Log[[#This Row],[Verb]]="redo"),IF(Log[[#This Row],[Arg]]="",Log[[#This Row],[Sprint]],N(Log[[#This Row],[Arg]])),"")</f>
      </c>
      <c r="J313" s="17">
        <f>IF(Log[[#This Row],[Verb]]="block",1,IF(OR(Log[[#This Row],[Verb]]="unblock",Log[[#This Row],[Verb]]="done",Log[[#This Row],[Verb]]="drop",Log[[#This Row],[Verb]]="punt",Log[[#This Row],[Verb]]="pass"),0,""))</f>
      </c>
      <c r="K313" s="17">
        <f>IF(Log[[#This Row],[ID]]="",0,IFERROR(INDEX(Items[Pts],MATCH(Log[[#This Row],[ID]],Items[ID],0))*1,0))</f>
      </c>
      <c r="L313" s="17">
        <f>IF(Log[[#This Row],[ID]]="","",IFERROR(INDEX(Items[Cur team],MATCH(Log[[#This Row],[ID]],Items[ID],0))&amp;"",""))</f>
      </c>
      <c r="M313" s="17">
        <f>IF(OR(Log[[#This Row],[Verb]]="done",Log[[#This Row],[Verb]]="punt",Log[[#This Row],[Verb]]="drop",Log[[#This Row],[Verb]]="pass"),Log[[#This Row],[Pts]],0)</f>
      </c>
    </row>
    <row r="314">
      <c r="A314" s="11">
        <v>46105</v>
      </c>
      <c r="B314" t="s">
        <v>296</v>
      </c>
      <c r="C314" t="s">
        <v>34</v>
      </c>
      <c r="D314">
        <v>40</v>
      </c>
      <c r="F314" s="17">
        <f>IF(Log[[#This Row],[ID]]="","",IF(ISNA(MATCH(Log[[#This Row],[ID]],Items[ID],0)),"unknown ID",IF(ISNA(MATCH(Log[[#This Row],[Verb]],VerbList,0)),"unknown verb",IF(Log[[#This Row],[Date]]="","no date",""))))</f>
      </c>
      <c r="G314" s="17">
        <f>IF(Log[[#This Row],[ID]]="","",IFERROR(VLOOKUP(Log[[#This Row],[Verb]],Verbs,3,FALSE)&amp;"",""))</f>
      </c>
      <c r="H314" s="17">
        <f>IF(Log[[#This Row],[Date]]="","",INT((Log[[#This Row],[Date]]-Sprint1)/SprintDays)+1)</f>
      </c>
      <c r="I314" s="17">
        <f>IF(OR(Log[[#This Row],[Verb]]="commit",Log[[#This Row],[Verb]]="carry",Log[[#This Row],[Verb]]="redo"),IF(Log[[#This Row],[Arg]]="",Log[[#This Row],[Sprint]],N(Log[[#This Row],[Arg]])),"")</f>
      </c>
      <c r="J314" s="17">
        <f>IF(Log[[#This Row],[Verb]]="block",1,IF(OR(Log[[#This Row],[Verb]]="unblock",Log[[#This Row],[Verb]]="done",Log[[#This Row],[Verb]]="drop",Log[[#This Row],[Verb]]="punt",Log[[#This Row],[Verb]]="pass"),0,""))</f>
      </c>
      <c r="K314" s="17">
        <f>IF(Log[[#This Row],[ID]]="",0,IFERROR(INDEX(Items[Pts],MATCH(Log[[#This Row],[ID]],Items[ID],0))*1,0))</f>
      </c>
      <c r="L314" s="17">
        <f>IF(Log[[#This Row],[ID]]="","",IFERROR(INDEX(Items[Cur team],MATCH(Log[[#This Row],[ID]],Items[ID],0))&amp;"",""))</f>
      </c>
      <c r="M314" s="17">
        <f>IF(OR(Log[[#This Row],[Verb]]="done",Log[[#This Row],[Verb]]="punt",Log[[#This Row],[Verb]]="drop",Log[[#This Row],[Verb]]="pass"),Log[[#This Row],[Pts]],0)</f>
      </c>
    </row>
    <row r="315">
      <c r="A315" s="11">
        <v>46105</v>
      </c>
      <c r="B315" t="s">
        <v>297</v>
      </c>
      <c r="C315" t="s">
        <v>34</v>
      </c>
      <c r="D315">
        <v>40</v>
      </c>
      <c r="F315" s="17">
        <f>IF(Log[[#This Row],[ID]]="","",IF(ISNA(MATCH(Log[[#This Row],[ID]],Items[ID],0)),"unknown ID",IF(ISNA(MATCH(Log[[#This Row],[Verb]],VerbList,0)),"unknown verb",IF(Log[[#This Row],[Date]]="","no date",""))))</f>
      </c>
      <c r="G315" s="17">
        <f>IF(Log[[#This Row],[ID]]="","",IFERROR(VLOOKUP(Log[[#This Row],[Verb]],Verbs,3,FALSE)&amp;"",""))</f>
      </c>
      <c r="H315" s="17">
        <f>IF(Log[[#This Row],[Date]]="","",INT((Log[[#This Row],[Date]]-Sprint1)/SprintDays)+1)</f>
      </c>
      <c r="I315" s="17">
        <f>IF(OR(Log[[#This Row],[Verb]]="commit",Log[[#This Row],[Verb]]="carry",Log[[#This Row],[Verb]]="redo"),IF(Log[[#This Row],[Arg]]="",Log[[#This Row],[Sprint]],N(Log[[#This Row],[Arg]])),"")</f>
      </c>
      <c r="J315" s="17">
        <f>IF(Log[[#This Row],[Verb]]="block",1,IF(OR(Log[[#This Row],[Verb]]="unblock",Log[[#This Row],[Verb]]="done",Log[[#This Row],[Verb]]="drop",Log[[#This Row],[Verb]]="punt",Log[[#This Row],[Verb]]="pass"),0,""))</f>
      </c>
      <c r="K315" s="17">
        <f>IF(Log[[#This Row],[ID]]="",0,IFERROR(INDEX(Items[Pts],MATCH(Log[[#This Row],[ID]],Items[ID],0))*1,0))</f>
      </c>
      <c r="L315" s="17">
        <f>IF(Log[[#This Row],[ID]]="","",IFERROR(INDEX(Items[Cur team],MATCH(Log[[#This Row],[ID]],Items[ID],0))&amp;"",""))</f>
      </c>
      <c r="M315" s="17">
        <f>IF(OR(Log[[#This Row],[Verb]]="done",Log[[#This Row],[Verb]]="punt",Log[[#This Row],[Verb]]="drop",Log[[#This Row],[Verb]]="pass"),Log[[#This Row],[Pts]],0)</f>
      </c>
    </row>
    <row r="316">
      <c r="A316" s="11">
        <v>46105</v>
      </c>
      <c r="B316" t="s">
        <v>298</v>
      </c>
      <c r="C316" t="s">
        <v>34</v>
      </c>
      <c r="D316">
        <v>40</v>
      </c>
      <c r="F316" s="17">
        <f>IF(Log[[#This Row],[ID]]="","",IF(ISNA(MATCH(Log[[#This Row],[ID]],Items[ID],0)),"unknown ID",IF(ISNA(MATCH(Log[[#This Row],[Verb]],VerbList,0)),"unknown verb",IF(Log[[#This Row],[Date]]="","no date",""))))</f>
      </c>
      <c r="G316" s="17">
        <f>IF(Log[[#This Row],[ID]]="","",IFERROR(VLOOKUP(Log[[#This Row],[Verb]],Verbs,3,FALSE)&amp;"",""))</f>
      </c>
      <c r="H316" s="17">
        <f>IF(Log[[#This Row],[Date]]="","",INT((Log[[#This Row],[Date]]-Sprint1)/SprintDays)+1)</f>
      </c>
      <c r="I316" s="17">
        <f>IF(OR(Log[[#This Row],[Verb]]="commit",Log[[#This Row],[Verb]]="carry",Log[[#This Row],[Verb]]="redo"),IF(Log[[#This Row],[Arg]]="",Log[[#This Row],[Sprint]],N(Log[[#This Row],[Arg]])),"")</f>
      </c>
      <c r="J316" s="17">
        <f>IF(Log[[#This Row],[Verb]]="block",1,IF(OR(Log[[#This Row],[Verb]]="unblock",Log[[#This Row],[Verb]]="done",Log[[#This Row],[Verb]]="drop",Log[[#This Row],[Verb]]="punt",Log[[#This Row],[Verb]]="pass"),0,""))</f>
      </c>
      <c r="K316" s="17">
        <f>IF(Log[[#This Row],[ID]]="",0,IFERROR(INDEX(Items[Pts],MATCH(Log[[#This Row],[ID]],Items[ID],0))*1,0))</f>
      </c>
      <c r="L316" s="17">
        <f>IF(Log[[#This Row],[ID]]="","",IFERROR(INDEX(Items[Cur team],MATCH(Log[[#This Row],[ID]],Items[ID],0))&amp;"",""))</f>
      </c>
      <c r="M316" s="17">
        <f>IF(OR(Log[[#This Row],[Verb]]="done",Log[[#This Row],[Verb]]="punt",Log[[#This Row],[Verb]]="drop",Log[[#This Row],[Verb]]="pass"),Log[[#This Row],[Pts]],0)</f>
      </c>
    </row>
    <row r="317">
      <c r="A317" s="11">
        <v>46105</v>
      </c>
      <c r="B317" t="s">
        <v>299</v>
      </c>
      <c r="C317" t="s">
        <v>34</v>
      </c>
      <c r="D317">
        <v>40</v>
      </c>
      <c r="F317" s="17">
        <f>IF(Log[[#This Row],[ID]]="","",IF(ISNA(MATCH(Log[[#This Row],[ID]],Items[ID],0)),"unknown ID",IF(ISNA(MATCH(Log[[#This Row],[Verb]],VerbList,0)),"unknown verb",IF(Log[[#This Row],[Date]]="","no date",""))))</f>
      </c>
      <c r="G317" s="17">
        <f>IF(Log[[#This Row],[ID]]="","",IFERROR(VLOOKUP(Log[[#This Row],[Verb]],Verbs,3,FALSE)&amp;"",""))</f>
      </c>
      <c r="H317" s="17">
        <f>IF(Log[[#This Row],[Date]]="","",INT((Log[[#This Row],[Date]]-Sprint1)/SprintDays)+1)</f>
      </c>
      <c r="I317" s="17">
        <f>IF(OR(Log[[#This Row],[Verb]]="commit",Log[[#This Row],[Verb]]="carry",Log[[#This Row],[Verb]]="redo"),IF(Log[[#This Row],[Arg]]="",Log[[#This Row],[Sprint]],N(Log[[#This Row],[Arg]])),"")</f>
      </c>
      <c r="J317" s="17">
        <f>IF(Log[[#This Row],[Verb]]="block",1,IF(OR(Log[[#This Row],[Verb]]="unblock",Log[[#This Row],[Verb]]="done",Log[[#This Row],[Verb]]="drop",Log[[#This Row],[Verb]]="punt",Log[[#This Row],[Verb]]="pass"),0,""))</f>
      </c>
      <c r="K317" s="17">
        <f>IF(Log[[#This Row],[ID]]="",0,IFERROR(INDEX(Items[Pts],MATCH(Log[[#This Row],[ID]],Items[ID],0))*1,0))</f>
      </c>
      <c r="L317" s="17">
        <f>IF(Log[[#This Row],[ID]]="","",IFERROR(INDEX(Items[Cur team],MATCH(Log[[#This Row],[ID]],Items[ID],0))&amp;"",""))</f>
      </c>
      <c r="M317" s="17">
        <f>IF(OR(Log[[#This Row],[Verb]]="done",Log[[#This Row],[Verb]]="punt",Log[[#This Row],[Verb]]="drop",Log[[#This Row],[Verb]]="pass"),Log[[#This Row],[Pts]],0)</f>
      </c>
    </row>
    <row r="318">
      <c r="A318" s="11">
        <v>46105</v>
      </c>
      <c r="B318" t="s">
        <v>300</v>
      </c>
      <c r="C318" t="s">
        <v>34</v>
      </c>
      <c r="D318">
        <v>40</v>
      </c>
      <c r="F318" s="17">
        <f>IF(Log[[#This Row],[ID]]="","",IF(ISNA(MATCH(Log[[#This Row],[ID]],Items[ID],0)),"unknown ID",IF(ISNA(MATCH(Log[[#This Row],[Verb]],VerbList,0)),"unknown verb",IF(Log[[#This Row],[Date]]="","no date",""))))</f>
      </c>
      <c r="G318" s="17">
        <f>IF(Log[[#This Row],[ID]]="","",IFERROR(VLOOKUP(Log[[#This Row],[Verb]],Verbs,3,FALSE)&amp;"",""))</f>
      </c>
      <c r="H318" s="17">
        <f>IF(Log[[#This Row],[Date]]="","",INT((Log[[#This Row],[Date]]-Sprint1)/SprintDays)+1)</f>
      </c>
      <c r="I318" s="17">
        <f>IF(OR(Log[[#This Row],[Verb]]="commit",Log[[#This Row],[Verb]]="carry",Log[[#This Row],[Verb]]="redo"),IF(Log[[#This Row],[Arg]]="",Log[[#This Row],[Sprint]],N(Log[[#This Row],[Arg]])),"")</f>
      </c>
      <c r="J318" s="17">
        <f>IF(Log[[#This Row],[Verb]]="block",1,IF(OR(Log[[#This Row],[Verb]]="unblock",Log[[#This Row],[Verb]]="done",Log[[#This Row],[Verb]]="drop",Log[[#This Row],[Verb]]="punt",Log[[#This Row],[Verb]]="pass"),0,""))</f>
      </c>
      <c r="K318" s="17">
        <f>IF(Log[[#This Row],[ID]]="",0,IFERROR(INDEX(Items[Pts],MATCH(Log[[#This Row],[ID]],Items[ID],0))*1,0))</f>
      </c>
      <c r="L318" s="17">
        <f>IF(Log[[#This Row],[ID]]="","",IFERROR(INDEX(Items[Cur team],MATCH(Log[[#This Row],[ID]],Items[ID],0))&amp;"",""))</f>
      </c>
      <c r="M318" s="17">
        <f>IF(OR(Log[[#This Row],[Verb]]="done",Log[[#This Row],[Verb]]="punt",Log[[#This Row],[Verb]]="drop",Log[[#This Row],[Verb]]="pass"),Log[[#This Row],[Pts]],0)</f>
      </c>
    </row>
    <row r="319">
      <c r="A319" s="11">
        <v>46105</v>
      </c>
      <c r="B319" t="s">
        <v>301</v>
      </c>
      <c r="C319" t="s">
        <v>34</v>
      </c>
      <c r="D319">
        <v>40</v>
      </c>
      <c r="F319" s="17">
        <f>IF(Log[[#This Row],[ID]]="","",IF(ISNA(MATCH(Log[[#This Row],[ID]],Items[ID],0)),"unknown ID",IF(ISNA(MATCH(Log[[#This Row],[Verb]],VerbList,0)),"unknown verb",IF(Log[[#This Row],[Date]]="","no date",""))))</f>
      </c>
      <c r="G319" s="17">
        <f>IF(Log[[#This Row],[ID]]="","",IFERROR(VLOOKUP(Log[[#This Row],[Verb]],Verbs,3,FALSE)&amp;"",""))</f>
      </c>
      <c r="H319" s="17">
        <f>IF(Log[[#This Row],[Date]]="","",INT((Log[[#This Row],[Date]]-Sprint1)/SprintDays)+1)</f>
      </c>
      <c r="I319" s="17">
        <f>IF(OR(Log[[#This Row],[Verb]]="commit",Log[[#This Row],[Verb]]="carry",Log[[#This Row],[Verb]]="redo"),IF(Log[[#This Row],[Arg]]="",Log[[#This Row],[Sprint]],N(Log[[#This Row],[Arg]])),"")</f>
      </c>
      <c r="J319" s="17">
        <f>IF(Log[[#This Row],[Verb]]="block",1,IF(OR(Log[[#This Row],[Verb]]="unblock",Log[[#This Row],[Verb]]="done",Log[[#This Row],[Verb]]="drop",Log[[#This Row],[Verb]]="punt",Log[[#This Row],[Verb]]="pass"),0,""))</f>
      </c>
      <c r="K319" s="17">
        <f>IF(Log[[#This Row],[ID]]="",0,IFERROR(INDEX(Items[Pts],MATCH(Log[[#This Row],[ID]],Items[ID],0))*1,0))</f>
      </c>
      <c r="L319" s="17">
        <f>IF(Log[[#This Row],[ID]]="","",IFERROR(INDEX(Items[Cur team],MATCH(Log[[#This Row],[ID]],Items[ID],0))&amp;"",""))</f>
      </c>
      <c r="M319" s="17">
        <f>IF(OR(Log[[#This Row],[Verb]]="done",Log[[#This Row],[Verb]]="punt",Log[[#This Row],[Verb]]="drop",Log[[#This Row],[Verb]]="pass"),Log[[#This Row],[Pts]],0)</f>
      </c>
    </row>
    <row r="320">
      <c r="A320" s="11">
        <v>46105</v>
      </c>
      <c r="B320" t="s">
        <v>302</v>
      </c>
      <c r="C320" t="s">
        <v>34</v>
      </c>
      <c r="D320">
        <v>40</v>
      </c>
      <c r="F320" s="17">
        <f>IF(Log[[#This Row],[ID]]="","",IF(ISNA(MATCH(Log[[#This Row],[ID]],Items[ID],0)),"unknown ID",IF(ISNA(MATCH(Log[[#This Row],[Verb]],VerbList,0)),"unknown verb",IF(Log[[#This Row],[Date]]="","no date",""))))</f>
      </c>
      <c r="G320" s="17">
        <f>IF(Log[[#This Row],[ID]]="","",IFERROR(VLOOKUP(Log[[#This Row],[Verb]],Verbs,3,FALSE)&amp;"",""))</f>
      </c>
      <c r="H320" s="17">
        <f>IF(Log[[#This Row],[Date]]="","",INT((Log[[#This Row],[Date]]-Sprint1)/SprintDays)+1)</f>
      </c>
      <c r="I320" s="17">
        <f>IF(OR(Log[[#This Row],[Verb]]="commit",Log[[#This Row],[Verb]]="carry",Log[[#This Row],[Verb]]="redo"),IF(Log[[#This Row],[Arg]]="",Log[[#This Row],[Sprint]],N(Log[[#This Row],[Arg]])),"")</f>
      </c>
      <c r="J320" s="17">
        <f>IF(Log[[#This Row],[Verb]]="block",1,IF(OR(Log[[#This Row],[Verb]]="unblock",Log[[#This Row],[Verb]]="done",Log[[#This Row],[Verb]]="drop",Log[[#This Row],[Verb]]="punt",Log[[#This Row],[Verb]]="pass"),0,""))</f>
      </c>
      <c r="K320" s="17">
        <f>IF(Log[[#This Row],[ID]]="",0,IFERROR(INDEX(Items[Pts],MATCH(Log[[#This Row],[ID]],Items[ID],0))*1,0))</f>
      </c>
      <c r="L320" s="17">
        <f>IF(Log[[#This Row],[ID]]="","",IFERROR(INDEX(Items[Cur team],MATCH(Log[[#This Row],[ID]],Items[ID],0))&amp;"",""))</f>
      </c>
      <c r="M320" s="17">
        <f>IF(OR(Log[[#This Row],[Verb]]="done",Log[[#This Row],[Verb]]="punt",Log[[#This Row],[Verb]]="drop",Log[[#This Row],[Verb]]="pass"),Log[[#This Row],[Pts]],0)</f>
      </c>
    </row>
    <row r="321">
      <c r="A321" s="11">
        <v>46105</v>
      </c>
      <c r="B321" t="s">
        <v>303</v>
      </c>
      <c r="C321" t="s">
        <v>34</v>
      </c>
      <c r="D321">
        <v>40</v>
      </c>
      <c r="F321" s="17">
        <f>IF(Log[[#This Row],[ID]]="","",IF(ISNA(MATCH(Log[[#This Row],[ID]],Items[ID],0)),"unknown ID",IF(ISNA(MATCH(Log[[#This Row],[Verb]],VerbList,0)),"unknown verb",IF(Log[[#This Row],[Date]]="","no date",""))))</f>
      </c>
      <c r="G321" s="17">
        <f>IF(Log[[#This Row],[ID]]="","",IFERROR(VLOOKUP(Log[[#This Row],[Verb]],Verbs,3,FALSE)&amp;"",""))</f>
      </c>
      <c r="H321" s="17">
        <f>IF(Log[[#This Row],[Date]]="","",INT((Log[[#This Row],[Date]]-Sprint1)/SprintDays)+1)</f>
      </c>
      <c r="I321" s="17">
        <f>IF(OR(Log[[#This Row],[Verb]]="commit",Log[[#This Row],[Verb]]="carry",Log[[#This Row],[Verb]]="redo"),IF(Log[[#This Row],[Arg]]="",Log[[#This Row],[Sprint]],N(Log[[#This Row],[Arg]])),"")</f>
      </c>
      <c r="J321" s="17">
        <f>IF(Log[[#This Row],[Verb]]="block",1,IF(OR(Log[[#This Row],[Verb]]="unblock",Log[[#This Row],[Verb]]="done",Log[[#This Row],[Verb]]="drop",Log[[#This Row],[Verb]]="punt",Log[[#This Row],[Verb]]="pass"),0,""))</f>
      </c>
      <c r="K321" s="17">
        <f>IF(Log[[#This Row],[ID]]="",0,IFERROR(INDEX(Items[Pts],MATCH(Log[[#This Row],[ID]],Items[ID],0))*1,0))</f>
      </c>
      <c r="L321" s="17">
        <f>IF(Log[[#This Row],[ID]]="","",IFERROR(INDEX(Items[Cur team],MATCH(Log[[#This Row],[ID]],Items[ID],0))&amp;"",""))</f>
      </c>
      <c r="M321" s="17">
        <f>IF(OR(Log[[#This Row],[Verb]]="done",Log[[#This Row],[Verb]]="punt",Log[[#This Row],[Verb]]="drop",Log[[#This Row],[Verb]]="pass"),Log[[#This Row],[Pts]],0)</f>
      </c>
    </row>
    <row r="322">
      <c r="A322" s="11">
        <v>46105</v>
      </c>
      <c r="B322" t="s">
        <v>304</v>
      </c>
      <c r="C322" t="s">
        <v>34</v>
      </c>
      <c r="D322">
        <v>40</v>
      </c>
      <c r="F322" s="17">
        <f>IF(Log[[#This Row],[ID]]="","",IF(ISNA(MATCH(Log[[#This Row],[ID]],Items[ID],0)),"unknown ID",IF(ISNA(MATCH(Log[[#This Row],[Verb]],VerbList,0)),"unknown verb",IF(Log[[#This Row],[Date]]="","no date",""))))</f>
      </c>
      <c r="G322" s="17">
        <f>IF(Log[[#This Row],[ID]]="","",IFERROR(VLOOKUP(Log[[#This Row],[Verb]],Verbs,3,FALSE)&amp;"",""))</f>
      </c>
      <c r="H322" s="17">
        <f>IF(Log[[#This Row],[Date]]="","",INT((Log[[#This Row],[Date]]-Sprint1)/SprintDays)+1)</f>
      </c>
      <c r="I322" s="17">
        <f>IF(OR(Log[[#This Row],[Verb]]="commit",Log[[#This Row],[Verb]]="carry",Log[[#This Row],[Verb]]="redo"),IF(Log[[#This Row],[Arg]]="",Log[[#This Row],[Sprint]],N(Log[[#This Row],[Arg]])),"")</f>
      </c>
      <c r="J322" s="17">
        <f>IF(Log[[#This Row],[Verb]]="block",1,IF(OR(Log[[#This Row],[Verb]]="unblock",Log[[#This Row],[Verb]]="done",Log[[#This Row],[Verb]]="drop",Log[[#This Row],[Verb]]="punt",Log[[#This Row],[Verb]]="pass"),0,""))</f>
      </c>
      <c r="K322" s="17">
        <f>IF(Log[[#This Row],[ID]]="",0,IFERROR(INDEX(Items[Pts],MATCH(Log[[#This Row],[ID]],Items[ID],0))*1,0))</f>
      </c>
      <c r="L322" s="17">
        <f>IF(Log[[#This Row],[ID]]="","",IFERROR(INDEX(Items[Cur team],MATCH(Log[[#This Row],[ID]],Items[ID],0))&amp;"",""))</f>
      </c>
      <c r="M322" s="17">
        <f>IF(OR(Log[[#This Row],[Verb]]="done",Log[[#This Row],[Verb]]="punt",Log[[#This Row],[Verb]]="drop",Log[[#This Row],[Verb]]="pass"),Log[[#This Row],[Pts]],0)</f>
      </c>
    </row>
    <row r="323">
      <c r="A323" s="11">
        <v>46105</v>
      </c>
      <c r="B323" t="s">
        <v>305</v>
      </c>
      <c r="C323" t="s">
        <v>34</v>
      </c>
      <c r="D323">
        <v>40</v>
      </c>
      <c r="F323" s="17">
        <f>IF(Log[[#This Row],[ID]]="","",IF(ISNA(MATCH(Log[[#This Row],[ID]],Items[ID],0)),"unknown ID",IF(ISNA(MATCH(Log[[#This Row],[Verb]],VerbList,0)),"unknown verb",IF(Log[[#This Row],[Date]]="","no date",""))))</f>
      </c>
      <c r="G323" s="17">
        <f>IF(Log[[#This Row],[ID]]="","",IFERROR(VLOOKUP(Log[[#This Row],[Verb]],Verbs,3,FALSE)&amp;"",""))</f>
      </c>
      <c r="H323" s="17">
        <f>IF(Log[[#This Row],[Date]]="","",INT((Log[[#This Row],[Date]]-Sprint1)/SprintDays)+1)</f>
      </c>
      <c r="I323" s="17">
        <f>IF(OR(Log[[#This Row],[Verb]]="commit",Log[[#This Row],[Verb]]="carry",Log[[#This Row],[Verb]]="redo"),IF(Log[[#This Row],[Arg]]="",Log[[#This Row],[Sprint]],N(Log[[#This Row],[Arg]])),"")</f>
      </c>
      <c r="J323" s="17">
        <f>IF(Log[[#This Row],[Verb]]="block",1,IF(OR(Log[[#This Row],[Verb]]="unblock",Log[[#This Row],[Verb]]="done",Log[[#This Row],[Verb]]="drop",Log[[#This Row],[Verb]]="punt",Log[[#This Row],[Verb]]="pass"),0,""))</f>
      </c>
      <c r="K323" s="17">
        <f>IF(Log[[#This Row],[ID]]="",0,IFERROR(INDEX(Items[Pts],MATCH(Log[[#This Row],[ID]],Items[ID],0))*1,0))</f>
      </c>
      <c r="L323" s="17">
        <f>IF(Log[[#This Row],[ID]]="","",IFERROR(INDEX(Items[Cur team],MATCH(Log[[#This Row],[ID]],Items[ID],0))&amp;"",""))</f>
      </c>
      <c r="M323" s="17">
        <f>IF(OR(Log[[#This Row],[Verb]]="done",Log[[#This Row],[Verb]]="punt",Log[[#This Row],[Verb]]="drop",Log[[#This Row],[Verb]]="pass"),Log[[#This Row],[Pts]],0)</f>
      </c>
    </row>
    <row r="324">
      <c r="A324" s="11">
        <v>46105</v>
      </c>
      <c r="B324" t="s">
        <v>306</v>
      </c>
      <c r="C324" t="s">
        <v>34</v>
      </c>
      <c r="D324">
        <v>40</v>
      </c>
      <c r="F324" s="17">
        <f>IF(Log[[#This Row],[ID]]="","",IF(ISNA(MATCH(Log[[#This Row],[ID]],Items[ID],0)),"unknown ID",IF(ISNA(MATCH(Log[[#This Row],[Verb]],VerbList,0)),"unknown verb",IF(Log[[#This Row],[Date]]="","no date",""))))</f>
      </c>
      <c r="G324" s="17">
        <f>IF(Log[[#This Row],[ID]]="","",IFERROR(VLOOKUP(Log[[#This Row],[Verb]],Verbs,3,FALSE)&amp;"",""))</f>
      </c>
      <c r="H324" s="17">
        <f>IF(Log[[#This Row],[Date]]="","",INT((Log[[#This Row],[Date]]-Sprint1)/SprintDays)+1)</f>
      </c>
      <c r="I324" s="17">
        <f>IF(OR(Log[[#This Row],[Verb]]="commit",Log[[#This Row],[Verb]]="carry",Log[[#This Row],[Verb]]="redo"),IF(Log[[#This Row],[Arg]]="",Log[[#This Row],[Sprint]],N(Log[[#This Row],[Arg]])),"")</f>
      </c>
      <c r="J324" s="17">
        <f>IF(Log[[#This Row],[Verb]]="block",1,IF(OR(Log[[#This Row],[Verb]]="unblock",Log[[#This Row],[Verb]]="done",Log[[#This Row],[Verb]]="drop",Log[[#This Row],[Verb]]="punt",Log[[#This Row],[Verb]]="pass"),0,""))</f>
      </c>
      <c r="K324" s="17">
        <f>IF(Log[[#This Row],[ID]]="",0,IFERROR(INDEX(Items[Pts],MATCH(Log[[#This Row],[ID]],Items[ID],0))*1,0))</f>
      </c>
      <c r="L324" s="17">
        <f>IF(Log[[#This Row],[ID]]="","",IFERROR(INDEX(Items[Cur team],MATCH(Log[[#This Row],[ID]],Items[ID],0))&amp;"",""))</f>
      </c>
      <c r="M324" s="17">
        <f>IF(OR(Log[[#This Row],[Verb]]="done",Log[[#This Row],[Verb]]="punt",Log[[#This Row],[Verb]]="drop",Log[[#This Row],[Verb]]="pass"),Log[[#This Row],[Pts]],0)</f>
      </c>
    </row>
    <row r="325">
      <c r="A325" s="11">
        <v>46105</v>
      </c>
      <c r="B325" t="s">
        <v>307</v>
      </c>
      <c r="C325" t="s">
        <v>34</v>
      </c>
      <c r="D325">
        <v>40</v>
      </c>
      <c r="F325" s="17">
        <f>IF(Log[[#This Row],[ID]]="","",IF(ISNA(MATCH(Log[[#This Row],[ID]],Items[ID],0)),"unknown ID",IF(ISNA(MATCH(Log[[#This Row],[Verb]],VerbList,0)),"unknown verb",IF(Log[[#This Row],[Date]]="","no date",""))))</f>
      </c>
      <c r="G325" s="17">
        <f>IF(Log[[#This Row],[ID]]="","",IFERROR(VLOOKUP(Log[[#This Row],[Verb]],Verbs,3,FALSE)&amp;"",""))</f>
      </c>
      <c r="H325" s="17">
        <f>IF(Log[[#This Row],[Date]]="","",INT((Log[[#This Row],[Date]]-Sprint1)/SprintDays)+1)</f>
      </c>
      <c r="I325" s="17">
        <f>IF(OR(Log[[#This Row],[Verb]]="commit",Log[[#This Row],[Verb]]="carry",Log[[#This Row],[Verb]]="redo"),IF(Log[[#This Row],[Arg]]="",Log[[#This Row],[Sprint]],N(Log[[#This Row],[Arg]])),"")</f>
      </c>
      <c r="J325" s="17">
        <f>IF(Log[[#This Row],[Verb]]="block",1,IF(OR(Log[[#This Row],[Verb]]="unblock",Log[[#This Row],[Verb]]="done",Log[[#This Row],[Verb]]="drop",Log[[#This Row],[Verb]]="punt",Log[[#This Row],[Verb]]="pass"),0,""))</f>
      </c>
      <c r="K325" s="17">
        <f>IF(Log[[#This Row],[ID]]="",0,IFERROR(INDEX(Items[Pts],MATCH(Log[[#This Row],[ID]],Items[ID],0))*1,0))</f>
      </c>
      <c r="L325" s="17">
        <f>IF(Log[[#This Row],[ID]]="","",IFERROR(INDEX(Items[Cur team],MATCH(Log[[#This Row],[ID]],Items[ID],0))&amp;"",""))</f>
      </c>
      <c r="M325" s="17">
        <f>IF(OR(Log[[#This Row],[Verb]]="done",Log[[#This Row],[Verb]]="punt",Log[[#This Row],[Verb]]="drop",Log[[#This Row],[Verb]]="pass"),Log[[#This Row],[Pts]],0)</f>
      </c>
    </row>
    <row r="326">
      <c r="A326" s="11">
        <v>46105</v>
      </c>
      <c r="B326" t="s">
        <v>308</v>
      </c>
      <c r="C326" t="s">
        <v>34</v>
      </c>
      <c r="D326">
        <v>40</v>
      </c>
      <c r="F326" s="17">
        <f>IF(Log[[#This Row],[ID]]="","",IF(ISNA(MATCH(Log[[#This Row],[ID]],Items[ID],0)),"unknown ID",IF(ISNA(MATCH(Log[[#This Row],[Verb]],VerbList,0)),"unknown verb",IF(Log[[#This Row],[Date]]="","no date",""))))</f>
      </c>
      <c r="G326" s="17">
        <f>IF(Log[[#This Row],[ID]]="","",IFERROR(VLOOKUP(Log[[#This Row],[Verb]],Verbs,3,FALSE)&amp;"",""))</f>
      </c>
      <c r="H326" s="17">
        <f>IF(Log[[#This Row],[Date]]="","",INT((Log[[#This Row],[Date]]-Sprint1)/SprintDays)+1)</f>
      </c>
      <c r="I326" s="17">
        <f>IF(OR(Log[[#This Row],[Verb]]="commit",Log[[#This Row],[Verb]]="carry",Log[[#This Row],[Verb]]="redo"),IF(Log[[#This Row],[Arg]]="",Log[[#This Row],[Sprint]],N(Log[[#This Row],[Arg]])),"")</f>
      </c>
      <c r="J326" s="17">
        <f>IF(Log[[#This Row],[Verb]]="block",1,IF(OR(Log[[#This Row],[Verb]]="unblock",Log[[#This Row],[Verb]]="done",Log[[#This Row],[Verb]]="drop",Log[[#This Row],[Verb]]="punt",Log[[#This Row],[Verb]]="pass"),0,""))</f>
      </c>
      <c r="K326" s="17">
        <f>IF(Log[[#This Row],[ID]]="",0,IFERROR(INDEX(Items[Pts],MATCH(Log[[#This Row],[ID]],Items[ID],0))*1,0))</f>
      </c>
      <c r="L326" s="17">
        <f>IF(Log[[#This Row],[ID]]="","",IFERROR(INDEX(Items[Cur team],MATCH(Log[[#This Row],[ID]],Items[ID],0))&amp;"",""))</f>
      </c>
      <c r="M326" s="17">
        <f>IF(OR(Log[[#This Row],[Verb]]="done",Log[[#This Row],[Verb]]="punt",Log[[#This Row],[Verb]]="drop",Log[[#This Row],[Verb]]="pass"),Log[[#This Row],[Pts]],0)</f>
      </c>
    </row>
    <row r="327">
      <c r="A327" s="11">
        <v>46105</v>
      </c>
      <c r="B327" t="s">
        <v>309</v>
      </c>
      <c r="C327" t="s">
        <v>34</v>
      </c>
      <c r="D327">
        <v>40</v>
      </c>
      <c r="F327" s="17">
        <f>IF(Log[[#This Row],[ID]]="","",IF(ISNA(MATCH(Log[[#This Row],[ID]],Items[ID],0)),"unknown ID",IF(ISNA(MATCH(Log[[#This Row],[Verb]],VerbList,0)),"unknown verb",IF(Log[[#This Row],[Date]]="","no date",""))))</f>
      </c>
      <c r="G327" s="17">
        <f>IF(Log[[#This Row],[ID]]="","",IFERROR(VLOOKUP(Log[[#This Row],[Verb]],Verbs,3,FALSE)&amp;"",""))</f>
      </c>
      <c r="H327" s="17">
        <f>IF(Log[[#This Row],[Date]]="","",INT((Log[[#This Row],[Date]]-Sprint1)/SprintDays)+1)</f>
      </c>
      <c r="I327" s="17">
        <f>IF(OR(Log[[#This Row],[Verb]]="commit",Log[[#This Row],[Verb]]="carry",Log[[#This Row],[Verb]]="redo"),IF(Log[[#This Row],[Arg]]="",Log[[#This Row],[Sprint]],N(Log[[#This Row],[Arg]])),"")</f>
      </c>
      <c r="J327" s="17">
        <f>IF(Log[[#This Row],[Verb]]="block",1,IF(OR(Log[[#This Row],[Verb]]="unblock",Log[[#This Row],[Verb]]="done",Log[[#This Row],[Verb]]="drop",Log[[#This Row],[Verb]]="punt",Log[[#This Row],[Verb]]="pass"),0,""))</f>
      </c>
      <c r="K327" s="17">
        <f>IF(Log[[#This Row],[ID]]="",0,IFERROR(INDEX(Items[Pts],MATCH(Log[[#This Row],[ID]],Items[ID],0))*1,0))</f>
      </c>
      <c r="L327" s="17">
        <f>IF(Log[[#This Row],[ID]]="","",IFERROR(INDEX(Items[Cur team],MATCH(Log[[#This Row],[ID]],Items[ID],0))&amp;"",""))</f>
      </c>
      <c r="M327" s="17">
        <f>IF(OR(Log[[#This Row],[Verb]]="done",Log[[#This Row],[Verb]]="punt",Log[[#This Row],[Verb]]="drop",Log[[#This Row],[Verb]]="pass"),Log[[#This Row],[Pts]],0)</f>
      </c>
    </row>
    <row r="328">
      <c r="A328" s="11">
        <v>46105</v>
      </c>
      <c r="B328" t="s">
        <v>310</v>
      </c>
      <c r="C328" t="s">
        <v>34</v>
      </c>
      <c r="D328">
        <v>40</v>
      </c>
      <c r="F328" s="17">
        <f>IF(Log[[#This Row],[ID]]="","",IF(ISNA(MATCH(Log[[#This Row],[ID]],Items[ID],0)),"unknown ID",IF(ISNA(MATCH(Log[[#This Row],[Verb]],VerbList,0)),"unknown verb",IF(Log[[#This Row],[Date]]="","no date",""))))</f>
      </c>
      <c r="G328" s="17">
        <f>IF(Log[[#This Row],[ID]]="","",IFERROR(VLOOKUP(Log[[#This Row],[Verb]],Verbs,3,FALSE)&amp;"",""))</f>
      </c>
      <c r="H328" s="17">
        <f>IF(Log[[#This Row],[Date]]="","",INT((Log[[#This Row],[Date]]-Sprint1)/SprintDays)+1)</f>
      </c>
      <c r="I328" s="17">
        <f>IF(OR(Log[[#This Row],[Verb]]="commit",Log[[#This Row],[Verb]]="carry",Log[[#This Row],[Verb]]="redo"),IF(Log[[#This Row],[Arg]]="",Log[[#This Row],[Sprint]],N(Log[[#This Row],[Arg]])),"")</f>
      </c>
      <c r="J328" s="17">
        <f>IF(Log[[#This Row],[Verb]]="block",1,IF(OR(Log[[#This Row],[Verb]]="unblock",Log[[#This Row],[Verb]]="done",Log[[#This Row],[Verb]]="drop",Log[[#This Row],[Verb]]="punt",Log[[#This Row],[Verb]]="pass"),0,""))</f>
      </c>
      <c r="K328" s="17">
        <f>IF(Log[[#This Row],[ID]]="",0,IFERROR(INDEX(Items[Pts],MATCH(Log[[#This Row],[ID]],Items[ID],0))*1,0))</f>
      </c>
      <c r="L328" s="17">
        <f>IF(Log[[#This Row],[ID]]="","",IFERROR(INDEX(Items[Cur team],MATCH(Log[[#This Row],[ID]],Items[ID],0))&amp;"",""))</f>
      </c>
      <c r="M328" s="17">
        <f>IF(OR(Log[[#This Row],[Verb]]="done",Log[[#This Row],[Verb]]="punt",Log[[#This Row],[Verb]]="drop",Log[[#This Row],[Verb]]="pass"),Log[[#This Row],[Pts]],0)</f>
      </c>
    </row>
    <row r="329">
      <c r="A329" s="11">
        <v>46105</v>
      </c>
      <c r="B329" t="s">
        <v>311</v>
      </c>
      <c r="C329" t="s">
        <v>34</v>
      </c>
      <c r="D329">
        <v>40</v>
      </c>
      <c r="F329" s="17">
        <f>IF(Log[[#This Row],[ID]]="","",IF(ISNA(MATCH(Log[[#This Row],[ID]],Items[ID],0)),"unknown ID",IF(ISNA(MATCH(Log[[#This Row],[Verb]],VerbList,0)),"unknown verb",IF(Log[[#This Row],[Date]]="","no date",""))))</f>
      </c>
      <c r="G329" s="17">
        <f>IF(Log[[#This Row],[ID]]="","",IFERROR(VLOOKUP(Log[[#This Row],[Verb]],Verbs,3,FALSE)&amp;"",""))</f>
      </c>
      <c r="H329" s="17">
        <f>IF(Log[[#This Row],[Date]]="","",INT((Log[[#This Row],[Date]]-Sprint1)/SprintDays)+1)</f>
      </c>
      <c r="I329" s="17">
        <f>IF(OR(Log[[#This Row],[Verb]]="commit",Log[[#This Row],[Verb]]="carry",Log[[#This Row],[Verb]]="redo"),IF(Log[[#This Row],[Arg]]="",Log[[#This Row],[Sprint]],N(Log[[#This Row],[Arg]])),"")</f>
      </c>
      <c r="J329" s="17">
        <f>IF(Log[[#This Row],[Verb]]="block",1,IF(OR(Log[[#This Row],[Verb]]="unblock",Log[[#This Row],[Verb]]="done",Log[[#This Row],[Verb]]="drop",Log[[#This Row],[Verb]]="punt",Log[[#This Row],[Verb]]="pass"),0,""))</f>
      </c>
      <c r="K329" s="17">
        <f>IF(Log[[#This Row],[ID]]="",0,IFERROR(INDEX(Items[Pts],MATCH(Log[[#This Row],[ID]],Items[ID],0))*1,0))</f>
      </c>
      <c r="L329" s="17">
        <f>IF(Log[[#This Row],[ID]]="","",IFERROR(INDEX(Items[Cur team],MATCH(Log[[#This Row],[ID]],Items[ID],0))&amp;"",""))</f>
      </c>
      <c r="M329" s="17">
        <f>IF(OR(Log[[#This Row],[Verb]]="done",Log[[#This Row],[Verb]]="punt",Log[[#This Row],[Verb]]="drop",Log[[#This Row],[Verb]]="pass"),Log[[#This Row],[Pts]],0)</f>
      </c>
    </row>
    <row r="330">
      <c r="A330" s="11">
        <v>46105</v>
      </c>
      <c r="B330" t="s">
        <v>312</v>
      </c>
      <c r="C330" t="s">
        <v>34</v>
      </c>
      <c r="D330">
        <v>40</v>
      </c>
      <c r="F330" s="17">
        <f>IF(Log[[#This Row],[ID]]="","",IF(ISNA(MATCH(Log[[#This Row],[ID]],Items[ID],0)),"unknown ID",IF(ISNA(MATCH(Log[[#This Row],[Verb]],VerbList,0)),"unknown verb",IF(Log[[#This Row],[Date]]="","no date",""))))</f>
      </c>
      <c r="G330" s="17">
        <f>IF(Log[[#This Row],[ID]]="","",IFERROR(VLOOKUP(Log[[#This Row],[Verb]],Verbs,3,FALSE)&amp;"",""))</f>
      </c>
      <c r="H330" s="17">
        <f>IF(Log[[#This Row],[Date]]="","",INT((Log[[#This Row],[Date]]-Sprint1)/SprintDays)+1)</f>
      </c>
      <c r="I330" s="17">
        <f>IF(OR(Log[[#This Row],[Verb]]="commit",Log[[#This Row],[Verb]]="carry",Log[[#This Row],[Verb]]="redo"),IF(Log[[#This Row],[Arg]]="",Log[[#This Row],[Sprint]],N(Log[[#This Row],[Arg]])),"")</f>
      </c>
      <c r="J330" s="17">
        <f>IF(Log[[#This Row],[Verb]]="block",1,IF(OR(Log[[#This Row],[Verb]]="unblock",Log[[#This Row],[Verb]]="done",Log[[#This Row],[Verb]]="drop",Log[[#This Row],[Verb]]="punt",Log[[#This Row],[Verb]]="pass"),0,""))</f>
      </c>
      <c r="K330" s="17">
        <f>IF(Log[[#This Row],[ID]]="",0,IFERROR(INDEX(Items[Pts],MATCH(Log[[#This Row],[ID]],Items[ID],0))*1,0))</f>
      </c>
      <c r="L330" s="17">
        <f>IF(Log[[#This Row],[ID]]="","",IFERROR(INDEX(Items[Cur team],MATCH(Log[[#This Row],[ID]],Items[ID],0))&amp;"",""))</f>
      </c>
      <c r="M330" s="17">
        <f>IF(OR(Log[[#This Row],[Verb]]="done",Log[[#This Row],[Verb]]="punt",Log[[#This Row],[Verb]]="drop",Log[[#This Row],[Verb]]="pass"),Log[[#This Row],[Pts]],0)</f>
      </c>
    </row>
    <row r="331">
      <c r="A331" s="11">
        <v>46105</v>
      </c>
      <c r="B331" t="s">
        <v>313</v>
      </c>
      <c r="C331" t="s">
        <v>34</v>
      </c>
      <c r="D331">
        <v>40</v>
      </c>
      <c r="F331" s="17">
        <f>IF(Log[[#This Row],[ID]]="","",IF(ISNA(MATCH(Log[[#This Row],[ID]],Items[ID],0)),"unknown ID",IF(ISNA(MATCH(Log[[#This Row],[Verb]],VerbList,0)),"unknown verb",IF(Log[[#This Row],[Date]]="","no date",""))))</f>
      </c>
      <c r="G331" s="17">
        <f>IF(Log[[#This Row],[ID]]="","",IFERROR(VLOOKUP(Log[[#This Row],[Verb]],Verbs,3,FALSE)&amp;"",""))</f>
      </c>
      <c r="H331" s="17">
        <f>IF(Log[[#This Row],[Date]]="","",INT((Log[[#This Row],[Date]]-Sprint1)/SprintDays)+1)</f>
      </c>
      <c r="I331" s="17">
        <f>IF(OR(Log[[#This Row],[Verb]]="commit",Log[[#This Row],[Verb]]="carry",Log[[#This Row],[Verb]]="redo"),IF(Log[[#This Row],[Arg]]="",Log[[#This Row],[Sprint]],N(Log[[#This Row],[Arg]])),"")</f>
      </c>
      <c r="J331" s="17">
        <f>IF(Log[[#This Row],[Verb]]="block",1,IF(OR(Log[[#This Row],[Verb]]="unblock",Log[[#This Row],[Verb]]="done",Log[[#This Row],[Verb]]="drop",Log[[#This Row],[Verb]]="punt",Log[[#This Row],[Verb]]="pass"),0,""))</f>
      </c>
      <c r="K331" s="17">
        <f>IF(Log[[#This Row],[ID]]="",0,IFERROR(INDEX(Items[Pts],MATCH(Log[[#This Row],[ID]],Items[ID],0))*1,0))</f>
      </c>
      <c r="L331" s="17">
        <f>IF(Log[[#This Row],[ID]]="","",IFERROR(INDEX(Items[Cur team],MATCH(Log[[#This Row],[ID]],Items[ID],0))&amp;"",""))</f>
      </c>
      <c r="M331" s="17">
        <f>IF(OR(Log[[#This Row],[Verb]]="done",Log[[#This Row],[Verb]]="punt",Log[[#This Row],[Verb]]="drop",Log[[#This Row],[Verb]]="pass"),Log[[#This Row],[Pts]],0)</f>
      </c>
    </row>
    <row r="332">
      <c r="A332" s="11">
        <v>46105</v>
      </c>
      <c r="B332" t="s">
        <v>314</v>
      </c>
      <c r="C332" t="s">
        <v>34</v>
      </c>
      <c r="D332">
        <v>40</v>
      </c>
      <c r="F332" s="17">
        <f>IF(Log[[#This Row],[ID]]="","",IF(ISNA(MATCH(Log[[#This Row],[ID]],Items[ID],0)),"unknown ID",IF(ISNA(MATCH(Log[[#This Row],[Verb]],VerbList,0)),"unknown verb",IF(Log[[#This Row],[Date]]="","no date",""))))</f>
      </c>
      <c r="G332" s="17">
        <f>IF(Log[[#This Row],[ID]]="","",IFERROR(VLOOKUP(Log[[#This Row],[Verb]],Verbs,3,FALSE)&amp;"",""))</f>
      </c>
      <c r="H332" s="17">
        <f>IF(Log[[#This Row],[Date]]="","",INT((Log[[#This Row],[Date]]-Sprint1)/SprintDays)+1)</f>
      </c>
      <c r="I332" s="17">
        <f>IF(OR(Log[[#This Row],[Verb]]="commit",Log[[#This Row],[Verb]]="carry",Log[[#This Row],[Verb]]="redo"),IF(Log[[#This Row],[Arg]]="",Log[[#This Row],[Sprint]],N(Log[[#This Row],[Arg]])),"")</f>
      </c>
      <c r="J332" s="17">
        <f>IF(Log[[#This Row],[Verb]]="block",1,IF(OR(Log[[#This Row],[Verb]]="unblock",Log[[#This Row],[Verb]]="done",Log[[#This Row],[Verb]]="drop",Log[[#This Row],[Verb]]="punt",Log[[#This Row],[Verb]]="pass"),0,""))</f>
      </c>
      <c r="K332" s="17">
        <f>IF(Log[[#This Row],[ID]]="",0,IFERROR(INDEX(Items[Pts],MATCH(Log[[#This Row],[ID]],Items[ID],0))*1,0))</f>
      </c>
      <c r="L332" s="17">
        <f>IF(Log[[#This Row],[ID]]="","",IFERROR(INDEX(Items[Cur team],MATCH(Log[[#This Row],[ID]],Items[ID],0))&amp;"",""))</f>
      </c>
      <c r="M332" s="17">
        <f>IF(OR(Log[[#This Row],[Verb]]="done",Log[[#This Row],[Verb]]="punt",Log[[#This Row],[Verb]]="drop",Log[[#This Row],[Verb]]="pass"),Log[[#This Row],[Pts]],0)</f>
      </c>
    </row>
    <row r="333">
      <c r="A333" s="11">
        <v>46105</v>
      </c>
      <c r="B333" t="s">
        <v>315</v>
      </c>
      <c r="C333" t="s">
        <v>34</v>
      </c>
      <c r="D333">
        <v>40</v>
      </c>
      <c r="F333" s="17">
        <f>IF(Log[[#This Row],[ID]]="","",IF(ISNA(MATCH(Log[[#This Row],[ID]],Items[ID],0)),"unknown ID",IF(ISNA(MATCH(Log[[#This Row],[Verb]],VerbList,0)),"unknown verb",IF(Log[[#This Row],[Date]]="","no date",""))))</f>
      </c>
      <c r="G333" s="17">
        <f>IF(Log[[#This Row],[ID]]="","",IFERROR(VLOOKUP(Log[[#This Row],[Verb]],Verbs,3,FALSE)&amp;"",""))</f>
      </c>
      <c r="H333" s="17">
        <f>IF(Log[[#This Row],[Date]]="","",INT((Log[[#This Row],[Date]]-Sprint1)/SprintDays)+1)</f>
      </c>
      <c r="I333" s="17">
        <f>IF(OR(Log[[#This Row],[Verb]]="commit",Log[[#This Row],[Verb]]="carry",Log[[#This Row],[Verb]]="redo"),IF(Log[[#This Row],[Arg]]="",Log[[#This Row],[Sprint]],N(Log[[#This Row],[Arg]])),"")</f>
      </c>
      <c r="J333" s="17">
        <f>IF(Log[[#This Row],[Verb]]="block",1,IF(OR(Log[[#This Row],[Verb]]="unblock",Log[[#This Row],[Verb]]="done",Log[[#This Row],[Verb]]="drop",Log[[#This Row],[Verb]]="punt",Log[[#This Row],[Verb]]="pass"),0,""))</f>
      </c>
      <c r="K333" s="17">
        <f>IF(Log[[#This Row],[ID]]="",0,IFERROR(INDEX(Items[Pts],MATCH(Log[[#This Row],[ID]],Items[ID],0))*1,0))</f>
      </c>
      <c r="L333" s="17">
        <f>IF(Log[[#This Row],[ID]]="","",IFERROR(INDEX(Items[Cur team],MATCH(Log[[#This Row],[ID]],Items[ID],0))&amp;"",""))</f>
      </c>
      <c r="M333" s="17">
        <f>IF(OR(Log[[#This Row],[Verb]]="done",Log[[#This Row],[Verb]]="punt",Log[[#This Row],[Verb]]="drop",Log[[#This Row],[Verb]]="pass"),Log[[#This Row],[Pts]],0)</f>
      </c>
    </row>
    <row r="334">
      <c r="A334" s="11">
        <v>46105</v>
      </c>
      <c r="B334" t="s">
        <v>316</v>
      </c>
      <c r="C334" t="s">
        <v>34</v>
      </c>
      <c r="D334">
        <v>40</v>
      </c>
      <c r="F334" s="17">
        <f>IF(Log[[#This Row],[ID]]="","",IF(ISNA(MATCH(Log[[#This Row],[ID]],Items[ID],0)),"unknown ID",IF(ISNA(MATCH(Log[[#This Row],[Verb]],VerbList,0)),"unknown verb",IF(Log[[#This Row],[Date]]="","no date",""))))</f>
      </c>
      <c r="G334" s="17">
        <f>IF(Log[[#This Row],[ID]]="","",IFERROR(VLOOKUP(Log[[#This Row],[Verb]],Verbs,3,FALSE)&amp;"",""))</f>
      </c>
      <c r="H334" s="17">
        <f>IF(Log[[#This Row],[Date]]="","",INT((Log[[#This Row],[Date]]-Sprint1)/SprintDays)+1)</f>
      </c>
      <c r="I334" s="17">
        <f>IF(OR(Log[[#This Row],[Verb]]="commit",Log[[#This Row],[Verb]]="carry",Log[[#This Row],[Verb]]="redo"),IF(Log[[#This Row],[Arg]]="",Log[[#This Row],[Sprint]],N(Log[[#This Row],[Arg]])),"")</f>
      </c>
      <c r="J334" s="17">
        <f>IF(Log[[#This Row],[Verb]]="block",1,IF(OR(Log[[#This Row],[Verb]]="unblock",Log[[#This Row],[Verb]]="done",Log[[#This Row],[Verb]]="drop",Log[[#This Row],[Verb]]="punt",Log[[#This Row],[Verb]]="pass"),0,""))</f>
      </c>
      <c r="K334" s="17">
        <f>IF(Log[[#This Row],[ID]]="",0,IFERROR(INDEX(Items[Pts],MATCH(Log[[#This Row],[ID]],Items[ID],0))*1,0))</f>
      </c>
      <c r="L334" s="17">
        <f>IF(Log[[#This Row],[ID]]="","",IFERROR(INDEX(Items[Cur team],MATCH(Log[[#This Row],[ID]],Items[ID],0))&amp;"",""))</f>
      </c>
      <c r="M334" s="17">
        <f>IF(OR(Log[[#This Row],[Verb]]="done",Log[[#This Row],[Verb]]="punt",Log[[#This Row],[Verb]]="drop",Log[[#This Row],[Verb]]="pass"),Log[[#This Row],[Pts]],0)</f>
      </c>
    </row>
    <row r="335">
      <c r="A335" s="11">
        <v>46105</v>
      </c>
      <c r="B335" t="s">
        <v>317</v>
      </c>
      <c r="C335" t="s">
        <v>34</v>
      </c>
      <c r="D335">
        <v>40</v>
      </c>
      <c r="F335" s="17">
        <f>IF(Log[[#This Row],[ID]]="","",IF(ISNA(MATCH(Log[[#This Row],[ID]],Items[ID],0)),"unknown ID",IF(ISNA(MATCH(Log[[#This Row],[Verb]],VerbList,0)),"unknown verb",IF(Log[[#This Row],[Date]]="","no date",""))))</f>
      </c>
      <c r="G335" s="17">
        <f>IF(Log[[#This Row],[ID]]="","",IFERROR(VLOOKUP(Log[[#This Row],[Verb]],Verbs,3,FALSE)&amp;"",""))</f>
      </c>
      <c r="H335" s="17">
        <f>IF(Log[[#This Row],[Date]]="","",INT((Log[[#This Row],[Date]]-Sprint1)/SprintDays)+1)</f>
      </c>
      <c r="I335" s="17">
        <f>IF(OR(Log[[#This Row],[Verb]]="commit",Log[[#This Row],[Verb]]="carry",Log[[#This Row],[Verb]]="redo"),IF(Log[[#This Row],[Arg]]="",Log[[#This Row],[Sprint]],N(Log[[#This Row],[Arg]])),"")</f>
      </c>
      <c r="J335" s="17">
        <f>IF(Log[[#This Row],[Verb]]="block",1,IF(OR(Log[[#This Row],[Verb]]="unblock",Log[[#This Row],[Verb]]="done",Log[[#This Row],[Verb]]="drop",Log[[#This Row],[Verb]]="punt",Log[[#This Row],[Verb]]="pass"),0,""))</f>
      </c>
      <c r="K335" s="17">
        <f>IF(Log[[#This Row],[ID]]="",0,IFERROR(INDEX(Items[Pts],MATCH(Log[[#This Row],[ID]],Items[ID],0))*1,0))</f>
      </c>
      <c r="L335" s="17">
        <f>IF(Log[[#This Row],[ID]]="","",IFERROR(INDEX(Items[Cur team],MATCH(Log[[#This Row],[ID]],Items[ID],0))&amp;"",""))</f>
      </c>
      <c r="M335" s="17">
        <f>IF(OR(Log[[#This Row],[Verb]]="done",Log[[#This Row],[Verb]]="punt",Log[[#This Row],[Verb]]="drop",Log[[#This Row],[Verb]]="pass"),Log[[#This Row],[Pts]],0)</f>
      </c>
    </row>
    <row r="336">
      <c r="A336" s="11">
        <v>46105</v>
      </c>
      <c r="B336" t="s">
        <v>318</v>
      </c>
      <c r="C336" t="s">
        <v>34</v>
      </c>
      <c r="D336">
        <v>40</v>
      </c>
      <c r="F336" s="17">
        <f>IF(Log[[#This Row],[ID]]="","",IF(ISNA(MATCH(Log[[#This Row],[ID]],Items[ID],0)),"unknown ID",IF(ISNA(MATCH(Log[[#This Row],[Verb]],VerbList,0)),"unknown verb",IF(Log[[#This Row],[Date]]="","no date",""))))</f>
      </c>
      <c r="G336" s="17">
        <f>IF(Log[[#This Row],[ID]]="","",IFERROR(VLOOKUP(Log[[#This Row],[Verb]],Verbs,3,FALSE)&amp;"",""))</f>
      </c>
      <c r="H336" s="17">
        <f>IF(Log[[#This Row],[Date]]="","",INT((Log[[#This Row],[Date]]-Sprint1)/SprintDays)+1)</f>
      </c>
      <c r="I336" s="17">
        <f>IF(OR(Log[[#This Row],[Verb]]="commit",Log[[#This Row],[Verb]]="carry",Log[[#This Row],[Verb]]="redo"),IF(Log[[#This Row],[Arg]]="",Log[[#This Row],[Sprint]],N(Log[[#This Row],[Arg]])),"")</f>
      </c>
      <c r="J336" s="17">
        <f>IF(Log[[#This Row],[Verb]]="block",1,IF(OR(Log[[#This Row],[Verb]]="unblock",Log[[#This Row],[Verb]]="done",Log[[#This Row],[Verb]]="drop",Log[[#This Row],[Verb]]="punt",Log[[#This Row],[Verb]]="pass"),0,""))</f>
      </c>
      <c r="K336" s="17">
        <f>IF(Log[[#This Row],[ID]]="",0,IFERROR(INDEX(Items[Pts],MATCH(Log[[#This Row],[ID]],Items[ID],0))*1,0))</f>
      </c>
      <c r="L336" s="17">
        <f>IF(Log[[#This Row],[ID]]="","",IFERROR(INDEX(Items[Cur team],MATCH(Log[[#This Row],[ID]],Items[ID],0))&amp;"",""))</f>
      </c>
      <c r="M336" s="17">
        <f>IF(OR(Log[[#This Row],[Verb]]="done",Log[[#This Row],[Verb]]="punt",Log[[#This Row],[Verb]]="drop",Log[[#This Row],[Verb]]="pass"),Log[[#This Row],[Pts]],0)</f>
      </c>
    </row>
    <row r="337">
      <c r="A337" s="11">
        <v>46105</v>
      </c>
      <c r="B337" t="s">
        <v>319</v>
      </c>
      <c r="C337" t="s">
        <v>34</v>
      </c>
      <c r="D337">
        <v>40</v>
      </c>
      <c r="F337" s="17">
        <f>IF(Log[[#This Row],[ID]]="","",IF(ISNA(MATCH(Log[[#This Row],[ID]],Items[ID],0)),"unknown ID",IF(ISNA(MATCH(Log[[#This Row],[Verb]],VerbList,0)),"unknown verb",IF(Log[[#This Row],[Date]]="","no date",""))))</f>
      </c>
      <c r="G337" s="17">
        <f>IF(Log[[#This Row],[ID]]="","",IFERROR(VLOOKUP(Log[[#This Row],[Verb]],Verbs,3,FALSE)&amp;"",""))</f>
      </c>
      <c r="H337" s="17">
        <f>IF(Log[[#This Row],[Date]]="","",INT((Log[[#This Row],[Date]]-Sprint1)/SprintDays)+1)</f>
      </c>
      <c r="I337" s="17">
        <f>IF(OR(Log[[#This Row],[Verb]]="commit",Log[[#This Row],[Verb]]="carry",Log[[#This Row],[Verb]]="redo"),IF(Log[[#This Row],[Arg]]="",Log[[#This Row],[Sprint]],N(Log[[#This Row],[Arg]])),"")</f>
      </c>
      <c r="J337" s="17">
        <f>IF(Log[[#This Row],[Verb]]="block",1,IF(OR(Log[[#This Row],[Verb]]="unblock",Log[[#This Row],[Verb]]="done",Log[[#This Row],[Verb]]="drop",Log[[#This Row],[Verb]]="punt",Log[[#This Row],[Verb]]="pass"),0,""))</f>
      </c>
      <c r="K337" s="17">
        <f>IF(Log[[#This Row],[ID]]="",0,IFERROR(INDEX(Items[Pts],MATCH(Log[[#This Row],[ID]],Items[ID],0))*1,0))</f>
      </c>
      <c r="L337" s="17">
        <f>IF(Log[[#This Row],[ID]]="","",IFERROR(INDEX(Items[Cur team],MATCH(Log[[#This Row],[ID]],Items[ID],0))&amp;"",""))</f>
      </c>
      <c r="M337" s="17">
        <f>IF(OR(Log[[#This Row],[Verb]]="done",Log[[#This Row],[Verb]]="punt",Log[[#This Row],[Verb]]="drop",Log[[#This Row],[Verb]]="pass"),Log[[#This Row],[Pts]],0)</f>
      </c>
    </row>
    <row r="338">
      <c r="A338" s="11">
        <v>46105</v>
      </c>
      <c r="B338" t="s">
        <v>320</v>
      </c>
      <c r="C338" t="s">
        <v>34</v>
      </c>
      <c r="D338">
        <v>40</v>
      </c>
      <c r="F338" s="17">
        <f>IF(Log[[#This Row],[ID]]="","",IF(ISNA(MATCH(Log[[#This Row],[ID]],Items[ID],0)),"unknown ID",IF(ISNA(MATCH(Log[[#This Row],[Verb]],VerbList,0)),"unknown verb",IF(Log[[#This Row],[Date]]="","no date",""))))</f>
      </c>
      <c r="G338" s="17">
        <f>IF(Log[[#This Row],[ID]]="","",IFERROR(VLOOKUP(Log[[#This Row],[Verb]],Verbs,3,FALSE)&amp;"",""))</f>
      </c>
      <c r="H338" s="17">
        <f>IF(Log[[#This Row],[Date]]="","",INT((Log[[#This Row],[Date]]-Sprint1)/SprintDays)+1)</f>
      </c>
      <c r="I338" s="17">
        <f>IF(OR(Log[[#This Row],[Verb]]="commit",Log[[#This Row],[Verb]]="carry",Log[[#This Row],[Verb]]="redo"),IF(Log[[#This Row],[Arg]]="",Log[[#This Row],[Sprint]],N(Log[[#This Row],[Arg]])),"")</f>
      </c>
      <c r="J338" s="17">
        <f>IF(Log[[#This Row],[Verb]]="block",1,IF(OR(Log[[#This Row],[Verb]]="unblock",Log[[#This Row],[Verb]]="done",Log[[#This Row],[Verb]]="drop",Log[[#This Row],[Verb]]="punt",Log[[#This Row],[Verb]]="pass"),0,""))</f>
      </c>
      <c r="K338" s="17">
        <f>IF(Log[[#This Row],[ID]]="",0,IFERROR(INDEX(Items[Pts],MATCH(Log[[#This Row],[ID]],Items[ID],0))*1,0))</f>
      </c>
      <c r="L338" s="17">
        <f>IF(Log[[#This Row],[ID]]="","",IFERROR(INDEX(Items[Cur team],MATCH(Log[[#This Row],[ID]],Items[ID],0))&amp;"",""))</f>
      </c>
      <c r="M338" s="17">
        <f>IF(OR(Log[[#This Row],[Verb]]="done",Log[[#This Row],[Verb]]="punt",Log[[#This Row],[Verb]]="drop",Log[[#This Row],[Verb]]="pass"),Log[[#This Row],[Pts]],0)</f>
      </c>
    </row>
    <row r="339">
      <c r="A339" s="11">
        <v>46105</v>
      </c>
      <c r="B339" t="s">
        <v>321</v>
      </c>
      <c r="C339" t="s">
        <v>34</v>
      </c>
      <c r="D339">
        <v>40</v>
      </c>
      <c r="F339" s="17">
        <f>IF(Log[[#This Row],[ID]]="","",IF(ISNA(MATCH(Log[[#This Row],[ID]],Items[ID],0)),"unknown ID",IF(ISNA(MATCH(Log[[#This Row],[Verb]],VerbList,0)),"unknown verb",IF(Log[[#This Row],[Date]]="","no date",""))))</f>
      </c>
      <c r="G339" s="17">
        <f>IF(Log[[#This Row],[ID]]="","",IFERROR(VLOOKUP(Log[[#This Row],[Verb]],Verbs,3,FALSE)&amp;"",""))</f>
      </c>
      <c r="H339" s="17">
        <f>IF(Log[[#This Row],[Date]]="","",INT((Log[[#This Row],[Date]]-Sprint1)/SprintDays)+1)</f>
      </c>
      <c r="I339" s="17">
        <f>IF(OR(Log[[#This Row],[Verb]]="commit",Log[[#This Row],[Verb]]="carry",Log[[#This Row],[Verb]]="redo"),IF(Log[[#This Row],[Arg]]="",Log[[#This Row],[Sprint]],N(Log[[#This Row],[Arg]])),"")</f>
      </c>
      <c r="J339" s="17">
        <f>IF(Log[[#This Row],[Verb]]="block",1,IF(OR(Log[[#This Row],[Verb]]="unblock",Log[[#This Row],[Verb]]="done",Log[[#This Row],[Verb]]="drop",Log[[#This Row],[Verb]]="punt",Log[[#This Row],[Verb]]="pass"),0,""))</f>
      </c>
      <c r="K339" s="17">
        <f>IF(Log[[#This Row],[ID]]="",0,IFERROR(INDEX(Items[Pts],MATCH(Log[[#This Row],[ID]],Items[ID],0))*1,0))</f>
      </c>
      <c r="L339" s="17">
        <f>IF(Log[[#This Row],[ID]]="","",IFERROR(INDEX(Items[Cur team],MATCH(Log[[#This Row],[ID]],Items[ID],0))&amp;"",""))</f>
      </c>
      <c r="M339" s="17">
        <f>IF(OR(Log[[#This Row],[Verb]]="done",Log[[#This Row],[Verb]]="punt",Log[[#This Row],[Verb]]="drop",Log[[#This Row],[Verb]]="pass"),Log[[#This Row],[Pts]],0)</f>
      </c>
    </row>
    <row r="340">
      <c r="A340" s="11">
        <v>46105</v>
      </c>
      <c r="B340" t="s">
        <v>322</v>
      </c>
      <c r="C340" t="s">
        <v>34</v>
      </c>
      <c r="D340">
        <v>40</v>
      </c>
      <c r="F340" s="17">
        <f>IF(Log[[#This Row],[ID]]="","",IF(ISNA(MATCH(Log[[#This Row],[ID]],Items[ID],0)),"unknown ID",IF(ISNA(MATCH(Log[[#This Row],[Verb]],VerbList,0)),"unknown verb",IF(Log[[#This Row],[Date]]="","no date",""))))</f>
      </c>
      <c r="G340" s="17">
        <f>IF(Log[[#This Row],[ID]]="","",IFERROR(VLOOKUP(Log[[#This Row],[Verb]],Verbs,3,FALSE)&amp;"",""))</f>
      </c>
      <c r="H340" s="17">
        <f>IF(Log[[#This Row],[Date]]="","",INT((Log[[#This Row],[Date]]-Sprint1)/SprintDays)+1)</f>
      </c>
      <c r="I340" s="17">
        <f>IF(OR(Log[[#This Row],[Verb]]="commit",Log[[#This Row],[Verb]]="carry",Log[[#This Row],[Verb]]="redo"),IF(Log[[#This Row],[Arg]]="",Log[[#This Row],[Sprint]],N(Log[[#This Row],[Arg]])),"")</f>
      </c>
      <c r="J340" s="17">
        <f>IF(Log[[#This Row],[Verb]]="block",1,IF(OR(Log[[#This Row],[Verb]]="unblock",Log[[#This Row],[Verb]]="done",Log[[#This Row],[Verb]]="drop",Log[[#This Row],[Verb]]="punt",Log[[#This Row],[Verb]]="pass"),0,""))</f>
      </c>
      <c r="K340" s="17">
        <f>IF(Log[[#This Row],[ID]]="",0,IFERROR(INDEX(Items[Pts],MATCH(Log[[#This Row],[ID]],Items[ID],0))*1,0))</f>
      </c>
      <c r="L340" s="17">
        <f>IF(Log[[#This Row],[ID]]="","",IFERROR(INDEX(Items[Cur team],MATCH(Log[[#This Row],[ID]],Items[ID],0))&amp;"",""))</f>
      </c>
      <c r="M340" s="17">
        <f>IF(OR(Log[[#This Row],[Verb]]="done",Log[[#This Row],[Verb]]="punt",Log[[#This Row],[Verb]]="drop",Log[[#This Row],[Verb]]="pass"),Log[[#This Row],[Pts]],0)</f>
      </c>
    </row>
    <row r="341">
      <c r="A341" s="11">
        <v>46105</v>
      </c>
      <c r="B341" t="s">
        <v>323</v>
      </c>
      <c r="C341" t="s">
        <v>34</v>
      </c>
      <c r="D341">
        <v>40</v>
      </c>
      <c r="F341" s="17">
        <f>IF(Log[[#This Row],[ID]]="","",IF(ISNA(MATCH(Log[[#This Row],[ID]],Items[ID],0)),"unknown ID",IF(ISNA(MATCH(Log[[#This Row],[Verb]],VerbList,0)),"unknown verb",IF(Log[[#This Row],[Date]]="","no date",""))))</f>
      </c>
      <c r="G341" s="17">
        <f>IF(Log[[#This Row],[ID]]="","",IFERROR(VLOOKUP(Log[[#This Row],[Verb]],Verbs,3,FALSE)&amp;"",""))</f>
      </c>
      <c r="H341" s="17">
        <f>IF(Log[[#This Row],[Date]]="","",INT((Log[[#This Row],[Date]]-Sprint1)/SprintDays)+1)</f>
      </c>
      <c r="I341" s="17">
        <f>IF(OR(Log[[#This Row],[Verb]]="commit",Log[[#This Row],[Verb]]="carry",Log[[#This Row],[Verb]]="redo"),IF(Log[[#This Row],[Arg]]="",Log[[#This Row],[Sprint]],N(Log[[#This Row],[Arg]])),"")</f>
      </c>
      <c r="J341" s="17">
        <f>IF(Log[[#This Row],[Verb]]="block",1,IF(OR(Log[[#This Row],[Verb]]="unblock",Log[[#This Row],[Verb]]="done",Log[[#This Row],[Verb]]="drop",Log[[#This Row],[Verb]]="punt",Log[[#This Row],[Verb]]="pass"),0,""))</f>
      </c>
      <c r="K341" s="17">
        <f>IF(Log[[#This Row],[ID]]="",0,IFERROR(INDEX(Items[Pts],MATCH(Log[[#This Row],[ID]],Items[ID],0))*1,0))</f>
      </c>
      <c r="L341" s="17">
        <f>IF(Log[[#This Row],[ID]]="","",IFERROR(INDEX(Items[Cur team],MATCH(Log[[#This Row],[ID]],Items[ID],0))&amp;"",""))</f>
      </c>
      <c r="M341" s="17">
        <f>IF(OR(Log[[#This Row],[Verb]]="done",Log[[#This Row],[Verb]]="punt",Log[[#This Row],[Verb]]="drop",Log[[#This Row],[Verb]]="pass"),Log[[#This Row],[Pts]],0)</f>
      </c>
    </row>
    <row r="342">
      <c r="A342" s="11">
        <v>46105</v>
      </c>
      <c r="B342" t="s">
        <v>324</v>
      </c>
      <c r="C342" t="s">
        <v>34</v>
      </c>
      <c r="D342">
        <v>40</v>
      </c>
      <c r="F342" s="17">
        <f>IF(Log[[#This Row],[ID]]="","",IF(ISNA(MATCH(Log[[#This Row],[ID]],Items[ID],0)),"unknown ID",IF(ISNA(MATCH(Log[[#This Row],[Verb]],VerbList,0)),"unknown verb",IF(Log[[#This Row],[Date]]="","no date",""))))</f>
      </c>
      <c r="G342" s="17">
        <f>IF(Log[[#This Row],[ID]]="","",IFERROR(VLOOKUP(Log[[#This Row],[Verb]],Verbs,3,FALSE)&amp;"",""))</f>
      </c>
      <c r="H342" s="17">
        <f>IF(Log[[#This Row],[Date]]="","",INT((Log[[#This Row],[Date]]-Sprint1)/SprintDays)+1)</f>
      </c>
      <c r="I342" s="17">
        <f>IF(OR(Log[[#This Row],[Verb]]="commit",Log[[#This Row],[Verb]]="carry",Log[[#This Row],[Verb]]="redo"),IF(Log[[#This Row],[Arg]]="",Log[[#This Row],[Sprint]],N(Log[[#This Row],[Arg]])),"")</f>
      </c>
      <c r="J342" s="17">
        <f>IF(Log[[#This Row],[Verb]]="block",1,IF(OR(Log[[#This Row],[Verb]]="unblock",Log[[#This Row],[Verb]]="done",Log[[#This Row],[Verb]]="drop",Log[[#This Row],[Verb]]="punt",Log[[#This Row],[Verb]]="pass"),0,""))</f>
      </c>
      <c r="K342" s="17">
        <f>IF(Log[[#This Row],[ID]]="",0,IFERROR(INDEX(Items[Pts],MATCH(Log[[#This Row],[ID]],Items[ID],0))*1,0))</f>
      </c>
      <c r="L342" s="17">
        <f>IF(Log[[#This Row],[ID]]="","",IFERROR(INDEX(Items[Cur team],MATCH(Log[[#This Row],[ID]],Items[ID],0))&amp;"",""))</f>
      </c>
      <c r="M342" s="17">
        <f>IF(OR(Log[[#This Row],[Verb]]="done",Log[[#This Row],[Verb]]="punt",Log[[#This Row],[Verb]]="drop",Log[[#This Row],[Verb]]="pass"),Log[[#This Row],[Pts]],0)</f>
      </c>
    </row>
    <row r="343">
      <c r="A343" s="11">
        <v>46105</v>
      </c>
      <c r="B343" t="s">
        <v>325</v>
      </c>
      <c r="C343" t="s">
        <v>34</v>
      </c>
      <c r="D343">
        <v>40</v>
      </c>
      <c r="F343" s="17">
        <f>IF(Log[[#This Row],[ID]]="","",IF(ISNA(MATCH(Log[[#This Row],[ID]],Items[ID],0)),"unknown ID",IF(ISNA(MATCH(Log[[#This Row],[Verb]],VerbList,0)),"unknown verb",IF(Log[[#This Row],[Date]]="","no date",""))))</f>
      </c>
      <c r="G343" s="17">
        <f>IF(Log[[#This Row],[ID]]="","",IFERROR(VLOOKUP(Log[[#This Row],[Verb]],Verbs,3,FALSE)&amp;"",""))</f>
      </c>
      <c r="H343" s="17">
        <f>IF(Log[[#This Row],[Date]]="","",INT((Log[[#This Row],[Date]]-Sprint1)/SprintDays)+1)</f>
      </c>
      <c r="I343" s="17">
        <f>IF(OR(Log[[#This Row],[Verb]]="commit",Log[[#This Row],[Verb]]="carry",Log[[#This Row],[Verb]]="redo"),IF(Log[[#This Row],[Arg]]="",Log[[#This Row],[Sprint]],N(Log[[#This Row],[Arg]])),"")</f>
      </c>
      <c r="J343" s="17">
        <f>IF(Log[[#This Row],[Verb]]="block",1,IF(OR(Log[[#This Row],[Verb]]="unblock",Log[[#This Row],[Verb]]="done",Log[[#This Row],[Verb]]="drop",Log[[#This Row],[Verb]]="punt",Log[[#This Row],[Verb]]="pass"),0,""))</f>
      </c>
      <c r="K343" s="17">
        <f>IF(Log[[#This Row],[ID]]="",0,IFERROR(INDEX(Items[Pts],MATCH(Log[[#This Row],[ID]],Items[ID],0))*1,0))</f>
      </c>
      <c r="L343" s="17">
        <f>IF(Log[[#This Row],[ID]]="","",IFERROR(INDEX(Items[Cur team],MATCH(Log[[#This Row],[ID]],Items[ID],0))&amp;"",""))</f>
      </c>
      <c r="M343" s="17">
        <f>IF(OR(Log[[#This Row],[Verb]]="done",Log[[#This Row],[Verb]]="punt",Log[[#This Row],[Verb]]="drop",Log[[#This Row],[Verb]]="pass"),Log[[#This Row],[Pts]],0)</f>
      </c>
    </row>
    <row r="344">
      <c r="A344" s="11">
        <v>46105</v>
      </c>
      <c r="B344" t="s">
        <v>326</v>
      </c>
      <c r="C344" t="s">
        <v>34</v>
      </c>
      <c r="D344">
        <v>40</v>
      </c>
      <c r="F344" s="17">
        <f>IF(Log[[#This Row],[ID]]="","",IF(ISNA(MATCH(Log[[#This Row],[ID]],Items[ID],0)),"unknown ID",IF(ISNA(MATCH(Log[[#This Row],[Verb]],VerbList,0)),"unknown verb",IF(Log[[#This Row],[Date]]="","no date",""))))</f>
      </c>
      <c r="G344" s="17">
        <f>IF(Log[[#This Row],[ID]]="","",IFERROR(VLOOKUP(Log[[#This Row],[Verb]],Verbs,3,FALSE)&amp;"",""))</f>
      </c>
      <c r="H344" s="17">
        <f>IF(Log[[#This Row],[Date]]="","",INT((Log[[#This Row],[Date]]-Sprint1)/SprintDays)+1)</f>
      </c>
      <c r="I344" s="17">
        <f>IF(OR(Log[[#This Row],[Verb]]="commit",Log[[#This Row],[Verb]]="carry",Log[[#This Row],[Verb]]="redo"),IF(Log[[#This Row],[Arg]]="",Log[[#This Row],[Sprint]],N(Log[[#This Row],[Arg]])),"")</f>
      </c>
      <c r="J344" s="17">
        <f>IF(Log[[#This Row],[Verb]]="block",1,IF(OR(Log[[#This Row],[Verb]]="unblock",Log[[#This Row],[Verb]]="done",Log[[#This Row],[Verb]]="drop",Log[[#This Row],[Verb]]="punt",Log[[#This Row],[Verb]]="pass"),0,""))</f>
      </c>
      <c r="K344" s="17">
        <f>IF(Log[[#This Row],[ID]]="",0,IFERROR(INDEX(Items[Pts],MATCH(Log[[#This Row],[ID]],Items[ID],0))*1,0))</f>
      </c>
      <c r="L344" s="17">
        <f>IF(Log[[#This Row],[ID]]="","",IFERROR(INDEX(Items[Cur team],MATCH(Log[[#This Row],[ID]],Items[ID],0))&amp;"",""))</f>
      </c>
      <c r="M344" s="17">
        <f>IF(OR(Log[[#This Row],[Verb]]="done",Log[[#This Row],[Verb]]="punt",Log[[#This Row],[Verb]]="drop",Log[[#This Row],[Verb]]="pass"),Log[[#This Row],[Pts]],0)</f>
      </c>
    </row>
    <row r="345">
      <c r="A345" s="11">
        <v>46105</v>
      </c>
      <c r="B345" t="s">
        <v>327</v>
      </c>
      <c r="C345" t="s">
        <v>34</v>
      </c>
      <c r="D345">
        <v>40</v>
      </c>
      <c r="F345" s="17">
        <f>IF(Log[[#This Row],[ID]]="","",IF(ISNA(MATCH(Log[[#This Row],[ID]],Items[ID],0)),"unknown ID",IF(ISNA(MATCH(Log[[#This Row],[Verb]],VerbList,0)),"unknown verb",IF(Log[[#This Row],[Date]]="","no date",""))))</f>
      </c>
      <c r="G345" s="17">
        <f>IF(Log[[#This Row],[ID]]="","",IFERROR(VLOOKUP(Log[[#This Row],[Verb]],Verbs,3,FALSE)&amp;"",""))</f>
      </c>
      <c r="H345" s="17">
        <f>IF(Log[[#This Row],[Date]]="","",INT((Log[[#This Row],[Date]]-Sprint1)/SprintDays)+1)</f>
      </c>
      <c r="I345" s="17">
        <f>IF(OR(Log[[#This Row],[Verb]]="commit",Log[[#This Row],[Verb]]="carry",Log[[#This Row],[Verb]]="redo"),IF(Log[[#This Row],[Arg]]="",Log[[#This Row],[Sprint]],N(Log[[#This Row],[Arg]])),"")</f>
      </c>
      <c r="J345" s="17">
        <f>IF(Log[[#This Row],[Verb]]="block",1,IF(OR(Log[[#This Row],[Verb]]="unblock",Log[[#This Row],[Verb]]="done",Log[[#This Row],[Verb]]="drop",Log[[#This Row],[Verb]]="punt",Log[[#This Row],[Verb]]="pass"),0,""))</f>
      </c>
      <c r="K345" s="17">
        <f>IF(Log[[#This Row],[ID]]="",0,IFERROR(INDEX(Items[Pts],MATCH(Log[[#This Row],[ID]],Items[ID],0))*1,0))</f>
      </c>
      <c r="L345" s="17">
        <f>IF(Log[[#This Row],[ID]]="","",IFERROR(INDEX(Items[Cur team],MATCH(Log[[#This Row],[ID]],Items[ID],0))&amp;"",""))</f>
      </c>
      <c r="M345" s="17">
        <f>IF(OR(Log[[#This Row],[Verb]]="done",Log[[#This Row],[Verb]]="punt",Log[[#This Row],[Verb]]="drop",Log[[#This Row],[Verb]]="pass"),Log[[#This Row],[Pts]],0)</f>
      </c>
    </row>
    <row r="346">
      <c r="A346" s="11">
        <v>46105</v>
      </c>
      <c r="B346" t="s">
        <v>328</v>
      </c>
      <c r="C346" t="s">
        <v>34</v>
      </c>
      <c r="D346">
        <v>40</v>
      </c>
      <c r="F346" s="17">
        <f>IF(Log[[#This Row],[ID]]="","",IF(ISNA(MATCH(Log[[#This Row],[ID]],Items[ID],0)),"unknown ID",IF(ISNA(MATCH(Log[[#This Row],[Verb]],VerbList,0)),"unknown verb",IF(Log[[#This Row],[Date]]="","no date",""))))</f>
      </c>
      <c r="G346" s="17">
        <f>IF(Log[[#This Row],[ID]]="","",IFERROR(VLOOKUP(Log[[#This Row],[Verb]],Verbs,3,FALSE)&amp;"",""))</f>
      </c>
      <c r="H346" s="17">
        <f>IF(Log[[#This Row],[Date]]="","",INT((Log[[#This Row],[Date]]-Sprint1)/SprintDays)+1)</f>
      </c>
      <c r="I346" s="17">
        <f>IF(OR(Log[[#This Row],[Verb]]="commit",Log[[#This Row],[Verb]]="carry",Log[[#This Row],[Verb]]="redo"),IF(Log[[#This Row],[Arg]]="",Log[[#This Row],[Sprint]],N(Log[[#This Row],[Arg]])),"")</f>
      </c>
      <c r="J346" s="17">
        <f>IF(Log[[#This Row],[Verb]]="block",1,IF(OR(Log[[#This Row],[Verb]]="unblock",Log[[#This Row],[Verb]]="done",Log[[#This Row],[Verb]]="drop",Log[[#This Row],[Verb]]="punt",Log[[#This Row],[Verb]]="pass"),0,""))</f>
      </c>
      <c r="K346" s="17">
        <f>IF(Log[[#This Row],[ID]]="",0,IFERROR(INDEX(Items[Pts],MATCH(Log[[#This Row],[ID]],Items[ID],0))*1,0))</f>
      </c>
      <c r="L346" s="17">
        <f>IF(Log[[#This Row],[ID]]="","",IFERROR(INDEX(Items[Cur team],MATCH(Log[[#This Row],[ID]],Items[ID],0))&amp;"",""))</f>
      </c>
      <c r="M346" s="17">
        <f>IF(OR(Log[[#This Row],[Verb]]="done",Log[[#This Row],[Verb]]="punt",Log[[#This Row],[Verb]]="drop",Log[[#This Row],[Verb]]="pass"),Log[[#This Row],[Pts]],0)</f>
      </c>
    </row>
    <row r="347">
      <c r="A347" s="11">
        <v>46105</v>
      </c>
      <c r="B347" t="s">
        <v>329</v>
      </c>
      <c r="C347" t="s">
        <v>34</v>
      </c>
      <c r="D347">
        <v>40</v>
      </c>
      <c r="F347" s="17">
        <f>IF(Log[[#This Row],[ID]]="","",IF(ISNA(MATCH(Log[[#This Row],[ID]],Items[ID],0)),"unknown ID",IF(ISNA(MATCH(Log[[#This Row],[Verb]],VerbList,0)),"unknown verb",IF(Log[[#This Row],[Date]]="","no date",""))))</f>
      </c>
      <c r="G347" s="17">
        <f>IF(Log[[#This Row],[ID]]="","",IFERROR(VLOOKUP(Log[[#This Row],[Verb]],Verbs,3,FALSE)&amp;"",""))</f>
      </c>
      <c r="H347" s="17">
        <f>IF(Log[[#This Row],[Date]]="","",INT((Log[[#This Row],[Date]]-Sprint1)/SprintDays)+1)</f>
      </c>
      <c r="I347" s="17">
        <f>IF(OR(Log[[#This Row],[Verb]]="commit",Log[[#This Row],[Verb]]="carry",Log[[#This Row],[Verb]]="redo"),IF(Log[[#This Row],[Arg]]="",Log[[#This Row],[Sprint]],N(Log[[#This Row],[Arg]])),"")</f>
      </c>
      <c r="J347" s="17">
        <f>IF(Log[[#This Row],[Verb]]="block",1,IF(OR(Log[[#This Row],[Verb]]="unblock",Log[[#This Row],[Verb]]="done",Log[[#This Row],[Verb]]="drop",Log[[#This Row],[Verb]]="punt",Log[[#This Row],[Verb]]="pass"),0,""))</f>
      </c>
      <c r="K347" s="17">
        <f>IF(Log[[#This Row],[ID]]="",0,IFERROR(INDEX(Items[Pts],MATCH(Log[[#This Row],[ID]],Items[ID],0))*1,0))</f>
      </c>
      <c r="L347" s="17">
        <f>IF(Log[[#This Row],[ID]]="","",IFERROR(INDEX(Items[Cur team],MATCH(Log[[#This Row],[ID]],Items[ID],0))&amp;"",""))</f>
      </c>
      <c r="M347" s="17">
        <f>IF(OR(Log[[#This Row],[Verb]]="done",Log[[#This Row],[Verb]]="punt",Log[[#This Row],[Verb]]="drop",Log[[#This Row],[Verb]]="pass"),Log[[#This Row],[Pts]],0)</f>
      </c>
    </row>
    <row r="348">
      <c r="A348" s="11">
        <v>46105</v>
      </c>
      <c r="B348" t="s">
        <v>330</v>
      </c>
      <c r="C348" t="s">
        <v>34</v>
      </c>
      <c r="D348">
        <v>40</v>
      </c>
      <c r="F348" s="17">
        <f>IF(Log[[#This Row],[ID]]="","",IF(ISNA(MATCH(Log[[#This Row],[ID]],Items[ID],0)),"unknown ID",IF(ISNA(MATCH(Log[[#This Row],[Verb]],VerbList,0)),"unknown verb",IF(Log[[#This Row],[Date]]="","no date",""))))</f>
      </c>
      <c r="G348" s="17">
        <f>IF(Log[[#This Row],[ID]]="","",IFERROR(VLOOKUP(Log[[#This Row],[Verb]],Verbs,3,FALSE)&amp;"",""))</f>
      </c>
      <c r="H348" s="17">
        <f>IF(Log[[#This Row],[Date]]="","",INT((Log[[#This Row],[Date]]-Sprint1)/SprintDays)+1)</f>
      </c>
      <c r="I348" s="17">
        <f>IF(OR(Log[[#This Row],[Verb]]="commit",Log[[#This Row],[Verb]]="carry",Log[[#This Row],[Verb]]="redo"),IF(Log[[#This Row],[Arg]]="",Log[[#This Row],[Sprint]],N(Log[[#This Row],[Arg]])),"")</f>
      </c>
      <c r="J348" s="17">
        <f>IF(Log[[#This Row],[Verb]]="block",1,IF(OR(Log[[#This Row],[Verb]]="unblock",Log[[#This Row],[Verb]]="done",Log[[#This Row],[Verb]]="drop",Log[[#This Row],[Verb]]="punt",Log[[#This Row],[Verb]]="pass"),0,""))</f>
      </c>
      <c r="K348" s="17">
        <f>IF(Log[[#This Row],[ID]]="",0,IFERROR(INDEX(Items[Pts],MATCH(Log[[#This Row],[ID]],Items[ID],0))*1,0))</f>
      </c>
      <c r="L348" s="17">
        <f>IF(Log[[#This Row],[ID]]="","",IFERROR(INDEX(Items[Cur team],MATCH(Log[[#This Row],[ID]],Items[ID],0))&amp;"",""))</f>
      </c>
      <c r="M348" s="17">
        <f>IF(OR(Log[[#This Row],[Verb]]="done",Log[[#This Row],[Verb]]="punt",Log[[#This Row],[Verb]]="drop",Log[[#This Row],[Verb]]="pass"),Log[[#This Row],[Pts]],0)</f>
      </c>
    </row>
    <row r="349">
      <c r="A349" s="11">
        <v>46105</v>
      </c>
      <c r="B349" t="s">
        <v>331</v>
      </c>
      <c r="C349" t="s">
        <v>34</v>
      </c>
      <c r="D349">
        <v>40</v>
      </c>
      <c r="F349" s="17">
        <f>IF(Log[[#This Row],[ID]]="","",IF(ISNA(MATCH(Log[[#This Row],[ID]],Items[ID],0)),"unknown ID",IF(ISNA(MATCH(Log[[#This Row],[Verb]],VerbList,0)),"unknown verb",IF(Log[[#This Row],[Date]]="","no date",""))))</f>
      </c>
      <c r="G349" s="17">
        <f>IF(Log[[#This Row],[ID]]="","",IFERROR(VLOOKUP(Log[[#This Row],[Verb]],Verbs,3,FALSE)&amp;"",""))</f>
      </c>
      <c r="H349" s="17">
        <f>IF(Log[[#This Row],[Date]]="","",INT((Log[[#This Row],[Date]]-Sprint1)/SprintDays)+1)</f>
      </c>
      <c r="I349" s="17">
        <f>IF(OR(Log[[#This Row],[Verb]]="commit",Log[[#This Row],[Verb]]="carry",Log[[#This Row],[Verb]]="redo"),IF(Log[[#This Row],[Arg]]="",Log[[#This Row],[Sprint]],N(Log[[#This Row],[Arg]])),"")</f>
      </c>
      <c r="J349" s="17">
        <f>IF(Log[[#This Row],[Verb]]="block",1,IF(OR(Log[[#This Row],[Verb]]="unblock",Log[[#This Row],[Verb]]="done",Log[[#This Row],[Verb]]="drop",Log[[#This Row],[Verb]]="punt",Log[[#This Row],[Verb]]="pass"),0,""))</f>
      </c>
      <c r="K349" s="17">
        <f>IF(Log[[#This Row],[ID]]="",0,IFERROR(INDEX(Items[Pts],MATCH(Log[[#This Row],[ID]],Items[ID],0))*1,0))</f>
      </c>
      <c r="L349" s="17">
        <f>IF(Log[[#This Row],[ID]]="","",IFERROR(INDEX(Items[Cur team],MATCH(Log[[#This Row],[ID]],Items[ID],0))&amp;"",""))</f>
      </c>
      <c r="M349" s="17">
        <f>IF(OR(Log[[#This Row],[Verb]]="done",Log[[#This Row],[Verb]]="punt",Log[[#This Row],[Verb]]="drop",Log[[#This Row],[Verb]]="pass"),Log[[#This Row],[Pts]],0)</f>
      </c>
    </row>
    <row r="350">
      <c r="A350" s="11">
        <v>46105</v>
      </c>
      <c r="B350" t="s">
        <v>332</v>
      </c>
      <c r="C350" t="s">
        <v>34</v>
      </c>
      <c r="D350">
        <v>40</v>
      </c>
      <c r="F350" s="17">
        <f>IF(Log[[#This Row],[ID]]="","",IF(ISNA(MATCH(Log[[#This Row],[ID]],Items[ID],0)),"unknown ID",IF(ISNA(MATCH(Log[[#This Row],[Verb]],VerbList,0)),"unknown verb",IF(Log[[#This Row],[Date]]="","no date",""))))</f>
      </c>
      <c r="G350" s="17">
        <f>IF(Log[[#This Row],[ID]]="","",IFERROR(VLOOKUP(Log[[#This Row],[Verb]],Verbs,3,FALSE)&amp;"",""))</f>
      </c>
      <c r="H350" s="17">
        <f>IF(Log[[#This Row],[Date]]="","",INT((Log[[#This Row],[Date]]-Sprint1)/SprintDays)+1)</f>
      </c>
      <c r="I350" s="17">
        <f>IF(OR(Log[[#This Row],[Verb]]="commit",Log[[#This Row],[Verb]]="carry",Log[[#This Row],[Verb]]="redo"),IF(Log[[#This Row],[Arg]]="",Log[[#This Row],[Sprint]],N(Log[[#This Row],[Arg]])),"")</f>
      </c>
      <c r="J350" s="17">
        <f>IF(Log[[#This Row],[Verb]]="block",1,IF(OR(Log[[#This Row],[Verb]]="unblock",Log[[#This Row],[Verb]]="done",Log[[#This Row],[Verb]]="drop",Log[[#This Row],[Verb]]="punt",Log[[#This Row],[Verb]]="pass"),0,""))</f>
      </c>
      <c r="K350" s="17">
        <f>IF(Log[[#This Row],[ID]]="",0,IFERROR(INDEX(Items[Pts],MATCH(Log[[#This Row],[ID]],Items[ID],0))*1,0))</f>
      </c>
      <c r="L350" s="17">
        <f>IF(Log[[#This Row],[ID]]="","",IFERROR(INDEX(Items[Cur team],MATCH(Log[[#This Row],[ID]],Items[ID],0))&amp;"",""))</f>
      </c>
      <c r="M350" s="17">
        <f>IF(OR(Log[[#This Row],[Verb]]="done",Log[[#This Row],[Verb]]="punt",Log[[#This Row],[Verb]]="drop",Log[[#This Row],[Verb]]="pass"),Log[[#This Row],[Pts]],0)</f>
      </c>
    </row>
    <row r="351">
      <c r="A351" s="11">
        <v>46105</v>
      </c>
      <c r="B351" t="s">
        <v>333</v>
      </c>
      <c r="C351" t="s">
        <v>34</v>
      </c>
      <c r="D351">
        <v>40</v>
      </c>
      <c r="F351" s="17">
        <f>IF(Log[[#This Row],[ID]]="","",IF(ISNA(MATCH(Log[[#This Row],[ID]],Items[ID],0)),"unknown ID",IF(ISNA(MATCH(Log[[#This Row],[Verb]],VerbList,0)),"unknown verb",IF(Log[[#This Row],[Date]]="","no date",""))))</f>
      </c>
      <c r="G351" s="17">
        <f>IF(Log[[#This Row],[ID]]="","",IFERROR(VLOOKUP(Log[[#This Row],[Verb]],Verbs,3,FALSE)&amp;"",""))</f>
      </c>
      <c r="H351" s="17">
        <f>IF(Log[[#This Row],[Date]]="","",INT((Log[[#This Row],[Date]]-Sprint1)/SprintDays)+1)</f>
      </c>
      <c r="I351" s="17">
        <f>IF(OR(Log[[#This Row],[Verb]]="commit",Log[[#This Row],[Verb]]="carry",Log[[#This Row],[Verb]]="redo"),IF(Log[[#This Row],[Arg]]="",Log[[#This Row],[Sprint]],N(Log[[#This Row],[Arg]])),"")</f>
      </c>
      <c r="J351" s="17">
        <f>IF(Log[[#This Row],[Verb]]="block",1,IF(OR(Log[[#This Row],[Verb]]="unblock",Log[[#This Row],[Verb]]="done",Log[[#This Row],[Verb]]="drop",Log[[#This Row],[Verb]]="punt",Log[[#This Row],[Verb]]="pass"),0,""))</f>
      </c>
      <c r="K351" s="17">
        <f>IF(Log[[#This Row],[ID]]="",0,IFERROR(INDEX(Items[Pts],MATCH(Log[[#This Row],[ID]],Items[ID],0))*1,0))</f>
      </c>
      <c r="L351" s="17">
        <f>IF(Log[[#This Row],[ID]]="","",IFERROR(INDEX(Items[Cur team],MATCH(Log[[#This Row],[ID]],Items[ID],0))&amp;"",""))</f>
      </c>
      <c r="M351" s="17">
        <f>IF(OR(Log[[#This Row],[Verb]]="done",Log[[#This Row],[Verb]]="punt",Log[[#This Row],[Verb]]="drop",Log[[#This Row],[Verb]]="pass"),Log[[#This Row],[Pts]],0)</f>
      </c>
    </row>
    <row r="352">
      <c r="A352" s="11">
        <v>46105</v>
      </c>
      <c r="B352" t="s">
        <v>334</v>
      </c>
      <c r="C352" t="s">
        <v>34</v>
      </c>
      <c r="D352">
        <v>40</v>
      </c>
      <c r="F352" s="17">
        <f>IF(Log[[#This Row],[ID]]="","",IF(ISNA(MATCH(Log[[#This Row],[ID]],Items[ID],0)),"unknown ID",IF(ISNA(MATCH(Log[[#This Row],[Verb]],VerbList,0)),"unknown verb",IF(Log[[#This Row],[Date]]="","no date",""))))</f>
      </c>
      <c r="G352" s="17">
        <f>IF(Log[[#This Row],[ID]]="","",IFERROR(VLOOKUP(Log[[#This Row],[Verb]],Verbs,3,FALSE)&amp;"",""))</f>
      </c>
      <c r="H352" s="17">
        <f>IF(Log[[#This Row],[Date]]="","",INT((Log[[#This Row],[Date]]-Sprint1)/SprintDays)+1)</f>
      </c>
      <c r="I352" s="17">
        <f>IF(OR(Log[[#This Row],[Verb]]="commit",Log[[#This Row],[Verb]]="carry",Log[[#This Row],[Verb]]="redo"),IF(Log[[#This Row],[Arg]]="",Log[[#This Row],[Sprint]],N(Log[[#This Row],[Arg]])),"")</f>
      </c>
      <c r="J352" s="17">
        <f>IF(Log[[#This Row],[Verb]]="block",1,IF(OR(Log[[#This Row],[Verb]]="unblock",Log[[#This Row],[Verb]]="done",Log[[#This Row],[Verb]]="drop",Log[[#This Row],[Verb]]="punt",Log[[#This Row],[Verb]]="pass"),0,""))</f>
      </c>
      <c r="K352" s="17">
        <f>IF(Log[[#This Row],[ID]]="",0,IFERROR(INDEX(Items[Pts],MATCH(Log[[#This Row],[ID]],Items[ID],0))*1,0))</f>
      </c>
      <c r="L352" s="17">
        <f>IF(Log[[#This Row],[ID]]="","",IFERROR(INDEX(Items[Cur team],MATCH(Log[[#This Row],[ID]],Items[ID],0))&amp;"",""))</f>
      </c>
      <c r="M352" s="17">
        <f>IF(OR(Log[[#This Row],[Verb]]="done",Log[[#This Row],[Verb]]="punt",Log[[#This Row],[Verb]]="drop",Log[[#This Row],[Verb]]="pass"),Log[[#This Row],[Pts]],0)</f>
      </c>
    </row>
    <row r="353">
      <c r="A353" s="11">
        <v>46105</v>
      </c>
      <c r="B353" t="s">
        <v>335</v>
      </c>
      <c r="C353" t="s">
        <v>34</v>
      </c>
      <c r="D353">
        <v>40</v>
      </c>
      <c r="F353" s="17">
        <f>IF(Log[[#This Row],[ID]]="","",IF(ISNA(MATCH(Log[[#This Row],[ID]],Items[ID],0)),"unknown ID",IF(ISNA(MATCH(Log[[#This Row],[Verb]],VerbList,0)),"unknown verb",IF(Log[[#This Row],[Date]]="","no date",""))))</f>
      </c>
      <c r="G353" s="17">
        <f>IF(Log[[#This Row],[ID]]="","",IFERROR(VLOOKUP(Log[[#This Row],[Verb]],Verbs,3,FALSE)&amp;"",""))</f>
      </c>
      <c r="H353" s="17">
        <f>IF(Log[[#This Row],[Date]]="","",INT((Log[[#This Row],[Date]]-Sprint1)/SprintDays)+1)</f>
      </c>
      <c r="I353" s="17">
        <f>IF(OR(Log[[#This Row],[Verb]]="commit",Log[[#This Row],[Verb]]="carry",Log[[#This Row],[Verb]]="redo"),IF(Log[[#This Row],[Arg]]="",Log[[#This Row],[Sprint]],N(Log[[#This Row],[Arg]])),"")</f>
      </c>
      <c r="J353" s="17">
        <f>IF(Log[[#This Row],[Verb]]="block",1,IF(OR(Log[[#This Row],[Verb]]="unblock",Log[[#This Row],[Verb]]="done",Log[[#This Row],[Verb]]="drop",Log[[#This Row],[Verb]]="punt",Log[[#This Row],[Verb]]="pass"),0,""))</f>
      </c>
      <c r="K353" s="17">
        <f>IF(Log[[#This Row],[ID]]="",0,IFERROR(INDEX(Items[Pts],MATCH(Log[[#This Row],[ID]],Items[ID],0))*1,0))</f>
      </c>
      <c r="L353" s="17">
        <f>IF(Log[[#This Row],[ID]]="","",IFERROR(INDEX(Items[Cur team],MATCH(Log[[#This Row],[ID]],Items[ID],0))&amp;"",""))</f>
      </c>
      <c r="M353" s="17">
        <f>IF(OR(Log[[#This Row],[Verb]]="done",Log[[#This Row],[Verb]]="punt",Log[[#This Row],[Verb]]="drop",Log[[#This Row],[Verb]]="pass"),Log[[#This Row],[Pts]],0)</f>
      </c>
    </row>
    <row r="354">
      <c r="A354" s="11">
        <v>46105</v>
      </c>
      <c r="B354" t="s">
        <v>336</v>
      </c>
      <c r="C354" t="s">
        <v>34</v>
      </c>
      <c r="D354">
        <v>40</v>
      </c>
      <c r="F354" s="17">
        <f>IF(Log[[#This Row],[ID]]="","",IF(ISNA(MATCH(Log[[#This Row],[ID]],Items[ID],0)),"unknown ID",IF(ISNA(MATCH(Log[[#This Row],[Verb]],VerbList,0)),"unknown verb",IF(Log[[#This Row],[Date]]="","no date",""))))</f>
      </c>
      <c r="G354" s="17">
        <f>IF(Log[[#This Row],[ID]]="","",IFERROR(VLOOKUP(Log[[#This Row],[Verb]],Verbs,3,FALSE)&amp;"",""))</f>
      </c>
      <c r="H354" s="17">
        <f>IF(Log[[#This Row],[Date]]="","",INT((Log[[#This Row],[Date]]-Sprint1)/SprintDays)+1)</f>
      </c>
      <c r="I354" s="17">
        <f>IF(OR(Log[[#This Row],[Verb]]="commit",Log[[#This Row],[Verb]]="carry",Log[[#This Row],[Verb]]="redo"),IF(Log[[#This Row],[Arg]]="",Log[[#This Row],[Sprint]],N(Log[[#This Row],[Arg]])),"")</f>
      </c>
      <c r="J354" s="17">
        <f>IF(Log[[#This Row],[Verb]]="block",1,IF(OR(Log[[#This Row],[Verb]]="unblock",Log[[#This Row],[Verb]]="done",Log[[#This Row],[Verb]]="drop",Log[[#This Row],[Verb]]="punt",Log[[#This Row],[Verb]]="pass"),0,""))</f>
      </c>
      <c r="K354" s="17">
        <f>IF(Log[[#This Row],[ID]]="",0,IFERROR(INDEX(Items[Pts],MATCH(Log[[#This Row],[ID]],Items[ID],0))*1,0))</f>
      </c>
      <c r="L354" s="17">
        <f>IF(Log[[#This Row],[ID]]="","",IFERROR(INDEX(Items[Cur team],MATCH(Log[[#This Row],[ID]],Items[ID],0))&amp;"",""))</f>
      </c>
      <c r="M354" s="17">
        <f>IF(OR(Log[[#This Row],[Verb]]="done",Log[[#This Row],[Verb]]="punt",Log[[#This Row],[Verb]]="drop",Log[[#This Row],[Verb]]="pass"),Log[[#This Row],[Pts]],0)</f>
      </c>
    </row>
    <row r="355">
      <c r="A355" s="11">
        <v>46105</v>
      </c>
      <c r="B355" t="s">
        <v>337</v>
      </c>
      <c r="C355" t="s">
        <v>34</v>
      </c>
      <c r="D355">
        <v>40</v>
      </c>
      <c r="F355" s="17">
        <f>IF(Log[[#This Row],[ID]]="","",IF(ISNA(MATCH(Log[[#This Row],[ID]],Items[ID],0)),"unknown ID",IF(ISNA(MATCH(Log[[#This Row],[Verb]],VerbList,0)),"unknown verb",IF(Log[[#This Row],[Date]]="","no date",""))))</f>
      </c>
      <c r="G355" s="17">
        <f>IF(Log[[#This Row],[ID]]="","",IFERROR(VLOOKUP(Log[[#This Row],[Verb]],Verbs,3,FALSE)&amp;"",""))</f>
      </c>
      <c r="H355" s="17">
        <f>IF(Log[[#This Row],[Date]]="","",INT((Log[[#This Row],[Date]]-Sprint1)/SprintDays)+1)</f>
      </c>
      <c r="I355" s="17">
        <f>IF(OR(Log[[#This Row],[Verb]]="commit",Log[[#This Row],[Verb]]="carry",Log[[#This Row],[Verb]]="redo"),IF(Log[[#This Row],[Arg]]="",Log[[#This Row],[Sprint]],N(Log[[#This Row],[Arg]])),"")</f>
      </c>
      <c r="J355" s="17">
        <f>IF(Log[[#This Row],[Verb]]="block",1,IF(OR(Log[[#This Row],[Verb]]="unblock",Log[[#This Row],[Verb]]="done",Log[[#This Row],[Verb]]="drop",Log[[#This Row],[Verb]]="punt",Log[[#This Row],[Verb]]="pass"),0,""))</f>
      </c>
      <c r="K355" s="17">
        <f>IF(Log[[#This Row],[ID]]="",0,IFERROR(INDEX(Items[Pts],MATCH(Log[[#This Row],[ID]],Items[ID],0))*1,0))</f>
      </c>
      <c r="L355" s="17">
        <f>IF(Log[[#This Row],[ID]]="","",IFERROR(INDEX(Items[Cur team],MATCH(Log[[#This Row],[ID]],Items[ID],0))&amp;"",""))</f>
      </c>
      <c r="M355" s="17">
        <f>IF(OR(Log[[#This Row],[Verb]]="done",Log[[#This Row],[Verb]]="punt",Log[[#This Row],[Verb]]="drop",Log[[#This Row],[Verb]]="pass"),Log[[#This Row],[Pts]],0)</f>
      </c>
    </row>
    <row r="356">
      <c r="A356" s="11">
        <v>46105</v>
      </c>
      <c r="B356" t="s">
        <v>274</v>
      </c>
      <c r="C356" t="s">
        <v>57</v>
      </c>
      <c r="D356">
        <v>40</v>
      </c>
      <c r="E356" t="s">
        <v>193</v>
      </c>
      <c r="F356" s="17">
        <f>IF(Log[[#This Row],[ID]]="","",IF(ISNA(MATCH(Log[[#This Row],[ID]],Items[ID],0)),"unknown ID",IF(ISNA(MATCH(Log[[#This Row],[Verb]],VerbList,0)),"unknown verb",IF(Log[[#This Row],[Date]]="","no date",""))))</f>
      </c>
      <c r="G356" s="17">
        <f>IF(Log[[#This Row],[ID]]="","",IFERROR(VLOOKUP(Log[[#This Row],[Verb]],Verbs,3,FALSE)&amp;"",""))</f>
      </c>
      <c r="H356" s="17">
        <f>IF(Log[[#This Row],[Date]]="","",INT((Log[[#This Row],[Date]]-Sprint1)/SprintDays)+1)</f>
      </c>
      <c r="I356" s="17">
        <f>IF(OR(Log[[#This Row],[Verb]]="commit",Log[[#This Row],[Verb]]="carry",Log[[#This Row],[Verb]]="redo"),IF(Log[[#This Row],[Arg]]="",Log[[#This Row],[Sprint]],N(Log[[#This Row],[Arg]])),"")</f>
      </c>
      <c r="J356" s="17">
        <f>IF(Log[[#This Row],[Verb]]="block",1,IF(OR(Log[[#This Row],[Verb]]="unblock",Log[[#This Row],[Verb]]="done",Log[[#This Row],[Verb]]="drop",Log[[#This Row],[Verb]]="punt",Log[[#This Row],[Verb]]="pass"),0,""))</f>
      </c>
      <c r="K356" s="17">
        <f>IF(Log[[#This Row],[ID]]="",0,IFERROR(INDEX(Items[Pts],MATCH(Log[[#This Row],[ID]],Items[ID],0))*1,0))</f>
      </c>
      <c r="L356" s="17">
        <f>IF(Log[[#This Row],[ID]]="","",IFERROR(INDEX(Items[Cur team],MATCH(Log[[#This Row],[ID]],Items[ID],0))&amp;"",""))</f>
      </c>
      <c r="M356" s="17">
        <f>IF(OR(Log[[#This Row],[Verb]]="done",Log[[#This Row],[Verb]]="punt",Log[[#This Row],[Verb]]="drop",Log[[#This Row],[Verb]]="pass"),Log[[#This Row],[Pts]],0)</f>
      </c>
    </row>
    <row r="357">
      <c r="A357" s="11">
        <v>46105</v>
      </c>
      <c r="B357" t="s">
        <v>338</v>
      </c>
      <c r="C357" t="s">
        <v>34</v>
      </c>
      <c r="D357">
        <v>40</v>
      </c>
      <c r="F357" s="17">
        <f>IF(Log[[#This Row],[ID]]="","",IF(ISNA(MATCH(Log[[#This Row],[ID]],Items[ID],0)),"unknown ID",IF(ISNA(MATCH(Log[[#This Row],[Verb]],VerbList,0)),"unknown verb",IF(Log[[#This Row],[Date]]="","no date",""))))</f>
      </c>
      <c r="G357" s="17">
        <f>IF(Log[[#This Row],[ID]]="","",IFERROR(VLOOKUP(Log[[#This Row],[Verb]],Verbs,3,FALSE)&amp;"",""))</f>
      </c>
      <c r="H357" s="17">
        <f>IF(Log[[#This Row],[Date]]="","",INT((Log[[#This Row],[Date]]-Sprint1)/SprintDays)+1)</f>
      </c>
      <c r="I357" s="17">
        <f>IF(OR(Log[[#This Row],[Verb]]="commit",Log[[#This Row],[Verb]]="carry",Log[[#This Row],[Verb]]="redo"),IF(Log[[#This Row],[Arg]]="",Log[[#This Row],[Sprint]],N(Log[[#This Row],[Arg]])),"")</f>
      </c>
      <c r="J357" s="17">
        <f>IF(Log[[#This Row],[Verb]]="block",1,IF(OR(Log[[#This Row],[Verb]]="unblock",Log[[#This Row],[Verb]]="done",Log[[#This Row],[Verb]]="drop",Log[[#This Row],[Verb]]="punt",Log[[#This Row],[Verb]]="pass"),0,""))</f>
      </c>
      <c r="K357" s="17">
        <f>IF(Log[[#This Row],[ID]]="",0,IFERROR(INDEX(Items[Pts],MATCH(Log[[#This Row],[ID]],Items[ID],0))*1,0))</f>
      </c>
      <c r="L357" s="17">
        <f>IF(Log[[#This Row],[ID]]="","",IFERROR(INDEX(Items[Cur team],MATCH(Log[[#This Row],[ID]],Items[ID],0))&amp;"",""))</f>
      </c>
      <c r="M357" s="17">
        <f>IF(OR(Log[[#This Row],[Verb]]="done",Log[[#This Row],[Verb]]="punt",Log[[#This Row],[Verb]]="drop",Log[[#This Row],[Verb]]="pass"),Log[[#This Row],[Pts]],0)</f>
      </c>
    </row>
    <row r="358">
      <c r="A358" s="11">
        <v>46105</v>
      </c>
      <c r="B358" t="s">
        <v>339</v>
      </c>
      <c r="C358" t="s">
        <v>34</v>
      </c>
      <c r="D358">
        <v>40</v>
      </c>
      <c r="F358" s="17">
        <f>IF(Log[[#This Row],[ID]]="","",IF(ISNA(MATCH(Log[[#This Row],[ID]],Items[ID],0)),"unknown ID",IF(ISNA(MATCH(Log[[#This Row],[Verb]],VerbList,0)),"unknown verb",IF(Log[[#This Row],[Date]]="","no date",""))))</f>
      </c>
      <c r="G358" s="17">
        <f>IF(Log[[#This Row],[ID]]="","",IFERROR(VLOOKUP(Log[[#This Row],[Verb]],Verbs,3,FALSE)&amp;"",""))</f>
      </c>
      <c r="H358" s="17">
        <f>IF(Log[[#This Row],[Date]]="","",INT((Log[[#This Row],[Date]]-Sprint1)/SprintDays)+1)</f>
      </c>
      <c r="I358" s="17">
        <f>IF(OR(Log[[#This Row],[Verb]]="commit",Log[[#This Row],[Verb]]="carry",Log[[#This Row],[Verb]]="redo"),IF(Log[[#This Row],[Arg]]="",Log[[#This Row],[Sprint]],N(Log[[#This Row],[Arg]])),"")</f>
      </c>
      <c r="J358" s="17">
        <f>IF(Log[[#This Row],[Verb]]="block",1,IF(OR(Log[[#This Row],[Verb]]="unblock",Log[[#This Row],[Verb]]="done",Log[[#This Row],[Verb]]="drop",Log[[#This Row],[Verb]]="punt",Log[[#This Row],[Verb]]="pass"),0,""))</f>
      </c>
      <c r="K358" s="17">
        <f>IF(Log[[#This Row],[ID]]="",0,IFERROR(INDEX(Items[Pts],MATCH(Log[[#This Row],[ID]],Items[ID],0))*1,0))</f>
      </c>
      <c r="L358" s="17">
        <f>IF(Log[[#This Row],[ID]]="","",IFERROR(INDEX(Items[Cur team],MATCH(Log[[#This Row],[ID]],Items[ID],0))&amp;"",""))</f>
      </c>
      <c r="M358" s="17">
        <f>IF(OR(Log[[#This Row],[Verb]]="done",Log[[#This Row],[Verb]]="punt",Log[[#This Row],[Verb]]="drop",Log[[#This Row],[Verb]]="pass"),Log[[#This Row],[Pts]],0)</f>
      </c>
    </row>
    <row r="359">
      <c r="A359" s="11">
        <v>46105</v>
      </c>
      <c r="B359" t="s">
        <v>340</v>
      </c>
      <c r="C359" t="s">
        <v>34</v>
      </c>
      <c r="D359">
        <v>40</v>
      </c>
      <c r="F359" s="17">
        <f>IF(Log[[#This Row],[ID]]="","",IF(ISNA(MATCH(Log[[#This Row],[ID]],Items[ID],0)),"unknown ID",IF(ISNA(MATCH(Log[[#This Row],[Verb]],VerbList,0)),"unknown verb",IF(Log[[#This Row],[Date]]="","no date",""))))</f>
      </c>
      <c r="G359" s="17">
        <f>IF(Log[[#This Row],[ID]]="","",IFERROR(VLOOKUP(Log[[#This Row],[Verb]],Verbs,3,FALSE)&amp;"",""))</f>
      </c>
      <c r="H359" s="17">
        <f>IF(Log[[#This Row],[Date]]="","",INT((Log[[#This Row],[Date]]-Sprint1)/SprintDays)+1)</f>
      </c>
      <c r="I359" s="17">
        <f>IF(OR(Log[[#This Row],[Verb]]="commit",Log[[#This Row],[Verb]]="carry",Log[[#This Row],[Verb]]="redo"),IF(Log[[#This Row],[Arg]]="",Log[[#This Row],[Sprint]],N(Log[[#This Row],[Arg]])),"")</f>
      </c>
      <c r="J359" s="17">
        <f>IF(Log[[#This Row],[Verb]]="block",1,IF(OR(Log[[#This Row],[Verb]]="unblock",Log[[#This Row],[Verb]]="done",Log[[#This Row],[Verb]]="drop",Log[[#This Row],[Verb]]="punt",Log[[#This Row],[Verb]]="pass"),0,""))</f>
      </c>
      <c r="K359" s="17">
        <f>IF(Log[[#This Row],[ID]]="",0,IFERROR(INDEX(Items[Pts],MATCH(Log[[#This Row],[ID]],Items[ID],0))*1,0))</f>
      </c>
      <c r="L359" s="17">
        <f>IF(Log[[#This Row],[ID]]="","",IFERROR(INDEX(Items[Cur team],MATCH(Log[[#This Row],[ID]],Items[ID],0))&amp;"",""))</f>
      </c>
      <c r="M359" s="17">
        <f>IF(OR(Log[[#This Row],[Verb]]="done",Log[[#This Row],[Verb]]="punt",Log[[#This Row],[Verb]]="drop",Log[[#This Row],[Verb]]="pass"),Log[[#This Row],[Pts]],0)</f>
      </c>
    </row>
    <row r="360">
      <c r="A360" s="11">
        <v>46105</v>
      </c>
      <c r="B360" t="s">
        <v>341</v>
      </c>
      <c r="C360" t="s">
        <v>34</v>
      </c>
      <c r="D360">
        <v>40</v>
      </c>
      <c r="F360" s="17">
        <f>IF(Log[[#This Row],[ID]]="","",IF(ISNA(MATCH(Log[[#This Row],[ID]],Items[ID],0)),"unknown ID",IF(ISNA(MATCH(Log[[#This Row],[Verb]],VerbList,0)),"unknown verb",IF(Log[[#This Row],[Date]]="","no date",""))))</f>
      </c>
      <c r="G360" s="17">
        <f>IF(Log[[#This Row],[ID]]="","",IFERROR(VLOOKUP(Log[[#This Row],[Verb]],Verbs,3,FALSE)&amp;"",""))</f>
      </c>
      <c r="H360" s="17">
        <f>IF(Log[[#This Row],[Date]]="","",INT((Log[[#This Row],[Date]]-Sprint1)/SprintDays)+1)</f>
      </c>
      <c r="I360" s="17">
        <f>IF(OR(Log[[#This Row],[Verb]]="commit",Log[[#This Row],[Verb]]="carry",Log[[#This Row],[Verb]]="redo"),IF(Log[[#This Row],[Arg]]="",Log[[#This Row],[Sprint]],N(Log[[#This Row],[Arg]])),"")</f>
      </c>
      <c r="J360" s="17">
        <f>IF(Log[[#This Row],[Verb]]="block",1,IF(OR(Log[[#This Row],[Verb]]="unblock",Log[[#This Row],[Verb]]="done",Log[[#This Row],[Verb]]="drop",Log[[#This Row],[Verb]]="punt",Log[[#This Row],[Verb]]="pass"),0,""))</f>
      </c>
      <c r="K360" s="17">
        <f>IF(Log[[#This Row],[ID]]="",0,IFERROR(INDEX(Items[Pts],MATCH(Log[[#This Row],[ID]],Items[ID],0))*1,0))</f>
      </c>
      <c r="L360" s="17">
        <f>IF(Log[[#This Row],[ID]]="","",IFERROR(INDEX(Items[Cur team],MATCH(Log[[#This Row],[ID]],Items[ID],0))&amp;"",""))</f>
      </c>
      <c r="M360" s="17">
        <f>IF(OR(Log[[#This Row],[Verb]]="done",Log[[#This Row],[Verb]]="punt",Log[[#This Row],[Verb]]="drop",Log[[#This Row],[Verb]]="pass"),Log[[#This Row],[Pts]],0)</f>
      </c>
    </row>
    <row r="361">
      <c r="A361" s="11">
        <v>46105</v>
      </c>
      <c r="B361" t="s">
        <v>342</v>
      </c>
      <c r="C361" t="s">
        <v>34</v>
      </c>
      <c r="D361">
        <v>40</v>
      </c>
      <c r="F361" s="17">
        <f>IF(Log[[#This Row],[ID]]="","",IF(ISNA(MATCH(Log[[#This Row],[ID]],Items[ID],0)),"unknown ID",IF(ISNA(MATCH(Log[[#This Row],[Verb]],VerbList,0)),"unknown verb",IF(Log[[#This Row],[Date]]="","no date",""))))</f>
      </c>
      <c r="G361" s="17">
        <f>IF(Log[[#This Row],[ID]]="","",IFERROR(VLOOKUP(Log[[#This Row],[Verb]],Verbs,3,FALSE)&amp;"",""))</f>
      </c>
      <c r="H361" s="17">
        <f>IF(Log[[#This Row],[Date]]="","",INT((Log[[#This Row],[Date]]-Sprint1)/SprintDays)+1)</f>
      </c>
      <c r="I361" s="17">
        <f>IF(OR(Log[[#This Row],[Verb]]="commit",Log[[#This Row],[Verb]]="carry",Log[[#This Row],[Verb]]="redo"),IF(Log[[#This Row],[Arg]]="",Log[[#This Row],[Sprint]],N(Log[[#This Row],[Arg]])),"")</f>
      </c>
      <c r="J361" s="17">
        <f>IF(Log[[#This Row],[Verb]]="block",1,IF(OR(Log[[#This Row],[Verb]]="unblock",Log[[#This Row],[Verb]]="done",Log[[#This Row],[Verb]]="drop",Log[[#This Row],[Verb]]="punt",Log[[#This Row],[Verb]]="pass"),0,""))</f>
      </c>
      <c r="K361" s="17">
        <f>IF(Log[[#This Row],[ID]]="",0,IFERROR(INDEX(Items[Pts],MATCH(Log[[#This Row],[ID]],Items[ID],0))*1,0))</f>
      </c>
      <c r="L361" s="17">
        <f>IF(Log[[#This Row],[ID]]="","",IFERROR(INDEX(Items[Cur team],MATCH(Log[[#This Row],[ID]],Items[ID],0))&amp;"",""))</f>
      </c>
      <c r="M361" s="17">
        <f>IF(OR(Log[[#This Row],[Verb]]="done",Log[[#This Row],[Verb]]="punt",Log[[#This Row],[Verb]]="drop",Log[[#This Row],[Verb]]="pass"),Log[[#This Row],[Pts]],0)</f>
      </c>
    </row>
    <row r="362">
      <c r="A362" s="11">
        <v>46105</v>
      </c>
      <c r="B362" t="s">
        <v>343</v>
      </c>
      <c r="C362" t="s">
        <v>34</v>
      </c>
      <c r="D362">
        <v>40</v>
      </c>
      <c r="F362" s="17">
        <f>IF(Log[[#This Row],[ID]]="","",IF(ISNA(MATCH(Log[[#This Row],[ID]],Items[ID],0)),"unknown ID",IF(ISNA(MATCH(Log[[#This Row],[Verb]],VerbList,0)),"unknown verb",IF(Log[[#This Row],[Date]]="","no date",""))))</f>
      </c>
      <c r="G362" s="17">
        <f>IF(Log[[#This Row],[ID]]="","",IFERROR(VLOOKUP(Log[[#This Row],[Verb]],Verbs,3,FALSE)&amp;"",""))</f>
      </c>
      <c r="H362" s="17">
        <f>IF(Log[[#This Row],[Date]]="","",INT((Log[[#This Row],[Date]]-Sprint1)/SprintDays)+1)</f>
      </c>
      <c r="I362" s="17">
        <f>IF(OR(Log[[#This Row],[Verb]]="commit",Log[[#This Row],[Verb]]="carry",Log[[#This Row],[Verb]]="redo"),IF(Log[[#This Row],[Arg]]="",Log[[#This Row],[Sprint]],N(Log[[#This Row],[Arg]])),"")</f>
      </c>
      <c r="J362" s="17">
        <f>IF(Log[[#This Row],[Verb]]="block",1,IF(OR(Log[[#This Row],[Verb]]="unblock",Log[[#This Row],[Verb]]="done",Log[[#This Row],[Verb]]="drop",Log[[#This Row],[Verb]]="punt",Log[[#This Row],[Verb]]="pass"),0,""))</f>
      </c>
      <c r="K362" s="17">
        <f>IF(Log[[#This Row],[ID]]="",0,IFERROR(INDEX(Items[Pts],MATCH(Log[[#This Row],[ID]],Items[ID],0))*1,0))</f>
      </c>
      <c r="L362" s="17">
        <f>IF(Log[[#This Row],[ID]]="","",IFERROR(INDEX(Items[Cur team],MATCH(Log[[#This Row],[ID]],Items[ID],0))&amp;"",""))</f>
      </c>
      <c r="M362" s="17">
        <f>IF(OR(Log[[#This Row],[Verb]]="done",Log[[#This Row],[Verb]]="punt",Log[[#This Row],[Verb]]="drop",Log[[#This Row],[Verb]]="pass"),Log[[#This Row],[Pts]],0)</f>
      </c>
    </row>
    <row r="363">
      <c r="A363" s="11">
        <v>46105</v>
      </c>
      <c r="B363" t="s">
        <v>344</v>
      </c>
      <c r="C363" t="s">
        <v>34</v>
      </c>
      <c r="D363">
        <v>40</v>
      </c>
      <c r="F363" s="17">
        <f>IF(Log[[#This Row],[ID]]="","",IF(ISNA(MATCH(Log[[#This Row],[ID]],Items[ID],0)),"unknown ID",IF(ISNA(MATCH(Log[[#This Row],[Verb]],VerbList,0)),"unknown verb",IF(Log[[#This Row],[Date]]="","no date",""))))</f>
      </c>
      <c r="G363" s="17">
        <f>IF(Log[[#This Row],[ID]]="","",IFERROR(VLOOKUP(Log[[#This Row],[Verb]],Verbs,3,FALSE)&amp;"",""))</f>
      </c>
      <c r="H363" s="17">
        <f>IF(Log[[#This Row],[Date]]="","",INT((Log[[#This Row],[Date]]-Sprint1)/SprintDays)+1)</f>
      </c>
      <c r="I363" s="17">
        <f>IF(OR(Log[[#This Row],[Verb]]="commit",Log[[#This Row],[Verb]]="carry",Log[[#This Row],[Verb]]="redo"),IF(Log[[#This Row],[Arg]]="",Log[[#This Row],[Sprint]],N(Log[[#This Row],[Arg]])),"")</f>
      </c>
      <c r="J363" s="17">
        <f>IF(Log[[#This Row],[Verb]]="block",1,IF(OR(Log[[#This Row],[Verb]]="unblock",Log[[#This Row],[Verb]]="done",Log[[#This Row],[Verb]]="drop",Log[[#This Row],[Verb]]="punt",Log[[#This Row],[Verb]]="pass"),0,""))</f>
      </c>
      <c r="K363" s="17">
        <f>IF(Log[[#This Row],[ID]]="",0,IFERROR(INDEX(Items[Pts],MATCH(Log[[#This Row],[ID]],Items[ID],0))*1,0))</f>
      </c>
      <c r="L363" s="17">
        <f>IF(Log[[#This Row],[ID]]="","",IFERROR(INDEX(Items[Cur team],MATCH(Log[[#This Row],[ID]],Items[ID],0))&amp;"",""))</f>
      </c>
      <c r="M363" s="17">
        <f>IF(OR(Log[[#This Row],[Verb]]="done",Log[[#This Row],[Verb]]="punt",Log[[#This Row],[Verb]]="drop",Log[[#This Row],[Verb]]="pass"),Log[[#This Row],[Pts]],0)</f>
      </c>
    </row>
    <row r="364">
      <c r="A364" s="11">
        <v>46105</v>
      </c>
      <c r="B364" t="s">
        <v>345</v>
      </c>
      <c r="C364" t="s">
        <v>34</v>
      </c>
      <c r="D364">
        <v>40</v>
      </c>
      <c r="F364" s="17">
        <f>IF(Log[[#This Row],[ID]]="","",IF(ISNA(MATCH(Log[[#This Row],[ID]],Items[ID],0)),"unknown ID",IF(ISNA(MATCH(Log[[#This Row],[Verb]],VerbList,0)),"unknown verb",IF(Log[[#This Row],[Date]]="","no date",""))))</f>
      </c>
      <c r="G364" s="17">
        <f>IF(Log[[#This Row],[ID]]="","",IFERROR(VLOOKUP(Log[[#This Row],[Verb]],Verbs,3,FALSE)&amp;"",""))</f>
      </c>
      <c r="H364" s="17">
        <f>IF(Log[[#This Row],[Date]]="","",INT((Log[[#This Row],[Date]]-Sprint1)/SprintDays)+1)</f>
      </c>
      <c r="I364" s="17">
        <f>IF(OR(Log[[#This Row],[Verb]]="commit",Log[[#This Row],[Verb]]="carry",Log[[#This Row],[Verb]]="redo"),IF(Log[[#This Row],[Arg]]="",Log[[#This Row],[Sprint]],N(Log[[#This Row],[Arg]])),"")</f>
      </c>
      <c r="J364" s="17">
        <f>IF(Log[[#This Row],[Verb]]="block",1,IF(OR(Log[[#This Row],[Verb]]="unblock",Log[[#This Row],[Verb]]="done",Log[[#This Row],[Verb]]="drop",Log[[#This Row],[Verb]]="punt",Log[[#This Row],[Verb]]="pass"),0,""))</f>
      </c>
      <c r="K364" s="17">
        <f>IF(Log[[#This Row],[ID]]="",0,IFERROR(INDEX(Items[Pts],MATCH(Log[[#This Row],[ID]],Items[ID],0))*1,0))</f>
      </c>
      <c r="L364" s="17">
        <f>IF(Log[[#This Row],[ID]]="","",IFERROR(INDEX(Items[Cur team],MATCH(Log[[#This Row],[ID]],Items[ID],0))&amp;"",""))</f>
      </c>
      <c r="M364" s="17">
        <f>IF(OR(Log[[#This Row],[Verb]]="done",Log[[#This Row],[Verb]]="punt",Log[[#This Row],[Verb]]="drop",Log[[#This Row],[Verb]]="pass"),Log[[#This Row],[Pts]],0)</f>
      </c>
    </row>
    <row r="365">
      <c r="A365" s="11">
        <v>46105</v>
      </c>
      <c r="B365" t="s">
        <v>346</v>
      </c>
      <c r="C365" t="s">
        <v>34</v>
      </c>
      <c r="D365">
        <v>40</v>
      </c>
      <c r="F365" s="17">
        <f>IF(Log[[#This Row],[ID]]="","",IF(ISNA(MATCH(Log[[#This Row],[ID]],Items[ID],0)),"unknown ID",IF(ISNA(MATCH(Log[[#This Row],[Verb]],VerbList,0)),"unknown verb",IF(Log[[#This Row],[Date]]="","no date",""))))</f>
      </c>
      <c r="G365" s="17">
        <f>IF(Log[[#This Row],[ID]]="","",IFERROR(VLOOKUP(Log[[#This Row],[Verb]],Verbs,3,FALSE)&amp;"",""))</f>
      </c>
      <c r="H365" s="17">
        <f>IF(Log[[#This Row],[Date]]="","",INT((Log[[#This Row],[Date]]-Sprint1)/SprintDays)+1)</f>
      </c>
      <c r="I365" s="17">
        <f>IF(OR(Log[[#This Row],[Verb]]="commit",Log[[#This Row],[Verb]]="carry",Log[[#This Row],[Verb]]="redo"),IF(Log[[#This Row],[Arg]]="",Log[[#This Row],[Sprint]],N(Log[[#This Row],[Arg]])),"")</f>
      </c>
      <c r="J365" s="17">
        <f>IF(Log[[#This Row],[Verb]]="block",1,IF(OR(Log[[#This Row],[Verb]]="unblock",Log[[#This Row],[Verb]]="done",Log[[#This Row],[Verb]]="drop",Log[[#This Row],[Verb]]="punt",Log[[#This Row],[Verb]]="pass"),0,""))</f>
      </c>
      <c r="K365" s="17">
        <f>IF(Log[[#This Row],[ID]]="",0,IFERROR(INDEX(Items[Pts],MATCH(Log[[#This Row],[ID]],Items[ID],0))*1,0))</f>
      </c>
      <c r="L365" s="17">
        <f>IF(Log[[#This Row],[ID]]="","",IFERROR(INDEX(Items[Cur team],MATCH(Log[[#This Row],[ID]],Items[ID],0))&amp;"",""))</f>
      </c>
      <c r="M365" s="17">
        <f>IF(OR(Log[[#This Row],[Verb]]="done",Log[[#This Row],[Verb]]="punt",Log[[#This Row],[Verb]]="drop",Log[[#This Row],[Verb]]="pass"),Log[[#This Row],[Pts]],0)</f>
      </c>
    </row>
    <row r="366">
      <c r="A366" s="11">
        <v>46105</v>
      </c>
      <c r="B366" t="s">
        <v>347</v>
      </c>
      <c r="C366" t="s">
        <v>34</v>
      </c>
      <c r="D366">
        <v>40</v>
      </c>
      <c r="F366" s="17">
        <f>IF(Log[[#This Row],[ID]]="","",IF(ISNA(MATCH(Log[[#This Row],[ID]],Items[ID],0)),"unknown ID",IF(ISNA(MATCH(Log[[#This Row],[Verb]],VerbList,0)),"unknown verb",IF(Log[[#This Row],[Date]]="","no date",""))))</f>
      </c>
      <c r="G366" s="17">
        <f>IF(Log[[#This Row],[ID]]="","",IFERROR(VLOOKUP(Log[[#This Row],[Verb]],Verbs,3,FALSE)&amp;"",""))</f>
      </c>
      <c r="H366" s="17">
        <f>IF(Log[[#This Row],[Date]]="","",INT((Log[[#This Row],[Date]]-Sprint1)/SprintDays)+1)</f>
      </c>
      <c r="I366" s="17">
        <f>IF(OR(Log[[#This Row],[Verb]]="commit",Log[[#This Row],[Verb]]="carry",Log[[#This Row],[Verb]]="redo"),IF(Log[[#This Row],[Arg]]="",Log[[#This Row],[Sprint]],N(Log[[#This Row],[Arg]])),"")</f>
      </c>
      <c r="J366" s="17">
        <f>IF(Log[[#This Row],[Verb]]="block",1,IF(OR(Log[[#This Row],[Verb]]="unblock",Log[[#This Row],[Verb]]="done",Log[[#This Row],[Verb]]="drop",Log[[#This Row],[Verb]]="punt",Log[[#This Row],[Verb]]="pass"),0,""))</f>
      </c>
      <c r="K366" s="17">
        <f>IF(Log[[#This Row],[ID]]="",0,IFERROR(INDEX(Items[Pts],MATCH(Log[[#This Row],[ID]],Items[ID],0))*1,0))</f>
      </c>
      <c r="L366" s="17">
        <f>IF(Log[[#This Row],[ID]]="","",IFERROR(INDEX(Items[Cur team],MATCH(Log[[#This Row],[ID]],Items[ID],0))&amp;"",""))</f>
      </c>
      <c r="M366" s="17">
        <f>IF(OR(Log[[#This Row],[Verb]]="done",Log[[#This Row],[Verb]]="punt",Log[[#This Row],[Verb]]="drop",Log[[#This Row],[Verb]]="pass"),Log[[#This Row],[Pts]],0)</f>
      </c>
    </row>
    <row r="367">
      <c r="A367" s="11">
        <v>46105</v>
      </c>
      <c r="B367" t="s">
        <v>348</v>
      </c>
      <c r="C367" t="s">
        <v>34</v>
      </c>
      <c r="D367">
        <v>40</v>
      </c>
      <c r="F367" s="17">
        <f>IF(Log[[#This Row],[ID]]="","",IF(ISNA(MATCH(Log[[#This Row],[ID]],Items[ID],0)),"unknown ID",IF(ISNA(MATCH(Log[[#This Row],[Verb]],VerbList,0)),"unknown verb",IF(Log[[#This Row],[Date]]="","no date",""))))</f>
      </c>
      <c r="G367" s="17">
        <f>IF(Log[[#This Row],[ID]]="","",IFERROR(VLOOKUP(Log[[#This Row],[Verb]],Verbs,3,FALSE)&amp;"",""))</f>
      </c>
      <c r="H367" s="17">
        <f>IF(Log[[#This Row],[Date]]="","",INT((Log[[#This Row],[Date]]-Sprint1)/SprintDays)+1)</f>
      </c>
      <c r="I367" s="17">
        <f>IF(OR(Log[[#This Row],[Verb]]="commit",Log[[#This Row],[Verb]]="carry",Log[[#This Row],[Verb]]="redo"),IF(Log[[#This Row],[Arg]]="",Log[[#This Row],[Sprint]],N(Log[[#This Row],[Arg]])),"")</f>
      </c>
      <c r="J367" s="17">
        <f>IF(Log[[#This Row],[Verb]]="block",1,IF(OR(Log[[#This Row],[Verb]]="unblock",Log[[#This Row],[Verb]]="done",Log[[#This Row],[Verb]]="drop",Log[[#This Row],[Verb]]="punt",Log[[#This Row],[Verb]]="pass"),0,""))</f>
      </c>
      <c r="K367" s="17">
        <f>IF(Log[[#This Row],[ID]]="",0,IFERROR(INDEX(Items[Pts],MATCH(Log[[#This Row],[ID]],Items[ID],0))*1,0))</f>
      </c>
      <c r="L367" s="17">
        <f>IF(Log[[#This Row],[ID]]="","",IFERROR(INDEX(Items[Cur team],MATCH(Log[[#This Row],[ID]],Items[ID],0))&amp;"",""))</f>
      </c>
      <c r="M367" s="17">
        <f>IF(OR(Log[[#This Row],[Verb]]="done",Log[[#This Row],[Verb]]="punt",Log[[#This Row],[Verb]]="drop",Log[[#This Row],[Verb]]="pass"),Log[[#This Row],[Pts]],0)</f>
      </c>
    </row>
    <row r="368">
      <c r="A368" s="11">
        <v>46105</v>
      </c>
      <c r="B368" t="s">
        <v>349</v>
      </c>
      <c r="C368" t="s">
        <v>34</v>
      </c>
      <c r="D368">
        <v>40</v>
      </c>
      <c r="F368" s="17">
        <f>IF(Log[[#This Row],[ID]]="","",IF(ISNA(MATCH(Log[[#This Row],[ID]],Items[ID],0)),"unknown ID",IF(ISNA(MATCH(Log[[#This Row],[Verb]],VerbList,0)),"unknown verb",IF(Log[[#This Row],[Date]]="","no date",""))))</f>
      </c>
      <c r="G368" s="17">
        <f>IF(Log[[#This Row],[ID]]="","",IFERROR(VLOOKUP(Log[[#This Row],[Verb]],Verbs,3,FALSE)&amp;"",""))</f>
      </c>
      <c r="H368" s="17">
        <f>IF(Log[[#This Row],[Date]]="","",INT((Log[[#This Row],[Date]]-Sprint1)/SprintDays)+1)</f>
      </c>
      <c r="I368" s="17">
        <f>IF(OR(Log[[#This Row],[Verb]]="commit",Log[[#This Row],[Verb]]="carry",Log[[#This Row],[Verb]]="redo"),IF(Log[[#This Row],[Arg]]="",Log[[#This Row],[Sprint]],N(Log[[#This Row],[Arg]])),"")</f>
      </c>
      <c r="J368" s="17">
        <f>IF(Log[[#This Row],[Verb]]="block",1,IF(OR(Log[[#This Row],[Verb]]="unblock",Log[[#This Row],[Verb]]="done",Log[[#This Row],[Verb]]="drop",Log[[#This Row],[Verb]]="punt",Log[[#This Row],[Verb]]="pass"),0,""))</f>
      </c>
      <c r="K368" s="17">
        <f>IF(Log[[#This Row],[ID]]="",0,IFERROR(INDEX(Items[Pts],MATCH(Log[[#This Row],[ID]],Items[ID],0))*1,0))</f>
      </c>
      <c r="L368" s="17">
        <f>IF(Log[[#This Row],[ID]]="","",IFERROR(INDEX(Items[Cur team],MATCH(Log[[#This Row],[ID]],Items[ID],0))&amp;"",""))</f>
      </c>
      <c r="M368" s="17">
        <f>IF(OR(Log[[#This Row],[Verb]]="done",Log[[#This Row],[Verb]]="punt",Log[[#This Row],[Verb]]="drop",Log[[#This Row],[Verb]]="pass"),Log[[#This Row],[Pts]],0)</f>
      </c>
    </row>
    <row r="369">
      <c r="A369" s="11">
        <v>46105</v>
      </c>
      <c r="B369" t="s">
        <v>350</v>
      </c>
      <c r="C369" t="s">
        <v>34</v>
      </c>
      <c r="D369">
        <v>40</v>
      </c>
      <c r="F369" s="17">
        <f>IF(Log[[#This Row],[ID]]="","",IF(ISNA(MATCH(Log[[#This Row],[ID]],Items[ID],0)),"unknown ID",IF(ISNA(MATCH(Log[[#This Row],[Verb]],VerbList,0)),"unknown verb",IF(Log[[#This Row],[Date]]="","no date",""))))</f>
      </c>
      <c r="G369" s="17">
        <f>IF(Log[[#This Row],[ID]]="","",IFERROR(VLOOKUP(Log[[#This Row],[Verb]],Verbs,3,FALSE)&amp;"",""))</f>
      </c>
      <c r="H369" s="17">
        <f>IF(Log[[#This Row],[Date]]="","",INT((Log[[#This Row],[Date]]-Sprint1)/SprintDays)+1)</f>
      </c>
      <c r="I369" s="17">
        <f>IF(OR(Log[[#This Row],[Verb]]="commit",Log[[#This Row],[Verb]]="carry",Log[[#This Row],[Verb]]="redo"),IF(Log[[#This Row],[Arg]]="",Log[[#This Row],[Sprint]],N(Log[[#This Row],[Arg]])),"")</f>
      </c>
      <c r="J369" s="17">
        <f>IF(Log[[#This Row],[Verb]]="block",1,IF(OR(Log[[#This Row],[Verb]]="unblock",Log[[#This Row],[Verb]]="done",Log[[#This Row],[Verb]]="drop",Log[[#This Row],[Verb]]="punt",Log[[#This Row],[Verb]]="pass"),0,""))</f>
      </c>
      <c r="K369" s="17">
        <f>IF(Log[[#This Row],[ID]]="",0,IFERROR(INDEX(Items[Pts],MATCH(Log[[#This Row],[ID]],Items[ID],0))*1,0))</f>
      </c>
      <c r="L369" s="17">
        <f>IF(Log[[#This Row],[ID]]="","",IFERROR(INDEX(Items[Cur team],MATCH(Log[[#This Row],[ID]],Items[ID],0))&amp;"",""))</f>
      </c>
      <c r="M369" s="17">
        <f>IF(OR(Log[[#This Row],[Verb]]="done",Log[[#This Row],[Verb]]="punt",Log[[#This Row],[Verb]]="drop",Log[[#This Row],[Verb]]="pass"),Log[[#This Row],[Pts]],0)</f>
      </c>
    </row>
    <row r="370">
      <c r="A370" s="11">
        <v>46105</v>
      </c>
      <c r="B370" t="s">
        <v>351</v>
      </c>
      <c r="C370" t="s">
        <v>34</v>
      </c>
      <c r="D370">
        <v>40</v>
      </c>
      <c r="F370" s="17">
        <f>IF(Log[[#This Row],[ID]]="","",IF(ISNA(MATCH(Log[[#This Row],[ID]],Items[ID],0)),"unknown ID",IF(ISNA(MATCH(Log[[#This Row],[Verb]],VerbList,0)),"unknown verb",IF(Log[[#This Row],[Date]]="","no date",""))))</f>
      </c>
      <c r="G370" s="17">
        <f>IF(Log[[#This Row],[ID]]="","",IFERROR(VLOOKUP(Log[[#This Row],[Verb]],Verbs,3,FALSE)&amp;"",""))</f>
      </c>
      <c r="H370" s="17">
        <f>IF(Log[[#This Row],[Date]]="","",INT((Log[[#This Row],[Date]]-Sprint1)/SprintDays)+1)</f>
      </c>
      <c r="I370" s="17">
        <f>IF(OR(Log[[#This Row],[Verb]]="commit",Log[[#This Row],[Verb]]="carry",Log[[#This Row],[Verb]]="redo"),IF(Log[[#This Row],[Arg]]="",Log[[#This Row],[Sprint]],N(Log[[#This Row],[Arg]])),"")</f>
      </c>
      <c r="J370" s="17">
        <f>IF(Log[[#This Row],[Verb]]="block",1,IF(OR(Log[[#This Row],[Verb]]="unblock",Log[[#This Row],[Verb]]="done",Log[[#This Row],[Verb]]="drop",Log[[#This Row],[Verb]]="punt",Log[[#This Row],[Verb]]="pass"),0,""))</f>
      </c>
      <c r="K370" s="17">
        <f>IF(Log[[#This Row],[ID]]="",0,IFERROR(INDEX(Items[Pts],MATCH(Log[[#This Row],[ID]],Items[ID],0))*1,0))</f>
      </c>
      <c r="L370" s="17">
        <f>IF(Log[[#This Row],[ID]]="","",IFERROR(INDEX(Items[Cur team],MATCH(Log[[#This Row],[ID]],Items[ID],0))&amp;"",""))</f>
      </c>
      <c r="M370" s="17">
        <f>IF(OR(Log[[#This Row],[Verb]]="done",Log[[#This Row],[Verb]]="punt",Log[[#This Row],[Verb]]="drop",Log[[#This Row],[Verb]]="pass"),Log[[#This Row],[Pts]],0)</f>
      </c>
    </row>
    <row r="371">
      <c r="A371" s="11">
        <v>46105</v>
      </c>
      <c r="B371" t="s">
        <v>352</v>
      </c>
      <c r="C371" t="s">
        <v>34</v>
      </c>
      <c r="D371">
        <v>40</v>
      </c>
      <c r="F371" s="17">
        <f>IF(Log[[#This Row],[ID]]="","",IF(ISNA(MATCH(Log[[#This Row],[ID]],Items[ID],0)),"unknown ID",IF(ISNA(MATCH(Log[[#This Row],[Verb]],VerbList,0)),"unknown verb",IF(Log[[#This Row],[Date]]="","no date",""))))</f>
      </c>
      <c r="G371" s="17">
        <f>IF(Log[[#This Row],[ID]]="","",IFERROR(VLOOKUP(Log[[#This Row],[Verb]],Verbs,3,FALSE)&amp;"",""))</f>
      </c>
      <c r="H371" s="17">
        <f>IF(Log[[#This Row],[Date]]="","",INT((Log[[#This Row],[Date]]-Sprint1)/SprintDays)+1)</f>
      </c>
      <c r="I371" s="17">
        <f>IF(OR(Log[[#This Row],[Verb]]="commit",Log[[#This Row],[Verb]]="carry",Log[[#This Row],[Verb]]="redo"),IF(Log[[#This Row],[Arg]]="",Log[[#This Row],[Sprint]],N(Log[[#This Row],[Arg]])),"")</f>
      </c>
      <c r="J371" s="17">
        <f>IF(Log[[#This Row],[Verb]]="block",1,IF(OR(Log[[#This Row],[Verb]]="unblock",Log[[#This Row],[Verb]]="done",Log[[#This Row],[Verb]]="drop",Log[[#This Row],[Verb]]="punt",Log[[#This Row],[Verb]]="pass"),0,""))</f>
      </c>
      <c r="K371" s="17">
        <f>IF(Log[[#This Row],[ID]]="",0,IFERROR(INDEX(Items[Pts],MATCH(Log[[#This Row],[ID]],Items[ID],0))*1,0))</f>
      </c>
      <c r="L371" s="17">
        <f>IF(Log[[#This Row],[ID]]="","",IFERROR(INDEX(Items[Cur team],MATCH(Log[[#This Row],[ID]],Items[ID],0))&amp;"",""))</f>
      </c>
      <c r="M371" s="17">
        <f>IF(OR(Log[[#This Row],[Verb]]="done",Log[[#This Row],[Verb]]="punt",Log[[#This Row],[Verb]]="drop",Log[[#This Row],[Verb]]="pass"),Log[[#This Row],[Pts]],0)</f>
      </c>
    </row>
    <row r="372">
      <c r="A372" s="11">
        <v>46105</v>
      </c>
      <c r="B372" t="s">
        <v>353</v>
      </c>
      <c r="C372" t="s">
        <v>34</v>
      </c>
      <c r="D372">
        <v>40</v>
      </c>
      <c r="F372" s="17">
        <f>IF(Log[[#This Row],[ID]]="","",IF(ISNA(MATCH(Log[[#This Row],[ID]],Items[ID],0)),"unknown ID",IF(ISNA(MATCH(Log[[#This Row],[Verb]],VerbList,0)),"unknown verb",IF(Log[[#This Row],[Date]]="","no date",""))))</f>
      </c>
      <c r="G372" s="17">
        <f>IF(Log[[#This Row],[ID]]="","",IFERROR(VLOOKUP(Log[[#This Row],[Verb]],Verbs,3,FALSE)&amp;"",""))</f>
      </c>
      <c r="H372" s="17">
        <f>IF(Log[[#This Row],[Date]]="","",INT((Log[[#This Row],[Date]]-Sprint1)/SprintDays)+1)</f>
      </c>
      <c r="I372" s="17">
        <f>IF(OR(Log[[#This Row],[Verb]]="commit",Log[[#This Row],[Verb]]="carry",Log[[#This Row],[Verb]]="redo"),IF(Log[[#This Row],[Arg]]="",Log[[#This Row],[Sprint]],N(Log[[#This Row],[Arg]])),"")</f>
      </c>
      <c r="J372" s="17">
        <f>IF(Log[[#This Row],[Verb]]="block",1,IF(OR(Log[[#This Row],[Verb]]="unblock",Log[[#This Row],[Verb]]="done",Log[[#This Row],[Verb]]="drop",Log[[#This Row],[Verb]]="punt",Log[[#This Row],[Verb]]="pass"),0,""))</f>
      </c>
      <c r="K372" s="17">
        <f>IF(Log[[#This Row],[ID]]="",0,IFERROR(INDEX(Items[Pts],MATCH(Log[[#This Row],[ID]],Items[ID],0))*1,0))</f>
      </c>
      <c r="L372" s="17">
        <f>IF(Log[[#This Row],[ID]]="","",IFERROR(INDEX(Items[Cur team],MATCH(Log[[#This Row],[ID]],Items[ID],0))&amp;"",""))</f>
      </c>
      <c r="M372" s="17">
        <f>IF(OR(Log[[#This Row],[Verb]]="done",Log[[#This Row],[Verb]]="punt",Log[[#This Row],[Verb]]="drop",Log[[#This Row],[Verb]]="pass"),Log[[#This Row],[Pts]],0)</f>
      </c>
    </row>
    <row r="373">
      <c r="A373" s="11">
        <v>46105</v>
      </c>
      <c r="B373" t="s">
        <v>354</v>
      </c>
      <c r="C373" t="s">
        <v>34</v>
      </c>
      <c r="D373">
        <v>40</v>
      </c>
      <c r="F373" s="17">
        <f>IF(Log[[#This Row],[ID]]="","",IF(ISNA(MATCH(Log[[#This Row],[ID]],Items[ID],0)),"unknown ID",IF(ISNA(MATCH(Log[[#This Row],[Verb]],VerbList,0)),"unknown verb",IF(Log[[#This Row],[Date]]="","no date",""))))</f>
      </c>
      <c r="G373" s="17">
        <f>IF(Log[[#This Row],[ID]]="","",IFERROR(VLOOKUP(Log[[#This Row],[Verb]],Verbs,3,FALSE)&amp;"",""))</f>
      </c>
      <c r="H373" s="17">
        <f>IF(Log[[#This Row],[Date]]="","",INT((Log[[#This Row],[Date]]-Sprint1)/SprintDays)+1)</f>
      </c>
      <c r="I373" s="17">
        <f>IF(OR(Log[[#This Row],[Verb]]="commit",Log[[#This Row],[Verb]]="carry",Log[[#This Row],[Verb]]="redo"),IF(Log[[#This Row],[Arg]]="",Log[[#This Row],[Sprint]],N(Log[[#This Row],[Arg]])),"")</f>
      </c>
      <c r="J373" s="17">
        <f>IF(Log[[#This Row],[Verb]]="block",1,IF(OR(Log[[#This Row],[Verb]]="unblock",Log[[#This Row],[Verb]]="done",Log[[#This Row],[Verb]]="drop",Log[[#This Row],[Verb]]="punt",Log[[#This Row],[Verb]]="pass"),0,""))</f>
      </c>
      <c r="K373" s="17">
        <f>IF(Log[[#This Row],[ID]]="",0,IFERROR(INDEX(Items[Pts],MATCH(Log[[#This Row],[ID]],Items[ID],0))*1,0))</f>
      </c>
      <c r="L373" s="17">
        <f>IF(Log[[#This Row],[ID]]="","",IFERROR(INDEX(Items[Cur team],MATCH(Log[[#This Row],[ID]],Items[ID],0))&amp;"",""))</f>
      </c>
      <c r="M373" s="17">
        <f>IF(OR(Log[[#This Row],[Verb]]="done",Log[[#This Row],[Verb]]="punt",Log[[#This Row],[Verb]]="drop",Log[[#This Row],[Verb]]="pass"),Log[[#This Row],[Pts]],0)</f>
      </c>
    </row>
    <row r="374">
      <c r="A374" s="11">
        <v>46105</v>
      </c>
      <c r="B374" t="s">
        <v>355</v>
      </c>
      <c r="C374" t="s">
        <v>34</v>
      </c>
      <c r="D374">
        <v>40</v>
      </c>
      <c r="F374" s="17">
        <f>IF(Log[[#This Row],[ID]]="","",IF(ISNA(MATCH(Log[[#This Row],[ID]],Items[ID],0)),"unknown ID",IF(ISNA(MATCH(Log[[#This Row],[Verb]],VerbList,0)),"unknown verb",IF(Log[[#This Row],[Date]]="","no date",""))))</f>
      </c>
      <c r="G374" s="17">
        <f>IF(Log[[#This Row],[ID]]="","",IFERROR(VLOOKUP(Log[[#This Row],[Verb]],Verbs,3,FALSE)&amp;"",""))</f>
      </c>
      <c r="H374" s="17">
        <f>IF(Log[[#This Row],[Date]]="","",INT((Log[[#This Row],[Date]]-Sprint1)/SprintDays)+1)</f>
      </c>
      <c r="I374" s="17">
        <f>IF(OR(Log[[#This Row],[Verb]]="commit",Log[[#This Row],[Verb]]="carry",Log[[#This Row],[Verb]]="redo"),IF(Log[[#This Row],[Arg]]="",Log[[#This Row],[Sprint]],N(Log[[#This Row],[Arg]])),"")</f>
      </c>
      <c r="J374" s="17">
        <f>IF(Log[[#This Row],[Verb]]="block",1,IF(OR(Log[[#This Row],[Verb]]="unblock",Log[[#This Row],[Verb]]="done",Log[[#This Row],[Verb]]="drop",Log[[#This Row],[Verb]]="punt",Log[[#This Row],[Verb]]="pass"),0,""))</f>
      </c>
      <c r="K374" s="17">
        <f>IF(Log[[#This Row],[ID]]="",0,IFERROR(INDEX(Items[Pts],MATCH(Log[[#This Row],[ID]],Items[ID],0))*1,0))</f>
      </c>
      <c r="L374" s="17">
        <f>IF(Log[[#This Row],[ID]]="","",IFERROR(INDEX(Items[Cur team],MATCH(Log[[#This Row],[ID]],Items[ID],0))&amp;"",""))</f>
      </c>
      <c r="M374" s="17">
        <f>IF(OR(Log[[#This Row],[Verb]]="done",Log[[#This Row],[Verb]]="punt",Log[[#This Row],[Verb]]="drop",Log[[#This Row],[Verb]]="pass"),Log[[#This Row],[Pts]],0)</f>
      </c>
    </row>
    <row r="375">
      <c r="A375" s="11">
        <v>46105</v>
      </c>
      <c r="B375" t="s">
        <v>356</v>
      </c>
      <c r="C375" t="s">
        <v>34</v>
      </c>
      <c r="D375">
        <v>40</v>
      </c>
      <c r="F375" s="17">
        <f>IF(Log[[#This Row],[ID]]="","",IF(ISNA(MATCH(Log[[#This Row],[ID]],Items[ID],0)),"unknown ID",IF(ISNA(MATCH(Log[[#This Row],[Verb]],VerbList,0)),"unknown verb",IF(Log[[#This Row],[Date]]="","no date",""))))</f>
      </c>
      <c r="G375" s="17">
        <f>IF(Log[[#This Row],[ID]]="","",IFERROR(VLOOKUP(Log[[#This Row],[Verb]],Verbs,3,FALSE)&amp;"",""))</f>
      </c>
      <c r="H375" s="17">
        <f>IF(Log[[#This Row],[Date]]="","",INT((Log[[#This Row],[Date]]-Sprint1)/SprintDays)+1)</f>
      </c>
      <c r="I375" s="17">
        <f>IF(OR(Log[[#This Row],[Verb]]="commit",Log[[#This Row],[Verb]]="carry",Log[[#This Row],[Verb]]="redo"),IF(Log[[#This Row],[Arg]]="",Log[[#This Row],[Sprint]],N(Log[[#This Row],[Arg]])),"")</f>
      </c>
      <c r="J375" s="17">
        <f>IF(Log[[#This Row],[Verb]]="block",1,IF(OR(Log[[#This Row],[Verb]]="unblock",Log[[#This Row],[Verb]]="done",Log[[#This Row],[Verb]]="drop",Log[[#This Row],[Verb]]="punt",Log[[#This Row],[Verb]]="pass"),0,""))</f>
      </c>
      <c r="K375" s="17">
        <f>IF(Log[[#This Row],[ID]]="",0,IFERROR(INDEX(Items[Pts],MATCH(Log[[#This Row],[ID]],Items[ID],0))*1,0))</f>
      </c>
      <c r="L375" s="17">
        <f>IF(Log[[#This Row],[ID]]="","",IFERROR(INDEX(Items[Cur team],MATCH(Log[[#This Row],[ID]],Items[ID],0))&amp;"",""))</f>
      </c>
      <c r="M375" s="17">
        <f>IF(OR(Log[[#This Row],[Verb]]="done",Log[[#This Row],[Verb]]="punt",Log[[#This Row],[Verb]]="drop",Log[[#This Row],[Verb]]="pass"),Log[[#This Row],[Pts]],0)</f>
      </c>
    </row>
    <row r="376">
      <c r="A376" s="11">
        <v>46105</v>
      </c>
      <c r="B376" t="s">
        <v>357</v>
      </c>
      <c r="C376" t="s">
        <v>34</v>
      </c>
      <c r="D376">
        <v>40</v>
      </c>
      <c r="F376" s="17">
        <f>IF(Log[[#This Row],[ID]]="","",IF(ISNA(MATCH(Log[[#This Row],[ID]],Items[ID],0)),"unknown ID",IF(ISNA(MATCH(Log[[#This Row],[Verb]],VerbList,0)),"unknown verb",IF(Log[[#This Row],[Date]]="","no date",""))))</f>
      </c>
      <c r="G376" s="17">
        <f>IF(Log[[#This Row],[ID]]="","",IFERROR(VLOOKUP(Log[[#This Row],[Verb]],Verbs,3,FALSE)&amp;"",""))</f>
      </c>
      <c r="H376" s="17">
        <f>IF(Log[[#This Row],[Date]]="","",INT((Log[[#This Row],[Date]]-Sprint1)/SprintDays)+1)</f>
      </c>
      <c r="I376" s="17">
        <f>IF(OR(Log[[#This Row],[Verb]]="commit",Log[[#This Row],[Verb]]="carry",Log[[#This Row],[Verb]]="redo"),IF(Log[[#This Row],[Arg]]="",Log[[#This Row],[Sprint]],N(Log[[#This Row],[Arg]])),"")</f>
      </c>
      <c r="J376" s="17">
        <f>IF(Log[[#This Row],[Verb]]="block",1,IF(OR(Log[[#This Row],[Verb]]="unblock",Log[[#This Row],[Verb]]="done",Log[[#This Row],[Verb]]="drop",Log[[#This Row],[Verb]]="punt",Log[[#This Row],[Verb]]="pass"),0,""))</f>
      </c>
      <c r="K376" s="17">
        <f>IF(Log[[#This Row],[ID]]="",0,IFERROR(INDEX(Items[Pts],MATCH(Log[[#This Row],[ID]],Items[ID],0))*1,0))</f>
      </c>
      <c r="L376" s="17">
        <f>IF(Log[[#This Row],[ID]]="","",IFERROR(INDEX(Items[Cur team],MATCH(Log[[#This Row],[ID]],Items[ID],0))&amp;"",""))</f>
      </c>
      <c r="M376" s="17">
        <f>IF(OR(Log[[#This Row],[Verb]]="done",Log[[#This Row],[Verb]]="punt",Log[[#This Row],[Verb]]="drop",Log[[#This Row],[Verb]]="pass"),Log[[#This Row],[Pts]],0)</f>
      </c>
    </row>
    <row r="377">
      <c r="A377" s="11">
        <v>46105</v>
      </c>
      <c r="B377" t="s">
        <v>358</v>
      </c>
      <c r="C377" t="s">
        <v>34</v>
      </c>
      <c r="D377">
        <v>40</v>
      </c>
      <c r="F377" s="17">
        <f>IF(Log[[#This Row],[ID]]="","",IF(ISNA(MATCH(Log[[#This Row],[ID]],Items[ID],0)),"unknown ID",IF(ISNA(MATCH(Log[[#This Row],[Verb]],VerbList,0)),"unknown verb",IF(Log[[#This Row],[Date]]="","no date",""))))</f>
      </c>
      <c r="G377" s="17">
        <f>IF(Log[[#This Row],[ID]]="","",IFERROR(VLOOKUP(Log[[#This Row],[Verb]],Verbs,3,FALSE)&amp;"",""))</f>
      </c>
      <c r="H377" s="17">
        <f>IF(Log[[#This Row],[Date]]="","",INT((Log[[#This Row],[Date]]-Sprint1)/SprintDays)+1)</f>
      </c>
      <c r="I377" s="17">
        <f>IF(OR(Log[[#This Row],[Verb]]="commit",Log[[#This Row],[Verb]]="carry",Log[[#This Row],[Verb]]="redo"),IF(Log[[#This Row],[Arg]]="",Log[[#This Row],[Sprint]],N(Log[[#This Row],[Arg]])),"")</f>
      </c>
      <c r="J377" s="17">
        <f>IF(Log[[#This Row],[Verb]]="block",1,IF(OR(Log[[#This Row],[Verb]]="unblock",Log[[#This Row],[Verb]]="done",Log[[#This Row],[Verb]]="drop",Log[[#This Row],[Verb]]="punt",Log[[#This Row],[Verb]]="pass"),0,""))</f>
      </c>
      <c r="K377" s="17">
        <f>IF(Log[[#This Row],[ID]]="",0,IFERROR(INDEX(Items[Pts],MATCH(Log[[#This Row],[ID]],Items[ID],0))*1,0))</f>
      </c>
      <c r="L377" s="17">
        <f>IF(Log[[#This Row],[ID]]="","",IFERROR(INDEX(Items[Cur team],MATCH(Log[[#This Row],[ID]],Items[ID],0))&amp;"",""))</f>
      </c>
      <c r="M377" s="17">
        <f>IF(OR(Log[[#This Row],[Verb]]="done",Log[[#This Row],[Verb]]="punt",Log[[#This Row],[Verb]]="drop",Log[[#This Row],[Verb]]="pass"),Log[[#This Row],[Pts]],0)</f>
      </c>
    </row>
    <row r="378">
      <c r="A378" s="11">
        <v>46105</v>
      </c>
      <c r="B378" t="s">
        <v>359</v>
      </c>
      <c r="C378" t="s">
        <v>34</v>
      </c>
      <c r="D378">
        <v>40</v>
      </c>
      <c r="F378" s="17">
        <f>IF(Log[[#This Row],[ID]]="","",IF(ISNA(MATCH(Log[[#This Row],[ID]],Items[ID],0)),"unknown ID",IF(ISNA(MATCH(Log[[#This Row],[Verb]],VerbList,0)),"unknown verb",IF(Log[[#This Row],[Date]]="","no date",""))))</f>
      </c>
      <c r="G378" s="17">
        <f>IF(Log[[#This Row],[ID]]="","",IFERROR(VLOOKUP(Log[[#This Row],[Verb]],Verbs,3,FALSE)&amp;"",""))</f>
      </c>
      <c r="H378" s="17">
        <f>IF(Log[[#This Row],[Date]]="","",INT((Log[[#This Row],[Date]]-Sprint1)/SprintDays)+1)</f>
      </c>
      <c r="I378" s="17">
        <f>IF(OR(Log[[#This Row],[Verb]]="commit",Log[[#This Row],[Verb]]="carry",Log[[#This Row],[Verb]]="redo"),IF(Log[[#This Row],[Arg]]="",Log[[#This Row],[Sprint]],N(Log[[#This Row],[Arg]])),"")</f>
      </c>
      <c r="J378" s="17">
        <f>IF(Log[[#This Row],[Verb]]="block",1,IF(OR(Log[[#This Row],[Verb]]="unblock",Log[[#This Row],[Verb]]="done",Log[[#This Row],[Verb]]="drop",Log[[#This Row],[Verb]]="punt",Log[[#This Row],[Verb]]="pass"),0,""))</f>
      </c>
      <c r="K378" s="17">
        <f>IF(Log[[#This Row],[ID]]="",0,IFERROR(INDEX(Items[Pts],MATCH(Log[[#This Row],[ID]],Items[ID],0))*1,0))</f>
      </c>
      <c r="L378" s="17">
        <f>IF(Log[[#This Row],[ID]]="","",IFERROR(INDEX(Items[Cur team],MATCH(Log[[#This Row],[ID]],Items[ID],0))&amp;"",""))</f>
      </c>
      <c r="M378" s="17">
        <f>IF(OR(Log[[#This Row],[Verb]]="done",Log[[#This Row],[Verb]]="punt",Log[[#This Row],[Verb]]="drop",Log[[#This Row],[Verb]]="pass"),Log[[#This Row],[Pts]],0)</f>
      </c>
    </row>
    <row r="379">
      <c r="A379" s="11">
        <v>46105</v>
      </c>
      <c r="B379" t="s">
        <v>360</v>
      </c>
      <c r="C379" t="s">
        <v>34</v>
      </c>
      <c r="D379">
        <v>40</v>
      </c>
      <c r="F379" s="17">
        <f>IF(Log[[#This Row],[ID]]="","",IF(ISNA(MATCH(Log[[#This Row],[ID]],Items[ID],0)),"unknown ID",IF(ISNA(MATCH(Log[[#This Row],[Verb]],VerbList,0)),"unknown verb",IF(Log[[#This Row],[Date]]="","no date",""))))</f>
      </c>
      <c r="G379" s="17">
        <f>IF(Log[[#This Row],[ID]]="","",IFERROR(VLOOKUP(Log[[#This Row],[Verb]],Verbs,3,FALSE)&amp;"",""))</f>
      </c>
      <c r="H379" s="17">
        <f>IF(Log[[#This Row],[Date]]="","",INT((Log[[#This Row],[Date]]-Sprint1)/SprintDays)+1)</f>
      </c>
      <c r="I379" s="17">
        <f>IF(OR(Log[[#This Row],[Verb]]="commit",Log[[#This Row],[Verb]]="carry",Log[[#This Row],[Verb]]="redo"),IF(Log[[#This Row],[Arg]]="",Log[[#This Row],[Sprint]],N(Log[[#This Row],[Arg]])),"")</f>
      </c>
      <c r="J379" s="17">
        <f>IF(Log[[#This Row],[Verb]]="block",1,IF(OR(Log[[#This Row],[Verb]]="unblock",Log[[#This Row],[Verb]]="done",Log[[#This Row],[Verb]]="drop",Log[[#This Row],[Verb]]="punt",Log[[#This Row],[Verb]]="pass"),0,""))</f>
      </c>
      <c r="K379" s="17">
        <f>IF(Log[[#This Row],[ID]]="",0,IFERROR(INDEX(Items[Pts],MATCH(Log[[#This Row],[ID]],Items[ID],0))*1,0))</f>
      </c>
      <c r="L379" s="17">
        <f>IF(Log[[#This Row],[ID]]="","",IFERROR(INDEX(Items[Cur team],MATCH(Log[[#This Row],[ID]],Items[ID],0))&amp;"",""))</f>
      </c>
      <c r="M379" s="17">
        <f>IF(OR(Log[[#This Row],[Verb]]="done",Log[[#This Row],[Verb]]="punt",Log[[#This Row],[Verb]]="drop",Log[[#This Row],[Verb]]="pass"),Log[[#This Row],[Pts]],0)</f>
      </c>
    </row>
    <row r="380">
      <c r="A380" s="11">
        <v>46105</v>
      </c>
      <c r="B380" t="s">
        <v>361</v>
      </c>
      <c r="C380" t="s">
        <v>34</v>
      </c>
      <c r="D380">
        <v>40</v>
      </c>
      <c r="F380" s="17">
        <f>IF(Log[[#This Row],[ID]]="","",IF(ISNA(MATCH(Log[[#This Row],[ID]],Items[ID],0)),"unknown ID",IF(ISNA(MATCH(Log[[#This Row],[Verb]],VerbList,0)),"unknown verb",IF(Log[[#This Row],[Date]]="","no date",""))))</f>
      </c>
      <c r="G380" s="17">
        <f>IF(Log[[#This Row],[ID]]="","",IFERROR(VLOOKUP(Log[[#This Row],[Verb]],Verbs,3,FALSE)&amp;"",""))</f>
      </c>
      <c r="H380" s="17">
        <f>IF(Log[[#This Row],[Date]]="","",INT((Log[[#This Row],[Date]]-Sprint1)/SprintDays)+1)</f>
      </c>
      <c r="I380" s="17">
        <f>IF(OR(Log[[#This Row],[Verb]]="commit",Log[[#This Row],[Verb]]="carry",Log[[#This Row],[Verb]]="redo"),IF(Log[[#This Row],[Arg]]="",Log[[#This Row],[Sprint]],N(Log[[#This Row],[Arg]])),"")</f>
      </c>
      <c r="J380" s="17">
        <f>IF(Log[[#This Row],[Verb]]="block",1,IF(OR(Log[[#This Row],[Verb]]="unblock",Log[[#This Row],[Verb]]="done",Log[[#This Row],[Verb]]="drop",Log[[#This Row],[Verb]]="punt",Log[[#This Row],[Verb]]="pass"),0,""))</f>
      </c>
      <c r="K380" s="17">
        <f>IF(Log[[#This Row],[ID]]="",0,IFERROR(INDEX(Items[Pts],MATCH(Log[[#This Row],[ID]],Items[ID],0))*1,0))</f>
      </c>
      <c r="L380" s="17">
        <f>IF(Log[[#This Row],[ID]]="","",IFERROR(INDEX(Items[Cur team],MATCH(Log[[#This Row],[ID]],Items[ID],0))&amp;"",""))</f>
      </c>
      <c r="M380" s="17">
        <f>IF(OR(Log[[#This Row],[Verb]]="done",Log[[#This Row],[Verb]]="punt",Log[[#This Row],[Verb]]="drop",Log[[#This Row],[Verb]]="pass"),Log[[#This Row],[Pts]],0)</f>
      </c>
    </row>
    <row r="381">
      <c r="A381" s="11">
        <v>46105</v>
      </c>
      <c r="B381" t="s">
        <v>362</v>
      </c>
      <c r="C381" t="s">
        <v>34</v>
      </c>
      <c r="D381">
        <v>40</v>
      </c>
      <c r="F381" s="17">
        <f>IF(Log[[#This Row],[ID]]="","",IF(ISNA(MATCH(Log[[#This Row],[ID]],Items[ID],0)),"unknown ID",IF(ISNA(MATCH(Log[[#This Row],[Verb]],VerbList,0)),"unknown verb",IF(Log[[#This Row],[Date]]="","no date",""))))</f>
      </c>
      <c r="G381" s="17">
        <f>IF(Log[[#This Row],[ID]]="","",IFERROR(VLOOKUP(Log[[#This Row],[Verb]],Verbs,3,FALSE)&amp;"",""))</f>
      </c>
      <c r="H381" s="17">
        <f>IF(Log[[#This Row],[Date]]="","",INT((Log[[#This Row],[Date]]-Sprint1)/SprintDays)+1)</f>
      </c>
      <c r="I381" s="17">
        <f>IF(OR(Log[[#This Row],[Verb]]="commit",Log[[#This Row],[Verb]]="carry",Log[[#This Row],[Verb]]="redo"),IF(Log[[#This Row],[Arg]]="",Log[[#This Row],[Sprint]],N(Log[[#This Row],[Arg]])),"")</f>
      </c>
      <c r="J381" s="17">
        <f>IF(Log[[#This Row],[Verb]]="block",1,IF(OR(Log[[#This Row],[Verb]]="unblock",Log[[#This Row],[Verb]]="done",Log[[#This Row],[Verb]]="drop",Log[[#This Row],[Verb]]="punt",Log[[#This Row],[Verb]]="pass"),0,""))</f>
      </c>
      <c r="K381" s="17">
        <f>IF(Log[[#This Row],[ID]]="",0,IFERROR(INDEX(Items[Pts],MATCH(Log[[#This Row],[ID]],Items[ID],0))*1,0))</f>
      </c>
      <c r="L381" s="17">
        <f>IF(Log[[#This Row],[ID]]="","",IFERROR(INDEX(Items[Cur team],MATCH(Log[[#This Row],[ID]],Items[ID],0))&amp;"",""))</f>
      </c>
      <c r="M381" s="17">
        <f>IF(OR(Log[[#This Row],[Verb]]="done",Log[[#This Row],[Verb]]="punt",Log[[#This Row],[Verb]]="drop",Log[[#This Row],[Verb]]="pass"),Log[[#This Row],[Pts]],0)</f>
      </c>
    </row>
    <row r="382">
      <c r="A382" s="11">
        <v>46105</v>
      </c>
      <c r="B382" t="s">
        <v>363</v>
      </c>
      <c r="C382" t="s">
        <v>34</v>
      </c>
      <c r="D382">
        <v>40</v>
      </c>
      <c r="F382" s="17">
        <f>IF(Log[[#This Row],[ID]]="","",IF(ISNA(MATCH(Log[[#This Row],[ID]],Items[ID],0)),"unknown ID",IF(ISNA(MATCH(Log[[#This Row],[Verb]],VerbList,0)),"unknown verb",IF(Log[[#This Row],[Date]]="","no date",""))))</f>
      </c>
      <c r="G382" s="17">
        <f>IF(Log[[#This Row],[ID]]="","",IFERROR(VLOOKUP(Log[[#This Row],[Verb]],Verbs,3,FALSE)&amp;"",""))</f>
      </c>
      <c r="H382" s="17">
        <f>IF(Log[[#This Row],[Date]]="","",INT((Log[[#This Row],[Date]]-Sprint1)/SprintDays)+1)</f>
      </c>
      <c r="I382" s="17">
        <f>IF(OR(Log[[#This Row],[Verb]]="commit",Log[[#This Row],[Verb]]="carry",Log[[#This Row],[Verb]]="redo"),IF(Log[[#This Row],[Arg]]="",Log[[#This Row],[Sprint]],N(Log[[#This Row],[Arg]])),"")</f>
      </c>
      <c r="J382" s="17">
        <f>IF(Log[[#This Row],[Verb]]="block",1,IF(OR(Log[[#This Row],[Verb]]="unblock",Log[[#This Row],[Verb]]="done",Log[[#This Row],[Verb]]="drop",Log[[#This Row],[Verb]]="punt",Log[[#This Row],[Verb]]="pass"),0,""))</f>
      </c>
      <c r="K382" s="17">
        <f>IF(Log[[#This Row],[ID]]="",0,IFERROR(INDEX(Items[Pts],MATCH(Log[[#This Row],[ID]],Items[ID],0))*1,0))</f>
      </c>
      <c r="L382" s="17">
        <f>IF(Log[[#This Row],[ID]]="","",IFERROR(INDEX(Items[Cur team],MATCH(Log[[#This Row],[ID]],Items[ID],0))&amp;"",""))</f>
      </c>
      <c r="M382" s="17">
        <f>IF(OR(Log[[#This Row],[Verb]]="done",Log[[#This Row],[Verb]]="punt",Log[[#This Row],[Verb]]="drop",Log[[#This Row],[Verb]]="pass"),Log[[#This Row],[Pts]],0)</f>
      </c>
    </row>
    <row r="383">
      <c r="A383" s="11">
        <v>46105</v>
      </c>
      <c r="B383" t="s">
        <v>364</v>
      </c>
      <c r="C383" t="s">
        <v>34</v>
      </c>
      <c r="D383">
        <v>40</v>
      </c>
      <c r="F383" s="17">
        <f>IF(Log[[#This Row],[ID]]="","",IF(ISNA(MATCH(Log[[#This Row],[ID]],Items[ID],0)),"unknown ID",IF(ISNA(MATCH(Log[[#This Row],[Verb]],VerbList,0)),"unknown verb",IF(Log[[#This Row],[Date]]="","no date",""))))</f>
      </c>
      <c r="G383" s="17">
        <f>IF(Log[[#This Row],[ID]]="","",IFERROR(VLOOKUP(Log[[#This Row],[Verb]],Verbs,3,FALSE)&amp;"",""))</f>
      </c>
      <c r="H383" s="17">
        <f>IF(Log[[#This Row],[Date]]="","",INT((Log[[#This Row],[Date]]-Sprint1)/SprintDays)+1)</f>
      </c>
      <c r="I383" s="17">
        <f>IF(OR(Log[[#This Row],[Verb]]="commit",Log[[#This Row],[Verb]]="carry",Log[[#This Row],[Verb]]="redo"),IF(Log[[#This Row],[Arg]]="",Log[[#This Row],[Sprint]],N(Log[[#This Row],[Arg]])),"")</f>
      </c>
      <c r="J383" s="17">
        <f>IF(Log[[#This Row],[Verb]]="block",1,IF(OR(Log[[#This Row],[Verb]]="unblock",Log[[#This Row],[Verb]]="done",Log[[#This Row],[Verb]]="drop",Log[[#This Row],[Verb]]="punt",Log[[#This Row],[Verb]]="pass"),0,""))</f>
      </c>
      <c r="K383" s="17">
        <f>IF(Log[[#This Row],[ID]]="",0,IFERROR(INDEX(Items[Pts],MATCH(Log[[#This Row],[ID]],Items[ID],0))*1,0))</f>
      </c>
      <c r="L383" s="17">
        <f>IF(Log[[#This Row],[ID]]="","",IFERROR(INDEX(Items[Cur team],MATCH(Log[[#This Row],[ID]],Items[ID],0))&amp;"",""))</f>
      </c>
      <c r="M383" s="17">
        <f>IF(OR(Log[[#This Row],[Verb]]="done",Log[[#This Row],[Verb]]="punt",Log[[#This Row],[Verb]]="drop",Log[[#This Row],[Verb]]="pass"),Log[[#This Row],[Pts]],0)</f>
      </c>
    </row>
    <row r="384">
      <c r="A384" s="11">
        <v>46105</v>
      </c>
      <c r="B384" t="s">
        <v>365</v>
      </c>
      <c r="C384" t="s">
        <v>34</v>
      </c>
      <c r="D384">
        <v>40</v>
      </c>
      <c r="F384" s="17">
        <f>IF(Log[[#This Row],[ID]]="","",IF(ISNA(MATCH(Log[[#This Row],[ID]],Items[ID],0)),"unknown ID",IF(ISNA(MATCH(Log[[#This Row],[Verb]],VerbList,0)),"unknown verb",IF(Log[[#This Row],[Date]]="","no date",""))))</f>
      </c>
      <c r="G384" s="17">
        <f>IF(Log[[#This Row],[ID]]="","",IFERROR(VLOOKUP(Log[[#This Row],[Verb]],Verbs,3,FALSE)&amp;"",""))</f>
      </c>
      <c r="H384" s="17">
        <f>IF(Log[[#This Row],[Date]]="","",INT((Log[[#This Row],[Date]]-Sprint1)/SprintDays)+1)</f>
      </c>
      <c r="I384" s="17">
        <f>IF(OR(Log[[#This Row],[Verb]]="commit",Log[[#This Row],[Verb]]="carry",Log[[#This Row],[Verb]]="redo"),IF(Log[[#This Row],[Arg]]="",Log[[#This Row],[Sprint]],N(Log[[#This Row],[Arg]])),"")</f>
      </c>
      <c r="J384" s="17">
        <f>IF(Log[[#This Row],[Verb]]="block",1,IF(OR(Log[[#This Row],[Verb]]="unblock",Log[[#This Row],[Verb]]="done",Log[[#This Row],[Verb]]="drop",Log[[#This Row],[Verb]]="punt",Log[[#This Row],[Verb]]="pass"),0,""))</f>
      </c>
      <c r="K384" s="17">
        <f>IF(Log[[#This Row],[ID]]="",0,IFERROR(INDEX(Items[Pts],MATCH(Log[[#This Row],[ID]],Items[ID],0))*1,0))</f>
      </c>
      <c r="L384" s="17">
        <f>IF(Log[[#This Row],[ID]]="","",IFERROR(INDEX(Items[Cur team],MATCH(Log[[#This Row],[ID]],Items[ID],0))&amp;"",""))</f>
      </c>
      <c r="M384" s="17">
        <f>IF(OR(Log[[#This Row],[Verb]]="done",Log[[#This Row],[Verb]]="punt",Log[[#This Row],[Verb]]="drop",Log[[#This Row],[Verb]]="pass"),Log[[#This Row],[Pts]],0)</f>
      </c>
    </row>
    <row r="385">
      <c r="A385" s="11">
        <v>46105</v>
      </c>
      <c r="B385" t="s">
        <v>366</v>
      </c>
      <c r="C385" t="s">
        <v>34</v>
      </c>
      <c r="D385">
        <v>40</v>
      </c>
      <c r="F385" s="17">
        <f>IF(Log[[#This Row],[ID]]="","",IF(ISNA(MATCH(Log[[#This Row],[ID]],Items[ID],0)),"unknown ID",IF(ISNA(MATCH(Log[[#This Row],[Verb]],VerbList,0)),"unknown verb",IF(Log[[#This Row],[Date]]="","no date",""))))</f>
      </c>
      <c r="G385" s="17">
        <f>IF(Log[[#This Row],[ID]]="","",IFERROR(VLOOKUP(Log[[#This Row],[Verb]],Verbs,3,FALSE)&amp;"",""))</f>
      </c>
      <c r="H385" s="17">
        <f>IF(Log[[#This Row],[Date]]="","",INT((Log[[#This Row],[Date]]-Sprint1)/SprintDays)+1)</f>
      </c>
      <c r="I385" s="17">
        <f>IF(OR(Log[[#This Row],[Verb]]="commit",Log[[#This Row],[Verb]]="carry",Log[[#This Row],[Verb]]="redo"),IF(Log[[#This Row],[Arg]]="",Log[[#This Row],[Sprint]],N(Log[[#This Row],[Arg]])),"")</f>
      </c>
      <c r="J385" s="17">
        <f>IF(Log[[#This Row],[Verb]]="block",1,IF(OR(Log[[#This Row],[Verb]]="unblock",Log[[#This Row],[Verb]]="done",Log[[#This Row],[Verb]]="drop",Log[[#This Row],[Verb]]="punt",Log[[#This Row],[Verb]]="pass"),0,""))</f>
      </c>
      <c r="K385" s="17">
        <f>IF(Log[[#This Row],[ID]]="",0,IFERROR(INDEX(Items[Pts],MATCH(Log[[#This Row],[ID]],Items[ID],0))*1,0))</f>
      </c>
      <c r="L385" s="17">
        <f>IF(Log[[#This Row],[ID]]="","",IFERROR(INDEX(Items[Cur team],MATCH(Log[[#This Row],[ID]],Items[ID],0))&amp;"",""))</f>
      </c>
      <c r="M385" s="17">
        <f>IF(OR(Log[[#This Row],[Verb]]="done",Log[[#This Row],[Verb]]="punt",Log[[#This Row],[Verb]]="drop",Log[[#This Row],[Verb]]="pass"),Log[[#This Row],[Pts]],0)</f>
      </c>
    </row>
    <row r="386">
      <c r="A386" s="11">
        <v>46105</v>
      </c>
      <c r="B386" t="s">
        <v>367</v>
      </c>
      <c r="C386" t="s">
        <v>34</v>
      </c>
      <c r="D386">
        <v>40</v>
      </c>
      <c r="F386" s="17">
        <f>IF(Log[[#This Row],[ID]]="","",IF(ISNA(MATCH(Log[[#This Row],[ID]],Items[ID],0)),"unknown ID",IF(ISNA(MATCH(Log[[#This Row],[Verb]],VerbList,0)),"unknown verb",IF(Log[[#This Row],[Date]]="","no date",""))))</f>
      </c>
      <c r="G386" s="17">
        <f>IF(Log[[#This Row],[ID]]="","",IFERROR(VLOOKUP(Log[[#This Row],[Verb]],Verbs,3,FALSE)&amp;"",""))</f>
      </c>
      <c r="H386" s="17">
        <f>IF(Log[[#This Row],[Date]]="","",INT((Log[[#This Row],[Date]]-Sprint1)/SprintDays)+1)</f>
      </c>
      <c r="I386" s="17">
        <f>IF(OR(Log[[#This Row],[Verb]]="commit",Log[[#This Row],[Verb]]="carry",Log[[#This Row],[Verb]]="redo"),IF(Log[[#This Row],[Arg]]="",Log[[#This Row],[Sprint]],N(Log[[#This Row],[Arg]])),"")</f>
      </c>
      <c r="J386" s="17">
        <f>IF(Log[[#This Row],[Verb]]="block",1,IF(OR(Log[[#This Row],[Verb]]="unblock",Log[[#This Row],[Verb]]="done",Log[[#This Row],[Verb]]="drop",Log[[#This Row],[Verb]]="punt",Log[[#This Row],[Verb]]="pass"),0,""))</f>
      </c>
      <c r="K386" s="17">
        <f>IF(Log[[#This Row],[ID]]="",0,IFERROR(INDEX(Items[Pts],MATCH(Log[[#This Row],[ID]],Items[ID],0))*1,0))</f>
      </c>
      <c r="L386" s="17">
        <f>IF(Log[[#This Row],[ID]]="","",IFERROR(INDEX(Items[Cur team],MATCH(Log[[#This Row],[ID]],Items[ID],0))&amp;"",""))</f>
      </c>
      <c r="M386" s="17">
        <f>IF(OR(Log[[#This Row],[Verb]]="done",Log[[#This Row],[Verb]]="punt",Log[[#This Row],[Verb]]="drop",Log[[#This Row],[Verb]]="pass"),Log[[#This Row],[Pts]],0)</f>
      </c>
    </row>
    <row r="387">
      <c r="A387" s="11">
        <v>46105</v>
      </c>
      <c r="B387" t="s">
        <v>368</v>
      </c>
      <c r="C387" t="s">
        <v>34</v>
      </c>
      <c r="D387">
        <v>40</v>
      </c>
      <c r="F387" s="17">
        <f>IF(Log[[#This Row],[ID]]="","",IF(ISNA(MATCH(Log[[#This Row],[ID]],Items[ID],0)),"unknown ID",IF(ISNA(MATCH(Log[[#This Row],[Verb]],VerbList,0)),"unknown verb",IF(Log[[#This Row],[Date]]="","no date",""))))</f>
      </c>
      <c r="G387" s="17">
        <f>IF(Log[[#This Row],[ID]]="","",IFERROR(VLOOKUP(Log[[#This Row],[Verb]],Verbs,3,FALSE)&amp;"",""))</f>
      </c>
      <c r="H387" s="17">
        <f>IF(Log[[#This Row],[Date]]="","",INT((Log[[#This Row],[Date]]-Sprint1)/SprintDays)+1)</f>
      </c>
      <c r="I387" s="17">
        <f>IF(OR(Log[[#This Row],[Verb]]="commit",Log[[#This Row],[Verb]]="carry",Log[[#This Row],[Verb]]="redo"),IF(Log[[#This Row],[Arg]]="",Log[[#This Row],[Sprint]],N(Log[[#This Row],[Arg]])),"")</f>
      </c>
      <c r="J387" s="17">
        <f>IF(Log[[#This Row],[Verb]]="block",1,IF(OR(Log[[#This Row],[Verb]]="unblock",Log[[#This Row],[Verb]]="done",Log[[#This Row],[Verb]]="drop",Log[[#This Row],[Verb]]="punt",Log[[#This Row],[Verb]]="pass"),0,""))</f>
      </c>
      <c r="K387" s="17">
        <f>IF(Log[[#This Row],[ID]]="",0,IFERROR(INDEX(Items[Pts],MATCH(Log[[#This Row],[ID]],Items[ID],0))*1,0))</f>
      </c>
      <c r="L387" s="17">
        <f>IF(Log[[#This Row],[ID]]="","",IFERROR(INDEX(Items[Cur team],MATCH(Log[[#This Row],[ID]],Items[ID],0))&amp;"",""))</f>
      </c>
      <c r="M387" s="17">
        <f>IF(OR(Log[[#This Row],[Verb]]="done",Log[[#This Row],[Verb]]="punt",Log[[#This Row],[Verb]]="drop",Log[[#This Row],[Verb]]="pass"),Log[[#This Row],[Pts]],0)</f>
      </c>
    </row>
    <row r="388">
      <c r="A388" s="11">
        <v>46105</v>
      </c>
      <c r="B388" t="s">
        <v>369</v>
      </c>
      <c r="C388" t="s">
        <v>34</v>
      </c>
      <c r="D388">
        <v>40</v>
      </c>
      <c r="F388" s="17">
        <f>IF(Log[[#This Row],[ID]]="","",IF(ISNA(MATCH(Log[[#This Row],[ID]],Items[ID],0)),"unknown ID",IF(ISNA(MATCH(Log[[#This Row],[Verb]],VerbList,0)),"unknown verb",IF(Log[[#This Row],[Date]]="","no date",""))))</f>
      </c>
      <c r="G388" s="17">
        <f>IF(Log[[#This Row],[ID]]="","",IFERROR(VLOOKUP(Log[[#This Row],[Verb]],Verbs,3,FALSE)&amp;"",""))</f>
      </c>
      <c r="H388" s="17">
        <f>IF(Log[[#This Row],[Date]]="","",INT((Log[[#This Row],[Date]]-Sprint1)/SprintDays)+1)</f>
      </c>
      <c r="I388" s="17">
        <f>IF(OR(Log[[#This Row],[Verb]]="commit",Log[[#This Row],[Verb]]="carry",Log[[#This Row],[Verb]]="redo"),IF(Log[[#This Row],[Arg]]="",Log[[#This Row],[Sprint]],N(Log[[#This Row],[Arg]])),"")</f>
      </c>
      <c r="J388" s="17">
        <f>IF(Log[[#This Row],[Verb]]="block",1,IF(OR(Log[[#This Row],[Verb]]="unblock",Log[[#This Row],[Verb]]="done",Log[[#This Row],[Verb]]="drop",Log[[#This Row],[Verb]]="punt",Log[[#This Row],[Verb]]="pass"),0,""))</f>
      </c>
      <c r="K388" s="17">
        <f>IF(Log[[#This Row],[ID]]="",0,IFERROR(INDEX(Items[Pts],MATCH(Log[[#This Row],[ID]],Items[ID],0))*1,0))</f>
      </c>
      <c r="L388" s="17">
        <f>IF(Log[[#This Row],[ID]]="","",IFERROR(INDEX(Items[Cur team],MATCH(Log[[#This Row],[ID]],Items[ID],0))&amp;"",""))</f>
      </c>
      <c r="M388" s="17">
        <f>IF(OR(Log[[#This Row],[Verb]]="done",Log[[#This Row],[Verb]]="punt",Log[[#This Row],[Verb]]="drop",Log[[#This Row],[Verb]]="pass"),Log[[#This Row],[Pts]],0)</f>
      </c>
    </row>
    <row r="389">
      <c r="A389" s="11">
        <v>46105</v>
      </c>
      <c r="B389" t="s">
        <v>370</v>
      </c>
      <c r="C389" t="s">
        <v>34</v>
      </c>
      <c r="D389">
        <v>40</v>
      </c>
      <c r="F389" s="17">
        <f>IF(Log[[#This Row],[ID]]="","",IF(ISNA(MATCH(Log[[#This Row],[ID]],Items[ID],0)),"unknown ID",IF(ISNA(MATCH(Log[[#This Row],[Verb]],VerbList,0)),"unknown verb",IF(Log[[#This Row],[Date]]="","no date",""))))</f>
      </c>
      <c r="G389" s="17">
        <f>IF(Log[[#This Row],[ID]]="","",IFERROR(VLOOKUP(Log[[#This Row],[Verb]],Verbs,3,FALSE)&amp;"",""))</f>
      </c>
      <c r="H389" s="17">
        <f>IF(Log[[#This Row],[Date]]="","",INT((Log[[#This Row],[Date]]-Sprint1)/SprintDays)+1)</f>
      </c>
      <c r="I389" s="17">
        <f>IF(OR(Log[[#This Row],[Verb]]="commit",Log[[#This Row],[Verb]]="carry",Log[[#This Row],[Verb]]="redo"),IF(Log[[#This Row],[Arg]]="",Log[[#This Row],[Sprint]],N(Log[[#This Row],[Arg]])),"")</f>
      </c>
      <c r="J389" s="17">
        <f>IF(Log[[#This Row],[Verb]]="block",1,IF(OR(Log[[#This Row],[Verb]]="unblock",Log[[#This Row],[Verb]]="done",Log[[#This Row],[Verb]]="drop",Log[[#This Row],[Verb]]="punt",Log[[#This Row],[Verb]]="pass"),0,""))</f>
      </c>
      <c r="K389" s="17">
        <f>IF(Log[[#This Row],[ID]]="",0,IFERROR(INDEX(Items[Pts],MATCH(Log[[#This Row],[ID]],Items[ID],0))*1,0))</f>
      </c>
      <c r="L389" s="17">
        <f>IF(Log[[#This Row],[ID]]="","",IFERROR(INDEX(Items[Cur team],MATCH(Log[[#This Row],[ID]],Items[ID],0))&amp;"",""))</f>
      </c>
      <c r="M389" s="17">
        <f>IF(OR(Log[[#This Row],[Verb]]="done",Log[[#This Row],[Verb]]="punt",Log[[#This Row],[Verb]]="drop",Log[[#This Row],[Verb]]="pass"),Log[[#This Row],[Pts]],0)</f>
      </c>
    </row>
    <row r="390">
      <c r="A390" s="11">
        <v>46105</v>
      </c>
      <c r="B390" t="s">
        <v>371</v>
      </c>
      <c r="C390" t="s">
        <v>34</v>
      </c>
      <c r="D390">
        <v>40</v>
      </c>
      <c r="F390" s="17">
        <f>IF(Log[[#This Row],[ID]]="","",IF(ISNA(MATCH(Log[[#This Row],[ID]],Items[ID],0)),"unknown ID",IF(ISNA(MATCH(Log[[#This Row],[Verb]],VerbList,0)),"unknown verb",IF(Log[[#This Row],[Date]]="","no date",""))))</f>
      </c>
      <c r="G390" s="17">
        <f>IF(Log[[#This Row],[ID]]="","",IFERROR(VLOOKUP(Log[[#This Row],[Verb]],Verbs,3,FALSE)&amp;"",""))</f>
      </c>
      <c r="H390" s="17">
        <f>IF(Log[[#This Row],[Date]]="","",INT((Log[[#This Row],[Date]]-Sprint1)/SprintDays)+1)</f>
      </c>
      <c r="I390" s="17">
        <f>IF(OR(Log[[#This Row],[Verb]]="commit",Log[[#This Row],[Verb]]="carry",Log[[#This Row],[Verb]]="redo"),IF(Log[[#This Row],[Arg]]="",Log[[#This Row],[Sprint]],N(Log[[#This Row],[Arg]])),"")</f>
      </c>
      <c r="J390" s="17">
        <f>IF(Log[[#This Row],[Verb]]="block",1,IF(OR(Log[[#This Row],[Verb]]="unblock",Log[[#This Row],[Verb]]="done",Log[[#This Row],[Verb]]="drop",Log[[#This Row],[Verb]]="punt",Log[[#This Row],[Verb]]="pass"),0,""))</f>
      </c>
      <c r="K390" s="17">
        <f>IF(Log[[#This Row],[ID]]="",0,IFERROR(INDEX(Items[Pts],MATCH(Log[[#This Row],[ID]],Items[ID],0))*1,0))</f>
      </c>
      <c r="L390" s="17">
        <f>IF(Log[[#This Row],[ID]]="","",IFERROR(INDEX(Items[Cur team],MATCH(Log[[#This Row],[ID]],Items[ID],0))&amp;"",""))</f>
      </c>
      <c r="M390" s="17">
        <f>IF(OR(Log[[#This Row],[Verb]]="done",Log[[#This Row],[Verb]]="punt",Log[[#This Row],[Verb]]="drop",Log[[#This Row],[Verb]]="pass"),Log[[#This Row],[Pts]],0)</f>
      </c>
    </row>
    <row r="391">
      <c r="A391" s="11">
        <v>46105</v>
      </c>
      <c r="B391" t="s">
        <v>372</v>
      </c>
      <c r="C391" t="s">
        <v>34</v>
      </c>
      <c r="D391">
        <v>40</v>
      </c>
      <c r="F391" s="17">
        <f>IF(Log[[#This Row],[ID]]="","",IF(ISNA(MATCH(Log[[#This Row],[ID]],Items[ID],0)),"unknown ID",IF(ISNA(MATCH(Log[[#This Row],[Verb]],VerbList,0)),"unknown verb",IF(Log[[#This Row],[Date]]="","no date",""))))</f>
      </c>
      <c r="G391" s="17">
        <f>IF(Log[[#This Row],[ID]]="","",IFERROR(VLOOKUP(Log[[#This Row],[Verb]],Verbs,3,FALSE)&amp;"",""))</f>
      </c>
      <c r="H391" s="17">
        <f>IF(Log[[#This Row],[Date]]="","",INT((Log[[#This Row],[Date]]-Sprint1)/SprintDays)+1)</f>
      </c>
      <c r="I391" s="17">
        <f>IF(OR(Log[[#This Row],[Verb]]="commit",Log[[#This Row],[Verb]]="carry",Log[[#This Row],[Verb]]="redo"),IF(Log[[#This Row],[Arg]]="",Log[[#This Row],[Sprint]],N(Log[[#This Row],[Arg]])),"")</f>
      </c>
      <c r="J391" s="17">
        <f>IF(Log[[#This Row],[Verb]]="block",1,IF(OR(Log[[#This Row],[Verb]]="unblock",Log[[#This Row],[Verb]]="done",Log[[#This Row],[Verb]]="drop",Log[[#This Row],[Verb]]="punt",Log[[#This Row],[Verb]]="pass"),0,""))</f>
      </c>
      <c r="K391" s="17">
        <f>IF(Log[[#This Row],[ID]]="",0,IFERROR(INDEX(Items[Pts],MATCH(Log[[#This Row],[ID]],Items[ID],0))*1,0))</f>
      </c>
      <c r="L391" s="17">
        <f>IF(Log[[#This Row],[ID]]="","",IFERROR(INDEX(Items[Cur team],MATCH(Log[[#This Row],[ID]],Items[ID],0))&amp;"",""))</f>
      </c>
      <c r="M391" s="17">
        <f>IF(OR(Log[[#This Row],[Verb]]="done",Log[[#This Row],[Verb]]="punt",Log[[#This Row],[Verb]]="drop",Log[[#This Row],[Verb]]="pass"),Log[[#This Row],[Pts]],0)</f>
      </c>
    </row>
    <row r="392">
      <c r="A392" s="11">
        <v>46105</v>
      </c>
      <c r="B392" t="s">
        <v>373</v>
      </c>
      <c r="C392" t="s">
        <v>34</v>
      </c>
      <c r="D392">
        <v>40</v>
      </c>
      <c r="F392" s="17">
        <f>IF(Log[[#This Row],[ID]]="","",IF(ISNA(MATCH(Log[[#This Row],[ID]],Items[ID],0)),"unknown ID",IF(ISNA(MATCH(Log[[#This Row],[Verb]],VerbList,0)),"unknown verb",IF(Log[[#This Row],[Date]]="","no date",""))))</f>
      </c>
      <c r="G392" s="17">
        <f>IF(Log[[#This Row],[ID]]="","",IFERROR(VLOOKUP(Log[[#This Row],[Verb]],Verbs,3,FALSE)&amp;"",""))</f>
      </c>
      <c r="H392" s="17">
        <f>IF(Log[[#This Row],[Date]]="","",INT((Log[[#This Row],[Date]]-Sprint1)/SprintDays)+1)</f>
      </c>
      <c r="I392" s="17">
        <f>IF(OR(Log[[#This Row],[Verb]]="commit",Log[[#This Row],[Verb]]="carry",Log[[#This Row],[Verb]]="redo"),IF(Log[[#This Row],[Arg]]="",Log[[#This Row],[Sprint]],N(Log[[#This Row],[Arg]])),"")</f>
      </c>
      <c r="J392" s="17">
        <f>IF(Log[[#This Row],[Verb]]="block",1,IF(OR(Log[[#This Row],[Verb]]="unblock",Log[[#This Row],[Verb]]="done",Log[[#This Row],[Verb]]="drop",Log[[#This Row],[Verb]]="punt",Log[[#This Row],[Verb]]="pass"),0,""))</f>
      </c>
      <c r="K392" s="17">
        <f>IF(Log[[#This Row],[ID]]="",0,IFERROR(INDEX(Items[Pts],MATCH(Log[[#This Row],[ID]],Items[ID],0))*1,0))</f>
      </c>
      <c r="L392" s="17">
        <f>IF(Log[[#This Row],[ID]]="","",IFERROR(INDEX(Items[Cur team],MATCH(Log[[#This Row],[ID]],Items[ID],0))&amp;"",""))</f>
      </c>
      <c r="M392" s="17">
        <f>IF(OR(Log[[#This Row],[Verb]]="done",Log[[#This Row],[Verb]]="punt",Log[[#This Row],[Verb]]="drop",Log[[#This Row],[Verb]]="pass"),Log[[#This Row],[Pts]],0)</f>
      </c>
    </row>
    <row r="393">
      <c r="A393" s="11">
        <v>46118</v>
      </c>
      <c r="B393" t="s">
        <v>296</v>
      </c>
      <c r="C393" t="s">
        <v>41</v>
      </c>
      <c r="F393" s="17">
        <f>IF(Log[[#This Row],[ID]]="","",IF(ISNA(MATCH(Log[[#This Row],[ID]],Items[ID],0)),"unknown ID",IF(ISNA(MATCH(Log[[#This Row],[Verb]],VerbList,0)),"unknown verb",IF(Log[[#This Row],[Date]]="","no date",""))))</f>
      </c>
      <c r="G393" s="17">
        <f>IF(Log[[#This Row],[ID]]="","",IFERROR(VLOOKUP(Log[[#This Row],[Verb]],Verbs,3,FALSE)&amp;"",""))</f>
      </c>
      <c r="H393" s="17">
        <f>IF(Log[[#This Row],[Date]]="","",INT((Log[[#This Row],[Date]]-Sprint1)/SprintDays)+1)</f>
      </c>
      <c r="I393" s="17">
        <f>IF(OR(Log[[#This Row],[Verb]]="commit",Log[[#This Row],[Verb]]="carry",Log[[#This Row],[Verb]]="redo"),IF(Log[[#This Row],[Arg]]="",Log[[#This Row],[Sprint]],N(Log[[#This Row],[Arg]])),"")</f>
      </c>
      <c r="J393" s="17">
        <f>IF(Log[[#This Row],[Verb]]="block",1,IF(OR(Log[[#This Row],[Verb]]="unblock",Log[[#This Row],[Verb]]="done",Log[[#This Row],[Verb]]="drop",Log[[#This Row],[Verb]]="punt",Log[[#This Row],[Verb]]="pass"),0,""))</f>
      </c>
      <c r="K393" s="17">
        <f>IF(Log[[#This Row],[ID]]="",0,IFERROR(INDEX(Items[Pts],MATCH(Log[[#This Row],[ID]],Items[ID],0))*1,0))</f>
      </c>
      <c r="L393" s="17">
        <f>IF(Log[[#This Row],[ID]]="","",IFERROR(INDEX(Items[Cur team],MATCH(Log[[#This Row],[ID]],Items[ID],0))&amp;"",""))</f>
      </c>
      <c r="M393" s="17">
        <f>IF(OR(Log[[#This Row],[Verb]]="done",Log[[#This Row],[Verb]]="punt",Log[[#This Row],[Verb]]="drop",Log[[#This Row],[Verb]]="pass"),Log[[#This Row],[Pts]],0)</f>
      </c>
    </row>
    <row r="394">
      <c r="A394" s="11">
        <v>46118</v>
      </c>
      <c r="B394" t="s">
        <v>297</v>
      </c>
      <c r="C394" t="s">
        <v>38</v>
      </c>
      <c r="D394">
        <v>41</v>
      </c>
      <c r="F394" s="17">
        <f>IF(Log[[#This Row],[ID]]="","",IF(ISNA(MATCH(Log[[#This Row],[ID]],Items[ID],0)),"unknown ID",IF(ISNA(MATCH(Log[[#This Row],[Verb]],VerbList,0)),"unknown verb",IF(Log[[#This Row],[Date]]="","no date",""))))</f>
      </c>
      <c r="G394" s="17">
        <f>IF(Log[[#This Row],[ID]]="","",IFERROR(VLOOKUP(Log[[#This Row],[Verb]],Verbs,3,FALSE)&amp;"",""))</f>
      </c>
      <c r="H394" s="17">
        <f>IF(Log[[#This Row],[Date]]="","",INT((Log[[#This Row],[Date]]-Sprint1)/SprintDays)+1)</f>
      </c>
      <c r="I394" s="17">
        <f>IF(OR(Log[[#This Row],[Verb]]="commit",Log[[#This Row],[Verb]]="carry",Log[[#This Row],[Verb]]="redo"),IF(Log[[#This Row],[Arg]]="",Log[[#This Row],[Sprint]],N(Log[[#This Row],[Arg]])),"")</f>
      </c>
      <c r="J394" s="17">
        <f>IF(Log[[#This Row],[Verb]]="block",1,IF(OR(Log[[#This Row],[Verb]]="unblock",Log[[#This Row],[Verb]]="done",Log[[#This Row],[Verb]]="drop",Log[[#This Row],[Verb]]="punt",Log[[#This Row],[Verb]]="pass"),0,""))</f>
      </c>
      <c r="K394" s="17">
        <f>IF(Log[[#This Row],[ID]]="",0,IFERROR(INDEX(Items[Pts],MATCH(Log[[#This Row],[ID]],Items[ID],0))*1,0))</f>
      </c>
      <c r="L394" s="17">
        <f>IF(Log[[#This Row],[ID]]="","",IFERROR(INDEX(Items[Cur team],MATCH(Log[[#This Row],[ID]],Items[ID],0))&amp;"",""))</f>
      </c>
      <c r="M394" s="17">
        <f>IF(OR(Log[[#This Row],[Verb]]="done",Log[[#This Row],[Verb]]="punt",Log[[#This Row],[Verb]]="drop",Log[[#This Row],[Verb]]="pass"),Log[[#This Row],[Pts]],0)</f>
      </c>
    </row>
    <row r="395">
      <c r="A395" s="11">
        <v>46118</v>
      </c>
      <c r="B395" t="s">
        <v>298</v>
      </c>
      <c r="C395" t="s">
        <v>41</v>
      </c>
      <c r="F395" s="17">
        <f>IF(Log[[#This Row],[ID]]="","",IF(ISNA(MATCH(Log[[#This Row],[ID]],Items[ID],0)),"unknown ID",IF(ISNA(MATCH(Log[[#This Row],[Verb]],VerbList,0)),"unknown verb",IF(Log[[#This Row],[Date]]="","no date",""))))</f>
      </c>
      <c r="G395" s="17">
        <f>IF(Log[[#This Row],[ID]]="","",IFERROR(VLOOKUP(Log[[#This Row],[Verb]],Verbs,3,FALSE)&amp;"",""))</f>
      </c>
      <c r="H395" s="17">
        <f>IF(Log[[#This Row],[Date]]="","",INT((Log[[#This Row],[Date]]-Sprint1)/SprintDays)+1)</f>
      </c>
      <c r="I395" s="17">
        <f>IF(OR(Log[[#This Row],[Verb]]="commit",Log[[#This Row],[Verb]]="carry",Log[[#This Row],[Verb]]="redo"),IF(Log[[#This Row],[Arg]]="",Log[[#This Row],[Sprint]],N(Log[[#This Row],[Arg]])),"")</f>
      </c>
      <c r="J395" s="17">
        <f>IF(Log[[#This Row],[Verb]]="block",1,IF(OR(Log[[#This Row],[Verb]]="unblock",Log[[#This Row],[Verb]]="done",Log[[#This Row],[Verb]]="drop",Log[[#This Row],[Verb]]="punt",Log[[#This Row],[Verb]]="pass"),0,""))</f>
      </c>
      <c r="K395" s="17">
        <f>IF(Log[[#This Row],[ID]]="",0,IFERROR(INDEX(Items[Pts],MATCH(Log[[#This Row],[ID]],Items[ID],0))*1,0))</f>
      </c>
      <c r="L395" s="17">
        <f>IF(Log[[#This Row],[ID]]="","",IFERROR(INDEX(Items[Cur team],MATCH(Log[[#This Row],[ID]],Items[ID],0))&amp;"",""))</f>
      </c>
      <c r="M395" s="17">
        <f>IF(OR(Log[[#This Row],[Verb]]="done",Log[[#This Row],[Verb]]="punt",Log[[#This Row],[Verb]]="drop",Log[[#This Row],[Verb]]="pass"),Log[[#This Row],[Pts]],0)</f>
      </c>
    </row>
    <row r="396">
      <c r="A396" s="11">
        <v>46118</v>
      </c>
      <c r="B396" t="s">
        <v>299</v>
      </c>
      <c r="C396" t="s">
        <v>41</v>
      </c>
      <c r="F396" s="17">
        <f>IF(Log[[#This Row],[ID]]="","",IF(ISNA(MATCH(Log[[#This Row],[ID]],Items[ID],0)),"unknown ID",IF(ISNA(MATCH(Log[[#This Row],[Verb]],VerbList,0)),"unknown verb",IF(Log[[#This Row],[Date]]="","no date",""))))</f>
      </c>
      <c r="G396" s="17">
        <f>IF(Log[[#This Row],[ID]]="","",IFERROR(VLOOKUP(Log[[#This Row],[Verb]],Verbs,3,FALSE)&amp;"",""))</f>
      </c>
      <c r="H396" s="17">
        <f>IF(Log[[#This Row],[Date]]="","",INT((Log[[#This Row],[Date]]-Sprint1)/SprintDays)+1)</f>
      </c>
      <c r="I396" s="17">
        <f>IF(OR(Log[[#This Row],[Verb]]="commit",Log[[#This Row],[Verb]]="carry",Log[[#This Row],[Verb]]="redo"),IF(Log[[#This Row],[Arg]]="",Log[[#This Row],[Sprint]],N(Log[[#This Row],[Arg]])),"")</f>
      </c>
      <c r="J396" s="17">
        <f>IF(Log[[#This Row],[Verb]]="block",1,IF(OR(Log[[#This Row],[Verb]]="unblock",Log[[#This Row],[Verb]]="done",Log[[#This Row],[Verb]]="drop",Log[[#This Row],[Verb]]="punt",Log[[#This Row],[Verb]]="pass"),0,""))</f>
      </c>
      <c r="K396" s="17">
        <f>IF(Log[[#This Row],[ID]]="",0,IFERROR(INDEX(Items[Pts],MATCH(Log[[#This Row],[ID]],Items[ID],0))*1,0))</f>
      </c>
      <c r="L396" s="17">
        <f>IF(Log[[#This Row],[ID]]="","",IFERROR(INDEX(Items[Cur team],MATCH(Log[[#This Row],[ID]],Items[ID],0))&amp;"",""))</f>
      </c>
      <c r="M396" s="17">
        <f>IF(OR(Log[[#This Row],[Verb]]="done",Log[[#This Row],[Verb]]="punt",Log[[#This Row],[Verb]]="drop",Log[[#This Row],[Verb]]="pass"),Log[[#This Row],[Pts]],0)</f>
      </c>
    </row>
    <row r="397">
      <c r="A397" s="11">
        <v>46118</v>
      </c>
      <c r="B397" t="s">
        <v>300</v>
      </c>
      <c r="C397" t="s">
        <v>41</v>
      </c>
      <c r="F397" s="17">
        <f>IF(Log[[#This Row],[ID]]="","",IF(ISNA(MATCH(Log[[#This Row],[ID]],Items[ID],0)),"unknown ID",IF(ISNA(MATCH(Log[[#This Row],[Verb]],VerbList,0)),"unknown verb",IF(Log[[#This Row],[Date]]="","no date",""))))</f>
      </c>
      <c r="G397" s="17">
        <f>IF(Log[[#This Row],[ID]]="","",IFERROR(VLOOKUP(Log[[#This Row],[Verb]],Verbs,3,FALSE)&amp;"",""))</f>
      </c>
      <c r="H397" s="17">
        <f>IF(Log[[#This Row],[Date]]="","",INT((Log[[#This Row],[Date]]-Sprint1)/SprintDays)+1)</f>
      </c>
      <c r="I397" s="17">
        <f>IF(OR(Log[[#This Row],[Verb]]="commit",Log[[#This Row],[Verb]]="carry",Log[[#This Row],[Verb]]="redo"),IF(Log[[#This Row],[Arg]]="",Log[[#This Row],[Sprint]],N(Log[[#This Row],[Arg]])),"")</f>
      </c>
      <c r="J397" s="17">
        <f>IF(Log[[#This Row],[Verb]]="block",1,IF(OR(Log[[#This Row],[Verb]]="unblock",Log[[#This Row],[Verb]]="done",Log[[#This Row],[Verb]]="drop",Log[[#This Row],[Verb]]="punt",Log[[#This Row],[Verb]]="pass"),0,""))</f>
      </c>
      <c r="K397" s="17">
        <f>IF(Log[[#This Row],[ID]]="",0,IFERROR(INDEX(Items[Pts],MATCH(Log[[#This Row],[ID]],Items[ID],0))*1,0))</f>
      </c>
      <c r="L397" s="17">
        <f>IF(Log[[#This Row],[ID]]="","",IFERROR(INDEX(Items[Cur team],MATCH(Log[[#This Row],[ID]],Items[ID],0))&amp;"",""))</f>
      </c>
      <c r="M397" s="17">
        <f>IF(OR(Log[[#This Row],[Verb]]="done",Log[[#This Row],[Verb]]="punt",Log[[#This Row],[Verb]]="drop",Log[[#This Row],[Verb]]="pass"),Log[[#This Row],[Pts]],0)</f>
      </c>
    </row>
    <row r="398">
      <c r="A398" s="11">
        <v>46118</v>
      </c>
      <c r="B398" t="s">
        <v>301</v>
      </c>
      <c r="C398" t="s">
        <v>41</v>
      </c>
      <c r="F398" s="17">
        <f>IF(Log[[#This Row],[ID]]="","",IF(ISNA(MATCH(Log[[#This Row],[ID]],Items[ID],0)),"unknown ID",IF(ISNA(MATCH(Log[[#This Row],[Verb]],VerbList,0)),"unknown verb",IF(Log[[#This Row],[Date]]="","no date",""))))</f>
      </c>
      <c r="G398" s="17">
        <f>IF(Log[[#This Row],[ID]]="","",IFERROR(VLOOKUP(Log[[#This Row],[Verb]],Verbs,3,FALSE)&amp;"",""))</f>
      </c>
      <c r="H398" s="17">
        <f>IF(Log[[#This Row],[Date]]="","",INT((Log[[#This Row],[Date]]-Sprint1)/SprintDays)+1)</f>
      </c>
      <c r="I398" s="17">
        <f>IF(OR(Log[[#This Row],[Verb]]="commit",Log[[#This Row],[Verb]]="carry",Log[[#This Row],[Verb]]="redo"),IF(Log[[#This Row],[Arg]]="",Log[[#This Row],[Sprint]],N(Log[[#This Row],[Arg]])),"")</f>
      </c>
      <c r="J398" s="17">
        <f>IF(Log[[#This Row],[Verb]]="block",1,IF(OR(Log[[#This Row],[Verb]]="unblock",Log[[#This Row],[Verb]]="done",Log[[#This Row],[Verb]]="drop",Log[[#This Row],[Verb]]="punt",Log[[#This Row],[Verb]]="pass"),0,""))</f>
      </c>
      <c r="K398" s="17">
        <f>IF(Log[[#This Row],[ID]]="",0,IFERROR(INDEX(Items[Pts],MATCH(Log[[#This Row],[ID]],Items[ID],0))*1,0))</f>
      </c>
      <c r="L398" s="17">
        <f>IF(Log[[#This Row],[ID]]="","",IFERROR(INDEX(Items[Cur team],MATCH(Log[[#This Row],[ID]],Items[ID],0))&amp;"",""))</f>
      </c>
      <c r="M398" s="17">
        <f>IF(OR(Log[[#This Row],[Verb]]="done",Log[[#This Row],[Verb]]="punt",Log[[#This Row],[Verb]]="drop",Log[[#This Row],[Verb]]="pass"),Log[[#This Row],[Pts]],0)</f>
      </c>
    </row>
    <row r="399">
      <c r="A399" s="11">
        <v>46118</v>
      </c>
      <c r="B399" t="s">
        <v>302</v>
      </c>
      <c r="C399" t="s">
        <v>41</v>
      </c>
      <c r="F399" s="17">
        <f>IF(Log[[#This Row],[ID]]="","",IF(ISNA(MATCH(Log[[#This Row],[ID]],Items[ID],0)),"unknown ID",IF(ISNA(MATCH(Log[[#This Row],[Verb]],VerbList,0)),"unknown verb",IF(Log[[#This Row],[Date]]="","no date",""))))</f>
      </c>
      <c r="G399" s="17">
        <f>IF(Log[[#This Row],[ID]]="","",IFERROR(VLOOKUP(Log[[#This Row],[Verb]],Verbs,3,FALSE)&amp;"",""))</f>
      </c>
      <c r="H399" s="17">
        <f>IF(Log[[#This Row],[Date]]="","",INT((Log[[#This Row],[Date]]-Sprint1)/SprintDays)+1)</f>
      </c>
      <c r="I399" s="17">
        <f>IF(OR(Log[[#This Row],[Verb]]="commit",Log[[#This Row],[Verb]]="carry",Log[[#This Row],[Verb]]="redo"),IF(Log[[#This Row],[Arg]]="",Log[[#This Row],[Sprint]],N(Log[[#This Row],[Arg]])),"")</f>
      </c>
      <c r="J399" s="17">
        <f>IF(Log[[#This Row],[Verb]]="block",1,IF(OR(Log[[#This Row],[Verb]]="unblock",Log[[#This Row],[Verb]]="done",Log[[#This Row],[Verb]]="drop",Log[[#This Row],[Verb]]="punt",Log[[#This Row],[Verb]]="pass"),0,""))</f>
      </c>
      <c r="K399" s="17">
        <f>IF(Log[[#This Row],[ID]]="",0,IFERROR(INDEX(Items[Pts],MATCH(Log[[#This Row],[ID]],Items[ID],0))*1,0))</f>
      </c>
      <c r="L399" s="17">
        <f>IF(Log[[#This Row],[ID]]="","",IFERROR(INDEX(Items[Cur team],MATCH(Log[[#This Row],[ID]],Items[ID],0))&amp;"",""))</f>
      </c>
      <c r="M399" s="17">
        <f>IF(OR(Log[[#This Row],[Verb]]="done",Log[[#This Row],[Verb]]="punt",Log[[#This Row],[Verb]]="drop",Log[[#This Row],[Verb]]="pass"),Log[[#This Row],[Pts]],0)</f>
      </c>
    </row>
    <row r="400">
      <c r="A400" s="11">
        <v>46118</v>
      </c>
      <c r="B400" t="s">
        <v>303</v>
      </c>
      <c r="C400" t="s">
        <v>38</v>
      </c>
      <c r="D400">
        <v>41</v>
      </c>
      <c r="F400" s="17">
        <f>IF(Log[[#This Row],[ID]]="","",IF(ISNA(MATCH(Log[[#This Row],[ID]],Items[ID],0)),"unknown ID",IF(ISNA(MATCH(Log[[#This Row],[Verb]],VerbList,0)),"unknown verb",IF(Log[[#This Row],[Date]]="","no date",""))))</f>
      </c>
      <c r="G400" s="17">
        <f>IF(Log[[#This Row],[ID]]="","",IFERROR(VLOOKUP(Log[[#This Row],[Verb]],Verbs,3,FALSE)&amp;"",""))</f>
      </c>
      <c r="H400" s="17">
        <f>IF(Log[[#This Row],[Date]]="","",INT((Log[[#This Row],[Date]]-Sprint1)/SprintDays)+1)</f>
      </c>
      <c r="I400" s="17">
        <f>IF(OR(Log[[#This Row],[Verb]]="commit",Log[[#This Row],[Verb]]="carry",Log[[#This Row],[Verb]]="redo"),IF(Log[[#This Row],[Arg]]="",Log[[#This Row],[Sprint]],N(Log[[#This Row],[Arg]])),"")</f>
      </c>
      <c r="J400" s="17">
        <f>IF(Log[[#This Row],[Verb]]="block",1,IF(OR(Log[[#This Row],[Verb]]="unblock",Log[[#This Row],[Verb]]="done",Log[[#This Row],[Verb]]="drop",Log[[#This Row],[Verb]]="punt",Log[[#This Row],[Verb]]="pass"),0,""))</f>
      </c>
      <c r="K400" s="17">
        <f>IF(Log[[#This Row],[ID]]="",0,IFERROR(INDEX(Items[Pts],MATCH(Log[[#This Row],[ID]],Items[ID],0))*1,0))</f>
      </c>
      <c r="L400" s="17">
        <f>IF(Log[[#This Row],[ID]]="","",IFERROR(INDEX(Items[Cur team],MATCH(Log[[#This Row],[ID]],Items[ID],0))&amp;"",""))</f>
      </c>
      <c r="M400" s="17">
        <f>IF(OR(Log[[#This Row],[Verb]]="done",Log[[#This Row],[Verb]]="punt",Log[[#This Row],[Verb]]="drop",Log[[#This Row],[Verb]]="pass"),Log[[#This Row],[Pts]],0)</f>
      </c>
    </row>
    <row r="401">
      <c r="A401" s="11">
        <v>46118</v>
      </c>
      <c r="B401" t="s">
        <v>304</v>
      </c>
      <c r="C401" t="s">
        <v>41</v>
      </c>
      <c r="F401" s="17">
        <f>IF(Log[[#This Row],[ID]]="","",IF(ISNA(MATCH(Log[[#This Row],[ID]],Items[ID],0)),"unknown ID",IF(ISNA(MATCH(Log[[#This Row],[Verb]],VerbList,0)),"unknown verb",IF(Log[[#This Row],[Date]]="","no date",""))))</f>
      </c>
      <c r="G401" s="17">
        <f>IF(Log[[#This Row],[ID]]="","",IFERROR(VLOOKUP(Log[[#This Row],[Verb]],Verbs,3,FALSE)&amp;"",""))</f>
      </c>
      <c r="H401" s="17">
        <f>IF(Log[[#This Row],[Date]]="","",INT((Log[[#This Row],[Date]]-Sprint1)/SprintDays)+1)</f>
      </c>
      <c r="I401" s="17">
        <f>IF(OR(Log[[#This Row],[Verb]]="commit",Log[[#This Row],[Verb]]="carry",Log[[#This Row],[Verb]]="redo"),IF(Log[[#This Row],[Arg]]="",Log[[#This Row],[Sprint]],N(Log[[#This Row],[Arg]])),"")</f>
      </c>
      <c r="J401" s="17">
        <f>IF(Log[[#This Row],[Verb]]="block",1,IF(OR(Log[[#This Row],[Verb]]="unblock",Log[[#This Row],[Verb]]="done",Log[[#This Row],[Verb]]="drop",Log[[#This Row],[Verb]]="punt",Log[[#This Row],[Verb]]="pass"),0,""))</f>
      </c>
      <c r="K401" s="17">
        <f>IF(Log[[#This Row],[ID]]="",0,IFERROR(INDEX(Items[Pts],MATCH(Log[[#This Row],[ID]],Items[ID],0))*1,0))</f>
      </c>
      <c r="L401" s="17">
        <f>IF(Log[[#This Row],[ID]]="","",IFERROR(INDEX(Items[Cur team],MATCH(Log[[#This Row],[ID]],Items[ID],0))&amp;"",""))</f>
      </c>
      <c r="M401" s="17">
        <f>IF(OR(Log[[#This Row],[Verb]]="done",Log[[#This Row],[Verb]]="punt",Log[[#This Row],[Verb]]="drop",Log[[#This Row],[Verb]]="pass"),Log[[#This Row],[Pts]],0)</f>
      </c>
    </row>
    <row r="402">
      <c r="A402" s="11">
        <v>46118</v>
      </c>
      <c r="B402" t="s">
        <v>190</v>
      </c>
      <c r="C402" t="s">
        <v>41</v>
      </c>
      <c r="F402" s="17">
        <f>IF(Log[[#This Row],[ID]]="","",IF(ISNA(MATCH(Log[[#This Row],[ID]],Items[ID],0)),"unknown ID",IF(ISNA(MATCH(Log[[#This Row],[Verb]],VerbList,0)),"unknown verb",IF(Log[[#This Row],[Date]]="","no date",""))))</f>
      </c>
      <c r="G402" s="17">
        <f>IF(Log[[#This Row],[ID]]="","",IFERROR(VLOOKUP(Log[[#This Row],[Verb]],Verbs,3,FALSE)&amp;"",""))</f>
      </c>
      <c r="H402" s="17">
        <f>IF(Log[[#This Row],[Date]]="","",INT((Log[[#This Row],[Date]]-Sprint1)/SprintDays)+1)</f>
      </c>
      <c r="I402" s="17">
        <f>IF(OR(Log[[#This Row],[Verb]]="commit",Log[[#This Row],[Verb]]="carry",Log[[#This Row],[Verb]]="redo"),IF(Log[[#This Row],[Arg]]="",Log[[#This Row],[Sprint]],N(Log[[#This Row],[Arg]])),"")</f>
      </c>
      <c r="J402" s="17">
        <f>IF(Log[[#This Row],[Verb]]="block",1,IF(OR(Log[[#This Row],[Verb]]="unblock",Log[[#This Row],[Verb]]="done",Log[[#This Row],[Verb]]="drop",Log[[#This Row],[Verb]]="punt",Log[[#This Row],[Verb]]="pass"),0,""))</f>
      </c>
      <c r="K402" s="17">
        <f>IF(Log[[#This Row],[ID]]="",0,IFERROR(INDEX(Items[Pts],MATCH(Log[[#This Row],[ID]],Items[ID],0))*1,0))</f>
      </c>
      <c r="L402" s="17">
        <f>IF(Log[[#This Row],[ID]]="","",IFERROR(INDEX(Items[Cur team],MATCH(Log[[#This Row],[ID]],Items[ID],0))&amp;"",""))</f>
      </c>
      <c r="M402" s="17">
        <f>IF(OR(Log[[#This Row],[Verb]]="done",Log[[#This Row],[Verb]]="punt",Log[[#This Row],[Verb]]="drop",Log[[#This Row],[Verb]]="pass"),Log[[#This Row],[Pts]],0)</f>
      </c>
    </row>
    <row r="403">
      <c r="A403" s="11">
        <v>46118</v>
      </c>
      <c r="B403" t="s">
        <v>245</v>
      </c>
      <c r="C403" t="s">
        <v>41</v>
      </c>
      <c r="F403" s="17">
        <f>IF(Log[[#This Row],[ID]]="","",IF(ISNA(MATCH(Log[[#This Row],[ID]],Items[ID],0)),"unknown ID",IF(ISNA(MATCH(Log[[#This Row],[Verb]],VerbList,0)),"unknown verb",IF(Log[[#This Row],[Date]]="","no date",""))))</f>
      </c>
      <c r="G403" s="17">
        <f>IF(Log[[#This Row],[ID]]="","",IFERROR(VLOOKUP(Log[[#This Row],[Verb]],Verbs,3,FALSE)&amp;"",""))</f>
      </c>
      <c r="H403" s="17">
        <f>IF(Log[[#This Row],[Date]]="","",INT((Log[[#This Row],[Date]]-Sprint1)/SprintDays)+1)</f>
      </c>
      <c r="I403" s="17">
        <f>IF(OR(Log[[#This Row],[Verb]]="commit",Log[[#This Row],[Verb]]="carry",Log[[#This Row],[Verb]]="redo"),IF(Log[[#This Row],[Arg]]="",Log[[#This Row],[Sprint]],N(Log[[#This Row],[Arg]])),"")</f>
      </c>
      <c r="J403" s="17">
        <f>IF(Log[[#This Row],[Verb]]="block",1,IF(OR(Log[[#This Row],[Verb]]="unblock",Log[[#This Row],[Verb]]="done",Log[[#This Row],[Verb]]="drop",Log[[#This Row],[Verb]]="punt",Log[[#This Row],[Verb]]="pass"),0,""))</f>
      </c>
      <c r="K403" s="17">
        <f>IF(Log[[#This Row],[ID]]="",0,IFERROR(INDEX(Items[Pts],MATCH(Log[[#This Row],[ID]],Items[ID],0))*1,0))</f>
      </c>
      <c r="L403" s="17">
        <f>IF(Log[[#This Row],[ID]]="","",IFERROR(INDEX(Items[Cur team],MATCH(Log[[#This Row],[ID]],Items[ID],0))&amp;"",""))</f>
      </c>
      <c r="M403" s="17">
        <f>IF(OR(Log[[#This Row],[Verb]]="done",Log[[#This Row],[Verb]]="punt",Log[[#This Row],[Verb]]="drop",Log[[#This Row],[Verb]]="pass"),Log[[#This Row],[Pts]],0)</f>
      </c>
    </row>
    <row r="404">
      <c r="A404" s="11">
        <v>46118</v>
      </c>
      <c r="B404" t="s">
        <v>305</v>
      </c>
      <c r="C404" t="s">
        <v>41</v>
      </c>
      <c r="F404" s="17">
        <f>IF(Log[[#This Row],[ID]]="","",IF(ISNA(MATCH(Log[[#This Row],[ID]],Items[ID],0)),"unknown ID",IF(ISNA(MATCH(Log[[#This Row],[Verb]],VerbList,0)),"unknown verb",IF(Log[[#This Row],[Date]]="","no date",""))))</f>
      </c>
      <c r="G404" s="17">
        <f>IF(Log[[#This Row],[ID]]="","",IFERROR(VLOOKUP(Log[[#This Row],[Verb]],Verbs,3,FALSE)&amp;"",""))</f>
      </c>
      <c r="H404" s="17">
        <f>IF(Log[[#This Row],[Date]]="","",INT((Log[[#This Row],[Date]]-Sprint1)/SprintDays)+1)</f>
      </c>
      <c r="I404" s="17">
        <f>IF(OR(Log[[#This Row],[Verb]]="commit",Log[[#This Row],[Verb]]="carry",Log[[#This Row],[Verb]]="redo"),IF(Log[[#This Row],[Arg]]="",Log[[#This Row],[Sprint]],N(Log[[#This Row],[Arg]])),"")</f>
      </c>
      <c r="J404" s="17">
        <f>IF(Log[[#This Row],[Verb]]="block",1,IF(OR(Log[[#This Row],[Verb]]="unblock",Log[[#This Row],[Verb]]="done",Log[[#This Row],[Verb]]="drop",Log[[#This Row],[Verb]]="punt",Log[[#This Row],[Verb]]="pass"),0,""))</f>
      </c>
      <c r="K404" s="17">
        <f>IF(Log[[#This Row],[ID]]="",0,IFERROR(INDEX(Items[Pts],MATCH(Log[[#This Row],[ID]],Items[ID],0))*1,0))</f>
      </c>
      <c r="L404" s="17">
        <f>IF(Log[[#This Row],[ID]]="","",IFERROR(INDEX(Items[Cur team],MATCH(Log[[#This Row],[ID]],Items[ID],0))&amp;"",""))</f>
      </c>
      <c r="M404" s="17">
        <f>IF(OR(Log[[#This Row],[Verb]]="done",Log[[#This Row],[Verb]]="punt",Log[[#This Row],[Verb]]="drop",Log[[#This Row],[Verb]]="pass"),Log[[#This Row],[Pts]],0)</f>
      </c>
    </row>
    <row r="405">
      <c r="A405" s="11">
        <v>46118</v>
      </c>
      <c r="B405" t="s">
        <v>306</v>
      </c>
      <c r="C405" t="s">
        <v>41</v>
      </c>
      <c r="F405" s="17">
        <f>IF(Log[[#This Row],[ID]]="","",IF(ISNA(MATCH(Log[[#This Row],[ID]],Items[ID],0)),"unknown ID",IF(ISNA(MATCH(Log[[#This Row],[Verb]],VerbList,0)),"unknown verb",IF(Log[[#This Row],[Date]]="","no date",""))))</f>
      </c>
      <c r="G405" s="17">
        <f>IF(Log[[#This Row],[ID]]="","",IFERROR(VLOOKUP(Log[[#This Row],[Verb]],Verbs,3,FALSE)&amp;"",""))</f>
      </c>
      <c r="H405" s="17">
        <f>IF(Log[[#This Row],[Date]]="","",INT((Log[[#This Row],[Date]]-Sprint1)/SprintDays)+1)</f>
      </c>
      <c r="I405" s="17">
        <f>IF(OR(Log[[#This Row],[Verb]]="commit",Log[[#This Row],[Verb]]="carry",Log[[#This Row],[Verb]]="redo"),IF(Log[[#This Row],[Arg]]="",Log[[#This Row],[Sprint]],N(Log[[#This Row],[Arg]])),"")</f>
      </c>
      <c r="J405" s="17">
        <f>IF(Log[[#This Row],[Verb]]="block",1,IF(OR(Log[[#This Row],[Verb]]="unblock",Log[[#This Row],[Verb]]="done",Log[[#This Row],[Verb]]="drop",Log[[#This Row],[Verb]]="punt",Log[[#This Row],[Verb]]="pass"),0,""))</f>
      </c>
      <c r="K405" s="17">
        <f>IF(Log[[#This Row],[ID]]="",0,IFERROR(INDEX(Items[Pts],MATCH(Log[[#This Row],[ID]],Items[ID],0))*1,0))</f>
      </c>
      <c r="L405" s="17">
        <f>IF(Log[[#This Row],[ID]]="","",IFERROR(INDEX(Items[Cur team],MATCH(Log[[#This Row],[ID]],Items[ID],0))&amp;"",""))</f>
      </c>
      <c r="M405" s="17">
        <f>IF(OR(Log[[#This Row],[Verb]]="done",Log[[#This Row],[Verb]]="punt",Log[[#This Row],[Verb]]="drop",Log[[#This Row],[Verb]]="pass"),Log[[#This Row],[Pts]],0)</f>
      </c>
    </row>
    <row r="406">
      <c r="A406" s="11">
        <v>46118</v>
      </c>
      <c r="B406" t="s">
        <v>307</v>
      </c>
      <c r="C406" t="s">
        <v>41</v>
      </c>
      <c r="F406" s="17">
        <f>IF(Log[[#This Row],[ID]]="","",IF(ISNA(MATCH(Log[[#This Row],[ID]],Items[ID],0)),"unknown ID",IF(ISNA(MATCH(Log[[#This Row],[Verb]],VerbList,0)),"unknown verb",IF(Log[[#This Row],[Date]]="","no date",""))))</f>
      </c>
      <c r="G406" s="17">
        <f>IF(Log[[#This Row],[ID]]="","",IFERROR(VLOOKUP(Log[[#This Row],[Verb]],Verbs,3,FALSE)&amp;"",""))</f>
      </c>
      <c r="H406" s="17">
        <f>IF(Log[[#This Row],[Date]]="","",INT((Log[[#This Row],[Date]]-Sprint1)/SprintDays)+1)</f>
      </c>
      <c r="I406" s="17">
        <f>IF(OR(Log[[#This Row],[Verb]]="commit",Log[[#This Row],[Verb]]="carry",Log[[#This Row],[Verb]]="redo"),IF(Log[[#This Row],[Arg]]="",Log[[#This Row],[Sprint]],N(Log[[#This Row],[Arg]])),"")</f>
      </c>
      <c r="J406" s="17">
        <f>IF(Log[[#This Row],[Verb]]="block",1,IF(OR(Log[[#This Row],[Verb]]="unblock",Log[[#This Row],[Verb]]="done",Log[[#This Row],[Verb]]="drop",Log[[#This Row],[Verb]]="punt",Log[[#This Row],[Verb]]="pass"),0,""))</f>
      </c>
      <c r="K406" s="17">
        <f>IF(Log[[#This Row],[ID]]="",0,IFERROR(INDEX(Items[Pts],MATCH(Log[[#This Row],[ID]],Items[ID],0))*1,0))</f>
      </c>
      <c r="L406" s="17">
        <f>IF(Log[[#This Row],[ID]]="","",IFERROR(INDEX(Items[Cur team],MATCH(Log[[#This Row],[ID]],Items[ID],0))&amp;"",""))</f>
      </c>
      <c r="M406" s="17">
        <f>IF(OR(Log[[#This Row],[Verb]]="done",Log[[#This Row],[Verb]]="punt",Log[[#This Row],[Verb]]="drop",Log[[#This Row],[Verb]]="pass"),Log[[#This Row],[Pts]],0)</f>
      </c>
    </row>
    <row r="407">
      <c r="A407" s="11">
        <v>46118</v>
      </c>
      <c r="B407" t="s">
        <v>308</v>
      </c>
      <c r="C407" t="s">
        <v>38</v>
      </c>
      <c r="D407">
        <v>41</v>
      </c>
      <c r="F407" s="17">
        <f>IF(Log[[#This Row],[ID]]="","",IF(ISNA(MATCH(Log[[#This Row],[ID]],Items[ID],0)),"unknown ID",IF(ISNA(MATCH(Log[[#This Row],[Verb]],VerbList,0)),"unknown verb",IF(Log[[#This Row],[Date]]="","no date",""))))</f>
      </c>
      <c r="G407" s="17">
        <f>IF(Log[[#This Row],[ID]]="","",IFERROR(VLOOKUP(Log[[#This Row],[Verb]],Verbs,3,FALSE)&amp;"",""))</f>
      </c>
      <c r="H407" s="17">
        <f>IF(Log[[#This Row],[Date]]="","",INT((Log[[#This Row],[Date]]-Sprint1)/SprintDays)+1)</f>
      </c>
      <c r="I407" s="17">
        <f>IF(OR(Log[[#This Row],[Verb]]="commit",Log[[#This Row],[Verb]]="carry",Log[[#This Row],[Verb]]="redo"),IF(Log[[#This Row],[Arg]]="",Log[[#This Row],[Sprint]],N(Log[[#This Row],[Arg]])),"")</f>
      </c>
      <c r="J407" s="17">
        <f>IF(Log[[#This Row],[Verb]]="block",1,IF(OR(Log[[#This Row],[Verb]]="unblock",Log[[#This Row],[Verb]]="done",Log[[#This Row],[Verb]]="drop",Log[[#This Row],[Verb]]="punt",Log[[#This Row],[Verb]]="pass"),0,""))</f>
      </c>
      <c r="K407" s="17">
        <f>IF(Log[[#This Row],[ID]]="",0,IFERROR(INDEX(Items[Pts],MATCH(Log[[#This Row],[ID]],Items[ID],0))*1,0))</f>
      </c>
      <c r="L407" s="17">
        <f>IF(Log[[#This Row],[ID]]="","",IFERROR(INDEX(Items[Cur team],MATCH(Log[[#This Row],[ID]],Items[ID],0))&amp;"",""))</f>
      </c>
      <c r="M407" s="17">
        <f>IF(OR(Log[[#This Row],[Verb]]="done",Log[[#This Row],[Verb]]="punt",Log[[#This Row],[Verb]]="drop",Log[[#This Row],[Verb]]="pass"),Log[[#This Row],[Pts]],0)</f>
      </c>
    </row>
    <row r="408">
      <c r="A408" s="11">
        <v>46118</v>
      </c>
      <c r="B408" t="s">
        <v>309</v>
      </c>
      <c r="C408" t="s">
        <v>41</v>
      </c>
      <c r="F408" s="17">
        <f>IF(Log[[#This Row],[ID]]="","",IF(ISNA(MATCH(Log[[#This Row],[ID]],Items[ID],0)),"unknown ID",IF(ISNA(MATCH(Log[[#This Row],[Verb]],VerbList,0)),"unknown verb",IF(Log[[#This Row],[Date]]="","no date",""))))</f>
      </c>
      <c r="G408" s="17">
        <f>IF(Log[[#This Row],[ID]]="","",IFERROR(VLOOKUP(Log[[#This Row],[Verb]],Verbs,3,FALSE)&amp;"",""))</f>
      </c>
      <c r="H408" s="17">
        <f>IF(Log[[#This Row],[Date]]="","",INT((Log[[#This Row],[Date]]-Sprint1)/SprintDays)+1)</f>
      </c>
      <c r="I408" s="17">
        <f>IF(OR(Log[[#This Row],[Verb]]="commit",Log[[#This Row],[Verb]]="carry",Log[[#This Row],[Verb]]="redo"),IF(Log[[#This Row],[Arg]]="",Log[[#This Row],[Sprint]],N(Log[[#This Row],[Arg]])),"")</f>
      </c>
      <c r="J408" s="17">
        <f>IF(Log[[#This Row],[Verb]]="block",1,IF(OR(Log[[#This Row],[Verb]]="unblock",Log[[#This Row],[Verb]]="done",Log[[#This Row],[Verb]]="drop",Log[[#This Row],[Verb]]="punt",Log[[#This Row],[Verb]]="pass"),0,""))</f>
      </c>
      <c r="K408" s="17">
        <f>IF(Log[[#This Row],[ID]]="",0,IFERROR(INDEX(Items[Pts],MATCH(Log[[#This Row],[ID]],Items[ID],0))*1,0))</f>
      </c>
      <c r="L408" s="17">
        <f>IF(Log[[#This Row],[ID]]="","",IFERROR(INDEX(Items[Cur team],MATCH(Log[[#This Row],[ID]],Items[ID],0))&amp;"",""))</f>
      </c>
      <c r="M408" s="17">
        <f>IF(OR(Log[[#This Row],[Verb]]="done",Log[[#This Row],[Verb]]="punt",Log[[#This Row],[Verb]]="drop",Log[[#This Row],[Verb]]="pass"),Log[[#This Row],[Pts]],0)</f>
      </c>
    </row>
    <row r="409">
      <c r="A409" s="11">
        <v>46118</v>
      </c>
      <c r="B409" t="s">
        <v>310</v>
      </c>
      <c r="C409" t="s">
        <v>41</v>
      </c>
      <c r="F409" s="17">
        <f>IF(Log[[#This Row],[ID]]="","",IF(ISNA(MATCH(Log[[#This Row],[ID]],Items[ID],0)),"unknown ID",IF(ISNA(MATCH(Log[[#This Row],[Verb]],VerbList,0)),"unknown verb",IF(Log[[#This Row],[Date]]="","no date",""))))</f>
      </c>
      <c r="G409" s="17">
        <f>IF(Log[[#This Row],[ID]]="","",IFERROR(VLOOKUP(Log[[#This Row],[Verb]],Verbs,3,FALSE)&amp;"",""))</f>
      </c>
      <c r="H409" s="17">
        <f>IF(Log[[#This Row],[Date]]="","",INT((Log[[#This Row],[Date]]-Sprint1)/SprintDays)+1)</f>
      </c>
      <c r="I409" s="17">
        <f>IF(OR(Log[[#This Row],[Verb]]="commit",Log[[#This Row],[Verb]]="carry",Log[[#This Row],[Verb]]="redo"),IF(Log[[#This Row],[Arg]]="",Log[[#This Row],[Sprint]],N(Log[[#This Row],[Arg]])),"")</f>
      </c>
      <c r="J409" s="17">
        <f>IF(Log[[#This Row],[Verb]]="block",1,IF(OR(Log[[#This Row],[Verb]]="unblock",Log[[#This Row],[Verb]]="done",Log[[#This Row],[Verb]]="drop",Log[[#This Row],[Verb]]="punt",Log[[#This Row],[Verb]]="pass"),0,""))</f>
      </c>
      <c r="K409" s="17">
        <f>IF(Log[[#This Row],[ID]]="",0,IFERROR(INDEX(Items[Pts],MATCH(Log[[#This Row],[ID]],Items[ID],0))*1,0))</f>
      </c>
      <c r="L409" s="17">
        <f>IF(Log[[#This Row],[ID]]="","",IFERROR(INDEX(Items[Cur team],MATCH(Log[[#This Row],[ID]],Items[ID],0))&amp;"",""))</f>
      </c>
      <c r="M409" s="17">
        <f>IF(OR(Log[[#This Row],[Verb]]="done",Log[[#This Row],[Verb]]="punt",Log[[#This Row],[Verb]]="drop",Log[[#This Row],[Verb]]="pass"),Log[[#This Row],[Pts]],0)</f>
      </c>
    </row>
    <row r="410">
      <c r="A410" s="11">
        <v>46118</v>
      </c>
      <c r="B410" t="s">
        <v>198</v>
      </c>
      <c r="C410" t="s">
        <v>41</v>
      </c>
      <c r="F410" s="17">
        <f>IF(Log[[#This Row],[ID]]="","",IF(ISNA(MATCH(Log[[#This Row],[ID]],Items[ID],0)),"unknown ID",IF(ISNA(MATCH(Log[[#This Row],[Verb]],VerbList,0)),"unknown verb",IF(Log[[#This Row],[Date]]="","no date",""))))</f>
      </c>
      <c r="G410" s="17">
        <f>IF(Log[[#This Row],[ID]]="","",IFERROR(VLOOKUP(Log[[#This Row],[Verb]],Verbs,3,FALSE)&amp;"",""))</f>
      </c>
      <c r="H410" s="17">
        <f>IF(Log[[#This Row],[Date]]="","",INT((Log[[#This Row],[Date]]-Sprint1)/SprintDays)+1)</f>
      </c>
      <c r="I410" s="17">
        <f>IF(OR(Log[[#This Row],[Verb]]="commit",Log[[#This Row],[Verb]]="carry",Log[[#This Row],[Verb]]="redo"),IF(Log[[#This Row],[Arg]]="",Log[[#This Row],[Sprint]],N(Log[[#This Row],[Arg]])),"")</f>
      </c>
      <c r="J410" s="17">
        <f>IF(Log[[#This Row],[Verb]]="block",1,IF(OR(Log[[#This Row],[Verb]]="unblock",Log[[#This Row],[Verb]]="done",Log[[#This Row],[Verb]]="drop",Log[[#This Row],[Verb]]="punt",Log[[#This Row],[Verb]]="pass"),0,""))</f>
      </c>
      <c r="K410" s="17">
        <f>IF(Log[[#This Row],[ID]]="",0,IFERROR(INDEX(Items[Pts],MATCH(Log[[#This Row],[ID]],Items[ID],0))*1,0))</f>
      </c>
      <c r="L410" s="17">
        <f>IF(Log[[#This Row],[ID]]="","",IFERROR(INDEX(Items[Cur team],MATCH(Log[[#This Row],[ID]],Items[ID],0))&amp;"",""))</f>
      </c>
      <c r="M410" s="17">
        <f>IF(OR(Log[[#This Row],[Verb]]="done",Log[[#This Row],[Verb]]="punt",Log[[#This Row],[Verb]]="drop",Log[[#This Row],[Verb]]="pass"),Log[[#This Row],[Pts]],0)</f>
      </c>
    </row>
    <row r="411">
      <c r="A411" s="11">
        <v>46118</v>
      </c>
      <c r="B411" t="s">
        <v>253</v>
      </c>
      <c r="C411" t="s">
        <v>41</v>
      </c>
      <c r="F411" s="17">
        <f>IF(Log[[#This Row],[ID]]="","",IF(ISNA(MATCH(Log[[#This Row],[ID]],Items[ID],0)),"unknown ID",IF(ISNA(MATCH(Log[[#This Row],[Verb]],VerbList,0)),"unknown verb",IF(Log[[#This Row],[Date]]="","no date",""))))</f>
      </c>
      <c r="G411" s="17">
        <f>IF(Log[[#This Row],[ID]]="","",IFERROR(VLOOKUP(Log[[#This Row],[Verb]],Verbs,3,FALSE)&amp;"",""))</f>
      </c>
      <c r="H411" s="17">
        <f>IF(Log[[#This Row],[Date]]="","",INT((Log[[#This Row],[Date]]-Sprint1)/SprintDays)+1)</f>
      </c>
      <c r="I411" s="17">
        <f>IF(OR(Log[[#This Row],[Verb]]="commit",Log[[#This Row],[Verb]]="carry",Log[[#This Row],[Verb]]="redo"),IF(Log[[#This Row],[Arg]]="",Log[[#This Row],[Sprint]],N(Log[[#This Row],[Arg]])),"")</f>
      </c>
      <c r="J411" s="17">
        <f>IF(Log[[#This Row],[Verb]]="block",1,IF(OR(Log[[#This Row],[Verb]]="unblock",Log[[#This Row],[Verb]]="done",Log[[#This Row],[Verb]]="drop",Log[[#This Row],[Verb]]="punt",Log[[#This Row],[Verb]]="pass"),0,""))</f>
      </c>
      <c r="K411" s="17">
        <f>IF(Log[[#This Row],[ID]]="",0,IFERROR(INDEX(Items[Pts],MATCH(Log[[#This Row],[ID]],Items[ID],0))*1,0))</f>
      </c>
      <c r="L411" s="17">
        <f>IF(Log[[#This Row],[ID]]="","",IFERROR(INDEX(Items[Cur team],MATCH(Log[[#This Row],[ID]],Items[ID],0))&amp;"",""))</f>
      </c>
      <c r="M411" s="17">
        <f>IF(OR(Log[[#This Row],[Verb]]="done",Log[[#This Row],[Verb]]="punt",Log[[#This Row],[Verb]]="drop",Log[[#This Row],[Verb]]="pass"),Log[[#This Row],[Pts]],0)</f>
      </c>
    </row>
    <row r="412">
      <c r="A412" s="11">
        <v>46118</v>
      </c>
      <c r="B412" t="s">
        <v>311</v>
      </c>
      <c r="C412" t="s">
        <v>41</v>
      </c>
      <c r="F412" s="17">
        <f>IF(Log[[#This Row],[ID]]="","",IF(ISNA(MATCH(Log[[#This Row],[ID]],Items[ID],0)),"unknown ID",IF(ISNA(MATCH(Log[[#This Row],[Verb]],VerbList,0)),"unknown verb",IF(Log[[#This Row],[Date]]="","no date",""))))</f>
      </c>
      <c r="G412" s="17">
        <f>IF(Log[[#This Row],[ID]]="","",IFERROR(VLOOKUP(Log[[#This Row],[Verb]],Verbs,3,FALSE)&amp;"",""))</f>
      </c>
      <c r="H412" s="17">
        <f>IF(Log[[#This Row],[Date]]="","",INT((Log[[#This Row],[Date]]-Sprint1)/SprintDays)+1)</f>
      </c>
      <c r="I412" s="17">
        <f>IF(OR(Log[[#This Row],[Verb]]="commit",Log[[#This Row],[Verb]]="carry",Log[[#This Row],[Verb]]="redo"),IF(Log[[#This Row],[Arg]]="",Log[[#This Row],[Sprint]],N(Log[[#This Row],[Arg]])),"")</f>
      </c>
      <c r="J412" s="17">
        <f>IF(Log[[#This Row],[Verb]]="block",1,IF(OR(Log[[#This Row],[Verb]]="unblock",Log[[#This Row],[Verb]]="done",Log[[#This Row],[Verb]]="drop",Log[[#This Row],[Verb]]="punt",Log[[#This Row],[Verb]]="pass"),0,""))</f>
      </c>
      <c r="K412" s="17">
        <f>IF(Log[[#This Row],[ID]]="",0,IFERROR(INDEX(Items[Pts],MATCH(Log[[#This Row],[ID]],Items[ID],0))*1,0))</f>
      </c>
      <c r="L412" s="17">
        <f>IF(Log[[#This Row],[ID]]="","",IFERROR(INDEX(Items[Cur team],MATCH(Log[[#This Row],[ID]],Items[ID],0))&amp;"",""))</f>
      </c>
      <c r="M412" s="17">
        <f>IF(OR(Log[[#This Row],[Verb]]="done",Log[[#This Row],[Verb]]="punt",Log[[#This Row],[Verb]]="drop",Log[[#This Row],[Verb]]="pass"),Log[[#This Row],[Pts]],0)</f>
      </c>
    </row>
    <row r="413">
      <c r="A413" s="11">
        <v>46118</v>
      </c>
      <c r="B413" t="s">
        <v>312</v>
      </c>
      <c r="C413" t="s">
        <v>41</v>
      </c>
      <c r="F413" s="17">
        <f>IF(Log[[#This Row],[ID]]="","",IF(ISNA(MATCH(Log[[#This Row],[ID]],Items[ID],0)),"unknown ID",IF(ISNA(MATCH(Log[[#This Row],[Verb]],VerbList,0)),"unknown verb",IF(Log[[#This Row],[Date]]="","no date",""))))</f>
      </c>
      <c r="G413" s="17">
        <f>IF(Log[[#This Row],[ID]]="","",IFERROR(VLOOKUP(Log[[#This Row],[Verb]],Verbs,3,FALSE)&amp;"",""))</f>
      </c>
      <c r="H413" s="17">
        <f>IF(Log[[#This Row],[Date]]="","",INT((Log[[#This Row],[Date]]-Sprint1)/SprintDays)+1)</f>
      </c>
      <c r="I413" s="17">
        <f>IF(OR(Log[[#This Row],[Verb]]="commit",Log[[#This Row],[Verb]]="carry",Log[[#This Row],[Verb]]="redo"),IF(Log[[#This Row],[Arg]]="",Log[[#This Row],[Sprint]],N(Log[[#This Row],[Arg]])),"")</f>
      </c>
      <c r="J413" s="17">
        <f>IF(Log[[#This Row],[Verb]]="block",1,IF(OR(Log[[#This Row],[Verb]]="unblock",Log[[#This Row],[Verb]]="done",Log[[#This Row],[Verb]]="drop",Log[[#This Row],[Verb]]="punt",Log[[#This Row],[Verb]]="pass"),0,""))</f>
      </c>
      <c r="K413" s="17">
        <f>IF(Log[[#This Row],[ID]]="",0,IFERROR(INDEX(Items[Pts],MATCH(Log[[#This Row],[ID]],Items[ID],0))*1,0))</f>
      </c>
      <c r="L413" s="17">
        <f>IF(Log[[#This Row],[ID]]="","",IFERROR(INDEX(Items[Cur team],MATCH(Log[[#This Row],[ID]],Items[ID],0))&amp;"",""))</f>
      </c>
      <c r="M413" s="17">
        <f>IF(OR(Log[[#This Row],[Verb]]="done",Log[[#This Row],[Verb]]="punt",Log[[#This Row],[Verb]]="drop",Log[[#This Row],[Verb]]="pass"),Log[[#This Row],[Pts]],0)</f>
      </c>
    </row>
    <row r="414">
      <c r="A414" s="11">
        <v>46118</v>
      </c>
      <c r="B414" t="s">
        <v>313</v>
      </c>
      <c r="C414" t="s">
        <v>41</v>
      </c>
      <c r="F414" s="17">
        <f>IF(Log[[#This Row],[ID]]="","",IF(ISNA(MATCH(Log[[#This Row],[ID]],Items[ID],0)),"unknown ID",IF(ISNA(MATCH(Log[[#This Row],[Verb]],VerbList,0)),"unknown verb",IF(Log[[#This Row],[Date]]="","no date",""))))</f>
      </c>
      <c r="G414" s="17">
        <f>IF(Log[[#This Row],[ID]]="","",IFERROR(VLOOKUP(Log[[#This Row],[Verb]],Verbs,3,FALSE)&amp;"",""))</f>
      </c>
      <c r="H414" s="17">
        <f>IF(Log[[#This Row],[Date]]="","",INT((Log[[#This Row],[Date]]-Sprint1)/SprintDays)+1)</f>
      </c>
      <c r="I414" s="17">
        <f>IF(OR(Log[[#This Row],[Verb]]="commit",Log[[#This Row],[Verb]]="carry",Log[[#This Row],[Verb]]="redo"),IF(Log[[#This Row],[Arg]]="",Log[[#This Row],[Sprint]],N(Log[[#This Row],[Arg]])),"")</f>
      </c>
      <c r="J414" s="17">
        <f>IF(Log[[#This Row],[Verb]]="block",1,IF(OR(Log[[#This Row],[Verb]]="unblock",Log[[#This Row],[Verb]]="done",Log[[#This Row],[Verb]]="drop",Log[[#This Row],[Verb]]="punt",Log[[#This Row],[Verb]]="pass"),0,""))</f>
      </c>
      <c r="K414" s="17">
        <f>IF(Log[[#This Row],[ID]]="",0,IFERROR(INDEX(Items[Pts],MATCH(Log[[#This Row],[ID]],Items[ID],0))*1,0))</f>
      </c>
      <c r="L414" s="17">
        <f>IF(Log[[#This Row],[ID]]="","",IFERROR(INDEX(Items[Cur team],MATCH(Log[[#This Row],[ID]],Items[ID],0))&amp;"",""))</f>
      </c>
      <c r="M414" s="17">
        <f>IF(OR(Log[[#This Row],[Verb]]="done",Log[[#This Row],[Verb]]="punt",Log[[#This Row],[Verb]]="drop",Log[[#This Row],[Verb]]="pass"),Log[[#This Row],[Pts]],0)</f>
      </c>
    </row>
    <row r="415">
      <c r="A415" s="11">
        <v>46118</v>
      </c>
      <c r="B415" t="s">
        <v>314</v>
      </c>
      <c r="C415" t="s">
        <v>41</v>
      </c>
      <c r="F415" s="17">
        <f>IF(Log[[#This Row],[ID]]="","",IF(ISNA(MATCH(Log[[#This Row],[ID]],Items[ID],0)),"unknown ID",IF(ISNA(MATCH(Log[[#This Row],[Verb]],VerbList,0)),"unknown verb",IF(Log[[#This Row],[Date]]="","no date",""))))</f>
      </c>
      <c r="G415" s="17">
        <f>IF(Log[[#This Row],[ID]]="","",IFERROR(VLOOKUP(Log[[#This Row],[Verb]],Verbs,3,FALSE)&amp;"",""))</f>
      </c>
      <c r="H415" s="17">
        <f>IF(Log[[#This Row],[Date]]="","",INT((Log[[#This Row],[Date]]-Sprint1)/SprintDays)+1)</f>
      </c>
      <c r="I415" s="17">
        <f>IF(OR(Log[[#This Row],[Verb]]="commit",Log[[#This Row],[Verb]]="carry",Log[[#This Row],[Verb]]="redo"),IF(Log[[#This Row],[Arg]]="",Log[[#This Row],[Sprint]],N(Log[[#This Row],[Arg]])),"")</f>
      </c>
      <c r="J415" s="17">
        <f>IF(Log[[#This Row],[Verb]]="block",1,IF(OR(Log[[#This Row],[Verb]]="unblock",Log[[#This Row],[Verb]]="done",Log[[#This Row],[Verb]]="drop",Log[[#This Row],[Verb]]="punt",Log[[#This Row],[Verb]]="pass"),0,""))</f>
      </c>
      <c r="K415" s="17">
        <f>IF(Log[[#This Row],[ID]]="",0,IFERROR(INDEX(Items[Pts],MATCH(Log[[#This Row],[ID]],Items[ID],0))*1,0))</f>
      </c>
      <c r="L415" s="17">
        <f>IF(Log[[#This Row],[ID]]="","",IFERROR(INDEX(Items[Cur team],MATCH(Log[[#This Row],[ID]],Items[ID],0))&amp;"",""))</f>
      </c>
      <c r="M415" s="17">
        <f>IF(OR(Log[[#This Row],[Verb]]="done",Log[[#This Row],[Verb]]="punt",Log[[#This Row],[Verb]]="drop",Log[[#This Row],[Verb]]="pass"),Log[[#This Row],[Pts]],0)</f>
      </c>
    </row>
    <row r="416">
      <c r="A416" s="11">
        <v>46118</v>
      </c>
      <c r="B416" t="s">
        <v>315</v>
      </c>
      <c r="C416" t="s">
        <v>38</v>
      </c>
      <c r="D416">
        <v>41</v>
      </c>
      <c r="F416" s="17">
        <f>IF(Log[[#This Row],[ID]]="","",IF(ISNA(MATCH(Log[[#This Row],[ID]],Items[ID],0)),"unknown ID",IF(ISNA(MATCH(Log[[#This Row],[Verb]],VerbList,0)),"unknown verb",IF(Log[[#This Row],[Date]]="","no date",""))))</f>
      </c>
      <c r="G416" s="17">
        <f>IF(Log[[#This Row],[ID]]="","",IFERROR(VLOOKUP(Log[[#This Row],[Verb]],Verbs,3,FALSE)&amp;"",""))</f>
      </c>
      <c r="H416" s="17">
        <f>IF(Log[[#This Row],[Date]]="","",INT((Log[[#This Row],[Date]]-Sprint1)/SprintDays)+1)</f>
      </c>
      <c r="I416" s="17">
        <f>IF(OR(Log[[#This Row],[Verb]]="commit",Log[[#This Row],[Verb]]="carry",Log[[#This Row],[Verb]]="redo"),IF(Log[[#This Row],[Arg]]="",Log[[#This Row],[Sprint]],N(Log[[#This Row],[Arg]])),"")</f>
      </c>
      <c r="J416" s="17">
        <f>IF(Log[[#This Row],[Verb]]="block",1,IF(OR(Log[[#This Row],[Verb]]="unblock",Log[[#This Row],[Verb]]="done",Log[[#This Row],[Verb]]="drop",Log[[#This Row],[Verb]]="punt",Log[[#This Row],[Verb]]="pass"),0,""))</f>
      </c>
      <c r="K416" s="17">
        <f>IF(Log[[#This Row],[ID]]="",0,IFERROR(INDEX(Items[Pts],MATCH(Log[[#This Row],[ID]],Items[ID],0))*1,0))</f>
      </c>
      <c r="L416" s="17">
        <f>IF(Log[[#This Row],[ID]]="","",IFERROR(INDEX(Items[Cur team],MATCH(Log[[#This Row],[ID]],Items[ID],0))&amp;"",""))</f>
      </c>
      <c r="M416" s="17">
        <f>IF(OR(Log[[#This Row],[Verb]]="done",Log[[#This Row],[Verb]]="punt",Log[[#This Row],[Verb]]="drop",Log[[#This Row],[Verb]]="pass"),Log[[#This Row],[Pts]],0)</f>
      </c>
    </row>
    <row r="417">
      <c r="A417" s="11">
        <v>46118</v>
      </c>
      <c r="B417" t="s">
        <v>316</v>
      </c>
      <c r="C417" t="s">
        <v>41</v>
      </c>
      <c r="F417" s="17">
        <f>IF(Log[[#This Row],[ID]]="","",IF(ISNA(MATCH(Log[[#This Row],[ID]],Items[ID],0)),"unknown ID",IF(ISNA(MATCH(Log[[#This Row],[Verb]],VerbList,0)),"unknown verb",IF(Log[[#This Row],[Date]]="","no date",""))))</f>
      </c>
      <c r="G417" s="17">
        <f>IF(Log[[#This Row],[ID]]="","",IFERROR(VLOOKUP(Log[[#This Row],[Verb]],Verbs,3,FALSE)&amp;"",""))</f>
      </c>
      <c r="H417" s="17">
        <f>IF(Log[[#This Row],[Date]]="","",INT((Log[[#This Row],[Date]]-Sprint1)/SprintDays)+1)</f>
      </c>
      <c r="I417" s="17">
        <f>IF(OR(Log[[#This Row],[Verb]]="commit",Log[[#This Row],[Verb]]="carry",Log[[#This Row],[Verb]]="redo"),IF(Log[[#This Row],[Arg]]="",Log[[#This Row],[Sprint]],N(Log[[#This Row],[Arg]])),"")</f>
      </c>
      <c r="J417" s="17">
        <f>IF(Log[[#This Row],[Verb]]="block",1,IF(OR(Log[[#This Row],[Verb]]="unblock",Log[[#This Row],[Verb]]="done",Log[[#This Row],[Verb]]="drop",Log[[#This Row],[Verb]]="punt",Log[[#This Row],[Verb]]="pass"),0,""))</f>
      </c>
      <c r="K417" s="17">
        <f>IF(Log[[#This Row],[ID]]="",0,IFERROR(INDEX(Items[Pts],MATCH(Log[[#This Row],[ID]],Items[ID],0))*1,0))</f>
      </c>
      <c r="L417" s="17">
        <f>IF(Log[[#This Row],[ID]]="","",IFERROR(INDEX(Items[Cur team],MATCH(Log[[#This Row],[ID]],Items[ID],0))&amp;"",""))</f>
      </c>
      <c r="M417" s="17">
        <f>IF(OR(Log[[#This Row],[Verb]]="done",Log[[#This Row],[Verb]]="punt",Log[[#This Row],[Verb]]="drop",Log[[#This Row],[Verb]]="pass"),Log[[#This Row],[Pts]],0)</f>
      </c>
    </row>
    <row r="418">
      <c r="A418" s="11">
        <v>46118</v>
      </c>
      <c r="B418" t="s">
        <v>317</v>
      </c>
      <c r="C418" t="s">
        <v>41</v>
      </c>
      <c r="F418" s="17">
        <f>IF(Log[[#This Row],[ID]]="","",IF(ISNA(MATCH(Log[[#This Row],[ID]],Items[ID],0)),"unknown ID",IF(ISNA(MATCH(Log[[#This Row],[Verb]],VerbList,0)),"unknown verb",IF(Log[[#This Row],[Date]]="","no date",""))))</f>
      </c>
      <c r="G418" s="17">
        <f>IF(Log[[#This Row],[ID]]="","",IFERROR(VLOOKUP(Log[[#This Row],[Verb]],Verbs,3,FALSE)&amp;"",""))</f>
      </c>
      <c r="H418" s="17">
        <f>IF(Log[[#This Row],[Date]]="","",INT((Log[[#This Row],[Date]]-Sprint1)/SprintDays)+1)</f>
      </c>
      <c r="I418" s="17">
        <f>IF(OR(Log[[#This Row],[Verb]]="commit",Log[[#This Row],[Verb]]="carry",Log[[#This Row],[Verb]]="redo"),IF(Log[[#This Row],[Arg]]="",Log[[#This Row],[Sprint]],N(Log[[#This Row],[Arg]])),"")</f>
      </c>
      <c r="J418" s="17">
        <f>IF(Log[[#This Row],[Verb]]="block",1,IF(OR(Log[[#This Row],[Verb]]="unblock",Log[[#This Row],[Verb]]="done",Log[[#This Row],[Verb]]="drop",Log[[#This Row],[Verb]]="punt",Log[[#This Row],[Verb]]="pass"),0,""))</f>
      </c>
      <c r="K418" s="17">
        <f>IF(Log[[#This Row],[ID]]="",0,IFERROR(INDEX(Items[Pts],MATCH(Log[[#This Row],[ID]],Items[ID],0))*1,0))</f>
      </c>
      <c r="L418" s="17">
        <f>IF(Log[[#This Row],[ID]]="","",IFERROR(INDEX(Items[Cur team],MATCH(Log[[#This Row],[ID]],Items[ID],0))&amp;"",""))</f>
      </c>
      <c r="M418" s="17">
        <f>IF(OR(Log[[#This Row],[Verb]]="done",Log[[#This Row],[Verb]]="punt",Log[[#This Row],[Verb]]="drop",Log[[#This Row],[Verb]]="pass"),Log[[#This Row],[Pts]],0)</f>
      </c>
    </row>
    <row r="419">
      <c r="A419" s="11">
        <v>46118</v>
      </c>
      <c r="B419" t="s">
        <v>318</v>
      </c>
      <c r="C419" t="s">
        <v>41</v>
      </c>
      <c r="F419" s="17">
        <f>IF(Log[[#This Row],[ID]]="","",IF(ISNA(MATCH(Log[[#This Row],[ID]],Items[ID],0)),"unknown ID",IF(ISNA(MATCH(Log[[#This Row],[Verb]],VerbList,0)),"unknown verb",IF(Log[[#This Row],[Date]]="","no date",""))))</f>
      </c>
      <c r="G419" s="17">
        <f>IF(Log[[#This Row],[ID]]="","",IFERROR(VLOOKUP(Log[[#This Row],[Verb]],Verbs,3,FALSE)&amp;"",""))</f>
      </c>
      <c r="H419" s="17">
        <f>IF(Log[[#This Row],[Date]]="","",INT((Log[[#This Row],[Date]]-Sprint1)/SprintDays)+1)</f>
      </c>
      <c r="I419" s="17">
        <f>IF(OR(Log[[#This Row],[Verb]]="commit",Log[[#This Row],[Verb]]="carry",Log[[#This Row],[Verb]]="redo"),IF(Log[[#This Row],[Arg]]="",Log[[#This Row],[Sprint]],N(Log[[#This Row],[Arg]])),"")</f>
      </c>
      <c r="J419" s="17">
        <f>IF(Log[[#This Row],[Verb]]="block",1,IF(OR(Log[[#This Row],[Verb]]="unblock",Log[[#This Row],[Verb]]="done",Log[[#This Row],[Verb]]="drop",Log[[#This Row],[Verb]]="punt",Log[[#This Row],[Verb]]="pass"),0,""))</f>
      </c>
      <c r="K419" s="17">
        <f>IF(Log[[#This Row],[ID]]="",0,IFERROR(INDEX(Items[Pts],MATCH(Log[[#This Row],[ID]],Items[ID],0))*1,0))</f>
      </c>
      <c r="L419" s="17">
        <f>IF(Log[[#This Row],[ID]]="","",IFERROR(INDEX(Items[Cur team],MATCH(Log[[#This Row],[ID]],Items[ID],0))&amp;"",""))</f>
      </c>
      <c r="M419" s="17">
        <f>IF(OR(Log[[#This Row],[Verb]]="done",Log[[#This Row],[Verb]]="punt",Log[[#This Row],[Verb]]="drop",Log[[#This Row],[Verb]]="pass"),Log[[#This Row],[Pts]],0)</f>
      </c>
    </row>
    <row r="420">
      <c r="A420" s="11">
        <v>46118</v>
      </c>
      <c r="B420" t="s">
        <v>319</v>
      </c>
      <c r="C420" t="s">
        <v>38</v>
      </c>
      <c r="D420">
        <v>41</v>
      </c>
      <c r="F420" s="17">
        <f>IF(Log[[#This Row],[ID]]="","",IF(ISNA(MATCH(Log[[#This Row],[ID]],Items[ID],0)),"unknown ID",IF(ISNA(MATCH(Log[[#This Row],[Verb]],VerbList,0)),"unknown verb",IF(Log[[#This Row],[Date]]="","no date",""))))</f>
      </c>
      <c r="G420" s="17">
        <f>IF(Log[[#This Row],[ID]]="","",IFERROR(VLOOKUP(Log[[#This Row],[Verb]],Verbs,3,FALSE)&amp;"",""))</f>
      </c>
      <c r="H420" s="17">
        <f>IF(Log[[#This Row],[Date]]="","",INT((Log[[#This Row],[Date]]-Sprint1)/SprintDays)+1)</f>
      </c>
      <c r="I420" s="17">
        <f>IF(OR(Log[[#This Row],[Verb]]="commit",Log[[#This Row],[Verb]]="carry",Log[[#This Row],[Verb]]="redo"),IF(Log[[#This Row],[Arg]]="",Log[[#This Row],[Sprint]],N(Log[[#This Row],[Arg]])),"")</f>
      </c>
      <c r="J420" s="17">
        <f>IF(Log[[#This Row],[Verb]]="block",1,IF(OR(Log[[#This Row],[Verb]]="unblock",Log[[#This Row],[Verb]]="done",Log[[#This Row],[Verb]]="drop",Log[[#This Row],[Verb]]="punt",Log[[#This Row],[Verb]]="pass"),0,""))</f>
      </c>
      <c r="K420" s="17">
        <f>IF(Log[[#This Row],[ID]]="",0,IFERROR(INDEX(Items[Pts],MATCH(Log[[#This Row],[ID]],Items[ID],0))*1,0))</f>
      </c>
      <c r="L420" s="17">
        <f>IF(Log[[#This Row],[ID]]="","",IFERROR(INDEX(Items[Cur team],MATCH(Log[[#This Row],[ID]],Items[ID],0))&amp;"",""))</f>
      </c>
      <c r="M420" s="17">
        <f>IF(OR(Log[[#This Row],[Verb]]="done",Log[[#This Row],[Verb]]="punt",Log[[#This Row],[Verb]]="drop",Log[[#This Row],[Verb]]="pass"),Log[[#This Row],[Pts]],0)</f>
      </c>
    </row>
    <row r="421">
      <c r="A421" s="11">
        <v>46118</v>
      </c>
      <c r="B421" t="s">
        <v>320</v>
      </c>
      <c r="C421" t="s">
        <v>41</v>
      </c>
      <c r="F421" s="17">
        <f>IF(Log[[#This Row],[ID]]="","",IF(ISNA(MATCH(Log[[#This Row],[ID]],Items[ID],0)),"unknown ID",IF(ISNA(MATCH(Log[[#This Row],[Verb]],VerbList,0)),"unknown verb",IF(Log[[#This Row],[Date]]="","no date",""))))</f>
      </c>
      <c r="G421" s="17">
        <f>IF(Log[[#This Row],[ID]]="","",IFERROR(VLOOKUP(Log[[#This Row],[Verb]],Verbs,3,FALSE)&amp;"",""))</f>
      </c>
      <c r="H421" s="17">
        <f>IF(Log[[#This Row],[Date]]="","",INT((Log[[#This Row],[Date]]-Sprint1)/SprintDays)+1)</f>
      </c>
      <c r="I421" s="17">
        <f>IF(OR(Log[[#This Row],[Verb]]="commit",Log[[#This Row],[Verb]]="carry",Log[[#This Row],[Verb]]="redo"),IF(Log[[#This Row],[Arg]]="",Log[[#This Row],[Sprint]],N(Log[[#This Row],[Arg]])),"")</f>
      </c>
      <c r="J421" s="17">
        <f>IF(Log[[#This Row],[Verb]]="block",1,IF(OR(Log[[#This Row],[Verb]]="unblock",Log[[#This Row],[Verb]]="done",Log[[#This Row],[Verb]]="drop",Log[[#This Row],[Verb]]="punt",Log[[#This Row],[Verb]]="pass"),0,""))</f>
      </c>
      <c r="K421" s="17">
        <f>IF(Log[[#This Row],[ID]]="",0,IFERROR(INDEX(Items[Pts],MATCH(Log[[#This Row],[ID]],Items[ID],0))*1,0))</f>
      </c>
      <c r="L421" s="17">
        <f>IF(Log[[#This Row],[ID]]="","",IFERROR(INDEX(Items[Cur team],MATCH(Log[[#This Row],[ID]],Items[ID],0))&amp;"",""))</f>
      </c>
      <c r="M421" s="17">
        <f>IF(OR(Log[[#This Row],[Verb]]="done",Log[[#This Row],[Verb]]="punt",Log[[#This Row],[Verb]]="drop",Log[[#This Row],[Verb]]="pass"),Log[[#This Row],[Pts]],0)</f>
      </c>
    </row>
    <row r="422">
      <c r="A422" s="11">
        <v>46118</v>
      </c>
      <c r="B422" t="s">
        <v>321</v>
      </c>
      <c r="C422" t="s">
        <v>41</v>
      </c>
      <c r="F422" s="17">
        <f>IF(Log[[#This Row],[ID]]="","",IF(ISNA(MATCH(Log[[#This Row],[ID]],Items[ID],0)),"unknown ID",IF(ISNA(MATCH(Log[[#This Row],[Verb]],VerbList,0)),"unknown verb",IF(Log[[#This Row],[Date]]="","no date",""))))</f>
      </c>
      <c r="G422" s="17">
        <f>IF(Log[[#This Row],[ID]]="","",IFERROR(VLOOKUP(Log[[#This Row],[Verb]],Verbs,3,FALSE)&amp;"",""))</f>
      </c>
      <c r="H422" s="17">
        <f>IF(Log[[#This Row],[Date]]="","",INT((Log[[#This Row],[Date]]-Sprint1)/SprintDays)+1)</f>
      </c>
      <c r="I422" s="17">
        <f>IF(OR(Log[[#This Row],[Verb]]="commit",Log[[#This Row],[Verb]]="carry",Log[[#This Row],[Verb]]="redo"),IF(Log[[#This Row],[Arg]]="",Log[[#This Row],[Sprint]],N(Log[[#This Row],[Arg]])),"")</f>
      </c>
      <c r="J422" s="17">
        <f>IF(Log[[#This Row],[Verb]]="block",1,IF(OR(Log[[#This Row],[Verb]]="unblock",Log[[#This Row],[Verb]]="done",Log[[#This Row],[Verb]]="drop",Log[[#This Row],[Verb]]="punt",Log[[#This Row],[Verb]]="pass"),0,""))</f>
      </c>
      <c r="K422" s="17">
        <f>IF(Log[[#This Row],[ID]]="",0,IFERROR(INDEX(Items[Pts],MATCH(Log[[#This Row],[ID]],Items[ID],0))*1,0))</f>
      </c>
      <c r="L422" s="17">
        <f>IF(Log[[#This Row],[ID]]="","",IFERROR(INDEX(Items[Cur team],MATCH(Log[[#This Row],[ID]],Items[ID],0))&amp;"",""))</f>
      </c>
      <c r="M422" s="17">
        <f>IF(OR(Log[[#This Row],[Verb]]="done",Log[[#This Row],[Verb]]="punt",Log[[#This Row],[Verb]]="drop",Log[[#This Row],[Verb]]="pass"),Log[[#This Row],[Pts]],0)</f>
      </c>
    </row>
    <row r="423">
      <c r="A423" s="11">
        <v>46118</v>
      </c>
      <c r="B423" t="s">
        <v>322</v>
      </c>
      <c r="C423" t="s">
        <v>41</v>
      </c>
      <c r="F423" s="17">
        <f>IF(Log[[#This Row],[ID]]="","",IF(ISNA(MATCH(Log[[#This Row],[ID]],Items[ID],0)),"unknown ID",IF(ISNA(MATCH(Log[[#This Row],[Verb]],VerbList,0)),"unknown verb",IF(Log[[#This Row],[Date]]="","no date",""))))</f>
      </c>
      <c r="G423" s="17">
        <f>IF(Log[[#This Row],[ID]]="","",IFERROR(VLOOKUP(Log[[#This Row],[Verb]],Verbs,3,FALSE)&amp;"",""))</f>
      </c>
      <c r="H423" s="17">
        <f>IF(Log[[#This Row],[Date]]="","",INT((Log[[#This Row],[Date]]-Sprint1)/SprintDays)+1)</f>
      </c>
      <c r="I423" s="17">
        <f>IF(OR(Log[[#This Row],[Verb]]="commit",Log[[#This Row],[Verb]]="carry",Log[[#This Row],[Verb]]="redo"),IF(Log[[#This Row],[Arg]]="",Log[[#This Row],[Sprint]],N(Log[[#This Row],[Arg]])),"")</f>
      </c>
      <c r="J423" s="17">
        <f>IF(Log[[#This Row],[Verb]]="block",1,IF(OR(Log[[#This Row],[Verb]]="unblock",Log[[#This Row],[Verb]]="done",Log[[#This Row],[Verb]]="drop",Log[[#This Row],[Verb]]="punt",Log[[#This Row],[Verb]]="pass"),0,""))</f>
      </c>
      <c r="K423" s="17">
        <f>IF(Log[[#This Row],[ID]]="",0,IFERROR(INDEX(Items[Pts],MATCH(Log[[#This Row],[ID]],Items[ID],0))*1,0))</f>
      </c>
      <c r="L423" s="17">
        <f>IF(Log[[#This Row],[ID]]="","",IFERROR(INDEX(Items[Cur team],MATCH(Log[[#This Row],[ID]],Items[ID],0))&amp;"",""))</f>
      </c>
      <c r="M423" s="17">
        <f>IF(OR(Log[[#This Row],[Verb]]="done",Log[[#This Row],[Verb]]="punt",Log[[#This Row],[Verb]]="drop",Log[[#This Row],[Verb]]="pass"),Log[[#This Row],[Pts]],0)</f>
      </c>
    </row>
    <row r="424">
      <c r="A424" s="11">
        <v>46118</v>
      </c>
      <c r="B424" t="s">
        <v>323</v>
      </c>
      <c r="C424" t="s">
        <v>41</v>
      </c>
      <c r="F424" s="17">
        <f>IF(Log[[#This Row],[ID]]="","",IF(ISNA(MATCH(Log[[#This Row],[ID]],Items[ID],0)),"unknown ID",IF(ISNA(MATCH(Log[[#This Row],[Verb]],VerbList,0)),"unknown verb",IF(Log[[#This Row],[Date]]="","no date",""))))</f>
      </c>
      <c r="G424" s="17">
        <f>IF(Log[[#This Row],[ID]]="","",IFERROR(VLOOKUP(Log[[#This Row],[Verb]],Verbs,3,FALSE)&amp;"",""))</f>
      </c>
      <c r="H424" s="17">
        <f>IF(Log[[#This Row],[Date]]="","",INT((Log[[#This Row],[Date]]-Sprint1)/SprintDays)+1)</f>
      </c>
      <c r="I424" s="17">
        <f>IF(OR(Log[[#This Row],[Verb]]="commit",Log[[#This Row],[Verb]]="carry",Log[[#This Row],[Verb]]="redo"),IF(Log[[#This Row],[Arg]]="",Log[[#This Row],[Sprint]],N(Log[[#This Row],[Arg]])),"")</f>
      </c>
      <c r="J424" s="17">
        <f>IF(Log[[#This Row],[Verb]]="block",1,IF(OR(Log[[#This Row],[Verb]]="unblock",Log[[#This Row],[Verb]]="done",Log[[#This Row],[Verb]]="drop",Log[[#This Row],[Verb]]="punt",Log[[#This Row],[Verb]]="pass"),0,""))</f>
      </c>
      <c r="K424" s="17">
        <f>IF(Log[[#This Row],[ID]]="",0,IFERROR(INDEX(Items[Pts],MATCH(Log[[#This Row],[ID]],Items[ID],0))*1,0))</f>
      </c>
      <c r="L424" s="17">
        <f>IF(Log[[#This Row],[ID]]="","",IFERROR(INDEX(Items[Cur team],MATCH(Log[[#This Row],[ID]],Items[ID],0))&amp;"",""))</f>
      </c>
      <c r="M424" s="17">
        <f>IF(OR(Log[[#This Row],[Verb]]="done",Log[[#This Row],[Verb]]="punt",Log[[#This Row],[Verb]]="drop",Log[[#This Row],[Verb]]="pass"),Log[[#This Row],[Pts]],0)</f>
      </c>
    </row>
    <row r="425">
      <c r="A425" s="11">
        <v>46118</v>
      </c>
      <c r="B425" t="s">
        <v>324</v>
      </c>
      <c r="C425" t="s">
        <v>41</v>
      </c>
      <c r="F425" s="17">
        <f>IF(Log[[#This Row],[ID]]="","",IF(ISNA(MATCH(Log[[#This Row],[ID]],Items[ID],0)),"unknown ID",IF(ISNA(MATCH(Log[[#This Row],[Verb]],VerbList,0)),"unknown verb",IF(Log[[#This Row],[Date]]="","no date",""))))</f>
      </c>
      <c r="G425" s="17">
        <f>IF(Log[[#This Row],[ID]]="","",IFERROR(VLOOKUP(Log[[#This Row],[Verb]],Verbs,3,FALSE)&amp;"",""))</f>
      </c>
      <c r="H425" s="17">
        <f>IF(Log[[#This Row],[Date]]="","",INT((Log[[#This Row],[Date]]-Sprint1)/SprintDays)+1)</f>
      </c>
      <c r="I425" s="17">
        <f>IF(OR(Log[[#This Row],[Verb]]="commit",Log[[#This Row],[Verb]]="carry",Log[[#This Row],[Verb]]="redo"),IF(Log[[#This Row],[Arg]]="",Log[[#This Row],[Sprint]],N(Log[[#This Row],[Arg]])),"")</f>
      </c>
      <c r="J425" s="17">
        <f>IF(Log[[#This Row],[Verb]]="block",1,IF(OR(Log[[#This Row],[Verb]]="unblock",Log[[#This Row],[Verb]]="done",Log[[#This Row],[Verb]]="drop",Log[[#This Row],[Verb]]="punt",Log[[#This Row],[Verb]]="pass"),0,""))</f>
      </c>
      <c r="K425" s="17">
        <f>IF(Log[[#This Row],[ID]]="",0,IFERROR(INDEX(Items[Pts],MATCH(Log[[#This Row],[ID]],Items[ID],0))*1,0))</f>
      </c>
      <c r="L425" s="17">
        <f>IF(Log[[#This Row],[ID]]="","",IFERROR(INDEX(Items[Cur team],MATCH(Log[[#This Row],[ID]],Items[ID],0))&amp;"",""))</f>
      </c>
      <c r="M425" s="17">
        <f>IF(OR(Log[[#This Row],[Verb]]="done",Log[[#This Row],[Verb]]="punt",Log[[#This Row],[Verb]]="drop",Log[[#This Row],[Verb]]="pass"),Log[[#This Row],[Pts]],0)</f>
      </c>
    </row>
    <row r="426">
      <c r="A426" s="11">
        <v>46118</v>
      </c>
      <c r="B426" t="s">
        <v>325</v>
      </c>
      <c r="C426" t="s">
        <v>41</v>
      </c>
      <c r="F426" s="17">
        <f>IF(Log[[#This Row],[ID]]="","",IF(ISNA(MATCH(Log[[#This Row],[ID]],Items[ID],0)),"unknown ID",IF(ISNA(MATCH(Log[[#This Row],[Verb]],VerbList,0)),"unknown verb",IF(Log[[#This Row],[Date]]="","no date",""))))</f>
      </c>
      <c r="G426" s="17">
        <f>IF(Log[[#This Row],[ID]]="","",IFERROR(VLOOKUP(Log[[#This Row],[Verb]],Verbs,3,FALSE)&amp;"",""))</f>
      </c>
      <c r="H426" s="17">
        <f>IF(Log[[#This Row],[Date]]="","",INT((Log[[#This Row],[Date]]-Sprint1)/SprintDays)+1)</f>
      </c>
      <c r="I426" s="17">
        <f>IF(OR(Log[[#This Row],[Verb]]="commit",Log[[#This Row],[Verb]]="carry",Log[[#This Row],[Verb]]="redo"),IF(Log[[#This Row],[Arg]]="",Log[[#This Row],[Sprint]],N(Log[[#This Row],[Arg]])),"")</f>
      </c>
      <c r="J426" s="17">
        <f>IF(Log[[#This Row],[Verb]]="block",1,IF(OR(Log[[#This Row],[Verb]]="unblock",Log[[#This Row],[Verb]]="done",Log[[#This Row],[Verb]]="drop",Log[[#This Row],[Verb]]="punt",Log[[#This Row],[Verb]]="pass"),0,""))</f>
      </c>
      <c r="K426" s="17">
        <f>IF(Log[[#This Row],[ID]]="",0,IFERROR(INDEX(Items[Pts],MATCH(Log[[#This Row],[ID]],Items[ID],0))*1,0))</f>
      </c>
      <c r="L426" s="17">
        <f>IF(Log[[#This Row],[ID]]="","",IFERROR(INDEX(Items[Cur team],MATCH(Log[[#This Row],[ID]],Items[ID],0))&amp;"",""))</f>
      </c>
      <c r="M426" s="17">
        <f>IF(OR(Log[[#This Row],[Verb]]="done",Log[[#This Row],[Verb]]="punt",Log[[#This Row],[Verb]]="drop",Log[[#This Row],[Verb]]="pass"),Log[[#This Row],[Pts]],0)</f>
      </c>
    </row>
    <row r="427">
      <c r="A427" s="11">
        <v>46118</v>
      </c>
      <c r="B427" t="s">
        <v>326</v>
      </c>
      <c r="C427" t="s">
        <v>41</v>
      </c>
      <c r="F427" s="17">
        <f>IF(Log[[#This Row],[ID]]="","",IF(ISNA(MATCH(Log[[#This Row],[ID]],Items[ID],0)),"unknown ID",IF(ISNA(MATCH(Log[[#This Row],[Verb]],VerbList,0)),"unknown verb",IF(Log[[#This Row],[Date]]="","no date",""))))</f>
      </c>
      <c r="G427" s="17">
        <f>IF(Log[[#This Row],[ID]]="","",IFERROR(VLOOKUP(Log[[#This Row],[Verb]],Verbs,3,FALSE)&amp;"",""))</f>
      </c>
      <c r="H427" s="17">
        <f>IF(Log[[#This Row],[Date]]="","",INT((Log[[#This Row],[Date]]-Sprint1)/SprintDays)+1)</f>
      </c>
      <c r="I427" s="17">
        <f>IF(OR(Log[[#This Row],[Verb]]="commit",Log[[#This Row],[Verb]]="carry",Log[[#This Row],[Verb]]="redo"),IF(Log[[#This Row],[Arg]]="",Log[[#This Row],[Sprint]],N(Log[[#This Row],[Arg]])),"")</f>
      </c>
      <c r="J427" s="17">
        <f>IF(Log[[#This Row],[Verb]]="block",1,IF(OR(Log[[#This Row],[Verb]]="unblock",Log[[#This Row],[Verb]]="done",Log[[#This Row],[Verb]]="drop",Log[[#This Row],[Verb]]="punt",Log[[#This Row],[Verb]]="pass"),0,""))</f>
      </c>
      <c r="K427" s="17">
        <f>IF(Log[[#This Row],[ID]]="",0,IFERROR(INDEX(Items[Pts],MATCH(Log[[#This Row],[ID]],Items[ID],0))*1,0))</f>
      </c>
      <c r="L427" s="17">
        <f>IF(Log[[#This Row],[ID]]="","",IFERROR(INDEX(Items[Cur team],MATCH(Log[[#This Row],[ID]],Items[ID],0))&amp;"",""))</f>
      </c>
      <c r="M427" s="17">
        <f>IF(OR(Log[[#This Row],[Verb]]="done",Log[[#This Row],[Verb]]="punt",Log[[#This Row],[Verb]]="drop",Log[[#This Row],[Verb]]="pass"),Log[[#This Row],[Pts]],0)</f>
      </c>
    </row>
    <row r="428">
      <c r="A428" s="11">
        <v>46118</v>
      </c>
      <c r="B428" t="s">
        <v>327</v>
      </c>
      <c r="C428" t="s">
        <v>41</v>
      </c>
      <c r="F428" s="17">
        <f>IF(Log[[#This Row],[ID]]="","",IF(ISNA(MATCH(Log[[#This Row],[ID]],Items[ID],0)),"unknown ID",IF(ISNA(MATCH(Log[[#This Row],[Verb]],VerbList,0)),"unknown verb",IF(Log[[#This Row],[Date]]="","no date",""))))</f>
      </c>
      <c r="G428" s="17">
        <f>IF(Log[[#This Row],[ID]]="","",IFERROR(VLOOKUP(Log[[#This Row],[Verb]],Verbs,3,FALSE)&amp;"",""))</f>
      </c>
      <c r="H428" s="17">
        <f>IF(Log[[#This Row],[Date]]="","",INT((Log[[#This Row],[Date]]-Sprint1)/SprintDays)+1)</f>
      </c>
      <c r="I428" s="17">
        <f>IF(OR(Log[[#This Row],[Verb]]="commit",Log[[#This Row],[Verb]]="carry",Log[[#This Row],[Verb]]="redo"),IF(Log[[#This Row],[Arg]]="",Log[[#This Row],[Sprint]],N(Log[[#This Row],[Arg]])),"")</f>
      </c>
      <c r="J428" s="17">
        <f>IF(Log[[#This Row],[Verb]]="block",1,IF(OR(Log[[#This Row],[Verb]]="unblock",Log[[#This Row],[Verb]]="done",Log[[#This Row],[Verb]]="drop",Log[[#This Row],[Verb]]="punt",Log[[#This Row],[Verb]]="pass"),0,""))</f>
      </c>
      <c r="K428" s="17">
        <f>IF(Log[[#This Row],[ID]]="",0,IFERROR(INDEX(Items[Pts],MATCH(Log[[#This Row],[ID]],Items[ID],0))*1,0))</f>
      </c>
      <c r="L428" s="17">
        <f>IF(Log[[#This Row],[ID]]="","",IFERROR(INDEX(Items[Cur team],MATCH(Log[[#This Row],[ID]],Items[ID],0))&amp;"",""))</f>
      </c>
      <c r="M428" s="17">
        <f>IF(OR(Log[[#This Row],[Verb]]="done",Log[[#This Row],[Verb]]="punt",Log[[#This Row],[Verb]]="drop",Log[[#This Row],[Verb]]="pass"),Log[[#This Row],[Pts]],0)</f>
      </c>
    </row>
    <row r="429">
      <c r="A429" s="11">
        <v>46118</v>
      </c>
      <c r="B429" t="s">
        <v>328</v>
      </c>
      <c r="C429" t="s">
        <v>41</v>
      </c>
      <c r="F429" s="17">
        <f>IF(Log[[#This Row],[ID]]="","",IF(ISNA(MATCH(Log[[#This Row],[ID]],Items[ID],0)),"unknown ID",IF(ISNA(MATCH(Log[[#This Row],[Verb]],VerbList,0)),"unknown verb",IF(Log[[#This Row],[Date]]="","no date",""))))</f>
      </c>
      <c r="G429" s="17">
        <f>IF(Log[[#This Row],[ID]]="","",IFERROR(VLOOKUP(Log[[#This Row],[Verb]],Verbs,3,FALSE)&amp;"",""))</f>
      </c>
      <c r="H429" s="17">
        <f>IF(Log[[#This Row],[Date]]="","",INT((Log[[#This Row],[Date]]-Sprint1)/SprintDays)+1)</f>
      </c>
      <c r="I429" s="17">
        <f>IF(OR(Log[[#This Row],[Verb]]="commit",Log[[#This Row],[Verb]]="carry",Log[[#This Row],[Verb]]="redo"),IF(Log[[#This Row],[Arg]]="",Log[[#This Row],[Sprint]],N(Log[[#This Row],[Arg]])),"")</f>
      </c>
      <c r="J429" s="17">
        <f>IF(Log[[#This Row],[Verb]]="block",1,IF(OR(Log[[#This Row],[Verb]]="unblock",Log[[#This Row],[Verb]]="done",Log[[#This Row],[Verb]]="drop",Log[[#This Row],[Verb]]="punt",Log[[#This Row],[Verb]]="pass"),0,""))</f>
      </c>
      <c r="K429" s="17">
        <f>IF(Log[[#This Row],[ID]]="",0,IFERROR(INDEX(Items[Pts],MATCH(Log[[#This Row],[ID]],Items[ID],0))*1,0))</f>
      </c>
      <c r="L429" s="17">
        <f>IF(Log[[#This Row],[ID]]="","",IFERROR(INDEX(Items[Cur team],MATCH(Log[[#This Row],[ID]],Items[ID],0))&amp;"",""))</f>
      </c>
      <c r="M429" s="17">
        <f>IF(OR(Log[[#This Row],[Verb]]="done",Log[[#This Row],[Verb]]="punt",Log[[#This Row],[Verb]]="drop",Log[[#This Row],[Verb]]="pass"),Log[[#This Row],[Pts]],0)</f>
      </c>
    </row>
    <row r="430">
      <c r="A430" s="11">
        <v>46118</v>
      </c>
      <c r="B430" t="s">
        <v>329</v>
      </c>
      <c r="C430" t="s">
        <v>41</v>
      </c>
      <c r="F430" s="17">
        <f>IF(Log[[#This Row],[ID]]="","",IF(ISNA(MATCH(Log[[#This Row],[ID]],Items[ID],0)),"unknown ID",IF(ISNA(MATCH(Log[[#This Row],[Verb]],VerbList,0)),"unknown verb",IF(Log[[#This Row],[Date]]="","no date",""))))</f>
      </c>
      <c r="G430" s="17">
        <f>IF(Log[[#This Row],[ID]]="","",IFERROR(VLOOKUP(Log[[#This Row],[Verb]],Verbs,3,FALSE)&amp;"",""))</f>
      </c>
      <c r="H430" s="17">
        <f>IF(Log[[#This Row],[Date]]="","",INT((Log[[#This Row],[Date]]-Sprint1)/SprintDays)+1)</f>
      </c>
      <c r="I430" s="17">
        <f>IF(OR(Log[[#This Row],[Verb]]="commit",Log[[#This Row],[Verb]]="carry",Log[[#This Row],[Verb]]="redo"),IF(Log[[#This Row],[Arg]]="",Log[[#This Row],[Sprint]],N(Log[[#This Row],[Arg]])),"")</f>
      </c>
      <c r="J430" s="17">
        <f>IF(Log[[#This Row],[Verb]]="block",1,IF(OR(Log[[#This Row],[Verb]]="unblock",Log[[#This Row],[Verb]]="done",Log[[#This Row],[Verb]]="drop",Log[[#This Row],[Verb]]="punt",Log[[#This Row],[Verb]]="pass"),0,""))</f>
      </c>
      <c r="K430" s="17">
        <f>IF(Log[[#This Row],[ID]]="",0,IFERROR(INDEX(Items[Pts],MATCH(Log[[#This Row],[ID]],Items[ID],0))*1,0))</f>
      </c>
      <c r="L430" s="17">
        <f>IF(Log[[#This Row],[ID]]="","",IFERROR(INDEX(Items[Cur team],MATCH(Log[[#This Row],[ID]],Items[ID],0))&amp;"",""))</f>
      </c>
      <c r="M430" s="17">
        <f>IF(OR(Log[[#This Row],[Verb]]="done",Log[[#This Row],[Verb]]="punt",Log[[#This Row],[Verb]]="drop",Log[[#This Row],[Verb]]="pass"),Log[[#This Row],[Pts]],0)</f>
      </c>
    </row>
    <row r="431">
      <c r="A431" s="11">
        <v>46118</v>
      </c>
      <c r="B431" t="s">
        <v>330</v>
      </c>
      <c r="C431" t="s">
        <v>41</v>
      </c>
      <c r="F431" s="17">
        <f>IF(Log[[#This Row],[ID]]="","",IF(ISNA(MATCH(Log[[#This Row],[ID]],Items[ID],0)),"unknown ID",IF(ISNA(MATCH(Log[[#This Row],[Verb]],VerbList,0)),"unknown verb",IF(Log[[#This Row],[Date]]="","no date",""))))</f>
      </c>
      <c r="G431" s="17">
        <f>IF(Log[[#This Row],[ID]]="","",IFERROR(VLOOKUP(Log[[#This Row],[Verb]],Verbs,3,FALSE)&amp;"",""))</f>
      </c>
      <c r="H431" s="17">
        <f>IF(Log[[#This Row],[Date]]="","",INT((Log[[#This Row],[Date]]-Sprint1)/SprintDays)+1)</f>
      </c>
      <c r="I431" s="17">
        <f>IF(OR(Log[[#This Row],[Verb]]="commit",Log[[#This Row],[Verb]]="carry",Log[[#This Row],[Verb]]="redo"),IF(Log[[#This Row],[Arg]]="",Log[[#This Row],[Sprint]],N(Log[[#This Row],[Arg]])),"")</f>
      </c>
      <c r="J431" s="17">
        <f>IF(Log[[#This Row],[Verb]]="block",1,IF(OR(Log[[#This Row],[Verb]]="unblock",Log[[#This Row],[Verb]]="done",Log[[#This Row],[Verb]]="drop",Log[[#This Row],[Verb]]="punt",Log[[#This Row],[Verb]]="pass"),0,""))</f>
      </c>
      <c r="K431" s="17">
        <f>IF(Log[[#This Row],[ID]]="",0,IFERROR(INDEX(Items[Pts],MATCH(Log[[#This Row],[ID]],Items[ID],0))*1,0))</f>
      </c>
      <c r="L431" s="17">
        <f>IF(Log[[#This Row],[ID]]="","",IFERROR(INDEX(Items[Cur team],MATCH(Log[[#This Row],[ID]],Items[ID],0))&amp;"",""))</f>
      </c>
      <c r="M431" s="17">
        <f>IF(OR(Log[[#This Row],[Verb]]="done",Log[[#This Row],[Verb]]="punt",Log[[#This Row],[Verb]]="drop",Log[[#This Row],[Verb]]="pass"),Log[[#This Row],[Pts]],0)</f>
      </c>
    </row>
    <row r="432">
      <c r="A432" s="11">
        <v>46118</v>
      </c>
      <c r="B432" t="s">
        <v>331</v>
      </c>
      <c r="C432" t="s">
        <v>41</v>
      </c>
      <c r="F432" s="17">
        <f>IF(Log[[#This Row],[ID]]="","",IF(ISNA(MATCH(Log[[#This Row],[ID]],Items[ID],0)),"unknown ID",IF(ISNA(MATCH(Log[[#This Row],[Verb]],VerbList,0)),"unknown verb",IF(Log[[#This Row],[Date]]="","no date",""))))</f>
      </c>
      <c r="G432" s="17">
        <f>IF(Log[[#This Row],[ID]]="","",IFERROR(VLOOKUP(Log[[#This Row],[Verb]],Verbs,3,FALSE)&amp;"",""))</f>
      </c>
      <c r="H432" s="17">
        <f>IF(Log[[#This Row],[Date]]="","",INT((Log[[#This Row],[Date]]-Sprint1)/SprintDays)+1)</f>
      </c>
      <c r="I432" s="17">
        <f>IF(OR(Log[[#This Row],[Verb]]="commit",Log[[#This Row],[Verb]]="carry",Log[[#This Row],[Verb]]="redo"),IF(Log[[#This Row],[Arg]]="",Log[[#This Row],[Sprint]],N(Log[[#This Row],[Arg]])),"")</f>
      </c>
      <c r="J432" s="17">
        <f>IF(Log[[#This Row],[Verb]]="block",1,IF(OR(Log[[#This Row],[Verb]]="unblock",Log[[#This Row],[Verb]]="done",Log[[#This Row],[Verb]]="drop",Log[[#This Row],[Verb]]="punt",Log[[#This Row],[Verb]]="pass"),0,""))</f>
      </c>
      <c r="K432" s="17">
        <f>IF(Log[[#This Row],[ID]]="",0,IFERROR(INDEX(Items[Pts],MATCH(Log[[#This Row],[ID]],Items[ID],0))*1,0))</f>
      </c>
      <c r="L432" s="17">
        <f>IF(Log[[#This Row],[ID]]="","",IFERROR(INDEX(Items[Cur team],MATCH(Log[[#This Row],[ID]],Items[ID],0))&amp;"",""))</f>
      </c>
      <c r="M432" s="17">
        <f>IF(OR(Log[[#This Row],[Verb]]="done",Log[[#This Row],[Verb]]="punt",Log[[#This Row],[Verb]]="drop",Log[[#This Row],[Verb]]="pass"),Log[[#This Row],[Pts]],0)</f>
      </c>
    </row>
    <row r="433">
      <c r="A433" s="11">
        <v>46118</v>
      </c>
      <c r="B433" t="s">
        <v>332</v>
      </c>
      <c r="C433" t="s">
        <v>41</v>
      </c>
      <c r="F433" s="17">
        <f>IF(Log[[#This Row],[ID]]="","",IF(ISNA(MATCH(Log[[#This Row],[ID]],Items[ID],0)),"unknown ID",IF(ISNA(MATCH(Log[[#This Row],[Verb]],VerbList,0)),"unknown verb",IF(Log[[#This Row],[Date]]="","no date",""))))</f>
      </c>
      <c r="G433" s="17">
        <f>IF(Log[[#This Row],[ID]]="","",IFERROR(VLOOKUP(Log[[#This Row],[Verb]],Verbs,3,FALSE)&amp;"",""))</f>
      </c>
      <c r="H433" s="17">
        <f>IF(Log[[#This Row],[Date]]="","",INT((Log[[#This Row],[Date]]-Sprint1)/SprintDays)+1)</f>
      </c>
      <c r="I433" s="17">
        <f>IF(OR(Log[[#This Row],[Verb]]="commit",Log[[#This Row],[Verb]]="carry",Log[[#This Row],[Verb]]="redo"),IF(Log[[#This Row],[Arg]]="",Log[[#This Row],[Sprint]],N(Log[[#This Row],[Arg]])),"")</f>
      </c>
      <c r="J433" s="17">
        <f>IF(Log[[#This Row],[Verb]]="block",1,IF(OR(Log[[#This Row],[Verb]]="unblock",Log[[#This Row],[Verb]]="done",Log[[#This Row],[Verb]]="drop",Log[[#This Row],[Verb]]="punt",Log[[#This Row],[Verb]]="pass"),0,""))</f>
      </c>
      <c r="K433" s="17">
        <f>IF(Log[[#This Row],[ID]]="",0,IFERROR(INDEX(Items[Pts],MATCH(Log[[#This Row],[ID]],Items[ID],0))*1,0))</f>
      </c>
      <c r="L433" s="17">
        <f>IF(Log[[#This Row],[ID]]="","",IFERROR(INDEX(Items[Cur team],MATCH(Log[[#This Row],[ID]],Items[ID],0))&amp;"",""))</f>
      </c>
      <c r="M433" s="17">
        <f>IF(OR(Log[[#This Row],[Verb]]="done",Log[[#This Row],[Verb]]="punt",Log[[#This Row],[Verb]]="drop",Log[[#This Row],[Verb]]="pass"),Log[[#This Row],[Pts]],0)</f>
      </c>
    </row>
    <row r="434">
      <c r="A434" s="11">
        <v>46118</v>
      </c>
      <c r="B434" t="s">
        <v>333</v>
      </c>
      <c r="C434" t="s">
        <v>41</v>
      </c>
      <c r="F434" s="17">
        <f>IF(Log[[#This Row],[ID]]="","",IF(ISNA(MATCH(Log[[#This Row],[ID]],Items[ID],0)),"unknown ID",IF(ISNA(MATCH(Log[[#This Row],[Verb]],VerbList,0)),"unknown verb",IF(Log[[#This Row],[Date]]="","no date",""))))</f>
      </c>
      <c r="G434" s="17">
        <f>IF(Log[[#This Row],[ID]]="","",IFERROR(VLOOKUP(Log[[#This Row],[Verb]],Verbs,3,FALSE)&amp;"",""))</f>
      </c>
      <c r="H434" s="17">
        <f>IF(Log[[#This Row],[Date]]="","",INT((Log[[#This Row],[Date]]-Sprint1)/SprintDays)+1)</f>
      </c>
      <c r="I434" s="17">
        <f>IF(OR(Log[[#This Row],[Verb]]="commit",Log[[#This Row],[Verb]]="carry",Log[[#This Row],[Verb]]="redo"),IF(Log[[#This Row],[Arg]]="",Log[[#This Row],[Sprint]],N(Log[[#This Row],[Arg]])),"")</f>
      </c>
      <c r="J434" s="17">
        <f>IF(Log[[#This Row],[Verb]]="block",1,IF(OR(Log[[#This Row],[Verb]]="unblock",Log[[#This Row],[Verb]]="done",Log[[#This Row],[Verb]]="drop",Log[[#This Row],[Verb]]="punt",Log[[#This Row],[Verb]]="pass"),0,""))</f>
      </c>
      <c r="K434" s="17">
        <f>IF(Log[[#This Row],[ID]]="",0,IFERROR(INDEX(Items[Pts],MATCH(Log[[#This Row],[ID]],Items[ID],0))*1,0))</f>
      </c>
      <c r="L434" s="17">
        <f>IF(Log[[#This Row],[ID]]="","",IFERROR(INDEX(Items[Cur team],MATCH(Log[[#This Row],[ID]],Items[ID],0))&amp;"",""))</f>
      </c>
      <c r="M434" s="17">
        <f>IF(OR(Log[[#This Row],[Verb]]="done",Log[[#This Row],[Verb]]="punt",Log[[#This Row],[Verb]]="drop",Log[[#This Row],[Verb]]="pass"),Log[[#This Row],[Pts]],0)</f>
      </c>
    </row>
    <row r="435">
      <c r="A435" s="11">
        <v>46118</v>
      </c>
      <c r="B435" t="s">
        <v>334</v>
      </c>
      <c r="C435" t="s">
        <v>41</v>
      </c>
      <c r="F435" s="17">
        <f>IF(Log[[#This Row],[ID]]="","",IF(ISNA(MATCH(Log[[#This Row],[ID]],Items[ID],0)),"unknown ID",IF(ISNA(MATCH(Log[[#This Row],[Verb]],VerbList,0)),"unknown verb",IF(Log[[#This Row],[Date]]="","no date",""))))</f>
      </c>
      <c r="G435" s="17">
        <f>IF(Log[[#This Row],[ID]]="","",IFERROR(VLOOKUP(Log[[#This Row],[Verb]],Verbs,3,FALSE)&amp;"",""))</f>
      </c>
      <c r="H435" s="17">
        <f>IF(Log[[#This Row],[Date]]="","",INT((Log[[#This Row],[Date]]-Sprint1)/SprintDays)+1)</f>
      </c>
      <c r="I435" s="17">
        <f>IF(OR(Log[[#This Row],[Verb]]="commit",Log[[#This Row],[Verb]]="carry",Log[[#This Row],[Verb]]="redo"),IF(Log[[#This Row],[Arg]]="",Log[[#This Row],[Sprint]],N(Log[[#This Row],[Arg]])),"")</f>
      </c>
      <c r="J435" s="17">
        <f>IF(Log[[#This Row],[Verb]]="block",1,IF(OR(Log[[#This Row],[Verb]]="unblock",Log[[#This Row],[Verb]]="done",Log[[#This Row],[Verb]]="drop",Log[[#This Row],[Verb]]="punt",Log[[#This Row],[Verb]]="pass"),0,""))</f>
      </c>
      <c r="K435" s="17">
        <f>IF(Log[[#This Row],[ID]]="",0,IFERROR(INDEX(Items[Pts],MATCH(Log[[#This Row],[ID]],Items[ID],0))*1,0))</f>
      </c>
      <c r="L435" s="17">
        <f>IF(Log[[#This Row],[ID]]="","",IFERROR(INDEX(Items[Cur team],MATCH(Log[[#This Row],[ID]],Items[ID],0))&amp;"",""))</f>
      </c>
      <c r="M435" s="17">
        <f>IF(OR(Log[[#This Row],[Verb]]="done",Log[[#This Row],[Verb]]="punt",Log[[#This Row],[Verb]]="drop",Log[[#This Row],[Verb]]="pass"),Log[[#This Row],[Pts]],0)</f>
      </c>
    </row>
    <row r="436">
      <c r="A436" s="11">
        <v>46118</v>
      </c>
      <c r="B436" t="s">
        <v>335</v>
      </c>
      <c r="C436" t="s">
        <v>41</v>
      </c>
      <c r="F436" s="17">
        <f>IF(Log[[#This Row],[ID]]="","",IF(ISNA(MATCH(Log[[#This Row],[ID]],Items[ID],0)),"unknown ID",IF(ISNA(MATCH(Log[[#This Row],[Verb]],VerbList,0)),"unknown verb",IF(Log[[#This Row],[Date]]="","no date",""))))</f>
      </c>
      <c r="G436" s="17">
        <f>IF(Log[[#This Row],[ID]]="","",IFERROR(VLOOKUP(Log[[#This Row],[Verb]],Verbs,3,FALSE)&amp;"",""))</f>
      </c>
      <c r="H436" s="17">
        <f>IF(Log[[#This Row],[Date]]="","",INT((Log[[#This Row],[Date]]-Sprint1)/SprintDays)+1)</f>
      </c>
      <c r="I436" s="17">
        <f>IF(OR(Log[[#This Row],[Verb]]="commit",Log[[#This Row],[Verb]]="carry",Log[[#This Row],[Verb]]="redo"),IF(Log[[#This Row],[Arg]]="",Log[[#This Row],[Sprint]],N(Log[[#This Row],[Arg]])),"")</f>
      </c>
      <c r="J436" s="17">
        <f>IF(Log[[#This Row],[Verb]]="block",1,IF(OR(Log[[#This Row],[Verb]]="unblock",Log[[#This Row],[Verb]]="done",Log[[#This Row],[Verb]]="drop",Log[[#This Row],[Verb]]="punt",Log[[#This Row],[Verb]]="pass"),0,""))</f>
      </c>
      <c r="K436" s="17">
        <f>IF(Log[[#This Row],[ID]]="",0,IFERROR(INDEX(Items[Pts],MATCH(Log[[#This Row],[ID]],Items[ID],0))*1,0))</f>
      </c>
      <c r="L436" s="17">
        <f>IF(Log[[#This Row],[ID]]="","",IFERROR(INDEX(Items[Cur team],MATCH(Log[[#This Row],[ID]],Items[ID],0))&amp;"",""))</f>
      </c>
      <c r="M436" s="17">
        <f>IF(OR(Log[[#This Row],[Verb]]="done",Log[[#This Row],[Verb]]="punt",Log[[#This Row],[Verb]]="drop",Log[[#This Row],[Verb]]="pass"),Log[[#This Row],[Pts]],0)</f>
      </c>
    </row>
    <row r="437">
      <c r="A437" s="11">
        <v>46118</v>
      </c>
      <c r="B437" t="s">
        <v>336</v>
      </c>
      <c r="C437" t="s">
        <v>41</v>
      </c>
      <c r="F437" s="17">
        <f>IF(Log[[#This Row],[ID]]="","",IF(ISNA(MATCH(Log[[#This Row],[ID]],Items[ID],0)),"unknown ID",IF(ISNA(MATCH(Log[[#This Row],[Verb]],VerbList,0)),"unknown verb",IF(Log[[#This Row],[Date]]="","no date",""))))</f>
      </c>
      <c r="G437" s="17">
        <f>IF(Log[[#This Row],[ID]]="","",IFERROR(VLOOKUP(Log[[#This Row],[Verb]],Verbs,3,FALSE)&amp;"",""))</f>
      </c>
      <c r="H437" s="17">
        <f>IF(Log[[#This Row],[Date]]="","",INT((Log[[#This Row],[Date]]-Sprint1)/SprintDays)+1)</f>
      </c>
      <c r="I437" s="17">
        <f>IF(OR(Log[[#This Row],[Verb]]="commit",Log[[#This Row],[Verb]]="carry",Log[[#This Row],[Verb]]="redo"),IF(Log[[#This Row],[Arg]]="",Log[[#This Row],[Sprint]],N(Log[[#This Row],[Arg]])),"")</f>
      </c>
      <c r="J437" s="17">
        <f>IF(Log[[#This Row],[Verb]]="block",1,IF(OR(Log[[#This Row],[Verb]]="unblock",Log[[#This Row],[Verb]]="done",Log[[#This Row],[Verb]]="drop",Log[[#This Row],[Verb]]="punt",Log[[#This Row],[Verb]]="pass"),0,""))</f>
      </c>
      <c r="K437" s="17">
        <f>IF(Log[[#This Row],[ID]]="",0,IFERROR(INDEX(Items[Pts],MATCH(Log[[#This Row],[ID]],Items[ID],0))*1,0))</f>
      </c>
      <c r="L437" s="17">
        <f>IF(Log[[#This Row],[ID]]="","",IFERROR(INDEX(Items[Cur team],MATCH(Log[[#This Row],[ID]],Items[ID],0))&amp;"",""))</f>
      </c>
      <c r="M437" s="17">
        <f>IF(OR(Log[[#This Row],[Verb]]="done",Log[[#This Row],[Verb]]="punt",Log[[#This Row],[Verb]]="drop",Log[[#This Row],[Verb]]="pass"),Log[[#This Row],[Pts]],0)</f>
      </c>
    </row>
    <row r="438">
      <c r="A438" s="11">
        <v>46118</v>
      </c>
      <c r="B438" t="s">
        <v>337</v>
      </c>
      <c r="C438" t="s">
        <v>38</v>
      </c>
      <c r="D438">
        <v>41</v>
      </c>
      <c r="F438" s="17">
        <f>IF(Log[[#This Row],[ID]]="","",IF(ISNA(MATCH(Log[[#This Row],[ID]],Items[ID],0)),"unknown ID",IF(ISNA(MATCH(Log[[#This Row],[Verb]],VerbList,0)),"unknown verb",IF(Log[[#This Row],[Date]]="","no date",""))))</f>
      </c>
      <c r="G438" s="17">
        <f>IF(Log[[#This Row],[ID]]="","",IFERROR(VLOOKUP(Log[[#This Row],[Verb]],Verbs,3,FALSE)&amp;"",""))</f>
      </c>
      <c r="H438" s="17">
        <f>IF(Log[[#This Row],[Date]]="","",INT((Log[[#This Row],[Date]]-Sprint1)/SprintDays)+1)</f>
      </c>
      <c r="I438" s="17">
        <f>IF(OR(Log[[#This Row],[Verb]]="commit",Log[[#This Row],[Verb]]="carry",Log[[#This Row],[Verb]]="redo"),IF(Log[[#This Row],[Arg]]="",Log[[#This Row],[Sprint]],N(Log[[#This Row],[Arg]])),"")</f>
      </c>
      <c r="J438" s="17">
        <f>IF(Log[[#This Row],[Verb]]="block",1,IF(OR(Log[[#This Row],[Verb]]="unblock",Log[[#This Row],[Verb]]="done",Log[[#This Row],[Verb]]="drop",Log[[#This Row],[Verb]]="punt",Log[[#This Row],[Verb]]="pass"),0,""))</f>
      </c>
      <c r="K438" s="17">
        <f>IF(Log[[#This Row],[ID]]="",0,IFERROR(INDEX(Items[Pts],MATCH(Log[[#This Row],[ID]],Items[ID],0))*1,0))</f>
      </c>
      <c r="L438" s="17">
        <f>IF(Log[[#This Row],[ID]]="","",IFERROR(INDEX(Items[Cur team],MATCH(Log[[#This Row],[ID]],Items[ID],0))&amp;"",""))</f>
      </c>
      <c r="M438" s="17">
        <f>IF(OR(Log[[#This Row],[Verb]]="done",Log[[#This Row],[Verb]]="punt",Log[[#This Row],[Verb]]="drop",Log[[#This Row],[Verb]]="pass"),Log[[#This Row],[Pts]],0)</f>
      </c>
    </row>
    <row r="439">
      <c r="A439" s="11">
        <v>46118</v>
      </c>
      <c r="B439" t="s">
        <v>272</v>
      </c>
      <c r="C439" t="s">
        <v>41</v>
      </c>
      <c r="F439" s="17">
        <f>IF(Log[[#This Row],[ID]]="","",IF(ISNA(MATCH(Log[[#This Row],[ID]],Items[ID],0)),"unknown ID",IF(ISNA(MATCH(Log[[#This Row],[Verb]],VerbList,0)),"unknown verb",IF(Log[[#This Row],[Date]]="","no date",""))))</f>
      </c>
      <c r="G439" s="17">
        <f>IF(Log[[#This Row],[ID]]="","",IFERROR(VLOOKUP(Log[[#This Row],[Verb]],Verbs,3,FALSE)&amp;"",""))</f>
      </c>
      <c r="H439" s="17">
        <f>IF(Log[[#This Row],[Date]]="","",INT((Log[[#This Row],[Date]]-Sprint1)/SprintDays)+1)</f>
      </c>
      <c r="I439" s="17">
        <f>IF(OR(Log[[#This Row],[Verb]]="commit",Log[[#This Row],[Verb]]="carry",Log[[#This Row],[Verb]]="redo"),IF(Log[[#This Row],[Arg]]="",Log[[#This Row],[Sprint]],N(Log[[#This Row],[Arg]])),"")</f>
      </c>
      <c r="J439" s="17">
        <f>IF(Log[[#This Row],[Verb]]="block",1,IF(OR(Log[[#This Row],[Verb]]="unblock",Log[[#This Row],[Verb]]="done",Log[[#This Row],[Verb]]="drop",Log[[#This Row],[Verb]]="punt",Log[[#This Row],[Verb]]="pass"),0,""))</f>
      </c>
      <c r="K439" s="17">
        <f>IF(Log[[#This Row],[ID]]="",0,IFERROR(INDEX(Items[Pts],MATCH(Log[[#This Row],[ID]],Items[ID],0))*1,0))</f>
      </c>
      <c r="L439" s="17">
        <f>IF(Log[[#This Row],[ID]]="","",IFERROR(INDEX(Items[Cur team],MATCH(Log[[#This Row],[ID]],Items[ID],0))&amp;"",""))</f>
      </c>
      <c r="M439" s="17">
        <f>IF(OR(Log[[#This Row],[Verb]]="done",Log[[#This Row],[Verb]]="punt",Log[[#This Row],[Verb]]="drop",Log[[#This Row],[Verb]]="pass"),Log[[#This Row],[Pts]],0)</f>
      </c>
    </row>
    <row r="440">
      <c r="A440" s="11">
        <v>46118</v>
      </c>
      <c r="B440" t="s">
        <v>274</v>
      </c>
      <c r="C440" t="s">
        <v>41</v>
      </c>
      <c r="F440" s="17">
        <f>IF(Log[[#This Row],[ID]]="","",IF(ISNA(MATCH(Log[[#This Row],[ID]],Items[ID],0)),"unknown ID",IF(ISNA(MATCH(Log[[#This Row],[Verb]],VerbList,0)),"unknown verb",IF(Log[[#This Row],[Date]]="","no date",""))))</f>
      </c>
      <c r="G440" s="17">
        <f>IF(Log[[#This Row],[ID]]="","",IFERROR(VLOOKUP(Log[[#This Row],[Verb]],Verbs,3,FALSE)&amp;"",""))</f>
      </c>
      <c r="H440" s="17">
        <f>IF(Log[[#This Row],[Date]]="","",INT((Log[[#This Row],[Date]]-Sprint1)/SprintDays)+1)</f>
      </c>
      <c r="I440" s="17">
        <f>IF(OR(Log[[#This Row],[Verb]]="commit",Log[[#This Row],[Verb]]="carry",Log[[#This Row],[Verb]]="redo"),IF(Log[[#This Row],[Arg]]="",Log[[#This Row],[Sprint]],N(Log[[#This Row],[Arg]])),"")</f>
      </c>
      <c r="J440" s="17">
        <f>IF(Log[[#This Row],[Verb]]="block",1,IF(OR(Log[[#This Row],[Verb]]="unblock",Log[[#This Row],[Verb]]="done",Log[[#This Row],[Verb]]="drop",Log[[#This Row],[Verb]]="punt",Log[[#This Row],[Verb]]="pass"),0,""))</f>
      </c>
      <c r="K440" s="17">
        <f>IF(Log[[#This Row],[ID]]="",0,IFERROR(INDEX(Items[Pts],MATCH(Log[[#This Row],[ID]],Items[ID],0))*1,0))</f>
      </c>
      <c r="L440" s="17">
        <f>IF(Log[[#This Row],[ID]]="","",IFERROR(INDEX(Items[Cur team],MATCH(Log[[#This Row],[ID]],Items[ID],0))&amp;"",""))</f>
      </c>
      <c r="M440" s="17">
        <f>IF(OR(Log[[#This Row],[Verb]]="done",Log[[#This Row],[Verb]]="punt",Log[[#This Row],[Verb]]="drop",Log[[#This Row],[Verb]]="pass"),Log[[#This Row],[Pts]],0)</f>
      </c>
    </row>
    <row r="441">
      <c r="A441" s="11">
        <v>46118</v>
      </c>
      <c r="B441" t="s">
        <v>338</v>
      </c>
      <c r="C441" t="s">
        <v>41</v>
      </c>
      <c r="F441" s="17">
        <f>IF(Log[[#This Row],[ID]]="","",IF(ISNA(MATCH(Log[[#This Row],[ID]],Items[ID],0)),"unknown ID",IF(ISNA(MATCH(Log[[#This Row],[Verb]],VerbList,0)),"unknown verb",IF(Log[[#This Row],[Date]]="","no date",""))))</f>
      </c>
      <c r="G441" s="17">
        <f>IF(Log[[#This Row],[ID]]="","",IFERROR(VLOOKUP(Log[[#This Row],[Verb]],Verbs,3,FALSE)&amp;"",""))</f>
      </c>
      <c r="H441" s="17">
        <f>IF(Log[[#This Row],[Date]]="","",INT((Log[[#This Row],[Date]]-Sprint1)/SprintDays)+1)</f>
      </c>
      <c r="I441" s="17">
        <f>IF(OR(Log[[#This Row],[Verb]]="commit",Log[[#This Row],[Verb]]="carry",Log[[#This Row],[Verb]]="redo"),IF(Log[[#This Row],[Arg]]="",Log[[#This Row],[Sprint]],N(Log[[#This Row],[Arg]])),"")</f>
      </c>
      <c r="J441" s="17">
        <f>IF(Log[[#This Row],[Verb]]="block",1,IF(OR(Log[[#This Row],[Verb]]="unblock",Log[[#This Row],[Verb]]="done",Log[[#This Row],[Verb]]="drop",Log[[#This Row],[Verb]]="punt",Log[[#This Row],[Verb]]="pass"),0,""))</f>
      </c>
      <c r="K441" s="17">
        <f>IF(Log[[#This Row],[ID]]="",0,IFERROR(INDEX(Items[Pts],MATCH(Log[[#This Row],[ID]],Items[ID],0))*1,0))</f>
      </c>
      <c r="L441" s="17">
        <f>IF(Log[[#This Row],[ID]]="","",IFERROR(INDEX(Items[Cur team],MATCH(Log[[#This Row],[ID]],Items[ID],0))&amp;"",""))</f>
      </c>
      <c r="M441" s="17">
        <f>IF(OR(Log[[#This Row],[Verb]]="done",Log[[#This Row],[Verb]]="punt",Log[[#This Row],[Verb]]="drop",Log[[#This Row],[Verb]]="pass"),Log[[#This Row],[Pts]],0)</f>
      </c>
    </row>
    <row r="442">
      <c r="A442" s="11">
        <v>46118</v>
      </c>
      <c r="B442" t="s">
        <v>339</v>
      </c>
      <c r="C442" t="s">
        <v>38</v>
      </c>
      <c r="D442">
        <v>41</v>
      </c>
      <c r="F442" s="17">
        <f>IF(Log[[#This Row],[ID]]="","",IF(ISNA(MATCH(Log[[#This Row],[ID]],Items[ID],0)),"unknown ID",IF(ISNA(MATCH(Log[[#This Row],[Verb]],VerbList,0)),"unknown verb",IF(Log[[#This Row],[Date]]="","no date",""))))</f>
      </c>
      <c r="G442" s="17">
        <f>IF(Log[[#This Row],[ID]]="","",IFERROR(VLOOKUP(Log[[#This Row],[Verb]],Verbs,3,FALSE)&amp;"",""))</f>
      </c>
      <c r="H442" s="17">
        <f>IF(Log[[#This Row],[Date]]="","",INT((Log[[#This Row],[Date]]-Sprint1)/SprintDays)+1)</f>
      </c>
      <c r="I442" s="17">
        <f>IF(OR(Log[[#This Row],[Verb]]="commit",Log[[#This Row],[Verb]]="carry",Log[[#This Row],[Verb]]="redo"),IF(Log[[#This Row],[Arg]]="",Log[[#This Row],[Sprint]],N(Log[[#This Row],[Arg]])),"")</f>
      </c>
      <c r="J442" s="17">
        <f>IF(Log[[#This Row],[Verb]]="block",1,IF(OR(Log[[#This Row],[Verb]]="unblock",Log[[#This Row],[Verb]]="done",Log[[#This Row],[Verb]]="drop",Log[[#This Row],[Verb]]="punt",Log[[#This Row],[Verb]]="pass"),0,""))</f>
      </c>
      <c r="K442" s="17">
        <f>IF(Log[[#This Row],[ID]]="",0,IFERROR(INDEX(Items[Pts],MATCH(Log[[#This Row],[ID]],Items[ID],0))*1,0))</f>
      </c>
      <c r="L442" s="17">
        <f>IF(Log[[#This Row],[ID]]="","",IFERROR(INDEX(Items[Cur team],MATCH(Log[[#This Row],[ID]],Items[ID],0))&amp;"",""))</f>
      </c>
      <c r="M442" s="17">
        <f>IF(OR(Log[[#This Row],[Verb]]="done",Log[[#This Row],[Verb]]="punt",Log[[#This Row],[Verb]]="drop",Log[[#This Row],[Verb]]="pass"),Log[[#This Row],[Pts]],0)</f>
      </c>
    </row>
    <row r="443">
      <c r="A443" s="11">
        <v>46118</v>
      </c>
      <c r="B443" t="s">
        <v>340</v>
      </c>
      <c r="C443" t="s">
        <v>41</v>
      </c>
      <c r="F443" s="17">
        <f>IF(Log[[#This Row],[ID]]="","",IF(ISNA(MATCH(Log[[#This Row],[ID]],Items[ID],0)),"unknown ID",IF(ISNA(MATCH(Log[[#This Row],[Verb]],VerbList,0)),"unknown verb",IF(Log[[#This Row],[Date]]="","no date",""))))</f>
      </c>
      <c r="G443" s="17">
        <f>IF(Log[[#This Row],[ID]]="","",IFERROR(VLOOKUP(Log[[#This Row],[Verb]],Verbs,3,FALSE)&amp;"",""))</f>
      </c>
      <c r="H443" s="17">
        <f>IF(Log[[#This Row],[Date]]="","",INT((Log[[#This Row],[Date]]-Sprint1)/SprintDays)+1)</f>
      </c>
      <c r="I443" s="17">
        <f>IF(OR(Log[[#This Row],[Verb]]="commit",Log[[#This Row],[Verb]]="carry",Log[[#This Row],[Verb]]="redo"),IF(Log[[#This Row],[Arg]]="",Log[[#This Row],[Sprint]],N(Log[[#This Row],[Arg]])),"")</f>
      </c>
      <c r="J443" s="17">
        <f>IF(Log[[#This Row],[Verb]]="block",1,IF(OR(Log[[#This Row],[Verb]]="unblock",Log[[#This Row],[Verb]]="done",Log[[#This Row],[Verb]]="drop",Log[[#This Row],[Verb]]="punt",Log[[#This Row],[Verb]]="pass"),0,""))</f>
      </c>
      <c r="K443" s="17">
        <f>IF(Log[[#This Row],[ID]]="",0,IFERROR(INDEX(Items[Pts],MATCH(Log[[#This Row],[ID]],Items[ID],0))*1,0))</f>
      </c>
      <c r="L443" s="17">
        <f>IF(Log[[#This Row],[ID]]="","",IFERROR(INDEX(Items[Cur team],MATCH(Log[[#This Row],[ID]],Items[ID],0))&amp;"",""))</f>
      </c>
      <c r="M443" s="17">
        <f>IF(OR(Log[[#This Row],[Verb]]="done",Log[[#This Row],[Verb]]="punt",Log[[#This Row],[Verb]]="drop",Log[[#This Row],[Verb]]="pass"),Log[[#This Row],[Pts]],0)</f>
      </c>
    </row>
    <row r="444">
      <c r="A444" s="11">
        <v>46118</v>
      </c>
      <c r="B444" t="s">
        <v>341</v>
      </c>
      <c r="C444" t="s">
        <v>41</v>
      </c>
      <c r="F444" s="17">
        <f>IF(Log[[#This Row],[ID]]="","",IF(ISNA(MATCH(Log[[#This Row],[ID]],Items[ID],0)),"unknown ID",IF(ISNA(MATCH(Log[[#This Row],[Verb]],VerbList,0)),"unknown verb",IF(Log[[#This Row],[Date]]="","no date",""))))</f>
      </c>
      <c r="G444" s="17">
        <f>IF(Log[[#This Row],[ID]]="","",IFERROR(VLOOKUP(Log[[#This Row],[Verb]],Verbs,3,FALSE)&amp;"",""))</f>
      </c>
      <c r="H444" s="17">
        <f>IF(Log[[#This Row],[Date]]="","",INT((Log[[#This Row],[Date]]-Sprint1)/SprintDays)+1)</f>
      </c>
      <c r="I444" s="17">
        <f>IF(OR(Log[[#This Row],[Verb]]="commit",Log[[#This Row],[Verb]]="carry",Log[[#This Row],[Verb]]="redo"),IF(Log[[#This Row],[Arg]]="",Log[[#This Row],[Sprint]],N(Log[[#This Row],[Arg]])),"")</f>
      </c>
      <c r="J444" s="17">
        <f>IF(Log[[#This Row],[Verb]]="block",1,IF(OR(Log[[#This Row],[Verb]]="unblock",Log[[#This Row],[Verb]]="done",Log[[#This Row],[Verb]]="drop",Log[[#This Row],[Verb]]="punt",Log[[#This Row],[Verb]]="pass"),0,""))</f>
      </c>
      <c r="K444" s="17">
        <f>IF(Log[[#This Row],[ID]]="",0,IFERROR(INDEX(Items[Pts],MATCH(Log[[#This Row],[ID]],Items[ID],0))*1,0))</f>
      </c>
      <c r="L444" s="17">
        <f>IF(Log[[#This Row],[ID]]="","",IFERROR(INDEX(Items[Cur team],MATCH(Log[[#This Row],[ID]],Items[ID],0))&amp;"",""))</f>
      </c>
      <c r="M444" s="17">
        <f>IF(OR(Log[[#This Row],[Verb]]="done",Log[[#This Row],[Verb]]="punt",Log[[#This Row],[Verb]]="drop",Log[[#This Row],[Verb]]="pass"),Log[[#This Row],[Pts]],0)</f>
      </c>
    </row>
    <row r="445">
      <c r="A445" s="11">
        <v>46118</v>
      </c>
      <c r="B445" t="s">
        <v>342</v>
      </c>
      <c r="C445" t="s">
        <v>41</v>
      </c>
      <c r="F445" s="17">
        <f>IF(Log[[#This Row],[ID]]="","",IF(ISNA(MATCH(Log[[#This Row],[ID]],Items[ID],0)),"unknown ID",IF(ISNA(MATCH(Log[[#This Row],[Verb]],VerbList,0)),"unknown verb",IF(Log[[#This Row],[Date]]="","no date",""))))</f>
      </c>
      <c r="G445" s="17">
        <f>IF(Log[[#This Row],[ID]]="","",IFERROR(VLOOKUP(Log[[#This Row],[Verb]],Verbs,3,FALSE)&amp;"",""))</f>
      </c>
      <c r="H445" s="17">
        <f>IF(Log[[#This Row],[Date]]="","",INT((Log[[#This Row],[Date]]-Sprint1)/SprintDays)+1)</f>
      </c>
      <c r="I445" s="17">
        <f>IF(OR(Log[[#This Row],[Verb]]="commit",Log[[#This Row],[Verb]]="carry",Log[[#This Row],[Verb]]="redo"),IF(Log[[#This Row],[Arg]]="",Log[[#This Row],[Sprint]],N(Log[[#This Row],[Arg]])),"")</f>
      </c>
      <c r="J445" s="17">
        <f>IF(Log[[#This Row],[Verb]]="block",1,IF(OR(Log[[#This Row],[Verb]]="unblock",Log[[#This Row],[Verb]]="done",Log[[#This Row],[Verb]]="drop",Log[[#This Row],[Verb]]="punt",Log[[#This Row],[Verb]]="pass"),0,""))</f>
      </c>
      <c r="K445" s="17">
        <f>IF(Log[[#This Row],[ID]]="",0,IFERROR(INDEX(Items[Pts],MATCH(Log[[#This Row],[ID]],Items[ID],0))*1,0))</f>
      </c>
      <c r="L445" s="17">
        <f>IF(Log[[#This Row],[ID]]="","",IFERROR(INDEX(Items[Cur team],MATCH(Log[[#This Row],[ID]],Items[ID],0))&amp;"",""))</f>
      </c>
      <c r="M445" s="17">
        <f>IF(OR(Log[[#This Row],[Verb]]="done",Log[[#This Row],[Verb]]="punt",Log[[#This Row],[Verb]]="drop",Log[[#This Row],[Verb]]="pass"),Log[[#This Row],[Pts]],0)</f>
      </c>
    </row>
    <row r="446">
      <c r="A446" s="11">
        <v>46118</v>
      </c>
      <c r="B446" t="s">
        <v>343</v>
      </c>
      <c r="C446" t="s">
        <v>41</v>
      </c>
      <c r="F446" s="17">
        <f>IF(Log[[#This Row],[ID]]="","",IF(ISNA(MATCH(Log[[#This Row],[ID]],Items[ID],0)),"unknown ID",IF(ISNA(MATCH(Log[[#This Row],[Verb]],VerbList,0)),"unknown verb",IF(Log[[#This Row],[Date]]="","no date",""))))</f>
      </c>
      <c r="G446" s="17">
        <f>IF(Log[[#This Row],[ID]]="","",IFERROR(VLOOKUP(Log[[#This Row],[Verb]],Verbs,3,FALSE)&amp;"",""))</f>
      </c>
      <c r="H446" s="17">
        <f>IF(Log[[#This Row],[Date]]="","",INT((Log[[#This Row],[Date]]-Sprint1)/SprintDays)+1)</f>
      </c>
      <c r="I446" s="17">
        <f>IF(OR(Log[[#This Row],[Verb]]="commit",Log[[#This Row],[Verb]]="carry",Log[[#This Row],[Verb]]="redo"),IF(Log[[#This Row],[Arg]]="",Log[[#This Row],[Sprint]],N(Log[[#This Row],[Arg]])),"")</f>
      </c>
      <c r="J446" s="17">
        <f>IF(Log[[#This Row],[Verb]]="block",1,IF(OR(Log[[#This Row],[Verb]]="unblock",Log[[#This Row],[Verb]]="done",Log[[#This Row],[Verb]]="drop",Log[[#This Row],[Verb]]="punt",Log[[#This Row],[Verb]]="pass"),0,""))</f>
      </c>
      <c r="K446" s="17">
        <f>IF(Log[[#This Row],[ID]]="",0,IFERROR(INDEX(Items[Pts],MATCH(Log[[#This Row],[ID]],Items[ID],0))*1,0))</f>
      </c>
      <c r="L446" s="17">
        <f>IF(Log[[#This Row],[ID]]="","",IFERROR(INDEX(Items[Cur team],MATCH(Log[[#This Row],[ID]],Items[ID],0))&amp;"",""))</f>
      </c>
      <c r="M446" s="17">
        <f>IF(OR(Log[[#This Row],[Verb]]="done",Log[[#This Row],[Verb]]="punt",Log[[#This Row],[Verb]]="drop",Log[[#This Row],[Verb]]="pass"),Log[[#This Row],[Pts]],0)</f>
      </c>
    </row>
    <row r="447">
      <c r="A447" s="11">
        <v>46118</v>
      </c>
      <c r="B447" t="s">
        <v>344</v>
      </c>
      <c r="C447" t="s">
        <v>38</v>
      </c>
      <c r="D447">
        <v>41</v>
      </c>
      <c r="F447" s="17">
        <f>IF(Log[[#This Row],[ID]]="","",IF(ISNA(MATCH(Log[[#This Row],[ID]],Items[ID],0)),"unknown ID",IF(ISNA(MATCH(Log[[#This Row],[Verb]],VerbList,0)),"unknown verb",IF(Log[[#This Row],[Date]]="","no date",""))))</f>
      </c>
      <c r="G447" s="17">
        <f>IF(Log[[#This Row],[ID]]="","",IFERROR(VLOOKUP(Log[[#This Row],[Verb]],Verbs,3,FALSE)&amp;"",""))</f>
      </c>
      <c r="H447" s="17">
        <f>IF(Log[[#This Row],[Date]]="","",INT((Log[[#This Row],[Date]]-Sprint1)/SprintDays)+1)</f>
      </c>
      <c r="I447" s="17">
        <f>IF(OR(Log[[#This Row],[Verb]]="commit",Log[[#This Row],[Verb]]="carry",Log[[#This Row],[Verb]]="redo"),IF(Log[[#This Row],[Arg]]="",Log[[#This Row],[Sprint]],N(Log[[#This Row],[Arg]])),"")</f>
      </c>
      <c r="J447" s="17">
        <f>IF(Log[[#This Row],[Verb]]="block",1,IF(OR(Log[[#This Row],[Verb]]="unblock",Log[[#This Row],[Verb]]="done",Log[[#This Row],[Verb]]="drop",Log[[#This Row],[Verb]]="punt",Log[[#This Row],[Verb]]="pass"),0,""))</f>
      </c>
      <c r="K447" s="17">
        <f>IF(Log[[#This Row],[ID]]="",0,IFERROR(INDEX(Items[Pts],MATCH(Log[[#This Row],[ID]],Items[ID],0))*1,0))</f>
      </c>
      <c r="L447" s="17">
        <f>IF(Log[[#This Row],[ID]]="","",IFERROR(INDEX(Items[Cur team],MATCH(Log[[#This Row],[ID]],Items[ID],0))&amp;"",""))</f>
      </c>
      <c r="M447" s="17">
        <f>IF(OR(Log[[#This Row],[Verb]]="done",Log[[#This Row],[Verb]]="punt",Log[[#This Row],[Verb]]="drop",Log[[#This Row],[Verb]]="pass"),Log[[#This Row],[Pts]],0)</f>
      </c>
    </row>
    <row r="448">
      <c r="A448" s="11">
        <v>46118</v>
      </c>
      <c r="B448" t="s">
        <v>345</v>
      </c>
      <c r="C448" t="s">
        <v>38</v>
      </c>
      <c r="D448">
        <v>41</v>
      </c>
      <c r="F448" s="17">
        <f>IF(Log[[#This Row],[ID]]="","",IF(ISNA(MATCH(Log[[#This Row],[ID]],Items[ID],0)),"unknown ID",IF(ISNA(MATCH(Log[[#This Row],[Verb]],VerbList,0)),"unknown verb",IF(Log[[#This Row],[Date]]="","no date",""))))</f>
      </c>
      <c r="G448" s="17">
        <f>IF(Log[[#This Row],[ID]]="","",IFERROR(VLOOKUP(Log[[#This Row],[Verb]],Verbs,3,FALSE)&amp;"",""))</f>
      </c>
      <c r="H448" s="17">
        <f>IF(Log[[#This Row],[Date]]="","",INT((Log[[#This Row],[Date]]-Sprint1)/SprintDays)+1)</f>
      </c>
      <c r="I448" s="17">
        <f>IF(OR(Log[[#This Row],[Verb]]="commit",Log[[#This Row],[Verb]]="carry",Log[[#This Row],[Verb]]="redo"),IF(Log[[#This Row],[Arg]]="",Log[[#This Row],[Sprint]],N(Log[[#This Row],[Arg]])),"")</f>
      </c>
      <c r="J448" s="17">
        <f>IF(Log[[#This Row],[Verb]]="block",1,IF(OR(Log[[#This Row],[Verb]]="unblock",Log[[#This Row],[Verb]]="done",Log[[#This Row],[Verb]]="drop",Log[[#This Row],[Verb]]="punt",Log[[#This Row],[Verb]]="pass"),0,""))</f>
      </c>
      <c r="K448" s="17">
        <f>IF(Log[[#This Row],[ID]]="",0,IFERROR(INDEX(Items[Pts],MATCH(Log[[#This Row],[ID]],Items[ID],0))*1,0))</f>
      </c>
      <c r="L448" s="17">
        <f>IF(Log[[#This Row],[ID]]="","",IFERROR(INDEX(Items[Cur team],MATCH(Log[[#This Row],[ID]],Items[ID],0))&amp;"",""))</f>
      </c>
      <c r="M448" s="17">
        <f>IF(OR(Log[[#This Row],[Verb]]="done",Log[[#This Row],[Verb]]="punt",Log[[#This Row],[Verb]]="drop",Log[[#This Row],[Verb]]="pass"),Log[[#This Row],[Pts]],0)</f>
      </c>
    </row>
    <row r="449">
      <c r="A449" s="11">
        <v>46118</v>
      </c>
      <c r="B449" t="s">
        <v>346</v>
      </c>
      <c r="C449" t="s">
        <v>41</v>
      </c>
      <c r="F449" s="17">
        <f>IF(Log[[#This Row],[ID]]="","",IF(ISNA(MATCH(Log[[#This Row],[ID]],Items[ID],0)),"unknown ID",IF(ISNA(MATCH(Log[[#This Row],[Verb]],VerbList,0)),"unknown verb",IF(Log[[#This Row],[Date]]="","no date",""))))</f>
      </c>
      <c r="G449" s="17">
        <f>IF(Log[[#This Row],[ID]]="","",IFERROR(VLOOKUP(Log[[#This Row],[Verb]],Verbs,3,FALSE)&amp;"",""))</f>
      </c>
      <c r="H449" s="17">
        <f>IF(Log[[#This Row],[Date]]="","",INT((Log[[#This Row],[Date]]-Sprint1)/SprintDays)+1)</f>
      </c>
      <c r="I449" s="17">
        <f>IF(OR(Log[[#This Row],[Verb]]="commit",Log[[#This Row],[Verb]]="carry",Log[[#This Row],[Verb]]="redo"),IF(Log[[#This Row],[Arg]]="",Log[[#This Row],[Sprint]],N(Log[[#This Row],[Arg]])),"")</f>
      </c>
      <c r="J449" s="17">
        <f>IF(Log[[#This Row],[Verb]]="block",1,IF(OR(Log[[#This Row],[Verb]]="unblock",Log[[#This Row],[Verb]]="done",Log[[#This Row],[Verb]]="drop",Log[[#This Row],[Verb]]="punt",Log[[#This Row],[Verb]]="pass"),0,""))</f>
      </c>
      <c r="K449" s="17">
        <f>IF(Log[[#This Row],[ID]]="",0,IFERROR(INDEX(Items[Pts],MATCH(Log[[#This Row],[ID]],Items[ID],0))*1,0))</f>
      </c>
      <c r="L449" s="17">
        <f>IF(Log[[#This Row],[ID]]="","",IFERROR(INDEX(Items[Cur team],MATCH(Log[[#This Row],[ID]],Items[ID],0))&amp;"",""))</f>
      </c>
      <c r="M449" s="17">
        <f>IF(OR(Log[[#This Row],[Verb]]="done",Log[[#This Row],[Verb]]="punt",Log[[#This Row],[Verb]]="drop",Log[[#This Row],[Verb]]="pass"),Log[[#This Row],[Pts]],0)</f>
      </c>
    </row>
    <row r="450">
      <c r="A450" s="11">
        <v>46118</v>
      </c>
      <c r="B450" t="s">
        <v>347</v>
      </c>
      <c r="C450" t="s">
        <v>38</v>
      </c>
      <c r="D450">
        <v>41</v>
      </c>
      <c r="F450" s="17">
        <f>IF(Log[[#This Row],[ID]]="","",IF(ISNA(MATCH(Log[[#This Row],[ID]],Items[ID],0)),"unknown ID",IF(ISNA(MATCH(Log[[#This Row],[Verb]],VerbList,0)),"unknown verb",IF(Log[[#This Row],[Date]]="","no date",""))))</f>
      </c>
      <c r="G450" s="17">
        <f>IF(Log[[#This Row],[ID]]="","",IFERROR(VLOOKUP(Log[[#This Row],[Verb]],Verbs,3,FALSE)&amp;"",""))</f>
      </c>
      <c r="H450" s="17">
        <f>IF(Log[[#This Row],[Date]]="","",INT((Log[[#This Row],[Date]]-Sprint1)/SprintDays)+1)</f>
      </c>
      <c r="I450" s="17">
        <f>IF(OR(Log[[#This Row],[Verb]]="commit",Log[[#This Row],[Verb]]="carry",Log[[#This Row],[Verb]]="redo"),IF(Log[[#This Row],[Arg]]="",Log[[#This Row],[Sprint]],N(Log[[#This Row],[Arg]])),"")</f>
      </c>
      <c r="J450" s="17">
        <f>IF(Log[[#This Row],[Verb]]="block",1,IF(OR(Log[[#This Row],[Verb]]="unblock",Log[[#This Row],[Verb]]="done",Log[[#This Row],[Verb]]="drop",Log[[#This Row],[Verb]]="punt",Log[[#This Row],[Verb]]="pass"),0,""))</f>
      </c>
      <c r="K450" s="17">
        <f>IF(Log[[#This Row],[ID]]="",0,IFERROR(INDEX(Items[Pts],MATCH(Log[[#This Row],[ID]],Items[ID],0))*1,0))</f>
      </c>
      <c r="L450" s="17">
        <f>IF(Log[[#This Row],[ID]]="","",IFERROR(INDEX(Items[Cur team],MATCH(Log[[#This Row],[ID]],Items[ID],0))&amp;"",""))</f>
      </c>
      <c r="M450" s="17">
        <f>IF(OR(Log[[#This Row],[Verb]]="done",Log[[#This Row],[Verb]]="punt",Log[[#This Row],[Verb]]="drop",Log[[#This Row],[Verb]]="pass"),Log[[#This Row],[Pts]],0)</f>
      </c>
    </row>
    <row r="451">
      <c r="A451" s="11">
        <v>46118</v>
      </c>
      <c r="B451" t="s">
        <v>348</v>
      </c>
      <c r="C451" t="s">
        <v>41</v>
      </c>
      <c r="F451" s="17">
        <f>IF(Log[[#This Row],[ID]]="","",IF(ISNA(MATCH(Log[[#This Row],[ID]],Items[ID],0)),"unknown ID",IF(ISNA(MATCH(Log[[#This Row],[Verb]],VerbList,0)),"unknown verb",IF(Log[[#This Row],[Date]]="","no date",""))))</f>
      </c>
      <c r="G451" s="17">
        <f>IF(Log[[#This Row],[ID]]="","",IFERROR(VLOOKUP(Log[[#This Row],[Verb]],Verbs,3,FALSE)&amp;"",""))</f>
      </c>
      <c r="H451" s="17">
        <f>IF(Log[[#This Row],[Date]]="","",INT((Log[[#This Row],[Date]]-Sprint1)/SprintDays)+1)</f>
      </c>
      <c r="I451" s="17">
        <f>IF(OR(Log[[#This Row],[Verb]]="commit",Log[[#This Row],[Verb]]="carry",Log[[#This Row],[Verb]]="redo"),IF(Log[[#This Row],[Arg]]="",Log[[#This Row],[Sprint]],N(Log[[#This Row],[Arg]])),"")</f>
      </c>
      <c r="J451" s="17">
        <f>IF(Log[[#This Row],[Verb]]="block",1,IF(OR(Log[[#This Row],[Verb]]="unblock",Log[[#This Row],[Verb]]="done",Log[[#This Row],[Verb]]="drop",Log[[#This Row],[Verb]]="punt",Log[[#This Row],[Verb]]="pass"),0,""))</f>
      </c>
      <c r="K451" s="17">
        <f>IF(Log[[#This Row],[ID]]="",0,IFERROR(INDEX(Items[Pts],MATCH(Log[[#This Row],[ID]],Items[ID],0))*1,0))</f>
      </c>
      <c r="L451" s="17">
        <f>IF(Log[[#This Row],[ID]]="","",IFERROR(INDEX(Items[Cur team],MATCH(Log[[#This Row],[ID]],Items[ID],0))&amp;"",""))</f>
      </c>
      <c r="M451" s="17">
        <f>IF(OR(Log[[#This Row],[Verb]]="done",Log[[#This Row],[Verb]]="punt",Log[[#This Row],[Verb]]="drop",Log[[#This Row],[Verb]]="pass"),Log[[#This Row],[Pts]],0)</f>
      </c>
    </row>
    <row r="452">
      <c r="A452" s="11">
        <v>46118</v>
      </c>
      <c r="B452" t="s">
        <v>349</v>
      </c>
      <c r="C452" t="s">
        <v>41</v>
      </c>
      <c r="F452" s="17">
        <f>IF(Log[[#This Row],[ID]]="","",IF(ISNA(MATCH(Log[[#This Row],[ID]],Items[ID],0)),"unknown ID",IF(ISNA(MATCH(Log[[#This Row],[Verb]],VerbList,0)),"unknown verb",IF(Log[[#This Row],[Date]]="","no date",""))))</f>
      </c>
      <c r="G452" s="17">
        <f>IF(Log[[#This Row],[ID]]="","",IFERROR(VLOOKUP(Log[[#This Row],[Verb]],Verbs,3,FALSE)&amp;"",""))</f>
      </c>
      <c r="H452" s="17">
        <f>IF(Log[[#This Row],[Date]]="","",INT((Log[[#This Row],[Date]]-Sprint1)/SprintDays)+1)</f>
      </c>
      <c r="I452" s="17">
        <f>IF(OR(Log[[#This Row],[Verb]]="commit",Log[[#This Row],[Verb]]="carry",Log[[#This Row],[Verb]]="redo"),IF(Log[[#This Row],[Arg]]="",Log[[#This Row],[Sprint]],N(Log[[#This Row],[Arg]])),"")</f>
      </c>
      <c r="J452" s="17">
        <f>IF(Log[[#This Row],[Verb]]="block",1,IF(OR(Log[[#This Row],[Verb]]="unblock",Log[[#This Row],[Verb]]="done",Log[[#This Row],[Verb]]="drop",Log[[#This Row],[Verb]]="punt",Log[[#This Row],[Verb]]="pass"),0,""))</f>
      </c>
      <c r="K452" s="17">
        <f>IF(Log[[#This Row],[ID]]="",0,IFERROR(INDEX(Items[Pts],MATCH(Log[[#This Row],[ID]],Items[ID],0))*1,0))</f>
      </c>
      <c r="L452" s="17">
        <f>IF(Log[[#This Row],[ID]]="","",IFERROR(INDEX(Items[Cur team],MATCH(Log[[#This Row],[ID]],Items[ID],0))&amp;"",""))</f>
      </c>
      <c r="M452" s="17">
        <f>IF(OR(Log[[#This Row],[Verb]]="done",Log[[#This Row],[Verb]]="punt",Log[[#This Row],[Verb]]="drop",Log[[#This Row],[Verb]]="pass"),Log[[#This Row],[Pts]],0)</f>
      </c>
    </row>
    <row r="453">
      <c r="A453" s="11">
        <v>46118</v>
      </c>
      <c r="B453" t="s">
        <v>350</v>
      </c>
      <c r="C453" t="s">
        <v>41</v>
      </c>
      <c r="F453" s="17">
        <f>IF(Log[[#This Row],[ID]]="","",IF(ISNA(MATCH(Log[[#This Row],[ID]],Items[ID],0)),"unknown ID",IF(ISNA(MATCH(Log[[#This Row],[Verb]],VerbList,0)),"unknown verb",IF(Log[[#This Row],[Date]]="","no date",""))))</f>
      </c>
      <c r="G453" s="17">
        <f>IF(Log[[#This Row],[ID]]="","",IFERROR(VLOOKUP(Log[[#This Row],[Verb]],Verbs,3,FALSE)&amp;"",""))</f>
      </c>
      <c r="H453" s="17">
        <f>IF(Log[[#This Row],[Date]]="","",INT((Log[[#This Row],[Date]]-Sprint1)/SprintDays)+1)</f>
      </c>
      <c r="I453" s="17">
        <f>IF(OR(Log[[#This Row],[Verb]]="commit",Log[[#This Row],[Verb]]="carry",Log[[#This Row],[Verb]]="redo"),IF(Log[[#This Row],[Arg]]="",Log[[#This Row],[Sprint]],N(Log[[#This Row],[Arg]])),"")</f>
      </c>
      <c r="J453" s="17">
        <f>IF(Log[[#This Row],[Verb]]="block",1,IF(OR(Log[[#This Row],[Verb]]="unblock",Log[[#This Row],[Verb]]="done",Log[[#This Row],[Verb]]="drop",Log[[#This Row],[Verb]]="punt",Log[[#This Row],[Verb]]="pass"),0,""))</f>
      </c>
      <c r="K453" s="17">
        <f>IF(Log[[#This Row],[ID]]="",0,IFERROR(INDEX(Items[Pts],MATCH(Log[[#This Row],[ID]],Items[ID],0))*1,0))</f>
      </c>
      <c r="L453" s="17">
        <f>IF(Log[[#This Row],[ID]]="","",IFERROR(INDEX(Items[Cur team],MATCH(Log[[#This Row],[ID]],Items[ID],0))&amp;"",""))</f>
      </c>
      <c r="M453" s="17">
        <f>IF(OR(Log[[#This Row],[Verb]]="done",Log[[#This Row],[Verb]]="punt",Log[[#This Row],[Verb]]="drop",Log[[#This Row],[Verb]]="pass"),Log[[#This Row],[Pts]],0)</f>
      </c>
    </row>
    <row r="454">
      <c r="A454" s="11">
        <v>46118</v>
      </c>
      <c r="B454" t="s">
        <v>351</v>
      </c>
      <c r="C454" t="s">
        <v>41</v>
      </c>
      <c r="F454" s="17">
        <f>IF(Log[[#This Row],[ID]]="","",IF(ISNA(MATCH(Log[[#This Row],[ID]],Items[ID],0)),"unknown ID",IF(ISNA(MATCH(Log[[#This Row],[Verb]],VerbList,0)),"unknown verb",IF(Log[[#This Row],[Date]]="","no date",""))))</f>
      </c>
      <c r="G454" s="17">
        <f>IF(Log[[#This Row],[ID]]="","",IFERROR(VLOOKUP(Log[[#This Row],[Verb]],Verbs,3,FALSE)&amp;"",""))</f>
      </c>
      <c r="H454" s="17">
        <f>IF(Log[[#This Row],[Date]]="","",INT((Log[[#This Row],[Date]]-Sprint1)/SprintDays)+1)</f>
      </c>
      <c r="I454" s="17">
        <f>IF(OR(Log[[#This Row],[Verb]]="commit",Log[[#This Row],[Verb]]="carry",Log[[#This Row],[Verb]]="redo"),IF(Log[[#This Row],[Arg]]="",Log[[#This Row],[Sprint]],N(Log[[#This Row],[Arg]])),"")</f>
      </c>
      <c r="J454" s="17">
        <f>IF(Log[[#This Row],[Verb]]="block",1,IF(OR(Log[[#This Row],[Verb]]="unblock",Log[[#This Row],[Verb]]="done",Log[[#This Row],[Verb]]="drop",Log[[#This Row],[Verb]]="punt",Log[[#This Row],[Verb]]="pass"),0,""))</f>
      </c>
      <c r="K454" s="17">
        <f>IF(Log[[#This Row],[ID]]="",0,IFERROR(INDEX(Items[Pts],MATCH(Log[[#This Row],[ID]],Items[ID],0))*1,0))</f>
      </c>
      <c r="L454" s="17">
        <f>IF(Log[[#This Row],[ID]]="","",IFERROR(INDEX(Items[Cur team],MATCH(Log[[#This Row],[ID]],Items[ID],0))&amp;"",""))</f>
      </c>
      <c r="M454" s="17">
        <f>IF(OR(Log[[#This Row],[Verb]]="done",Log[[#This Row],[Verb]]="punt",Log[[#This Row],[Verb]]="drop",Log[[#This Row],[Verb]]="pass"),Log[[#This Row],[Pts]],0)</f>
      </c>
    </row>
    <row r="455">
      <c r="A455" s="11">
        <v>46118</v>
      </c>
      <c r="B455" t="s">
        <v>352</v>
      </c>
      <c r="C455" t="s">
        <v>38</v>
      </c>
      <c r="D455">
        <v>41</v>
      </c>
      <c r="F455" s="17">
        <f>IF(Log[[#This Row],[ID]]="","",IF(ISNA(MATCH(Log[[#This Row],[ID]],Items[ID],0)),"unknown ID",IF(ISNA(MATCH(Log[[#This Row],[Verb]],VerbList,0)),"unknown verb",IF(Log[[#This Row],[Date]]="","no date",""))))</f>
      </c>
      <c r="G455" s="17">
        <f>IF(Log[[#This Row],[ID]]="","",IFERROR(VLOOKUP(Log[[#This Row],[Verb]],Verbs,3,FALSE)&amp;"",""))</f>
      </c>
      <c r="H455" s="17">
        <f>IF(Log[[#This Row],[Date]]="","",INT((Log[[#This Row],[Date]]-Sprint1)/SprintDays)+1)</f>
      </c>
      <c r="I455" s="17">
        <f>IF(OR(Log[[#This Row],[Verb]]="commit",Log[[#This Row],[Verb]]="carry",Log[[#This Row],[Verb]]="redo"),IF(Log[[#This Row],[Arg]]="",Log[[#This Row],[Sprint]],N(Log[[#This Row],[Arg]])),"")</f>
      </c>
      <c r="J455" s="17">
        <f>IF(Log[[#This Row],[Verb]]="block",1,IF(OR(Log[[#This Row],[Verb]]="unblock",Log[[#This Row],[Verb]]="done",Log[[#This Row],[Verb]]="drop",Log[[#This Row],[Verb]]="punt",Log[[#This Row],[Verb]]="pass"),0,""))</f>
      </c>
      <c r="K455" s="17">
        <f>IF(Log[[#This Row],[ID]]="",0,IFERROR(INDEX(Items[Pts],MATCH(Log[[#This Row],[ID]],Items[ID],0))*1,0))</f>
      </c>
      <c r="L455" s="17">
        <f>IF(Log[[#This Row],[ID]]="","",IFERROR(INDEX(Items[Cur team],MATCH(Log[[#This Row],[ID]],Items[ID],0))&amp;"",""))</f>
      </c>
      <c r="M455" s="17">
        <f>IF(OR(Log[[#This Row],[Verb]]="done",Log[[#This Row],[Verb]]="punt",Log[[#This Row],[Verb]]="drop",Log[[#This Row],[Verb]]="pass"),Log[[#This Row],[Pts]],0)</f>
      </c>
    </row>
    <row r="456">
      <c r="A456" s="11">
        <v>46118</v>
      </c>
      <c r="B456" t="s">
        <v>353</v>
      </c>
      <c r="C456" t="s">
        <v>41</v>
      </c>
      <c r="F456" s="17">
        <f>IF(Log[[#This Row],[ID]]="","",IF(ISNA(MATCH(Log[[#This Row],[ID]],Items[ID],0)),"unknown ID",IF(ISNA(MATCH(Log[[#This Row],[Verb]],VerbList,0)),"unknown verb",IF(Log[[#This Row],[Date]]="","no date",""))))</f>
      </c>
      <c r="G456" s="17">
        <f>IF(Log[[#This Row],[ID]]="","",IFERROR(VLOOKUP(Log[[#This Row],[Verb]],Verbs,3,FALSE)&amp;"",""))</f>
      </c>
      <c r="H456" s="17">
        <f>IF(Log[[#This Row],[Date]]="","",INT((Log[[#This Row],[Date]]-Sprint1)/SprintDays)+1)</f>
      </c>
      <c r="I456" s="17">
        <f>IF(OR(Log[[#This Row],[Verb]]="commit",Log[[#This Row],[Verb]]="carry",Log[[#This Row],[Verb]]="redo"),IF(Log[[#This Row],[Arg]]="",Log[[#This Row],[Sprint]],N(Log[[#This Row],[Arg]])),"")</f>
      </c>
      <c r="J456" s="17">
        <f>IF(Log[[#This Row],[Verb]]="block",1,IF(OR(Log[[#This Row],[Verb]]="unblock",Log[[#This Row],[Verb]]="done",Log[[#This Row],[Verb]]="drop",Log[[#This Row],[Verb]]="punt",Log[[#This Row],[Verb]]="pass"),0,""))</f>
      </c>
      <c r="K456" s="17">
        <f>IF(Log[[#This Row],[ID]]="",0,IFERROR(INDEX(Items[Pts],MATCH(Log[[#This Row],[ID]],Items[ID],0))*1,0))</f>
      </c>
      <c r="L456" s="17">
        <f>IF(Log[[#This Row],[ID]]="","",IFERROR(INDEX(Items[Cur team],MATCH(Log[[#This Row],[ID]],Items[ID],0))&amp;"",""))</f>
      </c>
      <c r="M456" s="17">
        <f>IF(OR(Log[[#This Row],[Verb]]="done",Log[[#This Row],[Verb]]="punt",Log[[#This Row],[Verb]]="drop",Log[[#This Row],[Verb]]="pass"),Log[[#This Row],[Pts]],0)</f>
      </c>
    </row>
    <row r="457">
      <c r="A457" s="11">
        <v>46118</v>
      </c>
      <c r="B457" t="s">
        <v>354</v>
      </c>
      <c r="C457" t="s">
        <v>41</v>
      </c>
      <c r="F457" s="17">
        <f>IF(Log[[#This Row],[ID]]="","",IF(ISNA(MATCH(Log[[#This Row],[ID]],Items[ID],0)),"unknown ID",IF(ISNA(MATCH(Log[[#This Row],[Verb]],VerbList,0)),"unknown verb",IF(Log[[#This Row],[Date]]="","no date",""))))</f>
      </c>
      <c r="G457" s="17">
        <f>IF(Log[[#This Row],[ID]]="","",IFERROR(VLOOKUP(Log[[#This Row],[Verb]],Verbs,3,FALSE)&amp;"",""))</f>
      </c>
      <c r="H457" s="17">
        <f>IF(Log[[#This Row],[Date]]="","",INT((Log[[#This Row],[Date]]-Sprint1)/SprintDays)+1)</f>
      </c>
      <c r="I457" s="17">
        <f>IF(OR(Log[[#This Row],[Verb]]="commit",Log[[#This Row],[Verb]]="carry",Log[[#This Row],[Verb]]="redo"),IF(Log[[#This Row],[Arg]]="",Log[[#This Row],[Sprint]],N(Log[[#This Row],[Arg]])),"")</f>
      </c>
      <c r="J457" s="17">
        <f>IF(Log[[#This Row],[Verb]]="block",1,IF(OR(Log[[#This Row],[Verb]]="unblock",Log[[#This Row],[Verb]]="done",Log[[#This Row],[Verb]]="drop",Log[[#This Row],[Verb]]="punt",Log[[#This Row],[Verb]]="pass"),0,""))</f>
      </c>
      <c r="K457" s="17">
        <f>IF(Log[[#This Row],[ID]]="",0,IFERROR(INDEX(Items[Pts],MATCH(Log[[#This Row],[ID]],Items[ID],0))*1,0))</f>
      </c>
      <c r="L457" s="17">
        <f>IF(Log[[#This Row],[ID]]="","",IFERROR(INDEX(Items[Cur team],MATCH(Log[[#This Row],[ID]],Items[ID],0))&amp;"",""))</f>
      </c>
      <c r="M457" s="17">
        <f>IF(OR(Log[[#This Row],[Verb]]="done",Log[[#This Row],[Verb]]="punt",Log[[#This Row],[Verb]]="drop",Log[[#This Row],[Verb]]="pass"),Log[[#This Row],[Pts]],0)</f>
      </c>
    </row>
    <row r="458">
      <c r="A458" s="11">
        <v>46118</v>
      </c>
      <c r="B458" t="s">
        <v>355</v>
      </c>
      <c r="C458" t="s">
        <v>41</v>
      </c>
      <c r="F458" s="17">
        <f>IF(Log[[#This Row],[ID]]="","",IF(ISNA(MATCH(Log[[#This Row],[ID]],Items[ID],0)),"unknown ID",IF(ISNA(MATCH(Log[[#This Row],[Verb]],VerbList,0)),"unknown verb",IF(Log[[#This Row],[Date]]="","no date",""))))</f>
      </c>
      <c r="G458" s="17">
        <f>IF(Log[[#This Row],[ID]]="","",IFERROR(VLOOKUP(Log[[#This Row],[Verb]],Verbs,3,FALSE)&amp;"",""))</f>
      </c>
      <c r="H458" s="17">
        <f>IF(Log[[#This Row],[Date]]="","",INT((Log[[#This Row],[Date]]-Sprint1)/SprintDays)+1)</f>
      </c>
      <c r="I458" s="17">
        <f>IF(OR(Log[[#This Row],[Verb]]="commit",Log[[#This Row],[Verb]]="carry",Log[[#This Row],[Verb]]="redo"),IF(Log[[#This Row],[Arg]]="",Log[[#This Row],[Sprint]],N(Log[[#This Row],[Arg]])),"")</f>
      </c>
      <c r="J458" s="17">
        <f>IF(Log[[#This Row],[Verb]]="block",1,IF(OR(Log[[#This Row],[Verb]]="unblock",Log[[#This Row],[Verb]]="done",Log[[#This Row],[Verb]]="drop",Log[[#This Row],[Verb]]="punt",Log[[#This Row],[Verb]]="pass"),0,""))</f>
      </c>
      <c r="K458" s="17">
        <f>IF(Log[[#This Row],[ID]]="",0,IFERROR(INDEX(Items[Pts],MATCH(Log[[#This Row],[ID]],Items[ID],0))*1,0))</f>
      </c>
      <c r="L458" s="17">
        <f>IF(Log[[#This Row],[ID]]="","",IFERROR(INDEX(Items[Cur team],MATCH(Log[[#This Row],[ID]],Items[ID],0))&amp;"",""))</f>
      </c>
      <c r="M458" s="17">
        <f>IF(OR(Log[[#This Row],[Verb]]="done",Log[[#This Row],[Verb]]="punt",Log[[#This Row],[Verb]]="drop",Log[[#This Row],[Verb]]="pass"),Log[[#This Row],[Pts]],0)</f>
      </c>
    </row>
    <row r="459">
      <c r="A459" s="11">
        <v>46118</v>
      </c>
      <c r="B459" t="s">
        <v>356</v>
      </c>
      <c r="C459" t="s">
        <v>41</v>
      </c>
      <c r="F459" s="17">
        <f>IF(Log[[#This Row],[ID]]="","",IF(ISNA(MATCH(Log[[#This Row],[ID]],Items[ID],0)),"unknown ID",IF(ISNA(MATCH(Log[[#This Row],[Verb]],VerbList,0)),"unknown verb",IF(Log[[#This Row],[Date]]="","no date",""))))</f>
      </c>
      <c r="G459" s="17">
        <f>IF(Log[[#This Row],[ID]]="","",IFERROR(VLOOKUP(Log[[#This Row],[Verb]],Verbs,3,FALSE)&amp;"",""))</f>
      </c>
      <c r="H459" s="17">
        <f>IF(Log[[#This Row],[Date]]="","",INT((Log[[#This Row],[Date]]-Sprint1)/SprintDays)+1)</f>
      </c>
      <c r="I459" s="17">
        <f>IF(OR(Log[[#This Row],[Verb]]="commit",Log[[#This Row],[Verb]]="carry",Log[[#This Row],[Verb]]="redo"),IF(Log[[#This Row],[Arg]]="",Log[[#This Row],[Sprint]],N(Log[[#This Row],[Arg]])),"")</f>
      </c>
      <c r="J459" s="17">
        <f>IF(Log[[#This Row],[Verb]]="block",1,IF(OR(Log[[#This Row],[Verb]]="unblock",Log[[#This Row],[Verb]]="done",Log[[#This Row],[Verb]]="drop",Log[[#This Row],[Verb]]="punt",Log[[#This Row],[Verb]]="pass"),0,""))</f>
      </c>
      <c r="K459" s="17">
        <f>IF(Log[[#This Row],[ID]]="",0,IFERROR(INDEX(Items[Pts],MATCH(Log[[#This Row],[ID]],Items[ID],0))*1,0))</f>
      </c>
      <c r="L459" s="17">
        <f>IF(Log[[#This Row],[ID]]="","",IFERROR(INDEX(Items[Cur team],MATCH(Log[[#This Row],[ID]],Items[ID],0))&amp;"",""))</f>
      </c>
      <c r="M459" s="17">
        <f>IF(OR(Log[[#This Row],[Verb]]="done",Log[[#This Row],[Verb]]="punt",Log[[#This Row],[Verb]]="drop",Log[[#This Row],[Verb]]="pass"),Log[[#This Row],[Pts]],0)</f>
      </c>
    </row>
    <row r="460">
      <c r="A460" s="11">
        <v>46118</v>
      </c>
      <c r="B460" t="s">
        <v>357</v>
      </c>
      <c r="C460" t="s">
        <v>38</v>
      </c>
      <c r="D460">
        <v>41</v>
      </c>
      <c r="F460" s="17">
        <f>IF(Log[[#This Row],[ID]]="","",IF(ISNA(MATCH(Log[[#This Row],[ID]],Items[ID],0)),"unknown ID",IF(ISNA(MATCH(Log[[#This Row],[Verb]],VerbList,0)),"unknown verb",IF(Log[[#This Row],[Date]]="","no date",""))))</f>
      </c>
      <c r="G460" s="17">
        <f>IF(Log[[#This Row],[ID]]="","",IFERROR(VLOOKUP(Log[[#This Row],[Verb]],Verbs,3,FALSE)&amp;"",""))</f>
      </c>
      <c r="H460" s="17">
        <f>IF(Log[[#This Row],[Date]]="","",INT((Log[[#This Row],[Date]]-Sprint1)/SprintDays)+1)</f>
      </c>
      <c r="I460" s="17">
        <f>IF(OR(Log[[#This Row],[Verb]]="commit",Log[[#This Row],[Verb]]="carry",Log[[#This Row],[Verb]]="redo"),IF(Log[[#This Row],[Arg]]="",Log[[#This Row],[Sprint]],N(Log[[#This Row],[Arg]])),"")</f>
      </c>
      <c r="J460" s="17">
        <f>IF(Log[[#This Row],[Verb]]="block",1,IF(OR(Log[[#This Row],[Verb]]="unblock",Log[[#This Row],[Verb]]="done",Log[[#This Row],[Verb]]="drop",Log[[#This Row],[Verb]]="punt",Log[[#This Row],[Verb]]="pass"),0,""))</f>
      </c>
      <c r="K460" s="17">
        <f>IF(Log[[#This Row],[ID]]="",0,IFERROR(INDEX(Items[Pts],MATCH(Log[[#This Row],[ID]],Items[ID],0))*1,0))</f>
      </c>
      <c r="L460" s="17">
        <f>IF(Log[[#This Row],[ID]]="","",IFERROR(INDEX(Items[Cur team],MATCH(Log[[#This Row],[ID]],Items[ID],0))&amp;"",""))</f>
      </c>
      <c r="M460" s="17">
        <f>IF(OR(Log[[#This Row],[Verb]]="done",Log[[#This Row],[Verb]]="punt",Log[[#This Row],[Verb]]="drop",Log[[#This Row],[Verb]]="pass"),Log[[#This Row],[Pts]],0)</f>
      </c>
    </row>
    <row r="461">
      <c r="A461" s="11">
        <v>46118</v>
      </c>
      <c r="B461" t="s">
        <v>358</v>
      </c>
      <c r="C461" t="s">
        <v>38</v>
      </c>
      <c r="D461">
        <v>41</v>
      </c>
      <c r="F461" s="17">
        <f>IF(Log[[#This Row],[ID]]="","",IF(ISNA(MATCH(Log[[#This Row],[ID]],Items[ID],0)),"unknown ID",IF(ISNA(MATCH(Log[[#This Row],[Verb]],VerbList,0)),"unknown verb",IF(Log[[#This Row],[Date]]="","no date",""))))</f>
      </c>
      <c r="G461" s="17">
        <f>IF(Log[[#This Row],[ID]]="","",IFERROR(VLOOKUP(Log[[#This Row],[Verb]],Verbs,3,FALSE)&amp;"",""))</f>
      </c>
      <c r="H461" s="17">
        <f>IF(Log[[#This Row],[Date]]="","",INT((Log[[#This Row],[Date]]-Sprint1)/SprintDays)+1)</f>
      </c>
      <c r="I461" s="17">
        <f>IF(OR(Log[[#This Row],[Verb]]="commit",Log[[#This Row],[Verb]]="carry",Log[[#This Row],[Verb]]="redo"),IF(Log[[#This Row],[Arg]]="",Log[[#This Row],[Sprint]],N(Log[[#This Row],[Arg]])),"")</f>
      </c>
      <c r="J461" s="17">
        <f>IF(Log[[#This Row],[Verb]]="block",1,IF(OR(Log[[#This Row],[Verb]]="unblock",Log[[#This Row],[Verb]]="done",Log[[#This Row],[Verb]]="drop",Log[[#This Row],[Verb]]="punt",Log[[#This Row],[Verb]]="pass"),0,""))</f>
      </c>
      <c r="K461" s="17">
        <f>IF(Log[[#This Row],[ID]]="",0,IFERROR(INDEX(Items[Pts],MATCH(Log[[#This Row],[ID]],Items[ID],0))*1,0))</f>
      </c>
      <c r="L461" s="17">
        <f>IF(Log[[#This Row],[ID]]="","",IFERROR(INDEX(Items[Cur team],MATCH(Log[[#This Row],[ID]],Items[ID],0))&amp;"",""))</f>
      </c>
      <c r="M461" s="17">
        <f>IF(OR(Log[[#This Row],[Verb]]="done",Log[[#This Row],[Verb]]="punt",Log[[#This Row],[Verb]]="drop",Log[[#This Row],[Verb]]="pass"),Log[[#This Row],[Pts]],0)</f>
      </c>
    </row>
    <row r="462">
      <c r="A462" s="11">
        <v>46118</v>
      </c>
      <c r="B462" t="s">
        <v>359</v>
      </c>
      <c r="C462" t="s">
        <v>38</v>
      </c>
      <c r="D462">
        <v>41</v>
      </c>
      <c r="F462" s="17">
        <f>IF(Log[[#This Row],[ID]]="","",IF(ISNA(MATCH(Log[[#This Row],[ID]],Items[ID],0)),"unknown ID",IF(ISNA(MATCH(Log[[#This Row],[Verb]],VerbList,0)),"unknown verb",IF(Log[[#This Row],[Date]]="","no date",""))))</f>
      </c>
      <c r="G462" s="17">
        <f>IF(Log[[#This Row],[ID]]="","",IFERROR(VLOOKUP(Log[[#This Row],[Verb]],Verbs,3,FALSE)&amp;"",""))</f>
      </c>
      <c r="H462" s="17">
        <f>IF(Log[[#This Row],[Date]]="","",INT((Log[[#This Row],[Date]]-Sprint1)/SprintDays)+1)</f>
      </c>
      <c r="I462" s="17">
        <f>IF(OR(Log[[#This Row],[Verb]]="commit",Log[[#This Row],[Verb]]="carry",Log[[#This Row],[Verb]]="redo"),IF(Log[[#This Row],[Arg]]="",Log[[#This Row],[Sprint]],N(Log[[#This Row],[Arg]])),"")</f>
      </c>
      <c r="J462" s="17">
        <f>IF(Log[[#This Row],[Verb]]="block",1,IF(OR(Log[[#This Row],[Verb]]="unblock",Log[[#This Row],[Verb]]="done",Log[[#This Row],[Verb]]="drop",Log[[#This Row],[Verb]]="punt",Log[[#This Row],[Verb]]="pass"),0,""))</f>
      </c>
      <c r="K462" s="17">
        <f>IF(Log[[#This Row],[ID]]="",0,IFERROR(INDEX(Items[Pts],MATCH(Log[[#This Row],[ID]],Items[ID],0))*1,0))</f>
      </c>
      <c r="L462" s="17">
        <f>IF(Log[[#This Row],[ID]]="","",IFERROR(INDEX(Items[Cur team],MATCH(Log[[#This Row],[ID]],Items[ID],0))&amp;"",""))</f>
      </c>
      <c r="M462" s="17">
        <f>IF(OR(Log[[#This Row],[Verb]]="done",Log[[#This Row],[Verb]]="punt",Log[[#This Row],[Verb]]="drop",Log[[#This Row],[Verb]]="pass"),Log[[#This Row],[Pts]],0)</f>
      </c>
    </row>
    <row r="463">
      <c r="A463" s="11">
        <v>46118</v>
      </c>
      <c r="B463" t="s">
        <v>360</v>
      </c>
      <c r="C463" t="s">
        <v>41</v>
      </c>
      <c r="F463" s="17">
        <f>IF(Log[[#This Row],[ID]]="","",IF(ISNA(MATCH(Log[[#This Row],[ID]],Items[ID],0)),"unknown ID",IF(ISNA(MATCH(Log[[#This Row],[Verb]],VerbList,0)),"unknown verb",IF(Log[[#This Row],[Date]]="","no date",""))))</f>
      </c>
      <c r="G463" s="17">
        <f>IF(Log[[#This Row],[ID]]="","",IFERROR(VLOOKUP(Log[[#This Row],[Verb]],Verbs,3,FALSE)&amp;"",""))</f>
      </c>
      <c r="H463" s="17">
        <f>IF(Log[[#This Row],[Date]]="","",INT((Log[[#This Row],[Date]]-Sprint1)/SprintDays)+1)</f>
      </c>
      <c r="I463" s="17">
        <f>IF(OR(Log[[#This Row],[Verb]]="commit",Log[[#This Row],[Verb]]="carry",Log[[#This Row],[Verb]]="redo"),IF(Log[[#This Row],[Arg]]="",Log[[#This Row],[Sprint]],N(Log[[#This Row],[Arg]])),"")</f>
      </c>
      <c r="J463" s="17">
        <f>IF(Log[[#This Row],[Verb]]="block",1,IF(OR(Log[[#This Row],[Verb]]="unblock",Log[[#This Row],[Verb]]="done",Log[[#This Row],[Verb]]="drop",Log[[#This Row],[Verb]]="punt",Log[[#This Row],[Verb]]="pass"),0,""))</f>
      </c>
      <c r="K463" s="17">
        <f>IF(Log[[#This Row],[ID]]="",0,IFERROR(INDEX(Items[Pts],MATCH(Log[[#This Row],[ID]],Items[ID],0))*1,0))</f>
      </c>
      <c r="L463" s="17">
        <f>IF(Log[[#This Row],[ID]]="","",IFERROR(INDEX(Items[Cur team],MATCH(Log[[#This Row],[ID]],Items[ID],0))&amp;"",""))</f>
      </c>
      <c r="M463" s="17">
        <f>IF(OR(Log[[#This Row],[Verb]]="done",Log[[#This Row],[Verb]]="punt",Log[[#This Row],[Verb]]="drop",Log[[#This Row],[Verb]]="pass"),Log[[#This Row],[Pts]],0)</f>
      </c>
    </row>
    <row r="464">
      <c r="A464" s="11">
        <v>46118</v>
      </c>
      <c r="B464" t="s">
        <v>284</v>
      </c>
      <c r="C464" t="s">
        <v>41</v>
      </c>
      <c r="F464" s="17">
        <f>IF(Log[[#This Row],[ID]]="","",IF(ISNA(MATCH(Log[[#This Row],[ID]],Items[ID],0)),"unknown ID",IF(ISNA(MATCH(Log[[#This Row],[Verb]],VerbList,0)),"unknown verb",IF(Log[[#This Row],[Date]]="","no date",""))))</f>
      </c>
      <c r="G464" s="17">
        <f>IF(Log[[#This Row],[ID]]="","",IFERROR(VLOOKUP(Log[[#This Row],[Verb]],Verbs,3,FALSE)&amp;"",""))</f>
      </c>
      <c r="H464" s="17">
        <f>IF(Log[[#This Row],[Date]]="","",INT((Log[[#This Row],[Date]]-Sprint1)/SprintDays)+1)</f>
      </c>
      <c r="I464" s="17">
        <f>IF(OR(Log[[#This Row],[Verb]]="commit",Log[[#This Row],[Verb]]="carry",Log[[#This Row],[Verb]]="redo"),IF(Log[[#This Row],[Arg]]="",Log[[#This Row],[Sprint]],N(Log[[#This Row],[Arg]])),"")</f>
      </c>
      <c r="J464" s="17">
        <f>IF(Log[[#This Row],[Verb]]="block",1,IF(OR(Log[[#This Row],[Verb]]="unblock",Log[[#This Row],[Verb]]="done",Log[[#This Row],[Verb]]="drop",Log[[#This Row],[Verb]]="punt",Log[[#This Row],[Verb]]="pass"),0,""))</f>
      </c>
      <c r="K464" s="17">
        <f>IF(Log[[#This Row],[ID]]="",0,IFERROR(INDEX(Items[Pts],MATCH(Log[[#This Row],[ID]],Items[ID],0))*1,0))</f>
      </c>
      <c r="L464" s="17">
        <f>IF(Log[[#This Row],[ID]]="","",IFERROR(INDEX(Items[Cur team],MATCH(Log[[#This Row],[ID]],Items[ID],0))&amp;"",""))</f>
      </c>
      <c r="M464" s="17">
        <f>IF(OR(Log[[#This Row],[Verb]]="done",Log[[#This Row],[Verb]]="punt",Log[[#This Row],[Verb]]="drop",Log[[#This Row],[Verb]]="pass"),Log[[#This Row],[Pts]],0)</f>
      </c>
    </row>
    <row r="465">
      <c r="A465" s="11">
        <v>46118</v>
      </c>
      <c r="B465" t="s">
        <v>287</v>
      </c>
      <c r="C465" t="s">
        <v>41</v>
      </c>
      <c r="F465" s="17">
        <f>IF(Log[[#This Row],[ID]]="","",IF(ISNA(MATCH(Log[[#This Row],[ID]],Items[ID],0)),"unknown ID",IF(ISNA(MATCH(Log[[#This Row],[Verb]],VerbList,0)),"unknown verb",IF(Log[[#This Row],[Date]]="","no date",""))))</f>
      </c>
      <c r="G465" s="17">
        <f>IF(Log[[#This Row],[ID]]="","",IFERROR(VLOOKUP(Log[[#This Row],[Verb]],Verbs,3,FALSE)&amp;"",""))</f>
      </c>
      <c r="H465" s="17">
        <f>IF(Log[[#This Row],[Date]]="","",INT((Log[[#This Row],[Date]]-Sprint1)/SprintDays)+1)</f>
      </c>
      <c r="I465" s="17">
        <f>IF(OR(Log[[#This Row],[Verb]]="commit",Log[[#This Row],[Verb]]="carry",Log[[#This Row],[Verb]]="redo"),IF(Log[[#This Row],[Arg]]="",Log[[#This Row],[Sprint]],N(Log[[#This Row],[Arg]])),"")</f>
      </c>
      <c r="J465" s="17">
        <f>IF(Log[[#This Row],[Verb]]="block",1,IF(OR(Log[[#This Row],[Verb]]="unblock",Log[[#This Row],[Verb]]="done",Log[[#This Row],[Verb]]="drop",Log[[#This Row],[Verb]]="punt",Log[[#This Row],[Verb]]="pass"),0,""))</f>
      </c>
      <c r="K465" s="17">
        <f>IF(Log[[#This Row],[ID]]="",0,IFERROR(INDEX(Items[Pts],MATCH(Log[[#This Row],[ID]],Items[ID],0))*1,0))</f>
      </c>
      <c r="L465" s="17">
        <f>IF(Log[[#This Row],[ID]]="","",IFERROR(INDEX(Items[Cur team],MATCH(Log[[#This Row],[ID]],Items[ID],0))&amp;"",""))</f>
      </c>
      <c r="M465" s="17">
        <f>IF(OR(Log[[#This Row],[Verb]]="done",Log[[#This Row],[Verb]]="punt",Log[[#This Row],[Verb]]="drop",Log[[#This Row],[Verb]]="pass"),Log[[#This Row],[Pts]],0)</f>
      </c>
    </row>
    <row r="466">
      <c r="A466" s="11">
        <v>46118</v>
      </c>
      <c r="B466" t="s">
        <v>288</v>
      </c>
      <c r="C466" t="s">
        <v>41</v>
      </c>
      <c r="F466" s="17">
        <f>IF(Log[[#This Row],[ID]]="","",IF(ISNA(MATCH(Log[[#This Row],[ID]],Items[ID],0)),"unknown ID",IF(ISNA(MATCH(Log[[#This Row],[Verb]],VerbList,0)),"unknown verb",IF(Log[[#This Row],[Date]]="","no date",""))))</f>
      </c>
      <c r="G466" s="17">
        <f>IF(Log[[#This Row],[ID]]="","",IFERROR(VLOOKUP(Log[[#This Row],[Verb]],Verbs,3,FALSE)&amp;"",""))</f>
      </c>
      <c r="H466" s="17">
        <f>IF(Log[[#This Row],[Date]]="","",INT((Log[[#This Row],[Date]]-Sprint1)/SprintDays)+1)</f>
      </c>
      <c r="I466" s="17">
        <f>IF(OR(Log[[#This Row],[Verb]]="commit",Log[[#This Row],[Verb]]="carry",Log[[#This Row],[Verb]]="redo"),IF(Log[[#This Row],[Arg]]="",Log[[#This Row],[Sprint]],N(Log[[#This Row],[Arg]])),"")</f>
      </c>
      <c r="J466" s="17">
        <f>IF(Log[[#This Row],[Verb]]="block",1,IF(OR(Log[[#This Row],[Verb]]="unblock",Log[[#This Row],[Verb]]="done",Log[[#This Row],[Verb]]="drop",Log[[#This Row],[Verb]]="punt",Log[[#This Row],[Verb]]="pass"),0,""))</f>
      </c>
      <c r="K466" s="17">
        <f>IF(Log[[#This Row],[ID]]="",0,IFERROR(INDEX(Items[Pts],MATCH(Log[[#This Row],[ID]],Items[ID],0))*1,0))</f>
      </c>
      <c r="L466" s="17">
        <f>IF(Log[[#This Row],[ID]]="","",IFERROR(INDEX(Items[Cur team],MATCH(Log[[#This Row],[ID]],Items[ID],0))&amp;"",""))</f>
      </c>
      <c r="M466" s="17">
        <f>IF(OR(Log[[#This Row],[Verb]]="done",Log[[#This Row],[Verb]]="punt",Log[[#This Row],[Verb]]="drop",Log[[#This Row],[Verb]]="pass"),Log[[#This Row],[Pts]],0)</f>
      </c>
    </row>
    <row r="467">
      <c r="A467" s="11">
        <v>46118</v>
      </c>
      <c r="B467" t="s">
        <v>361</v>
      </c>
      <c r="C467" t="s">
        <v>41</v>
      </c>
      <c r="F467" s="17">
        <f>IF(Log[[#This Row],[ID]]="","",IF(ISNA(MATCH(Log[[#This Row],[ID]],Items[ID],0)),"unknown ID",IF(ISNA(MATCH(Log[[#This Row],[Verb]],VerbList,0)),"unknown verb",IF(Log[[#This Row],[Date]]="","no date",""))))</f>
      </c>
      <c r="G467" s="17">
        <f>IF(Log[[#This Row],[ID]]="","",IFERROR(VLOOKUP(Log[[#This Row],[Verb]],Verbs,3,FALSE)&amp;"",""))</f>
      </c>
      <c r="H467" s="17">
        <f>IF(Log[[#This Row],[Date]]="","",INT((Log[[#This Row],[Date]]-Sprint1)/SprintDays)+1)</f>
      </c>
      <c r="I467" s="17">
        <f>IF(OR(Log[[#This Row],[Verb]]="commit",Log[[#This Row],[Verb]]="carry",Log[[#This Row],[Verb]]="redo"),IF(Log[[#This Row],[Arg]]="",Log[[#This Row],[Sprint]],N(Log[[#This Row],[Arg]])),"")</f>
      </c>
      <c r="J467" s="17">
        <f>IF(Log[[#This Row],[Verb]]="block",1,IF(OR(Log[[#This Row],[Verb]]="unblock",Log[[#This Row],[Verb]]="done",Log[[#This Row],[Verb]]="drop",Log[[#This Row],[Verb]]="punt",Log[[#This Row],[Verb]]="pass"),0,""))</f>
      </c>
      <c r="K467" s="17">
        <f>IF(Log[[#This Row],[ID]]="",0,IFERROR(INDEX(Items[Pts],MATCH(Log[[#This Row],[ID]],Items[ID],0))*1,0))</f>
      </c>
      <c r="L467" s="17">
        <f>IF(Log[[#This Row],[ID]]="","",IFERROR(INDEX(Items[Cur team],MATCH(Log[[#This Row],[ID]],Items[ID],0))&amp;"",""))</f>
      </c>
      <c r="M467" s="17">
        <f>IF(OR(Log[[#This Row],[Verb]]="done",Log[[#This Row],[Verb]]="punt",Log[[#This Row],[Verb]]="drop",Log[[#This Row],[Verb]]="pass"),Log[[#This Row],[Pts]],0)</f>
      </c>
    </row>
    <row r="468">
      <c r="A468" s="11">
        <v>46118</v>
      </c>
      <c r="B468" t="s">
        <v>362</v>
      </c>
      <c r="C468" t="s">
        <v>41</v>
      </c>
      <c r="F468" s="17">
        <f>IF(Log[[#This Row],[ID]]="","",IF(ISNA(MATCH(Log[[#This Row],[ID]],Items[ID],0)),"unknown ID",IF(ISNA(MATCH(Log[[#This Row],[Verb]],VerbList,0)),"unknown verb",IF(Log[[#This Row],[Date]]="","no date",""))))</f>
      </c>
      <c r="G468" s="17">
        <f>IF(Log[[#This Row],[ID]]="","",IFERROR(VLOOKUP(Log[[#This Row],[Verb]],Verbs,3,FALSE)&amp;"",""))</f>
      </c>
      <c r="H468" s="17">
        <f>IF(Log[[#This Row],[Date]]="","",INT((Log[[#This Row],[Date]]-Sprint1)/SprintDays)+1)</f>
      </c>
      <c r="I468" s="17">
        <f>IF(OR(Log[[#This Row],[Verb]]="commit",Log[[#This Row],[Verb]]="carry",Log[[#This Row],[Verb]]="redo"),IF(Log[[#This Row],[Arg]]="",Log[[#This Row],[Sprint]],N(Log[[#This Row],[Arg]])),"")</f>
      </c>
      <c r="J468" s="17">
        <f>IF(Log[[#This Row],[Verb]]="block",1,IF(OR(Log[[#This Row],[Verb]]="unblock",Log[[#This Row],[Verb]]="done",Log[[#This Row],[Verb]]="drop",Log[[#This Row],[Verb]]="punt",Log[[#This Row],[Verb]]="pass"),0,""))</f>
      </c>
      <c r="K468" s="17">
        <f>IF(Log[[#This Row],[ID]]="",0,IFERROR(INDEX(Items[Pts],MATCH(Log[[#This Row],[ID]],Items[ID],0))*1,0))</f>
      </c>
      <c r="L468" s="17">
        <f>IF(Log[[#This Row],[ID]]="","",IFERROR(INDEX(Items[Cur team],MATCH(Log[[#This Row],[ID]],Items[ID],0))&amp;"",""))</f>
      </c>
      <c r="M468" s="17">
        <f>IF(OR(Log[[#This Row],[Verb]]="done",Log[[#This Row],[Verb]]="punt",Log[[#This Row],[Verb]]="drop",Log[[#This Row],[Verb]]="pass"),Log[[#This Row],[Pts]],0)</f>
      </c>
    </row>
    <row r="469">
      <c r="A469" s="11">
        <v>46118</v>
      </c>
      <c r="B469" t="s">
        <v>363</v>
      </c>
      <c r="C469" t="s">
        <v>41</v>
      </c>
      <c r="F469" s="17">
        <f>IF(Log[[#This Row],[ID]]="","",IF(ISNA(MATCH(Log[[#This Row],[ID]],Items[ID],0)),"unknown ID",IF(ISNA(MATCH(Log[[#This Row],[Verb]],VerbList,0)),"unknown verb",IF(Log[[#This Row],[Date]]="","no date",""))))</f>
      </c>
      <c r="G469" s="17">
        <f>IF(Log[[#This Row],[ID]]="","",IFERROR(VLOOKUP(Log[[#This Row],[Verb]],Verbs,3,FALSE)&amp;"",""))</f>
      </c>
      <c r="H469" s="17">
        <f>IF(Log[[#This Row],[Date]]="","",INT((Log[[#This Row],[Date]]-Sprint1)/SprintDays)+1)</f>
      </c>
      <c r="I469" s="17">
        <f>IF(OR(Log[[#This Row],[Verb]]="commit",Log[[#This Row],[Verb]]="carry",Log[[#This Row],[Verb]]="redo"),IF(Log[[#This Row],[Arg]]="",Log[[#This Row],[Sprint]],N(Log[[#This Row],[Arg]])),"")</f>
      </c>
      <c r="J469" s="17">
        <f>IF(Log[[#This Row],[Verb]]="block",1,IF(OR(Log[[#This Row],[Verb]]="unblock",Log[[#This Row],[Verb]]="done",Log[[#This Row],[Verb]]="drop",Log[[#This Row],[Verb]]="punt",Log[[#This Row],[Verb]]="pass"),0,""))</f>
      </c>
      <c r="K469" s="17">
        <f>IF(Log[[#This Row],[ID]]="",0,IFERROR(INDEX(Items[Pts],MATCH(Log[[#This Row],[ID]],Items[ID],0))*1,0))</f>
      </c>
      <c r="L469" s="17">
        <f>IF(Log[[#This Row],[ID]]="","",IFERROR(INDEX(Items[Cur team],MATCH(Log[[#This Row],[ID]],Items[ID],0))&amp;"",""))</f>
      </c>
      <c r="M469" s="17">
        <f>IF(OR(Log[[#This Row],[Verb]]="done",Log[[#This Row],[Verb]]="punt",Log[[#This Row],[Verb]]="drop",Log[[#This Row],[Verb]]="pass"),Log[[#This Row],[Pts]],0)</f>
      </c>
    </row>
    <row r="470">
      <c r="A470" s="11">
        <v>46118</v>
      </c>
      <c r="B470" t="s">
        <v>364</v>
      </c>
      <c r="C470" t="s">
        <v>41</v>
      </c>
      <c r="F470" s="17">
        <f>IF(Log[[#This Row],[ID]]="","",IF(ISNA(MATCH(Log[[#This Row],[ID]],Items[ID],0)),"unknown ID",IF(ISNA(MATCH(Log[[#This Row],[Verb]],VerbList,0)),"unknown verb",IF(Log[[#This Row],[Date]]="","no date",""))))</f>
      </c>
      <c r="G470" s="17">
        <f>IF(Log[[#This Row],[ID]]="","",IFERROR(VLOOKUP(Log[[#This Row],[Verb]],Verbs,3,FALSE)&amp;"",""))</f>
      </c>
      <c r="H470" s="17">
        <f>IF(Log[[#This Row],[Date]]="","",INT((Log[[#This Row],[Date]]-Sprint1)/SprintDays)+1)</f>
      </c>
      <c r="I470" s="17">
        <f>IF(OR(Log[[#This Row],[Verb]]="commit",Log[[#This Row],[Verb]]="carry",Log[[#This Row],[Verb]]="redo"),IF(Log[[#This Row],[Arg]]="",Log[[#This Row],[Sprint]],N(Log[[#This Row],[Arg]])),"")</f>
      </c>
      <c r="J470" s="17">
        <f>IF(Log[[#This Row],[Verb]]="block",1,IF(OR(Log[[#This Row],[Verb]]="unblock",Log[[#This Row],[Verb]]="done",Log[[#This Row],[Verb]]="drop",Log[[#This Row],[Verb]]="punt",Log[[#This Row],[Verb]]="pass"),0,""))</f>
      </c>
      <c r="K470" s="17">
        <f>IF(Log[[#This Row],[ID]]="",0,IFERROR(INDEX(Items[Pts],MATCH(Log[[#This Row],[ID]],Items[ID],0))*1,0))</f>
      </c>
      <c r="L470" s="17">
        <f>IF(Log[[#This Row],[ID]]="","",IFERROR(INDEX(Items[Cur team],MATCH(Log[[#This Row],[ID]],Items[ID],0))&amp;"",""))</f>
      </c>
      <c r="M470" s="17">
        <f>IF(OR(Log[[#This Row],[Verb]]="done",Log[[#This Row],[Verb]]="punt",Log[[#This Row],[Verb]]="drop",Log[[#This Row],[Verb]]="pass"),Log[[#This Row],[Pts]],0)</f>
      </c>
    </row>
    <row r="471">
      <c r="A471" s="11">
        <v>46118</v>
      </c>
      <c r="B471" t="s">
        <v>365</v>
      </c>
      <c r="C471" t="s">
        <v>41</v>
      </c>
      <c r="F471" s="17">
        <f>IF(Log[[#This Row],[ID]]="","",IF(ISNA(MATCH(Log[[#This Row],[ID]],Items[ID],0)),"unknown ID",IF(ISNA(MATCH(Log[[#This Row],[Verb]],VerbList,0)),"unknown verb",IF(Log[[#This Row],[Date]]="","no date",""))))</f>
      </c>
      <c r="G471" s="17">
        <f>IF(Log[[#This Row],[ID]]="","",IFERROR(VLOOKUP(Log[[#This Row],[Verb]],Verbs,3,FALSE)&amp;"",""))</f>
      </c>
      <c r="H471" s="17">
        <f>IF(Log[[#This Row],[Date]]="","",INT((Log[[#This Row],[Date]]-Sprint1)/SprintDays)+1)</f>
      </c>
      <c r="I471" s="17">
        <f>IF(OR(Log[[#This Row],[Verb]]="commit",Log[[#This Row],[Verb]]="carry",Log[[#This Row],[Verb]]="redo"),IF(Log[[#This Row],[Arg]]="",Log[[#This Row],[Sprint]],N(Log[[#This Row],[Arg]])),"")</f>
      </c>
      <c r="J471" s="17">
        <f>IF(Log[[#This Row],[Verb]]="block",1,IF(OR(Log[[#This Row],[Verb]]="unblock",Log[[#This Row],[Verb]]="done",Log[[#This Row],[Verb]]="drop",Log[[#This Row],[Verb]]="punt",Log[[#This Row],[Verb]]="pass"),0,""))</f>
      </c>
      <c r="K471" s="17">
        <f>IF(Log[[#This Row],[ID]]="",0,IFERROR(INDEX(Items[Pts],MATCH(Log[[#This Row],[ID]],Items[ID],0))*1,0))</f>
      </c>
      <c r="L471" s="17">
        <f>IF(Log[[#This Row],[ID]]="","",IFERROR(INDEX(Items[Cur team],MATCH(Log[[#This Row],[ID]],Items[ID],0))&amp;"",""))</f>
      </c>
      <c r="M471" s="17">
        <f>IF(OR(Log[[#This Row],[Verb]]="done",Log[[#This Row],[Verb]]="punt",Log[[#This Row],[Verb]]="drop",Log[[#This Row],[Verb]]="pass"),Log[[#This Row],[Pts]],0)</f>
      </c>
    </row>
    <row r="472">
      <c r="A472" s="11">
        <v>46118</v>
      </c>
      <c r="B472" t="s">
        <v>366</v>
      </c>
      <c r="C472" t="s">
        <v>41</v>
      </c>
      <c r="F472" s="17">
        <f>IF(Log[[#This Row],[ID]]="","",IF(ISNA(MATCH(Log[[#This Row],[ID]],Items[ID],0)),"unknown ID",IF(ISNA(MATCH(Log[[#This Row],[Verb]],VerbList,0)),"unknown verb",IF(Log[[#This Row],[Date]]="","no date",""))))</f>
      </c>
      <c r="G472" s="17">
        <f>IF(Log[[#This Row],[ID]]="","",IFERROR(VLOOKUP(Log[[#This Row],[Verb]],Verbs,3,FALSE)&amp;"",""))</f>
      </c>
      <c r="H472" s="17">
        <f>IF(Log[[#This Row],[Date]]="","",INT((Log[[#This Row],[Date]]-Sprint1)/SprintDays)+1)</f>
      </c>
      <c r="I472" s="17">
        <f>IF(OR(Log[[#This Row],[Verb]]="commit",Log[[#This Row],[Verb]]="carry",Log[[#This Row],[Verb]]="redo"),IF(Log[[#This Row],[Arg]]="",Log[[#This Row],[Sprint]],N(Log[[#This Row],[Arg]])),"")</f>
      </c>
      <c r="J472" s="17">
        <f>IF(Log[[#This Row],[Verb]]="block",1,IF(OR(Log[[#This Row],[Verb]]="unblock",Log[[#This Row],[Verb]]="done",Log[[#This Row],[Verb]]="drop",Log[[#This Row],[Verb]]="punt",Log[[#This Row],[Verb]]="pass"),0,""))</f>
      </c>
      <c r="K472" s="17">
        <f>IF(Log[[#This Row],[ID]]="",0,IFERROR(INDEX(Items[Pts],MATCH(Log[[#This Row],[ID]],Items[ID],0))*1,0))</f>
      </c>
      <c r="L472" s="17">
        <f>IF(Log[[#This Row],[ID]]="","",IFERROR(INDEX(Items[Cur team],MATCH(Log[[#This Row],[ID]],Items[ID],0))&amp;"",""))</f>
      </c>
      <c r="M472" s="17">
        <f>IF(OR(Log[[#This Row],[Verb]]="done",Log[[#This Row],[Verb]]="punt",Log[[#This Row],[Verb]]="drop",Log[[#This Row],[Verb]]="pass"),Log[[#This Row],[Pts]],0)</f>
      </c>
    </row>
    <row r="473">
      <c r="A473" s="11">
        <v>46118</v>
      </c>
      <c r="B473" t="s">
        <v>367</v>
      </c>
      <c r="C473" t="s">
        <v>41</v>
      </c>
      <c r="F473" s="17">
        <f>IF(Log[[#This Row],[ID]]="","",IF(ISNA(MATCH(Log[[#This Row],[ID]],Items[ID],0)),"unknown ID",IF(ISNA(MATCH(Log[[#This Row],[Verb]],VerbList,0)),"unknown verb",IF(Log[[#This Row],[Date]]="","no date",""))))</f>
      </c>
      <c r="G473" s="17">
        <f>IF(Log[[#This Row],[ID]]="","",IFERROR(VLOOKUP(Log[[#This Row],[Verb]],Verbs,3,FALSE)&amp;"",""))</f>
      </c>
      <c r="H473" s="17">
        <f>IF(Log[[#This Row],[Date]]="","",INT((Log[[#This Row],[Date]]-Sprint1)/SprintDays)+1)</f>
      </c>
      <c r="I473" s="17">
        <f>IF(OR(Log[[#This Row],[Verb]]="commit",Log[[#This Row],[Verb]]="carry",Log[[#This Row],[Verb]]="redo"),IF(Log[[#This Row],[Arg]]="",Log[[#This Row],[Sprint]],N(Log[[#This Row],[Arg]])),"")</f>
      </c>
      <c r="J473" s="17">
        <f>IF(Log[[#This Row],[Verb]]="block",1,IF(OR(Log[[#This Row],[Verb]]="unblock",Log[[#This Row],[Verb]]="done",Log[[#This Row],[Verb]]="drop",Log[[#This Row],[Verb]]="punt",Log[[#This Row],[Verb]]="pass"),0,""))</f>
      </c>
      <c r="K473" s="17">
        <f>IF(Log[[#This Row],[ID]]="",0,IFERROR(INDEX(Items[Pts],MATCH(Log[[#This Row],[ID]],Items[ID],0))*1,0))</f>
      </c>
      <c r="L473" s="17">
        <f>IF(Log[[#This Row],[ID]]="","",IFERROR(INDEX(Items[Cur team],MATCH(Log[[#This Row],[ID]],Items[ID],0))&amp;"",""))</f>
      </c>
      <c r="M473" s="17">
        <f>IF(OR(Log[[#This Row],[Verb]]="done",Log[[#This Row],[Verb]]="punt",Log[[#This Row],[Verb]]="drop",Log[[#This Row],[Verb]]="pass"),Log[[#This Row],[Pts]],0)</f>
      </c>
    </row>
    <row r="474">
      <c r="A474" s="11">
        <v>46118</v>
      </c>
      <c r="B474" t="s">
        <v>368</v>
      </c>
      <c r="C474" t="s">
        <v>41</v>
      </c>
      <c r="F474" s="17">
        <f>IF(Log[[#This Row],[ID]]="","",IF(ISNA(MATCH(Log[[#This Row],[ID]],Items[ID],0)),"unknown ID",IF(ISNA(MATCH(Log[[#This Row],[Verb]],VerbList,0)),"unknown verb",IF(Log[[#This Row],[Date]]="","no date",""))))</f>
      </c>
      <c r="G474" s="17">
        <f>IF(Log[[#This Row],[ID]]="","",IFERROR(VLOOKUP(Log[[#This Row],[Verb]],Verbs,3,FALSE)&amp;"",""))</f>
      </c>
      <c r="H474" s="17">
        <f>IF(Log[[#This Row],[Date]]="","",INT((Log[[#This Row],[Date]]-Sprint1)/SprintDays)+1)</f>
      </c>
      <c r="I474" s="17">
        <f>IF(OR(Log[[#This Row],[Verb]]="commit",Log[[#This Row],[Verb]]="carry",Log[[#This Row],[Verb]]="redo"),IF(Log[[#This Row],[Arg]]="",Log[[#This Row],[Sprint]],N(Log[[#This Row],[Arg]])),"")</f>
      </c>
      <c r="J474" s="17">
        <f>IF(Log[[#This Row],[Verb]]="block",1,IF(OR(Log[[#This Row],[Verb]]="unblock",Log[[#This Row],[Verb]]="done",Log[[#This Row],[Verb]]="drop",Log[[#This Row],[Verb]]="punt",Log[[#This Row],[Verb]]="pass"),0,""))</f>
      </c>
      <c r="K474" s="17">
        <f>IF(Log[[#This Row],[ID]]="",0,IFERROR(INDEX(Items[Pts],MATCH(Log[[#This Row],[ID]],Items[ID],0))*1,0))</f>
      </c>
      <c r="L474" s="17">
        <f>IF(Log[[#This Row],[ID]]="","",IFERROR(INDEX(Items[Cur team],MATCH(Log[[#This Row],[ID]],Items[ID],0))&amp;"",""))</f>
      </c>
      <c r="M474" s="17">
        <f>IF(OR(Log[[#This Row],[Verb]]="done",Log[[#This Row],[Verb]]="punt",Log[[#This Row],[Verb]]="drop",Log[[#This Row],[Verb]]="pass"),Log[[#This Row],[Pts]],0)</f>
      </c>
    </row>
    <row r="475">
      <c r="A475" s="11">
        <v>46118</v>
      </c>
      <c r="B475" t="s">
        <v>369</v>
      </c>
      <c r="C475" t="s">
        <v>41</v>
      </c>
      <c r="F475" s="17">
        <f>IF(Log[[#This Row],[ID]]="","",IF(ISNA(MATCH(Log[[#This Row],[ID]],Items[ID],0)),"unknown ID",IF(ISNA(MATCH(Log[[#This Row],[Verb]],VerbList,0)),"unknown verb",IF(Log[[#This Row],[Date]]="","no date",""))))</f>
      </c>
      <c r="G475" s="17">
        <f>IF(Log[[#This Row],[ID]]="","",IFERROR(VLOOKUP(Log[[#This Row],[Verb]],Verbs,3,FALSE)&amp;"",""))</f>
      </c>
      <c r="H475" s="17">
        <f>IF(Log[[#This Row],[Date]]="","",INT((Log[[#This Row],[Date]]-Sprint1)/SprintDays)+1)</f>
      </c>
      <c r="I475" s="17">
        <f>IF(OR(Log[[#This Row],[Verb]]="commit",Log[[#This Row],[Verb]]="carry",Log[[#This Row],[Verb]]="redo"),IF(Log[[#This Row],[Arg]]="",Log[[#This Row],[Sprint]],N(Log[[#This Row],[Arg]])),"")</f>
      </c>
      <c r="J475" s="17">
        <f>IF(Log[[#This Row],[Verb]]="block",1,IF(OR(Log[[#This Row],[Verb]]="unblock",Log[[#This Row],[Verb]]="done",Log[[#This Row],[Verb]]="drop",Log[[#This Row],[Verb]]="punt",Log[[#This Row],[Verb]]="pass"),0,""))</f>
      </c>
      <c r="K475" s="17">
        <f>IF(Log[[#This Row],[ID]]="",0,IFERROR(INDEX(Items[Pts],MATCH(Log[[#This Row],[ID]],Items[ID],0))*1,0))</f>
      </c>
      <c r="L475" s="17">
        <f>IF(Log[[#This Row],[ID]]="","",IFERROR(INDEX(Items[Cur team],MATCH(Log[[#This Row],[ID]],Items[ID],0))&amp;"",""))</f>
      </c>
      <c r="M475" s="17">
        <f>IF(OR(Log[[#This Row],[Verb]]="done",Log[[#This Row],[Verb]]="punt",Log[[#This Row],[Verb]]="drop",Log[[#This Row],[Verb]]="pass"),Log[[#This Row],[Pts]],0)</f>
      </c>
    </row>
    <row r="476">
      <c r="A476" s="11">
        <v>46118</v>
      </c>
      <c r="B476" t="s">
        <v>370</v>
      </c>
      <c r="C476" t="s">
        <v>41</v>
      </c>
      <c r="F476" s="17">
        <f>IF(Log[[#This Row],[ID]]="","",IF(ISNA(MATCH(Log[[#This Row],[ID]],Items[ID],0)),"unknown ID",IF(ISNA(MATCH(Log[[#This Row],[Verb]],VerbList,0)),"unknown verb",IF(Log[[#This Row],[Date]]="","no date",""))))</f>
      </c>
      <c r="G476" s="17">
        <f>IF(Log[[#This Row],[ID]]="","",IFERROR(VLOOKUP(Log[[#This Row],[Verb]],Verbs,3,FALSE)&amp;"",""))</f>
      </c>
      <c r="H476" s="17">
        <f>IF(Log[[#This Row],[Date]]="","",INT((Log[[#This Row],[Date]]-Sprint1)/SprintDays)+1)</f>
      </c>
      <c r="I476" s="17">
        <f>IF(OR(Log[[#This Row],[Verb]]="commit",Log[[#This Row],[Verb]]="carry",Log[[#This Row],[Verb]]="redo"),IF(Log[[#This Row],[Arg]]="",Log[[#This Row],[Sprint]],N(Log[[#This Row],[Arg]])),"")</f>
      </c>
      <c r="J476" s="17">
        <f>IF(Log[[#This Row],[Verb]]="block",1,IF(OR(Log[[#This Row],[Verb]]="unblock",Log[[#This Row],[Verb]]="done",Log[[#This Row],[Verb]]="drop",Log[[#This Row],[Verb]]="punt",Log[[#This Row],[Verb]]="pass"),0,""))</f>
      </c>
      <c r="K476" s="17">
        <f>IF(Log[[#This Row],[ID]]="",0,IFERROR(INDEX(Items[Pts],MATCH(Log[[#This Row],[ID]],Items[ID],0))*1,0))</f>
      </c>
      <c r="L476" s="17">
        <f>IF(Log[[#This Row],[ID]]="","",IFERROR(INDEX(Items[Cur team],MATCH(Log[[#This Row],[ID]],Items[ID],0))&amp;"",""))</f>
      </c>
      <c r="M476" s="17">
        <f>IF(OR(Log[[#This Row],[Verb]]="done",Log[[#This Row],[Verb]]="punt",Log[[#This Row],[Verb]]="drop",Log[[#This Row],[Verb]]="pass"),Log[[#This Row],[Pts]],0)</f>
      </c>
    </row>
    <row r="477">
      <c r="A477" s="11">
        <v>46118</v>
      </c>
      <c r="B477" t="s">
        <v>371</v>
      </c>
      <c r="C477" t="s">
        <v>41</v>
      </c>
      <c r="F477" s="17">
        <f>IF(Log[[#This Row],[ID]]="","",IF(ISNA(MATCH(Log[[#This Row],[ID]],Items[ID],0)),"unknown ID",IF(ISNA(MATCH(Log[[#This Row],[Verb]],VerbList,0)),"unknown verb",IF(Log[[#This Row],[Date]]="","no date",""))))</f>
      </c>
      <c r="G477" s="17">
        <f>IF(Log[[#This Row],[ID]]="","",IFERROR(VLOOKUP(Log[[#This Row],[Verb]],Verbs,3,FALSE)&amp;"",""))</f>
      </c>
      <c r="H477" s="17">
        <f>IF(Log[[#This Row],[Date]]="","",INT((Log[[#This Row],[Date]]-Sprint1)/SprintDays)+1)</f>
      </c>
      <c r="I477" s="17">
        <f>IF(OR(Log[[#This Row],[Verb]]="commit",Log[[#This Row],[Verb]]="carry",Log[[#This Row],[Verb]]="redo"),IF(Log[[#This Row],[Arg]]="",Log[[#This Row],[Sprint]],N(Log[[#This Row],[Arg]])),"")</f>
      </c>
      <c r="J477" s="17">
        <f>IF(Log[[#This Row],[Verb]]="block",1,IF(OR(Log[[#This Row],[Verb]]="unblock",Log[[#This Row],[Verb]]="done",Log[[#This Row],[Verb]]="drop",Log[[#This Row],[Verb]]="punt",Log[[#This Row],[Verb]]="pass"),0,""))</f>
      </c>
      <c r="K477" s="17">
        <f>IF(Log[[#This Row],[ID]]="",0,IFERROR(INDEX(Items[Pts],MATCH(Log[[#This Row],[ID]],Items[ID],0))*1,0))</f>
      </c>
      <c r="L477" s="17">
        <f>IF(Log[[#This Row],[ID]]="","",IFERROR(INDEX(Items[Cur team],MATCH(Log[[#This Row],[ID]],Items[ID],0))&amp;"",""))</f>
      </c>
      <c r="M477" s="17">
        <f>IF(OR(Log[[#This Row],[Verb]]="done",Log[[#This Row],[Verb]]="punt",Log[[#This Row],[Verb]]="drop",Log[[#This Row],[Verb]]="pass"),Log[[#This Row],[Pts]],0)</f>
      </c>
    </row>
    <row r="478">
      <c r="A478" s="11">
        <v>46118</v>
      </c>
      <c r="B478" t="s">
        <v>372</v>
      </c>
      <c r="C478" t="s">
        <v>38</v>
      </c>
      <c r="D478">
        <v>41</v>
      </c>
      <c r="F478" s="17">
        <f>IF(Log[[#This Row],[ID]]="","",IF(ISNA(MATCH(Log[[#This Row],[ID]],Items[ID],0)),"unknown ID",IF(ISNA(MATCH(Log[[#This Row],[Verb]],VerbList,0)),"unknown verb",IF(Log[[#This Row],[Date]]="","no date",""))))</f>
      </c>
      <c r="G478" s="17">
        <f>IF(Log[[#This Row],[ID]]="","",IFERROR(VLOOKUP(Log[[#This Row],[Verb]],Verbs,3,FALSE)&amp;"",""))</f>
      </c>
      <c r="H478" s="17">
        <f>IF(Log[[#This Row],[Date]]="","",INT((Log[[#This Row],[Date]]-Sprint1)/SprintDays)+1)</f>
      </c>
      <c r="I478" s="17">
        <f>IF(OR(Log[[#This Row],[Verb]]="commit",Log[[#This Row],[Verb]]="carry",Log[[#This Row],[Verb]]="redo"),IF(Log[[#This Row],[Arg]]="",Log[[#This Row],[Sprint]],N(Log[[#This Row],[Arg]])),"")</f>
      </c>
      <c r="J478" s="17">
        <f>IF(Log[[#This Row],[Verb]]="block",1,IF(OR(Log[[#This Row],[Verb]]="unblock",Log[[#This Row],[Verb]]="done",Log[[#This Row],[Verb]]="drop",Log[[#This Row],[Verb]]="punt",Log[[#This Row],[Verb]]="pass"),0,""))</f>
      </c>
      <c r="K478" s="17">
        <f>IF(Log[[#This Row],[ID]]="",0,IFERROR(INDEX(Items[Pts],MATCH(Log[[#This Row],[ID]],Items[ID],0))*1,0))</f>
      </c>
      <c r="L478" s="17">
        <f>IF(Log[[#This Row],[ID]]="","",IFERROR(INDEX(Items[Cur team],MATCH(Log[[#This Row],[ID]],Items[ID],0))&amp;"",""))</f>
      </c>
      <c r="M478" s="17">
        <f>IF(OR(Log[[#This Row],[Verb]]="done",Log[[#This Row],[Verb]]="punt",Log[[#This Row],[Verb]]="drop",Log[[#This Row],[Verb]]="pass"),Log[[#This Row],[Pts]],0)</f>
      </c>
    </row>
    <row r="479">
      <c r="A479" s="11">
        <v>46118</v>
      </c>
      <c r="B479" t="s">
        <v>373</v>
      </c>
      <c r="C479" t="s">
        <v>41</v>
      </c>
      <c r="F479" s="17">
        <f>IF(Log[[#This Row],[ID]]="","",IF(ISNA(MATCH(Log[[#This Row],[ID]],Items[ID],0)),"unknown ID",IF(ISNA(MATCH(Log[[#This Row],[Verb]],VerbList,0)),"unknown verb",IF(Log[[#This Row],[Date]]="","no date",""))))</f>
      </c>
      <c r="G479" s="17">
        <f>IF(Log[[#This Row],[ID]]="","",IFERROR(VLOOKUP(Log[[#This Row],[Verb]],Verbs,3,FALSE)&amp;"",""))</f>
      </c>
      <c r="H479" s="17">
        <f>IF(Log[[#This Row],[Date]]="","",INT((Log[[#This Row],[Date]]-Sprint1)/SprintDays)+1)</f>
      </c>
      <c r="I479" s="17">
        <f>IF(OR(Log[[#This Row],[Verb]]="commit",Log[[#This Row],[Verb]]="carry",Log[[#This Row],[Verb]]="redo"),IF(Log[[#This Row],[Arg]]="",Log[[#This Row],[Sprint]],N(Log[[#This Row],[Arg]])),"")</f>
      </c>
      <c r="J479" s="17">
        <f>IF(Log[[#This Row],[Verb]]="block",1,IF(OR(Log[[#This Row],[Verb]]="unblock",Log[[#This Row],[Verb]]="done",Log[[#This Row],[Verb]]="drop",Log[[#This Row],[Verb]]="punt",Log[[#This Row],[Verb]]="pass"),0,""))</f>
      </c>
      <c r="K479" s="17">
        <f>IF(Log[[#This Row],[ID]]="",0,IFERROR(INDEX(Items[Pts],MATCH(Log[[#This Row],[ID]],Items[ID],0))*1,0))</f>
      </c>
      <c r="L479" s="17">
        <f>IF(Log[[#This Row],[ID]]="","",IFERROR(INDEX(Items[Cur team],MATCH(Log[[#This Row],[ID]],Items[ID],0))&amp;"",""))</f>
      </c>
      <c r="M479" s="17">
        <f>IF(OR(Log[[#This Row],[Verb]]="done",Log[[#This Row],[Verb]]="punt",Log[[#This Row],[Verb]]="drop",Log[[#This Row],[Verb]]="pass"),Log[[#This Row],[Pts]],0)</f>
      </c>
    </row>
    <row r="480">
      <c r="A480" s="11">
        <v>46119</v>
      </c>
      <c r="B480" t="s">
        <v>374</v>
      </c>
      <c r="C480" t="s">
        <v>34</v>
      </c>
      <c r="D480">
        <v>41</v>
      </c>
      <c r="F480" s="17">
        <f>IF(Log[[#This Row],[ID]]="","",IF(ISNA(MATCH(Log[[#This Row],[ID]],Items[ID],0)),"unknown ID",IF(ISNA(MATCH(Log[[#This Row],[Verb]],VerbList,0)),"unknown verb",IF(Log[[#This Row],[Date]]="","no date",""))))</f>
      </c>
      <c r="G480" s="17">
        <f>IF(Log[[#This Row],[ID]]="","",IFERROR(VLOOKUP(Log[[#This Row],[Verb]],Verbs,3,FALSE)&amp;"",""))</f>
      </c>
      <c r="H480" s="17">
        <f>IF(Log[[#This Row],[Date]]="","",INT((Log[[#This Row],[Date]]-Sprint1)/SprintDays)+1)</f>
      </c>
      <c r="I480" s="17">
        <f>IF(OR(Log[[#This Row],[Verb]]="commit",Log[[#This Row],[Verb]]="carry",Log[[#This Row],[Verb]]="redo"),IF(Log[[#This Row],[Arg]]="",Log[[#This Row],[Sprint]],N(Log[[#This Row],[Arg]])),"")</f>
      </c>
      <c r="J480" s="17">
        <f>IF(Log[[#This Row],[Verb]]="block",1,IF(OR(Log[[#This Row],[Verb]]="unblock",Log[[#This Row],[Verb]]="done",Log[[#This Row],[Verb]]="drop",Log[[#This Row],[Verb]]="punt",Log[[#This Row],[Verb]]="pass"),0,""))</f>
      </c>
      <c r="K480" s="17">
        <f>IF(Log[[#This Row],[ID]]="",0,IFERROR(INDEX(Items[Pts],MATCH(Log[[#This Row],[ID]],Items[ID],0))*1,0))</f>
      </c>
      <c r="L480" s="17">
        <f>IF(Log[[#This Row],[ID]]="","",IFERROR(INDEX(Items[Cur team],MATCH(Log[[#This Row],[ID]],Items[ID],0))&amp;"",""))</f>
      </c>
      <c r="M480" s="17">
        <f>IF(OR(Log[[#This Row],[Verb]]="done",Log[[#This Row],[Verb]]="punt",Log[[#This Row],[Verb]]="drop",Log[[#This Row],[Verb]]="pass"),Log[[#This Row],[Pts]],0)</f>
      </c>
    </row>
    <row r="481">
      <c r="A481" s="11">
        <v>46119</v>
      </c>
      <c r="B481" t="s">
        <v>375</v>
      </c>
      <c r="C481" t="s">
        <v>34</v>
      </c>
      <c r="D481">
        <v>41</v>
      </c>
      <c r="F481" s="17">
        <f>IF(Log[[#This Row],[ID]]="","",IF(ISNA(MATCH(Log[[#This Row],[ID]],Items[ID],0)),"unknown ID",IF(ISNA(MATCH(Log[[#This Row],[Verb]],VerbList,0)),"unknown verb",IF(Log[[#This Row],[Date]]="","no date",""))))</f>
      </c>
      <c r="G481" s="17">
        <f>IF(Log[[#This Row],[ID]]="","",IFERROR(VLOOKUP(Log[[#This Row],[Verb]],Verbs,3,FALSE)&amp;"",""))</f>
      </c>
      <c r="H481" s="17">
        <f>IF(Log[[#This Row],[Date]]="","",INT((Log[[#This Row],[Date]]-Sprint1)/SprintDays)+1)</f>
      </c>
      <c r="I481" s="17">
        <f>IF(OR(Log[[#This Row],[Verb]]="commit",Log[[#This Row],[Verb]]="carry",Log[[#This Row],[Verb]]="redo"),IF(Log[[#This Row],[Arg]]="",Log[[#This Row],[Sprint]],N(Log[[#This Row],[Arg]])),"")</f>
      </c>
      <c r="J481" s="17">
        <f>IF(Log[[#This Row],[Verb]]="block",1,IF(OR(Log[[#This Row],[Verb]]="unblock",Log[[#This Row],[Verb]]="done",Log[[#This Row],[Verb]]="drop",Log[[#This Row],[Verb]]="punt",Log[[#This Row],[Verb]]="pass"),0,""))</f>
      </c>
      <c r="K481" s="17">
        <f>IF(Log[[#This Row],[ID]]="",0,IFERROR(INDEX(Items[Pts],MATCH(Log[[#This Row],[ID]],Items[ID],0))*1,0))</f>
      </c>
      <c r="L481" s="17">
        <f>IF(Log[[#This Row],[ID]]="","",IFERROR(INDEX(Items[Cur team],MATCH(Log[[#This Row],[ID]],Items[ID],0))&amp;"",""))</f>
      </c>
      <c r="M481" s="17">
        <f>IF(OR(Log[[#This Row],[Verb]]="done",Log[[#This Row],[Verb]]="punt",Log[[#This Row],[Verb]]="drop",Log[[#This Row],[Verb]]="pass"),Log[[#This Row],[Pts]],0)</f>
      </c>
    </row>
    <row r="482">
      <c r="A482" s="11">
        <v>46119</v>
      </c>
      <c r="B482" t="s">
        <v>376</v>
      </c>
      <c r="C482" t="s">
        <v>34</v>
      </c>
      <c r="D482">
        <v>41</v>
      </c>
      <c r="F482" s="17">
        <f>IF(Log[[#This Row],[ID]]="","",IF(ISNA(MATCH(Log[[#This Row],[ID]],Items[ID],0)),"unknown ID",IF(ISNA(MATCH(Log[[#This Row],[Verb]],VerbList,0)),"unknown verb",IF(Log[[#This Row],[Date]]="","no date",""))))</f>
      </c>
      <c r="G482" s="17">
        <f>IF(Log[[#This Row],[ID]]="","",IFERROR(VLOOKUP(Log[[#This Row],[Verb]],Verbs,3,FALSE)&amp;"",""))</f>
      </c>
      <c r="H482" s="17">
        <f>IF(Log[[#This Row],[Date]]="","",INT((Log[[#This Row],[Date]]-Sprint1)/SprintDays)+1)</f>
      </c>
      <c r="I482" s="17">
        <f>IF(OR(Log[[#This Row],[Verb]]="commit",Log[[#This Row],[Verb]]="carry",Log[[#This Row],[Verb]]="redo"),IF(Log[[#This Row],[Arg]]="",Log[[#This Row],[Sprint]],N(Log[[#This Row],[Arg]])),"")</f>
      </c>
      <c r="J482" s="17">
        <f>IF(Log[[#This Row],[Verb]]="block",1,IF(OR(Log[[#This Row],[Verb]]="unblock",Log[[#This Row],[Verb]]="done",Log[[#This Row],[Verb]]="drop",Log[[#This Row],[Verb]]="punt",Log[[#This Row],[Verb]]="pass"),0,""))</f>
      </c>
      <c r="K482" s="17">
        <f>IF(Log[[#This Row],[ID]]="",0,IFERROR(INDEX(Items[Pts],MATCH(Log[[#This Row],[ID]],Items[ID],0))*1,0))</f>
      </c>
      <c r="L482" s="17">
        <f>IF(Log[[#This Row],[ID]]="","",IFERROR(INDEX(Items[Cur team],MATCH(Log[[#This Row],[ID]],Items[ID],0))&amp;"",""))</f>
      </c>
      <c r="M482" s="17">
        <f>IF(OR(Log[[#This Row],[Verb]]="done",Log[[#This Row],[Verb]]="punt",Log[[#This Row],[Verb]]="drop",Log[[#This Row],[Verb]]="pass"),Log[[#This Row],[Pts]],0)</f>
      </c>
    </row>
    <row r="483">
      <c r="A483" s="11">
        <v>46119</v>
      </c>
      <c r="B483" t="s">
        <v>377</v>
      </c>
      <c r="C483" t="s">
        <v>34</v>
      </c>
      <c r="D483">
        <v>41</v>
      </c>
      <c r="F483" s="17">
        <f>IF(Log[[#This Row],[ID]]="","",IF(ISNA(MATCH(Log[[#This Row],[ID]],Items[ID],0)),"unknown ID",IF(ISNA(MATCH(Log[[#This Row],[Verb]],VerbList,0)),"unknown verb",IF(Log[[#This Row],[Date]]="","no date",""))))</f>
      </c>
      <c r="G483" s="17">
        <f>IF(Log[[#This Row],[ID]]="","",IFERROR(VLOOKUP(Log[[#This Row],[Verb]],Verbs,3,FALSE)&amp;"",""))</f>
      </c>
      <c r="H483" s="17">
        <f>IF(Log[[#This Row],[Date]]="","",INT((Log[[#This Row],[Date]]-Sprint1)/SprintDays)+1)</f>
      </c>
      <c r="I483" s="17">
        <f>IF(OR(Log[[#This Row],[Verb]]="commit",Log[[#This Row],[Verb]]="carry",Log[[#This Row],[Verb]]="redo"),IF(Log[[#This Row],[Arg]]="",Log[[#This Row],[Sprint]],N(Log[[#This Row],[Arg]])),"")</f>
      </c>
      <c r="J483" s="17">
        <f>IF(Log[[#This Row],[Verb]]="block",1,IF(OR(Log[[#This Row],[Verb]]="unblock",Log[[#This Row],[Verb]]="done",Log[[#This Row],[Verb]]="drop",Log[[#This Row],[Verb]]="punt",Log[[#This Row],[Verb]]="pass"),0,""))</f>
      </c>
      <c r="K483" s="17">
        <f>IF(Log[[#This Row],[ID]]="",0,IFERROR(INDEX(Items[Pts],MATCH(Log[[#This Row],[ID]],Items[ID],0))*1,0))</f>
      </c>
      <c r="L483" s="17">
        <f>IF(Log[[#This Row],[ID]]="","",IFERROR(INDEX(Items[Cur team],MATCH(Log[[#This Row],[ID]],Items[ID],0))&amp;"",""))</f>
      </c>
      <c r="M483" s="17">
        <f>IF(OR(Log[[#This Row],[Verb]]="done",Log[[#This Row],[Verb]]="punt",Log[[#This Row],[Verb]]="drop",Log[[#This Row],[Verb]]="pass"),Log[[#This Row],[Pts]],0)</f>
      </c>
    </row>
    <row r="484">
      <c r="A484" s="11">
        <v>46119</v>
      </c>
      <c r="B484" t="s">
        <v>378</v>
      </c>
      <c r="C484" t="s">
        <v>34</v>
      </c>
      <c r="D484">
        <v>41</v>
      </c>
      <c r="F484" s="17">
        <f>IF(Log[[#This Row],[ID]]="","",IF(ISNA(MATCH(Log[[#This Row],[ID]],Items[ID],0)),"unknown ID",IF(ISNA(MATCH(Log[[#This Row],[Verb]],VerbList,0)),"unknown verb",IF(Log[[#This Row],[Date]]="","no date",""))))</f>
      </c>
      <c r="G484" s="17">
        <f>IF(Log[[#This Row],[ID]]="","",IFERROR(VLOOKUP(Log[[#This Row],[Verb]],Verbs,3,FALSE)&amp;"",""))</f>
      </c>
      <c r="H484" s="17">
        <f>IF(Log[[#This Row],[Date]]="","",INT((Log[[#This Row],[Date]]-Sprint1)/SprintDays)+1)</f>
      </c>
      <c r="I484" s="17">
        <f>IF(OR(Log[[#This Row],[Verb]]="commit",Log[[#This Row],[Verb]]="carry",Log[[#This Row],[Verb]]="redo"),IF(Log[[#This Row],[Arg]]="",Log[[#This Row],[Sprint]],N(Log[[#This Row],[Arg]])),"")</f>
      </c>
      <c r="J484" s="17">
        <f>IF(Log[[#This Row],[Verb]]="block",1,IF(OR(Log[[#This Row],[Verb]]="unblock",Log[[#This Row],[Verb]]="done",Log[[#This Row],[Verb]]="drop",Log[[#This Row],[Verb]]="punt",Log[[#This Row],[Verb]]="pass"),0,""))</f>
      </c>
      <c r="K484" s="17">
        <f>IF(Log[[#This Row],[ID]]="",0,IFERROR(INDEX(Items[Pts],MATCH(Log[[#This Row],[ID]],Items[ID],0))*1,0))</f>
      </c>
      <c r="L484" s="17">
        <f>IF(Log[[#This Row],[ID]]="","",IFERROR(INDEX(Items[Cur team],MATCH(Log[[#This Row],[ID]],Items[ID],0))&amp;"",""))</f>
      </c>
      <c r="M484" s="17">
        <f>IF(OR(Log[[#This Row],[Verb]]="done",Log[[#This Row],[Verb]]="punt",Log[[#This Row],[Verb]]="drop",Log[[#This Row],[Verb]]="pass"),Log[[#This Row],[Pts]],0)</f>
      </c>
    </row>
    <row r="485">
      <c r="A485" s="11">
        <v>46119</v>
      </c>
      <c r="B485" t="s">
        <v>379</v>
      </c>
      <c r="C485" t="s">
        <v>34</v>
      </c>
      <c r="D485">
        <v>41</v>
      </c>
      <c r="F485" s="17">
        <f>IF(Log[[#This Row],[ID]]="","",IF(ISNA(MATCH(Log[[#This Row],[ID]],Items[ID],0)),"unknown ID",IF(ISNA(MATCH(Log[[#This Row],[Verb]],VerbList,0)),"unknown verb",IF(Log[[#This Row],[Date]]="","no date",""))))</f>
      </c>
      <c r="G485" s="17">
        <f>IF(Log[[#This Row],[ID]]="","",IFERROR(VLOOKUP(Log[[#This Row],[Verb]],Verbs,3,FALSE)&amp;"",""))</f>
      </c>
      <c r="H485" s="17">
        <f>IF(Log[[#This Row],[Date]]="","",INT((Log[[#This Row],[Date]]-Sprint1)/SprintDays)+1)</f>
      </c>
      <c r="I485" s="17">
        <f>IF(OR(Log[[#This Row],[Verb]]="commit",Log[[#This Row],[Verb]]="carry",Log[[#This Row],[Verb]]="redo"),IF(Log[[#This Row],[Arg]]="",Log[[#This Row],[Sprint]],N(Log[[#This Row],[Arg]])),"")</f>
      </c>
      <c r="J485" s="17">
        <f>IF(Log[[#This Row],[Verb]]="block",1,IF(OR(Log[[#This Row],[Verb]]="unblock",Log[[#This Row],[Verb]]="done",Log[[#This Row],[Verb]]="drop",Log[[#This Row],[Verb]]="punt",Log[[#This Row],[Verb]]="pass"),0,""))</f>
      </c>
      <c r="K485" s="17">
        <f>IF(Log[[#This Row],[ID]]="",0,IFERROR(INDEX(Items[Pts],MATCH(Log[[#This Row],[ID]],Items[ID],0))*1,0))</f>
      </c>
      <c r="L485" s="17">
        <f>IF(Log[[#This Row],[ID]]="","",IFERROR(INDEX(Items[Cur team],MATCH(Log[[#This Row],[ID]],Items[ID],0))&amp;"",""))</f>
      </c>
      <c r="M485" s="17">
        <f>IF(OR(Log[[#This Row],[Verb]]="done",Log[[#This Row],[Verb]]="punt",Log[[#This Row],[Verb]]="drop",Log[[#This Row],[Verb]]="pass"),Log[[#This Row],[Pts]],0)</f>
      </c>
    </row>
    <row r="486">
      <c r="A486" s="11">
        <v>46119</v>
      </c>
      <c r="B486" t="s">
        <v>380</v>
      </c>
      <c r="C486" t="s">
        <v>34</v>
      </c>
      <c r="D486">
        <v>41</v>
      </c>
      <c r="F486" s="17">
        <f>IF(Log[[#This Row],[ID]]="","",IF(ISNA(MATCH(Log[[#This Row],[ID]],Items[ID],0)),"unknown ID",IF(ISNA(MATCH(Log[[#This Row],[Verb]],VerbList,0)),"unknown verb",IF(Log[[#This Row],[Date]]="","no date",""))))</f>
      </c>
      <c r="G486" s="17">
        <f>IF(Log[[#This Row],[ID]]="","",IFERROR(VLOOKUP(Log[[#This Row],[Verb]],Verbs,3,FALSE)&amp;"",""))</f>
      </c>
      <c r="H486" s="17">
        <f>IF(Log[[#This Row],[Date]]="","",INT((Log[[#This Row],[Date]]-Sprint1)/SprintDays)+1)</f>
      </c>
      <c r="I486" s="17">
        <f>IF(OR(Log[[#This Row],[Verb]]="commit",Log[[#This Row],[Verb]]="carry",Log[[#This Row],[Verb]]="redo"),IF(Log[[#This Row],[Arg]]="",Log[[#This Row],[Sprint]],N(Log[[#This Row],[Arg]])),"")</f>
      </c>
      <c r="J486" s="17">
        <f>IF(Log[[#This Row],[Verb]]="block",1,IF(OR(Log[[#This Row],[Verb]]="unblock",Log[[#This Row],[Verb]]="done",Log[[#This Row],[Verb]]="drop",Log[[#This Row],[Verb]]="punt",Log[[#This Row],[Verb]]="pass"),0,""))</f>
      </c>
      <c r="K486" s="17">
        <f>IF(Log[[#This Row],[ID]]="",0,IFERROR(INDEX(Items[Pts],MATCH(Log[[#This Row],[ID]],Items[ID],0))*1,0))</f>
      </c>
      <c r="L486" s="17">
        <f>IF(Log[[#This Row],[ID]]="","",IFERROR(INDEX(Items[Cur team],MATCH(Log[[#This Row],[ID]],Items[ID],0))&amp;"",""))</f>
      </c>
      <c r="M486" s="17">
        <f>IF(OR(Log[[#This Row],[Verb]]="done",Log[[#This Row],[Verb]]="punt",Log[[#This Row],[Verb]]="drop",Log[[#This Row],[Verb]]="pass"),Log[[#This Row],[Pts]],0)</f>
      </c>
    </row>
    <row r="487">
      <c r="A487" s="11">
        <v>46119</v>
      </c>
      <c r="B487" t="s">
        <v>381</v>
      </c>
      <c r="C487" t="s">
        <v>34</v>
      </c>
      <c r="D487">
        <v>41</v>
      </c>
      <c r="F487" s="17">
        <f>IF(Log[[#This Row],[ID]]="","",IF(ISNA(MATCH(Log[[#This Row],[ID]],Items[ID],0)),"unknown ID",IF(ISNA(MATCH(Log[[#This Row],[Verb]],VerbList,0)),"unknown verb",IF(Log[[#This Row],[Date]]="","no date",""))))</f>
      </c>
      <c r="G487" s="17">
        <f>IF(Log[[#This Row],[ID]]="","",IFERROR(VLOOKUP(Log[[#This Row],[Verb]],Verbs,3,FALSE)&amp;"",""))</f>
      </c>
      <c r="H487" s="17">
        <f>IF(Log[[#This Row],[Date]]="","",INT((Log[[#This Row],[Date]]-Sprint1)/SprintDays)+1)</f>
      </c>
      <c r="I487" s="17">
        <f>IF(OR(Log[[#This Row],[Verb]]="commit",Log[[#This Row],[Verb]]="carry",Log[[#This Row],[Verb]]="redo"),IF(Log[[#This Row],[Arg]]="",Log[[#This Row],[Sprint]],N(Log[[#This Row],[Arg]])),"")</f>
      </c>
      <c r="J487" s="17">
        <f>IF(Log[[#This Row],[Verb]]="block",1,IF(OR(Log[[#This Row],[Verb]]="unblock",Log[[#This Row],[Verb]]="done",Log[[#This Row],[Verb]]="drop",Log[[#This Row],[Verb]]="punt",Log[[#This Row],[Verb]]="pass"),0,""))</f>
      </c>
      <c r="K487" s="17">
        <f>IF(Log[[#This Row],[ID]]="",0,IFERROR(INDEX(Items[Pts],MATCH(Log[[#This Row],[ID]],Items[ID],0))*1,0))</f>
      </c>
      <c r="L487" s="17">
        <f>IF(Log[[#This Row],[ID]]="","",IFERROR(INDEX(Items[Cur team],MATCH(Log[[#This Row],[ID]],Items[ID],0))&amp;"",""))</f>
      </c>
      <c r="M487" s="17">
        <f>IF(OR(Log[[#This Row],[Verb]]="done",Log[[#This Row],[Verb]]="punt",Log[[#This Row],[Verb]]="drop",Log[[#This Row],[Verb]]="pass"),Log[[#This Row],[Pts]],0)</f>
      </c>
    </row>
    <row r="488">
      <c r="A488" s="11">
        <v>46119</v>
      </c>
      <c r="B488" t="s">
        <v>382</v>
      </c>
      <c r="C488" t="s">
        <v>34</v>
      </c>
      <c r="D488">
        <v>41</v>
      </c>
      <c r="F488" s="17">
        <f>IF(Log[[#This Row],[ID]]="","",IF(ISNA(MATCH(Log[[#This Row],[ID]],Items[ID],0)),"unknown ID",IF(ISNA(MATCH(Log[[#This Row],[Verb]],VerbList,0)),"unknown verb",IF(Log[[#This Row],[Date]]="","no date",""))))</f>
      </c>
      <c r="G488" s="17">
        <f>IF(Log[[#This Row],[ID]]="","",IFERROR(VLOOKUP(Log[[#This Row],[Verb]],Verbs,3,FALSE)&amp;"",""))</f>
      </c>
      <c r="H488" s="17">
        <f>IF(Log[[#This Row],[Date]]="","",INT((Log[[#This Row],[Date]]-Sprint1)/SprintDays)+1)</f>
      </c>
      <c r="I488" s="17">
        <f>IF(OR(Log[[#This Row],[Verb]]="commit",Log[[#This Row],[Verb]]="carry",Log[[#This Row],[Verb]]="redo"),IF(Log[[#This Row],[Arg]]="",Log[[#This Row],[Sprint]],N(Log[[#This Row],[Arg]])),"")</f>
      </c>
      <c r="J488" s="17">
        <f>IF(Log[[#This Row],[Verb]]="block",1,IF(OR(Log[[#This Row],[Verb]]="unblock",Log[[#This Row],[Verb]]="done",Log[[#This Row],[Verb]]="drop",Log[[#This Row],[Verb]]="punt",Log[[#This Row],[Verb]]="pass"),0,""))</f>
      </c>
      <c r="K488" s="17">
        <f>IF(Log[[#This Row],[ID]]="",0,IFERROR(INDEX(Items[Pts],MATCH(Log[[#This Row],[ID]],Items[ID],0))*1,0))</f>
      </c>
      <c r="L488" s="17">
        <f>IF(Log[[#This Row],[ID]]="","",IFERROR(INDEX(Items[Cur team],MATCH(Log[[#This Row],[ID]],Items[ID],0))&amp;"",""))</f>
      </c>
      <c r="M488" s="17">
        <f>IF(OR(Log[[#This Row],[Verb]]="done",Log[[#This Row],[Verb]]="punt",Log[[#This Row],[Verb]]="drop",Log[[#This Row],[Verb]]="pass"),Log[[#This Row],[Pts]],0)</f>
      </c>
    </row>
    <row r="489">
      <c r="A489" s="11">
        <v>46119</v>
      </c>
      <c r="B489" t="s">
        <v>383</v>
      </c>
      <c r="C489" t="s">
        <v>34</v>
      </c>
      <c r="D489">
        <v>41</v>
      </c>
      <c r="F489" s="17">
        <f>IF(Log[[#This Row],[ID]]="","",IF(ISNA(MATCH(Log[[#This Row],[ID]],Items[ID],0)),"unknown ID",IF(ISNA(MATCH(Log[[#This Row],[Verb]],VerbList,0)),"unknown verb",IF(Log[[#This Row],[Date]]="","no date",""))))</f>
      </c>
      <c r="G489" s="17">
        <f>IF(Log[[#This Row],[ID]]="","",IFERROR(VLOOKUP(Log[[#This Row],[Verb]],Verbs,3,FALSE)&amp;"",""))</f>
      </c>
      <c r="H489" s="17">
        <f>IF(Log[[#This Row],[Date]]="","",INT((Log[[#This Row],[Date]]-Sprint1)/SprintDays)+1)</f>
      </c>
      <c r="I489" s="17">
        <f>IF(OR(Log[[#This Row],[Verb]]="commit",Log[[#This Row],[Verb]]="carry",Log[[#This Row],[Verb]]="redo"),IF(Log[[#This Row],[Arg]]="",Log[[#This Row],[Sprint]],N(Log[[#This Row],[Arg]])),"")</f>
      </c>
      <c r="J489" s="17">
        <f>IF(Log[[#This Row],[Verb]]="block",1,IF(OR(Log[[#This Row],[Verb]]="unblock",Log[[#This Row],[Verb]]="done",Log[[#This Row],[Verb]]="drop",Log[[#This Row],[Verb]]="punt",Log[[#This Row],[Verb]]="pass"),0,""))</f>
      </c>
      <c r="K489" s="17">
        <f>IF(Log[[#This Row],[ID]]="",0,IFERROR(INDEX(Items[Pts],MATCH(Log[[#This Row],[ID]],Items[ID],0))*1,0))</f>
      </c>
      <c r="L489" s="17">
        <f>IF(Log[[#This Row],[ID]]="","",IFERROR(INDEX(Items[Cur team],MATCH(Log[[#This Row],[ID]],Items[ID],0))&amp;"",""))</f>
      </c>
      <c r="M489" s="17">
        <f>IF(OR(Log[[#This Row],[Verb]]="done",Log[[#This Row],[Verb]]="punt",Log[[#This Row],[Verb]]="drop",Log[[#This Row],[Verb]]="pass"),Log[[#This Row],[Pts]],0)</f>
      </c>
    </row>
    <row r="490">
      <c r="A490" s="11">
        <v>46119</v>
      </c>
      <c r="B490" t="s">
        <v>384</v>
      </c>
      <c r="C490" t="s">
        <v>34</v>
      </c>
      <c r="D490">
        <v>41</v>
      </c>
      <c r="F490" s="17">
        <f>IF(Log[[#This Row],[ID]]="","",IF(ISNA(MATCH(Log[[#This Row],[ID]],Items[ID],0)),"unknown ID",IF(ISNA(MATCH(Log[[#This Row],[Verb]],VerbList,0)),"unknown verb",IF(Log[[#This Row],[Date]]="","no date",""))))</f>
      </c>
      <c r="G490" s="17">
        <f>IF(Log[[#This Row],[ID]]="","",IFERROR(VLOOKUP(Log[[#This Row],[Verb]],Verbs,3,FALSE)&amp;"",""))</f>
      </c>
      <c r="H490" s="17">
        <f>IF(Log[[#This Row],[Date]]="","",INT((Log[[#This Row],[Date]]-Sprint1)/SprintDays)+1)</f>
      </c>
      <c r="I490" s="17">
        <f>IF(OR(Log[[#This Row],[Verb]]="commit",Log[[#This Row],[Verb]]="carry",Log[[#This Row],[Verb]]="redo"),IF(Log[[#This Row],[Arg]]="",Log[[#This Row],[Sprint]],N(Log[[#This Row],[Arg]])),"")</f>
      </c>
      <c r="J490" s="17">
        <f>IF(Log[[#This Row],[Verb]]="block",1,IF(OR(Log[[#This Row],[Verb]]="unblock",Log[[#This Row],[Verb]]="done",Log[[#This Row],[Verb]]="drop",Log[[#This Row],[Verb]]="punt",Log[[#This Row],[Verb]]="pass"),0,""))</f>
      </c>
      <c r="K490" s="17">
        <f>IF(Log[[#This Row],[ID]]="",0,IFERROR(INDEX(Items[Pts],MATCH(Log[[#This Row],[ID]],Items[ID],0))*1,0))</f>
      </c>
      <c r="L490" s="17">
        <f>IF(Log[[#This Row],[ID]]="","",IFERROR(INDEX(Items[Cur team],MATCH(Log[[#This Row],[ID]],Items[ID],0))&amp;"",""))</f>
      </c>
      <c r="M490" s="17">
        <f>IF(OR(Log[[#This Row],[Verb]]="done",Log[[#This Row],[Verb]]="punt",Log[[#This Row],[Verb]]="drop",Log[[#This Row],[Verb]]="pass"),Log[[#This Row],[Pts]],0)</f>
      </c>
    </row>
    <row r="491">
      <c r="A491" s="11">
        <v>46119</v>
      </c>
      <c r="B491" t="s">
        <v>385</v>
      </c>
      <c r="C491" t="s">
        <v>34</v>
      </c>
      <c r="D491">
        <v>41</v>
      </c>
      <c r="F491" s="17">
        <f>IF(Log[[#This Row],[ID]]="","",IF(ISNA(MATCH(Log[[#This Row],[ID]],Items[ID],0)),"unknown ID",IF(ISNA(MATCH(Log[[#This Row],[Verb]],VerbList,0)),"unknown verb",IF(Log[[#This Row],[Date]]="","no date",""))))</f>
      </c>
      <c r="G491" s="17">
        <f>IF(Log[[#This Row],[ID]]="","",IFERROR(VLOOKUP(Log[[#This Row],[Verb]],Verbs,3,FALSE)&amp;"",""))</f>
      </c>
      <c r="H491" s="17">
        <f>IF(Log[[#This Row],[Date]]="","",INT((Log[[#This Row],[Date]]-Sprint1)/SprintDays)+1)</f>
      </c>
      <c r="I491" s="17">
        <f>IF(OR(Log[[#This Row],[Verb]]="commit",Log[[#This Row],[Verb]]="carry",Log[[#This Row],[Verb]]="redo"),IF(Log[[#This Row],[Arg]]="",Log[[#This Row],[Sprint]],N(Log[[#This Row],[Arg]])),"")</f>
      </c>
      <c r="J491" s="17">
        <f>IF(Log[[#This Row],[Verb]]="block",1,IF(OR(Log[[#This Row],[Verb]]="unblock",Log[[#This Row],[Verb]]="done",Log[[#This Row],[Verb]]="drop",Log[[#This Row],[Verb]]="punt",Log[[#This Row],[Verb]]="pass"),0,""))</f>
      </c>
      <c r="K491" s="17">
        <f>IF(Log[[#This Row],[ID]]="",0,IFERROR(INDEX(Items[Pts],MATCH(Log[[#This Row],[ID]],Items[ID],0))*1,0))</f>
      </c>
      <c r="L491" s="17">
        <f>IF(Log[[#This Row],[ID]]="","",IFERROR(INDEX(Items[Cur team],MATCH(Log[[#This Row],[ID]],Items[ID],0))&amp;"",""))</f>
      </c>
      <c r="M491" s="17">
        <f>IF(OR(Log[[#This Row],[Verb]]="done",Log[[#This Row],[Verb]]="punt",Log[[#This Row],[Verb]]="drop",Log[[#This Row],[Verb]]="pass"),Log[[#This Row],[Pts]],0)</f>
      </c>
    </row>
    <row r="492">
      <c r="A492" s="11">
        <v>46119</v>
      </c>
      <c r="B492" t="s">
        <v>386</v>
      </c>
      <c r="C492" t="s">
        <v>34</v>
      </c>
      <c r="D492">
        <v>41</v>
      </c>
      <c r="F492" s="17">
        <f>IF(Log[[#This Row],[ID]]="","",IF(ISNA(MATCH(Log[[#This Row],[ID]],Items[ID],0)),"unknown ID",IF(ISNA(MATCH(Log[[#This Row],[Verb]],VerbList,0)),"unknown verb",IF(Log[[#This Row],[Date]]="","no date",""))))</f>
      </c>
      <c r="G492" s="17">
        <f>IF(Log[[#This Row],[ID]]="","",IFERROR(VLOOKUP(Log[[#This Row],[Verb]],Verbs,3,FALSE)&amp;"",""))</f>
      </c>
      <c r="H492" s="17">
        <f>IF(Log[[#This Row],[Date]]="","",INT((Log[[#This Row],[Date]]-Sprint1)/SprintDays)+1)</f>
      </c>
      <c r="I492" s="17">
        <f>IF(OR(Log[[#This Row],[Verb]]="commit",Log[[#This Row],[Verb]]="carry",Log[[#This Row],[Verb]]="redo"),IF(Log[[#This Row],[Arg]]="",Log[[#This Row],[Sprint]],N(Log[[#This Row],[Arg]])),"")</f>
      </c>
      <c r="J492" s="17">
        <f>IF(Log[[#This Row],[Verb]]="block",1,IF(OR(Log[[#This Row],[Verb]]="unblock",Log[[#This Row],[Verb]]="done",Log[[#This Row],[Verb]]="drop",Log[[#This Row],[Verb]]="punt",Log[[#This Row],[Verb]]="pass"),0,""))</f>
      </c>
      <c r="K492" s="17">
        <f>IF(Log[[#This Row],[ID]]="",0,IFERROR(INDEX(Items[Pts],MATCH(Log[[#This Row],[ID]],Items[ID],0))*1,0))</f>
      </c>
      <c r="L492" s="17">
        <f>IF(Log[[#This Row],[ID]]="","",IFERROR(INDEX(Items[Cur team],MATCH(Log[[#This Row],[ID]],Items[ID],0))&amp;"",""))</f>
      </c>
      <c r="M492" s="17">
        <f>IF(OR(Log[[#This Row],[Verb]]="done",Log[[#This Row],[Verb]]="punt",Log[[#This Row],[Verb]]="drop",Log[[#This Row],[Verb]]="pass"),Log[[#This Row],[Pts]],0)</f>
      </c>
    </row>
    <row r="493">
      <c r="A493" s="11">
        <v>46119</v>
      </c>
      <c r="B493" t="s">
        <v>387</v>
      </c>
      <c r="C493" t="s">
        <v>34</v>
      </c>
      <c r="D493">
        <v>41</v>
      </c>
      <c r="F493" s="17">
        <f>IF(Log[[#This Row],[ID]]="","",IF(ISNA(MATCH(Log[[#This Row],[ID]],Items[ID],0)),"unknown ID",IF(ISNA(MATCH(Log[[#This Row],[Verb]],VerbList,0)),"unknown verb",IF(Log[[#This Row],[Date]]="","no date",""))))</f>
      </c>
      <c r="G493" s="17">
        <f>IF(Log[[#This Row],[ID]]="","",IFERROR(VLOOKUP(Log[[#This Row],[Verb]],Verbs,3,FALSE)&amp;"",""))</f>
      </c>
      <c r="H493" s="17">
        <f>IF(Log[[#This Row],[Date]]="","",INT((Log[[#This Row],[Date]]-Sprint1)/SprintDays)+1)</f>
      </c>
      <c r="I493" s="17">
        <f>IF(OR(Log[[#This Row],[Verb]]="commit",Log[[#This Row],[Verb]]="carry",Log[[#This Row],[Verb]]="redo"),IF(Log[[#This Row],[Arg]]="",Log[[#This Row],[Sprint]],N(Log[[#This Row],[Arg]])),"")</f>
      </c>
      <c r="J493" s="17">
        <f>IF(Log[[#This Row],[Verb]]="block",1,IF(OR(Log[[#This Row],[Verb]]="unblock",Log[[#This Row],[Verb]]="done",Log[[#This Row],[Verb]]="drop",Log[[#This Row],[Verb]]="punt",Log[[#This Row],[Verb]]="pass"),0,""))</f>
      </c>
      <c r="K493" s="17">
        <f>IF(Log[[#This Row],[ID]]="",0,IFERROR(INDEX(Items[Pts],MATCH(Log[[#This Row],[ID]],Items[ID],0))*1,0))</f>
      </c>
      <c r="L493" s="17">
        <f>IF(Log[[#This Row],[ID]]="","",IFERROR(INDEX(Items[Cur team],MATCH(Log[[#This Row],[ID]],Items[ID],0))&amp;"",""))</f>
      </c>
      <c r="M493" s="17">
        <f>IF(OR(Log[[#This Row],[Verb]]="done",Log[[#This Row],[Verb]]="punt",Log[[#This Row],[Verb]]="drop",Log[[#This Row],[Verb]]="pass"),Log[[#This Row],[Pts]],0)</f>
      </c>
    </row>
    <row r="494">
      <c r="A494" s="11">
        <v>46119</v>
      </c>
      <c r="B494" t="s">
        <v>388</v>
      </c>
      <c r="C494" t="s">
        <v>34</v>
      </c>
      <c r="D494">
        <v>41</v>
      </c>
      <c r="F494" s="17">
        <f>IF(Log[[#This Row],[ID]]="","",IF(ISNA(MATCH(Log[[#This Row],[ID]],Items[ID],0)),"unknown ID",IF(ISNA(MATCH(Log[[#This Row],[Verb]],VerbList,0)),"unknown verb",IF(Log[[#This Row],[Date]]="","no date",""))))</f>
      </c>
      <c r="G494" s="17">
        <f>IF(Log[[#This Row],[ID]]="","",IFERROR(VLOOKUP(Log[[#This Row],[Verb]],Verbs,3,FALSE)&amp;"",""))</f>
      </c>
      <c r="H494" s="17">
        <f>IF(Log[[#This Row],[Date]]="","",INT((Log[[#This Row],[Date]]-Sprint1)/SprintDays)+1)</f>
      </c>
      <c r="I494" s="17">
        <f>IF(OR(Log[[#This Row],[Verb]]="commit",Log[[#This Row],[Verb]]="carry",Log[[#This Row],[Verb]]="redo"),IF(Log[[#This Row],[Arg]]="",Log[[#This Row],[Sprint]],N(Log[[#This Row],[Arg]])),"")</f>
      </c>
      <c r="J494" s="17">
        <f>IF(Log[[#This Row],[Verb]]="block",1,IF(OR(Log[[#This Row],[Verb]]="unblock",Log[[#This Row],[Verb]]="done",Log[[#This Row],[Verb]]="drop",Log[[#This Row],[Verb]]="punt",Log[[#This Row],[Verb]]="pass"),0,""))</f>
      </c>
      <c r="K494" s="17">
        <f>IF(Log[[#This Row],[ID]]="",0,IFERROR(INDEX(Items[Pts],MATCH(Log[[#This Row],[ID]],Items[ID],0))*1,0))</f>
      </c>
      <c r="L494" s="17">
        <f>IF(Log[[#This Row],[ID]]="","",IFERROR(INDEX(Items[Cur team],MATCH(Log[[#This Row],[ID]],Items[ID],0))&amp;"",""))</f>
      </c>
      <c r="M494" s="17">
        <f>IF(OR(Log[[#This Row],[Verb]]="done",Log[[#This Row],[Verb]]="punt",Log[[#This Row],[Verb]]="drop",Log[[#This Row],[Verb]]="pass"),Log[[#This Row],[Pts]],0)</f>
      </c>
    </row>
    <row r="495">
      <c r="A495" s="11">
        <v>46119</v>
      </c>
      <c r="B495" t="s">
        <v>389</v>
      </c>
      <c r="C495" t="s">
        <v>34</v>
      </c>
      <c r="D495">
        <v>41</v>
      </c>
      <c r="F495" s="17">
        <f>IF(Log[[#This Row],[ID]]="","",IF(ISNA(MATCH(Log[[#This Row],[ID]],Items[ID],0)),"unknown ID",IF(ISNA(MATCH(Log[[#This Row],[Verb]],VerbList,0)),"unknown verb",IF(Log[[#This Row],[Date]]="","no date",""))))</f>
      </c>
      <c r="G495" s="17">
        <f>IF(Log[[#This Row],[ID]]="","",IFERROR(VLOOKUP(Log[[#This Row],[Verb]],Verbs,3,FALSE)&amp;"",""))</f>
      </c>
      <c r="H495" s="17">
        <f>IF(Log[[#This Row],[Date]]="","",INT((Log[[#This Row],[Date]]-Sprint1)/SprintDays)+1)</f>
      </c>
      <c r="I495" s="17">
        <f>IF(OR(Log[[#This Row],[Verb]]="commit",Log[[#This Row],[Verb]]="carry",Log[[#This Row],[Verb]]="redo"),IF(Log[[#This Row],[Arg]]="",Log[[#This Row],[Sprint]],N(Log[[#This Row],[Arg]])),"")</f>
      </c>
      <c r="J495" s="17">
        <f>IF(Log[[#This Row],[Verb]]="block",1,IF(OR(Log[[#This Row],[Verb]]="unblock",Log[[#This Row],[Verb]]="done",Log[[#This Row],[Verb]]="drop",Log[[#This Row],[Verb]]="punt",Log[[#This Row],[Verb]]="pass"),0,""))</f>
      </c>
      <c r="K495" s="17">
        <f>IF(Log[[#This Row],[ID]]="",0,IFERROR(INDEX(Items[Pts],MATCH(Log[[#This Row],[ID]],Items[ID],0))*1,0))</f>
      </c>
      <c r="L495" s="17">
        <f>IF(Log[[#This Row],[ID]]="","",IFERROR(INDEX(Items[Cur team],MATCH(Log[[#This Row],[ID]],Items[ID],0))&amp;"",""))</f>
      </c>
      <c r="M495" s="17">
        <f>IF(OR(Log[[#This Row],[Verb]]="done",Log[[#This Row],[Verb]]="punt",Log[[#This Row],[Verb]]="drop",Log[[#This Row],[Verb]]="pass"),Log[[#This Row],[Pts]],0)</f>
      </c>
    </row>
    <row r="496">
      <c r="A496" s="11">
        <v>46119</v>
      </c>
      <c r="B496" t="s">
        <v>390</v>
      </c>
      <c r="C496" t="s">
        <v>34</v>
      </c>
      <c r="D496">
        <v>41</v>
      </c>
      <c r="F496" s="17">
        <f>IF(Log[[#This Row],[ID]]="","",IF(ISNA(MATCH(Log[[#This Row],[ID]],Items[ID],0)),"unknown ID",IF(ISNA(MATCH(Log[[#This Row],[Verb]],VerbList,0)),"unknown verb",IF(Log[[#This Row],[Date]]="","no date",""))))</f>
      </c>
      <c r="G496" s="17">
        <f>IF(Log[[#This Row],[ID]]="","",IFERROR(VLOOKUP(Log[[#This Row],[Verb]],Verbs,3,FALSE)&amp;"",""))</f>
      </c>
      <c r="H496" s="17">
        <f>IF(Log[[#This Row],[Date]]="","",INT((Log[[#This Row],[Date]]-Sprint1)/SprintDays)+1)</f>
      </c>
      <c r="I496" s="17">
        <f>IF(OR(Log[[#This Row],[Verb]]="commit",Log[[#This Row],[Verb]]="carry",Log[[#This Row],[Verb]]="redo"),IF(Log[[#This Row],[Arg]]="",Log[[#This Row],[Sprint]],N(Log[[#This Row],[Arg]])),"")</f>
      </c>
      <c r="J496" s="17">
        <f>IF(Log[[#This Row],[Verb]]="block",1,IF(OR(Log[[#This Row],[Verb]]="unblock",Log[[#This Row],[Verb]]="done",Log[[#This Row],[Verb]]="drop",Log[[#This Row],[Verb]]="punt",Log[[#This Row],[Verb]]="pass"),0,""))</f>
      </c>
      <c r="K496" s="17">
        <f>IF(Log[[#This Row],[ID]]="",0,IFERROR(INDEX(Items[Pts],MATCH(Log[[#This Row],[ID]],Items[ID],0))*1,0))</f>
      </c>
      <c r="L496" s="17">
        <f>IF(Log[[#This Row],[ID]]="","",IFERROR(INDEX(Items[Cur team],MATCH(Log[[#This Row],[ID]],Items[ID],0))&amp;"",""))</f>
      </c>
      <c r="M496" s="17">
        <f>IF(OR(Log[[#This Row],[Verb]]="done",Log[[#This Row],[Verb]]="punt",Log[[#This Row],[Verb]]="drop",Log[[#This Row],[Verb]]="pass"),Log[[#This Row],[Pts]],0)</f>
      </c>
    </row>
    <row r="497">
      <c r="A497" s="11">
        <v>46119</v>
      </c>
      <c r="B497" t="s">
        <v>391</v>
      </c>
      <c r="C497" t="s">
        <v>34</v>
      </c>
      <c r="D497">
        <v>41</v>
      </c>
      <c r="F497" s="17">
        <f>IF(Log[[#This Row],[ID]]="","",IF(ISNA(MATCH(Log[[#This Row],[ID]],Items[ID],0)),"unknown ID",IF(ISNA(MATCH(Log[[#This Row],[Verb]],VerbList,0)),"unknown verb",IF(Log[[#This Row],[Date]]="","no date",""))))</f>
      </c>
      <c r="G497" s="17">
        <f>IF(Log[[#This Row],[ID]]="","",IFERROR(VLOOKUP(Log[[#This Row],[Verb]],Verbs,3,FALSE)&amp;"",""))</f>
      </c>
      <c r="H497" s="17">
        <f>IF(Log[[#This Row],[Date]]="","",INT((Log[[#This Row],[Date]]-Sprint1)/SprintDays)+1)</f>
      </c>
      <c r="I497" s="17">
        <f>IF(OR(Log[[#This Row],[Verb]]="commit",Log[[#This Row],[Verb]]="carry",Log[[#This Row],[Verb]]="redo"),IF(Log[[#This Row],[Arg]]="",Log[[#This Row],[Sprint]],N(Log[[#This Row],[Arg]])),"")</f>
      </c>
      <c r="J497" s="17">
        <f>IF(Log[[#This Row],[Verb]]="block",1,IF(OR(Log[[#This Row],[Verb]]="unblock",Log[[#This Row],[Verb]]="done",Log[[#This Row],[Verb]]="drop",Log[[#This Row],[Verb]]="punt",Log[[#This Row],[Verb]]="pass"),0,""))</f>
      </c>
      <c r="K497" s="17">
        <f>IF(Log[[#This Row],[ID]]="",0,IFERROR(INDEX(Items[Pts],MATCH(Log[[#This Row],[ID]],Items[ID],0))*1,0))</f>
      </c>
      <c r="L497" s="17">
        <f>IF(Log[[#This Row],[ID]]="","",IFERROR(INDEX(Items[Cur team],MATCH(Log[[#This Row],[ID]],Items[ID],0))&amp;"",""))</f>
      </c>
      <c r="M497" s="17">
        <f>IF(OR(Log[[#This Row],[Verb]]="done",Log[[#This Row],[Verb]]="punt",Log[[#This Row],[Verb]]="drop",Log[[#This Row],[Verb]]="pass"),Log[[#This Row],[Pts]],0)</f>
      </c>
    </row>
    <row r="498">
      <c r="A498" s="11">
        <v>46119</v>
      </c>
      <c r="B498" t="s">
        <v>392</v>
      </c>
      <c r="C498" t="s">
        <v>34</v>
      </c>
      <c r="D498">
        <v>41</v>
      </c>
      <c r="F498" s="17">
        <f>IF(Log[[#This Row],[ID]]="","",IF(ISNA(MATCH(Log[[#This Row],[ID]],Items[ID],0)),"unknown ID",IF(ISNA(MATCH(Log[[#This Row],[Verb]],VerbList,0)),"unknown verb",IF(Log[[#This Row],[Date]]="","no date",""))))</f>
      </c>
      <c r="G498" s="17">
        <f>IF(Log[[#This Row],[ID]]="","",IFERROR(VLOOKUP(Log[[#This Row],[Verb]],Verbs,3,FALSE)&amp;"",""))</f>
      </c>
      <c r="H498" s="17">
        <f>IF(Log[[#This Row],[Date]]="","",INT((Log[[#This Row],[Date]]-Sprint1)/SprintDays)+1)</f>
      </c>
      <c r="I498" s="17">
        <f>IF(OR(Log[[#This Row],[Verb]]="commit",Log[[#This Row],[Verb]]="carry",Log[[#This Row],[Verb]]="redo"),IF(Log[[#This Row],[Arg]]="",Log[[#This Row],[Sprint]],N(Log[[#This Row],[Arg]])),"")</f>
      </c>
      <c r="J498" s="17">
        <f>IF(Log[[#This Row],[Verb]]="block",1,IF(OR(Log[[#This Row],[Verb]]="unblock",Log[[#This Row],[Verb]]="done",Log[[#This Row],[Verb]]="drop",Log[[#This Row],[Verb]]="punt",Log[[#This Row],[Verb]]="pass"),0,""))</f>
      </c>
      <c r="K498" s="17">
        <f>IF(Log[[#This Row],[ID]]="",0,IFERROR(INDEX(Items[Pts],MATCH(Log[[#This Row],[ID]],Items[ID],0))*1,0))</f>
      </c>
      <c r="L498" s="17">
        <f>IF(Log[[#This Row],[ID]]="","",IFERROR(INDEX(Items[Cur team],MATCH(Log[[#This Row],[ID]],Items[ID],0))&amp;"",""))</f>
      </c>
      <c r="M498" s="17">
        <f>IF(OR(Log[[#This Row],[Verb]]="done",Log[[#This Row],[Verb]]="punt",Log[[#This Row],[Verb]]="drop",Log[[#This Row],[Verb]]="pass"),Log[[#This Row],[Pts]],0)</f>
      </c>
    </row>
    <row r="499">
      <c r="A499" s="11">
        <v>46119</v>
      </c>
      <c r="B499" t="s">
        <v>393</v>
      </c>
      <c r="C499" t="s">
        <v>34</v>
      </c>
      <c r="D499">
        <v>41</v>
      </c>
      <c r="F499" s="17">
        <f>IF(Log[[#This Row],[ID]]="","",IF(ISNA(MATCH(Log[[#This Row],[ID]],Items[ID],0)),"unknown ID",IF(ISNA(MATCH(Log[[#This Row],[Verb]],VerbList,0)),"unknown verb",IF(Log[[#This Row],[Date]]="","no date",""))))</f>
      </c>
      <c r="G499" s="17">
        <f>IF(Log[[#This Row],[ID]]="","",IFERROR(VLOOKUP(Log[[#This Row],[Verb]],Verbs,3,FALSE)&amp;"",""))</f>
      </c>
      <c r="H499" s="17">
        <f>IF(Log[[#This Row],[Date]]="","",INT((Log[[#This Row],[Date]]-Sprint1)/SprintDays)+1)</f>
      </c>
      <c r="I499" s="17">
        <f>IF(OR(Log[[#This Row],[Verb]]="commit",Log[[#This Row],[Verb]]="carry",Log[[#This Row],[Verb]]="redo"),IF(Log[[#This Row],[Arg]]="",Log[[#This Row],[Sprint]],N(Log[[#This Row],[Arg]])),"")</f>
      </c>
      <c r="J499" s="17">
        <f>IF(Log[[#This Row],[Verb]]="block",1,IF(OR(Log[[#This Row],[Verb]]="unblock",Log[[#This Row],[Verb]]="done",Log[[#This Row],[Verb]]="drop",Log[[#This Row],[Verb]]="punt",Log[[#This Row],[Verb]]="pass"),0,""))</f>
      </c>
      <c r="K499" s="17">
        <f>IF(Log[[#This Row],[ID]]="",0,IFERROR(INDEX(Items[Pts],MATCH(Log[[#This Row],[ID]],Items[ID],0))*1,0))</f>
      </c>
      <c r="L499" s="17">
        <f>IF(Log[[#This Row],[ID]]="","",IFERROR(INDEX(Items[Cur team],MATCH(Log[[#This Row],[ID]],Items[ID],0))&amp;"",""))</f>
      </c>
      <c r="M499" s="17">
        <f>IF(OR(Log[[#This Row],[Verb]]="done",Log[[#This Row],[Verb]]="punt",Log[[#This Row],[Verb]]="drop",Log[[#This Row],[Verb]]="pass"),Log[[#This Row],[Pts]],0)</f>
      </c>
    </row>
    <row r="500">
      <c r="A500" s="11">
        <v>46119</v>
      </c>
      <c r="B500" t="s">
        <v>394</v>
      </c>
      <c r="C500" t="s">
        <v>34</v>
      </c>
      <c r="D500">
        <v>41</v>
      </c>
      <c r="F500" s="17">
        <f>IF(Log[[#This Row],[ID]]="","",IF(ISNA(MATCH(Log[[#This Row],[ID]],Items[ID],0)),"unknown ID",IF(ISNA(MATCH(Log[[#This Row],[Verb]],VerbList,0)),"unknown verb",IF(Log[[#This Row],[Date]]="","no date",""))))</f>
      </c>
      <c r="G500" s="17">
        <f>IF(Log[[#This Row],[ID]]="","",IFERROR(VLOOKUP(Log[[#This Row],[Verb]],Verbs,3,FALSE)&amp;"",""))</f>
      </c>
      <c r="H500" s="17">
        <f>IF(Log[[#This Row],[Date]]="","",INT((Log[[#This Row],[Date]]-Sprint1)/SprintDays)+1)</f>
      </c>
      <c r="I500" s="17">
        <f>IF(OR(Log[[#This Row],[Verb]]="commit",Log[[#This Row],[Verb]]="carry",Log[[#This Row],[Verb]]="redo"),IF(Log[[#This Row],[Arg]]="",Log[[#This Row],[Sprint]],N(Log[[#This Row],[Arg]])),"")</f>
      </c>
      <c r="J500" s="17">
        <f>IF(Log[[#This Row],[Verb]]="block",1,IF(OR(Log[[#This Row],[Verb]]="unblock",Log[[#This Row],[Verb]]="done",Log[[#This Row],[Verb]]="drop",Log[[#This Row],[Verb]]="punt",Log[[#This Row],[Verb]]="pass"),0,""))</f>
      </c>
      <c r="K500" s="17">
        <f>IF(Log[[#This Row],[ID]]="",0,IFERROR(INDEX(Items[Pts],MATCH(Log[[#This Row],[ID]],Items[ID],0))*1,0))</f>
      </c>
      <c r="L500" s="17">
        <f>IF(Log[[#This Row],[ID]]="","",IFERROR(INDEX(Items[Cur team],MATCH(Log[[#This Row],[ID]],Items[ID],0))&amp;"",""))</f>
      </c>
      <c r="M500" s="17">
        <f>IF(OR(Log[[#This Row],[Verb]]="done",Log[[#This Row],[Verb]]="punt",Log[[#This Row],[Verb]]="drop",Log[[#This Row],[Verb]]="pass"),Log[[#This Row],[Pts]],0)</f>
      </c>
    </row>
    <row r="501">
      <c r="A501" s="11">
        <v>46119</v>
      </c>
      <c r="B501" t="s">
        <v>395</v>
      </c>
      <c r="C501" t="s">
        <v>34</v>
      </c>
      <c r="D501">
        <v>41</v>
      </c>
      <c r="F501" s="17">
        <f>IF(Log[[#This Row],[ID]]="","",IF(ISNA(MATCH(Log[[#This Row],[ID]],Items[ID],0)),"unknown ID",IF(ISNA(MATCH(Log[[#This Row],[Verb]],VerbList,0)),"unknown verb",IF(Log[[#This Row],[Date]]="","no date",""))))</f>
      </c>
      <c r="G501" s="17">
        <f>IF(Log[[#This Row],[ID]]="","",IFERROR(VLOOKUP(Log[[#This Row],[Verb]],Verbs,3,FALSE)&amp;"",""))</f>
      </c>
      <c r="H501" s="17">
        <f>IF(Log[[#This Row],[Date]]="","",INT((Log[[#This Row],[Date]]-Sprint1)/SprintDays)+1)</f>
      </c>
      <c r="I501" s="17">
        <f>IF(OR(Log[[#This Row],[Verb]]="commit",Log[[#This Row],[Verb]]="carry",Log[[#This Row],[Verb]]="redo"),IF(Log[[#This Row],[Arg]]="",Log[[#This Row],[Sprint]],N(Log[[#This Row],[Arg]])),"")</f>
      </c>
      <c r="J501" s="17">
        <f>IF(Log[[#This Row],[Verb]]="block",1,IF(OR(Log[[#This Row],[Verb]]="unblock",Log[[#This Row],[Verb]]="done",Log[[#This Row],[Verb]]="drop",Log[[#This Row],[Verb]]="punt",Log[[#This Row],[Verb]]="pass"),0,""))</f>
      </c>
      <c r="K501" s="17">
        <f>IF(Log[[#This Row],[ID]]="",0,IFERROR(INDEX(Items[Pts],MATCH(Log[[#This Row],[ID]],Items[ID],0))*1,0))</f>
      </c>
      <c r="L501" s="17">
        <f>IF(Log[[#This Row],[ID]]="","",IFERROR(INDEX(Items[Cur team],MATCH(Log[[#This Row],[ID]],Items[ID],0))&amp;"",""))</f>
      </c>
      <c r="M501" s="17">
        <f>IF(OR(Log[[#This Row],[Verb]]="done",Log[[#This Row],[Verb]]="punt",Log[[#This Row],[Verb]]="drop",Log[[#This Row],[Verb]]="pass"),Log[[#This Row],[Pts]],0)</f>
      </c>
    </row>
    <row r="502">
      <c r="A502" s="11">
        <v>46119</v>
      </c>
      <c r="B502" t="s">
        <v>396</v>
      </c>
      <c r="C502" t="s">
        <v>34</v>
      </c>
      <c r="D502">
        <v>41</v>
      </c>
      <c r="F502" s="17">
        <f>IF(Log[[#This Row],[ID]]="","",IF(ISNA(MATCH(Log[[#This Row],[ID]],Items[ID],0)),"unknown ID",IF(ISNA(MATCH(Log[[#This Row],[Verb]],VerbList,0)),"unknown verb",IF(Log[[#This Row],[Date]]="","no date",""))))</f>
      </c>
      <c r="G502" s="17">
        <f>IF(Log[[#This Row],[ID]]="","",IFERROR(VLOOKUP(Log[[#This Row],[Verb]],Verbs,3,FALSE)&amp;"",""))</f>
      </c>
      <c r="H502" s="17">
        <f>IF(Log[[#This Row],[Date]]="","",INT((Log[[#This Row],[Date]]-Sprint1)/SprintDays)+1)</f>
      </c>
      <c r="I502" s="17">
        <f>IF(OR(Log[[#This Row],[Verb]]="commit",Log[[#This Row],[Verb]]="carry",Log[[#This Row],[Verb]]="redo"),IF(Log[[#This Row],[Arg]]="",Log[[#This Row],[Sprint]],N(Log[[#This Row],[Arg]])),"")</f>
      </c>
      <c r="J502" s="17">
        <f>IF(Log[[#This Row],[Verb]]="block",1,IF(OR(Log[[#This Row],[Verb]]="unblock",Log[[#This Row],[Verb]]="done",Log[[#This Row],[Verb]]="drop",Log[[#This Row],[Verb]]="punt",Log[[#This Row],[Verb]]="pass"),0,""))</f>
      </c>
      <c r="K502" s="17">
        <f>IF(Log[[#This Row],[ID]]="",0,IFERROR(INDEX(Items[Pts],MATCH(Log[[#This Row],[ID]],Items[ID],0))*1,0))</f>
      </c>
      <c r="L502" s="17">
        <f>IF(Log[[#This Row],[ID]]="","",IFERROR(INDEX(Items[Cur team],MATCH(Log[[#This Row],[ID]],Items[ID],0))&amp;"",""))</f>
      </c>
      <c r="M502" s="17">
        <f>IF(OR(Log[[#This Row],[Verb]]="done",Log[[#This Row],[Verb]]="punt",Log[[#This Row],[Verb]]="drop",Log[[#This Row],[Verb]]="pass"),Log[[#This Row],[Pts]],0)</f>
      </c>
    </row>
    <row r="503">
      <c r="A503" s="11">
        <v>46119</v>
      </c>
      <c r="B503" t="s">
        <v>397</v>
      </c>
      <c r="C503" t="s">
        <v>34</v>
      </c>
      <c r="D503">
        <v>41</v>
      </c>
      <c r="F503" s="17">
        <f>IF(Log[[#This Row],[ID]]="","",IF(ISNA(MATCH(Log[[#This Row],[ID]],Items[ID],0)),"unknown ID",IF(ISNA(MATCH(Log[[#This Row],[Verb]],VerbList,0)),"unknown verb",IF(Log[[#This Row],[Date]]="","no date",""))))</f>
      </c>
      <c r="G503" s="17">
        <f>IF(Log[[#This Row],[ID]]="","",IFERROR(VLOOKUP(Log[[#This Row],[Verb]],Verbs,3,FALSE)&amp;"",""))</f>
      </c>
      <c r="H503" s="17">
        <f>IF(Log[[#This Row],[Date]]="","",INT((Log[[#This Row],[Date]]-Sprint1)/SprintDays)+1)</f>
      </c>
      <c r="I503" s="17">
        <f>IF(OR(Log[[#This Row],[Verb]]="commit",Log[[#This Row],[Verb]]="carry",Log[[#This Row],[Verb]]="redo"),IF(Log[[#This Row],[Arg]]="",Log[[#This Row],[Sprint]],N(Log[[#This Row],[Arg]])),"")</f>
      </c>
      <c r="J503" s="17">
        <f>IF(Log[[#This Row],[Verb]]="block",1,IF(OR(Log[[#This Row],[Verb]]="unblock",Log[[#This Row],[Verb]]="done",Log[[#This Row],[Verb]]="drop",Log[[#This Row],[Verb]]="punt",Log[[#This Row],[Verb]]="pass"),0,""))</f>
      </c>
      <c r="K503" s="17">
        <f>IF(Log[[#This Row],[ID]]="",0,IFERROR(INDEX(Items[Pts],MATCH(Log[[#This Row],[ID]],Items[ID],0))*1,0))</f>
      </c>
      <c r="L503" s="17">
        <f>IF(Log[[#This Row],[ID]]="","",IFERROR(INDEX(Items[Cur team],MATCH(Log[[#This Row],[ID]],Items[ID],0))&amp;"",""))</f>
      </c>
      <c r="M503" s="17">
        <f>IF(OR(Log[[#This Row],[Verb]]="done",Log[[#This Row],[Verb]]="punt",Log[[#This Row],[Verb]]="drop",Log[[#This Row],[Verb]]="pass"),Log[[#This Row],[Pts]],0)</f>
      </c>
    </row>
    <row r="504">
      <c r="A504" s="11">
        <v>46119</v>
      </c>
      <c r="B504" t="s">
        <v>398</v>
      </c>
      <c r="C504" t="s">
        <v>34</v>
      </c>
      <c r="D504">
        <v>41</v>
      </c>
      <c r="F504" s="17">
        <f>IF(Log[[#This Row],[ID]]="","",IF(ISNA(MATCH(Log[[#This Row],[ID]],Items[ID],0)),"unknown ID",IF(ISNA(MATCH(Log[[#This Row],[Verb]],VerbList,0)),"unknown verb",IF(Log[[#This Row],[Date]]="","no date",""))))</f>
      </c>
      <c r="G504" s="17">
        <f>IF(Log[[#This Row],[ID]]="","",IFERROR(VLOOKUP(Log[[#This Row],[Verb]],Verbs,3,FALSE)&amp;"",""))</f>
      </c>
      <c r="H504" s="17">
        <f>IF(Log[[#This Row],[Date]]="","",INT((Log[[#This Row],[Date]]-Sprint1)/SprintDays)+1)</f>
      </c>
      <c r="I504" s="17">
        <f>IF(OR(Log[[#This Row],[Verb]]="commit",Log[[#This Row],[Verb]]="carry",Log[[#This Row],[Verb]]="redo"),IF(Log[[#This Row],[Arg]]="",Log[[#This Row],[Sprint]],N(Log[[#This Row],[Arg]])),"")</f>
      </c>
      <c r="J504" s="17">
        <f>IF(Log[[#This Row],[Verb]]="block",1,IF(OR(Log[[#This Row],[Verb]]="unblock",Log[[#This Row],[Verb]]="done",Log[[#This Row],[Verb]]="drop",Log[[#This Row],[Verb]]="punt",Log[[#This Row],[Verb]]="pass"),0,""))</f>
      </c>
      <c r="K504" s="17">
        <f>IF(Log[[#This Row],[ID]]="",0,IFERROR(INDEX(Items[Pts],MATCH(Log[[#This Row],[ID]],Items[ID],0))*1,0))</f>
      </c>
      <c r="L504" s="17">
        <f>IF(Log[[#This Row],[ID]]="","",IFERROR(INDEX(Items[Cur team],MATCH(Log[[#This Row],[ID]],Items[ID],0))&amp;"",""))</f>
      </c>
      <c r="M504" s="17">
        <f>IF(OR(Log[[#This Row],[Verb]]="done",Log[[#This Row],[Verb]]="punt",Log[[#This Row],[Verb]]="drop",Log[[#This Row],[Verb]]="pass"),Log[[#This Row],[Pts]],0)</f>
      </c>
    </row>
    <row r="505">
      <c r="A505" s="11">
        <v>46119</v>
      </c>
      <c r="B505" t="s">
        <v>399</v>
      </c>
      <c r="C505" t="s">
        <v>34</v>
      </c>
      <c r="D505">
        <v>41</v>
      </c>
      <c r="F505" s="17">
        <f>IF(Log[[#This Row],[ID]]="","",IF(ISNA(MATCH(Log[[#This Row],[ID]],Items[ID],0)),"unknown ID",IF(ISNA(MATCH(Log[[#This Row],[Verb]],VerbList,0)),"unknown verb",IF(Log[[#This Row],[Date]]="","no date",""))))</f>
      </c>
      <c r="G505" s="17">
        <f>IF(Log[[#This Row],[ID]]="","",IFERROR(VLOOKUP(Log[[#This Row],[Verb]],Verbs,3,FALSE)&amp;"",""))</f>
      </c>
      <c r="H505" s="17">
        <f>IF(Log[[#This Row],[Date]]="","",INT((Log[[#This Row],[Date]]-Sprint1)/SprintDays)+1)</f>
      </c>
      <c r="I505" s="17">
        <f>IF(OR(Log[[#This Row],[Verb]]="commit",Log[[#This Row],[Verb]]="carry",Log[[#This Row],[Verb]]="redo"),IF(Log[[#This Row],[Arg]]="",Log[[#This Row],[Sprint]],N(Log[[#This Row],[Arg]])),"")</f>
      </c>
      <c r="J505" s="17">
        <f>IF(Log[[#This Row],[Verb]]="block",1,IF(OR(Log[[#This Row],[Verb]]="unblock",Log[[#This Row],[Verb]]="done",Log[[#This Row],[Verb]]="drop",Log[[#This Row],[Verb]]="punt",Log[[#This Row],[Verb]]="pass"),0,""))</f>
      </c>
      <c r="K505" s="17">
        <f>IF(Log[[#This Row],[ID]]="",0,IFERROR(INDEX(Items[Pts],MATCH(Log[[#This Row],[ID]],Items[ID],0))*1,0))</f>
      </c>
      <c r="L505" s="17">
        <f>IF(Log[[#This Row],[ID]]="","",IFERROR(INDEX(Items[Cur team],MATCH(Log[[#This Row],[ID]],Items[ID],0))&amp;"",""))</f>
      </c>
      <c r="M505" s="17">
        <f>IF(OR(Log[[#This Row],[Verb]]="done",Log[[#This Row],[Verb]]="punt",Log[[#This Row],[Verb]]="drop",Log[[#This Row],[Verb]]="pass"),Log[[#This Row],[Pts]],0)</f>
      </c>
    </row>
    <row r="506">
      <c r="A506" s="11">
        <v>46119</v>
      </c>
      <c r="B506" t="s">
        <v>400</v>
      </c>
      <c r="C506" t="s">
        <v>34</v>
      </c>
      <c r="D506">
        <v>41</v>
      </c>
      <c r="F506" s="17">
        <f>IF(Log[[#This Row],[ID]]="","",IF(ISNA(MATCH(Log[[#This Row],[ID]],Items[ID],0)),"unknown ID",IF(ISNA(MATCH(Log[[#This Row],[Verb]],VerbList,0)),"unknown verb",IF(Log[[#This Row],[Date]]="","no date",""))))</f>
      </c>
      <c r="G506" s="17">
        <f>IF(Log[[#This Row],[ID]]="","",IFERROR(VLOOKUP(Log[[#This Row],[Verb]],Verbs,3,FALSE)&amp;"",""))</f>
      </c>
      <c r="H506" s="17">
        <f>IF(Log[[#This Row],[Date]]="","",INT((Log[[#This Row],[Date]]-Sprint1)/SprintDays)+1)</f>
      </c>
      <c r="I506" s="17">
        <f>IF(OR(Log[[#This Row],[Verb]]="commit",Log[[#This Row],[Verb]]="carry",Log[[#This Row],[Verb]]="redo"),IF(Log[[#This Row],[Arg]]="",Log[[#This Row],[Sprint]],N(Log[[#This Row],[Arg]])),"")</f>
      </c>
      <c r="J506" s="17">
        <f>IF(Log[[#This Row],[Verb]]="block",1,IF(OR(Log[[#This Row],[Verb]]="unblock",Log[[#This Row],[Verb]]="done",Log[[#This Row],[Verb]]="drop",Log[[#This Row],[Verb]]="punt",Log[[#This Row],[Verb]]="pass"),0,""))</f>
      </c>
      <c r="K506" s="17">
        <f>IF(Log[[#This Row],[ID]]="",0,IFERROR(INDEX(Items[Pts],MATCH(Log[[#This Row],[ID]],Items[ID],0))*1,0))</f>
      </c>
      <c r="L506" s="17">
        <f>IF(Log[[#This Row],[ID]]="","",IFERROR(INDEX(Items[Cur team],MATCH(Log[[#This Row],[ID]],Items[ID],0))&amp;"",""))</f>
      </c>
      <c r="M506" s="17">
        <f>IF(OR(Log[[#This Row],[Verb]]="done",Log[[#This Row],[Verb]]="punt",Log[[#This Row],[Verb]]="drop",Log[[#This Row],[Verb]]="pass"),Log[[#This Row],[Pts]],0)</f>
      </c>
    </row>
    <row r="507">
      <c r="A507" s="11">
        <v>46119</v>
      </c>
      <c r="B507" t="s">
        <v>401</v>
      </c>
      <c r="C507" t="s">
        <v>34</v>
      </c>
      <c r="D507">
        <v>41</v>
      </c>
      <c r="F507" s="17">
        <f>IF(Log[[#This Row],[ID]]="","",IF(ISNA(MATCH(Log[[#This Row],[ID]],Items[ID],0)),"unknown ID",IF(ISNA(MATCH(Log[[#This Row],[Verb]],VerbList,0)),"unknown verb",IF(Log[[#This Row],[Date]]="","no date",""))))</f>
      </c>
      <c r="G507" s="17">
        <f>IF(Log[[#This Row],[ID]]="","",IFERROR(VLOOKUP(Log[[#This Row],[Verb]],Verbs,3,FALSE)&amp;"",""))</f>
      </c>
      <c r="H507" s="17">
        <f>IF(Log[[#This Row],[Date]]="","",INT((Log[[#This Row],[Date]]-Sprint1)/SprintDays)+1)</f>
      </c>
      <c r="I507" s="17">
        <f>IF(OR(Log[[#This Row],[Verb]]="commit",Log[[#This Row],[Verb]]="carry",Log[[#This Row],[Verb]]="redo"),IF(Log[[#This Row],[Arg]]="",Log[[#This Row],[Sprint]],N(Log[[#This Row],[Arg]])),"")</f>
      </c>
      <c r="J507" s="17">
        <f>IF(Log[[#This Row],[Verb]]="block",1,IF(OR(Log[[#This Row],[Verb]]="unblock",Log[[#This Row],[Verb]]="done",Log[[#This Row],[Verb]]="drop",Log[[#This Row],[Verb]]="punt",Log[[#This Row],[Verb]]="pass"),0,""))</f>
      </c>
      <c r="K507" s="17">
        <f>IF(Log[[#This Row],[ID]]="",0,IFERROR(INDEX(Items[Pts],MATCH(Log[[#This Row],[ID]],Items[ID],0))*1,0))</f>
      </c>
      <c r="L507" s="17">
        <f>IF(Log[[#This Row],[ID]]="","",IFERROR(INDEX(Items[Cur team],MATCH(Log[[#This Row],[ID]],Items[ID],0))&amp;"",""))</f>
      </c>
      <c r="M507" s="17">
        <f>IF(OR(Log[[#This Row],[Verb]]="done",Log[[#This Row],[Verb]]="punt",Log[[#This Row],[Verb]]="drop",Log[[#This Row],[Verb]]="pass"),Log[[#This Row],[Pts]],0)</f>
      </c>
    </row>
    <row r="508">
      <c r="A508" s="11">
        <v>46119</v>
      </c>
      <c r="B508" t="s">
        <v>402</v>
      </c>
      <c r="C508" t="s">
        <v>34</v>
      </c>
      <c r="D508">
        <v>41</v>
      </c>
      <c r="F508" s="17">
        <f>IF(Log[[#This Row],[ID]]="","",IF(ISNA(MATCH(Log[[#This Row],[ID]],Items[ID],0)),"unknown ID",IF(ISNA(MATCH(Log[[#This Row],[Verb]],VerbList,0)),"unknown verb",IF(Log[[#This Row],[Date]]="","no date",""))))</f>
      </c>
      <c r="G508" s="17">
        <f>IF(Log[[#This Row],[ID]]="","",IFERROR(VLOOKUP(Log[[#This Row],[Verb]],Verbs,3,FALSE)&amp;"",""))</f>
      </c>
      <c r="H508" s="17">
        <f>IF(Log[[#This Row],[Date]]="","",INT((Log[[#This Row],[Date]]-Sprint1)/SprintDays)+1)</f>
      </c>
      <c r="I508" s="17">
        <f>IF(OR(Log[[#This Row],[Verb]]="commit",Log[[#This Row],[Verb]]="carry",Log[[#This Row],[Verb]]="redo"),IF(Log[[#This Row],[Arg]]="",Log[[#This Row],[Sprint]],N(Log[[#This Row],[Arg]])),"")</f>
      </c>
      <c r="J508" s="17">
        <f>IF(Log[[#This Row],[Verb]]="block",1,IF(OR(Log[[#This Row],[Verb]]="unblock",Log[[#This Row],[Verb]]="done",Log[[#This Row],[Verb]]="drop",Log[[#This Row],[Verb]]="punt",Log[[#This Row],[Verb]]="pass"),0,""))</f>
      </c>
      <c r="K508" s="17">
        <f>IF(Log[[#This Row],[ID]]="",0,IFERROR(INDEX(Items[Pts],MATCH(Log[[#This Row],[ID]],Items[ID],0))*1,0))</f>
      </c>
      <c r="L508" s="17">
        <f>IF(Log[[#This Row],[ID]]="","",IFERROR(INDEX(Items[Cur team],MATCH(Log[[#This Row],[ID]],Items[ID],0))&amp;"",""))</f>
      </c>
      <c r="M508" s="17">
        <f>IF(OR(Log[[#This Row],[Verb]]="done",Log[[#This Row],[Verb]]="punt",Log[[#This Row],[Verb]]="drop",Log[[#This Row],[Verb]]="pass"),Log[[#This Row],[Pts]],0)</f>
      </c>
    </row>
    <row r="509">
      <c r="A509" s="11">
        <v>46119</v>
      </c>
      <c r="B509" t="s">
        <v>403</v>
      </c>
      <c r="C509" t="s">
        <v>34</v>
      </c>
      <c r="D509">
        <v>41</v>
      </c>
      <c r="F509" s="17">
        <f>IF(Log[[#This Row],[ID]]="","",IF(ISNA(MATCH(Log[[#This Row],[ID]],Items[ID],0)),"unknown ID",IF(ISNA(MATCH(Log[[#This Row],[Verb]],VerbList,0)),"unknown verb",IF(Log[[#This Row],[Date]]="","no date",""))))</f>
      </c>
      <c r="G509" s="17">
        <f>IF(Log[[#This Row],[ID]]="","",IFERROR(VLOOKUP(Log[[#This Row],[Verb]],Verbs,3,FALSE)&amp;"",""))</f>
      </c>
      <c r="H509" s="17">
        <f>IF(Log[[#This Row],[Date]]="","",INT((Log[[#This Row],[Date]]-Sprint1)/SprintDays)+1)</f>
      </c>
      <c r="I509" s="17">
        <f>IF(OR(Log[[#This Row],[Verb]]="commit",Log[[#This Row],[Verb]]="carry",Log[[#This Row],[Verb]]="redo"),IF(Log[[#This Row],[Arg]]="",Log[[#This Row],[Sprint]],N(Log[[#This Row],[Arg]])),"")</f>
      </c>
      <c r="J509" s="17">
        <f>IF(Log[[#This Row],[Verb]]="block",1,IF(OR(Log[[#This Row],[Verb]]="unblock",Log[[#This Row],[Verb]]="done",Log[[#This Row],[Verb]]="drop",Log[[#This Row],[Verb]]="punt",Log[[#This Row],[Verb]]="pass"),0,""))</f>
      </c>
      <c r="K509" s="17">
        <f>IF(Log[[#This Row],[ID]]="",0,IFERROR(INDEX(Items[Pts],MATCH(Log[[#This Row],[ID]],Items[ID],0))*1,0))</f>
      </c>
      <c r="L509" s="17">
        <f>IF(Log[[#This Row],[ID]]="","",IFERROR(INDEX(Items[Cur team],MATCH(Log[[#This Row],[ID]],Items[ID],0))&amp;"",""))</f>
      </c>
      <c r="M509" s="17">
        <f>IF(OR(Log[[#This Row],[Verb]]="done",Log[[#This Row],[Verb]]="punt",Log[[#This Row],[Verb]]="drop",Log[[#This Row],[Verb]]="pass"),Log[[#This Row],[Pts]],0)</f>
      </c>
    </row>
    <row r="510">
      <c r="A510" s="11">
        <v>46119</v>
      </c>
      <c r="B510" t="s">
        <v>404</v>
      </c>
      <c r="C510" t="s">
        <v>34</v>
      </c>
      <c r="D510">
        <v>41</v>
      </c>
      <c r="F510" s="17">
        <f>IF(Log[[#This Row],[ID]]="","",IF(ISNA(MATCH(Log[[#This Row],[ID]],Items[ID],0)),"unknown ID",IF(ISNA(MATCH(Log[[#This Row],[Verb]],VerbList,0)),"unknown verb",IF(Log[[#This Row],[Date]]="","no date",""))))</f>
      </c>
      <c r="G510" s="17">
        <f>IF(Log[[#This Row],[ID]]="","",IFERROR(VLOOKUP(Log[[#This Row],[Verb]],Verbs,3,FALSE)&amp;"",""))</f>
      </c>
      <c r="H510" s="17">
        <f>IF(Log[[#This Row],[Date]]="","",INT((Log[[#This Row],[Date]]-Sprint1)/SprintDays)+1)</f>
      </c>
      <c r="I510" s="17">
        <f>IF(OR(Log[[#This Row],[Verb]]="commit",Log[[#This Row],[Verb]]="carry",Log[[#This Row],[Verb]]="redo"),IF(Log[[#This Row],[Arg]]="",Log[[#This Row],[Sprint]],N(Log[[#This Row],[Arg]])),"")</f>
      </c>
      <c r="J510" s="17">
        <f>IF(Log[[#This Row],[Verb]]="block",1,IF(OR(Log[[#This Row],[Verb]]="unblock",Log[[#This Row],[Verb]]="done",Log[[#This Row],[Verb]]="drop",Log[[#This Row],[Verb]]="punt",Log[[#This Row],[Verb]]="pass"),0,""))</f>
      </c>
      <c r="K510" s="17">
        <f>IF(Log[[#This Row],[ID]]="",0,IFERROR(INDEX(Items[Pts],MATCH(Log[[#This Row],[ID]],Items[ID],0))*1,0))</f>
      </c>
      <c r="L510" s="17">
        <f>IF(Log[[#This Row],[ID]]="","",IFERROR(INDEX(Items[Cur team],MATCH(Log[[#This Row],[ID]],Items[ID],0))&amp;"",""))</f>
      </c>
      <c r="M510" s="17">
        <f>IF(OR(Log[[#This Row],[Verb]]="done",Log[[#This Row],[Verb]]="punt",Log[[#This Row],[Verb]]="drop",Log[[#This Row],[Verb]]="pass"),Log[[#This Row],[Pts]],0)</f>
      </c>
    </row>
    <row r="511">
      <c r="A511" s="11">
        <v>46119</v>
      </c>
      <c r="B511" t="s">
        <v>405</v>
      </c>
      <c r="C511" t="s">
        <v>34</v>
      </c>
      <c r="D511">
        <v>41</v>
      </c>
      <c r="F511" s="17">
        <f>IF(Log[[#This Row],[ID]]="","",IF(ISNA(MATCH(Log[[#This Row],[ID]],Items[ID],0)),"unknown ID",IF(ISNA(MATCH(Log[[#This Row],[Verb]],VerbList,0)),"unknown verb",IF(Log[[#This Row],[Date]]="","no date",""))))</f>
      </c>
      <c r="G511" s="17">
        <f>IF(Log[[#This Row],[ID]]="","",IFERROR(VLOOKUP(Log[[#This Row],[Verb]],Verbs,3,FALSE)&amp;"",""))</f>
      </c>
      <c r="H511" s="17">
        <f>IF(Log[[#This Row],[Date]]="","",INT((Log[[#This Row],[Date]]-Sprint1)/SprintDays)+1)</f>
      </c>
      <c r="I511" s="17">
        <f>IF(OR(Log[[#This Row],[Verb]]="commit",Log[[#This Row],[Verb]]="carry",Log[[#This Row],[Verb]]="redo"),IF(Log[[#This Row],[Arg]]="",Log[[#This Row],[Sprint]],N(Log[[#This Row],[Arg]])),"")</f>
      </c>
      <c r="J511" s="17">
        <f>IF(Log[[#This Row],[Verb]]="block",1,IF(OR(Log[[#This Row],[Verb]]="unblock",Log[[#This Row],[Verb]]="done",Log[[#This Row],[Verb]]="drop",Log[[#This Row],[Verb]]="punt",Log[[#This Row],[Verb]]="pass"),0,""))</f>
      </c>
      <c r="K511" s="17">
        <f>IF(Log[[#This Row],[ID]]="",0,IFERROR(INDEX(Items[Pts],MATCH(Log[[#This Row],[ID]],Items[ID],0))*1,0))</f>
      </c>
      <c r="L511" s="17">
        <f>IF(Log[[#This Row],[ID]]="","",IFERROR(INDEX(Items[Cur team],MATCH(Log[[#This Row],[ID]],Items[ID],0))&amp;"",""))</f>
      </c>
      <c r="M511" s="17">
        <f>IF(OR(Log[[#This Row],[Verb]]="done",Log[[#This Row],[Verb]]="punt",Log[[#This Row],[Verb]]="drop",Log[[#This Row],[Verb]]="pass"),Log[[#This Row],[Pts]],0)</f>
      </c>
    </row>
    <row r="512">
      <c r="A512" s="11">
        <v>46119</v>
      </c>
      <c r="B512" t="s">
        <v>406</v>
      </c>
      <c r="C512" t="s">
        <v>34</v>
      </c>
      <c r="D512">
        <v>41</v>
      </c>
      <c r="F512" s="17">
        <f>IF(Log[[#This Row],[ID]]="","",IF(ISNA(MATCH(Log[[#This Row],[ID]],Items[ID],0)),"unknown ID",IF(ISNA(MATCH(Log[[#This Row],[Verb]],VerbList,0)),"unknown verb",IF(Log[[#This Row],[Date]]="","no date",""))))</f>
      </c>
      <c r="G512" s="17">
        <f>IF(Log[[#This Row],[ID]]="","",IFERROR(VLOOKUP(Log[[#This Row],[Verb]],Verbs,3,FALSE)&amp;"",""))</f>
      </c>
      <c r="H512" s="17">
        <f>IF(Log[[#This Row],[Date]]="","",INT((Log[[#This Row],[Date]]-Sprint1)/SprintDays)+1)</f>
      </c>
      <c r="I512" s="17">
        <f>IF(OR(Log[[#This Row],[Verb]]="commit",Log[[#This Row],[Verb]]="carry",Log[[#This Row],[Verb]]="redo"),IF(Log[[#This Row],[Arg]]="",Log[[#This Row],[Sprint]],N(Log[[#This Row],[Arg]])),"")</f>
      </c>
      <c r="J512" s="17">
        <f>IF(Log[[#This Row],[Verb]]="block",1,IF(OR(Log[[#This Row],[Verb]]="unblock",Log[[#This Row],[Verb]]="done",Log[[#This Row],[Verb]]="drop",Log[[#This Row],[Verb]]="punt",Log[[#This Row],[Verb]]="pass"),0,""))</f>
      </c>
      <c r="K512" s="17">
        <f>IF(Log[[#This Row],[ID]]="",0,IFERROR(INDEX(Items[Pts],MATCH(Log[[#This Row],[ID]],Items[ID],0))*1,0))</f>
      </c>
      <c r="L512" s="17">
        <f>IF(Log[[#This Row],[ID]]="","",IFERROR(INDEX(Items[Cur team],MATCH(Log[[#This Row],[ID]],Items[ID],0))&amp;"",""))</f>
      </c>
      <c r="M512" s="17">
        <f>IF(OR(Log[[#This Row],[Verb]]="done",Log[[#This Row],[Verb]]="punt",Log[[#This Row],[Verb]]="drop",Log[[#This Row],[Verb]]="pass"),Log[[#This Row],[Pts]],0)</f>
      </c>
    </row>
    <row r="513">
      <c r="A513" s="11">
        <v>46119</v>
      </c>
      <c r="B513" t="s">
        <v>407</v>
      </c>
      <c r="C513" t="s">
        <v>34</v>
      </c>
      <c r="D513">
        <v>41</v>
      </c>
      <c r="F513" s="17">
        <f>IF(Log[[#This Row],[ID]]="","",IF(ISNA(MATCH(Log[[#This Row],[ID]],Items[ID],0)),"unknown ID",IF(ISNA(MATCH(Log[[#This Row],[Verb]],VerbList,0)),"unknown verb",IF(Log[[#This Row],[Date]]="","no date",""))))</f>
      </c>
      <c r="G513" s="17">
        <f>IF(Log[[#This Row],[ID]]="","",IFERROR(VLOOKUP(Log[[#This Row],[Verb]],Verbs,3,FALSE)&amp;"",""))</f>
      </c>
      <c r="H513" s="17">
        <f>IF(Log[[#This Row],[Date]]="","",INT((Log[[#This Row],[Date]]-Sprint1)/SprintDays)+1)</f>
      </c>
      <c r="I513" s="17">
        <f>IF(OR(Log[[#This Row],[Verb]]="commit",Log[[#This Row],[Verb]]="carry",Log[[#This Row],[Verb]]="redo"),IF(Log[[#This Row],[Arg]]="",Log[[#This Row],[Sprint]],N(Log[[#This Row],[Arg]])),"")</f>
      </c>
      <c r="J513" s="17">
        <f>IF(Log[[#This Row],[Verb]]="block",1,IF(OR(Log[[#This Row],[Verb]]="unblock",Log[[#This Row],[Verb]]="done",Log[[#This Row],[Verb]]="drop",Log[[#This Row],[Verb]]="punt",Log[[#This Row],[Verb]]="pass"),0,""))</f>
      </c>
      <c r="K513" s="17">
        <f>IF(Log[[#This Row],[ID]]="",0,IFERROR(INDEX(Items[Pts],MATCH(Log[[#This Row],[ID]],Items[ID],0))*1,0))</f>
      </c>
      <c r="L513" s="17">
        <f>IF(Log[[#This Row],[ID]]="","",IFERROR(INDEX(Items[Cur team],MATCH(Log[[#This Row],[ID]],Items[ID],0))&amp;"",""))</f>
      </c>
      <c r="M513" s="17">
        <f>IF(OR(Log[[#This Row],[Verb]]="done",Log[[#This Row],[Verb]]="punt",Log[[#This Row],[Verb]]="drop",Log[[#This Row],[Verb]]="pass"),Log[[#This Row],[Pts]],0)</f>
      </c>
    </row>
    <row r="514">
      <c r="A514" s="11">
        <v>46119</v>
      </c>
      <c r="B514" t="s">
        <v>408</v>
      </c>
      <c r="C514" t="s">
        <v>34</v>
      </c>
      <c r="D514">
        <v>41</v>
      </c>
      <c r="F514" s="17">
        <f>IF(Log[[#This Row],[ID]]="","",IF(ISNA(MATCH(Log[[#This Row],[ID]],Items[ID],0)),"unknown ID",IF(ISNA(MATCH(Log[[#This Row],[Verb]],VerbList,0)),"unknown verb",IF(Log[[#This Row],[Date]]="","no date",""))))</f>
      </c>
      <c r="G514" s="17">
        <f>IF(Log[[#This Row],[ID]]="","",IFERROR(VLOOKUP(Log[[#This Row],[Verb]],Verbs,3,FALSE)&amp;"",""))</f>
      </c>
      <c r="H514" s="17">
        <f>IF(Log[[#This Row],[Date]]="","",INT((Log[[#This Row],[Date]]-Sprint1)/SprintDays)+1)</f>
      </c>
      <c r="I514" s="17">
        <f>IF(OR(Log[[#This Row],[Verb]]="commit",Log[[#This Row],[Verb]]="carry",Log[[#This Row],[Verb]]="redo"),IF(Log[[#This Row],[Arg]]="",Log[[#This Row],[Sprint]],N(Log[[#This Row],[Arg]])),"")</f>
      </c>
      <c r="J514" s="17">
        <f>IF(Log[[#This Row],[Verb]]="block",1,IF(OR(Log[[#This Row],[Verb]]="unblock",Log[[#This Row],[Verb]]="done",Log[[#This Row],[Verb]]="drop",Log[[#This Row],[Verb]]="punt",Log[[#This Row],[Verb]]="pass"),0,""))</f>
      </c>
      <c r="K514" s="17">
        <f>IF(Log[[#This Row],[ID]]="",0,IFERROR(INDEX(Items[Pts],MATCH(Log[[#This Row],[ID]],Items[ID],0))*1,0))</f>
      </c>
      <c r="L514" s="17">
        <f>IF(Log[[#This Row],[ID]]="","",IFERROR(INDEX(Items[Cur team],MATCH(Log[[#This Row],[ID]],Items[ID],0))&amp;"",""))</f>
      </c>
      <c r="M514" s="17">
        <f>IF(OR(Log[[#This Row],[Verb]]="done",Log[[#This Row],[Verb]]="punt",Log[[#This Row],[Verb]]="drop",Log[[#This Row],[Verb]]="pass"),Log[[#This Row],[Pts]],0)</f>
      </c>
    </row>
    <row r="515">
      <c r="A515" s="11">
        <v>46119</v>
      </c>
      <c r="B515" t="s">
        <v>409</v>
      </c>
      <c r="C515" t="s">
        <v>34</v>
      </c>
      <c r="D515">
        <v>41</v>
      </c>
      <c r="F515" s="17">
        <f>IF(Log[[#This Row],[ID]]="","",IF(ISNA(MATCH(Log[[#This Row],[ID]],Items[ID],0)),"unknown ID",IF(ISNA(MATCH(Log[[#This Row],[Verb]],VerbList,0)),"unknown verb",IF(Log[[#This Row],[Date]]="","no date",""))))</f>
      </c>
      <c r="G515" s="17">
        <f>IF(Log[[#This Row],[ID]]="","",IFERROR(VLOOKUP(Log[[#This Row],[Verb]],Verbs,3,FALSE)&amp;"",""))</f>
      </c>
      <c r="H515" s="17">
        <f>IF(Log[[#This Row],[Date]]="","",INT((Log[[#This Row],[Date]]-Sprint1)/SprintDays)+1)</f>
      </c>
      <c r="I515" s="17">
        <f>IF(OR(Log[[#This Row],[Verb]]="commit",Log[[#This Row],[Verb]]="carry",Log[[#This Row],[Verb]]="redo"),IF(Log[[#This Row],[Arg]]="",Log[[#This Row],[Sprint]],N(Log[[#This Row],[Arg]])),"")</f>
      </c>
      <c r="J515" s="17">
        <f>IF(Log[[#This Row],[Verb]]="block",1,IF(OR(Log[[#This Row],[Verb]]="unblock",Log[[#This Row],[Verb]]="done",Log[[#This Row],[Verb]]="drop",Log[[#This Row],[Verb]]="punt",Log[[#This Row],[Verb]]="pass"),0,""))</f>
      </c>
      <c r="K515" s="17">
        <f>IF(Log[[#This Row],[ID]]="",0,IFERROR(INDEX(Items[Pts],MATCH(Log[[#This Row],[ID]],Items[ID],0))*1,0))</f>
      </c>
      <c r="L515" s="17">
        <f>IF(Log[[#This Row],[ID]]="","",IFERROR(INDEX(Items[Cur team],MATCH(Log[[#This Row],[ID]],Items[ID],0))&amp;"",""))</f>
      </c>
      <c r="M515" s="17">
        <f>IF(OR(Log[[#This Row],[Verb]]="done",Log[[#This Row],[Verb]]="punt",Log[[#This Row],[Verb]]="drop",Log[[#This Row],[Verb]]="pass"),Log[[#This Row],[Pts]],0)</f>
      </c>
    </row>
    <row r="516">
      <c r="A516" s="11">
        <v>46119</v>
      </c>
      <c r="B516" t="s">
        <v>410</v>
      </c>
      <c r="C516" t="s">
        <v>34</v>
      </c>
      <c r="D516">
        <v>41</v>
      </c>
      <c r="F516" s="17">
        <f>IF(Log[[#This Row],[ID]]="","",IF(ISNA(MATCH(Log[[#This Row],[ID]],Items[ID],0)),"unknown ID",IF(ISNA(MATCH(Log[[#This Row],[Verb]],VerbList,0)),"unknown verb",IF(Log[[#This Row],[Date]]="","no date",""))))</f>
      </c>
      <c r="G516" s="17">
        <f>IF(Log[[#This Row],[ID]]="","",IFERROR(VLOOKUP(Log[[#This Row],[Verb]],Verbs,3,FALSE)&amp;"",""))</f>
      </c>
      <c r="H516" s="17">
        <f>IF(Log[[#This Row],[Date]]="","",INT((Log[[#This Row],[Date]]-Sprint1)/SprintDays)+1)</f>
      </c>
      <c r="I516" s="17">
        <f>IF(OR(Log[[#This Row],[Verb]]="commit",Log[[#This Row],[Verb]]="carry",Log[[#This Row],[Verb]]="redo"),IF(Log[[#This Row],[Arg]]="",Log[[#This Row],[Sprint]],N(Log[[#This Row],[Arg]])),"")</f>
      </c>
      <c r="J516" s="17">
        <f>IF(Log[[#This Row],[Verb]]="block",1,IF(OR(Log[[#This Row],[Verb]]="unblock",Log[[#This Row],[Verb]]="done",Log[[#This Row],[Verb]]="drop",Log[[#This Row],[Verb]]="punt",Log[[#This Row],[Verb]]="pass"),0,""))</f>
      </c>
      <c r="K516" s="17">
        <f>IF(Log[[#This Row],[ID]]="",0,IFERROR(INDEX(Items[Pts],MATCH(Log[[#This Row],[ID]],Items[ID],0))*1,0))</f>
      </c>
      <c r="L516" s="17">
        <f>IF(Log[[#This Row],[ID]]="","",IFERROR(INDEX(Items[Cur team],MATCH(Log[[#This Row],[ID]],Items[ID],0))&amp;"",""))</f>
      </c>
      <c r="M516" s="17">
        <f>IF(OR(Log[[#This Row],[Verb]]="done",Log[[#This Row],[Verb]]="punt",Log[[#This Row],[Verb]]="drop",Log[[#This Row],[Verb]]="pass"),Log[[#This Row],[Pts]],0)</f>
      </c>
    </row>
    <row r="517">
      <c r="A517" s="11">
        <v>46119</v>
      </c>
      <c r="B517" t="s">
        <v>411</v>
      </c>
      <c r="C517" t="s">
        <v>34</v>
      </c>
      <c r="D517">
        <v>41</v>
      </c>
      <c r="F517" s="17">
        <f>IF(Log[[#This Row],[ID]]="","",IF(ISNA(MATCH(Log[[#This Row],[ID]],Items[ID],0)),"unknown ID",IF(ISNA(MATCH(Log[[#This Row],[Verb]],VerbList,0)),"unknown verb",IF(Log[[#This Row],[Date]]="","no date",""))))</f>
      </c>
      <c r="G517" s="17">
        <f>IF(Log[[#This Row],[ID]]="","",IFERROR(VLOOKUP(Log[[#This Row],[Verb]],Verbs,3,FALSE)&amp;"",""))</f>
      </c>
      <c r="H517" s="17">
        <f>IF(Log[[#This Row],[Date]]="","",INT((Log[[#This Row],[Date]]-Sprint1)/SprintDays)+1)</f>
      </c>
      <c r="I517" s="17">
        <f>IF(OR(Log[[#This Row],[Verb]]="commit",Log[[#This Row],[Verb]]="carry",Log[[#This Row],[Verb]]="redo"),IF(Log[[#This Row],[Arg]]="",Log[[#This Row],[Sprint]],N(Log[[#This Row],[Arg]])),"")</f>
      </c>
      <c r="J517" s="17">
        <f>IF(Log[[#This Row],[Verb]]="block",1,IF(OR(Log[[#This Row],[Verb]]="unblock",Log[[#This Row],[Verb]]="done",Log[[#This Row],[Verb]]="drop",Log[[#This Row],[Verb]]="punt",Log[[#This Row],[Verb]]="pass"),0,""))</f>
      </c>
      <c r="K517" s="17">
        <f>IF(Log[[#This Row],[ID]]="",0,IFERROR(INDEX(Items[Pts],MATCH(Log[[#This Row],[ID]],Items[ID],0))*1,0))</f>
      </c>
      <c r="L517" s="17">
        <f>IF(Log[[#This Row],[ID]]="","",IFERROR(INDEX(Items[Cur team],MATCH(Log[[#This Row],[ID]],Items[ID],0))&amp;"",""))</f>
      </c>
      <c r="M517" s="17">
        <f>IF(OR(Log[[#This Row],[Verb]]="done",Log[[#This Row],[Verb]]="punt",Log[[#This Row],[Verb]]="drop",Log[[#This Row],[Verb]]="pass"),Log[[#This Row],[Pts]],0)</f>
      </c>
    </row>
    <row r="518">
      <c r="A518" s="11">
        <v>46119</v>
      </c>
      <c r="B518" t="s">
        <v>412</v>
      </c>
      <c r="C518" t="s">
        <v>34</v>
      </c>
      <c r="D518">
        <v>41</v>
      </c>
      <c r="F518" s="17">
        <f>IF(Log[[#This Row],[ID]]="","",IF(ISNA(MATCH(Log[[#This Row],[ID]],Items[ID],0)),"unknown ID",IF(ISNA(MATCH(Log[[#This Row],[Verb]],VerbList,0)),"unknown verb",IF(Log[[#This Row],[Date]]="","no date",""))))</f>
      </c>
      <c r="G518" s="17">
        <f>IF(Log[[#This Row],[ID]]="","",IFERROR(VLOOKUP(Log[[#This Row],[Verb]],Verbs,3,FALSE)&amp;"",""))</f>
      </c>
      <c r="H518" s="17">
        <f>IF(Log[[#This Row],[Date]]="","",INT((Log[[#This Row],[Date]]-Sprint1)/SprintDays)+1)</f>
      </c>
      <c r="I518" s="17">
        <f>IF(OR(Log[[#This Row],[Verb]]="commit",Log[[#This Row],[Verb]]="carry",Log[[#This Row],[Verb]]="redo"),IF(Log[[#This Row],[Arg]]="",Log[[#This Row],[Sprint]],N(Log[[#This Row],[Arg]])),"")</f>
      </c>
      <c r="J518" s="17">
        <f>IF(Log[[#This Row],[Verb]]="block",1,IF(OR(Log[[#This Row],[Verb]]="unblock",Log[[#This Row],[Verb]]="done",Log[[#This Row],[Verb]]="drop",Log[[#This Row],[Verb]]="punt",Log[[#This Row],[Verb]]="pass"),0,""))</f>
      </c>
      <c r="K518" s="17">
        <f>IF(Log[[#This Row],[ID]]="",0,IFERROR(INDEX(Items[Pts],MATCH(Log[[#This Row],[ID]],Items[ID],0))*1,0))</f>
      </c>
      <c r="L518" s="17">
        <f>IF(Log[[#This Row],[ID]]="","",IFERROR(INDEX(Items[Cur team],MATCH(Log[[#This Row],[ID]],Items[ID],0))&amp;"",""))</f>
      </c>
      <c r="M518" s="17">
        <f>IF(OR(Log[[#This Row],[Verb]]="done",Log[[#This Row],[Verb]]="punt",Log[[#This Row],[Verb]]="drop",Log[[#This Row],[Verb]]="pass"),Log[[#This Row],[Pts]],0)</f>
      </c>
    </row>
    <row r="519">
      <c r="A519" s="11">
        <v>46119</v>
      </c>
      <c r="B519" t="s">
        <v>413</v>
      </c>
      <c r="C519" t="s">
        <v>34</v>
      </c>
      <c r="D519">
        <v>41</v>
      </c>
      <c r="F519" s="17">
        <f>IF(Log[[#This Row],[ID]]="","",IF(ISNA(MATCH(Log[[#This Row],[ID]],Items[ID],0)),"unknown ID",IF(ISNA(MATCH(Log[[#This Row],[Verb]],VerbList,0)),"unknown verb",IF(Log[[#This Row],[Date]]="","no date",""))))</f>
      </c>
      <c r="G519" s="17">
        <f>IF(Log[[#This Row],[ID]]="","",IFERROR(VLOOKUP(Log[[#This Row],[Verb]],Verbs,3,FALSE)&amp;"",""))</f>
      </c>
      <c r="H519" s="17">
        <f>IF(Log[[#This Row],[Date]]="","",INT((Log[[#This Row],[Date]]-Sprint1)/SprintDays)+1)</f>
      </c>
      <c r="I519" s="17">
        <f>IF(OR(Log[[#This Row],[Verb]]="commit",Log[[#This Row],[Verb]]="carry",Log[[#This Row],[Verb]]="redo"),IF(Log[[#This Row],[Arg]]="",Log[[#This Row],[Sprint]],N(Log[[#This Row],[Arg]])),"")</f>
      </c>
      <c r="J519" s="17">
        <f>IF(Log[[#This Row],[Verb]]="block",1,IF(OR(Log[[#This Row],[Verb]]="unblock",Log[[#This Row],[Verb]]="done",Log[[#This Row],[Verb]]="drop",Log[[#This Row],[Verb]]="punt",Log[[#This Row],[Verb]]="pass"),0,""))</f>
      </c>
      <c r="K519" s="17">
        <f>IF(Log[[#This Row],[ID]]="",0,IFERROR(INDEX(Items[Pts],MATCH(Log[[#This Row],[ID]],Items[ID],0))*1,0))</f>
      </c>
      <c r="L519" s="17">
        <f>IF(Log[[#This Row],[ID]]="","",IFERROR(INDEX(Items[Cur team],MATCH(Log[[#This Row],[ID]],Items[ID],0))&amp;"",""))</f>
      </c>
      <c r="M519" s="17">
        <f>IF(OR(Log[[#This Row],[Verb]]="done",Log[[#This Row],[Verb]]="punt",Log[[#This Row],[Verb]]="drop",Log[[#This Row],[Verb]]="pass"),Log[[#This Row],[Pts]],0)</f>
      </c>
    </row>
    <row r="520">
      <c r="A520" s="11">
        <v>46119</v>
      </c>
      <c r="B520" t="s">
        <v>414</v>
      </c>
      <c r="C520" t="s">
        <v>34</v>
      </c>
      <c r="D520">
        <v>41</v>
      </c>
      <c r="F520" s="17">
        <f>IF(Log[[#This Row],[ID]]="","",IF(ISNA(MATCH(Log[[#This Row],[ID]],Items[ID],0)),"unknown ID",IF(ISNA(MATCH(Log[[#This Row],[Verb]],VerbList,0)),"unknown verb",IF(Log[[#This Row],[Date]]="","no date",""))))</f>
      </c>
      <c r="G520" s="17">
        <f>IF(Log[[#This Row],[ID]]="","",IFERROR(VLOOKUP(Log[[#This Row],[Verb]],Verbs,3,FALSE)&amp;"",""))</f>
      </c>
      <c r="H520" s="17">
        <f>IF(Log[[#This Row],[Date]]="","",INT((Log[[#This Row],[Date]]-Sprint1)/SprintDays)+1)</f>
      </c>
      <c r="I520" s="17">
        <f>IF(OR(Log[[#This Row],[Verb]]="commit",Log[[#This Row],[Verb]]="carry",Log[[#This Row],[Verb]]="redo"),IF(Log[[#This Row],[Arg]]="",Log[[#This Row],[Sprint]],N(Log[[#This Row],[Arg]])),"")</f>
      </c>
      <c r="J520" s="17">
        <f>IF(Log[[#This Row],[Verb]]="block",1,IF(OR(Log[[#This Row],[Verb]]="unblock",Log[[#This Row],[Verb]]="done",Log[[#This Row],[Verb]]="drop",Log[[#This Row],[Verb]]="punt",Log[[#This Row],[Verb]]="pass"),0,""))</f>
      </c>
      <c r="K520" s="17">
        <f>IF(Log[[#This Row],[ID]]="",0,IFERROR(INDEX(Items[Pts],MATCH(Log[[#This Row],[ID]],Items[ID],0))*1,0))</f>
      </c>
      <c r="L520" s="17">
        <f>IF(Log[[#This Row],[ID]]="","",IFERROR(INDEX(Items[Cur team],MATCH(Log[[#This Row],[ID]],Items[ID],0))&amp;"",""))</f>
      </c>
      <c r="M520" s="17">
        <f>IF(OR(Log[[#This Row],[Verb]]="done",Log[[#This Row],[Verb]]="punt",Log[[#This Row],[Verb]]="drop",Log[[#This Row],[Verb]]="pass"),Log[[#This Row],[Pts]],0)</f>
      </c>
    </row>
    <row r="521">
      <c r="A521" s="11">
        <v>46119</v>
      </c>
      <c r="B521" t="s">
        <v>415</v>
      </c>
      <c r="C521" t="s">
        <v>34</v>
      </c>
      <c r="D521">
        <v>41</v>
      </c>
      <c r="F521" s="17">
        <f>IF(Log[[#This Row],[ID]]="","",IF(ISNA(MATCH(Log[[#This Row],[ID]],Items[ID],0)),"unknown ID",IF(ISNA(MATCH(Log[[#This Row],[Verb]],VerbList,0)),"unknown verb",IF(Log[[#This Row],[Date]]="","no date",""))))</f>
      </c>
      <c r="G521" s="17">
        <f>IF(Log[[#This Row],[ID]]="","",IFERROR(VLOOKUP(Log[[#This Row],[Verb]],Verbs,3,FALSE)&amp;"",""))</f>
      </c>
      <c r="H521" s="17">
        <f>IF(Log[[#This Row],[Date]]="","",INT((Log[[#This Row],[Date]]-Sprint1)/SprintDays)+1)</f>
      </c>
      <c r="I521" s="17">
        <f>IF(OR(Log[[#This Row],[Verb]]="commit",Log[[#This Row],[Verb]]="carry",Log[[#This Row],[Verb]]="redo"),IF(Log[[#This Row],[Arg]]="",Log[[#This Row],[Sprint]],N(Log[[#This Row],[Arg]])),"")</f>
      </c>
      <c r="J521" s="17">
        <f>IF(Log[[#This Row],[Verb]]="block",1,IF(OR(Log[[#This Row],[Verb]]="unblock",Log[[#This Row],[Verb]]="done",Log[[#This Row],[Verb]]="drop",Log[[#This Row],[Verb]]="punt",Log[[#This Row],[Verb]]="pass"),0,""))</f>
      </c>
      <c r="K521" s="17">
        <f>IF(Log[[#This Row],[ID]]="",0,IFERROR(INDEX(Items[Pts],MATCH(Log[[#This Row],[ID]],Items[ID],0))*1,0))</f>
      </c>
      <c r="L521" s="17">
        <f>IF(Log[[#This Row],[ID]]="","",IFERROR(INDEX(Items[Cur team],MATCH(Log[[#This Row],[ID]],Items[ID],0))&amp;"",""))</f>
      </c>
      <c r="M521" s="17">
        <f>IF(OR(Log[[#This Row],[Verb]]="done",Log[[#This Row],[Verb]]="punt",Log[[#This Row],[Verb]]="drop",Log[[#This Row],[Verb]]="pass"),Log[[#This Row],[Pts]],0)</f>
      </c>
    </row>
    <row r="522">
      <c r="A522" s="11">
        <v>46119</v>
      </c>
      <c r="B522" t="s">
        <v>416</v>
      </c>
      <c r="C522" t="s">
        <v>34</v>
      </c>
      <c r="D522">
        <v>41</v>
      </c>
      <c r="F522" s="17">
        <f>IF(Log[[#This Row],[ID]]="","",IF(ISNA(MATCH(Log[[#This Row],[ID]],Items[ID],0)),"unknown ID",IF(ISNA(MATCH(Log[[#This Row],[Verb]],VerbList,0)),"unknown verb",IF(Log[[#This Row],[Date]]="","no date",""))))</f>
      </c>
      <c r="G522" s="17">
        <f>IF(Log[[#This Row],[ID]]="","",IFERROR(VLOOKUP(Log[[#This Row],[Verb]],Verbs,3,FALSE)&amp;"",""))</f>
      </c>
      <c r="H522" s="17">
        <f>IF(Log[[#This Row],[Date]]="","",INT((Log[[#This Row],[Date]]-Sprint1)/SprintDays)+1)</f>
      </c>
      <c r="I522" s="17">
        <f>IF(OR(Log[[#This Row],[Verb]]="commit",Log[[#This Row],[Verb]]="carry",Log[[#This Row],[Verb]]="redo"),IF(Log[[#This Row],[Arg]]="",Log[[#This Row],[Sprint]],N(Log[[#This Row],[Arg]])),"")</f>
      </c>
      <c r="J522" s="17">
        <f>IF(Log[[#This Row],[Verb]]="block",1,IF(OR(Log[[#This Row],[Verb]]="unblock",Log[[#This Row],[Verb]]="done",Log[[#This Row],[Verb]]="drop",Log[[#This Row],[Verb]]="punt",Log[[#This Row],[Verb]]="pass"),0,""))</f>
      </c>
      <c r="K522" s="17">
        <f>IF(Log[[#This Row],[ID]]="",0,IFERROR(INDEX(Items[Pts],MATCH(Log[[#This Row],[ID]],Items[ID],0))*1,0))</f>
      </c>
      <c r="L522" s="17">
        <f>IF(Log[[#This Row],[ID]]="","",IFERROR(INDEX(Items[Cur team],MATCH(Log[[#This Row],[ID]],Items[ID],0))&amp;"",""))</f>
      </c>
      <c r="M522" s="17">
        <f>IF(OR(Log[[#This Row],[Verb]]="done",Log[[#This Row],[Verb]]="punt",Log[[#This Row],[Verb]]="drop",Log[[#This Row],[Verb]]="pass"),Log[[#This Row],[Pts]],0)</f>
      </c>
    </row>
    <row r="523">
      <c r="A523" s="11">
        <v>46119</v>
      </c>
      <c r="B523" t="s">
        <v>417</v>
      </c>
      <c r="C523" t="s">
        <v>34</v>
      </c>
      <c r="D523">
        <v>41</v>
      </c>
      <c r="F523" s="17">
        <f>IF(Log[[#This Row],[ID]]="","",IF(ISNA(MATCH(Log[[#This Row],[ID]],Items[ID],0)),"unknown ID",IF(ISNA(MATCH(Log[[#This Row],[Verb]],VerbList,0)),"unknown verb",IF(Log[[#This Row],[Date]]="","no date",""))))</f>
      </c>
      <c r="G523" s="17">
        <f>IF(Log[[#This Row],[ID]]="","",IFERROR(VLOOKUP(Log[[#This Row],[Verb]],Verbs,3,FALSE)&amp;"",""))</f>
      </c>
      <c r="H523" s="17">
        <f>IF(Log[[#This Row],[Date]]="","",INT((Log[[#This Row],[Date]]-Sprint1)/SprintDays)+1)</f>
      </c>
      <c r="I523" s="17">
        <f>IF(OR(Log[[#This Row],[Verb]]="commit",Log[[#This Row],[Verb]]="carry",Log[[#This Row],[Verb]]="redo"),IF(Log[[#This Row],[Arg]]="",Log[[#This Row],[Sprint]],N(Log[[#This Row],[Arg]])),"")</f>
      </c>
      <c r="J523" s="17">
        <f>IF(Log[[#This Row],[Verb]]="block",1,IF(OR(Log[[#This Row],[Verb]]="unblock",Log[[#This Row],[Verb]]="done",Log[[#This Row],[Verb]]="drop",Log[[#This Row],[Verb]]="punt",Log[[#This Row],[Verb]]="pass"),0,""))</f>
      </c>
      <c r="K523" s="17">
        <f>IF(Log[[#This Row],[ID]]="",0,IFERROR(INDEX(Items[Pts],MATCH(Log[[#This Row],[ID]],Items[ID],0))*1,0))</f>
      </c>
      <c r="L523" s="17">
        <f>IF(Log[[#This Row],[ID]]="","",IFERROR(INDEX(Items[Cur team],MATCH(Log[[#This Row],[ID]],Items[ID],0))&amp;"",""))</f>
      </c>
      <c r="M523" s="17">
        <f>IF(OR(Log[[#This Row],[Verb]]="done",Log[[#This Row],[Verb]]="punt",Log[[#This Row],[Verb]]="drop",Log[[#This Row],[Verb]]="pass"),Log[[#This Row],[Pts]],0)</f>
      </c>
    </row>
    <row r="524">
      <c r="A524" s="11">
        <v>46119</v>
      </c>
      <c r="B524" t="s">
        <v>418</v>
      </c>
      <c r="C524" t="s">
        <v>34</v>
      </c>
      <c r="D524">
        <v>41</v>
      </c>
      <c r="F524" s="17">
        <f>IF(Log[[#This Row],[ID]]="","",IF(ISNA(MATCH(Log[[#This Row],[ID]],Items[ID],0)),"unknown ID",IF(ISNA(MATCH(Log[[#This Row],[Verb]],VerbList,0)),"unknown verb",IF(Log[[#This Row],[Date]]="","no date",""))))</f>
      </c>
      <c r="G524" s="17">
        <f>IF(Log[[#This Row],[ID]]="","",IFERROR(VLOOKUP(Log[[#This Row],[Verb]],Verbs,3,FALSE)&amp;"",""))</f>
      </c>
      <c r="H524" s="17">
        <f>IF(Log[[#This Row],[Date]]="","",INT((Log[[#This Row],[Date]]-Sprint1)/SprintDays)+1)</f>
      </c>
      <c r="I524" s="17">
        <f>IF(OR(Log[[#This Row],[Verb]]="commit",Log[[#This Row],[Verb]]="carry",Log[[#This Row],[Verb]]="redo"),IF(Log[[#This Row],[Arg]]="",Log[[#This Row],[Sprint]],N(Log[[#This Row],[Arg]])),"")</f>
      </c>
      <c r="J524" s="17">
        <f>IF(Log[[#This Row],[Verb]]="block",1,IF(OR(Log[[#This Row],[Verb]]="unblock",Log[[#This Row],[Verb]]="done",Log[[#This Row],[Verb]]="drop",Log[[#This Row],[Verb]]="punt",Log[[#This Row],[Verb]]="pass"),0,""))</f>
      </c>
      <c r="K524" s="17">
        <f>IF(Log[[#This Row],[ID]]="",0,IFERROR(INDEX(Items[Pts],MATCH(Log[[#This Row],[ID]],Items[ID],0))*1,0))</f>
      </c>
      <c r="L524" s="17">
        <f>IF(Log[[#This Row],[ID]]="","",IFERROR(INDEX(Items[Cur team],MATCH(Log[[#This Row],[ID]],Items[ID],0))&amp;"",""))</f>
      </c>
      <c r="M524" s="17">
        <f>IF(OR(Log[[#This Row],[Verb]]="done",Log[[#This Row],[Verb]]="punt",Log[[#This Row],[Verb]]="drop",Log[[#This Row],[Verb]]="pass"),Log[[#This Row],[Pts]],0)</f>
      </c>
    </row>
    <row r="525">
      <c r="A525" s="11">
        <v>46119</v>
      </c>
      <c r="B525" t="s">
        <v>419</v>
      </c>
      <c r="C525" t="s">
        <v>34</v>
      </c>
      <c r="D525">
        <v>41</v>
      </c>
      <c r="F525" s="17">
        <f>IF(Log[[#This Row],[ID]]="","",IF(ISNA(MATCH(Log[[#This Row],[ID]],Items[ID],0)),"unknown ID",IF(ISNA(MATCH(Log[[#This Row],[Verb]],VerbList,0)),"unknown verb",IF(Log[[#This Row],[Date]]="","no date",""))))</f>
      </c>
      <c r="G525" s="17">
        <f>IF(Log[[#This Row],[ID]]="","",IFERROR(VLOOKUP(Log[[#This Row],[Verb]],Verbs,3,FALSE)&amp;"",""))</f>
      </c>
      <c r="H525" s="17">
        <f>IF(Log[[#This Row],[Date]]="","",INT((Log[[#This Row],[Date]]-Sprint1)/SprintDays)+1)</f>
      </c>
      <c r="I525" s="17">
        <f>IF(OR(Log[[#This Row],[Verb]]="commit",Log[[#This Row],[Verb]]="carry",Log[[#This Row],[Verb]]="redo"),IF(Log[[#This Row],[Arg]]="",Log[[#This Row],[Sprint]],N(Log[[#This Row],[Arg]])),"")</f>
      </c>
      <c r="J525" s="17">
        <f>IF(Log[[#This Row],[Verb]]="block",1,IF(OR(Log[[#This Row],[Verb]]="unblock",Log[[#This Row],[Verb]]="done",Log[[#This Row],[Verb]]="drop",Log[[#This Row],[Verb]]="punt",Log[[#This Row],[Verb]]="pass"),0,""))</f>
      </c>
      <c r="K525" s="17">
        <f>IF(Log[[#This Row],[ID]]="",0,IFERROR(INDEX(Items[Pts],MATCH(Log[[#This Row],[ID]],Items[ID],0))*1,0))</f>
      </c>
      <c r="L525" s="17">
        <f>IF(Log[[#This Row],[ID]]="","",IFERROR(INDEX(Items[Cur team],MATCH(Log[[#This Row],[ID]],Items[ID],0))&amp;"",""))</f>
      </c>
      <c r="M525" s="17">
        <f>IF(OR(Log[[#This Row],[Verb]]="done",Log[[#This Row],[Verb]]="punt",Log[[#This Row],[Verb]]="drop",Log[[#This Row],[Verb]]="pass"),Log[[#This Row],[Pts]],0)</f>
      </c>
    </row>
    <row r="526">
      <c r="A526" s="11">
        <v>46119</v>
      </c>
      <c r="B526" t="s">
        <v>420</v>
      </c>
      <c r="C526" t="s">
        <v>34</v>
      </c>
      <c r="D526">
        <v>41</v>
      </c>
      <c r="F526" s="17">
        <f>IF(Log[[#This Row],[ID]]="","",IF(ISNA(MATCH(Log[[#This Row],[ID]],Items[ID],0)),"unknown ID",IF(ISNA(MATCH(Log[[#This Row],[Verb]],VerbList,0)),"unknown verb",IF(Log[[#This Row],[Date]]="","no date",""))))</f>
      </c>
      <c r="G526" s="17">
        <f>IF(Log[[#This Row],[ID]]="","",IFERROR(VLOOKUP(Log[[#This Row],[Verb]],Verbs,3,FALSE)&amp;"",""))</f>
      </c>
      <c r="H526" s="17">
        <f>IF(Log[[#This Row],[Date]]="","",INT((Log[[#This Row],[Date]]-Sprint1)/SprintDays)+1)</f>
      </c>
      <c r="I526" s="17">
        <f>IF(OR(Log[[#This Row],[Verb]]="commit",Log[[#This Row],[Verb]]="carry",Log[[#This Row],[Verb]]="redo"),IF(Log[[#This Row],[Arg]]="",Log[[#This Row],[Sprint]],N(Log[[#This Row],[Arg]])),"")</f>
      </c>
      <c r="J526" s="17">
        <f>IF(Log[[#This Row],[Verb]]="block",1,IF(OR(Log[[#This Row],[Verb]]="unblock",Log[[#This Row],[Verb]]="done",Log[[#This Row],[Verb]]="drop",Log[[#This Row],[Verb]]="punt",Log[[#This Row],[Verb]]="pass"),0,""))</f>
      </c>
      <c r="K526" s="17">
        <f>IF(Log[[#This Row],[ID]]="",0,IFERROR(INDEX(Items[Pts],MATCH(Log[[#This Row],[ID]],Items[ID],0))*1,0))</f>
      </c>
      <c r="L526" s="17">
        <f>IF(Log[[#This Row],[ID]]="","",IFERROR(INDEX(Items[Cur team],MATCH(Log[[#This Row],[ID]],Items[ID],0))&amp;"",""))</f>
      </c>
      <c r="M526" s="17">
        <f>IF(OR(Log[[#This Row],[Verb]]="done",Log[[#This Row],[Verb]]="punt",Log[[#This Row],[Verb]]="drop",Log[[#This Row],[Verb]]="pass"),Log[[#This Row],[Pts]],0)</f>
      </c>
    </row>
    <row r="527">
      <c r="A527" s="11">
        <v>46119</v>
      </c>
      <c r="B527" t="s">
        <v>421</v>
      </c>
      <c r="C527" t="s">
        <v>34</v>
      </c>
      <c r="D527">
        <v>41</v>
      </c>
      <c r="F527" s="17">
        <f>IF(Log[[#This Row],[ID]]="","",IF(ISNA(MATCH(Log[[#This Row],[ID]],Items[ID],0)),"unknown ID",IF(ISNA(MATCH(Log[[#This Row],[Verb]],VerbList,0)),"unknown verb",IF(Log[[#This Row],[Date]]="","no date",""))))</f>
      </c>
      <c r="G527" s="17">
        <f>IF(Log[[#This Row],[ID]]="","",IFERROR(VLOOKUP(Log[[#This Row],[Verb]],Verbs,3,FALSE)&amp;"",""))</f>
      </c>
      <c r="H527" s="17">
        <f>IF(Log[[#This Row],[Date]]="","",INT((Log[[#This Row],[Date]]-Sprint1)/SprintDays)+1)</f>
      </c>
      <c r="I527" s="17">
        <f>IF(OR(Log[[#This Row],[Verb]]="commit",Log[[#This Row],[Verb]]="carry",Log[[#This Row],[Verb]]="redo"),IF(Log[[#This Row],[Arg]]="",Log[[#This Row],[Sprint]],N(Log[[#This Row],[Arg]])),"")</f>
      </c>
      <c r="J527" s="17">
        <f>IF(Log[[#This Row],[Verb]]="block",1,IF(OR(Log[[#This Row],[Verb]]="unblock",Log[[#This Row],[Verb]]="done",Log[[#This Row],[Verb]]="drop",Log[[#This Row],[Verb]]="punt",Log[[#This Row],[Verb]]="pass"),0,""))</f>
      </c>
      <c r="K527" s="17">
        <f>IF(Log[[#This Row],[ID]]="",0,IFERROR(INDEX(Items[Pts],MATCH(Log[[#This Row],[ID]],Items[ID],0))*1,0))</f>
      </c>
      <c r="L527" s="17">
        <f>IF(Log[[#This Row],[ID]]="","",IFERROR(INDEX(Items[Cur team],MATCH(Log[[#This Row],[ID]],Items[ID],0))&amp;"",""))</f>
      </c>
      <c r="M527" s="17">
        <f>IF(OR(Log[[#This Row],[Verb]]="done",Log[[#This Row],[Verb]]="punt",Log[[#This Row],[Verb]]="drop",Log[[#This Row],[Verb]]="pass"),Log[[#This Row],[Pts]],0)</f>
      </c>
    </row>
    <row r="528">
      <c r="A528" s="11">
        <v>46119</v>
      </c>
      <c r="B528" t="s">
        <v>422</v>
      </c>
      <c r="C528" t="s">
        <v>34</v>
      </c>
      <c r="D528">
        <v>41</v>
      </c>
      <c r="F528" s="17">
        <f>IF(Log[[#This Row],[ID]]="","",IF(ISNA(MATCH(Log[[#This Row],[ID]],Items[ID],0)),"unknown ID",IF(ISNA(MATCH(Log[[#This Row],[Verb]],VerbList,0)),"unknown verb",IF(Log[[#This Row],[Date]]="","no date",""))))</f>
      </c>
      <c r="G528" s="17">
        <f>IF(Log[[#This Row],[ID]]="","",IFERROR(VLOOKUP(Log[[#This Row],[Verb]],Verbs,3,FALSE)&amp;"",""))</f>
      </c>
      <c r="H528" s="17">
        <f>IF(Log[[#This Row],[Date]]="","",INT((Log[[#This Row],[Date]]-Sprint1)/SprintDays)+1)</f>
      </c>
      <c r="I528" s="17">
        <f>IF(OR(Log[[#This Row],[Verb]]="commit",Log[[#This Row],[Verb]]="carry",Log[[#This Row],[Verb]]="redo"),IF(Log[[#This Row],[Arg]]="",Log[[#This Row],[Sprint]],N(Log[[#This Row],[Arg]])),"")</f>
      </c>
      <c r="J528" s="17">
        <f>IF(Log[[#This Row],[Verb]]="block",1,IF(OR(Log[[#This Row],[Verb]]="unblock",Log[[#This Row],[Verb]]="done",Log[[#This Row],[Verb]]="drop",Log[[#This Row],[Verb]]="punt",Log[[#This Row],[Verb]]="pass"),0,""))</f>
      </c>
      <c r="K528" s="17">
        <f>IF(Log[[#This Row],[ID]]="",0,IFERROR(INDEX(Items[Pts],MATCH(Log[[#This Row],[ID]],Items[ID],0))*1,0))</f>
      </c>
      <c r="L528" s="17">
        <f>IF(Log[[#This Row],[ID]]="","",IFERROR(INDEX(Items[Cur team],MATCH(Log[[#This Row],[ID]],Items[ID],0))&amp;"",""))</f>
      </c>
      <c r="M528" s="17">
        <f>IF(OR(Log[[#This Row],[Verb]]="done",Log[[#This Row],[Verb]]="punt",Log[[#This Row],[Verb]]="drop",Log[[#This Row],[Verb]]="pass"),Log[[#This Row],[Pts]],0)</f>
      </c>
    </row>
    <row r="529">
      <c r="A529" s="11">
        <v>46119</v>
      </c>
      <c r="B529" t="s">
        <v>369</v>
      </c>
      <c r="C529" t="s">
        <v>57</v>
      </c>
      <c r="D529">
        <v>41</v>
      </c>
      <c r="E529" t="s">
        <v>193</v>
      </c>
      <c r="F529" s="17">
        <f>IF(Log[[#This Row],[ID]]="","",IF(ISNA(MATCH(Log[[#This Row],[ID]],Items[ID],0)),"unknown ID",IF(ISNA(MATCH(Log[[#This Row],[Verb]],VerbList,0)),"unknown verb",IF(Log[[#This Row],[Date]]="","no date",""))))</f>
      </c>
      <c r="G529" s="17">
        <f>IF(Log[[#This Row],[ID]]="","",IFERROR(VLOOKUP(Log[[#This Row],[Verb]],Verbs,3,FALSE)&amp;"",""))</f>
      </c>
      <c r="H529" s="17">
        <f>IF(Log[[#This Row],[Date]]="","",INT((Log[[#This Row],[Date]]-Sprint1)/SprintDays)+1)</f>
      </c>
      <c r="I529" s="17">
        <f>IF(OR(Log[[#This Row],[Verb]]="commit",Log[[#This Row],[Verb]]="carry",Log[[#This Row],[Verb]]="redo"),IF(Log[[#This Row],[Arg]]="",Log[[#This Row],[Sprint]],N(Log[[#This Row],[Arg]])),"")</f>
      </c>
      <c r="J529" s="17">
        <f>IF(Log[[#This Row],[Verb]]="block",1,IF(OR(Log[[#This Row],[Verb]]="unblock",Log[[#This Row],[Verb]]="done",Log[[#This Row],[Verb]]="drop",Log[[#This Row],[Verb]]="punt",Log[[#This Row],[Verb]]="pass"),0,""))</f>
      </c>
      <c r="K529" s="17">
        <f>IF(Log[[#This Row],[ID]]="",0,IFERROR(INDEX(Items[Pts],MATCH(Log[[#This Row],[ID]],Items[ID],0))*1,0))</f>
      </c>
      <c r="L529" s="17">
        <f>IF(Log[[#This Row],[ID]]="","",IFERROR(INDEX(Items[Cur team],MATCH(Log[[#This Row],[ID]],Items[ID],0))&amp;"",""))</f>
      </c>
      <c r="M529" s="17">
        <f>IF(OR(Log[[#This Row],[Verb]]="done",Log[[#This Row],[Verb]]="punt",Log[[#This Row],[Verb]]="drop",Log[[#This Row],[Verb]]="pass"),Log[[#This Row],[Pts]],0)</f>
      </c>
    </row>
    <row r="530">
      <c r="A530" s="11">
        <v>46119</v>
      </c>
      <c r="B530" t="s">
        <v>423</v>
      </c>
      <c r="C530" t="s">
        <v>34</v>
      </c>
      <c r="D530">
        <v>41</v>
      </c>
      <c r="F530" s="17">
        <f>IF(Log[[#This Row],[ID]]="","",IF(ISNA(MATCH(Log[[#This Row],[ID]],Items[ID],0)),"unknown ID",IF(ISNA(MATCH(Log[[#This Row],[Verb]],VerbList,0)),"unknown verb",IF(Log[[#This Row],[Date]]="","no date",""))))</f>
      </c>
      <c r="G530" s="17">
        <f>IF(Log[[#This Row],[ID]]="","",IFERROR(VLOOKUP(Log[[#This Row],[Verb]],Verbs,3,FALSE)&amp;"",""))</f>
      </c>
      <c r="H530" s="17">
        <f>IF(Log[[#This Row],[Date]]="","",INT((Log[[#This Row],[Date]]-Sprint1)/SprintDays)+1)</f>
      </c>
      <c r="I530" s="17">
        <f>IF(OR(Log[[#This Row],[Verb]]="commit",Log[[#This Row],[Verb]]="carry",Log[[#This Row],[Verb]]="redo"),IF(Log[[#This Row],[Arg]]="",Log[[#This Row],[Sprint]],N(Log[[#This Row],[Arg]])),"")</f>
      </c>
      <c r="J530" s="17">
        <f>IF(Log[[#This Row],[Verb]]="block",1,IF(OR(Log[[#This Row],[Verb]]="unblock",Log[[#This Row],[Verb]]="done",Log[[#This Row],[Verb]]="drop",Log[[#This Row],[Verb]]="punt",Log[[#This Row],[Verb]]="pass"),0,""))</f>
      </c>
      <c r="K530" s="17">
        <f>IF(Log[[#This Row],[ID]]="",0,IFERROR(INDEX(Items[Pts],MATCH(Log[[#This Row],[ID]],Items[ID],0))*1,0))</f>
      </c>
      <c r="L530" s="17">
        <f>IF(Log[[#This Row],[ID]]="","",IFERROR(INDEX(Items[Cur team],MATCH(Log[[#This Row],[ID]],Items[ID],0))&amp;"",""))</f>
      </c>
      <c r="M530" s="17">
        <f>IF(OR(Log[[#This Row],[Verb]]="done",Log[[#This Row],[Verb]]="punt",Log[[#This Row],[Verb]]="drop",Log[[#This Row],[Verb]]="pass"),Log[[#This Row],[Pts]],0)</f>
      </c>
    </row>
    <row r="531">
      <c r="A531" s="11">
        <v>46119</v>
      </c>
      <c r="B531" t="s">
        <v>424</v>
      </c>
      <c r="C531" t="s">
        <v>34</v>
      </c>
      <c r="D531">
        <v>41</v>
      </c>
      <c r="F531" s="17">
        <f>IF(Log[[#This Row],[ID]]="","",IF(ISNA(MATCH(Log[[#This Row],[ID]],Items[ID],0)),"unknown ID",IF(ISNA(MATCH(Log[[#This Row],[Verb]],VerbList,0)),"unknown verb",IF(Log[[#This Row],[Date]]="","no date",""))))</f>
      </c>
      <c r="G531" s="17">
        <f>IF(Log[[#This Row],[ID]]="","",IFERROR(VLOOKUP(Log[[#This Row],[Verb]],Verbs,3,FALSE)&amp;"",""))</f>
      </c>
      <c r="H531" s="17">
        <f>IF(Log[[#This Row],[Date]]="","",INT((Log[[#This Row],[Date]]-Sprint1)/SprintDays)+1)</f>
      </c>
      <c r="I531" s="17">
        <f>IF(OR(Log[[#This Row],[Verb]]="commit",Log[[#This Row],[Verb]]="carry",Log[[#This Row],[Verb]]="redo"),IF(Log[[#This Row],[Arg]]="",Log[[#This Row],[Sprint]],N(Log[[#This Row],[Arg]])),"")</f>
      </c>
      <c r="J531" s="17">
        <f>IF(Log[[#This Row],[Verb]]="block",1,IF(OR(Log[[#This Row],[Verb]]="unblock",Log[[#This Row],[Verb]]="done",Log[[#This Row],[Verb]]="drop",Log[[#This Row],[Verb]]="punt",Log[[#This Row],[Verb]]="pass"),0,""))</f>
      </c>
      <c r="K531" s="17">
        <f>IF(Log[[#This Row],[ID]]="",0,IFERROR(INDEX(Items[Pts],MATCH(Log[[#This Row],[ID]],Items[ID],0))*1,0))</f>
      </c>
      <c r="L531" s="17">
        <f>IF(Log[[#This Row],[ID]]="","",IFERROR(INDEX(Items[Cur team],MATCH(Log[[#This Row],[ID]],Items[ID],0))&amp;"",""))</f>
      </c>
      <c r="M531" s="17">
        <f>IF(OR(Log[[#This Row],[Verb]]="done",Log[[#This Row],[Verb]]="punt",Log[[#This Row],[Verb]]="drop",Log[[#This Row],[Verb]]="pass"),Log[[#This Row],[Pts]],0)</f>
      </c>
    </row>
    <row r="532">
      <c r="A532" s="11">
        <v>46119</v>
      </c>
      <c r="B532" t="s">
        <v>425</v>
      </c>
      <c r="C532" t="s">
        <v>34</v>
      </c>
      <c r="D532">
        <v>41</v>
      </c>
      <c r="F532" s="17">
        <f>IF(Log[[#This Row],[ID]]="","",IF(ISNA(MATCH(Log[[#This Row],[ID]],Items[ID],0)),"unknown ID",IF(ISNA(MATCH(Log[[#This Row],[Verb]],VerbList,0)),"unknown verb",IF(Log[[#This Row],[Date]]="","no date",""))))</f>
      </c>
      <c r="G532" s="17">
        <f>IF(Log[[#This Row],[ID]]="","",IFERROR(VLOOKUP(Log[[#This Row],[Verb]],Verbs,3,FALSE)&amp;"",""))</f>
      </c>
      <c r="H532" s="17">
        <f>IF(Log[[#This Row],[Date]]="","",INT((Log[[#This Row],[Date]]-Sprint1)/SprintDays)+1)</f>
      </c>
      <c r="I532" s="17">
        <f>IF(OR(Log[[#This Row],[Verb]]="commit",Log[[#This Row],[Verb]]="carry",Log[[#This Row],[Verb]]="redo"),IF(Log[[#This Row],[Arg]]="",Log[[#This Row],[Sprint]],N(Log[[#This Row],[Arg]])),"")</f>
      </c>
      <c r="J532" s="17">
        <f>IF(Log[[#This Row],[Verb]]="block",1,IF(OR(Log[[#This Row],[Verb]]="unblock",Log[[#This Row],[Verb]]="done",Log[[#This Row],[Verb]]="drop",Log[[#This Row],[Verb]]="punt",Log[[#This Row],[Verb]]="pass"),0,""))</f>
      </c>
      <c r="K532" s="17">
        <f>IF(Log[[#This Row],[ID]]="",0,IFERROR(INDEX(Items[Pts],MATCH(Log[[#This Row],[ID]],Items[ID],0))*1,0))</f>
      </c>
      <c r="L532" s="17">
        <f>IF(Log[[#This Row],[ID]]="","",IFERROR(INDEX(Items[Cur team],MATCH(Log[[#This Row],[ID]],Items[ID],0))&amp;"",""))</f>
      </c>
      <c r="M532" s="17">
        <f>IF(OR(Log[[#This Row],[Verb]]="done",Log[[#This Row],[Verb]]="punt",Log[[#This Row],[Verb]]="drop",Log[[#This Row],[Verb]]="pass"),Log[[#This Row],[Pts]],0)</f>
      </c>
    </row>
    <row r="533">
      <c r="A533" s="11">
        <v>46119</v>
      </c>
      <c r="B533" t="s">
        <v>426</v>
      </c>
      <c r="C533" t="s">
        <v>34</v>
      </c>
      <c r="D533">
        <v>41</v>
      </c>
      <c r="F533" s="17">
        <f>IF(Log[[#This Row],[ID]]="","",IF(ISNA(MATCH(Log[[#This Row],[ID]],Items[ID],0)),"unknown ID",IF(ISNA(MATCH(Log[[#This Row],[Verb]],VerbList,0)),"unknown verb",IF(Log[[#This Row],[Date]]="","no date",""))))</f>
      </c>
      <c r="G533" s="17">
        <f>IF(Log[[#This Row],[ID]]="","",IFERROR(VLOOKUP(Log[[#This Row],[Verb]],Verbs,3,FALSE)&amp;"",""))</f>
      </c>
      <c r="H533" s="17">
        <f>IF(Log[[#This Row],[Date]]="","",INT((Log[[#This Row],[Date]]-Sprint1)/SprintDays)+1)</f>
      </c>
      <c r="I533" s="17">
        <f>IF(OR(Log[[#This Row],[Verb]]="commit",Log[[#This Row],[Verb]]="carry",Log[[#This Row],[Verb]]="redo"),IF(Log[[#This Row],[Arg]]="",Log[[#This Row],[Sprint]],N(Log[[#This Row],[Arg]])),"")</f>
      </c>
      <c r="J533" s="17">
        <f>IF(Log[[#This Row],[Verb]]="block",1,IF(OR(Log[[#This Row],[Verb]]="unblock",Log[[#This Row],[Verb]]="done",Log[[#This Row],[Verb]]="drop",Log[[#This Row],[Verb]]="punt",Log[[#This Row],[Verb]]="pass"),0,""))</f>
      </c>
      <c r="K533" s="17">
        <f>IF(Log[[#This Row],[ID]]="",0,IFERROR(INDEX(Items[Pts],MATCH(Log[[#This Row],[ID]],Items[ID],0))*1,0))</f>
      </c>
      <c r="L533" s="17">
        <f>IF(Log[[#This Row],[ID]]="","",IFERROR(INDEX(Items[Cur team],MATCH(Log[[#This Row],[ID]],Items[ID],0))&amp;"",""))</f>
      </c>
      <c r="M533" s="17">
        <f>IF(OR(Log[[#This Row],[Verb]]="done",Log[[#This Row],[Verb]]="punt",Log[[#This Row],[Verb]]="drop",Log[[#This Row],[Verb]]="pass"),Log[[#This Row],[Pts]],0)</f>
      </c>
    </row>
    <row r="534">
      <c r="A534" s="11">
        <v>46119</v>
      </c>
      <c r="B534" t="s">
        <v>427</v>
      </c>
      <c r="C534" t="s">
        <v>34</v>
      </c>
      <c r="D534">
        <v>41</v>
      </c>
      <c r="F534" s="17">
        <f>IF(Log[[#This Row],[ID]]="","",IF(ISNA(MATCH(Log[[#This Row],[ID]],Items[ID],0)),"unknown ID",IF(ISNA(MATCH(Log[[#This Row],[Verb]],VerbList,0)),"unknown verb",IF(Log[[#This Row],[Date]]="","no date",""))))</f>
      </c>
      <c r="G534" s="17">
        <f>IF(Log[[#This Row],[ID]]="","",IFERROR(VLOOKUP(Log[[#This Row],[Verb]],Verbs,3,FALSE)&amp;"",""))</f>
      </c>
      <c r="H534" s="17">
        <f>IF(Log[[#This Row],[Date]]="","",INT((Log[[#This Row],[Date]]-Sprint1)/SprintDays)+1)</f>
      </c>
      <c r="I534" s="17">
        <f>IF(OR(Log[[#This Row],[Verb]]="commit",Log[[#This Row],[Verb]]="carry",Log[[#This Row],[Verb]]="redo"),IF(Log[[#This Row],[Arg]]="",Log[[#This Row],[Sprint]],N(Log[[#This Row],[Arg]])),"")</f>
      </c>
      <c r="J534" s="17">
        <f>IF(Log[[#This Row],[Verb]]="block",1,IF(OR(Log[[#This Row],[Verb]]="unblock",Log[[#This Row],[Verb]]="done",Log[[#This Row],[Verb]]="drop",Log[[#This Row],[Verb]]="punt",Log[[#This Row],[Verb]]="pass"),0,""))</f>
      </c>
      <c r="K534" s="17">
        <f>IF(Log[[#This Row],[ID]]="",0,IFERROR(INDEX(Items[Pts],MATCH(Log[[#This Row],[ID]],Items[ID],0))*1,0))</f>
      </c>
      <c r="L534" s="17">
        <f>IF(Log[[#This Row],[ID]]="","",IFERROR(INDEX(Items[Cur team],MATCH(Log[[#This Row],[ID]],Items[ID],0))&amp;"",""))</f>
      </c>
      <c r="M534" s="17">
        <f>IF(OR(Log[[#This Row],[Verb]]="done",Log[[#This Row],[Verb]]="punt",Log[[#This Row],[Verb]]="drop",Log[[#This Row],[Verb]]="pass"),Log[[#This Row],[Pts]],0)</f>
      </c>
    </row>
    <row r="535">
      <c r="A535" s="11">
        <v>46119</v>
      </c>
      <c r="B535" t="s">
        <v>428</v>
      </c>
      <c r="C535" t="s">
        <v>34</v>
      </c>
      <c r="D535">
        <v>41</v>
      </c>
      <c r="F535" s="17">
        <f>IF(Log[[#This Row],[ID]]="","",IF(ISNA(MATCH(Log[[#This Row],[ID]],Items[ID],0)),"unknown ID",IF(ISNA(MATCH(Log[[#This Row],[Verb]],VerbList,0)),"unknown verb",IF(Log[[#This Row],[Date]]="","no date",""))))</f>
      </c>
      <c r="G535" s="17">
        <f>IF(Log[[#This Row],[ID]]="","",IFERROR(VLOOKUP(Log[[#This Row],[Verb]],Verbs,3,FALSE)&amp;"",""))</f>
      </c>
      <c r="H535" s="17">
        <f>IF(Log[[#This Row],[Date]]="","",INT((Log[[#This Row],[Date]]-Sprint1)/SprintDays)+1)</f>
      </c>
      <c r="I535" s="17">
        <f>IF(OR(Log[[#This Row],[Verb]]="commit",Log[[#This Row],[Verb]]="carry",Log[[#This Row],[Verb]]="redo"),IF(Log[[#This Row],[Arg]]="",Log[[#This Row],[Sprint]],N(Log[[#This Row],[Arg]])),"")</f>
      </c>
      <c r="J535" s="17">
        <f>IF(Log[[#This Row],[Verb]]="block",1,IF(OR(Log[[#This Row],[Verb]]="unblock",Log[[#This Row],[Verb]]="done",Log[[#This Row],[Verb]]="drop",Log[[#This Row],[Verb]]="punt",Log[[#This Row],[Verb]]="pass"),0,""))</f>
      </c>
      <c r="K535" s="17">
        <f>IF(Log[[#This Row],[ID]]="",0,IFERROR(INDEX(Items[Pts],MATCH(Log[[#This Row],[ID]],Items[ID],0))*1,0))</f>
      </c>
      <c r="L535" s="17">
        <f>IF(Log[[#This Row],[ID]]="","",IFERROR(INDEX(Items[Cur team],MATCH(Log[[#This Row],[ID]],Items[ID],0))&amp;"",""))</f>
      </c>
      <c r="M535" s="17">
        <f>IF(OR(Log[[#This Row],[Verb]]="done",Log[[#This Row],[Verb]]="punt",Log[[#This Row],[Verb]]="drop",Log[[#This Row],[Verb]]="pass"),Log[[#This Row],[Pts]],0)</f>
      </c>
    </row>
    <row r="536">
      <c r="A536" s="11">
        <v>46132</v>
      </c>
      <c r="B536" t="s">
        <v>297</v>
      </c>
      <c r="C536" t="s">
        <v>41</v>
      </c>
      <c r="F536" s="17">
        <f>IF(Log[[#This Row],[ID]]="","",IF(ISNA(MATCH(Log[[#This Row],[ID]],Items[ID],0)),"unknown ID",IF(ISNA(MATCH(Log[[#This Row],[Verb]],VerbList,0)),"unknown verb",IF(Log[[#This Row],[Date]]="","no date",""))))</f>
      </c>
      <c r="G536" s="17">
        <f>IF(Log[[#This Row],[ID]]="","",IFERROR(VLOOKUP(Log[[#This Row],[Verb]],Verbs,3,FALSE)&amp;"",""))</f>
      </c>
      <c r="H536" s="17">
        <f>IF(Log[[#This Row],[Date]]="","",INT((Log[[#This Row],[Date]]-Sprint1)/SprintDays)+1)</f>
      </c>
      <c r="I536" s="17">
        <f>IF(OR(Log[[#This Row],[Verb]]="commit",Log[[#This Row],[Verb]]="carry",Log[[#This Row],[Verb]]="redo"),IF(Log[[#This Row],[Arg]]="",Log[[#This Row],[Sprint]],N(Log[[#This Row],[Arg]])),"")</f>
      </c>
      <c r="J536" s="17">
        <f>IF(Log[[#This Row],[Verb]]="block",1,IF(OR(Log[[#This Row],[Verb]]="unblock",Log[[#This Row],[Verb]]="done",Log[[#This Row],[Verb]]="drop",Log[[#This Row],[Verb]]="punt",Log[[#This Row],[Verb]]="pass"),0,""))</f>
      </c>
      <c r="K536" s="17">
        <f>IF(Log[[#This Row],[ID]]="",0,IFERROR(INDEX(Items[Pts],MATCH(Log[[#This Row],[ID]],Items[ID],0))*1,0))</f>
      </c>
      <c r="L536" s="17">
        <f>IF(Log[[#This Row],[ID]]="","",IFERROR(INDEX(Items[Cur team],MATCH(Log[[#This Row],[ID]],Items[ID],0))&amp;"",""))</f>
      </c>
      <c r="M536" s="17">
        <f>IF(OR(Log[[#This Row],[Verb]]="done",Log[[#This Row],[Verb]]="punt",Log[[#This Row],[Verb]]="drop",Log[[#This Row],[Verb]]="pass"),Log[[#This Row],[Pts]],0)</f>
      </c>
    </row>
    <row r="537">
      <c r="A537" s="11">
        <v>46132</v>
      </c>
      <c r="B537" t="s">
        <v>303</v>
      </c>
      <c r="C537" t="s">
        <v>41</v>
      </c>
      <c r="F537" s="17">
        <f>IF(Log[[#This Row],[ID]]="","",IF(ISNA(MATCH(Log[[#This Row],[ID]],Items[ID],0)),"unknown ID",IF(ISNA(MATCH(Log[[#This Row],[Verb]],VerbList,0)),"unknown verb",IF(Log[[#This Row],[Date]]="","no date",""))))</f>
      </c>
      <c r="G537" s="17">
        <f>IF(Log[[#This Row],[ID]]="","",IFERROR(VLOOKUP(Log[[#This Row],[Verb]],Verbs,3,FALSE)&amp;"",""))</f>
      </c>
      <c r="H537" s="17">
        <f>IF(Log[[#This Row],[Date]]="","",INT((Log[[#This Row],[Date]]-Sprint1)/SprintDays)+1)</f>
      </c>
      <c r="I537" s="17">
        <f>IF(OR(Log[[#This Row],[Verb]]="commit",Log[[#This Row],[Verb]]="carry",Log[[#This Row],[Verb]]="redo"),IF(Log[[#This Row],[Arg]]="",Log[[#This Row],[Sprint]],N(Log[[#This Row],[Arg]])),"")</f>
      </c>
      <c r="J537" s="17">
        <f>IF(Log[[#This Row],[Verb]]="block",1,IF(OR(Log[[#This Row],[Verb]]="unblock",Log[[#This Row],[Verb]]="done",Log[[#This Row],[Verb]]="drop",Log[[#This Row],[Verb]]="punt",Log[[#This Row],[Verb]]="pass"),0,""))</f>
      </c>
      <c r="K537" s="17">
        <f>IF(Log[[#This Row],[ID]]="",0,IFERROR(INDEX(Items[Pts],MATCH(Log[[#This Row],[ID]],Items[ID],0))*1,0))</f>
      </c>
      <c r="L537" s="17">
        <f>IF(Log[[#This Row],[ID]]="","",IFERROR(INDEX(Items[Cur team],MATCH(Log[[#This Row],[ID]],Items[ID],0))&amp;"",""))</f>
      </c>
      <c r="M537" s="17">
        <f>IF(OR(Log[[#This Row],[Verb]]="done",Log[[#This Row],[Verb]]="punt",Log[[#This Row],[Verb]]="drop",Log[[#This Row],[Verb]]="pass"),Log[[#This Row],[Pts]],0)</f>
      </c>
    </row>
    <row r="538">
      <c r="A538" s="11">
        <v>46132</v>
      </c>
      <c r="B538" t="s">
        <v>374</v>
      </c>
      <c r="C538" t="s">
        <v>41</v>
      </c>
      <c r="F538" s="17">
        <f>IF(Log[[#This Row],[ID]]="","",IF(ISNA(MATCH(Log[[#This Row],[ID]],Items[ID],0)),"unknown ID",IF(ISNA(MATCH(Log[[#This Row],[Verb]],VerbList,0)),"unknown verb",IF(Log[[#This Row],[Date]]="","no date",""))))</f>
      </c>
      <c r="G538" s="17">
        <f>IF(Log[[#This Row],[ID]]="","",IFERROR(VLOOKUP(Log[[#This Row],[Verb]],Verbs,3,FALSE)&amp;"",""))</f>
      </c>
      <c r="H538" s="17">
        <f>IF(Log[[#This Row],[Date]]="","",INT((Log[[#This Row],[Date]]-Sprint1)/SprintDays)+1)</f>
      </c>
      <c r="I538" s="17">
        <f>IF(OR(Log[[#This Row],[Verb]]="commit",Log[[#This Row],[Verb]]="carry",Log[[#This Row],[Verb]]="redo"),IF(Log[[#This Row],[Arg]]="",Log[[#This Row],[Sprint]],N(Log[[#This Row],[Arg]])),"")</f>
      </c>
      <c r="J538" s="17">
        <f>IF(Log[[#This Row],[Verb]]="block",1,IF(OR(Log[[#This Row],[Verb]]="unblock",Log[[#This Row],[Verb]]="done",Log[[#This Row],[Verb]]="drop",Log[[#This Row],[Verb]]="punt",Log[[#This Row],[Verb]]="pass"),0,""))</f>
      </c>
      <c r="K538" s="17">
        <f>IF(Log[[#This Row],[ID]]="",0,IFERROR(INDEX(Items[Pts],MATCH(Log[[#This Row],[ID]],Items[ID],0))*1,0))</f>
      </c>
      <c r="L538" s="17">
        <f>IF(Log[[#This Row],[ID]]="","",IFERROR(INDEX(Items[Cur team],MATCH(Log[[#This Row],[ID]],Items[ID],0))&amp;"",""))</f>
      </c>
      <c r="M538" s="17">
        <f>IF(OR(Log[[#This Row],[Verb]]="done",Log[[#This Row],[Verb]]="punt",Log[[#This Row],[Verb]]="drop",Log[[#This Row],[Verb]]="pass"),Log[[#This Row],[Pts]],0)</f>
      </c>
    </row>
    <row r="539">
      <c r="A539" s="11">
        <v>46132</v>
      </c>
      <c r="B539" t="s">
        <v>375</v>
      </c>
      <c r="C539" t="s">
        <v>38</v>
      </c>
      <c r="D539">
        <v>42</v>
      </c>
      <c r="F539" s="17">
        <f>IF(Log[[#This Row],[ID]]="","",IF(ISNA(MATCH(Log[[#This Row],[ID]],Items[ID],0)),"unknown ID",IF(ISNA(MATCH(Log[[#This Row],[Verb]],VerbList,0)),"unknown verb",IF(Log[[#This Row],[Date]]="","no date",""))))</f>
      </c>
      <c r="G539" s="17">
        <f>IF(Log[[#This Row],[ID]]="","",IFERROR(VLOOKUP(Log[[#This Row],[Verb]],Verbs,3,FALSE)&amp;"",""))</f>
      </c>
      <c r="H539" s="17">
        <f>IF(Log[[#This Row],[Date]]="","",INT((Log[[#This Row],[Date]]-Sprint1)/SprintDays)+1)</f>
      </c>
      <c r="I539" s="17">
        <f>IF(OR(Log[[#This Row],[Verb]]="commit",Log[[#This Row],[Verb]]="carry",Log[[#This Row],[Verb]]="redo"),IF(Log[[#This Row],[Arg]]="",Log[[#This Row],[Sprint]],N(Log[[#This Row],[Arg]])),"")</f>
      </c>
      <c r="J539" s="17">
        <f>IF(Log[[#This Row],[Verb]]="block",1,IF(OR(Log[[#This Row],[Verb]]="unblock",Log[[#This Row],[Verb]]="done",Log[[#This Row],[Verb]]="drop",Log[[#This Row],[Verb]]="punt",Log[[#This Row],[Verb]]="pass"),0,""))</f>
      </c>
      <c r="K539" s="17">
        <f>IF(Log[[#This Row],[ID]]="",0,IFERROR(INDEX(Items[Pts],MATCH(Log[[#This Row],[ID]],Items[ID],0))*1,0))</f>
      </c>
      <c r="L539" s="17">
        <f>IF(Log[[#This Row],[ID]]="","",IFERROR(INDEX(Items[Cur team],MATCH(Log[[#This Row],[ID]],Items[ID],0))&amp;"",""))</f>
      </c>
      <c r="M539" s="17">
        <f>IF(OR(Log[[#This Row],[Verb]]="done",Log[[#This Row],[Verb]]="punt",Log[[#This Row],[Verb]]="drop",Log[[#This Row],[Verb]]="pass"),Log[[#This Row],[Pts]],0)</f>
      </c>
    </row>
    <row r="540">
      <c r="A540" s="11">
        <v>46132</v>
      </c>
      <c r="B540" t="s">
        <v>376</v>
      </c>
      <c r="C540" t="s">
        <v>41</v>
      </c>
      <c r="F540" s="17">
        <f>IF(Log[[#This Row],[ID]]="","",IF(ISNA(MATCH(Log[[#This Row],[ID]],Items[ID],0)),"unknown ID",IF(ISNA(MATCH(Log[[#This Row],[Verb]],VerbList,0)),"unknown verb",IF(Log[[#This Row],[Date]]="","no date",""))))</f>
      </c>
      <c r="G540" s="17">
        <f>IF(Log[[#This Row],[ID]]="","",IFERROR(VLOOKUP(Log[[#This Row],[Verb]],Verbs,3,FALSE)&amp;"",""))</f>
      </c>
      <c r="H540" s="17">
        <f>IF(Log[[#This Row],[Date]]="","",INT((Log[[#This Row],[Date]]-Sprint1)/SprintDays)+1)</f>
      </c>
      <c r="I540" s="17">
        <f>IF(OR(Log[[#This Row],[Verb]]="commit",Log[[#This Row],[Verb]]="carry",Log[[#This Row],[Verb]]="redo"),IF(Log[[#This Row],[Arg]]="",Log[[#This Row],[Sprint]],N(Log[[#This Row],[Arg]])),"")</f>
      </c>
      <c r="J540" s="17">
        <f>IF(Log[[#This Row],[Verb]]="block",1,IF(OR(Log[[#This Row],[Verb]]="unblock",Log[[#This Row],[Verb]]="done",Log[[#This Row],[Verb]]="drop",Log[[#This Row],[Verb]]="punt",Log[[#This Row],[Verb]]="pass"),0,""))</f>
      </c>
      <c r="K540" s="17">
        <f>IF(Log[[#This Row],[ID]]="",0,IFERROR(INDEX(Items[Pts],MATCH(Log[[#This Row],[ID]],Items[ID],0))*1,0))</f>
      </c>
      <c r="L540" s="17">
        <f>IF(Log[[#This Row],[ID]]="","",IFERROR(INDEX(Items[Cur team],MATCH(Log[[#This Row],[ID]],Items[ID],0))&amp;"",""))</f>
      </c>
      <c r="M540" s="17">
        <f>IF(OR(Log[[#This Row],[Verb]]="done",Log[[#This Row],[Verb]]="punt",Log[[#This Row],[Verb]]="drop",Log[[#This Row],[Verb]]="pass"),Log[[#This Row],[Pts]],0)</f>
      </c>
    </row>
    <row r="541">
      <c r="A541" s="11">
        <v>46132</v>
      </c>
      <c r="B541" t="s">
        <v>377</v>
      </c>
      <c r="C541" t="s">
        <v>41</v>
      </c>
      <c r="F541" s="17">
        <f>IF(Log[[#This Row],[ID]]="","",IF(ISNA(MATCH(Log[[#This Row],[ID]],Items[ID],0)),"unknown ID",IF(ISNA(MATCH(Log[[#This Row],[Verb]],VerbList,0)),"unknown verb",IF(Log[[#This Row],[Date]]="","no date",""))))</f>
      </c>
      <c r="G541" s="17">
        <f>IF(Log[[#This Row],[ID]]="","",IFERROR(VLOOKUP(Log[[#This Row],[Verb]],Verbs,3,FALSE)&amp;"",""))</f>
      </c>
      <c r="H541" s="17">
        <f>IF(Log[[#This Row],[Date]]="","",INT((Log[[#This Row],[Date]]-Sprint1)/SprintDays)+1)</f>
      </c>
      <c r="I541" s="17">
        <f>IF(OR(Log[[#This Row],[Verb]]="commit",Log[[#This Row],[Verb]]="carry",Log[[#This Row],[Verb]]="redo"),IF(Log[[#This Row],[Arg]]="",Log[[#This Row],[Sprint]],N(Log[[#This Row],[Arg]])),"")</f>
      </c>
      <c r="J541" s="17">
        <f>IF(Log[[#This Row],[Verb]]="block",1,IF(OR(Log[[#This Row],[Verb]]="unblock",Log[[#This Row],[Verb]]="done",Log[[#This Row],[Verb]]="drop",Log[[#This Row],[Verb]]="punt",Log[[#This Row],[Verb]]="pass"),0,""))</f>
      </c>
      <c r="K541" s="17">
        <f>IF(Log[[#This Row],[ID]]="",0,IFERROR(INDEX(Items[Pts],MATCH(Log[[#This Row],[ID]],Items[ID],0))*1,0))</f>
      </c>
      <c r="L541" s="17">
        <f>IF(Log[[#This Row],[ID]]="","",IFERROR(INDEX(Items[Cur team],MATCH(Log[[#This Row],[ID]],Items[ID],0))&amp;"",""))</f>
      </c>
      <c r="M541" s="17">
        <f>IF(OR(Log[[#This Row],[Verb]]="done",Log[[#This Row],[Verb]]="punt",Log[[#This Row],[Verb]]="drop",Log[[#This Row],[Verb]]="pass"),Log[[#This Row],[Pts]],0)</f>
      </c>
    </row>
    <row r="542">
      <c r="A542" s="11">
        <v>46132</v>
      </c>
      <c r="B542" t="s">
        <v>378</v>
      </c>
      <c r="C542" t="s">
        <v>41</v>
      </c>
      <c r="F542" s="17">
        <f>IF(Log[[#This Row],[ID]]="","",IF(ISNA(MATCH(Log[[#This Row],[ID]],Items[ID],0)),"unknown ID",IF(ISNA(MATCH(Log[[#This Row],[Verb]],VerbList,0)),"unknown verb",IF(Log[[#This Row],[Date]]="","no date",""))))</f>
      </c>
      <c r="G542" s="17">
        <f>IF(Log[[#This Row],[ID]]="","",IFERROR(VLOOKUP(Log[[#This Row],[Verb]],Verbs,3,FALSE)&amp;"",""))</f>
      </c>
      <c r="H542" s="17">
        <f>IF(Log[[#This Row],[Date]]="","",INT((Log[[#This Row],[Date]]-Sprint1)/SprintDays)+1)</f>
      </c>
      <c r="I542" s="17">
        <f>IF(OR(Log[[#This Row],[Verb]]="commit",Log[[#This Row],[Verb]]="carry",Log[[#This Row],[Verb]]="redo"),IF(Log[[#This Row],[Arg]]="",Log[[#This Row],[Sprint]],N(Log[[#This Row],[Arg]])),"")</f>
      </c>
      <c r="J542" s="17">
        <f>IF(Log[[#This Row],[Verb]]="block",1,IF(OR(Log[[#This Row],[Verb]]="unblock",Log[[#This Row],[Verb]]="done",Log[[#This Row],[Verb]]="drop",Log[[#This Row],[Verb]]="punt",Log[[#This Row],[Verb]]="pass"),0,""))</f>
      </c>
      <c r="K542" s="17">
        <f>IF(Log[[#This Row],[ID]]="",0,IFERROR(INDEX(Items[Pts],MATCH(Log[[#This Row],[ID]],Items[ID],0))*1,0))</f>
      </c>
      <c r="L542" s="17">
        <f>IF(Log[[#This Row],[ID]]="","",IFERROR(INDEX(Items[Cur team],MATCH(Log[[#This Row],[ID]],Items[ID],0))&amp;"",""))</f>
      </c>
      <c r="M542" s="17">
        <f>IF(OR(Log[[#This Row],[Verb]]="done",Log[[#This Row],[Verb]]="punt",Log[[#This Row],[Verb]]="drop",Log[[#This Row],[Verb]]="pass"),Log[[#This Row],[Pts]],0)</f>
      </c>
    </row>
    <row r="543">
      <c r="A543" s="11">
        <v>46132</v>
      </c>
      <c r="B543" t="s">
        <v>308</v>
      </c>
      <c r="C543" t="s">
        <v>41</v>
      </c>
      <c r="F543" s="17">
        <f>IF(Log[[#This Row],[ID]]="","",IF(ISNA(MATCH(Log[[#This Row],[ID]],Items[ID],0)),"unknown ID",IF(ISNA(MATCH(Log[[#This Row],[Verb]],VerbList,0)),"unknown verb",IF(Log[[#This Row],[Date]]="","no date",""))))</f>
      </c>
      <c r="G543" s="17">
        <f>IF(Log[[#This Row],[ID]]="","",IFERROR(VLOOKUP(Log[[#This Row],[Verb]],Verbs,3,FALSE)&amp;"",""))</f>
      </c>
      <c r="H543" s="17">
        <f>IF(Log[[#This Row],[Date]]="","",INT((Log[[#This Row],[Date]]-Sprint1)/SprintDays)+1)</f>
      </c>
      <c r="I543" s="17">
        <f>IF(OR(Log[[#This Row],[Verb]]="commit",Log[[#This Row],[Verb]]="carry",Log[[#This Row],[Verb]]="redo"),IF(Log[[#This Row],[Arg]]="",Log[[#This Row],[Sprint]],N(Log[[#This Row],[Arg]])),"")</f>
      </c>
      <c r="J543" s="17">
        <f>IF(Log[[#This Row],[Verb]]="block",1,IF(OR(Log[[#This Row],[Verb]]="unblock",Log[[#This Row],[Verb]]="done",Log[[#This Row],[Verb]]="drop",Log[[#This Row],[Verb]]="punt",Log[[#This Row],[Verb]]="pass"),0,""))</f>
      </c>
      <c r="K543" s="17">
        <f>IF(Log[[#This Row],[ID]]="",0,IFERROR(INDEX(Items[Pts],MATCH(Log[[#This Row],[ID]],Items[ID],0))*1,0))</f>
      </c>
      <c r="L543" s="17">
        <f>IF(Log[[#This Row],[ID]]="","",IFERROR(INDEX(Items[Cur team],MATCH(Log[[#This Row],[ID]],Items[ID],0))&amp;"",""))</f>
      </c>
      <c r="M543" s="17">
        <f>IF(OR(Log[[#This Row],[Verb]]="done",Log[[#This Row],[Verb]]="punt",Log[[#This Row],[Verb]]="drop",Log[[#This Row],[Verb]]="pass"),Log[[#This Row],[Pts]],0)</f>
      </c>
    </row>
    <row r="544">
      <c r="A544" s="11">
        <v>46132</v>
      </c>
      <c r="B544" t="s">
        <v>379</v>
      </c>
      <c r="C544" t="s">
        <v>41</v>
      </c>
      <c r="F544" s="17">
        <f>IF(Log[[#This Row],[ID]]="","",IF(ISNA(MATCH(Log[[#This Row],[ID]],Items[ID],0)),"unknown ID",IF(ISNA(MATCH(Log[[#This Row],[Verb]],VerbList,0)),"unknown verb",IF(Log[[#This Row],[Date]]="","no date",""))))</f>
      </c>
      <c r="G544" s="17">
        <f>IF(Log[[#This Row],[ID]]="","",IFERROR(VLOOKUP(Log[[#This Row],[Verb]],Verbs,3,FALSE)&amp;"",""))</f>
      </c>
      <c r="H544" s="17">
        <f>IF(Log[[#This Row],[Date]]="","",INT((Log[[#This Row],[Date]]-Sprint1)/SprintDays)+1)</f>
      </c>
      <c r="I544" s="17">
        <f>IF(OR(Log[[#This Row],[Verb]]="commit",Log[[#This Row],[Verb]]="carry",Log[[#This Row],[Verb]]="redo"),IF(Log[[#This Row],[Arg]]="",Log[[#This Row],[Sprint]],N(Log[[#This Row],[Arg]])),"")</f>
      </c>
      <c r="J544" s="17">
        <f>IF(Log[[#This Row],[Verb]]="block",1,IF(OR(Log[[#This Row],[Verb]]="unblock",Log[[#This Row],[Verb]]="done",Log[[#This Row],[Verb]]="drop",Log[[#This Row],[Verb]]="punt",Log[[#This Row],[Verb]]="pass"),0,""))</f>
      </c>
      <c r="K544" s="17">
        <f>IF(Log[[#This Row],[ID]]="",0,IFERROR(INDEX(Items[Pts],MATCH(Log[[#This Row],[ID]],Items[ID],0))*1,0))</f>
      </c>
      <c r="L544" s="17">
        <f>IF(Log[[#This Row],[ID]]="","",IFERROR(INDEX(Items[Cur team],MATCH(Log[[#This Row],[ID]],Items[ID],0))&amp;"",""))</f>
      </c>
      <c r="M544" s="17">
        <f>IF(OR(Log[[#This Row],[Verb]]="done",Log[[#This Row],[Verb]]="punt",Log[[#This Row],[Verb]]="drop",Log[[#This Row],[Verb]]="pass"),Log[[#This Row],[Pts]],0)</f>
      </c>
    </row>
    <row r="545">
      <c r="A545" s="11">
        <v>46132</v>
      </c>
      <c r="B545" t="s">
        <v>380</v>
      </c>
      <c r="C545" t="s">
        <v>38</v>
      </c>
      <c r="D545">
        <v>42</v>
      </c>
      <c r="F545" s="17">
        <f>IF(Log[[#This Row],[ID]]="","",IF(ISNA(MATCH(Log[[#This Row],[ID]],Items[ID],0)),"unknown ID",IF(ISNA(MATCH(Log[[#This Row],[Verb]],VerbList,0)),"unknown verb",IF(Log[[#This Row],[Date]]="","no date",""))))</f>
      </c>
      <c r="G545" s="17">
        <f>IF(Log[[#This Row],[ID]]="","",IFERROR(VLOOKUP(Log[[#This Row],[Verb]],Verbs,3,FALSE)&amp;"",""))</f>
      </c>
      <c r="H545" s="17">
        <f>IF(Log[[#This Row],[Date]]="","",INT((Log[[#This Row],[Date]]-Sprint1)/SprintDays)+1)</f>
      </c>
      <c r="I545" s="17">
        <f>IF(OR(Log[[#This Row],[Verb]]="commit",Log[[#This Row],[Verb]]="carry",Log[[#This Row],[Verb]]="redo"),IF(Log[[#This Row],[Arg]]="",Log[[#This Row],[Sprint]],N(Log[[#This Row],[Arg]])),"")</f>
      </c>
      <c r="J545" s="17">
        <f>IF(Log[[#This Row],[Verb]]="block",1,IF(OR(Log[[#This Row],[Verb]]="unblock",Log[[#This Row],[Verb]]="done",Log[[#This Row],[Verb]]="drop",Log[[#This Row],[Verb]]="punt",Log[[#This Row],[Verb]]="pass"),0,""))</f>
      </c>
      <c r="K545" s="17">
        <f>IF(Log[[#This Row],[ID]]="",0,IFERROR(INDEX(Items[Pts],MATCH(Log[[#This Row],[ID]],Items[ID],0))*1,0))</f>
      </c>
      <c r="L545" s="17">
        <f>IF(Log[[#This Row],[ID]]="","",IFERROR(INDEX(Items[Cur team],MATCH(Log[[#This Row],[ID]],Items[ID],0))&amp;"",""))</f>
      </c>
      <c r="M545" s="17">
        <f>IF(OR(Log[[#This Row],[Verb]]="done",Log[[#This Row],[Verb]]="punt",Log[[#This Row],[Verb]]="drop",Log[[#This Row],[Verb]]="pass"),Log[[#This Row],[Pts]],0)</f>
      </c>
    </row>
    <row r="546">
      <c r="A546" s="11">
        <v>46132</v>
      </c>
      <c r="B546" t="s">
        <v>381</v>
      </c>
      <c r="C546" t="s">
        <v>41</v>
      </c>
      <c r="F546" s="17">
        <f>IF(Log[[#This Row],[ID]]="","",IF(ISNA(MATCH(Log[[#This Row],[ID]],Items[ID],0)),"unknown ID",IF(ISNA(MATCH(Log[[#This Row],[Verb]],VerbList,0)),"unknown verb",IF(Log[[#This Row],[Date]]="","no date",""))))</f>
      </c>
      <c r="G546" s="17">
        <f>IF(Log[[#This Row],[ID]]="","",IFERROR(VLOOKUP(Log[[#This Row],[Verb]],Verbs,3,FALSE)&amp;"",""))</f>
      </c>
      <c r="H546" s="17">
        <f>IF(Log[[#This Row],[Date]]="","",INT((Log[[#This Row],[Date]]-Sprint1)/SprintDays)+1)</f>
      </c>
      <c r="I546" s="17">
        <f>IF(OR(Log[[#This Row],[Verb]]="commit",Log[[#This Row],[Verb]]="carry",Log[[#This Row],[Verb]]="redo"),IF(Log[[#This Row],[Arg]]="",Log[[#This Row],[Sprint]],N(Log[[#This Row],[Arg]])),"")</f>
      </c>
      <c r="J546" s="17">
        <f>IF(Log[[#This Row],[Verb]]="block",1,IF(OR(Log[[#This Row],[Verb]]="unblock",Log[[#This Row],[Verb]]="done",Log[[#This Row],[Verb]]="drop",Log[[#This Row],[Verb]]="punt",Log[[#This Row],[Verb]]="pass"),0,""))</f>
      </c>
      <c r="K546" s="17">
        <f>IF(Log[[#This Row],[ID]]="",0,IFERROR(INDEX(Items[Pts],MATCH(Log[[#This Row],[ID]],Items[ID],0))*1,0))</f>
      </c>
      <c r="L546" s="17">
        <f>IF(Log[[#This Row],[ID]]="","",IFERROR(INDEX(Items[Cur team],MATCH(Log[[#This Row],[ID]],Items[ID],0))&amp;"",""))</f>
      </c>
      <c r="M546" s="17">
        <f>IF(OR(Log[[#This Row],[Verb]]="done",Log[[#This Row],[Verb]]="punt",Log[[#This Row],[Verb]]="drop",Log[[#This Row],[Verb]]="pass"),Log[[#This Row],[Pts]],0)</f>
      </c>
    </row>
    <row r="547">
      <c r="A547" s="11">
        <v>46132</v>
      </c>
      <c r="B547" t="s">
        <v>382</v>
      </c>
      <c r="C547" t="s">
        <v>41</v>
      </c>
      <c r="F547" s="17">
        <f>IF(Log[[#This Row],[ID]]="","",IF(ISNA(MATCH(Log[[#This Row],[ID]],Items[ID],0)),"unknown ID",IF(ISNA(MATCH(Log[[#This Row],[Verb]],VerbList,0)),"unknown verb",IF(Log[[#This Row],[Date]]="","no date",""))))</f>
      </c>
      <c r="G547" s="17">
        <f>IF(Log[[#This Row],[ID]]="","",IFERROR(VLOOKUP(Log[[#This Row],[Verb]],Verbs,3,FALSE)&amp;"",""))</f>
      </c>
      <c r="H547" s="17">
        <f>IF(Log[[#This Row],[Date]]="","",INT((Log[[#This Row],[Date]]-Sprint1)/SprintDays)+1)</f>
      </c>
      <c r="I547" s="17">
        <f>IF(OR(Log[[#This Row],[Verb]]="commit",Log[[#This Row],[Verb]]="carry",Log[[#This Row],[Verb]]="redo"),IF(Log[[#This Row],[Arg]]="",Log[[#This Row],[Sprint]],N(Log[[#This Row],[Arg]])),"")</f>
      </c>
      <c r="J547" s="17">
        <f>IF(Log[[#This Row],[Verb]]="block",1,IF(OR(Log[[#This Row],[Verb]]="unblock",Log[[#This Row],[Verb]]="done",Log[[#This Row],[Verb]]="drop",Log[[#This Row],[Verb]]="punt",Log[[#This Row],[Verb]]="pass"),0,""))</f>
      </c>
      <c r="K547" s="17">
        <f>IF(Log[[#This Row],[ID]]="",0,IFERROR(INDEX(Items[Pts],MATCH(Log[[#This Row],[ID]],Items[ID],0))*1,0))</f>
      </c>
      <c r="L547" s="17">
        <f>IF(Log[[#This Row],[ID]]="","",IFERROR(INDEX(Items[Cur team],MATCH(Log[[#This Row],[ID]],Items[ID],0))&amp;"",""))</f>
      </c>
      <c r="M547" s="17">
        <f>IF(OR(Log[[#This Row],[Verb]]="done",Log[[#This Row],[Verb]]="punt",Log[[#This Row],[Verb]]="drop",Log[[#This Row],[Verb]]="pass"),Log[[#This Row],[Pts]],0)</f>
      </c>
    </row>
    <row r="548">
      <c r="A548" s="11">
        <v>46132</v>
      </c>
      <c r="B548" t="s">
        <v>383</v>
      </c>
      <c r="C548" t="s">
        <v>41</v>
      </c>
      <c r="F548" s="17">
        <f>IF(Log[[#This Row],[ID]]="","",IF(ISNA(MATCH(Log[[#This Row],[ID]],Items[ID],0)),"unknown ID",IF(ISNA(MATCH(Log[[#This Row],[Verb]],VerbList,0)),"unknown verb",IF(Log[[#This Row],[Date]]="","no date",""))))</f>
      </c>
      <c r="G548" s="17">
        <f>IF(Log[[#This Row],[ID]]="","",IFERROR(VLOOKUP(Log[[#This Row],[Verb]],Verbs,3,FALSE)&amp;"",""))</f>
      </c>
      <c r="H548" s="17">
        <f>IF(Log[[#This Row],[Date]]="","",INT((Log[[#This Row],[Date]]-Sprint1)/SprintDays)+1)</f>
      </c>
      <c r="I548" s="17">
        <f>IF(OR(Log[[#This Row],[Verb]]="commit",Log[[#This Row],[Verb]]="carry",Log[[#This Row],[Verb]]="redo"),IF(Log[[#This Row],[Arg]]="",Log[[#This Row],[Sprint]],N(Log[[#This Row],[Arg]])),"")</f>
      </c>
      <c r="J548" s="17">
        <f>IF(Log[[#This Row],[Verb]]="block",1,IF(OR(Log[[#This Row],[Verb]]="unblock",Log[[#This Row],[Verb]]="done",Log[[#This Row],[Verb]]="drop",Log[[#This Row],[Verb]]="punt",Log[[#This Row],[Verb]]="pass"),0,""))</f>
      </c>
      <c r="K548" s="17">
        <f>IF(Log[[#This Row],[ID]]="",0,IFERROR(INDEX(Items[Pts],MATCH(Log[[#This Row],[ID]],Items[ID],0))*1,0))</f>
      </c>
      <c r="L548" s="17">
        <f>IF(Log[[#This Row],[ID]]="","",IFERROR(INDEX(Items[Cur team],MATCH(Log[[#This Row],[ID]],Items[ID],0))&amp;"",""))</f>
      </c>
      <c r="M548" s="17">
        <f>IF(OR(Log[[#This Row],[Verb]]="done",Log[[#This Row],[Verb]]="punt",Log[[#This Row],[Verb]]="drop",Log[[#This Row],[Verb]]="pass"),Log[[#This Row],[Pts]],0)</f>
      </c>
    </row>
    <row r="549">
      <c r="A549" s="11">
        <v>46132</v>
      </c>
      <c r="B549" t="s">
        <v>384</v>
      </c>
      <c r="C549" t="s">
        <v>41</v>
      </c>
      <c r="F549" s="17">
        <f>IF(Log[[#This Row],[ID]]="","",IF(ISNA(MATCH(Log[[#This Row],[ID]],Items[ID],0)),"unknown ID",IF(ISNA(MATCH(Log[[#This Row],[Verb]],VerbList,0)),"unknown verb",IF(Log[[#This Row],[Date]]="","no date",""))))</f>
      </c>
      <c r="G549" s="17">
        <f>IF(Log[[#This Row],[ID]]="","",IFERROR(VLOOKUP(Log[[#This Row],[Verb]],Verbs,3,FALSE)&amp;"",""))</f>
      </c>
      <c r="H549" s="17">
        <f>IF(Log[[#This Row],[Date]]="","",INT((Log[[#This Row],[Date]]-Sprint1)/SprintDays)+1)</f>
      </c>
      <c r="I549" s="17">
        <f>IF(OR(Log[[#This Row],[Verb]]="commit",Log[[#This Row],[Verb]]="carry",Log[[#This Row],[Verb]]="redo"),IF(Log[[#This Row],[Arg]]="",Log[[#This Row],[Sprint]],N(Log[[#This Row],[Arg]])),"")</f>
      </c>
      <c r="J549" s="17">
        <f>IF(Log[[#This Row],[Verb]]="block",1,IF(OR(Log[[#This Row],[Verb]]="unblock",Log[[#This Row],[Verb]]="done",Log[[#This Row],[Verb]]="drop",Log[[#This Row],[Verb]]="punt",Log[[#This Row],[Verb]]="pass"),0,""))</f>
      </c>
      <c r="K549" s="17">
        <f>IF(Log[[#This Row],[ID]]="",0,IFERROR(INDEX(Items[Pts],MATCH(Log[[#This Row],[ID]],Items[ID],0))*1,0))</f>
      </c>
      <c r="L549" s="17">
        <f>IF(Log[[#This Row],[ID]]="","",IFERROR(INDEX(Items[Cur team],MATCH(Log[[#This Row],[ID]],Items[ID],0))&amp;"",""))</f>
      </c>
      <c r="M549" s="17">
        <f>IF(OR(Log[[#This Row],[Verb]]="done",Log[[#This Row],[Verb]]="punt",Log[[#This Row],[Verb]]="drop",Log[[#This Row],[Verb]]="pass"),Log[[#This Row],[Pts]],0)</f>
      </c>
    </row>
    <row r="550">
      <c r="A550" s="11">
        <v>46132</v>
      </c>
      <c r="B550" t="s">
        <v>315</v>
      </c>
      <c r="C550" t="s">
        <v>41</v>
      </c>
      <c r="F550" s="17">
        <f>IF(Log[[#This Row],[ID]]="","",IF(ISNA(MATCH(Log[[#This Row],[ID]],Items[ID],0)),"unknown ID",IF(ISNA(MATCH(Log[[#This Row],[Verb]],VerbList,0)),"unknown verb",IF(Log[[#This Row],[Date]]="","no date",""))))</f>
      </c>
      <c r="G550" s="17">
        <f>IF(Log[[#This Row],[ID]]="","",IFERROR(VLOOKUP(Log[[#This Row],[Verb]],Verbs,3,FALSE)&amp;"",""))</f>
      </c>
      <c r="H550" s="17">
        <f>IF(Log[[#This Row],[Date]]="","",INT((Log[[#This Row],[Date]]-Sprint1)/SprintDays)+1)</f>
      </c>
      <c r="I550" s="17">
        <f>IF(OR(Log[[#This Row],[Verb]]="commit",Log[[#This Row],[Verb]]="carry",Log[[#This Row],[Verb]]="redo"),IF(Log[[#This Row],[Arg]]="",Log[[#This Row],[Sprint]],N(Log[[#This Row],[Arg]])),"")</f>
      </c>
      <c r="J550" s="17">
        <f>IF(Log[[#This Row],[Verb]]="block",1,IF(OR(Log[[#This Row],[Verb]]="unblock",Log[[#This Row],[Verb]]="done",Log[[#This Row],[Verb]]="drop",Log[[#This Row],[Verb]]="punt",Log[[#This Row],[Verb]]="pass"),0,""))</f>
      </c>
      <c r="K550" s="17">
        <f>IF(Log[[#This Row],[ID]]="",0,IFERROR(INDEX(Items[Pts],MATCH(Log[[#This Row],[ID]],Items[ID],0))*1,0))</f>
      </c>
      <c r="L550" s="17">
        <f>IF(Log[[#This Row],[ID]]="","",IFERROR(INDEX(Items[Cur team],MATCH(Log[[#This Row],[ID]],Items[ID],0))&amp;"",""))</f>
      </c>
      <c r="M550" s="17">
        <f>IF(OR(Log[[#This Row],[Verb]]="done",Log[[#This Row],[Verb]]="punt",Log[[#This Row],[Verb]]="drop",Log[[#This Row],[Verb]]="pass"),Log[[#This Row],[Pts]],0)</f>
      </c>
    </row>
    <row r="551">
      <c r="A551" s="11">
        <v>46132</v>
      </c>
      <c r="B551" t="s">
        <v>385</v>
      </c>
      <c r="C551" t="s">
        <v>41</v>
      </c>
      <c r="F551" s="17">
        <f>IF(Log[[#This Row],[ID]]="","",IF(ISNA(MATCH(Log[[#This Row],[ID]],Items[ID],0)),"unknown ID",IF(ISNA(MATCH(Log[[#This Row],[Verb]],VerbList,0)),"unknown verb",IF(Log[[#This Row],[Date]]="","no date",""))))</f>
      </c>
      <c r="G551" s="17">
        <f>IF(Log[[#This Row],[ID]]="","",IFERROR(VLOOKUP(Log[[#This Row],[Verb]],Verbs,3,FALSE)&amp;"",""))</f>
      </c>
      <c r="H551" s="17">
        <f>IF(Log[[#This Row],[Date]]="","",INT((Log[[#This Row],[Date]]-Sprint1)/SprintDays)+1)</f>
      </c>
      <c r="I551" s="17">
        <f>IF(OR(Log[[#This Row],[Verb]]="commit",Log[[#This Row],[Verb]]="carry",Log[[#This Row],[Verb]]="redo"),IF(Log[[#This Row],[Arg]]="",Log[[#This Row],[Sprint]],N(Log[[#This Row],[Arg]])),"")</f>
      </c>
      <c r="J551" s="17">
        <f>IF(Log[[#This Row],[Verb]]="block",1,IF(OR(Log[[#This Row],[Verb]]="unblock",Log[[#This Row],[Verb]]="done",Log[[#This Row],[Verb]]="drop",Log[[#This Row],[Verb]]="punt",Log[[#This Row],[Verb]]="pass"),0,""))</f>
      </c>
      <c r="K551" s="17">
        <f>IF(Log[[#This Row],[ID]]="",0,IFERROR(INDEX(Items[Pts],MATCH(Log[[#This Row],[ID]],Items[ID],0))*1,0))</f>
      </c>
      <c r="L551" s="17">
        <f>IF(Log[[#This Row],[ID]]="","",IFERROR(INDEX(Items[Cur team],MATCH(Log[[#This Row],[ID]],Items[ID],0))&amp;"",""))</f>
      </c>
      <c r="M551" s="17">
        <f>IF(OR(Log[[#This Row],[Verb]]="done",Log[[#This Row],[Verb]]="punt",Log[[#This Row],[Verb]]="drop",Log[[#This Row],[Verb]]="pass"),Log[[#This Row],[Pts]],0)</f>
      </c>
    </row>
    <row r="552">
      <c r="A552" s="11">
        <v>46132</v>
      </c>
      <c r="B552" t="s">
        <v>386</v>
      </c>
      <c r="C552" t="s">
        <v>38</v>
      </c>
      <c r="D552">
        <v>42</v>
      </c>
      <c r="F552" s="17">
        <f>IF(Log[[#This Row],[ID]]="","",IF(ISNA(MATCH(Log[[#This Row],[ID]],Items[ID],0)),"unknown ID",IF(ISNA(MATCH(Log[[#This Row],[Verb]],VerbList,0)),"unknown verb",IF(Log[[#This Row],[Date]]="","no date",""))))</f>
      </c>
      <c r="G552" s="17">
        <f>IF(Log[[#This Row],[ID]]="","",IFERROR(VLOOKUP(Log[[#This Row],[Verb]],Verbs,3,FALSE)&amp;"",""))</f>
      </c>
      <c r="H552" s="17">
        <f>IF(Log[[#This Row],[Date]]="","",INT((Log[[#This Row],[Date]]-Sprint1)/SprintDays)+1)</f>
      </c>
      <c r="I552" s="17">
        <f>IF(OR(Log[[#This Row],[Verb]]="commit",Log[[#This Row],[Verb]]="carry",Log[[#This Row],[Verb]]="redo"),IF(Log[[#This Row],[Arg]]="",Log[[#This Row],[Sprint]],N(Log[[#This Row],[Arg]])),"")</f>
      </c>
      <c r="J552" s="17">
        <f>IF(Log[[#This Row],[Verb]]="block",1,IF(OR(Log[[#This Row],[Verb]]="unblock",Log[[#This Row],[Verb]]="done",Log[[#This Row],[Verb]]="drop",Log[[#This Row],[Verb]]="punt",Log[[#This Row],[Verb]]="pass"),0,""))</f>
      </c>
      <c r="K552" s="17">
        <f>IF(Log[[#This Row],[ID]]="",0,IFERROR(INDEX(Items[Pts],MATCH(Log[[#This Row],[ID]],Items[ID],0))*1,0))</f>
      </c>
      <c r="L552" s="17">
        <f>IF(Log[[#This Row],[ID]]="","",IFERROR(INDEX(Items[Cur team],MATCH(Log[[#This Row],[ID]],Items[ID],0))&amp;"",""))</f>
      </c>
      <c r="M552" s="17">
        <f>IF(OR(Log[[#This Row],[Verb]]="done",Log[[#This Row],[Verb]]="punt",Log[[#This Row],[Verb]]="drop",Log[[#This Row],[Verb]]="pass"),Log[[#This Row],[Pts]],0)</f>
      </c>
    </row>
    <row r="553">
      <c r="A553" s="11">
        <v>46132</v>
      </c>
      <c r="B553" t="s">
        <v>387</v>
      </c>
      <c r="C553" t="s">
        <v>41</v>
      </c>
      <c r="F553" s="17">
        <f>IF(Log[[#This Row],[ID]]="","",IF(ISNA(MATCH(Log[[#This Row],[ID]],Items[ID],0)),"unknown ID",IF(ISNA(MATCH(Log[[#This Row],[Verb]],VerbList,0)),"unknown verb",IF(Log[[#This Row],[Date]]="","no date",""))))</f>
      </c>
      <c r="G553" s="17">
        <f>IF(Log[[#This Row],[ID]]="","",IFERROR(VLOOKUP(Log[[#This Row],[Verb]],Verbs,3,FALSE)&amp;"",""))</f>
      </c>
      <c r="H553" s="17">
        <f>IF(Log[[#This Row],[Date]]="","",INT((Log[[#This Row],[Date]]-Sprint1)/SprintDays)+1)</f>
      </c>
      <c r="I553" s="17">
        <f>IF(OR(Log[[#This Row],[Verb]]="commit",Log[[#This Row],[Verb]]="carry",Log[[#This Row],[Verb]]="redo"),IF(Log[[#This Row],[Arg]]="",Log[[#This Row],[Sprint]],N(Log[[#This Row],[Arg]])),"")</f>
      </c>
      <c r="J553" s="17">
        <f>IF(Log[[#This Row],[Verb]]="block",1,IF(OR(Log[[#This Row],[Verb]]="unblock",Log[[#This Row],[Verb]]="done",Log[[#This Row],[Verb]]="drop",Log[[#This Row],[Verb]]="punt",Log[[#This Row],[Verb]]="pass"),0,""))</f>
      </c>
      <c r="K553" s="17">
        <f>IF(Log[[#This Row],[ID]]="",0,IFERROR(INDEX(Items[Pts],MATCH(Log[[#This Row],[ID]],Items[ID],0))*1,0))</f>
      </c>
      <c r="L553" s="17">
        <f>IF(Log[[#This Row],[ID]]="","",IFERROR(INDEX(Items[Cur team],MATCH(Log[[#This Row],[ID]],Items[ID],0))&amp;"",""))</f>
      </c>
      <c r="M553" s="17">
        <f>IF(OR(Log[[#This Row],[Verb]]="done",Log[[#This Row],[Verb]]="punt",Log[[#This Row],[Verb]]="drop",Log[[#This Row],[Verb]]="pass"),Log[[#This Row],[Pts]],0)</f>
      </c>
    </row>
    <row r="554">
      <c r="A554" s="11">
        <v>46132</v>
      </c>
      <c r="B554" t="s">
        <v>388</v>
      </c>
      <c r="C554" t="s">
        <v>41</v>
      </c>
      <c r="F554" s="17">
        <f>IF(Log[[#This Row],[ID]]="","",IF(ISNA(MATCH(Log[[#This Row],[ID]],Items[ID],0)),"unknown ID",IF(ISNA(MATCH(Log[[#This Row],[Verb]],VerbList,0)),"unknown verb",IF(Log[[#This Row],[Date]]="","no date",""))))</f>
      </c>
      <c r="G554" s="17">
        <f>IF(Log[[#This Row],[ID]]="","",IFERROR(VLOOKUP(Log[[#This Row],[Verb]],Verbs,3,FALSE)&amp;"",""))</f>
      </c>
      <c r="H554" s="17">
        <f>IF(Log[[#This Row],[Date]]="","",INT((Log[[#This Row],[Date]]-Sprint1)/SprintDays)+1)</f>
      </c>
      <c r="I554" s="17">
        <f>IF(OR(Log[[#This Row],[Verb]]="commit",Log[[#This Row],[Verb]]="carry",Log[[#This Row],[Verb]]="redo"),IF(Log[[#This Row],[Arg]]="",Log[[#This Row],[Sprint]],N(Log[[#This Row],[Arg]])),"")</f>
      </c>
      <c r="J554" s="17">
        <f>IF(Log[[#This Row],[Verb]]="block",1,IF(OR(Log[[#This Row],[Verb]]="unblock",Log[[#This Row],[Verb]]="done",Log[[#This Row],[Verb]]="drop",Log[[#This Row],[Verb]]="punt",Log[[#This Row],[Verb]]="pass"),0,""))</f>
      </c>
      <c r="K554" s="17">
        <f>IF(Log[[#This Row],[ID]]="",0,IFERROR(INDEX(Items[Pts],MATCH(Log[[#This Row],[ID]],Items[ID],0))*1,0))</f>
      </c>
      <c r="L554" s="17">
        <f>IF(Log[[#This Row],[ID]]="","",IFERROR(INDEX(Items[Cur team],MATCH(Log[[#This Row],[ID]],Items[ID],0))&amp;"",""))</f>
      </c>
      <c r="M554" s="17">
        <f>IF(OR(Log[[#This Row],[Verb]]="done",Log[[#This Row],[Verb]]="punt",Log[[#This Row],[Verb]]="drop",Log[[#This Row],[Verb]]="pass"),Log[[#This Row],[Pts]],0)</f>
      </c>
    </row>
    <row r="555">
      <c r="A555" s="11">
        <v>46132</v>
      </c>
      <c r="B555" t="s">
        <v>389</v>
      </c>
      <c r="C555" t="s">
        <v>41</v>
      </c>
      <c r="F555" s="17">
        <f>IF(Log[[#This Row],[ID]]="","",IF(ISNA(MATCH(Log[[#This Row],[ID]],Items[ID],0)),"unknown ID",IF(ISNA(MATCH(Log[[#This Row],[Verb]],VerbList,0)),"unknown verb",IF(Log[[#This Row],[Date]]="","no date",""))))</f>
      </c>
      <c r="G555" s="17">
        <f>IF(Log[[#This Row],[ID]]="","",IFERROR(VLOOKUP(Log[[#This Row],[Verb]],Verbs,3,FALSE)&amp;"",""))</f>
      </c>
      <c r="H555" s="17">
        <f>IF(Log[[#This Row],[Date]]="","",INT((Log[[#This Row],[Date]]-Sprint1)/SprintDays)+1)</f>
      </c>
      <c r="I555" s="17">
        <f>IF(OR(Log[[#This Row],[Verb]]="commit",Log[[#This Row],[Verb]]="carry",Log[[#This Row],[Verb]]="redo"),IF(Log[[#This Row],[Arg]]="",Log[[#This Row],[Sprint]],N(Log[[#This Row],[Arg]])),"")</f>
      </c>
      <c r="J555" s="17">
        <f>IF(Log[[#This Row],[Verb]]="block",1,IF(OR(Log[[#This Row],[Verb]]="unblock",Log[[#This Row],[Verb]]="done",Log[[#This Row],[Verb]]="drop",Log[[#This Row],[Verb]]="punt",Log[[#This Row],[Verb]]="pass"),0,""))</f>
      </c>
      <c r="K555" s="17">
        <f>IF(Log[[#This Row],[ID]]="",0,IFERROR(INDEX(Items[Pts],MATCH(Log[[#This Row],[ID]],Items[ID],0))*1,0))</f>
      </c>
      <c r="L555" s="17">
        <f>IF(Log[[#This Row],[ID]]="","",IFERROR(INDEX(Items[Cur team],MATCH(Log[[#This Row],[ID]],Items[ID],0))&amp;"",""))</f>
      </c>
      <c r="M555" s="17">
        <f>IF(OR(Log[[#This Row],[Verb]]="done",Log[[#This Row],[Verb]]="punt",Log[[#This Row],[Verb]]="drop",Log[[#This Row],[Verb]]="pass"),Log[[#This Row],[Pts]],0)</f>
      </c>
    </row>
    <row r="556">
      <c r="A556" s="11">
        <v>46132</v>
      </c>
      <c r="B556" t="s">
        <v>390</v>
      </c>
      <c r="C556" t="s">
        <v>41</v>
      </c>
      <c r="F556" s="17">
        <f>IF(Log[[#This Row],[ID]]="","",IF(ISNA(MATCH(Log[[#This Row],[ID]],Items[ID],0)),"unknown ID",IF(ISNA(MATCH(Log[[#This Row],[Verb]],VerbList,0)),"unknown verb",IF(Log[[#This Row],[Date]]="","no date",""))))</f>
      </c>
      <c r="G556" s="17">
        <f>IF(Log[[#This Row],[ID]]="","",IFERROR(VLOOKUP(Log[[#This Row],[Verb]],Verbs,3,FALSE)&amp;"",""))</f>
      </c>
      <c r="H556" s="17">
        <f>IF(Log[[#This Row],[Date]]="","",INT((Log[[#This Row],[Date]]-Sprint1)/SprintDays)+1)</f>
      </c>
      <c r="I556" s="17">
        <f>IF(OR(Log[[#This Row],[Verb]]="commit",Log[[#This Row],[Verb]]="carry",Log[[#This Row],[Verb]]="redo"),IF(Log[[#This Row],[Arg]]="",Log[[#This Row],[Sprint]],N(Log[[#This Row],[Arg]])),"")</f>
      </c>
      <c r="J556" s="17">
        <f>IF(Log[[#This Row],[Verb]]="block",1,IF(OR(Log[[#This Row],[Verb]]="unblock",Log[[#This Row],[Verb]]="done",Log[[#This Row],[Verb]]="drop",Log[[#This Row],[Verb]]="punt",Log[[#This Row],[Verb]]="pass"),0,""))</f>
      </c>
      <c r="K556" s="17">
        <f>IF(Log[[#This Row],[ID]]="",0,IFERROR(INDEX(Items[Pts],MATCH(Log[[#This Row],[ID]],Items[ID],0))*1,0))</f>
      </c>
      <c r="L556" s="17">
        <f>IF(Log[[#This Row],[ID]]="","",IFERROR(INDEX(Items[Cur team],MATCH(Log[[#This Row],[ID]],Items[ID],0))&amp;"",""))</f>
      </c>
      <c r="M556" s="17">
        <f>IF(OR(Log[[#This Row],[Verb]]="done",Log[[#This Row],[Verb]]="punt",Log[[#This Row],[Verb]]="drop",Log[[#This Row],[Verb]]="pass"),Log[[#This Row],[Pts]],0)</f>
      </c>
    </row>
    <row r="557">
      <c r="A557" s="11">
        <v>46132</v>
      </c>
      <c r="B557" t="s">
        <v>391</v>
      </c>
      <c r="C557" t="s">
        <v>41</v>
      </c>
      <c r="F557" s="17">
        <f>IF(Log[[#This Row],[ID]]="","",IF(ISNA(MATCH(Log[[#This Row],[ID]],Items[ID],0)),"unknown ID",IF(ISNA(MATCH(Log[[#This Row],[Verb]],VerbList,0)),"unknown verb",IF(Log[[#This Row],[Date]]="","no date",""))))</f>
      </c>
      <c r="G557" s="17">
        <f>IF(Log[[#This Row],[ID]]="","",IFERROR(VLOOKUP(Log[[#This Row],[Verb]],Verbs,3,FALSE)&amp;"",""))</f>
      </c>
      <c r="H557" s="17">
        <f>IF(Log[[#This Row],[Date]]="","",INT((Log[[#This Row],[Date]]-Sprint1)/SprintDays)+1)</f>
      </c>
      <c r="I557" s="17">
        <f>IF(OR(Log[[#This Row],[Verb]]="commit",Log[[#This Row],[Verb]]="carry",Log[[#This Row],[Verb]]="redo"),IF(Log[[#This Row],[Arg]]="",Log[[#This Row],[Sprint]],N(Log[[#This Row],[Arg]])),"")</f>
      </c>
      <c r="J557" s="17">
        <f>IF(Log[[#This Row],[Verb]]="block",1,IF(OR(Log[[#This Row],[Verb]]="unblock",Log[[#This Row],[Verb]]="done",Log[[#This Row],[Verb]]="drop",Log[[#This Row],[Verb]]="punt",Log[[#This Row],[Verb]]="pass"),0,""))</f>
      </c>
      <c r="K557" s="17">
        <f>IF(Log[[#This Row],[ID]]="",0,IFERROR(INDEX(Items[Pts],MATCH(Log[[#This Row],[ID]],Items[ID],0))*1,0))</f>
      </c>
      <c r="L557" s="17">
        <f>IF(Log[[#This Row],[ID]]="","",IFERROR(INDEX(Items[Cur team],MATCH(Log[[#This Row],[ID]],Items[ID],0))&amp;"",""))</f>
      </c>
      <c r="M557" s="17">
        <f>IF(OR(Log[[#This Row],[Verb]]="done",Log[[#This Row],[Verb]]="punt",Log[[#This Row],[Verb]]="drop",Log[[#This Row],[Verb]]="pass"),Log[[#This Row],[Pts]],0)</f>
      </c>
    </row>
    <row r="558">
      <c r="A558" s="11">
        <v>46132</v>
      </c>
      <c r="B558" t="s">
        <v>392</v>
      </c>
      <c r="C558" t="s">
        <v>41</v>
      </c>
      <c r="F558" s="17">
        <f>IF(Log[[#This Row],[ID]]="","",IF(ISNA(MATCH(Log[[#This Row],[ID]],Items[ID],0)),"unknown ID",IF(ISNA(MATCH(Log[[#This Row],[Verb]],VerbList,0)),"unknown verb",IF(Log[[#This Row],[Date]]="","no date",""))))</f>
      </c>
      <c r="G558" s="17">
        <f>IF(Log[[#This Row],[ID]]="","",IFERROR(VLOOKUP(Log[[#This Row],[Verb]],Verbs,3,FALSE)&amp;"",""))</f>
      </c>
      <c r="H558" s="17">
        <f>IF(Log[[#This Row],[Date]]="","",INT((Log[[#This Row],[Date]]-Sprint1)/SprintDays)+1)</f>
      </c>
      <c r="I558" s="17">
        <f>IF(OR(Log[[#This Row],[Verb]]="commit",Log[[#This Row],[Verb]]="carry",Log[[#This Row],[Verb]]="redo"),IF(Log[[#This Row],[Arg]]="",Log[[#This Row],[Sprint]],N(Log[[#This Row],[Arg]])),"")</f>
      </c>
      <c r="J558" s="17">
        <f>IF(Log[[#This Row],[Verb]]="block",1,IF(OR(Log[[#This Row],[Verb]]="unblock",Log[[#This Row],[Verb]]="done",Log[[#This Row],[Verb]]="drop",Log[[#This Row],[Verb]]="punt",Log[[#This Row],[Verb]]="pass"),0,""))</f>
      </c>
      <c r="K558" s="17">
        <f>IF(Log[[#This Row],[ID]]="",0,IFERROR(INDEX(Items[Pts],MATCH(Log[[#This Row],[ID]],Items[ID],0))*1,0))</f>
      </c>
      <c r="L558" s="17">
        <f>IF(Log[[#This Row],[ID]]="","",IFERROR(INDEX(Items[Cur team],MATCH(Log[[#This Row],[ID]],Items[ID],0))&amp;"",""))</f>
      </c>
      <c r="M558" s="17">
        <f>IF(OR(Log[[#This Row],[Verb]]="done",Log[[#This Row],[Verb]]="punt",Log[[#This Row],[Verb]]="drop",Log[[#This Row],[Verb]]="pass"),Log[[#This Row],[Pts]],0)</f>
      </c>
    </row>
    <row r="559">
      <c r="A559" s="11">
        <v>46132</v>
      </c>
      <c r="B559" t="s">
        <v>393</v>
      </c>
      <c r="C559" t="s">
        <v>41</v>
      </c>
      <c r="F559" s="17">
        <f>IF(Log[[#This Row],[ID]]="","",IF(ISNA(MATCH(Log[[#This Row],[ID]],Items[ID],0)),"unknown ID",IF(ISNA(MATCH(Log[[#This Row],[Verb]],VerbList,0)),"unknown verb",IF(Log[[#This Row],[Date]]="","no date",""))))</f>
      </c>
      <c r="G559" s="17">
        <f>IF(Log[[#This Row],[ID]]="","",IFERROR(VLOOKUP(Log[[#This Row],[Verb]],Verbs,3,FALSE)&amp;"",""))</f>
      </c>
      <c r="H559" s="17">
        <f>IF(Log[[#This Row],[Date]]="","",INT((Log[[#This Row],[Date]]-Sprint1)/SprintDays)+1)</f>
      </c>
      <c r="I559" s="17">
        <f>IF(OR(Log[[#This Row],[Verb]]="commit",Log[[#This Row],[Verb]]="carry",Log[[#This Row],[Verb]]="redo"),IF(Log[[#This Row],[Arg]]="",Log[[#This Row],[Sprint]],N(Log[[#This Row],[Arg]])),"")</f>
      </c>
      <c r="J559" s="17">
        <f>IF(Log[[#This Row],[Verb]]="block",1,IF(OR(Log[[#This Row],[Verb]]="unblock",Log[[#This Row],[Verb]]="done",Log[[#This Row],[Verb]]="drop",Log[[#This Row],[Verb]]="punt",Log[[#This Row],[Verb]]="pass"),0,""))</f>
      </c>
      <c r="K559" s="17">
        <f>IF(Log[[#This Row],[ID]]="",0,IFERROR(INDEX(Items[Pts],MATCH(Log[[#This Row],[ID]],Items[ID],0))*1,0))</f>
      </c>
      <c r="L559" s="17">
        <f>IF(Log[[#This Row],[ID]]="","",IFERROR(INDEX(Items[Cur team],MATCH(Log[[#This Row],[ID]],Items[ID],0))&amp;"",""))</f>
      </c>
      <c r="M559" s="17">
        <f>IF(OR(Log[[#This Row],[Verb]]="done",Log[[#This Row],[Verb]]="punt",Log[[#This Row],[Verb]]="drop",Log[[#This Row],[Verb]]="pass"),Log[[#This Row],[Pts]],0)</f>
      </c>
    </row>
    <row r="560">
      <c r="A560" s="11">
        <v>46132</v>
      </c>
      <c r="B560" t="s">
        <v>319</v>
      </c>
      <c r="C560" t="s">
        <v>38</v>
      </c>
      <c r="D560">
        <v>42</v>
      </c>
      <c r="F560" s="17">
        <f>IF(Log[[#This Row],[ID]]="","",IF(ISNA(MATCH(Log[[#This Row],[ID]],Items[ID],0)),"unknown ID",IF(ISNA(MATCH(Log[[#This Row],[Verb]],VerbList,0)),"unknown verb",IF(Log[[#This Row],[Date]]="","no date",""))))</f>
      </c>
      <c r="G560" s="17">
        <f>IF(Log[[#This Row],[ID]]="","",IFERROR(VLOOKUP(Log[[#This Row],[Verb]],Verbs,3,FALSE)&amp;"",""))</f>
      </c>
      <c r="H560" s="17">
        <f>IF(Log[[#This Row],[Date]]="","",INT((Log[[#This Row],[Date]]-Sprint1)/SprintDays)+1)</f>
      </c>
      <c r="I560" s="17">
        <f>IF(OR(Log[[#This Row],[Verb]]="commit",Log[[#This Row],[Verb]]="carry",Log[[#This Row],[Verb]]="redo"),IF(Log[[#This Row],[Arg]]="",Log[[#This Row],[Sprint]],N(Log[[#This Row],[Arg]])),"")</f>
      </c>
      <c r="J560" s="17">
        <f>IF(Log[[#This Row],[Verb]]="block",1,IF(OR(Log[[#This Row],[Verb]]="unblock",Log[[#This Row],[Verb]]="done",Log[[#This Row],[Verb]]="drop",Log[[#This Row],[Verb]]="punt",Log[[#This Row],[Verb]]="pass"),0,""))</f>
      </c>
      <c r="K560" s="17">
        <f>IF(Log[[#This Row],[ID]]="",0,IFERROR(INDEX(Items[Pts],MATCH(Log[[#This Row],[ID]],Items[ID],0))*1,0))</f>
      </c>
      <c r="L560" s="17">
        <f>IF(Log[[#This Row],[ID]]="","",IFERROR(INDEX(Items[Cur team],MATCH(Log[[#This Row],[ID]],Items[ID],0))&amp;"",""))</f>
      </c>
      <c r="M560" s="17">
        <f>IF(OR(Log[[#This Row],[Verb]]="done",Log[[#This Row],[Verb]]="punt",Log[[#This Row],[Verb]]="drop",Log[[#This Row],[Verb]]="pass"),Log[[#This Row],[Pts]],0)</f>
      </c>
    </row>
    <row r="561">
      <c r="A561" s="11">
        <v>46132</v>
      </c>
      <c r="B561" t="s">
        <v>394</v>
      </c>
      <c r="C561" t="s">
        <v>41</v>
      </c>
      <c r="F561" s="17">
        <f>IF(Log[[#This Row],[ID]]="","",IF(ISNA(MATCH(Log[[#This Row],[ID]],Items[ID],0)),"unknown ID",IF(ISNA(MATCH(Log[[#This Row],[Verb]],VerbList,0)),"unknown verb",IF(Log[[#This Row],[Date]]="","no date",""))))</f>
      </c>
      <c r="G561" s="17">
        <f>IF(Log[[#This Row],[ID]]="","",IFERROR(VLOOKUP(Log[[#This Row],[Verb]],Verbs,3,FALSE)&amp;"",""))</f>
      </c>
      <c r="H561" s="17">
        <f>IF(Log[[#This Row],[Date]]="","",INT((Log[[#This Row],[Date]]-Sprint1)/SprintDays)+1)</f>
      </c>
      <c r="I561" s="17">
        <f>IF(OR(Log[[#This Row],[Verb]]="commit",Log[[#This Row],[Verb]]="carry",Log[[#This Row],[Verb]]="redo"),IF(Log[[#This Row],[Arg]]="",Log[[#This Row],[Sprint]],N(Log[[#This Row],[Arg]])),"")</f>
      </c>
      <c r="J561" s="17">
        <f>IF(Log[[#This Row],[Verb]]="block",1,IF(OR(Log[[#This Row],[Verb]]="unblock",Log[[#This Row],[Verb]]="done",Log[[#This Row],[Verb]]="drop",Log[[#This Row],[Verb]]="punt",Log[[#This Row],[Verb]]="pass"),0,""))</f>
      </c>
      <c r="K561" s="17">
        <f>IF(Log[[#This Row],[ID]]="",0,IFERROR(INDEX(Items[Pts],MATCH(Log[[#This Row],[ID]],Items[ID],0))*1,0))</f>
      </c>
      <c r="L561" s="17">
        <f>IF(Log[[#This Row],[ID]]="","",IFERROR(INDEX(Items[Cur team],MATCH(Log[[#This Row],[ID]],Items[ID],0))&amp;"",""))</f>
      </c>
      <c r="M561" s="17">
        <f>IF(OR(Log[[#This Row],[Verb]]="done",Log[[#This Row],[Verb]]="punt",Log[[#This Row],[Verb]]="drop",Log[[#This Row],[Verb]]="pass"),Log[[#This Row],[Pts]],0)</f>
      </c>
    </row>
    <row r="562">
      <c r="A562" s="11">
        <v>46132</v>
      </c>
      <c r="B562" t="s">
        <v>395</v>
      </c>
      <c r="C562" t="s">
        <v>41</v>
      </c>
      <c r="F562" s="17">
        <f>IF(Log[[#This Row],[ID]]="","",IF(ISNA(MATCH(Log[[#This Row],[ID]],Items[ID],0)),"unknown ID",IF(ISNA(MATCH(Log[[#This Row],[Verb]],VerbList,0)),"unknown verb",IF(Log[[#This Row],[Date]]="","no date",""))))</f>
      </c>
      <c r="G562" s="17">
        <f>IF(Log[[#This Row],[ID]]="","",IFERROR(VLOOKUP(Log[[#This Row],[Verb]],Verbs,3,FALSE)&amp;"",""))</f>
      </c>
      <c r="H562" s="17">
        <f>IF(Log[[#This Row],[Date]]="","",INT((Log[[#This Row],[Date]]-Sprint1)/SprintDays)+1)</f>
      </c>
      <c r="I562" s="17">
        <f>IF(OR(Log[[#This Row],[Verb]]="commit",Log[[#This Row],[Verb]]="carry",Log[[#This Row],[Verb]]="redo"),IF(Log[[#This Row],[Arg]]="",Log[[#This Row],[Sprint]],N(Log[[#This Row],[Arg]])),"")</f>
      </c>
      <c r="J562" s="17">
        <f>IF(Log[[#This Row],[Verb]]="block",1,IF(OR(Log[[#This Row],[Verb]]="unblock",Log[[#This Row],[Verb]]="done",Log[[#This Row],[Verb]]="drop",Log[[#This Row],[Verb]]="punt",Log[[#This Row],[Verb]]="pass"),0,""))</f>
      </c>
      <c r="K562" s="17">
        <f>IF(Log[[#This Row],[ID]]="",0,IFERROR(INDEX(Items[Pts],MATCH(Log[[#This Row],[ID]],Items[ID],0))*1,0))</f>
      </c>
      <c r="L562" s="17">
        <f>IF(Log[[#This Row],[ID]]="","",IFERROR(INDEX(Items[Cur team],MATCH(Log[[#This Row],[ID]],Items[ID],0))&amp;"",""))</f>
      </c>
      <c r="M562" s="17">
        <f>IF(OR(Log[[#This Row],[Verb]]="done",Log[[#This Row],[Verb]]="punt",Log[[#This Row],[Verb]]="drop",Log[[#This Row],[Verb]]="pass"),Log[[#This Row],[Pts]],0)</f>
      </c>
    </row>
    <row r="563">
      <c r="A563" s="11">
        <v>46132</v>
      </c>
      <c r="B563" t="s">
        <v>396</v>
      </c>
      <c r="C563" t="s">
        <v>41</v>
      </c>
      <c r="F563" s="17">
        <f>IF(Log[[#This Row],[ID]]="","",IF(ISNA(MATCH(Log[[#This Row],[ID]],Items[ID],0)),"unknown ID",IF(ISNA(MATCH(Log[[#This Row],[Verb]],VerbList,0)),"unknown verb",IF(Log[[#This Row],[Date]]="","no date",""))))</f>
      </c>
      <c r="G563" s="17">
        <f>IF(Log[[#This Row],[ID]]="","",IFERROR(VLOOKUP(Log[[#This Row],[Verb]],Verbs,3,FALSE)&amp;"",""))</f>
      </c>
      <c r="H563" s="17">
        <f>IF(Log[[#This Row],[Date]]="","",INT((Log[[#This Row],[Date]]-Sprint1)/SprintDays)+1)</f>
      </c>
      <c r="I563" s="17">
        <f>IF(OR(Log[[#This Row],[Verb]]="commit",Log[[#This Row],[Verb]]="carry",Log[[#This Row],[Verb]]="redo"),IF(Log[[#This Row],[Arg]]="",Log[[#This Row],[Sprint]],N(Log[[#This Row],[Arg]])),"")</f>
      </c>
      <c r="J563" s="17">
        <f>IF(Log[[#This Row],[Verb]]="block",1,IF(OR(Log[[#This Row],[Verb]]="unblock",Log[[#This Row],[Verb]]="done",Log[[#This Row],[Verb]]="drop",Log[[#This Row],[Verb]]="punt",Log[[#This Row],[Verb]]="pass"),0,""))</f>
      </c>
      <c r="K563" s="17">
        <f>IF(Log[[#This Row],[ID]]="",0,IFERROR(INDEX(Items[Pts],MATCH(Log[[#This Row],[ID]],Items[ID],0))*1,0))</f>
      </c>
      <c r="L563" s="17">
        <f>IF(Log[[#This Row],[ID]]="","",IFERROR(INDEX(Items[Cur team],MATCH(Log[[#This Row],[ID]],Items[ID],0))&amp;"",""))</f>
      </c>
      <c r="M563" s="17">
        <f>IF(OR(Log[[#This Row],[Verb]]="done",Log[[#This Row],[Verb]]="punt",Log[[#This Row],[Verb]]="drop",Log[[#This Row],[Verb]]="pass"),Log[[#This Row],[Pts]],0)</f>
      </c>
    </row>
    <row r="564">
      <c r="A564" s="11">
        <v>46132</v>
      </c>
      <c r="B564" t="s">
        <v>397</v>
      </c>
      <c r="C564" t="s">
        <v>41</v>
      </c>
      <c r="F564" s="17">
        <f>IF(Log[[#This Row],[ID]]="","",IF(ISNA(MATCH(Log[[#This Row],[ID]],Items[ID],0)),"unknown ID",IF(ISNA(MATCH(Log[[#This Row],[Verb]],VerbList,0)),"unknown verb",IF(Log[[#This Row],[Date]]="","no date",""))))</f>
      </c>
      <c r="G564" s="17">
        <f>IF(Log[[#This Row],[ID]]="","",IFERROR(VLOOKUP(Log[[#This Row],[Verb]],Verbs,3,FALSE)&amp;"",""))</f>
      </c>
      <c r="H564" s="17">
        <f>IF(Log[[#This Row],[Date]]="","",INT((Log[[#This Row],[Date]]-Sprint1)/SprintDays)+1)</f>
      </c>
      <c r="I564" s="17">
        <f>IF(OR(Log[[#This Row],[Verb]]="commit",Log[[#This Row],[Verb]]="carry",Log[[#This Row],[Verb]]="redo"),IF(Log[[#This Row],[Arg]]="",Log[[#This Row],[Sprint]],N(Log[[#This Row],[Arg]])),"")</f>
      </c>
      <c r="J564" s="17">
        <f>IF(Log[[#This Row],[Verb]]="block",1,IF(OR(Log[[#This Row],[Verb]]="unblock",Log[[#This Row],[Verb]]="done",Log[[#This Row],[Verb]]="drop",Log[[#This Row],[Verb]]="punt",Log[[#This Row],[Verb]]="pass"),0,""))</f>
      </c>
      <c r="K564" s="17">
        <f>IF(Log[[#This Row],[ID]]="",0,IFERROR(INDEX(Items[Pts],MATCH(Log[[#This Row],[ID]],Items[ID],0))*1,0))</f>
      </c>
      <c r="L564" s="17">
        <f>IF(Log[[#This Row],[ID]]="","",IFERROR(INDEX(Items[Cur team],MATCH(Log[[#This Row],[ID]],Items[ID],0))&amp;"",""))</f>
      </c>
      <c r="M564" s="17">
        <f>IF(OR(Log[[#This Row],[Verb]]="done",Log[[#This Row],[Verb]]="punt",Log[[#This Row],[Verb]]="drop",Log[[#This Row],[Verb]]="pass"),Log[[#This Row],[Pts]],0)</f>
      </c>
    </row>
    <row r="565">
      <c r="A565" s="11">
        <v>46132</v>
      </c>
      <c r="B565" t="s">
        <v>398</v>
      </c>
      <c r="C565" t="s">
        <v>38</v>
      </c>
      <c r="D565">
        <v>42</v>
      </c>
      <c r="F565" s="17">
        <f>IF(Log[[#This Row],[ID]]="","",IF(ISNA(MATCH(Log[[#This Row],[ID]],Items[ID],0)),"unknown ID",IF(ISNA(MATCH(Log[[#This Row],[Verb]],VerbList,0)),"unknown verb",IF(Log[[#This Row],[Date]]="","no date",""))))</f>
      </c>
      <c r="G565" s="17">
        <f>IF(Log[[#This Row],[ID]]="","",IFERROR(VLOOKUP(Log[[#This Row],[Verb]],Verbs,3,FALSE)&amp;"",""))</f>
      </c>
      <c r="H565" s="17">
        <f>IF(Log[[#This Row],[Date]]="","",INT((Log[[#This Row],[Date]]-Sprint1)/SprintDays)+1)</f>
      </c>
      <c r="I565" s="17">
        <f>IF(OR(Log[[#This Row],[Verb]]="commit",Log[[#This Row],[Verb]]="carry",Log[[#This Row],[Verb]]="redo"),IF(Log[[#This Row],[Arg]]="",Log[[#This Row],[Sprint]],N(Log[[#This Row],[Arg]])),"")</f>
      </c>
      <c r="J565" s="17">
        <f>IF(Log[[#This Row],[Verb]]="block",1,IF(OR(Log[[#This Row],[Verb]]="unblock",Log[[#This Row],[Verb]]="done",Log[[#This Row],[Verb]]="drop",Log[[#This Row],[Verb]]="punt",Log[[#This Row],[Verb]]="pass"),0,""))</f>
      </c>
      <c r="K565" s="17">
        <f>IF(Log[[#This Row],[ID]]="",0,IFERROR(INDEX(Items[Pts],MATCH(Log[[#This Row],[ID]],Items[ID],0))*1,0))</f>
      </c>
      <c r="L565" s="17">
        <f>IF(Log[[#This Row],[ID]]="","",IFERROR(INDEX(Items[Cur team],MATCH(Log[[#This Row],[ID]],Items[ID],0))&amp;"",""))</f>
      </c>
      <c r="M565" s="17">
        <f>IF(OR(Log[[#This Row],[Verb]]="done",Log[[#This Row],[Verb]]="punt",Log[[#This Row],[Verb]]="drop",Log[[#This Row],[Verb]]="pass"),Log[[#This Row],[Pts]],0)</f>
      </c>
    </row>
    <row r="566">
      <c r="A566" s="11">
        <v>46132</v>
      </c>
      <c r="B566" t="s">
        <v>399</v>
      </c>
      <c r="C566" t="s">
        <v>41</v>
      </c>
      <c r="F566" s="17">
        <f>IF(Log[[#This Row],[ID]]="","",IF(ISNA(MATCH(Log[[#This Row],[ID]],Items[ID],0)),"unknown ID",IF(ISNA(MATCH(Log[[#This Row],[Verb]],VerbList,0)),"unknown verb",IF(Log[[#This Row],[Date]]="","no date",""))))</f>
      </c>
      <c r="G566" s="17">
        <f>IF(Log[[#This Row],[ID]]="","",IFERROR(VLOOKUP(Log[[#This Row],[Verb]],Verbs,3,FALSE)&amp;"",""))</f>
      </c>
      <c r="H566" s="17">
        <f>IF(Log[[#This Row],[Date]]="","",INT((Log[[#This Row],[Date]]-Sprint1)/SprintDays)+1)</f>
      </c>
      <c r="I566" s="17">
        <f>IF(OR(Log[[#This Row],[Verb]]="commit",Log[[#This Row],[Verb]]="carry",Log[[#This Row],[Verb]]="redo"),IF(Log[[#This Row],[Arg]]="",Log[[#This Row],[Sprint]],N(Log[[#This Row],[Arg]])),"")</f>
      </c>
      <c r="J566" s="17">
        <f>IF(Log[[#This Row],[Verb]]="block",1,IF(OR(Log[[#This Row],[Verb]]="unblock",Log[[#This Row],[Verb]]="done",Log[[#This Row],[Verb]]="drop",Log[[#This Row],[Verb]]="punt",Log[[#This Row],[Verb]]="pass"),0,""))</f>
      </c>
      <c r="K566" s="17">
        <f>IF(Log[[#This Row],[ID]]="",0,IFERROR(INDEX(Items[Pts],MATCH(Log[[#This Row],[ID]],Items[ID],0))*1,0))</f>
      </c>
      <c r="L566" s="17">
        <f>IF(Log[[#This Row],[ID]]="","",IFERROR(INDEX(Items[Cur team],MATCH(Log[[#This Row],[ID]],Items[ID],0))&amp;"",""))</f>
      </c>
      <c r="M566" s="17">
        <f>IF(OR(Log[[#This Row],[Verb]]="done",Log[[#This Row],[Verb]]="punt",Log[[#This Row],[Verb]]="drop",Log[[#This Row],[Verb]]="pass"),Log[[#This Row],[Pts]],0)</f>
      </c>
    </row>
    <row r="567">
      <c r="A567" s="11">
        <v>46132</v>
      </c>
      <c r="B567" t="s">
        <v>400</v>
      </c>
      <c r="C567" t="s">
        <v>41</v>
      </c>
      <c r="F567" s="17">
        <f>IF(Log[[#This Row],[ID]]="","",IF(ISNA(MATCH(Log[[#This Row],[ID]],Items[ID],0)),"unknown ID",IF(ISNA(MATCH(Log[[#This Row],[Verb]],VerbList,0)),"unknown verb",IF(Log[[#This Row],[Date]]="","no date",""))))</f>
      </c>
      <c r="G567" s="17">
        <f>IF(Log[[#This Row],[ID]]="","",IFERROR(VLOOKUP(Log[[#This Row],[Verb]],Verbs,3,FALSE)&amp;"",""))</f>
      </c>
      <c r="H567" s="17">
        <f>IF(Log[[#This Row],[Date]]="","",INT((Log[[#This Row],[Date]]-Sprint1)/SprintDays)+1)</f>
      </c>
      <c r="I567" s="17">
        <f>IF(OR(Log[[#This Row],[Verb]]="commit",Log[[#This Row],[Verb]]="carry",Log[[#This Row],[Verb]]="redo"),IF(Log[[#This Row],[Arg]]="",Log[[#This Row],[Sprint]],N(Log[[#This Row],[Arg]])),"")</f>
      </c>
      <c r="J567" s="17">
        <f>IF(Log[[#This Row],[Verb]]="block",1,IF(OR(Log[[#This Row],[Verb]]="unblock",Log[[#This Row],[Verb]]="done",Log[[#This Row],[Verb]]="drop",Log[[#This Row],[Verb]]="punt",Log[[#This Row],[Verb]]="pass"),0,""))</f>
      </c>
      <c r="K567" s="17">
        <f>IF(Log[[#This Row],[ID]]="",0,IFERROR(INDEX(Items[Pts],MATCH(Log[[#This Row],[ID]],Items[ID],0))*1,0))</f>
      </c>
      <c r="L567" s="17">
        <f>IF(Log[[#This Row],[ID]]="","",IFERROR(INDEX(Items[Cur team],MATCH(Log[[#This Row],[ID]],Items[ID],0))&amp;"",""))</f>
      </c>
      <c r="M567" s="17">
        <f>IF(OR(Log[[#This Row],[Verb]]="done",Log[[#This Row],[Verb]]="punt",Log[[#This Row],[Verb]]="drop",Log[[#This Row],[Verb]]="pass"),Log[[#This Row],[Pts]],0)</f>
      </c>
    </row>
    <row r="568">
      <c r="A568" s="11">
        <v>46132</v>
      </c>
      <c r="B568" t="s">
        <v>337</v>
      </c>
      <c r="C568" t="s">
        <v>41</v>
      </c>
      <c r="F568" s="17">
        <f>IF(Log[[#This Row],[ID]]="","",IF(ISNA(MATCH(Log[[#This Row],[ID]],Items[ID],0)),"unknown ID",IF(ISNA(MATCH(Log[[#This Row],[Verb]],VerbList,0)),"unknown verb",IF(Log[[#This Row],[Date]]="","no date",""))))</f>
      </c>
      <c r="G568" s="17">
        <f>IF(Log[[#This Row],[ID]]="","",IFERROR(VLOOKUP(Log[[#This Row],[Verb]],Verbs,3,FALSE)&amp;"",""))</f>
      </c>
      <c r="H568" s="17">
        <f>IF(Log[[#This Row],[Date]]="","",INT((Log[[#This Row],[Date]]-Sprint1)/SprintDays)+1)</f>
      </c>
      <c r="I568" s="17">
        <f>IF(OR(Log[[#This Row],[Verb]]="commit",Log[[#This Row],[Verb]]="carry",Log[[#This Row],[Verb]]="redo"),IF(Log[[#This Row],[Arg]]="",Log[[#This Row],[Sprint]],N(Log[[#This Row],[Arg]])),"")</f>
      </c>
      <c r="J568" s="17">
        <f>IF(Log[[#This Row],[Verb]]="block",1,IF(OR(Log[[#This Row],[Verb]]="unblock",Log[[#This Row],[Verb]]="done",Log[[#This Row],[Verb]]="drop",Log[[#This Row],[Verb]]="punt",Log[[#This Row],[Verb]]="pass"),0,""))</f>
      </c>
      <c r="K568" s="17">
        <f>IF(Log[[#This Row],[ID]]="",0,IFERROR(INDEX(Items[Pts],MATCH(Log[[#This Row],[ID]],Items[ID],0))*1,0))</f>
      </c>
      <c r="L568" s="17">
        <f>IF(Log[[#This Row],[ID]]="","",IFERROR(INDEX(Items[Cur team],MATCH(Log[[#This Row],[ID]],Items[ID],0))&amp;"",""))</f>
      </c>
      <c r="M568" s="17">
        <f>IF(OR(Log[[#This Row],[Verb]]="done",Log[[#This Row],[Verb]]="punt",Log[[#This Row],[Verb]]="drop",Log[[#This Row],[Verb]]="pass"),Log[[#This Row],[Pts]],0)</f>
      </c>
    </row>
    <row r="569">
      <c r="A569" s="11">
        <v>46132</v>
      </c>
      <c r="B569" t="s">
        <v>401</v>
      </c>
      <c r="C569" t="s">
        <v>41</v>
      </c>
      <c r="F569" s="17">
        <f>IF(Log[[#This Row],[ID]]="","",IF(ISNA(MATCH(Log[[#This Row],[ID]],Items[ID],0)),"unknown ID",IF(ISNA(MATCH(Log[[#This Row],[Verb]],VerbList,0)),"unknown verb",IF(Log[[#This Row],[Date]]="","no date",""))))</f>
      </c>
      <c r="G569" s="17">
        <f>IF(Log[[#This Row],[ID]]="","",IFERROR(VLOOKUP(Log[[#This Row],[Verb]],Verbs,3,FALSE)&amp;"",""))</f>
      </c>
      <c r="H569" s="17">
        <f>IF(Log[[#This Row],[Date]]="","",INT((Log[[#This Row],[Date]]-Sprint1)/SprintDays)+1)</f>
      </c>
      <c r="I569" s="17">
        <f>IF(OR(Log[[#This Row],[Verb]]="commit",Log[[#This Row],[Verb]]="carry",Log[[#This Row],[Verb]]="redo"),IF(Log[[#This Row],[Arg]]="",Log[[#This Row],[Sprint]],N(Log[[#This Row],[Arg]])),"")</f>
      </c>
      <c r="J569" s="17">
        <f>IF(Log[[#This Row],[Verb]]="block",1,IF(OR(Log[[#This Row],[Verb]]="unblock",Log[[#This Row],[Verb]]="done",Log[[#This Row],[Verb]]="drop",Log[[#This Row],[Verb]]="punt",Log[[#This Row],[Verb]]="pass"),0,""))</f>
      </c>
      <c r="K569" s="17">
        <f>IF(Log[[#This Row],[ID]]="",0,IFERROR(INDEX(Items[Pts],MATCH(Log[[#This Row],[ID]],Items[ID],0))*1,0))</f>
      </c>
      <c r="L569" s="17">
        <f>IF(Log[[#This Row],[ID]]="","",IFERROR(INDEX(Items[Cur team],MATCH(Log[[#This Row],[ID]],Items[ID],0))&amp;"",""))</f>
      </c>
      <c r="M569" s="17">
        <f>IF(OR(Log[[#This Row],[Verb]]="done",Log[[#This Row],[Verb]]="punt",Log[[#This Row],[Verb]]="drop",Log[[#This Row],[Verb]]="pass"),Log[[#This Row],[Pts]],0)</f>
      </c>
    </row>
    <row r="570">
      <c r="A570" s="11">
        <v>46132</v>
      </c>
      <c r="B570" t="s">
        <v>402</v>
      </c>
      <c r="C570" t="s">
        <v>38</v>
      </c>
      <c r="D570">
        <v>42</v>
      </c>
      <c r="F570" s="17">
        <f>IF(Log[[#This Row],[ID]]="","",IF(ISNA(MATCH(Log[[#This Row],[ID]],Items[ID],0)),"unknown ID",IF(ISNA(MATCH(Log[[#This Row],[Verb]],VerbList,0)),"unknown verb",IF(Log[[#This Row],[Date]]="","no date",""))))</f>
      </c>
      <c r="G570" s="17">
        <f>IF(Log[[#This Row],[ID]]="","",IFERROR(VLOOKUP(Log[[#This Row],[Verb]],Verbs,3,FALSE)&amp;"",""))</f>
      </c>
      <c r="H570" s="17">
        <f>IF(Log[[#This Row],[Date]]="","",INT((Log[[#This Row],[Date]]-Sprint1)/SprintDays)+1)</f>
      </c>
      <c r="I570" s="17">
        <f>IF(OR(Log[[#This Row],[Verb]]="commit",Log[[#This Row],[Verb]]="carry",Log[[#This Row],[Verb]]="redo"),IF(Log[[#This Row],[Arg]]="",Log[[#This Row],[Sprint]],N(Log[[#This Row],[Arg]])),"")</f>
      </c>
      <c r="J570" s="17">
        <f>IF(Log[[#This Row],[Verb]]="block",1,IF(OR(Log[[#This Row],[Verb]]="unblock",Log[[#This Row],[Verb]]="done",Log[[#This Row],[Verb]]="drop",Log[[#This Row],[Verb]]="punt",Log[[#This Row],[Verb]]="pass"),0,""))</f>
      </c>
      <c r="K570" s="17">
        <f>IF(Log[[#This Row],[ID]]="",0,IFERROR(INDEX(Items[Pts],MATCH(Log[[#This Row],[ID]],Items[ID],0))*1,0))</f>
      </c>
      <c r="L570" s="17">
        <f>IF(Log[[#This Row],[ID]]="","",IFERROR(INDEX(Items[Cur team],MATCH(Log[[#This Row],[ID]],Items[ID],0))&amp;"",""))</f>
      </c>
      <c r="M570" s="17">
        <f>IF(OR(Log[[#This Row],[Verb]]="done",Log[[#This Row],[Verb]]="punt",Log[[#This Row],[Verb]]="drop",Log[[#This Row],[Verb]]="pass"),Log[[#This Row],[Pts]],0)</f>
      </c>
    </row>
    <row r="571">
      <c r="A571" s="11">
        <v>46132</v>
      </c>
      <c r="B571" t="s">
        <v>403</v>
      </c>
      <c r="C571" t="s">
        <v>41</v>
      </c>
      <c r="F571" s="17">
        <f>IF(Log[[#This Row],[ID]]="","",IF(ISNA(MATCH(Log[[#This Row],[ID]],Items[ID],0)),"unknown ID",IF(ISNA(MATCH(Log[[#This Row],[Verb]],VerbList,0)),"unknown verb",IF(Log[[#This Row],[Date]]="","no date",""))))</f>
      </c>
      <c r="G571" s="17">
        <f>IF(Log[[#This Row],[ID]]="","",IFERROR(VLOOKUP(Log[[#This Row],[Verb]],Verbs,3,FALSE)&amp;"",""))</f>
      </c>
      <c r="H571" s="17">
        <f>IF(Log[[#This Row],[Date]]="","",INT((Log[[#This Row],[Date]]-Sprint1)/SprintDays)+1)</f>
      </c>
      <c r="I571" s="17">
        <f>IF(OR(Log[[#This Row],[Verb]]="commit",Log[[#This Row],[Verb]]="carry",Log[[#This Row],[Verb]]="redo"),IF(Log[[#This Row],[Arg]]="",Log[[#This Row],[Sprint]],N(Log[[#This Row],[Arg]])),"")</f>
      </c>
      <c r="J571" s="17">
        <f>IF(Log[[#This Row],[Verb]]="block",1,IF(OR(Log[[#This Row],[Verb]]="unblock",Log[[#This Row],[Verb]]="done",Log[[#This Row],[Verb]]="drop",Log[[#This Row],[Verb]]="punt",Log[[#This Row],[Verb]]="pass"),0,""))</f>
      </c>
      <c r="K571" s="17">
        <f>IF(Log[[#This Row],[ID]]="",0,IFERROR(INDEX(Items[Pts],MATCH(Log[[#This Row],[ID]],Items[ID],0))*1,0))</f>
      </c>
      <c r="L571" s="17">
        <f>IF(Log[[#This Row],[ID]]="","",IFERROR(INDEX(Items[Cur team],MATCH(Log[[#This Row],[ID]],Items[ID],0))&amp;"",""))</f>
      </c>
      <c r="M571" s="17">
        <f>IF(OR(Log[[#This Row],[Verb]]="done",Log[[#This Row],[Verb]]="punt",Log[[#This Row],[Verb]]="drop",Log[[#This Row],[Verb]]="pass"),Log[[#This Row],[Pts]],0)</f>
      </c>
    </row>
    <row r="572">
      <c r="A572" s="11">
        <v>46132</v>
      </c>
      <c r="B572" t="s">
        <v>404</v>
      </c>
      <c r="C572" t="s">
        <v>41</v>
      </c>
      <c r="F572" s="17">
        <f>IF(Log[[#This Row],[ID]]="","",IF(ISNA(MATCH(Log[[#This Row],[ID]],Items[ID],0)),"unknown ID",IF(ISNA(MATCH(Log[[#This Row],[Verb]],VerbList,0)),"unknown verb",IF(Log[[#This Row],[Date]]="","no date",""))))</f>
      </c>
      <c r="G572" s="17">
        <f>IF(Log[[#This Row],[ID]]="","",IFERROR(VLOOKUP(Log[[#This Row],[Verb]],Verbs,3,FALSE)&amp;"",""))</f>
      </c>
      <c r="H572" s="17">
        <f>IF(Log[[#This Row],[Date]]="","",INT((Log[[#This Row],[Date]]-Sprint1)/SprintDays)+1)</f>
      </c>
      <c r="I572" s="17">
        <f>IF(OR(Log[[#This Row],[Verb]]="commit",Log[[#This Row],[Verb]]="carry",Log[[#This Row],[Verb]]="redo"),IF(Log[[#This Row],[Arg]]="",Log[[#This Row],[Sprint]],N(Log[[#This Row],[Arg]])),"")</f>
      </c>
      <c r="J572" s="17">
        <f>IF(Log[[#This Row],[Verb]]="block",1,IF(OR(Log[[#This Row],[Verb]]="unblock",Log[[#This Row],[Verb]]="done",Log[[#This Row],[Verb]]="drop",Log[[#This Row],[Verb]]="punt",Log[[#This Row],[Verb]]="pass"),0,""))</f>
      </c>
      <c r="K572" s="17">
        <f>IF(Log[[#This Row],[ID]]="",0,IFERROR(INDEX(Items[Pts],MATCH(Log[[#This Row],[ID]],Items[ID],0))*1,0))</f>
      </c>
      <c r="L572" s="17">
        <f>IF(Log[[#This Row],[ID]]="","",IFERROR(INDEX(Items[Cur team],MATCH(Log[[#This Row],[ID]],Items[ID],0))&amp;"",""))</f>
      </c>
      <c r="M572" s="17">
        <f>IF(OR(Log[[#This Row],[Verb]]="done",Log[[#This Row],[Verb]]="punt",Log[[#This Row],[Verb]]="drop",Log[[#This Row],[Verb]]="pass"),Log[[#This Row],[Pts]],0)</f>
      </c>
    </row>
    <row r="573">
      <c r="A573" s="11">
        <v>46132</v>
      </c>
      <c r="B573" t="s">
        <v>405</v>
      </c>
      <c r="C573" t="s">
        <v>41</v>
      </c>
      <c r="F573" s="17">
        <f>IF(Log[[#This Row],[ID]]="","",IF(ISNA(MATCH(Log[[#This Row],[ID]],Items[ID],0)),"unknown ID",IF(ISNA(MATCH(Log[[#This Row],[Verb]],VerbList,0)),"unknown verb",IF(Log[[#This Row],[Date]]="","no date",""))))</f>
      </c>
      <c r="G573" s="17">
        <f>IF(Log[[#This Row],[ID]]="","",IFERROR(VLOOKUP(Log[[#This Row],[Verb]],Verbs,3,FALSE)&amp;"",""))</f>
      </c>
      <c r="H573" s="17">
        <f>IF(Log[[#This Row],[Date]]="","",INT((Log[[#This Row],[Date]]-Sprint1)/SprintDays)+1)</f>
      </c>
      <c r="I573" s="17">
        <f>IF(OR(Log[[#This Row],[Verb]]="commit",Log[[#This Row],[Verb]]="carry",Log[[#This Row],[Verb]]="redo"),IF(Log[[#This Row],[Arg]]="",Log[[#This Row],[Sprint]],N(Log[[#This Row],[Arg]])),"")</f>
      </c>
      <c r="J573" s="17">
        <f>IF(Log[[#This Row],[Verb]]="block",1,IF(OR(Log[[#This Row],[Verb]]="unblock",Log[[#This Row],[Verb]]="done",Log[[#This Row],[Verb]]="drop",Log[[#This Row],[Verb]]="punt",Log[[#This Row],[Verb]]="pass"),0,""))</f>
      </c>
      <c r="K573" s="17">
        <f>IF(Log[[#This Row],[ID]]="",0,IFERROR(INDEX(Items[Pts],MATCH(Log[[#This Row],[ID]],Items[ID],0))*1,0))</f>
      </c>
      <c r="L573" s="17">
        <f>IF(Log[[#This Row],[ID]]="","",IFERROR(INDEX(Items[Cur team],MATCH(Log[[#This Row],[ID]],Items[ID],0))&amp;"",""))</f>
      </c>
      <c r="M573" s="17">
        <f>IF(OR(Log[[#This Row],[Verb]]="done",Log[[#This Row],[Verb]]="punt",Log[[#This Row],[Verb]]="drop",Log[[#This Row],[Verb]]="pass"),Log[[#This Row],[Pts]],0)</f>
      </c>
    </row>
    <row r="574">
      <c r="A574" s="11">
        <v>46132</v>
      </c>
      <c r="B574" t="s">
        <v>339</v>
      </c>
      <c r="C574" t="s">
        <v>41</v>
      </c>
      <c r="F574" s="17">
        <f>IF(Log[[#This Row],[ID]]="","",IF(ISNA(MATCH(Log[[#This Row],[ID]],Items[ID],0)),"unknown ID",IF(ISNA(MATCH(Log[[#This Row],[Verb]],VerbList,0)),"unknown verb",IF(Log[[#This Row],[Date]]="","no date",""))))</f>
      </c>
      <c r="G574" s="17">
        <f>IF(Log[[#This Row],[ID]]="","",IFERROR(VLOOKUP(Log[[#This Row],[Verb]],Verbs,3,FALSE)&amp;"",""))</f>
      </c>
      <c r="H574" s="17">
        <f>IF(Log[[#This Row],[Date]]="","",INT((Log[[#This Row],[Date]]-Sprint1)/SprintDays)+1)</f>
      </c>
      <c r="I574" s="17">
        <f>IF(OR(Log[[#This Row],[Verb]]="commit",Log[[#This Row],[Verb]]="carry",Log[[#This Row],[Verb]]="redo"),IF(Log[[#This Row],[Arg]]="",Log[[#This Row],[Sprint]],N(Log[[#This Row],[Arg]])),"")</f>
      </c>
      <c r="J574" s="17">
        <f>IF(Log[[#This Row],[Verb]]="block",1,IF(OR(Log[[#This Row],[Verb]]="unblock",Log[[#This Row],[Verb]]="done",Log[[#This Row],[Verb]]="drop",Log[[#This Row],[Verb]]="punt",Log[[#This Row],[Verb]]="pass"),0,""))</f>
      </c>
      <c r="K574" s="17">
        <f>IF(Log[[#This Row],[ID]]="",0,IFERROR(INDEX(Items[Pts],MATCH(Log[[#This Row],[ID]],Items[ID],0))*1,0))</f>
      </c>
      <c r="L574" s="17">
        <f>IF(Log[[#This Row],[ID]]="","",IFERROR(INDEX(Items[Cur team],MATCH(Log[[#This Row],[ID]],Items[ID],0))&amp;"",""))</f>
      </c>
      <c r="M574" s="17">
        <f>IF(OR(Log[[#This Row],[Verb]]="done",Log[[#This Row],[Verb]]="punt",Log[[#This Row],[Verb]]="drop",Log[[#This Row],[Verb]]="pass"),Log[[#This Row],[Pts]],0)</f>
      </c>
    </row>
    <row r="575">
      <c r="A575" s="11">
        <v>46132</v>
      </c>
      <c r="B575" t="s">
        <v>406</v>
      </c>
      <c r="C575" t="s">
        <v>41</v>
      </c>
      <c r="F575" s="17">
        <f>IF(Log[[#This Row],[ID]]="","",IF(ISNA(MATCH(Log[[#This Row],[ID]],Items[ID],0)),"unknown ID",IF(ISNA(MATCH(Log[[#This Row],[Verb]],VerbList,0)),"unknown verb",IF(Log[[#This Row],[Date]]="","no date",""))))</f>
      </c>
      <c r="G575" s="17">
        <f>IF(Log[[#This Row],[ID]]="","",IFERROR(VLOOKUP(Log[[#This Row],[Verb]],Verbs,3,FALSE)&amp;"",""))</f>
      </c>
      <c r="H575" s="17">
        <f>IF(Log[[#This Row],[Date]]="","",INT((Log[[#This Row],[Date]]-Sprint1)/SprintDays)+1)</f>
      </c>
      <c r="I575" s="17">
        <f>IF(OR(Log[[#This Row],[Verb]]="commit",Log[[#This Row],[Verb]]="carry",Log[[#This Row],[Verb]]="redo"),IF(Log[[#This Row],[Arg]]="",Log[[#This Row],[Sprint]],N(Log[[#This Row],[Arg]])),"")</f>
      </c>
      <c r="J575" s="17">
        <f>IF(Log[[#This Row],[Verb]]="block",1,IF(OR(Log[[#This Row],[Verb]]="unblock",Log[[#This Row],[Verb]]="done",Log[[#This Row],[Verb]]="drop",Log[[#This Row],[Verb]]="punt",Log[[#This Row],[Verb]]="pass"),0,""))</f>
      </c>
      <c r="K575" s="17">
        <f>IF(Log[[#This Row],[ID]]="",0,IFERROR(INDEX(Items[Pts],MATCH(Log[[#This Row],[ID]],Items[ID],0))*1,0))</f>
      </c>
      <c r="L575" s="17">
        <f>IF(Log[[#This Row],[ID]]="","",IFERROR(INDEX(Items[Cur team],MATCH(Log[[#This Row],[ID]],Items[ID],0))&amp;"",""))</f>
      </c>
      <c r="M575" s="17">
        <f>IF(OR(Log[[#This Row],[Verb]]="done",Log[[#This Row],[Verb]]="punt",Log[[#This Row],[Verb]]="drop",Log[[#This Row],[Verb]]="pass"),Log[[#This Row],[Pts]],0)</f>
      </c>
    </row>
    <row r="576">
      <c r="A576" s="11">
        <v>46132</v>
      </c>
      <c r="B576" t="s">
        <v>407</v>
      </c>
      <c r="C576" t="s">
        <v>41</v>
      </c>
      <c r="F576" s="17">
        <f>IF(Log[[#This Row],[ID]]="","",IF(ISNA(MATCH(Log[[#This Row],[ID]],Items[ID],0)),"unknown ID",IF(ISNA(MATCH(Log[[#This Row],[Verb]],VerbList,0)),"unknown verb",IF(Log[[#This Row],[Date]]="","no date",""))))</f>
      </c>
      <c r="G576" s="17">
        <f>IF(Log[[#This Row],[ID]]="","",IFERROR(VLOOKUP(Log[[#This Row],[Verb]],Verbs,3,FALSE)&amp;"",""))</f>
      </c>
      <c r="H576" s="17">
        <f>IF(Log[[#This Row],[Date]]="","",INT((Log[[#This Row],[Date]]-Sprint1)/SprintDays)+1)</f>
      </c>
      <c r="I576" s="17">
        <f>IF(OR(Log[[#This Row],[Verb]]="commit",Log[[#This Row],[Verb]]="carry",Log[[#This Row],[Verb]]="redo"),IF(Log[[#This Row],[Arg]]="",Log[[#This Row],[Sprint]],N(Log[[#This Row],[Arg]])),"")</f>
      </c>
      <c r="J576" s="17">
        <f>IF(Log[[#This Row],[Verb]]="block",1,IF(OR(Log[[#This Row],[Verb]]="unblock",Log[[#This Row],[Verb]]="done",Log[[#This Row],[Verb]]="drop",Log[[#This Row],[Verb]]="punt",Log[[#This Row],[Verb]]="pass"),0,""))</f>
      </c>
      <c r="K576" s="17">
        <f>IF(Log[[#This Row],[ID]]="",0,IFERROR(INDEX(Items[Pts],MATCH(Log[[#This Row],[ID]],Items[ID],0))*1,0))</f>
      </c>
      <c r="L576" s="17">
        <f>IF(Log[[#This Row],[ID]]="","",IFERROR(INDEX(Items[Cur team],MATCH(Log[[#This Row],[ID]],Items[ID],0))&amp;"",""))</f>
      </c>
      <c r="M576" s="17">
        <f>IF(OR(Log[[#This Row],[Verb]]="done",Log[[#This Row],[Verb]]="punt",Log[[#This Row],[Verb]]="drop",Log[[#This Row],[Verb]]="pass"),Log[[#This Row],[Pts]],0)</f>
      </c>
    </row>
    <row r="577">
      <c r="A577" s="11">
        <v>46132</v>
      </c>
      <c r="B577" t="s">
        <v>408</v>
      </c>
      <c r="C577" t="s">
        <v>38</v>
      </c>
      <c r="D577">
        <v>42</v>
      </c>
      <c r="F577" s="17">
        <f>IF(Log[[#This Row],[ID]]="","",IF(ISNA(MATCH(Log[[#This Row],[ID]],Items[ID],0)),"unknown ID",IF(ISNA(MATCH(Log[[#This Row],[Verb]],VerbList,0)),"unknown verb",IF(Log[[#This Row],[Date]]="","no date",""))))</f>
      </c>
      <c r="G577" s="17">
        <f>IF(Log[[#This Row],[ID]]="","",IFERROR(VLOOKUP(Log[[#This Row],[Verb]],Verbs,3,FALSE)&amp;"",""))</f>
      </c>
      <c r="H577" s="17">
        <f>IF(Log[[#This Row],[Date]]="","",INT((Log[[#This Row],[Date]]-Sprint1)/SprintDays)+1)</f>
      </c>
      <c r="I577" s="17">
        <f>IF(OR(Log[[#This Row],[Verb]]="commit",Log[[#This Row],[Verb]]="carry",Log[[#This Row],[Verb]]="redo"),IF(Log[[#This Row],[Arg]]="",Log[[#This Row],[Sprint]],N(Log[[#This Row],[Arg]])),"")</f>
      </c>
      <c r="J577" s="17">
        <f>IF(Log[[#This Row],[Verb]]="block",1,IF(OR(Log[[#This Row],[Verb]]="unblock",Log[[#This Row],[Verb]]="done",Log[[#This Row],[Verb]]="drop",Log[[#This Row],[Verb]]="punt",Log[[#This Row],[Verb]]="pass"),0,""))</f>
      </c>
      <c r="K577" s="17">
        <f>IF(Log[[#This Row],[ID]]="",0,IFERROR(INDEX(Items[Pts],MATCH(Log[[#This Row],[ID]],Items[ID],0))*1,0))</f>
      </c>
      <c r="L577" s="17">
        <f>IF(Log[[#This Row],[ID]]="","",IFERROR(INDEX(Items[Cur team],MATCH(Log[[#This Row],[ID]],Items[ID],0))&amp;"",""))</f>
      </c>
      <c r="M577" s="17">
        <f>IF(OR(Log[[#This Row],[Verb]]="done",Log[[#This Row],[Verb]]="punt",Log[[#This Row],[Verb]]="drop",Log[[#This Row],[Verb]]="pass"),Log[[#This Row],[Pts]],0)</f>
      </c>
    </row>
    <row r="578">
      <c r="A578" s="11">
        <v>46132</v>
      </c>
      <c r="B578" t="s">
        <v>408</v>
      </c>
      <c r="C578" t="s">
        <v>45</v>
      </c>
      <c r="E578" t="s">
        <v>429</v>
      </c>
      <c r="F578" s="17">
        <f>IF(Log[[#This Row],[ID]]="","",IF(ISNA(MATCH(Log[[#This Row],[ID]],Items[ID],0)),"unknown ID",IF(ISNA(MATCH(Log[[#This Row],[Verb]],VerbList,0)),"unknown verb",IF(Log[[#This Row],[Date]]="","no date",""))))</f>
      </c>
      <c r="G578" s="17">
        <f>IF(Log[[#This Row],[ID]]="","",IFERROR(VLOOKUP(Log[[#This Row],[Verb]],Verbs,3,FALSE)&amp;"",""))</f>
      </c>
      <c r="H578" s="17">
        <f>IF(Log[[#This Row],[Date]]="","",INT((Log[[#This Row],[Date]]-Sprint1)/SprintDays)+1)</f>
      </c>
      <c r="I578" s="17">
        <f>IF(OR(Log[[#This Row],[Verb]]="commit",Log[[#This Row],[Verb]]="carry",Log[[#This Row],[Verb]]="redo"),IF(Log[[#This Row],[Arg]]="",Log[[#This Row],[Sprint]],N(Log[[#This Row],[Arg]])),"")</f>
      </c>
      <c r="J578" s="17">
        <f>IF(Log[[#This Row],[Verb]]="block",1,IF(OR(Log[[#This Row],[Verb]]="unblock",Log[[#This Row],[Verb]]="done",Log[[#This Row],[Verb]]="drop",Log[[#This Row],[Verb]]="punt",Log[[#This Row],[Verb]]="pass"),0,""))</f>
      </c>
      <c r="K578" s="17">
        <f>IF(Log[[#This Row],[ID]]="",0,IFERROR(INDEX(Items[Pts],MATCH(Log[[#This Row],[ID]],Items[ID],0))*1,0))</f>
      </c>
      <c r="L578" s="17">
        <f>IF(Log[[#This Row],[ID]]="","",IFERROR(INDEX(Items[Cur team],MATCH(Log[[#This Row],[ID]],Items[ID],0))&amp;"",""))</f>
      </c>
      <c r="M578" s="17">
        <f>IF(OR(Log[[#This Row],[Verb]]="done",Log[[#This Row],[Verb]]="punt",Log[[#This Row],[Verb]]="drop",Log[[#This Row],[Verb]]="pass"),Log[[#This Row],[Pts]],0)</f>
      </c>
    </row>
    <row r="579">
      <c r="A579" s="11">
        <v>46132</v>
      </c>
      <c r="B579" t="s">
        <v>344</v>
      </c>
      <c r="C579" t="s">
        <v>41</v>
      </c>
      <c r="F579" s="17">
        <f>IF(Log[[#This Row],[ID]]="","",IF(ISNA(MATCH(Log[[#This Row],[ID]],Items[ID],0)),"unknown ID",IF(ISNA(MATCH(Log[[#This Row],[Verb]],VerbList,0)),"unknown verb",IF(Log[[#This Row],[Date]]="","no date",""))))</f>
      </c>
      <c r="G579" s="17">
        <f>IF(Log[[#This Row],[ID]]="","",IFERROR(VLOOKUP(Log[[#This Row],[Verb]],Verbs,3,FALSE)&amp;"",""))</f>
      </c>
      <c r="H579" s="17">
        <f>IF(Log[[#This Row],[Date]]="","",INT((Log[[#This Row],[Date]]-Sprint1)/SprintDays)+1)</f>
      </c>
      <c r="I579" s="17">
        <f>IF(OR(Log[[#This Row],[Verb]]="commit",Log[[#This Row],[Verb]]="carry",Log[[#This Row],[Verb]]="redo"),IF(Log[[#This Row],[Arg]]="",Log[[#This Row],[Sprint]],N(Log[[#This Row],[Arg]])),"")</f>
      </c>
      <c r="J579" s="17">
        <f>IF(Log[[#This Row],[Verb]]="block",1,IF(OR(Log[[#This Row],[Verb]]="unblock",Log[[#This Row],[Verb]]="done",Log[[#This Row],[Verb]]="drop",Log[[#This Row],[Verb]]="punt",Log[[#This Row],[Verb]]="pass"),0,""))</f>
      </c>
      <c r="K579" s="17">
        <f>IF(Log[[#This Row],[ID]]="",0,IFERROR(INDEX(Items[Pts],MATCH(Log[[#This Row],[ID]],Items[ID],0))*1,0))</f>
      </c>
      <c r="L579" s="17">
        <f>IF(Log[[#This Row],[ID]]="","",IFERROR(INDEX(Items[Cur team],MATCH(Log[[#This Row],[ID]],Items[ID],0))&amp;"",""))</f>
      </c>
      <c r="M579" s="17">
        <f>IF(OR(Log[[#This Row],[Verb]]="done",Log[[#This Row],[Verb]]="punt",Log[[#This Row],[Verb]]="drop",Log[[#This Row],[Verb]]="pass"),Log[[#This Row],[Pts]],0)</f>
      </c>
    </row>
    <row r="580">
      <c r="A580" s="11">
        <v>46132</v>
      </c>
      <c r="B580" t="s">
        <v>409</v>
      </c>
      <c r="C580" t="s">
        <v>38</v>
      </c>
      <c r="D580">
        <v>42</v>
      </c>
      <c r="F580" s="17">
        <f>IF(Log[[#This Row],[ID]]="","",IF(ISNA(MATCH(Log[[#This Row],[ID]],Items[ID],0)),"unknown ID",IF(ISNA(MATCH(Log[[#This Row],[Verb]],VerbList,0)),"unknown verb",IF(Log[[#This Row],[Date]]="","no date",""))))</f>
      </c>
      <c r="G580" s="17">
        <f>IF(Log[[#This Row],[ID]]="","",IFERROR(VLOOKUP(Log[[#This Row],[Verb]],Verbs,3,FALSE)&amp;"",""))</f>
      </c>
      <c r="H580" s="17">
        <f>IF(Log[[#This Row],[Date]]="","",INT((Log[[#This Row],[Date]]-Sprint1)/SprintDays)+1)</f>
      </c>
      <c r="I580" s="17">
        <f>IF(OR(Log[[#This Row],[Verb]]="commit",Log[[#This Row],[Verb]]="carry",Log[[#This Row],[Verb]]="redo"),IF(Log[[#This Row],[Arg]]="",Log[[#This Row],[Sprint]],N(Log[[#This Row],[Arg]])),"")</f>
      </c>
      <c r="J580" s="17">
        <f>IF(Log[[#This Row],[Verb]]="block",1,IF(OR(Log[[#This Row],[Verb]]="unblock",Log[[#This Row],[Verb]]="done",Log[[#This Row],[Verb]]="drop",Log[[#This Row],[Verb]]="punt",Log[[#This Row],[Verb]]="pass"),0,""))</f>
      </c>
      <c r="K580" s="17">
        <f>IF(Log[[#This Row],[ID]]="",0,IFERROR(INDEX(Items[Pts],MATCH(Log[[#This Row],[ID]],Items[ID],0))*1,0))</f>
      </c>
      <c r="L580" s="17">
        <f>IF(Log[[#This Row],[ID]]="","",IFERROR(INDEX(Items[Cur team],MATCH(Log[[#This Row],[ID]],Items[ID],0))&amp;"",""))</f>
      </c>
      <c r="M580" s="17">
        <f>IF(OR(Log[[#This Row],[Verb]]="done",Log[[#This Row],[Verb]]="punt",Log[[#This Row],[Verb]]="drop",Log[[#This Row],[Verb]]="pass"),Log[[#This Row],[Pts]],0)</f>
      </c>
    </row>
    <row r="581">
      <c r="A581" s="11">
        <v>46132</v>
      </c>
      <c r="B581" t="s">
        <v>345</v>
      </c>
      <c r="C581" t="s">
        <v>41</v>
      </c>
      <c r="F581" s="17">
        <f>IF(Log[[#This Row],[ID]]="","",IF(ISNA(MATCH(Log[[#This Row],[ID]],Items[ID],0)),"unknown ID",IF(ISNA(MATCH(Log[[#This Row],[Verb]],VerbList,0)),"unknown verb",IF(Log[[#This Row],[Date]]="","no date",""))))</f>
      </c>
      <c r="G581" s="17">
        <f>IF(Log[[#This Row],[ID]]="","",IFERROR(VLOOKUP(Log[[#This Row],[Verb]],Verbs,3,FALSE)&amp;"",""))</f>
      </c>
      <c r="H581" s="17">
        <f>IF(Log[[#This Row],[Date]]="","",INT((Log[[#This Row],[Date]]-Sprint1)/SprintDays)+1)</f>
      </c>
      <c r="I581" s="17">
        <f>IF(OR(Log[[#This Row],[Verb]]="commit",Log[[#This Row],[Verb]]="carry",Log[[#This Row],[Verb]]="redo"),IF(Log[[#This Row],[Arg]]="",Log[[#This Row],[Sprint]],N(Log[[#This Row],[Arg]])),"")</f>
      </c>
      <c r="J581" s="17">
        <f>IF(Log[[#This Row],[Verb]]="block",1,IF(OR(Log[[#This Row],[Verb]]="unblock",Log[[#This Row],[Verb]]="done",Log[[#This Row],[Verb]]="drop",Log[[#This Row],[Verb]]="punt",Log[[#This Row],[Verb]]="pass"),0,""))</f>
      </c>
      <c r="K581" s="17">
        <f>IF(Log[[#This Row],[ID]]="",0,IFERROR(INDEX(Items[Pts],MATCH(Log[[#This Row],[ID]],Items[ID],0))*1,0))</f>
      </c>
      <c r="L581" s="17">
        <f>IF(Log[[#This Row],[ID]]="","",IFERROR(INDEX(Items[Cur team],MATCH(Log[[#This Row],[ID]],Items[ID],0))&amp;"",""))</f>
      </c>
      <c r="M581" s="17">
        <f>IF(OR(Log[[#This Row],[Verb]]="done",Log[[#This Row],[Verb]]="punt",Log[[#This Row],[Verb]]="drop",Log[[#This Row],[Verb]]="pass"),Log[[#This Row],[Pts]],0)</f>
      </c>
    </row>
    <row r="582">
      <c r="A582" s="11">
        <v>46132</v>
      </c>
      <c r="B582" t="s">
        <v>347</v>
      </c>
      <c r="C582" t="s">
        <v>41</v>
      </c>
      <c r="F582" s="17">
        <f>IF(Log[[#This Row],[ID]]="","",IF(ISNA(MATCH(Log[[#This Row],[ID]],Items[ID],0)),"unknown ID",IF(ISNA(MATCH(Log[[#This Row],[Verb]],VerbList,0)),"unknown verb",IF(Log[[#This Row],[Date]]="","no date",""))))</f>
      </c>
      <c r="G582" s="17">
        <f>IF(Log[[#This Row],[ID]]="","",IFERROR(VLOOKUP(Log[[#This Row],[Verb]],Verbs,3,FALSE)&amp;"",""))</f>
      </c>
      <c r="H582" s="17">
        <f>IF(Log[[#This Row],[Date]]="","",INT((Log[[#This Row],[Date]]-Sprint1)/SprintDays)+1)</f>
      </c>
      <c r="I582" s="17">
        <f>IF(OR(Log[[#This Row],[Verb]]="commit",Log[[#This Row],[Verb]]="carry",Log[[#This Row],[Verb]]="redo"),IF(Log[[#This Row],[Arg]]="",Log[[#This Row],[Sprint]],N(Log[[#This Row],[Arg]])),"")</f>
      </c>
      <c r="J582" s="17">
        <f>IF(Log[[#This Row],[Verb]]="block",1,IF(OR(Log[[#This Row],[Verb]]="unblock",Log[[#This Row],[Verb]]="done",Log[[#This Row],[Verb]]="drop",Log[[#This Row],[Verb]]="punt",Log[[#This Row],[Verb]]="pass"),0,""))</f>
      </c>
      <c r="K582" s="17">
        <f>IF(Log[[#This Row],[ID]]="",0,IFERROR(INDEX(Items[Pts],MATCH(Log[[#This Row],[ID]],Items[ID],0))*1,0))</f>
      </c>
      <c r="L582" s="17">
        <f>IF(Log[[#This Row],[ID]]="","",IFERROR(INDEX(Items[Cur team],MATCH(Log[[#This Row],[ID]],Items[ID],0))&amp;"",""))</f>
      </c>
      <c r="M582" s="17">
        <f>IF(OR(Log[[#This Row],[Verb]]="done",Log[[#This Row],[Verb]]="punt",Log[[#This Row],[Verb]]="drop",Log[[#This Row],[Verb]]="pass"),Log[[#This Row],[Pts]],0)</f>
      </c>
    </row>
    <row r="583">
      <c r="A583" s="11">
        <v>46132</v>
      </c>
      <c r="B583" t="s">
        <v>410</v>
      </c>
      <c r="C583" t="s">
        <v>41</v>
      </c>
      <c r="F583" s="17">
        <f>IF(Log[[#This Row],[ID]]="","",IF(ISNA(MATCH(Log[[#This Row],[ID]],Items[ID],0)),"unknown ID",IF(ISNA(MATCH(Log[[#This Row],[Verb]],VerbList,0)),"unknown verb",IF(Log[[#This Row],[Date]]="","no date",""))))</f>
      </c>
      <c r="G583" s="17">
        <f>IF(Log[[#This Row],[ID]]="","",IFERROR(VLOOKUP(Log[[#This Row],[Verb]],Verbs,3,FALSE)&amp;"",""))</f>
      </c>
      <c r="H583" s="17">
        <f>IF(Log[[#This Row],[Date]]="","",INT((Log[[#This Row],[Date]]-Sprint1)/SprintDays)+1)</f>
      </c>
      <c r="I583" s="17">
        <f>IF(OR(Log[[#This Row],[Verb]]="commit",Log[[#This Row],[Verb]]="carry",Log[[#This Row],[Verb]]="redo"),IF(Log[[#This Row],[Arg]]="",Log[[#This Row],[Sprint]],N(Log[[#This Row],[Arg]])),"")</f>
      </c>
      <c r="J583" s="17">
        <f>IF(Log[[#This Row],[Verb]]="block",1,IF(OR(Log[[#This Row],[Verb]]="unblock",Log[[#This Row],[Verb]]="done",Log[[#This Row],[Verb]]="drop",Log[[#This Row],[Verb]]="punt",Log[[#This Row],[Verb]]="pass"),0,""))</f>
      </c>
      <c r="K583" s="17">
        <f>IF(Log[[#This Row],[ID]]="",0,IFERROR(INDEX(Items[Pts],MATCH(Log[[#This Row],[ID]],Items[ID],0))*1,0))</f>
      </c>
      <c r="L583" s="17">
        <f>IF(Log[[#This Row],[ID]]="","",IFERROR(INDEX(Items[Cur team],MATCH(Log[[#This Row],[ID]],Items[ID],0))&amp;"",""))</f>
      </c>
      <c r="M583" s="17">
        <f>IF(OR(Log[[#This Row],[Verb]]="done",Log[[#This Row],[Verb]]="punt",Log[[#This Row],[Verb]]="drop",Log[[#This Row],[Verb]]="pass"),Log[[#This Row],[Pts]],0)</f>
      </c>
    </row>
    <row r="584">
      <c r="A584" s="11">
        <v>46132</v>
      </c>
      <c r="B584" t="s">
        <v>411</v>
      </c>
      <c r="C584" t="s">
        <v>38</v>
      </c>
      <c r="D584">
        <v>42</v>
      </c>
      <c r="F584" s="17">
        <f>IF(Log[[#This Row],[ID]]="","",IF(ISNA(MATCH(Log[[#This Row],[ID]],Items[ID],0)),"unknown ID",IF(ISNA(MATCH(Log[[#This Row],[Verb]],VerbList,0)),"unknown verb",IF(Log[[#This Row],[Date]]="","no date",""))))</f>
      </c>
      <c r="G584" s="17">
        <f>IF(Log[[#This Row],[ID]]="","",IFERROR(VLOOKUP(Log[[#This Row],[Verb]],Verbs,3,FALSE)&amp;"",""))</f>
      </c>
      <c r="H584" s="17">
        <f>IF(Log[[#This Row],[Date]]="","",INT((Log[[#This Row],[Date]]-Sprint1)/SprintDays)+1)</f>
      </c>
      <c r="I584" s="17">
        <f>IF(OR(Log[[#This Row],[Verb]]="commit",Log[[#This Row],[Verb]]="carry",Log[[#This Row],[Verb]]="redo"),IF(Log[[#This Row],[Arg]]="",Log[[#This Row],[Sprint]],N(Log[[#This Row],[Arg]])),"")</f>
      </c>
      <c r="J584" s="17">
        <f>IF(Log[[#This Row],[Verb]]="block",1,IF(OR(Log[[#This Row],[Verb]]="unblock",Log[[#This Row],[Verb]]="done",Log[[#This Row],[Verb]]="drop",Log[[#This Row],[Verb]]="punt",Log[[#This Row],[Verb]]="pass"),0,""))</f>
      </c>
      <c r="K584" s="17">
        <f>IF(Log[[#This Row],[ID]]="",0,IFERROR(INDEX(Items[Pts],MATCH(Log[[#This Row],[ID]],Items[ID],0))*1,0))</f>
      </c>
      <c r="L584" s="17">
        <f>IF(Log[[#This Row],[ID]]="","",IFERROR(INDEX(Items[Cur team],MATCH(Log[[#This Row],[ID]],Items[ID],0))&amp;"",""))</f>
      </c>
      <c r="M584" s="17">
        <f>IF(OR(Log[[#This Row],[Verb]]="done",Log[[#This Row],[Verb]]="punt",Log[[#This Row],[Verb]]="drop",Log[[#This Row],[Verb]]="pass"),Log[[#This Row],[Pts]],0)</f>
      </c>
    </row>
    <row r="585">
      <c r="A585" s="11">
        <v>46132</v>
      </c>
      <c r="B585" t="s">
        <v>412</v>
      </c>
      <c r="C585" t="s">
        <v>41</v>
      </c>
      <c r="F585" s="17">
        <f>IF(Log[[#This Row],[ID]]="","",IF(ISNA(MATCH(Log[[#This Row],[ID]],Items[ID],0)),"unknown ID",IF(ISNA(MATCH(Log[[#This Row],[Verb]],VerbList,0)),"unknown verb",IF(Log[[#This Row],[Date]]="","no date",""))))</f>
      </c>
      <c r="G585" s="17">
        <f>IF(Log[[#This Row],[ID]]="","",IFERROR(VLOOKUP(Log[[#This Row],[Verb]],Verbs,3,FALSE)&amp;"",""))</f>
      </c>
      <c r="H585" s="17">
        <f>IF(Log[[#This Row],[Date]]="","",INT((Log[[#This Row],[Date]]-Sprint1)/SprintDays)+1)</f>
      </c>
      <c r="I585" s="17">
        <f>IF(OR(Log[[#This Row],[Verb]]="commit",Log[[#This Row],[Verb]]="carry",Log[[#This Row],[Verb]]="redo"),IF(Log[[#This Row],[Arg]]="",Log[[#This Row],[Sprint]],N(Log[[#This Row],[Arg]])),"")</f>
      </c>
      <c r="J585" s="17">
        <f>IF(Log[[#This Row],[Verb]]="block",1,IF(OR(Log[[#This Row],[Verb]]="unblock",Log[[#This Row],[Verb]]="done",Log[[#This Row],[Verb]]="drop",Log[[#This Row],[Verb]]="punt",Log[[#This Row],[Verb]]="pass"),0,""))</f>
      </c>
      <c r="K585" s="17">
        <f>IF(Log[[#This Row],[ID]]="",0,IFERROR(INDEX(Items[Pts],MATCH(Log[[#This Row],[ID]],Items[ID],0))*1,0))</f>
      </c>
      <c r="L585" s="17">
        <f>IF(Log[[#This Row],[ID]]="","",IFERROR(INDEX(Items[Cur team],MATCH(Log[[#This Row],[ID]],Items[ID],0))&amp;"",""))</f>
      </c>
      <c r="M585" s="17">
        <f>IF(OR(Log[[#This Row],[Verb]]="done",Log[[#This Row],[Verb]]="punt",Log[[#This Row],[Verb]]="drop",Log[[#This Row],[Verb]]="pass"),Log[[#This Row],[Pts]],0)</f>
      </c>
    </row>
    <row r="586">
      <c r="A586" s="11">
        <v>46132</v>
      </c>
      <c r="B586" t="s">
        <v>352</v>
      </c>
      <c r="C586" t="s">
        <v>38</v>
      </c>
      <c r="D586">
        <v>42</v>
      </c>
      <c r="F586" s="17">
        <f>IF(Log[[#This Row],[ID]]="","",IF(ISNA(MATCH(Log[[#This Row],[ID]],Items[ID],0)),"unknown ID",IF(ISNA(MATCH(Log[[#This Row],[Verb]],VerbList,0)),"unknown verb",IF(Log[[#This Row],[Date]]="","no date",""))))</f>
      </c>
      <c r="G586" s="17">
        <f>IF(Log[[#This Row],[ID]]="","",IFERROR(VLOOKUP(Log[[#This Row],[Verb]],Verbs,3,FALSE)&amp;"",""))</f>
      </c>
      <c r="H586" s="17">
        <f>IF(Log[[#This Row],[Date]]="","",INT((Log[[#This Row],[Date]]-Sprint1)/SprintDays)+1)</f>
      </c>
      <c r="I586" s="17">
        <f>IF(OR(Log[[#This Row],[Verb]]="commit",Log[[#This Row],[Verb]]="carry",Log[[#This Row],[Verb]]="redo"),IF(Log[[#This Row],[Arg]]="",Log[[#This Row],[Sprint]],N(Log[[#This Row],[Arg]])),"")</f>
      </c>
      <c r="J586" s="17">
        <f>IF(Log[[#This Row],[Verb]]="block",1,IF(OR(Log[[#This Row],[Verb]]="unblock",Log[[#This Row],[Verb]]="done",Log[[#This Row],[Verb]]="drop",Log[[#This Row],[Verb]]="punt",Log[[#This Row],[Verb]]="pass"),0,""))</f>
      </c>
      <c r="K586" s="17">
        <f>IF(Log[[#This Row],[ID]]="",0,IFERROR(INDEX(Items[Pts],MATCH(Log[[#This Row],[ID]],Items[ID],0))*1,0))</f>
      </c>
      <c r="L586" s="17">
        <f>IF(Log[[#This Row],[ID]]="","",IFERROR(INDEX(Items[Cur team],MATCH(Log[[#This Row],[ID]],Items[ID],0))&amp;"",""))</f>
      </c>
      <c r="M586" s="17">
        <f>IF(OR(Log[[#This Row],[Verb]]="done",Log[[#This Row],[Verb]]="punt",Log[[#This Row],[Verb]]="drop",Log[[#This Row],[Verb]]="pass"),Log[[#This Row],[Pts]],0)</f>
      </c>
    </row>
    <row r="587">
      <c r="A587" s="11">
        <v>46132</v>
      </c>
      <c r="B587" t="s">
        <v>357</v>
      </c>
      <c r="C587" t="s">
        <v>41</v>
      </c>
      <c r="F587" s="17">
        <f>IF(Log[[#This Row],[ID]]="","",IF(ISNA(MATCH(Log[[#This Row],[ID]],Items[ID],0)),"unknown ID",IF(ISNA(MATCH(Log[[#This Row],[Verb]],VerbList,0)),"unknown verb",IF(Log[[#This Row],[Date]]="","no date",""))))</f>
      </c>
      <c r="G587" s="17">
        <f>IF(Log[[#This Row],[ID]]="","",IFERROR(VLOOKUP(Log[[#This Row],[Verb]],Verbs,3,FALSE)&amp;"",""))</f>
      </c>
      <c r="H587" s="17">
        <f>IF(Log[[#This Row],[Date]]="","",INT((Log[[#This Row],[Date]]-Sprint1)/SprintDays)+1)</f>
      </c>
      <c r="I587" s="17">
        <f>IF(OR(Log[[#This Row],[Verb]]="commit",Log[[#This Row],[Verb]]="carry",Log[[#This Row],[Verb]]="redo"),IF(Log[[#This Row],[Arg]]="",Log[[#This Row],[Sprint]],N(Log[[#This Row],[Arg]])),"")</f>
      </c>
      <c r="J587" s="17">
        <f>IF(Log[[#This Row],[Verb]]="block",1,IF(OR(Log[[#This Row],[Verb]]="unblock",Log[[#This Row],[Verb]]="done",Log[[#This Row],[Verb]]="drop",Log[[#This Row],[Verb]]="punt",Log[[#This Row],[Verb]]="pass"),0,""))</f>
      </c>
      <c r="K587" s="17">
        <f>IF(Log[[#This Row],[ID]]="",0,IFERROR(INDEX(Items[Pts],MATCH(Log[[#This Row],[ID]],Items[ID],0))*1,0))</f>
      </c>
      <c r="L587" s="17">
        <f>IF(Log[[#This Row],[ID]]="","",IFERROR(INDEX(Items[Cur team],MATCH(Log[[#This Row],[ID]],Items[ID],0))&amp;"",""))</f>
      </c>
      <c r="M587" s="17">
        <f>IF(OR(Log[[#This Row],[Verb]]="done",Log[[#This Row],[Verb]]="punt",Log[[#This Row],[Verb]]="drop",Log[[#This Row],[Verb]]="pass"),Log[[#This Row],[Pts]],0)</f>
      </c>
    </row>
    <row r="588">
      <c r="A588" s="11">
        <v>46132</v>
      </c>
      <c r="B588" t="s">
        <v>358</v>
      </c>
      <c r="C588" t="s">
        <v>41</v>
      </c>
      <c r="F588" s="17">
        <f>IF(Log[[#This Row],[ID]]="","",IF(ISNA(MATCH(Log[[#This Row],[ID]],Items[ID],0)),"unknown ID",IF(ISNA(MATCH(Log[[#This Row],[Verb]],VerbList,0)),"unknown verb",IF(Log[[#This Row],[Date]]="","no date",""))))</f>
      </c>
      <c r="G588" s="17">
        <f>IF(Log[[#This Row],[ID]]="","",IFERROR(VLOOKUP(Log[[#This Row],[Verb]],Verbs,3,FALSE)&amp;"",""))</f>
      </c>
      <c r="H588" s="17">
        <f>IF(Log[[#This Row],[Date]]="","",INT((Log[[#This Row],[Date]]-Sprint1)/SprintDays)+1)</f>
      </c>
      <c r="I588" s="17">
        <f>IF(OR(Log[[#This Row],[Verb]]="commit",Log[[#This Row],[Verb]]="carry",Log[[#This Row],[Verb]]="redo"),IF(Log[[#This Row],[Arg]]="",Log[[#This Row],[Sprint]],N(Log[[#This Row],[Arg]])),"")</f>
      </c>
      <c r="J588" s="17">
        <f>IF(Log[[#This Row],[Verb]]="block",1,IF(OR(Log[[#This Row],[Verb]]="unblock",Log[[#This Row],[Verb]]="done",Log[[#This Row],[Verb]]="drop",Log[[#This Row],[Verb]]="punt",Log[[#This Row],[Verb]]="pass"),0,""))</f>
      </c>
      <c r="K588" s="17">
        <f>IF(Log[[#This Row],[ID]]="",0,IFERROR(INDEX(Items[Pts],MATCH(Log[[#This Row],[ID]],Items[ID],0))*1,0))</f>
      </c>
      <c r="L588" s="17">
        <f>IF(Log[[#This Row],[ID]]="","",IFERROR(INDEX(Items[Cur team],MATCH(Log[[#This Row],[ID]],Items[ID],0))&amp;"",""))</f>
      </c>
      <c r="M588" s="17">
        <f>IF(OR(Log[[#This Row],[Verb]]="done",Log[[#This Row],[Verb]]="punt",Log[[#This Row],[Verb]]="drop",Log[[#This Row],[Verb]]="pass"),Log[[#This Row],[Pts]],0)</f>
      </c>
    </row>
    <row r="589">
      <c r="A589" s="11">
        <v>46132</v>
      </c>
      <c r="B589" t="s">
        <v>359</v>
      </c>
      <c r="C589" t="s">
        <v>38</v>
      </c>
      <c r="D589">
        <v>42</v>
      </c>
      <c r="F589" s="17">
        <f>IF(Log[[#This Row],[ID]]="","",IF(ISNA(MATCH(Log[[#This Row],[ID]],Items[ID],0)),"unknown ID",IF(ISNA(MATCH(Log[[#This Row],[Verb]],VerbList,0)),"unknown verb",IF(Log[[#This Row],[Date]]="","no date",""))))</f>
      </c>
      <c r="G589" s="17">
        <f>IF(Log[[#This Row],[ID]]="","",IFERROR(VLOOKUP(Log[[#This Row],[Verb]],Verbs,3,FALSE)&amp;"",""))</f>
      </c>
      <c r="H589" s="17">
        <f>IF(Log[[#This Row],[Date]]="","",INT((Log[[#This Row],[Date]]-Sprint1)/SprintDays)+1)</f>
      </c>
      <c r="I589" s="17">
        <f>IF(OR(Log[[#This Row],[Verb]]="commit",Log[[#This Row],[Verb]]="carry",Log[[#This Row],[Verb]]="redo"),IF(Log[[#This Row],[Arg]]="",Log[[#This Row],[Sprint]],N(Log[[#This Row],[Arg]])),"")</f>
      </c>
      <c r="J589" s="17">
        <f>IF(Log[[#This Row],[Verb]]="block",1,IF(OR(Log[[#This Row],[Verb]]="unblock",Log[[#This Row],[Verb]]="done",Log[[#This Row],[Verb]]="drop",Log[[#This Row],[Verb]]="punt",Log[[#This Row],[Verb]]="pass"),0,""))</f>
      </c>
      <c r="K589" s="17">
        <f>IF(Log[[#This Row],[ID]]="",0,IFERROR(INDEX(Items[Pts],MATCH(Log[[#This Row],[ID]],Items[ID],0))*1,0))</f>
      </c>
      <c r="L589" s="17">
        <f>IF(Log[[#This Row],[ID]]="","",IFERROR(INDEX(Items[Cur team],MATCH(Log[[#This Row],[ID]],Items[ID],0))&amp;"",""))</f>
      </c>
      <c r="M589" s="17">
        <f>IF(OR(Log[[#This Row],[Verb]]="done",Log[[#This Row],[Verb]]="punt",Log[[#This Row],[Verb]]="drop",Log[[#This Row],[Verb]]="pass"),Log[[#This Row],[Pts]],0)</f>
      </c>
    </row>
    <row r="590">
      <c r="A590" s="11">
        <v>46132</v>
      </c>
      <c r="B590" t="s">
        <v>413</v>
      </c>
      <c r="C590" t="s">
        <v>41</v>
      </c>
      <c r="F590" s="17">
        <f>IF(Log[[#This Row],[ID]]="","",IF(ISNA(MATCH(Log[[#This Row],[ID]],Items[ID],0)),"unknown ID",IF(ISNA(MATCH(Log[[#This Row],[Verb]],VerbList,0)),"unknown verb",IF(Log[[#This Row],[Date]]="","no date",""))))</f>
      </c>
      <c r="G590" s="17">
        <f>IF(Log[[#This Row],[ID]]="","",IFERROR(VLOOKUP(Log[[#This Row],[Verb]],Verbs,3,FALSE)&amp;"",""))</f>
      </c>
      <c r="H590" s="17">
        <f>IF(Log[[#This Row],[Date]]="","",INT((Log[[#This Row],[Date]]-Sprint1)/SprintDays)+1)</f>
      </c>
      <c r="I590" s="17">
        <f>IF(OR(Log[[#This Row],[Verb]]="commit",Log[[#This Row],[Verb]]="carry",Log[[#This Row],[Verb]]="redo"),IF(Log[[#This Row],[Arg]]="",Log[[#This Row],[Sprint]],N(Log[[#This Row],[Arg]])),"")</f>
      </c>
      <c r="J590" s="17">
        <f>IF(Log[[#This Row],[Verb]]="block",1,IF(OR(Log[[#This Row],[Verb]]="unblock",Log[[#This Row],[Verb]]="done",Log[[#This Row],[Verb]]="drop",Log[[#This Row],[Verb]]="punt",Log[[#This Row],[Verb]]="pass"),0,""))</f>
      </c>
      <c r="K590" s="17">
        <f>IF(Log[[#This Row],[ID]]="",0,IFERROR(INDEX(Items[Pts],MATCH(Log[[#This Row],[ID]],Items[ID],0))*1,0))</f>
      </c>
      <c r="L590" s="17">
        <f>IF(Log[[#This Row],[ID]]="","",IFERROR(INDEX(Items[Cur team],MATCH(Log[[#This Row],[ID]],Items[ID],0))&amp;"",""))</f>
      </c>
      <c r="M590" s="17">
        <f>IF(OR(Log[[#This Row],[Verb]]="done",Log[[#This Row],[Verb]]="punt",Log[[#This Row],[Verb]]="drop",Log[[#This Row],[Verb]]="pass"),Log[[#This Row],[Pts]],0)</f>
      </c>
    </row>
    <row r="591">
      <c r="A591" s="11">
        <v>46132</v>
      </c>
      <c r="B591" t="s">
        <v>414</v>
      </c>
      <c r="C591" t="s">
        <v>41</v>
      </c>
      <c r="F591" s="17">
        <f>IF(Log[[#This Row],[ID]]="","",IF(ISNA(MATCH(Log[[#This Row],[ID]],Items[ID],0)),"unknown ID",IF(ISNA(MATCH(Log[[#This Row],[Verb]],VerbList,0)),"unknown verb",IF(Log[[#This Row],[Date]]="","no date",""))))</f>
      </c>
      <c r="G591" s="17">
        <f>IF(Log[[#This Row],[ID]]="","",IFERROR(VLOOKUP(Log[[#This Row],[Verb]],Verbs,3,FALSE)&amp;"",""))</f>
      </c>
      <c r="H591" s="17">
        <f>IF(Log[[#This Row],[Date]]="","",INT((Log[[#This Row],[Date]]-Sprint1)/SprintDays)+1)</f>
      </c>
      <c r="I591" s="17">
        <f>IF(OR(Log[[#This Row],[Verb]]="commit",Log[[#This Row],[Verb]]="carry",Log[[#This Row],[Verb]]="redo"),IF(Log[[#This Row],[Arg]]="",Log[[#This Row],[Sprint]],N(Log[[#This Row],[Arg]])),"")</f>
      </c>
      <c r="J591" s="17">
        <f>IF(Log[[#This Row],[Verb]]="block",1,IF(OR(Log[[#This Row],[Verb]]="unblock",Log[[#This Row],[Verb]]="done",Log[[#This Row],[Verb]]="drop",Log[[#This Row],[Verb]]="punt",Log[[#This Row],[Verb]]="pass"),0,""))</f>
      </c>
      <c r="K591" s="17">
        <f>IF(Log[[#This Row],[ID]]="",0,IFERROR(INDEX(Items[Pts],MATCH(Log[[#This Row],[ID]],Items[ID],0))*1,0))</f>
      </c>
      <c r="L591" s="17">
        <f>IF(Log[[#This Row],[ID]]="","",IFERROR(INDEX(Items[Cur team],MATCH(Log[[#This Row],[ID]],Items[ID],0))&amp;"",""))</f>
      </c>
      <c r="M591" s="17">
        <f>IF(OR(Log[[#This Row],[Verb]]="done",Log[[#This Row],[Verb]]="punt",Log[[#This Row],[Verb]]="drop",Log[[#This Row],[Verb]]="pass"),Log[[#This Row],[Pts]],0)</f>
      </c>
    </row>
    <row r="592">
      <c r="A592" s="11">
        <v>46132</v>
      </c>
      <c r="B592" t="s">
        <v>415</v>
      </c>
      <c r="C592" t="s">
        <v>41</v>
      </c>
      <c r="F592" s="17">
        <f>IF(Log[[#This Row],[ID]]="","",IF(ISNA(MATCH(Log[[#This Row],[ID]],Items[ID],0)),"unknown ID",IF(ISNA(MATCH(Log[[#This Row],[Verb]],VerbList,0)),"unknown verb",IF(Log[[#This Row],[Date]]="","no date",""))))</f>
      </c>
      <c r="G592" s="17">
        <f>IF(Log[[#This Row],[ID]]="","",IFERROR(VLOOKUP(Log[[#This Row],[Verb]],Verbs,3,FALSE)&amp;"",""))</f>
      </c>
      <c r="H592" s="17">
        <f>IF(Log[[#This Row],[Date]]="","",INT((Log[[#This Row],[Date]]-Sprint1)/SprintDays)+1)</f>
      </c>
      <c r="I592" s="17">
        <f>IF(OR(Log[[#This Row],[Verb]]="commit",Log[[#This Row],[Verb]]="carry",Log[[#This Row],[Verb]]="redo"),IF(Log[[#This Row],[Arg]]="",Log[[#This Row],[Sprint]],N(Log[[#This Row],[Arg]])),"")</f>
      </c>
      <c r="J592" s="17">
        <f>IF(Log[[#This Row],[Verb]]="block",1,IF(OR(Log[[#This Row],[Verb]]="unblock",Log[[#This Row],[Verb]]="done",Log[[#This Row],[Verb]]="drop",Log[[#This Row],[Verb]]="punt",Log[[#This Row],[Verb]]="pass"),0,""))</f>
      </c>
      <c r="K592" s="17">
        <f>IF(Log[[#This Row],[ID]]="",0,IFERROR(INDEX(Items[Pts],MATCH(Log[[#This Row],[ID]],Items[ID],0))*1,0))</f>
      </c>
      <c r="L592" s="17">
        <f>IF(Log[[#This Row],[ID]]="","",IFERROR(INDEX(Items[Cur team],MATCH(Log[[#This Row],[ID]],Items[ID],0))&amp;"",""))</f>
      </c>
      <c r="M592" s="17">
        <f>IF(OR(Log[[#This Row],[Verb]]="done",Log[[#This Row],[Verb]]="punt",Log[[#This Row],[Verb]]="drop",Log[[#This Row],[Verb]]="pass"),Log[[#This Row],[Pts]],0)</f>
      </c>
    </row>
    <row r="593">
      <c r="A593" s="11">
        <v>46132</v>
      </c>
      <c r="B593" t="s">
        <v>416</v>
      </c>
      <c r="C593" t="s">
        <v>41</v>
      </c>
      <c r="F593" s="17">
        <f>IF(Log[[#This Row],[ID]]="","",IF(ISNA(MATCH(Log[[#This Row],[ID]],Items[ID],0)),"unknown ID",IF(ISNA(MATCH(Log[[#This Row],[Verb]],VerbList,0)),"unknown verb",IF(Log[[#This Row],[Date]]="","no date",""))))</f>
      </c>
      <c r="G593" s="17">
        <f>IF(Log[[#This Row],[ID]]="","",IFERROR(VLOOKUP(Log[[#This Row],[Verb]],Verbs,3,FALSE)&amp;"",""))</f>
      </c>
      <c r="H593" s="17">
        <f>IF(Log[[#This Row],[Date]]="","",INT((Log[[#This Row],[Date]]-Sprint1)/SprintDays)+1)</f>
      </c>
      <c r="I593" s="17">
        <f>IF(OR(Log[[#This Row],[Verb]]="commit",Log[[#This Row],[Verb]]="carry",Log[[#This Row],[Verb]]="redo"),IF(Log[[#This Row],[Arg]]="",Log[[#This Row],[Sprint]],N(Log[[#This Row],[Arg]])),"")</f>
      </c>
      <c r="J593" s="17">
        <f>IF(Log[[#This Row],[Verb]]="block",1,IF(OR(Log[[#This Row],[Verb]]="unblock",Log[[#This Row],[Verb]]="done",Log[[#This Row],[Verb]]="drop",Log[[#This Row],[Verb]]="punt",Log[[#This Row],[Verb]]="pass"),0,""))</f>
      </c>
      <c r="K593" s="17">
        <f>IF(Log[[#This Row],[ID]]="",0,IFERROR(INDEX(Items[Pts],MATCH(Log[[#This Row],[ID]],Items[ID],0))*1,0))</f>
      </c>
      <c r="L593" s="17">
        <f>IF(Log[[#This Row],[ID]]="","",IFERROR(INDEX(Items[Cur team],MATCH(Log[[#This Row],[ID]],Items[ID],0))&amp;"",""))</f>
      </c>
      <c r="M593" s="17">
        <f>IF(OR(Log[[#This Row],[Verb]]="done",Log[[#This Row],[Verb]]="punt",Log[[#This Row],[Verb]]="drop",Log[[#This Row],[Verb]]="pass"),Log[[#This Row],[Pts]],0)</f>
      </c>
    </row>
    <row r="594">
      <c r="A594" s="11">
        <v>46132</v>
      </c>
      <c r="B594" t="s">
        <v>417</v>
      </c>
      <c r="C594" t="s">
        <v>41</v>
      </c>
      <c r="F594" s="17">
        <f>IF(Log[[#This Row],[ID]]="","",IF(ISNA(MATCH(Log[[#This Row],[ID]],Items[ID],0)),"unknown ID",IF(ISNA(MATCH(Log[[#This Row],[Verb]],VerbList,0)),"unknown verb",IF(Log[[#This Row],[Date]]="","no date",""))))</f>
      </c>
      <c r="G594" s="17">
        <f>IF(Log[[#This Row],[ID]]="","",IFERROR(VLOOKUP(Log[[#This Row],[Verb]],Verbs,3,FALSE)&amp;"",""))</f>
      </c>
      <c r="H594" s="17">
        <f>IF(Log[[#This Row],[Date]]="","",INT((Log[[#This Row],[Date]]-Sprint1)/SprintDays)+1)</f>
      </c>
      <c r="I594" s="17">
        <f>IF(OR(Log[[#This Row],[Verb]]="commit",Log[[#This Row],[Verb]]="carry",Log[[#This Row],[Verb]]="redo"),IF(Log[[#This Row],[Arg]]="",Log[[#This Row],[Sprint]],N(Log[[#This Row],[Arg]])),"")</f>
      </c>
      <c r="J594" s="17">
        <f>IF(Log[[#This Row],[Verb]]="block",1,IF(OR(Log[[#This Row],[Verb]]="unblock",Log[[#This Row],[Verb]]="done",Log[[#This Row],[Verb]]="drop",Log[[#This Row],[Verb]]="punt",Log[[#This Row],[Verb]]="pass"),0,""))</f>
      </c>
      <c r="K594" s="17">
        <f>IF(Log[[#This Row],[ID]]="",0,IFERROR(INDEX(Items[Pts],MATCH(Log[[#This Row],[ID]],Items[ID],0))*1,0))</f>
      </c>
      <c r="L594" s="17">
        <f>IF(Log[[#This Row],[ID]]="","",IFERROR(INDEX(Items[Cur team],MATCH(Log[[#This Row],[ID]],Items[ID],0))&amp;"",""))</f>
      </c>
      <c r="M594" s="17">
        <f>IF(OR(Log[[#This Row],[Verb]]="done",Log[[#This Row],[Verb]]="punt",Log[[#This Row],[Verb]]="drop",Log[[#This Row],[Verb]]="pass"),Log[[#This Row],[Pts]],0)</f>
      </c>
    </row>
    <row r="595">
      <c r="A595" s="11">
        <v>46132</v>
      </c>
      <c r="B595" t="s">
        <v>418</v>
      </c>
      <c r="C595" t="s">
        <v>41</v>
      </c>
      <c r="F595" s="17">
        <f>IF(Log[[#This Row],[ID]]="","",IF(ISNA(MATCH(Log[[#This Row],[ID]],Items[ID],0)),"unknown ID",IF(ISNA(MATCH(Log[[#This Row],[Verb]],VerbList,0)),"unknown verb",IF(Log[[#This Row],[Date]]="","no date",""))))</f>
      </c>
      <c r="G595" s="17">
        <f>IF(Log[[#This Row],[ID]]="","",IFERROR(VLOOKUP(Log[[#This Row],[Verb]],Verbs,3,FALSE)&amp;"",""))</f>
      </c>
      <c r="H595" s="17">
        <f>IF(Log[[#This Row],[Date]]="","",INT((Log[[#This Row],[Date]]-Sprint1)/SprintDays)+1)</f>
      </c>
      <c r="I595" s="17">
        <f>IF(OR(Log[[#This Row],[Verb]]="commit",Log[[#This Row],[Verb]]="carry",Log[[#This Row],[Verb]]="redo"),IF(Log[[#This Row],[Arg]]="",Log[[#This Row],[Sprint]],N(Log[[#This Row],[Arg]])),"")</f>
      </c>
      <c r="J595" s="17">
        <f>IF(Log[[#This Row],[Verb]]="block",1,IF(OR(Log[[#This Row],[Verb]]="unblock",Log[[#This Row],[Verb]]="done",Log[[#This Row],[Verb]]="drop",Log[[#This Row],[Verb]]="punt",Log[[#This Row],[Verb]]="pass"),0,""))</f>
      </c>
      <c r="K595" s="17">
        <f>IF(Log[[#This Row],[ID]]="",0,IFERROR(INDEX(Items[Pts],MATCH(Log[[#This Row],[ID]],Items[ID],0))*1,0))</f>
      </c>
      <c r="L595" s="17">
        <f>IF(Log[[#This Row],[ID]]="","",IFERROR(INDEX(Items[Cur team],MATCH(Log[[#This Row],[ID]],Items[ID],0))&amp;"",""))</f>
      </c>
      <c r="M595" s="17">
        <f>IF(OR(Log[[#This Row],[Verb]]="done",Log[[#This Row],[Verb]]="punt",Log[[#This Row],[Verb]]="drop",Log[[#This Row],[Verb]]="pass"),Log[[#This Row],[Pts]],0)</f>
      </c>
    </row>
    <row r="596">
      <c r="A596" s="11">
        <v>46132</v>
      </c>
      <c r="B596" t="s">
        <v>419</v>
      </c>
      <c r="C596" t="s">
        <v>41</v>
      </c>
      <c r="F596" s="17">
        <f>IF(Log[[#This Row],[ID]]="","",IF(ISNA(MATCH(Log[[#This Row],[ID]],Items[ID],0)),"unknown ID",IF(ISNA(MATCH(Log[[#This Row],[Verb]],VerbList,0)),"unknown verb",IF(Log[[#This Row],[Date]]="","no date",""))))</f>
      </c>
      <c r="G596" s="17">
        <f>IF(Log[[#This Row],[ID]]="","",IFERROR(VLOOKUP(Log[[#This Row],[Verb]],Verbs,3,FALSE)&amp;"",""))</f>
      </c>
      <c r="H596" s="17">
        <f>IF(Log[[#This Row],[Date]]="","",INT((Log[[#This Row],[Date]]-Sprint1)/SprintDays)+1)</f>
      </c>
      <c r="I596" s="17">
        <f>IF(OR(Log[[#This Row],[Verb]]="commit",Log[[#This Row],[Verb]]="carry",Log[[#This Row],[Verb]]="redo"),IF(Log[[#This Row],[Arg]]="",Log[[#This Row],[Sprint]],N(Log[[#This Row],[Arg]])),"")</f>
      </c>
      <c r="J596" s="17">
        <f>IF(Log[[#This Row],[Verb]]="block",1,IF(OR(Log[[#This Row],[Verb]]="unblock",Log[[#This Row],[Verb]]="done",Log[[#This Row],[Verb]]="drop",Log[[#This Row],[Verb]]="punt",Log[[#This Row],[Verb]]="pass"),0,""))</f>
      </c>
      <c r="K596" s="17">
        <f>IF(Log[[#This Row],[ID]]="",0,IFERROR(INDEX(Items[Pts],MATCH(Log[[#This Row],[ID]],Items[ID],0))*1,0))</f>
      </c>
      <c r="L596" s="17">
        <f>IF(Log[[#This Row],[ID]]="","",IFERROR(INDEX(Items[Cur team],MATCH(Log[[#This Row],[ID]],Items[ID],0))&amp;"",""))</f>
      </c>
      <c r="M596" s="17">
        <f>IF(OR(Log[[#This Row],[Verb]]="done",Log[[#This Row],[Verb]]="punt",Log[[#This Row],[Verb]]="drop",Log[[#This Row],[Verb]]="pass"),Log[[#This Row],[Pts]],0)</f>
      </c>
    </row>
    <row r="597">
      <c r="A597" s="11">
        <v>46132</v>
      </c>
      <c r="B597" t="s">
        <v>420</v>
      </c>
      <c r="C597" t="s">
        <v>38</v>
      </c>
      <c r="D597">
        <v>42</v>
      </c>
      <c r="F597" s="17">
        <f>IF(Log[[#This Row],[ID]]="","",IF(ISNA(MATCH(Log[[#This Row],[ID]],Items[ID],0)),"unknown ID",IF(ISNA(MATCH(Log[[#This Row],[Verb]],VerbList,0)),"unknown verb",IF(Log[[#This Row],[Date]]="","no date",""))))</f>
      </c>
      <c r="G597" s="17">
        <f>IF(Log[[#This Row],[ID]]="","",IFERROR(VLOOKUP(Log[[#This Row],[Verb]],Verbs,3,FALSE)&amp;"",""))</f>
      </c>
      <c r="H597" s="17">
        <f>IF(Log[[#This Row],[Date]]="","",INT((Log[[#This Row],[Date]]-Sprint1)/SprintDays)+1)</f>
      </c>
      <c r="I597" s="17">
        <f>IF(OR(Log[[#This Row],[Verb]]="commit",Log[[#This Row],[Verb]]="carry",Log[[#This Row],[Verb]]="redo"),IF(Log[[#This Row],[Arg]]="",Log[[#This Row],[Sprint]],N(Log[[#This Row],[Arg]])),"")</f>
      </c>
      <c r="J597" s="17">
        <f>IF(Log[[#This Row],[Verb]]="block",1,IF(OR(Log[[#This Row],[Verb]]="unblock",Log[[#This Row],[Verb]]="done",Log[[#This Row],[Verb]]="drop",Log[[#This Row],[Verb]]="punt",Log[[#This Row],[Verb]]="pass"),0,""))</f>
      </c>
      <c r="K597" s="17">
        <f>IF(Log[[#This Row],[ID]]="",0,IFERROR(INDEX(Items[Pts],MATCH(Log[[#This Row],[ID]],Items[ID],0))*1,0))</f>
      </c>
      <c r="L597" s="17">
        <f>IF(Log[[#This Row],[ID]]="","",IFERROR(INDEX(Items[Cur team],MATCH(Log[[#This Row],[ID]],Items[ID],0))&amp;"",""))</f>
      </c>
      <c r="M597" s="17">
        <f>IF(OR(Log[[#This Row],[Verb]]="done",Log[[#This Row],[Verb]]="punt",Log[[#This Row],[Verb]]="drop",Log[[#This Row],[Verb]]="pass"),Log[[#This Row],[Pts]],0)</f>
      </c>
    </row>
    <row r="598">
      <c r="A598" s="11">
        <v>46132</v>
      </c>
      <c r="B598" t="s">
        <v>421</v>
      </c>
      <c r="C598" t="s">
        <v>41</v>
      </c>
      <c r="F598" s="17">
        <f>IF(Log[[#This Row],[ID]]="","",IF(ISNA(MATCH(Log[[#This Row],[ID]],Items[ID],0)),"unknown ID",IF(ISNA(MATCH(Log[[#This Row],[Verb]],VerbList,0)),"unknown verb",IF(Log[[#This Row],[Date]]="","no date",""))))</f>
      </c>
      <c r="G598" s="17">
        <f>IF(Log[[#This Row],[ID]]="","",IFERROR(VLOOKUP(Log[[#This Row],[Verb]],Verbs,3,FALSE)&amp;"",""))</f>
      </c>
      <c r="H598" s="17">
        <f>IF(Log[[#This Row],[Date]]="","",INT((Log[[#This Row],[Date]]-Sprint1)/SprintDays)+1)</f>
      </c>
      <c r="I598" s="17">
        <f>IF(OR(Log[[#This Row],[Verb]]="commit",Log[[#This Row],[Verb]]="carry",Log[[#This Row],[Verb]]="redo"),IF(Log[[#This Row],[Arg]]="",Log[[#This Row],[Sprint]],N(Log[[#This Row],[Arg]])),"")</f>
      </c>
      <c r="J598" s="17">
        <f>IF(Log[[#This Row],[Verb]]="block",1,IF(OR(Log[[#This Row],[Verb]]="unblock",Log[[#This Row],[Verb]]="done",Log[[#This Row],[Verb]]="drop",Log[[#This Row],[Verb]]="punt",Log[[#This Row],[Verb]]="pass"),0,""))</f>
      </c>
      <c r="K598" s="17">
        <f>IF(Log[[#This Row],[ID]]="",0,IFERROR(INDEX(Items[Pts],MATCH(Log[[#This Row],[ID]],Items[ID],0))*1,0))</f>
      </c>
      <c r="L598" s="17">
        <f>IF(Log[[#This Row],[ID]]="","",IFERROR(INDEX(Items[Cur team],MATCH(Log[[#This Row],[ID]],Items[ID],0))&amp;"",""))</f>
      </c>
      <c r="M598" s="17">
        <f>IF(OR(Log[[#This Row],[Verb]]="done",Log[[#This Row],[Verb]]="punt",Log[[#This Row],[Verb]]="drop",Log[[#This Row],[Verb]]="pass"),Log[[#This Row],[Pts]],0)</f>
      </c>
    </row>
    <row r="599">
      <c r="A599" s="11">
        <v>46132</v>
      </c>
      <c r="B599" t="s">
        <v>422</v>
      </c>
      <c r="C599" t="s">
        <v>41</v>
      </c>
      <c r="F599" s="17">
        <f>IF(Log[[#This Row],[ID]]="","",IF(ISNA(MATCH(Log[[#This Row],[ID]],Items[ID],0)),"unknown ID",IF(ISNA(MATCH(Log[[#This Row],[Verb]],VerbList,0)),"unknown verb",IF(Log[[#This Row],[Date]]="","no date",""))))</f>
      </c>
      <c r="G599" s="17">
        <f>IF(Log[[#This Row],[ID]]="","",IFERROR(VLOOKUP(Log[[#This Row],[Verb]],Verbs,3,FALSE)&amp;"",""))</f>
      </c>
      <c r="H599" s="17">
        <f>IF(Log[[#This Row],[Date]]="","",INT((Log[[#This Row],[Date]]-Sprint1)/SprintDays)+1)</f>
      </c>
      <c r="I599" s="17">
        <f>IF(OR(Log[[#This Row],[Verb]]="commit",Log[[#This Row],[Verb]]="carry",Log[[#This Row],[Verb]]="redo"),IF(Log[[#This Row],[Arg]]="",Log[[#This Row],[Sprint]],N(Log[[#This Row],[Arg]])),"")</f>
      </c>
      <c r="J599" s="17">
        <f>IF(Log[[#This Row],[Verb]]="block",1,IF(OR(Log[[#This Row],[Verb]]="unblock",Log[[#This Row],[Verb]]="done",Log[[#This Row],[Verb]]="drop",Log[[#This Row],[Verb]]="punt",Log[[#This Row],[Verb]]="pass"),0,""))</f>
      </c>
      <c r="K599" s="17">
        <f>IF(Log[[#This Row],[ID]]="",0,IFERROR(INDEX(Items[Pts],MATCH(Log[[#This Row],[ID]],Items[ID],0))*1,0))</f>
      </c>
      <c r="L599" s="17">
        <f>IF(Log[[#This Row],[ID]]="","",IFERROR(INDEX(Items[Cur team],MATCH(Log[[#This Row],[ID]],Items[ID],0))&amp;"",""))</f>
      </c>
      <c r="M599" s="17">
        <f>IF(OR(Log[[#This Row],[Verb]]="done",Log[[#This Row],[Verb]]="punt",Log[[#This Row],[Verb]]="drop",Log[[#This Row],[Verb]]="pass"),Log[[#This Row],[Pts]],0)</f>
      </c>
    </row>
    <row r="600">
      <c r="A600" s="11">
        <v>46132</v>
      </c>
      <c r="B600" t="s">
        <v>369</v>
      </c>
      <c r="C600" t="s">
        <v>41</v>
      </c>
      <c r="F600" s="17">
        <f>IF(Log[[#This Row],[ID]]="","",IF(ISNA(MATCH(Log[[#This Row],[ID]],Items[ID],0)),"unknown ID",IF(ISNA(MATCH(Log[[#This Row],[Verb]],VerbList,0)),"unknown verb",IF(Log[[#This Row],[Date]]="","no date",""))))</f>
      </c>
      <c r="G600" s="17">
        <f>IF(Log[[#This Row],[ID]]="","",IFERROR(VLOOKUP(Log[[#This Row],[Verb]],Verbs,3,FALSE)&amp;"",""))</f>
      </c>
      <c r="H600" s="17">
        <f>IF(Log[[#This Row],[Date]]="","",INT((Log[[#This Row],[Date]]-Sprint1)/SprintDays)+1)</f>
      </c>
      <c r="I600" s="17">
        <f>IF(OR(Log[[#This Row],[Verb]]="commit",Log[[#This Row],[Verb]]="carry",Log[[#This Row],[Verb]]="redo"),IF(Log[[#This Row],[Arg]]="",Log[[#This Row],[Sprint]],N(Log[[#This Row],[Arg]])),"")</f>
      </c>
      <c r="J600" s="17">
        <f>IF(Log[[#This Row],[Verb]]="block",1,IF(OR(Log[[#This Row],[Verb]]="unblock",Log[[#This Row],[Verb]]="done",Log[[#This Row],[Verb]]="drop",Log[[#This Row],[Verb]]="punt",Log[[#This Row],[Verb]]="pass"),0,""))</f>
      </c>
      <c r="K600" s="17">
        <f>IF(Log[[#This Row],[ID]]="",0,IFERROR(INDEX(Items[Pts],MATCH(Log[[#This Row],[ID]],Items[ID],0))*1,0))</f>
      </c>
      <c r="L600" s="17">
        <f>IF(Log[[#This Row],[ID]]="","",IFERROR(INDEX(Items[Cur team],MATCH(Log[[#This Row],[ID]],Items[ID],0))&amp;"",""))</f>
      </c>
      <c r="M600" s="17">
        <f>IF(OR(Log[[#This Row],[Verb]]="done",Log[[#This Row],[Verb]]="punt",Log[[#This Row],[Verb]]="drop",Log[[#This Row],[Verb]]="pass"),Log[[#This Row],[Pts]],0)</f>
      </c>
    </row>
    <row r="601">
      <c r="A601" s="11">
        <v>46132</v>
      </c>
      <c r="B601" t="s">
        <v>372</v>
      </c>
      <c r="C601" t="s">
        <v>41</v>
      </c>
      <c r="F601" s="17">
        <f>IF(Log[[#This Row],[ID]]="","",IF(ISNA(MATCH(Log[[#This Row],[ID]],Items[ID],0)),"unknown ID",IF(ISNA(MATCH(Log[[#This Row],[Verb]],VerbList,0)),"unknown verb",IF(Log[[#This Row],[Date]]="","no date",""))))</f>
      </c>
      <c r="G601" s="17">
        <f>IF(Log[[#This Row],[ID]]="","",IFERROR(VLOOKUP(Log[[#This Row],[Verb]],Verbs,3,FALSE)&amp;"",""))</f>
      </c>
      <c r="H601" s="17">
        <f>IF(Log[[#This Row],[Date]]="","",INT((Log[[#This Row],[Date]]-Sprint1)/SprintDays)+1)</f>
      </c>
      <c r="I601" s="17">
        <f>IF(OR(Log[[#This Row],[Verb]]="commit",Log[[#This Row],[Verb]]="carry",Log[[#This Row],[Verb]]="redo"),IF(Log[[#This Row],[Arg]]="",Log[[#This Row],[Sprint]],N(Log[[#This Row],[Arg]])),"")</f>
      </c>
      <c r="J601" s="17">
        <f>IF(Log[[#This Row],[Verb]]="block",1,IF(OR(Log[[#This Row],[Verb]]="unblock",Log[[#This Row],[Verb]]="done",Log[[#This Row],[Verb]]="drop",Log[[#This Row],[Verb]]="punt",Log[[#This Row],[Verb]]="pass"),0,""))</f>
      </c>
      <c r="K601" s="17">
        <f>IF(Log[[#This Row],[ID]]="",0,IFERROR(INDEX(Items[Pts],MATCH(Log[[#This Row],[ID]],Items[ID],0))*1,0))</f>
      </c>
      <c r="L601" s="17">
        <f>IF(Log[[#This Row],[ID]]="","",IFERROR(INDEX(Items[Cur team],MATCH(Log[[#This Row],[ID]],Items[ID],0))&amp;"",""))</f>
      </c>
      <c r="M601" s="17">
        <f>IF(OR(Log[[#This Row],[Verb]]="done",Log[[#This Row],[Verb]]="punt",Log[[#This Row],[Verb]]="drop",Log[[#This Row],[Verb]]="pass"),Log[[#This Row],[Pts]],0)</f>
      </c>
    </row>
    <row r="602">
      <c r="A602" s="11">
        <v>46132</v>
      </c>
      <c r="B602" t="s">
        <v>423</v>
      </c>
      <c r="C602" t="s">
        <v>41</v>
      </c>
      <c r="F602" s="17">
        <f>IF(Log[[#This Row],[ID]]="","",IF(ISNA(MATCH(Log[[#This Row],[ID]],Items[ID],0)),"unknown ID",IF(ISNA(MATCH(Log[[#This Row],[Verb]],VerbList,0)),"unknown verb",IF(Log[[#This Row],[Date]]="","no date",""))))</f>
      </c>
      <c r="G602" s="17">
        <f>IF(Log[[#This Row],[ID]]="","",IFERROR(VLOOKUP(Log[[#This Row],[Verb]],Verbs,3,FALSE)&amp;"",""))</f>
      </c>
      <c r="H602" s="17">
        <f>IF(Log[[#This Row],[Date]]="","",INT((Log[[#This Row],[Date]]-Sprint1)/SprintDays)+1)</f>
      </c>
      <c r="I602" s="17">
        <f>IF(OR(Log[[#This Row],[Verb]]="commit",Log[[#This Row],[Verb]]="carry",Log[[#This Row],[Verb]]="redo"),IF(Log[[#This Row],[Arg]]="",Log[[#This Row],[Sprint]],N(Log[[#This Row],[Arg]])),"")</f>
      </c>
      <c r="J602" s="17">
        <f>IF(Log[[#This Row],[Verb]]="block",1,IF(OR(Log[[#This Row],[Verb]]="unblock",Log[[#This Row],[Verb]]="done",Log[[#This Row],[Verb]]="drop",Log[[#This Row],[Verb]]="punt",Log[[#This Row],[Verb]]="pass"),0,""))</f>
      </c>
      <c r="K602" s="17">
        <f>IF(Log[[#This Row],[ID]]="",0,IFERROR(INDEX(Items[Pts],MATCH(Log[[#This Row],[ID]],Items[ID],0))*1,0))</f>
      </c>
      <c r="L602" s="17">
        <f>IF(Log[[#This Row],[ID]]="","",IFERROR(INDEX(Items[Cur team],MATCH(Log[[#This Row],[ID]],Items[ID],0))&amp;"",""))</f>
      </c>
      <c r="M602" s="17">
        <f>IF(OR(Log[[#This Row],[Verb]]="done",Log[[#This Row],[Verb]]="punt",Log[[#This Row],[Verb]]="drop",Log[[#This Row],[Verb]]="pass"),Log[[#This Row],[Pts]],0)</f>
      </c>
    </row>
    <row r="603">
      <c r="A603" s="11">
        <v>46132</v>
      </c>
      <c r="B603" t="s">
        <v>424</v>
      </c>
      <c r="C603" t="s">
        <v>41</v>
      </c>
      <c r="F603" s="17">
        <f>IF(Log[[#This Row],[ID]]="","",IF(ISNA(MATCH(Log[[#This Row],[ID]],Items[ID],0)),"unknown ID",IF(ISNA(MATCH(Log[[#This Row],[Verb]],VerbList,0)),"unknown verb",IF(Log[[#This Row],[Date]]="","no date",""))))</f>
      </c>
      <c r="G603" s="17">
        <f>IF(Log[[#This Row],[ID]]="","",IFERROR(VLOOKUP(Log[[#This Row],[Verb]],Verbs,3,FALSE)&amp;"",""))</f>
      </c>
      <c r="H603" s="17">
        <f>IF(Log[[#This Row],[Date]]="","",INT((Log[[#This Row],[Date]]-Sprint1)/SprintDays)+1)</f>
      </c>
      <c r="I603" s="17">
        <f>IF(OR(Log[[#This Row],[Verb]]="commit",Log[[#This Row],[Verb]]="carry",Log[[#This Row],[Verb]]="redo"),IF(Log[[#This Row],[Arg]]="",Log[[#This Row],[Sprint]],N(Log[[#This Row],[Arg]])),"")</f>
      </c>
      <c r="J603" s="17">
        <f>IF(Log[[#This Row],[Verb]]="block",1,IF(OR(Log[[#This Row],[Verb]]="unblock",Log[[#This Row],[Verb]]="done",Log[[#This Row],[Verb]]="drop",Log[[#This Row],[Verb]]="punt",Log[[#This Row],[Verb]]="pass"),0,""))</f>
      </c>
      <c r="K603" s="17">
        <f>IF(Log[[#This Row],[ID]]="",0,IFERROR(INDEX(Items[Pts],MATCH(Log[[#This Row],[ID]],Items[ID],0))*1,0))</f>
      </c>
      <c r="L603" s="17">
        <f>IF(Log[[#This Row],[ID]]="","",IFERROR(INDEX(Items[Cur team],MATCH(Log[[#This Row],[ID]],Items[ID],0))&amp;"",""))</f>
      </c>
      <c r="M603" s="17">
        <f>IF(OR(Log[[#This Row],[Verb]]="done",Log[[#This Row],[Verb]]="punt",Log[[#This Row],[Verb]]="drop",Log[[#This Row],[Verb]]="pass"),Log[[#This Row],[Pts]],0)</f>
      </c>
    </row>
    <row r="604">
      <c r="A604" s="11">
        <v>46132</v>
      </c>
      <c r="B604" t="s">
        <v>425</v>
      </c>
      <c r="C604" t="s">
        <v>41</v>
      </c>
      <c r="F604" s="17">
        <f>IF(Log[[#This Row],[ID]]="","",IF(ISNA(MATCH(Log[[#This Row],[ID]],Items[ID],0)),"unknown ID",IF(ISNA(MATCH(Log[[#This Row],[Verb]],VerbList,0)),"unknown verb",IF(Log[[#This Row],[Date]]="","no date",""))))</f>
      </c>
      <c r="G604" s="17">
        <f>IF(Log[[#This Row],[ID]]="","",IFERROR(VLOOKUP(Log[[#This Row],[Verb]],Verbs,3,FALSE)&amp;"",""))</f>
      </c>
      <c r="H604" s="17">
        <f>IF(Log[[#This Row],[Date]]="","",INT((Log[[#This Row],[Date]]-Sprint1)/SprintDays)+1)</f>
      </c>
      <c r="I604" s="17">
        <f>IF(OR(Log[[#This Row],[Verb]]="commit",Log[[#This Row],[Verb]]="carry",Log[[#This Row],[Verb]]="redo"),IF(Log[[#This Row],[Arg]]="",Log[[#This Row],[Sprint]],N(Log[[#This Row],[Arg]])),"")</f>
      </c>
      <c r="J604" s="17">
        <f>IF(Log[[#This Row],[Verb]]="block",1,IF(OR(Log[[#This Row],[Verb]]="unblock",Log[[#This Row],[Verb]]="done",Log[[#This Row],[Verb]]="drop",Log[[#This Row],[Verb]]="punt",Log[[#This Row],[Verb]]="pass"),0,""))</f>
      </c>
      <c r="K604" s="17">
        <f>IF(Log[[#This Row],[ID]]="",0,IFERROR(INDEX(Items[Pts],MATCH(Log[[#This Row],[ID]],Items[ID],0))*1,0))</f>
      </c>
      <c r="L604" s="17">
        <f>IF(Log[[#This Row],[ID]]="","",IFERROR(INDEX(Items[Cur team],MATCH(Log[[#This Row],[ID]],Items[ID],0))&amp;"",""))</f>
      </c>
      <c r="M604" s="17">
        <f>IF(OR(Log[[#This Row],[Verb]]="done",Log[[#This Row],[Verb]]="punt",Log[[#This Row],[Verb]]="drop",Log[[#This Row],[Verb]]="pass"),Log[[#This Row],[Pts]],0)</f>
      </c>
    </row>
    <row r="605">
      <c r="A605" s="11">
        <v>46132</v>
      </c>
      <c r="B605" t="s">
        <v>426</v>
      </c>
      <c r="C605" t="s">
        <v>41</v>
      </c>
      <c r="F605" s="17">
        <f>IF(Log[[#This Row],[ID]]="","",IF(ISNA(MATCH(Log[[#This Row],[ID]],Items[ID],0)),"unknown ID",IF(ISNA(MATCH(Log[[#This Row],[Verb]],VerbList,0)),"unknown verb",IF(Log[[#This Row],[Date]]="","no date",""))))</f>
      </c>
      <c r="G605" s="17">
        <f>IF(Log[[#This Row],[ID]]="","",IFERROR(VLOOKUP(Log[[#This Row],[Verb]],Verbs,3,FALSE)&amp;"",""))</f>
      </c>
      <c r="H605" s="17">
        <f>IF(Log[[#This Row],[Date]]="","",INT((Log[[#This Row],[Date]]-Sprint1)/SprintDays)+1)</f>
      </c>
      <c r="I605" s="17">
        <f>IF(OR(Log[[#This Row],[Verb]]="commit",Log[[#This Row],[Verb]]="carry",Log[[#This Row],[Verb]]="redo"),IF(Log[[#This Row],[Arg]]="",Log[[#This Row],[Sprint]],N(Log[[#This Row],[Arg]])),"")</f>
      </c>
      <c r="J605" s="17">
        <f>IF(Log[[#This Row],[Verb]]="block",1,IF(OR(Log[[#This Row],[Verb]]="unblock",Log[[#This Row],[Verb]]="done",Log[[#This Row],[Verb]]="drop",Log[[#This Row],[Verb]]="punt",Log[[#This Row],[Verb]]="pass"),0,""))</f>
      </c>
      <c r="K605" s="17">
        <f>IF(Log[[#This Row],[ID]]="",0,IFERROR(INDEX(Items[Pts],MATCH(Log[[#This Row],[ID]],Items[ID],0))*1,0))</f>
      </c>
      <c r="L605" s="17">
        <f>IF(Log[[#This Row],[ID]]="","",IFERROR(INDEX(Items[Cur team],MATCH(Log[[#This Row],[ID]],Items[ID],0))&amp;"",""))</f>
      </c>
      <c r="M605" s="17">
        <f>IF(OR(Log[[#This Row],[Verb]]="done",Log[[#This Row],[Verb]]="punt",Log[[#This Row],[Verb]]="drop",Log[[#This Row],[Verb]]="pass"),Log[[#This Row],[Pts]],0)</f>
      </c>
    </row>
    <row r="606">
      <c r="A606" s="11">
        <v>46132</v>
      </c>
      <c r="B606" t="s">
        <v>427</v>
      </c>
      <c r="C606" t="s">
        <v>41</v>
      </c>
      <c r="F606" s="17">
        <f>IF(Log[[#This Row],[ID]]="","",IF(ISNA(MATCH(Log[[#This Row],[ID]],Items[ID],0)),"unknown ID",IF(ISNA(MATCH(Log[[#This Row],[Verb]],VerbList,0)),"unknown verb",IF(Log[[#This Row],[Date]]="","no date",""))))</f>
      </c>
      <c r="G606" s="17">
        <f>IF(Log[[#This Row],[ID]]="","",IFERROR(VLOOKUP(Log[[#This Row],[Verb]],Verbs,3,FALSE)&amp;"",""))</f>
      </c>
      <c r="H606" s="17">
        <f>IF(Log[[#This Row],[Date]]="","",INT((Log[[#This Row],[Date]]-Sprint1)/SprintDays)+1)</f>
      </c>
      <c r="I606" s="17">
        <f>IF(OR(Log[[#This Row],[Verb]]="commit",Log[[#This Row],[Verb]]="carry",Log[[#This Row],[Verb]]="redo"),IF(Log[[#This Row],[Arg]]="",Log[[#This Row],[Sprint]],N(Log[[#This Row],[Arg]])),"")</f>
      </c>
      <c r="J606" s="17">
        <f>IF(Log[[#This Row],[Verb]]="block",1,IF(OR(Log[[#This Row],[Verb]]="unblock",Log[[#This Row],[Verb]]="done",Log[[#This Row],[Verb]]="drop",Log[[#This Row],[Verb]]="punt",Log[[#This Row],[Verb]]="pass"),0,""))</f>
      </c>
      <c r="K606" s="17">
        <f>IF(Log[[#This Row],[ID]]="",0,IFERROR(INDEX(Items[Pts],MATCH(Log[[#This Row],[ID]],Items[ID],0))*1,0))</f>
      </c>
      <c r="L606" s="17">
        <f>IF(Log[[#This Row],[ID]]="","",IFERROR(INDEX(Items[Cur team],MATCH(Log[[#This Row],[ID]],Items[ID],0))&amp;"",""))</f>
      </c>
      <c r="M606" s="17">
        <f>IF(OR(Log[[#This Row],[Verb]]="done",Log[[#This Row],[Verb]]="punt",Log[[#This Row],[Verb]]="drop",Log[[#This Row],[Verb]]="pass"),Log[[#This Row],[Pts]],0)</f>
      </c>
    </row>
    <row r="607">
      <c r="A607" s="11">
        <v>46132</v>
      </c>
      <c r="B607" t="s">
        <v>428</v>
      </c>
      <c r="C607" t="s">
        <v>41</v>
      </c>
      <c r="F607" s="17">
        <f>IF(Log[[#This Row],[ID]]="","",IF(ISNA(MATCH(Log[[#This Row],[ID]],Items[ID],0)),"unknown ID",IF(ISNA(MATCH(Log[[#This Row],[Verb]],VerbList,0)),"unknown verb",IF(Log[[#This Row],[Date]]="","no date",""))))</f>
      </c>
      <c r="G607" s="17">
        <f>IF(Log[[#This Row],[ID]]="","",IFERROR(VLOOKUP(Log[[#This Row],[Verb]],Verbs,3,FALSE)&amp;"",""))</f>
      </c>
      <c r="H607" s="17">
        <f>IF(Log[[#This Row],[Date]]="","",INT((Log[[#This Row],[Date]]-Sprint1)/SprintDays)+1)</f>
      </c>
      <c r="I607" s="17">
        <f>IF(OR(Log[[#This Row],[Verb]]="commit",Log[[#This Row],[Verb]]="carry",Log[[#This Row],[Verb]]="redo"),IF(Log[[#This Row],[Arg]]="",Log[[#This Row],[Sprint]],N(Log[[#This Row],[Arg]])),"")</f>
      </c>
      <c r="J607" s="17">
        <f>IF(Log[[#This Row],[Verb]]="block",1,IF(OR(Log[[#This Row],[Verb]]="unblock",Log[[#This Row],[Verb]]="done",Log[[#This Row],[Verb]]="drop",Log[[#This Row],[Verb]]="punt",Log[[#This Row],[Verb]]="pass"),0,""))</f>
      </c>
      <c r="K607" s="17">
        <f>IF(Log[[#This Row],[ID]]="",0,IFERROR(INDEX(Items[Pts],MATCH(Log[[#This Row],[ID]],Items[ID],0))*1,0))</f>
      </c>
      <c r="L607" s="17">
        <f>IF(Log[[#This Row],[ID]]="","",IFERROR(INDEX(Items[Cur team],MATCH(Log[[#This Row],[ID]],Items[ID],0))&amp;"",""))</f>
      </c>
      <c r="M607" s="17">
        <f>IF(OR(Log[[#This Row],[Verb]]="done",Log[[#This Row],[Verb]]="punt",Log[[#This Row],[Verb]]="drop",Log[[#This Row],[Verb]]="pass"),Log[[#This Row],[Pts]],0)</f>
      </c>
    </row>
    <row r="608">
      <c r="A608" s="11">
        <v>46133</v>
      </c>
      <c r="B608" t="s">
        <v>430</v>
      </c>
      <c r="C608" t="s">
        <v>34</v>
      </c>
      <c r="D608">
        <v>42</v>
      </c>
      <c r="F608" s="17">
        <f>IF(Log[[#This Row],[ID]]="","",IF(ISNA(MATCH(Log[[#This Row],[ID]],Items[ID],0)),"unknown ID",IF(ISNA(MATCH(Log[[#This Row],[Verb]],VerbList,0)),"unknown verb",IF(Log[[#This Row],[Date]]="","no date",""))))</f>
      </c>
      <c r="G608" s="17">
        <f>IF(Log[[#This Row],[ID]]="","",IFERROR(VLOOKUP(Log[[#This Row],[Verb]],Verbs,3,FALSE)&amp;"",""))</f>
      </c>
      <c r="H608" s="17">
        <f>IF(Log[[#This Row],[Date]]="","",INT((Log[[#This Row],[Date]]-Sprint1)/SprintDays)+1)</f>
      </c>
      <c r="I608" s="17">
        <f>IF(OR(Log[[#This Row],[Verb]]="commit",Log[[#This Row],[Verb]]="carry",Log[[#This Row],[Verb]]="redo"),IF(Log[[#This Row],[Arg]]="",Log[[#This Row],[Sprint]],N(Log[[#This Row],[Arg]])),"")</f>
      </c>
      <c r="J608" s="17">
        <f>IF(Log[[#This Row],[Verb]]="block",1,IF(OR(Log[[#This Row],[Verb]]="unblock",Log[[#This Row],[Verb]]="done",Log[[#This Row],[Verb]]="drop",Log[[#This Row],[Verb]]="punt",Log[[#This Row],[Verb]]="pass"),0,""))</f>
      </c>
      <c r="K608" s="17">
        <f>IF(Log[[#This Row],[ID]]="",0,IFERROR(INDEX(Items[Pts],MATCH(Log[[#This Row],[ID]],Items[ID],0))*1,0))</f>
      </c>
      <c r="L608" s="17">
        <f>IF(Log[[#This Row],[ID]]="","",IFERROR(INDEX(Items[Cur team],MATCH(Log[[#This Row],[ID]],Items[ID],0))&amp;"",""))</f>
      </c>
      <c r="M608" s="17">
        <f>IF(OR(Log[[#This Row],[Verb]]="done",Log[[#This Row],[Verb]]="punt",Log[[#This Row],[Verb]]="drop",Log[[#This Row],[Verb]]="pass"),Log[[#This Row],[Pts]],0)</f>
      </c>
    </row>
    <row r="609">
      <c r="A609" s="11">
        <v>46133</v>
      </c>
      <c r="B609" t="s">
        <v>431</v>
      </c>
      <c r="C609" t="s">
        <v>34</v>
      </c>
      <c r="D609">
        <v>42</v>
      </c>
      <c r="F609" s="17">
        <f>IF(Log[[#This Row],[ID]]="","",IF(ISNA(MATCH(Log[[#This Row],[ID]],Items[ID],0)),"unknown ID",IF(ISNA(MATCH(Log[[#This Row],[Verb]],VerbList,0)),"unknown verb",IF(Log[[#This Row],[Date]]="","no date",""))))</f>
      </c>
      <c r="G609" s="17">
        <f>IF(Log[[#This Row],[ID]]="","",IFERROR(VLOOKUP(Log[[#This Row],[Verb]],Verbs,3,FALSE)&amp;"",""))</f>
      </c>
      <c r="H609" s="17">
        <f>IF(Log[[#This Row],[Date]]="","",INT((Log[[#This Row],[Date]]-Sprint1)/SprintDays)+1)</f>
      </c>
      <c r="I609" s="17">
        <f>IF(OR(Log[[#This Row],[Verb]]="commit",Log[[#This Row],[Verb]]="carry",Log[[#This Row],[Verb]]="redo"),IF(Log[[#This Row],[Arg]]="",Log[[#This Row],[Sprint]],N(Log[[#This Row],[Arg]])),"")</f>
      </c>
      <c r="J609" s="17">
        <f>IF(Log[[#This Row],[Verb]]="block",1,IF(OR(Log[[#This Row],[Verb]]="unblock",Log[[#This Row],[Verb]]="done",Log[[#This Row],[Verb]]="drop",Log[[#This Row],[Verb]]="punt",Log[[#This Row],[Verb]]="pass"),0,""))</f>
      </c>
      <c r="K609" s="17">
        <f>IF(Log[[#This Row],[ID]]="",0,IFERROR(INDEX(Items[Pts],MATCH(Log[[#This Row],[ID]],Items[ID],0))*1,0))</f>
      </c>
      <c r="L609" s="17">
        <f>IF(Log[[#This Row],[ID]]="","",IFERROR(INDEX(Items[Cur team],MATCH(Log[[#This Row],[ID]],Items[ID],0))&amp;"",""))</f>
      </c>
      <c r="M609" s="17">
        <f>IF(OR(Log[[#This Row],[Verb]]="done",Log[[#This Row],[Verb]]="punt",Log[[#This Row],[Verb]]="drop",Log[[#This Row],[Verb]]="pass"),Log[[#This Row],[Pts]],0)</f>
      </c>
    </row>
    <row r="610">
      <c r="A610" s="11">
        <v>46133</v>
      </c>
      <c r="B610" t="s">
        <v>432</v>
      </c>
      <c r="C610" t="s">
        <v>34</v>
      </c>
      <c r="D610">
        <v>42</v>
      </c>
      <c r="F610" s="17">
        <f>IF(Log[[#This Row],[ID]]="","",IF(ISNA(MATCH(Log[[#This Row],[ID]],Items[ID],0)),"unknown ID",IF(ISNA(MATCH(Log[[#This Row],[Verb]],VerbList,0)),"unknown verb",IF(Log[[#This Row],[Date]]="","no date",""))))</f>
      </c>
      <c r="G610" s="17">
        <f>IF(Log[[#This Row],[ID]]="","",IFERROR(VLOOKUP(Log[[#This Row],[Verb]],Verbs,3,FALSE)&amp;"",""))</f>
      </c>
      <c r="H610" s="17">
        <f>IF(Log[[#This Row],[Date]]="","",INT((Log[[#This Row],[Date]]-Sprint1)/SprintDays)+1)</f>
      </c>
      <c r="I610" s="17">
        <f>IF(OR(Log[[#This Row],[Verb]]="commit",Log[[#This Row],[Verb]]="carry",Log[[#This Row],[Verb]]="redo"),IF(Log[[#This Row],[Arg]]="",Log[[#This Row],[Sprint]],N(Log[[#This Row],[Arg]])),"")</f>
      </c>
      <c r="J610" s="17">
        <f>IF(Log[[#This Row],[Verb]]="block",1,IF(OR(Log[[#This Row],[Verb]]="unblock",Log[[#This Row],[Verb]]="done",Log[[#This Row],[Verb]]="drop",Log[[#This Row],[Verb]]="punt",Log[[#This Row],[Verb]]="pass"),0,""))</f>
      </c>
      <c r="K610" s="17">
        <f>IF(Log[[#This Row],[ID]]="",0,IFERROR(INDEX(Items[Pts],MATCH(Log[[#This Row],[ID]],Items[ID],0))*1,0))</f>
      </c>
      <c r="L610" s="17">
        <f>IF(Log[[#This Row],[ID]]="","",IFERROR(INDEX(Items[Cur team],MATCH(Log[[#This Row],[ID]],Items[ID],0))&amp;"",""))</f>
      </c>
      <c r="M610" s="17">
        <f>IF(OR(Log[[#This Row],[Verb]]="done",Log[[#This Row],[Verb]]="punt",Log[[#This Row],[Verb]]="drop",Log[[#This Row],[Verb]]="pass"),Log[[#This Row],[Pts]],0)</f>
      </c>
    </row>
    <row r="611">
      <c r="A611" s="11">
        <v>46133</v>
      </c>
      <c r="B611" t="s">
        <v>433</v>
      </c>
      <c r="C611" t="s">
        <v>34</v>
      </c>
      <c r="D611">
        <v>42</v>
      </c>
      <c r="F611" s="17">
        <f>IF(Log[[#This Row],[ID]]="","",IF(ISNA(MATCH(Log[[#This Row],[ID]],Items[ID],0)),"unknown ID",IF(ISNA(MATCH(Log[[#This Row],[Verb]],VerbList,0)),"unknown verb",IF(Log[[#This Row],[Date]]="","no date",""))))</f>
      </c>
      <c r="G611" s="17">
        <f>IF(Log[[#This Row],[ID]]="","",IFERROR(VLOOKUP(Log[[#This Row],[Verb]],Verbs,3,FALSE)&amp;"",""))</f>
      </c>
      <c r="H611" s="17">
        <f>IF(Log[[#This Row],[Date]]="","",INT((Log[[#This Row],[Date]]-Sprint1)/SprintDays)+1)</f>
      </c>
      <c r="I611" s="17">
        <f>IF(OR(Log[[#This Row],[Verb]]="commit",Log[[#This Row],[Verb]]="carry",Log[[#This Row],[Verb]]="redo"),IF(Log[[#This Row],[Arg]]="",Log[[#This Row],[Sprint]],N(Log[[#This Row],[Arg]])),"")</f>
      </c>
      <c r="J611" s="17">
        <f>IF(Log[[#This Row],[Verb]]="block",1,IF(OR(Log[[#This Row],[Verb]]="unblock",Log[[#This Row],[Verb]]="done",Log[[#This Row],[Verb]]="drop",Log[[#This Row],[Verb]]="punt",Log[[#This Row],[Verb]]="pass"),0,""))</f>
      </c>
      <c r="K611" s="17">
        <f>IF(Log[[#This Row],[ID]]="",0,IFERROR(INDEX(Items[Pts],MATCH(Log[[#This Row],[ID]],Items[ID],0))*1,0))</f>
      </c>
      <c r="L611" s="17">
        <f>IF(Log[[#This Row],[ID]]="","",IFERROR(INDEX(Items[Cur team],MATCH(Log[[#This Row],[ID]],Items[ID],0))&amp;"",""))</f>
      </c>
      <c r="M611" s="17">
        <f>IF(OR(Log[[#This Row],[Verb]]="done",Log[[#This Row],[Verb]]="punt",Log[[#This Row],[Verb]]="drop",Log[[#This Row],[Verb]]="pass"),Log[[#This Row],[Pts]],0)</f>
      </c>
    </row>
    <row r="612">
      <c r="A612" s="11">
        <v>46133</v>
      </c>
      <c r="B612" t="s">
        <v>434</v>
      </c>
      <c r="C612" t="s">
        <v>34</v>
      </c>
      <c r="D612">
        <v>42</v>
      </c>
      <c r="F612" s="17">
        <f>IF(Log[[#This Row],[ID]]="","",IF(ISNA(MATCH(Log[[#This Row],[ID]],Items[ID],0)),"unknown ID",IF(ISNA(MATCH(Log[[#This Row],[Verb]],VerbList,0)),"unknown verb",IF(Log[[#This Row],[Date]]="","no date",""))))</f>
      </c>
      <c r="G612" s="17">
        <f>IF(Log[[#This Row],[ID]]="","",IFERROR(VLOOKUP(Log[[#This Row],[Verb]],Verbs,3,FALSE)&amp;"",""))</f>
      </c>
      <c r="H612" s="17">
        <f>IF(Log[[#This Row],[Date]]="","",INT((Log[[#This Row],[Date]]-Sprint1)/SprintDays)+1)</f>
      </c>
      <c r="I612" s="17">
        <f>IF(OR(Log[[#This Row],[Verb]]="commit",Log[[#This Row],[Verb]]="carry",Log[[#This Row],[Verb]]="redo"),IF(Log[[#This Row],[Arg]]="",Log[[#This Row],[Sprint]],N(Log[[#This Row],[Arg]])),"")</f>
      </c>
      <c r="J612" s="17">
        <f>IF(Log[[#This Row],[Verb]]="block",1,IF(OR(Log[[#This Row],[Verb]]="unblock",Log[[#This Row],[Verb]]="done",Log[[#This Row],[Verb]]="drop",Log[[#This Row],[Verb]]="punt",Log[[#This Row],[Verb]]="pass"),0,""))</f>
      </c>
      <c r="K612" s="17">
        <f>IF(Log[[#This Row],[ID]]="",0,IFERROR(INDEX(Items[Pts],MATCH(Log[[#This Row],[ID]],Items[ID],0))*1,0))</f>
      </c>
      <c r="L612" s="17">
        <f>IF(Log[[#This Row],[ID]]="","",IFERROR(INDEX(Items[Cur team],MATCH(Log[[#This Row],[ID]],Items[ID],0))&amp;"",""))</f>
      </c>
      <c r="M612" s="17">
        <f>IF(OR(Log[[#This Row],[Verb]]="done",Log[[#This Row],[Verb]]="punt",Log[[#This Row],[Verb]]="drop",Log[[#This Row],[Verb]]="pass"),Log[[#This Row],[Pts]],0)</f>
      </c>
    </row>
    <row r="613">
      <c r="A613" s="11">
        <v>46133</v>
      </c>
      <c r="B613" t="s">
        <v>435</v>
      </c>
      <c r="C613" t="s">
        <v>34</v>
      </c>
      <c r="D613">
        <v>42</v>
      </c>
      <c r="F613" s="17">
        <f>IF(Log[[#This Row],[ID]]="","",IF(ISNA(MATCH(Log[[#This Row],[ID]],Items[ID],0)),"unknown ID",IF(ISNA(MATCH(Log[[#This Row],[Verb]],VerbList,0)),"unknown verb",IF(Log[[#This Row],[Date]]="","no date",""))))</f>
      </c>
      <c r="G613" s="17">
        <f>IF(Log[[#This Row],[ID]]="","",IFERROR(VLOOKUP(Log[[#This Row],[Verb]],Verbs,3,FALSE)&amp;"",""))</f>
      </c>
      <c r="H613" s="17">
        <f>IF(Log[[#This Row],[Date]]="","",INT((Log[[#This Row],[Date]]-Sprint1)/SprintDays)+1)</f>
      </c>
      <c r="I613" s="17">
        <f>IF(OR(Log[[#This Row],[Verb]]="commit",Log[[#This Row],[Verb]]="carry",Log[[#This Row],[Verb]]="redo"),IF(Log[[#This Row],[Arg]]="",Log[[#This Row],[Sprint]],N(Log[[#This Row],[Arg]])),"")</f>
      </c>
      <c r="J613" s="17">
        <f>IF(Log[[#This Row],[Verb]]="block",1,IF(OR(Log[[#This Row],[Verb]]="unblock",Log[[#This Row],[Verb]]="done",Log[[#This Row],[Verb]]="drop",Log[[#This Row],[Verb]]="punt",Log[[#This Row],[Verb]]="pass"),0,""))</f>
      </c>
      <c r="K613" s="17">
        <f>IF(Log[[#This Row],[ID]]="",0,IFERROR(INDEX(Items[Pts],MATCH(Log[[#This Row],[ID]],Items[ID],0))*1,0))</f>
      </c>
      <c r="L613" s="17">
        <f>IF(Log[[#This Row],[ID]]="","",IFERROR(INDEX(Items[Cur team],MATCH(Log[[#This Row],[ID]],Items[ID],0))&amp;"",""))</f>
      </c>
      <c r="M613" s="17">
        <f>IF(OR(Log[[#This Row],[Verb]]="done",Log[[#This Row],[Verb]]="punt",Log[[#This Row],[Verb]]="drop",Log[[#This Row],[Verb]]="pass"),Log[[#This Row],[Pts]],0)</f>
      </c>
    </row>
    <row r="614">
      <c r="A614" s="11">
        <v>46133</v>
      </c>
      <c r="B614" t="s">
        <v>436</v>
      </c>
      <c r="C614" t="s">
        <v>34</v>
      </c>
      <c r="D614">
        <v>42</v>
      </c>
      <c r="F614" s="17">
        <f>IF(Log[[#This Row],[ID]]="","",IF(ISNA(MATCH(Log[[#This Row],[ID]],Items[ID],0)),"unknown ID",IF(ISNA(MATCH(Log[[#This Row],[Verb]],VerbList,0)),"unknown verb",IF(Log[[#This Row],[Date]]="","no date",""))))</f>
      </c>
      <c r="G614" s="17">
        <f>IF(Log[[#This Row],[ID]]="","",IFERROR(VLOOKUP(Log[[#This Row],[Verb]],Verbs,3,FALSE)&amp;"",""))</f>
      </c>
      <c r="H614" s="17">
        <f>IF(Log[[#This Row],[Date]]="","",INT((Log[[#This Row],[Date]]-Sprint1)/SprintDays)+1)</f>
      </c>
      <c r="I614" s="17">
        <f>IF(OR(Log[[#This Row],[Verb]]="commit",Log[[#This Row],[Verb]]="carry",Log[[#This Row],[Verb]]="redo"),IF(Log[[#This Row],[Arg]]="",Log[[#This Row],[Sprint]],N(Log[[#This Row],[Arg]])),"")</f>
      </c>
      <c r="J614" s="17">
        <f>IF(Log[[#This Row],[Verb]]="block",1,IF(OR(Log[[#This Row],[Verb]]="unblock",Log[[#This Row],[Verb]]="done",Log[[#This Row],[Verb]]="drop",Log[[#This Row],[Verb]]="punt",Log[[#This Row],[Verb]]="pass"),0,""))</f>
      </c>
      <c r="K614" s="17">
        <f>IF(Log[[#This Row],[ID]]="",0,IFERROR(INDEX(Items[Pts],MATCH(Log[[#This Row],[ID]],Items[ID],0))*1,0))</f>
      </c>
      <c r="L614" s="17">
        <f>IF(Log[[#This Row],[ID]]="","",IFERROR(INDEX(Items[Cur team],MATCH(Log[[#This Row],[ID]],Items[ID],0))&amp;"",""))</f>
      </c>
      <c r="M614" s="17">
        <f>IF(OR(Log[[#This Row],[Verb]]="done",Log[[#This Row],[Verb]]="punt",Log[[#This Row],[Verb]]="drop",Log[[#This Row],[Verb]]="pass"),Log[[#This Row],[Pts]],0)</f>
      </c>
    </row>
    <row r="615">
      <c r="A615" s="11">
        <v>46133</v>
      </c>
      <c r="B615" t="s">
        <v>437</v>
      </c>
      <c r="C615" t="s">
        <v>34</v>
      </c>
      <c r="D615">
        <v>42</v>
      </c>
      <c r="F615" s="17">
        <f>IF(Log[[#This Row],[ID]]="","",IF(ISNA(MATCH(Log[[#This Row],[ID]],Items[ID],0)),"unknown ID",IF(ISNA(MATCH(Log[[#This Row],[Verb]],VerbList,0)),"unknown verb",IF(Log[[#This Row],[Date]]="","no date",""))))</f>
      </c>
      <c r="G615" s="17">
        <f>IF(Log[[#This Row],[ID]]="","",IFERROR(VLOOKUP(Log[[#This Row],[Verb]],Verbs,3,FALSE)&amp;"",""))</f>
      </c>
      <c r="H615" s="17">
        <f>IF(Log[[#This Row],[Date]]="","",INT((Log[[#This Row],[Date]]-Sprint1)/SprintDays)+1)</f>
      </c>
      <c r="I615" s="17">
        <f>IF(OR(Log[[#This Row],[Verb]]="commit",Log[[#This Row],[Verb]]="carry",Log[[#This Row],[Verb]]="redo"),IF(Log[[#This Row],[Arg]]="",Log[[#This Row],[Sprint]],N(Log[[#This Row],[Arg]])),"")</f>
      </c>
      <c r="J615" s="17">
        <f>IF(Log[[#This Row],[Verb]]="block",1,IF(OR(Log[[#This Row],[Verb]]="unblock",Log[[#This Row],[Verb]]="done",Log[[#This Row],[Verb]]="drop",Log[[#This Row],[Verb]]="punt",Log[[#This Row],[Verb]]="pass"),0,""))</f>
      </c>
      <c r="K615" s="17">
        <f>IF(Log[[#This Row],[ID]]="",0,IFERROR(INDEX(Items[Pts],MATCH(Log[[#This Row],[ID]],Items[ID],0))*1,0))</f>
      </c>
      <c r="L615" s="17">
        <f>IF(Log[[#This Row],[ID]]="","",IFERROR(INDEX(Items[Cur team],MATCH(Log[[#This Row],[ID]],Items[ID],0))&amp;"",""))</f>
      </c>
      <c r="M615" s="17">
        <f>IF(OR(Log[[#This Row],[Verb]]="done",Log[[#This Row],[Verb]]="punt",Log[[#This Row],[Verb]]="drop",Log[[#This Row],[Verb]]="pass"),Log[[#This Row],[Pts]],0)</f>
      </c>
    </row>
    <row r="616">
      <c r="A616" s="11">
        <v>46133</v>
      </c>
      <c r="B616" t="s">
        <v>438</v>
      </c>
      <c r="C616" t="s">
        <v>34</v>
      </c>
      <c r="D616">
        <v>42</v>
      </c>
      <c r="F616" s="17">
        <f>IF(Log[[#This Row],[ID]]="","",IF(ISNA(MATCH(Log[[#This Row],[ID]],Items[ID],0)),"unknown ID",IF(ISNA(MATCH(Log[[#This Row],[Verb]],VerbList,0)),"unknown verb",IF(Log[[#This Row],[Date]]="","no date",""))))</f>
      </c>
      <c r="G616" s="17">
        <f>IF(Log[[#This Row],[ID]]="","",IFERROR(VLOOKUP(Log[[#This Row],[Verb]],Verbs,3,FALSE)&amp;"",""))</f>
      </c>
      <c r="H616" s="17">
        <f>IF(Log[[#This Row],[Date]]="","",INT((Log[[#This Row],[Date]]-Sprint1)/SprintDays)+1)</f>
      </c>
      <c r="I616" s="17">
        <f>IF(OR(Log[[#This Row],[Verb]]="commit",Log[[#This Row],[Verb]]="carry",Log[[#This Row],[Verb]]="redo"),IF(Log[[#This Row],[Arg]]="",Log[[#This Row],[Sprint]],N(Log[[#This Row],[Arg]])),"")</f>
      </c>
      <c r="J616" s="17">
        <f>IF(Log[[#This Row],[Verb]]="block",1,IF(OR(Log[[#This Row],[Verb]]="unblock",Log[[#This Row],[Verb]]="done",Log[[#This Row],[Verb]]="drop",Log[[#This Row],[Verb]]="punt",Log[[#This Row],[Verb]]="pass"),0,""))</f>
      </c>
      <c r="K616" s="17">
        <f>IF(Log[[#This Row],[ID]]="",0,IFERROR(INDEX(Items[Pts],MATCH(Log[[#This Row],[ID]],Items[ID],0))*1,0))</f>
      </c>
      <c r="L616" s="17">
        <f>IF(Log[[#This Row],[ID]]="","",IFERROR(INDEX(Items[Cur team],MATCH(Log[[#This Row],[ID]],Items[ID],0))&amp;"",""))</f>
      </c>
      <c r="M616" s="17">
        <f>IF(OR(Log[[#This Row],[Verb]]="done",Log[[#This Row],[Verb]]="punt",Log[[#This Row],[Verb]]="drop",Log[[#This Row],[Verb]]="pass"),Log[[#This Row],[Pts]],0)</f>
      </c>
    </row>
    <row r="617">
      <c r="A617" s="11">
        <v>46133</v>
      </c>
      <c r="B617" t="s">
        <v>439</v>
      </c>
      <c r="C617" t="s">
        <v>34</v>
      </c>
      <c r="D617">
        <v>42</v>
      </c>
      <c r="F617" s="17">
        <f>IF(Log[[#This Row],[ID]]="","",IF(ISNA(MATCH(Log[[#This Row],[ID]],Items[ID],0)),"unknown ID",IF(ISNA(MATCH(Log[[#This Row],[Verb]],VerbList,0)),"unknown verb",IF(Log[[#This Row],[Date]]="","no date",""))))</f>
      </c>
      <c r="G617" s="17">
        <f>IF(Log[[#This Row],[ID]]="","",IFERROR(VLOOKUP(Log[[#This Row],[Verb]],Verbs,3,FALSE)&amp;"",""))</f>
      </c>
      <c r="H617" s="17">
        <f>IF(Log[[#This Row],[Date]]="","",INT((Log[[#This Row],[Date]]-Sprint1)/SprintDays)+1)</f>
      </c>
      <c r="I617" s="17">
        <f>IF(OR(Log[[#This Row],[Verb]]="commit",Log[[#This Row],[Verb]]="carry",Log[[#This Row],[Verb]]="redo"),IF(Log[[#This Row],[Arg]]="",Log[[#This Row],[Sprint]],N(Log[[#This Row],[Arg]])),"")</f>
      </c>
      <c r="J617" s="17">
        <f>IF(Log[[#This Row],[Verb]]="block",1,IF(OR(Log[[#This Row],[Verb]]="unblock",Log[[#This Row],[Verb]]="done",Log[[#This Row],[Verb]]="drop",Log[[#This Row],[Verb]]="punt",Log[[#This Row],[Verb]]="pass"),0,""))</f>
      </c>
      <c r="K617" s="17">
        <f>IF(Log[[#This Row],[ID]]="",0,IFERROR(INDEX(Items[Pts],MATCH(Log[[#This Row],[ID]],Items[ID],0))*1,0))</f>
      </c>
      <c r="L617" s="17">
        <f>IF(Log[[#This Row],[ID]]="","",IFERROR(INDEX(Items[Cur team],MATCH(Log[[#This Row],[ID]],Items[ID],0))&amp;"",""))</f>
      </c>
      <c r="M617" s="17">
        <f>IF(OR(Log[[#This Row],[Verb]]="done",Log[[#This Row],[Verb]]="punt",Log[[#This Row],[Verb]]="drop",Log[[#This Row],[Verb]]="pass"),Log[[#This Row],[Pts]],0)</f>
      </c>
    </row>
    <row r="618">
      <c r="A618" s="11">
        <v>46133</v>
      </c>
      <c r="B618" t="s">
        <v>440</v>
      </c>
      <c r="C618" t="s">
        <v>34</v>
      </c>
      <c r="D618">
        <v>42</v>
      </c>
      <c r="F618" s="17">
        <f>IF(Log[[#This Row],[ID]]="","",IF(ISNA(MATCH(Log[[#This Row],[ID]],Items[ID],0)),"unknown ID",IF(ISNA(MATCH(Log[[#This Row],[Verb]],VerbList,0)),"unknown verb",IF(Log[[#This Row],[Date]]="","no date",""))))</f>
      </c>
      <c r="G618" s="17">
        <f>IF(Log[[#This Row],[ID]]="","",IFERROR(VLOOKUP(Log[[#This Row],[Verb]],Verbs,3,FALSE)&amp;"",""))</f>
      </c>
      <c r="H618" s="17">
        <f>IF(Log[[#This Row],[Date]]="","",INT((Log[[#This Row],[Date]]-Sprint1)/SprintDays)+1)</f>
      </c>
      <c r="I618" s="17">
        <f>IF(OR(Log[[#This Row],[Verb]]="commit",Log[[#This Row],[Verb]]="carry",Log[[#This Row],[Verb]]="redo"),IF(Log[[#This Row],[Arg]]="",Log[[#This Row],[Sprint]],N(Log[[#This Row],[Arg]])),"")</f>
      </c>
      <c r="J618" s="17">
        <f>IF(Log[[#This Row],[Verb]]="block",1,IF(OR(Log[[#This Row],[Verb]]="unblock",Log[[#This Row],[Verb]]="done",Log[[#This Row],[Verb]]="drop",Log[[#This Row],[Verb]]="punt",Log[[#This Row],[Verb]]="pass"),0,""))</f>
      </c>
      <c r="K618" s="17">
        <f>IF(Log[[#This Row],[ID]]="",0,IFERROR(INDEX(Items[Pts],MATCH(Log[[#This Row],[ID]],Items[ID],0))*1,0))</f>
      </c>
      <c r="L618" s="17">
        <f>IF(Log[[#This Row],[ID]]="","",IFERROR(INDEX(Items[Cur team],MATCH(Log[[#This Row],[ID]],Items[ID],0))&amp;"",""))</f>
      </c>
      <c r="M618" s="17">
        <f>IF(OR(Log[[#This Row],[Verb]]="done",Log[[#This Row],[Verb]]="punt",Log[[#This Row],[Verb]]="drop",Log[[#This Row],[Verb]]="pass"),Log[[#This Row],[Pts]],0)</f>
      </c>
    </row>
    <row r="619">
      <c r="A619" s="11">
        <v>46133</v>
      </c>
      <c r="B619" t="s">
        <v>441</v>
      </c>
      <c r="C619" t="s">
        <v>34</v>
      </c>
      <c r="D619">
        <v>42</v>
      </c>
      <c r="F619" s="17">
        <f>IF(Log[[#This Row],[ID]]="","",IF(ISNA(MATCH(Log[[#This Row],[ID]],Items[ID],0)),"unknown ID",IF(ISNA(MATCH(Log[[#This Row],[Verb]],VerbList,0)),"unknown verb",IF(Log[[#This Row],[Date]]="","no date",""))))</f>
      </c>
      <c r="G619" s="17">
        <f>IF(Log[[#This Row],[ID]]="","",IFERROR(VLOOKUP(Log[[#This Row],[Verb]],Verbs,3,FALSE)&amp;"",""))</f>
      </c>
      <c r="H619" s="17">
        <f>IF(Log[[#This Row],[Date]]="","",INT((Log[[#This Row],[Date]]-Sprint1)/SprintDays)+1)</f>
      </c>
      <c r="I619" s="17">
        <f>IF(OR(Log[[#This Row],[Verb]]="commit",Log[[#This Row],[Verb]]="carry",Log[[#This Row],[Verb]]="redo"),IF(Log[[#This Row],[Arg]]="",Log[[#This Row],[Sprint]],N(Log[[#This Row],[Arg]])),"")</f>
      </c>
      <c r="J619" s="17">
        <f>IF(Log[[#This Row],[Verb]]="block",1,IF(OR(Log[[#This Row],[Verb]]="unblock",Log[[#This Row],[Verb]]="done",Log[[#This Row],[Verb]]="drop",Log[[#This Row],[Verb]]="punt",Log[[#This Row],[Verb]]="pass"),0,""))</f>
      </c>
      <c r="K619" s="17">
        <f>IF(Log[[#This Row],[ID]]="",0,IFERROR(INDEX(Items[Pts],MATCH(Log[[#This Row],[ID]],Items[ID],0))*1,0))</f>
      </c>
      <c r="L619" s="17">
        <f>IF(Log[[#This Row],[ID]]="","",IFERROR(INDEX(Items[Cur team],MATCH(Log[[#This Row],[ID]],Items[ID],0))&amp;"",""))</f>
      </c>
      <c r="M619" s="17">
        <f>IF(OR(Log[[#This Row],[Verb]]="done",Log[[#This Row],[Verb]]="punt",Log[[#This Row],[Verb]]="drop",Log[[#This Row],[Verb]]="pass"),Log[[#This Row],[Pts]],0)</f>
      </c>
    </row>
    <row r="620">
      <c r="A620" s="11">
        <v>46133</v>
      </c>
      <c r="B620" t="s">
        <v>387</v>
      </c>
      <c r="C620" t="s">
        <v>57</v>
      </c>
      <c r="D620">
        <v>42</v>
      </c>
      <c r="E620" t="s">
        <v>193</v>
      </c>
      <c r="F620" s="17">
        <f>IF(Log[[#This Row],[ID]]="","",IF(ISNA(MATCH(Log[[#This Row],[ID]],Items[ID],0)),"unknown ID",IF(ISNA(MATCH(Log[[#This Row],[Verb]],VerbList,0)),"unknown verb",IF(Log[[#This Row],[Date]]="","no date",""))))</f>
      </c>
      <c r="G620" s="17">
        <f>IF(Log[[#This Row],[ID]]="","",IFERROR(VLOOKUP(Log[[#This Row],[Verb]],Verbs,3,FALSE)&amp;"",""))</f>
      </c>
      <c r="H620" s="17">
        <f>IF(Log[[#This Row],[Date]]="","",INT((Log[[#This Row],[Date]]-Sprint1)/SprintDays)+1)</f>
      </c>
      <c r="I620" s="17">
        <f>IF(OR(Log[[#This Row],[Verb]]="commit",Log[[#This Row],[Verb]]="carry",Log[[#This Row],[Verb]]="redo"),IF(Log[[#This Row],[Arg]]="",Log[[#This Row],[Sprint]],N(Log[[#This Row],[Arg]])),"")</f>
      </c>
      <c r="J620" s="17">
        <f>IF(Log[[#This Row],[Verb]]="block",1,IF(OR(Log[[#This Row],[Verb]]="unblock",Log[[#This Row],[Verb]]="done",Log[[#This Row],[Verb]]="drop",Log[[#This Row],[Verb]]="punt",Log[[#This Row],[Verb]]="pass"),0,""))</f>
      </c>
      <c r="K620" s="17">
        <f>IF(Log[[#This Row],[ID]]="",0,IFERROR(INDEX(Items[Pts],MATCH(Log[[#This Row],[ID]],Items[ID],0))*1,0))</f>
      </c>
      <c r="L620" s="17">
        <f>IF(Log[[#This Row],[ID]]="","",IFERROR(INDEX(Items[Cur team],MATCH(Log[[#This Row],[ID]],Items[ID],0))&amp;"",""))</f>
      </c>
      <c r="M620" s="17">
        <f>IF(OR(Log[[#This Row],[Verb]]="done",Log[[#This Row],[Verb]]="punt",Log[[#This Row],[Verb]]="drop",Log[[#This Row],[Verb]]="pass"),Log[[#This Row],[Pts]],0)</f>
      </c>
    </row>
    <row r="621">
      <c r="A621" s="11">
        <v>46133</v>
      </c>
      <c r="B621" t="s">
        <v>442</v>
      </c>
      <c r="C621" t="s">
        <v>34</v>
      </c>
      <c r="D621">
        <v>42</v>
      </c>
      <c r="F621" s="17">
        <f>IF(Log[[#This Row],[ID]]="","",IF(ISNA(MATCH(Log[[#This Row],[ID]],Items[ID],0)),"unknown ID",IF(ISNA(MATCH(Log[[#This Row],[Verb]],VerbList,0)),"unknown verb",IF(Log[[#This Row],[Date]]="","no date",""))))</f>
      </c>
      <c r="G621" s="17">
        <f>IF(Log[[#This Row],[ID]]="","",IFERROR(VLOOKUP(Log[[#This Row],[Verb]],Verbs,3,FALSE)&amp;"",""))</f>
      </c>
      <c r="H621" s="17">
        <f>IF(Log[[#This Row],[Date]]="","",INT((Log[[#This Row],[Date]]-Sprint1)/SprintDays)+1)</f>
      </c>
      <c r="I621" s="17">
        <f>IF(OR(Log[[#This Row],[Verb]]="commit",Log[[#This Row],[Verb]]="carry",Log[[#This Row],[Verb]]="redo"),IF(Log[[#This Row],[Arg]]="",Log[[#This Row],[Sprint]],N(Log[[#This Row],[Arg]])),"")</f>
      </c>
      <c r="J621" s="17">
        <f>IF(Log[[#This Row],[Verb]]="block",1,IF(OR(Log[[#This Row],[Verb]]="unblock",Log[[#This Row],[Verb]]="done",Log[[#This Row],[Verb]]="drop",Log[[#This Row],[Verb]]="punt",Log[[#This Row],[Verb]]="pass"),0,""))</f>
      </c>
      <c r="K621" s="17">
        <f>IF(Log[[#This Row],[ID]]="",0,IFERROR(INDEX(Items[Pts],MATCH(Log[[#This Row],[ID]],Items[ID],0))*1,0))</f>
      </c>
      <c r="L621" s="17">
        <f>IF(Log[[#This Row],[ID]]="","",IFERROR(INDEX(Items[Cur team],MATCH(Log[[#This Row],[ID]],Items[ID],0))&amp;"",""))</f>
      </c>
      <c r="M621" s="17">
        <f>IF(OR(Log[[#This Row],[Verb]]="done",Log[[#This Row],[Verb]]="punt",Log[[#This Row],[Verb]]="drop",Log[[#This Row],[Verb]]="pass"),Log[[#This Row],[Pts]],0)</f>
      </c>
    </row>
    <row r="622">
      <c r="A622" s="11">
        <v>46133</v>
      </c>
      <c r="B622" t="s">
        <v>443</v>
      </c>
      <c r="C622" t="s">
        <v>34</v>
      </c>
      <c r="D622">
        <v>42</v>
      </c>
      <c r="F622" s="17">
        <f>IF(Log[[#This Row],[ID]]="","",IF(ISNA(MATCH(Log[[#This Row],[ID]],Items[ID],0)),"unknown ID",IF(ISNA(MATCH(Log[[#This Row],[Verb]],VerbList,0)),"unknown verb",IF(Log[[#This Row],[Date]]="","no date",""))))</f>
      </c>
      <c r="G622" s="17">
        <f>IF(Log[[#This Row],[ID]]="","",IFERROR(VLOOKUP(Log[[#This Row],[Verb]],Verbs,3,FALSE)&amp;"",""))</f>
      </c>
      <c r="H622" s="17">
        <f>IF(Log[[#This Row],[Date]]="","",INT((Log[[#This Row],[Date]]-Sprint1)/SprintDays)+1)</f>
      </c>
      <c r="I622" s="17">
        <f>IF(OR(Log[[#This Row],[Verb]]="commit",Log[[#This Row],[Verb]]="carry",Log[[#This Row],[Verb]]="redo"),IF(Log[[#This Row],[Arg]]="",Log[[#This Row],[Sprint]],N(Log[[#This Row],[Arg]])),"")</f>
      </c>
      <c r="J622" s="17">
        <f>IF(Log[[#This Row],[Verb]]="block",1,IF(OR(Log[[#This Row],[Verb]]="unblock",Log[[#This Row],[Verb]]="done",Log[[#This Row],[Verb]]="drop",Log[[#This Row],[Verb]]="punt",Log[[#This Row],[Verb]]="pass"),0,""))</f>
      </c>
      <c r="K622" s="17">
        <f>IF(Log[[#This Row],[ID]]="",0,IFERROR(INDEX(Items[Pts],MATCH(Log[[#This Row],[ID]],Items[ID],0))*1,0))</f>
      </c>
      <c r="L622" s="17">
        <f>IF(Log[[#This Row],[ID]]="","",IFERROR(INDEX(Items[Cur team],MATCH(Log[[#This Row],[ID]],Items[ID],0))&amp;"",""))</f>
      </c>
      <c r="M622" s="17">
        <f>IF(OR(Log[[#This Row],[Verb]]="done",Log[[#This Row],[Verb]]="punt",Log[[#This Row],[Verb]]="drop",Log[[#This Row],[Verb]]="pass"),Log[[#This Row],[Pts]],0)</f>
      </c>
    </row>
    <row r="623">
      <c r="A623" s="11">
        <v>46133</v>
      </c>
      <c r="B623" t="s">
        <v>444</v>
      </c>
      <c r="C623" t="s">
        <v>34</v>
      </c>
      <c r="D623">
        <v>42</v>
      </c>
      <c r="F623" s="17">
        <f>IF(Log[[#This Row],[ID]]="","",IF(ISNA(MATCH(Log[[#This Row],[ID]],Items[ID],0)),"unknown ID",IF(ISNA(MATCH(Log[[#This Row],[Verb]],VerbList,0)),"unknown verb",IF(Log[[#This Row],[Date]]="","no date",""))))</f>
      </c>
      <c r="G623" s="17">
        <f>IF(Log[[#This Row],[ID]]="","",IFERROR(VLOOKUP(Log[[#This Row],[Verb]],Verbs,3,FALSE)&amp;"",""))</f>
      </c>
      <c r="H623" s="17">
        <f>IF(Log[[#This Row],[Date]]="","",INT((Log[[#This Row],[Date]]-Sprint1)/SprintDays)+1)</f>
      </c>
      <c r="I623" s="17">
        <f>IF(OR(Log[[#This Row],[Verb]]="commit",Log[[#This Row],[Verb]]="carry",Log[[#This Row],[Verb]]="redo"),IF(Log[[#This Row],[Arg]]="",Log[[#This Row],[Sprint]],N(Log[[#This Row],[Arg]])),"")</f>
      </c>
      <c r="J623" s="17">
        <f>IF(Log[[#This Row],[Verb]]="block",1,IF(OR(Log[[#This Row],[Verb]]="unblock",Log[[#This Row],[Verb]]="done",Log[[#This Row],[Verb]]="drop",Log[[#This Row],[Verb]]="punt",Log[[#This Row],[Verb]]="pass"),0,""))</f>
      </c>
      <c r="K623" s="17">
        <f>IF(Log[[#This Row],[ID]]="",0,IFERROR(INDEX(Items[Pts],MATCH(Log[[#This Row],[ID]],Items[ID],0))*1,0))</f>
      </c>
      <c r="L623" s="17">
        <f>IF(Log[[#This Row],[ID]]="","",IFERROR(INDEX(Items[Cur team],MATCH(Log[[#This Row],[ID]],Items[ID],0))&amp;"",""))</f>
      </c>
      <c r="M623" s="17">
        <f>IF(OR(Log[[#This Row],[Verb]]="done",Log[[#This Row],[Verb]]="punt",Log[[#This Row],[Verb]]="drop",Log[[#This Row],[Verb]]="pass"),Log[[#This Row],[Pts]],0)</f>
      </c>
    </row>
    <row r="624">
      <c r="A624" s="11">
        <v>46133</v>
      </c>
      <c r="B624" t="s">
        <v>445</v>
      </c>
      <c r="C624" t="s">
        <v>34</v>
      </c>
      <c r="D624">
        <v>42</v>
      </c>
      <c r="F624" s="17">
        <f>IF(Log[[#This Row],[ID]]="","",IF(ISNA(MATCH(Log[[#This Row],[ID]],Items[ID],0)),"unknown ID",IF(ISNA(MATCH(Log[[#This Row],[Verb]],VerbList,0)),"unknown verb",IF(Log[[#This Row],[Date]]="","no date",""))))</f>
      </c>
      <c r="G624" s="17">
        <f>IF(Log[[#This Row],[ID]]="","",IFERROR(VLOOKUP(Log[[#This Row],[Verb]],Verbs,3,FALSE)&amp;"",""))</f>
      </c>
      <c r="H624" s="17">
        <f>IF(Log[[#This Row],[Date]]="","",INT((Log[[#This Row],[Date]]-Sprint1)/SprintDays)+1)</f>
      </c>
      <c r="I624" s="17">
        <f>IF(OR(Log[[#This Row],[Verb]]="commit",Log[[#This Row],[Verb]]="carry",Log[[#This Row],[Verb]]="redo"),IF(Log[[#This Row],[Arg]]="",Log[[#This Row],[Sprint]],N(Log[[#This Row],[Arg]])),"")</f>
      </c>
      <c r="J624" s="17">
        <f>IF(Log[[#This Row],[Verb]]="block",1,IF(OR(Log[[#This Row],[Verb]]="unblock",Log[[#This Row],[Verb]]="done",Log[[#This Row],[Verb]]="drop",Log[[#This Row],[Verb]]="punt",Log[[#This Row],[Verb]]="pass"),0,""))</f>
      </c>
      <c r="K624" s="17">
        <f>IF(Log[[#This Row],[ID]]="",0,IFERROR(INDEX(Items[Pts],MATCH(Log[[#This Row],[ID]],Items[ID],0))*1,0))</f>
      </c>
      <c r="L624" s="17">
        <f>IF(Log[[#This Row],[ID]]="","",IFERROR(INDEX(Items[Cur team],MATCH(Log[[#This Row],[ID]],Items[ID],0))&amp;"",""))</f>
      </c>
      <c r="M624" s="17">
        <f>IF(OR(Log[[#This Row],[Verb]]="done",Log[[#This Row],[Verb]]="punt",Log[[#This Row],[Verb]]="drop",Log[[#This Row],[Verb]]="pass"),Log[[#This Row],[Pts]],0)</f>
      </c>
    </row>
    <row r="625">
      <c r="A625" s="11">
        <v>46133</v>
      </c>
      <c r="B625" t="s">
        <v>446</v>
      </c>
      <c r="C625" t="s">
        <v>34</v>
      </c>
      <c r="D625">
        <v>42</v>
      </c>
      <c r="F625" s="17">
        <f>IF(Log[[#This Row],[ID]]="","",IF(ISNA(MATCH(Log[[#This Row],[ID]],Items[ID],0)),"unknown ID",IF(ISNA(MATCH(Log[[#This Row],[Verb]],VerbList,0)),"unknown verb",IF(Log[[#This Row],[Date]]="","no date",""))))</f>
      </c>
      <c r="G625" s="17">
        <f>IF(Log[[#This Row],[ID]]="","",IFERROR(VLOOKUP(Log[[#This Row],[Verb]],Verbs,3,FALSE)&amp;"",""))</f>
      </c>
      <c r="H625" s="17">
        <f>IF(Log[[#This Row],[Date]]="","",INT((Log[[#This Row],[Date]]-Sprint1)/SprintDays)+1)</f>
      </c>
      <c r="I625" s="17">
        <f>IF(OR(Log[[#This Row],[Verb]]="commit",Log[[#This Row],[Verb]]="carry",Log[[#This Row],[Verb]]="redo"),IF(Log[[#This Row],[Arg]]="",Log[[#This Row],[Sprint]],N(Log[[#This Row],[Arg]])),"")</f>
      </c>
      <c r="J625" s="17">
        <f>IF(Log[[#This Row],[Verb]]="block",1,IF(OR(Log[[#This Row],[Verb]]="unblock",Log[[#This Row],[Verb]]="done",Log[[#This Row],[Verb]]="drop",Log[[#This Row],[Verb]]="punt",Log[[#This Row],[Verb]]="pass"),0,""))</f>
      </c>
      <c r="K625" s="17">
        <f>IF(Log[[#This Row],[ID]]="",0,IFERROR(INDEX(Items[Pts],MATCH(Log[[#This Row],[ID]],Items[ID],0))*1,0))</f>
      </c>
      <c r="L625" s="17">
        <f>IF(Log[[#This Row],[ID]]="","",IFERROR(INDEX(Items[Cur team],MATCH(Log[[#This Row],[ID]],Items[ID],0))&amp;"",""))</f>
      </c>
      <c r="M625" s="17">
        <f>IF(OR(Log[[#This Row],[Verb]]="done",Log[[#This Row],[Verb]]="punt",Log[[#This Row],[Verb]]="drop",Log[[#This Row],[Verb]]="pass"),Log[[#This Row],[Pts]],0)</f>
      </c>
    </row>
    <row r="626">
      <c r="A626" s="11">
        <v>46133</v>
      </c>
      <c r="B626" t="s">
        <v>447</v>
      </c>
      <c r="C626" t="s">
        <v>34</v>
      </c>
      <c r="D626">
        <v>42</v>
      </c>
      <c r="F626" s="17">
        <f>IF(Log[[#This Row],[ID]]="","",IF(ISNA(MATCH(Log[[#This Row],[ID]],Items[ID],0)),"unknown ID",IF(ISNA(MATCH(Log[[#This Row],[Verb]],VerbList,0)),"unknown verb",IF(Log[[#This Row],[Date]]="","no date",""))))</f>
      </c>
      <c r="G626" s="17">
        <f>IF(Log[[#This Row],[ID]]="","",IFERROR(VLOOKUP(Log[[#This Row],[Verb]],Verbs,3,FALSE)&amp;"",""))</f>
      </c>
      <c r="H626" s="17">
        <f>IF(Log[[#This Row],[Date]]="","",INT((Log[[#This Row],[Date]]-Sprint1)/SprintDays)+1)</f>
      </c>
      <c r="I626" s="17">
        <f>IF(OR(Log[[#This Row],[Verb]]="commit",Log[[#This Row],[Verb]]="carry",Log[[#This Row],[Verb]]="redo"),IF(Log[[#This Row],[Arg]]="",Log[[#This Row],[Sprint]],N(Log[[#This Row],[Arg]])),"")</f>
      </c>
      <c r="J626" s="17">
        <f>IF(Log[[#This Row],[Verb]]="block",1,IF(OR(Log[[#This Row],[Verb]]="unblock",Log[[#This Row],[Verb]]="done",Log[[#This Row],[Verb]]="drop",Log[[#This Row],[Verb]]="punt",Log[[#This Row],[Verb]]="pass"),0,""))</f>
      </c>
      <c r="K626" s="17">
        <f>IF(Log[[#This Row],[ID]]="",0,IFERROR(INDEX(Items[Pts],MATCH(Log[[#This Row],[ID]],Items[ID],0))*1,0))</f>
      </c>
      <c r="L626" s="17">
        <f>IF(Log[[#This Row],[ID]]="","",IFERROR(INDEX(Items[Cur team],MATCH(Log[[#This Row],[ID]],Items[ID],0))&amp;"",""))</f>
      </c>
      <c r="M626" s="17">
        <f>IF(OR(Log[[#This Row],[Verb]]="done",Log[[#This Row],[Verb]]="punt",Log[[#This Row],[Verb]]="drop",Log[[#This Row],[Verb]]="pass"),Log[[#This Row],[Pts]],0)</f>
      </c>
    </row>
    <row r="627">
      <c r="A627" s="11">
        <v>46133</v>
      </c>
      <c r="B627" t="s">
        <v>448</v>
      </c>
      <c r="C627" t="s">
        <v>34</v>
      </c>
      <c r="D627">
        <v>42</v>
      </c>
      <c r="F627" s="17">
        <f>IF(Log[[#This Row],[ID]]="","",IF(ISNA(MATCH(Log[[#This Row],[ID]],Items[ID],0)),"unknown ID",IF(ISNA(MATCH(Log[[#This Row],[Verb]],VerbList,0)),"unknown verb",IF(Log[[#This Row],[Date]]="","no date",""))))</f>
      </c>
      <c r="G627" s="17">
        <f>IF(Log[[#This Row],[ID]]="","",IFERROR(VLOOKUP(Log[[#This Row],[Verb]],Verbs,3,FALSE)&amp;"",""))</f>
      </c>
      <c r="H627" s="17">
        <f>IF(Log[[#This Row],[Date]]="","",INT((Log[[#This Row],[Date]]-Sprint1)/SprintDays)+1)</f>
      </c>
      <c r="I627" s="17">
        <f>IF(OR(Log[[#This Row],[Verb]]="commit",Log[[#This Row],[Verb]]="carry",Log[[#This Row],[Verb]]="redo"),IF(Log[[#This Row],[Arg]]="",Log[[#This Row],[Sprint]],N(Log[[#This Row],[Arg]])),"")</f>
      </c>
      <c r="J627" s="17">
        <f>IF(Log[[#This Row],[Verb]]="block",1,IF(OR(Log[[#This Row],[Verb]]="unblock",Log[[#This Row],[Verb]]="done",Log[[#This Row],[Verb]]="drop",Log[[#This Row],[Verb]]="punt",Log[[#This Row],[Verb]]="pass"),0,""))</f>
      </c>
      <c r="K627" s="17">
        <f>IF(Log[[#This Row],[ID]]="",0,IFERROR(INDEX(Items[Pts],MATCH(Log[[#This Row],[ID]],Items[ID],0))*1,0))</f>
      </c>
      <c r="L627" s="17">
        <f>IF(Log[[#This Row],[ID]]="","",IFERROR(INDEX(Items[Cur team],MATCH(Log[[#This Row],[ID]],Items[ID],0))&amp;"",""))</f>
      </c>
      <c r="M627" s="17">
        <f>IF(OR(Log[[#This Row],[Verb]]="done",Log[[#This Row],[Verb]]="punt",Log[[#This Row],[Verb]]="drop",Log[[#This Row],[Verb]]="pass"),Log[[#This Row],[Pts]],0)</f>
      </c>
    </row>
    <row r="628">
      <c r="A628" s="11">
        <v>46133</v>
      </c>
      <c r="B628" t="s">
        <v>449</v>
      </c>
      <c r="C628" t="s">
        <v>34</v>
      </c>
      <c r="D628">
        <v>42</v>
      </c>
      <c r="F628" s="17">
        <f>IF(Log[[#This Row],[ID]]="","",IF(ISNA(MATCH(Log[[#This Row],[ID]],Items[ID],0)),"unknown ID",IF(ISNA(MATCH(Log[[#This Row],[Verb]],VerbList,0)),"unknown verb",IF(Log[[#This Row],[Date]]="","no date",""))))</f>
      </c>
      <c r="G628" s="17">
        <f>IF(Log[[#This Row],[ID]]="","",IFERROR(VLOOKUP(Log[[#This Row],[Verb]],Verbs,3,FALSE)&amp;"",""))</f>
      </c>
      <c r="H628" s="17">
        <f>IF(Log[[#This Row],[Date]]="","",INT((Log[[#This Row],[Date]]-Sprint1)/SprintDays)+1)</f>
      </c>
      <c r="I628" s="17">
        <f>IF(OR(Log[[#This Row],[Verb]]="commit",Log[[#This Row],[Verb]]="carry",Log[[#This Row],[Verb]]="redo"),IF(Log[[#This Row],[Arg]]="",Log[[#This Row],[Sprint]],N(Log[[#This Row],[Arg]])),"")</f>
      </c>
      <c r="J628" s="17">
        <f>IF(Log[[#This Row],[Verb]]="block",1,IF(OR(Log[[#This Row],[Verb]]="unblock",Log[[#This Row],[Verb]]="done",Log[[#This Row],[Verb]]="drop",Log[[#This Row],[Verb]]="punt",Log[[#This Row],[Verb]]="pass"),0,""))</f>
      </c>
      <c r="K628" s="17">
        <f>IF(Log[[#This Row],[ID]]="",0,IFERROR(INDEX(Items[Pts],MATCH(Log[[#This Row],[ID]],Items[ID],0))*1,0))</f>
      </c>
      <c r="L628" s="17">
        <f>IF(Log[[#This Row],[ID]]="","",IFERROR(INDEX(Items[Cur team],MATCH(Log[[#This Row],[ID]],Items[ID],0))&amp;"",""))</f>
      </c>
      <c r="M628" s="17">
        <f>IF(OR(Log[[#This Row],[Verb]]="done",Log[[#This Row],[Verb]]="punt",Log[[#This Row],[Verb]]="drop",Log[[#This Row],[Verb]]="pass"),Log[[#This Row],[Pts]],0)</f>
      </c>
    </row>
    <row r="629">
      <c r="A629" s="11">
        <v>46133</v>
      </c>
      <c r="B629" t="s">
        <v>450</v>
      </c>
      <c r="C629" t="s">
        <v>34</v>
      </c>
      <c r="D629">
        <v>42</v>
      </c>
      <c r="F629" s="17">
        <f>IF(Log[[#This Row],[ID]]="","",IF(ISNA(MATCH(Log[[#This Row],[ID]],Items[ID],0)),"unknown ID",IF(ISNA(MATCH(Log[[#This Row],[Verb]],VerbList,0)),"unknown verb",IF(Log[[#This Row],[Date]]="","no date",""))))</f>
      </c>
      <c r="G629" s="17">
        <f>IF(Log[[#This Row],[ID]]="","",IFERROR(VLOOKUP(Log[[#This Row],[Verb]],Verbs,3,FALSE)&amp;"",""))</f>
      </c>
      <c r="H629" s="17">
        <f>IF(Log[[#This Row],[Date]]="","",INT((Log[[#This Row],[Date]]-Sprint1)/SprintDays)+1)</f>
      </c>
      <c r="I629" s="17">
        <f>IF(OR(Log[[#This Row],[Verb]]="commit",Log[[#This Row],[Verb]]="carry",Log[[#This Row],[Verb]]="redo"),IF(Log[[#This Row],[Arg]]="",Log[[#This Row],[Sprint]],N(Log[[#This Row],[Arg]])),"")</f>
      </c>
      <c r="J629" s="17">
        <f>IF(Log[[#This Row],[Verb]]="block",1,IF(OR(Log[[#This Row],[Verb]]="unblock",Log[[#This Row],[Verb]]="done",Log[[#This Row],[Verb]]="drop",Log[[#This Row],[Verb]]="punt",Log[[#This Row],[Verb]]="pass"),0,""))</f>
      </c>
      <c r="K629" s="17">
        <f>IF(Log[[#This Row],[ID]]="",0,IFERROR(INDEX(Items[Pts],MATCH(Log[[#This Row],[ID]],Items[ID],0))*1,0))</f>
      </c>
      <c r="L629" s="17">
        <f>IF(Log[[#This Row],[ID]]="","",IFERROR(INDEX(Items[Cur team],MATCH(Log[[#This Row],[ID]],Items[ID],0))&amp;"",""))</f>
      </c>
      <c r="M629" s="17">
        <f>IF(OR(Log[[#This Row],[Verb]]="done",Log[[#This Row],[Verb]]="punt",Log[[#This Row],[Verb]]="drop",Log[[#This Row],[Verb]]="pass"),Log[[#This Row],[Pts]],0)</f>
      </c>
    </row>
    <row r="630">
      <c r="A630" s="11">
        <v>46133</v>
      </c>
      <c r="B630" t="s">
        <v>451</v>
      </c>
      <c r="C630" t="s">
        <v>34</v>
      </c>
      <c r="D630">
        <v>42</v>
      </c>
      <c r="F630" s="17">
        <f>IF(Log[[#This Row],[ID]]="","",IF(ISNA(MATCH(Log[[#This Row],[ID]],Items[ID],0)),"unknown ID",IF(ISNA(MATCH(Log[[#This Row],[Verb]],VerbList,0)),"unknown verb",IF(Log[[#This Row],[Date]]="","no date",""))))</f>
      </c>
      <c r="G630" s="17">
        <f>IF(Log[[#This Row],[ID]]="","",IFERROR(VLOOKUP(Log[[#This Row],[Verb]],Verbs,3,FALSE)&amp;"",""))</f>
      </c>
      <c r="H630" s="17">
        <f>IF(Log[[#This Row],[Date]]="","",INT((Log[[#This Row],[Date]]-Sprint1)/SprintDays)+1)</f>
      </c>
      <c r="I630" s="17">
        <f>IF(OR(Log[[#This Row],[Verb]]="commit",Log[[#This Row],[Verb]]="carry",Log[[#This Row],[Verb]]="redo"),IF(Log[[#This Row],[Arg]]="",Log[[#This Row],[Sprint]],N(Log[[#This Row],[Arg]])),"")</f>
      </c>
      <c r="J630" s="17">
        <f>IF(Log[[#This Row],[Verb]]="block",1,IF(OR(Log[[#This Row],[Verb]]="unblock",Log[[#This Row],[Verb]]="done",Log[[#This Row],[Verb]]="drop",Log[[#This Row],[Verb]]="punt",Log[[#This Row],[Verb]]="pass"),0,""))</f>
      </c>
      <c r="K630" s="17">
        <f>IF(Log[[#This Row],[ID]]="",0,IFERROR(INDEX(Items[Pts],MATCH(Log[[#This Row],[ID]],Items[ID],0))*1,0))</f>
      </c>
      <c r="L630" s="17">
        <f>IF(Log[[#This Row],[ID]]="","",IFERROR(INDEX(Items[Cur team],MATCH(Log[[#This Row],[ID]],Items[ID],0))&amp;"",""))</f>
      </c>
      <c r="M630" s="17">
        <f>IF(OR(Log[[#This Row],[Verb]]="done",Log[[#This Row],[Verb]]="punt",Log[[#This Row],[Verb]]="drop",Log[[#This Row],[Verb]]="pass"),Log[[#This Row],[Pts]],0)</f>
      </c>
    </row>
    <row r="631">
      <c r="A631" s="11">
        <v>46133</v>
      </c>
      <c r="B631" t="s">
        <v>452</v>
      </c>
      <c r="C631" t="s">
        <v>34</v>
      </c>
      <c r="D631">
        <v>42</v>
      </c>
      <c r="F631" s="17">
        <f>IF(Log[[#This Row],[ID]]="","",IF(ISNA(MATCH(Log[[#This Row],[ID]],Items[ID],0)),"unknown ID",IF(ISNA(MATCH(Log[[#This Row],[Verb]],VerbList,0)),"unknown verb",IF(Log[[#This Row],[Date]]="","no date",""))))</f>
      </c>
      <c r="G631" s="17">
        <f>IF(Log[[#This Row],[ID]]="","",IFERROR(VLOOKUP(Log[[#This Row],[Verb]],Verbs,3,FALSE)&amp;"",""))</f>
      </c>
      <c r="H631" s="17">
        <f>IF(Log[[#This Row],[Date]]="","",INT((Log[[#This Row],[Date]]-Sprint1)/SprintDays)+1)</f>
      </c>
      <c r="I631" s="17">
        <f>IF(OR(Log[[#This Row],[Verb]]="commit",Log[[#This Row],[Verb]]="carry",Log[[#This Row],[Verb]]="redo"),IF(Log[[#This Row],[Arg]]="",Log[[#This Row],[Sprint]],N(Log[[#This Row],[Arg]])),"")</f>
      </c>
      <c r="J631" s="17">
        <f>IF(Log[[#This Row],[Verb]]="block",1,IF(OR(Log[[#This Row],[Verb]]="unblock",Log[[#This Row],[Verb]]="done",Log[[#This Row],[Verb]]="drop",Log[[#This Row],[Verb]]="punt",Log[[#This Row],[Verb]]="pass"),0,""))</f>
      </c>
      <c r="K631" s="17">
        <f>IF(Log[[#This Row],[ID]]="",0,IFERROR(INDEX(Items[Pts],MATCH(Log[[#This Row],[ID]],Items[ID],0))*1,0))</f>
      </c>
      <c r="L631" s="17">
        <f>IF(Log[[#This Row],[ID]]="","",IFERROR(INDEX(Items[Cur team],MATCH(Log[[#This Row],[ID]],Items[ID],0))&amp;"",""))</f>
      </c>
      <c r="M631" s="17">
        <f>IF(OR(Log[[#This Row],[Verb]]="done",Log[[#This Row],[Verb]]="punt",Log[[#This Row],[Verb]]="drop",Log[[#This Row],[Verb]]="pass"),Log[[#This Row],[Pts]],0)</f>
      </c>
    </row>
    <row r="632">
      <c r="A632" s="11">
        <v>46133</v>
      </c>
      <c r="B632" t="s">
        <v>453</v>
      </c>
      <c r="C632" t="s">
        <v>34</v>
      </c>
      <c r="D632">
        <v>42</v>
      </c>
      <c r="F632" s="17">
        <f>IF(Log[[#This Row],[ID]]="","",IF(ISNA(MATCH(Log[[#This Row],[ID]],Items[ID],0)),"unknown ID",IF(ISNA(MATCH(Log[[#This Row],[Verb]],VerbList,0)),"unknown verb",IF(Log[[#This Row],[Date]]="","no date",""))))</f>
      </c>
      <c r="G632" s="17">
        <f>IF(Log[[#This Row],[ID]]="","",IFERROR(VLOOKUP(Log[[#This Row],[Verb]],Verbs,3,FALSE)&amp;"",""))</f>
      </c>
      <c r="H632" s="17">
        <f>IF(Log[[#This Row],[Date]]="","",INT((Log[[#This Row],[Date]]-Sprint1)/SprintDays)+1)</f>
      </c>
      <c r="I632" s="17">
        <f>IF(OR(Log[[#This Row],[Verb]]="commit",Log[[#This Row],[Verb]]="carry",Log[[#This Row],[Verb]]="redo"),IF(Log[[#This Row],[Arg]]="",Log[[#This Row],[Sprint]],N(Log[[#This Row],[Arg]])),"")</f>
      </c>
      <c r="J632" s="17">
        <f>IF(Log[[#This Row],[Verb]]="block",1,IF(OR(Log[[#This Row],[Verb]]="unblock",Log[[#This Row],[Verb]]="done",Log[[#This Row],[Verb]]="drop",Log[[#This Row],[Verb]]="punt",Log[[#This Row],[Verb]]="pass"),0,""))</f>
      </c>
      <c r="K632" s="17">
        <f>IF(Log[[#This Row],[ID]]="",0,IFERROR(INDEX(Items[Pts],MATCH(Log[[#This Row],[ID]],Items[ID],0))*1,0))</f>
      </c>
      <c r="L632" s="17">
        <f>IF(Log[[#This Row],[ID]]="","",IFERROR(INDEX(Items[Cur team],MATCH(Log[[#This Row],[ID]],Items[ID],0))&amp;"",""))</f>
      </c>
      <c r="M632" s="17">
        <f>IF(OR(Log[[#This Row],[Verb]]="done",Log[[#This Row],[Verb]]="punt",Log[[#This Row],[Verb]]="drop",Log[[#This Row],[Verb]]="pass"),Log[[#This Row],[Pts]],0)</f>
      </c>
    </row>
    <row r="633">
      <c r="A633" s="11">
        <v>46133</v>
      </c>
      <c r="B633" t="s">
        <v>454</v>
      </c>
      <c r="C633" t="s">
        <v>34</v>
      </c>
      <c r="D633">
        <v>42</v>
      </c>
      <c r="F633" s="17">
        <f>IF(Log[[#This Row],[ID]]="","",IF(ISNA(MATCH(Log[[#This Row],[ID]],Items[ID],0)),"unknown ID",IF(ISNA(MATCH(Log[[#This Row],[Verb]],VerbList,0)),"unknown verb",IF(Log[[#This Row],[Date]]="","no date",""))))</f>
      </c>
      <c r="G633" s="17">
        <f>IF(Log[[#This Row],[ID]]="","",IFERROR(VLOOKUP(Log[[#This Row],[Verb]],Verbs,3,FALSE)&amp;"",""))</f>
      </c>
      <c r="H633" s="17">
        <f>IF(Log[[#This Row],[Date]]="","",INT((Log[[#This Row],[Date]]-Sprint1)/SprintDays)+1)</f>
      </c>
      <c r="I633" s="17">
        <f>IF(OR(Log[[#This Row],[Verb]]="commit",Log[[#This Row],[Verb]]="carry",Log[[#This Row],[Verb]]="redo"),IF(Log[[#This Row],[Arg]]="",Log[[#This Row],[Sprint]],N(Log[[#This Row],[Arg]])),"")</f>
      </c>
      <c r="J633" s="17">
        <f>IF(Log[[#This Row],[Verb]]="block",1,IF(OR(Log[[#This Row],[Verb]]="unblock",Log[[#This Row],[Verb]]="done",Log[[#This Row],[Verb]]="drop",Log[[#This Row],[Verb]]="punt",Log[[#This Row],[Verb]]="pass"),0,""))</f>
      </c>
      <c r="K633" s="17">
        <f>IF(Log[[#This Row],[ID]]="",0,IFERROR(INDEX(Items[Pts],MATCH(Log[[#This Row],[ID]],Items[ID],0))*1,0))</f>
      </c>
      <c r="L633" s="17">
        <f>IF(Log[[#This Row],[ID]]="","",IFERROR(INDEX(Items[Cur team],MATCH(Log[[#This Row],[ID]],Items[ID],0))&amp;"",""))</f>
      </c>
      <c r="M633" s="17">
        <f>IF(OR(Log[[#This Row],[Verb]]="done",Log[[#This Row],[Verb]]="punt",Log[[#This Row],[Verb]]="drop",Log[[#This Row],[Verb]]="pass"),Log[[#This Row],[Pts]],0)</f>
      </c>
    </row>
    <row r="634">
      <c r="A634" s="11">
        <v>46133</v>
      </c>
      <c r="B634" t="s">
        <v>455</v>
      </c>
      <c r="C634" t="s">
        <v>34</v>
      </c>
      <c r="D634">
        <v>42</v>
      </c>
      <c r="F634" s="17">
        <f>IF(Log[[#This Row],[ID]]="","",IF(ISNA(MATCH(Log[[#This Row],[ID]],Items[ID],0)),"unknown ID",IF(ISNA(MATCH(Log[[#This Row],[Verb]],VerbList,0)),"unknown verb",IF(Log[[#This Row],[Date]]="","no date",""))))</f>
      </c>
      <c r="G634" s="17">
        <f>IF(Log[[#This Row],[ID]]="","",IFERROR(VLOOKUP(Log[[#This Row],[Verb]],Verbs,3,FALSE)&amp;"",""))</f>
      </c>
      <c r="H634" s="17">
        <f>IF(Log[[#This Row],[Date]]="","",INT((Log[[#This Row],[Date]]-Sprint1)/SprintDays)+1)</f>
      </c>
      <c r="I634" s="17">
        <f>IF(OR(Log[[#This Row],[Verb]]="commit",Log[[#This Row],[Verb]]="carry",Log[[#This Row],[Verb]]="redo"),IF(Log[[#This Row],[Arg]]="",Log[[#This Row],[Sprint]],N(Log[[#This Row],[Arg]])),"")</f>
      </c>
      <c r="J634" s="17">
        <f>IF(Log[[#This Row],[Verb]]="block",1,IF(OR(Log[[#This Row],[Verb]]="unblock",Log[[#This Row],[Verb]]="done",Log[[#This Row],[Verb]]="drop",Log[[#This Row],[Verb]]="punt",Log[[#This Row],[Verb]]="pass"),0,""))</f>
      </c>
      <c r="K634" s="17">
        <f>IF(Log[[#This Row],[ID]]="",0,IFERROR(INDEX(Items[Pts],MATCH(Log[[#This Row],[ID]],Items[ID],0))*1,0))</f>
      </c>
      <c r="L634" s="17">
        <f>IF(Log[[#This Row],[ID]]="","",IFERROR(INDEX(Items[Cur team],MATCH(Log[[#This Row],[ID]],Items[ID],0))&amp;"",""))</f>
      </c>
      <c r="M634" s="17">
        <f>IF(OR(Log[[#This Row],[Verb]]="done",Log[[#This Row],[Verb]]="punt",Log[[#This Row],[Verb]]="drop",Log[[#This Row],[Verb]]="pass"),Log[[#This Row],[Pts]],0)</f>
      </c>
    </row>
    <row r="635">
      <c r="A635" s="11">
        <v>46133</v>
      </c>
      <c r="B635" t="s">
        <v>456</v>
      </c>
      <c r="C635" t="s">
        <v>34</v>
      </c>
      <c r="D635">
        <v>42</v>
      </c>
      <c r="F635" s="17">
        <f>IF(Log[[#This Row],[ID]]="","",IF(ISNA(MATCH(Log[[#This Row],[ID]],Items[ID],0)),"unknown ID",IF(ISNA(MATCH(Log[[#This Row],[Verb]],VerbList,0)),"unknown verb",IF(Log[[#This Row],[Date]]="","no date",""))))</f>
      </c>
      <c r="G635" s="17">
        <f>IF(Log[[#This Row],[ID]]="","",IFERROR(VLOOKUP(Log[[#This Row],[Verb]],Verbs,3,FALSE)&amp;"",""))</f>
      </c>
      <c r="H635" s="17">
        <f>IF(Log[[#This Row],[Date]]="","",INT((Log[[#This Row],[Date]]-Sprint1)/SprintDays)+1)</f>
      </c>
      <c r="I635" s="17">
        <f>IF(OR(Log[[#This Row],[Verb]]="commit",Log[[#This Row],[Verb]]="carry",Log[[#This Row],[Verb]]="redo"),IF(Log[[#This Row],[Arg]]="",Log[[#This Row],[Sprint]],N(Log[[#This Row],[Arg]])),"")</f>
      </c>
      <c r="J635" s="17">
        <f>IF(Log[[#This Row],[Verb]]="block",1,IF(OR(Log[[#This Row],[Verb]]="unblock",Log[[#This Row],[Verb]]="done",Log[[#This Row],[Verb]]="drop",Log[[#This Row],[Verb]]="punt",Log[[#This Row],[Verb]]="pass"),0,""))</f>
      </c>
      <c r="K635" s="17">
        <f>IF(Log[[#This Row],[ID]]="",0,IFERROR(INDEX(Items[Pts],MATCH(Log[[#This Row],[ID]],Items[ID],0))*1,0))</f>
      </c>
      <c r="L635" s="17">
        <f>IF(Log[[#This Row],[ID]]="","",IFERROR(INDEX(Items[Cur team],MATCH(Log[[#This Row],[ID]],Items[ID],0))&amp;"",""))</f>
      </c>
      <c r="M635" s="17">
        <f>IF(OR(Log[[#This Row],[Verb]]="done",Log[[#This Row],[Verb]]="punt",Log[[#This Row],[Verb]]="drop",Log[[#This Row],[Verb]]="pass"),Log[[#This Row],[Pts]],0)</f>
      </c>
    </row>
    <row r="636">
      <c r="A636" s="11">
        <v>46133</v>
      </c>
      <c r="B636" t="s">
        <v>457</v>
      </c>
      <c r="C636" t="s">
        <v>34</v>
      </c>
      <c r="D636">
        <v>42</v>
      </c>
      <c r="F636" s="17">
        <f>IF(Log[[#This Row],[ID]]="","",IF(ISNA(MATCH(Log[[#This Row],[ID]],Items[ID],0)),"unknown ID",IF(ISNA(MATCH(Log[[#This Row],[Verb]],VerbList,0)),"unknown verb",IF(Log[[#This Row],[Date]]="","no date",""))))</f>
      </c>
      <c r="G636" s="17">
        <f>IF(Log[[#This Row],[ID]]="","",IFERROR(VLOOKUP(Log[[#This Row],[Verb]],Verbs,3,FALSE)&amp;"",""))</f>
      </c>
      <c r="H636" s="17">
        <f>IF(Log[[#This Row],[Date]]="","",INT((Log[[#This Row],[Date]]-Sprint1)/SprintDays)+1)</f>
      </c>
      <c r="I636" s="17">
        <f>IF(OR(Log[[#This Row],[Verb]]="commit",Log[[#This Row],[Verb]]="carry",Log[[#This Row],[Verb]]="redo"),IF(Log[[#This Row],[Arg]]="",Log[[#This Row],[Sprint]],N(Log[[#This Row],[Arg]])),"")</f>
      </c>
      <c r="J636" s="17">
        <f>IF(Log[[#This Row],[Verb]]="block",1,IF(OR(Log[[#This Row],[Verb]]="unblock",Log[[#This Row],[Verb]]="done",Log[[#This Row],[Verb]]="drop",Log[[#This Row],[Verb]]="punt",Log[[#This Row],[Verb]]="pass"),0,""))</f>
      </c>
      <c r="K636" s="17">
        <f>IF(Log[[#This Row],[ID]]="",0,IFERROR(INDEX(Items[Pts],MATCH(Log[[#This Row],[ID]],Items[ID],0))*1,0))</f>
      </c>
      <c r="L636" s="17">
        <f>IF(Log[[#This Row],[ID]]="","",IFERROR(INDEX(Items[Cur team],MATCH(Log[[#This Row],[ID]],Items[ID],0))&amp;"",""))</f>
      </c>
      <c r="M636" s="17">
        <f>IF(OR(Log[[#This Row],[Verb]]="done",Log[[#This Row],[Verb]]="punt",Log[[#This Row],[Verb]]="drop",Log[[#This Row],[Verb]]="pass"),Log[[#This Row],[Pts]],0)</f>
      </c>
    </row>
    <row r="637">
      <c r="A637" s="11">
        <v>46133</v>
      </c>
      <c r="B637" t="s">
        <v>458</v>
      </c>
      <c r="C637" t="s">
        <v>34</v>
      </c>
      <c r="D637">
        <v>42</v>
      </c>
      <c r="F637" s="17">
        <f>IF(Log[[#This Row],[ID]]="","",IF(ISNA(MATCH(Log[[#This Row],[ID]],Items[ID],0)),"unknown ID",IF(ISNA(MATCH(Log[[#This Row],[Verb]],VerbList,0)),"unknown verb",IF(Log[[#This Row],[Date]]="","no date",""))))</f>
      </c>
      <c r="G637" s="17">
        <f>IF(Log[[#This Row],[ID]]="","",IFERROR(VLOOKUP(Log[[#This Row],[Verb]],Verbs,3,FALSE)&amp;"",""))</f>
      </c>
      <c r="H637" s="17">
        <f>IF(Log[[#This Row],[Date]]="","",INT((Log[[#This Row],[Date]]-Sprint1)/SprintDays)+1)</f>
      </c>
      <c r="I637" s="17">
        <f>IF(OR(Log[[#This Row],[Verb]]="commit",Log[[#This Row],[Verb]]="carry",Log[[#This Row],[Verb]]="redo"),IF(Log[[#This Row],[Arg]]="",Log[[#This Row],[Sprint]],N(Log[[#This Row],[Arg]])),"")</f>
      </c>
      <c r="J637" s="17">
        <f>IF(Log[[#This Row],[Verb]]="block",1,IF(OR(Log[[#This Row],[Verb]]="unblock",Log[[#This Row],[Verb]]="done",Log[[#This Row],[Verb]]="drop",Log[[#This Row],[Verb]]="punt",Log[[#This Row],[Verb]]="pass"),0,""))</f>
      </c>
      <c r="K637" s="17">
        <f>IF(Log[[#This Row],[ID]]="",0,IFERROR(INDEX(Items[Pts],MATCH(Log[[#This Row],[ID]],Items[ID],0))*1,0))</f>
      </c>
      <c r="L637" s="17">
        <f>IF(Log[[#This Row],[ID]]="","",IFERROR(INDEX(Items[Cur team],MATCH(Log[[#This Row],[ID]],Items[ID],0))&amp;"",""))</f>
      </c>
      <c r="M637" s="17">
        <f>IF(OR(Log[[#This Row],[Verb]]="done",Log[[#This Row],[Verb]]="punt",Log[[#This Row],[Verb]]="drop",Log[[#This Row],[Verb]]="pass"),Log[[#This Row],[Pts]],0)</f>
      </c>
    </row>
    <row r="638">
      <c r="A638" s="11">
        <v>46133</v>
      </c>
      <c r="B638" t="s">
        <v>459</v>
      </c>
      <c r="C638" t="s">
        <v>34</v>
      </c>
      <c r="D638">
        <v>42</v>
      </c>
      <c r="F638" s="17">
        <f>IF(Log[[#This Row],[ID]]="","",IF(ISNA(MATCH(Log[[#This Row],[ID]],Items[ID],0)),"unknown ID",IF(ISNA(MATCH(Log[[#This Row],[Verb]],VerbList,0)),"unknown verb",IF(Log[[#This Row],[Date]]="","no date",""))))</f>
      </c>
      <c r="G638" s="17">
        <f>IF(Log[[#This Row],[ID]]="","",IFERROR(VLOOKUP(Log[[#This Row],[Verb]],Verbs,3,FALSE)&amp;"",""))</f>
      </c>
      <c r="H638" s="17">
        <f>IF(Log[[#This Row],[Date]]="","",INT((Log[[#This Row],[Date]]-Sprint1)/SprintDays)+1)</f>
      </c>
      <c r="I638" s="17">
        <f>IF(OR(Log[[#This Row],[Verb]]="commit",Log[[#This Row],[Verb]]="carry",Log[[#This Row],[Verb]]="redo"),IF(Log[[#This Row],[Arg]]="",Log[[#This Row],[Sprint]],N(Log[[#This Row],[Arg]])),"")</f>
      </c>
      <c r="J638" s="17">
        <f>IF(Log[[#This Row],[Verb]]="block",1,IF(OR(Log[[#This Row],[Verb]]="unblock",Log[[#This Row],[Verb]]="done",Log[[#This Row],[Verb]]="drop",Log[[#This Row],[Verb]]="punt",Log[[#This Row],[Verb]]="pass"),0,""))</f>
      </c>
      <c r="K638" s="17">
        <f>IF(Log[[#This Row],[ID]]="",0,IFERROR(INDEX(Items[Pts],MATCH(Log[[#This Row],[ID]],Items[ID],0))*1,0))</f>
      </c>
      <c r="L638" s="17">
        <f>IF(Log[[#This Row],[ID]]="","",IFERROR(INDEX(Items[Cur team],MATCH(Log[[#This Row],[ID]],Items[ID],0))&amp;"",""))</f>
      </c>
      <c r="M638" s="17">
        <f>IF(OR(Log[[#This Row],[Verb]]="done",Log[[#This Row],[Verb]]="punt",Log[[#This Row],[Verb]]="drop",Log[[#This Row],[Verb]]="pass"),Log[[#This Row],[Pts]],0)</f>
      </c>
    </row>
    <row r="639">
      <c r="A639" s="11">
        <v>46133</v>
      </c>
      <c r="B639" t="s">
        <v>460</v>
      </c>
      <c r="C639" t="s">
        <v>34</v>
      </c>
      <c r="D639">
        <v>42</v>
      </c>
      <c r="F639" s="17">
        <f>IF(Log[[#This Row],[ID]]="","",IF(ISNA(MATCH(Log[[#This Row],[ID]],Items[ID],0)),"unknown ID",IF(ISNA(MATCH(Log[[#This Row],[Verb]],VerbList,0)),"unknown verb",IF(Log[[#This Row],[Date]]="","no date",""))))</f>
      </c>
      <c r="G639" s="17">
        <f>IF(Log[[#This Row],[ID]]="","",IFERROR(VLOOKUP(Log[[#This Row],[Verb]],Verbs,3,FALSE)&amp;"",""))</f>
      </c>
      <c r="H639" s="17">
        <f>IF(Log[[#This Row],[Date]]="","",INT((Log[[#This Row],[Date]]-Sprint1)/SprintDays)+1)</f>
      </c>
      <c r="I639" s="17">
        <f>IF(OR(Log[[#This Row],[Verb]]="commit",Log[[#This Row],[Verb]]="carry",Log[[#This Row],[Verb]]="redo"),IF(Log[[#This Row],[Arg]]="",Log[[#This Row],[Sprint]],N(Log[[#This Row],[Arg]])),"")</f>
      </c>
      <c r="J639" s="17">
        <f>IF(Log[[#This Row],[Verb]]="block",1,IF(OR(Log[[#This Row],[Verb]]="unblock",Log[[#This Row],[Verb]]="done",Log[[#This Row],[Verb]]="drop",Log[[#This Row],[Verb]]="punt",Log[[#This Row],[Verb]]="pass"),0,""))</f>
      </c>
      <c r="K639" s="17">
        <f>IF(Log[[#This Row],[ID]]="",0,IFERROR(INDEX(Items[Pts],MATCH(Log[[#This Row],[ID]],Items[ID],0))*1,0))</f>
      </c>
      <c r="L639" s="17">
        <f>IF(Log[[#This Row],[ID]]="","",IFERROR(INDEX(Items[Cur team],MATCH(Log[[#This Row],[ID]],Items[ID],0))&amp;"",""))</f>
      </c>
      <c r="M639" s="17">
        <f>IF(OR(Log[[#This Row],[Verb]]="done",Log[[#This Row],[Verb]]="punt",Log[[#This Row],[Verb]]="drop",Log[[#This Row],[Verb]]="pass"),Log[[#This Row],[Pts]],0)</f>
      </c>
    </row>
    <row r="640">
      <c r="A640" s="11">
        <v>46133</v>
      </c>
      <c r="B640" t="s">
        <v>461</v>
      </c>
      <c r="C640" t="s">
        <v>34</v>
      </c>
      <c r="D640">
        <v>42</v>
      </c>
      <c r="F640" s="17">
        <f>IF(Log[[#This Row],[ID]]="","",IF(ISNA(MATCH(Log[[#This Row],[ID]],Items[ID],0)),"unknown ID",IF(ISNA(MATCH(Log[[#This Row],[Verb]],VerbList,0)),"unknown verb",IF(Log[[#This Row],[Date]]="","no date",""))))</f>
      </c>
      <c r="G640" s="17">
        <f>IF(Log[[#This Row],[ID]]="","",IFERROR(VLOOKUP(Log[[#This Row],[Verb]],Verbs,3,FALSE)&amp;"",""))</f>
      </c>
      <c r="H640" s="17">
        <f>IF(Log[[#This Row],[Date]]="","",INT((Log[[#This Row],[Date]]-Sprint1)/SprintDays)+1)</f>
      </c>
      <c r="I640" s="17">
        <f>IF(OR(Log[[#This Row],[Verb]]="commit",Log[[#This Row],[Verb]]="carry",Log[[#This Row],[Verb]]="redo"),IF(Log[[#This Row],[Arg]]="",Log[[#This Row],[Sprint]],N(Log[[#This Row],[Arg]])),"")</f>
      </c>
      <c r="J640" s="17">
        <f>IF(Log[[#This Row],[Verb]]="block",1,IF(OR(Log[[#This Row],[Verb]]="unblock",Log[[#This Row],[Verb]]="done",Log[[#This Row],[Verb]]="drop",Log[[#This Row],[Verb]]="punt",Log[[#This Row],[Verb]]="pass"),0,""))</f>
      </c>
      <c r="K640" s="17">
        <f>IF(Log[[#This Row],[ID]]="",0,IFERROR(INDEX(Items[Pts],MATCH(Log[[#This Row],[ID]],Items[ID],0))*1,0))</f>
      </c>
      <c r="L640" s="17">
        <f>IF(Log[[#This Row],[ID]]="","",IFERROR(INDEX(Items[Cur team],MATCH(Log[[#This Row],[ID]],Items[ID],0))&amp;"",""))</f>
      </c>
      <c r="M640" s="17">
        <f>IF(OR(Log[[#This Row],[Verb]]="done",Log[[#This Row],[Verb]]="punt",Log[[#This Row],[Verb]]="drop",Log[[#This Row],[Verb]]="pass"),Log[[#This Row],[Pts]],0)</f>
      </c>
    </row>
    <row r="641">
      <c r="A641" s="11">
        <v>46133</v>
      </c>
      <c r="B641" t="s">
        <v>462</v>
      </c>
      <c r="C641" t="s">
        <v>34</v>
      </c>
      <c r="D641">
        <v>42</v>
      </c>
      <c r="F641" s="17">
        <f>IF(Log[[#This Row],[ID]]="","",IF(ISNA(MATCH(Log[[#This Row],[ID]],Items[ID],0)),"unknown ID",IF(ISNA(MATCH(Log[[#This Row],[Verb]],VerbList,0)),"unknown verb",IF(Log[[#This Row],[Date]]="","no date",""))))</f>
      </c>
      <c r="G641" s="17">
        <f>IF(Log[[#This Row],[ID]]="","",IFERROR(VLOOKUP(Log[[#This Row],[Verb]],Verbs,3,FALSE)&amp;"",""))</f>
      </c>
      <c r="H641" s="17">
        <f>IF(Log[[#This Row],[Date]]="","",INT((Log[[#This Row],[Date]]-Sprint1)/SprintDays)+1)</f>
      </c>
      <c r="I641" s="17">
        <f>IF(OR(Log[[#This Row],[Verb]]="commit",Log[[#This Row],[Verb]]="carry",Log[[#This Row],[Verb]]="redo"),IF(Log[[#This Row],[Arg]]="",Log[[#This Row],[Sprint]],N(Log[[#This Row],[Arg]])),"")</f>
      </c>
      <c r="J641" s="17">
        <f>IF(Log[[#This Row],[Verb]]="block",1,IF(OR(Log[[#This Row],[Verb]]="unblock",Log[[#This Row],[Verb]]="done",Log[[#This Row],[Verb]]="drop",Log[[#This Row],[Verb]]="punt",Log[[#This Row],[Verb]]="pass"),0,""))</f>
      </c>
      <c r="K641" s="17">
        <f>IF(Log[[#This Row],[ID]]="",0,IFERROR(INDEX(Items[Pts],MATCH(Log[[#This Row],[ID]],Items[ID],0))*1,0))</f>
      </c>
      <c r="L641" s="17">
        <f>IF(Log[[#This Row],[ID]]="","",IFERROR(INDEX(Items[Cur team],MATCH(Log[[#This Row],[ID]],Items[ID],0))&amp;"",""))</f>
      </c>
      <c r="M641" s="17">
        <f>IF(OR(Log[[#This Row],[Verb]]="done",Log[[#This Row],[Verb]]="punt",Log[[#This Row],[Verb]]="drop",Log[[#This Row],[Verb]]="pass"),Log[[#This Row],[Pts]],0)</f>
      </c>
    </row>
    <row r="642">
      <c r="A642" s="11">
        <v>46133</v>
      </c>
      <c r="B642" t="s">
        <v>463</v>
      </c>
      <c r="C642" t="s">
        <v>34</v>
      </c>
      <c r="D642">
        <v>42</v>
      </c>
      <c r="F642" s="17">
        <f>IF(Log[[#This Row],[ID]]="","",IF(ISNA(MATCH(Log[[#This Row],[ID]],Items[ID],0)),"unknown ID",IF(ISNA(MATCH(Log[[#This Row],[Verb]],VerbList,0)),"unknown verb",IF(Log[[#This Row],[Date]]="","no date",""))))</f>
      </c>
      <c r="G642" s="17">
        <f>IF(Log[[#This Row],[ID]]="","",IFERROR(VLOOKUP(Log[[#This Row],[Verb]],Verbs,3,FALSE)&amp;"",""))</f>
      </c>
      <c r="H642" s="17">
        <f>IF(Log[[#This Row],[Date]]="","",INT((Log[[#This Row],[Date]]-Sprint1)/SprintDays)+1)</f>
      </c>
      <c r="I642" s="17">
        <f>IF(OR(Log[[#This Row],[Verb]]="commit",Log[[#This Row],[Verb]]="carry",Log[[#This Row],[Verb]]="redo"),IF(Log[[#This Row],[Arg]]="",Log[[#This Row],[Sprint]],N(Log[[#This Row],[Arg]])),"")</f>
      </c>
      <c r="J642" s="17">
        <f>IF(Log[[#This Row],[Verb]]="block",1,IF(OR(Log[[#This Row],[Verb]]="unblock",Log[[#This Row],[Verb]]="done",Log[[#This Row],[Verb]]="drop",Log[[#This Row],[Verb]]="punt",Log[[#This Row],[Verb]]="pass"),0,""))</f>
      </c>
      <c r="K642" s="17">
        <f>IF(Log[[#This Row],[ID]]="",0,IFERROR(INDEX(Items[Pts],MATCH(Log[[#This Row],[ID]],Items[ID],0))*1,0))</f>
      </c>
      <c r="L642" s="17">
        <f>IF(Log[[#This Row],[ID]]="","",IFERROR(INDEX(Items[Cur team],MATCH(Log[[#This Row],[ID]],Items[ID],0))&amp;"",""))</f>
      </c>
      <c r="M642" s="17">
        <f>IF(OR(Log[[#This Row],[Verb]]="done",Log[[#This Row],[Verb]]="punt",Log[[#This Row],[Verb]]="drop",Log[[#This Row],[Verb]]="pass"),Log[[#This Row],[Pts]],0)</f>
      </c>
    </row>
    <row r="643">
      <c r="A643" s="11">
        <v>46133</v>
      </c>
      <c r="B643" t="s">
        <v>464</v>
      </c>
      <c r="C643" t="s">
        <v>34</v>
      </c>
      <c r="D643">
        <v>42</v>
      </c>
      <c r="F643" s="17">
        <f>IF(Log[[#This Row],[ID]]="","",IF(ISNA(MATCH(Log[[#This Row],[ID]],Items[ID],0)),"unknown ID",IF(ISNA(MATCH(Log[[#This Row],[Verb]],VerbList,0)),"unknown verb",IF(Log[[#This Row],[Date]]="","no date",""))))</f>
      </c>
      <c r="G643" s="17">
        <f>IF(Log[[#This Row],[ID]]="","",IFERROR(VLOOKUP(Log[[#This Row],[Verb]],Verbs,3,FALSE)&amp;"",""))</f>
      </c>
      <c r="H643" s="17">
        <f>IF(Log[[#This Row],[Date]]="","",INT((Log[[#This Row],[Date]]-Sprint1)/SprintDays)+1)</f>
      </c>
      <c r="I643" s="17">
        <f>IF(OR(Log[[#This Row],[Verb]]="commit",Log[[#This Row],[Verb]]="carry",Log[[#This Row],[Verb]]="redo"),IF(Log[[#This Row],[Arg]]="",Log[[#This Row],[Sprint]],N(Log[[#This Row],[Arg]])),"")</f>
      </c>
      <c r="J643" s="17">
        <f>IF(Log[[#This Row],[Verb]]="block",1,IF(OR(Log[[#This Row],[Verb]]="unblock",Log[[#This Row],[Verb]]="done",Log[[#This Row],[Verb]]="drop",Log[[#This Row],[Verb]]="punt",Log[[#This Row],[Verb]]="pass"),0,""))</f>
      </c>
      <c r="K643" s="17">
        <f>IF(Log[[#This Row],[ID]]="",0,IFERROR(INDEX(Items[Pts],MATCH(Log[[#This Row],[ID]],Items[ID],0))*1,0))</f>
      </c>
      <c r="L643" s="17">
        <f>IF(Log[[#This Row],[ID]]="","",IFERROR(INDEX(Items[Cur team],MATCH(Log[[#This Row],[ID]],Items[ID],0))&amp;"",""))</f>
      </c>
      <c r="M643" s="17">
        <f>IF(OR(Log[[#This Row],[Verb]]="done",Log[[#This Row],[Verb]]="punt",Log[[#This Row],[Verb]]="drop",Log[[#This Row],[Verb]]="pass"),Log[[#This Row],[Pts]],0)</f>
      </c>
    </row>
    <row r="644">
      <c r="A644" s="11">
        <v>46133</v>
      </c>
      <c r="B644" t="s">
        <v>465</v>
      </c>
      <c r="C644" t="s">
        <v>34</v>
      </c>
      <c r="D644">
        <v>42</v>
      </c>
      <c r="F644" s="17">
        <f>IF(Log[[#This Row],[ID]]="","",IF(ISNA(MATCH(Log[[#This Row],[ID]],Items[ID],0)),"unknown ID",IF(ISNA(MATCH(Log[[#This Row],[Verb]],VerbList,0)),"unknown verb",IF(Log[[#This Row],[Date]]="","no date",""))))</f>
      </c>
      <c r="G644" s="17">
        <f>IF(Log[[#This Row],[ID]]="","",IFERROR(VLOOKUP(Log[[#This Row],[Verb]],Verbs,3,FALSE)&amp;"",""))</f>
      </c>
      <c r="H644" s="17">
        <f>IF(Log[[#This Row],[Date]]="","",INT((Log[[#This Row],[Date]]-Sprint1)/SprintDays)+1)</f>
      </c>
      <c r="I644" s="17">
        <f>IF(OR(Log[[#This Row],[Verb]]="commit",Log[[#This Row],[Verb]]="carry",Log[[#This Row],[Verb]]="redo"),IF(Log[[#This Row],[Arg]]="",Log[[#This Row],[Sprint]],N(Log[[#This Row],[Arg]])),"")</f>
      </c>
      <c r="J644" s="17">
        <f>IF(Log[[#This Row],[Verb]]="block",1,IF(OR(Log[[#This Row],[Verb]]="unblock",Log[[#This Row],[Verb]]="done",Log[[#This Row],[Verb]]="drop",Log[[#This Row],[Verb]]="punt",Log[[#This Row],[Verb]]="pass"),0,""))</f>
      </c>
      <c r="K644" s="17">
        <f>IF(Log[[#This Row],[ID]]="",0,IFERROR(INDEX(Items[Pts],MATCH(Log[[#This Row],[ID]],Items[ID],0))*1,0))</f>
      </c>
      <c r="L644" s="17">
        <f>IF(Log[[#This Row],[ID]]="","",IFERROR(INDEX(Items[Cur team],MATCH(Log[[#This Row],[ID]],Items[ID],0))&amp;"",""))</f>
      </c>
      <c r="M644" s="17">
        <f>IF(OR(Log[[#This Row],[Verb]]="done",Log[[#This Row],[Verb]]="punt",Log[[#This Row],[Verb]]="drop",Log[[#This Row],[Verb]]="pass"),Log[[#This Row],[Pts]],0)</f>
      </c>
    </row>
    <row r="645">
      <c r="A645" s="11">
        <v>46133</v>
      </c>
      <c r="B645" t="s">
        <v>466</v>
      </c>
      <c r="C645" t="s">
        <v>34</v>
      </c>
      <c r="D645">
        <v>42</v>
      </c>
      <c r="F645" s="17">
        <f>IF(Log[[#This Row],[ID]]="","",IF(ISNA(MATCH(Log[[#This Row],[ID]],Items[ID],0)),"unknown ID",IF(ISNA(MATCH(Log[[#This Row],[Verb]],VerbList,0)),"unknown verb",IF(Log[[#This Row],[Date]]="","no date",""))))</f>
      </c>
      <c r="G645" s="17">
        <f>IF(Log[[#This Row],[ID]]="","",IFERROR(VLOOKUP(Log[[#This Row],[Verb]],Verbs,3,FALSE)&amp;"",""))</f>
      </c>
      <c r="H645" s="17">
        <f>IF(Log[[#This Row],[Date]]="","",INT((Log[[#This Row],[Date]]-Sprint1)/SprintDays)+1)</f>
      </c>
      <c r="I645" s="17">
        <f>IF(OR(Log[[#This Row],[Verb]]="commit",Log[[#This Row],[Verb]]="carry",Log[[#This Row],[Verb]]="redo"),IF(Log[[#This Row],[Arg]]="",Log[[#This Row],[Sprint]],N(Log[[#This Row],[Arg]])),"")</f>
      </c>
      <c r="J645" s="17">
        <f>IF(Log[[#This Row],[Verb]]="block",1,IF(OR(Log[[#This Row],[Verb]]="unblock",Log[[#This Row],[Verb]]="done",Log[[#This Row],[Verb]]="drop",Log[[#This Row],[Verb]]="punt",Log[[#This Row],[Verb]]="pass"),0,""))</f>
      </c>
      <c r="K645" s="17">
        <f>IF(Log[[#This Row],[ID]]="",0,IFERROR(INDEX(Items[Pts],MATCH(Log[[#This Row],[ID]],Items[ID],0))*1,0))</f>
      </c>
      <c r="L645" s="17">
        <f>IF(Log[[#This Row],[ID]]="","",IFERROR(INDEX(Items[Cur team],MATCH(Log[[#This Row],[ID]],Items[ID],0))&amp;"",""))</f>
      </c>
      <c r="M645" s="17">
        <f>IF(OR(Log[[#This Row],[Verb]]="done",Log[[#This Row],[Verb]]="punt",Log[[#This Row],[Verb]]="drop",Log[[#This Row],[Verb]]="pass"),Log[[#This Row],[Pts]],0)</f>
      </c>
    </row>
    <row r="646">
      <c r="A646" s="11">
        <v>46133</v>
      </c>
      <c r="B646" t="s">
        <v>467</v>
      </c>
      <c r="C646" t="s">
        <v>34</v>
      </c>
      <c r="D646">
        <v>42</v>
      </c>
      <c r="F646" s="17">
        <f>IF(Log[[#This Row],[ID]]="","",IF(ISNA(MATCH(Log[[#This Row],[ID]],Items[ID],0)),"unknown ID",IF(ISNA(MATCH(Log[[#This Row],[Verb]],VerbList,0)),"unknown verb",IF(Log[[#This Row],[Date]]="","no date",""))))</f>
      </c>
      <c r="G646" s="17">
        <f>IF(Log[[#This Row],[ID]]="","",IFERROR(VLOOKUP(Log[[#This Row],[Verb]],Verbs,3,FALSE)&amp;"",""))</f>
      </c>
      <c r="H646" s="17">
        <f>IF(Log[[#This Row],[Date]]="","",INT((Log[[#This Row],[Date]]-Sprint1)/SprintDays)+1)</f>
      </c>
      <c r="I646" s="17">
        <f>IF(OR(Log[[#This Row],[Verb]]="commit",Log[[#This Row],[Verb]]="carry",Log[[#This Row],[Verb]]="redo"),IF(Log[[#This Row],[Arg]]="",Log[[#This Row],[Sprint]],N(Log[[#This Row],[Arg]])),"")</f>
      </c>
      <c r="J646" s="17">
        <f>IF(Log[[#This Row],[Verb]]="block",1,IF(OR(Log[[#This Row],[Verb]]="unblock",Log[[#This Row],[Verb]]="done",Log[[#This Row],[Verb]]="drop",Log[[#This Row],[Verb]]="punt",Log[[#This Row],[Verb]]="pass"),0,""))</f>
      </c>
      <c r="K646" s="17">
        <f>IF(Log[[#This Row],[ID]]="",0,IFERROR(INDEX(Items[Pts],MATCH(Log[[#This Row],[ID]],Items[ID],0))*1,0))</f>
      </c>
      <c r="L646" s="17">
        <f>IF(Log[[#This Row],[ID]]="","",IFERROR(INDEX(Items[Cur team],MATCH(Log[[#This Row],[ID]],Items[ID],0))&amp;"",""))</f>
      </c>
      <c r="M646" s="17">
        <f>IF(OR(Log[[#This Row],[Verb]]="done",Log[[#This Row],[Verb]]="punt",Log[[#This Row],[Verb]]="drop",Log[[#This Row],[Verb]]="pass"),Log[[#This Row],[Pts]],0)</f>
      </c>
    </row>
    <row r="647">
      <c r="A647" s="11">
        <v>46133</v>
      </c>
      <c r="B647" t="s">
        <v>468</v>
      </c>
      <c r="C647" t="s">
        <v>34</v>
      </c>
      <c r="D647">
        <v>42</v>
      </c>
      <c r="F647" s="17">
        <f>IF(Log[[#This Row],[ID]]="","",IF(ISNA(MATCH(Log[[#This Row],[ID]],Items[ID],0)),"unknown ID",IF(ISNA(MATCH(Log[[#This Row],[Verb]],VerbList,0)),"unknown verb",IF(Log[[#This Row],[Date]]="","no date",""))))</f>
      </c>
      <c r="G647" s="17">
        <f>IF(Log[[#This Row],[ID]]="","",IFERROR(VLOOKUP(Log[[#This Row],[Verb]],Verbs,3,FALSE)&amp;"",""))</f>
      </c>
      <c r="H647" s="17">
        <f>IF(Log[[#This Row],[Date]]="","",INT((Log[[#This Row],[Date]]-Sprint1)/SprintDays)+1)</f>
      </c>
      <c r="I647" s="17">
        <f>IF(OR(Log[[#This Row],[Verb]]="commit",Log[[#This Row],[Verb]]="carry",Log[[#This Row],[Verb]]="redo"),IF(Log[[#This Row],[Arg]]="",Log[[#This Row],[Sprint]],N(Log[[#This Row],[Arg]])),"")</f>
      </c>
      <c r="J647" s="17">
        <f>IF(Log[[#This Row],[Verb]]="block",1,IF(OR(Log[[#This Row],[Verb]]="unblock",Log[[#This Row],[Verb]]="done",Log[[#This Row],[Verb]]="drop",Log[[#This Row],[Verb]]="punt",Log[[#This Row],[Verb]]="pass"),0,""))</f>
      </c>
      <c r="K647" s="17">
        <f>IF(Log[[#This Row],[ID]]="",0,IFERROR(INDEX(Items[Pts],MATCH(Log[[#This Row],[ID]],Items[ID],0))*1,0))</f>
      </c>
      <c r="L647" s="17">
        <f>IF(Log[[#This Row],[ID]]="","",IFERROR(INDEX(Items[Cur team],MATCH(Log[[#This Row],[ID]],Items[ID],0))&amp;"",""))</f>
      </c>
      <c r="M647" s="17">
        <f>IF(OR(Log[[#This Row],[Verb]]="done",Log[[#This Row],[Verb]]="punt",Log[[#This Row],[Verb]]="drop",Log[[#This Row],[Verb]]="pass"),Log[[#This Row],[Pts]],0)</f>
      </c>
    </row>
    <row r="648">
      <c r="A648" s="11">
        <v>46133</v>
      </c>
      <c r="B648" t="s">
        <v>469</v>
      </c>
      <c r="C648" t="s">
        <v>34</v>
      </c>
      <c r="D648">
        <v>42</v>
      </c>
      <c r="F648" s="17">
        <f>IF(Log[[#This Row],[ID]]="","",IF(ISNA(MATCH(Log[[#This Row],[ID]],Items[ID],0)),"unknown ID",IF(ISNA(MATCH(Log[[#This Row],[Verb]],VerbList,0)),"unknown verb",IF(Log[[#This Row],[Date]]="","no date",""))))</f>
      </c>
      <c r="G648" s="17">
        <f>IF(Log[[#This Row],[ID]]="","",IFERROR(VLOOKUP(Log[[#This Row],[Verb]],Verbs,3,FALSE)&amp;"",""))</f>
      </c>
      <c r="H648" s="17">
        <f>IF(Log[[#This Row],[Date]]="","",INT((Log[[#This Row],[Date]]-Sprint1)/SprintDays)+1)</f>
      </c>
      <c r="I648" s="17">
        <f>IF(OR(Log[[#This Row],[Verb]]="commit",Log[[#This Row],[Verb]]="carry",Log[[#This Row],[Verb]]="redo"),IF(Log[[#This Row],[Arg]]="",Log[[#This Row],[Sprint]],N(Log[[#This Row],[Arg]])),"")</f>
      </c>
      <c r="J648" s="17">
        <f>IF(Log[[#This Row],[Verb]]="block",1,IF(OR(Log[[#This Row],[Verb]]="unblock",Log[[#This Row],[Verb]]="done",Log[[#This Row],[Verb]]="drop",Log[[#This Row],[Verb]]="punt",Log[[#This Row],[Verb]]="pass"),0,""))</f>
      </c>
      <c r="K648" s="17">
        <f>IF(Log[[#This Row],[ID]]="",0,IFERROR(INDEX(Items[Pts],MATCH(Log[[#This Row],[ID]],Items[ID],0))*1,0))</f>
      </c>
      <c r="L648" s="17">
        <f>IF(Log[[#This Row],[ID]]="","",IFERROR(INDEX(Items[Cur team],MATCH(Log[[#This Row],[ID]],Items[ID],0))&amp;"",""))</f>
      </c>
      <c r="M648" s="17">
        <f>IF(OR(Log[[#This Row],[Verb]]="done",Log[[#This Row],[Verb]]="punt",Log[[#This Row],[Verb]]="drop",Log[[#This Row],[Verb]]="pass"),Log[[#This Row],[Pts]],0)</f>
      </c>
    </row>
    <row r="649">
      <c r="A649" s="11">
        <v>46133</v>
      </c>
      <c r="B649" t="s">
        <v>470</v>
      </c>
      <c r="C649" t="s">
        <v>34</v>
      </c>
      <c r="D649">
        <v>42</v>
      </c>
      <c r="F649" s="17">
        <f>IF(Log[[#This Row],[ID]]="","",IF(ISNA(MATCH(Log[[#This Row],[ID]],Items[ID],0)),"unknown ID",IF(ISNA(MATCH(Log[[#This Row],[Verb]],VerbList,0)),"unknown verb",IF(Log[[#This Row],[Date]]="","no date",""))))</f>
      </c>
      <c r="G649" s="17">
        <f>IF(Log[[#This Row],[ID]]="","",IFERROR(VLOOKUP(Log[[#This Row],[Verb]],Verbs,3,FALSE)&amp;"",""))</f>
      </c>
      <c r="H649" s="17">
        <f>IF(Log[[#This Row],[Date]]="","",INT((Log[[#This Row],[Date]]-Sprint1)/SprintDays)+1)</f>
      </c>
      <c r="I649" s="17">
        <f>IF(OR(Log[[#This Row],[Verb]]="commit",Log[[#This Row],[Verb]]="carry",Log[[#This Row],[Verb]]="redo"),IF(Log[[#This Row],[Arg]]="",Log[[#This Row],[Sprint]],N(Log[[#This Row],[Arg]])),"")</f>
      </c>
      <c r="J649" s="17">
        <f>IF(Log[[#This Row],[Verb]]="block",1,IF(OR(Log[[#This Row],[Verb]]="unblock",Log[[#This Row],[Verb]]="done",Log[[#This Row],[Verb]]="drop",Log[[#This Row],[Verb]]="punt",Log[[#This Row],[Verb]]="pass"),0,""))</f>
      </c>
      <c r="K649" s="17">
        <f>IF(Log[[#This Row],[ID]]="",0,IFERROR(INDEX(Items[Pts],MATCH(Log[[#This Row],[ID]],Items[ID],0))*1,0))</f>
      </c>
      <c r="L649" s="17">
        <f>IF(Log[[#This Row],[ID]]="","",IFERROR(INDEX(Items[Cur team],MATCH(Log[[#This Row],[ID]],Items[ID],0))&amp;"",""))</f>
      </c>
      <c r="M649" s="17">
        <f>IF(OR(Log[[#This Row],[Verb]]="done",Log[[#This Row],[Verb]]="punt",Log[[#This Row],[Verb]]="drop",Log[[#This Row],[Verb]]="pass"),Log[[#This Row],[Pts]],0)</f>
      </c>
    </row>
    <row r="650">
      <c r="A650" s="11">
        <v>46133</v>
      </c>
      <c r="B650" t="s">
        <v>471</v>
      </c>
      <c r="C650" t="s">
        <v>34</v>
      </c>
      <c r="D650">
        <v>42</v>
      </c>
      <c r="F650" s="17">
        <f>IF(Log[[#This Row],[ID]]="","",IF(ISNA(MATCH(Log[[#This Row],[ID]],Items[ID],0)),"unknown ID",IF(ISNA(MATCH(Log[[#This Row],[Verb]],VerbList,0)),"unknown verb",IF(Log[[#This Row],[Date]]="","no date",""))))</f>
      </c>
      <c r="G650" s="17">
        <f>IF(Log[[#This Row],[ID]]="","",IFERROR(VLOOKUP(Log[[#This Row],[Verb]],Verbs,3,FALSE)&amp;"",""))</f>
      </c>
      <c r="H650" s="17">
        <f>IF(Log[[#This Row],[Date]]="","",INT((Log[[#This Row],[Date]]-Sprint1)/SprintDays)+1)</f>
      </c>
      <c r="I650" s="17">
        <f>IF(OR(Log[[#This Row],[Verb]]="commit",Log[[#This Row],[Verb]]="carry",Log[[#This Row],[Verb]]="redo"),IF(Log[[#This Row],[Arg]]="",Log[[#This Row],[Sprint]],N(Log[[#This Row],[Arg]])),"")</f>
      </c>
      <c r="J650" s="17">
        <f>IF(Log[[#This Row],[Verb]]="block",1,IF(OR(Log[[#This Row],[Verb]]="unblock",Log[[#This Row],[Verb]]="done",Log[[#This Row],[Verb]]="drop",Log[[#This Row],[Verb]]="punt",Log[[#This Row],[Verb]]="pass"),0,""))</f>
      </c>
      <c r="K650" s="17">
        <f>IF(Log[[#This Row],[ID]]="",0,IFERROR(INDEX(Items[Pts],MATCH(Log[[#This Row],[ID]],Items[ID],0))*1,0))</f>
      </c>
      <c r="L650" s="17">
        <f>IF(Log[[#This Row],[ID]]="","",IFERROR(INDEX(Items[Cur team],MATCH(Log[[#This Row],[ID]],Items[ID],0))&amp;"",""))</f>
      </c>
      <c r="M650" s="17">
        <f>IF(OR(Log[[#This Row],[Verb]]="done",Log[[#This Row],[Verb]]="punt",Log[[#This Row],[Verb]]="drop",Log[[#This Row],[Verb]]="pass"),Log[[#This Row],[Pts]],0)</f>
      </c>
    </row>
    <row r="651">
      <c r="A651" s="11">
        <v>46133</v>
      </c>
      <c r="B651" t="s">
        <v>472</v>
      </c>
      <c r="C651" t="s">
        <v>34</v>
      </c>
      <c r="D651">
        <v>42</v>
      </c>
      <c r="F651" s="17">
        <f>IF(Log[[#This Row],[ID]]="","",IF(ISNA(MATCH(Log[[#This Row],[ID]],Items[ID],0)),"unknown ID",IF(ISNA(MATCH(Log[[#This Row],[Verb]],VerbList,0)),"unknown verb",IF(Log[[#This Row],[Date]]="","no date",""))))</f>
      </c>
      <c r="G651" s="17">
        <f>IF(Log[[#This Row],[ID]]="","",IFERROR(VLOOKUP(Log[[#This Row],[Verb]],Verbs,3,FALSE)&amp;"",""))</f>
      </c>
      <c r="H651" s="17">
        <f>IF(Log[[#This Row],[Date]]="","",INT((Log[[#This Row],[Date]]-Sprint1)/SprintDays)+1)</f>
      </c>
      <c r="I651" s="17">
        <f>IF(OR(Log[[#This Row],[Verb]]="commit",Log[[#This Row],[Verb]]="carry",Log[[#This Row],[Verb]]="redo"),IF(Log[[#This Row],[Arg]]="",Log[[#This Row],[Sprint]],N(Log[[#This Row],[Arg]])),"")</f>
      </c>
      <c r="J651" s="17">
        <f>IF(Log[[#This Row],[Verb]]="block",1,IF(OR(Log[[#This Row],[Verb]]="unblock",Log[[#This Row],[Verb]]="done",Log[[#This Row],[Verb]]="drop",Log[[#This Row],[Verb]]="punt",Log[[#This Row],[Verb]]="pass"),0,""))</f>
      </c>
      <c r="K651" s="17">
        <f>IF(Log[[#This Row],[ID]]="",0,IFERROR(INDEX(Items[Pts],MATCH(Log[[#This Row],[ID]],Items[ID],0))*1,0))</f>
      </c>
      <c r="L651" s="17">
        <f>IF(Log[[#This Row],[ID]]="","",IFERROR(INDEX(Items[Cur team],MATCH(Log[[#This Row],[ID]],Items[ID],0))&amp;"",""))</f>
      </c>
      <c r="M651" s="17">
        <f>IF(OR(Log[[#This Row],[Verb]]="done",Log[[#This Row],[Verb]]="punt",Log[[#This Row],[Verb]]="drop",Log[[#This Row],[Verb]]="pass"),Log[[#This Row],[Pts]],0)</f>
      </c>
    </row>
    <row r="652">
      <c r="A652" s="11">
        <v>46133</v>
      </c>
      <c r="B652" t="s">
        <v>473</v>
      </c>
      <c r="C652" t="s">
        <v>34</v>
      </c>
      <c r="D652">
        <v>42</v>
      </c>
      <c r="F652" s="17">
        <f>IF(Log[[#This Row],[ID]]="","",IF(ISNA(MATCH(Log[[#This Row],[ID]],Items[ID],0)),"unknown ID",IF(ISNA(MATCH(Log[[#This Row],[Verb]],VerbList,0)),"unknown verb",IF(Log[[#This Row],[Date]]="","no date",""))))</f>
      </c>
      <c r="G652" s="17">
        <f>IF(Log[[#This Row],[ID]]="","",IFERROR(VLOOKUP(Log[[#This Row],[Verb]],Verbs,3,FALSE)&amp;"",""))</f>
      </c>
      <c r="H652" s="17">
        <f>IF(Log[[#This Row],[Date]]="","",INT((Log[[#This Row],[Date]]-Sprint1)/SprintDays)+1)</f>
      </c>
      <c r="I652" s="17">
        <f>IF(OR(Log[[#This Row],[Verb]]="commit",Log[[#This Row],[Verb]]="carry",Log[[#This Row],[Verb]]="redo"),IF(Log[[#This Row],[Arg]]="",Log[[#This Row],[Sprint]],N(Log[[#This Row],[Arg]])),"")</f>
      </c>
      <c r="J652" s="17">
        <f>IF(Log[[#This Row],[Verb]]="block",1,IF(OR(Log[[#This Row],[Verb]]="unblock",Log[[#This Row],[Verb]]="done",Log[[#This Row],[Verb]]="drop",Log[[#This Row],[Verb]]="punt",Log[[#This Row],[Verb]]="pass"),0,""))</f>
      </c>
      <c r="K652" s="17">
        <f>IF(Log[[#This Row],[ID]]="",0,IFERROR(INDEX(Items[Pts],MATCH(Log[[#This Row],[ID]],Items[ID],0))*1,0))</f>
      </c>
      <c r="L652" s="17">
        <f>IF(Log[[#This Row],[ID]]="","",IFERROR(INDEX(Items[Cur team],MATCH(Log[[#This Row],[ID]],Items[ID],0))&amp;"",""))</f>
      </c>
      <c r="M652" s="17">
        <f>IF(OR(Log[[#This Row],[Verb]]="done",Log[[#This Row],[Verb]]="punt",Log[[#This Row],[Verb]]="drop",Log[[#This Row],[Verb]]="pass"),Log[[#This Row],[Pts]],0)</f>
      </c>
    </row>
    <row r="653">
      <c r="A653" s="11">
        <v>46133</v>
      </c>
      <c r="B653" t="s">
        <v>474</v>
      </c>
      <c r="C653" t="s">
        <v>34</v>
      </c>
      <c r="D653">
        <v>42</v>
      </c>
      <c r="F653" s="17">
        <f>IF(Log[[#This Row],[ID]]="","",IF(ISNA(MATCH(Log[[#This Row],[ID]],Items[ID],0)),"unknown ID",IF(ISNA(MATCH(Log[[#This Row],[Verb]],VerbList,0)),"unknown verb",IF(Log[[#This Row],[Date]]="","no date",""))))</f>
      </c>
      <c r="G653" s="17">
        <f>IF(Log[[#This Row],[ID]]="","",IFERROR(VLOOKUP(Log[[#This Row],[Verb]],Verbs,3,FALSE)&amp;"",""))</f>
      </c>
      <c r="H653" s="17">
        <f>IF(Log[[#This Row],[Date]]="","",INT((Log[[#This Row],[Date]]-Sprint1)/SprintDays)+1)</f>
      </c>
      <c r="I653" s="17">
        <f>IF(OR(Log[[#This Row],[Verb]]="commit",Log[[#This Row],[Verb]]="carry",Log[[#This Row],[Verb]]="redo"),IF(Log[[#This Row],[Arg]]="",Log[[#This Row],[Sprint]],N(Log[[#This Row],[Arg]])),"")</f>
      </c>
      <c r="J653" s="17">
        <f>IF(Log[[#This Row],[Verb]]="block",1,IF(OR(Log[[#This Row],[Verb]]="unblock",Log[[#This Row],[Verb]]="done",Log[[#This Row],[Verb]]="drop",Log[[#This Row],[Verb]]="punt",Log[[#This Row],[Verb]]="pass"),0,""))</f>
      </c>
      <c r="K653" s="17">
        <f>IF(Log[[#This Row],[ID]]="",0,IFERROR(INDEX(Items[Pts],MATCH(Log[[#This Row],[ID]],Items[ID],0))*1,0))</f>
      </c>
      <c r="L653" s="17">
        <f>IF(Log[[#This Row],[ID]]="","",IFERROR(INDEX(Items[Cur team],MATCH(Log[[#This Row],[ID]],Items[ID],0))&amp;"",""))</f>
      </c>
      <c r="M653" s="17">
        <f>IF(OR(Log[[#This Row],[Verb]]="done",Log[[#This Row],[Verb]]="punt",Log[[#This Row],[Verb]]="drop",Log[[#This Row],[Verb]]="pass"),Log[[#This Row],[Pts]],0)</f>
      </c>
    </row>
    <row r="654">
      <c r="A654" s="11">
        <v>46133</v>
      </c>
      <c r="B654" t="s">
        <v>475</v>
      </c>
      <c r="C654" t="s">
        <v>34</v>
      </c>
      <c r="D654">
        <v>42</v>
      </c>
      <c r="F654" s="17">
        <f>IF(Log[[#This Row],[ID]]="","",IF(ISNA(MATCH(Log[[#This Row],[ID]],Items[ID],0)),"unknown ID",IF(ISNA(MATCH(Log[[#This Row],[Verb]],VerbList,0)),"unknown verb",IF(Log[[#This Row],[Date]]="","no date",""))))</f>
      </c>
      <c r="G654" s="17">
        <f>IF(Log[[#This Row],[ID]]="","",IFERROR(VLOOKUP(Log[[#This Row],[Verb]],Verbs,3,FALSE)&amp;"",""))</f>
      </c>
      <c r="H654" s="17">
        <f>IF(Log[[#This Row],[Date]]="","",INT((Log[[#This Row],[Date]]-Sprint1)/SprintDays)+1)</f>
      </c>
      <c r="I654" s="17">
        <f>IF(OR(Log[[#This Row],[Verb]]="commit",Log[[#This Row],[Verb]]="carry",Log[[#This Row],[Verb]]="redo"),IF(Log[[#This Row],[Arg]]="",Log[[#This Row],[Sprint]],N(Log[[#This Row],[Arg]])),"")</f>
      </c>
      <c r="J654" s="17">
        <f>IF(Log[[#This Row],[Verb]]="block",1,IF(OR(Log[[#This Row],[Verb]]="unblock",Log[[#This Row],[Verb]]="done",Log[[#This Row],[Verb]]="drop",Log[[#This Row],[Verb]]="punt",Log[[#This Row],[Verb]]="pass"),0,""))</f>
      </c>
      <c r="K654" s="17">
        <f>IF(Log[[#This Row],[ID]]="",0,IFERROR(INDEX(Items[Pts],MATCH(Log[[#This Row],[ID]],Items[ID],0))*1,0))</f>
      </c>
      <c r="L654" s="17">
        <f>IF(Log[[#This Row],[ID]]="","",IFERROR(INDEX(Items[Cur team],MATCH(Log[[#This Row],[ID]],Items[ID],0))&amp;"",""))</f>
      </c>
      <c r="M654" s="17">
        <f>IF(OR(Log[[#This Row],[Verb]]="done",Log[[#This Row],[Verb]]="punt",Log[[#This Row],[Verb]]="drop",Log[[#This Row],[Verb]]="pass"),Log[[#This Row],[Pts]],0)</f>
      </c>
    </row>
    <row r="655">
      <c r="A655" s="11">
        <v>46133</v>
      </c>
      <c r="B655" t="s">
        <v>476</v>
      </c>
      <c r="C655" t="s">
        <v>34</v>
      </c>
      <c r="D655">
        <v>42</v>
      </c>
      <c r="F655" s="17">
        <f>IF(Log[[#This Row],[ID]]="","",IF(ISNA(MATCH(Log[[#This Row],[ID]],Items[ID],0)),"unknown ID",IF(ISNA(MATCH(Log[[#This Row],[Verb]],VerbList,0)),"unknown verb",IF(Log[[#This Row],[Date]]="","no date",""))))</f>
      </c>
      <c r="G655" s="17">
        <f>IF(Log[[#This Row],[ID]]="","",IFERROR(VLOOKUP(Log[[#This Row],[Verb]],Verbs,3,FALSE)&amp;"",""))</f>
      </c>
      <c r="H655" s="17">
        <f>IF(Log[[#This Row],[Date]]="","",INT((Log[[#This Row],[Date]]-Sprint1)/SprintDays)+1)</f>
      </c>
      <c r="I655" s="17">
        <f>IF(OR(Log[[#This Row],[Verb]]="commit",Log[[#This Row],[Verb]]="carry",Log[[#This Row],[Verb]]="redo"),IF(Log[[#This Row],[Arg]]="",Log[[#This Row],[Sprint]],N(Log[[#This Row],[Arg]])),"")</f>
      </c>
      <c r="J655" s="17">
        <f>IF(Log[[#This Row],[Verb]]="block",1,IF(OR(Log[[#This Row],[Verb]]="unblock",Log[[#This Row],[Verb]]="done",Log[[#This Row],[Verb]]="drop",Log[[#This Row],[Verb]]="punt",Log[[#This Row],[Verb]]="pass"),0,""))</f>
      </c>
      <c r="K655" s="17">
        <f>IF(Log[[#This Row],[ID]]="",0,IFERROR(INDEX(Items[Pts],MATCH(Log[[#This Row],[ID]],Items[ID],0))*1,0))</f>
      </c>
      <c r="L655" s="17">
        <f>IF(Log[[#This Row],[ID]]="","",IFERROR(INDEX(Items[Cur team],MATCH(Log[[#This Row],[ID]],Items[ID],0))&amp;"",""))</f>
      </c>
      <c r="M655" s="17">
        <f>IF(OR(Log[[#This Row],[Verb]]="done",Log[[#This Row],[Verb]]="punt",Log[[#This Row],[Verb]]="drop",Log[[#This Row],[Verb]]="pass"),Log[[#This Row],[Pts]],0)</f>
      </c>
    </row>
    <row r="656">
      <c r="A656" s="11">
        <v>46133</v>
      </c>
      <c r="B656" t="s">
        <v>477</v>
      </c>
      <c r="C656" t="s">
        <v>34</v>
      </c>
      <c r="D656">
        <v>42</v>
      </c>
      <c r="F656" s="17">
        <f>IF(Log[[#This Row],[ID]]="","",IF(ISNA(MATCH(Log[[#This Row],[ID]],Items[ID],0)),"unknown ID",IF(ISNA(MATCH(Log[[#This Row],[Verb]],VerbList,0)),"unknown verb",IF(Log[[#This Row],[Date]]="","no date",""))))</f>
      </c>
      <c r="G656" s="17">
        <f>IF(Log[[#This Row],[ID]]="","",IFERROR(VLOOKUP(Log[[#This Row],[Verb]],Verbs,3,FALSE)&amp;"",""))</f>
      </c>
      <c r="H656" s="17">
        <f>IF(Log[[#This Row],[Date]]="","",INT((Log[[#This Row],[Date]]-Sprint1)/SprintDays)+1)</f>
      </c>
      <c r="I656" s="17">
        <f>IF(OR(Log[[#This Row],[Verb]]="commit",Log[[#This Row],[Verb]]="carry",Log[[#This Row],[Verb]]="redo"),IF(Log[[#This Row],[Arg]]="",Log[[#This Row],[Sprint]],N(Log[[#This Row],[Arg]])),"")</f>
      </c>
      <c r="J656" s="17">
        <f>IF(Log[[#This Row],[Verb]]="block",1,IF(OR(Log[[#This Row],[Verb]]="unblock",Log[[#This Row],[Verb]]="done",Log[[#This Row],[Verb]]="drop",Log[[#This Row],[Verb]]="punt",Log[[#This Row],[Verb]]="pass"),0,""))</f>
      </c>
      <c r="K656" s="17">
        <f>IF(Log[[#This Row],[ID]]="",0,IFERROR(INDEX(Items[Pts],MATCH(Log[[#This Row],[ID]],Items[ID],0))*1,0))</f>
      </c>
      <c r="L656" s="17">
        <f>IF(Log[[#This Row],[ID]]="","",IFERROR(INDEX(Items[Cur team],MATCH(Log[[#This Row],[ID]],Items[ID],0))&amp;"",""))</f>
      </c>
      <c r="M656" s="17">
        <f>IF(OR(Log[[#This Row],[Verb]]="done",Log[[#This Row],[Verb]]="punt",Log[[#This Row],[Verb]]="drop",Log[[#This Row],[Verb]]="pass"),Log[[#This Row],[Pts]],0)</f>
      </c>
    </row>
    <row r="657">
      <c r="A657" s="11">
        <v>46133</v>
      </c>
      <c r="B657" t="s">
        <v>478</v>
      </c>
      <c r="C657" t="s">
        <v>34</v>
      </c>
      <c r="D657">
        <v>42</v>
      </c>
      <c r="F657" s="17">
        <f>IF(Log[[#This Row],[ID]]="","",IF(ISNA(MATCH(Log[[#This Row],[ID]],Items[ID],0)),"unknown ID",IF(ISNA(MATCH(Log[[#This Row],[Verb]],VerbList,0)),"unknown verb",IF(Log[[#This Row],[Date]]="","no date",""))))</f>
      </c>
      <c r="G657" s="17">
        <f>IF(Log[[#This Row],[ID]]="","",IFERROR(VLOOKUP(Log[[#This Row],[Verb]],Verbs,3,FALSE)&amp;"",""))</f>
      </c>
      <c r="H657" s="17">
        <f>IF(Log[[#This Row],[Date]]="","",INT((Log[[#This Row],[Date]]-Sprint1)/SprintDays)+1)</f>
      </c>
      <c r="I657" s="17">
        <f>IF(OR(Log[[#This Row],[Verb]]="commit",Log[[#This Row],[Verb]]="carry",Log[[#This Row],[Verb]]="redo"),IF(Log[[#This Row],[Arg]]="",Log[[#This Row],[Sprint]],N(Log[[#This Row],[Arg]])),"")</f>
      </c>
      <c r="J657" s="17">
        <f>IF(Log[[#This Row],[Verb]]="block",1,IF(OR(Log[[#This Row],[Verb]]="unblock",Log[[#This Row],[Verb]]="done",Log[[#This Row],[Verb]]="drop",Log[[#This Row],[Verb]]="punt",Log[[#This Row],[Verb]]="pass"),0,""))</f>
      </c>
      <c r="K657" s="17">
        <f>IF(Log[[#This Row],[ID]]="",0,IFERROR(INDEX(Items[Pts],MATCH(Log[[#This Row],[ID]],Items[ID],0))*1,0))</f>
      </c>
      <c r="L657" s="17">
        <f>IF(Log[[#This Row],[ID]]="","",IFERROR(INDEX(Items[Cur team],MATCH(Log[[#This Row],[ID]],Items[ID],0))&amp;"",""))</f>
      </c>
      <c r="M657" s="17">
        <f>IF(OR(Log[[#This Row],[Verb]]="done",Log[[#This Row],[Verb]]="punt",Log[[#This Row],[Verb]]="drop",Log[[#This Row],[Verb]]="pass"),Log[[#This Row],[Pts]],0)</f>
      </c>
    </row>
    <row r="658">
      <c r="A658" s="11">
        <v>46133</v>
      </c>
      <c r="B658" t="s">
        <v>479</v>
      </c>
      <c r="C658" t="s">
        <v>34</v>
      </c>
      <c r="D658">
        <v>42</v>
      </c>
      <c r="F658" s="17">
        <f>IF(Log[[#This Row],[ID]]="","",IF(ISNA(MATCH(Log[[#This Row],[ID]],Items[ID],0)),"unknown ID",IF(ISNA(MATCH(Log[[#This Row],[Verb]],VerbList,0)),"unknown verb",IF(Log[[#This Row],[Date]]="","no date",""))))</f>
      </c>
      <c r="G658" s="17">
        <f>IF(Log[[#This Row],[ID]]="","",IFERROR(VLOOKUP(Log[[#This Row],[Verb]],Verbs,3,FALSE)&amp;"",""))</f>
      </c>
      <c r="H658" s="17">
        <f>IF(Log[[#This Row],[Date]]="","",INT((Log[[#This Row],[Date]]-Sprint1)/SprintDays)+1)</f>
      </c>
      <c r="I658" s="17">
        <f>IF(OR(Log[[#This Row],[Verb]]="commit",Log[[#This Row],[Verb]]="carry",Log[[#This Row],[Verb]]="redo"),IF(Log[[#This Row],[Arg]]="",Log[[#This Row],[Sprint]],N(Log[[#This Row],[Arg]])),"")</f>
      </c>
      <c r="J658" s="17">
        <f>IF(Log[[#This Row],[Verb]]="block",1,IF(OR(Log[[#This Row],[Verb]]="unblock",Log[[#This Row],[Verb]]="done",Log[[#This Row],[Verb]]="drop",Log[[#This Row],[Verb]]="punt",Log[[#This Row],[Verb]]="pass"),0,""))</f>
      </c>
      <c r="K658" s="17">
        <f>IF(Log[[#This Row],[ID]]="",0,IFERROR(INDEX(Items[Pts],MATCH(Log[[#This Row],[ID]],Items[ID],0))*1,0))</f>
      </c>
      <c r="L658" s="17">
        <f>IF(Log[[#This Row],[ID]]="","",IFERROR(INDEX(Items[Cur team],MATCH(Log[[#This Row],[ID]],Items[ID],0))&amp;"",""))</f>
      </c>
      <c r="M658" s="17">
        <f>IF(OR(Log[[#This Row],[Verb]]="done",Log[[#This Row],[Verb]]="punt",Log[[#This Row],[Verb]]="drop",Log[[#This Row],[Verb]]="pass"),Log[[#This Row],[Pts]],0)</f>
      </c>
    </row>
    <row r="659">
      <c r="A659" s="11">
        <v>46133</v>
      </c>
      <c r="B659" t="s">
        <v>480</v>
      </c>
      <c r="C659" t="s">
        <v>34</v>
      </c>
      <c r="D659">
        <v>42</v>
      </c>
      <c r="F659" s="17">
        <f>IF(Log[[#This Row],[ID]]="","",IF(ISNA(MATCH(Log[[#This Row],[ID]],Items[ID],0)),"unknown ID",IF(ISNA(MATCH(Log[[#This Row],[Verb]],VerbList,0)),"unknown verb",IF(Log[[#This Row],[Date]]="","no date",""))))</f>
      </c>
      <c r="G659" s="17">
        <f>IF(Log[[#This Row],[ID]]="","",IFERROR(VLOOKUP(Log[[#This Row],[Verb]],Verbs,3,FALSE)&amp;"",""))</f>
      </c>
      <c r="H659" s="17">
        <f>IF(Log[[#This Row],[Date]]="","",INT((Log[[#This Row],[Date]]-Sprint1)/SprintDays)+1)</f>
      </c>
      <c r="I659" s="17">
        <f>IF(OR(Log[[#This Row],[Verb]]="commit",Log[[#This Row],[Verb]]="carry",Log[[#This Row],[Verb]]="redo"),IF(Log[[#This Row],[Arg]]="",Log[[#This Row],[Sprint]],N(Log[[#This Row],[Arg]])),"")</f>
      </c>
      <c r="J659" s="17">
        <f>IF(Log[[#This Row],[Verb]]="block",1,IF(OR(Log[[#This Row],[Verb]]="unblock",Log[[#This Row],[Verb]]="done",Log[[#This Row],[Verb]]="drop",Log[[#This Row],[Verb]]="punt",Log[[#This Row],[Verb]]="pass"),0,""))</f>
      </c>
      <c r="K659" s="17">
        <f>IF(Log[[#This Row],[ID]]="",0,IFERROR(INDEX(Items[Pts],MATCH(Log[[#This Row],[ID]],Items[ID],0))*1,0))</f>
      </c>
      <c r="L659" s="17">
        <f>IF(Log[[#This Row],[ID]]="","",IFERROR(INDEX(Items[Cur team],MATCH(Log[[#This Row],[ID]],Items[ID],0))&amp;"",""))</f>
      </c>
      <c r="M659" s="17">
        <f>IF(OR(Log[[#This Row],[Verb]]="done",Log[[#This Row],[Verb]]="punt",Log[[#This Row],[Verb]]="drop",Log[[#This Row],[Verb]]="pass"),Log[[#This Row],[Pts]],0)</f>
      </c>
    </row>
    <row r="660">
      <c r="A660" s="11">
        <v>46133</v>
      </c>
      <c r="B660" t="s">
        <v>481</v>
      </c>
      <c r="C660" t="s">
        <v>34</v>
      </c>
      <c r="D660">
        <v>42</v>
      </c>
      <c r="F660" s="17">
        <f>IF(Log[[#This Row],[ID]]="","",IF(ISNA(MATCH(Log[[#This Row],[ID]],Items[ID],0)),"unknown ID",IF(ISNA(MATCH(Log[[#This Row],[Verb]],VerbList,0)),"unknown verb",IF(Log[[#This Row],[Date]]="","no date",""))))</f>
      </c>
      <c r="G660" s="17">
        <f>IF(Log[[#This Row],[ID]]="","",IFERROR(VLOOKUP(Log[[#This Row],[Verb]],Verbs,3,FALSE)&amp;"",""))</f>
      </c>
      <c r="H660" s="17">
        <f>IF(Log[[#This Row],[Date]]="","",INT((Log[[#This Row],[Date]]-Sprint1)/SprintDays)+1)</f>
      </c>
      <c r="I660" s="17">
        <f>IF(OR(Log[[#This Row],[Verb]]="commit",Log[[#This Row],[Verb]]="carry",Log[[#This Row],[Verb]]="redo"),IF(Log[[#This Row],[Arg]]="",Log[[#This Row],[Sprint]],N(Log[[#This Row],[Arg]])),"")</f>
      </c>
      <c r="J660" s="17">
        <f>IF(Log[[#This Row],[Verb]]="block",1,IF(OR(Log[[#This Row],[Verb]]="unblock",Log[[#This Row],[Verb]]="done",Log[[#This Row],[Verb]]="drop",Log[[#This Row],[Verb]]="punt",Log[[#This Row],[Verb]]="pass"),0,""))</f>
      </c>
      <c r="K660" s="17">
        <f>IF(Log[[#This Row],[ID]]="",0,IFERROR(INDEX(Items[Pts],MATCH(Log[[#This Row],[ID]],Items[ID],0))*1,0))</f>
      </c>
      <c r="L660" s="17">
        <f>IF(Log[[#This Row],[ID]]="","",IFERROR(INDEX(Items[Cur team],MATCH(Log[[#This Row],[ID]],Items[ID],0))&amp;"",""))</f>
      </c>
      <c r="M660" s="17">
        <f>IF(OR(Log[[#This Row],[Verb]]="done",Log[[#This Row],[Verb]]="punt",Log[[#This Row],[Verb]]="drop",Log[[#This Row],[Verb]]="pass"),Log[[#This Row],[Pts]],0)</f>
      </c>
    </row>
    <row r="661">
      <c r="A661" s="11">
        <v>46133</v>
      </c>
      <c r="B661" t="s">
        <v>482</v>
      </c>
      <c r="C661" t="s">
        <v>34</v>
      </c>
      <c r="D661">
        <v>42</v>
      </c>
      <c r="F661" s="17">
        <f>IF(Log[[#This Row],[ID]]="","",IF(ISNA(MATCH(Log[[#This Row],[ID]],Items[ID],0)),"unknown ID",IF(ISNA(MATCH(Log[[#This Row],[Verb]],VerbList,0)),"unknown verb",IF(Log[[#This Row],[Date]]="","no date",""))))</f>
      </c>
      <c r="G661" s="17">
        <f>IF(Log[[#This Row],[ID]]="","",IFERROR(VLOOKUP(Log[[#This Row],[Verb]],Verbs,3,FALSE)&amp;"",""))</f>
      </c>
      <c r="H661" s="17">
        <f>IF(Log[[#This Row],[Date]]="","",INT((Log[[#This Row],[Date]]-Sprint1)/SprintDays)+1)</f>
      </c>
      <c r="I661" s="17">
        <f>IF(OR(Log[[#This Row],[Verb]]="commit",Log[[#This Row],[Verb]]="carry",Log[[#This Row],[Verb]]="redo"),IF(Log[[#This Row],[Arg]]="",Log[[#This Row],[Sprint]],N(Log[[#This Row],[Arg]])),"")</f>
      </c>
      <c r="J661" s="17">
        <f>IF(Log[[#This Row],[Verb]]="block",1,IF(OR(Log[[#This Row],[Verb]]="unblock",Log[[#This Row],[Verb]]="done",Log[[#This Row],[Verb]]="drop",Log[[#This Row],[Verb]]="punt",Log[[#This Row],[Verb]]="pass"),0,""))</f>
      </c>
      <c r="K661" s="17">
        <f>IF(Log[[#This Row],[ID]]="",0,IFERROR(INDEX(Items[Pts],MATCH(Log[[#This Row],[ID]],Items[ID],0))*1,0))</f>
      </c>
      <c r="L661" s="17">
        <f>IF(Log[[#This Row],[ID]]="","",IFERROR(INDEX(Items[Cur team],MATCH(Log[[#This Row],[ID]],Items[ID],0))&amp;"",""))</f>
      </c>
      <c r="M661" s="17">
        <f>IF(OR(Log[[#This Row],[Verb]]="done",Log[[#This Row],[Verb]]="punt",Log[[#This Row],[Verb]]="drop",Log[[#This Row],[Verb]]="pass"),Log[[#This Row],[Pts]],0)</f>
      </c>
    </row>
    <row r="662">
      <c r="A662" s="11">
        <v>46133</v>
      </c>
      <c r="B662" t="s">
        <v>483</v>
      </c>
      <c r="C662" t="s">
        <v>34</v>
      </c>
      <c r="D662">
        <v>42</v>
      </c>
      <c r="F662" s="17">
        <f>IF(Log[[#This Row],[ID]]="","",IF(ISNA(MATCH(Log[[#This Row],[ID]],Items[ID],0)),"unknown ID",IF(ISNA(MATCH(Log[[#This Row],[Verb]],VerbList,0)),"unknown verb",IF(Log[[#This Row],[Date]]="","no date",""))))</f>
      </c>
      <c r="G662" s="17">
        <f>IF(Log[[#This Row],[ID]]="","",IFERROR(VLOOKUP(Log[[#This Row],[Verb]],Verbs,3,FALSE)&amp;"",""))</f>
      </c>
      <c r="H662" s="17">
        <f>IF(Log[[#This Row],[Date]]="","",INT((Log[[#This Row],[Date]]-Sprint1)/SprintDays)+1)</f>
      </c>
      <c r="I662" s="17">
        <f>IF(OR(Log[[#This Row],[Verb]]="commit",Log[[#This Row],[Verb]]="carry",Log[[#This Row],[Verb]]="redo"),IF(Log[[#This Row],[Arg]]="",Log[[#This Row],[Sprint]],N(Log[[#This Row],[Arg]])),"")</f>
      </c>
      <c r="J662" s="17">
        <f>IF(Log[[#This Row],[Verb]]="block",1,IF(OR(Log[[#This Row],[Verb]]="unblock",Log[[#This Row],[Verb]]="done",Log[[#This Row],[Verb]]="drop",Log[[#This Row],[Verb]]="punt",Log[[#This Row],[Verb]]="pass"),0,""))</f>
      </c>
      <c r="K662" s="17">
        <f>IF(Log[[#This Row],[ID]]="",0,IFERROR(INDEX(Items[Pts],MATCH(Log[[#This Row],[ID]],Items[ID],0))*1,0))</f>
      </c>
      <c r="L662" s="17">
        <f>IF(Log[[#This Row],[ID]]="","",IFERROR(INDEX(Items[Cur team],MATCH(Log[[#This Row],[ID]],Items[ID],0))&amp;"",""))</f>
      </c>
      <c r="M662" s="17">
        <f>IF(OR(Log[[#This Row],[Verb]]="done",Log[[#This Row],[Verb]]="punt",Log[[#This Row],[Verb]]="drop",Log[[#This Row],[Verb]]="pass"),Log[[#This Row],[Pts]],0)</f>
      </c>
    </row>
    <row r="663">
      <c r="A663" s="11">
        <v>46133</v>
      </c>
      <c r="B663" t="s">
        <v>484</v>
      </c>
      <c r="C663" t="s">
        <v>34</v>
      </c>
      <c r="D663">
        <v>42</v>
      </c>
      <c r="F663" s="17">
        <f>IF(Log[[#This Row],[ID]]="","",IF(ISNA(MATCH(Log[[#This Row],[ID]],Items[ID],0)),"unknown ID",IF(ISNA(MATCH(Log[[#This Row],[Verb]],VerbList,0)),"unknown verb",IF(Log[[#This Row],[Date]]="","no date",""))))</f>
      </c>
      <c r="G663" s="17">
        <f>IF(Log[[#This Row],[ID]]="","",IFERROR(VLOOKUP(Log[[#This Row],[Verb]],Verbs,3,FALSE)&amp;"",""))</f>
      </c>
      <c r="H663" s="17">
        <f>IF(Log[[#This Row],[Date]]="","",INT((Log[[#This Row],[Date]]-Sprint1)/SprintDays)+1)</f>
      </c>
      <c r="I663" s="17">
        <f>IF(OR(Log[[#This Row],[Verb]]="commit",Log[[#This Row],[Verb]]="carry",Log[[#This Row],[Verb]]="redo"),IF(Log[[#This Row],[Arg]]="",Log[[#This Row],[Sprint]],N(Log[[#This Row],[Arg]])),"")</f>
      </c>
      <c r="J663" s="17">
        <f>IF(Log[[#This Row],[Verb]]="block",1,IF(OR(Log[[#This Row],[Verb]]="unblock",Log[[#This Row],[Verb]]="done",Log[[#This Row],[Verb]]="drop",Log[[#This Row],[Verb]]="punt",Log[[#This Row],[Verb]]="pass"),0,""))</f>
      </c>
      <c r="K663" s="17">
        <f>IF(Log[[#This Row],[ID]]="",0,IFERROR(INDEX(Items[Pts],MATCH(Log[[#This Row],[ID]],Items[ID],0))*1,0))</f>
      </c>
      <c r="L663" s="17">
        <f>IF(Log[[#This Row],[ID]]="","",IFERROR(INDEX(Items[Cur team],MATCH(Log[[#This Row],[ID]],Items[ID],0))&amp;"",""))</f>
      </c>
      <c r="M663" s="17">
        <f>IF(OR(Log[[#This Row],[Verb]]="done",Log[[#This Row],[Verb]]="punt",Log[[#This Row],[Verb]]="drop",Log[[#This Row],[Verb]]="pass"),Log[[#This Row],[Pts]],0)</f>
      </c>
    </row>
    <row r="664">
      <c r="A664" s="11">
        <v>46133</v>
      </c>
      <c r="B664" t="s">
        <v>485</v>
      </c>
      <c r="C664" t="s">
        <v>34</v>
      </c>
      <c r="D664">
        <v>42</v>
      </c>
      <c r="F664" s="17">
        <f>IF(Log[[#This Row],[ID]]="","",IF(ISNA(MATCH(Log[[#This Row],[ID]],Items[ID],0)),"unknown ID",IF(ISNA(MATCH(Log[[#This Row],[Verb]],VerbList,0)),"unknown verb",IF(Log[[#This Row],[Date]]="","no date",""))))</f>
      </c>
      <c r="G664" s="17">
        <f>IF(Log[[#This Row],[ID]]="","",IFERROR(VLOOKUP(Log[[#This Row],[Verb]],Verbs,3,FALSE)&amp;"",""))</f>
      </c>
      <c r="H664" s="17">
        <f>IF(Log[[#This Row],[Date]]="","",INT((Log[[#This Row],[Date]]-Sprint1)/SprintDays)+1)</f>
      </c>
      <c r="I664" s="17">
        <f>IF(OR(Log[[#This Row],[Verb]]="commit",Log[[#This Row],[Verb]]="carry",Log[[#This Row],[Verb]]="redo"),IF(Log[[#This Row],[Arg]]="",Log[[#This Row],[Sprint]],N(Log[[#This Row],[Arg]])),"")</f>
      </c>
      <c r="J664" s="17">
        <f>IF(Log[[#This Row],[Verb]]="block",1,IF(OR(Log[[#This Row],[Verb]]="unblock",Log[[#This Row],[Verb]]="done",Log[[#This Row],[Verb]]="drop",Log[[#This Row],[Verb]]="punt",Log[[#This Row],[Verb]]="pass"),0,""))</f>
      </c>
      <c r="K664" s="17">
        <f>IF(Log[[#This Row],[ID]]="",0,IFERROR(INDEX(Items[Pts],MATCH(Log[[#This Row],[ID]],Items[ID],0))*1,0))</f>
      </c>
      <c r="L664" s="17">
        <f>IF(Log[[#This Row],[ID]]="","",IFERROR(INDEX(Items[Cur team],MATCH(Log[[#This Row],[ID]],Items[ID],0))&amp;"",""))</f>
      </c>
      <c r="M664" s="17">
        <f>IF(OR(Log[[#This Row],[Verb]]="done",Log[[#This Row],[Verb]]="punt",Log[[#This Row],[Verb]]="drop",Log[[#This Row],[Verb]]="pass"),Log[[#This Row],[Pts]],0)</f>
      </c>
    </row>
    <row r="665">
      <c r="A665" s="11">
        <v>46133</v>
      </c>
      <c r="B665" t="s">
        <v>486</v>
      </c>
      <c r="C665" t="s">
        <v>34</v>
      </c>
      <c r="D665">
        <v>42</v>
      </c>
      <c r="F665" s="17">
        <f>IF(Log[[#This Row],[ID]]="","",IF(ISNA(MATCH(Log[[#This Row],[ID]],Items[ID],0)),"unknown ID",IF(ISNA(MATCH(Log[[#This Row],[Verb]],VerbList,0)),"unknown verb",IF(Log[[#This Row],[Date]]="","no date",""))))</f>
      </c>
      <c r="G665" s="17">
        <f>IF(Log[[#This Row],[ID]]="","",IFERROR(VLOOKUP(Log[[#This Row],[Verb]],Verbs,3,FALSE)&amp;"",""))</f>
      </c>
      <c r="H665" s="17">
        <f>IF(Log[[#This Row],[Date]]="","",INT((Log[[#This Row],[Date]]-Sprint1)/SprintDays)+1)</f>
      </c>
      <c r="I665" s="17">
        <f>IF(OR(Log[[#This Row],[Verb]]="commit",Log[[#This Row],[Verb]]="carry",Log[[#This Row],[Verb]]="redo"),IF(Log[[#This Row],[Arg]]="",Log[[#This Row],[Sprint]],N(Log[[#This Row],[Arg]])),"")</f>
      </c>
      <c r="J665" s="17">
        <f>IF(Log[[#This Row],[Verb]]="block",1,IF(OR(Log[[#This Row],[Verb]]="unblock",Log[[#This Row],[Verb]]="done",Log[[#This Row],[Verb]]="drop",Log[[#This Row],[Verb]]="punt",Log[[#This Row],[Verb]]="pass"),0,""))</f>
      </c>
      <c r="K665" s="17">
        <f>IF(Log[[#This Row],[ID]]="",0,IFERROR(INDEX(Items[Pts],MATCH(Log[[#This Row],[ID]],Items[ID],0))*1,0))</f>
      </c>
      <c r="L665" s="17">
        <f>IF(Log[[#This Row],[ID]]="","",IFERROR(INDEX(Items[Cur team],MATCH(Log[[#This Row],[ID]],Items[ID],0))&amp;"",""))</f>
      </c>
      <c r="M665" s="17">
        <f>IF(OR(Log[[#This Row],[Verb]]="done",Log[[#This Row],[Verb]]="punt",Log[[#This Row],[Verb]]="drop",Log[[#This Row],[Verb]]="pass"),Log[[#This Row],[Pts]],0)</f>
      </c>
    </row>
    <row r="666">
      <c r="A666" s="11">
        <v>46133</v>
      </c>
      <c r="B666" t="s">
        <v>487</v>
      </c>
      <c r="C666" t="s">
        <v>34</v>
      </c>
      <c r="D666">
        <v>42</v>
      </c>
      <c r="F666" s="17">
        <f>IF(Log[[#This Row],[ID]]="","",IF(ISNA(MATCH(Log[[#This Row],[ID]],Items[ID],0)),"unknown ID",IF(ISNA(MATCH(Log[[#This Row],[Verb]],VerbList,0)),"unknown verb",IF(Log[[#This Row],[Date]]="","no date",""))))</f>
      </c>
      <c r="G666" s="17">
        <f>IF(Log[[#This Row],[ID]]="","",IFERROR(VLOOKUP(Log[[#This Row],[Verb]],Verbs,3,FALSE)&amp;"",""))</f>
      </c>
      <c r="H666" s="17">
        <f>IF(Log[[#This Row],[Date]]="","",INT((Log[[#This Row],[Date]]-Sprint1)/SprintDays)+1)</f>
      </c>
      <c r="I666" s="17">
        <f>IF(OR(Log[[#This Row],[Verb]]="commit",Log[[#This Row],[Verb]]="carry",Log[[#This Row],[Verb]]="redo"),IF(Log[[#This Row],[Arg]]="",Log[[#This Row],[Sprint]],N(Log[[#This Row],[Arg]])),"")</f>
      </c>
      <c r="J666" s="17">
        <f>IF(Log[[#This Row],[Verb]]="block",1,IF(OR(Log[[#This Row],[Verb]]="unblock",Log[[#This Row],[Verb]]="done",Log[[#This Row],[Verb]]="drop",Log[[#This Row],[Verb]]="punt",Log[[#This Row],[Verb]]="pass"),0,""))</f>
      </c>
      <c r="K666" s="17">
        <f>IF(Log[[#This Row],[ID]]="",0,IFERROR(INDEX(Items[Pts],MATCH(Log[[#This Row],[ID]],Items[ID],0))*1,0))</f>
      </c>
      <c r="L666" s="17">
        <f>IF(Log[[#This Row],[ID]]="","",IFERROR(INDEX(Items[Cur team],MATCH(Log[[#This Row],[ID]],Items[ID],0))&amp;"",""))</f>
      </c>
      <c r="M666" s="17">
        <f>IF(OR(Log[[#This Row],[Verb]]="done",Log[[#This Row],[Verb]]="punt",Log[[#This Row],[Verb]]="drop",Log[[#This Row],[Verb]]="pass"),Log[[#This Row],[Pts]],0)</f>
      </c>
    </row>
    <row r="667">
      <c r="A667" s="11">
        <v>46133</v>
      </c>
      <c r="B667" t="s">
        <v>488</v>
      </c>
      <c r="C667" t="s">
        <v>34</v>
      </c>
      <c r="D667">
        <v>42</v>
      </c>
      <c r="F667" s="17">
        <f>IF(Log[[#This Row],[ID]]="","",IF(ISNA(MATCH(Log[[#This Row],[ID]],Items[ID],0)),"unknown ID",IF(ISNA(MATCH(Log[[#This Row],[Verb]],VerbList,0)),"unknown verb",IF(Log[[#This Row],[Date]]="","no date",""))))</f>
      </c>
      <c r="G667" s="17">
        <f>IF(Log[[#This Row],[ID]]="","",IFERROR(VLOOKUP(Log[[#This Row],[Verb]],Verbs,3,FALSE)&amp;"",""))</f>
      </c>
      <c r="H667" s="17">
        <f>IF(Log[[#This Row],[Date]]="","",INT((Log[[#This Row],[Date]]-Sprint1)/SprintDays)+1)</f>
      </c>
      <c r="I667" s="17">
        <f>IF(OR(Log[[#This Row],[Verb]]="commit",Log[[#This Row],[Verb]]="carry",Log[[#This Row],[Verb]]="redo"),IF(Log[[#This Row],[Arg]]="",Log[[#This Row],[Sprint]],N(Log[[#This Row],[Arg]])),"")</f>
      </c>
      <c r="J667" s="17">
        <f>IF(Log[[#This Row],[Verb]]="block",1,IF(OR(Log[[#This Row],[Verb]]="unblock",Log[[#This Row],[Verb]]="done",Log[[#This Row],[Verb]]="drop",Log[[#This Row],[Verb]]="punt",Log[[#This Row],[Verb]]="pass"),0,""))</f>
      </c>
      <c r="K667" s="17">
        <f>IF(Log[[#This Row],[ID]]="",0,IFERROR(INDEX(Items[Pts],MATCH(Log[[#This Row],[ID]],Items[ID],0))*1,0))</f>
      </c>
      <c r="L667" s="17">
        <f>IF(Log[[#This Row],[ID]]="","",IFERROR(INDEX(Items[Cur team],MATCH(Log[[#This Row],[ID]],Items[ID],0))&amp;"",""))</f>
      </c>
      <c r="M667" s="17">
        <f>IF(OR(Log[[#This Row],[Verb]]="done",Log[[#This Row],[Verb]]="punt",Log[[#This Row],[Verb]]="drop",Log[[#This Row],[Verb]]="pass"),Log[[#This Row],[Pts]],0)</f>
      </c>
    </row>
    <row r="668">
      <c r="A668" s="11">
        <v>46133</v>
      </c>
      <c r="B668" t="s">
        <v>489</v>
      </c>
      <c r="C668" t="s">
        <v>34</v>
      </c>
      <c r="D668">
        <v>42</v>
      </c>
      <c r="F668" s="17">
        <f>IF(Log[[#This Row],[ID]]="","",IF(ISNA(MATCH(Log[[#This Row],[ID]],Items[ID],0)),"unknown ID",IF(ISNA(MATCH(Log[[#This Row],[Verb]],VerbList,0)),"unknown verb",IF(Log[[#This Row],[Date]]="","no date",""))))</f>
      </c>
      <c r="G668" s="17">
        <f>IF(Log[[#This Row],[ID]]="","",IFERROR(VLOOKUP(Log[[#This Row],[Verb]],Verbs,3,FALSE)&amp;"",""))</f>
      </c>
      <c r="H668" s="17">
        <f>IF(Log[[#This Row],[Date]]="","",INT((Log[[#This Row],[Date]]-Sprint1)/SprintDays)+1)</f>
      </c>
      <c r="I668" s="17">
        <f>IF(OR(Log[[#This Row],[Verb]]="commit",Log[[#This Row],[Verb]]="carry",Log[[#This Row],[Verb]]="redo"),IF(Log[[#This Row],[Arg]]="",Log[[#This Row],[Sprint]],N(Log[[#This Row],[Arg]])),"")</f>
      </c>
      <c r="J668" s="17">
        <f>IF(Log[[#This Row],[Verb]]="block",1,IF(OR(Log[[#This Row],[Verb]]="unblock",Log[[#This Row],[Verb]]="done",Log[[#This Row],[Verb]]="drop",Log[[#This Row],[Verb]]="punt",Log[[#This Row],[Verb]]="pass"),0,""))</f>
      </c>
      <c r="K668" s="17">
        <f>IF(Log[[#This Row],[ID]]="",0,IFERROR(INDEX(Items[Pts],MATCH(Log[[#This Row],[ID]],Items[ID],0))*1,0))</f>
      </c>
      <c r="L668" s="17">
        <f>IF(Log[[#This Row],[ID]]="","",IFERROR(INDEX(Items[Cur team],MATCH(Log[[#This Row],[ID]],Items[ID],0))&amp;"",""))</f>
      </c>
      <c r="M668" s="17">
        <f>IF(OR(Log[[#This Row],[Verb]]="done",Log[[#This Row],[Verb]]="punt",Log[[#This Row],[Verb]]="drop",Log[[#This Row],[Verb]]="pass"),Log[[#This Row],[Pts]],0)</f>
      </c>
    </row>
    <row r="669">
      <c r="A669" s="11">
        <v>46133</v>
      </c>
      <c r="B669" t="s">
        <v>490</v>
      </c>
      <c r="C669" t="s">
        <v>34</v>
      </c>
      <c r="D669">
        <v>42</v>
      </c>
      <c r="F669" s="17">
        <f>IF(Log[[#This Row],[ID]]="","",IF(ISNA(MATCH(Log[[#This Row],[ID]],Items[ID],0)),"unknown ID",IF(ISNA(MATCH(Log[[#This Row],[Verb]],VerbList,0)),"unknown verb",IF(Log[[#This Row],[Date]]="","no date",""))))</f>
      </c>
      <c r="G669" s="17">
        <f>IF(Log[[#This Row],[ID]]="","",IFERROR(VLOOKUP(Log[[#This Row],[Verb]],Verbs,3,FALSE)&amp;"",""))</f>
      </c>
      <c r="H669" s="17">
        <f>IF(Log[[#This Row],[Date]]="","",INT((Log[[#This Row],[Date]]-Sprint1)/SprintDays)+1)</f>
      </c>
      <c r="I669" s="17">
        <f>IF(OR(Log[[#This Row],[Verb]]="commit",Log[[#This Row],[Verb]]="carry",Log[[#This Row],[Verb]]="redo"),IF(Log[[#This Row],[Arg]]="",Log[[#This Row],[Sprint]],N(Log[[#This Row],[Arg]])),"")</f>
      </c>
      <c r="J669" s="17">
        <f>IF(Log[[#This Row],[Verb]]="block",1,IF(OR(Log[[#This Row],[Verb]]="unblock",Log[[#This Row],[Verb]]="done",Log[[#This Row],[Verb]]="drop",Log[[#This Row],[Verb]]="punt",Log[[#This Row],[Verb]]="pass"),0,""))</f>
      </c>
      <c r="K669" s="17">
        <f>IF(Log[[#This Row],[ID]]="",0,IFERROR(INDEX(Items[Pts],MATCH(Log[[#This Row],[ID]],Items[ID],0))*1,0))</f>
      </c>
      <c r="L669" s="17">
        <f>IF(Log[[#This Row],[ID]]="","",IFERROR(INDEX(Items[Cur team],MATCH(Log[[#This Row],[ID]],Items[ID],0))&amp;"",""))</f>
      </c>
      <c r="M669" s="17">
        <f>IF(OR(Log[[#This Row],[Verb]]="done",Log[[#This Row],[Verb]]="punt",Log[[#This Row],[Verb]]="drop",Log[[#This Row],[Verb]]="pass"),Log[[#This Row],[Pts]],0)</f>
      </c>
    </row>
    <row r="670">
      <c r="A670" s="11">
        <v>46133</v>
      </c>
      <c r="B670" t="s">
        <v>491</v>
      </c>
      <c r="C670" t="s">
        <v>34</v>
      </c>
      <c r="D670">
        <v>42</v>
      </c>
      <c r="F670" s="17">
        <f>IF(Log[[#This Row],[ID]]="","",IF(ISNA(MATCH(Log[[#This Row],[ID]],Items[ID],0)),"unknown ID",IF(ISNA(MATCH(Log[[#This Row],[Verb]],VerbList,0)),"unknown verb",IF(Log[[#This Row],[Date]]="","no date",""))))</f>
      </c>
      <c r="G670" s="17">
        <f>IF(Log[[#This Row],[ID]]="","",IFERROR(VLOOKUP(Log[[#This Row],[Verb]],Verbs,3,FALSE)&amp;"",""))</f>
      </c>
      <c r="H670" s="17">
        <f>IF(Log[[#This Row],[Date]]="","",INT((Log[[#This Row],[Date]]-Sprint1)/SprintDays)+1)</f>
      </c>
      <c r="I670" s="17">
        <f>IF(OR(Log[[#This Row],[Verb]]="commit",Log[[#This Row],[Verb]]="carry",Log[[#This Row],[Verb]]="redo"),IF(Log[[#This Row],[Arg]]="",Log[[#This Row],[Sprint]],N(Log[[#This Row],[Arg]])),"")</f>
      </c>
      <c r="J670" s="17">
        <f>IF(Log[[#This Row],[Verb]]="block",1,IF(OR(Log[[#This Row],[Verb]]="unblock",Log[[#This Row],[Verb]]="done",Log[[#This Row],[Verb]]="drop",Log[[#This Row],[Verb]]="punt",Log[[#This Row],[Verb]]="pass"),0,""))</f>
      </c>
      <c r="K670" s="17">
        <f>IF(Log[[#This Row],[ID]]="",0,IFERROR(INDEX(Items[Pts],MATCH(Log[[#This Row],[ID]],Items[ID],0))*1,0))</f>
      </c>
      <c r="L670" s="17">
        <f>IF(Log[[#This Row],[ID]]="","",IFERROR(INDEX(Items[Cur team],MATCH(Log[[#This Row],[ID]],Items[ID],0))&amp;"",""))</f>
      </c>
      <c r="M670" s="17">
        <f>IF(OR(Log[[#This Row],[Verb]]="done",Log[[#This Row],[Verb]]="punt",Log[[#This Row],[Verb]]="drop",Log[[#This Row],[Verb]]="pass"),Log[[#This Row],[Pts]],0)</f>
      </c>
    </row>
    <row r="671">
      <c r="A671" s="11">
        <v>46133</v>
      </c>
      <c r="B671" t="s">
        <v>492</v>
      </c>
      <c r="C671" t="s">
        <v>34</v>
      </c>
      <c r="D671">
        <v>42</v>
      </c>
      <c r="F671" s="17">
        <f>IF(Log[[#This Row],[ID]]="","",IF(ISNA(MATCH(Log[[#This Row],[ID]],Items[ID],0)),"unknown ID",IF(ISNA(MATCH(Log[[#This Row],[Verb]],VerbList,0)),"unknown verb",IF(Log[[#This Row],[Date]]="","no date",""))))</f>
      </c>
      <c r="G671" s="17">
        <f>IF(Log[[#This Row],[ID]]="","",IFERROR(VLOOKUP(Log[[#This Row],[Verb]],Verbs,3,FALSE)&amp;"",""))</f>
      </c>
      <c r="H671" s="17">
        <f>IF(Log[[#This Row],[Date]]="","",INT((Log[[#This Row],[Date]]-Sprint1)/SprintDays)+1)</f>
      </c>
      <c r="I671" s="17">
        <f>IF(OR(Log[[#This Row],[Verb]]="commit",Log[[#This Row],[Verb]]="carry",Log[[#This Row],[Verb]]="redo"),IF(Log[[#This Row],[Arg]]="",Log[[#This Row],[Sprint]],N(Log[[#This Row],[Arg]])),"")</f>
      </c>
      <c r="J671" s="17">
        <f>IF(Log[[#This Row],[Verb]]="block",1,IF(OR(Log[[#This Row],[Verb]]="unblock",Log[[#This Row],[Verb]]="done",Log[[#This Row],[Verb]]="drop",Log[[#This Row],[Verb]]="punt",Log[[#This Row],[Verb]]="pass"),0,""))</f>
      </c>
      <c r="K671" s="17">
        <f>IF(Log[[#This Row],[ID]]="",0,IFERROR(INDEX(Items[Pts],MATCH(Log[[#This Row],[ID]],Items[ID],0))*1,0))</f>
      </c>
      <c r="L671" s="17">
        <f>IF(Log[[#This Row],[ID]]="","",IFERROR(INDEX(Items[Cur team],MATCH(Log[[#This Row],[ID]],Items[ID],0))&amp;"",""))</f>
      </c>
      <c r="M671" s="17">
        <f>IF(OR(Log[[#This Row],[Verb]]="done",Log[[#This Row],[Verb]]="punt",Log[[#This Row],[Verb]]="drop",Log[[#This Row],[Verb]]="pass"),Log[[#This Row],[Pts]],0)</f>
      </c>
    </row>
    <row r="672">
      <c r="A672" s="11">
        <v>46146</v>
      </c>
      <c r="B672" t="s">
        <v>375</v>
      </c>
      <c r="C672" t="s">
        <v>38</v>
      </c>
      <c r="D672">
        <v>43</v>
      </c>
      <c r="F672" s="17">
        <f>IF(Log[[#This Row],[ID]]="","",IF(ISNA(MATCH(Log[[#This Row],[ID]],Items[ID],0)),"unknown ID",IF(ISNA(MATCH(Log[[#This Row],[Verb]],VerbList,0)),"unknown verb",IF(Log[[#This Row],[Date]]="","no date",""))))</f>
      </c>
      <c r="G672" s="17">
        <f>IF(Log[[#This Row],[ID]]="","",IFERROR(VLOOKUP(Log[[#This Row],[Verb]],Verbs,3,FALSE)&amp;"",""))</f>
      </c>
      <c r="H672" s="17">
        <f>IF(Log[[#This Row],[Date]]="","",INT((Log[[#This Row],[Date]]-Sprint1)/SprintDays)+1)</f>
      </c>
      <c r="I672" s="17">
        <f>IF(OR(Log[[#This Row],[Verb]]="commit",Log[[#This Row],[Verb]]="carry",Log[[#This Row],[Verb]]="redo"),IF(Log[[#This Row],[Arg]]="",Log[[#This Row],[Sprint]],N(Log[[#This Row],[Arg]])),"")</f>
      </c>
      <c r="J672" s="17">
        <f>IF(Log[[#This Row],[Verb]]="block",1,IF(OR(Log[[#This Row],[Verb]]="unblock",Log[[#This Row],[Verb]]="done",Log[[#This Row],[Verb]]="drop",Log[[#This Row],[Verb]]="punt",Log[[#This Row],[Verb]]="pass"),0,""))</f>
      </c>
      <c r="K672" s="17">
        <f>IF(Log[[#This Row],[ID]]="",0,IFERROR(INDEX(Items[Pts],MATCH(Log[[#This Row],[ID]],Items[ID],0))*1,0))</f>
      </c>
      <c r="L672" s="17">
        <f>IF(Log[[#This Row],[ID]]="","",IFERROR(INDEX(Items[Cur team],MATCH(Log[[#This Row],[ID]],Items[ID],0))&amp;"",""))</f>
      </c>
      <c r="M672" s="17">
        <f>IF(OR(Log[[#This Row],[Verb]]="done",Log[[#This Row],[Verb]]="punt",Log[[#This Row],[Verb]]="drop",Log[[#This Row],[Verb]]="pass"),Log[[#This Row],[Pts]],0)</f>
      </c>
    </row>
    <row r="673">
      <c r="A673" s="11">
        <v>46146</v>
      </c>
      <c r="B673" t="s">
        <v>430</v>
      </c>
      <c r="C673" t="s">
        <v>41</v>
      </c>
      <c r="F673" s="17">
        <f>IF(Log[[#This Row],[ID]]="","",IF(ISNA(MATCH(Log[[#This Row],[ID]],Items[ID],0)),"unknown ID",IF(ISNA(MATCH(Log[[#This Row],[Verb]],VerbList,0)),"unknown verb",IF(Log[[#This Row],[Date]]="","no date",""))))</f>
      </c>
      <c r="G673" s="17">
        <f>IF(Log[[#This Row],[ID]]="","",IFERROR(VLOOKUP(Log[[#This Row],[Verb]],Verbs,3,FALSE)&amp;"",""))</f>
      </c>
      <c r="H673" s="17">
        <f>IF(Log[[#This Row],[Date]]="","",INT((Log[[#This Row],[Date]]-Sprint1)/SprintDays)+1)</f>
      </c>
      <c r="I673" s="17">
        <f>IF(OR(Log[[#This Row],[Verb]]="commit",Log[[#This Row],[Verb]]="carry",Log[[#This Row],[Verb]]="redo"),IF(Log[[#This Row],[Arg]]="",Log[[#This Row],[Sprint]],N(Log[[#This Row],[Arg]])),"")</f>
      </c>
      <c r="J673" s="17">
        <f>IF(Log[[#This Row],[Verb]]="block",1,IF(OR(Log[[#This Row],[Verb]]="unblock",Log[[#This Row],[Verb]]="done",Log[[#This Row],[Verb]]="drop",Log[[#This Row],[Verb]]="punt",Log[[#This Row],[Verb]]="pass"),0,""))</f>
      </c>
      <c r="K673" s="17">
        <f>IF(Log[[#This Row],[ID]]="",0,IFERROR(INDEX(Items[Pts],MATCH(Log[[#This Row],[ID]],Items[ID],0))*1,0))</f>
      </c>
      <c r="L673" s="17">
        <f>IF(Log[[#This Row],[ID]]="","",IFERROR(INDEX(Items[Cur team],MATCH(Log[[#This Row],[ID]],Items[ID],0))&amp;"",""))</f>
      </c>
      <c r="M673" s="17">
        <f>IF(OR(Log[[#This Row],[Verb]]="done",Log[[#This Row],[Verb]]="punt",Log[[#This Row],[Verb]]="drop",Log[[#This Row],[Verb]]="pass"),Log[[#This Row],[Pts]],0)</f>
      </c>
    </row>
    <row r="674">
      <c r="A674" s="11">
        <v>46146</v>
      </c>
      <c r="B674" t="s">
        <v>431</v>
      </c>
      <c r="C674" t="s">
        <v>38</v>
      </c>
      <c r="D674">
        <v>43</v>
      </c>
      <c r="F674" s="17">
        <f>IF(Log[[#This Row],[ID]]="","",IF(ISNA(MATCH(Log[[#This Row],[ID]],Items[ID],0)),"unknown ID",IF(ISNA(MATCH(Log[[#This Row],[Verb]],VerbList,0)),"unknown verb",IF(Log[[#This Row],[Date]]="","no date",""))))</f>
      </c>
      <c r="G674" s="17">
        <f>IF(Log[[#This Row],[ID]]="","",IFERROR(VLOOKUP(Log[[#This Row],[Verb]],Verbs,3,FALSE)&amp;"",""))</f>
      </c>
      <c r="H674" s="17">
        <f>IF(Log[[#This Row],[Date]]="","",INT((Log[[#This Row],[Date]]-Sprint1)/SprintDays)+1)</f>
      </c>
      <c r="I674" s="17">
        <f>IF(OR(Log[[#This Row],[Verb]]="commit",Log[[#This Row],[Verb]]="carry",Log[[#This Row],[Verb]]="redo"),IF(Log[[#This Row],[Arg]]="",Log[[#This Row],[Sprint]],N(Log[[#This Row],[Arg]])),"")</f>
      </c>
      <c r="J674" s="17">
        <f>IF(Log[[#This Row],[Verb]]="block",1,IF(OR(Log[[#This Row],[Verb]]="unblock",Log[[#This Row],[Verb]]="done",Log[[#This Row],[Verb]]="drop",Log[[#This Row],[Verb]]="punt",Log[[#This Row],[Verb]]="pass"),0,""))</f>
      </c>
      <c r="K674" s="17">
        <f>IF(Log[[#This Row],[ID]]="",0,IFERROR(INDEX(Items[Pts],MATCH(Log[[#This Row],[ID]],Items[ID],0))*1,0))</f>
      </c>
      <c r="L674" s="17">
        <f>IF(Log[[#This Row],[ID]]="","",IFERROR(INDEX(Items[Cur team],MATCH(Log[[#This Row],[ID]],Items[ID],0))&amp;"",""))</f>
      </c>
      <c r="M674" s="17">
        <f>IF(OR(Log[[#This Row],[Verb]]="done",Log[[#This Row],[Verb]]="punt",Log[[#This Row],[Verb]]="drop",Log[[#This Row],[Verb]]="pass"),Log[[#This Row],[Pts]],0)</f>
      </c>
    </row>
    <row r="675">
      <c r="A675" s="11">
        <v>46146</v>
      </c>
      <c r="B675" t="s">
        <v>432</v>
      </c>
      <c r="C675" t="s">
        <v>41</v>
      </c>
      <c r="F675" s="17">
        <f>IF(Log[[#This Row],[ID]]="","",IF(ISNA(MATCH(Log[[#This Row],[ID]],Items[ID],0)),"unknown ID",IF(ISNA(MATCH(Log[[#This Row],[Verb]],VerbList,0)),"unknown verb",IF(Log[[#This Row],[Date]]="","no date",""))))</f>
      </c>
      <c r="G675" s="17">
        <f>IF(Log[[#This Row],[ID]]="","",IFERROR(VLOOKUP(Log[[#This Row],[Verb]],Verbs,3,FALSE)&amp;"",""))</f>
      </c>
      <c r="H675" s="17">
        <f>IF(Log[[#This Row],[Date]]="","",INT((Log[[#This Row],[Date]]-Sprint1)/SprintDays)+1)</f>
      </c>
      <c r="I675" s="17">
        <f>IF(OR(Log[[#This Row],[Verb]]="commit",Log[[#This Row],[Verb]]="carry",Log[[#This Row],[Verb]]="redo"),IF(Log[[#This Row],[Arg]]="",Log[[#This Row],[Sprint]],N(Log[[#This Row],[Arg]])),"")</f>
      </c>
      <c r="J675" s="17">
        <f>IF(Log[[#This Row],[Verb]]="block",1,IF(OR(Log[[#This Row],[Verb]]="unblock",Log[[#This Row],[Verb]]="done",Log[[#This Row],[Verb]]="drop",Log[[#This Row],[Verb]]="punt",Log[[#This Row],[Verb]]="pass"),0,""))</f>
      </c>
      <c r="K675" s="17">
        <f>IF(Log[[#This Row],[ID]]="",0,IFERROR(INDEX(Items[Pts],MATCH(Log[[#This Row],[ID]],Items[ID],0))*1,0))</f>
      </c>
      <c r="L675" s="17">
        <f>IF(Log[[#This Row],[ID]]="","",IFERROR(INDEX(Items[Cur team],MATCH(Log[[#This Row],[ID]],Items[ID],0))&amp;"",""))</f>
      </c>
      <c r="M675" s="17">
        <f>IF(OR(Log[[#This Row],[Verb]]="done",Log[[#This Row],[Verb]]="punt",Log[[#This Row],[Verb]]="drop",Log[[#This Row],[Verb]]="pass"),Log[[#This Row],[Pts]],0)</f>
      </c>
    </row>
    <row r="676">
      <c r="A676" s="11">
        <v>46146</v>
      </c>
      <c r="B676" t="s">
        <v>433</v>
      </c>
      <c r="C676" t="s">
        <v>38</v>
      </c>
      <c r="D676">
        <v>43</v>
      </c>
      <c r="F676" s="17">
        <f>IF(Log[[#This Row],[ID]]="","",IF(ISNA(MATCH(Log[[#This Row],[ID]],Items[ID],0)),"unknown ID",IF(ISNA(MATCH(Log[[#This Row],[Verb]],VerbList,0)),"unknown verb",IF(Log[[#This Row],[Date]]="","no date",""))))</f>
      </c>
      <c r="G676" s="17">
        <f>IF(Log[[#This Row],[ID]]="","",IFERROR(VLOOKUP(Log[[#This Row],[Verb]],Verbs,3,FALSE)&amp;"",""))</f>
      </c>
      <c r="H676" s="17">
        <f>IF(Log[[#This Row],[Date]]="","",INT((Log[[#This Row],[Date]]-Sprint1)/SprintDays)+1)</f>
      </c>
      <c r="I676" s="17">
        <f>IF(OR(Log[[#This Row],[Verb]]="commit",Log[[#This Row],[Verb]]="carry",Log[[#This Row],[Verb]]="redo"),IF(Log[[#This Row],[Arg]]="",Log[[#This Row],[Sprint]],N(Log[[#This Row],[Arg]])),"")</f>
      </c>
      <c r="J676" s="17">
        <f>IF(Log[[#This Row],[Verb]]="block",1,IF(OR(Log[[#This Row],[Verb]]="unblock",Log[[#This Row],[Verb]]="done",Log[[#This Row],[Verb]]="drop",Log[[#This Row],[Verb]]="punt",Log[[#This Row],[Verb]]="pass"),0,""))</f>
      </c>
      <c r="K676" s="17">
        <f>IF(Log[[#This Row],[ID]]="",0,IFERROR(INDEX(Items[Pts],MATCH(Log[[#This Row],[ID]],Items[ID],0))*1,0))</f>
      </c>
      <c r="L676" s="17">
        <f>IF(Log[[#This Row],[ID]]="","",IFERROR(INDEX(Items[Cur team],MATCH(Log[[#This Row],[ID]],Items[ID],0))&amp;"",""))</f>
      </c>
      <c r="M676" s="17">
        <f>IF(OR(Log[[#This Row],[Verb]]="done",Log[[#This Row],[Verb]]="punt",Log[[#This Row],[Verb]]="drop",Log[[#This Row],[Verb]]="pass"),Log[[#This Row],[Pts]],0)</f>
      </c>
    </row>
    <row r="677">
      <c r="A677" s="11">
        <v>46146</v>
      </c>
      <c r="B677" t="s">
        <v>434</v>
      </c>
      <c r="C677" t="s">
        <v>41</v>
      </c>
      <c r="F677" s="17">
        <f>IF(Log[[#This Row],[ID]]="","",IF(ISNA(MATCH(Log[[#This Row],[ID]],Items[ID],0)),"unknown ID",IF(ISNA(MATCH(Log[[#This Row],[Verb]],VerbList,0)),"unknown verb",IF(Log[[#This Row],[Date]]="","no date",""))))</f>
      </c>
      <c r="G677" s="17">
        <f>IF(Log[[#This Row],[ID]]="","",IFERROR(VLOOKUP(Log[[#This Row],[Verb]],Verbs,3,FALSE)&amp;"",""))</f>
      </c>
      <c r="H677" s="17">
        <f>IF(Log[[#This Row],[Date]]="","",INT((Log[[#This Row],[Date]]-Sprint1)/SprintDays)+1)</f>
      </c>
      <c r="I677" s="17">
        <f>IF(OR(Log[[#This Row],[Verb]]="commit",Log[[#This Row],[Verb]]="carry",Log[[#This Row],[Verb]]="redo"),IF(Log[[#This Row],[Arg]]="",Log[[#This Row],[Sprint]],N(Log[[#This Row],[Arg]])),"")</f>
      </c>
      <c r="J677" s="17">
        <f>IF(Log[[#This Row],[Verb]]="block",1,IF(OR(Log[[#This Row],[Verb]]="unblock",Log[[#This Row],[Verb]]="done",Log[[#This Row],[Verb]]="drop",Log[[#This Row],[Verb]]="punt",Log[[#This Row],[Verb]]="pass"),0,""))</f>
      </c>
      <c r="K677" s="17">
        <f>IF(Log[[#This Row],[ID]]="",0,IFERROR(INDEX(Items[Pts],MATCH(Log[[#This Row],[ID]],Items[ID],0))*1,0))</f>
      </c>
      <c r="L677" s="17">
        <f>IF(Log[[#This Row],[ID]]="","",IFERROR(INDEX(Items[Cur team],MATCH(Log[[#This Row],[ID]],Items[ID],0))&amp;"",""))</f>
      </c>
      <c r="M677" s="17">
        <f>IF(OR(Log[[#This Row],[Verb]]="done",Log[[#This Row],[Verb]]="punt",Log[[#This Row],[Verb]]="drop",Log[[#This Row],[Verb]]="pass"),Log[[#This Row],[Pts]],0)</f>
      </c>
    </row>
    <row r="678">
      <c r="A678" s="11">
        <v>46146</v>
      </c>
      <c r="B678" t="s">
        <v>435</v>
      </c>
      <c r="C678" t="s">
        <v>41</v>
      </c>
      <c r="F678" s="17">
        <f>IF(Log[[#This Row],[ID]]="","",IF(ISNA(MATCH(Log[[#This Row],[ID]],Items[ID],0)),"unknown ID",IF(ISNA(MATCH(Log[[#This Row],[Verb]],VerbList,0)),"unknown verb",IF(Log[[#This Row],[Date]]="","no date",""))))</f>
      </c>
      <c r="G678" s="17">
        <f>IF(Log[[#This Row],[ID]]="","",IFERROR(VLOOKUP(Log[[#This Row],[Verb]],Verbs,3,FALSE)&amp;"",""))</f>
      </c>
      <c r="H678" s="17">
        <f>IF(Log[[#This Row],[Date]]="","",INT((Log[[#This Row],[Date]]-Sprint1)/SprintDays)+1)</f>
      </c>
      <c r="I678" s="17">
        <f>IF(OR(Log[[#This Row],[Verb]]="commit",Log[[#This Row],[Verb]]="carry",Log[[#This Row],[Verb]]="redo"),IF(Log[[#This Row],[Arg]]="",Log[[#This Row],[Sprint]],N(Log[[#This Row],[Arg]])),"")</f>
      </c>
      <c r="J678" s="17">
        <f>IF(Log[[#This Row],[Verb]]="block",1,IF(OR(Log[[#This Row],[Verb]]="unblock",Log[[#This Row],[Verb]]="done",Log[[#This Row],[Verb]]="drop",Log[[#This Row],[Verb]]="punt",Log[[#This Row],[Verb]]="pass"),0,""))</f>
      </c>
      <c r="K678" s="17">
        <f>IF(Log[[#This Row],[ID]]="",0,IFERROR(INDEX(Items[Pts],MATCH(Log[[#This Row],[ID]],Items[ID],0))*1,0))</f>
      </c>
      <c r="L678" s="17">
        <f>IF(Log[[#This Row],[ID]]="","",IFERROR(INDEX(Items[Cur team],MATCH(Log[[#This Row],[ID]],Items[ID],0))&amp;"",""))</f>
      </c>
      <c r="M678" s="17">
        <f>IF(OR(Log[[#This Row],[Verb]]="done",Log[[#This Row],[Verb]]="punt",Log[[#This Row],[Verb]]="drop",Log[[#This Row],[Verb]]="pass"),Log[[#This Row],[Pts]],0)</f>
      </c>
    </row>
    <row r="679">
      <c r="A679" s="11">
        <v>46146</v>
      </c>
      <c r="B679" t="s">
        <v>380</v>
      </c>
      <c r="C679" t="s">
        <v>41</v>
      </c>
      <c r="F679" s="17">
        <f>IF(Log[[#This Row],[ID]]="","",IF(ISNA(MATCH(Log[[#This Row],[ID]],Items[ID],0)),"unknown ID",IF(ISNA(MATCH(Log[[#This Row],[Verb]],VerbList,0)),"unknown verb",IF(Log[[#This Row],[Date]]="","no date",""))))</f>
      </c>
      <c r="G679" s="17">
        <f>IF(Log[[#This Row],[ID]]="","",IFERROR(VLOOKUP(Log[[#This Row],[Verb]],Verbs,3,FALSE)&amp;"",""))</f>
      </c>
      <c r="H679" s="17">
        <f>IF(Log[[#This Row],[Date]]="","",INT((Log[[#This Row],[Date]]-Sprint1)/SprintDays)+1)</f>
      </c>
      <c r="I679" s="17">
        <f>IF(OR(Log[[#This Row],[Verb]]="commit",Log[[#This Row],[Verb]]="carry",Log[[#This Row],[Verb]]="redo"),IF(Log[[#This Row],[Arg]]="",Log[[#This Row],[Sprint]],N(Log[[#This Row],[Arg]])),"")</f>
      </c>
      <c r="J679" s="17">
        <f>IF(Log[[#This Row],[Verb]]="block",1,IF(OR(Log[[#This Row],[Verb]]="unblock",Log[[#This Row],[Verb]]="done",Log[[#This Row],[Verb]]="drop",Log[[#This Row],[Verb]]="punt",Log[[#This Row],[Verb]]="pass"),0,""))</f>
      </c>
      <c r="K679" s="17">
        <f>IF(Log[[#This Row],[ID]]="",0,IFERROR(INDEX(Items[Pts],MATCH(Log[[#This Row],[ID]],Items[ID],0))*1,0))</f>
      </c>
      <c r="L679" s="17">
        <f>IF(Log[[#This Row],[ID]]="","",IFERROR(INDEX(Items[Cur team],MATCH(Log[[#This Row],[ID]],Items[ID],0))&amp;"",""))</f>
      </c>
      <c r="M679" s="17">
        <f>IF(OR(Log[[#This Row],[Verb]]="done",Log[[#This Row],[Verb]]="punt",Log[[#This Row],[Verb]]="drop",Log[[#This Row],[Verb]]="pass"),Log[[#This Row],[Pts]],0)</f>
      </c>
    </row>
    <row r="680">
      <c r="A680" s="11">
        <v>46146</v>
      </c>
      <c r="B680" t="s">
        <v>436</v>
      </c>
      <c r="C680" t="s">
        <v>38</v>
      </c>
      <c r="D680">
        <v>43</v>
      </c>
      <c r="F680" s="17">
        <f>IF(Log[[#This Row],[ID]]="","",IF(ISNA(MATCH(Log[[#This Row],[ID]],Items[ID],0)),"unknown ID",IF(ISNA(MATCH(Log[[#This Row],[Verb]],VerbList,0)),"unknown verb",IF(Log[[#This Row],[Date]]="","no date",""))))</f>
      </c>
      <c r="G680" s="17">
        <f>IF(Log[[#This Row],[ID]]="","",IFERROR(VLOOKUP(Log[[#This Row],[Verb]],Verbs,3,FALSE)&amp;"",""))</f>
      </c>
      <c r="H680" s="17">
        <f>IF(Log[[#This Row],[Date]]="","",INT((Log[[#This Row],[Date]]-Sprint1)/SprintDays)+1)</f>
      </c>
      <c r="I680" s="17">
        <f>IF(OR(Log[[#This Row],[Verb]]="commit",Log[[#This Row],[Verb]]="carry",Log[[#This Row],[Verb]]="redo"),IF(Log[[#This Row],[Arg]]="",Log[[#This Row],[Sprint]],N(Log[[#This Row],[Arg]])),"")</f>
      </c>
      <c r="J680" s="17">
        <f>IF(Log[[#This Row],[Verb]]="block",1,IF(OR(Log[[#This Row],[Verb]]="unblock",Log[[#This Row],[Verb]]="done",Log[[#This Row],[Verb]]="drop",Log[[#This Row],[Verb]]="punt",Log[[#This Row],[Verb]]="pass"),0,""))</f>
      </c>
      <c r="K680" s="17">
        <f>IF(Log[[#This Row],[ID]]="",0,IFERROR(INDEX(Items[Pts],MATCH(Log[[#This Row],[ID]],Items[ID],0))*1,0))</f>
      </c>
      <c r="L680" s="17">
        <f>IF(Log[[#This Row],[ID]]="","",IFERROR(INDEX(Items[Cur team],MATCH(Log[[#This Row],[ID]],Items[ID],0))&amp;"",""))</f>
      </c>
      <c r="M680" s="17">
        <f>IF(OR(Log[[#This Row],[Verb]]="done",Log[[#This Row],[Verb]]="punt",Log[[#This Row],[Verb]]="drop",Log[[#This Row],[Verb]]="pass"),Log[[#This Row],[Pts]],0)</f>
      </c>
    </row>
    <row r="681">
      <c r="A681" s="11">
        <v>46146</v>
      </c>
      <c r="B681" t="s">
        <v>437</v>
      </c>
      <c r="C681" t="s">
        <v>41</v>
      </c>
      <c r="F681" s="17">
        <f>IF(Log[[#This Row],[ID]]="","",IF(ISNA(MATCH(Log[[#This Row],[ID]],Items[ID],0)),"unknown ID",IF(ISNA(MATCH(Log[[#This Row],[Verb]],VerbList,0)),"unknown verb",IF(Log[[#This Row],[Date]]="","no date",""))))</f>
      </c>
      <c r="G681" s="17">
        <f>IF(Log[[#This Row],[ID]]="","",IFERROR(VLOOKUP(Log[[#This Row],[Verb]],Verbs,3,FALSE)&amp;"",""))</f>
      </c>
      <c r="H681" s="17">
        <f>IF(Log[[#This Row],[Date]]="","",INT((Log[[#This Row],[Date]]-Sprint1)/SprintDays)+1)</f>
      </c>
      <c r="I681" s="17">
        <f>IF(OR(Log[[#This Row],[Verb]]="commit",Log[[#This Row],[Verb]]="carry",Log[[#This Row],[Verb]]="redo"),IF(Log[[#This Row],[Arg]]="",Log[[#This Row],[Sprint]],N(Log[[#This Row],[Arg]])),"")</f>
      </c>
      <c r="J681" s="17">
        <f>IF(Log[[#This Row],[Verb]]="block",1,IF(OR(Log[[#This Row],[Verb]]="unblock",Log[[#This Row],[Verb]]="done",Log[[#This Row],[Verb]]="drop",Log[[#This Row],[Verb]]="punt",Log[[#This Row],[Verb]]="pass"),0,""))</f>
      </c>
      <c r="K681" s="17">
        <f>IF(Log[[#This Row],[ID]]="",0,IFERROR(INDEX(Items[Pts],MATCH(Log[[#This Row],[ID]],Items[ID],0))*1,0))</f>
      </c>
      <c r="L681" s="17">
        <f>IF(Log[[#This Row],[ID]]="","",IFERROR(INDEX(Items[Cur team],MATCH(Log[[#This Row],[ID]],Items[ID],0))&amp;"",""))</f>
      </c>
      <c r="M681" s="17">
        <f>IF(OR(Log[[#This Row],[Verb]]="done",Log[[#This Row],[Verb]]="punt",Log[[#This Row],[Verb]]="drop",Log[[#This Row],[Verb]]="pass"),Log[[#This Row],[Pts]],0)</f>
      </c>
    </row>
    <row r="682">
      <c r="A682" s="11">
        <v>46146</v>
      </c>
      <c r="B682" t="s">
        <v>438</v>
      </c>
      <c r="C682" t="s">
        <v>41</v>
      </c>
      <c r="F682" s="17">
        <f>IF(Log[[#This Row],[ID]]="","",IF(ISNA(MATCH(Log[[#This Row],[ID]],Items[ID],0)),"unknown ID",IF(ISNA(MATCH(Log[[#This Row],[Verb]],VerbList,0)),"unknown verb",IF(Log[[#This Row],[Date]]="","no date",""))))</f>
      </c>
      <c r="G682" s="17">
        <f>IF(Log[[#This Row],[ID]]="","",IFERROR(VLOOKUP(Log[[#This Row],[Verb]],Verbs,3,FALSE)&amp;"",""))</f>
      </c>
      <c r="H682" s="17">
        <f>IF(Log[[#This Row],[Date]]="","",INT((Log[[#This Row],[Date]]-Sprint1)/SprintDays)+1)</f>
      </c>
      <c r="I682" s="17">
        <f>IF(OR(Log[[#This Row],[Verb]]="commit",Log[[#This Row],[Verb]]="carry",Log[[#This Row],[Verb]]="redo"),IF(Log[[#This Row],[Arg]]="",Log[[#This Row],[Sprint]],N(Log[[#This Row],[Arg]])),"")</f>
      </c>
      <c r="J682" s="17">
        <f>IF(Log[[#This Row],[Verb]]="block",1,IF(OR(Log[[#This Row],[Verb]]="unblock",Log[[#This Row],[Verb]]="done",Log[[#This Row],[Verb]]="drop",Log[[#This Row],[Verb]]="punt",Log[[#This Row],[Verb]]="pass"),0,""))</f>
      </c>
      <c r="K682" s="17">
        <f>IF(Log[[#This Row],[ID]]="",0,IFERROR(INDEX(Items[Pts],MATCH(Log[[#This Row],[ID]],Items[ID],0))*1,0))</f>
      </c>
      <c r="L682" s="17">
        <f>IF(Log[[#This Row],[ID]]="","",IFERROR(INDEX(Items[Cur team],MATCH(Log[[#This Row],[ID]],Items[ID],0))&amp;"",""))</f>
      </c>
      <c r="M682" s="17">
        <f>IF(OR(Log[[#This Row],[Verb]]="done",Log[[#This Row],[Verb]]="punt",Log[[#This Row],[Verb]]="drop",Log[[#This Row],[Verb]]="pass"),Log[[#This Row],[Pts]],0)</f>
      </c>
    </row>
    <row r="683">
      <c r="A683" s="11">
        <v>46146</v>
      </c>
      <c r="B683" t="s">
        <v>439</v>
      </c>
      <c r="C683" t="s">
        <v>41</v>
      </c>
      <c r="F683" s="17">
        <f>IF(Log[[#This Row],[ID]]="","",IF(ISNA(MATCH(Log[[#This Row],[ID]],Items[ID],0)),"unknown ID",IF(ISNA(MATCH(Log[[#This Row],[Verb]],VerbList,0)),"unknown verb",IF(Log[[#This Row],[Date]]="","no date",""))))</f>
      </c>
      <c r="G683" s="17">
        <f>IF(Log[[#This Row],[ID]]="","",IFERROR(VLOOKUP(Log[[#This Row],[Verb]],Verbs,3,FALSE)&amp;"",""))</f>
      </c>
      <c r="H683" s="17">
        <f>IF(Log[[#This Row],[Date]]="","",INT((Log[[#This Row],[Date]]-Sprint1)/SprintDays)+1)</f>
      </c>
      <c r="I683" s="17">
        <f>IF(OR(Log[[#This Row],[Verb]]="commit",Log[[#This Row],[Verb]]="carry",Log[[#This Row],[Verb]]="redo"),IF(Log[[#This Row],[Arg]]="",Log[[#This Row],[Sprint]],N(Log[[#This Row],[Arg]])),"")</f>
      </c>
      <c r="J683" s="17">
        <f>IF(Log[[#This Row],[Verb]]="block",1,IF(OR(Log[[#This Row],[Verb]]="unblock",Log[[#This Row],[Verb]]="done",Log[[#This Row],[Verb]]="drop",Log[[#This Row],[Verb]]="punt",Log[[#This Row],[Verb]]="pass"),0,""))</f>
      </c>
      <c r="K683" s="17">
        <f>IF(Log[[#This Row],[ID]]="",0,IFERROR(INDEX(Items[Pts],MATCH(Log[[#This Row],[ID]],Items[ID],0))*1,0))</f>
      </c>
      <c r="L683" s="17">
        <f>IF(Log[[#This Row],[ID]]="","",IFERROR(INDEX(Items[Cur team],MATCH(Log[[#This Row],[ID]],Items[ID],0))&amp;"",""))</f>
      </c>
      <c r="M683" s="17">
        <f>IF(OR(Log[[#This Row],[Verb]]="done",Log[[#This Row],[Verb]]="punt",Log[[#This Row],[Verb]]="drop",Log[[#This Row],[Verb]]="pass"),Log[[#This Row],[Pts]],0)</f>
      </c>
    </row>
    <row r="684">
      <c r="A684" s="11">
        <v>46146</v>
      </c>
      <c r="B684" t="s">
        <v>440</v>
      </c>
      <c r="C684" t="s">
        <v>41</v>
      </c>
      <c r="F684" s="17">
        <f>IF(Log[[#This Row],[ID]]="","",IF(ISNA(MATCH(Log[[#This Row],[ID]],Items[ID],0)),"unknown ID",IF(ISNA(MATCH(Log[[#This Row],[Verb]],VerbList,0)),"unknown verb",IF(Log[[#This Row],[Date]]="","no date",""))))</f>
      </c>
      <c r="G684" s="17">
        <f>IF(Log[[#This Row],[ID]]="","",IFERROR(VLOOKUP(Log[[#This Row],[Verb]],Verbs,3,FALSE)&amp;"",""))</f>
      </c>
      <c r="H684" s="17">
        <f>IF(Log[[#This Row],[Date]]="","",INT((Log[[#This Row],[Date]]-Sprint1)/SprintDays)+1)</f>
      </c>
      <c r="I684" s="17">
        <f>IF(OR(Log[[#This Row],[Verb]]="commit",Log[[#This Row],[Verb]]="carry",Log[[#This Row],[Verb]]="redo"),IF(Log[[#This Row],[Arg]]="",Log[[#This Row],[Sprint]],N(Log[[#This Row],[Arg]])),"")</f>
      </c>
      <c r="J684" s="17">
        <f>IF(Log[[#This Row],[Verb]]="block",1,IF(OR(Log[[#This Row],[Verb]]="unblock",Log[[#This Row],[Verb]]="done",Log[[#This Row],[Verb]]="drop",Log[[#This Row],[Verb]]="punt",Log[[#This Row],[Verb]]="pass"),0,""))</f>
      </c>
      <c r="K684" s="17">
        <f>IF(Log[[#This Row],[ID]]="",0,IFERROR(INDEX(Items[Pts],MATCH(Log[[#This Row],[ID]],Items[ID],0))*1,0))</f>
      </c>
      <c r="L684" s="17">
        <f>IF(Log[[#This Row],[ID]]="","",IFERROR(INDEX(Items[Cur team],MATCH(Log[[#This Row],[ID]],Items[ID],0))&amp;"",""))</f>
      </c>
      <c r="M684" s="17">
        <f>IF(OR(Log[[#This Row],[Verb]]="done",Log[[#This Row],[Verb]]="punt",Log[[#This Row],[Verb]]="drop",Log[[#This Row],[Verb]]="pass"),Log[[#This Row],[Pts]],0)</f>
      </c>
    </row>
    <row r="685">
      <c r="A685" s="11">
        <v>46146</v>
      </c>
      <c r="B685" t="s">
        <v>441</v>
      </c>
      <c r="C685" t="s">
        <v>41</v>
      </c>
      <c r="F685" s="17">
        <f>IF(Log[[#This Row],[ID]]="","",IF(ISNA(MATCH(Log[[#This Row],[ID]],Items[ID],0)),"unknown ID",IF(ISNA(MATCH(Log[[#This Row],[Verb]],VerbList,0)),"unknown verb",IF(Log[[#This Row],[Date]]="","no date",""))))</f>
      </c>
      <c r="G685" s="17">
        <f>IF(Log[[#This Row],[ID]]="","",IFERROR(VLOOKUP(Log[[#This Row],[Verb]],Verbs,3,FALSE)&amp;"",""))</f>
      </c>
      <c r="H685" s="17">
        <f>IF(Log[[#This Row],[Date]]="","",INT((Log[[#This Row],[Date]]-Sprint1)/SprintDays)+1)</f>
      </c>
      <c r="I685" s="17">
        <f>IF(OR(Log[[#This Row],[Verb]]="commit",Log[[#This Row],[Verb]]="carry",Log[[#This Row],[Verb]]="redo"),IF(Log[[#This Row],[Arg]]="",Log[[#This Row],[Sprint]],N(Log[[#This Row],[Arg]])),"")</f>
      </c>
      <c r="J685" s="17">
        <f>IF(Log[[#This Row],[Verb]]="block",1,IF(OR(Log[[#This Row],[Verb]]="unblock",Log[[#This Row],[Verb]]="done",Log[[#This Row],[Verb]]="drop",Log[[#This Row],[Verb]]="punt",Log[[#This Row],[Verb]]="pass"),0,""))</f>
      </c>
      <c r="K685" s="17">
        <f>IF(Log[[#This Row],[ID]]="",0,IFERROR(INDEX(Items[Pts],MATCH(Log[[#This Row],[ID]],Items[ID],0))*1,0))</f>
      </c>
      <c r="L685" s="17">
        <f>IF(Log[[#This Row],[ID]]="","",IFERROR(INDEX(Items[Cur team],MATCH(Log[[#This Row],[ID]],Items[ID],0))&amp;"",""))</f>
      </c>
      <c r="M685" s="17">
        <f>IF(OR(Log[[#This Row],[Verb]]="done",Log[[#This Row],[Verb]]="punt",Log[[#This Row],[Verb]]="drop",Log[[#This Row],[Verb]]="pass"),Log[[#This Row],[Pts]],0)</f>
      </c>
    </row>
    <row r="686">
      <c r="A686" s="11">
        <v>46146</v>
      </c>
      <c r="B686" t="s">
        <v>386</v>
      </c>
      <c r="C686" t="s">
        <v>41</v>
      </c>
      <c r="F686" s="17">
        <f>IF(Log[[#This Row],[ID]]="","",IF(ISNA(MATCH(Log[[#This Row],[ID]],Items[ID],0)),"unknown ID",IF(ISNA(MATCH(Log[[#This Row],[Verb]],VerbList,0)),"unknown verb",IF(Log[[#This Row],[Date]]="","no date",""))))</f>
      </c>
      <c r="G686" s="17">
        <f>IF(Log[[#This Row],[ID]]="","",IFERROR(VLOOKUP(Log[[#This Row],[Verb]],Verbs,3,FALSE)&amp;"",""))</f>
      </c>
      <c r="H686" s="17">
        <f>IF(Log[[#This Row],[Date]]="","",INT((Log[[#This Row],[Date]]-Sprint1)/SprintDays)+1)</f>
      </c>
      <c r="I686" s="17">
        <f>IF(OR(Log[[#This Row],[Verb]]="commit",Log[[#This Row],[Verb]]="carry",Log[[#This Row],[Verb]]="redo"),IF(Log[[#This Row],[Arg]]="",Log[[#This Row],[Sprint]],N(Log[[#This Row],[Arg]])),"")</f>
      </c>
      <c r="J686" s="17">
        <f>IF(Log[[#This Row],[Verb]]="block",1,IF(OR(Log[[#This Row],[Verb]]="unblock",Log[[#This Row],[Verb]]="done",Log[[#This Row],[Verb]]="drop",Log[[#This Row],[Verb]]="punt",Log[[#This Row],[Verb]]="pass"),0,""))</f>
      </c>
      <c r="K686" s="17">
        <f>IF(Log[[#This Row],[ID]]="",0,IFERROR(INDEX(Items[Pts],MATCH(Log[[#This Row],[ID]],Items[ID],0))*1,0))</f>
      </c>
      <c r="L686" s="17">
        <f>IF(Log[[#This Row],[ID]]="","",IFERROR(INDEX(Items[Cur team],MATCH(Log[[#This Row],[ID]],Items[ID],0))&amp;"",""))</f>
      </c>
      <c r="M686" s="17">
        <f>IF(OR(Log[[#This Row],[Verb]]="done",Log[[#This Row],[Verb]]="punt",Log[[#This Row],[Verb]]="drop",Log[[#This Row],[Verb]]="pass"),Log[[#This Row],[Pts]],0)</f>
      </c>
    </row>
    <row r="687">
      <c r="A687" s="11">
        <v>46146</v>
      </c>
      <c r="B687" t="s">
        <v>387</v>
      </c>
      <c r="C687" t="s">
        <v>41</v>
      </c>
      <c r="F687" s="17">
        <f>IF(Log[[#This Row],[ID]]="","",IF(ISNA(MATCH(Log[[#This Row],[ID]],Items[ID],0)),"unknown ID",IF(ISNA(MATCH(Log[[#This Row],[Verb]],VerbList,0)),"unknown verb",IF(Log[[#This Row],[Date]]="","no date",""))))</f>
      </c>
      <c r="G687" s="17">
        <f>IF(Log[[#This Row],[ID]]="","",IFERROR(VLOOKUP(Log[[#This Row],[Verb]],Verbs,3,FALSE)&amp;"",""))</f>
      </c>
      <c r="H687" s="17">
        <f>IF(Log[[#This Row],[Date]]="","",INT((Log[[#This Row],[Date]]-Sprint1)/SprintDays)+1)</f>
      </c>
      <c r="I687" s="17">
        <f>IF(OR(Log[[#This Row],[Verb]]="commit",Log[[#This Row],[Verb]]="carry",Log[[#This Row],[Verb]]="redo"),IF(Log[[#This Row],[Arg]]="",Log[[#This Row],[Sprint]],N(Log[[#This Row],[Arg]])),"")</f>
      </c>
      <c r="J687" s="17">
        <f>IF(Log[[#This Row],[Verb]]="block",1,IF(OR(Log[[#This Row],[Verb]]="unblock",Log[[#This Row],[Verb]]="done",Log[[#This Row],[Verb]]="drop",Log[[#This Row],[Verb]]="punt",Log[[#This Row],[Verb]]="pass"),0,""))</f>
      </c>
      <c r="K687" s="17">
        <f>IF(Log[[#This Row],[ID]]="",0,IFERROR(INDEX(Items[Pts],MATCH(Log[[#This Row],[ID]],Items[ID],0))*1,0))</f>
      </c>
      <c r="L687" s="17">
        <f>IF(Log[[#This Row],[ID]]="","",IFERROR(INDEX(Items[Cur team],MATCH(Log[[#This Row],[ID]],Items[ID],0))&amp;"",""))</f>
      </c>
      <c r="M687" s="17">
        <f>IF(OR(Log[[#This Row],[Verb]]="done",Log[[#This Row],[Verb]]="punt",Log[[#This Row],[Verb]]="drop",Log[[#This Row],[Verb]]="pass"),Log[[#This Row],[Pts]],0)</f>
      </c>
    </row>
    <row r="688">
      <c r="A688" s="11">
        <v>46146</v>
      </c>
      <c r="B688" t="s">
        <v>442</v>
      </c>
      <c r="C688" t="s">
        <v>38</v>
      </c>
      <c r="D688">
        <v>43</v>
      </c>
      <c r="F688" s="17">
        <f>IF(Log[[#This Row],[ID]]="","",IF(ISNA(MATCH(Log[[#This Row],[ID]],Items[ID],0)),"unknown ID",IF(ISNA(MATCH(Log[[#This Row],[Verb]],VerbList,0)),"unknown verb",IF(Log[[#This Row],[Date]]="","no date",""))))</f>
      </c>
      <c r="G688" s="17">
        <f>IF(Log[[#This Row],[ID]]="","",IFERROR(VLOOKUP(Log[[#This Row],[Verb]],Verbs,3,FALSE)&amp;"",""))</f>
      </c>
      <c r="H688" s="17">
        <f>IF(Log[[#This Row],[Date]]="","",INT((Log[[#This Row],[Date]]-Sprint1)/SprintDays)+1)</f>
      </c>
      <c r="I688" s="17">
        <f>IF(OR(Log[[#This Row],[Verb]]="commit",Log[[#This Row],[Verb]]="carry",Log[[#This Row],[Verb]]="redo"),IF(Log[[#This Row],[Arg]]="",Log[[#This Row],[Sprint]],N(Log[[#This Row],[Arg]])),"")</f>
      </c>
      <c r="J688" s="17">
        <f>IF(Log[[#This Row],[Verb]]="block",1,IF(OR(Log[[#This Row],[Verb]]="unblock",Log[[#This Row],[Verb]]="done",Log[[#This Row],[Verb]]="drop",Log[[#This Row],[Verb]]="punt",Log[[#This Row],[Verb]]="pass"),0,""))</f>
      </c>
      <c r="K688" s="17">
        <f>IF(Log[[#This Row],[ID]]="",0,IFERROR(INDEX(Items[Pts],MATCH(Log[[#This Row],[ID]],Items[ID],0))*1,0))</f>
      </c>
      <c r="L688" s="17">
        <f>IF(Log[[#This Row],[ID]]="","",IFERROR(INDEX(Items[Cur team],MATCH(Log[[#This Row],[ID]],Items[ID],0))&amp;"",""))</f>
      </c>
      <c r="M688" s="17">
        <f>IF(OR(Log[[#This Row],[Verb]]="done",Log[[#This Row],[Verb]]="punt",Log[[#This Row],[Verb]]="drop",Log[[#This Row],[Verb]]="pass"),Log[[#This Row],[Pts]],0)</f>
      </c>
    </row>
    <row r="689">
      <c r="A689" s="11">
        <v>46146</v>
      </c>
      <c r="B689" t="s">
        <v>443</v>
      </c>
      <c r="C689" t="s">
        <v>41</v>
      </c>
      <c r="F689" s="17">
        <f>IF(Log[[#This Row],[ID]]="","",IF(ISNA(MATCH(Log[[#This Row],[ID]],Items[ID],0)),"unknown ID",IF(ISNA(MATCH(Log[[#This Row],[Verb]],VerbList,0)),"unknown verb",IF(Log[[#This Row],[Date]]="","no date",""))))</f>
      </c>
      <c r="G689" s="17">
        <f>IF(Log[[#This Row],[ID]]="","",IFERROR(VLOOKUP(Log[[#This Row],[Verb]],Verbs,3,FALSE)&amp;"",""))</f>
      </c>
      <c r="H689" s="17">
        <f>IF(Log[[#This Row],[Date]]="","",INT((Log[[#This Row],[Date]]-Sprint1)/SprintDays)+1)</f>
      </c>
      <c r="I689" s="17">
        <f>IF(OR(Log[[#This Row],[Verb]]="commit",Log[[#This Row],[Verb]]="carry",Log[[#This Row],[Verb]]="redo"),IF(Log[[#This Row],[Arg]]="",Log[[#This Row],[Sprint]],N(Log[[#This Row],[Arg]])),"")</f>
      </c>
      <c r="J689" s="17">
        <f>IF(Log[[#This Row],[Verb]]="block",1,IF(OR(Log[[#This Row],[Verb]]="unblock",Log[[#This Row],[Verb]]="done",Log[[#This Row],[Verb]]="drop",Log[[#This Row],[Verb]]="punt",Log[[#This Row],[Verb]]="pass"),0,""))</f>
      </c>
      <c r="K689" s="17">
        <f>IF(Log[[#This Row],[ID]]="",0,IFERROR(INDEX(Items[Pts],MATCH(Log[[#This Row],[ID]],Items[ID],0))*1,0))</f>
      </c>
      <c r="L689" s="17">
        <f>IF(Log[[#This Row],[ID]]="","",IFERROR(INDEX(Items[Cur team],MATCH(Log[[#This Row],[ID]],Items[ID],0))&amp;"",""))</f>
      </c>
      <c r="M689" s="17">
        <f>IF(OR(Log[[#This Row],[Verb]]="done",Log[[#This Row],[Verb]]="punt",Log[[#This Row],[Verb]]="drop",Log[[#This Row],[Verb]]="pass"),Log[[#This Row],[Pts]],0)</f>
      </c>
    </row>
    <row r="690">
      <c r="A690" s="11">
        <v>46146</v>
      </c>
      <c r="B690" t="s">
        <v>444</v>
      </c>
      <c r="C690" t="s">
        <v>41</v>
      </c>
      <c r="F690" s="17">
        <f>IF(Log[[#This Row],[ID]]="","",IF(ISNA(MATCH(Log[[#This Row],[ID]],Items[ID],0)),"unknown ID",IF(ISNA(MATCH(Log[[#This Row],[Verb]],VerbList,0)),"unknown verb",IF(Log[[#This Row],[Date]]="","no date",""))))</f>
      </c>
      <c r="G690" s="17">
        <f>IF(Log[[#This Row],[ID]]="","",IFERROR(VLOOKUP(Log[[#This Row],[Verb]],Verbs,3,FALSE)&amp;"",""))</f>
      </c>
      <c r="H690" s="17">
        <f>IF(Log[[#This Row],[Date]]="","",INT((Log[[#This Row],[Date]]-Sprint1)/SprintDays)+1)</f>
      </c>
      <c r="I690" s="17">
        <f>IF(OR(Log[[#This Row],[Verb]]="commit",Log[[#This Row],[Verb]]="carry",Log[[#This Row],[Verb]]="redo"),IF(Log[[#This Row],[Arg]]="",Log[[#This Row],[Sprint]],N(Log[[#This Row],[Arg]])),"")</f>
      </c>
      <c r="J690" s="17">
        <f>IF(Log[[#This Row],[Verb]]="block",1,IF(OR(Log[[#This Row],[Verb]]="unblock",Log[[#This Row],[Verb]]="done",Log[[#This Row],[Verb]]="drop",Log[[#This Row],[Verb]]="punt",Log[[#This Row],[Verb]]="pass"),0,""))</f>
      </c>
      <c r="K690" s="17">
        <f>IF(Log[[#This Row],[ID]]="",0,IFERROR(INDEX(Items[Pts],MATCH(Log[[#This Row],[ID]],Items[ID],0))*1,0))</f>
      </c>
      <c r="L690" s="17">
        <f>IF(Log[[#This Row],[ID]]="","",IFERROR(INDEX(Items[Cur team],MATCH(Log[[#This Row],[ID]],Items[ID],0))&amp;"",""))</f>
      </c>
      <c r="M690" s="17">
        <f>IF(OR(Log[[#This Row],[Verb]]="done",Log[[#This Row],[Verb]]="punt",Log[[#This Row],[Verb]]="drop",Log[[#This Row],[Verb]]="pass"),Log[[#This Row],[Pts]],0)</f>
      </c>
    </row>
    <row r="691">
      <c r="A691" s="11">
        <v>46146</v>
      </c>
      <c r="B691" t="s">
        <v>445</v>
      </c>
      <c r="C691" t="s">
        <v>38</v>
      </c>
      <c r="D691">
        <v>43</v>
      </c>
      <c r="F691" s="17">
        <f>IF(Log[[#This Row],[ID]]="","",IF(ISNA(MATCH(Log[[#This Row],[ID]],Items[ID],0)),"unknown ID",IF(ISNA(MATCH(Log[[#This Row],[Verb]],VerbList,0)),"unknown verb",IF(Log[[#This Row],[Date]]="","no date",""))))</f>
      </c>
      <c r="G691" s="17">
        <f>IF(Log[[#This Row],[ID]]="","",IFERROR(VLOOKUP(Log[[#This Row],[Verb]],Verbs,3,FALSE)&amp;"",""))</f>
      </c>
      <c r="H691" s="17">
        <f>IF(Log[[#This Row],[Date]]="","",INT((Log[[#This Row],[Date]]-Sprint1)/SprintDays)+1)</f>
      </c>
      <c r="I691" s="17">
        <f>IF(OR(Log[[#This Row],[Verb]]="commit",Log[[#This Row],[Verb]]="carry",Log[[#This Row],[Verb]]="redo"),IF(Log[[#This Row],[Arg]]="",Log[[#This Row],[Sprint]],N(Log[[#This Row],[Arg]])),"")</f>
      </c>
      <c r="J691" s="17">
        <f>IF(Log[[#This Row],[Verb]]="block",1,IF(OR(Log[[#This Row],[Verb]]="unblock",Log[[#This Row],[Verb]]="done",Log[[#This Row],[Verb]]="drop",Log[[#This Row],[Verb]]="punt",Log[[#This Row],[Verb]]="pass"),0,""))</f>
      </c>
      <c r="K691" s="17">
        <f>IF(Log[[#This Row],[ID]]="",0,IFERROR(INDEX(Items[Pts],MATCH(Log[[#This Row],[ID]],Items[ID],0))*1,0))</f>
      </c>
      <c r="L691" s="17">
        <f>IF(Log[[#This Row],[ID]]="","",IFERROR(INDEX(Items[Cur team],MATCH(Log[[#This Row],[ID]],Items[ID],0))&amp;"",""))</f>
      </c>
      <c r="M691" s="17">
        <f>IF(OR(Log[[#This Row],[Verb]]="done",Log[[#This Row],[Verb]]="punt",Log[[#This Row],[Verb]]="drop",Log[[#This Row],[Verb]]="pass"),Log[[#This Row],[Pts]],0)</f>
      </c>
    </row>
    <row r="692">
      <c r="A692" s="11">
        <v>46146</v>
      </c>
      <c r="B692" t="s">
        <v>446</v>
      </c>
      <c r="C692" t="s">
        <v>41</v>
      </c>
      <c r="F692" s="17">
        <f>IF(Log[[#This Row],[ID]]="","",IF(ISNA(MATCH(Log[[#This Row],[ID]],Items[ID],0)),"unknown ID",IF(ISNA(MATCH(Log[[#This Row],[Verb]],VerbList,0)),"unknown verb",IF(Log[[#This Row],[Date]]="","no date",""))))</f>
      </c>
      <c r="G692" s="17">
        <f>IF(Log[[#This Row],[ID]]="","",IFERROR(VLOOKUP(Log[[#This Row],[Verb]],Verbs,3,FALSE)&amp;"",""))</f>
      </c>
      <c r="H692" s="17">
        <f>IF(Log[[#This Row],[Date]]="","",INT((Log[[#This Row],[Date]]-Sprint1)/SprintDays)+1)</f>
      </c>
      <c r="I692" s="17">
        <f>IF(OR(Log[[#This Row],[Verb]]="commit",Log[[#This Row],[Verb]]="carry",Log[[#This Row],[Verb]]="redo"),IF(Log[[#This Row],[Arg]]="",Log[[#This Row],[Sprint]],N(Log[[#This Row],[Arg]])),"")</f>
      </c>
      <c r="J692" s="17">
        <f>IF(Log[[#This Row],[Verb]]="block",1,IF(OR(Log[[#This Row],[Verb]]="unblock",Log[[#This Row],[Verb]]="done",Log[[#This Row],[Verb]]="drop",Log[[#This Row],[Verb]]="punt",Log[[#This Row],[Verb]]="pass"),0,""))</f>
      </c>
      <c r="K692" s="17">
        <f>IF(Log[[#This Row],[ID]]="",0,IFERROR(INDEX(Items[Pts],MATCH(Log[[#This Row],[ID]],Items[ID],0))*1,0))</f>
      </c>
      <c r="L692" s="17">
        <f>IF(Log[[#This Row],[ID]]="","",IFERROR(INDEX(Items[Cur team],MATCH(Log[[#This Row],[ID]],Items[ID],0))&amp;"",""))</f>
      </c>
      <c r="M692" s="17">
        <f>IF(OR(Log[[#This Row],[Verb]]="done",Log[[#This Row],[Verb]]="punt",Log[[#This Row],[Verb]]="drop",Log[[#This Row],[Verb]]="pass"),Log[[#This Row],[Pts]],0)</f>
      </c>
    </row>
    <row r="693">
      <c r="A693" s="11">
        <v>46146</v>
      </c>
      <c r="B693" t="s">
        <v>447</v>
      </c>
      <c r="C693" t="s">
        <v>41</v>
      </c>
      <c r="F693" s="17">
        <f>IF(Log[[#This Row],[ID]]="","",IF(ISNA(MATCH(Log[[#This Row],[ID]],Items[ID],0)),"unknown ID",IF(ISNA(MATCH(Log[[#This Row],[Verb]],VerbList,0)),"unknown verb",IF(Log[[#This Row],[Date]]="","no date",""))))</f>
      </c>
      <c r="G693" s="17">
        <f>IF(Log[[#This Row],[ID]]="","",IFERROR(VLOOKUP(Log[[#This Row],[Verb]],Verbs,3,FALSE)&amp;"",""))</f>
      </c>
      <c r="H693" s="17">
        <f>IF(Log[[#This Row],[Date]]="","",INT((Log[[#This Row],[Date]]-Sprint1)/SprintDays)+1)</f>
      </c>
      <c r="I693" s="17">
        <f>IF(OR(Log[[#This Row],[Verb]]="commit",Log[[#This Row],[Verb]]="carry",Log[[#This Row],[Verb]]="redo"),IF(Log[[#This Row],[Arg]]="",Log[[#This Row],[Sprint]],N(Log[[#This Row],[Arg]])),"")</f>
      </c>
      <c r="J693" s="17">
        <f>IF(Log[[#This Row],[Verb]]="block",1,IF(OR(Log[[#This Row],[Verb]]="unblock",Log[[#This Row],[Verb]]="done",Log[[#This Row],[Verb]]="drop",Log[[#This Row],[Verb]]="punt",Log[[#This Row],[Verb]]="pass"),0,""))</f>
      </c>
      <c r="K693" s="17">
        <f>IF(Log[[#This Row],[ID]]="",0,IFERROR(INDEX(Items[Pts],MATCH(Log[[#This Row],[ID]],Items[ID],0))*1,0))</f>
      </c>
      <c r="L693" s="17">
        <f>IF(Log[[#This Row],[ID]]="","",IFERROR(INDEX(Items[Cur team],MATCH(Log[[#This Row],[ID]],Items[ID],0))&amp;"",""))</f>
      </c>
      <c r="M693" s="17">
        <f>IF(OR(Log[[#This Row],[Verb]]="done",Log[[#This Row],[Verb]]="punt",Log[[#This Row],[Verb]]="drop",Log[[#This Row],[Verb]]="pass"),Log[[#This Row],[Pts]],0)</f>
      </c>
    </row>
    <row r="694">
      <c r="A694" s="11">
        <v>46146</v>
      </c>
      <c r="B694" t="s">
        <v>448</v>
      </c>
      <c r="C694" t="s">
        <v>41</v>
      </c>
      <c r="F694" s="17">
        <f>IF(Log[[#This Row],[ID]]="","",IF(ISNA(MATCH(Log[[#This Row],[ID]],Items[ID],0)),"unknown ID",IF(ISNA(MATCH(Log[[#This Row],[Verb]],VerbList,0)),"unknown verb",IF(Log[[#This Row],[Date]]="","no date",""))))</f>
      </c>
      <c r="G694" s="17">
        <f>IF(Log[[#This Row],[ID]]="","",IFERROR(VLOOKUP(Log[[#This Row],[Verb]],Verbs,3,FALSE)&amp;"",""))</f>
      </c>
      <c r="H694" s="17">
        <f>IF(Log[[#This Row],[Date]]="","",INT((Log[[#This Row],[Date]]-Sprint1)/SprintDays)+1)</f>
      </c>
      <c r="I694" s="17">
        <f>IF(OR(Log[[#This Row],[Verb]]="commit",Log[[#This Row],[Verb]]="carry",Log[[#This Row],[Verb]]="redo"),IF(Log[[#This Row],[Arg]]="",Log[[#This Row],[Sprint]],N(Log[[#This Row],[Arg]])),"")</f>
      </c>
      <c r="J694" s="17">
        <f>IF(Log[[#This Row],[Verb]]="block",1,IF(OR(Log[[#This Row],[Verb]]="unblock",Log[[#This Row],[Verb]]="done",Log[[#This Row],[Verb]]="drop",Log[[#This Row],[Verb]]="punt",Log[[#This Row],[Verb]]="pass"),0,""))</f>
      </c>
      <c r="K694" s="17">
        <f>IF(Log[[#This Row],[ID]]="",0,IFERROR(INDEX(Items[Pts],MATCH(Log[[#This Row],[ID]],Items[ID],0))*1,0))</f>
      </c>
      <c r="L694" s="17">
        <f>IF(Log[[#This Row],[ID]]="","",IFERROR(INDEX(Items[Cur team],MATCH(Log[[#This Row],[ID]],Items[ID],0))&amp;"",""))</f>
      </c>
      <c r="M694" s="17">
        <f>IF(OR(Log[[#This Row],[Verb]]="done",Log[[#This Row],[Verb]]="punt",Log[[#This Row],[Verb]]="drop",Log[[#This Row],[Verb]]="pass"),Log[[#This Row],[Pts]],0)</f>
      </c>
    </row>
    <row r="695">
      <c r="A695" s="11">
        <v>46146</v>
      </c>
      <c r="B695" t="s">
        <v>319</v>
      </c>
      <c r="C695" t="s">
        <v>41</v>
      </c>
      <c r="F695" s="17">
        <f>IF(Log[[#This Row],[ID]]="","",IF(ISNA(MATCH(Log[[#This Row],[ID]],Items[ID],0)),"unknown ID",IF(ISNA(MATCH(Log[[#This Row],[Verb]],VerbList,0)),"unknown verb",IF(Log[[#This Row],[Date]]="","no date",""))))</f>
      </c>
      <c r="G695" s="17">
        <f>IF(Log[[#This Row],[ID]]="","",IFERROR(VLOOKUP(Log[[#This Row],[Verb]],Verbs,3,FALSE)&amp;"",""))</f>
      </c>
      <c r="H695" s="17">
        <f>IF(Log[[#This Row],[Date]]="","",INT((Log[[#This Row],[Date]]-Sprint1)/SprintDays)+1)</f>
      </c>
      <c r="I695" s="17">
        <f>IF(OR(Log[[#This Row],[Verb]]="commit",Log[[#This Row],[Verb]]="carry",Log[[#This Row],[Verb]]="redo"),IF(Log[[#This Row],[Arg]]="",Log[[#This Row],[Sprint]],N(Log[[#This Row],[Arg]])),"")</f>
      </c>
      <c r="J695" s="17">
        <f>IF(Log[[#This Row],[Verb]]="block",1,IF(OR(Log[[#This Row],[Verb]]="unblock",Log[[#This Row],[Verb]]="done",Log[[#This Row],[Verb]]="drop",Log[[#This Row],[Verb]]="punt",Log[[#This Row],[Verb]]="pass"),0,""))</f>
      </c>
      <c r="K695" s="17">
        <f>IF(Log[[#This Row],[ID]]="",0,IFERROR(INDEX(Items[Pts],MATCH(Log[[#This Row],[ID]],Items[ID],0))*1,0))</f>
      </c>
      <c r="L695" s="17">
        <f>IF(Log[[#This Row],[ID]]="","",IFERROR(INDEX(Items[Cur team],MATCH(Log[[#This Row],[ID]],Items[ID],0))&amp;"",""))</f>
      </c>
      <c r="M695" s="17">
        <f>IF(OR(Log[[#This Row],[Verb]]="done",Log[[#This Row],[Verb]]="punt",Log[[#This Row],[Verb]]="drop",Log[[#This Row],[Verb]]="pass"),Log[[#This Row],[Pts]],0)</f>
      </c>
    </row>
    <row r="696">
      <c r="A696" s="11">
        <v>46146</v>
      </c>
      <c r="B696" t="s">
        <v>398</v>
      </c>
      <c r="C696" t="s">
        <v>41</v>
      </c>
      <c r="F696" s="17">
        <f>IF(Log[[#This Row],[ID]]="","",IF(ISNA(MATCH(Log[[#This Row],[ID]],Items[ID],0)),"unknown ID",IF(ISNA(MATCH(Log[[#This Row],[Verb]],VerbList,0)),"unknown verb",IF(Log[[#This Row],[Date]]="","no date",""))))</f>
      </c>
      <c r="G696" s="17">
        <f>IF(Log[[#This Row],[ID]]="","",IFERROR(VLOOKUP(Log[[#This Row],[Verb]],Verbs,3,FALSE)&amp;"",""))</f>
      </c>
      <c r="H696" s="17">
        <f>IF(Log[[#This Row],[Date]]="","",INT((Log[[#This Row],[Date]]-Sprint1)/SprintDays)+1)</f>
      </c>
      <c r="I696" s="17">
        <f>IF(OR(Log[[#This Row],[Verb]]="commit",Log[[#This Row],[Verb]]="carry",Log[[#This Row],[Verb]]="redo"),IF(Log[[#This Row],[Arg]]="",Log[[#This Row],[Sprint]],N(Log[[#This Row],[Arg]])),"")</f>
      </c>
      <c r="J696" s="17">
        <f>IF(Log[[#This Row],[Verb]]="block",1,IF(OR(Log[[#This Row],[Verb]]="unblock",Log[[#This Row],[Verb]]="done",Log[[#This Row],[Verb]]="drop",Log[[#This Row],[Verb]]="punt",Log[[#This Row],[Verb]]="pass"),0,""))</f>
      </c>
      <c r="K696" s="17">
        <f>IF(Log[[#This Row],[ID]]="",0,IFERROR(INDEX(Items[Pts],MATCH(Log[[#This Row],[ID]],Items[ID],0))*1,0))</f>
      </c>
      <c r="L696" s="17">
        <f>IF(Log[[#This Row],[ID]]="","",IFERROR(INDEX(Items[Cur team],MATCH(Log[[#This Row],[ID]],Items[ID],0))&amp;"",""))</f>
      </c>
      <c r="M696" s="17">
        <f>IF(OR(Log[[#This Row],[Verb]]="done",Log[[#This Row],[Verb]]="punt",Log[[#This Row],[Verb]]="drop",Log[[#This Row],[Verb]]="pass"),Log[[#This Row],[Pts]],0)</f>
      </c>
    </row>
    <row r="697">
      <c r="A697" s="11">
        <v>46146</v>
      </c>
      <c r="B697" t="s">
        <v>449</v>
      </c>
      <c r="C697" t="s">
        <v>41</v>
      </c>
      <c r="F697" s="17">
        <f>IF(Log[[#This Row],[ID]]="","",IF(ISNA(MATCH(Log[[#This Row],[ID]],Items[ID],0)),"unknown ID",IF(ISNA(MATCH(Log[[#This Row],[Verb]],VerbList,0)),"unknown verb",IF(Log[[#This Row],[Date]]="","no date",""))))</f>
      </c>
      <c r="G697" s="17">
        <f>IF(Log[[#This Row],[ID]]="","",IFERROR(VLOOKUP(Log[[#This Row],[Verb]],Verbs,3,FALSE)&amp;"",""))</f>
      </c>
      <c r="H697" s="17">
        <f>IF(Log[[#This Row],[Date]]="","",INT((Log[[#This Row],[Date]]-Sprint1)/SprintDays)+1)</f>
      </c>
      <c r="I697" s="17">
        <f>IF(OR(Log[[#This Row],[Verb]]="commit",Log[[#This Row],[Verb]]="carry",Log[[#This Row],[Verb]]="redo"),IF(Log[[#This Row],[Arg]]="",Log[[#This Row],[Sprint]],N(Log[[#This Row],[Arg]])),"")</f>
      </c>
      <c r="J697" s="17">
        <f>IF(Log[[#This Row],[Verb]]="block",1,IF(OR(Log[[#This Row],[Verb]]="unblock",Log[[#This Row],[Verb]]="done",Log[[#This Row],[Verb]]="drop",Log[[#This Row],[Verb]]="punt",Log[[#This Row],[Verb]]="pass"),0,""))</f>
      </c>
      <c r="K697" s="17">
        <f>IF(Log[[#This Row],[ID]]="",0,IFERROR(INDEX(Items[Pts],MATCH(Log[[#This Row],[ID]],Items[ID],0))*1,0))</f>
      </c>
      <c r="L697" s="17">
        <f>IF(Log[[#This Row],[ID]]="","",IFERROR(INDEX(Items[Cur team],MATCH(Log[[#This Row],[ID]],Items[ID],0))&amp;"",""))</f>
      </c>
      <c r="M697" s="17">
        <f>IF(OR(Log[[#This Row],[Verb]]="done",Log[[#This Row],[Verb]]="punt",Log[[#This Row],[Verb]]="drop",Log[[#This Row],[Verb]]="pass"),Log[[#This Row],[Pts]],0)</f>
      </c>
    </row>
    <row r="698">
      <c r="A698" s="11">
        <v>46146</v>
      </c>
      <c r="B698" t="s">
        <v>450</v>
      </c>
      <c r="C698" t="s">
        <v>38</v>
      </c>
      <c r="D698">
        <v>43</v>
      </c>
      <c r="F698" s="17">
        <f>IF(Log[[#This Row],[ID]]="","",IF(ISNA(MATCH(Log[[#This Row],[ID]],Items[ID],0)),"unknown ID",IF(ISNA(MATCH(Log[[#This Row],[Verb]],VerbList,0)),"unknown verb",IF(Log[[#This Row],[Date]]="","no date",""))))</f>
      </c>
      <c r="G698" s="17">
        <f>IF(Log[[#This Row],[ID]]="","",IFERROR(VLOOKUP(Log[[#This Row],[Verb]],Verbs,3,FALSE)&amp;"",""))</f>
      </c>
      <c r="H698" s="17">
        <f>IF(Log[[#This Row],[Date]]="","",INT((Log[[#This Row],[Date]]-Sprint1)/SprintDays)+1)</f>
      </c>
      <c r="I698" s="17">
        <f>IF(OR(Log[[#This Row],[Verb]]="commit",Log[[#This Row],[Verb]]="carry",Log[[#This Row],[Verb]]="redo"),IF(Log[[#This Row],[Arg]]="",Log[[#This Row],[Sprint]],N(Log[[#This Row],[Arg]])),"")</f>
      </c>
      <c r="J698" s="17">
        <f>IF(Log[[#This Row],[Verb]]="block",1,IF(OR(Log[[#This Row],[Verb]]="unblock",Log[[#This Row],[Verb]]="done",Log[[#This Row],[Verb]]="drop",Log[[#This Row],[Verb]]="punt",Log[[#This Row],[Verb]]="pass"),0,""))</f>
      </c>
      <c r="K698" s="17">
        <f>IF(Log[[#This Row],[ID]]="",0,IFERROR(INDEX(Items[Pts],MATCH(Log[[#This Row],[ID]],Items[ID],0))*1,0))</f>
      </c>
      <c r="L698" s="17">
        <f>IF(Log[[#This Row],[ID]]="","",IFERROR(INDEX(Items[Cur team],MATCH(Log[[#This Row],[ID]],Items[ID],0))&amp;"",""))</f>
      </c>
      <c r="M698" s="17">
        <f>IF(OR(Log[[#This Row],[Verb]]="done",Log[[#This Row],[Verb]]="punt",Log[[#This Row],[Verb]]="drop",Log[[#This Row],[Verb]]="pass"),Log[[#This Row],[Pts]],0)</f>
      </c>
    </row>
    <row r="699">
      <c r="A699" s="11">
        <v>46146</v>
      </c>
      <c r="B699" t="s">
        <v>450</v>
      </c>
      <c r="C699" t="s">
        <v>45</v>
      </c>
      <c r="E699" t="s">
        <v>429</v>
      </c>
      <c r="F699" s="17">
        <f>IF(Log[[#This Row],[ID]]="","",IF(ISNA(MATCH(Log[[#This Row],[ID]],Items[ID],0)),"unknown ID",IF(ISNA(MATCH(Log[[#This Row],[Verb]],VerbList,0)),"unknown verb",IF(Log[[#This Row],[Date]]="","no date",""))))</f>
      </c>
      <c r="G699" s="17">
        <f>IF(Log[[#This Row],[ID]]="","",IFERROR(VLOOKUP(Log[[#This Row],[Verb]],Verbs,3,FALSE)&amp;"",""))</f>
      </c>
      <c r="H699" s="17">
        <f>IF(Log[[#This Row],[Date]]="","",INT((Log[[#This Row],[Date]]-Sprint1)/SprintDays)+1)</f>
      </c>
      <c r="I699" s="17">
        <f>IF(OR(Log[[#This Row],[Verb]]="commit",Log[[#This Row],[Verb]]="carry",Log[[#This Row],[Verb]]="redo"),IF(Log[[#This Row],[Arg]]="",Log[[#This Row],[Sprint]],N(Log[[#This Row],[Arg]])),"")</f>
      </c>
      <c r="J699" s="17">
        <f>IF(Log[[#This Row],[Verb]]="block",1,IF(OR(Log[[#This Row],[Verb]]="unblock",Log[[#This Row],[Verb]]="done",Log[[#This Row],[Verb]]="drop",Log[[#This Row],[Verb]]="punt",Log[[#This Row],[Verb]]="pass"),0,""))</f>
      </c>
      <c r="K699" s="17">
        <f>IF(Log[[#This Row],[ID]]="",0,IFERROR(INDEX(Items[Pts],MATCH(Log[[#This Row],[ID]],Items[ID],0))*1,0))</f>
      </c>
      <c r="L699" s="17">
        <f>IF(Log[[#This Row],[ID]]="","",IFERROR(INDEX(Items[Cur team],MATCH(Log[[#This Row],[ID]],Items[ID],0))&amp;"",""))</f>
      </c>
      <c r="M699" s="17">
        <f>IF(OR(Log[[#This Row],[Verb]]="done",Log[[#This Row],[Verb]]="punt",Log[[#This Row],[Verb]]="drop",Log[[#This Row],[Verb]]="pass"),Log[[#This Row],[Pts]],0)</f>
      </c>
    </row>
    <row r="700">
      <c r="A700" s="11">
        <v>46146</v>
      </c>
      <c r="B700" t="s">
        <v>451</v>
      </c>
      <c r="C700" t="s">
        <v>38</v>
      </c>
      <c r="D700">
        <v>43</v>
      </c>
      <c r="F700" s="17">
        <f>IF(Log[[#This Row],[ID]]="","",IF(ISNA(MATCH(Log[[#This Row],[ID]],Items[ID],0)),"unknown ID",IF(ISNA(MATCH(Log[[#This Row],[Verb]],VerbList,0)),"unknown verb",IF(Log[[#This Row],[Date]]="","no date",""))))</f>
      </c>
      <c r="G700" s="17">
        <f>IF(Log[[#This Row],[ID]]="","",IFERROR(VLOOKUP(Log[[#This Row],[Verb]],Verbs,3,FALSE)&amp;"",""))</f>
      </c>
      <c r="H700" s="17">
        <f>IF(Log[[#This Row],[Date]]="","",INT((Log[[#This Row],[Date]]-Sprint1)/SprintDays)+1)</f>
      </c>
      <c r="I700" s="17">
        <f>IF(OR(Log[[#This Row],[Verb]]="commit",Log[[#This Row],[Verb]]="carry",Log[[#This Row],[Verb]]="redo"),IF(Log[[#This Row],[Arg]]="",Log[[#This Row],[Sprint]],N(Log[[#This Row],[Arg]])),"")</f>
      </c>
      <c r="J700" s="17">
        <f>IF(Log[[#This Row],[Verb]]="block",1,IF(OR(Log[[#This Row],[Verb]]="unblock",Log[[#This Row],[Verb]]="done",Log[[#This Row],[Verb]]="drop",Log[[#This Row],[Verb]]="punt",Log[[#This Row],[Verb]]="pass"),0,""))</f>
      </c>
      <c r="K700" s="17">
        <f>IF(Log[[#This Row],[ID]]="",0,IFERROR(INDEX(Items[Pts],MATCH(Log[[#This Row],[ID]],Items[ID],0))*1,0))</f>
      </c>
      <c r="L700" s="17">
        <f>IF(Log[[#This Row],[ID]]="","",IFERROR(INDEX(Items[Cur team],MATCH(Log[[#This Row],[ID]],Items[ID],0))&amp;"",""))</f>
      </c>
      <c r="M700" s="17">
        <f>IF(OR(Log[[#This Row],[Verb]]="done",Log[[#This Row],[Verb]]="punt",Log[[#This Row],[Verb]]="drop",Log[[#This Row],[Verb]]="pass"),Log[[#This Row],[Pts]],0)</f>
      </c>
    </row>
    <row r="701">
      <c r="A701" s="11">
        <v>46146</v>
      </c>
      <c r="B701" t="s">
        <v>452</v>
      </c>
      <c r="C701" t="s">
        <v>41</v>
      </c>
      <c r="F701" s="17">
        <f>IF(Log[[#This Row],[ID]]="","",IF(ISNA(MATCH(Log[[#This Row],[ID]],Items[ID],0)),"unknown ID",IF(ISNA(MATCH(Log[[#This Row],[Verb]],VerbList,0)),"unknown verb",IF(Log[[#This Row],[Date]]="","no date",""))))</f>
      </c>
      <c r="G701" s="17">
        <f>IF(Log[[#This Row],[ID]]="","",IFERROR(VLOOKUP(Log[[#This Row],[Verb]],Verbs,3,FALSE)&amp;"",""))</f>
      </c>
      <c r="H701" s="17">
        <f>IF(Log[[#This Row],[Date]]="","",INT((Log[[#This Row],[Date]]-Sprint1)/SprintDays)+1)</f>
      </c>
      <c r="I701" s="17">
        <f>IF(OR(Log[[#This Row],[Verb]]="commit",Log[[#This Row],[Verb]]="carry",Log[[#This Row],[Verb]]="redo"),IF(Log[[#This Row],[Arg]]="",Log[[#This Row],[Sprint]],N(Log[[#This Row],[Arg]])),"")</f>
      </c>
      <c r="J701" s="17">
        <f>IF(Log[[#This Row],[Verb]]="block",1,IF(OR(Log[[#This Row],[Verb]]="unblock",Log[[#This Row],[Verb]]="done",Log[[#This Row],[Verb]]="drop",Log[[#This Row],[Verb]]="punt",Log[[#This Row],[Verb]]="pass"),0,""))</f>
      </c>
      <c r="K701" s="17">
        <f>IF(Log[[#This Row],[ID]]="",0,IFERROR(INDEX(Items[Pts],MATCH(Log[[#This Row],[ID]],Items[ID],0))*1,0))</f>
      </c>
      <c r="L701" s="17">
        <f>IF(Log[[#This Row],[ID]]="","",IFERROR(INDEX(Items[Cur team],MATCH(Log[[#This Row],[ID]],Items[ID],0))&amp;"",""))</f>
      </c>
      <c r="M701" s="17">
        <f>IF(OR(Log[[#This Row],[Verb]]="done",Log[[#This Row],[Verb]]="punt",Log[[#This Row],[Verb]]="drop",Log[[#This Row],[Verb]]="pass"),Log[[#This Row],[Pts]],0)</f>
      </c>
    </row>
    <row r="702">
      <c r="A702" s="11">
        <v>46146</v>
      </c>
      <c r="B702" t="s">
        <v>453</v>
      </c>
      <c r="C702" t="s">
        <v>41</v>
      </c>
      <c r="F702" s="17">
        <f>IF(Log[[#This Row],[ID]]="","",IF(ISNA(MATCH(Log[[#This Row],[ID]],Items[ID],0)),"unknown ID",IF(ISNA(MATCH(Log[[#This Row],[Verb]],VerbList,0)),"unknown verb",IF(Log[[#This Row],[Date]]="","no date",""))))</f>
      </c>
      <c r="G702" s="17">
        <f>IF(Log[[#This Row],[ID]]="","",IFERROR(VLOOKUP(Log[[#This Row],[Verb]],Verbs,3,FALSE)&amp;"",""))</f>
      </c>
      <c r="H702" s="17">
        <f>IF(Log[[#This Row],[Date]]="","",INT((Log[[#This Row],[Date]]-Sprint1)/SprintDays)+1)</f>
      </c>
      <c r="I702" s="17">
        <f>IF(OR(Log[[#This Row],[Verb]]="commit",Log[[#This Row],[Verb]]="carry",Log[[#This Row],[Verb]]="redo"),IF(Log[[#This Row],[Arg]]="",Log[[#This Row],[Sprint]],N(Log[[#This Row],[Arg]])),"")</f>
      </c>
      <c r="J702" s="17">
        <f>IF(Log[[#This Row],[Verb]]="block",1,IF(OR(Log[[#This Row],[Verb]]="unblock",Log[[#This Row],[Verb]]="done",Log[[#This Row],[Verb]]="drop",Log[[#This Row],[Verb]]="punt",Log[[#This Row],[Verb]]="pass"),0,""))</f>
      </c>
      <c r="K702" s="17">
        <f>IF(Log[[#This Row],[ID]]="",0,IFERROR(INDEX(Items[Pts],MATCH(Log[[#This Row],[ID]],Items[ID],0))*1,0))</f>
      </c>
      <c r="L702" s="17">
        <f>IF(Log[[#This Row],[ID]]="","",IFERROR(INDEX(Items[Cur team],MATCH(Log[[#This Row],[ID]],Items[ID],0))&amp;"",""))</f>
      </c>
      <c r="M702" s="17">
        <f>IF(OR(Log[[#This Row],[Verb]]="done",Log[[#This Row],[Verb]]="punt",Log[[#This Row],[Verb]]="drop",Log[[#This Row],[Verb]]="pass"),Log[[#This Row],[Pts]],0)</f>
      </c>
    </row>
    <row r="703">
      <c r="A703" s="11">
        <v>46146</v>
      </c>
      <c r="B703" t="s">
        <v>402</v>
      </c>
      <c r="C703" t="s">
        <v>38</v>
      </c>
      <c r="D703">
        <v>43</v>
      </c>
      <c r="F703" s="17">
        <f>IF(Log[[#This Row],[ID]]="","",IF(ISNA(MATCH(Log[[#This Row],[ID]],Items[ID],0)),"unknown ID",IF(ISNA(MATCH(Log[[#This Row],[Verb]],VerbList,0)),"unknown verb",IF(Log[[#This Row],[Date]]="","no date",""))))</f>
      </c>
      <c r="G703" s="17">
        <f>IF(Log[[#This Row],[ID]]="","",IFERROR(VLOOKUP(Log[[#This Row],[Verb]],Verbs,3,FALSE)&amp;"",""))</f>
      </c>
      <c r="H703" s="17">
        <f>IF(Log[[#This Row],[Date]]="","",INT((Log[[#This Row],[Date]]-Sprint1)/SprintDays)+1)</f>
      </c>
      <c r="I703" s="17">
        <f>IF(OR(Log[[#This Row],[Verb]]="commit",Log[[#This Row],[Verb]]="carry",Log[[#This Row],[Verb]]="redo"),IF(Log[[#This Row],[Arg]]="",Log[[#This Row],[Sprint]],N(Log[[#This Row],[Arg]])),"")</f>
      </c>
      <c r="J703" s="17">
        <f>IF(Log[[#This Row],[Verb]]="block",1,IF(OR(Log[[#This Row],[Verb]]="unblock",Log[[#This Row],[Verb]]="done",Log[[#This Row],[Verb]]="drop",Log[[#This Row],[Verb]]="punt",Log[[#This Row],[Verb]]="pass"),0,""))</f>
      </c>
      <c r="K703" s="17">
        <f>IF(Log[[#This Row],[ID]]="",0,IFERROR(INDEX(Items[Pts],MATCH(Log[[#This Row],[ID]],Items[ID],0))*1,0))</f>
      </c>
      <c r="L703" s="17">
        <f>IF(Log[[#This Row],[ID]]="","",IFERROR(INDEX(Items[Cur team],MATCH(Log[[#This Row],[ID]],Items[ID],0))&amp;"",""))</f>
      </c>
      <c r="M703" s="17">
        <f>IF(OR(Log[[#This Row],[Verb]]="done",Log[[#This Row],[Verb]]="punt",Log[[#This Row],[Verb]]="drop",Log[[#This Row],[Verb]]="pass"),Log[[#This Row],[Pts]],0)</f>
      </c>
    </row>
    <row r="704">
      <c r="A704" s="11">
        <v>46146</v>
      </c>
      <c r="B704" t="s">
        <v>454</v>
      </c>
      <c r="C704" t="s">
        <v>41</v>
      </c>
      <c r="F704" s="17">
        <f>IF(Log[[#This Row],[ID]]="","",IF(ISNA(MATCH(Log[[#This Row],[ID]],Items[ID],0)),"unknown ID",IF(ISNA(MATCH(Log[[#This Row],[Verb]],VerbList,0)),"unknown verb",IF(Log[[#This Row],[Date]]="","no date",""))))</f>
      </c>
      <c r="G704" s="17">
        <f>IF(Log[[#This Row],[ID]]="","",IFERROR(VLOOKUP(Log[[#This Row],[Verb]],Verbs,3,FALSE)&amp;"",""))</f>
      </c>
      <c r="H704" s="17">
        <f>IF(Log[[#This Row],[Date]]="","",INT((Log[[#This Row],[Date]]-Sprint1)/SprintDays)+1)</f>
      </c>
      <c r="I704" s="17">
        <f>IF(OR(Log[[#This Row],[Verb]]="commit",Log[[#This Row],[Verb]]="carry",Log[[#This Row],[Verb]]="redo"),IF(Log[[#This Row],[Arg]]="",Log[[#This Row],[Sprint]],N(Log[[#This Row],[Arg]])),"")</f>
      </c>
      <c r="J704" s="17">
        <f>IF(Log[[#This Row],[Verb]]="block",1,IF(OR(Log[[#This Row],[Verb]]="unblock",Log[[#This Row],[Verb]]="done",Log[[#This Row],[Verb]]="drop",Log[[#This Row],[Verb]]="punt",Log[[#This Row],[Verb]]="pass"),0,""))</f>
      </c>
      <c r="K704" s="17">
        <f>IF(Log[[#This Row],[ID]]="",0,IFERROR(INDEX(Items[Pts],MATCH(Log[[#This Row],[ID]],Items[ID],0))*1,0))</f>
      </c>
      <c r="L704" s="17">
        <f>IF(Log[[#This Row],[ID]]="","",IFERROR(INDEX(Items[Cur team],MATCH(Log[[#This Row],[ID]],Items[ID],0))&amp;"",""))</f>
      </c>
      <c r="M704" s="17">
        <f>IF(OR(Log[[#This Row],[Verb]]="done",Log[[#This Row],[Verb]]="punt",Log[[#This Row],[Verb]]="drop",Log[[#This Row],[Verb]]="pass"),Log[[#This Row],[Pts]],0)</f>
      </c>
    </row>
    <row r="705">
      <c r="A705" s="11">
        <v>46146</v>
      </c>
      <c r="B705" t="s">
        <v>455</v>
      </c>
      <c r="C705" t="s">
        <v>41</v>
      </c>
      <c r="F705" s="17">
        <f>IF(Log[[#This Row],[ID]]="","",IF(ISNA(MATCH(Log[[#This Row],[ID]],Items[ID],0)),"unknown ID",IF(ISNA(MATCH(Log[[#This Row],[Verb]],VerbList,0)),"unknown verb",IF(Log[[#This Row],[Date]]="","no date",""))))</f>
      </c>
      <c r="G705" s="17">
        <f>IF(Log[[#This Row],[ID]]="","",IFERROR(VLOOKUP(Log[[#This Row],[Verb]],Verbs,3,FALSE)&amp;"",""))</f>
      </c>
      <c r="H705" s="17">
        <f>IF(Log[[#This Row],[Date]]="","",INT((Log[[#This Row],[Date]]-Sprint1)/SprintDays)+1)</f>
      </c>
      <c r="I705" s="17">
        <f>IF(OR(Log[[#This Row],[Verb]]="commit",Log[[#This Row],[Verb]]="carry",Log[[#This Row],[Verb]]="redo"),IF(Log[[#This Row],[Arg]]="",Log[[#This Row],[Sprint]],N(Log[[#This Row],[Arg]])),"")</f>
      </c>
      <c r="J705" s="17">
        <f>IF(Log[[#This Row],[Verb]]="block",1,IF(OR(Log[[#This Row],[Verb]]="unblock",Log[[#This Row],[Verb]]="done",Log[[#This Row],[Verb]]="drop",Log[[#This Row],[Verb]]="punt",Log[[#This Row],[Verb]]="pass"),0,""))</f>
      </c>
      <c r="K705" s="17">
        <f>IF(Log[[#This Row],[ID]]="",0,IFERROR(INDEX(Items[Pts],MATCH(Log[[#This Row],[ID]],Items[ID],0))*1,0))</f>
      </c>
      <c r="L705" s="17">
        <f>IF(Log[[#This Row],[ID]]="","",IFERROR(INDEX(Items[Cur team],MATCH(Log[[#This Row],[ID]],Items[ID],0))&amp;"",""))</f>
      </c>
      <c r="M705" s="17">
        <f>IF(OR(Log[[#This Row],[Verb]]="done",Log[[#This Row],[Verb]]="punt",Log[[#This Row],[Verb]]="drop",Log[[#This Row],[Verb]]="pass"),Log[[#This Row],[Pts]],0)</f>
      </c>
    </row>
    <row r="706">
      <c r="A706" s="11">
        <v>46146</v>
      </c>
      <c r="B706" t="s">
        <v>456</v>
      </c>
      <c r="C706" t="s">
        <v>41</v>
      </c>
      <c r="F706" s="17">
        <f>IF(Log[[#This Row],[ID]]="","",IF(ISNA(MATCH(Log[[#This Row],[ID]],Items[ID],0)),"unknown ID",IF(ISNA(MATCH(Log[[#This Row],[Verb]],VerbList,0)),"unknown verb",IF(Log[[#This Row],[Date]]="","no date",""))))</f>
      </c>
      <c r="G706" s="17">
        <f>IF(Log[[#This Row],[ID]]="","",IFERROR(VLOOKUP(Log[[#This Row],[Verb]],Verbs,3,FALSE)&amp;"",""))</f>
      </c>
      <c r="H706" s="17">
        <f>IF(Log[[#This Row],[Date]]="","",INT((Log[[#This Row],[Date]]-Sprint1)/SprintDays)+1)</f>
      </c>
      <c r="I706" s="17">
        <f>IF(OR(Log[[#This Row],[Verb]]="commit",Log[[#This Row],[Verb]]="carry",Log[[#This Row],[Verb]]="redo"),IF(Log[[#This Row],[Arg]]="",Log[[#This Row],[Sprint]],N(Log[[#This Row],[Arg]])),"")</f>
      </c>
      <c r="J706" s="17">
        <f>IF(Log[[#This Row],[Verb]]="block",1,IF(OR(Log[[#This Row],[Verb]]="unblock",Log[[#This Row],[Verb]]="done",Log[[#This Row],[Verb]]="drop",Log[[#This Row],[Verb]]="punt",Log[[#This Row],[Verb]]="pass"),0,""))</f>
      </c>
      <c r="K706" s="17">
        <f>IF(Log[[#This Row],[ID]]="",0,IFERROR(INDEX(Items[Pts],MATCH(Log[[#This Row],[ID]],Items[ID],0))*1,0))</f>
      </c>
      <c r="L706" s="17">
        <f>IF(Log[[#This Row],[ID]]="","",IFERROR(INDEX(Items[Cur team],MATCH(Log[[#This Row],[ID]],Items[ID],0))&amp;"",""))</f>
      </c>
      <c r="M706" s="17">
        <f>IF(OR(Log[[#This Row],[Verb]]="done",Log[[#This Row],[Verb]]="punt",Log[[#This Row],[Verb]]="drop",Log[[#This Row],[Verb]]="pass"),Log[[#This Row],[Pts]],0)</f>
      </c>
    </row>
    <row r="707">
      <c r="A707" s="11">
        <v>46146</v>
      </c>
      <c r="B707" t="s">
        <v>457</v>
      </c>
      <c r="C707" t="s">
        <v>38</v>
      </c>
      <c r="D707">
        <v>43</v>
      </c>
      <c r="F707" s="17">
        <f>IF(Log[[#This Row],[ID]]="","",IF(ISNA(MATCH(Log[[#This Row],[ID]],Items[ID],0)),"unknown ID",IF(ISNA(MATCH(Log[[#This Row],[Verb]],VerbList,0)),"unknown verb",IF(Log[[#This Row],[Date]]="","no date",""))))</f>
      </c>
      <c r="G707" s="17">
        <f>IF(Log[[#This Row],[ID]]="","",IFERROR(VLOOKUP(Log[[#This Row],[Verb]],Verbs,3,FALSE)&amp;"",""))</f>
      </c>
      <c r="H707" s="17">
        <f>IF(Log[[#This Row],[Date]]="","",INT((Log[[#This Row],[Date]]-Sprint1)/SprintDays)+1)</f>
      </c>
      <c r="I707" s="17">
        <f>IF(OR(Log[[#This Row],[Verb]]="commit",Log[[#This Row],[Verb]]="carry",Log[[#This Row],[Verb]]="redo"),IF(Log[[#This Row],[Arg]]="",Log[[#This Row],[Sprint]],N(Log[[#This Row],[Arg]])),"")</f>
      </c>
      <c r="J707" s="17">
        <f>IF(Log[[#This Row],[Verb]]="block",1,IF(OR(Log[[#This Row],[Verb]]="unblock",Log[[#This Row],[Verb]]="done",Log[[#This Row],[Verb]]="drop",Log[[#This Row],[Verb]]="punt",Log[[#This Row],[Verb]]="pass"),0,""))</f>
      </c>
      <c r="K707" s="17">
        <f>IF(Log[[#This Row],[ID]]="",0,IFERROR(INDEX(Items[Pts],MATCH(Log[[#This Row],[ID]],Items[ID],0))*1,0))</f>
      </c>
      <c r="L707" s="17">
        <f>IF(Log[[#This Row],[ID]]="","",IFERROR(INDEX(Items[Cur team],MATCH(Log[[#This Row],[ID]],Items[ID],0))&amp;"",""))</f>
      </c>
      <c r="M707" s="17">
        <f>IF(OR(Log[[#This Row],[Verb]]="done",Log[[#This Row],[Verb]]="punt",Log[[#This Row],[Verb]]="drop",Log[[#This Row],[Verb]]="pass"),Log[[#This Row],[Pts]],0)</f>
      </c>
    </row>
    <row r="708">
      <c r="A708" s="11">
        <v>46146</v>
      </c>
      <c r="B708" t="s">
        <v>458</v>
      </c>
      <c r="C708" t="s">
        <v>41</v>
      </c>
      <c r="F708" s="17">
        <f>IF(Log[[#This Row],[ID]]="","",IF(ISNA(MATCH(Log[[#This Row],[ID]],Items[ID],0)),"unknown ID",IF(ISNA(MATCH(Log[[#This Row],[Verb]],VerbList,0)),"unknown verb",IF(Log[[#This Row],[Date]]="","no date",""))))</f>
      </c>
      <c r="G708" s="17">
        <f>IF(Log[[#This Row],[ID]]="","",IFERROR(VLOOKUP(Log[[#This Row],[Verb]],Verbs,3,FALSE)&amp;"",""))</f>
      </c>
      <c r="H708" s="17">
        <f>IF(Log[[#This Row],[Date]]="","",INT((Log[[#This Row],[Date]]-Sprint1)/SprintDays)+1)</f>
      </c>
      <c r="I708" s="17">
        <f>IF(OR(Log[[#This Row],[Verb]]="commit",Log[[#This Row],[Verb]]="carry",Log[[#This Row],[Verb]]="redo"),IF(Log[[#This Row],[Arg]]="",Log[[#This Row],[Sprint]],N(Log[[#This Row],[Arg]])),"")</f>
      </c>
      <c r="J708" s="17">
        <f>IF(Log[[#This Row],[Verb]]="block",1,IF(OR(Log[[#This Row],[Verb]]="unblock",Log[[#This Row],[Verb]]="done",Log[[#This Row],[Verb]]="drop",Log[[#This Row],[Verb]]="punt",Log[[#This Row],[Verb]]="pass"),0,""))</f>
      </c>
      <c r="K708" s="17">
        <f>IF(Log[[#This Row],[ID]]="",0,IFERROR(INDEX(Items[Pts],MATCH(Log[[#This Row],[ID]],Items[ID],0))*1,0))</f>
      </c>
      <c r="L708" s="17">
        <f>IF(Log[[#This Row],[ID]]="","",IFERROR(INDEX(Items[Cur team],MATCH(Log[[#This Row],[ID]],Items[ID],0))&amp;"",""))</f>
      </c>
      <c r="M708" s="17">
        <f>IF(OR(Log[[#This Row],[Verb]]="done",Log[[#This Row],[Verb]]="punt",Log[[#This Row],[Verb]]="drop",Log[[#This Row],[Verb]]="pass"),Log[[#This Row],[Pts]],0)</f>
      </c>
    </row>
    <row r="709">
      <c r="A709" s="11">
        <v>46146</v>
      </c>
      <c r="B709" t="s">
        <v>459</v>
      </c>
      <c r="C709" t="s">
        <v>41</v>
      </c>
      <c r="F709" s="17">
        <f>IF(Log[[#This Row],[ID]]="","",IF(ISNA(MATCH(Log[[#This Row],[ID]],Items[ID],0)),"unknown ID",IF(ISNA(MATCH(Log[[#This Row],[Verb]],VerbList,0)),"unknown verb",IF(Log[[#This Row],[Date]]="","no date",""))))</f>
      </c>
      <c r="G709" s="17">
        <f>IF(Log[[#This Row],[ID]]="","",IFERROR(VLOOKUP(Log[[#This Row],[Verb]],Verbs,3,FALSE)&amp;"",""))</f>
      </c>
      <c r="H709" s="17">
        <f>IF(Log[[#This Row],[Date]]="","",INT((Log[[#This Row],[Date]]-Sprint1)/SprintDays)+1)</f>
      </c>
      <c r="I709" s="17">
        <f>IF(OR(Log[[#This Row],[Verb]]="commit",Log[[#This Row],[Verb]]="carry",Log[[#This Row],[Verb]]="redo"),IF(Log[[#This Row],[Arg]]="",Log[[#This Row],[Sprint]],N(Log[[#This Row],[Arg]])),"")</f>
      </c>
      <c r="J709" s="17">
        <f>IF(Log[[#This Row],[Verb]]="block",1,IF(OR(Log[[#This Row],[Verb]]="unblock",Log[[#This Row],[Verb]]="done",Log[[#This Row],[Verb]]="drop",Log[[#This Row],[Verb]]="punt",Log[[#This Row],[Verb]]="pass"),0,""))</f>
      </c>
      <c r="K709" s="17">
        <f>IF(Log[[#This Row],[ID]]="",0,IFERROR(INDEX(Items[Pts],MATCH(Log[[#This Row],[ID]],Items[ID],0))*1,0))</f>
      </c>
      <c r="L709" s="17">
        <f>IF(Log[[#This Row],[ID]]="","",IFERROR(INDEX(Items[Cur team],MATCH(Log[[#This Row],[ID]],Items[ID],0))&amp;"",""))</f>
      </c>
      <c r="M709" s="17">
        <f>IF(OR(Log[[#This Row],[Verb]]="done",Log[[#This Row],[Verb]]="punt",Log[[#This Row],[Verb]]="drop",Log[[#This Row],[Verb]]="pass"),Log[[#This Row],[Pts]],0)</f>
      </c>
    </row>
    <row r="710">
      <c r="A710" s="11">
        <v>46146</v>
      </c>
      <c r="B710" t="s">
        <v>408</v>
      </c>
      <c r="C710" t="s">
        <v>41</v>
      </c>
      <c r="F710" s="17">
        <f>IF(Log[[#This Row],[ID]]="","",IF(ISNA(MATCH(Log[[#This Row],[ID]],Items[ID],0)),"unknown ID",IF(ISNA(MATCH(Log[[#This Row],[Verb]],VerbList,0)),"unknown verb",IF(Log[[#This Row],[Date]]="","no date",""))))</f>
      </c>
      <c r="G710" s="17">
        <f>IF(Log[[#This Row],[ID]]="","",IFERROR(VLOOKUP(Log[[#This Row],[Verb]],Verbs,3,FALSE)&amp;"",""))</f>
      </c>
      <c r="H710" s="17">
        <f>IF(Log[[#This Row],[Date]]="","",INT((Log[[#This Row],[Date]]-Sprint1)/SprintDays)+1)</f>
      </c>
      <c r="I710" s="17">
        <f>IF(OR(Log[[#This Row],[Verb]]="commit",Log[[#This Row],[Verb]]="carry",Log[[#This Row],[Verb]]="redo"),IF(Log[[#This Row],[Arg]]="",Log[[#This Row],[Sprint]],N(Log[[#This Row],[Arg]])),"")</f>
      </c>
      <c r="J710" s="17">
        <f>IF(Log[[#This Row],[Verb]]="block",1,IF(OR(Log[[#This Row],[Verb]]="unblock",Log[[#This Row],[Verb]]="done",Log[[#This Row],[Verb]]="drop",Log[[#This Row],[Verb]]="punt",Log[[#This Row],[Verb]]="pass"),0,""))</f>
      </c>
      <c r="K710" s="17">
        <f>IF(Log[[#This Row],[ID]]="",0,IFERROR(INDEX(Items[Pts],MATCH(Log[[#This Row],[ID]],Items[ID],0))*1,0))</f>
      </c>
      <c r="L710" s="17">
        <f>IF(Log[[#This Row],[ID]]="","",IFERROR(INDEX(Items[Cur team],MATCH(Log[[#This Row],[ID]],Items[ID],0))&amp;"",""))</f>
      </c>
      <c r="M710" s="17">
        <f>IF(OR(Log[[#This Row],[Verb]]="done",Log[[#This Row],[Verb]]="punt",Log[[#This Row],[Verb]]="drop",Log[[#This Row],[Verb]]="pass"),Log[[#This Row],[Pts]],0)</f>
      </c>
    </row>
    <row r="711">
      <c r="A711" s="11">
        <v>46146</v>
      </c>
      <c r="B711" t="s">
        <v>460</v>
      </c>
      <c r="C711" t="s">
        <v>41</v>
      </c>
      <c r="F711" s="17">
        <f>IF(Log[[#This Row],[ID]]="","",IF(ISNA(MATCH(Log[[#This Row],[ID]],Items[ID],0)),"unknown ID",IF(ISNA(MATCH(Log[[#This Row],[Verb]],VerbList,0)),"unknown verb",IF(Log[[#This Row],[Date]]="","no date",""))))</f>
      </c>
      <c r="G711" s="17">
        <f>IF(Log[[#This Row],[ID]]="","",IFERROR(VLOOKUP(Log[[#This Row],[Verb]],Verbs,3,FALSE)&amp;"",""))</f>
      </c>
      <c r="H711" s="17">
        <f>IF(Log[[#This Row],[Date]]="","",INT((Log[[#This Row],[Date]]-Sprint1)/SprintDays)+1)</f>
      </c>
      <c r="I711" s="17">
        <f>IF(OR(Log[[#This Row],[Verb]]="commit",Log[[#This Row],[Verb]]="carry",Log[[#This Row],[Verb]]="redo"),IF(Log[[#This Row],[Arg]]="",Log[[#This Row],[Sprint]],N(Log[[#This Row],[Arg]])),"")</f>
      </c>
      <c r="J711" s="17">
        <f>IF(Log[[#This Row],[Verb]]="block",1,IF(OR(Log[[#This Row],[Verb]]="unblock",Log[[#This Row],[Verb]]="done",Log[[#This Row],[Verb]]="drop",Log[[#This Row],[Verb]]="punt",Log[[#This Row],[Verb]]="pass"),0,""))</f>
      </c>
      <c r="K711" s="17">
        <f>IF(Log[[#This Row],[ID]]="",0,IFERROR(INDEX(Items[Pts],MATCH(Log[[#This Row],[ID]],Items[ID],0))*1,0))</f>
      </c>
      <c r="L711" s="17">
        <f>IF(Log[[#This Row],[ID]]="","",IFERROR(INDEX(Items[Cur team],MATCH(Log[[#This Row],[ID]],Items[ID],0))&amp;"",""))</f>
      </c>
      <c r="M711" s="17">
        <f>IF(OR(Log[[#This Row],[Verb]]="done",Log[[#This Row],[Verb]]="punt",Log[[#This Row],[Verb]]="drop",Log[[#This Row],[Verb]]="pass"),Log[[#This Row],[Pts]],0)</f>
      </c>
    </row>
    <row r="712">
      <c r="A712" s="11">
        <v>46146</v>
      </c>
      <c r="B712" t="s">
        <v>461</v>
      </c>
      <c r="C712" t="s">
        <v>41</v>
      </c>
      <c r="F712" s="17">
        <f>IF(Log[[#This Row],[ID]]="","",IF(ISNA(MATCH(Log[[#This Row],[ID]],Items[ID],0)),"unknown ID",IF(ISNA(MATCH(Log[[#This Row],[Verb]],VerbList,0)),"unknown verb",IF(Log[[#This Row],[Date]]="","no date",""))))</f>
      </c>
      <c r="G712" s="17">
        <f>IF(Log[[#This Row],[ID]]="","",IFERROR(VLOOKUP(Log[[#This Row],[Verb]],Verbs,3,FALSE)&amp;"",""))</f>
      </c>
      <c r="H712" s="17">
        <f>IF(Log[[#This Row],[Date]]="","",INT((Log[[#This Row],[Date]]-Sprint1)/SprintDays)+1)</f>
      </c>
      <c r="I712" s="17">
        <f>IF(OR(Log[[#This Row],[Verb]]="commit",Log[[#This Row],[Verb]]="carry",Log[[#This Row],[Verb]]="redo"),IF(Log[[#This Row],[Arg]]="",Log[[#This Row],[Sprint]],N(Log[[#This Row],[Arg]])),"")</f>
      </c>
      <c r="J712" s="17">
        <f>IF(Log[[#This Row],[Verb]]="block",1,IF(OR(Log[[#This Row],[Verb]]="unblock",Log[[#This Row],[Verb]]="done",Log[[#This Row],[Verb]]="drop",Log[[#This Row],[Verb]]="punt",Log[[#This Row],[Verb]]="pass"),0,""))</f>
      </c>
      <c r="K712" s="17">
        <f>IF(Log[[#This Row],[ID]]="",0,IFERROR(INDEX(Items[Pts],MATCH(Log[[#This Row],[ID]],Items[ID],0))*1,0))</f>
      </c>
      <c r="L712" s="17">
        <f>IF(Log[[#This Row],[ID]]="","",IFERROR(INDEX(Items[Cur team],MATCH(Log[[#This Row],[ID]],Items[ID],0))&amp;"",""))</f>
      </c>
      <c r="M712" s="17">
        <f>IF(OR(Log[[#This Row],[Verb]]="done",Log[[#This Row],[Verb]]="punt",Log[[#This Row],[Verb]]="drop",Log[[#This Row],[Verb]]="pass"),Log[[#This Row],[Pts]],0)</f>
      </c>
    </row>
    <row r="713">
      <c r="A713" s="11">
        <v>46146</v>
      </c>
      <c r="B713" t="s">
        <v>409</v>
      </c>
      <c r="C713" t="s">
        <v>41</v>
      </c>
      <c r="F713" s="17">
        <f>IF(Log[[#This Row],[ID]]="","",IF(ISNA(MATCH(Log[[#This Row],[ID]],Items[ID],0)),"unknown ID",IF(ISNA(MATCH(Log[[#This Row],[Verb]],VerbList,0)),"unknown verb",IF(Log[[#This Row],[Date]]="","no date",""))))</f>
      </c>
      <c r="G713" s="17">
        <f>IF(Log[[#This Row],[ID]]="","",IFERROR(VLOOKUP(Log[[#This Row],[Verb]],Verbs,3,FALSE)&amp;"",""))</f>
      </c>
      <c r="H713" s="17">
        <f>IF(Log[[#This Row],[Date]]="","",INT((Log[[#This Row],[Date]]-Sprint1)/SprintDays)+1)</f>
      </c>
      <c r="I713" s="17">
        <f>IF(OR(Log[[#This Row],[Verb]]="commit",Log[[#This Row],[Verb]]="carry",Log[[#This Row],[Verb]]="redo"),IF(Log[[#This Row],[Arg]]="",Log[[#This Row],[Sprint]],N(Log[[#This Row],[Arg]])),"")</f>
      </c>
      <c r="J713" s="17">
        <f>IF(Log[[#This Row],[Verb]]="block",1,IF(OR(Log[[#This Row],[Verb]]="unblock",Log[[#This Row],[Verb]]="done",Log[[#This Row],[Verb]]="drop",Log[[#This Row],[Verb]]="punt",Log[[#This Row],[Verb]]="pass"),0,""))</f>
      </c>
      <c r="K713" s="17">
        <f>IF(Log[[#This Row],[ID]]="",0,IFERROR(INDEX(Items[Pts],MATCH(Log[[#This Row],[ID]],Items[ID],0))*1,0))</f>
      </c>
      <c r="L713" s="17">
        <f>IF(Log[[#This Row],[ID]]="","",IFERROR(INDEX(Items[Cur team],MATCH(Log[[#This Row],[ID]],Items[ID],0))&amp;"",""))</f>
      </c>
      <c r="M713" s="17">
        <f>IF(OR(Log[[#This Row],[Verb]]="done",Log[[#This Row],[Verb]]="punt",Log[[#This Row],[Verb]]="drop",Log[[#This Row],[Verb]]="pass"),Log[[#This Row],[Pts]],0)</f>
      </c>
    </row>
    <row r="714">
      <c r="A714" s="11">
        <v>46146</v>
      </c>
      <c r="B714" t="s">
        <v>462</v>
      </c>
      <c r="C714" t="s">
        <v>41</v>
      </c>
      <c r="F714" s="17">
        <f>IF(Log[[#This Row],[ID]]="","",IF(ISNA(MATCH(Log[[#This Row],[ID]],Items[ID],0)),"unknown ID",IF(ISNA(MATCH(Log[[#This Row],[Verb]],VerbList,0)),"unknown verb",IF(Log[[#This Row],[Date]]="","no date",""))))</f>
      </c>
      <c r="G714" s="17">
        <f>IF(Log[[#This Row],[ID]]="","",IFERROR(VLOOKUP(Log[[#This Row],[Verb]],Verbs,3,FALSE)&amp;"",""))</f>
      </c>
      <c r="H714" s="17">
        <f>IF(Log[[#This Row],[Date]]="","",INT((Log[[#This Row],[Date]]-Sprint1)/SprintDays)+1)</f>
      </c>
      <c r="I714" s="17">
        <f>IF(OR(Log[[#This Row],[Verb]]="commit",Log[[#This Row],[Verb]]="carry",Log[[#This Row],[Verb]]="redo"),IF(Log[[#This Row],[Arg]]="",Log[[#This Row],[Sprint]],N(Log[[#This Row],[Arg]])),"")</f>
      </c>
      <c r="J714" s="17">
        <f>IF(Log[[#This Row],[Verb]]="block",1,IF(OR(Log[[#This Row],[Verb]]="unblock",Log[[#This Row],[Verb]]="done",Log[[#This Row],[Verb]]="drop",Log[[#This Row],[Verb]]="punt",Log[[#This Row],[Verb]]="pass"),0,""))</f>
      </c>
      <c r="K714" s="17">
        <f>IF(Log[[#This Row],[ID]]="",0,IFERROR(INDEX(Items[Pts],MATCH(Log[[#This Row],[ID]],Items[ID],0))*1,0))</f>
      </c>
      <c r="L714" s="17">
        <f>IF(Log[[#This Row],[ID]]="","",IFERROR(INDEX(Items[Cur team],MATCH(Log[[#This Row],[ID]],Items[ID],0))&amp;"",""))</f>
      </c>
      <c r="M714" s="17">
        <f>IF(OR(Log[[#This Row],[Verb]]="done",Log[[#This Row],[Verb]]="punt",Log[[#This Row],[Verb]]="drop",Log[[#This Row],[Verb]]="pass"),Log[[#This Row],[Pts]],0)</f>
      </c>
    </row>
    <row r="715">
      <c r="A715" s="11">
        <v>46146</v>
      </c>
      <c r="B715" t="s">
        <v>463</v>
      </c>
      <c r="C715" t="s">
        <v>41</v>
      </c>
      <c r="F715" s="17">
        <f>IF(Log[[#This Row],[ID]]="","",IF(ISNA(MATCH(Log[[#This Row],[ID]],Items[ID],0)),"unknown ID",IF(ISNA(MATCH(Log[[#This Row],[Verb]],VerbList,0)),"unknown verb",IF(Log[[#This Row],[Date]]="","no date",""))))</f>
      </c>
      <c r="G715" s="17">
        <f>IF(Log[[#This Row],[ID]]="","",IFERROR(VLOOKUP(Log[[#This Row],[Verb]],Verbs,3,FALSE)&amp;"",""))</f>
      </c>
      <c r="H715" s="17">
        <f>IF(Log[[#This Row],[Date]]="","",INT((Log[[#This Row],[Date]]-Sprint1)/SprintDays)+1)</f>
      </c>
      <c r="I715" s="17">
        <f>IF(OR(Log[[#This Row],[Verb]]="commit",Log[[#This Row],[Verb]]="carry",Log[[#This Row],[Verb]]="redo"),IF(Log[[#This Row],[Arg]]="",Log[[#This Row],[Sprint]],N(Log[[#This Row],[Arg]])),"")</f>
      </c>
      <c r="J715" s="17">
        <f>IF(Log[[#This Row],[Verb]]="block",1,IF(OR(Log[[#This Row],[Verb]]="unblock",Log[[#This Row],[Verb]]="done",Log[[#This Row],[Verb]]="drop",Log[[#This Row],[Verb]]="punt",Log[[#This Row],[Verb]]="pass"),0,""))</f>
      </c>
      <c r="K715" s="17">
        <f>IF(Log[[#This Row],[ID]]="",0,IFERROR(INDEX(Items[Pts],MATCH(Log[[#This Row],[ID]],Items[ID],0))*1,0))</f>
      </c>
      <c r="L715" s="17">
        <f>IF(Log[[#This Row],[ID]]="","",IFERROR(INDEX(Items[Cur team],MATCH(Log[[#This Row],[ID]],Items[ID],0))&amp;"",""))</f>
      </c>
      <c r="M715" s="17">
        <f>IF(OR(Log[[#This Row],[Verb]]="done",Log[[#This Row],[Verb]]="punt",Log[[#This Row],[Verb]]="drop",Log[[#This Row],[Verb]]="pass"),Log[[#This Row],[Pts]],0)</f>
      </c>
    </row>
    <row r="716">
      <c r="A716" s="11">
        <v>46146</v>
      </c>
      <c r="B716" t="s">
        <v>464</v>
      </c>
      <c r="C716" t="s">
        <v>41</v>
      </c>
      <c r="F716" s="17">
        <f>IF(Log[[#This Row],[ID]]="","",IF(ISNA(MATCH(Log[[#This Row],[ID]],Items[ID],0)),"unknown ID",IF(ISNA(MATCH(Log[[#This Row],[Verb]],VerbList,0)),"unknown verb",IF(Log[[#This Row],[Date]]="","no date",""))))</f>
      </c>
      <c r="G716" s="17">
        <f>IF(Log[[#This Row],[ID]]="","",IFERROR(VLOOKUP(Log[[#This Row],[Verb]],Verbs,3,FALSE)&amp;"",""))</f>
      </c>
      <c r="H716" s="17">
        <f>IF(Log[[#This Row],[Date]]="","",INT((Log[[#This Row],[Date]]-Sprint1)/SprintDays)+1)</f>
      </c>
      <c r="I716" s="17">
        <f>IF(OR(Log[[#This Row],[Verb]]="commit",Log[[#This Row],[Verb]]="carry",Log[[#This Row],[Verb]]="redo"),IF(Log[[#This Row],[Arg]]="",Log[[#This Row],[Sprint]],N(Log[[#This Row],[Arg]])),"")</f>
      </c>
      <c r="J716" s="17">
        <f>IF(Log[[#This Row],[Verb]]="block",1,IF(OR(Log[[#This Row],[Verb]]="unblock",Log[[#This Row],[Verb]]="done",Log[[#This Row],[Verb]]="drop",Log[[#This Row],[Verb]]="punt",Log[[#This Row],[Verb]]="pass"),0,""))</f>
      </c>
      <c r="K716" s="17">
        <f>IF(Log[[#This Row],[ID]]="",0,IFERROR(INDEX(Items[Pts],MATCH(Log[[#This Row],[ID]],Items[ID],0))*1,0))</f>
      </c>
      <c r="L716" s="17">
        <f>IF(Log[[#This Row],[ID]]="","",IFERROR(INDEX(Items[Cur team],MATCH(Log[[#This Row],[ID]],Items[ID],0))&amp;"",""))</f>
      </c>
      <c r="M716" s="17">
        <f>IF(OR(Log[[#This Row],[Verb]]="done",Log[[#This Row],[Verb]]="punt",Log[[#This Row],[Verb]]="drop",Log[[#This Row],[Verb]]="pass"),Log[[#This Row],[Pts]],0)</f>
      </c>
    </row>
    <row r="717">
      <c r="A717" s="11">
        <v>46146</v>
      </c>
      <c r="B717" t="s">
        <v>465</v>
      </c>
      <c r="C717" t="s">
        <v>41</v>
      </c>
      <c r="F717" s="17">
        <f>IF(Log[[#This Row],[ID]]="","",IF(ISNA(MATCH(Log[[#This Row],[ID]],Items[ID],0)),"unknown ID",IF(ISNA(MATCH(Log[[#This Row],[Verb]],VerbList,0)),"unknown verb",IF(Log[[#This Row],[Date]]="","no date",""))))</f>
      </c>
      <c r="G717" s="17">
        <f>IF(Log[[#This Row],[ID]]="","",IFERROR(VLOOKUP(Log[[#This Row],[Verb]],Verbs,3,FALSE)&amp;"",""))</f>
      </c>
      <c r="H717" s="17">
        <f>IF(Log[[#This Row],[Date]]="","",INT((Log[[#This Row],[Date]]-Sprint1)/SprintDays)+1)</f>
      </c>
      <c r="I717" s="17">
        <f>IF(OR(Log[[#This Row],[Verb]]="commit",Log[[#This Row],[Verb]]="carry",Log[[#This Row],[Verb]]="redo"),IF(Log[[#This Row],[Arg]]="",Log[[#This Row],[Sprint]],N(Log[[#This Row],[Arg]])),"")</f>
      </c>
      <c r="J717" s="17">
        <f>IF(Log[[#This Row],[Verb]]="block",1,IF(OR(Log[[#This Row],[Verb]]="unblock",Log[[#This Row],[Verb]]="done",Log[[#This Row],[Verb]]="drop",Log[[#This Row],[Verb]]="punt",Log[[#This Row],[Verb]]="pass"),0,""))</f>
      </c>
      <c r="K717" s="17">
        <f>IF(Log[[#This Row],[ID]]="",0,IFERROR(INDEX(Items[Pts],MATCH(Log[[#This Row],[ID]],Items[ID],0))*1,0))</f>
      </c>
      <c r="L717" s="17">
        <f>IF(Log[[#This Row],[ID]]="","",IFERROR(INDEX(Items[Cur team],MATCH(Log[[#This Row],[ID]],Items[ID],0))&amp;"",""))</f>
      </c>
      <c r="M717" s="17">
        <f>IF(OR(Log[[#This Row],[Verb]]="done",Log[[#This Row],[Verb]]="punt",Log[[#This Row],[Verb]]="drop",Log[[#This Row],[Verb]]="pass"),Log[[#This Row],[Pts]],0)</f>
      </c>
    </row>
    <row r="718">
      <c r="A718" s="11">
        <v>46146</v>
      </c>
      <c r="B718" t="s">
        <v>466</v>
      </c>
      <c r="C718" t="s">
        <v>41</v>
      </c>
      <c r="F718" s="17">
        <f>IF(Log[[#This Row],[ID]]="","",IF(ISNA(MATCH(Log[[#This Row],[ID]],Items[ID],0)),"unknown ID",IF(ISNA(MATCH(Log[[#This Row],[Verb]],VerbList,0)),"unknown verb",IF(Log[[#This Row],[Date]]="","no date",""))))</f>
      </c>
      <c r="G718" s="17">
        <f>IF(Log[[#This Row],[ID]]="","",IFERROR(VLOOKUP(Log[[#This Row],[Verb]],Verbs,3,FALSE)&amp;"",""))</f>
      </c>
      <c r="H718" s="17">
        <f>IF(Log[[#This Row],[Date]]="","",INT((Log[[#This Row],[Date]]-Sprint1)/SprintDays)+1)</f>
      </c>
      <c r="I718" s="17">
        <f>IF(OR(Log[[#This Row],[Verb]]="commit",Log[[#This Row],[Verb]]="carry",Log[[#This Row],[Verb]]="redo"),IF(Log[[#This Row],[Arg]]="",Log[[#This Row],[Sprint]],N(Log[[#This Row],[Arg]])),"")</f>
      </c>
      <c r="J718" s="17">
        <f>IF(Log[[#This Row],[Verb]]="block",1,IF(OR(Log[[#This Row],[Verb]]="unblock",Log[[#This Row],[Verb]]="done",Log[[#This Row],[Verb]]="drop",Log[[#This Row],[Verb]]="punt",Log[[#This Row],[Verb]]="pass"),0,""))</f>
      </c>
      <c r="K718" s="17">
        <f>IF(Log[[#This Row],[ID]]="",0,IFERROR(INDEX(Items[Pts],MATCH(Log[[#This Row],[ID]],Items[ID],0))*1,0))</f>
      </c>
      <c r="L718" s="17">
        <f>IF(Log[[#This Row],[ID]]="","",IFERROR(INDEX(Items[Cur team],MATCH(Log[[#This Row],[ID]],Items[ID],0))&amp;"",""))</f>
      </c>
      <c r="M718" s="17">
        <f>IF(OR(Log[[#This Row],[Verb]]="done",Log[[#This Row],[Verb]]="punt",Log[[#This Row],[Verb]]="drop",Log[[#This Row],[Verb]]="pass"),Log[[#This Row],[Pts]],0)</f>
      </c>
    </row>
    <row r="719">
      <c r="A719" s="11">
        <v>46146</v>
      </c>
      <c r="B719" t="s">
        <v>467</v>
      </c>
      <c r="C719" t="s">
        <v>41</v>
      </c>
      <c r="F719" s="17">
        <f>IF(Log[[#This Row],[ID]]="","",IF(ISNA(MATCH(Log[[#This Row],[ID]],Items[ID],0)),"unknown ID",IF(ISNA(MATCH(Log[[#This Row],[Verb]],VerbList,0)),"unknown verb",IF(Log[[#This Row],[Date]]="","no date",""))))</f>
      </c>
      <c r="G719" s="17">
        <f>IF(Log[[#This Row],[ID]]="","",IFERROR(VLOOKUP(Log[[#This Row],[Verb]],Verbs,3,FALSE)&amp;"",""))</f>
      </c>
      <c r="H719" s="17">
        <f>IF(Log[[#This Row],[Date]]="","",INT((Log[[#This Row],[Date]]-Sprint1)/SprintDays)+1)</f>
      </c>
      <c r="I719" s="17">
        <f>IF(OR(Log[[#This Row],[Verb]]="commit",Log[[#This Row],[Verb]]="carry",Log[[#This Row],[Verb]]="redo"),IF(Log[[#This Row],[Arg]]="",Log[[#This Row],[Sprint]],N(Log[[#This Row],[Arg]])),"")</f>
      </c>
      <c r="J719" s="17">
        <f>IF(Log[[#This Row],[Verb]]="block",1,IF(OR(Log[[#This Row],[Verb]]="unblock",Log[[#This Row],[Verb]]="done",Log[[#This Row],[Verb]]="drop",Log[[#This Row],[Verb]]="punt",Log[[#This Row],[Verb]]="pass"),0,""))</f>
      </c>
      <c r="K719" s="17">
        <f>IF(Log[[#This Row],[ID]]="",0,IFERROR(INDEX(Items[Pts],MATCH(Log[[#This Row],[ID]],Items[ID],0))*1,0))</f>
      </c>
      <c r="L719" s="17">
        <f>IF(Log[[#This Row],[ID]]="","",IFERROR(INDEX(Items[Cur team],MATCH(Log[[#This Row],[ID]],Items[ID],0))&amp;"",""))</f>
      </c>
      <c r="M719" s="17">
        <f>IF(OR(Log[[#This Row],[Verb]]="done",Log[[#This Row],[Verb]]="punt",Log[[#This Row],[Verb]]="drop",Log[[#This Row],[Verb]]="pass"),Log[[#This Row],[Pts]],0)</f>
      </c>
    </row>
    <row r="720">
      <c r="A720" s="11">
        <v>46146</v>
      </c>
      <c r="B720" t="s">
        <v>411</v>
      </c>
      <c r="C720" t="s">
        <v>41</v>
      </c>
      <c r="F720" s="17">
        <f>IF(Log[[#This Row],[ID]]="","",IF(ISNA(MATCH(Log[[#This Row],[ID]],Items[ID],0)),"unknown ID",IF(ISNA(MATCH(Log[[#This Row],[Verb]],VerbList,0)),"unknown verb",IF(Log[[#This Row],[Date]]="","no date",""))))</f>
      </c>
      <c r="G720" s="17">
        <f>IF(Log[[#This Row],[ID]]="","",IFERROR(VLOOKUP(Log[[#This Row],[Verb]],Verbs,3,FALSE)&amp;"",""))</f>
      </c>
      <c r="H720" s="17">
        <f>IF(Log[[#This Row],[Date]]="","",INT((Log[[#This Row],[Date]]-Sprint1)/SprintDays)+1)</f>
      </c>
      <c r="I720" s="17">
        <f>IF(OR(Log[[#This Row],[Verb]]="commit",Log[[#This Row],[Verb]]="carry",Log[[#This Row],[Verb]]="redo"),IF(Log[[#This Row],[Arg]]="",Log[[#This Row],[Sprint]],N(Log[[#This Row],[Arg]])),"")</f>
      </c>
      <c r="J720" s="17">
        <f>IF(Log[[#This Row],[Verb]]="block",1,IF(OR(Log[[#This Row],[Verb]]="unblock",Log[[#This Row],[Verb]]="done",Log[[#This Row],[Verb]]="drop",Log[[#This Row],[Verb]]="punt",Log[[#This Row],[Verb]]="pass"),0,""))</f>
      </c>
      <c r="K720" s="17">
        <f>IF(Log[[#This Row],[ID]]="",0,IFERROR(INDEX(Items[Pts],MATCH(Log[[#This Row],[ID]],Items[ID],0))*1,0))</f>
      </c>
      <c r="L720" s="17">
        <f>IF(Log[[#This Row],[ID]]="","",IFERROR(INDEX(Items[Cur team],MATCH(Log[[#This Row],[ID]],Items[ID],0))&amp;"",""))</f>
      </c>
      <c r="M720" s="17">
        <f>IF(OR(Log[[#This Row],[Verb]]="done",Log[[#This Row],[Verb]]="punt",Log[[#This Row],[Verb]]="drop",Log[[#This Row],[Verb]]="pass"),Log[[#This Row],[Pts]],0)</f>
      </c>
    </row>
    <row r="721">
      <c r="A721" s="11">
        <v>46146</v>
      </c>
      <c r="B721" t="s">
        <v>468</v>
      </c>
      <c r="C721" t="s">
        <v>41</v>
      </c>
      <c r="F721" s="17">
        <f>IF(Log[[#This Row],[ID]]="","",IF(ISNA(MATCH(Log[[#This Row],[ID]],Items[ID],0)),"unknown ID",IF(ISNA(MATCH(Log[[#This Row],[Verb]],VerbList,0)),"unknown verb",IF(Log[[#This Row],[Date]]="","no date",""))))</f>
      </c>
      <c r="G721" s="17">
        <f>IF(Log[[#This Row],[ID]]="","",IFERROR(VLOOKUP(Log[[#This Row],[Verb]],Verbs,3,FALSE)&amp;"",""))</f>
      </c>
      <c r="H721" s="17">
        <f>IF(Log[[#This Row],[Date]]="","",INT((Log[[#This Row],[Date]]-Sprint1)/SprintDays)+1)</f>
      </c>
      <c r="I721" s="17">
        <f>IF(OR(Log[[#This Row],[Verb]]="commit",Log[[#This Row],[Verb]]="carry",Log[[#This Row],[Verb]]="redo"),IF(Log[[#This Row],[Arg]]="",Log[[#This Row],[Sprint]],N(Log[[#This Row],[Arg]])),"")</f>
      </c>
      <c r="J721" s="17">
        <f>IF(Log[[#This Row],[Verb]]="block",1,IF(OR(Log[[#This Row],[Verb]]="unblock",Log[[#This Row],[Verb]]="done",Log[[#This Row],[Verb]]="drop",Log[[#This Row],[Verb]]="punt",Log[[#This Row],[Verb]]="pass"),0,""))</f>
      </c>
      <c r="K721" s="17">
        <f>IF(Log[[#This Row],[ID]]="",0,IFERROR(INDEX(Items[Pts],MATCH(Log[[#This Row],[ID]],Items[ID],0))*1,0))</f>
      </c>
      <c r="L721" s="17">
        <f>IF(Log[[#This Row],[ID]]="","",IFERROR(INDEX(Items[Cur team],MATCH(Log[[#This Row],[ID]],Items[ID],0))&amp;"",""))</f>
      </c>
      <c r="M721" s="17">
        <f>IF(OR(Log[[#This Row],[Verb]]="done",Log[[#This Row],[Verb]]="punt",Log[[#This Row],[Verb]]="drop",Log[[#This Row],[Verb]]="pass"),Log[[#This Row],[Pts]],0)</f>
      </c>
    </row>
    <row r="722">
      <c r="A722" s="11">
        <v>46146</v>
      </c>
      <c r="B722" t="s">
        <v>469</v>
      </c>
      <c r="C722" t="s">
        <v>41</v>
      </c>
      <c r="F722" s="17">
        <f>IF(Log[[#This Row],[ID]]="","",IF(ISNA(MATCH(Log[[#This Row],[ID]],Items[ID],0)),"unknown ID",IF(ISNA(MATCH(Log[[#This Row],[Verb]],VerbList,0)),"unknown verb",IF(Log[[#This Row],[Date]]="","no date",""))))</f>
      </c>
      <c r="G722" s="17">
        <f>IF(Log[[#This Row],[ID]]="","",IFERROR(VLOOKUP(Log[[#This Row],[Verb]],Verbs,3,FALSE)&amp;"",""))</f>
      </c>
      <c r="H722" s="17">
        <f>IF(Log[[#This Row],[Date]]="","",INT((Log[[#This Row],[Date]]-Sprint1)/SprintDays)+1)</f>
      </c>
      <c r="I722" s="17">
        <f>IF(OR(Log[[#This Row],[Verb]]="commit",Log[[#This Row],[Verb]]="carry",Log[[#This Row],[Verb]]="redo"),IF(Log[[#This Row],[Arg]]="",Log[[#This Row],[Sprint]],N(Log[[#This Row],[Arg]])),"")</f>
      </c>
      <c r="J722" s="17">
        <f>IF(Log[[#This Row],[Verb]]="block",1,IF(OR(Log[[#This Row],[Verb]]="unblock",Log[[#This Row],[Verb]]="done",Log[[#This Row],[Verb]]="drop",Log[[#This Row],[Verb]]="punt",Log[[#This Row],[Verb]]="pass"),0,""))</f>
      </c>
      <c r="K722" s="17">
        <f>IF(Log[[#This Row],[ID]]="",0,IFERROR(INDEX(Items[Pts],MATCH(Log[[#This Row],[ID]],Items[ID],0))*1,0))</f>
      </c>
      <c r="L722" s="17">
        <f>IF(Log[[#This Row],[ID]]="","",IFERROR(INDEX(Items[Cur team],MATCH(Log[[#This Row],[ID]],Items[ID],0))&amp;"",""))</f>
      </c>
      <c r="M722" s="17">
        <f>IF(OR(Log[[#This Row],[Verb]]="done",Log[[#This Row],[Verb]]="punt",Log[[#This Row],[Verb]]="drop",Log[[#This Row],[Verb]]="pass"),Log[[#This Row],[Pts]],0)</f>
      </c>
    </row>
    <row r="723">
      <c r="A723" s="11">
        <v>46146</v>
      </c>
      <c r="B723" t="s">
        <v>470</v>
      </c>
      <c r="C723" t="s">
        <v>41</v>
      </c>
      <c r="F723" s="17">
        <f>IF(Log[[#This Row],[ID]]="","",IF(ISNA(MATCH(Log[[#This Row],[ID]],Items[ID],0)),"unknown ID",IF(ISNA(MATCH(Log[[#This Row],[Verb]],VerbList,0)),"unknown verb",IF(Log[[#This Row],[Date]]="","no date",""))))</f>
      </c>
      <c r="G723" s="17">
        <f>IF(Log[[#This Row],[ID]]="","",IFERROR(VLOOKUP(Log[[#This Row],[Verb]],Verbs,3,FALSE)&amp;"",""))</f>
      </c>
      <c r="H723" s="17">
        <f>IF(Log[[#This Row],[Date]]="","",INT((Log[[#This Row],[Date]]-Sprint1)/SprintDays)+1)</f>
      </c>
      <c r="I723" s="17">
        <f>IF(OR(Log[[#This Row],[Verb]]="commit",Log[[#This Row],[Verb]]="carry",Log[[#This Row],[Verb]]="redo"),IF(Log[[#This Row],[Arg]]="",Log[[#This Row],[Sprint]],N(Log[[#This Row],[Arg]])),"")</f>
      </c>
      <c r="J723" s="17">
        <f>IF(Log[[#This Row],[Verb]]="block",1,IF(OR(Log[[#This Row],[Verb]]="unblock",Log[[#This Row],[Verb]]="done",Log[[#This Row],[Verb]]="drop",Log[[#This Row],[Verb]]="punt",Log[[#This Row],[Verb]]="pass"),0,""))</f>
      </c>
      <c r="K723" s="17">
        <f>IF(Log[[#This Row],[ID]]="",0,IFERROR(INDEX(Items[Pts],MATCH(Log[[#This Row],[ID]],Items[ID],0))*1,0))</f>
      </c>
      <c r="L723" s="17">
        <f>IF(Log[[#This Row],[ID]]="","",IFERROR(INDEX(Items[Cur team],MATCH(Log[[#This Row],[ID]],Items[ID],0))&amp;"",""))</f>
      </c>
      <c r="M723" s="17">
        <f>IF(OR(Log[[#This Row],[Verb]]="done",Log[[#This Row],[Verb]]="punt",Log[[#This Row],[Verb]]="drop",Log[[#This Row],[Verb]]="pass"),Log[[#This Row],[Pts]],0)</f>
      </c>
    </row>
    <row r="724">
      <c r="A724" s="11">
        <v>46146</v>
      </c>
      <c r="B724" t="s">
        <v>471</v>
      </c>
      <c r="C724" t="s">
        <v>41</v>
      </c>
      <c r="F724" s="17">
        <f>IF(Log[[#This Row],[ID]]="","",IF(ISNA(MATCH(Log[[#This Row],[ID]],Items[ID],0)),"unknown ID",IF(ISNA(MATCH(Log[[#This Row],[Verb]],VerbList,0)),"unknown verb",IF(Log[[#This Row],[Date]]="","no date",""))))</f>
      </c>
      <c r="G724" s="17">
        <f>IF(Log[[#This Row],[ID]]="","",IFERROR(VLOOKUP(Log[[#This Row],[Verb]],Verbs,3,FALSE)&amp;"",""))</f>
      </c>
      <c r="H724" s="17">
        <f>IF(Log[[#This Row],[Date]]="","",INT((Log[[#This Row],[Date]]-Sprint1)/SprintDays)+1)</f>
      </c>
      <c r="I724" s="17">
        <f>IF(OR(Log[[#This Row],[Verb]]="commit",Log[[#This Row],[Verb]]="carry",Log[[#This Row],[Verb]]="redo"),IF(Log[[#This Row],[Arg]]="",Log[[#This Row],[Sprint]],N(Log[[#This Row],[Arg]])),"")</f>
      </c>
      <c r="J724" s="17">
        <f>IF(Log[[#This Row],[Verb]]="block",1,IF(OR(Log[[#This Row],[Verb]]="unblock",Log[[#This Row],[Verb]]="done",Log[[#This Row],[Verb]]="drop",Log[[#This Row],[Verb]]="punt",Log[[#This Row],[Verb]]="pass"),0,""))</f>
      </c>
      <c r="K724" s="17">
        <f>IF(Log[[#This Row],[ID]]="",0,IFERROR(INDEX(Items[Pts],MATCH(Log[[#This Row],[ID]],Items[ID],0))*1,0))</f>
      </c>
      <c r="L724" s="17">
        <f>IF(Log[[#This Row],[ID]]="","",IFERROR(INDEX(Items[Cur team],MATCH(Log[[#This Row],[ID]],Items[ID],0))&amp;"",""))</f>
      </c>
      <c r="M724" s="17">
        <f>IF(OR(Log[[#This Row],[Verb]]="done",Log[[#This Row],[Verb]]="punt",Log[[#This Row],[Verb]]="drop",Log[[#This Row],[Verb]]="pass"),Log[[#This Row],[Pts]],0)</f>
      </c>
    </row>
    <row r="725">
      <c r="A725" s="11">
        <v>46146</v>
      </c>
      <c r="B725" t="s">
        <v>472</v>
      </c>
      <c r="C725" t="s">
        <v>38</v>
      </c>
      <c r="D725">
        <v>43</v>
      </c>
      <c r="F725" s="17">
        <f>IF(Log[[#This Row],[ID]]="","",IF(ISNA(MATCH(Log[[#This Row],[ID]],Items[ID],0)),"unknown ID",IF(ISNA(MATCH(Log[[#This Row],[Verb]],VerbList,0)),"unknown verb",IF(Log[[#This Row],[Date]]="","no date",""))))</f>
      </c>
      <c r="G725" s="17">
        <f>IF(Log[[#This Row],[ID]]="","",IFERROR(VLOOKUP(Log[[#This Row],[Verb]],Verbs,3,FALSE)&amp;"",""))</f>
      </c>
      <c r="H725" s="17">
        <f>IF(Log[[#This Row],[Date]]="","",INT((Log[[#This Row],[Date]]-Sprint1)/SprintDays)+1)</f>
      </c>
      <c r="I725" s="17">
        <f>IF(OR(Log[[#This Row],[Verb]]="commit",Log[[#This Row],[Verb]]="carry",Log[[#This Row],[Verb]]="redo"),IF(Log[[#This Row],[Arg]]="",Log[[#This Row],[Sprint]],N(Log[[#This Row],[Arg]])),"")</f>
      </c>
      <c r="J725" s="17">
        <f>IF(Log[[#This Row],[Verb]]="block",1,IF(OR(Log[[#This Row],[Verb]]="unblock",Log[[#This Row],[Verb]]="done",Log[[#This Row],[Verb]]="drop",Log[[#This Row],[Verb]]="punt",Log[[#This Row],[Verb]]="pass"),0,""))</f>
      </c>
      <c r="K725" s="17">
        <f>IF(Log[[#This Row],[ID]]="",0,IFERROR(INDEX(Items[Pts],MATCH(Log[[#This Row],[ID]],Items[ID],0))*1,0))</f>
      </c>
      <c r="L725" s="17">
        <f>IF(Log[[#This Row],[ID]]="","",IFERROR(INDEX(Items[Cur team],MATCH(Log[[#This Row],[ID]],Items[ID],0))&amp;"",""))</f>
      </c>
      <c r="M725" s="17">
        <f>IF(OR(Log[[#This Row],[Verb]]="done",Log[[#This Row],[Verb]]="punt",Log[[#This Row],[Verb]]="drop",Log[[#This Row],[Verb]]="pass"),Log[[#This Row],[Pts]],0)</f>
      </c>
    </row>
    <row r="726">
      <c r="A726" s="11">
        <v>46146</v>
      </c>
      <c r="B726" t="s">
        <v>473</v>
      </c>
      <c r="C726" t="s">
        <v>41</v>
      </c>
      <c r="F726" s="17">
        <f>IF(Log[[#This Row],[ID]]="","",IF(ISNA(MATCH(Log[[#This Row],[ID]],Items[ID],0)),"unknown ID",IF(ISNA(MATCH(Log[[#This Row],[Verb]],VerbList,0)),"unknown verb",IF(Log[[#This Row],[Date]]="","no date",""))))</f>
      </c>
      <c r="G726" s="17">
        <f>IF(Log[[#This Row],[ID]]="","",IFERROR(VLOOKUP(Log[[#This Row],[Verb]],Verbs,3,FALSE)&amp;"",""))</f>
      </c>
      <c r="H726" s="17">
        <f>IF(Log[[#This Row],[Date]]="","",INT((Log[[#This Row],[Date]]-Sprint1)/SprintDays)+1)</f>
      </c>
      <c r="I726" s="17">
        <f>IF(OR(Log[[#This Row],[Verb]]="commit",Log[[#This Row],[Verb]]="carry",Log[[#This Row],[Verb]]="redo"),IF(Log[[#This Row],[Arg]]="",Log[[#This Row],[Sprint]],N(Log[[#This Row],[Arg]])),"")</f>
      </c>
      <c r="J726" s="17">
        <f>IF(Log[[#This Row],[Verb]]="block",1,IF(OR(Log[[#This Row],[Verb]]="unblock",Log[[#This Row],[Verb]]="done",Log[[#This Row],[Verb]]="drop",Log[[#This Row],[Verb]]="punt",Log[[#This Row],[Verb]]="pass"),0,""))</f>
      </c>
      <c r="K726" s="17">
        <f>IF(Log[[#This Row],[ID]]="",0,IFERROR(INDEX(Items[Pts],MATCH(Log[[#This Row],[ID]],Items[ID],0))*1,0))</f>
      </c>
      <c r="L726" s="17">
        <f>IF(Log[[#This Row],[ID]]="","",IFERROR(INDEX(Items[Cur team],MATCH(Log[[#This Row],[ID]],Items[ID],0))&amp;"",""))</f>
      </c>
      <c r="M726" s="17">
        <f>IF(OR(Log[[#This Row],[Verb]]="done",Log[[#This Row],[Verb]]="punt",Log[[#This Row],[Verb]]="drop",Log[[#This Row],[Verb]]="pass"),Log[[#This Row],[Pts]],0)</f>
      </c>
    </row>
    <row r="727">
      <c r="A727" s="11">
        <v>46146</v>
      </c>
      <c r="B727" t="s">
        <v>352</v>
      </c>
      <c r="C727" t="s">
        <v>38</v>
      </c>
      <c r="D727">
        <v>43</v>
      </c>
      <c r="F727" s="17">
        <f>IF(Log[[#This Row],[ID]]="","",IF(ISNA(MATCH(Log[[#This Row],[ID]],Items[ID],0)),"unknown ID",IF(ISNA(MATCH(Log[[#This Row],[Verb]],VerbList,0)),"unknown verb",IF(Log[[#This Row],[Date]]="","no date",""))))</f>
      </c>
      <c r="G727" s="17">
        <f>IF(Log[[#This Row],[ID]]="","",IFERROR(VLOOKUP(Log[[#This Row],[Verb]],Verbs,3,FALSE)&amp;"",""))</f>
      </c>
      <c r="H727" s="17">
        <f>IF(Log[[#This Row],[Date]]="","",INT((Log[[#This Row],[Date]]-Sprint1)/SprintDays)+1)</f>
      </c>
      <c r="I727" s="17">
        <f>IF(OR(Log[[#This Row],[Verb]]="commit",Log[[#This Row],[Verb]]="carry",Log[[#This Row],[Verb]]="redo"),IF(Log[[#This Row],[Arg]]="",Log[[#This Row],[Sprint]],N(Log[[#This Row],[Arg]])),"")</f>
      </c>
      <c r="J727" s="17">
        <f>IF(Log[[#This Row],[Verb]]="block",1,IF(OR(Log[[#This Row],[Verb]]="unblock",Log[[#This Row],[Verb]]="done",Log[[#This Row],[Verb]]="drop",Log[[#This Row],[Verb]]="punt",Log[[#This Row],[Verb]]="pass"),0,""))</f>
      </c>
      <c r="K727" s="17">
        <f>IF(Log[[#This Row],[ID]]="",0,IFERROR(INDEX(Items[Pts],MATCH(Log[[#This Row],[ID]],Items[ID],0))*1,0))</f>
      </c>
      <c r="L727" s="17">
        <f>IF(Log[[#This Row],[ID]]="","",IFERROR(INDEX(Items[Cur team],MATCH(Log[[#This Row],[ID]],Items[ID],0))&amp;"",""))</f>
      </c>
      <c r="M727" s="17">
        <f>IF(OR(Log[[#This Row],[Verb]]="done",Log[[#This Row],[Verb]]="punt",Log[[#This Row],[Verb]]="drop",Log[[#This Row],[Verb]]="pass"),Log[[#This Row],[Pts]],0)</f>
      </c>
    </row>
    <row r="728">
      <c r="A728" s="11">
        <v>46146</v>
      </c>
      <c r="B728" t="s">
        <v>359</v>
      </c>
      <c r="C728" t="s">
        <v>38</v>
      </c>
      <c r="D728">
        <v>43</v>
      </c>
      <c r="F728" s="17">
        <f>IF(Log[[#This Row],[ID]]="","",IF(ISNA(MATCH(Log[[#This Row],[ID]],Items[ID],0)),"unknown ID",IF(ISNA(MATCH(Log[[#This Row],[Verb]],VerbList,0)),"unknown verb",IF(Log[[#This Row],[Date]]="","no date",""))))</f>
      </c>
      <c r="G728" s="17">
        <f>IF(Log[[#This Row],[ID]]="","",IFERROR(VLOOKUP(Log[[#This Row],[Verb]],Verbs,3,FALSE)&amp;"",""))</f>
      </c>
      <c r="H728" s="17">
        <f>IF(Log[[#This Row],[Date]]="","",INT((Log[[#This Row],[Date]]-Sprint1)/SprintDays)+1)</f>
      </c>
      <c r="I728" s="17">
        <f>IF(OR(Log[[#This Row],[Verb]]="commit",Log[[#This Row],[Verb]]="carry",Log[[#This Row],[Verb]]="redo"),IF(Log[[#This Row],[Arg]]="",Log[[#This Row],[Sprint]],N(Log[[#This Row],[Arg]])),"")</f>
      </c>
      <c r="J728" s="17">
        <f>IF(Log[[#This Row],[Verb]]="block",1,IF(OR(Log[[#This Row],[Verb]]="unblock",Log[[#This Row],[Verb]]="done",Log[[#This Row],[Verb]]="drop",Log[[#This Row],[Verb]]="punt",Log[[#This Row],[Verb]]="pass"),0,""))</f>
      </c>
      <c r="K728" s="17">
        <f>IF(Log[[#This Row],[ID]]="",0,IFERROR(INDEX(Items[Pts],MATCH(Log[[#This Row],[ID]],Items[ID],0))*1,0))</f>
      </c>
      <c r="L728" s="17">
        <f>IF(Log[[#This Row],[ID]]="","",IFERROR(INDEX(Items[Cur team],MATCH(Log[[#This Row],[ID]],Items[ID],0))&amp;"",""))</f>
      </c>
      <c r="M728" s="17">
        <f>IF(OR(Log[[#This Row],[Verb]]="done",Log[[#This Row],[Verb]]="punt",Log[[#This Row],[Verb]]="drop",Log[[#This Row],[Verb]]="pass"),Log[[#This Row],[Pts]],0)</f>
      </c>
    </row>
    <row r="729">
      <c r="A729" s="11">
        <v>46146</v>
      </c>
      <c r="B729" t="s">
        <v>474</v>
      </c>
      <c r="C729" t="s">
        <v>41</v>
      </c>
      <c r="F729" s="17">
        <f>IF(Log[[#This Row],[ID]]="","",IF(ISNA(MATCH(Log[[#This Row],[ID]],Items[ID],0)),"unknown ID",IF(ISNA(MATCH(Log[[#This Row],[Verb]],VerbList,0)),"unknown verb",IF(Log[[#This Row],[Date]]="","no date",""))))</f>
      </c>
      <c r="G729" s="17">
        <f>IF(Log[[#This Row],[ID]]="","",IFERROR(VLOOKUP(Log[[#This Row],[Verb]],Verbs,3,FALSE)&amp;"",""))</f>
      </c>
      <c r="H729" s="17">
        <f>IF(Log[[#This Row],[Date]]="","",INT((Log[[#This Row],[Date]]-Sprint1)/SprintDays)+1)</f>
      </c>
      <c r="I729" s="17">
        <f>IF(OR(Log[[#This Row],[Verb]]="commit",Log[[#This Row],[Verb]]="carry",Log[[#This Row],[Verb]]="redo"),IF(Log[[#This Row],[Arg]]="",Log[[#This Row],[Sprint]],N(Log[[#This Row],[Arg]])),"")</f>
      </c>
      <c r="J729" s="17">
        <f>IF(Log[[#This Row],[Verb]]="block",1,IF(OR(Log[[#This Row],[Verb]]="unblock",Log[[#This Row],[Verb]]="done",Log[[#This Row],[Verb]]="drop",Log[[#This Row],[Verb]]="punt",Log[[#This Row],[Verb]]="pass"),0,""))</f>
      </c>
      <c r="K729" s="17">
        <f>IF(Log[[#This Row],[ID]]="",0,IFERROR(INDEX(Items[Pts],MATCH(Log[[#This Row],[ID]],Items[ID],0))*1,0))</f>
      </c>
      <c r="L729" s="17">
        <f>IF(Log[[#This Row],[ID]]="","",IFERROR(INDEX(Items[Cur team],MATCH(Log[[#This Row],[ID]],Items[ID],0))&amp;"",""))</f>
      </c>
      <c r="M729" s="17">
        <f>IF(OR(Log[[#This Row],[Verb]]="done",Log[[#This Row],[Verb]]="punt",Log[[#This Row],[Verb]]="drop",Log[[#This Row],[Verb]]="pass"),Log[[#This Row],[Pts]],0)</f>
      </c>
    </row>
    <row r="730">
      <c r="A730" s="11">
        <v>46146</v>
      </c>
      <c r="B730" t="s">
        <v>475</v>
      </c>
      <c r="C730" t="s">
        <v>38</v>
      </c>
      <c r="D730">
        <v>43</v>
      </c>
      <c r="F730" s="17">
        <f>IF(Log[[#This Row],[ID]]="","",IF(ISNA(MATCH(Log[[#This Row],[ID]],Items[ID],0)),"unknown ID",IF(ISNA(MATCH(Log[[#This Row],[Verb]],VerbList,0)),"unknown verb",IF(Log[[#This Row],[Date]]="","no date",""))))</f>
      </c>
      <c r="G730" s="17">
        <f>IF(Log[[#This Row],[ID]]="","",IFERROR(VLOOKUP(Log[[#This Row],[Verb]],Verbs,3,FALSE)&amp;"",""))</f>
      </c>
      <c r="H730" s="17">
        <f>IF(Log[[#This Row],[Date]]="","",INT((Log[[#This Row],[Date]]-Sprint1)/SprintDays)+1)</f>
      </c>
      <c r="I730" s="17">
        <f>IF(OR(Log[[#This Row],[Verb]]="commit",Log[[#This Row],[Verb]]="carry",Log[[#This Row],[Verb]]="redo"),IF(Log[[#This Row],[Arg]]="",Log[[#This Row],[Sprint]],N(Log[[#This Row],[Arg]])),"")</f>
      </c>
      <c r="J730" s="17">
        <f>IF(Log[[#This Row],[Verb]]="block",1,IF(OR(Log[[#This Row],[Verb]]="unblock",Log[[#This Row],[Verb]]="done",Log[[#This Row],[Verb]]="drop",Log[[#This Row],[Verb]]="punt",Log[[#This Row],[Verb]]="pass"),0,""))</f>
      </c>
      <c r="K730" s="17">
        <f>IF(Log[[#This Row],[ID]]="",0,IFERROR(INDEX(Items[Pts],MATCH(Log[[#This Row],[ID]],Items[ID],0))*1,0))</f>
      </c>
      <c r="L730" s="17">
        <f>IF(Log[[#This Row],[ID]]="","",IFERROR(INDEX(Items[Cur team],MATCH(Log[[#This Row],[ID]],Items[ID],0))&amp;"",""))</f>
      </c>
      <c r="M730" s="17">
        <f>IF(OR(Log[[#This Row],[Verb]]="done",Log[[#This Row],[Verb]]="punt",Log[[#This Row],[Verb]]="drop",Log[[#This Row],[Verb]]="pass"),Log[[#This Row],[Pts]],0)</f>
      </c>
    </row>
    <row r="731">
      <c r="A731" s="11">
        <v>46146</v>
      </c>
      <c r="B731" t="s">
        <v>476</v>
      </c>
      <c r="C731" t="s">
        <v>41</v>
      </c>
      <c r="F731" s="17">
        <f>IF(Log[[#This Row],[ID]]="","",IF(ISNA(MATCH(Log[[#This Row],[ID]],Items[ID],0)),"unknown ID",IF(ISNA(MATCH(Log[[#This Row],[Verb]],VerbList,0)),"unknown verb",IF(Log[[#This Row],[Date]]="","no date",""))))</f>
      </c>
      <c r="G731" s="17">
        <f>IF(Log[[#This Row],[ID]]="","",IFERROR(VLOOKUP(Log[[#This Row],[Verb]],Verbs,3,FALSE)&amp;"",""))</f>
      </c>
      <c r="H731" s="17">
        <f>IF(Log[[#This Row],[Date]]="","",INT((Log[[#This Row],[Date]]-Sprint1)/SprintDays)+1)</f>
      </c>
      <c r="I731" s="17">
        <f>IF(OR(Log[[#This Row],[Verb]]="commit",Log[[#This Row],[Verb]]="carry",Log[[#This Row],[Verb]]="redo"),IF(Log[[#This Row],[Arg]]="",Log[[#This Row],[Sprint]],N(Log[[#This Row],[Arg]])),"")</f>
      </c>
      <c r="J731" s="17">
        <f>IF(Log[[#This Row],[Verb]]="block",1,IF(OR(Log[[#This Row],[Verb]]="unblock",Log[[#This Row],[Verb]]="done",Log[[#This Row],[Verb]]="drop",Log[[#This Row],[Verb]]="punt",Log[[#This Row],[Verb]]="pass"),0,""))</f>
      </c>
      <c r="K731" s="17">
        <f>IF(Log[[#This Row],[ID]]="",0,IFERROR(INDEX(Items[Pts],MATCH(Log[[#This Row],[ID]],Items[ID],0))*1,0))</f>
      </c>
      <c r="L731" s="17">
        <f>IF(Log[[#This Row],[ID]]="","",IFERROR(INDEX(Items[Cur team],MATCH(Log[[#This Row],[ID]],Items[ID],0))&amp;"",""))</f>
      </c>
      <c r="M731" s="17">
        <f>IF(OR(Log[[#This Row],[Verb]]="done",Log[[#This Row],[Verb]]="punt",Log[[#This Row],[Verb]]="drop",Log[[#This Row],[Verb]]="pass"),Log[[#This Row],[Pts]],0)</f>
      </c>
    </row>
    <row r="732">
      <c r="A732" s="11">
        <v>46146</v>
      </c>
      <c r="B732" t="s">
        <v>477</v>
      </c>
      <c r="C732" t="s">
        <v>41</v>
      </c>
      <c r="F732" s="17">
        <f>IF(Log[[#This Row],[ID]]="","",IF(ISNA(MATCH(Log[[#This Row],[ID]],Items[ID],0)),"unknown ID",IF(ISNA(MATCH(Log[[#This Row],[Verb]],VerbList,0)),"unknown verb",IF(Log[[#This Row],[Date]]="","no date",""))))</f>
      </c>
      <c r="G732" s="17">
        <f>IF(Log[[#This Row],[ID]]="","",IFERROR(VLOOKUP(Log[[#This Row],[Verb]],Verbs,3,FALSE)&amp;"",""))</f>
      </c>
      <c r="H732" s="17">
        <f>IF(Log[[#This Row],[Date]]="","",INT((Log[[#This Row],[Date]]-Sprint1)/SprintDays)+1)</f>
      </c>
      <c r="I732" s="17">
        <f>IF(OR(Log[[#This Row],[Verb]]="commit",Log[[#This Row],[Verb]]="carry",Log[[#This Row],[Verb]]="redo"),IF(Log[[#This Row],[Arg]]="",Log[[#This Row],[Sprint]],N(Log[[#This Row],[Arg]])),"")</f>
      </c>
      <c r="J732" s="17">
        <f>IF(Log[[#This Row],[Verb]]="block",1,IF(OR(Log[[#This Row],[Verb]]="unblock",Log[[#This Row],[Verb]]="done",Log[[#This Row],[Verb]]="drop",Log[[#This Row],[Verb]]="punt",Log[[#This Row],[Verb]]="pass"),0,""))</f>
      </c>
      <c r="K732" s="17">
        <f>IF(Log[[#This Row],[ID]]="",0,IFERROR(INDEX(Items[Pts],MATCH(Log[[#This Row],[ID]],Items[ID],0))*1,0))</f>
      </c>
      <c r="L732" s="17">
        <f>IF(Log[[#This Row],[ID]]="","",IFERROR(INDEX(Items[Cur team],MATCH(Log[[#This Row],[ID]],Items[ID],0))&amp;"",""))</f>
      </c>
      <c r="M732" s="17">
        <f>IF(OR(Log[[#This Row],[Verb]]="done",Log[[#This Row],[Verb]]="punt",Log[[#This Row],[Verb]]="drop",Log[[#This Row],[Verb]]="pass"),Log[[#This Row],[Pts]],0)</f>
      </c>
    </row>
    <row r="733">
      <c r="A733" s="11">
        <v>46146</v>
      </c>
      <c r="B733" t="s">
        <v>420</v>
      </c>
      <c r="C733" t="s">
        <v>38</v>
      </c>
      <c r="D733">
        <v>43</v>
      </c>
      <c r="F733" s="17">
        <f>IF(Log[[#This Row],[ID]]="","",IF(ISNA(MATCH(Log[[#This Row],[ID]],Items[ID],0)),"unknown ID",IF(ISNA(MATCH(Log[[#This Row],[Verb]],VerbList,0)),"unknown verb",IF(Log[[#This Row],[Date]]="","no date",""))))</f>
      </c>
      <c r="G733" s="17">
        <f>IF(Log[[#This Row],[ID]]="","",IFERROR(VLOOKUP(Log[[#This Row],[Verb]],Verbs,3,FALSE)&amp;"",""))</f>
      </c>
      <c r="H733" s="17">
        <f>IF(Log[[#This Row],[Date]]="","",INT((Log[[#This Row],[Date]]-Sprint1)/SprintDays)+1)</f>
      </c>
      <c r="I733" s="17">
        <f>IF(OR(Log[[#This Row],[Verb]]="commit",Log[[#This Row],[Verb]]="carry",Log[[#This Row],[Verb]]="redo"),IF(Log[[#This Row],[Arg]]="",Log[[#This Row],[Sprint]],N(Log[[#This Row],[Arg]])),"")</f>
      </c>
      <c r="J733" s="17">
        <f>IF(Log[[#This Row],[Verb]]="block",1,IF(OR(Log[[#This Row],[Verb]]="unblock",Log[[#This Row],[Verb]]="done",Log[[#This Row],[Verb]]="drop",Log[[#This Row],[Verb]]="punt",Log[[#This Row],[Verb]]="pass"),0,""))</f>
      </c>
      <c r="K733" s="17">
        <f>IF(Log[[#This Row],[ID]]="",0,IFERROR(INDEX(Items[Pts],MATCH(Log[[#This Row],[ID]],Items[ID],0))*1,0))</f>
      </c>
      <c r="L733" s="17">
        <f>IF(Log[[#This Row],[ID]]="","",IFERROR(INDEX(Items[Cur team],MATCH(Log[[#This Row],[ID]],Items[ID],0))&amp;"",""))</f>
      </c>
      <c r="M733" s="17">
        <f>IF(OR(Log[[#This Row],[Verb]]="done",Log[[#This Row],[Verb]]="punt",Log[[#This Row],[Verb]]="drop",Log[[#This Row],[Verb]]="pass"),Log[[#This Row],[Pts]],0)</f>
      </c>
    </row>
    <row r="734">
      <c r="A734" s="11">
        <v>46146</v>
      </c>
      <c r="B734" t="s">
        <v>478</v>
      </c>
      <c r="C734" t="s">
        <v>38</v>
      </c>
      <c r="D734">
        <v>43</v>
      </c>
      <c r="F734" s="17">
        <f>IF(Log[[#This Row],[ID]]="","",IF(ISNA(MATCH(Log[[#This Row],[ID]],Items[ID],0)),"unknown ID",IF(ISNA(MATCH(Log[[#This Row],[Verb]],VerbList,0)),"unknown verb",IF(Log[[#This Row],[Date]]="","no date",""))))</f>
      </c>
      <c r="G734" s="17">
        <f>IF(Log[[#This Row],[ID]]="","",IFERROR(VLOOKUP(Log[[#This Row],[Verb]],Verbs,3,FALSE)&amp;"",""))</f>
      </c>
      <c r="H734" s="17">
        <f>IF(Log[[#This Row],[Date]]="","",INT((Log[[#This Row],[Date]]-Sprint1)/SprintDays)+1)</f>
      </c>
      <c r="I734" s="17">
        <f>IF(OR(Log[[#This Row],[Verb]]="commit",Log[[#This Row],[Verb]]="carry",Log[[#This Row],[Verb]]="redo"),IF(Log[[#This Row],[Arg]]="",Log[[#This Row],[Sprint]],N(Log[[#This Row],[Arg]])),"")</f>
      </c>
      <c r="J734" s="17">
        <f>IF(Log[[#This Row],[Verb]]="block",1,IF(OR(Log[[#This Row],[Verb]]="unblock",Log[[#This Row],[Verb]]="done",Log[[#This Row],[Verb]]="drop",Log[[#This Row],[Verb]]="punt",Log[[#This Row],[Verb]]="pass"),0,""))</f>
      </c>
      <c r="K734" s="17">
        <f>IF(Log[[#This Row],[ID]]="",0,IFERROR(INDEX(Items[Pts],MATCH(Log[[#This Row],[ID]],Items[ID],0))*1,0))</f>
      </c>
      <c r="L734" s="17">
        <f>IF(Log[[#This Row],[ID]]="","",IFERROR(INDEX(Items[Cur team],MATCH(Log[[#This Row],[ID]],Items[ID],0))&amp;"",""))</f>
      </c>
      <c r="M734" s="17">
        <f>IF(OR(Log[[#This Row],[Verb]]="done",Log[[#This Row],[Verb]]="punt",Log[[#This Row],[Verb]]="drop",Log[[#This Row],[Verb]]="pass"),Log[[#This Row],[Pts]],0)</f>
      </c>
    </row>
    <row r="735">
      <c r="A735" s="11">
        <v>46146</v>
      </c>
      <c r="B735" t="s">
        <v>479</v>
      </c>
      <c r="C735" t="s">
        <v>38</v>
      </c>
      <c r="D735">
        <v>43</v>
      </c>
      <c r="F735" s="17">
        <f>IF(Log[[#This Row],[ID]]="","",IF(ISNA(MATCH(Log[[#This Row],[ID]],Items[ID],0)),"unknown ID",IF(ISNA(MATCH(Log[[#This Row],[Verb]],VerbList,0)),"unknown verb",IF(Log[[#This Row],[Date]]="","no date",""))))</f>
      </c>
      <c r="G735" s="17">
        <f>IF(Log[[#This Row],[ID]]="","",IFERROR(VLOOKUP(Log[[#This Row],[Verb]],Verbs,3,FALSE)&amp;"",""))</f>
      </c>
      <c r="H735" s="17">
        <f>IF(Log[[#This Row],[Date]]="","",INT((Log[[#This Row],[Date]]-Sprint1)/SprintDays)+1)</f>
      </c>
      <c r="I735" s="17">
        <f>IF(OR(Log[[#This Row],[Verb]]="commit",Log[[#This Row],[Verb]]="carry",Log[[#This Row],[Verb]]="redo"),IF(Log[[#This Row],[Arg]]="",Log[[#This Row],[Sprint]],N(Log[[#This Row],[Arg]])),"")</f>
      </c>
      <c r="J735" s="17">
        <f>IF(Log[[#This Row],[Verb]]="block",1,IF(OR(Log[[#This Row],[Verb]]="unblock",Log[[#This Row],[Verb]]="done",Log[[#This Row],[Verb]]="drop",Log[[#This Row],[Verb]]="punt",Log[[#This Row],[Verb]]="pass"),0,""))</f>
      </c>
      <c r="K735" s="17">
        <f>IF(Log[[#This Row],[ID]]="",0,IFERROR(INDEX(Items[Pts],MATCH(Log[[#This Row],[ID]],Items[ID],0))*1,0))</f>
      </c>
      <c r="L735" s="17">
        <f>IF(Log[[#This Row],[ID]]="","",IFERROR(INDEX(Items[Cur team],MATCH(Log[[#This Row],[ID]],Items[ID],0))&amp;"",""))</f>
      </c>
      <c r="M735" s="17">
        <f>IF(OR(Log[[#This Row],[Verb]]="done",Log[[#This Row],[Verb]]="punt",Log[[#This Row],[Verb]]="drop",Log[[#This Row],[Verb]]="pass"),Log[[#This Row],[Pts]],0)</f>
      </c>
    </row>
    <row r="736">
      <c r="A736" s="11">
        <v>46146</v>
      </c>
      <c r="B736" t="s">
        <v>480</v>
      </c>
      <c r="C736" t="s">
        <v>38</v>
      </c>
      <c r="D736">
        <v>43</v>
      </c>
      <c r="F736" s="17">
        <f>IF(Log[[#This Row],[ID]]="","",IF(ISNA(MATCH(Log[[#This Row],[ID]],Items[ID],0)),"unknown ID",IF(ISNA(MATCH(Log[[#This Row],[Verb]],VerbList,0)),"unknown verb",IF(Log[[#This Row],[Date]]="","no date",""))))</f>
      </c>
      <c r="G736" s="17">
        <f>IF(Log[[#This Row],[ID]]="","",IFERROR(VLOOKUP(Log[[#This Row],[Verb]],Verbs,3,FALSE)&amp;"",""))</f>
      </c>
      <c r="H736" s="17">
        <f>IF(Log[[#This Row],[Date]]="","",INT((Log[[#This Row],[Date]]-Sprint1)/SprintDays)+1)</f>
      </c>
      <c r="I736" s="17">
        <f>IF(OR(Log[[#This Row],[Verb]]="commit",Log[[#This Row],[Verb]]="carry",Log[[#This Row],[Verb]]="redo"),IF(Log[[#This Row],[Arg]]="",Log[[#This Row],[Sprint]],N(Log[[#This Row],[Arg]])),"")</f>
      </c>
      <c r="J736" s="17">
        <f>IF(Log[[#This Row],[Verb]]="block",1,IF(OR(Log[[#This Row],[Verb]]="unblock",Log[[#This Row],[Verb]]="done",Log[[#This Row],[Verb]]="drop",Log[[#This Row],[Verb]]="punt",Log[[#This Row],[Verb]]="pass"),0,""))</f>
      </c>
      <c r="K736" s="17">
        <f>IF(Log[[#This Row],[ID]]="",0,IFERROR(INDEX(Items[Pts],MATCH(Log[[#This Row],[ID]],Items[ID],0))*1,0))</f>
      </c>
      <c r="L736" s="17">
        <f>IF(Log[[#This Row],[ID]]="","",IFERROR(INDEX(Items[Cur team],MATCH(Log[[#This Row],[ID]],Items[ID],0))&amp;"",""))</f>
      </c>
      <c r="M736" s="17">
        <f>IF(OR(Log[[#This Row],[Verb]]="done",Log[[#This Row],[Verb]]="punt",Log[[#This Row],[Verb]]="drop",Log[[#This Row],[Verb]]="pass"),Log[[#This Row],[Pts]],0)</f>
      </c>
    </row>
    <row r="737">
      <c r="A737" s="11">
        <v>46146</v>
      </c>
      <c r="B737" t="s">
        <v>481</v>
      </c>
      <c r="C737" t="s">
        <v>41</v>
      </c>
      <c r="F737" s="17">
        <f>IF(Log[[#This Row],[ID]]="","",IF(ISNA(MATCH(Log[[#This Row],[ID]],Items[ID],0)),"unknown ID",IF(ISNA(MATCH(Log[[#This Row],[Verb]],VerbList,0)),"unknown verb",IF(Log[[#This Row],[Date]]="","no date",""))))</f>
      </c>
      <c r="G737" s="17">
        <f>IF(Log[[#This Row],[ID]]="","",IFERROR(VLOOKUP(Log[[#This Row],[Verb]],Verbs,3,FALSE)&amp;"",""))</f>
      </c>
      <c r="H737" s="17">
        <f>IF(Log[[#This Row],[Date]]="","",INT((Log[[#This Row],[Date]]-Sprint1)/SprintDays)+1)</f>
      </c>
      <c r="I737" s="17">
        <f>IF(OR(Log[[#This Row],[Verb]]="commit",Log[[#This Row],[Verb]]="carry",Log[[#This Row],[Verb]]="redo"),IF(Log[[#This Row],[Arg]]="",Log[[#This Row],[Sprint]],N(Log[[#This Row],[Arg]])),"")</f>
      </c>
      <c r="J737" s="17">
        <f>IF(Log[[#This Row],[Verb]]="block",1,IF(OR(Log[[#This Row],[Verb]]="unblock",Log[[#This Row],[Verb]]="done",Log[[#This Row],[Verb]]="drop",Log[[#This Row],[Verb]]="punt",Log[[#This Row],[Verb]]="pass"),0,""))</f>
      </c>
      <c r="K737" s="17">
        <f>IF(Log[[#This Row],[ID]]="",0,IFERROR(INDEX(Items[Pts],MATCH(Log[[#This Row],[ID]],Items[ID],0))*1,0))</f>
      </c>
      <c r="L737" s="17">
        <f>IF(Log[[#This Row],[ID]]="","",IFERROR(INDEX(Items[Cur team],MATCH(Log[[#This Row],[ID]],Items[ID],0))&amp;"",""))</f>
      </c>
      <c r="M737" s="17">
        <f>IF(OR(Log[[#This Row],[Verb]]="done",Log[[#This Row],[Verb]]="punt",Log[[#This Row],[Verb]]="drop",Log[[#This Row],[Verb]]="pass"),Log[[#This Row],[Pts]],0)</f>
      </c>
    </row>
    <row r="738">
      <c r="A738" s="11">
        <v>46146</v>
      </c>
      <c r="B738" t="s">
        <v>482</v>
      </c>
      <c r="C738" t="s">
        <v>41</v>
      </c>
      <c r="F738" s="17">
        <f>IF(Log[[#This Row],[ID]]="","",IF(ISNA(MATCH(Log[[#This Row],[ID]],Items[ID],0)),"unknown ID",IF(ISNA(MATCH(Log[[#This Row],[Verb]],VerbList,0)),"unknown verb",IF(Log[[#This Row],[Date]]="","no date",""))))</f>
      </c>
      <c r="G738" s="17">
        <f>IF(Log[[#This Row],[ID]]="","",IFERROR(VLOOKUP(Log[[#This Row],[Verb]],Verbs,3,FALSE)&amp;"",""))</f>
      </c>
      <c r="H738" s="17">
        <f>IF(Log[[#This Row],[Date]]="","",INT((Log[[#This Row],[Date]]-Sprint1)/SprintDays)+1)</f>
      </c>
      <c r="I738" s="17">
        <f>IF(OR(Log[[#This Row],[Verb]]="commit",Log[[#This Row],[Verb]]="carry",Log[[#This Row],[Verb]]="redo"),IF(Log[[#This Row],[Arg]]="",Log[[#This Row],[Sprint]],N(Log[[#This Row],[Arg]])),"")</f>
      </c>
      <c r="J738" s="17">
        <f>IF(Log[[#This Row],[Verb]]="block",1,IF(OR(Log[[#This Row],[Verb]]="unblock",Log[[#This Row],[Verb]]="done",Log[[#This Row],[Verb]]="drop",Log[[#This Row],[Verb]]="punt",Log[[#This Row],[Verb]]="pass"),0,""))</f>
      </c>
      <c r="K738" s="17">
        <f>IF(Log[[#This Row],[ID]]="",0,IFERROR(INDEX(Items[Pts],MATCH(Log[[#This Row],[ID]],Items[ID],0))*1,0))</f>
      </c>
      <c r="L738" s="17">
        <f>IF(Log[[#This Row],[ID]]="","",IFERROR(INDEX(Items[Cur team],MATCH(Log[[#This Row],[ID]],Items[ID],0))&amp;"",""))</f>
      </c>
      <c r="M738" s="17">
        <f>IF(OR(Log[[#This Row],[Verb]]="done",Log[[#This Row],[Verb]]="punt",Log[[#This Row],[Verb]]="drop",Log[[#This Row],[Verb]]="pass"),Log[[#This Row],[Pts]],0)</f>
      </c>
    </row>
    <row r="739">
      <c r="A739" s="11">
        <v>46146</v>
      </c>
      <c r="B739" t="s">
        <v>483</v>
      </c>
      <c r="C739" t="s">
        <v>41</v>
      </c>
      <c r="F739" s="17">
        <f>IF(Log[[#This Row],[ID]]="","",IF(ISNA(MATCH(Log[[#This Row],[ID]],Items[ID],0)),"unknown ID",IF(ISNA(MATCH(Log[[#This Row],[Verb]],VerbList,0)),"unknown verb",IF(Log[[#This Row],[Date]]="","no date",""))))</f>
      </c>
      <c r="G739" s="17">
        <f>IF(Log[[#This Row],[ID]]="","",IFERROR(VLOOKUP(Log[[#This Row],[Verb]],Verbs,3,FALSE)&amp;"",""))</f>
      </c>
      <c r="H739" s="17">
        <f>IF(Log[[#This Row],[Date]]="","",INT((Log[[#This Row],[Date]]-Sprint1)/SprintDays)+1)</f>
      </c>
      <c r="I739" s="17">
        <f>IF(OR(Log[[#This Row],[Verb]]="commit",Log[[#This Row],[Verb]]="carry",Log[[#This Row],[Verb]]="redo"),IF(Log[[#This Row],[Arg]]="",Log[[#This Row],[Sprint]],N(Log[[#This Row],[Arg]])),"")</f>
      </c>
      <c r="J739" s="17">
        <f>IF(Log[[#This Row],[Verb]]="block",1,IF(OR(Log[[#This Row],[Verb]]="unblock",Log[[#This Row],[Verb]]="done",Log[[#This Row],[Verb]]="drop",Log[[#This Row],[Verb]]="punt",Log[[#This Row],[Verb]]="pass"),0,""))</f>
      </c>
      <c r="K739" s="17">
        <f>IF(Log[[#This Row],[ID]]="",0,IFERROR(INDEX(Items[Pts],MATCH(Log[[#This Row],[ID]],Items[ID],0))*1,0))</f>
      </c>
      <c r="L739" s="17">
        <f>IF(Log[[#This Row],[ID]]="","",IFERROR(INDEX(Items[Cur team],MATCH(Log[[#This Row],[ID]],Items[ID],0))&amp;"",""))</f>
      </c>
      <c r="M739" s="17">
        <f>IF(OR(Log[[#This Row],[Verb]]="done",Log[[#This Row],[Verb]]="punt",Log[[#This Row],[Verb]]="drop",Log[[#This Row],[Verb]]="pass"),Log[[#This Row],[Pts]],0)</f>
      </c>
    </row>
    <row r="740">
      <c r="A740" s="11">
        <v>46146</v>
      </c>
      <c r="B740" t="s">
        <v>484</v>
      </c>
      <c r="C740" t="s">
        <v>38</v>
      </c>
      <c r="D740">
        <v>43</v>
      </c>
      <c r="F740" s="17">
        <f>IF(Log[[#This Row],[ID]]="","",IF(ISNA(MATCH(Log[[#This Row],[ID]],Items[ID],0)),"unknown ID",IF(ISNA(MATCH(Log[[#This Row],[Verb]],VerbList,0)),"unknown verb",IF(Log[[#This Row],[Date]]="","no date",""))))</f>
      </c>
      <c r="G740" s="17">
        <f>IF(Log[[#This Row],[ID]]="","",IFERROR(VLOOKUP(Log[[#This Row],[Verb]],Verbs,3,FALSE)&amp;"",""))</f>
      </c>
      <c r="H740" s="17">
        <f>IF(Log[[#This Row],[Date]]="","",INT((Log[[#This Row],[Date]]-Sprint1)/SprintDays)+1)</f>
      </c>
      <c r="I740" s="17">
        <f>IF(OR(Log[[#This Row],[Verb]]="commit",Log[[#This Row],[Verb]]="carry",Log[[#This Row],[Verb]]="redo"),IF(Log[[#This Row],[Arg]]="",Log[[#This Row],[Sprint]],N(Log[[#This Row],[Arg]])),"")</f>
      </c>
      <c r="J740" s="17">
        <f>IF(Log[[#This Row],[Verb]]="block",1,IF(OR(Log[[#This Row],[Verb]]="unblock",Log[[#This Row],[Verb]]="done",Log[[#This Row],[Verb]]="drop",Log[[#This Row],[Verb]]="punt",Log[[#This Row],[Verb]]="pass"),0,""))</f>
      </c>
      <c r="K740" s="17">
        <f>IF(Log[[#This Row],[ID]]="",0,IFERROR(INDEX(Items[Pts],MATCH(Log[[#This Row],[ID]],Items[ID],0))*1,0))</f>
      </c>
      <c r="L740" s="17">
        <f>IF(Log[[#This Row],[ID]]="","",IFERROR(INDEX(Items[Cur team],MATCH(Log[[#This Row],[ID]],Items[ID],0))&amp;"",""))</f>
      </c>
      <c r="M740" s="17">
        <f>IF(OR(Log[[#This Row],[Verb]]="done",Log[[#This Row],[Verb]]="punt",Log[[#This Row],[Verb]]="drop",Log[[#This Row],[Verb]]="pass"),Log[[#This Row],[Pts]],0)</f>
      </c>
    </row>
    <row r="741">
      <c r="A741" s="11">
        <v>46146</v>
      </c>
      <c r="B741" t="s">
        <v>485</v>
      </c>
      <c r="C741" t="s">
        <v>41</v>
      </c>
      <c r="F741" s="17">
        <f>IF(Log[[#This Row],[ID]]="","",IF(ISNA(MATCH(Log[[#This Row],[ID]],Items[ID],0)),"unknown ID",IF(ISNA(MATCH(Log[[#This Row],[Verb]],VerbList,0)),"unknown verb",IF(Log[[#This Row],[Date]]="","no date",""))))</f>
      </c>
      <c r="G741" s="17">
        <f>IF(Log[[#This Row],[ID]]="","",IFERROR(VLOOKUP(Log[[#This Row],[Verb]],Verbs,3,FALSE)&amp;"",""))</f>
      </c>
      <c r="H741" s="17">
        <f>IF(Log[[#This Row],[Date]]="","",INT((Log[[#This Row],[Date]]-Sprint1)/SprintDays)+1)</f>
      </c>
      <c r="I741" s="17">
        <f>IF(OR(Log[[#This Row],[Verb]]="commit",Log[[#This Row],[Verb]]="carry",Log[[#This Row],[Verb]]="redo"),IF(Log[[#This Row],[Arg]]="",Log[[#This Row],[Sprint]],N(Log[[#This Row],[Arg]])),"")</f>
      </c>
      <c r="J741" s="17">
        <f>IF(Log[[#This Row],[Verb]]="block",1,IF(OR(Log[[#This Row],[Verb]]="unblock",Log[[#This Row],[Verb]]="done",Log[[#This Row],[Verb]]="drop",Log[[#This Row],[Verb]]="punt",Log[[#This Row],[Verb]]="pass"),0,""))</f>
      </c>
      <c r="K741" s="17">
        <f>IF(Log[[#This Row],[ID]]="",0,IFERROR(INDEX(Items[Pts],MATCH(Log[[#This Row],[ID]],Items[ID],0))*1,0))</f>
      </c>
      <c r="L741" s="17">
        <f>IF(Log[[#This Row],[ID]]="","",IFERROR(INDEX(Items[Cur team],MATCH(Log[[#This Row],[ID]],Items[ID],0))&amp;"",""))</f>
      </c>
      <c r="M741" s="17">
        <f>IF(OR(Log[[#This Row],[Verb]]="done",Log[[#This Row],[Verb]]="punt",Log[[#This Row],[Verb]]="drop",Log[[#This Row],[Verb]]="pass"),Log[[#This Row],[Pts]],0)</f>
      </c>
    </row>
    <row r="742">
      <c r="A742" s="11">
        <v>46146</v>
      </c>
      <c r="B742" t="s">
        <v>486</v>
      </c>
      <c r="C742" t="s">
        <v>41</v>
      </c>
      <c r="F742" s="17">
        <f>IF(Log[[#This Row],[ID]]="","",IF(ISNA(MATCH(Log[[#This Row],[ID]],Items[ID],0)),"unknown ID",IF(ISNA(MATCH(Log[[#This Row],[Verb]],VerbList,0)),"unknown verb",IF(Log[[#This Row],[Date]]="","no date",""))))</f>
      </c>
      <c r="G742" s="17">
        <f>IF(Log[[#This Row],[ID]]="","",IFERROR(VLOOKUP(Log[[#This Row],[Verb]],Verbs,3,FALSE)&amp;"",""))</f>
      </c>
      <c r="H742" s="17">
        <f>IF(Log[[#This Row],[Date]]="","",INT((Log[[#This Row],[Date]]-Sprint1)/SprintDays)+1)</f>
      </c>
      <c r="I742" s="17">
        <f>IF(OR(Log[[#This Row],[Verb]]="commit",Log[[#This Row],[Verb]]="carry",Log[[#This Row],[Verb]]="redo"),IF(Log[[#This Row],[Arg]]="",Log[[#This Row],[Sprint]],N(Log[[#This Row],[Arg]])),"")</f>
      </c>
      <c r="J742" s="17">
        <f>IF(Log[[#This Row],[Verb]]="block",1,IF(OR(Log[[#This Row],[Verb]]="unblock",Log[[#This Row],[Verb]]="done",Log[[#This Row],[Verb]]="drop",Log[[#This Row],[Verb]]="punt",Log[[#This Row],[Verb]]="pass"),0,""))</f>
      </c>
      <c r="K742" s="17">
        <f>IF(Log[[#This Row],[ID]]="",0,IFERROR(INDEX(Items[Pts],MATCH(Log[[#This Row],[ID]],Items[ID],0))*1,0))</f>
      </c>
      <c r="L742" s="17">
        <f>IF(Log[[#This Row],[ID]]="","",IFERROR(INDEX(Items[Cur team],MATCH(Log[[#This Row],[ID]],Items[ID],0))&amp;"",""))</f>
      </c>
      <c r="M742" s="17">
        <f>IF(OR(Log[[#This Row],[Verb]]="done",Log[[#This Row],[Verb]]="punt",Log[[#This Row],[Verb]]="drop",Log[[#This Row],[Verb]]="pass"),Log[[#This Row],[Pts]],0)</f>
      </c>
    </row>
    <row r="743">
      <c r="A743" s="11">
        <v>46146</v>
      </c>
      <c r="B743" t="s">
        <v>487</v>
      </c>
      <c r="C743" t="s">
        <v>41</v>
      </c>
      <c r="F743" s="17">
        <f>IF(Log[[#This Row],[ID]]="","",IF(ISNA(MATCH(Log[[#This Row],[ID]],Items[ID],0)),"unknown ID",IF(ISNA(MATCH(Log[[#This Row],[Verb]],VerbList,0)),"unknown verb",IF(Log[[#This Row],[Date]]="","no date",""))))</f>
      </c>
      <c r="G743" s="17">
        <f>IF(Log[[#This Row],[ID]]="","",IFERROR(VLOOKUP(Log[[#This Row],[Verb]],Verbs,3,FALSE)&amp;"",""))</f>
      </c>
      <c r="H743" s="17">
        <f>IF(Log[[#This Row],[Date]]="","",INT((Log[[#This Row],[Date]]-Sprint1)/SprintDays)+1)</f>
      </c>
      <c r="I743" s="17">
        <f>IF(OR(Log[[#This Row],[Verb]]="commit",Log[[#This Row],[Verb]]="carry",Log[[#This Row],[Verb]]="redo"),IF(Log[[#This Row],[Arg]]="",Log[[#This Row],[Sprint]],N(Log[[#This Row],[Arg]])),"")</f>
      </c>
      <c r="J743" s="17">
        <f>IF(Log[[#This Row],[Verb]]="block",1,IF(OR(Log[[#This Row],[Verb]]="unblock",Log[[#This Row],[Verb]]="done",Log[[#This Row],[Verb]]="drop",Log[[#This Row],[Verb]]="punt",Log[[#This Row],[Verb]]="pass"),0,""))</f>
      </c>
      <c r="K743" s="17">
        <f>IF(Log[[#This Row],[ID]]="",0,IFERROR(INDEX(Items[Pts],MATCH(Log[[#This Row],[ID]],Items[ID],0))*1,0))</f>
      </c>
      <c r="L743" s="17">
        <f>IF(Log[[#This Row],[ID]]="","",IFERROR(INDEX(Items[Cur team],MATCH(Log[[#This Row],[ID]],Items[ID],0))&amp;"",""))</f>
      </c>
      <c r="M743" s="17">
        <f>IF(OR(Log[[#This Row],[Verb]]="done",Log[[#This Row],[Verb]]="punt",Log[[#This Row],[Verb]]="drop",Log[[#This Row],[Verb]]="pass"),Log[[#This Row],[Pts]],0)</f>
      </c>
    </row>
    <row r="744">
      <c r="A744" s="11">
        <v>46146</v>
      </c>
      <c r="B744" t="s">
        <v>488</v>
      </c>
      <c r="C744" t="s">
        <v>41</v>
      </c>
      <c r="F744" s="17">
        <f>IF(Log[[#This Row],[ID]]="","",IF(ISNA(MATCH(Log[[#This Row],[ID]],Items[ID],0)),"unknown ID",IF(ISNA(MATCH(Log[[#This Row],[Verb]],VerbList,0)),"unknown verb",IF(Log[[#This Row],[Date]]="","no date",""))))</f>
      </c>
      <c r="G744" s="17">
        <f>IF(Log[[#This Row],[ID]]="","",IFERROR(VLOOKUP(Log[[#This Row],[Verb]],Verbs,3,FALSE)&amp;"",""))</f>
      </c>
      <c r="H744" s="17">
        <f>IF(Log[[#This Row],[Date]]="","",INT((Log[[#This Row],[Date]]-Sprint1)/SprintDays)+1)</f>
      </c>
      <c r="I744" s="17">
        <f>IF(OR(Log[[#This Row],[Verb]]="commit",Log[[#This Row],[Verb]]="carry",Log[[#This Row],[Verb]]="redo"),IF(Log[[#This Row],[Arg]]="",Log[[#This Row],[Sprint]],N(Log[[#This Row],[Arg]])),"")</f>
      </c>
      <c r="J744" s="17">
        <f>IF(Log[[#This Row],[Verb]]="block",1,IF(OR(Log[[#This Row],[Verb]]="unblock",Log[[#This Row],[Verb]]="done",Log[[#This Row],[Verb]]="drop",Log[[#This Row],[Verb]]="punt",Log[[#This Row],[Verb]]="pass"),0,""))</f>
      </c>
      <c r="K744" s="17">
        <f>IF(Log[[#This Row],[ID]]="",0,IFERROR(INDEX(Items[Pts],MATCH(Log[[#This Row],[ID]],Items[ID],0))*1,0))</f>
      </c>
      <c r="L744" s="17">
        <f>IF(Log[[#This Row],[ID]]="","",IFERROR(INDEX(Items[Cur team],MATCH(Log[[#This Row],[ID]],Items[ID],0))&amp;"",""))</f>
      </c>
      <c r="M744" s="17">
        <f>IF(OR(Log[[#This Row],[Verb]]="done",Log[[#This Row],[Verb]]="punt",Log[[#This Row],[Verb]]="drop",Log[[#This Row],[Verb]]="pass"),Log[[#This Row],[Pts]],0)</f>
      </c>
    </row>
    <row r="745">
      <c r="A745" s="11">
        <v>46146</v>
      </c>
      <c r="B745" t="s">
        <v>489</v>
      </c>
      <c r="C745" t="s">
        <v>41</v>
      </c>
      <c r="F745" s="17">
        <f>IF(Log[[#This Row],[ID]]="","",IF(ISNA(MATCH(Log[[#This Row],[ID]],Items[ID],0)),"unknown ID",IF(ISNA(MATCH(Log[[#This Row],[Verb]],VerbList,0)),"unknown verb",IF(Log[[#This Row],[Date]]="","no date",""))))</f>
      </c>
      <c r="G745" s="17">
        <f>IF(Log[[#This Row],[ID]]="","",IFERROR(VLOOKUP(Log[[#This Row],[Verb]],Verbs,3,FALSE)&amp;"",""))</f>
      </c>
      <c r="H745" s="17">
        <f>IF(Log[[#This Row],[Date]]="","",INT((Log[[#This Row],[Date]]-Sprint1)/SprintDays)+1)</f>
      </c>
      <c r="I745" s="17">
        <f>IF(OR(Log[[#This Row],[Verb]]="commit",Log[[#This Row],[Verb]]="carry",Log[[#This Row],[Verb]]="redo"),IF(Log[[#This Row],[Arg]]="",Log[[#This Row],[Sprint]],N(Log[[#This Row],[Arg]])),"")</f>
      </c>
      <c r="J745" s="17">
        <f>IF(Log[[#This Row],[Verb]]="block",1,IF(OR(Log[[#This Row],[Verb]]="unblock",Log[[#This Row],[Verb]]="done",Log[[#This Row],[Verb]]="drop",Log[[#This Row],[Verb]]="punt",Log[[#This Row],[Verb]]="pass"),0,""))</f>
      </c>
      <c r="K745" s="17">
        <f>IF(Log[[#This Row],[ID]]="",0,IFERROR(INDEX(Items[Pts],MATCH(Log[[#This Row],[ID]],Items[ID],0))*1,0))</f>
      </c>
      <c r="L745" s="17">
        <f>IF(Log[[#This Row],[ID]]="","",IFERROR(INDEX(Items[Cur team],MATCH(Log[[#This Row],[ID]],Items[ID],0))&amp;"",""))</f>
      </c>
      <c r="M745" s="17">
        <f>IF(OR(Log[[#This Row],[Verb]]="done",Log[[#This Row],[Verb]]="punt",Log[[#This Row],[Verb]]="drop",Log[[#This Row],[Verb]]="pass"),Log[[#This Row],[Pts]],0)</f>
      </c>
    </row>
    <row r="746">
      <c r="A746" s="11">
        <v>46146</v>
      </c>
      <c r="B746" t="s">
        <v>490</v>
      </c>
      <c r="C746" t="s">
        <v>41</v>
      </c>
      <c r="F746" s="17">
        <f>IF(Log[[#This Row],[ID]]="","",IF(ISNA(MATCH(Log[[#This Row],[ID]],Items[ID],0)),"unknown ID",IF(ISNA(MATCH(Log[[#This Row],[Verb]],VerbList,0)),"unknown verb",IF(Log[[#This Row],[Date]]="","no date",""))))</f>
      </c>
      <c r="G746" s="17">
        <f>IF(Log[[#This Row],[ID]]="","",IFERROR(VLOOKUP(Log[[#This Row],[Verb]],Verbs,3,FALSE)&amp;"",""))</f>
      </c>
      <c r="H746" s="17">
        <f>IF(Log[[#This Row],[Date]]="","",INT((Log[[#This Row],[Date]]-Sprint1)/SprintDays)+1)</f>
      </c>
      <c r="I746" s="17">
        <f>IF(OR(Log[[#This Row],[Verb]]="commit",Log[[#This Row],[Verb]]="carry",Log[[#This Row],[Verb]]="redo"),IF(Log[[#This Row],[Arg]]="",Log[[#This Row],[Sprint]],N(Log[[#This Row],[Arg]])),"")</f>
      </c>
      <c r="J746" s="17">
        <f>IF(Log[[#This Row],[Verb]]="block",1,IF(OR(Log[[#This Row],[Verb]]="unblock",Log[[#This Row],[Verb]]="done",Log[[#This Row],[Verb]]="drop",Log[[#This Row],[Verb]]="punt",Log[[#This Row],[Verb]]="pass"),0,""))</f>
      </c>
      <c r="K746" s="17">
        <f>IF(Log[[#This Row],[ID]]="",0,IFERROR(INDEX(Items[Pts],MATCH(Log[[#This Row],[ID]],Items[ID],0))*1,0))</f>
      </c>
      <c r="L746" s="17">
        <f>IF(Log[[#This Row],[ID]]="","",IFERROR(INDEX(Items[Cur team],MATCH(Log[[#This Row],[ID]],Items[ID],0))&amp;"",""))</f>
      </c>
      <c r="M746" s="17">
        <f>IF(OR(Log[[#This Row],[Verb]]="done",Log[[#This Row],[Verb]]="punt",Log[[#This Row],[Verb]]="drop",Log[[#This Row],[Verb]]="pass"),Log[[#This Row],[Pts]],0)</f>
      </c>
    </row>
    <row r="747">
      <c r="A747" s="11">
        <v>46146</v>
      </c>
      <c r="B747" t="s">
        <v>491</v>
      </c>
      <c r="C747" t="s">
        <v>41</v>
      </c>
      <c r="F747" s="17">
        <f>IF(Log[[#This Row],[ID]]="","",IF(ISNA(MATCH(Log[[#This Row],[ID]],Items[ID],0)),"unknown ID",IF(ISNA(MATCH(Log[[#This Row],[Verb]],VerbList,0)),"unknown verb",IF(Log[[#This Row],[Date]]="","no date",""))))</f>
      </c>
      <c r="G747" s="17">
        <f>IF(Log[[#This Row],[ID]]="","",IFERROR(VLOOKUP(Log[[#This Row],[Verb]],Verbs,3,FALSE)&amp;"",""))</f>
      </c>
      <c r="H747" s="17">
        <f>IF(Log[[#This Row],[Date]]="","",INT((Log[[#This Row],[Date]]-Sprint1)/SprintDays)+1)</f>
      </c>
      <c r="I747" s="17">
        <f>IF(OR(Log[[#This Row],[Verb]]="commit",Log[[#This Row],[Verb]]="carry",Log[[#This Row],[Verb]]="redo"),IF(Log[[#This Row],[Arg]]="",Log[[#This Row],[Sprint]],N(Log[[#This Row],[Arg]])),"")</f>
      </c>
      <c r="J747" s="17">
        <f>IF(Log[[#This Row],[Verb]]="block",1,IF(OR(Log[[#This Row],[Verb]]="unblock",Log[[#This Row],[Verb]]="done",Log[[#This Row],[Verb]]="drop",Log[[#This Row],[Verb]]="punt",Log[[#This Row],[Verb]]="pass"),0,""))</f>
      </c>
      <c r="K747" s="17">
        <f>IF(Log[[#This Row],[ID]]="",0,IFERROR(INDEX(Items[Pts],MATCH(Log[[#This Row],[ID]],Items[ID],0))*1,0))</f>
      </c>
      <c r="L747" s="17">
        <f>IF(Log[[#This Row],[ID]]="","",IFERROR(INDEX(Items[Cur team],MATCH(Log[[#This Row],[ID]],Items[ID],0))&amp;"",""))</f>
      </c>
      <c r="M747" s="17">
        <f>IF(OR(Log[[#This Row],[Verb]]="done",Log[[#This Row],[Verb]]="punt",Log[[#This Row],[Verb]]="drop",Log[[#This Row],[Verb]]="pass"),Log[[#This Row],[Pts]],0)</f>
      </c>
    </row>
    <row r="748">
      <c r="A748" s="11">
        <v>46146</v>
      </c>
      <c r="B748" t="s">
        <v>492</v>
      </c>
      <c r="C748" t="s">
        <v>41</v>
      </c>
      <c r="F748" s="17">
        <f>IF(Log[[#This Row],[ID]]="","",IF(ISNA(MATCH(Log[[#This Row],[ID]],Items[ID],0)),"unknown ID",IF(ISNA(MATCH(Log[[#This Row],[Verb]],VerbList,0)),"unknown verb",IF(Log[[#This Row],[Date]]="","no date",""))))</f>
      </c>
      <c r="G748" s="17">
        <f>IF(Log[[#This Row],[ID]]="","",IFERROR(VLOOKUP(Log[[#This Row],[Verb]],Verbs,3,FALSE)&amp;"",""))</f>
      </c>
      <c r="H748" s="17">
        <f>IF(Log[[#This Row],[Date]]="","",INT((Log[[#This Row],[Date]]-Sprint1)/SprintDays)+1)</f>
      </c>
      <c r="I748" s="17">
        <f>IF(OR(Log[[#This Row],[Verb]]="commit",Log[[#This Row],[Verb]]="carry",Log[[#This Row],[Verb]]="redo"),IF(Log[[#This Row],[Arg]]="",Log[[#This Row],[Sprint]],N(Log[[#This Row],[Arg]])),"")</f>
      </c>
      <c r="J748" s="17">
        <f>IF(Log[[#This Row],[Verb]]="block",1,IF(OR(Log[[#This Row],[Verb]]="unblock",Log[[#This Row],[Verb]]="done",Log[[#This Row],[Verb]]="drop",Log[[#This Row],[Verb]]="punt",Log[[#This Row],[Verb]]="pass"),0,""))</f>
      </c>
      <c r="K748" s="17">
        <f>IF(Log[[#This Row],[ID]]="",0,IFERROR(INDEX(Items[Pts],MATCH(Log[[#This Row],[ID]],Items[ID],0))*1,0))</f>
      </c>
      <c r="L748" s="17">
        <f>IF(Log[[#This Row],[ID]]="","",IFERROR(INDEX(Items[Cur team],MATCH(Log[[#This Row],[ID]],Items[ID],0))&amp;"",""))</f>
      </c>
      <c r="M748" s="17">
        <f>IF(OR(Log[[#This Row],[Verb]]="done",Log[[#This Row],[Verb]]="punt",Log[[#This Row],[Verb]]="drop",Log[[#This Row],[Verb]]="pass"),Log[[#This Row],[Pts]],0)</f>
      </c>
    </row>
    <row r="749">
      <c r="A749" s="11">
        <v>46147</v>
      </c>
      <c r="B749" t="s">
        <v>493</v>
      </c>
      <c r="C749" t="s">
        <v>34</v>
      </c>
      <c r="D749">
        <v>43</v>
      </c>
      <c r="F749" s="17">
        <f>IF(Log[[#This Row],[ID]]="","",IF(ISNA(MATCH(Log[[#This Row],[ID]],Items[ID],0)),"unknown ID",IF(ISNA(MATCH(Log[[#This Row],[Verb]],VerbList,0)),"unknown verb",IF(Log[[#This Row],[Date]]="","no date",""))))</f>
      </c>
      <c r="G749" s="17">
        <f>IF(Log[[#This Row],[ID]]="","",IFERROR(VLOOKUP(Log[[#This Row],[Verb]],Verbs,3,FALSE)&amp;"",""))</f>
      </c>
      <c r="H749" s="17">
        <f>IF(Log[[#This Row],[Date]]="","",INT((Log[[#This Row],[Date]]-Sprint1)/SprintDays)+1)</f>
      </c>
      <c r="I749" s="17">
        <f>IF(OR(Log[[#This Row],[Verb]]="commit",Log[[#This Row],[Verb]]="carry",Log[[#This Row],[Verb]]="redo"),IF(Log[[#This Row],[Arg]]="",Log[[#This Row],[Sprint]],N(Log[[#This Row],[Arg]])),"")</f>
      </c>
      <c r="J749" s="17">
        <f>IF(Log[[#This Row],[Verb]]="block",1,IF(OR(Log[[#This Row],[Verb]]="unblock",Log[[#This Row],[Verb]]="done",Log[[#This Row],[Verb]]="drop",Log[[#This Row],[Verb]]="punt",Log[[#This Row],[Verb]]="pass"),0,""))</f>
      </c>
      <c r="K749" s="17">
        <f>IF(Log[[#This Row],[ID]]="",0,IFERROR(INDEX(Items[Pts],MATCH(Log[[#This Row],[ID]],Items[ID],0))*1,0))</f>
      </c>
      <c r="L749" s="17">
        <f>IF(Log[[#This Row],[ID]]="","",IFERROR(INDEX(Items[Cur team],MATCH(Log[[#This Row],[ID]],Items[ID],0))&amp;"",""))</f>
      </c>
      <c r="M749" s="17">
        <f>IF(OR(Log[[#This Row],[Verb]]="done",Log[[#This Row],[Verb]]="punt",Log[[#This Row],[Verb]]="drop",Log[[#This Row],[Verb]]="pass"),Log[[#This Row],[Pts]],0)</f>
      </c>
    </row>
    <row r="750">
      <c r="A750" s="11">
        <v>46147</v>
      </c>
      <c r="B750" t="s">
        <v>494</v>
      </c>
      <c r="C750" t="s">
        <v>34</v>
      </c>
      <c r="D750">
        <v>43</v>
      </c>
      <c r="F750" s="17">
        <f>IF(Log[[#This Row],[ID]]="","",IF(ISNA(MATCH(Log[[#This Row],[ID]],Items[ID],0)),"unknown ID",IF(ISNA(MATCH(Log[[#This Row],[Verb]],VerbList,0)),"unknown verb",IF(Log[[#This Row],[Date]]="","no date",""))))</f>
      </c>
      <c r="G750" s="17">
        <f>IF(Log[[#This Row],[ID]]="","",IFERROR(VLOOKUP(Log[[#This Row],[Verb]],Verbs,3,FALSE)&amp;"",""))</f>
      </c>
      <c r="H750" s="17">
        <f>IF(Log[[#This Row],[Date]]="","",INT((Log[[#This Row],[Date]]-Sprint1)/SprintDays)+1)</f>
      </c>
      <c r="I750" s="17">
        <f>IF(OR(Log[[#This Row],[Verb]]="commit",Log[[#This Row],[Verb]]="carry",Log[[#This Row],[Verb]]="redo"),IF(Log[[#This Row],[Arg]]="",Log[[#This Row],[Sprint]],N(Log[[#This Row],[Arg]])),"")</f>
      </c>
      <c r="J750" s="17">
        <f>IF(Log[[#This Row],[Verb]]="block",1,IF(OR(Log[[#This Row],[Verb]]="unblock",Log[[#This Row],[Verb]]="done",Log[[#This Row],[Verb]]="drop",Log[[#This Row],[Verb]]="punt",Log[[#This Row],[Verb]]="pass"),0,""))</f>
      </c>
      <c r="K750" s="17">
        <f>IF(Log[[#This Row],[ID]]="",0,IFERROR(INDEX(Items[Pts],MATCH(Log[[#This Row],[ID]],Items[ID],0))*1,0))</f>
      </c>
      <c r="L750" s="17">
        <f>IF(Log[[#This Row],[ID]]="","",IFERROR(INDEX(Items[Cur team],MATCH(Log[[#This Row],[ID]],Items[ID],0))&amp;"",""))</f>
      </c>
      <c r="M750" s="17">
        <f>IF(OR(Log[[#This Row],[Verb]]="done",Log[[#This Row],[Verb]]="punt",Log[[#This Row],[Verb]]="drop",Log[[#This Row],[Verb]]="pass"),Log[[#This Row],[Pts]],0)</f>
      </c>
    </row>
    <row r="751">
      <c r="A751" s="11">
        <v>46147</v>
      </c>
      <c r="B751" t="s">
        <v>495</v>
      </c>
      <c r="C751" t="s">
        <v>34</v>
      </c>
      <c r="D751">
        <v>43</v>
      </c>
      <c r="F751" s="17">
        <f>IF(Log[[#This Row],[ID]]="","",IF(ISNA(MATCH(Log[[#This Row],[ID]],Items[ID],0)),"unknown ID",IF(ISNA(MATCH(Log[[#This Row],[Verb]],VerbList,0)),"unknown verb",IF(Log[[#This Row],[Date]]="","no date",""))))</f>
      </c>
      <c r="G751" s="17">
        <f>IF(Log[[#This Row],[ID]]="","",IFERROR(VLOOKUP(Log[[#This Row],[Verb]],Verbs,3,FALSE)&amp;"",""))</f>
      </c>
      <c r="H751" s="17">
        <f>IF(Log[[#This Row],[Date]]="","",INT((Log[[#This Row],[Date]]-Sprint1)/SprintDays)+1)</f>
      </c>
      <c r="I751" s="17">
        <f>IF(OR(Log[[#This Row],[Verb]]="commit",Log[[#This Row],[Verb]]="carry",Log[[#This Row],[Verb]]="redo"),IF(Log[[#This Row],[Arg]]="",Log[[#This Row],[Sprint]],N(Log[[#This Row],[Arg]])),"")</f>
      </c>
      <c r="J751" s="17">
        <f>IF(Log[[#This Row],[Verb]]="block",1,IF(OR(Log[[#This Row],[Verb]]="unblock",Log[[#This Row],[Verb]]="done",Log[[#This Row],[Verb]]="drop",Log[[#This Row],[Verb]]="punt",Log[[#This Row],[Verb]]="pass"),0,""))</f>
      </c>
      <c r="K751" s="17">
        <f>IF(Log[[#This Row],[ID]]="",0,IFERROR(INDEX(Items[Pts],MATCH(Log[[#This Row],[ID]],Items[ID],0))*1,0))</f>
      </c>
      <c r="L751" s="17">
        <f>IF(Log[[#This Row],[ID]]="","",IFERROR(INDEX(Items[Cur team],MATCH(Log[[#This Row],[ID]],Items[ID],0))&amp;"",""))</f>
      </c>
      <c r="M751" s="17">
        <f>IF(OR(Log[[#This Row],[Verb]]="done",Log[[#This Row],[Verb]]="punt",Log[[#This Row],[Verb]]="drop",Log[[#This Row],[Verb]]="pass"),Log[[#This Row],[Pts]],0)</f>
      </c>
    </row>
    <row r="752">
      <c r="A752" s="11">
        <v>46147</v>
      </c>
      <c r="B752" t="s">
        <v>496</v>
      </c>
      <c r="C752" t="s">
        <v>34</v>
      </c>
      <c r="D752">
        <v>43</v>
      </c>
      <c r="F752" s="17">
        <f>IF(Log[[#This Row],[ID]]="","",IF(ISNA(MATCH(Log[[#This Row],[ID]],Items[ID],0)),"unknown ID",IF(ISNA(MATCH(Log[[#This Row],[Verb]],VerbList,0)),"unknown verb",IF(Log[[#This Row],[Date]]="","no date",""))))</f>
      </c>
      <c r="G752" s="17">
        <f>IF(Log[[#This Row],[ID]]="","",IFERROR(VLOOKUP(Log[[#This Row],[Verb]],Verbs,3,FALSE)&amp;"",""))</f>
      </c>
      <c r="H752" s="17">
        <f>IF(Log[[#This Row],[Date]]="","",INT((Log[[#This Row],[Date]]-Sprint1)/SprintDays)+1)</f>
      </c>
      <c r="I752" s="17">
        <f>IF(OR(Log[[#This Row],[Verb]]="commit",Log[[#This Row],[Verb]]="carry",Log[[#This Row],[Verb]]="redo"),IF(Log[[#This Row],[Arg]]="",Log[[#This Row],[Sprint]],N(Log[[#This Row],[Arg]])),"")</f>
      </c>
      <c r="J752" s="17">
        <f>IF(Log[[#This Row],[Verb]]="block",1,IF(OR(Log[[#This Row],[Verb]]="unblock",Log[[#This Row],[Verb]]="done",Log[[#This Row],[Verb]]="drop",Log[[#This Row],[Verb]]="punt",Log[[#This Row],[Verb]]="pass"),0,""))</f>
      </c>
      <c r="K752" s="17">
        <f>IF(Log[[#This Row],[ID]]="",0,IFERROR(INDEX(Items[Pts],MATCH(Log[[#This Row],[ID]],Items[ID],0))*1,0))</f>
      </c>
      <c r="L752" s="17">
        <f>IF(Log[[#This Row],[ID]]="","",IFERROR(INDEX(Items[Cur team],MATCH(Log[[#This Row],[ID]],Items[ID],0))&amp;"",""))</f>
      </c>
      <c r="M752" s="17">
        <f>IF(OR(Log[[#This Row],[Verb]]="done",Log[[#This Row],[Verb]]="punt",Log[[#This Row],[Verb]]="drop",Log[[#This Row],[Verb]]="pass"),Log[[#This Row],[Pts]],0)</f>
      </c>
    </row>
    <row r="753">
      <c r="A753" s="11">
        <v>46147</v>
      </c>
      <c r="B753" t="s">
        <v>497</v>
      </c>
      <c r="C753" t="s">
        <v>34</v>
      </c>
      <c r="D753">
        <v>43</v>
      </c>
      <c r="F753" s="17">
        <f>IF(Log[[#This Row],[ID]]="","",IF(ISNA(MATCH(Log[[#This Row],[ID]],Items[ID],0)),"unknown ID",IF(ISNA(MATCH(Log[[#This Row],[Verb]],VerbList,0)),"unknown verb",IF(Log[[#This Row],[Date]]="","no date",""))))</f>
      </c>
      <c r="G753" s="17">
        <f>IF(Log[[#This Row],[ID]]="","",IFERROR(VLOOKUP(Log[[#This Row],[Verb]],Verbs,3,FALSE)&amp;"",""))</f>
      </c>
      <c r="H753" s="17">
        <f>IF(Log[[#This Row],[Date]]="","",INT((Log[[#This Row],[Date]]-Sprint1)/SprintDays)+1)</f>
      </c>
      <c r="I753" s="17">
        <f>IF(OR(Log[[#This Row],[Verb]]="commit",Log[[#This Row],[Verb]]="carry",Log[[#This Row],[Verb]]="redo"),IF(Log[[#This Row],[Arg]]="",Log[[#This Row],[Sprint]],N(Log[[#This Row],[Arg]])),"")</f>
      </c>
      <c r="J753" s="17">
        <f>IF(Log[[#This Row],[Verb]]="block",1,IF(OR(Log[[#This Row],[Verb]]="unblock",Log[[#This Row],[Verb]]="done",Log[[#This Row],[Verb]]="drop",Log[[#This Row],[Verb]]="punt",Log[[#This Row],[Verb]]="pass"),0,""))</f>
      </c>
      <c r="K753" s="17">
        <f>IF(Log[[#This Row],[ID]]="",0,IFERROR(INDEX(Items[Pts],MATCH(Log[[#This Row],[ID]],Items[ID],0))*1,0))</f>
      </c>
      <c r="L753" s="17">
        <f>IF(Log[[#This Row],[ID]]="","",IFERROR(INDEX(Items[Cur team],MATCH(Log[[#This Row],[ID]],Items[ID],0))&amp;"",""))</f>
      </c>
      <c r="M753" s="17">
        <f>IF(OR(Log[[#This Row],[Verb]]="done",Log[[#This Row],[Verb]]="punt",Log[[#This Row],[Verb]]="drop",Log[[#This Row],[Verb]]="pass"),Log[[#This Row],[Pts]],0)</f>
      </c>
    </row>
    <row r="754">
      <c r="A754" s="11">
        <v>46147</v>
      </c>
      <c r="B754" t="s">
        <v>498</v>
      </c>
      <c r="C754" t="s">
        <v>34</v>
      </c>
      <c r="D754">
        <v>43</v>
      </c>
      <c r="F754" s="17">
        <f>IF(Log[[#This Row],[ID]]="","",IF(ISNA(MATCH(Log[[#This Row],[ID]],Items[ID],0)),"unknown ID",IF(ISNA(MATCH(Log[[#This Row],[Verb]],VerbList,0)),"unknown verb",IF(Log[[#This Row],[Date]]="","no date",""))))</f>
      </c>
      <c r="G754" s="17">
        <f>IF(Log[[#This Row],[ID]]="","",IFERROR(VLOOKUP(Log[[#This Row],[Verb]],Verbs,3,FALSE)&amp;"",""))</f>
      </c>
      <c r="H754" s="17">
        <f>IF(Log[[#This Row],[Date]]="","",INT((Log[[#This Row],[Date]]-Sprint1)/SprintDays)+1)</f>
      </c>
      <c r="I754" s="17">
        <f>IF(OR(Log[[#This Row],[Verb]]="commit",Log[[#This Row],[Verb]]="carry",Log[[#This Row],[Verb]]="redo"),IF(Log[[#This Row],[Arg]]="",Log[[#This Row],[Sprint]],N(Log[[#This Row],[Arg]])),"")</f>
      </c>
      <c r="J754" s="17">
        <f>IF(Log[[#This Row],[Verb]]="block",1,IF(OR(Log[[#This Row],[Verb]]="unblock",Log[[#This Row],[Verb]]="done",Log[[#This Row],[Verb]]="drop",Log[[#This Row],[Verb]]="punt",Log[[#This Row],[Verb]]="pass"),0,""))</f>
      </c>
      <c r="K754" s="17">
        <f>IF(Log[[#This Row],[ID]]="",0,IFERROR(INDEX(Items[Pts],MATCH(Log[[#This Row],[ID]],Items[ID],0))*1,0))</f>
      </c>
      <c r="L754" s="17">
        <f>IF(Log[[#This Row],[ID]]="","",IFERROR(INDEX(Items[Cur team],MATCH(Log[[#This Row],[ID]],Items[ID],0))&amp;"",""))</f>
      </c>
      <c r="M754" s="17">
        <f>IF(OR(Log[[#This Row],[Verb]]="done",Log[[#This Row],[Verb]]="punt",Log[[#This Row],[Verb]]="drop",Log[[#This Row],[Verb]]="pass"),Log[[#This Row],[Pts]],0)</f>
      </c>
    </row>
    <row r="755">
      <c r="A755" s="11">
        <v>46147</v>
      </c>
      <c r="B755" t="s">
        <v>499</v>
      </c>
      <c r="C755" t="s">
        <v>34</v>
      </c>
      <c r="D755">
        <v>43</v>
      </c>
      <c r="F755" s="17">
        <f>IF(Log[[#This Row],[ID]]="","",IF(ISNA(MATCH(Log[[#This Row],[ID]],Items[ID],0)),"unknown ID",IF(ISNA(MATCH(Log[[#This Row],[Verb]],VerbList,0)),"unknown verb",IF(Log[[#This Row],[Date]]="","no date",""))))</f>
      </c>
      <c r="G755" s="17">
        <f>IF(Log[[#This Row],[ID]]="","",IFERROR(VLOOKUP(Log[[#This Row],[Verb]],Verbs,3,FALSE)&amp;"",""))</f>
      </c>
      <c r="H755" s="17">
        <f>IF(Log[[#This Row],[Date]]="","",INT((Log[[#This Row],[Date]]-Sprint1)/SprintDays)+1)</f>
      </c>
      <c r="I755" s="17">
        <f>IF(OR(Log[[#This Row],[Verb]]="commit",Log[[#This Row],[Verb]]="carry",Log[[#This Row],[Verb]]="redo"),IF(Log[[#This Row],[Arg]]="",Log[[#This Row],[Sprint]],N(Log[[#This Row],[Arg]])),"")</f>
      </c>
      <c r="J755" s="17">
        <f>IF(Log[[#This Row],[Verb]]="block",1,IF(OR(Log[[#This Row],[Verb]]="unblock",Log[[#This Row],[Verb]]="done",Log[[#This Row],[Verb]]="drop",Log[[#This Row],[Verb]]="punt",Log[[#This Row],[Verb]]="pass"),0,""))</f>
      </c>
      <c r="K755" s="17">
        <f>IF(Log[[#This Row],[ID]]="",0,IFERROR(INDEX(Items[Pts],MATCH(Log[[#This Row],[ID]],Items[ID],0))*1,0))</f>
      </c>
      <c r="L755" s="17">
        <f>IF(Log[[#This Row],[ID]]="","",IFERROR(INDEX(Items[Cur team],MATCH(Log[[#This Row],[ID]],Items[ID],0))&amp;"",""))</f>
      </c>
      <c r="M755" s="17">
        <f>IF(OR(Log[[#This Row],[Verb]]="done",Log[[#This Row],[Verb]]="punt",Log[[#This Row],[Verb]]="drop",Log[[#This Row],[Verb]]="pass"),Log[[#This Row],[Pts]],0)</f>
      </c>
    </row>
    <row r="756">
      <c r="A756" s="11">
        <v>46147</v>
      </c>
      <c r="B756" t="s">
        <v>500</v>
      </c>
      <c r="C756" t="s">
        <v>34</v>
      </c>
      <c r="D756">
        <v>43</v>
      </c>
      <c r="F756" s="17">
        <f>IF(Log[[#This Row],[ID]]="","",IF(ISNA(MATCH(Log[[#This Row],[ID]],Items[ID],0)),"unknown ID",IF(ISNA(MATCH(Log[[#This Row],[Verb]],VerbList,0)),"unknown verb",IF(Log[[#This Row],[Date]]="","no date",""))))</f>
      </c>
      <c r="G756" s="17">
        <f>IF(Log[[#This Row],[ID]]="","",IFERROR(VLOOKUP(Log[[#This Row],[Verb]],Verbs,3,FALSE)&amp;"",""))</f>
      </c>
      <c r="H756" s="17">
        <f>IF(Log[[#This Row],[Date]]="","",INT((Log[[#This Row],[Date]]-Sprint1)/SprintDays)+1)</f>
      </c>
      <c r="I756" s="17">
        <f>IF(OR(Log[[#This Row],[Verb]]="commit",Log[[#This Row],[Verb]]="carry",Log[[#This Row],[Verb]]="redo"),IF(Log[[#This Row],[Arg]]="",Log[[#This Row],[Sprint]],N(Log[[#This Row],[Arg]])),"")</f>
      </c>
      <c r="J756" s="17">
        <f>IF(Log[[#This Row],[Verb]]="block",1,IF(OR(Log[[#This Row],[Verb]]="unblock",Log[[#This Row],[Verb]]="done",Log[[#This Row],[Verb]]="drop",Log[[#This Row],[Verb]]="punt",Log[[#This Row],[Verb]]="pass"),0,""))</f>
      </c>
      <c r="K756" s="17">
        <f>IF(Log[[#This Row],[ID]]="",0,IFERROR(INDEX(Items[Pts],MATCH(Log[[#This Row],[ID]],Items[ID],0))*1,0))</f>
      </c>
      <c r="L756" s="17">
        <f>IF(Log[[#This Row],[ID]]="","",IFERROR(INDEX(Items[Cur team],MATCH(Log[[#This Row],[ID]],Items[ID],0))&amp;"",""))</f>
      </c>
      <c r="M756" s="17">
        <f>IF(OR(Log[[#This Row],[Verb]]="done",Log[[#This Row],[Verb]]="punt",Log[[#This Row],[Verb]]="drop",Log[[#This Row],[Verb]]="pass"),Log[[#This Row],[Pts]],0)</f>
      </c>
    </row>
    <row r="757">
      <c r="A757" s="11">
        <v>46147</v>
      </c>
      <c r="B757" t="s">
        <v>501</v>
      </c>
      <c r="C757" t="s">
        <v>34</v>
      </c>
      <c r="D757">
        <v>43</v>
      </c>
      <c r="F757" s="17">
        <f>IF(Log[[#This Row],[ID]]="","",IF(ISNA(MATCH(Log[[#This Row],[ID]],Items[ID],0)),"unknown ID",IF(ISNA(MATCH(Log[[#This Row],[Verb]],VerbList,0)),"unknown verb",IF(Log[[#This Row],[Date]]="","no date",""))))</f>
      </c>
      <c r="G757" s="17">
        <f>IF(Log[[#This Row],[ID]]="","",IFERROR(VLOOKUP(Log[[#This Row],[Verb]],Verbs,3,FALSE)&amp;"",""))</f>
      </c>
      <c r="H757" s="17">
        <f>IF(Log[[#This Row],[Date]]="","",INT((Log[[#This Row],[Date]]-Sprint1)/SprintDays)+1)</f>
      </c>
      <c r="I757" s="17">
        <f>IF(OR(Log[[#This Row],[Verb]]="commit",Log[[#This Row],[Verb]]="carry",Log[[#This Row],[Verb]]="redo"),IF(Log[[#This Row],[Arg]]="",Log[[#This Row],[Sprint]],N(Log[[#This Row],[Arg]])),"")</f>
      </c>
      <c r="J757" s="17">
        <f>IF(Log[[#This Row],[Verb]]="block",1,IF(OR(Log[[#This Row],[Verb]]="unblock",Log[[#This Row],[Verb]]="done",Log[[#This Row],[Verb]]="drop",Log[[#This Row],[Verb]]="punt",Log[[#This Row],[Verb]]="pass"),0,""))</f>
      </c>
      <c r="K757" s="17">
        <f>IF(Log[[#This Row],[ID]]="",0,IFERROR(INDEX(Items[Pts],MATCH(Log[[#This Row],[ID]],Items[ID],0))*1,0))</f>
      </c>
      <c r="L757" s="17">
        <f>IF(Log[[#This Row],[ID]]="","",IFERROR(INDEX(Items[Cur team],MATCH(Log[[#This Row],[ID]],Items[ID],0))&amp;"",""))</f>
      </c>
      <c r="M757" s="17">
        <f>IF(OR(Log[[#This Row],[Verb]]="done",Log[[#This Row],[Verb]]="punt",Log[[#This Row],[Verb]]="drop",Log[[#This Row],[Verb]]="pass"),Log[[#This Row],[Pts]],0)</f>
      </c>
    </row>
    <row r="758">
      <c r="A758" s="11">
        <v>46147</v>
      </c>
      <c r="B758" t="s">
        <v>502</v>
      </c>
      <c r="C758" t="s">
        <v>34</v>
      </c>
      <c r="D758">
        <v>43</v>
      </c>
      <c r="F758" s="17">
        <f>IF(Log[[#This Row],[ID]]="","",IF(ISNA(MATCH(Log[[#This Row],[ID]],Items[ID],0)),"unknown ID",IF(ISNA(MATCH(Log[[#This Row],[Verb]],VerbList,0)),"unknown verb",IF(Log[[#This Row],[Date]]="","no date",""))))</f>
      </c>
      <c r="G758" s="17">
        <f>IF(Log[[#This Row],[ID]]="","",IFERROR(VLOOKUP(Log[[#This Row],[Verb]],Verbs,3,FALSE)&amp;"",""))</f>
      </c>
      <c r="H758" s="17">
        <f>IF(Log[[#This Row],[Date]]="","",INT((Log[[#This Row],[Date]]-Sprint1)/SprintDays)+1)</f>
      </c>
      <c r="I758" s="17">
        <f>IF(OR(Log[[#This Row],[Verb]]="commit",Log[[#This Row],[Verb]]="carry",Log[[#This Row],[Verb]]="redo"),IF(Log[[#This Row],[Arg]]="",Log[[#This Row],[Sprint]],N(Log[[#This Row],[Arg]])),"")</f>
      </c>
      <c r="J758" s="17">
        <f>IF(Log[[#This Row],[Verb]]="block",1,IF(OR(Log[[#This Row],[Verb]]="unblock",Log[[#This Row],[Verb]]="done",Log[[#This Row],[Verb]]="drop",Log[[#This Row],[Verb]]="punt",Log[[#This Row],[Verb]]="pass"),0,""))</f>
      </c>
      <c r="K758" s="17">
        <f>IF(Log[[#This Row],[ID]]="",0,IFERROR(INDEX(Items[Pts],MATCH(Log[[#This Row],[ID]],Items[ID],0))*1,0))</f>
      </c>
      <c r="L758" s="17">
        <f>IF(Log[[#This Row],[ID]]="","",IFERROR(INDEX(Items[Cur team],MATCH(Log[[#This Row],[ID]],Items[ID],0))&amp;"",""))</f>
      </c>
      <c r="M758" s="17">
        <f>IF(OR(Log[[#This Row],[Verb]]="done",Log[[#This Row],[Verb]]="punt",Log[[#This Row],[Verb]]="drop",Log[[#This Row],[Verb]]="pass"),Log[[#This Row],[Pts]],0)</f>
      </c>
    </row>
    <row r="759">
      <c r="A759" s="11">
        <v>46147</v>
      </c>
      <c r="B759" t="s">
        <v>503</v>
      </c>
      <c r="C759" t="s">
        <v>34</v>
      </c>
      <c r="D759">
        <v>43</v>
      </c>
      <c r="F759" s="17">
        <f>IF(Log[[#This Row],[ID]]="","",IF(ISNA(MATCH(Log[[#This Row],[ID]],Items[ID],0)),"unknown ID",IF(ISNA(MATCH(Log[[#This Row],[Verb]],VerbList,0)),"unknown verb",IF(Log[[#This Row],[Date]]="","no date",""))))</f>
      </c>
      <c r="G759" s="17">
        <f>IF(Log[[#This Row],[ID]]="","",IFERROR(VLOOKUP(Log[[#This Row],[Verb]],Verbs,3,FALSE)&amp;"",""))</f>
      </c>
      <c r="H759" s="17">
        <f>IF(Log[[#This Row],[Date]]="","",INT((Log[[#This Row],[Date]]-Sprint1)/SprintDays)+1)</f>
      </c>
      <c r="I759" s="17">
        <f>IF(OR(Log[[#This Row],[Verb]]="commit",Log[[#This Row],[Verb]]="carry",Log[[#This Row],[Verb]]="redo"),IF(Log[[#This Row],[Arg]]="",Log[[#This Row],[Sprint]],N(Log[[#This Row],[Arg]])),"")</f>
      </c>
      <c r="J759" s="17">
        <f>IF(Log[[#This Row],[Verb]]="block",1,IF(OR(Log[[#This Row],[Verb]]="unblock",Log[[#This Row],[Verb]]="done",Log[[#This Row],[Verb]]="drop",Log[[#This Row],[Verb]]="punt",Log[[#This Row],[Verb]]="pass"),0,""))</f>
      </c>
      <c r="K759" s="17">
        <f>IF(Log[[#This Row],[ID]]="",0,IFERROR(INDEX(Items[Pts],MATCH(Log[[#This Row],[ID]],Items[ID],0))*1,0))</f>
      </c>
      <c r="L759" s="17">
        <f>IF(Log[[#This Row],[ID]]="","",IFERROR(INDEX(Items[Cur team],MATCH(Log[[#This Row],[ID]],Items[ID],0))&amp;"",""))</f>
      </c>
      <c r="M759" s="17">
        <f>IF(OR(Log[[#This Row],[Verb]]="done",Log[[#This Row],[Verb]]="punt",Log[[#This Row],[Verb]]="drop",Log[[#This Row],[Verb]]="pass"),Log[[#This Row],[Pts]],0)</f>
      </c>
    </row>
    <row r="760">
      <c r="A760" s="11">
        <v>46147</v>
      </c>
      <c r="B760" t="s">
        <v>504</v>
      </c>
      <c r="C760" t="s">
        <v>34</v>
      </c>
      <c r="D760">
        <v>43</v>
      </c>
      <c r="F760" s="17">
        <f>IF(Log[[#This Row],[ID]]="","",IF(ISNA(MATCH(Log[[#This Row],[ID]],Items[ID],0)),"unknown ID",IF(ISNA(MATCH(Log[[#This Row],[Verb]],VerbList,0)),"unknown verb",IF(Log[[#This Row],[Date]]="","no date",""))))</f>
      </c>
      <c r="G760" s="17">
        <f>IF(Log[[#This Row],[ID]]="","",IFERROR(VLOOKUP(Log[[#This Row],[Verb]],Verbs,3,FALSE)&amp;"",""))</f>
      </c>
      <c r="H760" s="17">
        <f>IF(Log[[#This Row],[Date]]="","",INT((Log[[#This Row],[Date]]-Sprint1)/SprintDays)+1)</f>
      </c>
      <c r="I760" s="17">
        <f>IF(OR(Log[[#This Row],[Verb]]="commit",Log[[#This Row],[Verb]]="carry",Log[[#This Row],[Verb]]="redo"),IF(Log[[#This Row],[Arg]]="",Log[[#This Row],[Sprint]],N(Log[[#This Row],[Arg]])),"")</f>
      </c>
      <c r="J760" s="17">
        <f>IF(Log[[#This Row],[Verb]]="block",1,IF(OR(Log[[#This Row],[Verb]]="unblock",Log[[#This Row],[Verb]]="done",Log[[#This Row],[Verb]]="drop",Log[[#This Row],[Verb]]="punt",Log[[#This Row],[Verb]]="pass"),0,""))</f>
      </c>
      <c r="K760" s="17">
        <f>IF(Log[[#This Row],[ID]]="",0,IFERROR(INDEX(Items[Pts],MATCH(Log[[#This Row],[ID]],Items[ID],0))*1,0))</f>
      </c>
      <c r="L760" s="17">
        <f>IF(Log[[#This Row],[ID]]="","",IFERROR(INDEX(Items[Cur team],MATCH(Log[[#This Row],[ID]],Items[ID],0))&amp;"",""))</f>
      </c>
      <c r="M760" s="17">
        <f>IF(OR(Log[[#This Row],[Verb]]="done",Log[[#This Row],[Verb]]="punt",Log[[#This Row],[Verb]]="drop",Log[[#This Row],[Verb]]="pass"),Log[[#This Row],[Pts]],0)</f>
      </c>
    </row>
    <row r="761">
      <c r="A761" s="11">
        <v>46147</v>
      </c>
      <c r="B761" t="s">
        <v>505</v>
      </c>
      <c r="C761" t="s">
        <v>34</v>
      </c>
      <c r="D761">
        <v>43</v>
      </c>
      <c r="F761" s="17">
        <f>IF(Log[[#This Row],[ID]]="","",IF(ISNA(MATCH(Log[[#This Row],[ID]],Items[ID],0)),"unknown ID",IF(ISNA(MATCH(Log[[#This Row],[Verb]],VerbList,0)),"unknown verb",IF(Log[[#This Row],[Date]]="","no date",""))))</f>
      </c>
      <c r="G761" s="17">
        <f>IF(Log[[#This Row],[ID]]="","",IFERROR(VLOOKUP(Log[[#This Row],[Verb]],Verbs,3,FALSE)&amp;"",""))</f>
      </c>
      <c r="H761" s="17">
        <f>IF(Log[[#This Row],[Date]]="","",INT((Log[[#This Row],[Date]]-Sprint1)/SprintDays)+1)</f>
      </c>
      <c r="I761" s="17">
        <f>IF(OR(Log[[#This Row],[Verb]]="commit",Log[[#This Row],[Verb]]="carry",Log[[#This Row],[Verb]]="redo"),IF(Log[[#This Row],[Arg]]="",Log[[#This Row],[Sprint]],N(Log[[#This Row],[Arg]])),"")</f>
      </c>
      <c r="J761" s="17">
        <f>IF(Log[[#This Row],[Verb]]="block",1,IF(OR(Log[[#This Row],[Verb]]="unblock",Log[[#This Row],[Verb]]="done",Log[[#This Row],[Verb]]="drop",Log[[#This Row],[Verb]]="punt",Log[[#This Row],[Verb]]="pass"),0,""))</f>
      </c>
      <c r="K761" s="17">
        <f>IF(Log[[#This Row],[ID]]="",0,IFERROR(INDEX(Items[Pts],MATCH(Log[[#This Row],[ID]],Items[ID],0))*1,0))</f>
      </c>
      <c r="L761" s="17">
        <f>IF(Log[[#This Row],[ID]]="","",IFERROR(INDEX(Items[Cur team],MATCH(Log[[#This Row],[ID]],Items[ID],0))&amp;"",""))</f>
      </c>
      <c r="M761" s="17">
        <f>IF(OR(Log[[#This Row],[Verb]]="done",Log[[#This Row],[Verb]]="punt",Log[[#This Row],[Verb]]="drop",Log[[#This Row],[Verb]]="pass"),Log[[#This Row],[Pts]],0)</f>
      </c>
    </row>
    <row r="762">
      <c r="A762" s="11">
        <v>46147</v>
      </c>
      <c r="B762" t="s">
        <v>506</v>
      </c>
      <c r="C762" t="s">
        <v>34</v>
      </c>
      <c r="D762">
        <v>43</v>
      </c>
      <c r="F762" s="17">
        <f>IF(Log[[#This Row],[ID]]="","",IF(ISNA(MATCH(Log[[#This Row],[ID]],Items[ID],0)),"unknown ID",IF(ISNA(MATCH(Log[[#This Row],[Verb]],VerbList,0)),"unknown verb",IF(Log[[#This Row],[Date]]="","no date",""))))</f>
      </c>
      <c r="G762" s="17">
        <f>IF(Log[[#This Row],[ID]]="","",IFERROR(VLOOKUP(Log[[#This Row],[Verb]],Verbs,3,FALSE)&amp;"",""))</f>
      </c>
      <c r="H762" s="17">
        <f>IF(Log[[#This Row],[Date]]="","",INT((Log[[#This Row],[Date]]-Sprint1)/SprintDays)+1)</f>
      </c>
      <c r="I762" s="17">
        <f>IF(OR(Log[[#This Row],[Verb]]="commit",Log[[#This Row],[Verb]]="carry",Log[[#This Row],[Verb]]="redo"),IF(Log[[#This Row],[Arg]]="",Log[[#This Row],[Sprint]],N(Log[[#This Row],[Arg]])),"")</f>
      </c>
      <c r="J762" s="17">
        <f>IF(Log[[#This Row],[Verb]]="block",1,IF(OR(Log[[#This Row],[Verb]]="unblock",Log[[#This Row],[Verb]]="done",Log[[#This Row],[Verb]]="drop",Log[[#This Row],[Verb]]="punt",Log[[#This Row],[Verb]]="pass"),0,""))</f>
      </c>
      <c r="K762" s="17">
        <f>IF(Log[[#This Row],[ID]]="",0,IFERROR(INDEX(Items[Pts],MATCH(Log[[#This Row],[ID]],Items[ID],0))*1,0))</f>
      </c>
      <c r="L762" s="17">
        <f>IF(Log[[#This Row],[ID]]="","",IFERROR(INDEX(Items[Cur team],MATCH(Log[[#This Row],[ID]],Items[ID],0))&amp;"",""))</f>
      </c>
      <c r="M762" s="17">
        <f>IF(OR(Log[[#This Row],[Verb]]="done",Log[[#This Row],[Verb]]="punt",Log[[#This Row],[Verb]]="drop",Log[[#This Row],[Verb]]="pass"),Log[[#This Row],[Pts]],0)</f>
      </c>
    </row>
    <row r="763">
      <c r="A763" s="11">
        <v>46147</v>
      </c>
      <c r="B763" t="s">
        <v>507</v>
      </c>
      <c r="C763" t="s">
        <v>34</v>
      </c>
      <c r="D763">
        <v>43</v>
      </c>
      <c r="F763" s="17">
        <f>IF(Log[[#This Row],[ID]]="","",IF(ISNA(MATCH(Log[[#This Row],[ID]],Items[ID],0)),"unknown ID",IF(ISNA(MATCH(Log[[#This Row],[Verb]],VerbList,0)),"unknown verb",IF(Log[[#This Row],[Date]]="","no date",""))))</f>
      </c>
      <c r="G763" s="17">
        <f>IF(Log[[#This Row],[ID]]="","",IFERROR(VLOOKUP(Log[[#This Row],[Verb]],Verbs,3,FALSE)&amp;"",""))</f>
      </c>
      <c r="H763" s="17">
        <f>IF(Log[[#This Row],[Date]]="","",INT((Log[[#This Row],[Date]]-Sprint1)/SprintDays)+1)</f>
      </c>
      <c r="I763" s="17">
        <f>IF(OR(Log[[#This Row],[Verb]]="commit",Log[[#This Row],[Verb]]="carry",Log[[#This Row],[Verb]]="redo"),IF(Log[[#This Row],[Arg]]="",Log[[#This Row],[Sprint]],N(Log[[#This Row],[Arg]])),"")</f>
      </c>
      <c r="J763" s="17">
        <f>IF(Log[[#This Row],[Verb]]="block",1,IF(OR(Log[[#This Row],[Verb]]="unblock",Log[[#This Row],[Verb]]="done",Log[[#This Row],[Verb]]="drop",Log[[#This Row],[Verb]]="punt",Log[[#This Row],[Verb]]="pass"),0,""))</f>
      </c>
      <c r="K763" s="17">
        <f>IF(Log[[#This Row],[ID]]="",0,IFERROR(INDEX(Items[Pts],MATCH(Log[[#This Row],[ID]],Items[ID],0))*1,0))</f>
      </c>
      <c r="L763" s="17">
        <f>IF(Log[[#This Row],[ID]]="","",IFERROR(INDEX(Items[Cur team],MATCH(Log[[#This Row],[ID]],Items[ID],0))&amp;"",""))</f>
      </c>
      <c r="M763" s="17">
        <f>IF(OR(Log[[#This Row],[Verb]]="done",Log[[#This Row],[Verb]]="punt",Log[[#This Row],[Verb]]="drop",Log[[#This Row],[Verb]]="pass"),Log[[#This Row],[Pts]],0)</f>
      </c>
    </row>
    <row r="764">
      <c r="A764" s="11">
        <v>46147</v>
      </c>
      <c r="B764" t="s">
        <v>508</v>
      </c>
      <c r="C764" t="s">
        <v>34</v>
      </c>
      <c r="D764">
        <v>43</v>
      </c>
      <c r="F764" s="17">
        <f>IF(Log[[#This Row],[ID]]="","",IF(ISNA(MATCH(Log[[#This Row],[ID]],Items[ID],0)),"unknown ID",IF(ISNA(MATCH(Log[[#This Row],[Verb]],VerbList,0)),"unknown verb",IF(Log[[#This Row],[Date]]="","no date",""))))</f>
      </c>
      <c r="G764" s="17">
        <f>IF(Log[[#This Row],[ID]]="","",IFERROR(VLOOKUP(Log[[#This Row],[Verb]],Verbs,3,FALSE)&amp;"",""))</f>
      </c>
      <c r="H764" s="17">
        <f>IF(Log[[#This Row],[Date]]="","",INT((Log[[#This Row],[Date]]-Sprint1)/SprintDays)+1)</f>
      </c>
      <c r="I764" s="17">
        <f>IF(OR(Log[[#This Row],[Verb]]="commit",Log[[#This Row],[Verb]]="carry",Log[[#This Row],[Verb]]="redo"),IF(Log[[#This Row],[Arg]]="",Log[[#This Row],[Sprint]],N(Log[[#This Row],[Arg]])),"")</f>
      </c>
      <c r="J764" s="17">
        <f>IF(Log[[#This Row],[Verb]]="block",1,IF(OR(Log[[#This Row],[Verb]]="unblock",Log[[#This Row],[Verb]]="done",Log[[#This Row],[Verb]]="drop",Log[[#This Row],[Verb]]="punt",Log[[#This Row],[Verb]]="pass"),0,""))</f>
      </c>
      <c r="K764" s="17">
        <f>IF(Log[[#This Row],[ID]]="",0,IFERROR(INDEX(Items[Pts],MATCH(Log[[#This Row],[ID]],Items[ID],0))*1,0))</f>
      </c>
      <c r="L764" s="17">
        <f>IF(Log[[#This Row],[ID]]="","",IFERROR(INDEX(Items[Cur team],MATCH(Log[[#This Row],[ID]],Items[ID],0))&amp;"",""))</f>
      </c>
      <c r="M764" s="17">
        <f>IF(OR(Log[[#This Row],[Verb]]="done",Log[[#This Row],[Verb]]="punt",Log[[#This Row],[Verb]]="drop",Log[[#This Row],[Verb]]="pass"),Log[[#This Row],[Pts]],0)</f>
      </c>
    </row>
    <row r="765">
      <c r="A765" s="11">
        <v>46147</v>
      </c>
      <c r="B765" t="s">
        <v>509</v>
      </c>
      <c r="C765" t="s">
        <v>34</v>
      </c>
      <c r="D765">
        <v>43</v>
      </c>
      <c r="F765" s="17">
        <f>IF(Log[[#This Row],[ID]]="","",IF(ISNA(MATCH(Log[[#This Row],[ID]],Items[ID],0)),"unknown ID",IF(ISNA(MATCH(Log[[#This Row],[Verb]],VerbList,0)),"unknown verb",IF(Log[[#This Row],[Date]]="","no date",""))))</f>
      </c>
      <c r="G765" s="17">
        <f>IF(Log[[#This Row],[ID]]="","",IFERROR(VLOOKUP(Log[[#This Row],[Verb]],Verbs,3,FALSE)&amp;"",""))</f>
      </c>
      <c r="H765" s="17">
        <f>IF(Log[[#This Row],[Date]]="","",INT((Log[[#This Row],[Date]]-Sprint1)/SprintDays)+1)</f>
      </c>
      <c r="I765" s="17">
        <f>IF(OR(Log[[#This Row],[Verb]]="commit",Log[[#This Row],[Verb]]="carry",Log[[#This Row],[Verb]]="redo"),IF(Log[[#This Row],[Arg]]="",Log[[#This Row],[Sprint]],N(Log[[#This Row],[Arg]])),"")</f>
      </c>
      <c r="J765" s="17">
        <f>IF(Log[[#This Row],[Verb]]="block",1,IF(OR(Log[[#This Row],[Verb]]="unblock",Log[[#This Row],[Verb]]="done",Log[[#This Row],[Verb]]="drop",Log[[#This Row],[Verb]]="punt",Log[[#This Row],[Verb]]="pass"),0,""))</f>
      </c>
      <c r="K765" s="17">
        <f>IF(Log[[#This Row],[ID]]="",0,IFERROR(INDEX(Items[Pts],MATCH(Log[[#This Row],[ID]],Items[ID],0))*1,0))</f>
      </c>
      <c r="L765" s="17">
        <f>IF(Log[[#This Row],[ID]]="","",IFERROR(INDEX(Items[Cur team],MATCH(Log[[#This Row],[ID]],Items[ID],0))&amp;"",""))</f>
      </c>
      <c r="M765" s="17">
        <f>IF(OR(Log[[#This Row],[Verb]]="done",Log[[#This Row],[Verb]]="punt",Log[[#This Row],[Verb]]="drop",Log[[#This Row],[Verb]]="pass"),Log[[#This Row],[Pts]],0)</f>
      </c>
    </row>
    <row r="766">
      <c r="A766" s="11">
        <v>46147</v>
      </c>
      <c r="B766" t="s">
        <v>510</v>
      </c>
      <c r="C766" t="s">
        <v>34</v>
      </c>
      <c r="D766">
        <v>43</v>
      </c>
      <c r="F766" s="17">
        <f>IF(Log[[#This Row],[ID]]="","",IF(ISNA(MATCH(Log[[#This Row],[ID]],Items[ID],0)),"unknown ID",IF(ISNA(MATCH(Log[[#This Row],[Verb]],VerbList,0)),"unknown verb",IF(Log[[#This Row],[Date]]="","no date",""))))</f>
      </c>
      <c r="G766" s="17">
        <f>IF(Log[[#This Row],[ID]]="","",IFERROR(VLOOKUP(Log[[#This Row],[Verb]],Verbs,3,FALSE)&amp;"",""))</f>
      </c>
      <c r="H766" s="17">
        <f>IF(Log[[#This Row],[Date]]="","",INT((Log[[#This Row],[Date]]-Sprint1)/SprintDays)+1)</f>
      </c>
      <c r="I766" s="17">
        <f>IF(OR(Log[[#This Row],[Verb]]="commit",Log[[#This Row],[Verb]]="carry",Log[[#This Row],[Verb]]="redo"),IF(Log[[#This Row],[Arg]]="",Log[[#This Row],[Sprint]],N(Log[[#This Row],[Arg]])),"")</f>
      </c>
      <c r="J766" s="17">
        <f>IF(Log[[#This Row],[Verb]]="block",1,IF(OR(Log[[#This Row],[Verb]]="unblock",Log[[#This Row],[Verb]]="done",Log[[#This Row],[Verb]]="drop",Log[[#This Row],[Verb]]="punt",Log[[#This Row],[Verb]]="pass"),0,""))</f>
      </c>
      <c r="K766" s="17">
        <f>IF(Log[[#This Row],[ID]]="",0,IFERROR(INDEX(Items[Pts],MATCH(Log[[#This Row],[ID]],Items[ID],0))*1,0))</f>
      </c>
      <c r="L766" s="17">
        <f>IF(Log[[#This Row],[ID]]="","",IFERROR(INDEX(Items[Cur team],MATCH(Log[[#This Row],[ID]],Items[ID],0))&amp;"",""))</f>
      </c>
      <c r="M766" s="17">
        <f>IF(OR(Log[[#This Row],[Verb]]="done",Log[[#This Row],[Verb]]="punt",Log[[#This Row],[Verb]]="drop",Log[[#This Row],[Verb]]="pass"),Log[[#This Row],[Pts]],0)</f>
      </c>
    </row>
    <row r="767">
      <c r="A767" s="11">
        <v>46147</v>
      </c>
      <c r="B767" t="s">
        <v>511</v>
      </c>
      <c r="C767" t="s">
        <v>34</v>
      </c>
      <c r="D767">
        <v>43</v>
      </c>
      <c r="F767" s="17">
        <f>IF(Log[[#This Row],[ID]]="","",IF(ISNA(MATCH(Log[[#This Row],[ID]],Items[ID],0)),"unknown ID",IF(ISNA(MATCH(Log[[#This Row],[Verb]],VerbList,0)),"unknown verb",IF(Log[[#This Row],[Date]]="","no date",""))))</f>
      </c>
      <c r="G767" s="17">
        <f>IF(Log[[#This Row],[ID]]="","",IFERROR(VLOOKUP(Log[[#This Row],[Verb]],Verbs,3,FALSE)&amp;"",""))</f>
      </c>
      <c r="H767" s="17">
        <f>IF(Log[[#This Row],[Date]]="","",INT((Log[[#This Row],[Date]]-Sprint1)/SprintDays)+1)</f>
      </c>
      <c r="I767" s="17">
        <f>IF(OR(Log[[#This Row],[Verb]]="commit",Log[[#This Row],[Verb]]="carry",Log[[#This Row],[Verb]]="redo"),IF(Log[[#This Row],[Arg]]="",Log[[#This Row],[Sprint]],N(Log[[#This Row],[Arg]])),"")</f>
      </c>
      <c r="J767" s="17">
        <f>IF(Log[[#This Row],[Verb]]="block",1,IF(OR(Log[[#This Row],[Verb]]="unblock",Log[[#This Row],[Verb]]="done",Log[[#This Row],[Verb]]="drop",Log[[#This Row],[Verb]]="punt",Log[[#This Row],[Verb]]="pass"),0,""))</f>
      </c>
      <c r="K767" s="17">
        <f>IF(Log[[#This Row],[ID]]="",0,IFERROR(INDEX(Items[Pts],MATCH(Log[[#This Row],[ID]],Items[ID],0))*1,0))</f>
      </c>
      <c r="L767" s="17">
        <f>IF(Log[[#This Row],[ID]]="","",IFERROR(INDEX(Items[Cur team],MATCH(Log[[#This Row],[ID]],Items[ID],0))&amp;"",""))</f>
      </c>
      <c r="M767" s="17">
        <f>IF(OR(Log[[#This Row],[Verb]]="done",Log[[#This Row],[Verb]]="punt",Log[[#This Row],[Verb]]="drop",Log[[#This Row],[Verb]]="pass"),Log[[#This Row],[Pts]],0)</f>
      </c>
    </row>
    <row r="768">
      <c r="A768" s="11">
        <v>46147</v>
      </c>
      <c r="B768" t="s">
        <v>512</v>
      </c>
      <c r="C768" t="s">
        <v>34</v>
      </c>
      <c r="D768">
        <v>43</v>
      </c>
      <c r="F768" s="17">
        <f>IF(Log[[#This Row],[ID]]="","",IF(ISNA(MATCH(Log[[#This Row],[ID]],Items[ID],0)),"unknown ID",IF(ISNA(MATCH(Log[[#This Row],[Verb]],VerbList,0)),"unknown verb",IF(Log[[#This Row],[Date]]="","no date",""))))</f>
      </c>
      <c r="G768" s="17">
        <f>IF(Log[[#This Row],[ID]]="","",IFERROR(VLOOKUP(Log[[#This Row],[Verb]],Verbs,3,FALSE)&amp;"",""))</f>
      </c>
      <c r="H768" s="17">
        <f>IF(Log[[#This Row],[Date]]="","",INT((Log[[#This Row],[Date]]-Sprint1)/SprintDays)+1)</f>
      </c>
      <c r="I768" s="17">
        <f>IF(OR(Log[[#This Row],[Verb]]="commit",Log[[#This Row],[Verb]]="carry",Log[[#This Row],[Verb]]="redo"),IF(Log[[#This Row],[Arg]]="",Log[[#This Row],[Sprint]],N(Log[[#This Row],[Arg]])),"")</f>
      </c>
      <c r="J768" s="17">
        <f>IF(Log[[#This Row],[Verb]]="block",1,IF(OR(Log[[#This Row],[Verb]]="unblock",Log[[#This Row],[Verb]]="done",Log[[#This Row],[Verb]]="drop",Log[[#This Row],[Verb]]="punt",Log[[#This Row],[Verb]]="pass"),0,""))</f>
      </c>
      <c r="K768" s="17">
        <f>IF(Log[[#This Row],[ID]]="",0,IFERROR(INDEX(Items[Pts],MATCH(Log[[#This Row],[ID]],Items[ID],0))*1,0))</f>
      </c>
      <c r="L768" s="17">
        <f>IF(Log[[#This Row],[ID]]="","",IFERROR(INDEX(Items[Cur team],MATCH(Log[[#This Row],[ID]],Items[ID],0))&amp;"",""))</f>
      </c>
      <c r="M768" s="17">
        <f>IF(OR(Log[[#This Row],[Verb]]="done",Log[[#This Row],[Verb]]="punt",Log[[#This Row],[Verb]]="drop",Log[[#This Row],[Verb]]="pass"),Log[[#This Row],[Pts]],0)</f>
      </c>
    </row>
    <row r="769">
      <c r="A769" s="11">
        <v>46147</v>
      </c>
      <c r="B769" t="s">
        <v>513</v>
      </c>
      <c r="C769" t="s">
        <v>34</v>
      </c>
      <c r="D769">
        <v>43</v>
      </c>
      <c r="F769" s="17">
        <f>IF(Log[[#This Row],[ID]]="","",IF(ISNA(MATCH(Log[[#This Row],[ID]],Items[ID],0)),"unknown ID",IF(ISNA(MATCH(Log[[#This Row],[Verb]],VerbList,0)),"unknown verb",IF(Log[[#This Row],[Date]]="","no date",""))))</f>
      </c>
      <c r="G769" s="17">
        <f>IF(Log[[#This Row],[ID]]="","",IFERROR(VLOOKUP(Log[[#This Row],[Verb]],Verbs,3,FALSE)&amp;"",""))</f>
      </c>
      <c r="H769" s="17">
        <f>IF(Log[[#This Row],[Date]]="","",INT((Log[[#This Row],[Date]]-Sprint1)/SprintDays)+1)</f>
      </c>
      <c r="I769" s="17">
        <f>IF(OR(Log[[#This Row],[Verb]]="commit",Log[[#This Row],[Verb]]="carry",Log[[#This Row],[Verb]]="redo"),IF(Log[[#This Row],[Arg]]="",Log[[#This Row],[Sprint]],N(Log[[#This Row],[Arg]])),"")</f>
      </c>
      <c r="J769" s="17">
        <f>IF(Log[[#This Row],[Verb]]="block",1,IF(OR(Log[[#This Row],[Verb]]="unblock",Log[[#This Row],[Verb]]="done",Log[[#This Row],[Verb]]="drop",Log[[#This Row],[Verb]]="punt",Log[[#This Row],[Verb]]="pass"),0,""))</f>
      </c>
      <c r="K769" s="17">
        <f>IF(Log[[#This Row],[ID]]="",0,IFERROR(INDEX(Items[Pts],MATCH(Log[[#This Row],[ID]],Items[ID],0))*1,0))</f>
      </c>
      <c r="L769" s="17">
        <f>IF(Log[[#This Row],[ID]]="","",IFERROR(INDEX(Items[Cur team],MATCH(Log[[#This Row],[ID]],Items[ID],0))&amp;"",""))</f>
      </c>
      <c r="M769" s="17">
        <f>IF(OR(Log[[#This Row],[Verb]]="done",Log[[#This Row],[Verb]]="punt",Log[[#This Row],[Verb]]="drop",Log[[#This Row],[Verb]]="pass"),Log[[#This Row],[Pts]],0)</f>
      </c>
    </row>
    <row r="770">
      <c r="A770" s="11">
        <v>46147</v>
      </c>
      <c r="B770" t="s">
        <v>514</v>
      </c>
      <c r="C770" t="s">
        <v>34</v>
      </c>
      <c r="D770">
        <v>43</v>
      </c>
      <c r="F770" s="17">
        <f>IF(Log[[#This Row],[ID]]="","",IF(ISNA(MATCH(Log[[#This Row],[ID]],Items[ID],0)),"unknown ID",IF(ISNA(MATCH(Log[[#This Row],[Verb]],VerbList,0)),"unknown verb",IF(Log[[#This Row],[Date]]="","no date",""))))</f>
      </c>
      <c r="G770" s="17">
        <f>IF(Log[[#This Row],[ID]]="","",IFERROR(VLOOKUP(Log[[#This Row],[Verb]],Verbs,3,FALSE)&amp;"",""))</f>
      </c>
      <c r="H770" s="17">
        <f>IF(Log[[#This Row],[Date]]="","",INT((Log[[#This Row],[Date]]-Sprint1)/SprintDays)+1)</f>
      </c>
      <c r="I770" s="17">
        <f>IF(OR(Log[[#This Row],[Verb]]="commit",Log[[#This Row],[Verb]]="carry",Log[[#This Row],[Verb]]="redo"),IF(Log[[#This Row],[Arg]]="",Log[[#This Row],[Sprint]],N(Log[[#This Row],[Arg]])),"")</f>
      </c>
      <c r="J770" s="17">
        <f>IF(Log[[#This Row],[Verb]]="block",1,IF(OR(Log[[#This Row],[Verb]]="unblock",Log[[#This Row],[Verb]]="done",Log[[#This Row],[Verb]]="drop",Log[[#This Row],[Verb]]="punt",Log[[#This Row],[Verb]]="pass"),0,""))</f>
      </c>
      <c r="K770" s="17">
        <f>IF(Log[[#This Row],[ID]]="",0,IFERROR(INDEX(Items[Pts],MATCH(Log[[#This Row],[ID]],Items[ID],0))*1,0))</f>
      </c>
      <c r="L770" s="17">
        <f>IF(Log[[#This Row],[ID]]="","",IFERROR(INDEX(Items[Cur team],MATCH(Log[[#This Row],[ID]],Items[ID],0))&amp;"",""))</f>
      </c>
      <c r="M770" s="17">
        <f>IF(OR(Log[[#This Row],[Verb]]="done",Log[[#This Row],[Verb]]="punt",Log[[#This Row],[Verb]]="drop",Log[[#This Row],[Verb]]="pass"),Log[[#This Row],[Pts]],0)</f>
      </c>
    </row>
    <row r="771">
      <c r="A771" s="11">
        <v>46147</v>
      </c>
      <c r="B771" t="s">
        <v>515</v>
      </c>
      <c r="C771" t="s">
        <v>34</v>
      </c>
      <c r="D771">
        <v>43</v>
      </c>
      <c r="F771" s="17">
        <f>IF(Log[[#This Row],[ID]]="","",IF(ISNA(MATCH(Log[[#This Row],[ID]],Items[ID],0)),"unknown ID",IF(ISNA(MATCH(Log[[#This Row],[Verb]],VerbList,0)),"unknown verb",IF(Log[[#This Row],[Date]]="","no date",""))))</f>
      </c>
      <c r="G771" s="17">
        <f>IF(Log[[#This Row],[ID]]="","",IFERROR(VLOOKUP(Log[[#This Row],[Verb]],Verbs,3,FALSE)&amp;"",""))</f>
      </c>
      <c r="H771" s="17">
        <f>IF(Log[[#This Row],[Date]]="","",INT((Log[[#This Row],[Date]]-Sprint1)/SprintDays)+1)</f>
      </c>
      <c r="I771" s="17">
        <f>IF(OR(Log[[#This Row],[Verb]]="commit",Log[[#This Row],[Verb]]="carry",Log[[#This Row],[Verb]]="redo"),IF(Log[[#This Row],[Arg]]="",Log[[#This Row],[Sprint]],N(Log[[#This Row],[Arg]])),"")</f>
      </c>
      <c r="J771" s="17">
        <f>IF(Log[[#This Row],[Verb]]="block",1,IF(OR(Log[[#This Row],[Verb]]="unblock",Log[[#This Row],[Verb]]="done",Log[[#This Row],[Verb]]="drop",Log[[#This Row],[Verb]]="punt",Log[[#This Row],[Verb]]="pass"),0,""))</f>
      </c>
      <c r="K771" s="17">
        <f>IF(Log[[#This Row],[ID]]="",0,IFERROR(INDEX(Items[Pts],MATCH(Log[[#This Row],[ID]],Items[ID],0))*1,0))</f>
      </c>
      <c r="L771" s="17">
        <f>IF(Log[[#This Row],[ID]]="","",IFERROR(INDEX(Items[Cur team],MATCH(Log[[#This Row],[ID]],Items[ID],0))&amp;"",""))</f>
      </c>
      <c r="M771" s="17">
        <f>IF(OR(Log[[#This Row],[Verb]]="done",Log[[#This Row],[Verb]]="punt",Log[[#This Row],[Verb]]="drop",Log[[#This Row],[Verb]]="pass"),Log[[#This Row],[Pts]],0)</f>
      </c>
    </row>
    <row r="772">
      <c r="A772" s="11">
        <v>46147</v>
      </c>
      <c r="B772" t="s">
        <v>516</v>
      </c>
      <c r="C772" t="s">
        <v>34</v>
      </c>
      <c r="D772">
        <v>43</v>
      </c>
      <c r="F772" s="17">
        <f>IF(Log[[#This Row],[ID]]="","",IF(ISNA(MATCH(Log[[#This Row],[ID]],Items[ID],0)),"unknown ID",IF(ISNA(MATCH(Log[[#This Row],[Verb]],VerbList,0)),"unknown verb",IF(Log[[#This Row],[Date]]="","no date",""))))</f>
      </c>
      <c r="G772" s="17">
        <f>IF(Log[[#This Row],[ID]]="","",IFERROR(VLOOKUP(Log[[#This Row],[Verb]],Verbs,3,FALSE)&amp;"",""))</f>
      </c>
      <c r="H772" s="17">
        <f>IF(Log[[#This Row],[Date]]="","",INT((Log[[#This Row],[Date]]-Sprint1)/SprintDays)+1)</f>
      </c>
      <c r="I772" s="17">
        <f>IF(OR(Log[[#This Row],[Verb]]="commit",Log[[#This Row],[Verb]]="carry",Log[[#This Row],[Verb]]="redo"),IF(Log[[#This Row],[Arg]]="",Log[[#This Row],[Sprint]],N(Log[[#This Row],[Arg]])),"")</f>
      </c>
      <c r="J772" s="17">
        <f>IF(Log[[#This Row],[Verb]]="block",1,IF(OR(Log[[#This Row],[Verb]]="unblock",Log[[#This Row],[Verb]]="done",Log[[#This Row],[Verb]]="drop",Log[[#This Row],[Verb]]="punt",Log[[#This Row],[Verb]]="pass"),0,""))</f>
      </c>
      <c r="K772" s="17">
        <f>IF(Log[[#This Row],[ID]]="",0,IFERROR(INDEX(Items[Pts],MATCH(Log[[#This Row],[ID]],Items[ID],0))*1,0))</f>
      </c>
      <c r="L772" s="17">
        <f>IF(Log[[#This Row],[ID]]="","",IFERROR(INDEX(Items[Cur team],MATCH(Log[[#This Row],[ID]],Items[ID],0))&amp;"",""))</f>
      </c>
      <c r="M772" s="17">
        <f>IF(OR(Log[[#This Row],[Verb]]="done",Log[[#This Row],[Verb]]="punt",Log[[#This Row],[Verb]]="drop",Log[[#This Row],[Verb]]="pass"),Log[[#This Row],[Pts]],0)</f>
      </c>
    </row>
    <row r="773">
      <c r="A773" s="11">
        <v>46147</v>
      </c>
      <c r="B773" t="s">
        <v>517</v>
      </c>
      <c r="C773" t="s">
        <v>34</v>
      </c>
      <c r="D773">
        <v>43</v>
      </c>
      <c r="F773" s="17">
        <f>IF(Log[[#This Row],[ID]]="","",IF(ISNA(MATCH(Log[[#This Row],[ID]],Items[ID],0)),"unknown ID",IF(ISNA(MATCH(Log[[#This Row],[Verb]],VerbList,0)),"unknown verb",IF(Log[[#This Row],[Date]]="","no date",""))))</f>
      </c>
      <c r="G773" s="17">
        <f>IF(Log[[#This Row],[ID]]="","",IFERROR(VLOOKUP(Log[[#This Row],[Verb]],Verbs,3,FALSE)&amp;"",""))</f>
      </c>
      <c r="H773" s="17">
        <f>IF(Log[[#This Row],[Date]]="","",INT((Log[[#This Row],[Date]]-Sprint1)/SprintDays)+1)</f>
      </c>
      <c r="I773" s="17">
        <f>IF(OR(Log[[#This Row],[Verb]]="commit",Log[[#This Row],[Verb]]="carry",Log[[#This Row],[Verb]]="redo"),IF(Log[[#This Row],[Arg]]="",Log[[#This Row],[Sprint]],N(Log[[#This Row],[Arg]])),"")</f>
      </c>
      <c r="J773" s="17">
        <f>IF(Log[[#This Row],[Verb]]="block",1,IF(OR(Log[[#This Row],[Verb]]="unblock",Log[[#This Row],[Verb]]="done",Log[[#This Row],[Verb]]="drop",Log[[#This Row],[Verb]]="punt",Log[[#This Row],[Verb]]="pass"),0,""))</f>
      </c>
      <c r="K773" s="17">
        <f>IF(Log[[#This Row],[ID]]="",0,IFERROR(INDEX(Items[Pts],MATCH(Log[[#This Row],[ID]],Items[ID],0))*1,0))</f>
      </c>
      <c r="L773" s="17">
        <f>IF(Log[[#This Row],[ID]]="","",IFERROR(INDEX(Items[Cur team],MATCH(Log[[#This Row],[ID]],Items[ID],0))&amp;"",""))</f>
      </c>
      <c r="M773" s="17">
        <f>IF(OR(Log[[#This Row],[Verb]]="done",Log[[#This Row],[Verb]]="punt",Log[[#This Row],[Verb]]="drop",Log[[#This Row],[Verb]]="pass"),Log[[#This Row],[Pts]],0)</f>
      </c>
    </row>
    <row r="774">
      <c r="A774" s="11">
        <v>46147</v>
      </c>
      <c r="B774" t="s">
        <v>518</v>
      </c>
      <c r="C774" t="s">
        <v>34</v>
      </c>
      <c r="D774">
        <v>43</v>
      </c>
      <c r="F774" s="17">
        <f>IF(Log[[#This Row],[ID]]="","",IF(ISNA(MATCH(Log[[#This Row],[ID]],Items[ID],0)),"unknown ID",IF(ISNA(MATCH(Log[[#This Row],[Verb]],VerbList,0)),"unknown verb",IF(Log[[#This Row],[Date]]="","no date",""))))</f>
      </c>
      <c r="G774" s="17">
        <f>IF(Log[[#This Row],[ID]]="","",IFERROR(VLOOKUP(Log[[#This Row],[Verb]],Verbs,3,FALSE)&amp;"",""))</f>
      </c>
      <c r="H774" s="17">
        <f>IF(Log[[#This Row],[Date]]="","",INT((Log[[#This Row],[Date]]-Sprint1)/SprintDays)+1)</f>
      </c>
      <c r="I774" s="17">
        <f>IF(OR(Log[[#This Row],[Verb]]="commit",Log[[#This Row],[Verb]]="carry",Log[[#This Row],[Verb]]="redo"),IF(Log[[#This Row],[Arg]]="",Log[[#This Row],[Sprint]],N(Log[[#This Row],[Arg]])),"")</f>
      </c>
      <c r="J774" s="17">
        <f>IF(Log[[#This Row],[Verb]]="block",1,IF(OR(Log[[#This Row],[Verb]]="unblock",Log[[#This Row],[Verb]]="done",Log[[#This Row],[Verb]]="drop",Log[[#This Row],[Verb]]="punt",Log[[#This Row],[Verb]]="pass"),0,""))</f>
      </c>
      <c r="K774" s="17">
        <f>IF(Log[[#This Row],[ID]]="",0,IFERROR(INDEX(Items[Pts],MATCH(Log[[#This Row],[ID]],Items[ID],0))*1,0))</f>
      </c>
      <c r="L774" s="17">
        <f>IF(Log[[#This Row],[ID]]="","",IFERROR(INDEX(Items[Cur team],MATCH(Log[[#This Row],[ID]],Items[ID],0))&amp;"",""))</f>
      </c>
      <c r="M774" s="17">
        <f>IF(OR(Log[[#This Row],[Verb]]="done",Log[[#This Row],[Verb]]="punt",Log[[#This Row],[Verb]]="drop",Log[[#This Row],[Verb]]="pass"),Log[[#This Row],[Pts]],0)</f>
      </c>
    </row>
    <row r="775">
      <c r="A775" s="11">
        <v>46147</v>
      </c>
      <c r="B775" t="s">
        <v>519</v>
      </c>
      <c r="C775" t="s">
        <v>34</v>
      </c>
      <c r="D775">
        <v>43</v>
      </c>
      <c r="F775" s="17">
        <f>IF(Log[[#This Row],[ID]]="","",IF(ISNA(MATCH(Log[[#This Row],[ID]],Items[ID],0)),"unknown ID",IF(ISNA(MATCH(Log[[#This Row],[Verb]],VerbList,0)),"unknown verb",IF(Log[[#This Row],[Date]]="","no date",""))))</f>
      </c>
      <c r="G775" s="17">
        <f>IF(Log[[#This Row],[ID]]="","",IFERROR(VLOOKUP(Log[[#This Row],[Verb]],Verbs,3,FALSE)&amp;"",""))</f>
      </c>
      <c r="H775" s="17">
        <f>IF(Log[[#This Row],[Date]]="","",INT((Log[[#This Row],[Date]]-Sprint1)/SprintDays)+1)</f>
      </c>
      <c r="I775" s="17">
        <f>IF(OR(Log[[#This Row],[Verb]]="commit",Log[[#This Row],[Verb]]="carry",Log[[#This Row],[Verb]]="redo"),IF(Log[[#This Row],[Arg]]="",Log[[#This Row],[Sprint]],N(Log[[#This Row],[Arg]])),"")</f>
      </c>
      <c r="J775" s="17">
        <f>IF(Log[[#This Row],[Verb]]="block",1,IF(OR(Log[[#This Row],[Verb]]="unblock",Log[[#This Row],[Verb]]="done",Log[[#This Row],[Verb]]="drop",Log[[#This Row],[Verb]]="punt",Log[[#This Row],[Verb]]="pass"),0,""))</f>
      </c>
      <c r="K775" s="17">
        <f>IF(Log[[#This Row],[ID]]="",0,IFERROR(INDEX(Items[Pts],MATCH(Log[[#This Row],[ID]],Items[ID],0))*1,0))</f>
      </c>
      <c r="L775" s="17">
        <f>IF(Log[[#This Row],[ID]]="","",IFERROR(INDEX(Items[Cur team],MATCH(Log[[#This Row],[ID]],Items[ID],0))&amp;"",""))</f>
      </c>
      <c r="M775" s="17">
        <f>IF(OR(Log[[#This Row],[Verb]]="done",Log[[#This Row],[Verb]]="punt",Log[[#This Row],[Verb]]="drop",Log[[#This Row],[Verb]]="pass"),Log[[#This Row],[Pts]],0)</f>
      </c>
    </row>
    <row r="776">
      <c r="A776" s="11">
        <v>46147</v>
      </c>
      <c r="B776" t="s">
        <v>520</v>
      </c>
      <c r="C776" t="s">
        <v>34</v>
      </c>
      <c r="D776">
        <v>43</v>
      </c>
      <c r="F776" s="17">
        <f>IF(Log[[#This Row],[ID]]="","",IF(ISNA(MATCH(Log[[#This Row],[ID]],Items[ID],0)),"unknown ID",IF(ISNA(MATCH(Log[[#This Row],[Verb]],VerbList,0)),"unknown verb",IF(Log[[#This Row],[Date]]="","no date",""))))</f>
      </c>
      <c r="G776" s="17">
        <f>IF(Log[[#This Row],[ID]]="","",IFERROR(VLOOKUP(Log[[#This Row],[Verb]],Verbs,3,FALSE)&amp;"",""))</f>
      </c>
      <c r="H776" s="17">
        <f>IF(Log[[#This Row],[Date]]="","",INT((Log[[#This Row],[Date]]-Sprint1)/SprintDays)+1)</f>
      </c>
      <c r="I776" s="17">
        <f>IF(OR(Log[[#This Row],[Verb]]="commit",Log[[#This Row],[Verb]]="carry",Log[[#This Row],[Verb]]="redo"),IF(Log[[#This Row],[Arg]]="",Log[[#This Row],[Sprint]],N(Log[[#This Row],[Arg]])),"")</f>
      </c>
      <c r="J776" s="17">
        <f>IF(Log[[#This Row],[Verb]]="block",1,IF(OR(Log[[#This Row],[Verb]]="unblock",Log[[#This Row],[Verb]]="done",Log[[#This Row],[Verb]]="drop",Log[[#This Row],[Verb]]="punt",Log[[#This Row],[Verb]]="pass"),0,""))</f>
      </c>
      <c r="K776" s="17">
        <f>IF(Log[[#This Row],[ID]]="",0,IFERROR(INDEX(Items[Pts],MATCH(Log[[#This Row],[ID]],Items[ID],0))*1,0))</f>
      </c>
      <c r="L776" s="17">
        <f>IF(Log[[#This Row],[ID]]="","",IFERROR(INDEX(Items[Cur team],MATCH(Log[[#This Row],[ID]],Items[ID],0))&amp;"",""))</f>
      </c>
      <c r="M776" s="17">
        <f>IF(OR(Log[[#This Row],[Verb]]="done",Log[[#This Row],[Verb]]="punt",Log[[#This Row],[Verb]]="drop",Log[[#This Row],[Verb]]="pass"),Log[[#This Row],[Pts]],0)</f>
      </c>
    </row>
    <row r="777">
      <c r="A777" s="11">
        <v>46147</v>
      </c>
      <c r="B777" t="s">
        <v>521</v>
      </c>
      <c r="C777" t="s">
        <v>34</v>
      </c>
      <c r="D777">
        <v>43</v>
      </c>
      <c r="F777" s="17">
        <f>IF(Log[[#This Row],[ID]]="","",IF(ISNA(MATCH(Log[[#This Row],[ID]],Items[ID],0)),"unknown ID",IF(ISNA(MATCH(Log[[#This Row],[Verb]],VerbList,0)),"unknown verb",IF(Log[[#This Row],[Date]]="","no date",""))))</f>
      </c>
      <c r="G777" s="17">
        <f>IF(Log[[#This Row],[ID]]="","",IFERROR(VLOOKUP(Log[[#This Row],[Verb]],Verbs,3,FALSE)&amp;"",""))</f>
      </c>
      <c r="H777" s="17">
        <f>IF(Log[[#This Row],[Date]]="","",INT((Log[[#This Row],[Date]]-Sprint1)/SprintDays)+1)</f>
      </c>
      <c r="I777" s="17">
        <f>IF(OR(Log[[#This Row],[Verb]]="commit",Log[[#This Row],[Verb]]="carry",Log[[#This Row],[Verb]]="redo"),IF(Log[[#This Row],[Arg]]="",Log[[#This Row],[Sprint]],N(Log[[#This Row],[Arg]])),"")</f>
      </c>
      <c r="J777" s="17">
        <f>IF(Log[[#This Row],[Verb]]="block",1,IF(OR(Log[[#This Row],[Verb]]="unblock",Log[[#This Row],[Verb]]="done",Log[[#This Row],[Verb]]="drop",Log[[#This Row],[Verb]]="punt",Log[[#This Row],[Verb]]="pass"),0,""))</f>
      </c>
      <c r="K777" s="17">
        <f>IF(Log[[#This Row],[ID]]="",0,IFERROR(INDEX(Items[Pts],MATCH(Log[[#This Row],[ID]],Items[ID],0))*1,0))</f>
      </c>
      <c r="L777" s="17">
        <f>IF(Log[[#This Row],[ID]]="","",IFERROR(INDEX(Items[Cur team],MATCH(Log[[#This Row],[ID]],Items[ID],0))&amp;"",""))</f>
      </c>
      <c r="M777" s="17">
        <f>IF(OR(Log[[#This Row],[Verb]]="done",Log[[#This Row],[Verb]]="punt",Log[[#This Row],[Verb]]="drop",Log[[#This Row],[Verb]]="pass"),Log[[#This Row],[Pts]],0)</f>
      </c>
    </row>
    <row r="778">
      <c r="A778" s="11">
        <v>46147</v>
      </c>
      <c r="B778" t="s">
        <v>522</v>
      </c>
      <c r="C778" t="s">
        <v>34</v>
      </c>
      <c r="D778">
        <v>43</v>
      </c>
      <c r="F778" s="17">
        <f>IF(Log[[#This Row],[ID]]="","",IF(ISNA(MATCH(Log[[#This Row],[ID]],Items[ID],0)),"unknown ID",IF(ISNA(MATCH(Log[[#This Row],[Verb]],VerbList,0)),"unknown verb",IF(Log[[#This Row],[Date]]="","no date",""))))</f>
      </c>
      <c r="G778" s="17">
        <f>IF(Log[[#This Row],[ID]]="","",IFERROR(VLOOKUP(Log[[#This Row],[Verb]],Verbs,3,FALSE)&amp;"",""))</f>
      </c>
      <c r="H778" s="17">
        <f>IF(Log[[#This Row],[Date]]="","",INT((Log[[#This Row],[Date]]-Sprint1)/SprintDays)+1)</f>
      </c>
      <c r="I778" s="17">
        <f>IF(OR(Log[[#This Row],[Verb]]="commit",Log[[#This Row],[Verb]]="carry",Log[[#This Row],[Verb]]="redo"),IF(Log[[#This Row],[Arg]]="",Log[[#This Row],[Sprint]],N(Log[[#This Row],[Arg]])),"")</f>
      </c>
      <c r="J778" s="17">
        <f>IF(Log[[#This Row],[Verb]]="block",1,IF(OR(Log[[#This Row],[Verb]]="unblock",Log[[#This Row],[Verb]]="done",Log[[#This Row],[Verb]]="drop",Log[[#This Row],[Verb]]="punt",Log[[#This Row],[Verb]]="pass"),0,""))</f>
      </c>
      <c r="K778" s="17">
        <f>IF(Log[[#This Row],[ID]]="",0,IFERROR(INDEX(Items[Pts],MATCH(Log[[#This Row],[ID]],Items[ID],0))*1,0))</f>
      </c>
      <c r="L778" s="17">
        <f>IF(Log[[#This Row],[ID]]="","",IFERROR(INDEX(Items[Cur team],MATCH(Log[[#This Row],[ID]],Items[ID],0))&amp;"",""))</f>
      </c>
      <c r="M778" s="17">
        <f>IF(OR(Log[[#This Row],[Verb]]="done",Log[[#This Row],[Verb]]="punt",Log[[#This Row],[Verb]]="drop",Log[[#This Row],[Verb]]="pass"),Log[[#This Row],[Pts]],0)</f>
      </c>
    </row>
    <row r="779">
      <c r="A779" s="11">
        <v>46147</v>
      </c>
      <c r="B779" t="s">
        <v>523</v>
      </c>
      <c r="C779" t="s">
        <v>34</v>
      </c>
      <c r="D779">
        <v>43</v>
      </c>
      <c r="F779" s="17">
        <f>IF(Log[[#This Row],[ID]]="","",IF(ISNA(MATCH(Log[[#This Row],[ID]],Items[ID],0)),"unknown ID",IF(ISNA(MATCH(Log[[#This Row],[Verb]],VerbList,0)),"unknown verb",IF(Log[[#This Row],[Date]]="","no date",""))))</f>
      </c>
      <c r="G779" s="17">
        <f>IF(Log[[#This Row],[ID]]="","",IFERROR(VLOOKUP(Log[[#This Row],[Verb]],Verbs,3,FALSE)&amp;"",""))</f>
      </c>
      <c r="H779" s="17">
        <f>IF(Log[[#This Row],[Date]]="","",INT((Log[[#This Row],[Date]]-Sprint1)/SprintDays)+1)</f>
      </c>
      <c r="I779" s="17">
        <f>IF(OR(Log[[#This Row],[Verb]]="commit",Log[[#This Row],[Verb]]="carry",Log[[#This Row],[Verb]]="redo"),IF(Log[[#This Row],[Arg]]="",Log[[#This Row],[Sprint]],N(Log[[#This Row],[Arg]])),"")</f>
      </c>
      <c r="J779" s="17">
        <f>IF(Log[[#This Row],[Verb]]="block",1,IF(OR(Log[[#This Row],[Verb]]="unblock",Log[[#This Row],[Verb]]="done",Log[[#This Row],[Verb]]="drop",Log[[#This Row],[Verb]]="punt",Log[[#This Row],[Verb]]="pass"),0,""))</f>
      </c>
      <c r="K779" s="17">
        <f>IF(Log[[#This Row],[ID]]="",0,IFERROR(INDEX(Items[Pts],MATCH(Log[[#This Row],[ID]],Items[ID],0))*1,0))</f>
      </c>
      <c r="L779" s="17">
        <f>IF(Log[[#This Row],[ID]]="","",IFERROR(INDEX(Items[Cur team],MATCH(Log[[#This Row],[ID]],Items[ID],0))&amp;"",""))</f>
      </c>
      <c r="M779" s="17">
        <f>IF(OR(Log[[#This Row],[Verb]]="done",Log[[#This Row],[Verb]]="punt",Log[[#This Row],[Verb]]="drop",Log[[#This Row],[Verb]]="pass"),Log[[#This Row],[Pts]],0)</f>
      </c>
    </row>
    <row r="780">
      <c r="A780" s="11">
        <v>46147</v>
      </c>
      <c r="B780" t="s">
        <v>524</v>
      </c>
      <c r="C780" t="s">
        <v>34</v>
      </c>
      <c r="D780">
        <v>43</v>
      </c>
      <c r="F780" s="17">
        <f>IF(Log[[#This Row],[ID]]="","",IF(ISNA(MATCH(Log[[#This Row],[ID]],Items[ID],0)),"unknown ID",IF(ISNA(MATCH(Log[[#This Row],[Verb]],VerbList,0)),"unknown verb",IF(Log[[#This Row],[Date]]="","no date",""))))</f>
      </c>
      <c r="G780" s="17">
        <f>IF(Log[[#This Row],[ID]]="","",IFERROR(VLOOKUP(Log[[#This Row],[Verb]],Verbs,3,FALSE)&amp;"",""))</f>
      </c>
      <c r="H780" s="17">
        <f>IF(Log[[#This Row],[Date]]="","",INT((Log[[#This Row],[Date]]-Sprint1)/SprintDays)+1)</f>
      </c>
      <c r="I780" s="17">
        <f>IF(OR(Log[[#This Row],[Verb]]="commit",Log[[#This Row],[Verb]]="carry",Log[[#This Row],[Verb]]="redo"),IF(Log[[#This Row],[Arg]]="",Log[[#This Row],[Sprint]],N(Log[[#This Row],[Arg]])),"")</f>
      </c>
      <c r="J780" s="17">
        <f>IF(Log[[#This Row],[Verb]]="block",1,IF(OR(Log[[#This Row],[Verb]]="unblock",Log[[#This Row],[Verb]]="done",Log[[#This Row],[Verb]]="drop",Log[[#This Row],[Verb]]="punt",Log[[#This Row],[Verb]]="pass"),0,""))</f>
      </c>
      <c r="K780" s="17">
        <f>IF(Log[[#This Row],[ID]]="",0,IFERROR(INDEX(Items[Pts],MATCH(Log[[#This Row],[ID]],Items[ID],0))*1,0))</f>
      </c>
      <c r="L780" s="17">
        <f>IF(Log[[#This Row],[ID]]="","",IFERROR(INDEX(Items[Cur team],MATCH(Log[[#This Row],[ID]],Items[ID],0))&amp;"",""))</f>
      </c>
      <c r="M780" s="17">
        <f>IF(OR(Log[[#This Row],[Verb]]="done",Log[[#This Row],[Verb]]="punt",Log[[#This Row],[Verb]]="drop",Log[[#This Row],[Verb]]="pass"),Log[[#This Row],[Pts]],0)</f>
      </c>
    </row>
    <row r="781">
      <c r="A781" s="11">
        <v>46147</v>
      </c>
      <c r="B781" t="s">
        <v>525</v>
      </c>
      <c r="C781" t="s">
        <v>34</v>
      </c>
      <c r="D781">
        <v>43</v>
      </c>
      <c r="F781" s="17">
        <f>IF(Log[[#This Row],[ID]]="","",IF(ISNA(MATCH(Log[[#This Row],[ID]],Items[ID],0)),"unknown ID",IF(ISNA(MATCH(Log[[#This Row],[Verb]],VerbList,0)),"unknown verb",IF(Log[[#This Row],[Date]]="","no date",""))))</f>
      </c>
      <c r="G781" s="17">
        <f>IF(Log[[#This Row],[ID]]="","",IFERROR(VLOOKUP(Log[[#This Row],[Verb]],Verbs,3,FALSE)&amp;"",""))</f>
      </c>
      <c r="H781" s="17">
        <f>IF(Log[[#This Row],[Date]]="","",INT((Log[[#This Row],[Date]]-Sprint1)/SprintDays)+1)</f>
      </c>
      <c r="I781" s="17">
        <f>IF(OR(Log[[#This Row],[Verb]]="commit",Log[[#This Row],[Verb]]="carry",Log[[#This Row],[Verb]]="redo"),IF(Log[[#This Row],[Arg]]="",Log[[#This Row],[Sprint]],N(Log[[#This Row],[Arg]])),"")</f>
      </c>
      <c r="J781" s="17">
        <f>IF(Log[[#This Row],[Verb]]="block",1,IF(OR(Log[[#This Row],[Verb]]="unblock",Log[[#This Row],[Verb]]="done",Log[[#This Row],[Verb]]="drop",Log[[#This Row],[Verb]]="punt",Log[[#This Row],[Verb]]="pass"),0,""))</f>
      </c>
      <c r="K781" s="17">
        <f>IF(Log[[#This Row],[ID]]="",0,IFERROR(INDEX(Items[Pts],MATCH(Log[[#This Row],[ID]],Items[ID],0))*1,0))</f>
      </c>
      <c r="L781" s="17">
        <f>IF(Log[[#This Row],[ID]]="","",IFERROR(INDEX(Items[Cur team],MATCH(Log[[#This Row],[ID]],Items[ID],0))&amp;"",""))</f>
      </c>
      <c r="M781" s="17">
        <f>IF(OR(Log[[#This Row],[Verb]]="done",Log[[#This Row],[Verb]]="punt",Log[[#This Row],[Verb]]="drop",Log[[#This Row],[Verb]]="pass"),Log[[#This Row],[Pts]],0)</f>
      </c>
    </row>
    <row r="782">
      <c r="A782" s="11">
        <v>46147</v>
      </c>
      <c r="B782" t="s">
        <v>526</v>
      </c>
      <c r="C782" t="s">
        <v>34</v>
      </c>
      <c r="D782">
        <v>43</v>
      </c>
      <c r="F782" s="17">
        <f>IF(Log[[#This Row],[ID]]="","",IF(ISNA(MATCH(Log[[#This Row],[ID]],Items[ID],0)),"unknown ID",IF(ISNA(MATCH(Log[[#This Row],[Verb]],VerbList,0)),"unknown verb",IF(Log[[#This Row],[Date]]="","no date",""))))</f>
      </c>
      <c r="G782" s="17">
        <f>IF(Log[[#This Row],[ID]]="","",IFERROR(VLOOKUP(Log[[#This Row],[Verb]],Verbs,3,FALSE)&amp;"",""))</f>
      </c>
      <c r="H782" s="17">
        <f>IF(Log[[#This Row],[Date]]="","",INT((Log[[#This Row],[Date]]-Sprint1)/SprintDays)+1)</f>
      </c>
      <c r="I782" s="17">
        <f>IF(OR(Log[[#This Row],[Verb]]="commit",Log[[#This Row],[Verb]]="carry",Log[[#This Row],[Verb]]="redo"),IF(Log[[#This Row],[Arg]]="",Log[[#This Row],[Sprint]],N(Log[[#This Row],[Arg]])),"")</f>
      </c>
      <c r="J782" s="17">
        <f>IF(Log[[#This Row],[Verb]]="block",1,IF(OR(Log[[#This Row],[Verb]]="unblock",Log[[#This Row],[Verb]]="done",Log[[#This Row],[Verb]]="drop",Log[[#This Row],[Verb]]="punt",Log[[#This Row],[Verb]]="pass"),0,""))</f>
      </c>
      <c r="K782" s="17">
        <f>IF(Log[[#This Row],[ID]]="",0,IFERROR(INDEX(Items[Pts],MATCH(Log[[#This Row],[ID]],Items[ID],0))*1,0))</f>
      </c>
      <c r="L782" s="17">
        <f>IF(Log[[#This Row],[ID]]="","",IFERROR(INDEX(Items[Cur team],MATCH(Log[[#This Row],[ID]],Items[ID],0))&amp;"",""))</f>
      </c>
      <c r="M782" s="17">
        <f>IF(OR(Log[[#This Row],[Verb]]="done",Log[[#This Row],[Verb]]="punt",Log[[#This Row],[Verb]]="drop",Log[[#This Row],[Verb]]="pass"),Log[[#This Row],[Pts]],0)</f>
      </c>
    </row>
    <row r="783">
      <c r="A783" s="11">
        <v>46147</v>
      </c>
      <c r="B783" t="s">
        <v>527</v>
      </c>
      <c r="C783" t="s">
        <v>34</v>
      </c>
      <c r="D783">
        <v>43</v>
      </c>
      <c r="F783" s="17">
        <f>IF(Log[[#This Row],[ID]]="","",IF(ISNA(MATCH(Log[[#This Row],[ID]],Items[ID],0)),"unknown ID",IF(ISNA(MATCH(Log[[#This Row],[Verb]],VerbList,0)),"unknown verb",IF(Log[[#This Row],[Date]]="","no date",""))))</f>
      </c>
      <c r="G783" s="17">
        <f>IF(Log[[#This Row],[ID]]="","",IFERROR(VLOOKUP(Log[[#This Row],[Verb]],Verbs,3,FALSE)&amp;"",""))</f>
      </c>
      <c r="H783" s="17">
        <f>IF(Log[[#This Row],[Date]]="","",INT((Log[[#This Row],[Date]]-Sprint1)/SprintDays)+1)</f>
      </c>
      <c r="I783" s="17">
        <f>IF(OR(Log[[#This Row],[Verb]]="commit",Log[[#This Row],[Verb]]="carry",Log[[#This Row],[Verb]]="redo"),IF(Log[[#This Row],[Arg]]="",Log[[#This Row],[Sprint]],N(Log[[#This Row],[Arg]])),"")</f>
      </c>
      <c r="J783" s="17">
        <f>IF(Log[[#This Row],[Verb]]="block",1,IF(OR(Log[[#This Row],[Verb]]="unblock",Log[[#This Row],[Verb]]="done",Log[[#This Row],[Verb]]="drop",Log[[#This Row],[Verb]]="punt",Log[[#This Row],[Verb]]="pass"),0,""))</f>
      </c>
      <c r="K783" s="17">
        <f>IF(Log[[#This Row],[ID]]="",0,IFERROR(INDEX(Items[Pts],MATCH(Log[[#This Row],[ID]],Items[ID],0))*1,0))</f>
      </c>
      <c r="L783" s="17">
        <f>IF(Log[[#This Row],[ID]]="","",IFERROR(INDEX(Items[Cur team],MATCH(Log[[#This Row],[ID]],Items[ID],0))&amp;"",""))</f>
      </c>
      <c r="M783" s="17">
        <f>IF(OR(Log[[#This Row],[Verb]]="done",Log[[#This Row],[Verb]]="punt",Log[[#This Row],[Verb]]="drop",Log[[#This Row],[Verb]]="pass"),Log[[#This Row],[Pts]],0)</f>
      </c>
    </row>
    <row r="784">
      <c r="A784" s="11">
        <v>46147</v>
      </c>
      <c r="B784" t="s">
        <v>528</v>
      </c>
      <c r="C784" t="s">
        <v>34</v>
      </c>
      <c r="D784">
        <v>43</v>
      </c>
      <c r="F784" s="17">
        <f>IF(Log[[#This Row],[ID]]="","",IF(ISNA(MATCH(Log[[#This Row],[ID]],Items[ID],0)),"unknown ID",IF(ISNA(MATCH(Log[[#This Row],[Verb]],VerbList,0)),"unknown verb",IF(Log[[#This Row],[Date]]="","no date",""))))</f>
      </c>
      <c r="G784" s="17">
        <f>IF(Log[[#This Row],[ID]]="","",IFERROR(VLOOKUP(Log[[#This Row],[Verb]],Verbs,3,FALSE)&amp;"",""))</f>
      </c>
      <c r="H784" s="17">
        <f>IF(Log[[#This Row],[Date]]="","",INT((Log[[#This Row],[Date]]-Sprint1)/SprintDays)+1)</f>
      </c>
      <c r="I784" s="17">
        <f>IF(OR(Log[[#This Row],[Verb]]="commit",Log[[#This Row],[Verb]]="carry",Log[[#This Row],[Verb]]="redo"),IF(Log[[#This Row],[Arg]]="",Log[[#This Row],[Sprint]],N(Log[[#This Row],[Arg]])),"")</f>
      </c>
      <c r="J784" s="17">
        <f>IF(Log[[#This Row],[Verb]]="block",1,IF(OR(Log[[#This Row],[Verb]]="unblock",Log[[#This Row],[Verb]]="done",Log[[#This Row],[Verb]]="drop",Log[[#This Row],[Verb]]="punt",Log[[#This Row],[Verb]]="pass"),0,""))</f>
      </c>
      <c r="K784" s="17">
        <f>IF(Log[[#This Row],[ID]]="",0,IFERROR(INDEX(Items[Pts],MATCH(Log[[#This Row],[ID]],Items[ID],0))*1,0))</f>
      </c>
      <c r="L784" s="17">
        <f>IF(Log[[#This Row],[ID]]="","",IFERROR(INDEX(Items[Cur team],MATCH(Log[[#This Row],[ID]],Items[ID],0))&amp;"",""))</f>
      </c>
      <c r="M784" s="17">
        <f>IF(OR(Log[[#This Row],[Verb]]="done",Log[[#This Row],[Verb]]="punt",Log[[#This Row],[Verb]]="drop",Log[[#This Row],[Verb]]="pass"),Log[[#This Row],[Pts]],0)</f>
      </c>
    </row>
    <row r="785">
      <c r="A785" s="11">
        <v>46147</v>
      </c>
      <c r="B785" t="s">
        <v>529</v>
      </c>
      <c r="C785" t="s">
        <v>34</v>
      </c>
      <c r="D785">
        <v>43</v>
      </c>
      <c r="F785" s="17">
        <f>IF(Log[[#This Row],[ID]]="","",IF(ISNA(MATCH(Log[[#This Row],[ID]],Items[ID],0)),"unknown ID",IF(ISNA(MATCH(Log[[#This Row],[Verb]],VerbList,0)),"unknown verb",IF(Log[[#This Row],[Date]]="","no date",""))))</f>
      </c>
      <c r="G785" s="17">
        <f>IF(Log[[#This Row],[ID]]="","",IFERROR(VLOOKUP(Log[[#This Row],[Verb]],Verbs,3,FALSE)&amp;"",""))</f>
      </c>
      <c r="H785" s="17">
        <f>IF(Log[[#This Row],[Date]]="","",INT((Log[[#This Row],[Date]]-Sprint1)/SprintDays)+1)</f>
      </c>
      <c r="I785" s="17">
        <f>IF(OR(Log[[#This Row],[Verb]]="commit",Log[[#This Row],[Verb]]="carry",Log[[#This Row],[Verb]]="redo"),IF(Log[[#This Row],[Arg]]="",Log[[#This Row],[Sprint]],N(Log[[#This Row],[Arg]])),"")</f>
      </c>
      <c r="J785" s="17">
        <f>IF(Log[[#This Row],[Verb]]="block",1,IF(OR(Log[[#This Row],[Verb]]="unblock",Log[[#This Row],[Verb]]="done",Log[[#This Row],[Verb]]="drop",Log[[#This Row],[Verb]]="punt",Log[[#This Row],[Verb]]="pass"),0,""))</f>
      </c>
      <c r="K785" s="17">
        <f>IF(Log[[#This Row],[ID]]="",0,IFERROR(INDEX(Items[Pts],MATCH(Log[[#This Row],[ID]],Items[ID],0))*1,0))</f>
      </c>
      <c r="L785" s="17">
        <f>IF(Log[[#This Row],[ID]]="","",IFERROR(INDEX(Items[Cur team],MATCH(Log[[#This Row],[ID]],Items[ID],0))&amp;"",""))</f>
      </c>
      <c r="M785" s="17">
        <f>IF(OR(Log[[#This Row],[Verb]]="done",Log[[#This Row],[Verb]]="punt",Log[[#This Row],[Verb]]="drop",Log[[#This Row],[Verb]]="pass"),Log[[#This Row],[Pts]],0)</f>
      </c>
    </row>
    <row r="786">
      <c r="A786" s="11">
        <v>46147</v>
      </c>
      <c r="B786" t="s">
        <v>530</v>
      </c>
      <c r="C786" t="s">
        <v>34</v>
      </c>
      <c r="D786">
        <v>43</v>
      </c>
      <c r="F786" s="17">
        <f>IF(Log[[#This Row],[ID]]="","",IF(ISNA(MATCH(Log[[#This Row],[ID]],Items[ID],0)),"unknown ID",IF(ISNA(MATCH(Log[[#This Row],[Verb]],VerbList,0)),"unknown verb",IF(Log[[#This Row],[Date]]="","no date",""))))</f>
      </c>
      <c r="G786" s="17">
        <f>IF(Log[[#This Row],[ID]]="","",IFERROR(VLOOKUP(Log[[#This Row],[Verb]],Verbs,3,FALSE)&amp;"",""))</f>
      </c>
      <c r="H786" s="17">
        <f>IF(Log[[#This Row],[Date]]="","",INT((Log[[#This Row],[Date]]-Sprint1)/SprintDays)+1)</f>
      </c>
      <c r="I786" s="17">
        <f>IF(OR(Log[[#This Row],[Verb]]="commit",Log[[#This Row],[Verb]]="carry",Log[[#This Row],[Verb]]="redo"),IF(Log[[#This Row],[Arg]]="",Log[[#This Row],[Sprint]],N(Log[[#This Row],[Arg]])),"")</f>
      </c>
      <c r="J786" s="17">
        <f>IF(Log[[#This Row],[Verb]]="block",1,IF(OR(Log[[#This Row],[Verb]]="unblock",Log[[#This Row],[Verb]]="done",Log[[#This Row],[Verb]]="drop",Log[[#This Row],[Verb]]="punt",Log[[#This Row],[Verb]]="pass"),0,""))</f>
      </c>
      <c r="K786" s="17">
        <f>IF(Log[[#This Row],[ID]]="",0,IFERROR(INDEX(Items[Pts],MATCH(Log[[#This Row],[ID]],Items[ID],0))*1,0))</f>
      </c>
      <c r="L786" s="17">
        <f>IF(Log[[#This Row],[ID]]="","",IFERROR(INDEX(Items[Cur team],MATCH(Log[[#This Row],[ID]],Items[ID],0))&amp;"",""))</f>
      </c>
      <c r="M786" s="17">
        <f>IF(OR(Log[[#This Row],[Verb]]="done",Log[[#This Row],[Verb]]="punt",Log[[#This Row],[Verb]]="drop",Log[[#This Row],[Verb]]="pass"),Log[[#This Row],[Pts]],0)</f>
      </c>
    </row>
    <row r="787">
      <c r="A787" s="11">
        <v>46147</v>
      </c>
      <c r="B787" t="s">
        <v>531</v>
      </c>
      <c r="C787" t="s">
        <v>34</v>
      </c>
      <c r="D787">
        <v>43</v>
      </c>
      <c r="F787" s="17">
        <f>IF(Log[[#This Row],[ID]]="","",IF(ISNA(MATCH(Log[[#This Row],[ID]],Items[ID],0)),"unknown ID",IF(ISNA(MATCH(Log[[#This Row],[Verb]],VerbList,0)),"unknown verb",IF(Log[[#This Row],[Date]]="","no date",""))))</f>
      </c>
      <c r="G787" s="17">
        <f>IF(Log[[#This Row],[ID]]="","",IFERROR(VLOOKUP(Log[[#This Row],[Verb]],Verbs,3,FALSE)&amp;"",""))</f>
      </c>
      <c r="H787" s="17">
        <f>IF(Log[[#This Row],[Date]]="","",INT((Log[[#This Row],[Date]]-Sprint1)/SprintDays)+1)</f>
      </c>
      <c r="I787" s="17">
        <f>IF(OR(Log[[#This Row],[Verb]]="commit",Log[[#This Row],[Verb]]="carry",Log[[#This Row],[Verb]]="redo"),IF(Log[[#This Row],[Arg]]="",Log[[#This Row],[Sprint]],N(Log[[#This Row],[Arg]])),"")</f>
      </c>
      <c r="J787" s="17">
        <f>IF(Log[[#This Row],[Verb]]="block",1,IF(OR(Log[[#This Row],[Verb]]="unblock",Log[[#This Row],[Verb]]="done",Log[[#This Row],[Verb]]="drop",Log[[#This Row],[Verb]]="punt",Log[[#This Row],[Verb]]="pass"),0,""))</f>
      </c>
      <c r="K787" s="17">
        <f>IF(Log[[#This Row],[ID]]="",0,IFERROR(INDEX(Items[Pts],MATCH(Log[[#This Row],[ID]],Items[ID],0))*1,0))</f>
      </c>
      <c r="L787" s="17">
        <f>IF(Log[[#This Row],[ID]]="","",IFERROR(INDEX(Items[Cur team],MATCH(Log[[#This Row],[ID]],Items[ID],0))&amp;"",""))</f>
      </c>
      <c r="M787" s="17">
        <f>IF(OR(Log[[#This Row],[Verb]]="done",Log[[#This Row],[Verb]]="punt",Log[[#This Row],[Verb]]="drop",Log[[#This Row],[Verb]]="pass"),Log[[#This Row],[Pts]],0)</f>
      </c>
    </row>
    <row r="788">
      <c r="A788" s="11">
        <v>46147</v>
      </c>
      <c r="B788" t="s">
        <v>532</v>
      </c>
      <c r="C788" t="s">
        <v>34</v>
      </c>
      <c r="D788">
        <v>43</v>
      </c>
      <c r="F788" s="17">
        <f>IF(Log[[#This Row],[ID]]="","",IF(ISNA(MATCH(Log[[#This Row],[ID]],Items[ID],0)),"unknown ID",IF(ISNA(MATCH(Log[[#This Row],[Verb]],VerbList,0)),"unknown verb",IF(Log[[#This Row],[Date]]="","no date",""))))</f>
      </c>
      <c r="G788" s="17">
        <f>IF(Log[[#This Row],[ID]]="","",IFERROR(VLOOKUP(Log[[#This Row],[Verb]],Verbs,3,FALSE)&amp;"",""))</f>
      </c>
      <c r="H788" s="17">
        <f>IF(Log[[#This Row],[Date]]="","",INT((Log[[#This Row],[Date]]-Sprint1)/SprintDays)+1)</f>
      </c>
      <c r="I788" s="17">
        <f>IF(OR(Log[[#This Row],[Verb]]="commit",Log[[#This Row],[Verb]]="carry",Log[[#This Row],[Verb]]="redo"),IF(Log[[#This Row],[Arg]]="",Log[[#This Row],[Sprint]],N(Log[[#This Row],[Arg]])),"")</f>
      </c>
      <c r="J788" s="17">
        <f>IF(Log[[#This Row],[Verb]]="block",1,IF(OR(Log[[#This Row],[Verb]]="unblock",Log[[#This Row],[Verb]]="done",Log[[#This Row],[Verb]]="drop",Log[[#This Row],[Verb]]="punt",Log[[#This Row],[Verb]]="pass"),0,""))</f>
      </c>
      <c r="K788" s="17">
        <f>IF(Log[[#This Row],[ID]]="",0,IFERROR(INDEX(Items[Pts],MATCH(Log[[#This Row],[ID]],Items[ID],0))*1,0))</f>
      </c>
      <c r="L788" s="17">
        <f>IF(Log[[#This Row],[ID]]="","",IFERROR(INDEX(Items[Cur team],MATCH(Log[[#This Row],[ID]],Items[ID],0))&amp;"",""))</f>
      </c>
      <c r="M788" s="17">
        <f>IF(OR(Log[[#This Row],[Verb]]="done",Log[[#This Row],[Verb]]="punt",Log[[#This Row],[Verb]]="drop",Log[[#This Row],[Verb]]="pass"),Log[[#This Row],[Pts]],0)</f>
      </c>
    </row>
    <row r="789">
      <c r="A789" s="11">
        <v>46147</v>
      </c>
      <c r="B789" t="s">
        <v>533</v>
      </c>
      <c r="C789" t="s">
        <v>34</v>
      </c>
      <c r="D789">
        <v>43</v>
      </c>
      <c r="F789" s="17">
        <f>IF(Log[[#This Row],[ID]]="","",IF(ISNA(MATCH(Log[[#This Row],[ID]],Items[ID],0)),"unknown ID",IF(ISNA(MATCH(Log[[#This Row],[Verb]],VerbList,0)),"unknown verb",IF(Log[[#This Row],[Date]]="","no date",""))))</f>
      </c>
      <c r="G789" s="17">
        <f>IF(Log[[#This Row],[ID]]="","",IFERROR(VLOOKUP(Log[[#This Row],[Verb]],Verbs,3,FALSE)&amp;"",""))</f>
      </c>
      <c r="H789" s="17">
        <f>IF(Log[[#This Row],[Date]]="","",INT((Log[[#This Row],[Date]]-Sprint1)/SprintDays)+1)</f>
      </c>
      <c r="I789" s="17">
        <f>IF(OR(Log[[#This Row],[Verb]]="commit",Log[[#This Row],[Verb]]="carry",Log[[#This Row],[Verb]]="redo"),IF(Log[[#This Row],[Arg]]="",Log[[#This Row],[Sprint]],N(Log[[#This Row],[Arg]])),"")</f>
      </c>
      <c r="J789" s="17">
        <f>IF(Log[[#This Row],[Verb]]="block",1,IF(OR(Log[[#This Row],[Verb]]="unblock",Log[[#This Row],[Verb]]="done",Log[[#This Row],[Verb]]="drop",Log[[#This Row],[Verb]]="punt",Log[[#This Row],[Verb]]="pass"),0,""))</f>
      </c>
      <c r="K789" s="17">
        <f>IF(Log[[#This Row],[ID]]="",0,IFERROR(INDEX(Items[Pts],MATCH(Log[[#This Row],[ID]],Items[ID],0))*1,0))</f>
      </c>
      <c r="L789" s="17">
        <f>IF(Log[[#This Row],[ID]]="","",IFERROR(INDEX(Items[Cur team],MATCH(Log[[#This Row],[ID]],Items[ID],0))&amp;"",""))</f>
      </c>
      <c r="M789" s="17">
        <f>IF(OR(Log[[#This Row],[Verb]]="done",Log[[#This Row],[Verb]]="punt",Log[[#This Row],[Verb]]="drop",Log[[#This Row],[Verb]]="pass"),Log[[#This Row],[Pts]],0)</f>
      </c>
    </row>
    <row r="790">
      <c r="A790" s="11">
        <v>46147</v>
      </c>
      <c r="B790" t="s">
        <v>534</v>
      </c>
      <c r="C790" t="s">
        <v>34</v>
      </c>
      <c r="D790">
        <v>43</v>
      </c>
      <c r="F790" s="17">
        <f>IF(Log[[#This Row],[ID]]="","",IF(ISNA(MATCH(Log[[#This Row],[ID]],Items[ID],0)),"unknown ID",IF(ISNA(MATCH(Log[[#This Row],[Verb]],VerbList,0)),"unknown verb",IF(Log[[#This Row],[Date]]="","no date",""))))</f>
      </c>
      <c r="G790" s="17">
        <f>IF(Log[[#This Row],[ID]]="","",IFERROR(VLOOKUP(Log[[#This Row],[Verb]],Verbs,3,FALSE)&amp;"",""))</f>
      </c>
      <c r="H790" s="17">
        <f>IF(Log[[#This Row],[Date]]="","",INT((Log[[#This Row],[Date]]-Sprint1)/SprintDays)+1)</f>
      </c>
      <c r="I790" s="17">
        <f>IF(OR(Log[[#This Row],[Verb]]="commit",Log[[#This Row],[Verb]]="carry",Log[[#This Row],[Verb]]="redo"),IF(Log[[#This Row],[Arg]]="",Log[[#This Row],[Sprint]],N(Log[[#This Row],[Arg]])),"")</f>
      </c>
      <c r="J790" s="17">
        <f>IF(Log[[#This Row],[Verb]]="block",1,IF(OR(Log[[#This Row],[Verb]]="unblock",Log[[#This Row],[Verb]]="done",Log[[#This Row],[Verb]]="drop",Log[[#This Row],[Verb]]="punt",Log[[#This Row],[Verb]]="pass"),0,""))</f>
      </c>
      <c r="K790" s="17">
        <f>IF(Log[[#This Row],[ID]]="",0,IFERROR(INDEX(Items[Pts],MATCH(Log[[#This Row],[ID]],Items[ID],0))*1,0))</f>
      </c>
      <c r="L790" s="17">
        <f>IF(Log[[#This Row],[ID]]="","",IFERROR(INDEX(Items[Cur team],MATCH(Log[[#This Row],[ID]],Items[ID],0))&amp;"",""))</f>
      </c>
      <c r="M790" s="17">
        <f>IF(OR(Log[[#This Row],[Verb]]="done",Log[[#This Row],[Verb]]="punt",Log[[#This Row],[Verb]]="drop",Log[[#This Row],[Verb]]="pass"),Log[[#This Row],[Pts]],0)</f>
      </c>
    </row>
    <row r="791">
      <c r="A791" s="11">
        <v>46147</v>
      </c>
      <c r="B791" t="s">
        <v>535</v>
      </c>
      <c r="C791" t="s">
        <v>34</v>
      </c>
      <c r="D791">
        <v>43</v>
      </c>
      <c r="F791" s="17">
        <f>IF(Log[[#This Row],[ID]]="","",IF(ISNA(MATCH(Log[[#This Row],[ID]],Items[ID],0)),"unknown ID",IF(ISNA(MATCH(Log[[#This Row],[Verb]],VerbList,0)),"unknown verb",IF(Log[[#This Row],[Date]]="","no date",""))))</f>
      </c>
      <c r="G791" s="17">
        <f>IF(Log[[#This Row],[ID]]="","",IFERROR(VLOOKUP(Log[[#This Row],[Verb]],Verbs,3,FALSE)&amp;"",""))</f>
      </c>
      <c r="H791" s="17">
        <f>IF(Log[[#This Row],[Date]]="","",INT((Log[[#This Row],[Date]]-Sprint1)/SprintDays)+1)</f>
      </c>
      <c r="I791" s="17">
        <f>IF(OR(Log[[#This Row],[Verb]]="commit",Log[[#This Row],[Verb]]="carry",Log[[#This Row],[Verb]]="redo"),IF(Log[[#This Row],[Arg]]="",Log[[#This Row],[Sprint]],N(Log[[#This Row],[Arg]])),"")</f>
      </c>
      <c r="J791" s="17">
        <f>IF(Log[[#This Row],[Verb]]="block",1,IF(OR(Log[[#This Row],[Verb]]="unblock",Log[[#This Row],[Verb]]="done",Log[[#This Row],[Verb]]="drop",Log[[#This Row],[Verb]]="punt",Log[[#This Row],[Verb]]="pass"),0,""))</f>
      </c>
      <c r="K791" s="17">
        <f>IF(Log[[#This Row],[ID]]="",0,IFERROR(INDEX(Items[Pts],MATCH(Log[[#This Row],[ID]],Items[ID],0))*1,0))</f>
      </c>
      <c r="L791" s="17">
        <f>IF(Log[[#This Row],[ID]]="","",IFERROR(INDEX(Items[Cur team],MATCH(Log[[#This Row],[ID]],Items[ID],0))&amp;"",""))</f>
      </c>
      <c r="M791" s="17">
        <f>IF(OR(Log[[#This Row],[Verb]]="done",Log[[#This Row],[Verb]]="punt",Log[[#This Row],[Verb]]="drop",Log[[#This Row],[Verb]]="pass"),Log[[#This Row],[Pts]],0)</f>
      </c>
    </row>
    <row r="792">
      <c r="A792" s="11">
        <v>46147</v>
      </c>
      <c r="B792" t="s">
        <v>536</v>
      </c>
      <c r="C792" t="s">
        <v>34</v>
      </c>
      <c r="D792">
        <v>43</v>
      </c>
      <c r="F792" s="17">
        <f>IF(Log[[#This Row],[ID]]="","",IF(ISNA(MATCH(Log[[#This Row],[ID]],Items[ID],0)),"unknown ID",IF(ISNA(MATCH(Log[[#This Row],[Verb]],VerbList,0)),"unknown verb",IF(Log[[#This Row],[Date]]="","no date",""))))</f>
      </c>
      <c r="G792" s="17">
        <f>IF(Log[[#This Row],[ID]]="","",IFERROR(VLOOKUP(Log[[#This Row],[Verb]],Verbs,3,FALSE)&amp;"",""))</f>
      </c>
      <c r="H792" s="17">
        <f>IF(Log[[#This Row],[Date]]="","",INT((Log[[#This Row],[Date]]-Sprint1)/SprintDays)+1)</f>
      </c>
      <c r="I792" s="17">
        <f>IF(OR(Log[[#This Row],[Verb]]="commit",Log[[#This Row],[Verb]]="carry",Log[[#This Row],[Verb]]="redo"),IF(Log[[#This Row],[Arg]]="",Log[[#This Row],[Sprint]],N(Log[[#This Row],[Arg]])),"")</f>
      </c>
      <c r="J792" s="17">
        <f>IF(Log[[#This Row],[Verb]]="block",1,IF(OR(Log[[#This Row],[Verb]]="unblock",Log[[#This Row],[Verb]]="done",Log[[#This Row],[Verb]]="drop",Log[[#This Row],[Verb]]="punt",Log[[#This Row],[Verb]]="pass"),0,""))</f>
      </c>
      <c r="K792" s="17">
        <f>IF(Log[[#This Row],[ID]]="",0,IFERROR(INDEX(Items[Pts],MATCH(Log[[#This Row],[ID]],Items[ID],0))*1,0))</f>
      </c>
      <c r="L792" s="17">
        <f>IF(Log[[#This Row],[ID]]="","",IFERROR(INDEX(Items[Cur team],MATCH(Log[[#This Row],[ID]],Items[ID],0))&amp;"",""))</f>
      </c>
      <c r="M792" s="17">
        <f>IF(OR(Log[[#This Row],[Verb]]="done",Log[[#This Row],[Verb]]="punt",Log[[#This Row],[Verb]]="drop",Log[[#This Row],[Verb]]="pass"),Log[[#This Row],[Pts]],0)</f>
      </c>
    </row>
    <row r="793">
      <c r="A793" s="11">
        <v>46147</v>
      </c>
      <c r="B793" t="s">
        <v>537</v>
      </c>
      <c r="C793" t="s">
        <v>34</v>
      </c>
      <c r="D793">
        <v>43</v>
      </c>
      <c r="F793" s="17">
        <f>IF(Log[[#This Row],[ID]]="","",IF(ISNA(MATCH(Log[[#This Row],[ID]],Items[ID],0)),"unknown ID",IF(ISNA(MATCH(Log[[#This Row],[Verb]],VerbList,0)),"unknown verb",IF(Log[[#This Row],[Date]]="","no date",""))))</f>
      </c>
      <c r="G793" s="17">
        <f>IF(Log[[#This Row],[ID]]="","",IFERROR(VLOOKUP(Log[[#This Row],[Verb]],Verbs,3,FALSE)&amp;"",""))</f>
      </c>
      <c r="H793" s="17">
        <f>IF(Log[[#This Row],[Date]]="","",INT((Log[[#This Row],[Date]]-Sprint1)/SprintDays)+1)</f>
      </c>
      <c r="I793" s="17">
        <f>IF(OR(Log[[#This Row],[Verb]]="commit",Log[[#This Row],[Verb]]="carry",Log[[#This Row],[Verb]]="redo"),IF(Log[[#This Row],[Arg]]="",Log[[#This Row],[Sprint]],N(Log[[#This Row],[Arg]])),"")</f>
      </c>
      <c r="J793" s="17">
        <f>IF(Log[[#This Row],[Verb]]="block",1,IF(OR(Log[[#This Row],[Verb]]="unblock",Log[[#This Row],[Verb]]="done",Log[[#This Row],[Verb]]="drop",Log[[#This Row],[Verb]]="punt",Log[[#This Row],[Verb]]="pass"),0,""))</f>
      </c>
      <c r="K793" s="17">
        <f>IF(Log[[#This Row],[ID]]="",0,IFERROR(INDEX(Items[Pts],MATCH(Log[[#This Row],[ID]],Items[ID],0))*1,0))</f>
      </c>
      <c r="L793" s="17">
        <f>IF(Log[[#This Row],[ID]]="","",IFERROR(INDEX(Items[Cur team],MATCH(Log[[#This Row],[ID]],Items[ID],0))&amp;"",""))</f>
      </c>
      <c r="M793" s="17">
        <f>IF(OR(Log[[#This Row],[Verb]]="done",Log[[#This Row],[Verb]]="punt",Log[[#This Row],[Verb]]="drop",Log[[#This Row],[Verb]]="pass"),Log[[#This Row],[Pts]],0)</f>
      </c>
    </row>
    <row r="794">
      <c r="A794" s="11">
        <v>46147</v>
      </c>
      <c r="B794" t="s">
        <v>538</v>
      </c>
      <c r="C794" t="s">
        <v>34</v>
      </c>
      <c r="D794">
        <v>43</v>
      </c>
      <c r="F794" s="17">
        <f>IF(Log[[#This Row],[ID]]="","",IF(ISNA(MATCH(Log[[#This Row],[ID]],Items[ID],0)),"unknown ID",IF(ISNA(MATCH(Log[[#This Row],[Verb]],VerbList,0)),"unknown verb",IF(Log[[#This Row],[Date]]="","no date",""))))</f>
      </c>
      <c r="G794" s="17">
        <f>IF(Log[[#This Row],[ID]]="","",IFERROR(VLOOKUP(Log[[#This Row],[Verb]],Verbs,3,FALSE)&amp;"",""))</f>
      </c>
      <c r="H794" s="17">
        <f>IF(Log[[#This Row],[Date]]="","",INT((Log[[#This Row],[Date]]-Sprint1)/SprintDays)+1)</f>
      </c>
      <c r="I794" s="17">
        <f>IF(OR(Log[[#This Row],[Verb]]="commit",Log[[#This Row],[Verb]]="carry",Log[[#This Row],[Verb]]="redo"),IF(Log[[#This Row],[Arg]]="",Log[[#This Row],[Sprint]],N(Log[[#This Row],[Arg]])),"")</f>
      </c>
      <c r="J794" s="17">
        <f>IF(Log[[#This Row],[Verb]]="block",1,IF(OR(Log[[#This Row],[Verb]]="unblock",Log[[#This Row],[Verb]]="done",Log[[#This Row],[Verb]]="drop",Log[[#This Row],[Verb]]="punt",Log[[#This Row],[Verb]]="pass"),0,""))</f>
      </c>
      <c r="K794" s="17">
        <f>IF(Log[[#This Row],[ID]]="",0,IFERROR(INDEX(Items[Pts],MATCH(Log[[#This Row],[ID]],Items[ID],0))*1,0))</f>
      </c>
      <c r="L794" s="17">
        <f>IF(Log[[#This Row],[ID]]="","",IFERROR(INDEX(Items[Cur team],MATCH(Log[[#This Row],[ID]],Items[ID],0))&amp;"",""))</f>
      </c>
      <c r="M794" s="17">
        <f>IF(OR(Log[[#This Row],[Verb]]="done",Log[[#This Row],[Verb]]="punt",Log[[#This Row],[Verb]]="drop",Log[[#This Row],[Verb]]="pass"),Log[[#This Row],[Pts]],0)</f>
      </c>
    </row>
    <row r="795">
      <c r="A795" s="11">
        <v>46147</v>
      </c>
      <c r="B795" t="s">
        <v>539</v>
      </c>
      <c r="C795" t="s">
        <v>34</v>
      </c>
      <c r="D795">
        <v>43</v>
      </c>
      <c r="F795" s="17">
        <f>IF(Log[[#This Row],[ID]]="","",IF(ISNA(MATCH(Log[[#This Row],[ID]],Items[ID],0)),"unknown ID",IF(ISNA(MATCH(Log[[#This Row],[Verb]],VerbList,0)),"unknown verb",IF(Log[[#This Row],[Date]]="","no date",""))))</f>
      </c>
      <c r="G795" s="17">
        <f>IF(Log[[#This Row],[ID]]="","",IFERROR(VLOOKUP(Log[[#This Row],[Verb]],Verbs,3,FALSE)&amp;"",""))</f>
      </c>
      <c r="H795" s="17">
        <f>IF(Log[[#This Row],[Date]]="","",INT((Log[[#This Row],[Date]]-Sprint1)/SprintDays)+1)</f>
      </c>
      <c r="I795" s="17">
        <f>IF(OR(Log[[#This Row],[Verb]]="commit",Log[[#This Row],[Verb]]="carry",Log[[#This Row],[Verb]]="redo"),IF(Log[[#This Row],[Arg]]="",Log[[#This Row],[Sprint]],N(Log[[#This Row],[Arg]])),"")</f>
      </c>
      <c r="J795" s="17">
        <f>IF(Log[[#This Row],[Verb]]="block",1,IF(OR(Log[[#This Row],[Verb]]="unblock",Log[[#This Row],[Verb]]="done",Log[[#This Row],[Verb]]="drop",Log[[#This Row],[Verb]]="punt",Log[[#This Row],[Verb]]="pass"),0,""))</f>
      </c>
      <c r="K795" s="17">
        <f>IF(Log[[#This Row],[ID]]="",0,IFERROR(INDEX(Items[Pts],MATCH(Log[[#This Row],[ID]],Items[ID],0))*1,0))</f>
      </c>
      <c r="L795" s="17">
        <f>IF(Log[[#This Row],[ID]]="","",IFERROR(INDEX(Items[Cur team],MATCH(Log[[#This Row],[ID]],Items[ID],0))&amp;"",""))</f>
      </c>
      <c r="M795" s="17">
        <f>IF(OR(Log[[#This Row],[Verb]]="done",Log[[#This Row],[Verb]]="punt",Log[[#This Row],[Verb]]="drop",Log[[#This Row],[Verb]]="pass"),Log[[#This Row],[Pts]],0)</f>
      </c>
    </row>
    <row r="796">
      <c r="A796" s="11">
        <v>46147</v>
      </c>
      <c r="B796" t="s">
        <v>540</v>
      </c>
      <c r="C796" t="s">
        <v>34</v>
      </c>
      <c r="D796">
        <v>43</v>
      </c>
      <c r="F796" s="17">
        <f>IF(Log[[#This Row],[ID]]="","",IF(ISNA(MATCH(Log[[#This Row],[ID]],Items[ID],0)),"unknown ID",IF(ISNA(MATCH(Log[[#This Row],[Verb]],VerbList,0)),"unknown verb",IF(Log[[#This Row],[Date]]="","no date",""))))</f>
      </c>
      <c r="G796" s="17">
        <f>IF(Log[[#This Row],[ID]]="","",IFERROR(VLOOKUP(Log[[#This Row],[Verb]],Verbs,3,FALSE)&amp;"",""))</f>
      </c>
      <c r="H796" s="17">
        <f>IF(Log[[#This Row],[Date]]="","",INT((Log[[#This Row],[Date]]-Sprint1)/SprintDays)+1)</f>
      </c>
      <c r="I796" s="17">
        <f>IF(OR(Log[[#This Row],[Verb]]="commit",Log[[#This Row],[Verb]]="carry",Log[[#This Row],[Verb]]="redo"),IF(Log[[#This Row],[Arg]]="",Log[[#This Row],[Sprint]],N(Log[[#This Row],[Arg]])),"")</f>
      </c>
      <c r="J796" s="17">
        <f>IF(Log[[#This Row],[Verb]]="block",1,IF(OR(Log[[#This Row],[Verb]]="unblock",Log[[#This Row],[Verb]]="done",Log[[#This Row],[Verb]]="drop",Log[[#This Row],[Verb]]="punt",Log[[#This Row],[Verb]]="pass"),0,""))</f>
      </c>
      <c r="K796" s="17">
        <f>IF(Log[[#This Row],[ID]]="",0,IFERROR(INDEX(Items[Pts],MATCH(Log[[#This Row],[ID]],Items[ID],0))*1,0))</f>
      </c>
      <c r="L796" s="17">
        <f>IF(Log[[#This Row],[ID]]="","",IFERROR(INDEX(Items[Cur team],MATCH(Log[[#This Row],[ID]],Items[ID],0))&amp;"",""))</f>
      </c>
      <c r="M796" s="17">
        <f>IF(OR(Log[[#This Row],[Verb]]="done",Log[[#This Row],[Verb]]="punt",Log[[#This Row],[Verb]]="drop",Log[[#This Row],[Verb]]="pass"),Log[[#This Row],[Pts]],0)</f>
      </c>
    </row>
    <row r="797">
      <c r="A797" s="11">
        <v>46147</v>
      </c>
      <c r="B797" t="s">
        <v>541</v>
      </c>
      <c r="C797" t="s">
        <v>34</v>
      </c>
      <c r="D797">
        <v>43</v>
      </c>
      <c r="F797" s="17">
        <f>IF(Log[[#This Row],[ID]]="","",IF(ISNA(MATCH(Log[[#This Row],[ID]],Items[ID],0)),"unknown ID",IF(ISNA(MATCH(Log[[#This Row],[Verb]],VerbList,0)),"unknown verb",IF(Log[[#This Row],[Date]]="","no date",""))))</f>
      </c>
      <c r="G797" s="17">
        <f>IF(Log[[#This Row],[ID]]="","",IFERROR(VLOOKUP(Log[[#This Row],[Verb]],Verbs,3,FALSE)&amp;"",""))</f>
      </c>
      <c r="H797" s="17">
        <f>IF(Log[[#This Row],[Date]]="","",INT((Log[[#This Row],[Date]]-Sprint1)/SprintDays)+1)</f>
      </c>
      <c r="I797" s="17">
        <f>IF(OR(Log[[#This Row],[Verb]]="commit",Log[[#This Row],[Verb]]="carry",Log[[#This Row],[Verb]]="redo"),IF(Log[[#This Row],[Arg]]="",Log[[#This Row],[Sprint]],N(Log[[#This Row],[Arg]])),"")</f>
      </c>
      <c r="J797" s="17">
        <f>IF(Log[[#This Row],[Verb]]="block",1,IF(OR(Log[[#This Row],[Verb]]="unblock",Log[[#This Row],[Verb]]="done",Log[[#This Row],[Verb]]="drop",Log[[#This Row],[Verb]]="punt",Log[[#This Row],[Verb]]="pass"),0,""))</f>
      </c>
      <c r="K797" s="17">
        <f>IF(Log[[#This Row],[ID]]="",0,IFERROR(INDEX(Items[Pts],MATCH(Log[[#This Row],[ID]],Items[ID],0))*1,0))</f>
      </c>
      <c r="L797" s="17">
        <f>IF(Log[[#This Row],[ID]]="","",IFERROR(INDEX(Items[Cur team],MATCH(Log[[#This Row],[ID]],Items[ID],0))&amp;"",""))</f>
      </c>
      <c r="M797" s="17">
        <f>IF(OR(Log[[#This Row],[Verb]]="done",Log[[#This Row],[Verb]]="punt",Log[[#This Row],[Verb]]="drop",Log[[#This Row],[Verb]]="pass"),Log[[#This Row],[Pts]],0)</f>
      </c>
    </row>
    <row r="798">
      <c r="A798" s="11">
        <v>46147</v>
      </c>
      <c r="B798" t="s">
        <v>542</v>
      </c>
      <c r="C798" t="s">
        <v>34</v>
      </c>
      <c r="D798">
        <v>43</v>
      </c>
      <c r="F798" s="17">
        <f>IF(Log[[#This Row],[ID]]="","",IF(ISNA(MATCH(Log[[#This Row],[ID]],Items[ID],0)),"unknown ID",IF(ISNA(MATCH(Log[[#This Row],[Verb]],VerbList,0)),"unknown verb",IF(Log[[#This Row],[Date]]="","no date",""))))</f>
      </c>
      <c r="G798" s="17">
        <f>IF(Log[[#This Row],[ID]]="","",IFERROR(VLOOKUP(Log[[#This Row],[Verb]],Verbs,3,FALSE)&amp;"",""))</f>
      </c>
      <c r="H798" s="17">
        <f>IF(Log[[#This Row],[Date]]="","",INT((Log[[#This Row],[Date]]-Sprint1)/SprintDays)+1)</f>
      </c>
      <c r="I798" s="17">
        <f>IF(OR(Log[[#This Row],[Verb]]="commit",Log[[#This Row],[Verb]]="carry",Log[[#This Row],[Verb]]="redo"),IF(Log[[#This Row],[Arg]]="",Log[[#This Row],[Sprint]],N(Log[[#This Row],[Arg]])),"")</f>
      </c>
      <c r="J798" s="17">
        <f>IF(Log[[#This Row],[Verb]]="block",1,IF(OR(Log[[#This Row],[Verb]]="unblock",Log[[#This Row],[Verb]]="done",Log[[#This Row],[Verb]]="drop",Log[[#This Row],[Verb]]="punt",Log[[#This Row],[Verb]]="pass"),0,""))</f>
      </c>
      <c r="K798" s="17">
        <f>IF(Log[[#This Row],[ID]]="",0,IFERROR(INDEX(Items[Pts],MATCH(Log[[#This Row],[ID]],Items[ID],0))*1,0))</f>
      </c>
      <c r="L798" s="17">
        <f>IF(Log[[#This Row],[ID]]="","",IFERROR(INDEX(Items[Cur team],MATCH(Log[[#This Row],[ID]],Items[ID],0))&amp;"",""))</f>
      </c>
      <c r="M798" s="17">
        <f>IF(OR(Log[[#This Row],[Verb]]="done",Log[[#This Row],[Verb]]="punt",Log[[#This Row],[Verb]]="drop",Log[[#This Row],[Verb]]="pass"),Log[[#This Row],[Pts]],0)</f>
      </c>
    </row>
    <row r="799">
      <c r="A799" s="11">
        <v>46160</v>
      </c>
      <c r="B799" t="s">
        <v>375</v>
      </c>
      <c r="C799" t="s">
        <v>41</v>
      </c>
      <c r="F799" s="17">
        <f>IF(Log[[#This Row],[ID]]="","",IF(ISNA(MATCH(Log[[#This Row],[ID]],Items[ID],0)),"unknown ID",IF(ISNA(MATCH(Log[[#This Row],[Verb]],VerbList,0)),"unknown verb",IF(Log[[#This Row],[Date]]="","no date",""))))</f>
      </c>
      <c r="G799" s="17">
        <f>IF(Log[[#This Row],[ID]]="","",IFERROR(VLOOKUP(Log[[#This Row],[Verb]],Verbs,3,FALSE)&amp;"",""))</f>
      </c>
      <c r="H799" s="17">
        <f>IF(Log[[#This Row],[Date]]="","",INT((Log[[#This Row],[Date]]-Sprint1)/SprintDays)+1)</f>
      </c>
      <c r="I799" s="17">
        <f>IF(OR(Log[[#This Row],[Verb]]="commit",Log[[#This Row],[Verb]]="carry",Log[[#This Row],[Verb]]="redo"),IF(Log[[#This Row],[Arg]]="",Log[[#This Row],[Sprint]],N(Log[[#This Row],[Arg]])),"")</f>
      </c>
      <c r="J799" s="17">
        <f>IF(Log[[#This Row],[Verb]]="block",1,IF(OR(Log[[#This Row],[Verb]]="unblock",Log[[#This Row],[Verb]]="done",Log[[#This Row],[Verb]]="drop",Log[[#This Row],[Verb]]="punt",Log[[#This Row],[Verb]]="pass"),0,""))</f>
      </c>
      <c r="K799" s="17">
        <f>IF(Log[[#This Row],[ID]]="",0,IFERROR(INDEX(Items[Pts],MATCH(Log[[#This Row],[ID]],Items[ID],0))*1,0))</f>
      </c>
      <c r="L799" s="17">
        <f>IF(Log[[#This Row],[ID]]="","",IFERROR(INDEX(Items[Cur team],MATCH(Log[[#This Row],[ID]],Items[ID],0))&amp;"",""))</f>
      </c>
      <c r="M799" s="17">
        <f>IF(OR(Log[[#This Row],[Verb]]="done",Log[[#This Row],[Verb]]="punt",Log[[#This Row],[Verb]]="drop",Log[[#This Row],[Verb]]="pass"),Log[[#This Row],[Pts]],0)</f>
      </c>
    </row>
    <row r="800">
      <c r="A800" s="11">
        <v>46160</v>
      </c>
      <c r="B800" t="s">
        <v>431</v>
      </c>
      <c r="C800" t="s">
        <v>41</v>
      </c>
      <c r="F800" s="17">
        <f>IF(Log[[#This Row],[ID]]="","",IF(ISNA(MATCH(Log[[#This Row],[ID]],Items[ID],0)),"unknown ID",IF(ISNA(MATCH(Log[[#This Row],[Verb]],VerbList,0)),"unknown verb",IF(Log[[#This Row],[Date]]="","no date",""))))</f>
      </c>
      <c r="G800" s="17">
        <f>IF(Log[[#This Row],[ID]]="","",IFERROR(VLOOKUP(Log[[#This Row],[Verb]],Verbs,3,FALSE)&amp;"",""))</f>
      </c>
      <c r="H800" s="17">
        <f>IF(Log[[#This Row],[Date]]="","",INT((Log[[#This Row],[Date]]-Sprint1)/SprintDays)+1)</f>
      </c>
      <c r="I800" s="17">
        <f>IF(OR(Log[[#This Row],[Verb]]="commit",Log[[#This Row],[Verb]]="carry",Log[[#This Row],[Verb]]="redo"),IF(Log[[#This Row],[Arg]]="",Log[[#This Row],[Sprint]],N(Log[[#This Row],[Arg]])),"")</f>
      </c>
      <c r="J800" s="17">
        <f>IF(Log[[#This Row],[Verb]]="block",1,IF(OR(Log[[#This Row],[Verb]]="unblock",Log[[#This Row],[Verb]]="done",Log[[#This Row],[Verb]]="drop",Log[[#This Row],[Verb]]="punt",Log[[#This Row],[Verb]]="pass"),0,""))</f>
      </c>
      <c r="K800" s="17">
        <f>IF(Log[[#This Row],[ID]]="",0,IFERROR(INDEX(Items[Pts],MATCH(Log[[#This Row],[ID]],Items[ID],0))*1,0))</f>
      </c>
      <c r="L800" s="17">
        <f>IF(Log[[#This Row],[ID]]="","",IFERROR(INDEX(Items[Cur team],MATCH(Log[[#This Row],[ID]],Items[ID],0))&amp;"",""))</f>
      </c>
      <c r="M800" s="17">
        <f>IF(OR(Log[[#This Row],[Verb]]="done",Log[[#This Row],[Verb]]="punt",Log[[#This Row],[Verb]]="drop",Log[[#This Row],[Verb]]="pass"),Log[[#This Row],[Pts]],0)</f>
      </c>
    </row>
    <row r="801">
      <c r="A801" s="11">
        <v>46160</v>
      </c>
      <c r="B801" t="s">
        <v>433</v>
      </c>
      <c r="C801" t="s">
        <v>41</v>
      </c>
      <c r="F801" s="17">
        <f>IF(Log[[#This Row],[ID]]="","",IF(ISNA(MATCH(Log[[#This Row],[ID]],Items[ID],0)),"unknown ID",IF(ISNA(MATCH(Log[[#This Row],[Verb]],VerbList,0)),"unknown verb",IF(Log[[#This Row],[Date]]="","no date",""))))</f>
      </c>
      <c r="G801" s="17">
        <f>IF(Log[[#This Row],[ID]]="","",IFERROR(VLOOKUP(Log[[#This Row],[Verb]],Verbs,3,FALSE)&amp;"",""))</f>
      </c>
      <c r="H801" s="17">
        <f>IF(Log[[#This Row],[Date]]="","",INT((Log[[#This Row],[Date]]-Sprint1)/SprintDays)+1)</f>
      </c>
      <c r="I801" s="17">
        <f>IF(OR(Log[[#This Row],[Verb]]="commit",Log[[#This Row],[Verb]]="carry",Log[[#This Row],[Verb]]="redo"),IF(Log[[#This Row],[Arg]]="",Log[[#This Row],[Sprint]],N(Log[[#This Row],[Arg]])),"")</f>
      </c>
      <c r="J801" s="17">
        <f>IF(Log[[#This Row],[Verb]]="block",1,IF(OR(Log[[#This Row],[Verb]]="unblock",Log[[#This Row],[Verb]]="done",Log[[#This Row],[Verb]]="drop",Log[[#This Row],[Verb]]="punt",Log[[#This Row],[Verb]]="pass"),0,""))</f>
      </c>
      <c r="K801" s="17">
        <f>IF(Log[[#This Row],[ID]]="",0,IFERROR(INDEX(Items[Pts],MATCH(Log[[#This Row],[ID]],Items[ID],0))*1,0))</f>
      </c>
      <c r="L801" s="17">
        <f>IF(Log[[#This Row],[ID]]="","",IFERROR(INDEX(Items[Cur team],MATCH(Log[[#This Row],[ID]],Items[ID],0))&amp;"",""))</f>
      </c>
      <c r="M801" s="17">
        <f>IF(OR(Log[[#This Row],[Verb]]="done",Log[[#This Row],[Verb]]="punt",Log[[#This Row],[Verb]]="drop",Log[[#This Row],[Verb]]="pass"),Log[[#This Row],[Pts]],0)</f>
      </c>
    </row>
    <row r="802">
      <c r="A802" s="11">
        <v>46160</v>
      </c>
      <c r="B802" t="s">
        <v>493</v>
      </c>
      <c r="C802" t="s">
        <v>41</v>
      </c>
      <c r="F802" s="17">
        <f>IF(Log[[#This Row],[ID]]="","",IF(ISNA(MATCH(Log[[#This Row],[ID]],Items[ID],0)),"unknown ID",IF(ISNA(MATCH(Log[[#This Row],[Verb]],VerbList,0)),"unknown verb",IF(Log[[#This Row],[Date]]="","no date",""))))</f>
      </c>
      <c r="G802" s="17">
        <f>IF(Log[[#This Row],[ID]]="","",IFERROR(VLOOKUP(Log[[#This Row],[Verb]],Verbs,3,FALSE)&amp;"",""))</f>
      </c>
      <c r="H802" s="17">
        <f>IF(Log[[#This Row],[Date]]="","",INT((Log[[#This Row],[Date]]-Sprint1)/SprintDays)+1)</f>
      </c>
      <c r="I802" s="17">
        <f>IF(OR(Log[[#This Row],[Verb]]="commit",Log[[#This Row],[Verb]]="carry",Log[[#This Row],[Verb]]="redo"),IF(Log[[#This Row],[Arg]]="",Log[[#This Row],[Sprint]],N(Log[[#This Row],[Arg]])),"")</f>
      </c>
      <c r="J802" s="17">
        <f>IF(Log[[#This Row],[Verb]]="block",1,IF(OR(Log[[#This Row],[Verb]]="unblock",Log[[#This Row],[Verb]]="done",Log[[#This Row],[Verb]]="drop",Log[[#This Row],[Verb]]="punt",Log[[#This Row],[Verb]]="pass"),0,""))</f>
      </c>
      <c r="K802" s="17">
        <f>IF(Log[[#This Row],[ID]]="",0,IFERROR(INDEX(Items[Pts],MATCH(Log[[#This Row],[ID]],Items[ID],0))*1,0))</f>
      </c>
      <c r="L802" s="17">
        <f>IF(Log[[#This Row],[ID]]="","",IFERROR(INDEX(Items[Cur team],MATCH(Log[[#This Row],[ID]],Items[ID],0))&amp;"",""))</f>
      </c>
      <c r="M802" s="17">
        <f>IF(OR(Log[[#This Row],[Verb]]="done",Log[[#This Row],[Verb]]="punt",Log[[#This Row],[Verb]]="drop",Log[[#This Row],[Verb]]="pass"),Log[[#This Row],[Pts]],0)</f>
      </c>
    </row>
    <row r="803">
      <c r="A803" s="11">
        <v>46160</v>
      </c>
      <c r="B803" t="s">
        <v>494</v>
      </c>
      <c r="C803" t="s">
        <v>38</v>
      </c>
      <c r="D803">
        <v>44</v>
      </c>
      <c r="F803" s="17">
        <f>IF(Log[[#This Row],[ID]]="","",IF(ISNA(MATCH(Log[[#This Row],[ID]],Items[ID],0)),"unknown ID",IF(ISNA(MATCH(Log[[#This Row],[Verb]],VerbList,0)),"unknown verb",IF(Log[[#This Row],[Date]]="","no date",""))))</f>
      </c>
      <c r="G803" s="17">
        <f>IF(Log[[#This Row],[ID]]="","",IFERROR(VLOOKUP(Log[[#This Row],[Verb]],Verbs,3,FALSE)&amp;"",""))</f>
      </c>
      <c r="H803" s="17">
        <f>IF(Log[[#This Row],[Date]]="","",INT((Log[[#This Row],[Date]]-Sprint1)/SprintDays)+1)</f>
      </c>
      <c r="I803" s="17">
        <f>IF(OR(Log[[#This Row],[Verb]]="commit",Log[[#This Row],[Verb]]="carry",Log[[#This Row],[Verb]]="redo"),IF(Log[[#This Row],[Arg]]="",Log[[#This Row],[Sprint]],N(Log[[#This Row],[Arg]])),"")</f>
      </c>
      <c r="J803" s="17">
        <f>IF(Log[[#This Row],[Verb]]="block",1,IF(OR(Log[[#This Row],[Verb]]="unblock",Log[[#This Row],[Verb]]="done",Log[[#This Row],[Verb]]="drop",Log[[#This Row],[Verb]]="punt",Log[[#This Row],[Verb]]="pass"),0,""))</f>
      </c>
      <c r="K803" s="17">
        <f>IF(Log[[#This Row],[ID]]="",0,IFERROR(INDEX(Items[Pts],MATCH(Log[[#This Row],[ID]],Items[ID],0))*1,0))</f>
      </c>
      <c r="L803" s="17">
        <f>IF(Log[[#This Row],[ID]]="","",IFERROR(INDEX(Items[Cur team],MATCH(Log[[#This Row],[ID]],Items[ID],0))&amp;"",""))</f>
      </c>
      <c r="M803" s="17">
        <f>IF(OR(Log[[#This Row],[Verb]]="done",Log[[#This Row],[Verb]]="punt",Log[[#This Row],[Verb]]="drop",Log[[#This Row],[Verb]]="pass"),Log[[#This Row],[Pts]],0)</f>
      </c>
    </row>
    <row r="804">
      <c r="A804" s="11">
        <v>46160</v>
      </c>
      <c r="B804" t="s">
        <v>495</v>
      </c>
      <c r="C804" t="s">
        <v>41</v>
      </c>
      <c r="F804" s="17">
        <f>IF(Log[[#This Row],[ID]]="","",IF(ISNA(MATCH(Log[[#This Row],[ID]],Items[ID],0)),"unknown ID",IF(ISNA(MATCH(Log[[#This Row],[Verb]],VerbList,0)),"unknown verb",IF(Log[[#This Row],[Date]]="","no date",""))))</f>
      </c>
      <c r="G804" s="17">
        <f>IF(Log[[#This Row],[ID]]="","",IFERROR(VLOOKUP(Log[[#This Row],[Verb]],Verbs,3,FALSE)&amp;"",""))</f>
      </c>
      <c r="H804" s="17">
        <f>IF(Log[[#This Row],[Date]]="","",INT((Log[[#This Row],[Date]]-Sprint1)/SprintDays)+1)</f>
      </c>
      <c r="I804" s="17">
        <f>IF(OR(Log[[#This Row],[Verb]]="commit",Log[[#This Row],[Verb]]="carry",Log[[#This Row],[Verb]]="redo"),IF(Log[[#This Row],[Arg]]="",Log[[#This Row],[Sprint]],N(Log[[#This Row],[Arg]])),"")</f>
      </c>
      <c r="J804" s="17">
        <f>IF(Log[[#This Row],[Verb]]="block",1,IF(OR(Log[[#This Row],[Verb]]="unblock",Log[[#This Row],[Verb]]="done",Log[[#This Row],[Verb]]="drop",Log[[#This Row],[Verb]]="punt",Log[[#This Row],[Verb]]="pass"),0,""))</f>
      </c>
      <c r="K804" s="17">
        <f>IF(Log[[#This Row],[ID]]="",0,IFERROR(INDEX(Items[Pts],MATCH(Log[[#This Row],[ID]],Items[ID],0))*1,0))</f>
      </c>
      <c r="L804" s="17">
        <f>IF(Log[[#This Row],[ID]]="","",IFERROR(INDEX(Items[Cur team],MATCH(Log[[#This Row],[ID]],Items[ID],0))&amp;"",""))</f>
      </c>
      <c r="M804" s="17">
        <f>IF(OR(Log[[#This Row],[Verb]]="done",Log[[#This Row],[Verb]]="punt",Log[[#This Row],[Verb]]="drop",Log[[#This Row],[Verb]]="pass"),Log[[#This Row],[Pts]],0)</f>
      </c>
    </row>
    <row r="805">
      <c r="A805" s="11">
        <v>46160</v>
      </c>
      <c r="B805" t="s">
        <v>496</v>
      </c>
      <c r="C805" t="s">
        <v>41</v>
      </c>
      <c r="F805" s="17">
        <f>IF(Log[[#This Row],[ID]]="","",IF(ISNA(MATCH(Log[[#This Row],[ID]],Items[ID],0)),"unknown ID",IF(ISNA(MATCH(Log[[#This Row],[Verb]],VerbList,0)),"unknown verb",IF(Log[[#This Row],[Date]]="","no date",""))))</f>
      </c>
      <c r="G805" s="17">
        <f>IF(Log[[#This Row],[ID]]="","",IFERROR(VLOOKUP(Log[[#This Row],[Verb]],Verbs,3,FALSE)&amp;"",""))</f>
      </c>
      <c r="H805" s="17">
        <f>IF(Log[[#This Row],[Date]]="","",INT((Log[[#This Row],[Date]]-Sprint1)/SprintDays)+1)</f>
      </c>
      <c r="I805" s="17">
        <f>IF(OR(Log[[#This Row],[Verb]]="commit",Log[[#This Row],[Verb]]="carry",Log[[#This Row],[Verb]]="redo"),IF(Log[[#This Row],[Arg]]="",Log[[#This Row],[Sprint]],N(Log[[#This Row],[Arg]])),"")</f>
      </c>
      <c r="J805" s="17">
        <f>IF(Log[[#This Row],[Verb]]="block",1,IF(OR(Log[[#This Row],[Verb]]="unblock",Log[[#This Row],[Verb]]="done",Log[[#This Row],[Verb]]="drop",Log[[#This Row],[Verb]]="punt",Log[[#This Row],[Verb]]="pass"),0,""))</f>
      </c>
      <c r="K805" s="17">
        <f>IF(Log[[#This Row],[ID]]="",0,IFERROR(INDEX(Items[Pts],MATCH(Log[[#This Row],[ID]],Items[ID],0))*1,0))</f>
      </c>
      <c r="L805" s="17">
        <f>IF(Log[[#This Row],[ID]]="","",IFERROR(INDEX(Items[Cur team],MATCH(Log[[#This Row],[ID]],Items[ID],0))&amp;"",""))</f>
      </c>
      <c r="M805" s="17">
        <f>IF(OR(Log[[#This Row],[Verb]]="done",Log[[#This Row],[Verb]]="punt",Log[[#This Row],[Verb]]="drop",Log[[#This Row],[Verb]]="pass"),Log[[#This Row],[Pts]],0)</f>
      </c>
    </row>
    <row r="806">
      <c r="A806" s="11">
        <v>46160</v>
      </c>
      <c r="B806" t="s">
        <v>497</v>
      </c>
      <c r="C806" t="s">
        <v>38</v>
      </c>
      <c r="D806">
        <v>44</v>
      </c>
      <c r="F806" s="17">
        <f>IF(Log[[#This Row],[ID]]="","",IF(ISNA(MATCH(Log[[#This Row],[ID]],Items[ID],0)),"unknown ID",IF(ISNA(MATCH(Log[[#This Row],[Verb]],VerbList,0)),"unknown verb",IF(Log[[#This Row],[Date]]="","no date",""))))</f>
      </c>
      <c r="G806" s="17">
        <f>IF(Log[[#This Row],[ID]]="","",IFERROR(VLOOKUP(Log[[#This Row],[Verb]],Verbs,3,FALSE)&amp;"",""))</f>
      </c>
      <c r="H806" s="17">
        <f>IF(Log[[#This Row],[Date]]="","",INT((Log[[#This Row],[Date]]-Sprint1)/SprintDays)+1)</f>
      </c>
      <c r="I806" s="17">
        <f>IF(OR(Log[[#This Row],[Verb]]="commit",Log[[#This Row],[Verb]]="carry",Log[[#This Row],[Verb]]="redo"),IF(Log[[#This Row],[Arg]]="",Log[[#This Row],[Sprint]],N(Log[[#This Row],[Arg]])),"")</f>
      </c>
      <c r="J806" s="17">
        <f>IF(Log[[#This Row],[Verb]]="block",1,IF(OR(Log[[#This Row],[Verb]]="unblock",Log[[#This Row],[Verb]]="done",Log[[#This Row],[Verb]]="drop",Log[[#This Row],[Verb]]="punt",Log[[#This Row],[Verb]]="pass"),0,""))</f>
      </c>
      <c r="K806" s="17">
        <f>IF(Log[[#This Row],[ID]]="",0,IFERROR(INDEX(Items[Pts],MATCH(Log[[#This Row],[ID]],Items[ID],0))*1,0))</f>
      </c>
      <c r="L806" s="17">
        <f>IF(Log[[#This Row],[ID]]="","",IFERROR(INDEX(Items[Cur team],MATCH(Log[[#This Row],[ID]],Items[ID],0))&amp;"",""))</f>
      </c>
      <c r="M806" s="17">
        <f>IF(OR(Log[[#This Row],[Verb]]="done",Log[[#This Row],[Verb]]="punt",Log[[#This Row],[Verb]]="drop",Log[[#This Row],[Verb]]="pass"),Log[[#This Row],[Pts]],0)</f>
      </c>
    </row>
    <row r="807">
      <c r="A807" s="11">
        <v>46160</v>
      </c>
      <c r="B807" t="s">
        <v>436</v>
      </c>
      <c r="C807" t="s">
        <v>41</v>
      </c>
      <c r="F807" s="17">
        <f>IF(Log[[#This Row],[ID]]="","",IF(ISNA(MATCH(Log[[#This Row],[ID]],Items[ID],0)),"unknown ID",IF(ISNA(MATCH(Log[[#This Row],[Verb]],VerbList,0)),"unknown verb",IF(Log[[#This Row],[Date]]="","no date",""))))</f>
      </c>
      <c r="G807" s="17">
        <f>IF(Log[[#This Row],[ID]]="","",IFERROR(VLOOKUP(Log[[#This Row],[Verb]],Verbs,3,FALSE)&amp;"",""))</f>
      </c>
      <c r="H807" s="17">
        <f>IF(Log[[#This Row],[Date]]="","",INT((Log[[#This Row],[Date]]-Sprint1)/SprintDays)+1)</f>
      </c>
      <c r="I807" s="17">
        <f>IF(OR(Log[[#This Row],[Verb]]="commit",Log[[#This Row],[Verb]]="carry",Log[[#This Row],[Verb]]="redo"),IF(Log[[#This Row],[Arg]]="",Log[[#This Row],[Sprint]],N(Log[[#This Row],[Arg]])),"")</f>
      </c>
      <c r="J807" s="17">
        <f>IF(Log[[#This Row],[Verb]]="block",1,IF(OR(Log[[#This Row],[Verb]]="unblock",Log[[#This Row],[Verb]]="done",Log[[#This Row],[Verb]]="drop",Log[[#This Row],[Verb]]="punt",Log[[#This Row],[Verb]]="pass"),0,""))</f>
      </c>
      <c r="K807" s="17">
        <f>IF(Log[[#This Row],[ID]]="",0,IFERROR(INDEX(Items[Pts],MATCH(Log[[#This Row],[ID]],Items[ID],0))*1,0))</f>
      </c>
      <c r="L807" s="17">
        <f>IF(Log[[#This Row],[ID]]="","",IFERROR(INDEX(Items[Cur team],MATCH(Log[[#This Row],[ID]],Items[ID],0))&amp;"",""))</f>
      </c>
      <c r="M807" s="17">
        <f>IF(OR(Log[[#This Row],[Verb]]="done",Log[[#This Row],[Verb]]="punt",Log[[#This Row],[Verb]]="drop",Log[[#This Row],[Verb]]="pass"),Log[[#This Row],[Pts]],0)</f>
      </c>
    </row>
    <row r="808">
      <c r="A808" s="11">
        <v>46160</v>
      </c>
      <c r="B808" t="s">
        <v>498</v>
      </c>
      <c r="C808" t="s">
        <v>41</v>
      </c>
      <c r="F808" s="17">
        <f>IF(Log[[#This Row],[ID]]="","",IF(ISNA(MATCH(Log[[#This Row],[ID]],Items[ID],0)),"unknown ID",IF(ISNA(MATCH(Log[[#This Row],[Verb]],VerbList,0)),"unknown verb",IF(Log[[#This Row],[Date]]="","no date",""))))</f>
      </c>
      <c r="G808" s="17">
        <f>IF(Log[[#This Row],[ID]]="","",IFERROR(VLOOKUP(Log[[#This Row],[Verb]],Verbs,3,FALSE)&amp;"",""))</f>
      </c>
      <c r="H808" s="17">
        <f>IF(Log[[#This Row],[Date]]="","",INT((Log[[#This Row],[Date]]-Sprint1)/SprintDays)+1)</f>
      </c>
      <c r="I808" s="17">
        <f>IF(OR(Log[[#This Row],[Verb]]="commit",Log[[#This Row],[Verb]]="carry",Log[[#This Row],[Verb]]="redo"),IF(Log[[#This Row],[Arg]]="",Log[[#This Row],[Sprint]],N(Log[[#This Row],[Arg]])),"")</f>
      </c>
      <c r="J808" s="17">
        <f>IF(Log[[#This Row],[Verb]]="block",1,IF(OR(Log[[#This Row],[Verb]]="unblock",Log[[#This Row],[Verb]]="done",Log[[#This Row],[Verb]]="drop",Log[[#This Row],[Verb]]="punt",Log[[#This Row],[Verb]]="pass"),0,""))</f>
      </c>
      <c r="K808" s="17">
        <f>IF(Log[[#This Row],[ID]]="",0,IFERROR(INDEX(Items[Pts],MATCH(Log[[#This Row],[ID]],Items[ID],0))*1,0))</f>
      </c>
      <c r="L808" s="17">
        <f>IF(Log[[#This Row],[ID]]="","",IFERROR(INDEX(Items[Cur team],MATCH(Log[[#This Row],[ID]],Items[ID],0))&amp;"",""))</f>
      </c>
      <c r="M808" s="17">
        <f>IF(OR(Log[[#This Row],[Verb]]="done",Log[[#This Row],[Verb]]="punt",Log[[#This Row],[Verb]]="drop",Log[[#This Row],[Verb]]="pass"),Log[[#This Row],[Pts]],0)</f>
      </c>
    </row>
    <row r="809">
      <c r="A809" s="11">
        <v>46160</v>
      </c>
      <c r="B809" t="s">
        <v>499</v>
      </c>
      <c r="C809" t="s">
        <v>38</v>
      </c>
      <c r="D809">
        <v>44</v>
      </c>
      <c r="F809" s="17">
        <f>IF(Log[[#This Row],[ID]]="","",IF(ISNA(MATCH(Log[[#This Row],[ID]],Items[ID],0)),"unknown ID",IF(ISNA(MATCH(Log[[#This Row],[Verb]],VerbList,0)),"unknown verb",IF(Log[[#This Row],[Date]]="","no date",""))))</f>
      </c>
      <c r="G809" s="17">
        <f>IF(Log[[#This Row],[ID]]="","",IFERROR(VLOOKUP(Log[[#This Row],[Verb]],Verbs,3,FALSE)&amp;"",""))</f>
      </c>
      <c r="H809" s="17">
        <f>IF(Log[[#This Row],[Date]]="","",INT((Log[[#This Row],[Date]]-Sprint1)/SprintDays)+1)</f>
      </c>
      <c r="I809" s="17">
        <f>IF(OR(Log[[#This Row],[Verb]]="commit",Log[[#This Row],[Verb]]="carry",Log[[#This Row],[Verb]]="redo"),IF(Log[[#This Row],[Arg]]="",Log[[#This Row],[Sprint]],N(Log[[#This Row],[Arg]])),"")</f>
      </c>
      <c r="J809" s="17">
        <f>IF(Log[[#This Row],[Verb]]="block",1,IF(OR(Log[[#This Row],[Verb]]="unblock",Log[[#This Row],[Verb]]="done",Log[[#This Row],[Verb]]="drop",Log[[#This Row],[Verb]]="punt",Log[[#This Row],[Verb]]="pass"),0,""))</f>
      </c>
      <c r="K809" s="17">
        <f>IF(Log[[#This Row],[ID]]="",0,IFERROR(INDEX(Items[Pts],MATCH(Log[[#This Row],[ID]],Items[ID],0))*1,0))</f>
      </c>
      <c r="L809" s="17">
        <f>IF(Log[[#This Row],[ID]]="","",IFERROR(INDEX(Items[Cur team],MATCH(Log[[#This Row],[ID]],Items[ID],0))&amp;"",""))</f>
      </c>
      <c r="M809" s="17">
        <f>IF(OR(Log[[#This Row],[Verb]]="done",Log[[#This Row],[Verb]]="punt",Log[[#This Row],[Verb]]="drop",Log[[#This Row],[Verb]]="pass"),Log[[#This Row],[Pts]],0)</f>
      </c>
    </row>
    <row r="810">
      <c r="A810" s="11">
        <v>46160</v>
      </c>
      <c r="B810" t="s">
        <v>500</v>
      </c>
      <c r="C810" t="s">
        <v>41</v>
      </c>
      <c r="F810" s="17">
        <f>IF(Log[[#This Row],[ID]]="","",IF(ISNA(MATCH(Log[[#This Row],[ID]],Items[ID],0)),"unknown ID",IF(ISNA(MATCH(Log[[#This Row],[Verb]],VerbList,0)),"unknown verb",IF(Log[[#This Row],[Date]]="","no date",""))))</f>
      </c>
      <c r="G810" s="17">
        <f>IF(Log[[#This Row],[ID]]="","",IFERROR(VLOOKUP(Log[[#This Row],[Verb]],Verbs,3,FALSE)&amp;"",""))</f>
      </c>
      <c r="H810" s="17">
        <f>IF(Log[[#This Row],[Date]]="","",INT((Log[[#This Row],[Date]]-Sprint1)/SprintDays)+1)</f>
      </c>
      <c r="I810" s="17">
        <f>IF(OR(Log[[#This Row],[Verb]]="commit",Log[[#This Row],[Verb]]="carry",Log[[#This Row],[Verb]]="redo"),IF(Log[[#This Row],[Arg]]="",Log[[#This Row],[Sprint]],N(Log[[#This Row],[Arg]])),"")</f>
      </c>
      <c r="J810" s="17">
        <f>IF(Log[[#This Row],[Verb]]="block",1,IF(OR(Log[[#This Row],[Verb]]="unblock",Log[[#This Row],[Verb]]="done",Log[[#This Row],[Verb]]="drop",Log[[#This Row],[Verb]]="punt",Log[[#This Row],[Verb]]="pass"),0,""))</f>
      </c>
      <c r="K810" s="17">
        <f>IF(Log[[#This Row],[ID]]="",0,IFERROR(INDEX(Items[Pts],MATCH(Log[[#This Row],[ID]],Items[ID],0))*1,0))</f>
      </c>
      <c r="L810" s="17">
        <f>IF(Log[[#This Row],[ID]]="","",IFERROR(INDEX(Items[Cur team],MATCH(Log[[#This Row],[ID]],Items[ID],0))&amp;"",""))</f>
      </c>
      <c r="M810" s="17">
        <f>IF(OR(Log[[#This Row],[Verb]]="done",Log[[#This Row],[Verb]]="punt",Log[[#This Row],[Verb]]="drop",Log[[#This Row],[Verb]]="pass"),Log[[#This Row],[Pts]],0)</f>
      </c>
    </row>
    <row r="811">
      <c r="A811" s="11">
        <v>46160</v>
      </c>
      <c r="B811" t="s">
        <v>501</v>
      </c>
      <c r="C811" t="s">
        <v>41</v>
      </c>
      <c r="F811" s="17">
        <f>IF(Log[[#This Row],[ID]]="","",IF(ISNA(MATCH(Log[[#This Row],[ID]],Items[ID],0)),"unknown ID",IF(ISNA(MATCH(Log[[#This Row],[Verb]],VerbList,0)),"unknown verb",IF(Log[[#This Row],[Date]]="","no date",""))))</f>
      </c>
      <c r="G811" s="17">
        <f>IF(Log[[#This Row],[ID]]="","",IFERROR(VLOOKUP(Log[[#This Row],[Verb]],Verbs,3,FALSE)&amp;"",""))</f>
      </c>
      <c r="H811" s="17">
        <f>IF(Log[[#This Row],[Date]]="","",INT((Log[[#This Row],[Date]]-Sprint1)/SprintDays)+1)</f>
      </c>
      <c r="I811" s="17">
        <f>IF(OR(Log[[#This Row],[Verb]]="commit",Log[[#This Row],[Verb]]="carry",Log[[#This Row],[Verb]]="redo"),IF(Log[[#This Row],[Arg]]="",Log[[#This Row],[Sprint]],N(Log[[#This Row],[Arg]])),"")</f>
      </c>
      <c r="J811" s="17">
        <f>IF(Log[[#This Row],[Verb]]="block",1,IF(OR(Log[[#This Row],[Verb]]="unblock",Log[[#This Row],[Verb]]="done",Log[[#This Row],[Verb]]="drop",Log[[#This Row],[Verb]]="punt",Log[[#This Row],[Verb]]="pass"),0,""))</f>
      </c>
      <c r="K811" s="17">
        <f>IF(Log[[#This Row],[ID]]="",0,IFERROR(INDEX(Items[Pts],MATCH(Log[[#This Row],[ID]],Items[ID],0))*1,0))</f>
      </c>
      <c r="L811" s="17">
        <f>IF(Log[[#This Row],[ID]]="","",IFERROR(INDEX(Items[Cur team],MATCH(Log[[#This Row],[ID]],Items[ID],0))&amp;"",""))</f>
      </c>
      <c r="M811" s="17">
        <f>IF(OR(Log[[#This Row],[Verb]]="done",Log[[#This Row],[Verb]]="punt",Log[[#This Row],[Verb]]="drop",Log[[#This Row],[Verb]]="pass"),Log[[#This Row],[Pts]],0)</f>
      </c>
    </row>
    <row r="812">
      <c r="A812" s="11">
        <v>46160</v>
      </c>
      <c r="B812" t="s">
        <v>502</v>
      </c>
      <c r="C812" t="s">
        <v>38</v>
      </c>
      <c r="D812">
        <v>44</v>
      </c>
      <c r="F812" s="17">
        <f>IF(Log[[#This Row],[ID]]="","",IF(ISNA(MATCH(Log[[#This Row],[ID]],Items[ID],0)),"unknown ID",IF(ISNA(MATCH(Log[[#This Row],[Verb]],VerbList,0)),"unknown verb",IF(Log[[#This Row],[Date]]="","no date",""))))</f>
      </c>
      <c r="G812" s="17">
        <f>IF(Log[[#This Row],[ID]]="","",IFERROR(VLOOKUP(Log[[#This Row],[Verb]],Verbs,3,FALSE)&amp;"",""))</f>
      </c>
      <c r="H812" s="17">
        <f>IF(Log[[#This Row],[Date]]="","",INT((Log[[#This Row],[Date]]-Sprint1)/SprintDays)+1)</f>
      </c>
      <c r="I812" s="17">
        <f>IF(OR(Log[[#This Row],[Verb]]="commit",Log[[#This Row],[Verb]]="carry",Log[[#This Row],[Verb]]="redo"),IF(Log[[#This Row],[Arg]]="",Log[[#This Row],[Sprint]],N(Log[[#This Row],[Arg]])),"")</f>
      </c>
      <c r="J812" s="17">
        <f>IF(Log[[#This Row],[Verb]]="block",1,IF(OR(Log[[#This Row],[Verb]]="unblock",Log[[#This Row],[Verb]]="done",Log[[#This Row],[Verb]]="drop",Log[[#This Row],[Verb]]="punt",Log[[#This Row],[Verb]]="pass"),0,""))</f>
      </c>
      <c r="K812" s="17">
        <f>IF(Log[[#This Row],[ID]]="",0,IFERROR(INDEX(Items[Pts],MATCH(Log[[#This Row],[ID]],Items[ID],0))*1,0))</f>
      </c>
      <c r="L812" s="17">
        <f>IF(Log[[#This Row],[ID]]="","",IFERROR(INDEX(Items[Cur team],MATCH(Log[[#This Row],[ID]],Items[ID],0))&amp;"",""))</f>
      </c>
      <c r="M812" s="17">
        <f>IF(OR(Log[[#This Row],[Verb]]="done",Log[[#This Row],[Verb]]="punt",Log[[#This Row],[Verb]]="drop",Log[[#This Row],[Verb]]="pass"),Log[[#This Row],[Pts]],0)</f>
      </c>
    </row>
    <row r="813">
      <c r="A813" s="11">
        <v>46160</v>
      </c>
      <c r="B813" t="s">
        <v>442</v>
      </c>
      <c r="C813" t="s">
        <v>38</v>
      </c>
      <c r="D813">
        <v>44</v>
      </c>
      <c r="F813" s="17">
        <f>IF(Log[[#This Row],[ID]]="","",IF(ISNA(MATCH(Log[[#This Row],[ID]],Items[ID],0)),"unknown ID",IF(ISNA(MATCH(Log[[#This Row],[Verb]],VerbList,0)),"unknown verb",IF(Log[[#This Row],[Date]]="","no date",""))))</f>
      </c>
      <c r="G813" s="17">
        <f>IF(Log[[#This Row],[ID]]="","",IFERROR(VLOOKUP(Log[[#This Row],[Verb]],Verbs,3,FALSE)&amp;"",""))</f>
      </c>
      <c r="H813" s="17">
        <f>IF(Log[[#This Row],[Date]]="","",INT((Log[[#This Row],[Date]]-Sprint1)/SprintDays)+1)</f>
      </c>
      <c r="I813" s="17">
        <f>IF(OR(Log[[#This Row],[Verb]]="commit",Log[[#This Row],[Verb]]="carry",Log[[#This Row],[Verb]]="redo"),IF(Log[[#This Row],[Arg]]="",Log[[#This Row],[Sprint]],N(Log[[#This Row],[Arg]])),"")</f>
      </c>
      <c r="J813" s="17">
        <f>IF(Log[[#This Row],[Verb]]="block",1,IF(OR(Log[[#This Row],[Verb]]="unblock",Log[[#This Row],[Verb]]="done",Log[[#This Row],[Verb]]="drop",Log[[#This Row],[Verb]]="punt",Log[[#This Row],[Verb]]="pass"),0,""))</f>
      </c>
      <c r="K813" s="17">
        <f>IF(Log[[#This Row],[ID]]="",0,IFERROR(INDEX(Items[Pts],MATCH(Log[[#This Row],[ID]],Items[ID],0))*1,0))</f>
      </c>
      <c r="L813" s="17">
        <f>IF(Log[[#This Row],[ID]]="","",IFERROR(INDEX(Items[Cur team],MATCH(Log[[#This Row],[ID]],Items[ID],0))&amp;"",""))</f>
      </c>
      <c r="M813" s="17">
        <f>IF(OR(Log[[#This Row],[Verb]]="done",Log[[#This Row],[Verb]]="punt",Log[[#This Row],[Verb]]="drop",Log[[#This Row],[Verb]]="pass"),Log[[#This Row],[Pts]],0)</f>
      </c>
    </row>
    <row r="814">
      <c r="A814" s="11">
        <v>46160</v>
      </c>
      <c r="B814" t="s">
        <v>445</v>
      </c>
      <c r="C814" t="s">
        <v>38</v>
      </c>
      <c r="D814">
        <v>44</v>
      </c>
      <c r="F814" s="17">
        <f>IF(Log[[#This Row],[ID]]="","",IF(ISNA(MATCH(Log[[#This Row],[ID]],Items[ID],0)),"unknown ID",IF(ISNA(MATCH(Log[[#This Row],[Verb]],VerbList,0)),"unknown verb",IF(Log[[#This Row],[Date]]="","no date",""))))</f>
      </c>
      <c r="G814" s="17">
        <f>IF(Log[[#This Row],[ID]]="","",IFERROR(VLOOKUP(Log[[#This Row],[Verb]],Verbs,3,FALSE)&amp;"",""))</f>
      </c>
      <c r="H814" s="17">
        <f>IF(Log[[#This Row],[Date]]="","",INT((Log[[#This Row],[Date]]-Sprint1)/SprintDays)+1)</f>
      </c>
      <c r="I814" s="17">
        <f>IF(OR(Log[[#This Row],[Verb]]="commit",Log[[#This Row],[Verb]]="carry",Log[[#This Row],[Verb]]="redo"),IF(Log[[#This Row],[Arg]]="",Log[[#This Row],[Sprint]],N(Log[[#This Row],[Arg]])),"")</f>
      </c>
      <c r="J814" s="17">
        <f>IF(Log[[#This Row],[Verb]]="block",1,IF(OR(Log[[#This Row],[Verb]]="unblock",Log[[#This Row],[Verb]]="done",Log[[#This Row],[Verb]]="drop",Log[[#This Row],[Verb]]="punt",Log[[#This Row],[Verb]]="pass"),0,""))</f>
      </c>
      <c r="K814" s="17">
        <f>IF(Log[[#This Row],[ID]]="",0,IFERROR(INDEX(Items[Pts],MATCH(Log[[#This Row],[ID]],Items[ID],0))*1,0))</f>
      </c>
      <c r="L814" s="17">
        <f>IF(Log[[#This Row],[ID]]="","",IFERROR(INDEX(Items[Cur team],MATCH(Log[[#This Row],[ID]],Items[ID],0))&amp;"",""))</f>
      </c>
      <c r="M814" s="17">
        <f>IF(OR(Log[[#This Row],[Verb]]="done",Log[[#This Row],[Verb]]="punt",Log[[#This Row],[Verb]]="drop",Log[[#This Row],[Verb]]="pass"),Log[[#This Row],[Pts]],0)</f>
      </c>
    </row>
    <row r="815">
      <c r="A815" s="11">
        <v>46160</v>
      </c>
      <c r="B815" t="s">
        <v>503</v>
      </c>
      <c r="C815" t="s">
        <v>38</v>
      </c>
      <c r="D815">
        <v>44</v>
      </c>
      <c r="F815" s="17">
        <f>IF(Log[[#This Row],[ID]]="","",IF(ISNA(MATCH(Log[[#This Row],[ID]],Items[ID],0)),"unknown ID",IF(ISNA(MATCH(Log[[#This Row],[Verb]],VerbList,0)),"unknown verb",IF(Log[[#This Row],[Date]]="","no date",""))))</f>
      </c>
      <c r="G815" s="17">
        <f>IF(Log[[#This Row],[ID]]="","",IFERROR(VLOOKUP(Log[[#This Row],[Verb]],Verbs,3,FALSE)&amp;"",""))</f>
      </c>
      <c r="H815" s="17">
        <f>IF(Log[[#This Row],[Date]]="","",INT((Log[[#This Row],[Date]]-Sprint1)/SprintDays)+1)</f>
      </c>
      <c r="I815" s="17">
        <f>IF(OR(Log[[#This Row],[Verb]]="commit",Log[[#This Row],[Verb]]="carry",Log[[#This Row],[Verb]]="redo"),IF(Log[[#This Row],[Arg]]="",Log[[#This Row],[Sprint]],N(Log[[#This Row],[Arg]])),"")</f>
      </c>
      <c r="J815" s="17">
        <f>IF(Log[[#This Row],[Verb]]="block",1,IF(OR(Log[[#This Row],[Verb]]="unblock",Log[[#This Row],[Verb]]="done",Log[[#This Row],[Verb]]="drop",Log[[#This Row],[Verb]]="punt",Log[[#This Row],[Verb]]="pass"),0,""))</f>
      </c>
      <c r="K815" s="17">
        <f>IF(Log[[#This Row],[ID]]="",0,IFERROR(INDEX(Items[Pts],MATCH(Log[[#This Row],[ID]],Items[ID],0))*1,0))</f>
      </c>
      <c r="L815" s="17">
        <f>IF(Log[[#This Row],[ID]]="","",IFERROR(INDEX(Items[Cur team],MATCH(Log[[#This Row],[ID]],Items[ID],0))&amp;"",""))</f>
      </c>
      <c r="M815" s="17">
        <f>IF(OR(Log[[#This Row],[Verb]]="done",Log[[#This Row],[Verb]]="punt",Log[[#This Row],[Verb]]="drop",Log[[#This Row],[Verb]]="pass"),Log[[#This Row],[Pts]],0)</f>
      </c>
    </row>
    <row r="816">
      <c r="A816" s="11">
        <v>46160</v>
      </c>
      <c r="B816" t="s">
        <v>504</v>
      </c>
      <c r="C816" t="s">
        <v>38</v>
      </c>
      <c r="D816">
        <v>44</v>
      </c>
      <c r="F816" s="17">
        <f>IF(Log[[#This Row],[ID]]="","",IF(ISNA(MATCH(Log[[#This Row],[ID]],Items[ID],0)),"unknown ID",IF(ISNA(MATCH(Log[[#This Row],[Verb]],VerbList,0)),"unknown verb",IF(Log[[#This Row],[Date]]="","no date",""))))</f>
      </c>
      <c r="G816" s="17">
        <f>IF(Log[[#This Row],[ID]]="","",IFERROR(VLOOKUP(Log[[#This Row],[Verb]],Verbs,3,FALSE)&amp;"",""))</f>
      </c>
      <c r="H816" s="17">
        <f>IF(Log[[#This Row],[Date]]="","",INT((Log[[#This Row],[Date]]-Sprint1)/SprintDays)+1)</f>
      </c>
      <c r="I816" s="17">
        <f>IF(OR(Log[[#This Row],[Verb]]="commit",Log[[#This Row],[Verb]]="carry",Log[[#This Row],[Verb]]="redo"),IF(Log[[#This Row],[Arg]]="",Log[[#This Row],[Sprint]],N(Log[[#This Row],[Arg]])),"")</f>
      </c>
      <c r="J816" s="17">
        <f>IF(Log[[#This Row],[Verb]]="block",1,IF(OR(Log[[#This Row],[Verb]]="unblock",Log[[#This Row],[Verb]]="done",Log[[#This Row],[Verb]]="drop",Log[[#This Row],[Verb]]="punt",Log[[#This Row],[Verb]]="pass"),0,""))</f>
      </c>
      <c r="K816" s="17">
        <f>IF(Log[[#This Row],[ID]]="",0,IFERROR(INDEX(Items[Pts],MATCH(Log[[#This Row],[ID]],Items[ID],0))*1,0))</f>
      </c>
      <c r="L816" s="17">
        <f>IF(Log[[#This Row],[ID]]="","",IFERROR(INDEX(Items[Cur team],MATCH(Log[[#This Row],[ID]],Items[ID],0))&amp;"",""))</f>
      </c>
      <c r="M816" s="17">
        <f>IF(OR(Log[[#This Row],[Verb]]="done",Log[[#This Row],[Verb]]="punt",Log[[#This Row],[Verb]]="drop",Log[[#This Row],[Verb]]="pass"),Log[[#This Row],[Pts]],0)</f>
      </c>
    </row>
    <row r="817">
      <c r="A817" s="11">
        <v>46160</v>
      </c>
      <c r="B817" t="s">
        <v>505</v>
      </c>
      <c r="C817" t="s">
        <v>41</v>
      </c>
      <c r="F817" s="17">
        <f>IF(Log[[#This Row],[ID]]="","",IF(ISNA(MATCH(Log[[#This Row],[ID]],Items[ID],0)),"unknown ID",IF(ISNA(MATCH(Log[[#This Row],[Verb]],VerbList,0)),"unknown verb",IF(Log[[#This Row],[Date]]="","no date",""))))</f>
      </c>
      <c r="G817" s="17">
        <f>IF(Log[[#This Row],[ID]]="","",IFERROR(VLOOKUP(Log[[#This Row],[Verb]],Verbs,3,FALSE)&amp;"",""))</f>
      </c>
      <c r="H817" s="17">
        <f>IF(Log[[#This Row],[Date]]="","",INT((Log[[#This Row],[Date]]-Sprint1)/SprintDays)+1)</f>
      </c>
      <c r="I817" s="17">
        <f>IF(OR(Log[[#This Row],[Verb]]="commit",Log[[#This Row],[Verb]]="carry",Log[[#This Row],[Verb]]="redo"),IF(Log[[#This Row],[Arg]]="",Log[[#This Row],[Sprint]],N(Log[[#This Row],[Arg]])),"")</f>
      </c>
      <c r="J817" s="17">
        <f>IF(Log[[#This Row],[Verb]]="block",1,IF(OR(Log[[#This Row],[Verb]]="unblock",Log[[#This Row],[Verb]]="done",Log[[#This Row],[Verb]]="drop",Log[[#This Row],[Verb]]="punt",Log[[#This Row],[Verb]]="pass"),0,""))</f>
      </c>
      <c r="K817" s="17">
        <f>IF(Log[[#This Row],[ID]]="",0,IFERROR(INDEX(Items[Pts],MATCH(Log[[#This Row],[ID]],Items[ID],0))*1,0))</f>
      </c>
      <c r="L817" s="17">
        <f>IF(Log[[#This Row],[ID]]="","",IFERROR(INDEX(Items[Cur team],MATCH(Log[[#This Row],[ID]],Items[ID],0))&amp;"",""))</f>
      </c>
      <c r="M817" s="17">
        <f>IF(OR(Log[[#This Row],[Verb]]="done",Log[[#This Row],[Verb]]="punt",Log[[#This Row],[Verb]]="drop",Log[[#This Row],[Verb]]="pass"),Log[[#This Row],[Pts]],0)</f>
      </c>
    </row>
    <row r="818">
      <c r="A818" s="11">
        <v>46160</v>
      </c>
      <c r="B818" t="s">
        <v>506</v>
      </c>
      <c r="C818" t="s">
        <v>41</v>
      </c>
      <c r="F818" s="17">
        <f>IF(Log[[#This Row],[ID]]="","",IF(ISNA(MATCH(Log[[#This Row],[ID]],Items[ID],0)),"unknown ID",IF(ISNA(MATCH(Log[[#This Row],[Verb]],VerbList,0)),"unknown verb",IF(Log[[#This Row],[Date]]="","no date",""))))</f>
      </c>
      <c r="G818" s="17">
        <f>IF(Log[[#This Row],[ID]]="","",IFERROR(VLOOKUP(Log[[#This Row],[Verb]],Verbs,3,FALSE)&amp;"",""))</f>
      </c>
      <c r="H818" s="17">
        <f>IF(Log[[#This Row],[Date]]="","",INT((Log[[#This Row],[Date]]-Sprint1)/SprintDays)+1)</f>
      </c>
      <c r="I818" s="17">
        <f>IF(OR(Log[[#This Row],[Verb]]="commit",Log[[#This Row],[Verb]]="carry",Log[[#This Row],[Verb]]="redo"),IF(Log[[#This Row],[Arg]]="",Log[[#This Row],[Sprint]],N(Log[[#This Row],[Arg]])),"")</f>
      </c>
      <c r="J818" s="17">
        <f>IF(Log[[#This Row],[Verb]]="block",1,IF(OR(Log[[#This Row],[Verb]]="unblock",Log[[#This Row],[Verb]]="done",Log[[#This Row],[Verb]]="drop",Log[[#This Row],[Verb]]="punt",Log[[#This Row],[Verb]]="pass"),0,""))</f>
      </c>
      <c r="K818" s="17">
        <f>IF(Log[[#This Row],[ID]]="",0,IFERROR(INDEX(Items[Pts],MATCH(Log[[#This Row],[ID]],Items[ID],0))*1,0))</f>
      </c>
      <c r="L818" s="17">
        <f>IF(Log[[#This Row],[ID]]="","",IFERROR(INDEX(Items[Cur team],MATCH(Log[[#This Row],[ID]],Items[ID],0))&amp;"",""))</f>
      </c>
      <c r="M818" s="17">
        <f>IF(OR(Log[[#This Row],[Verb]]="done",Log[[#This Row],[Verb]]="punt",Log[[#This Row],[Verb]]="drop",Log[[#This Row],[Verb]]="pass"),Log[[#This Row],[Pts]],0)</f>
      </c>
    </row>
    <row r="819">
      <c r="A819" s="11">
        <v>46160</v>
      </c>
      <c r="B819" t="s">
        <v>507</v>
      </c>
      <c r="C819" t="s">
        <v>38</v>
      </c>
      <c r="D819">
        <v>44</v>
      </c>
      <c r="F819" s="17">
        <f>IF(Log[[#This Row],[ID]]="","",IF(ISNA(MATCH(Log[[#This Row],[ID]],Items[ID],0)),"unknown ID",IF(ISNA(MATCH(Log[[#This Row],[Verb]],VerbList,0)),"unknown verb",IF(Log[[#This Row],[Date]]="","no date",""))))</f>
      </c>
      <c r="G819" s="17">
        <f>IF(Log[[#This Row],[ID]]="","",IFERROR(VLOOKUP(Log[[#This Row],[Verb]],Verbs,3,FALSE)&amp;"",""))</f>
      </c>
      <c r="H819" s="17">
        <f>IF(Log[[#This Row],[Date]]="","",INT((Log[[#This Row],[Date]]-Sprint1)/SprintDays)+1)</f>
      </c>
      <c r="I819" s="17">
        <f>IF(OR(Log[[#This Row],[Verb]]="commit",Log[[#This Row],[Verb]]="carry",Log[[#This Row],[Verb]]="redo"),IF(Log[[#This Row],[Arg]]="",Log[[#This Row],[Sprint]],N(Log[[#This Row],[Arg]])),"")</f>
      </c>
      <c r="J819" s="17">
        <f>IF(Log[[#This Row],[Verb]]="block",1,IF(OR(Log[[#This Row],[Verb]]="unblock",Log[[#This Row],[Verb]]="done",Log[[#This Row],[Verb]]="drop",Log[[#This Row],[Verb]]="punt",Log[[#This Row],[Verb]]="pass"),0,""))</f>
      </c>
      <c r="K819" s="17">
        <f>IF(Log[[#This Row],[ID]]="",0,IFERROR(INDEX(Items[Pts],MATCH(Log[[#This Row],[ID]],Items[ID],0))*1,0))</f>
      </c>
      <c r="L819" s="17">
        <f>IF(Log[[#This Row],[ID]]="","",IFERROR(INDEX(Items[Cur team],MATCH(Log[[#This Row],[ID]],Items[ID],0))&amp;"",""))</f>
      </c>
      <c r="M819" s="17">
        <f>IF(OR(Log[[#This Row],[Verb]]="done",Log[[#This Row],[Verb]]="punt",Log[[#This Row],[Verb]]="drop",Log[[#This Row],[Verb]]="pass"),Log[[#This Row],[Pts]],0)</f>
      </c>
    </row>
    <row r="820">
      <c r="A820" s="11">
        <v>46160</v>
      </c>
      <c r="B820" t="s">
        <v>450</v>
      </c>
      <c r="C820" t="s">
        <v>38</v>
      </c>
      <c r="D820">
        <v>44</v>
      </c>
      <c r="F820" s="17">
        <f>IF(Log[[#This Row],[ID]]="","",IF(ISNA(MATCH(Log[[#This Row],[ID]],Items[ID],0)),"unknown ID",IF(ISNA(MATCH(Log[[#This Row],[Verb]],VerbList,0)),"unknown verb",IF(Log[[#This Row],[Date]]="","no date",""))))</f>
      </c>
      <c r="G820" s="17">
        <f>IF(Log[[#This Row],[ID]]="","",IFERROR(VLOOKUP(Log[[#This Row],[Verb]],Verbs,3,FALSE)&amp;"",""))</f>
      </c>
      <c r="H820" s="17">
        <f>IF(Log[[#This Row],[Date]]="","",INT((Log[[#This Row],[Date]]-Sprint1)/SprintDays)+1)</f>
      </c>
      <c r="I820" s="17">
        <f>IF(OR(Log[[#This Row],[Verb]]="commit",Log[[#This Row],[Verb]]="carry",Log[[#This Row],[Verb]]="redo"),IF(Log[[#This Row],[Arg]]="",Log[[#This Row],[Sprint]],N(Log[[#This Row],[Arg]])),"")</f>
      </c>
      <c r="J820" s="17">
        <f>IF(Log[[#This Row],[Verb]]="block",1,IF(OR(Log[[#This Row],[Verb]]="unblock",Log[[#This Row],[Verb]]="done",Log[[#This Row],[Verb]]="drop",Log[[#This Row],[Verb]]="punt",Log[[#This Row],[Verb]]="pass"),0,""))</f>
      </c>
      <c r="K820" s="17">
        <f>IF(Log[[#This Row],[ID]]="",0,IFERROR(INDEX(Items[Pts],MATCH(Log[[#This Row],[ID]],Items[ID],0))*1,0))</f>
      </c>
      <c r="L820" s="17">
        <f>IF(Log[[#This Row],[ID]]="","",IFERROR(INDEX(Items[Cur team],MATCH(Log[[#This Row],[ID]],Items[ID],0))&amp;"",""))</f>
      </c>
      <c r="M820" s="17">
        <f>IF(OR(Log[[#This Row],[Verb]]="done",Log[[#This Row],[Verb]]="punt",Log[[#This Row],[Verb]]="drop",Log[[#This Row],[Verb]]="pass"),Log[[#This Row],[Pts]],0)</f>
      </c>
    </row>
    <row r="821">
      <c r="A821" s="11">
        <v>46160</v>
      </c>
      <c r="B821" t="s">
        <v>451</v>
      </c>
      <c r="C821" t="s">
        <v>41</v>
      </c>
      <c r="F821" s="17">
        <f>IF(Log[[#This Row],[ID]]="","",IF(ISNA(MATCH(Log[[#This Row],[ID]],Items[ID],0)),"unknown ID",IF(ISNA(MATCH(Log[[#This Row],[Verb]],VerbList,0)),"unknown verb",IF(Log[[#This Row],[Date]]="","no date",""))))</f>
      </c>
      <c r="G821" s="17">
        <f>IF(Log[[#This Row],[ID]]="","",IFERROR(VLOOKUP(Log[[#This Row],[Verb]],Verbs,3,FALSE)&amp;"",""))</f>
      </c>
      <c r="H821" s="17">
        <f>IF(Log[[#This Row],[Date]]="","",INT((Log[[#This Row],[Date]]-Sprint1)/SprintDays)+1)</f>
      </c>
      <c r="I821" s="17">
        <f>IF(OR(Log[[#This Row],[Verb]]="commit",Log[[#This Row],[Verb]]="carry",Log[[#This Row],[Verb]]="redo"),IF(Log[[#This Row],[Arg]]="",Log[[#This Row],[Sprint]],N(Log[[#This Row],[Arg]])),"")</f>
      </c>
      <c r="J821" s="17">
        <f>IF(Log[[#This Row],[Verb]]="block",1,IF(OR(Log[[#This Row],[Verb]]="unblock",Log[[#This Row],[Verb]]="done",Log[[#This Row],[Verb]]="drop",Log[[#This Row],[Verb]]="punt",Log[[#This Row],[Verb]]="pass"),0,""))</f>
      </c>
      <c r="K821" s="17">
        <f>IF(Log[[#This Row],[ID]]="",0,IFERROR(INDEX(Items[Pts],MATCH(Log[[#This Row],[ID]],Items[ID],0))*1,0))</f>
      </c>
      <c r="L821" s="17">
        <f>IF(Log[[#This Row],[ID]]="","",IFERROR(INDEX(Items[Cur team],MATCH(Log[[#This Row],[ID]],Items[ID],0))&amp;"",""))</f>
      </c>
      <c r="M821" s="17">
        <f>IF(OR(Log[[#This Row],[Verb]]="done",Log[[#This Row],[Verb]]="punt",Log[[#This Row],[Verb]]="drop",Log[[#This Row],[Verb]]="pass"),Log[[#This Row],[Pts]],0)</f>
      </c>
    </row>
    <row r="822">
      <c r="A822" s="11">
        <v>46160</v>
      </c>
      <c r="B822" t="s">
        <v>508</v>
      </c>
      <c r="C822" t="s">
        <v>38</v>
      </c>
      <c r="D822">
        <v>44</v>
      </c>
      <c r="F822" s="17">
        <f>IF(Log[[#This Row],[ID]]="","",IF(ISNA(MATCH(Log[[#This Row],[ID]],Items[ID],0)),"unknown ID",IF(ISNA(MATCH(Log[[#This Row],[Verb]],VerbList,0)),"unknown verb",IF(Log[[#This Row],[Date]]="","no date",""))))</f>
      </c>
      <c r="G822" s="17">
        <f>IF(Log[[#This Row],[ID]]="","",IFERROR(VLOOKUP(Log[[#This Row],[Verb]],Verbs,3,FALSE)&amp;"",""))</f>
      </c>
      <c r="H822" s="17">
        <f>IF(Log[[#This Row],[Date]]="","",INT((Log[[#This Row],[Date]]-Sprint1)/SprintDays)+1)</f>
      </c>
      <c r="I822" s="17">
        <f>IF(OR(Log[[#This Row],[Verb]]="commit",Log[[#This Row],[Verb]]="carry",Log[[#This Row],[Verb]]="redo"),IF(Log[[#This Row],[Arg]]="",Log[[#This Row],[Sprint]],N(Log[[#This Row],[Arg]])),"")</f>
      </c>
      <c r="J822" s="17">
        <f>IF(Log[[#This Row],[Verb]]="block",1,IF(OR(Log[[#This Row],[Verb]]="unblock",Log[[#This Row],[Verb]]="done",Log[[#This Row],[Verb]]="drop",Log[[#This Row],[Verb]]="punt",Log[[#This Row],[Verb]]="pass"),0,""))</f>
      </c>
      <c r="K822" s="17">
        <f>IF(Log[[#This Row],[ID]]="",0,IFERROR(INDEX(Items[Pts],MATCH(Log[[#This Row],[ID]],Items[ID],0))*1,0))</f>
      </c>
      <c r="L822" s="17">
        <f>IF(Log[[#This Row],[ID]]="","",IFERROR(INDEX(Items[Cur team],MATCH(Log[[#This Row],[ID]],Items[ID],0))&amp;"",""))</f>
      </c>
      <c r="M822" s="17">
        <f>IF(OR(Log[[#This Row],[Verb]]="done",Log[[#This Row],[Verb]]="punt",Log[[#This Row],[Verb]]="drop",Log[[#This Row],[Verb]]="pass"),Log[[#This Row],[Pts]],0)</f>
      </c>
    </row>
    <row r="823">
      <c r="A823" s="11">
        <v>46160</v>
      </c>
      <c r="B823" t="s">
        <v>509</v>
      </c>
      <c r="C823" t="s">
        <v>41</v>
      </c>
      <c r="F823" s="17">
        <f>IF(Log[[#This Row],[ID]]="","",IF(ISNA(MATCH(Log[[#This Row],[ID]],Items[ID],0)),"unknown ID",IF(ISNA(MATCH(Log[[#This Row],[Verb]],VerbList,0)),"unknown verb",IF(Log[[#This Row],[Date]]="","no date",""))))</f>
      </c>
      <c r="G823" s="17">
        <f>IF(Log[[#This Row],[ID]]="","",IFERROR(VLOOKUP(Log[[#This Row],[Verb]],Verbs,3,FALSE)&amp;"",""))</f>
      </c>
      <c r="H823" s="17">
        <f>IF(Log[[#This Row],[Date]]="","",INT((Log[[#This Row],[Date]]-Sprint1)/SprintDays)+1)</f>
      </c>
      <c r="I823" s="17">
        <f>IF(OR(Log[[#This Row],[Verb]]="commit",Log[[#This Row],[Verb]]="carry",Log[[#This Row],[Verb]]="redo"),IF(Log[[#This Row],[Arg]]="",Log[[#This Row],[Sprint]],N(Log[[#This Row],[Arg]])),"")</f>
      </c>
      <c r="J823" s="17">
        <f>IF(Log[[#This Row],[Verb]]="block",1,IF(OR(Log[[#This Row],[Verb]]="unblock",Log[[#This Row],[Verb]]="done",Log[[#This Row],[Verb]]="drop",Log[[#This Row],[Verb]]="punt",Log[[#This Row],[Verb]]="pass"),0,""))</f>
      </c>
      <c r="K823" s="17">
        <f>IF(Log[[#This Row],[ID]]="",0,IFERROR(INDEX(Items[Pts],MATCH(Log[[#This Row],[ID]],Items[ID],0))*1,0))</f>
      </c>
      <c r="L823" s="17">
        <f>IF(Log[[#This Row],[ID]]="","",IFERROR(INDEX(Items[Cur team],MATCH(Log[[#This Row],[ID]],Items[ID],0))&amp;"",""))</f>
      </c>
      <c r="M823" s="17">
        <f>IF(OR(Log[[#This Row],[Verb]]="done",Log[[#This Row],[Verb]]="punt",Log[[#This Row],[Verb]]="drop",Log[[#This Row],[Verb]]="pass"),Log[[#This Row],[Pts]],0)</f>
      </c>
    </row>
    <row r="824">
      <c r="A824" s="11">
        <v>46160</v>
      </c>
      <c r="B824" t="s">
        <v>510</v>
      </c>
      <c r="C824" t="s">
        <v>41</v>
      </c>
      <c r="F824" s="17">
        <f>IF(Log[[#This Row],[ID]]="","",IF(ISNA(MATCH(Log[[#This Row],[ID]],Items[ID],0)),"unknown ID",IF(ISNA(MATCH(Log[[#This Row],[Verb]],VerbList,0)),"unknown verb",IF(Log[[#This Row],[Date]]="","no date",""))))</f>
      </c>
      <c r="G824" s="17">
        <f>IF(Log[[#This Row],[ID]]="","",IFERROR(VLOOKUP(Log[[#This Row],[Verb]],Verbs,3,FALSE)&amp;"",""))</f>
      </c>
      <c r="H824" s="17">
        <f>IF(Log[[#This Row],[Date]]="","",INT((Log[[#This Row],[Date]]-Sprint1)/SprintDays)+1)</f>
      </c>
      <c r="I824" s="17">
        <f>IF(OR(Log[[#This Row],[Verb]]="commit",Log[[#This Row],[Verb]]="carry",Log[[#This Row],[Verb]]="redo"),IF(Log[[#This Row],[Arg]]="",Log[[#This Row],[Sprint]],N(Log[[#This Row],[Arg]])),"")</f>
      </c>
      <c r="J824" s="17">
        <f>IF(Log[[#This Row],[Verb]]="block",1,IF(OR(Log[[#This Row],[Verb]]="unblock",Log[[#This Row],[Verb]]="done",Log[[#This Row],[Verb]]="drop",Log[[#This Row],[Verb]]="punt",Log[[#This Row],[Verb]]="pass"),0,""))</f>
      </c>
      <c r="K824" s="17">
        <f>IF(Log[[#This Row],[ID]]="",0,IFERROR(INDEX(Items[Pts],MATCH(Log[[#This Row],[ID]],Items[ID],0))*1,0))</f>
      </c>
      <c r="L824" s="17">
        <f>IF(Log[[#This Row],[ID]]="","",IFERROR(INDEX(Items[Cur team],MATCH(Log[[#This Row],[ID]],Items[ID],0))&amp;"",""))</f>
      </c>
      <c r="M824" s="17">
        <f>IF(OR(Log[[#This Row],[Verb]]="done",Log[[#This Row],[Verb]]="punt",Log[[#This Row],[Verb]]="drop",Log[[#This Row],[Verb]]="pass"),Log[[#This Row],[Pts]],0)</f>
      </c>
    </row>
    <row r="825">
      <c r="A825" s="11">
        <v>46160</v>
      </c>
      <c r="B825" t="s">
        <v>511</v>
      </c>
      <c r="C825" t="s">
        <v>41</v>
      </c>
      <c r="F825" s="17">
        <f>IF(Log[[#This Row],[ID]]="","",IF(ISNA(MATCH(Log[[#This Row],[ID]],Items[ID],0)),"unknown ID",IF(ISNA(MATCH(Log[[#This Row],[Verb]],VerbList,0)),"unknown verb",IF(Log[[#This Row],[Date]]="","no date",""))))</f>
      </c>
      <c r="G825" s="17">
        <f>IF(Log[[#This Row],[ID]]="","",IFERROR(VLOOKUP(Log[[#This Row],[Verb]],Verbs,3,FALSE)&amp;"",""))</f>
      </c>
      <c r="H825" s="17">
        <f>IF(Log[[#This Row],[Date]]="","",INT((Log[[#This Row],[Date]]-Sprint1)/SprintDays)+1)</f>
      </c>
      <c r="I825" s="17">
        <f>IF(OR(Log[[#This Row],[Verb]]="commit",Log[[#This Row],[Verb]]="carry",Log[[#This Row],[Verb]]="redo"),IF(Log[[#This Row],[Arg]]="",Log[[#This Row],[Sprint]],N(Log[[#This Row],[Arg]])),"")</f>
      </c>
      <c r="J825" s="17">
        <f>IF(Log[[#This Row],[Verb]]="block",1,IF(OR(Log[[#This Row],[Verb]]="unblock",Log[[#This Row],[Verb]]="done",Log[[#This Row],[Verb]]="drop",Log[[#This Row],[Verb]]="punt",Log[[#This Row],[Verb]]="pass"),0,""))</f>
      </c>
      <c r="K825" s="17">
        <f>IF(Log[[#This Row],[ID]]="",0,IFERROR(INDEX(Items[Pts],MATCH(Log[[#This Row],[ID]],Items[ID],0))*1,0))</f>
      </c>
      <c r="L825" s="17">
        <f>IF(Log[[#This Row],[ID]]="","",IFERROR(INDEX(Items[Cur team],MATCH(Log[[#This Row],[ID]],Items[ID],0))&amp;"",""))</f>
      </c>
      <c r="M825" s="17">
        <f>IF(OR(Log[[#This Row],[Verb]]="done",Log[[#This Row],[Verb]]="punt",Log[[#This Row],[Verb]]="drop",Log[[#This Row],[Verb]]="pass"),Log[[#This Row],[Pts]],0)</f>
      </c>
    </row>
    <row r="826">
      <c r="A826" s="11">
        <v>46160</v>
      </c>
      <c r="B826" t="s">
        <v>512</v>
      </c>
      <c r="C826" t="s">
        <v>38</v>
      </c>
      <c r="D826">
        <v>44</v>
      </c>
      <c r="F826" s="17">
        <f>IF(Log[[#This Row],[ID]]="","",IF(ISNA(MATCH(Log[[#This Row],[ID]],Items[ID],0)),"unknown ID",IF(ISNA(MATCH(Log[[#This Row],[Verb]],VerbList,0)),"unknown verb",IF(Log[[#This Row],[Date]]="","no date",""))))</f>
      </c>
      <c r="G826" s="17">
        <f>IF(Log[[#This Row],[ID]]="","",IFERROR(VLOOKUP(Log[[#This Row],[Verb]],Verbs,3,FALSE)&amp;"",""))</f>
      </c>
      <c r="H826" s="17">
        <f>IF(Log[[#This Row],[Date]]="","",INT((Log[[#This Row],[Date]]-Sprint1)/SprintDays)+1)</f>
      </c>
      <c r="I826" s="17">
        <f>IF(OR(Log[[#This Row],[Verb]]="commit",Log[[#This Row],[Verb]]="carry",Log[[#This Row],[Verb]]="redo"),IF(Log[[#This Row],[Arg]]="",Log[[#This Row],[Sprint]],N(Log[[#This Row],[Arg]])),"")</f>
      </c>
      <c r="J826" s="17">
        <f>IF(Log[[#This Row],[Verb]]="block",1,IF(OR(Log[[#This Row],[Verb]]="unblock",Log[[#This Row],[Verb]]="done",Log[[#This Row],[Verb]]="drop",Log[[#This Row],[Verb]]="punt",Log[[#This Row],[Verb]]="pass"),0,""))</f>
      </c>
      <c r="K826" s="17">
        <f>IF(Log[[#This Row],[ID]]="",0,IFERROR(INDEX(Items[Pts],MATCH(Log[[#This Row],[ID]],Items[ID],0))*1,0))</f>
      </c>
      <c r="L826" s="17">
        <f>IF(Log[[#This Row],[ID]]="","",IFERROR(INDEX(Items[Cur team],MATCH(Log[[#This Row],[ID]],Items[ID],0))&amp;"",""))</f>
      </c>
      <c r="M826" s="17">
        <f>IF(OR(Log[[#This Row],[Verb]]="done",Log[[#This Row],[Verb]]="punt",Log[[#This Row],[Verb]]="drop",Log[[#This Row],[Verb]]="pass"),Log[[#This Row],[Pts]],0)</f>
      </c>
    </row>
    <row r="827">
      <c r="A827" s="11">
        <v>46160</v>
      </c>
      <c r="B827" t="s">
        <v>402</v>
      </c>
      <c r="C827" t="s">
        <v>38</v>
      </c>
      <c r="D827">
        <v>44</v>
      </c>
      <c r="F827" s="17">
        <f>IF(Log[[#This Row],[ID]]="","",IF(ISNA(MATCH(Log[[#This Row],[ID]],Items[ID],0)),"unknown ID",IF(ISNA(MATCH(Log[[#This Row],[Verb]],VerbList,0)),"unknown verb",IF(Log[[#This Row],[Date]]="","no date",""))))</f>
      </c>
      <c r="G827" s="17">
        <f>IF(Log[[#This Row],[ID]]="","",IFERROR(VLOOKUP(Log[[#This Row],[Verb]],Verbs,3,FALSE)&amp;"",""))</f>
      </c>
      <c r="H827" s="17">
        <f>IF(Log[[#This Row],[Date]]="","",INT((Log[[#This Row],[Date]]-Sprint1)/SprintDays)+1)</f>
      </c>
      <c r="I827" s="17">
        <f>IF(OR(Log[[#This Row],[Verb]]="commit",Log[[#This Row],[Verb]]="carry",Log[[#This Row],[Verb]]="redo"),IF(Log[[#This Row],[Arg]]="",Log[[#This Row],[Sprint]],N(Log[[#This Row],[Arg]])),"")</f>
      </c>
      <c r="J827" s="17">
        <f>IF(Log[[#This Row],[Verb]]="block",1,IF(OR(Log[[#This Row],[Verb]]="unblock",Log[[#This Row],[Verb]]="done",Log[[#This Row],[Verb]]="drop",Log[[#This Row],[Verb]]="punt",Log[[#This Row],[Verb]]="pass"),0,""))</f>
      </c>
      <c r="K827" s="17">
        <f>IF(Log[[#This Row],[ID]]="",0,IFERROR(INDEX(Items[Pts],MATCH(Log[[#This Row],[ID]],Items[ID],0))*1,0))</f>
      </c>
      <c r="L827" s="17">
        <f>IF(Log[[#This Row],[ID]]="","",IFERROR(INDEX(Items[Cur team],MATCH(Log[[#This Row],[ID]],Items[ID],0))&amp;"",""))</f>
      </c>
      <c r="M827" s="17">
        <f>IF(OR(Log[[#This Row],[Verb]]="done",Log[[#This Row],[Verb]]="punt",Log[[#This Row],[Verb]]="drop",Log[[#This Row],[Verb]]="pass"),Log[[#This Row],[Pts]],0)</f>
      </c>
    </row>
    <row r="828">
      <c r="A828" s="11">
        <v>46160</v>
      </c>
      <c r="B828" t="s">
        <v>457</v>
      </c>
      <c r="C828" t="s">
        <v>41</v>
      </c>
      <c r="F828" s="17">
        <f>IF(Log[[#This Row],[ID]]="","",IF(ISNA(MATCH(Log[[#This Row],[ID]],Items[ID],0)),"unknown ID",IF(ISNA(MATCH(Log[[#This Row],[Verb]],VerbList,0)),"unknown verb",IF(Log[[#This Row],[Date]]="","no date",""))))</f>
      </c>
      <c r="G828" s="17">
        <f>IF(Log[[#This Row],[ID]]="","",IFERROR(VLOOKUP(Log[[#This Row],[Verb]],Verbs,3,FALSE)&amp;"",""))</f>
      </c>
      <c r="H828" s="17">
        <f>IF(Log[[#This Row],[Date]]="","",INT((Log[[#This Row],[Date]]-Sprint1)/SprintDays)+1)</f>
      </c>
      <c r="I828" s="17">
        <f>IF(OR(Log[[#This Row],[Verb]]="commit",Log[[#This Row],[Verb]]="carry",Log[[#This Row],[Verb]]="redo"),IF(Log[[#This Row],[Arg]]="",Log[[#This Row],[Sprint]],N(Log[[#This Row],[Arg]])),"")</f>
      </c>
      <c r="J828" s="17">
        <f>IF(Log[[#This Row],[Verb]]="block",1,IF(OR(Log[[#This Row],[Verb]]="unblock",Log[[#This Row],[Verb]]="done",Log[[#This Row],[Verb]]="drop",Log[[#This Row],[Verb]]="punt",Log[[#This Row],[Verb]]="pass"),0,""))</f>
      </c>
      <c r="K828" s="17">
        <f>IF(Log[[#This Row],[ID]]="",0,IFERROR(INDEX(Items[Pts],MATCH(Log[[#This Row],[ID]],Items[ID],0))*1,0))</f>
      </c>
      <c r="L828" s="17">
        <f>IF(Log[[#This Row],[ID]]="","",IFERROR(INDEX(Items[Cur team],MATCH(Log[[#This Row],[ID]],Items[ID],0))&amp;"",""))</f>
      </c>
      <c r="M828" s="17">
        <f>IF(OR(Log[[#This Row],[Verb]]="done",Log[[#This Row],[Verb]]="punt",Log[[#This Row],[Verb]]="drop",Log[[#This Row],[Verb]]="pass"),Log[[#This Row],[Pts]],0)</f>
      </c>
    </row>
    <row r="829">
      <c r="A829" s="11">
        <v>46160</v>
      </c>
      <c r="B829" t="s">
        <v>513</v>
      </c>
      <c r="C829" t="s">
        <v>41</v>
      </c>
      <c r="F829" s="17">
        <f>IF(Log[[#This Row],[ID]]="","",IF(ISNA(MATCH(Log[[#This Row],[ID]],Items[ID],0)),"unknown ID",IF(ISNA(MATCH(Log[[#This Row],[Verb]],VerbList,0)),"unknown verb",IF(Log[[#This Row],[Date]]="","no date",""))))</f>
      </c>
      <c r="G829" s="17">
        <f>IF(Log[[#This Row],[ID]]="","",IFERROR(VLOOKUP(Log[[#This Row],[Verb]],Verbs,3,FALSE)&amp;"",""))</f>
      </c>
      <c r="H829" s="17">
        <f>IF(Log[[#This Row],[Date]]="","",INT((Log[[#This Row],[Date]]-Sprint1)/SprintDays)+1)</f>
      </c>
      <c r="I829" s="17">
        <f>IF(OR(Log[[#This Row],[Verb]]="commit",Log[[#This Row],[Verb]]="carry",Log[[#This Row],[Verb]]="redo"),IF(Log[[#This Row],[Arg]]="",Log[[#This Row],[Sprint]],N(Log[[#This Row],[Arg]])),"")</f>
      </c>
      <c r="J829" s="17">
        <f>IF(Log[[#This Row],[Verb]]="block",1,IF(OR(Log[[#This Row],[Verb]]="unblock",Log[[#This Row],[Verb]]="done",Log[[#This Row],[Verb]]="drop",Log[[#This Row],[Verb]]="punt",Log[[#This Row],[Verb]]="pass"),0,""))</f>
      </c>
      <c r="K829" s="17">
        <f>IF(Log[[#This Row],[ID]]="",0,IFERROR(INDEX(Items[Pts],MATCH(Log[[#This Row],[ID]],Items[ID],0))*1,0))</f>
      </c>
      <c r="L829" s="17">
        <f>IF(Log[[#This Row],[ID]]="","",IFERROR(INDEX(Items[Cur team],MATCH(Log[[#This Row],[ID]],Items[ID],0))&amp;"",""))</f>
      </c>
      <c r="M829" s="17">
        <f>IF(OR(Log[[#This Row],[Verb]]="done",Log[[#This Row],[Verb]]="punt",Log[[#This Row],[Verb]]="drop",Log[[#This Row],[Verb]]="pass"),Log[[#This Row],[Pts]],0)</f>
      </c>
    </row>
    <row r="830">
      <c r="A830" s="11">
        <v>46160</v>
      </c>
      <c r="B830" t="s">
        <v>514</v>
      </c>
      <c r="C830" t="s">
        <v>41</v>
      </c>
      <c r="F830" s="17">
        <f>IF(Log[[#This Row],[ID]]="","",IF(ISNA(MATCH(Log[[#This Row],[ID]],Items[ID],0)),"unknown ID",IF(ISNA(MATCH(Log[[#This Row],[Verb]],VerbList,0)),"unknown verb",IF(Log[[#This Row],[Date]]="","no date",""))))</f>
      </c>
      <c r="G830" s="17">
        <f>IF(Log[[#This Row],[ID]]="","",IFERROR(VLOOKUP(Log[[#This Row],[Verb]],Verbs,3,FALSE)&amp;"",""))</f>
      </c>
      <c r="H830" s="17">
        <f>IF(Log[[#This Row],[Date]]="","",INT((Log[[#This Row],[Date]]-Sprint1)/SprintDays)+1)</f>
      </c>
      <c r="I830" s="17">
        <f>IF(OR(Log[[#This Row],[Verb]]="commit",Log[[#This Row],[Verb]]="carry",Log[[#This Row],[Verb]]="redo"),IF(Log[[#This Row],[Arg]]="",Log[[#This Row],[Sprint]],N(Log[[#This Row],[Arg]])),"")</f>
      </c>
      <c r="J830" s="17">
        <f>IF(Log[[#This Row],[Verb]]="block",1,IF(OR(Log[[#This Row],[Verb]]="unblock",Log[[#This Row],[Verb]]="done",Log[[#This Row],[Verb]]="drop",Log[[#This Row],[Verb]]="punt",Log[[#This Row],[Verb]]="pass"),0,""))</f>
      </c>
      <c r="K830" s="17">
        <f>IF(Log[[#This Row],[ID]]="",0,IFERROR(INDEX(Items[Pts],MATCH(Log[[#This Row],[ID]],Items[ID],0))*1,0))</f>
      </c>
      <c r="L830" s="17">
        <f>IF(Log[[#This Row],[ID]]="","",IFERROR(INDEX(Items[Cur team],MATCH(Log[[#This Row],[ID]],Items[ID],0))&amp;"",""))</f>
      </c>
      <c r="M830" s="17">
        <f>IF(OR(Log[[#This Row],[Verb]]="done",Log[[#This Row],[Verb]]="punt",Log[[#This Row],[Verb]]="drop",Log[[#This Row],[Verb]]="pass"),Log[[#This Row],[Pts]],0)</f>
      </c>
    </row>
    <row r="831">
      <c r="A831" s="11">
        <v>46160</v>
      </c>
      <c r="B831" t="s">
        <v>515</v>
      </c>
      <c r="C831" t="s">
        <v>41</v>
      </c>
      <c r="F831" s="17">
        <f>IF(Log[[#This Row],[ID]]="","",IF(ISNA(MATCH(Log[[#This Row],[ID]],Items[ID],0)),"unknown ID",IF(ISNA(MATCH(Log[[#This Row],[Verb]],VerbList,0)),"unknown verb",IF(Log[[#This Row],[Date]]="","no date",""))))</f>
      </c>
      <c r="G831" s="17">
        <f>IF(Log[[#This Row],[ID]]="","",IFERROR(VLOOKUP(Log[[#This Row],[Verb]],Verbs,3,FALSE)&amp;"",""))</f>
      </c>
      <c r="H831" s="17">
        <f>IF(Log[[#This Row],[Date]]="","",INT((Log[[#This Row],[Date]]-Sprint1)/SprintDays)+1)</f>
      </c>
      <c r="I831" s="17">
        <f>IF(OR(Log[[#This Row],[Verb]]="commit",Log[[#This Row],[Verb]]="carry",Log[[#This Row],[Verb]]="redo"),IF(Log[[#This Row],[Arg]]="",Log[[#This Row],[Sprint]],N(Log[[#This Row],[Arg]])),"")</f>
      </c>
      <c r="J831" s="17">
        <f>IF(Log[[#This Row],[Verb]]="block",1,IF(OR(Log[[#This Row],[Verb]]="unblock",Log[[#This Row],[Verb]]="done",Log[[#This Row],[Verb]]="drop",Log[[#This Row],[Verb]]="punt",Log[[#This Row],[Verb]]="pass"),0,""))</f>
      </c>
      <c r="K831" s="17">
        <f>IF(Log[[#This Row],[ID]]="",0,IFERROR(INDEX(Items[Pts],MATCH(Log[[#This Row],[ID]],Items[ID],0))*1,0))</f>
      </c>
      <c r="L831" s="17">
        <f>IF(Log[[#This Row],[ID]]="","",IFERROR(INDEX(Items[Cur team],MATCH(Log[[#This Row],[ID]],Items[ID],0))&amp;"",""))</f>
      </c>
      <c r="M831" s="17">
        <f>IF(OR(Log[[#This Row],[Verb]]="done",Log[[#This Row],[Verb]]="punt",Log[[#This Row],[Verb]]="drop",Log[[#This Row],[Verb]]="pass"),Log[[#This Row],[Pts]],0)</f>
      </c>
    </row>
    <row r="832">
      <c r="A832" s="11">
        <v>46160</v>
      </c>
      <c r="B832" t="s">
        <v>516</v>
      </c>
      <c r="C832" t="s">
        <v>41</v>
      </c>
      <c r="F832" s="17">
        <f>IF(Log[[#This Row],[ID]]="","",IF(ISNA(MATCH(Log[[#This Row],[ID]],Items[ID],0)),"unknown ID",IF(ISNA(MATCH(Log[[#This Row],[Verb]],VerbList,0)),"unknown verb",IF(Log[[#This Row],[Date]]="","no date",""))))</f>
      </c>
      <c r="G832" s="17">
        <f>IF(Log[[#This Row],[ID]]="","",IFERROR(VLOOKUP(Log[[#This Row],[Verb]],Verbs,3,FALSE)&amp;"",""))</f>
      </c>
      <c r="H832" s="17">
        <f>IF(Log[[#This Row],[Date]]="","",INT((Log[[#This Row],[Date]]-Sprint1)/SprintDays)+1)</f>
      </c>
      <c r="I832" s="17">
        <f>IF(OR(Log[[#This Row],[Verb]]="commit",Log[[#This Row],[Verb]]="carry",Log[[#This Row],[Verb]]="redo"),IF(Log[[#This Row],[Arg]]="",Log[[#This Row],[Sprint]],N(Log[[#This Row],[Arg]])),"")</f>
      </c>
      <c r="J832" s="17">
        <f>IF(Log[[#This Row],[Verb]]="block",1,IF(OR(Log[[#This Row],[Verb]]="unblock",Log[[#This Row],[Verb]]="done",Log[[#This Row],[Verb]]="drop",Log[[#This Row],[Verb]]="punt",Log[[#This Row],[Verb]]="pass"),0,""))</f>
      </c>
      <c r="K832" s="17">
        <f>IF(Log[[#This Row],[ID]]="",0,IFERROR(INDEX(Items[Pts],MATCH(Log[[#This Row],[ID]],Items[ID],0))*1,0))</f>
      </c>
      <c r="L832" s="17">
        <f>IF(Log[[#This Row],[ID]]="","",IFERROR(INDEX(Items[Cur team],MATCH(Log[[#This Row],[ID]],Items[ID],0))&amp;"",""))</f>
      </c>
      <c r="M832" s="17">
        <f>IF(OR(Log[[#This Row],[Verb]]="done",Log[[#This Row],[Verb]]="punt",Log[[#This Row],[Verb]]="drop",Log[[#This Row],[Verb]]="pass"),Log[[#This Row],[Pts]],0)</f>
      </c>
    </row>
    <row r="833">
      <c r="A833" s="11">
        <v>46160</v>
      </c>
      <c r="B833" t="s">
        <v>517</v>
      </c>
      <c r="C833" t="s">
        <v>41</v>
      </c>
      <c r="F833" s="17">
        <f>IF(Log[[#This Row],[ID]]="","",IF(ISNA(MATCH(Log[[#This Row],[ID]],Items[ID],0)),"unknown ID",IF(ISNA(MATCH(Log[[#This Row],[Verb]],VerbList,0)),"unknown verb",IF(Log[[#This Row],[Date]]="","no date",""))))</f>
      </c>
      <c r="G833" s="17">
        <f>IF(Log[[#This Row],[ID]]="","",IFERROR(VLOOKUP(Log[[#This Row],[Verb]],Verbs,3,FALSE)&amp;"",""))</f>
      </c>
      <c r="H833" s="17">
        <f>IF(Log[[#This Row],[Date]]="","",INT((Log[[#This Row],[Date]]-Sprint1)/SprintDays)+1)</f>
      </c>
      <c r="I833" s="17">
        <f>IF(OR(Log[[#This Row],[Verb]]="commit",Log[[#This Row],[Verb]]="carry",Log[[#This Row],[Verb]]="redo"),IF(Log[[#This Row],[Arg]]="",Log[[#This Row],[Sprint]],N(Log[[#This Row],[Arg]])),"")</f>
      </c>
      <c r="J833" s="17">
        <f>IF(Log[[#This Row],[Verb]]="block",1,IF(OR(Log[[#This Row],[Verb]]="unblock",Log[[#This Row],[Verb]]="done",Log[[#This Row],[Verb]]="drop",Log[[#This Row],[Verb]]="punt",Log[[#This Row],[Verb]]="pass"),0,""))</f>
      </c>
      <c r="K833" s="17">
        <f>IF(Log[[#This Row],[ID]]="",0,IFERROR(INDEX(Items[Pts],MATCH(Log[[#This Row],[ID]],Items[ID],0))*1,0))</f>
      </c>
      <c r="L833" s="17">
        <f>IF(Log[[#This Row],[ID]]="","",IFERROR(INDEX(Items[Cur team],MATCH(Log[[#This Row],[ID]],Items[ID],0))&amp;"",""))</f>
      </c>
      <c r="M833" s="17">
        <f>IF(OR(Log[[#This Row],[Verb]]="done",Log[[#This Row],[Verb]]="punt",Log[[#This Row],[Verb]]="drop",Log[[#This Row],[Verb]]="pass"),Log[[#This Row],[Pts]],0)</f>
      </c>
    </row>
    <row r="834">
      <c r="A834" s="11">
        <v>46160</v>
      </c>
      <c r="B834" t="s">
        <v>518</v>
      </c>
      <c r="C834" t="s">
        <v>41</v>
      </c>
      <c r="F834" s="17">
        <f>IF(Log[[#This Row],[ID]]="","",IF(ISNA(MATCH(Log[[#This Row],[ID]],Items[ID],0)),"unknown ID",IF(ISNA(MATCH(Log[[#This Row],[Verb]],VerbList,0)),"unknown verb",IF(Log[[#This Row],[Date]]="","no date",""))))</f>
      </c>
      <c r="G834" s="17">
        <f>IF(Log[[#This Row],[ID]]="","",IFERROR(VLOOKUP(Log[[#This Row],[Verb]],Verbs,3,FALSE)&amp;"",""))</f>
      </c>
      <c r="H834" s="17">
        <f>IF(Log[[#This Row],[Date]]="","",INT((Log[[#This Row],[Date]]-Sprint1)/SprintDays)+1)</f>
      </c>
      <c r="I834" s="17">
        <f>IF(OR(Log[[#This Row],[Verb]]="commit",Log[[#This Row],[Verb]]="carry",Log[[#This Row],[Verb]]="redo"),IF(Log[[#This Row],[Arg]]="",Log[[#This Row],[Sprint]],N(Log[[#This Row],[Arg]])),"")</f>
      </c>
      <c r="J834" s="17">
        <f>IF(Log[[#This Row],[Verb]]="block",1,IF(OR(Log[[#This Row],[Verb]]="unblock",Log[[#This Row],[Verb]]="done",Log[[#This Row],[Verb]]="drop",Log[[#This Row],[Verb]]="punt",Log[[#This Row],[Verb]]="pass"),0,""))</f>
      </c>
      <c r="K834" s="17">
        <f>IF(Log[[#This Row],[ID]]="",0,IFERROR(INDEX(Items[Pts],MATCH(Log[[#This Row],[ID]],Items[ID],0))*1,0))</f>
      </c>
      <c r="L834" s="17">
        <f>IF(Log[[#This Row],[ID]]="","",IFERROR(INDEX(Items[Cur team],MATCH(Log[[#This Row],[ID]],Items[ID],0))&amp;"",""))</f>
      </c>
      <c r="M834" s="17">
        <f>IF(OR(Log[[#This Row],[Verb]]="done",Log[[#This Row],[Verb]]="punt",Log[[#This Row],[Verb]]="drop",Log[[#This Row],[Verb]]="pass"),Log[[#This Row],[Pts]],0)</f>
      </c>
    </row>
    <row r="835">
      <c r="A835" s="11">
        <v>46160</v>
      </c>
      <c r="B835" t="s">
        <v>519</v>
      </c>
      <c r="C835" t="s">
        <v>41</v>
      </c>
      <c r="F835" s="17">
        <f>IF(Log[[#This Row],[ID]]="","",IF(ISNA(MATCH(Log[[#This Row],[ID]],Items[ID],0)),"unknown ID",IF(ISNA(MATCH(Log[[#This Row],[Verb]],VerbList,0)),"unknown verb",IF(Log[[#This Row],[Date]]="","no date",""))))</f>
      </c>
      <c r="G835" s="17">
        <f>IF(Log[[#This Row],[ID]]="","",IFERROR(VLOOKUP(Log[[#This Row],[Verb]],Verbs,3,FALSE)&amp;"",""))</f>
      </c>
      <c r="H835" s="17">
        <f>IF(Log[[#This Row],[Date]]="","",INT((Log[[#This Row],[Date]]-Sprint1)/SprintDays)+1)</f>
      </c>
      <c r="I835" s="17">
        <f>IF(OR(Log[[#This Row],[Verb]]="commit",Log[[#This Row],[Verb]]="carry",Log[[#This Row],[Verb]]="redo"),IF(Log[[#This Row],[Arg]]="",Log[[#This Row],[Sprint]],N(Log[[#This Row],[Arg]])),"")</f>
      </c>
      <c r="J835" s="17">
        <f>IF(Log[[#This Row],[Verb]]="block",1,IF(OR(Log[[#This Row],[Verb]]="unblock",Log[[#This Row],[Verb]]="done",Log[[#This Row],[Verb]]="drop",Log[[#This Row],[Verb]]="punt",Log[[#This Row],[Verb]]="pass"),0,""))</f>
      </c>
      <c r="K835" s="17">
        <f>IF(Log[[#This Row],[ID]]="",0,IFERROR(INDEX(Items[Pts],MATCH(Log[[#This Row],[ID]],Items[ID],0))*1,0))</f>
      </c>
      <c r="L835" s="17">
        <f>IF(Log[[#This Row],[ID]]="","",IFERROR(INDEX(Items[Cur team],MATCH(Log[[#This Row],[ID]],Items[ID],0))&amp;"",""))</f>
      </c>
      <c r="M835" s="17">
        <f>IF(OR(Log[[#This Row],[Verb]]="done",Log[[#This Row],[Verb]]="punt",Log[[#This Row],[Verb]]="drop",Log[[#This Row],[Verb]]="pass"),Log[[#This Row],[Pts]],0)</f>
      </c>
    </row>
    <row r="836">
      <c r="A836" s="11">
        <v>46160</v>
      </c>
      <c r="B836" t="s">
        <v>520</v>
      </c>
      <c r="C836" t="s">
        <v>38</v>
      </c>
      <c r="D836">
        <v>44</v>
      </c>
      <c r="F836" s="17">
        <f>IF(Log[[#This Row],[ID]]="","",IF(ISNA(MATCH(Log[[#This Row],[ID]],Items[ID],0)),"unknown ID",IF(ISNA(MATCH(Log[[#This Row],[Verb]],VerbList,0)),"unknown verb",IF(Log[[#This Row],[Date]]="","no date",""))))</f>
      </c>
      <c r="G836" s="17">
        <f>IF(Log[[#This Row],[ID]]="","",IFERROR(VLOOKUP(Log[[#This Row],[Verb]],Verbs,3,FALSE)&amp;"",""))</f>
      </c>
      <c r="H836" s="17">
        <f>IF(Log[[#This Row],[Date]]="","",INT((Log[[#This Row],[Date]]-Sprint1)/SprintDays)+1)</f>
      </c>
      <c r="I836" s="17">
        <f>IF(OR(Log[[#This Row],[Verb]]="commit",Log[[#This Row],[Verb]]="carry",Log[[#This Row],[Verb]]="redo"),IF(Log[[#This Row],[Arg]]="",Log[[#This Row],[Sprint]],N(Log[[#This Row],[Arg]])),"")</f>
      </c>
      <c r="J836" s="17">
        <f>IF(Log[[#This Row],[Verb]]="block",1,IF(OR(Log[[#This Row],[Verb]]="unblock",Log[[#This Row],[Verb]]="done",Log[[#This Row],[Verb]]="drop",Log[[#This Row],[Verb]]="punt",Log[[#This Row],[Verb]]="pass"),0,""))</f>
      </c>
      <c r="K836" s="17">
        <f>IF(Log[[#This Row],[ID]]="",0,IFERROR(INDEX(Items[Pts],MATCH(Log[[#This Row],[ID]],Items[ID],0))*1,0))</f>
      </c>
      <c r="L836" s="17">
        <f>IF(Log[[#This Row],[ID]]="","",IFERROR(INDEX(Items[Cur team],MATCH(Log[[#This Row],[ID]],Items[ID],0))&amp;"",""))</f>
      </c>
      <c r="M836" s="17">
        <f>IF(OR(Log[[#This Row],[Verb]]="done",Log[[#This Row],[Verb]]="punt",Log[[#This Row],[Verb]]="drop",Log[[#This Row],[Verb]]="pass"),Log[[#This Row],[Pts]],0)</f>
      </c>
    </row>
    <row r="837">
      <c r="A837" s="11">
        <v>46160</v>
      </c>
      <c r="B837" t="s">
        <v>521</v>
      </c>
      <c r="C837" t="s">
        <v>41</v>
      </c>
      <c r="F837" s="17">
        <f>IF(Log[[#This Row],[ID]]="","",IF(ISNA(MATCH(Log[[#This Row],[ID]],Items[ID],0)),"unknown ID",IF(ISNA(MATCH(Log[[#This Row],[Verb]],VerbList,0)),"unknown verb",IF(Log[[#This Row],[Date]]="","no date",""))))</f>
      </c>
      <c r="G837" s="17">
        <f>IF(Log[[#This Row],[ID]]="","",IFERROR(VLOOKUP(Log[[#This Row],[Verb]],Verbs,3,FALSE)&amp;"",""))</f>
      </c>
      <c r="H837" s="17">
        <f>IF(Log[[#This Row],[Date]]="","",INT((Log[[#This Row],[Date]]-Sprint1)/SprintDays)+1)</f>
      </c>
      <c r="I837" s="17">
        <f>IF(OR(Log[[#This Row],[Verb]]="commit",Log[[#This Row],[Verb]]="carry",Log[[#This Row],[Verb]]="redo"),IF(Log[[#This Row],[Arg]]="",Log[[#This Row],[Sprint]],N(Log[[#This Row],[Arg]])),"")</f>
      </c>
      <c r="J837" s="17">
        <f>IF(Log[[#This Row],[Verb]]="block",1,IF(OR(Log[[#This Row],[Verb]]="unblock",Log[[#This Row],[Verb]]="done",Log[[#This Row],[Verb]]="drop",Log[[#This Row],[Verb]]="punt",Log[[#This Row],[Verb]]="pass"),0,""))</f>
      </c>
      <c r="K837" s="17">
        <f>IF(Log[[#This Row],[ID]]="",0,IFERROR(INDEX(Items[Pts],MATCH(Log[[#This Row],[ID]],Items[ID],0))*1,0))</f>
      </c>
      <c r="L837" s="17">
        <f>IF(Log[[#This Row],[ID]]="","",IFERROR(INDEX(Items[Cur team],MATCH(Log[[#This Row],[ID]],Items[ID],0))&amp;"",""))</f>
      </c>
      <c r="M837" s="17">
        <f>IF(OR(Log[[#This Row],[Verb]]="done",Log[[#This Row],[Verb]]="punt",Log[[#This Row],[Verb]]="drop",Log[[#This Row],[Verb]]="pass"),Log[[#This Row],[Pts]],0)</f>
      </c>
    </row>
    <row r="838">
      <c r="A838" s="11">
        <v>46160</v>
      </c>
      <c r="B838" t="s">
        <v>472</v>
      </c>
      <c r="C838" t="s">
        <v>41</v>
      </c>
      <c r="F838" s="17">
        <f>IF(Log[[#This Row],[ID]]="","",IF(ISNA(MATCH(Log[[#This Row],[ID]],Items[ID],0)),"unknown ID",IF(ISNA(MATCH(Log[[#This Row],[Verb]],VerbList,0)),"unknown verb",IF(Log[[#This Row],[Date]]="","no date",""))))</f>
      </c>
      <c r="G838" s="17">
        <f>IF(Log[[#This Row],[ID]]="","",IFERROR(VLOOKUP(Log[[#This Row],[Verb]],Verbs,3,FALSE)&amp;"",""))</f>
      </c>
      <c r="H838" s="17">
        <f>IF(Log[[#This Row],[Date]]="","",INT((Log[[#This Row],[Date]]-Sprint1)/SprintDays)+1)</f>
      </c>
      <c r="I838" s="17">
        <f>IF(OR(Log[[#This Row],[Verb]]="commit",Log[[#This Row],[Verb]]="carry",Log[[#This Row],[Verb]]="redo"),IF(Log[[#This Row],[Arg]]="",Log[[#This Row],[Sprint]],N(Log[[#This Row],[Arg]])),"")</f>
      </c>
      <c r="J838" s="17">
        <f>IF(Log[[#This Row],[Verb]]="block",1,IF(OR(Log[[#This Row],[Verb]]="unblock",Log[[#This Row],[Verb]]="done",Log[[#This Row],[Verb]]="drop",Log[[#This Row],[Verb]]="punt",Log[[#This Row],[Verb]]="pass"),0,""))</f>
      </c>
      <c r="K838" s="17">
        <f>IF(Log[[#This Row],[ID]]="",0,IFERROR(INDEX(Items[Pts],MATCH(Log[[#This Row],[ID]],Items[ID],0))*1,0))</f>
      </c>
      <c r="L838" s="17">
        <f>IF(Log[[#This Row],[ID]]="","",IFERROR(INDEX(Items[Cur team],MATCH(Log[[#This Row],[ID]],Items[ID],0))&amp;"",""))</f>
      </c>
      <c r="M838" s="17">
        <f>IF(OR(Log[[#This Row],[Verb]]="done",Log[[#This Row],[Verb]]="punt",Log[[#This Row],[Verb]]="drop",Log[[#This Row],[Verb]]="pass"),Log[[#This Row],[Pts]],0)</f>
      </c>
    </row>
    <row r="839">
      <c r="A839" s="11">
        <v>46160</v>
      </c>
      <c r="B839" t="s">
        <v>522</v>
      </c>
      <c r="C839" t="s">
        <v>41</v>
      </c>
      <c r="F839" s="17">
        <f>IF(Log[[#This Row],[ID]]="","",IF(ISNA(MATCH(Log[[#This Row],[ID]],Items[ID],0)),"unknown ID",IF(ISNA(MATCH(Log[[#This Row],[Verb]],VerbList,0)),"unknown verb",IF(Log[[#This Row],[Date]]="","no date",""))))</f>
      </c>
      <c r="G839" s="17">
        <f>IF(Log[[#This Row],[ID]]="","",IFERROR(VLOOKUP(Log[[#This Row],[Verb]],Verbs,3,FALSE)&amp;"",""))</f>
      </c>
      <c r="H839" s="17">
        <f>IF(Log[[#This Row],[Date]]="","",INT((Log[[#This Row],[Date]]-Sprint1)/SprintDays)+1)</f>
      </c>
      <c r="I839" s="17">
        <f>IF(OR(Log[[#This Row],[Verb]]="commit",Log[[#This Row],[Verb]]="carry",Log[[#This Row],[Verb]]="redo"),IF(Log[[#This Row],[Arg]]="",Log[[#This Row],[Sprint]],N(Log[[#This Row],[Arg]])),"")</f>
      </c>
      <c r="J839" s="17">
        <f>IF(Log[[#This Row],[Verb]]="block",1,IF(OR(Log[[#This Row],[Verb]]="unblock",Log[[#This Row],[Verb]]="done",Log[[#This Row],[Verb]]="drop",Log[[#This Row],[Verb]]="punt",Log[[#This Row],[Verb]]="pass"),0,""))</f>
      </c>
      <c r="K839" s="17">
        <f>IF(Log[[#This Row],[ID]]="",0,IFERROR(INDEX(Items[Pts],MATCH(Log[[#This Row],[ID]],Items[ID],0))*1,0))</f>
      </c>
      <c r="L839" s="17">
        <f>IF(Log[[#This Row],[ID]]="","",IFERROR(INDEX(Items[Cur team],MATCH(Log[[#This Row],[ID]],Items[ID],0))&amp;"",""))</f>
      </c>
      <c r="M839" s="17">
        <f>IF(OR(Log[[#This Row],[Verb]]="done",Log[[#This Row],[Verb]]="punt",Log[[#This Row],[Verb]]="drop",Log[[#This Row],[Verb]]="pass"),Log[[#This Row],[Pts]],0)</f>
      </c>
    </row>
    <row r="840">
      <c r="A840" s="11">
        <v>46160</v>
      </c>
      <c r="B840" t="s">
        <v>523</v>
      </c>
      <c r="C840" t="s">
        <v>41</v>
      </c>
      <c r="F840" s="17">
        <f>IF(Log[[#This Row],[ID]]="","",IF(ISNA(MATCH(Log[[#This Row],[ID]],Items[ID],0)),"unknown ID",IF(ISNA(MATCH(Log[[#This Row],[Verb]],VerbList,0)),"unknown verb",IF(Log[[#This Row],[Date]]="","no date",""))))</f>
      </c>
      <c r="G840" s="17">
        <f>IF(Log[[#This Row],[ID]]="","",IFERROR(VLOOKUP(Log[[#This Row],[Verb]],Verbs,3,FALSE)&amp;"",""))</f>
      </c>
      <c r="H840" s="17">
        <f>IF(Log[[#This Row],[Date]]="","",INT((Log[[#This Row],[Date]]-Sprint1)/SprintDays)+1)</f>
      </c>
      <c r="I840" s="17">
        <f>IF(OR(Log[[#This Row],[Verb]]="commit",Log[[#This Row],[Verb]]="carry",Log[[#This Row],[Verb]]="redo"),IF(Log[[#This Row],[Arg]]="",Log[[#This Row],[Sprint]],N(Log[[#This Row],[Arg]])),"")</f>
      </c>
      <c r="J840" s="17">
        <f>IF(Log[[#This Row],[Verb]]="block",1,IF(OR(Log[[#This Row],[Verb]]="unblock",Log[[#This Row],[Verb]]="done",Log[[#This Row],[Verb]]="drop",Log[[#This Row],[Verb]]="punt",Log[[#This Row],[Verb]]="pass"),0,""))</f>
      </c>
      <c r="K840" s="17">
        <f>IF(Log[[#This Row],[ID]]="",0,IFERROR(INDEX(Items[Pts],MATCH(Log[[#This Row],[ID]],Items[ID],0))*1,0))</f>
      </c>
      <c r="L840" s="17">
        <f>IF(Log[[#This Row],[ID]]="","",IFERROR(INDEX(Items[Cur team],MATCH(Log[[#This Row],[ID]],Items[ID],0))&amp;"",""))</f>
      </c>
      <c r="M840" s="17">
        <f>IF(OR(Log[[#This Row],[Verb]]="done",Log[[#This Row],[Verb]]="punt",Log[[#This Row],[Verb]]="drop",Log[[#This Row],[Verb]]="pass"),Log[[#This Row],[Pts]],0)</f>
      </c>
    </row>
    <row r="841">
      <c r="A841" s="11">
        <v>46160</v>
      </c>
      <c r="B841" t="s">
        <v>524</v>
      </c>
      <c r="C841" t="s">
        <v>41</v>
      </c>
      <c r="F841" s="17">
        <f>IF(Log[[#This Row],[ID]]="","",IF(ISNA(MATCH(Log[[#This Row],[ID]],Items[ID],0)),"unknown ID",IF(ISNA(MATCH(Log[[#This Row],[Verb]],VerbList,0)),"unknown verb",IF(Log[[#This Row],[Date]]="","no date",""))))</f>
      </c>
      <c r="G841" s="17">
        <f>IF(Log[[#This Row],[ID]]="","",IFERROR(VLOOKUP(Log[[#This Row],[Verb]],Verbs,3,FALSE)&amp;"",""))</f>
      </c>
      <c r="H841" s="17">
        <f>IF(Log[[#This Row],[Date]]="","",INT((Log[[#This Row],[Date]]-Sprint1)/SprintDays)+1)</f>
      </c>
      <c r="I841" s="17">
        <f>IF(OR(Log[[#This Row],[Verb]]="commit",Log[[#This Row],[Verb]]="carry",Log[[#This Row],[Verb]]="redo"),IF(Log[[#This Row],[Arg]]="",Log[[#This Row],[Sprint]],N(Log[[#This Row],[Arg]])),"")</f>
      </c>
      <c r="J841" s="17">
        <f>IF(Log[[#This Row],[Verb]]="block",1,IF(OR(Log[[#This Row],[Verb]]="unblock",Log[[#This Row],[Verb]]="done",Log[[#This Row],[Verb]]="drop",Log[[#This Row],[Verb]]="punt",Log[[#This Row],[Verb]]="pass"),0,""))</f>
      </c>
      <c r="K841" s="17">
        <f>IF(Log[[#This Row],[ID]]="",0,IFERROR(INDEX(Items[Pts],MATCH(Log[[#This Row],[ID]],Items[ID],0))*1,0))</f>
      </c>
      <c r="L841" s="17">
        <f>IF(Log[[#This Row],[ID]]="","",IFERROR(INDEX(Items[Cur team],MATCH(Log[[#This Row],[ID]],Items[ID],0))&amp;"",""))</f>
      </c>
      <c r="M841" s="17">
        <f>IF(OR(Log[[#This Row],[Verb]]="done",Log[[#This Row],[Verb]]="punt",Log[[#This Row],[Verb]]="drop",Log[[#This Row],[Verb]]="pass"),Log[[#This Row],[Pts]],0)</f>
      </c>
    </row>
    <row r="842">
      <c r="A842" s="11">
        <v>46160</v>
      </c>
      <c r="B842" t="s">
        <v>525</v>
      </c>
      <c r="C842" t="s">
        <v>41</v>
      </c>
      <c r="F842" s="17">
        <f>IF(Log[[#This Row],[ID]]="","",IF(ISNA(MATCH(Log[[#This Row],[ID]],Items[ID],0)),"unknown ID",IF(ISNA(MATCH(Log[[#This Row],[Verb]],VerbList,0)),"unknown verb",IF(Log[[#This Row],[Date]]="","no date",""))))</f>
      </c>
      <c r="G842" s="17">
        <f>IF(Log[[#This Row],[ID]]="","",IFERROR(VLOOKUP(Log[[#This Row],[Verb]],Verbs,3,FALSE)&amp;"",""))</f>
      </c>
      <c r="H842" s="17">
        <f>IF(Log[[#This Row],[Date]]="","",INT((Log[[#This Row],[Date]]-Sprint1)/SprintDays)+1)</f>
      </c>
      <c r="I842" s="17">
        <f>IF(OR(Log[[#This Row],[Verb]]="commit",Log[[#This Row],[Verb]]="carry",Log[[#This Row],[Verb]]="redo"),IF(Log[[#This Row],[Arg]]="",Log[[#This Row],[Sprint]],N(Log[[#This Row],[Arg]])),"")</f>
      </c>
      <c r="J842" s="17">
        <f>IF(Log[[#This Row],[Verb]]="block",1,IF(OR(Log[[#This Row],[Verb]]="unblock",Log[[#This Row],[Verb]]="done",Log[[#This Row],[Verb]]="drop",Log[[#This Row],[Verb]]="punt",Log[[#This Row],[Verb]]="pass"),0,""))</f>
      </c>
      <c r="K842" s="17">
        <f>IF(Log[[#This Row],[ID]]="",0,IFERROR(INDEX(Items[Pts],MATCH(Log[[#This Row],[ID]],Items[ID],0))*1,0))</f>
      </c>
      <c r="L842" s="17">
        <f>IF(Log[[#This Row],[ID]]="","",IFERROR(INDEX(Items[Cur team],MATCH(Log[[#This Row],[ID]],Items[ID],0))&amp;"",""))</f>
      </c>
      <c r="M842" s="17">
        <f>IF(OR(Log[[#This Row],[Verb]]="done",Log[[#This Row],[Verb]]="punt",Log[[#This Row],[Verb]]="drop",Log[[#This Row],[Verb]]="pass"),Log[[#This Row],[Pts]],0)</f>
      </c>
    </row>
    <row r="843">
      <c r="A843" s="11">
        <v>46160</v>
      </c>
      <c r="B843" t="s">
        <v>526</v>
      </c>
      <c r="C843" t="s">
        <v>41</v>
      </c>
      <c r="F843" s="17">
        <f>IF(Log[[#This Row],[ID]]="","",IF(ISNA(MATCH(Log[[#This Row],[ID]],Items[ID],0)),"unknown ID",IF(ISNA(MATCH(Log[[#This Row],[Verb]],VerbList,0)),"unknown verb",IF(Log[[#This Row],[Date]]="","no date",""))))</f>
      </c>
      <c r="G843" s="17">
        <f>IF(Log[[#This Row],[ID]]="","",IFERROR(VLOOKUP(Log[[#This Row],[Verb]],Verbs,3,FALSE)&amp;"",""))</f>
      </c>
      <c r="H843" s="17">
        <f>IF(Log[[#This Row],[Date]]="","",INT((Log[[#This Row],[Date]]-Sprint1)/SprintDays)+1)</f>
      </c>
      <c r="I843" s="17">
        <f>IF(OR(Log[[#This Row],[Verb]]="commit",Log[[#This Row],[Verb]]="carry",Log[[#This Row],[Verb]]="redo"),IF(Log[[#This Row],[Arg]]="",Log[[#This Row],[Sprint]],N(Log[[#This Row],[Arg]])),"")</f>
      </c>
      <c r="J843" s="17">
        <f>IF(Log[[#This Row],[Verb]]="block",1,IF(OR(Log[[#This Row],[Verb]]="unblock",Log[[#This Row],[Verb]]="done",Log[[#This Row],[Verb]]="drop",Log[[#This Row],[Verb]]="punt",Log[[#This Row],[Verb]]="pass"),0,""))</f>
      </c>
      <c r="K843" s="17">
        <f>IF(Log[[#This Row],[ID]]="",0,IFERROR(INDEX(Items[Pts],MATCH(Log[[#This Row],[ID]],Items[ID],0))*1,0))</f>
      </c>
      <c r="L843" s="17">
        <f>IF(Log[[#This Row],[ID]]="","",IFERROR(INDEX(Items[Cur team],MATCH(Log[[#This Row],[ID]],Items[ID],0))&amp;"",""))</f>
      </c>
      <c r="M843" s="17">
        <f>IF(OR(Log[[#This Row],[Verb]]="done",Log[[#This Row],[Verb]]="punt",Log[[#This Row],[Verb]]="drop",Log[[#This Row],[Verb]]="pass"),Log[[#This Row],[Pts]],0)</f>
      </c>
    </row>
    <row r="844">
      <c r="A844" s="11">
        <v>46160</v>
      </c>
      <c r="B844" t="s">
        <v>527</v>
      </c>
      <c r="C844" t="s">
        <v>41</v>
      </c>
      <c r="F844" s="17">
        <f>IF(Log[[#This Row],[ID]]="","",IF(ISNA(MATCH(Log[[#This Row],[ID]],Items[ID],0)),"unknown ID",IF(ISNA(MATCH(Log[[#This Row],[Verb]],VerbList,0)),"unknown verb",IF(Log[[#This Row],[Date]]="","no date",""))))</f>
      </c>
      <c r="G844" s="17">
        <f>IF(Log[[#This Row],[ID]]="","",IFERROR(VLOOKUP(Log[[#This Row],[Verb]],Verbs,3,FALSE)&amp;"",""))</f>
      </c>
      <c r="H844" s="17">
        <f>IF(Log[[#This Row],[Date]]="","",INT((Log[[#This Row],[Date]]-Sprint1)/SprintDays)+1)</f>
      </c>
      <c r="I844" s="17">
        <f>IF(OR(Log[[#This Row],[Verb]]="commit",Log[[#This Row],[Verb]]="carry",Log[[#This Row],[Verb]]="redo"),IF(Log[[#This Row],[Arg]]="",Log[[#This Row],[Sprint]],N(Log[[#This Row],[Arg]])),"")</f>
      </c>
      <c r="J844" s="17">
        <f>IF(Log[[#This Row],[Verb]]="block",1,IF(OR(Log[[#This Row],[Verb]]="unblock",Log[[#This Row],[Verb]]="done",Log[[#This Row],[Verb]]="drop",Log[[#This Row],[Verb]]="punt",Log[[#This Row],[Verb]]="pass"),0,""))</f>
      </c>
      <c r="K844" s="17">
        <f>IF(Log[[#This Row],[ID]]="",0,IFERROR(INDEX(Items[Pts],MATCH(Log[[#This Row],[ID]],Items[ID],0))*1,0))</f>
      </c>
      <c r="L844" s="17">
        <f>IF(Log[[#This Row],[ID]]="","",IFERROR(INDEX(Items[Cur team],MATCH(Log[[#This Row],[ID]],Items[ID],0))&amp;"",""))</f>
      </c>
      <c r="M844" s="17">
        <f>IF(OR(Log[[#This Row],[Verb]]="done",Log[[#This Row],[Verb]]="punt",Log[[#This Row],[Verb]]="drop",Log[[#This Row],[Verb]]="pass"),Log[[#This Row],[Pts]],0)</f>
      </c>
    </row>
    <row r="845">
      <c r="A845" s="11">
        <v>46160</v>
      </c>
      <c r="B845" t="s">
        <v>352</v>
      </c>
      <c r="C845" t="s">
        <v>38</v>
      </c>
      <c r="D845">
        <v>44</v>
      </c>
      <c r="F845" s="17">
        <f>IF(Log[[#This Row],[ID]]="","",IF(ISNA(MATCH(Log[[#This Row],[ID]],Items[ID],0)),"unknown ID",IF(ISNA(MATCH(Log[[#This Row],[Verb]],VerbList,0)),"unknown verb",IF(Log[[#This Row],[Date]]="","no date",""))))</f>
      </c>
      <c r="G845" s="17">
        <f>IF(Log[[#This Row],[ID]]="","",IFERROR(VLOOKUP(Log[[#This Row],[Verb]],Verbs,3,FALSE)&amp;"",""))</f>
      </c>
      <c r="H845" s="17">
        <f>IF(Log[[#This Row],[Date]]="","",INT((Log[[#This Row],[Date]]-Sprint1)/SprintDays)+1)</f>
      </c>
      <c r="I845" s="17">
        <f>IF(OR(Log[[#This Row],[Verb]]="commit",Log[[#This Row],[Verb]]="carry",Log[[#This Row],[Verb]]="redo"),IF(Log[[#This Row],[Arg]]="",Log[[#This Row],[Sprint]],N(Log[[#This Row],[Arg]])),"")</f>
      </c>
      <c r="J845" s="17">
        <f>IF(Log[[#This Row],[Verb]]="block",1,IF(OR(Log[[#This Row],[Verb]]="unblock",Log[[#This Row],[Verb]]="done",Log[[#This Row],[Verb]]="drop",Log[[#This Row],[Verb]]="punt",Log[[#This Row],[Verb]]="pass"),0,""))</f>
      </c>
      <c r="K845" s="17">
        <f>IF(Log[[#This Row],[ID]]="",0,IFERROR(INDEX(Items[Pts],MATCH(Log[[#This Row],[ID]],Items[ID],0))*1,0))</f>
      </c>
      <c r="L845" s="17">
        <f>IF(Log[[#This Row],[ID]]="","",IFERROR(INDEX(Items[Cur team],MATCH(Log[[#This Row],[ID]],Items[ID],0))&amp;"",""))</f>
      </c>
      <c r="M845" s="17">
        <f>IF(OR(Log[[#This Row],[Verb]]="done",Log[[#This Row],[Verb]]="punt",Log[[#This Row],[Verb]]="drop",Log[[#This Row],[Verb]]="pass"),Log[[#This Row],[Pts]],0)</f>
      </c>
    </row>
    <row r="846">
      <c r="A846" s="11">
        <v>46160</v>
      </c>
      <c r="B846" t="s">
        <v>359</v>
      </c>
      <c r="C846" t="s">
        <v>41</v>
      </c>
      <c r="F846" s="17">
        <f>IF(Log[[#This Row],[ID]]="","",IF(ISNA(MATCH(Log[[#This Row],[ID]],Items[ID],0)),"unknown ID",IF(ISNA(MATCH(Log[[#This Row],[Verb]],VerbList,0)),"unknown verb",IF(Log[[#This Row],[Date]]="","no date",""))))</f>
      </c>
      <c r="G846" s="17">
        <f>IF(Log[[#This Row],[ID]]="","",IFERROR(VLOOKUP(Log[[#This Row],[Verb]],Verbs,3,FALSE)&amp;"",""))</f>
      </c>
      <c r="H846" s="17">
        <f>IF(Log[[#This Row],[Date]]="","",INT((Log[[#This Row],[Date]]-Sprint1)/SprintDays)+1)</f>
      </c>
      <c r="I846" s="17">
        <f>IF(OR(Log[[#This Row],[Verb]]="commit",Log[[#This Row],[Verb]]="carry",Log[[#This Row],[Verb]]="redo"),IF(Log[[#This Row],[Arg]]="",Log[[#This Row],[Sprint]],N(Log[[#This Row],[Arg]])),"")</f>
      </c>
      <c r="J846" s="17">
        <f>IF(Log[[#This Row],[Verb]]="block",1,IF(OR(Log[[#This Row],[Verb]]="unblock",Log[[#This Row],[Verb]]="done",Log[[#This Row],[Verb]]="drop",Log[[#This Row],[Verb]]="punt",Log[[#This Row],[Verb]]="pass"),0,""))</f>
      </c>
      <c r="K846" s="17">
        <f>IF(Log[[#This Row],[ID]]="",0,IFERROR(INDEX(Items[Pts],MATCH(Log[[#This Row],[ID]],Items[ID],0))*1,0))</f>
      </c>
      <c r="L846" s="17">
        <f>IF(Log[[#This Row],[ID]]="","",IFERROR(INDEX(Items[Cur team],MATCH(Log[[#This Row],[ID]],Items[ID],0))&amp;"",""))</f>
      </c>
      <c r="M846" s="17">
        <f>IF(OR(Log[[#This Row],[Verb]]="done",Log[[#This Row],[Verb]]="punt",Log[[#This Row],[Verb]]="drop",Log[[#This Row],[Verb]]="pass"),Log[[#This Row],[Pts]],0)</f>
      </c>
    </row>
    <row r="847">
      <c r="A847" s="11">
        <v>46160</v>
      </c>
      <c r="B847" t="s">
        <v>475</v>
      </c>
      <c r="C847" t="s">
        <v>38</v>
      </c>
      <c r="D847">
        <v>44</v>
      </c>
      <c r="F847" s="17">
        <f>IF(Log[[#This Row],[ID]]="","",IF(ISNA(MATCH(Log[[#This Row],[ID]],Items[ID],0)),"unknown ID",IF(ISNA(MATCH(Log[[#This Row],[Verb]],VerbList,0)),"unknown verb",IF(Log[[#This Row],[Date]]="","no date",""))))</f>
      </c>
      <c r="G847" s="17">
        <f>IF(Log[[#This Row],[ID]]="","",IFERROR(VLOOKUP(Log[[#This Row],[Verb]],Verbs,3,FALSE)&amp;"",""))</f>
      </c>
      <c r="H847" s="17">
        <f>IF(Log[[#This Row],[Date]]="","",INT((Log[[#This Row],[Date]]-Sprint1)/SprintDays)+1)</f>
      </c>
      <c r="I847" s="17">
        <f>IF(OR(Log[[#This Row],[Verb]]="commit",Log[[#This Row],[Verb]]="carry",Log[[#This Row],[Verb]]="redo"),IF(Log[[#This Row],[Arg]]="",Log[[#This Row],[Sprint]],N(Log[[#This Row],[Arg]])),"")</f>
      </c>
      <c r="J847" s="17">
        <f>IF(Log[[#This Row],[Verb]]="block",1,IF(OR(Log[[#This Row],[Verb]]="unblock",Log[[#This Row],[Verb]]="done",Log[[#This Row],[Verb]]="drop",Log[[#This Row],[Verb]]="punt",Log[[#This Row],[Verb]]="pass"),0,""))</f>
      </c>
      <c r="K847" s="17">
        <f>IF(Log[[#This Row],[ID]]="",0,IFERROR(INDEX(Items[Pts],MATCH(Log[[#This Row],[ID]],Items[ID],0))*1,0))</f>
      </c>
      <c r="L847" s="17">
        <f>IF(Log[[#This Row],[ID]]="","",IFERROR(INDEX(Items[Cur team],MATCH(Log[[#This Row],[ID]],Items[ID],0))&amp;"",""))</f>
      </c>
      <c r="M847" s="17">
        <f>IF(OR(Log[[#This Row],[Verb]]="done",Log[[#This Row],[Verb]]="punt",Log[[#This Row],[Verb]]="drop",Log[[#This Row],[Verb]]="pass"),Log[[#This Row],[Pts]],0)</f>
      </c>
    </row>
    <row r="848">
      <c r="A848" s="11">
        <v>46160</v>
      </c>
      <c r="B848" t="s">
        <v>528</v>
      </c>
      <c r="C848" t="s">
        <v>54</v>
      </c>
      <c r="E848" t="s">
        <v>235</v>
      </c>
      <c r="F848" s="17">
        <f>IF(Log[[#This Row],[ID]]="","",IF(ISNA(MATCH(Log[[#This Row],[ID]],Items[ID],0)),"unknown ID",IF(ISNA(MATCH(Log[[#This Row],[Verb]],VerbList,0)),"unknown verb",IF(Log[[#This Row],[Date]]="","no date",""))))</f>
      </c>
      <c r="G848" s="17">
        <f>IF(Log[[#This Row],[ID]]="","",IFERROR(VLOOKUP(Log[[#This Row],[Verb]],Verbs,3,FALSE)&amp;"",""))</f>
      </c>
      <c r="H848" s="17">
        <f>IF(Log[[#This Row],[Date]]="","",INT((Log[[#This Row],[Date]]-Sprint1)/SprintDays)+1)</f>
      </c>
      <c r="I848" s="17">
        <f>IF(OR(Log[[#This Row],[Verb]]="commit",Log[[#This Row],[Verb]]="carry",Log[[#This Row],[Verb]]="redo"),IF(Log[[#This Row],[Arg]]="",Log[[#This Row],[Sprint]],N(Log[[#This Row],[Arg]])),"")</f>
      </c>
      <c r="J848" s="17">
        <f>IF(Log[[#This Row],[Verb]]="block",1,IF(OR(Log[[#This Row],[Verb]]="unblock",Log[[#This Row],[Verb]]="done",Log[[#This Row],[Verb]]="drop",Log[[#This Row],[Verb]]="punt",Log[[#This Row],[Verb]]="pass"),0,""))</f>
      </c>
      <c r="K848" s="17">
        <f>IF(Log[[#This Row],[ID]]="",0,IFERROR(INDEX(Items[Pts],MATCH(Log[[#This Row],[ID]],Items[ID],0))*1,0))</f>
      </c>
      <c r="L848" s="17">
        <f>IF(Log[[#This Row],[ID]]="","",IFERROR(INDEX(Items[Cur team],MATCH(Log[[#This Row],[ID]],Items[ID],0))&amp;"",""))</f>
      </c>
      <c r="M848" s="17">
        <f>IF(OR(Log[[#This Row],[Verb]]="done",Log[[#This Row],[Verb]]="punt",Log[[#This Row],[Verb]]="drop",Log[[#This Row],[Verb]]="pass"),Log[[#This Row],[Pts]],0)</f>
      </c>
    </row>
    <row r="849">
      <c r="A849" s="11">
        <v>46160</v>
      </c>
      <c r="B849" t="s">
        <v>529</v>
      </c>
      <c r="C849" t="s">
        <v>38</v>
      </c>
      <c r="D849">
        <v>44</v>
      </c>
      <c r="F849" s="17">
        <f>IF(Log[[#This Row],[ID]]="","",IF(ISNA(MATCH(Log[[#This Row],[ID]],Items[ID],0)),"unknown ID",IF(ISNA(MATCH(Log[[#This Row],[Verb]],VerbList,0)),"unknown verb",IF(Log[[#This Row],[Date]]="","no date",""))))</f>
      </c>
      <c r="G849" s="17">
        <f>IF(Log[[#This Row],[ID]]="","",IFERROR(VLOOKUP(Log[[#This Row],[Verb]],Verbs,3,FALSE)&amp;"",""))</f>
      </c>
      <c r="H849" s="17">
        <f>IF(Log[[#This Row],[Date]]="","",INT((Log[[#This Row],[Date]]-Sprint1)/SprintDays)+1)</f>
      </c>
      <c r="I849" s="17">
        <f>IF(OR(Log[[#This Row],[Verb]]="commit",Log[[#This Row],[Verb]]="carry",Log[[#This Row],[Verb]]="redo"),IF(Log[[#This Row],[Arg]]="",Log[[#This Row],[Sprint]],N(Log[[#This Row],[Arg]])),"")</f>
      </c>
      <c r="J849" s="17">
        <f>IF(Log[[#This Row],[Verb]]="block",1,IF(OR(Log[[#This Row],[Verb]]="unblock",Log[[#This Row],[Verb]]="done",Log[[#This Row],[Verb]]="drop",Log[[#This Row],[Verb]]="punt",Log[[#This Row],[Verb]]="pass"),0,""))</f>
      </c>
      <c r="K849" s="17">
        <f>IF(Log[[#This Row],[ID]]="",0,IFERROR(INDEX(Items[Pts],MATCH(Log[[#This Row],[ID]],Items[ID],0))*1,0))</f>
      </c>
      <c r="L849" s="17">
        <f>IF(Log[[#This Row],[ID]]="","",IFERROR(INDEX(Items[Cur team],MATCH(Log[[#This Row],[ID]],Items[ID],0))&amp;"",""))</f>
      </c>
      <c r="M849" s="17">
        <f>IF(OR(Log[[#This Row],[Verb]]="done",Log[[#This Row],[Verb]]="punt",Log[[#This Row],[Verb]]="drop",Log[[#This Row],[Verb]]="pass"),Log[[#This Row],[Pts]],0)</f>
      </c>
    </row>
    <row r="850">
      <c r="A850" s="11">
        <v>46160</v>
      </c>
      <c r="B850" t="s">
        <v>530</v>
      </c>
      <c r="C850" t="s">
        <v>41</v>
      </c>
      <c r="F850" s="17">
        <f>IF(Log[[#This Row],[ID]]="","",IF(ISNA(MATCH(Log[[#This Row],[ID]],Items[ID],0)),"unknown ID",IF(ISNA(MATCH(Log[[#This Row],[Verb]],VerbList,0)),"unknown verb",IF(Log[[#This Row],[Date]]="","no date",""))))</f>
      </c>
      <c r="G850" s="17">
        <f>IF(Log[[#This Row],[ID]]="","",IFERROR(VLOOKUP(Log[[#This Row],[Verb]],Verbs,3,FALSE)&amp;"",""))</f>
      </c>
      <c r="H850" s="17">
        <f>IF(Log[[#This Row],[Date]]="","",INT((Log[[#This Row],[Date]]-Sprint1)/SprintDays)+1)</f>
      </c>
      <c r="I850" s="17">
        <f>IF(OR(Log[[#This Row],[Verb]]="commit",Log[[#This Row],[Verb]]="carry",Log[[#This Row],[Verb]]="redo"),IF(Log[[#This Row],[Arg]]="",Log[[#This Row],[Sprint]],N(Log[[#This Row],[Arg]])),"")</f>
      </c>
      <c r="J850" s="17">
        <f>IF(Log[[#This Row],[Verb]]="block",1,IF(OR(Log[[#This Row],[Verb]]="unblock",Log[[#This Row],[Verb]]="done",Log[[#This Row],[Verb]]="drop",Log[[#This Row],[Verb]]="punt",Log[[#This Row],[Verb]]="pass"),0,""))</f>
      </c>
      <c r="K850" s="17">
        <f>IF(Log[[#This Row],[ID]]="",0,IFERROR(INDEX(Items[Pts],MATCH(Log[[#This Row],[ID]],Items[ID],0))*1,0))</f>
      </c>
      <c r="L850" s="17">
        <f>IF(Log[[#This Row],[ID]]="","",IFERROR(INDEX(Items[Cur team],MATCH(Log[[#This Row],[ID]],Items[ID],0))&amp;"",""))</f>
      </c>
      <c r="M850" s="17">
        <f>IF(OR(Log[[#This Row],[Verb]]="done",Log[[#This Row],[Verb]]="punt",Log[[#This Row],[Verb]]="drop",Log[[#This Row],[Verb]]="pass"),Log[[#This Row],[Pts]],0)</f>
      </c>
    </row>
    <row r="851">
      <c r="A851" s="11">
        <v>46160</v>
      </c>
      <c r="B851" t="s">
        <v>420</v>
      </c>
      <c r="C851" t="s">
        <v>41</v>
      </c>
      <c r="F851" s="17">
        <f>IF(Log[[#This Row],[ID]]="","",IF(ISNA(MATCH(Log[[#This Row],[ID]],Items[ID],0)),"unknown ID",IF(ISNA(MATCH(Log[[#This Row],[Verb]],VerbList,0)),"unknown verb",IF(Log[[#This Row],[Date]]="","no date",""))))</f>
      </c>
      <c r="G851" s="17">
        <f>IF(Log[[#This Row],[ID]]="","",IFERROR(VLOOKUP(Log[[#This Row],[Verb]],Verbs,3,FALSE)&amp;"",""))</f>
      </c>
      <c r="H851" s="17">
        <f>IF(Log[[#This Row],[Date]]="","",INT((Log[[#This Row],[Date]]-Sprint1)/SprintDays)+1)</f>
      </c>
      <c r="I851" s="17">
        <f>IF(OR(Log[[#This Row],[Verb]]="commit",Log[[#This Row],[Verb]]="carry",Log[[#This Row],[Verb]]="redo"),IF(Log[[#This Row],[Arg]]="",Log[[#This Row],[Sprint]],N(Log[[#This Row],[Arg]])),"")</f>
      </c>
      <c r="J851" s="17">
        <f>IF(Log[[#This Row],[Verb]]="block",1,IF(OR(Log[[#This Row],[Verb]]="unblock",Log[[#This Row],[Verb]]="done",Log[[#This Row],[Verb]]="drop",Log[[#This Row],[Verb]]="punt",Log[[#This Row],[Verb]]="pass"),0,""))</f>
      </c>
      <c r="K851" s="17">
        <f>IF(Log[[#This Row],[ID]]="",0,IFERROR(INDEX(Items[Pts],MATCH(Log[[#This Row],[ID]],Items[ID],0))*1,0))</f>
      </c>
      <c r="L851" s="17">
        <f>IF(Log[[#This Row],[ID]]="","",IFERROR(INDEX(Items[Cur team],MATCH(Log[[#This Row],[ID]],Items[ID],0))&amp;"",""))</f>
      </c>
      <c r="M851" s="17">
        <f>IF(OR(Log[[#This Row],[Verb]]="done",Log[[#This Row],[Verb]]="punt",Log[[#This Row],[Verb]]="drop",Log[[#This Row],[Verb]]="pass"),Log[[#This Row],[Pts]],0)</f>
      </c>
    </row>
    <row r="852">
      <c r="A852" s="11">
        <v>46160</v>
      </c>
      <c r="B852" t="s">
        <v>478</v>
      </c>
      <c r="C852" t="s">
        <v>41</v>
      </c>
      <c r="F852" s="17">
        <f>IF(Log[[#This Row],[ID]]="","",IF(ISNA(MATCH(Log[[#This Row],[ID]],Items[ID],0)),"unknown ID",IF(ISNA(MATCH(Log[[#This Row],[Verb]],VerbList,0)),"unknown verb",IF(Log[[#This Row],[Date]]="","no date",""))))</f>
      </c>
      <c r="G852" s="17">
        <f>IF(Log[[#This Row],[ID]]="","",IFERROR(VLOOKUP(Log[[#This Row],[Verb]],Verbs,3,FALSE)&amp;"",""))</f>
      </c>
      <c r="H852" s="17">
        <f>IF(Log[[#This Row],[Date]]="","",INT((Log[[#This Row],[Date]]-Sprint1)/SprintDays)+1)</f>
      </c>
      <c r="I852" s="17">
        <f>IF(OR(Log[[#This Row],[Verb]]="commit",Log[[#This Row],[Verb]]="carry",Log[[#This Row],[Verb]]="redo"),IF(Log[[#This Row],[Arg]]="",Log[[#This Row],[Sprint]],N(Log[[#This Row],[Arg]])),"")</f>
      </c>
      <c r="J852" s="17">
        <f>IF(Log[[#This Row],[Verb]]="block",1,IF(OR(Log[[#This Row],[Verb]]="unblock",Log[[#This Row],[Verb]]="done",Log[[#This Row],[Verb]]="drop",Log[[#This Row],[Verb]]="punt",Log[[#This Row],[Verb]]="pass"),0,""))</f>
      </c>
      <c r="K852" s="17">
        <f>IF(Log[[#This Row],[ID]]="",0,IFERROR(INDEX(Items[Pts],MATCH(Log[[#This Row],[ID]],Items[ID],0))*1,0))</f>
      </c>
      <c r="L852" s="17">
        <f>IF(Log[[#This Row],[ID]]="","",IFERROR(INDEX(Items[Cur team],MATCH(Log[[#This Row],[ID]],Items[ID],0))&amp;"",""))</f>
      </c>
      <c r="M852" s="17">
        <f>IF(OR(Log[[#This Row],[Verb]]="done",Log[[#This Row],[Verb]]="punt",Log[[#This Row],[Verb]]="drop",Log[[#This Row],[Verb]]="pass"),Log[[#This Row],[Pts]],0)</f>
      </c>
    </row>
    <row r="853">
      <c r="A853" s="11">
        <v>46160</v>
      </c>
      <c r="B853" t="s">
        <v>479</v>
      </c>
      <c r="C853" t="s">
        <v>41</v>
      </c>
      <c r="F853" s="17">
        <f>IF(Log[[#This Row],[ID]]="","",IF(ISNA(MATCH(Log[[#This Row],[ID]],Items[ID],0)),"unknown ID",IF(ISNA(MATCH(Log[[#This Row],[Verb]],VerbList,0)),"unknown verb",IF(Log[[#This Row],[Date]]="","no date",""))))</f>
      </c>
      <c r="G853" s="17">
        <f>IF(Log[[#This Row],[ID]]="","",IFERROR(VLOOKUP(Log[[#This Row],[Verb]],Verbs,3,FALSE)&amp;"",""))</f>
      </c>
      <c r="H853" s="17">
        <f>IF(Log[[#This Row],[Date]]="","",INT((Log[[#This Row],[Date]]-Sprint1)/SprintDays)+1)</f>
      </c>
      <c r="I853" s="17">
        <f>IF(OR(Log[[#This Row],[Verb]]="commit",Log[[#This Row],[Verb]]="carry",Log[[#This Row],[Verb]]="redo"),IF(Log[[#This Row],[Arg]]="",Log[[#This Row],[Sprint]],N(Log[[#This Row],[Arg]])),"")</f>
      </c>
      <c r="J853" s="17">
        <f>IF(Log[[#This Row],[Verb]]="block",1,IF(OR(Log[[#This Row],[Verb]]="unblock",Log[[#This Row],[Verb]]="done",Log[[#This Row],[Verb]]="drop",Log[[#This Row],[Verb]]="punt",Log[[#This Row],[Verb]]="pass"),0,""))</f>
      </c>
      <c r="K853" s="17">
        <f>IF(Log[[#This Row],[ID]]="",0,IFERROR(INDEX(Items[Pts],MATCH(Log[[#This Row],[ID]],Items[ID],0))*1,0))</f>
      </c>
      <c r="L853" s="17">
        <f>IF(Log[[#This Row],[ID]]="","",IFERROR(INDEX(Items[Cur team],MATCH(Log[[#This Row],[ID]],Items[ID],0))&amp;"",""))</f>
      </c>
      <c r="M853" s="17">
        <f>IF(OR(Log[[#This Row],[Verb]]="done",Log[[#This Row],[Verb]]="punt",Log[[#This Row],[Verb]]="drop",Log[[#This Row],[Verb]]="pass"),Log[[#This Row],[Pts]],0)</f>
      </c>
    </row>
    <row r="854">
      <c r="A854" s="11">
        <v>46160</v>
      </c>
      <c r="B854" t="s">
        <v>480</v>
      </c>
      <c r="C854" t="s">
        <v>41</v>
      </c>
      <c r="F854" s="17">
        <f>IF(Log[[#This Row],[ID]]="","",IF(ISNA(MATCH(Log[[#This Row],[ID]],Items[ID],0)),"unknown ID",IF(ISNA(MATCH(Log[[#This Row],[Verb]],VerbList,0)),"unknown verb",IF(Log[[#This Row],[Date]]="","no date",""))))</f>
      </c>
      <c r="G854" s="17">
        <f>IF(Log[[#This Row],[ID]]="","",IFERROR(VLOOKUP(Log[[#This Row],[Verb]],Verbs,3,FALSE)&amp;"",""))</f>
      </c>
      <c r="H854" s="17">
        <f>IF(Log[[#This Row],[Date]]="","",INT((Log[[#This Row],[Date]]-Sprint1)/SprintDays)+1)</f>
      </c>
      <c r="I854" s="17">
        <f>IF(OR(Log[[#This Row],[Verb]]="commit",Log[[#This Row],[Verb]]="carry",Log[[#This Row],[Verb]]="redo"),IF(Log[[#This Row],[Arg]]="",Log[[#This Row],[Sprint]],N(Log[[#This Row],[Arg]])),"")</f>
      </c>
      <c r="J854" s="17">
        <f>IF(Log[[#This Row],[Verb]]="block",1,IF(OR(Log[[#This Row],[Verb]]="unblock",Log[[#This Row],[Verb]]="done",Log[[#This Row],[Verb]]="drop",Log[[#This Row],[Verb]]="punt",Log[[#This Row],[Verb]]="pass"),0,""))</f>
      </c>
      <c r="K854" s="17">
        <f>IF(Log[[#This Row],[ID]]="",0,IFERROR(INDEX(Items[Pts],MATCH(Log[[#This Row],[ID]],Items[ID],0))*1,0))</f>
      </c>
      <c r="L854" s="17">
        <f>IF(Log[[#This Row],[ID]]="","",IFERROR(INDEX(Items[Cur team],MATCH(Log[[#This Row],[ID]],Items[ID],0))&amp;"",""))</f>
      </c>
      <c r="M854" s="17">
        <f>IF(OR(Log[[#This Row],[Verb]]="done",Log[[#This Row],[Verb]]="punt",Log[[#This Row],[Verb]]="drop",Log[[#This Row],[Verb]]="pass"),Log[[#This Row],[Pts]],0)</f>
      </c>
    </row>
    <row r="855">
      <c r="A855" s="11">
        <v>46160</v>
      </c>
      <c r="B855" t="s">
        <v>531</v>
      </c>
      <c r="C855" t="s">
        <v>41</v>
      </c>
      <c r="F855" s="17">
        <f>IF(Log[[#This Row],[ID]]="","",IF(ISNA(MATCH(Log[[#This Row],[ID]],Items[ID],0)),"unknown ID",IF(ISNA(MATCH(Log[[#This Row],[Verb]],VerbList,0)),"unknown verb",IF(Log[[#This Row],[Date]]="","no date",""))))</f>
      </c>
      <c r="G855" s="17">
        <f>IF(Log[[#This Row],[ID]]="","",IFERROR(VLOOKUP(Log[[#This Row],[Verb]],Verbs,3,FALSE)&amp;"",""))</f>
      </c>
      <c r="H855" s="17">
        <f>IF(Log[[#This Row],[Date]]="","",INT((Log[[#This Row],[Date]]-Sprint1)/SprintDays)+1)</f>
      </c>
      <c r="I855" s="17">
        <f>IF(OR(Log[[#This Row],[Verb]]="commit",Log[[#This Row],[Verb]]="carry",Log[[#This Row],[Verb]]="redo"),IF(Log[[#This Row],[Arg]]="",Log[[#This Row],[Sprint]],N(Log[[#This Row],[Arg]])),"")</f>
      </c>
      <c r="J855" s="17">
        <f>IF(Log[[#This Row],[Verb]]="block",1,IF(OR(Log[[#This Row],[Verb]]="unblock",Log[[#This Row],[Verb]]="done",Log[[#This Row],[Verb]]="drop",Log[[#This Row],[Verb]]="punt",Log[[#This Row],[Verb]]="pass"),0,""))</f>
      </c>
      <c r="K855" s="17">
        <f>IF(Log[[#This Row],[ID]]="",0,IFERROR(INDEX(Items[Pts],MATCH(Log[[#This Row],[ID]],Items[ID],0))*1,0))</f>
      </c>
      <c r="L855" s="17">
        <f>IF(Log[[#This Row],[ID]]="","",IFERROR(INDEX(Items[Cur team],MATCH(Log[[#This Row],[ID]],Items[ID],0))&amp;"",""))</f>
      </c>
      <c r="M855" s="17">
        <f>IF(OR(Log[[#This Row],[Verb]]="done",Log[[#This Row],[Verb]]="punt",Log[[#This Row],[Verb]]="drop",Log[[#This Row],[Verb]]="pass"),Log[[#This Row],[Pts]],0)</f>
      </c>
    </row>
    <row r="856">
      <c r="A856" s="11">
        <v>46160</v>
      </c>
      <c r="B856" t="s">
        <v>532</v>
      </c>
      <c r="C856" t="s">
        <v>41</v>
      </c>
      <c r="F856" s="17">
        <f>IF(Log[[#This Row],[ID]]="","",IF(ISNA(MATCH(Log[[#This Row],[ID]],Items[ID],0)),"unknown ID",IF(ISNA(MATCH(Log[[#This Row],[Verb]],VerbList,0)),"unknown verb",IF(Log[[#This Row],[Date]]="","no date",""))))</f>
      </c>
      <c r="G856" s="17">
        <f>IF(Log[[#This Row],[ID]]="","",IFERROR(VLOOKUP(Log[[#This Row],[Verb]],Verbs,3,FALSE)&amp;"",""))</f>
      </c>
      <c r="H856" s="17">
        <f>IF(Log[[#This Row],[Date]]="","",INT((Log[[#This Row],[Date]]-Sprint1)/SprintDays)+1)</f>
      </c>
      <c r="I856" s="17">
        <f>IF(OR(Log[[#This Row],[Verb]]="commit",Log[[#This Row],[Verb]]="carry",Log[[#This Row],[Verb]]="redo"),IF(Log[[#This Row],[Arg]]="",Log[[#This Row],[Sprint]],N(Log[[#This Row],[Arg]])),"")</f>
      </c>
      <c r="J856" s="17">
        <f>IF(Log[[#This Row],[Verb]]="block",1,IF(OR(Log[[#This Row],[Verb]]="unblock",Log[[#This Row],[Verb]]="done",Log[[#This Row],[Verb]]="drop",Log[[#This Row],[Verb]]="punt",Log[[#This Row],[Verb]]="pass"),0,""))</f>
      </c>
      <c r="K856" s="17">
        <f>IF(Log[[#This Row],[ID]]="",0,IFERROR(INDEX(Items[Pts],MATCH(Log[[#This Row],[ID]],Items[ID],0))*1,0))</f>
      </c>
      <c r="L856" s="17">
        <f>IF(Log[[#This Row],[ID]]="","",IFERROR(INDEX(Items[Cur team],MATCH(Log[[#This Row],[ID]],Items[ID],0))&amp;"",""))</f>
      </c>
      <c r="M856" s="17">
        <f>IF(OR(Log[[#This Row],[Verb]]="done",Log[[#This Row],[Verb]]="punt",Log[[#This Row],[Verb]]="drop",Log[[#This Row],[Verb]]="pass"),Log[[#This Row],[Pts]],0)</f>
      </c>
    </row>
    <row r="857">
      <c r="A857" s="11">
        <v>46160</v>
      </c>
      <c r="B857" t="s">
        <v>533</v>
      </c>
      <c r="C857" t="s">
        <v>41</v>
      </c>
      <c r="F857" s="17">
        <f>IF(Log[[#This Row],[ID]]="","",IF(ISNA(MATCH(Log[[#This Row],[ID]],Items[ID],0)),"unknown ID",IF(ISNA(MATCH(Log[[#This Row],[Verb]],VerbList,0)),"unknown verb",IF(Log[[#This Row],[Date]]="","no date",""))))</f>
      </c>
      <c r="G857" s="17">
        <f>IF(Log[[#This Row],[ID]]="","",IFERROR(VLOOKUP(Log[[#This Row],[Verb]],Verbs,3,FALSE)&amp;"",""))</f>
      </c>
      <c r="H857" s="17">
        <f>IF(Log[[#This Row],[Date]]="","",INT((Log[[#This Row],[Date]]-Sprint1)/SprintDays)+1)</f>
      </c>
      <c r="I857" s="17">
        <f>IF(OR(Log[[#This Row],[Verb]]="commit",Log[[#This Row],[Verb]]="carry",Log[[#This Row],[Verb]]="redo"),IF(Log[[#This Row],[Arg]]="",Log[[#This Row],[Sprint]],N(Log[[#This Row],[Arg]])),"")</f>
      </c>
      <c r="J857" s="17">
        <f>IF(Log[[#This Row],[Verb]]="block",1,IF(OR(Log[[#This Row],[Verb]]="unblock",Log[[#This Row],[Verb]]="done",Log[[#This Row],[Verb]]="drop",Log[[#This Row],[Verb]]="punt",Log[[#This Row],[Verb]]="pass"),0,""))</f>
      </c>
      <c r="K857" s="17">
        <f>IF(Log[[#This Row],[ID]]="",0,IFERROR(INDEX(Items[Pts],MATCH(Log[[#This Row],[ID]],Items[ID],0))*1,0))</f>
      </c>
      <c r="L857" s="17">
        <f>IF(Log[[#This Row],[ID]]="","",IFERROR(INDEX(Items[Cur team],MATCH(Log[[#This Row],[ID]],Items[ID],0))&amp;"",""))</f>
      </c>
      <c r="M857" s="17">
        <f>IF(OR(Log[[#This Row],[Verb]]="done",Log[[#This Row],[Verb]]="punt",Log[[#This Row],[Verb]]="drop",Log[[#This Row],[Verb]]="pass"),Log[[#This Row],[Pts]],0)</f>
      </c>
    </row>
    <row r="858">
      <c r="A858" s="11">
        <v>46160</v>
      </c>
      <c r="B858" t="s">
        <v>534</v>
      </c>
      <c r="C858" t="s">
        <v>38</v>
      </c>
      <c r="D858">
        <v>44</v>
      </c>
      <c r="F858" s="17">
        <f>IF(Log[[#This Row],[ID]]="","",IF(ISNA(MATCH(Log[[#This Row],[ID]],Items[ID],0)),"unknown ID",IF(ISNA(MATCH(Log[[#This Row],[Verb]],VerbList,0)),"unknown verb",IF(Log[[#This Row],[Date]]="","no date",""))))</f>
      </c>
      <c r="G858" s="17">
        <f>IF(Log[[#This Row],[ID]]="","",IFERROR(VLOOKUP(Log[[#This Row],[Verb]],Verbs,3,FALSE)&amp;"",""))</f>
      </c>
      <c r="H858" s="17">
        <f>IF(Log[[#This Row],[Date]]="","",INT((Log[[#This Row],[Date]]-Sprint1)/SprintDays)+1)</f>
      </c>
      <c r="I858" s="17">
        <f>IF(OR(Log[[#This Row],[Verb]]="commit",Log[[#This Row],[Verb]]="carry",Log[[#This Row],[Verb]]="redo"),IF(Log[[#This Row],[Arg]]="",Log[[#This Row],[Sprint]],N(Log[[#This Row],[Arg]])),"")</f>
      </c>
      <c r="J858" s="17">
        <f>IF(Log[[#This Row],[Verb]]="block",1,IF(OR(Log[[#This Row],[Verb]]="unblock",Log[[#This Row],[Verb]]="done",Log[[#This Row],[Verb]]="drop",Log[[#This Row],[Verb]]="punt",Log[[#This Row],[Verb]]="pass"),0,""))</f>
      </c>
      <c r="K858" s="17">
        <f>IF(Log[[#This Row],[ID]]="",0,IFERROR(INDEX(Items[Pts],MATCH(Log[[#This Row],[ID]],Items[ID],0))*1,0))</f>
      </c>
      <c r="L858" s="17">
        <f>IF(Log[[#This Row],[ID]]="","",IFERROR(INDEX(Items[Cur team],MATCH(Log[[#This Row],[ID]],Items[ID],0))&amp;"",""))</f>
      </c>
      <c r="M858" s="17">
        <f>IF(OR(Log[[#This Row],[Verb]]="done",Log[[#This Row],[Verb]]="punt",Log[[#This Row],[Verb]]="drop",Log[[#This Row],[Verb]]="pass"),Log[[#This Row],[Pts]],0)</f>
      </c>
    </row>
    <row r="859">
      <c r="A859" s="11">
        <v>46160</v>
      </c>
      <c r="B859" t="s">
        <v>535</v>
      </c>
      <c r="C859" t="s">
        <v>38</v>
      </c>
      <c r="D859">
        <v>44</v>
      </c>
      <c r="F859" s="17">
        <f>IF(Log[[#This Row],[ID]]="","",IF(ISNA(MATCH(Log[[#This Row],[ID]],Items[ID],0)),"unknown ID",IF(ISNA(MATCH(Log[[#This Row],[Verb]],VerbList,0)),"unknown verb",IF(Log[[#This Row],[Date]]="","no date",""))))</f>
      </c>
      <c r="G859" s="17">
        <f>IF(Log[[#This Row],[ID]]="","",IFERROR(VLOOKUP(Log[[#This Row],[Verb]],Verbs,3,FALSE)&amp;"",""))</f>
      </c>
      <c r="H859" s="17">
        <f>IF(Log[[#This Row],[Date]]="","",INT((Log[[#This Row],[Date]]-Sprint1)/SprintDays)+1)</f>
      </c>
      <c r="I859" s="17">
        <f>IF(OR(Log[[#This Row],[Verb]]="commit",Log[[#This Row],[Verb]]="carry",Log[[#This Row],[Verb]]="redo"),IF(Log[[#This Row],[Arg]]="",Log[[#This Row],[Sprint]],N(Log[[#This Row],[Arg]])),"")</f>
      </c>
      <c r="J859" s="17">
        <f>IF(Log[[#This Row],[Verb]]="block",1,IF(OR(Log[[#This Row],[Verb]]="unblock",Log[[#This Row],[Verb]]="done",Log[[#This Row],[Verb]]="drop",Log[[#This Row],[Verb]]="punt",Log[[#This Row],[Verb]]="pass"),0,""))</f>
      </c>
      <c r="K859" s="17">
        <f>IF(Log[[#This Row],[ID]]="",0,IFERROR(INDEX(Items[Pts],MATCH(Log[[#This Row],[ID]],Items[ID],0))*1,0))</f>
      </c>
      <c r="L859" s="17">
        <f>IF(Log[[#This Row],[ID]]="","",IFERROR(INDEX(Items[Cur team],MATCH(Log[[#This Row],[ID]],Items[ID],0))&amp;"",""))</f>
      </c>
      <c r="M859" s="17">
        <f>IF(OR(Log[[#This Row],[Verb]]="done",Log[[#This Row],[Verb]]="punt",Log[[#This Row],[Verb]]="drop",Log[[#This Row],[Verb]]="pass"),Log[[#This Row],[Pts]],0)</f>
      </c>
    </row>
    <row r="860">
      <c r="A860" s="11">
        <v>46160</v>
      </c>
      <c r="B860" t="s">
        <v>536</v>
      </c>
      <c r="C860" t="s">
        <v>41</v>
      </c>
      <c r="F860" s="17">
        <f>IF(Log[[#This Row],[ID]]="","",IF(ISNA(MATCH(Log[[#This Row],[ID]],Items[ID],0)),"unknown ID",IF(ISNA(MATCH(Log[[#This Row],[Verb]],VerbList,0)),"unknown verb",IF(Log[[#This Row],[Date]]="","no date",""))))</f>
      </c>
      <c r="G860" s="17">
        <f>IF(Log[[#This Row],[ID]]="","",IFERROR(VLOOKUP(Log[[#This Row],[Verb]],Verbs,3,FALSE)&amp;"",""))</f>
      </c>
      <c r="H860" s="17">
        <f>IF(Log[[#This Row],[Date]]="","",INT((Log[[#This Row],[Date]]-Sprint1)/SprintDays)+1)</f>
      </c>
      <c r="I860" s="17">
        <f>IF(OR(Log[[#This Row],[Verb]]="commit",Log[[#This Row],[Verb]]="carry",Log[[#This Row],[Verb]]="redo"),IF(Log[[#This Row],[Arg]]="",Log[[#This Row],[Sprint]],N(Log[[#This Row],[Arg]])),"")</f>
      </c>
      <c r="J860" s="17">
        <f>IF(Log[[#This Row],[Verb]]="block",1,IF(OR(Log[[#This Row],[Verb]]="unblock",Log[[#This Row],[Verb]]="done",Log[[#This Row],[Verb]]="drop",Log[[#This Row],[Verb]]="punt",Log[[#This Row],[Verb]]="pass"),0,""))</f>
      </c>
      <c r="K860" s="17">
        <f>IF(Log[[#This Row],[ID]]="",0,IFERROR(INDEX(Items[Pts],MATCH(Log[[#This Row],[ID]],Items[ID],0))*1,0))</f>
      </c>
      <c r="L860" s="17">
        <f>IF(Log[[#This Row],[ID]]="","",IFERROR(INDEX(Items[Cur team],MATCH(Log[[#This Row],[ID]],Items[ID],0))&amp;"",""))</f>
      </c>
      <c r="M860" s="17">
        <f>IF(OR(Log[[#This Row],[Verb]]="done",Log[[#This Row],[Verb]]="punt",Log[[#This Row],[Verb]]="drop",Log[[#This Row],[Verb]]="pass"),Log[[#This Row],[Pts]],0)</f>
      </c>
    </row>
    <row r="861">
      <c r="A861" s="11">
        <v>46160</v>
      </c>
      <c r="B861" t="s">
        <v>484</v>
      </c>
      <c r="C861" t="s">
        <v>41</v>
      </c>
      <c r="F861" s="17">
        <f>IF(Log[[#This Row],[ID]]="","",IF(ISNA(MATCH(Log[[#This Row],[ID]],Items[ID],0)),"unknown ID",IF(ISNA(MATCH(Log[[#This Row],[Verb]],VerbList,0)),"unknown verb",IF(Log[[#This Row],[Date]]="","no date",""))))</f>
      </c>
      <c r="G861" s="17">
        <f>IF(Log[[#This Row],[ID]]="","",IFERROR(VLOOKUP(Log[[#This Row],[Verb]],Verbs,3,FALSE)&amp;"",""))</f>
      </c>
      <c r="H861" s="17">
        <f>IF(Log[[#This Row],[Date]]="","",INT((Log[[#This Row],[Date]]-Sprint1)/SprintDays)+1)</f>
      </c>
      <c r="I861" s="17">
        <f>IF(OR(Log[[#This Row],[Verb]]="commit",Log[[#This Row],[Verb]]="carry",Log[[#This Row],[Verb]]="redo"),IF(Log[[#This Row],[Arg]]="",Log[[#This Row],[Sprint]],N(Log[[#This Row],[Arg]])),"")</f>
      </c>
      <c r="J861" s="17">
        <f>IF(Log[[#This Row],[Verb]]="block",1,IF(OR(Log[[#This Row],[Verb]]="unblock",Log[[#This Row],[Verb]]="done",Log[[#This Row],[Verb]]="drop",Log[[#This Row],[Verb]]="punt",Log[[#This Row],[Verb]]="pass"),0,""))</f>
      </c>
      <c r="K861" s="17">
        <f>IF(Log[[#This Row],[ID]]="",0,IFERROR(INDEX(Items[Pts],MATCH(Log[[#This Row],[ID]],Items[ID],0))*1,0))</f>
      </c>
      <c r="L861" s="17">
        <f>IF(Log[[#This Row],[ID]]="","",IFERROR(INDEX(Items[Cur team],MATCH(Log[[#This Row],[ID]],Items[ID],0))&amp;"",""))</f>
      </c>
      <c r="M861" s="17">
        <f>IF(OR(Log[[#This Row],[Verb]]="done",Log[[#This Row],[Verb]]="punt",Log[[#This Row],[Verb]]="drop",Log[[#This Row],[Verb]]="pass"),Log[[#This Row],[Pts]],0)</f>
      </c>
    </row>
    <row r="862">
      <c r="A862" s="11">
        <v>46160</v>
      </c>
      <c r="B862" t="s">
        <v>537</v>
      </c>
      <c r="C862" t="s">
        <v>38</v>
      </c>
      <c r="D862">
        <v>44</v>
      </c>
      <c r="F862" s="17">
        <f>IF(Log[[#This Row],[ID]]="","",IF(ISNA(MATCH(Log[[#This Row],[ID]],Items[ID],0)),"unknown ID",IF(ISNA(MATCH(Log[[#This Row],[Verb]],VerbList,0)),"unknown verb",IF(Log[[#This Row],[Date]]="","no date",""))))</f>
      </c>
      <c r="G862" s="17">
        <f>IF(Log[[#This Row],[ID]]="","",IFERROR(VLOOKUP(Log[[#This Row],[Verb]],Verbs,3,FALSE)&amp;"",""))</f>
      </c>
      <c r="H862" s="17">
        <f>IF(Log[[#This Row],[Date]]="","",INT((Log[[#This Row],[Date]]-Sprint1)/SprintDays)+1)</f>
      </c>
      <c r="I862" s="17">
        <f>IF(OR(Log[[#This Row],[Verb]]="commit",Log[[#This Row],[Verb]]="carry",Log[[#This Row],[Verb]]="redo"),IF(Log[[#This Row],[Arg]]="",Log[[#This Row],[Sprint]],N(Log[[#This Row],[Arg]])),"")</f>
      </c>
      <c r="J862" s="17">
        <f>IF(Log[[#This Row],[Verb]]="block",1,IF(OR(Log[[#This Row],[Verb]]="unblock",Log[[#This Row],[Verb]]="done",Log[[#This Row],[Verb]]="drop",Log[[#This Row],[Verb]]="punt",Log[[#This Row],[Verb]]="pass"),0,""))</f>
      </c>
      <c r="K862" s="17">
        <f>IF(Log[[#This Row],[ID]]="",0,IFERROR(INDEX(Items[Pts],MATCH(Log[[#This Row],[ID]],Items[ID],0))*1,0))</f>
      </c>
      <c r="L862" s="17">
        <f>IF(Log[[#This Row],[ID]]="","",IFERROR(INDEX(Items[Cur team],MATCH(Log[[#This Row],[ID]],Items[ID],0))&amp;"",""))</f>
      </c>
      <c r="M862" s="17">
        <f>IF(OR(Log[[#This Row],[Verb]]="done",Log[[#This Row],[Verb]]="punt",Log[[#This Row],[Verb]]="drop",Log[[#This Row],[Verb]]="pass"),Log[[#This Row],[Pts]],0)</f>
      </c>
    </row>
    <row r="863">
      <c r="A863" s="11">
        <v>46160</v>
      </c>
      <c r="B863" t="s">
        <v>538</v>
      </c>
      <c r="C863" t="s">
        <v>41</v>
      </c>
      <c r="F863" s="17">
        <f>IF(Log[[#This Row],[ID]]="","",IF(ISNA(MATCH(Log[[#This Row],[ID]],Items[ID],0)),"unknown ID",IF(ISNA(MATCH(Log[[#This Row],[Verb]],VerbList,0)),"unknown verb",IF(Log[[#This Row],[Date]]="","no date",""))))</f>
      </c>
      <c r="G863" s="17">
        <f>IF(Log[[#This Row],[ID]]="","",IFERROR(VLOOKUP(Log[[#This Row],[Verb]],Verbs,3,FALSE)&amp;"",""))</f>
      </c>
      <c r="H863" s="17">
        <f>IF(Log[[#This Row],[Date]]="","",INT((Log[[#This Row],[Date]]-Sprint1)/SprintDays)+1)</f>
      </c>
      <c r="I863" s="17">
        <f>IF(OR(Log[[#This Row],[Verb]]="commit",Log[[#This Row],[Verb]]="carry",Log[[#This Row],[Verb]]="redo"),IF(Log[[#This Row],[Arg]]="",Log[[#This Row],[Sprint]],N(Log[[#This Row],[Arg]])),"")</f>
      </c>
      <c r="J863" s="17">
        <f>IF(Log[[#This Row],[Verb]]="block",1,IF(OR(Log[[#This Row],[Verb]]="unblock",Log[[#This Row],[Verb]]="done",Log[[#This Row],[Verb]]="drop",Log[[#This Row],[Verb]]="punt",Log[[#This Row],[Verb]]="pass"),0,""))</f>
      </c>
      <c r="K863" s="17">
        <f>IF(Log[[#This Row],[ID]]="",0,IFERROR(INDEX(Items[Pts],MATCH(Log[[#This Row],[ID]],Items[ID],0))*1,0))</f>
      </c>
      <c r="L863" s="17">
        <f>IF(Log[[#This Row],[ID]]="","",IFERROR(INDEX(Items[Cur team],MATCH(Log[[#This Row],[ID]],Items[ID],0))&amp;"",""))</f>
      </c>
      <c r="M863" s="17">
        <f>IF(OR(Log[[#This Row],[Verb]]="done",Log[[#This Row],[Verb]]="punt",Log[[#This Row],[Verb]]="drop",Log[[#This Row],[Verb]]="pass"),Log[[#This Row],[Pts]],0)</f>
      </c>
    </row>
    <row r="864">
      <c r="A864" s="11">
        <v>46160</v>
      </c>
      <c r="B864" t="s">
        <v>539</v>
      </c>
      <c r="C864" t="s">
        <v>41</v>
      </c>
      <c r="F864" s="17">
        <f>IF(Log[[#This Row],[ID]]="","",IF(ISNA(MATCH(Log[[#This Row],[ID]],Items[ID],0)),"unknown ID",IF(ISNA(MATCH(Log[[#This Row],[Verb]],VerbList,0)),"unknown verb",IF(Log[[#This Row],[Date]]="","no date",""))))</f>
      </c>
      <c r="G864" s="17">
        <f>IF(Log[[#This Row],[ID]]="","",IFERROR(VLOOKUP(Log[[#This Row],[Verb]],Verbs,3,FALSE)&amp;"",""))</f>
      </c>
      <c r="H864" s="17">
        <f>IF(Log[[#This Row],[Date]]="","",INT((Log[[#This Row],[Date]]-Sprint1)/SprintDays)+1)</f>
      </c>
      <c r="I864" s="17">
        <f>IF(OR(Log[[#This Row],[Verb]]="commit",Log[[#This Row],[Verb]]="carry",Log[[#This Row],[Verb]]="redo"),IF(Log[[#This Row],[Arg]]="",Log[[#This Row],[Sprint]],N(Log[[#This Row],[Arg]])),"")</f>
      </c>
      <c r="J864" s="17">
        <f>IF(Log[[#This Row],[Verb]]="block",1,IF(OR(Log[[#This Row],[Verb]]="unblock",Log[[#This Row],[Verb]]="done",Log[[#This Row],[Verb]]="drop",Log[[#This Row],[Verb]]="punt",Log[[#This Row],[Verb]]="pass"),0,""))</f>
      </c>
      <c r="K864" s="17">
        <f>IF(Log[[#This Row],[ID]]="",0,IFERROR(INDEX(Items[Pts],MATCH(Log[[#This Row],[ID]],Items[ID],0))*1,0))</f>
      </c>
      <c r="L864" s="17">
        <f>IF(Log[[#This Row],[ID]]="","",IFERROR(INDEX(Items[Cur team],MATCH(Log[[#This Row],[ID]],Items[ID],0))&amp;"",""))</f>
      </c>
      <c r="M864" s="17">
        <f>IF(OR(Log[[#This Row],[Verb]]="done",Log[[#This Row],[Verb]]="punt",Log[[#This Row],[Verb]]="drop",Log[[#This Row],[Verb]]="pass"),Log[[#This Row],[Pts]],0)</f>
      </c>
    </row>
    <row r="865">
      <c r="A865" s="11">
        <v>46160</v>
      </c>
      <c r="B865" t="s">
        <v>540</v>
      </c>
      <c r="C865" t="s">
        <v>41</v>
      </c>
      <c r="F865" s="17">
        <f>IF(Log[[#This Row],[ID]]="","",IF(ISNA(MATCH(Log[[#This Row],[ID]],Items[ID],0)),"unknown ID",IF(ISNA(MATCH(Log[[#This Row],[Verb]],VerbList,0)),"unknown verb",IF(Log[[#This Row],[Date]]="","no date",""))))</f>
      </c>
      <c r="G865" s="17">
        <f>IF(Log[[#This Row],[ID]]="","",IFERROR(VLOOKUP(Log[[#This Row],[Verb]],Verbs,3,FALSE)&amp;"",""))</f>
      </c>
      <c r="H865" s="17">
        <f>IF(Log[[#This Row],[Date]]="","",INT((Log[[#This Row],[Date]]-Sprint1)/SprintDays)+1)</f>
      </c>
      <c r="I865" s="17">
        <f>IF(OR(Log[[#This Row],[Verb]]="commit",Log[[#This Row],[Verb]]="carry",Log[[#This Row],[Verb]]="redo"),IF(Log[[#This Row],[Arg]]="",Log[[#This Row],[Sprint]],N(Log[[#This Row],[Arg]])),"")</f>
      </c>
      <c r="J865" s="17">
        <f>IF(Log[[#This Row],[Verb]]="block",1,IF(OR(Log[[#This Row],[Verb]]="unblock",Log[[#This Row],[Verb]]="done",Log[[#This Row],[Verb]]="drop",Log[[#This Row],[Verb]]="punt",Log[[#This Row],[Verb]]="pass"),0,""))</f>
      </c>
      <c r="K865" s="17">
        <f>IF(Log[[#This Row],[ID]]="",0,IFERROR(INDEX(Items[Pts],MATCH(Log[[#This Row],[ID]],Items[ID],0))*1,0))</f>
      </c>
      <c r="L865" s="17">
        <f>IF(Log[[#This Row],[ID]]="","",IFERROR(INDEX(Items[Cur team],MATCH(Log[[#This Row],[ID]],Items[ID],0))&amp;"",""))</f>
      </c>
      <c r="M865" s="17">
        <f>IF(OR(Log[[#This Row],[Verb]]="done",Log[[#This Row],[Verb]]="punt",Log[[#This Row],[Verb]]="drop",Log[[#This Row],[Verb]]="pass"),Log[[#This Row],[Pts]],0)</f>
      </c>
    </row>
    <row r="866">
      <c r="A866" s="11">
        <v>46160</v>
      </c>
      <c r="B866" t="s">
        <v>541</v>
      </c>
      <c r="C866" t="s">
        <v>41</v>
      </c>
      <c r="F866" s="17">
        <f>IF(Log[[#This Row],[ID]]="","",IF(ISNA(MATCH(Log[[#This Row],[ID]],Items[ID],0)),"unknown ID",IF(ISNA(MATCH(Log[[#This Row],[Verb]],VerbList,0)),"unknown verb",IF(Log[[#This Row],[Date]]="","no date",""))))</f>
      </c>
      <c r="G866" s="17">
        <f>IF(Log[[#This Row],[ID]]="","",IFERROR(VLOOKUP(Log[[#This Row],[Verb]],Verbs,3,FALSE)&amp;"",""))</f>
      </c>
      <c r="H866" s="17">
        <f>IF(Log[[#This Row],[Date]]="","",INT((Log[[#This Row],[Date]]-Sprint1)/SprintDays)+1)</f>
      </c>
      <c r="I866" s="17">
        <f>IF(OR(Log[[#This Row],[Verb]]="commit",Log[[#This Row],[Verb]]="carry",Log[[#This Row],[Verb]]="redo"),IF(Log[[#This Row],[Arg]]="",Log[[#This Row],[Sprint]],N(Log[[#This Row],[Arg]])),"")</f>
      </c>
      <c r="J866" s="17">
        <f>IF(Log[[#This Row],[Verb]]="block",1,IF(OR(Log[[#This Row],[Verb]]="unblock",Log[[#This Row],[Verb]]="done",Log[[#This Row],[Verb]]="drop",Log[[#This Row],[Verb]]="punt",Log[[#This Row],[Verb]]="pass"),0,""))</f>
      </c>
      <c r="K866" s="17">
        <f>IF(Log[[#This Row],[ID]]="",0,IFERROR(INDEX(Items[Pts],MATCH(Log[[#This Row],[ID]],Items[ID],0))*1,0))</f>
      </c>
      <c r="L866" s="17">
        <f>IF(Log[[#This Row],[ID]]="","",IFERROR(INDEX(Items[Cur team],MATCH(Log[[#This Row],[ID]],Items[ID],0))&amp;"",""))</f>
      </c>
      <c r="M866" s="17">
        <f>IF(OR(Log[[#This Row],[Verb]]="done",Log[[#This Row],[Verb]]="punt",Log[[#This Row],[Verb]]="drop",Log[[#This Row],[Verb]]="pass"),Log[[#This Row],[Pts]],0)</f>
      </c>
    </row>
    <row r="867">
      <c r="A867" s="11">
        <v>46160</v>
      </c>
      <c r="B867" t="s">
        <v>542</v>
      </c>
      <c r="C867" t="s">
        <v>41</v>
      </c>
      <c r="F867" s="17">
        <f>IF(Log[[#This Row],[ID]]="","",IF(ISNA(MATCH(Log[[#This Row],[ID]],Items[ID],0)),"unknown ID",IF(ISNA(MATCH(Log[[#This Row],[Verb]],VerbList,0)),"unknown verb",IF(Log[[#This Row],[Date]]="","no date",""))))</f>
      </c>
      <c r="G867" s="17">
        <f>IF(Log[[#This Row],[ID]]="","",IFERROR(VLOOKUP(Log[[#This Row],[Verb]],Verbs,3,FALSE)&amp;"",""))</f>
      </c>
      <c r="H867" s="17">
        <f>IF(Log[[#This Row],[Date]]="","",INT((Log[[#This Row],[Date]]-Sprint1)/SprintDays)+1)</f>
      </c>
      <c r="I867" s="17">
        <f>IF(OR(Log[[#This Row],[Verb]]="commit",Log[[#This Row],[Verb]]="carry",Log[[#This Row],[Verb]]="redo"),IF(Log[[#This Row],[Arg]]="",Log[[#This Row],[Sprint]],N(Log[[#This Row],[Arg]])),"")</f>
      </c>
      <c r="J867" s="17">
        <f>IF(Log[[#This Row],[Verb]]="block",1,IF(OR(Log[[#This Row],[Verb]]="unblock",Log[[#This Row],[Verb]]="done",Log[[#This Row],[Verb]]="drop",Log[[#This Row],[Verb]]="punt",Log[[#This Row],[Verb]]="pass"),0,""))</f>
      </c>
      <c r="K867" s="17">
        <f>IF(Log[[#This Row],[ID]]="",0,IFERROR(INDEX(Items[Pts],MATCH(Log[[#This Row],[ID]],Items[ID],0))*1,0))</f>
      </c>
      <c r="L867" s="17">
        <f>IF(Log[[#This Row],[ID]]="","",IFERROR(INDEX(Items[Cur team],MATCH(Log[[#This Row],[ID]],Items[ID],0))&amp;"",""))</f>
      </c>
      <c r="M867" s="17">
        <f>IF(OR(Log[[#This Row],[Verb]]="done",Log[[#This Row],[Verb]]="punt",Log[[#This Row],[Verb]]="drop",Log[[#This Row],[Verb]]="pass"),Log[[#This Row],[Pts]],0)</f>
      </c>
    </row>
    <row r="868">
      <c r="A868" s="11">
        <v>46161</v>
      </c>
      <c r="B868" t="s">
        <v>543</v>
      </c>
      <c r="C868" t="s">
        <v>34</v>
      </c>
      <c r="D868">
        <v>44</v>
      </c>
      <c r="F868" s="17">
        <f>IF(Log[[#This Row],[ID]]="","",IF(ISNA(MATCH(Log[[#This Row],[ID]],Items[ID],0)),"unknown ID",IF(ISNA(MATCH(Log[[#This Row],[Verb]],VerbList,0)),"unknown verb",IF(Log[[#This Row],[Date]]="","no date",""))))</f>
      </c>
      <c r="G868" s="17">
        <f>IF(Log[[#This Row],[ID]]="","",IFERROR(VLOOKUP(Log[[#This Row],[Verb]],Verbs,3,FALSE)&amp;"",""))</f>
      </c>
      <c r="H868" s="17">
        <f>IF(Log[[#This Row],[Date]]="","",INT((Log[[#This Row],[Date]]-Sprint1)/SprintDays)+1)</f>
      </c>
      <c r="I868" s="17">
        <f>IF(OR(Log[[#This Row],[Verb]]="commit",Log[[#This Row],[Verb]]="carry",Log[[#This Row],[Verb]]="redo"),IF(Log[[#This Row],[Arg]]="",Log[[#This Row],[Sprint]],N(Log[[#This Row],[Arg]])),"")</f>
      </c>
      <c r="J868" s="17">
        <f>IF(Log[[#This Row],[Verb]]="block",1,IF(OR(Log[[#This Row],[Verb]]="unblock",Log[[#This Row],[Verb]]="done",Log[[#This Row],[Verb]]="drop",Log[[#This Row],[Verb]]="punt",Log[[#This Row],[Verb]]="pass"),0,""))</f>
      </c>
      <c r="K868" s="17">
        <f>IF(Log[[#This Row],[ID]]="",0,IFERROR(INDEX(Items[Pts],MATCH(Log[[#This Row],[ID]],Items[ID],0))*1,0))</f>
      </c>
      <c r="L868" s="17">
        <f>IF(Log[[#This Row],[ID]]="","",IFERROR(INDEX(Items[Cur team],MATCH(Log[[#This Row],[ID]],Items[ID],0))&amp;"",""))</f>
      </c>
      <c r="M868" s="17">
        <f>IF(OR(Log[[#This Row],[Verb]]="done",Log[[#This Row],[Verb]]="punt",Log[[#This Row],[Verb]]="drop",Log[[#This Row],[Verb]]="pass"),Log[[#This Row],[Pts]],0)</f>
      </c>
    </row>
    <row r="869">
      <c r="A869" s="11">
        <v>46161</v>
      </c>
      <c r="B869" t="s">
        <v>544</v>
      </c>
      <c r="C869" t="s">
        <v>34</v>
      </c>
      <c r="D869">
        <v>44</v>
      </c>
      <c r="F869" s="17">
        <f>IF(Log[[#This Row],[ID]]="","",IF(ISNA(MATCH(Log[[#This Row],[ID]],Items[ID],0)),"unknown ID",IF(ISNA(MATCH(Log[[#This Row],[Verb]],VerbList,0)),"unknown verb",IF(Log[[#This Row],[Date]]="","no date",""))))</f>
      </c>
      <c r="G869" s="17">
        <f>IF(Log[[#This Row],[ID]]="","",IFERROR(VLOOKUP(Log[[#This Row],[Verb]],Verbs,3,FALSE)&amp;"",""))</f>
      </c>
      <c r="H869" s="17">
        <f>IF(Log[[#This Row],[Date]]="","",INT((Log[[#This Row],[Date]]-Sprint1)/SprintDays)+1)</f>
      </c>
      <c r="I869" s="17">
        <f>IF(OR(Log[[#This Row],[Verb]]="commit",Log[[#This Row],[Verb]]="carry",Log[[#This Row],[Verb]]="redo"),IF(Log[[#This Row],[Arg]]="",Log[[#This Row],[Sprint]],N(Log[[#This Row],[Arg]])),"")</f>
      </c>
      <c r="J869" s="17">
        <f>IF(Log[[#This Row],[Verb]]="block",1,IF(OR(Log[[#This Row],[Verb]]="unblock",Log[[#This Row],[Verb]]="done",Log[[#This Row],[Verb]]="drop",Log[[#This Row],[Verb]]="punt",Log[[#This Row],[Verb]]="pass"),0,""))</f>
      </c>
      <c r="K869" s="17">
        <f>IF(Log[[#This Row],[ID]]="",0,IFERROR(INDEX(Items[Pts],MATCH(Log[[#This Row],[ID]],Items[ID],0))*1,0))</f>
      </c>
      <c r="L869" s="17">
        <f>IF(Log[[#This Row],[ID]]="","",IFERROR(INDEX(Items[Cur team],MATCH(Log[[#This Row],[ID]],Items[ID],0))&amp;"",""))</f>
      </c>
      <c r="M869" s="17">
        <f>IF(OR(Log[[#This Row],[Verb]]="done",Log[[#This Row],[Verb]]="punt",Log[[#This Row],[Verb]]="drop",Log[[#This Row],[Verb]]="pass"),Log[[#This Row],[Pts]],0)</f>
      </c>
    </row>
    <row r="870">
      <c r="A870" s="11">
        <v>46161</v>
      </c>
      <c r="B870" t="s">
        <v>545</v>
      </c>
      <c r="C870" t="s">
        <v>34</v>
      </c>
      <c r="D870">
        <v>44</v>
      </c>
      <c r="F870" s="17">
        <f>IF(Log[[#This Row],[ID]]="","",IF(ISNA(MATCH(Log[[#This Row],[ID]],Items[ID],0)),"unknown ID",IF(ISNA(MATCH(Log[[#This Row],[Verb]],VerbList,0)),"unknown verb",IF(Log[[#This Row],[Date]]="","no date",""))))</f>
      </c>
      <c r="G870" s="17">
        <f>IF(Log[[#This Row],[ID]]="","",IFERROR(VLOOKUP(Log[[#This Row],[Verb]],Verbs,3,FALSE)&amp;"",""))</f>
      </c>
      <c r="H870" s="17">
        <f>IF(Log[[#This Row],[Date]]="","",INT((Log[[#This Row],[Date]]-Sprint1)/SprintDays)+1)</f>
      </c>
      <c r="I870" s="17">
        <f>IF(OR(Log[[#This Row],[Verb]]="commit",Log[[#This Row],[Verb]]="carry",Log[[#This Row],[Verb]]="redo"),IF(Log[[#This Row],[Arg]]="",Log[[#This Row],[Sprint]],N(Log[[#This Row],[Arg]])),"")</f>
      </c>
      <c r="J870" s="17">
        <f>IF(Log[[#This Row],[Verb]]="block",1,IF(OR(Log[[#This Row],[Verb]]="unblock",Log[[#This Row],[Verb]]="done",Log[[#This Row],[Verb]]="drop",Log[[#This Row],[Verb]]="punt",Log[[#This Row],[Verb]]="pass"),0,""))</f>
      </c>
      <c r="K870" s="17">
        <f>IF(Log[[#This Row],[ID]]="",0,IFERROR(INDEX(Items[Pts],MATCH(Log[[#This Row],[ID]],Items[ID],0))*1,0))</f>
      </c>
      <c r="L870" s="17">
        <f>IF(Log[[#This Row],[ID]]="","",IFERROR(INDEX(Items[Cur team],MATCH(Log[[#This Row],[ID]],Items[ID],0))&amp;"",""))</f>
      </c>
      <c r="M870" s="17">
        <f>IF(OR(Log[[#This Row],[Verb]]="done",Log[[#This Row],[Verb]]="punt",Log[[#This Row],[Verb]]="drop",Log[[#This Row],[Verb]]="pass"),Log[[#This Row],[Pts]],0)</f>
      </c>
    </row>
    <row r="871">
      <c r="A871" s="11">
        <v>46161</v>
      </c>
      <c r="B871" t="s">
        <v>546</v>
      </c>
      <c r="C871" t="s">
        <v>34</v>
      </c>
      <c r="D871">
        <v>44</v>
      </c>
      <c r="F871" s="17">
        <f>IF(Log[[#This Row],[ID]]="","",IF(ISNA(MATCH(Log[[#This Row],[ID]],Items[ID],0)),"unknown ID",IF(ISNA(MATCH(Log[[#This Row],[Verb]],VerbList,0)),"unknown verb",IF(Log[[#This Row],[Date]]="","no date",""))))</f>
      </c>
      <c r="G871" s="17">
        <f>IF(Log[[#This Row],[ID]]="","",IFERROR(VLOOKUP(Log[[#This Row],[Verb]],Verbs,3,FALSE)&amp;"",""))</f>
      </c>
      <c r="H871" s="17">
        <f>IF(Log[[#This Row],[Date]]="","",INT((Log[[#This Row],[Date]]-Sprint1)/SprintDays)+1)</f>
      </c>
      <c r="I871" s="17">
        <f>IF(OR(Log[[#This Row],[Verb]]="commit",Log[[#This Row],[Verb]]="carry",Log[[#This Row],[Verb]]="redo"),IF(Log[[#This Row],[Arg]]="",Log[[#This Row],[Sprint]],N(Log[[#This Row],[Arg]])),"")</f>
      </c>
      <c r="J871" s="17">
        <f>IF(Log[[#This Row],[Verb]]="block",1,IF(OR(Log[[#This Row],[Verb]]="unblock",Log[[#This Row],[Verb]]="done",Log[[#This Row],[Verb]]="drop",Log[[#This Row],[Verb]]="punt",Log[[#This Row],[Verb]]="pass"),0,""))</f>
      </c>
      <c r="K871" s="17">
        <f>IF(Log[[#This Row],[ID]]="",0,IFERROR(INDEX(Items[Pts],MATCH(Log[[#This Row],[ID]],Items[ID],0))*1,0))</f>
      </c>
      <c r="L871" s="17">
        <f>IF(Log[[#This Row],[ID]]="","",IFERROR(INDEX(Items[Cur team],MATCH(Log[[#This Row],[ID]],Items[ID],0))&amp;"",""))</f>
      </c>
      <c r="M871" s="17">
        <f>IF(OR(Log[[#This Row],[Verb]]="done",Log[[#This Row],[Verb]]="punt",Log[[#This Row],[Verb]]="drop",Log[[#This Row],[Verb]]="pass"),Log[[#This Row],[Pts]],0)</f>
      </c>
    </row>
    <row r="872">
      <c r="A872" s="11">
        <v>46161</v>
      </c>
      <c r="B872" t="s">
        <v>547</v>
      </c>
      <c r="C872" t="s">
        <v>34</v>
      </c>
      <c r="D872">
        <v>44</v>
      </c>
      <c r="F872" s="17">
        <f>IF(Log[[#This Row],[ID]]="","",IF(ISNA(MATCH(Log[[#This Row],[ID]],Items[ID],0)),"unknown ID",IF(ISNA(MATCH(Log[[#This Row],[Verb]],VerbList,0)),"unknown verb",IF(Log[[#This Row],[Date]]="","no date",""))))</f>
      </c>
      <c r="G872" s="17">
        <f>IF(Log[[#This Row],[ID]]="","",IFERROR(VLOOKUP(Log[[#This Row],[Verb]],Verbs,3,FALSE)&amp;"",""))</f>
      </c>
      <c r="H872" s="17">
        <f>IF(Log[[#This Row],[Date]]="","",INT((Log[[#This Row],[Date]]-Sprint1)/SprintDays)+1)</f>
      </c>
      <c r="I872" s="17">
        <f>IF(OR(Log[[#This Row],[Verb]]="commit",Log[[#This Row],[Verb]]="carry",Log[[#This Row],[Verb]]="redo"),IF(Log[[#This Row],[Arg]]="",Log[[#This Row],[Sprint]],N(Log[[#This Row],[Arg]])),"")</f>
      </c>
      <c r="J872" s="17">
        <f>IF(Log[[#This Row],[Verb]]="block",1,IF(OR(Log[[#This Row],[Verb]]="unblock",Log[[#This Row],[Verb]]="done",Log[[#This Row],[Verb]]="drop",Log[[#This Row],[Verb]]="punt",Log[[#This Row],[Verb]]="pass"),0,""))</f>
      </c>
      <c r="K872" s="17">
        <f>IF(Log[[#This Row],[ID]]="",0,IFERROR(INDEX(Items[Pts],MATCH(Log[[#This Row],[ID]],Items[ID],0))*1,0))</f>
      </c>
      <c r="L872" s="17">
        <f>IF(Log[[#This Row],[ID]]="","",IFERROR(INDEX(Items[Cur team],MATCH(Log[[#This Row],[ID]],Items[ID],0))&amp;"",""))</f>
      </c>
      <c r="M872" s="17">
        <f>IF(OR(Log[[#This Row],[Verb]]="done",Log[[#This Row],[Verb]]="punt",Log[[#This Row],[Verb]]="drop",Log[[#This Row],[Verb]]="pass"),Log[[#This Row],[Pts]],0)</f>
      </c>
    </row>
    <row r="873">
      <c r="A873" s="11">
        <v>46161</v>
      </c>
      <c r="B873" t="s">
        <v>548</v>
      </c>
      <c r="C873" t="s">
        <v>34</v>
      </c>
      <c r="D873">
        <v>44</v>
      </c>
      <c r="F873" s="17">
        <f>IF(Log[[#This Row],[ID]]="","",IF(ISNA(MATCH(Log[[#This Row],[ID]],Items[ID],0)),"unknown ID",IF(ISNA(MATCH(Log[[#This Row],[Verb]],VerbList,0)),"unknown verb",IF(Log[[#This Row],[Date]]="","no date",""))))</f>
      </c>
      <c r="G873" s="17">
        <f>IF(Log[[#This Row],[ID]]="","",IFERROR(VLOOKUP(Log[[#This Row],[Verb]],Verbs,3,FALSE)&amp;"",""))</f>
      </c>
      <c r="H873" s="17">
        <f>IF(Log[[#This Row],[Date]]="","",INT((Log[[#This Row],[Date]]-Sprint1)/SprintDays)+1)</f>
      </c>
      <c r="I873" s="17">
        <f>IF(OR(Log[[#This Row],[Verb]]="commit",Log[[#This Row],[Verb]]="carry",Log[[#This Row],[Verb]]="redo"),IF(Log[[#This Row],[Arg]]="",Log[[#This Row],[Sprint]],N(Log[[#This Row],[Arg]])),"")</f>
      </c>
      <c r="J873" s="17">
        <f>IF(Log[[#This Row],[Verb]]="block",1,IF(OR(Log[[#This Row],[Verb]]="unblock",Log[[#This Row],[Verb]]="done",Log[[#This Row],[Verb]]="drop",Log[[#This Row],[Verb]]="punt",Log[[#This Row],[Verb]]="pass"),0,""))</f>
      </c>
      <c r="K873" s="17">
        <f>IF(Log[[#This Row],[ID]]="",0,IFERROR(INDEX(Items[Pts],MATCH(Log[[#This Row],[ID]],Items[ID],0))*1,0))</f>
      </c>
      <c r="L873" s="17">
        <f>IF(Log[[#This Row],[ID]]="","",IFERROR(INDEX(Items[Cur team],MATCH(Log[[#This Row],[ID]],Items[ID],0))&amp;"",""))</f>
      </c>
      <c r="M873" s="17">
        <f>IF(OR(Log[[#This Row],[Verb]]="done",Log[[#This Row],[Verb]]="punt",Log[[#This Row],[Verb]]="drop",Log[[#This Row],[Verb]]="pass"),Log[[#This Row],[Pts]],0)</f>
      </c>
    </row>
    <row r="874">
      <c r="A874" s="11">
        <v>46161</v>
      </c>
      <c r="B874" t="s">
        <v>549</v>
      </c>
      <c r="C874" t="s">
        <v>34</v>
      </c>
      <c r="D874">
        <v>44</v>
      </c>
      <c r="F874" s="17">
        <f>IF(Log[[#This Row],[ID]]="","",IF(ISNA(MATCH(Log[[#This Row],[ID]],Items[ID],0)),"unknown ID",IF(ISNA(MATCH(Log[[#This Row],[Verb]],VerbList,0)),"unknown verb",IF(Log[[#This Row],[Date]]="","no date",""))))</f>
      </c>
      <c r="G874" s="17">
        <f>IF(Log[[#This Row],[ID]]="","",IFERROR(VLOOKUP(Log[[#This Row],[Verb]],Verbs,3,FALSE)&amp;"",""))</f>
      </c>
      <c r="H874" s="17">
        <f>IF(Log[[#This Row],[Date]]="","",INT((Log[[#This Row],[Date]]-Sprint1)/SprintDays)+1)</f>
      </c>
      <c r="I874" s="17">
        <f>IF(OR(Log[[#This Row],[Verb]]="commit",Log[[#This Row],[Verb]]="carry",Log[[#This Row],[Verb]]="redo"),IF(Log[[#This Row],[Arg]]="",Log[[#This Row],[Sprint]],N(Log[[#This Row],[Arg]])),"")</f>
      </c>
      <c r="J874" s="17">
        <f>IF(Log[[#This Row],[Verb]]="block",1,IF(OR(Log[[#This Row],[Verb]]="unblock",Log[[#This Row],[Verb]]="done",Log[[#This Row],[Verb]]="drop",Log[[#This Row],[Verb]]="punt",Log[[#This Row],[Verb]]="pass"),0,""))</f>
      </c>
      <c r="K874" s="17">
        <f>IF(Log[[#This Row],[ID]]="",0,IFERROR(INDEX(Items[Pts],MATCH(Log[[#This Row],[ID]],Items[ID],0))*1,0))</f>
      </c>
      <c r="L874" s="17">
        <f>IF(Log[[#This Row],[ID]]="","",IFERROR(INDEX(Items[Cur team],MATCH(Log[[#This Row],[ID]],Items[ID],0))&amp;"",""))</f>
      </c>
      <c r="M874" s="17">
        <f>IF(OR(Log[[#This Row],[Verb]]="done",Log[[#This Row],[Verb]]="punt",Log[[#This Row],[Verb]]="drop",Log[[#This Row],[Verb]]="pass"),Log[[#This Row],[Pts]],0)</f>
      </c>
    </row>
    <row r="875">
      <c r="A875" s="11">
        <v>46161</v>
      </c>
      <c r="B875" t="s">
        <v>550</v>
      </c>
      <c r="C875" t="s">
        <v>34</v>
      </c>
      <c r="D875">
        <v>44</v>
      </c>
      <c r="F875" s="17">
        <f>IF(Log[[#This Row],[ID]]="","",IF(ISNA(MATCH(Log[[#This Row],[ID]],Items[ID],0)),"unknown ID",IF(ISNA(MATCH(Log[[#This Row],[Verb]],VerbList,0)),"unknown verb",IF(Log[[#This Row],[Date]]="","no date",""))))</f>
      </c>
      <c r="G875" s="17">
        <f>IF(Log[[#This Row],[ID]]="","",IFERROR(VLOOKUP(Log[[#This Row],[Verb]],Verbs,3,FALSE)&amp;"",""))</f>
      </c>
      <c r="H875" s="17">
        <f>IF(Log[[#This Row],[Date]]="","",INT((Log[[#This Row],[Date]]-Sprint1)/SprintDays)+1)</f>
      </c>
      <c r="I875" s="17">
        <f>IF(OR(Log[[#This Row],[Verb]]="commit",Log[[#This Row],[Verb]]="carry",Log[[#This Row],[Verb]]="redo"),IF(Log[[#This Row],[Arg]]="",Log[[#This Row],[Sprint]],N(Log[[#This Row],[Arg]])),"")</f>
      </c>
      <c r="J875" s="17">
        <f>IF(Log[[#This Row],[Verb]]="block",1,IF(OR(Log[[#This Row],[Verb]]="unblock",Log[[#This Row],[Verb]]="done",Log[[#This Row],[Verb]]="drop",Log[[#This Row],[Verb]]="punt",Log[[#This Row],[Verb]]="pass"),0,""))</f>
      </c>
      <c r="K875" s="17">
        <f>IF(Log[[#This Row],[ID]]="",0,IFERROR(INDEX(Items[Pts],MATCH(Log[[#This Row],[ID]],Items[ID],0))*1,0))</f>
      </c>
      <c r="L875" s="17">
        <f>IF(Log[[#This Row],[ID]]="","",IFERROR(INDEX(Items[Cur team],MATCH(Log[[#This Row],[ID]],Items[ID],0))&amp;"",""))</f>
      </c>
      <c r="M875" s="17">
        <f>IF(OR(Log[[#This Row],[Verb]]="done",Log[[#This Row],[Verb]]="punt",Log[[#This Row],[Verb]]="drop",Log[[#This Row],[Verb]]="pass"),Log[[#This Row],[Pts]],0)</f>
      </c>
    </row>
    <row r="876">
      <c r="A876" s="11">
        <v>46161</v>
      </c>
      <c r="B876" t="s">
        <v>551</v>
      </c>
      <c r="C876" t="s">
        <v>34</v>
      </c>
      <c r="D876">
        <v>44</v>
      </c>
      <c r="F876" s="17">
        <f>IF(Log[[#This Row],[ID]]="","",IF(ISNA(MATCH(Log[[#This Row],[ID]],Items[ID],0)),"unknown ID",IF(ISNA(MATCH(Log[[#This Row],[Verb]],VerbList,0)),"unknown verb",IF(Log[[#This Row],[Date]]="","no date",""))))</f>
      </c>
      <c r="G876" s="17">
        <f>IF(Log[[#This Row],[ID]]="","",IFERROR(VLOOKUP(Log[[#This Row],[Verb]],Verbs,3,FALSE)&amp;"",""))</f>
      </c>
      <c r="H876" s="17">
        <f>IF(Log[[#This Row],[Date]]="","",INT((Log[[#This Row],[Date]]-Sprint1)/SprintDays)+1)</f>
      </c>
      <c r="I876" s="17">
        <f>IF(OR(Log[[#This Row],[Verb]]="commit",Log[[#This Row],[Verb]]="carry",Log[[#This Row],[Verb]]="redo"),IF(Log[[#This Row],[Arg]]="",Log[[#This Row],[Sprint]],N(Log[[#This Row],[Arg]])),"")</f>
      </c>
      <c r="J876" s="17">
        <f>IF(Log[[#This Row],[Verb]]="block",1,IF(OR(Log[[#This Row],[Verb]]="unblock",Log[[#This Row],[Verb]]="done",Log[[#This Row],[Verb]]="drop",Log[[#This Row],[Verb]]="punt",Log[[#This Row],[Verb]]="pass"),0,""))</f>
      </c>
      <c r="K876" s="17">
        <f>IF(Log[[#This Row],[ID]]="",0,IFERROR(INDEX(Items[Pts],MATCH(Log[[#This Row],[ID]],Items[ID],0))*1,0))</f>
      </c>
      <c r="L876" s="17">
        <f>IF(Log[[#This Row],[ID]]="","",IFERROR(INDEX(Items[Cur team],MATCH(Log[[#This Row],[ID]],Items[ID],0))&amp;"",""))</f>
      </c>
      <c r="M876" s="17">
        <f>IF(OR(Log[[#This Row],[Verb]]="done",Log[[#This Row],[Verb]]="punt",Log[[#This Row],[Verb]]="drop",Log[[#This Row],[Verb]]="pass"),Log[[#This Row],[Pts]],0)</f>
      </c>
    </row>
    <row r="877">
      <c r="A877" s="11">
        <v>46161</v>
      </c>
      <c r="B877" t="s">
        <v>552</v>
      </c>
      <c r="C877" t="s">
        <v>34</v>
      </c>
      <c r="D877">
        <v>44</v>
      </c>
      <c r="F877" s="17">
        <f>IF(Log[[#This Row],[ID]]="","",IF(ISNA(MATCH(Log[[#This Row],[ID]],Items[ID],0)),"unknown ID",IF(ISNA(MATCH(Log[[#This Row],[Verb]],VerbList,0)),"unknown verb",IF(Log[[#This Row],[Date]]="","no date",""))))</f>
      </c>
      <c r="G877" s="17">
        <f>IF(Log[[#This Row],[ID]]="","",IFERROR(VLOOKUP(Log[[#This Row],[Verb]],Verbs,3,FALSE)&amp;"",""))</f>
      </c>
      <c r="H877" s="17">
        <f>IF(Log[[#This Row],[Date]]="","",INT((Log[[#This Row],[Date]]-Sprint1)/SprintDays)+1)</f>
      </c>
      <c r="I877" s="17">
        <f>IF(OR(Log[[#This Row],[Verb]]="commit",Log[[#This Row],[Verb]]="carry",Log[[#This Row],[Verb]]="redo"),IF(Log[[#This Row],[Arg]]="",Log[[#This Row],[Sprint]],N(Log[[#This Row],[Arg]])),"")</f>
      </c>
      <c r="J877" s="17">
        <f>IF(Log[[#This Row],[Verb]]="block",1,IF(OR(Log[[#This Row],[Verb]]="unblock",Log[[#This Row],[Verb]]="done",Log[[#This Row],[Verb]]="drop",Log[[#This Row],[Verb]]="punt",Log[[#This Row],[Verb]]="pass"),0,""))</f>
      </c>
      <c r="K877" s="17">
        <f>IF(Log[[#This Row],[ID]]="",0,IFERROR(INDEX(Items[Pts],MATCH(Log[[#This Row],[ID]],Items[ID],0))*1,0))</f>
      </c>
      <c r="L877" s="17">
        <f>IF(Log[[#This Row],[ID]]="","",IFERROR(INDEX(Items[Cur team],MATCH(Log[[#This Row],[ID]],Items[ID],0))&amp;"",""))</f>
      </c>
      <c r="M877" s="17">
        <f>IF(OR(Log[[#This Row],[Verb]]="done",Log[[#This Row],[Verb]]="punt",Log[[#This Row],[Verb]]="drop",Log[[#This Row],[Verb]]="pass"),Log[[#This Row],[Pts]],0)</f>
      </c>
    </row>
    <row r="878">
      <c r="A878" s="11">
        <v>46161</v>
      </c>
      <c r="B878" t="s">
        <v>553</v>
      </c>
      <c r="C878" t="s">
        <v>34</v>
      </c>
      <c r="D878">
        <v>44</v>
      </c>
      <c r="F878" s="17">
        <f>IF(Log[[#This Row],[ID]]="","",IF(ISNA(MATCH(Log[[#This Row],[ID]],Items[ID],0)),"unknown ID",IF(ISNA(MATCH(Log[[#This Row],[Verb]],VerbList,0)),"unknown verb",IF(Log[[#This Row],[Date]]="","no date",""))))</f>
      </c>
      <c r="G878" s="17">
        <f>IF(Log[[#This Row],[ID]]="","",IFERROR(VLOOKUP(Log[[#This Row],[Verb]],Verbs,3,FALSE)&amp;"",""))</f>
      </c>
      <c r="H878" s="17">
        <f>IF(Log[[#This Row],[Date]]="","",INT((Log[[#This Row],[Date]]-Sprint1)/SprintDays)+1)</f>
      </c>
      <c r="I878" s="17">
        <f>IF(OR(Log[[#This Row],[Verb]]="commit",Log[[#This Row],[Verb]]="carry",Log[[#This Row],[Verb]]="redo"),IF(Log[[#This Row],[Arg]]="",Log[[#This Row],[Sprint]],N(Log[[#This Row],[Arg]])),"")</f>
      </c>
      <c r="J878" s="17">
        <f>IF(Log[[#This Row],[Verb]]="block",1,IF(OR(Log[[#This Row],[Verb]]="unblock",Log[[#This Row],[Verb]]="done",Log[[#This Row],[Verb]]="drop",Log[[#This Row],[Verb]]="punt",Log[[#This Row],[Verb]]="pass"),0,""))</f>
      </c>
      <c r="K878" s="17">
        <f>IF(Log[[#This Row],[ID]]="",0,IFERROR(INDEX(Items[Pts],MATCH(Log[[#This Row],[ID]],Items[ID],0))*1,0))</f>
      </c>
      <c r="L878" s="17">
        <f>IF(Log[[#This Row],[ID]]="","",IFERROR(INDEX(Items[Cur team],MATCH(Log[[#This Row],[ID]],Items[ID],0))&amp;"",""))</f>
      </c>
      <c r="M878" s="17">
        <f>IF(OR(Log[[#This Row],[Verb]]="done",Log[[#This Row],[Verb]]="punt",Log[[#This Row],[Verb]]="drop",Log[[#This Row],[Verb]]="pass"),Log[[#This Row],[Pts]],0)</f>
      </c>
    </row>
    <row r="879">
      <c r="A879" s="11">
        <v>46161</v>
      </c>
      <c r="B879" t="s">
        <v>554</v>
      </c>
      <c r="C879" t="s">
        <v>34</v>
      </c>
      <c r="D879">
        <v>44</v>
      </c>
      <c r="F879" s="17">
        <f>IF(Log[[#This Row],[ID]]="","",IF(ISNA(MATCH(Log[[#This Row],[ID]],Items[ID],0)),"unknown ID",IF(ISNA(MATCH(Log[[#This Row],[Verb]],VerbList,0)),"unknown verb",IF(Log[[#This Row],[Date]]="","no date",""))))</f>
      </c>
      <c r="G879" s="17">
        <f>IF(Log[[#This Row],[ID]]="","",IFERROR(VLOOKUP(Log[[#This Row],[Verb]],Verbs,3,FALSE)&amp;"",""))</f>
      </c>
      <c r="H879" s="17">
        <f>IF(Log[[#This Row],[Date]]="","",INT((Log[[#This Row],[Date]]-Sprint1)/SprintDays)+1)</f>
      </c>
      <c r="I879" s="17">
        <f>IF(OR(Log[[#This Row],[Verb]]="commit",Log[[#This Row],[Verb]]="carry",Log[[#This Row],[Verb]]="redo"),IF(Log[[#This Row],[Arg]]="",Log[[#This Row],[Sprint]],N(Log[[#This Row],[Arg]])),"")</f>
      </c>
      <c r="J879" s="17">
        <f>IF(Log[[#This Row],[Verb]]="block",1,IF(OR(Log[[#This Row],[Verb]]="unblock",Log[[#This Row],[Verb]]="done",Log[[#This Row],[Verb]]="drop",Log[[#This Row],[Verb]]="punt",Log[[#This Row],[Verb]]="pass"),0,""))</f>
      </c>
      <c r="K879" s="17">
        <f>IF(Log[[#This Row],[ID]]="",0,IFERROR(INDEX(Items[Pts],MATCH(Log[[#This Row],[ID]],Items[ID],0))*1,0))</f>
      </c>
      <c r="L879" s="17">
        <f>IF(Log[[#This Row],[ID]]="","",IFERROR(INDEX(Items[Cur team],MATCH(Log[[#This Row],[ID]],Items[ID],0))&amp;"",""))</f>
      </c>
      <c r="M879" s="17">
        <f>IF(OR(Log[[#This Row],[Verb]]="done",Log[[#This Row],[Verb]]="punt",Log[[#This Row],[Verb]]="drop",Log[[#This Row],[Verb]]="pass"),Log[[#This Row],[Pts]],0)</f>
      </c>
    </row>
    <row r="880">
      <c r="A880" s="11">
        <v>46161</v>
      </c>
      <c r="B880" t="s">
        <v>555</v>
      </c>
      <c r="C880" t="s">
        <v>34</v>
      </c>
      <c r="D880">
        <v>44</v>
      </c>
      <c r="F880" s="17">
        <f>IF(Log[[#This Row],[ID]]="","",IF(ISNA(MATCH(Log[[#This Row],[ID]],Items[ID],0)),"unknown ID",IF(ISNA(MATCH(Log[[#This Row],[Verb]],VerbList,0)),"unknown verb",IF(Log[[#This Row],[Date]]="","no date",""))))</f>
      </c>
      <c r="G880" s="17">
        <f>IF(Log[[#This Row],[ID]]="","",IFERROR(VLOOKUP(Log[[#This Row],[Verb]],Verbs,3,FALSE)&amp;"",""))</f>
      </c>
      <c r="H880" s="17">
        <f>IF(Log[[#This Row],[Date]]="","",INT((Log[[#This Row],[Date]]-Sprint1)/SprintDays)+1)</f>
      </c>
      <c r="I880" s="17">
        <f>IF(OR(Log[[#This Row],[Verb]]="commit",Log[[#This Row],[Verb]]="carry",Log[[#This Row],[Verb]]="redo"),IF(Log[[#This Row],[Arg]]="",Log[[#This Row],[Sprint]],N(Log[[#This Row],[Arg]])),"")</f>
      </c>
      <c r="J880" s="17">
        <f>IF(Log[[#This Row],[Verb]]="block",1,IF(OR(Log[[#This Row],[Verb]]="unblock",Log[[#This Row],[Verb]]="done",Log[[#This Row],[Verb]]="drop",Log[[#This Row],[Verb]]="punt",Log[[#This Row],[Verb]]="pass"),0,""))</f>
      </c>
      <c r="K880" s="17">
        <f>IF(Log[[#This Row],[ID]]="",0,IFERROR(INDEX(Items[Pts],MATCH(Log[[#This Row],[ID]],Items[ID],0))*1,0))</f>
      </c>
      <c r="L880" s="17">
        <f>IF(Log[[#This Row],[ID]]="","",IFERROR(INDEX(Items[Cur team],MATCH(Log[[#This Row],[ID]],Items[ID],0))&amp;"",""))</f>
      </c>
      <c r="M880" s="17">
        <f>IF(OR(Log[[#This Row],[Verb]]="done",Log[[#This Row],[Verb]]="punt",Log[[#This Row],[Verb]]="drop",Log[[#This Row],[Verb]]="pass"),Log[[#This Row],[Pts]],0)</f>
      </c>
    </row>
    <row r="881">
      <c r="A881" s="11">
        <v>46161</v>
      </c>
      <c r="B881" t="s">
        <v>556</v>
      </c>
      <c r="C881" t="s">
        <v>34</v>
      </c>
      <c r="D881">
        <v>44</v>
      </c>
      <c r="F881" s="17">
        <f>IF(Log[[#This Row],[ID]]="","",IF(ISNA(MATCH(Log[[#This Row],[ID]],Items[ID],0)),"unknown ID",IF(ISNA(MATCH(Log[[#This Row],[Verb]],VerbList,0)),"unknown verb",IF(Log[[#This Row],[Date]]="","no date",""))))</f>
      </c>
      <c r="G881" s="17">
        <f>IF(Log[[#This Row],[ID]]="","",IFERROR(VLOOKUP(Log[[#This Row],[Verb]],Verbs,3,FALSE)&amp;"",""))</f>
      </c>
      <c r="H881" s="17">
        <f>IF(Log[[#This Row],[Date]]="","",INT((Log[[#This Row],[Date]]-Sprint1)/SprintDays)+1)</f>
      </c>
      <c r="I881" s="17">
        <f>IF(OR(Log[[#This Row],[Verb]]="commit",Log[[#This Row],[Verb]]="carry",Log[[#This Row],[Verb]]="redo"),IF(Log[[#This Row],[Arg]]="",Log[[#This Row],[Sprint]],N(Log[[#This Row],[Arg]])),"")</f>
      </c>
      <c r="J881" s="17">
        <f>IF(Log[[#This Row],[Verb]]="block",1,IF(OR(Log[[#This Row],[Verb]]="unblock",Log[[#This Row],[Verb]]="done",Log[[#This Row],[Verb]]="drop",Log[[#This Row],[Verb]]="punt",Log[[#This Row],[Verb]]="pass"),0,""))</f>
      </c>
      <c r="K881" s="17">
        <f>IF(Log[[#This Row],[ID]]="",0,IFERROR(INDEX(Items[Pts],MATCH(Log[[#This Row],[ID]],Items[ID],0))*1,0))</f>
      </c>
      <c r="L881" s="17">
        <f>IF(Log[[#This Row],[ID]]="","",IFERROR(INDEX(Items[Cur team],MATCH(Log[[#This Row],[ID]],Items[ID],0))&amp;"",""))</f>
      </c>
      <c r="M881" s="17">
        <f>IF(OR(Log[[#This Row],[Verb]]="done",Log[[#This Row],[Verb]]="punt",Log[[#This Row],[Verb]]="drop",Log[[#This Row],[Verb]]="pass"),Log[[#This Row],[Pts]],0)</f>
      </c>
    </row>
    <row r="882">
      <c r="A882" s="11">
        <v>46161</v>
      </c>
      <c r="B882" t="s">
        <v>557</v>
      </c>
      <c r="C882" t="s">
        <v>34</v>
      </c>
      <c r="D882">
        <v>44</v>
      </c>
      <c r="F882" s="17">
        <f>IF(Log[[#This Row],[ID]]="","",IF(ISNA(MATCH(Log[[#This Row],[ID]],Items[ID],0)),"unknown ID",IF(ISNA(MATCH(Log[[#This Row],[Verb]],VerbList,0)),"unknown verb",IF(Log[[#This Row],[Date]]="","no date",""))))</f>
      </c>
      <c r="G882" s="17">
        <f>IF(Log[[#This Row],[ID]]="","",IFERROR(VLOOKUP(Log[[#This Row],[Verb]],Verbs,3,FALSE)&amp;"",""))</f>
      </c>
      <c r="H882" s="17">
        <f>IF(Log[[#This Row],[Date]]="","",INT((Log[[#This Row],[Date]]-Sprint1)/SprintDays)+1)</f>
      </c>
      <c r="I882" s="17">
        <f>IF(OR(Log[[#This Row],[Verb]]="commit",Log[[#This Row],[Verb]]="carry",Log[[#This Row],[Verb]]="redo"),IF(Log[[#This Row],[Arg]]="",Log[[#This Row],[Sprint]],N(Log[[#This Row],[Arg]])),"")</f>
      </c>
      <c r="J882" s="17">
        <f>IF(Log[[#This Row],[Verb]]="block",1,IF(OR(Log[[#This Row],[Verb]]="unblock",Log[[#This Row],[Verb]]="done",Log[[#This Row],[Verb]]="drop",Log[[#This Row],[Verb]]="punt",Log[[#This Row],[Verb]]="pass"),0,""))</f>
      </c>
      <c r="K882" s="17">
        <f>IF(Log[[#This Row],[ID]]="",0,IFERROR(INDEX(Items[Pts],MATCH(Log[[#This Row],[ID]],Items[ID],0))*1,0))</f>
      </c>
      <c r="L882" s="17">
        <f>IF(Log[[#This Row],[ID]]="","",IFERROR(INDEX(Items[Cur team],MATCH(Log[[#This Row],[ID]],Items[ID],0))&amp;"",""))</f>
      </c>
      <c r="M882" s="17">
        <f>IF(OR(Log[[#This Row],[Verb]]="done",Log[[#This Row],[Verb]]="punt",Log[[#This Row],[Verb]]="drop",Log[[#This Row],[Verb]]="pass"),Log[[#This Row],[Pts]],0)</f>
      </c>
    </row>
    <row r="883">
      <c r="A883" s="11">
        <v>46161</v>
      </c>
      <c r="B883" t="s">
        <v>558</v>
      </c>
      <c r="C883" t="s">
        <v>34</v>
      </c>
      <c r="D883">
        <v>44</v>
      </c>
      <c r="F883" s="17">
        <f>IF(Log[[#This Row],[ID]]="","",IF(ISNA(MATCH(Log[[#This Row],[ID]],Items[ID],0)),"unknown ID",IF(ISNA(MATCH(Log[[#This Row],[Verb]],VerbList,0)),"unknown verb",IF(Log[[#This Row],[Date]]="","no date",""))))</f>
      </c>
      <c r="G883" s="17">
        <f>IF(Log[[#This Row],[ID]]="","",IFERROR(VLOOKUP(Log[[#This Row],[Verb]],Verbs,3,FALSE)&amp;"",""))</f>
      </c>
      <c r="H883" s="17">
        <f>IF(Log[[#This Row],[Date]]="","",INT((Log[[#This Row],[Date]]-Sprint1)/SprintDays)+1)</f>
      </c>
      <c r="I883" s="17">
        <f>IF(OR(Log[[#This Row],[Verb]]="commit",Log[[#This Row],[Verb]]="carry",Log[[#This Row],[Verb]]="redo"),IF(Log[[#This Row],[Arg]]="",Log[[#This Row],[Sprint]],N(Log[[#This Row],[Arg]])),"")</f>
      </c>
      <c r="J883" s="17">
        <f>IF(Log[[#This Row],[Verb]]="block",1,IF(OR(Log[[#This Row],[Verb]]="unblock",Log[[#This Row],[Verb]]="done",Log[[#This Row],[Verb]]="drop",Log[[#This Row],[Verb]]="punt",Log[[#This Row],[Verb]]="pass"),0,""))</f>
      </c>
      <c r="K883" s="17">
        <f>IF(Log[[#This Row],[ID]]="",0,IFERROR(INDEX(Items[Pts],MATCH(Log[[#This Row],[ID]],Items[ID],0))*1,0))</f>
      </c>
      <c r="L883" s="17">
        <f>IF(Log[[#This Row],[ID]]="","",IFERROR(INDEX(Items[Cur team],MATCH(Log[[#This Row],[ID]],Items[ID],0))&amp;"",""))</f>
      </c>
      <c r="M883" s="17">
        <f>IF(OR(Log[[#This Row],[Verb]]="done",Log[[#This Row],[Verb]]="punt",Log[[#This Row],[Verb]]="drop",Log[[#This Row],[Verb]]="pass"),Log[[#This Row],[Pts]],0)</f>
      </c>
    </row>
    <row r="884">
      <c r="A884" s="11">
        <v>46161</v>
      </c>
      <c r="B884" t="s">
        <v>559</v>
      </c>
      <c r="C884" t="s">
        <v>34</v>
      </c>
      <c r="D884">
        <v>44</v>
      </c>
      <c r="F884" s="17">
        <f>IF(Log[[#This Row],[ID]]="","",IF(ISNA(MATCH(Log[[#This Row],[ID]],Items[ID],0)),"unknown ID",IF(ISNA(MATCH(Log[[#This Row],[Verb]],VerbList,0)),"unknown verb",IF(Log[[#This Row],[Date]]="","no date",""))))</f>
      </c>
      <c r="G884" s="17">
        <f>IF(Log[[#This Row],[ID]]="","",IFERROR(VLOOKUP(Log[[#This Row],[Verb]],Verbs,3,FALSE)&amp;"",""))</f>
      </c>
      <c r="H884" s="17">
        <f>IF(Log[[#This Row],[Date]]="","",INT((Log[[#This Row],[Date]]-Sprint1)/SprintDays)+1)</f>
      </c>
      <c r="I884" s="17">
        <f>IF(OR(Log[[#This Row],[Verb]]="commit",Log[[#This Row],[Verb]]="carry",Log[[#This Row],[Verb]]="redo"),IF(Log[[#This Row],[Arg]]="",Log[[#This Row],[Sprint]],N(Log[[#This Row],[Arg]])),"")</f>
      </c>
      <c r="J884" s="17">
        <f>IF(Log[[#This Row],[Verb]]="block",1,IF(OR(Log[[#This Row],[Verb]]="unblock",Log[[#This Row],[Verb]]="done",Log[[#This Row],[Verb]]="drop",Log[[#This Row],[Verb]]="punt",Log[[#This Row],[Verb]]="pass"),0,""))</f>
      </c>
      <c r="K884" s="17">
        <f>IF(Log[[#This Row],[ID]]="",0,IFERROR(INDEX(Items[Pts],MATCH(Log[[#This Row],[ID]],Items[ID],0))*1,0))</f>
      </c>
      <c r="L884" s="17">
        <f>IF(Log[[#This Row],[ID]]="","",IFERROR(INDEX(Items[Cur team],MATCH(Log[[#This Row],[ID]],Items[ID],0))&amp;"",""))</f>
      </c>
      <c r="M884" s="17">
        <f>IF(OR(Log[[#This Row],[Verb]]="done",Log[[#This Row],[Verb]]="punt",Log[[#This Row],[Verb]]="drop",Log[[#This Row],[Verb]]="pass"),Log[[#This Row],[Pts]],0)</f>
      </c>
    </row>
    <row r="885">
      <c r="A885" s="11">
        <v>46161</v>
      </c>
      <c r="B885" t="s">
        <v>560</v>
      </c>
      <c r="C885" t="s">
        <v>34</v>
      </c>
      <c r="D885">
        <v>44</v>
      </c>
      <c r="F885" s="17">
        <f>IF(Log[[#This Row],[ID]]="","",IF(ISNA(MATCH(Log[[#This Row],[ID]],Items[ID],0)),"unknown ID",IF(ISNA(MATCH(Log[[#This Row],[Verb]],VerbList,0)),"unknown verb",IF(Log[[#This Row],[Date]]="","no date",""))))</f>
      </c>
      <c r="G885" s="17">
        <f>IF(Log[[#This Row],[ID]]="","",IFERROR(VLOOKUP(Log[[#This Row],[Verb]],Verbs,3,FALSE)&amp;"",""))</f>
      </c>
      <c r="H885" s="17">
        <f>IF(Log[[#This Row],[Date]]="","",INT((Log[[#This Row],[Date]]-Sprint1)/SprintDays)+1)</f>
      </c>
      <c r="I885" s="17">
        <f>IF(OR(Log[[#This Row],[Verb]]="commit",Log[[#This Row],[Verb]]="carry",Log[[#This Row],[Verb]]="redo"),IF(Log[[#This Row],[Arg]]="",Log[[#This Row],[Sprint]],N(Log[[#This Row],[Arg]])),"")</f>
      </c>
      <c r="J885" s="17">
        <f>IF(Log[[#This Row],[Verb]]="block",1,IF(OR(Log[[#This Row],[Verb]]="unblock",Log[[#This Row],[Verb]]="done",Log[[#This Row],[Verb]]="drop",Log[[#This Row],[Verb]]="punt",Log[[#This Row],[Verb]]="pass"),0,""))</f>
      </c>
      <c r="K885" s="17">
        <f>IF(Log[[#This Row],[ID]]="",0,IFERROR(INDEX(Items[Pts],MATCH(Log[[#This Row],[ID]],Items[ID],0))*1,0))</f>
      </c>
      <c r="L885" s="17">
        <f>IF(Log[[#This Row],[ID]]="","",IFERROR(INDEX(Items[Cur team],MATCH(Log[[#This Row],[ID]],Items[ID],0))&amp;"",""))</f>
      </c>
      <c r="M885" s="17">
        <f>IF(OR(Log[[#This Row],[Verb]]="done",Log[[#This Row],[Verb]]="punt",Log[[#This Row],[Verb]]="drop",Log[[#This Row],[Verb]]="pass"),Log[[#This Row],[Pts]],0)</f>
      </c>
    </row>
    <row r="886">
      <c r="A886" s="11">
        <v>46161</v>
      </c>
      <c r="B886" t="s">
        <v>561</v>
      </c>
      <c r="C886" t="s">
        <v>34</v>
      </c>
      <c r="D886">
        <v>44</v>
      </c>
      <c r="F886" s="17">
        <f>IF(Log[[#This Row],[ID]]="","",IF(ISNA(MATCH(Log[[#This Row],[ID]],Items[ID],0)),"unknown ID",IF(ISNA(MATCH(Log[[#This Row],[Verb]],VerbList,0)),"unknown verb",IF(Log[[#This Row],[Date]]="","no date",""))))</f>
      </c>
      <c r="G886" s="17">
        <f>IF(Log[[#This Row],[ID]]="","",IFERROR(VLOOKUP(Log[[#This Row],[Verb]],Verbs,3,FALSE)&amp;"",""))</f>
      </c>
      <c r="H886" s="17">
        <f>IF(Log[[#This Row],[Date]]="","",INT((Log[[#This Row],[Date]]-Sprint1)/SprintDays)+1)</f>
      </c>
      <c r="I886" s="17">
        <f>IF(OR(Log[[#This Row],[Verb]]="commit",Log[[#This Row],[Verb]]="carry",Log[[#This Row],[Verb]]="redo"),IF(Log[[#This Row],[Arg]]="",Log[[#This Row],[Sprint]],N(Log[[#This Row],[Arg]])),"")</f>
      </c>
      <c r="J886" s="17">
        <f>IF(Log[[#This Row],[Verb]]="block",1,IF(OR(Log[[#This Row],[Verb]]="unblock",Log[[#This Row],[Verb]]="done",Log[[#This Row],[Verb]]="drop",Log[[#This Row],[Verb]]="punt",Log[[#This Row],[Verb]]="pass"),0,""))</f>
      </c>
      <c r="K886" s="17">
        <f>IF(Log[[#This Row],[ID]]="",0,IFERROR(INDEX(Items[Pts],MATCH(Log[[#This Row],[ID]],Items[ID],0))*1,0))</f>
      </c>
      <c r="L886" s="17">
        <f>IF(Log[[#This Row],[ID]]="","",IFERROR(INDEX(Items[Cur team],MATCH(Log[[#This Row],[ID]],Items[ID],0))&amp;"",""))</f>
      </c>
      <c r="M886" s="17">
        <f>IF(OR(Log[[#This Row],[Verb]]="done",Log[[#This Row],[Verb]]="punt",Log[[#This Row],[Verb]]="drop",Log[[#This Row],[Verb]]="pass"),Log[[#This Row],[Pts]],0)</f>
      </c>
    </row>
    <row r="887">
      <c r="A887" s="11">
        <v>46161</v>
      </c>
      <c r="B887" t="s">
        <v>562</v>
      </c>
      <c r="C887" t="s">
        <v>34</v>
      </c>
      <c r="D887">
        <v>44</v>
      </c>
      <c r="F887" s="17">
        <f>IF(Log[[#This Row],[ID]]="","",IF(ISNA(MATCH(Log[[#This Row],[ID]],Items[ID],0)),"unknown ID",IF(ISNA(MATCH(Log[[#This Row],[Verb]],VerbList,0)),"unknown verb",IF(Log[[#This Row],[Date]]="","no date",""))))</f>
      </c>
      <c r="G887" s="17">
        <f>IF(Log[[#This Row],[ID]]="","",IFERROR(VLOOKUP(Log[[#This Row],[Verb]],Verbs,3,FALSE)&amp;"",""))</f>
      </c>
      <c r="H887" s="17">
        <f>IF(Log[[#This Row],[Date]]="","",INT((Log[[#This Row],[Date]]-Sprint1)/SprintDays)+1)</f>
      </c>
      <c r="I887" s="17">
        <f>IF(OR(Log[[#This Row],[Verb]]="commit",Log[[#This Row],[Verb]]="carry",Log[[#This Row],[Verb]]="redo"),IF(Log[[#This Row],[Arg]]="",Log[[#This Row],[Sprint]],N(Log[[#This Row],[Arg]])),"")</f>
      </c>
      <c r="J887" s="17">
        <f>IF(Log[[#This Row],[Verb]]="block",1,IF(OR(Log[[#This Row],[Verb]]="unblock",Log[[#This Row],[Verb]]="done",Log[[#This Row],[Verb]]="drop",Log[[#This Row],[Verb]]="punt",Log[[#This Row],[Verb]]="pass"),0,""))</f>
      </c>
      <c r="K887" s="17">
        <f>IF(Log[[#This Row],[ID]]="",0,IFERROR(INDEX(Items[Pts],MATCH(Log[[#This Row],[ID]],Items[ID],0))*1,0))</f>
      </c>
      <c r="L887" s="17">
        <f>IF(Log[[#This Row],[ID]]="","",IFERROR(INDEX(Items[Cur team],MATCH(Log[[#This Row],[ID]],Items[ID],0))&amp;"",""))</f>
      </c>
      <c r="M887" s="17">
        <f>IF(OR(Log[[#This Row],[Verb]]="done",Log[[#This Row],[Verb]]="punt",Log[[#This Row],[Verb]]="drop",Log[[#This Row],[Verb]]="pass"),Log[[#This Row],[Pts]],0)</f>
      </c>
    </row>
    <row r="888">
      <c r="A888" s="11">
        <v>46161</v>
      </c>
      <c r="B888" t="s">
        <v>563</v>
      </c>
      <c r="C888" t="s">
        <v>34</v>
      </c>
      <c r="D888">
        <v>44</v>
      </c>
      <c r="F888" s="17">
        <f>IF(Log[[#This Row],[ID]]="","",IF(ISNA(MATCH(Log[[#This Row],[ID]],Items[ID],0)),"unknown ID",IF(ISNA(MATCH(Log[[#This Row],[Verb]],VerbList,0)),"unknown verb",IF(Log[[#This Row],[Date]]="","no date",""))))</f>
      </c>
      <c r="G888" s="17">
        <f>IF(Log[[#This Row],[ID]]="","",IFERROR(VLOOKUP(Log[[#This Row],[Verb]],Verbs,3,FALSE)&amp;"",""))</f>
      </c>
      <c r="H888" s="17">
        <f>IF(Log[[#This Row],[Date]]="","",INT((Log[[#This Row],[Date]]-Sprint1)/SprintDays)+1)</f>
      </c>
      <c r="I888" s="17">
        <f>IF(OR(Log[[#This Row],[Verb]]="commit",Log[[#This Row],[Verb]]="carry",Log[[#This Row],[Verb]]="redo"),IF(Log[[#This Row],[Arg]]="",Log[[#This Row],[Sprint]],N(Log[[#This Row],[Arg]])),"")</f>
      </c>
      <c r="J888" s="17">
        <f>IF(Log[[#This Row],[Verb]]="block",1,IF(OR(Log[[#This Row],[Verb]]="unblock",Log[[#This Row],[Verb]]="done",Log[[#This Row],[Verb]]="drop",Log[[#This Row],[Verb]]="punt",Log[[#This Row],[Verb]]="pass"),0,""))</f>
      </c>
      <c r="K888" s="17">
        <f>IF(Log[[#This Row],[ID]]="",0,IFERROR(INDEX(Items[Pts],MATCH(Log[[#This Row],[ID]],Items[ID],0))*1,0))</f>
      </c>
      <c r="L888" s="17">
        <f>IF(Log[[#This Row],[ID]]="","",IFERROR(INDEX(Items[Cur team],MATCH(Log[[#This Row],[ID]],Items[ID],0))&amp;"",""))</f>
      </c>
      <c r="M888" s="17">
        <f>IF(OR(Log[[#This Row],[Verb]]="done",Log[[#This Row],[Verb]]="punt",Log[[#This Row],[Verb]]="drop",Log[[#This Row],[Verb]]="pass"),Log[[#This Row],[Pts]],0)</f>
      </c>
    </row>
    <row r="889">
      <c r="A889" s="11">
        <v>46161</v>
      </c>
      <c r="B889" t="s">
        <v>564</v>
      </c>
      <c r="C889" t="s">
        <v>34</v>
      </c>
      <c r="D889">
        <v>44</v>
      </c>
      <c r="F889" s="17">
        <f>IF(Log[[#This Row],[ID]]="","",IF(ISNA(MATCH(Log[[#This Row],[ID]],Items[ID],0)),"unknown ID",IF(ISNA(MATCH(Log[[#This Row],[Verb]],VerbList,0)),"unknown verb",IF(Log[[#This Row],[Date]]="","no date",""))))</f>
      </c>
      <c r="G889" s="17">
        <f>IF(Log[[#This Row],[ID]]="","",IFERROR(VLOOKUP(Log[[#This Row],[Verb]],Verbs,3,FALSE)&amp;"",""))</f>
      </c>
      <c r="H889" s="17">
        <f>IF(Log[[#This Row],[Date]]="","",INT((Log[[#This Row],[Date]]-Sprint1)/SprintDays)+1)</f>
      </c>
      <c r="I889" s="17">
        <f>IF(OR(Log[[#This Row],[Verb]]="commit",Log[[#This Row],[Verb]]="carry",Log[[#This Row],[Verb]]="redo"),IF(Log[[#This Row],[Arg]]="",Log[[#This Row],[Sprint]],N(Log[[#This Row],[Arg]])),"")</f>
      </c>
      <c r="J889" s="17">
        <f>IF(Log[[#This Row],[Verb]]="block",1,IF(OR(Log[[#This Row],[Verb]]="unblock",Log[[#This Row],[Verb]]="done",Log[[#This Row],[Verb]]="drop",Log[[#This Row],[Verb]]="punt",Log[[#This Row],[Verb]]="pass"),0,""))</f>
      </c>
      <c r="K889" s="17">
        <f>IF(Log[[#This Row],[ID]]="",0,IFERROR(INDEX(Items[Pts],MATCH(Log[[#This Row],[ID]],Items[ID],0))*1,0))</f>
      </c>
      <c r="L889" s="17">
        <f>IF(Log[[#This Row],[ID]]="","",IFERROR(INDEX(Items[Cur team],MATCH(Log[[#This Row],[ID]],Items[ID],0))&amp;"",""))</f>
      </c>
      <c r="M889" s="17">
        <f>IF(OR(Log[[#This Row],[Verb]]="done",Log[[#This Row],[Verb]]="punt",Log[[#This Row],[Verb]]="drop",Log[[#This Row],[Verb]]="pass"),Log[[#This Row],[Pts]],0)</f>
      </c>
    </row>
    <row r="890">
      <c r="A890" s="11">
        <v>46161</v>
      </c>
      <c r="B890" t="s">
        <v>565</v>
      </c>
      <c r="C890" t="s">
        <v>34</v>
      </c>
      <c r="D890">
        <v>44</v>
      </c>
      <c r="F890" s="17">
        <f>IF(Log[[#This Row],[ID]]="","",IF(ISNA(MATCH(Log[[#This Row],[ID]],Items[ID],0)),"unknown ID",IF(ISNA(MATCH(Log[[#This Row],[Verb]],VerbList,0)),"unknown verb",IF(Log[[#This Row],[Date]]="","no date",""))))</f>
      </c>
      <c r="G890" s="17">
        <f>IF(Log[[#This Row],[ID]]="","",IFERROR(VLOOKUP(Log[[#This Row],[Verb]],Verbs,3,FALSE)&amp;"",""))</f>
      </c>
      <c r="H890" s="17">
        <f>IF(Log[[#This Row],[Date]]="","",INT((Log[[#This Row],[Date]]-Sprint1)/SprintDays)+1)</f>
      </c>
      <c r="I890" s="17">
        <f>IF(OR(Log[[#This Row],[Verb]]="commit",Log[[#This Row],[Verb]]="carry",Log[[#This Row],[Verb]]="redo"),IF(Log[[#This Row],[Arg]]="",Log[[#This Row],[Sprint]],N(Log[[#This Row],[Arg]])),"")</f>
      </c>
      <c r="J890" s="17">
        <f>IF(Log[[#This Row],[Verb]]="block",1,IF(OR(Log[[#This Row],[Verb]]="unblock",Log[[#This Row],[Verb]]="done",Log[[#This Row],[Verb]]="drop",Log[[#This Row],[Verb]]="punt",Log[[#This Row],[Verb]]="pass"),0,""))</f>
      </c>
      <c r="K890" s="17">
        <f>IF(Log[[#This Row],[ID]]="",0,IFERROR(INDEX(Items[Pts],MATCH(Log[[#This Row],[ID]],Items[ID],0))*1,0))</f>
      </c>
      <c r="L890" s="17">
        <f>IF(Log[[#This Row],[ID]]="","",IFERROR(INDEX(Items[Cur team],MATCH(Log[[#This Row],[ID]],Items[ID],0))&amp;"",""))</f>
      </c>
      <c r="M890" s="17">
        <f>IF(OR(Log[[#This Row],[Verb]]="done",Log[[#This Row],[Verb]]="punt",Log[[#This Row],[Verb]]="drop",Log[[#This Row],[Verb]]="pass"),Log[[#This Row],[Pts]],0)</f>
      </c>
    </row>
    <row r="891">
      <c r="A891" s="11">
        <v>46161</v>
      </c>
      <c r="B891" t="s">
        <v>566</v>
      </c>
      <c r="C891" t="s">
        <v>34</v>
      </c>
      <c r="D891">
        <v>44</v>
      </c>
      <c r="F891" s="17">
        <f>IF(Log[[#This Row],[ID]]="","",IF(ISNA(MATCH(Log[[#This Row],[ID]],Items[ID],0)),"unknown ID",IF(ISNA(MATCH(Log[[#This Row],[Verb]],VerbList,0)),"unknown verb",IF(Log[[#This Row],[Date]]="","no date",""))))</f>
      </c>
      <c r="G891" s="17">
        <f>IF(Log[[#This Row],[ID]]="","",IFERROR(VLOOKUP(Log[[#This Row],[Verb]],Verbs,3,FALSE)&amp;"",""))</f>
      </c>
      <c r="H891" s="17">
        <f>IF(Log[[#This Row],[Date]]="","",INT((Log[[#This Row],[Date]]-Sprint1)/SprintDays)+1)</f>
      </c>
      <c r="I891" s="17">
        <f>IF(OR(Log[[#This Row],[Verb]]="commit",Log[[#This Row],[Verb]]="carry",Log[[#This Row],[Verb]]="redo"),IF(Log[[#This Row],[Arg]]="",Log[[#This Row],[Sprint]],N(Log[[#This Row],[Arg]])),"")</f>
      </c>
      <c r="J891" s="17">
        <f>IF(Log[[#This Row],[Verb]]="block",1,IF(OR(Log[[#This Row],[Verb]]="unblock",Log[[#This Row],[Verb]]="done",Log[[#This Row],[Verb]]="drop",Log[[#This Row],[Verb]]="punt",Log[[#This Row],[Verb]]="pass"),0,""))</f>
      </c>
      <c r="K891" s="17">
        <f>IF(Log[[#This Row],[ID]]="",0,IFERROR(INDEX(Items[Pts],MATCH(Log[[#This Row],[ID]],Items[ID],0))*1,0))</f>
      </c>
      <c r="L891" s="17">
        <f>IF(Log[[#This Row],[ID]]="","",IFERROR(INDEX(Items[Cur team],MATCH(Log[[#This Row],[ID]],Items[ID],0))&amp;"",""))</f>
      </c>
      <c r="M891" s="17">
        <f>IF(OR(Log[[#This Row],[Verb]]="done",Log[[#This Row],[Verb]]="punt",Log[[#This Row],[Verb]]="drop",Log[[#This Row],[Verb]]="pass"),Log[[#This Row],[Pts]],0)</f>
      </c>
    </row>
    <row r="892">
      <c r="A892" s="11">
        <v>46161</v>
      </c>
      <c r="B892" t="s">
        <v>567</v>
      </c>
      <c r="C892" t="s">
        <v>34</v>
      </c>
      <c r="D892">
        <v>44</v>
      </c>
      <c r="F892" s="17">
        <f>IF(Log[[#This Row],[ID]]="","",IF(ISNA(MATCH(Log[[#This Row],[ID]],Items[ID],0)),"unknown ID",IF(ISNA(MATCH(Log[[#This Row],[Verb]],VerbList,0)),"unknown verb",IF(Log[[#This Row],[Date]]="","no date",""))))</f>
      </c>
      <c r="G892" s="17">
        <f>IF(Log[[#This Row],[ID]]="","",IFERROR(VLOOKUP(Log[[#This Row],[Verb]],Verbs,3,FALSE)&amp;"",""))</f>
      </c>
      <c r="H892" s="17">
        <f>IF(Log[[#This Row],[Date]]="","",INT((Log[[#This Row],[Date]]-Sprint1)/SprintDays)+1)</f>
      </c>
      <c r="I892" s="17">
        <f>IF(OR(Log[[#This Row],[Verb]]="commit",Log[[#This Row],[Verb]]="carry",Log[[#This Row],[Verb]]="redo"),IF(Log[[#This Row],[Arg]]="",Log[[#This Row],[Sprint]],N(Log[[#This Row],[Arg]])),"")</f>
      </c>
      <c r="J892" s="17">
        <f>IF(Log[[#This Row],[Verb]]="block",1,IF(OR(Log[[#This Row],[Verb]]="unblock",Log[[#This Row],[Verb]]="done",Log[[#This Row],[Verb]]="drop",Log[[#This Row],[Verb]]="punt",Log[[#This Row],[Verb]]="pass"),0,""))</f>
      </c>
      <c r="K892" s="17">
        <f>IF(Log[[#This Row],[ID]]="",0,IFERROR(INDEX(Items[Pts],MATCH(Log[[#This Row],[ID]],Items[ID],0))*1,0))</f>
      </c>
      <c r="L892" s="17">
        <f>IF(Log[[#This Row],[ID]]="","",IFERROR(INDEX(Items[Cur team],MATCH(Log[[#This Row],[ID]],Items[ID],0))&amp;"",""))</f>
      </c>
      <c r="M892" s="17">
        <f>IF(OR(Log[[#This Row],[Verb]]="done",Log[[#This Row],[Verb]]="punt",Log[[#This Row],[Verb]]="drop",Log[[#This Row],[Verb]]="pass"),Log[[#This Row],[Pts]],0)</f>
      </c>
    </row>
    <row r="893">
      <c r="A893" s="11">
        <v>46161</v>
      </c>
      <c r="B893" t="s">
        <v>568</v>
      </c>
      <c r="C893" t="s">
        <v>34</v>
      </c>
      <c r="D893">
        <v>44</v>
      </c>
      <c r="F893" s="17">
        <f>IF(Log[[#This Row],[ID]]="","",IF(ISNA(MATCH(Log[[#This Row],[ID]],Items[ID],0)),"unknown ID",IF(ISNA(MATCH(Log[[#This Row],[Verb]],VerbList,0)),"unknown verb",IF(Log[[#This Row],[Date]]="","no date",""))))</f>
      </c>
      <c r="G893" s="17">
        <f>IF(Log[[#This Row],[ID]]="","",IFERROR(VLOOKUP(Log[[#This Row],[Verb]],Verbs,3,FALSE)&amp;"",""))</f>
      </c>
      <c r="H893" s="17">
        <f>IF(Log[[#This Row],[Date]]="","",INT((Log[[#This Row],[Date]]-Sprint1)/SprintDays)+1)</f>
      </c>
      <c r="I893" s="17">
        <f>IF(OR(Log[[#This Row],[Verb]]="commit",Log[[#This Row],[Verb]]="carry",Log[[#This Row],[Verb]]="redo"),IF(Log[[#This Row],[Arg]]="",Log[[#This Row],[Sprint]],N(Log[[#This Row],[Arg]])),"")</f>
      </c>
      <c r="J893" s="17">
        <f>IF(Log[[#This Row],[Verb]]="block",1,IF(OR(Log[[#This Row],[Verb]]="unblock",Log[[#This Row],[Verb]]="done",Log[[#This Row],[Verb]]="drop",Log[[#This Row],[Verb]]="punt",Log[[#This Row],[Verb]]="pass"),0,""))</f>
      </c>
      <c r="K893" s="17">
        <f>IF(Log[[#This Row],[ID]]="",0,IFERROR(INDEX(Items[Pts],MATCH(Log[[#This Row],[ID]],Items[ID],0))*1,0))</f>
      </c>
      <c r="L893" s="17">
        <f>IF(Log[[#This Row],[ID]]="","",IFERROR(INDEX(Items[Cur team],MATCH(Log[[#This Row],[ID]],Items[ID],0))&amp;"",""))</f>
      </c>
      <c r="M893" s="17">
        <f>IF(OR(Log[[#This Row],[Verb]]="done",Log[[#This Row],[Verb]]="punt",Log[[#This Row],[Verb]]="drop",Log[[#This Row],[Verb]]="pass"),Log[[#This Row],[Pts]],0)</f>
      </c>
    </row>
    <row r="894">
      <c r="A894" s="11">
        <v>46161</v>
      </c>
      <c r="B894" t="s">
        <v>569</v>
      </c>
      <c r="C894" t="s">
        <v>34</v>
      </c>
      <c r="D894">
        <v>44</v>
      </c>
      <c r="F894" s="17">
        <f>IF(Log[[#This Row],[ID]]="","",IF(ISNA(MATCH(Log[[#This Row],[ID]],Items[ID],0)),"unknown ID",IF(ISNA(MATCH(Log[[#This Row],[Verb]],VerbList,0)),"unknown verb",IF(Log[[#This Row],[Date]]="","no date",""))))</f>
      </c>
      <c r="G894" s="17">
        <f>IF(Log[[#This Row],[ID]]="","",IFERROR(VLOOKUP(Log[[#This Row],[Verb]],Verbs,3,FALSE)&amp;"",""))</f>
      </c>
      <c r="H894" s="17">
        <f>IF(Log[[#This Row],[Date]]="","",INT((Log[[#This Row],[Date]]-Sprint1)/SprintDays)+1)</f>
      </c>
      <c r="I894" s="17">
        <f>IF(OR(Log[[#This Row],[Verb]]="commit",Log[[#This Row],[Verb]]="carry",Log[[#This Row],[Verb]]="redo"),IF(Log[[#This Row],[Arg]]="",Log[[#This Row],[Sprint]],N(Log[[#This Row],[Arg]])),"")</f>
      </c>
      <c r="J894" s="17">
        <f>IF(Log[[#This Row],[Verb]]="block",1,IF(OR(Log[[#This Row],[Verb]]="unblock",Log[[#This Row],[Verb]]="done",Log[[#This Row],[Verb]]="drop",Log[[#This Row],[Verb]]="punt",Log[[#This Row],[Verb]]="pass"),0,""))</f>
      </c>
      <c r="K894" s="17">
        <f>IF(Log[[#This Row],[ID]]="",0,IFERROR(INDEX(Items[Pts],MATCH(Log[[#This Row],[ID]],Items[ID],0))*1,0))</f>
      </c>
      <c r="L894" s="17">
        <f>IF(Log[[#This Row],[ID]]="","",IFERROR(INDEX(Items[Cur team],MATCH(Log[[#This Row],[ID]],Items[ID],0))&amp;"",""))</f>
      </c>
      <c r="M894" s="17">
        <f>IF(OR(Log[[#This Row],[Verb]]="done",Log[[#This Row],[Verb]]="punt",Log[[#This Row],[Verb]]="drop",Log[[#This Row],[Verb]]="pass"),Log[[#This Row],[Pts]],0)</f>
      </c>
    </row>
    <row r="895">
      <c r="A895" s="11">
        <v>46161</v>
      </c>
      <c r="B895" t="s">
        <v>570</v>
      </c>
      <c r="C895" t="s">
        <v>34</v>
      </c>
      <c r="D895">
        <v>44</v>
      </c>
      <c r="F895" s="17">
        <f>IF(Log[[#This Row],[ID]]="","",IF(ISNA(MATCH(Log[[#This Row],[ID]],Items[ID],0)),"unknown ID",IF(ISNA(MATCH(Log[[#This Row],[Verb]],VerbList,0)),"unknown verb",IF(Log[[#This Row],[Date]]="","no date",""))))</f>
      </c>
      <c r="G895" s="17">
        <f>IF(Log[[#This Row],[ID]]="","",IFERROR(VLOOKUP(Log[[#This Row],[Verb]],Verbs,3,FALSE)&amp;"",""))</f>
      </c>
      <c r="H895" s="17">
        <f>IF(Log[[#This Row],[Date]]="","",INT((Log[[#This Row],[Date]]-Sprint1)/SprintDays)+1)</f>
      </c>
      <c r="I895" s="17">
        <f>IF(OR(Log[[#This Row],[Verb]]="commit",Log[[#This Row],[Verb]]="carry",Log[[#This Row],[Verb]]="redo"),IF(Log[[#This Row],[Arg]]="",Log[[#This Row],[Sprint]],N(Log[[#This Row],[Arg]])),"")</f>
      </c>
      <c r="J895" s="17">
        <f>IF(Log[[#This Row],[Verb]]="block",1,IF(OR(Log[[#This Row],[Verb]]="unblock",Log[[#This Row],[Verb]]="done",Log[[#This Row],[Verb]]="drop",Log[[#This Row],[Verb]]="punt",Log[[#This Row],[Verb]]="pass"),0,""))</f>
      </c>
      <c r="K895" s="17">
        <f>IF(Log[[#This Row],[ID]]="",0,IFERROR(INDEX(Items[Pts],MATCH(Log[[#This Row],[ID]],Items[ID],0))*1,0))</f>
      </c>
      <c r="L895" s="17">
        <f>IF(Log[[#This Row],[ID]]="","",IFERROR(INDEX(Items[Cur team],MATCH(Log[[#This Row],[ID]],Items[ID],0))&amp;"",""))</f>
      </c>
      <c r="M895" s="17">
        <f>IF(OR(Log[[#This Row],[Verb]]="done",Log[[#This Row],[Verb]]="punt",Log[[#This Row],[Verb]]="drop",Log[[#This Row],[Verb]]="pass"),Log[[#This Row],[Pts]],0)</f>
      </c>
    </row>
    <row r="896">
      <c r="A896" s="11">
        <v>46161</v>
      </c>
      <c r="B896" t="s">
        <v>571</v>
      </c>
      <c r="C896" t="s">
        <v>34</v>
      </c>
      <c r="D896">
        <v>44</v>
      </c>
      <c r="F896" s="17">
        <f>IF(Log[[#This Row],[ID]]="","",IF(ISNA(MATCH(Log[[#This Row],[ID]],Items[ID],0)),"unknown ID",IF(ISNA(MATCH(Log[[#This Row],[Verb]],VerbList,0)),"unknown verb",IF(Log[[#This Row],[Date]]="","no date",""))))</f>
      </c>
      <c r="G896" s="17">
        <f>IF(Log[[#This Row],[ID]]="","",IFERROR(VLOOKUP(Log[[#This Row],[Verb]],Verbs,3,FALSE)&amp;"",""))</f>
      </c>
      <c r="H896" s="17">
        <f>IF(Log[[#This Row],[Date]]="","",INT((Log[[#This Row],[Date]]-Sprint1)/SprintDays)+1)</f>
      </c>
      <c r="I896" s="17">
        <f>IF(OR(Log[[#This Row],[Verb]]="commit",Log[[#This Row],[Verb]]="carry",Log[[#This Row],[Verb]]="redo"),IF(Log[[#This Row],[Arg]]="",Log[[#This Row],[Sprint]],N(Log[[#This Row],[Arg]])),"")</f>
      </c>
      <c r="J896" s="17">
        <f>IF(Log[[#This Row],[Verb]]="block",1,IF(OR(Log[[#This Row],[Verb]]="unblock",Log[[#This Row],[Verb]]="done",Log[[#This Row],[Verb]]="drop",Log[[#This Row],[Verb]]="punt",Log[[#This Row],[Verb]]="pass"),0,""))</f>
      </c>
      <c r="K896" s="17">
        <f>IF(Log[[#This Row],[ID]]="",0,IFERROR(INDEX(Items[Pts],MATCH(Log[[#This Row],[ID]],Items[ID],0))*1,0))</f>
      </c>
      <c r="L896" s="17">
        <f>IF(Log[[#This Row],[ID]]="","",IFERROR(INDEX(Items[Cur team],MATCH(Log[[#This Row],[ID]],Items[ID],0))&amp;"",""))</f>
      </c>
      <c r="M896" s="17">
        <f>IF(OR(Log[[#This Row],[Verb]]="done",Log[[#This Row],[Verb]]="punt",Log[[#This Row],[Verb]]="drop",Log[[#This Row],[Verb]]="pass"),Log[[#This Row],[Pts]],0)</f>
      </c>
    </row>
    <row r="897">
      <c r="A897" s="11">
        <v>46161</v>
      </c>
      <c r="B897" t="s">
        <v>572</v>
      </c>
      <c r="C897" t="s">
        <v>34</v>
      </c>
      <c r="D897">
        <v>44</v>
      </c>
      <c r="F897" s="17">
        <f>IF(Log[[#This Row],[ID]]="","",IF(ISNA(MATCH(Log[[#This Row],[ID]],Items[ID],0)),"unknown ID",IF(ISNA(MATCH(Log[[#This Row],[Verb]],VerbList,0)),"unknown verb",IF(Log[[#This Row],[Date]]="","no date",""))))</f>
      </c>
      <c r="G897" s="17">
        <f>IF(Log[[#This Row],[ID]]="","",IFERROR(VLOOKUP(Log[[#This Row],[Verb]],Verbs,3,FALSE)&amp;"",""))</f>
      </c>
      <c r="H897" s="17">
        <f>IF(Log[[#This Row],[Date]]="","",INT((Log[[#This Row],[Date]]-Sprint1)/SprintDays)+1)</f>
      </c>
      <c r="I897" s="17">
        <f>IF(OR(Log[[#This Row],[Verb]]="commit",Log[[#This Row],[Verb]]="carry",Log[[#This Row],[Verb]]="redo"),IF(Log[[#This Row],[Arg]]="",Log[[#This Row],[Sprint]],N(Log[[#This Row],[Arg]])),"")</f>
      </c>
      <c r="J897" s="17">
        <f>IF(Log[[#This Row],[Verb]]="block",1,IF(OR(Log[[#This Row],[Verb]]="unblock",Log[[#This Row],[Verb]]="done",Log[[#This Row],[Verb]]="drop",Log[[#This Row],[Verb]]="punt",Log[[#This Row],[Verb]]="pass"),0,""))</f>
      </c>
      <c r="K897" s="17">
        <f>IF(Log[[#This Row],[ID]]="",0,IFERROR(INDEX(Items[Pts],MATCH(Log[[#This Row],[ID]],Items[ID],0))*1,0))</f>
      </c>
      <c r="L897" s="17">
        <f>IF(Log[[#This Row],[ID]]="","",IFERROR(INDEX(Items[Cur team],MATCH(Log[[#This Row],[ID]],Items[ID],0))&amp;"",""))</f>
      </c>
      <c r="M897" s="17">
        <f>IF(OR(Log[[#This Row],[Verb]]="done",Log[[#This Row],[Verb]]="punt",Log[[#This Row],[Verb]]="drop",Log[[#This Row],[Verb]]="pass"),Log[[#This Row],[Pts]],0)</f>
      </c>
    </row>
    <row r="898">
      <c r="A898" s="11">
        <v>46161</v>
      </c>
      <c r="B898" t="s">
        <v>573</v>
      </c>
      <c r="C898" t="s">
        <v>34</v>
      </c>
      <c r="D898">
        <v>44</v>
      </c>
      <c r="F898" s="17">
        <f>IF(Log[[#This Row],[ID]]="","",IF(ISNA(MATCH(Log[[#This Row],[ID]],Items[ID],0)),"unknown ID",IF(ISNA(MATCH(Log[[#This Row],[Verb]],VerbList,0)),"unknown verb",IF(Log[[#This Row],[Date]]="","no date",""))))</f>
      </c>
      <c r="G898" s="17">
        <f>IF(Log[[#This Row],[ID]]="","",IFERROR(VLOOKUP(Log[[#This Row],[Verb]],Verbs,3,FALSE)&amp;"",""))</f>
      </c>
      <c r="H898" s="17">
        <f>IF(Log[[#This Row],[Date]]="","",INT((Log[[#This Row],[Date]]-Sprint1)/SprintDays)+1)</f>
      </c>
      <c r="I898" s="17">
        <f>IF(OR(Log[[#This Row],[Verb]]="commit",Log[[#This Row],[Verb]]="carry",Log[[#This Row],[Verb]]="redo"),IF(Log[[#This Row],[Arg]]="",Log[[#This Row],[Sprint]],N(Log[[#This Row],[Arg]])),"")</f>
      </c>
      <c r="J898" s="17">
        <f>IF(Log[[#This Row],[Verb]]="block",1,IF(OR(Log[[#This Row],[Verb]]="unblock",Log[[#This Row],[Verb]]="done",Log[[#This Row],[Verb]]="drop",Log[[#This Row],[Verb]]="punt",Log[[#This Row],[Verb]]="pass"),0,""))</f>
      </c>
      <c r="K898" s="17">
        <f>IF(Log[[#This Row],[ID]]="",0,IFERROR(INDEX(Items[Pts],MATCH(Log[[#This Row],[ID]],Items[ID],0))*1,0))</f>
      </c>
      <c r="L898" s="17">
        <f>IF(Log[[#This Row],[ID]]="","",IFERROR(INDEX(Items[Cur team],MATCH(Log[[#This Row],[ID]],Items[ID],0))&amp;"",""))</f>
      </c>
      <c r="M898" s="17">
        <f>IF(OR(Log[[#This Row],[Verb]]="done",Log[[#This Row],[Verb]]="punt",Log[[#This Row],[Verb]]="drop",Log[[#This Row],[Verb]]="pass"),Log[[#This Row],[Pts]],0)</f>
      </c>
    </row>
    <row r="899">
      <c r="A899" s="11">
        <v>46161</v>
      </c>
      <c r="B899" t="s">
        <v>574</v>
      </c>
      <c r="C899" t="s">
        <v>34</v>
      </c>
      <c r="D899">
        <v>44</v>
      </c>
      <c r="F899" s="17">
        <f>IF(Log[[#This Row],[ID]]="","",IF(ISNA(MATCH(Log[[#This Row],[ID]],Items[ID],0)),"unknown ID",IF(ISNA(MATCH(Log[[#This Row],[Verb]],VerbList,0)),"unknown verb",IF(Log[[#This Row],[Date]]="","no date",""))))</f>
      </c>
      <c r="G899" s="17">
        <f>IF(Log[[#This Row],[ID]]="","",IFERROR(VLOOKUP(Log[[#This Row],[Verb]],Verbs,3,FALSE)&amp;"",""))</f>
      </c>
      <c r="H899" s="17">
        <f>IF(Log[[#This Row],[Date]]="","",INT((Log[[#This Row],[Date]]-Sprint1)/SprintDays)+1)</f>
      </c>
      <c r="I899" s="17">
        <f>IF(OR(Log[[#This Row],[Verb]]="commit",Log[[#This Row],[Verb]]="carry",Log[[#This Row],[Verb]]="redo"),IF(Log[[#This Row],[Arg]]="",Log[[#This Row],[Sprint]],N(Log[[#This Row],[Arg]])),"")</f>
      </c>
      <c r="J899" s="17">
        <f>IF(Log[[#This Row],[Verb]]="block",1,IF(OR(Log[[#This Row],[Verb]]="unblock",Log[[#This Row],[Verb]]="done",Log[[#This Row],[Verb]]="drop",Log[[#This Row],[Verb]]="punt",Log[[#This Row],[Verb]]="pass"),0,""))</f>
      </c>
      <c r="K899" s="17">
        <f>IF(Log[[#This Row],[ID]]="",0,IFERROR(INDEX(Items[Pts],MATCH(Log[[#This Row],[ID]],Items[ID],0))*1,0))</f>
      </c>
      <c r="L899" s="17">
        <f>IF(Log[[#This Row],[ID]]="","",IFERROR(INDEX(Items[Cur team],MATCH(Log[[#This Row],[ID]],Items[ID],0))&amp;"",""))</f>
      </c>
      <c r="M899" s="17">
        <f>IF(OR(Log[[#This Row],[Verb]]="done",Log[[#This Row],[Verb]]="punt",Log[[#This Row],[Verb]]="drop",Log[[#This Row],[Verb]]="pass"),Log[[#This Row],[Pts]],0)</f>
      </c>
    </row>
    <row r="900">
      <c r="A900" s="11">
        <v>46161</v>
      </c>
      <c r="B900" t="s">
        <v>575</v>
      </c>
      <c r="C900" t="s">
        <v>34</v>
      </c>
      <c r="D900">
        <v>44</v>
      </c>
      <c r="F900" s="17">
        <f>IF(Log[[#This Row],[ID]]="","",IF(ISNA(MATCH(Log[[#This Row],[ID]],Items[ID],0)),"unknown ID",IF(ISNA(MATCH(Log[[#This Row],[Verb]],VerbList,0)),"unknown verb",IF(Log[[#This Row],[Date]]="","no date",""))))</f>
      </c>
      <c r="G900" s="17">
        <f>IF(Log[[#This Row],[ID]]="","",IFERROR(VLOOKUP(Log[[#This Row],[Verb]],Verbs,3,FALSE)&amp;"",""))</f>
      </c>
      <c r="H900" s="17">
        <f>IF(Log[[#This Row],[Date]]="","",INT((Log[[#This Row],[Date]]-Sprint1)/SprintDays)+1)</f>
      </c>
      <c r="I900" s="17">
        <f>IF(OR(Log[[#This Row],[Verb]]="commit",Log[[#This Row],[Verb]]="carry",Log[[#This Row],[Verb]]="redo"),IF(Log[[#This Row],[Arg]]="",Log[[#This Row],[Sprint]],N(Log[[#This Row],[Arg]])),"")</f>
      </c>
      <c r="J900" s="17">
        <f>IF(Log[[#This Row],[Verb]]="block",1,IF(OR(Log[[#This Row],[Verb]]="unblock",Log[[#This Row],[Verb]]="done",Log[[#This Row],[Verb]]="drop",Log[[#This Row],[Verb]]="punt",Log[[#This Row],[Verb]]="pass"),0,""))</f>
      </c>
      <c r="K900" s="17">
        <f>IF(Log[[#This Row],[ID]]="",0,IFERROR(INDEX(Items[Pts],MATCH(Log[[#This Row],[ID]],Items[ID],0))*1,0))</f>
      </c>
      <c r="L900" s="17">
        <f>IF(Log[[#This Row],[ID]]="","",IFERROR(INDEX(Items[Cur team],MATCH(Log[[#This Row],[ID]],Items[ID],0))&amp;"",""))</f>
      </c>
      <c r="M900" s="17">
        <f>IF(OR(Log[[#This Row],[Verb]]="done",Log[[#This Row],[Verb]]="punt",Log[[#This Row],[Verb]]="drop",Log[[#This Row],[Verb]]="pass"),Log[[#This Row],[Pts]],0)</f>
      </c>
    </row>
    <row r="901">
      <c r="A901" s="11">
        <v>46161</v>
      </c>
      <c r="B901" t="s">
        <v>576</v>
      </c>
      <c r="C901" t="s">
        <v>34</v>
      </c>
      <c r="D901">
        <v>44</v>
      </c>
      <c r="F901" s="17">
        <f>IF(Log[[#This Row],[ID]]="","",IF(ISNA(MATCH(Log[[#This Row],[ID]],Items[ID],0)),"unknown ID",IF(ISNA(MATCH(Log[[#This Row],[Verb]],VerbList,0)),"unknown verb",IF(Log[[#This Row],[Date]]="","no date",""))))</f>
      </c>
      <c r="G901" s="17">
        <f>IF(Log[[#This Row],[ID]]="","",IFERROR(VLOOKUP(Log[[#This Row],[Verb]],Verbs,3,FALSE)&amp;"",""))</f>
      </c>
      <c r="H901" s="17">
        <f>IF(Log[[#This Row],[Date]]="","",INT((Log[[#This Row],[Date]]-Sprint1)/SprintDays)+1)</f>
      </c>
      <c r="I901" s="17">
        <f>IF(OR(Log[[#This Row],[Verb]]="commit",Log[[#This Row],[Verb]]="carry",Log[[#This Row],[Verb]]="redo"),IF(Log[[#This Row],[Arg]]="",Log[[#This Row],[Sprint]],N(Log[[#This Row],[Arg]])),"")</f>
      </c>
      <c r="J901" s="17">
        <f>IF(Log[[#This Row],[Verb]]="block",1,IF(OR(Log[[#This Row],[Verb]]="unblock",Log[[#This Row],[Verb]]="done",Log[[#This Row],[Verb]]="drop",Log[[#This Row],[Verb]]="punt",Log[[#This Row],[Verb]]="pass"),0,""))</f>
      </c>
      <c r="K901" s="17">
        <f>IF(Log[[#This Row],[ID]]="",0,IFERROR(INDEX(Items[Pts],MATCH(Log[[#This Row],[ID]],Items[ID],0))*1,0))</f>
      </c>
      <c r="L901" s="17">
        <f>IF(Log[[#This Row],[ID]]="","",IFERROR(INDEX(Items[Cur team],MATCH(Log[[#This Row],[ID]],Items[ID],0))&amp;"",""))</f>
      </c>
      <c r="M901" s="17">
        <f>IF(OR(Log[[#This Row],[Verb]]="done",Log[[#This Row],[Verb]]="punt",Log[[#This Row],[Verb]]="drop",Log[[#This Row],[Verb]]="pass"),Log[[#This Row],[Pts]],0)</f>
      </c>
    </row>
    <row r="902">
      <c r="A902" s="11">
        <v>46161</v>
      </c>
      <c r="B902" t="s">
        <v>577</v>
      </c>
      <c r="C902" t="s">
        <v>34</v>
      </c>
      <c r="D902">
        <v>44</v>
      </c>
      <c r="F902" s="17">
        <f>IF(Log[[#This Row],[ID]]="","",IF(ISNA(MATCH(Log[[#This Row],[ID]],Items[ID],0)),"unknown ID",IF(ISNA(MATCH(Log[[#This Row],[Verb]],VerbList,0)),"unknown verb",IF(Log[[#This Row],[Date]]="","no date",""))))</f>
      </c>
      <c r="G902" s="17">
        <f>IF(Log[[#This Row],[ID]]="","",IFERROR(VLOOKUP(Log[[#This Row],[Verb]],Verbs,3,FALSE)&amp;"",""))</f>
      </c>
      <c r="H902" s="17">
        <f>IF(Log[[#This Row],[Date]]="","",INT((Log[[#This Row],[Date]]-Sprint1)/SprintDays)+1)</f>
      </c>
      <c r="I902" s="17">
        <f>IF(OR(Log[[#This Row],[Verb]]="commit",Log[[#This Row],[Verb]]="carry",Log[[#This Row],[Verb]]="redo"),IF(Log[[#This Row],[Arg]]="",Log[[#This Row],[Sprint]],N(Log[[#This Row],[Arg]])),"")</f>
      </c>
      <c r="J902" s="17">
        <f>IF(Log[[#This Row],[Verb]]="block",1,IF(OR(Log[[#This Row],[Verb]]="unblock",Log[[#This Row],[Verb]]="done",Log[[#This Row],[Verb]]="drop",Log[[#This Row],[Verb]]="punt",Log[[#This Row],[Verb]]="pass"),0,""))</f>
      </c>
      <c r="K902" s="17">
        <f>IF(Log[[#This Row],[ID]]="",0,IFERROR(INDEX(Items[Pts],MATCH(Log[[#This Row],[ID]],Items[ID],0))*1,0))</f>
      </c>
      <c r="L902" s="17">
        <f>IF(Log[[#This Row],[ID]]="","",IFERROR(INDEX(Items[Cur team],MATCH(Log[[#This Row],[ID]],Items[ID],0))&amp;"",""))</f>
      </c>
      <c r="M902" s="17">
        <f>IF(OR(Log[[#This Row],[Verb]]="done",Log[[#This Row],[Verb]]="punt",Log[[#This Row],[Verb]]="drop",Log[[#This Row],[Verb]]="pass"),Log[[#This Row],[Pts]],0)</f>
      </c>
    </row>
    <row r="903">
      <c r="A903" s="11">
        <v>46161</v>
      </c>
      <c r="B903" t="s">
        <v>578</v>
      </c>
      <c r="C903" t="s">
        <v>34</v>
      </c>
      <c r="D903">
        <v>44</v>
      </c>
      <c r="F903" s="17">
        <f>IF(Log[[#This Row],[ID]]="","",IF(ISNA(MATCH(Log[[#This Row],[ID]],Items[ID],0)),"unknown ID",IF(ISNA(MATCH(Log[[#This Row],[Verb]],VerbList,0)),"unknown verb",IF(Log[[#This Row],[Date]]="","no date",""))))</f>
      </c>
      <c r="G903" s="17">
        <f>IF(Log[[#This Row],[ID]]="","",IFERROR(VLOOKUP(Log[[#This Row],[Verb]],Verbs,3,FALSE)&amp;"",""))</f>
      </c>
      <c r="H903" s="17">
        <f>IF(Log[[#This Row],[Date]]="","",INT((Log[[#This Row],[Date]]-Sprint1)/SprintDays)+1)</f>
      </c>
      <c r="I903" s="17">
        <f>IF(OR(Log[[#This Row],[Verb]]="commit",Log[[#This Row],[Verb]]="carry",Log[[#This Row],[Verb]]="redo"),IF(Log[[#This Row],[Arg]]="",Log[[#This Row],[Sprint]],N(Log[[#This Row],[Arg]])),"")</f>
      </c>
      <c r="J903" s="17">
        <f>IF(Log[[#This Row],[Verb]]="block",1,IF(OR(Log[[#This Row],[Verb]]="unblock",Log[[#This Row],[Verb]]="done",Log[[#This Row],[Verb]]="drop",Log[[#This Row],[Verb]]="punt",Log[[#This Row],[Verb]]="pass"),0,""))</f>
      </c>
      <c r="K903" s="17">
        <f>IF(Log[[#This Row],[ID]]="",0,IFERROR(INDEX(Items[Pts],MATCH(Log[[#This Row],[ID]],Items[ID],0))*1,0))</f>
      </c>
      <c r="L903" s="17">
        <f>IF(Log[[#This Row],[ID]]="","",IFERROR(INDEX(Items[Cur team],MATCH(Log[[#This Row],[ID]],Items[ID],0))&amp;"",""))</f>
      </c>
      <c r="M903" s="17">
        <f>IF(OR(Log[[#This Row],[Verb]]="done",Log[[#This Row],[Verb]]="punt",Log[[#This Row],[Verb]]="drop",Log[[#This Row],[Verb]]="pass"),Log[[#This Row],[Pts]],0)</f>
      </c>
    </row>
    <row r="904">
      <c r="A904" s="11">
        <v>46161</v>
      </c>
      <c r="B904" t="s">
        <v>579</v>
      </c>
      <c r="C904" t="s">
        <v>34</v>
      </c>
      <c r="D904">
        <v>44</v>
      </c>
      <c r="F904" s="17">
        <f>IF(Log[[#This Row],[ID]]="","",IF(ISNA(MATCH(Log[[#This Row],[ID]],Items[ID],0)),"unknown ID",IF(ISNA(MATCH(Log[[#This Row],[Verb]],VerbList,0)),"unknown verb",IF(Log[[#This Row],[Date]]="","no date",""))))</f>
      </c>
      <c r="G904" s="17">
        <f>IF(Log[[#This Row],[ID]]="","",IFERROR(VLOOKUP(Log[[#This Row],[Verb]],Verbs,3,FALSE)&amp;"",""))</f>
      </c>
      <c r="H904" s="17">
        <f>IF(Log[[#This Row],[Date]]="","",INT((Log[[#This Row],[Date]]-Sprint1)/SprintDays)+1)</f>
      </c>
      <c r="I904" s="17">
        <f>IF(OR(Log[[#This Row],[Verb]]="commit",Log[[#This Row],[Verb]]="carry",Log[[#This Row],[Verb]]="redo"),IF(Log[[#This Row],[Arg]]="",Log[[#This Row],[Sprint]],N(Log[[#This Row],[Arg]])),"")</f>
      </c>
      <c r="J904" s="17">
        <f>IF(Log[[#This Row],[Verb]]="block",1,IF(OR(Log[[#This Row],[Verb]]="unblock",Log[[#This Row],[Verb]]="done",Log[[#This Row],[Verb]]="drop",Log[[#This Row],[Verb]]="punt",Log[[#This Row],[Verb]]="pass"),0,""))</f>
      </c>
      <c r="K904" s="17">
        <f>IF(Log[[#This Row],[ID]]="",0,IFERROR(INDEX(Items[Pts],MATCH(Log[[#This Row],[ID]],Items[ID],0))*1,0))</f>
      </c>
      <c r="L904" s="17">
        <f>IF(Log[[#This Row],[ID]]="","",IFERROR(INDEX(Items[Cur team],MATCH(Log[[#This Row],[ID]],Items[ID],0))&amp;"",""))</f>
      </c>
      <c r="M904" s="17">
        <f>IF(OR(Log[[#This Row],[Verb]]="done",Log[[#This Row],[Verb]]="punt",Log[[#This Row],[Verb]]="drop",Log[[#This Row],[Verb]]="pass"),Log[[#This Row],[Pts]],0)</f>
      </c>
    </row>
    <row r="905">
      <c r="A905" s="11">
        <v>46161</v>
      </c>
      <c r="B905" t="s">
        <v>580</v>
      </c>
      <c r="C905" t="s">
        <v>34</v>
      </c>
      <c r="D905">
        <v>44</v>
      </c>
      <c r="F905" s="17">
        <f>IF(Log[[#This Row],[ID]]="","",IF(ISNA(MATCH(Log[[#This Row],[ID]],Items[ID],0)),"unknown ID",IF(ISNA(MATCH(Log[[#This Row],[Verb]],VerbList,0)),"unknown verb",IF(Log[[#This Row],[Date]]="","no date",""))))</f>
      </c>
      <c r="G905" s="17">
        <f>IF(Log[[#This Row],[ID]]="","",IFERROR(VLOOKUP(Log[[#This Row],[Verb]],Verbs,3,FALSE)&amp;"",""))</f>
      </c>
      <c r="H905" s="17">
        <f>IF(Log[[#This Row],[Date]]="","",INT((Log[[#This Row],[Date]]-Sprint1)/SprintDays)+1)</f>
      </c>
      <c r="I905" s="17">
        <f>IF(OR(Log[[#This Row],[Verb]]="commit",Log[[#This Row],[Verb]]="carry",Log[[#This Row],[Verb]]="redo"),IF(Log[[#This Row],[Arg]]="",Log[[#This Row],[Sprint]],N(Log[[#This Row],[Arg]])),"")</f>
      </c>
      <c r="J905" s="17">
        <f>IF(Log[[#This Row],[Verb]]="block",1,IF(OR(Log[[#This Row],[Verb]]="unblock",Log[[#This Row],[Verb]]="done",Log[[#This Row],[Verb]]="drop",Log[[#This Row],[Verb]]="punt",Log[[#This Row],[Verb]]="pass"),0,""))</f>
      </c>
      <c r="K905" s="17">
        <f>IF(Log[[#This Row],[ID]]="",0,IFERROR(INDEX(Items[Pts],MATCH(Log[[#This Row],[ID]],Items[ID],0))*1,0))</f>
      </c>
      <c r="L905" s="17">
        <f>IF(Log[[#This Row],[ID]]="","",IFERROR(INDEX(Items[Cur team],MATCH(Log[[#This Row],[ID]],Items[ID],0))&amp;"",""))</f>
      </c>
      <c r="M905" s="17">
        <f>IF(OR(Log[[#This Row],[Verb]]="done",Log[[#This Row],[Verb]]="punt",Log[[#This Row],[Verb]]="drop",Log[[#This Row],[Verb]]="pass"),Log[[#This Row],[Pts]],0)</f>
      </c>
    </row>
    <row r="906">
      <c r="A906" s="11">
        <v>46161</v>
      </c>
      <c r="B906" t="s">
        <v>581</v>
      </c>
      <c r="C906" t="s">
        <v>34</v>
      </c>
      <c r="D906">
        <v>44</v>
      </c>
      <c r="F906" s="17">
        <f>IF(Log[[#This Row],[ID]]="","",IF(ISNA(MATCH(Log[[#This Row],[ID]],Items[ID],0)),"unknown ID",IF(ISNA(MATCH(Log[[#This Row],[Verb]],VerbList,0)),"unknown verb",IF(Log[[#This Row],[Date]]="","no date",""))))</f>
      </c>
      <c r="G906" s="17">
        <f>IF(Log[[#This Row],[ID]]="","",IFERROR(VLOOKUP(Log[[#This Row],[Verb]],Verbs,3,FALSE)&amp;"",""))</f>
      </c>
      <c r="H906" s="17">
        <f>IF(Log[[#This Row],[Date]]="","",INT((Log[[#This Row],[Date]]-Sprint1)/SprintDays)+1)</f>
      </c>
      <c r="I906" s="17">
        <f>IF(OR(Log[[#This Row],[Verb]]="commit",Log[[#This Row],[Verb]]="carry",Log[[#This Row],[Verb]]="redo"),IF(Log[[#This Row],[Arg]]="",Log[[#This Row],[Sprint]],N(Log[[#This Row],[Arg]])),"")</f>
      </c>
      <c r="J906" s="17">
        <f>IF(Log[[#This Row],[Verb]]="block",1,IF(OR(Log[[#This Row],[Verb]]="unblock",Log[[#This Row],[Verb]]="done",Log[[#This Row],[Verb]]="drop",Log[[#This Row],[Verb]]="punt",Log[[#This Row],[Verb]]="pass"),0,""))</f>
      </c>
      <c r="K906" s="17">
        <f>IF(Log[[#This Row],[ID]]="",0,IFERROR(INDEX(Items[Pts],MATCH(Log[[#This Row],[ID]],Items[ID],0))*1,0))</f>
      </c>
      <c r="L906" s="17">
        <f>IF(Log[[#This Row],[ID]]="","",IFERROR(INDEX(Items[Cur team],MATCH(Log[[#This Row],[ID]],Items[ID],0))&amp;"",""))</f>
      </c>
      <c r="M906" s="17">
        <f>IF(OR(Log[[#This Row],[Verb]]="done",Log[[#This Row],[Verb]]="punt",Log[[#This Row],[Verb]]="drop",Log[[#This Row],[Verb]]="pass"),Log[[#This Row],[Pts]],0)</f>
      </c>
    </row>
    <row r="907">
      <c r="A907" s="11">
        <v>46161</v>
      </c>
      <c r="B907" t="s">
        <v>582</v>
      </c>
      <c r="C907" t="s">
        <v>34</v>
      </c>
      <c r="D907">
        <v>44</v>
      </c>
      <c r="F907" s="17">
        <f>IF(Log[[#This Row],[ID]]="","",IF(ISNA(MATCH(Log[[#This Row],[ID]],Items[ID],0)),"unknown ID",IF(ISNA(MATCH(Log[[#This Row],[Verb]],VerbList,0)),"unknown verb",IF(Log[[#This Row],[Date]]="","no date",""))))</f>
      </c>
      <c r="G907" s="17">
        <f>IF(Log[[#This Row],[ID]]="","",IFERROR(VLOOKUP(Log[[#This Row],[Verb]],Verbs,3,FALSE)&amp;"",""))</f>
      </c>
      <c r="H907" s="17">
        <f>IF(Log[[#This Row],[Date]]="","",INT((Log[[#This Row],[Date]]-Sprint1)/SprintDays)+1)</f>
      </c>
      <c r="I907" s="17">
        <f>IF(OR(Log[[#This Row],[Verb]]="commit",Log[[#This Row],[Verb]]="carry",Log[[#This Row],[Verb]]="redo"),IF(Log[[#This Row],[Arg]]="",Log[[#This Row],[Sprint]],N(Log[[#This Row],[Arg]])),"")</f>
      </c>
      <c r="J907" s="17">
        <f>IF(Log[[#This Row],[Verb]]="block",1,IF(OR(Log[[#This Row],[Verb]]="unblock",Log[[#This Row],[Verb]]="done",Log[[#This Row],[Verb]]="drop",Log[[#This Row],[Verb]]="punt",Log[[#This Row],[Verb]]="pass"),0,""))</f>
      </c>
      <c r="K907" s="17">
        <f>IF(Log[[#This Row],[ID]]="",0,IFERROR(INDEX(Items[Pts],MATCH(Log[[#This Row],[ID]],Items[ID],0))*1,0))</f>
      </c>
      <c r="L907" s="17">
        <f>IF(Log[[#This Row],[ID]]="","",IFERROR(INDEX(Items[Cur team],MATCH(Log[[#This Row],[ID]],Items[ID],0))&amp;"",""))</f>
      </c>
      <c r="M907" s="17">
        <f>IF(OR(Log[[#This Row],[Verb]]="done",Log[[#This Row],[Verb]]="punt",Log[[#This Row],[Verb]]="drop",Log[[#This Row],[Verb]]="pass"),Log[[#This Row],[Pts]],0)</f>
      </c>
    </row>
    <row r="908">
      <c r="A908" s="11">
        <v>46161</v>
      </c>
      <c r="B908" t="s">
        <v>583</v>
      </c>
      <c r="C908" t="s">
        <v>34</v>
      </c>
      <c r="D908">
        <v>44</v>
      </c>
      <c r="F908" s="17">
        <f>IF(Log[[#This Row],[ID]]="","",IF(ISNA(MATCH(Log[[#This Row],[ID]],Items[ID],0)),"unknown ID",IF(ISNA(MATCH(Log[[#This Row],[Verb]],VerbList,0)),"unknown verb",IF(Log[[#This Row],[Date]]="","no date",""))))</f>
      </c>
      <c r="G908" s="17">
        <f>IF(Log[[#This Row],[ID]]="","",IFERROR(VLOOKUP(Log[[#This Row],[Verb]],Verbs,3,FALSE)&amp;"",""))</f>
      </c>
      <c r="H908" s="17">
        <f>IF(Log[[#This Row],[Date]]="","",INT((Log[[#This Row],[Date]]-Sprint1)/SprintDays)+1)</f>
      </c>
      <c r="I908" s="17">
        <f>IF(OR(Log[[#This Row],[Verb]]="commit",Log[[#This Row],[Verb]]="carry",Log[[#This Row],[Verb]]="redo"),IF(Log[[#This Row],[Arg]]="",Log[[#This Row],[Sprint]],N(Log[[#This Row],[Arg]])),"")</f>
      </c>
      <c r="J908" s="17">
        <f>IF(Log[[#This Row],[Verb]]="block",1,IF(OR(Log[[#This Row],[Verb]]="unblock",Log[[#This Row],[Verb]]="done",Log[[#This Row],[Verb]]="drop",Log[[#This Row],[Verb]]="punt",Log[[#This Row],[Verb]]="pass"),0,""))</f>
      </c>
      <c r="K908" s="17">
        <f>IF(Log[[#This Row],[ID]]="",0,IFERROR(INDEX(Items[Pts],MATCH(Log[[#This Row],[ID]],Items[ID],0))*1,0))</f>
      </c>
      <c r="L908" s="17">
        <f>IF(Log[[#This Row],[ID]]="","",IFERROR(INDEX(Items[Cur team],MATCH(Log[[#This Row],[ID]],Items[ID],0))&amp;"",""))</f>
      </c>
      <c r="M908" s="17">
        <f>IF(OR(Log[[#This Row],[Verb]]="done",Log[[#This Row],[Verb]]="punt",Log[[#This Row],[Verb]]="drop",Log[[#This Row],[Verb]]="pass"),Log[[#This Row],[Pts]],0)</f>
      </c>
    </row>
    <row r="909">
      <c r="A909" s="11">
        <v>46161</v>
      </c>
      <c r="B909" t="s">
        <v>584</v>
      </c>
      <c r="C909" t="s">
        <v>34</v>
      </c>
      <c r="D909">
        <v>44</v>
      </c>
      <c r="F909" s="17">
        <f>IF(Log[[#This Row],[ID]]="","",IF(ISNA(MATCH(Log[[#This Row],[ID]],Items[ID],0)),"unknown ID",IF(ISNA(MATCH(Log[[#This Row],[Verb]],VerbList,0)),"unknown verb",IF(Log[[#This Row],[Date]]="","no date",""))))</f>
      </c>
      <c r="G909" s="17">
        <f>IF(Log[[#This Row],[ID]]="","",IFERROR(VLOOKUP(Log[[#This Row],[Verb]],Verbs,3,FALSE)&amp;"",""))</f>
      </c>
      <c r="H909" s="17">
        <f>IF(Log[[#This Row],[Date]]="","",INT((Log[[#This Row],[Date]]-Sprint1)/SprintDays)+1)</f>
      </c>
      <c r="I909" s="17">
        <f>IF(OR(Log[[#This Row],[Verb]]="commit",Log[[#This Row],[Verb]]="carry",Log[[#This Row],[Verb]]="redo"),IF(Log[[#This Row],[Arg]]="",Log[[#This Row],[Sprint]],N(Log[[#This Row],[Arg]])),"")</f>
      </c>
      <c r="J909" s="17">
        <f>IF(Log[[#This Row],[Verb]]="block",1,IF(OR(Log[[#This Row],[Verb]]="unblock",Log[[#This Row],[Verb]]="done",Log[[#This Row],[Verb]]="drop",Log[[#This Row],[Verb]]="punt",Log[[#This Row],[Verb]]="pass"),0,""))</f>
      </c>
      <c r="K909" s="17">
        <f>IF(Log[[#This Row],[ID]]="",0,IFERROR(INDEX(Items[Pts],MATCH(Log[[#This Row],[ID]],Items[ID],0))*1,0))</f>
      </c>
      <c r="L909" s="17">
        <f>IF(Log[[#This Row],[ID]]="","",IFERROR(INDEX(Items[Cur team],MATCH(Log[[#This Row],[ID]],Items[ID],0))&amp;"",""))</f>
      </c>
      <c r="M909" s="17">
        <f>IF(OR(Log[[#This Row],[Verb]]="done",Log[[#This Row],[Verb]]="punt",Log[[#This Row],[Verb]]="drop",Log[[#This Row],[Verb]]="pass"),Log[[#This Row],[Pts]],0)</f>
      </c>
    </row>
    <row r="910">
      <c r="A910" s="11">
        <v>46161</v>
      </c>
      <c r="B910" t="s">
        <v>585</v>
      </c>
      <c r="C910" t="s">
        <v>34</v>
      </c>
      <c r="D910">
        <v>44</v>
      </c>
      <c r="F910" s="17">
        <f>IF(Log[[#This Row],[ID]]="","",IF(ISNA(MATCH(Log[[#This Row],[ID]],Items[ID],0)),"unknown ID",IF(ISNA(MATCH(Log[[#This Row],[Verb]],VerbList,0)),"unknown verb",IF(Log[[#This Row],[Date]]="","no date",""))))</f>
      </c>
      <c r="G910" s="17">
        <f>IF(Log[[#This Row],[ID]]="","",IFERROR(VLOOKUP(Log[[#This Row],[Verb]],Verbs,3,FALSE)&amp;"",""))</f>
      </c>
      <c r="H910" s="17">
        <f>IF(Log[[#This Row],[Date]]="","",INT((Log[[#This Row],[Date]]-Sprint1)/SprintDays)+1)</f>
      </c>
      <c r="I910" s="17">
        <f>IF(OR(Log[[#This Row],[Verb]]="commit",Log[[#This Row],[Verb]]="carry",Log[[#This Row],[Verb]]="redo"),IF(Log[[#This Row],[Arg]]="",Log[[#This Row],[Sprint]],N(Log[[#This Row],[Arg]])),"")</f>
      </c>
      <c r="J910" s="17">
        <f>IF(Log[[#This Row],[Verb]]="block",1,IF(OR(Log[[#This Row],[Verb]]="unblock",Log[[#This Row],[Verb]]="done",Log[[#This Row],[Verb]]="drop",Log[[#This Row],[Verb]]="punt",Log[[#This Row],[Verb]]="pass"),0,""))</f>
      </c>
      <c r="K910" s="17">
        <f>IF(Log[[#This Row],[ID]]="",0,IFERROR(INDEX(Items[Pts],MATCH(Log[[#This Row],[ID]],Items[ID],0))*1,0))</f>
      </c>
      <c r="L910" s="17">
        <f>IF(Log[[#This Row],[ID]]="","",IFERROR(INDEX(Items[Cur team],MATCH(Log[[#This Row],[ID]],Items[ID],0))&amp;"",""))</f>
      </c>
      <c r="M910" s="17">
        <f>IF(OR(Log[[#This Row],[Verb]]="done",Log[[#This Row],[Verb]]="punt",Log[[#This Row],[Verb]]="drop",Log[[#This Row],[Verb]]="pass"),Log[[#This Row],[Pts]],0)</f>
      </c>
    </row>
    <row r="911">
      <c r="A911" s="11">
        <v>46161</v>
      </c>
      <c r="B911" t="s">
        <v>586</v>
      </c>
      <c r="C911" t="s">
        <v>34</v>
      </c>
      <c r="D911">
        <v>44</v>
      </c>
      <c r="F911" s="17">
        <f>IF(Log[[#This Row],[ID]]="","",IF(ISNA(MATCH(Log[[#This Row],[ID]],Items[ID],0)),"unknown ID",IF(ISNA(MATCH(Log[[#This Row],[Verb]],VerbList,0)),"unknown verb",IF(Log[[#This Row],[Date]]="","no date",""))))</f>
      </c>
      <c r="G911" s="17">
        <f>IF(Log[[#This Row],[ID]]="","",IFERROR(VLOOKUP(Log[[#This Row],[Verb]],Verbs,3,FALSE)&amp;"",""))</f>
      </c>
      <c r="H911" s="17">
        <f>IF(Log[[#This Row],[Date]]="","",INT((Log[[#This Row],[Date]]-Sprint1)/SprintDays)+1)</f>
      </c>
      <c r="I911" s="17">
        <f>IF(OR(Log[[#This Row],[Verb]]="commit",Log[[#This Row],[Verb]]="carry",Log[[#This Row],[Verb]]="redo"),IF(Log[[#This Row],[Arg]]="",Log[[#This Row],[Sprint]],N(Log[[#This Row],[Arg]])),"")</f>
      </c>
      <c r="J911" s="17">
        <f>IF(Log[[#This Row],[Verb]]="block",1,IF(OR(Log[[#This Row],[Verb]]="unblock",Log[[#This Row],[Verb]]="done",Log[[#This Row],[Verb]]="drop",Log[[#This Row],[Verb]]="punt",Log[[#This Row],[Verb]]="pass"),0,""))</f>
      </c>
      <c r="K911" s="17">
        <f>IF(Log[[#This Row],[ID]]="",0,IFERROR(INDEX(Items[Pts],MATCH(Log[[#This Row],[ID]],Items[ID],0))*1,0))</f>
      </c>
      <c r="L911" s="17">
        <f>IF(Log[[#This Row],[ID]]="","",IFERROR(INDEX(Items[Cur team],MATCH(Log[[#This Row],[ID]],Items[ID],0))&amp;"",""))</f>
      </c>
      <c r="M911" s="17">
        <f>IF(OR(Log[[#This Row],[Verb]]="done",Log[[#This Row],[Verb]]="punt",Log[[#This Row],[Verb]]="drop",Log[[#This Row],[Verb]]="pass"),Log[[#This Row],[Pts]],0)</f>
      </c>
    </row>
    <row r="912">
      <c r="A912" s="11">
        <v>46161</v>
      </c>
      <c r="B912" t="s">
        <v>587</v>
      </c>
      <c r="C912" t="s">
        <v>34</v>
      </c>
      <c r="D912">
        <v>44</v>
      </c>
      <c r="F912" s="17">
        <f>IF(Log[[#This Row],[ID]]="","",IF(ISNA(MATCH(Log[[#This Row],[ID]],Items[ID],0)),"unknown ID",IF(ISNA(MATCH(Log[[#This Row],[Verb]],VerbList,0)),"unknown verb",IF(Log[[#This Row],[Date]]="","no date",""))))</f>
      </c>
      <c r="G912" s="17">
        <f>IF(Log[[#This Row],[ID]]="","",IFERROR(VLOOKUP(Log[[#This Row],[Verb]],Verbs,3,FALSE)&amp;"",""))</f>
      </c>
      <c r="H912" s="17">
        <f>IF(Log[[#This Row],[Date]]="","",INT((Log[[#This Row],[Date]]-Sprint1)/SprintDays)+1)</f>
      </c>
      <c r="I912" s="17">
        <f>IF(OR(Log[[#This Row],[Verb]]="commit",Log[[#This Row],[Verb]]="carry",Log[[#This Row],[Verb]]="redo"),IF(Log[[#This Row],[Arg]]="",Log[[#This Row],[Sprint]],N(Log[[#This Row],[Arg]])),"")</f>
      </c>
      <c r="J912" s="17">
        <f>IF(Log[[#This Row],[Verb]]="block",1,IF(OR(Log[[#This Row],[Verb]]="unblock",Log[[#This Row],[Verb]]="done",Log[[#This Row],[Verb]]="drop",Log[[#This Row],[Verb]]="punt",Log[[#This Row],[Verb]]="pass"),0,""))</f>
      </c>
      <c r="K912" s="17">
        <f>IF(Log[[#This Row],[ID]]="",0,IFERROR(INDEX(Items[Pts],MATCH(Log[[#This Row],[ID]],Items[ID],0))*1,0))</f>
      </c>
      <c r="L912" s="17">
        <f>IF(Log[[#This Row],[ID]]="","",IFERROR(INDEX(Items[Cur team],MATCH(Log[[#This Row],[ID]],Items[ID],0))&amp;"",""))</f>
      </c>
      <c r="M912" s="17">
        <f>IF(OR(Log[[#This Row],[Verb]]="done",Log[[#This Row],[Verb]]="punt",Log[[#This Row],[Verb]]="drop",Log[[#This Row],[Verb]]="pass"),Log[[#This Row],[Pts]],0)</f>
      </c>
    </row>
    <row r="913">
      <c r="A913" s="11">
        <v>46161</v>
      </c>
      <c r="B913" t="s">
        <v>588</v>
      </c>
      <c r="C913" t="s">
        <v>34</v>
      </c>
      <c r="D913">
        <v>44</v>
      </c>
      <c r="F913" s="17">
        <f>IF(Log[[#This Row],[ID]]="","",IF(ISNA(MATCH(Log[[#This Row],[ID]],Items[ID],0)),"unknown ID",IF(ISNA(MATCH(Log[[#This Row],[Verb]],VerbList,0)),"unknown verb",IF(Log[[#This Row],[Date]]="","no date",""))))</f>
      </c>
      <c r="G913" s="17">
        <f>IF(Log[[#This Row],[ID]]="","",IFERROR(VLOOKUP(Log[[#This Row],[Verb]],Verbs,3,FALSE)&amp;"",""))</f>
      </c>
      <c r="H913" s="17">
        <f>IF(Log[[#This Row],[Date]]="","",INT((Log[[#This Row],[Date]]-Sprint1)/SprintDays)+1)</f>
      </c>
      <c r="I913" s="17">
        <f>IF(OR(Log[[#This Row],[Verb]]="commit",Log[[#This Row],[Verb]]="carry",Log[[#This Row],[Verb]]="redo"),IF(Log[[#This Row],[Arg]]="",Log[[#This Row],[Sprint]],N(Log[[#This Row],[Arg]])),"")</f>
      </c>
      <c r="J913" s="17">
        <f>IF(Log[[#This Row],[Verb]]="block",1,IF(OR(Log[[#This Row],[Verb]]="unblock",Log[[#This Row],[Verb]]="done",Log[[#This Row],[Verb]]="drop",Log[[#This Row],[Verb]]="punt",Log[[#This Row],[Verb]]="pass"),0,""))</f>
      </c>
      <c r="K913" s="17">
        <f>IF(Log[[#This Row],[ID]]="",0,IFERROR(INDEX(Items[Pts],MATCH(Log[[#This Row],[ID]],Items[ID],0))*1,0))</f>
      </c>
      <c r="L913" s="17">
        <f>IF(Log[[#This Row],[ID]]="","",IFERROR(INDEX(Items[Cur team],MATCH(Log[[#This Row],[ID]],Items[ID],0))&amp;"",""))</f>
      </c>
      <c r="M913" s="17">
        <f>IF(OR(Log[[#This Row],[Verb]]="done",Log[[#This Row],[Verb]]="punt",Log[[#This Row],[Verb]]="drop",Log[[#This Row],[Verb]]="pass"),Log[[#This Row],[Pts]],0)</f>
      </c>
    </row>
    <row r="914">
      <c r="A914" s="11">
        <v>46161</v>
      </c>
      <c r="B914" t="s">
        <v>589</v>
      </c>
      <c r="C914" t="s">
        <v>34</v>
      </c>
      <c r="D914">
        <v>44</v>
      </c>
      <c r="F914" s="17">
        <f>IF(Log[[#This Row],[ID]]="","",IF(ISNA(MATCH(Log[[#This Row],[ID]],Items[ID],0)),"unknown ID",IF(ISNA(MATCH(Log[[#This Row],[Verb]],VerbList,0)),"unknown verb",IF(Log[[#This Row],[Date]]="","no date",""))))</f>
      </c>
      <c r="G914" s="17">
        <f>IF(Log[[#This Row],[ID]]="","",IFERROR(VLOOKUP(Log[[#This Row],[Verb]],Verbs,3,FALSE)&amp;"",""))</f>
      </c>
      <c r="H914" s="17">
        <f>IF(Log[[#This Row],[Date]]="","",INT((Log[[#This Row],[Date]]-Sprint1)/SprintDays)+1)</f>
      </c>
      <c r="I914" s="17">
        <f>IF(OR(Log[[#This Row],[Verb]]="commit",Log[[#This Row],[Verb]]="carry",Log[[#This Row],[Verb]]="redo"),IF(Log[[#This Row],[Arg]]="",Log[[#This Row],[Sprint]],N(Log[[#This Row],[Arg]])),"")</f>
      </c>
      <c r="J914" s="17">
        <f>IF(Log[[#This Row],[Verb]]="block",1,IF(OR(Log[[#This Row],[Verb]]="unblock",Log[[#This Row],[Verb]]="done",Log[[#This Row],[Verb]]="drop",Log[[#This Row],[Verb]]="punt",Log[[#This Row],[Verb]]="pass"),0,""))</f>
      </c>
      <c r="K914" s="17">
        <f>IF(Log[[#This Row],[ID]]="",0,IFERROR(INDEX(Items[Pts],MATCH(Log[[#This Row],[ID]],Items[ID],0))*1,0))</f>
      </c>
      <c r="L914" s="17">
        <f>IF(Log[[#This Row],[ID]]="","",IFERROR(INDEX(Items[Cur team],MATCH(Log[[#This Row],[ID]],Items[ID],0))&amp;"",""))</f>
      </c>
      <c r="M914" s="17">
        <f>IF(OR(Log[[#This Row],[Verb]]="done",Log[[#This Row],[Verb]]="punt",Log[[#This Row],[Verb]]="drop",Log[[#This Row],[Verb]]="pass"),Log[[#This Row],[Pts]],0)</f>
      </c>
    </row>
    <row r="915">
      <c r="A915" s="11">
        <v>46161</v>
      </c>
      <c r="B915" t="s">
        <v>590</v>
      </c>
      <c r="C915" t="s">
        <v>34</v>
      </c>
      <c r="D915">
        <v>44</v>
      </c>
      <c r="F915" s="17">
        <f>IF(Log[[#This Row],[ID]]="","",IF(ISNA(MATCH(Log[[#This Row],[ID]],Items[ID],0)),"unknown ID",IF(ISNA(MATCH(Log[[#This Row],[Verb]],VerbList,0)),"unknown verb",IF(Log[[#This Row],[Date]]="","no date",""))))</f>
      </c>
      <c r="G915" s="17">
        <f>IF(Log[[#This Row],[ID]]="","",IFERROR(VLOOKUP(Log[[#This Row],[Verb]],Verbs,3,FALSE)&amp;"",""))</f>
      </c>
      <c r="H915" s="17">
        <f>IF(Log[[#This Row],[Date]]="","",INT((Log[[#This Row],[Date]]-Sprint1)/SprintDays)+1)</f>
      </c>
      <c r="I915" s="17">
        <f>IF(OR(Log[[#This Row],[Verb]]="commit",Log[[#This Row],[Verb]]="carry",Log[[#This Row],[Verb]]="redo"),IF(Log[[#This Row],[Arg]]="",Log[[#This Row],[Sprint]],N(Log[[#This Row],[Arg]])),"")</f>
      </c>
      <c r="J915" s="17">
        <f>IF(Log[[#This Row],[Verb]]="block",1,IF(OR(Log[[#This Row],[Verb]]="unblock",Log[[#This Row],[Verb]]="done",Log[[#This Row],[Verb]]="drop",Log[[#This Row],[Verb]]="punt",Log[[#This Row],[Verb]]="pass"),0,""))</f>
      </c>
      <c r="K915" s="17">
        <f>IF(Log[[#This Row],[ID]]="",0,IFERROR(INDEX(Items[Pts],MATCH(Log[[#This Row],[ID]],Items[ID],0))*1,0))</f>
      </c>
      <c r="L915" s="17">
        <f>IF(Log[[#This Row],[ID]]="","",IFERROR(INDEX(Items[Cur team],MATCH(Log[[#This Row],[ID]],Items[ID],0))&amp;"",""))</f>
      </c>
      <c r="M915" s="17">
        <f>IF(OR(Log[[#This Row],[Verb]]="done",Log[[#This Row],[Verb]]="punt",Log[[#This Row],[Verb]]="drop",Log[[#This Row],[Verb]]="pass"),Log[[#This Row],[Pts]],0)</f>
      </c>
    </row>
    <row r="916">
      <c r="A916" s="11">
        <v>46161</v>
      </c>
      <c r="B916" t="s">
        <v>591</v>
      </c>
      <c r="C916" t="s">
        <v>34</v>
      </c>
      <c r="D916">
        <v>44</v>
      </c>
      <c r="F916" s="17">
        <f>IF(Log[[#This Row],[ID]]="","",IF(ISNA(MATCH(Log[[#This Row],[ID]],Items[ID],0)),"unknown ID",IF(ISNA(MATCH(Log[[#This Row],[Verb]],VerbList,0)),"unknown verb",IF(Log[[#This Row],[Date]]="","no date",""))))</f>
      </c>
      <c r="G916" s="17">
        <f>IF(Log[[#This Row],[ID]]="","",IFERROR(VLOOKUP(Log[[#This Row],[Verb]],Verbs,3,FALSE)&amp;"",""))</f>
      </c>
      <c r="H916" s="17">
        <f>IF(Log[[#This Row],[Date]]="","",INT((Log[[#This Row],[Date]]-Sprint1)/SprintDays)+1)</f>
      </c>
      <c r="I916" s="17">
        <f>IF(OR(Log[[#This Row],[Verb]]="commit",Log[[#This Row],[Verb]]="carry",Log[[#This Row],[Verb]]="redo"),IF(Log[[#This Row],[Arg]]="",Log[[#This Row],[Sprint]],N(Log[[#This Row],[Arg]])),"")</f>
      </c>
      <c r="J916" s="17">
        <f>IF(Log[[#This Row],[Verb]]="block",1,IF(OR(Log[[#This Row],[Verb]]="unblock",Log[[#This Row],[Verb]]="done",Log[[#This Row],[Verb]]="drop",Log[[#This Row],[Verb]]="punt",Log[[#This Row],[Verb]]="pass"),0,""))</f>
      </c>
      <c r="K916" s="17">
        <f>IF(Log[[#This Row],[ID]]="",0,IFERROR(INDEX(Items[Pts],MATCH(Log[[#This Row],[ID]],Items[ID],0))*1,0))</f>
      </c>
      <c r="L916" s="17">
        <f>IF(Log[[#This Row],[ID]]="","",IFERROR(INDEX(Items[Cur team],MATCH(Log[[#This Row],[ID]],Items[ID],0))&amp;"",""))</f>
      </c>
      <c r="M916" s="17">
        <f>IF(OR(Log[[#This Row],[Verb]]="done",Log[[#This Row],[Verb]]="punt",Log[[#This Row],[Verb]]="drop",Log[[#This Row],[Verb]]="pass"),Log[[#This Row],[Pts]],0)</f>
      </c>
    </row>
    <row r="917">
      <c r="A917" s="11">
        <v>46161</v>
      </c>
      <c r="B917" t="s">
        <v>592</v>
      </c>
      <c r="C917" t="s">
        <v>34</v>
      </c>
      <c r="D917">
        <v>44</v>
      </c>
      <c r="F917" s="17">
        <f>IF(Log[[#This Row],[ID]]="","",IF(ISNA(MATCH(Log[[#This Row],[ID]],Items[ID],0)),"unknown ID",IF(ISNA(MATCH(Log[[#This Row],[Verb]],VerbList,0)),"unknown verb",IF(Log[[#This Row],[Date]]="","no date",""))))</f>
      </c>
      <c r="G917" s="17">
        <f>IF(Log[[#This Row],[ID]]="","",IFERROR(VLOOKUP(Log[[#This Row],[Verb]],Verbs,3,FALSE)&amp;"",""))</f>
      </c>
      <c r="H917" s="17">
        <f>IF(Log[[#This Row],[Date]]="","",INT((Log[[#This Row],[Date]]-Sprint1)/SprintDays)+1)</f>
      </c>
      <c r="I917" s="17">
        <f>IF(OR(Log[[#This Row],[Verb]]="commit",Log[[#This Row],[Verb]]="carry",Log[[#This Row],[Verb]]="redo"),IF(Log[[#This Row],[Arg]]="",Log[[#This Row],[Sprint]],N(Log[[#This Row],[Arg]])),"")</f>
      </c>
      <c r="J917" s="17">
        <f>IF(Log[[#This Row],[Verb]]="block",1,IF(OR(Log[[#This Row],[Verb]]="unblock",Log[[#This Row],[Verb]]="done",Log[[#This Row],[Verb]]="drop",Log[[#This Row],[Verb]]="punt",Log[[#This Row],[Verb]]="pass"),0,""))</f>
      </c>
      <c r="K917" s="17">
        <f>IF(Log[[#This Row],[ID]]="",0,IFERROR(INDEX(Items[Pts],MATCH(Log[[#This Row],[ID]],Items[ID],0))*1,0))</f>
      </c>
      <c r="L917" s="17">
        <f>IF(Log[[#This Row],[ID]]="","",IFERROR(INDEX(Items[Cur team],MATCH(Log[[#This Row],[ID]],Items[ID],0))&amp;"",""))</f>
      </c>
      <c r="M917" s="17">
        <f>IF(OR(Log[[#This Row],[Verb]]="done",Log[[#This Row],[Verb]]="punt",Log[[#This Row],[Verb]]="drop",Log[[#This Row],[Verb]]="pass"),Log[[#This Row],[Pts]],0)</f>
      </c>
    </row>
    <row r="918">
      <c r="A918" s="11">
        <v>46174</v>
      </c>
      <c r="B918" t="s">
        <v>494</v>
      </c>
      <c r="C918" t="s">
        <v>41</v>
      </c>
      <c r="F918" s="17">
        <f>IF(Log[[#This Row],[ID]]="","",IF(ISNA(MATCH(Log[[#This Row],[ID]],Items[ID],0)),"unknown ID",IF(ISNA(MATCH(Log[[#This Row],[Verb]],VerbList,0)),"unknown verb",IF(Log[[#This Row],[Date]]="","no date",""))))</f>
      </c>
      <c r="G918" s="17">
        <f>IF(Log[[#This Row],[ID]]="","",IFERROR(VLOOKUP(Log[[#This Row],[Verb]],Verbs,3,FALSE)&amp;"",""))</f>
      </c>
      <c r="H918" s="17">
        <f>IF(Log[[#This Row],[Date]]="","",INT((Log[[#This Row],[Date]]-Sprint1)/SprintDays)+1)</f>
      </c>
      <c r="I918" s="17">
        <f>IF(OR(Log[[#This Row],[Verb]]="commit",Log[[#This Row],[Verb]]="carry",Log[[#This Row],[Verb]]="redo"),IF(Log[[#This Row],[Arg]]="",Log[[#This Row],[Sprint]],N(Log[[#This Row],[Arg]])),"")</f>
      </c>
      <c r="J918" s="17">
        <f>IF(Log[[#This Row],[Verb]]="block",1,IF(OR(Log[[#This Row],[Verb]]="unblock",Log[[#This Row],[Verb]]="done",Log[[#This Row],[Verb]]="drop",Log[[#This Row],[Verb]]="punt",Log[[#This Row],[Verb]]="pass"),0,""))</f>
      </c>
      <c r="K918" s="17">
        <f>IF(Log[[#This Row],[ID]]="",0,IFERROR(INDEX(Items[Pts],MATCH(Log[[#This Row],[ID]],Items[ID],0))*1,0))</f>
      </c>
      <c r="L918" s="17">
        <f>IF(Log[[#This Row],[ID]]="","",IFERROR(INDEX(Items[Cur team],MATCH(Log[[#This Row],[ID]],Items[ID],0))&amp;"",""))</f>
      </c>
      <c r="M918" s="17">
        <f>IF(OR(Log[[#This Row],[Verb]]="done",Log[[#This Row],[Verb]]="punt",Log[[#This Row],[Verb]]="drop",Log[[#This Row],[Verb]]="pass"),Log[[#This Row],[Pts]],0)</f>
      </c>
    </row>
    <row r="919">
      <c r="A919" s="11">
        <v>46174</v>
      </c>
      <c r="B919" t="s">
        <v>497</v>
      </c>
      <c r="C919" t="s">
        <v>41</v>
      </c>
      <c r="F919" s="17">
        <f>IF(Log[[#This Row],[ID]]="","",IF(ISNA(MATCH(Log[[#This Row],[ID]],Items[ID],0)),"unknown ID",IF(ISNA(MATCH(Log[[#This Row],[Verb]],VerbList,0)),"unknown verb",IF(Log[[#This Row],[Date]]="","no date",""))))</f>
      </c>
      <c r="G919" s="17">
        <f>IF(Log[[#This Row],[ID]]="","",IFERROR(VLOOKUP(Log[[#This Row],[Verb]],Verbs,3,FALSE)&amp;"",""))</f>
      </c>
      <c r="H919" s="17">
        <f>IF(Log[[#This Row],[Date]]="","",INT((Log[[#This Row],[Date]]-Sprint1)/SprintDays)+1)</f>
      </c>
      <c r="I919" s="17">
        <f>IF(OR(Log[[#This Row],[Verb]]="commit",Log[[#This Row],[Verb]]="carry",Log[[#This Row],[Verb]]="redo"),IF(Log[[#This Row],[Arg]]="",Log[[#This Row],[Sprint]],N(Log[[#This Row],[Arg]])),"")</f>
      </c>
      <c r="J919" s="17">
        <f>IF(Log[[#This Row],[Verb]]="block",1,IF(OR(Log[[#This Row],[Verb]]="unblock",Log[[#This Row],[Verb]]="done",Log[[#This Row],[Verb]]="drop",Log[[#This Row],[Verb]]="punt",Log[[#This Row],[Verb]]="pass"),0,""))</f>
      </c>
      <c r="K919" s="17">
        <f>IF(Log[[#This Row],[ID]]="",0,IFERROR(INDEX(Items[Pts],MATCH(Log[[#This Row],[ID]],Items[ID],0))*1,0))</f>
      </c>
      <c r="L919" s="17">
        <f>IF(Log[[#This Row],[ID]]="","",IFERROR(INDEX(Items[Cur team],MATCH(Log[[#This Row],[ID]],Items[ID],0))&amp;"",""))</f>
      </c>
      <c r="M919" s="17">
        <f>IF(OR(Log[[#This Row],[Verb]]="done",Log[[#This Row],[Verb]]="punt",Log[[#This Row],[Verb]]="drop",Log[[#This Row],[Verb]]="pass"),Log[[#This Row],[Pts]],0)</f>
      </c>
    </row>
    <row r="920">
      <c r="A920" s="11">
        <v>46174</v>
      </c>
      <c r="B920" t="s">
        <v>543</v>
      </c>
      <c r="C920" t="s">
        <v>41</v>
      </c>
      <c r="F920" s="17">
        <f>IF(Log[[#This Row],[ID]]="","",IF(ISNA(MATCH(Log[[#This Row],[ID]],Items[ID],0)),"unknown ID",IF(ISNA(MATCH(Log[[#This Row],[Verb]],VerbList,0)),"unknown verb",IF(Log[[#This Row],[Date]]="","no date",""))))</f>
      </c>
      <c r="G920" s="17">
        <f>IF(Log[[#This Row],[ID]]="","",IFERROR(VLOOKUP(Log[[#This Row],[Verb]],Verbs,3,FALSE)&amp;"",""))</f>
      </c>
      <c r="H920" s="17">
        <f>IF(Log[[#This Row],[Date]]="","",INT((Log[[#This Row],[Date]]-Sprint1)/SprintDays)+1)</f>
      </c>
      <c r="I920" s="17">
        <f>IF(OR(Log[[#This Row],[Verb]]="commit",Log[[#This Row],[Verb]]="carry",Log[[#This Row],[Verb]]="redo"),IF(Log[[#This Row],[Arg]]="",Log[[#This Row],[Sprint]],N(Log[[#This Row],[Arg]])),"")</f>
      </c>
      <c r="J920" s="17">
        <f>IF(Log[[#This Row],[Verb]]="block",1,IF(OR(Log[[#This Row],[Verb]]="unblock",Log[[#This Row],[Verb]]="done",Log[[#This Row],[Verb]]="drop",Log[[#This Row],[Verb]]="punt",Log[[#This Row],[Verb]]="pass"),0,""))</f>
      </c>
      <c r="K920" s="17">
        <f>IF(Log[[#This Row],[ID]]="",0,IFERROR(INDEX(Items[Pts],MATCH(Log[[#This Row],[ID]],Items[ID],0))*1,0))</f>
      </c>
      <c r="L920" s="17">
        <f>IF(Log[[#This Row],[ID]]="","",IFERROR(INDEX(Items[Cur team],MATCH(Log[[#This Row],[ID]],Items[ID],0))&amp;"",""))</f>
      </c>
      <c r="M920" s="17">
        <f>IF(OR(Log[[#This Row],[Verb]]="done",Log[[#This Row],[Verb]]="punt",Log[[#This Row],[Verb]]="drop",Log[[#This Row],[Verb]]="pass"),Log[[#This Row],[Pts]],0)</f>
      </c>
    </row>
    <row r="921">
      <c r="A921" s="11">
        <v>46174</v>
      </c>
      <c r="B921" t="s">
        <v>544</v>
      </c>
      <c r="C921" t="s">
        <v>41</v>
      </c>
      <c r="F921" s="17">
        <f>IF(Log[[#This Row],[ID]]="","",IF(ISNA(MATCH(Log[[#This Row],[ID]],Items[ID],0)),"unknown ID",IF(ISNA(MATCH(Log[[#This Row],[Verb]],VerbList,0)),"unknown verb",IF(Log[[#This Row],[Date]]="","no date",""))))</f>
      </c>
      <c r="G921" s="17">
        <f>IF(Log[[#This Row],[ID]]="","",IFERROR(VLOOKUP(Log[[#This Row],[Verb]],Verbs,3,FALSE)&amp;"",""))</f>
      </c>
      <c r="H921" s="17">
        <f>IF(Log[[#This Row],[Date]]="","",INT((Log[[#This Row],[Date]]-Sprint1)/SprintDays)+1)</f>
      </c>
      <c r="I921" s="17">
        <f>IF(OR(Log[[#This Row],[Verb]]="commit",Log[[#This Row],[Verb]]="carry",Log[[#This Row],[Verb]]="redo"),IF(Log[[#This Row],[Arg]]="",Log[[#This Row],[Sprint]],N(Log[[#This Row],[Arg]])),"")</f>
      </c>
      <c r="J921" s="17">
        <f>IF(Log[[#This Row],[Verb]]="block",1,IF(OR(Log[[#This Row],[Verb]]="unblock",Log[[#This Row],[Verb]]="done",Log[[#This Row],[Verb]]="drop",Log[[#This Row],[Verb]]="punt",Log[[#This Row],[Verb]]="pass"),0,""))</f>
      </c>
      <c r="K921" s="17">
        <f>IF(Log[[#This Row],[ID]]="",0,IFERROR(INDEX(Items[Pts],MATCH(Log[[#This Row],[ID]],Items[ID],0))*1,0))</f>
      </c>
      <c r="L921" s="17">
        <f>IF(Log[[#This Row],[ID]]="","",IFERROR(INDEX(Items[Cur team],MATCH(Log[[#This Row],[ID]],Items[ID],0))&amp;"",""))</f>
      </c>
      <c r="M921" s="17">
        <f>IF(OR(Log[[#This Row],[Verb]]="done",Log[[#This Row],[Verb]]="punt",Log[[#This Row],[Verb]]="drop",Log[[#This Row],[Verb]]="pass"),Log[[#This Row],[Pts]],0)</f>
      </c>
    </row>
    <row r="922">
      <c r="A922" s="11">
        <v>46174</v>
      </c>
      <c r="B922" t="s">
        <v>545</v>
      </c>
      <c r="C922" t="s">
        <v>38</v>
      </c>
      <c r="D922">
        <v>45</v>
      </c>
      <c r="F922" s="17">
        <f>IF(Log[[#This Row],[ID]]="","",IF(ISNA(MATCH(Log[[#This Row],[ID]],Items[ID],0)),"unknown ID",IF(ISNA(MATCH(Log[[#This Row],[Verb]],VerbList,0)),"unknown verb",IF(Log[[#This Row],[Date]]="","no date",""))))</f>
      </c>
      <c r="G922" s="17">
        <f>IF(Log[[#This Row],[ID]]="","",IFERROR(VLOOKUP(Log[[#This Row],[Verb]],Verbs,3,FALSE)&amp;"",""))</f>
      </c>
      <c r="H922" s="17">
        <f>IF(Log[[#This Row],[Date]]="","",INT((Log[[#This Row],[Date]]-Sprint1)/SprintDays)+1)</f>
      </c>
      <c r="I922" s="17">
        <f>IF(OR(Log[[#This Row],[Verb]]="commit",Log[[#This Row],[Verb]]="carry",Log[[#This Row],[Verb]]="redo"),IF(Log[[#This Row],[Arg]]="",Log[[#This Row],[Sprint]],N(Log[[#This Row],[Arg]])),"")</f>
      </c>
      <c r="J922" s="17">
        <f>IF(Log[[#This Row],[Verb]]="block",1,IF(OR(Log[[#This Row],[Verb]]="unblock",Log[[#This Row],[Verb]]="done",Log[[#This Row],[Verb]]="drop",Log[[#This Row],[Verb]]="punt",Log[[#This Row],[Verb]]="pass"),0,""))</f>
      </c>
      <c r="K922" s="17">
        <f>IF(Log[[#This Row],[ID]]="",0,IFERROR(INDEX(Items[Pts],MATCH(Log[[#This Row],[ID]],Items[ID],0))*1,0))</f>
      </c>
      <c r="L922" s="17">
        <f>IF(Log[[#This Row],[ID]]="","",IFERROR(INDEX(Items[Cur team],MATCH(Log[[#This Row],[ID]],Items[ID],0))&amp;"",""))</f>
      </c>
      <c r="M922" s="17">
        <f>IF(OR(Log[[#This Row],[Verb]]="done",Log[[#This Row],[Verb]]="punt",Log[[#This Row],[Verb]]="drop",Log[[#This Row],[Verb]]="pass"),Log[[#This Row],[Pts]],0)</f>
      </c>
    </row>
    <row r="923">
      <c r="A923" s="11">
        <v>46174</v>
      </c>
      <c r="B923" t="s">
        <v>546</v>
      </c>
      <c r="C923" t="s">
        <v>38</v>
      </c>
      <c r="D923">
        <v>45</v>
      </c>
      <c r="F923" s="17">
        <f>IF(Log[[#This Row],[ID]]="","",IF(ISNA(MATCH(Log[[#This Row],[ID]],Items[ID],0)),"unknown ID",IF(ISNA(MATCH(Log[[#This Row],[Verb]],VerbList,0)),"unknown verb",IF(Log[[#This Row],[Date]]="","no date",""))))</f>
      </c>
      <c r="G923" s="17">
        <f>IF(Log[[#This Row],[ID]]="","",IFERROR(VLOOKUP(Log[[#This Row],[Verb]],Verbs,3,FALSE)&amp;"",""))</f>
      </c>
      <c r="H923" s="17">
        <f>IF(Log[[#This Row],[Date]]="","",INT((Log[[#This Row],[Date]]-Sprint1)/SprintDays)+1)</f>
      </c>
      <c r="I923" s="17">
        <f>IF(OR(Log[[#This Row],[Verb]]="commit",Log[[#This Row],[Verb]]="carry",Log[[#This Row],[Verb]]="redo"),IF(Log[[#This Row],[Arg]]="",Log[[#This Row],[Sprint]],N(Log[[#This Row],[Arg]])),"")</f>
      </c>
      <c r="J923" s="17">
        <f>IF(Log[[#This Row],[Verb]]="block",1,IF(OR(Log[[#This Row],[Verb]]="unblock",Log[[#This Row],[Verb]]="done",Log[[#This Row],[Verb]]="drop",Log[[#This Row],[Verb]]="punt",Log[[#This Row],[Verb]]="pass"),0,""))</f>
      </c>
      <c r="K923" s="17">
        <f>IF(Log[[#This Row],[ID]]="",0,IFERROR(INDEX(Items[Pts],MATCH(Log[[#This Row],[ID]],Items[ID],0))*1,0))</f>
      </c>
      <c r="L923" s="17">
        <f>IF(Log[[#This Row],[ID]]="","",IFERROR(INDEX(Items[Cur team],MATCH(Log[[#This Row],[ID]],Items[ID],0))&amp;"",""))</f>
      </c>
      <c r="M923" s="17">
        <f>IF(OR(Log[[#This Row],[Verb]]="done",Log[[#This Row],[Verb]]="punt",Log[[#This Row],[Verb]]="drop",Log[[#This Row],[Verb]]="pass"),Log[[#This Row],[Pts]],0)</f>
      </c>
    </row>
    <row r="924">
      <c r="A924" s="11">
        <v>46174</v>
      </c>
      <c r="B924" t="s">
        <v>499</v>
      </c>
      <c r="C924" t="s">
        <v>41</v>
      </c>
      <c r="F924" s="17">
        <f>IF(Log[[#This Row],[ID]]="","",IF(ISNA(MATCH(Log[[#This Row],[ID]],Items[ID],0)),"unknown ID",IF(ISNA(MATCH(Log[[#This Row],[Verb]],VerbList,0)),"unknown verb",IF(Log[[#This Row],[Date]]="","no date",""))))</f>
      </c>
      <c r="G924" s="17">
        <f>IF(Log[[#This Row],[ID]]="","",IFERROR(VLOOKUP(Log[[#This Row],[Verb]],Verbs,3,FALSE)&amp;"",""))</f>
      </c>
      <c r="H924" s="17">
        <f>IF(Log[[#This Row],[Date]]="","",INT((Log[[#This Row],[Date]]-Sprint1)/SprintDays)+1)</f>
      </c>
      <c r="I924" s="17">
        <f>IF(OR(Log[[#This Row],[Verb]]="commit",Log[[#This Row],[Verb]]="carry",Log[[#This Row],[Verb]]="redo"),IF(Log[[#This Row],[Arg]]="",Log[[#This Row],[Sprint]],N(Log[[#This Row],[Arg]])),"")</f>
      </c>
      <c r="J924" s="17">
        <f>IF(Log[[#This Row],[Verb]]="block",1,IF(OR(Log[[#This Row],[Verb]]="unblock",Log[[#This Row],[Verb]]="done",Log[[#This Row],[Verb]]="drop",Log[[#This Row],[Verb]]="punt",Log[[#This Row],[Verb]]="pass"),0,""))</f>
      </c>
      <c r="K924" s="17">
        <f>IF(Log[[#This Row],[ID]]="",0,IFERROR(INDEX(Items[Pts],MATCH(Log[[#This Row],[ID]],Items[ID],0))*1,0))</f>
      </c>
      <c r="L924" s="17">
        <f>IF(Log[[#This Row],[ID]]="","",IFERROR(INDEX(Items[Cur team],MATCH(Log[[#This Row],[ID]],Items[ID],0))&amp;"",""))</f>
      </c>
      <c r="M924" s="17">
        <f>IF(OR(Log[[#This Row],[Verb]]="done",Log[[#This Row],[Verb]]="punt",Log[[#This Row],[Verb]]="drop",Log[[#This Row],[Verb]]="pass"),Log[[#This Row],[Pts]],0)</f>
      </c>
    </row>
    <row r="925">
      <c r="A925" s="11">
        <v>46174</v>
      </c>
      <c r="B925" t="s">
        <v>502</v>
      </c>
      <c r="C925" t="s">
        <v>41</v>
      </c>
      <c r="F925" s="17">
        <f>IF(Log[[#This Row],[ID]]="","",IF(ISNA(MATCH(Log[[#This Row],[ID]],Items[ID],0)),"unknown ID",IF(ISNA(MATCH(Log[[#This Row],[Verb]],VerbList,0)),"unknown verb",IF(Log[[#This Row],[Date]]="","no date",""))))</f>
      </c>
      <c r="G925" s="17">
        <f>IF(Log[[#This Row],[ID]]="","",IFERROR(VLOOKUP(Log[[#This Row],[Verb]],Verbs,3,FALSE)&amp;"",""))</f>
      </c>
      <c r="H925" s="17">
        <f>IF(Log[[#This Row],[Date]]="","",INT((Log[[#This Row],[Date]]-Sprint1)/SprintDays)+1)</f>
      </c>
      <c r="I925" s="17">
        <f>IF(OR(Log[[#This Row],[Verb]]="commit",Log[[#This Row],[Verb]]="carry",Log[[#This Row],[Verb]]="redo"),IF(Log[[#This Row],[Arg]]="",Log[[#This Row],[Sprint]],N(Log[[#This Row],[Arg]])),"")</f>
      </c>
      <c r="J925" s="17">
        <f>IF(Log[[#This Row],[Verb]]="block",1,IF(OR(Log[[#This Row],[Verb]]="unblock",Log[[#This Row],[Verb]]="done",Log[[#This Row],[Verb]]="drop",Log[[#This Row],[Verb]]="punt",Log[[#This Row],[Verb]]="pass"),0,""))</f>
      </c>
      <c r="K925" s="17">
        <f>IF(Log[[#This Row],[ID]]="",0,IFERROR(INDEX(Items[Pts],MATCH(Log[[#This Row],[ID]],Items[ID],0))*1,0))</f>
      </c>
      <c r="L925" s="17">
        <f>IF(Log[[#This Row],[ID]]="","",IFERROR(INDEX(Items[Cur team],MATCH(Log[[#This Row],[ID]],Items[ID],0))&amp;"",""))</f>
      </c>
      <c r="M925" s="17">
        <f>IF(OR(Log[[#This Row],[Verb]]="done",Log[[#This Row],[Verb]]="punt",Log[[#This Row],[Verb]]="drop",Log[[#This Row],[Verb]]="pass"),Log[[#This Row],[Pts]],0)</f>
      </c>
    </row>
    <row r="926">
      <c r="A926" s="11">
        <v>46174</v>
      </c>
      <c r="B926" t="s">
        <v>547</v>
      </c>
      <c r="C926" t="s">
        <v>41</v>
      </c>
      <c r="F926" s="17">
        <f>IF(Log[[#This Row],[ID]]="","",IF(ISNA(MATCH(Log[[#This Row],[ID]],Items[ID],0)),"unknown ID",IF(ISNA(MATCH(Log[[#This Row],[Verb]],VerbList,0)),"unknown verb",IF(Log[[#This Row],[Date]]="","no date",""))))</f>
      </c>
      <c r="G926" s="17">
        <f>IF(Log[[#This Row],[ID]]="","",IFERROR(VLOOKUP(Log[[#This Row],[Verb]],Verbs,3,FALSE)&amp;"",""))</f>
      </c>
      <c r="H926" s="17">
        <f>IF(Log[[#This Row],[Date]]="","",INT((Log[[#This Row],[Date]]-Sprint1)/SprintDays)+1)</f>
      </c>
      <c r="I926" s="17">
        <f>IF(OR(Log[[#This Row],[Verb]]="commit",Log[[#This Row],[Verb]]="carry",Log[[#This Row],[Verb]]="redo"),IF(Log[[#This Row],[Arg]]="",Log[[#This Row],[Sprint]],N(Log[[#This Row],[Arg]])),"")</f>
      </c>
      <c r="J926" s="17">
        <f>IF(Log[[#This Row],[Verb]]="block",1,IF(OR(Log[[#This Row],[Verb]]="unblock",Log[[#This Row],[Verb]]="done",Log[[#This Row],[Verb]]="drop",Log[[#This Row],[Verb]]="punt",Log[[#This Row],[Verb]]="pass"),0,""))</f>
      </c>
      <c r="K926" s="17">
        <f>IF(Log[[#This Row],[ID]]="",0,IFERROR(INDEX(Items[Pts],MATCH(Log[[#This Row],[ID]],Items[ID],0))*1,0))</f>
      </c>
      <c r="L926" s="17">
        <f>IF(Log[[#This Row],[ID]]="","",IFERROR(INDEX(Items[Cur team],MATCH(Log[[#This Row],[ID]],Items[ID],0))&amp;"",""))</f>
      </c>
      <c r="M926" s="17">
        <f>IF(OR(Log[[#This Row],[Verb]]="done",Log[[#This Row],[Verb]]="punt",Log[[#This Row],[Verb]]="drop",Log[[#This Row],[Verb]]="pass"),Log[[#This Row],[Pts]],0)</f>
      </c>
    </row>
    <row r="927">
      <c r="A927" s="11">
        <v>46174</v>
      </c>
      <c r="B927" t="s">
        <v>548</v>
      </c>
      <c r="C927" t="s">
        <v>41</v>
      </c>
      <c r="F927" s="17">
        <f>IF(Log[[#This Row],[ID]]="","",IF(ISNA(MATCH(Log[[#This Row],[ID]],Items[ID],0)),"unknown ID",IF(ISNA(MATCH(Log[[#This Row],[Verb]],VerbList,0)),"unknown verb",IF(Log[[#This Row],[Date]]="","no date",""))))</f>
      </c>
      <c r="G927" s="17">
        <f>IF(Log[[#This Row],[ID]]="","",IFERROR(VLOOKUP(Log[[#This Row],[Verb]],Verbs,3,FALSE)&amp;"",""))</f>
      </c>
      <c r="H927" s="17">
        <f>IF(Log[[#This Row],[Date]]="","",INT((Log[[#This Row],[Date]]-Sprint1)/SprintDays)+1)</f>
      </c>
      <c r="I927" s="17">
        <f>IF(OR(Log[[#This Row],[Verb]]="commit",Log[[#This Row],[Verb]]="carry",Log[[#This Row],[Verb]]="redo"),IF(Log[[#This Row],[Arg]]="",Log[[#This Row],[Sprint]],N(Log[[#This Row],[Arg]])),"")</f>
      </c>
      <c r="J927" s="17">
        <f>IF(Log[[#This Row],[Verb]]="block",1,IF(OR(Log[[#This Row],[Verb]]="unblock",Log[[#This Row],[Verb]]="done",Log[[#This Row],[Verb]]="drop",Log[[#This Row],[Verb]]="punt",Log[[#This Row],[Verb]]="pass"),0,""))</f>
      </c>
      <c r="K927" s="17">
        <f>IF(Log[[#This Row],[ID]]="",0,IFERROR(INDEX(Items[Pts],MATCH(Log[[#This Row],[ID]],Items[ID],0))*1,0))</f>
      </c>
      <c r="L927" s="17">
        <f>IF(Log[[#This Row],[ID]]="","",IFERROR(INDEX(Items[Cur team],MATCH(Log[[#This Row],[ID]],Items[ID],0))&amp;"",""))</f>
      </c>
      <c r="M927" s="17">
        <f>IF(OR(Log[[#This Row],[Verb]]="done",Log[[#This Row],[Verb]]="punt",Log[[#This Row],[Verb]]="drop",Log[[#This Row],[Verb]]="pass"),Log[[#This Row],[Pts]],0)</f>
      </c>
    </row>
    <row r="928">
      <c r="A928" s="11">
        <v>46174</v>
      </c>
      <c r="B928" t="s">
        <v>549</v>
      </c>
      <c r="C928" t="s">
        <v>41</v>
      </c>
      <c r="F928" s="17">
        <f>IF(Log[[#This Row],[ID]]="","",IF(ISNA(MATCH(Log[[#This Row],[ID]],Items[ID],0)),"unknown ID",IF(ISNA(MATCH(Log[[#This Row],[Verb]],VerbList,0)),"unknown verb",IF(Log[[#This Row],[Date]]="","no date",""))))</f>
      </c>
      <c r="G928" s="17">
        <f>IF(Log[[#This Row],[ID]]="","",IFERROR(VLOOKUP(Log[[#This Row],[Verb]],Verbs,3,FALSE)&amp;"",""))</f>
      </c>
      <c r="H928" s="17">
        <f>IF(Log[[#This Row],[Date]]="","",INT((Log[[#This Row],[Date]]-Sprint1)/SprintDays)+1)</f>
      </c>
      <c r="I928" s="17">
        <f>IF(OR(Log[[#This Row],[Verb]]="commit",Log[[#This Row],[Verb]]="carry",Log[[#This Row],[Verb]]="redo"),IF(Log[[#This Row],[Arg]]="",Log[[#This Row],[Sprint]],N(Log[[#This Row],[Arg]])),"")</f>
      </c>
      <c r="J928" s="17">
        <f>IF(Log[[#This Row],[Verb]]="block",1,IF(OR(Log[[#This Row],[Verb]]="unblock",Log[[#This Row],[Verb]]="done",Log[[#This Row],[Verb]]="drop",Log[[#This Row],[Verb]]="punt",Log[[#This Row],[Verb]]="pass"),0,""))</f>
      </c>
      <c r="K928" s="17">
        <f>IF(Log[[#This Row],[ID]]="",0,IFERROR(INDEX(Items[Pts],MATCH(Log[[#This Row],[ID]],Items[ID],0))*1,0))</f>
      </c>
      <c r="L928" s="17">
        <f>IF(Log[[#This Row],[ID]]="","",IFERROR(INDEX(Items[Cur team],MATCH(Log[[#This Row],[ID]],Items[ID],0))&amp;"",""))</f>
      </c>
      <c r="M928" s="17">
        <f>IF(OR(Log[[#This Row],[Verb]]="done",Log[[#This Row],[Verb]]="punt",Log[[#This Row],[Verb]]="drop",Log[[#This Row],[Verb]]="pass"),Log[[#This Row],[Pts]],0)</f>
      </c>
    </row>
    <row r="929">
      <c r="A929" s="11">
        <v>46174</v>
      </c>
      <c r="B929" t="s">
        <v>550</v>
      </c>
      <c r="C929" t="s">
        <v>41</v>
      </c>
      <c r="F929" s="17">
        <f>IF(Log[[#This Row],[ID]]="","",IF(ISNA(MATCH(Log[[#This Row],[ID]],Items[ID],0)),"unknown ID",IF(ISNA(MATCH(Log[[#This Row],[Verb]],VerbList,0)),"unknown verb",IF(Log[[#This Row],[Date]]="","no date",""))))</f>
      </c>
      <c r="G929" s="17">
        <f>IF(Log[[#This Row],[ID]]="","",IFERROR(VLOOKUP(Log[[#This Row],[Verb]],Verbs,3,FALSE)&amp;"",""))</f>
      </c>
      <c r="H929" s="17">
        <f>IF(Log[[#This Row],[Date]]="","",INT((Log[[#This Row],[Date]]-Sprint1)/SprintDays)+1)</f>
      </c>
      <c r="I929" s="17">
        <f>IF(OR(Log[[#This Row],[Verb]]="commit",Log[[#This Row],[Verb]]="carry",Log[[#This Row],[Verb]]="redo"),IF(Log[[#This Row],[Arg]]="",Log[[#This Row],[Sprint]],N(Log[[#This Row],[Arg]])),"")</f>
      </c>
      <c r="J929" s="17">
        <f>IF(Log[[#This Row],[Verb]]="block",1,IF(OR(Log[[#This Row],[Verb]]="unblock",Log[[#This Row],[Verb]]="done",Log[[#This Row],[Verb]]="drop",Log[[#This Row],[Verb]]="punt",Log[[#This Row],[Verb]]="pass"),0,""))</f>
      </c>
      <c r="K929" s="17">
        <f>IF(Log[[#This Row],[ID]]="",0,IFERROR(INDEX(Items[Pts],MATCH(Log[[#This Row],[ID]],Items[ID],0))*1,0))</f>
      </c>
      <c r="L929" s="17">
        <f>IF(Log[[#This Row],[ID]]="","",IFERROR(INDEX(Items[Cur team],MATCH(Log[[#This Row],[ID]],Items[ID],0))&amp;"",""))</f>
      </c>
      <c r="M929" s="17">
        <f>IF(OR(Log[[#This Row],[Verb]]="done",Log[[#This Row],[Verb]]="punt",Log[[#This Row],[Verb]]="drop",Log[[#This Row],[Verb]]="pass"),Log[[#This Row],[Pts]],0)</f>
      </c>
    </row>
    <row r="930">
      <c r="A930" s="11">
        <v>46174</v>
      </c>
      <c r="B930" t="s">
        <v>442</v>
      </c>
      <c r="C930" t="s">
        <v>41</v>
      </c>
      <c r="F930" s="17">
        <f>IF(Log[[#This Row],[ID]]="","",IF(ISNA(MATCH(Log[[#This Row],[ID]],Items[ID],0)),"unknown ID",IF(ISNA(MATCH(Log[[#This Row],[Verb]],VerbList,0)),"unknown verb",IF(Log[[#This Row],[Date]]="","no date",""))))</f>
      </c>
      <c r="G930" s="17">
        <f>IF(Log[[#This Row],[ID]]="","",IFERROR(VLOOKUP(Log[[#This Row],[Verb]],Verbs,3,FALSE)&amp;"",""))</f>
      </c>
      <c r="H930" s="17">
        <f>IF(Log[[#This Row],[Date]]="","",INT((Log[[#This Row],[Date]]-Sprint1)/SprintDays)+1)</f>
      </c>
      <c r="I930" s="17">
        <f>IF(OR(Log[[#This Row],[Verb]]="commit",Log[[#This Row],[Verb]]="carry",Log[[#This Row],[Verb]]="redo"),IF(Log[[#This Row],[Arg]]="",Log[[#This Row],[Sprint]],N(Log[[#This Row],[Arg]])),"")</f>
      </c>
      <c r="J930" s="17">
        <f>IF(Log[[#This Row],[Verb]]="block",1,IF(OR(Log[[#This Row],[Verb]]="unblock",Log[[#This Row],[Verb]]="done",Log[[#This Row],[Verb]]="drop",Log[[#This Row],[Verb]]="punt",Log[[#This Row],[Verb]]="pass"),0,""))</f>
      </c>
      <c r="K930" s="17">
        <f>IF(Log[[#This Row],[ID]]="",0,IFERROR(INDEX(Items[Pts],MATCH(Log[[#This Row],[ID]],Items[ID],0))*1,0))</f>
      </c>
      <c r="L930" s="17">
        <f>IF(Log[[#This Row],[ID]]="","",IFERROR(INDEX(Items[Cur team],MATCH(Log[[#This Row],[ID]],Items[ID],0))&amp;"",""))</f>
      </c>
      <c r="M930" s="17">
        <f>IF(OR(Log[[#This Row],[Verb]]="done",Log[[#This Row],[Verb]]="punt",Log[[#This Row],[Verb]]="drop",Log[[#This Row],[Verb]]="pass"),Log[[#This Row],[Pts]],0)</f>
      </c>
    </row>
    <row r="931">
      <c r="A931" s="11">
        <v>46174</v>
      </c>
      <c r="B931" t="s">
        <v>445</v>
      </c>
      <c r="C931" t="s">
        <v>41</v>
      </c>
      <c r="F931" s="17">
        <f>IF(Log[[#This Row],[ID]]="","",IF(ISNA(MATCH(Log[[#This Row],[ID]],Items[ID],0)),"unknown ID",IF(ISNA(MATCH(Log[[#This Row],[Verb]],VerbList,0)),"unknown verb",IF(Log[[#This Row],[Date]]="","no date",""))))</f>
      </c>
      <c r="G931" s="17">
        <f>IF(Log[[#This Row],[ID]]="","",IFERROR(VLOOKUP(Log[[#This Row],[Verb]],Verbs,3,FALSE)&amp;"",""))</f>
      </c>
      <c r="H931" s="17">
        <f>IF(Log[[#This Row],[Date]]="","",INT((Log[[#This Row],[Date]]-Sprint1)/SprintDays)+1)</f>
      </c>
      <c r="I931" s="17">
        <f>IF(OR(Log[[#This Row],[Verb]]="commit",Log[[#This Row],[Verb]]="carry",Log[[#This Row],[Verb]]="redo"),IF(Log[[#This Row],[Arg]]="",Log[[#This Row],[Sprint]],N(Log[[#This Row],[Arg]])),"")</f>
      </c>
      <c r="J931" s="17">
        <f>IF(Log[[#This Row],[Verb]]="block",1,IF(OR(Log[[#This Row],[Verb]]="unblock",Log[[#This Row],[Verb]]="done",Log[[#This Row],[Verb]]="drop",Log[[#This Row],[Verb]]="punt",Log[[#This Row],[Verb]]="pass"),0,""))</f>
      </c>
      <c r="K931" s="17">
        <f>IF(Log[[#This Row],[ID]]="",0,IFERROR(INDEX(Items[Pts],MATCH(Log[[#This Row],[ID]],Items[ID],0))*1,0))</f>
      </c>
      <c r="L931" s="17">
        <f>IF(Log[[#This Row],[ID]]="","",IFERROR(INDEX(Items[Cur team],MATCH(Log[[#This Row],[ID]],Items[ID],0))&amp;"",""))</f>
      </c>
      <c r="M931" s="17">
        <f>IF(OR(Log[[#This Row],[Verb]]="done",Log[[#This Row],[Verb]]="punt",Log[[#This Row],[Verb]]="drop",Log[[#This Row],[Verb]]="pass"),Log[[#This Row],[Pts]],0)</f>
      </c>
    </row>
    <row r="932">
      <c r="A932" s="11">
        <v>46174</v>
      </c>
      <c r="B932" t="s">
        <v>503</v>
      </c>
      <c r="C932" t="s">
        <v>41</v>
      </c>
      <c r="F932" s="17">
        <f>IF(Log[[#This Row],[ID]]="","",IF(ISNA(MATCH(Log[[#This Row],[ID]],Items[ID],0)),"unknown ID",IF(ISNA(MATCH(Log[[#This Row],[Verb]],VerbList,0)),"unknown verb",IF(Log[[#This Row],[Date]]="","no date",""))))</f>
      </c>
      <c r="G932" s="17">
        <f>IF(Log[[#This Row],[ID]]="","",IFERROR(VLOOKUP(Log[[#This Row],[Verb]],Verbs,3,FALSE)&amp;"",""))</f>
      </c>
      <c r="H932" s="17">
        <f>IF(Log[[#This Row],[Date]]="","",INT((Log[[#This Row],[Date]]-Sprint1)/SprintDays)+1)</f>
      </c>
      <c r="I932" s="17">
        <f>IF(OR(Log[[#This Row],[Verb]]="commit",Log[[#This Row],[Verb]]="carry",Log[[#This Row],[Verb]]="redo"),IF(Log[[#This Row],[Arg]]="",Log[[#This Row],[Sprint]],N(Log[[#This Row],[Arg]])),"")</f>
      </c>
      <c r="J932" s="17">
        <f>IF(Log[[#This Row],[Verb]]="block",1,IF(OR(Log[[#This Row],[Verb]]="unblock",Log[[#This Row],[Verb]]="done",Log[[#This Row],[Verb]]="drop",Log[[#This Row],[Verb]]="punt",Log[[#This Row],[Verb]]="pass"),0,""))</f>
      </c>
      <c r="K932" s="17">
        <f>IF(Log[[#This Row],[ID]]="",0,IFERROR(INDEX(Items[Pts],MATCH(Log[[#This Row],[ID]],Items[ID],0))*1,0))</f>
      </c>
      <c r="L932" s="17">
        <f>IF(Log[[#This Row],[ID]]="","",IFERROR(INDEX(Items[Cur team],MATCH(Log[[#This Row],[ID]],Items[ID],0))&amp;"",""))</f>
      </c>
      <c r="M932" s="17">
        <f>IF(OR(Log[[#This Row],[Verb]]="done",Log[[#This Row],[Verb]]="punt",Log[[#This Row],[Verb]]="drop",Log[[#This Row],[Verb]]="pass"),Log[[#This Row],[Pts]],0)</f>
      </c>
    </row>
    <row r="933">
      <c r="A933" s="11">
        <v>46174</v>
      </c>
      <c r="B933" t="s">
        <v>504</v>
      </c>
      <c r="C933" t="s">
        <v>41</v>
      </c>
      <c r="F933" s="17">
        <f>IF(Log[[#This Row],[ID]]="","",IF(ISNA(MATCH(Log[[#This Row],[ID]],Items[ID],0)),"unknown ID",IF(ISNA(MATCH(Log[[#This Row],[Verb]],VerbList,0)),"unknown verb",IF(Log[[#This Row],[Date]]="","no date",""))))</f>
      </c>
      <c r="G933" s="17">
        <f>IF(Log[[#This Row],[ID]]="","",IFERROR(VLOOKUP(Log[[#This Row],[Verb]],Verbs,3,FALSE)&amp;"",""))</f>
      </c>
      <c r="H933" s="17">
        <f>IF(Log[[#This Row],[Date]]="","",INT((Log[[#This Row],[Date]]-Sprint1)/SprintDays)+1)</f>
      </c>
      <c r="I933" s="17">
        <f>IF(OR(Log[[#This Row],[Verb]]="commit",Log[[#This Row],[Verb]]="carry",Log[[#This Row],[Verb]]="redo"),IF(Log[[#This Row],[Arg]]="",Log[[#This Row],[Sprint]],N(Log[[#This Row],[Arg]])),"")</f>
      </c>
      <c r="J933" s="17">
        <f>IF(Log[[#This Row],[Verb]]="block",1,IF(OR(Log[[#This Row],[Verb]]="unblock",Log[[#This Row],[Verb]]="done",Log[[#This Row],[Verb]]="drop",Log[[#This Row],[Verb]]="punt",Log[[#This Row],[Verb]]="pass"),0,""))</f>
      </c>
      <c r="K933" s="17">
        <f>IF(Log[[#This Row],[ID]]="",0,IFERROR(INDEX(Items[Pts],MATCH(Log[[#This Row],[ID]],Items[ID],0))*1,0))</f>
      </c>
      <c r="L933" s="17">
        <f>IF(Log[[#This Row],[ID]]="","",IFERROR(INDEX(Items[Cur team],MATCH(Log[[#This Row],[ID]],Items[ID],0))&amp;"",""))</f>
      </c>
      <c r="M933" s="17">
        <f>IF(OR(Log[[#This Row],[Verb]]="done",Log[[#This Row],[Verb]]="punt",Log[[#This Row],[Verb]]="drop",Log[[#This Row],[Verb]]="pass"),Log[[#This Row],[Pts]],0)</f>
      </c>
    </row>
    <row r="934">
      <c r="A934" s="11">
        <v>46174</v>
      </c>
      <c r="B934" t="s">
        <v>507</v>
      </c>
      <c r="C934" t="s">
        <v>41</v>
      </c>
      <c r="F934" s="17">
        <f>IF(Log[[#This Row],[ID]]="","",IF(ISNA(MATCH(Log[[#This Row],[ID]],Items[ID],0)),"unknown ID",IF(ISNA(MATCH(Log[[#This Row],[Verb]],VerbList,0)),"unknown verb",IF(Log[[#This Row],[Date]]="","no date",""))))</f>
      </c>
      <c r="G934" s="17">
        <f>IF(Log[[#This Row],[ID]]="","",IFERROR(VLOOKUP(Log[[#This Row],[Verb]],Verbs,3,FALSE)&amp;"",""))</f>
      </c>
      <c r="H934" s="17">
        <f>IF(Log[[#This Row],[Date]]="","",INT((Log[[#This Row],[Date]]-Sprint1)/SprintDays)+1)</f>
      </c>
      <c r="I934" s="17">
        <f>IF(OR(Log[[#This Row],[Verb]]="commit",Log[[#This Row],[Verb]]="carry",Log[[#This Row],[Verb]]="redo"),IF(Log[[#This Row],[Arg]]="",Log[[#This Row],[Sprint]],N(Log[[#This Row],[Arg]])),"")</f>
      </c>
      <c r="J934" s="17">
        <f>IF(Log[[#This Row],[Verb]]="block",1,IF(OR(Log[[#This Row],[Verb]]="unblock",Log[[#This Row],[Verb]]="done",Log[[#This Row],[Verb]]="drop",Log[[#This Row],[Verb]]="punt",Log[[#This Row],[Verb]]="pass"),0,""))</f>
      </c>
      <c r="K934" s="17">
        <f>IF(Log[[#This Row],[ID]]="",0,IFERROR(INDEX(Items[Pts],MATCH(Log[[#This Row],[ID]],Items[ID],0))*1,0))</f>
      </c>
      <c r="L934" s="17">
        <f>IF(Log[[#This Row],[ID]]="","",IFERROR(INDEX(Items[Cur team],MATCH(Log[[#This Row],[ID]],Items[ID],0))&amp;"",""))</f>
      </c>
      <c r="M934" s="17">
        <f>IF(OR(Log[[#This Row],[Verb]]="done",Log[[#This Row],[Verb]]="punt",Log[[#This Row],[Verb]]="drop",Log[[#This Row],[Verb]]="pass"),Log[[#This Row],[Pts]],0)</f>
      </c>
    </row>
    <row r="935">
      <c r="A935" s="11">
        <v>46174</v>
      </c>
      <c r="B935" t="s">
        <v>551</v>
      </c>
      <c r="C935" t="s">
        <v>41</v>
      </c>
      <c r="F935" s="17">
        <f>IF(Log[[#This Row],[ID]]="","",IF(ISNA(MATCH(Log[[#This Row],[ID]],Items[ID],0)),"unknown ID",IF(ISNA(MATCH(Log[[#This Row],[Verb]],VerbList,0)),"unknown verb",IF(Log[[#This Row],[Date]]="","no date",""))))</f>
      </c>
      <c r="G935" s="17">
        <f>IF(Log[[#This Row],[ID]]="","",IFERROR(VLOOKUP(Log[[#This Row],[Verb]],Verbs,3,FALSE)&amp;"",""))</f>
      </c>
      <c r="H935" s="17">
        <f>IF(Log[[#This Row],[Date]]="","",INT((Log[[#This Row],[Date]]-Sprint1)/SprintDays)+1)</f>
      </c>
      <c r="I935" s="17">
        <f>IF(OR(Log[[#This Row],[Verb]]="commit",Log[[#This Row],[Verb]]="carry",Log[[#This Row],[Verb]]="redo"),IF(Log[[#This Row],[Arg]]="",Log[[#This Row],[Sprint]],N(Log[[#This Row],[Arg]])),"")</f>
      </c>
      <c r="J935" s="17">
        <f>IF(Log[[#This Row],[Verb]]="block",1,IF(OR(Log[[#This Row],[Verb]]="unblock",Log[[#This Row],[Verb]]="done",Log[[#This Row],[Verb]]="drop",Log[[#This Row],[Verb]]="punt",Log[[#This Row],[Verb]]="pass"),0,""))</f>
      </c>
      <c r="K935" s="17">
        <f>IF(Log[[#This Row],[ID]]="",0,IFERROR(INDEX(Items[Pts],MATCH(Log[[#This Row],[ID]],Items[ID],0))*1,0))</f>
      </c>
      <c r="L935" s="17">
        <f>IF(Log[[#This Row],[ID]]="","",IFERROR(INDEX(Items[Cur team],MATCH(Log[[#This Row],[ID]],Items[ID],0))&amp;"",""))</f>
      </c>
      <c r="M935" s="17">
        <f>IF(OR(Log[[#This Row],[Verb]]="done",Log[[#This Row],[Verb]]="punt",Log[[#This Row],[Verb]]="drop",Log[[#This Row],[Verb]]="pass"),Log[[#This Row],[Pts]],0)</f>
      </c>
    </row>
    <row r="936">
      <c r="A936" s="11">
        <v>46174</v>
      </c>
      <c r="B936" t="s">
        <v>552</v>
      </c>
      <c r="C936" t="s">
        <v>41</v>
      </c>
      <c r="F936" s="17">
        <f>IF(Log[[#This Row],[ID]]="","",IF(ISNA(MATCH(Log[[#This Row],[ID]],Items[ID],0)),"unknown ID",IF(ISNA(MATCH(Log[[#This Row],[Verb]],VerbList,0)),"unknown verb",IF(Log[[#This Row],[Date]]="","no date",""))))</f>
      </c>
      <c r="G936" s="17">
        <f>IF(Log[[#This Row],[ID]]="","",IFERROR(VLOOKUP(Log[[#This Row],[Verb]],Verbs,3,FALSE)&amp;"",""))</f>
      </c>
      <c r="H936" s="17">
        <f>IF(Log[[#This Row],[Date]]="","",INT((Log[[#This Row],[Date]]-Sprint1)/SprintDays)+1)</f>
      </c>
      <c r="I936" s="17">
        <f>IF(OR(Log[[#This Row],[Verb]]="commit",Log[[#This Row],[Verb]]="carry",Log[[#This Row],[Verb]]="redo"),IF(Log[[#This Row],[Arg]]="",Log[[#This Row],[Sprint]],N(Log[[#This Row],[Arg]])),"")</f>
      </c>
      <c r="J936" s="17">
        <f>IF(Log[[#This Row],[Verb]]="block",1,IF(OR(Log[[#This Row],[Verb]]="unblock",Log[[#This Row],[Verb]]="done",Log[[#This Row],[Verb]]="drop",Log[[#This Row],[Verb]]="punt",Log[[#This Row],[Verb]]="pass"),0,""))</f>
      </c>
      <c r="K936" s="17">
        <f>IF(Log[[#This Row],[ID]]="",0,IFERROR(INDEX(Items[Pts],MATCH(Log[[#This Row],[ID]],Items[ID],0))*1,0))</f>
      </c>
      <c r="L936" s="17">
        <f>IF(Log[[#This Row],[ID]]="","",IFERROR(INDEX(Items[Cur team],MATCH(Log[[#This Row],[ID]],Items[ID],0))&amp;"",""))</f>
      </c>
      <c r="M936" s="17">
        <f>IF(OR(Log[[#This Row],[Verb]]="done",Log[[#This Row],[Verb]]="punt",Log[[#This Row],[Verb]]="drop",Log[[#This Row],[Verb]]="pass"),Log[[#This Row],[Pts]],0)</f>
      </c>
    </row>
    <row r="937">
      <c r="A937" s="11">
        <v>46174</v>
      </c>
      <c r="B937" t="s">
        <v>553</v>
      </c>
      <c r="C937" t="s">
        <v>41</v>
      </c>
      <c r="F937" s="17">
        <f>IF(Log[[#This Row],[ID]]="","",IF(ISNA(MATCH(Log[[#This Row],[ID]],Items[ID],0)),"unknown ID",IF(ISNA(MATCH(Log[[#This Row],[Verb]],VerbList,0)),"unknown verb",IF(Log[[#This Row],[Date]]="","no date",""))))</f>
      </c>
      <c r="G937" s="17">
        <f>IF(Log[[#This Row],[ID]]="","",IFERROR(VLOOKUP(Log[[#This Row],[Verb]],Verbs,3,FALSE)&amp;"",""))</f>
      </c>
      <c r="H937" s="17">
        <f>IF(Log[[#This Row],[Date]]="","",INT((Log[[#This Row],[Date]]-Sprint1)/SprintDays)+1)</f>
      </c>
      <c r="I937" s="17">
        <f>IF(OR(Log[[#This Row],[Verb]]="commit",Log[[#This Row],[Verb]]="carry",Log[[#This Row],[Verb]]="redo"),IF(Log[[#This Row],[Arg]]="",Log[[#This Row],[Sprint]],N(Log[[#This Row],[Arg]])),"")</f>
      </c>
      <c r="J937" s="17">
        <f>IF(Log[[#This Row],[Verb]]="block",1,IF(OR(Log[[#This Row],[Verb]]="unblock",Log[[#This Row],[Verb]]="done",Log[[#This Row],[Verb]]="drop",Log[[#This Row],[Verb]]="punt",Log[[#This Row],[Verb]]="pass"),0,""))</f>
      </c>
      <c r="K937" s="17">
        <f>IF(Log[[#This Row],[ID]]="",0,IFERROR(INDEX(Items[Pts],MATCH(Log[[#This Row],[ID]],Items[ID],0))*1,0))</f>
      </c>
      <c r="L937" s="17">
        <f>IF(Log[[#This Row],[ID]]="","",IFERROR(INDEX(Items[Cur team],MATCH(Log[[#This Row],[ID]],Items[ID],0))&amp;"",""))</f>
      </c>
      <c r="M937" s="17">
        <f>IF(OR(Log[[#This Row],[Verb]]="done",Log[[#This Row],[Verb]]="punt",Log[[#This Row],[Verb]]="drop",Log[[#This Row],[Verb]]="pass"),Log[[#This Row],[Pts]],0)</f>
      </c>
    </row>
    <row r="938">
      <c r="A938" s="11">
        <v>46174</v>
      </c>
      <c r="B938" t="s">
        <v>554</v>
      </c>
      <c r="C938" t="s">
        <v>41</v>
      </c>
      <c r="F938" s="17">
        <f>IF(Log[[#This Row],[ID]]="","",IF(ISNA(MATCH(Log[[#This Row],[ID]],Items[ID],0)),"unknown ID",IF(ISNA(MATCH(Log[[#This Row],[Verb]],VerbList,0)),"unknown verb",IF(Log[[#This Row],[Date]]="","no date",""))))</f>
      </c>
      <c r="G938" s="17">
        <f>IF(Log[[#This Row],[ID]]="","",IFERROR(VLOOKUP(Log[[#This Row],[Verb]],Verbs,3,FALSE)&amp;"",""))</f>
      </c>
      <c r="H938" s="17">
        <f>IF(Log[[#This Row],[Date]]="","",INT((Log[[#This Row],[Date]]-Sprint1)/SprintDays)+1)</f>
      </c>
      <c r="I938" s="17">
        <f>IF(OR(Log[[#This Row],[Verb]]="commit",Log[[#This Row],[Verb]]="carry",Log[[#This Row],[Verb]]="redo"),IF(Log[[#This Row],[Arg]]="",Log[[#This Row],[Sprint]],N(Log[[#This Row],[Arg]])),"")</f>
      </c>
      <c r="J938" s="17">
        <f>IF(Log[[#This Row],[Verb]]="block",1,IF(OR(Log[[#This Row],[Verb]]="unblock",Log[[#This Row],[Verb]]="done",Log[[#This Row],[Verb]]="drop",Log[[#This Row],[Verb]]="punt",Log[[#This Row],[Verb]]="pass"),0,""))</f>
      </c>
      <c r="K938" s="17">
        <f>IF(Log[[#This Row],[ID]]="",0,IFERROR(INDEX(Items[Pts],MATCH(Log[[#This Row],[ID]],Items[ID],0))*1,0))</f>
      </c>
      <c r="L938" s="17">
        <f>IF(Log[[#This Row],[ID]]="","",IFERROR(INDEX(Items[Cur team],MATCH(Log[[#This Row],[ID]],Items[ID],0))&amp;"",""))</f>
      </c>
      <c r="M938" s="17">
        <f>IF(OR(Log[[#This Row],[Verb]]="done",Log[[#This Row],[Verb]]="punt",Log[[#This Row],[Verb]]="drop",Log[[#This Row],[Verb]]="pass"),Log[[#This Row],[Pts]],0)</f>
      </c>
    </row>
    <row r="939">
      <c r="A939" s="11">
        <v>46174</v>
      </c>
      <c r="B939" t="s">
        <v>555</v>
      </c>
      <c r="C939" t="s">
        <v>41</v>
      </c>
      <c r="F939" s="17">
        <f>IF(Log[[#This Row],[ID]]="","",IF(ISNA(MATCH(Log[[#This Row],[ID]],Items[ID],0)),"unknown ID",IF(ISNA(MATCH(Log[[#This Row],[Verb]],VerbList,0)),"unknown verb",IF(Log[[#This Row],[Date]]="","no date",""))))</f>
      </c>
      <c r="G939" s="17">
        <f>IF(Log[[#This Row],[ID]]="","",IFERROR(VLOOKUP(Log[[#This Row],[Verb]],Verbs,3,FALSE)&amp;"",""))</f>
      </c>
      <c r="H939" s="17">
        <f>IF(Log[[#This Row],[Date]]="","",INT((Log[[#This Row],[Date]]-Sprint1)/SprintDays)+1)</f>
      </c>
      <c r="I939" s="17">
        <f>IF(OR(Log[[#This Row],[Verb]]="commit",Log[[#This Row],[Verb]]="carry",Log[[#This Row],[Verb]]="redo"),IF(Log[[#This Row],[Arg]]="",Log[[#This Row],[Sprint]],N(Log[[#This Row],[Arg]])),"")</f>
      </c>
      <c r="J939" s="17">
        <f>IF(Log[[#This Row],[Verb]]="block",1,IF(OR(Log[[#This Row],[Verb]]="unblock",Log[[#This Row],[Verb]]="done",Log[[#This Row],[Verb]]="drop",Log[[#This Row],[Verb]]="punt",Log[[#This Row],[Verb]]="pass"),0,""))</f>
      </c>
      <c r="K939" s="17">
        <f>IF(Log[[#This Row],[ID]]="",0,IFERROR(INDEX(Items[Pts],MATCH(Log[[#This Row],[ID]],Items[ID],0))*1,0))</f>
      </c>
      <c r="L939" s="17">
        <f>IF(Log[[#This Row],[ID]]="","",IFERROR(INDEX(Items[Cur team],MATCH(Log[[#This Row],[ID]],Items[ID],0))&amp;"",""))</f>
      </c>
      <c r="M939" s="17">
        <f>IF(OR(Log[[#This Row],[Verb]]="done",Log[[#This Row],[Verb]]="punt",Log[[#This Row],[Verb]]="drop",Log[[#This Row],[Verb]]="pass"),Log[[#This Row],[Pts]],0)</f>
      </c>
    </row>
    <row r="940">
      <c r="A940" s="11">
        <v>46174</v>
      </c>
      <c r="B940" t="s">
        <v>556</v>
      </c>
      <c r="C940" t="s">
        <v>41</v>
      </c>
      <c r="F940" s="17">
        <f>IF(Log[[#This Row],[ID]]="","",IF(ISNA(MATCH(Log[[#This Row],[ID]],Items[ID],0)),"unknown ID",IF(ISNA(MATCH(Log[[#This Row],[Verb]],VerbList,0)),"unknown verb",IF(Log[[#This Row],[Date]]="","no date",""))))</f>
      </c>
      <c r="G940" s="17">
        <f>IF(Log[[#This Row],[ID]]="","",IFERROR(VLOOKUP(Log[[#This Row],[Verb]],Verbs,3,FALSE)&amp;"",""))</f>
      </c>
      <c r="H940" s="17">
        <f>IF(Log[[#This Row],[Date]]="","",INT((Log[[#This Row],[Date]]-Sprint1)/SprintDays)+1)</f>
      </c>
      <c r="I940" s="17">
        <f>IF(OR(Log[[#This Row],[Verb]]="commit",Log[[#This Row],[Verb]]="carry",Log[[#This Row],[Verb]]="redo"),IF(Log[[#This Row],[Arg]]="",Log[[#This Row],[Sprint]],N(Log[[#This Row],[Arg]])),"")</f>
      </c>
      <c r="J940" s="17">
        <f>IF(Log[[#This Row],[Verb]]="block",1,IF(OR(Log[[#This Row],[Verb]]="unblock",Log[[#This Row],[Verb]]="done",Log[[#This Row],[Verb]]="drop",Log[[#This Row],[Verb]]="punt",Log[[#This Row],[Verb]]="pass"),0,""))</f>
      </c>
      <c r="K940" s="17">
        <f>IF(Log[[#This Row],[ID]]="",0,IFERROR(INDEX(Items[Pts],MATCH(Log[[#This Row],[ID]],Items[ID],0))*1,0))</f>
      </c>
      <c r="L940" s="17">
        <f>IF(Log[[#This Row],[ID]]="","",IFERROR(INDEX(Items[Cur team],MATCH(Log[[#This Row],[ID]],Items[ID],0))&amp;"",""))</f>
      </c>
      <c r="M940" s="17">
        <f>IF(OR(Log[[#This Row],[Verb]]="done",Log[[#This Row],[Verb]]="punt",Log[[#This Row],[Verb]]="drop",Log[[#This Row],[Verb]]="pass"),Log[[#This Row],[Pts]],0)</f>
      </c>
    </row>
    <row r="941">
      <c r="A941" s="11">
        <v>46174</v>
      </c>
      <c r="B941" t="s">
        <v>450</v>
      </c>
      <c r="C941" t="s">
        <v>41</v>
      </c>
      <c r="F941" s="17">
        <f>IF(Log[[#This Row],[ID]]="","",IF(ISNA(MATCH(Log[[#This Row],[ID]],Items[ID],0)),"unknown ID",IF(ISNA(MATCH(Log[[#This Row],[Verb]],VerbList,0)),"unknown verb",IF(Log[[#This Row],[Date]]="","no date",""))))</f>
      </c>
      <c r="G941" s="17">
        <f>IF(Log[[#This Row],[ID]]="","",IFERROR(VLOOKUP(Log[[#This Row],[Verb]],Verbs,3,FALSE)&amp;"",""))</f>
      </c>
      <c r="H941" s="17">
        <f>IF(Log[[#This Row],[Date]]="","",INT((Log[[#This Row],[Date]]-Sprint1)/SprintDays)+1)</f>
      </c>
      <c r="I941" s="17">
        <f>IF(OR(Log[[#This Row],[Verb]]="commit",Log[[#This Row],[Verb]]="carry",Log[[#This Row],[Verb]]="redo"),IF(Log[[#This Row],[Arg]]="",Log[[#This Row],[Sprint]],N(Log[[#This Row],[Arg]])),"")</f>
      </c>
      <c r="J941" s="17">
        <f>IF(Log[[#This Row],[Verb]]="block",1,IF(OR(Log[[#This Row],[Verb]]="unblock",Log[[#This Row],[Verb]]="done",Log[[#This Row],[Verb]]="drop",Log[[#This Row],[Verb]]="punt",Log[[#This Row],[Verb]]="pass"),0,""))</f>
      </c>
      <c r="K941" s="17">
        <f>IF(Log[[#This Row],[ID]]="",0,IFERROR(INDEX(Items[Pts],MATCH(Log[[#This Row],[ID]],Items[ID],0))*1,0))</f>
      </c>
      <c r="L941" s="17">
        <f>IF(Log[[#This Row],[ID]]="","",IFERROR(INDEX(Items[Cur team],MATCH(Log[[#This Row],[ID]],Items[ID],0))&amp;"",""))</f>
      </c>
      <c r="M941" s="17">
        <f>IF(OR(Log[[#This Row],[Verb]]="done",Log[[#This Row],[Verb]]="punt",Log[[#This Row],[Verb]]="drop",Log[[#This Row],[Verb]]="pass"),Log[[#This Row],[Pts]],0)</f>
      </c>
    </row>
    <row r="942">
      <c r="A942" s="11">
        <v>46174</v>
      </c>
      <c r="B942" t="s">
        <v>508</v>
      </c>
      <c r="C942" t="s">
        <v>41</v>
      </c>
      <c r="F942" s="17">
        <f>IF(Log[[#This Row],[ID]]="","",IF(ISNA(MATCH(Log[[#This Row],[ID]],Items[ID],0)),"unknown ID",IF(ISNA(MATCH(Log[[#This Row],[Verb]],VerbList,0)),"unknown verb",IF(Log[[#This Row],[Date]]="","no date",""))))</f>
      </c>
      <c r="G942" s="17">
        <f>IF(Log[[#This Row],[ID]]="","",IFERROR(VLOOKUP(Log[[#This Row],[Verb]],Verbs,3,FALSE)&amp;"",""))</f>
      </c>
      <c r="H942" s="17">
        <f>IF(Log[[#This Row],[Date]]="","",INT((Log[[#This Row],[Date]]-Sprint1)/SprintDays)+1)</f>
      </c>
      <c r="I942" s="17">
        <f>IF(OR(Log[[#This Row],[Verb]]="commit",Log[[#This Row],[Verb]]="carry",Log[[#This Row],[Verb]]="redo"),IF(Log[[#This Row],[Arg]]="",Log[[#This Row],[Sprint]],N(Log[[#This Row],[Arg]])),"")</f>
      </c>
      <c r="J942" s="17">
        <f>IF(Log[[#This Row],[Verb]]="block",1,IF(OR(Log[[#This Row],[Verb]]="unblock",Log[[#This Row],[Verb]]="done",Log[[#This Row],[Verb]]="drop",Log[[#This Row],[Verb]]="punt",Log[[#This Row],[Verb]]="pass"),0,""))</f>
      </c>
      <c r="K942" s="17">
        <f>IF(Log[[#This Row],[ID]]="",0,IFERROR(INDEX(Items[Pts],MATCH(Log[[#This Row],[ID]],Items[ID],0))*1,0))</f>
      </c>
      <c r="L942" s="17">
        <f>IF(Log[[#This Row],[ID]]="","",IFERROR(INDEX(Items[Cur team],MATCH(Log[[#This Row],[ID]],Items[ID],0))&amp;"",""))</f>
      </c>
      <c r="M942" s="17">
        <f>IF(OR(Log[[#This Row],[Verb]]="done",Log[[#This Row],[Verb]]="punt",Log[[#This Row],[Verb]]="drop",Log[[#This Row],[Verb]]="pass"),Log[[#This Row],[Pts]],0)</f>
      </c>
    </row>
    <row r="943">
      <c r="A943" s="11">
        <v>46174</v>
      </c>
      <c r="B943" t="s">
        <v>512</v>
      </c>
      <c r="C943" t="s">
        <v>41</v>
      </c>
      <c r="F943" s="17">
        <f>IF(Log[[#This Row],[ID]]="","",IF(ISNA(MATCH(Log[[#This Row],[ID]],Items[ID],0)),"unknown ID",IF(ISNA(MATCH(Log[[#This Row],[Verb]],VerbList,0)),"unknown verb",IF(Log[[#This Row],[Date]]="","no date",""))))</f>
      </c>
      <c r="G943" s="17">
        <f>IF(Log[[#This Row],[ID]]="","",IFERROR(VLOOKUP(Log[[#This Row],[Verb]],Verbs,3,FALSE)&amp;"",""))</f>
      </c>
      <c r="H943" s="17">
        <f>IF(Log[[#This Row],[Date]]="","",INT((Log[[#This Row],[Date]]-Sprint1)/SprintDays)+1)</f>
      </c>
      <c r="I943" s="17">
        <f>IF(OR(Log[[#This Row],[Verb]]="commit",Log[[#This Row],[Verb]]="carry",Log[[#This Row],[Verb]]="redo"),IF(Log[[#This Row],[Arg]]="",Log[[#This Row],[Sprint]],N(Log[[#This Row],[Arg]])),"")</f>
      </c>
      <c r="J943" s="17">
        <f>IF(Log[[#This Row],[Verb]]="block",1,IF(OR(Log[[#This Row],[Verb]]="unblock",Log[[#This Row],[Verb]]="done",Log[[#This Row],[Verb]]="drop",Log[[#This Row],[Verb]]="punt",Log[[#This Row],[Verb]]="pass"),0,""))</f>
      </c>
      <c r="K943" s="17">
        <f>IF(Log[[#This Row],[ID]]="",0,IFERROR(INDEX(Items[Pts],MATCH(Log[[#This Row],[ID]],Items[ID],0))*1,0))</f>
      </c>
      <c r="L943" s="17">
        <f>IF(Log[[#This Row],[ID]]="","",IFERROR(INDEX(Items[Cur team],MATCH(Log[[#This Row],[ID]],Items[ID],0))&amp;"",""))</f>
      </c>
      <c r="M943" s="17">
        <f>IF(OR(Log[[#This Row],[Verb]]="done",Log[[#This Row],[Verb]]="punt",Log[[#This Row],[Verb]]="drop",Log[[#This Row],[Verb]]="pass"),Log[[#This Row],[Pts]],0)</f>
      </c>
    </row>
    <row r="944">
      <c r="A944" s="11">
        <v>46174</v>
      </c>
      <c r="B944" t="s">
        <v>557</v>
      </c>
      <c r="C944" t="s">
        <v>41</v>
      </c>
      <c r="F944" s="17">
        <f>IF(Log[[#This Row],[ID]]="","",IF(ISNA(MATCH(Log[[#This Row],[ID]],Items[ID],0)),"unknown ID",IF(ISNA(MATCH(Log[[#This Row],[Verb]],VerbList,0)),"unknown verb",IF(Log[[#This Row],[Date]]="","no date",""))))</f>
      </c>
      <c r="G944" s="17">
        <f>IF(Log[[#This Row],[ID]]="","",IFERROR(VLOOKUP(Log[[#This Row],[Verb]],Verbs,3,FALSE)&amp;"",""))</f>
      </c>
      <c r="H944" s="17">
        <f>IF(Log[[#This Row],[Date]]="","",INT((Log[[#This Row],[Date]]-Sprint1)/SprintDays)+1)</f>
      </c>
      <c r="I944" s="17">
        <f>IF(OR(Log[[#This Row],[Verb]]="commit",Log[[#This Row],[Verb]]="carry",Log[[#This Row],[Verb]]="redo"),IF(Log[[#This Row],[Arg]]="",Log[[#This Row],[Sprint]],N(Log[[#This Row],[Arg]])),"")</f>
      </c>
      <c r="J944" s="17">
        <f>IF(Log[[#This Row],[Verb]]="block",1,IF(OR(Log[[#This Row],[Verb]]="unblock",Log[[#This Row],[Verb]]="done",Log[[#This Row],[Verb]]="drop",Log[[#This Row],[Verb]]="punt",Log[[#This Row],[Verb]]="pass"),0,""))</f>
      </c>
      <c r="K944" s="17">
        <f>IF(Log[[#This Row],[ID]]="",0,IFERROR(INDEX(Items[Pts],MATCH(Log[[#This Row],[ID]],Items[ID],0))*1,0))</f>
      </c>
      <c r="L944" s="17">
        <f>IF(Log[[#This Row],[ID]]="","",IFERROR(INDEX(Items[Cur team],MATCH(Log[[#This Row],[ID]],Items[ID],0))&amp;"",""))</f>
      </c>
      <c r="M944" s="17">
        <f>IF(OR(Log[[#This Row],[Verb]]="done",Log[[#This Row],[Verb]]="punt",Log[[#This Row],[Verb]]="drop",Log[[#This Row],[Verb]]="pass"),Log[[#This Row],[Pts]],0)</f>
      </c>
    </row>
    <row r="945">
      <c r="A945" s="11">
        <v>46174</v>
      </c>
      <c r="B945" t="s">
        <v>558</v>
      </c>
      <c r="C945" t="s">
        <v>38</v>
      </c>
      <c r="D945">
        <v>45</v>
      </c>
      <c r="F945" s="17">
        <f>IF(Log[[#This Row],[ID]]="","",IF(ISNA(MATCH(Log[[#This Row],[ID]],Items[ID],0)),"unknown ID",IF(ISNA(MATCH(Log[[#This Row],[Verb]],VerbList,0)),"unknown verb",IF(Log[[#This Row],[Date]]="","no date",""))))</f>
      </c>
      <c r="G945" s="17">
        <f>IF(Log[[#This Row],[ID]]="","",IFERROR(VLOOKUP(Log[[#This Row],[Verb]],Verbs,3,FALSE)&amp;"",""))</f>
      </c>
      <c r="H945" s="17">
        <f>IF(Log[[#This Row],[Date]]="","",INT((Log[[#This Row],[Date]]-Sprint1)/SprintDays)+1)</f>
      </c>
      <c r="I945" s="17">
        <f>IF(OR(Log[[#This Row],[Verb]]="commit",Log[[#This Row],[Verb]]="carry",Log[[#This Row],[Verb]]="redo"),IF(Log[[#This Row],[Arg]]="",Log[[#This Row],[Sprint]],N(Log[[#This Row],[Arg]])),"")</f>
      </c>
      <c r="J945" s="17">
        <f>IF(Log[[#This Row],[Verb]]="block",1,IF(OR(Log[[#This Row],[Verb]]="unblock",Log[[#This Row],[Verb]]="done",Log[[#This Row],[Verb]]="drop",Log[[#This Row],[Verb]]="punt",Log[[#This Row],[Verb]]="pass"),0,""))</f>
      </c>
      <c r="K945" s="17">
        <f>IF(Log[[#This Row],[ID]]="",0,IFERROR(INDEX(Items[Pts],MATCH(Log[[#This Row],[ID]],Items[ID],0))*1,0))</f>
      </c>
      <c r="L945" s="17">
        <f>IF(Log[[#This Row],[ID]]="","",IFERROR(INDEX(Items[Cur team],MATCH(Log[[#This Row],[ID]],Items[ID],0))&amp;"",""))</f>
      </c>
      <c r="M945" s="17">
        <f>IF(OR(Log[[#This Row],[Verb]]="done",Log[[#This Row],[Verb]]="punt",Log[[#This Row],[Verb]]="drop",Log[[#This Row],[Verb]]="pass"),Log[[#This Row],[Pts]],0)</f>
      </c>
    </row>
    <row r="946">
      <c r="A946" s="11">
        <v>46174</v>
      </c>
      <c r="B946" t="s">
        <v>559</v>
      </c>
      <c r="C946" t="s">
        <v>41</v>
      </c>
      <c r="F946" s="17">
        <f>IF(Log[[#This Row],[ID]]="","",IF(ISNA(MATCH(Log[[#This Row],[ID]],Items[ID],0)),"unknown ID",IF(ISNA(MATCH(Log[[#This Row],[Verb]],VerbList,0)),"unknown verb",IF(Log[[#This Row],[Date]]="","no date",""))))</f>
      </c>
      <c r="G946" s="17">
        <f>IF(Log[[#This Row],[ID]]="","",IFERROR(VLOOKUP(Log[[#This Row],[Verb]],Verbs,3,FALSE)&amp;"",""))</f>
      </c>
      <c r="H946" s="17">
        <f>IF(Log[[#This Row],[Date]]="","",INT((Log[[#This Row],[Date]]-Sprint1)/SprintDays)+1)</f>
      </c>
      <c r="I946" s="17">
        <f>IF(OR(Log[[#This Row],[Verb]]="commit",Log[[#This Row],[Verb]]="carry",Log[[#This Row],[Verb]]="redo"),IF(Log[[#This Row],[Arg]]="",Log[[#This Row],[Sprint]],N(Log[[#This Row],[Arg]])),"")</f>
      </c>
      <c r="J946" s="17">
        <f>IF(Log[[#This Row],[Verb]]="block",1,IF(OR(Log[[#This Row],[Verb]]="unblock",Log[[#This Row],[Verb]]="done",Log[[#This Row],[Verb]]="drop",Log[[#This Row],[Verb]]="punt",Log[[#This Row],[Verb]]="pass"),0,""))</f>
      </c>
      <c r="K946" s="17">
        <f>IF(Log[[#This Row],[ID]]="",0,IFERROR(INDEX(Items[Pts],MATCH(Log[[#This Row],[ID]],Items[ID],0))*1,0))</f>
      </c>
      <c r="L946" s="17">
        <f>IF(Log[[#This Row],[ID]]="","",IFERROR(INDEX(Items[Cur team],MATCH(Log[[#This Row],[ID]],Items[ID],0))&amp;"",""))</f>
      </c>
      <c r="M946" s="17">
        <f>IF(OR(Log[[#This Row],[Verb]]="done",Log[[#This Row],[Verb]]="punt",Log[[#This Row],[Verb]]="drop",Log[[#This Row],[Verb]]="pass"),Log[[#This Row],[Pts]],0)</f>
      </c>
    </row>
    <row r="947">
      <c r="A947" s="11">
        <v>46174</v>
      </c>
      <c r="B947" t="s">
        <v>560</v>
      </c>
      <c r="C947" t="s">
        <v>41</v>
      </c>
      <c r="F947" s="17">
        <f>IF(Log[[#This Row],[ID]]="","",IF(ISNA(MATCH(Log[[#This Row],[ID]],Items[ID],0)),"unknown ID",IF(ISNA(MATCH(Log[[#This Row],[Verb]],VerbList,0)),"unknown verb",IF(Log[[#This Row],[Date]]="","no date",""))))</f>
      </c>
      <c r="G947" s="17">
        <f>IF(Log[[#This Row],[ID]]="","",IFERROR(VLOOKUP(Log[[#This Row],[Verb]],Verbs,3,FALSE)&amp;"",""))</f>
      </c>
      <c r="H947" s="17">
        <f>IF(Log[[#This Row],[Date]]="","",INT((Log[[#This Row],[Date]]-Sprint1)/SprintDays)+1)</f>
      </c>
      <c r="I947" s="17">
        <f>IF(OR(Log[[#This Row],[Verb]]="commit",Log[[#This Row],[Verb]]="carry",Log[[#This Row],[Verb]]="redo"),IF(Log[[#This Row],[Arg]]="",Log[[#This Row],[Sprint]],N(Log[[#This Row],[Arg]])),"")</f>
      </c>
      <c r="J947" s="17">
        <f>IF(Log[[#This Row],[Verb]]="block",1,IF(OR(Log[[#This Row],[Verb]]="unblock",Log[[#This Row],[Verb]]="done",Log[[#This Row],[Verb]]="drop",Log[[#This Row],[Verb]]="punt",Log[[#This Row],[Verb]]="pass"),0,""))</f>
      </c>
      <c r="K947" s="17">
        <f>IF(Log[[#This Row],[ID]]="",0,IFERROR(INDEX(Items[Pts],MATCH(Log[[#This Row],[ID]],Items[ID],0))*1,0))</f>
      </c>
      <c r="L947" s="17">
        <f>IF(Log[[#This Row],[ID]]="","",IFERROR(INDEX(Items[Cur team],MATCH(Log[[#This Row],[ID]],Items[ID],0))&amp;"",""))</f>
      </c>
      <c r="M947" s="17">
        <f>IF(OR(Log[[#This Row],[Verb]]="done",Log[[#This Row],[Verb]]="punt",Log[[#This Row],[Verb]]="drop",Log[[#This Row],[Verb]]="pass"),Log[[#This Row],[Pts]],0)</f>
      </c>
    </row>
    <row r="948">
      <c r="A948" s="11">
        <v>46174</v>
      </c>
      <c r="B948" t="s">
        <v>561</v>
      </c>
      <c r="C948" t="s">
        <v>38</v>
      </c>
      <c r="D948">
        <v>45</v>
      </c>
      <c r="F948" s="17">
        <f>IF(Log[[#This Row],[ID]]="","",IF(ISNA(MATCH(Log[[#This Row],[ID]],Items[ID],0)),"unknown ID",IF(ISNA(MATCH(Log[[#This Row],[Verb]],VerbList,0)),"unknown verb",IF(Log[[#This Row],[Date]]="","no date",""))))</f>
      </c>
      <c r="G948" s="17">
        <f>IF(Log[[#This Row],[ID]]="","",IFERROR(VLOOKUP(Log[[#This Row],[Verb]],Verbs,3,FALSE)&amp;"",""))</f>
      </c>
      <c r="H948" s="17">
        <f>IF(Log[[#This Row],[Date]]="","",INT((Log[[#This Row],[Date]]-Sprint1)/SprintDays)+1)</f>
      </c>
      <c r="I948" s="17">
        <f>IF(OR(Log[[#This Row],[Verb]]="commit",Log[[#This Row],[Verb]]="carry",Log[[#This Row],[Verb]]="redo"),IF(Log[[#This Row],[Arg]]="",Log[[#This Row],[Sprint]],N(Log[[#This Row],[Arg]])),"")</f>
      </c>
      <c r="J948" s="17">
        <f>IF(Log[[#This Row],[Verb]]="block",1,IF(OR(Log[[#This Row],[Verb]]="unblock",Log[[#This Row],[Verb]]="done",Log[[#This Row],[Verb]]="drop",Log[[#This Row],[Verb]]="punt",Log[[#This Row],[Verb]]="pass"),0,""))</f>
      </c>
      <c r="K948" s="17">
        <f>IF(Log[[#This Row],[ID]]="",0,IFERROR(INDEX(Items[Pts],MATCH(Log[[#This Row],[ID]],Items[ID],0))*1,0))</f>
      </c>
      <c r="L948" s="17">
        <f>IF(Log[[#This Row],[ID]]="","",IFERROR(INDEX(Items[Cur team],MATCH(Log[[#This Row],[ID]],Items[ID],0))&amp;"",""))</f>
      </c>
      <c r="M948" s="17">
        <f>IF(OR(Log[[#This Row],[Verb]]="done",Log[[#This Row],[Verb]]="punt",Log[[#This Row],[Verb]]="drop",Log[[#This Row],[Verb]]="pass"),Log[[#This Row],[Pts]],0)</f>
      </c>
    </row>
    <row r="949">
      <c r="A949" s="11">
        <v>46174</v>
      </c>
      <c r="B949" t="s">
        <v>402</v>
      </c>
      <c r="C949" t="s">
        <v>41</v>
      </c>
      <c r="F949" s="17">
        <f>IF(Log[[#This Row],[ID]]="","",IF(ISNA(MATCH(Log[[#This Row],[ID]],Items[ID],0)),"unknown ID",IF(ISNA(MATCH(Log[[#This Row],[Verb]],VerbList,0)),"unknown verb",IF(Log[[#This Row],[Date]]="","no date",""))))</f>
      </c>
      <c r="G949" s="17">
        <f>IF(Log[[#This Row],[ID]]="","",IFERROR(VLOOKUP(Log[[#This Row],[Verb]],Verbs,3,FALSE)&amp;"",""))</f>
      </c>
      <c r="H949" s="17">
        <f>IF(Log[[#This Row],[Date]]="","",INT((Log[[#This Row],[Date]]-Sprint1)/SprintDays)+1)</f>
      </c>
      <c r="I949" s="17">
        <f>IF(OR(Log[[#This Row],[Verb]]="commit",Log[[#This Row],[Verb]]="carry",Log[[#This Row],[Verb]]="redo"),IF(Log[[#This Row],[Arg]]="",Log[[#This Row],[Sprint]],N(Log[[#This Row],[Arg]])),"")</f>
      </c>
      <c r="J949" s="17">
        <f>IF(Log[[#This Row],[Verb]]="block",1,IF(OR(Log[[#This Row],[Verb]]="unblock",Log[[#This Row],[Verb]]="done",Log[[#This Row],[Verb]]="drop",Log[[#This Row],[Verb]]="punt",Log[[#This Row],[Verb]]="pass"),0,""))</f>
      </c>
      <c r="K949" s="17">
        <f>IF(Log[[#This Row],[ID]]="",0,IFERROR(INDEX(Items[Pts],MATCH(Log[[#This Row],[ID]],Items[ID],0))*1,0))</f>
      </c>
      <c r="L949" s="17">
        <f>IF(Log[[#This Row],[ID]]="","",IFERROR(INDEX(Items[Cur team],MATCH(Log[[#This Row],[ID]],Items[ID],0))&amp;"",""))</f>
      </c>
      <c r="M949" s="17">
        <f>IF(OR(Log[[#This Row],[Verb]]="done",Log[[#This Row],[Verb]]="punt",Log[[#This Row],[Verb]]="drop",Log[[#This Row],[Verb]]="pass"),Log[[#This Row],[Pts]],0)</f>
      </c>
    </row>
    <row r="950">
      <c r="A950" s="11">
        <v>46174</v>
      </c>
      <c r="B950" t="s">
        <v>562</v>
      </c>
      <c r="C950" t="s">
        <v>41</v>
      </c>
      <c r="F950" s="17">
        <f>IF(Log[[#This Row],[ID]]="","",IF(ISNA(MATCH(Log[[#This Row],[ID]],Items[ID],0)),"unknown ID",IF(ISNA(MATCH(Log[[#This Row],[Verb]],VerbList,0)),"unknown verb",IF(Log[[#This Row],[Date]]="","no date",""))))</f>
      </c>
      <c r="G950" s="17">
        <f>IF(Log[[#This Row],[ID]]="","",IFERROR(VLOOKUP(Log[[#This Row],[Verb]],Verbs,3,FALSE)&amp;"",""))</f>
      </c>
      <c r="H950" s="17">
        <f>IF(Log[[#This Row],[Date]]="","",INT((Log[[#This Row],[Date]]-Sprint1)/SprintDays)+1)</f>
      </c>
      <c r="I950" s="17">
        <f>IF(OR(Log[[#This Row],[Verb]]="commit",Log[[#This Row],[Verb]]="carry",Log[[#This Row],[Verb]]="redo"),IF(Log[[#This Row],[Arg]]="",Log[[#This Row],[Sprint]],N(Log[[#This Row],[Arg]])),"")</f>
      </c>
      <c r="J950" s="17">
        <f>IF(Log[[#This Row],[Verb]]="block",1,IF(OR(Log[[#This Row],[Verb]]="unblock",Log[[#This Row],[Verb]]="done",Log[[#This Row],[Verb]]="drop",Log[[#This Row],[Verb]]="punt",Log[[#This Row],[Verb]]="pass"),0,""))</f>
      </c>
      <c r="K950" s="17">
        <f>IF(Log[[#This Row],[ID]]="",0,IFERROR(INDEX(Items[Pts],MATCH(Log[[#This Row],[ID]],Items[ID],0))*1,0))</f>
      </c>
      <c r="L950" s="17">
        <f>IF(Log[[#This Row],[ID]]="","",IFERROR(INDEX(Items[Cur team],MATCH(Log[[#This Row],[ID]],Items[ID],0))&amp;"",""))</f>
      </c>
      <c r="M950" s="17">
        <f>IF(OR(Log[[#This Row],[Verb]]="done",Log[[#This Row],[Verb]]="punt",Log[[#This Row],[Verb]]="drop",Log[[#This Row],[Verb]]="pass"),Log[[#This Row],[Pts]],0)</f>
      </c>
    </row>
    <row r="951">
      <c r="A951" s="11">
        <v>46174</v>
      </c>
      <c r="B951" t="s">
        <v>563</v>
      </c>
      <c r="C951" t="s">
        <v>41</v>
      </c>
      <c r="F951" s="17">
        <f>IF(Log[[#This Row],[ID]]="","",IF(ISNA(MATCH(Log[[#This Row],[ID]],Items[ID],0)),"unknown ID",IF(ISNA(MATCH(Log[[#This Row],[Verb]],VerbList,0)),"unknown verb",IF(Log[[#This Row],[Date]]="","no date",""))))</f>
      </c>
      <c r="G951" s="17">
        <f>IF(Log[[#This Row],[ID]]="","",IFERROR(VLOOKUP(Log[[#This Row],[Verb]],Verbs,3,FALSE)&amp;"",""))</f>
      </c>
      <c r="H951" s="17">
        <f>IF(Log[[#This Row],[Date]]="","",INT((Log[[#This Row],[Date]]-Sprint1)/SprintDays)+1)</f>
      </c>
      <c r="I951" s="17">
        <f>IF(OR(Log[[#This Row],[Verb]]="commit",Log[[#This Row],[Verb]]="carry",Log[[#This Row],[Verb]]="redo"),IF(Log[[#This Row],[Arg]]="",Log[[#This Row],[Sprint]],N(Log[[#This Row],[Arg]])),"")</f>
      </c>
      <c r="J951" s="17">
        <f>IF(Log[[#This Row],[Verb]]="block",1,IF(OR(Log[[#This Row],[Verb]]="unblock",Log[[#This Row],[Verb]]="done",Log[[#This Row],[Verb]]="drop",Log[[#This Row],[Verb]]="punt",Log[[#This Row],[Verb]]="pass"),0,""))</f>
      </c>
      <c r="K951" s="17">
        <f>IF(Log[[#This Row],[ID]]="",0,IFERROR(INDEX(Items[Pts],MATCH(Log[[#This Row],[ID]],Items[ID],0))*1,0))</f>
      </c>
      <c r="L951" s="17">
        <f>IF(Log[[#This Row],[ID]]="","",IFERROR(INDEX(Items[Cur team],MATCH(Log[[#This Row],[ID]],Items[ID],0))&amp;"",""))</f>
      </c>
      <c r="M951" s="17">
        <f>IF(OR(Log[[#This Row],[Verb]]="done",Log[[#This Row],[Verb]]="punt",Log[[#This Row],[Verb]]="drop",Log[[#This Row],[Verb]]="pass"),Log[[#This Row],[Pts]],0)</f>
      </c>
    </row>
    <row r="952">
      <c r="A952" s="11">
        <v>46174</v>
      </c>
      <c r="B952" t="s">
        <v>564</v>
      </c>
      <c r="C952" t="s">
        <v>41</v>
      </c>
      <c r="F952" s="17">
        <f>IF(Log[[#This Row],[ID]]="","",IF(ISNA(MATCH(Log[[#This Row],[ID]],Items[ID],0)),"unknown ID",IF(ISNA(MATCH(Log[[#This Row],[Verb]],VerbList,0)),"unknown verb",IF(Log[[#This Row],[Date]]="","no date",""))))</f>
      </c>
      <c r="G952" s="17">
        <f>IF(Log[[#This Row],[ID]]="","",IFERROR(VLOOKUP(Log[[#This Row],[Verb]],Verbs,3,FALSE)&amp;"",""))</f>
      </c>
      <c r="H952" s="17">
        <f>IF(Log[[#This Row],[Date]]="","",INT((Log[[#This Row],[Date]]-Sprint1)/SprintDays)+1)</f>
      </c>
      <c r="I952" s="17">
        <f>IF(OR(Log[[#This Row],[Verb]]="commit",Log[[#This Row],[Verb]]="carry",Log[[#This Row],[Verb]]="redo"),IF(Log[[#This Row],[Arg]]="",Log[[#This Row],[Sprint]],N(Log[[#This Row],[Arg]])),"")</f>
      </c>
      <c r="J952" s="17">
        <f>IF(Log[[#This Row],[Verb]]="block",1,IF(OR(Log[[#This Row],[Verb]]="unblock",Log[[#This Row],[Verb]]="done",Log[[#This Row],[Verb]]="drop",Log[[#This Row],[Verb]]="punt",Log[[#This Row],[Verb]]="pass"),0,""))</f>
      </c>
      <c r="K952" s="17">
        <f>IF(Log[[#This Row],[ID]]="",0,IFERROR(INDEX(Items[Pts],MATCH(Log[[#This Row],[ID]],Items[ID],0))*1,0))</f>
      </c>
      <c r="L952" s="17">
        <f>IF(Log[[#This Row],[ID]]="","",IFERROR(INDEX(Items[Cur team],MATCH(Log[[#This Row],[ID]],Items[ID],0))&amp;"",""))</f>
      </c>
      <c r="M952" s="17">
        <f>IF(OR(Log[[#This Row],[Verb]]="done",Log[[#This Row],[Verb]]="punt",Log[[#This Row],[Verb]]="drop",Log[[#This Row],[Verb]]="pass"),Log[[#This Row],[Pts]],0)</f>
      </c>
    </row>
    <row r="953">
      <c r="A953" s="11">
        <v>46174</v>
      </c>
      <c r="B953" t="s">
        <v>565</v>
      </c>
      <c r="C953" t="s">
        <v>41</v>
      </c>
      <c r="F953" s="17">
        <f>IF(Log[[#This Row],[ID]]="","",IF(ISNA(MATCH(Log[[#This Row],[ID]],Items[ID],0)),"unknown ID",IF(ISNA(MATCH(Log[[#This Row],[Verb]],VerbList,0)),"unknown verb",IF(Log[[#This Row],[Date]]="","no date",""))))</f>
      </c>
      <c r="G953" s="17">
        <f>IF(Log[[#This Row],[ID]]="","",IFERROR(VLOOKUP(Log[[#This Row],[Verb]],Verbs,3,FALSE)&amp;"",""))</f>
      </c>
      <c r="H953" s="17">
        <f>IF(Log[[#This Row],[Date]]="","",INT((Log[[#This Row],[Date]]-Sprint1)/SprintDays)+1)</f>
      </c>
      <c r="I953" s="17">
        <f>IF(OR(Log[[#This Row],[Verb]]="commit",Log[[#This Row],[Verb]]="carry",Log[[#This Row],[Verb]]="redo"),IF(Log[[#This Row],[Arg]]="",Log[[#This Row],[Sprint]],N(Log[[#This Row],[Arg]])),"")</f>
      </c>
      <c r="J953" s="17">
        <f>IF(Log[[#This Row],[Verb]]="block",1,IF(OR(Log[[#This Row],[Verb]]="unblock",Log[[#This Row],[Verb]]="done",Log[[#This Row],[Verb]]="drop",Log[[#This Row],[Verb]]="punt",Log[[#This Row],[Verb]]="pass"),0,""))</f>
      </c>
      <c r="K953" s="17">
        <f>IF(Log[[#This Row],[ID]]="",0,IFERROR(INDEX(Items[Pts],MATCH(Log[[#This Row],[ID]],Items[ID],0))*1,0))</f>
      </c>
      <c r="L953" s="17">
        <f>IF(Log[[#This Row],[ID]]="","",IFERROR(INDEX(Items[Cur team],MATCH(Log[[#This Row],[ID]],Items[ID],0))&amp;"",""))</f>
      </c>
      <c r="M953" s="17">
        <f>IF(OR(Log[[#This Row],[Verb]]="done",Log[[#This Row],[Verb]]="punt",Log[[#This Row],[Verb]]="drop",Log[[#This Row],[Verb]]="pass"),Log[[#This Row],[Pts]],0)</f>
      </c>
    </row>
    <row r="954">
      <c r="A954" s="11">
        <v>46174</v>
      </c>
      <c r="B954" t="s">
        <v>566</v>
      </c>
      <c r="C954" t="s">
        <v>41</v>
      </c>
      <c r="F954" s="17">
        <f>IF(Log[[#This Row],[ID]]="","",IF(ISNA(MATCH(Log[[#This Row],[ID]],Items[ID],0)),"unknown ID",IF(ISNA(MATCH(Log[[#This Row],[Verb]],VerbList,0)),"unknown verb",IF(Log[[#This Row],[Date]]="","no date",""))))</f>
      </c>
      <c r="G954" s="17">
        <f>IF(Log[[#This Row],[ID]]="","",IFERROR(VLOOKUP(Log[[#This Row],[Verb]],Verbs,3,FALSE)&amp;"",""))</f>
      </c>
      <c r="H954" s="17">
        <f>IF(Log[[#This Row],[Date]]="","",INT((Log[[#This Row],[Date]]-Sprint1)/SprintDays)+1)</f>
      </c>
      <c r="I954" s="17">
        <f>IF(OR(Log[[#This Row],[Verb]]="commit",Log[[#This Row],[Verb]]="carry",Log[[#This Row],[Verb]]="redo"),IF(Log[[#This Row],[Arg]]="",Log[[#This Row],[Sprint]],N(Log[[#This Row],[Arg]])),"")</f>
      </c>
      <c r="J954" s="17">
        <f>IF(Log[[#This Row],[Verb]]="block",1,IF(OR(Log[[#This Row],[Verb]]="unblock",Log[[#This Row],[Verb]]="done",Log[[#This Row],[Verb]]="drop",Log[[#This Row],[Verb]]="punt",Log[[#This Row],[Verb]]="pass"),0,""))</f>
      </c>
      <c r="K954" s="17">
        <f>IF(Log[[#This Row],[ID]]="",0,IFERROR(INDEX(Items[Pts],MATCH(Log[[#This Row],[ID]],Items[ID],0))*1,0))</f>
      </c>
      <c r="L954" s="17">
        <f>IF(Log[[#This Row],[ID]]="","",IFERROR(INDEX(Items[Cur team],MATCH(Log[[#This Row],[ID]],Items[ID],0))&amp;"",""))</f>
      </c>
      <c r="M954" s="17">
        <f>IF(OR(Log[[#This Row],[Verb]]="done",Log[[#This Row],[Verb]]="punt",Log[[#This Row],[Verb]]="drop",Log[[#This Row],[Verb]]="pass"),Log[[#This Row],[Pts]],0)</f>
      </c>
    </row>
    <row r="955">
      <c r="A955" s="11">
        <v>46174</v>
      </c>
      <c r="B955" t="s">
        <v>567</v>
      </c>
      <c r="C955" t="s">
        <v>41</v>
      </c>
      <c r="F955" s="17">
        <f>IF(Log[[#This Row],[ID]]="","",IF(ISNA(MATCH(Log[[#This Row],[ID]],Items[ID],0)),"unknown ID",IF(ISNA(MATCH(Log[[#This Row],[Verb]],VerbList,0)),"unknown verb",IF(Log[[#This Row],[Date]]="","no date",""))))</f>
      </c>
      <c r="G955" s="17">
        <f>IF(Log[[#This Row],[ID]]="","",IFERROR(VLOOKUP(Log[[#This Row],[Verb]],Verbs,3,FALSE)&amp;"",""))</f>
      </c>
      <c r="H955" s="17">
        <f>IF(Log[[#This Row],[Date]]="","",INT((Log[[#This Row],[Date]]-Sprint1)/SprintDays)+1)</f>
      </c>
      <c r="I955" s="17">
        <f>IF(OR(Log[[#This Row],[Verb]]="commit",Log[[#This Row],[Verb]]="carry",Log[[#This Row],[Verb]]="redo"),IF(Log[[#This Row],[Arg]]="",Log[[#This Row],[Sprint]],N(Log[[#This Row],[Arg]])),"")</f>
      </c>
      <c r="J955" s="17">
        <f>IF(Log[[#This Row],[Verb]]="block",1,IF(OR(Log[[#This Row],[Verb]]="unblock",Log[[#This Row],[Verb]]="done",Log[[#This Row],[Verb]]="drop",Log[[#This Row],[Verb]]="punt",Log[[#This Row],[Verb]]="pass"),0,""))</f>
      </c>
      <c r="K955" s="17">
        <f>IF(Log[[#This Row],[ID]]="",0,IFERROR(INDEX(Items[Pts],MATCH(Log[[#This Row],[ID]],Items[ID],0))*1,0))</f>
      </c>
      <c r="L955" s="17">
        <f>IF(Log[[#This Row],[ID]]="","",IFERROR(INDEX(Items[Cur team],MATCH(Log[[#This Row],[ID]],Items[ID],0))&amp;"",""))</f>
      </c>
      <c r="M955" s="17">
        <f>IF(OR(Log[[#This Row],[Verb]]="done",Log[[#This Row],[Verb]]="punt",Log[[#This Row],[Verb]]="drop",Log[[#This Row],[Verb]]="pass"),Log[[#This Row],[Pts]],0)</f>
      </c>
    </row>
    <row r="956">
      <c r="A956" s="11">
        <v>46174</v>
      </c>
      <c r="B956" t="s">
        <v>520</v>
      </c>
      <c r="C956" t="s">
        <v>41</v>
      </c>
      <c r="F956" s="17">
        <f>IF(Log[[#This Row],[ID]]="","",IF(ISNA(MATCH(Log[[#This Row],[ID]],Items[ID],0)),"unknown ID",IF(ISNA(MATCH(Log[[#This Row],[Verb]],VerbList,0)),"unknown verb",IF(Log[[#This Row],[Date]]="","no date",""))))</f>
      </c>
      <c r="G956" s="17">
        <f>IF(Log[[#This Row],[ID]]="","",IFERROR(VLOOKUP(Log[[#This Row],[Verb]],Verbs,3,FALSE)&amp;"",""))</f>
      </c>
      <c r="H956" s="17">
        <f>IF(Log[[#This Row],[Date]]="","",INT((Log[[#This Row],[Date]]-Sprint1)/SprintDays)+1)</f>
      </c>
      <c r="I956" s="17">
        <f>IF(OR(Log[[#This Row],[Verb]]="commit",Log[[#This Row],[Verb]]="carry",Log[[#This Row],[Verb]]="redo"),IF(Log[[#This Row],[Arg]]="",Log[[#This Row],[Sprint]],N(Log[[#This Row],[Arg]])),"")</f>
      </c>
      <c r="J956" s="17">
        <f>IF(Log[[#This Row],[Verb]]="block",1,IF(OR(Log[[#This Row],[Verb]]="unblock",Log[[#This Row],[Verb]]="done",Log[[#This Row],[Verb]]="drop",Log[[#This Row],[Verb]]="punt",Log[[#This Row],[Verb]]="pass"),0,""))</f>
      </c>
      <c r="K956" s="17">
        <f>IF(Log[[#This Row],[ID]]="",0,IFERROR(INDEX(Items[Pts],MATCH(Log[[#This Row],[ID]],Items[ID],0))*1,0))</f>
      </c>
      <c r="L956" s="17">
        <f>IF(Log[[#This Row],[ID]]="","",IFERROR(INDEX(Items[Cur team],MATCH(Log[[#This Row],[ID]],Items[ID],0))&amp;"",""))</f>
      </c>
      <c r="M956" s="17">
        <f>IF(OR(Log[[#This Row],[Verb]]="done",Log[[#This Row],[Verb]]="punt",Log[[#This Row],[Verb]]="drop",Log[[#This Row],[Verb]]="pass"),Log[[#This Row],[Pts]],0)</f>
      </c>
    </row>
    <row r="957">
      <c r="A957" s="11">
        <v>46174</v>
      </c>
      <c r="B957" t="s">
        <v>568</v>
      </c>
      <c r="C957" t="s">
        <v>38</v>
      </c>
      <c r="D957">
        <v>45</v>
      </c>
      <c r="F957" s="17">
        <f>IF(Log[[#This Row],[ID]]="","",IF(ISNA(MATCH(Log[[#This Row],[ID]],Items[ID],0)),"unknown ID",IF(ISNA(MATCH(Log[[#This Row],[Verb]],VerbList,0)),"unknown verb",IF(Log[[#This Row],[Date]]="","no date",""))))</f>
      </c>
      <c r="G957" s="17">
        <f>IF(Log[[#This Row],[ID]]="","",IFERROR(VLOOKUP(Log[[#This Row],[Verb]],Verbs,3,FALSE)&amp;"",""))</f>
      </c>
      <c r="H957" s="17">
        <f>IF(Log[[#This Row],[Date]]="","",INT((Log[[#This Row],[Date]]-Sprint1)/SprintDays)+1)</f>
      </c>
      <c r="I957" s="17">
        <f>IF(OR(Log[[#This Row],[Verb]]="commit",Log[[#This Row],[Verb]]="carry",Log[[#This Row],[Verb]]="redo"),IF(Log[[#This Row],[Arg]]="",Log[[#This Row],[Sprint]],N(Log[[#This Row],[Arg]])),"")</f>
      </c>
      <c r="J957" s="17">
        <f>IF(Log[[#This Row],[Verb]]="block",1,IF(OR(Log[[#This Row],[Verb]]="unblock",Log[[#This Row],[Verb]]="done",Log[[#This Row],[Verb]]="drop",Log[[#This Row],[Verb]]="punt",Log[[#This Row],[Verb]]="pass"),0,""))</f>
      </c>
      <c r="K957" s="17">
        <f>IF(Log[[#This Row],[ID]]="",0,IFERROR(INDEX(Items[Pts],MATCH(Log[[#This Row],[ID]],Items[ID],0))*1,0))</f>
      </c>
      <c r="L957" s="17">
        <f>IF(Log[[#This Row],[ID]]="","",IFERROR(INDEX(Items[Cur team],MATCH(Log[[#This Row],[ID]],Items[ID],0))&amp;"",""))</f>
      </c>
      <c r="M957" s="17">
        <f>IF(OR(Log[[#This Row],[Verb]]="done",Log[[#This Row],[Verb]]="punt",Log[[#This Row],[Verb]]="drop",Log[[#This Row],[Verb]]="pass"),Log[[#This Row],[Pts]],0)</f>
      </c>
    </row>
    <row r="958">
      <c r="A958" s="11">
        <v>46174</v>
      </c>
      <c r="B958" t="s">
        <v>569</v>
      </c>
      <c r="C958" t="s">
        <v>41</v>
      </c>
      <c r="F958" s="17">
        <f>IF(Log[[#This Row],[ID]]="","",IF(ISNA(MATCH(Log[[#This Row],[ID]],Items[ID],0)),"unknown ID",IF(ISNA(MATCH(Log[[#This Row],[Verb]],VerbList,0)),"unknown verb",IF(Log[[#This Row],[Date]]="","no date",""))))</f>
      </c>
      <c r="G958" s="17">
        <f>IF(Log[[#This Row],[ID]]="","",IFERROR(VLOOKUP(Log[[#This Row],[Verb]],Verbs,3,FALSE)&amp;"",""))</f>
      </c>
      <c r="H958" s="17">
        <f>IF(Log[[#This Row],[Date]]="","",INT((Log[[#This Row],[Date]]-Sprint1)/SprintDays)+1)</f>
      </c>
      <c r="I958" s="17">
        <f>IF(OR(Log[[#This Row],[Verb]]="commit",Log[[#This Row],[Verb]]="carry",Log[[#This Row],[Verb]]="redo"),IF(Log[[#This Row],[Arg]]="",Log[[#This Row],[Sprint]],N(Log[[#This Row],[Arg]])),"")</f>
      </c>
      <c r="J958" s="17">
        <f>IF(Log[[#This Row],[Verb]]="block",1,IF(OR(Log[[#This Row],[Verb]]="unblock",Log[[#This Row],[Verb]]="done",Log[[#This Row],[Verb]]="drop",Log[[#This Row],[Verb]]="punt",Log[[#This Row],[Verb]]="pass"),0,""))</f>
      </c>
      <c r="K958" s="17">
        <f>IF(Log[[#This Row],[ID]]="",0,IFERROR(INDEX(Items[Pts],MATCH(Log[[#This Row],[ID]],Items[ID],0))*1,0))</f>
      </c>
      <c r="L958" s="17">
        <f>IF(Log[[#This Row],[ID]]="","",IFERROR(INDEX(Items[Cur team],MATCH(Log[[#This Row],[ID]],Items[ID],0))&amp;"",""))</f>
      </c>
      <c r="M958" s="17">
        <f>IF(OR(Log[[#This Row],[Verb]]="done",Log[[#This Row],[Verb]]="punt",Log[[#This Row],[Verb]]="drop",Log[[#This Row],[Verb]]="pass"),Log[[#This Row],[Pts]],0)</f>
      </c>
    </row>
    <row r="959">
      <c r="A959" s="11">
        <v>46174</v>
      </c>
      <c r="B959" t="s">
        <v>570</v>
      </c>
      <c r="C959" t="s">
        <v>41</v>
      </c>
      <c r="F959" s="17">
        <f>IF(Log[[#This Row],[ID]]="","",IF(ISNA(MATCH(Log[[#This Row],[ID]],Items[ID],0)),"unknown ID",IF(ISNA(MATCH(Log[[#This Row],[Verb]],VerbList,0)),"unknown verb",IF(Log[[#This Row],[Date]]="","no date",""))))</f>
      </c>
      <c r="G959" s="17">
        <f>IF(Log[[#This Row],[ID]]="","",IFERROR(VLOOKUP(Log[[#This Row],[Verb]],Verbs,3,FALSE)&amp;"",""))</f>
      </c>
      <c r="H959" s="17">
        <f>IF(Log[[#This Row],[Date]]="","",INT((Log[[#This Row],[Date]]-Sprint1)/SprintDays)+1)</f>
      </c>
      <c r="I959" s="17">
        <f>IF(OR(Log[[#This Row],[Verb]]="commit",Log[[#This Row],[Verb]]="carry",Log[[#This Row],[Verb]]="redo"),IF(Log[[#This Row],[Arg]]="",Log[[#This Row],[Sprint]],N(Log[[#This Row],[Arg]])),"")</f>
      </c>
      <c r="J959" s="17">
        <f>IF(Log[[#This Row],[Verb]]="block",1,IF(OR(Log[[#This Row],[Verb]]="unblock",Log[[#This Row],[Verb]]="done",Log[[#This Row],[Verb]]="drop",Log[[#This Row],[Verb]]="punt",Log[[#This Row],[Verb]]="pass"),0,""))</f>
      </c>
      <c r="K959" s="17">
        <f>IF(Log[[#This Row],[ID]]="",0,IFERROR(INDEX(Items[Pts],MATCH(Log[[#This Row],[ID]],Items[ID],0))*1,0))</f>
      </c>
      <c r="L959" s="17">
        <f>IF(Log[[#This Row],[ID]]="","",IFERROR(INDEX(Items[Cur team],MATCH(Log[[#This Row],[ID]],Items[ID],0))&amp;"",""))</f>
      </c>
      <c r="M959" s="17">
        <f>IF(OR(Log[[#This Row],[Verb]]="done",Log[[#This Row],[Verb]]="punt",Log[[#This Row],[Verb]]="drop",Log[[#This Row],[Verb]]="pass"),Log[[#This Row],[Pts]],0)</f>
      </c>
    </row>
    <row r="960">
      <c r="A960" s="11">
        <v>46174</v>
      </c>
      <c r="B960" t="s">
        <v>571</v>
      </c>
      <c r="C960" t="s">
        <v>41</v>
      </c>
      <c r="F960" s="17">
        <f>IF(Log[[#This Row],[ID]]="","",IF(ISNA(MATCH(Log[[#This Row],[ID]],Items[ID],0)),"unknown ID",IF(ISNA(MATCH(Log[[#This Row],[Verb]],VerbList,0)),"unknown verb",IF(Log[[#This Row],[Date]]="","no date",""))))</f>
      </c>
      <c r="G960" s="17">
        <f>IF(Log[[#This Row],[ID]]="","",IFERROR(VLOOKUP(Log[[#This Row],[Verb]],Verbs,3,FALSE)&amp;"",""))</f>
      </c>
      <c r="H960" s="17">
        <f>IF(Log[[#This Row],[Date]]="","",INT((Log[[#This Row],[Date]]-Sprint1)/SprintDays)+1)</f>
      </c>
      <c r="I960" s="17">
        <f>IF(OR(Log[[#This Row],[Verb]]="commit",Log[[#This Row],[Verb]]="carry",Log[[#This Row],[Verb]]="redo"),IF(Log[[#This Row],[Arg]]="",Log[[#This Row],[Sprint]],N(Log[[#This Row],[Arg]])),"")</f>
      </c>
      <c r="J960" s="17">
        <f>IF(Log[[#This Row],[Verb]]="block",1,IF(OR(Log[[#This Row],[Verb]]="unblock",Log[[#This Row],[Verb]]="done",Log[[#This Row],[Verb]]="drop",Log[[#This Row],[Verb]]="punt",Log[[#This Row],[Verb]]="pass"),0,""))</f>
      </c>
      <c r="K960" s="17">
        <f>IF(Log[[#This Row],[ID]]="",0,IFERROR(INDEX(Items[Pts],MATCH(Log[[#This Row],[ID]],Items[ID],0))*1,0))</f>
      </c>
      <c r="L960" s="17">
        <f>IF(Log[[#This Row],[ID]]="","",IFERROR(INDEX(Items[Cur team],MATCH(Log[[#This Row],[ID]],Items[ID],0))&amp;"",""))</f>
      </c>
      <c r="M960" s="17">
        <f>IF(OR(Log[[#This Row],[Verb]]="done",Log[[#This Row],[Verb]]="punt",Log[[#This Row],[Verb]]="drop",Log[[#This Row],[Verb]]="pass"),Log[[#This Row],[Pts]],0)</f>
      </c>
    </row>
    <row r="961">
      <c r="A961" s="11">
        <v>46174</v>
      </c>
      <c r="B961" t="s">
        <v>572</v>
      </c>
      <c r="C961" t="s">
        <v>41</v>
      </c>
      <c r="F961" s="17">
        <f>IF(Log[[#This Row],[ID]]="","",IF(ISNA(MATCH(Log[[#This Row],[ID]],Items[ID],0)),"unknown ID",IF(ISNA(MATCH(Log[[#This Row],[Verb]],VerbList,0)),"unknown verb",IF(Log[[#This Row],[Date]]="","no date",""))))</f>
      </c>
      <c r="G961" s="17">
        <f>IF(Log[[#This Row],[ID]]="","",IFERROR(VLOOKUP(Log[[#This Row],[Verb]],Verbs,3,FALSE)&amp;"",""))</f>
      </c>
      <c r="H961" s="17">
        <f>IF(Log[[#This Row],[Date]]="","",INT((Log[[#This Row],[Date]]-Sprint1)/SprintDays)+1)</f>
      </c>
      <c r="I961" s="17">
        <f>IF(OR(Log[[#This Row],[Verb]]="commit",Log[[#This Row],[Verb]]="carry",Log[[#This Row],[Verb]]="redo"),IF(Log[[#This Row],[Arg]]="",Log[[#This Row],[Sprint]],N(Log[[#This Row],[Arg]])),"")</f>
      </c>
      <c r="J961" s="17">
        <f>IF(Log[[#This Row],[Verb]]="block",1,IF(OR(Log[[#This Row],[Verb]]="unblock",Log[[#This Row],[Verb]]="done",Log[[#This Row],[Verb]]="drop",Log[[#This Row],[Verb]]="punt",Log[[#This Row],[Verb]]="pass"),0,""))</f>
      </c>
      <c r="K961" s="17">
        <f>IF(Log[[#This Row],[ID]]="",0,IFERROR(INDEX(Items[Pts],MATCH(Log[[#This Row],[ID]],Items[ID],0))*1,0))</f>
      </c>
      <c r="L961" s="17">
        <f>IF(Log[[#This Row],[ID]]="","",IFERROR(INDEX(Items[Cur team],MATCH(Log[[#This Row],[ID]],Items[ID],0))&amp;"",""))</f>
      </c>
      <c r="M961" s="17">
        <f>IF(OR(Log[[#This Row],[Verb]]="done",Log[[#This Row],[Verb]]="punt",Log[[#This Row],[Verb]]="drop",Log[[#This Row],[Verb]]="pass"),Log[[#This Row],[Pts]],0)</f>
      </c>
    </row>
    <row r="962">
      <c r="A962" s="11">
        <v>46174</v>
      </c>
      <c r="B962" t="s">
        <v>573</v>
      </c>
      <c r="C962" t="s">
        <v>41</v>
      </c>
      <c r="F962" s="17">
        <f>IF(Log[[#This Row],[ID]]="","",IF(ISNA(MATCH(Log[[#This Row],[ID]],Items[ID],0)),"unknown ID",IF(ISNA(MATCH(Log[[#This Row],[Verb]],VerbList,0)),"unknown verb",IF(Log[[#This Row],[Date]]="","no date",""))))</f>
      </c>
      <c r="G962" s="17">
        <f>IF(Log[[#This Row],[ID]]="","",IFERROR(VLOOKUP(Log[[#This Row],[Verb]],Verbs,3,FALSE)&amp;"",""))</f>
      </c>
      <c r="H962" s="17">
        <f>IF(Log[[#This Row],[Date]]="","",INT((Log[[#This Row],[Date]]-Sprint1)/SprintDays)+1)</f>
      </c>
      <c r="I962" s="17">
        <f>IF(OR(Log[[#This Row],[Verb]]="commit",Log[[#This Row],[Verb]]="carry",Log[[#This Row],[Verb]]="redo"),IF(Log[[#This Row],[Arg]]="",Log[[#This Row],[Sprint]],N(Log[[#This Row],[Arg]])),"")</f>
      </c>
      <c r="J962" s="17">
        <f>IF(Log[[#This Row],[Verb]]="block",1,IF(OR(Log[[#This Row],[Verb]]="unblock",Log[[#This Row],[Verb]]="done",Log[[#This Row],[Verb]]="drop",Log[[#This Row],[Verb]]="punt",Log[[#This Row],[Verb]]="pass"),0,""))</f>
      </c>
      <c r="K962" s="17">
        <f>IF(Log[[#This Row],[ID]]="",0,IFERROR(INDEX(Items[Pts],MATCH(Log[[#This Row],[ID]],Items[ID],0))*1,0))</f>
      </c>
      <c r="L962" s="17">
        <f>IF(Log[[#This Row],[ID]]="","",IFERROR(INDEX(Items[Cur team],MATCH(Log[[#This Row],[ID]],Items[ID],0))&amp;"",""))</f>
      </c>
      <c r="M962" s="17">
        <f>IF(OR(Log[[#This Row],[Verb]]="done",Log[[#This Row],[Verb]]="punt",Log[[#This Row],[Verb]]="drop",Log[[#This Row],[Verb]]="pass"),Log[[#This Row],[Pts]],0)</f>
      </c>
    </row>
    <row r="963">
      <c r="A963" s="11">
        <v>46174</v>
      </c>
      <c r="B963" t="s">
        <v>574</v>
      </c>
      <c r="C963" t="s">
        <v>41</v>
      </c>
      <c r="F963" s="17">
        <f>IF(Log[[#This Row],[ID]]="","",IF(ISNA(MATCH(Log[[#This Row],[ID]],Items[ID],0)),"unknown ID",IF(ISNA(MATCH(Log[[#This Row],[Verb]],VerbList,0)),"unknown verb",IF(Log[[#This Row],[Date]]="","no date",""))))</f>
      </c>
      <c r="G963" s="17">
        <f>IF(Log[[#This Row],[ID]]="","",IFERROR(VLOOKUP(Log[[#This Row],[Verb]],Verbs,3,FALSE)&amp;"",""))</f>
      </c>
      <c r="H963" s="17">
        <f>IF(Log[[#This Row],[Date]]="","",INT((Log[[#This Row],[Date]]-Sprint1)/SprintDays)+1)</f>
      </c>
      <c r="I963" s="17">
        <f>IF(OR(Log[[#This Row],[Verb]]="commit",Log[[#This Row],[Verb]]="carry",Log[[#This Row],[Verb]]="redo"),IF(Log[[#This Row],[Arg]]="",Log[[#This Row],[Sprint]],N(Log[[#This Row],[Arg]])),"")</f>
      </c>
      <c r="J963" s="17">
        <f>IF(Log[[#This Row],[Verb]]="block",1,IF(OR(Log[[#This Row],[Verb]]="unblock",Log[[#This Row],[Verb]]="done",Log[[#This Row],[Verb]]="drop",Log[[#This Row],[Verb]]="punt",Log[[#This Row],[Verb]]="pass"),0,""))</f>
      </c>
      <c r="K963" s="17">
        <f>IF(Log[[#This Row],[ID]]="",0,IFERROR(INDEX(Items[Pts],MATCH(Log[[#This Row],[ID]],Items[ID],0))*1,0))</f>
      </c>
      <c r="L963" s="17">
        <f>IF(Log[[#This Row],[ID]]="","",IFERROR(INDEX(Items[Cur team],MATCH(Log[[#This Row],[ID]],Items[ID],0))&amp;"",""))</f>
      </c>
      <c r="M963" s="17">
        <f>IF(OR(Log[[#This Row],[Verb]]="done",Log[[#This Row],[Verb]]="punt",Log[[#This Row],[Verb]]="drop",Log[[#This Row],[Verb]]="pass"),Log[[#This Row],[Pts]],0)</f>
      </c>
    </row>
    <row r="964">
      <c r="A964" s="11">
        <v>46174</v>
      </c>
      <c r="B964" t="s">
        <v>575</v>
      </c>
      <c r="C964" t="s">
        <v>41</v>
      </c>
      <c r="F964" s="17">
        <f>IF(Log[[#This Row],[ID]]="","",IF(ISNA(MATCH(Log[[#This Row],[ID]],Items[ID],0)),"unknown ID",IF(ISNA(MATCH(Log[[#This Row],[Verb]],VerbList,0)),"unknown verb",IF(Log[[#This Row],[Date]]="","no date",""))))</f>
      </c>
      <c r="G964" s="17">
        <f>IF(Log[[#This Row],[ID]]="","",IFERROR(VLOOKUP(Log[[#This Row],[Verb]],Verbs,3,FALSE)&amp;"",""))</f>
      </c>
      <c r="H964" s="17">
        <f>IF(Log[[#This Row],[Date]]="","",INT((Log[[#This Row],[Date]]-Sprint1)/SprintDays)+1)</f>
      </c>
      <c r="I964" s="17">
        <f>IF(OR(Log[[#This Row],[Verb]]="commit",Log[[#This Row],[Verb]]="carry",Log[[#This Row],[Verb]]="redo"),IF(Log[[#This Row],[Arg]]="",Log[[#This Row],[Sprint]],N(Log[[#This Row],[Arg]])),"")</f>
      </c>
      <c r="J964" s="17">
        <f>IF(Log[[#This Row],[Verb]]="block",1,IF(OR(Log[[#This Row],[Verb]]="unblock",Log[[#This Row],[Verb]]="done",Log[[#This Row],[Verb]]="drop",Log[[#This Row],[Verb]]="punt",Log[[#This Row],[Verb]]="pass"),0,""))</f>
      </c>
      <c r="K964" s="17">
        <f>IF(Log[[#This Row],[ID]]="",0,IFERROR(INDEX(Items[Pts],MATCH(Log[[#This Row],[ID]],Items[ID],0))*1,0))</f>
      </c>
      <c r="L964" s="17">
        <f>IF(Log[[#This Row],[ID]]="","",IFERROR(INDEX(Items[Cur team],MATCH(Log[[#This Row],[ID]],Items[ID],0))&amp;"",""))</f>
      </c>
      <c r="M964" s="17">
        <f>IF(OR(Log[[#This Row],[Verb]]="done",Log[[#This Row],[Verb]]="punt",Log[[#This Row],[Verb]]="drop",Log[[#This Row],[Verb]]="pass"),Log[[#This Row],[Pts]],0)</f>
      </c>
    </row>
    <row r="965">
      <c r="A965" s="11">
        <v>46174</v>
      </c>
      <c r="B965" t="s">
        <v>576</v>
      </c>
      <c r="C965" t="s">
        <v>41</v>
      </c>
      <c r="F965" s="17">
        <f>IF(Log[[#This Row],[ID]]="","",IF(ISNA(MATCH(Log[[#This Row],[ID]],Items[ID],0)),"unknown ID",IF(ISNA(MATCH(Log[[#This Row],[Verb]],VerbList,0)),"unknown verb",IF(Log[[#This Row],[Date]]="","no date",""))))</f>
      </c>
      <c r="G965" s="17">
        <f>IF(Log[[#This Row],[ID]]="","",IFERROR(VLOOKUP(Log[[#This Row],[Verb]],Verbs,3,FALSE)&amp;"",""))</f>
      </c>
      <c r="H965" s="17">
        <f>IF(Log[[#This Row],[Date]]="","",INT((Log[[#This Row],[Date]]-Sprint1)/SprintDays)+1)</f>
      </c>
      <c r="I965" s="17">
        <f>IF(OR(Log[[#This Row],[Verb]]="commit",Log[[#This Row],[Verb]]="carry",Log[[#This Row],[Verb]]="redo"),IF(Log[[#This Row],[Arg]]="",Log[[#This Row],[Sprint]],N(Log[[#This Row],[Arg]])),"")</f>
      </c>
      <c r="J965" s="17">
        <f>IF(Log[[#This Row],[Verb]]="block",1,IF(OR(Log[[#This Row],[Verb]]="unblock",Log[[#This Row],[Verb]]="done",Log[[#This Row],[Verb]]="drop",Log[[#This Row],[Verb]]="punt",Log[[#This Row],[Verb]]="pass"),0,""))</f>
      </c>
      <c r="K965" s="17">
        <f>IF(Log[[#This Row],[ID]]="",0,IFERROR(INDEX(Items[Pts],MATCH(Log[[#This Row],[ID]],Items[ID],0))*1,0))</f>
      </c>
      <c r="L965" s="17">
        <f>IF(Log[[#This Row],[ID]]="","",IFERROR(INDEX(Items[Cur team],MATCH(Log[[#This Row],[ID]],Items[ID],0))&amp;"",""))</f>
      </c>
      <c r="M965" s="17">
        <f>IF(OR(Log[[#This Row],[Verb]]="done",Log[[#This Row],[Verb]]="punt",Log[[#This Row],[Verb]]="drop",Log[[#This Row],[Verb]]="pass"),Log[[#This Row],[Pts]],0)</f>
      </c>
    </row>
    <row r="966">
      <c r="A966" s="11">
        <v>46174</v>
      </c>
      <c r="B966" t="s">
        <v>577</v>
      </c>
      <c r="C966" t="s">
        <v>41</v>
      </c>
      <c r="F966" s="17">
        <f>IF(Log[[#This Row],[ID]]="","",IF(ISNA(MATCH(Log[[#This Row],[ID]],Items[ID],0)),"unknown ID",IF(ISNA(MATCH(Log[[#This Row],[Verb]],VerbList,0)),"unknown verb",IF(Log[[#This Row],[Date]]="","no date",""))))</f>
      </c>
      <c r="G966" s="17">
        <f>IF(Log[[#This Row],[ID]]="","",IFERROR(VLOOKUP(Log[[#This Row],[Verb]],Verbs,3,FALSE)&amp;"",""))</f>
      </c>
      <c r="H966" s="17">
        <f>IF(Log[[#This Row],[Date]]="","",INT((Log[[#This Row],[Date]]-Sprint1)/SprintDays)+1)</f>
      </c>
      <c r="I966" s="17">
        <f>IF(OR(Log[[#This Row],[Verb]]="commit",Log[[#This Row],[Verb]]="carry",Log[[#This Row],[Verb]]="redo"),IF(Log[[#This Row],[Arg]]="",Log[[#This Row],[Sprint]],N(Log[[#This Row],[Arg]])),"")</f>
      </c>
      <c r="J966" s="17">
        <f>IF(Log[[#This Row],[Verb]]="block",1,IF(OR(Log[[#This Row],[Verb]]="unblock",Log[[#This Row],[Verb]]="done",Log[[#This Row],[Verb]]="drop",Log[[#This Row],[Verb]]="punt",Log[[#This Row],[Verb]]="pass"),0,""))</f>
      </c>
      <c r="K966" s="17">
        <f>IF(Log[[#This Row],[ID]]="",0,IFERROR(INDEX(Items[Pts],MATCH(Log[[#This Row],[ID]],Items[ID],0))*1,0))</f>
      </c>
      <c r="L966" s="17">
        <f>IF(Log[[#This Row],[ID]]="","",IFERROR(INDEX(Items[Cur team],MATCH(Log[[#This Row],[ID]],Items[ID],0))&amp;"",""))</f>
      </c>
      <c r="M966" s="17">
        <f>IF(OR(Log[[#This Row],[Verb]]="done",Log[[#This Row],[Verb]]="punt",Log[[#This Row],[Verb]]="drop",Log[[#This Row],[Verb]]="pass"),Log[[#This Row],[Pts]],0)</f>
      </c>
    </row>
    <row r="967">
      <c r="A967" s="11">
        <v>46174</v>
      </c>
      <c r="B967" t="s">
        <v>578</v>
      </c>
      <c r="C967" t="s">
        <v>41</v>
      </c>
      <c r="F967" s="17">
        <f>IF(Log[[#This Row],[ID]]="","",IF(ISNA(MATCH(Log[[#This Row],[ID]],Items[ID],0)),"unknown ID",IF(ISNA(MATCH(Log[[#This Row],[Verb]],VerbList,0)),"unknown verb",IF(Log[[#This Row],[Date]]="","no date",""))))</f>
      </c>
      <c r="G967" s="17">
        <f>IF(Log[[#This Row],[ID]]="","",IFERROR(VLOOKUP(Log[[#This Row],[Verb]],Verbs,3,FALSE)&amp;"",""))</f>
      </c>
      <c r="H967" s="17">
        <f>IF(Log[[#This Row],[Date]]="","",INT((Log[[#This Row],[Date]]-Sprint1)/SprintDays)+1)</f>
      </c>
      <c r="I967" s="17">
        <f>IF(OR(Log[[#This Row],[Verb]]="commit",Log[[#This Row],[Verb]]="carry",Log[[#This Row],[Verb]]="redo"),IF(Log[[#This Row],[Arg]]="",Log[[#This Row],[Sprint]],N(Log[[#This Row],[Arg]])),"")</f>
      </c>
      <c r="J967" s="17">
        <f>IF(Log[[#This Row],[Verb]]="block",1,IF(OR(Log[[#This Row],[Verb]]="unblock",Log[[#This Row],[Verb]]="done",Log[[#This Row],[Verb]]="drop",Log[[#This Row],[Verb]]="punt",Log[[#This Row],[Verb]]="pass"),0,""))</f>
      </c>
      <c r="K967" s="17">
        <f>IF(Log[[#This Row],[ID]]="",0,IFERROR(INDEX(Items[Pts],MATCH(Log[[#This Row],[ID]],Items[ID],0))*1,0))</f>
      </c>
      <c r="L967" s="17">
        <f>IF(Log[[#This Row],[ID]]="","",IFERROR(INDEX(Items[Cur team],MATCH(Log[[#This Row],[ID]],Items[ID],0))&amp;"",""))</f>
      </c>
      <c r="M967" s="17">
        <f>IF(OR(Log[[#This Row],[Verb]]="done",Log[[#This Row],[Verb]]="punt",Log[[#This Row],[Verb]]="drop",Log[[#This Row],[Verb]]="pass"),Log[[#This Row],[Pts]],0)</f>
      </c>
    </row>
    <row r="968">
      <c r="A968" s="11">
        <v>46174</v>
      </c>
      <c r="B968" t="s">
        <v>579</v>
      </c>
      <c r="C968" t="s">
        <v>41</v>
      </c>
      <c r="F968" s="17">
        <f>IF(Log[[#This Row],[ID]]="","",IF(ISNA(MATCH(Log[[#This Row],[ID]],Items[ID],0)),"unknown ID",IF(ISNA(MATCH(Log[[#This Row],[Verb]],VerbList,0)),"unknown verb",IF(Log[[#This Row],[Date]]="","no date",""))))</f>
      </c>
      <c r="G968" s="17">
        <f>IF(Log[[#This Row],[ID]]="","",IFERROR(VLOOKUP(Log[[#This Row],[Verb]],Verbs,3,FALSE)&amp;"",""))</f>
      </c>
      <c r="H968" s="17">
        <f>IF(Log[[#This Row],[Date]]="","",INT((Log[[#This Row],[Date]]-Sprint1)/SprintDays)+1)</f>
      </c>
      <c r="I968" s="17">
        <f>IF(OR(Log[[#This Row],[Verb]]="commit",Log[[#This Row],[Verb]]="carry",Log[[#This Row],[Verb]]="redo"),IF(Log[[#This Row],[Arg]]="",Log[[#This Row],[Sprint]],N(Log[[#This Row],[Arg]])),"")</f>
      </c>
      <c r="J968" s="17">
        <f>IF(Log[[#This Row],[Verb]]="block",1,IF(OR(Log[[#This Row],[Verb]]="unblock",Log[[#This Row],[Verb]]="done",Log[[#This Row],[Verb]]="drop",Log[[#This Row],[Verb]]="punt",Log[[#This Row],[Verb]]="pass"),0,""))</f>
      </c>
      <c r="K968" s="17">
        <f>IF(Log[[#This Row],[ID]]="",0,IFERROR(INDEX(Items[Pts],MATCH(Log[[#This Row],[ID]],Items[ID],0))*1,0))</f>
      </c>
      <c r="L968" s="17">
        <f>IF(Log[[#This Row],[ID]]="","",IFERROR(INDEX(Items[Cur team],MATCH(Log[[#This Row],[ID]],Items[ID],0))&amp;"",""))</f>
      </c>
      <c r="M968" s="17">
        <f>IF(OR(Log[[#This Row],[Verb]]="done",Log[[#This Row],[Verb]]="punt",Log[[#This Row],[Verb]]="drop",Log[[#This Row],[Verb]]="pass"),Log[[#This Row],[Pts]],0)</f>
      </c>
    </row>
    <row r="969">
      <c r="A969" s="11">
        <v>46174</v>
      </c>
      <c r="B969" t="s">
        <v>580</v>
      </c>
      <c r="C969" t="s">
        <v>41</v>
      </c>
      <c r="F969" s="17">
        <f>IF(Log[[#This Row],[ID]]="","",IF(ISNA(MATCH(Log[[#This Row],[ID]],Items[ID],0)),"unknown ID",IF(ISNA(MATCH(Log[[#This Row],[Verb]],VerbList,0)),"unknown verb",IF(Log[[#This Row],[Date]]="","no date",""))))</f>
      </c>
      <c r="G969" s="17">
        <f>IF(Log[[#This Row],[ID]]="","",IFERROR(VLOOKUP(Log[[#This Row],[Verb]],Verbs,3,FALSE)&amp;"",""))</f>
      </c>
      <c r="H969" s="17">
        <f>IF(Log[[#This Row],[Date]]="","",INT((Log[[#This Row],[Date]]-Sprint1)/SprintDays)+1)</f>
      </c>
      <c r="I969" s="17">
        <f>IF(OR(Log[[#This Row],[Verb]]="commit",Log[[#This Row],[Verb]]="carry",Log[[#This Row],[Verb]]="redo"),IF(Log[[#This Row],[Arg]]="",Log[[#This Row],[Sprint]],N(Log[[#This Row],[Arg]])),"")</f>
      </c>
      <c r="J969" s="17">
        <f>IF(Log[[#This Row],[Verb]]="block",1,IF(OR(Log[[#This Row],[Verb]]="unblock",Log[[#This Row],[Verb]]="done",Log[[#This Row],[Verb]]="drop",Log[[#This Row],[Verb]]="punt",Log[[#This Row],[Verb]]="pass"),0,""))</f>
      </c>
      <c r="K969" s="17">
        <f>IF(Log[[#This Row],[ID]]="",0,IFERROR(INDEX(Items[Pts],MATCH(Log[[#This Row],[ID]],Items[ID],0))*1,0))</f>
      </c>
      <c r="L969" s="17">
        <f>IF(Log[[#This Row],[ID]]="","",IFERROR(INDEX(Items[Cur team],MATCH(Log[[#This Row],[ID]],Items[ID],0))&amp;"",""))</f>
      </c>
      <c r="M969" s="17">
        <f>IF(OR(Log[[#This Row],[Verb]]="done",Log[[#This Row],[Verb]]="punt",Log[[#This Row],[Verb]]="drop",Log[[#This Row],[Verb]]="pass"),Log[[#This Row],[Pts]],0)</f>
      </c>
    </row>
    <row r="970">
      <c r="A970" s="11">
        <v>46174</v>
      </c>
      <c r="B970" t="s">
        <v>352</v>
      </c>
      <c r="C970" t="s">
        <v>41</v>
      </c>
      <c r="F970" s="17">
        <f>IF(Log[[#This Row],[ID]]="","",IF(ISNA(MATCH(Log[[#This Row],[ID]],Items[ID],0)),"unknown ID",IF(ISNA(MATCH(Log[[#This Row],[Verb]],VerbList,0)),"unknown verb",IF(Log[[#This Row],[Date]]="","no date",""))))</f>
      </c>
      <c r="G970" s="17">
        <f>IF(Log[[#This Row],[ID]]="","",IFERROR(VLOOKUP(Log[[#This Row],[Verb]],Verbs,3,FALSE)&amp;"",""))</f>
      </c>
      <c r="H970" s="17">
        <f>IF(Log[[#This Row],[Date]]="","",INT((Log[[#This Row],[Date]]-Sprint1)/SprintDays)+1)</f>
      </c>
      <c r="I970" s="17">
        <f>IF(OR(Log[[#This Row],[Verb]]="commit",Log[[#This Row],[Verb]]="carry",Log[[#This Row],[Verb]]="redo"),IF(Log[[#This Row],[Arg]]="",Log[[#This Row],[Sprint]],N(Log[[#This Row],[Arg]])),"")</f>
      </c>
      <c r="J970" s="17">
        <f>IF(Log[[#This Row],[Verb]]="block",1,IF(OR(Log[[#This Row],[Verb]]="unblock",Log[[#This Row],[Verb]]="done",Log[[#This Row],[Verb]]="drop",Log[[#This Row],[Verb]]="punt",Log[[#This Row],[Verb]]="pass"),0,""))</f>
      </c>
      <c r="K970" s="17">
        <f>IF(Log[[#This Row],[ID]]="",0,IFERROR(INDEX(Items[Pts],MATCH(Log[[#This Row],[ID]],Items[ID],0))*1,0))</f>
      </c>
      <c r="L970" s="17">
        <f>IF(Log[[#This Row],[ID]]="","",IFERROR(INDEX(Items[Cur team],MATCH(Log[[#This Row],[ID]],Items[ID],0))&amp;"",""))</f>
      </c>
      <c r="M970" s="17">
        <f>IF(OR(Log[[#This Row],[Verb]]="done",Log[[#This Row],[Verb]]="punt",Log[[#This Row],[Verb]]="drop",Log[[#This Row],[Verb]]="pass"),Log[[#This Row],[Pts]],0)</f>
      </c>
    </row>
    <row r="971">
      <c r="A971" s="11">
        <v>46174</v>
      </c>
      <c r="B971" t="s">
        <v>475</v>
      </c>
      <c r="C971" t="s">
        <v>38</v>
      </c>
      <c r="D971">
        <v>45</v>
      </c>
      <c r="F971" s="17">
        <f>IF(Log[[#This Row],[ID]]="","",IF(ISNA(MATCH(Log[[#This Row],[ID]],Items[ID],0)),"unknown ID",IF(ISNA(MATCH(Log[[#This Row],[Verb]],VerbList,0)),"unknown verb",IF(Log[[#This Row],[Date]]="","no date",""))))</f>
      </c>
      <c r="G971" s="17">
        <f>IF(Log[[#This Row],[ID]]="","",IFERROR(VLOOKUP(Log[[#This Row],[Verb]],Verbs,3,FALSE)&amp;"",""))</f>
      </c>
      <c r="H971" s="17">
        <f>IF(Log[[#This Row],[Date]]="","",INT((Log[[#This Row],[Date]]-Sprint1)/SprintDays)+1)</f>
      </c>
      <c r="I971" s="17">
        <f>IF(OR(Log[[#This Row],[Verb]]="commit",Log[[#This Row],[Verb]]="carry",Log[[#This Row],[Verb]]="redo"),IF(Log[[#This Row],[Arg]]="",Log[[#This Row],[Sprint]],N(Log[[#This Row],[Arg]])),"")</f>
      </c>
      <c r="J971" s="17">
        <f>IF(Log[[#This Row],[Verb]]="block",1,IF(OR(Log[[#This Row],[Verb]]="unblock",Log[[#This Row],[Verb]]="done",Log[[#This Row],[Verb]]="drop",Log[[#This Row],[Verb]]="punt",Log[[#This Row],[Verb]]="pass"),0,""))</f>
      </c>
      <c r="K971" s="17">
        <f>IF(Log[[#This Row],[ID]]="",0,IFERROR(INDEX(Items[Pts],MATCH(Log[[#This Row],[ID]],Items[ID],0))*1,0))</f>
      </c>
      <c r="L971" s="17">
        <f>IF(Log[[#This Row],[ID]]="","",IFERROR(INDEX(Items[Cur team],MATCH(Log[[#This Row],[ID]],Items[ID],0))&amp;"",""))</f>
      </c>
      <c r="M971" s="17">
        <f>IF(OR(Log[[#This Row],[Verb]]="done",Log[[#This Row],[Verb]]="punt",Log[[#This Row],[Verb]]="drop",Log[[#This Row],[Verb]]="pass"),Log[[#This Row],[Pts]],0)</f>
      </c>
    </row>
    <row r="972">
      <c r="A972" s="11">
        <v>46174</v>
      </c>
      <c r="B972" t="s">
        <v>529</v>
      </c>
      <c r="C972" t="s">
        <v>41</v>
      </c>
      <c r="F972" s="17">
        <f>IF(Log[[#This Row],[ID]]="","",IF(ISNA(MATCH(Log[[#This Row],[ID]],Items[ID],0)),"unknown ID",IF(ISNA(MATCH(Log[[#This Row],[Verb]],VerbList,0)),"unknown verb",IF(Log[[#This Row],[Date]]="","no date",""))))</f>
      </c>
      <c r="G972" s="17">
        <f>IF(Log[[#This Row],[ID]]="","",IFERROR(VLOOKUP(Log[[#This Row],[Verb]],Verbs,3,FALSE)&amp;"",""))</f>
      </c>
      <c r="H972" s="17">
        <f>IF(Log[[#This Row],[Date]]="","",INT((Log[[#This Row],[Date]]-Sprint1)/SprintDays)+1)</f>
      </c>
      <c r="I972" s="17">
        <f>IF(OR(Log[[#This Row],[Verb]]="commit",Log[[#This Row],[Verb]]="carry",Log[[#This Row],[Verb]]="redo"),IF(Log[[#This Row],[Arg]]="",Log[[#This Row],[Sprint]],N(Log[[#This Row],[Arg]])),"")</f>
      </c>
      <c r="J972" s="17">
        <f>IF(Log[[#This Row],[Verb]]="block",1,IF(OR(Log[[#This Row],[Verb]]="unblock",Log[[#This Row],[Verb]]="done",Log[[#This Row],[Verb]]="drop",Log[[#This Row],[Verb]]="punt",Log[[#This Row],[Verb]]="pass"),0,""))</f>
      </c>
      <c r="K972" s="17">
        <f>IF(Log[[#This Row],[ID]]="",0,IFERROR(INDEX(Items[Pts],MATCH(Log[[#This Row],[ID]],Items[ID],0))*1,0))</f>
      </c>
      <c r="L972" s="17">
        <f>IF(Log[[#This Row],[ID]]="","",IFERROR(INDEX(Items[Cur team],MATCH(Log[[#This Row],[ID]],Items[ID],0))&amp;"",""))</f>
      </c>
      <c r="M972" s="17">
        <f>IF(OR(Log[[#This Row],[Verb]]="done",Log[[#This Row],[Verb]]="punt",Log[[#This Row],[Verb]]="drop",Log[[#This Row],[Verb]]="pass"),Log[[#This Row],[Pts]],0)</f>
      </c>
    </row>
    <row r="973">
      <c r="A973" s="11">
        <v>46174</v>
      </c>
      <c r="B973" t="s">
        <v>581</v>
      </c>
      <c r="C973" t="s">
        <v>38</v>
      </c>
      <c r="D973">
        <v>45</v>
      </c>
      <c r="F973" s="17">
        <f>IF(Log[[#This Row],[ID]]="","",IF(ISNA(MATCH(Log[[#This Row],[ID]],Items[ID],0)),"unknown ID",IF(ISNA(MATCH(Log[[#This Row],[Verb]],VerbList,0)),"unknown verb",IF(Log[[#This Row],[Date]]="","no date",""))))</f>
      </c>
      <c r="G973" s="17">
        <f>IF(Log[[#This Row],[ID]]="","",IFERROR(VLOOKUP(Log[[#This Row],[Verb]],Verbs,3,FALSE)&amp;"",""))</f>
      </c>
      <c r="H973" s="17">
        <f>IF(Log[[#This Row],[Date]]="","",INT((Log[[#This Row],[Date]]-Sprint1)/SprintDays)+1)</f>
      </c>
      <c r="I973" s="17">
        <f>IF(OR(Log[[#This Row],[Verb]]="commit",Log[[#This Row],[Verb]]="carry",Log[[#This Row],[Verb]]="redo"),IF(Log[[#This Row],[Arg]]="",Log[[#This Row],[Sprint]],N(Log[[#This Row],[Arg]])),"")</f>
      </c>
      <c r="J973" s="17">
        <f>IF(Log[[#This Row],[Verb]]="block",1,IF(OR(Log[[#This Row],[Verb]]="unblock",Log[[#This Row],[Verb]]="done",Log[[#This Row],[Verb]]="drop",Log[[#This Row],[Verb]]="punt",Log[[#This Row],[Verb]]="pass"),0,""))</f>
      </c>
      <c r="K973" s="17">
        <f>IF(Log[[#This Row],[ID]]="",0,IFERROR(INDEX(Items[Pts],MATCH(Log[[#This Row],[ID]],Items[ID],0))*1,0))</f>
      </c>
      <c r="L973" s="17">
        <f>IF(Log[[#This Row],[ID]]="","",IFERROR(INDEX(Items[Cur team],MATCH(Log[[#This Row],[ID]],Items[ID],0))&amp;"",""))</f>
      </c>
      <c r="M973" s="17">
        <f>IF(OR(Log[[#This Row],[Verb]]="done",Log[[#This Row],[Verb]]="punt",Log[[#This Row],[Verb]]="drop",Log[[#This Row],[Verb]]="pass"),Log[[#This Row],[Pts]],0)</f>
      </c>
    </row>
    <row r="974">
      <c r="A974" s="11">
        <v>46174</v>
      </c>
      <c r="B974" t="s">
        <v>582</v>
      </c>
      <c r="C974" t="s">
        <v>41</v>
      </c>
      <c r="F974" s="17">
        <f>IF(Log[[#This Row],[ID]]="","",IF(ISNA(MATCH(Log[[#This Row],[ID]],Items[ID],0)),"unknown ID",IF(ISNA(MATCH(Log[[#This Row],[Verb]],VerbList,0)),"unknown verb",IF(Log[[#This Row],[Date]]="","no date",""))))</f>
      </c>
      <c r="G974" s="17">
        <f>IF(Log[[#This Row],[ID]]="","",IFERROR(VLOOKUP(Log[[#This Row],[Verb]],Verbs,3,FALSE)&amp;"",""))</f>
      </c>
      <c r="H974" s="17">
        <f>IF(Log[[#This Row],[Date]]="","",INT((Log[[#This Row],[Date]]-Sprint1)/SprintDays)+1)</f>
      </c>
      <c r="I974" s="17">
        <f>IF(OR(Log[[#This Row],[Verb]]="commit",Log[[#This Row],[Verb]]="carry",Log[[#This Row],[Verb]]="redo"),IF(Log[[#This Row],[Arg]]="",Log[[#This Row],[Sprint]],N(Log[[#This Row],[Arg]])),"")</f>
      </c>
      <c r="J974" s="17">
        <f>IF(Log[[#This Row],[Verb]]="block",1,IF(OR(Log[[#This Row],[Verb]]="unblock",Log[[#This Row],[Verb]]="done",Log[[#This Row],[Verb]]="drop",Log[[#This Row],[Verb]]="punt",Log[[#This Row],[Verb]]="pass"),0,""))</f>
      </c>
      <c r="K974" s="17">
        <f>IF(Log[[#This Row],[ID]]="",0,IFERROR(INDEX(Items[Pts],MATCH(Log[[#This Row],[ID]],Items[ID],0))*1,0))</f>
      </c>
      <c r="L974" s="17">
        <f>IF(Log[[#This Row],[ID]]="","",IFERROR(INDEX(Items[Cur team],MATCH(Log[[#This Row],[ID]],Items[ID],0))&amp;"",""))</f>
      </c>
      <c r="M974" s="17">
        <f>IF(OR(Log[[#This Row],[Verb]]="done",Log[[#This Row],[Verb]]="punt",Log[[#This Row],[Verb]]="drop",Log[[#This Row],[Verb]]="pass"),Log[[#This Row],[Pts]],0)</f>
      </c>
    </row>
    <row r="975">
      <c r="A975" s="11">
        <v>46174</v>
      </c>
      <c r="B975" t="s">
        <v>583</v>
      </c>
      <c r="C975" t="s">
        <v>41</v>
      </c>
      <c r="F975" s="17">
        <f>IF(Log[[#This Row],[ID]]="","",IF(ISNA(MATCH(Log[[#This Row],[ID]],Items[ID],0)),"unknown ID",IF(ISNA(MATCH(Log[[#This Row],[Verb]],VerbList,0)),"unknown verb",IF(Log[[#This Row],[Date]]="","no date",""))))</f>
      </c>
      <c r="G975" s="17">
        <f>IF(Log[[#This Row],[ID]]="","",IFERROR(VLOOKUP(Log[[#This Row],[Verb]],Verbs,3,FALSE)&amp;"",""))</f>
      </c>
      <c r="H975" s="17">
        <f>IF(Log[[#This Row],[Date]]="","",INT((Log[[#This Row],[Date]]-Sprint1)/SprintDays)+1)</f>
      </c>
      <c r="I975" s="17">
        <f>IF(OR(Log[[#This Row],[Verb]]="commit",Log[[#This Row],[Verb]]="carry",Log[[#This Row],[Verb]]="redo"),IF(Log[[#This Row],[Arg]]="",Log[[#This Row],[Sprint]],N(Log[[#This Row],[Arg]])),"")</f>
      </c>
      <c r="J975" s="17">
        <f>IF(Log[[#This Row],[Verb]]="block",1,IF(OR(Log[[#This Row],[Verb]]="unblock",Log[[#This Row],[Verb]]="done",Log[[#This Row],[Verb]]="drop",Log[[#This Row],[Verb]]="punt",Log[[#This Row],[Verb]]="pass"),0,""))</f>
      </c>
      <c r="K975" s="17">
        <f>IF(Log[[#This Row],[ID]]="",0,IFERROR(INDEX(Items[Pts],MATCH(Log[[#This Row],[ID]],Items[ID],0))*1,0))</f>
      </c>
      <c r="L975" s="17">
        <f>IF(Log[[#This Row],[ID]]="","",IFERROR(INDEX(Items[Cur team],MATCH(Log[[#This Row],[ID]],Items[ID],0))&amp;"",""))</f>
      </c>
      <c r="M975" s="17">
        <f>IF(OR(Log[[#This Row],[Verb]]="done",Log[[#This Row],[Verb]]="punt",Log[[#This Row],[Verb]]="drop",Log[[#This Row],[Verb]]="pass"),Log[[#This Row],[Pts]],0)</f>
      </c>
    </row>
    <row r="976">
      <c r="A976" s="11">
        <v>46174</v>
      </c>
      <c r="B976" t="s">
        <v>534</v>
      </c>
      <c r="C976" t="s">
        <v>41</v>
      </c>
      <c r="F976" s="17">
        <f>IF(Log[[#This Row],[ID]]="","",IF(ISNA(MATCH(Log[[#This Row],[ID]],Items[ID],0)),"unknown ID",IF(ISNA(MATCH(Log[[#This Row],[Verb]],VerbList,0)),"unknown verb",IF(Log[[#This Row],[Date]]="","no date",""))))</f>
      </c>
      <c r="G976" s="17">
        <f>IF(Log[[#This Row],[ID]]="","",IFERROR(VLOOKUP(Log[[#This Row],[Verb]],Verbs,3,FALSE)&amp;"",""))</f>
      </c>
      <c r="H976" s="17">
        <f>IF(Log[[#This Row],[Date]]="","",INT((Log[[#This Row],[Date]]-Sprint1)/SprintDays)+1)</f>
      </c>
      <c r="I976" s="17">
        <f>IF(OR(Log[[#This Row],[Verb]]="commit",Log[[#This Row],[Verb]]="carry",Log[[#This Row],[Verb]]="redo"),IF(Log[[#This Row],[Arg]]="",Log[[#This Row],[Sprint]],N(Log[[#This Row],[Arg]])),"")</f>
      </c>
      <c r="J976" s="17">
        <f>IF(Log[[#This Row],[Verb]]="block",1,IF(OR(Log[[#This Row],[Verb]]="unblock",Log[[#This Row],[Verb]]="done",Log[[#This Row],[Verb]]="drop",Log[[#This Row],[Verb]]="punt",Log[[#This Row],[Verb]]="pass"),0,""))</f>
      </c>
      <c r="K976" s="17">
        <f>IF(Log[[#This Row],[ID]]="",0,IFERROR(INDEX(Items[Pts],MATCH(Log[[#This Row],[ID]],Items[ID],0))*1,0))</f>
      </c>
      <c r="L976" s="17">
        <f>IF(Log[[#This Row],[ID]]="","",IFERROR(INDEX(Items[Cur team],MATCH(Log[[#This Row],[ID]],Items[ID],0))&amp;"",""))</f>
      </c>
      <c r="M976" s="17">
        <f>IF(OR(Log[[#This Row],[Verb]]="done",Log[[#This Row],[Verb]]="punt",Log[[#This Row],[Verb]]="drop",Log[[#This Row],[Verb]]="pass"),Log[[#This Row],[Pts]],0)</f>
      </c>
    </row>
    <row r="977">
      <c r="A977" s="11">
        <v>46174</v>
      </c>
      <c r="B977" t="s">
        <v>535</v>
      </c>
      <c r="C977" t="s">
        <v>38</v>
      </c>
      <c r="D977">
        <v>45</v>
      </c>
      <c r="F977" s="17">
        <f>IF(Log[[#This Row],[ID]]="","",IF(ISNA(MATCH(Log[[#This Row],[ID]],Items[ID],0)),"unknown ID",IF(ISNA(MATCH(Log[[#This Row],[Verb]],VerbList,0)),"unknown verb",IF(Log[[#This Row],[Date]]="","no date",""))))</f>
      </c>
      <c r="G977" s="17">
        <f>IF(Log[[#This Row],[ID]]="","",IFERROR(VLOOKUP(Log[[#This Row],[Verb]],Verbs,3,FALSE)&amp;"",""))</f>
      </c>
      <c r="H977" s="17">
        <f>IF(Log[[#This Row],[Date]]="","",INT((Log[[#This Row],[Date]]-Sprint1)/SprintDays)+1)</f>
      </c>
      <c r="I977" s="17">
        <f>IF(OR(Log[[#This Row],[Verb]]="commit",Log[[#This Row],[Verb]]="carry",Log[[#This Row],[Verb]]="redo"),IF(Log[[#This Row],[Arg]]="",Log[[#This Row],[Sprint]],N(Log[[#This Row],[Arg]])),"")</f>
      </c>
      <c r="J977" s="17">
        <f>IF(Log[[#This Row],[Verb]]="block",1,IF(OR(Log[[#This Row],[Verb]]="unblock",Log[[#This Row],[Verb]]="done",Log[[#This Row],[Verb]]="drop",Log[[#This Row],[Verb]]="punt",Log[[#This Row],[Verb]]="pass"),0,""))</f>
      </c>
      <c r="K977" s="17">
        <f>IF(Log[[#This Row],[ID]]="",0,IFERROR(INDEX(Items[Pts],MATCH(Log[[#This Row],[ID]],Items[ID],0))*1,0))</f>
      </c>
      <c r="L977" s="17">
        <f>IF(Log[[#This Row],[ID]]="","",IFERROR(INDEX(Items[Cur team],MATCH(Log[[#This Row],[ID]],Items[ID],0))&amp;"",""))</f>
      </c>
      <c r="M977" s="17">
        <f>IF(OR(Log[[#This Row],[Verb]]="done",Log[[#This Row],[Verb]]="punt",Log[[#This Row],[Verb]]="drop",Log[[#This Row],[Verb]]="pass"),Log[[#This Row],[Pts]],0)</f>
      </c>
    </row>
    <row r="978">
      <c r="A978" s="11">
        <v>46174</v>
      </c>
      <c r="B978" t="s">
        <v>584</v>
      </c>
      <c r="C978" t="s">
        <v>38</v>
      </c>
      <c r="D978">
        <v>45</v>
      </c>
      <c r="F978" s="17">
        <f>IF(Log[[#This Row],[ID]]="","",IF(ISNA(MATCH(Log[[#This Row],[ID]],Items[ID],0)),"unknown ID",IF(ISNA(MATCH(Log[[#This Row],[Verb]],VerbList,0)),"unknown verb",IF(Log[[#This Row],[Date]]="","no date",""))))</f>
      </c>
      <c r="G978" s="17">
        <f>IF(Log[[#This Row],[ID]]="","",IFERROR(VLOOKUP(Log[[#This Row],[Verb]],Verbs,3,FALSE)&amp;"",""))</f>
      </c>
      <c r="H978" s="17">
        <f>IF(Log[[#This Row],[Date]]="","",INT((Log[[#This Row],[Date]]-Sprint1)/SprintDays)+1)</f>
      </c>
      <c r="I978" s="17">
        <f>IF(OR(Log[[#This Row],[Verb]]="commit",Log[[#This Row],[Verb]]="carry",Log[[#This Row],[Verb]]="redo"),IF(Log[[#This Row],[Arg]]="",Log[[#This Row],[Sprint]],N(Log[[#This Row],[Arg]])),"")</f>
      </c>
      <c r="J978" s="17">
        <f>IF(Log[[#This Row],[Verb]]="block",1,IF(OR(Log[[#This Row],[Verb]]="unblock",Log[[#This Row],[Verb]]="done",Log[[#This Row],[Verb]]="drop",Log[[#This Row],[Verb]]="punt",Log[[#This Row],[Verb]]="pass"),0,""))</f>
      </c>
      <c r="K978" s="17">
        <f>IF(Log[[#This Row],[ID]]="",0,IFERROR(INDEX(Items[Pts],MATCH(Log[[#This Row],[ID]],Items[ID],0))*1,0))</f>
      </c>
      <c r="L978" s="17">
        <f>IF(Log[[#This Row],[ID]]="","",IFERROR(INDEX(Items[Cur team],MATCH(Log[[#This Row],[ID]],Items[ID],0))&amp;"",""))</f>
      </c>
      <c r="M978" s="17">
        <f>IF(OR(Log[[#This Row],[Verb]]="done",Log[[#This Row],[Verb]]="punt",Log[[#This Row],[Verb]]="drop",Log[[#This Row],[Verb]]="pass"),Log[[#This Row],[Pts]],0)</f>
      </c>
    </row>
    <row r="979">
      <c r="A979" s="11">
        <v>46174</v>
      </c>
      <c r="B979" t="s">
        <v>585</v>
      </c>
      <c r="C979" t="s">
        <v>41</v>
      </c>
      <c r="F979" s="17">
        <f>IF(Log[[#This Row],[ID]]="","",IF(ISNA(MATCH(Log[[#This Row],[ID]],Items[ID],0)),"unknown ID",IF(ISNA(MATCH(Log[[#This Row],[Verb]],VerbList,0)),"unknown verb",IF(Log[[#This Row],[Date]]="","no date",""))))</f>
      </c>
      <c r="G979" s="17">
        <f>IF(Log[[#This Row],[ID]]="","",IFERROR(VLOOKUP(Log[[#This Row],[Verb]],Verbs,3,FALSE)&amp;"",""))</f>
      </c>
      <c r="H979" s="17">
        <f>IF(Log[[#This Row],[Date]]="","",INT((Log[[#This Row],[Date]]-Sprint1)/SprintDays)+1)</f>
      </c>
      <c r="I979" s="17">
        <f>IF(OR(Log[[#This Row],[Verb]]="commit",Log[[#This Row],[Verb]]="carry",Log[[#This Row],[Verb]]="redo"),IF(Log[[#This Row],[Arg]]="",Log[[#This Row],[Sprint]],N(Log[[#This Row],[Arg]])),"")</f>
      </c>
      <c r="J979" s="17">
        <f>IF(Log[[#This Row],[Verb]]="block",1,IF(OR(Log[[#This Row],[Verb]]="unblock",Log[[#This Row],[Verb]]="done",Log[[#This Row],[Verb]]="drop",Log[[#This Row],[Verb]]="punt",Log[[#This Row],[Verb]]="pass"),0,""))</f>
      </c>
      <c r="K979" s="17">
        <f>IF(Log[[#This Row],[ID]]="",0,IFERROR(INDEX(Items[Pts],MATCH(Log[[#This Row],[ID]],Items[ID],0))*1,0))</f>
      </c>
      <c r="L979" s="17">
        <f>IF(Log[[#This Row],[ID]]="","",IFERROR(INDEX(Items[Cur team],MATCH(Log[[#This Row],[ID]],Items[ID],0))&amp;"",""))</f>
      </c>
      <c r="M979" s="17">
        <f>IF(OR(Log[[#This Row],[Verb]]="done",Log[[#This Row],[Verb]]="punt",Log[[#This Row],[Verb]]="drop",Log[[#This Row],[Verb]]="pass"),Log[[#This Row],[Pts]],0)</f>
      </c>
    </row>
    <row r="980">
      <c r="A980" s="11">
        <v>46174</v>
      </c>
      <c r="B980" t="s">
        <v>586</v>
      </c>
      <c r="C980" t="s">
        <v>38</v>
      </c>
      <c r="D980">
        <v>45</v>
      </c>
      <c r="F980" s="17">
        <f>IF(Log[[#This Row],[ID]]="","",IF(ISNA(MATCH(Log[[#This Row],[ID]],Items[ID],0)),"unknown ID",IF(ISNA(MATCH(Log[[#This Row],[Verb]],VerbList,0)),"unknown verb",IF(Log[[#This Row],[Date]]="","no date",""))))</f>
      </c>
      <c r="G980" s="17">
        <f>IF(Log[[#This Row],[ID]]="","",IFERROR(VLOOKUP(Log[[#This Row],[Verb]],Verbs,3,FALSE)&amp;"",""))</f>
      </c>
      <c r="H980" s="17">
        <f>IF(Log[[#This Row],[Date]]="","",INT((Log[[#This Row],[Date]]-Sprint1)/SprintDays)+1)</f>
      </c>
      <c r="I980" s="17">
        <f>IF(OR(Log[[#This Row],[Verb]]="commit",Log[[#This Row],[Verb]]="carry",Log[[#This Row],[Verb]]="redo"),IF(Log[[#This Row],[Arg]]="",Log[[#This Row],[Sprint]],N(Log[[#This Row],[Arg]])),"")</f>
      </c>
      <c r="J980" s="17">
        <f>IF(Log[[#This Row],[Verb]]="block",1,IF(OR(Log[[#This Row],[Verb]]="unblock",Log[[#This Row],[Verb]]="done",Log[[#This Row],[Verb]]="drop",Log[[#This Row],[Verb]]="punt",Log[[#This Row],[Verb]]="pass"),0,""))</f>
      </c>
      <c r="K980" s="17">
        <f>IF(Log[[#This Row],[ID]]="",0,IFERROR(INDEX(Items[Pts],MATCH(Log[[#This Row],[ID]],Items[ID],0))*1,0))</f>
      </c>
      <c r="L980" s="17">
        <f>IF(Log[[#This Row],[ID]]="","",IFERROR(INDEX(Items[Cur team],MATCH(Log[[#This Row],[ID]],Items[ID],0))&amp;"",""))</f>
      </c>
      <c r="M980" s="17">
        <f>IF(OR(Log[[#This Row],[Verb]]="done",Log[[#This Row],[Verb]]="punt",Log[[#This Row],[Verb]]="drop",Log[[#This Row],[Verb]]="pass"),Log[[#This Row],[Pts]],0)</f>
      </c>
    </row>
    <row r="981">
      <c r="A981" s="11">
        <v>46174</v>
      </c>
      <c r="B981" t="s">
        <v>587</v>
      </c>
      <c r="C981" t="s">
        <v>41</v>
      </c>
      <c r="F981" s="17">
        <f>IF(Log[[#This Row],[ID]]="","",IF(ISNA(MATCH(Log[[#This Row],[ID]],Items[ID],0)),"unknown ID",IF(ISNA(MATCH(Log[[#This Row],[Verb]],VerbList,0)),"unknown verb",IF(Log[[#This Row],[Date]]="","no date",""))))</f>
      </c>
      <c r="G981" s="17">
        <f>IF(Log[[#This Row],[ID]]="","",IFERROR(VLOOKUP(Log[[#This Row],[Verb]],Verbs,3,FALSE)&amp;"",""))</f>
      </c>
      <c r="H981" s="17">
        <f>IF(Log[[#This Row],[Date]]="","",INT((Log[[#This Row],[Date]]-Sprint1)/SprintDays)+1)</f>
      </c>
      <c r="I981" s="17">
        <f>IF(OR(Log[[#This Row],[Verb]]="commit",Log[[#This Row],[Verb]]="carry",Log[[#This Row],[Verb]]="redo"),IF(Log[[#This Row],[Arg]]="",Log[[#This Row],[Sprint]],N(Log[[#This Row],[Arg]])),"")</f>
      </c>
      <c r="J981" s="17">
        <f>IF(Log[[#This Row],[Verb]]="block",1,IF(OR(Log[[#This Row],[Verb]]="unblock",Log[[#This Row],[Verb]]="done",Log[[#This Row],[Verb]]="drop",Log[[#This Row],[Verb]]="punt",Log[[#This Row],[Verb]]="pass"),0,""))</f>
      </c>
      <c r="K981" s="17">
        <f>IF(Log[[#This Row],[ID]]="",0,IFERROR(INDEX(Items[Pts],MATCH(Log[[#This Row],[ID]],Items[ID],0))*1,0))</f>
      </c>
      <c r="L981" s="17">
        <f>IF(Log[[#This Row],[ID]]="","",IFERROR(INDEX(Items[Cur team],MATCH(Log[[#This Row],[ID]],Items[ID],0))&amp;"",""))</f>
      </c>
      <c r="M981" s="17">
        <f>IF(OR(Log[[#This Row],[Verb]]="done",Log[[#This Row],[Verb]]="punt",Log[[#This Row],[Verb]]="drop",Log[[#This Row],[Verb]]="pass"),Log[[#This Row],[Pts]],0)</f>
      </c>
    </row>
    <row r="982">
      <c r="A982" s="11">
        <v>46174</v>
      </c>
      <c r="B982" t="s">
        <v>537</v>
      </c>
      <c r="C982" t="s">
        <v>38</v>
      </c>
      <c r="D982">
        <v>45</v>
      </c>
      <c r="F982" s="17">
        <f>IF(Log[[#This Row],[ID]]="","",IF(ISNA(MATCH(Log[[#This Row],[ID]],Items[ID],0)),"unknown ID",IF(ISNA(MATCH(Log[[#This Row],[Verb]],VerbList,0)),"unknown verb",IF(Log[[#This Row],[Date]]="","no date",""))))</f>
      </c>
      <c r="G982" s="17">
        <f>IF(Log[[#This Row],[ID]]="","",IFERROR(VLOOKUP(Log[[#This Row],[Verb]],Verbs,3,FALSE)&amp;"",""))</f>
      </c>
      <c r="H982" s="17">
        <f>IF(Log[[#This Row],[Date]]="","",INT((Log[[#This Row],[Date]]-Sprint1)/SprintDays)+1)</f>
      </c>
      <c r="I982" s="17">
        <f>IF(OR(Log[[#This Row],[Verb]]="commit",Log[[#This Row],[Verb]]="carry",Log[[#This Row],[Verb]]="redo"),IF(Log[[#This Row],[Arg]]="",Log[[#This Row],[Sprint]],N(Log[[#This Row],[Arg]])),"")</f>
      </c>
      <c r="J982" s="17">
        <f>IF(Log[[#This Row],[Verb]]="block",1,IF(OR(Log[[#This Row],[Verb]]="unblock",Log[[#This Row],[Verb]]="done",Log[[#This Row],[Verb]]="drop",Log[[#This Row],[Verb]]="punt",Log[[#This Row],[Verb]]="pass"),0,""))</f>
      </c>
      <c r="K982" s="17">
        <f>IF(Log[[#This Row],[ID]]="",0,IFERROR(INDEX(Items[Pts],MATCH(Log[[#This Row],[ID]],Items[ID],0))*1,0))</f>
      </c>
      <c r="L982" s="17">
        <f>IF(Log[[#This Row],[ID]]="","",IFERROR(INDEX(Items[Cur team],MATCH(Log[[#This Row],[ID]],Items[ID],0))&amp;"",""))</f>
      </c>
      <c r="M982" s="17">
        <f>IF(OR(Log[[#This Row],[Verb]]="done",Log[[#This Row],[Verb]]="punt",Log[[#This Row],[Verb]]="drop",Log[[#This Row],[Verb]]="pass"),Log[[#This Row],[Pts]],0)</f>
      </c>
    </row>
    <row r="983">
      <c r="A983" s="11">
        <v>46174</v>
      </c>
      <c r="B983" t="s">
        <v>588</v>
      </c>
      <c r="C983" t="s">
        <v>41</v>
      </c>
      <c r="F983" s="17">
        <f>IF(Log[[#This Row],[ID]]="","",IF(ISNA(MATCH(Log[[#This Row],[ID]],Items[ID],0)),"unknown ID",IF(ISNA(MATCH(Log[[#This Row],[Verb]],VerbList,0)),"unknown verb",IF(Log[[#This Row],[Date]]="","no date",""))))</f>
      </c>
      <c r="G983" s="17">
        <f>IF(Log[[#This Row],[ID]]="","",IFERROR(VLOOKUP(Log[[#This Row],[Verb]],Verbs,3,FALSE)&amp;"",""))</f>
      </c>
      <c r="H983" s="17">
        <f>IF(Log[[#This Row],[Date]]="","",INT((Log[[#This Row],[Date]]-Sprint1)/SprintDays)+1)</f>
      </c>
      <c r="I983" s="17">
        <f>IF(OR(Log[[#This Row],[Verb]]="commit",Log[[#This Row],[Verb]]="carry",Log[[#This Row],[Verb]]="redo"),IF(Log[[#This Row],[Arg]]="",Log[[#This Row],[Sprint]],N(Log[[#This Row],[Arg]])),"")</f>
      </c>
      <c r="J983" s="17">
        <f>IF(Log[[#This Row],[Verb]]="block",1,IF(OR(Log[[#This Row],[Verb]]="unblock",Log[[#This Row],[Verb]]="done",Log[[#This Row],[Verb]]="drop",Log[[#This Row],[Verb]]="punt",Log[[#This Row],[Verb]]="pass"),0,""))</f>
      </c>
      <c r="K983" s="17">
        <f>IF(Log[[#This Row],[ID]]="",0,IFERROR(INDEX(Items[Pts],MATCH(Log[[#This Row],[ID]],Items[ID],0))*1,0))</f>
      </c>
      <c r="L983" s="17">
        <f>IF(Log[[#This Row],[ID]]="","",IFERROR(INDEX(Items[Cur team],MATCH(Log[[#This Row],[ID]],Items[ID],0))&amp;"",""))</f>
      </c>
      <c r="M983" s="17">
        <f>IF(OR(Log[[#This Row],[Verb]]="done",Log[[#This Row],[Verb]]="punt",Log[[#This Row],[Verb]]="drop",Log[[#This Row],[Verb]]="pass"),Log[[#This Row],[Pts]],0)</f>
      </c>
    </row>
    <row r="984">
      <c r="A984" s="11">
        <v>46174</v>
      </c>
      <c r="B984" t="s">
        <v>589</v>
      </c>
      <c r="C984" t="s">
        <v>41</v>
      </c>
      <c r="F984" s="17">
        <f>IF(Log[[#This Row],[ID]]="","",IF(ISNA(MATCH(Log[[#This Row],[ID]],Items[ID],0)),"unknown ID",IF(ISNA(MATCH(Log[[#This Row],[Verb]],VerbList,0)),"unknown verb",IF(Log[[#This Row],[Date]]="","no date",""))))</f>
      </c>
      <c r="G984" s="17">
        <f>IF(Log[[#This Row],[ID]]="","",IFERROR(VLOOKUP(Log[[#This Row],[Verb]],Verbs,3,FALSE)&amp;"",""))</f>
      </c>
      <c r="H984" s="17">
        <f>IF(Log[[#This Row],[Date]]="","",INT((Log[[#This Row],[Date]]-Sprint1)/SprintDays)+1)</f>
      </c>
      <c r="I984" s="17">
        <f>IF(OR(Log[[#This Row],[Verb]]="commit",Log[[#This Row],[Verb]]="carry",Log[[#This Row],[Verb]]="redo"),IF(Log[[#This Row],[Arg]]="",Log[[#This Row],[Sprint]],N(Log[[#This Row],[Arg]])),"")</f>
      </c>
      <c r="J984" s="17">
        <f>IF(Log[[#This Row],[Verb]]="block",1,IF(OR(Log[[#This Row],[Verb]]="unblock",Log[[#This Row],[Verb]]="done",Log[[#This Row],[Verb]]="drop",Log[[#This Row],[Verb]]="punt",Log[[#This Row],[Verb]]="pass"),0,""))</f>
      </c>
      <c r="K984" s="17">
        <f>IF(Log[[#This Row],[ID]]="",0,IFERROR(INDEX(Items[Pts],MATCH(Log[[#This Row],[ID]],Items[ID],0))*1,0))</f>
      </c>
      <c r="L984" s="17">
        <f>IF(Log[[#This Row],[ID]]="","",IFERROR(INDEX(Items[Cur team],MATCH(Log[[#This Row],[ID]],Items[ID],0))&amp;"",""))</f>
      </c>
      <c r="M984" s="17">
        <f>IF(OR(Log[[#This Row],[Verb]]="done",Log[[#This Row],[Verb]]="punt",Log[[#This Row],[Verb]]="drop",Log[[#This Row],[Verb]]="pass"),Log[[#This Row],[Pts]],0)</f>
      </c>
    </row>
    <row r="985">
      <c r="A985" s="11">
        <v>46174</v>
      </c>
      <c r="B985" t="s">
        <v>590</v>
      </c>
      <c r="C985" t="s">
        <v>41</v>
      </c>
      <c r="F985" s="17">
        <f>IF(Log[[#This Row],[ID]]="","",IF(ISNA(MATCH(Log[[#This Row],[ID]],Items[ID],0)),"unknown ID",IF(ISNA(MATCH(Log[[#This Row],[Verb]],VerbList,0)),"unknown verb",IF(Log[[#This Row],[Date]]="","no date",""))))</f>
      </c>
      <c r="G985" s="17">
        <f>IF(Log[[#This Row],[ID]]="","",IFERROR(VLOOKUP(Log[[#This Row],[Verb]],Verbs,3,FALSE)&amp;"",""))</f>
      </c>
      <c r="H985" s="17">
        <f>IF(Log[[#This Row],[Date]]="","",INT((Log[[#This Row],[Date]]-Sprint1)/SprintDays)+1)</f>
      </c>
      <c r="I985" s="17">
        <f>IF(OR(Log[[#This Row],[Verb]]="commit",Log[[#This Row],[Verb]]="carry",Log[[#This Row],[Verb]]="redo"),IF(Log[[#This Row],[Arg]]="",Log[[#This Row],[Sprint]],N(Log[[#This Row],[Arg]])),"")</f>
      </c>
      <c r="J985" s="17">
        <f>IF(Log[[#This Row],[Verb]]="block",1,IF(OR(Log[[#This Row],[Verb]]="unblock",Log[[#This Row],[Verb]]="done",Log[[#This Row],[Verb]]="drop",Log[[#This Row],[Verb]]="punt",Log[[#This Row],[Verb]]="pass"),0,""))</f>
      </c>
      <c r="K985" s="17">
        <f>IF(Log[[#This Row],[ID]]="",0,IFERROR(INDEX(Items[Pts],MATCH(Log[[#This Row],[ID]],Items[ID],0))*1,0))</f>
      </c>
      <c r="L985" s="17">
        <f>IF(Log[[#This Row],[ID]]="","",IFERROR(INDEX(Items[Cur team],MATCH(Log[[#This Row],[ID]],Items[ID],0))&amp;"",""))</f>
      </c>
      <c r="M985" s="17">
        <f>IF(OR(Log[[#This Row],[Verb]]="done",Log[[#This Row],[Verb]]="punt",Log[[#This Row],[Verb]]="drop",Log[[#This Row],[Verb]]="pass"),Log[[#This Row],[Pts]],0)</f>
      </c>
    </row>
    <row r="986">
      <c r="A986" s="11">
        <v>46174</v>
      </c>
      <c r="B986" t="s">
        <v>591</v>
      </c>
      <c r="C986" t="s">
        <v>41</v>
      </c>
      <c r="F986" s="17">
        <f>IF(Log[[#This Row],[ID]]="","",IF(ISNA(MATCH(Log[[#This Row],[ID]],Items[ID],0)),"unknown ID",IF(ISNA(MATCH(Log[[#This Row],[Verb]],VerbList,0)),"unknown verb",IF(Log[[#This Row],[Date]]="","no date",""))))</f>
      </c>
      <c r="G986" s="17">
        <f>IF(Log[[#This Row],[ID]]="","",IFERROR(VLOOKUP(Log[[#This Row],[Verb]],Verbs,3,FALSE)&amp;"",""))</f>
      </c>
      <c r="H986" s="17">
        <f>IF(Log[[#This Row],[Date]]="","",INT((Log[[#This Row],[Date]]-Sprint1)/SprintDays)+1)</f>
      </c>
      <c r="I986" s="17">
        <f>IF(OR(Log[[#This Row],[Verb]]="commit",Log[[#This Row],[Verb]]="carry",Log[[#This Row],[Verb]]="redo"),IF(Log[[#This Row],[Arg]]="",Log[[#This Row],[Sprint]],N(Log[[#This Row],[Arg]])),"")</f>
      </c>
      <c r="J986" s="17">
        <f>IF(Log[[#This Row],[Verb]]="block",1,IF(OR(Log[[#This Row],[Verb]]="unblock",Log[[#This Row],[Verb]]="done",Log[[#This Row],[Verb]]="drop",Log[[#This Row],[Verb]]="punt",Log[[#This Row],[Verb]]="pass"),0,""))</f>
      </c>
      <c r="K986" s="17">
        <f>IF(Log[[#This Row],[ID]]="",0,IFERROR(INDEX(Items[Pts],MATCH(Log[[#This Row],[ID]],Items[ID],0))*1,0))</f>
      </c>
      <c r="L986" s="17">
        <f>IF(Log[[#This Row],[ID]]="","",IFERROR(INDEX(Items[Cur team],MATCH(Log[[#This Row],[ID]],Items[ID],0))&amp;"",""))</f>
      </c>
      <c r="M986" s="17">
        <f>IF(OR(Log[[#This Row],[Verb]]="done",Log[[#This Row],[Verb]]="punt",Log[[#This Row],[Verb]]="drop",Log[[#This Row],[Verb]]="pass"),Log[[#This Row],[Pts]],0)</f>
      </c>
    </row>
    <row r="987">
      <c r="A987" s="11">
        <v>46174</v>
      </c>
      <c r="B987" t="s">
        <v>592</v>
      </c>
      <c r="C987" t="s">
        <v>41</v>
      </c>
      <c r="F987" s="17">
        <f>IF(Log[[#This Row],[ID]]="","",IF(ISNA(MATCH(Log[[#This Row],[ID]],Items[ID],0)),"unknown ID",IF(ISNA(MATCH(Log[[#This Row],[Verb]],VerbList,0)),"unknown verb",IF(Log[[#This Row],[Date]]="","no date",""))))</f>
      </c>
      <c r="G987" s="17">
        <f>IF(Log[[#This Row],[ID]]="","",IFERROR(VLOOKUP(Log[[#This Row],[Verb]],Verbs,3,FALSE)&amp;"",""))</f>
      </c>
      <c r="H987" s="17">
        <f>IF(Log[[#This Row],[Date]]="","",INT((Log[[#This Row],[Date]]-Sprint1)/SprintDays)+1)</f>
      </c>
      <c r="I987" s="17">
        <f>IF(OR(Log[[#This Row],[Verb]]="commit",Log[[#This Row],[Verb]]="carry",Log[[#This Row],[Verb]]="redo"),IF(Log[[#This Row],[Arg]]="",Log[[#This Row],[Sprint]],N(Log[[#This Row],[Arg]])),"")</f>
      </c>
      <c r="J987" s="17">
        <f>IF(Log[[#This Row],[Verb]]="block",1,IF(OR(Log[[#This Row],[Verb]]="unblock",Log[[#This Row],[Verb]]="done",Log[[#This Row],[Verb]]="drop",Log[[#This Row],[Verb]]="punt",Log[[#This Row],[Verb]]="pass"),0,""))</f>
      </c>
      <c r="K987" s="17">
        <f>IF(Log[[#This Row],[ID]]="",0,IFERROR(INDEX(Items[Pts],MATCH(Log[[#This Row],[ID]],Items[ID],0))*1,0))</f>
      </c>
      <c r="L987" s="17">
        <f>IF(Log[[#This Row],[ID]]="","",IFERROR(INDEX(Items[Cur team],MATCH(Log[[#This Row],[ID]],Items[ID],0))&amp;"",""))</f>
      </c>
      <c r="M987" s="17">
        <f>IF(OR(Log[[#This Row],[Verb]]="done",Log[[#This Row],[Verb]]="punt",Log[[#This Row],[Verb]]="drop",Log[[#This Row],[Verb]]="pass"),Log[[#This Row],[Pts]],0)</f>
      </c>
    </row>
    <row r="988">
      <c r="A988" s="11">
        <v>46175</v>
      </c>
      <c r="B988" t="s">
        <v>593</v>
      </c>
      <c r="C988" t="s">
        <v>34</v>
      </c>
      <c r="D988">
        <v>45</v>
      </c>
      <c r="F988" s="17">
        <f>IF(Log[[#This Row],[ID]]="","",IF(ISNA(MATCH(Log[[#This Row],[ID]],Items[ID],0)),"unknown ID",IF(ISNA(MATCH(Log[[#This Row],[Verb]],VerbList,0)),"unknown verb",IF(Log[[#This Row],[Date]]="","no date",""))))</f>
      </c>
      <c r="G988" s="17">
        <f>IF(Log[[#This Row],[ID]]="","",IFERROR(VLOOKUP(Log[[#This Row],[Verb]],Verbs,3,FALSE)&amp;"",""))</f>
      </c>
      <c r="H988" s="17">
        <f>IF(Log[[#This Row],[Date]]="","",INT((Log[[#This Row],[Date]]-Sprint1)/SprintDays)+1)</f>
      </c>
      <c r="I988" s="17">
        <f>IF(OR(Log[[#This Row],[Verb]]="commit",Log[[#This Row],[Verb]]="carry",Log[[#This Row],[Verb]]="redo"),IF(Log[[#This Row],[Arg]]="",Log[[#This Row],[Sprint]],N(Log[[#This Row],[Arg]])),"")</f>
      </c>
      <c r="J988" s="17">
        <f>IF(Log[[#This Row],[Verb]]="block",1,IF(OR(Log[[#This Row],[Verb]]="unblock",Log[[#This Row],[Verb]]="done",Log[[#This Row],[Verb]]="drop",Log[[#This Row],[Verb]]="punt",Log[[#This Row],[Verb]]="pass"),0,""))</f>
      </c>
      <c r="K988" s="17">
        <f>IF(Log[[#This Row],[ID]]="",0,IFERROR(INDEX(Items[Pts],MATCH(Log[[#This Row],[ID]],Items[ID],0))*1,0))</f>
      </c>
      <c r="L988" s="17">
        <f>IF(Log[[#This Row],[ID]]="","",IFERROR(INDEX(Items[Cur team],MATCH(Log[[#This Row],[ID]],Items[ID],0))&amp;"",""))</f>
      </c>
      <c r="M988" s="17">
        <f>IF(OR(Log[[#This Row],[Verb]]="done",Log[[#This Row],[Verb]]="punt",Log[[#This Row],[Verb]]="drop",Log[[#This Row],[Verb]]="pass"),Log[[#This Row],[Pts]],0)</f>
      </c>
    </row>
    <row r="989">
      <c r="A989" s="11">
        <v>46175</v>
      </c>
      <c r="B989" t="s">
        <v>594</v>
      </c>
      <c r="C989" t="s">
        <v>34</v>
      </c>
      <c r="D989">
        <v>45</v>
      </c>
      <c r="F989" s="17">
        <f>IF(Log[[#This Row],[ID]]="","",IF(ISNA(MATCH(Log[[#This Row],[ID]],Items[ID],0)),"unknown ID",IF(ISNA(MATCH(Log[[#This Row],[Verb]],VerbList,0)),"unknown verb",IF(Log[[#This Row],[Date]]="","no date",""))))</f>
      </c>
      <c r="G989" s="17">
        <f>IF(Log[[#This Row],[ID]]="","",IFERROR(VLOOKUP(Log[[#This Row],[Verb]],Verbs,3,FALSE)&amp;"",""))</f>
      </c>
      <c r="H989" s="17">
        <f>IF(Log[[#This Row],[Date]]="","",INT((Log[[#This Row],[Date]]-Sprint1)/SprintDays)+1)</f>
      </c>
      <c r="I989" s="17">
        <f>IF(OR(Log[[#This Row],[Verb]]="commit",Log[[#This Row],[Verb]]="carry",Log[[#This Row],[Verb]]="redo"),IF(Log[[#This Row],[Arg]]="",Log[[#This Row],[Sprint]],N(Log[[#This Row],[Arg]])),"")</f>
      </c>
      <c r="J989" s="17">
        <f>IF(Log[[#This Row],[Verb]]="block",1,IF(OR(Log[[#This Row],[Verb]]="unblock",Log[[#This Row],[Verb]]="done",Log[[#This Row],[Verb]]="drop",Log[[#This Row],[Verb]]="punt",Log[[#This Row],[Verb]]="pass"),0,""))</f>
      </c>
      <c r="K989" s="17">
        <f>IF(Log[[#This Row],[ID]]="",0,IFERROR(INDEX(Items[Pts],MATCH(Log[[#This Row],[ID]],Items[ID],0))*1,0))</f>
      </c>
      <c r="L989" s="17">
        <f>IF(Log[[#This Row],[ID]]="","",IFERROR(INDEX(Items[Cur team],MATCH(Log[[#This Row],[ID]],Items[ID],0))&amp;"",""))</f>
      </c>
      <c r="M989" s="17">
        <f>IF(OR(Log[[#This Row],[Verb]]="done",Log[[#This Row],[Verb]]="punt",Log[[#This Row],[Verb]]="drop",Log[[#This Row],[Verb]]="pass"),Log[[#This Row],[Pts]],0)</f>
      </c>
    </row>
    <row r="990">
      <c r="A990" s="11">
        <v>46175</v>
      </c>
      <c r="B990" t="s">
        <v>595</v>
      </c>
      <c r="C990" t="s">
        <v>34</v>
      </c>
      <c r="D990">
        <v>45</v>
      </c>
      <c r="F990" s="17">
        <f>IF(Log[[#This Row],[ID]]="","",IF(ISNA(MATCH(Log[[#This Row],[ID]],Items[ID],0)),"unknown ID",IF(ISNA(MATCH(Log[[#This Row],[Verb]],VerbList,0)),"unknown verb",IF(Log[[#This Row],[Date]]="","no date",""))))</f>
      </c>
      <c r="G990" s="17">
        <f>IF(Log[[#This Row],[ID]]="","",IFERROR(VLOOKUP(Log[[#This Row],[Verb]],Verbs,3,FALSE)&amp;"",""))</f>
      </c>
      <c r="H990" s="17">
        <f>IF(Log[[#This Row],[Date]]="","",INT((Log[[#This Row],[Date]]-Sprint1)/SprintDays)+1)</f>
      </c>
      <c r="I990" s="17">
        <f>IF(OR(Log[[#This Row],[Verb]]="commit",Log[[#This Row],[Verb]]="carry",Log[[#This Row],[Verb]]="redo"),IF(Log[[#This Row],[Arg]]="",Log[[#This Row],[Sprint]],N(Log[[#This Row],[Arg]])),"")</f>
      </c>
      <c r="J990" s="17">
        <f>IF(Log[[#This Row],[Verb]]="block",1,IF(OR(Log[[#This Row],[Verb]]="unblock",Log[[#This Row],[Verb]]="done",Log[[#This Row],[Verb]]="drop",Log[[#This Row],[Verb]]="punt",Log[[#This Row],[Verb]]="pass"),0,""))</f>
      </c>
      <c r="K990" s="17">
        <f>IF(Log[[#This Row],[ID]]="",0,IFERROR(INDEX(Items[Pts],MATCH(Log[[#This Row],[ID]],Items[ID],0))*1,0))</f>
      </c>
      <c r="L990" s="17">
        <f>IF(Log[[#This Row],[ID]]="","",IFERROR(INDEX(Items[Cur team],MATCH(Log[[#This Row],[ID]],Items[ID],0))&amp;"",""))</f>
      </c>
      <c r="M990" s="17">
        <f>IF(OR(Log[[#This Row],[Verb]]="done",Log[[#This Row],[Verb]]="punt",Log[[#This Row],[Verb]]="drop",Log[[#This Row],[Verb]]="pass"),Log[[#This Row],[Pts]],0)</f>
      </c>
    </row>
    <row r="991">
      <c r="A991" s="11">
        <v>46175</v>
      </c>
      <c r="B991" t="s">
        <v>596</v>
      </c>
      <c r="C991" t="s">
        <v>34</v>
      </c>
      <c r="D991">
        <v>45</v>
      </c>
      <c r="F991" s="17">
        <f>IF(Log[[#This Row],[ID]]="","",IF(ISNA(MATCH(Log[[#This Row],[ID]],Items[ID],0)),"unknown ID",IF(ISNA(MATCH(Log[[#This Row],[Verb]],VerbList,0)),"unknown verb",IF(Log[[#This Row],[Date]]="","no date",""))))</f>
      </c>
      <c r="G991" s="17">
        <f>IF(Log[[#This Row],[ID]]="","",IFERROR(VLOOKUP(Log[[#This Row],[Verb]],Verbs,3,FALSE)&amp;"",""))</f>
      </c>
      <c r="H991" s="17">
        <f>IF(Log[[#This Row],[Date]]="","",INT((Log[[#This Row],[Date]]-Sprint1)/SprintDays)+1)</f>
      </c>
      <c r="I991" s="17">
        <f>IF(OR(Log[[#This Row],[Verb]]="commit",Log[[#This Row],[Verb]]="carry",Log[[#This Row],[Verb]]="redo"),IF(Log[[#This Row],[Arg]]="",Log[[#This Row],[Sprint]],N(Log[[#This Row],[Arg]])),"")</f>
      </c>
      <c r="J991" s="17">
        <f>IF(Log[[#This Row],[Verb]]="block",1,IF(OR(Log[[#This Row],[Verb]]="unblock",Log[[#This Row],[Verb]]="done",Log[[#This Row],[Verb]]="drop",Log[[#This Row],[Verb]]="punt",Log[[#This Row],[Verb]]="pass"),0,""))</f>
      </c>
      <c r="K991" s="17">
        <f>IF(Log[[#This Row],[ID]]="",0,IFERROR(INDEX(Items[Pts],MATCH(Log[[#This Row],[ID]],Items[ID],0))*1,0))</f>
      </c>
      <c r="L991" s="17">
        <f>IF(Log[[#This Row],[ID]]="","",IFERROR(INDEX(Items[Cur team],MATCH(Log[[#This Row],[ID]],Items[ID],0))&amp;"",""))</f>
      </c>
      <c r="M991" s="17">
        <f>IF(OR(Log[[#This Row],[Verb]]="done",Log[[#This Row],[Verb]]="punt",Log[[#This Row],[Verb]]="drop",Log[[#This Row],[Verb]]="pass"),Log[[#This Row],[Pts]],0)</f>
      </c>
    </row>
    <row r="992">
      <c r="A992" s="11">
        <v>46175</v>
      </c>
      <c r="B992" t="s">
        <v>597</v>
      </c>
      <c r="C992" t="s">
        <v>34</v>
      </c>
      <c r="D992">
        <v>45</v>
      </c>
      <c r="F992" s="17">
        <f>IF(Log[[#This Row],[ID]]="","",IF(ISNA(MATCH(Log[[#This Row],[ID]],Items[ID],0)),"unknown ID",IF(ISNA(MATCH(Log[[#This Row],[Verb]],VerbList,0)),"unknown verb",IF(Log[[#This Row],[Date]]="","no date",""))))</f>
      </c>
      <c r="G992" s="17">
        <f>IF(Log[[#This Row],[ID]]="","",IFERROR(VLOOKUP(Log[[#This Row],[Verb]],Verbs,3,FALSE)&amp;"",""))</f>
      </c>
      <c r="H992" s="17">
        <f>IF(Log[[#This Row],[Date]]="","",INT((Log[[#This Row],[Date]]-Sprint1)/SprintDays)+1)</f>
      </c>
      <c r="I992" s="17">
        <f>IF(OR(Log[[#This Row],[Verb]]="commit",Log[[#This Row],[Verb]]="carry",Log[[#This Row],[Verb]]="redo"),IF(Log[[#This Row],[Arg]]="",Log[[#This Row],[Sprint]],N(Log[[#This Row],[Arg]])),"")</f>
      </c>
      <c r="J992" s="17">
        <f>IF(Log[[#This Row],[Verb]]="block",1,IF(OR(Log[[#This Row],[Verb]]="unblock",Log[[#This Row],[Verb]]="done",Log[[#This Row],[Verb]]="drop",Log[[#This Row],[Verb]]="punt",Log[[#This Row],[Verb]]="pass"),0,""))</f>
      </c>
      <c r="K992" s="17">
        <f>IF(Log[[#This Row],[ID]]="",0,IFERROR(INDEX(Items[Pts],MATCH(Log[[#This Row],[ID]],Items[ID],0))*1,0))</f>
      </c>
      <c r="L992" s="17">
        <f>IF(Log[[#This Row],[ID]]="","",IFERROR(INDEX(Items[Cur team],MATCH(Log[[#This Row],[ID]],Items[ID],0))&amp;"",""))</f>
      </c>
      <c r="M992" s="17">
        <f>IF(OR(Log[[#This Row],[Verb]]="done",Log[[#This Row],[Verb]]="punt",Log[[#This Row],[Verb]]="drop",Log[[#This Row],[Verb]]="pass"),Log[[#This Row],[Pts]],0)</f>
      </c>
    </row>
    <row r="993">
      <c r="A993" s="11">
        <v>46175</v>
      </c>
      <c r="B993" t="s">
        <v>598</v>
      </c>
      <c r="C993" t="s">
        <v>34</v>
      </c>
      <c r="D993">
        <v>45</v>
      </c>
      <c r="F993" s="17">
        <f>IF(Log[[#This Row],[ID]]="","",IF(ISNA(MATCH(Log[[#This Row],[ID]],Items[ID],0)),"unknown ID",IF(ISNA(MATCH(Log[[#This Row],[Verb]],VerbList,0)),"unknown verb",IF(Log[[#This Row],[Date]]="","no date",""))))</f>
      </c>
      <c r="G993" s="17">
        <f>IF(Log[[#This Row],[ID]]="","",IFERROR(VLOOKUP(Log[[#This Row],[Verb]],Verbs,3,FALSE)&amp;"",""))</f>
      </c>
      <c r="H993" s="17">
        <f>IF(Log[[#This Row],[Date]]="","",INT((Log[[#This Row],[Date]]-Sprint1)/SprintDays)+1)</f>
      </c>
      <c r="I993" s="17">
        <f>IF(OR(Log[[#This Row],[Verb]]="commit",Log[[#This Row],[Verb]]="carry",Log[[#This Row],[Verb]]="redo"),IF(Log[[#This Row],[Arg]]="",Log[[#This Row],[Sprint]],N(Log[[#This Row],[Arg]])),"")</f>
      </c>
      <c r="J993" s="17">
        <f>IF(Log[[#This Row],[Verb]]="block",1,IF(OR(Log[[#This Row],[Verb]]="unblock",Log[[#This Row],[Verb]]="done",Log[[#This Row],[Verb]]="drop",Log[[#This Row],[Verb]]="punt",Log[[#This Row],[Verb]]="pass"),0,""))</f>
      </c>
      <c r="K993" s="17">
        <f>IF(Log[[#This Row],[ID]]="",0,IFERROR(INDEX(Items[Pts],MATCH(Log[[#This Row],[ID]],Items[ID],0))*1,0))</f>
      </c>
      <c r="L993" s="17">
        <f>IF(Log[[#This Row],[ID]]="","",IFERROR(INDEX(Items[Cur team],MATCH(Log[[#This Row],[ID]],Items[ID],0))&amp;"",""))</f>
      </c>
      <c r="M993" s="17">
        <f>IF(OR(Log[[#This Row],[Verb]]="done",Log[[#This Row],[Verb]]="punt",Log[[#This Row],[Verb]]="drop",Log[[#This Row],[Verb]]="pass"),Log[[#This Row],[Pts]],0)</f>
      </c>
    </row>
    <row r="994">
      <c r="A994" s="11">
        <v>46175</v>
      </c>
      <c r="B994" t="s">
        <v>599</v>
      </c>
      <c r="C994" t="s">
        <v>34</v>
      </c>
      <c r="D994">
        <v>45</v>
      </c>
      <c r="F994" s="17">
        <f>IF(Log[[#This Row],[ID]]="","",IF(ISNA(MATCH(Log[[#This Row],[ID]],Items[ID],0)),"unknown ID",IF(ISNA(MATCH(Log[[#This Row],[Verb]],VerbList,0)),"unknown verb",IF(Log[[#This Row],[Date]]="","no date",""))))</f>
      </c>
      <c r="G994" s="17">
        <f>IF(Log[[#This Row],[ID]]="","",IFERROR(VLOOKUP(Log[[#This Row],[Verb]],Verbs,3,FALSE)&amp;"",""))</f>
      </c>
      <c r="H994" s="17">
        <f>IF(Log[[#This Row],[Date]]="","",INT((Log[[#This Row],[Date]]-Sprint1)/SprintDays)+1)</f>
      </c>
      <c r="I994" s="17">
        <f>IF(OR(Log[[#This Row],[Verb]]="commit",Log[[#This Row],[Verb]]="carry",Log[[#This Row],[Verb]]="redo"),IF(Log[[#This Row],[Arg]]="",Log[[#This Row],[Sprint]],N(Log[[#This Row],[Arg]])),"")</f>
      </c>
      <c r="J994" s="17">
        <f>IF(Log[[#This Row],[Verb]]="block",1,IF(OR(Log[[#This Row],[Verb]]="unblock",Log[[#This Row],[Verb]]="done",Log[[#This Row],[Verb]]="drop",Log[[#This Row],[Verb]]="punt",Log[[#This Row],[Verb]]="pass"),0,""))</f>
      </c>
      <c r="K994" s="17">
        <f>IF(Log[[#This Row],[ID]]="",0,IFERROR(INDEX(Items[Pts],MATCH(Log[[#This Row],[ID]],Items[ID],0))*1,0))</f>
      </c>
      <c r="L994" s="17">
        <f>IF(Log[[#This Row],[ID]]="","",IFERROR(INDEX(Items[Cur team],MATCH(Log[[#This Row],[ID]],Items[ID],0))&amp;"",""))</f>
      </c>
      <c r="M994" s="17">
        <f>IF(OR(Log[[#This Row],[Verb]]="done",Log[[#This Row],[Verb]]="punt",Log[[#This Row],[Verb]]="drop",Log[[#This Row],[Verb]]="pass"),Log[[#This Row],[Pts]],0)</f>
      </c>
    </row>
    <row r="995">
      <c r="A995" s="11">
        <v>46175</v>
      </c>
      <c r="B995" t="s">
        <v>600</v>
      </c>
      <c r="C995" t="s">
        <v>34</v>
      </c>
      <c r="D995">
        <v>45</v>
      </c>
      <c r="F995" s="17">
        <f>IF(Log[[#This Row],[ID]]="","",IF(ISNA(MATCH(Log[[#This Row],[ID]],Items[ID],0)),"unknown ID",IF(ISNA(MATCH(Log[[#This Row],[Verb]],VerbList,0)),"unknown verb",IF(Log[[#This Row],[Date]]="","no date",""))))</f>
      </c>
      <c r="G995" s="17">
        <f>IF(Log[[#This Row],[ID]]="","",IFERROR(VLOOKUP(Log[[#This Row],[Verb]],Verbs,3,FALSE)&amp;"",""))</f>
      </c>
      <c r="H995" s="17">
        <f>IF(Log[[#This Row],[Date]]="","",INT((Log[[#This Row],[Date]]-Sprint1)/SprintDays)+1)</f>
      </c>
      <c r="I995" s="17">
        <f>IF(OR(Log[[#This Row],[Verb]]="commit",Log[[#This Row],[Verb]]="carry",Log[[#This Row],[Verb]]="redo"),IF(Log[[#This Row],[Arg]]="",Log[[#This Row],[Sprint]],N(Log[[#This Row],[Arg]])),"")</f>
      </c>
      <c r="J995" s="17">
        <f>IF(Log[[#This Row],[Verb]]="block",1,IF(OR(Log[[#This Row],[Verb]]="unblock",Log[[#This Row],[Verb]]="done",Log[[#This Row],[Verb]]="drop",Log[[#This Row],[Verb]]="punt",Log[[#This Row],[Verb]]="pass"),0,""))</f>
      </c>
      <c r="K995" s="17">
        <f>IF(Log[[#This Row],[ID]]="",0,IFERROR(INDEX(Items[Pts],MATCH(Log[[#This Row],[ID]],Items[ID],0))*1,0))</f>
      </c>
      <c r="L995" s="17">
        <f>IF(Log[[#This Row],[ID]]="","",IFERROR(INDEX(Items[Cur team],MATCH(Log[[#This Row],[ID]],Items[ID],0))&amp;"",""))</f>
      </c>
      <c r="M995" s="17">
        <f>IF(OR(Log[[#This Row],[Verb]]="done",Log[[#This Row],[Verb]]="punt",Log[[#This Row],[Verb]]="drop",Log[[#This Row],[Verb]]="pass"),Log[[#This Row],[Pts]],0)</f>
      </c>
    </row>
    <row r="996">
      <c r="A996" s="11">
        <v>46175</v>
      </c>
      <c r="B996" t="s">
        <v>601</v>
      </c>
      <c r="C996" t="s">
        <v>34</v>
      </c>
      <c r="D996">
        <v>45</v>
      </c>
      <c r="F996" s="17">
        <f>IF(Log[[#This Row],[ID]]="","",IF(ISNA(MATCH(Log[[#This Row],[ID]],Items[ID],0)),"unknown ID",IF(ISNA(MATCH(Log[[#This Row],[Verb]],VerbList,0)),"unknown verb",IF(Log[[#This Row],[Date]]="","no date",""))))</f>
      </c>
      <c r="G996" s="17">
        <f>IF(Log[[#This Row],[ID]]="","",IFERROR(VLOOKUP(Log[[#This Row],[Verb]],Verbs,3,FALSE)&amp;"",""))</f>
      </c>
      <c r="H996" s="17">
        <f>IF(Log[[#This Row],[Date]]="","",INT((Log[[#This Row],[Date]]-Sprint1)/SprintDays)+1)</f>
      </c>
      <c r="I996" s="17">
        <f>IF(OR(Log[[#This Row],[Verb]]="commit",Log[[#This Row],[Verb]]="carry",Log[[#This Row],[Verb]]="redo"),IF(Log[[#This Row],[Arg]]="",Log[[#This Row],[Sprint]],N(Log[[#This Row],[Arg]])),"")</f>
      </c>
      <c r="J996" s="17">
        <f>IF(Log[[#This Row],[Verb]]="block",1,IF(OR(Log[[#This Row],[Verb]]="unblock",Log[[#This Row],[Verb]]="done",Log[[#This Row],[Verb]]="drop",Log[[#This Row],[Verb]]="punt",Log[[#This Row],[Verb]]="pass"),0,""))</f>
      </c>
      <c r="K996" s="17">
        <f>IF(Log[[#This Row],[ID]]="",0,IFERROR(INDEX(Items[Pts],MATCH(Log[[#This Row],[ID]],Items[ID],0))*1,0))</f>
      </c>
      <c r="L996" s="17">
        <f>IF(Log[[#This Row],[ID]]="","",IFERROR(INDEX(Items[Cur team],MATCH(Log[[#This Row],[ID]],Items[ID],0))&amp;"",""))</f>
      </c>
      <c r="M996" s="17">
        <f>IF(OR(Log[[#This Row],[Verb]]="done",Log[[#This Row],[Verb]]="punt",Log[[#This Row],[Verb]]="drop",Log[[#This Row],[Verb]]="pass"),Log[[#This Row],[Pts]],0)</f>
      </c>
    </row>
    <row r="997">
      <c r="A997" s="11">
        <v>46175</v>
      </c>
      <c r="B997" t="s">
        <v>602</v>
      </c>
      <c r="C997" t="s">
        <v>34</v>
      </c>
      <c r="D997">
        <v>45</v>
      </c>
      <c r="F997" s="17">
        <f>IF(Log[[#This Row],[ID]]="","",IF(ISNA(MATCH(Log[[#This Row],[ID]],Items[ID],0)),"unknown ID",IF(ISNA(MATCH(Log[[#This Row],[Verb]],VerbList,0)),"unknown verb",IF(Log[[#This Row],[Date]]="","no date",""))))</f>
      </c>
      <c r="G997" s="17">
        <f>IF(Log[[#This Row],[ID]]="","",IFERROR(VLOOKUP(Log[[#This Row],[Verb]],Verbs,3,FALSE)&amp;"",""))</f>
      </c>
      <c r="H997" s="17">
        <f>IF(Log[[#This Row],[Date]]="","",INT((Log[[#This Row],[Date]]-Sprint1)/SprintDays)+1)</f>
      </c>
      <c r="I997" s="17">
        <f>IF(OR(Log[[#This Row],[Verb]]="commit",Log[[#This Row],[Verb]]="carry",Log[[#This Row],[Verb]]="redo"),IF(Log[[#This Row],[Arg]]="",Log[[#This Row],[Sprint]],N(Log[[#This Row],[Arg]])),"")</f>
      </c>
      <c r="J997" s="17">
        <f>IF(Log[[#This Row],[Verb]]="block",1,IF(OR(Log[[#This Row],[Verb]]="unblock",Log[[#This Row],[Verb]]="done",Log[[#This Row],[Verb]]="drop",Log[[#This Row],[Verb]]="punt",Log[[#This Row],[Verb]]="pass"),0,""))</f>
      </c>
      <c r="K997" s="17">
        <f>IF(Log[[#This Row],[ID]]="",0,IFERROR(INDEX(Items[Pts],MATCH(Log[[#This Row],[ID]],Items[ID],0))*1,0))</f>
      </c>
      <c r="L997" s="17">
        <f>IF(Log[[#This Row],[ID]]="","",IFERROR(INDEX(Items[Cur team],MATCH(Log[[#This Row],[ID]],Items[ID],0))&amp;"",""))</f>
      </c>
      <c r="M997" s="17">
        <f>IF(OR(Log[[#This Row],[Verb]]="done",Log[[#This Row],[Verb]]="punt",Log[[#This Row],[Verb]]="drop",Log[[#This Row],[Verb]]="pass"),Log[[#This Row],[Pts]],0)</f>
      </c>
    </row>
    <row r="998">
      <c r="A998" s="11">
        <v>46175</v>
      </c>
      <c r="B998" t="s">
        <v>603</v>
      </c>
      <c r="C998" t="s">
        <v>34</v>
      </c>
      <c r="D998">
        <v>45</v>
      </c>
      <c r="F998" s="17">
        <f>IF(Log[[#This Row],[ID]]="","",IF(ISNA(MATCH(Log[[#This Row],[ID]],Items[ID],0)),"unknown ID",IF(ISNA(MATCH(Log[[#This Row],[Verb]],VerbList,0)),"unknown verb",IF(Log[[#This Row],[Date]]="","no date",""))))</f>
      </c>
      <c r="G998" s="17">
        <f>IF(Log[[#This Row],[ID]]="","",IFERROR(VLOOKUP(Log[[#This Row],[Verb]],Verbs,3,FALSE)&amp;"",""))</f>
      </c>
      <c r="H998" s="17">
        <f>IF(Log[[#This Row],[Date]]="","",INT((Log[[#This Row],[Date]]-Sprint1)/SprintDays)+1)</f>
      </c>
      <c r="I998" s="17">
        <f>IF(OR(Log[[#This Row],[Verb]]="commit",Log[[#This Row],[Verb]]="carry",Log[[#This Row],[Verb]]="redo"),IF(Log[[#This Row],[Arg]]="",Log[[#This Row],[Sprint]],N(Log[[#This Row],[Arg]])),"")</f>
      </c>
      <c r="J998" s="17">
        <f>IF(Log[[#This Row],[Verb]]="block",1,IF(OR(Log[[#This Row],[Verb]]="unblock",Log[[#This Row],[Verb]]="done",Log[[#This Row],[Verb]]="drop",Log[[#This Row],[Verb]]="punt",Log[[#This Row],[Verb]]="pass"),0,""))</f>
      </c>
      <c r="K998" s="17">
        <f>IF(Log[[#This Row],[ID]]="",0,IFERROR(INDEX(Items[Pts],MATCH(Log[[#This Row],[ID]],Items[ID],0))*1,0))</f>
      </c>
      <c r="L998" s="17">
        <f>IF(Log[[#This Row],[ID]]="","",IFERROR(INDEX(Items[Cur team],MATCH(Log[[#This Row],[ID]],Items[ID],0))&amp;"",""))</f>
      </c>
      <c r="M998" s="17">
        <f>IF(OR(Log[[#This Row],[Verb]]="done",Log[[#This Row],[Verb]]="punt",Log[[#This Row],[Verb]]="drop",Log[[#This Row],[Verb]]="pass"),Log[[#This Row],[Pts]],0)</f>
      </c>
    </row>
    <row r="999">
      <c r="A999" s="11">
        <v>46175</v>
      </c>
      <c r="B999" t="s">
        <v>604</v>
      </c>
      <c r="C999" t="s">
        <v>34</v>
      </c>
      <c r="D999">
        <v>45</v>
      </c>
      <c r="F999" s="17">
        <f>IF(Log[[#This Row],[ID]]="","",IF(ISNA(MATCH(Log[[#This Row],[ID]],Items[ID],0)),"unknown ID",IF(ISNA(MATCH(Log[[#This Row],[Verb]],VerbList,0)),"unknown verb",IF(Log[[#This Row],[Date]]="","no date",""))))</f>
      </c>
      <c r="G999" s="17">
        <f>IF(Log[[#This Row],[ID]]="","",IFERROR(VLOOKUP(Log[[#This Row],[Verb]],Verbs,3,FALSE)&amp;"",""))</f>
      </c>
      <c r="H999" s="17">
        <f>IF(Log[[#This Row],[Date]]="","",INT((Log[[#This Row],[Date]]-Sprint1)/SprintDays)+1)</f>
      </c>
      <c r="I999" s="17">
        <f>IF(OR(Log[[#This Row],[Verb]]="commit",Log[[#This Row],[Verb]]="carry",Log[[#This Row],[Verb]]="redo"),IF(Log[[#This Row],[Arg]]="",Log[[#This Row],[Sprint]],N(Log[[#This Row],[Arg]])),"")</f>
      </c>
      <c r="J999" s="17">
        <f>IF(Log[[#This Row],[Verb]]="block",1,IF(OR(Log[[#This Row],[Verb]]="unblock",Log[[#This Row],[Verb]]="done",Log[[#This Row],[Verb]]="drop",Log[[#This Row],[Verb]]="punt",Log[[#This Row],[Verb]]="pass"),0,""))</f>
      </c>
      <c r="K999" s="17">
        <f>IF(Log[[#This Row],[ID]]="",0,IFERROR(INDEX(Items[Pts],MATCH(Log[[#This Row],[ID]],Items[ID],0))*1,0))</f>
      </c>
      <c r="L999" s="17">
        <f>IF(Log[[#This Row],[ID]]="","",IFERROR(INDEX(Items[Cur team],MATCH(Log[[#This Row],[ID]],Items[ID],0))&amp;"",""))</f>
      </c>
      <c r="M999" s="17">
        <f>IF(OR(Log[[#This Row],[Verb]]="done",Log[[#This Row],[Verb]]="punt",Log[[#This Row],[Verb]]="drop",Log[[#This Row],[Verb]]="pass"),Log[[#This Row],[Pts]],0)</f>
      </c>
    </row>
    <row r="1000">
      <c r="A1000" s="11">
        <v>46175</v>
      </c>
      <c r="B1000" t="s">
        <v>605</v>
      </c>
      <c r="C1000" t="s">
        <v>34</v>
      </c>
      <c r="D1000">
        <v>45</v>
      </c>
      <c r="F1000" s="17">
        <f>IF(Log[[#This Row],[ID]]="","",IF(ISNA(MATCH(Log[[#This Row],[ID]],Items[ID],0)),"unknown ID",IF(ISNA(MATCH(Log[[#This Row],[Verb]],VerbList,0)),"unknown verb",IF(Log[[#This Row],[Date]]="","no date",""))))</f>
      </c>
      <c r="G1000" s="17">
        <f>IF(Log[[#This Row],[ID]]="","",IFERROR(VLOOKUP(Log[[#This Row],[Verb]],Verbs,3,FALSE)&amp;"",""))</f>
      </c>
      <c r="H1000" s="17">
        <f>IF(Log[[#This Row],[Date]]="","",INT((Log[[#This Row],[Date]]-Sprint1)/SprintDays)+1)</f>
      </c>
      <c r="I1000" s="17">
        <f>IF(OR(Log[[#This Row],[Verb]]="commit",Log[[#This Row],[Verb]]="carry",Log[[#This Row],[Verb]]="redo"),IF(Log[[#This Row],[Arg]]="",Log[[#This Row],[Sprint]],N(Log[[#This Row],[Arg]])),"")</f>
      </c>
      <c r="J1000" s="17">
        <f>IF(Log[[#This Row],[Verb]]="block",1,IF(OR(Log[[#This Row],[Verb]]="unblock",Log[[#This Row],[Verb]]="done",Log[[#This Row],[Verb]]="drop",Log[[#This Row],[Verb]]="punt",Log[[#This Row],[Verb]]="pass"),0,""))</f>
      </c>
      <c r="K1000" s="17">
        <f>IF(Log[[#This Row],[ID]]="",0,IFERROR(INDEX(Items[Pts],MATCH(Log[[#This Row],[ID]],Items[ID],0))*1,0))</f>
      </c>
      <c r="L1000" s="17">
        <f>IF(Log[[#This Row],[ID]]="","",IFERROR(INDEX(Items[Cur team],MATCH(Log[[#This Row],[ID]],Items[ID],0))&amp;"",""))</f>
      </c>
      <c r="M1000" s="17">
        <f>IF(OR(Log[[#This Row],[Verb]]="done",Log[[#This Row],[Verb]]="punt",Log[[#This Row],[Verb]]="drop",Log[[#This Row],[Verb]]="pass"),Log[[#This Row],[Pts]],0)</f>
      </c>
    </row>
    <row r="1001">
      <c r="A1001" s="11">
        <v>46175</v>
      </c>
      <c r="B1001" t="s">
        <v>606</v>
      </c>
      <c r="C1001" t="s">
        <v>34</v>
      </c>
      <c r="D1001">
        <v>45</v>
      </c>
      <c r="F1001" s="17">
        <f>IF(Log[[#This Row],[ID]]="","",IF(ISNA(MATCH(Log[[#This Row],[ID]],Items[ID],0)),"unknown ID",IF(ISNA(MATCH(Log[[#This Row],[Verb]],VerbList,0)),"unknown verb",IF(Log[[#This Row],[Date]]="","no date",""))))</f>
      </c>
      <c r="G1001" s="17">
        <f>IF(Log[[#This Row],[ID]]="","",IFERROR(VLOOKUP(Log[[#This Row],[Verb]],Verbs,3,FALSE)&amp;"",""))</f>
      </c>
      <c r="H1001" s="17">
        <f>IF(Log[[#This Row],[Date]]="","",INT((Log[[#This Row],[Date]]-Sprint1)/SprintDays)+1)</f>
      </c>
      <c r="I1001" s="17">
        <f>IF(OR(Log[[#This Row],[Verb]]="commit",Log[[#This Row],[Verb]]="carry",Log[[#This Row],[Verb]]="redo"),IF(Log[[#This Row],[Arg]]="",Log[[#This Row],[Sprint]],N(Log[[#This Row],[Arg]])),"")</f>
      </c>
      <c r="J1001" s="17">
        <f>IF(Log[[#This Row],[Verb]]="block",1,IF(OR(Log[[#This Row],[Verb]]="unblock",Log[[#This Row],[Verb]]="done",Log[[#This Row],[Verb]]="drop",Log[[#This Row],[Verb]]="punt",Log[[#This Row],[Verb]]="pass"),0,""))</f>
      </c>
      <c r="K1001" s="17">
        <f>IF(Log[[#This Row],[ID]]="",0,IFERROR(INDEX(Items[Pts],MATCH(Log[[#This Row],[ID]],Items[ID],0))*1,0))</f>
      </c>
      <c r="L1001" s="17">
        <f>IF(Log[[#This Row],[ID]]="","",IFERROR(INDEX(Items[Cur team],MATCH(Log[[#This Row],[ID]],Items[ID],0))&amp;"",""))</f>
      </c>
      <c r="M1001" s="17">
        <f>IF(OR(Log[[#This Row],[Verb]]="done",Log[[#This Row],[Verb]]="punt",Log[[#This Row],[Verb]]="drop",Log[[#This Row],[Verb]]="pass"),Log[[#This Row],[Pts]],0)</f>
      </c>
    </row>
    <row r="1002">
      <c r="A1002" s="11">
        <v>46175</v>
      </c>
      <c r="B1002" t="s">
        <v>607</v>
      </c>
      <c r="C1002" t="s">
        <v>34</v>
      </c>
      <c r="D1002">
        <v>45</v>
      </c>
      <c r="F1002" s="17">
        <f>IF(Log[[#This Row],[ID]]="","",IF(ISNA(MATCH(Log[[#This Row],[ID]],Items[ID],0)),"unknown ID",IF(ISNA(MATCH(Log[[#This Row],[Verb]],VerbList,0)),"unknown verb",IF(Log[[#This Row],[Date]]="","no date",""))))</f>
      </c>
      <c r="G1002" s="17">
        <f>IF(Log[[#This Row],[ID]]="","",IFERROR(VLOOKUP(Log[[#This Row],[Verb]],Verbs,3,FALSE)&amp;"",""))</f>
      </c>
      <c r="H1002" s="17">
        <f>IF(Log[[#This Row],[Date]]="","",INT((Log[[#This Row],[Date]]-Sprint1)/SprintDays)+1)</f>
      </c>
      <c r="I1002" s="17">
        <f>IF(OR(Log[[#This Row],[Verb]]="commit",Log[[#This Row],[Verb]]="carry",Log[[#This Row],[Verb]]="redo"),IF(Log[[#This Row],[Arg]]="",Log[[#This Row],[Sprint]],N(Log[[#This Row],[Arg]])),"")</f>
      </c>
      <c r="J1002" s="17">
        <f>IF(Log[[#This Row],[Verb]]="block",1,IF(OR(Log[[#This Row],[Verb]]="unblock",Log[[#This Row],[Verb]]="done",Log[[#This Row],[Verb]]="drop",Log[[#This Row],[Verb]]="punt",Log[[#This Row],[Verb]]="pass"),0,""))</f>
      </c>
      <c r="K1002" s="17">
        <f>IF(Log[[#This Row],[ID]]="",0,IFERROR(INDEX(Items[Pts],MATCH(Log[[#This Row],[ID]],Items[ID],0))*1,0))</f>
      </c>
      <c r="L1002" s="17">
        <f>IF(Log[[#This Row],[ID]]="","",IFERROR(INDEX(Items[Cur team],MATCH(Log[[#This Row],[ID]],Items[ID],0))&amp;"",""))</f>
      </c>
      <c r="M1002" s="17">
        <f>IF(OR(Log[[#This Row],[Verb]]="done",Log[[#This Row],[Verb]]="punt",Log[[#This Row],[Verb]]="drop",Log[[#This Row],[Verb]]="pass"),Log[[#This Row],[Pts]],0)</f>
      </c>
    </row>
    <row r="1003">
      <c r="A1003" s="11">
        <v>46175</v>
      </c>
      <c r="B1003" t="s">
        <v>608</v>
      </c>
      <c r="C1003" t="s">
        <v>34</v>
      </c>
      <c r="D1003">
        <v>45</v>
      </c>
      <c r="F1003" s="17">
        <f>IF(Log[[#This Row],[ID]]="","",IF(ISNA(MATCH(Log[[#This Row],[ID]],Items[ID],0)),"unknown ID",IF(ISNA(MATCH(Log[[#This Row],[Verb]],VerbList,0)),"unknown verb",IF(Log[[#This Row],[Date]]="","no date",""))))</f>
      </c>
      <c r="G1003" s="17">
        <f>IF(Log[[#This Row],[ID]]="","",IFERROR(VLOOKUP(Log[[#This Row],[Verb]],Verbs,3,FALSE)&amp;"",""))</f>
      </c>
      <c r="H1003" s="17">
        <f>IF(Log[[#This Row],[Date]]="","",INT((Log[[#This Row],[Date]]-Sprint1)/SprintDays)+1)</f>
      </c>
      <c r="I1003" s="17">
        <f>IF(OR(Log[[#This Row],[Verb]]="commit",Log[[#This Row],[Verb]]="carry",Log[[#This Row],[Verb]]="redo"),IF(Log[[#This Row],[Arg]]="",Log[[#This Row],[Sprint]],N(Log[[#This Row],[Arg]])),"")</f>
      </c>
      <c r="J1003" s="17">
        <f>IF(Log[[#This Row],[Verb]]="block",1,IF(OR(Log[[#This Row],[Verb]]="unblock",Log[[#This Row],[Verb]]="done",Log[[#This Row],[Verb]]="drop",Log[[#This Row],[Verb]]="punt",Log[[#This Row],[Verb]]="pass"),0,""))</f>
      </c>
      <c r="K1003" s="17">
        <f>IF(Log[[#This Row],[ID]]="",0,IFERROR(INDEX(Items[Pts],MATCH(Log[[#This Row],[ID]],Items[ID],0))*1,0))</f>
      </c>
      <c r="L1003" s="17">
        <f>IF(Log[[#This Row],[ID]]="","",IFERROR(INDEX(Items[Cur team],MATCH(Log[[#This Row],[ID]],Items[ID],0))&amp;"",""))</f>
      </c>
      <c r="M1003" s="17">
        <f>IF(OR(Log[[#This Row],[Verb]]="done",Log[[#This Row],[Verb]]="punt",Log[[#This Row],[Verb]]="drop",Log[[#This Row],[Verb]]="pass"),Log[[#This Row],[Pts]],0)</f>
      </c>
    </row>
    <row r="1004">
      <c r="A1004" s="11">
        <v>46175</v>
      </c>
      <c r="B1004" t="s">
        <v>609</v>
      </c>
      <c r="C1004" t="s">
        <v>34</v>
      </c>
      <c r="D1004">
        <v>45</v>
      </c>
      <c r="F1004" s="17">
        <f>IF(Log[[#This Row],[ID]]="","",IF(ISNA(MATCH(Log[[#This Row],[ID]],Items[ID],0)),"unknown ID",IF(ISNA(MATCH(Log[[#This Row],[Verb]],VerbList,0)),"unknown verb",IF(Log[[#This Row],[Date]]="","no date",""))))</f>
      </c>
      <c r="G1004" s="17">
        <f>IF(Log[[#This Row],[ID]]="","",IFERROR(VLOOKUP(Log[[#This Row],[Verb]],Verbs,3,FALSE)&amp;"",""))</f>
      </c>
      <c r="H1004" s="17">
        <f>IF(Log[[#This Row],[Date]]="","",INT((Log[[#This Row],[Date]]-Sprint1)/SprintDays)+1)</f>
      </c>
      <c r="I1004" s="17">
        <f>IF(OR(Log[[#This Row],[Verb]]="commit",Log[[#This Row],[Verb]]="carry",Log[[#This Row],[Verb]]="redo"),IF(Log[[#This Row],[Arg]]="",Log[[#This Row],[Sprint]],N(Log[[#This Row],[Arg]])),"")</f>
      </c>
      <c r="J1004" s="17">
        <f>IF(Log[[#This Row],[Verb]]="block",1,IF(OR(Log[[#This Row],[Verb]]="unblock",Log[[#This Row],[Verb]]="done",Log[[#This Row],[Verb]]="drop",Log[[#This Row],[Verb]]="punt",Log[[#This Row],[Verb]]="pass"),0,""))</f>
      </c>
      <c r="K1004" s="17">
        <f>IF(Log[[#This Row],[ID]]="",0,IFERROR(INDEX(Items[Pts],MATCH(Log[[#This Row],[ID]],Items[ID],0))*1,0))</f>
      </c>
      <c r="L1004" s="17">
        <f>IF(Log[[#This Row],[ID]]="","",IFERROR(INDEX(Items[Cur team],MATCH(Log[[#This Row],[ID]],Items[ID],0))&amp;"",""))</f>
      </c>
      <c r="M1004" s="17">
        <f>IF(OR(Log[[#This Row],[Verb]]="done",Log[[#This Row],[Verb]]="punt",Log[[#This Row],[Verb]]="drop",Log[[#This Row],[Verb]]="pass"),Log[[#This Row],[Pts]],0)</f>
      </c>
    </row>
    <row r="1005">
      <c r="A1005" s="11">
        <v>46175</v>
      </c>
      <c r="B1005" t="s">
        <v>610</v>
      </c>
      <c r="C1005" t="s">
        <v>34</v>
      </c>
      <c r="D1005">
        <v>45</v>
      </c>
      <c r="F1005" s="17">
        <f>IF(Log[[#This Row],[ID]]="","",IF(ISNA(MATCH(Log[[#This Row],[ID]],Items[ID],0)),"unknown ID",IF(ISNA(MATCH(Log[[#This Row],[Verb]],VerbList,0)),"unknown verb",IF(Log[[#This Row],[Date]]="","no date",""))))</f>
      </c>
      <c r="G1005" s="17">
        <f>IF(Log[[#This Row],[ID]]="","",IFERROR(VLOOKUP(Log[[#This Row],[Verb]],Verbs,3,FALSE)&amp;"",""))</f>
      </c>
      <c r="H1005" s="17">
        <f>IF(Log[[#This Row],[Date]]="","",INT((Log[[#This Row],[Date]]-Sprint1)/SprintDays)+1)</f>
      </c>
      <c r="I1005" s="17">
        <f>IF(OR(Log[[#This Row],[Verb]]="commit",Log[[#This Row],[Verb]]="carry",Log[[#This Row],[Verb]]="redo"),IF(Log[[#This Row],[Arg]]="",Log[[#This Row],[Sprint]],N(Log[[#This Row],[Arg]])),"")</f>
      </c>
      <c r="J1005" s="17">
        <f>IF(Log[[#This Row],[Verb]]="block",1,IF(OR(Log[[#This Row],[Verb]]="unblock",Log[[#This Row],[Verb]]="done",Log[[#This Row],[Verb]]="drop",Log[[#This Row],[Verb]]="punt",Log[[#This Row],[Verb]]="pass"),0,""))</f>
      </c>
      <c r="K1005" s="17">
        <f>IF(Log[[#This Row],[ID]]="",0,IFERROR(INDEX(Items[Pts],MATCH(Log[[#This Row],[ID]],Items[ID],0))*1,0))</f>
      </c>
      <c r="L1005" s="17">
        <f>IF(Log[[#This Row],[ID]]="","",IFERROR(INDEX(Items[Cur team],MATCH(Log[[#This Row],[ID]],Items[ID],0))&amp;"",""))</f>
      </c>
      <c r="M1005" s="17">
        <f>IF(OR(Log[[#This Row],[Verb]]="done",Log[[#This Row],[Verb]]="punt",Log[[#This Row],[Verb]]="drop",Log[[#This Row],[Verb]]="pass"),Log[[#This Row],[Pts]],0)</f>
      </c>
    </row>
    <row r="1006">
      <c r="A1006" s="11">
        <v>46175</v>
      </c>
      <c r="B1006" t="s">
        <v>611</v>
      </c>
      <c r="C1006" t="s">
        <v>34</v>
      </c>
      <c r="D1006">
        <v>45</v>
      </c>
      <c r="F1006" s="17">
        <f>IF(Log[[#This Row],[ID]]="","",IF(ISNA(MATCH(Log[[#This Row],[ID]],Items[ID],0)),"unknown ID",IF(ISNA(MATCH(Log[[#This Row],[Verb]],VerbList,0)),"unknown verb",IF(Log[[#This Row],[Date]]="","no date",""))))</f>
      </c>
      <c r="G1006" s="17">
        <f>IF(Log[[#This Row],[ID]]="","",IFERROR(VLOOKUP(Log[[#This Row],[Verb]],Verbs,3,FALSE)&amp;"",""))</f>
      </c>
      <c r="H1006" s="17">
        <f>IF(Log[[#This Row],[Date]]="","",INT((Log[[#This Row],[Date]]-Sprint1)/SprintDays)+1)</f>
      </c>
      <c r="I1006" s="17">
        <f>IF(OR(Log[[#This Row],[Verb]]="commit",Log[[#This Row],[Verb]]="carry",Log[[#This Row],[Verb]]="redo"),IF(Log[[#This Row],[Arg]]="",Log[[#This Row],[Sprint]],N(Log[[#This Row],[Arg]])),"")</f>
      </c>
      <c r="J1006" s="17">
        <f>IF(Log[[#This Row],[Verb]]="block",1,IF(OR(Log[[#This Row],[Verb]]="unblock",Log[[#This Row],[Verb]]="done",Log[[#This Row],[Verb]]="drop",Log[[#This Row],[Verb]]="punt",Log[[#This Row],[Verb]]="pass"),0,""))</f>
      </c>
      <c r="K1006" s="17">
        <f>IF(Log[[#This Row],[ID]]="",0,IFERROR(INDEX(Items[Pts],MATCH(Log[[#This Row],[ID]],Items[ID],0))*1,0))</f>
      </c>
      <c r="L1006" s="17">
        <f>IF(Log[[#This Row],[ID]]="","",IFERROR(INDEX(Items[Cur team],MATCH(Log[[#This Row],[ID]],Items[ID],0))&amp;"",""))</f>
      </c>
      <c r="M1006" s="17">
        <f>IF(OR(Log[[#This Row],[Verb]]="done",Log[[#This Row],[Verb]]="punt",Log[[#This Row],[Verb]]="drop",Log[[#This Row],[Verb]]="pass"),Log[[#This Row],[Pts]],0)</f>
      </c>
    </row>
    <row r="1007">
      <c r="A1007" s="11">
        <v>46175</v>
      </c>
      <c r="B1007" t="s">
        <v>612</v>
      </c>
      <c r="C1007" t="s">
        <v>34</v>
      </c>
      <c r="D1007">
        <v>45</v>
      </c>
      <c r="F1007" s="17">
        <f>IF(Log[[#This Row],[ID]]="","",IF(ISNA(MATCH(Log[[#This Row],[ID]],Items[ID],0)),"unknown ID",IF(ISNA(MATCH(Log[[#This Row],[Verb]],VerbList,0)),"unknown verb",IF(Log[[#This Row],[Date]]="","no date",""))))</f>
      </c>
      <c r="G1007" s="17">
        <f>IF(Log[[#This Row],[ID]]="","",IFERROR(VLOOKUP(Log[[#This Row],[Verb]],Verbs,3,FALSE)&amp;"",""))</f>
      </c>
      <c r="H1007" s="17">
        <f>IF(Log[[#This Row],[Date]]="","",INT((Log[[#This Row],[Date]]-Sprint1)/SprintDays)+1)</f>
      </c>
      <c r="I1007" s="17">
        <f>IF(OR(Log[[#This Row],[Verb]]="commit",Log[[#This Row],[Verb]]="carry",Log[[#This Row],[Verb]]="redo"),IF(Log[[#This Row],[Arg]]="",Log[[#This Row],[Sprint]],N(Log[[#This Row],[Arg]])),"")</f>
      </c>
      <c r="J1007" s="17">
        <f>IF(Log[[#This Row],[Verb]]="block",1,IF(OR(Log[[#This Row],[Verb]]="unblock",Log[[#This Row],[Verb]]="done",Log[[#This Row],[Verb]]="drop",Log[[#This Row],[Verb]]="punt",Log[[#This Row],[Verb]]="pass"),0,""))</f>
      </c>
      <c r="K1007" s="17">
        <f>IF(Log[[#This Row],[ID]]="",0,IFERROR(INDEX(Items[Pts],MATCH(Log[[#This Row],[ID]],Items[ID],0))*1,0))</f>
      </c>
      <c r="L1007" s="17">
        <f>IF(Log[[#This Row],[ID]]="","",IFERROR(INDEX(Items[Cur team],MATCH(Log[[#This Row],[ID]],Items[ID],0))&amp;"",""))</f>
      </c>
      <c r="M1007" s="17">
        <f>IF(OR(Log[[#This Row],[Verb]]="done",Log[[#This Row],[Verb]]="punt",Log[[#This Row],[Verb]]="drop",Log[[#This Row],[Verb]]="pass"),Log[[#This Row],[Pts]],0)</f>
      </c>
    </row>
    <row r="1008">
      <c r="A1008" s="11">
        <v>46175</v>
      </c>
      <c r="B1008" t="s">
        <v>613</v>
      </c>
      <c r="C1008" t="s">
        <v>34</v>
      </c>
      <c r="D1008">
        <v>45</v>
      </c>
      <c r="F1008" s="17">
        <f>IF(Log[[#This Row],[ID]]="","",IF(ISNA(MATCH(Log[[#This Row],[ID]],Items[ID],0)),"unknown ID",IF(ISNA(MATCH(Log[[#This Row],[Verb]],VerbList,0)),"unknown verb",IF(Log[[#This Row],[Date]]="","no date",""))))</f>
      </c>
      <c r="G1008" s="17">
        <f>IF(Log[[#This Row],[ID]]="","",IFERROR(VLOOKUP(Log[[#This Row],[Verb]],Verbs,3,FALSE)&amp;"",""))</f>
      </c>
      <c r="H1008" s="17">
        <f>IF(Log[[#This Row],[Date]]="","",INT((Log[[#This Row],[Date]]-Sprint1)/SprintDays)+1)</f>
      </c>
      <c r="I1008" s="17">
        <f>IF(OR(Log[[#This Row],[Verb]]="commit",Log[[#This Row],[Verb]]="carry",Log[[#This Row],[Verb]]="redo"),IF(Log[[#This Row],[Arg]]="",Log[[#This Row],[Sprint]],N(Log[[#This Row],[Arg]])),"")</f>
      </c>
      <c r="J1008" s="17">
        <f>IF(Log[[#This Row],[Verb]]="block",1,IF(OR(Log[[#This Row],[Verb]]="unblock",Log[[#This Row],[Verb]]="done",Log[[#This Row],[Verb]]="drop",Log[[#This Row],[Verb]]="punt",Log[[#This Row],[Verb]]="pass"),0,""))</f>
      </c>
      <c r="K1008" s="17">
        <f>IF(Log[[#This Row],[ID]]="",0,IFERROR(INDEX(Items[Pts],MATCH(Log[[#This Row],[ID]],Items[ID],0))*1,0))</f>
      </c>
      <c r="L1008" s="17">
        <f>IF(Log[[#This Row],[ID]]="","",IFERROR(INDEX(Items[Cur team],MATCH(Log[[#This Row],[ID]],Items[ID],0))&amp;"",""))</f>
      </c>
      <c r="M1008" s="17">
        <f>IF(OR(Log[[#This Row],[Verb]]="done",Log[[#This Row],[Verb]]="punt",Log[[#This Row],[Verb]]="drop",Log[[#This Row],[Verb]]="pass"),Log[[#This Row],[Pts]],0)</f>
      </c>
    </row>
    <row r="1009">
      <c r="A1009" s="11">
        <v>46175</v>
      </c>
      <c r="B1009" t="s">
        <v>614</v>
      </c>
      <c r="C1009" t="s">
        <v>34</v>
      </c>
      <c r="D1009">
        <v>45</v>
      </c>
      <c r="F1009" s="17">
        <f>IF(Log[[#This Row],[ID]]="","",IF(ISNA(MATCH(Log[[#This Row],[ID]],Items[ID],0)),"unknown ID",IF(ISNA(MATCH(Log[[#This Row],[Verb]],VerbList,0)),"unknown verb",IF(Log[[#This Row],[Date]]="","no date",""))))</f>
      </c>
      <c r="G1009" s="17">
        <f>IF(Log[[#This Row],[ID]]="","",IFERROR(VLOOKUP(Log[[#This Row],[Verb]],Verbs,3,FALSE)&amp;"",""))</f>
      </c>
      <c r="H1009" s="17">
        <f>IF(Log[[#This Row],[Date]]="","",INT((Log[[#This Row],[Date]]-Sprint1)/SprintDays)+1)</f>
      </c>
      <c r="I1009" s="17">
        <f>IF(OR(Log[[#This Row],[Verb]]="commit",Log[[#This Row],[Verb]]="carry",Log[[#This Row],[Verb]]="redo"),IF(Log[[#This Row],[Arg]]="",Log[[#This Row],[Sprint]],N(Log[[#This Row],[Arg]])),"")</f>
      </c>
      <c r="J1009" s="17">
        <f>IF(Log[[#This Row],[Verb]]="block",1,IF(OR(Log[[#This Row],[Verb]]="unblock",Log[[#This Row],[Verb]]="done",Log[[#This Row],[Verb]]="drop",Log[[#This Row],[Verb]]="punt",Log[[#This Row],[Verb]]="pass"),0,""))</f>
      </c>
      <c r="K1009" s="17">
        <f>IF(Log[[#This Row],[ID]]="",0,IFERROR(INDEX(Items[Pts],MATCH(Log[[#This Row],[ID]],Items[ID],0))*1,0))</f>
      </c>
      <c r="L1009" s="17">
        <f>IF(Log[[#This Row],[ID]]="","",IFERROR(INDEX(Items[Cur team],MATCH(Log[[#This Row],[ID]],Items[ID],0))&amp;"",""))</f>
      </c>
      <c r="M1009" s="17">
        <f>IF(OR(Log[[#This Row],[Verb]]="done",Log[[#This Row],[Verb]]="punt",Log[[#This Row],[Verb]]="drop",Log[[#This Row],[Verb]]="pass"),Log[[#This Row],[Pts]],0)</f>
      </c>
    </row>
    <row r="1010">
      <c r="A1010" s="11">
        <v>46175</v>
      </c>
      <c r="B1010" t="s">
        <v>615</v>
      </c>
      <c r="C1010" t="s">
        <v>34</v>
      </c>
      <c r="D1010">
        <v>45</v>
      </c>
      <c r="F1010" s="17">
        <f>IF(Log[[#This Row],[ID]]="","",IF(ISNA(MATCH(Log[[#This Row],[ID]],Items[ID],0)),"unknown ID",IF(ISNA(MATCH(Log[[#This Row],[Verb]],VerbList,0)),"unknown verb",IF(Log[[#This Row],[Date]]="","no date",""))))</f>
      </c>
      <c r="G1010" s="17">
        <f>IF(Log[[#This Row],[ID]]="","",IFERROR(VLOOKUP(Log[[#This Row],[Verb]],Verbs,3,FALSE)&amp;"",""))</f>
      </c>
      <c r="H1010" s="17">
        <f>IF(Log[[#This Row],[Date]]="","",INT((Log[[#This Row],[Date]]-Sprint1)/SprintDays)+1)</f>
      </c>
      <c r="I1010" s="17">
        <f>IF(OR(Log[[#This Row],[Verb]]="commit",Log[[#This Row],[Verb]]="carry",Log[[#This Row],[Verb]]="redo"),IF(Log[[#This Row],[Arg]]="",Log[[#This Row],[Sprint]],N(Log[[#This Row],[Arg]])),"")</f>
      </c>
      <c r="J1010" s="17">
        <f>IF(Log[[#This Row],[Verb]]="block",1,IF(OR(Log[[#This Row],[Verb]]="unblock",Log[[#This Row],[Verb]]="done",Log[[#This Row],[Verb]]="drop",Log[[#This Row],[Verb]]="punt",Log[[#This Row],[Verb]]="pass"),0,""))</f>
      </c>
      <c r="K1010" s="17">
        <f>IF(Log[[#This Row],[ID]]="",0,IFERROR(INDEX(Items[Pts],MATCH(Log[[#This Row],[ID]],Items[ID],0))*1,0))</f>
      </c>
      <c r="L1010" s="17">
        <f>IF(Log[[#This Row],[ID]]="","",IFERROR(INDEX(Items[Cur team],MATCH(Log[[#This Row],[ID]],Items[ID],0))&amp;"",""))</f>
      </c>
      <c r="M1010" s="17">
        <f>IF(OR(Log[[#This Row],[Verb]]="done",Log[[#This Row],[Verb]]="punt",Log[[#This Row],[Verb]]="drop",Log[[#This Row],[Verb]]="pass"),Log[[#This Row],[Pts]],0)</f>
      </c>
    </row>
    <row r="1011">
      <c r="A1011" s="11">
        <v>46175</v>
      </c>
      <c r="B1011" t="s">
        <v>616</v>
      </c>
      <c r="C1011" t="s">
        <v>34</v>
      </c>
      <c r="D1011">
        <v>45</v>
      </c>
      <c r="F1011" s="17">
        <f>IF(Log[[#This Row],[ID]]="","",IF(ISNA(MATCH(Log[[#This Row],[ID]],Items[ID],0)),"unknown ID",IF(ISNA(MATCH(Log[[#This Row],[Verb]],VerbList,0)),"unknown verb",IF(Log[[#This Row],[Date]]="","no date",""))))</f>
      </c>
      <c r="G1011" s="17">
        <f>IF(Log[[#This Row],[ID]]="","",IFERROR(VLOOKUP(Log[[#This Row],[Verb]],Verbs,3,FALSE)&amp;"",""))</f>
      </c>
      <c r="H1011" s="17">
        <f>IF(Log[[#This Row],[Date]]="","",INT((Log[[#This Row],[Date]]-Sprint1)/SprintDays)+1)</f>
      </c>
      <c r="I1011" s="17">
        <f>IF(OR(Log[[#This Row],[Verb]]="commit",Log[[#This Row],[Verb]]="carry",Log[[#This Row],[Verb]]="redo"),IF(Log[[#This Row],[Arg]]="",Log[[#This Row],[Sprint]],N(Log[[#This Row],[Arg]])),"")</f>
      </c>
      <c r="J1011" s="17">
        <f>IF(Log[[#This Row],[Verb]]="block",1,IF(OR(Log[[#This Row],[Verb]]="unblock",Log[[#This Row],[Verb]]="done",Log[[#This Row],[Verb]]="drop",Log[[#This Row],[Verb]]="punt",Log[[#This Row],[Verb]]="pass"),0,""))</f>
      </c>
      <c r="K1011" s="17">
        <f>IF(Log[[#This Row],[ID]]="",0,IFERROR(INDEX(Items[Pts],MATCH(Log[[#This Row],[ID]],Items[ID],0))*1,0))</f>
      </c>
      <c r="L1011" s="17">
        <f>IF(Log[[#This Row],[ID]]="","",IFERROR(INDEX(Items[Cur team],MATCH(Log[[#This Row],[ID]],Items[ID],0))&amp;"",""))</f>
      </c>
      <c r="M1011" s="17">
        <f>IF(OR(Log[[#This Row],[Verb]]="done",Log[[#This Row],[Verb]]="punt",Log[[#This Row],[Verb]]="drop",Log[[#This Row],[Verb]]="pass"),Log[[#This Row],[Pts]],0)</f>
      </c>
    </row>
    <row r="1012">
      <c r="A1012" s="11">
        <v>46175</v>
      </c>
      <c r="B1012" t="s">
        <v>565</v>
      </c>
      <c r="C1012" t="s">
        <v>57</v>
      </c>
      <c r="D1012">
        <v>45</v>
      </c>
      <c r="E1012" t="s">
        <v>193</v>
      </c>
      <c r="F1012" s="17">
        <f>IF(Log[[#This Row],[ID]]="","",IF(ISNA(MATCH(Log[[#This Row],[ID]],Items[ID],0)),"unknown ID",IF(ISNA(MATCH(Log[[#This Row],[Verb]],VerbList,0)),"unknown verb",IF(Log[[#This Row],[Date]]="","no date",""))))</f>
      </c>
      <c r="G1012" s="17">
        <f>IF(Log[[#This Row],[ID]]="","",IFERROR(VLOOKUP(Log[[#This Row],[Verb]],Verbs,3,FALSE)&amp;"",""))</f>
      </c>
      <c r="H1012" s="17">
        <f>IF(Log[[#This Row],[Date]]="","",INT((Log[[#This Row],[Date]]-Sprint1)/SprintDays)+1)</f>
      </c>
      <c r="I1012" s="17">
        <f>IF(OR(Log[[#This Row],[Verb]]="commit",Log[[#This Row],[Verb]]="carry",Log[[#This Row],[Verb]]="redo"),IF(Log[[#This Row],[Arg]]="",Log[[#This Row],[Sprint]],N(Log[[#This Row],[Arg]])),"")</f>
      </c>
      <c r="J1012" s="17">
        <f>IF(Log[[#This Row],[Verb]]="block",1,IF(OR(Log[[#This Row],[Verb]]="unblock",Log[[#This Row],[Verb]]="done",Log[[#This Row],[Verb]]="drop",Log[[#This Row],[Verb]]="punt",Log[[#This Row],[Verb]]="pass"),0,""))</f>
      </c>
      <c r="K1012" s="17">
        <f>IF(Log[[#This Row],[ID]]="",0,IFERROR(INDEX(Items[Pts],MATCH(Log[[#This Row],[ID]],Items[ID],0))*1,0))</f>
      </c>
      <c r="L1012" s="17">
        <f>IF(Log[[#This Row],[ID]]="","",IFERROR(INDEX(Items[Cur team],MATCH(Log[[#This Row],[ID]],Items[ID],0))&amp;"",""))</f>
      </c>
      <c r="M1012" s="17">
        <f>IF(OR(Log[[#This Row],[Verb]]="done",Log[[#This Row],[Verb]]="punt",Log[[#This Row],[Verb]]="drop",Log[[#This Row],[Verb]]="pass"),Log[[#This Row],[Pts]],0)</f>
      </c>
    </row>
    <row r="1013">
      <c r="A1013" s="11">
        <v>46175</v>
      </c>
      <c r="B1013" t="s">
        <v>617</v>
      </c>
      <c r="C1013" t="s">
        <v>34</v>
      </c>
      <c r="D1013">
        <v>45</v>
      </c>
      <c r="F1013" s="17">
        <f>IF(Log[[#This Row],[ID]]="","",IF(ISNA(MATCH(Log[[#This Row],[ID]],Items[ID],0)),"unknown ID",IF(ISNA(MATCH(Log[[#This Row],[Verb]],VerbList,0)),"unknown verb",IF(Log[[#This Row],[Date]]="","no date",""))))</f>
      </c>
      <c r="G1013" s="17">
        <f>IF(Log[[#This Row],[ID]]="","",IFERROR(VLOOKUP(Log[[#This Row],[Verb]],Verbs,3,FALSE)&amp;"",""))</f>
      </c>
      <c r="H1013" s="17">
        <f>IF(Log[[#This Row],[Date]]="","",INT((Log[[#This Row],[Date]]-Sprint1)/SprintDays)+1)</f>
      </c>
      <c r="I1013" s="17">
        <f>IF(OR(Log[[#This Row],[Verb]]="commit",Log[[#This Row],[Verb]]="carry",Log[[#This Row],[Verb]]="redo"),IF(Log[[#This Row],[Arg]]="",Log[[#This Row],[Sprint]],N(Log[[#This Row],[Arg]])),"")</f>
      </c>
      <c r="J1013" s="17">
        <f>IF(Log[[#This Row],[Verb]]="block",1,IF(OR(Log[[#This Row],[Verb]]="unblock",Log[[#This Row],[Verb]]="done",Log[[#This Row],[Verb]]="drop",Log[[#This Row],[Verb]]="punt",Log[[#This Row],[Verb]]="pass"),0,""))</f>
      </c>
      <c r="K1013" s="17">
        <f>IF(Log[[#This Row],[ID]]="",0,IFERROR(INDEX(Items[Pts],MATCH(Log[[#This Row],[ID]],Items[ID],0))*1,0))</f>
      </c>
      <c r="L1013" s="17">
        <f>IF(Log[[#This Row],[ID]]="","",IFERROR(INDEX(Items[Cur team],MATCH(Log[[#This Row],[ID]],Items[ID],0))&amp;"",""))</f>
      </c>
      <c r="M1013" s="17">
        <f>IF(OR(Log[[#This Row],[Verb]]="done",Log[[#This Row],[Verb]]="punt",Log[[#This Row],[Verb]]="drop",Log[[#This Row],[Verb]]="pass"),Log[[#This Row],[Pts]],0)</f>
      </c>
    </row>
    <row r="1014">
      <c r="A1014" s="11">
        <v>46175</v>
      </c>
      <c r="B1014" t="s">
        <v>618</v>
      </c>
      <c r="C1014" t="s">
        <v>34</v>
      </c>
      <c r="D1014">
        <v>45</v>
      </c>
      <c r="F1014" s="17">
        <f>IF(Log[[#This Row],[ID]]="","",IF(ISNA(MATCH(Log[[#This Row],[ID]],Items[ID],0)),"unknown ID",IF(ISNA(MATCH(Log[[#This Row],[Verb]],VerbList,0)),"unknown verb",IF(Log[[#This Row],[Date]]="","no date",""))))</f>
      </c>
      <c r="G1014" s="17">
        <f>IF(Log[[#This Row],[ID]]="","",IFERROR(VLOOKUP(Log[[#This Row],[Verb]],Verbs,3,FALSE)&amp;"",""))</f>
      </c>
      <c r="H1014" s="17">
        <f>IF(Log[[#This Row],[Date]]="","",INT((Log[[#This Row],[Date]]-Sprint1)/SprintDays)+1)</f>
      </c>
      <c r="I1014" s="17">
        <f>IF(OR(Log[[#This Row],[Verb]]="commit",Log[[#This Row],[Verb]]="carry",Log[[#This Row],[Verb]]="redo"),IF(Log[[#This Row],[Arg]]="",Log[[#This Row],[Sprint]],N(Log[[#This Row],[Arg]])),"")</f>
      </c>
      <c r="J1014" s="17">
        <f>IF(Log[[#This Row],[Verb]]="block",1,IF(OR(Log[[#This Row],[Verb]]="unblock",Log[[#This Row],[Verb]]="done",Log[[#This Row],[Verb]]="drop",Log[[#This Row],[Verb]]="punt",Log[[#This Row],[Verb]]="pass"),0,""))</f>
      </c>
      <c r="K1014" s="17">
        <f>IF(Log[[#This Row],[ID]]="",0,IFERROR(INDEX(Items[Pts],MATCH(Log[[#This Row],[ID]],Items[ID],0))*1,0))</f>
      </c>
      <c r="L1014" s="17">
        <f>IF(Log[[#This Row],[ID]]="","",IFERROR(INDEX(Items[Cur team],MATCH(Log[[#This Row],[ID]],Items[ID],0))&amp;"",""))</f>
      </c>
      <c r="M1014" s="17">
        <f>IF(OR(Log[[#This Row],[Verb]]="done",Log[[#This Row],[Verb]]="punt",Log[[#This Row],[Verb]]="drop",Log[[#This Row],[Verb]]="pass"),Log[[#This Row],[Pts]],0)</f>
      </c>
    </row>
    <row r="1015">
      <c r="A1015" s="11">
        <v>46175</v>
      </c>
      <c r="B1015" t="s">
        <v>619</v>
      </c>
      <c r="C1015" t="s">
        <v>34</v>
      </c>
      <c r="D1015">
        <v>45</v>
      </c>
      <c r="F1015" s="17">
        <f>IF(Log[[#This Row],[ID]]="","",IF(ISNA(MATCH(Log[[#This Row],[ID]],Items[ID],0)),"unknown ID",IF(ISNA(MATCH(Log[[#This Row],[Verb]],VerbList,0)),"unknown verb",IF(Log[[#This Row],[Date]]="","no date",""))))</f>
      </c>
      <c r="G1015" s="17">
        <f>IF(Log[[#This Row],[ID]]="","",IFERROR(VLOOKUP(Log[[#This Row],[Verb]],Verbs,3,FALSE)&amp;"",""))</f>
      </c>
      <c r="H1015" s="17">
        <f>IF(Log[[#This Row],[Date]]="","",INT((Log[[#This Row],[Date]]-Sprint1)/SprintDays)+1)</f>
      </c>
      <c r="I1015" s="17">
        <f>IF(OR(Log[[#This Row],[Verb]]="commit",Log[[#This Row],[Verb]]="carry",Log[[#This Row],[Verb]]="redo"),IF(Log[[#This Row],[Arg]]="",Log[[#This Row],[Sprint]],N(Log[[#This Row],[Arg]])),"")</f>
      </c>
      <c r="J1015" s="17">
        <f>IF(Log[[#This Row],[Verb]]="block",1,IF(OR(Log[[#This Row],[Verb]]="unblock",Log[[#This Row],[Verb]]="done",Log[[#This Row],[Verb]]="drop",Log[[#This Row],[Verb]]="punt",Log[[#This Row],[Verb]]="pass"),0,""))</f>
      </c>
      <c r="K1015" s="17">
        <f>IF(Log[[#This Row],[ID]]="",0,IFERROR(INDEX(Items[Pts],MATCH(Log[[#This Row],[ID]],Items[ID],0))*1,0))</f>
      </c>
      <c r="L1015" s="17">
        <f>IF(Log[[#This Row],[ID]]="","",IFERROR(INDEX(Items[Cur team],MATCH(Log[[#This Row],[ID]],Items[ID],0))&amp;"",""))</f>
      </c>
      <c r="M1015" s="17">
        <f>IF(OR(Log[[#This Row],[Verb]]="done",Log[[#This Row],[Verb]]="punt",Log[[#This Row],[Verb]]="drop",Log[[#This Row],[Verb]]="pass"),Log[[#This Row],[Pts]],0)</f>
      </c>
    </row>
    <row r="1016">
      <c r="A1016" s="11">
        <v>46175</v>
      </c>
      <c r="B1016" t="s">
        <v>620</v>
      </c>
      <c r="C1016" t="s">
        <v>34</v>
      </c>
      <c r="D1016">
        <v>45</v>
      </c>
      <c r="F1016" s="17">
        <f>IF(Log[[#This Row],[ID]]="","",IF(ISNA(MATCH(Log[[#This Row],[ID]],Items[ID],0)),"unknown ID",IF(ISNA(MATCH(Log[[#This Row],[Verb]],VerbList,0)),"unknown verb",IF(Log[[#This Row],[Date]]="","no date",""))))</f>
      </c>
      <c r="G1016" s="17">
        <f>IF(Log[[#This Row],[ID]]="","",IFERROR(VLOOKUP(Log[[#This Row],[Verb]],Verbs,3,FALSE)&amp;"",""))</f>
      </c>
      <c r="H1016" s="17">
        <f>IF(Log[[#This Row],[Date]]="","",INT((Log[[#This Row],[Date]]-Sprint1)/SprintDays)+1)</f>
      </c>
      <c r="I1016" s="17">
        <f>IF(OR(Log[[#This Row],[Verb]]="commit",Log[[#This Row],[Verb]]="carry",Log[[#This Row],[Verb]]="redo"),IF(Log[[#This Row],[Arg]]="",Log[[#This Row],[Sprint]],N(Log[[#This Row],[Arg]])),"")</f>
      </c>
      <c r="J1016" s="17">
        <f>IF(Log[[#This Row],[Verb]]="block",1,IF(OR(Log[[#This Row],[Verb]]="unblock",Log[[#This Row],[Verb]]="done",Log[[#This Row],[Verb]]="drop",Log[[#This Row],[Verb]]="punt",Log[[#This Row],[Verb]]="pass"),0,""))</f>
      </c>
      <c r="K1016" s="17">
        <f>IF(Log[[#This Row],[ID]]="",0,IFERROR(INDEX(Items[Pts],MATCH(Log[[#This Row],[ID]],Items[ID],0))*1,0))</f>
      </c>
      <c r="L1016" s="17">
        <f>IF(Log[[#This Row],[ID]]="","",IFERROR(INDEX(Items[Cur team],MATCH(Log[[#This Row],[ID]],Items[ID],0))&amp;"",""))</f>
      </c>
      <c r="M1016" s="17">
        <f>IF(OR(Log[[#This Row],[Verb]]="done",Log[[#This Row],[Verb]]="punt",Log[[#This Row],[Verb]]="drop",Log[[#This Row],[Verb]]="pass"),Log[[#This Row],[Pts]],0)</f>
      </c>
    </row>
    <row r="1017">
      <c r="A1017" s="11">
        <v>46175</v>
      </c>
      <c r="B1017" t="s">
        <v>621</v>
      </c>
      <c r="C1017" t="s">
        <v>34</v>
      </c>
      <c r="D1017">
        <v>45</v>
      </c>
      <c r="F1017" s="17">
        <f>IF(Log[[#This Row],[ID]]="","",IF(ISNA(MATCH(Log[[#This Row],[ID]],Items[ID],0)),"unknown ID",IF(ISNA(MATCH(Log[[#This Row],[Verb]],VerbList,0)),"unknown verb",IF(Log[[#This Row],[Date]]="","no date",""))))</f>
      </c>
      <c r="G1017" s="17">
        <f>IF(Log[[#This Row],[ID]]="","",IFERROR(VLOOKUP(Log[[#This Row],[Verb]],Verbs,3,FALSE)&amp;"",""))</f>
      </c>
      <c r="H1017" s="17">
        <f>IF(Log[[#This Row],[Date]]="","",INT((Log[[#This Row],[Date]]-Sprint1)/SprintDays)+1)</f>
      </c>
      <c r="I1017" s="17">
        <f>IF(OR(Log[[#This Row],[Verb]]="commit",Log[[#This Row],[Verb]]="carry",Log[[#This Row],[Verb]]="redo"),IF(Log[[#This Row],[Arg]]="",Log[[#This Row],[Sprint]],N(Log[[#This Row],[Arg]])),"")</f>
      </c>
      <c r="J1017" s="17">
        <f>IF(Log[[#This Row],[Verb]]="block",1,IF(OR(Log[[#This Row],[Verb]]="unblock",Log[[#This Row],[Verb]]="done",Log[[#This Row],[Verb]]="drop",Log[[#This Row],[Verb]]="punt",Log[[#This Row],[Verb]]="pass"),0,""))</f>
      </c>
      <c r="K1017" s="17">
        <f>IF(Log[[#This Row],[ID]]="",0,IFERROR(INDEX(Items[Pts],MATCH(Log[[#This Row],[ID]],Items[ID],0))*1,0))</f>
      </c>
      <c r="L1017" s="17">
        <f>IF(Log[[#This Row],[ID]]="","",IFERROR(INDEX(Items[Cur team],MATCH(Log[[#This Row],[ID]],Items[ID],0))&amp;"",""))</f>
      </c>
      <c r="M1017" s="17">
        <f>IF(OR(Log[[#This Row],[Verb]]="done",Log[[#This Row],[Verb]]="punt",Log[[#This Row],[Verb]]="drop",Log[[#This Row],[Verb]]="pass"),Log[[#This Row],[Pts]],0)</f>
      </c>
    </row>
    <row r="1018">
      <c r="A1018" s="11">
        <v>46175</v>
      </c>
      <c r="B1018" t="s">
        <v>622</v>
      </c>
      <c r="C1018" t="s">
        <v>34</v>
      </c>
      <c r="D1018">
        <v>45</v>
      </c>
      <c r="F1018" s="17">
        <f>IF(Log[[#This Row],[ID]]="","",IF(ISNA(MATCH(Log[[#This Row],[ID]],Items[ID],0)),"unknown ID",IF(ISNA(MATCH(Log[[#This Row],[Verb]],VerbList,0)),"unknown verb",IF(Log[[#This Row],[Date]]="","no date",""))))</f>
      </c>
      <c r="G1018" s="17">
        <f>IF(Log[[#This Row],[ID]]="","",IFERROR(VLOOKUP(Log[[#This Row],[Verb]],Verbs,3,FALSE)&amp;"",""))</f>
      </c>
      <c r="H1018" s="17">
        <f>IF(Log[[#This Row],[Date]]="","",INT((Log[[#This Row],[Date]]-Sprint1)/SprintDays)+1)</f>
      </c>
      <c r="I1018" s="17">
        <f>IF(OR(Log[[#This Row],[Verb]]="commit",Log[[#This Row],[Verb]]="carry",Log[[#This Row],[Verb]]="redo"),IF(Log[[#This Row],[Arg]]="",Log[[#This Row],[Sprint]],N(Log[[#This Row],[Arg]])),"")</f>
      </c>
      <c r="J1018" s="17">
        <f>IF(Log[[#This Row],[Verb]]="block",1,IF(OR(Log[[#This Row],[Verb]]="unblock",Log[[#This Row],[Verb]]="done",Log[[#This Row],[Verb]]="drop",Log[[#This Row],[Verb]]="punt",Log[[#This Row],[Verb]]="pass"),0,""))</f>
      </c>
      <c r="K1018" s="17">
        <f>IF(Log[[#This Row],[ID]]="",0,IFERROR(INDEX(Items[Pts],MATCH(Log[[#This Row],[ID]],Items[ID],0))*1,0))</f>
      </c>
      <c r="L1018" s="17">
        <f>IF(Log[[#This Row],[ID]]="","",IFERROR(INDEX(Items[Cur team],MATCH(Log[[#This Row],[ID]],Items[ID],0))&amp;"",""))</f>
      </c>
      <c r="M1018" s="17">
        <f>IF(OR(Log[[#This Row],[Verb]]="done",Log[[#This Row],[Verb]]="punt",Log[[#This Row],[Verb]]="drop",Log[[#This Row],[Verb]]="pass"),Log[[#This Row],[Pts]],0)</f>
      </c>
    </row>
    <row r="1019">
      <c r="A1019" s="11">
        <v>46175</v>
      </c>
      <c r="B1019" t="s">
        <v>623</v>
      </c>
      <c r="C1019" t="s">
        <v>34</v>
      </c>
      <c r="D1019">
        <v>45</v>
      </c>
      <c r="F1019" s="17">
        <f>IF(Log[[#This Row],[ID]]="","",IF(ISNA(MATCH(Log[[#This Row],[ID]],Items[ID],0)),"unknown ID",IF(ISNA(MATCH(Log[[#This Row],[Verb]],VerbList,0)),"unknown verb",IF(Log[[#This Row],[Date]]="","no date",""))))</f>
      </c>
      <c r="G1019" s="17">
        <f>IF(Log[[#This Row],[ID]]="","",IFERROR(VLOOKUP(Log[[#This Row],[Verb]],Verbs,3,FALSE)&amp;"",""))</f>
      </c>
      <c r="H1019" s="17">
        <f>IF(Log[[#This Row],[Date]]="","",INT((Log[[#This Row],[Date]]-Sprint1)/SprintDays)+1)</f>
      </c>
      <c r="I1019" s="17">
        <f>IF(OR(Log[[#This Row],[Verb]]="commit",Log[[#This Row],[Verb]]="carry",Log[[#This Row],[Verb]]="redo"),IF(Log[[#This Row],[Arg]]="",Log[[#This Row],[Sprint]],N(Log[[#This Row],[Arg]])),"")</f>
      </c>
      <c r="J1019" s="17">
        <f>IF(Log[[#This Row],[Verb]]="block",1,IF(OR(Log[[#This Row],[Verb]]="unblock",Log[[#This Row],[Verb]]="done",Log[[#This Row],[Verb]]="drop",Log[[#This Row],[Verb]]="punt",Log[[#This Row],[Verb]]="pass"),0,""))</f>
      </c>
      <c r="K1019" s="17">
        <f>IF(Log[[#This Row],[ID]]="",0,IFERROR(INDEX(Items[Pts],MATCH(Log[[#This Row],[ID]],Items[ID],0))*1,0))</f>
      </c>
      <c r="L1019" s="17">
        <f>IF(Log[[#This Row],[ID]]="","",IFERROR(INDEX(Items[Cur team],MATCH(Log[[#This Row],[ID]],Items[ID],0))&amp;"",""))</f>
      </c>
      <c r="M1019" s="17">
        <f>IF(OR(Log[[#This Row],[Verb]]="done",Log[[#This Row],[Verb]]="punt",Log[[#This Row],[Verb]]="drop",Log[[#This Row],[Verb]]="pass"),Log[[#This Row],[Pts]],0)</f>
      </c>
    </row>
    <row r="1020">
      <c r="A1020" s="11">
        <v>46175</v>
      </c>
      <c r="B1020" t="s">
        <v>624</v>
      </c>
      <c r="C1020" t="s">
        <v>34</v>
      </c>
      <c r="D1020">
        <v>45</v>
      </c>
      <c r="F1020" s="17">
        <f>IF(Log[[#This Row],[ID]]="","",IF(ISNA(MATCH(Log[[#This Row],[ID]],Items[ID],0)),"unknown ID",IF(ISNA(MATCH(Log[[#This Row],[Verb]],VerbList,0)),"unknown verb",IF(Log[[#This Row],[Date]]="","no date",""))))</f>
      </c>
      <c r="G1020" s="17">
        <f>IF(Log[[#This Row],[ID]]="","",IFERROR(VLOOKUP(Log[[#This Row],[Verb]],Verbs,3,FALSE)&amp;"",""))</f>
      </c>
      <c r="H1020" s="17">
        <f>IF(Log[[#This Row],[Date]]="","",INT((Log[[#This Row],[Date]]-Sprint1)/SprintDays)+1)</f>
      </c>
      <c r="I1020" s="17">
        <f>IF(OR(Log[[#This Row],[Verb]]="commit",Log[[#This Row],[Verb]]="carry",Log[[#This Row],[Verb]]="redo"),IF(Log[[#This Row],[Arg]]="",Log[[#This Row],[Sprint]],N(Log[[#This Row],[Arg]])),"")</f>
      </c>
      <c r="J1020" s="17">
        <f>IF(Log[[#This Row],[Verb]]="block",1,IF(OR(Log[[#This Row],[Verb]]="unblock",Log[[#This Row],[Verb]]="done",Log[[#This Row],[Verb]]="drop",Log[[#This Row],[Verb]]="punt",Log[[#This Row],[Verb]]="pass"),0,""))</f>
      </c>
      <c r="K1020" s="17">
        <f>IF(Log[[#This Row],[ID]]="",0,IFERROR(INDEX(Items[Pts],MATCH(Log[[#This Row],[ID]],Items[ID],0))*1,0))</f>
      </c>
      <c r="L1020" s="17">
        <f>IF(Log[[#This Row],[ID]]="","",IFERROR(INDEX(Items[Cur team],MATCH(Log[[#This Row],[ID]],Items[ID],0))&amp;"",""))</f>
      </c>
      <c r="M1020" s="17">
        <f>IF(OR(Log[[#This Row],[Verb]]="done",Log[[#This Row],[Verb]]="punt",Log[[#This Row],[Verb]]="drop",Log[[#This Row],[Verb]]="pass"),Log[[#This Row],[Pts]],0)</f>
      </c>
    </row>
    <row r="1021">
      <c r="A1021" s="11">
        <v>46175</v>
      </c>
      <c r="B1021" t="s">
        <v>625</v>
      </c>
      <c r="C1021" t="s">
        <v>34</v>
      </c>
      <c r="D1021">
        <v>45</v>
      </c>
      <c r="F1021" s="17">
        <f>IF(Log[[#This Row],[ID]]="","",IF(ISNA(MATCH(Log[[#This Row],[ID]],Items[ID],0)),"unknown ID",IF(ISNA(MATCH(Log[[#This Row],[Verb]],VerbList,0)),"unknown verb",IF(Log[[#This Row],[Date]]="","no date",""))))</f>
      </c>
      <c r="G1021" s="17">
        <f>IF(Log[[#This Row],[ID]]="","",IFERROR(VLOOKUP(Log[[#This Row],[Verb]],Verbs,3,FALSE)&amp;"",""))</f>
      </c>
      <c r="H1021" s="17">
        <f>IF(Log[[#This Row],[Date]]="","",INT((Log[[#This Row],[Date]]-Sprint1)/SprintDays)+1)</f>
      </c>
      <c r="I1021" s="17">
        <f>IF(OR(Log[[#This Row],[Verb]]="commit",Log[[#This Row],[Verb]]="carry",Log[[#This Row],[Verb]]="redo"),IF(Log[[#This Row],[Arg]]="",Log[[#This Row],[Sprint]],N(Log[[#This Row],[Arg]])),"")</f>
      </c>
      <c r="J1021" s="17">
        <f>IF(Log[[#This Row],[Verb]]="block",1,IF(OR(Log[[#This Row],[Verb]]="unblock",Log[[#This Row],[Verb]]="done",Log[[#This Row],[Verb]]="drop",Log[[#This Row],[Verb]]="punt",Log[[#This Row],[Verb]]="pass"),0,""))</f>
      </c>
      <c r="K1021" s="17">
        <f>IF(Log[[#This Row],[ID]]="",0,IFERROR(INDEX(Items[Pts],MATCH(Log[[#This Row],[ID]],Items[ID],0))*1,0))</f>
      </c>
      <c r="L1021" s="17">
        <f>IF(Log[[#This Row],[ID]]="","",IFERROR(INDEX(Items[Cur team],MATCH(Log[[#This Row],[ID]],Items[ID],0))&amp;"",""))</f>
      </c>
      <c r="M1021" s="17">
        <f>IF(OR(Log[[#This Row],[Verb]]="done",Log[[#This Row],[Verb]]="punt",Log[[#This Row],[Verb]]="drop",Log[[#This Row],[Verb]]="pass"),Log[[#This Row],[Pts]],0)</f>
      </c>
    </row>
    <row r="1022">
      <c r="A1022" s="11">
        <v>46175</v>
      </c>
      <c r="B1022" t="s">
        <v>626</v>
      </c>
      <c r="C1022" t="s">
        <v>34</v>
      </c>
      <c r="D1022">
        <v>45</v>
      </c>
      <c r="F1022" s="17">
        <f>IF(Log[[#This Row],[ID]]="","",IF(ISNA(MATCH(Log[[#This Row],[ID]],Items[ID],0)),"unknown ID",IF(ISNA(MATCH(Log[[#This Row],[Verb]],VerbList,0)),"unknown verb",IF(Log[[#This Row],[Date]]="","no date",""))))</f>
      </c>
      <c r="G1022" s="17">
        <f>IF(Log[[#This Row],[ID]]="","",IFERROR(VLOOKUP(Log[[#This Row],[Verb]],Verbs,3,FALSE)&amp;"",""))</f>
      </c>
      <c r="H1022" s="17">
        <f>IF(Log[[#This Row],[Date]]="","",INT((Log[[#This Row],[Date]]-Sprint1)/SprintDays)+1)</f>
      </c>
      <c r="I1022" s="17">
        <f>IF(OR(Log[[#This Row],[Verb]]="commit",Log[[#This Row],[Verb]]="carry",Log[[#This Row],[Verb]]="redo"),IF(Log[[#This Row],[Arg]]="",Log[[#This Row],[Sprint]],N(Log[[#This Row],[Arg]])),"")</f>
      </c>
      <c r="J1022" s="17">
        <f>IF(Log[[#This Row],[Verb]]="block",1,IF(OR(Log[[#This Row],[Verb]]="unblock",Log[[#This Row],[Verb]]="done",Log[[#This Row],[Verb]]="drop",Log[[#This Row],[Verb]]="punt",Log[[#This Row],[Verb]]="pass"),0,""))</f>
      </c>
      <c r="K1022" s="17">
        <f>IF(Log[[#This Row],[ID]]="",0,IFERROR(INDEX(Items[Pts],MATCH(Log[[#This Row],[ID]],Items[ID],0))*1,0))</f>
      </c>
      <c r="L1022" s="17">
        <f>IF(Log[[#This Row],[ID]]="","",IFERROR(INDEX(Items[Cur team],MATCH(Log[[#This Row],[ID]],Items[ID],0))&amp;"",""))</f>
      </c>
      <c r="M1022" s="17">
        <f>IF(OR(Log[[#This Row],[Verb]]="done",Log[[#This Row],[Verb]]="punt",Log[[#This Row],[Verb]]="drop",Log[[#This Row],[Verb]]="pass"),Log[[#This Row],[Pts]],0)</f>
      </c>
    </row>
    <row r="1023">
      <c r="A1023" s="11">
        <v>46175</v>
      </c>
      <c r="B1023" t="s">
        <v>627</v>
      </c>
      <c r="C1023" t="s">
        <v>34</v>
      </c>
      <c r="D1023">
        <v>45</v>
      </c>
      <c r="F1023" s="17">
        <f>IF(Log[[#This Row],[ID]]="","",IF(ISNA(MATCH(Log[[#This Row],[ID]],Items[ID],0)),"unknown ID",IF(ISNA(MATCH(Log[[#This Row],[Verb]],VerbList,0)),"unknown verb",IF(Log[[#This Row],[Date]]="","no date",""))))</f>
      </c>
      <c r="G1023" s="17">
        <f>IF(Log[[#This Row],[ID]]="","",IFERROR(VLOOKUP(Log[[#This Row],[Verb]],Verbs,3,FALSE)&amp;"",""))</f>
      </c>
      <c r="H1023" s="17">
        <f>IF(Log[[#This Row],[Date]]="","",INT((Log[[#This Row],[Date]]-Sprint1)/SprintDays)+1)</f>
      </c>
      <c r="I1023" s="17">
        <f>IF(OR(Log[[#This Row],[Verb]]="commit",Log[[#This Row],[Verb]]="carry",Log[[#This Row],[Verb]]="redo"),IF(Log[[#This Row],[Arg]]="",Log[[#This Row],[Sprint]],N(Log[[#This Row],[Arg]])),"")</f>
      </c>
      <c r="J1023" s="17">
        <f>IF(Log[[#This Row],[Verb]]="block",1,IF(OR(Log[[#This Row],[Verb]]="unblock",Log[[#This Row],[Verb]]="done",Log[[#This Row],[Verb]]="drop",Log[[#This Row],[Verb]]="punt",Log[[#This Row],[Verb]]="pass"),0,""))</f>
      </c>
      <c r="K1023" s="17">
        <f>IF(Log[[#This Row],[ID]]="",0,IFERROR(INDEX(Items[Pts],MATCH(Log[[#This Row],[ID]],Items[ID],0))*1,0))</f>
      </c>
      <c r="L1023" s="17">
        <f>IF(Log[[#This Row],[ID]]="","",IFERROR(INDEX(Items[Cur team],MATCH(Log[[#This Row],[ID]],Items[ID],0))&amp;"",""))</f>
      </c>
      <c r="M1023" s="17">
        <f>IF(OR(Log[[#This Row],[Verb]]="done",Log[[#This Row],[Verb]]="punt",Log[[#This Row],[Verb]]="drop",Log[[#This Row],[Verb]]="pass"),Log[[#This Row],[Pts]],0)</f>
      </c>
    </row>
    <row r="1024">
      <c r="A1024" s="11">
        <v>46175</v>
      </c>
      <c r="B1024" t="s">
        <v>628</v>
      </c>
      <c r="C1024" t="s">
        <v>34</v>
      </c>
      <c r="D1024">
        <v>45</v>
      </c>
      <c r="F1024" s="17">
        <f>IF(Log[[#This Row],[ID]]="","",IF(ISNA(MATCH(Log[[#This Row],[ID]],Items[ID],0)),"unknown ID",IF(ISNA(MATCH(Log[[#This Row],[Verb]],VerbList,0)),"unknown verb",IF(Log[[#This Row],[Date]]="","no date",""))))</f>
      </c>
      <c r="G1024" s="17">
        <f>IF(Log[[#This Row],[ID]]="","",IFERROR(VLOOKUP(Log[[#This Row],[Verb]],Verbs,3,FALSE)&amp;"",""))</f>
      </c>
      <c r="H1024" s="17">
        <f>IF(Log[[#This Row],[Date]]="","",INT((Log[[#This Row],[Date]]-Sprint1)/SprintDays)+1)</f>
      </c>
      <c r="I1024" s="17">
        <f>IF(OR(Log[[#This Row],[Verb]]="commit",Log[[#This Row],[Verb]]="carry",Log[[#This Row],[Verb]]="redo"),IF(Log[[#This Row],[Arg]]="",Log[[#This Row],[Sprint]],N(Log[[#This Row],[Arg]])),"")</f>
      </c>
      <c r="J1024" s="17">
        <f>IF(Log[[#This Row],[Verb]]="block",1,IF(OR(Log[[#This Row],[Verb]]="unblock",Log[[#This Row],[Verb]]="done",Log[[#This Row],[Verb]]="drop",Log[[#This Row],[Verb]]="punt",Log[[#This Row],[Verb]]="pass"),0,""))</f>
      </c>
      <c r="K1024" s="17">
        <f>IF(Log[[#This Row],[ID]]="",0,IFERROR(INDEX(Items[Pts],MATCH(Log[[#This Row],[ID]],Items[ID],0))*1,0))</f>
      </c>
      <c r="L1024" s="17">
        <f>IF(Log[[#This Row],[ID]]="","",IFERROR(INDEX(Items[Cur team],MATCH(Log[[#This Row],[ID]],Items[ID],0))&amp;"",""))</f>
      </c>
      <c r="M1024" s="17">
        <f>IF(OR(Log[[#This Row],[Verb]]="done",Log[[#This Row],[Verb]]="punt",Log[[#This Row],[Verb]]="drop",Log[[#This Row],[Verb]]="pass"),Log[[#This Row],[Pts]],0)</f>
      </c>
    </row>
    <row r="1025">
      <c r="A1025" s="11">
        <v>46175</v>
      </c>
      <c r="B1025" t="s">
        <v>629</v>
      </c>
      <c r="C1025" t="s">
        <v>34</v>
      </c>
      <c r="D1025">
        <v>45</v>
      </c>
      <c r="F1025" s="17">
        <f>IF(Log[[#This Row],[ID]]="","",IF(ISNA(MATCH(Log[[#This Row],[ID]],Items[ID],0)),"unknown ID",IF(ISNA(MATCH(Log[[#This Row],[Verb]],VerbList,0)),"unknown verb",IF(Log[[#This Row],[Date]]="","no date",""))))</f>
      </c>
      <c r="G1025" s="17">
        <f>IF(Log[[#This Row],[ID]]="","",IFERROR(VLOOKUP(Log[[#This Row],[Verb]],Verbs,3,FALSE)&amp;"",""))</f>
      </c>
      <c r="H1025" s="17">
        <f>IF(Log[[#This Row],[Date]]="","",INT((Log[[#This Row],[Date]]-Sprint1)/SprintDays)+1)</f>
      </c>
      <c r="I1025" s="17">
        <f>IF(OR(Log[[#This Row],[Verb]]="commit",Log[[#This Row],[Verb]]="carry",Log[[#This Row],[Verb]]="redo"),IF(Log[[#This Row],[Arg]]="",Log[[#This Row],[Sprint]],N(Log[[#This Row],[Arg]])),"")</f>
      </c>
      <c r="J1025" s="17">
        <f>IF(Log[[#This Row],[Verb]]="block",1,IF(OR(Log[[#This Row],[Verb]]="unblock",Log[[#This Row],[Verb]]="done",Log[[#This Row],[Verb]]="drop",Log[[#This Row],[Verb]]="punt",Log[[#This Row],[Verb]]="pass"),0,""))</f>
      </c>
      <c r="K1025" s="17">
        <f>IF(Log[[#This Row],[ID]]="",0,IFERROR(INDEX(Items[Pts],MATCH(Log[[#This Row],[ID]],Items[ID],0))*1,0))</f>
      </c>
      <c r="L1025" s="17">
        <f>IF(Log[[#This Row],[ID]]="","",IFERROR(INDEX(Items[Cur team],MATCH(Log[[#This Row],[ID]],Items[ID],0))&amp;"",""))</f>
      </c>
      <c r="M1025" s="17">
        <f>IF(OR(Log[[#This Row],[Verb]]="done",Log[[#This Row],[Verb]]="punt",Log[[#This Row],[Verb]]="drop",Log[[#This Row],[Verb]]="pass"),Log[[#This Row],[Pts]],0)</f>
      </c>
    </row>
    <row r="1026">
      <c r="A1026" s="11">
        <v>46175</v>
      </c>
      <c r="B1026" t="s">
        <v>630</v>
      </c>
      <c r="C1026" t="s">
        <v>34</v>
      </c>
      <c r="D1026">
        <v>45</v>
      </c>
      <c r="F1026" s="17">
        <f>IF(Log[[#This Row],[ID]]="","",IF(ISNA(MATCH(Log[[#This Row],[ID]],Items[ID],0)),"unknown ID",IF(ISNA(MATCH(Log[[#This Row],[Verb]],VerbList,0)),"unknown verb",IF(Log[[#This Row],[Date]]="","no date",""))))</f>
      </c>
      <c r="G1026" s="17">
        <f>IF(Log[[#This Row],[ID]]="","",IFERROR(VLOOKUP(Log[[#This Row],[Verb]],Verbs,3,FALSE)&amp;"",""))</f>
      </c>
      <c r="H1026" s="17">
        <f>IF(Log[[#This Row],[Date]]="","",INT((Log[[#This Row],[Date]]-Sprint1)/SprintDays)+1)</f>
      </c>
      <c r="I1026" s="17">
        <f>IF(OR(Log[[#This Row],[Verb]]="commit",Log[[#This Row],[Verb]]="carry",Log[[#This Row],[Verb]]="redo"),IF(Log[[#This Row],[Arg]]="",Log[[#This Row],[Sprint]],N(Log[[#This Row],[Arg]])),"")</f>
      </c>
      <c r="J1026" s="17">
        <f>IF(Log[[#This Row],[Verb]]="block",1,IF(OR(Log[[#This Row],[Verb]]="unblock",Log[[#This Row],[Verb]]="done",Log[[#This Row],[Verb]]="drop",Log[[#This Row],[Verb]]="punt",Log[[#This Row],[Verb]]="pass"),0,""))</f>
      </c>
      <c r="K1026" s="17">
        <f>IF(Log[[#This Row],[ID]]="",0,IFERROR(INDEX(Items[Pts],MATCH(Log[[#This Row],[ID]],Items[ID],0))*1,0))</f>
      </c>
      <c r="L1026" s="17">
        <f>IF(Log[[#This Row],[ID]]="","",IFERROR(INDEX(Items[Cur team],MATCH(Log[[#This Row],[ID]],Items[ID],0))&amp;"",""))</f>
      </c>
      <c r="M1026" s="17">
        <f>IF(OR(Log[[#This Row],[Verb]]="done",Log[[#This Row],[Verb]]="punt",Log[[#This Row],[Verb]]="drop",Log[[#This Row],[Verb]]="pass"),Log[[#This Row],[Pts]],0)</f>
      </c>
    </row>
    <row r="1027">
      <c r="A1027" s="11">
        <v>46175</v>
      </c>
      <c r="B1027" t="s">
        <v>631</v>
      </c>
      <c r="C1027" t="s">
        <v>34</v>
      </c>
      <c r="D1027">
        <v>45</v>
      </c>
      <c r="F1027" s="17">
        <f>IF(Log[[#This Row],[ID]]="","",IF(ISNA(MATCH(Log[[#This Row],[ID]],Items[ID],0)),"unknown ID",IF(ISNA(MATCH(Log[[#This Row],[Verb]],VerbList,0)),"unknown verb",IF(Log[[#This Row],[Date]]="","no date",""))))</f>
      </c>
      <c r="G1027" s="17">
        <f>IF(Log[[#This Row],[ID]]="","",IFERROR(VLOOKUP(Log[[#This Row],[Verb]],Verbs,3,FALSE)&amp;"",""))</f>
      </c>
      <c r="H1027" s="17">
        <f>IF(Log[[#This Row],[Date]]="","",INT((Log[[#This Row],[Date]]-Sprint1)/SprintDays)+1)</f>
      </c>
      <c r="I1027" s="17">
        <f>IF(OR(Log[[#This Row],[Verb]]="commit",Log[[#This Row],[Verb]]="carry",Log[[#This Row],[Verb]]="redo"),IF(Log[[#This Row],[Arg]]="",Log[[#This Row],[Sprint]],N(Log[[#This Row],[Arg]])),"")</f>
      </c>
      <c r="J1027" s="17">
        <f>IF(Log[[#This Row],[Verb]]="block",1,IF(OR(Log[[#This Row],[Verb]]="unblock",Log[[#This Row],[Verb]]="done",Log[[#This Row],[Verb]]="drop",Log[[#This Row],[Verb]]="punt",Log[[#This Row],[Verb]]="pass"),0,""))</f>
      </c>
      <c r="K1027" s="17">
        <f>IF(Log[[#This Row],[ID]]="",0,IFERROR(INDEX(Items[Pts],MATCH(Log[[#This Row],[ID]],Items[ID],0))*1,0))</f>
      </c>
      <c r="L1027" s="17">
        <f>IF(Log[[#This Row],[ID]]="","",IFERROR(INDEX(Items[Cur team],MATCH(Log[[#This Row],[ID]],Items[ID],0))&amp;"",""))</f>
      </c>
      <c r="M1027" s="17">
        <f>IF(OR(Log[[#This Row],[Verb]]="done",Log[[#This Row],[Verb]]="punt",Log[[#This Row],[Verb]]="drop",Log[[#This Row],[Verb]]="pass"),Log[[#This Row],[Pts]],0)</f>
      </c>
    </row>
    <row r="1028">
      <c r="A1028" s="11">
        <v>46175</v>
      </c>
      <c r="B1028" t="s">
        <v>632</v>
      </c>
      <c r="C1028" t="s">
        <v>34</v>
      </c>
      <c r="D1028">
        <v>45</v>
      </c>
      <c r="F1028" s="17">
        <f>IF(Log[[#This Row],[ID]]="","",IF(ISNA(MATCH(Log[[#This Row],[ID]],Items[ID],0)),"unknown ID",IF(ISNA(MATCH(Log[[#This Row],[Verb]],VerbList,0)),"unknown verb",IF(Log[[#This Row],[Date]]="","no date",""))))</f>
      </c>
      <c r="G1028" s="17">
        <f>IF(Log[[#This Row],[ID]]="","",IFERROR(VLOOKUP(Log[[#This Row],[Verb]],Verbs,3,FALSE)&amp;"",""))</f>
      </c>
      <c r="H1028" s="17">
        <f>IF(Log[[#This Row],[Date]]="","",INT((Log[[#This Row],[Date]]-Sprint1)/SprintDays)+1)</f>
      </c>
      <c r="I1028" s="17">
        <f>IF(OR(Log[[#This Row],[Verb]]="commit",Log[[#This Row],[Verb]]="carry",Log[[#This Row],[Verb]]="redo"),IF(Log[[#This Row],[Arg]]="",Log[[#This Row],[Sprint]],N(Log[[#This Row],[Arg]])),"")</f>
      </c>
      <c r="J1028" s="17">
        <f>IF(Log[[#This Row],[Verb]]="block",1,IF(OR(Log[[#This Row],[Verb]]="unblock",Log[[#This Row],[Verb]]="done",Log[[#This Row],[Verb]]="drop",Log[[#This Row],[Verb]]="punt",Log[[#This Row],[Verb]]="pass"),0,""))</f>
      </c>
      <c r="K1028" s="17">
        <f>IF(Log[[#This Row],[ID]]="",0,IFERROR(INDEX(Items[Pts],MATCH(Log[[#This Row],[ID]],Items[ID],0))*1,0))</f>
      </c>
      <c r="L1028" s="17">
        <f>IF(Log[[#This Row],[ID]]="","",IFERROR(INDEX(Items[Cur team],MATCH(Log[[#This Row],[ID]],Items[ID],0))&amp;"",""))</f>
      </c>
      <c r="M1028" s="17">
        <f>IF(OR(Log[[#This Row],[Verb]]="done",Log[[#This Row],[Verb]]="punt",Log[[#This Row],[Verb]]="drop",Log[[#This Row],[Verb]]="pass"),Log[[#This Row],[Pts]],0)</f>
      </c>
    </row>
    <row r="1029">
      <c r="A1029" s="11">
        <v>46175</v>
      </c>
      <c r="B1029" t="s">
        <v>633</v>
      </c>
      <c r="C1029" t="s">
        <v>34</v>
      </c>
      <c r="D1029">
        <v>45</v>
      </c>
      <c r="F1029" s="17">
        <f>IF(Log[[#This Row],[ID]]="","",IF(ISNA(MATCH(Log[[#This Row],[ID]],Items[ID],0)),"unknown ID",IF(ISNA(MATCH(Log[[#This Row],[Verb]],VerbList,0)),"unknown verb",IF(Log[[#This Row],[Date]]="","no date",""))))</f>
      </c>
      <c r="G1029" s="17">
        <f>IF(Log[[#This Row],[ID]]="","",IFERROR(VLOOKUP(Log[[#This Row],[Verb]],Verbs,3,FALSE)&amp;"",""))</f>
      </c>
      <c r="H1029" s="17">
        <f>IF(Log[[#This Row],[Date]]="","",INT((Log[[#This Row],[Date]]-Sprint1)/SprintDays)+1)</f>
      </c>
      <c r="I1029" s="17">
        <f>IF(OR(Log[[#This Row],[Verb]]="commit",Log[[#This Row],[Verb]]="carry",Log[[#This Row],[Verb]]="redo"),IF(Log[[#This Row],[Arg]]="",Log[[#This Row],[Sprint]],N(Log[[#This Row],[Arg]])),"")</f>
      </c>
      <c r="J1029" s="17">
        <f>IF(Log[[#This Row],[Verb]]="block",1,IF(OR(Log[[#This Row],[Verb]]="unblock",Log[[#This Row],[Verb]]="done",Log[[#This Row],[Verb]]="drop",Log[[#This Row],[Verb]]="punt",Log[[#This Row],[Verb]]="pass"),0,""))</f>
      </c>
      <c r="K1029" s="17">
        <f>IF(Log[[#This Row],[ID]]="",0,IFERROR(INDEX(Items[Pts],MATCH(Log[[#This Row],[ID]],Items[ID],0))*1,0))</f>
      </c>
      <c r="L1029" s="17">
        <f>IF(Log[[#This Row],[ID]]="","",IFERROR(INDEX(Items[Cur team],MATCH(Log[[#This Row],[ID]],Items[ID],0))&amp;"",""))</f>
      </c>
      <c r="M1029" s="17">
        <f>IF(OR(Log[[#This Row],[Verb]]="done",Log[[#This Row],[Verb]]="punt",Log[[#This Row],[Verb]]="drop",Log[[#This Row],[Verb]]="pass"),Log[[#This Row],[Pts]],0)</f>
      </c>
    </row>
    <row r="1030">
      <c r="A1030" s="11">
        <v>46175</v>
      </c>
      <c r="B1030" t="s">
        <v>634</v>
      </c>
      <c r="C1030" t="s">
        <v>34</v>
      </c>
      <c r="D1030">
        <v>45</v>
      </c>
      <c r="F1030" s="17">
        <f>IF(Log[[#This Row],[ID]]="","",IF(ISNA(MATCH(Log[[#This Row],[ID]],Items[ID],0)),"unknown ID",IF(ISNA(MATCH(Log[[#This Row],[Verb]],VerbList,0)),"unknown verb",IF(Log[[#This Row],[Date]]="","no date",""))))</f>
      </c>
      <c r="G1030" s="17">
        <f>IF(Log[[#This Row],[ID]]="","",IFERROR(VLOOKUP(Log[[#This Row],[Verb]],Verbs,3,FALSE)&amp;"",""))</f>
      </c>
      <c r="H1030" s="17">
        <f>IF(Log[[#This Row],[Date]]="","",INT((Log[[#This Row],[Date]]-Sprint1)/SprintDays)+1)</f>
      </c>
      <c r="I1030" s="17">
        <f>IF(OR(Log[[#This Row],[Verb]]="commit",Log[[#This Row],[Verb]]="carry",Log[[#This Row],[Verb]]="redo"),IF(Log[[#This Row],[Arg]]="",Log[[#This Row],[Sprint]],N(Log[[#This Row],[Arg]])),"")</f>
      </c>
      <c r="J1030" s="17">
        <f>IF(Log[[#This Row],[Verb]]="block",1,IF(OR(Log[[#This Row],[Verb]]="unblock",Log[[#This Row],[Verb]]="done",Log[[#This Row],[Verb]]="drop",Log[[#This Row],[Verb]]="punt",Log[[#This Row],[Verb]]="pass"),0,""))</f>
      </c>
      <c r="K1030" s="17">
        <f>IF(Log[[#This Row],[ID]]="",0,IFERROR(INDEX(Items[Pts],MATCH(Log[[#This Row],[ID]],Items[ID],0))*1,0))</f>
      </c>
      <c r="L1030" s="17">
        <f>IF(Log[[#This Row],[ID]]="","",IFERROR(INDEX(Items[Cur team],MATCH(Log[[#This Row],[ID]],Items[ID],0))&amp;"",""))</f>
      </c>
      <c r="M1030" s="17">
        <f>IF(OR(Log[[#This Row],[Verb]]="done",Log[[#This Row],[Verb]]="punt",Log[[#This Row],[Verb]]="drop",Log[[#This Row],[Verb]]="pass"),Log[[#This Row],[Pts]],0)</f>
      </c>
    </row>
    <row r="1031">
      <c r="A1031" s="11">
        <v>46175</v>
      </c>
      <c r="B1031" t="s">
        <v>635</v>
      </c>
      <c r="C1031" t="s">
        <v>34</v>
      </c>
      <c r="D1031">
        <v>45</v>
      </c>
      <c r="F1031" s="17">
        <f>IF(Log[[#This Row],[ID]]="","",IF(ISNA(MATCH(Log[[#This Row],[ID]],Items[ID],0)),"unknown ID",IF(ISNA(MATCH(Log[[#This Row],[Verb]],VerbList,0)),"unknown verb",IF(Log[[#This Row],[Date]]="","no date",""))))</f>
      </c>
      <c r="G1031" s="17">
        <f>IF(Log[[#This Row],[ID]]="","",IFERROR(VLOOKUP(Log[[#This Row],[Verb]],Verbs,3,FALSE)&amp;"",""))</f>
      </c>
      <c r="H1031" s="17">
        <f>IF(Log[[#This Row],[Date]]="","",INT((Log[[#This Row],[Date]]-Sprint1)/SprintDays)+1)</f>
      </c>
      <c r="I1031" s="17">
        <f>IF(OR(Log[[#This Row],[Verb]]="commit",Log[[#This Row],[Verb]]="carry",Log[[#This Row],[Verb]]="redo"),IF(Log[[#This Row],[Arg]]="",Log[[#This Row],[Sprint]],N(Log[[#This Row],[Arg]])),"")</f>
      </c>
      <c r="J1031" s="17">
        <f>IF(Log[[#This Row],[Verb]]="block",1,IF(OR(Log[[#This Row],[Verb]]="unblock",Log[[#This Row],[Verb]]="done",Log[[#This Row],[Verb]]="drop",Log[[#This Row],[Verb]]="punt",Log[[#This Row],[Verb]]="pass"),0,""))</f>
      </c>
      <c r="K1031" s="17">
        <f>IF(Log[[#This Row],[ID]]="",0,IFERROR(INDEX(Items[Pts],MATCH(Log[[#This Row],[ID]],Items[ID],0))*1,0))</f>
      </c>
      <c r="L1031" s="17">
        <f>IF(Log[[#This Row],[ID]]="","",IFERROR(INDEX(Items[Cur team],MATCH(Log[[#This Row],[ID]],Items[ID],0))&amp;"",""))</f>
      </c>
      <c r="M1031" s="17">
        <f>IF(OR(Log[[#This Row],[Verb]]="done",Log[[#This Row],[Verb]]="punt",Log[[#This Row],[Verb]]="drop",Log[[#This Row],[Verb]]="pass"),Log[[#This Row],[Pts]],0)</f>
      </c>
    </row>
    <row r="1032">
      <c r="A1032" s="11">
        <v>46175</v>
      </c>
      <c r="B1032" t="s">
        <v>636</v>
      </c>
      <c r="C1032" t="s">
        <v>34</v>
      </c>
      <c r="D1032">
        <v>45</v>
      </c>
      <c r="F1032" s="17">
        <f>IF(Log[[#This Row],[ID]]="","",IF(ISNA(MATCH(Log[[#This Row],[ID]],Items[ID],0)),"unknown ID",IF(ISNA(MATCH(Log[[#This Row],[Verb]],VerbList,0)),"unknown verb",IF(Log[[#This Row],[Date]]="","no date",""))))</f>
      </c>
      <c r="G1032" s="17">
        <f>IF(Log[[#This Row],[ID]]="","",IFERROR(VLOOKUP(Log[[#This Row],[Verb]],Verbs,3,FALSE)&amp;"",""))</f>
      </c>
      <c r="H1032" s="17">
        <f>IF(Log[[#This Row],[Date]]="","",INT((Log[[#This Row],[Date]]-Sprint1)/SprintDays)+1)</f>
      </c>
      <c r="I1032" s="17">
        <f>IF(OR(Log[[#This Row],[Verb]]="commit",Log[[#This Row],[Verb]]="carry",Log[[#This Row],[Verb]]="redo"),IF(Log[[#This Row],[Arg]]="",Log[[#This Row],[Sprint]],N(Log[[#This Row],[Arg]])),"")</f>
      </c>
      <c r="J1032" s="17">
        <f>IF(Log[[#This Row],[Verb]]="block",1,IF(OR(Log[[#This Row],[Verb]]="unblock",Log[[#This Row],[Verb]]="done",Log[[#This Row],[Verb]]="drop",Log[[#This Row],[Verb]]="punt",Log[[#This Row],[Verb]]="pass"),0,""))</f>
      </c>
      <c r="K1032" s="17">
        <f>IF(Log[[#This Row],[ID]]="",0,IFERROR(INDEX(Items[Pts],MATCH(Log[[#This Row],[ID]],Items[ID],0))*1,0))</f>
      </c>
      <c r="L1032" s="17">
        <f>IF(Log[[#This Row],[ID]]="","",IFERROR(INDEX(Items[Cur team],MATCH(Log[[#This Row],[ID]],Items[ID],0))&amp;"",""))</f>
      </c>
      <c r="M1032" s="17">
        <f>IF(OR(Log[[#This Row],[Verb]]="done",Log[[#This Row],[Verb]]="punt",Log[[#This Row],[Verb]]="drop",Log[[#This Row],[Verb]]="pass"),Log[[#This Row],[Pts]],0)</f>
      </c>
    </row>
    <row r="1033">
      <c r="A1033" s="11">
        <v>46175</v>
      </c>
      <c r="B1033" t="s">
        <v>637</v>
      </c>
      <c r="C1033" t="s">
        <v>34</v>
      </c>
      <c r="D1033">
        <v>45</v>
      </c>
      <c r="F1033" s="17">
        <f>IF(Log[[#This Row],[ID]]="","",IF(ISNA(MATCH(Log[[#This Row],[ID]],Items[ID],0)),"unknown ID",IF(ISNA(MATCH(Log[[#This Row],[Verb]],VerbList,0)),"unknown verb",IF(Log[[#This Row],[Date]]="","no date",""))))</f>
      </c>
      <c r="G1033" s="17">
        <f>IF(Log[[#This Row],[ID]]="","",IFERROR(VLOOKUP(Log[[#This Row],[Verb]],Verbs,3,FALSE)&amp;"",""))</f>
      </c>
      <c r="H1033" s="17">
        <f>IF(Log[[#This Row],[Date]]="","",INT((Log[[#This Row],[Date]]-Sprint1)/SprintDays)+1)</f>
      </c>
      <c r="I1033" s="17">
        <f>IF(OR(Log[[#This Row],[Verb]]="commit",Log[[#This Row],[Verb]]="carry",Log[[#This Row],[Verb]]="redo"),IF(Log[[#This Row],[Arg]]="",Log[[#This Row],[Sprint]],N(Log[[#This Row],[Arg]])),"")</f>
      </c>
      <c r="J1033" s="17">
        <f>IF(Log[[#This Row],[Verb]]="block",1,IF(OR(Log[[#This Row],[Verb]]="unblock",Log[[#This Row],[Verb]]="done",Log[[#This Row],[Verb]]="drop",Log[[#This Row],[Verb]]="punt",Log[[#This Row],[Verb]]="pass"),0,""))</f>
      </c>
      <c r="K1033" s="17">
        <f>IF(Log[[#This Row],[ID]]="",0,IFERROR(INDEX(Items[Pts],MATCH(Log[[#This Row],[ID]],Items[ID],0))*1,0))</f>
      </c>
      <c r="L1033" s="17">
        <f>IF(Log[[#This Row],[ID]]="","",IFERROR(INDEX(Items[Cur team],MATCH(Log[[#This Row],[ID]],Items[ID],0))&amp;"",""))</f>
      </c>
      <c r="M1033" s="17">
        <f>IF(OR(Log[[#This Row],[Verb]]="done",Log[[#This Row],[Verb]]="punt",Log[[#This Row],[Verb]]="drop",Log[[#This Row],[Verb]]="pass"),Log[[#This Row],[Pts]],0)</f>
      </c>
    </row>
    <row r="1034">
      <c r="A1034" s="11">
        <v>46175</v>
      </c>
      <c r="B1034" t="s">
        <v>638</v>
      </c>
      <c r="C1034" t="s">
        <v>34</v>
      </c>
      <c r="D1034">
        <v>45</v>
      </c>
      <c r="F1034" s="17">
        <f>IF(Log[[#This Row],[ID]]="","",IF(ISNA(MATCH(Log[[#This Row],[ID]],Items[ID],0)),"unknown ID",IF(ISNA(MATCH(Log[[#This Row],[Verb]],VerbList,0)),"unknown verb",IF(Log[[#This Row],[Date]]="","no date",""))))</f>
      </c>
      <c r="G1034" s="17">
        <f>IF(Log[[#This Row],[ID]]="","",IFERROR(VLOOKUP(Log[[#This Row],[Verb]],Verbs,3,FALSE)&amp;"",""))</f>
      </c>
      <c r="H1034" s="17">
        <f>IF(Log[[#This Row],[Date]]="","",INT((Log[[#This Row],[Date]]-Sprint1)/SprintDays)+1)</f>
      </c>
      <c r="I1034" s="17">
        <f>IF(OR(Log[[#This Row],[Verb]]="commit",Log[[#This Row],[Verb]]="carry",Log[[#This Row],[Verb]]="redo"),IF(Log[[#This Row],[Arg]]="",Log[[#This Row],[Sprint]],N(Log[[#This Row],[Arg]])),"")</f>
      </c>
      <c r="J1034" s="17">
        <f>IF(Log[[#This Row],[Verb]]="block",1,IF(OR(Log[[#This Row],[Verb]]="unblock",Log[[#This Row],[Verb]]="done",Log[[#This Row],[Verb]]="drop",Log[[#This Row],[Verb]]="punt",Log[[#This Row],[Verb]]="pass"),0,""))</f>
      </c>
      <c r="K1034" s="17">
        <f>IF(Log[[#This Row],[ID]]="",0,IFERROR(INDEX(Items[Pts],MATCH(Log[[#This Row],[ID]],Items[ID],0))*1,0))</f>
      </c>
      <c r="L1034" s="17">
        <f>IF(Log[[#This Row],[ID]]="","",IFERROR(INDEX(Items[Cur team],MATCH(Log[[#This Row],[ID]],Items[ID],0))&amp;"",""))</f>
      </c>
      <c r="M1034" s="17">
        <f>IF(OR(Log[[#This Row],[Verb]]="done",Log[[#This Row],[Verb]]="punt",Log[[#This Row],[Verb]]="drop",Log[[#This Row],[Verb]]="pass"),Log[[#This Row],[Pts]],0)</f>
      </c>
    </row>
    <row r="1035">
      <c r="A1035" s="11">
        <v>46175</v>
      </c>
      <c r="B1035" t="s">
        <v>639</v>
      </c>
      <c r="C1035" t="s">
        <v>34</v>
      </c>
      <c r="D1035">
        <v>45</v>
      </c>
      <c r="F1035" s="17">
        <f>IF(Log[[#This Row],[ID]]="","",IF(ISNA(MATCH(Log[[#This Row],[ID]],Items[ID],0)),"unknown ID",IF(ISNA(MATCH(Log[[#This Row],[Verb]],VerbList,0)),"unknown verb",IF(Log[[#This Row],[Date]]="","no date",""))))</f>
      </c>
      <c r="G1035" s="17">
        <f>IF(Log[[#This Row],[ID]]="","",IFERROR(VLOOKUP(Log[[#This Row],[Verb]],Verbs,3,FALSE)&amp;"",""))</f>
      </c>
      <c r="H1035" s="17">
        <f>IF(Log[[#This Row],[Date]]="","",INT((Log[[#This Row],[Date]]-Sprint1)/SprintDays)+1)</f>
      </c>
      <c r="I1035" s="17">
        <f>IF(OR(Log[[#This Row],[Verb]]="commit",Log[[#This Row],[Verb]]="carry",Log[[#This Row],[Verb]]="redo"),IF(Log[[#This Row],[Arg]]="",Log[[#This Row],[Sprint]],N(Log[[#This Row],[Arg]])),"")</f>
      </c>
      <c r="J1035" s="17">
        <f>IF(Log[[#This Row],[Verb]]="block",1,IF(OR(Log[[#This Row],[Verb]]="unblock",Log[[#This Row],[Verb]]="done",Log[[#This Row],[Verb]]="drop",Log[[#This Row],[Verb]]="punt",Log[[#This Row],[Verb]]="pass"),0,""))</f>
      </c>
      <c r="K1035" s="17">
        <f>IF(Log[[#This Row],[ID]]="",0,IFERROR(INDEX(Items[Pts],MATCH(Log[[#This Row],[ID]],Items[ID],0))*1,0))</f>
      </c>
      <c r="L1035" s="17">
        <f>IF(Log[[#This Row],[ID]]="","",IFERROR(INDEX(Items[Cur team],MATCH(Log[[#This Row],[ID]],Items[ID],0))&amp;"",""))</f>
      </c>
      <c r="M1035" s="17">
        <f>IF(OR(Log[[#This Row],[Verb]]="done",Log[[#This Row],[Verb]]="punt",Log[[#This Row],[Verb]]="drop",Log[[#This Row],[Verb]]="pass"),Log[[#This Row],[Pts]],0)</f>
      </c>
    </row>
    <row r="1036">
      <c r="A1036" s="11">
        <v>46175</v>
      </c>
      <c r="B1036" t="s">
        <v>640</v>
      </c>
      <c r="C1036" t="s">
        <v>34</v>
      </c>
      <c r="D1036">
        <v>45</v>
      </c>
      <c r="F1036" s="17">
        <f>IF(Log[[#This Row],[ID]]="","",IF(ISNA(MATCH(Log[[#This Row],[ID]],Items[ID],0)),"unknown ID",IF(ISNA(MATCH(Log[[#This Row],[Verb]],VerbList,0)),"unknown verb",IF(Log[[#This Row],[Date]]="","no date",""))))</f>
      </c>
      <c r="G1036" s="17">
        <f>IF(Log[[#This Row],[ID]]="","",IFERROR(VLOOKUP(Log[[#This Row],[Verb]],Verbs,3,FALSE)&amp;"",""))</f>
      </c>
      <c r="H1036" s="17">
        <f>IF(Log[[#This Row],[Date]]="","",INT((Log[[#This Row],[Date]]-Sprint1)/SprintDays)+1)</f>
      </c>
      <c r="I1036" s="17">
        <f>IF(OR(Log[[#This Row],[Verb]]="commit",Log[[#This Row],[Verb]]="carry",Log[[#This Row],[Verb]]="redo"),IF(Log[[#This Row],[Arg]]="",Log[[#This Row],[Sprint]],N(Log[[#This Row],[Arg]])),"")</f>
      </c>
      <c r="J1036" s="17">
        <f>IF(Log[[#This Row],[Verb]]="block",1,IF(OR(Log[[#This Row],[Verb]]="unblock",Log[[#This Row],[Verb]]="done",Log[[#This Row],[Verb]]="drop",Log[[#This Row],[Verb]]="punt",Log[[#This Row],[Verb]]="pass"),0,""))</f>
      </c>
      <c r="K1036" s="17">
        <f>IF(Log[[#This Row],[ID]]="",0,IFERROR(INDEX(Items[Pts],MATCH(Log[[#This Row],[ID]],Items[ID],0))*1,0))</f>
      </c>
      <c r="L1036" s="17">
        <f>IF(Log[[#This Row],[ID]]="","",IFERROR(INDEX(Items[Cur team],MATCH(Log[[#This Row],[ID]],Items[ID],0))&amp;"",""))</f>
      </c>
      <c r="M1036" s="17">
        <f>IF(OR(Log[[#This Row],[Verb]]="done",Log[[#This Row],[Verb]]="punt",Log[[#This Row],[Verb]]="drop",Log[[#This Row],[Verb]]="pass"),Log[[#This Row],[Pts]],0)</f>
      </c>
    </row>
    <row r="1037">
      <c r="A1037" s="11">
        <v>46175</v>
      </c>
      <c r="B1037" t="s">
        <v>641</v>
      </c>
      <c r="C1037" t="s">
        <v>34</v>
      </c>
      <c r="D1037">
        <v>45</v>
      </c>
      <c r="F1037" s="17">
        <f>IF(Log[[#This Row],[ID]]="","",IF(ISNA(MATCH(Log[[#This Row],[ID]],Items[ID],0)),"unknown ID",IF(ISNA(MATCH(Log[[#This Row],[Verb]],VerbList,0)),"unknown verb",IF(Log[[#This Row],[Date]]="","no date",""))))</f>
      </c>
      <c r="G1037" s="17">
        <f>IF(Log[[#This Row],[ID]]="","",IFERROR(VLOOKUP(Log[[#This Row],[Verb]],Verbs,3,FALSE)&amp;"",""))</f>
      </c>
      <c r="H1037" s="17">
        <f>IF(Log[[#This Row],[Date]]="","",INT((Log[[#This Row],[Date]]-Sprint1)/SprintDays)+1)</f>
      </c>
      <c r="I1037" s="17">
        <f>IF(OR(Log[[#This Row],[Verb]]="commit",Log[[#This Row],[Verb]]="carry",Log[[#This Row],[Verb]]="redo"),IF(Log[[#This Row],[Arg]]="",Log[[#This Row],[Sprint]],N(Log[[#This Row],[Arg]])),"")</f>
      </c>
      <c r="J1037" s="17">
        <f>IF(Log[[#This Row],[Verb]]="block",1,IF(OR(Log[[#This Row],[Verb]]="unblock",Log[[#This Row],[Verb]]="done",Log[[#This Row],[Verb]]="drop",Log[[#This Row],[Verb]]="punt",Log[[#This Row],[Verb]]="pass"),0,""))</f>
      </c>
      <c r="K1037" s="17">
        <f>IF(Log[[#This Row],[ID]]="",0,IFERROR(INDEX(Items[Pts],MATCH(Log[[#This Row],[ID]],Items[ID],0))*1,0))</f>
      </c>
      <c r="L1037" s="17">
        <f>IF(Log[[#This Row],[ID]]="","",IFERROR(INDEX(Items[Cur team],MATCH(Log[[#This Row],[ID]],Items[ID],0))&amp;"",""))</f>
      </c>
      <c r="M1037" s="17">
        <f>IF(OR(Log[[#This Row],[Verb]]="done",Log[[#This Row],[Verb]]="punt",Log[[#This Row],[Verb]]="drop",Log[[#This Row],[Verb]]="pass"),Log[[#This Row],[Pts]],0)</f>
      </c>
    </row>
    <row r="1038">
      <c r="A1038" s="11">
        <v>46175</v>
      </c>
      <c r="B1038" t="s">
        <v>642</v>
      </c>
      <c r="C1038" t="s">
        <v>34</v>
      </c>
      <c r="D1038">
        <v>45</v>
      </c>
      <c r="F1038" s="17">
        <f>IF(Log[[#This Row],[ID]]="","",IF(ISNA(MATCH(Log[[#This Row],[ID]],Items[ID],0)),"unknown ID",IF(ISNA(MATCH(Log[[#This Row],[Verb]],VerbList,0)),"unknown verb",IF(Log[[#This Row],[Date]]="","no date",""))))</f>
      </c>
      <c r="G1038" s="17">
        <f>IF(Log[[#This Row],[ID]]="","",IFERROR(VLOOKUP(Log[[#This Row],[Verb]],Verbs,3,FALSE)&amp;"",""))</f>
      </c>
      <c r="H1038" s="17">
        <f>IF(Log[[#This Row],[Date]]="","",INT((Log[[#This Row],[Date]]-Sprint1)/SprintDays)+1)</f>
      </c>
      <c r="I1038" s="17">
        <f>IF(OR(Log[[#This Row],[Verb]]="commit",Log[[#This Row],[Verb]]="carry",Log[[#This Row],[Verb]]="redo"),IF(Log[[#This Row],[Arg]]="",Log[[#This Row],[Sprint]],N(Log[[#This Row],[Arg]])),"")</f>
      </c>
      <c r="J1038" s="17">
        <f>IF(Log[[#This Row],[Verb]]="block",1,IF(OR(Log[[#This Row],[Verb]]="unblock",Log[[#This Row],[Verb]]="done",Log[[#This Row],[Verb]]="drop",Log[[#This Row],[Verb]]="punt",Log[[#This Row],[Verb]]="pass"),0,""))</f>
      </c>
      <c r="K1038" s="17">
        <f>IF(Log[[#This Row],[ID]]="",0,IFERROR(INDEX(Items[Pts],MATCH(Log[[#This Row],[ID]],Items[ID],0))*1,0))</f>
      </c>
      <c r="L1038" s="17">
        <f>IF(Log[[#This Row],[ID]]="","",IFERROR(INDEX(Items[Cur team],MATCH(Log[[#This Row],[ID]],Items[ID],0))&amp;"",""))</f>
      </c>
      <c r="M1038" s="17">
        <f>IF(OR(Log[[#This Row],[Verb]]="done",Log[[#This Row],[Verb]]="punt",Log[[#This Row],[Verb]]="drop",Log[[#This Row],[Verb]]="pass"),Log[[#This Row],[Pts]],0)</f>
      </c>
    </row>
    <row r="1039">
      <c r="A1039" s="11">
        <v>46175</v>
      </c>
      <c r="B1039" t="s">
        <v>643</v>
      </c>
      <c r="C1039" t="s">
        <v>34</v>
      </c>
      <c r="D1039">
        <v>45</v>
      </c>
      <c r="F1039" s="17">
        <f>IF(Log[[#This Row],[ID]]="","",IF(ISNA(MATCH(Log[[#This Row],[ID]],Items[ID],0)),"unknown ID",IF(ISNA(MATCH(Log[[#This Row],[Verb]],VerbList,0)),"unknown verb",IF(Log[[#This Row],[Date]]="","no date",""))))</f>
      </c>
      <c r="G1039" s="17">
        <f>IF(Log[[#This Row],[ID]]="","",IFERROR(VLOOKUP(Log[[#This Row],[Verb]],Verbs,3,FALSE)&amp;"",""))</f>
      </c>
      <c r="H1039" s="17">
        <f>IF(Log[[#This Row],[Date]]="","",INT((Log[[#This Row],[Date]]-Sprint1)/SprintDays)+1)</f>
      </c>
      <c r="I1039" s="17">
        <f>IF(OR(Log[[#This Row],[Verb]]="commit",Log[[#This Row],[Verb]]="carry",Log[[#This Row],[Verb]]="redo"),IF(Log[[#This Row],[Arg]]="",Log[[#This Row],[Sprint]],N(Log[[#This Row],[Arg]])),"")</f>
      </c>
      <c r="J1039" s="17">
        <f>IF(Log[[#This Row],[Verb]]="block",1,IF(OR(Log[[#This Row],[Verb]]="unblock",Log[[#This Row],[Verb]]="done",Log[[#This Row],[Verb]]="drop",Log[[#This Row],[Verb]]="punt",Log[[#This Row],[Verb]]="pass"),0,""))</f>
      </c>
      <c r="K1039" s="17">
        <f>IF(Log[[#This Row],[ID]]="",0,IFERROR(INDEX(Items[Pts],MATCH(Log[[#This Row],[ID]],Items[ID],0))*1,0))</f>
      </c>
      <c r="L1039" s="17">
        <f>IF(Log[[#This Row],[ID]]="","",IFERROR(INDEX(Items[Cur team],MATCH(Log[[#This Row],[ID]],Items[ID],0))&amp;"",""))</f>
      </c>
      <c r="M1039" s="17">
        <f>IF(OR(Log[[#This Row],[Verb]]="done",Log[[#This Row],[Verb]]="punt",Log[[#This Row],[Verb]]="drop",Log[[#This Row],[Verb]]="pass"),Log[[#This Row],[Pts]],0)</f>
      </c>
    </row>
    <row r="1040">
      <c r="A1040" s="11">
        <v>46175</v>
      </c>
      <c r="B1040" t="s">
        <v>587</v>
      </c>
      <c r="C1040" t="s">
        <v>57</v>
      </c>
      <c r="D1040">
        <v>45</v>
      </c>
      <c r="E1040" t="s">
        <v>193</v>
      </c>
      <c r="F1040" s="17">
        <f>IF(Log[[#This Row],[ID]]="","",IF(ISNA(MATCH(Log[[#This Row],[ID]],Items[ID],0)),"unknown ID",IF(ISNA(MATCH(Log[[#This Row],[Verb]],VerbList,0)),"unknown verb",IF(Log[[#This Row],[Date]]="","no date",""))))</f>
      </c>
      <c r="G1040" s="17">
        <f>IF(Log[[#This Row],[ID]]="","",IFERROR(VLOOKUP(Log[[#This Row],[Verb]],Verbs,3,FALSE)&amp;"",""))</f>
      </c>
      <c r="H1040" s="17">
        <f>IF(Log[[#This Row],[Date]]="","",INT((Log[[#This Row],[Date]]-Sprint1)/SprintDays)+1)</f>
      </c>
      <c r="I1040" s="17">
        <f>IF(OR(Log[[#This Row],[Verb]]="commit",Log[[#This Row],[Verb]]="carry",Log[[#This Row],[Verb]]="redo"),IF(Log[[#This Row],[Arg]]="",Log[[#This Row],[Sprint]],N(Log[[#This Row],[Arg]])),"")</f>
      </c>
      <c r="J1040" s="17">
        <f>IF(Log[[#This Row],[Verb]]="block",1,IF(OR(Log[[#This Row],[Verb]]="unblock",Log[[#This Row],[Verb]]="done",Log[[#This Row],[Verb]]="drop",Log[[#This Row],[Verb]]="punt",Log[[#This Row],[Verb]]="pass"),0,""))</f>
      </c>
      <c r="K1040" s="17">
        <f>IF(Log[[#This Row],[ID]]="",0,IFERROR(INDEX(Items[Pts],MATCH(Log[[#This Row],[ID]],Items[ID],0))*1,0))</f>
      </c>
      <c r="L1040" s="17">
        <f>IF(Log[[#This Row],[ID]]="","",IFERROR(INDEX(Items[Cur team],MATCH(Log[[#This Row],[ID]],Items[ID],0))&amp;"",""))</f>
      </c>
      <c r="M1040" s="17">
        <f>IF(OR(Log[[#This Row],[Verb]]="done",Log[[#This Row],[Verb]]="punt",Log[[#This Row],[Verb]]="drop",Log[[#This Row],[Verb]]="pass"),Log[[#This Row],[Pts]],0)</f>
      </c>
    </row>
    <row r="1041">
      <c r="A1041" s="11">
        <v>46175</v>
      </c>
      <c r="B1041" t="s">
        <v>644</v>
      </c>
      <c r="C1041" t="s">
        <v>34</v>
      </c>
      <c r="D1041">
        <v>45</v>
      </c>
      <c r="F1041" s="17">
        <f>IF(Log[[#This Row],[ID]]="","",IF(ISNA(MATCH(Log[[#This Row],[ID]],Items[ID],0)),"unknown ID",IF(ISNA(MATCH(Log[[#This Row],[Verb]],VerbList,0)),"unknown verb",IF(Log[[#This Row],[Date]]="","no date",""))))</f>
      </c>
      <c r="G1041" s="17">
        <f>IF(Log[[#This Row],[ID]]="","",IFERROR(VLOOKUP(Log[[#This Row],[Verb]],Verbs,3,FALSE)&amp;"",""))</f>
      </c>
      <c r="H1041" s="17">
        <f>IF(Log[[#This Row],[Date]]="","",INT((Log[[#This Row],[Date]]-Sprint1)/SprintDays)+1)</f>
      </c>
      <c r="I1041" s="17">
        <f>IF(OR(Log[[#This Row],[Verb]]="commit",Log[[#This Row],[Verb]]="carry",Log[[#This Row],[Verb]]="redo"),IF(Log[[#This Row],[Arg]]="",Log[[#This Row],[Sprint]],N(Log[[#This Row],[Arg]])),"")</f>
      </c>
      <c r="J1041" s="17">
        <f>IF(Log[[#This Row],[Verb]]="block",1,IF(OR(Log[[#This Row],[Verb]]="unblock",Log[[#This Row],[Verb]]="done",Log[[#This Row],[Verb]]="drop",Log[[#This Row],[Verb]]="punt",Log[[#This Row],[Verb]]="pass"),0,""))</f>
      </c>
      <c r="K1041" s="17">
        <f>IF(Log[[#This Row],[ID]]="",0,IFERROR(INDEX(Items[Pts],MATCH(Log[[#This Row],[ID]],Items[ID],0))*1,0))</f>
      </c>
      <c r="L1041" s="17">
        <f>IF(Log[[#This Row],[ID]]="","",IFERROR(INDEX(Items[Cur team],MATCH(Log[[#This Row],[ID]],Items[ID],0))&amp;"",""))</f>
      </c>
      <c r="M1041" s="17">
        <f>IF(OR(Log[[#This Row],[Verb]]="done",Log[[#This Row],[Verb]]="punt",Log[[#This Row],[Verb]]="drop",Log[[#This Row],[Verb]]="pass"),Log[[#This Row],[Pts]],0)</f>
      </c>
    </row>
    <row r="1042">
      <c r="A1042" s="11">
        <v>46175</v>
      </c>
      <c r="B1042" t="s">
        <v>645</v>
      </c>
      <c r="C1042" t="s">
        <v>34</v>
      </c>
      <c r="D1042">
        <v>45</v>
      </c>
      <c r="F1042" s="17">
        <f>IF(Log[[#This Row],[ID]]="","",IF(ISNA(MATCH(Log[[#This Row],[ID]],Items[ID],0)),"unknown ID",IF(ISNA(MATCH(Log[[#This Row],[Verb]],VerbList,0)),"unknown verb",IF(Log[[#This Row],[Date]]="","no date",""))))</f>
      </c>
      <c r="G1042" s="17">
        <f>IF(Log[[#This Row],[ID]]="","",IFERROR(VLOOKUP(Log[[#This Row],[Verb]],Verbs,3,FALSE)&amp;"",""))</f>
      </c>
      <c r="H1042" s="17">
        <f>IF(Log[[#This Row],[Date]]="","",INT((Log[[#This Row],[Date]]-Sprint1)/SprintDays)+1)</f>
      </c>
      <c r="I1042" s="17">
        <f>IF(OR(Log[[#This Row],[Verb]]="commit",Log[[#This Row],[Verb]]="carry",Log[[#This Row],[Verb]]="redo"),IF(Log[[#This Row],[Arg]]="",Log[[#This Row],[Sprint]],N(Log[[#This Row],[Arg]])),"")</f>
      </c>
      <c r="J1042" s="17">
        <f>IF(Log[[#This Row],[Verb]]="block",1,IF(OR(Log[[#This Row],[Verb]]="unblock",Log[[#This Row],[Verb]]="done",Log[[#This Row],[Verb]]="drop",Log[[#This Row],[Verb]]="punt",Log[[#This Row],[Verb]]="pass"),0,""))</f>
      </c>
      <c r="K1042" s="17">
        <f>IF(Log[[#This Row],[ID]]="",0,IFERROR(INDEX(Items[Pts],MATCH(Log[[#This Row],[ID]],Items[ID],0))*1,0))</f>
      </c>
      <c r="L1042" s="17">
        <f>IF(Log[[#This Row],[ID]]="","",IFERROR(INDEX(Items[Cur team],MATCH(Log[[#This Row],[ID]],Items[ID],0))&amp;"",""))</f>
      </c>
      <c r="M1042" s="17">
        <f>IF(OR(Log[[#This Row],[Verb]]="done",Log[[#This Row],[Verb]]="punt",Log[[#This Row],[Verb]]="drop",Log[[#This Row],[Verb]]="pass"),Log[[#This Row],[Pts]],0)</f>
      </c>
    </row>
    <row r="1043">
      <c r="A1043" s="11">
        <v>46175</v>
      </c>
      <c r="B1043" t="s">
        <v>646</v>
      </c>
      <c r="C1043" t="s">
        <v>34</v>
      </c>
      <c r="D1043">
        <v>45</v>
      </c>
      <c r="F1043" s="17">
        <f>IF(Log[[#This Row],[ID]]="","",IF(ISNA(MATCH(Log[[#This Row],[ID]],Items[ID],0)),"unknown ID",IF(ISNA(MATCH(Log[[#This Row],[Verb]],VerbList,0)),"unknown verb",IF(Log[[#This Row],[Date]]="","no date",""))))</f>
      </c>
      <c r="G1043" s="17">
        <f>IF(Log[[#This Row],[ID]]="","",IFERROR(VLOOKUP(Log[[#This Row],[Verb]],Verbs,3,FALSE)&amp;"",""))</f>
      </c>
      <c r="H1043" s="17">
        <f>IF(Log[[#This Row],[Date]]="","",INT((Log[[#This Row],[Date]]-Sprint1)/SprintDays)+1)</f>
      </c>
      <c r="I1043" s="17">
        <f>IF(OR(Log[[#This Row],[Verb]]="commit",Log[[#This Row],[Verb]]="carry",Log[[#This Row],[Verb]]="redo"),IF(Log[[#This Row],[Arg]]="",Log[[#This Row],[Sprint]],N(Log[[#This Row],[Arg]])),"")</f>
      </c>
      <c r="J1043" s="17">
        <f>IF(Log[[#This Row],[Verb]]="block",1,IF(OR(Log[[#This Row],[Verb]]="unblock",Log[[#This Row],[Verb]]="done",Log[[#This Row],[Verb]]="drop",Log[[#This Row],[Verb]]="punt",Log[[#This Row],[Verb]]="pass"),0,""))</f>
      </c>
      <c r="K1043" s="17">
        <f>IF(Log[[#This Row],[ID]]="",0,IFERROR(INDEX(Items[Pts],MATCH(Log[[#This Row],[ID]],Items[ID],0))*1,0))</f>
      </c>
      <c r="L1043" s="17">
        <f>IF(Log[[#This Row],[ID]]="","",IFERROR(INDEX(Items[Cur team],MATCH(Log[[#This Row],[ID]],Items[ID],0))&amp;"",""))</f>
      </c>
      <c r="M1043" s="17">
        <f>IF(OR(Log[[#This Row],[Verb]]="done",Log[[#This Row],[Verb]]="punt",Log[[#This Row],[Verb]]="drop",Log[[#This Row],[Verb]]="pass"),Log[[#This Row],[Pts]],0)</f>
      </c>
    </row>
    <row r="1044">
      <c r="A1044" s="11">
        <v>46175</v>
      </c>
      <c r="B1044" t="s">
        <v>647</v>
      </c>
      <c r="C1044" t="s">
        <v>34</v>
      </c>
      <c r="D1044">
        <v>45</v>
      </c>
      <c r="F1044" s="17">
        <f>IF(Log[[#This Row],[ID]]="","",IF(ISNA(MATCH(Log[[#This Row],[ID]],Items[ID],0)),"unknown ID",IF(ISNA(MATCH(Log[[#This Row],[Verb]],VerbList,0)),"unknown verb",IF(Log[[#This Row],[Date]]="","no date",""))))</f>
      </c>
      <c r="G1044" s="17">
        <f>IF(Log[[#This Row],[ID]]="","",IFERROR(VLOOKUP(Log[[#This Row],[Verb]],Verbs,3,FALSE)&amp;"",""))</f>
      </c>
      <c r="H1044" s="17">
        <f>IF(Log[[#This Row],[Date]]="","",INT((Log[[#This Row],[Date]]-Sprint1)/SprintDays)+1)</f>
      </c>
      <c r="I1044" s="17">
        <f>IF(OR(Log[[#This Row],[Verb]]="commit",Log[[#This Row],[Verb]]="carry",Log[[#This Row],[Verb]]="redo"),IF(Log[[#This Row],[Arg]]="",Log[[#This Row],[Sprint]],N(Log[[#This Row],[Arg]])),"")</f>
      </c>
      <c r="J1044" s="17">
        <f>IF(Log[[#This Row],[Verb]]="block",1,IF(OR(Log[[#This Row],[Verb]]="unblock",Log[[#This Row],[Verb]]="done",Log[[#This Row],[Verb]]="drop",Log[[#This Row],[Verb]]="punt",Log[[#This Row],[Verb]]="pass"),0,""))</f>
      </c>
      <c r="K1044" s="17">
        <f>IF(Log[[#This Row],[ID]]="",0,IFERROR(INDEX(Items[Pts],MATCH(Log[[#This Row],[ID]],Items[ID],0))*1,0))</f>
      </c>
      <c r="L1044" s="17">
        <f>IF(Log[[#This Row],[ID]]="","",IFERROR(INDEX(Items[Cur team],MATCH(Log[[#This Row],[ID]],Items[ID],0))&amp;"",""))</f>
      </c>
      <c r="M1044" s="17">
        <f>IF(OR(Log[[#This Row],[Verb]]="done",Log[[#This Row],[Verb]]="punt",Log[[#This Row],[Verb]]="drop",Log[[#This Row],[Verb]]="pass"),Log[[#This Row],[Pts]],0)</f>
      </c>
    </row>
    <row r="1045">
      <c r="A1045" s="11">
        <v>46175</v>
      </c>
      <c r="B1045" t="s">
        <v>648</v>
      </c>
      <c r="C1045" t="s">
        <v>34</v>
      </c>
      <c r="D1045">
        <v>45</v>
      </c>
      <c r="F1045" s="17">
        <f>IF(Log[[#This Row],[ID]]="","",IF(ISNA(MATCH(Log[[#This Row],[ID]],Items[ID],0)),"unknown ID",IF(ISNA(MATCH(Log[[#This Row],[Verb]],VerbList,0)),"unknown verb",IF(Log[[#This Row],[Date]]="","no date",""))))</f>
      </c>
      <c r="G1045" s="17">
        <f>IF(Log[[#This Row],[ID]]="","",IFERROR(VLOOKUP(Log[[#This Row],[Verb]],Verbs,3,FALSE)&amp;"",""))</f>
      </c>
      <c r="H1045" s="17">
        <f>IF(Log[[#This Row],[Date]]="","",INT((Log[[#This Row],[Date]]-Sprint1)/SprintDays)+1)</f>
      </c>
      <c r="I1045" s="17">
        <f>IF(OR(Log[[#This Row],[Verb]]="commit",Log[[#This Row],[Verb]]="carry",Log[[#This Row],[Verb]]="redo"),IF(Log[[#This Row],[Arg]]="",Log[[#This Row],[Sprint]],N(Log[[#This Row],[Arg]])),"")</f>
      </c>
      <c r="J1045" s="17">
        <f>IF(Log[[#This Row],[Verb]]="block",1,IF(OR(Log[[#This Row],[Verb]]="unblock",Log[[#This Row],[Verb]]="done",Log[[#This Row],[Verb]]="drop",Log[[#This Row],[Verb]]="punt",Log[[#This Row],[Verb]]="pass"),0,""))</f>
      </c>
      <c r="K1045" s="17">
        <f>IF(Log[[#This Row],[ID]]="",0,IFERROR(INDEX(Items[Pts],MATCH(Log[[#This Row],[ID]],Items[ID],0))*1,0))</f>
      </c>
      <c r="L1045" s="17">
        <f>IF(Log[[#This Row],[ID]]="","",IFERROR(INDEX(Items[Cur team],MATCH(Log[[#This Row],[ID]],Items[ID],0))&amp;"",""))</f>
      </c>
      <c r="M1045" s="17">
        <f>IF(OR(Log[[#This Row],[Verb]]="done",Log[[#This Row],[Verb]]="punt",Log[[#This Row],[Verb]]="drop",Log[[#This Row],[Verb]]="pass"),Log[[#This Row],[Pts]],0)</f>
      </c>
    </row>
    <row r="1046">
      <c r="A1046" s="11">
        <v>46175</v>
      </c>
      <c r="B1046" t="s">
        <v>649</v>
      </c>
      <c r="C1046" t="s">
        <v>34</v>
      </c>
      <c r="D1046">
        <v>45</v>
      </c>
      <c r="F1046" s="17">
        <f>IF(Log[[#This Row],[ID]]="","",IF(ISNA(MATCH(Log[[#This Row],[ID]],Items[ID],0)),"unknown ID",IF(ISNA(MATCH(Log[[#This Row],[Verb]],VerbList,0)),"unknown verb",IF(Log[[#This Row],[Date]]="","no date",""))))</f>
      </c>
      <c r="G1046" s="17">
        <f>IF(Log[[#This Row],[ID]]="","",IFERROR(VLOOKUP(Log[[#This Row],[Verb]],Verbs,3,FALSE)&amp;"",""))</f>
      </c>
      <c r="H1046" s="17">
        <f>IF(Log[[#This Row],[Date]]="","",INT((Log[[#This Row],[Date]]-Sprint1)/SprintDays)+1)</f>
      </c>
      <c r="I1046" s="17">
        <f>IF(OR(Log[[#This Row],[Verb]]="commit",Log[[#This Row],[Verb]]="carry",Log[[#This Row],[Verb]]="redo"),IF(Log[[#This Row],[Arg]]="",Log[[#This Row],[Sprint]],N(Log[[#This Row],[Arg]])),"")</f>
      </c>
      <c r="J1046" s="17">
        <f>IF(Log[[#This Row],[Verb]]="block",1,IF(OR(Log[[#This Row],[Verb]]="unblock",Log[[#This Row],[Verb]]="done",Log[[#This Row],[Verb]]="drop",Log[[#This Row],[Verb]]="punt",Log[[#This Row],[Verb]]="pass"),0,""))</f>
      </c>
      <c r="K1046" s="17">
        <f>IF(Log[[#This Row],[ID]]="",0,IFERROR(INDEX(Items[Pts],MATCH(Log[[#This Row],[ID]],Items[ID],0))*1,0))</f>
      </c>
      <c r="L1046" s="17">
        <f>IF(Log[[#This Row],[ID]]="","",IFERROR(INDEX(Items[Cur team],MATCH(Log[[#This Row],[ID]],Items[ID],0))&amp;"",""))</f>
      </c>
      <c r="M1046" s="17">
        <f>IF(OR(Log[[#This Row],[Verb]]="done",Log[[#This Row],[Verb]]="punt",Log[[#This Row],[Verb]]="drop",Log[[#This Row],[Verb]]="pass"),Log[[#This Row],[Pts]],0)</f>
      </c>
    </row>
    <row r="1047">
      <c r="A1047" s="11">
        <v>46175</v>
      </c>
      <c r="B1047" t="s">
        <v>650</v>
      </c>
      <c r="C1047" t="s">
        <v>34</v>
      </c>
      <c r="D1047">
        <v>45</v>
      </c>
      <c r="F1047" s="17">
        <f>IF(Log[[#This Row],[ID]]="","",IF(ISNA(MATCH(Log[[#This Row],[ID]],Items[ID],0)),"unknown ID",IF(ISNA(MATCH(Log[[#This Row],[Verb]],VerbList,0)),"unknown verb",IF(Log[[#This Row],[Date]]="","no date",""))))</f>
      </c>
      <c r="G1047" s="17">
        <f>IF(Log[[#This Row],[ID]]="","",IFERROR(VLOOKUP(Log[[#This Row],[Verb]],Verbs,3,FALSE)&amp;"",""))</f>
      </c>
      <c r="H1047" s="17">
        <f>IF(Log[[#This Row],[Date]]="","",INT((Log[[#This Row],[Date]]-Sprint1)/SprintDays)+1)</f>
      </c>
      <c r="I1047" s="17">
        <f>IF(OR(Log[[#This Row],[Verb]]="commit",Log[[#This Row],[Verb]]="carry",Log[[#This Row],[Verb]]="redo"),IF(Log[[#This Row],[Arg]]="",Log[[#This Row],[Sprint]],N(Log[[#This Row],[Arg]])),"")</f>
      </c>
      <c r="J1047" s="17">
        <f>IF(Log[[#This Row],[Verb]]="block",1,IF(OR(Log[[#This Row],[Verb]]="unblock",Log[[#This Row],[Verb]]="done",Log[[#This Row],[Verb]]="drop",Log[[#This Row],[Verb]]="punt",Log[[#This Row],[Verb]]="pass"),0,""))</f>
      </c>
      <c r="K1047" s="17">
        <f>IF(Log[[#This Row],[ID]]="",0,IFERROR(INDEX(Items[Pts],MATCH(Log[[#This Row],[ID]],Items[ID],0))*1,0))</f>
      </c>
      <c r="L1047" s="17">
        <f>IF(Log[[#This Row],[ID]]="","",IFERROR(INDEX(Items[Cur team],MATCH(Log[[#This Row],[ID]],Items[ID],0))&amp;"",""))</f>
      </c>
      <c r="M1047" s="17">
        <f>IF(OR(Log[[#This Row],[Verb]]="done",Log[[#This Row],[Verb]]="punt",Log[[#This Row],[Verb]]="drop",Log[[#This Row],[Verb]]="pass"),Log[[#This Row],[Pts]],0)</f>
      </c>
    </row>
    <row r="1048">
      <c r="A1048" s="11">
        <v>46175</v>
      </c>
      <c r="B1048" t="s">
        <v>651</v>
      </c>
      <c r="C1048" t="s">
        <v>34</v>
      </c>
      <c r="D1048">
        <v>45</v>
      </c>
      <c r="F1048" s="17">
        <f>IF(Log[[#This Row],[ID]]="","",IF(ISNA(MATCH(Log[[#This Row],[ID]],Items[ID],0)),"unknown ID",IF(ISNA(MATCH(Log[[#This Row],[Verb]],VerbList,0)),"unknown verb",IF(Log[[#This Row],[Date]]="","no date",""))))</f>
      </c>
      <c r="G1048" s="17">
        <f>IF(Log[[#This Row],[ID]]="","",IFERROR(VLOOKUP(Log[[#This Row],[Verb]],Verbs,3,FALSE)&amp;"",""))</f>
      </c>
      <c r="H1048" s="17">
        <f>IF(Log[[#This Row],[Date]]="","",INT((Log[[#This Row],[Date]]-Sprint1)/SprintDays)+1)</f>
      </c>
      <c r="I1048" s="17">
        <f>IF(OR(Log[[#This Row],[Verb]]="commit",Log[[#This Row],[Verb]]="carry",Log[[#This Row],[Verb]]="redo"),IF(Log[[#This Row],[Arg]]="",Log[[#This Row],[Sprint]],N(Log[[#This Row],[Arg]])),"")</f>
      </c>
      <c r="J1048" s="17">
        <f>IF(Log[[#This Row],[Verb]]="block",1,IF(OR(Log[[#This Row],[Verb]]="unblock",Log[[#This Row],[Verb]]="done",Log[[#This Row],[Verb]]="drop",Log[[#This Row],[Verb]]="punt",Log[[#This Row],[Verb]]="pass"),0,""))</f>
      </c>
      <c r="K1048" s="17">
        <f>IF(Log[[#This Row],[ID]]="",0,IFERROR(INDEX(Items[Pts],MATCH(Log[[#This Row],[ID]],Items[ID],0))*1,0))</f>
      </c>
      <c r="L1048" s="17">
        <f>IF(Log[[#This Row],[ID]]="","",IFERROR(INDEX(Items[Cur team],MATCH(Log[[#This Row],[ID]],Items[ID],0))&amp;"",""))</f>
      </c>
      <c r="M1048" s="17">
        <f>IF(OR(Log[[#This Row],[Verb]]="done",Log[[#This Row],[Verb]]="punt",Log[[#This Row],[Verb]]="drop",Log[[#This Row],[Verb]]="pass"),Log[[#This Row],[Pts]],0)</f>
      </c>
    </row>
    <row r="1049">
      <c r="A1049" s="11">
        <v>46175</v>
      </c>
      <c r="B1049" t="s">
        <v>652</v>
      </c>
      <c r="C1049" t="s">
        <v>34</v>
      </c>
      <c r="D1049">
        <v>45</v>
      </c>
      <c r="F1049" s="17">
        <f>IF(Log[[#This Row],[ID]]="","",IF(ISNA(MATCH(Log[[#This Row],[ID]],Items[ID],0)),"unknown ID",IF(ISNA(MATCH(Log[[#This Row],[Verb]],VerbList,0)),"unknown verb",IF(Log[[#This Row],[Date]]="","no date",""))))</f>
      </c>
      <c r="G1049" s="17">
        <f>IF(Log[[#This Row],[ID]]="","",IFERROR(VLOOKUP(Log[[#This Row],[Verb]],Verbs,3,FALSE)&amp;"",""))</f>
      </c>
      <c r="H1049" s="17">
        <f>IF(Log[[#This Row],[Date]]="","",INT((Log[[#This Row],[Date]]-Sprint1)/SprintDays)+1)</f>
      </c>
      <c r="I1049" s="17">
        <f>IF(OR(Log[[#This Row],[Verb]]="commit",Log[[#This Row],[Verb]]="carry",Log[[#This Row],[Verb]]="redo"),IF(Log[[#This Row],[Arg]]="",Log[[#This Row],[Sprint]],N(Log[[#This Row],[Arg]])),"")</f>
      </c>
      <c r="J1049" s="17">
        <f>IF(Log[[#This Row],[Verb]]="block",1,IF(OR(Log[[#This Row],[Verb]]="unblock",Log[[#This Row],[Verb]]="done",Log[[#This Row],[Verb]]="drop",Log[[#This Row],[Verb]]="punt",Log[[#This Row],[Verb]]="pass"),0,""))</f>
      </c>
      <c r="K1049" s="17">
        <f>IF(Log[[#This Row],[ID]]="",0,IFERROR(INDEX(Items[Pts],MATCH(Log[[#This Row],[ID]],Items[ID],0))*1,0))</f>
      </c>
      <c r="L1049" s="17">
        <f>IF(Log[[#This Row],[ID]]="","",IFERROR(INDEX(Items[Cur team],MATCH(Log[[#This Row],[ID]],Items[ID],0))&amp;"",""))</f>
      </c>
      <c r="M1049" s="17">
        <f>IF(OR(Log[[#This Row],[Verb]]="done",Log[[#This Row],[Verb]]="punt",Log[[#This Row],[Verb]]="drop",Log[[#This Row],[Verb]]="pass"),Log[[#This Row],[Pts]],0)</f>
      </c>
    </row>
    <row r="1050">
      <c r="A1050" s="11">
        <v>46175</v>
      </c>
      <c r="B1050" t="s">
        <v>653</v>
      </c>
      <c r="C1050" t="s">
        <v>34</v>
      </c>
      <c r="D1050">
        <v>45</v>
      </c>
      <c r="F1050" s="17">
        <f>IF(Log[[#This Row],[ID]]="","",IF(ISNA(MATCH(Log[[#This Row],[ID]],Items[ID],0)),"unknown ID",IF(ISNA(MATCH(Log[[#This Row],[Verb]],VerbList,0)),"unknown verb",IF(Log[[#This Row],[Date]]="","no date",""))))</f>
      </c>
      <c r="G1050" s="17">
        <f>IF(Log[[#This Row],[ID]]="","",IFERROR(VLOOKUP(Log[[#This Row],[Verb]],Verbs,3,FALSE)&amp;"",""))</f>
      </c>
      <c r="H1050" s="17">
        <f>IF(Log[[#This Row],[Date]]="","",INT((Log[[#This Row],[Date]]-Sprint1)/SprintDays)+1)</f>
      </c>
      <c r="I1050" s="17">
        <f>IF(OR(Log[[#This Row],[Verb]]="commit",Log[[#This Row],[Verb]]="carry",Log[[#This Row],[Verb]]="redo"),IF(Log[[#This Row],[Arg]]="",Log[[#This Row],[Sprint]],N(Log[[#This Row],[Arg]])),"")</f>
      </c>
      <c r="J1050" s="17">
        <f>IF(Log[[#This Row],[Verb]]="block",1,IF(OR(Log[[#This Row],[Verb]]="unblock",Log[[#This Row],[Verb]]="done",Log[[#This Row],[Verb]]="drop",Log[[#This Row],[Verb]]="punt",Log[[#This Row],[Verb]]="pass"),0,""))</f>
      </c>
      <c r="K1050" s="17">
        <f>IF(Log[[#This Row],[ID]]="",0,IFERROR(INDEX(Items[Pts],MATCH(Log[[#This Row],[ID]],Items[ID],0))*1,0))</f>
      </c>
      <c r="L1050" s="17">
        <f>IF(Log[[#This Row],[ID]]="","",IFERROR(INDEX(Items[Cur team],MATCH(Log[[#This Row],[ID]],Items[ID],0))&amp;"",""))</f>
      </c>
      <c r="M1050" s="17">
        <f>IF(OR(Log[[#This Row],[Verb]]="done",Log[[#This Row],[Verb]]="punt",Log[[#This Row],[Verb]]="drop",Log[[#This Row],[Verb]]="pass"),Log[[#This Row],[Pts]],0)</f>
      </c>
    </row>
    <row r="1051">
      <c r="A1051" s="11">
        <v>46175</v>
      </c>
      <c r="B1051" t="s">
        <v>654</v>
      </c>
      <c r="C1051" t="s">
        <v>34</v>
      </c>
      <c r="D1051">
        <v>45</v>
      </c>
      <c r="F1051" s="17">
        <f>IF(Log[[#This Row],[ID]]="","",IF(ISNA(MATCH(Log[[#This Row],[ID]],Items[ID],0)),"unknown ID",IF(ISNA(MATCH(Log[[#This Row],[Verb]],VerbList,0)),"unknown verb",IF(Log[[#This Row],[Date]]="","no date",""))))</f>
      </c>
      <c r="G1051" s="17">
        <f>IF(Log[[#This Row],[ID]]="","",IFERROR(VLOOKUP(Log[[#This Row],[Verb]],Verbs,3,FALSE)&amp;"",""))</f>
      </c>
      <c r="H1051" s="17">
        <f>IF(Log[[#This Row],[Date]]="","",INT((Log[[#This Row],[Date]]-Sprint1)/SprintDays)+1)</f>
      </c>
      <c r="I1051" s="17">
        <f>IF(OR(Log[[#This Row],[Verb]]="commit",Log[[#This Row],[Verb]]="carry",Log[[#This Row],[Verb]]="redo"),IF(Log[[#This Row],[Arg]]="",Log[[#This Row],[Sprint]],N(Log[[#This Row],[Arg]])),"")</f>
      </c>
      <c r="J1051" s="17">
        <f>IF(Log[[#This Row],[Verb]]="block",1,IF(OR(Log[[#This Row],[Verb]]="unblock",Log[[#This Row],[Verb]]="done",Log[[#This Row],[Verb]]="drop",Log[[#This Row],[Verb]]="punt",Log[[#This Row],[Verb]]="pass"),0,""))</f>
      </c>
      <c r="K1051" s="17">
        <f>IF(Log[[#This Row],[ID]]="",0,IFERROR(INDEX(Items[Pts],MATCH(Log[[#This Row],[ID]],Items[ID],0))*1,0))</f>
      </c>
      <c r="L1051" s="17">
        <f>IF(Log[[#This Row],[ID]]="","",IFERROR(INDEX(Items[Cur team],MATCH(Log[[#This Row],[ID]],Items[ID],0))&amp;"",""))</f>
      </c>
      <c r="M1051" s="17">
        <f>IF(OR(Log[[#This Row],[Verb]]="done",Log[[#This Row],[Verb]]="punt",Log[[#This Row],[Verb]]="drop",Log[[#This Row],[Verb]]="pass"),Log[[#This Row],[Pts]],0)</f>
      </c>
    </row>
    <row r="1052">
      <c r="A1052" s="11">
        <v>46188</v>
      </c>
      <c r="B1052" t="s">
        <v>545</v>
      </c>
      <c r="C1052" t="s">
        <v>41</v>
      </c>
      <c r="F1052" s="17">
        <f>IF(Log[[#This Row],[ID]]="","",IF(ISNA(MATCH(Log[[#This Row],[ID]],Items[ID],0)),"unknown ID",IF(ISNA(MATCH(Log[[#This Row],[Verb]],VerbList,0)),"unknown verb",IF(Log[[#This Row],[Date]]="","no date",""))))</f>
      </c>
      <c r="G1052" s="17">
        <f>IF(Log[[#This Row],[ID]]="","",IFERROR(VLOOKUP(Log[[#This Row],[Verb]],Verbs,3,FALSE)&amp;"",""))</f>
      </c>
      <c r="H1052" s="17">
        <f>IF(Log[[#This Row],[Date]]="","",INT((Log[[#This Row],[Date]]-Sprint1)/SprintDays)+1)</f>
      </c>
      <c r="I1052" s="17">
        <f>IF(OR(Log[[#This Row],[Verb]]="commit",Log[[#This Row],[Verb]]="carry",Log[[#This Row],[Verb]]="redo"),IF(Log[[#This Row],[Arg]]="",Log[[#This Row],[Sprint]],N(Log[[#This Row],[Arg]])),"")</f>
      </c>
      <c r="J1052" s="17">
        <f>IF(Log[[#This Row],[Verb]]="block",1,IF(OR(Log[[#This Row],[Verb]]="unblock",Log[[#This Row],[Verb]]="done",Log[[#This Row],[Verb]]="drop",Log[[#This Row],[Verb]]="punt",Log[[#This Row],[Verb]]="pass"),0,""))</f>
      </c>
      <c r="K1052" s="17">
        <f>IF(Log[[#This Row],[ID]]="",0,IFERROR(INDEX(Items[Pts],MATCH(Log[[#This Row],[ID]],Items[ID],0))*1,0))</f>
      </c>
      <c r="L1052" s="17">
        <f>IF(Log[[#This Row],[ID]]="","",IFERROR(INDEX(Items[Cur team],MATCH(Log[[#This Row],[ID]],Items[ID],0))&amp;"",""))</f>
      </c>
      <c r="M1052" s="17">
        <f>IF(OR(Log[[#This Row],[Verb]]="done",Log[[#This Row],[Verb]]="punt",Log[[#This Row],[Verb]]="drop",Log[[#This Row],[Verb]]="pass"),Log[[#This Row],[Pts]],0)</f>
      </c>
    </row>
    <row r="1053">
      <c r="A1053" s="11">
        <v>46188</v>
      </c>
      <c r="B1053" t="s">
        <v>546</v>
      </c>
      <c r="C1053" t="s">
        <v>41</v>
      </c>
      <c r="F1053" s="17">
        <f>IF(Log[[#This Row],[ID]]="","",IF(ISNA(MATCH(Log[[#This Row],[ID]],Items[ID],0)),"unknown ID",IF(ISNA(MATCH(Log[[#This Row],[Verb]],VerbList,0)),"unknown verb",IF(Log[[#This Row],[Date]]="","no date",""))))</f>
      </c>
      <c r="G1053" s="17">
        <f>IF(Log[[#This Row],[ID]]="","",IFERROR(VLOOKUP(Log[[#This Row],[Verb]],Verbs,3,FALSE)&amp;"",""))</f>
      </c>
      <c r="H1053" s="17">
        <f>IF(Log[[#This Row],[Date]]="","",INT((Log[[#This Row],[Date]]-Sprint1)/SprintDays)+1)</f>
      </c>
      <c r="I1053" s="17">
        <f>IF(OR(Log[[#This Row],[Verb]]="commit",Log[[#This Row],[Verb]]="carry",Log[[#This Row],[Verb]]="redo"),IF(Log[[#This Row],[Arg]]="",Log[[#This Row],[Sprint]],N(Log[[#This Row],[Arg]])),"")</f>
      </c>
      <c r="J1053" s="17">
        <f>IF(Log[[#This Row],[Verb]]="block",1,IF(OR(Log[[#This Row],[Verb]]="unblock",Log[[#This Row],[Verb]]="done",Log[[#This Row],[Verb]]="drop",Log[[#This Row],[Verb]]="punt",Log[[#This Row],[Verb]]="pass"),0,""))</f>
      </c>
      <c r="K1053" s="17">
        <f>IF(Log[[#This Row],[ID]]="",0,IFERROR(INDEX(Items[Pts],MATCH(Log[[#This Row],[ID]],Items[ID],0))*1,0))</f>
      </c>
      <c r="L1053" s="17">
        <f>IF(Log[[#This Row],[ID]]="","",IFERROR(INDEX(Items[Cur team],MATCH(Log[[#This Row],[ID]],Items[ID],0))&amp;"",""))</f>
      </c>
      <c r="M1053" s="17">
        <f>IF(OR(Log[[#This Row],[Verb]]="done",Log[[#This Row],[Verb]]="punt",Log[[#This Row],[Verb]]="drop",Log[[#This Row],[Verb]]="pass"),Log[[#This Row],[Pts]],0)</f>
      </c>
    </row>
    <row r="1054">
      <c r="A1054" s="11">
        <v>46188</v>
      </c>
      <c r="B1054" t="s">
        <v>593</v>
      </c>
      <c r="C1054" t="s">
        <v>38</v>
      </c>
      <c r="D1054">
        <v>46</v>
      </c>
      <c r="F1054" s="17">
        <f>IF(Log[[#This Row],[ID]]="","",IF(ISNA(MATCH(Log[[#This Row],[ID]],Items[ID],0)),"unknown ID",IF(ISNA(MATCH(Log[[#This Row],[Verb]],VerbList,0)),"unknown verb",IF(Log[[#This Row],[Date]]="","no date",""))))</f>
      </c>
      <c r="G1054" s="17">
        <f>IF(Log[[#This Row],[ID]]="","",IFERROR(VLOOKUP(Log[[#This Row],[Verb]],Verbs,3,FALSE)&amp;"",""))</f>
      </c>
      <c r="H1054" s="17">
        <f>IF(Log[[#This Row],[Date]]="","",INT((Log[[#This Row],[Date]]-Sprint1)/SprintDays)+1)</f>
      </c>
      <c r="I1054" s="17">
        <f>IF(OR(Log[[#This Row],[Verb]]="commit",Log[[#This Row],[Verb]]="carry",Log[[#This Row],[Verb]]="redo"),IF(Log[[#This Row],[Arg]]="",Log[[#This Row],[Sprint]],N(Log[[#This Row],[Arg]])),"")</f>
      </c>
      <c r="J1054" s="17">
        <f>IF(Log[[#This Row],[Verb]]="block",1,IF(OR(Log[[#This Row],[Verb]]="unblock",Log[[#This Row],[Verb]]="done",Log[[#This Row],[Verb]]="drop",Log[[#This Row],[Verb]]="punt",Log[[#This Row],[Verb]]="pass"),0,""))</f>
      </c>
      <c r="K1054" s="17">
        <f>IF(Log[[#This Row],[ID]]="",0,IFERROR(INDEX(Items[Pts],MATCH(Log[[#This Row],[ID]],Items[ID],0))*1,0))</f>
      </c>
      <c r="L1054" s="17">
        <f>IF(Log[[#This Row],[ID]]="","",IFERROR(INDEX(Items[Cur team],MATCH(Log[[#This Row],[ID]],Items[ID],0))&amp;"",""))</f>
      </c>
      <c r="M1054" s="17">
        <f>IF(OR(Log[[#This Row],[Verb]]="done",Log[[#This Row],[Verb]]="punt",Log[[#This Row],[Verb]]="drop",Log[[#This Row],[Verb]]="pass"),Log[[#This Row],[Pts]],0)</f>
      </c>
    </row>
    <row r="1055">
      <c r="A1055" s="11">
        <v>46188</v>
      </c>
      <c r="B1055" t="s">
        <v>594</v>
      </c>
      <c r="C1055" t="s">
        <v>41</v>
      </c>
      <c r="F1055" s="17">
        <f>IF(Log[[#This Row],[ID]]="","",IF(ISNA(MATCH(Log[[#This Row],[ID]],Items[ID],0)),"unknown ID",IF(ISNA(MATCH(Log[[#This Row],[Verb]],VerbList,0)),"unknown verb",IF(Log[[#This Row],[Date]]="","no date",""))))</f>
      </c>
      <c r="G1055" s="17">
        <f>IF(Log[[#This Row],[ID]]="","",IFERROR(VLOOKUP(Log[[#This Row],[Verb]],Verbs,3,FALSE)&amp;"",""))</f>
      </c>
      <c r="H1055" s="17">
        <f>IF(Log[[#This Row],[Date]]="","",INT((Log[[#This Row],[Date]]-Sprint1)/SprintDays)+1)</f>
      </c>
      <c r="I1055" s="17">
        <f>IF(OR(Log[[#This Row],[Verb]]="commit",Log[[#This Row],[Verb]]="carry",Log[[#This Row],[Verb]]="redo"),IF(Log[[#This Row],[Arg]]="",Log[[#This Row],[Sprint]],N(Log[[#This Row],[Arg]])),"")</f>
      </c>
      <c r="J1055" s="17">
        <f>IF(Log[[#This Row],[Verb]]="block",1,IF(OR(Log[[#This Row],[Verb]]="unblock",Log[[#This Row],[Verb]]="done",Log[[#This Row],[Verb]]="drop",Log[[#This Row],[Verb]]="punt",Log[[#This Row],[Verb]]="pass"),0,""))</f>
      </c>
      <c r="K1055" s="17">
        <f>IF(Log[[#This Row],[ID]]="",0,IFERROR(INDEX(Items[Pts],MATCH(Log[[#This Row],[ID]],Items[ID],0))*1,0))</f>
      </c>
      <c r="L1055" s="17">
        <f>IF(Log[[#This Row],[ID]]="","",IFERROR(INDEX(Items[Cur team],MATCH(Log[[#This Row],[ID]],Items[ID],0))&amp;"",""))</f>
      </c>
      <c r="M1055" s="17">
        <f>IF(OR(Log[[#This Row],[Verb]]="done",Log[[#This Row],[Verb]]="punt",Log[[#This Row],[Verb]]="drop",Log[[#This Row],[Verb]]="pass"),Log[[#This Row],[Pts]],0)</f>
      </c>
    </row>
    <row r="1056">
      <c r="A1056" s="11">
        <v>46188</v>
      </c>
      <c r="B1056" t="s">
        <v>595</v>
      </c>
      <c r="C1056" t="s">
        <v>41</v>
      </c>
      <c r="F1056" s="17">
        <f>IF(Log[[#This Row],[ID]]="","",IF(ISNA(MATCH(Log[[#This Row],[ID]],Items[ID],0)),"unknown ID",IF(ISNA(MATCH(Log[[#This Row],[Verb]],VerbList,0)),"unknown verb",IF(Log[[#This Row],[Date]]="","no date",""))))</f>
      </c>
      <c r="G1056" s="17">
        <f>IF(Log[[#This Row],[ID]]="","",IFERROR(VLOOKUP(Log[[#This Row],[Verb]],Verbs,3,FALSE)&amp;"",""))</f>
      </c>
      <c r="H1056" s="17">
        <f>IF(Log[[#This Row],[Date]]="","",INT((Log[[#This Row],[Date]]-Sprint1)/SprintDays)+1)</f>
      </c>
      <c r="I1056" s="17">
        <f>IF(OR(Log[[#This Row],[Verb]]="commit",Log[[#This Row],[Verb]]="carry",Log[[#This Row],[Verb]]="redo"),IF(Log[[#This Row],[Arg]]="",Log[[#This Row],[Sprint]],N(Log[[#This Row],[Arg]])),"")</f>
      </c>
      <c r="J1056" s="17">
        <f>IF(Log[[#This Row],[Verb]]="block",1,IF(OR(Log[[#This Row],[Verb]]="unblock",Log[[#This Row],[Verb]]="done",Log[[#This Row],[Verb]]="drop",Log[[#This Row],[Verb]]="punt",Log[[#This Row],[Verb]]="pass"),0,""))</f>
      </c>
      <c r="K1056" s="17">
        <f>IF(Log[[#This Row],[ID]]="",0,IFERROR(INDEX(Items[Pts],MATCH(Log[[#This Row],[ID]],Items[ID],0))*1,0))</f>
      </c>
      <c r="L1056" s="17">
        <f>IF(Log[[#This Row],[ID]]="","",IFERROR(INDEX(Items[Cur team],MATCH(Log[[#This Row],[ID]],Items[ID],0))&amp;"",""))</f>
      </c>
      <c r="M1056" s="17">
        <f>IF(OR(Log[[#This Row],[Verb]]="done",Log[[#This Row],[Verb]]="punt",Log[[#This Row],[Verb]]="drop",Log[[#This Row],[Verb]]="pass"),Log[[#This Row],[Pts]],0)</f>
      </c>
    </row>
    <row r="1057">
      <c r="A1057" s="11">
        <v>46188</v>
      </c>
      <c r="B1057" t="s">
        <v>596</v>
      </c>
      <c r="C1057" t="s">
        <v>41</v>
      </c>
      <c r="F1057" s="17">
        <f>IF(Log[[#This Row],[ID]]="","",IF(ISNA(MATCH(Log[[#This Row],[ID]],Items[ID],0)),"unknown ID",IF(ISNA(MATCH(Log[[#This Row],[Verb]],VerbList,0)),"unknown verb",IF(Log[[#This Row],[Date]]="","no date",""))))</f>
      </c>
      <c r="G1057" s="17">
        <f>IF(Log[[#This Row],[ID]]="","",IFERROR(VLOOKUP(Log[[#This Row],[Verb]],Verbs,3,FALSE)&amp;"",""))</f>
      </c>
      <c r="H1057" s="17">
        <f>IF(Log[[#This Row],[Date]]="","",INT((Log[[#This Row],[Date]]-Sprint1)/SprintDays)+1)</f>
      </c>
      <c r="I1057" s="17">
        <f>IF(OR(Log[[#This Row],[Verb]]="commit",Log[[#This Row],[Verb]]="carry",Log[[#This Row],[Verb]]="redo"),IF(Log[[#This Row],[Arg]]="",Log[[#This Row],[Sprint]],N(Log[[#This Row],[Arg]])),"")</f>
      </c>
      <c r="J1057" s="17">
        <f>IF(Log[[#This Row],[Verb]]="block",1,IF(OR(Log[[#This Row],[Verb]]="unblock",Log[[#This Row],[Verb]]="done",Log[[#This Row],[Verb]]="drop",Log[[#This Row],[Verb]]="punt",Log[[#This Row],[Verb]]="pass"),0,""))</f>
      </c>
      <c r="K1057" s="17">
        <f>IF(Log[[#This Row],[ID]]="",0,IFERROR(INDEX(Items[Pts],MATCH(Log[[#This Row],[ID]],Items[ID],0))*1,0))</f>
      </c>
      <c r="L1057" s="17">
        <f>IF(Log[[#This Row],[ID]]="","",IFERROR(INDEX(Items[Cur team],MATCH(Log[[#This Row],[ID]],Items[ID],0))&amp;"",""))</f>
      </c>
      <c r="M1057" s="17">
        <f>IF(OR(Log[[#This Row],[Verb]]="done",Log[[#This Row],[Verb]]="punt",Log[[#This Row],[Verb]]="drop",Log[[#This Row],[Verb]]="pass"),Log[[#This Row],[Pts]],0)</f>
      </c>
    </row>
    <row r="1058">
      <c r="A1058" s="11">
        <v>46188</v>
      </c>
      <c r="B1058" t="s">
        <v>597</v>
      </c>
      <c r="C1058" t="s">
        <v>38</v>
      </c>
      <c r="D1058">
        <v>46</v>
      </c>
      <c r="F1058" s="17">
        <f>IF(Log[[#This Row],[ID]]="","",IF(ISNA(MATCH(Log[[#This Row],[ID]],Items[ID],0)),"unknown ID",IF(ISNA(MATCH(Log[[#This Row],[Verb]],VerbList,0)),"unknown verb",IF(Log[[#This Row],[Date]]="","no date",""))))</f>
      </c>
      <c r="G1058" s="17">
        <f>IF(Log[[#This Row],[ID]]="","",IFERROR(VLOOKUP(Log[[#This Row],[Verb]],Verbs,3,FALSE)&amp;"",""))</f>
      </c>
      <c r="H1058" s="17">
        <f>IF(Log[[#This Row],[Date]]="","",INT((Log[[#This Row],[Date]]-Sprint1)/SprintDays)+1)</f>
      </c>
      <c r="I1058" s="17">
        <f>IF(OR(Log[[#This Row],[Verb]]="commit",Log[[#This Row],[Verb]]="carry",Log[[#This Row],[Verb]]="redo"),IF(Log[[#This Row],[Arg]]="",Log[[#This Row],[Sprint]],N(Log[[#This Row],[Arg]])),"")</f>
      </c>
      <c r="J1058" s="17">
        <f>IF(Log[[#This Row],[Verb]]="block",1,IF(OR(Log[[#This Row],[Verb]]="unblock",Log[[#This Row],[Verb]]="done",Log[[#This Row],[Verb]]="drop",Log[[#This Row],[Verb]]="punt",Log[[#This Row],[Verb]]="pass"),0,""))</f>
      </c>
      <c r="K1058" s="17">
        <f>IF(Log[[#This Row],[ID]]="",0,IFERROR(INDEX(Items[Pts],MATCH(Log[[#This Row],[ID]],Items[ID],0))*1,0))</f>
      </c>
      <c r="L1058" s="17">
        <f>IF(Log[[#This Row],[ID]]="","",IFERROR(INDEX(Items[Cur team],MATCH(Log[[#This Row],[ID]],Items[ID],0))&amp;"",""))</f>
      </c>
      <c r="M1058" s="17">
        <f>IF(OR(Log[[#This Row],[Verb]]="done",Log[[#This Row],[Verb]]="punt",Log[[#This Row],[Verb]]="drop",Log[[#This Row],[Verb]]="pass"),Log[[#This Row],[Pts]],0)</f>
      </c>
    </row>
    <row r="1059">
      <c r="A1059" s="11">
        <v>46188</v>
      </c>
      <c r="B1059" t="s">
        <v>598</v>
      </c>
      <c r="C1059" t="s">
        <v>41</v>
      </c>
      <c r="F1059" s="17">
        <f>IF(Log[[#This Row],[ID]]="","",IF(ISNA(MATCH(Log[[#This Row],[ID]],Items[ID],0)),"unknown ID",IF(ISNA(MATCH(Log[[#This Row],[Verb]],VerbList,0)),"unknown verb",IF(Log[[#This Row],[Date]]="","no date",""))))</f>
      </c>
      <c r="G1059" s="17">
        <f>IF(Log[[#This Row],[ID]]="","",IFERROR(VLOOKUP(Log[[#This Row],[Verb]],Verbs,3,FALSE)&amp;"",""))</f>
      </c>
      <c r="H1059" s="17">
        <f>IF(Log[[#This Row],[Date]]="","",INT((Log[[#This Row],[Date]]-Sprint1)/SprintDays)+1)</f>
      </c>
      <c r="I1059" s="17">
        <f>IF(OR(Log[[#This Row],[Verb]]="commit",Log[[#This Row],[Verb]]="carry",Log[[#This Row],[Verb]]="redo"),IF(Log[[#This Row],[Arg]]="",Log[[#This Row],[Sprint]],N(Log[[#This Row],[Arg]])),"")</f>
      </c>
      <c r="J1059" s="17">
        <f>IF(Log[[#This Row],[Verb]]="block",1,IF(OR(Log[[#This Row],[Verb]]="unblock",Log[[#This Row],[Verb]]="done",Log[[#This Row],[Verb]]="drop",Log[[#This Row],[Verb]]="punt",Log[[#This Row],[Verb]]="pass"),0,""))</f>
      </c>
      <c r="K1059" s="17">
        <f>IF(Log[[#This Row],[ID]]="",0,IFERROR(INDEX(Items[Pts],MATCH(Log[[#This Row],[ID]],Items[ID],0))*1,0))</f>
      </c>
      <c r="L1059" s="17">
        <f>IF(Log[[#This Row],[ID]]="","",IFERROR(INDEX(Items[Cur team],MATCH(Log[[#This Row],[ID]],Items[ID],0))&amp;"",""))</f>
      </c>
      <c r="M1059" s="17">
        <f>IF(OR(Log[[#This Row],[Verb]]="done",Log[[#This Row],[Verb]]="punt",Log[[#This Row],[Verb]]="drop",Log[[#This Row],[Verb]]="pass"),Log[[#This Row],[Pts]],0)</f>
      </c>
    </row>
    <row r="1060">
      <c r="A1060" s="11">
        <v>46188</v>
      </c>
      <c r="B1060" t="s">
        <v>599</v>
      </c>
      <c r="C1060" t="s">
        <v>41</v>
      </c>
      <c r="F1060" s="17">
        <f>IF(Log[[#This Row],[ID]]="","",IF(ISNA(MATCH(Log[[#This Row],[ID]],Items[ID],0)),"unknown ID",IF(ISNA(MATCH(Log[[#This Row],[Verb]],VerbList,0)),"unknown verb",IF(Log[[#This Row],[Date]]="","no date",""))))</f>
      </c>
      <c r="G1060" s="17">
        <f>IF(Log[[#This Row],[ID]]="","",IFERROR(VLOOKUP(Log[[#This Row],[Verb]],Verbs,3,FALSE)&amp;"",""))</f>
      </c>
      <c r="H1060" s="17">
        <f>IF(Log[[#This Row],[Date]]="","",INT((Log[[#This Row],[Date]]-Sprint1)/SprintDays)+1)</f>
      </c>
      <c r="I1060" s="17">
        <f>IF(OR(Log[[#This Row],[Verb]]="commit",Log[[#This Row],[Verb]]="carry",Log[[#This Row],[Verb]]="redo"),IF(Log[[#This Row],[Arg]]="",Log[[#This Row],[Sprint]],N(Log[[#This Row],[Arg]])),"")</f>
      </c>
      <c r="J1060" s="17">
        <f>IF(Log[[#This Row],[Verb]]="block",1,IF(OR(Log[[#This Row],[Verb]]="unblock",Log[[#This Row],[Verb]]="done",Log[[#This Row],[Verb]]="drop",Log[[#This Row],[Verb]]="punt",Log[[#This Row],[Verb]]="pass"),0,""))</f>
      </c>
      <c r="K1060" s="17">
        <f>IF(Log[[#This Row],[ID]]="",0,IFERROR(INDEX(Items[Pts],MATCH(Log[[#This Row],[ID]],Items[ID],0))*1,0))</f>
      </c>
      <c r="L1060" s="17">
        <f>IF(Log[[#This Row],[ID]]="","",IFERROR(INDEX(Items[Cur team],MATCH(Log[[#This Row],[ID]],Items[ID],0))&amp;"",""))</f>
      </c>
      <c r="M1060" s="17">
        <f>IF(OR(Log[[#This Row],[Verb]]="done",Log[[#This Row],[Verb]]="punt",Log[[#This Row],[Verb]]="drop",Log[[#This Row],[Verb]]="pass"),Log[[#This Row],[Pts]],0)</f>
      </c>
    </row>
    <row r="1061">
      <c r="A1061" s="11">
        <v>46188</v>
      </c>
      <c r="B1061" t="s">
        <v>600</v>
      </c>
      <c r="C1061" t="s">
        <v>38</v>
      </c>
      <c r="D1061">
        <v>46</v>
      </c>
      <c r="F1061" s="17">
        <f>IF(Log[[#This Row],[ID]]="","",IF(ISNA(MATCH(Log[[#This Row],[ID]],Items[ID],0)),"unknown ID",IF(ISNA(MATCH(Log[[#This Row],[Verb]],VerbList,0)),"unknown verb",IF(Log[[#This Row],[Date]]="","no date",""))))</f>
      </c>
      <c r="G1061" s="17">
        <f>IF(Log[[#This Row],[ID]]="","",IFERROR(VLOOKUP(Log[[#This Row],[Verb]],Verbs,3,FALSE)&amp;"",""))</f>
      </c>
      <c r="H1061" s="17">
        <f>IF(Log[[#This Row],[Date]]="","",INT((Log[[#This Row],[Date]]-Sprint1)/SprintDays)+1)</f>
      </c>
      <c r="I1061" s="17">
        <f>IF(OR(Log[[#This Row],[Verb]]="commit",Log[[#This Row],[Verb]]="carry",Log[[#This Row],[Verb]]="redo"),IF(Log[[#This Row],[Arg]]="",Log[[#This Row],[Sprint]],N(Log[[#This Row],[Arg]])),"")</f>
      </c>
      <c r="J1061" s="17">
        <f>IF(Log[[#This Row],[Verb]]="block",1,IF(OR(Log[[#This Row],[Verb]]="unblock",Log[[#This Row],[Verb]]="done",Log[[#This Row],[Verb]]="drop",Log[[#This Row],[Verb]]="punt",Log[[#This Row],[Verb]]="pass"),0,""))</f>
      </c>
      <c r="K1061" s="17">
        <f>IF(Log[[#This Row],[ID]]="",0,IFERROR(INDEX(Items[Pts],MATCH(Log[[#This Row],[ID]],Items[ID],0))*1,0))</f>
      </c>
      <c r="L1061" s="17">
        <f>IF(Log[[#This Row],[ID]]="","",IFERROR(INDEX(Items[Cur team],MATCH(Log[[#This Row],[ID]],Items[ID],0))&amp;"",""))</f>
      </c>
      <c r="M1061" s="17">
        <f>IF(OR(Log[[#This Row],[Verb]]="done",Log[[#This Row],[Verb]]="punt",Log[[#This Row],[Verb]]="drop",Log[[#This Row],[Verb]]="pass"),Log[[#This Row],[Pts]],0)</f>
      </c>
    </row>
    <row r="1062">
      <c r="A1062" s="11">
        <v>46188</v>
      </c>
      <c r="B1062" t="s">
        <v>601</v>
      </c>
      <c r="C1062" t="s">
        <v>41</v>
      </c>
      <c r="F1062" s="17">
        <f>IF(Log[[#This Row],[ID]]="","",IF(ISNA(MATCH(Log[[#This Row],[ID]],Items[ID],0)),"unknown ID",IF(ISNA(MATCH(Log[[#This Row],[Verb]],VerbList,0)),"unknown verb",IF(Log[[#This Row],[Date]]="","no date",""))))</f>
      </c>
      <c r="G1062" s="17">
        <f>IF(Log[[#This Row],[ID]]="","",IFERROR(VLOOKUP(Log[[#This Row],[Verb]],Verbs,3,FALSE)&amp;"",""))</f>
      </c>
      <c r="H1062" s="17">
        <f>IF(Log[[#This Row],[Date]]="","",INT((Log[[#This Row],[Date]]-Sprint1)/SprintDays)+1)</f>
      </c>
      <c r="I1062" s="17">
        <f>IF(OR(Log[[#This Row],[Verb]]="commit",Log[[#This Row],[Verb]]="carry",Log[[#This Row],[Verb]]="redo"),IF(Log[[#This Row],[Arg]]="",Log[[#This Row],[Sprint]],N(Log[[#This Row],[Arg]])),"")</f>
      </c>
      <c r="J1062" s="17">
        <f>IF(Log[[#This Row],[Verb]]="block",1,IF(OR(Log[[#This Row],[Verb]]="unblock",Log[[#This Row],[Verb]]="done",Log[[#This Row],[Verb]]="drop",Log[[#This Row],[Verb]]="punt",Log[[#This Row],[Verb]]="pass"),0,""))</f>
      </c>
      <c r="K1062" s="17">
        <f>IF(Log[[#This Row],[ID]]="",0,IFERROR(INDEX(Items[Pts],MATCH(Log[[#This Row],[ID]],Items[ID],0))*1,0))</f>
      </c>
      <c r="L1062" s="17">
        <f>IF(Log[[#This Row],[ID]]="","",IFERROR(INDEX(Items[Cur team],MATCH(Log[[#This Row],[ID]],Items[ID],0))&amp;"",""))</f>
      </c>
      <c r="M1062" s="17">
        <f>IF(OR(Log[[#This Row],[Verb]]="done",Log[[#This Row],[Verb]]="punt",Log[[#This Row],[Verb]]="drop",Log[[#This Row],[Verb]]="pass"),Log[[#This Row],[Pts]],0)</f>
      </c>
    </row>
    <row r="1063">
      <c r="A1063" s="11">
        <v>46188</v>
      </c>
      <c r="B1063" t="s">
        <v>602</v>
      </c>
      <c r="C1063" t="s">
        <v>41</v>
      </c>
      <c r="F1063" s="17">
        <f>IF(Log[[#This Row],[ID]]="","",IF(ISNA(MATCH(Log[[#This Row],[ID]],Items[ID],0)),"unknown ID",IF(ISNA(MATCH(Log[[#This Row],[Verb]],VerbList,0)),"unknown verb",IF(Log[[#This Row],[Date]]="","no date",""))))</f>
      </c>
      <c r="G1063" s="17">
        <f>IF(Log[[#This Row],[ID]]="","",IFERROR(VLOOKUP(Log[[#This Row],[Verb]],Verbs,3,FALSE)&amp;"",""))</f>
      </c>
      <c r="H1063" s="17">
        <f>IF(Log[[#This Row],[Date]]="","",INT((Log[[#This Row],[Date]]-Sprint1)/SprintDays)+1)</f>
      </c>
      <c r="I1063" s="17">
        <f>IF(OR(Log[[#This Row],[Verb]]="commit",Log[[#This Row],[Verb]]="carry",Log[[#This Row],[Verb]]="redo"),IF(Log[[#This Row],[Arg]]="",Log[[#This Row],[Sprint]],N(Log[[#This Row],[Arg]])),"")</f>
      </c>
      <c r="J1063" s="17">
        <f>IF(Log[[#This Row],[Verb]]="block",1,IF(OR(Log[[#This Row],[Verb]]="unblock",Log[[#This Row],[Verb]]="done",Log[[#This Row],[Verb]]="drop",Log[[#This Row],[Verb]]="punt",Log[[#This Row],[Verb]]="pass"),0,""))</f>
      </c>
      <c r="K1063" s="17">
        <f>IF(Log[[#This Row],[ID]]="",0,IFERROR(INDEX(Items[Pts],MATCH(Log[[#This Row],[ID]],Items[ID],0))*1,0))</f>
      </c>
      <c r="L1063" s="17">
        <f>IF(Log[[#This Row],[ID]]="","",IFERROR(INDEX(Items[Cur team],MATCH(Log[[#This Row],[ID]],Items[ID],0))&amp;"",""))</f>
      </c>
      <c r="M1063" s="17">
        <f>IF(OR(Log[[#This Row],[Verb]]="done",Log[[#This Row],[Verb]]="punt",Log[[#This Row],[Verb]]="drop",Log[[#This Row],[Verb]]="pass"),Log[[#This Row],[Pts]],0)</f>
      </c>
    </row>
    <row r="1064">
      <c r="A1064" s="11">
        <v>46188</v>
      </c>
      <c r="B1064" t="s">
        <v>603</v>
      </c>
      <c r="C1064" t="s">
        <v>41</v>
      </c>
      <c r="F1064" s="17">
        <f>IF(Log[[#This Row],[ID]]="","",IF(ISNA(MATCH(Log[[#This Row],[ID]],Items[ID],0)),"unknown ID",IF(ISNA(MATCH(Log[[#This Row],[Verb]],VerbList,0)),"unknown verb",IF(Log[[#This Row],[Date]]="","no date",""))))</f>
      </c>
      <c r="G1064" s="17">
        <f>IF(Log[[#This Row],[ID]]="","",IFERROR(VLOOKUP(Log[[#This Row],[Verb]],Verbs,3,FALSE)&amp;"",""))</f>
      </c>
      <c r="H1064" s="17">
        <f>IF(Log[[#This Row],[Date]]="","",INT((Log[[#This Row],[Date]]-Sprint1)/SprintDays)+1)</f>
      </c>
      <c r="I1064" s="17">
        <f>IF(OR(Log[[#This Row],[Verb]]="commit",Log[[#This Row],[Verb]]="carry",Log[[#This Row],[Verb]]="redo"),IF(Log[[#This Row],[Arg]]="",Log[[#This Row],[Sprint]],N(Log[[#This Row],[Arg]])),"")</f>
      </c>
      <c r="J1064" s="17">
        <f>IF(Log[[#This Row],[Verb]]="block",1,IF(OR(Log[[#This Row],[Verb]]="unblock",Log[[#This Row],[Verb]]="done",Log[[#This Row],[Verb]]="drop",Log[[#This Row],[Verb]]="punt",Log[[#This Row],[Verb]]="pass"),0,""))</f>
      </c>
      <c r="K1064" s="17">
        <f>IF(Log[[#This Row],[ID]]="",0,IFERROR(INDEX(Items[Pts],MATCH(Log[[#This Row],[ID]],Items[ID],0))*1,0))</f>
      </c>
      <c r="L1064" s="17">
        <f>IF(Log[[#This Row],[ID]]="","",IFERROR(INDEX(Items[Cur team],MATCH(Log[[#This Row],[ID]],Items[ID],0))&amp;"",""))</f>
      </c>
      <c r="M1064" s="17">
        <f>IF(OR(Log[[#This Row],[Verb]]="done",Log[[#This Row],[Verb]]="punt",Log[[#This Row],[Verb]]="drop",Log[[#This Row],[Verb]]="pass"),Log[[#This Row],[Pts]],0)</f>
      </c>
    </row>
    <row r="1065">
      <c r="A1065" s="11">
        <v>46188</v>
      </c>
      <c r="B1065" t="s">
        <v>604</v>
      </c>
      <c r="C1065" t="s">
        <v>38</v>
      </c>
      <c r="D1065">
        <v>46</v>
      </c>
      <c r="F1065" s="17">
        <f>IF(Log[[#This Row],[ID]]="","",IF(ISNA(MATCH(Log[[#This Row],[ID]],Items[ID],0)),"unknown ID",IF(ISNA(MATCH(Log[[#This Row],[Verb]],VerbList,0)),"unknown verb",IF(Log[[#This Row],[Date]]="","no date",""))))</f>
      </c>
      <c r="G1065" s="17">
        <f>IF(Log[[#This Row],[ID]]="","",IFERROR(VLOOKUP(Log[[#This Row],[Verb]],Verbs,3,FALSE)&amp;"",""))</f>
      </c>
      <c r="H1065" s="17">
        <f>IF(Log[[#This Row],[Date]]="","",INT((Log[[#This Row],[Date]]-Sprint1)/SprintDays)+1)</f>
      </c>
      <c r="I1065" s="17">
        <f>IF(OR(Log[[#This Row],[Verb]]="commit",Log[[#This Row],[Verb]]="carry",Log[[#This Row],[Verb]]="redo"),IF(Log[[#This Row],[Arg]]="",Log[[#This Row],[Sprint]],N(Log[[#This Row],[Arg]])),"")</f>
      </c>
      <c r="J1065" s="17">
        <f>IF(Log[[#This Row],[Verb]]="block",1,IF(OR(Log[[#This Row],[Verb]]="unblock",Log[[#This Row],[Verb]]="done",Log[[#This Row],[Verb]]="drop",Log[[#This Row],[Verb]]="punt",Log[[#This Row],[Verb]]="pass"),0,""))</f>
      </c>
      <c r="K1065" s="17">
        <f>IF(Log[[#This Row],[ID]]="",0,IFERROR(INDEX(Items[Pts],MATCH(Log[[#This Row],[ID]],Items[ID],0))*1,0))</f>
      </c>
      <c r="L1065" s="17">
        <f>IF(Log[[#This Row],[ID]]="","",IFERROR(INDEX(Items[Cur team],MATCH(Log[[#This Row],[ID]],Items[ID],0))&amp;"",""))</f>
      </c>
      <c r="M1065" s="17">
        <f>IF(OR(Log[[#This Row],[Verb]]="done",Log[[#This Row],[Verb]]="punt",Log[[#This Row],[Verb]]="drop",Log[[#This Row],[Verb]]="pass"),Log[[#This Row],[Pts]],0)</f>
      </c>
    </row>
    <row r="1066">
      <c r="A1066" s="11">
        <v>46188</v>
      </c>
      <c r="B1066" t="s">
        <v>605</v>
      </c>
      <c r="C1066" t="s">
        <v>41</v>
      </c>
      <c r="F1066" s="17">
        <f>IF(Log[[#This Row],[ID]]="","",IF(ISNA(MATCH(Log[[#This Row],[ID]],Items[ID],0)),"unknown ID",IF(ISNA(MATCH(Log[[#This Row],[Verb]],VerbList,0)),"unknown verb",IF(Log[[#This Row],[Date]]="","no date",""))))</f>
      </c>
      <c r="G1066" s="17">
        <f>IF(Log[[#This Row],[ID]]="","",IFERROR(VLOOKUP(Log[[#This Row],[Verb]],Verbs,3,FALSE)&amp;"",""))</f>
      </c>
      <c r="H1066" s="17">
        <f>IF(Log[[#This Row],[Date]]="","",INT((Log[[#This Row],[Date]]-Sprint1)/SprintDays)+1)</f>
      </c>
      <c r="I1066" s="17">
        <f>IF(OR(Log[[#This Row],[Verb]]="commit",Log[[#This Row],[Verb]]="carry",Log[[#This Row],[Verb]]="redo"),IF(Log[[#This Row],[Arg]]="",Log[[#This Row],[Sprint]],N(Log[[#This Row],[Arg]])),"")</f>
      </c>
      <c r="J1066" s="17">
        <f>IF(Log[[#This Row],[Verb]]="block",1,IF(OR(Log[[#This Row],[Verb]]="unblock",Log[[#This Row],[Verb]]="done",Log[[#This Row],[Verb]]="drop",Log[[#This Row],[Verb]]="punt",Log[[#This Row],[Verb]]="pass"),0,""))</f>
      </c>
      <c r="K1066" s="17">
        <f>IF(Log[[#This Row],[ID]]="",0,IFERROR(INDEX(Items[Pts],MATCH(Log[[#This Row],[ID]],Items[ID],0))*1,0))</f>
      </c>
      <c r="L1066" s="17">
        <f>IF(Log[[#This Row],[ID]]="","",IFERROR(INDEX(Items[Cur team],MATCH(Log[[#This Row],[ID]],Items[ID],0))&amp;"",""))</f>
      </c>
      <c r="M1066" s="17">
        <f>IF(OR(Log[[#This Row],[Verb]]="done",Log[[#This Row],[Verb]]="punt",Log[[#This Row],[Verb]]="drop",Log[[#This Row],[Verb]]="pass"),Log[[#This Row],[Pts]],0)</f>
      </c>
    </row>
    <row r="1067">
      <c r="A1067" s="11">
        <v>46188</v>
      </c>
      <c r="B1067" t="s">
        <v>606</v>
      </c>
      <c r="C1067" t="s">
        <v>41</v>
      </c>
      <c r="F1067" s="17">
        <f>IF(Log[[#This Row],[ID]]="","",IF(ISNA(MATCH(Log[[#This Row],[ID]],Items[ID],0)),"unknown ID",IF(ISNA(MATCH(Log[[#This Row],[Verb]],VerbList,0)),"unknown verb",IF(Log[[#This Row],[Date]]="","no date",""))))</f>
      </c>
      <c r="G1067" s="17">
        <f>IF(Log[[#This Row],[ID]]="","",IFERROR(VLOOKUP(Log[[#This Row],[Verb]],Verbs,3,FALSE)&amp;"",""))</f>
      </c>
      <c r="H1067" s="17">
        <f>IF(Log[[#This Row],[Date]]="","",INT((Log[[#This Row],[Date]]-Sprint1)/SprintDays)+1)</f>
      </c>
      <c r="I1067" s="17">
        <f>IF(OR(Log[[#This Row],[Verb]]="commit",Log[[#This Row],[Verb]]="carry",Log[[#This Row],[Verb]]="redo"),IF(Log[[#This Row],[Arg]]="",Log[[#This Row],[Sprint]],N(Log[[#This Row],[Arg]])),"")</f>
      </c>
      <c r="J1067" s="17">
        <f>IF(Log[[#This Row],[Verb]]="block",1,IF(OR(Log[[#This Row],[Verb]]="unblock",Log[[#This Row],[Verb]]="done",Log[[#This Row],[Verb]]="drop",Log[[#This Row],[Verb]]="punt",Log[[#This Row],[Verb]]="pass"),0,""))</f>
      </c>
      <c r="K1067" s="17">
        <f>IF(Log[[#This Row],[ID]]="",0,IFERROR(INDEX(Items[Pts],MATCH(Log[[#This Row],[ID]],Items[ID],0))*1,0))</f>
      </c>
      <c r="L1067" s="17">
        <f>IF(Log[[#This Row],[ID]]="","",IFERROR(INDEX(Items[Cur team],MATCH(Log[[#This Row],[ID]],Items[ID],0))&amp;"",""))</f>
      </c>
      <c r="M1067" s="17">
        <f>IF(OR(Log[[#This Row],[Verb]]="done",Log[[#This Row],[Verb]]="punt",Log[[#This Row],[Verb]]="drop",Log[[#This Row],[Verb]]="pass"),Log[[#This Row],[Pts]],0)</f>
      </c>
    </row>
    <row r="1068">
      <c r="A1068" s="11">
        <v>46188</v>
      </c>
      <c r="B1068" t="s">
        <v>607</v>
      </c>
      <c r="C1068" t="s">
        <v>41</v>
      </c>
      <c r="F1068" s="17">
        <f>IF(Log[[#This Row],[ID]]="","",IF(ISNA(MATCH(Log[[#This Row],[ID]],Items[ID],0)),"unknown ID",IF(ISNA(MATCH(Log[[#This Row],[Verb]],VerbList,0)),"unknown verb",IF(Log[[#This Row],[Date]]="","no date",""))))</f>
      </c>
      <c r="G1068" s="17">
        <f>IF(Log[[#This Row],[ID]]="","",IFERROR(VLOOKUP(Log[[#This Row],[Verb]],Verbs,3,FALSE)&amp;"",""))</f>
      </c>
      <c r="H1068" s="17">
        <f>IF(Log[[#This Row],[Date]]="","",INT((Log[[#This Row],[Date]]-Sprint1)/SprintDays)+1)</f>
      </c>
      <c r="I1068" s="17">
        <f>IF(OR(Log[[#This Row],[Verb]]="commit",Log[[#This Row],[Verb]]="carry",Log[[#This Row],[Verb]]="redo"),IF(Log[[#This Row],[Arg]]="",Log[[#This Row],[Sprint]],N(Log[[#This Row],[Arg]])),"")</f>
      </c>
      <c r="J1068" s="17">
        <f>IF(Log[[#This Row],[Verb]]="block",1,IF(OR(Log[[#This Row],[Verb]]="unblock",Log[[#This Row],[Verb]]="done",Log[[#This Row],[Verb]]="drop",Log[[#This Row],[Verb]]="punt",Log[[#This Row],[Verb]]="pass"),0,""))</f>
      </c>
      <c r="K1068" s="17">
        <f>IF(Log[[#This Row],[ID]]="",0,IFERROR(INDEX(Items[Pts],MATCH(Log[[#This Row],[ID]],Items[ID],0))*1,0))</f>
      </c>
      <c r="L1068" s="17">
        <f>IF(Log[[#This Row],[ID]]="","",IFERROR(INDEX(Items[Cur team],MATCH(Log[[#This Row],[ID]],Items[ID],0))&amp;"",""))</f>
      </c>
      <c r="M1068" s="17">
        <f>IF(OR(Log[[#This Row],[Verb]]="done",Log[[#This Row],[Verb]]="punt",Log[[#This Row],[Verb]]="drop",Log[[#This Row],[Verb]]="pass"),Log[[#This Row],[Pts]],0)</f>
      </c>
    </row>
    <row r="1069">
      <c r="A1069" s="11">
        <v>46188</v>
      </c>
      <c r="B1069" t="s">
        <v>608</v>
      </c>
      <c r="C1069" t="s">
        <v>41</v>
      </c>
      <c r="F1069" s="17">
        <f>IF(Log[[#This Row],[ID]]="","",IF(ISNA(MATCH(Log[[#This Row],[ID]],Items[ID],0)),"unknown ID",IF(ISNA(MATCH(Log[[#This Row],[Verb]],VerbList,0)),"unknown verb",IF(Log[[#This Row],[Date]]="","no date",""))))</f>
      </c>
      <c r="G1069" s="17">
        <f>IF(Log[[#This Row],[ID]]="","",IFERROR(VLOOKUP(Log[[#This Row],[Verb]],Verbs,3,FALSE)&amp;"",""))</f>
      </c>
      <c r="H1069" s="17">
        <f>IF(Log[[#This Row],[Date]]="","",INT((Log[[#This Row],[Date]]-Sprint1)/SprintDays)+1)</f>
      </c>
      <c r="I1069" s="17">
        <f>IF(OR(Log[[#This Row],[Verb]]="commit",Log[[#This Row],[Verb]]="carry",Log[[#This Row],[Verb]]="redo"),IF(Log[[#This Row],[Arg]]="",Log[[#This Row],[Sprint]],N(Log[[#This Row],[Arg]])),"")</f>
      </c>
      <c r="J1069" s="17">
        <f>IF(Log[[#This Row],[Verb]]="block",1,IF(OR(Log[[#This Row],[Verb]]="unblock",Log[[#This Row],[Verb]]="done",Log[[#This Row],[Verb]]="drop",Log[[#This Row],[Verb]]="punt",Log[[#This Row],[Verb]]="pass"),0,""))</f>
      </c>
      <c r="K1069" s="17">
        <f>IF(Log[[#This Row],[ID]]="",0,IFERROR(INDEX(Items[Pts],MATCH(Log[[#This Row],[ID]],Items[ID],0))*1,0))</f>
      </c>
      <c r="L1069" s="17">
        <f>IF(Log[[#This Row],[ID]]="","",IFERROR(INDEX(Items[Cur team],MATCH(Log[[#This Row],[ID]],Items[ID],0))&amp;"",""))</f>
      </c>
      <c r="M1069" s="17">
        <f>IF(OR(Log[[#This Row],[Verb]]="done",Log[[#This Row],[Verb]]="punt",Log[[#This Row],[Verb]]="drop",Log[[#This Row],[Verb]]="pass"),Log[[#This Row],[Pts]],0)</f>
      </c>
    </row>
    <row r="1070">
      <c r="A1070" s="11">
        <v>46188</v>
      </c>
      <c r="B1070" t="s">
        <v>558</v>
      </c>
      <c r="C1070" t="s">
        <v>41</v>
      </c>
      <c r="F1070" s="17">
        <f>IF(Log[[#This Row],[ID]]="","",IF(ISNA(MATCH(Log[[#This Row],[ID]],Items[ID],0)),"unknown ID",IF(ISNA(MATCH(Log[[#This Row],[Verb]],VerbList,0)),"unknown verb",IF(Log[[#This Row],[Date]]="","no date",""))))</f>
      </c>
      <c r="G1070" s="17">
        <f>IF(Log[[#This Row],[ID]]="","",IFERROR(VLOOKUP(Log[[#This Row],[Verb]],Verbs,3,FALSE)&amp;"",""))</f>
      </c>
      <c r="H1070" s="17">
        <f>IF(Log[[#This Row],[Date]]="","",INT((Log[[#This Row],[Date]]-Sprint1)/SprintDays)+1)</f>
      </c>
      <c r="I1070" s="17">
        <f>IF(OR(Log[[#This Row],[Verb]]="commit",Log[[#This Row],[Verb]]="carry",Log[[#This Row],[Verb]]="redo"),IF(Log[[#This Row],[Arg]]="",Log[[#This Row],[Sprint]],N(Log[[#This Row],[Arg]])),"")</f>
      </c>
      <c r="J1070" s="17">
        <f>IF(Log[[#This Row],[Verb]]="block",1,IF(OR(Log[[#This Row],[Verb]]="unblock",Log[[#This Row],[Verb]]="done",Log[[#This Row],[Verb]]="drop",Log[[#This Row],[Verb]]="punt",Log[[#This Row],[Verb]]="pass"),0,""))</f>
      </c>
      <c r="K1070" s="17">
        <f>IF(Log[[#This Row],[ID]]="",0,IFERROR(INDEX(Items[Pts],MATCH(Log[[#This Row],[ID]],Items[ID],0))*1,0))</f>
      </c>
      <c r="L1070" s="17">
        <f>IF(Log[[#This Row],[ID]]="","",IFERROR(INDEX(Items[Cur team],MATCH(Log[[#This Row],[ID]],Items[ID],0))&amp;"",""))</f>
      </c>
      <c r="M1070" s="17">
        <f>IF(OR(Log[[#This Row],[Verb]]="done",Log[[#This Row],[Verb]]="punt",Log[[#This Row],[Verb]]="drop",Log[[#This Row],[Verb]]="pass"),Log[[#This Row],[Pts]],0)</f>
      </c>
    </row>
    <row r="1071">
      <c r="A1071" s="11">
        <v>46188</v>
      </c>
      <c r="B1071" t="s">
        <v>609</v>
      </c>
      <c r="C1071" t="s">
        <v>41</v>
      </c>
      <c r="F1071" s="17">
        <f>IF(Log[[#This Row],[ID]]="","",IF(ISNA(MATCH(Log[[#This Row],[ID]],Items[ID],0)),"unknown ID",IF(ISNA(MATCH(Log[[#This Row],[Verb]],VerbList,0)),"unknown verb",IF(Log[[#This Row],[Date]]="","no date",""))))</f>
      </c>
      <c r="G1071" s="17">
        <f>IF(Log[[#This Row],[ID]]="","",IFERROR(VLOOKUP(Log[[#This Row],[Verb]],Verbs,3,FALSE)&amp;"",""))</f>
      </c>
      <c r="H1071" s="17">
        <f>IF(Log[[#This Row],[Date]]="","",INT((Log[[#This Row],[Date]]-Sprint1)/SprintDays)+1)</f>
      </c>
      <c r="I1071" s="17">
        <f>IF(OR(Log[[#This Row],[Verb]]="commit",Log[[#This Row],[Verb]]="carry",Log[[#This Row],[Verb]]="redo"),IF(Log[[#This Row],[Arg]]="",Log[[#This Row],[Sprint]],N(Log[[#This Row],[Arg]])),"")</f>
      </c>
      <c r="J1071" s="17">
        <f>IF(Log[[#This Row],[Verb]]="block",1,IF(OR(Log[[#This Row],[Verb]]="unblock",Log[[#This Row],[Verb]]="done",Log[[#This Row],[Verb]]="drop",Log[[#This Row],[Verb]]="punt",Log[[#This Row],[Verb]]="pass"),0,""))</f>
      </c>
      <c r="K1071" s="17">
        <f>IF(Log[[#This Row],[ID]]="",0,IFERROR(INDEX(Items[Pts],MATCH(Log[[#This Row],[ID]],Items[ID],0))*1,0))</f>
      </c>
      <c r="L1071" s="17">
        <f>IF(Log[[#This Row],[ID]]="","",IFERROR(INDEX(Items[Cur team],MATCH(Log[[#This Row],[ID]],Items[ID],0))&amp;"",""))</f>
      </c>
      <c r="M1071" s="17">
        <f>IF(OR(Log[[#This Row],[Verb]]="done",Log[[#This Row],[Verb]]="punt",Log[[#This Row],[Verb]]="drop",Log[[#This Row],[Verb]]="pass"),Log[[#This Row],[Pts]],0)</f>
      </c>
    </row>
    <row r="1072">
      <c r="A1072" s="11">
        <v>46188</v>
      </c>
      <c r="B1072" t="s">
        <v>610</v>
      </c>
      <c r="C1072" t="s">
        <v>41</v>
      </c>
      <c r="F1072" s="17">
        <f>IF(Log[[#This Row],[ID]]="","",IF(ISNA(MATCH(Log[[#This Row],[ID]],Items[ID],0)),"unknown ID",IF(ISNA(MATCH(Log[[#This Row],[Verb]],VerbList,0)),"unknown verb",IF(Log[[#This Row],[Date]]="","no date",""))))</f>
      </c>
      <c r="G1072" s="17">
        <f>IF(Log[[#This Row],[ID]]="","",IFERROR(VLOOKUP(Log[[#This Row],[Verb]],Verbs,3,FALSE)&amp;"",""))</f>
      </c>
      <c r="H1072" s="17">
        <f>IF(Log[[#This Row],[Date]]="","",INT((Log[[#This Row],[Date]]-Sprint1)/SprintDays)+1)</f>
      </c>
      <c r="I1072" s="17">
        <f>IF(OR(Log[[#This Row],[Verb]]="commit",Log[[#This Row],[Verb]]="carry",Log[[#This Row],[Verb]]="redo"),IF(Log[[#This Row],[Arg]]="",Log[[#This Row],[Sprint]],N(Log[[#This Row],[Arg]])),"")</f>
      </c>
      <c r="J1072" s="17">
        <f>IF(Log[[#This Row],[Verb]]="block",1,IF(OR(Log[[#This Row],[Verb]]="unblock",Log[[#This Row],[Verb]]="done",Log[[#This Row],[Verb]]="drop",Log[[#This Row],[Verb]]="punt",Log[[#This Row],[Verb]]="pass"),0,""))</f>
      </c>
      <c r="K1072" s="17">
        <f>IF(Log[[#This Row],[ID]]="",0,IFERROR(INDEX(Items[Pts],MATCH(Log[[#This Row],[ID]],Items[ID],0))*1,0))</f>
      </c>
      <c r="L1072" s="17">
        <f>IF(Log[[#This Row],[ID]]="","",IFERROR(INDEX(Items[Cur team],MATCH(Log[[#This Row],[ID]],Items[ID],0))&amp;"",""))</f>
      </c>
      <c r="M1072" s="17">
        <f>IF(OR(Log[[#This Row],[Verb]]="done",Log[[#This Row],[Verb]]="punt",Log[[#This Row],[Verb]]="drop",Log[[#This Row],[Verb]]="pass"),Log[[#This Row],[Pts]],0)</f>
      </c>
    </row>
    <row r="1073">
      <c r="A1073" s="11">
        <v>46188</v>
      </c>
      <c r="B1073" t="s">
        <v>611</v>
      </c>
      <c r="C1073" t="s">
        <v>38</v>
      </c>
      <c r="D1073">
        <v>46</v>
      </c>
      <c r="F1073" s="17">
        <f>IF(Log[[#This Row],[ID]]="","",IF(ISNA(MATCH(Log[[#This Row],[ID]],Items[ID],0)),"unknown ID",IF(ISNA(MATCH(Log[[#This Row],[Verb]],VerbList,0)),"unknown verb",IF(Log[[#This Row],[Date]]="","no date",""))))</f>
      </c>
      <c r="G1073" s="17">
        <f>IF(Log[[#This Row],[ID]]="","",IFERROR(VLOOKUP(Log[[#This Row],[Verb]],Verbs,3,FALSE)&amp;"",""))</f>
      </c>
      <c r="H1073" s="17">
        <f>IF(Log[[#This Row],[Date]]="","",INT((Log[[#This Row],[Date]]-Sprint1)/SprintDays)+1)</f>
      </c>
      <c r="I1073" s="17">
        <f>IF(OR(Log[[#This Row],[Verb]]="commit",Log[[#This Row],[Verb]]="carry",Log[[#This Row],[Verb]]="redo"),IF(Log[[#This Row],[Arg]]="",Log[[#This Row],[Sprint]],N(Log[[#This Row],[Arg]])),"")</f>
      </c>
      <c r="J1073" s="17">
        <f>IF(Log[[#This Row],[Verb]]="block",1,IF(OR(Log[[#This Row],[Verb]]="unblock",Log[[#This Row],[Verb]]="done",Log[[#This Row],[Verb]]="drop",Log[[#This Row],[Verb]]="punt",Log[[#This Row],[Verb]]="pass"),0,""))</f>
      </c>
      <c r="K1073" s="17">
        <f>IF(Log[[#This Row],[ID]]="",0,IFERROR(INDEX(Items[Pts],MATCH(Log[[#This Row],[ID]],Items[ID],0))*1,0))</f>
      </c>
      <c r="L1073" s="17">
        <f>IF(Log[[#This Row],[ID]]="","",IFERROR(INDEX(Items[Cur team],MATCH(Log[[#This Row],[ID]],Items[ID],0))&amp;"",""))</f>
      </c>
      <c r="M1073" s="17">
        <f>IF(OR(Log[[#This Row],[Verb]]="done",Log[[#This Row],[Verb]]="punt",Log[[#This Row],[Verb]]="drop",Log[[#This Row],[Verb]]="pass"),Log[[#This Row],[Pts]],0)</f>
      </c>
    </row>
    <row r="1074">
      <c r="A1074" s="11">
        <v>46188</v>
      </c>
      <c r="B1074" t="s">
        <v>612</v>
      </c>
      <c r="C1074" t="s">
        <v>38</v>
      </c>
      <c r="D1074">
        <v>46</v>
      </c>
      <c r="F1074" s="17">
        <f>IF(Log[[#This Row],[ID]]="","",IF(ISNA(MATCH(Log[[#This Row],[ID]],Items[ID],0)),"unknown ID",IF(ISNA(MATCH(Log[[#This Row],[Verb]],VerbList,0)),"unknown verb",IF(Log[[#This Row],[Date]]="","no date",""))))</f>
      </c>
      <c r="G1074" s="17">
        <f>IF(Log[[#This Row],[ID]]="","",IFERROR(VLOOKUP(Log[[#This Row],[Verb]],Verbs,3,FALSE)&amp;"",""))</f>
      </c>
      <c r="H1074" s="17">
        <f>IF(Log[[#This Row],[Date]]="","",INT((Log[[#This Row],[Date]]-Sprint1)/SprintDays)+1)</f>
      </c>
      <c r="I1074" s="17">
        <f>IF(OR(Log[[#This Row],[Verb]]="commit",Log[[#This Row],[Verb]]="carry",Log[[#This Row],[Verb]]="redo"),IF(Log[[#This Row],[Arg]]="",Log[[#This Row],[Sprint]],N(Log[[#This Row],[Arg]])),"")</f>
      </c>
      <c r="J1074" s="17">
        <f>IF(Log[[#This Row],[Verb]]="block",1,IF(OR(Log[[#This Row],[Verb]]="unblock",Log[[#This Row],[Verb]]="done",Log[[#This Row],[Verb]]="drop",Log[[#This Row],[Verb]]="punt",Log[[#This Row],[Verb]]="pass"),0,""))</f>
      </c>
      <c r="K1074" s="17">
        <f>IF(Log[[#This Row],[ID]]="",0,IFERROR(INDEX(Items[Pts],MATCH(Log[[#This Row],[ID]],Items[ID],0))*1,0))</f>
      </c>
      <c r="L1074" s="17">
        <f>IF(Log[[#This Row],[ID]]="","",IFERROR(INDEX(Items[Cur team],MATCH(Log[[#This Row],[ID]],Items[ID],0))&amp;"",""))</f>
      </c>
      <c r="M1074" s="17">
        <f>IF(OR(Log[[#This Row],[Verb]]="done",Log[[#This Row],[Verb]]="punt",Log[[#This Row],[Verb]]="drop",Log[[#This Row],[Verb]]="pass"),Log[[#This Row],[Pts]],0)</f>
      </c>
    </row>
    <row r="1075">
      <c r="A1075" s="11">
        <v>46188</v>
      </c>
      <c r="B1075" t="s">
        <v>613</v>
      </c>
      <c r="C1075" t="s">
        <v>41</v>
      </c>
      <c r="F1075" s="17">
        <f>IF(Log[[#This Row],[ID]]="","",IF(ISNA(MATCH(Log[[#This Row],[ID]],Items[ID],0)),"unknown ID",IF(ISNA(MATCH(Log[[#This Row],[Verb]],VerbList,0)),"unknown verb",IF(Log[[#This Row],[Date]]="","no date",""))))</f>
      </c>
      <c r="G1075" s="17">
        <f>IF(Log[[#This Row],[ID]]="","",IFERROR(VLOOKUP(Log[[#This Row],[Verb]],Verbs,3,FALSE)&amp;"",""))</f>
      </c>
      <c r="H1075" s="17">
        <f>IF(Log[[#This Row],[Date]]="","",INT((Log[[#This Row],[Date]]-Sprint1)/SprintDays)+1)</f>
      </c>
      <c r="I1075" s="17">
        <f>IF(OR(Log[[#This Row],[Verb]]="commit",Log[[#This Row],[Verb]]="carry",Log[[#This Row],[Verb]]="redo"),IF(Log[[#This Row],[Arg]]="",Log[[#This Row],[Sprint]],N(Log[[#This Row],[Arg]])),"")</f>
      </c>
      <c r="J1075" s="17">
        <f>IF(Log[[#This Row],[Verb]]="block",1,IF(OR(Log[[#This Row],[Verb]]="unblock",Log[[#This Row],[Verb]]="done",Log[[#This Row],[Verb]]="drop",Log[[#This Row],[Verb]]="punt",Log[[#This Row],[Verb]]="pass"),0,""))</f>
      </c>
      <c r="K1075" s="17">
        <f>IF(Log[[#This Row],[ID]]="",0,IFERROR(INDEX(Items[Pts],MATCH(Log[[#This Row],[ID]],Items[ID],0))*1,0))</f>
      </c>
      <c r="L1075" s="17">
        <f>IF(Log[[#This Row],[ID]]="","",IFERROR(INDEX(Items[Cur team],MATCH(Log[[#This Row],[ID]],Items[ID],0))&amp;"",""))</f>
      </c>
      <c r="M1075" s="17">
        <f>IF(OR(Log[[#This Row],[Verb]]="done",Log[[#This Row],[Verb]]="punt",Log[[#This Row],[Verb]]="drop",Log[[#This Row],[Verb]]="pass"),Log[[#This Row],[Pts]],0)</f>
      </c>
    </row>
    <row r="1076">
      <c r="A1076" s="11">
        <v>46188</v>
      </c>
      <c r="B1076" t="s">
        <v>561</v>
      </c>
      <c r="C1076" t="s">
        <v>41</v>
      </c>
      <c r="F1076" s="17">
        <f>IF(Log[[#This Row],[ID]]="","",IF(ISNA(MATCH(Log[[#This Row],[ID]],Items[ID],0)),"unknown ID",IF(ISNA(MATCH(Log[[#This Row],[Verb]],VerbList,0)),"unknown verb",IF(Log[[#This Row],[Date]]="","no date",""))))</f>
      </c>
      <c r="G1076" s="17">
        <f>IF(Log[[#This Row],[ID]]="","",IFERROR(VLOOKUP(Log[[#This Row],[Verb]],Verbs,3,FALSE)&amp;"",""))</f>
      </c>
      <c r="H1076" s="17">
        <f>IF(Log[[#This Row],[Date]]="","",INT((Log[[#This Row],[Date]]-Sprint1)/SprintDays)+1)</f>
      </c>
      <c r="I1076" s="17">
        <f>IF(OR(Log[[#This Row],[Verb]]="commit",Log[[#This Row],[Verb]]="carry",Log[[#This Row],[Verb]]="redo"),IF(Log[[#This Row],[Arg]]="",Log[[#This Row],[Sprint]],N(Log[[#This Row],[Arg]])),"")</f>
      </c>
      <c r="J1076" s="17">
        <f>IF(Log[[#This Row],[Verb]]="block",1,IF(OR(Log[[#This Row],[Verb]]="unblock",Log[[#This Row],[Verb]]="done",Log[[#This Row],[Verb]]="drop",Log[[#This Row],[Verb]]="punt",Log[[#This Row],[Verb]]="pass"),0,""))</f>
      </c>
      <c r="K1076" s="17">
        <f>IF(Log[[#This Row],[ID]]="",0,IFERROR(INDEX(Items[Pts],MATCH(Log[[#This Row],[ID]],Items[ID],0))*1,0))</f>
      </c>
      <c r="L1076" s="17">
        <f>IF(Log[[#This Row],[ID]]="","",IFERROR(INDEX(Items[Cur team],MATCH(Log[[#This Row],[ID]],Items[ID],0))&amp;"",""))</f>
      </c>
      <c r="M1076" s="17">
        <f>IF(OR(Log[[#This Row],[Verb]]="done",Log[[#This Row],[Verb]]="punt",Log[[#This Row],[Verb]]="drop",Log[[#This Row],[Verb]]="pass"),Log[[#This Row],[Pts]],0)</f>
      </c>
    </row>
    <row r="1077">
      <c r="A1077" s="11">
        <v>46188</v>
      </c>
      <c r="B1077" t="s">
        <v>614</v>
      </c>
      <c r="C1077" t="s">
        <v>38</v>
      </c>
      <c r="D1077">
        <v>46</v>
      </c>
      <c r="F1077" s="17">
        <f>IF(Log[[#This Row],[ID]]="","",IF(ISNA(MATCH(Log[[#This Row],[ID]],Items[ID],0)),"unknown ID",IF(ISNA(MATCH(Log[[#This Row],[Verb]],VerbList,0)),"unknown verb",IF(Log[[#This Row],[Date]]="","no date",""))))</f>
      </c>
      <c r="G1077" s="17">
        <f>IF(Log[[#This Row],[ID]]="","",IFERROR(VLOOKUP(Log[[#This Row],[Verb]],Verbs,3,FALSE)&amp;"",""))</f>
      </c>
      <c r="H1077" s="17">
        <f>IF(Log[[#This Row],[Date]]="","",INT((Log[[#This Row],[Date]]-Sprint1)/SprintDays)+1)</f>
      </c>
      <c r="I1077" s="17">
        <f>IF(OR(Log[[#This Row],[Verb]]="commit",Log[[#This Row],[Verb]]="carry",Log[[#This Row],[Verb]]="redo"),IF(Log[[#This Row],[Arg]]="",Log[[#This Row],[Sprint]],N(Log[[#This Row],[Arg]])),"")</f>
      </c>
      <c r="J1077" s="17">
        <f>IF(Log[[#This Row],[Verb]]="block",1,IF(OR(Log[[#This Row],[Verb]]="unblock",Log[[#This Row],[Verb]]="done",Log[[#This Row],[Verb]]="drop",Log[[#This Row],[Verb]]="punt",Log[[#This Row],[Verb]]="pass"),0,""))</f>
      </c>
      <c r="K1077" s="17">
        <f>IF(Log[[#This Row],[ID]]="",0,IFERROR(INDEX(Items[Pts],MATCH(Log[[#This Row],[ID]],Items[ID],0))*1,0))</f>
      </c>
      <c r="L1077" s="17">
        <f>IF(Log[[#This Row],[ID]]="","",IFERROR(INDEX(Items[Cur team],MATCH(Log[[#This Row],[ID]],Items[ID],0))&amp;"",""))</f>
      </c>
      <c r="M1077" s="17">
        <f>IF(OR(Log[[#This Row],[Verb]]="done",Log[[#This Row],[Verb]]="punt",Log[[#This Row],[Verb]]="drop",Log[[#This Row],[Verb]]="pass"),Log[[#This Row],[Pts]],0)</f>
      </c>
    </row>
    <row r="1078">
      <c r="A1078" s="11">
        <v>46188</v>
      </c>
      <c r="B1078" t="s">
        <v>615</v>
      </c>
      <c r="C1078" t="s">
        <v>38</v>
      </c>
      <c r="D1078">
        <v>46</v>
      </c>
      <c r="F1078" s="17">
        <f>IF(Log[[#This Row],[ID]]="","",IF(ISNA(MATCH(Log[[#This Row],[ID]],Items[ID],0)),"unknown ID",IF(ISNA(MATCH(Log[[#This Row],[Verb]],VerbList,0)),"unknown verb",IF(Log[[#This Row],[Date]]="","no date",""))))</f>
      </c>
      <c r="G1078" s="17">
        <f>IF(Log[[#This Row],[ID]]="","",IFERROR(VLOOKUP(Log[[#This Row],[Verb]],Verbs,3,FALSE)&amp;"",""))</f>
      </c>
      <c r="H1078" s="17">
        <f>IF(Log[[#This Row],[Date]]="","",INT((Log[[#This Row],[Date]]-Sprint1)/SprintDays)+1)</f>
      </c>
      <c r="I1078" s="17">
        <f>IF(OR(Log[[#This Row],[Verb]]="commit",Log[[#This Row],[Verb]]="carry",Log[[#This Row],[Verb]]="redo"),IF(Log[[#This Row],[Arg]]="",Log[[#This Row],[Sprint]],N(Log[[#This Row],[Arg]])),"")</f>
      </c>
      <c r="J1078" s="17">
        <f>IF(Log[[#This Row],[Verb]]="block",1,IF(OR(Log[[#This Row],[Verb]]="unblock",Log[[#This Row],[Verb]]="done",Log[[#This Row],[Verb]]="drop",Log[[#This Row],[Verb]]="punt",Log[[#This Row],[Verb]]="pass"),0,""))</f>
      </c>
      <c r="K1078" s="17">
        <f>IF(Log[[#This Row],[ID]]="",0,IFERROR(INDEX(Items[Pts],MATCH(Log[[#This Row],[ID]],Items[ID],0))*1,0))</f>
      </c>
      <c r="L1078" s="17">
        <f>IF(Log[[#This Row],[ID]]="","",IFERROR(INDEX(Items[Cur team],MATCH(Log[[#This Row],[ID]],Items[ID],0))&amp;"",""))</f>
      </c>
      <c r="M1078" s="17">
        <f>IF(OR(Log[[#This Row],[Verb]]="done",Log[[#This Row],[Verb]]="punt",Log[[#This Row],[Verb]]="drop",Log[[#This Row],[Verb]]="pass"),Log[[#This Row],[Pts]],0)</f>
      </c>
    </row>
    <row r="1079">
      <c r="A1079" s="11">
        <v>46188</v>
      </c>
      <c r="B1079" t="s">
        <v>616</v>
      </c>
      <c r="C1079" t="s">
        <v>38</v>
      </c>
      <c r="D1079">
        <v>46</v>
      </c>
      <c r="F1079" s="17">
        <f>IF(Log[[#This Row],[ID]]="","",IF(ISNA(MATCH(Log[[#This Row],[ID]],Items[ID],0)),"unknown ID",IF(ISNA(MATCH(Log[[#This Row],[Verb]],VerbList,0)),"unknown verb",IF(Log[[#This Row],[Date]]="","no date",""))))</f>
      </c>
      <c r="G1079" s="17">
        <f>IF(Log[[#This Row],[ID]]="","",IFERROR(VLOOKUP(Log[[#This Row],[Verb]],Verbs,3,FALSE)&amp;"",""))</f>
      </c>
      <c r="H1079" s="17">
        <f>IF(Log[[#This Row],[Date]]="","",INT((Log[[#This Row],[Date]]-Sprint1)/SprintDays)+1)</f>
      </c>
      <c r="I1079" s="17">
        <f>IF(OR(Log[[#This Row],[Verb]]="commit",Log[[#This Row],[Verb]]="carry",Log[[#This Row],[Verb]]="redo"),IF(Log[[#This Row],[Arg]]="",Log[[#This Row],[Sprint]],N(Log[[#This Row],[Arg]])),"")</f>
      </c>
      <c r="J1079" s="17">
        <f>IF(Log[[#This Row],[Verb]]="block",1,IF(OR(Log[[#This Row],[Verb]]="unblock",Log[[#This Row],[Verb]]="done",Log[[#This Row],[Verb]]="drop",Log[[#This Row],[Verb]]="punt",Log[[#This Row],[Verb]]="pass"),0,""))</f>
      </c>
      <c r="K1079" s="17">
        <f>IF(Log[[#This Row],[ID]]="",0,IFERROR(INDEX(Items[Pts],MATCH(Log[[#This Row],[ID]],Items[ID],0))*1,0))</f>
      </c>
      <c r="L1079" s="17">
        <f>IF(Log[[#This Row],[ID]]="","",IFERROR(INDEX(Items[Cur team],MATCH(Log[[#This Row],[ID]],Items[ID],0))&amp;"",""))</f>
      </c>
      <c r="M1079" s="17">
        <f>IF(OR(Log[[#This Row],[Verb]]="done",Log[[#This Row],[Verb]]="punt",Log[[#This Row],[Verb]]="drop",Log[[#This Row],[Verb]]="pass"),Log[[#This Row],[Pts]],0)</f>
      </c>
    </row>
    <row r="1080">
      <c r="A1080" s="11">
        <v>46188</v>
      </c>
      <c r="B1080" t="s">
        <v>565</v>
      </c>
      <c r="C1080" t="s">
        <v>41</v>
      </c>
      <c r="F1080" s="17">
        <f>IF(Log[[#This Row],[ID]]="","",IF(ISNA(MATCH(Log[[#This Row],[ID]],Items[ID],0)),"unknown ID",IF(ISNA(MATCH(Log[[#This Row],[Verb]],VerbList,0)),"unknown verb",IF(Log[[#This Row],[Date]]="","no date",""))))</f>
      </c>
      <c r="G1080" s="17">
        <f>IF(Log[[#This Row],[ID]]="","",IFERROR(VLOOKUP(Log[[#This Row],[Verb]],Verbs,3,FALSE)&amp;"",""))</f>
      </c>
      <c r="H1080" s="17">
        <f>IF(Log[[#This Row],[Date]]="","",INT((Log[[#This Row],[Date]]-Sprint1)/SprintDays)+1)</f>
      </c>
      <c r="I1080" s="17">
        <f>IF(OR(Log[[#This Row],[Verb]]="commit",Log[[#This Row],[Verb]]="carry",Log[[#This Row],[Verb]]="redo"),IF(Log[[#This Row],[Arg]]="",Log[[#This Row],[Sprint]],N(Log[[#This Row],[Arg]])),"")</f>
      </c>
      <c r="J1080" s="17">
        <f>IF(Log[[#This Row],[Verb]]="block",1,IF(OR(Log[[#This Row],[Verb]]="unblock",Log[[#This Row],[Verb]]="done",Log[[#This Row],[Verb]]="drop",Log[[#This Row],[Verb]]="punt",Log[[#This Row],[Verb]]="pass"),0,""))</f>
      </c>
      <c r="K1080" s="17">
        <f>IF(Log[[#This Row],[ID]]="",0,IFERROR(INDEX(Items[Pts],MATCH(Log[[#This Row],[ID]],Items[ID],0))*1,0))</f>
      </c>
      <c r="L1080" s="17">
        <f>IF(Log[[#This Row],[ID]]="","",IFERROR(INDEX(Items[Cur team],MATCH(Log[[#This Row],[ID]],Items[ID],0))&amp;"",""))</f>
      </c>
      <c r="M1080" s="17">
        <f>IF(OR(Log[[#This Row],[Verb]]="done",Log[[#This Row],[Verb]]="punt",Log[[#This Row],[Verb]]="drop",Log[[#This Row],[Verb]]="pass"),Log[[#This Row],[Pts]],0)</f>
      </c>
    </row>
    <row r="1081">
      <c r="A1081" s="11">
        <v>46188</v>
      </c>
      <c r="B1081" t="s">
        <v>617</v>
      </c>
      <c r="C1081" t="s">
        <v>38</v>
      </c>
      <c r="D1081">
        <v>46</v>
      </c>
      <c r="F1081" s="17">
        <f>IF(Log[[#This Row],[ID]]="","",IF(ISNA(MATCH(Log[[#This Row],[ID]],Items[ID],0)),"unknown ID",IF(ISNA(MATCH(Log[[#This Row],[Verb]],VerbList,0)),"unknown verb",IF(Log[[#This Row],[Date]]="","no date",""))))</f>
      </c>
      <c r="G1081" s="17">
        <f>IF(Log[[#This Row],[ID]]="","",IFERROR(VLOOKUP(Log[[#This Row],[Verb]],Verbs,3,FALSE)&amp;"",""))</f>
      </c>
      <c r="H1081" s="17">
        <f>IF(Log[[#This Row],[Date]]="","",INT((Log[[#This Row],[Date]]-Sprint1)/SprintDays)+1)</f>
      </c>
      <c r="I1081" s="17">
        <f>IF(OR(Log[[#This Row],[Verb]]="commit",Log[[#This Row],[Verb]]="carry",Log[[#This Row],[Verb]]="redo"),IF(Log[[#This Row],[Arg]]="",Log[[#This Row],[Sprint]],N(Log[[#This Row],[Arg]])),"")</f>
      </c>
      <c r="J1081" s="17">
        <f>IF(Log[[#This Row],[Verb]]="block",1,IF(OR(Log[[#This Row],[Verb]]="unblock",Log[[#This Row],[Verb]]="done",Log[[#This Row],[Verb]]="drop",Log[[#This Row],[Verb]]="punt",Log[[#This Row],[Verb]]="pass"),0,""))</f>
      </c>
      <c r="K1081" s="17">
        <f>IF(Log[[#This Row],[ID]]="",0,IFERROR(INDEX(Items[Pts],MATCH(Log[[#This Row],[ID]],Items[ID],0))*1,0))</f>
      </c>
      <c r="L1081" s="17">
        <f>IF(Log[[#This Row],[ID]]="","",IFERROR(INDEX(Items[Cur team],MATCH(Log[[#This Row],[ID]],Items[ID],0))&amp;"",""))</f>
      </c>
      <c r="M1081" s="17">
        <f>IF(OR(Log[[#This Row],[Verb]]="done",Log[[#This Row],[Verb]]="punt",Log[[#This Row],[Verb]]="drop",Log[[#This Row],[Verb]]="pass"),Log[[#This Row],[Pts]],0)</f>
      </c>
    </row>
    <row r="1082">
      <c r="A1082" s="11">
        <v>46188</v>
      </c>
      <c r="B1082" t="s">
        <v>618</v>
      </c>
      <c r="C1082" t="s">
        <v>41</v>
      </c>
      <c r="F1082" s="17">
        <f>IF(Log[[#This Row],[ID]]="","",IF(ISNA(MATCH(Log[[#This Row],[ID]],Items[ID],0)),"unknown ID",IF(ISNA(MATCH(Log[[#This Row],[Verb]],VerbList,0)),"unknown verb",IF(Log[[#This Row],[Date]]="","no date",""))))</f>
      </c>
      <c r="G1082" s="17">
        <f>IF(Log[[#This Row],[ID]]="","",IFERROR(VLOOKUP(Log[[#This Row],[Verb]],Verbs,3,FALSE)&amp;"",""))</f>
      </c>
      <c r="H1082" s="17">
        <f>IF(Log[[#This Row],[Date]]="","",INT((Log[[#This Row],[Date]]-Sprint1)/SprintDays)+1)</f>
      </c>
      <c r="I1082" s="17">
        <f>IF(OR(Log[[#This Row],[Verb]]="commit",Log[[#This Row],[Verb]]="carry",Log[[#This Row],[Verb]]="redo"),IF(Log[[#This Row],[Arg]]="",Log[[#This Row],[Sprint]],N(Log[[#This Row],[Arg]])),"")</f>
      </c>
      <c r="J1082" s="17">
        <f>IF(Log[[#This Row],[Verb]]="block",1,IF(OR(Log[[#This Row],[Verb]]="unblock",Log[[#This Row],[Verb]]="done",Log[[#This Row],[Verb]]="drop",Log[[#This Row],[Verb]]="punt",Log[[#This Row],[Verb]]="pass"),0,""))</f>
      </c>
      <c r="K1082" s="17">
        <f>IF(Log[[#This Row],[ID]]="",0,IFERROR(INDEX(Items[Pts],MATCH(Log[[#This Row],[ID]],Items[ID],0))*1,0))</f>
      </c>
      <c r="L1082" s="17">
        <f>IF(Log[[#This Row],[ID]]="","",IFERROR(INDEX(Items[Cur team],MATCH(Log[[#This Row],[ID]],Items[ID],0))&amp;"",""))</f>
      </c>
      <c r="M1082" s="17">
        <f>IF(OR(Log[[#This Row],[Verb]]="done",Log[[#This Row],[Verb]]="punt",Log[[#This Row],[Verb]]="drop",Log[[#This Row],[Verb]]="pass"),Log[[#This Row],[Pts]],0)</f>
      </c>
    </row>
    <row r="1083">
      <c r="A1083" s="11">
        <v>46188</v>
      </c>
      <c r="B1083" t="s">
        <v>619</v>
      </c>
      <c r="C1083" t="s">
        <v>41</v>
      </c>
      <c r="F1083" s="17">
        <f>IF(Log[[#This Row],[ID]]="","",IF(ISNA(MATCH(Log[[#This Row],[ID]],Items[ID],0)),"unknown ID",IF(ISNA(MATCH(Log[[#This Row],[Verb]],VerbList,0)),"unknown verb",IF(Log[[#This Row],[Date]]="","no date",""))))</f>
      </c>
      <c r="G1083" s="17">
        <f>IF(Log[[#This Row],[ID]]="","",IFERROR(VLOOKUP(Log[[#This Row],[Verb]],Verbs,3,FALSE)&amp;"",""))</f>
      </c>
      <c r="H1083" s="17">
        <f>IF(Log[[#This Row],[Date]]="","",INT((Log[[#This Row],[Date]]-Sprint1)/SprintDays)+1)</f>
      </c>
      <c r="I1083" s="17">
        <f>IF(OR(Log[[#This Row],[Verb]]="commit",Log[[#This Row],[Verb]]="carry",Log[[#This Row],[Verb]]="redo"),IF(Log[[#This Row],[Arg]]="",Log[[#This Row],[Sprint]],N(Log[[#This Row],[Arg]])),"")</f>
      </c>
      <c r="J1083" s="17">
        <f>IF(Log[[#This Row],[Verb]]="block",1,IF(OR(Log[[#This Row],[Verb]]="unblock",Log[[#This Row],[Verb]]="done",Log[[#This Row],[Verb]]="drop",Log[[#This Row],[Verb]]="punt",Log[[#This Row],[Verb]]="pass"),0,""))</f>
      </c>
      <c r="K1083" s="17">
        <f>IF(Log[[#This Row],[ID]]="",0,IFERROR(INDEX(Items[Pts],MATCH(Log[[#This Row],[ID]],Items[ID],0))*1,0))</f>
      </c>
      <c r="L1083" s="17">
        <f>IF(Log[[#This Row],[ID]]="","",IFERROR(INDEX(Items[Cur team],MATCH(Log[[#This Row],[ID]],Items[ID],0))&amp;"",""))</f>
      </c>
      <c r="M1083" s="17">
        <f>IF(OR(Log[[#This Row],[Verb]]="done",Log[[#This Row],[Verb]]="punt",Log[[#This Row],[Verb]]="drop",Log[[#This Row],[Verb]]="pass"),Log[[#This Row],[Pts]],0)</f>
      </c>
    </row>
    <row r="1084">
      <c r="A1084" s="11">
        <v>46188</v>
      </c>
      <c r="B1084" t="s">
        <v>620</v>
      </c>
      <c r="C1084" t="s">
        <v>41</v>
      </c>
      <c r="F1084" s="17">
        <f>IF(Log[[#This Row],[ID]]="","",IF(ISNA(MATCH(Log[[#This Row],[ID]],Items[ID],0)),"unknown ID",IF(ISNA(MATCH(Log[[#This Row],[Verb]],VerbList,0)),"unknown verb",IF(Log[[#This Row],[Date]]="","no date",""))))</f>
      </c>
      <c r="G1084" s="17">
        <f>IF(Log[[#This Row],[ID]]="","",IFERROR(VLOOKUP(Log[[#This Row],[Verb]],Verbs,3,FALSE)&amp;"",""))</f>
      </c>
      <c r="H1084" s="17">
        <f>IF(Log[[#This Row],[Date]]="","",INT((Log[[#This Row],[Date]]-Sprint1)/SprintDays)+1)</f>
      </c>
      <c r="I1084" s="17">
        <f>IF(OR(Log[[#This Row],[Verb]]="commit",Log[[#This Row],[Verb]]="carry",Log[[#This Row],[Verb]]="redo"),IF(Log[[#This Row],[Arg]]="",Log[[#This Row],[Sprint]],N(Log[[#This Row],[Arg]])),"")</f>
      </c>
      <c r="J1084" s="17">
        <f>IF(Log[[#This Row],[Verb]]="block",1,IF(OR(Log[[#This Row],[Verb]]="unblock",Log[[#This Row],[Verb]]="done",Log[[#This Row],[Verb]]="drop",Log[[#This Row],[Verb]]="punt",Log[[#This Row],[Verb]]="pass"),0,""))</f>
      </c>
      <c r="K1084" s="17">
        <f>IF(Log[[#This Row],[ID]]="",0,IFERROR(INDEX(Items[Pts],MATCH(Log[[#This Row],[ID]],Items[ID],0))*1,0))</f>
      </c>
      <c r="L1084" s="17">
        <f>IF(Log[[#This Row],[ID]]="","",IFERROR(INDEX(Items[Cur team],MATCH(Log[[#This Row],[ID]],Items[ID],0))&amp;"",""))</f>
      </c>
      <c r="M1084" s="17">
        <f>IF(OR(Log[[#This Row],[Verb]]="done",Log[[#This Row],[Verb]]="punt",Log[[#This Row],[Verb]]="drop",Log[[#This Row],[Verb]]="pass"),Log[[#This Row],[Pts]],0)</f>
      </c>
    </row>
    <row r="1085">
      <c r="A1085" s="11">
        <v>46188</v>
      </c>
      <c r="B1085" t="s">
        <v>621</v>
      </c>
      <c r="C1085" t="s">
        <v>41</v>
      </c>
      <c r="F1085" s="17">
        <f>IF(Log[[#This Row],[ID]]="","",IF(ISNA(MATCH(Log[[#This Row],[ID]],Items[ID],0)),"unknown ID",IF(ISNA(MATCH(Log[[#This Row],[Verb]],VerbList,0)),"unknown verb",IF(Log[[#This Row],[Date]]="","no date",""))))</f>
      </c>
      <c r="G1085" s="17">
        <f>IF(Log[[#This Row],[ID]]="","",IFERROR(VLOOKUP(Log[[#This Row],[Verb]],Verbs,3,FALSE)&amp;"",""))</f>
      </c>
      <c r="H1085" s="17">
        <f>IF(Log[[#This Row],[Date]]="","",INT((Log[[#This Row],[Date]]-Sprint1)/SprintDays)+1)</f>
      </c>
      <c r="I1085" s="17">
        <f>IF(OR(Log[[#This Row],[Verb]]="commit",Log[[#This Row],[Verb]]="carry",Log[[#This Row],[Verb]]="redo"),IF(Log[[#This Row],[Arg]]="",Log[[#This Row],[Sprint]],N(Log[[#This Row],[Arg]])),"")</f>
      </c>
      <c r="J1085" s="17">
        <f>IF(Log[[#This Row],[Verb]]="block",1,IF(OR(Log[[#This Row],[Verb]]="unblock",Log[[#This Row],[Verb]]="done",Log[[#This Row],[Verb]]="drop",Log[[#This Row],[Verb]]="punt",Log[[#This Row],[Verb]]="pass"),0,""))</f>
      </c>
      <c r="K1085" s="17">
        <f>IF(Log[[#This Row],[ID]]="",0,IFERROR(INDEX(Items[Pts],MATCH(Log[[#This Row],[ID]],Items[ID],0))*1,0))</f>
      </c>
      <c r="L1085" s="17">
        <f>IF(Log[[#This Row],[ID]]="","",IFERROR(INDEX(Items[Cur team],MATCH(Log[[#This Row],[ID]],Items[ID],0))&amp;"",""))</f>
      </c>
      <c r="M1085" s="17">
        <f>IF(OR(Log[[#This Row],[Verb]]="done",Log[[#This Row],[Verb]]="punt",Log[[#This Row],[Verb]]="drop",Log[[#This Row],[Verb]]="pass"),Log[[#This Row],[Pts]],0)</f>
      </c>
    </row>
    <row r="1086">
      <c r="A1086" s="11">
        <v>46188</v>
      </c>
      <c r="B1086" t="s">
        <v>622</v>
      </c>
      <c r="C1086" t="s">
        <v>41</v>
      </c>
      <c r="F1086" s="17">
        <f>IF(Log[[#This Row],[ID]]="","",IF(ISNA(MATCH(Log[[#This Row],[ID]],Items[ID],0)),"unknown ID",IF(ISNA(MATCH(Log[[#This Row],[Verb]],VerbList,0)),"unknown verb",IF(Log[[#This Row],[Date]]="","no date",""))))</f>
      </c>
      <c r="G1086" s="17">
        <f>IF(Log[[#This Row],[ID]]="","",IFERROR(VLOOKUP(Log[[#This Row],[Verb]],Verbs,3,FALSE)&amp;"",""))</f>
      </c>
      <c r="H1086" s="17">
        <f>IF(Log[[#This Row],[Date]]="","",INT((Log[[#This Row],[Date]]-Sprint1)/SprintDays)+1)</f>
      </c>
      <c r="I1086" s="17">
        <f>IF(OR(Log[[#This Row],[Verb]]="commit",Log[[#This Row],[Verb]]="carry",Log[[#This Row],[Verb]]="redo"),IF(Log[[#This Row],[Arg]]="",Log[[#This Row],[Sprint]],N(Log[[#This Row],[Arg]])),"")</f>
      </c>
      <c r="J1086" s="17">
        <f>IF(Log[[#This Row],[Verb]]="block",1,IF(OR(Log[[#This Row],[Verb]]="unblock",Log[[#This Row],[Verb]]="done",Log[[#This Row],[Verb]]="drop",Log[[#This Row],[Verb]]="punt",Log[[#This Row],[Verb]]="pass"),0,""))</f>
      </c>
      <c r="K1086" s="17">
        <f>IF(Log[[#This Row],[ID]]="",0,IFERROR(INDEX(Items[Pts],MATCH(Log[[#This Row],[ID]],Items[ID],0))*1,0))</f>
      </c>
      <c r="L1086" s="17">
        <f>IF(Log[[#This Row],[ID]]="","",IFERROR(INDEX(Items[Cur team],MATCH(Log[[#This Row],[ID]],Items[ID],0))&amp;"",""))</f>
      </c>
      <c r="M1086" s="17">
        <f>IF(OR(Log[[#This Row],[Verb]]="done",Log[[#This Row],[Verb]]="punt",Log[[#This Row],[Verb]]="drop",Log[[#This Row],[Verb]]="pass"),Log[[#This Row],[Pts]],0)</f>
      </c>
    </row>
    <row r="1087">
      <c r="A1087" s="11">
        <v>46188</v>
      </c>
      <c r="B1087" t="s">
        <v>623</v>
      </c>
      <c r="C1087" t="s">
        <v>41</v>
      </c>
      <c r="F1087" s="17">
        <f>IF(Log[[#This Row],[ID]]="","",IF(ISNA(MATCH(Log[[#This Row],[ID]],Items[ID],0)),"unknown ID",IF(ISNA(MATCH(Log[[#This Row],[Verb]],VerbList,0)),"unknown verb",IF(Log[[#This Row],[Date]]="","no date",""))))</f>
      </c>
      <c r="G1087" s="17">
        <f>IF(Log[[#This Row],[ID]]="","",IFERROR(VLOOKUP(Log[[#This Row],[Verb]],Verbs,3,FALSE)&amp;"",""))</f>
      </c>
      <c r="H1087" s="17">
        <f>IF(Log[[#This Row],[Date]]="","",INT((Log[[#This Row],[Date]]-Sprint1)/SprintDays)+1)</f>
      </c>
      <c r="I1087" s="17">
        <f>IF(OR(Log[[#This Row],[Verb]]="commit",Log[[#This Row],[Verb]]="carry",Log[[#This Row],[Verb]]="redo"),IF(Log[[#This Row],[Arg]]="",Log[[#This Row],[Sprint]],N(Log[[#This Row],[Arg]])),"")</f>
      </c>
      <c r="J1087" s="17">
        <f>IF(Log[[#This Row],[Verb]]="block",1,IF(OR(Log[[#This Row],[Verb]]="unblock",Log[[#This Row],[Verb]]="done",Log[[#This Row],[Verb]]="drop",Log[[#This Row],[Verb]]="punt",Log[[#This Row],[Verb]]="pass"),0,""))</f>
      </c>
      <c r="K1087" s="17">
        <f>IF(Log[[#This Row],[ID]]="",0,IFERROR(INDEX(Items[Pts],MATCH(Log[[#This Row],[ID]],Items[ID],0))*1,0))</f>
      </c>
      <c r="L1087" s="17">
        <f>IF(Log[[#This Row],[ID]]="","",IFERROR(INDEX(Items[Cur team],MATCH(Log[[#This Row],[ID]],Items[ID],0))&amp;"",""))</f>
      </c>
      <c r="M1087" s="17">
        <f>IF(OR(Log[[#This Row],[Verb]]="done",Log[[#This Row],[Verb]]="punt",Log[[#This Row],[Verb]]="drop",Log[[#This Row],[Verb]]="pass"),Log[[#This Row],[Pts]],0)</f>
      </c>
    </row>
    <row r="1088">
      <c r="A1088" s="11">
        <v>46188</v>
      </c>
      <c r="B1088" t="s">
        <v>624</v>
      </c>
      <c r="C1088" t="s">
        <v>41</v>
      </c>
      <c r="F1088" s="17">
        <f>IF(Log[[#This Row],[ID]]="","",IF(ISNA(MATCH(Log[[#This Row],[ID]],Items[ID],0)),"unknown ID",IF(ISNA(MATCH(Log[[#This Row],[Verb]],VerbList,0)),"unknown verb",IF(Log[[#This Row],[Date]]="","no date",""))))</f>
      </c>
      <c r="G1088" s="17">
        <f>IF(Log[[#This Row],[ID]]="","",IFERROR(VLOOKUP(Log[[#This Row],[Verb]],Verbs,3,FALSE)&amp;"",""))</f>
      </c>
      <c r="H1088" s="17">
        <f>IF(Log[[#This Row],[Date]]="","",INT((Log[[#This Row],[Date]]-Sprint1)/SprintDays)+1)</f>
      </c>
      <c r="I1088" s="17">
        <f>IF(OR(Log[[#This Row],[Verb]]="commit",Log[[#This Row],[Verb]]="carry",Log[[#This Row],[Verb]]="redo"),IF(Log[[#This Row],[Arg]]="",Log[[#This Row],[Sprint]],N(Log[[#This Row],[Arg]])),"")</f>
      </c>
      <c r="J1088" s="17">
        <f>IF(Log[[#This Row],[Verb]]="block",1,IF(OR(Log[[#This Row],[Verb]]="unblock",Log[[#This Row],[Verb]]="done",Log[[#This Row],[Verb]]="drop",Log[[#This Row],[Verb]]="punt",Log[[#This Row],[Verb]]="pass"),0,""))</f>
      </c>
      <c r="K1088" s="17">
        <f>IF(Log[[#This Row],[ID]]="",0,IFERROR(INDEX(Items[Pts],MATCH(Log[[#This Row],[ID]],Items[ID],0))*1,0))</f>
      </c>
      <c r="L1088" s="17">
        <f>IF(Log[[#This Row],[ID]]="","",IFERROR(INDEX(Items[Cur team],MATCH(Log[[#This Row],[ID]],Items[ID],0))&amp;"",""))</f>
      </c>
      <c r="M1088" s="17">
        <f>IF(OR(Log[[#This Row],[Verb]]="done",Log[[#This Row],[Verb]]="punt",Log[[#This Row],[Verb]]="drop",Log[[#This Row],[Verb]]="pass"),Log[[#This Row],[Pts]],0)</f>
      </c>
    </row>
    <row r="1089">
      <c r="A1089" s="11">
        <v>46188</v>
      </c>
      <c r="B1089" t="s">
        <v>625</v>
      </c>
      <c r="C1089" t="s">
        <v>41</v>
      </c>
      <c r="F1089" s="17">
        <f>IF(Log[[#This Row],[ID]]="","",IF(ISNA(MATCH(Log[[#This Row],[ID]],Items[ID],0)),"unknown ID",IF(ISNA(MATCH(Log[[#This Row],[Verb]],VerbList,0)),"unknown verb",IF(Log[[#This Row],[Date]]="","no date",""))))</f>
      </c>
      <c r="G1089" s="17">
        <f>IF(Log[[#This Row],[ID]]="","",IFERROR(VLOOKUP(Log[[#This Row],[Verb]],Verbs,3,FALSE)&amp;"",""))</f>
      </c>
      <c r="H1089" s="17">
        <f>IF(Log[[#This Row],[Date]]="","",INT((Log[[#This Row],[Date]]-Sprint1)/SprintDays)+1)</f>
      </c>
      <c r="I1089" s="17">
        <f>IF(OR(Log[[#This Row],[Verb]]="commit",Log[[#This Row],[Verb]]="carry",Log[[#This Row],[Verb]]="redo"),IF(Log[[#This Row],[Arg]]="",Log[[#This Row],[Sprint]],N(Log[[#This Row],[Arg]])),"")</f>
      </c>
      <c r="J1089" s="17">
        <f>IF(Log[[#This Row],[Verb]]="block",1,IF(OR(Log[[#This Row],[Verb]]="unblock",Log[[#This Row],[Verb]]="done",Log[[#This Row],[Verb]]="drop",Log[[#This Row],[Verb]]="punt",Log[[#This Row],[Verb]]="pass"),0,""))</f>
      </c>
      <c r="K1089" s="17">
        <f>IF(Log[[#This Row],[ID]]="",0,IFERROR(INDEX(Items[Pts],MATCH(Log[[#This Row],[ID]],Items[ID],0))*1,0))</f>
      </c>
      <c r="L1089" s="17">
        <f>IF(Log[[#This Row],[ID]]="","",IFERROR(INDEX(Items[Cur team],MATCH(Log[[#This Row],[ID]],Items[ID],0))&amp;"",""))</f>
      </c>
      <c r="M1089" s="17">
        <f>IF(OR(Log[[#This Row],[Verb]]="done",Log[[#This Row],[Verb]]="punt",Log[[#This Row],[Verb]]="drop",Log[[#This Row],[Verb]]="pass"),Log[[#This Row],[Pts]],0)</f>
      </c>
    </row>
    <row r="1090">
      <c r="A1090" s="11">
        <v>46188</v>
      </c>
      <c r="B1090" t="s">
        <v>568</v>
      </c>
      <c r="C1090" t="s">
        <v>38</v>
      </c>
      <c r="D1090">
        <v>46</v>
      </c>
      <c r="F1090" s="17">
        <f>IF(Log[[#This Row],[ID]]="","",IF(ISNA(MATCH(Log[[#This Row],[ID]],Items[ID],0)),"unknown ID",IF(ISNA(MATCH(Log[[#This Row],[Verb]],VerbList,0)),"unknown verb",IF(Log[[#This Row],[Date]]="","no date",""))))</f>
      </c>
      <c r="G1090" s="17">
        <f>IF(Log[[#This Row],[ID]]="","",IFERROR(VLOOKUP(Log[[#This Row],[Verb]],Verbs,3,FALSE)&amp;"",""))</f>
      </c>
      <c r="H1090" s="17">
        <f>IF(Log[[#This Row],[Date]]="","",INT((Log[[#This Row],[Date]]-Sprint1)/SprintDays)+1)</f>
      </c>
      <c r="I1090" s="17">
        <f>IF(OR(Log[[#This Row],[Verb]]="commit",Log[[#This Row],[Verb]]="carry",Log[[#This Row],[Verb]]="redo"),IF(Log[[#This Row],[Arg]]="",Log[[#This Row],[Sprint]],N(Log[[#This Row],[Arg]])),"")</f>
      </c>
      <c r="J1090" s="17">
        <f>IF(Log[[#This Row],[Verb]]="block",1,IF(OR(Log[[#This Row],[Verb]]="unblock",Log[[#This Row],[Verb]]="done",Log[[#This Row],[Verb]]="drop",Log[[#This Row],[Verb]]="punt",Log[[#This Row],[Verb]]="pass"),0,""))</f>
      </c>
      <c r="K1090" s="17">
        <f>IF(Log[[#This Row],[ID]]="",0,IFERROR(INDEX(Items[Pts],MATCH(Log[[#This Row],[ID]],Items[ID],0))*1,0))</f>
      </c>
      <c r="L1090" s="17">
        <f>IF(Log[[#This Row],[ID]]="","",IFERROR(INDEX(Items[Cur team],MATCH(Log[[#This Row],[ID]],Items[ID],0))&amp;"",""))</f>
      </c>
      <c r="M1090" s="17">
        <f>IF(OR(Log[[#This Row],[Verb]]="done",Log[[#This Row],[Verb]]="punt",Log[[#This Row],[Verb]]="drop",Log[[#This Row],[Verb]]="pass"),Log[[#This Row],[Pts]],0)</f>
      </c>
    </row>
    <row r="1091">
      <c r="A1091" s="11">
        <v>46188</v>
      </c>
      <c r="B1091" t="s">
        <v>626</v>
      </c>
      <c r="C1091" t="s">
        <v>38</v>
      </c>
      <c r="D1091">
        <v>46</v>
      </c>
      <c r="F1091" s="17">
        <f>IF(Log[[#This Row],[ID]]="","",IF(ISNA(MATCH(Log[[#This Row],[ID]],Items[ID],0)),"unknown ID",IF(ISNA(MATCH(Log[[#This Row],[Verb]],VerbList,0)),"unknown verb",IF(Log[[#This Row],[Date]]="","no date",""))))</f>
      </c>
      <c r="G1091" s="17">
        <f>IF(Log[[#This Row],[ID]]="","",IFERROR(VLOOKUP(Log[[#This Row],[Verb]],Verbs,3,FALSE)&amp;"",""))</f>
      </c>
      <c r="H1091" s="17">
        <f>IF(Log[[#This Row],[Date]]="","",INT((Log[[#This Row],[Date]]-Sprint1)/SprintDays)+1)</f>
      </c>
      <c r="I1091" s="17">
        <f>IF(OR(Log[[#This Row],[Verb]]="commit",Log[[#This Row],[Verb]]="carry",Log[[#This Row],[Verb]]="redo"),IF(Log[[#This Row],[Arg]]="",Log[[#This Row],[Sprint]],N(Log[[#This Row],[Arg]])),"")</f>
      </c>
      <c r="J1091" s="17">
        <f>IF(Log[[#This Row],[Verb]]="block",1,IF(OR(Log[[#This Row],[Verb]]="unblock",Log[[#This Row],[Verb]]="done",Log[[#This Row],[Verb]]="drop",Log[[#This Row],[Verb]]="punt",Log[[#This Row],[Verb]]="pass"),0,""))</f>
      </c>
      <c r="K1091" s="17">
        <f>IF(Log[[#This Row],[ID]]="",0,IFERROR(INDEX(Items[Pts],MATCH(Log[[#This Row],[ID]],Items[ID],0))*1,0))</f>
      </c>
      <c r="L1091" s="17">
        <f>IF(Log[[#This Row],[ID]]="","",IFERROR(INDEX(Items[Cur team],MATCH(Log[[#This Row],[ID]],Items[ID],0))&amp;"",""))</f>
      </c>
      <c r="M1091" s="17">
        <f>IF(OR(Log[[#This Row],[Verb]]="done",Log[[#This Row],[Verb]]="punt",Log[[#This Row],[Verb]]="drop",Log[[#This Row],[Verb]]="pass"),Log[[#This Row],[Pts]],0)</f>
      </c>
    </row>
    <row r="1092">
      <c r="A1092" s="11">
        <v>46188</v>
      </c>
      <c r="B1092" t="s">
        <v>627</v>
      </c>
      <c r="C1092" t="s">
        <v>38</v>
      </c>
      <c r="D1092">
        <v>46</v>
      </c>
      <c r="F1092" s="17">
        <f>IF(Log[[#This Row],[ID]]="","",IF(ISNA(MATCH(Log[[#This Row],[ID]],Items[ID],0)),"unknown ID",IF(ISNA(MATCH(Log[[#This Row],[Verb]],VerbList,0)),"unknown verb",IF(Log[[#This Row],[Date]]="","no date",""))))</f>
      </c>
      <c r="G1092" s="17">
        <f>IF(Log[[#This Row],[ID]]="","",IFERROR(VLOOKUP(Log[[#This Row],[Verb]],Verbs,3,FALSE)&amp;"",""))</f>
      </c>
      <c r="H1092" s="17">
        <f>IF(Log[[#This Row],[Date]]="","",INT((Log[[#This Row],[Date]]-Sprint1)/SprintDays)+1)</f>
      </c>
      <c r="I1092" s="17">
        <f>IF(OR(Log[[#This Row],[Verb]]="commit",Log[[#This Row],[Verb]]="carry",Log[[#This Row],[Verb]]="redo"),IF(Log[[#This Row],[Arg]]="",Log[[#This Row],[Sprint]],N(Log[[#This Row],[Arg]])),"")</f>
      </c>
      <c r="J1092" s="17">
        <f>IF(Log[[#This Row],[Verb]]="block",1,IF(OR(Log[[#This Row],[Verb]]="unblock",Log[[#This Row],[Verb]]="done",Log[[#This Row],[Verb]]="drop",Log[[#This Row],[Verb]]="punt",Log[[#This Row],[Verb]]="pass"),0,""))</f>
      </c>
      <c r="K1092" s="17">
        <f>IF(Log[[#This Row],[ID]]="",0,IFERROR(INDEX(Items[Pts],MATCH(Log[[#This Row],[ID]],Items[ID],0))*1,0))</f>
      </c>
      <c r="L1092" s="17">
        <f>IF(Log[[#This Row],[ID]]="","",IFERROR(INDEX(Items[Cur team],MATCH(Log[[#This Row],[ID]],Items[ID],0))&amp;"",""))</f>
      </c>
      <c r="M1092" s="17">
        <f>IF(OR(Log[[#This Row],[Verb]]="done",Log[[#This Row],[Verb]]="punt",Log[[#This Row],[Verb]]="drop",Log[[#This Row],[Verb]]="pass"),Log[[#This Row],[Pts]],0)</f>
      </c>
    </row>
    <row r="1093">
      <c r="A1093" s="11">
        <v>46188</v>
      </c>
      <c r="B1093" t="s">
        <v>628</v>
      </c>
      <c r="C1093" t="s">
        <v>41</v>
      </c>
      <c r="F1093" s="17">
        <f>IF(Log[[#This Row],[ID]]="","",IF(ISNA(MATCH(Log[[#This Row],[ID]],Items[ID],0)),"unknown ID",IF(ISNA(MATCH(Log[[#This Row],[Verb]],VerbList,0)),"unknown verb",IF(Log[[#This Row],[Date]]="","no date",""))))</f>
      </c>
      <c r="G1093" s="17">
        <f>IF(Log[[#This Row],[ID]]="","",IFERROR(VLOOKUP(Log[[#This Row],[Verb]],Verbs,3,FALSE)&amp;"",""))</f>
      </c>
      <c r="H1093" s="17">
        <f>IF(Log[[#This Row],[Date]]="","",INT((Log[[#This Row],[Date]]-Sprint1)/SprintDays)+1)</f>
      </c>
      <c r="I1093" s="17">
        <f>IF(OR(Log[[#This Row],[Verb]]="commit",Log[[#This Row],[Verb]]="carry",Log[[#This Row],[Verb]]="redo"),IF(Log[[#This Row],[Arg]]="",Log[[#This Row],[Sprint]],N(Log[[#This Row],[Arg]])),"")</f>
      </c>
      <c r="J1093" s="17">
        <f>IF(Log[[#This Row],[Verb]]="block",1,IF(OR(Log[[#This Row],[Verb]]="unblock",Log[[#This Row],[Verb]]="done",Log[[#This Row],[Verb]]="drop",Log[[#This Row],[Verb]]="punt",Log[[#This Row],[Verb]]="pass"),0,""))</f>
      </c>
      <c r="K1093" s="17">
        <f>IF(Log[[#This Row],[ID]]="",0,IFERROR(INDEX(Items[Pts],MATCH(Log[[#This Row],[ID]],Items[ID],0))*1,0))</f>
      </c>
      <c r="L1093" s="17">
        <f>IF(Log[[#This Row],[ID]]="","",IFERROR(INDEX(Items[Cur team],MATCH(Log[[#This Row],[ID]],Items[ID],0))&amp;"",""))</f>
      </c>
      <c r="M1093" s="17">
        <f>IF(OR(Log[[#This Row],[Verb]]="done",Log[[#This Row],[Verb]]="punt",Log[[#This Row],[Verb]]="drop",Log[[#This Row],[Verb]]="pass"),Log[[#This Row],[Pts]],0)</f>
      </c>
    </row>
    <row r="1094">
      <c r="A1094" s="11">
        <v>46188</v>
      </c>
      <c r="B1094" t="s">
        <v>629</v>
      </c>
      <c r="C1094" t="s">
        <v>41</v>
      </c>
      <c r="F1094" s="17">
        <f>IF(Log[[#This Row],[ID]]="","",IF(ISNA(MATCH(Log[[#This Row],[ID]],Items[ID],0)),"unknown ID",IF(ISNA(MATCH(Log[[#This Row],[Verb]],VerbList,0)),"unknown verb",IF(Log[[#This Row],[Date]]="","no date",""))))</f>
      </c>
      <c r="G1094" s="17">
        <f>IF(Log[[#This Row],[ID]]="","",IFERROR(VLOOKUP(Log[[#This Row],[Verb]],Verbs,3,FALSE)&amp;"",""))</f>
      </c>
      <c r="H1094" s="17">
        <f>IF(Log[[#This Row],[Date]]="","",INT((Log[[#This Row],[Date]]-Sprint1)/SprintDays)+1)</f>
      </c>
      <c r="I1094" s="17">
        <f>IF(OR(Log[[#This Row],[Verb]]="commit",Log[[#This Row],[Verb]]="carry",Log[[#This Row],[Verb]]="redo"),IF(Log[[#This Row],[Arg]]="",Log[[#This Row],[Sprint]],N(Log[[#This Row],[Arg]])),"")</f>
      </c>
      <c r="J1094" s="17">
        <f>IF(Log[[#This Row],[Verb]]="block",1,IF(OR(Log[[#This Row],[Verb]]="unblock",Log[[#This Row],[Verb]]="done",Log[[#This Row],[Verb]]="drop",Log[[#This Row],[Verb]]="punt",Log[[#This Row],[Verb]]="pass"),0,""))</f>
      </c>
      <c r="K1094" s="17">
        <f>IF(Log[[#This Row],[ID]]="",0,IFERROR(INDEX(Items[Pts],MATCH(Log[[#This Row],[ID]],Items[ID],0))*1,0))</f>
      </c>
      <c r="L1094" s="17">
        <f>IF(Log[[#This Row],[ID]]="","",IFERROR(INDEX(Items[Cur team],MATCH(Log[[#This Row],[ID]],Items[ID],0))&amp;"",""))</f>
      </c>
      <c r="M1094" s="17">
        <f>IF(OR(Log[[#This Row],[Verb]]="done",Log[[#This Row],[Verb]]="punt",Log[[#This Row],[Verb]]="drop",Log[[#This Row],[Verb]]="pass"),Log[[#This Row],[Pts]],0)</f>
      </c>
    </row>
    <row r="1095">
      <c r="A1095" s="11">
        <v>46188</v>
      </c>
      <c r="B1095" t="s">
        <v>630</v>
      </c>
      <c r="C1095" t="s">
        <v>41</v>
      </c>
      <c r="F1095" s="17">
        <f>IF(Log[[#This Row],[ID]]="","",IF(ISNA(MATCH(Log[[#This Row],[ID]],Items[ID],0)),"unknown ID",IF(ISNA(MATCH(Log[[#This Row],[Verb]],VerbList,0)),"unknown verb",IF(Log[[#This Row],[Date]]="","no date",""))))</f>
      </c>
      <c r="G1095" s="17">
        <f>IF(Log[[#This Row],[ID]]="","",IFERROR(VLOOKUP(Log[[#This Row],[Verb]],Verbs,3,FALSE)&amp;"",""))</f>
      </c>
      <c r="H1095" s="17">
        <f>IF(Log[[#This Row],[Date]]="","",INT((Log[[#This Row],[Date]]-Sprint1)/SprintDays)+1)</f>
      </c>
      <c r="I1095" s="17">
        <f>IF(OR(Log[[#This Row],[Verb]]="commit",Log[[#This Row],[Verb]]="carry",Log[[#This Row],[Verb]]="redo"),IF(Log[[#This Row],[Arg]]="",Log[[#This Row],[Sprint]],N(Log[[#This Row],[Arg]])),"")</f>
      </c>
      <c r="J1095" s="17">
        <f>IF(Log[[#This Row],[Verb]]="block",1,IF(OR(Log[[#This Row],[Verb]]="unblock",Log[[#This Row],[Verb]]="done",Log[[#This Row],[Verb]]="drop",Log[[#This Row],[Verb]]="punt",Log[[#This Row],[Verb]]="pass"),0,""))</f>
      </c>
      <c r="K1095" s="17">
        <f>IF(Log[[#This Row],[ID]]="",0,IFERROR(INDEX(Items[Pts],MATCH(Log[[#This Row],[ID]],Items[ID],0))*1,0))</f>
      </c>
      <c r="L1095" s="17">
        <f>IF(Log[[#This Row],[ID]]="","",IFERROR(INDEX(Items[Cur team],MATCH(Log[[#This Row],[ID]],Items[ID],0))&amp;"",""))</f>
      </c>
      <c r="M1095" s="17">
        <f>IF(OR(Log[[#This Row],[Verb]]="done",Log[[#This Row],[Verb]]="punt",Log[[#This Row],[Verb]]="drop",Log[[#This Row],[Verb]]="pass"),Log[[#This Row],[Pts]],0)</f>
      </c>
    </row>
    <row r="1096">
      <c r="A1096" s="11">
        <v>46188</v>
      </c>
      <c r="B1096" t="s">
        <v>631</v>
      </c>
      <c r="C1096" t="s">
        <v>41</v>
      </c>
      <c r="F1096" s="17">
        <f>IF(Log[[#This Row],[ID]]="","",IF(ISNA(MATCH(Log[[#This Row],[ID]],Items[ID],0)),"unknown ID",IF(ISNA(MATCH(Log[[#This Row],[Verb]],VerbList,0)),"unknown verb",IF(Log[[#This Row],[Date]]="","no date",""))))</f>
      </c>
      <c r="G1096" s="17">
        <f>IF(Log[[#This Row],[ID]]="","",IFERROR(VLOOKUP(Log[[#This Row],[Verb]],Verbs,3,FALSE)&amp;"",""))</f>
      </c>
      <c r="H1096" s="17">
        <f>IF(Log[[#This Row],[Date]]="","",INT((Log[[#This Row],[Date]]-Sprint1)/SprintDays)+1)</f>
      </c>
      <c r="I1096" s="17">
        <f>IF(OR(Log[[#This Row],[Verb]]="commit",Log[[#This Row],[Verb]]="carry",Log[[#This Row],[Verb]]="redo"),IF(Log[[#This Row],[Arg]]="",Log[[#This Row],[Sprint]],N(Log[[#This Row],[Arg]])),"")</f>
      </c>
      <c r="J1096" s="17">
        <f>IF(Log[[#This Row],[Verb]]="block",1,IF(OR(Log[[#This Row],[Verb]]="unblock",Log[[#This Row],[Verb]]="done",Log[[#This Row],[Verb]]="drop",Log[[#This Row],[Verb]]="punt",Log[[#This Row],[Verb]]="pass"),0,""))</f>
      </c>
      <c r="K1096" s="17">
        <f>IF(Log[[#This Row],[ID]]="",0,IFERROR(INDEX(Items[Pts],MATCH(Log[[#This Row],[ID]],Items[ID],0))*1,0))</f>
      </c>
      <c r="L1096" s="17">
        <f>IF(Log[[#This Row],[ID]]="","",IFERROR(INDEX(Items[Cur team],MATCH(Log[[#This Row],[ID]],Items[ID],0))&amp;"",""))</f>
      </c>
      <c r="M1096" s="17">
        <f>IF(OR(Log[[#This Row],[Verb]]="done",Log[[#This Row],[Verb]]="punt",Log[[#This Row],[Verb]]="drop",Log[[#This Row],[Verb]]="pass"),Log[[#This Row],[Pts]],0)</f>
      </c>
    </row>
    <row r="1097">
      <c r="A1097" s="11">
        <v>46188</v>
      </c>
      <c r="B1097" t="s">
        <v>632</v>
      </c>
      <c r="C1097" t="s">
        <v>41</v>
      </c>
      <c r="F1097" s="17">
        <f>IF(Log[[#This Row],[ID]]="","",IF(ISNA(MATCH(Log[[#This Row],[ID]],Items[ID],0)),"unknown ID",IF(ISNA(MATCH(Log[[#This Row],[Verb]],VerbList,0)),"unknown verb",IF(Log[[#This Row],[Date]]="","no date",""))))</f>
      </c>
      <c r="G1097" s="17">
        <f>IF(Log[[#This Row],[ID]]="","",IFERROR(VLOOKUP(Log[[#This Row],[Verb]],Verbs,3,FALSE)&amp;"",""))</f>
      </c>
      <c r="H1097" s="17">
        <f>IF(Log[[#This Row],[Date]]="","",INT((Log[[#This Row],[Date]]-Sprint1)/SprintDays)+1)</f>
      </c>
      <c r="I1097" s="17">
        <f>IF(OR(Log[[#This Row],[Verb]]="commit",Log[[#This Row],[Verb]]="carry",Log[[#This Row],[Verb]]="redo"),IF(Log[[#This Row],[Arg]]="",Log[[#This Row],[Sprint]],N(Log[[#This Row],[Arg]])),"")</f>
      </c>
      <c r="J1097" s="17">
        <f>IF(Log[[#This Row],[Verb]]="block",1,IF(OR(Log[[#This Row],[Verb]]="unblock",Log[[#This Row],[Verb]]="done",Log[[#This Row],[Verb]]="drop",Log[[#This Row],[Verb]]="punt",Log[[#This Row],[Verb]]="pass"),0,""))</f>
      </c>
      <c r="K1097" s="17">
        <f>IF(Log[[#This Row],[ID]]="",0,IFERROR(INDEX(Items[Pts],MATCH(Log[[#This Row],[ID]],Items[ID],0))*1,0))</f>
      </c>
      <c r="L1097" s="17">
        <f>IF(Log[[#This Row],[ID]]="","",IFERROR(INDEX(Items[Cur team],MATCH(Log[[#This Row],[ID]],Items[ID],0))&amp;"",""))</f>
      </c>
      <c r="M1097" s="17">
        <f>IF(OR(Log[[#This Row],[Verb]]="done",Log[[#This Row],[Verb]]="punt",Log[[#This Row],[Verb]]="drop",Log[[#This Row],[Verb]]="pass"),Log[[#This Row],[Pts]],0)</f>
      </c>
    </row>
    <row r="1098">
      <c r="A1098" s="11">
        <v>46188</v>
      </c>
      <c r="B1098" t="s">
        <v>633</v>
      </c>
      <c r="C1098" t="s">
        <v>38</v>
      </c>
      <c r="D1098">
        <v>46</v>
      </c>
      <c r="F1098" s="17">
        <f>IF(Log[[#This Row],[ID]]="","",IF(ISNA(MATCH(Log[[#This Row],[ID]],Items[ID],0)),"unknown ID",IF(ISNA(MATCH(Log[[#This Row],[Verb]],VerbList,0)),"unknown verb",IF(Log[[#This Row],[Date]]="","no date",""))))</f>
      </c>
      <c r="G1098" s="17">
        <f>IF(Log[[#This Row],[ID]]="","",IFERROR(VLOOKUP(Log[[#This Row],[Verb]],Verbs,3,FALSE)&amp;"",""))</f>
      </c>
      <c r="H1098" s="17">
        <f>IF(Log[[#This Row],[Date]]="","",INT((Log[[#This Row],[Date]]-Sprint1)/SprintDays)+1)</f>
      </c>
      <c r="I1098" s="17">
        <f>IF(OR(Log[[#This Row],[Verb]]="commit",Log[[#This Row],[Verb]]="carry",Log[[#This Row],[Verb]]="redo"),IF(Log[[#This Row],[Arg]]="",Log[[#This Row],[Sprint]],N(Log[[#This Row],[Arg]])),"")</f>
      </c>
      <c r="J1098" s="17">
        <f>IF(Log[[#This Row],[Verb]]="block",1,IF(OR(Log[[#This Row],[Verb]]="unblock",Log[[#This Row],[Verb]]="done",Log[[#This Row],[Verb]]="drop",Log[[#This Row],[Verb]]="punt",Log[[#This Row],[Verb]]="pass"),0,""))</f>
      </c>
      <c r="K1098" s="17">
        <f>IF(Log[[#This Row],[ID]]="",0,IFERROR(INDEX(Items[Pts],MATCH(Log[[#This Row],[ID]],Items[ID],0))*1,0))</f>
      </c>
      <c r="L1098" s="17">
        <f>IF(Log[[#This Row],[ID]]="","",IFERROR(INDEX(Items[Cur team],MATCH(Log[[#This Row],[ID]],Items[ID],0))&amp;"",""))</f>
      </c>
      <c r="M1098" s="17">
        <f>IF(OR(Log[[#This Row],[Verb]]="done",Log[[#This Row],[Verb]]="punt",Log[[#This Row],[Verb]]="drop",Log[[#This Row],[Verb]]="pass"),Log[[#This Row],[Pts]],0)</f>
      </c>
    </row>
    <row r="1099">
      <c r="A1099" s="11">
        <v>46188</v>
      </c>
      <c r="B1099" t="s">
        <v>634</v>
      </c>
      <c r="C1099" t="s">
        <v>41</v>
      </c>
      <c r="F1099" s="17">
        <f>IF(Log[[#This Row],[ID]]="","",IF(ISNA(MATCH(Log[[#This Row],[ID]],Items[ID],0)),"unknown ID",IF(ISNA(MATCH(Log[[#This Row],[Verb]],VerbList,0)),"unknown verb",IF(Log[[#This Row],[Date]]="","no date",""))))</f>
      </c>
      <c r="G1099" s="17">
        <f>IF(Log[[#This Row],[ID]]="","",IFERROR(VLOOKUP(Log[[#This Row],[Verb]],Verbs,3,FALSE)&amp;"",""))</f>
      </c>
      <c r="H1099" s="17">
        <f>IF(Log[[#This Row],[Date]]="","",INT((Log[[#This Row],[Date]]-Sprint1)/SprintDays)+1)</f>
      </c>
      <c r="I1099" s="17">
        <f>IF(OR(Log[[#This Row],[Verb]]="commit",Log[[#This Row],[Verb]]="carry",Log[[#This Row],[Verb]]="redo"),IF(Log[[#This Row],[Arg]]="",Log[[#This Row],[Sprint]],N(Log[[#This Row],[Arg]])),"")</f>
      </c>
      <c r="J1099" s="17">
        <f>IF(Log[[#This Row],[Verb]]="block",1,IF(OR(Log[[#This Row],[Verb]]="unblock",Log[[#This Row],[Verb]]="done",Log[[#This Row],[Verb]]="drop",Log[[#This Row],[Verb]]="punt",Log[[#This Row],[Verb]]="pass"),0,""))</f>
      </c>
      <c r="K1099" s="17">
        <f>IF(Log[[#This Row],[ID]]="",0,IFERROR(INDEX(Items[Pts],MATCH(Log[[#This Row],[ID]],Items[ID],0))*1,0))</f>
      </c>
      <c r="L1099" s="17">
        <f>IF(Log[[#This Row],[ID]]="","",IFERROR(INDEX(Items[Cur team],MATCH(Log[[#This Row],[ID]],Items[ID],0))&amp;"",""))</f>
      </c>
      <c r="M1099" s="17">
        <f>IF(OR(Log[[#This Row],[Verb]]="done",Log[[#This Row],[Verb]]="punt",Log[[#This Row],[Verb]]="drop",Log[[#This Row],[Verb]]="pass"),Log[[#This Row],[Pts]],0)</f>
      </c>
    </row>
    <row r="1100">
      <c r="A1100" s="11">
        <v>46188</v>
      </c>
      <c r="B1100" t="s">
        <v>635</v>
      </c>
      <c r="C1100" t="s">
        <v>41</v>
      </c>
      <c r="F1100" s="17">
        <f>IF(Log[[#This Row],[ID]]="","",IF(ISNA(MATCH(Log[[#This Row],[ID]],Items[ID],0)),"unknown ID",IF(ISNA(MATCH(Log[[#This Row],[Verb]],VerbList,0)),"unknown verb",IF(Log[[#This Row],[Date]]="","no date",""))))</f>
      </c>
      <c r="G1100" s="17">
        <f>IF(Log[[#This Row],[ID]]="","",IFERROR(VLOOKUP(Log[[#This Row],[Verb]],Verbs,3,FALSE)&amp;"",""))</f>
      </c>
      <c r="H1100" s="17">
        <f>IF(Log[[#This Row],[Date]]="","",INT((Log[[#This Row],[Date]]-Sprint1)/SprintDays)+1)</f>
      </c>
      <c r="I1100" s="17">
        <f>IF(OR(Log[[#This Row],[Verb]]="commit",Log[[#This Row],[Verb]]="carry",Log[[#This Row],[Verb]]="redo"),IF(Log[[#This Row],[Arg]]="",Log[[#This Row],[Sprint]],N(Log[[#This Row],[Arg]])),"")</f>
      </c>
      <c r="J1100" s="17">
        <f>IF(Log[[#This Row],[Verb]]="block",1,IF(OR(Log[[#This Row],[Verb]]="unblock",Log[[#This Row],[Verb]]="done",Log[[#This Row],[Verb]]="drop",Log[[#This Row],[Verb]]="punt",Log[[#This Row],[Verb]]="pass"),0,""))</f>
      </c>
      <c r="K1100" s="17">
        <f>IF(Log[[#This Row],[ID]]="",0,IFERROR(INDEX(Items[Pts],MATCH(Log[[#This Row],[ID]],Items[ID],0))*1,0))</f>
      </c>
      <c r="L1100" s="17">
        <f>IF(Log[[#This Row],[ID]]="","",IFERROR(INDEX(Items[Cur team],MATCH(Log[[#This Row],[ID]],Items[ID],0))&amp;"",""))</f>
      </c>
      <c r="M1100" s="17">
        <f>IF(OR(Log[[#This Row],[Verb]]="done",Log[[#This Row],[Verb]]="punt",Log[[#This Row],[Verb]]="drop",Log[[#This Row],[Verb]]="pass"),Log[[#This Row],[Pts]],0)</f>
      </c>
    </row>
    <row r="1101">
      <c r="A1101" s="11">
        <v>46188</v>
      </c>
      <c r="B1101" t="s">
        <v>636</v>
      </c>
      <c r="C1101" t="s">
        <v>41</v>
      </c>
      <c r="F1101" s="17">
        <f>IF(Log[[#This Row],[ID]]="","",IF(ISNA(MATCH(Log[[#This Row],[ID]],Items[ID],0)),"unknown ID",IF(ISNA(MATCH(Log[[#This Row],[Verb]],VerbList,0)),"unknown verb",IF(Log[[#This Row],[Date]]="","no date",""))))</f>
      </c>
      <c r="G1101" s="17">
        <f>IF(Log[[#This Row],[ID]]="","",IFERROR(VLOOKUP(Log[[#This Row],[Verb]],Verbs,3,FALSE)&amp;"",""))</f>
      </c>
      <c r="H1101" s="17">
        <f>IF(Log[[#This Row],[Date]]="","",INT((Log[[#This Row],[Date]]-Sprint1)/SprintDays)+1)</f>
      </c>
      <c r="I1101" s="17">
        <f>IF(OR(Log[[#This Row],[Verb]]="commit",Log[[#This Row],[Verb]]="carry",Log[[#This Row],[Verb]]="redo"),IF(Log[[#This Row],[Arg]]="",Log[[#This Row],[Sprint]],N(Log[[#This Row],[Arg]])),"")</f>
      </c>
      <c r="J1101" s="17">
        <f>IF(Log[[#This Row],[Verb]]="block",1,IF(OR(Log[[#This Row],[Verb]]="unblock",Log[[#This Row],[Verb]]="done",Log[[#This Row],[Verb]]="drop",Log[[#This Row],[Verb]]="punt",Log[[#This Row],[Verb]]="pass"),0,""))</f>
      </c>
      <c r="K1101" s="17">
        <f>IF(Log[[#This Row],[ID]]="",0,IFERROR(INDEX(Items[Pts],MATCH(Log[[#This Row],[ID]],Items[ID],0))*1,0))</f>
      </c>
      <c r="L1101" s="17">
        <f>IF(Log[[#This Row],[ID]]="","",IFERROR(INDEX(Items[Cur team],MATCH(Log[[#This Row],[ID]],Items[ID],0))&amp;"",""))</f>
      </c>
      <c r="M1101" s="17">
        <f>IF(OR(Log[[#This Row],[Verb]]="done",Log[[#This Row],[Verb]]="punt",Log[[#This Row],[Verb]]="drop",Log[[#This Row],[Verb]]="pass"),Log[[#This Row],[Pts]],0)</f>
      </c>
    </row>
    <row r="1102">
      <c r="A1102" s="11">
        <v>46188</v>
      </c>
      <c r="B1102" t="s">
        <v>637</v>
      </c>
      <c r="C1102" t="s">
        <v>41</v>
      </c>
      <c r="F1102" s="17">
        <f>IF(Log[[#This Row],[ID]]="","",IF(ISNA(MATCH(Log[[#This Row],[ID]],Items[ID],0)),"unknown ID",IF(ISNA(MATCH(Log[[#This Row],[Verb]],VerbList,0)),"unknown verb",IF(Log[[#This Row],[Date]]="","no date",""))))</f>
      </c>
      <c r="G1102" s="17">
        <f>IF(Log[[#This Row],[ID]]="","",IFERROR(VLOOKUP(Log[[#This Row],[Verb]],Verbs,3,FALSE)&amp;"",""))</f>
      </c>
      <c r="H1102" s="17">
        <f>IF(Log[[#This Row],[Date]]="","",INT((Log[[#This Row],[Date]]-Sprint1)/SprintDays)+1)</f>
      </c>
      <c r="I1102" s="17">
        <f>IF(OR(Log[[#This Row],[Verb]]="commit",Log[[#This Row],[Verb]]="carry",Log[[#This Row],[Verb]]="redo"),IF(Log[[#This Row],[Arg]]="",Log[[#This Row],[Sprint]],N(Log[[#This Row],[Arg]])),"")</f>
      </c>
      <c r="J1102" s="17">
        <f>IF(Log[[#This Row],[Verb]]="block",1,IF(OR(Log[[#This Row],[Verb]]="unblock",Log[[#This Row],[Verb]]="done",Log[[#This Row],[Verb]]="drop",Log[[#This Row],[Verb]]="punt",Log[[#This Row],[Verb]]="pass"),0,""))</f>
      </c>
      <c r="K1102" s="17">
        <f>IF(Log[[#This Row],[ID]]="",0,IFERROR(INDEX(Items[Pts],MATCH(Log[[#This Row],[ID]],Items[ID],0))*1,0))</f>
      </c>
      <c r="L1102" s="17">
        <f>IF(Log[[#This Row],[ID]]="","",IFERROR(INDEX(Items[Cur team],MATCH(Log[[#This Row],[ID]],Items[ID],0))&amp;"",""))</f>
      </c>
      <c r="M1102" s="17">
        <f>IF(OR(Log[[#This Row],[Verb]]="done",Log[[#This Row],[Verb]]="punt",Log[[#This Row],[Verb]]="drop",Log[[#This Row],[Verb]]="pass"),Log[[#This Row],[Pts]],0)</f>
      </c>
    </row>
    <row r="1103">
      <c r="A1103" s="11">
        <v>46188</v>
      </c>
      <c r="B1103" t="s">
        <v>475</v>
      </c>
      <c r="C1103" t="s">
        <v>38</v>
      </c>
      <c r="D1103">
        <v>46</v>
      </c>
      <c r="F1103" s="17">
        <f>IF(Log[[#This Row],[ID]]="","",IF(ISNA(MATCH(Log[[#This Row],[ID]],Items[ID],0)),"unknown ID",IF(ISNA(MATCH(Log[[#This Row],[Verb]],VerbList,0)),"unknown verb",IF(Log[[#This Row],[Date]]="","no date",""))))</f>
      </c>
      <c r="G1103" s="17">
        <f>IF(Log[[#This Row],[ID]]="","",IFERROR(VLOOKUP(Log[[#This Row],[Verb]],Verbs,3,FALSE)&amp;"",""))</f>
      </c>
      <c r="H1103" s="17">
        <f>IF(Log[[#This Row],[Date]]="","",INT((Log[[#This Row],[Date]]-Sprint1)/SprintDays)+1)</f>
      </c>
      <c r="I1103" s="17">
        <f>IF(OR(Log[[#This Row],[Verb]]="commit",Log[[#This Row],[Verb]]="carry",Log[[#This Row],[Verb]]="redo"),IF(Log[[#This Row],[Arg]]="",Log[[#This Row],[Sprint]],N(Log[[#This Row],[Arg]])),"")</f>
      </c>
      <c r="J1103" s="17">
        <f>IF(Log[[#This Row],[Verb]]="block",1,IF(OR(Log[[#This Row],[Verb]]="unblock",Log[[#This Row],[Verb]]="done",Log[[#This Row],[Verb]]="drop",Log[[#This Row],[Verb]]="punt",Log[[#This Row],[Verb]]="pass"),0,""))</f>
      </c>
      <c r="K1103" s="17">
        <f>IF(Log[[#This Row],[ID]]="",0,IFERROR(INDEX(Items[Pts],MATCH(Log[[#This Row],[ID]],Items[ID],0))*1,0))</f>
      </c>
      <c r="L1103" s="17">
        <f>IF(Log[[#This Row],[ID]]="","",IFERROR(INDEX(Items[Cur team],MATCH(Log[[#This Row],[ID]],Items[ID],0))&amp;"",""))</f>
      </c>
      <c r="M1103" s="17">
        <f>IF(OR(Log[[#This Row],[Verb]]="done",Log[[#This Row],[Verb]]="punt",Log[[#This Row],[Verb]]="drop",Log[[#This Row],[Verb]]="pass"),Log[[#This Row],[Pts]],0)</f>
      </c>
    </row>
    <row r="1104">
      <c r="A1104" s="11">
        <v>46188</v>
      </c>
      <c r="B1104" t="s">
        <v>581</v>
      </c>
      <c r="C1104" t="s">
        <v>41</v>
      </c>
      <c r="F1104" s="17">
        <f>IF(Log[[#This Row],[ID]]="","",IF(ISNA(MATCH(Log[[#This Row],[ID]],Items[ID],0)),"unknown ID",IF(ISNA(MATCH(Log[[#This Row],[Verb]],VerbList,0)),"unknown verb",IF(Log[[#This Row],[Date]]="","no date",""))))</f>
      </c>
      <c r="G1104" s="17">
        <f>IF(Log[[#This Row],[ID]]="","",IFERROR(VLOOKUP(Log[[#This Row],[Verb]],Verbs,3,FALSE)&amp;"",""))</f>
      </c>
      <c r="H1104" s="17">
        <f>IF(Log[[#This Row],[Date]]="","",INT((Log[[#This Row],[Date]]-Sprint1)/SprintDays)+1)</f>
      </c>
      <c r="I1104" s="17">
        <f>IF(OR(Log[[#This Row],[Verb]]="commit",Log[[#This Row],[Verb]]="carry",Log[[#This Row],[Verb]]="redo"),IF(Log[[#This Row],[Arg]]="",Log[[#This Row],[Sprint]],N(Log[[#This Row],[Arg]])),"")</f>
      </c>
      <c r="J1104" s="17">
        <f>IF(Log[[#This Row],[Verb]]="block",1,IF(OR(Log[[#This Row],[Verb]]="unblock",Log[[#This Row],[Verb]]="done",Log[[#This Row],[Verb]]="drop",Log[[#This Row],[Verb]]="punt",Log[[#This Row],[Verb]]="pass"),0,""))</f>
      </c>
      <c r="K1104" s="17">
        <f>IF(Log[[#This Row],[ID]]="",0,IFERROR(INDEX(Items[Pts],MATCH(Log[[#This Row],[ID]],Items[ID],0))*1,0))</f>
      </c>
      <c r="L1104" s="17">
        <f>IF(Log[[#This Row],[ID]]="","",IFERROR(INDEX(Items[Cur team],MATCH(Log[[#This Row],[ID]],Items[ID],0))&amp;"",""))</f>
      </c>
      <c r="M1104" s="17">
        <f>IF(OR(Log[[#This Row],[Verb]]="done",Log[[#This Row],[Verb]]="punt",Log[[#This Row],[Verb]]="drop",Log[[#This Row],[Verb]]="pass"),Log[[#This Row],[Pts]],0)</f>
      </c>
    </row>
    <row r="1105">
      <c r="A1105" s="11">
        <v>46188</v>
      </c>
      <c r="B1105" t="s">
        <v>638</v>
      </c>
      <c r="C1105" t="s">
        <v>41</v>
      </c>
      <c r="F1105" s="17">
        <f>IF(Log[[#This Row],[ID]]="","",IF(ISNA(MATCH(Log[[#This Row],[ID]],Items[ID],0)),"unknown ID",IF(ISNA(MATCH(Log[[#This Row],[Verb]],VerbList,0)),"unknown verb",IF(Log[[#This Row],[Date]]="","no date",""))))</f>
      </c>
      <c r="G1105" s="17">
        <f>IF(Log[[#This Row],[ID]]="","",IFERROR(VLOOKUP(Log[[#This Row],[Verb]],Verbs,3,FALSE)&amp;"",""))</f>
      </c>
      <c r="H1105" s="17">
        <f>IF(Log[[#This Row],[Date]]="","",INT((Log[[#This Row],[Date]]-Sprint1)/SprintDays)+1)</f>
      </c>
      <c r="I1105" s="17">
        <f>IF(OR(Log[[#This Row],[Verb]]="commit",Log[[#This Row],[Verb]]="carry",Log[[#This Row],[Verb]]="redo"),IF(Log[[#This Row],[Arg]]="",Log[[#This Row],[Sprint]],N(Log[[#This Row],[Arg]])),"")</f>
      </c>
      <c r="J1105" s="17">
        <f>IF(Log[[#This Row],[Verb]]="block",1,IF(OR(Log[[#This Row],[Verb]]="unblock",Log[[#This Row],[Verb]]="done",Log[[#This Row],[Verb]]="drop",Log[[#This Row],[Verb]]="punt",Log[[#This Row],[Verb]]="pass"),0,""))</f>
      </c>
      <c r="K1105" s="17">
        <f>IF(Log[[#This Row],[ID]]="",0,IFERROR(INDEX(Items[Pts],MATCH(Log[[#This Row],[ID]],Items[ID],0))*1,0))</f>
      </c>
      <c r="L1105" s="17">
        <f>IF(Log[[#This Row],[ID]]="","",IFERROR(INDEX(Items[Cur team],MATCH(Log[[#This Row],[ID]],Items[ID],0))&amp;"",""))</f>
      </c>
      <c r="M1105" s="17">
        <f>IF(OR(Log[[#This Row],[Verb]]="done",Log[[#This Row],[Verb]]="punt",Log[[#This Row],[Verb]]="drop",Log[[#This Row],[Verb]]="pass"),Log[[#This Row],[Pts]],0)</f>
      </c>
    </row>
    <row r="1106">
      <c r="A1106" s="11">
        <v>46188</v>
      </c>
      <c r="B1106" t="s">
        <v>639</v>
      </c>
      <c r="C1106" t="s">
        <v>41</v>
      </c>
      <c r="F1106" s="17">
        <f>IF(Log[[#This Row],[ID]]="","",IF(ISNA(MATCH(Log[[#This Row],[ID]],Items[ID],0)),"unknown ID",IF(ISNA(MATCH(Log[[#This Row],[Verb]],VerbList,0)),"unknown verb",IF(Log[[#This Row],[Date]]="","no date",""))))</f>
      </c>
      <c r="G1106" s="17">
        <f>IF(Log[[#This Row],[ID]]="","",IFERROR(VLOOKUP(Log[[#This Row],[Verb]],Verbs,3,FALSE)&amp;"",""))</f>
      </c>
      <c r="H1106" s="17">
        <f>IF(Log[[#This Row],[Date]]="","",INT((Log[[#This Row],[Date]]-Sprint1)/SprintDays)+1)</f>
      </c>
      <c r="I1106" s="17">
        <f>IF(OR(Log[[#This Row],[Verb]]="commit",Log[[#This Row],[Verb]]="carry",Log[[#This Row],[Verb]]="redo"),IF(Log[[#This Row],[Arg]]="",Log[[#This Row],[Sprint]],N(Log[[#This Row],[Arg]])),"")</f>
      </c>
      <c r="J1106" s="17">
        <f>IF(Log[[#This Row],[Verb]]="block",1,IF(OR(Log[[#This Row],[Verb]]="unblock",Log[[#This Row],[Verb]]="done",Log[[#This Row],[Verb]]="drop",Log[[#This Row],[Verb]]="punt",Log[[#This Row],[Verb]]="pass"),0,""))</f>
      </c>
      <c r="K1106" s="17">
        <f>IF(Log[[#This Row],[ID]]="",0,IFERROR(INDEX(Items[Pts],MATCH(Log[[#This Row],[ID]],Items[ID],0))*1,0))</f>
      </c>
      <c r="L1106" s="17">
        <f>IF(Log[[#This Row],[ID]]="","",IFERROR(INDEX(Items[Cur team],MATCH(Log[[#This Row],[ID]],Items[ID],0))&amp;"",""))</f>
      </c>
      <c r="M1106" s="17">
        <f>IF(OR(Log[[#This Row],[Verb]]="done",Log[[#This Row],[Verb]]="punt",Log[[#This Row],[Verb]]="drop",Log[[#This Row],[Verb]]="pass"),Log[[#This Row],[Pts]],0)</f>
      </c>
    </row>
    <row r="1107">
      <c r="A1107" s="11">
        <v>46188</v>
      </c>
      <c r="B1107" t="s">
        <v>640</v>
      </c>
      <c r="C1107" t="s">
        <v>38</v>
      </c>
      <c r="D1107">
        <v>46</v>
      </c>
      <c r="F1107" s="17">
        <f>IF(Log[[#This Row],[ID]]="","",IF(ISNA(MATCH(Log[[#This Row],[ID]],Items[ID],0)),"unknown ID",IF(ISNA(MATCH(Log[[#This Row],[Verb]],VerbList,0)),"unknown verb",IF(Log[[#This Row],[Date]]="","no date",""))))</f>
      </c>
      <c r="G1107" s="17">
        <f>IF(Log[[#This Row],[ID]]="","",IFERROR(VLOOKUP(Log[[#This Row],[Verb]],Verbs,3,FALSE)&amp;"",""))</f>
      </c>
      <c r="H1107" s="17">
        <f>IF(Log[[#This Row],[Date]]="","",INT((Log[[#This Row],[Date]]-Sprint1)/SprintDays)+1)</f>
      </c>
      <c r="I1107" s="17">
        <f>IF(OR(Log[[#This Row],[Verb]]="commit",Log[[#This Row],[Verb]]="carry",Log[[#This Row],[Verb]]="redo"),IF(Log[[#This Row],[Arg]]="",Log[[#This Row],[Sprint]],N(Log[[#This Row],[Arg]])),"")</f>
      </c>
      <c r="J1107" s="17">
        <f>IF(Log[[#This Row],[Verb]]="block",1,IF(OR(Log[[#This Row],[Verb]]="unblock",Log[[#This Row],[Verb]]="done",Log[[#This Row],[Verb]]="drop",Log[[#This Row],[Verb]]="punt",Log[[#This Row],[Verb]]="pass"),0,""))</f>
      </c>
      <c r="K1107" s="17">
        <f>IF(Log[[#This Row],[ID]]="",0,IFERROR(INDEX(Items[Pts],MATCH(Log[[#This Row],[ID]],Items[ID],0))*1,0))</f>
      </c>
      <c r="L1107" s="17">
        <f>IF(Log[[#This Row],[ID]]="","",IFERROR(INDEX(Items[Cur team],MATCH(Log[[#This Row],[ID]],Items[ID],0))&amp;"",""))</f>
      </c>
      <c r="M1107" s="17">
        <f>IF(OR(Log[[#This Row],[Verb]]="done",Log[[#This Row],[Verb]]="punt",Log[[#This Row],[Verb]]="drop",Log[[#This Row],[Verb]]="pass"),Log[[#This Row],[Pts]],0)</f>
      </c>
    </row>
    <row r="1108">
      <c r="A1108" s="11">
        <v>46188</v>
      </c>
      <c r="B1108" t="s">
        <v>641</v>
      </c>
      <c r="C1108" t="s">
        <v>41</v>
      </c>
      <c r="F1108" s="17">
        <f>IF(Log[[#This Row],[ID]]="","",IF(ISNA(MATCH(Log[[#This Row],[ID]],Items[ID],0)),"unknown ID",IF(ISNA(MATCH(Log[[#This Row],[Verb]],VerbList,0)),"unknown verb",IF(Log[[#This Row],[Date]]="","no date",""))))</f>
      </c>
      <c r="G1108" s="17">
        <f>IF(Log[[#This Row],[ID]]="","",IFERROR(VLOOKUP(Log[[#This Row],[Verb]],Verbs,3,FALSE)&amp;"",""))</f>
      </c>
      <c r="H1108" s="17">
        <f>IF(Log[[#This Row],[Date]]="","",INT((Log[[#This Row],[Date]]-Sprint1)/SprintDays)+1)</f>
      </c>
      <c r="I1108" s="17">
        <f>IF(OR(Log[[#This Row],[Verb]]="commit",Log[[#This Row],[Verb]]="carry",Log[[#This Row],[Verb]]="redo"),IF(Log[[#This Row],[Arg]]="",Log[[#This Row],[Sprint]],N(Log[[#This Row],[Arg]])),"")</f>
      </c>
      <c r="J1108" s="17">
        <f>IF(Log[[#This Row],[Verb]]="block",1,IF(OR(Log[[#This Row],[Verb]]="unblock",Log[[#This Row],[Verb]]="done",Log[[#This Row],[Verb]]="drop",Log[[#This Row],[Verb]]="punt",Log[[#This Row],[Verb]]="pass"),0,""))</f>
      </c>
      <c r="K1108" s="17">
        <f>IF(Log[[#This Row],[ID]]="",0,IFERROR(INDEX(Items[Pts],MATCH(Log[[#This Row],[ID]],Items[ID],0))*1,0))</f>
      </c>
      <c r="L1108" s="17">
        <f>IF(Log[[#This Row],[ID]]="","",IFERROR(INDEX(Items[Cur team],MATCH(Log[[#This Row],[ID]],Items[ID],0))&amp;"",""))</f>
      </c>
      <c r="M1108" s="17">
        <f>IF(OR(Log[[#This Row],[Verb]]="done",Log[[#This Row],[Verb]]="punt",Log[[#This Row],[Verb]]="drop",Log[[#This Row],[Verb]]="pass"),Log[[#This Row],[Pts]],0)</f>
      </c>
    </row>
    <row r="1109">
      <c r="A1109" s="11">
        <v>46188</v>
      </c>
      <c r="B1109" t="s">
        <v>642</v>
      </c>
      <c r="C1109" t="s">
        <v>41</v>
      </c>
      <c r="F1109" s="17">
        <f>IF(Log[[#This Row],[ID]]="","",IF(ISNA(MATCH(Log[[#This Row],[ID]],Items[ID],0)),"unknown ID",IF(ISNA(MATCH(Log[[#This Row],[Verb]],VerbList,0)),"unknown verb",IF(Log[[#This Row],[Date]]="","no date",""))))</f>
      </c>
      <c r="G1109" s="17">
        <f>IF(Log[[#This Row],[ID]]="","",IFERROR(VLOOKUP(Log[[#This Row],[Verb]],Verbs,3,FALSE)&amp;"",""))</f>
      </c>
      <c r="H1109" s="17">
        <f>IF(Log[[#This Row],[Date]]="","",INT((Log[[#This Row],[Date]]-Sprint1)/SprintDays)+1)</f>
      </c>
      <c r="I1109" s="17">
        <f>IF(OR(Log[[#This Row],[Verb]]="commit",Log[[#This Row],[Verb]]="carry",Log[[#This Row],[Verb]]="redo"),IF(Log[[#This Row],[Arg]]="",Log[[#This Row],[Sprint]],N(Log[[#This Row],[Arg]])),"")</f>
      </c>
      <c r="J1109" s="17">
        <f>IF(Log[[#This Row],[Verb]]="block",1,IF(OR(Log[[#This Row],[Verb]]="unblock",Log[[#This Row],[Verb]]="done",Log[[#This Row],[Verb]]="drop",Log[[#This Row],[Verb]]="punt",Log[[#This Row],[Verb]]="pass"),0,""))</f>
      </c>
      <c r="K1109" s="17">
        <f>IF(Log[[#This Row],[ID]]="",0,IFERROR(INDEX(Items[Pts],MATCH(Log[[#This Row],[ID]],Items[ID],0))*1,0))</f>
      </c>
      <c r="L1109" s="17">
        <f>IF(Log[[#This Row],[ID]]="","",IFERROR(INDEX(Items[Cur team],MATCH(Log[[#This Row],[ID]],Items[ID],0))&amp;"",""))</f>
      </c>
      <c r="M1109" s="17">
        <f>IF(OR(Log[[#This Row],[Verb]]="done",Log[[#This Row],[Verb]]="punt",Log[[#This Row],[Verb]]="drop",Log[[#This Row],[Verb]]="pass"),Log[[#This Row],[Pts]],0)</f>
      </c>
    </row>
    <row r="1110">
      <c r="A1110" s="11">
        <v>46188</v>
      </c>
      <c r="B1110" t="s">
        <v>643</v>
      </c>
      <c r="C1110" t="s">
        <v>41</v>
      </c>
      <c r="F1110" s="17">
        <f>IF(Log[[#This Row],[ID]]="","",IF(ISNA(MATCH(Log[[#This Row],[ID]],Items[ID],0)),"unknown ID",IF(ISNA(MATCH(Log[[#This Row],[Verb]],VerbList,0)),"unknown verb",IF(Log[[#This Row],[Date]]="","no date",""))))</f>
      </c>
      <c r="G1110" s="17">
        <f>IF(Log[[#This Row],[ID]]="","",IFERROR(VLOOKUP(Log[[#This Row],[Verb]],Verbs,3,FALSE)&amp;"",""))</f>
      </c>
      <c r="H1110" s="17">
        <f>IF(Log[[#This Row],[Date]]="","",INT((Log[[#This Row],[Date]]-Sprint1)/SprintDays)+1)</f>
      </c>
      <c r="I1110" s="17">
        <f>IF(OR(Log[[#This Row],[Verb]]="commit",Log[[#This Row],[Verb]]="carry",Log[[#This Row],[Verb]]="redo"),IF(Log[[#This Row],[Arg]]="",Log[[#This Row],[Sprint]],N(Log[[#This Row],[Arg]])),"")</f>
      </c>
      <c r="J1110" s="17">
        <f>IF(Log[[#This Row],[Verb]]="block",1,IF(OR(Log[[#This Row],[Verb]]="unblock",Log[[#This Row],[Verb]]="done",Log[[#This Row],[Verb]]="drop",Log[[#This Row],[Verb]]="punt",Log[[#This Row],[Verb]]="pass"),0,""))</f>
      </c>
      <c r="K1110" s="17">
        <f>IF(Log[[#This Row],[ID]]="",0,IFERROR(INDEX(Items[Pts],MATCH(Log[[#This Row],[ID]],Items[ID],0))*1,0))</f>
      </c>
      <c r="L1110" s="17">
        <f>IF(Log[[#This Row],[ID]]="","",IFERROR(INDEX(Items[Cur team],MATCH(Log[[#This Row],[ID]],Items[ID],0))&amp;"",""))</f>
      </c>
      <c r="M1110" s="17">
        <f>IF(OR(Log[[#This Row],[Verb]]="done",Log[[#This Row],[Verb]]="punt",Log[[#This Row],[Verb]]="drop",Log[[#This Row],[Verb]]="pass"),Log[[#This Row],[Pts]],0)</f>
      </c>
    </row>
    <row r="1111">
      <c r="A1111" s="11">
        <v>46188</v>
      </c>
      <c r="B1111" t="s">
        <v>535</v>
      </c>
      <c r="C1111" t="s">
        <v>38</v>
      </c>
      <c r="D1111">
        <v>46</v>
      </c>
      <c r="F1111" s="17">
        <f>IF(Log[[#This Row],[ID]]="","",IF(ISNA(MATCH(Log[[#This Row],[ID]],Items[ID],0)),"unknown ID",IF(ISNA(MATCH(Log[[#This Row],[Verb]],VerbList,0)),"unknown verb",IF(Log[[#This Row],[Date]]="","no date",""))))</f>
      </c>
      <c r="G1111" s="17">
        <f>IF(Log[[#This Row],[ID]]="","",IFERROR(VLOOKUP(Log[[#This Row],[Verb]],Verbs,3,FALSE)&amp;"",""))</f>
      </c>
      <c r="H1111" s="17">
        <f>IF(Log[[#This Row],[Date]]="","",INT((Log[[#This Row],[Date]]-Sprint1)/SprintDays)+1)</f>
      </c>
      <c r="I1111" s="17">
        <f>IF(OR(Log[[#This Row],[Verb]]="commit",Log[[#This Row],[Verb]]="carry",Log[[#This Row],[Verb]]="redo"),IF(Log[[#This Row],[Arg]]="",Log[[#This Row],[Sprint]],N(Log[[#This Row],[Arg]])),"")</f>
      </c>
      <c r="J1111" s="17">
        <f>IF(Log[[#This Row],[Verb]]="block",1,IF(OR(Log[[#This Row],[Verb]]="unblock",Log[[#This Row],[Verb]]="done",Log[[#This Row],[Verb]]="drop",Log[[#This Row],[Verb]]="punt",Log[[#This Row],[Verb]]="pass"),0,""))</f>
      </c>
      <c r="K1111" s="17">
        <f>IF(Log[[#This Row],[ID]]="",0,IFERROR(INDEX(Items[Pts],MATCH(Log[[#This Row],[ID]],Items[ID],0))*1,0))</f>
      </c>
      <c r="L1111" s="17">
        <f>IF(Log[[#This Row],[ID]]="","",IFERROR(INDEX(Items[Cur team],MATCH(Log[[#This Row],[ID]],Items[ID],0))&amp;"",""))</f>
      </c>
      <c r="M1111" s="17">
        <f>IF(OR(Log[[#This Row],[Verb]]="done",Log[[#This Row],[Verb]]="punt",Log[[#This Row],[Verb]]="drop",Log[[#This Row],[Verb]]="pass"),Log[[#This Row],[Pts]],0)</f>
      </c>
    </row>
    <row r="1112">
      <c r="A1112" s="11">
        <v>46188</v>
      </c>
      <c r="B1112" t="s">
        <v>584</v>
      </c>
      <c r="C1112" t="s">
        <v>41</v>
      </c>
      <c r="F1112" s="17">
        <f>IF(Log[[#This Row],[ID]]="","",IF(ISNA(MATCH(Log[[#This Row],[ID]],Items[ID],0)),"unknown ID",IF(ISNA(MATCH(Log[[#This Row],[Verb]],VerbList,0)),"unknown verb",IF(Log[[#This Row],[Date]]="","no date",""))))</f>
      </c>
      <c r="G1112" s="17">
        <f>IF(Log[[#This Row],[ID]]="","",IFERROR(VLOOKUP(Log[[#This Row],[Verb]],Verbs,3,FALSE)&amp;"",""))</f>
      </c>
      <c r="H1112" s="17">
        <f>IF(Log[[#This Row],[Date]]="","",INT((Log[[#This Row],[Date]]-Sprint1)/SprintDays)+1)</f>
      </c>
      <c r="I1112" s="17">
        <f>IF(OR(Log[[#This Row],[Verb]]="commit",Log[[#This Row],[Verb]]="carry",Log[[#This Row],[Verb]]="redo"),IF(Log[[#This Row],[Arg]]="",Log[[#This Row],[Sprint]],N(Log[[#This Row],[Arg]])),"")</f>
      </c>
      <c r="J1112" s="17">
        <f>IF(Log[[#This Row],[Verb]]="block",1,IF(OR(Log[[#This Row],[Verb]]="unblock",Log[[#This Row],[Verb]]="done",Log[[#This Row],[Verb]]="drop",Log[[#This Row],[Verb]]="punt",Log[[#This Row],[Verb]]="pass"),0,""))</f>
      </c>
      <c r="K1112" s="17">
        <f>IF(Log[[#This Row],[ID]]="",0,IFERROR(INDEX(Items[Pts],MATCH(Log[[#This Row],[ID]],Items[ID],0))*1,0))</f>
      </c>
      <c r="L1112" s="17">
        <f>IF(Log[[#This Row],[ID]]="","",IFERROR(INDEX(Items[Cur team],MATCH(Log[[#This Row],[ID]],Items[ID],0))&amp;"",""))</f>
      </c>
      <c r="M1112" s="17">
        <f>IF(OR(Log[[#This Row],[Verb]]="done",Log[[#This Row],[Verb]]="punt",Log[[#This Row],[Verb]]="drop",Log[[#This Row],[Verb]]="pass"),Log[[#This Row],[Pts]],0)</f>
      </c>
    </row>
    <row r="1113">
      <c r="A1113" s="11">
        <v>46188</v>
      </c>
      <c r="B1113" t="s">
        <v>586</v>
      </c>
      <c r="C1113" t="s">
        <v>41</v>
      </c>
      <c r="F1113" s="17">
        <f>IF(Log[[#This Row],[ID]]="","",IF(ISNA(MATCH(Log[[#This Row],[ID]],Items[ID],0)),"unknown ID",IF(ISNA(MATCH(Log[[#This Row],[Verb]],VerbList,0)),"unknown verb",IF(Log[[#This Row],[Date]]="","no date",""))))</f>
      </c>
      <c r="G1113" s="17">
        <f>IF(Log[[#This Row],[ID]]="","",IFERROR(VLOOKUP(Log[[#This Row],[Verb]],Verbs,3,FALSE)&amp;"",""))</f>
      </c>
      <c r="H1113" s="17">
        <f>IF(Log[[#This Row],[Date]]="","",INT((Log[[#This Row],[Date]]-Sprint1)/SprintDays)+1)</f>
      </c>
      <c r="I1113" s="17">
        <f>IF(OR(Log[[#This Row],[Verb]]="commit",Log[[#This Row],[Verb]]="carry",Log[[#This Row],[Verb]]="redo"),IF(Log[[#This Row],[Arg]]="",Log[[#This Row],[Sprint]],N(Log[[#This Row],[Arg]])),"")</f>
      </c>
      <c r="J1113" s="17">
        <f>IF(Log[[#This Row],[Verb]]="block",1,IF(OR(Log[[#This Row],[Verb]]="unblock",Log[[#This Row],[Verb]]="done",Log[[#This Row],[Verb]]="drop",Log[[#This Row],[Verb]]="punt",Log[[#This Row],[Verb]]="pass"),0,""))</f>
      </c>
      <c r="K1113" s="17">
        <f>IF(Log[[#This Row],[ID]]="",0,IFERROR(INDEX(Items[Pts],MATCH(Log[[#This Row],[ID]],Items[ID],0))*1,0))</f>
      </c>
      <c r="L1113" s="17">
        <f>IF(Log[[#This Row],[ID]]="","",IFERROR(INDEX(Items[Cur team],MATCH(Log[[#This Row],[ID]],Items[ID],0))&amp;"",""))</f>
      </c>
      <c r="M1113" s="17">
        <f>IF(OR(Log[[#This Row],[Verb]]="done",Log[[#This Row],[Verb]]="punt",Log[[#This Row],[Verb]]="drop",Log[[#This Row],[Verb]]="pass"),Log[[#This Row],[Pts]],0)</f>
      </c>
    </row>
    <row r="1114">
      <c r="A1114" s="11">
        <v>46188</v>
      </c>
      <c r="B1114" t="s">
        <v>587</v>
      </c>
      <c r="C1114" t="s">
        <v>54</v>
      </c>
      <c r="E1114" t="s">
        <v>235</v>
      </c>
      <c r="F1114" s="17">
        <f>IF(Log[[#This Row],[ID]]="","",IF(ISNA(MATCH(Log[[#This Row],[ID]],Items[ID],0)),"unknown ID",IF(ISNA(MATCH(Log[[#This Row],[Verb]],VerbList,0)),"unknown verb",IF(Log[[#This Row],[Date]]="","no date",""))))</f>
      </c>
      <c r="G1114" s="17">
        <f>IF(Log[[#This Row],[ID]]="","",IFERROR(VLOOKUP(Log[[#This Row],[Verb]],Verbs,3,FALSE)&amp;"",""))</f>
      </c>
      <c r="H1114" s="17">
        <f>IF(Log[[#This Row],[Date]]="","",INT((Log[[#This Row],[Date]]-Sprint1)/SprintDays)+1)</f>
      </c>
      <c r="I1114" s="17">
        <f>IF(OR(Log[[#This Row],[Verb]]="commit",Log[[#This Row],[Verb]]="carry",Log[[#This Row],[Verb]]="redo"),IF(Log[[#This Row],[Arg]]="",Log[[#This Row],[Sprint]],N(Log[[#This Row],[Arg]])),"")</f>
      </c>
      <c r="J1114" s="17">
        <f>IF(Log[[#This Row],[Verb]]="block",1,IF(OR(Log[[#This Row],[Verb]]="unblock",Log[[#This Row],[Verb]]="done",Log[[#This Row],[Verb]]="drop",Log[[#This Row],[Verb]]="punt",Log[[#This Row],[Verb]]="pass"),0,""))</f>
      </c>
      <c r="K1114" s="17">
        <f>IF(Log[[#This Row],[ID]]="",0,IFERROR(INDEX(Items[Pts],MATCH(Log[[#This Row],[ID]],Items[ID],0))*1,0))</f>
      </c>
      <c r="L1114" s="17">
        <f>IF(Log[[#This Row],[ID]]="","",IFERROR(INDEX(Items[Cur team],MATCH(Log[[#This Row],[ID]],Items[ID],0))&amp;"",""))</f>
      </c>
      <c r="M1114" s="17">
        <f>IF(OR(Log[[#This Row],[Verb]]="done",Log[[#This Row],[Verb]]="punt",Log[[#This Row],[Verb]]="drop",Log[[#This Row],[Verb]]="pass"),Log[[#This Row],[Pts]],0)</f>
      </c>
    </row>
    <row r="1115">
      <c r="A1115" s="11">
        <v>46188</v>
      </c>
      <c r="B1115" t="s">
        <v>644</v>
      </c>
      <c r="C1115" t="s">
        <v>41</v>
      </c>
      <c r="F1115" s="17">
        <f>IF(Log[[#This Row],[ID]]="","",IF(ISNA(MATCH(Log[[#This Row],[ID]],Items[ID],0)),"unknown ID",IF(ISNA(MATCH(Log[[#This Row],[Verb]],VerbList,0)),"unknown verb",IF(Log[[#This Row],[Date]]="","no date",""))))</f>
      </c>
      <c r="G1115" s="17">
        <f>IF(Log[[#This Row],[ID]]="","",IFERROR(VLOOKUP(Log[[#This Row],[Verb]],Verbs,3,FALSE)&amp;"",""))</f>
      </c>
      <c r="H1115" s="17">
        <f>IF(Log[[#This Row],[Date]]="","",INT((Log[[#This Row],[Date]]-Sprint1)/SprintDays)+1)</f>
      </c>
      <c r="I1115" s="17">
        <f>IF(OR(Log[[#This Row],[Verb]]="commit",Log[[#This Row],[Verb]]="carry",Log[[#This Row],[Verb]]="redo"),IF(Log[[#This Row],[Arg]]="",Log[[#This Row],[Sprint]],N(Log[[#This Row],[Arg]])),"")</f>
      </c>
      <c r="J1115" s="17">
        <f>IF(Log[[#This Row],[Verb]]="block",1,IF(OR(Log[[#This Row],[Verb]]="unblock",Log[[#This Row],[Verb]]="done",Log[[#This Row],[Verb]]="drop",Log[[#This Row],[Verb]]="punt",Log[[#This Row],[Verb]]="pass"),0,""))</f>
      </c>
      <c r="K1115" s="17">
        <f>IF(Log[[#This Row],[ID]]="",0,IFERROR(INDEX(Items[Pts],MATCH(Log[[#This Row],[ID]],Items[ID],0))*1,0))</f>
      </c>
      <c r="L1115" s="17">
        <f>IF(Log[[#This Row],[ID]]="","",IFERROR(INDEX(Items[Cur team],MATCH(Log[[#This Row],[ID]],Items[ID],0))&amp;"",""))</f>
      </c>
      <c r="M1115" s="17">
        <f>IF(OR(Log[[#This Row],[Verb]]="done",Log[[#This Row],[Verb]]="punt",Log[[#This Row],[Verb]]="drop",Log[[#This Row],[Verb]]="pass"),Log[[#This Row],[Pts]],0)</f>
      </c>
    </row>
    <row r="1116">
      <c r="A1116" s="11">
        <v>46188</v>
      </c>
      <c r="B1116" t="s">
        <v>645</v>
      </c>
      <c r="C1116" t="s">
        <v>41</v>
      </c>
      <c r="F1116" s="17">
        <f>IF(Log[[#This Row],[ID]]="","",IF(ISNA(MATCH(Log[[#This Row],[ID]],Items[ID],0)),"unknown ID",IF(ISNA(MATCH(Log[[#This Row],[Verb]],VerbList,0)),"unknown verb",IF(Log[[#This Row],[Date]]="","no date",""))))</f>
      </c>
      <c r="G1116" s="17">
        <f>IF(Log[[#This Row],[ID]]="","",IFERROR(VLOOKUP(Log[[#This Row],[Verb]],Verbs,3,FALSE)&amp;"",""))</f>
      </c>
      <c r="H1116" s="17">
        <f>IF(Log[[#This Row],[Date]]="","",INT((Log[[#This Row],[Date]]-Sprint1)/SprintDays)+1)</f>
      </c>
      <c r="I1116" s="17">
        <f>IF(OR(Log[[#This Row],[Verb]]="commit",Log[[#This Row],[Verb]]="carry",Log[[#This Row],[Verb]]="redo"),IF(Log[[#This Row],[Arg]]="",Log[[#This Row],[Sprint]],N(Log[[#This Row],[Arg]])),"")</f>
      </c>
      <c r="J1116" s="17">
        <f>IF(Log[[#This Row],[Verb]]="block",1,IF(OR(Log[[#This Row],[Verb]]="unblock",Log[[#This Row],[Verb]]="done",Log[[#This Row],[Verb]]="drop",Log[[#This Row],[Verb]]="punt",Log[[#This Row],[Verb]]="pass"),0,""))</f>
      </c>
      <c r="K1116" s="17">
        <f>IF(Log[[#This Row],[ID]]="",0,IFERROR(INDEX(Items[Pts],MATCH(Log[[#This Row],[ID]],Items[ID],0))*1,0))</f>
      </c>
      <c r="L1116" s="17">
        <f>IF(Log[[#This Row],[ID]]="","",IFERROR(INDEX(Items[Cur team],MATCH(Log[[#This Row],[ID]],Items[ID],0))&amp;"",""))</f>
      </c>
      <c r="M1116" s="17">
        <f>IF(OR(Log[[#This Row],[Verb]]="done",Log[[#This Row],[Verb]]="punt",Log[[#This Row],[Verb]]="drop",Log[[#This Row],[Verb]]="pass"),Log[[#This Row],[Pts]],0)</f>
      </c>
    </row>
    <row r="1117">
      <c r="A1117" s="11">
        <v>46188</v>
      </c>
      <c r="B1117" t="s">
        <v>646</v>
      </c>
      <c r="C1117" t="s">
        <v>38</v>
      </c>
      <c r="D1117">
        <v>46</v>
      </c>
      <c r="F1117" s="17">
        <f>IF(Log[[#This Row],[ID]]="","",IF(ISNA(MATCH(Log[[#This Row],[ID]],Items[ID],0)),"unknown ID",IF(ISNA(MATCH(Log[[#This Row],[Verb]],VerbList,0)),"unknown verb",IF(Log[[#This Row],[Date]]="","no date",""))))</f>
      </c>
      <c r="G1117" s="17">
        <f>IF(Log[[#This Row],[ID]]="","",IFERROR(VLOOKUP(Log[[#This Row],[Verb]],Verbs,3,FALSE)&amp;"",""))</f>
      </c>
      <c r="H1117" s="17">
        <f>IF(Log[[#This Row],[Date]]="","",INT((Log[[#This Row],[Date]]-Sprint1)/SprintDays)+1)</f>
      </c>
      <c r="I1117" s="17">
        <f>IF(OR(Log[[#This Row],[Verb]]="commit",Log[[#This Row],[Verb]]="carry",Log[[#This Row],[Verb]]="redo"),IF(Log[[#This Row],[Arg]]="",Log[[#This Row],[Sprint]],N(Log[[#This Row],[Arg]])),"")</f>
      </c>
      <c r="J1117" s="17">
        <f>IF(Log[[#This Row],[Verb]]="block",1,IF(OR(Log[[#This Row],[Verb]]="unblock",Log[[#This Row],[Verb]]="done",Log[[#This Row],[Verb]]="drop",Log[[#This Row],[Verb]]="punt",Log[[#This Row],[Verb]]="pass"),0,""))</f>
      </c>
      <c r="K1117" s="17">
        <f>IF(Log[[#This Row],[ID]]="",0,IFERROR(INDEX(Items[Pts],MATCH(Log[[#This Row],[ID]],Items[ID],0))*1,0))</f>
      </c>
      <c r="L1117" s="17">
        <f>IF(Log[[#This Row],[ID]]="","",IFERROR(INDEX(Items[Cur team],MATCH(Log[[#This Row],[ID]],Items[ID],0))&amp;"",""))</f>
      </c>
      <c r="M1117" s="17">
        <f>IF(OR(Log[[#This Row],[Verb]]="done",Log[[#This Row],[Verb]]="punt",Log[[#This Row],[Verb]]="drop",Log[[#This Row],[Verb]]="pass"),Log[[#This Row],[Pts]],0)</f>
      </c>
    </row>
    <row r="1118">
      <c r="A1118" s="11">
        <v>46188</v>
      </c>
      <c r="B1118" t="s">
        <v>647</v>
      </c>
      <c r="C1118" t="s">
        <v>41</v>
      </c>
      <c r="F1118" s="17">
        <f>IF(Log[[#This Row],[ID]]="","",IF(ISNA(MATCH(Log[[#This Row],[ID]],Items[ID],0)),"unknown ID",IF(ISNA(MATCH(Log[[#This Row],[Verb]],VerbList,0)),"unknown verb",IF(Log[[#This Row],[Date]]="","no date",""))))</f>
      </c>
      <c r="G1118" s="17">
        <f>IF(Log[[#This Row],[ID]]="","",IFERROR(VLOOKUP(Log[[#This Row],[Verb]],Verbs,3,FALSE)&amp;"",""))</f>
      </c>
      <c r="H1118" s="17">
        <f>IF(Log[[#This Row],[Date]]="","",INT((Log[[#This Row],[Date]]-Sprint1)/SprintDays)+1)</f>
      </c>
      <c r="I1118" s="17">
        <f>IF(OR(Log[[#This Row],[Verb]]="commit",Log[[#This Row],[Verb]]="carry",Log[[#This Row],[Verb]]="redo"),IF(Log[[#This Row],[Arg]]="",Log[[#This Row],[Sprint]],N(Log[[#This Row],[Arg]])),"")</f>
      </c>
      <c r="J1118" s="17">
        <f>IF(Log[[#This Row],[Verb]]="block",1,IF(OR(Log[[#This Row],[Verb]]="unblock",Log[[#This Row],[Verb]]="done",Log[[#This Row],[Verb]]="drop",Log[[#This Row],[Verb]]="punt",Log[[#This Row],[Verb]]="pass"),0,""))</f>
      </c>
      <c r="K1118" s="17">
        <f>IF(Log[[#This Row],[ID]]="",0,IFERROR(INDEX(Items[Pts],MATCH(Log[[#This Row],[ID]],Items[ID],0))*1,0))</f>
      </c>
      <c r="L1118" s="17">
        <f>IF(Log[[#This Row],[ID]]="","",IFERROR(INDEX(Items[Cur team],MATCH(Log[[#This Row],[ID]],Items[ID],0))&amp;"",""))</f>
      </c>
      <c r="M1118" s="17">
        <f>IF(OR(Log[[#This Row],[Verb]]="done",Log[[#This Row],[Verb]]="punt",Log[[#This Row],[Verb]]="drop",Log[[#This Row],[Verb]]="pass"),Log[[#This Row],[Pts]],0)</f>
      </c>
    </row>
    <row r="1119">
      <c r="A1119" s="11">
        <v>46188</v>
      </c>
      <c r="B1119" t="s">
        <v>537</v>
      </c>
      <c r="C1119" t="s">
        <v>38</v>
      </c>
      <c r="D1119">
        <v>46</v>
      </c>
      <c r="F1119" s="17">
        <f>IF(Log[[#This Row],[ID]]="","",IF(ISNA(MATCH(Log[[#This Row],[ID]],Items[ID],0)),"unknown ID",IF(ISNA(MATCH(Log[[#This Row],[Verb]],VerbList,0)),"unknown verb",IF(Log[[#This Row],[Date]]="","no date",""))))</f>
      </c>
      <c r="G1119" s="17">
        <f>IF(Log[[#This Row],[ID]]="","",IFERROR(VLOOKUP(Log[[#This Row],[Verb]],Verbs,3,FALSE)&amp;"",""))</f>
      </c>
      <c r="H1119" s="17">
        <f>IF(Log[[#This Row],[Date]]="","",INT((Log[[#This Row],[Date]]-Sprint1)/SprintDays)+1)</f>
      </c>
      <c r="I1119" s="17">
        <f>IF(OR(Log[[#This Row],[Verb]]="commit",Log[[#This Row],[Verb]]="carry",Log[[#This Row],[Verb]]="redo"),IF(Log[[#This Row],[Arg]]="",Log[[#This Row],[Sprint]],N(Log[[#This Row],[Arg]])),"")</f>
      </c>
      <c r="J1119" s="17">
        <f>IF(Log[[#This Row],[Verb]]="block",1,IF(OR(Log[[#This Row],[Verb]]="unblock",Log[[#This Row],[Verb]]="done",Log[[#This Row],[Verb]]="drop",Log[[#This Row],[Verb]]="punt",Log[[#This Row],[Verb]]="pass"),0,""))</f>
      </c>
      <c r="K1119" s="17">
        <f>IF(Log[[#This Row],[ID]]="",0,IFERROR(INDEX(Items[Pts],MATCH(Log[[#This Row],[ID]],Items[ID],0))*1,0))</f>
      </c>
      <c r="L1119" s="17">
        <f>IF(Log[[#This Row],[ID]]="","",IFERROR(INDEX(Items[Cur team],MATCH(Log[[#This Row],[ID]],Items[ID],0))&amp;"",""))</f>
      </c>
      <c r="M1119" s="17">
        <f>IF(OR(Log[[#This Row],[Verb]]="done",Log[[#This Row],[Verb]]="punt",Log[[#This Row],[Verb]]="drop",Log[[#This Row],[Verb]]="pass"),Log[[#This Row],[Pts]],0)</f>
      </c>
    </row>
    <row r="1120">
      <c r="A1120" s="11">
        <v>46188</v>
      </c>
      <c r="B1120" t="s">
        <v>648</v>
      </c>
      <c r="C1120" t="s">
        <v>41</v>
      </c>
      <c r="F1120" s="17">
        <f>IF(Log[[#This Row],[ID]]="","",IF(ISNA(MATCH(Log[[#This Row],[ID]],Items[ID],0)),"unknown ID",IF(ISNA(MATCH(Log[[#This Row],[Verb]],VerbList,0)),"unknown verb",IF(Log[[#This Row],[Date]]="","no date",""))))</f>
      </c>
      <c r="G1120" s="17">
        <f>IF(Log[[#This Row],[ID]]="","",IFERROR(VLOOKUP(Log[[#This Row],[Verb]],Verbs,3,FALSE)&amp;"",""))</f>
      </c>
      <c r="H1120" s="17">
        <f>IF(Log[[#This Row],[Date]]="","",INT((Log[[#This Row],[Date]]-Sprint1)/SprintDays)+1)</f>
      </c>
      <c r="I1120" s="17">
        <f>IF(OR(Log[[#This Row],[Verb]]="commit",Log[[#This Row],[Verb]]="carry",Log[[#This Row],[Verb]]="redo"),IF(Log[[#This Row],[Arg]]="",Log[[#This Row],[Sprint]],N(Log[[#This Row],[Arg]])),"")</f>
      </c>
      <c r="J1120" s="17">
        <f>IF(Log[[#This Row],[Verb]]="block",1,IF(OR(Log[[#This Row],[Verb]]="unblock",Log[[#This Row],[Verb]]="done",Log[[#This Row],[Verb]]="drop",Log[[#This Row],[Verb]]="punt",Log[[#This Row],[Verb]]="pass"),0,""))</f>
      </c>
      <c r="K1120" s="17">
        <f>IF(Log[[#This Row],[ID]]="",0,IFERROR(INDEX(Items[Pts],MATCH(Log[[#This Row],[ID]],Items[ID],0))*1,0))</f>
      </c>
      <c r="L1120" s="17">
        <f>IF(Log[[#This Row],[ID]]="","",IFERROR(INDEX(Items[Cur team],MATCH(Log[[#This Row],[ID]],Items[ID],0))&amp;"",""))</f>
      </c>
      <c r="M1120" s="17">
        <f>IF(OR(Log[[#This Row],[Verb]]="done",Log[[#This Row],[Verb]]="punt",Log[[#This Row],[Verb]]="drop",Log[[#This Row],[Verb]]="pass"),Log[[#This Row],[Pts]],0)</f>
      </c>
    </row>
    <row r="1121">
      <c r="A1121" s="11">
        <v>46188</v>
      </c>
      <c r="B1121" t="s">
        <v>649</v>
      </c>
      <c r="C1121" t="s">
        <v>38</v>
      </c>
      <c r="D1121">
        <v>46</v>
      </c>
      <c r="F1121" s="17">
        <f>IF(Log[[#This Row],[ID]]="","",IF(ISNA(MATCH(Log[[#This Row],[ID]],Items[ID],0)),"unknown ID",IF(ISNA(MATCH(Log[[#This Row],[Verb]],VerbList,0)),"unknown verb",IF(Log[[#This Row],[Date]]="","no date",""))))</f>
      </c>
      <c r="G1121" s="17">
        <f>IF(Log[[#This Row],[ID]]="","",IFERROR(VLOOKUP(Log[[#This Row],[Verb]],Verbs,3,FALSE)&amp;"",""))</f>
      </c>
      <c r="H1121" s="17">
        <f>IF(Log[[#This Row],[Date]]="","",INT((Log[[#This Row],[Date]]-Sprint1)/SprintDays)+1)</f>
      </c>
      <c r="I1121" s="17">
        <f>IF(OR(Log[[#This Row],[Verb]]="commit",Log[[#This Row],[Verb]]="carry",Log[[#This Row],[Verb]]="redo"),IF(Log[[#This Row],[Arg]]="",Log[[#This Row],[Sprint]],N(Log[[#This Row],[Arg]])),"")</f>
      </c>
      <c r="J1121" s="17">
        <f>IF(Log[[#This Row],[Verb]]="block",1,IF(OR(Log[[#This Row],[Verb]]="unblock",Log[[#This Row],[Verb]]="done",Log[[#This Row],[Verb]]="drop",Log[[#This Row],[Verb]]="punt",Log[[#This Row],[Verb]]="pass"),0,""))</f>
      </c>
      <c r="K1121" s="17">
        <f>IF(Log[[#This Row],[ID]]="",0,IFERROR(INDEX(Items[Pts],MATCH(Log[[#This Row],[ID]],Items[ID],0))*1,0))</f>
      </c>
      <c r="L1121" s="17">
        <f>IF(Log[[#This Row],[ID]]="","",IFERROR(INDEX(Items[Cur team],MATCH(Log[[#This Row],[ID]],Items[ID],0))&amp;"",""))</f>
      </c>
      <c r="M1121" s="17">
        <f>IF(OR(Log[[#This Row],[Verb]]="done",Log[[#This Row],[Verb]]="punt",Log[[#This Row],[Verb]]="drop",Log[[#This Row],[Verb]]="pass"),Log[[#This Row],[Pts]],0)</f>
      </c>
    </row>
    <row r="1122">
      <c r="A1122" s="11">
        <v>46188</v>
      </c>
      <c r="B1122" t="s">
        <v>650</v>
      </c>
      <c r="C1122" t="s">
        <v>41</v>
      </c>
      <c r="F1122" s="17">
        <f>IF(Log[[#This Row],[ID]]="","",IF(ISNA(MATCH(Log[[#This Row],[ID]],Items[ID],0)),"unknown ID",IF(ISNA(MATCH(Log[[#This Row],[Verb]],VerbList,0)),"unknown verb",IF(Log[[#This Row],[Date]]="","no date",""))))</f>
      </c>
      <c r="G1122" s="17">
        <f>IF(Log[[#This Row],[ID]]="","",IFERROR(VLOOKUP(Log[[#This Row],[Verb]],Verbs,3,FALSE)&amp;"",""))</f>
      </c>
      <c r="H1122" s="17">
        <f>IF(Log[[#This Row],[Date]]="","",INT((Log[[#This Row],[Date]]-Sprint1)/SprintDays)+1)</f>
      </c>
      <c r="I1122" s="17">
        <f>IF(OR(Log[[#This Row],[Verb]]="commit",Log[[#This Row],[Verb]]="carry",Log[[#This Row],[Verb]]="redo"),IF(Log[[#This Row],[Arg]]="",Log[[#This Row],[Sprint]],N(Log[[#This Row],[Arg]])),"")</f>
      </c>
      <c r="J1122" s="17">
        <f>IF(Log[[#This Row],[Verb]]="block",1,IF(OR(Log[[#This Row],[Verb]]="unblock",Log[[#This Row],[Verb]]="done",Log[[#This Row],[Verb]]="drop",Log[[#This Row],[Verb]]="punt",Log[[#This Row],[Verb]]="pass"),0,""))</f>
      </c>
      <c r="K1122" s="17">
        <f>IF(Log[[#This Row],[ID]]="",0,IFERROR(INDEX(Items[Pts],MATCH(Log[[#This Row],[ID]],Items[ID],0))*1,0))</f>
      </c>
      <c r="L1122" s="17">
        <f>IF(Log[[#This Row],[ID]]="","",IFERROR(INDEX(Items[Cur team],MATCH(Log[[#This Row],[ID]],Items[ID],0))&amp;"",""))</f>
      </c>
      <c r="M1122" s="17">
        <f>IF(OR(Log[[#This Row],[Verb]]="done",Log[[#This Row],[Verb]]="punt",Log[[#This Row],[Verb]]="drop",Log[[#This Row],[Verb]]="pass"),Log[[#This Row],[Pts]],0)</f>
      </c>
    </row>
    <row r="1123">
      <c r="A1123" s="11">
        <v>46188</v>
      </c>
      <c r="B1123" t="s">
        <v>651</v>
      </c>
      <c r="C1123" t="s">
        <v>41</v>
      </c>
      <c r="F1123" s="17">
        <f>IF(Log[[#This Row],[ID]]="","",IF(ISNA(MATCH(Log[[#This Row],[ID]],Items[ID],0)),"unknown ID",IF(ISNA(MATCH(Log[[#This Row],[Verb]],VerbList,0)),"unknown verb",IF(Log[[#This Row],[Date]]="","no date",""))))</f>
      </c>
      <c r="G1123" s="17">
        <f>IF(Log[[#This Row],[ID]]="","",IFERROR(VLOOKUP(Log[[#This Row],[Verb]],Verbs,3,FALSE)&amp;"",""))</f>
      </c>
      <c r="H1123" s="17">
        <f>IF(Log[[#This Row],[Date]]="","",INT((Log[[#This Row],[Date]]-Sprint1)/SprintDays)+1)</f>
      </c>
      <c r="I1123" s="17">
        <f>IF(OR(Log[[#This Row],[Verb]]="commit",Log[[#This Row],[Verb]]="carry",Log[[#This Row],[Verb]]="redo"),IF(Log[[#This Row],[Arg]]="",Log[[#This Row],[Sprint]],N(Log[[#This Row],[Arg]])),"")</f>
      </c>
      <c r="J1123" s="17">
        <f>IF(Log[[#This Row],[Verb]]="block",1,IF(OR(Log[[#This Row],[Verb]]="unblock",Log[[#This Row],[Verb]]="done",Log[[#This Row],[Verb]]="drop",Log[[#This Row],[Verb]]="punt",Log[[#This Row],[Verb]]="pass"),0,""))</f>
      </c>
      <c r="K1123" s="17">
        <f>IF(Log[[#This Row],[ID]]="",0,IFERROR(INDEX(Items[Pts],MATCH(Log[[#This Row],[ID]],Items[ID],0))*1,0))</f>
      </c>
      <c r="L1123" s="17">
        <f>IF(Log[[#This Row],[ID]]="","",IFERROR(INDEX(Items[Cur team],MATCH(Log[[#This Row],[ID]],Items[ID],0))&amp;"",""))</f>
      </c>
      <c r="M1123" s="17">
        <f>IF(OR(Log[[#This Row],[Verb]]="done",Log[[#This Row],[Verb]]="punt",Log[[#This Row],[Verb]]="drop",Log[[#This Row],[Verb]]="pass"),Log[[#This Row],[Pts]],0)</f>
      </c>
    </row>
    <row r="1124">
      <c r="A1124" s="11">
        <v>46188</v>
      </c>
      <c r="B1124" t="s">
        <v>652</v>
      </c>
      <c r="C1124" t="s">
        <v>41</v>
      </c>
      <c r="F1124" s="17">
        <f>IF(Log[[#This Row],[ID]]="","",IF(ISNA(MATCH(Log[[#This Row],[ID]],Items[ID],0)),"unknown ID",IF(ISNA(MATCH(Log[[#This Row],[Verb]],VerbList,0)),"unknown verb",IF(Log[[#This Row],[Date]]="","no date",""))))</f>
      </c>
      <c r="G1124" s="17">
        <f>IF(Log[[#This Row],[ID]]="","",IFERROR(VLOOKUP(Log[[#This Row],[Verb]],Verbs,3,FALSE)&amp;"",""))</f>
      </c>
      <c r="H1124" s="17">
        <f>IF(Log[[#This Row],[Date]]="","",INT((Log[[#This Row],[Date]]-Sprint1)/SprintDays)+1)</f>
      </c>
      <c r="I1124" s="17">
        <f>IF(OR(Log[[#This Row],[Verb]]="commit",Log[[#This Row],[Verb]]="carry",Log[[#This Row],[Verb]]="redo"),IF(Log[[#This Row],[Arg]]="",Log[[#This Row],[Sprint]],N(Log[[#This Row],[Arg]])),"")</f>
      </c>
      <c r="J1124" s="17">
        <f>IF(Log[[#This Row],[Verb]]="block",1,IF(OR(Log[[#This Row],[Verb]]="unblock",Log[[#This Row],[Verb]]="done",Log[[#This Row],[Verb]]="drop",Log[[#This Row],[Verb]]="punt",Log[[#This Row],[Verb]]="pass"),0,""))</f>
      </c>
      <c r="K1124" s="17">
        <f>IF(Log[[#This Row],[ID]]="",0,IFERROR(INDEX(Items[Pts],MATCH(Log[[#This Row],[ID]],Items[ID],0))*1,0))</f>
      </c>
      <c r="L1124" s="17">
        <f>IF(Log[[#This Row],[ID]]="","",IFERROR(INDEX(Items[Cur team],MATCH(Log[[#This Row],[ID]],Items[ID],0))&amp;"",""))</f>
      </c>
      <c r="M1124" s="17">
        <f>IF(OR(Log[[#This Row],[Verb]]="done",Log[[#This Row],[Verb]]="punt",Log[[#This Row],[Verb]]="drop",Log[[#This Row],[Verb]]="pass"),Log[[#This Row],[Pts]],0)</f>
      </c>
    </row>
    <row r="1125">
      <c r="A1125" s="11">
        <v>46188</v>
      </c>
      <c r="B1125" t="s">
        <v>653</v>
      </c>
      <c r="C1125" t="s">
        <v>41</v>
      </c>
      <c r="F1125" s="17">
        <f>IF(Log[[#This Row],[ID]]="","",IF(ISNA(MATCH(Log[[#This Row],[ID]],Items[ID],0)),"unknown ID",IF(ISNA(MATCH(Log[[#This Row],[Verb]],VerbList,0)),"unknown verb",IF(Log[[#This Row],[Date]]="","no date",""))))</f>
      </c>
      <c r="G1125" s="17">
        <f>IF(Log[[#This Row],[ID]]="","",IFERROR(VLOOKUP(Log[[#This Row],[Verb]],Verbs,3,FALSE)&amp;"",""))</f>
      </c>
      <c r="H1125" s="17">
        <f>IF(Log[[#This Row],[Date]]="","",INT((Log[[#This Row],[Date]]-Sprint1)/SprintDays)+1)</f>
      </c>
      <c r="I1125" s="17">
        <f>IF(OR(Log[[#This Row],[Verb]]="commit",Log[[#This Row],[Verb]]="carry",Log[[#This Row],[Verb]]="redo"),IF(Log[[#This Row],[Arg]]="",Log[[#This Row],[Sprint]],N(Log[[#This Row],[Arg]])),"")</f>
      </c>
      <c r="J1125" s="17">
        <f>IF(Log[[#This Row],[Verb]]="block",1,IF(OR(Log[[#This Row],[Verb]]="unblock",Log[[#This Row],[Verb]]="done",Log[[#This Row],[Verb]]="drop",Log[[#This Row],[Verb]]="punt",Log[[#This Row],[Verb]]="pass"),0,""))</f>
      </c>
      <c r="K1125" s="17">
        <f>IF(Log[[#This Row],[ID]]="",0,IFERROR(INDEX(Items[Pts],MATCH(Log[[#This Row],[ID]],Items[ID],0))*1,0))</f>
      </c>
      <c r="L1125" s="17">
        <f>IF(Log[[#This Row],[ID]]="","",IFERROR(INDEX(Items[Cur team],MATCH(Log[[#This Row],[ID]],Items[ID],0))&amp;"",""))</f>
      </c>
      <c r="M1125" s="17">
        <f>IF(OR(Log[[#This Row],[Verb]]="done",Log[[#This Row],[Verb]]="punt",Log[[#This Row],[Verb]]="drop",Log[[#This Row],[Verb]]="pass"),Log[[#This Row],[Pts]],0)</f>
      </c>
    </row>
    <row r="1126">
      <c r="A1126" s="11">
        <v>46188</v>
      </c>
      <c r="B1126" t="s">
        <v>654</v>
      </c>
      <c r="C1126" t="s">
        <v>41</v>
      </c>
      <c r="F1126" s="17">
        <f>IF(Log[[#This Row],[ID]]="","",IF(ISNA(MATCH(Log[[#This Row],[ID]],Items[ID],0)),"unknown ID",IF(ISNA(MATCH(Log[[#This Row],[Verb]],VerbList,0)),"unknown verb",IF(Log[[#This Row],[Date]]="","no date",""))))</f>
      </c>
      <c r="G1126" s="17">
        <f>IF(Log[[#This Row],[ID]]="","",IFERROR(VLOOKUP(Log[[#This Row],[Verb]],Verbs,3,FALSE)&amp;"",""))</f>
      </c>
      <c r="H1126" s="17">
        <f>IF(Log[[#This Row],[Date]]="","",INT((Log[[#This Row],[Date]]-Sprint1)/SprintDays)+1)</f>
      </c>
      <c r="I1126" s="17">
        <f>IF(OR(Log[[#This Row],[Verb]]="commit",Log[[#This Row],[Verb]]="carry",Log[[#This Row],[Verb]]="redo"),IF(Log[[#This Row],[Arg]]="",Log[[#This Row],[Sprint]],N(Log[[#This Row],[Arg]])),"")</f>
      </c>
      <c r="J1126" s="17">
        <f>IF(Log[[#This Row],[Verb]]="block",1,IF(OR(Log[[#This Row],[Verb]]="unblock",Log[[#This Row],[Verb]]="done",Log[[#This Row],[Verb]]="drop",Log[[#This Row],[Verb]]="punt",Log[[#This Row],[Verb]]="pass"),0,""))</f>
      </c>
      <c r="K1126" s="17">
        <f>IF(Log[[#This Row],[ID]]="",0,IFERROR(INDEX(Items[Pts],MATCH(Log[[#This Row],[ID]],Items[ID],0))*1,0))</f>
      </c>
      <c r="L1126" s="17">
        <f>IF(Log[[#This Row],[ID]]="","",IFERROR(INDEX(Items[Cur team],MATCH(Log[[#This Row],[ID]],Items[ID],0))&amp;"",""))</f>
      </c>
      <c r="M1126" s="17">
        <f>IF(OR(Log[[#This Row],[Verb]]="done",Log[[#This Row],[Verb]]="punt",Log[[#This Row],[Verb]]="drop",Log[[#This Row],[Verb]]="pass"),Log[[#This Row],[Pts]],0)</f>
      </c>
    </row>
    <row r="1127">
      <c r="A1127" s="11">
        <v>46189</v>
      </c>
      <c r="B1127" t="s">
        <v>655</v>
      </c>
      <c r="C1127" t="s">
        <v>34</v>
      </c>
      <c r="D1127">
        <v>46</v>
      </c>
      <c r="F1127" s="17">
        <f>IF(Log[[#This Row],[ID]]="","",IF(ISNA(MATCH(Log[[#This Row],[ID]],Items[ID],0)),"unknown ID",IF(ISNA(MATCH(Log[[#This Row],[Verb]],VerbList,0)),"unknown verb",IF(Log[[#This Row],[Date]]="","no date",""))))</f>
      </c>
      <c r="G1127" s="17">
        <f>IF(Log[[#This Row],[ID]]="","",IFERROR(VLOOKUP(Log[[#This Row],[Verb]],Verbs,3,FALSE)&amp;"",""))</f>
      </c>
      <c r="H1127" s="17">
        <f>IF(Log[[#This Row],[Date]]="","",INT((Log[[#This Row],[Date]]-Sprint1)/SprintDays)+1)</f>
      </c>
      <c r="I1127" s="17">
        <f>IF(OR(Log[[#This Row],[Verb]]="commit",Log[[#This Row],[Verb]]="carry",Log[[#This Row],[Verb]]="redo"),IF(Log[[#This Row],[Arg]]="",Log[[#This Row],[Sprint]],N(Log[[#This Row],[Arg]])),"")</f>
      </c>
      <c r="J1127" s="17">
        <f>IF(Log[[#This Row],[Verb]]="block",1,IF(OR(Log[[#This Row],[Verb]]="unblock",Log[[#This Row],[Verb]]="done",Log[[#This Row],[Verb]]="drop",Log[[#This Row],[Verb]]="punt",Log[[#This Row],[Verb]]="pass"),0,""))</f>
      </c>
      <c r="K1127" s="17">
        <f>IF(Log[[#This Row],[ID]]="",0,IFERROR(INDEX(Items[Pts],MATCH(Log[[#This Row],[ID]],Items[ID],0))*1,0))</f>
      </c>
      <c r="L1127" s="17">
        <f>IF(Log[[#This Row],[ID]]="","",IFERROR(INDEX(Items[Cur team],MATCH(Log[[#This Row],[ID]],Items[ID],0))&amp;"",""))</f>
      </c>
      <c r="M1127" s="17">
        <f>IF(OR(Log[[#This Row],[Verb]]="done",Log[[#This Row],[Verb]]="punt",Log[[#This Row],[Verb]]="drop",Log[[#This Row],[Verb]]="pass"),Log[[#This Row],[Pts]],0)</f>
      </c>
    </row>
    <row r="1128">
      <c r="A1128" s="11">
        <v>46189</v>
      </c>
      <c r="B1128" t="s">
        <v>656</v>
      </c>
      <c r="C1128" t="s">
        <v>34</v>
      </c>
      <c r="D1128">
        <v>46</v>
      </c>
      <c r="F1128" s="17">
        <f>IF(Log[[#This Row],[ID]]="","",IF(ISNA(MATCH(Log[[#This Row],[ID]],Items[ID],0)),"unknown ID",IF(ISNA(MATCH(Log[[#This Row],[Verb]],VerbList,0)),"unknown verb",IF(Log[[#This Row],[Date]]="","no date",""))))</f>
      </c>
      <c r="G1128" s="17">
        <f>IF(Log[[#This Row],[ID]]="","",IFERROR(VLOOKUP(Log[[#This Row],[Verb]],Verbs,3,FALSE)&amp;"",""))</f>
      </c>
      <c r="H1128" s="17">
        <f>IF(Log[[#This Row],[Date]]="","",INT((Log[[#This Row],[Date]]-Sprint1)/SprintDays)+1)</f>
      </c>
      <c r="I1128" s="17">
        <f>IF(OR(Log[[#This Row],[Verb]]="commit",Log[[#This Row],[Verb]]="carry",Log[[#This Row],[Verb]]="redo"),IF(Log[[#This Row],[Arg]]="",Log[[#This Row],[Sprint]],N(Log[[#This Row],[Arg]])),"")</f>
      </c>
      <c r="J1128" s="17">
        <f>IF(Log[[#This Row],[Verb]]="block",1,IF(OR(Log[[#This Row],[Verb]]="unblock",Log[[#This Row],[Verb]]="done",Log[[#This Row],[Verb]]="drop",Log[[#This Row],[Verb]]="punt",Log[[#This Row],[Verb]]="pass"),0,""))</f>
      </c>
      <c r="K1128" s="17">
        <f>IF(Log[[#This Row],[ID]]="",0,IFERROR(INDEX(Items[Pts],MATCH(Log[[#This Row],[ID]],Items[ID],0))*1,0))</f>
      </c>
      <c r="L1128" s="17">
        <f>IF(Log[[#This Row],[ID]]="","",IFERROR(INDEX(Items[Cur team],MATCH(Log[[#This Row],[ID]],Items[ID],0))&amp;"",""))</f>
      </c>
      <c r="M1128" s="17">
        <f>IF(OR(Log[[#This Row],[Verb]]="done",Log[[#This Row],[Verb]]="punt",Log[[#This Row],[Verb]]="drop",Log[[#This Row],[Verb]]="pass"),Log[[#This Row],[Pts]],0)</f>
      </c>
    </row>
    <row r="1129">
      <c r="A1129" s="11">
        <v>46189</v>
      </c>
      <c r="B1129" t="s">
        <v>657</v>
      </c>
      <c r="C1129" t="s">
        <v>34</v>
      </c>
      <c r="D1129">
        <v>46</v>
      </c>
      <c r="F1129" s="17">
        <f>IF(Log[[#This Row],[ID]]="","",IF(ISNA(MATCH(Log[[#This Row],[ID]],Items[ID],0)),"unknown ID",IF(ISNA(MATCH(Log[[#This Row],[Verb]],VerbList,0)),"unknown verb",IF(Log[[#This Row],[Date]]="","no date",""))))</f>
      </c>
      <c r="G1129" s="17">
        <f>IF(Log[[#This Row],[ID]]="","",IFERROR(VLOOKUP(Log[[#This Row],[Verb]],Verbs,3,FALSE)&amp;"",""))</f>
      </c>
      <c r="H1129" s="17">
        <f>IF(Log[[#This Row],[Date]]="","",INT((Log[[#This Row],[Date]]-Sprint1)/SprintDays)+1)</f>
      </c>
      <c r="I1129" s="17">
        <f>IF(OR(Log[[#This Row],[Verb]]="commit",Log[[#This Row],[Verb]]="carry",Log[[#This Row],[Verb]]="redo"),IF(Log[[#This Row],[Arg]]="",Log[[#This Row],[Sprint]],N(Log[[#This Row],[Arg]])),"")</f>
      </c>
      <c r="J1129" s="17">
        <f>IF(Log[[#This Row],[Verb]]="block",1,IF(OR(Log[[#This Row],[Verb]]="unblock",Log[[#This Row],[Verb]]="done",Log[[#This Row],[Verb]]="drop",Log[[#This Row],[Verb]]="punt",Log[[#This Row],[Verb]]="pass"),0,""))</f>
      </c>
      <c r="K1129" s="17">
        <f>IF(Log[[#This Row],[ID]]="",0,IFERROR(INDEX(Items[Pts],MATCH(Log[[#This Row],[ID]],Items[ID],0))*1,0))</f>
      </c>
      <c r="L1129" s="17">
        <f>IF(Log[[#This Row],[ID]]="","",IFERROR(INDEX(Items[Cur team],MATCH(Log[[#This Row],[ID]],Items[ID],0))&amp;"",""))</f>
      </c>
      <c r="M1129" s="17">
        <f>IF(OR(Log[[#This Row],[Verb]]="done",Log[[#This Row],[Verb]]="punt",Log[[#This Row],[Verb]]="drop",Log[[#This Row],[Verb]]="pass"),Log[[#This Row],[Pts]],0)</f>
      </c>
    </row>
    <row r="1130">
      <c r="A1130" s="11">
        <v>46189</v>
      </c>
      <c r="B1130" t="s">
        <v>658</v>
      </c>
      <c r="C1130" t="s">
        <v>34</v>
      </c>
      <c r="D1130">
        <v>46</v>
      </c>
      <c r="F1130" s="17">
        <f>IF(Log[[#This Row],[ID]]="","",IF(ISNA(MATCH(Log[[#This Row],[ID]],Items[ID],0)),"unknown ID",IF(ISNA(MATCH(Log[[#This Row],[Verb]],VerbList,0)),"unknown verb",IF(Log[[#This Row],[Date]]="","no date",""))))</f>
      </c>
      <c r="G1130" s="17">
        <f>IF(Log[[#This Row],[ID]]="","",IFERROR(VLOOKUP(Log[[#This Row],[Verb]],Verbs,3,FALSE)&amp;"",""))</f>
      </c>
      <c r="H1130" s="17">
        <f>IF(Log[[#This Row],[Date]]="","",INT((Log[[#This Row],[Date]]-Sprint1)/SprintDays)+1)</f>
      </c>
      <c r="I1130" s="17">
        <f>IF(OR(Log[[#This Row],[Verb]]="commit",Log[[#This Row],[Verb]]="carry",Log[[#This Row],[Verb]]="redo"),IF(Log[[#This Row],[Arg]]="",Log[[#This Row],[Sprint]],N(Log[[#This Row],[Arg]])),"")</f>
      </c>
      <c r="J1130" s="17">
        <f>IF(Log[[#This Row],[Verb]]="block",1,IF(OR(Log[[#This Row],[Verb]]="unblock",Log[[#This Row],[Verb]]="done",Log[[#This Row],[Verb]]="drop",Log[[#This Row],[Verb]]="punt",Log[[#This Row],[Verb]]="pass"),0,""))</f>
      </c>
      <c r="K1130" s="17">
        <f>IF(Log[[#This Row],[ID]]="",0,IFERROR(INDEX(Items[Pts],MATCH(Log[[#This Row],[ID]],Items[ID],0))*1,0))</f>
      </c>
      <c r="L1130" s="17">
        <f>IF(Log[[#This Row],[ID]]="","",IFERROR(INDEX(Items[Cur team],MATCH(Log[[#This Row],[ID]],Items[ID],0))&amp;"",""))</f>
      </c>
      <c r="M1130" s="17">
        <f>IF(OR(Log[[#This Row],[Verb]]="done",Log[[#This Row],[Verb]]="punt",Log[[#This Row],[Verb]]="drop",Log[[#This Row],[Verb]]="pass"),Log[[#This Row],[Pts]],0)</f>
      </c>
    </row>
    <row r="1131">
      <c r="A1131" s="11">
        <v>46189</v>
      </c>
      <c r="B1131" t="s">
        <v>659</v>
      </c>
      <c r="C1131" t="s">
        <v>34</v>
      </c>
      <c r="D1131">
        <v>46</v>
      </c>
      <c r="F1131" s="17">
        <f>IF(Log[[#This Row],[ID]]="","",IF(ISNA(MATCH(Log[[#This Row],[ID]],Items[ID],0)),"unknown ID",IF(ISNA(MATCH(Log[[#This Row],[Verb]],VerbList,0)),"unknown verb",IF(Log[[#This Row],[Date]]="","no date",""))))</f>
      </c>
      <c r="G1131" s="17">
        <f>IF(Log[[#This Row],[ID]]="","",IFERROR(VLOOKUP(Log[[#This Row],[Verb]],Verbs,3,FALSE)&amp;"",""))</f>
      </c>
      <c r="H1131" s="17">
        <f>IF(Log[[#This Row],[Date]]="","",INT((Log[[#This Row],[Date]]-Sprint1)/SprintDays)+1)</f>
      </c>
      <c r="I1131" s="17">
        <f>IF(OR(Log[[#This Row],[Verb]]="commit",Log[[#This Row],[Verb]]="carry",Log[[#This Row],[Verb]]="redo"),IF(Log[[#This Row],[Arg]]="",Log[[#This Row],[Sprint]],N(Log[[#This Row],[Arg]])),"")</f>
      </c>
      <c r="J1131" s="17">
        <f>IF(Log[[#This Row],[Verb]]="block",1,IF(OR(Log[[#This Row],[Verb]]="unblock",Log[[#This Row],[Verb]]="done",Log[[#This Row],[Verb]]="drop",Log[[#This Row],[Verb]]="punt",Log[[#This Row],[Verb]]="pass"),0,""))</f>
      </c>
      <c r="K1131" s="17">
        <f>IF(Log[[#This Row],[ID]]="",0,IFERROR(INDEX(Items[Pts],MATCH(Log[[#This Row],[ID]],Items[ID],0))*1,0))</f>
      </c>
      <c r="L1131" s="17">
        <f>IF(Log[[#This Row],[ID]]="","",IFERROR(INDEX(Items[Cur team],MATCH(Log[[#This Row],[ID]],Items[ID],0))&amp;"",""))</f>
      </c>
      <c r="M1131" s="17">
        <f>IF(OR(Log[[#This Row],[Verb]]="done",Log[[#This Row],[Verb]]="punt",Log[[#This Row],[Verb]]="drop",Log[[#This Row],[Verb]]="pass"),Log[[#This Row],[Pts]],0)</f>
      </c>
    </row>
    <row r="1132">
      <c r="A1132" s="11">
        <v>46189</v>
      </c>
      <c r="B1132" t="s">
        <v>660</v>
      </c>
      <c r="C1132" t="s">
        <v>34</v>
      </c>
      <c r="D1132">
        <v>46</v>
      </c>
      <c r="F1132" s="17">
        <f>IF(Log[[#This Row],[ID]]="","",IF(ISNA(MATCH(Log[[#This Row],[ID]],Items[ID],0)),"unknown ID",IF(ISNA(MATCH(Log[[#This Row],[Verb]],VerbList,0)),"unknown verb",IF(Log[[#This Row],[Date]]="","no date",""))))</f>
      </c>
      <c r="G1132" s="17">
        <f>IF(Log[[#This Row],[ID]]="","",IFERROR(VLOOKUP(Log[[#This Row],[Verb]],Verbs,3,FALSE)&amp;"",""))</f>
      </c>
      <c r="H1132" s="17">
        <f>IF(Log[[#This Row],[Date]]="","",INT((Log[[#This Row],[Date]]-Sprint1)/SprintDays)+1)</f>
      </c>
      <c r="I1132" s="17">
        <f>IF(OR(Log[[#This Row],[Verb]]="commit",Log[[#This Row],[Verb]]="carry",Log[[#This Row],[Verb]]="redo"),IF(Log[[#This Row],[Arg]]="",Log[[#This Row],[Sprint]],N(Log[[#This Row],[Arg]])),"")</f>
      </c>
      <c r="J1132" s="17">
        <f>IF(Log[[#This Row],[Verb]]="block",1,IF(OR(Log[[#This Row],[Verb]]="unblock",Log[[#This Row],[Verb]]="done",Log[[#This Row],[Verb]]="drop",Log[[#This Row],[Verb]]="punt",Log[[#This Row],[Verb]]="pass"),0,""))</f>
      </c>
      <c r="K1132" s="17">
        <f>IF(Log[[#This Row],[ID]]="",0,IFERROR(INDEX(Items[Pts],MATCH(Log[[#This Row],[ID]],Items[ID],0))*1,0))</f>
      </c>
      <c r="L1132" s="17">
        <f>IF(Log[[#This Row],[ID]]="","",IFERROR(INDEX(Items[Cur team],MATCH(Log[[#This Row],[ID]],Items[ID],0))&amp;"",""))</f>
      </c>
      <c r="M1132" s="17">
        <f>IF(OR(Log[[#This Row],[Verb]]="done",Log[[#This Row],[Verb]]="punt",Log[[#This Row],[Verb]]="drop",Log[[#This Row],[Verb]]="pass"),Log[[#This Row],[Pts]],0)</f>
      </c>
    </row>
    <row r="1133">
      <c r="A1133" s="11">
        <v>46189</v>
      </c>
      <c r="B1133" t="s">
        <v>661</v>
      </c>
      <c r="C1133" t="s">
        <v>34</v>
      </c>
      <c r="D1133">
        <v>46</v>
      </c>
      <c r="F1133" s="17">
        <f>IF(Log[[#This Row],[ID]]="","",IF(ISNA(MATCH(Log[[#This Row],[ID]],Items[ID],0)),"unknown ID",IF(ISNA(MATCH(Log[[#This Row],[Verb]],VerbList,0)),"unknown verb",IF(Log[[#This Row],[Date]]="","no date",""))))</f>
      </c>
      <c r="G1133" s="17">
        <f>IF(Log[[#This Row],[ID]]="","",IFERROR(VLOOKUP(Log[[#This Row],[Verb]],Verbs,3,FALSE)&amp;"",""))</f>
      </c>
      <c r="H1133" s="17">
        <f>IF(Log[[#This Row],[Date]]="","",INT((Log[[#This Row],[Date]]-Sprint1)/SprintDays)+1)</f>
      </c>
      <c r="I1133" s="17">
        <f>IF(OR(Log[[#This Row],[Verb]]="commit",Log[[#This Row],[Verb]]="carry",Log[[#This Row],[Verb]]="redo"),IF(Log[[#This Row],[Arg]]="",Log[[#This Row],[Sprint]],N(Log[[#This Row],[Arg]])),"")</f>
      </c>
      <c r="J1133" s="17">
        <f>IF(Log[[#This Row],[Verb]]="block",1,IF(OR(Log[[#This Row],[Verb]]="unblock",Log[[#This Row],[Verb]]="done",Log[[#This Row],[Verb]]="drop",Log[[#This Row],[Verb]]="punt",Log[[#This Row],[Verb]]="pass"),0,""))</f>
      </c>
      <c r="K1133" s="17">
        <f>IF(Log[[#This Row],[ID]]="",0,IFERROR(INDEX(Items[Pts],MATCH(Log[[#This Row],[ID]],Items[ID],0))*1,0))</f>
      </c>
      <c r="L1133" s="17">
        <f>IF(Log[[#This Row],[ID]]="","",IFERROR(INDEX(Items[Cur team],MATCH(Log[[#This Row],[ID]],Items[ID],0))&amp;"",""))</f>
      </c>
      <c r="M1133" s="17">
        <f>IF(OR(Log[[#This Row],[Verb]]="done",Log[[#This Row],[Verb]]="punt",Log[[#This Row],[Verb]]="drop",Log[[#This Row],[Verb]]="pass"),Log[[#This Row],[Pts]],0)</f>
      </c>
    </row>
    <row r="1134">
      <c r="A1134" s="11">
        <v>46189</v>
      </c>
      <c r="B1134" t="s">
        <v>662</v>
      </c>
      <c r="C1134" t="s">
        <v>34</v>
      </c>
      <c r="D1134">
        <v>46</v>
      </c>
      <c r="F1134" s="17">
        <f>IF(Log[[#This Row],[ID]]="","",IF(ISNA(MATCH(Log[[#This Row],[ID]],Items[ID],0)),"unknown ID",IF(ISNA(MATCH(Log[[#This Row],[Verb]],VerbList,0)),"unknown verb",IF(Log[[#This Row],[Date]]="","no date",""))))</f>
      </c>
      <c r="G1134" s="17">
        <f>IF(Log[[#This Row],[ID]]="","",IFERROR(VLOOKUP(Log[[#This Row],[Verb]],Verbs,3,FALSE)&amp;"",""))</f>
      </c>
      <c r="H1134" s="17">
        <f>IF(Log[[#This Row],[Date]]="","",INT((Log[[#This Row],[Date]]-Sprint1)/SprintDays)+1)</f>
      </c>
      <c r="I1134" s="17">
        <f>IF(OR(Log[[#This Row],[Verb]]="commit",Log[[#This Row],[Verb]]="carry",Log[[#This Row],[Verb]]="redo"),IF(Log[[#This Row],[Arg]]="",Log[[#This Row],[Sprint]],N(Log[[#This Row],[Arg]])),"")</f>
      </c>
      <c r="J1134" s="17">
        <f>IF(Log[[#This Row],[Verb]]="block",1,IF(OR(Log[[#This Row],[Verb]]="unblock",Log[[#This Row],[Verb]]="done",Log[[#This Row],[Verb]]="drop",Log[[#This Row],[Verb]]="punt",Log[[#This Row],[Verb]]="pass"),0,""))</f>
      </c>
      <c r="K1134" s="17">
        <f>IF(Log[[#This Row],[ID]]="",0,IFERROR(INDEX(Items[Pts],MATCH(Log[[#This Row],[ID]],Items[ID],0))*1,0))</f>
      </c>
      <c r="L1134" s="17">
        <f>IF(Log[[#This Row],[ID]]="","",IFERROR(INDEX(Items[Cur team],MATCH(Log[[#This Row],[ID]],Items[ID],0))&amp;"",""))</f>
      </c>
      <c r="M1134" s="17">
        <f>IF(OR(Log[[#This Row],[Verb]]="done",Log[[#This Row],[Verb]]="punt",Log[[#This Row],[Verb]]="drop",Log[[#This Row],[Verb]]="pass"),Log[[#This Row],[Pts]],0)</f>
      </c>
    </row>
    <row r="1135">
      <c r="A1135" s="11">
        <v>46189</v>
      </c>
      <c r="B1135" t="s">
        <v>663</v>
      </c>
      <c r="C1135" t="s">
        <v>34</v>
      </c>
      <c r="D1135">
        <v>46</v>
      </c>
      <c r="F1135" s="17">
        <f>IF(Log[[#This Row],[ID]]="","",IF(ISNA(MATCH(Log[[#This Row],[ID]],Items[ID],0)),"unknown ID",IF(ISNA(MATCH(Log[[#This Row],[Verb]],VerbList,0)),"unknown verb",IF(Log[[#This Row],[Date]]="","no date",""))))</f>
      </c>
      <c r="G1135" s="17">
        <f>IF(Log[[#This Row],[ID]]="","",IFERROR(VLOOKUP(Log[[#This Row],[Verb]],Verbs,3,FALSE)&amp;"",""))</f>
      </c>
      <c r="H1135" s="17">
        <f>IF(Log[[#This Row],[Date]]="","",INT((Log[[#This Row],[Date]]-Sprint1)/SprintDays)+1)</f>
      </c>
      <c r="I1135" s="17">
        <f>IF(OR(Log[[#This Row],[Verb]]="commit",Log[[#This Row],[Verb]]="carry",Log[[#This Row],[Verb]]="redo"),IF(Log[[#This Row],[Arg]]="",Log[[#This Row],[Sprint]],N(Log[[#This Row],[Arg]])),"")</f>
      </c>
      <c r="J1135" s="17">
        <f>IF(Log[[#This Row],[Verb]]="block",1,IF(OR(Log[[#This Row],[Verb]]="unblock",Log[[#This Row],[Verb]]="done",Log[[#This Row],[Verb]]="drop",Log[[#This Row],[Verb]]="punt",Log[[#This Row],[Verb]]="pass"),0,""))</f>
      </c>
      <c r="K1135" s="17">
        <f>IF(Log[[#This Row],[ID]]="",0,IFERROR(INDEX(Items[Pts],MATCH(Log[[#This Row],[ID]],Items[ID],0))*1,0))</f>
      </c>
      <c r="L1135" s="17">
        <f>IF(Log[[#This Row],[ID]]="","",IFERROR(INDEX(Items[Cur team],MATCH(Log[[#This Row],[ID]],Items[ID],0))&amp;"",""))</f>
      </c>
      <c r="M1135" s="17">
        <f>IF(OR(Log[[#This Row],[Verb]]="done",Log[[#This Row],[Verb]]="punt",Log[[#This Row],[Verb]]="drop",Log[[#This Row],[Verb]]="pass"),Log[[#This Row],[Pts]],0)</f>
      </c>
    </row>
    <row r="1136">
      <c r="A1136" s="11">
        <v>46189</v>
      </c>
      <c r="B1136" t="s">
        <v>664</v>
      </c>
      <c r="C1136" t="s">
        <v>34</v>
      </c>
      <c r="D1136">
        <v>46</v>
      </c>
      <c r="F1136" s="17">
        <f>IF(Log[[#This Row],[ID]]="","",IF(ISNA(MATCH(Log[[#This Row],[ID]],Items[ID],0)),"unknown ID",IF(ISNA(MATCH(Log[[#This Row],[Verb]],VerbList,0)),"unknown verb",IF(Log[[#This Row],[Date]]="","no date",""))))</f>
      </c>
      <c r="G1136" s="17">
        <f>IF(Log[[#This Row],[ID]]="","",IFERROR(VLOOKUP(Log[[#This Row],[Verb]],Verbs,3,FALSE)&amp;"",""))</f>
      </c>
      <c r="H1136" s="17">
        <f>IF(Log[[#This Row],[Date]]="","",INT((Log[[#This Row],[Date]]-Sprint1)/SprintDays)+1)</f>
      </c>
      <c r="I1136" s="17">
        <f>IF(OR(Log[[#This Row],[Verb]]="commit",Log[[#This Row],[Verb]]="carry",Log[[#This Row],[Verb]]="redo"),IF(Log[[#This Row],[Arg]]="",Log[[#This Row],[Sprint]],N(Log[[#This Row],[Arg]])),"")</f>
      </c>
      <c r="J1136" s="17">
        <f>IF(Log[[#This Row],[Verb]]="block",1,IF(OR(Log[[#This Row],[Verb]]="unblock",Log[[#This Row],[Verb]]="done",Log[[#This Row],[Verb]]="drop",Log[[#This Row],[Verb]]="punt",Log[[#This Row],[Verb]]="pass"),0,""))</f>
      </c>
      <c r="K1136" s="17">
        <f>IF(Log[[#This Row],[ID]]="",0,IFERROR(INDEX(Items[Pts],MATCH(Log[[#This Row],[ID]],Items[ID],0))*1,0))</f>
      </c>
      <c r="L1136" s="17">
        <f>IF(Log[[#This Row],[ID]]="","",IFERROR(INDEX(Items[Cur team],MATCH(Log[[#This Row],[ID]],Items[ID],0))&amp;"",""))</f>
      </c>
      <c r="M1136" s="17">
        <f>IF(OR(Log[[#This Row],[Verb]]="done",Log[[#This Row],[Verb]]="punt",Log[[#This Row],[Verb]]="drop",Log[[#This Row],[Verb]]="pass"),Log[[#This Row],[Pts]],0)</f>
      </c>
    </row>
    <row r="1137">
      <c r="A1137" s="11">
        <v>46189</v>
      </c>
      <c r="B1137" t="s">
        <v>665</v>
      </c>
      <c r="C1137" t="s">
        <v>34</v>
      </c>
      <c r="D1137">
        <v>46</v>
      </c>
      <c r="F1137" s="17">
        <f>IF(Log[[#This Row],[ID]]="","",IF(ISNA(MATCH(Log[[#This Row],[ID]],Items[ID],0)),"unknown ID",IF(ISNA(MATCH(Log[[#This Row],[Verb]],VerbList,0)),"unknown verb",IF(Log[[#This Row],[Date]]="","no date",""))))</f>
      </c>
      <c r="G1137" s="17">
        <f>IF(Log[[#This Row],[ID]]="","",IFERROR(VLOOKUP(Log[[#This Row],[Verb]],Verbs,3,FALSE)&amp;"",""))</f>
      </c>
      <c r="H1137" s="17">
        <f>IF(Log[[#This Row],[Date]]="","",INT((Log[[#This Row],[Date]]-Sprint1)/SprintDays)+1)</f>
      </c>
      <c r="I1137" s="17">
        <f>IF(OR(Log[[#This Row],[Verb]]="commit",Log[[#This Row],[Verb]]="carry",Log[[#This Row],[Verb]]="redo"),IF(Log[[#This Row],[Arg]]="",Log[[#This Row],[Sprint]],N(Log[[#This Row],[Arg]])),"")</f>
      </c>
      <c r="J1137" s="17">
        <f>IF(Log[[#This Row],[Verb]]="block",1,IF(OR(Log[[#This Row],[Verb]]="unblock",Log[[#This Row],[Verb]]="done",Log[[#This Row],[Verb]]="drop",Log[[#This Row],[Verb]]="punt",Log[[#This Row],[Verb]]="pass"),0,""))</f>
      </c>
      <c r="K1137" s="17">
        <f>IF(Log[[#This Row],[ID]]="",0,IFERROR(INDEX(Items[Pts],MATCH(Log[[#This Row],[ID]],Items[ID],0))*1,0))</f>
      </c>
      <c r="L1137" s="17">
        <f>IF(Log[[#This Row],[ID]]="","",IFERROR(INDEX(Items[Cur team],MATCH(Log[[#This Row],[ID]],Items[ID],0))&amp;"",""))</f>
      </c>
      <c r="M1137" s="17">
        <f>IF(OR(Log[[#This Row],[Verb]]="done",Log[[#This Row],[Verb]]="punt",Log[[#This Row],[Verb]]="drop",Log[[#This Row],[Verb]]="pass"),Log[[#This Row],[Pts]],0)</f>
      </c>
    </row>
    <row r="1138">
      <c r="A1138" s="11">
        <v>46189</v>
      </c>
      <c r="B1138" t="s">
        <v>666</v>
      </c>
      <c r="C1138" t="s">
        <v>34</v>
      </c>
      <c r="D1138">
        <v>46</v>
      </c>
      <c r="F1138" s="17">
        <f>IF(Log[[#This Row],[ID]]="","",IF(ISNA(MATCH(Log[[#This Row],[ID]],Items[ID],0)),"unknown ID",IF(ISNA(MATCH(Log[[#This Row],[Verb]],VerbList,0)),"unknown verb",IF(Log[[#This Row],[Date]]="","no date",""))))</f>
      </c>
      <c r="G1138" s="17">
        <f>IF(Log[[#This Row],[ID]]="","",IFERROR(VLOOKUP(Log[[#This Row],[Verb]],Verbs,3,FALSE)&amp;"",""))</f>
      </c>
      <c r="H1138" s="17">
        <f>IF(Log[[#This Row],[Date]]="","",INT((Log[[#This Row],[Date]]-Sprint1)/SprintDays)+1)</f>
      </c>
      <c r="I1138" s="17">
        <f>IF(OR(Log[[#This Row],[Verb]]="commit",Log[[#This Row],[Verb]]="carry",Log[[#This Row],[Verb]]="redo"),IF(Log[[#This Row],[Arg]]="",Log[[#This Row],[Sprint]],N(Log[[#This Row],[Arg]])),"")</f>
      </c>
      <c r="J1138" s="17">
        <f>IF(Log[[#This Row],[Verb]]="block",1,IF(OR(Log[[#This Row],[Verb]]="unblock",Log[[#This Row],[Verb]]="done",Log[[#This Row],[Verb]]="drop",Log[[#This Row],[Verb]]="punt",Log[[#This Row],[Verb]]="pass"),0,""))</f>
      </c>
      <c r="K1138" s="17">
        <f>IF(Log[[#This Row],[ID]]="",0,IFERROR(INDEX(Items[Pts],MATCH(Log[[#This Row],[ID]],Items[ID],0))*1,0))</f>
      </c>
      <c r="L1138" s="17">
        <f>IF(Log[[#This Row],[ID]]="","",IFERROR(INDEX(Items[Cur team],MATCH(Log[[#This Row],[ID]],Items[ID],0))&amp;"",""))</f>
      </c>
      <c r="M1138" s="17">
        <f>IF(OR(Log[[#This Row],[Verb]]="done",Log[[#This Row],[Verb]]="punt",Log[[#This Row],[Verb]]="drop",Log[[#This Row],[Verb]]="pass"),Log[[#This Row],[Pts]],0)</f>
      </c>
    </row>
    <row r="1139">
      <c r="A1139" s="11">
        <v>46189</v>
      </c>
      <c r="B1139" t="s">
        <v>667</v>
      </c>
      <c r="C1139" t="s">
        <v>34</v>
      </c>
      <c r="D1139">
        <v>46</v>
      </c>
      <c r="F1139" s="17">
        <f>IF(Log[[#This Row],[ID]]="","",IF(ISNA(MATCH(Log[[#This Row],[ID]],Items[ID],0)),"unknown ID",IF(ISNA(MATCH(Log[[#This Row],[Verb]],VerbList,0)),"unknown verb",IF(Log[[#This Row],[Date]]="","no date",""))))</f>
      </c>
      <c r="G1139" s="17">
        <f>IF(Log[[#This Row],[ID]]="","",IFERROR(VLOOKUP(Log[[#This Row],[Verb]],Verbs,3,FALSE)&amp;"",""))</f>
      </c>
      <c r="H1139" s="17">
        <f>IF(Log[[#This Row],[Date]]="","",INT((Log[[#This Row],[Date]]-Sprint1)/SprintDays)+1)</f>
      </c>
      <c r="I1139" s="17">
        <f>IF(OR(Log[[#This Row],[Verb]]="commit",Log[[#This Row],[Verb]]="carry",Log[[#This Row],[Verb]]="redo"),IF(Log[[#This Row],[Arg]]="",Log[[#This Row],[Sprint]],N(Log[[#This Row],[Arg]])),"")</f>
      </c>
      <c r="J1139" s="17">
        <f>IF(Log[[#This Row],[Verb]]="block",1,IF(OR(Log[[#This Row],[Verb]]="unblock",Log[[#This Row],[Verb]]="done",Log[[#This Row],[Verb]]="drop",Log[[#This Row],[Verb]]="punt",Log[[#This Row],[Verb]]="pass"),0,""))</f>
      </c>
      <c r="K1139" s="17">
        <f>IF(Log[[#This Row],[ID]]="",0,IFERROR(INDEX(Items[Pts],MATCH(Log[[#This Row],[ID]],Items[ID],0))*1,0))</f>
      </c>
      <c r="L1139" s="17">
        <f>IF(Log[[#This Row],[ID]]="","",IFERROR(INDEX(Items[Cur team],MATCH(Log[[#This Row],[ID]],Items[ID],0))&amp;"",""))</f>
      </c>
      <c r="M1139" s="17">
        <f>IF(OR(Log[[#This Row],[Verb]]="done",Log[[#This Row],[Verb]]="punt",Log[[#This Row],[Verb]]="drop",Log[[#This Row],[Verb]]="pass"),Log[[#This Row],[Pts]],0)</f>
      </c>
    </row>
    <row r="1140">
      <c r="A1140" s="11">
        <v>46189</v>
      </c>
      <c r="B1140" t="s">
        <v>668</v>
      </c>
      <c r="C1140" t="s">
        <v>34</v>
      </c>
      <c r="D1140">
        <v>46</v>
      </c>
      <c r="F1140" s="17">
        <f>IF(Log[[#This Row],[ID]]="","",IF(ISNA(MATCH(Log[[#This Row],[ID]],Items[ID],0)),"unknown ID",IF(ISNA(MATCH(Log[[#This Row],[Verb]],VerbList,0)),"unknown verb",IF(Log[[#This Row],[Date]]="","no date",""))))</f>
      </c>
      <c r="G1140" s="17">
        <f>IF(Log[[#This Row],[ID]]="","",IFERROR(VLOOKUP(Log[[#This Row],[Verb]],Verbs,3,FALSE)&amp;"",""))</f>
      </c>
      <c r="H1140" s="17">
        <f>IF(Log[[#This Row],[Date]]="","",INT((Log[[#This Row],[Date]]-Sprint1)/SprintDays)+1)</f>
      </c>
      <c r="I1140" s="17">
        <f>IF(OR(Log[[#This Row],[Verb]]="commit",Log[[#This Row],[Verb]]="carry",Log[[#This Row],[Verb]]="redo"),IF(Log[[#This Row],[Arg]]="",Log[[#This Row],[Sprint]],N(Log[[#This Row],[Arg]])),"")</f>
      </c>
      <c r="J1140" s="17">
        <f>IF(Log[[#This Row],[Verb]]="block",1,IF(OR(Log[[#This Row],[Verb]]="unblock",Log[[#This Row],[Verb]]="done",Log[[#This Row],[Verb]]="drop",Log[[#This Row],[Verb]]="punt",Log[[#This Row],[Verb]]="pass"),0,""))</f>
      </c>
      <c r="K1140" s="17">
        <f>IF(Log[[#This Row],[ID]]="",0,IFERROR(INDEX(Items[Pts],MATCH(Log[[#This Row],[ID]],Items[ID],0))*1,0))</f>
      </c>
      <c r="L1140" s="17">
        <f>IF(Log[[#This Row],[ID]]="","",IFERROR(INDEX(Items[Cur team],MATCH(Log[[#This Row],[ID]],Items[ID],0))&amp;"",""))</f>
      </c>
      <c r="M1140" s="17">
        <f>IF(OR(Log[[#This Row],[Verb]]="done",Log[[#This Row],[Verb]]="punt",Log[[#This Row],[Verb]]="drop",Log[[#This Row],[Verb]]="pass"),Log[[#This Row],[Pts]],0)</f>
      </c>
    </row>
    <row r="1141">
      <c r="A1141" s="11">
        <v>46189</v>
      </c>
      <c r="B1141" t="s">
        <v>669</v>
      </c>
      <c r="C1141" t="s">
        <v>34</v>
      </c>
      <c r="D1141">
        <v>46</v>
      </c>
      <c r="F1141" s="17">
        <f>IF(Log[[#This Row],[ID]]="","",IF(ISNA(MATCH(Log[[#This Row],[ID]],Items[ID],0)),"unknown ID",IF(ISNA(MATCH(Log[[#This Row],[Verb]],VerbList,0)),"unknown verb",IF(Log[[#This Row],[Date]]="","no date",""))))</f>
      </c>
      <c r="G1141" s="17">
        <f>IF(Log[[#This Row],[ID]]="","",IFERROR(VLOOKUP(Log[[#This Row],[Verb]],Verbs,3,FALSE)&amp;"",""))</f>
      </c>
      <c r="H1141" s="17">
        <f>IF(Log[[#This Row],[Date]]="","",INT((Log[[#This Row],[Date]]-Sprint1)/SprintDays)+1)</f>
      </c>
      <c r="I1141" s="17">
        <f>IF(OR(Log[[#This Row],[Verb]]="commit",Log[[#This Row],[Verb]]="carry",Log[[#This Row],[Verb]]="redo"),IF(Log[[#This Row],[Arg]]="",Log[[#This Row],[Sprint]],N(Log[[#This Row],[Arg]])),"")</f>
      </c>
      <c r="J1141" s="17">
        <f>IF(Log[[#This Row],[Verb]]="block",1,IF(OR(Log[[#This Row],[Verb]]="unblock",Log[[#This Row],[Verb]]="done",Log[[#This Row],[Verb]]="drop",Log[[#This Row],[Verb]]="punt",Log[[#This Row],[Verb]]="pass"),0,""))</f>
      </c>
      <c r="K1141" s="17">
        <f>IF(Log[[#This Row],[ID]]="",0,IFERROR(INDEX(Items[Pts],MATCH(Log[[#This Row],[ID]],Items[ID],0))*1,0))</f>
      </c>
      <c r="L1141" s="17">
        <f>IF(Log[[#This Row],[ID]]="","",IFERROR(INDEX(Items[Cur team],MATCH(Log[[#This Row],[ID]],Items[ID],0))&amp;"",""))</f>
      </c>
      <c r="M1141" s="17">
        <f>IF(OR(Log[[#This Row],[Verb]]="done",Log[[#This Row],[Verb]]="punt",Log[[#This Row],[Verb]]="drop",Log[[#This Row],[Verb]]="pass"),Log[[#This Row],[Pts]],0)</f>
      </c>
    </row>
    <row r="1142">
      <c r="A1142" s="11">
        <v>46189</v>
      </c>
      <c r="B1142" t="s">
        <v>670</v>
      </c>
      <c r="C1142" t="s">
        <v>34</v>
      </c>
      <c r="D1142">
        <v>46</v>
      </c>
      <c r="F1142" s="17">
        <f>IF(Log[[#This Row],[ID]]="","",IF(ISNA(MATCH(Log[[#This Row],[ID]],Items[ID],0)),"unknown ID",IF(ISNA(MATCH(Log[[#This Row],[Verb]],VerbList,0)),"unknown verb",IF(Log[[#This Row],[Date]]="","no date",""))))</f>
      </c>
      <c r="G1142" s="17">
        <f>IF(Log[[#This Row],[ID]]="","",IFERROR(VLOOKUP(Log[[#This Row],[Verb]],Verbs,3,FALSE)&amp;"",""))</f>
      </c>
      <c r="H1142" s="17">
        <f>IF(Log[[#This Row],[Date]]="","",INT((Log[[#This Row],[Date]]-Sprint1)/SprintDays)+1)</f>
      </c>
      <c r="I1142" s="17">
        <f>IF(OR(Log[[#This Row],[Verb]]="commit",Log[[#This Row],[Verb]]="carry",Log[[#This Row],[Verb]]="redo"),IF(Log[[#This Row],[Arg]]="",Log[[#This Row],[Sprint]],N(Log[[#This Row],[Arg]])),"")</f>
      </c>
      <c r="J1142" s="17">
        <f>IF(Log[[#This Row],[Verb]]="block",1,IF(OR(Log[[#This Row],[Verb]]="unblock",Log[[#This Row],[Verb]]="done",Log[[#This Row],[Verb]]="drop",Log[[#This Row],[Verb]]="punt",Log[[#This Row],[Verb]]="pass"),0,""))</f>
      </c>
      <c r="K1142" s="17">
        <f>IF(Log[[#This Row],[ID]]="",0,IFERROR(INDEX(Items[Pts],MATCH(Log[[#This Row],[ID]],Items[ID],0))*1,0))</f>
      </c>
      <c r="L1142" s="17">
        <f>IF(Log[[#This Row],[ID]]="","",IFERROR(INDEX(Items[Cur team],MATCH(Log[[#This Row],[ID]],Items[ID],0))&amp;"",""))</f>
      </c>
      <c r="M1142" s="17">
        <f>IF(OR(Log[[#This Row],[Verb]]="done",Log[[#This Row],[Verb]]="punt",Log[[#This Row],[Verb]]="drop",Log[[#This Row],[Verb]]="pass"),Log[[#This Row],[Pts]],0)</f>
      </c>
    </row>
    <row r="1143">
      <c r="A1143" s="11">
        <v>46189</v>
      </c>
      <c r="B1143" t="s">
        <v>671</v>
      </c>
      <c r="C1143" t="s">
        <v>34</v>
      </c>
      <c r="D1143">
        <v>46</v>
      </c>
      <c r="F1143" s="17">
        <f>IF(Log[[#This Row],[ID]]="","",IF(ISNA(MATCH(Log[[#This Row],[ID]],Items[ID],0)),"unknown ID",IF(ISNA(MATCH(Log[[#This Row],[Verb]],VerbList,0)),"unknown verb",IF(Log[[#This Row],[Date]]="","no date",""))))</f>
      </c>
      <c r="G1143" s="17">
        <f>IF(Log[[#This Row],[ID]]="","",IFERROR(VLOOKUP(Log[[#This Row],[Verb]],Verbs,3,FALSE)&amp;"",""))</f>
      </c>
      <c r="H1143" s="17">
        <f>IF(Log[[#This Row],[Date]]="","",INT((Log[[#This Row],[Date]]-Sprint1)/SprintDays)+1)</f>
      </c>
      <c r="I1143" s="17">
        <f>IF(OR(Log[[#This Row],[Verb]]="commit",Log[[#This Row],[Verb]]="carry",Log[[#This Row],[Verb]]="redo"),IF(Log[[#This Row],[Arg]]="",Log[[#This Row],[Sprint]],N(Log[[#This Row],[Arg]])),"")</f>
      </c>
      <c r="J1143" s="17">
        <f>IF(Log[[#This Row],[Verb]]="block",1,IF(OR(Log[[#This Row],[Verb]]="unblock",Log[[#This Row],[Verb]]="done",Log[[#This Row],[Verb]]="drop",Log[[#This Row],[Verb]]="punt",Log[[#This Row],[Verb]]="pass"),0,""))</f>
      </c>
      <c r="K1143" s="17">
        <f>IF(Log[[#This Row],[ID]]="",0,IFERROR(INDEX(Items[Pts],MATCH(Log[[#This Row],[ID]],Items[ID],0))*1,0))</f>
      </c>
      <c r="L1143" s="17">
        <f>IF(Log[[#This Row],[ID]]="","",IFERROR(INDEX(Items[Cur team],MATCH(Log[[#This Row],[ID]],Items[ID],0))&amp;"",""))</f>
      </c>
      <c r="M1143" s="17">
        <f>IF(OR(Log[[#This Row],[Verb]]="done",Log[[#This Row],[Verb]]="punt",Log[[#This Row],[Verb]]="drop",Log[[#This Row],[Verb]]="pass"),Log[[#This Row],[Pts]],0)</f>
      </c>
    </row>
    <row r="1144">
      <c r="A1144" s="11">
        <v>46189</v>
      </c>
      <c r="B1144" t="s">
        <v>672</v>
      </c>
      <c r="C1144" t="s">
        <v>34</v>
      </c>
      <c r="D1144">
        <v>46</v>
      </c>
      <c r="F1144" s="17">
        <f>IF(Log[[#This Row],[ID]]="","",IF(ISNA(MATCH(Log[[#This Row],[ID]],Items[ID],0)),"unknown ID",IF(ISNA(MATCH(Log[[#This Row],[Verb]],VerbList,0)),"unknown verb",IF(Log[[#This Row],[Date]]="","no date",""))))</f>
      </c>
      <c r="G1144" s="17">
        <f>IF(Log[[#This Row],[ID]]="","",IFERROR(VLOOKUP(Log[[#This Row],[Verb]],Verbs,3,FALSE)&amp;"",""))</f>
      </c>
      <c r="H1144" s="17">
        <f>IF(Log[[#This Row],[Date]]="","",INT((Log[[#This Row],[Date]]-Sprint1)/SprintDays)+1)</f>
      </c>
      <c r="I1144" s="17">
        <f>IF(OR(Log[[#This Row],[Verb]]="commit",Log[[#This Row],[Verb]]="carry",Log[[#This Row],[Verb]]="redo"),IF(Log[[#This Row],[Arg]]="",Log[[#This Row],[Sprint]],N(Log[[#This Row],[Arg]])),"")</f>
      </c>
      <c r="J1144" s="17">
        <f>IF(Log[[#This Row],[Verb]]="block",1,IF(OR(Log[[#This Row],[Verb]]="unblock",Log[[#This Row],[Verb]]="done",Log[[#This Row],[Verb]]="drop",Log[[#This Row],[Verb]]="punt",Log[[#This Row],[Verb]]="pass"),0,""))</f>
      </c>
      <c r="K1144" s="17">
        <f>IF(Log[[#This Row],[ID]]="",0,IFERROR(INDEX(Items[Pts],MATCH(Log[[#This Row],[ID]],Items[ID],0))*1,0))</f>
      </c>
      <c r="L1144" s="17">
        <f>IF(Log[[#This Row],[ID]]="","",IFERROR(INDEX(Items[Cur team],MATCH(Log[[#This Row],[ID]],Items[ID],0))&amp;"",""))</f>
      </c>
      <c r="M1144" s="17">
        <f>IF(OR(Log[[#This Row],[Verb]]="done",Log[[#This Row],[Verb]]="punt",Log[[#This Row],[Verb]]="drop",Log[[#This Row],[Verb]]="pass"),Log[[#This Row],[Pts]],0)</f>
      </c>
    </row>
    <row r="1145">
      <c r="A1145" s="11">
        <v>46189</v>
      </c>
      <c r="B1145" t="s">
        <v>673</v>
      </c>
      <c r="C1145" t="s">
        <v>34</v>
      </c>
      <c r="D1145">
        <v>46</v>
      </c>
      <c r="F1145" s="17">
        <f>IF(Log[[#This Row],[ID]]="","",IF(ISNA(MATCH(Log[[#This Row],[ID]],Items[ID],0)),"unknown ID",IF(ISNA(MATCH(Log[[#This Row],[Verb]],VerbList,0)),"unknown verb",IF(Log[[#This Row],[Date]]="","no date",""))))</f>
      </c>
      <c r="G1145" s="17">
        <f>IF(Log[[#This Row],[ID]]="","",IFERROR(VLOOKUP(Log[[#This Row],[Verb]],Verbs,3,FALSE)&amp;"",""))</f>
      </c>
      <c r="H1145" s="17">
        <f>IF(Log[[#This Row],[Date]]="","",INT((Log[[#This Row],[Date]]-Sprint1)/SprintDays)+1)</f>
      </c>
      <c r="I1145" s="17">
        <f>IF(OR(Log[[#This Row],[Verb]]="commit",Log[[#This Row],[Verb]]="carry",Log[[#This Row],[Verb]]="redo"),IF(Log[[#This Row],[Arg]]="",Log[[#This Row],[Sprint]],N(Log[[#This Row],[Arg]])),"")</f>
      </c>
      <c r="J1145" s="17">
        <f>IF(Log[[#This Row],[Verb]]="block",1,IF(OR(Log[[#This Row],[Verb]]="unblock",Log[[#This Row],[Verb]]="done",Log[[#This Row],[Verb]]="drop",Log[[#This Row],[Verb]]="punt",Log[[#This Row],[Verb]]="pass"),0,""))</f>
      </c>
      <c r="K1145" s="17">
        <f>IF(Log[[#This Row],[ID]]="",0,IFERROR(INDEX(Items[Pts],MATCH(Log[[#This Row],[ID]],Items[ID],0))*1,0))</f>
      </c>
      <c r="L1145" s="17">
        <f>IF(Log[[#This Row],[ID]]="","",IFERROR(INDEX(Items[Cur team],MATCH(Log[[#This Row],[ID]],Items[ID],0))&amp;"",""))</f>
      </c>
      <c r="M1145" s="17">
        <f>IF(OR(Log[[#This Row],[Verb]]="done",Log[[#This Row],[Verb]]="punt",Log[[#This Row],[Verb]]="drop",Log[[#This Row],[Verb]]="pass"),Log[[#This Row],[Pts]],0)</f>
      </c>
    </row>
    <row r="1146">
      <c r="A1146" s="11">
        <v>46189</v>
      </c>
      <c r="B1146" t="s">
        <v>674</v>
      </c>
      <c r="C1146" t="s">
        <v>34</v>
      </c>
      <c r="D1146">
        <v>46</v>
      </c>
      <c r="F1146" s="17">
        <f>IF(Log[[#This Row],[ID]]="","",IF(ISNA(MATCH(Log[[#This Row],[ID]],Items[ID],0)),"unknown ID",IF(ISNA(MATCH(Log[[#This Row],[Verb]],VerbList,0)),"unknown verb",IF(Log[[#This Row],[Date]]="","no date",""))))</f>
      </c>
      <c r="G1146" s="17">
        <f>IF(Log[[#This Row],[ID]]="","",IFERROR(VLOOKUP(Log[[#This Row],[Verb]],Verbs,3,FALSE)&amp;"",""))</f>
      </c>
      <c r="H1146" s="17">
        <f>IF(Log[[#This Row],[Date]]="","",INT((Log[[#This Row],[Date]]-Sprint1)/SprintDays)+1)</f>
      </c>
      <c r="I1146" s="17">
        <f>IF(OR(Log[[#This Row],[Verb]]="commit",Log[[#This Row],[Verb]]="carry",Log[[#This Row],[Verb]]="redo"),IF(Log[[#This Row],[Arg]]="",Log[[#This Row],[Sprint]],N(Log[[#This Row],[Arg]])),"")</f>
      </c>
      <c r="J1146" s="17">
        <f>IF(Log[[#This Row],[Verb]]="block",1,IF(OR(Log[[#This Row],[Verb]]="unblock",Log[[#This Row],[Verb]]="done",Log[[#This Row],[Verb]]="drop",Log[[#This Row],[Verb]]="punt",Log[[#This Row],[Verb]]="pass"),0,""))</f>
      </c>
      <c r="K1146" s="17">
        <f>IF(Log[[#This Row],[ID]]="",0,IFERROR(INDEX(Items[Pts],MATCH(Log[[#This Row],[ID]],Items[ID],0))*1,0))</f>
      </c>
      <c r="L1146" s="17">
        <f>IF(Log[[#This Row],[ID]]="","",IFERROR(INDEX(Items[Cur team],MATCH(Log[[#This Row],[ID]],Items[ID],0))&amp;"",""))</f>
      </c>
      <c r="M1146" s="17">
        <f>IF(OR(Log[[#This Row],[Verb]]="done",Log[[#This Row],[Verb]]="punt",Log[[#This Row],[Verb]]="drop",Log[[#This Row],[Verb]]="pass"),Log[[#This Row],[Pts]],0)</f>
      </c>
    </row>
    <row r="1147">
      <c r="A1147" s="11">
        <v>46189</v>
      </c>
      <c r="B1147" t="s">
        <v>675</v>
      </c>
      <c r="C1147" t="s">
        <v>34</v>
      </c>
      <c r="D1147">
        <v>46</v>
      </c>
      <c r="F1147" s="17">
        <f>IF(Log[[#This Row],[ID]]="","",IF(ISNA(MATCH(Log[[#This Row],[ID]],Items[ID],0)),"unknown ID",IF(ISNA(MATCH(Log[[#This Row],[Verb]],VerbList,0)),"unknown verb",IF(Log[[#This Row],[Date]]="","no date",""))))</f>
      </c>
      <c r="G1147" s="17">
        <f>IF(Log[[#This Row],[ID]]="","",IFERROR(VLOOKUP(Log[[#This Row],[Verb]],Verbs,3,FALSE)&amp;"",""))</f>
      </c>
      <c r="H1147" s="17">
        <f>IF(Log[[#This Row],[Date]]="","",INT((Log[[#This Row],[Date]]-Sprint1)/SprintDays)+1)</f>
      </c>
      <c r="I1147" s="17">
        <f>IF(OR(Log[[#This Row],[Verb]]="commit",Log[[#This Row],[Verb]]="carry",Log[[#This Row],[Verb]]="redo"),IF(Log[[#This Row],[Arg]]="",Log[[#This Row],[Sprint]],N(Log[[#This Row],[Arg]])),"")</f>
      </c>
      <c r="J1147" s="17">
        <f>IF(Log[[#This Row],[Verb]]="block",1,IF(OR(Log[[#This Row],[Verb]]="unblock",Log[[#This Row],[Verb]]="done",Log[[#This Row],[Verb]]="drop",Log[[#This Row],[Verb]]="punt",Log[[#This Row],[Verb]]="pass"),0,""))</f>
      </c>
      <c r="K1147" s="17">
        <f>IF(Log[[#This Row],[ID]]="",0,IFERROR(INDEX(Items[Pts],MATCH(Log[[#This Row],[ID]],Items[ID],0))*1,0))</f>
      </c>
      <c r="L1147" s="17">
        <f>IF(Log[[#This Row],[ID]]="","",IFERROR(INDEX(Items[Cur team],MATCH(Log[[#This Row],[ID]],Items[ID],0))&amp;"",""))</f>
      </c>
      <c r="M1147" s="17">
        <f>IF(OR(Log[[#This Row],[Verb]]="done",Log[[#This Row],[Verb]]="punt",Log[[#This Row],[Verb]]="drop",Log[[#This Row],[Verb]]="pass"),Log[[#This Row],[Pts]],0)</f>
      </c>
    </row>
    <row r="1148">
      <c r="A1148" s="11">
        <v>46189</v>
      </c>
      <c r="B1148" t="s">
        <v>676</v>
      </c>
      <c r="C1148" t="s">
        <v>34</v>
      </c>
      <c r="D1148">
        <v>46</v>
      </c>
      <c r="F1148" s="17">
        <f>IF(Log[[#This Row],[ID]]="","",IF(ISNA(MATCH(Log[[#This Row],[ID]],Items[ID],0)),"unknown ID",IF(ISNA(MATCH(Log[[#This Row],[Verb]],VerbList,0)),"unknown verb",IF(Log[[#This Row],[Date]]="","no date",""))))</f>
      </c>
      <c r="G1148" s="17">
        <f>IF(Log[[#This Row],[ID]]="","",IFERROR(VLOOKUP(Log[[#This Row],[Verb]],Verbs,3,FALSE)&amp;"",""))</f>
      </c>
      <c r="H1148" s="17">
        <f>IF(Log[[#This Row],[Date]]="","",INT((Log[[#This Row],[Date]]-Sprint1)/SprintDays)+1)</f>
      </c>
      <c r="I1148" s="17">
        <f>IF(OR(Log[[#This Row],[Verb]]="commit",Log[[#This Row],[Verb]]="carry",Log[[#This Row],[Verb]]="redo"),IF(Log[[#This Row],[Arg]]="",Log[[#This Row],[Sprint]],N(Log[[#This Row],[Arg]])),"")</f>
      </c>
      <c r="J1148" s="17">
        <f>IF(Log[[#This Row],[Verb]]="block",1,IF(OR(Log[[#This Row],[Verb]]="unblock",Log[[#This Row],[Verb]]="done",Log[[#This Row],[Verb]]="drop",Log[[#This Row],[Verb]]="punt",Log[[#This Row],[Verb]]="pass"),0,""))</f>
      </c>
      <c r="K1148" s="17">
        <f>IF(Log[[#This Row],[ID]]="",0,IFERROR(INDEX(Items[Pts],MATCH(Log[[#This Row],[ID]],Items[ID],0))*1,0))</f>
      </c>
      <c r="L1148" s="17">
        <f>IF(Log[[#This Row],[ID]]="","",IFERROR(INDEX(Items[Cur team],MATCH(Log[[#This Row],[ID]],Items[ID],0))&amp;"",""))</f>
      </c>
      <c r="M1148" s="17">
        <f>IF(OR(Log[[#This Row],[Verb]]="done",Log[[#This Row],[Verb]]="punt",Log[[#This Row],[Verb]]="drop",Log[[#This Row],[Verb]]="pass"),Log[[#This Row],[Pts]],0)</f>
      </c>
    </row>
    <row r="1149">
      <c r="A1149" s="11">
        <v>46189</v>
      </c>
      <c r="B1149" t="s">
        <v>677</v>
      </c>
      <c r="C1149" t="s">
        <v>34</v>
      </c>
      <c r="D1149">
        <v>46</v>
      </c>
      <c r="F1149" s="17">
        <f>IF(Log[[#This Row],[ID]]="","",IF(ISNA(MATCH(Log[[#This Row],[ID]],Items[ID],0)),"unknown ID",IF(ISNA(MATCH(Log[[#This Row],[Verb]],VerbList,0)),"unknown verb",IF(Log[[#This Row],[Date]]="","no date",""))))</f>
      </c>
      <c r="G1149" s="17">
        <f>IF(Log[[#This Row],[ID]]="","",IFERROR(VLOOKUP(Log[[#This Row],[Verb]],Verbs,3,FALSE)&amp;"",""))</f>
      </c>
      <c r="H1149" s="17">
        <f>IF(Log[[#This Row],[Date]]="","",INT((Log[[#This Row],[Date]]-Sprint1)/SprintDays)+1)</f>
      </c>
      <c r="I1149" s="17">
        <f>IF(OR(Log[[#This Row],[Verb]]="commit",Log[[#This Row],[Verb]]="carry",Log[[#This Row],[Verb]]="redo"),IF(Log[[#This Row],[Arg]]="",Log[[#This Row],[Sprint]],N(Log[[#This Row],[Arg]])),"")</f>
      </c>
      <c r="J1149" s="17">
        <f>IF(Log[[#This Row],[Verb]]="block",1,IF(OR(Log[[#This Row],[Verb]]="unblock",Log[[#This Row],[Verb]]="done",Log[[#This Row],[Verb]]="drop",Log[[#This Row],[Verb]]="punt",Log[[#This Row],[Verb]]="pass"),0,""))</f>
      </c>
      <c r="K1149" s="17">
        <f>IF(Log[[#This Row],[ID]]="",0,IFERROR(INDEX(Items[Pts],MATCH(Log[[#This Row],[ID]],Items[ID],0))*1,0))</f>
      </c>
      <c r="L1149" s="17">
        <f>IF(Log[[#This Row],[ID]]="","",IFERROR(INDEX(Items[Cur team],MATCH(Log[[#This Row],[ID]],Items[ID],0))&amp;"",""))</f>
      </c>
      <c r="M1149" s="17">
        <f>IF(OR(Log[[#This Row],[Verb]]="done",Log[[#This Row],[Verb]]="punt",Log[[#This Row],[Verb]]="drop",Log[[#This Row],[Verb]]="pass"),Log[[#This Row],[Pts]],0)</f>
      </c>
    </row>
    <row r="1150">
      <c r="A1150" s="11">
        <v>46189</v>
      </c>
      <c r="B1150" t="s">
        <v>678</v>
      </c>
      <c r="C1150" t="s">
        <v>34</v>
      </c>
      <c r="D1150">
        <v>46</v>
      </c>
      <c r="F1150" s="17">
        <f>IF(Log[[#This Row],[ID]]="","",IF(ISNA(MATCH(Log[[#This Row],[ID]],Items[ID],0)),"unknown ID",IF(ISNA(MATCH(Log[[#This Row],[Verb]],VerbList,0)),"unknown verb",IF(Log[[#This Row],[Date]]="","no date",""))))</f>
      </c>
      <c r="G1150" s="17">
        <f>IF(Log[[#This Row],[ID]]="","",IFERROR(VLOOKUP(Log[[#This Row],[Verb]],Verbs,3,FALSE)&amp;"",""))</f>
      </c>
      <c r="H1150" s="17">
        <f>IF(Log[[#This Row],[Date]]="","",INT((Log[[#This Row],[Date]]-Sprint1)/SprintDays)+1)</f>
      </c>
      <c r="I1150" s="17">
        <f>IF(OR(Log[[#This Row],[Verb]]="commit",Log[[#This Row],[Verb]]="carry",Log[[#This Row],[Verb]]="redo"),IF(Log[[#This Row],[Arg]]="",Log[[#This Row],[Sprint]],N(Log[[#This Row],[Arg]])),"")</f>
      </c>
      <c r="J1150" s="17">
        <f>IF(Log[[#This Row],[Verb]]="block",1,IF(OR(Log[[#This Row],[Verb]]="unblock",Log[[#This Row],[Verb]]="done",Log[[#This Row],[Verb]]="drop",Log[[#This Row],[Verb]]="punt",Log[[#This Row],[Verb]]="pass"),0,""))</f>
      </c>
      <c r="K1150" s="17">
        <f>IF(Log[[#This Row],[ID]]="",0,IFERROR(INDEX(Items[Pts],MATCH(Log[[#This Row],[ID]],Items[ID],0))*1,0))</f>
      </c>
      <c r="L1150" s="17">
        <f>IF(Log[[#This Row],[ID]]="","",IFERROR(INDEX(Items[Cur team],MATCH(Log[[#This Row],[ID]],Items[ID],0))&amp;"",""))</f>
      </c>
      <c r="M1150" s="17">
        <f>IF(OR(Log[[#This Row],[Verb]]="done",Log[[#This Row],[Verb]]="punt",Log[[#This Row],[Verb]]="drop",Log[[#This Row],[Verb]]="pass"),Log[[#This Row],[Pts]],0)</f>
      </c>
    </row>
    <row r="1151">
      <c r="A1151" s="11">
        <v>46189</v>
      </c>
      <c r="B1151" t="s">
        <v>679</v>
      </c>
      <c r="C1151" t="s">
        <v>34</v>
      </c>
      <c r="D1151">
        <v>46</v>
      </c>
      <c r="F1151" s="17">
        <f>IF(Log[[#This Row],[ID]]="","",IF(ISNA(MATCH(Log[[#This Row],[ID]],Items[ID],0)),"unknown ID",IF(ISNA(MATCH(Log[[#This Row],[Verb]],VerbList,0)),"unknown verb",IF(Log[[#This Row],[Date]]="","no date",""))))</f>
      </c>
      <c r="G1151" s="17">
        <f>IF(Log[[#This Row],[ID]]="","",IFERROR(VLOOKUP(Log[[#This Row],[Verb]],Verbs,3,FALSE)&amp;"",""))</f>
      </c>
      <c r="H1151" s="17">
        <f>IF(Log[[#This Row],[Date]]="","",INT((Log[[#This Row],[Date]]-Sprint1)/SprintDays)+1)</f>
      </c>
      <c r="I1151" s="17">
        <f>IF(OR(Log[[#This Row],[Verb]]="commit",Log[[#This Row],[Verb]]="carry",Log[[#This Row],[Verb]]="redo"),IF(Log[[#This Row],[Arg]]="",Log[[#This Row],[Sprint]],N(Log[[#This Row],[Arg]])),"")</f>
      </c>
      <c r="J1151" s="17">
        <f>IF(Log[[#This Row],[Verb]]="block",1,IF(OR(Log[[#This Row],[Verb]]="unblock",Log[[#This Row],[Verb]]="done",Log[[#This Row],[Verb]]="drop",Log[[#This Row],[Verb]]="punt",Log[[#This Row],[Verb]]="pass"),0,""))</f>
      </c>
      <c r="K1151" s="17">
        <f>IF(Log[[#This Row],[ID]]="",0,IFERROR(INDEX(Items[Pts],MATCH(Log[[#This Row],[ID]],Items[ID],0))*1,0))</f>
      </c>
      <c r="L1151" s="17">
        <f>IF(Log[[#This Row],[ID]]="","",IFERROR(INDEX(Items[Cur team],MATCH(Log[[#This Row],[ID]],Items[ID],0))&amp;"",""))</f>
      </c>
      <c r="M1151" s="17">
        <f>IF(OR(Log[[#This Row],[Verb]]="done",Log[[#This Row],[Verb]]="punt",Log[[#This Row],[Verb]]="drop",Log[[#This Row],[Verb]]="pass"),Log[[#This Row],[Pts]],0)</f>
      </c>
    </row>
    <row r="1152">
      <c r="A1152" s="11">
        <v>46189</v>
      </c>
      <c r="B1152" t="s">
        <v>680</v>
      </c>
      <c r="C1152" t="s">
        <v>34</v>
      </c>
      <c r="D1152">
        <v>46</v>
      </c>
      <c r="F1152" s="17">
        <f>IF(Log[[#This Row],[ID]]="","",IF(ISNA(MATCH(Log[[#This Row],[ID]],Items[ID],0)),"unknown ID",IF(ISNA(MATCH(Log[[#This Row],[Verb]],VerbList,0)),"unknown verb",IF(Log[[#This Row],[Date]]="","no date",""))))</f>
      </c>
      <c r="G1152" s="17">
        <f>IF(Log[[#This Row],[ID]]="","",IFERROR(VLOOKUP(Log[[#This Row],[Verb]],Verbs,3,FALSE)&amp;"",""))</f>
      </c>
      <c r="H1152" s="17">
        <f>IF(Log[[#This Row],[Date]]="","",INT((Log[[#This Row],[Date]]-Sprint1)/SprintDays)+1)</f>
      </c>
      <c r="I1152" s="17">
        <f>IF(OR(Log[[#This Row],[Verb]]="commit",Log[[#This Row],[Verb]]="carry",Log[[#This Row],[Verb]]="redo"),IF(Log[[#This Row],[Arg]]="",Log[[#This Row],[Sprint]],N(Log[[#This Row],[Arg]])),"")</f>
      </c>
      <c r="J1152" s="17">
        <f>IF(Log[[#This Row],[Verb]]="block",1,IF(OR(Log[[#This Row],[Verb]]="unblock",Log[[#This Row],[Verb]]="done",Log[[#This Row],[Verb]]="drop",Log[[#This Row],[Verb]]="punt",Log[[#This Row],[Verb]]="pass"),0,""))</f>
      </c>
      <c r="K1152" s="17">
        <f>IF(Log[[#This Row],[ID]]="",0,IFERROR(INDEX(Items[Pts],MATCH(Log[[#This Row],[ID]],Items[ID],0))*1,0))</f>
      </c>
      <c r="L1152" s="17">
        <f>IF(Log[[#This Row],[ID]]="","",IFERROR(INDEX(Items[Cur team],MATCH(Log[[#This Row],[ID]],Items[ID],0))&amp;"",""))</f>
      </c>
      <c r="M1152" s="17">
        <f>IF(OR(Log[[#This Row],[Verb]]="done",Log[[#This Row],[Verb]]="punt",Log[[#This Row],[Verb]]="drop",Log[[#This Row],[Verb]]="pass"),Log[[#This Row],[Pts]],0)</f>
      </c>
    </row>
    <row r="1153">
      <c r="A1153" s="11">
        <v>46189</v>
      </c>
      <c r="B1153" t="s">
        <v>681</v>
      </c>
      <c r="C1153" t="s">
        <v>34</v>
      </c>
      <c r="D1153">
        <v>46</v>
      </c>
      <c r="F1153" s="17">
        <f>IF(Log[[#This Row],[ID]]="","",IF(ISNA(MATCH(Log[[#This Row],[ID]],Items[ID],0)),"unknown ID",IF(ISNA(MATCH(Log[[#This Row],[Verb]],VerbList,0)),"unknown verb",IF(Log[[#This Row],[Date]]="","no date",""))))</f>
      </c>
      <c r="G1153" s="17">
        <f>IF(Log[[#This Row],[ID]]="","",IFERROR(VLOOKUP(Log[[#This Row],[Verb]],Verbs,3,FALSE)&amp;"",""))</f>
      </c>
      <c r="H1153" s="17">
        <f>IF(Log[[#This Row],[Date]]="","",INT((Log[[#This Row],[Date]]-Sprint1)/SprintDays)+1)</f>
      </c>
      <c r="I1153" s="17">
        <f>IF(OR(Log[[#This Row],[Verb]]="commit",Log[[#This Row],[Verb]]="carry",Log[[#This Row],[Verb]]="redo"),IF(Log[[#This Row],[Arg]]="",Log[[#This Row],[Sprint]],N(Log[[#This Row],[Arg]])),"")</f>
      </c>
      <c r="J1153" s="17">
        <f>IF(Log[[#This Row],[Verb]]="block",1,IF(OR(Log[[#This Row],[Verb]]="unblock",Log[[#This Row],[Verb]]="done",Log[[#This Row],[Verb]]="drop",Log[[#This Row],[Verb]]="punt",Log[[#This Row],[Verb]]="pass"),0,""))</f>
      </c>
      <c r="K1153" s="17">
        <f>IF(Log[[#This Row],[ID]]="",0,IFERROR(INDEX(Items[Pts],MATCH(Log[[#This Row],[ID]],Items[ID],0))*1,0))</f>
      </c>
      <c r="L1153" s="17">
        <f>IF(Log[[#This Row],[ID]]="","",IFERROR(INDEX(Items[Cur team],MATCH(Log[[#This Row],[ID]],Items[ID],0))&amp;"",""))</f>
      </c>
      <c r="M1153" s="17">
        <f>IF(OR(Log[[#This Row],[Verb]]="done",Log[[#This Row],[Verb]]="punt",Log[[#This Row],[Verb]]="drop",Log[[#This Row],[Verb]]="pass"),Log[[#This Row],[Pts]],0)</f>
      </c>
    </row>
    <row r="1154">
      <c r="A1154" s="11">
        <v>46189</v>
      </c>
      <c r="B1154" t="s">
        <v>682</v>
      </c>
      <c r="C1154" t="s">
        <v>34</v>
      </c>
      <c r="D1154">
        <v>46</v>
      </c>
      <c r="F1154" s="17">
        <f>IF(Log[[#This Row],[ID]]="","",IF(ISNA(MATCH(Log[[#This Row],[ID]],Items[ID],0)),"unknown ID",IF(ISNA(MATCH(Log[[#This Row],[Verb]],VerbList,0)),"unknown verb",IF(Log[[#This Row],[Date]]="","no date",""))))</f>
      </c>
      <c r="G1154" s="17">
        <f>IF(Log[[#This Row],[ID]]="","",IFERROR(VLOOKUP(Log[[#This Row],[Verb]],Verbs,3,FALSE)&amp;"",""))</f>
      </c>
      <c r="H1154" s="17">
        <f>IF(Log[[#This Row],[Date]]="","",INT((Log[[#This Row],[Date]]-Sprint1)/SprintDays)+1)</f>
      </c>
      <c r="I1154" s="17">
        <f>IF(OR(Log[[#This Row],[Verb]]="commit",Log[[#This Row],[Verb]]="carry",Log[[#This Row],[Verb]]="redo"),IF(Log[[#This Row],[Arg]]="",Log[[#This Row],[Sprint]],N(Log[[#This Row],[Arg]])),"")</f>
      </c>
      <c r="J1154" s="17">
        <f>IF(Log[[#This Row],[Verb]]="block",1,IF(OR(Log[[#This Row],[Verb]]="unblock",Log[[#This Row],[Verb]]="done",Log[[#This Row],[Verb]]="drop",Log[[#This Row],[Verb]]="punt",Log[[#This Row],[Verb]]="pass"),0,""))</f>
      </c>
      <c r="K1154" s="17">
        <f>IF(Log[[#This Row],[ID]]="",0,IFERROR(INDEX(Items[Pts],MATCH(Log[[#This Row],[ID]],Items[ID],0))*1,0))</f>
      </c>
      <c r="L1154" s="17">
        <f>IF(Log[[#This Row],[ID]]="","",IFERROR(INDEX(Items[Cur team],MATCH(Log[[#This Row],[ID]],Items[ID],0))&amp;"",""))</f>
      </c>
      <c r="M1154" s="17">
        <f>IF(OR(Log[[#This Row],[Verb]]="done",Log[[#This Row],[Verb]]="punt",Log[[#This Row],[Verb]]="drop",Log[[#This Row],[Verb]]="pass"),Log[[#This Row],[Pts]],0)</f>
      </c>
    </row>
    <row r="1155">
      <c r="A1155" s="11">
        <v>46189</v>
      </c>
      <c r="B1155" t="s">
        <v>683</v>
      </c>
      <c r="C1155" t="s">
        <v>34</v>
      </c>
      <c r="D1155">
        <v>46</v>
      </c>
      <c r="F1155" s="17">
        <f>IF(Log[[#This Row],[ID]]="","",IF(ISNA(MATCH(Log[[#This Row],[ID]],Items[ID],0)),"unknown ID",IF(ISNA(MATCH(Log[[#This Row],[Verb]],VerbList,0)),"unknown verb",IF(Log[[#This Row],[Date]]="","no date",""))))</f>
      </c>
      <c r="G1155" s="17">
        <f>IF(Log[[#This Row],[ID]]="","",IFERROR(VLOOKUP(Log[[#This Row],[Verb]],Verbs,3,FALSE)&amp;"",""))</f>
      </c>
      <c r="H1155" s="17">
        <f>IF(Log[[#This Row],[Date]]="","",INT((Log[[#This Row],[Date]]-Sprint1)/SprintDays)+1)</f>
      </c>
      <c r="I1155" s="17">
        <f>IF(OR(Log[[#This Row],[Verb]]="commit",Log[[#This Row],[Verb]]="carry",Log[[#This Row],[Verb]]="redo"),IF(Log[[#This Row],[Arg]]="",Log[[#This Row],[Sprint]],N(Log[[#This Row],[Arg]])),"")</f>
      </c>
      <c r="J1155" s="17">
        <f>IF(Log[[#This Row],[Verb]]="block",1,IF(OR(Log[[#This Row],[Verb]]="unblock",Log[[#This Row],[Verb]]="done",Log[[#This Row],[Verb]]="drop",Log[[#This Row],[Verb]]="punt",Log[[#This Row],[Verb]]="pass"),0,""))</f>
      </c>
      <c r="K1155" s="17">
        <f>IF(Log[[#This Row],[ID]]="",0,IFERROR(INDEX(Items[Pts],MATCH(Log[[#This Row],[ID]],Items[ID],0))*1,0))</f>
      </c>
      <c r="L1155" s="17">
        <f>IF(Log[[#This Row],[ID]]="","",IFERROR(INDEX(Items[Cur team],MATCH(Log[[#This Row],[ID]],Items[ID],0))&amp;"",""))</f>
      </c>
      <c r="M1155" s="17">
        <f>IF(OR(Log[[#This Row],[Verb]]="done",Log[[#This Row],[Verb]]="punt",Log[[#This Row],[Verb]]="drop",Log[[#This Row],[Verb]]="pass"),Log[[#This Row],[Pts]],0)</f>
      </c>
    </row>
    <row r="1156">
      <c r="A1156" s="11">
        <v>46189</v>
      </c>
      <c r="B1156" t="s">
        <v>632</v>
      </c>
      <c r="C1156" t="s">
        <v>57</v>
      </c>
      <c r="D1156">
        <v>46</v>
      </c>
      <c r="E1156" t="s">
        <v>193</v>
      </c>
      <c r="F1156" s="17">
        <f>IF(Log[[#This Row],[ID]]="","",IF(ISNA(MATCH(Log[[#This Row],[ID]],Items[ID],0)),"unknown ID",IF(ISNA(MATCH(Log[[#This Row],[Verb]],VerbList,0)),"unknown verb",IF(Log[[#This Row],[Date]]="","no date",""))))</f>
      </c>
      <c r="G1156" s="17">
        <f>IF(Log[[#This Row],[ID]]="","",IFERROR(VLOOKUP(Log[[#This Row],[Verb]],Verbs,3,FALSE)&amp;"",""))</f>
      </c>
      <c r="H1156" s="17">
        <f>IF(Log[[#This Row],[Date]]="","",INT((Log[[#This Row],[Date]]-Sprint1)/SprintDays)+1)</f>
      </c>
      <c r="I1156" s="17">
        <f>IF(OR(Log[[#This Row],[Verb]]="commit",Log[[#This Row],[Verb]]="carry",Log[[#This Row],[Verb]]="redo"),IF(Log[[#This Row],[Arg]]="",Log[[#This Row],[Sprint]],N(Log[[#This Row],[Arg]])),"")</f>
      </c>
      <c r="J1156" s="17">
        <f>IF(Log[[#This Row],[Verb]]="block",1,IF(OR(Log[[#This Row],[Verb]]="unblock",Log[[#This Row],[Verb]]="done",Log[[#This Row],[Verb]]="drop",Log[[#This Row],[Verb]]="punt",Log[[#This Row],[Verb]]="pass"),0,""))</f>
      </c>
      <c r="K1156" s="17">
        <f>IF(Log[[#This Row],[ID]]="",0,IFERROR(INDEX(Items[Pts],MATCH(Log[[#This Row],[ID]],Items[ID],0))*1,0))</f>
      </c>
      <c r="L1156" s="17">
        <f>IF(Log[[#This Row],[ID]]="","",IFERROR(INDEX(Items[Cur team],MATCH(Log[[#This Row],[ID]],Items[ID],0))&amp;"",""))</f>
      </c>
      <c r="M1156" s="17">
        <f>IF(OR(Log[[#This Row],[Verb]]="done",Log[[#This Row],[Verb]]="punt",Log[[#This Row],[Verb]]="drop",Log[[#This Row],[Verb]]="pass"),Log[[#This Row],[Pts]],0)</f>
      </c>
    </row>
    <row r="1157">
      <c r="A1157" s="11">
        <v>46189</v>
      </c>
      <c r="B1157" t="s">
        <v>684</v>
      </c>
      <c r="C1157" t="s">
        <v>34</v>
      </c>
      <c r="D1157">
        <v>46</v>
      </c>
      <c r="F1157" s="17">
        <f>IF(Log[[#This Row],[ID]]="","",IF(ISNA(MATCH(Log[[#This Row],[ID]],Items[ID],0)),"unknown ID",IF(ISNA(MATCH(Log[[#This Row],[Verb]],VerbList,0)),"unknown verb",IF(Log[[#This Row],[Date]]="","no date",""))))</f>
      </c>
      <c r="G1157" s="17">
        <f>IF(Log[[#This Row],[ID]]="","",IFERROR(VLOOKUP(Log[[#This Row],[Verb]],Verbs,3,FALSE)&amp;"",""))</f>
      </c>
      <c r="H1157" s="17">
        <f>IF(Log[[#This Row],[Date]]="","",INT((Log[[#This Row],[Date]]-Sprint1)/SprintDays)+1)</f>
      </c>
      <c r="I1157" s="17">
        <f>IF(OR(Log[[#This Row],[Verb]]="commit",Log[[#This Row],[Verb]]="carry",Log[[#This Row],[Verb]]="redo"),IF(Log[[#This Row],[Arg]]="",Log[[#This Row],[Sprint]],N(Log[[#This Row],[Arg]])),"")</f>
      </c>
      <c r="J1157" s="17">
        <f>IF(Log[[#This Row],[Verb]]="block",1,IF(OR(Log[[#This Row],[Verb]]="unblock",Log[[#This Row],[Verb]]="done",Log[[#This Row],[Verb]]="drop",Log[[#This Row],[Verb]]="punt",Log[[#This Row],[Verb]]="pass"),0,""))</f>
      </c>
      <c r="K1157" s="17">
        <f>IF(Log[[#This Row],[ID]]="",0,IFERROR(INDEX(Items[Pts],MATCH(Log[[#This Row],[ID]],Items[ID],0))*1,0))</f>
      </c>
      <c r="L1157" s="17">
        <f>IF(Log[[#This Row],[ID]]="","",IFERROR(INDEX(Items[Cur team],MATCH(Log[[#This Row],[ID]],Items[ID],0))&amp;"",""))</f>
      </c>
      <c r="M1157" s="17">
        <f>IF(OR(Log[[#This Row],[Verb]]="done",Log[[#This Row],[Verb]]="punt",Log[[#This Row],[Verb]]="drop",Log[[#This Row],[Verb]]="pass"),Log[[#This Row],[Pts]],0)</f>
      </c>
    </row>
    <row r="1158">
      <c r="A1158" s="11">
        <v>46189</v>
      </c>
      <c r="B1158" t="s">
        <v>685</v>
      </c>
      <c r="C1158" t="s">
        <v>34</v>
      </c>
      <c r="D1158">
        <v>46</v>
      </c>
      <c r="F1158" s="17">
        <f>IF(Log[[#This Row],[ID]]="","",IF(ISNA(MATCH(Log[[#This Row],[ID]],Items[ID],0)),"unknown ID",IF(ISNA(MATCH(Log[[#This Row],[Verb]],VerbList,0)),"unknown verb",IF(Log[[#This Row],[Date]]="","no date",""))))</f>
      </c>
      <c r="G1158" s="17">
        <f>IF(Log[[#This Row],[ID]]="","",IFERROR(VLOOKUP(Log[[#This Row],[Verb]],Verbs,3,FALSE)&amp;"",""))</f>
      </c>
      <c r="H1158" s="17">
        <f>IF(Log[[#This Row],[Date]]="","",INT((Log[[#This Row],[Date]]-Sprint1)/SprintDays)+1)</f>
      </c>
      <c r="I1158" s="17">
        <f>IF(OR(Log[[#This Row],[Verb]]="commit",Log[[#This Row],[Verb]]="carry",Log[[#This Row],[Verb]]="redo"),IF(Log[[#This Row],[Arg]]="",Log[[#This Row],[Sprint]],N(Log[[#This Row],[Arg]])),"")</f>
      </c>
      <c r="J1158" s="17">
        <f>IF(Log[[#This Row],[Verb]]="block",1,IF(OR(Log[[#This Row],[Verb]]="unblock",Log[[#This Row],[Verb]]="done",Log[[#This Row],[Verb]]="drop",Log[[#This Row],[Verb]]="punt",Log[[#This Row],[Verb]]="pass"),0,""))</f>
      </c>
      <c r="K1158" s="17">
        <f>IF(Log[[#This Row],[ID]]="",0,IFERROR(INDEX(Items[Pts],MATCH(Log[[#This Row],[ID]],Items[ID],0))*1,0))</f>
      </c>
      <c r="L1158" s="17">
        <f>IF(Log[[#This Row],[ID]]="","",IFERROR(INDEX(Items[Cur team],MATCH(Log[[#This Row],[ID]],Items[ID],0))&amp;"",""))</f>
      </c>
      <c r="M1158" s="17">
        <f>IF(OR(Log[[#This Row],[Verb]]="done",Log[[#This Row],[Verb]]="punt",Log[[#This Row],[Verb]]="drop",Log[[#This Row],[Verb]]="pass"),Log[[#This Row],[Pts]],0)</f>
      </c>
    </row>
    <row r="1159">
      <c r="A1159" s="11">
        <v>46189</v>
      </c>
      <c r="B1159" t="s">
        <v>686</v>
      </c>
      <c r="C1159" t="s">
        <v>34</v>
      </c>
      <c r="D1159">
        <v>46</v>
      </c>
      <c r="F1159" s="17">
        <f>IF(Log[[#This Row],[ID]]="","",IF(ISNA(MATCH(Log[[#This Row],[ID]],Items[ID],0)),"unknown ID",IF(ISNA(MATCH(Log[[#This Row],[Verb]],VerbList,0)),"unknown verb",IF(Log[[#This Row],[Date]]="","no date",""))))</f>
      </c>
      <c r="G1159" s="17">
        <f>IF(Log[[#This Row],[ID]]="","",IFERROR(VLOOKUP(Log[[#This Row],[Verb]],Verbs,3,FALSE)&amp;"",""))</f>
      </c>
      <c r="H1159" s="17">
        <f>IF(Log[[#This Row],[Date]]="","",INT((Log[[#This Row],[Date]]-Sprint1)/SprintDays)+1)</f>
      </c>
      <c r="I1159" s="17">
        <f>IF(OR(Log[[#This Row],[Verb]]="commit",Log[[#This Row],[Verb]]="carry",Log[[#This Row],[Verb]]="redo"),IF(Log[[#This Row],[Arg]]="",Log[[#This Row],[Sprint]],N(Log[[#This Row],[Arg]])),"")</f>
      </c>
      <c r="J1159" s="17">
        <f>IF(Log[[#This Row],[Verb]]="block",1,IF(OR(Log[[#This Row],[Verb]]="unblock",Log[[#This Row],[Verb]]="done",Log[[#This Row],[Verb]]="drop",Log[[#This Row],[Verb]]="punt",Log[[#This Row],[Verb]]="pass"),0,""))</f>
      </c>
      <c r="K1159" s="17">
        <f>IF(Log[[#This Row],[ID]]="",0,IFERROR(INDEX(Items[Pts],MATCH(Log[[#This Row],[ID]],Items[ID],0))*1,0))</f>
      </c>
      <c r="L1159" s="17">
        <f>IF(Log[[#This Row],[ID]]="","",IFERROR(INDEX(Items[Cur team],MATCH(Log[[#This Row],[ID]],Items[ID],0))&amp;"",""))</f>
      </c>
      <c r="M1159" s="17">
        <f>IF(OR(Log[[#This Row],[Verb]]="done",Log[[#This Row],[Verb]]="punt",Log[[#This Row],[Verb]]="drop",Log[[#This Row],[Verb]]="pass"),Log[[#This Row],[Pts]],0)</f>
      </c>
    </row>
    <row r="1160">
      <c r="A1160" s="11">
        <v>46189</v>
      </c>
      <c r="B1160" t="s">
        <v>687</v>
      </c>
      <c r="C1160" t="s">
        <v>34</v>
      </c>
      <c r="D1160">
        <v>46</v>
      </c>
      <c r="F1160" s="17">
        <f>IF(Log[[#This Row],[ID]]="","",IF(ISNA(MATCH(Log[[#This Row],[ID]],Items[ID],0)),"unknown ID",IF(ISNA(MATCH(Log[[#This Row],[Verb]],VerbList,0)),"unknown verb",IF(Log[[#This Row],[Date]]="","no date",""))))</f>
      </c>
      <c r="G1160" s="17">
        <f>IF(Log[[#This Row],[ID]]="","",IFERROR(VLOOKUP(Log[[#This Row],[Verb]],Verbs,3,FALSE)&amp;"",""))</f>
      </c>
      <c r="H1160" s="17">
        <f>IF(Log[[#This Row],[Date]]="","",INT((Log[[#This Row],[Date]]-Sprint1)/SprintDays)+1)</f>
      </c>
      <c r="I1160" s="17">
        <f>IF(OR(Log[[#This Row],[Verb]]="commit",Log[[#This Row],[Verb]]="carry",Log[[#This Row],[Verb]]="redo"),IF(Log[[#This Row],[Arg]]="",Log[[#This Row],[Sprint]],N(Log[[#This Row],[Arg]])),"")</f>
      </c>
      <c r="J1160" s="17">
        <f>IF(Log[[#This Row],[Verb]]="block",1,IF(OR(Log[[#This Row],[Verb]]="unblock",Log[[#This Row],[Verb]]="done",Log[[#This Row],[Verb]]="drop",Log[[#This Row],[Verb]]="punt",Log[[#This Row],[Verb]]="pass"),0,""))</f>
      </c>
      <c r="K1160" s="17">
        <f>IF(Log[[#This Row],[ID]]="",0,IFERROR(INDEX(Items[Pts],MATCH(Log[[#This Row],[ID]],Items[ID],0))*1,0))</f>
      </c>
      <c r="L1160" s="17">
        <f>IF(Log[[#This Row],[ID]]="","",IFERROR(INDEX(Items[Cur team],MATCH(Log[[#This Row],[ID]],Items[ID],0))&amp;"",""))</f>
      </c>
      <c r="M1160" s="17">
        <f>IF(OR(Log[[#This Row],[Verb]]="done",Log[[#This Row],[Verb]]="punt",Log[[#This Row],[Verb]]="drop",Log[[#This Row],[Verb]]="pass"),Log[[#This Row],[Pts]],0)</f>
      </c>
    </row>
    <row r="1161">
      <c r="A1161" s="11">
        <v>46189</v>
      </c>
      <c r="B1161" t="s">
        <v>688</v>
      </c>
      <c r="C1161" t="s">
        <v>34</v>
      </c>
      <c r="D1161">
        <v>46</v>
      </c>
      <c r="F1161" s="17">
        <f>IF(Log[[#This Row],[ID]]="","",IF(ISNA(MATCH(Log[[#This Row],[ID]],Items[ID],0)),"unknown ID",IF(ISNA(MATCH(Log[[#This Row],[Verb]],VerbList,0)),"unknown verb",IF(Log[[#This Row],[Date]]="","no date",""))))</f>
      </c>
      <c r="G1161" s="17">
        <f>IF(Log[[#This Row],[ID]]="","",IFERROR(VLOOKUP(Log[[#This Row],[Verb]],Verbs,3,FALSE)&amp;"",""))</f>
      </c>
      <c r="H1161" s="17">
        <f>IF(Log[[#This Row],[Date]]="","",INT((Log[[#This Row],[Date]]-Sprint1)/SprintDays)+1)</f>
      </c>
      <c r="I1161" s="17">
        <f>IF(OR(Log[[#This Row],[Verb]]="commit",Log[[#This Row],[Verb]]="carry",Log[[#This Row],[Verb]]="redo"),IF(Log[[#This Row],[Arg]]="",Log[[#This Row],[Sprint]],N(Log[[#This Row],[Arg]])),"")</f>
      </c>
      <c r="J1161" s="17">
        <f>IF(Log[[#This Row],[Verb]]="block",1,IF(OR(Log[[#This Row],[Verb]]="unblock",Log[[#This Row],[Verb]]="done",Log[[#This Row],[Verb]]="drop",Log[[#This Row],[Verb]]="punt",Log[[#This Row],[Verb]]="pass"),0,""))</f>
      </c>
      <c r="K1161" s="17">
        <f>IF(Log[[#This Row],[ID]]="",0,IFERROR(INDEX(Items[Pts],MATCH(Log[[#This Row],[ID]],Items[ID],0))*1,0))</f>
      </c>
      <c r="L1161" s="17">
        <f>IF(Log[[#This Row],[ID]]="","",IFERROR(INDEX(Items[Cur team],MATCH(Log[[#This Row],[ID]],Items[ID],0))&amp;"",""))</f>
      </c>
      <c r="M1161" s="17">
        <f>IF(OR(Log[[#This Row],[Verb]]="done",Log[[#This Row],[Verb]]="punt",Log[[#This Row],[Verb]]="drop",Log[[#This Row],[Verb]]="pass"),Log[[#This Row],[Pts]],0)</f>
      </c>
    </row>
    <row r="1162">
      <c r="A1162" s="11">
        <v>46189</v>
      </c>
      <c r="B1162" t="s">
        <v>689</v>
      </c>
      <c r="C1162" t="s">
        <v>34</v>
      </c>
      <c r="D1162">
        <v>46</v>
      </c>
      <c r="F1162" s="17">
        <f>IF(Log[[#This Row],[ID]]="","",IF(ISNA(MATCH(Log[[#This Row],[ID]],Items[ID],0)),"unknown ID",IF(ISNA(MATCH(Log[[#This Row],[Verb]],VerbList,0)),"unknown verb",IF(Log[[#This Row],[Date]]="","no date",""))))</f>
      </c>
      <c r="G1162" s="17">
        <f>IF(Log[[#This Row],[ID]]="","",IFERROR(VLOOKUP(Log[[#This Row],[Verb]],Verbs,3,FALSE)&amp;"",""))</f>
      </c>
      <c r="H1162" s="17">
        <f>IF(Log[[#This Row],[Date]]="","",INT((Log[[#This Row],[Date]]-Sprint1)/SprintDays)+1)</f>
      </c>
      <c r="I1162" s="17">
        <f>IF(OR(Log[[#This Row],[Verb]]="commit",Log[[#This Row],[Verb]]="carry",Log[[#This Row],[Verb]]="redo"),IF(Log[[#This Row],[Arg]]="",Log[[#This Row],[Sprint]],N(Log[[#This Row],[Arg]])),"")</f>
      </c>
      <c r="J1162" s="17">
        <f>IF(Log[[#This Row],[Verb]]="block",1,IF(OR(Log[[#This Row],[Verb]]="unblock",Log[[#This Row],[Verb]]="done",Log[[#This Row],[Verb]]="drop",Log[[#This Row],[Verb]]="punt",Log[[#This Row],[Verb]]="pass"),0,""))</f>
      </c>
      <c r="K1162" s="17">
        <f>IF(Log[[#This Row],[ID]]="",0,IFERROR(INDEX(Items[Pts],MATCH(Log[[#This Row],[ID]],Items[ID],0))*1,0))</f>
      </c>
      <c r="L1162" s="17">
        <f>IF(Log[[#This Row],[ID]]="","",IFERROR(INDEX(Items[Cur team],MATCH(Log[[#This Row],[ID]],Items[ID],0))&amp;"",""))</f>
      </c>
      <c r="M1162" s="17">
        <f>IF(OR(Log[[#This Row],[Verb]]="done",Log[[#This Row],[Verb]]="punt",Log[[#This Row],[Verb]]="drop",Log[[#This Row],[Verb]]="pass"),Log[[#This Row],[Pts]],0)</f>
      </c>
    </row>
    <row r="1163">
      <c r="A1163" s="11">
        <v>46189</v>
      </c>
      <c r="B1163" t="s">
        <v>690</v>
      </c>
      <c r="C1163" t="s">
        <v>34</v>
      </c>
      <c r="D1163">
        <v>46</v>
      </c>
      <c r="F1163" s="17">
        <f>IF(Log[[#This Row],[ID]]="","",IF(ISNA(MATCH(Log[[#This Row],[ID]],Items[ID],0)),"unknown ID",IF(ISNA(MATCH(Log[[#This Row],[Verb]],VerbList,0)),"unknown verb",IF(Log[[#This Row],[Date]]="","no date",""))))</f>
      </c>
      <c r="G1163" s="17">
        <f>IF(Log[[#This Row],[ID]]="","",IFERROR(VLOOKUP(Log[[#This Row],[Verb]],Verbs,3,FALSE)&amp;"",""))</f>
      </c>
      <c r="H1163" s="17">
        <f>IF(Log[[#This Row],[Date]]="","",INT((Log[[#This Row],[Date]]-Sprint1)/SprintDays)+1)</f>
      </c>
      <c r="I1163" s="17">
        <f>IF(OR(Log[[#This Row],[Verb]]="commit",Log[[#This Row],[Verb]]="carry",Log[[#This Row],[Verb]]="redo"),IF(Log[[#This Row],[Arg]]="",Log[[#This Row],[Sprint]],N(Log[[#This Row],[Arg]])),"")</f>
      </c>
      <c r="J1163" s="17">
        <f>IF(Log[[#This Row],[Verb]]="block",1,IF(OR(Log[[#This Row],[Verb]]="unblock",Log[[#This Row],[Verb]]="done",Log[[#This Row],[Verb]]="drop",Log[[#This Row],[Verb]]="punt",Log[[#This Row],[Verb]]="pass"),0,""))</f>
      </c>
      <c r="K1163" s="17">
        <f>IF(Log[[#This Row],[ID]]="",0,IFERROR(INDEX(Items[Pts],MATCH(Log[[#This Row],[ID]],Items[ID],0))*1,0))</f>
      </c>
      <c r="L1163" s="17">
        <f>IF(Log[[#This Row],[ID]]="","",IFERROR(INDEX(Items[Cur team],MATCH(Log[[#This Row],[ID]],Items[ID],0))&amp;"",""))</f>
      </c>
      <c r="M1163" s="17">
        <f>IF(OR(Log[[#This Row],[Verb]]="done",Log[[#This Row],[Verb]]="punt",Log[[#This Row],[Verb]]="drop",Log[[#This Row],[Verb]]="pass"),Log[[#This Row],[Pts]],0)</f>
      </c>
    </row>
    <row r="1164">
      <c r="A1164" s="11">
        <v>46189</v>
      </c>
      <c r="B1164" t="s">
        <v>691</v>
      </c>
      <c r="C1164" t="s">
        <v>34</v>
      </c>
      <c r="D1164">
        <v>46</v>
      </c>
      <c r="F1164" s="17">
        <f>IF(Log[[#This Row],[ID]]="","",IF(ISNA(MATCH(Log[[#This Row],[ID]],Items[ID],0)),"unknown ID",IF(ISNA(MATCH(Log[[#This Row],[Verb]],VerbList,0)),"unknown verb",IF(Log[[#This Row],[Date]]="","no date",""))))</f>
      </c>
      <c r="G1164" s="17">
        <f>IF(Log[[#This Row],[ID]]="","",IFERROR(VLOOKUP(Log[[#This Row],[Verb]],Verbs,3,FALSE)&amp;"",""))</f>
      </c>
      <c r="H1164" s="17">
        <f>IF(Log[[#This Row],[Date]]="","",INT((Log[[#This Row],[Date]]-Sprint1)/SprintDays)+1)</f>
      </c>
      <c r="I1164" s="17">
        <f>IF(OR(Log[[#This Row],[Verb]]="commit",Log[[#This Row],[Verb]]="carry",Log[[#This Row],[Verb]]="redo"),IF(Log[[#This Row],[Arg]]="",Log[[#This Row],[Sprint]],N(Log[[#This Row],[Arg]])),"")</f>
      </c>
      <c r="J1164" s="17">
        <f>IF(Log[[#This Row],[Verb]]="block",1,IF(OR(Log[[#This Row],[Verb]]="unblock",Log[[#This Row],[Verb]]="done",Log[[#This Row],[Verb]]="drop",Log[[#This Row],[Verb]]="punt",Log[[#This Row],[Verb]]="pass"),0,""))</f>
      </c>
      <c r="K1164" s="17">
        <f>IF(Log[[#This Row],[ID]]="",0,IFERROR(INDEX(Items[Pts],MATCH(Log[[#This Row],[ID]],Items[ID],0))*1,0))</f>
      </c>
      <c r="L1164" s="17">
        <f>IF(Log[[#This Row],[ID]]="","",IFERROR(INDEX(Items[Cur team],MATCH(Log[[#This Row],[ID]],Items[ID],0))&amp;"",""))</f>
      </c>
      <c r="M1164" s="17">
        <f>IF(OR(Log[[#This Row],[Verb]]="done",Log[[#This Row],[Verb]]="punt",Log[[#This Row],[Verb]]="drop",Log[[#This Row],[Verb]]="pass"),Log[[#This Row],[Pts]],0)</f>
      </c>
    </row>
    <row r="1165">
      <c r="A1165" s="11">
        <v>46189</v>
      </c>
      <c r="B1165" t="s">
        <v>692</v>
      </c>
      <c r="C1165" t="s">
        <v>34</v>
      </c>
      <c r="D1165">
        <v>46</v>
      </c>
      <c r="F1165" s="17">
        <f>IF(Log[[#This Row],[ID]]="","",IF(ISNA(MATCH(Log[[#This Row],[ID]],Items[ID],0)),"unknown ID",IF(ISNA(MATCH(Log[[#This Row],[Verb]],VerbList,0)),"unknown verb",IF(Log[[#This Row],[Date]]="","no date",""))))</f>
      </c>
      <c r="G1165" s="17">
        <f>IF(Log[[#This Row],[ID]]="","",IFERROR(VLOOKUP(Log[[#This Row],[Verb]],Verbs,3,FALSE)&amp;"",""))</f>
      </c>
      <c r="H1165" s="17">
        <f>IF(Log[[#This Row],[Date]]="","",INT((Log[[#This Row],[Date]]-Sprint1)/SprintDays)+1)</f>
      </c>
      <c r="I1165" s="17">
        <f>IF(OR(Log[[#This Row],[Verb]]="commit",Log[[#This Row],[Verb]]="carry",Log[[#This Row],[Verb]]="redo"),IF(Log[[#This Row],[Arg]]="",Log[[#This Row],[Sprint]],N(Log[[#This Row],[Arg]])),"")</f>
      </c>
      <c r="J1165" s="17">
        <f>IF(Log[[#This Row],[Verb]]="block",1,IF(OR(Log[[#This Row],[Verb]]="unblock",Log[[#This Row],[Verb]]="done",Log[[#This Row],[Verb]]="drop",Log[[#This Row],[Verb]]="punt",Log[[#This Row],[Verb]]="pass"),0,""))</f>
      </c>
      <c r="K1165" s="17">
        <f>IF(Log[[#This Row],[ID]]="",0,IFERROR(INDEX(Items[Pts],MATCH(Log[[#This Row],[ID]],Items[ID],0))*1,0))</f>
      </c>
      <c r="L1165" s="17">
        <f>IF(Log[[#This Row],[ID]]="","",IFERROR(INDEX(Items[Cur team],MATCH(Log[[#This Row],[ID]],Items[ID],0))&amp;"",""))</f>
      </c>
      <c r="M1165" s="17">
        <f>IF(OR(Log[[#This Row],[Verb]]="done",Log[[#This Row],[Verb]]="punt",Log[[#This Row],[Verb]]="drop",Log[[#This Row],[Verb]]="pass"),Log[[#This Row],[Pts]],0)</f>
      </c>
    </row>
    <row r="1166">
      <c r="A1166" s="11">
        <v>46189</v>
      </c>
      <c r="B1166" t="s">
        <v>693</v>
      </c>
      <c r="C1166" t="s">
        <v>34</v>
      </c>
      <c r="D1166">
        <v>46</v>
      </c>
      <c r="F1166" s="17">
        <f>IF(Log[[#This Row],[ID]]="","",IF(ISNA(MATCH(Log[[#This Row],[ID]],Items[ID],0)),"unknown ID",IF(ISNA(MATCH(Log[[#This Row],[Verb]],VerbList,0)),"unknown verb",IF(Log[[#This Row],[Date]]="","no date",""))))</f>
      </c>
      <c r="G1166" s="17">
        <f>IF(Log[[#This Row],[ID]]="","",IFERROR(VLOOKUP(Log[[#This Row],[Verb]],Verbs,3,FALSE)&amp;"",""))</f>
      </c>
      <c r="H1166" s="17">
        <f>IF(Log[[#This Row],[Date]]="","",INT((Log[[#This Row],[Date]]-Sprint1)/SprintDays)+1)</f>
      </c>
      <c r="I1166" s="17">
        <f>IF(OR(Log[[#This Row],[Verb]]="commit",Log[[#This Row],[Verb]]="carry",Log[[#This Row],[Verb]]="redo"),IF(Log[[#This Row],[Arg]]="",Log[[#This Row],[Sprint]],N(Log[[#This Row],[Arg]])),"")</f>
      </c>
      <c r="J1166" s="17">
        <f>IF(Log[[#This Row],[Verb]]="block",1,IF(OR(Log[[#This Row],[Verb]]="unblock",Log[[#This Row],[Verb]]="done",Log[[#This Row],[Verb]]="drop",Log[[#This Row],[Verb]]="punt",Log[[#This Row],[Verb]]="pass"),0,""))</f>
      </c>
      <c r="K1166" s="17">
        <f>IF(Log[[#This Row],[ID]]="",0,IFERROR(INDEX(Items[Pts],MATCH(Log[[#This Row],[ID]],Items[ID],0))*1,0))</f>
      </c>
      <c r="L1166" s="17">
        <f>IF(Log[[#This Row],[ID]]="","",IFERROR(INDEX(Items[Cur team],MATCH(Log[[#This Row],[ID]],Items[ID],0))&amp;"",""))</f>
      </c>
      <c r="M1166" s="17">
        <f>IF(OR(Log[[#This Row],[Verb]]="done",Log[[#This Row],[Verb]]="punt",Log[[#This Row],[Verb]]="drop",Log[[#This Row],[Verb]]="pass"),Log[[#This Row],[Pts]],0)</f>
      </c>
    </row>
    <row r="1167">
      <c r="A1167" s="11">
        <v>46189</v>
      </c>
      <c r="B1167" t="s">
        <v>694</v>
      </c>
      <c r="C1167" t="s">
        <v>34</v>
      </c>
      <c r="D1167">
        <v>46</v>
      </c>
      <c r="F1167" s="17">
        <f>IF(Log[[#This Row],[ID]]="","",IF(ISNA(MATCH(Log[[#This Row],[ID]],Items[ID],0)),"unknown ID",IF(ISNA(MATCH(Log[[#This Row],[Verb]],VerbList,0)),"unknown verb",IF(Log[[#This Row],[Date]]="","no date",""))))</f>
      </c>
      <c r="G1167" s="17">
        <f>IF(Log[[#This Row],[ID]]="","",IFERROR(VLOOKUP(Log[[#This Row],[Verb]],Verbs,3,FALSE)&amp;"",""))</f>
      </c>
      <c r="H1167" s="17">
        <f>IF(Log[[#This Row],[Date]]="","",INT((Log[[#This Row],[Date]]-Sprint1)/SprintDays)+1)</f>
      </c>
      <c r="I1167" s="17">
        <f>IF(OR(Log[[#This Row],[Verb]]="commit",Log[[#This Row],[Verb]]="carry",Log[[#This Row],[Verb]]="redo"),IF(Log[[#This Row],[Arg]]="",Log[[#This Row],[Sprint]],N(Log[[#This Row],[Arg]])),"")</f>
      </c>
      <c r="J1167" s="17">
        <f>IF(Log[[#This Row],[Verb]]="block",1,IF(OR(Log[[#This Row],[Verb]]="unblock",Log[[#This Row],[Verb]]="done",Log[[#This Row],[Verb]]="drop",Log[[#This Row],[Verb]]="punt",Log[[#This Row],[Verb]]="pass"),0,""))</f>
      </c>
      <c r="K1167" s="17">
        <f>IF(Log[[#This Row],[ID]]="",0,IFERROR(INDEX(Items[Pts],MATCH(Log[[#This Row],[ID]],Items[ID],0))*1,0))</f>
      </c>
      <c r="L1167" s="17">
        <f>IF(Log[[#This Row],[ID]]="","",IFERROR(INDEX(Items[Cur team],MATCH(Log[[#This Row],[ID]],Items[ID],0))&amp;"",""))</f>
      </c>
      <c r="M1167" s="17">
        <f>IF(OR(Log[[#This Row],[Verb]]="done",Log[[#This Row],[Verb]]="punt",Log[[#This Row],[Verb]]="drop",Log[[#This Row],[Verb]]="pass"),Log[[#This Row],[Pts]],0)</f>
      </c>
    </row>
    <row r="1168">
      <c r="A1168" s="11">
        <v>46189</v>
      </c>
      <c r="B1168" t="s">
        <v>695</v>
      </c>
      <c r="C1168" t="s">
        <v>34</v>
      </c>
      <c r="D1168">
        <v>46</v>
      </c>
      <c r="F1168" s="17">
        <f>IF(Log[[#This Row],[ID]]="","",IF(ISNA(MATCH(Log[[#This Row],[ID]],Items[ID],0)),"unknown ID",IF(ISNA(MATCH(Log[[#This Row],[Verb]],VerbList,0)),"unknown verb",IF(Log[[#This Row],[Date]]="","no date",""))))</f>
      </c>
      <c r="G1168" s="17">
        <f>IF(Log[[#This Row],[ID]]="","",IFERROR(VLOOKUP(Log[[#This Row],[Verb]],Verbs,3,FALSE)&amp;"",""))</f>
      </c>
      <c r="H1168" s="17">
        <f>IF(Log[[#This Row],[Date]]="","",INT((Log[[#This Row],[Date]]-Sprint1)/SprintDays)+1)</f>
      </c>
      <c r="I1168" s="17">
        <f>IF(OR(Log[[#This Row],[Verb]]="commit",Log[[#This Row],[Verb]]="carry",Log[[#This Row],[Verb]]="redo"),IF(Log[[#This Row],[Arg]]="",Log[[#This Row],[Sprint]],N(Log[[#This Row],[Arg]])),"")</f>
      </c>
      <c r="J1168" s="17">
        <f>IF(Log[[#This Row],[Verb]]="block",1,IF(OR(Log[[#This Row],[Verb]]="unblock",Log[[#This Row],[Verb]]="done",Log[[#This Row],[Verb]]="drop",Log[[#This Row],[Verb]]="punt",Log[[#This Row],[Verb]]="pass"),0,""))</f>
      </c>
      <c r="K1168" s="17">
        <f>IF(Log[[#This Row],[ID]]="",0,IFERROR(INDEX(Items[Pts],MATCH(Log[[#This Row],[ID]],Items[ID],0))*1,0))</f>
      </c>
      <c r="L1168" s="17">
        <f>IF(Log[[#This Row],[ID]]="","",IFERROR(INDEX(Items[Cur team],MATCH(Log[[#This Row],[ID]],Items[ID],0))&amp;"",""))</f>
      </c>
      <c r="M1168" s="17">
        <f>IF(OR(Log[[#This Row],[Verb]]="done",Log[[#This Row],[Verb]]="punt",Log[[#This Row],[Verb]]="drop",Log[[#This Row],[Verb]]="pass"),Log[[#This Row],[Pts]],0)</f>
      </c>
    </row>
    <row r="1169">
      <c r="A1169" s="11">
        <v>46189</v>
      </c>
      <c r="B1169" t="s">
        <v>696</v>
      </c>
      <c r="C1169" t="s">
        <v>34</v>
      </c>
      <c r="D1169">
        <v>46</v>
      </c>
      <c r="F1169" s="17">
        <f>IF(Log[[#This Row],[ID]]="","",IF(ISNA(MATCH(Log[[#This Row],[ID]],Items[ID],0)),"unknown ID",IF(ISNA(MATCH(Log[[#This Row],[Verb]],VerbList,0)),"unknown verb",IF(Log[[#This Row],[Date]]="","no date",""))))</f>
      </c>
      <c r="G1169" s="17">
        <f>IF(Log[[#This Row],[ID]]="","",IFERROR(VLOOKUP(Log[[#This Row],[Verb]],Verbs,3,FALSE)&amp;"",""))</f>
      </c>
      <c r="H1169" s="17">
        <f>IF(Log[[#This Row],[Date]]="","",INT((Log[[#This Row],[Date]]-Sprint1)/SprintDays)+1)</f>
      </c>
      <c r="I1169" s="17">
        <f>IF(OR(Log[[#This Row],[Verb]]="commit",Log[[#This Row],[Verb]]="carry",Log[[#This Row],[Verb]]="redo"),IF(Log[[#This Row],[Arg]]="",Log[[#This Row],[Sprint]],N(Log[[#This Row],[Arg]])),"")</f>
      </c>
      <c r="J1169" s="17">
        <f>IF(Log[[#This Row],[Verb]]="block",1,IF(OR(Log[[#This Row],[Verb]]="unblock",Log[[#This Row],[Verb]]="done",Log[[#This Row],[Verb]]="drop",Log[[#This Row],[Verb]]="punt",Log[[#This Row],[Verb]]="pass"),0,""))</f>
      </c>
      <c r="K1169" s="17">
        <f>IF(Log[[#This Row],[ID]]="",0,IFERROR(INDEX(Items[Pts],MATCH(Log[[#This Row],[ID]],Items[ID],0))*1,0))</f>
      </c>
      <c r="L1169" s="17">
        <f>IF(Log[[#This Row],[ID]]="","",IFERROR(INDEX(Items[Cur team],MATCH(Log[[#This Row],[ID]],Items[ID],0))&amp;"",""))</f>
      </c>
      <c r="M1169" s="17">
        <f>IF(OR(Log[[#This Row],[Verb]]="done",Log[[#This Row],[Verb]]="punt",Log[[#This Row],[Verb]]="drop",Log[[#This Row],[Verb]]="pass"),Log[[#This Row],[Pts]],0)</f>
      </c>
    </row>
    <row r="1170">
      <c r="A1170" s="11">
        <v>46189</v>
      </c>
      <c r="B1170" t="s">
        <v>697</v>
      </c>
      <c r="C1170" t="s">
        <v>34</v>
      </c>
      <c r="D1170">
        <v>46</v>
      </c>
      <c r="F1170" s="17">
        <f>IF(Log[[#This Row],[ID]]="","",IF(ISNA(MATCH(Log[[#This Row],[ID]],Items[ID],0)),"unknown ID",IF(ISNA(MATCH(Log[[#This Row],[Verb]],VerbList,0)),"unknown verb",IF(Log[[#This Row],[Date]]="","no date",""))))</f>
      </c>
      <c r="G1170" s="17">
        <f>IF(Log[[#This Row],[ID]]="","",IFERROR(VLOOKUP(Log[[#This Row],[Verb]],Verbs,3,FALSE)&amp;"",""))</f>
      </c>
      <c r="H1170" s="17">
        <f>IF(Log[[#This Row],[Date]]="","",INT((Log[[#This Row],[Date]]-Sprint1)/SprintDays)+1)</f>
      </c>
      <c r="I1170" s="17">
        <f>IF(OR(Log[[#This Row],[Verb]]="commit",Log[[#This Row],[Verb]]="carry",Log[[#This Row],[Verb]]="redo"),IF(Log[[#This Row],[Arg]]="",Log[[#This Row],[Sprint]],N(Log[[#This Row],[Arg]])),"")</f>
      </c>
      <c r="J1170" s="17">
        <f>IF(Log[[#This Row],[Verb]]="block",1,IF(OR(Log[[#This Row],[Verb]]="unblock",Log[[#This Row],[Verb]]="done",Log[[#This Row],[Verb]]="drop",Log[[#This Row],[Verb]]="punt",Log[[#This Row],[Verb]]="pass"),0,""))</f>
      </c>
      <c r="K1170" s="17">
        <f>IF(Log[[#This Row],[ID]]="",0,IFERROR(INDEX(Items[Pts],MATCH(Log[[#This Row],[ID]],Items[ID],0))*1,0))</f>
      </c>
      <c r="L1170" s="17">
        <f>IF(Log[[#This Row],[ID]]="","",IFERROR(INDEX(Items[Cur team],MATCH(Log[[#This Row],[ID]],Items[ID],0))&amp;"",""))</f>
      </c>
      <c r="M1170" s="17">
        <f>IF(OR(Log[[#This Row],[Verb]]="done",Log[[#This Row],[Verb]]="punt",Log[[#This Row],[Verb]]="drop",Log[[#This Row],[Verb]]="pass"),Log[[#This Row],[Pts]],0)</f>
      </c>
    </row>
    <row r="1171">
      <c r="A1171" s="11">
        <v>46189</v>
      </c>
      <c r="B1171" t="s">
        <v>698</v>
      </c>
      <c r="C1171" t="s">
        <v>34</v>
      </c>
      <c r="D1171">
        <v>46</v>
      </c>
      <c r="F1171" s="17">
        <f>IF(Log[[#This Row],[ID]]="","",IF(ISNA(MATCH(Log[[#This Row],[ID]],Items[ID],0)),"unknown ID",IF(ISNA(MATCH(Log[[#This Row],[Verb]],VerbList,0)),"unknown verb",IF(Log[[#This Row],[Date]]="","no date",""))))</f>
      </c>
      <c r="G1171" s="17">
        <f>IF(Log[[#This Row],[ID]]="","",IFERROR(VLOOKUP(Log[[#This Row],[Verb]],Verbs,3,FALSE)&amp;"",""))</f>
      </c>
      <c r="H1171" s="17">
        <f>IF(Log[[#This Row],[Date]]="","",INT((Log[[#This Row],[Date]]-Sprint1)/SprintDays)+1)</f>
      </c>
      <c r="I1171" s="17">
        <f>IF(OR(Log[[#This Row],[Verb]]="commit",Log[[#This Row],[Verb]]="carry",Log[[#This Row],[Verb]]="redo"),IF(Log[[#This Row],[Arg]]="",Log[[#This Row],[Sprint]],N(Log[[#This Row],[Arg]])),"")</f>
      </c>
      <c r="J1171" s="17">
        <f>IF(Log[[#This Row],[Verb]]="block",1,IF(OR(Log[[#This Row],[Verb]]="unblock",Log[[#This Row],[Verb]]="done",Log[[#This Row],[Verb]]="drop",Log[[#This Row],[Verb]]="punt",Log[[#This Row],[Verb]]="pass"),0,""))</f>
      </c>
      <c r="K1171" s="17">
        <f>IF(Log[[#This Row],[ID]]="",0,IFERROR(INDEX(Items[Pts],MATCH(Log[[#This Row],[ID]],Items[ID],0))*1,0))</f>
      </c>
      <c r="L1171" s="17">
        <f>IF(Log[[#This Row],[ID]]="","",IFERROR(INDEX(Items[Cur team],MATCH(Log[[#This Row],[ID]],Items[ID],0))&amp;"",""))</f>
      </c>
      <c r="M1171" s="17">
        <f>IF(OR(Log[[#This Row],[Verb]]="done",Log[[#This Row],[Verb]]="punt",Log[[#This Row],[Verb]]="drop",Log[[#This Row],[Verb]]="pass"),Log[[#This Row],[Pts]],0)</f>
      </c>
    </row>
    <row r="1172">
      <c r="A1172" s="11">
        <v>46189</v>
      </c>
      <c r="B1172" t="s">
        <v>699</v>
      </c>
      <c r="C1172" t="s">
        <v>34</v>
      </c>
      <c r="D1172">
        <v>46</v>
      </c>
      <c r="F1172" s="17">
        <f>IF(Log[[#This Row],[ID]]="","",IF(ISNA(MATCH(Log[[#This Row],[ID]],Items[ID],0)),"unknown ID",IF(ISNA(MATCH(Log[[#This Row],[Verb]],VerbList,0)),"unknown verb",IF(Log[[#This Row],[Date]]="","no date",""))))</f>
      </c>
      <c r="G1172" s="17">
        <f>IF(Log[[#This Row],[ID]]="","",IFERROR(VLOOKUP(Log[[#This Row],[Verb]],Verbs,3,FALSE)&amp;"",""))</f>
      </c>
      <c r="H1172" s="17">
        <f>IF(Log[[#This Row],[Date]]="","",INT((Log[[#This Row],[Date]]-Sprint1)/SprintDays)+1)</f>
      </c>
      <c r="I1172" s="17">
        <f>IF(OR(Log[[#This Row],[Verb]]="commit",Log[[#This Row],[Verb]]="carry",Log[[#This Row],[Verb]]="redo"),IF(Log[[#This Row],[Arg]]="",Log[[#This Row],[Sprint]],N(Log[[#This Row],[Arg]])),"")</f>
      </c>
      <c r="J1172" s="17">
        <f>IF(Log[[#This Row],[Verb]]="block",1,IF(OR(Log[[#This Row],[Verb]]="unblock",Log[[#This Row],[Verb]]="done",Log[[#This Row],[Verb]]="drop",Log[[#This Row],[Verb]]="punt",Log[[#This Row],[Verb]]="pass"),0,""))</f>
      </c>
      <c r="K1172" s="17">
        <f>IF(Log[[#This Row],[ID]]="",0,IFERROR(INDEX(Items[Pts],MATCH(Log[[#This Row],[ID]],Items[ID],0))*1,0))</f>
      </c>
      <c r="L1172" s="17">
        <f>IF(Log[[#This Row],[ID]]="","",IFERROR(INDEX(Items[Cur team],MATCH(Log[[#This Row],[ID]],Items[ID],0))&amp;"",""))</f>
      </c>
      <c r="M1172" s="17">
        <f>IF(OR(Log[[#This Row],[Verb]]="done",Log[[#This Row],[Verb]]="punt",Log[[#This Row],[Verb]]="drop",Log[[#This Row],[Verb]]="pass"),Log[[#This Row],[Pts]],0)</f>
      </c>
    </row>
    <row r="1173">
      <c r="A1173" s="11">
        <v>46189</v>
      </c>
      <c r="B1173" t="s">
        <v>700</v>
      </c>
      <c r="C1173" t="s">
        <v>34</v>
      </c>
      <c r="D1173">
        <v>46</v>
      </c>
      <c r="F1173" s="17">
        <f>IF(Log[[#This Row],[ID]]="","",IF(ISNA(MATCH(Log[[#This Row],[ID]],Items[ID],0)),"unknown ID",IF(ISNA(MATCH(Log[[#This Row],[Verb]],VerbList,0)),"unknown verb",IF(Log[[#This Row],[Date]]="","no date",""))))</f>
      </c>
      <c r="G1173" s="17">
        <f>IF(Log[[#This Row],[ID]]="","",IFERROR(VLOOKUP(Log[[#This Row],[Verb]],Verbs,3,FALSE)&amp;"",""))</f>
      </c>
      <c r="H1173" s="17">
        <f>IF(Log[[#This Row],[Date]]="","",INT((Log[[#This Row],[Date]]-Sprint1)/SprintDays)+1)</f>
      </c>
      <c r="I1173" s="17">
        <f>IF(OR(Log[[#This Row],[Verb]]="commit",Log[[#This Row],[Verb]]="carry",Log[[#This Row],[Verb]]="redo"),IF(Log[[#This Row],[Arg]]="",Log[[#This Row],[Sprint]],N(Log[[#This Row],[Arg]])),"")</f>
      </c>
      <c r="J1173" s="17">
        <f>IF(Log[[#This Row],[Verb]]="block",1,IF(OR(Log[[#This Row],[Verb]]="unblock",Log[[#This Row],[Verb]]="done",Log[[#This Row],[Verb]]="drop",Log[[#This Row],[Verb]]="punt",Log[[#This Row],[Verb]]="pass"),0,""))</f>
      </c>
      <c r="K1173" s="17">
        <f>IF(Log[[#This Row],[ID]]="",0,IFERROR(INDEX(Items[Pts],MATCH(Log[[#This Row],[ID]],Items[ID],0))*1,0))</f>
      </c>
      <c r="L1173" s="17">
        <f>IF(Log[[#This Row],[ID]]="","",IFERROR(INDEX(Items[Cur team],MATCH(Log[[#This Row],[ID]],Items[ID],0))&amp;"",""))</f>
      </c>
      <c r="M1173" s="17">
        <f>IF(OR(Log[[#This Row],[Verb]]="done",Log[[#This Row],[Verb]]="punt",Log[[#This Row],[Verb]]="drop",Log[[#This Row],[Verb]]="pass"),Log[[#This Row],[Pts]],0)</f>
      </c>
    </row>
    <row r="1174">
      <c r="A1174" s="11">
        <v>46189</v>
      </c>
      <c r="B1174" t="s">
        <v>701</v>
      </c>
      <c r="C1174" t="s">
        <v>34</v>
      </c>
      <c r="D1174">
        <v>46</v>
      </c>
      <c r="F1174" s="17">
        <f>IF(Log[[#This Row],[ID]]="","",IF(ISNA(MATCH(Log[[#This Row],[ID]],Items[ID],0)),"unknown ID",IF(ISNA(MATCH(Log[[#This Row],[Verb]],VerbList,0)),"unknown verb",IF(Log[[#This Row],[Date]]="","no date",""))))</f>
      </c>
      <c r="G1174" s="17">
        <f>IF(Log[[#This Row],[ID]]="","",IFERROR(VLOOKUP(Log[[#This Row],[Verb]],Verbs,3,FALSE)&amp;"",""))</f>
      </c>
      <c r="H1174" s="17">
        <f>IF(Log[[#This Row],[Date]]="","",INT((Log[[#This Row],[Date]]-Sprint1)/SprintDays)+1)</f>
      </c>
      <c r="I1174" s="17">
        <f>IF(OR(Log[[#This Row],[Verb]]="commit",Log[[#This Row],[Verb]]="carry",Log[[#This Row],[Verb]]="redo"),IF(Log[[#This Row],[Arg]]="",Log[[#This Row],[Sprint]],N(Log[[#This Row],[Arg]])),"")</f>
      </c>
      <c r="J1174" s="17">
        <f>IF(Log[[#This Row],[Verb]]="block",1,IF(OR(Log[[#This Row],[Verb]]="unblock",Log[[#This Row],[Verb]]="done",Log[[#This Row],[Verb]]="drop",Log[[#This Row],[Verb]]="punt",Log[[#This Row],[Verb]]="pass"),0,""))</f>
      </c>
      <c r="K1174" s="17">
        <f>IF(Log[[#This Row],[ID]]="",0,IFERROR(INDEX(Items[Pts],MATCH(Log[[#This Row],[ID]],Items[ID],0))*1,0))</f>
      </c>
      <c r="L1174" s="17">
        <f>IF(Log[[#This Row],[ID]]="","",IFERROR(INDEX(Items[Cur team],MATCH(Log[[#This Row],[ID]],Items[ID],0))&amp;"",""))</f>
      </c>
      <c r="M1174" s="17">
        <f>IF(OR(Log[[#This Row],[Verb]]="done",Log[[#This Row],[Verb]]="punt",Log[[#This Row],[Verb]]="drop",Log[[#This Row],[Verb]]="pass"),Log[[#This Row],[Pts]],0)</f>
      </c>
    </row>
    <row r="1175">
      <c r="A1175" s="11">
        <v>46189</v>
      </c>
      <c r="B1175" t="s">
        <v>702</v>
      </c>
      <c r="C1175" t="s">
        <v>34</v>
      </c>
      <c r="D1175">
        <v>46</v>
      </c>
      <c r="F1175" s="17">
        <f>IF(Log[[#This Row],[ID]]="","",IF(ISNA(MATCH(Log[[#This Row],[ID]],Items[ID],0)),"unknown ID",IF(ISNA(MATCH(Log[[#This Row],[Verb]],VerbList,0)),"unknown verb",IF(Log[[#This Row],[Date]]="","no date",""))))</f>
      </c>
      <c r="G1175" s="17">
        <f>IF(Log[[#This Row],[ID]]="","",IFERROR(VLOOKUP(Log[[#This Row],[Verb]],Verbs,3,FALSE)&amp;"",""))</f>
      </c>
      <c r="H1175" s="17">
        <f>IF(Log[[#This Row],[Date]]="","",INT((Log[[#This Row],[Date]]-Sprint1)/SprintDays)+1)</f>
      </c>
      <c r="I1175" s="17">
        <f>IF(OR(Log[[#This Row],[Verb]]="commit",Log[[#This Row],[Verb]]="carry",Log[[#This Row],[Verb]]="redo"),IF(Log[[#This Row],[Arg]]="",Log[[#This Row],[Sprint]],N(Log[[#This Row],[Arg]])),"")</f>
      </c>
      <c r="J1175" s="17">
        <f>IF(Log[[#This Row],[Verb]]="block",1,IF(OR(Log[[#This Row],[Verb]]="unblock",Log[[#This Row],[Verb]]="done",Log[[#This Row],[Verb]]="drop",Log[[#This Row],[Verb]]="punt",Log[[#This Row],[Verb]]="pass"),0,""))</f>
      </c>
      <c r="K1175" s="17">
        <f>IF(Log[[#This Row],[ID]]="",0,IFERROR(INDEX(Items[Pts],MATCH(Log[[#This Row],[ID]],Items[ID],0))*1,0))</f>
      </c>
      <c r="L1175" s="17">
        <f>IF(Log[[#This Row],[ID]]="","",IFERROR(INDEX(Items[Cur team],MATCH(Log[[#This Row],[ID]],Items[ID],0))&amp;"",""))</f>
      </c>
      <c r="M1175" s="17">
        <f>IF(OR(Log[[#This Row],[Verb]]="done",Log[[#This Row],[Verb]]="punt",Log[[#This Row],[Verb]]="drop",Log[[#This Row],[Verb]]="pass"),Log[[#This Row],[Pts]],0)</f>
      </c>
    </row>
    <row r="1176">
      <c r="A1176" s="11">
        <v>46189</v>
      </c>
      <c r="B1176" t="s">
        <v>703</v>
      </c>
      <c r="C1176" t="s">
        <v>34</v>
      </c>
      <c r="D1176">
        <v>46</v>
      </c>
      <c r="F1176" s="17">
        <f>IF(Log[[#This Row],[ID]]="","",IF(ISNA(MATCH(Log[[#This Row],[ID]],Items[ID],0)),"unknown ID",IF(ISNA(MATCH(Log[[#This Row],[Verb]],VerbList,0)),"unknown verb",IF(Log[[#This Row],[Date]]="","no date",""))))</f>
      </c>
      <c r="G1176" s="17">
        <f>IF(Log[[#This Row],[ID]]="","",IFERROR(VLOOKUP(Log[[#This Row],[Verb]],Verbs,3,FALSE)&amp;"",""))</f>
      </c>
      <c r="H1176" s="17">
        <f>IF(Log[[#This Row],[Date]]="","",INT((Log[[#This Row],[Date]]-Sprint1)/SprintDays)+1)</f>
      </c>
      <c r="I1176" s="17">
        <f>IF(OR(Log[[#This Row],[Verb]]="commit",Log[[#This Row],[Verb]]="carry",Log[[#This Row],[Verb]]="redo"),IF(Log[[#This Row],[Arg]]="",Log[[#This Row],[Sprint]],N(Log[[#This Row],[Arg]])),"")</f>
      </c>
      <c r="J1176" s="17">
        <f>IF(Log[[#This Row],[Verb]]="block",1,IF(OR(Log[[#This Row],[Verb]]="unblock",Log[[#This Row],[Verb]]="done",Log[[#This Row],[Verb]]="drop",Log[[#This Row],[Verb]]="punt",Log[[#This Row],[Verb]]="pass"),0,""))</f>
      </c>
      <c r="K1176" s="17">
        <f>IF(Log[[#This Row],[ID]]="",0,IFERROR(INDEX(Items[Pts],MATCH(Log[[#This Row],[ID]],Items[ID],0))*1,0))</f>
      </c>
      <c r="L1176" s="17">
        <f>IF(Log[[#This Row],[ID]]="","",IFERROR(INDEX(Items[Cur team],MATCH(Log[[#This Row],[ID]],Items[ID],0))&amp;"",""))</f>
      </c>
      <c r="M1176" s="17">
        <f>IF(OR(Log[[#This Row],[Verb]]="done",Log[[#This Row],[Verb]]="punt",Log[[#This Row],[Verb]]="drop",Log[[#This Row],[Verb]]="pass"),Log[[#This Row],[Pts]],0)</f>
      </c>
    </row>
    <row r="1177">
      <c r="A1177" s="11">
        <v>46189</v>
      </c>
      <c r="B1177" t="s">
        <v>704</v>
      </c>
      <c r="C1177" t="s">
        <v>34</v>
      </c>
      <c r="D1177">
        <v>46</v>
      </c>
      <c r="F1177" s="17">
        <f>IF(Log[[#This Row],[ID]]="","",IF(ISNA(MATCH(Log[[#This Row],[ID]],Items[ID],0)),"unknown ID",IF(ISNA(MATCH(Log[[#This Row],[Verb]],VerbList,0)),"unknown verb",IF(Log[[#This Row],[Date]]="","no date",""))))</f>
      </c>
      <c r="G1177" s="17">
        <f>IF(Log[[#This Row],[ID]]="","",IFERROR(VLOOKUP(Log[[#This Row],[Verb]],Verbs,3,FALSE)&amp;"",""))</f>
      </c>
      <c r="H1177" s="17">
        <f>IF(Log[[#This Row],[Date]]="","",INT((Log[[#This Row],[Date]]-Sprint1)/SprintDays)+1)</f>
      </c>
      <c r="I1177" s="17">
        <f>IF(OR(Log[[#This Row],[Verb]]="commit",Log[[#This Row],[Verb]]="carry",Log[[#This Row],[Verb]]="redo"),IF(Log[[#This Row],[Arg]]="",Log[[#This Row],[Sprint]],N(Log[[#This Row],[Arg]])),"")</f>
      </c>
      <c r="J1177" s="17">
        <f>IF(Log[[#This Row],[Verb]]="block",1,IF(OR(Log[[#This Row],[Verb]]="unblock",Log[[#This Row],[Verb]]="done",Log[[#This Row],[Verb]]="drop",Log[[#This Row],[Verb]]="punt",Log[[#This Row],[Verb]]="pass"),0,""))</f>
      </c>
      <c r="K1177" s="17">
        <f>IF(Log[[#This Row],[ID]]="",0,IFERROR(INDEX(Items[Pts],MATCH(Log[[#This Row],[ID]],Items[ID],0))*1,0))</f>
      </c>
      <c r="L1177" s="17">
        <f>IF(Log[[#This Row],[ID]]="","",IFERROR(INDEX(Items[Cur team],MATCH(Log[[#This Row],[ID]],Items[ID],0))&amp;"",""))</f>
      </c>
      <c r="M1177" s="17">
        <f>IF(OR(Log[[#This Row],[Verb]]="done",Log[[#This Row],[Verb]]="punt",Log[[#This Row],[Verb]]="drop",Log[[#This Row],[Verb]]="pass"),Log[[#This Row],[Pts]],0)</f>
      </c>
    </row>
    <row r="1178">
      <c r="A1178" s="11">
        <v>46202</v>
      </c>
      <c r="B1178" t="s">
        <v>593</v>
      </c>
      <c r="C1178" t="s">
        <v>41</v>
      </c>
      <c r="F1178" s="17">
        <f>IF(Log[[#This Row],[ID]]="","",IF(ISNA(MATCH(Log[[#This Row],[ID]],Items[ID],0)),"unknown ID",IF(ISNA(MATCH(Log[[#This Row],[Verb]],VerbList,0)),"unknown verb",IF(Log[[#This Row],[Date]]="","no date",""))))</f>
      </c>
      <c r="G1178" s="17">
        <f>IF(Log[[#This Row],[ID]]="","",IFERROR(VLOOKUP(Log[[#This Row],[Verb]],Verbs,3,FALSE)&amp;"",""))</f>
      </c>
      <c r="H1178" s="17">
        <f>IF(Log[[#This Row],[Date]]="","",INT((Log[[#This Row],[Date]]-Sprint1)/SprintDays)+1)</f>
      </c>
      <c r="I1178" s="17">
        <f>IF(OR(Log[[#This Row],[Verb]]="commit",Log[[#This Row],[Verb]]="carry",Log[[#This Row],[Verb]]="redo"),IF(Log[[#This Row],[Arg]]="",Log[[#This Row],[Sprint]],N(Log[[#This Row],[Arg]])),"")</f>
      </c>
      <c r="J1178" s="17">
        <f>IF(Log[[#This Row],[Verb]]="block",1,IF(OR(Log[[#This Row],[Verb]]="unblock",Log[[#This Row],[Verb]]="done",Log[[#This Row],[Verb]]="drop",Log[[#This Row],[Verb]]="punt",Log[[#This Row],[Verb]]="pass"),0,""))</f>
      </c>
      <c r="K1178" s="17">
        <f>IF(Log[[#This Row],[ID]]="",0,IFERROR(INDEX(Items[Pts],MATCH(Log[[#This Row],[ID]],Items[ID],0))*1,0))</f>
      </c>
      <c r="L1178" s="17">
        <f>IF(Log[[#This Row],[ID]]="","",IFERROR(INDEX(Items[Cur team],MATCH(Log[[#This Row],[ID]],Items[ID],0))&amp;"",""))</f>
      </c>
      <c r="M1178" s="17">
        <f>IF(OR(Log[[#This Row],[Verb]]="done",Log[[#This Row],[Verb]]="punt",Log[[#This Row],[Verb]]="drop",Log[[#This Row],[Verb]]="pass"),Log[[#This Row],[Pts]],0)</f>
      </c>
    </row>
    <row r="1179">
      <c r="A1179" s="11">
        <v>46202</v>
      </c>
      <c r="B1179" t="s">
        <v>655</v>
      </c>
      <c r="C1179" t="s">
        <v>41</v>
      </c>
      <c r="F1179" s="17">
        <f>IF(Log[[#This Row],[ID]]="","",IF(ISNA(MATCH(Log[[#This Row],[ID]],Items[ID],0)),"unknown ID",IF(ISNA(MATCH(Log[[#This Row],[Verb]],VerbList,0)),"unknown verb",IF(Log[[#This Row],[Date]]="","no date",""))))</f>
      </c>
      <c r="G1179" s="17">
        <f>IF(Log[[#This Row],[ID]]="","",IFERROR(VLOOKUP(Log[[#This Row],[Verb]],Verbs,3,FALSE)&amp;"",""))</f>
      </c>
      <c r="H1179" s="17">
        <f>IF(Log[[#This Row],[Date]]="","",INT((Log[[#This Row],[Date]]-Sprint1)/SprintDays)+1)</f>
      </c>
      <c r="I1179" s="17">
        <f>IF(OR(Log[[#This Row],[Verb]]="commit",Log[[#This Row],[Verb]]="carry",Log[[#This Row],[Verb]]="redo"),IF(Log[[#This Row],[Arg]]="",Log[[#This Row],[Sprint]],N(Log[[#This Row],[Arg]])),"")</f>
      </c>
      <c r="J1179" s="17">
        <f>IF(Log[[#This Row],[Verb]]="block",1,IF(OR(Log[[#This Row],[Verb]]="unblock",Log[[#This Row],[Verb]]="done",Log[[#This Row],[Verb]]="drop",Log[[#This Row],[Verb]]="punt",Log[[#This Row],[Verb]]="pass"),0,""))</f>
      </c>
      <c r="K1179" s="17">
        <f>IF(Log[[#This Row],[ID]]="",0,IFERROR(INDEX(Items[Pts],MATCH(Log[[#This Row],[ID]],Items[ID],0))*1,0))</f>
      </c>
      <c r="L1179" s="17">
        <f>IF(Log[[#This Row],[ID]]="","",IFERROR(INDEX(Items[Cur team],MATCH(Log[[#This Row],[ID]],Items[ID],0))&amp;"",""))</f>
      </c>
      <c r="M1179" s="17">
        <f>IF(OR(Log[[#This Row],[Verb]]="done",Log[[#This Row],[Verb]]="punt",Log[[#This Row],[Verb]]="drop",Log[[#This Row],[Verb]]="pass"),Log[[#This Row],[Pts]],0)</f>
      </c>
    </row>
    <row r="1180">
      <c r="A1180" s="11">
        <v>46202</v>
      </c>
      <c r="B1180" t="s">
        <v>656</v>
      </c>
      <c r="C1180" t="s">
        <v>41</v>
      </c>
      <c r="F1180" s="17">
        <f>IF(Log[[#This Row],[ID]]="","",IF(ISNA(MATCH(Log[[#This Row],[ID]],Items[ID],0)),"unknown ID",IF(ISNA(MATCH(Log[[#This Row],[Verb]],VerbList,0)),"unknown verb",IF(Log[[#This Row],[Date]]="","no date",""))))</f>
      </c>
      <c r="G1180" s="17">
        <f>IF(Log[[#This Row],[ID]]="","",IFERROR(VLOOKUP(Log[[#This Row],[Verb]],Verbs,3,FALSE)&amp;"",""))</f>
      </c>
      <c r="H1180" s="17">
        <f>IF(Log[[#This Row],[Date]]="","",INT((Log[[#This Row],[Date]]-Sprint1)/SprintDays)+1)</f>
      </c>
      <c r="I1180" s="17">
        <f>IF(OR(Log[[#This Row],[Verb]]="commit",Log[[#This Row],[Verb]]="carry",Log[[#This Row],[Verb]]="redo"),IF(Log[[#This Row],[Arg]]="",Log[[#This Row],[Sprint]],N(Log[[#This Row],[Arg]])),"")</f>
      </c>
      <c r="J1180" s="17">
        <f>IF(Log[[#This Row],[Verb]]="block",1,IF(OR(Log[[#This Row],[Verb]]="unblock",Log[[#This Row],[Verb]]="done",Log[[#This Row],[Verb]]="drop",Log[[#This Row],[Verb]]="punt",Log[[#This Row],[Verb]]="pass"),0,""))</f>
      </c>
      <c r="K1180" s="17">
        <f>IF(Log[[#This Row],[ID]]="",0,IFERROR(INDEX(Items[Pts],MATCH(Log[[#This Row],[ID]],Items[ID],0))*1,0))</f>
      </c>
      <c r="L1180" s="17">
        <f>IF(Log[[#This Row],[ID]]="","",IFERROR(INDEX(Items[Cur team],MATCH(Log[[#This Row],[ID]],Items[ID],0))&amp;"",""))</f>
      </c>
      <c r="M1180" s="17">
        <f>IF(OR(Log[[#This Row],[Verb]]="done",Log[[#This Row],[Verb]]="punt",Log[[#This Row],[Verb]]="drop",Log[[#This Row],[Verb]]="pass"),Log[[#This Row],[Pts]],0)</f>
      </c>
    </row>
    <row r="1181">
      <c r="A1181" s="11">
        <v>46202</v>
      </c>
      <c r="B1181" t="s">
        <v>657</v>
      </c>
      <c r="C1181" t="s">
        <v>41</v>
      </c>
      <c r="F1181" s="17">
        <f>IF(Log[[#This Row],[ID]]="","",IF(ISNA(MATCH(Log[[#This Row],[ID]],Items[ID],0)),"unknown ID",IF(ISNA(MATCH(Log[[#This Row],[Verb]],VerbList,0)),"unknown verb",IF(Log[[#This Row],[Date]]="","no date",""))))</f>
      </c>
      <c r="G1181" s="17">
        <f>IF(Log[[#This Row],[ID]]="","",IFERROR(VLOOKUP(Log[[#This Row],[Verb]],Verbs,3,FALSE)&amp;"",""))</f>
      </c>
      <c r="H1181" s="17">
        <f>IF(Log[[#This Row],[Date]]="","",INT((Log[[#This Row],[Date]]-Sprint1)/SprintDays)+1)</f>
      </c>
      <c r="I1181" s="17">
        <f>IF(OR(Log[[#This Row],[Verb]]="commit",Log[[#This Row],[Verb]]="carry",Log[[#This Row],[Verb]]="redo"),IF(Log[[#This Row],[Arg]]="",Log[[#This Row],[Sprint]],N(Log[[#This Row],[Arg]])),"")</f>
      </c>
      <c r="J1181" s="17">
        <f>IF(Log[[#This Row],[Verb]]="block",1,IF(OR(Log[[#This Row],[Verb]]="unblock",Log[[#This Row],[Verb]]="done",Log[[#This Row],[Verb]]="drop",Log[[#This Row],[Verb]]="punt",Log[[#This Row],[Verb]]="pass"),0,""))</f>
      </c>
      <c r="K1181" s="17">
        <f>IF(Log[[#This Row],[ID]]="",0,IFERROR(INDEX(Items[Pts],MATCH(Log[[#This Row],[ID]],Items[ID],0))*1,0))</f>
      </c>
      <c r="L1181" s="17">
        <f>IF(Log[[#This Row],[ID]]="","",IFERROR(INDEX(Items[Cur team],MATCH(Log[[#This Row],[ID]],Items[ID],0))&amp;"",""))</f>
      </c>
      <c r="M1181" s="17">
        <f>IF(OR(Log[[#This Row],[Verb]]="done",Log[[#This Row],[Verb]]="punt",Log[[#This Row],[Verb]]="drop",Log[[#This Row],[Verb]]="pass"),Log[[#This Row],[Pts]],0)</f>
      </c>
    </row>
    <row r="1182">
      <c r="A1182" s="11">
        <v>46202</v>
      </c>
      <c r="B1182" t="s">
        <v>658</v>
      </c>
      <c r="C1182" t="s">
        <v>41</v>
      </c>
      <c r="F1182" s="17">
        <f>IF(Log[[#This Row],[ID]]="","",IF(ISNA(MATCH(Log[[#This Row],[ID]],Items[ID],0)),"unknown ID",IF(ISNA(MATCH(Log[[#This Row],[Verb]],VerbList,0)),"unknown verb",IF(Log[[#This Row],[Date]]="","no date",""))))</f>
      </c>
      <c r="G1182" s="17">
        <f>IF(Log[[#This Row],[ID]]="","",IFERROR(VLOOKUP(Log[[#This Row],[Verb]],Verbs,3,FALSE)&amp;"",""))</f>
      </c>
      <c r="H1182" s="17">
        <f>IF(Log[[#This Row],[Date]]="","",INT((Log[[#This Row],[Date]]-Sprint1)/SprintDays)+1)</f>
      </c>
      <c r="I1182" s="17">
        <f>IF(OR(Log[[#This Row],[Verb]]="commit",Log[[#This Row],[Verb]]="carry",Log[[#This Row],[Verb]]="redo"),IF(Log[[#This Row],[Arg]]="",Log[[#This Row],[Sprint]],N(Log[[#This Row],[Arg]])),"")</f>
      </c>
      <c r="J1182" s="17">
        <f>IF(Log[[#This Row],[Verb]]="block",1,IF(OR(Log[[#This Row],[Verb]]="unblock",Log[[#This Row],[Verb]]="done",Log[[#This Row],[Verb]]="drop",Log[[#This Row],[Verb]]="punt",Log[[#This Row],[Verb]]="pass"),0,""))</f>
      </c>
      <c r="K1182" s="17">
        <f>IF(Log[[#This Row],[ID]]="",0,IFERROR(INDEX(Items[Pts],MATCH(Log[[#This Row],[ID]],Items[ID],0))*1,0))</f>
      </c>
      <c r="L1182" s="17">
        <f>IF(Log[[#This Row],[ID]]="","",IFERROR(INDEX(Items[Cur team],MATCH(Log[[#This Row],[ID]],Items[ID],0))&amp;"",""))</f>
      </c>
      <c r="M1182" s="17">
        <f>IF(OR(Log[[#This Row],[Verb]]="done",Log[[#This Row],[Verb]]="punt",Log[[#This Row],[Verb]]="drop",Log[[#This Row],[Verb]]="pass"),Log[[#This Row],[Pts]],0)</f>
      </c>
    </row>
    <row r="1183">
      <c r="A1183" s="11">
        <v>46202</v>
      </c>
      <c r="B1183" t="s">
        <v>659</v>
      </c>
      <c r="C1183" t="s">
        <v>41</v>
      </c>
      <c r="F1183" s="17">
        <f>IF(Log[[#This Row],[ID]]="","",IF(ISNA(MATCH(Log[[#This Row],[ID]],Items[ID],0)),"unknown ID",IF(ISNA(MATCH(Log[[#This Row],[Verb]],VerbList,0)),"unknown verb",IF(Log[[#This Row],[Date]]="","no date",""))))</f>
      </c>
      <c r="G1183" s="17">
        <f>IF(Log[[#This Row],[ID]]="","",IFERROR(VLOOKUP(Log[[#This Row],[Verb]],Verbs,3,FALSE)&amp;"",""))</f>
      </c>
      <c r="H1183" s="17">
        <f>IF(Log[[#This Row],[Date]]="","",INT((Log[[#This Row],[Date]]-Sprint1)/SprintDays)+1)</f>
      </c>
      <c r="I1183" s="17">
        <f>IF(OR(Log[[#This Row],[Verb]]="commit",Log[[#This Row],[Verb]]="carry",Log[[#This Row],[Verb]]="redo"),IF(Log[[#This Row],[Arg]]="",Log[[#This Row],[Sprint]],N(Log[[#This Row],[Arg]])),"")</f>
      </c>
      <c r="J1183" s="17">
        <f>IF(Log[[#This Row],[Verb]]="block",1,IF(OR(Log[[#This Row],[Verb]]="unblock",Log[[#This Row],[Verb]]="done",Log[[#This Row],[Verb]]="drop",Log[[#This Row],[Verb]]="punt",Log[[#This Row],[Verb]]="pass"),0,""))</f>
      </c>
      <c r="K1183" s="17">
        <f>IF(Log[[#This Row],[ID]]="",0,IFERROR(INDEX(Items[Pts],MATCH(Log[[#This Row],[ID]],Items[ID],0))*1,0))</f>
      </c>
      <c r="L1183" s="17">
        <f>IF(Log[[#This Row],[ID]]="","",IFERROR(INDEX(Items[Cur team],MATCH(Log[[#This Row],[ID]],Items[ID],0))&amp;"",""))</f>
      </c>
      <c r="M1183" s="17">
        <f>IF(OR(Log[[#This Row],[Verb]]="done",Log[[#This Row],[Verb]]="punt",Log[[#This Row],[Verb]]="drop",Log[[#This Row],[Verb]]="pass"),Log[[#This Row],[Pts]],0)</f>
      </c>
    </row>
    <row r="1184">
      <c r="A1184" s="11">
        <v>46202</v>
      </c>
      <c r="B1184" t="s">
        <v>597</v>
      </c>
      <c r="C1184" t="s">
        <v>38</v>
      </c>
      <c r="D1184">
        <v>47</v>
      </c>
      <c r="F1184" s="17">
        <f>IF(Log[[#This Row],[ID]]="","",IF(ISNA(MATCH(Log[[#This Row],[ID]],Items[ID],0)),"unknown ID",IF(ISNA(MATCH(Log[[#This Row],[Verb]],VerbList,0)),"unknown verb",IF(Log[[#This Row],[Date]]="","no date",""))))</f>
      </c>
      <c r="G1184" s="17">
        <f>IF(Log[[#This Row],[ID]]="","",IFERROR(VLOOKUP(Log[[#This Row],[Verb]],Verbs,3,FALSE)&amp;"",""))</f>
      </c>
      <c r="H1184" s="17">
        <f>IF(Log[[#This Row],[Date]]="","",INT((Log[[#This Row],[Date]]-Sprint1)/SprintDays)+1)</f>
      </c>
      <c r="I1184" s="17">
        <f>IF(OR(Log[[#This Row],[Verb]]="commit",Log[[#This Row],[Verb]]="carry",Log[[#This Row],[Verb]]="redo"),IF(Log[[#This Row],[Arg]]="",Log[[#This Row],[Sprint]],N(Log[[#This Row],[Arg]])),"")</f>
      </c>
      <c r="J1184" s="17">
        <f>IF(Log[[#This Row],[Verb]]="block",1,IF(OR(Log[[#This Row],[Verb]]="unblock",Log[[#This Row],[Verb]]="done",Log[[#This Row],[Verb]]="drop",Log[[#This Row],[Verb]]="punt",Log[[#This Row],[Verb]]="pass"),0,""))</f>
      </c>
      <c r="K1184" s="17">
        <f>IF(Log[[#This Row],[ID]]="",0,IFERROR(INDEX(Items[Pts],MATCH(Log[[#This Row],[ID]],Items[ID],0))*1,0))</f>
      </c>
      <c r="L1184" s="17">
        <f>IF(Log[[#This Row],[ID]]="","",IFERROR(INDEX(Items[Cur team],MATCH(Log[[#This Row],[ID]],Items[ID],0))&amp;"",""))</f>
      </c>
      <c r="M1184" s="17">
        <f>IF(OR(Log[[#This Row],[Verb]]="done",Log[[#This Row],[Verb]]="punt",Log[[#This Row],[Verb]]="drop",Log[[#This Row],[Verb]]="pass"),Log[[#This Row],[Pts]],0)</f>
      </c>
    </row>
    <row r="1185">
      <c r="A1185" s="11">
        <v>46202</v>
      </c>
      <c r="B1185" t="s">
        <v>600</v>
      </c>
      <c r="C1185" t="s">
        <v>41</v>
      </c>
      <c r="F1185" s="17">
        <f>IF(Log[[#This Row],[ID]]="","",IF(ISNA(MATCH(Log[[#This Row],[ID]],Items[ID],0)),"unknown ID",IF(ISNA(MATCH(Log[[#This Row],[Verb]],VerbList,0)),"unknown verb",IF(Log[[#This Row],[Date]]="","no date",""))))</f>
      </c>
      <c r="G1185" s="17">
        <f>IF(Log[[#This Row],[ID]]="","",IFERROR(VLOOKUP(Log[[#This Row],[Verb]],Verbs,3,FALSE)&amp;"",""))</f>
      </c>
      <c r="H1185" s="17">
        <f>IF(Log[[#This Row],[Date]]="","",INT((Log[[#This Row],[Date]]-Sprint1)/SprintDays)+1)</f>
      </c>
      <c r="I1185" s="17">
        <f>IF(OR(Log[[#This Row],[Verb]]="commit",Log[[#This Row],[Verb]]="carry",Log[[#This Row],[Verb]]="redo"),IF(Log[[#This Row],[Arg]]="",Log[[#This Row],[Sprint]],N(Log[[#This Row],[Arg]])),"")</f>
      </c>
      <c r="J1185" s="17">
        <f>IF(Log[[#This Row],[Verb]]="block",1,IF(OR(Log[[#This Row],[Verb]]="unblock",Log[[#This Row],[Verb]]="done",Log[[#This Row],[Verb]]="drop",Log[[#This Row],[Verb]]="punt",Log[[#This Row],[Verb]]="pass"),0,""))</f>
      </c>
      <c r="K1185" s="17">
        <f>IF(Log[[#This Row],[ID]]="",0,IFERROR(INDEX(Items[Pts],MATCH(Log[[#This Row],[ID]],Items[ID],0))*1,0))</f>
      </c>
      <c r="L1185" s="17">
        <f>IF(Log[[#This Row],[ID]]="","",IFERROR(INDEX(Items[Cur team],MATCH(Log[[#This Row],[ID]],Items[ID],0))&amp;"",""))</f>
      </c>
      <c r="M1185" s="17">
        <f>IF(OR(Log[[#This Row],[Verb]]="done",Log[[#This Row],[Verb]]="punt",Log[[#This Row],[Verb]]="drop",Log[[#This Row],[Verb]]="pass"),Log[[#This Row],[Pts]],0)</f>
      </c>
    </row>
    <row r="1186">
      <c r="A1186" s="11">
        <v>46202</v>
      </c>
      <c r="B1186" t="s">
        <v>660</v>
      </c>
      <c r="C1186" t="s">
        <v>41</v>
      </c>
      <c r="F1186" s="17">
        <f>IF(Log[[#This Row],[ID]]="","",IF(ISNA(MATCH(Log[[#This Row],[ID]],Items[ID],0)),"unknown ID",IF(ISNA(MATCH(Log[[#This Row],[Verb]],VerbList,0)),"unknown verb",IF(Log[[#This Row],[Date]]="","no date",""))))</f>
      </c>
      <c r="G1186" s="17">
        <f>IF(Log[[#This Row],[ID]]="","",IFERROR(VLOOKUP(Log[[#This Row],[Verb]],Verbs,3,FALSE)&amp;"",""))</f>
      </c>
      <c r="H1186" s="17">
        <f>IF(Log[[#This Row],[Date]]="","",INT((Log[[#This Row],[Date]]-Sprint1)/SprintDays)+1)</f>
      </c>
      <c r="I1186" s="17">
        <f>IF(OR(Log[[#This Row],[Verb]]="commit",Log[[#This Row],[Verb]]="carry",Log[[#This Row],[Verb]]="redo"),IF(Log[[#This Row],[Arg]]="",Log[[#This Row],[Sprint]],N(Log[[#This Row],[Arg]])),"")</f>
      </c>
      <c r="J1186" s="17">
        <f>IF(Log[[#This Row],[Verb]]="block",1,IF(OR(Log[[#This Row],[Verb]]="unblock",Log[[#This Row],[Verb]]="done",Log[[#This Row],[Verb]]="drop",Log[[#This Row],[Verb]]="punt",Log[[#This Row],[Verb]]="pass"),0,""))</f>
      </c>
      <c r="K1186" s="17">
        <f>IF(Log[[#This Row],[ID]]="",0,IFERROR(INDEX(Items[Pts],MATCH(Log[[#This Row],[ID]],Items[ID],0))*1,0))</f>
      </c>
      <c r="L1186" s="17">
        <f>IF(Log[[#This Row],[ID]]="","",IFERROR(INDEX(Items[Cur team],MATCH(Log[[#This Row],[ID]],Items[ID],0))&amp;"",""))</f>
      </c>
      <c r="M1186" s="17">
        <f>IF(OR(Log[[#This Row],[Verb]]="done",Log[[#This Row],[Verb]]="punt",Log[[#This Row],[Verb]]="drop",Log[[#This Row],[Verb]]="pass"),Log[[#This Row],[Pts]],0)</f>
      </c>
    </row>
    <row r="1187">
      <c r="A1187" s="11">
        <v>46202</v>
      </c>
      <c r="B1187" t="s">
        <v>661</v>
      </c>
      <c r="C1187" t="s">
        <v>41</v>
      </c>
      <c r="F1187" s="17">
        <f>IF(Log[[#This Row],[ID]]="","",IF(ISNA(MATCH(Log[[#This Row],[ID]],Items[ID],0)),"unknown ID",IF(ISNA(MATCH(Log[[#This Row],[Verb]],VerbList,0)),"unknown verb",IF(Log[[#This Row],[Date]]="","no date",""))))</f>
      </c>
      <c r="G1187" s="17">
        <f>IF(Log[[#This Row],[ID]]="","",IFERROR(VLOOKUP(Log[[#This Row],[Verb]],Verbs,3,FALSE)&amp;"",""))</f>
      </c>
      <c r="H1187" s="17">
        <f>IF(Log[[#This Row],[Date]]="","",INT((Log[[#This Row],[Date]]-Sprint1)/SprintDays)+1)</f>
      </c>
      <c r="I1187" s="17">
        <f>IF(OR(Log[[#This Row],[Verb]]="commit",Log[[#This Row],[Verb]]="carry",Log[[#This Row],[Verb]]="redo"),IF(Log[[#This Row],[Arg]]="",Log[[#This Row],[Sprint]],N(Log[[#This Row],[Arg]])),"")</f>
      </c>
      <c r="J1187" s="17">
        <f>IF(Log[[#This Row],[Verb]]="block",1,IF(OR(Log[[#This Row],[Verb]]="unblock",Log[[#This Row],[Verb]]="done",Log[[#This Row],[Verb]]="drop",Log[[#This Row],[Verb]]="punt",Log[[#This Row],[Verb]]="pass"),0,""))</f>
      </c>
      <c r="K1187" s="17">
        <f>IF(Log[[#This Row],[ID]]="",0,IFERROR(INDEX(Items[Pts],MATCH(Log[[#This Row],[ID]],Items[ID],0))*1,0))</f>
      </c>
      <c r="L1187" s="17">
        <f>IF(Log[[#This Row],[ID]]="","",IFERROR(INDEX(Items[Cur team],MATCH(Log[[#This Row],[ID]],Items[ID],0))&amp;"",""))</f>
      </c>
      <c r="M1187" s="17">
        <f>IF(OR(Log[[#This Row],[Verb]]="done",Log[[#This Row],[Verb]]="punt",Log[[#This Row],[Verb]]="drop",Log[[#This Row],[Verb]]="pass"),Log[[#This Row],[Pts]],0)</f>
      </c>
    </row>
    <row r="1188">
      <c r="A1188" s="11">
        <v>46202</v>
      </c>
      <c r="B1188" t="s">
        <v>662</v>
      </c>
      <c r="C1188" t="s">
        <v>41</v>
      </c>
      <c r="F1188" s="17">
        <f>IF(Log[[#This Row],[ID]]="","",IF(ISNA(MATCH(Log[[#This Row],[ID]],Items[ID],0)),"unknown ID",IF(ISNA(MATCH(Log[[#This Row],[Verb]],VerbList,0)),"unknown verb",IF(Log[[#This Row],[Date]]="","no date",""))))</f>
      </c>
      <c r="G1188" s="17">
        <f>IF(Log[[#This Row],[ID]]="","",IFERROR(VLOOKUP(Log[[#This Row],[Verb]],Verbs,3,FALSE)&amp;"",""))</f>
      </c>
      <c r="H1188" s="17">
        <f>IF(Log[[#This Row],[Date]]="","",INT((Log[[#This Row],[Date]]-Sprint1)/SprintDays)+1)</f>
      </c>
      <c r="I1188" s="17">
        <f>IF(OR(Log[[#This Row],[Verb]]="commit",Log[[#This Row],[Verb]]="carry",Log[[#This Row],[Verb]]="redo"),IF(Log[[#This Row],[Arg]]="",Log[[#This Row],[Sprint]],N(Log[[#This Row],[Arg]])),"")</f>
      </c>
      <c r="J1188" s="17">
        <f>IF(Log[[#This Row],[Verb]]="block",1,IF(OR(Log[[#This Row],[Verb]]="unblock",Log[[#This Row],[Verb]]="done",Log[[#This Row],[Verb]]="drop",Log[[#This Row],[Verb]]="punt",Log[[#This Row],[Verb]]="pass"),0,""))</f>
      </c>
      <c r="K1188" s="17">
        <f>IF(Log[[#This Row],[ID]]="",0,IFERROR(INDEX(Items[Pts],MATCH(Log[[#This Row],[ID]],Items[ID],0))*1,0))</f>
      </c>
      <c r="L1188" s="17">
        <f>IF(Log[[#This Row],[ID]]="","",IFERROR(INDEX(Items[Cur team],MATCH(Log[[#This Row],[ID]],Items[ID],0))&amp;"",""))</f>
      </c>
      <c r="M1188" s="17">
        <f>IF(OR(Log[[#This Row],[Verb]]="done",Log[[#This Row],[Verb]]="punt",Log[[#This Row],[Verb]]="drop",Log[[#This Row],[Verb]]="pass"),Log[[#This Row],[Pts]],0)</f>
      </c>
    </row>
    <row r="1189">
      <c r="A1189" s="11">
        <v>46202</v>
      </c>
      <c r="B1189" t="s">
        <v>663</v>
      </c>
      <c r="C1189" t="s">
        <v>41</v>
      </c>
      <c r="F1189" s="17">
        <f>IF(Log[[#This Row],[ID]]="","",IF(ISNA(MATCH(Log[[#This Row],[ID]],Items[ID],0)),"unknown ID",IF(ISNA(MATCH(Log[[#This Row],[Verb]],VerbList,0)),"unknown verb",IF(Log[[#This Row],[Date]]="","no date",""))))</f>
      </c>
      <c r="G1189" s="17">
        <f>IF(Log[[#This Row],[ID]]="","",IFERROR(VLOOKUP(Log[[#This Row],[Verb]],Verbs,3,FALSE)&amp;"",""))</f>
      </c>
      <c r="H1189" s="17">
        <f>IF(Log[[#This Row],[Date]]="","",INT((Log[[#This Row],[Date]]-Sprint1)/SprintDays)+1)</f>
      </c>
      <c r="I1189" s="17">
        <f>IF(OR(Log[[#This Row],[Verb]]="commit",Log[[#This Row],[Verb]]="carry",Log[[#This Row],[Verb]]="redo"),IF(Log[[#This Row],[Arg]]="",Log[[#This Row],[Sprint]],N(Log[[#This Row],[Arg]])),"")</f>
      </c>
      <c r="J1189" s="17">
        <f>IF(Log[[#This Row],[Verb]]="block",1,IF(OR(Log[[#This Row],[Verb]]="unblock",Log[[#This Row],[Verb]]="done",Log[[#This Row],[Verb]]="drop",Log[[#This Row],[Verb]]="punt",Log[[#This Row],[Verb]]="pass"),0,""))</f>
      </c>
      <c r="K1189" s="17">
        <f>IF(Log[[#This Row],[ID]]="",0,IFERROR(INDEX(Items[Pts],MATCH(Log[[#This Row],[ID]],Items[ID],0))*1,0))</f>
      </c>
      <c r="L1189" s="17">
        <f>IF(Log[[#This Row],[ID]]="","",IFERROR(INDEX(Items[Cur team],MATCH(Log[[#This Row],[ID]],Items[ID],0))&amp;"",""))</f>
      </c>
      <c r="M1189" s="17">
        <f>IF(OR(Log[[#This Row],[Verb]]="done",Log[[#This Row],[Verb]]="punt",Log[[#This Row],[Verb]]="drop",Log[[#This Row],[Verb]]="pass"),Log[[#This Row],[Pts]],0)</f>
      </c>
    </row>
    <row r="1190">
      <c r="A1190" s="11">
        <v>46202</v>
      </c>
      <c r="B1190" t="s">
        <v>664</v>
      </c>
      <c r="C1190" t="s">
        <v>38</v>
      </c>
      <c r="D1190">
        <v>47</v>
      </c>
      <c r="F1190" s="17">
        <f>IF(Log[[#This Row],[ID]]="","",IF(ISNA(MATCH(Log[[#This Row],[ID]],Items[ID],0)),"unknown ID",IF(ISNA(MATCH(Log[[#This Row],[Verb]],VerbList,0)),"unknown verb",IF(Log[[#This Row],[Date]]="","no date",""))))</f>
      </c>
      <c r="G1190" s="17">
        <f>IF(Log[[#This Row],[ID]]="","",IFERROR(VLOOKUP(Log[[#This Row],[Verb]],Verbs,3,FALSE)&amp;"",""))</f>
      </c>
      <c r="H1190" s="17">
        <f>IF(Log[[#This Row],[Date]]="","",INT((Log[[#This Row],[Date]]-Sprint1)/SprintDays)+1)</f>
      </c>
      <c r="I1190" s="17">
        <f>IF(OR(Log[[#This Row],[Verb]]="commit",Log[[#This Row],[Verb]]="carry",Log[[#This Row],[Verb]]="redo"),IF(Log[[#This Row],[Arg]]="",Log[[#This Row],[Sprint]],N(Log[[#This Row],[Arg]])),"")</f>
      </c>
      <c r="J1190" s="17">
        <f>IF(Log[[#This Row],[Verb]]="block",1,IF(OR(Log[[#This Row],[Verb]]="unblock",Log[[#This Row],[Verb]]="done",Log[[#This Row],[Verb]]="drop",Log[[#This Row],[Verb]]="punt",Log[[#This Row],[Verb]]="pass"),0,""))</f>
      </c>
      <c r="K1190" s="17">
        <f>IF(Log[[#This Row],[ID]]="",0,IFERROR(INDEX(Items[Pts],MATCH(Log[[#This Row],[ID]],Items[ID],0))*1,0))</f>
      </c>
      <c r="L1190" s="17">
        <f>IF(Log[[#This Row],[ID]]="","",IFERROR(INDEX(Items[Cur team],MATCH(Log[[#This Row],[ID]],Items[ID],0))&amp;"",""))</f>
      </c>
      <c r="M1190" s="17">
        <f>IF(OR(Log[[#This Row],[Verb]]="done",Log[[#This Row],[Verb]]="punt",Log[[#This Row],[Verb]]="drop",Log[[#This Row],[Verb]]="pass"),Log[[#This Row],[Pts]],0)</f>
      </c>
    </row>
    <row r="1191">
      <c r="A1191" s="11">
        <v>46202</v>
      </c>
      <c r="B1191" t="s">
        <v>604</v>
      </c>
      <c r="C1191" t="s">
        <v>41</v>
      </c>
      <c r="F1191" s="17">
        <f>IF(Log[[#This Row],[ID]]="","",IF(ISNA(MATCH(Log[[#This Row],[ID]],Items[ID],0)),"unknown ID",IF(ISNA(MATCH(Log[[#This Row],[Verb]],VerbList,0)),"unknown verb",IF(Log[[#This Row],[Date]]="","no date",""))))</f>
      </c>
      <c r="G1191" s="17">
        <f>IF(Log[[#This Row],[ID]]="","",IFERROR(VLOOKUP(Log[[#This Row],[Verb]],Verbs,3,FALSE)&amp;"",""))</f>
      </c>
      <c r="H1191" s="17">
        <f>IF(Log[[#This Row],[Date]]="","",INT((Log[[#This Row],[Date]]-Sprint1)/SprintDays)+1)</f>
      </c>
      <c r="I1191" s="17">
        <f>IF(OR(Log[[#This Row],[Verb]]="commit",Log[[#This Row],[Verb]]="carry",Log[[#This Row],[Verb]]="redo"),IF(Log[[#This Row],[Arg]]="",Log[[#This Row],[Sprint]],N(Log[[#This Row],[Arg]])),"")</f>
      </c>
      <c r="J1191" s="17">
        <f>IF(Log[[#This Row],[Verb]]="block",1,IF(OR(Log[[#This Row],[Verb]]="unblock",Log[[#This Row],[Verb]]="done",Log[[#This Row],[Verb]]="drop",Log[[#This Row],[Verb]]="punt",Log[[#This Row],[Verb]]="pass"),0,""))</f>
      </c>
      <c r="K1191" s="17">
        <f>IF(Log[[#This Row],[ID]]="",0,IFERROR(INDEX(Items[Pts],MATCH(Log[[#This Row],[ID]],Items[ID],0))*1,0))</f>
      </c>
      <c r="L1191" s="17">
        <f>IF(Log[[#This Row],[ID]]="","",IFERROR(INDEX(Items[Cur team],MATCH(Log[[#This Row],[ID]],Items[ID],0))&amp;"",""))</f>
      </c>
      <c r="M1191" s="17">
        <f>IF(OR(Log[[#This Row],[Verb]]="done",Log[[#This Row],[Verb]]="punt",Log[[#This Row],[Verb]]="drop",Log[[#This Row],[Verb]]="pass"),Log[[#This Row],[Pts]],0)</f>
      </c>
    </row>
    <row r="1192">
      <c r="A1192" s="11">
        <v>46202</v>
      </c>
      <c r="B1192" t="s">
        <v>665</v>
      </c>
      <c r="C1192" t="s">
        <v>41</v>
      </c>
      <c r="F1192" s="17">
        <f>IF(Log[[#This Row],[ID]]="","",IF(ISNA(MATCH(Log[[#This Row],[ID]],Items[ID],0)),"unknown ID",IF(ISNA(MATCH(Log[[#This Row],[Verb]],VerbList,0)),"unknown verb",IF(Log[[#This Row],[Date]]="","no date",""))))</f>
      </c>
      <c r="G1192" s="17">
        <f>IF(Log[[#This Row],[ID]]="","",IFERROR(VLOOKUP(Log[[#This Row],[Verb]],Verbs,3,FALSE)&amp;"",""))</f>
      </c>
      <c r="H1192" s="17">
        <f>IF(Log[[#This Row],[Date]]="","",INT((Log[[#This Row],[Date]]-Sprint1)/SprintDays)+1)</f>
      </c>
      <c r="I1192" s="17">
        <f>IF(OR(Log[[#This Row],[Verb]]="commit",Log[[#This Row],[Verb]]="carry",Log[[#This Row],[Verb]]="redo"),IF(Log[[#This Row],[Arg]]="",Log[[#This Row],[Sprint]],N(Log[[#This Row],[Arg]])),"")</f>
      </c>
      <c r="J1192" s="17">
        <f>IF(Log[[#This Row],[Verb]]="block",1,IF(OR(Log[[#This Row],[Verb]]="unblock",Log[[#This Row],[Verb]]="done",Log[[#This Row],[Verb]]="drop",Log[[#This Row],[Verb]]="punt",Log[[#This Row],[Verb]]="pass"),0,""))</f>
      </c>
      <c r="K1192" s="17">
        <f>IF(Log[[#This Row],[ID]]="",0,IFERROR(INDEX(Items[Pts],MATCH(Log[[#This Row],[ID]],Items[ID],0))*1,0))</f>
      </c>
      <c r="L1192" s="17">
        <f>IF(Log[[#This Row],[ID]]="","",IFERROR(INDEX(Items[Cur team],MATCH(Log[[#This Row],[ID]],Items[ID],0))&amp;"",""))</f>
      </c>
      <c r="M1192" s="17">
        <f>IF(OR(Log[[#This Row],[Verb]]="done",Log[[#This Row],[Verb]]="punt",Log[[#This Row],[Verb]]="drop",Log[[#This Row],[Verb]]="pass"),Log[[#This Row],[Pts]],0)</f>
      </c>
    </row>
    <row r="1193">
      <c r="A1193" s="11">
        <v>46202</v>
      </c>
      <c r="B1193" t="s">
        <v>666</v>
      </c>
      <c r="C1193" t="s">
        <v>41</v>
      </c>
      <c r="F1193" s="17">
        <f>IF(Log[[#This Row],[ID]]="","",IF(ISNA(MATCH(Log[[#This Row],[ID]],Items[ID],0)),"unknown ID",IF(ISNA(MATCH(Log[[#This Row],[Verb]],VerbList,0)),"unknown verb",IF(Log[[#This Row],[Date]]="","no date",""))))</f>
      </c>
      <c r="G1193" s="17">
        <f>IF(Log[[#This Row],[ID]]="","",IFERROR(VLOOKUP(Log[[#This Row],[Verb]],Verbs,3,FALSE)&amp;"",""))</f>
      </c>
      <c r="H1193" s="17">
        <f>IF(Log[[#This Row],[Date]]="","",INT((Log[[#This Row],[Date]]-Sprint1)/SprintDays)+1)</f>
      </c>
      <c r="I1193" s="17">
        <f>IF(OR(Log[[#This Row],[Verb]]="commit",Log[[#This Row],[Verb]]="carry",Log[[#This Row],[Verb]]="redo"),IF(Log[[#This Row],[Arg]]="",Log[[#This Row],[Sprint]],N(Log[[#This Row],[Arg]])),"")</f>
      </c>
      <c r="J1193" s="17">
        <f>IF(Log[[#This Row],[Verb]]="block",1,IF(OR(Log[[#This Row],[Verb]]="unblock",Log[[#This Row],[Verb]]="done",Log[[#This Row],[Verb]]="drop",Log[[#This Row],[Verb]]="punt",Log[[#This Row],[Verb]]="pass"),0,""))</f>
      </c>
      <c r="K1193" s="17">
        <f>IF(Log[[#This Row],[ID]]="",0,IFERROR(INDEX(Items[Pts],MATCH(Log[[#This Row],[ID]],Items[ID],0))*1,0))</f>
      </c>
      <c r="L1193" s="17">
        <f>IF(Log[[#This Row],[ID]]="","",IFERROR(INDEX(Items[Cur team],MATCH(Log[[#This Row],[ID]],Items[ID],0))&amp;"",""))</f>
      </c>
      <c r="M1193" s="17">
        <f>IF(OR(Log[[#This Row],[Verb]]="done",Log[[#This Row],[Verb]]="punt",Log[[#This Row],[Verb]]="drop",Log[[#This Row],[Verb]]="pass"),Log[[#This Row],[Pts]],0)</f>
      </c>
    </row>
    <row r="1194">
      <c r="A1194" s="11">
        <v>46202</v>
      </c>
      <c r="B1194" t="s">
        <v>667</v>
      </c>
      <c r="C1194" t="s">
        <v>38</v>
      </c>
      <c r="D1194">
        <v>47</v>
      </c>
      <c r="F1194" s="17">
        <f>IF(Log[[#This Row],[ID]]="","",IF(ISNA(MATCH(Log[[#This Row],[ID]],Items[ID],0)),"unknown ID",IF(ISNA(MATCH(Log[[#This Row],[Verb]],VerbList,0)),"unknown verb",IF(Log[[#This Row],[Date]]="","no date",""))))</f>
      </c>
      <c r="G1194" s="17">
        <f>IF(Log[[#This Row],[ID]]="","",IFERROR(VLOOKUP(Log[[#This Row],[Verb]],Verbs,3,FALSE)&amp;"",""))</f>
      </c>
      <c r="H1194" s="17">
        <f>IF(Log[[#This Row],[Date]]="","",INT((Log[[#This Row],[Date]]-Sprint1)/SprintDays)+1)</f>
      </c>
      <c r="I1194" s="17">
        <f>IF(OR(Log[[#This Row],[Verb]]="commit",Log[[#This Row],[Verb]]="carry",Log[[#This Row],[Verb]]="redo"),IF(Log[[#This Row],[Arg]]="",Log[[#This Row],[Sprint]],N(Log[[#This Row],[Arg]])),"")</f>
      </c>
      <c r="J1194" s="17">
        <f>IF(Log[[#This Row],[Verb]]="block",1,IF(OR(Log[[#This Row],[Verb]]="unblock",Log[[#This Row],[Verb]]="done",Log[[#This Row],[Verb]]="drop",Log[[#This Row],[Verb]]="punt",Log[[#This Row],[Verb]]="pass"),0,""))</f>
      </c>
      <c r="K1194" s="17">
        <f>IF(Log[[#This Row],[ID]]="",0,IFERROR(INDEX(Items[Pts],MATCH(Log[[#This Row],[ID]],Items[ID],0))*1,0))</f>
      </c>
      <c r="L1194" s="17">
        <f>IF(Log[[#This Row],[ID]]="","",IFERROR(INDEX(Items[Cur team],MATCH(Log[[#This Row],[ID]],Items[ID],0))&amp;"",""))</f>
      </c>
      <c r="M1194" s="17">
        <f>IF(OR(Log[[#This Row],[Verb]]="done",Log[[#This Row],[Verb]]="punt",Log[[#This Row],[Verb]]="drop",Log[[#This Row],[Verb]]="pass"),Log[[#This Row],[Pts]],0)</f>
      </c>
    </row>
    <row r="1195">
      <c r="A1195" s="11">
        <v>46202</v>
      </c>
      <c r="B1195" t="s">
        <v>668</v>
      </c>
      <c r="C1195" t="s">
        <v>41</v>
      </c>
      <c r="F1195" s="17">
        <f>IF(Log[[#This Row],[ID]]="","",IF(ISNA(MATCH(Log[[#This Row],[ID]],Items[ID],0)),"unknown ID",IF(ISNA(MATCH(Log[[#This Row],[Verb]],VerbList,0)),"unknown verb",IF(Log[[#This Row],[Date]]="","no date",""))))</f>
      </c>
      <c r="G1195" s="17">
        <f>IF(Log[[#This Row],[ID]]="","",IFERROR(VLOOKUP(Log[[#This Row],[Verb]],Verbs,3,FALSE)&amp;"",""))</f>
      </c>
      <c r="H1195" s="17">
        <f>IF(Log[[#This Row],[Date]]="","",INT((Log[[#This Row],[Date]]-Sprint1)/SprintDays)+1)</f>
      </c>
      <c r="I1195" s="17">
        <f>IF(OR(Log[[#This Row],[Verb]]="commit",Log[[#This Row],[Verb]]="carry",Log[[#This Row],[Verb]]="redo"),IF(Log[[#This Row],[Arg]]="",Log[[#This Row],[Sprint]],N(Log[[#This Row],[Arg]])),"")</f>
      </c>
      <c r="J1195" s="17">
        <f>IF(Log[[#This Row],[Verb]]="block",1,IF(OR(Log[[#This Row],[Verb]]="unblock",Log[[#This Row],[Verb]]="done",Log[[#This Row],[Verb]]="drop",Log[[#This Row],[Verb]]="punt",Log[[#This Row],[Verb]]="pass"),0,""))</f>
      </c>
      <c r="K1195" s="17">
        <f>IF(Log[[#This Row],[ID]]="",0,IFERROR(INDEX(Items[Pts],MATCH(Log[[#This Row],[ID]],Items[ID],0))*1,0))</f>
      </c>
      <c r="L1195" s="17">
        <f>IF(Log[[#This Row],[ID]]="","",IFERROR(INDEX(Items[Cur team],MATCH(Log[[#This Row],[ID]],Items[ID],0))&amp;"",""))</f>
      </c>
      <c r="M1195" s="17">
        <f>IF(OR(Log[[#This Row],[Verb]]="done",Log[[#This Row],[Verb]]="punt",Log[[#This Row],[Verb]]="drop",Log[[#This Row],[Verb]]="pass"),Log[[#This Row],[Pts]],0)</f>
      </c>
    </row>
    <row r="1196">
      <c r="A1196" s="11">
        <v>46202</v>
      </c>
      <c r="B1196" t="s">
        <v>669</v>
      </c>
      <c r="C1196" t="s">
        <v>41</v>
      </c>
      <c r="F1196" s="17">
        <f>IF(Log[[#This Row],[ID]]="","",IF(ISNA(MATCH(Log[[#This Row],[ID]],Items[ID],0)),"unknown ID",IF(ISNA(MATCH(Log[[#This Row],[Verb]],VerbList,0)),"unknown verb",IF(Log[[#This Row],[Date]]="","no date",""))))</f>
      </c>
      <c r="G1196" s="17">
        <f>IF(Log[[#This Row],[ID]]="","",IFERROR(VLOOKUP(Log[[#This Row],[Verb]],Verbs,3,FALSE)&amp;"",""))</f>
      </c>
      <c r="H1196" s="17">
        <f>IF(Log[[#This Row],[Date]]="","",INT((Log[[#This Row],[Date]]-Sprint1)/SprintDays)+1)</f>
      </c>
      <c r="I1196" s="17">
        <f>IF(OR(Log[[#This Row],[Verb]]="commit",Log[[#This Row],[Verb]]="carry",Log[[#This Row],[Verb]]="redo"),IF(Log[[#This Row],[Arg]]="",Log[[#This Row],[Sprint]],N(Log[[#This Row],[Arg]])),"")</f>
      </c>
      <c r="J1196" s="17">
        <f>IF(Log[[#This Row],[Verb]]="block",1,IF(OR(Log[[#This Row],[Verb]]="unblock",Log[[#This Row],[Verb]]="done",Log[[#This Row],[Verb]]="drop",Log[[#This Row],[Verb]]="punt",Log[[#This Row],[Verb]]="pass"),0,""))</f>
      </c>
      <c r="K1196" s="17">
        <f>IF(Log[[#This Row],[ID]]="",0,IFERROR(INDEX(Items[Pts],MATCH(Log[[#This Row],[ID]],Items[ID],0))*1,0))</f>
      </c>
      <c r="L1196" s="17">
        <f>IF(Log[[#This Row],[ID]]="","",IFERROR(INDEX(Items[Cur team],MATCH(Log[[#This Row],[ID]],Items[ID],0))&amp;"",""))</f>
      </c>
      <c r="M1196" s="17">
        <f>IF(OR(Log[[#This Row],[Verb]]="done",Log[[#This Row],[Verb]]="punt",Log[[#This Row],[Verb]]="drop",Log[[#This Row],[Verb]]="pass"),Log[[#This Row],[Pts]],0)</f>
      </c>
    </row>
    <row r="1197">
      <c r="A1197" s="11">
        <v>46202</v>
      </c>
      <c r="B1197" t="s">
        <v>670</v>
      </c>
      <c r="C1197" t="s">
        <v>41</v>
      </c>
      <c r="F1197" s="17">
        <f>IF(Log[[#This Row],[ID]]="","",IF(ISNA(MATCH(Log[[#This Row],[ID]],Items[ID],0)),"unknown ID",IF(ISNA(MATCH(Log[[#This Row],[Verb]],VerbList,0)),"unknown verb",IF(Log[[#This Row],[Date]]="","no date",""))))</f>
      </c>
      <c r="G1197" s="17">
        <f>IF(Log[[#This Row],[ID]]="","",IFERROR(VLOOKUP(Log[[#This Row],[Verb]],Verbs,3,FALSE)&amp;"",""))</f>
      </c>
      <c r="H1197" s="17">
        <f>IF(Log[[#This Row],[Date]]="","",INT((Log[[#This Row],[Date]]-Sprint1)/SprintDays)+1)</f>
      </c>
      <c r="I1197" s="17">
        <f>IF(OR(Log[[#This Row],[Verb]]="commit",Log[[#This Row],[Verb]]="carry",Log[[#This Row],[Verb]]="redo"),IF(Log[[#This Row],[Arg]]="",Log[[#This Row],[Sprint]],N(Log[[#This Row],[Arg]])),"")</f>
      </c>
      <c r="J1197" s="17">
        <f>IF(Log[[#This Row],[Verb]]="block",1,IF(OR(Log[[#This Row],[Verb]]="unblock",Log[[#This Row],[Verb]]="done",Log[[#This Row],[Verb]]="drop",Log[[#This Row],[Verb]]="punt",Log[[#This Row],[Verb]]="pass"),0,""))</f>
      </c>
      <c r="K1197" s="17">
        <f>IF(Log[[#This Row],[ID]]="",0,IFERROR(INDEX(Items[Pts],MATCH(Log[[#This Row],[ID]],Items[ID],0))*1,0))</f>
      </c>
      <c r="L1197" s="17">
        <f>IF(Log[[#This Row],[ID]]="","",IFERROR(INDEX(Items[Cur team],MATCH(Log[[#This Row],[ID]],Items[ID],0))&amp;"",""))</f>
      </c>
      <c r="M1197" s="17">
        <f>IF(OR(Log[[#This Row],[Verb]]="done",Log[[#This Row],[Verb]]="punt",Log[[#This Row],[Verb]]="drop",Log[[#This Row],[Verb]]="pass"),Log[[#This Row],[Pts]],0)</f>
      </c>
    </row>
    <row r="1198">
      <c r="A1198" s="11">
        <v>46202</v>
      </c>
      <c r="B1198" t="s">
        <v>671</v>
      </c>
      <c r="C1198" t="s">
        <v>41</v>
      </c>
      <c r="F1198" s="17">
        <f>IF(Log[[#This Row],[ID]]="","",IF(ISNA(MATCH(Log[[#This Row],[ID]],Items[ID],0)),"unknown ID",IF(ISNA(MATCH(Log[[#This Row],[Verb]],VerbList,0)),"unknown verb",IF(Log[[#This Row],[Date]]="","no date",""))))</f>
      </c>
      <c r="G1198" s="17">
        <f>IF(Log[[#This Row],[ID]]="","",IFERROR(VLOOKUP(Log[[#This Row],[Verb]],Verbs,3,FALSE)&amp;"",""))</f>
      </c>
      <c r="H1198" s="17">
        <f>IF(Log[[#This Row],[Date]]="","",INT((Log[[#This Row],[Date]]-Sprint1)/SprintDays)+1)</f>
      </c>
      <c r="I1198" s="17">
        <f>IF(OR(Log[[#This Row],[Verb]]="commit",Log[[#This Row],[Verb]]="carry",Log[[#This Row],[Verb]]="redo"),IF(Log[[#This Row],[Arg]]="",Log[[#This Row],[Sprint]],N(Log[[#This Row],[Arg]])),"")</f>
      </c>
      <c r="J1198" s="17">
        <f>IF(Log[[#This Row],[Verb]]="block",1,IF(OR(Log[[#This Row],[Verb]]="unblock",Log[[#This Row],[Verb]]="done",Log[[#This Row],[Verb]]="drop",Log[[#This Row],[Verb]]="punt",Log[[#This Row],[Verb]]="pass"),0,""))</f>
      </c>
      <c r="K1198" s="17">
        <f>IF(Log[[#This Row],[ID]]="",0,IFERROR(INDEX(Items[Pts],MATCH(Log[[#This Row],[ID]],Items[ID],0))*1,0))</f>
      </c>
      <c r="L1198" s="17">
        <f>IF(Log[[#This Row],[ID]]="","",IFERROR(INDEX(Items[Cur team],MATCH(Log[[#This Row],[ID]],Items[ID],0))&amp;"",""))</f>
      </c>
      <c r="M1198" s="17">
        <f>IF(OR(Log[[#This Row],[Verb]]="done",Log[[#This Row],[Verb]]="punt",Log[[#This Row],[Verb]]="drop",Log[[#This Row],[Verb]]="pass"),Log[[#This Row],[Pts]],0)</f>
      </c>
    </row>
    <row r="1199">
      <c r="A1199" s="11">
        <v>46202</v>
      </c>
      <c r="B1199" t="s">
        <v>611</v>
      </c>
      <c r="C1199" t="s">
        <v>41</v>
      </c>
      <c r="F1199" s="17">
        <f>IF(Log[[#This Row],[ID]]="","",IF(ISNA(MATCH(Log[[#This Row],[ID]],Items[ID],0)),"unknown ID",IF(ISNA(MATCH(Log[[#This Row],[Verb]],VerbList,0)),"unknown verb",IF(Log[[#This Row],[Date]]="","no date",""))))</f>
      </c>
      <c r="G1199" s="17">
        <f>IF(Log[[#This Row],[ID]]="","",IFERROR(VLOOKUP(Log[[#This Row],[Verb]],Verbs,3,FALSE)&amp;"",""))</f>
      </c>
      <c r="H1199" s="17">
        <f>IF(Log[[#This Row],[Date]]="","",INT((Log[[#This Row],[Date]]-Sprint1)/SprintDays)+1)</f>
      </c>
      <c r="I1199" s="17">
        <f>IF(OR(Log[[#This Row],[Verb]]="commit",Log[[#This Row],[Verb]]="carry",Log[[#This Row],[Verb]]="redo"),IF(Log[[#This Row],[Arg]]="",Log[[#This Row],[Sprint]],N(Log[[#This Row],[Arg]])),"")</f>
      </c>
      <c r="J1199" s="17">
        <f>IF(Log[[#This Row],[Verb]]="block",1,IF(OR(Log[[#This Row],[Verb]]="unblock",Log[[#This Row],[Verb]]="done",Log[[#This Row],[Verb]]="drop",Log[[#This Row],[Verb]]="punt",Log[[#This Row],[Verb]]="pass"),0,""))</f>
      </c>
      <c r="K1199" s="17">
        <f>IF(Log[[#This Row],[ID]]="",0,IFERROR(INDEX(Items[Pts],MATCH(Log[[#This Row],[ID]],Items[ID],0))*1,0))</f>
      </c>
      <c r="L1199" s="17">
        <f>IF(Log[[#This Row],[ID]]="","",IFERROR(INDEX(Items[Cur team],MATCH(Log[[#This Row],[ID]],Items[ID],0))&amp;"",""))</f>
      </c>
      <c r="M1199" s="17">
        <f>IF(OR(Log[[#This Row],[Verb]]="done",Log[[#This Row],[Verb]]="punt",Log[[#This Row],[Verb]]="drop",Log[[#This Row],[Verb]]="pass"),Log[[#This Row],[Pts]],0)</f>
      </c>
    </row>
    <row r="1200">
      <c r="A1200" s="11">
        <v>46202</v>
      </c>
      <c r="B1200" t="s">
        <v>612</v>
      </c>
      <c r="C1200" t="s">
        <v>41</v>
      </c>
      <c r="F1200" s="17">
        <f>IF(Log[[#This Row],[ID]]="","",IF(ISNA(MATCH(Log[[#This Row],[ID]],Items[ID],0)),"unknown ID",IF(ISNA(MATCH(Log[[#This Row],[Verb]],VerbList,0)),"unknown verb",IF(Log[[#This Row],[Date]]="","no date",""))))</f>
      </c>
      <c r="G1200" s="17">
        <f>IF(Log[[#This Row],[ID]]="","",IFERROR(VLOOKUP(Log[[#This Row],[Verb]],Verbs,3,FALSE)&amp;"",""))</f>
      </c>
      <c r="H1200" s="17">
        <f>IF(Log[[#This Row],[Date]]="","",INT((Log[[#This Row],[Date]]-Sprint1)/SprintDays)+1)</f>
      </c>
      <c r="I1200" s="17">
        <f>IF(OR(Log[[#This Row],[Verb]]="commit",Log[[#This Row],[Verb]]="carry",Log[[#This Row],[Verb]]="redo"),IF(Log[[#This Row],[Arg]]="",Log[[#This Row],[Sprint]],N(Log[[#This Row],[Arg]])),"")</f>
      </c>
      <c r="J1200" s="17">
        <f>IF(Log[[#This Row],[Verb]]="block",1,IF(OR(Log[[#This Row],[Verb]]="unblock",Log[[#This Row],[Verb]]="done",Log[[#This Row],[Verb]]="drop",Log[[#This Row],[Verb]]="punt",Log[[#This Row],[Verb]]="pass"),0,""))</f>
      </c>
      <c r="K1200" s="17">
        <f>IF(Log[[#This Row],[ID]]="",0,IFERROR(INDEX(Items[Pts],MATCH(Log[[#This Row],[ID]],Items[ID],0))*1,0))</f>
      </c>
      <c r="L1200" s="17">
        <f>IF(Log[[#This Row],[ID]]="","",IFERROR(INDEX(Items[Cur team],MATCH(Log[[#This Row],[ID]],Items[ID],0))&amp;"",""))</f>
      </c>
      <c r="M1200" s="17">
        <f>IF(OR(Log[[#This Row],[Verb]]="done",Log[[#This Row],[Verb]]="punt",Log[[#This Row],[Verb]]="drop",Log[[#This Row],[Verb]]="pass"),Log[[#This Row],[Pts]],0)</f>
      </c>
    </row>
    <row r="1201">
      <c r="A1201" s="11">
        <v>46202</v>
      </c>
      <c r="B1201" t="s">
        <v>614</v>
      </c>
      <c r="C1201" t="s">
        <v>41</v>
      </c>
      <c r="F1201" s="17">
        <f>IF(Log[[#This Row],[ID]]="","",IF(ISNA(MATCH(Log[[#This Row],[ID]],Items[ID],0)),"unknown ID",IF(ISNA(MATCH(Log[[#This Row],[Verb]],VerbList,0)),"unknown verb",IF(Log[[#This Row],[Date]]="","no date",""))))</f>
      </c>
      <c r="G1201" s="17">
        <f>IF(Log[[#This Row],[ID]]="","",IFERROR(VLOOKUP(Log[[#This Row],[Verb]],Verbs,3,FALSE)&amp;"",""))</f>
      </c>
      <c r="H1201" s="17">
        <f>IF(Log[[#This Row],[Date]]="","",INT((Log[[#This Row],[Date]]-Sprint1)/SprintDays)+1)</f>
      </c>
      <c r="I1201" s="17">
        <f>IF(OR(Log[[#This Row],[Verb]]="commit",Log[[#This Row],[Verb]]="carry",Log[[#This Row],[Verb]]="redo"),IF(Log[[#This Row],[Arg]]="",Log[[#This Row],[Sprint]],N(Log[[#This Row],[Arg]])),"")</f>
      </c>
      <c r="J1201" s="17">
        <f>IF(Log[[#This Row],[Verb]]="block",1,IF(OR(Log[[#This Row],[Verb]]="unblock",Log[[#This Row],[Verb]]="done",Log[[#This Row],[Verb]]="drop",Log[[#This Row],[Verb]]="punt",Log[[#This Row],[Verb]]="pass"),0,""))</f>
      </c>
      <c r="K1201" s="17">
        <f>IF(Log[[#This Row],[ID]]="",0,IFERROR(INDEX(Items[Pts],MATCH(Log[[#This Row],[ID]],Items[ID],0))*1,0))</f>
      </c>
      <c r="L1201" s="17">
        <f>IF(Log[[#This Row],[ID]]="","",IFERROR(INDEX(Items[Cur team],MATCH(Log[[#This Row],[ID]],Items[ID],0))&amp;"",""))</f>
      </c>
      <c r="M1201" s="17">
        <f>IF(OR(Log[[#This Row],[Verb]]="done",Log[[#This Row],[Verb]]="punt",Log[[#This Row],[Verb]]="drop",Log[[#This Row],[Verb]]="pass"),Log[[#This Row],[Pts]],0)</f>
      </c>
    </row>
    <row r="1202">
      <c r="A1202" s="11">
        <v>46202</v>
      </c>
      <c r="B1202" t="s">
        <v>672</v>
      </c>
      <c r="C1202" t="s">
        <v>41</v>
      </c>
      <c r="F1202" s="17">
        <f>IF(Log[[#This Row],[ID]]="","",IF(ISNA(MATCH(Log[[#This Row],[ID]],Items[ID],0)),"unknown ID",IF(ISNA(MATCH(Log[[#This Row],[Verb]],VerbList,0)),"unknown verb",IF(Log[[#This Row],[Date]]="","no date",""))))</f>
      </c>
      <c r="G1202" s="17">
        <f>IF(Log[[#This Row],[ID]]="","",IFERROR(VLOOKUP(Log[[#This Row],[Verb]],Verbs,3,FALSE)&amp;"",""))</f>
      </c>
      <c r="H1202" s="17">
        <f>IF(Log[[#This Row],[Date]]="","",INT((Log[[#This Row],[Date]]-Sprint1)/SprintDays)+1)</f>
      </c>
      <c r="I1202" s="17">
        <f>IF(OR(Log[[#This Row],[Verb]]="commit",Log[[#This Row],[Verb]]="carry",Log[[#This Row],[Verb]]="redo"),IF(Log[[#This Row],[Arg]]="",Log[[#This Row],[Sprint]],N(Log[[#This Row],[Arg]])),"")</f>
      </c>
      <c r="J1202" s="17">
        <f>IF(Log[[#This Row],[Verb]]="block",1,IF(OR(Log[[#This Row],[Verb]]="unblock",Log[[#This Row],[Verb]]="done",Log[[#This Row],[Verb]]="drop",Log[[#This Row],[Verb]]="punt",Log[[#This Row],[Verb]]="pass"),0,""))</f>
      </c>
      <c r="K1202" s="17">
        <f>IF(Log[[#This Row],[ID]]="",0,IFERROR(INDEX(Items[Pts],MATCH(Log[[#This Row],[ID]],Items[ID],0))*1,0))</f>
      </c>
      <c r="L1202" s="17">
        <f>IF(Log[[#This Row],[ID]]="","",IFERROR(INDEX(Items[Cur team],MATCH(Log[[#This Row],[ID]],Items[ID],0))&amp;"",""))</f>
      </c>
      <c r="M1202" s="17">
        <f>IF(OR(Log[[#This Row],[Verb]]="done",Log[[#This Row],[Verb]]="punt",Log[[#This Row],[Verb]]="drop",Log[[#This Row],[Verb]]="pass"),Log[[#This Row],[Pts]],0)</f>
      </c>
    </row>
    <row r="1203">
      <c r="A1203" s="11">
        <v>46202</v>
      </c>
      <c r="B1203" t="s">
        <v>615</v>
      </c>
      <c r="C1203" t="s">
        <v>41</v>
      </c>
      <c r="F1203" s="17">
        <f>IF(Log[[#This Row],[ID]]="","",IF(ISNA(MATCH(Log[[#This Row],[ID]],Items[ID],0)),"unknown ID",IF(ISNA(MATCH(Log[[#This Row],[Verb]],VerbList,0)),"unknown verb",IF(Log[[#This Row],[Date]]="","no date",""))))</f>
      </c>
      <c r="G1203" s="17">
        <f>IF(Log[[#This Row],[ID]]="","",IFERROR(VLOOKUP(Log[[#This Row],[Verb]],Verbs,3,FALSE)&amp;"",""))</f>
      </c>
      <c r="H1203" s="17">
        <f>IF(Log[[#This Row],[Date]]="","",INT((Log[[#This Row],[Date]]-Sprint1)/SprintDays)+1)</f>
      </c>
      <c r="I1203" s="17">
        <f>IF(OR(Log[[#This Row],[Verb]]="commit",Log[[#This Row],[Verb]]="carry",Log[[#This Row],[Verb]]="redo"),IF(Log[[#This Row],[Arg]]="",Log[[#This Row],[Sprint]],N(Log[[#This Row],[Arg]])),"")</f>
      </c>
      <c r="J1203" s="17">
        <f>IF(Log[[#This Row],[Verb]]="block",1,IF(OR(Log[[#This Row],[Verb]]="unblock",Log[[#This Row],[Verb]]="done",Log[[#This Row],[Verb]]="drop",Log[[#This Row],[Verb]]="punt",Log[[#This Row],[Verb]]="pass"),0,""))</f>
      </c>
      <c r="K1203" s="17">
        <f>IF(Log[[#This Row],[ID]]="",0,IFERROR(INDEX(Items[Pts],MATCH(Log[[#This Row],[ID]],Items[ID],0))*1,0))</f>
      </c>
      <c r="L1203" s="17">
        <f>IF(Log[[#This Row],[ID]]="","",IFERROR(INDEX(Items[Cur team],MATCH(Log[[#This Row],[ID]],Items[ID],0))&amp;"",""))</f>
      </c>
      <c r="M1203" s="17">
        <f>IF(OR(Log[[#This Row],[Verb]]="done",Log[[#This Row],[Verb]]="punt",Log[[#This Row],[Verb]]="drop",Log[[#This Row],[Verb]]="pass"),Log[[#This Row],[Pts]],0)</f>
      </c>
    </row>
    <row r="1204">
      <c r="A1204" s="11">
        <v>46202</v>
      </c>
      <c r="B1204" t="s">
        <v>616</v>
      </c>
      <c r="C1204" t="s">
        <v>41</v>
      </c>
      <c r="F1204" s="17">
        <f>IF(Log[[#This Row],[ID]]="","",IF(ISNA(MATCH(Log[[#This Row],[ID]],Items[ID],0)),"unknown ID",IF(ISNA(MATCH(Log[[#This Row],[Verb]],VerbList,0)),"unknown verb",IF(Log[[#This Row],[Date]]="","no date",""))))</f>
      </c>
      <c r="G1204" s="17">
        <f>IF(Log[[#This Row],[ID]]="","",IFERROR(VLOOKUP(Log[[#This Row],[Verb]],Verbs,3,FALSE)&amp;"",""))</f>
      </c>
      <c r="H1204" s="17">
        <f>IF(Log[[#This Row],[Date]]="","",INT((Log[[#This Row],[Date]]-Sprint1)/SprintDays)+1)</f>
      </c>
      <c r="I1204" s="17">
        <f>IF(OR(Log[[#This Row],[Verb]]="commit",Log[[#This Row],[Verb]]="carry",Log[[#This Row],[Verb]]="redo"),IF(Log[[#This Row],[Arg]]="",Log[[#This Row],[Sprint]],N(Log[[#This Row],[Arg]])),"")</f>
      </c>
      <c r="J1204" s="17">
        <f>IF(Log[[#This Row],[Verb]]="block",1,IF(OR(Log[[#This Row],[Verb]]="unblock",Log[[#This Row],[Verb]]="done",Log[[#This Row],[Verb]]="drop",Log[[#This Row],[Verb]]="punt",Log[[#This Row],[Verb]]="pass"),0,""))</f>
      </c>
      <c r="K1204" s="17">
        <f>IF(Log[[#This Row],[ID]]="",0,IFERROR(INDEX(Items[Pts],MATCH(Log[[#This Row],[ID]],Items[ID],0))*1,0))</f>
      </c>
      <c r="L1204" s="17">
        <f>IF(Log[[#This Row],[ID]]="","",IFERROR(INDEX(Items[Cur team],MATCH(Log[[#This Row],[ID]],Items[ID],0))&amp;"",""))</f>
      </c>
      <c r="M1204" s="17">
        <f>IF(OR(Log[[#This Row],[Verb]]="done",Log[[#This Row],[Verb]]="punt",Log[[#This Row],[Verb]]="drop",Log[[#This Row],[Verb]]="pass"),Log[[#This Row],[Pts]],0)</f>
      </c>
    </row>
    <row r="1205">
      <c r="A1205" s="11">
        <v>46202</v>
      </c>
      <c r="B1205" t="s">
        <v>673</v>
      </c>
      <c r="C1205" t="s">
        <v>41</v>
      </c>
      <c r="F1205" s="17">
        <f>IF(Log[[#This Row],[ID]]="","",IF(ISNA(MATCH(Log[[#This Row],[ID]],Items[ID],0)),"unknown ID",IF(ISNA(MATCH(Log[[#This Row],[Verb]],VerbList,0)),"unknown verb",IF(Log[[#This Row],[Date]]="","no date",""))))</f>
      </c>
      <c r="G1205" s="17">
        <f>IF(Log[[#This Row],[ID]]="","",IFERROR(VLOOKUP(Log[[#This Row],[Verb]],Verbs,3,FALSE)&amp;"",""))</f>
      </c>
      <c r="H1205" s="17">
        <f>IF(Log[[#This Row],[Date]]="","",INT((Log[[#This Row],[Date]]-Sprint1)/SprintDays)+1)</f>
      </c>
      <c r="I1205" s="17">
        <f>IF(OR(Log[[#This Row],[Verb]]="commit",Log[[#This Row],[Verb]]="carry",Log[[#This Row],[Verb]]="redo"),IF(Log[[#This Row],[Arg]]="",Log[[#This Row],[Sprint]],N(Log[[#This Row],[Arg]])),"")</f>
      </c>
      <c r="J1205" s="17">
        <f>IF(Log[[#This Row],[Verb]]="block",1,IF(OR(Log[[#This Row],[Verb]]="unblock",Log[[#This Row],[Verb]]="done",Log[[#This Row],[Verb]]="drop",Log[[#This Row],[Verb]]="punt",Log[[#This Row],[Verb]]="pass"),0,""))</f>
      </c>
      <c r="K1205" s="17">
        <f>IF(Log[[#This Row],[ID]]="",0,IFERROR(INDEX(Items[Pts],MATCH(Log[[#This Row],[ID]],Items[ID],0))*1,0))</f>
      </c>
      <c r="L1205" s="17">
        <f>IF(Log[[#This Row],[ID]]="","",IFERROR(INDEX(Items[Cur team],MATCH(Log[[#This Row],[ID]],Items[ID],0))&amp;"",""))</f>
      </c>
      <c r="M1205" s="17">
        <f>IF(OR(Log[[#This Row],[Verb]]="done",Log[[#This Row],[Verb]]="punt",Log[[#This Row],[Verb]]="drop",Log[[#This Row],[Verb]]="pass"),Log[[#This Row],[Pts]],0)</f>
      </c>
    </row>
    <row r="1206">
      <c r="A1206" s="11">
        <v>46202</v>
      </c>
      <c r="B1206" t="s">
        <v>674</v>
      </c>
      <c r="C1206" t="s">
        <v>41</v>
      </c>
      <c r="F1206" s="17">
        <f>IF(Log[[#This Row],[ID]]="","",IF(ISNA(MATCH(Log[[#This Row],[ID]],Items[ID],0)),"unknown ID",IF(ISNA(MATCH(Log[[#This Row],[Verb]],VerbList,0)),"unknown verb",IF(Log[[#This Row],[Date]]="","no date",""))))</f>
      </c>
      <c r="G1206" s="17">
        <f>IF(Log[[#This Row],[ID]]="","",IFERROR(VLOOKUP(Log[[#This Row],[Verb]],Verbs,3,FALSE)&amp;"",""))</f>
      </c>
      <c r="H1206" s="17">
        <f>IF(Log[[#This Row],[Date]]="","",INT((Log[[#This Row],[Date]]-Sprint1)/SprintDays)+1)</f>
      </c>
      <c r="I1206" s="17">
        <f>IF(OR(Log[[#This Row],[Verb]]="commit",Log[[#This Row],[Verb]]="carry",Log[[#This Row],[Verb]]="redo"),IF(Log[[#This Row],[Arg]]="",Log[[#This Row],[Sprint]],N(Log[[#This Row],[Arg]])),"")</f>
      </c>
      <c r="J1206" s="17">
        <f>IF(Log[[#This Row],[Verb]]="block",1,IF(OR(Log[[#This Row],[Verb]]="unblock",Log[[#This Row],[Verb]]="done",Log[[#This Row],[Verb]]="drop",Log[[#This Row],[Verb]]="punt",Log[[#This Row],[Verb]]="pass"),0,""))</f>
      </c>
      <c r="K1206" s="17">
        <f>IF(Log[[#This Row],[ID]]="",0,IFERROR(INDEX(Items[Pts],MATCH(Log[[#This Row],[ID]],Items[ID],0))*1,0))</f>
      </c>
      <c r="L1206" s="17">
        <f>IF(Log[[#This Row],[ID]]="","",IFERROR(INDEX(Items[Cur team],MATCH(Log[[#This Row],[ID]],Items[ID],0))&amp;"",""))</f>
      </c>
      <c r="M1206" s="17">
        <f>IF(OR(Log[[#This Row],[Verb]]="done",Log[[#This Row],[Verb]]="punt",Log[[#This Row],[Verb]]="drop",Log[[#This Row],[Verb]]="pass"),Log[[#This Row],[Pts]],0)</f>
      </c>
    </row>
    <row r="1207">
      <c r="A1207" s="11">
        <v>46202</v>
      </c>
      <c r="B1207" t="s">
        <v>675</v>
      </c>
      <c r="C1207" t="s">
        <v>41</v>
      </c>
      <c r="F1207" s="17">
        <f>IF(Log[[#This Row],[ID]]="","",IF(ISNA(MATCH(Log[[#This Row],[ID]],Items[ID],0)),"unknown ID",IF(ISNA(MATCH(Log[[#This Row],[Verb]],VerbList,0)),"unknown verb",IF(Log[[#This Row],[Date]]="","no date",""))))</f>
      </c>
      <c r="G1207" s="17">
        <f>IF(Log[[#This Row],[ID]]="","",IFERROR(VLOOKUP(Log[[#This Row],[Verb]],Verbs,3,FALSE)&amp;"",""))</f>
      </c>
      <c r="H1207" s="17">
        <f>IF(Log[[#This Row],[Date]]="","",INT((Log[[#This Row],[Date]]-Sprint1)/SprintDays)+1)</f>
      </c>
      <c r="I1207" s="17">
        <f>IF(OR(Log[[#This Row],[Verb]]="commit",Log[[#This Row],[Verb]]="carry",Log[[#This Row],[Verb]]="redo"),IF(Log[[#This Row],[Arg]]="",Log[[#This Row],[Sprint]],N(Log[[#This Row],[Arg]])),"")</f>
      </c>
      <c r="J1207" s="17">
        <f>IF(Log[[#This Row],[Verb]]="block",1,IF(OR(Log[[#This Row],[Verb]]="unblock",Log[[#This Row],[Verb]]="done",Log[[#This Row],[Verb]]="drop",Log[[#This Row],[Verb]]="punt",Log[[#This Row],[Verb]]="pass"),0,""))</f>
      </c>
      <c r="K1207" s="17">
        <f>IF(Log[[#This Row],[ID]]="",0,IFERROR(INDEX(Items[Pts],MATCH(Log[[#This Row],[ID]],Items[ID],0))*1,0))</f>
      </c>
      <c r="L1207" s="17">
        <f>IF(Log[[#This Row],[ID]]="","",IFERROR(INDEX(Items[Cur team],MATCH(Log[[#This Row],[ID]],Items[ID],0))&amp;"",""))</f>
      </c>
      <c r="M1207" s="17">
        <f>IF(OR(Log[[#This Row],[Verb]]="done",Log[[#This Row],[Verb]]="punt",Log[[#This Row],[Verb]]="drop",Log[[#This Row],[Verb]]="pass"),Log[[#This Row],[Pts]],0)</f>
      </c>
    </row>
    <row r="1208">
      <c r="A1208" s="11">
        <v>46202</v>
      </c>
      <c r="B1208" t="s">
        <v>676</v>
      </c>
      <c r="C1208" t="s">
        <v>41</v>
      </c>
      <c r="F1208" s="17">
        <f>IF(Log[[#This Row],[ID]]="","",IF(ISNA(MATCH(Log[[#This Row],[ID]],Items[ID],0)),"unknown ID",IF(ISNA(MATCH(Log[[#This Row],[Verb]],VerbList,0)),"unknown verb",IF(Log[[#This Row],[Date]]="","no date",""))))</f>
      </c>
      <c r="G1208" s="17">
        <f>IF(Log[[#This Row],[ID]]="","",IFERROR(VLOOKUP(Log[[#This Row],[Verb]],Verbs,3,FALSE)&amp;"",""))</f>
      </c>
      <c r="H1208" s="17">
        <f>IF(Log[[#This Row],[Date]]="","",INT((Log[[#This Row],[Date]]-Sprint1)/SprintDays)+1)</f>
      </c>
      <c r="I1208" s="17">
        <f>IF(OR(Log[[#This Row],[Verb]]="commit",Log[[#This Row],[Verb]]="carry",Log[[#This Row],[Verb]]="redo"),IF(Log[[#This Row],[Arg]]="",Log[[#This Row],[Sprint]],N(Log[[#This Row],[Arg]])),"")</f>
      </c>
      <c r="J1208" s="17">
        <f>IF(Log[[#This Row],[Verb]]="block",1,IF(OR(Log[[#This Row],[Verb]]="unblock",Log[[#This Row],[Verb]]="done",Log[[#This Row],[Verb]]="drop",Log[[#This Row],[Verb]]="punt",Log[[#This Row],[Verb]]="pass"),0,""))</f>
      </c>
      <c r="K1208" s="17">
        <f>IF(Log[[#This Row],[ID]]="",0,IFERROR(INDEX(Items[Pts],MATCH(Log[[#This Row],[ID]],Items[ID],0))*1,0))</f>
      </c>
      <c r="L1208" s="17">
        <f>IF(Log[[#This Row],[ID]]="","",IFERROR(INDEX(Items[Cur team],MATCH(Log[[#This Row],[ID]],Items[ID],0))&amp;"",""))</f>
      </c>
      <c r="M1208" s="17">
        <f>IF(OR(Log[[#This Row],[Verb]]="done",Log[[#This Row],[Verb]]="punt",Log[[#This Row],[Verb]]="drop",Log[[#This Row],[Verb]]="pass"),Log[[#This Row],[Pts]],0)</f>
      </c>
    </row>
    <row r="1209">
      <c r="A1209" s="11">
        <v>46202</v>
      </c>
      <c r="B1209" t="s">
        <v>617</v>
      </c>
      <c r="C1209" t="s">
        <v>41</v>
      </c>
      <c r="F1209" s="17">
        <f>IF(Log[[#This Row],[ID]]="","",IF(ISNA(MATCH(Log[[#This Row],[ID]],Items[ID],0)),"unknown ID",IF(ISNA(MATCH(Log[[#This Row],[Verb]],VerbList,0)),"unknown verb",IF(Log[[#This Row],[Date]]="","no date",""))))</f>
      </c>
      <c r="G1209" s="17">
        <f>IF(Log[[#This Row],[ID]]="","",IFERROR(VLOOKUP(Log[[#This Row],[Verb]],Verbs,3,FALSE)&amp;"",""))</f>
      </c>
      <c r="H1209" s="17">
        <f>IF(Log[[#This Row],[Date]]="","",INT((Log[[#This Row],[Date]]-Sprint1)/SprintDays)+1)</f>
      </c>
      <c r="I1209" s="17">
        <f>IF(OR(Log[[#This Row],[Verb]]="commit",Log[[#This Row],[Verb]]="carry",Log[[#This Row],[Verb]]="redo"),IF(Log[[#This Row],[Arg]]="",Log[[#This Row],[Sprint]],N(Log[[#This Row],[Arg]])),"")</f>
      </c>
      <c r="J1209" s="17">
        <f>IF(Log[[#This Row],[Verb]]="block",1,IF(OR(Log[[#This Row],[Verb]]="unblock",Log[[#This Row],[Verb]]="done",Log[[#This Row],[Verb]]="drop",Log[[#This Row],[Verb]]="punt",Log[[#This Row],[Verb]]="pass"),0,""))</f>
      </c>
      <c r="K1209" s="17">
        <f>IF(Log[[#This Row],[ID]]="",0,IFERROR(INDEX(Items[Pts],MATCH(Log[[#This Row],[ID]],Items[ID],0))*1,0))</f>
      </c>
      <c r="L1209" s="17">
        <f>IF(Log[[#This Row],[ID]]="","",IFERROR(INDEX(Items[Cur team],MATCH(Log[[#This Row],[ID]],Items[ID],0))&amp;"",""))</f>
      </c>
      <c r="M1209" s="17">
        <f>IF(OR(Log[[#This Row],[Verb]]="done",Log[[#This Row],[Verb]]="punt",Log[[#This Row],[Verb]]="drop",Log[[#This Row],[Verb]]="pass"),Log[[#This Row],[Pts]],0)</f>
      </c>
    </row>
    <row r="1210">
      <c r="A1210" s="11">
        <v>46202</v>
      </c>
      <c r="B1210" t="s">
        <v>677</v>
      </c>
      <c r="C1210" t="s">
        <v>41</v>
      </c>
      <c r="F1210" s="17">
        <f>IF(Log[[#This Row],[ID]]="","",IF(ISNA(MATCH(Log[[#This Row],[ID]],Items[ID],0)),"unknown ID",IF(ISNA(MATCH(Log[[#This Row],[Verb]],VerbList,0)),"unknown verb",IF(Log[[#This Row],[Date]]="","no date",""))))</f>
      </c>
      <c r="G1210" s="17">
        <f>IF(Log[[#This Row],[ID]]="","",IFERROR(VLOOKUP(Log[[#This Row],[Verb]],Verbs,3,FALSE)&amp;"",""))</f>
      </c>
      <c r="H1210" s="17">
        <f>IF(Log[[#This Row],[Date]]="","",INT((Log[[#This Row],[Date]]-Sprint1)/SprintDays)+1)</f>
      </c>
      <c r="I1210" s="17">
        <f>IF(OR(Log[[#This Row],[Verb]]="commit",Log[[#This Row],[Verb]]="carry",Log[[#This Row],[Verb]]="redo"),IF(Log[[#This Row],[Arg]]="",Log[[#This Row],[Sprint]],N(Log[[#This Row],[Arg]])),"")</f>
      </c>
      <c r="J1210" s="17">
        <f>IF(Log[[#This Row],[Verb]]="block",1,IF(OR(Log[[#This Row],[Verb]]="unblock",Log[[#This Row],[Verb]]="done",Log[[#This Row],[Verb]]="drop",Log[[#This Row],[Verb]]="punt",Log[[#This Row],[Verb]]="pass"),0,""))</f>
      </c>
      <c r="K1210" s="17">
        <f>IF(Log[[#This Row],[ID]]="",0,IFERROR(INDEX(Items[Pts],MATCH(Log[[#This Row],[ID]],Items[ID],0))*1,0))</f>
      </c>
      <c r="L1210" s="17">
        <f>IF(Log[[#This Row],[ID]]="","",IFERROR(INDEX(Items[Cur team],MATCH(Log[[#This Row],[ID]],Items[ID],0))&amp;"",""))</f>
      </c>
      <c r="M1210" s="17">
        <f>IF(OR(Log[[#This Row],[Verb]]="done",Log[[#This Row],[Verb]]="punt",Log[[#This Row],[Verb]]="drop",Log[[#This Row],[Verb]]="pass"),Log[[#This Row],[Pts]],0)</f>
      </c>
    </row>
    <row r="1211">
      <c r="A1211" s="11">
        <v>46202</v>
      </c>
      <c r="B1211" t="s">
        <v>678</v>
      </c>
      <c r="C1211" t="s">
        <v>38</v>
      </c>
      <c r="D1211">
        <v>47</v>
      </c>
      <c r="F1211" s="17">
        <f>IF(Log[[#This Row],[ID]]="","",IF(ISNA(MATCH(Log[[#This Row],[ID]],Items[ID],0)),"unknown ID",IF(ISNA(MATCH(Log[[#This Row],[Verb]],VerbList,0)),"unknown verb",IF(Log[[#This Row],[Date]]="","no date",""))))</f>
      </c>
      <c r="G1211" s="17">
        <f>IF(Log[[#This Row],[ID]]="","",IFERROR(VLOOKUP(Log[[#This Row],[Verb]],Verbs,3,FALSE)&amp;"",""))</f>
      </c>
      <c r="H1211" s="17">
        <f>IF(Log[[#This Row],[Date]]="","",INT((Log[[#This Row],[Date]]-Sprint1)/SprintDays)+1)</f>
      </c>
      <c r="I1211" s="17">
        <f>IF(OR(Log[[#This Row],[Verb]]="commit",Log[[#This Row],[Verb]]="carry",Log[[#This Row],[Verb]]="redo"),IF(Log[[#This Row],[Arg]]="",Log[[#This Row],[Sprint]],N(Log[[#This Row],[Arg]])),"")</f>
      </c>
      <c r="J1211" s="17">
        <f>IF(Log[[#This Row],[Verb]]="block",1,IF(OR(Log[[#This Row],[Verb]]="unblock",Log[[#This Row],[Verb]]="done",Log[[#This Row],[Verb]]="drop",Log[[#This Row],[Verb]]="punt",Log[[#This Row],[Verb]]="pass"),0,""))</f>
      </c>
      <c r="K1211" s="17">
        <f>IF(Log[[#This Row],[ID]]="",0,IFERROR(INDEX(Items[Pts],MATCH(Log[[#This Row],[ID]],Items[ID],0))*1,0))</f>
      </c>
      <c r="L1211" s="17">
        <f>IF(Log[[#This Row],[ID]]="","",IFERROR(INDEX(Items[Cur team],MATCH(Log[[#This Row],[ID]],Items[ID],0))&amp;"",""))</f>
      </c>
      <c r="M1211" s="17">
        <f>IF(OR(Log[[#This Row],[Verb]]="done",Log[[#This Row],[Verb]]="punt",Log[[#This Row],[Verb]]="drop",Log[[#This Row],[Verb]]="pass"),Log[[#This Row],[Pts]],0)</f>
      </c>
    </row>
    <row r="1212">
      <c r="A1212" s="11">
        <v>46202</v>
      </c>
      <c r="B1212" t="s">
        <v>679</v>
      </c>
      <c r="C1212" t="s">
        <v>41</v>
      </c>
      <c r="F1212" s="17">
        <f>IF(Log[[#This Row],[ID]]="","",IF(ISNA(MATCH(Log[[#This Row],[ID]],Items[ID],0)),"unknown ID",IF(ISNA(MATCH(Log[[#This Row],[Verb]],VerbList,0)),"unknown verb",IF(Log[[#This Row],[Date]]="","no date",""))))</f>
      </c>
      <c r="G1212" s="17">
        <f>IF(Log[[#This Row],[ID]]="","",IFERROR(VLOOKUP(Log[[#This Row],[Verb]],Verbs,3,FALSE)&amp;"",""))</f>
      </c>
      <c r="H1212" s="17">
        <f>IF(Log[[#This Row],[Date]]="","",INT((Log[[#This Row],[Date]]-Sprint1)/SprintDays)+1)</f>
      </c>
      <c r="I1212" s="17">
        <f>IF(OR(Log[[#This Row],[Verb]]="commit",Log[[#This Row],[Verb]]="carry",Log[[#This Row],[Verb]]="redo"),IF(Log[[#This Row],[Arg]]="",Log[[#This Row],[Sprint]],N(Log[[#This Row],[Arg]])),"")</f>
      </c>
      <c r="J1212" s="17">
        <f>IF(Log[[#This Row],[Verb]]="block",1,IF(OR(Log[[#This Row],[Verb]]="unblock",Log[[#This Row],[Verb]]="done",Log[[#This Row],[Verb]]="drop",Log[[#This Row],[Verb]]="punt",Log[[#This Row],[Verb]]="pass"),0,""))</f>
      </c>
      <c r="K1212" s="17">
        <f>IF(Log[[#This Row],[ID]]="",0,IFERROR(INDEX(Items[Pts],MATCH(Log[[#This Row],[ID]],Items[ID],0))*1,0))</f>
      </c>
      <c r="L1212" s="17">
        <f>IF(Log[[#This Row],[ID]]="","",IFERROR(INDEX(Items[Cur team],MATCH(Log[[#This Row],[ID]],Items[ID],0))&amp;"",""))</f>
      </c>
      <c r="M1212" s="17">
        <f>IF(OR(Log[[#This Row],[Verb]]="done",Log[[#This Row],[Verb]]="punt",Log[[#This Row],[Verb]]="drop",Log[[#This Row],[Verb]]="pass"),Log[[#This Row],[Pts]],0)</f>
      </c>
    </row>
    <row r="1213">
      <c r="A1213" s="11">
        <v>46202</v>
      </c>
      <c r="B1213" t="s">
        <v>680</v>
      </c>
      <c r="C1213" t="s">
        <v>41</v>
      </c>
      <c r="F1213" s="17">
        <f>IF(Log[[#This Row],[ID]]="","",IF(ISNA(MATCH(Log[[#This Row],[ID]],Items[ID],0)),"unknown ID",IF(ISNA(MATCH(Log[[#This Row],[Verb]],VerbList,0)),"unknown verb",IF(Log[[#This Row],[Date]]="","no date",""))))</f>
      </c>
      <c r="G1213" s="17">
        <f>IF(Log[[#This Row],[ID]]="","",IFERROR(VLOOKUP(Log[[#This Row],[Verb]],Verbs,3,FALSE)&amp;"",""))</f>
      </c>
      <c r="H1213" s="17">
        <f>IF(Log[[#This Row],[Date]]="","",INT((Log[[#This Row],[Date]]-Sprint1)/SprintDays)+1)</f>
      </c>
      <c r="I1213" s="17">
        <f>IF(OR(Log[[#This Row],[Verb]]="commit",Log[[#This Row],[Verb]]="carry",Log[[#This Row],[Verb]]="redo"),IF(Log[[#This Row],[Arg]]="",Log[[#This Row],[Sprint]],N(Log[[#This Row],[Arg]])),"")</f>
      </c>
      <c r="J1213" s="17">
        <f>IF(Log[[#This Row],[Verb]]="block",1,IF(OR(Log[[#This Row],[Verb]]="unblock",Log[[#This Row],[Verb]]="done",Log[[#This Row],[Verb]]="drop",Log[[#This Row],[Verb]]="punt",Log[[#This Row],[Verb]]="pass"),0,""))</f>
      </c>
      <c r="K1213" s="17">
        <f>IF(Log[[#This Row],[ID]]="",0,IFERROR(INDEX(Items[Pts],MATCH(Log[[#This Row],[ID]],Items[ID],0))*1,0))</f>
      </c>
      <c r="L1213" s="17">
        <f>IF(Log[[#This Row],[ID]]="","",IFERROR(INDEX(Items[Cur team],MATCH(Log[[#This Row],[ID]],Items[ID],0))&amp;"",""))</f>
      </c>
      <c r="M1213" s="17">
        <f>IF(OR(Log[[#This Row],[Verb]]="done",Log[[#This Row],[Verb]]="punt",Log[[#This Row],[Verb]]="drop",Log[[#This Row],[Verb]]="pass"),Log[[#This Row],[Pts]],0)</f>
      </c>
    </row>
    <row r="1214">
      <c r="A1214" s="11">
        <v>46202</v>
      </c>
      <c r="B1214" t="s">
        <v>681</v>
      </c>
      <c r="C1214" t="s">
        <v>41</v>
      </c>
      <c r="F1214" s="17">
        <f>IF(Log[[#This Row],[ID]]="","",IF(ISNA(MATCH(Log[[#This Row],[ID]],Items[ID],0)),"unknown ID",IF(ISNA(MATCH(Log[[#This Row],[Verb]],VerbList,0)),"unknown verb",IF(Log[[#This Row],[Date]]="","no date",""))))</f>
      </c>
      <c r="G1214" s="17">
        <f>IF(Log[[#This Row],[ID]]="","",IFERROR(VLOOKUP(Log[[#This Row],[Verb]],Verbs,3,FALSE)&amp;"",""))</f>
      </c>
      <c r="H1214" s="17">
        <f>IF(Log[[#This Row],[Date]]="","",INT((Log[[#This Row],[Date]]-Sprint1)/SprintDays)+1)</f>
      </c>
      <c r="I1214" s="17">
        <f>IF(OR(Log[[#This Row],[Verb]]="commit",Log[[#This Row],[Verb]]="carry",Log[[#This Row],[Verb]]="redo"),IF(Log[[#This Row],[Arg]]="",Log[[#This Row],[Sprint]],N(Log[[#This Row],[Arg]])),"")</f>
      </c>
      <c r="J1214" s="17">
        <f>IF(Log[[#This Row],[Verb]]="block",1,IF(OR(Log[[#This Row],[Verb]]="unblock",Log[[#This Row],[Verb]]="done",Log[[#This Row],[Verb]]="drop",Log[[#This Row],[Verb]]="punt",Log[[#This Row],[Verb]]="pass"),0,""))</f>
      </c>
      <c r="K1214" s="17">
        <f>IF(Log[[#This Row],[ID]]="",0,IFERROR(INDEX(Items[Pts],MATCH(Log[[#This Row],[ID]],Items[ID],0))*1,0))</f>
      </c>
      <c r="L1214" s="17">
        <f>IF(Log[[#This Row],[ID]]="","",IFERROR(INDEX(Items[Cur team],MATCH(Log[[#This Row],[ID]],Items[ID],0))&amp;"",""))</f>
      </c>
      <c r="M1214" s="17">
        <f>IF(OR(Log[[#This Row],[Verb]]="done",Log[[#This Row],[Verb]]="punt",Log[[#This Row],[Verb]]="drop",Log[[#This Row],[Verb]]="pass"),Log[[#This Row],[Pts]],0)</f>
      </c>
    </row>
    <row r="1215">
      <c r="A1215" s="11">
        <v>46202</v>
      </c>
      <c r="B1215" t="s">
        <v>568</v>
      </c>
      <c r="C1215" t="s">
        <v>41</v>
      </c>
      <c r="F1215" s="17">
        <f>IF(Log[[#This Row],[ID]]="","",IF(ISNA(MATCH(Log[[#This Row],[ID]],Items[ID],0)),"unknown ID",IF(ISNA(MATCH(Log[[#This Row],[Verb]],VerbList,0)),"unknown verb",IF(Log[[#This Row],[Date]]="","no date",""))))</f>
      </c>
      <c r="G1215" s="17">
        <f>IF(Log[[#This Row],[ID]]="","",IFERROR(VLOOKUP(Log[[#This Row],[Verb]],Verbs,3,FALSE)&amp;"",""))</f>
      </c>
      <c r="H1215" s="17">
        <f>IF(Log[[#This Row],[Date]]="","",INT((Log[[#This Row],[Date]]-Sprint1)/SprintDays)+1)</f>
      </c>
      <c r="I1215" s="17">
        <f>IF(OR(Log[[#This Row],[Verb]]="commit",Log[[#This Row],[Verb]]="carry",Log[[#This Row],[Verb]]="redo"),IF(Log[[#This Row],[Arg]]="",Log[[#This Row],[Sprint]],N(Log[[#This Row],[Arg]])),"")</f>
      </c>
      <c r="J1215" s="17">
        <f>IF(Log[[#This Row],[Verb]]="block",1,IF(OR(Log[[#This Row],[Verb]]="unblock",Log[[#This Row],[Verb]]="done",Log[[#This Row],[Verb]]="drop",Log[[#This Row],[Verb]]="punt",Log[[#This Row],[Verb]]="pass"),0,""))</f>
      </c>
      <c r="K1215" s="17">
        <f>IF(Log[[#This Row],[ID]]="",0,IFERROR(INDEX(Items[Pts],MATCH(Log[[#This Row],[ID]],Items[ID],0))*1,0))</f>
      </c>
      <c r="L1215" s="17">
        <f>IF(Log[[#This Row],[ID]]="","",IFERROR(INDEX(Items[Cur team],MATCH(Log[[#This Row],[ID]],Items[ID],0))&amp;"",""))</f>
      </c>
      <c r="M1215" s="17">
        <f>IF(OR(Log[[#This Row],[Verb]]="done",Log[[#This Row],[Verb]]="punt",Log[[#This Row],[Verb]]="drop",Log[[#This Row],[Verb]]="pass"),Log[[#This Row],[Pts]],0)</f>
      </c>
    </row>
    <row r="1216">
      <c r="A1216" s="11">
        <v>46202</v>
      </c>
      <c r="B1216" t="s">
        <v>626</v>
      </c>
      <c r="C1216" t="s">
        <v>41</v>
      </c>
      <c r="F1216" s="17">
        <f>IF(Log[[#This Row],[ID]]="","",IF(ISNA(MATCH(Log[[#This Row],[ID]],Items[ID],0)),"unknown ID",IF(ISNA(MATCH(Log[[#This Row],[Verb]],VerbList,0)),"unknown verb",IF(Log[[#This Row],[Date]]="","no date",""))))</f>
      </c>
      <c r="G1216" s="17">
        <f>IF(Log[[#This Row],[ID]]="","",IFERROR(VLOOKUP(Log[[#This Row],[Verb]],Verbs,3,FALSE)&amp;"",""))</f>
      </c>
      <c r="H1216" s="17">
        <f>IF(Log[[#This Row],[Date]]="","",INT((Log[[#This Row],[Date]]-Sprint1)/SprintDays)+1)</f>
      </c>
      <c r="I1216" s="17">
        <f>IF(OR(Log[[#This Row],[Verb]]="commit",Log[[#This Row],[Verb]]="carry",Log[[#This Row],[Verb]]="redo"),IF(Log[[#This Row],[Arg]]="",Log[[#This Row],[Sprint]],N(Log[[#This Row],[Arg]])),"")</f>
      </c>
      <c r="J1216" s="17">
        <f>IF(Log[[#This Row],[Verb]]="block",1,IF(OR(Log[[#This Row],[Verb]]="unblock",Log[[#This Row],[Verb]]="done",Log[[#This Row],[Verb]]="drop",Log[[#This Row],[Verb]]="punt",Log[[#This Row],[Verb]]="pass"),0,""))</f>
      </c>
      <c r="K1216" s="17">
        <f>IF(Log[[#This Row],[ID]]="",0,IFERROR(INDEX(Items[Pts],MATCH(Log[[#This Row],[ID]],Items[ID],0))*1,0))</f>
      </c>
      <c r="L1216" s="17">
        <f>IF(Log[[#This Row],[ID]]="","",IFERROR(INDEX(Items[Cur team],MATCH(Log[[#This Row],[ID]],Items[ID],0))&amp;"",""))</f>
      </c>
      <c r="M1216" s="17">
        <f>IF(OR(Log[[#This Row],[Verb]]="done",Log[[#This Row],[Verb]]="punt",Log[[#This Row],[Verb]]="drop",Log[[#This Row],[Verb]]="pass"),Log[[#This Row],[Pts]],0)</f>
      </c>
    </row>
    <row r="1217">
      <c r="A1217" s="11">
        <v>46202</v>
      </c>
      <c r="B1217" t="s">
        <v>627</v>
      </c>
      <c r="C1217" t="s">
        <v>41</v>
      </c>
      <c r="F1217" s="17">
        <f>IF(Log[[#This Row],[ID]]="","",IF(ISNA(MATCH(Log[[#This Row],[ID]],Items[ID],0)),"unknown ID",IF(ISNA(MATCH(Log[[#This Row],[Verb]],VerbList,0)),"unknown verb",IF(Log[[#This Row],[Date]]="","no date",""))))</f>
      </c>
      <c r="G1217" s="17">
        <f>IF(Log[[#This Row],[ID]]="","",IFERROR(VLOOKUP(Log[[#This Row],[Verb]],Verbs,3,FALSE)&amp;"",""))</f>
      </c>
      <c r="H1217" s="17">
        <f>IF(Log[[#This Row],[Date]]="","",INT((Log[[#This Row],[Date]]-Sprint1)/SprintDays)+1)</f>
      </c>
      <c r="I1217" s="17">
        <f>IF(OR(Log[[#This Row],[Verb]]="commit",Log[[#This Row],[Verb]]="carry",Log[[#This Row],[Verb]]="redo"),IF(Log[[#This Row],[Arg]]="",Log[[#This Row],[Sprint]],N(Log[[#This Row],[Arg]])),"")</f>
      </c>
      <c r="J1217" s="17">
        <f>IF(Log[[#This Row],[Verb]]="block",1,IF(OR(Log[[#This Row],[Verb]]="unblock",Log[[#This Row],[Verb]]="done",Log[[#This Row],[Verb]]="drop",Log[[#This Row],[Verb]]="punt",Log[[#This Row],[Verb]]="pass"),0,""))</f>
      </c>
      <c r="K1217" s="17">
        <f>IF(Log[[#This Row],[ID]]="",0,IFERROR(INDEX(Items[Pts],MATCH(Log[[#This Row],[ID]],Items[ID],0))*1,0))</f>
      </c>
      <c r="L1217" s="17">
        <f>IF(Log[[#This Row],[ID]]="","",IFERROR(INDEX(Items[Cur team],MATCH(Log[[#This Row],[ID]],Items[ID],0))&amp;"",""))</f>
      </c>
      <c r="M1217" s="17">
        <f>IF(OR(Log[[#This Row],[Verb]]="done",Log[[#This Row],[Verb]]="punt",Log[[#This Row],[Verb]]="drop",Log[[#This Row],[Verb]]="pass"),Log[[#This Row],[Pts]],0)</f>
      </c>
    </row>
    <row r="1218">
      <c r="A1218" s="11">
        <v>46202</v>
      </c>
      <c r="B1218" t="s">
        <v>682</v>
      </c>
      <c r="C1218" t="s">
        <v>41</v>
      </c>
      <c r="F1218" s="17">
        <f>IF(Log[[#This Row],[ID]]="","",IF(ISNA(MATCH(Log[[#This Row],[ID]],Items[ID],0)),"unknown ID",IF(ISNA(MATCH(Log[[#This Row],[Verb]],VerbList,0)),"unknown verb",IF(Log[[#This Row],[Date]]="","no date",""))))</f>
      </c>
      <c r="G1218" s="17">
        <f>IF(Log[[#This Row],[ID]]="","",IFERROR(VLOOKUP(Log[[#This Row],[Verb]],Verbs,3,FALSE)&amp;"",""))</f>
      </c>
      <c r="H1218" s="17">
        <f>IF(Log[[#This Row],[Date]]="","",INT((Log[[#This Row],[Date]]-Sprint1)/SprintDays)+1)</f>
      </c>
      <c r="I1218" s="17">
        <f>IF(OR(Log[[#This Row],[Verb]]="commit",Log[[#This Row],[Verb]]="carry",Log[[#This Row],[Verb]]="redo"),IF(Log[[#This Row],[Arg]]="",Log[[#This Row],[Sprint]],N(Log[[#This Row],[Arg]])),"")</f>
      </c>
      <c r="J1218" s="17">
        <f>IF(Log[[#This Row],[Verb]]="block",1,IF(OR(Log[[#This Row],[Verb]]="unblock",Log[[#This Row],[Verb]]="done",Log[[#This Row],[Verb]]="drop",Log[[#This Row],[Verb]]="punt",Log[[#This Row],[Verb]]="pass"),0,""))</f>
      </c>
      <c r="K1218" s="17">
        <f>IF(Log[[#This Row],[ID]]="",0,IFERROR(INDEX(Items[Pts],MATCH(Log[[#This Row],[ID]],Items[ID],0))*1,0))</f>
      </c>
      <c r="L1218" s="17">
        <f>IF(Log[[#This Row],[ID]]="","",IFERROR(INDEX(Items[Cur team],MATCH(Log[[#This Row],[ID]],Items[ID],0))&amp;"",""))</f>
      </c>
      <c r="M1218" s="17">
        <f>IF(OR(Log[[#This Row],[Verb]]="done",Log[[#This Row],[Verb]]="punt",Log[[#This Row],[Verb]]="drop",Log[[#This Row],[Verb]]="pass"),Log[[#This Row],[Pts]],0)</f>
      </c>
    </row>
    <row r="1219">
      <c r="A1219" s="11">
        <v>46202</v>
      </c>
      <c r="B1219" t="s">
        <v>683</v>
      </c>
      <c r="C1219" t="s">
        <v>38</v>
      </c>
      <c r="D1219">
        <v>47</v>
      </c>
      <c r="F1219" s="17">
        <f>IF(Log[[#This Row],[ID]]="","",IF(ISNA(MATCH(Log[[#This Row],[ID]],Items[ID],0)),"unknown ID",IF(ISNA(MATCH(Log[[#This Row],[Verb]],VerbList,0)),"unknown verb",IF(Log[[#This Row],[Date]]="","no date",""))))</f>
      </c>
      <c r="G1219" s="17">
        <f>IF(Log[[#This Row],[ID]]="","",IFERROR(VLOOKUP(Log[[#This Row],[Verb]],Verbs,3,FALSE)&amp;"",""))</f>
      </c>
      <c r="H1219" s="17">
        <f>IF(Log[[#This Row],[Date]]="","",INT((Log[[#This Row],[Date]]-Sprint1)/SprintDays)+1)</f>
      </c>
      <c r="I1219" s="17">
        <f>IF(OR(Log[[#This Row],[Verb]]="commit",Log[[#This Row],[Verb]]="carry",Log[[#This Row],[Verb]]="redo"),IF(Log[[#This Row],[Arg]]="",Log[[#This Row],[Sprint]],N(Log[[#This Row],[Arg]])),"")</f>
      </c>
      <c r="J1219" s="17">
        <f>IF(Log[[#This Row],[Verb]]="block",1,IF(OR(Log[[#This Row],[Verb]]="unblock",Log[[#This Row],[Verb]]="done",Log[[#This Row],[Verb]]="drop",Log[[#This Row],[Verb]]="punt",Log[[#This Row],[Verb]]="pass"),0,""))</f>
      </c>
      <c r="K1219" s="17">
        <f>IF(Log[[#This Row],[ID]]="",0,IFERROR(INDEX(Items[Pts],MATCH(Log[[#This Row],[ID]],Items[ID],0))*1,0))</f>
      </c>
      <c r="L1219" s="17">
        <f>IF(Log[[#This Row],[ID]]="","",IFERROR(INDEX(Items[Cur team],MATCH(Log[[#This Row],[ID]],Items[ID],0))&amp;"",""))</f>
      </c>
      <c r="M1219" s="17">
        <f>IF(OR(Log[[#This Row],[Verb]]="done",Log[[#This Row],[Verb]]="punt",Log[[#This Row],[Verb]]="drop",Log[[#This Row],[Verb]]="pass"),Log[[#This Row],[Pts]],0)</f>
      </c>
    </row>
    <row r="1220">
      <c r="A1220" s="11">
        <v>46202</v>
      </c>
      <c r="B1220" t="s">
        <v>632</v>
      </c>
      <c r="C1220" t="s">
        <v>38</v>
      </c>
      <c r="D1220">
        <v>47</v>
      </c>
      <c r="F1220" s="17">
        <f>IF(Log[[#This Row],[ID]]="","",IF(ISNA(MATCH(Log[[#This Row],[ID]],Items[ID],0)),"unknown ID",IF(ISNA(MATCH(Log[[#This Row],[Verb]],VerbList,0)),"unknown verb",IF(Log[[#This Row],[Date]]="","no date",""))))</f>
      </c>
      <c r="G1220" s="17">
        <f>IF(Log[[#This Row],[ID]]="","",IFERROR(VLOOKUP(Log[[#This Row],[Verb]],Verbs,3,FALSE)&amp;"",""))</f>
      </c>
      <c r="H1220" s="17">
        <f>IF(Log[[#This Row],[Date]]="","",INT((Log[[#This Row],[Date]]-Sprint1)/SprintDays)+1)</f>
      </c>
      <c r="I1220" s="17">
        <f>IF(OR(Log[[#This Row],[Verb]]="commit",Log[[#This Row],[Verb]]="carry",Log[[#This Row],[Verb]]="redo"),IF(Log[[#This Row],[Arg]]="",Log[[#This Row],[Sprint]],N(Log[[#This Row],[Arg]])),"")</f>
      </c>
      <c r="J1220" s="17">
        <f>IF(Log[[#This Row],[Verb]]="block",1,IF(OR(Log[[#This Row],[Verb]]="unblock",Log[[#This Row],[Verb]]="done",Log[[#This Row],[Verb]]="drop",Log[[#This Row],[Verb]]="punt",Log[[#This Row],[Verb]]="pass"),0,""))</f>
      </c>
      <c r="K1220" s="17">
        <f>IF(Log[[#This Row],[ID]]="",0,IFERROR(INDEX(Items[Pts],MATCH(Log[[#This Row],[ID]],Items[ID],0))*1,0))</f>
      </c>
      <c r="L1220" s="17">
        <f>IF(Log[[#This Row],[ID]]="","",IFERROR(INDEX(Items[Cur team],MATCH(Log[[#This Row],[ID]],Items[ID],0))&amp;"",""))</f>
      </c>
      <c r="M1220" s="17">
        <f>IF(OR(Log[[#This Row],[Verb]]="done",Log[[#This Row],[Verb]]="punt",Log[[#This Row],[Verb]]="drop",Log[[#This Row],[Verb]]="pass"),Log[[#This Row],[Pts]],0)</f>
      </c>
    </row>
    <row r="1221">
      <c r="A1221" s="11">
        <v>46202</v>
      </c>
      <c r="B1221" t="s">
        <v>633</v>
      </c>
      <c r="C1221" t="s">
        <v>41</v>
      </c>
      <c r="F1221" s="17">
        <f>IF(Log[[#This Row],[ID]]="","",IF(ISNA(MATCH(Log[[#This Row],[ID]],Items[ID],0)),"unknown ID",IF(ISNA(MATCH(Log[[#This Row],[Verb]],VerbList,0)),"unknown verb",IF(Log[[#This Row],[Date]]="","no date",""))))</f>
      </c>
      <c r="G1221" s="17">
        <f>IF(Log[[#This Row],[ID]]="","",IFERROR(VLOOKUP(Log[[#This Row],[Verb]],Verbs,3,FALSE)&amp;"",""))</f>
      </c>
      <c r="H1221" s="17">
        <f>IF(Log[[#This Row],[Date]]="","",INT((Log[[#This Row],[Date]]-Sprint1)/SprintDays)+1)</f>
      </c>
      <c r="I1221" s="17">
        <f>IF(OR(Log[[#This Row],[Verb]]="commit",Log[[#This Row],[Verb]]="carry",Log[[#This Row],[Verb]]="redo"),IF(Log[[#This Row],[Arg]]="",Log[[#This Row],[Sprint]],N(Log[[#This Row],[Arg]])),"")</f>
      </c>
      <c r="J1221" s="17">
        <f>IF(Log[[#This Row],[Verb]]="block",1,IF(OR(Log[[#This Row],[Verb]]="unblock",Log[[#This Row],[Verb]]="done",Log[[#This Row],[Verb]]="drop",Log[[#This Row],[Verb]]="punt",Log[[#This Row],[Verb]]="pass"),0,""))</f>
      </c>
      <c r="K1221" s="17">
        <f>IF(Log[[#This Row],[ID]]="",0,IFERROR(INDEX(Items[Pts],MATCH(Log[[#This Row],[ID]],Items[ID],0))*1,0))</f>
      </c>
      <c r="L1221" s="17">
        <f>IF(Log[[#This Row],[ID]]="","",IFERROR(INDEX(Items[Cur team],MATCH(Log[[#This Row],[ID]],Items[ID],0))&amp;"",""))</f>
      </c>
      <c r="M1221" s="17">
        <f>IF(OR(Log[[#This Row],[Verb]]="done",Log[[#This Row],[Verb]]="punt",Log[[#This Row],[Verb]]="drop",Log[[#This Row],[Verb]]="pass"),Log[[#This Row],[Pts]],0)</f>
      </c>
    </row>
    <row r="1222">
      <c r="A1222" s="11">
        <v>46202</v>
      </c>
      <c r="B1222" t="s">
        <v>684</v>
      </c>
      <c r="C1222" t="s">
        <v>38</v>
      </c>
      <c r="D1222">
        <v>47</v>
      </c>
      <c r="F1222" s="17">
        <f>IF(Log[[#This Row],[ID]]="","",IF(ISNA(MATCH(Log[[#This Row],[ID]],Items[ID],0)),"unknown ID",IF(ISNA(MATCH(Log[[#This Row],[Verb]],VerbList,0)),"unknown verb",IF(Log[[#This Row],[Date]]="","no date",""))))</f>
      </c>
      <c r="G1222" s="17">
        <f>IF(Log[[#This Row],[ID]]="","",IFERROR(VLOOKUP(Log[[#This Row],[Verb]],Verbs,3,FALSE)&amp;"",""))</f>
      </c>
      <c r="H1222" s="17">
        <f>IF(Log[[#This Row],[Date]]="","",INT((Log[[#This Row],[Date]]-Sprint1)/SprintDays)+1)</f>
      </c>
      <c r="I1222" s="17">
        <f>IF(OR(Log[[#This Row],[Verb]]="commit",Log[[#This Row],[Verb]]="carry",Log[[#This Row],[Verb]]="redo"),IF(Log[[#This Row],[Arg]]="",Log[[#This Row],[Sprint]],N(Log[[#This Row],[Arg]])),"")</f>
      </c>
      <c r="J1222" s="17">
        <f>IF(Log[[#This Row],[Verb]]="block",1,IF(OR(Log[[#This Row],[Verb]]="unblock",Log[[#This Row],[Verb]]="done",Log[[#This Row],[Verb]]="drop",Log[[#This Row],[Verb]]="punt",Log[[#This Row],[Verb]]="pass"),0,""))</f>
      </c>
      <c r="K1222" s="17">
        <f>IF(Log[[#This Row],[ID]]="",0,IFERROR(INDEX(Items[Pts],MATCH(Log[[#This Row],[ID]],Items[ID],0))*1,0))</f>
      </c>
      <c r="L1222" s="17">
        <f>IF(Log[[#This Row],[ID]]="","",IFERROR(INDEX(Items[Cur team],MATCH(Log[[#This Row],[ID]],Items[ID],0))&amp;"",""))</f>
      </c>
      <c r="M1222" s="17">
        <f>IF(OR(Log[[#This Row],[Verb]]="done",Log[[#This Row],[Verb]]="punt",Log[[#This Row],[Verb]]="drop",Log[[#This Row],[Verb]]="pass"),Log[[#This Row],[Pts]],0)</f>
      </c>
    </row>
    <row r="1223">
      <c r="A1223" s="11">
        <v>46202</v>
      </c>
      <c r="B1223" t="s">
        <v>685</v>
      </c>
      <c r="C1223" t="s">
        <v>38</v>
      </c>
      <c r="D1223">
        <v>47</v>
      </c>
      <c r="F1223" s="17">
        <f>IF(Log[[#This Row],[ID]]="","",IF(ISNA(MATCH(Log[[#This Row],[ID]],Items[ID],0)),"unknown ID",IF(ISNA(MATCH(Log[[#This Row],[Verb]],VerbList,0)),"unknown verb",IF(Log[[#This Row],[Date]]="","no date",""))))</f>
      </c>
      <c r="G1223" s="17">
        <f>IF(Log[[#This Row],[ID]]="","",IFERROR(VLOOKUP(Log[[#This Row],[Verb]],Verbs,3,FALSE)&amp;"",""))</f>
      </c>
      <c r="H1223" s="17">
        <f>IF(Log[[#This Row],[Date]]="","",INT((Log[[#This Row],[Date]]-Sprint1)/SprintDays)+1)</f>
      </c>
      <c r="I1223" s="17">
        <f>IF(OR(Log[[#This Row],[Verb]]="commit",Log[[#This Row],[Verb]]="carry",Log[[#This Row],[Verb]]="redo"),IF(Log[[#This Row],[Arg]]="",Log[[#This Row],[Sprint]],N(Log[[#This Row],[Arg]])),"")</f>
      </c>
      <c r="J1223" s="17">
        <f>IF(Log[[#This Row],[Verb]]="block",1,IF(OR(Log[[#This Row],[Verb]]="unblock",Log[[#This Row],[Verb]]="done",Log[[#This Row],[Verb]]="drop",Log[[#This Row],[Verb]]="punt",Log[[#This Row],[Verb]]="pass"),0,""))</f>
      </c>
      <c r="K1223" s="17">
        <f>IF(Log[[#This Row],[ID]]="",0,IFERROR(INDEX(Items[Pts],MATCH(Log[[#This Row],[ID]],Items[ID],0))*1,0))</f>
      </c>
      <c r="L1223" s="17">
        <f>IF(Log[[#This Row],[ID]]="","",IFERROR(INDEX(Items[Cur team],MATCH(Log[[#This Row],[ID]],Items[ID],0))&amp;"",""))</f>
      </c>
      <c r="M1223" s="17">
        <f>IF(OR(Log[[#This Row],[Verb]]="done",Log[[#This Row],[Verb]]="punt",Log[[#This Row],[Verb]]="drop",Log[[#This Row],[Verb]]="pass"),Log[[#This Row],[Pts]],0)</f>
      </c>
    </row>
    <row r="1224">
      <c r="A1224" s="11">
        <v>46202</v>
      </c>
      <c r="B1224" t="s">
        <v>686</v>
      </c>
      <c r="C1224" t="s">
        <v>41</v>
      </c>
      <c r="F1224" s="17">
        <f>IF(Log[[#This Row],[ID]]="","",IF(ISNA(MATCH(Log[[#This Row],[ID]],Items[ID],0)),"unknown ID",IF(ISNA(MATCH(Log[[#This Row],[Verb]],VerbList,0)),"unknown verb",IF(Log[[#This Row],[Date]]="","no date",""))))</f>
      </c>
      <c r="G1224" s="17">
        <f>IF(Log[[#This Row],[ID]]="","",IFERROR(VLOOKUP(Log[[#This Row],[Verb]],Verbs,3,FALSE)&amp;"",""))</f>
      </c>
      <c r="H1224" s="17">
        <f>IF(Log[[#This Row],[Date]]="","",INT((Log[[#This Row],[Date]]-Sprint1)/SprintDays)+1)</f>
      </c>
      <c r="I1224" s="17">
        <f>IF(OR(Log[[#This Row],[Verb]]="commit",Log[[#This Row],[Verb]]="carry",Log[[#This Row],[Verb]]="redo"),IF(Log[[#This Row],[Arg]]="",Log[[#This Row],[Sprint]],N(Log[[#This Row],[Arg]])),"")</f>
      </c>
      <c r="J1224" s="17">
        <f>IF(Log[[#This Row],[Verb]]="block",1,IF(OR(Log[[#This Row],[Verb]]="unblock",Log[[#This Row],[Verb]]="done",Log[[#This Row],[Verb]]="drop",Log[[#This Row],[Verb]]="punt",Log[[#This Row],[Verb]]="pass"),0,""))</f>
      </c>
      <c r="K1224" s="17">
        <f>IF(Log[[#This Row],[ID]]="",0,IFERROR(INDEX(Items[Pts],MATCH(Log[[#This Row],[ID]],Items[ID],0))*1,0))</f>
      </c>
      <c r="L1224" s="17">
        <f>IF(Log[[#This Row],[ID]]="","",IFERROR(INDEX(Items[Cur team],MATCH(Log[[#This Row],[ID]],Items[ID],0))&amp;"",""))</f>
      </c>
      <c r="M1224" s="17">
        <f>IF(OR(Log[[#This Row],[Verb]]="done",Log[[#This Row],[Verb]]="punt",Log[[#This Row],[Verb]]="drop",Log[[#This Row],[Verb]]="pass"),Log[[#This Row],[Pts]],0)</f>
      </c>
    </row>
    <row r="1225">
      <c r="A1225" s="11">
        <v>46202</v>
      </c>
      <c r="B1225" t="s">
        <v>687</v>
      </c>
      <c r="C1225" t="s">
        <v>41</v>
      </c>
      <c r="F1225" s="17">
        <f>IF(Log[[#This Row],[ID]]="","",IF(ISNA(MATCH(Log[[#This Row],[ID]],Items[ID],0)),"unknown ID",IF(ISNA(MATCH(Log[[#This Row],[Verb]],VerbList,0)),"unknown verb",IF(Log[[#This Row],[Date]]="","no date",""))))</f>
      </c>
      <c r="G1225" s="17">
        <f>IF(Log[[#This Row],[ID]]="","",IFERROR(VLOOKUP(Log[[#This Row],[Verb]],Verbs,3,FALSE)&amp;"",""))</f>
      </c>
      <c r="H1225" s="17">
        <f>IF(Log[[#This Row],[Date]]="","",INT((Log[[#This Row],[Date]]-Sprint1)/SprintDays)+1)</f>
      </c>
      <c r="I1225" s="17">
        <f>IF(OR(Log[[#This Row],[Verb]]="commit",Log[[#This Row],[Verb]]="carry",Log[[#This Row],[Verb]]="redo"),IF(Log[[#This Row],[Arg]]="",Log[[#This Row],[Sprint]],N(Log[[#This Row],[Arg]])),"")</f>
      </c>
      <c r="J1225" s="17">
        <f>IF(Log[[#This Row],[Verb]]="block",1,IF(OR(Log[[#This Row],[Verb]]="unblock",Log[[#This Row],[Verb]]="done",Log[[#This Row],[Verb]]="drop",Log[[#This Row],[Verb]]="punt",Log[[#This Row],[Verb]]="pass"),0,""))</f>
      </c>
      <c r="K1225" s="17">
        <f>IF(Log[[#This Row],[ID]]="",0,IFERROR(INDEX(Items[Pts],MATCH(Log[[#This Row],[ID]],Items[ID],0))*1,0))</f>
      </c>
      <c r="L1225" s="17">
        <f>IF(Log[[#This Row],[ID]]="","",IFERROR(INDEX(Items[Cur team],MATCH(Log[[#This Row],[ID]],Items[ID],0))&amp;"",""))</f>
      </c>
      <c r="M1225" s="17">
        <f>IF(OR(Log[[#This Row],[Verb]]="done",Log[[#This Row],[Verb]]="punt",Log[[#This Row],[Verb]]="drop",Log[[#This Row],[Verb]]="pass"),Log[[#This Row],[Pts]],0)</f>
      </c>
    </row>
    <row r="1226">
      <c r="A1226" s="11">
        <v>46202</v>
      </c>
      <c r="B1226" t="s">
        <v>688</v>
      </c>
      <c r="C1226" t="s">
        <v>41</v>
      </c>
      <c r="F1226" s="17">
        <f>IF(Log[[#This Row],[ID]]="","",IF(ISNA(MATCH(Log[[#This Row],[ID]],Items[ID],0)),"unknown ID",IF(ISNA(MATCH(Log[[#This Row],[Verb]],VerbList,0)),"unknown verb",IF(Log[[#This Row],[Date]]="","no date",""))))</f>
      </c>
      <c r="G1226" s="17">
        <f>IF(Log[[#This Row],[ID]]="","",IFERROR(VLOOKUP(Log[[#This Row],[Verb]],Verbs,3,FALSE)&amp;"",""))</f>
      </c>
      <c r="H1226" s="17">
        <f>IF(Log[[#This Row],[Date]]="","",INT((Log[[#This Row],[Date]]-Sprint1)/SprintDays)+1)</f>
      </c>
      <c r="I1226" s="17">
        <f>IF(OR(Log[[#This Row],[Verb]]="commit",Log[[#This Row],[Verb]]="carry",Log[[#This Row],[Verb]]="redo"),IF(Log[[#This Row],[Arg]]="",Log[[#This Row],[Sprint]],N(Log[[#This Row],[Arg]])),"")</f>
      </c>
      <c r="J1226" s="17">
        <f>IF(Log[[#This Row],[Verb]]="block",1,IF(OR(Log[[#This Row],[Verb]]="unblock",Log[[#This Row],[Verb]]="done",Log[[#This Row],[Verb]]="drop",Log[[#This Row],[Verb]]="punt",Log[[#This Row],[Verb]]="pass"),0,""))</f>
      </c>
      <c r="K1226" s="17">
        <f>IF(Log[[#This Row],[ID]]="",0,IFERROR(INDEX(Items[Pts],MATCH(Log[[#This Row],[ID]],Items[ID],0))*1,0))</f>
      </c>
      <c r="L1226" s="17">
        <f>IF(Log[[#This Row],[ID]]="","",IFERROR(INDEX(Items[Cur team],MATCH(Log[[#This Row],[ID]],Items[ID],0))&amp;"",""))</f>
      </c>
      <c r="M1226" s="17">
        <f>IF(OR(Log[[#This Row],[Verb]]="done",Log[[#This Row],[Verb]]="punt",Log[[#This Row],[Verb]]="drop",Log[[#This Row],[Verb]]="pass"),Log[[#This Row],[Pts]],0)</f>
      </c>
    </row>
    <row r="1227">
      <c r="A1227" s="11">
        <v>46202</v>
      </c>
      <c r="B1227" t="s">
        <v>475</v>
      </c>
      <c r="C1227" t="s">
        <v>38</v>
      </c>
      <c r="D1227">
        <v>47</v>
      </c>
      <c r="F1227" s="17">
        <f>IF(Log[[#This Row],[ID]]="","",IF(ISNA(MATCH(Log[[#This Row],[ID]],Items[ID],0)),"unknown ID",IF(ISNA(MATCH(Log[[#This Row],[Verb]],VerbList,0)),"unknown verb",IF(Log[[#This Row],[Date]]="","no date",""))))</f>
      </c>
      <c r="G1227" s="17">
        <f>IF(Log[[#This Row],[ID]]="","",IFERROR(VLOOKUP(Log[[#This Row],[Verb]],Verbs,3,FALSE)&amp;"",""))</f>
      </c>
      <c r="H1227" s="17">
        <f>IF(Log[[#This Row],[Date]]="","",INT((Log[[#This Row],[Date]]-Sprint1)/SprintDays)+1)</f>
      </c>
      <c r="I1227" s="17">
        <f>IF(OR(Log[[#This Row],[Verb]]="commit",Log[[#This Row],[Verb]]="carry",Log[[#This Row],[Verb]]="redo"),IF(Log[[#This Row],[Arg]]="",Log[[#This Row],[Sprint]],N(Log[[#This Row],[Arg]])),"")</f>
      </c>
      <c r="J1227" s="17">
        <f>IF(Log[[#This Row],[Verb]]="block",1,IF(OR(Log[[#This Row],[Verb]]="unblock",Log[[#This Row],[Verb]]="done",Log[[#This Row],[Verb]]="drop",Log[[#This Row],[Verb]]="punt",Log[[#This Row],[Verb]]="pass"),0,""))</f>
      </c>
      <c r="K1227" s="17">
        <f>IF(Log[[#This Row],[ID]]="",0,IFERROR(INDEX(Items[Pts],MATCH(Log[[#This Row],[ID]],Items[ID],0))*1,0))</f>
      </c>
      <c r="L1227" s="17">
        <f>IF(Log[[#This Row],[ID]]="","",IFERROR(INDEX(Items[Cur team],MATCH(Log[[#This Row],[ID]],Items[ID],0))&amp;"",""))</f>
      </c>
      <c r="M1227" s="17">
        <f>IF(OR(Log[[#This Row],[Verb]]="done",Log[[#This Row],[Verb]]="punt",Log[[#This Row],[Verb]]="drop",Log[[#This Row],[Verb]]="pass"),Log[[#This Row],[Pts]],0)</f>
      </c>
    </row>
    <row r="1228">
      <c r="A1228" s="11">
        <v>46202</v>
      </c>
      <c r="B1228" t="s">
        <v>640</v>
      </c>
      <c r="C1228" t="s">
        <v>41</v>
      </c>
      <c r="F1228" s="17">
        <f>IF(Log[[#This Row],[ID]]="","",IF(ISNA(MATCH(Log[[#This Row],[ID]],Items[ID],0)),"unknown ID",IF(ISNA(MATCH(Log[[#This Row],[Verb]],VerbList,0)),"unknown verb",IF(Log[[#This Row],[Date]]="","no date",""))))</f>
      </c>
      <c r="G1228" s="17">
        <f>IF(Log[[#This Row],[ID]]="","",IFERROR(VLOOKUP(Log[[#This Row],[Verb]],Verbs,3,FALSE)&amp;"",""))</f>
      </c>
      <c r="H1228" s="17">
        <f>IF(Log[[#This Row],[Date]]="","",INT((Log[[#This Row],[Date]]-Sprint1)/SprintDays)+1)</f>
      </c>
      <c r="I1228" s="17">
        <f>IF(OR(Log[[#This Row],[Verb]]="commit",Log[[#This Row],[Verb]]="carry",Log[[#This Row],[Verb]]="redo"),IF(Log[[#This Row],[Arg]]="",Log[[#This Row],[Sprint]],N(Log[[#This Row],[Arg]])),"")</f>
      </c>
      <c r="J1228" s="17">
        <f>IF(Log[[#This Row],[Verb]]="block",1,IF(OR(Log[[#This Row],[Verb]]="unblock",Log[[#This Row],[Verb]]="done",Log[[#This Row],[Verb]]="drop",Log[[#This Row],[Verb]]="punt",Log[[#This Row],[Verb]]="pass"),0,""))</f>
      </c>
      <c r="K1228" s="17">
        <f>IF(Log[[#This Row],[ID]]="",0,IFERROR(INDEX(Items[Pts],MATCH(Log[[#This Row],[ID]],Items[ID],0))*1,0))</f>
      </c>
      <c r="L1228" s="17">
        <f>IF(Log[[#This Row],[ID]]="","",IFERROR(INDEX(Items[Cur team],MATCH(Log[[#This Row],[ID]],Items[ID],0))&amp;"",""))</f>
      </c>
      <c r="M1228" s="17">
        <f>IF(OR(Log[[#This Row],[Verb]]="done",Log[[#This Row],[Verb]]="punt",Log[[#This Row],[Verb]]="drop",Log[[#This Row],[Verb]]="pass"),Log[[#This Row],[Pts]],0)</f>
      </c>
    </row>
    <row r="1229">
      <c r="A1229" s="11">
        <v>46202</v>
      </c>
      <c r="B1229" t="s">
        <v>689</v>
      </c>
      <c r="C1229" t="s">
        <v>41</v>
      </c>
      <c r="F1229" s="17">
        <f>IF(Log[[#This Row],[ID]]="","",IF(ISNA(MATCH(Log[[#This Row],[ID]],Items[ID],0)),"unknown ID",IF(ISNA(MATCH(Log[[#This Row],[Verb]],VerbList,0)),"unknown verb",IF(Log[[#This Row],[Date]]="","no date",""))))</f>
      </c>
      <c r="G1229" s="17">
        <f>IF(Log[[#This Row],[ID]]="","",IFERROR(VLOOKUP(Log[[#This Row],[Verb]],Verbs,3,FALSE)&amp;"",""))</f>
      </c>
      <c r="H1229" s="17">
        <f>IF(Log[[#This Row],[Date]]="","",INT((Log[[#This Row],[Date]]-Sprint1)/SprintDays)+1)</f>
      </c>
      <c r="I1229" s="17">
        <f>IF(OR(Log[[#This Row],[Verb]]="commit",Log[[#This Row],[Verb]]="carry",Log[[#This Row],[Verb]]="redo"),IF(Log[[#This Row],[Arg]]="",Log[[#This Row],[Sprint]],N(Log[[#This Row],[Arg]])),"")</f>
      </c>
      <c r="J1229" s="17">
        <f>IF(Log[[#This Row],[Verb]]="block",1,IF(OR(Log[[#This Row],[Verb]]="unblock",Log[[#This Row],[Verb]]="done",Log[[#This Row],[Verb]]="drop",Log[[#This Row],[Verb]]="punt",Log[[#This Row],[Verb]]="pass"),0,""))</f>
      </c>
      <c r="K1229" s="17">
        <f>IF(Log[[#This Row],[ID]]="",0,IFERROR(INDEX(Items[Pts],MATCH(Log[[#This Row],[ID]],Items[ID],0))*1,0))</f>
      </c>
      <c r="L1229" s="17">
        <f>IF(Log[[#This Row],[ID]]="","",IFERROR(INDEX(Items[Cur team],MATCH(Log[[#This Row],[ID]],Items[ID],0))&amp;"",""))</f>
      </c>
      <c r="M1229" s="17">
        <f>IF(OR(Log[[#This Row],[Verb]]="done",Log[[#This Row],[Verb]]="punt",Log[[#This Row],[Verb]]="drop",Log[[#This Row],[Verb]]="pass"),Log[[#This Row],[Pts]],0)</f>
      </c>
    </row>
    <row r="1230">
      <c r="A1230" s="11">
        <v>46202</v>
      </c>
      <c r="B1230" t="s">
        <v>690</v>
      </c>
      <c r="C1230" t="s">
        <v>41</v>
      </c>
      <c r="F1230" s="17">
        <f>IF(Log[[#This Row],[ID]]="","",IF(ISNA(MATCH(Log[[#This Row],[ID]],Items[ID],0)),"unknown ID",IF(ISNA(MATCH(Log[[#This Row],[Verb]],VerbList,0)),"unknown verb",IF(Log[[#This Row],[Date]]="","no date",""))))</f>
      </c>
      <c r="G1230" s="17">
        <f>IF(Log[[#This Row],[ID]]="","",IFERROR(VLOOKUP(Log[[#This Row],[Verb]],Verbs,3,FALSE)&amp;"",""))</f>
      </c>
      <c r="H1230" s="17">
        <f>IF(Log[[#This Row],[Date]]="","",INT((Log[[#This Row],[Date]]-Sprint1)/SprintDays)+1)</f>
      </c>
      <c r="I1230" s="17">
        <f>IF(OR(Log[[#This Row],[Verb]]="commit",Log[[#This Row],[Verb]]="carry",Log[[#This Row],[Verb]]="redo"),IF(Log[[#This Row],[Arg]]="",Log[[#This Row],[Sprint]],N(Log[[#This Row],[Arg]])),"")</f>
      </c>
      <c r="J1230" s="17">
        <f>IF(Log[[#This Row],[Verb]]="block",1,IF(OR(Log[[#This Row],[Verb]]="unblock",Log[[#This Row],[Verb]]="done",Log[[#This Row],[Verb]]="drop",Log[[#This Row],[Verb]]="punt",Log[[#This Row],[Verb]]="pass"),0,""))</f>
      </c>
      <c r="K1230" s="17">
        <f>IF(Log[[#This Row],[ID]]="",0,IFERROR(INDEX(Items[Pts],MATCH(Log[[#This Row],[ID]],Items[ID],0))*1,0))</f>
      </c>
      <c r="L1230" s="17">
        <f>IF(Log[[#This Row],[ID]]="","",IFERROR(INDEX(Items[Cur team],MATCH(Log[[#This Row],[ID]],Items[ID],0))&amp;"",""))</f>
      </c>
      <c r="M1230" s="17">
        <f>IF(OR(Log[[#This Row],[Verb]]="done",Log[[#This Row],[Verb]]="punt",Log[[#This Row],[Verb]]="drop",Log[[#This Row],[Verb]]="pass"),Log[[#This Row],[Pts]],0)</f>
      </c>
    </row>
    <row r="1231">
      <c r="A1231" s="11">
        <v>46202</v>
      </c>
      <c r="B1231" t="s">
        <v>691</v>
      </c>
      <c r="C1231" t="s">
        <v>38</v>
      </c>
      <c r="D1231">
        <v>47</v>
      </c>
      <c r="F1231" s="17">
        <f>IF(Log[[#This Row],[ID]]="","",IF(ISNA(MATCH(Log[[#This Row],[ID]],Items[ID],0)),"unknown ID",IF(ISNA(MATCH(Log[[#This Row],[Verb]],VerbList,0)),"unknown verb",IF(Log[[#This Row],[Date]]="","no date",""))))</f>
      </c>
      <c r="G1231" s="17">
        <f>IF(Log[[#This Row],[ID]]="","",IFERROR(VLOOKUP(Log[[#This Row],[Verb]],Verbs,3,FALSE)&amp;"",""))</f>
      </c>
      <c r="H1231" s="17">
        <f>IF(Log[[#This Row],[Date]]="","",INT((Log[[#This Row],[Date]]-Sprint1)/SprintDays)+1)</f>
      </c>
      <c r="I1231" s="17">
        <f>IF(OR(Log[[#This Row],[Verb]]="commit",Log[[#This Row],[Verb]]="carry",Log[[#This Row],[Verb]]="redo"),IF(Log[[#This Row],[Arg]]="",Log[[#This Row],[Sprint]],N(Log[[#This Row],[Arg]])),"")</f>
      </c>
      <c r="J1231" s="17">
        <f>IF(Log[[#This Row],[Verb]]="block",1,IF(OR(Log[[#This Row],[Verb]]="unblock",Log[[#This Row],[Verb]]="done",Log[[#This Row],[Verb]]="drop",Log[[#This Row],[Verb]]="punt",Log[[#This Row],[Verb]]="pass"),0,""))</f>
      </c>
      <c r="K1231" s="17">
        <f>IF(Log[[#This Row],[ID]]="",0,IFERROR(INDEX(Items[Pts],MATCH(Log[[#This Row],[ID]],Items[ID],0))*1,0))</f>
      </c>
      <c r="L1231" s="17">
        <f>IF(Log[[#This Row],[ID]]="","",IFERROR(INDEX(Items[Cur team],MATCH(Log[[#This Row],[ID]],Items[ID],0))&amp;"",""))</f>
      </c>
      <c r="M1231" s="17">
        <f>IF(OR(Log[[#This Row],[Verb]]="done",Log[[#This Row],[Verb]]="punt",Log[[#This Row],[Verb]]="drop",Log[[#This Row],[Verb]]="pass"),Log[[#This Row],[Pts]],0)</f>
      </c>
    </row>
    <row r="1232">
      <c r="A1232" s="11">
        <v>46202</v>
      </c>
      <c r="B1232" t="s">
        <v>692</v>
      </c>
      <c r="C1232" t="s">
        <v>41</v>
      </c>
      <c r="F1232" s="17">
        <f>IF(Log[[#This Row],[ID]]="","",IF(ISNA(MATCH(Log[[#This Row],[ID]],Items[ID],0)),"unknown ID",IF(ISNA(MATCH(Log[[#This Row],[Verb]],VerbList,0)),"unknown verb",IF(Log[[#This Row],[Date]]="","no date",""))))</f>
      </c>
      <c r="G1232" s="17">
        <f>IF(Log[[#This Row],[ID]]="","",IFERROR(VLOOKUP(Log[[#This Row],[Verb]],Verbs,3,FALSE)&amp;"",""))</f>
      </c>
      <c r="H1232" s="17">
        <f>IF(Log[[#This Row],[Date]]="","",INT((Log[[#This Row],[Date]]-Sprint1)/SprintDays)+1)</f>
      </c>
      <c r="I1232" s="17">
        <f>IF(OR(Log[[#This Row],[Verb]]="commit",Log[[#This Row],[Verb]]="carry",Log[[#This Row],[Verb]]="redo"),IF(Log[[#This Row],[Arg]]="",Log[[#This Row],[Sprint]],N(Log[[#This Row],[Arg]])),"")</f>
      </c>
      <c r="J1232" s="17">
        <f>IF(Log[[#This Row],[Verb]]="block",1,IF(OR(Log[[#This Row],[Verb]]="unblock",Log[[#This Row],[Verb]]="done",Log[[#This Row],[Verb]]="drop",Log[[#This Row],[Verb]]="punt",Log[[#This Row],[Verb]]="pass"),0,""))</f>
      </c>
      <c r="K1232" s="17">
        <f>IF(Log[[#This Row],[ID]]="",0,IFERROR(INDEX(Items[Pts],MATCH(Log[[#This Row],[ID]],Items[ID],0))*1,0))</f>
      </c>
      <c r="L1232" s="17">
        <f>IF(Log[[#This Row],[ID]]="","",IFERROR(INDEX(Items[Cur team],MATCH(Log[[#This Row],[ID]],Items[ID],0))&amp;"",""))</f>
      </c>
      <c r="M1232" s="17">
        <f>IF(OR(Log[[#This Row],[Verb]]="done",Log[[#This Row],[Verb]]="punt",Log[[#This Row],[Verb]]="drop",Log[[#This Row],[Verb]]="pass"),Log[[#This Row],[Pts]],0)</f>
      </c>
    </row>
    <row r="1233">
      <c r="A1233" s="11">
        <v>46202</v>
      </c>
      <c r="B1233" t="s">
        <v>535</v>
      </c>
      <c r="C1233" t="s">
        <v>41</v>
      </c>
      <c r="F1233" s="17">
        <f>IF(Log[[#This Row],[ID]]="","",IF(ISNA(MATCH(Log[[#This Row],[ID]],Items[ID],0)),"unknown ID",IF(ISNA(MATCH(Log[[#This Row],[Verb]],VerbList,0)),"unknown verb",IF(Log[[#This Row],[Date]]="","no date",""))))</f>
      </c>
      <c r="G1233" s="17">
        <f>IF(Log[[#This Row],[ID]]="","",IFERROR(VLOOKUP(Log[[#This Row],[Verb]],Verbs,3,FALSE)&amp;"",""))</f>
      </c>
      <c r="H1233" s="17">
        <f>IF(Log[[#This Row],[Date]]="","",INT((Log[[#This Row],[Date]]-Sprint1)/SprintDays)+1)</f>
      </c>
      <c r="I1233" s="17">
        <f>IF(OR(Log[[#This Row],[Verb]]="commit",Log[[#This Row],[Verb]]="carry",Log[[#This Row],[Verb]]="redo"),IF(Log[[#This Row],[Arg]]="",Log[[#This Row],[Sprint]],N(Log[[#This Row],[Arg]])),"")</f>
      </c>
      <c r="J1233" s="17">
        <f>IF(Log[[#This Row],[Verb]]="block",1,IF(OR(Log[[#This Row],[Verb]]="unblock",Log[[#This Row],[Verb]]="done",Log[[#This Row],[Verb]]="drop",Log[[#This Row],[Verb]]="punt",Log[[#This Row],[Verb]]="pass"),0,""))</f>
      </c>
      <c r="K1233" s="17">
        <f>IF(Log[[#This Row],[ID]]="",0,IFERROR(INDEX(Items[Pts],MATCH(Log[[#This Row],[ID]],Items[ID],0))*1,0))</f>
      </c>
      <c r="L1233" s="17">
        <f>IF(Log[[#This Row],[ID]]="","",IFERROR(INDEX(Items[Cur team],MATCH(Log[[#This Row],[ID]],Items[ID],0))&amp;"",""))</f>
      </c>
      <c r="M1233" s="17">
        <f>IF(OR(Log[[#This Row],[Verb]]="done",Log[[#This Row],[Verb]]="punt",Log[[#This Row],[Verb]]="drop",Log[[#This Row],[Verb]]="pass"),Log[[#This Row],[Pts]],0)</f>
      </c>
    </row>
    <row r="1234">
      <c r="A1234" s="11">
        <v>46202</v>
      </c>
      <c r="B1234" t="s">
        <v>646</v>
      </c>
      <c r="C1234" t="s">
        <v>41</v>
      </c>
      <c r="F1234" s="17">
        <f>IF(Log[[#This Row],[ID]]="","",IF(ISNA(MATCH(Log[[#This Row],[ID]],Items[ID],0)),"unknown ID",IF(ISNA(MATCH(Log[[#This Row],[Verb]],VerbList,0)),"unknown verb",IF(Log[[#This Row],[Date]]="","no date",""))))</f>
      </c>
      <c r="G1234" s="17">
        <f>IF(Log[[#This Row],[ID]]="","",IFERROR(VLOOKUP(Log[[#This Row],[Verb]],Verbs,3,FALSE)&amp;"",""))</f>
      </c>
      <c r="H1234" s="17">
        <f>IF(Log[[#This Row],[Date]]="","",INT((Log[[#This Row],[Date]]-Sprint1)/SprintDays)+1)</f>
      </c>
      <c r="I1234" s="17">
        <f>IF(OR(Log[[#This Row],[Verb]]="commit",Log[[#This Row],[Verb]]="carry",Log[[#This Row],[Verb]]="redo"),IF(Log[[#This Row],[Arg]]="",Log[[#This Row],[Sprint]],N(Log[[#This Row],[Arg]])),"")</f>
      </c>
      <c r="J1234" s="17">
        <f>IF(Log[[#This Row],[Verb]]="block",1,IF(OR(Log[[#This Row],[Verb]]="unblock",Log[[#This Row],[Verb]]="done",Log[[#This Row],[Verb]]="drop",Log[[#This Row],[Verb]]="punt",Log[[#This Row],[Verb]]="pass"),0,""))</f>
      </c>
      <c r="K1234" s="17">
        <f>IF(Log[[#This Row],[ID]]="",0,IFERROR(INDEX(Items[Pts],MATCH(Log[[#This Row],[ID]],Items[ID],0))*1,0))</f>
      </c>
      <c r="L1234" s="17">
        <f>IF(Log[[#This Row],[ID]]="","",IFERROR(INDEX(Items[Cur team],MATCH(Log[[#This Row],[ID]],Items[ID],0))&amp;"",""))</f>
      </c>
      <c r="M1234" s="17">
        <f>IF(OR(Log[[#This Row],[Verb]]="done",Log[[#This Row],[Verb]]="punt",Log[[#This Row],[Verb]]="drop",Log[[#This Row],[Verb]]="pass"),Log[[#This Row],[Pts]],0)</f>
      </c>
    </row>
    <row r="1235">
      <c r="A1235" s="11">
        <v>46202</v>
      </c>
      <c r="B1235" t="s">
        <v>693</v>
      </c>
      <c r="C1235" t="s">
        <v>41</v>
      </c>
      <c r="F1235" s="17">
        <f>IF(Log[[#This Row],[ID]]="","",IF(ISNA(MATCH(Log[[#This Row],[ID]],Items[ID],0)),"unknown ID",IF(ISNA(MATCH(Log[[#This Row],[Verb]],VerbList,0)),"unknown verb",IF(Log[[#This Row],[Date]]="","no date",""))))</f>
      </c>
      <c r="G1235" s="17">
        <f>IF(Log[[#This Row],[ID]]="","",IFERROR(VLOOKUP(Log[[#This Row],[Verb]],Verbs,3,FALSE)&amp;"",""))</f>
      </c>
      <c r="H1235" s="17">
        <f>IF(Log[[#This Row],[Date]]="","",INT((Log[[#This Row],[Date]]-Sprint1)/SprintDays)+1)</f>
      </c>
      <c r="I1235" s="17">
        <f>IF(OR(Log[[#This Row],[Verb]]="commit",Log[[#This Row],[Verb]]="carry",Log[[#This Row],[Verb]]="redo"),IF(Log[[#This Row],[Arg]]="",Log[[#This Row],[Sprint]],N(Log[[#This Row],[Arg]])),"")</f>
      </c>
      <c r="J1235" s="17">
        <f>IF(Log[[#This Row],[Verb]]="block",1,IF(OR(Log[[#This Row],[Verb]]="unblock",Log[[#This Row],[Verb]]="done",Log[[#This Row],[Verb]]="drop",Log[[#This Row],[Verb]]="punt",Log[[#This Row],[Verb]]="pass"),0,""))</f>
      </c>
      <c r="K1235" s="17">
        <f>IF(Log[[#This Row],[ID]]="",0,IFERROR(INDEX(Items[Pts],MATCH(Log[[#This Row],[ID]],Items[ID],0))*1,0))</f>
      </c>
      <c r="L1235" s="17">
        <f>IF(Log[[#This Row],[ID]]="","",IFERROR(INDEX(Items[Cur team],MATCH(Log[[#This Row],[ID]],Items[ID],0))&amp;"",""))</f>
      </c>
      <c r="M1235" s="17">
        <f>IF(OR(Log[[#This Row],[Verb]]="done",Log[[#This Row],[Verb]]="punt",Log[[#This Row],[Verb]]="drop",Log[[#This Row],[Verb]]="pass"),Log[[#This Row],[Pts]],0)</f>
      </c>
    </row>
    <row r="1236">
      <c r="A1236" s="11">
        <v>46202</v>
      </c>
      <c r="B1236" t="s">
        <v>694</v>
      </c>
      <c r="C1236" t="s">
        <v>41</v>
      </c>
      <c r="F1236" s="17">
        <f>IF(Log[[#This Row],[ID]]="","",IF(ISNA(MATCH(Log[[#This Row],[ID]],Items[ID],0)),"unknown ID",IF(ISNA(MATCH(Log[[#This Row],[Verb]],VerbList,0)),"unknown verb",IF(Log[[#This Row],[Date]]="","no date",""))))</f>
      </c>
      <c r="G1236" s="17">
        <f>IF(Log[[#This Row],[ID]]="","",IFERROR(VLOOKUP(Log[[#This Row],[Verb]],Verbs,3,FALSE)&amp;"",""))</f>
      </c>
      <c r="H1236" s="17">
        <f>IF(Log[[#This Row],[Date]]="","",INT((Log[[#This Row],[Date]]-Sprint1)/SprintDays)+1)</f>
      </c>
      <c r="I1236" s="17">
        <f>IF(OR(Log[[#This Row],[Verb]]="commit",Log[[#This Row],[Verb]]="carry",Log[[#This Row],[Verb]]="redo"),IF(Log[[#This Row],[Arg]]="",Log[[#This Row],[Sprint]],N(Log[[#This Row],[Arg]])),"")</f>
      </c>
      <c r="J1236" s="17">
        <f>IF(Log[[#This Row],[Verb]]="block",1,IF(OR(Log[[#This Row],[Verb]]="unblock",Log[[#This Row],[Verb]]="done",Log[[#This Row],[Verb]]="drop",Log[[#This Row],[Verb]]="punt",Log[[#This Row],[Verb]]="pass"),0,""))</f>
      </c>
      <c r="K1236" s="17">
        <f>IF(Log[[#This Row],[ID]]="",0,IFERROR(INDEX(Items[Pts],MATCH(Log[[#This Row],[ID]],Items[ID],0))*1,0))</f>
      </c>
      <c r="L1236" s="17">
        <f>IF(Log[[#This Row],[ID]]="","",IFERROR(INDEX(Items[Cur team],MATCH(Log[[#This Row],[ID]],Items[ID],0))&amp;"",""))</f>
      </c>
      <c r="M1236" s="17">
        <f>IF(OR(Log[[#This Row],[Verb]]="done",Log[[#This Row],[Verb]]="punt",Log[[#This Row],[Verb]]="drop",Log[[#This Row],[Verb]]="pass"),Log[[#This Row],[Pts]],0)</f>
      </c>
    </row>
    <row r="1237">
      <c r="A1237" s="11">
        <v>46202</v>
      </c>
      <c r="B1237" t="s">
        <v>695</v>
      </c>
      <c r="C1237" t="s">
        <v>41</v>
      </c>
      <c r="F1237" s="17">
        <f>IF(Log[[#This Row],[ID]]="","",IF(ISNA(MATCH(Log[[#This Row],[ID]],Items[ID],0)),"unknown ID",IF(ISNA(MATCH(Log[[#This Row],[Verb]],VerbList,0)),"unknown verb",IF(Log[[#This Row],[Date]]="","no date",""))))</f>
      </c>
      <c r="G1237" s="17">
        <f>IF(Log[[#This Row],[ID]]="","",IFERROR(VLOOKUP(Log[[#This Row],[Verb]],Verbs,3,FALSE)&amp;"",""))</f>
      </c>
      <c r="H1237" s="17">
        <f>IF(Log[[#This Row],[Date]]="","",INT((Log[[#This Row],[Date]]-Sprint1)/SprintDays)+1)</f>
      </c>
      <c r="I1237" s="17">
        <f>IF(OR(Log[[#This Row],[Verb]]="commit",Log[[#This Row],[Verb]]="carry",Log[[#This Row],[Verb]]="redo"),IF(Log[[#This Row],[Arg]]="",Log[[#This Row],[Sprint]],N(Log[[#This Row],[Arg]])),"")</f>
      </c>
      <c r="J1237" s="17">
        <f>IF(Log[[#This Row],[Verb]]="block",1,IF(OR(Log[[#This Row],[Verb]]="unblock",Log[[#This Row],[Verb]]="done",Log[[#This Row],[Verb]]="drop",Log[[#This Row],[Verb]]="punt",Log[[#This Row],[Verb]]="pass"),0,""))</f>
      </c>
      <c r="K1237" s="17">
        <f>IF(Log[[#This Row],[ID]]="",0,IFERROR(INDEX(Items[Pts],MATCH(Log[[#This Row],[ID]],Items[ID],0))*1,0))</f>
      </c>
      <c r="L1237" s="17">
        <f>IF(Log[[#This Row],[ID]]="","",IFERROR(INDEX(Items[Cur team],MATCH(Log[[#This Row],[ID]],Items[ID],0))&amp;"",""))</f>
      </c>
      <c r="M1237" s="17">
        <f>IF(OR(Log[[#This Row],[Verb]]="done",Log[[#This Row],[Verb]]="punt",Log[[#This Row],[Verb]]="drop",Log[[#This Row],[Verb]]="pass"),Log[[#This Row],[Pts]],0)</f>
      </c>
    </row>
    <row r="1238">
      <c r="A1238" s="11">
        <v>46202</v>
      </c>
      <c r="B1238" t="s">
        <v>696</v>
      </c>
      <c r="C1238" t="s">
        <v>38</v>
      </c>
      <c r="D1238">
        <v>47</v>
      </c>
      <c r="F1238" s="17">
        <f>IF(Log[[#This Row],[ID]]="","",IF(ISNA(MATCH(Log[[#This Row],[ID]],Items[ID],0)),"unknown ID",IF(ISNA(MATCH(Log[[#This Row],[Verb]],VerbList,0)),"unknown verb",IF(Log[[#This Row],[Date]]="","no date",""))))</f>
      </c>
      <c r="G1238" s="17">
        <f>IF(Log[[#This Row],[ID]]="","",IFERROR(VLOOKUP(Log[[#This Row],[Verb]],Verbs,3,FALSE)&amp;"",""))</f>
      </c>
      <c r="H1238" s="17">
        <f>IF(Log[[#This Row],[Date]]="","",INT((Log[[#This Row],[Date]]-Sprint1)/SprintDays)+1)</f>
      </c>
      <c r="I1238" s="17">
        <f>IF(OR(Log[[#This Row],[Verb]]="commit",Log[[#This Row],[Verb]]="carry",Log[[#This Row],[Verb]]="redo"),IF(Log[[#This Row],[Arg]]="",Log[[#This Row],[Sprint]],N(Log[[#This Row],[Arg]])),"")</f>
      </c>
      <c r="J1238" s="17">
        <f>IF(Log[[#This Row],[Verb]]="block",1,IF(OR(Log[[#This Row],[Verb]]="unblock",Log[[#This Row],[Verb]]="done",Log[[#This Row],[Verb]]="drop",Log[[#This Row],[Verb]]="punt",Log[[#This Row],[Verb]]="pass"),0,""))</f>
      </c>
      <c r="K1238" s="17">
        <f>IF(Log[[#This Row],[ID]]="",0,IFERROR(INDEX(Items[Pts],MATCH(Log[[#This Row],[ID]],Items[ID],0))*1,0))</f>
      </c>
      <c r="L1238" s="17">
        <f>IF(Log[[#This Row],[ID]]="","",IFERROR(INDEX(Items[Cur team],MATCH(Log[[#This Row],[ID]],Items[ID],0))&amp;"",""))</f>
      </c>
      <c r="M1238" s="17">
        <f>IF(OR(Log[[#This Row],[Verb]]="done",Log[[#This Row],[Verb]]="punt",Log[[#This Row],[Verb]]="drop",Log[[#This Row],[Verb]]="pass"),Log[[#This Row],[Pts]],0)</f>
      </c>
    </row>
    <row r="1239">
      <c r="A1239" s="11">
        <v>46202</v>
      </c>
      <c r="B1239" t="s">
        <v>697</v>
      </c>
      <c r="C1239" t="s">
        <v>41</v>
      </c>
      <c r="F1239" s="17">
        <f>IF(Log[[#This Row],[ID]]="","",IF(ISNA(MATCH(Log[[#This Row],[ID]],Items[ID],0)),"unknown ID",IF(ISNA(MATCH(Log[[#This Row],[Verb]],VerbList,0)),"unknown verb",IF(Log[[#This Row],[Date]]="","no date",""))))</f>
      </c>
      <c r="G1239" s="17">
        <f>IF(Log[[#This Row],[ID]]="","",IFERROR(VLOOKUP(Log[[#This Row],[Verb]],Verbs,3,FALSE)&amp;"",""))</f>
      </c>
      <c r="H1239" s="17">
        <f>IF(Log[[#This Row],[Date]]="","",INT((Log[[#This Row],[Date]]-Sprint1)/SprintDays)+1)</f>
      </c>
      <c r="I1239" s="17">
        <f>IF(OR(Log[[#This Row],[Verb]]="commit",Log[[#This Row],[Verb]]="carry",Log[[#This Row],[Verb]]="redo"),IF(Log[[#This Row],[Arg]]="",Log[[#This Row],[Sprint]],N(Log[[#This Row],[Arg]])),"")</f>
      </c>
      <c r="J1239" s="17">
        <f>IF(Log[[#This Row],[Verb]]="block",1,IF(OR(Log[[#This Row],[Verb]]="unblock",Log[[#This Row],[Verb]]="done",Log[[#This Row],[Verb]]="drop",Log[[#This Row],[Verb]]="punt",Log[[#This Row],[Verb]]="pass"),0,""))</f>
      </c>
      <c r="K1239" s="17">
        <f>IF(Log[[#This Row],[ID]]="",0,IFERROR(INDEX(Items[Pts],MATCH(Log[[#This Row],[ID]],Items[ID],0))*1,0))</f>
      </c>
      <c r="L1239" s="17">
        <f>IF(Log[[#This Row],[ID]]="","",IFERROR(INDEX(Items[Cur team],MATCH(Log[[#This Row],[ID]],Items[ID],0))&amp;"",""))</f>
      </c>
      <c r="M1239" s="17">
        <f>IF(OR(Log[[#This Row],[Verb]]="done",Log[[#This Row],[Verb]]="punt",Log[[#This Row],[Verb]]="drop",Log[[#This Row],[Verb]]="pass"),Log[[#This Row],[Pts]],0)</f>
      </c>
    </row>
    <row r="1240">
      <c r="A1240" s="11">
        <v>46202</v>
      </c>
      <c r="B1240" t="s">
        <v>698</v>
      </c>
      <c r="C1240" t="s">
        <v>41</v>
      </c>
      <c r="F1240" s="17">
        <f>IF(Log[[#This Row],[ID]]="","",IF(ISNA(MATCH(Log[[#This Row],[ID]],Items[ID],0)),"unknown ID",IF(ISNA(MATCH(Log[[#This Row],[Verb]],VerbList,0)),"unknown verb",IF(Log[[#This Row],[Date]]="","no date",""))))</f>
      </c>
      <c r="G1240" s="17">
        <f>IF(Log[[#This Row],[ID]]="","",IFERROR(VLOOKUP(Log[[#This Row],[Verb]],Verbs,3,FALSE)&amp;"",""))</f>
      </c>
      <c r="H1240" s="17">
        <f>IF(Log[[#This Row],[Date]]="","",INT((Log[[#This Row],[Date]]-Sprint1)/SprintDays)+1)</f>
      </c>
      <c r="I1240" s="17">
        <f>IF(OR(Log[[#This Row],[Verb]]="commit",Log[[#This Row],[Verb]]="carry",Log[[#This Row],[Verb]]="redo"),IF(Log[[#This Row],[Arg]]="",Log[[#This Row],[Sprint]],N(Log[[#This Row],[Arg]])),"")</f>
      </c>
      <c r="J1240" s="17">
        <f>IF(Log[[#This Row],[Verb]]="block",1,IF(OR(Log[[#This Row],[Verb]]="unblock",Log[[#This Row],[Verb]]="done",Log[[#This Row],[Verb]]="drop",Log[[#This Row],[Verb]]="punt",Log[[#This Row],[Verb]]="pass"),0,""))</f>
      </c>
      <c r="K1240" s="17">
        <f>IF(Log[[#This Row],[ID]]="",0,IFERROR(INDEX(Items[Pts],MATCH(Log[[#This Row],[ID]],Items[ID],0))*1,0))</f>
      </c>
      <c r="L1240" s="17">
        <f>IF(Log[[#This Row],[ID]]="","",IFERROR(INDEX(Items[Cur team],MATCH(Log[[#This Row],[ID]],Items[ID],0))&amp;"",""))</f>
      </c>
      <c r="M1240" s="17">
        <f>IF(OR(Log[[#This Row],[Verb]]="done",Log[[#This Row],[Verb]]="punt",Log[[#This Row],[Verb]]="drop",Log[[#This Row],[Verb]]="pass"),Log[[#This Row],[Pts]],0)</f>
      </c>
    </row>
    <row r="1241">
      <c r="A1241" s="11">
        <v>46202</v>
      </c>
      <c r="B1241" t="s">
        <v>699</v>
      </c>
      <c r="C1241" t="s">
        <v>41</v>
      </c>
      <c r="F1241" s="17">
        <f>IF(Log[[#This Row],[ID]]="","",IF(ISNA(MATCH(Log[[#This Row],[ID]],Items[ID],0)),"unknown ID",IF(ISNA(MATCH(Log[[#This Row],[Verb]],VerbList,0)),"unknown verb",IF(Log[[#This Row],[Date]]="","no date",""))))</f>
      </c>
      <c r="G1241" s="17">
        <f>IF(Log[[#This Row],[ID]]="","",IFERROR(VLOOKUP(Log[[#This Row],[Verb]],Verbs,3,FALSE)&amp;"",""))</f>
      </c>
      <c r="H1241" s="17">
        <f>IF(Log[[#This Row],[Date]]="","",INT((Log[[#This Row],[Date]]-Sprint1)/SprintDays)+1)</f>
      </c>
      <c r="I1241" s="17">
        <f>IF(OR(Log[[#This Row],[Verb]]="commit",Log[[#This Row],[Verb]]="carry",Log[[#This Row],[Verb]]="redo"),IF(Log[[#This Row],[Arg]]="",Log[[#This Row],[Sprint]],N(Log[[#This Row],[Arg]])),"")</f>
      </c>
      <c r="J1241" s="17">
        <f>IF(Log[[#This Row],[Verb]]="block",1,IF(OR(Log[[#This Row],[Verb]]="unblock",Log[[#This Row],[Verb]]="done",Log[[#This Row],[Verb]]="drop",Log[[#This Row],[Verb]]="punt",Log[[#This Row],[Verb]]="pass"),0,""))</f>
      </c>
      <c r="K1241" s="17">
        <f>IF(Log[[#This Row],[ID]]="",0,IFERROR(INDEX(Items[Pts],MATCH(Log[[#This Row],[ID]],Items[ID],0))*1,0))</f>
      </c>
      <c r="L1241" s="17">
        <f>IF(Log[[#This Row],[ID]]="","",IFERROR(INDEX(Items[Cur team],MATCH(Log[[#This Row],[ID]],Items[ID],0))&amp;"",""))</f>
      </c>
      <c r="M1241" s="17">
        <f>IF(OR(Log[[#This Row],[Verb]]="done",Log[[#This Row],[Verb]]="punt",Log[[#This Row],[Verb]]="drop",Log[[#This Row],[Verb]]="pass"),Log[[#This Row],[Pts]],0)</f>
      </c>
    </row>
    <row r="1242">
      <c r="A1242" s="11">
        <v>46202</v>
      </c>
      <c r="B1242" t="s">
        <v>537</v>
      </c>
      <c r="C1242" t="s">
        <v>38</v>
      </c>
      <c r="D1242">
        <v>47</v>
      </c>
      <c r="F1242" s="17">
        <f>IF(Log[[#This Row],[ID]]="","",IF(ISNA(MATCH(Log[[#This Row],[ID]],Items[ID],0)),"unknown ID",IF(ISNA(MATCH(Log[[#This Row],[Verb]],VerbList,0)),"unknown verb",IF(Log[[#This Row],[Date]]="","no date",""))))</f>
      </c>
      <c r="G1242" s="17">
        <f>IF(Log[[#This Row],[ID]]="","",IFERROR(VLOOKUP(Log[[#This Row],[Verb]],Verbs,3,FALSE)&amp;"",""))</f>
      </c>
      <c r="H1242" s="17">
        <f>IF(Log[[#This Row],[Date]]="","",INT((Log[[#This Row],[Date]]-Sprint1)/SprintDays)+1)</f>
      </c>
      <c r="I1242" s="17">
        <f>IF(OR(Log[[#This Row],[Verb]]="commit",Log[[#This Row],[Verb]]="carry",Log[[#This Row],[Verb]]="redo"),IF(Log[[#This Row],[Arg]]="",Log[[#This Row],[Sprint]],N(Log[[#This Row],[Arg]])),"")</f>
      </c>
      <c r="J1242" s="17">
        <f>IF(Log[[#This Row],[Verb]]="block",1,IF(OR(Log[[#This Row],[Verb]]="unblock",Log[[#This Row],[Verb]]="done",Log[[#This Row],[Verb]]="drop",Log[[#This Row],[Verb]]="punt",Log[[#This Row],[Verb]]="pass"),0,""))</f>
      </c>
      <c r="K1242" s="17">
        <f>IF(Log[[#This Row],[ID]]="",0,IFERROR(INDEX(Items[Pts],MATCH(Log[[#This Row],[ID]],Items[ID],0))*1,0))</f>
      </c>
      <c r="L1242" s="17">
        <f>IF(Log[[#This Row],[ID]]="","",IFERROR(INDEX(Items[Cur team],MATCH(Log[[#This Row],[ID]],Items[ID],0))&amp;"",""))</f>
      </c>
      <c r="M1242" s="17">
        <f>IF(OR(Log[[#This Row],[Verb]]="done",Log[[#This Row],[Verb]]="punt",Log[[#This Row],[Verb]]="drop",Log[[#This Row],[Verb]]="pass"),Log[[#This Row],[Pts]],0)</f>
      </c>
    </row>
    <row r="1243">
      <c r="A1243" s="11">
        <v>46202</v>
      </c>
      <c r="B1243" t="s">
        <v>649</v>
      </c>
      <c r="C1243" t="s">
        <v>38</v>
      </c>
      <c r="D1243">
        <v>47</v>
      </c>
      <c r="F1243" s="17">
        <f>IF(Log[[#This Row],[ID]]="","",IF(ISNA(MATCH(Log[[#This Row],[ID]],Items[ID],0)),"unknown ID",IF(ISNA(MATCH(Log[[#This Row],[Verb]],VerbList,0)),"unknown verb",IF(Log[[#This Row],[Date]]="","no date",""))))</f>
      </c>
      <c r="G1243" s="17">
        <f>IF(Log[[#This Row],[ID]]="","",IFERROR(VLOOKUP(Log[[#This Row],[Verb]],Verbs,3,FALSE)&amp;"",""))</f>
      </c>
      <c r="H1243" s="17">
        <f>IF(Log[[#This Row],[Date]]="","",INT((Log[[#This Row],[Date]]-Sprint1)/SprintDays)+1)</f>
      </c>
      <c r="I1243" s="17">
        <f>IF(OR(Log[[#This Row],[Verb]]="commit",Log[[#This Row],[Verb]]="carry",Log[[#This Row],[Verb]]="redo"),IF(Log[[#This Row],[Arg]]="",Log[[#This Row],[Sprint]],N(Log[[#This Row],[Arg]])),"")</f>
      </c>
      <c r="J1243" s="17">
        <f>IF(Log[[#This Row],[Verb]]="block",1,IF(OR(Log[[#This Row],[Verb]]="unblock",Log[[#This Row],[Verb]]="done",Log[[#This Row],[Verb]]="drop",Log[[#This Row],[Verb]]="punt",Log[[#This Row],[Verb]]="pass"),0,""))</f>
      </c>
      <c r="K1243" s="17">
        <f>IF(Log[[#This Row],[ID]]="",0,IFERROR(INDEX(Items[Pts],MATCH(Log[[#This Row],[ID]],Items[ID],0))*1,0))</f>
      </c>
      <c r="L1243" s="17">
        <f>IF(Log[[#This Row],[ID]]="","",IFERROR(INDEX(Items[Cur team],MATCH(Log[[#This Row],[ID]],Items[ID],0))&amp;"",""))</f>
      </c>
      <c r="M1243" s="17">
        <f>IF(OR(Log[[#This Row],[Verb]]="done",Log[[#This Row],[Verb]]="punt",Log[[#This Row],[Verb]]="drop",Log[[#This Row],[Verb]]="pass"),Log[[#This Row],[Pts]],0)</f>
      </c>
    </row>
    <row r="1244">
      <c r="A1244" s="11">
        <v>46202</v>
      </c>
      <c r="B1244" t="s">
        <v>700</v>
      </c>
      <c r="C1244" t="s">
        <v>41</v>
      </c>
      <c r="F1244" s="17">
        <f>IF(Log[[#This Row],[ID]]="","",IF(ISNA(MATCH(Log[[#This Row],[ID]],Items[ID],0)),"unknown ID",IF(ISNA(MATCH(Log[[#This Row],[Verb]],VerbList,0)),"unknown verb",IF(Log[[#This Row],[Date]]="","no date",""))))</f>
      </c>
      <c r="G1244" s="17">
        <f>IF(Log[[#This Row],[ID]]="","",IFERROR(VLOOKUP(Log[[#This Row],[Verb]],Verbs,3,FALSE)&amp;"",""))</f>
      </c>
      <c r="H1244" s="17">
        <f>IF(Log[[#This Row],[Date]]="","",INT((Log[[#This Row],[Date]]-Sprint1)/SprintDays)+1)</f>
      </c>
      <c r="I1244" s="17">
        <f>IF(OR(Log[[#This Row],[Verb]]="commit",Log[[#This Row],[Verb]]="carry",Log[[#This Row],[Verb]]="redo"),IF(Log[[#This Row],[Arg]]="",Log[[#This Row],[Sprint]],N(Log[[#This Row],[Arg]])),"")</f>
      </c>
      <c r="J1244" s="17">
        <f>IF(Log[[#This Row],[Verb]]="block",1,IF(OR(Log[[#This Row],[Verb]]="unblock",Log[[#This Row],[Verb]]="done",Log[[#This Row],[Verb]]="drop",Log[[#This Row],[Verb]]="punt",Log[[#This Row],[Verb]]="pass"),0,""))</f>
      </c>
      <c r="K1244" s="17">
        <f>IF(Log[[#This Row],[ID]]="",0,IFERROR(INDEX(Items[Pts],MATCH(Log[[#This Row],[ID]],Items[ID],0))*1,0))</f>
      </c>
      <c r="L1244" s="17">
        <f>IF(Log[[#This Row],[ID]]="","",IFERROR(INDEX(Items[Cur team],MATCH(Log[[#This Row],[ID]],Items[ID],0))&amp;"",""))</f>
      </c>
      <c r="M1244" s="17">
        <f>IF(OR(Log[[#This Row],[Verb]]="done",Log[[#This Row],[Verb]]="punt",Log[[#This Row],[Verb]]="drop",Log[[#This Row],[Verb]]="pass"),Log[[#This Row],[Pts]],0)</f>
      </c>
    </row>
    <row r="1245">
      <c r="A1245" s="11">
        <v>46202</v>
      </c>
      <c r="B1245" t="s">
        <v>701</v>
      </c>
      <c r="C1245" t="s">
        <v>41</v>
      </c>
      <c r="F1245" s="17">
        <f>IF(Log[[#This Row],[ID]]="","",IF(ISNA(MATCH(Log[[#This Row],[ID]],Items[ID],0)),"unknown ID",IF(ISNA(MATCH(Log[[#This Row],[Verb]],VerbList,0)),"unknown verb",IF(Log[[#This Row],[Date]]="","no date",""))))</f>
      </c>
      <c r="G1245" s="17">
        <f>IF(Log[[#This Row],[ID]]="","",IFERROR(VLOOKUP(Log[[#This Row],[Verb]],Verbs,3,FALSE)&amp;"",""))</f>
      </c>
      <c r="H1245" s="17">
        <f>IF(Log[[#This Row],[Date]]="","",INT((Log[[#This Row],[Date]]-Sprint1)/SprintDays)+1)</f>
      </c>
      <c r="I1245" s="17">
        <f>IF(OR(Log[[#This Row],[Verb]]="commit",Log[[#This Row],[Verb]]="carry",Log[[#This Row],[Verb]]="redo"),IF(Log[[#This Row],[Arg]]="",Log[[#This Row],[Sprint]],N(Log[[#This Row],[Arg]])),"")</f>
      </c>
      <c r="J1245" s="17">
        <f>IF(Log[[#This Row],[Verb]]="block",1,IF(OR(Log[[#This Row],[Verb]]="unblock",Log[[#This Row],[Verb]]="done",Log[[#This Row],[Verb]]="drop",Log[[#This Row],[Verb]]="punt",Log[[#This Row],[Verb]]="pass"),0,""))</f>
      </c>
      <c r="K1245" s="17">
        <f>IF(Log[[#This Row],[ID]]="",0,IFERROR(INDEX(Items[Pts],MATCH(Log[[#This Row],[ID]],Items[ID],0))*1,0))</f>
      </c>
      <c r="L1245" s="17">
        <f>IF(Log[[#This Row],[ID]]="","",IFERROR(INDEX(Items[Cur team],MATCH(Log[[#This Row],[ID]],Items[ID],0))&amp;"",""))</f>
      </c>
      <c r="M1245" s="17">
        <f>IF(OR(Log[[#This Row],[Verb]]="done",Log[[#This Row],[Verb]]="punt",Log[[#This Row],[Verb]]="drop",Log[[#This Row],[Verb]]="pass"),Log[[#This Row],[Pts]],0)</f>
      </c>
    </row>
    <row r="1246">
      <c r="A1246" s="11">
        <v>46202</v>
      </c>
      <c r="B1246" t="s">
        <v>702</v>
      </c>
      <c r="C1246" t="s">
        <v>41</v>
      </c>
      <c r="F1246" s="17">
        <f>IF(Log[[#This Row],[ID]]="","",IF(ISNA(MATCH(Log[[#This Row],[ID]],Items[ID],0)),"unknown ID",IF(ISNA(MATCH(Log[[#This Row],[Verb]],VerbList,0)),"unknown verb",IF(Log[[#This Row],[Date]]="","no date",""))))</f>
      </c>
      <c r="G1246" s="17">
        <f>IF(Log[[#This Row],[ID]]="","",IFERROR(VLOOKUP(Log[[#This Row],[Verb]],Verbs,3,FALSE)&amp;"",""))</f>
      </c>
      <c r="H1246" s="17">
        <f>IF(Log[[#This Row],[Date]]="","",INT((Log[[#This Row],[Date]]-Sprint1)/SprintDays)+1)</f>
      </c>
      <c r="I1246" s="17">
        <f>IF(OR(Log[[#This Row],[Verb]]="commit",Log[[#This Row],[Verb]]="carry",Log[[#This Row],[Verb]]="redo"),IF(Log[[#This Row],[Arg]]="",Log[[#This Row],[Sprint]],N(Log[[#This Row],[Arg]])),"")</f>
      </c>
      <c r="J1246" s="17">
        <f>IF(Log[[#This Row],[Verb]]="block",1,IF(OR(Log[[#This Row],[Verb]]="unblock",Log[[#This Row],[Verb]]="done",Log[[#This Row],[Verb]]="drop",Log[[#This Row],[Verb]]="punt",Log[[#This Row],[Verb]]="pass"),0,""))</f>
      </c>
      <c r="K1246" s="17">
        <f>IF(Log[[#This Row],[ID]]="",0,IFERROR(INDEX(Items[Pts],MATCH(Log[[#This Row],[ID]],Items[ID],0))*1,0))</f>
      </c>
      <c r="L1246" s="17">
        <f>IF(Log[[#This Row],[ID]]="","",IFERROR(INDEX(Items[Cur team],MATCH(Log[[#This Row],[ID]],Items[ID],0))&amp;"",""))</f>
      </c>
      <c r="M1246" s="17">
        <f>IF(OR(Log[[#This Row],[Verb]]="done",Log[[#This Row],[Verb]]="punt",Log[[#This Row],[Verb]]="drop",Log[[#This Row],[Verb]]="pass"),Log[[#This Row],[Pts]],0)</f>
      </c>
    </row>
    <row r="1247">
      <c r="A1247" s="11">
        <v>46202</v>
      </c>
      <c r="B1247" t="s">
        <v>703</v>
      </c>
      <c r="C1247" t="s">
        <v>38</v>
      </c>
      <c r="D1247">
        <v>47</v>
      </c>
      <c r="F1247" s="17">
        <f>IF(Log[[#This Row],[ID]]="","",IF(ISNA(MATCH(Log[[#This Row],[ID]],Items[ID],0)),"unknown ID",IF(ISNA(MATCH(Log[[#This Row],[Verb]],VerbList,0)),"unknown verb",IF(Log[[#This Row],[Date]]="","no date",""))))</f>
      </c>
      <c r="G1247" s="17">
        <f>IF(Log[[#This Row],[ID]]="","",IFERROR(VLOOKUP(Log[[#This Row],[Verb]],Verbs,3,FALSE)&amp;"",""))</f>
      </c>
      <c r="H1247" s="17">
        <f>IF(Log[[#This Row],[Date]]="","",INT((Log[[#This Row],[Date]]-Sprint1)/SprintDays)+1)</f>
      </c>
      <c r="I1247" s="17">
        <f>IF(OR(Log[[#This Row],[Verb]]="commit",Log[[#This Row],[Verb]]="carry",Log[[#This Row],[Verb]]="redo"),IF(Log[[#This Row],[Arg]]="",Log[[#This Row],[Sprint]],N(Log[[#This Row],[Arg]])),"")</f>
      </c>
      <c r="J1247" s="17">
        <f>IF(Log[[#This Row],[Verb]]="block",1,IF(OR(Log[[#This Row],[Verb]]="unblock",Log[[#This Row],[Verb]]="done",Log[[#This Row],[Verb]]="drop",Log[[#This Row],[Verb]]="punt",Log[[#This Row],[Verb]]="pass"),0,""))</f>
      </c>
      <c r="K1247" s="17">
        <f>IF(Log[[#This Row],[ID]]="",0,IFERROR(INDEX(Items[Pts],MATCH(Log[[#This Row],[ID]],Items[ID],0))*1,0))</f>
      </c>
      <c r="L1247" s="17">
        <f>IF(Log[[#This Row],[ID]]="","",IFERROR(INDEX(Items[Cur team],MATCH(Log[[#This Row],[ID]],Items[ID],0))&amp;"",""))</f>
      </c>
      <c r="M1247" s="17">
        <f>IF(OR(Log[[#This Row],[Verb]]="done",Log[[#This Row],[Verb]]="punt",Log[[#This Row],[Verb]]="drop",Log[[#This Row],[Verb]]="pass"),Log[[#This Row],[Pts]],0)</f>
      </c>
    </row>
    <row r="1248">
      <c r="A1248" s="11">
        <v>46202</v>
      </c>
      <c r="B1248" t="s">
        <v>704</v>
      </c>
      <c r="C1248" t="s">
        <v>41</v>
      </c>
      <c r="F1248" s="17">
        <f>IF(Log[[#This Row],[ID]]="","",IF(ISNA(MATCH(Log[[#This Row],[ID]],Items[ID],0)),"unknown ID",IF(ISNA(MATCH(Log[[#This Row],[Verb]],VerbList,0)),"unknown verb",IF(Log[[#This Row],[Date]]="","no date",""))))</f>
      </c>
      <c r="G1248" s="17">
        <f>IF(Log[[#This Row],[ID]]="","",IFERROR(VLOOKUP(Log[[#This Row],[Verb]],Verbs,3,FALSE)&amp;"",""))</f>
      </c>
      <c r="H1248" s="17">
        <f>IF(Log[[#This Row],[Date]]="","",INT((Log[[#This Row],[Date]]-Sprint1)/SprintDays)+1)</f>
      </c>
      <c r="I1248" s="17">
        <f>IF(OR(Log[[#This Row],[Verb]]="commit",Log[[#This Row],[Verb]]="carry",Log[[#This Row],[Verb]]="redo"),IF(Log[[#This Row],[Arg]]="",Log[[#This Row],[Sprint]],N(Log[[#This Row],[Arg]])),"")</f>
      </c>
      <c r="J1248" s="17">
        <f>IF(Log[[#This Row],[Verb]]="block",1,IF(OR(Log[[#This Row],[Verb]]="unblock",Log[[#This Row],[Verb]]="done",Log[[#This Row],[Verb]]="drop",Log[[#This Row],[Verb]]="punt",Log[[#This Row],[Verb]]="pass"),0,""))</f>
      </c>
      <c r="K1248" s="17">
        <f>IF(Log[[#This Row],[ID]]="",0,IFERROR(INDEX(Items[Pts],MATCH(Log[[#This Row],[ID]],Items[ID],0))*1,0))</f>
      </c>
      <c r="L1248" s="17">
        <f>IF(Log[[#This Row],[ID]]="","",IFERROR(INDEX(Items[Cur team],MATCH(Log[[#This Row],[ID]],Items[ID],0))&amp;"",""))</f>
      </c>
      <c r="M1248" s="17">
        <f>IF(OR(Log[[#This Row],[Verb]]="done",Log[[#This Row],[Verb]]="punt",Log[[#This Row],[Verb]]="drop",Log[[#This Row],[Verb]]="pass"),Log[[#This Row],[Pts]],0)</f>
      </c>
    </row>
    <row r="1249">
      <c r="A1249" s="11">
        <v>46203</v>
      </c>
      <c r="B1249" t="s">
        <v>705</v>
      </c>
      <c r="C1249" t="s">
        <v>34</v>
      </c>
      <c r="D1249">
        <v>47</v>
      </c>
      <c r="F1249" s="17">
        <f>IF(Log[[#This Row],[ID]]="","",IF(ISNA(MATCH(Log[[#This Row],[ID]],Items[ID],0)),"unknown ID",IF(ISNA(MATCH(Log[[#This Row],[Verb]],VerbList,0)),"unknown verb",IF(Log[[#This Row],[Date]]="","no date",""))))</f>
      </c>
      <c r="G1249" s="17">
        <f>IF(Log[[#This Row],[ID]]="","",IFERROR(VLOOKUP(Log[[#This Row],[Verb]],Verbs,3,FALSE)&amp;"",""))</f>
      </c>
      <c r="H1249" s="17">
        <f>IF(Log[[#This Row],[Date]]="","",INT((Log[[#This Row],[Date]]-Sprint1)/SprintDays)+1)</f>
      </c>
      <c r="I1249" s="17">
        <f>IF(OR(Log[[#This Row],[Verb]]="commit",Log[[#This Row],[Verb]]="carry",Log[[#This Row],[Verb]]="redo"),IF(Log[[#This Row],[Arg]]="",Log[[#This Row],[Sprint]],N(Log[[#This Row],[Arg]])),"")</f>
      </c>
      <c r="J1249" s="17">
        <f>IF(Log[[#This Row],[Verb]]="block",1,IF(OR(Log[[#This Row],[Verb]]="unblock",Log[[#This Row],[Verb]]="done",Log[[#This Row],[Verb]]="drop",Log[[#This Row],[Verb]]="punt",Log[[#This Row],[Verb]]="pass"),0,""))</f>
      </c>
      <c r="K1249" s="17">
        <f>IF(Log[[#This Row],[ID]]="",0,IFERROR(INDEX(Items[Pts],MATCH(Log[[#This Row],[ID]],Items[ID],0))*1,0))</f>
      </c>
      <c r="L1249" s="17">
        <f>IF(Log[[#This Row],[ID]]="","",IFERROR(INDEX(Items[Cur team],MATCH(Log[[#This Row],[ID]],Items[ID],0))&amp;"",""))</f>
      </c>
      <c r="M1249" s="17">
        <f>IF(OR(Log[[#This Row],[Verb]]="done",Log[[#This Row],[Verb]]="punt",Log[[#This Row],[Verb]]="drop",Log[[#This Row],[Verb]]="pass"),Log[[#This Row],[Pts]],0)</f>
      </c>
    </row>
    <row r="1250">
      <c r="A1250" s="11">
        <v>46203</v>
      </c>
      <c r="B1250" t="s">
        <v>706</v>
      </c>
      <c r="C1250" t="s">
        <v>34</v>
      </c>
      <c r="D1250">
        <v>47</v>
      </c>
      <c r="F1250" s="17">
        <f>IF(Log[[#This Row],[ID]]="","",IF(ISNA(MATCH(Log[[#This Row],[ID]],Items[ID],0)),"unknown ID",IF(ISNA(MATCH(Log[[#This Row],[Verb]],VerbList,0)),"unknown verb",IF(Log[[#This Row],[Date]]="","no date",""))))</f>
      </c>
      <c r="G1250" s="17">
        <f>IF(Log[[#This Row],[ID]]="","",IFERROR(VLOOKUP(Log[[#This Row],[Verb]],Verbs,3,FALSE)&amp;"",""))</f>
      </c>
      <c r="H1250" s="17">
        <f>IF(Log[[#This Row],[Date]]="","",INT((Log[[#This Row],[Date]]-Sprint1)/SprintDays)+1)</f>
      </c>
      <c r="I1250" s="17">
        <f>IF(OR(Log[[#This Row],[Verb]]="commit",Log[[#This Row],[Verb]]="carry",Log[[#This Row],[Verb]]="redo"),IF(Log[[#This Row],[Arg]]="",Log[[#This Row],[Sprint]],N(Log[[#This Row],[Arg]])),"")</f>
      </c>
      <c r="J1250" s="17">
        <f>IF(Log[[#This Row],[Verb]]="block",1,IF(OR(Log[[#This Row],[Verb]]="unblock",Log[[#This Row],[Verb]]="done",Log[[#This Row],[Verb]]="drop",Log[[#This Row],[Verb]]="punt",Log[[#This Row],[Verb]]="pass"),0,""))</f>
      </c>
      <c r="K1250" s="17">
        <f>IF(Log[[#This Row],[ID]]="",0,IFERROR(INDEX(Items[Pts],MATCH(Log[[#This Row],[ID]],Items[ID],0))*1,0))</f>
      </c>
      <c r="L1250" s="17">
        <f>IF(Log[[#This Row],[ID]]="","",IFERROR(INDEX(Items[Cur team],MATCH(Log[[#This Row],[ID]],Items[ID],0))&amp;"",""))</f>
      </c>
      <c r="M1250" s="17">
        <f>IF(OR(Log[[#This Row],[Verb]]="done",Log[[#This Row],[Verb]]="punt",Log[[#This Row],[Verb]]="drop",Log[[#This Row],[Verb]]="pass"),Log[[#This Row],[Pts]],0)</f>
      </c>
    </row>
    <row r="1251">
      <c r="A1251" s="11">
        <v>46203</v>
      </c>
      <c r="B1251" t="s">
        <v>707</v>
      </c>
      <c r="C1251" t="s">
        <v>34</v>
      </c>
      <c r="D1251">
        <v>47</v>
      </c>
      <c r="F1251" s="17">
        <f>IF(Log[[#This Row],[ID]]="","",IF(ISNA(MATCH(Log[[#This Row],[ID]],Items[ID],0)),"unknown ID",IF(ISNA(MATCH(Log[[#This Row],[Verb]],VerbList,0)),"unknown verb",IF(Log[[#This Row],[Date]]="","no date",""))))</f>
      </c>
      <c r="G1251" s="17">
        <f>IF(Log[[#This Row],[ID]]="","",IFERROR(VLOOKUP(Log[[#This Row],[Verb]],Verbs,3,FALSE)&amp;"",""))</f>
      </c>
      <c r="H1251" s="17">
        <f>IF(Log[[#This Row],[Date]]="","",INT((Log[[#This Row],[Date]]-Sprint1)/SprintDays)+1)</f>
      </c>
      <c r="I1251" s="17">
        <f>IF(OR(Log[[#This Row],[Verb]]="commit",Log[[#This Row],[Verb]]="carry",Log[[#This Row],[Verb]]="redo"),IF(Log[[#This Row],[Arg]]="",Log[[#This Row],[Sprint]],N(Log[[#This Row],[Arg]])),"")</f>
      </c>
      <c r="J1251" s="17">
        <f>IF(Log[[#This Row],[Verb]]="block",1,IF(OR(Log[[#This Row],[Verb]]="unblock",Log[[#This Row],[Verb]]="done",Log[[#This Row],[Verb]]="drop",Log[[#This Row],[Verb]]="punt",Log[[#This Row],[Verb]]="pass"),0,""))</f>
      </c>
      <c r="K1251" s="17">
        <f>IF(Log[[#This Row],[ID]]="",0,IFERROR(INDEX(Items[Pts],MATCH(Log[[#This Row],[ID]],Items[ID],0))*1,0))</f>
      </c>
      <c r="L1251" s="17">
        <f>IF(Log[[#This Row],[ID]]="","",IFERROR(INDEX(Items[Cur team],MATCH(Log[[#This Row],[ID]],Items[ID],0))&amp;"",""))</f>
      </c>
      <c r="M1251" s="17">
        <f>IF(OR(Log[[#This Row],[Verb]]="done",Log[[#This Row],[Verb]]="punt",Log[[#This Row],[Verb]]="drop",Log[[#This Row],[Verb]]="pass"),Log[[#This Row],[Pts]],0)</f>
      </c>
    </row>
    <row r="1252">
      <c r="A1252" s="11">
        <v>46203</v>
      </c>
      <c r="B1252" t="s">
        <v>708</v>
      </c>
      <c r="C1252" t="s">
        <v>34</v>
      </c>
      <c r="D1252">
        <v>47</v>
      </c>
      <c r="F1252" s="17">
        <f>IF(Log[[#This Row],[ID]]="","",IF(ISNA(MATCH(Log[[#This Row],[ID]],Items[ID],0)),"unknown ID",IF(ISNA(MATCH(Log[[#This Row],[Verb]],VerbList,0)),"unknown verb",IF(Log[[#This Row],[Date]]="","no date",""))))</f>
      </c>
      <c r="G1252" s="17">
        <f>IF(Log[[#This Row],[ID]]="","",IFERROR(VLOOKUP(Log[[#This Row],[Verb]],Verbs,3,FALSE)&amp;"",""))</f>
      </c>
      <c r="H1252" s="17">
        <f>IF(Log[[#This Row],[Date]]="","",INT((Log[[#This Row],[Date]]-Sprint1)/SprintDays)+1)</f>
      </c>
      <c r="I1252" s="17">
        <f>IF(OR(Log[[#This Row],[Verb]]="commit",Log[[#This Row],[Verb]]="carry",Log[[#This Row],[Verb]]="redo"),IF(Log[[#This Row],[Arg]]="",Log[[#This Row],[Sprint]],N(Log[[#This Row],[Arg]])),"")</f>
      </c>
      <c r="J1252" s="17">
        <f>IF(Log[[#This Row],[Verb]]="block",1,IF(OR(Log[[#This Row],[Verb]]="unblock",Log[[#This Row],[Verb]]="done",Log[[#This Row],[Verb]]="drop",Log[[#This Row],[Verb]]="punt",Log[[#This Row],[Verb]]="pass"),0,""))</f>
      </c>
      <c r="K1252" s="17">
        <f>IF(Log[[#This Row],[ID]]="",0,IFERROR(INDEX(Items[Pts],MATCH(Log[[#This Row],[ID]],Items[ID],0))*1,0))</f>
      </c>
      <c r="L1252" s="17">
        <f>IF(Log[[#This Row],[ID]]="","",IFERROR(INDEX(Items[Cur team],MATCH(Log[[#This Row],[ID]],Items[ID],0))&amp;"",""))</f>
      </c>
      <c r="M1252" s="17">
        <f>IF(OR(Log[[#This Row],[Verb]]="done",Log[[#This Row],[Verb]]="punt",Log[[#This Row],[Verb]]="drop",Log[[#This Row],[Verb]]="pass"),Log[[#This Row],[Pts]],0)</f>
      </c>
    </row>
    <row r="1253">
      <c r="A1253" s="11">
        <v>46203</v>
      </c>
      <c r="B1253" t="s">
        <v>709</v>
      </c>
      <c r="C1253" t="s">
        <v>34</v>
      </c>
      <c r="D1253">
        <v>47</v>
      </c>
      <c r="F1253" s="17">
        <f>IF(Log[[#This Row],[ID]]="","",IF(ISNA(MATCH(Log[[#This Row],[ID]],Items[ID],0)),"unknown ID",IF(ISNA(MATCH(Log[[#This Row],[Verb]],VerbList,0)),"unknown verb",IF(Log[[#This Row],[Date]]="","no date",""))))</f>
      </c>
      <c r="G1253" s="17">
        <f>IF(Log[[#This Row],[ID]]="","",IFERROR(VLOOKUP(Log[[#This Row],[Verb]],Verbs,3,FALSE)&amp;"",""))</f>
      </c>
      <c r="H1253" s="17">
        <f>IF(Log[[#This Row],[Date]]="","",INT((Log[[#This Row],[Date]]-Sprint1)/SprintDays)+1)</f>
      </c>
      <c r="I1253" s="17">
        <f>IF(OR(Log[[#This Row],[Verb]]="commit",Log[[#This Row],[Verb]]="carry",Log[[#This Row],[Verb]]="redo"),IF(Log[[#This Row],[Arg]]="",Log[[#This Row],[Sprint]],N(Log[[#This Row],[Arg]])),"")</f>
      </c>
      <c r="J1253" s="17">
        <f>IF(Log[[#This Row],[Verb]]="block",1,IF(OR(Log[[#This Row],[Verb]]="unblock",Log[[#This Row],[Verb]]="done",Log[[#This Row],[Verb]]="drop",Log[[#This Row],[Verb]]="punt",Log[[#This Row],[Verb]]="pass"),0,""))</f>
      </c>
      <c r="K1253" s="17">
        <f>IF(Log[[#This Row],[ID]]="",0,IFERROR(INDEX(Items[Pts],MATCH(Log[[#This Row],[ID]],Items[ID],0))*1,0))</f>
      </c>
      <c r="L1253" s="17">
        <f>IF(Log[[#This Row],[ID]]="","",IFERROR(INDEX(Items[Cur team],MATCH(Log[[#This Row],[ID]],Items[ID],0))&amp;"",""))</f>
      </c>
      <c r="M1253" s="17">
        <f>IF(OR(Log[[#This Row],[Verb]]="done",Log[[#This Row],[Verb]]="punt",Log[[#This Row],[Verb]]="drop",Log[[#This Row],[Verb]]="pass"),Log[[#This Row],[Pts]],0)</f>
      </c>
    </row>
    <row r="1254">
      <c r="A1254" s="11">
        <v>46203</v>
      </c>
      <c r="B1254" t="s">
        <v>710</v>
      </c>
      <c r="C1254" t="s">
        <v>34</v>
      </c>
      <c r="D1254">
        <v>47</v>
      </c>
      <c r="F1254" s="17">
        <f>IF(Log[[#This Row],[ID]]="","",IF(ISNA(MATCH(Log[[#This Row],[ID]],Items[ID],0)),"unknown ID",IF(ISNA(MATCH(Log[[#This Row],[Verb]],VerbList,0)),"unknown verb",IF(Log[[#This Row],[Date]]="","no date",""))))</f>
      </c>
      <c r="G1254" s="17">
        <f>IF(Log[[#This Row],[ID]]="","",IFERROR(VLOOKUP(Log[[#This Row],[Verb]],Verbs,3,FALSE)&amp;"",""))</f>
      </c>
      <c r="H1254" s="17">
        <f>IF(Log[[#This Row],[Date]]="","",INT((Log[[#This Row],[Date]]-Sprint1)/SprintDays)+1)</f>
      </c>
      <c r="I1254" s="17">
        <f>IF(OR(Log[[#This Row],[Verb]]="commit",Log[[#This Row],[Verb]]="carry",Log[[#This Row],[Verb]]="redo"),IF(Log[[#This Row],[Arg]]="",Log[[#This Row],[Sprint]],N(Log[[#This Row],[Arg]])),"")</f>
      </c>
      <c r="J1254" s="17">
        <f>IF(Log[[#This Row],[Verb]]="block",1,IF(OR(Log[[#This Row],[Verb]]="unblock",Log[[#This Row],[Verb]]="done",Log[[#This Row],[Verb]]="drop",Log[[#This Row],[Verb]]="punt",Log[[#This Row],[Verb]]="pass"),0,""))</f>
      </c>
      <c r="K1254" s="17">
        <f>IF(Log[[#This Row],[ID]]="",0,IFERROR(INDEX(Items[Pts],MATCH(Log[[#This Row],[ID]],Items[ID],0))*1,0))</f>
      </c>
      <c r="L1254" s="17">
        <f>IF(Log[[#This Row],[ID]]="","",IFERROR(INDEX(Items[Cur team],MATCH(Log[[#This Row],[ID]],Items[ID],0))&amp;"",""))</f>
      </c>
      <c r="M1254" s="17">
        <f>IF(OR(Log[[#This Row],[Verb]]="done",Log[[#This Row],[Verb]]="punt",Log[[#This Row],[Verb]]="drop",Log[[#This Row],[Verb]]="pass"),Log[[#This Row],[Pts]],0)</f>
      </c>
    </row>
    <row r="1255">
      <c r="A1255" s="11">
        <v>46203</v>
      </c>
      <c r="B1255" t="s">
        <v>711</v>
      </c>
      <c r="C1255" t="s">
        <v>34</v>
      </c>
      <c r="D1255">
        <v>47</v>
      </c>
      <c r="F1255" s="17">
        <f>IF(Log[[#This Row],[ID]]="","",IF(ISNA(MATCH(Log[[#This Row],[ID]],Items[ID],0)),"unknown ID",IF(ISNA(MATCH(Log[[#This Row],[Verb]],VerbList,0)),"unknown verb",IF(Log[[#This Row],[Date]]="","no date",""))))</f>
      </c>
      <c r="G1255" s="17">
        <f>IF(Log[[#This Row],[ID]]="","",IFERROR(VLOOKUP(Log[[#This Row],[Verb]],Verbs,3,FALSE)&amp;"",""))</f>
      </c>
      <c r="H1255" s="17">
        <f>IF(Log[[#This Row],[Date]]="","",INT((Log[[#This Row],[Date]]-Sprint1)/SprintDays)+1)</f>
      </c>
      <c r="I1255" s="17">
        <f>IF(OR(Log[[#This Row],[Verb]]="commit",Log[[#This Row],[Verb]]="carry",Log[[#This Row],[Verb]]="redo"),IF(Log[[#This Row],[Arg]]="",Log[[#This Row],[Sprint]],N(Log[[#This Row],[Arg]])),"")</f>
      </c>
      <c r="J1255" s="17">
        <f>IF(Log[[#This Row],[Verb]]="block",1,IF(OR(Log[[#This Row],[Verb]]="unblock",Log[[#This Row],[Verb]]="done",Log[[#This Row],[Verb]]="drop",Log[[#This Row],[Verb]]="punt",Log[[#This Row],[Verb]]="pass"),0,""))</f>
      </c>
      <c r="K1255" s="17">
        <f>IF(Log[[#This Row],[ID]]="",0,IFERROR(INDEX(Items[Pts],MATCH(Log[[#This Row],[ID]],Items[ID],0))*1,0))</f>
      </c>
      <c r="L1255" s="17">
        <f>IF(Log[[#This Row],[ID]]="","",IFERROR(INDEX(Items[Cur team],MATCH(Log[[#This Row],[ID]],Items[ID],0))&amp;"",""))</f>
      </c>
      <c r="M1255" s="17">
        <f>IF(OR(Log[[#This Row],[Verb]]="done",Log[[#This Row],[Verb]]="punt",Log[[#This Row],[Verb]]="drop",Log[[#This Row],[Verb]]="pass"),Log[[#This Row],[Pts]],0)</f>
      </c>
    </row>
    <row r="1256">
      <c r="A1256" s="11">
        <v>46203</v>
      </c>
      <c r="B1256" t="s">
        <v>712</v>
      </c>
      <c r="C1256" t="s">
        <v>34</v>
      </c>
      <c r="D1256">
        <v>47</v>
      </c>
      <c r="F1256" s="17">
        <f>IF(Log[[#This Row],[ID]]="","",IF(ISNA(MATCH(Log[[#This Row],[ID]],Items[ID],0)),"unknown ID",IF(ISNA(MATCH(Log[[#This Row],[Verb]],VerbList,0)),"unknown verb",IF(Log[[#This Row],[Date]]="","no date",""))))</f>
      </c>
      <c r="G1256" s="17">
        <f>IF(Log[[#This Row],[ID]]="","",IFERROR(VLOOKUP(Log[[#This Row],[Verb]],Verbs,3,FALSE)&amp;"",""))</f>
      </c>
      <c r="H1256" s="17">
        <f>IF(Log[[#This Row],[Date]]="","",INT((Log[[#This Row],[Date]]-Sprint1)/SprintDays)+1)</f>
      </c>
      <c r="I1256" s="17">
        <f>IF(OR(Log[[#This Row],[Verb]]="commit",Log[[#This Row],[Verb]]="carry",Log[[#This Row],[Verb]]="redo"),IF(Log[[#This Row],[Arg]]="",Log[[#This Row],[Sprint]],N(Log[[#This Row],[Arg]])),"")</f>
      </c>
      <c r="J1256" s="17">
        <f>IF(Log[[#This Row],[Verb]]="block",1,IF(OR(Log[[#This Row],[Verb]]="unblock",Log[[#This Row],[Verb]]="done",Log[[#This Row],[Verb]]="drop",Log[[#This Row],[Verb]]="punt",Log[[#This Row],[Verb]]="pass"),0,""))</f>
      </c>
      <c r="K1256" s="17">
        <f>IF(Log[[#This Row],[ID]]="",0,IFERROR(INDEX(Items[Pts],MATCH(Log[[#This Row],[ID]],Items[ID],0))*1,0))</f>
      </c>
      <c r="L1256" s="17">
        <f>IF(Log[[#This Row],[ID]]="","",IFERROR(INDEX(Items[Cur team],MATCH(Log[[#This Row],[ID]],Items[ID],0))&amp;"",""))</f>
      </c>
      <c r="M1256" s="17">
        <f>IF(OR(Log[[#This Row],[Verb]]="done",Log[[#This Row],[Verb]]="punt",Log[[#This Row],[Verb]]="drop",Log[[#This Row],[Verb]]="pass"),Log[[#This Row],[Pts]],0)</f>
      </c>
    </row>
    <row r="1257">
      <c r="A1257" s="11">
        <v>46203</v>
      </c>
      <c r="B1257" t="s">
        <v>713</v>
      </c>
      <c r="C1257" t="s">
        <v>34</v>
      </c>
      <c r="D1257">
        <v>47</v>
      </c>
      <c r="F1257" s="17">
        <f>IF(Log[[#This Row],[ID]]="","",IF(ISNA(MATCH(Log[[#This Row],[ID]],Items[ID],0)),"unknown ID",IF(ISNA(MATCH(Log[[#This Row],[Verb]],VerbList,0)),"unknown verb",IF(Log[[#This Row],[Date]]="","no date",""))))</f>
      </c>
      <c r="G1257" s="17">
        <f>IF(Log[[#This Row],[ID]]="","",IFERROR(VLOOKUP(Log[[#This Row],[Verb]],Verbs,3,FALSE)&amp;"",""))</f>
      </c>
      <c r="H1257" s="17">
        <f>IF(Log[[#This Row],[Date]]="","",INT((Log[[#This Row],[Date]]-Sprint1)/SprintDays)+1)</f>
      </c>
      <c r="I1257" s="17">
        <f>IF(OR(Log[[#This Row],[Verb]]="commit",Log[[#This Row],[Verb]]="carry",Log[[#This Row],[Verb]]="redo"),IF(Log[[#This Row],[Arg]]="",Log[[#This Row],[Sprint]],N(Log[[#This Row],[Arg]])),"")</f>
      </c>
      <c r="J1257" s="17">
        <f>IF(Log[[#This Row],[Verb]]="block",1,IF(OR(Log[[#This Row],[Verb]]="unblock",Log[[#This Row],[Verb]]="done",Log[[#This Row],[Verb]]="drop",Log[[#This Row],[Verb]]="punt",Log[[#This Row],[Verb]]="pass"),0,""))</f>
      </c>
      <c r="K1257" s="17">
        <f>IF(Log[[#This Row],[ID]]="",0,IFERROR(INDEX(Items[Pts],MATCH(Log[[#This Row],[ID]],Items[ID],0))*1,0))</f>
      </c>
      <c r="L1257" s="17">
        <f>IF(Log[[#This Row],[ID]]="","",IFERROR(INDEX(Items[Cur team],MATCH(Log[[#This Row],[ID]],Items[ID],0))&amp;"",""))</f>
      </c>
      <c r="M1257" s="17">
        <f>IF(OR(Log[[#This Row],[Verb]]="done",Log[[#This Row],[Verb]]="punt",Log[[#This Row],[Verb]]="drop",Log[[#This Row],[Verb]]="pass"),Log[[#This Row],[Pts]],0)</f>
      </c>
    </row>
    <row r="1258">
      <c r="A1258" s="11">
        <v>46203</v>
      </c>
      <c r="B1258" t="s">
        <v>714</v>
      </c>
      <c r="C1258" t="s">
        <v>34</v>
      </c>
      <c r="D1258">
        <v>47</v>
      </c>
      <c r="F1258" s="17">
        <f>IF(Log[[#This Row],[ID]]="","",IF(ISNA(MATCH(Log[[#This Row],[ID]],Items[ID],0)),"unknown ID",IF(ISNA(MATCH(Log[[#This Row],[Verb]],VerbList,0)),"unknown verb",IF(Log[[#This Row],[Date]]="","no date",""))))</f>
      </c>
      <c r="G1258" s="17">
        <f>IF(Log[[#This Row],[ID]]="","",IFERROR(VLOOKUP(Log[[#This Row],[Verb]],Verbs,3,FALSE)&amp;"",""))</f>
      </c>
      <c r="H1258" s="17">
        <f>IF(Log[[#This Row],[Date]]="","",INT((Log[[#This Row],[Date]]-Sprint1)/SprintDays)+1)</f>
      </c>
      <c r="I1258" s="17">
        <f>IF(OR(Log[[#This Row],[Verb]]="commit",Log[[#This Row],[Verb]]="carry",Log[[#This Row],[Verb]]="redo"),IF(Log[[#This Row],[Arg]]="",Log[[#This Row],[Sprint]],N(Log[[#This Row],[Arg]])),"")</f>
      </c>
      <c r="J1258" s="17">
        <f>IF(Log[[#This Row],[Verb]]="block",1,IF(OR(Log[[#This Row],[Verb]]="unblock",Log[[#This Row],[Verb]]="done",Log[[#This Row],[Verb]]="drop",Log[[#This Row],[Verb]]="punt",Log[[#This Row],[Verb]]="pass"),0,""))</f>
      </c>
      <c r="K1258" s="17">
        <f>IF(Log[[#This Row],[ID]]="",0,IFERROR(INDEX(Items[Pts],MATCH(Log[[#This Row],[ID]],Items[ID],0))*1,0))</f>
      </c>
      <c r="L1258" s="17">
        <f>IF(Log[[#This Row],[ID]]="","",IFERROR(INDEX(Items[Cur team],MATCH(Log[[#This Row],[ID]],Items[ID],0))&amp;"",""))</f>
      </c>
      <c r="M1258" s="17">
        <f>IF(OR(Log[[#This Row],[Verb]]="done",Log[[#This Row],[Verb]]="punt",Log[[#This Row],[Verb]]="drop",Log[[#This Row],[Verb]]="pass"),Log[[#This Row],[Pts]],0)</f>
      </c>
    </row>
    <row r="1259">
      <c r="A1259" s="11">
        <v>46203</v>
      </c>
      <c r="B1259" t="s">
        <v>715</v>
      </c>
      <c r="C1259" t="s">
        <v>34</v>
      </c>
      <c r="D1259">
        <v>47</v>
      </c>
      <c r="F1259" s="17">
        <f>IF(Log[[#This Row],[ID]]="","",IF(ISNA(MATCH(Log[[#This Row],[ID]],Items[ID],0)),"unknown ID",IF(ISNA(MATCH(Log[[#This Row],[Verb]],VerbList,0)),"unknown verb",IF(Log[[#This Row],[Date]]="","no date",""))))</f>
      </c>
      <c r="G1259" s="17">
        <f>IF(Log[[#This Row],[ID]]="","",IFERROR(VLOOKUP(Log[[#This Row],[Verb]],Verbs,3,FALSE)&amp;"",""))</f>
      </c>
      <c r="H1259" s="17">
        <f>IF(Log[[#This Row],[Date]]="","",INT((Log[[#This Row],[Date]]-Sprint1)/SprintDays)+1)</f>
      </c>
      <c r="I1259" s="17">
        <f>IF(OR(Log[[#This Row],[Verb]]="commit",Log[[#This Row],[Verb]]="carry",Log[[#This Row],[Verb]]="redo"),IF(Log[[#This Row],[Arg]]="",Log[[#This Row],[Sprint]],N(Log[[#This Row],[Arg]])),"")</f>
      </c>
      <c r="J1259" s="17">
        <f>IF(Log[[#This Row],[Verb]]="block",1,IF(OR(Log[[#This Row],[Verb]]="unblock",Log[[#This Row],[Verb]]="done",Log[[#This Row],[Verb]]="drop",Log[[#This Row],[Verb]]="punt",Log[[#This Row],[Verb]]="pass"),0,""))</f>
      </c>
      <c r="K1259" s="17">
        <f>IF(Log[[#This Row],[ID]]="",0,IFERROR(INDEX(Items[Pts],MATCH(Log[[#This Row],[ID]],Items[ID],0))*1,0))</f>
      </c>
      <c r="L1259" s="17">
        <f>IF(Log[[#This Row],[ID]]="","",IFERROR(INDEX(Items[Cur team],MATCH(Log[[#This Row],[ID]],Items[ID],0))&amp;"",""))</f>
      </c>
      <c r="M1259" s="17">
        <f>IF(OR(Log[[#This Row],[Verb]]="done",Log[[#This Row],[Verb]]="punt",Log[[#This Row],[Verb]]="drop",Log[[#This Row],[Verb]]="pass"),Log[[#This Row],[Pts]],0)</f>
      </c>
    </row>
    <row r="1260">
      <c r="A1260" s="11">
        <v>46203</v>
      </c>
      <c r="B1260" t="s">
        <v>716</v>
      </c>
      <c r="C1260" t="s">
        <v>34</v>
      </c>
      <c r="D1260">
        <v>47</v>
      </c>
      <c r="F1260" s="17">
        <f>IF(Log[[#This Row],[ID]]="","",IF(ISNA(MATCH(Log[[#This Row],[ID]],Items[ID],0)),"unknown ID",IF(ISNA(MATCH(Log[[#This Row],[Verb]],VerbList,0)),"unknown verb",IF(Log[[#This Row],[Date]]="","no date",""))))</f>
      </c>
      <c r="G1260" s="17">
        <f>IF(Log[[#This Row],[ID]]="","",IFERROR(VLOOKUP(Log[[#This Row],[Verb]],Verbs,3,FALSE)&amp;"",""))</f>
      </c>
      <c r="H1260" s="17">
        <f>IF(Log[[#This Row],[Date]]="","",INT((Log[[#This Row],[Date]]-Sprint1)/SprintDays)+1)</f>
      </c>
      <c r="I1260" s="17">
        <f>IF(OR(Log[[#This Row],[Verb]]="commit",Log[[#This Row],[Verb]]="carry",Log[[#This Row],[Verb]]="redo"),IF(Log[[#This Row],[Arg]]="",Log[[#This Row],[Sprint]],N(Log[[#This Row],[Arg]])),"")</f>
      </c>
      <c r="J1260" s="17">
        <f>IF(Log[[#This Row],[Verb]]="block",1,IF(OR(Log[[#This Row],[Verb]]="unblock",Log[[#This Row],[Verb]]="done",Log[[#This Row],[Verb]]="drop",Log[[#This Row],[Verb]]="punt",Log[[#This Row],[Verb]]="pass"),0,""))</f>
      </c>
      <c r="K1260" s="17">
        <f>IF(Log[[#This Row],[ID]]="",0,IFERROR(INDEX(Items[Pts],MATCH(Log[[#This Row],[ID]],Items[ID],0))*1,0))</f>
      </c>
      <c r="L1260" s="17">
        <f>IF(Log[[#This Row],[ID]]="","",IFERROR(INDEX(Items[Cur team],MATCH(Log[[#This Row],[ID]],Items[ID],0))&amp;"",""))</f>
      </c>
      <c r="M1260" s="17">
        <f>IF(OR(Log[[#This Row],[Verb]]="done",Log[[#This Row],[Verb]]="punt",Log[[#This Row],[Verb]]="drop",Log[[#This Row],[Verb]]="pass"),Log[[#This Row],[Pts]],0)</f>
      </c>
    </row>
    <row r="1261">
      <c r="A1261" s="11">
        <v>46203</v>
      </c>
      <c r="B1261" t="s">
        <v>717</v>
      </c>
      <c r="C1261" t="s">
        <v>34</v>
      </c>
      <c r="D1261">
        <v>47</v>
      </c>
      <c r="F1261" s="17">
        <f>IF(Log[[#This Row],[ID]]="","",IF(ISNA(MATCH(Log[[#This Row],[ID]],Items[ID],0)),"unknown ID",IF(ISNA(MATCH(Log[[#This Row],[Verb]],VerbList,0)),"unknown verb",IF(Log[[#This Row],[Date]]="","no date",""))))</f>
      </c>
      <c r="G1261" s="17">
        <f>IF(Log[[#This Row],[ID]]="","",IFERROR(VLOOKUP(Log[[#This Row],[Verb]],Verbs,3,FALSE)&amp;"",""))</f>
      </c>
      <c r="H1261" s="17">
        <f>IF(Log[[#This Row],[Date]]="","",INT((Log[[#This Row],[Date]]-Sprint1)/SprintDays)+1)</f>
      </c>
      <c r="I1261" s="17">
        <f>IF(OR(Log[[#This Row],[Verb]]="commit",Log[[#This Row],[Verb]]="carry",Log[[#This Row],[Verb]]="redo"),IF(Log[[#This Row],[Arg]]="",Log[[#This Row],[Sprint]],N(Log[[#This Row],[Arg]])),"")</f>
      </c>
      <c r="J1261" s="17">
        <f>IF(Log[[#This Row],[Verb]]="block",1,IF(OR(Log[[#This Row],[Verb]]="unblock",Log[[#This Row],[Verb]]="done",Log[[#This Row],[Verb]]="drop",Log[[#This Row],[Verb]]="punt",Log[[#This Row],[Verb]]="pass"),0,""))</f>
      </c>
      <c r="K1261" s="17">
        <f>IF(Log[[#This Row],[ID]]="",0,IFERROR(INDEX(Items[Pts],MATCH(Log[[#This Row],[ID]],Items[ID],0))*1,0))</f>
      </c>
      <c r="L1261" s="17">
        <f>IF(Log[[#This Row],[ID]]="","",IFERROR(INDEX(Items[Cur team],MATCH(Log[[#This Row],[ID]],Items[ID],0))&amp;"",""))</f>
      </c>
      <c r="M1261" s="17">
        <f>IF(OR(Log[[#This Row],[Verb]]="done",Log[[#This Row],[Verb]]="punt",Log[[#This Row],[Verb]]="drop",Log[[#This Row],[Verb]]="pass"),Log[[#This Row],[Pts]],0)</f>
      </c>
    </row>
    <row r="1262">
      <c r="A1262" s="11">
        <v>46203</v>
      </c>
      <c r="B1262" t="s">
        <v>718</v>
      </c>
      <c r="C1262" t="s">
        <v>34</v>
      </c>
      <c r="D1262">
        <v>47</v>
      </c>
      <c r="F1262" s="17">
        <f>IF(Log[[#This Row],[ID]]="","",IF(ISNA(MATCH(Log[[#This Row],[ID]],Items[ID],0)),"unknown ID",IF(ISNA(MATCH(Log[[#This Row],[Verb]],VerbList,0)),"unknown verb",IF(Log[[#This Row],[Date]]="","no date",""))))</f>
      </c>
      <c r="G1262" s="17">
        <f>IF(Log[[#This Row],[ID]]="","",IFERROR(VLOOKUP(Log[[#This Row],[Verb]],Verbs,3,FALSE)&amp;"",""))</f>
      </c>
      <c r="H1262" s="17">
        <f>IF(Log[[#This Row],[Date]]="","",INT((Log[[#This Row],[Date]]-Sprint1)/SprintDays)+1)</f>
      </c>
      <c r="I1262" s="17">
        <f>IF(OR(Log[[#This Row],[Verb]]="commit",Log[[#This Row],[Verb]]="carry",Log[[#This Row],[Verb]]="redo"),IF(Log[[#This Row],[Arg]]="",Log[[#This Row],[Sprint]],N(Log[[#This Row],[Arg]])),"")</f>
      </c>
      <c r="J1262" s="17">
        <f>IF(Log[[#This Row],[Verb]]="block",1,IF(OR(Log[[#This Row],[Verb]]="unblock",Log[[#This Row],[Verb]]="done",Log[[#This Row],[Verb]]="drop",Log[[#This Row],[Verb]]="punt",Log[[#This Row],[Verb]]="pass"),0,""))</f>
      </c>
      <c r="K1262" s="17">
        <f>IF(Log[[#This Row],[ID]]="",0,IFERROR(INDEX(Items[Pts],MATCH(Log[[#This Row],[ID]],Items[ID],0))*1,0))</f>
      </c>
      <c r="L1262" s="17">
        <f>IF(Log[[#This Row],[ID]]="","",IFERROR(INDEX(Items[Cur team],MATCH(Log[[#This Row],[ID]],Items[ID],0))&amp;"",""))</f>
      </c>
      <c r="M1262" s="17">
        <f>IF(OR(Log[[#This Row],[Verb]]="done",Log[[#This Row],[Verb]]="punt",Log[[#This Row],[Verb]]="drop",Log[[#This Row],[Verb]]="pass"),Log[[#This Row],[Pts]],0)</f>
      </c>
    </row>
    <row r="1263">
      <c r="A1263" s="11">
        <v>46203</v>
      </c>
      <c r="B1263" t="s">
        <v>719</v>
      </c>
      <c r="C1263" t="s">
        <v>34</v>
      </c>
      <c r="D1263">
        <v>47</v>
      </c>
      <c r="F1263" s="17">
        <f>IF(Log[[#This Row],[ID]]="","",IF(ISNA(MATCH(Log[[#This Row],[ID]],Items[ID],0)),"unknown ID",IF(ISNA(MATCH(Log[[#This Row],[Verb]],VerbList,0)),"unknown verb",IF(Log[[#This Row],[Date]]="","no date",""))))</f>
      </c>
      <c r="G1263" s="17">
        <f>IF(Log[[#This Row],[ID]]="","",IFERROR(VLOOKUP(Log[[#This Row],[Verb]],Verbs,3,FALSE)&amp;"",""))</f>
      </c>
      <c r="H1263" s="17">
        <f>IF(Log[[#This Row],[Date]]="","",INT((Log[[#This Row],[Date]]-Sprint1)/SprintDays)+1)</f>
      </c>
      <c r="I1263" s="17">
        <f>IF(OR(Log[[#This Row],[Verb]]="commit",Log[[#This Row],[Verb]]="carry",Log[[#This Row],[Verb]]="redo"),IF(Log[[#This Row],[Arg]]="",Log[[#This Row],[Sprint]],N(Log[[#This Row],[Arg]])),"")</f>
      </c>
      <c r="J1263" s="17">
        <f>IF(Log[[#This Row],[Verb]]="block",1,IF(OR(Log[[#This Row],[Verb]]="unblock",Log[[#This Row],[Verb]]="done",Log[[#This Row],[Verb]]="drop",Log[[#This Row],[Verb]]="punt",Log[[#This Row],[Verb]]="pass"),0,""))</f>
      </c>
      <c r="K1263" s="17">
        <f>IF(Log[[#This Row],[ID]]="",0,IFERROR(INDEX(Items[Pts],MATCH(Log[[#This Row],[ID]],Items[ID],0))*1,0))</f>
      </c>
      <c r="L1263" s="17">
        <f>IF(Log[[#This Row],[ID]]="","",IFERROR(INDEX(Items[Cur team],MATCH(Log[[#This Row],[ID]],Items[ID],0))&amp;"",""))</f>
      </c>
      <c r="M1263" s="17">
        <f>IF(OR(Log[[#This Row],[Verb]]="done",Log[[#This Row],[Verb]]="punt",Log[[#This Row],[Verb]]="drop",Log[[#This Row],[Verb]]="pass"),Log[[#This Row],[Pts]],0)</f>
      </c>
    </row>
    <row r="1264">
      <c r="A1264" s="11">
        <v>46203</v>
      </c>
      <c r="B1264" t="s">
        <v>720</v>
      </c>
      <c r="C1264" t="s">
        <v>34</v>
      </c>
      <c r="D1264">
        <v>47</v>
      </c>
      <c r="F1264" s="17">
        <f>IF(Log[[#This Row],[ID]]="","",IF(ISNA(MATCH(Log[[#This Row],[ID]],Items[ID],0)),"unknown ID",IF(ISNA(MATCH(Log[[#This Row],[Verb]],VerbList,0)),"unknown verb",IF(Log[[#This Row],[Date]]="","no date",""))))</f>
      </c>
      <c r="G1264" s="17">
        <f>IF(Log[[#This Row],[ID]]="","",IFERROR(VLOOKUP(Log[[#This Row],[Verb]],Verbs,3,FALSE)&amp;"",""))</f>
      </c>
      <c r="H1264" s="17">
        <f>IF(Log[[#This Row],[Date]]="","",INT((Log[[#This Row],[Date]]-Sprint1)/SprintDays)+1)</f>
      </c>
      <c r="I1264" s="17">
        <f>IF(OR(Log[[#This Row],[Verb]]="commit",Log[[#This Row],[Verb]]="carry",Log[[#This Row],[Verb]]="redo"),IF(Log[[#This Row],[Arg]]="",Log[[#This Row],[Sprint]],N(Log[[#This Row],[Arg]])),"")</f>
      </c>
      <c r="J1264" s="17">
        <f>IF(Log[[#This Row],[Verb]]="block",1,IF(OR(Log[[#This Row],[Verb]]="unblock",Log[[#This Row],[Verb]]="done",Log[[#This Row],[Verb]]="drop",Log[[#This Row],[Verb]]="punt",Log[[#This Row],[Verb]]="pass"),0,""))</f>
      </c>
      <c r="K1264" s="17">
        <f>IF(Log[[#This Row],[ID]]="",0,IFERROR(INDEX(Items[Pts],MATCH(Log[[#This Row],[ID]],Items[ID],0))*1,0))</f>
      </c>
      <c r="L1264" s="17">
        <f>IF(Log[[#This Row],[ID]]="","",IFERROR(INDEX(Items[Cur team],MATCH(Log[[#This Row],[ID]],Items[ID],0))&amp;"",""))</f>
      </c>
      <c r="M1264" s="17">
        <f>IF(OR(Log[[#This Row],[Verb]]="done",Log[[#This Row],[Verb]]="punt",Log[[#This Row],[Verb]]="drop",Log[[#This Row],[Verb]]="pass"),Log[[#This Row],[Pts]],0)</f>
      </c>
    </row>
    <row r="1265">
      <c r="A1265" s="11">
        <v>46203</v>
      </c>
      <c r="B1265" t="s">
        <v>721</v>
      </c>
      <c r="C1265" t="s">
        <v>34</v>
      </c>
      <c r="D1265">
        <v>47</v>
      </c>
      <c r="F1265" s="17">
        <f>IF(Log[[#This Row],[ID]]="","",IF(ISNA(MATCH(Log[[#This Row],[ID]],Items[ID],0)),"unknown ID",IF(ISNA(MATCH(Log[[#This Row],[Verb]],VerbList,0)),"unknown verb",IF(Log[[#This Row],[Date]]="","no date",""))))</f>
      </c>
      <c r="G1265" s="17">
        <f>IF(Log[[#This Row],[ID]]="","",IFERROR(VLOOKUP(Log[[#This Row],[Verb]],Verbs,3,FALSE)&amp;"",""))</f>
      </c>
      <c r="H1265" s="17">
        <f>IF(Log[[#This Row],[Date]]="","",INT((Log[[#This Row],[Date]]-Sprint1)/SprintDays)+1)</f>
      </c>
      <c r="I1265" s="17">
        <f>IF(OR(Log[[#This Row],[Verb]]="commit",Log[[#This Row],[Verb]]="carry",Log[[#This Row],[Verb]]="redo"),IF(Log[[#This Row],[Arg]]="",Log[[#This Row],[Sprint]],N(Log[[#This Row],[Arg]])),"")</f>
      </c>
      <c r="J1265" s="17">
        <f>IF(Log[[#This Row],[Verb]]="block",1,IF(OR(Log[[#This Row],[Verb]]="unblock",Log[[#This Row],[Verb]]="done",Log[[#This Row],[Verb]]="drop",Log[[#This Row],[Verb]]="punt",Log[[#This Row],[Verb]]="pass"),0,""))</f>
      </c>
      <c r="K1265" s="17">
        <f>IF(Log[[#This Row],[ID]]="",0,IFERROR(INDEX(Items[Pts],MATCH(Log[[#This Row],[ID]],Items[ID],0))*1,0))</f>
      </c>
      <c r="L1265" s="17">
        <f>IF(Log[[#This Row],[ID]]="","",IFERROR(INDEX(Items[Cur team],MATCH(Log[[#This Row],[ID]],Items[ID],0))&amp;"",""))</f>
      </c>
      <c r="M1265" s="17">
        <f>IF(OR(Log[[#This Row],[Verb]]="done",Log[[#This Row],[Verb]]="punt",Log[[#This Row],[Verb]]="drop",Log[[#This Row],[Verb]]="pass"),Log[[#This Row],[Pts]],0)</f>
      </c>
    </row>
    <row r="1266">
      <c r="A1266" s="11">
        <v>46203</v>
      </c>
      <c r="B1266" t="s">
        <v>722</v>
      </c>
      <c r="C1266" t="s">
        <v>34</v>
      </c>
      <c r="D1266">
        <v>47</v>
      </c>
      <c r="F1266" s="17">
        <f>IF(Log[[#This Row],[ID]]="","",IF(ISNA(MATCH(Log[[#This Row],[ID]],Items[ID],0)),"unknown ID",IF(ISNA(MATCH(Log[[#This Row],[Verb]],VerbList,0)),"unknown verb",IF(Log[[#This Row],[Date]]="","no date",""))))</f>
      </c>
      <c r="G1266" s="17">
        <f>IF(Log[[#This Row],[ID]]="","",IFERROR(VLOOKUP(Log[[#This Row],[Verb]],Verbs,3,FALSE)&amp;"",""))</f>
      </c>
      <c r="H1266" s="17">
        <f>IF(Log[[#This Row],[Date]]="","",INT((Log[[#This Row],[Date]]-Sprint1)/SprintDays)+1)</f>
      </c>
      <c r="I1266" s="17">
        <f>IF(OR(Log[[#This Row],[Verb]]="commit",Log[[#This Row],[Verb]]="carry",Log[[#This Row],[Verb]]="redo"),IF(Log[[#This Row],[Arg]]="",Log[[#This Row],[Sprint]],N(Log[[#This Row],[Arg]])),"")</f>
      </c>
      <c r="J1266" s="17">
        <f>IF(Log[[#This Row],[Verb]]="block",1,IF(OR(Log[[#This Row],[Verb]]="unblock",Log[[#This Row],[Verb]]="done",Log[[#This Row],[Verb]]="drop",Log[[#This Row],[Verb]]="punt",Log[[#This Row],[Verb]]="pass"),0,""))</f>
      </c>
      <c r="K1266" s="17">
        <f>IF(Log[[#This Row],[ID]]="",0,IFERROR(INDEX(Items[Pts],MATCH(Log[[#This Row],[ID]],Items[ID],0))*1,0))</f>
      </c>
      <c r="L1266" s="17">
        <f>IF(Log[[#This Row],[ID]]="","",IFERROR(INDEX(Items[Cur team],MATCH(Log[[#This Row],[ID]],Items[ID],0))&amp;"",""))</f>
      </c>
      <c r="M1266" s="17">
        <f>IF(OR(Log[[#This Row],[Verb]]="done",Log[[#This Row],[Verb]]="punt",Log[[#This Row],[Verb]]="drop",Log[[#This Row],[Verb]]="pass"),Log[[#This Row],[Pts]],0)</f>
      </c>
    </row>
    <row r="1267">
      <c r="A1267" s="11">
        <v>46203</v>
      </c>
      <c r="B1267" t="s">
        <v>723</v>
      </c>
      <c r="C1267" t="s">
        <v>34</v>
      </c>
      <c r="D1267">
        <v>47</v>
      </c>
      <c r="F1267" s="17">
        <f>IF(Log[[#This Row],[ID]]="","",IF(ISNA(MATCH(Log[[#This Row],[ID]],Items[ID],0)),"unknown ID",IF(ISNA(MATCH(Log[[#This Row],[Verb]],VerbList,0)),"unknown verb",IF(Log[[#This Row],[Date]]="","no date",""))))</f>
      </c>
      <c r="G1267" s="17">
        <f>IF(Log[[#This Row],[ID]]="","",IFERROR(VLOOKUP(Log[[#This Row],[Verb]],Verbs,3,FALSE)&amp;"",""))</f>
      </c>
      <c r="H1267" s="17">
        <f>IF(Log[[#This Row],[Date]]="","",INT((Log[[#This Row],[Date]]-Sprint1)/SprintDays)+1)</f>
      </c>
      <c r="I1267" s="17">
        <f>IF(OR(Log[[#This Row],[Verb]]="commit",Log[[#This Row],[Verb]]="carry",Log[[#This Row],[Verb]]="redo"),IF(Log[[#This Row],[Arg]]="",Log[[#This Row],[Sprint]],N(Log[[#This Row],[Arg]])),"")</f>
      </c>
      <c r="J1267" s="17">
        <f>IF(Log[[#This Row],[Verb]]="block",1,IF(OR(Log[[#This Row],[Verb]]="unblock",Log[[#This Row],[Verb]]="done",Log[[#This Row],[Verb]]="drop",Log[[#This Row],[Verb]]="punt",Log[[#This Row],[Verb]]="pass"),0,""))</f>
      </c>
      <c r="K1267" s="17">
        <f>IF(Log[[#This Row],[ID]]="",0,IFERROR(INDEX(Items[Pts],MATCH(Log[[#This Row],[ID]],Items[ID],0))*1,0))</f>
      </c>
      <c r="L1267" s="17">
        <f>IF(Log[[#This Row],[ID]]="","",IFERROR(INDEX(Items[Cur team],MATCH(Log[[#This Row],[ID]],Items[ID],0))&amp;"",""))</f>
      </c>
      <c r="M1267" s="17">
        <f>IF(OR(Log[[#This Row],[Verb]]="done",Log[[#This Row],[Verb]]="punt",Log[[#This Row],[Verb]]="drop",Log[[#This Row],[Verb]]="pass"),Log[[#This Row],[Pts]],0)</f>
      </c>
    </row>
    <row r="1268">
      <c r="A1268" s="11">
        <v>46203</v>
      </c>
      <c r="B1268" t="s">
        <v>724</v>
      </c>
      <c r="C1268" t="s">
        <v>34</v>
      </c>
      <c r="D1268">
        <v>47</v>
      </c>
      <c r="F1268" s="17">
        <f>IF(Log[[#This Row],[ID]]="","",IF(ISNA(MATCH(Log[[#This Row],[ID]],Items[ID],0)),"unknown ID",IF(ISNA(MATCH(Log[[#This Row],[Verb]],VerbList,0)),"unknown verb",IF(Log[[#This Row],[Date]]="","no date",""))))</f>
      </c>
      <c r="G1268" s="17">
        <f>IF(Log[[#This Row],[ID]]="","",IFERROR(VLOOKUP(Log[[#This Row],[Verb]],Verbs,3,FALSE)&amp;"",""))</f>
      </c>
      <c r="H1268" s="17">
        <f>IF(Log[[#This Row],[Date]]="","",INT((Log[[#This Row],[Date]]-Sprint1)/SprintDays)+1)</f>
      </c>
      <c r="I1268" s="17">
        <f>IF(OR(Log[[#This Row],[Verb]]="commit",Log[[#This Row],[Verb]]="carry",Log[[#This Row],[Verb]]="redo"),IF(Log[[#This Row],[Arg]]="",Log[[#This Row],[Sprint]],N(Log[[#This Row],[Arg]])),"")</f>
      </c>
      <c r="J1268" s="17">
        <f>IF(Log[[#This Row],[Verb]]="block",1,IF(OR(Log[[#This Row],[Verb]]="unblock",Log[[#This Row],[Verb]]="done",Log[[#This Row],[Verb]]="drop",Log[[#This Row],[Verb]]="punt",Log[[#This Row],[Verb]]="pass"),0,""))</f>
      </c>
      <c r="K1268" s="17">
        <f>IF(Log[[#This Row],[ID]]="",0,IFERROR(INDEX(Items[Pts],MATCH(Log[[#This Row],[ID]],Items[ID],0))*1,0))</f>
      </c>
      <c r="L1268" s="17">
        <f>IF(Log[[#This Row],[ID]]="","",IFERROR(INDEX(Items[Cur team],MATCH(Log[[#This Row],[ID]],Items[ID],0))&amp;"",""))</f>
      </c>
      <c r="M1268" s="17">
        <f>IF(OR(Log[[#This Row],[Verb]]="done",Log[[#This Row],[Verb]]="punt",Log[[#This Row],[Verb]]="drop",Log[[#This Row],[Verb]]="pass"),Log[[#This Row],[Pts]],0)</f>
      </c>
    </row>
    <row r="1269">
      <c r="A1269" s="11">
        <v>46203</v>
      </c>
      <c r="B1269" t="s">
        <v>725</v>
      </c>
      <c r="C1269" t="s">
        <v>34</v>
      </c>
      <c r="D1269">
        <v>47</v>
      </c>
      <c r="F1269" s="17">
        <f>IF(Log[[#This Row],[ID]]="","",IF(ISNA(MATCH(Log[[#This Row],[ID]],Items[ID],0)),"unknown ID",IF(ISNA(MATCH(Log[[#This Row],[Verb]],VerbList,0)),"unknown verb",IF(Log[[#This Row],[Date]]="","no date",""))))</f>
      </c>
      <c r="G1269" s="17">
        <f>IF(Log[[#This Row],[ID]]="","",IFERROR(VLOOKUP(Log[[#This Row],[Verb]],Verbs,3,FALSE)&amp;"",""))</f>
      </c>
      <c r="H1269" s="17">
        <f>IF(Log[[#This Row],[Date]]="","",INT((Log[[#This Row],[Date]]-Sprint1)/SprintDays)+1)</f>
      </c>
      <c r="I1269" s="17">
        <f>IF(OR(Log[[#This Row],[Verb]]="commit",Log[[#This Row],[Verb]]="carry",Log[[#This Row],[Verb]]="redo"),IF(Log[[#This Row],[Arg]]="",Log[[#This Row],[Sprint]],N(Log[[#This Row],[Arg]])),"")</f>
      </c>
      <c r="J1269" s="17">
        <f>IF(Log[[#This Row],[Verb]]="block",1,IF(OR(Log[[#This Row],[Verb]]="unblock",Log[[#This Row],[Verb]]="done",Log[[#This Row],[Verb]]="drop",Log[[#This Row],[Verb]]="punt",Log[[#This Row],[Verb]]="pass"),0,""))</f>
      </c>
      <c r="K1269" s="17">
        <f>IF(Log[[#This Row],[ID]]="",0,IFERROR(INDEX(Items[Pts],MATCH(Log[[#This Row],[ID]],Items[ID],0))*1,0))</f>
      </c>
      <c r="L1269" s="17">
        <f>IF(Log[[#This Row],[ID]]="","",IFERROR(INDEX(Items[Cur team],MATCH(Log[[#This Row],[ID]],Items[ID],0))&amp;"",""))</f>
      </c>
      <c r="M1269" s="17">
        <f>IF(OR(Log[[#This Row],[Verb]]="done",Log[[#This Row],[Verb]]="punt",Log[[#This Row],[Verb]]="drop",Log[[#This Row],[Verb]]="pass"),Log[[#This Row],[Pts]],0)</f>
      </c>
    </row>
    <row r="1270">
      <c r="A1270" s="11">
        <v>46203</v>
      </c>
      <c r="B1270" t="s">
        <v>726</v>
      </c>
      <c r="C1270" t="s">
        <v>34</v>
      </c>
      <c r="D1270">
        <v>47</v>
      </c>
      <c r="F1270" s="17">
        <f>IF(Log[[#This Row],[ID]]="","",IF(ISNA(MATCH(Log[[#This Row],[ID]],Items[ID],0)),"unknown ID",IF(ISNA(MATCH(Log[[#This Row],[Verb]],VerbList,0)),"unknown verb",IF(Log[[#This Row],[Date]]="","no date",""))))</f>
      </c>
      <c r="G1270" s="17">
        <f>IF(Log[[#This Row],[ID]]="","",IFERROR(VLOOKUP(Log[[#This Row],[Verb]],Verbs,3,FALSE)&amp;"",""))</f>
      </c>
      <c r="H1270" s="17">
        <f>IF(Log[[#This Row],[Date]]="","",INT((Log[[#This Row],[Date]]-Sprint1)/SprintDays)+1)</f>
      </c>
      <c r="I1270" s="17">
        <f>IF(OR(Log[[#This Row],[Verb]]="commit",Log[[#This Row],[Verb]]="carry",Log[[#This Row],[Verb]]="redo"),IF(Log[[#This Row],[Arg]]="",Log[[#This Row],[Sprint]],N(Log[[#This Row],[Arg]])),"")</f>
      </c>
      <c r="J1270" s="17">
        <f>IF(Log[[#This Row],[Verb]]="block",1,IF(OR(Log[[#This Row],[Verb]]="unblock",Log[[#This Row],[Verb]]="done",Log[[#This Row],[Verb]]="drop",Log[[#This Row],[Verb]]="punt",Log[[#This Row],[Verb]]="pass"),0,""))</f>
      </c>
      <c r="K1270" s="17">
        <f>IF(Log[[#This Row],[ID]]="",0,IFERROR(INDEX(Items[Pts],MATCH(Log[[#This Row],[ID]],Items[ID],0))*1,0))</f>
      </c>
      <c r="L1270" s="17">
        <f>IF(Log[[#This Row],[ID]]="","",IFERROR(INDEX(Items[Cur team],MATCH(Log[[#This Row],[ID]],Items[ID],0))&amp;"",""))</f>
      </c>
      <c r="M1270" s="17">
        <f>IF(OR(Log[[#This Row],[Verb]]="done",Log[[#This Row],[Verb]]="punt",Log[[#This Row],[Verb]]="drop",Log[[#This Row],[Verb]]="pass"),Log[[#This Row],[Pts]],0)</f>
      </c>
    </row>
    <row r="1271">
      <c r="A1271" s="11">
        <v>46203</v>
      </c>
      <c r="B1271" t="s">
        <v>727</v>
      </c>
      <c r="C1271" t="s">
        <v>34</v>
      </c>
      <c r="D1271">
        <v>47</v>
      </c>
      <c r="F1271" s="17">
        <f>IF(Log[[#This Row],[ID]]="","",IF(ISNA(MATCH(Log[[#This Row],[ID]],Items[ID],0)),"unknown ID",IF(ISNA(MATCH(Log[[#This Row],[Verb]],VerbList,0)),"unknown verb",IF(Log[[#This Row],[Date]]="","no date",""))))</f>
      </c>
      <c r="G1271" s="17">
        <f>IF(Log[[#This Row],[ID]]="","",IFERROR(VLOOKUP(Log[[#This Row],[Verb]],Verbs,3,FALSE)&amp;"",""))</f>
      </c>
      <c r="H1271" s="17">
        <f>IF(Log[[#This Row],[Date]]="","",INT((Log[[#This Row],[Date]]-Sprint1)/SprintDays)+1)</f>
      </c>
      <c r="I1271" s="17">
        <f>IF(OR(Log[[#This Row],[Verb]]="commit",Log[[#This Row],[Verb]]="carry",Log[[#This Row],[Verb]]="redo"),IF(Log[[#This Row],[Arg]]="",Log[[#This Row],[Sprint]],N(Log[[#This Row],[Arg]])),"")</f>
      </c>
      <c r="J1271" s="17">
        <f>IF(Log[[#This Row],[Verb]]="block",1,IF(OR(Log[[#This Row],[Verb]]="unblock",Log[[#This Row],[Verb]]="done",Log[[#This Row],[Verb]]="drop",Log[[#This Row],[Verb]]="punt",Log[[#This Row],[Verb]]="pass"),0,""))</f>
      </c>
      <c r="K1271" s="17">
        <f>IF(Log[[#This Row],[ID]]="",0,IFERROR(INDEX(Items[Pts],MATCH(Log[[#This Row],[ID]],Items[ID],0))*1,0))</f>
      </c>
      <c r="L1271" s="17">
        <f>IF(Log[[#This Row],[ID]]="","",IFERROR(INDEX(Items[Cur team],MATCH(Log[[#This Row],[ID]],Items[ID],0))&amp;"",""))</f>
      </c>
      <c r="M1271" s="17">
        <f>IF(OR(Log[[#This Row],[Verb]]="done",Log[[#This Row],[Verb]]="punt",Log[[#This Row],[Verb]]="drop",Log[[#This Row],[Verb]]="pass"),Log[[#This Row],[Pts]],0)</f>
      </c>
    </row>
    <row r="1272">
      <c r="A1272" s="11">
        <v>46203</v>
      </c>
      <c r="B1272" t="s">
        <v>728</v>
      </c>
      <c r="C1272" t="s">
        <v>34</v>
      </c>
      <c r="D1272">
        <v>47</v>
      </c>
      <c r="F1272" s="17">
        <f>IF(Log[[#This Row],[ID]]="","",IF(ISNA(MATCH(Log[[#This Row],[ID]],Items[ID],0)),"unknown ID",IF(ISNA(MATCH(Log[[#This Row],[Verb]],VerbList,0)),"unknown verb",IF(Log[[#This Row],[Date]]="","no date",""))))</f>
      </c>
      <c r="G1272" s="17">
        <f>IF(Log[[#This Row],[ID]]="","",IFERROR(VLOOKUP(Log[[#This Row],[Verb]],Verbs,3,FALSE)&amp;"",""))</f>
      </c>
      <c r="H1272" s="17">
        <f>IF(Log[[#This Row],[Date]]="","",INT((Log[[#This Row],[Date]]-Sprint1)/SprintDays)+1)</f>
      </c>
      <c r="I1272" s="17">
        <f>IF(OR(Log[[#This Row],[Verb]]="commit",Log[[#This Row],[Verb]]="carry",Log[[#This Row],[Verb]]="redo"),IF(Log[[#This Row],[Arg]]="",Log[[#This Row],[Sprint]],N(Log[[#This Row],[Arg]])),"")</f>
      </c>
      <c r="J1272" s="17">
        <f>IF(Log[[#This Row],[Verb]]="block",1,IF(OR(Log[[#This Row],[Verb]]="unblock",Log[[#This Row],[Verb]]="done",Log[[#This Row],[Verb]]="drop",Log[[#This Row],[Verb]]="punt",Log[[#This Row],[Verb]]="pass"),0,""))</f>
      </c>
      <c r="K1272" s="17">
        <f>IF(Log[[#This Row],[ID]]="",0,IFERROR(INDEX(Items[Pts],MATCH(Log[[#This Row],[ID]],Items[ID],0))*1,0))</f>
      </c>
      <c r="L1272" s="17">
        <f>IF(Log[[#This Row],[ID]]="","",IFERROR(INDEX(Items[Cur team],MATCH(Log[[#This Row],[ID]],Items[ID],0))&amp;"",""))</f>
      </c>
      <c r="M1272" s="17">
        <f>IF(OR(Log[[#This Row],[Verb]]="done",Log[[#This Row],[Verb]]="punt",Log[[#This Row],[Verb]]="drop",Log[[#This Row],[Verb]]="pass"),Log[[#This Row],[Pts]],0)</f>
      </c>
    </row>
    <row r="1273">
      <c r="A1273" s="11">
        <v>46203</v>
      </c>
      <c r="B1273" t="s">
        <v>729</v>
      </c>
      <c r="C1273" t="s">
        <v>34</v>
      </c>
      <c r="D1273">
        <v>47</v>
      </c>
      <c r="F1273" s="17">
        <f>IF(Log[[#This Row],[ID]]="","",IF(ISNA(MATCH(Log[[#This Row],[ID]],Items[ID],0)),"unknown ID",IF(ISNA(MATCH(Log[[#This Row],[Verb]],VerbList,0)),"unknown verb",IF(Log[[#This Row],[Date]]="","no date",""))))</f>
      </c>
      <c r="G1273" s="17">
        <f>IF(Log[[#This Row],[ID]]="","",IFERROR(VLOOKUP(Log[[#This Row],[Verb]],Verbs,3,FALSE)&amp;"",""))</f>
      </c>
      <c r="H1273" s="17">
        <f>IF(Log[[#This Row],[Date]]="","",INT((Log[[#This Row],[Date]]-Sprint1)/SprintDays)+1)</f>
      </c>
      <c r="I1273" s="17">
        <f>IF(OR(Log[[#This Row],[Verb]]="commit",Log[[#This Row],[Verb]]="carry",Log[[#This Row],[Verb]]="redo"),IF(Log[[#This Row],[Arg]]="",Log[[#This Row],[Sprint]],N(Log[[#This Row],[Arg]])),"")</f>
      </c>
      <c r="J1273" s="17">
        <f>IF(Log[[#This Row],[Verb]]="block",1,IF(OR(Log[[#This Row],[Verb]]="unblock",Log[[#This Row],[Verb]]="done",Log[[#This Row],[Verb]]="drop",Log[[#This Row],[Verb]]="punt",Log[[#This Row],[Verb]]="pass"),0,""))</f>
      </c>
      <c r="K1273" s="17">
        <f>IF(Log[[#This Row],[ID]]="",0,IFERROR(INDEX(Items[Pts],MATCH(Log[[#This Row],[ID]],Items[ID],0))*1,0))</f>
      </c>
      <c r="L1273" s="17">
        <f>IF(Log[[#This Row],[ID]]="","",IFERROR(INDEX(Items[Cur team],MATCH(Log[[#This Row],[ID]],Items[ID],0))&amp;"",""))</f>
      </c>
      <c r="M1273" s="17">
        <f>IF(OR(Log[[#This Row],[Verb]]="done",Log[[#This Row],[Verb]]="punt",Log[[#This Row],[Verb]]="drop",Log[[#This Row],[Verb]]="pass"),Log[[#This Row],[Pts]],0)</f>
      </c>
    </row>
    <row r="1274">
      <c r="A1274" s="11">
        <v>46203</v>
      </c>
      <c r="B1274" t="s">
        <v>730</v>
      </c>
      <c r="C1274" t="s">
        <v>34</v>
      </c>
      <c r="D1274">
        <v>47</v>
      </c>
      <c r="F1274" s="17">
        <f>IF(Log[[#This Row],[ID]]="","",IF(ISNA(MATCH(Log[[#This Row],[ID]],Items[ID],0)),"unknown ID",IF(ISNA(MATCH(Log[[#This Row],[Verb]],VerbList,0)),"unknown verb",IF(Log[[#This Row],[Date]]="","no date",""))))</f>
      </c>
      <c r="G1274" s="17">
        <f>IF(Log[[#This Row],[ID]]="","",IFERROR(VLOOKUP(Log[[#This Row],[Verb]],Verbs,3,FALSE)&amp;"",""))</f>
      </c>
      <c r="H1274" s="17">
        <f>IF(Log[[#This Row],[Date]]="","",INT((Log[[#This Row],[Date]]-Sprint1)/SprintDays)+1)</f>
      </c>
      <c r="I1274" s="17">
        <f>IF(OR(Log[[#This Row],[Verb]]="commit",Log[[#This Row],[Verb]]="carry",Log[[#This Row],[Verb]]="redo"),IF(Log[[#This Row],[Arg]]="",Log[[#This Row],[Sprint]],N(Log[[#This Row],[Arg]])),"")</f>
      </c>
      <c r="J1274" s="17">
        <f>IF(Log[[#This Row],[Verb]]="block",1,IF(OR(Log[[#This Row],[Verb]]="unblock",Log[[#This Row],[Verb]]="done",Log[[#This Row],[Verb]]="drop",Log[[#This Row],[Verb]]="punt",Log[[#This Row],[Verb]]="pass"),0,""))</f>
      </c>
      <c r="K1274" s="17">
        <f>IF(Log[[#This Row],[ID]]="",0,IFERROR(INDEX(Items[Pts],MATCH(Log[[#This Row],[ID]],Items[ID],0))*1,0))</f>
      </c>
      <c r="L1274" s="17">
        <f>IF(Log[[#This Row],[ID]]="","",IFERROR(INDEX(Items[Cur team],MATCH(Log[[#This Row],[ID]],Items[ID],0))&amp;"",""))</f>
      </c>
      <c r="M1274" s="17">
        <f>IF(OR(Log[[#This Row],[Verb]]="done",Log[[#This Row],[Verb]]="punt",Log[[#This Row],[Verb]]="drop",Log[[#This Row],[Verb]]="pass"),Log[[#This Row],[Pts]],0)</f>
      </c>
    </row>
    <row r="1275">
      <c r="A1275" s="11">
        <v>46203</v>
      </c>
      <c r="B1275" t="s">
        <v>731</v>
      </c>
      <c r="C1275" t="s">
        <v>34</v>
      </c>
      <c r="D1275">
        <v>47</v>
      </c>
      <c r="F1275" s="17">
        <f>IF(Log[[#This Row],[ID]]="","",IF(ISNA(MATCH(Log[[#This Row],[ID]],Items[ID],0)),"unknown ID",IF(ISNA(MATCH(Log[[#This Row],[Verb]],VerbList,0)),"unknown verb",IF(Log[[#This Row],[Date]]="","no date",""))))</f>
      </c>
      <c r="G1275" s="17">
        <f>IF(Log[[#This Row],[ID]]="","",IFERROR(VLOOKUP(Log[[#This Row],[Verb]],Verbs,3,FALSE)&amp;"",""))</f>
      </c>
      <c r="H1275" s="17">
        <f>IF(Log[[#This Row],[Date]]="","",INT((Log[[#This Row],[Date]]-Sprint1)/SprintDays)+1)</f>
      </c>
      <c r="I1275" s="17">
        <f>IF(OR(Log[[#This Row],[Verb]]="commit",Log[[#This Row],[Verb]]="carry",Log[[#This Row],[Verb]]="redo"),IF(Log[[#This Row],[Arg]]="",Log[[#This Row],[Sprint]],N(Log[[#This Row],[Arg]])),"")</f>
      </c>
      <c r="J1275" s="17">
        <f>IF(Log[[#This Row],[Verb]]="block",1,IF(OR(Log[[#This Row],[Verb]]="unblock",Log[[#This Row],[Verb]]="done",Log[[#This Row],[Verb]]="drop",Log[[#This Row],[Verb]]="punt",Log[[#This Row],[Verb]]="pass"),0,""))</f>
      </c>
      <c r="K1275" s="17">
        <f>IF(Log[[#This Row],[ID]]="",0,IFERROR(INDEX(Items[Pts],MATCH(Log[[#This Row],[ID]],Items[ID],0))*1,0))</f>
      </c>
      <c r="L1275" s="17">
        <f>IF(Log[[#This Row],[ID]]="","",IFERROR(INDEX(Items[Cur team],MATCH(Log[[#This Row],[ID]],Items[ID],0))&amp;"",""))</f>
      </c>
      <c r="M1275" s="17">
        <f>IF(OR(Log[[#This Row],[Verb]]="done",Log[[#This Row],[Verb]]="punt",Log[[#This Row],[Verb]]="drop",Log[[#This Row],[Verb]]="pass"),Log[[#This Row],[Pts]],0)</f>
      </c>
    </row>
    <row r="1276">
      <c r="A1276" s="11">
        <v>46203</v>
      </c>
      <c r="B1276" t="s">
        <v>732</v>
      </c>
      <c r="C1276" t="s">
        <v>34</v>
      </c>
      <c r="D1276">
        <v>47</v>
      </c>
      <c r="F1276" s="17">
        <f>IF(Log[[#This Row],[ID]]="","",IF(ISNA(MATCH(Log[[#This Row],[ID]],Items[ID],0)),"unknown ID",IF(ISNA(MATCH(Log[[#This Row],[Verb]],VerbList,0)),"unknown verb",IF(Log[[#This Row],[Date]]="","no date",""))))</f>
      </c>
      <c r="G1276" s="17">
        <f>IF(Log[[#This Row],[ID]]="","",IFERROR(VLOOKUP(Log[[#This Row],[Verb]],Verbs,3,FALSE)&amp;"",""))</f>
      </c>
      <c r="H1276" s="17">
        <f>IF(Log[[#This Row],[Date]]="","",INT((Log[[#This Row],[Date]]-Sprint1)/SprintDays)+1)</f>
      </c>
      <c r="I1276" s="17">
        <f>IF(OR(Log[[#This Row],[Verb]]="commit",Log[[#This Row],[Verb]]="carry",Log[[#This Row],[Verb]]="redo"),IF(Log[[#This Row],[Arg]]="",Log[[#This Row],[Sprint]],N(Log[[#This Row],[Arg]])),"")</f>
      </c>
      <c r="J1276" s="17">
        <f>IF(Log[[#This Row],[Verb]]="block",1,IF(OR(Log[[#This Row],[Verb]]="unblock",Log[[#This Row],[Verb]]="done",Log[[#This Row],[Verb]]="drop",Log[[#This Row],[Verb]]="punt",Log[[#This Row],[Verb]]="pass"),0,""))</f>
      </c>
      <c r="K1276" s="17">
        <f>IF(Log[[#This Row],[ID]]="",0,IFERROR(INDEX(Items[Pts],MATCH(Log[[#This Row],[ID]],Items[ID],0))*1,0))</f>
      </c>
      <c r="L1276" s="17">
        <f>IF(Log[[#This Row],[ID]]="","",IFERROR(INDEX(Items[Cur team],MATCH(Log[[#This Row],[ID]],Items[ID],0))&amp;"",""))</f>
      </c>
      <c r="M1276" s="17">
        <f>IF(OR(Log[[#This Row],[Verb]]="done",Log[[#This Row],[Verb]]="punt",Log[[#This Row],[Verb]]="drop",Log[[#This Row],[Verb]]="pass"),Log[[#This Row],[Pts]],0)</f>
      </c>
    </row>
    <row r="1277">
      <c r="A1277" s="11">
        <v>46203</v>
      </c>
      <c r="B1277" t="s">
        <v>733</v>
      </c>
      <c r="C1277" t="s">
        <v>34</v>
      </c>
      <c r="D1277">
        <v>47</v>
      </c>
      <c r="F1277" s="17">
        <f>IF(Log[[#This Row],[ID]]="","",IF(ISNA(MATCH(Log[[#This Row],[ID]],Items[ID],0)),"unknown ID",IF(ISNA(MATCH(Log[[#This Row],[Verb]],VerbList,0)),"unknown verb",IF(Log[[#This Row],[Date]]="","no date",""))))</f>
      </c>
      <c r="G1277" s="17">
        <f>IF(Log[[#This Row],[ID]]="","",IFERROR(VLOOKUP(Log[[#This Row],[Verb]],Verbs,3,FALSE)&amp;"",""))</f>
      </c>
      <c r="H1277" s="17">
        <f>IF(Log[[#This Row],[Date]]="","",INT((Log[[#This Row],[Date]]-Sprint1)/SprintDays)+1)</f>
      </c>
      <c r="I1277" s="17">
        <f>IF(OR(Log[[#This Row],[Verb]]="commit",Log[[#This Row],[Verb]]="carry",Log[[#This Row],[Verb]]="redo"),IF(Log[[#This Row],[Arg]]="",Log[[#This Row],[Sprint]],N(Log[[#This Row],[Arg]])),"")</f>
      </c>
      <c r="J1277" s="17">
        <f>IF(Log[[#This Row],[Verb]]="block",1,IF(OR(Log[[#This Row],[Verb]]="unblock",Log[[#This Row],[Verb]]="done",Log[[#This Row],[Verb]]="drop",Log[[#This Row],[Verb]]="punt",Log[[#This Row],[Verb]]="pass"),0,""))</f>
      </c>
      <c r="K1277" s="17">
        <f>IF(Log[[#This Row],[ID]]="",0,IFERROR(INDEX(Items[Pts],MATCH(Log[[#This Row],[ID]],Items[ID],0))*1,0))</f>
      </c>
      <c r="L1277" s="17">
        <f>IF(Log[[#This Row],[ID]]="","",IFERROR(INDEX(Items[Cur team],MATCH(Log[[#This Row],[ID]],Items[ID],0))&amp;"",""))</f>
      </c>
      <c r="M1277" s="17">
        <f>IF(OR(Log[[#This Row],[Verb]]="done",Log[[#This Row],[Verb]]="punt",Log[[#This Row],[Verb]]="drop",Log[[#This Row],[Verb]]="pass"),Log[[#This Row],[Pts]],0)</f>
      </c>
    </row>
    <row r="1278">
      <c r="A1278" s="11">
        <v>46203</v>
      </c>
      <c r="B1278" t="s">
        <v>734</v>
      </c>
      <c r="C1278" t="s">
        <v>34</v>
      </c>
      <c r="D1278">
        <v>47</v>
      </c>
      <c r="F1278" s="17">
        <f>IF(Log[[#This Row],[ID]]="","",IF(ISNA(MATCH(Log[[#This Row],[ID]],Items[ID],0)),"unknown ID",IF(ISNA(MATCH(Log[[#This Row],[Verb]],VerbList,0)),"unknown verb",IF(Log[[#This Row],[Date]]="","no date",""))))</f>
      </c>
      <c r="G1278" s="17">
        <f>IF(Log[[#This Row],[ID]]="","",IFERROR(VLOOKUP(Log[[#This Row],[Verb]],Verbs,3,FALSE)&amp;"",""))</f>
      </c>
      <c r="H1278" s="17">
        <f>IF(Log[[#This Row],[Date]]="","",INT((Log[[#This Row],[Date]]-Sprint1)/SprintDays)+1)</f>
      </c>
      <c r="I1278" s="17">
        <f>IF(OR(Log[[#This Row],[Verb]]="commit",Log[[#This Row],[Verb]]="carry",Log[[#This Row],[Verb]]="redo"),IF(Log[[#This Row],[Arg]]="",Log[[#This Row],[Sprint]],N(Log[[#This Row],[Arg]])),"")</f>
      </c>
      <c r="J1278" s="17">
        <f>IF(Log[[#This Row],[Verb]]="block",1,IF(OR(Log[[#This Row],[Verb]]="unblock",Log[[#This Row],[Verb]]="done",Log[[#This Row],[Verb]]="drop",Log[[#This Row],[Verb]]="punt",Log[[#This Row],[Verb]]="pass"),0,""))</f>
      </c>
      <c r="K1278" s="17">
        <f>IF(Log[[#This Row],[ID]]="",0,IFERROR(INDEX(Items[Pts],MATCH(Log[[#This Row],[ID]],Items[ID],0))*1,0))</f>
      </c>
      <c r="L1278" s="17">
        <f>IF(Log[[#This Row],[ID]]="","",IFERROR(INDEX(Items[Cur team],MATCH(Log[[#This Row],[ID]],Items[ID],0))&amp;"",""))</f>
      </c>
      <c r="M1278" s="17">
        <f>IF(OR(Log[[#This Row],[Verb]]="done",Log[[#This Row],[Verb]]="punt",Log[[#This Row],[Verb]]="drop",Log[[#This Row],[Verb]]="pass"),Log[[#This Row],[Pts]],0)</f>
      </c>
    </row>
    <row r="1279">
      <c r="A1279" s="11">
        <v>46203</v>
      </c>
      <c r="B1279" t="s">
        <v>735</v>
      </c>
      <c r="C1279" t="s">
        <v>34</v>
      </c>
      <c r="D1279">
        <v>47</v>
      </c>
      <c r="F1279" s="17">
        <f>IF(Log[[#This Row],[ID]]="","",IF(ISNA(MATCH(Log[[#This Row],[ID]],Items[ID],0)),"unknown ID",IF(ISNA(MATCH(Log[[#This Row],[Verb]],VerbList,0)),"unknown verb",IF(Log[[#This Row],[Date]]="","no date",""))))</f>
      </c>
      <c r="G1279" s="17">
        <f>IF(Log[[#This Row],[ID]]="","",IFERROR(VLOOKUP(Log[[#This Row],[Verb]],Verbs,3,FALSE)&amp;"",""))</f>
      </c>
      <c r="H1279" s="17">
        <f>IF(Log[[#This Row],[Date]]="","",INT((Log[[#This Row],[Date]]-Sprint1)/SprintDays)+1)</f>
      </c>
      <c r="I1279" s="17">
        <f>IF(OR(Log[[#This Row],[Verb]]="commit",Log[[#This Row],[Verb]]="carry",Log[[#This Row],[Verb]]="redo"),IF(Log[[#This Row],[Arg]]="",Log[[#This Row],[Sprint]],N(Log[[#This Row],[Arg]])),"")</f>
      </c>
      <c r="J1279" s="17">
        <f>IF(Log[[#This Row],[Verb]]="block",1,IF(OR(Log[[#This Row],[Verb]]="unblock",Log[[#This Row],[Verb]]="done",Log[[#This Row],[Verb]]="drop",Log[[#This Row],[Verb]]="punt",Log[[#This Row],[Verb]]="pass"),0,""))</f>
      </c>
      <c r="K1279" s="17">
        <f>IF(Log[[#This Row],[ID]]="",0,IFERROR(INDEX(Items[Pts],MATCH(Log[[#This Row],[ID]],Items[ID],0))*1,0))</f>
      </c>
      <c r="L1279" s="17">
        <f>IF(Log[[#This Row],[ID]]="","",IFERROR(INDEX(Items[Cur team],MATCH(Log[[#This Row],[ID]],Items[ID],0))&amp;"",""))</f>
      </c>
      <c r="M1279" s="17">
        <f>IF(OR(Log[[#This Row],[Verb]]="done",Log[[#This Row],[Verb]]="punt",Log[[#This Row],[Verb]]="drop",Log[[#This Row],[Verb]]="pass"),Log[[#This Row],[Pts]],0)</f>
      </c>
    </row>
    <row r="1280">
      <c r="A1280" s="11">
        <v>46203</v>
      </c>
      <c r="B1280" t="s">
        <v>736</v>
      </c>
      <c r="C1280" t="s">
        <v>34</v>
      </c>
      <c r="D1280">
        <v>47</v>
      </c>
      <c r="F1280" s="17">
        <f>IF(Log[[#This Row],[ID]]="","",IF(ISNA(MATCH(Log[[#This Row],[ID]],Items[ID],0)),"unknown ID",IF(ISNA(MATCH(Log[[#This Row],[Verb]],VerbList,0)),"unknown verb",IF(Log[[#This Row],[Date]]="","no date",""))))</f>
      </c>
      <c r="G1280" s="17">
        <f>IF(Log[[#This Row],[ID]]="","",IFERROR(VLOOKUP(Log[[#This Row],[Verb]],Verbs,3,FALSE)&amp;"",""))</f>
      </c>
      <c r="H1280" s="17">
        <f>IF(Log[[#This Row],[Date]]="","",INT((Log[[#This Row],[Date]]-Sprint1)/SprintDays)+1)</f>
      </c>
      <c r="I1280" s="17">
        <f>IF(OR(Log[[#This Row],[Verb]]="commit",Log[[#This Row],[Verb]]="carry",Log[[#This Row],[Verb]]="redo"),IF(Log[[#This Row],[Arg]]="",Log[[#This Row],[Sprint]],N(Log[[#This Row],[Arg]])),"")</f>
      </c>
      <c r="J1280" s="17">
        <f>IF(Log[[#This Row],[Verb]]="block",1,IF(OR(Log[[#This Row],[Verb]]="unblock",Log[[#This Row],[Verb]]="done",Log[[#This Row],[Verb]]="drop",Log[[#This Row],[Verb]]="punt",Log[[#This Row],[Verb]]="pass"),0,""))</f>
      </c>
      <c r="K1280" s="17">
        <f>IF(Log[[#This Row],[ID]]="",0,IFERROR(INDEX(Items[Pts],MATCH(Log[[#This Row],[ID]],Items[ID],0))*1,0))</f>
      </c>
      <c r="L1280" s="17">
        <f>IF(Log[[#This Row],[ID]]="","",IFERROR(INDEX(Items[Cur team],MATCH(Log[[#This Row],[ID]],Items[ID],0))&amp;"",""))</f>
      </c>
      <c r="M1280" s="17">
        <f>IF(OR(Log[[#This Row],[Verb]]="done",Log[[#This Row],[Verb]]="punt",Log[[#This Row],[Verb]]="drop",Log[[#This Row],[Verb]]="pass"),Log[[#This Row],[Pts]],0)</f>
      </c>
    </row>
    <row r="1281">
      <c r="A1281" s="11">
        <v>46203</v>
      </c>
      <c r="B1281" t="s">
        <v>737</v>
      </c>
      <c r="C1281" t="s">
        <v>34</v>
      </c>
      <c r="D1281">
        <v>47</v>
      </c>
      <c r="F1281" s="17">
        <f>IF(Log[[#This Row],[ID]]="","",IF(ISNA(MATCH(Log[[#This Row],[ID]],Items[ID],0)),"unknown ID",IF(ISNA(MATCH(Log[[#This Row],[Verb]],VerbList,0)),"unknown verb",IF(Log[[#This Row],[Date]]="","no date",""))))</f>
      </c>
      <c r="G1281" s="17">
        <f>IF(Log[[#This Row],[ID]]="","",IFERROR(VLOOKUP(Log[[#This Row],[Verb]],Verbs,3,FALSE)&amp;"",""))</f>
      </c>
      <c r="H1281" s="17">
        <f>IF(Log[[#This Row],[Date]]="","",INT((Log[[#This Row],[Date]]-Sprint1)/SprintDays)+1)</f>
      </c>
      <c r="I1281" s="17">
        <f>IF(OR(Log[[#This Row],[Verb]]="commit",Log[[#This Row],[Verb]]="carry",Log[[#This Row],[Verb]]="redo"),IF(Log[[#This Row],[Arg]]="",Log[[#This Row],[Sprint]],N(Log[[#This Row],[Arg]])),"")</f>
      </c>
      <c r="J1281" s="17">
        <f>IF(Log[[#This Row],[Verb]]="block",1,IF(OR(Log[[#This Row],[Verb]]="unblock",Log[[#This Row],[Verb]]="done",Log[[#This Row],[Verb]]="drop",Log[[#This Row],[Verb]]="punt",Log[[#This Row],[Verb]]="pass"),0,""))</f>
      </c>
      <c r="K1281" s="17">
        <f>IF(Log[[#This Row],[ID]]="",0,IFERROR(INDEX(Items[Pts],MATCH(Log[[#This Row],[ID]],Items[ID],0))*1,0))</f>
      </c>
      <c r="L1281" s="17">
        <f>IF(Log[[#This Row],[ID]]="","",IFERROR(INDEX(Items[Cur team],MATCH(Log[[#This Row],[ID]],Items[ID],0))&amp;"",""))</f>
      </c>
      <c r="M1281" s="17">
        <f>IF(OR(Log[[#This Row],[Verb]]="done",Log[[#This Row],[Verb]]="punt",Log[[#This Row],[Verb]]="drop",Log[[#This Row],[Verb]]="pass"),Log[[#This Row],[Pts]],0)</f>
      </c>
    </row>
    <row r="1282">
      <c r="A1282" s="11">
        <v>46203</v>
      </c>
      <c r="B1282" t="s">
        <v>738</v>
      </c>
      <c r="C1282" t="s">
        <v>34</v>
      </c>
      <c r="D1282">
        <v>47</v>
      </c>
      <c r="F1282" s="17">
        <f>IF(Log[[#This Row],[ID]]="","",IF(ISNA(MATCH(Log[[#This Row],[ID]],Items[ID],0)),"unknown ID",IF(ISNA(MATCH(Log[[#This Row],[Verb]],VerbList,0)),"unknown verb",IF(Log[[#This Row],[Date]]="","no date",""))))</f>
      </c>
      <c r="G1282" s="17">
        <f>IF(Log[[#This Row],[ID]]="","",IFERROR(VLOOKUP(Log[[#This Row],[Verb]],Verbs,3,FALSE)&amp;"",""))</f>
      </c>
      <c r="H1282" s="17">
        <f>IF(Log[[#This Row],[Date]]="","",INT((Log[[#This Row],[Date]]-Sprint1)/SprintDays)+1)</f>
      </c>
      <c r="I1282" s="17">
        <f>IF(OR(Log[[#This Row],[Verb]]="commit",Log[[#This Row],[Verb]]="carry",Log[[#This Row],[Verb]]="redo"),IF(Log[[#This Row],[Arg]]="",Log[[#This Row],[Sprint]],N(Log[[#This Row],[Arg]])),"")</f>
      </c>
      <c r="J1282" s="17">
        <f>IF(Log[[#This Row],[Verb]]="block",1,IF(OR(Log[[#This Row],[Verb]]="unblock",Log[[#This Row],[Verb]]="done",Log[[#This Row],[Verb]]="drop",Log[[#This Row],[Verb]]="punt",Log[[#This Row],[Verb]]="pass"),0,""))</f>
      </c>
      <c r="K1282" s="17">
        <f>IF(Log[[#This Row],[ID]]="",0,IFERROR(INDEX(Items[Pts],MATCH(Log[[#This Row],[ID]],Items[ID],0))*1,0))</f>
      </c>
      <c r="L1282" s="17">
        <f>IF(Log[[#This Row],[ID]]="","",IFERROR(INDEX(Items[Cur team],MATCH(Log[[#This Row],[ID]],Items[ID],0))&amp;"",""))</f>
      </c>
      <c r="M1282" s="17">
        <f>IF(OR(Log[[#This Row],[Verb]]="done",Log[[#This Row],[Verb]]="punt",Log[[#This Row],[Verb]]="drop",Log[[#This Row],[Verb]]="pass"),Log[[#This Row],[Pts]],0)</f>
      </c>
    </row>
    <row r="1283">
      <c r="A1283" s="11">
        <v>46203</v>
      </c>
      <c r="B1283" t="s">
        <v>739</v>
      </c>
      <c r="C1283" t="s">
        <v>34</v>
      </c>
      <c r="D1283">
        <v>47</v>
      </c>
      <c r="F1283" s="17">
        <f>IF(Log[[#This Row],[ID]]="","",IF(ISNA(MATCH(Log[[#This Row],[ID]],Items[ID],0)),"unknown ID",IF(ISNA(MATCH(Log[[#This Row],[Verb]],VerbList,0)),"unknown verb",IF(Log[[#This Row],[Date]]="","no date",""))))</f>
      </c>
      <c r="G1283" s="17">
        <f>IF(Log[[#This Row],[ID]]="","",IFERROR(VLOOKUP(Log[[#This Row],[Verb]],Verbs,3,FALSE)&amp;"",""))</f>
      </c>
      <c r="H1283" s="17">
        <f>IF(Log[[#This Row],[Date]]="","",INT((Log[[#This Row],[Date]]-Sprint1)/SprintDays)+1)</f>
      </c>
      <c r="I1283" s="17">
        <f>IF(OR(Log[[#This Row],[Verb]]="commit",Log[[#This Row],[Verb]]="carry",Log[[#This Row],[Verb]]="redo"),IF(Log[[#This Row],[Arg]]="",Log[[#This Row],[Sprint]],N(Log[[#This Row],[Arg]])),"")</f>
      </c>
      <c r="J1283" s="17">
        <f>IF(Log[[#This Row],[Verb]]="block",1,IF(OR(Log[[#This Row],[Verb]]="unblock",Log[[#This Row],[Verb]]="done",Log[[#This Row],[Verb]]="drop",Log[[#This Row],[Verb]]="punt",Log[[#This Row],[Verb]]="pass"),0,""))</f>
      </c>
      <c r="K1283" s="17">
        <f>IF(Log[[#This Row],[ID]]="",0,IFERROR(INDEX(Items[Pts],MATCH(Log[[#This Row],[ID]],Items[ID],0))*1,0))</f>
      </c>
      <c r="L1283" s="17">
        <f>IF(Log[[#This Row],[ID]]="","",IFERROR(INDEX(Items[Cur team],MATCH(Log[[#This Row],[ID]],Items[ID],0))&amp;"",""))</f>
      </c>
      <c r="M1283" s="17">
        <f>IF(OR(Log[[#This Row],[Verb]]="done",Log[[#This Row],[Verb]]="punt",Log[[#This Row],[Verb]]="drop",Log[[#This Row],[Verb]]="pass"),Log[[#This Row],[Pts]],0)</f>
      </c>
    </row>
    <row r="1284">
      <c r="A1284" s="11">
        <v>46203</v>
      </c>
      <c r="B1284" t="s">
        <v>740</v>
      </c>
      <c r="C1284" t="s">
        <v>34</v>
      </c>
      <c r="D1284">
        <v>47</v>
      </c>
      <c r="F1284" s="17">
        <f>IF(Log[[#This Row],[ID]]="","",IF(ISNA(MATCH(Log[[#This Row],[ID]],Items[ID],0)),"unknown ID",IF(ISNA(MATCH(Log[[#This Row],[Verb]],VerbList,0)),"unknown verb",IF(Log[[#This Row],[Date]]="","no date",""))))</f>
      </c>
      <c r="G1284" s="17">
        <f>IF(Log[[#This Row],[ID]]="","",IFERROR(VLOOKUP(Log[[#This Row],[Verb]],Verbs,3,FALSE)&amp;"",""))</f>
      </c>
      <c r="H1284" s="17">
        <f>IF(Log[[#This Row],[Date]]="","",INT((Log[[#This Row],[Date]]-Sprint1)/SprintDays)+1)</f>
      </c>
      <c r="I1284" s="17">
        <f>IF(OR(Log[[#This Row],[Verb]]="commit",Log[[#This Row],[Verb]]="carry",Log[[#This Row],[Verb]]="redo"),IF(Log[[#This Row],[Arg]]="",Log[[#This Row],[Sprint]],N(Log[[#This Row],[Arg]])),"")</f>
      </c>
      <c r="J1284" s="17">
        <f>IF(Log[[#This Row],[Verb]]="block",1,IF(OR(Log[[#This Row],[Verb]]="unblock",Log[[#This Row],[Verb]]="done",Log[[#This Row],[Verb]]="drop",Log[[#This Row],[Verb]]="punt",Log[[#This Row],[Verb]]="pass"),0,""))</f>
      </c>
      <c r="K1284" s="17">
        <f>IF(Log[[#This Row],[ID]]="",0,IFERROR(INDEX(Items[Pts],MATCH(Log[[#This Row],[ID]],Items[ID],0))*1,0))</f>
      </c>
      <c r="L1284" s="17">
        <f>IF(Log[[#This Row],[ID]]="","",IFERROR(INDEX(Items[Cur team],MATCH(Log[[#This Row],[ID]],Items[ID],0))&amp;"",""))</f>
      </c>
      <c r="M1284" s="17">
        <f>IF(OR(Log[[#This Row],[Verb]]="done",Log[[#This Row],[Verb]]="punt",Log[[#This Row],[Verb]]="drop",Log[[#This Row],[Verb]]="pass"),Log[[#This Row],[Pts]],0)</f>
      </c>
    </row>
    <row r="1285">
      <c r="A1285" s="11">
        <v>46203</v>
      </c>
      <c r="B1285" t="s">
        <v>741</v>
      </c>
      <c r="C1285" t="s">
        <v>34</v>
      </c>
      <c r="D1285">
        <v>47</v>
      </c>
      <c r="F1285" s="17">
        <f>IF(Log[[#This Row],[ID]]="","",IF(ISNA(MATCH(Log[[#This Row],[ID]],Items[ID],0)),"unknown ID",IF(ISNA(MATCH(Log[[#This Row],[Verb]],VerbList,0)),"unknown verb",IF(Log[[#This Row],[Date]]="","no date",""))))</f>
      </c>
      <c r="G1285" s="17">
        <f>IF(Log[[#This Row],[ID]]="","",IFERROR(VLOOKUP(Log[[#This Row],[Verb]],Verbs,3,FALSE)&amp;"",""))</f>
      </c>
      <c r="H1285" s="17">
        <f>IF(Log[[#This Row],[Date]]="","",INT((Log[[#This Row],[Date]]-Sprint1)/SprintDays)+1)</f>
      </c>
      <c r="I1285" s="17">
        <f>IF(OR(Log[[#This Row],[Verb]]="commit",Log[[#This Row],[Verb]]="carry",Log[[#This Row],[Verb]]="redo"),IF(Log[[#This Row],[Arg]]="",Log[[#This Row],[Sprint]],N(Log[[#This Row],[Arg]])),"")</f>
      </c>
      <c r="J1285" s="17">
        <f>IF(Log[[#This Row],[Verb]]="block",1,IF(OR(Log[[#This Row],[Verb]]="unblock",Log[[#This Row],[Verb]]="done",Log[[#This Row],[Verb]]="drop",Log[[#This Row],[Verb]]="punt",Log[[#This Row],[Verb]]="pass"),0,""))</f>
      </c>
      <c r="K1285" s="17">
        <f>IF(Log[[#This Row],[ID]]="",0,IFERROR(INDEX(Items[Pts],MATCH(Log[[#This Row],[ID]],Items[ID],0))*1,0))</f>
      </c>
      <c r="L1285" s="17">
        <f>IF(Log[[#This Row],[ID]]="","",IFERROR(INDEX(Items[Cur team],MATCH(Log[[#This Row],[ID]],Items[ID],0))&amp;"",""))</f>
      </c>
      <c r="M1285" s="17">
        <f>IF(OR(Log[[#This Row],[Verb]]="done",Log[[#This Row],[Verb]]="punt",Log[[#This Row],[Verb]]="drop",Log[[#This Row],[Verb]]="pass"),Log[[#This Row],[Pts]],0)</f>
      </c>
    </row>
    <row r="1286">
      <c r="A1286" s="11">
        <v>46203</v>
      </c>
      <c r="B1286" t="s">
        <v>742</v>
      </c>
      <c r="C1286" t="s">
        <v>34</v>
      </c>
      <c r="D1286">
        <v>47</v>
      </c>
      <c r="F1286" s="17">
        <f>IF(Log[[#This Row],[ID]]="","",IF(ISNA(MATCH(Log[[#This Row],[ID]],Items[ID],0)),"unknown ID",IF(ISNA(MATCH(Log[[#This Row],[Verb]],VerbList,0)),"unknown verb",IF(Log[[#This Row],[Date]]="","no date",""))))</f>
      </c>
      <c r="G1286" s="17">
        <f>IF(Log[[#This Row],[ID]]="","",IFERROR(VLOOKUP(Log[[#This Row],[Verb]],Verbs,3,FALSE)&amp;"",""))</f>
      </c>
      <c r="H1286" s="17">
        <f>IF(Log[[#This Row],[Date]]="","",INT((Log[[#This Row],[Date]]-Sprint1)/SprintDays)+1)</f>
      </c>
      <c r="I1286" s="17">
        <f>IF(OR(Log[[#This Row],[Verb]]="commit",Log[[#This Row],[Verb]]="carry",Log[[#This Row],[Verb]]="redo"),IF(Log[[#This Row],[Arg]]="",Log[[#This Row],[Sprint]],N(Log[[#This Row],[Arg]])),"")</f>
      </c>
      <c r="J1286" s="17">
        <f>IF(Log[[#This Row],[Verb]]="block",1,IF(OR(Log[[#This Row],[Verb]]="unblock",Log[[#This Row],[Verb]]="done",Log[[#This Row],[Verb]]="drop",Log[[#This Row],[Verb]]="punt",Log[[#This Row],[Verb]]="pass"),0,""))</f>
      </c>
      <c r="K1286" s="17">
        <f>IF(Log[[#This Row],[ID]]="",0,IFERROR(INDEX(Items[Pts],MATCH(Log[[#This Row],[ID]],Items[ID],0))*1,0))</f>
      </c>
      <c r="L1286" s="17">
        <f>IF(Log[[#This Row],[ID]]="","",IFERROR(INDEX(Items[Cur team],MATCH(Log[[#This Row],[ID]],Items[ID],0))&amp;"",""))</f>
      </c>
      <c r="M1286" s="17">
        <f>IF(OR(Log[[#This Row],[Verb]]="done",Log[[#This Row],[Verb]]="punt",Log[[#This Row],[Verb]]="drop",Log[[#This Row],[Verb]]="pass"),Log[[#This Row],[Pts]],0)</f>
      </c>
    </row>
    <row r="1287">
      <c r="A1287" s="11">
        <v>46203</v>
      </c>
      <c r="B1287" t="s">
        <v>743</v>
      </c>
      <c r="C1287" t="s">
        <v>34</v>
      </c>
      <c r="D1287">
        <v>47</v>
      </c>
      <c r="F1287" s="17">
        <f>IF(Log[[#This Row],[ID]]="","",IF(ISNA(MATCH(Log[[#This Row],[ID]],Items[ID],0)),"unknown ID",IF(ISNA(MATCH(Log[[#This Row],[Verb]],VerbList,0)),"unknown verb",IF(Log[[#This Row],[Date]]="","no date",""))))</f>
      </c>
      <c r="G1287" s="17">
        <f>IF(Log[[#This Row],[ID]]="","",IFERROR(VLOOKUP(Log[[#This Row],[Verb]],Verbs,3,FALSE)&amp;"",""))</f>
      </c>
      <c r="H1287" s="17">
        <f>IF(Log[[#This Row],[Date]]="","",INT((Log[[#This Row],[Date]]-Sprint1)/SprintDays)+1)</f>
      </c>
      <c r="I1287" s="17">
        <f>IF(OR(Log[[#This Row],[Verb]]="commit",Log[[#This Row],[Verb]]="carry",Log[[#This Row],[Verb]]="redo"),IF(Log[[#This Row],[Arg]]="",Log[[#This Row],[Sprint]],N(Log[[#This Row],[Arg]])),"")</f>
      </c>
      <c r="J1287" s="17">
        <f>IF(Log[[#This Row],[Verb]]="block",1,IF(OR(Log[[#This Row],[Verb]]="unblock",Log[[#This Row],[Verb]]="done",Log[[#This Row],[Verb]]="drop",Log[[#This Row],[Verb]]="punt",Log[[#This Row],[Verb]]="pass"),0,""))</f>
      </c>
      <c r="K1287" s="17">
        <f>IF(Log[[#This Row],[ID]]="",0,IFERROR(INDEX(Items[Pts],MATCH(Log[[#This Row],[ID]],Items[ID],0))*1,0))</f>
      </c>
      <c r="L1287" s="17">
        <f>IF(Log[[#This Row],[ID]]="","",IFERROR(INDEX(Items[Cur team],MATCH(Log[[#This Row],[ID]],Items[ID],0))&amp;"",""))</f>
      </c>
      <c r="M1287" s="17">
        <f>IF(OR(Log[[#This Row],[Verb]]="done",Log[[#This Row],[Verb]]="punt",Log[[#This Row],[Verb]]="drop",Log[[#This Row],[Verb]]="pass"),Log[[#This Row],[Pts]],0)</f>
      </c>
    </row>
    <row r="1288">
      <c r="A1288" s="11">
        <v>46203</v>
      </c>
      <c r="B1288" t="s">
        <v>744</v>
      </c>
      <c r="C1288" t="s">
        <v>34</v>
      </c>
      <c r="D1288">
        <v>47</v>
      </c>
      <c r="F1288" s="17">
        <f>IF(Log[[#This Row],[ID]]="","",IF(ISNA(MATCH(Log[[#This Row],[ID]],Items[ID],0)),"unknown ID",IF(ISNA(MATCH(Log[[#This Row],[Verb]],VerbList,0)),"unknown verb",IF(Log[[#This Row],[Date]]="","no date",""))))</f>
      </c>
      <c r="G1288" s="17">
        <f>IF(Log[[#This Row],[ID]]="","",IFERROR(VLOOKUP(Log[[#This Row],[Verb]],Verbs,3,FALSE)&amp;"",""))</f>
      </c>
      <c r="H1288" s="17">
        <f>IF(Log[[#This Row],[Date]]="","",INT((Log[[#This Row],[Date]]-Sprint1)/SprintDays)+1)</f>
      </c>
      <c r="I1288" s="17">
        <f>IF(OR(Log[[#This Row],[Verb]]="commit",Log[[#This Row],[Verb]]="carry",Log[[#This Row],[Verb]]="redo"),IF(Log[[#This Row],[Arg]]="",Log[[#This Row],[Sprint]],N(Log[[#This Row],[Arg]])),"")</f>
      </c>
      <c r="J1288" s="17">
        <f>IF(Log[[#This Row],[Verb]]="block",1,IF(OR(Log[[#This Row],[Verb]]="unblock",Log[[#This Row],[Verb]]="done",Log[[#This Row],[Verb]]="drop",Log[[#This Row],[Verb]]="punt",Log[[#This Row],[Verb]]="pass"),0,""))</f>
      </c>
      <c r="K1288" s="17">
        <f>IF(Log[[#This Row],[ID]]="",0,IFERROR(INDEX(Items[Pts],MATCH(Log[[#This Row],[ID]],Items[ID],0))*1,0))</f>
      </c>
      <c r="L1288" s="17">
        <f>IF(Log[[#This Row],[ID]]="","",IFERROR(INDEX(Items[Cur team],MATCH(Log[[#This Row],[ID]],Items[ID],0))&amp;"",""))</f>
      </c>
      <c r="M1288" s="17">
        <f>IF(OR(Log[[#This Row],[Verb]]="done",Log[[#This Row],[Verb]]="punt",Log[[#This Row],[Verb]]="drop",Log[[#This Row],[Verb]]="pass"),Log[[#This Row],[Pts]],0)</f>
      </c>
    </row>
    <row r="1289">
      <c r="A1289" s="11">
        <v>46203</v>
      </c>
      <c r="B1289" t="s">
        <v>745</v>
      </c>
      <c r="C1289" t="s">
        <v>34</v>
      </c>
      <c r="D1289">
        <v>47</v>
      </c>
      <c r="F1289" s="17">
        <f>IF(Log[[#This Row],[ID]]="","",IF(ISNA(MATCH(Log[[#This Row],[ID]],Items[ID],0)),"unknown ID",IF(ISNA(MATCH(Log[[#This Row],[Verb]],VerbList,0)),"unknown verb",IF(Log[[#This Row],[Date]]="","no date",""))))</f>
      </c>
      <c r="G1289" s="17">
        <f>IF(Log[[#This Row],[ID]]="","",IFERROR(VLOOKUP(Log[[#This Row],[Verb]],Verbs,3,FALSE)&amp;"",""))</f>
      </c>
      <c r="H1289" s="17">
        <f>IF(Log[[#This Row],[Date]]="","",INT((Log[[#This Row],[Date]]-Sprint1)/SprintDays)+1)</f>
      </c>
      <c r="I1289" s="17">
        <f>IF(OR(Log[[#This Row],[Verb]]="commit",Log[[#This Row],[Verb]]="carry",Log[[#This Row],[Verb]]="redo"),IF(Log[[#This Row],[Arg]]="",Log[[#This Row],[Sprint]],N(Log[[#This Row],[Arg]])),"")</f>
      </c>
      <c r="J1289" s="17">
        <f>IF(Log[[#This Row],[Verb]]="block",1,IF(OR(Log[[#This Row],[Verb]]="unblock",Log[[#This Row],[Verb]]="done",Log[[#This Row],[Verb]]="drop",Log[[#This Row],[Verb]]="punt",Log[[#This Row],[Verb]]="pass"),0,""))</f>
      </c>
      <c r="K1289" s="17">
        <f>IF(Log[[#This Row],[ID]]="",0,IFERROR(INDEX(Items[Pts],MATCH(Log[[#This Row],[ID]],Items[ID],0))*1,0))</f>
      </c>
      <c r="L1289" s="17">
        <f>IF(Log[[#This Row],[ID]]="","",IFERROR(INDEX(Items[Cur team],MATCH(Log[[#This Row],[ID]],Items[ID],0))&amp;"",""))</f>
      </c>
      <c r="M1289" s="17">
        <f>IF(OR(Log[[#This Row],[Verb]]="done",Log[[#This Row],[Verb]]="punt",Log[[#This Row],[Verb]]="drop",Log[[#This Row],[Verb]]="pass"),Log[[#This Row],[Pts]],0)</f>
      </c>
    </row>
    <row r="1290">
      <c r="A1290" s="11">
        <v>46203</v>
      </c>
      <c r="B1290" t="s">
        <v>746</v>
      </c>
      <c r="C1290" t="s">
        <v>34</v>
      </c>
      <c r="D1290">
        <v>47</v>
      </c>
      <c r="F1290" s="17">
        <f>IF(Log[[#This Row],[ID]]="","",IF(ISNA(MATCH(Log[[#This Row],[ID]],Items[ID],0)),"unknown ID",IF(ISNA(MATCH(Log[[#This Row],[Verb]],VerbList,0)),"unknown verb",IF(Log[[#This Row],[Date]]="","no date",""))))</f>
      </c>
      <c r="G1290" s="17">
        <f>IF(Log[[#This Row],[ID]]="","",IFERROR(VLOOKUP(Log[[#This Row],[Verb]],Verbs,3,FALSE)&amp;"",""))</f>
      </c>
      <c r="H1290" s="17">
        <f>IF(Log[[#This Row],[Date]]="","",INT((Log[[#This Row],[Date]]-Sprint1)/SprintDays)+1)</f>
      </c>
      <c r="I1290" s="17">
        <f>IF(OR(Log[[#This Row],[Verb]]="commit",Log[[#This Row],[Verb]]="carry",Log[[#This Row],[Verb]]="redo"),IF(Log[[#This Row],[Arg]]="",Log[[#This Row],[Sprint]],N(Log[[#This Row],[Arg]])),"")</f>
      </c>
      <c r="J1290" s="17">
        <f>IF(Log[[#This Row],[Verb]]="block",1,IF(OR(Log[[#This Row],[Verb]]="unblock",Log[[#This Row],[Verb]]="done",Log[[#This Row],[Verb]]="drop",Log[[#This Row],[Verb]]="punt",Log[[#This Row],[Verb]]="pass"),0,""))</f>
      </c>
      <c r="K1290" s="17">
        <f>IF(Log[[#This Row],[ID]]="",0,IFERROR(INDEX(Items[Pts],MATCH(Log[[#This Row],[ID]],Items[ID],0))*1,0))</f>
      </c>
      <c r="L1290" s="17">
        <f>IF(Log[[#This Row],[ID]]="","",IFERROR(INDEX(Items[Cur team],MATCH(Log[[#This Row],[ID]],Items[ID],0))&amp;"",""))</f>
      </c>
      <c r="M1290" s="17">
        <f>IF(OR(Log[[#This Row],[Verb]]="done",Log[[#This Row],[Verb]]="punt",Log[[#This Row],[Verb]]="drop",Log[[#This Row],[Verb]]="pass"),Log[[#This Row],[Pts]],0)</f>
      </c>
    </row>
    <row r="1291">
      <c r="A1291" s="11">
        <v>46203</v>
      </c>
      <c r="B1291" t="s">
        <v>747</v>
      </c>
      <c r="C1291" t="s">
        <v>34</v>
      </c>
      <c r="D1291">
        <v>47</v>
      </c>
      <c r="F1291" s="17">
        <f>IF(Log[[#This Row],[ID]]="","",IF(ISNA(MATCH(Log[[#This Row],[ID]],Items[ID],0)),"unknown ID",IF(ISNA(MATCH(Log[[#This Row],[Verb]],VerbList,0)),"unknown verb",IF(Log[[#This Row],[Date]]="","no date",""))))</f>
      </c>
      <c r="G1291" s="17">
        <f>IF(Log[[#This Row],[ID]]="","",IFERROR(VLOOKUP(Log[[#This Row],[Verb]],Verbs,3,FALSE)&amp;"",""))</f>
      </c>
      <c r="H1291" s="17">
        <f>IF(Log[[#This Row],[Date]]="","",INT((Log[[#This Row],[Date]]-Sprint1)/SprintDays)+1)</f>
      </c>
      <c r="I1291" s="17">
        <f>IF(OR(Log[[#This Row],[Verb]]="commit",Log[[#This Row],[Verb]]="carry",Log[[#This Row],[Verb]]="redo"),IF(Log[[#This Row],[Arg]]="",Log[[#This Row],[Sprint]],N(Log[[#This Row],[Arg]])),"")</f>
      </c>
      <c r="J1291" s="17">
        <f>IF(Log[[#This Row],[Verb]]="block",1,IF(OR(Log[[#This Row],[Verb]]="unblock",Log[[#This Row],[Verb]]="done",Log[[#This Row],[Verb]]="drop",Log[[#This Row],[Verb]]="punt",Log[[#This Row],[Verb]]="pass"),0,""))</f>
      </c>
      <c r="K1291" s="17">
        <f>IF(Log[[#This Row],[ID]]="",0,IFERROR(INDEX(Items[Pts],MATCH(Log[[#This Row],[ID]],Items[ID],0))*1,0))</f>
      </c>
      <c r="L1291" s="17">
        <f>IF(Log[[#This Row],[ID]]="","",IFERROR(INDEX(Items[Cur team],MATCH(Log[[#This Row],[ID]],Items[ID],0))&amp;"",""))</f>
      </c>
      <c r="M1291" s="17">
        <f>IF(OR(Log[[#This Row],[Verb]]="done",Log[[#This Row],[Verb]]="punt",Log[[#This Row],[Verb]]="drop",Log[[#This Row],[Verb]]="pass"),Log[[#This Row],[Pts]],0)</f>
      </c>
    </row>
    <row r="1292">
      <c r="A1292" s="11">
        <v>46203</v>
      </c>
      <c r="B1292" t="s">
        <v>748</v>
      </c>
      <c r="C1292" t="s">
        <v>34</v>
      </c>
      <c r="D1292">
        <v>47</v>
      </c>
      <c r="F1292" s="17">
        <f>IF(Log[[#This Row],[ID]]="","",IF(ISNA(MATCH(Log[[#This Row],[ID]],Items[ID],0)),"unknown ID",IF(ISNA(MATCH(Log[[#This Row],[Verb]],VerbList,0)),"unknown verb",IF(Log[[#This Row],[Date]]="","no date",""))))</f>
      </c>
      <c r="G1292" s="17">
        <f>IF(Log[[#This Row],[ID]]="","",IFERROR(VLOOKUP(Log[[#This Row],[Verb]],Verbs,3,FALSE)&amp;"",""))</f>
      </c>
      <c r="H1292" s="17">
        <f>IF(Log[[#This Row],[Date]]="","",INT((Log[[#This Row],[Date]]-Sprint1)/SprintDays)+1)</f>
      </c>
      <c r="I1292" s="17">
        <f>IF(OR(Log[[#This Row],[Verb]]="commit",Log[[#This Row],[Verb]]="carry",Log[[#This Row],[Verb]]="redo"),IF(Log[[#This Row],[Arg]]="",Log[[#This Row],[Sprint]],N(Log[[#This Row],[Arg]])),"")</f>
      </c>
      <c r="J1292" s="17">
        <f>IF(Log[[#This Row],[Verb]]="block",1,IF(OR(Log[[#This Row],[Verb]]="unblock",Log[[#This Row],[Verb]]="done",Log[[#This Row],[Verb]]="drop",Log[[#This Row],[Verb]]="punt",Log[[#This Row],[Verb]]="pass"),0,""))</f>
      </c>
      <c r="K1292" s="17">
        <f>IF(Log[[#This Row],[ID]]="",0,IFERROR(INDEX(Items[Pts],MATCH(Log[[#This Row],[ID]],Items[ID],0))*1,0))</f>
      </c>
      <c r="L1292" s="17">
        <f>IF(Log[[#This Row],[ID]]="","",IFERROR(INDEX(Items[Cur team],MATCH(Log[[#This Row],[ID]],Items[ID],0))&amp;"",""))</f>
      </c>
      <c r="M1292" s="17">
        <f>IF(OR(Log[[#This Row],[Verb]]="done",Log[[#This Row],[Verb]]="punt",Log[[#This Row],[Verb]]="drop",Log[[#This Row],[Verb]]="pass"),Log[[#This Row],[Pts]],0)</f>
      </c>
    </row>
    <row r="1293">
      <c r="A1293" s="11">
        <v>46203</v>
      </c>
      <c r="B1293" t="s">
        <v>749</v>
      </c>
      <c r="C1293" t="s">
        <v>34</v>
      </c>
      <c r="D1293">
        <v>47</v>
      </c>
      <c r="F1293" s="17">
        <f>IF(Log[[#This Row],[ID]]="","",IF(ISNA(MATCH(Log[[#This Row],[ID]],Items[ID],0)),"unknown ID",IF(ISNA(MATCH(Log[[#This Row],[Verb]],VerbList,0)),"unknown verb",IF(Log[[#This Row],[Date]]="","no date",""))))</f>
      </c>
      <c r="G1293" s="17">
        <f>IF(Log[[#This Row],[ID]]="","",IFERROR(VLOOKUP(Log[[#This Row],[Verb]],Verbs,3,FALSE)&amp;"",""))</f>
      </c>
      <c r="H1293" s="17">
        <f>IF(Log[[#This Row],[Date]]="","",INT((Log[[#This Row],[Date]]-Sprint1)/SprintDays)+1)</f>
      </c>
      <c r="I1293" s="17">
        <f>IF(OR(Log[[#This Row],[Verb]]="commit",Log[[#This Row],[Verb]]="carry",Log[[#This Row],[Verb]]="redo"),IF(Log[[#This Row],[Arg]]="",Log[[#This Row],[Sprint]],N(Log[[#This Row],[Arg]])),"")</f>
      </c>
      <c r="J1293" s="17">
        <f>IF(Log[[#This Row],[Verb]]="block",1,IF(OR(Log[[#This Row],[Verb]]="unblock",Log[[#This Row],[Verb]]="done",Log[[#This Row],[Verb]]="drop",Log[[#This Row],[Verb]]="punt",Log[[#This Row],[Verb]]="pass"),0,""))</f>
      </c>
      <c r="K1293" s="17">
        <f>IF(Log[[#This Row],[ID]]="",0,IFERROR(INDEX(Items[Pts],MATCH(Log[[#This Row],[ID]],Items[ID],0))*1,0))</f>
      </c>
      <c r="L1293" s="17">
        <f>IF(Log[[#This Row],[ID]]="","",IFERROR(INDEX(Items[Cur team],MATCH(Log[[#This Row],[ID]],Items[ID],0))&amp;"",""))</f>
      </c>
      <c r="M1293" s="17">
        <f>IF(OR(Log[[#This Row],[Verb]]="done",Log[[#This Row],[Verb]]="punt",Log[[#This Row],[Verb]]="drop",Log[[#This Row],[Verb]]="pass"),Log[[#This Row],[Pts]],0)</f>
      </c>
    </row>
    <row r="1294">
      <c r="A1294" s="11">
        <v>46203</v>
      </c>
      <c r="B1294" t="s">
        <v>750</v>
      </c>
      <c r="C1294" t="s">
        <v>34</v>
      </c>
      <c r="D1294">
        <v>47</v>
      </c>
      <c r="F1294" s="17">
        <f>IF(Log[[#This Row],[ID]]="","",IF(ISNA(MATCH(Log[[#This Row],[ID]],Items[ID],0)),"unknown ID",IF(ISNA(MATCH(Log[[#This Row],[Verb]],VerbList,0)),"unknown verb",IF(Log[[#This Row],[Date]]="","no date",""))))</f>
      </c>
      <c r="G1294" s="17">
        <f>IF(Log[[#This Row],[ID]]="","",IFERROR(VLOOKUP(Log[[#This Row],[Verb]],Verbs,3,FALSE)&amp;"",""))</f>
      </c>
      <c r="H1294" s="17">
        <f>IF(Log[[#This Row],[Date]]="","",INT((Log[[#This Row],[Date]]-Sprint1)/SprintDays)+1)</f>
      </c>
      <c r="I1294" s="17">
        <f>IF(OR(Log[[#This Row],[Verb]]="commit",Log[[#This Row],[Verb]]="carry",Log[[#This Row],[Verb]]="redo"),IF(Log[[#This Row],[Arg]]="",Log[[#This Row],[Sprint]],N(Log[[#This Row],[Arg]])),"")</f>
      </c>
      <c r="J1294" s="17">
        <f>IF(Log[[#This Row],[Verb]]="block",1,IF(OR(Log[[#This Row],[Verb]]="unblock",Log[[#This Row],[Verb]]="done",Log[[#This Row],[Verb]]="drop",Log[[#This Row],[Verb]]="punt",Log[[#This Row],[Verb]]="pass"),0,""))</f>
      </c>
      <c r="K1294" s="17">
        <f>IF(Log[[#This Row],[ID]]="",0,IFERROR(INDEX(Items[Pts],MATCH(Log[[#This Row],[ID]],Items[ID],0))*1,0))</f>
      </c>
      <c r="L1294" s="17">
        <f>IF(Log[[#This Row],[ID]]="","",IFERROR(INDEX(Items[Cur team],MATCH(Log[[#This Row],[ID]],Items[ID],0))&amp;"",""))</f>
      </c>
      <c r="M1294" s="17">
        <f>IF(OR(Log[[#This Row],[Verb]]="done",Log[[#This Row],[Verb]]="punt",Log[[#This Row],[Verb]]="drop",Log[[#This Row],[Verb]]="pass"),Log[[#This Row],[Pts]],0)</f>
      </c>
    </row>
    <row r="1295">
      <c r="A1295" s="11">
        <v>46203</v>
      </c>
      <c r="B1295" t="s">
        <v>751</v>
      </c>
      <c r="C1295" t="s">
        <v>34</v>
      </c>
      <c r="D1295">
        <v>47</v>
      </c>
      <c r="F1295" s="17">
        <f>IF(Log[[#This Row],[ID]]="","",IF(ISNA(MATCH(Log[[#This Row],[ID]],Items[ID],0)),"unknown ID",IF(ISNA(MATCH(Log[[#This Row],[Verb]],VerbList,0)),"unknown verb",IF(Log[[#This Row],[Date]]="","no date",""))))</f>
      </c>
      <c r="G1295" s="17">
        <f>IF(Log[[#This Row],[ID]]="","",IFERROR(VLOOKUP(Log[[#This Row],[Verb]],Verbs,3,FALSE)&amp;"",""))</f>
      </c>
      <c r="H1295" s="17">
        <f>IF(Log[[#This Row],[Date]]="","",INT((Log[[#This Row],[Date]]-Sprint1)/SprintDays)+1)</f>
      </c>
      <c r="I1295" s="17">
        <f>IF(OR(Log[[#This Row],[Verb]]="commit",Log[[#This Row],[Verb]]="carry",Log[[#This Row],[Verb]]="redo"),IF(Log[[#This Row],[Arg]]="",Log[[#This Row],[Sprint]],N(Log[[#This Row],[Arg]])),"")</f>
      </c>
      <c r="J1295" s="17">
        <f>IF(Log[[#This Row],[Verb]]="block",1,IF(OR(Log[[#This Row],[Verb]]="unblock",Log[[#This Row],[Verb]]="done",Log[[#This Row],[Verb]]="drop",Log[[#This Row],[Verb]]="punt",Log[[#This Row],[Verb]]="pass"),0,""))</f>
      </c>
      <c r="K1295" s="17">
        <f>IF(Log[[#This Row],[ID]]="",0,IFERROR(INDEX(Items[Pts],MATCH(Log[[#This Row],[ID]],Items[ID],0))*1,0))</f>
      </c>
      <c r="L1295" s="17">
        <f>IF(Log[[#This Row],[ID]]="","",IFERROR(INDEX(Items[Cur team],MATCH(Log[[#This Row],[ID]],Items[ID],0))&amp;"",""))</f>
      </c>
      <c r="M1295" s="17">
        <f>IF(OR(Log[[#This Row],[Verb]]="done",Log[[#This Row],[Verb]]="punt",Log[[#This Row],[Verb]]="drop",Log[[#This Row],[Verb]]="pass"),Log[[#This Row],[Pts]],0)</f>
      </c>
    </row>
    <row r="1296">
      <c r="A1296" s="11">
        <v>46203</v>
      </c>
      <c r="B1296" t="s">
        <v>752</v>
      </c>
      <c r="C1296" t="s">
        <v>34</v>
      </c>
      <c r="D1296">
        <v>47</v>
      </c>
      <c r="F1296" s="17">
        <f>IF(Log[[#This Row],[ID]]="","",IF(ISNA(MATCH(Log[[#This Row],[ID]],Items[ID],0)),"unknown ID",IF(ISNA(MATCH(Log[[#This Row],[Verb]],VerbList,0)),"unknown verb",IF(Log[[#This Row],[Date]]="","no date",""))))</f>
      </c>
      <c r="G1296" s="17">
        <f>IF(Log[[#This Row],[ID]]="","",IFERROR(VLOOKUP(Log[[#This Row],[Verb]],Verbs,3,FALSE)&amp;"",""))</f>
      </c>
      <c r="H1296" s="17">
        <f>IF(Log[[#This Row],[Date]]="","",INT((Log[[#This Row],[Date]]-Sprint1)/SprintDays)+1)</f>
      </c>
      <c r="I1296" s="17">
        <f>IF(OR(Log[[#This Row],[Verb]]="commit",Log[[#This Row],[Verb]]="carry",Log[[#This Row],[Verb]]="redo"),IF(Log[[#This Row],[Arg]]="",Log[[#This Row],[Sprint]],N(Log[[#This Row],[Arg]])),"")</f>
      </c>
      <c r="J1296" s="17">
        <f>IF(Log[[#This Row],[Verb]]="block",1,IF(OR(Log[[#This Row],[Verb]]="unblock",Log[[#This Row],[Verb]]="done",Log[[#This Row],[Verb]]="drop",Log[[#This Row],[Verb]]="punt",Log[[#This Row],[Verb]]="pass"),0,""))</f>
      </c>
      <c r="K1296" s="17">
        <f>IF(Log[[#This Row],[ID]]="",0,IFERROR(INDEX(Items[Pts],MATCH(Log[[#This Row],[ID]],Items[ID],0))*1,0))</f>
      </c>
      <c r="L1296" s="17">
        <f>IF(Log[[#This Row],[ID]]="","",IFERROR(INDEX(Items[Cur team],MATCH(Log[[#This Row],[ID]],Items[ID],0))&amp;"",""))</f>
      </c>
      <c r="M1296" s="17">
        <f>IF(OR(Log[[#This Row],[Verb]]="done",Log[[#This Row],[Verb]]="punt",Log[[#This Row],[Verb]]="drop",Log[[#This Row],[Verb]]="pass"),Log[[#This Row],[Pts]],0)</f>
      </c>
    </row>
    <row r="1297">
      <c r="A1297" s="11">
        <v>46203</v>
      </c>
      <c r="B1297" t="s">
        <v>753</v>
      </c>
      <c r="C1297" t="s">
        <v>34</v>
      </c>
      <c r="D1297">
        <v>47</v>
      </c>
      <c r="F1297" s="17">
        <f>IF(Log[[#This Row],[ID]]="","",IF(ISNA(MATCH(Log[[#This Row],[ID]],Items[ID],0)),"unknown ID",IF(ISNA(MATCH(Log[[#This Row],[Verb]],VerbList,0)),"unknown verb",IF(Log[[#This Row],[Date]]="","no date",""))))</f>
      </c>
      <c r="G1297" s="17">
        <f>IF(Log[[#This Row],[ID]]="","",IFERROR(VLOOKUP(Log[[#This Row],[Verb]],Verbs,3,FALSE)&amp;"",""))</f>
      </c>
      <c r="H1297" s="17">
        <f>IF(Log[[#This Row],[Date]]="","",INT((Log[[#This Row],[Date]]-Sprint1)/SprintDays)+1)</f>
      </c>
      <c r="I1297" s="17">
        <f>IF(OR(Log[[#This Row],[Verb]]="commit",Log[[#This Row],[Verb]]="carry",Log[[#This Row],[Verb]]="redo"),IF(Log[[#This Row],[Arg]]="",Log[[#This Row],[Sprint]],N(Log[[#This Row],[Arg]])),"")</f>
      </c>
      <c r="J1297" s="17">
        <f>IF(Log[[#This Row],[Verb]]="block",1,IF(OR(Log[[#This Row],[Verb]]="unblock",Log[[#This Row],[Verb]]="done",Log[[#This Row],[Verb]]="drop",Log[[#This Row],[Verb]]="punt",Log[[#This Row],[Verb]]="pass"),0,""))</f>
      </c>
      <c r="K1297" s="17">
        <f>IF(Log[[#This Row],[ID]]="",0,IFERROR(INDEX(Items[Pts],MATCH(Log[[#This Row],[ID]],Items[ID],0))*1,0))</f>
      </c>
      <c r="L1297" s="17">
        <f>IF(Log[[#This Row],[ID]]="","",IFERROR(INDEX(Items[Cur team],MATCH(Log[[#This Row],[ID]],Items[ID],0))&amp;"",""))</f>
      </c>
      <c r="M1297" s="17">
        <f>IF(OR(Log[[#This Row],[Verb]]="done",Log[[#This Row],[Verb]]="punt",Log[[#This Row],[Verb]]="drop",Log[[#This Row],[Verb]]="pass"),Log[[#This Row],[Pts]],0)</f>
      </c>
    </row>
    <row r="1298">
      <c r="A1298" s="11">
        <v>46203</v>
      </c>
      <c r="B1298" t="s">
        <v>754</v>
      </c>
      <c r="C1298" t="s">
        <v>34</v>
      </c>
      <c r="D1298">
        <v>47</v>
      </c>
      <c r="F1298" s="17">
        <f>IF(Log[[#This Row],[ID]]="","",IF(ISNA(MATCH(Log[[#This Row],[ID]],Items[ID],0)),"unknown ID",IF(ISNA(MATCH(Log[[#This Row],[Verb]],VerbList,0)),"unknown verb",IF(Log[[#This Row],[Date]]="","no date",""))))</f>
      </c>
      <c r="G1298" s="17">
        <f>IF(Log[[#This Row],[ID]]="","",IFERROR(VLOOKUP(Log[[#This Row],[Verb]],Verbs,3,FALSE)&amp;"",""))</f>
      </c>
      <c r="H1298" s="17">
        <f>IF(Log[[#This Row],[Date]]="","",INT((Log[[#This Row],[Date]]-Sprint1)/SprintDays)+1)</f>
      </c>
      <c r="I1298" s="17">
        <f>IF(OR(Log[[#This Row],[Verb]]="commit",Log[[#This Row],[Verb]]="carry",Log[[#This Row],[Verb]]="redo"),IF(Log[[#This Row],[Arg]]="",Log[[#This Row],[Sprint]],N(Log[[#This Row],[Arg]])),"")</f>
      </c>
      <c r="J1298" s="17">
        <f>IF(Log[[#This Row],[Verb]]="block",1,IF(OR(Log[[#This Row],[Verb]]="unblock",Log[[#This Row],[Verb]]="done",Log[[#This Row],[Verb]]="drop",Log[[#This Row],[Verb]]="punt",Log[[#This Row],[Verb]]="pass"),0,""))</f>
      </c>
      <c r="K1298" s="17">
        <f>IF(Log[[#This Row],[ID]]="",0,IFERROR(INDEX(Items[Pts],MATCH(Log[[#This Row],[ID]],Items[ID],0))*1,0))</f>
      </c>
      <c r="L1298" s="17">
        <f>IF(Log[[#This Row],[ID]]="","",IFERROR(INDEX(Items[Cur team],MATCH(Log[[#This Row],[ID]],Items[ID],0))&amp;"",""))</f>
      </c>
      <c r="M1298" s="17">
        <f>IF(OR(Log[[#This Row],[Verb]]="done",Log[[#This Row],[Verb]]="punt",Log[[#This Row],[Verb]]="drop",Log[[#This Row],[Verb]]="pass"),Log[[#This Row],[Pts]],0)</f>
      </c>
    </row>
    <row r="1299">
      <c r="A1299" s="11">
        <v>46203</v>
      </c>
      <c r="B1299" t="s">
        <v>755</v>
      </c>
      <c r="C1299" t="s">
        <v>34</v>
      </c>
      <c r="D1299">
        <v>47</v>
      </c>
      <c r="F1299" s="17">
        <f>IF(Log[[#This Row],[ID]]="","",IF(ISNA(MATCH(Log[[#This Row],[ID]],Items[ID],0)),"unknown ID",IF(ISNA(MATCH(Log[[#This Row],[Verb]],VerbList,0)),"unknown verb",IF(Log[[#This Row],[Date]]="","no date",""))))</f>
      </c>
      <c r="G1299" s="17">
        <f>IF(Log[[#This Row],[ID]]="","",IFERROR(VLOOKUP(Log[[#This Row],[Verb]],Verbs,3,FALSE)&amp;"",""))</f>
      </c>
      <c r="H1299" s="17">
        <f>IF(Log[[#This Row],[Date]]="","",INT((Log[[#This Row],[Date]]-Sprint1)/SprintDays)+1)</f>
      </c>
      <c r="I1299" s="17">
        <f>IF(OR(Log[[#This Row],[Verb]]="commit",Log[[#This Row],[Verb]]="carry",Log[[#This Row],[Verb]]="redo"),IF(Log[[#This Row],[Arg]]="",Log[[#This Row],[Sprint]],N(Log[[#This Row],[Arg]])),"")</f>
      </c>
      <c r="J1299" s="17">
        <f>IF(Log[[#This Row],[Verb]]="block",1,IF(OR(Log[[#This Row],[Verb]]="unblock",Log[[#This Row],[Verb]]="done",Log[[#This Row],[Verb]]="drop",Log[[#This Row],[Verb]]="punt",Log[[#This Row],[Verb]]="pass"),0,""))</f>
      </c>
      <c r="K1299" s="17">
        <f>IF(Log[[#This Row],[ID]]="",0,IFERROR(INDEX(Items[Pts],MATCH(Log[[#This Row],[ID]],Items[ID],0))*1,0))</f>
      </c>
      <c r="L1299" s="17">
        <f>IF(Log[[#This Row],[ID]]="","",IFERROR(INDEX(Items[Cur team],MATCH(Log[[#This Row],[ID]],Items[ID],0))&amp;"",""))</f>
      </c>
      <c r="M1299" s="17">
        <f>IF(OR(Log[[#This Row],[Verb]]="done",Log[[#This Row],[Verb]]="punt",Log[[#This Row],[Verb]]="drop",Log[[#This Row],[Verb]]="pass"),Log[[#This Row],[Pts]],0)</f>
      </c>
    </row>
    <row r="1300">
      <c r="A1300" s="11">
        <v>46203</v>
      </c>
      <c r="B1300" t="s">
        <v>756</v>
      </c>
      <c r="C1300" t="s">
        <v>34</v>
      </c>
      <c r="D1300">
        <v>47</v>
      </c>
      <c r="F1300" s="17">
        <f>IF(Log[[#This Row],[ID]]="","",IF(ISNA(MATCH(Log[[#This Row],[ID]],Items[ID],0)),"unknown ID",IF(ISNA(MATCH(Log[[#This Row],[Verb]],VerbList,0)),"unknown verb",IF(Log[[#This Row],[Date]]="","no date",""))))</f>
      </c>
      <c r="G1300" s="17">
        <f>IF(Log[[#This Row],[ID]]="","",IFERROR(VLOOKUP(Log[[#This Row],[Verb]],Verbs,3,FALSE)&amp;"",""))</f>
      </c>
      <c r="H1300" s="17">
        <f>IF(Log[[#This Row],[Date]]="","",INT((Log[[#This Row],[Date]]-Sprint1)/SprintDays)+1)</f>
      </c>
      <c r="I1300" s="17">
        <f>IF(OR(Log[[#This Row],[Verb]]="commit",Log[[#This Row],[Verb]]="carry",Log[[#This Row],[Verb]]="redo"),IF(Log[[#This Row],[Arg]]="",Log[[#This Row],[Sprint]],N(Log[[#This Row],[Arg]])),"")</f>
      </c>
      <c r="J1300" s="17">
        <f>IF(Log[[#This Row],[Verb]]="block",1,IF(OR(Log[[#This Row],[Verb]]="unblock",Log[[#This Row],[Verb]]="done",Log[[#This Row],[Verb]]="drop",Log[[#This Row],[Verb]]="punt",Log[[#This Row],[Verb]]="pass"),0,""))</f>
      </c>
      <c r="K1300" s="17">
        <f>IF(Log[[#This Row],[ID]]="",0,IFERROR(INDEX(Items[Pts],MATCH(Log[[#This Row],[ID]],Items[ID],0))*1,0))</f>
      </c>
      <c r="L1300" s="17">
        <f>IF(Log[[#This Row],[ID]]="","",IFERROR(INDEX(Items[Cur team],MATCH(Log[[#This Row],[ID]],Items[ID],0))&amp;"",""))</f>
      </c>
      <c r="M1300" s="17">
        <f>IF(OR(Log[[#This Row],[Verb]]="done",Log[[#This Row],[Verb]]="punt",Log[[#This Row],[Verb]]="drop",Log[[#This Row],[Verb]]="pass"),Log[[#This Row],[Pts]],0)</f>
      </c>
    </row>
    <row r="1301">
      <c r="A1301" s="11">
        <v>46203</v>
      </c>
      <c r="B1301" t="s">
        <v>757</v>
      </c>
      <c r="C1301" t="s">
        <v>34</v>
      </c>
      <c r="D1301">
        <v>47</v>
      </c>
      <c r="F1301" s="17">
        <f>IF(Log[[#This Row],[ID]]="","",IF(ISNA(MATCH(Log[[#This Row],[ID]],Items[ID],0)),"unknown ID",IF(ISNA(MATCH(Log[[#This Row],[Verb]],VerbList,0)),"unknown verb",IF(Log[[#This Row],[Date]]="","no date",""))))</f>
      </c>
      <c r="G1301" s="17">
        <f>IF(Log[[#This Row],[ID]]="","",IFERROR(VLOOKUP(Log[[#This Row],[Verb]],Verbs,3,FALSE)&amp;"",""))</f>
      </c>
      <c r="H1301" s="17">
        <f>IF(Log[[#This Row],[Date]]="","",INT((Log[[#This Row],[Date]]-Sprint1)/SprintDays)+1)</f>
      </c>
      <c r="I1301" s="17">
        <f>IF(OR(Log[[#This Row],[Verb]]="commit",Log[[#This Row],[Verb]]="carry",Log[[#This Row],[Verb]]="redo"),IF(Log[[#This Row],[Arg]]="",Log[[#This Row],[Sprint]],N(Log[[#This Row],[Arg]])),"")</f>
      </c>
      <c r="J1301" s="17">
        <f>IF(Log[[#This Row],[Verb]]="block",1,IF(OR(Log[[#This Row],[Verb]]="unblock",Log[[#This Row],[Verb]]="done",Log[[#This Row],[Verb]]="drop",Log[[#This Row],[Verb]]="punt",Log[[#This Row],[Verb]]="pass"),0,""))</f>
      </c>
      <c r="K1301" s="17">
        <f>IF(Log[[#This Row],[ID]]="",0,IFERROR(INDEX(Items[Pts],MATCH(Log[[#This Row],[ID]],Items[ID],0))*1,0))</f>
      </c>
      <c r="L1301" s="17">
        <f>IF(Log[[#This Row],[ID]]="","",IFERROR(INDEX(Items[Cur team],MATCH(Log[[#This Row],[ID]],Items[ID],0))&amp;"",""))</f>
      </c>
      <c r="M1301" s="17">
        <f>IF(OR(Log[[#This Row],[Verb]]="done",Log[[#This Row],[Verb]]="punt",Log[[#This Row],[Verb]]="drop",Log[[#This Row],[Verb]]="pass"),Log[[#This Row],[Pts]],0)</f>
      </c>
    </row>
    <row r="1302">
      <c r="A1302" s="11">
        <v>46203</v>
      </c>
      <c r="B1302" t="s">
        <v>758</v>
      </c>
      <c r="C1302" t="s">
        <v>34</v>
      </c>
      <c r="D1302">
        <v>47</v>
      </c>
      <c r="F1302" s="17">
        <f>IF(Log[[#This Row],[ID]]="","",IF(ISNA(MATCH(Log[[#This Row],[ID]],Items[ID],0)),"unknown ID",IF(ISNA(MATCH(Log[[#This Row],[Verb]],VerbList,0)),"unknown verb",IF(Log[[#This Row],[Date]]="","no date",""))))</f>
      </c>
      <c r="G1302" s="17">
        <f>IF(Log[[#This Row],[ID]]="","",IFERROR(VLOOKUP(Log[[#This Row],[Verb]],Verbs,3,FALSE)&amp;"",""))</f>
      </c>
      <c r="H1302" s="17">
        <f>IF(Log[[#This Row],[Date]]="","",INT((Log[[#This Row],[Date]]-Sprint1)/SprintDays)+1)</f>
      </c>
      <c r="I1302" s="17">
        <f>IF(OR(Log[[#This Row],[Verb]]="commit",Log[[#This Row],[Verb]]="carry",Log[[#This Row],[Verb]]="redo"),IF(Log[[#This Row],[Arg]]="",Log[[#This Row],[Sprint]],N(Log[[#This Row],[Arg]])),"")</f>
      </c>
      <c r="J1302" s="17">
        <f>IF(Log[[#This Row],[Verb]]="block",1,IF(OR(Log[[#This Row],[Verb]]="unblock",Log[[#This Row],[Verb]]="done",Log[[#This Row],[Verb]]="drop",Log[[#This Row],[Verb]]="punt",Log[[#This Row],[Verb]]="pass"),0,""))</f>
      </c>
      <c r="K1302" s="17">
        <f>IF(Log[[#This Row],[ID]]="",0,IFERROR(INDEX(Items[Pts],MATCH(Log[[#This Row],[ID]],Items[ID],0))*1,0))</f>
      </c>
      <c r="L1302" s="17">
        <f>IF(Log[[#This Row],[ID]]="","",IFERROR(INDEX(Items[Cur team],MATCH(Log[[#This Row],[ID]],Items[ID],0))&amp;"",""))</f>
      </c>
      <c r="M1302" s="17">
        <f>IF(OR(Log[[#This Row],[Verb]]="done",Log[[#This Row],[Verb]]="punt",Log[[#This Row],[Verb]]="drop",Log[[#This Row],[Verb]]="pass"),Log[[#This Row],[Pts]],0)</f>
      </c>
    </row>
    <row r="1303">
      <c r="A1303" s="11">
        <v>46203</v>
      </c>
      <c r="B1303" t="s">
        <v>759</v>
      </c>
      <c r="C1303" t="s">
        <v>34</v>
      </c>
      <c r="D1303">
        <v>47</v>
      </c>
      <c r="F1303" s="17">
        <f>IF(Log[[#This Row],[ID]]="","",IF(ISNA(MATCH(Log[[#This Row],[ID]],Items[ID],0)),"unknown ID",IF(ISNA(MATCH(Log[[#This Row],[Verb]],VerbList,0)),"unknown verb",IF(Log[[#This Row],[Date]]="","no date",""))))</f>
      </c>
      <c r="G1303" s="17">
        <f>IF(Log[[#This Row],[ID]]="","",IFERROR(VLOOKUP(Log[[#This Row],[Verb]],Verbs,3,FALSE)&amp;"",""))</f>
      </c>
      <c r="H1303" s="17">
        <f>IF(Log[[#This Row],[Date]]="","",INT((Log[[#This Row],[Date]]-Sprint1)/SprintDays)+1)</f>
      </c>
      <c r="I1303" s="17">
        <f>IF(OR(Log[[#This Row],[Verb]]="commit",Log[[#This Row],[Verb]]="carry",Log[[#This Row],[Verb]]="redo"),IF(Log[[#This Row],[Arg]]="",Log[[#This Row],[Sprint]],N(Log[[#This Row],[Arg]])),"")</f>
      </c>
      <c r="J1303" s="17">
        <f>IF(Log[[#This Row],[Verb]]="block",1,IF(OR(Log[[#This Row],[Verb]]="unblock",Log[[#This Row],[Verb]]="done",Log[[#This Row],[Verb]]="drop",Log[[#This Row],[Verb]]="punt",Log[[#This Row],[Verb]]="pass"),0,""))</f>
      </c>
      <c r="K1303" s="17">
        <f>IF(Log[[#This Row],[ID]]="",0,IFERROR(INDEX(Items[Pts],MATCH(Log[[#This Row],[ID]],Items[ID],0))*1,0))</f>
      </c>
      <c r="L1303" s="17">
        <f>IF(Log[[#This Row],[ID]]="","",IFERROR(INDEX(Items[Cur team],MATCH(Log[[#This Row],[ID]],Items[ID],0))&amp;"",""))</f>
      </c>
      <c r="M1303" s="17">
        <f>IF(OR(Log[[#This Row],[Verb]]="done",Log[[#This Row],[Verb]]="punt",Log[[#This Row],[Verb]]="drop",Log[[#This Row],[Verb]]="pass"),Log[[#This Row],[Pts]],0)</f>
      </c>
    </row>
    <row r="1304">
      <c r="A1304" s="11">
        <v>46216</v>
      </c>
      <c r="B1304" t="s">
        <v>705</v>
      </c>
      <c r="C1304" t="s">
        <v>41</v>
      </c>
      <c r="F1304" s="17">
        <f>IF(Log[[#This Row],[ID]]="","",IF(ISNA(MATCH(Log[[#This Row],[ID]],Items[ID],0)),"unknown ID",IF(ISNA(MATCH(Log[[#This Row],[Verb]],VerbList,0)),"unknown verb",IF(Log[[#This Row],[Date]]="","no date",""))))</f>
      </c>
      <c r="G1304" s="17">
        <f>IF(Log[[#This Row],[ID]]="","",IFERROR(VLOOKUP(Log[[#This Row],[Verb]],Verbs,3,FALSE)&amp;"",""))</f>
      </c>
      <c r="H1304" s="17">
        <f>IF(Log[[#This Row],[Date]]="","",INT((Log[[#This Row],[Date]]-Sprint1)/SprintDays)+1)</f>
      </c>
      <c r="I1304" s="17">
        <f>IF(OR(Log[[#This Row],[Verb]]="commit",Log[[#This Row],[Verb]]="carry",Log[[#This Row],[Verb]]="redo"),IF(Log[[#This Row],[Arg]]="",Log[[#This Row],[Sprint]],N(Log[[#This Row],[Arg]])),"")</f>
      </c>
      <c r="J1304" s="17">
        <f>IF(Log[[#This Row],[Verb]]="block",1,IF(OR(Log[[#This Row],[Verb]]="unblock",Log[[#This Row],[Verb]]="done",Log[[#This Row],[Verb]]="drop",Log[[#This Row],[Verb]]="punt",Log[[#This Row],[Verb]]="pass"),0,""))</f>
      </c>
      <c r="K1304" s="17">
        <f>IF(Log[[#This Row],[ID]]="",0,IFERROR(INDEX(Items[Pts],MATCH(Log[[#This Row],[ID]],Items[ID],0))*1,0))</f>
      </c>
      <c r="L1304" s="17">
        <f>IF(Log[[#This Row],[ID]]="","",IFERROR(INDEX(Items[Cur team],MATCH(Log[[#This Row],[ID]],Items[ID],0))&amp;"",""))</f>
      </c>
      <c r="M1304" s="17">
        <f>IF(OR(Log[[#This Row],[Verb]]="done",Log[[#This Row],[Verb]]="punt",Log[[#This Row],[Verb]]="drop",Log[[#This Row],[Verb]]="pass"),Log[[#This Row],[Pts]],0)</f>
      </c>
    </row>
    <row r="1305">
      <c r="A1305" s="11">
        <v>46216</v>
      </c>
      <c r="B1305" t="s">
        <v>706</v>
      </c>
      <c r="C1305" t="s">
        <v>41</v>
      </c>
      <c r="F1305" s="17">
        <f>IF(Log[[#This Row],[ID]]="","",IF(ISNA(MATCH(Log[[#This Row],[ID]],Items[ID],0)),"unknown ID",IF(ISNA(MATCH(Log[[#This Row],[Verb]],VerbList,0)),"unknown verb",IF(Log[[#This Row],[Date]]="","no date",""))))</f>
      </c>
      <c r="G1305" s="17">
        <f>IF(Log[[#This Row],[ID]]="","",IFERROR(VLOOKUP(Log[[#This Row],[Verb]],Verbs,3,FALSE)&amp;"",""))</f>
      </c>
      <c r="H1305" s="17">
        <f>IF(Log[[#This Row],[Date]]="","",INT((Log[[#This Row],[Date]]-Sprint1)/SprintDays)+1)</f>
      </c>
      <c r="I1305" s="17">
        <f>IF(OR(Log[[#This Row],[Verb]]="commit",Log[[#This Row],[Verb]]="carry",Log[[#This Row],[Verb]]="redo"),IF(Log[[#This Row],[Arg]]="",Log[[#This Row],[Sprint]],N(Log[[#This Row],[Arg]])),"")</f>
      </c>
      <c r="J1305" s="17">
        <f>IF(Log[[#This Row],[Verb]]="block",1,IF(OR(Log[[#This Row],[Verb]]="unblock",Log[[#This Row],[Verb]]="done",Log[[#This Row],[Verb]]="drop",Log[[#This Row],[Verb]]="punt",Log[[#This Row],[Verb]]="pass"),0,""))</f>
      </c>
      <c r="K1305" s="17">
        <f>IF(Log[[#This Row],[ID]]="",0,IFERROR(INDEX(Items[Pts],MATCH(Log[[#This Row],[ID]],Items[ID],0))*1,0))</f>
      </c>
      <c r="L1305" s="17">
        <f>IF(Log[[#This Row],[ID]]="","",IFERROR(INDEX(Items[Cur team],MATCH(Log[[#This Row],[ID]],Items[ID],0))&amp;"",""))</f>
      </c>
      <c r="M1305" s="17">
        <f>IF(OR(Log[[#This Row],[Verb]]="done",Log[[#This Row],[Verb]]="punt",Log[[#This Row],[Verb]]="drop",Log[[#This Row],[Verb]]="pass"),Log[[#This Row],[Pts]],0)</f>
      </c>
    </row>
    <row r="1306">
      <c r="A1306" s="11">
        <v>46216</v>
      </c>
      <c r="B1306" t="s">
        <v>707</v>
      </c>
      <c r="C1306" t="s">
        <v>41</v>
      </c>
      <c r="F1306" s="17">
        <f>IF(Log[[#This Row],[ID]]="","",IF(ISNA(MATCH(Log[[#This Row],[ID]],Items[ID],0)),"unknown ID",IF(ISNA(MATCH(Log[[#This Row],[Verb]],VerbList,0)),"unknown verb",IF(Log[[#This Row],[Date]]="","no date",""))))</f>
      </c>
      <c r="G1306" s="17">
        <f>IF(Log[[#This Row],[ID]]="","",IFERROR(VLOOKUP(Log[[#This Row],[Verb]],Verbs,3,FALSE)&amp;"",""))</f>
      </c>
      <c r="H1306" s="17">
        <f>IF(Log[[#This Row],[Date]]="","",INT((Log[[#This Row],[Date]]-Sprint1)/SprintDays)+1)</f>
      </c>
      <c r="I1306" s="17">
        <f>IF(OR(Log[[#This Row],[Verb]]="commit",Log[[#This Row],[Verb]]="carry",Log[[#This Row],[Verb]]="redo"),IF(Log[[#This Row],[Arg]]="",Log[[#This Row],[Sprint]],N(Log[[#This Row],[Arg]])),"")</f>
      </c>
      <c r="J1306" s="17">
        <f>IF(Log[[#This Row],[Verb]]="block",1,IF(OR(Log[[#This Row],[Verb]]="unblock",Log[[#This Row],[Verb]]="done",Log[[#This Row],[Verb]]="drop",Log[[#This Row],[Verb]]="punt",Log[[#This Row],[Verb]]="pass"),0,""))</f>
      </c>
      <c r="K1306" s="17">
        <f>IF(Log[[#This Row],[ID]]="",0,IFERROR(INDEX(Items[Pts],MATCH(Log[[#This Row],[ID]],Items[ID],0))*1,0))</f>
      </c>
      <c r="L1306" s="17">
        <f>IF(Log[[#This Row],[ID]]="","",IFERROR(INDEX(Items[Cur team],MATCH(Log[[#This Row],[ID]],Items[ID],0))&amp;"",""))</f>
      </c>
      <c r="M1306" s="17">
        <f>IF(OR(Log[[#This Row],[Verb]]="done",Log[[#This Row],[Verb]]="punt",Log[[#This Row],[Verb]]="drop",Log[[#This Row],[Verb]]="pass"),Log[[#This Row],[Pts]],0)</f>
      </c>
    </row>
    <row r="1307">
      <c r="A1307" s="11">
        <v>46216</v>
      </c>
      <c r="B1307" t="s">
        <v>708</v>
      </c>
      <c r="C1307" t="s">
        <v>38</v>
      </c>
      <c r="D1307">
        <v>48</v>
      </c>
      <c r="F1307" s="17">
        <f>IF(Log[[#This Row],[ID]]="","",IF(ISNA(MATCH(Log[[#This Row],[ID]],Items[ID],0)),"unknown ID",IF(ISNA(MATCH(Log[[#This Row],[Verb]],VerbList,0)),"unknown verb",IF(Log[[#This Row],[Date]]="","no date",""))))</f>
      </c>
      <c r="G1307" s="17">
        <f>IF(Log[[#This Row],[ID]]="","",IFERROR(VLOOKUP(Log[[#This Row],[Verb]],Verbs,3,FALSE)&amp;"",""))</f>
      </c>
      <c r="H1307" s="17">
        <f>IF(Log[[#This Row],[Date]]="","",INT((Log[[#This Row],[Date]]-Sprint1)/SprintDays)+1)</f>
      </c>
      <c r="I1307" s="17">
        <f>IF(OR(Log[[#This Row],[Verb]]="commit",Log[[#This Row],[Verb]]="carry",Log[[#This Row],[Verb]]="redo"),IF(Log[[#This Row],[Arg]]="",Log[[#This Row],[Sprint]],N(Log[[#This Row],[Arg]])),"")</f>
      </c>
      <c r="J1307" s="17">
        <f>IF(Log[[#This Row],[Verb]]="block",1,IF(OR(Log[[#This Row],[Verb]]="unblock",Log[[#This Row],[Verb]]="done",Log[[#This Row],[Verb]]="drop",Log[[#This Row],[Verb]]="punt",Log[[#This Row],[Verb]]="pass"),0,""))</f>
      </c>
      <c r="K1307" s="17">
        <f>IF(Log[[#This Row],[ID]]="",0,IFERROR(INDEX(Items[Pts],MATCH(Log[[#This Row],[ID]],Items[ID],0))*1,0))</f>
      </c>
      <c r="L1307" s="17">
        <f>IF(Log[[#This Row],[ID]]="","",IFERROR(INDEX(Items[Cur team],MATCH(Log[[#This Row],[ID]],Items[ID],0))&amp;"",""))</f>
      </c>
      <c r="M1307" s="17">
        <f>IF(OR(Log[[#This Row],[Verb]]="done",Log[[#This Row],[Verb]]="punt",Log[[#This Row],[Verb]]="drop",Log[[#This Row],[Verb]]="pass"),Log[[#This Row],[Pts]],0)</f>
      </c>
    </row>
    <row r="1308">
      <c r="A1308" s="11">
        <v>46216</v>
      </c>
      <c r="B1308" t="s">
        <v>709</v>
      </c>
      <c r="C1308" t="s">
        <v>41</v>
      </c>
      <c r="F1308" s="17">
        <f>IF(Log[[#This Row],[ID]]="","",IF(ISNA(MATCH(Log[[#This Row],[ID]],Items[ID],0)),"unknown ID",IF(ISNA(MATCH(Log[[#This Row],[Verb]],VerbList,0)),"unknown verb",IF(Log[[#This Row],[Date]]="","no date",""))))</f>
      </c>
      <c r="G1308" s="17">
        <f>IF(Log[[#This Row],[ID]]="","",IFERROR(VLOOKUP(Log[[#This Row],[Verb]],Verbs,3,FALSE)&amp;"",""))</f>
      </c>
      <c r="H1308" s="17">
        <f>IF(Log[[#This Row],[Date]]="","",INT((Log[[#This Row],[Date]]-Sprint1)/SprintDays)+1)</f>
      </c>
      <c r="I1308" s="17">
        <f>IF(OR(Log[[#This Row],[Verb]]="commit",Log[[#This Row],[Verb]]="carry",Log[[#This Row],[Verb]]="redo"),IF(Log[[#This Row],[Arg]]="",Log[[#This Row],[Sprint]],N(Log[[#This Row],[Arg]])),"")</f>
      </c>
      <c r="J1308" s="17">
        <f>IF(Log[[#This Row],[Verb]]="block",1,IF(OR(Log[[#This Row],[Verb]]="unblock",Log[[#This Row],[Verb]]="done",Log[[#This Row],[Verb]]="drop",Log[[#This Row],[Verb]]="punt",Log[[#This Row],[Verb]]="pass"),0,""))</f>
      </c>
      <c r="K1308" s="17">
        <f>IF(Log[[#This Row],[ID]]="",0,IFERROR(INDEX(Items[Pts],MATCH(Log[[#This Row],[ID]],Items[ID],0))*1,0))</f>
      </c>
      <c r="L1308" s="17">
        <f>IF(Log[[#This Row],[ID]]="","",IFERROR(INDEX(Items[Cur team],MATCH(Log[[#This Row],[ID]],Items[ID],0))&amp;"",""))</f>
      </c>
      <c r="M1308" s="17">
        <f>IF(OR(Log[[#This Row],[Verb]]="done",Log[[#This Row],[Verb]]="punt",Log[[#This Row],[Verb]]="drop",Log[[#This Row],[Verb]]="pass"),Log[[#This Row],[Pts]],0)</f>
      </c>
    </row>
    <row r="1309">
      <c r="A1309" s="11">
        <v>46216</v>
      </c>
      <c r="B1309" t="s">
        <v>710</v>
      </c>
      <c r="C1309" t="s">
        <v>41</v>
      </c>
      <c r="F1309" s="17">
        <f>IF(Log[[#This Row],[ID]]="","",IF(ISNA(MATCH(Log[[#This Row],[ID]],Items[ID],0)),"unknown ID",IF(ISNA(MATCH(Log[[#This Row],[Verb]],VerbList,0)),"unknown verb",IF(Log[[#This Row],[Date]]="","no date",""))))</f>
      </c>
      <c r="G1309" s="17">
        <f>IF(Log[[#This Row],[ID]]="","",IFERROR(VLOOKUP(Log[[#This Row],[Verb]],Verbs,3,FALSE)&amp;"",""))</f>
      </c>
      <c r="H1309" s="17">
        <f>IF(Log[[#This Row],[Date]]="","",INT((Log[[#This Row],[Date]]-Sprint1)/SprintDays)+1)</f>
      </c>
      <c r="I1309" s="17">
        <f>IF(OR(Log[[#This Row],[Verb]]="commit",Log[[#This Row],[Verb]]="carry",Log[[#This Row],[Verb]]="redo"),IF(Log[[#This Row],[Arg]]="",Log[[#This Row],[Sprint]],N(Log[[#This Row],[Arg]])),"")</f>
      </c>
      <c r="J1309" s="17">
        <f>IF(Log[[#This Row],[Verb]]="block",1,IF(OR(Log[[#This Row],[Verb]]="unblock",Log[[#This Row],[Verb]]="done",Log[[#This Row],[Verb]]="drop",Log[[#This Row],[Verb]]="punt",Log[[#This Row],[Verb]]="pass"),0,""))</f>
      </c>
      <c r="K1309" s="17">
        <f>IF(Log[[#This Row],[ID]]="",0,IFERROR(INDEX(Items[Pts],MATCH(Log[[#This Row],[ID]],Items[ID],0))*1,0))</f>
      </c>
      <c r="L1309" s="17">
        <f>IF(Log[[#This Row],[ID]]="","",IFERROR(INDEX(Items[Cur team],MATCH(Log[[#This Row],[ID]],Items[ID],0))&amp;"",""))</f>
      </c>
      <c r="M1309" s="17">
        <f>IF(OR(Log[[#This Row],[Verb]]="done",Log[[#This Row],[Verb]]="punt",Log[[#This Row],[Verb]]="drop",Log[[#This Row],[Verb]]="pass"),Log[[#This Row],[Pts]],0)</f>
      </c>
    </row>
    <row r="1310">
      <c r="A1310" s="11">
        <v>46216</v>
      </c>
      <c r="B1310" t="s">
        <v>711</v>
      </c>
      <c r="C1310" t="s">
        <v>41</v>
      </c>
      <c r="F1310" s="17">
        <f>IF(Log[[#This Row],[ID]]="","",IF(ISNA(MATCH(Log[[#This Row],[ID]],Items[ID],0)),"unknown ID",IF(ISNA(MATCH(Log[[#This Row],[Verb]],VerbList,0)),"unknown verb",IF(Log[[#This Row],[Date]]="","no date",""))))</f>
      </c>
      <c r="G1310" s="17">
        <f>IF(Log[[#This Row],[ID]]="","",IFERROR(VLOOKUP(Log[[#This Row],[Verb]],Verbs,3,FALSE)&amp;"",""))</f>
      </c>
      <c r="H1310" s="17">
        <f>IF(Log[[#This Row],[Date]]="","",INT((Log[[#This Row],[Date]]-Sprint1)/SprintDays)+1)</f>
      </c>
      <c r="I1310" s="17">
        <f>IF(OR(Log[[#This Row],[Verb]]="commit",Log[[#This Row],[Verb]]="carry",Log[[#This Row],[Verb]]="redo"),IF(Log[[#This Row],[Arg]]="",Log[[#This Row],[Sprint]],N(Log[[#This Row],[Arg]])),"")</f>
      </c>
      <c r="J1310" s="17">
        <f>IF(Log[[#This Row],[Verb]]="block",1,IF(OR(Log[[#This Row],[Verb]]="unblock",Log[[#This Row],[Verb]]="done",Log[[#This Row],[Verb]]="drop",Log[[#This Row],[Verb]]="punt",Log[[#This Row],[Verb]]="pass"),0,""))</f>
      </c>
      <c r="K1310" s="17">
        <f>IF(Log[[#This Row],[ID]]="",0,IFERROR(INDEX(Items[Pts],MATCH(Log[[#This Row],[ID]],Items[ID],0))*1,0))</f>
      </c>
      <c r="L1310" s="17">
        <f>IF(Log[[#This Row],[ID]]="","",IFERROR(INDEX(Items[Cur team],MATCH(Log[[#This Row],[ID]],Items[ID],0))&amp;"",""))</f>
      </c>
      <c r="M1310" s="17">
        <f>IF(OR(Log[[#This Row],[Verb]]="done",Log[[#This Row],[Verb]]="punt",Log[[#This Row],[Verb]]="drop",Log[[#This Row],[Verb]]="pass"),Log[[#This Row],[Pts]],0)</f>
      </c>
    </row>
    <row r="1311">
      <c r="A1311" s="11">
        <v>46216</v>
      </c>
      <c r="B1311" t="s">
        <v>712</v>
      </c>
      <c r="C1311" t="s">
        <v>41</v>
      </c>
      <c r="F1311" s="17">
        <f>IF(Log[[#This Row],[ID]]="","",IF(ISNA(MATCH(Log[[#This Row],[ID]],Items[ID],0)),"unknown ID",IF(ISNA(MATCH(Log[[#This Row],[Verb]],VerbList,0)),"unknown verb",IF(Log[[#This Row],[Date]]="","no date",""))))</f>
      </c>
      <c r="G1311" s="17">
        <f>IF(Log[[#This Row],[ID]]="","",IFERROR(VLOOKUP(Log[[#This Row],[Verb]],Verbs,3,FALSE)&amp;"",""))</f>
      </c>
      <c r="H1311" s="17">
        <f>IF(Log[[#This Row],[Date]]="","",INT((Log[[#This Row],[Date]]-Sprint1)/SprintDays)+1)</f>
      </c>
      <c r="I1311" s="17">
        <f>IF(OR(Log[[#This Row],[Verb]]="commit",Log[[#This Row],[Verb]]="carry",Log[[#This Row],[Verb]]="redo"),IF(Log[[#This Row],[Arg]]="",Log[[#This Row],[Sprint]],N(Log[[#This Row],[Arg]])),"")</f>
      </c>
      <c r="J1311" s="17">
        <f>IF(Log[[#This Row],[Verb]]="block",1,IF(OR(Log[[#This Row],[Verb]]="unblock",Log[[#This Row],[Verb]]="done",Log[[#This Row],[Verb]]="drop",Log[[#This Row],[Verb]]="punt",Log[[#This Row],[Verb]]="pass"),0,""))</f>
      </c>
      <c r="K1311" s="17">
        <f>IF(Log[[#This Row],[ID]]="",0,IFERROR(INDEX(Items[Pts],MATCH(Log[[#This Row],[ID]],Items[ID],0))*1,0))</f>
      </c>
      <c r="L1311" s="17">
        <f>IF(Log[[#This Row],[ID]]="","",IFERROR(INDEX(Items[Cur team],MATCH(Log[[#This Row],[ID]],Items[ID],0))&amp;"",""))</f>
      </c>
      <c r="M1311" s="17">
        <f>IF(OR(Log[[#This Row],[Verb]]="done",Log[[#This Row],[Verb]]="punt",Log[[#This Row],[Verb]]="drop",Log[[#This Row],[Verb]]="pass"),Log[[#This Row],[Pts]],0)</f>
      </c>
    </row>
    <row r="1312">
      <c r="A1312" s="11">
        <v>46216</v>
      </c>
      <c r="B1312" t="s">
        <v>713</v>
      </c>
      <c r="C1312" t="s">
        <v>38</v>
      </c>
      <c r="D1312">
        <v>48</v>
      </c>
      <c r="F1312" s="17">
        <f>IF(Log[[#This Row],[ID]]="","",IF(ISNA(MATCH(Log[[#This Row],[ID]],Items[ID],0)),"unknown ID",IF(ISNA(MATCH(Log[[#This Row],[Verb]],VerbList,0)),"unknown verb",IF(Log[[#This Row],[Date]]="","no date",""))))</f>
      </c>
      <c r="G1312" s="17">
        <f>IF(Log[[#This Row],[ID]]="","",IFERROR(VLOOKUP(Log[[#This Row],[Verb]],Verbs,3,FALSE)&amp;"",""))</f>
      </c>
      <c r="H1312" s="17">
        <f>IF(Log[[#This Row],[Date]]="","",INT((Log[[#This Row],[Date]]-Sprint1)/SprintDays)+1)</f>
      </c>
      <c r="I1312" s="17">
        <f>IF(OR(Log[[#This Row],[Verb]]="commit",Log[[#This Row],[Verb]]="carry",Log[[#This Row],[Verb]]="redo"),IF(Log[[#This Row],[Arg]]="",Log[[#This Row],[Sprint]],N(Log[[#This Row],[Arg]])),"")</f>
      </c>
      <c r="J1312" s="17">
        <f>IF(Log[[#This Row],[Verb]]="block",1,IF(OR(Log[[#This Row],[Verb]]="unblock",Log[[#This Row],[Verb]]="done",Log[[#This Row],[Verb]]="drop",Log[[#This Row],[Verb]]="punt",Log[[#This Row],[Verb]]="pass"),0,""))</f>
      </c>
      <c r="K1312" s="17">
        <f>IF(Log[[#This Row],[ID]]="",0,IFERROR(INDEX(Items[Pts],MATCH(Log[[#This Row],[ID]],Items[ID],0))*1,0))</f>
      </c>
      <c r="L1312" s="17">
        <f>IF(Log[[#This Row],[ID]]="","",IFERROR(INDEX(Items[Cur team],MATCH(Log[[#This Row],[ID]],Items[ID],0))&amp;"",""))</f>
      </c>
      <c r="M1312" s="17">
        <f>IF(OR(Log[[#This Row],[Verb]]="done",Log[[#This Row],[Verb]]="punt",Log[[#This Row],[Verb]]="drop",Log[[#This Row],[Verb]]="pass"),Log[[#This Row],[Pts]],0)</f>
      </c>
    </row>
    <row r="1313">
      <c r="A1313" s="11">
        <v>46216</v>
      </c>
      <c r="B1313" t="s">
        <v>714</v>
      </c>
      <c r="C1313" t="s">
        <v>41</v>
      </c>
      <c r="F1313" s="17">
        <f>IF(Log[[#This Row],[ID]]="","",IF(ISNA(MATCH(Log[[#This Row],[ID]],Items[ID],0)),"unknown ID",IF(ISNA(MATCH(Log[[#This Row],[Verb]],VerbList,0)),"unknown verb",IF(Log[[#This Row],[Date]]="","no date",""))))</f>
      </c>
      <c r="G1313" s="17">
        <f>IF(Log[[#This Row],[ID]]="","",IFERROR(VLOOKUP(Log[[#This Row],[Verb]],Verbs,3,FALSE)&amp;"",""))</f>
      </c>
      <c r="H1313" s="17">
        <f>IF(Log[[#This Row],[Date]]="","",INT((Log[[#This Row],[Date]]-Sprint1)/SprintDays)+1)</f>
      </c>
      <c r="I1313" s="17">
        <f>IF(OR(Log[[#This Row],[Verb]]="commit",Log[[#This Row],[Verb]]="carry",Log[[#This Row],[Verb]]="redo"),IF(Log[[#This Row],[Arg]]="",Log[[#This Row],[Sprint]],N(Log[[#This Row],[Arg]])),"")</f>
      </c>
      <c r="J1313" s="17">
        <f>IF(Log[[#This Row],[Verb]]="block",1,IF(OR(Log[[#This Row],[Verb]]="unblock",Log[[#This Row],[Verb]]="done",Log[[#This Row],[Verb]]="drop",Log[[#This Row],[Verb]]="punt",Log[[#This Row],[Verb]]="pass"),0,""))</f>
      </c>
      <c r="K1313" s="17">
        <f>IF(Log[[#This Row],[ID]]="",0,IFERROR(INDEX(Items[Pts],MATCH(Log[[#This Row],[ID]],Items[ID],0))*1,0))</f>
      </c>
      <c r="L1313" s="17">
        <f>IF(Log[[#This Row],[ID]]="","",IFERROR(INDEX(Items[Cur team],MATCH(Log[[#This Row],[ID]],Items[ID],0))&amp;"",""))</f>
      </c>
      <c r="M1313" s="17">
        <f>IF(OR(Log[[#This Row],[Verb]]="done",Log[[#This Row],[Verb]]="punt",Log[[#This Row],[Verb]]="drop",Log[[#This Row],[Verb]]="pass"),Log[[#This Row],[Pts]],0)</f>
      </c>
    </row>
    <row r="1314">
      <c r="A1314" s="11">
        <v>46216</v>
      </c>
      <c r="B1314" t="s">
        <v>597</v>
      </c>
      <c r="C1314" t="s">
        <v>38</v>
      </c>
      <c r="D1314">
        <v>48</v>
      </c>
      <c r="F1314" s="17">
        <f>IF(Log[[#This Row],[ID]]="","",IF(ISNA(MATCH(Log[[#This Row],[ID]],Items[ID],0)),"unknown ID",IF(ISNA(MATCH(Log[[#This Row],[Verb]],VerbList,0)),"unknown verb",IF(Log[[#This Row],[Date]]="","no date",""))))</f>
      </c>
      <c r="G1314" s="17">
        <f>IF(Log[[#This Row],[ID]]="","",IFERROR(VLOOKUP(Log[[#This Row],[Verb]],Verbs,3,FALSE)&amp;"",""))</f>
      </c>
      <c r="H1314" s="17">
        <f>IF(Log[[#This Row],[Date]]="","",INT((Log[[#This Row],[Date]]-Sprint1)/SprintDays)+1)</f>
      </c>
      <c r="I1314" s="17">
        <f>IF(OR(Log[[#This Row],[Verb]]="commit",Log[[#This Row],[Verb]]="carry",Log[[#This Row],[Verb]]="redo"),IF(Log[[#This Row],[Arg]]="",Log[[#This Row],[Sprint]],N(Log[[#This Row],[Arg]])),"")</f>
      </c>
      <c r="J1314" s="17">
        <f>IF(Log[[#This Row],[Verb]]="block",1,IF(OR(Log[[#This Row],[Verb]]="unblock",Log[[#This Row],[Verb]]="done",Log[[#This Row],[Verb]]="drop",Log[[#This Row],[Verb]]="punt",Log[[#This Row],[Verb]]="pass"),0,""))</f>
      </c>
      <c r="K1314" s="17">
        <f>IF(Log[[#This Row],[ID]]="",0,IFERROR(INDEX(Items[Pts],MATCH(Log[[#This Row],[ID]],Items[ID],0))*1,0))</f>
      </c>
      <c r="L1314" s="17">
        <f>IF(Log[[#This Row],[ID]]="","",IFERROR(INDEX(Items[Cur team],MATCH(Log[[#This Row],[ID]],Items[ID],0))&amp;"",""))</f>
      </c>
      <c r="M1314" s="17">
        <f>IF(OR(Log[[#This Row],[Verb]]="done",Log[[#This Row],[Verb]]="punt",Log[[#This Row],[Verb]]="drop",Log[[#This Row],[Verb]]="pass"),Log[[#This Row],[Pts]],0)</f>
      </c>
    </row>
    <row r="1315">
      <c r="A1315" s="11">
        <v>46216</v>
      </c>
      <c r="B1315" t="s">
        <v>664</v>
      </c>
      <c r="C1315" t="s">
        <v>38</v>
      </c>
      <c r="D1315">
        <v>48</v>
      </c>
      <c r="F1315" s="17">
        <f>IF(Log[[#This Row],[ID]]="","",IF(ISNA(MATCH(Log[[#This Row],[ID]],Items[ID],0)),"unknown ID",IF(ISNA(MATCH(Log[[#This Row],[Verb]],VerbList,0)),"unknown verb",IF(Log[[#This Row],[Date]]="","no date",""))))</f>
      </c>
      <c r="G1315" s="17">
        <f>IF(Log[[#This Row],[ID]]="","",IFERROR(VLOOKUP(Log[[#This Row],[Verb]],Verbs,3,FALSE)&amp;"",""))</f>
      </c>
      <c r="H1315" s="17">
        <f>IF(Log[[#This Row],[Date]]="","",INT((Log[[#This Row],[Date]]-Sprint1)/SprintDays)+1)</f>
      </c>
      <c r="I1315" s="17">
        <f>IF(OR(Log[[#This Row],[Verb]]="commit",Log[[#This Row],[Verb]]="carry",Log[[#This Row],[Verb]]="redo"),IF(Log[[#This Row],[Arg]]="",Log[[#This Row],[Sprint]],N(Log[[#This Row],[Arg]])),"")</f>
      </c>
      <c r="J1315" s="17">
        <f>IF(Log[[#This Row],[Verb]]="block",1,IF(OR(Log[[#This Row],[Verb]]="unblock",Log[[#This Row],[Verb]]="done",Log[[#This Row],[Verb]]="drop",Log[[#This Row],[Verb]]="punt",Log[[#This Row],[Verb]]="pass"),0,""))</f>
      </c>
      <c r="K1315" s="17">
        <f>IF(Log[[#This Row],[ID]]="",0,IFERROR(INDEX(Items[Pts],MATCH(Log[[#This Row],[ID]],Items[ID],0))*1,0))</f>
      </c>
      <c r="L1315" s="17">
        <f>IF(Log[[#This Row],[ID]]="","",IFERROR(INDEX(Items[Cur team],MATCH(Log[[#This Row],[ID]],Items[ID],0))&amp;"",""))</f>
      </c>
      <c r="M1315" s="17">
        <f>IF(OR(Log[[#This Row],[Verb]]="done",Log[[#This Row],[Verb]]="punt",Log[[#This Row],[Verb]]="drop",Log[[#This Row],[Verb]]="pass"),Log[[#This Row],[Pts]],0)</f>
      </c>
    </row>
    <row r="1316">
      <c r="A1316" s="11">
        <v>46216</v>
      </c>
      <c r="B1316" t="s">
        <v>715</v>
      </c>
      <c r="C1316" t="s">
        <v>38</v>
      </c>
      <c r="D1316">
        <v>48</v>
      </c>
      <c r="F1316" s="17">
        <f>IF(Log[[#This Row],[ID]]="","",IF(ISNA(MATCH(Log[[#This Row],[ID]],Items[ID],0)),"unknown ID",IF(ISNA(MATCH(Log[[#This Row],[Verb]],VerbList,0)),"unknown verb",IF(Log[[#This Row],[Date]]="","no date",""))))</f>
      </c>
      <c r="G1316" s="17">
        <f>IF(Log[[#This Row],[ID]]="","",IFERROR(VLOOKUP(Log[[#This Row],[Verb]],Verbs,3,FALSE)&amp;"",""))</f>
      </c>
      <c r="H1316" s="17">
        <f>IF(Log[[#This Row],[Date]]="","",INT((Log[[#This Row],[Date]]-Sprint1)/SprintDays)+1)</f>
      </c>
      <c r="I1316" s="17">
        <f>IF(OR(Log[[#This Row],[Verb]]="commit",Log[[#This Row],[Verb]]="carry",Log[[#This Row],[Verb]]="redo"),IF(Log[[#This Row],[Arg]]="",Log[[#This Row],[Sprint]],N(Log[[#This Row],[Arg]])),"")</f>
      </c>
      <c r="J1316" s="17">
        <f>IF(Log[[#This Row],[Verb]]="block",1,IF(OR(Log[[#This Row],[Verb]]="unblock",Log[[#This Row],[Verb]]="done",Log[[#This Row],[Verb]]="drop",Log[[#This Row],[Verb]]="punt",Log[[#This Row],[Verb]]="pass"),0,""))</f>
      </c>
      <c r="K1316" s="17">
        <f>IF(Log[[#This Row],[ID]]="",0,IFERROR(INDEX(Items[Pts],MATCH(Log[[#This Row],[ID]],Items[ID],0))*1,0))</f>
      </c>
      <c r="L1316" s="17">
        <f>IF(Log[[#This Row],[ID]]="","",IFERROR(INDEX(Items[Cur team],MATCH(Log[[#This Row],[ID]],Items[ID],0))&amp;"",""))</f>
      </c>
      <c r="M1316" s="17">
        <f>IF(OR(Log[[#This Row],[Verb]]="done",Log[[#This Row],[Verb]]="punt",Log[[#This Row],[Verb]]="drop",Log[[#This Row],[Verb]]="pass"),Log[[#This Row],[Pts]],0)</f>
      </c>
    </row>
    <row r="1317">
      <c r="A1317" s="11">
        <v>46216</v>
      </c>
      <c r="B1317" t="s">
        <v>716</v>
      </c>
      <c r="C1317" t="s">
        <v>41</v>
      </c>
      <c r="F1317" s="17">
        <f>IF(Log[[#This Row],[ID]]="","",IF(ISNA(MATCH(Log[[#This Row],[ID]],Items[ID],0)),"unknown ID",IF(ISNA(MATCH(Log[[#This Row],[Verb]],VerbList,0)),"unknown verb",IF(Log[[#This Row],[Date]]="","no date",""))))</f>
      </c>
      <c r="G1317" s="17">
        <f>IF(Log[[#This Row],[ID]]="","",IFERROR(VLOOKUP(Log[[#This Row],[Verb]],Verbs,3,FALSE)&amp;"",""))</f>
      </c>
      <c r="H1317" s="17">
        <f>IF(Log[[#This Row],[Date]]="","",INT((Log[[#This Row],[Date]]-Sprint1)/SprintDays)+1)</f>
      </c>
      <c r="I1317" s="17">
        <f>IF(OR(Log[[#This Row],[Verb]]="commit",Log[[#This Row],[Verb]]="carry",Log[[#This Row],[Verb]]="redo"),IF(Log[[#This Row],[Arg]]="",Log[[#This Row],[Sprint]],N(Log[[#This Row],[Arg]])),"")</f>
      </c>
      <c r="J1317" s="17">
        <f>IF(Log[[#This Row],[Verb]]="block",1,IF(OR(Log[[#This Row],[Verb]]="unblock",Log[[#This Row],[Verb]]="done",Log[[#This Row],[Verb]]="drop",Log[[#This Row],[Verb]]="punt",Log[[#This Row],[Verb]]="pass"),0,""))</f>
      </c>
      <c r="K1317" s="17">
        <f>IF(Log[[#This Row],[ID]]="",0,IFERROR(INDEX(Items[Pts],MATCH(Log[[#This Row],[ID]],Items[ID],0))*1,0))</f>
      </c>
      <c r="L1317" s="17">
        <f>IF(Log[[#This Row],[ID]]="","",IFERROR(INDEX(Items[Cur team],MATCH(Log[[#This Row],[ID]],Items[ID],0))&amp;"",""))</f>
      </c>
      <c r="M1317" s="17">
        <f>IF(OR(Log[[#This Row],[Verb]]="done",Log[[#This Row],[Verb]]="punt",Log[[#This Row],[Verb]]="drop",Log[[#This Row],[Verb]]="pass"),Log[[#This Row],[Pts]],0)</f>
      </c>
    </row>
    <row r="1318">
      <c r="A1318" s="11">
        <v>46216</v>
      </c>
      <c r="B1318" t="s">
        <v>717</v>
      </c>
      <c r="C1318" t="s">
        <v>41</v>
      </c>
      <c r="F1318" s="17">
        <f>IF(Log[[#This Row],[ID]]="","",IF(ISNA(MATCH(Log[[#This Row],[ID]],Items[ID],0)),"unknown ID",IF(ISNA(MATCH(Log[[#This Row],[Verb]],VerbList,0)),"unknown verb",IF(Log[[#This Row],[Date]]="","no date",""))))</f>
      </c>
      <c r="G1318" s="17">
        <f>IF(Log[[#This Row],[ID]]="","",IFERROR(VLOOKUP(Log[[#This Row],[Verb]],Verbs,3,FALSE)&amp;"",""))</f>
      </c>
      <c r="H1318" s="17">
        <f>IF(Log[[#This Row],[Date]]="","",INT((Log[[#This Row],[Date]]-Sprint1)/SprintDays)+1)</f>
      </c>
      <c r="I1318" s="17">
        <f>IF(OR(Log[[#This Row],[Verb]]="commit",Log[[#This Row],[Verb]]="carry",Log[[#This Row],[Verb]]="redo"),IF(Log[[#This Row],[Arg]]="",Log[[#This Row],[Sprint]],N(Log[[#This Row],[Arg]])),"")</f>
      </c>
      <c r="J1318" s="17">
        <f>IF(Log[[#This Row],[Verb]]="block",1,IF(OR(Log[[#This Row],[Verb]]="unblock",Log[[#This Row],[Verb]]="done",Log[[#This Row],[Verb]]="drop",Log[[#This Row],[Verb]]="punt",Log[[#This Row],[Verb]]="pass"),0,""))</f>
      </c>
      <c r="K1318" s="17">
        <f>IF(Log[[#This Row],[ID]]="",0,IFERROR(INDEX(Items[Pts],MATCH(Log[[#This Row],[ID]],Items[ID],0))*1,0))</f>
      </c>
      <c r="L1318" s="17">
        <f>IF(Log[[#This Row],[ID]]="","",IFERROR(INDEX(Items[Cur team],MATCH(Log[[#This Row],[ID]],Items[ID],0))&amp;"",""))</f>
      </c>
      <c r="M1318" s="17">
        <f>IF(OR(Log[[#This Row],[Verb]]="done",Log[[#This Row],[Verb]]="punt",Log[[#This Row],[Verb]]="drop",Log[[#This Row],[Verb]]="pass"),Log[[#This Row],[Pts]],0)</f>
      </c>
    </row>
    <row r="1319">
      <c r="A1319" s="11">
        <v>46216</v>
      </c>
      <c r="B1319" t="s">
        <v>718</v>
      </c>
      <c r="C1319" t="s">
        <v>41</v>
      </c>
      <c r="F1319" s="17">
        <f>IF(Log[[#This Row],[ID]]="","",IF(ISNA(MATCH(Log[[#This Row],[ID]],Items[ID],0)),"unknown ID",IF(ISNA(MATCH(Log[[#This Row],[Verb]],VerbList,0)),"unknown verb",IF(Log[[#This Row],[Date]]="","no date",""))))</f>
      </c>
      <c r="G1319" s="17">
        <f>IF(Log[[#This Row],[ID]]="","",IFERROR(VLOOKUP(Log[[#This Row],[Verb]],Verbs,3,FALSE)&amp;"",""))</f>
      </c>
      <c r="H1319" s="17">
        <f>IF(Log[[#This Row],[Date]]="","",INT((Log[[#This Row],[Date]]-Sprint1)/SprintDays)+1)</f>
      </c>
      <c r="I1319" s="17">
        <f>IF(OR(Log[[#This Row],[Verb]]="commit",Log[[#This Row],[Verb]]="carry",Log[[#This Row],[Verb]]="redo"),IF(Log[[#This Row],[Arg]]="",Log[[#This Row],[Sprint]],N(Log[[#This Row],[Arg]])),"")</f>
      </c>
      <c r="J1319" s="17">
        <f>IF(Log[[#This Row],[Verb]]="block",1,IF(OR(Log[[#This Row],[Verb]]="unblock",Log[[#This Row],[Verb]]="done",Log[[#This Row],[Verb]]="drop",Log[[#This Row],[Verb]]="punt",Log[[#This Row],[Verb]]="pass"),0,""))</f>
      </c>
      <c r="K1319" s="17">
        <f>IF(Log[[#This Row],[ID]]="",0,IFERROR(INDEX(Items[Pts],MATCH(Log[[#This Row],[ID]],Items[ID],0))*1,0))</f>
      </c>
      <c r="L1319" s="17">
        <f>IF(Log[[#This Row],[ID]]="","",IFERROR(INDEX(Items[Cur team],MATCH(Log[[#This Row],[ID]],Items[ID],0))&amp;"",""))</f>
      </c>
      <c r="M1319" s="17">
        <f>IF(OR(Log[[#This Row],[Verb]]="done",Log[[#This Row],[Verb]]="punt",Log[[#This Row],[Verb]]="drop",Log[[#This Row],[Verb]]="pass"),Log[[#This Row],[Pts]],0)</f>
      </c>
    </row>
    <row r="1320">
      <c r="A1320" s="11">
        <v>46216</v>
      </c>
      <c r="B1320" t="s">
        <v>719</v>
      </c>
      <c r="C1320" t="s">
        <v>41</v>
      </c>
      <c r="F1320" s="17">
        <f>IF(Log[[#This Row],[ID]]="","",IF(ISNA(MATCH(Log[[#This Row],[ID]],Items[ID],0)),"unknown ID",IF(ISNA(MATCH(Log[[#This Row],[Verb]],VerbList,0)),"unknown verb",IF(Log[[#This Row],[Date]]="","no date",""))))</f>
      </c>
      <c r="G1320" s="17">
        <f>IF(Log[[#This Row],[ID]]="","",IFERROR(VLOOKUP(Log[[#This Row],[Verb]],Verbs,3,FALSE)&amp;"",""))</f>
      </c>
      <c r="H1320" s="17">
        <f>IF(Log[[#This Row],[Date]]="","",INT((Log[[#This Row],[Date]]-Sprint1)/SprintDays)+1)</f>
      </c>
      <c r="I1320" s="17">
        <f>IF(OR(Log[[#This Row],[Verb]]="commit",Log[[#This Row],[Verb]]="carry",Log[[#This Row],[Verb]]="redo"),IF(Log[[#This Row],[Arg]]="",Log[[#This Row],[Sprint]],N(Log[[#This Row],[Arg]])),"")</f>
      </c>
      <c r="J1320" s="17">
        <f>IF(Log[[#This Row],[Verb]]="block",1,IF(OR(Log[[#This Row],[Verb]]="unblock",Log[[#This Row],[Verb]]="done",Log[[#This Row],[Verb]]="drop",Log[[#This Row],[Verb]]="punt",Log[[#This Row],[Verb]]="pass"),0,""))</f>
      </c>
      <c r="K1320" s="17">
        <f>IF(Log[[#This Row],[ID]]="",0,IFERROR(INDEX(Items[Pts],MATCH(Log[[#This Row],[ID]],Items[ID],0))*1,0))</f>
      </c>
      <c r="L1320" s="17">
        <f>IF(Log[[#This Row],[ID]]="","",IFERROR(INDEX(Items[Cur team],MATCH(Log[[#This Row],[ID]],Items[ID],0))&amp;"",""))</f>
      </c>
      <c r="M1320" s="17">
        <f>IF(OR(Log[[#This Row],[Verb]]="done",Log[[#This Row],[Verb]]="punt",Log[[#This Row],[Verb]]="drop",Log[[#This Row],[Verb]]="pass"),Log[[#This Row],[Pts]],0)</f>
      </c>
    </row>
    <row r="1321">
      <c r="A1321" s="11">
        <v>46216</v>
      </c>
      <c r="B1321" t="s">
        <v>720</v>
      </c>
      <c r="C1321" t="s">
        <v>41</v>
      </c>
      <c r="F1321" s="17">
        <f>IF(Log[[#This Row],[ID]]="","",IF(ISNA(MATCH(Log[[#This Row],[ID]],Items[ID],0)),"unknown ID",IF(ISNA(MATCH(Log[[#This Row],[Verb]],VerbList,0)),"unknown verb",IF(Log[[#This Row],[Date]]="","no date",""))))</f>
      </c>
      <c r="G1321" s="17">
        <f>IF(Log[[#This Row],[ID]]="","",IFERROR(VLOOKUP(Log[[#This Row],[Verb]],Verbs,3,FALSE)&amp;"",""))</f>
      </c>
      <c r="H1321" s="17">
        <f>IF(Log[[#This Row],[Date]]="","",INT((Log[[#This Row],[Date]]-Sprint1)/SprintDays)+1)</f>
      </c>
      <c r="I1321" s="17">
        <f>IF(OR(Log[[#This Row],[Verb]]="commit",Log[[#This Row],[Verb]]="carry",Log[[#This Row],[Verb]]="redo"),IF(Log[[#This Row],[Arg]]="",Log[[#This Row],[Sprint]],N(Log[[#This Row],[Arg]])),"")</f>
      </c>
      <c r="J1321" s="17">
        <f>IF(Log[[#This Row],[Verb]]="block",1,IF(OR(Log[[#This Row],[Verb]]="unblock",Log[[#This Row],[Verb]]="done",Log[[#This Row],[Verb]]="drop",Log[[#This Row],[Verb]]="punt",Log[[#This Row],[Verb]]="pass"),0,""))</f>
      </c>
      <c r="K1321" s="17">
        <f>IF(Log[[#This Row],[ID]]="",0,IFERROR(INDEX(Items[Pts],MATCH(Log[[#This Row],[ID]],Items[ID],0))*1,0))</f>
      </c>
      <c r="L1321" s="17">
        <f>IF(Log[[#This Row],[ID]]="","",IFERROR(INDEX(Items[Cur team],MATCH(Log[[#This Row],[ID]],Items[ID],0))&amp;"",""))</f>
      </c>
      <c r="M1321" s="17">
        <f>IF(OR(Log[[#This Row],[Verb]]="done",Log[[#This Row],[Verb]]="punt",Log[[#This Row],[Verb]]="drop",Log[[#This Row],[Verb]]="pass"),Log[[#This Row],[Pts]],0)</f>
      </c>
    </row>
    <row r="1322">
      <c r="A1322" s="11">
        <v>46216</v>
      </c>
      <c r="B1322" t="s">
        <v>667</v>
      </c>
      <c r="C1322" t="s">
        <v>41</v>
      </c>
      <c r="F1322" s="17">
        <f>IF(Log[[#This Row],[ID]]="","",IF(ISNA(MATCH(Log[[#This Row],[ID]],Items[ID],0)),"unknown ID",IF(ISNA(MATCH(Log[[#This Row],[Verb]],VerbList,0)),"unknown verb",IF(Log[[#This Row],[Date]]="","no date",""))))</f>
      </c>
      <c r="G1322" s="17">
        <f>IF(Log[[#This Row],[ID]]="","",IFERROR(VLOOKUP(Log[[#This Row],[Verb]],Verbs,3,FALSE)&amp;"",""))</f>
      </c>
      <c r="H1322" s="17">
        <f>IF(Log[[#This Row],[Date]]="","",INT((Log[[#This Row],[Date]]-Sprint1)/SprintDays)+1)</f>
      </c>
      <c r="I1322" s="17">
        <f>IF(OR(Log[[#This Row],[Verb]]="commit",Log[[#This Row],[Verb]]="carry",Log[[#This Row],[Verb]]="redo"),IF(Log[[#This Row],[Arg]]="",Log[[#This Row],[Sprint]],N(Log[[#This Row],[Arg]])),"")</f>
      </c>
      <c r="J1322" s="17">
        <f>IF(Log[[#This Row],[Verb]]="block",1,IF(OR(Log[[#This Row],[Verb]]="unblock",Log[[#This Row],[Verb]]="done",Log[[#This Row],[Verb]]="drop",Log[[#This Row],[Verb]]="punt",Log[[#This Row],[Verb]]="pass"),0,""))</f>
      </c>
      <c r="K1322" s="17">
        <f>IF(Log[[#This Row],[ID]]="",0,IFERROR(INDEX(Items[Pts],MATCH(Log[[#This Row],[ID]],Items[ID],0))*1,0))</f>
      </c>
      <c r="L1322" s="17">
        <f>IF(Log[[#This Row],[ID]]="","",IFERROR(INDEX(Items[Cur team],MATCH(Log[[#This Row],[ID]],Items[ID],0))&amp;"",""))</f>
      </c>
      <c r="M1322" s="17">
        <f>IF(OR(Log[[#This Row],[Verb]]="done",Log[[#This Row],[Verb]]="punt",Log[[#This Row],[Verb]]="drop",Log[[#This Row],[Verb]]="pass"),Log[[#This Row],[Pts]],0)</f>
      </c>
    </row>
    <row r="1323">
      <c r="A1323" s="11">
        <v>46216</v>
      </c>
      <c r="B1323" t="s">
        <v>721</v>
      </c>
      <c r="C1323" t="s">
        <v>38</v>
      </c>
      <c r="D1323">
        <v>48</v>
      </c>
      <c r="F1323" s="17">
        <f>IF(Log[[#This Row],[ID]]="","",IF(ISNA(MATCH(Log[[#This Row],[ID]],Items[ID],0)),"unknown ID",IF(ISNA(MATCH(Log[[#This Row],[Verb]],VerbList,0)),"unknown verb",IF(Log[[#This Row],[Date]]="","no date",""))))</f>
      </c>
      <c r="G1323" s="17">
        <f>IF(Log[[#This Row],[ID]]="","",IFERROR(VLOOKUP(Log[[#This Row],[Verb]],Verbs,3,FALSE)&amp;"",""))</f>
      </c>
      <c r="H1323" s="17">
        <f>IF(Log[[#This Row],[Date]]="","",INT((Log[[#This Row],[Date]]-Sprint1)/SprintDays)+1)</f>
      </c>
      <c r="I1323" s="17">
        <f>IF(OR(Log[[#This Row],[Verb]]="commit",Log[[#This Row],[Verb]]="carry",Log[[#This Row],[Verb]]="redo"),IF(Log[[#This Row],[Arg]]="",Log[[#This Row],[Sprint]],N(Log[[#This Row],[Arg]])),"")</f>
      </c>
      <c r="J1323" s="17">
        <f>IF(Log[[#This Row],[Verb]]="block",1,IF(OR(Log[[#This Row],[Verb]]="unblock",Log[[#This Row],[Verb]]="done",Log[[#This Row],[Verb]]="drop",Log[[#This Row],[Verb]]="punt",Log[[#This Row],[Verb]]="pass"),0,""))</f>
      </c>
      <c r="K1323" s="17">
        <f>IF(Log[[#This Row],[ID]]="",0,IFERROR(INDEX(Items[Pts],MATCH(Log[[#This Row],[ID]],Items[ID],0))*1,0))</f>
      </c>
      <c r="L1323" s="17">
        <f>IF(Log[[#This Row],[ID]]="","",IFERROR(INDEX(Items[Cur team],MATCH(Log[[#This Row],[ID]],Items[ID],0))&amp;"",""))</f>
      </c>
      <c r="M1323" s="17">
        <f>IF(OR(Log[[#This Row],[Verb]]="done",Log[[#This Row],[Verb]]="punt",Log[[#This Row],[Verb]]="drop",Log[[#This Row],[Verb]]="pass"),Log[[#This Row],[Pts]],0)</f>
      </c>
    </row>
    <row r="1324">
      <c r="A1324" s="11">
        <v>46216</v>
      </c>
      <c r="B1324" t="s">
        <v>721</v>
      </c>
      <c r="C1324" t="s">
        <v>45</v>
      </c>
      <c r="E1324" t="s">
        <v>429</v>
      </c>
      <c r="F1324" s="17">
        <f>IF(Log[[#This Row],[ID]]="","",IF(ISNA(MATCH(Log[[#This Row],[ID]],Items[ID],0)),"unknown ID",IF(ISNA(MATCH(Log[[#This Row],[Verb]],VerbList,0)),"unknown verb",IF(Log[[#This Row],[Date]]="","no date",""))))</f>
      </c>
      <c r="G1324" s="17">
        <f>IF(Log[[#This Row],[ID]]="","",IFERROR(VLOOKUP(Log[[#This Row],[Verb]],Verbs,3,FALSE)&amp;"",""))</f>
      </c>
      <c r="H1324" s="17">
        <f>IF(Log[[#This Row],[Date]]="","",INT((Log[[#This Row],[Date]]-Sprint1)/SprintDays)+1)</f>
      </c>
      <c r="I1324" s="17">
        <f>IF(OR(Log[[#This Row],[Verb]]="commit",Log[[#This Row],[Verb]]="carry",Log[[#This Row],[Verb]]="redo"),IF(Log[[#This Row],[Arg]]="",Log[[#This Row],[Sprint]],N(Log[[#This Row],[Arg]])),"")</f>
      </c>
      <c r="J1324" s="17">
        <f>IF(Log[[#This Row],[Verb]]="block",1,IF(OR(Log[[#This Row],[Verb]]="unblock",Log[[#This Row],[Verb]]="done",Log[[#This Row],[Verb]]="drop",Log[[#This Row],[Verb]]="punt",Log[[#This Row],[Verb]]="pass"),0,""))</f>
      </c>
      <c r="K1324" s="17">
        <f>IF(Log[[#This Row],[ID]]="",0,IFERROR(INDEX(Items[Pts],MATCH(Log[[#This Row],[ID]],Items[ID],0))*1,0))</f>
      </c>
      <c r="L1324" s="17">
        <f>IF(Log[[#This Row],[ID]]="","",IFERROR(INDEX(Items[Cur team],MATCH(Log[[#This Row],[ID]],Items[ID],0))&amp;"",""))</f>
      </c>
      <c r="M1324" s="17">
        <f>IF(OR(Log[[#This Row],[Verb]]="done",Log[[#This Row],[Verb]]="punt",Log[[#This Row],[Verb]]="drop",Log[[#This Row],[Verb]]="pass"),Log[[#This Row],[Pts]],0)</f>
      </c>
    </row>
    <row r="1325">
      <c r="A1325" s="11">
        <v>46216</v>
      </c>
      <c r="B1325" t="s">
        <v>722</v>
      </c>
      <c r="C1325" t="s">
        <v>41</v>
      </c>
      <c r="F1325" s="17">
        <f>IF(Log[[#This Row],[ID]]="","",IF(ISNA(MATCH(Log[[#This Row],[ID]],Items[ID],0)),"unknown ID",IF(ISNA(MATCH(Log[[#This Row],[Verb]],VerbList,0)),"unknown verb",IF(Log[[#This Row],[Date]]="","no date",""))))</f>
      </c>
      <c r="G1325" s="17">
        <f>IF(Log[[#This Row],[ID]]="","",IFERROR(VLOOKUP(Log[[#This Row],[Verb]],Verbs,3,FALSE)&amp;"",""))</f>
      </c>
      <c r="H1325" s="17">
        <f>IF(Log[[#This Row],[Date]]="","",INT((Log[[#This Row],[Date]]-Sprint1)/SprintDays)+1)</f>
      </c>
      <c r="I1325" s="17">
        <f>IF(OR(Log[[#This Row],[Verb]]="commit",Log[[#This Row],[Verb]]="carry",Log[[#This Row],[Verb]]="redo"),IF(Log[[#This Row],[Arg]]="",Log[[#This Row],[Sprint]],N(Log[[#This Row],[Arg]])),"")</f>
      </c>
      <c r="J1325" s="17">
        <f>IF(Log[[#This Row],[Verb]]="block",1,IF(OR(Log[[#This Row],[Verb]]="unblock",Log[[#This Row],[Verb]]="done",Log[[#This Row],[Verb]]="drop",Log[[#This Row],[Verb]]="punt",Log[[#This Row],[Verb]]="pass"),0,""))</f>
      </c>
      <c r="K1325" s="17">
        <f>IF(Log[[#This Row],[ID]]="",0,IFERROR(INDEX(Items[Pts],MATCH(Log[[#This Row],[ID]],Items[ID],0))*1,0))</f>
      </c>
      <c r="L1325" s="17">
        <f>IF(Log[[#This Row],[ID]]="","",IFERROR(INDEX(Items[Cur team],MATCH(Log[[#This Row],[ID]],Items[ID],0))&amp;"",""))</f>
      </c>
      <c r="M1325" s="17">
        <f>IF(OR(Log[[#This Row],[Verb]]="done",Log[[#This Row],[Verb]]="punt",Log[[#This Row],[Verb]]="drop",Log[[#This Row],[Verb]]="pass"),Log[[#This Row],[Pts]],0)</f>
      </c>
    </row>
    <row r="1326">
      <c r="A1326" s="11">
        <v>46216</v>
      </c>
      <c r="B1326" t="s">
        <v>723</v>
      </c>
      <c r="C1326" t="s">
        <v>41</v>
      </c>
      <c r="F1326" s="17">
        <f>IF(Log[[#This Row],[ID]]="","",IF(ISNA(MATCH(Log[[#This Row],[ID]],Items[ID],0)),"unknown ID",IF(ISNA(MATCH(Log[[#This Row],[Verb]],VerbList,0)),"unknown verb",IF(Log[[#This Row],[Date]]="","no date",""))))</f>
      </c>
      <c r="G1326" s="17">
        <f>IF(Log[[#This Row],[ID]]="","",IFERROR(VLOOKUP(Log[[#This Row],[Verb]],Verbs,3,FALSE)&amp;"",""))</f>
      </c>
      <c r="H1326" s="17">
        <f>IF(Log[[#This Row],[Date]]="","",INT((Log[[#This Row],[Date]]-Sprint1)/SprintDays)+1)</f>
      </c>
      <c r="I1326" s="17">
        <f>IF(OR(Log[[#This Row],[Verb]]="commit",Log[[#This Row],[Verb]]="carry",Log[[#This Row],[Verb]]="redo"),IF(Log[[#This Row],[Arg]]="",Log[[#This Row],[Sprint]],N(Log[[#This Row],[Arg]])),"")</f>
      </c>
      <c r="J1326" s="17">
        <f>IF(Log[[#This Row],[Verb]]="block",1,IF(OR(Log[[#This Row],[Verb]]="unblock",Log[[#This Row],[Verb]]="done",Log[[#This Row],[Verb]]="drop",Log[[#This Row],[Verb]]="punt",Log[[#This Row],[Verb]]="pass"),0,""))</f>
      </c>
      <c r="K1326" s="17">
        <f>IF(Log[[#This Row],[ID]]="",0,IFERROR(INDEX(Items[Pts],MATCH(Log[[#This Row],[ID]],Items[ID],0))*1,0))</f>
      </c>
      <c r="L1326" s="17">
        <f>IF(Log[[#This Row],[ID]]="","",IFERROR(INDEX(Items[Cur team],MATCH(Log[[#This Row],[ID]],Items[ID],0))&amp;"",""))</f>
      </c>
      <c r="M1326" s="17">
        <f>IF(OR(Log[[#This Row],[Verb]]="done",Log[[#This Row],[Verb]]="punt",Log[[#This Row],[Verb]]="drop",Log[[#This Row],[Verb]]="pass"),Log[[#This Row],[Pts]],0)</f>
      </c>
    </row>
    <row r="1327">
      <c r="A1327" s="11">
        <v>46216</v>
      </c>
      <c r="B1327" t="s">
        <v>724</v>
      </c>
      <c r="C1327" t="s">
        <v>38</v>
      </c>
      <c r="D1327">
        <v>48</v>
      </c>
      <c r="F1327" s="17">
        <f>IF(Log[[#This Row],[ID]]="","",IF(ISNA(MATCH(Log[[#This Row],[ID]],Items[ID],0)),"unknown ID",IF(ISNA(MATCH(Log[[#This Row],[Verb]],VerbList,0)),"unknown verb",IF(Log[[#This Row],[Date]]="","no date",""))))</f>
      </c>
      <c r="G1327" s="17">
        <f>IF(Log[[#This Row],[ID]]="","",IFERROR(VLOOKUP(Log[[#This Row],[Verb]],Verbs,3,FALSE)&amp;"",""))</f>
      </c>
      <c r="H1327" s="17">
        <f>IF(Log[[#This Row],[Date]]="","",INT((Log[[#This Row],[Date]]-Sprint1)/SprintDays)+1)</f>
      </c>
      <c r="I1327" s="17">
        <f>IF(OR(Log[[#This Row],[Verb]]="commit",Log[[#This Row],[Verb]]="carry",Log[[#This Row],[Verb]]="redo"),IF(Log[[#This Row],[Arg]]="",Log[[#This Row],[Sprint]],N(Log[[#This Row],[Arg]])),"")</f>
      </c>
      <c r="J1327" s="17">
        <f>IF(Log[[#This Row],[Verb]]="block",1,IF(OR(Log[[#This Row],[Verb]]="unblock",Log[[#This Row],[Verb]]="done",Log[[#This Row],[Verb]]="drop",Log[[#This Row],[Verb]]="punt",Log[[#This Row],[Verb]]="pass"),0,""))</f>
      </c>
      <c r="K1327" s="17">
        <f>IF(Log[[#This Row],[ID]]="",0,IFERROR(INDEX(Items[Pts],MATCH(Log[[#This Row],[ID]],Items[ID],0))*1,0))</f>
      </c>
      <c r="L1327" s="17">
        <f>IF(Log[[#This Row],[ID]]="","",IFERROR(INDEX(Items[Cur team],MATCH(Log[[#This Row],[ID]],Items[ID],0))&amp;"",""))</f>
      </c>
      <c r="M1327" s="17">
        <f>IF(OR(Log[[#This Row],[Verb]]="done",Log[[#This Row],[Verb]]="punt",Log[[#This Row],[Verb]]="drop",Log[[#This Row],[Verb]]="pass"),Log[[#This Row],[Pts]],0)</f>
      </c>
    </row>
    <row r="1328">
      <c r="A1328" s="11">
        <v>46216</v>
      </c>
      <c r="B1328" t="s">
        <v>725</v>
      </c>
      <c r="C1328" t="s">
        <v>41</v>
      </c>
      <c r="F1328" s="17">
        <f>IF(Log[[#This Row],[ID]]="","",IF(ISNA(MATCH(Log[[#This Row],[ID]],Items[ID],0)),"unknown ID",IF(ISNA(MATCH(Log[[#This Row],[Verb]],VerbList,0)),"unknown verb",IF(Log[[#This Row],[Date]]="","no date",""))))</f>
      </c>
      <c r="G1328" s="17">
        <f>IF(Log[[#This Row],[ID]]="","",IFERROR(VLOOKUP(Log[[#This Row],[Verb]],Verbs,3,FALSE)&amp;"",""))</f>
      </c>
      <c r="H1328" s="17">
        <f>IF(Log[[#This Row],[Date]]="","",INT((Log[[#This Row],[Date]]-Sprint1)/SprintDays)+1)</f>
      </c>
      <c r="I1328" s="17">
        <f>IF(OR(Log[[#This Row],[Verb]]="commit",Log[[#This Row],[Verb]]="carry",Log[[#This Row],[Verb]]="redo"),IF(Log[[#This Row],[Arg]]="",Log[[#This Row],[Sprint]],N(Log[[#This Row],[Arg]])),"")</f>
      </c>
      <c r="J1328" s="17">
        <f>IF(Log[[#This Row],[Verb]]="block",1,IF(OR(Log[[#This Row],[Verb]]="unblock",Log[[#This Row],[Verb]]="done",Log[[#This Row],[Verb]]="drop",Log[[#This Row],[Verb]]="punt",Log[[#This Row],[Verb]]="pass"),0,""))</f>
      </c>
      <c r="K1328" s="17">
        <f>IF(Log[[#This Row],[ID]]="",0,IFERROR(INDEX(Items[Pts],MATCH(Log[[#This Row],[ID]],Items[ID],0))*1,0))</f>
      </c>
      <c r="L1328" s="17">
        <f>IF(Log[[#This Row],[ID]]="","",IFERROR(INDEX(Items[Cur team],MATCH(Log[[#This Row],[ID]],Items[ID],0))&amp;"",""))</f>
      </c>
      <c r="M1328" s="17">
        <f>IF(OR(Log[[#This Row],[Verb]]="done",Log[[#This Row],[Verb]]="punt",Log[[#This Row],[Verb]]="drop",Log[[#This Row],[Verb]]="pass"),Log[[#This Row],[Pts]],0)</f>
      </c>
    </row>
    <row r="1329">
      <c r="A1329" s="11">
        <v>46216</v>
      </c>
      <c r="B1329" t="s">
        <v>726</v>
      </c>
      <c r="C1329" t="s">
        <v>41</v>
      </c>
      <c r="F1329" s="17">
        <f>IF(Log[[#This Row],[ID]]="","",IF(ISNA(MATCH(Log[[#This Row],[ID]],Items[ID],0)),"unknown ID",IF(ISNA(MATCH(Log[[#This Row],[Verb]],VerbList,0)),"unknown verb",IF(Log[[#This Row],[Date]]="","no date",""))))</f>
      </c>
      <c r="G1329" s="17">
        <f>IF(Log[[#This Row],[ID]]="","",IFERROR(VLOOKUP(Log[[#This Row],[Verb]],Verbs,3,FALSE)&amp;"",""))</f>
      </c>
      <c r="H1329" s="17">
        <f>IF(Log[[#This Row],[Date]]="","",INT((Log[[#This Row],[Date]]-Sprint1)/SprintDays)+1)</f>
      </c>
      <c r="I1329" s="17">
        <f>IF(OR(Log[[#This Row],[Verb]]="commit",Log[[#This Row],[Verb]]="carry",Log[[#This Row],[Verb]]="redo"),IF(Log[[#This Row],[Arg]]="",Log[[#This Row],[Sprint]],N(Log[[#This Row],[Arg]])),"")</f>
      </c>
      <c r="J1329" s="17">
        <f>IF(Log[[#This Row],[Verb]]="block",1,IF(OR(Log[[#This Row],[Verb]]="unblock",Log[[#This Row],[Verb]]="done",Log[[#This Row],[Verb]]="drop",Log[[#This Row],[Verb]]="punt",Log[[#This Row],[Verb]]="pass"),0,""))</f>
      </c>
      <c r="K1329" s="17">
        <f>IF(Log[[#This Row],[ID]]="",0,IFERROR(INDEX(Items[Pts],MATCH(Log[[#This Row],[ID]],Items[ID],0))*1,0))</f>
      </c>
      <c r="L1329" s="17">
        <f>IF(Log[[#This Row],[ID]]="","",IFERROR(INDEX(Items[Cur team],MATCH(Log[[#This Row],[ID]],Items[ID],0))&amp;"",""))</f>
      </c>
      <c r="M1329" s="17">
        <f>IF(OR(Log[[#This Row],[Verb]]="done",Log[[#This Row],[Verb]]="punt",Log[[#This Row],[Verb]]="drop",Log[[#This Row],[Verb]]="pass"),Log[[#This Row],[Pts]],0)</f>
      </c>
    </row>
    <row r="1330">
      <c r="A1330" s="11">
        <v>46216</v>
      </c>
      <c r="B1330" t="s">
        <v>727</v>
      </c>
      <c r="C1330" t="s">
        <v>41</v>
      </c>
      <c r="F1330" s="17">
        <f>IF(Log[[#This Row],[ID]]="","",IF(ISNA(MATCH(Log[[#This Row],[ID]],Items[ID],0)),"unknown ID",IF(ISNA(MATCH(Log[[#This Row],[Verb]],VerbList,0)),"unknown verb",IF(Log[[#This Row],[Date]]="","no date",""))))</f>
      </c>
      <c r="G1330" s="17">
        <f>IF(Log[[#This Row],[ID]]="","",IFERROR(VLOOKUP(Log[[#This Row],[Verb]],Verbs,3,FALSE)&amp;"",""))</f>
      </c>
      <c r="H1330" s="17">
        <f>IF(Log[[#This Row],[Date]]="","",INT((Log[[#This Row],[Date]]-Sprint1)/SprintDays)+1)</f>
      </c>
      <c r="I1330" s="17">
        <f>IF(OR(Log[[#This Row],[Verb]]="commit",Log[[#This Row],[Verb]]="carry",Log[[#This Row],[Verb]]="redo"),IF(Log[[#This Row],[Arg]]="",Log[[#This Row],[Sprint]],N(Log[[#This Row],[Arg]])),"")</f>
      </c>
      <c r="J1330" s="17">
        <f>IF(Log[[#This Row],[Verb]]="block",1,IF(OR(Log[[#This Row],[Verb]]="unblock",Log[[#This Row],[Verb]]="done",Log[[#This Row],[Verb]]="drop",Log[[#This Row],[Verb]]="punt",Log[[#This Row],[Verb]]="pass"),0,""))</f>
      </c>
      <c r="K1330" s="17">
        <f>IF(Log[[#This Row],[ID]]="",0,IFERROR(INDEX(Items[Pts],MATCH(Log[[#This Row],[ID]],Items[ID],0))*1,0))</f>
      </c>
      <c r="L1330" s="17">
        <f>IF(Log[[#This Row],[ID]]="","",IFERROR(INDEX(Items[Cur team],MATCH(Log[[#This Row],[ID]],Items[ID],0))&amp;"",""))</f>
      </c>
      <c r="M1330" s="17">
        <f>IF(OR(Log[[#This Row],[Verb]]="done",Log[[#This Row],[Verb]]="punt",Log[[#This Row],[Verb]]="drop",Log[[#This Row],[Verb]]="pass"),Log[[#This Row],[Pts]],0)</f>
      </c>
    </row>
    <row r="1331">
      <c r="A1331" s="11">
        <v>46216</v>
      </c>
      <c r="B1331" t="s">
        <v>728</v>
      </c>
      <c r="C1331" t="s">
        <v>38</v>
      </c>
      <c r="D1331">
        <v>48</v>
      </c>
      <c r="F1331" s="17">
        <f>IF(Log[[#This Row],[ID]]="","",IF(ISNA(MATCH(Log[[#This Row],[ID]],Items[ID],0)),"unknown ID",IF(ISNA(MATCH(Log[[#This Row],[Verb]],VerbList,0)),"unknown verb",IF(Log[[#This Row],[Date]]="","no date",""))))</f>
      </c>
      <c r="G1331" s="17">
        <f>IF(Log[[#This Row],[ID]]="","",IFERROR(VLOOKUP(Log[[#This Row],[Verb]],Verbs,3,FALSE)&amp;"",""))</f>
      </c>
      <c r="H1331" s="17">
        <f>IF(Log[[#This Row],[Date]]="","",INT((Log[[#This Row],[Date]]-Sprint1)/SprintDays)+1)</f>
      </c>
      <c r="I1331" s="17">
        <f>IF(OR(Log[[#This Row],[Verb]]="commit",Log[[#This Row],[Verb]]="carry",Log[[#This Row],[Verb]]="redo"),IF(Log[[#This Row],[Arg]]="",Log[[#This Row],[Sprint]],N(Log[[#This Row],[Arg]])),"")</f>
      </c>
      <c r="J1331" s="17">
        <f>IF(Log[[#This Row],[Verb]]="block",1,IF(OR(Log[[#This Row],[Verb]]="unblock",Log[[#This Row],[Verb]]="done",Log[[#This Row],[Verb]]="drop",Log[[#This Row],[Verb]]="punt",Log[[#This Row],[Verb]]="pass"),0,""))</f>
      </c>
      <c r="K1331" s="17">
        <f>IF(Log[[#This Row],[ID]]="",0,IFERROR(INDEX(Items[Pts],MATCH(Log[[#This Row],[ID]],Items[ID],0))*1,0))</f>
      </c>
      <c r="L1331" s="17">
        <f>IF(Log[[#This Row],[ID]]="","",IFERROR(INDEX(Items[Cur team],MATCH(Log[[#This Row],[ID]],Items[ID],0))&amp;"",""))</f>
      </c>
      <c r="M1331" s="17">
        <f>IF(OR(Log[[#This Row],[Verb]]="done",Log[[#This Row],[Verb]]="punt",Log[[#This Row],[Verb]]="drop",Log[[#This Row],[Verb]]="pass"),Log[[#This Row],[Pts]],0)</f>
      </c>
    </row>
    <row r="1332">
      <c r="A1332" s="11">
        <v>46216</v>
      </c>
      <c r="B1332" t="s">
        <v>729</v>
      </c>
      <c r="C1332" t="s">
        <v>41</v>
      </c>
      <c r="F1332" s="17">
        <f>IF(Log[[#This Row],[ID]]="","",IF(ISNA(MATCH(Log[[#This Row],[ID]],Items[ID],0)),"unknown ID",IF(ISNA(MATCH(Log[[#This Row],[Verb]],VerbList,0)),"unknown verb",IF(Log[[#This Row],[Date]]="","no date",""))))</f>
      </c>
      <c r="G1332" s="17">
        <f>IF(Log[[#This Row],[ID]]="","",IFERROR(VLOOKUP(Log[[#This Row],[Verb]],Verbs,3,FALSE)&amp;"",""))</f>
      </c>
      <c r="H1332" s="17">
        <f>IF(Log[[#This Row],[Date]]="","",INT((Log[[#This Row],[Date]]-Sprint1)/SprintDays)+1)</f>
      </c>
      <c r="I1332" s="17">
        <f>IF(OR(Log[[#This Row],[Verb]]="commit",Log[[#This Row],[Verb]]="carry",Log[[#This Row],[Verb]]="redo"),IF(Log[[#This Row],[Arg]]="",Log[[#This Row],[Sprint]],N(Log[[#This Row],[Arg]])),"")</f>
      </c>
      <c r="J1332" s="17">
        <f>IF(Log[[#This Row],[Verb]]="block",1,IF(OR(Log[[#This Row],[Verb]]="unblock",Log[[#This Row],[Verb]]="done",Log[[#This Row],[Verb]]="drop",Log[[#This Row],[Verb]]="punt",Log[[#This Row],[Verb]]="pass"),0,""))</f>
      </c>
      <c r="K1332" s="17">
        <f>IF(Log[[#This Row],[ID]]="",0,IFERROR(INDEX(Items[Pts],MATCH(Log[[#This Row],[ID]],Items[ID],0))*1,0))</f>
      </c>
      <c r="L1332" s="17">
        <f>IF(Log[[#This Row],[ID]]="","",IFERROR(INDEX(Items[Cur team],MATCH(Log[[#This Row],[ID]],Items[ID],0))&amp;"",""))</f>
      </c>
      <c r="M1332" s="17">
        <f>IF(OR(Log[[#This Row],[Verb]]="done",Log[[#This Row],[Verb]]="punt",Log[[#This Row],[Verb]]="drop",Log[[#This Row],[Verb]]="pass"),Log[[#This Row],[Pts]],0)</f>
      </c>
    </row>
    <row r="1333">
      <c r="A1333" s="11">
        <v>46216</v>
      </c>
      <c r="B1333" t="s">
        <v>730</v>
      </c>
      <c r="C1333" t="s">
        <v>41</v>
      </c>
      <c r="F1333" s="17">
        <f>IF(Log[[#This Row],[ID]]="","",IF(ISNA(MATCH(Log[[#This Row],[ID]],Items[ID],0)),"unknown ID",IF(ISNA(MATCH(Log[[#This Row],[Verb]],VerbList,0)),"unknown verb",IF(Log[[#This Row],[Date]]="","no date",""))))</f>
      </c>
      <c r="G1333" s="17">
        <f>IF(Log[[#This Row],[ID]]="","",IFERROR(VLOOKUP(Log[[#This Row],[Verb]],Verbs,3,FALSE)&amp;"",""))</f>
      </c>
      <c r="H1333" s="17">
        <f>IF(Log[[#This Row],[Date]]="","",INT((Log[[#This Row],[Date]]-Sprint1)/SprintDays)+1)</f>
      </c>
      <c r="I1333" s="17">
        <f>IF(OR(Log[[#This Row],[Verb]]="commit",Log[[#This Row],[Verb]]="carry",Log[[#This Row],[Verb]]="redo"),IF(Log[[#This Row],[Arg]]="",Log[[#This Row],[Sprint]],N(Log[[#This Row],[Arg]])),"")</f>
      </c>
      <c r="J1333" s="17">
        <f>IF(Log[[#This Row],[Verb]]="block",1,IF(OR(Log[[#This Row],[Verb]]="unblock",Log[[#This Row],[Verb]]="done",Log[[#This Row],[Verb]]="drop",Log[[#This Row],[Verb]]="punt",Log[[#This Row],[Verb]]="pass"),0,""))</f>
      </c>
      <c r="K1333" s="17">
        <f>IF(Log[[#This Row],[ID]]="",0,IFERROR(INDEX(Items[Pts],MATCH(Log[[#This Row],[ID]],Items[ID],0))*1,0))</f>
      </c>
      <c r="L1333" s="17">
        <f>IF(Log[[#This Row],[ID]]="","",IFERROR(INDEX(Items[Cur team],MATCH(Log[[#This Row],[ID]],Items[ID],0))&amp;"",""))</f>
      </c>
      <c r="M1333" s="17">
        <f>IF(OR(Log[[#This Row],[Verb]]="done",Log[[#This Row],[Verb]]="punt",Log[[#This Row],[Verb]]="drop",Log[[#This Row],[Verb]]="pass"),Log[[#This Row],[Pts]],0)</f>
      </c>
    </row>
    <row r="1334">
      <c r="A1334" s="11">
        <v>46216</v>
      </c>
      <c r="B1334" t="s">
        <v>731</v>
      </c>
      <c r="C1334" t="s">
        <v>41</v>
      </c>
      <c r="F1334" s="17">
        <f>IF(Log[[#This Row],[ID]]="","",IF(ISNA(MATCH(Log[[#This Row],[ID]],Items[ID],0)),"unknown ID",IF(ISNA(MATCH(Log[[#This Row],[Verb]],VerbList,0)),"unknown verb",IF(Log[[#This Row],[Date]]="","no date",""))))</f>
      </c>
      <c r="G1334" s="17">
        <f>IF(Log[[#This Row],[ID]]="","",IFERROR(VLOOKUP(Log[[#This Row],[Verb]],Verbs,3,FALSE)&amp;"",""))</f>
      </c>
      <c r="H1334" s="17">
        <f>IF(Log[[#This Row],[Date]]="","",INT((Log[[#This Row],[Date]]-Sprint1)/SprintDays)+1)</f>
      </c>
      <c r="I1334" s="17">
        <f>IF(OR(Log[[#This Row],[Verb]]="commit",Log[[#This Row],[Verb]]="carry",Log[[#This Row],[Verb]]="redo"),IF(Log[[#This Row],[Arg]]="",Log[[#This Row],[Sprint]],N(Log[[#This Row],[Arg]])),"")</f>
      </c>
      <c r="J1334" s="17">
        <f>IF(Log[[#This Row],[Verb]]="block",1,IF(OR(Log[[#This Row],[Verb]]="unblock",Log[[#This Row],[Verb]]="done",Log[[#This Row],[Verb]]="drop",Log[[#This Row],[Verb]]="punt",Log[[#This Row],[Verb]]="pass"),0,""))</f>
      </c>
      <c r="K1334" s="17">
        <f>IF(Log[[#This Row],[ID]]="",0,IFERROR(INDEX(Items[Pts],MATCH(Log[[#This Row],[ID]],Items[ID],0))*1,0))</f>
      </c>
      <c r="L1334" s="17">
        <f>IF(Log[[#This Row],[ID]]="","",IFERROR(INDEX(Items[Cur team],MATCH(Log[[#This Row],[ID]],Items[ID],0))&amp;"",""))</f>
      </c>
      <c r="M1334" s="17">
        <f>IF(OR(Log[[#This Row],[Verb]]="done",Log[[#This Row],[Verb]]="punt",Log[[#This Row],[Verb]]="drop",Log[[#This Row],[Verb]]="pass"),Log[[#This Row],[Pts]],0)</f>
      </c>
    </row>
    <row r="1335">
      <c r="A1335" s="11">
        <v>46216</v>
      </c>
      <c r="B1335" t="s">
        <v>732</v>
      </c>
      <c r="C1335" t="s">
        <v>41</v>
      </c>
      <c r="F1335" s="17">
        <f>IF(Log[[#This Row],[ID]]="","",IF(ISNA(MATCH(Log[[#This Row],[ID]],Items[ID],0)),"unknown ID",IF(ISNA(MATCH(Log[[#This Row],[Verb]],VerbList,0)),"unknown verb",IF(Log[[#This Row],[Date]]="","no date",""))))</f>
      </c>
      <c r="G1335" s="17">
        <f>IF(Log[[#This Row],[ID]]="","",IFERROR(VLOOKUP(Log[[#This Row],[Verb]],Verbs,3,FALSE)&amp;"",""))</f>
      </c>
      <c r="H1335" s="17">
        <f>IF(Log[[#This Row],[Date]]="","",INT((Log[[#This Row],[Date]]-Sprint1)/SprintDays)+1)</f>
      </c>
      <c r="I1335" s="17">
        <f>IF(OR(Log[[#This Row],[Verb]]="commit",Log[[#This Row],[Verb]]="carry",Log[[#This Row],[Verb]]="redo"),IF(Log[[#This Row],[Arg]]="",Log[[#This Row],[Sprint]],N(Log[[#This Row],[Arg]])),"")</f>
      </c>
      <c r="J1335" s="17">
        <f>IF(Log[[#This Row],[Verb]]="block",1,IF(OR(Log[[#This Row],[Verb]]="unblock",Log[[#This Row],[Verb]]="done",Log[[#This Row],[Verb]]="drop",Log[[#This Row],[Verb]]="punt",Log[[#This Row],[Verb]]="pass"),0,""))</f>
      </c>
      <c r="K1335" s="17">
        <f>IF(Log[[#This Row],[ID]]="",0,IFERROR(INDEX(Items[Pts],MATCH(Log[[#This Row],[ID]],Items[ID],0))*1,0))</f>
      </c>
      <c r="L1335" s="17">
        <f>IF(Log[[#This Row],[ID]]="","",IFERROR(INDEX(Items[Cur team],MATCH(Log[[#This Row],[ID]],Items[ID],0))&amp;"",""))</f>
      </c>
      <c r="M1335" s="17">
        <f>IF(OR(Log[[#This Row],[Verb]]="done",Log[[#This Row],[Verb]]="punt",Log[[#This Row],[Verb]]="drop",Log[[#This Row],[Verb]]="pass"),Log[[#This Row],[Pts]],0)</f>
      </c>
    </row>
    <row r="1336">
      <c r="A1336" s="11">
        <v>46216</v>
      </c>
      <c r="B1336" t="s">
        <v>733</v>
      </c>
      <c r="C1336" t="s">
        <v>41</v>
      </c>
      <c r="F1336" s="17">
        <f>IF(Log[[#This Row],[ID]]="","",IF(ISNA(MATCH(Log[[#This Row],[ID]],Items[ID],0)),"unknown ID",IF(ISNA(MATCH(Log[[#This Row],[Verb]],VerbList,0)),"unknown verb",IF(Log[[#This Row],[Date]]="","no date",""))))</f>
      </c>
      <c r="G1336" s="17">
        <f>IF(Log[[#This Row],[ID]]="","",IFERROR(VLOOKUP(Log[[#This Row],[Verb]],Verbs,3,FALSE)&amp;"",""))</f>
      </c>
      <c r="H1336" s="17">
        <f>IF(Log[[#This Row],[Date]]="","",INT((Log[[#This Row],[Date]]-Sprint1)/SprintDays)+1)</f>
      </c>
      <c r="I1336" s="17">
        <f>IF(OR(Log[[#This Row],[Verb]]="commit",Log[[#This Row],[Verb]]="carry",Log[[#This Row],[Verb]]="redo"),IF(Log[[#This Row],[Arg]]="",Log[[#This Row],[Sprint]],N(Log[[#This Row],[Arg]])),"")</f>
      </c>
      <c r="J1336" s="17">
        <f>IF(Log[[#This Row],[Verb]]="block",1,IF(OR(Log[[#This Row],[Verb]]="unblock",Log[[#This Row],[Verb]]="done",Log[[#This Row],[Verb]]="drop",Log[[#This Row],[Verb]]="punt",Log[[#This Row],[Verb]]="pass"),0,""))</f>
      </c>
      <c r="K1336" s="17">
        <f>IF(Log[[#This Row],[ID]]="",0,IFERROR(INDEX(Items[Pts],MATCH(Log[[#This Row],[ID]],Items[ID],0))*1,0))</f>
      </c>
      <c r="L1336" s="17">
        <f>IF(Log[[#This Row],[ID]]="","",IFERROR(INDEX(Items[Cur team],MATCH(Log[[#This Row],[ID]],Items[ID],0))&amp;"",""))</f>
      </c>
      <c r="M1336" s="17">
        <f>IF(OR(Log[[#This Row],[Verb]]="done",Log[[#This Row],[Verb]]="punt",Log[[#This Row],[Verb]]="drop",Log[[#This Row],[Verb]]="pass"),Log[[#This Row],[Pts]],0)</f>
      </c>
    </row>
    <row r="1337">
      <c r="A1337" s="11">
        <v>46216</v>
      </c>
      <c r="B1337" t="s">
        <v>678</v>
      </c>
      <c r="C1337" t="s">
        <v>38</v>
      </c>
      <c r="D1337">
        <v>48</v>
      </c>
      <c r="F1337" s="17">
        <f>IF(Log[[#This Row],[ID]]="","",IF(ISNA(MATCH(Log[[#This Row],[ID]],Items[ID],0)),"unknown ID",IF(ISNA(MATCH(Log[[#This Row],[Verb]],VerbList,0)),"unknown verb",IF(Log[[#This Row],[Date]]="","no date",""))))</f>
      </c>
      <c r="G1337" s="17">
        <f>IF(Log[[#This Row],[ID]]="","",IFERROR(VLOOKUP(Log[[#This Row],[Verb]],Verbs,3,FALSE)&amp;"",""))</f>
      </c>
      <c r="H1337" s="17">
        <f>IF(Log[[#This Row],[Date]]="","",INT((Log[[#This Row],[Date]]-Sprint1)/SprintDays)+1)</f>
      </c>
      <c r="I1337" s="17">
        <f>IF(OR(Log[[#This Row],[Verb]]="commit",Log[[#This Row],[Verb]]="carry",Log[[#This Row],[Verb]]="redo"),IF(Log[[#This Row],[Arg]]="",Log[[#This Row],[Sprint]],N(Log[[#This Row],[Arg]])),"")</f>
      </c>
      <c r="J1337" s="17">
        <f>IF(Log[[#This Row],[Verb]]="block",1,IF(OR(Log[[#This Row],[Verb]]="unblock",Log[[#This Row],[Verb]]="done",Log[[#This Row],[Verb]]="drop",Log[[#This Row],[Verb]]="punt",Log[[#This Row],[Verb]]="pass"),0,""))</f>
      </c>
      <c r="K1337" s="17">
        <f>IF(Log[[#This Row],[ID]]="",0,IFERROR(INDEX(Items[Pts],MATCH(Log[[#This Row],[ID]],Items[ID],0))*1,0))</f>
      </c>
      <c r="L1337" s="17">
        <f>IF(Log[[#This Row],[ID]]="","",IFERROR(INDEX(Items[Cur team],MATCH(Log[[#This Row],[ID]],Items[ID],0))&amp;"",""))</f>
      </c>
      <c r="M1337" s="17">
        <f>IF(OR(Log[[#This Row],[Verb]]="done",Log[[#This Row],[Verb]]="punt",Log[[#This Row],[Verb]]="drop",Log[[#This Row],[Verb]]="pass"),Log[[#This Row],[Pts]],0)</f>
      </c>
    </row>
    <row r="1338">
      <c r="A1338" s="11">
        <v>46216</v>
      </c>
      <c r="B1338" t="s">
        <v>734</v>
      </c>
      <c r="C1338" t="s">
        <v>41</v>
      </c>
      <c r="F1338" s="17">
        <f>IF(Log[[#This Row],[ID]]="","",IF(ISNA(MATCH(Log[[#This Row],[ID]],Items[ID],0)),"unknown ID",IF(ISNA(MATCH(Log[[#This Row],[Verb]],VerbList,0)),"unknown verb",IF(Log[[#This Row],[Date]]="","no date",""))))</f>
      </c>
      <c r="G1338" s="17">
        <f>IF(Log[[#This Row],[ID]]="","",IFERROR(VLOOKUP(Log[[#This Row],[Verb]],Verbs,3,FALSE)&amp;"",""))</f>
      </c>
      <c r="H1338" s="17">
        <f>IF(Log[[#This Row],[Date]]="","",INT((Log[[#This Row],[Date]]-Sprint1)/SprintDays)+1)</f>
      </c>
      <c r="I1338" s="17">
        <f>IF(OR(Log[[#This Row],[Verb]]="commit",Log[[#This Row],[Verb]]="carry",Log[[#This Row],[Verb]]="redo"),IF(Log[[#This Row],[Arg]]="",Log[[#This Row],[Sprint]],N(Log[[#This Row],[Arg]])),"")</f>
      </c>
      <c r="J1338" s="17">
        <f>IF(Log[[#This Row],[Verb]]="block",1,IF(OR(Log[[#This Row],[Verb]]="unblock",Log[[#This Row],[Verb]]="done",Log[[#This Row],[Verb]]="drop",Log[[#This Row],[Verb]]="punt",Log[[#This Row],[Verb]]="pass"),0,""))</f>
      </c>
      <c r="K1338" s="17">
        <f>IF(Log[[#This Row],[ID]]="",0,IFERROR(INDEX(Items[Pts],MATCH(Log[[#This Row],[ID]],Items[ID],0))*1,0))</f>
      </c>
      <c r="L1338" s="17">
        <f>IF(Log[[#This Row],[ID]]="","",IFERROR(INDEX(Items[Cur team],MATCH(Log[[#This Row],[ID]],Items[ID],0))&amp;"",""))</f>
      </c>
      <c r="M1338" s="17">
        <f>IF(OR(Log[[#This Row],[Verb]]="done",Log[[#This Row],[Verb]]="punt",Log[[#This Row],[Verb]]="drop",Log[[#This Row],[Verb]]="pass"),Log[[#This Row],[Pts]],0)</f>
      </c>
    </row>
    <row r="1339">
      <c r="A1339" s="11">
        <v>46216</v>
      </c>
      <c r="B1339" t="s">
        <v>735</v>
      </c>
      <c r="C1339" t="s">
        <v>41</v>
      </c>
      <c r="F1339" s="17">
        <f>IF(Log[[#This Row],[ID]]="","",IF(ISNA(MATCH(Log[[#This Row],[ID]],Items[ID],0)),"unknown ID",IF(ISNA(MATCH(Log[[#This Row],[Verb]],VerbList,0)),"unknown verb",IF(Log[[#This Row],[Date]]="","no date",""))))</f>
      </c>
      <c r="G1339" s="17">
        <f>IF(Log[[#This Row],[ID]]="","",IFERROR(VLOOKUP(Log[[#This Row],[Verb]],Verbs,3,FALSE)&amp;"",""))</f>
      </c>
      <c r="H1339" s="17">
        <f>IF(Log[[#This Row],[Date]]="","",INT((Log[[#This Row],[Date]]-Sprint1)/SprintDays)+1)</f>
      </c>
      <c r="I1339" s="17">
        <f>IF(OR(Log[[#This Row],[Verb]]="commit",Log[[#This Row],[Verb]]="carry",Log[[#This Row],[Verb]]="redo"),IF(Log[[#This Row],[Arg]]="",Log[[#This Row],[Sprint]],N(Log[[#This Row],[Arg]])),"")</f>
      </c>
      <c r="J1339" s="17">
        <f>IF(Log[[#This Row],[Verb]]="block",1,IF(OR(Log[[#This Row],[Verb]]="unblock",Log[[#This Row],[Verb]]="done",Log[[#This Row],[Verb]]="drop",Log[[#This Row],[Verb]]="punt",Log[[#This Row],[Verb]]="pass"),0,""))</f>
      </c>
      <c r="K1339" s="17">
        <f>IF(Log[[#This Row],[ID]]="",0,IFERROR(INDEX(Items[Pts],MATCH(Log[[#This Row],[ID]],Items[ID],0))*1,0))</f>
      </c>
      <c r="L1339" s="17">
        <f>IF(Log[[#This Row],[ID]]="","",IFERROR(INDEX(Items[Cur team],MATCH(Log[[#This Row],[ID]],Items[ID],0))&amp;"",""))</f>
      </c>
      <c r="M1339" s="17">
        <f>IF(OR(Log[[#This Row],[Verb]]="done",Log[[#This Row],[Verb]]="punt",Log[[#This Row],[Verb]]="drop",Log[[#This Row],[Verb]]="pass"),Log[[#This Row],[Pts]],0)</f>
      </c>
    </row>
    <row r="1340">
      <c r="A1340" s="11">
        <v>46216</v>
      </c>
      <c r="B1340" t="s">
        <v>736</v>
      </c>
      <c r="C1340" t="s">
        <v>41</v>
      </c>
      <c r="F1340" s="17">
        <f>IF(Log[[#This Row],[ID]]="","",IF(ISNA(MATCH(Log[[#This Row],[ID]],Items[ID],0)),"unknown ID",IF(ISNA(MATCH(Log[[#This Row],[Verb]],VerbList,0)),"unknown verb",IF(Log[[#This Row],[Date]]="","no date",""))))</f>
      </c>
      <c r="G1340" s="17">
        <f>IF(Log[[#This Row],[ID]]="","",IFERROR(VLOOKUP(Log[[#This Row],[Verb]],Verbs,3,FALSE)&amp;"",""))</f>
      </c>
      <c r="H1340" s="17">
        <f>IF(Log[[#This Row],[Date]]="","",INT((Log[[#This Row],[Date]]-Sprint1)/SprintDays)+1)</f>
      </c>
      <c r="I1340" s="17">
        <f>IF(OR(Log[[#This Row],[Verb]]="commit",Log[[#This Row],[Verb]]="carry",Log[[#This Row],[Verb]]="redo"),IF(Log[[#This Row],[Arg]]="",Log[[#This Row],[Sprint]],N(Log[[#This Row],[Arg]])),"")</f>
      </c>
      <c r="J1340" s="17">
        <f>IF(Log[[#This Row],[Verb]]="block",1,IF(OR(Log[[#This Row],[Verb]]="unblock",Log[[#This Row],[Verb]]="done",Log[[#This Row],[Verb]]="drop",Log[[#This Row],[Verb]]="punt",Log[[#This Row],[Verb]]="pass"),0,""))</f>
      </c>
      <c r="K1340" s="17">
        <f>IF(Log[[#This Row],[ID]]="",0,IFERROR(INDEX(Items[Pts],MATCH(Log[[#This Row],[ID]],Items[ID],0))*1,0))</f>
      </c>
      <c r="L1340" s="17">
        <f>IF(Log[[#This Row],[ID]]="","",IFERROR(INDEX(Items[Cur team],MATCH(Log[[#This Row],[ID]],Items[ID],0))&amp;"",""))</f>
      </c>
      <c r="M1340" s="17">
        <f>IF(OR(Log[[#This Row],[Verb]]="done",Log[[#This Row],[Verb]]="punt",Log[[#This Row],[Verb]]="drop",Log[[#This Row],[Verb]]="pass"),Log[[#This Row],[Pts]],0)</f>
      </c>
    </row>
    <row r="1341">
      <c r="A1341" s="11">
        <v>46216</v>
      </c>
      <c r="B1341" t="s">
        <v>737</v>
      </c>
      <c r="C1341" t="s">
        <v>41</v>
      </c>
      <c r="F1341" s="17">
        <f>IF(Log[[#This Row],[ID]]="","",IF(ISNA(MATCH(Log[[#This Row],[ID]],Items[ID],0)),"unknown ID",IF(ISNA(MATCH(Log[[#This Row],[Verb]],VerbList,0)),"unknown verb",IF(Log[[#This Row],[Date]]="","no date",""))))</f>
      </c>
      <c r="G1341" s="17">
        <f>IF(Log[[#This Row],[ID]]="","",IFERROR(VLOOKUP(Log[[#This Row],[Verb]],Verbs,3,FALSE)&amp;"",""))</f>
      </c>
      <c r="H1341" s="17">
        <f>IF(Log[[#This Row],[Date]]="","",INT((Log[[#This Row],[Date]]-Sprint1)/SprintDays)+1)</f>
      </c>
      <c r="I1341" s="17">
        <f>IF(OR(Log[[#This Row],[Verb]]="commit",Log[[#This Row],[Verb]]="carry",Log[[#This Row],[Verb]]="redo"),IF(Log[[#This Row],[Arg]]="",Log[[#This Row],[Sprint]],N(Log[[#This Row],[Arg]])),"")</f>
      </c>
      <c r="J1341" s="17">
        <f>IF(Log[[#This Row],[Verb]]="block",1,IF(OR(Log[[#This Row],[Verb]]="unblock",Log[[#This Row],[Verb]]="done",Log[[#This Row],[Verb]]="drop",Log[[#This Row],[Verb]]="punt",Log[[#This Row],[Verb]]="pass"),0,""))</f>
      </c>
      <c r="K1341" s="17">
        <f>IF(Log[[#This Row],[ID]]="",0,IFERROR(INDEX(Items[Pts],MATCH(Log[[#This Row],[ID]],Items[ID],0))*1,0))</f>
      </c>
      <c r="L1341" s="17">
        <f>IF(Log[[#This Row],[ID]]="","",IFERROR(INDEX(Items[Cur team],MATCH(Log[[#This Row],[ID]],Items[ID],0))&amp;"",""))</f>
      </c>
      <c r="M1341" s="17">
        <f>IF(OR(Log[[#This Row],[Verb]]="done",Log[[#This Row],[Verb]]="punt",Log[[#This Row],[Verb]]="drop",Log[[#This Row],[Verb]]="pass"),Log[[#This Row],[Pts]],0)</f>
      </c>
    </row>
    <row r="1342">
      <c r="A1342" s="11">
        <v>46216</v>
      </c>
      <c r="B1342" t="s">
        <v>738</v>
      </c>
      <c r="C1342" t="s">
        <v>41</v>
      </c>
      <c r="F1342" s="17">
        <f>IF(Log[[#This Row],[ID]]="","",IF(ISNA(MATCH(Log[[#This Row],[ID]],Items[ID],0)),"unknown ID",IF(ISNA(MATCH(Log[[#This Row],[Verb]],VerbList,0)),"unknown verb",IF(Log[[#This Row],[Date]]="","no date",""))))</f>
      </c>
      <c r="G1342" s="17">
        <f>IF(Log[[#This Row],[ID]]="","",IFERROR(VLOOKUP(Log[[#This Row],[Verb]],Verbs,3,FALSE)&amp;"",""))</f>
      </c>
      <c r="H1342" s="17">
        <f>IF(Log[[#This Row],[Date]]="","",INT((Log[[#This Row],[Date]]-Sprint1)/SprintDays)+1)</f>
      </c>
      <c r="I1342" s="17">
        <f>IF(OR(Log[[#This Row],[Verb]]="commit",Log[[#This Row],[Verb]]="carry",Log[[#This Row],[Verb]]="redo"),IF(Log[[#This Row],[Arg]]="",Log[[#This Row],[Sprint]],N(Log[[#This Row],[Arg]])),"")</f>
      </c>
      <c r="J1342" s="17">
        <f>IF(Log[[#This Row],[Verb]]="block",1,IF(OR(Log[[#This Row],[Verb]]="unblock",Log[[#This Row],[Verb]]="done",Log[[#This Row],[Verb]]="drop",Log[[#This Row],[Verb]]="punt",Log[[#This Row],[Verb]]="pass"),0,""))</f>
      </c>
      <c r="K1342" s="17">
        <f>IF(Log[[#This Row],[ID]]="",0,IFERROR(INDEX(Items[Pts],MATCH(Log[[#This Row],[ID]],Items[ID],0))*1,0))</f>
      </c>
      <c r="L1342" s="17">
        <f>IF(Log[[#This Row],[ID]]="","",IFERROR(INDEX(Items[Cur team],MATCH(Log[[#This Row],[ID]],Items[ID],0))&amp;"",""))</f>
      </c>
      <c r="M1342" s="17">
        <f>IF(OR(Log[[#This Row],[Verb]]="done",Log[[#This Row],[Verb]]="punt",Log[[#This Row],[Verb]]="drop",Log[[#This Row],[Verb]]="pass"),Log[[#This Row],[Pts]],0)</f>
      </c>
    </row>
    <row r="1343">
      <c r="A1343" s="11">
        <v>46216</v>
      </c>
      <c r="B1343" t="s">
        <v>739</v>
      </c>
      <c r="C1343" t="s">
        <v>41</v>
      </c>
      <c r="F1343" s="17">
        <f>IF(Log[[#This Row],[ID]]="","",IF(ISNA(MATCH(Log[[#This Row],[ID]],Items[ID],0)),"unknown ID",IF(ISNA(MATCH(Log[[#This Row],[Verb]],VerbList,0)),"unknown verb",IF(Log[[#This Row],[Date]]="","no date",""))))</f>
      </c>
      <c r="G1343" s="17">
        <f>IF(Log[[#This Row],[ID]]="","",IFERROR(VLOOKUP(Log[[#This Row],[Verb]],Verbs,3,FALSE)&amp;"",""))</f>
      </c>
      <c r="H1343" s="17">
        <f>IF(Log[[#This Row],[Date]]="","",INT((Log[[#This Row],[Date]]-Sprint1)/SprintDays)+1)</f>
      </c>
      <c r="I1343" s="17">
        <f>IF(OR(Log[[#This Row],[Verb]]="commit",Log[[#This Row],[Verb]]="carry",Log[[#This Row],[Verb]]="redo"),IF(Log[[#This Row],[Arg]]="",Log[[#This Row],[Sprint]],N(Log[[#This Row],[Arg]])),"")</f>
      </c>
      <c r="J1343" s="17">
        <f>IF(Log[[#This Row],[Verb]]="block",1,IF(OR(Log[[#This Row],[Verb]]="unblock",Log[[#This Row],[Verb]]="done",Log[[#This Row],[Verb]]="drop",Log[[#This Row],[Verb]]="punt",Log[[#This Row],[Verb]]="pass"),0,""))</f>
      </c>
      <c r="K1343" s="17">
        <f>IF(Log[[#This Row],[ID]]="",0,IFERROR(INDEX(Items[Pts],MATCH(Log[[#This Row],[ID]],Items[ID],0))*1,0))</f>
      </c>
      <c r="L1343" s="17">
        <f>IF(Log[[#This Row],[ID]]="","",IFERROR(INDEX(Items[Cur team],MATCH(Log[[#This Row],[ID]],Items[ID],0))&amp;"",""))</f>
      </c>
      <c r="M1343" s="17">
        <f>IF(OR(Log[[#This Row],[Verb]]="done",Log[[#This Row],[Verb]]="punt",Log[[#This Row],[Verb]]="drop",Log[[#This Row],[Verb]]="pass"),Log[[#This Row],[Pts]],0)</f>
      </c>
    </row>
    <row r="1344">
      <c r="A1344" s="11">
        <v>46216</v>
      </c>
      <c r="B1344" t="s">
        <v>740</v>
      </c>
      <c r="C1344" t="s">
        <v>41</v>
      </c>
      <c r="F1344" s="17">
        <f>IF(Log[[#This Row],[ID]]="","",IF(ISNA(MATCH(Log[[#This Row],[ID]],Items[ID],0)),"unknown ID",IF(ISNA(MATCH(Log[[#This Row],[Verb]],VerbList,0)),"unknown verb",IF(Log[[#This Row],[Date]]="","no date",""))))</f>
      </c>
      <c r="G1344" s="17">
        <f>IF(Log[[#This Row],[ID]]="","",IFERROR(VLOOKUP(Log[[#This Row],[Verb]],Verbs,3,FALSE)&amp;"",""))</f>
      </c>
      <c r="H1344" s="17">
        <f>IF(Log[[#This Row],[Date]]="","",INT((Log[[#This Row],[Date]]-Sprint1)/SprintDays)+1)</f>
      </c>
      <c r="I1344" s="17">
        <f>IF(OR(Log[[#This Row],[Verb]]="commit",Log[[#This Row],[Verb]]="carry",Log[[#This Row],[Verb]]="redo"),IF(Log[[#This Row],[Arg]]="",Log[[#This Row],[Sprint]],N(Log[[#This Row],[Arg]])),"")</f>
      </c>
      <c r="J1344" s="17">
        <f>IF(Log[[#This Row],[Verb]]="block",1,IF(OR(Log[[#This Row],[Verb]]="unblock",Log[[#This Row],[Verb]]="done",Log[[#This Row],[Verb]]="drop",Log[[#This Row],[Verb]]="punt",Log[[#This Row],[Verb]]="pass"),0,""))</f>
      </c>
      <c r="K1344" s="17">
        <f>IF(Log[[#This Row],[ID]]="",0,IFERROR(INDEX(Items[Pts],MATCH(Log[[#This Row],[ID]],Items[ID],0))*1,0))</f>
      </c>
      <c r="L1344" s="17">
        <f>IF(Log[[#This Row],[ID]]="","",IFERROR(INDEX(Items[Cur team],MATCH(Log[[#This Row],[ID]],Items[ID],0))&amp;"",""))</f>
      </c>
      <c r="M1344" s="17">
        <f>IF(OR(Log[[#This Row],[Verb]]="done",Log[[#This Row],[Verb]]="punt",Log[[#This Row],[Verb]]="drop",Log[[#This Row],[Verb]]="pass"),Log[[#This Row],[Pts]],0)</f>
      </c>
    </row>
    <row r="1345">
      <c r="A1345" s="11">
        <v>46216</v>
      </c>
      <c r="B1345" t="s">
        <v>741</v>
      </c>
      <c r="C1345" t="s">
        <v>41</v>
      </c>
      <c r="F1345" s="17">
        <f>IF(Log[[#This Row],[ID]]="","",IF(ISNA(MATCH(Log[[#This Row],[ID]],Items[ID],0)),"unknown ID",IF(ISNA(MATCH(Log[[#This Row],[Verb]],VerbList,0)),"unknown verb",IF(Log[[#This Row],[Date]]="","no date",""))))</f>
      </c>
      <c r="G1345" s="17">
        <f>IF(Log[[#This Row],[ID]]="","",IFERROR(VLOOKUP(Log[[#This Row],[Verb]],Verbs,3,FALSE)&amp;"",""))</f>
      </c>
      <c r="H1345" s="17">
        <f>IF(Log[[#This Row],[Date]]="","",INT((Log[[#This Row],[Date]]-Sprint1)/SprintDays)+1)</f>
      </c>
      <c r="I1345" s="17">
        <f>IF(OR(Log[[#This Row],[Verb]]="commit",Log[[#This Row],[Verb]]="carry",Log[[#This Row],[Verb]]="redo"),IF(Log[[#This Row],[Arg]]="",Log[[#This Row],[Sprint]],N(Log[[#This Row],[Arg]])),"")</f>
      </c>
      <c r="J1345" s="17">
        <f>IF(Log[[#This Row],[Verb]]="block",1,IF(OR(Log[[#This Row],[Verb]]="unblock",Log[[#This Row],[Verb]]="done",Log[[#This Row],[Verb]]="drop",Log[[#This Row],[Verb]]="punt",Log[[#This Row],[Verb]]="pass"),0,""))</f>
      </c>
      <c r="K1345" s="17">
        <f>IF(Log[[#This Row],[ID]]="",0,IFERROR(INDEX(Items[Pts],MATCH(Log[[#This Row],[ID]],Items[ID],0))*1,0))</f>
      </c>
      <c r="L1345" s="17">
        <f>IF(Log[[#This Row],[ID]]="","",IFERROR(INDEX(Items[Cur team],MATCH(Log[[#This Row],[ID]],Items[ID],0))&amp;"",""))</f>
      </c>
      <c r="M1345" s="17">
        <f>IF(OR(Log[[#This Row],[Verb]]="done",Log[[#This Row],[Verb]]="punt",Log[[#This Row],[Verb]]="drop",Log[[#This Row],[Verb]]="pass"),Log[[#This Row],[Pts]],0)</f>
      </c>
    </row>
    <row r="1346">
      <c r="A1346" s="11">
        <v>46216</v>
      </c>
      <c r="B1346" t="s">
        <v>742</v>
      </c>
      <c r="C1346" t="s">
        <v>41</v>
      </c>
      <c r="F1346" s="17">
        <f>IF(Log[[#This Row],[ID]]="","",IF(ISNA(MATCH(Log[[#This Row],[ID]],Items[ID],0)),"unknown ID",IF(ISNA(MATCH(Log[[#This Row],[Verb]],VerbList,0)),"unknown verb",IF(Log[[#This Row],[Date]]="","no date",""))))</f>
      </c>
      <c r="G1346" s="17">
        <f>IF(Log[[#This Row],[ID]]="","",IFERROR(VLOOKUP(Log[[#This Row],[Verb]],Verbs,3,FALSE)&amp;"",""))</f>
      </c>
      <c r="H1346" s="17">
        <f>IF(Log[[#This Row],[Date]]="","",INT((Log[[#This Row],[Date]]-Sprint1)/SprintDays)+1)</f>
      </c>
      <c r="I1346" s="17">
        <f>IF(OR(Log[[#This Row],[Verb]]="commit",Log[[#This Row],[Verb]]="carry",Log[[#This Row],[Verb]]="redo"),IF(Log[[#This Row],[Arg]]="",Log[[#This Row],[Sprint]],N(Log[[#This Row],[Arg]])),"")</f>
      </c>
      <c r="J1346" s="17">
        <f>IF(Log[[#This Row],[Verb]]="block",1,IF(OR(Log[[#This Row],[Verb]]="unblock",Log[[#This Row],[Verb]]="done",Log[[#This Row],[Verb]]="drop",Log[[#This Row],[Verb]]="punt",Log[[#This Row],[Verb]]="pass"),0,""))</f>
      </c>
      <c r="K1346" s="17">
        <f>IF(Log[[#This Row],[ID]]="",0,IFERROR(INDEX(Items[Pts],MATCH(Log[[#This Row],[ID]],Items[ID],0))*1,0))</f>
      </c>
      <c r="L1346" s="17">
        <f>IF(Log[[#This Row],[ID]]="","",IFERROR(INDEX(Items[Cur team],MATCH(Log[[#This Row],[ID]],Items[ID],0))&amp;"",""))</f>
      </c>
      <c r="M1346" s="17">
        <f>IF(OR(Log[[#This Row],[Verb]]="done",Log[[#This Row],[Verb]]="punt",Log[[#This Row],[Verb]]="drop",Log[[#This Row],[Verb]]="pass"),Log[[#This Row],[Pts]],0)</f>
      </c>
    </row>
    <row r="1347">
      <c r="A1347" s="11">
        <v>46216</v>
      </c>
      <c r="B1347" t="s">
        <v>743</v>
      </c>
      <c r="C1347" t="s">
        <v>41</v>
      </c>
      <c r="F1347" s="17">
        <f>IF(Log[[#This Row],[ID]]="","",IF(ISNA(MATCH(Log[[#This Row],[ID]],Items[ID],0)),"unknown ID",IF(ISNA(MATCH(Log[[#This Row],[Verb]],VerbList,0)),"unknown verb",IF(Log[[#This Row],[Date]]="","no date",""))))</f>
      </c>
      <c r="G1347" s="17">
        <f>IF(Log[[#This Row],[ID]]="","",IFERROR(VLOOKUP(Log[[#This Row],[Verb]],Verbs,3,FALSE)&amp;"",""))</f>
      </c>
      <c r="H1347" s="17">
        <f>IF(Log[[#This Row],[Date]]="","",INT((Log[[#This Row],[Date]]-Sprint1)/SprintDays)+1)</f>
      </c>
      <c r="I1347" s="17">
        <f>IF(OR(Log[[#This Row],[Verb]]="commit",Log[[#This Row],[Verb]]="carry",Log[[#This Row],[Verb]]="redo"),IF(Log[[#This Row],[Arg]]="",Log[[#This Row],[Sprint]],N(Log[[#This Row],[Arg]])),"")</f>
      </c>
      <c r="J1347" s="17">
        <f>IF(Log[[#This Row],[Verb]]="block",1,IF(OR(Log[[#This Row],[Verb]]="unblock",Log[[#This Row],[Verb]]="done",Log[[#This Row],[Verb]]="drop",Log[[#This Row],[Verb]]="punt",Log[[#This Row],[Verb]]="pass"),0,""))</f>
      </c>
      <c r="K1347" s="17">
        <f>IF(Log[[#This Row],[ID]]="",0,IFERROR(INDEX(Items[Pts],MATCH(Log[[#This Row],[ID]],Items[ID],0))*1,0))</f>
      </c>
      <c r="L1347" s="17">
        <f>IF(Log[[#This Row],[ID]]="","",IFERROR(INDEX(Items[Cur team],MATCH(Log[[#This Row],[ID]],Items[ID],0))&amp;"",""))</f>
      </c>
      <c r="M1347" s="17">
        <f>IF(OR(Log[[#This Row],[Verb]]="done",Log[[#This Row],[Verb]]="punt",Log[[#This Row],[Verb]]="drop",Log[[#This Row],[Verb]]="pass"),Log[[#This Row],[Pts]],0)</f>
      </c>
    </row>
    <row r="1348">
      <c r="A1348" s="11">
        <v>46216</v>
      </c>
      <c r="B1348" t="s">
        <v>744</v>
      </c>
      <c r="C1348" t="s">
        <v>41</v>
      </c>
      <c r="F1348" s="17">
        <f>IF(Log[[#This Row],[ID]]="","",IF(ISNA(MATCH(Log[[#This Row],[ID]],Items[ID],0)),"unknown ID",IF(ISNA(MATCH(Log[[#This Row],[Verb]],VerbList,0)),"unknown verb",IF(Log[[#This Row],[Date]]="","no date",""))))</f>
      </c>
      <c r="G1348" s="17">
        <f>IF(Log[[#This Row],[ID]]="","",IFERROR(VLOOKUP(Log[[#This Row],[Verb]],Verbs,3,FALSE)&amp;"",""))</f>
      </c>
      <c r="H1348" s="17">
        <f>IF(Log[[#This Row],[Date]]="","",INT((Log[[#This Row],[Date]]-Sprint1)/SprintDays)+1)</f>
      </c>
      <c r="I1348" s="17">
        <f>IF(OR(Log[[#This Row],[Verb]]="commit",Log[[#This Row],[Verb]]="carry",Log[[#This Row],[Verb]]="redo"),IF(Log[[#This Row],[Arg]]="",Log[[#This Row],[Sprint]],N(Log[[#This Row],[Arg]])),"")</f>
      </c>
      <c r="J1348" s="17">
        <f>IF(Log[[#This Row],[Verb]]="block",1,IF(OR(Log[[#This Row],[Verb]]="unblock",Log[[#This Row],[Verb]]="done",Log[[#This Row],[Verb]]="drop",Log[[#This Row],[Verb]]="punt",Log[[#This Row],[Verb]]="pass"),0,""))</f>
      </c>
      <c r="K1348" s="17">
        <f>IF(Log[[#This Row],[ID]]="",0,IFERROR(INDEX(Items[Pts],MATCH(Log[[#This Row],[ID]],Items[ID],0))*1,0))</f>
      </c>
      <c r="L1348" s="17">
        <f>IF(Log[[#This Row],[ID]]="","",IFERROR(INDEX(Items[Cur team],MATCH(Log[[#This Row],[ID]],Items[ID],0))&amp;"",""))</f>
      </c>
      <c r="M1348" s="17">
        <f>IF(OR(Log[[#This Row],[Verb]]="done",Log[[#This Row],[Verb]]="punt",Log[[#This Row],[Verb]]="drop",Log[[#This Row],[Verb]]="pass"),Log[[#This Row],[Pts]],0)</f>
      </c>
    </row>
    <row r="1349">
      <c r="A1349" s="11">
        <v>46216</v>
      </c>
      <c r="B1349" t="s">
        <v>683</v>
      </c>
      <c r="C1349" t="s">
        <v>38</v>
      </c>
      <c r="D1349">
        <v>48</v>
      </c>
      <c r="F1349" s="17">
        <f>IF(Log[[#This Row],[ID]]="","",IF(ISNA(MATCH(Log[[#This Row],[ID]],Items[ID],0)),"unknown ID",IF(ISNA(MATCH(Log[[#This Row],[Verb]],VerbList,0)),"unknown verb",IF(Log[[#This Row],[Date]]="","no date",""))))</f>
      </c>
      <c r="G1349" s="17">
        <f>IF(Log[[#This Row],[ID]]="","",IFERROR(VLOOKUP(Log[[#This Row],[Verb]],Verbs,3,FALSE)&amp;"",""))</f>
      </c>
      <c r="H1349" s="17">
        <f>IF(Log[[#This Row],[Date]]="","",INT((Log[[#This Row],[Date]]-Sprint1)/SprintDays)+1)</f>
      </c>
      <c r="I1349" s="17">
        <f>IF(OR(Log[[#This Row],[Verb]]="commit",Log[[#This Row],[Verb]]="carry",Log[[#This Row],[Verb]]="redo"),IF(Log[[#This Row],[Arg]]="",Log[[#This Row],[Sprint]],N(Log[[#This Row],[Arg]])),"")</f>
      </c>
      <c r="J1349" s="17">
        <f>IF(Log[[#This Row],[Verb]]="block",1,IF(OR(Log[[#This Row],[Verb]]="unblock",Log[[#This Row],[Verb]]="done",Log[[#This Row],[Verb]]="drop",Log[[#This Row],[Verb]]="punt",Log[[#This Row],[Verb]]="pass"),0,""))</f>
      </c>
      <c r="K1349" s="17">
        <f>IF(Log[[#This Row],[ID]]="",0,IFERROR(INDEX(Items[Pts],MATCH(Log[[#This Row],[ID]],Items[ID],0))*1,0))</f>
      </c>
      <c r="L1349" s="17">
        <f>IF(Log[[#This Row],[ID]]="","",IFERROR(INDEX(Items[Cur team],MATCH(Log[[#This Row],[ID]],Items[ID],0))&amp;"",""))</f>
      </c>
      <c r="M1349" s="17">
        <f>IF(OR(Log[[#This Row],[Verb]]="done",Log[[#This Row],[Verb]]="punt",Log[[#This Row],[Verb]]="drop",Log[[#This Row],[Verb]]="pass"),Log[[#This Row],[Pts]],0)</f>
      </c>
    </row>
    <row r="1350">
      <c r="A1350" s="11">
        <v>46216</v>
      </c>
      <c r="B1350" t="s">
        <v>745</v>
      </c>
      <c r="C1350" t="s">
        <v>41</v>
      </c>
      <c r="F1350" s="17">
        <f>IF(Log[[#This Row],[ID]]="","",IF(ISNA(MATCH(Log[[#This Row],[ID]],Items[ID],0)),"unknown ID",IF(ISNA(MATCH(Log[[#This Row],[Verb]],VerbList,0)),"unknown verb",IF(Log[[#This Row],[Date]]="","no date",""))))</f>
      </c>
      <c r="G1350" s="17">
        <f>IF(Log[[#This Row],[ID]]="","",IFERROR(VLOOKUP(Log[[#This Row],[Verb]],Verbs,3,FALSE)&amp;"",""))</f>
      </c>
      <c r="H1350" s="17">
        <f>IF(Log[[#This Row],[Date]]="","",INT((Log[[#This Row],[Date]]-Sprint1)/SprintDays)+1)</f>
      </c>
      <c r="I1350" s="17">
        <f>IF(OR(Log[[#This Row],[Verb]]="commit",Log[[#This Row],[Verb]]="carry",Log[[#This Row],[Verb]]="redo"),IF(Log[[#This Row],[Arg]]="",Log[[#This Row],[Sprint]],N(Log[[#This Row],[Arg]])),"")</f>
      </c>
      <c r="J1350" s="17">
        <f>IF(Log[[#This Row],[Verb]]="block",1,IF(OR(Log[[#This Row],[Verb]]="unblock",Log[[#This Row],[Verb]]="done",Log[[#This Row],[Verb]]="drop",Log[[#This Row],[Verb]]="punt",Log[[#This Row],[Verb]]="pass"),0,""))</f>
      </c>
      <c r="K1350" s="17">
        <f>IF(Log[[#This Row],[ID]]="",0,IFERROR(INDEX(Items[Pts],MATCH(Log[[#This Row],[ID]],Items[ID],0))*1,0))</f>
      </c>
      <c r="L1350" s="17">
        <f>IF(Log[[#This Row],[ID]]="","",IFERROR(INDEX(Items[Cur team],MATCH(Log[[#This Row],[ID]],Items[ID],0))&amp;"",""))</f>
      </c>
      <c r="M1350" s="17">
        <f>IF(OR(Log[[#This Row],[Verb]]="done",Log[[#This Row],[Verb]]="punt",Log[[#This Row],[Verb]]="drop",Log[[#This Row],[Verb]]="pass"),Log[[#This Row],[Pts]],0)</f>
      </c>
    </row>
    <row r="1351">
      <c r="A1351" s="11">
        <v>46216</v>
      </c>
      <c r="B1351" t="s">
        <v>746</v>
      </c>
      <c r="C1351" t="s">
        <v>41</v>
      </c>
      <c r="F1351" s="17">
        <f>IF(Log[[#This Row],[ID]]="","",IF(ISNA(MATCH(Log[[#This Row],[ID]],Items[ID],0)),"unknown ID",IF(ISNA(MATCH(Log[[#This Row],[Verb]],VerbList,0)),"unknown verb",IF(Log[[#This Row],[Date]]="","no date",""))))</f>
      </c>
      <c r="G1351" s="17">
        <f>IF(Log[[#This Row],[ID]]="","",IFERROR(VLOOKUP(Log[[#This Row],[Verb]],Verbs,3,FALSE)&amp;"",""))</f>
      </c>
      <c r="H1351" s="17">
        <f>IF(Log[[#This Row],[Date]]="","",INT((Log[[#This Row],[Date]]-Sprint1)/SprintDays)+1)</f>
      </c>
      <c r="I1351" s="17">
        <f>IF(OR(Log[[#This Row],[Verb]]="commit",Log[[#This Row],[Verb]]="carry",Log[[#This Row],[Verb]]="redo"),IF(Log[[#This Row],[Arg]]="",Log[[#This Row],[Sprint]],N(Log[[#This Row],[Arg]])),"")</f>
      </c>
      <c r="J1351" s="17">
        <f>IF(Log[[#This Row],[Verb]]="block",1,IF(OR(Log[[#This Row],[Verb]]="unblock",Log[[#This Row],[Verb]]="done",Log[[#This Row],[Verb]]="drop",Log[[#This Row],[Verb]]="punt",Log[[#This Row],[Verb]]="pass"),0,""))</f>
      </c>
      <c r="K1351" s="17">
        <f>IF(Log[[#This Row],[ID]]="",0,IFERROR(INDEX(Items[Pts],MATCH(Log[[#This Row],[ID]],Items[ID],0))*1,0))</f>
      </c>
      <c r="L1351" s="17">
        <f>IF(Log[[#This Row],[ID]]="","",IFERROR(INDEX(Items[Cur team],MATCH(Log[[#This Row],[ID]],Items[ID],0))&amp;"",""))</f>
      </c>
      <c r="M1351" s="17">
        <f>IF(OR(Log[[#This Row],[Verb]]="done",Log[[#This Row],[Verb]]="punt",Log[[#This Row],[Verb]]="drop",Log[[#This Row],[Verb]]="pass"),Log[[#This Row],[Pts]],0)</f>
      </c>
    </row>
    <row r="1352">
      <c r="A1352" s="11">
        <v>46216</v>
      </c>
      <c r="B1352" t="s">
        <v>747</v>
      </c>
      <c r="C1352" t="s">
        <v>41</v>
      </c>
      <c r="F1352" s="17">
        <f>IF(Log[[#This Row],[ID]]="","",IF(ISNA(MATCH(Log[[#This Row],[ID]],Items[ID],0)),"unknown ID",IF(ISNA(MATCH(Log[[#This Row],[Verb]],VerbList,0)),"unknown verb",IF(Log[[#This Row],[Date]]="","no date",""))))</f>
      </c>
      <c r="G1352" s="17">
        <f>IF(Log[[#This Row],[ID]]="","",IFERROR(VLOOKUP(Log[[#This Row],[Verb]],Verbs,3,FALSE)&amp;"",""))</f>
      </c>
      <c r="H1352" s="17">
        <f>IF(Log[[#This Row],[Date]]="","",INT((Log[[#This Row],[Date]]-Sprint1)/SprintDays)+1)</f>
      </c>
      <c r="I1352" s="17">
        <f>IF(OR(Log[[#This Row],[Verb]]="commit",Log[[#This Row],[Verb]]="carry",Log[[#This Row],[Verb]]="redo"),IF(Log[[#This Row],[Arg]]="",Log[[#This Row],[Sprint]],N(Log[[#This Row],[Arg]])),"")</f>
      </c>
      <c r="J1352" s="17">
        <f>IF(Log[[#This Row],[Verb]]="block",1,IF(OR(Log[[#This Row],[Verb]]="unblock",Log[[#This Row],[Verb]]="done",Log[[#This Row],[Verb]]="drop",Log[[#This Row],[Verb]]="punt",Log[[#This Row],[Verb]]="pass"),0,""))</f>
      </c>
      <c r="K1352" s="17">
        <f>IF(Log[[#This Row],[ID]]="",0,IFERROR(INDEX(Items[Pts],MATCH(Log[[#This Row],[ID]],Items[ID],0))*1,0))</f>
      </c>
      <c r="L1352" s="17">
        <f>IF(Log[[#This Row],[ID]]="","",IFERROR(INDEX(Items[Cur team],MATCH(Log[[#This Row],[ID]],Items[ID],0))&amp;"",""))</f>
      </c>
      <c r="M1352" s="17">
        <f>IF(OR(Log[[#This Row],[Verb]]="done",Log[[#This Row],[Verb]]="punt",Log[[#This Row],[Verb]]="drop",Log[[#This Row],[Verb]]="pass"),Log[[#This Row],[Pts]],0)</f>
      </c>
    </row>
    <row r="1353">
      <c r="A1353" s="11">
        <v>46216</v>
      </c>
      <c r="B1353" t="s">
        <v>748</v>
      </c>
      <c r="C1353" t="s">
        <v>38</v>
      </c>
      <c r="D1353">
        <v>48</v>
      </c>
      <c r="F1353" s="17">
        <f>IF(Log[[#This Row],[ID]]="","",IF(ISNA(MATCH(Log[[#This Row],[ID]],Items[ID],0)),"unknown ID",IF(ISNA(MATCH(Log[[#This Row],[Verb]],VerbList,0)),"unknown verb",IF(Log[[#This Row],[Date]]="","no date",""))))</f>
      </c>
      <c r="G1353" s="17">
        <f>IF(Log[[#This Row],[ID]]="","",IFERROR(VLOOKUP(Log[[#This Row],[Verb]],Verbs,3,FALSE)&amp;"",""))</f>
      </c>
      <c r="H1353" s="17">
        <f>IF(Log[[#This Row],[Date]]="","",INT((Log[[#This Row],[Date]]-Sprint1)/SprintDays)+1)</f>
      </c>
      <c r="I1353" s="17">
        <f>IF(OR(Log[[#This Row],[Verb]]="commit",Log[[#This Row],[Verb]]="carry",Log[[#This Row],[Verb]]="redo"),IF(Log[[#This Row],[Arg]]="",Log[[#This Row],[Sprint]],N(Log[[#This Row],[Arg]])),"")</f>
      </c>
      <c r="J1353" s="17">
        <f>IF(Log[[#This Row],[Verb]]="block",1,IF(OR(Log[[#This Row],[Verb]]="unblock",Log[[#This Row],[Verb]]="done",Log[[#This Row],[Verb]]="drop",Log[[#This Row],[Verb]]="punt",Log[[#This Row],[Verb]]="pass"),0,""))</f>
      </c>
      <c r="K1353" s="17">
        <f>IF(Log[[#This Row],[ID]]="",0,IFERROR(INDEX(Items[Pts],MATCH(Log[[#This Row],[ID]],Items[ID],0))*1,0))</f>
      </c>
      <c r="L1353" s="17">
        <f>IF(Log[[#This Row],[ID]]="","",IFERROR(INDEX(Items[Cur team],MATCH(Log[[#This Row],[ID]],Items[ID],0))&amp;"",""))</f>
      </c>
      <c r="M1353" s="17">
        <f>IF(OR(Log[[#This Row],[Verb]]="done",Log[[#This Row],[Verb]]="punt",Log[[#This Row],[Verb]]="drop",Log[[#This Row],[Verb]]="pass"),Log[[#This Row],[Pts]],0)</f>
      </c>
    </row>
    <row r="1354">
      <c r="A1354" s="11">
        <v>46216</v>
      </c>
      <c r="B1354" t="s">
        <v>749</v>
      </c>
      <c r="C1354" t="s">
        <v>38</v>
      </c>
      <c r="D1354">
        <v>48</v>
      </c>
      <c r="F1354" s="17">
        <f>IF(Log[[#This Row],[ID]]="","",IF(ISNA(MATCH(Log[[#This Row],[ID]],Items[ID],0)),"unknown ID",IF(ISNA(MATCH(Log[[#This Row],[Verb]],VerbList,0)),"unknown verb",IF(Log[[#This Row],[Date]]="","no date",""))))</f>
      </c>
      <c r="G1354" s="17">
        <f>IF(Log[[#This Row],[ID]]="","",IFERROR(VLOOKUP(Log[[#This Row],[Verb]],Verbs,3,FALSE)&amp;"",""))</f>
      </c>
      <c r="H1354" s="17">
        <f>IF(Log[[#This Row],[Date]]="","",INT((Log[[#This Row],[Date]]-Sprint1)/SprintDays)+1)</f>
      </c>
      <c r="I1354" s="17">
        <f>IF(OR(Log[[#This Row],[Verb]]="commit",Log[[#This Row],[Verb]]="carry",Log[[#This Row],[Verb]]="redo"),IF(Log[[#This Row],[Arg]]="",Log[[#This Row],[Sprint]],N(Log[[#This Row],[Arg]])),"")</f>
      </c>
      <c r="J1354" s="17">
        <f>IF(Log[[#This Row],[Verb]]="block",1,IF(OR(Log[[#This Row],[Verb]]="unblock",Log[[#This Row],[Verb]]="done",Log[[#This Row],[Verb]]="drop",Log[[#This Row],[Verb]]="punt",Log[[#This Row],[Verb]]="pass"),0,""))</f>
      </c>
      <c r="K1354" s="17">
        <f>IF(Log[[#This Row],[ID]]="",0,IFERROR(INDEX(Items[Pts],MATCH(Log[[#This Row],[ID]],Items[ID],0))*1,0))</f>
      </c>
      <c r="L1354" s="17">
        <f>IF(Log[[#This Row],[ID]]="","",IFERROR(INDEX(Items[Cur team],MATCH(Log[[#This Row],[ID]],Items[ID],0))&amp;"",""))</f>
      </c>
      <c r="M1354" s="17">
        <f>IF(OR(Log[[#This Row],[Verb]]="done",Log[[#This Row],[Verb]]="punt",Log[[#This Row],[Verb]]="drop",Log[[#This Row],[Verb]]="pass"),Log[[#This Row],[Pts]],0)</f>
      </c>
    </row>
    <row r="1355">
      <c r="A1355" s="11">
        <v>46216</v>
      </c>
      <c r="B1355" t="s">
        <v>632</v>
      </c>
      <c r="C1355" t="s">
        <v>38</v>
      </c>
      <c r="D1355">
        <v>48</v>
      </c>
      <c r="F1355" s="17">
        <f>IF(Log[[#This Row],[ID]]="","",IF(ISNA(MATCH(Log[[#This Row],[ID]],Items[ID],0)),"unknown ID",IF(ISNA(MATCH(Log[[#This Row],[Verb]],VerbList,0)),"unknown verb",IF(Log[[#This Row],[Date]]="","no date",""))))</f>
      </c>
      <c r="G1355" s="17">
        <f>IF(Log[[#This Row],[ID]]="","",IFERROR(VLOOKUP(Log[[#This Row],[Verb]],Verbs,3,FALSE)&amp;"",""))</f>
      </c>
      <c r="H1355" s="17">
        <f>IF(Log[[#This Row],[Date]]="","",INT((Log[[#This Row],[Date]]-Sprint1)/SprintDays)+1)</f>
      </c>
      <c r="I1355" s="17">
        <f>IF(OR(Log[[#This Row],[Verb]]="commit",Log[[#This Row],[Verb]]="carry",Log[[#This Row],[Verb]]="redo"),IF(Log[[#This Row],[Arg]]="",Log[[#This Row],[Sprint]],N(Log[[#This Row],[Arg]])),"")</f>
      </c>
      <c r="J1355" s="17">
        <f>IF(Log[[#This Row],[Verb]]="block",1,IF(OR(Log[[#This Row],[Verb]]="unblock",Log[[#This Row],[Verb]]="done",Log[[#This Row],[Verb]]="drop",Log[[#This Row],[Verb]]="punt",Log[[#This Row],[Verb]]="pass"),0,""))</f>
      </c>
      <c r="K1355" s="17">
        <f>IF(Log[[#This Row],[ID]]="",0,IFERROR(INDEX(Items[Pts],MATCH(Log[[#This Row],[ID]],Items[ID],0))*1,0))</f>
      </c>
      <c r="L1355" s="17">
        <f>IF(Log[[#This Row],[ID]]="","",IFERROR(INDEX(Items[Cur team],MATCH(Log[[#This Row],[ID]],Items[ID],0))&amp;"",""))</f>
      </c>
      <c r="M1355" s="17">
        <f>IF(OR(Log[[#This Row],[Verb]]="done",Log[[#This Row],[Verb]]="punt",Log[[#This Row],[Verb]]="drop",Log[[#This Row],[Verb]]="pass"),Log[[#This Row],[Pts]],0)</f>
      </c>
    </row>
    <row r="1356">
      <c r="A1356" s="11">
        <v>46216</v>
      </c>
      <c r="B1356" t="s">
        <v>684</v>
      </c>
      <c r="C1356" t="s">
        <v>38</v>
      </c>
      <c r="D1356">
        <v>48</v>
      </c>
      <c r="F1356" s="17">
        <f>IF(Log[[#This Row],[ID]]="","",IF(ISNA(MATCH(Log[[#This Row],[ID]],Items[ID],0)),"unknown ID",IF(ISNA(MATCH(Log[[#This Row],[Verb]],VerbList,0)),"unknown verb",IF(Log[[#This Row],[Date]]="","no date",""))))</f>
      </c>
      <c r="G1356" s="17">
        <f>IF(Log[[#This Row],[ID]]="","",IFERROR(VLOOKUP(Log[[#This Row],[Verb]],Verbs,3,FALSE)&amp;"",""))</f>
      </c>
      <c r="H1356" s="17">
        <f>IF(Log[[#This Row],[Date]]="","",INT((Log[[#This Row],[Date]]-Sprint1)/SprintDays)+1)</f>
      </c>
      <c r="I1356" s="17">
        <f>IF(OR(Log[[#This Row],[Verb]]="commit",Log[[#This Row],[Verb]]="carry",Log[[#This Row],[Verb]]="redo"),IF(Log[[#This Row],[Arg]]="",Log[[#This Row],[Sprint]],N(Log[[#This Row],[Arg]])),"")</f>
      </c>
      <c r="J1356" s="17">
        <f>IF(Log[[#This Row],[Verb]]="block",1,IF(OR(Log[[#This Row],[Verb]]="unblock",Log[[#This Row],[Verb]]="done",Log[[#This Row],[Verb]]="drop",Log[[#This Row],[Verb]]="punt",Log[[#This Row],[Verb]]="pass"),0,""))</f>
      </c>
      <c r="K1356" s="17">
        <f>IF(Log[[#This Row],[ID]]="",0,IFERROR(INDEX(Items[Pts],MATCH(Log[[#This Row],[ID]],Items[ID],0))*1,0))</f>
      </c>
      <c r="L1356" s="17">
        <f>IF(Log[[#This Row],[ID]]="","",IFERROR(INDEX(Items[Cur team],MATCH(Log[[#This Row],[ID]],Items[ID],0))&amp;"",""))</f>
      </c>
      <c r="M1356" s="17">
        <f>IF(OR(Log[[#This Row],[Verb]]="done",Log[[#This Row],[Verb]]="punt",Log[[#This Row],[Verb]]="drop",Log[[#This Row],[Verb]]="pass"),Log[[#This Row],[Pts]],0)</f>
      </c>
    </row>
    <row r="1357">
      <c r="A1357" s="11">
        <v>46216</v>
      </c>
      <c r="B1357" t="s">
        <v>685</v>
      </c>
      <c r="C1357" t="s">
        <v>41</v>
      </c>
      <c r="F1357" s="17">
        <f>IF(Log[[#This Row],[ID]]="","",IF(ISNA(MATCH(Log[[#This Row],[ID]],Items[ID],0)),"unknown ID",IF(ISNA(MATCH(Log[[#This Row],[Verb]],VerbList,0)),"unknown verb",IF(Log[[#This Row],[Date]]="","no date",""))))</f>
      </c>
      <c r="G1357" s="17">
        <f>IF(Log[[#This Row],[ID]]="","",IFERROR(VLOOKUP(Log[[#This Row],[Verb]],Verbs,3,FALSE)&amp;"",""))</f>
      </c>
      <c r="H1357" s="17">
        <f>IF(Log[[#This Row],[Date]]="","",INT((Log[[#This Row],[Date]]-Sprint1)/SprintDays)+1)</f>
      </c>
      <c r="I1357" s="17">
        <f>IF(OR(Log[[#This Row],[Verb]]="commit",Log[[#This Row],[Verb]]="carry",Log[[#This Row],[Verb]]="redo"),IF(Log[[#This Row],[Arg]]="",Log[[#This Row],[Sprint]],N(Log[[#This Row],[Arg]])),"")</f>
      </c>
      <c r="J1357" s="17">
        <f>IF(Log[[#This Row],[Verb]]="block",1,IF(OR(Log[[#This Row],[Verb]]="unblock",Log[[#This Row],[Verb]]="done",Log[[#This Row],[Verb]]="drop",Log[[#This Row],[Verb]]="punt",Log[[#This Row],[Verb]]="pass"),0,""))</f>
      </c>
      <c r="K1357" s="17">
        <f>IF(Log[[#This Row],[ID]]="",0,IFERROR(INDEX(Items[Pts],MATCH(Log[[#This Row],[ID]],Items[ID],0))*1,0))</f>
      </c>
      <c r="L1357" s="17">
        <f>IF(Log[[#This Row],[ID]]="","",IFERROR(INDEX(Items[Cur team],MATCH(Log[[#This Row],[ID]],Items[ID],0))&amp;"",""))</f>
      </c>
      <c r="M1357" s="17">
        <f>IF(OR(Log[[#This Row],[Verb]]="done",Log[[#This Row],[Verb]]="punt",Log[[#This Row],[Verb]]="drop",Log[[#This Row],[Verb]]="pass"),Log[[#This Row],[Pts]],0)</f>
      </c>
    </row>
    <row r="1358">
      <c r="A1358" s="11">
        <v>46216</v>
      </c>
      <c r="B1358" t="s">
        <v>750</v>
      </c>
      <c r="C1358" t="s">
        <v>41</v>
      </c>
      <c r="F1358" s="17">
        <f>IF(Log[[#This Row],[ID]]="","",IF(ISNA(MATCH(Log[[#This Row],[ID]],Items[ID],0)),"unknown ID",IF(ISNA(MATCH(Log[[#This Row],[Verb]],VerbList,0)),"unknown verb",IF(Log[[#This Row],[Date]]="","no date",""))))</f>
      </c>
      <c r="G1358" s="17">
        <f>IF(Log[[#This Row],[ID]]="","",IFERROR(VLOOKUP(Log[[#This Row],[Verb]],Verbs,3,FALSE)&amp;"",""))</f>
      </c>
      <c r="H1358" s="17">
        <f>IF(Log[[#This Row],[Date]]="","",INT((Log[[#This Row],[Date]]-Sprint1)/SprintDays)+1)</f>
      </c>
      <c r="I1358" s="17">
        <f>IF(OR(Log[[#This Row],[Verb]]="commit",Log[[#This Row],[Verb]]="carry",Log[[#This Row],[Verb]]="redo"),IF(Log[[#This Row],[Arg]]="",Log[[#This Row],[Sprint]],N(Log[[#This Row],[Arg]])),"")</f>
      </c>
      <c r="J1358" s="17">
        <f>IF(Log[[#This Row],[Verb]]="block",1,IF(OR(Log[[#This Row],[Verb]]="unblock",Log[[#This Row],[Verb]]="done",Log[[#This Row],[Verb]]="drop",Log[[#This Row],[Verb]]="punt",Log[[#This Row],[Verb]]="pass"),0,""))</f>
      </c>
      <c r="K1358" s="17">
        <f>IF(Log[[#This Row],[ID]]="",0,IFERROR(INDEX(Items[Pts],MATCH(Log[[#This Row],[ID]],Items[ID],0))*1,0))</f>
      </c>
      <c r="L1358" s="17">
        <f>IF(Log[[#This Row],[ID]]="","",IFERROR(INDEX(Items[Cur team],MATCH(Log[[#This Row],[ID]],Items[ID],0))&amp;"",""))</f>
      </c>
      <c r="M1358" s="17">
        <f>IF(OR(Log[[#This Row],[Verb]]="done",Log[[#This Row],[Verb]]="punt",Log[[#This Row],[Verb]]="drop",Log[[#This Row],[Verb]]="pass"),Log[[#This Row],[Pts]],0)</f>
      </c>
    </row>
    <row r="1359">
      <c r="A1359" s="11">
        <v>46216</v>
      </c>
      <c r="B1359" t="s">
        <v>475</v>
      </c>
      <c r="C1359" t="s">
        <v>41</v>
      </c>
      <c r="F1359" s="17">
        <f>IF(Log[[#This Row],[ID]]="","",IF(ISNA(MATCH(Log[[#This Row],[ID]],Items[ID],0)),"unknown ID",IF(ISNA(MATCH(Log[[#This Row],[Verb]],VerbList,0)),"unknown verb",IF(Log[[#This Row],[Date]]="","no date",""))))</f>
      </c>
      <c r="G1359" s="17">
        <f>IF(Log[[#This Row],[ID]]="","",IFERROR(VLOOKUP(Log[[#This Row],[Verb]],Verbs,3,FALSE)&amp;"",""))</f>
      </c>
      <c r="H1359" s="17">
        <f>IF(Log[[#This Row],[Date]]="","",INT((Log[[#This Row],[Date]]-Sprint1)/SprintDays)+1)</f>
      </c>
      <c r="I1359" s="17">
        <f>IF(OR(Log[[#This Row],[Verb]]="commit",Log[[#This Row],[Verb]]="carry",Log[[#This Row],[Verb]]="redo"),IF(Log[[#This Row],[Arg]]="",Log[[#This Row],[Sprint]],N(Log[[#This Row],[Arg]])),"")</f>
      </c>
      <c r="J1359" s="17">
        <f>IF(Log[[#This Row],[Verb]]="block",1,IF(OR(Log[[#This Row],[Verb]]="unblock",Log[[#This Row],[Verb]]="done",Log[[#This Row],[Verb]]="drop",Log[[#This Row],[Verb]]="punt",Log[[#This Row],[Verb]]="pass"),0,""))</f>
      </c>
      <c r="K1359" s="17">
        <f>IF(Log[[#This Row],[ID]]="",0,IFERROR(INDEX(Items[Pts],MATCH(Log[[#This Row],[ID]],Items[ID],0))*1,0))</f>
      </c>
      <c r="L1359" s="17">
        <f>IF(Log[[#This Row],[ID]]="","",IFERROR(INDEX(Items[Cur team],MATCH(Log[[#This Row],[ID]],Items[ID],0))&amp;"",""))</f>
      </c>
      <c r="M1359" s="17">
        <f>IF(OR(Log[[#This Row],[Verb]]="done",Log[[#This Row],[Verb]]="punt",Log[[#This Row],[Verb]]="drop",Log[[#This Row],[Verb]]="pass"),Log[[#This Row],[Pts]],0)</f>
      </c>
    </row>
    <row r="1360">
      <c r="A1360" s="11">
        <v>46216</v>
      </c>
      <c r="B1360" t="s">
        <v>691</v>
      </c>
      <c r="C1360" t="s">
        <v>41</v>
      </c>
      <c r="F1360" s="17">
        <f>IF(Log[[#This Row],[ID]]="","",IF(ISNA(MATCH(Log[[#This Row],[ID]],Items[ID],0)),"unknown ID",IF(ISNA(MATCH(Log[[#This Row],[Verb]],VerbList,0)),"unknown verb",IF(Log[[#This Row],[Date]]="","no date",""))))</f>
      </c>
      <c r="G1360" s="17">
        <f>IF(Log[[#This Row],[ID]]="","",IFERROR(VLOOKUP(Log[[#This Row],[Verb]],Verbs,3,FALSE)&amp;"",""))</f>
      </c>
      <c r="H1360" s="17">
        <f>IF(Log[[#This Row],[Date]]="","",INT((Log[[#This Row],[Date]]-Sprint1)/SprintDays)+1)</f>
      </c>
      <c r="I1360" s="17">
        <f>IF(OR(Log[[#This Row],[Verb]]="commit",Log[[#This Row],[Verb]]="carry",Log[[#This Row],[Verb]]="redo"),IF(Log[[#This Row],[Arg]]="",Log[[#This Row],[Sprint]],N(Log[[#This Row],[Arg]])),"")</f>
      </c>
      <c r="J1360" s="17">
        <f>IF(Log[[#This Row],[Verb]]="block",1,IF(OR(Log[[#This Row],[Verb]]="unblock",Log[[#This Row],[Verb]]="done",Log[[#This Row],[Verb]]="drop",Log[[#This Row],[Verb]]="punt",Log[[#This Row],[Verb]]="pass"),0,""))</f>
      </c>
      <c r="K1360" s="17">
        <f>IF(Log[[#This Row],[ID]]="",0,IFERROR(INDEX(Items[Pts],MATCH(Log[[#This Row],[ID]],Items[ID],0))*1,0))</f>
      </c>
      <c r="L1360" s="17">
        <f>IF(Log[[#This Row],[ID]]="","",IFERROR(INDEX(Items[Cur team],MATCH(Log[[#This Row],[ID]],Items[ID],0))&amp;"",""))</f>
      </c>
      <c r="M1360" s="17">
        <f>IF(OR(Log[[#This Row],[Verb]]="done",Log[[#This Row],[Verb]]="punt",Log[[#This Row],[Verb]]="drop",Log[[#This Row],[Verb]]="pass"),Log[[#This Row],[Pts]],0)</f>
      </c>
    </row>
    <row r="1361">
      <c r="A1361" s="11">
        <v>46216</v>
      </c>
      <c r="B1361" t="s">
        <v>751</v>
      </c>
      <c r="C1361" t="s">
        <v>41</v>
      </c>
      <c r="F1361" s="17">
        <f>IF(Log[[#This Row],[ID]]="","",IF(ISNA(MATCH(Log[[#This Row],[ID]],Items[ID],0)),"unknown ID",IF(ISNA(MATCH(Log[[#This Row],[Verb]],VerbList,0)),"unknown verb",IF(Log[[#This Row],[Date]]="","no date",""))))</f>
      </c>
      <c r="G1361" s="17">
        <f>IF(Log[[#This Row],[ID]]="","",IFERROR(VLOOKUP(Log[[#This Row],[Verb]],Verbs,3,FALSE)&amp;"",""))</f>
      </c>
      <c r="H1361" s="17">
        <f>IF(Log[[#This Row],[Date]]="","",INT((Log[[#This Row],[Date]]-Sprint1)/SprintDays)+1)</f>
      </c>
      <c r="I1361" s="17">
        <f>IF(OR(Log[[#This Row],[Verb]]="commit",Log[[#This Row],[Verb]]="carry",Log[[#This Row],[Verb]]="redo"),IF(Log[[#This Row],[Arg]]="",Log[[#This Row],[Sprint]],N(Log[[#This Row],[Arg]])),"")</f>
      </c>
      <c r="J1361" s="17">
        <f>IF(Log[[#This Row],[Verb]]="block",1,IF(OR(Log[[#This Row],[Verb]]="unblock",Log[[#This Row],[Verb]]="done",Log[[#This Row],[Verb]]="drop",Log[[#This Row],[Verb]]="punt",Log[[#This Row],[Verb]]="pass"),0,""))</f>
      </c>
      <c r="K1361" s="17">
        <f>IF(Log[[#This Row],[ID]]="",0,IFERROR(INDEX(Items[Pts],MATCH(Log[[#This Row],[ID]],Items[ID],0))*1,0))</f>
      </c>
      <c r="L1361" s="17">
        <f>IF(Log[[#This Row],[ID]]="","",IFERROR(INDEX(Items[Cur team],MATCH(Log[[#This Row],[ID]],Items[ID],0))&amp;"",""))</f>
      </c>
      <c r="M1361" s="17">
        <f>IF(OR(Log[[#This Row],[Verb]]="done",Log[[#This Row],[Verb]]="punt",Log[[#This Row],[Verb]]="drop",Log[[#This Row],[Verb]]="pass"),Log[[#This Row],[Pts]],0)</f>
      </c>
    </row>
    <row r="1362">
      <c r="A1362" s="11">
        <v>46216</v>
      </c>
      <c r="B1362" t="s">
        <v>752</v>
      </c>
      <c r="C1362" t="s">
        <v>41</v>
      </c>
      <c r="F1362" s="17">
        <f>IF(Log[[#This Row],[ID]]="","",IF(ISNA(MATCH(Log[[#This Row],[ID]],Items[ID],0)),"unknown ID",IF(ISNA(MATCH(Log[[#This Row],[Verb]],VerbList,0)),"unknown verb",IF(Log[[#This Row],[Date]]="","no date",""))))</f>
      </c>
      <c r="G1362" s="17">
        <f>IF(Log[[#This Row],[ID]]="","",IFERROR(VLOOKUP(Log[[#This Row],[Verb]],Verbs,3,FALSE)&amp;"",""))</f>
      </c>
      <c r="H1362" s="17">
        <f>IF(Log[[#This Row],[Date]]="","",INT((Log[[#This Row],[Date]]-Sprint1)/SprintDays)+1)</f>
      </c>
      <c r="I1362" s="17">
        <f>IF(OR(Log[[#This Row],[Verb]]="commit",Log[[#This Row],[Verb]]="carry",Log[[#This Row],[Verb]]="redo"),IF(Log[[#This Row],[Arg]]="",Log[[#This Row],[Sprint]],N(Log[[#This Row],[Arg]])),"")</f>
      </c>
      <c r="J1362" s="17">
        <f>IF(Log[[#This Row],[Verb]]="block",1,IF(OR(Log[[#This Row],[Verb]]="unblock",Log[[#This Row],[Verb]]="done",Log[[#This Row],[Verb]]="drop",Log[[#This Row],[Verb]]="punt",Log[[#This Row],[Verb]]="pass"),0,""))</f>
      </c>
      <c r="K1362" s="17">
        <f>IF(Log[[#This Row],[ID]]="",0,IFERROR(INDEX(Items[Pts],MATCH(Log[[#This Row],[ID]],Items[ID],0))*1,0))</f>
      </c>
      <c r="L1362" s="17">
        <f>IF(Log[[#This Row],[ID]]="","",IFERROR(INDEX(Items[Cur team],MATCH(Log[[#This Row],[ID]],Items[ID],0))&amp;"",""))</f>
      </c>
      <c r="M1362" s="17">
        <f>IF(OR(Log[[#This Row],[Verb]]="done",Log[[#This Row],[Verb]]="punt",Log[[#This Row],[Verb]]="drop",Log[[#This Row],[Verb]]="pass"),Log[[#This Row],[Pts]],0)</f>
      </c>
    </row>
    <row r="1363">
      <c r="A1363" s="11">
        <v>46216</v>
      </c>
      <c r="B1363" t="s">
        <v>753</v>
      </c>
      <c r="C1363" t="s">
        <v>38</v>
      </c>
      <c r="D1363">
        <v>48</v>
      </c>
      <c r="F1363" s="17">
        <f>IF(Log[[#This Row],[ID]]="","",IF(ISNA(MATCH(Log[[#This Row],[ID]],Items[ID],0)),"unknown ID",IF(ISNA(MATCH(Log[[#This Row],[Verb]],VerbList,0)),"unknown verb",IF(Log[[#This Row],[Date]]="","no date",""))))</f>
      </c>
      <c r="G1363" s="17">
        <f>IF(Log[[#This Row],[ID]]="","",IFERROR(VLOOKUP(Log[[#This Row],[Verb]],Verbs,3,FALSE)&amp;"",""))</f>
      </c>
      <c r="H1363" s="17">
        <f>IF(Log[[#This Row],[Date]]="","",INT((Log[[#This Row],[Date]]-Sprint1)/SprintDays)+1)</f>
      </c>
      <c r="I1363" s="17">
        <f>IF(OR(Log[[#This Row],[Verb]]="commit",Log[[#This Row],[Verb]]="carry",Log[[#This Row],[Verb]]="redo"),IF(Log[[#This Row],[Arg]]="",Log[[#This Row],[Sprint]],N(Log[[#This Row],[Arg]])),"")</f>
      </c>
      <c r="J1363" s="17">
        <f>IF(Log[[#This Row],[Verb]]="block",1,IF(OR(Log[[#This Row],[Verb]]="unblock",Log[[#This Row],[Verb]]="done",Log[[#This Row],[Verb]]="drop",Log[[#This Row],[Verb]]="punt",Log[[#This Row],[Verb]]="pass"),0,""))</f>
      </c>
      <c r="K1363" s="17">
        <f>IF(Log[[#This Row],[ID]]="",0,IFERROR(INDEX(Items[Pts],MATCH(Log[[#This Row],[ID]],Items[ID],0))*1,0))</f>
      </c>
      <c r="L1363" s="17">
        <f>IF(Log[[#This Row],[ID]]="","",IFERROR(INDEX(Items[Cur team],MATCH(Log[[#This Row],[ID]],Items[ID],0))&amp;"",""))</f>
      </c>
      <c r="M1363" s="17">
        <f>IF(OR(Log[[#This Row],[Verb]]="done",Log[[#This Row],[Verb]]="punt",Log[[#This Row],[Verb]]="drop",Log[[#This Row],[Verb]]="pass"),Log[[#This Row],[Pts]],0)</f>
      </c>
    </row>
    <row r="1364">
      <c r="A1364" s="11">
        <v>46216</v>
      </c>
      <c r="B1364" t="s">
        <v>696</v>
      </c>
      <c r="C1364" t="s">
        <v>38</v>
      </c>
      <c r="D1364">
        <v>48</v>
      </c>
      <c r="F1364" s="17">
        <f>IF(Log[[#This Row],[ID]]="","",IF(ISNA(MATCH(Log[[#This Row],[ID]],Items[ID],0)),"unknown ID",IF(ISNA(MATCH(Log[[#This Row],[Verb]],VerbList,0)),"unknown verb",IF(Log[[#This Row],[Date]]="","no date",""))))</f>
      </c>
      <c r="G1364" s="17">
        <f>IF(Log[[#This Row],[ID]]="","",IFERROR(VLOOKUP(Log[[#This Row],[Verb]],Verbs,3,FALSE)&amp;"",""))</f>
      </c>
      <c r="H1364" s="17">
        <f>IF(Log[[#This Row],[Date]]="","",INT((Log[[#This Row],[Date]]-Sprint1)/SprintDays)+1)</f>
      </c>
      <c r="I1364" s="17">
        <f>IF(OR(Log[[#This Row],[Verb]]="commit",Log[[#This Row],[Verb]]="carry",Log[[#This Row],[Verb]]="redo"),IF(Log[[#This Row],[Arg]]="",Log[[#This Row],[Sprint]],N(Log[[#This Row],[Arg]])),"")</f>
      </c>
      <c r="J1364" s="17">
        <f>IF(Log[[#This Row],[Verb]]="block",1,IF(OR(Log[[#This Row],[Verb]]="unblock",Log[[#This Row],[Verb]]="done",Log[[#This Row],[Verb]]="drop",Log[[#This Row],[Verb]]="punt",Log[[#This Row],[Verb]]="pass"),0,""))</f>
      </c>
      <c r="K1364" s="17">
        <f>IF(Log[[#This Row],[ID]]="",0,IFERROR(INDEX(Items[Pts],MATCH(Log[[#This Row],[ID]],Items[ID],0))*1,0))</f>
      </c>
      <c r="L1364" s="17">
        <f>IF(Log[[#This Row],[ID]]="","",IFERROR(INDEX(Items[Cur team],MATCH(Log[[#This Row],[ID]],Items[ID],0))&amp;"",""))</f>
      </c>
      <c r="M1364" s="17">
        <f>IF(OR(Log[[#This Row],[Verb]]="done",Log[[#This Row],[Verb]]="punt",Log[[#This Row],[Verb]]="drop",Log[[#This Row],[Verb]]="pass"),Log[[#This Row],[Pts]],0)</f>
      </c>
    </row>
    <row r="1365">
      <c r="A1365" s="11">
        <v>46216</v>
      </c>
      <c r="B1365" t="s">
        <v>754</v>
      </c>
      <c r="C1365" t="s">
        <v>41</v>
      </c>
      <c r="F1365" s="17">
        <f>IF(Log[[#This Row],[ID]]="","",IF(ISNA(MATCH(Log[[#This Row],[ID]],Items[ID],0)),"unknown ID",IF(ISNA(MATCH(Log[[#This Row],[Verb]],VerbList,0)),"unknown verb",IF(Log[[#This Row],[Date]]="","no date",""))))</f>
      </c>
      <c r="G1365" s="17">
        <f>IF(Log[[#This Row],[ID]]="","",IFERROR(VLOOKUP(Log[[#This Row],[Verb]],Verbs,3,FALSE)&amp;"",""))</f>
      </c>
      <c r="H1365" s="17">
        <f>IF(Log[[#This Row],[Date]]="","",INT((Log[[#This Row],[Date]]-Sprint1)/SprintDays)+1)</f>
      </c>
      <c r="I1365" s="17">
        <f>IF(OR(Log[[#This Row],[Verb]]="commit",Log[[#This Row],[Verb]]="carry",Log[[#This Row],[Verb]]="redo"),IF(Log[[#This Row],[Arg]]="",Log[[#This Row],[Sprint]],N(Log[[#This Row],[Arg]])),"")</f>
      </c>
      <c r="J1365" s="17">
        <f>IF(Log[[#This Row],[Verb]]="block",1,IF(OR(Log[[#This Row],[Verb]]="unblock",Log[[#This Row],[Verb]]="done",Log[[#This Row],[Verb]]="drop",Log[[#This Row],[Verb]]="punt",Log[[#This Row],[Verb]]="pass"),0,""))</f>
      </c>
      <c r="K1365" s="17">
        <f>IF(Log[[#This Row],[ID]]="",0,IFERROR(INDEX(Items[Pts],MATCH(Log[[#This Row],[ID]],Items[ID],0))*1,0))</f>
      </c>
      <c r="L1365" s="17">
        <f>IF(Log[[#This Row],[ID]]="","",IFERROR(INDEX(Items[Cur team],MATCH(Log[[#This Row],[ID]],Items[ID],0))&amp;"",""))</f>
      </c>
      <c r="M1365" s="17">
        <f>IF(OR(Log[[#This Row],[Verb]]="done",Log[[#This Row],[Verb]]="punt",Log[[#This Row],[Verb]]="drop",Log[[#This Row],[Verb]]="pass"),Log[[#This Row],[Pts]],0)</f>
      </c>
    </row>
    <row r="1366">
      <c r="A1366" s="11">
        <v>46216</v>
      </c>
      <c r="B1366" t="s">
        <v>755</v>
      </c>
      <c r="C1366" t="s">
        <v>41</v>
      </c>
      <c r="F1366" s="17">
        <f>IF(Log[[#This Row],[ID]]="","",IF(ISNA(MATCH(Log[[#This Row],[ID]],Items[ID],0)),"unknown ID",IF(ISNA(MATCH(Log[[#This Row],[Verb]],VerbList,0)),"unknown verb",IF(Log[[#This Row],[Date]]="","no date",""))))</f>
      </c>
      <c r="G1366" s="17">
        <f>IF(Log[[#This Row],[ID]]="","",IFERROR(VLOOKUP(Log[[#This Row],[Verb]],Verbs,3,FALSE)&amp;"",""))</f>
      </c>
      <c r="H1366" s="17">
        <f>IF(Log[[#This Row],[Date]]="","",INT((Log[[#This Row],[Date]]-Sprint1)/SprintDays)+1)</f>
      </c>
      <c r="I1366" s="17">
        <f>IF(OR(Log[[#This Row],[Verb]]="commit",Log[[#This Row],[Verb]]="carry",Log[[#This Row],[Verb]]="redo"),IF(Log[[#This Row],[Arg]]="",Log[[#This Row],[Sprint]],N(Log[[#This Row],[Arg]])),"")</f>
      </c>
      <c r="J1366" s="17">
        <f>IF(Log[[#This Row],[Verb]]="block",1,IF(OR(Log[[#This Row],[Verb]]="unblock",Log[[#This Row],[Verb]]="done",Log[[#This Row],[Verb]]="drop",Log[[#This Row],[Verb]]="punt",Log[[#This Row],[Verb]]="pass"),0,""))</f>
      </c>
      <c r="K1366" s="17">
        <f>IF(Log[[#This Row],[ID]]="",0,IFERROR(INDEX(Items[Pts],MATCH(Log[[#This Row],[ID]],Items[ID],0))*1,0))</f>
      </c>
      <c r="L1366" s="17">
        <f>IF(Log[[#This Row],[ID]]="","",IFERROR(INDEX(Items[Cur team],MATCH(Log[[#This Row],[ID]],Items[ID],0))&amp;"",""))</f>
      </c>
      <c r="M1366" s="17">
        <f>IF(OR(Log[[#This Row],[Verb]]="done",Log[[#This Row],[Verb]]="punt",Log[[#This Row],[Verb]]="drop",Log[[#This Row],[Verb]]="pass"),Log[[#This Row],[Pts]],0)</f>
      </c>
    </row>
    <row r="1367">
      <c r="A1367" s="11">
        <v>46216</v>
      </c>
      <c r="B1367" t="s">
        <v>756</v>
      </c>
      <c r="C1367" t="s">
        <v>41</v>
      </c>
      <c r="F1367" s="17">
        <f>IF(Log[[#This Row],[ID]]="","",IF(ISNA(MATCH(Log[[#This Row],[ID]],Items[ID],0)),"unknown ID",IF(ISNA(MATCH(Log[[#This Row],[Verb]],VerbList,0)),"unknown verb",IF(Log[[#This Row],[Date]]="","no date",""))))</f>
      </c>
      <c r="G1367" s="17">
        <f>IF(Log[[#This Row],[ID]]="","",IFERROR(VLOOKUP(Log[[#This Row],[Verb]],Verbs,3,FALSE)&amp;"",""))</f>
      </c>
      <c r="H1367" s="17">
        <f>IF(Log[[#This Row],[Date]]="","",INT((Log[[#This Row],[Date]]-Sprint1)/SprintDays)+1)</f>
      </c>
      <c r="I1367" s="17">
        <f>IF(OR(Log[[#This Row],[Verb]]="commit",Log[[#This Row],[Verb]]="carry",Log[[#This Row],[Verb]]="redo"),IF(Log[[#This Row],[Arg]]="",Log[[#This Row],[Sprint]],N(Log[[#This Row],[Arg]])),"")</f>
      </c>
      <c r="J1367" s="17">
        <f>IF(Log[[#This Row],[Verb]]="block",1,IF(OR(Log[[#This Row],[Verb]]="unblock",Log[[#This Row],[Verb]]="done",Log[[#This Row],[Verb]]="drop",Log[[#This Row],[Verb]]="punt",Log[[#This Row],[Verb]]="pass"),0,""))</f>
      </c>
      <c r="K1367" s="17">
        <f>IF(Log[[#This Row],[ID]]="",0,IFERROR(INDEX(Items[Pts],MATCH(Log[[#This Row],[ID]],Items[ID],0))*1,0))</f>
      </c>
      <c r="L1367" s="17">
        <f>IF(Log[[#This Row],[ID]]="","",IFERROR(INDEX(Items[Cur team],MATCH(Log[[#This Row],[ID]],Items[ID],0))&amp;"",""))</f>
      </c>
      <c r="M1367" s="17">
        <f>IF(OR(Log[[#This Row],[Verb]]="done",Log[[#This Row],[Verb]]="punt",Log[[#This Row],[Verb]]="drop",Log[[#This Row],[Verb]]="pass"),Log[[#This Row],[Pts]],0)</f>
      </c>
    </row>
    <row r="1368">
      <c r="A1368" s="11">
        <v>46216</v>
      </c>
      <c r="B1368" t="s">
        <v>537</v>
      </c>
      <c r="C1368" t="s">
        <v>41</v>
      </c>
      <c r="F1368" s="17">
        <f>IF(Log[[#This Row],[ID]]="","",IF(ISNA(MATCH(Log[[#This Row],[ID]],Items[ID],0)),"unknown ID",IF(ISNA(MATCH(Log[[#This Row],[Verb]],VerbList,0)),"unknown verb",IF(Log[[#This Row],[Date]]="","no date",""))))</f>
      </c>
      <c r="G1368" s="17">
        <f>IF(Log[[#This Row],[ID]]="","",IFERROR(VLOOKUP(Log[[#This Row],[Verb]],Verbs,3,FALSE)&amp;"",""))</f>
      </c>
      <c r="H1368" s="17">
        <f>IF(Log[[#This Row],[Date]]="","",INT((Log[[#This Row],[Date]]-Sprint1)/SprintDays)+1)</f>
      </c>
      <c r="I1368" s="17">
        <f>IF(OR(Log[[#This Row],[Verb]]="commit",Log[[#This Row],[Verb]]="carry",Log[[#This Row],[Verb]]="redo"),IF(Log[[#This Row],[Arg]]="",Log[[#This Row],[Sprint]],N(Log[[#This Row],[Arg]])),"")</f>
      </c>
      <c r="J1368" s="17">
        <f>IF(Log[[#This Row],[Verb]]="block",1,IF(OR(Log[[#This Row],[Verb]]="unblock",Log[[#This Row],[Verb]]="done",Log[[#This Row],[Verb]]="drop",Log[[#This Row],[Verb]]="punt",Log[[#This Row],[Verb]]="pass"),0,""))</f>
      </c>
      <c r="K1368" s="17">
        <f>IF(Log[[#This Row],[ID]]="",0,IFERROR(INDEX(Items[Pts],MATCH(Log[[#This Row],[ID]],Items[ID],0))*1,0))</f>
      </c>
      <c r="L1368" s="17">
        <f>IF(Log[[#This Row],[ID]]="","",IFERROR(INDEX(Items[Cur team],MATCH(Log[[#This Row],[ID]],Items[ID],0))&amp;"",""))</f>
      </c>
      <c r="M1368" s="17">
        <f>IF(OR(Log[[#This Row],[Verb]]="done",Log[[#This Row],[Verb]]="punt",Log[[#This Row],[Verb]]="drop",Log[[#This Row],[Verb]]="pass"),Log[[#This Row],[Pts]],0)</f>
      </c>
    </row>
    <row r="1369">
      <c r="A1369" s="11">
        <v>46216</v>
      </c>
      <c r="B1369" t="s">
        <v>649</v>
      </c>
      <c r="C1369" t="s">
        <v>41</v>
      </c>
      <c r="F1369" s="17">
        <f>IF(Log[[#This Row],[ID]]="","",IF(ISNA(MATCH(Log[[#This Row],[ID]],Items[ID],0)),"unknown ID",IF(ISNA(MATCH(Log[[#This Row],[Verb]],VerbList,0)),"unknown verb",IF(Log[[#This Row],[Date]]="","no date",""))))</f>
      </c>
      <c r="G1369" s="17">
        <f>IF(Log[[#This Row],[ID]]="","",IFERROR(VLOOKUP(Log[[#This Row],[Verb]],Verbs,3,FALSE)&amp;"",""))</f>
      </c>
      <c r="H1369" s="17">
        <f>IF(Log[[#This Row],[Date]]="","",INT((Log[[#This Row],[Date]]-Sprint1)/SprintDays)+1)</f>
      </c>
      <c r="I1369" s="17">
        <f>IF(OR(Log[[#This Row],[Verb]]="commit",Log[[#This Row],[Verb]]="carry",Log[[#This Row],[Verb]]="redo"),IF(Log[[#This Row],[Arg]]="",Log[[#This Row],[Sprint]],N(Log[[#This Row],[Arg]])),"")</f>
      </c>
      <c r="J1369" s="17">
        <f>IF(Log[[#This Row],[Verb]]="block",1,IF(OR(Log[[#This Row],[Verb]]="unblock",Log[[#This Row],[Verb]]="done",Log[[#This Row],[Verb]]="drop",Log[[#This Row],[Verb]]="punt",Log[[#This Row],[Verb]]="pass"),0,""))</f>
      </c>
      <c r="K1369" s="17">
        <f>IF(Log[[#This Row],[ID]]="",0,IFERROR(INDEX(Items[Pts],MATCH(Log[[#This Row],[ID]],Items[ID],0))*1,0))</f>
      </c>
      <c r="L1369" s="17">
        <f>IF(Log[[#This Row],[ID]]="","",IFERROR(INDEX(Items[Cur team],MATCH(Log[[#This Row],[ID]],Items[ID],0))&amp;"",""))</f>
      </c>
      <c r="M1369" s="17">
        <f>IF(OR(Log[[#This Row],[Verb]]="done",Log[[#This Row],[Verb]]="punt",Log[[#This Row],[Verb]]="drop",Log[[#This Row],[Verb]]="pass"),Log[[#This Row],[Pts]],0)</f>
      </c>
    </row>
    <row r="1370">
      <c r="A1370" s="11">
        <v>46216</v>
      </c>
      <c r="B1370" t="s">
        <v>703</v>
      </c>
      <c r="C1370" t="s">
        <v>41</v>
      </c>
      <c r="F1370" s="17">
        <f>IF(Log[[#This Row],[ID]]="","",IF(ISNA(MATCH(Log[[#This Row],[ID]],Items[ID],0)),"unknown ID",IF(ISNA(MATCH(Log[[#This Row],[Verb]],VerbList,0)),"unknown verb",IF(Log[[#This Row],[Date]]="","no date",""))))</f>
      </c>
      <c r="G1370" s="17">
        <f>IF(Log[[#This Row],[ID]]="","",IFERROR(VLOOKUP(Log[[#This Row],[Verb]],Verbs,3,FALSE)&amp;"",""))</f>
      </c>
      <c r="H1370" s="17">
        <f>IF(Log[[#This Row],[Date]]="","",INT((Log[[#This Row],[Date]]-Sprint1)/SprintDays)+1)</f>
      </c>
      <c r="I1370" s="17">
        <f>IF(OR(Log[[#This Row],[Verb]]="commit",Log[[#This Row],[Verb]]="carry",Log[[#This Row],[Verb]]="redo"),IF(Log[[#This Row],[Arg]]="",Log[[#This Row],[Sprint]],N(Log[[#This Row],[Arg]])),"")</f>
      </c>
      <c r="J1370" s="17">
        <f>IF(Log[[#This Row],[Verb]]="block",1,IF(OR(Log[[#This Row],[Verb]]="unblock",Log[[#This Row],[Verb]]="done",Log[[#This Row],[Verb]]="drop",Log[[#This Row],[Verb]]="punt",Log[[#This Row],[Verb]]="pass"),0,""))</f>
      </c>
      <c r="K1370" s="17">
        <f>IF(Log[[#This Row],[ID]]="",0,IFERROR(INDEX(Items[Pts],MATCH(Log[[#This Row],[ID]],Items[ID],0))*1,0))</f>
      </c>
      <c r="L1370" s="17">
        <f>IF(Log[[#This Row],[ID]]="","",IFERROR(INDEX(Items[Cur team],MATCH(Log[[#This Row],[ID]],Items[ID],0))&amp;"",""))</f>
      </c>
      <c r="M1370" s="17">
        <f>IF(OR(Log[[#This Row],[Verb]]="done",Log[[#This Row],[Verb]]="punt",Log[[#This Row],[Verb]]="drop",Log[[#This Row],[Verb]]="pass"),Log[[#This Row],[Pts]],0)</f>
      </c>
    </row>
    <row r="1371">
      <c r="A1371" s="11">
        <v>46216</v>
      </c>
      <c r="B1371" t="s">
        <v>757</v>
      </c>
      <c r="C1371" t="s">
        <v>41</v>
      </c>
      <c r="F1371" s="17">
        <f>IF(Log[[#This Row],[ID]]="","",IF(ISNA(MATCH(Log[[#This Row],[ID]],Items[ID],0)),"unknown ID",IF(ISNA(MATCH(Log[[#This Row],[Verb]],VerbList,0)),"unknown verb",IF(Log[[#This Row],[Date]]="","no date",""))))</f>
      </c>
      <c r="G1371" s="17">
        <f>IF(Log[[#This Row],[ID]]="","",IFERROR(VLOOKUP(Log[[#This Row],[Verb]],Verbs,3,FALSE)&amp;"",""))</f>
      </c>
      <c r="H1371" s="17">
        <f>IF(Log[[#This Row],[Date]]="","",INT((Log[[#This Row],[Date]]-Sprint1)/SprintDays)+1)</f>
      </c>
      <c r="I1371" s="17">
        <f>IF(OR(Log[[#This Row],[Verb]]="commit",Log[[#This Row],[Verb]]="carry",Log[[#This Row],[Verb]]="redo"),IF(Log[[#This Row],[Arg]]="",Log[[#This Row],[Sprint]],N(Log[[#This Row],[Arg]])),"")</f>
      </c>
      <c r="J1371" s="17">
        <f>IF(Log[[#This Row],[Verb]]="block",1,IF(OR(Log[[#This Row],[Verb]]="unblock",Log[[#This Row],[Verb]]="done",Log[[#This Row],[Verb]]="drop",Log[[#This Row],[Verb]]="punt",Log[[#This Row],[Verb]]="pass"),0,""))</f>
      </c>
      <c r="K1371" s="17">
        <f>IF(Log[[#This Row],[ID]]="",0,IFERROR(INDEX(Items[Pts],MATCH(Log[[#This Row],[ID]],Items[ID],0))*1,0))</f>
      </c>
      <c r="L1371" s="17">
        <f>IF(Log[[#This Row],[ID]]="","",IFERROR(INDEX(Items[Cur team],MATCH(Log[[#This Row],[ID]],Items[ID],0))&amp;"",""))</f>
      </c>
      <c r="M1371" s="17">
        <f>IF(OR(Log[[#This Row],[Verb]]="done",Log[[#This Row],[Verb]]="punt",Log[[#This Row],[Verb]]="drop",Log[[#This Row],[Verb]]="pass"),Log[[#This Row],[Pts]],0)</f>
      </c>
    </row>
    <row r="1372">
      <c r="A1372" s="11">
        <v>46216</v>
      </c>
      <c r="B1372" t="s">
        <v>758</v>
      </c>
      <c r="C1372" t="s">
        <v>41</v>
      </c>
      <c r="F1372" s="17">
        <f>IF(Log[[#This Row],[ID]]="","",IF(ISNA(MATCH(Log[[#This Row],[ID]],Items[ID],0)),"unknown ID",IF(ISNA(MATCH(Log[[#This Row],[Verb]],VerbList,0)),"unknown verb",IF(Log[[#This Row],[Date]]="","no date",""))))</f>
      </c>
      <c r="G1372" s="17">
        <f>IF(Log[[#This Row],[ID]]="","",IFERROR(VLOOKUP(Log[[#This Row],[Verb]],Verbs,3,FALSE)&amp;"",""))</f>
      </c>
      <c r="H1372" s="17">
        <f>IF(Log[[#This Row],[Date]]="","",INT((Log[[#This Row],[Date]]-Sprint1)/SprintDays)+1)</f>
      </c>
      <c r="I1372" s="17">
        <f>IF(OR(Log[[#This Row],[Verb]]="commit",Log[[#This Row],[Verb]]="carry",Log[[#This Row],[Verb]]="redo"),IF(Log[[#This Row],[Arg]]="",Log[[#This Row],[Sprint]],N(Log[[#This Row],[Arg]])),"")</f>
      </c>
      <c r="J1372" s="17">
        <f>IF(Log[[#This Row],[Verb]]="block",1,IF(OR(Log[[#This Row],[Verb]]="unblock",Log[[#This Row],[Verb]]="done",Log[[#This Row],[Verb]]="drop",Log[[#This Row],[Verb]]="punt",Log[[#This Row],[Verb]]="pass"),0,""))</f>
      </c>
      <c r="K1372" s="17">
        <f>IF(Log[[#This Row],[ID]]="",0,IFERROR(INDEX(Items[Pts],MATCH(Log[[#This Row],[ID]],Items[ID],0))*1,0))</f>
      </c>
      <c r="L1372" s="17">
        <f>IF(Log[[#This Row],[ID]]="","",IFERROR(INDEX(Items[Cur team],MATCH(Log[[#This Row],[ID]],Items[ID],0))&amp;"",""))</f>
      </c>
      <c r="M1372" s="17">
        <f>IF(OR(Log[[#This Row],[Verb]]="done",Log[[#This Row],[Verb]]="punt",Log[[#This Row],[Verb]]="drop",Log[[#This Row],[Verb]]="pass"),Log[[#This Row],[Pts]],0)</f>
      </c>
    </row>
    <row r="1373">
      <c r="A1373" s="11">
        <v>46216</v>
      </c>
      <c r="B1373" t="s">
        <v>759</v>
      </c>
      <c r="C1373" t="s">
        <v>41</v>
      </c>
      <c r="F1373" s="17">
        <f>IF(Log[[#This Row],[ID]]="","",IF(ISNA(MATCH(Log[[#This Row],[ID]],Items[ID],0)),"unknown ID",IF(ISNA(MATCH(Log[[#This Row],[Verb]],VerbList,0)),"unknown verb",IF(Log[[#This Row],[Date]]="","no date",""))))</f>
      </c>
      <c r="G1373" s="17">
        <f>IF(Log[[#This Row],[ID]]="","",IFERROR(VLOOKUP(Log[[#This Row],[Verb]],Verbs,3,FALSE)&amp;"",""))</f>
      </c>
      <c r="H1373" s="17">
        <f>IF(Log[[#This Row],[Date]]="","",INT((Log[[#This Row],[Date]]-Sprint1)/SprintDays)+1)</f>
      </c>
      <c r="I1373" s="17">
        <f>IF(OR(Log[[#This Row],[Verb]]="commit",Log[[#This Row],[Verb]]="carry",Log[[#This Row],[Verb]]="redo"),IF(Log[[#This Row],[Arg]]="",Log[[#This Row],[Sprint]],N(Log[[#This Row],[Arg]])),"")</f>
      </c>
      <c r="J1373" s="17">
        <f>IF(Log[[#This Row],[Verb]]="block",1,IF(OR(Log[[#This Row],[Verb]]="unblock",Log[[#This Row],[Verb]]="done",Log[[#This Row],[Verb]]="drop",Log[[#This Row],[Verb]]="punt",Log[[#This Row],[Verb]]="pass"),0,""))</f>
      </c>
      <c r="K1373" s="17">
        <f>IF(Log[[#This Row],[ID]]="",0,IFERROR(INDEX(Items[Pts],MATCH(Log[[#This Row],[ID]],Items[ID],0))*1,0))</f>
      </c>
      <c r="L1373" s="17">
        <f>IF(Log[[#This Row],[ID]]="","",IFERROR(INDEX(Items[Cur team],MATCH(Log[[#This Row],[ID]],Items[ID],0))&amp;"",""))</f>
      </c>
      <c r="M1373" s="17">
        <f>IF(OR(Log[[#This Row],[Verb]]="done",Log[[#This Row],[Verb]]="punt",Log[[#This Row],[Verb]]="drop",Log[[#This Row],[Verb]]="pass"),Log[[#This Row],[Pts]],0)</f>
      </c>
    </row>
    <row r="1374">
      <c r="A1374" s="11">
        <v>46217</v>
      </c>
      <c r="B1374" t="s">
        <v>760</v>
      </c>
      <c r="C1374" t="s">
        <v>34</v>
      </c>
      <c r="D1374">
        <v>48</v>
      </c>
      <c r="F1374" s="17">
        <f>IF(Log[[#This Row],[ID]]="","",IF(ISNA(MATCH(Log[[#This Row],[ID]],Items[ID],0)),"unknown ID",IF(ISNA(MATCH(Log[[#This Row],[Verb]],VerbList,0)),"unknown verb",IF(Log[[#This Row],[Date]]="","no date",""))))</f>
      </c>
      <c r="G1374" s="17">
        <f>IF(Log[[#This Row],[ID]]="","",IFERROR(VLOOKUP(Log[[#This Row],[Verb]],Verbs,3,FALSE)&amp;"",""))</f>
      </c>
      <c r="H1374" s="17">
        <f>IF(Log[[#This Row],[Date]]="","",INT((Log[[#This Row],[Date]]-Sprint1)/SprintDays)+1)</f>
      </c>
      <c r="I1374" s="17">
        <f>IF(OR(Log[[#This Row],[Verb]]="commit",Log[[#This Row],[Verb]]="carry",Log[[#This Row],[Verb]]="redo"),IF(Log[[#This Row],[Arg]]="",Log[[#This Row],[Sprint]],N(Log[[#This Row],[Arg]])),"")</f>
      </c>
      <c r="J1374" s="17">
        <f>IF(Log[[#This Row],[Verb]]="block",1,IF(OR(Log[[#This Row],[Verb]]="unblock",Log[[#This Row],[Verb]]="done",Log[[#This Row],[Verb]]="drop",Log[[#This Row],[Verb]]="punt",Log[[#This Row],[Verb]]="pass"),0,""))</f>
      </c>
      <c r="K1374" s="17">
        <f>IF(Log[[#This Row],[ID]]="",0,IFERROR(INDEX(Items[Pts],MATCH(Log[[#This Row],[ID]],Items[ID],0))*1,0))</f>
      </c>
      <c r="L1374" s="17">
        <f>IF(Log[[#This Row],[ID]]="","",IFERROR(INDEX(Items[Cur team],MATCH(Log[[#This Row],[ID]],Items[ID],0))&amp;"",""))</f>
      </c>
      <c r="M1374" s="17">
        <f>IF(OR(Log[[#This Row],[Verb]]="done",Log[[#This Row],[Verb]]="punt",Log[[#This Row],[Verb]]="drop",Log[[#This Row],[Verb]]="pass"),Log[[#This Row],[Pts]],0)</f>
      </c>
    </row>
    <row r="1375">
      <c r="A1375" s="11">
        <v>46217</v>
      </c>
      <c r="B1375" t="s">
        <v>761</v>
      </c>
      <c r="C1375" t="s">
        <v>34</v>
      </c>
      <c r="D1375">
        <v>48</v>
      </c>
      <c r="F1375" s="17">
        <f>IF(Log[[#This Row],[ID]]="","",IF(ISNA(MATCH(Log[[#This Row],[ID]],Items[ID],0)),"unknown ID",IF(ISNA(MATCH(Log[[#This Row],[Verb]],VerbList,0)),"unknown verb",IF(Log[[#This Row],[Date]]="","no date",""))))</f>
      </c>
      <c r="G1375" s="17">
        <f>IF(Log[[#This Row],[ID]]="","",IFERROR(VLOOKUP(Log[[#This Row],[Verb]],Verbs,3,FALSE)&amp;"",""))</f>
      </c>
      <c r="H1375" s="17">
        <f>IF(Log[[#This Row],[Date]]="","",INT((Log[[#This Row],[Date]]-Sprint1)/SprintDays)+1)</f>
      </c>
      <c r="I1375" s="17">
        <f>IF(OR(Log[[#This Row],[Verb]]="commit",Log[[#This Row],[Verb]]="carry",Log[[#This Row],[Verb]]="redo"),IF(Log[[#This Row],[Arg]]="",Log[[#This Row],[Sprint]],N(Log[[#This Row],[Arg]])),"")</f>
      </c>
      <c r="J1375" s="17">
        <f>IF(Log[[#This Row],[Verb]]="block",1,IF(OR(Log[[#This Row],[Verb]]="unblock",Log[[#This Row],[Verb]]="done",Log[[#This Row],[Verb]]="drop",Log[[#This Row],[Verb]]="punt",Log[[#This Row],[Verb]]="pass"),0,""))</f>
      </c>
      <c r="K1375" s="17">
        <f>IF(Log[[#This Row],[ID]]="",0,IFERROR(INDEX(Items[Pts],MATCH(Log[[#This Row],[ID]],Items[ID],0))*1,0))</f>
      </c>
      <c r="L1375" s="17">
        <f>IF(Log[[#This Row],[ID]]="","",IFERROR(INDEX(Items[Cur team],MATCH(Log[[#This Row],[ID]],Items[ID],0))&amp;"",""))</f>
      </c>
      <c r="M1375" s="17">
        <f>IF(OR(Log[[#This Row],[Verb]]="done",Log[[#This Row],[Verb]]="punt",Log[[#This Row],[Verb]]="drop",Log[[#This Row],[Verb]]="pass"),Log[[#This Row],[Pts]],0)</f>
      </c>
    </row>
    <row r="1376">
      <c r="A1376" s="11">
        <v>46217</v>
      </c>
      <c r="B1376" t="s">
        <v>762</v>
      </c>
      <c r="C1376" t="s">
        <v>34</v>
      </c>
      <c r="D1376">
        <v>48</v>
      </c>
      <c r="F1376" s="17">
        <f>IF(Log[[#This Row],[ID]]="","",IF(ISNA(MATCH(Log[[#This Row],[ID]],Items[ID],0)),"unknown ID",IF(ISNA(MATCH(Log[[#This Row],[Verb]],VerbList,0)),"unknown verb",IF(Log[[#This Row],[Date]]="","no date",""))))</f>
      </c>
      <c r="G1376" s="17">
        <f>IF(Log[[#This Row],[ID]]="","",IFERROR(VLOOKUP(Log[[#This Row],[Verb]],Verbs,3,FALSE)&amp;"",""))</f>
      </c>
      <c r="H1376" s="17">
        <f>IF(Log[[#This Row],[Date]]="","",INT((Log[[#This Row],[Date]]-Sprint1)/SprintDays)+1)</f>
      </c>
      <c r="I1376" s="17">
        <f>IF(OR(Log[[#This Row],[Verb]]="commit",Log[[#This Row],[Verb]]="carry",Log[[#This Row],[Verb]]="redo"),IF(Log[[#This Row],[Arg]]="",Log[[#This Row],[Sprint]],N(Log[[#This Row],[Arg]])),"")</f>
      </c>
      <c r="J1376" s="17">
        <f>IF(Log[[#This Row],[Verb]]="block",1,IF(OR(Log[[#This Row],[Verb]]="unblock",Log[[#This Row],[Verb]]="done",Log[[#This Row],[Verb]]="drop",Log[[#This Row],[Verb]]="punt",Log[[#This Row],[Verb]]="pass"),0,""))</f>
      </c>
      <c r="K1376" s="17">
        <f>IF(Log[[#This Row],[ID]]="",0,IFERROR(INDEX(Items[Pts],MATCH(Log[[#This Row],[ID]],Items[ID],0))*1,0))</f>
      </c>
      <c r="L1376" s="17">
        <f>IF(Log[[#This Row],[ID]]="","",IFERROR(INDEX(Items[Cur team],MATCH(Log[[#This Row],[ID]],Items[ID],0))&amp;"",""))</f>
      </c>
      <c r="M1376" s="17">
        <f>IF(OR(Log[[#This Row],[Verb]]="done",Log[[#This Row],[Verb]]="punt",Log[[#This Row],[Verb]]="drop",Log[[#This Row],[Verb]]="pass"),Log[[#This Row],[Pts]],0)</f>
      </c>
    </row>
    <row r="1377">
      <c r="A1377" s="11">
        <v>46217</v>
      </c>
      <c r="B1377" t="s">
        <v>763</v>
      </c>
      <c r="C1377" t="s">
        <v>34</v>
      </c>
      <c r="D1377">
        <v>48</v>
      </c>
      <c r="F1377" s="17">
        <f>IF(Log[[#This Row],[ID]]="","",IF(ISNA(MATCH(Log[[#This Row],[ID]],Items[ID],0)),"unknown ID",IF(ISNA(MATCH(Log[[#This Row],[Verb]],VerbList,0)),"unknown verb",IF(Log[[#This Row],[Date]]="","no date",""))))</f>
      </c>
      <c r="G1377" s="17">
        <f>IF(Log[[#This Row],[ID]]="","",IFERROR(VLOOKUP(Log[[#This Row],[Verb]],Verbs,3,FALSE)&amp;"",""))</f>
      </c>
      <c r="H1377" s="17">
        <f>IF(Log[[#This Row],[Date]]="","",INT((Log[[#This Row],[Date]]-Sprint1)/SprintDays)+1)</f>
      </c>
      <c r="I1377" s="17">
        <f>IF(OR(Log[[#This Row],[Verb]]="commit",Log[[#This Row],[Verb]]="carry",Log[[#This Row],[Verb]]="redo"),IF(Log[[#This Row],[Arg]]="",Log[[#This Row],[Sprint]],N(Log[[#This Row],[Arg]])),"")</f>
      </c>
      <c r="J1377" s="17">
        <f>IF(Log[[#This Row],[Verb]]="block",1,IF(OR(Log[[#This Row],[Verb]]="unblock",Log[[#This Row],[Verb]]="done",Log[[#This Row],[Verb]]="drop",Log[[#This Row],[Verb]]="punt",Log[[#This Row],[Verb]]="pass"),0,""))</f>
      </c>
      <c r="K1377" s="17">
        <f>IF(Log[[#This Row],[ID]]="",0,IFERROR(INDEX(Items[Pts],MATCH(Log[[#This Row],[ID]],Items[ID],0))*1,0))</f>
      </c>
      <c r="L1377" s="17">
        <f>IF(Log[[#This Row],[ID]]="","",IFERROR(INDEX(Items[Cur team],MATCH(Log[[#This Row],[ID]],Items[ID],0))&amp;"",""))</f>
      </c>
      <c r="M1377" s="17">
        <f>IF(OR(Log[[#This Row],[Verb]]="done",Log[[#This Row],[Verb]]="punt",Log[[#This Row],[Verb]]="drop",Log[[#This Row],[Verb]]="pass"),Log[[#This Row],[Pts]],0)</f>
      </c>
    </row>
    <row r="1378">
      <c r="A1378" s="11">
        <v>46217</v>
      </c>
      <c r="B1378" t="s">
        <v>764</v>
      </c>
      <c r="C1378" t="s">
        <v>34</v>
      </c>
      <c r="D1378">
        <v>48</v>
      </c>
      <c r="F1378" s="17">
        <f>IF(Log[[#This Row],[ID]]="","",IF(ISNA(MATCH(Log[[#This Row],[ID]],Items[ID],0)),"unknown ID",IF(ISNA(MATCH(Log[[#This Row],[Verb]],VerbList,0)),"unknown verb",IF(Log[[#This Row],[Date]]="","no date",""))))</f>
      </c>
      <c r="G1378" s="17">
        <f>IF(Log[[#This Row],[ID]]="","",IFERROR(VLOOKUP(Log[[#This Row],[Verb]],Verbs,3,FALSE)&amp;"",""))</f>
      </c>
      <c r="H1378" s="17">
        <f>IF(Log[[#This Row],[Date]]="","",INT((Log[[#This Row],[Date]]-Sprint1)/SprintDays)+1)</f>
      </c>
      <c r="I1378" s="17">
        <f>IF(OR(Log[[#This Row],[Verb]]="commit",Log[[#This Row],[Verb]]="carry",Log[[#This Row],[Verb]]="redo"),IF(Log[[#This Row],[Arg]]="",Log[[#This Row],[Sprint]],N(Log[[#This Row],[Arg]])),"")</f>
      </c>
      <c r="J1378" s="17">
        <f>IF(Log[[#This Row],[Verb]]="block",1,IF(OR(Log[[#This Row],[Verb]]="unblock",Log[[#This Row],[Verb]]="done",Log[[#This Row],[Verb]]="drop",Log[[#This Row],[Verb]]="punt",Log[[#This Row],[Verb]]="pass"),0,""))</f>
      </c>
      <c r="K1378" s="17">
        <f>IF(Log[[#This Row],[ID]]="",0,IFERROR(INDEX(Items[Pts],MATCH(Log[[#This Row],[ID]],Items[ID],0))*1,0))</f>
      </c>
      <c r="L1378" s="17">
        <f>IF(Log[[#This Row],[ID]]="","",IFERROR(INDEX(Items[Cur team],MATCH(Log[[#This Row],[ID]],Items[ID],0))&amp;"",""))</f>
      </c>
      <c r="M1378" s="17">
        <f>IF(OR(Log[[#This Row],[Verb]]="done",Log[[#This Row],[Verb]]="punt",Log[[#This Row],[Verb]]="drop",Log[[#This Row],[Verb]]="pass"),Log[[#This Row],[Pts]],0)</f>
      </c>
    </row>
    <row r="1379">
      <c r="A1379" s="11">
        <v>46217</v>
      </c>
      <c r="B1379" t="s">
        <v>765</v>
      </c>
      <c r="C1379" t="s">
        <v>34</v>
      </c>
      <c r="D1379">
        <v>48</v>
      </c>
      <c r="F1379" s="17">
        <f>IF(Log[[#This Row],[ID]]="","",IF(ISNA(MATCH(Log[[#This Row],[ID]],Items[ID],0)),"unknown ID",IF(ISNA(MATCH(Log[[#This Row],[Verb]],VerbList,0)),"unknown verb",IF(Log[[#This Row],[Date]]="","no date",""))))</f>
      </c>
      <c r="G1379" s="17">
        <f>IF(Log[[#This Row],[ID]]="","",IFERROR(VLOOKUP(Log[[#This Row],[Verb]],Verbs,3,FALSE)&amp;"",""))</f>
      </c>
      <c r="H1379" s="17">
        <f>IF(Log[[#This Row],[Date]]="","",INT((Log[[#This Row],[Date]]-Sprint1)/SprintDays)+1)</f>
      </c>
      <c r="I1379" s="17">
        <f>IF(OR(Log[[#This Row],[Verb]]="commit",Log[[#This Row],[Verb]]="carry",Log[[#This Row],[Verb]]="redo"),IF(Log[[#This Row],[Arg]]="",Log[[#This Row],[Sprint]],N(Log[[#This Row],[Arg]])),"")</f>
      </c>
      <c r="J1379" s="17">
        <f>IF(Log[[#This Row],[Verb]]="block",1,IF(OR(Log[[#This Row],[Verb]]="unblock",Log[[#This Row],[Verb]]="done",Log[[#This Row],[Verb]]="drop",Log[[#This Row],[Verb]]="punt",Log[[#This Row],[Verb]]="pass"),0,""))</f>
      </c>
      <c r="K1379" s="17">
        <f>IF(Log[[#This Row],[ID]]="",0,IFERROR(INDEX(Items[Pts],MATCH(Log[[#This Row],[ID]],Items[ID],0))*1,0))</f>
      </c>
      <c r="L1379" s="17">
        <f>IF(Log[[#This Row],[ID]]="","",IFERROR(INDEX(Items[Cur team],MATCH(Log[[#This Row],[ID]],Items[ID],0))&amp;"",""))</f>
      </c>
      <c r="M1379" s="17">
        <f>IF(OR(Log[[#This Row],[Verb]]="done",Log[[#This Row],[Verb]]="punt",Log[[#This Row],[Verb]]="drop",Log[[#This Row],[Verb]]="pass"),Log[[#This Row],[Pts]],0)</f>
      </c>
    </row>
    <row r="1380">
      <c r="A1380" s="11">
        <v>46217</v>
      </c>
      <c r="B1380" t="s">
        <v>766</v>
      </c>
      <c r="C1380" t="s">
        <v>34</v>
      </c>
      <c r="D1380">
        <v>48</v>
      </c>
      <c r="F1380" s="17">
        <f>IF(Log[[#This Row],[ID]]="","",IF(ISNA(MATCH(Log[[#This Row],[ID]],Items[ID],0)),"unknown ID",IF(ISNA(MATCH(Log[[#This Row],[Verb]],VerbList,0)),"unknown verb",IF(Log[[#This Row],[Date]]="","no date",""))))</f>
      </c>
      <c r="G1380" s="17">
        <f>IF(Log[[#This Row],[ID]]="","",IFERROR(VLOOKUP(Log[[#This Row],[Verb]],Verbs,3,FALSE)&amp;"",""))</f>
      </c>
      <c r="H1380" s="17">
        <f>IF(Log[[#This Row],[Date]]="","",INT((Log[[#This Row],[Date]]-Sprint1)/SprintDays)+1)</f>
      </c>
      <c r="I1380" s="17">
        <f>IF(OR(Log[[#This Row],[Verb]]="commit",Log[[#This Row],[Verb]]="carry",Log[[#This Row],[Verb]]="redo"),IF(Log[[#This Row],[Arg]]="",Log[[#This Row],[Sprint]],N(Log[[#This Row],[Arg]])),"")</f>
      </c>
      <c r="J1380" s="17">
        <f>IF(Log[[#This Row],[Verb]]="block",1,IF(OR(Log[[#This Row],[Verb]]="unblock",Log[[#This Row],[Verb]]="done",Log[[#This Row],[Verb]]="drop",Log[[#This Row],[Verb]]="punt",Log[[#This Row],[Verb]]="pass"),0,""))</f>
      </c>
      <c r="K1380" s="17">
        <f>IF(Log[[#This Row],[ID]]="",0,IFERROR(INDEX(Items[Pts],MATCH(Log[[#This Row],[ID]],Items[ID],0))*1,0))</f>
      </c>
      <c r="L1380" s="17">
        <f>IF(Log[[#This Row],[ID]]="","",IFERROR(INDEX(Items[Cur team],MATCH(Log[[#This Row],[ID]],Items[ID],0))&amp;"",""))</f>
      </c>
      <c r="M1380" s="17">
        <f>IF(OR(Log[[#This Row],[Verb]]="done",Log[[#This Row],[Verb]]="punt",Log[[#This Row],[Verb]]="drop",Log[[#This Row],[Verb]]="pass"),Log[[#This Row],[Pts]],0)</f>
      </c>
    </row>
    <row r="1381">
      <c r="A1381" s="11">
        <v>46217</v>
      </c>
      <c r="B1381" t="s">
        <v>767</v>
      </c>
      <c r="C1381" t="s">
        <v>34</v>
      </c>
      <c r="D1381">
        <v>48</v>
      </c>
      <c r="F1381" s="17">
        <f>IF(Log[[#This Row],[ID]]="","",IF(ISNA(MATCH(Log[[#This Row],[ID]],Items[ID],0)),"unknown ID",IF(ISNA(MATCH(Log[[#This Row],[Verb]],VerbList,0)),"unknown verb",IF(Log[[#This Row],[Date]]="","no date",""))))</f>
      </c>
      <c r="G1381" s="17">
        <f>IF(Log[[#This Row],[ID]]="","",IFERROR(VLOOKUP(Log[[#This Row],[Verb]],Verbs,3,FALSE)&amp;"",""))</f>
      </c>
      <c r="H1381" s="17">
        <f>IF(Log[[#This Row],[Date]]="","",INT((Log[[#This Row],[Date]]-Sprint1)/SprintDays)+1)</f>
      </c>
      <c r="I1381" s="17">
        <f>IF(OR(Log[[#This Row],[Verb]]="commit",Log[[#This Row],[Verb]]="carry",Log[[#This Row],[Verb]]="redo"),IF(Log[[#This Row],[Arg]]="",Log[[#This Row],[Sprint]],N(Log[[#This Row],[Arg]])),"")</f>
      </c>
      <c r="J1381" s="17">
        <f>IF(Log[[#This Row],[Verb]]="block",1,IF(OR(Log[[#This Row],[Verb]]="unblock",Log[[#This Row],[Verb]]="done",Log[[#This Row],[Verb]]="drop",Log[[#This Row],[Verb]]="punt",Log[[#This Row],[Verb]]="pass"),0,""))</f>
      </c>
      <c r="K1381" s="17">
        <f>IF(Log[[#This Row],[ID]]="",0,IFERROR(INDEX(Items[Pts],MATCH(Log[[#This Row],[ID]],Items[ID],0))*1,0))</f>
      </c>
      <c r="L1381" s="17">
        <f>IF(Log[[#This Row],[ID]]="","",IFERROR(INDEX(Items[Cur team],MATCH(Log[[#This Row],[ID]],Items[ID],0))&amp;"",""))</f>
      </c>
      <c r="M1381" s="17">
        <f>IF(OR(Log[[#This Row],[Verb]]="done",Log[[#This Row],[Verb]]="punt",Log[[#This Row],[Verb]]="drop",Log[[#This Row],[Verb]]="pass"),Log[[#This Row],[Pts]],0)</f>
      </c>
    </row>
    <row r="1382">
      <c r="A1382" s="11">
        <v>46217</v>
      </c>
      <c r="B1382" t="s">
        <v>768</v>
      </c>
      <c r="C1382" t="s">
        <v>34</v>
      </c>
      <c r="D1382">
        <v>48</v>
      </c>
      <c r="F1382" s="17">
        <f>IF(Log[[#This Row],[ID]]="","",IF(ISNA(MATCH(Log[[#This Row],[ID]],Items[ID],0)),"unknown ID",IF(ISNA(MATCH(Log[[#This Row],[Verb]],VerbList,0)),"unknown verb",IF(Log[[#This Row],[Date]]="","no date",""))))</f>
      </c>
      <c r="G1382" s="17">
        <f>IF(Log[[#This Row],[ID]]="","",IFERROR(VLOOKUP(Log[[#This Row],[Verb]],Verbs,3,FALSE)&amp;"",""))</f>
      </c>
      <c r="H1382" s="17">
        <f>IF(Log[[#This Row],[Date]]="","",INT((Log[[#This Row],[Date]]-Sprint1)/SprintDays)+1)</f>
      </c>
      <c r="I1382" s="17">
        <f>IF(OR(Log[[#This Row],[Verb]]="commit",Log[[#This Row],[Verb]]="carry",Log[[#This Row],[Verb]]="redo"),IF(Log[[#This Row],[Arg]]="",Log[[#This Row],[Sprint]],N(Log[[#This Row],[Arg]])),"")</f>
      </c>
      <c r="J1382" s="17">
        <f>IF(Log[[#This Row],[Verb]]="block",1,IF(OR(Log[[#This Row],[Verb]]="unblock",Log[[#This Row],[Verb]]="done",Log[[#This Row],[Verb]]="drop",Log[[#This Row],[Verb]]="punt",Log[[#This Row],[Verb]]="pass"),0,""))</f>
      </c>
      <c r="K1382" s="17">
        <f>IF(Log[[#This Row],[ID]]="",0,IFERROR(INDEX(Items[Pts],MATCH(Log[[#This Row],[ID]],Items[ID],0))*1,0))</f>
      </c>
      <c r="L1382" s="17">
        <f>IF(Log[[#This Row],[ID]]="","",IFERROR(INDEX(Items[Cur team],MATCH(Log[[#This Row],[ID]],Items[ID],0))&amp;"",""))</f>
      </c>
      <c r="M1382" s="17">
        <f>IF(OR(Log[[#This Row],[Verb]]="done",Log[[#This Row],[Verb]]="punt",Log[[#This Row],[Verb]]="drop",Log[[#This Row],[Verb]]="pass"),Log[[#This Row],[Pts]],0)</f>
      </c>
    </row>
    <row r="1383">
      <c r="A1383" s="11">
        <v>46217</v>
      </c>
      <c r="B1383" t="s">
        <v>769</v>
      </c>
      <c r="C1383" t="s">
        <v>34</v>
      </c>
      <c r="D1383">
        <v>48</v>
      </c>
      <c r="F1383" s="17">
        <f>IF(Log[[#This Row],[ID]]="","",IF(ISNA(MATCH(Log[[#This Row],[ID]],Items[ID],0)),"unknown ID",IF(ISNA(MATCH(Log[[#This Row],[Verb]],VerbList,0)),"unknown verb",IF(Log[[#This Row],[Date]]="","no date",""))))</f>
      </c>
      <c r="G1383" s="17">
        <f>IF(Log[[#This Row],[ID]]="","",IFERROR(VLOOKUP(Log[[#This Row],[Verb]],Verbs,3,FALSE)&amp;"",""))</f>
      </c>
      <c r="H1383" s="17">
        <f>IF(Log[[#This Row],[Date]]="","",INT((Log[[#This Row],[Date]]-Sprint1)/SprintDays)+1)</f>
      </c>
      <c r="I1383" s="17">
        <f>IF(OR(Log[[#This Row],[Verb]]="commit",Log[[#This Row],[Verb]]="carry",Log[[#This Row],[Verb]]="redo"),IF(Log[[#This Row],[Arg]]="",Log[[#This Row],[Sprint]],N(Log[[#This Row],[Arg]])),"")</f>
      </c>
      <c r="J1383" s="17">
        <f>IF(Log[[#This Row],[Verb]]="block",1,IF(OR(Log[[#This Row],[Verb]]="unblock",Log[[#This Row],[Verb]]="done",Log[[#This Row],[Verb]]="drop",Log[[#This Row],[Verb]]="punt",Log[[#This Row],[Verb]]="pass"),0,""))</f>
      </c>
      <c r="K1383" s="17">
        <f>IF(Log[[#This Row],[ID]]="",0,IFERROR(INDEX(Items[Pts],MATCH(Log[[#This Row],[ID]],Items[ID],0))*1,0))</f>
      </c>
      <c r="L1383" s="17">
        <f>IF(Log[[#This Row],[ID]]="","",IFERROR(INDEX(Items[Cur team],MATCH(Log[[#This Row],[ID]],Items[ID],0))&amp;"",""))</f>
      </c>
      <c r="M1383" s="17">
        <f>IF(OR(Log[[#This Row],[Verb]]="done",Log[[#This Row],[Verb]]="punt",Log[[#This Row],[Verb]]="drop",Log[[#This Row],[Verb]]="pass"),Log[[#This Row],[Pts]],0)</f>
      </c>
    </row>
    <row r="1384">
      <c r="A1384" s="11">
        <v>46217</v>
      </c>
      <c r="B1384" t="s">
        <v>770</v>
      </c>
      <c r="C1384" t="s">
        <v>34</v>
      </c>
      <c r="D1384">
        <v>48</v>
      </c>
      <c r="F1384" s="17">
        <f>IF(Log[[#This Row],[ID]]="","",IF(ISNA(MATCH(Log[[#This Row],[ID]],Items[ID],0)),"unknown ID",IF(ISNA(MATCH(Log[[#This Row],[Verb]],VerbList,0)),"unknown verb",IF(Log[[#This Row],[Date]]="","no date",""))))</f>
      </c>
      <c r="G1384" s="17">
        <f>IF(Log[[#This Row],[ID]]="","",IFERROR(VLOOKUP(Log[[#This Row],[Verb]],Verbs,3,FALSE)&amp;"",""))</f>
      </c>
      <c r="H1384" s="17">
        <f>IF(Log[[#This Row],[Date]]="","",INT((Log[[#This Row],[Date]]-Sprint1)/SprintDays)+1)</f>
      </c>
      <c r="I1384" s="17">
        <f>IF(OR(Log[[#This Row],[Verb]]="commit",Log[[#This Row],[Verb]]="carry",Log[[#This Row],[Verb]]="redo"),IF(Log[[#This Row],[Arg]]="",Log[[#This Row],[Sprint]],N(Log[[#This Row],[Arg]])),"")</f>
      </c>
      <c r="J1384" s="17">
        <f>IF(Log[[#This Row],[Verb]]="block",1,IF(OR(Log[[#This Row],[Verb]]="unblock",Log[[#This Row],[Verb]]="done",Log[[#This Row],[Verb]]="drop",Log[[#This Row],[Verb]]="punt",Log[[#This Row],[Verb]]="pass"),0,""))</f>
      </c>
      <c r="K1384" s="17">
        <f>IF(Log[[#This Row],[ID]]="",0,IFERROR(INDEX(Items[Pts],MATCH(Log[[#This Row],[ID]],Items[ID],0))*1,0))</f>
      </c>
      <c r="L1384" s="17">
        <f>IF(Log[[#This Row],[ID]]="","",IFERROR(INDEX(Items[Cur team],MATCH(Log[[#This Row],[ID]],Items[ID],0))&amp;"",""))</f>
      </c>
      <c r="M1384" s="17">
        <f>IF(OR(Log[[#This Row],[Verb]]="done",Log[[#This Row],[Verb]]="punt",Log[[#This Row],[Verb]]="drop",Log[[#This Row],[Verb]]="pass"),Log[[#This Row],[Pts]],0)</f>
      </c>
    </row>
    <row r="1385">
      <c r="A1385" s="11">
        <v>46217</v>
      </c>
      <c r="B1385" t="s">
        <v>771</v>
      </c>
      <c r="C1385" t="s">
        <v>34</v>
      </c>
      <c r="D1385">
        <v>48</v>
      </c>
      <c r="F1385" s="17">
        <f>IF(Log[[#This Row],[ID]]="","",IF(ISNA(MATCH(Log[[#This Row],[ID]],Items[ID],0)),"unknown ID",IF(ISNA(MATCH(Log[[#This Row],[Verb]],VerbList,0)),"unknown verb",IF(Log[[#This Row],[Date]]="","no date",""))))</f>
      </c>
      <c r="G1385" s="17">
        <f>IF(Log[[#This Row],[ID]]="","",IFERROR(VLOOKUP(Log[[#This Row],[Verb]],Verbs,3,FALSE)&amp;"",""))</f>
      </c>
      <c r="H1385" s="17">
        <f>IF(Log[[#This Row],[Date]]="","",INT((Log[[#This Row],[Date]]-Sprint1)/SprintDays)+1)</f>
      </c>
      <c r="I1385" s="17">
        <f>IF(OR(Log[[#This Row],[Verb]]="commit",Log[[#This Row],[Verb]]="carry",Log[[#This Row],[Verb]]="redo"),IF(Log[[#This Row],[Arg]]="",Log[[#This Row],[Sprint]],N(Log[[#This Row],[Arg]])),"")</f>
      </c>
      <c r="J1385" s="17">
        <f>IF(Log[[#This Row],[Verb]]="block",1,IF(OR(Log[[#This Row],[Verb]]="unblock",Log[[#This Row],[Verb]]="done",Log[[#This Row],[Verb]]="drop",Log[[#This Row],[Verb]]="punt",Log[[#This Row],[Verb]]="pass"),0,""))</f>
      </c>
      <c r="K1385" s="17">
        <f>IF(Log[[#This Row],[ID]]="",0,IFERROR(INDEX(Items[Pts],MATCH(Log[[#This Row],[ID]],Items[ID],0))*1,0))</f>
      </c>
      <c r="L1385" s="17">
        <f>IF(Log[[#This Row],[ID]]="","",IFERROR(INDEX(Items[Cur team],MATCH(Log[[#This Row],[ID]],Items[ID],0))&amp;"",""))</f>
      </c>
      <c r="M1385" s="17">
        <f>IF(OR(Log[[#This Row],[Verb]]="done",Log[[#This Row],[Verb]]="punt",Log[[#This Row],[Verb]]="drop",Log[[#This Row],[Verb]]="pass"),Log[[#This Row],[Pts]],0)</f>
      </c>
    </row>
    <row r="1386">
      <c r="A1386" s="11">
        <v>46217</v>
      </c>
      <c r="B1386" t="s">
        <v>772</v>
      </c>
      <c r="C1386" t="s">
        <v>34</v>
      </c>
      <c r="D1386">
        <v>48</v>
      </c>
      <c r="F1386" s="17">
        <f>IF(Log[[#This Row],[ID]]="","",IF(ISNA(MATCH(Log[[#This Row],[ID]],Items[ID],0)),"unknown ID",IF(ISNA(MATCH(Log[[#This Row],[Verb]],VerbList,0)),"unknown verb",IF(Log[[#This Row],[Date]]="","no date",""))))</f>
      </c>
      <c r="G1386" s="17">
        <f>IF(Log[[#This Row],[ID]]="","",IFERROR(VLOOKUP(Log[[#This Row],[Verb]],Verbs,3,FALSE)&amp;"",""))</f>
      </c>
      <c r="H1386" s="17">
        <f>IF(Log[[#This Row],[Date]]="","",INT((Log[[#This Row],[Date]]-Sprint1)/SprintDays)+1)</f>
      </c>
      <c r="I1386" s="17">
        <f>IF(OR(Log[[#This Row],[Verb]]="commit",Log[[#This Row],[Verb]]="carry",Log[[#This Row],[Verb]]="redo"),IF(Log[[#This Row],[Arg]]="",Log[[#This Row],[Sprint]],N(Log[[#This Row],[Arg]])),"")</f>
      </c>
      <c r="J1386" s="17">
        <f>IF(Log[[#This Row],[Verb]]="block",1,IF(OR(Log[[#This Row],[Verb]]="unblock",Log[[#This Row],[Verb]]="done",Log[[#This Row],[Verb]]="drop",Log[[#This Row],[Verb]]="punt",Log[[#This Row],[Verb]]="pass"),0,""))</f>
      </c>
      <c r="K1386" s="17">
        <f>IF(Log[[#This Row],[ID]]="",0,IFERROR(INDEX(Items[Pts],MATCH(Log[[#This Row],[ID]],Items[ID],0))*1,0))</f>
      </c>
      <c r="L1386" s="17">
        <f>IF(Log[[#This Row],[ID]]="","",IFERROR(INDEX(Items[Cur team],MATCH(Log[[#This Row],[ID]],Items[ID],0))&amp;"",""))</f>
      </c>
      <c r="M1386" s="17">
        <f>IF(OR(Log[[#This Row],[Verb]]="done",Log[[#This Row],[Verb]]="punt",Log[[#This Row],[Verb]]="drop",Log[[#This Row],[Verb]]="pass"),Log[[#This Row],[Pts]],0)</f>
      </c>
    </row>
    <row r="1387">
      <c r="A1387" s="11">
        <v>46217</v>
      </c>
      <c r="B1387" t="s">
        <v>773</v>
      </c>
      <c r="C1387" t="s">
        <v>34</v>
      </c>
      <c r="D1387">
        <v>48</v>
      </c>
      <c r="F1387" s="17">
        <f>IF(Log[[#This Row],[ID]]="","",IF(ISNA(MATCH(Log[[#This Row],[ID]],Items[ID],0)),"unknown ID",IF(ISNA(MATCH(Log[[#This Row],[Verb]],VerbList,0)),"unknown verb",IF(Log[[#This Row],[Date]]="","no date",""))))</f>
      </c>
      <c r="G1387" s="17">
        <f>IF(Log[[#This Row],[ID]]="","",IFERROR(VLOOKUP(Log[[#This Row],[Verb]],Verbs,3,FALSE)&amp;"",""))</f>
      </c>
      <c r="H1387" s="17">
        <f>IF(Log[[#This Row],[Date]]="","",INT((Log[[#This Row],[Date]]-Sprint1)/SprintDays)+1)</f>
      </c>
      <c r="I1387" s="17">
        <f>IF(OR(Log[[#This Row],[Verb]]="commit",Log[[#This Row],[Verb]]="carry",Log[[#This Row],[Verb]]="redo"),IF(Log[[#This Row],[Arg]]="",Log[[#This Row],[Sprint]],N(Log[[#This Row],[Arg]])),"")</f>
      </c>
      <c r="J1387" s="17">
        <f>IF(Log[[#This Row],[Verb]]="block",1,IF(OR(Log[[#This Row],[Verb]]="unblock",Log[[#This Row],[Verb]]="done",Log[[#This Row],[Verb]]="drop",Log[[#This Row],[Verb]]="punt",Log[[#This Row],[Verb]]="pass"),0,""))</f>
      </c>
      <c r="K1387" s="17">
        <f>IF(Log[[#This Row],[ID]]="",0,IFERROR(INDEX(Items[Pts],MATCH(Log[[#This Row],[ID]],Items[ID],0))*1,0))</f>
      </c>
      <c r="L1387" s="17">
        <f>IF(Log[[#This Row],[ID]]="","",IFERROR(INDEX(Items[Cur team],MATCH(Log[[#This Row],[ID]],Items[ID],0))&amp;"",""))</f>
      </c>
      <c r="M1387" s="17">
        <f>IF(OR(Log[[#This Row],[Verb]]="done",Log[[#This Row],[Verb]]="punt",Log[[#This Row],[Verb]]="drop",Log[[#This Row],[Verb]]="pass"),Log[[#This Row],[Pts]],0)</f>
      </c>
    </row>
    <row r="1388">
      <c r="A1388" s="11">
        <v>46217</v>
      </c>
      <c r="B1388" t="s">
        <v>774</v>
      </c>
      <c r="C1388" t="s">
        <v>34</v>
      </c>
      <c r="D1388">
        <v>48</v>
      </c>
      <c r="F1388" s="17">
        <f>IF(Log[[#This Row],[ID]]="","",IF(ISNA(MATCH(Log[[#This Row],[ID]],Items[ID],0)),"unknown ID",IF(ISNA(MATCH(Log[[#This Row],[Verb]],VerbList,0)),"unknown verb",IF(Log[[#This Row],[Date]]="","no date",""))))</f>
      </c>
      <c r="G1388" s="17">
        <f>IF(Log[[#This Row],[ID]]="","",IFERROR(VLOOKUP(Log[[#This Row],[Verb]],Verbs,3,FALSE)&amp;"",""))</f>
      </c>
      <c r="H1388" s="17">
        <f>IF(Log[[#This Row],[Date]]="","",INT((Log[[#This Row],[Date]]-Sprint1)/SprintDays)+1)</f>
      </c>
      <c r="I1388" s="17">
        <f>IF(OR(Log[[#This Row],[Verb]]="commit",Log[[#This Row],[Verb]]="carry",Log[[#This Row],[Verb]]="redo"),IF(Log[[#This Row],[Arg]]="",Log[[#This Row],[Sprint]],N(Log[[#This Row],[Arg]])),"")</f>
      </c>
      <c r="J1388" s="17">
        <f>IF(Log[[#This Row],[Verb]]="block",1,IF(OR(Log[[#This Row],[Verb]]="unblock",Log[[#This Row],[Verb]]="done",Log[[#This Row],[Verb]]="drop",Log[[#This Row],[Verb]]="punt",Log[[#This Row],[Verb]]="pass"),0,""))</f>
      </c>
      <c r="K1388" s="17">
        <f>IF(Log[[#This Row],[ID]]="",0,IFERROR(INDEX(Items[Pts],MATCH(Log[[#This Row],[ID]],Items[ID],0))*1,0))</f>
      </c>
      <c r="L1388" s="17">
        <f>IF(Log[[#This Row],[ID]]="","",IFERROR(INDEX(Items[Cur team],MATCH(Log[[#This Row],[ID]],Items[ID],0))&amp;"",""))</f>
      </c>
      <c r="M1388" s="17">
        <f>IF(OR(Log[[#This Row],[Verb]]="done",Log[[#This Row],[Verb]]="punt",Log[[#This Row],[Verb]]="drop",Log[[#This Row],[Verb]]="pass"),Log[[#This Row],[Pts]],0)</f>
      </c>
    </row>
    <row r="1389">
      <c r="A1389" s="11">
        <v>46217</v>
      </c>
      <c r="B1389" t="s">
        <v>775</v>
      </c>
      <c r="C1389" t="s">
        <v>34</v>
      </c>
      <c r="D1389">
        <v>48</v>
      </c>
      <c r="F1389" s="17">
        <f>IF(Log[[#This Row],[ID]]="","",IF(ISNA(MATCH(Log[[#This Row],[ID]],Items[ID],0)),"unknown ID",IF(ISNA(MATCH(Log[[#This Row],[Verb]],VerbList,0)),"unknown verb",IF(Log[[#This Row],[Date]]="","no date",""))))</f>
      </c>
      <c r="G1389" s="17">
        <f>IF(Log[[#This Row],[ID]]="","",IFERROR(VLOOKUP(Log[[#This Row],[Verb]],Verbs,3,FALSE)&amp;"",""))</f>
      </c>
      <c r="H1389" s="17">
        <f>IF(Log[[#This Row],[Date]]="","",INT((Log[[#This Row],[Date]]-Sprint1)/SprintDays)+1)</f>
      </c>
      <c r="I1389" s="17">
        <f>IF(OR(Log[[#This Row],[Verb]]="commit",Log[[#This Row],[Verb]]="carry",Log[[#This Row],[Verb]]="redo"),IF(Log[[#This Row],[Arg]]="",Log[[#This Row],[Sprint]],N(Log[[#This Row],[Arg]])),"")</f>
      </c>
      <c r="J1389" s="17">
        <f>IF(Log[[#This Row],[Verb]]="block",1,IF(OR(Log[[#This Row],[Verb]]="unblock",Log[[#This Row],[Verb]]="done",Log[[#This Row],[Verb]]="drop",Log[[#This Row],[Verb]]="punt",Log[[#This Row],[Verb]]="pass"),0,""))</f>
      </c>
      <c r="K1389" s="17">
        <f>IF(Log[[#This Row],[ID]]="",0,IFERROR(INDEX(Items[Pts],MATCH(Log[[#This Row],[ID]],Items[ID],0))*1,0))</f>
      </c>
      <c r="L1389" s="17">
        <f>IF(Log[[#This Row],[ID]]="","",IFERROR(INDEX(Items[Cur team],MATCH(Log[[#This Row],[ID]],Items[ID],0))&amp;"",""))</f>
      </c>
      <c r="M1389" s="17">
        <f>IF(OR(Log[[#This Row],[Verb]]="done",Log[[#This Row],[Verb]]="punt",Log[[#This Row],[Verb]]="drop",Log[[#This Row],[Verb]]="pass"),Log[[#This Row],[Pts]],0)</f>
      </c>
    </row>
    <row r="1390">
      <c r="A1390" s="11">
        <v>46217</v>
      </c>
      <c r="B1390" t="s">
        <v>776</v>
      </c>
      <c r="C1390" t="s">
        <v>34</v>
      </c>
      <c r="D1390">
        <v>48</v>
      </c>
      <c r="F1390" s="17">
        <f>IF(Log[[#This Row],[ID]]="","",IF(ISNA(MATCH(Log[[#This Row],[ID]],Items[ID],0)),"unknown ID",IF(ISNA(MATCH(Log[[#This Row],[Verb]],VerbList,0)),"unknown verb",IF(Log[[#This Row],[Date]]="","no date",""))))</f>
      </c>
      <c r="G1390" s="17">
        <f>IF(Log[[#This Row],[ID]]="","",IFERROR(VLOOKUP(Log[[#This Row],[Verb]],Verbs,3,FALSE)&amp;"",""))</f>
      </c>
      <c r="H1390" s="17">
        <f>IF(Log[[#This Row],[Date]]="","",INT((Log[[#This Row],[Date]]-Sprint1)/SprintDays)+1)</f>
      </c>
      <c r="I1390" s="17">
        <f>IF(OR(Log[[#This Row],[Verb]]="commit",Log[[#This Row],[Verb]]="carry",Log[[#This Row],[Verb]]="redo"),IF(Log[[#This Row],[Arg]]="",Log[[#This Row],[Sprint]],N(Log[[#This Row],[Arg]])),"")</f>
      </c>
      <c r="J1390" s="17">
        <f>IF(Log[[#This Row],[Verb]]="block",1,IF(OR(Log[[#This Row],[Verb]]="unblock",Log[[#This Row],[Verb]]="done",Log[[#This Row],[Verb]]="drop",Log[[#This Row],[Verb]]="punt",Log[[#This Row],[Verb]]="pass"),0,""))</f>
      </c>
      <c r="K1390" s="17">
        <f>IF(Log[[#This Row],[ID]]="",0,IFERROR(INDEX(Items[Pts],MATCH(Log[[#This Row],[ID]],Items[ID],0))*1,0))</f>
      </c>
      <c r="L1390" s="17">
        <f>IF(Log[[#This Row],[ID]]="","",IFERROR(INDEX(Items[Cur team],MATCH(Log[[#This Row],[ID]],Items[ID],0))&amp;"",""))</f>
      </c>
      <c r="M1390" s="17">
        <f>IF(OR(Log[[#This Row],[Verb]]="done",Log[[#This Row],[Verb]]="punt",Log[[#This Row],[Verb]]="drop",Log[[#This Row],[Verb]]="pass"),Log[[#This Row],[Pts]],0)</f>
      </c>
    </row>
    <row r="1391">
      <c r="A1391" s="11">
        <v>46217</v>
      </c>
      <c r="B1391" t="s">
        <v>777</v>
      </c>
      <c r="C1391" t="s">
        <v>34</v>
      </c>
      <c r="D1391">
        <v>48</v>
      </c>
      <c r="F1391" s="17">
        <f>IF(Log[[#This Row],[ID]]="","",IF(ISNA(MATCH(Log[[#This Row],[ID]],Items[ID],0)),"unknown ID",IF(ISNA(MATCH(Log[[#This Row],[Verb]],VerbList,0)),"unknown verb",IF(Log[[#This Row],[Date]]="","no date",""))))</f>
      </c>
      <c r="G1391" s="17">
        <f>IF(Log[[#This Row],[ID]]="","",IFERROR(VLOOKUP(Log[[#This Row],[Verb]],Verbs,3,FALSE)&amp;"",""))</f>
      </c>
      <c r="H1391" s="17">
        <f>IF(Log[[#This Row],[Date]]="","",INT((Log[[#This Row],[Date]]-Sprint1)/SprintDays)+1)</f>
      </c>
      <c r="I1391" s="17">
        <f>IF(OR(Log[[#This Row],[Verb]]="commit",Log[[#This Row],[Verb]]="carry",Log[[#This Row],[Verb]]="redo"),IF(Log[[#This Row],[Arg]]="",Log[[#This Row],[Sprint]],N(Log[[#This Row],[Arg]])),"")</f>
      </c>
      <c r="J1391" s="17">
        <f>IF(Log[[#This Row],[Verb]]="block",1,IF(OR(Log[[#This Row],[Verb]]="unblock",Log[[#This Row],[Verb]]="done",Log[[#This Row],[Verb]]="drop",Log[[#This Row],[Verb]]="punt",Log[[#This Row],[Verb]]="pass"),0,""))</f>
      </c>
      <c r="K1391" s="17">
        <f>IF(Log[[#This Row],[ID]]="",0,IFERROR(INDEX(Items[Pts],MATCH(Log[[#This Row],[ID]],Items[ID],0))*1,0))</f>
      </c>
      <c r="L1391" s="17">
        <f>IF(Log[[#This Row],[ID]]="","",IFERROR(INDEX(Items[Cur team],MATCH(Log[[#This Row],[ID]],Items[ID],0))&amp;"",""))</f>
      </c>
      <c r="M1391" s="17">
        <f>IF(OR(Log[[#This Row],[Verb]]="done",Log[[#This Row],[Verb]]="punt",Log[[#This Row],[Verb]]="drop",Log[[#This Row],[Verb]]="pass"),Log[[#This Row],[Pts]],0)</f>
      </c>
    </row>
    <row r="1392">
      <c r="A1392" s="11">
        <v>46217</v>
      </c>
      <c r="B1392" t="s">
        <v>778</v>
      </c>
      <c r="C1392" t="s">
        <v>34</v>
      </c>
      <c r="D1392">
        <v>48</v>
      </c>
      <c r="F1392" s="17">
        <f>IF(Log[[#This Row],[ID]]="","",IF(ISNA(MATCH(Log[[#This Row],[ID]],Items[ID],0)),"unknown ID",IF(ISNA(MATCH(Log[[#This Row],[Verb]],VerbList,0)),"unknown verb",IF(Log[[#This Row],[Date]]="","no date",""))))</f>
      </c>
      <c r="G1392" s="17">
        <f>IF(Log[[#This Row],[ID]]="","",IFERROR(VLOOKUP(Log[[#This Row],[Verb]],Verbs,3,FALSE)&amp;"",""))</f>
      </c>
      <c r="H1392" s="17">
        <f>IF(Log[[#This Row],[Date]]="","",INT((Log[[#This Row],[Date]]-Sprint1)/SprintDays)+1)</f>
      </c>
      <c r="I1392" s="17">
        <f>IF(OR(Log[[#This Row],[Verb]]="commit",Log[[#This Row],[Verb]]="carry",Log[[#This Row],[Verb]]="redo"),IF(Log[[#This Row],[Arg]]="",Log[[#This Row],[Sprint]],N(Log[[#This Row],[Arg]])),"")</f>
      </c>
      <c r="J1392" s="17">
        <f>IF(Log[[#This Row],[Verb]]="block",1,IF(OR(Log[[#This Row],[Verb]]="unblock",Log[[#This Row],[Verb]]="done",Log[[#This Row],[Verb]]="drop",Log[[#This Row],[Verb]]="punt",Log[[#This Row],[Verb]]="pass"),0,""))</f>
      </c>
      <c r="K1392" s="17">
        <f>IF(Log[[#This Row],[ID]]="",0,IFERROR(INDEX(Items[Pts],MATCH(Log[[#This Row],[ID]],Items[ID],0))*1,0))</f>
      </c>
      <c r="L1392" s="17">
        <f>IF(Log[[#This Row],[ID]]="","",IFERROR(INDEX(Items[Cur team],MATCH(Log[[#This Row],[ID]],Items[ID],0))&amp;"",""))</f>
      </c>
      <c r="M1392" s="17">
        <f>IF(OR(Log[[#This Row],[Verb]]="done",Log[[#This Row],[Verb]]="punt",Log[[#This Row],[Verb]]="drop",Log[[#This Row],[Verb]]="pass"),Log[[#This Row],[Pts]],0)</f>
      </c>
    </row>
    <row r="1393">
      <c r="A1393" s="11">
        <v>46217</v>
      </c>
      <c r="B1393" t="s">
        <v>779</v>
      </c>
      <c r="C1393" t="s">
        <v>34</v>
      </c>
      <c r="D1393">
        <v>48</v>
      </c>
      <c r="F1393" s="17">
        <f>IF(Log[[#This Row],[ID]]="","",IF(ISNA(MATCH(Log[[#This Row],[ID]],Items[ID],0)),"unknown ID",IF(ISNA(MATCH(Log[[#This Row],[Verb]],VerbList,0)),"unknown verb",IF(Log[[#This Row],[Date]]="","no date",""))))</f>
      </c>
      <c r="G1393" s="17">
        <f>IF(Log[[#This Row],[ID]]="","",IFERROR(VLOOKUP(Log[[#This Row],[Verb]],Verbs,3,FALSE)&amp;"",""))</f>
      </c>
      <c r="H1393" s="17">
        <f>IF(Log[[#This Row],[Date]]="","",INT((Log[[#This Row],[Date]]-Sprint1)/SprintDays)+1)</f>
      </c>
      <c r="I1393" s="17">
        <f>IF(OR(Log[[#This Row],[Verb]]="commit",Log[[#This Row],[Verb]]="carry",Log[[#This Row],[Verb]]="redo"),IF(Log[[#This Row],[Arg]]="",Log[[#This Row],[Sprint]],N(Log[[#This Row],[Arg]])),"")</f>
      </c>
      <c r="J1393" s="17">
        <f>IF(Log[[#This Row],[Verb]]="block",1,IF(OR(Log[[#This Row],[Verb]]="unblock",Log[[#This Row],[Verb]]="done",Log[[#This Row],[Verb]]="drop",Log[[#This Row],[Verb]]="punt",Log[[#This Row],[Verb]]="pass"),0,""))</f>
      </c>
      <c r="K1393" s="17">
        <f>IF(Log[[#This Row],[ID]]="",0,IFERROR(INDEX(Items[Pts],MATCH(Log[[#This Row],[ID]],Items[ID],0))*1,0))</f>
      </c>
      <c r="L1393" s="17">
        <f>IF(Log[[#This Row],[ID]]="","",IFERROR(INDEX(Items[Cur team],MATCH(Log[[#This Row],[ID]],Items[ID],0))&amp;"",""))</f>
      </c>
      <c r="M1393" s="17">
        <f>IF(OR(Log[[#This Row],[Verb]]="done",Log[[#This Row],[Verb]]="punt",Log[[#This Row],[Verb]]="drop",Log[[#This Row],[Verb]]="pass"),Log[[#This Row],[Pts]],0)</f>
      </c>
    </row>
    <row r="1394">
      <c r="A1394" s="11">
        <v>46217</v>
      </c>
      <c r="B1394" t="s">
        <v>780</v>
      </c>
      <c r="C1394" t="s">
        <v>34</v>
      </c>
      <c r="D1394">
        <v>48</v>
      </c>
      <c r="F1394" s="17">
        <f>IF(Log[[#This Row],[ID]]="","",IF(ISNA(MATCH(Log[[#This Row],[ID]],Items[ID],0)),"unknown ID",IF(ISNA(MATCH(Log[[#This Row],[Verb]],VerbList,0)),"unknown verb",IF(Log[[#This Row],[Date]]="","no date",""))))</f>
      </c>
      <c r="G1394" s="17">
        <f>IF(Log[[#This Row],[ID]]="","",IFERROR(VLOOKUP(Log[[#This Row],[Verb]],Verbs,3,FALSE)&amp;"",""))</f>
      </c>
      <c r="H1394" s="17">
        <f>IF(Log[[#This Row],[Date]]="","",INT((Log[[#This Row],[Date]]-Sprint1)/SprintDays)+1)</f>
      </c>
      <c r="I1394" s="17">
        <f>IF(OR(Log[[#This Row],[Verb]]="commit",Log[[#This Row],[Verb]]="carry",Log[[#This Row],[Verb]]="redo"),IF(Log[[#This Row],[Arg]]="",Log[[#This Row],[Sprint]],N(Log[[#This Row],[Arg]])),"")</f>
      </c>
      <c r="J1394" s="17">
        <f>IF(Log[[#This Row],[Verb]]="block",1,IF(OR(Log[[#This Row],[Verb]]="unblock",Log[[#This Row],[Verb]]="done",Log[[#This Row],[Verb]]="drop",Log[[#This Row],[Verb]]="punt",Log[[#This Row],[Verb]]="pass"),0,""))</f>
      </c>
      <c r="K1394" s="17">
        <f>IF(Log[[#This Row],[ID]]="",0,IFERROR(INDEX(Items[Pts],MATCH(Log[[#This Row],[ID]],Items[ID],0))*1,0))</f>
      </c>
      <c r="L1394" s="17">
        <f>IF(Log[[#This Row],[ID]]="","",IFERROR(INDEX(Items[Cur team],MATCH(Log[[#This Row],[ID]],Items[ID],0))&amp;"",""))</f>
      </c>
      <c r="M1394" s="17">
        <f>IF(OR(Log[[#This Row],[Verb]]="done",Log[[#This Row],[Verb]]="punt",Log[[#This Row],[Verb]]="drop",Log[[#This Row],[Verb]]="pass"),Log[[#This Row],[Pts]],0)</f>
      </c>
    </row>
    <row r="1395">
      <c r="A1395" s="11">
        <v>46217</v>
      </c>
      <c r="B1395" t="s">
        <v>781</v>
      </c>
      <c r="C1395" t="s">
        <v>34</v>
      </c>
      <c r="D1395">
        <v>48</v>
      </c>
      <c r="F1395" s="17">
        <f>IF(Log[[#This Row],[ID]]="","",IF(ISNA(MATCH(Log[[#This Row],[ID]],Items[ID],0)),"unknown ID",IF(ISNA(MATCH(Log[[#This Row],[Verb]],VerbList,0)),"unknown verb",IF(Log[[#This Row],[Date]]="","no date",""))))</f>
      </c>
      <c r="G1395" s="17">
        <f>IF(Log[[#This Row],[ID]]="","",IFERROR(VLOOKUP(Log[[#This Row],[Verb]],Verbs,3,FALSE)&amp;"",""))</f>
      </c>
      <c r="H1395" s="17">
        <f>IF(Log[[#This Row],[Date]]="","",INT((Log[[#This Row],[Date]]-Sprint1)/SprintDays)+1)</f>
      </c>
      <c r="I1395" s="17">
        <f>IF(OR(Log[[#This Row],[Verb]]="commit",Log[[#This Row],[Verb]]="carry",Log[[#This Row],[Verb]]="redo"),IF(Log[[#This Row],[Arg]]="",Log[[#This Row],[Sprint]],N(Log[[#This Row],[Arg]])),"")</f>
      </c>
      <c r="J1395" s="17">
        <f>IF(Log[[#This Row],[Verb]]="block",1,IF(OR(Log[[#This Row],[Verb]]="unblock",Log[[#This Row],[Verb]]="done",Log[[#This Row],[Verb]]="drop",Log[[#This Row],[Verb]]="punt",Log[[#This Row],[Verb]]="pass"),0,""))</f>
      </c>
      <c r="K1395" s="17">
        <f>IF(Log[[#This Row],[ID]]="",0,IFERROR(INDEX(Items[Pts],MATCH(Log[[#This Row],[ID]],Items[ID],0))*1,0))</f>
      </c>
      <c r="L1395" s="17">
        <f>IF(Log[[#This Row],[ID]]="","",IFERROR(INDEX(Items[Cur team],MATCH(Log[[#This Row],[ID]],Items[ID],0))&amp;"",""))</f>
      </c>
      <c r="M1395" s="17">
        <f>IF(OR(Log[[#This Row],[Verb]]="done",Log[[#This Row],[Verb]]="punt",Log[[#This Row],[Verb]]="drop",Log[[#This Row],[Verb]]="pass"),Log[[#This Row],[Pts]],0)</f>
      </c>
    </row>
    <row r="1396">
      <c r="A1396" s="11">
        <v>46217</v>
      </c>
      <c r="B1396" t="s">
        <v>782</v>
      </c>
      <c r="C1396" t="s">
        <v>34</v>
      </c>
      <c r="D1396">
        <v>48</v>
      </c>
      <c r="F1396" s="17">
        <f>IF(Log[[#This Row],[ID]]="","",IF(ISNA(MATCH(Log[[#This Row],[ID]],Items[ID],0)),"unknown ID",IF(ISNA(MATCH(Log[[#This Row],[Verb]],VerbList,0)),"unknown verb",IF(Log[[#This Row],[Date]]="","no date",""))))</f>
      </c>
      <c r="G1396" s="17">
        <f>IF(Log[[#This Row],[ID]]="","",IFERROR(VLOOKUP(Log[[#This Row],[Verb]],Verbs,3,FALSE)&amp;"",""))</f>
      </c>
      <c r="H1396" s="17">
        <f>IF(Log[[#This Row],[Date]]="","",INT((Log[[#This Row],[Date]]-Sprint1)/SprintDays)+1)</f>
      </c>
      <c r="I1396" s="17">
        <f>IF(OR(Log[[#This Row],[Verb]]="commit",Log[[#This Row],[Verb]]="carry",Log[[#This Row],[Verb]]="redo"),IF(Log[[#This Row],[Arg]]="",Log[[#This Row],[Sprint]],N(Log[[#This Row],[Arg]])),"")</f>
      </c>
      <c r="J1396" s="17">
        <f>IF(Log[[#This Row],[Verb]]="block",1,IF(OR(Log[[#This Row],[Verb]]="unblock",Log[[#This Row],[Verb]]="done",Log[[#This Row],[Verb]]="drop",Log[[#This Row],[Verb]]="punt",Log[[#This Row],[Verb]]="pass"),0,""))</f>
      </c>
      <c r="K1396" s="17">
        <f>IF(Log[[#This Row],[ID]]="",0,IFERROR(INDEX(Items[Pts],MATCH(Log[[#This Row],[ID]],Items[ID],0))*1,0))</f>
      </c>
      <c r="L1396" s="17">
        <f>IF(Log[[#This Row],[ID]]="","",IFERROR(INDEX(Items[Cur team],MATCH(Log[[#This Row],[ID]],Items[ID],0))&amp;"",""))</f>
      </c>
      <c r="M1396" s="17">
        <f>IF(OR(Log[[#This Row],[Verb]]="done",Log[[#This Row],[Verb]]="punt",Log[[#This Row],[Verb]]="drop",Log[[#This Row],[Verb]]="pass"),Log[[#This Row],[Pts]],0)</f>
      </c>
    </row>
    <row r="1397">
      <c r="A1397" s="11">
        <v>46217</v>
      </c>
      <c r="B1397" t="s">
        <v>783</v>
      </c>
      <c r="C1397" t="s">
        <v>34</v>
      </c>
      <c r="D1397">
        <v>48</v>
      </c>
      <c r="F1397" s="17">
        <f>IF(Log[[#This Row],[ID]]="","",IF(ISNA(MATCH(Log[[#This Row],[ID]],Items[ID],0)),"unknown ID",IF(ISNA(MATCH(Log[[#This Row],[Verb]],VerbList,0)),"unknown verb",IF(Log[[#This Row],[Date]]="","no date",""))))</f>
      </c>
      <c r="G1397" s="17">
        <f>IF(Log[[#This Row],[ID]]="","",IFERROR(VLOOKUP(Log[[#This Row],[Verb]],Verbs,3,FALSE)&amp;"",""))</f>
      </c>
      <c r="H1397" s="17">
        <f>IF(Log[[#This Row],[Date]]="","",INT((Log[[#This Row],[Date]]-Sprint1)/SprintDays)+1)</f>
      </c>
      <c r="I1397" s="17">
        <f>IF(OR(Log[[#This Row],[Verb]]="commit",Log[[#This Row],[Verb]]="carry",Log[[#This Row],[Verb]]="redo"),IF(Log[[#This Row],[Arg]]="",Log[[#This Row],[Sprint]],N(Log[[#This Row],[Arg]])),"")</f>
      </c>
      <c r="J1397" s="17">
        <f>IF(Log[[#This Row],[Verb]]="block",1,IF(OR(Log[[#This Row],[Verb]]="unblock",Log[[#This Row],[Verb]]="done",Log[[#This Row],[Verb]]="drop",Log[[#This Row],[Verb]]="punt",Log[[#This Row],[Verb]]="pass"),0,""))</f>
      </c>
      <c r="K1397" s="17">
        <f>IF(Log[[#This Row],[ID]]="",0,IFERROR(INDEX(Items[Pts],MATCH(Log[[#This Row],[ID]],Items[ID],0))*1,0))</f>
      </c>
      <c r="L1397" s="17">
        <f>IF(Log[[#This Row],[ID]]="","",IFERROR(INDEX(Items[Cur team],MATCH(Log[[#This Row],[ID]],Items[ID],0))&amp;"",""))</f>
      </c>
      <c r="M1397" s="17">
        <f>IF(OR(Log[[#This Row],[Verb]]="done",Log[[#This Row],[Verb]]="punt",Log[[#This Row],[Verb]]="drop",Log[[#This Row],[Verb]]="pass"),Log[[#This Row],[Pts]],0)</f>
      </c>
    </row>
    <row r="1398">
      <c r="A1398" s="11">
        <v>46217</v>
      </c>
      <c r="B1398" t="s">
        <v>784</v>
      </c>
      <c r="C1398" t="s">
        <v>34</v>
      </c>
      <c r="D1398">
        <v>48</v>
      </c>
      <c r="F1398" s="17">
        <f>IF(Log[[#This Row],[ID]]="","",IF(ISNA(MATCH(Log[[#This Row],[ID]],Items[ID],0)),"unknown ID",IF(ISNA(MATCH(Log[[#This Row],[Verb]],VerbList,0)),"unknown verb",IF(Log[[#This Row],[Date]]="","no date",""))))</f>
      </c>
      <c r="G1398" s="17">
        <f>IF(Log[[#This Row],[ID]]="","",IFERROR(VLOOKUP(Log[[#This Row],[Verb]],Verbs,3,FALSE)&amp;"",""))</f>
      </c>
      <c r="H1398" s="17">
        <f>IF(Log[[#This Row],[Date]]="","",INT((Log[[#This Row],[Date]]-Sprint1)/SprintDays)+1)</f>
      </c>
      <c r="I1398" s="17">
        <f>IF(OR(Log[[#This Row],[Verb]]="commit",Log[[#This Row],[Verb]]="carry",Log[[#This Row],[Verb]]="redo"),IF(Log[[#This Row],[Arg]]="",Log[[#This Row],[Sprint]],N(Log[[#This Row],[Arg]])),"")</f>
      </c>
      <c r="J1398" s="17">
        <f>IF(Log[[#This Row],[Verb]]="block",1,IF(OR(Log[[#This Row],[Verb]]="unblock",Log[[#This Row],[Verb]]="done",Log[[#This Row],[Verb]]="drop",Log[[#This Row],[Verb]]="punt",Log[[#This Row],[Verb]]="pass"),0,""))</f>
      </c>
      <c r="K1398" s="17">
        <f>IF(Log[[#This Row],[ID]]="",0,IFERROR(INDEX(Items[Pts],MATCH(Log[[#This Row],[ID]],Items[ID],0))*1,0))</f>
      </c>
      <c r="L1398" s="17">
        <f>IF(Log[[#This Row],[ID]]="","",IFERROR(INDEX(Items[Cur team],MATCH(Log[[#This Row],[ID]],Items[ID],0))&amp;"",""))</f>
      </c>
      <c r="M1398" s="17">
        <f>IF(OR(Log[[#This Row],[Verb]]="done",Log[[#This Row],[Verb]]="punt",Log[[#This Row],[Verb]]="drop",Log[[#This Row],[Verb]]="pass"),Log[[#This Row],[Pts]],0)</f>
      </c>
    </row>
    <row r="1399">
      <c r="A1399" s="11">
        <v>46217</v>
      </c>
      <c r="B1399" t="s">
        <v>785</v>
      </c>
      <c r="C1399" t="s">
        <v>34</v>
      </c>
      <c r="D1399">
        <v>48</v>
      </c>
      <c r="F1399" s="17">
        <f>IF(Log[[#This Row],[ID]]="","",IF(ISNA(MATCH(Log[[#This Row],[ID]],Items[ID],0)),"unknown ID",IF(ISNA(MATCH(Log[[#This Row],[Verb]],VerbList,0)),"unknown verb",IF(Log[[#This Row],[Date]]="","no date",""))))</f>
      </c>
      <c r="G1399" s="17">
        <f>IF(Log[[#This Row],[ID]]="","",IFERROR(VLOOKUP(Log[[#This Row],[Verb]],Verbs,3,FALSE)&amp;"",""))</f>
      </c>
      <c r="H1399" s="17">
        <f>IF(Log[[#This Row],[Date]]="","",INT((Log[[#This Row],[Date]]-Sprint1)/SprintDays)+1)</f>
      </c>
      <c r="I1399" s="17">
        <f>IF(OR(Log[[#This Row],[Verb]]="commit",Log[[#This Row],[Verb]]="carry",Log[[#This Row],[Verb]]="redo"),IF(Log[[#This Row],[Arg]]="",Log[[#This Row],[Sprint]],N(Log[[#This Row],[Arg]])),"")</f>
      </c>
      <c r="J1399" s="17">
        <f>IF(Log[[#This Row],[Verb]]="block",1,IF(OR(Log[[#This Row],[Verb]]="unblock",Log[[#This Row],[Verb]]="done",Log[[#This Row],[Verb]]="drop",Log[[#This Row],[Verb]]="punt",Log[[#This Row],[Verb]]="pass"),0,""))</f>
      </c>
      <c r="K1399" s="17">
        <f>IF(Log[[#This Row],[ID]]="",0,IFERROR(INDEX(Items[Pts],MATCH(Log[[#This Row],[ID]],Items[ID],0))*1,0))</f>
      </c>
      <c r="L1399" s="17">
        <f>IF(Log[[#This Row],[ID]]="","",IFERROR(INDEX(Items[Cur team],MATCH(Log[[#This Row],[ID]],Items[ID],0))&amp;"",""))</f>
      </c>
      <c r="M1399" s="17">
        <f>IF(OR(Log[[#This Row],[Verb]]="done",Log[[#This Row],[Verb]]="punt",Log[[#This Row],[Verb]]="drop",Log[[#This Row],[Verb]]="pass"),Log[[#This Row],[Pts]],0)</f>
      </c>
    </row>
    <row r="1400">
      <c r="A1400" s="11">
        <v>46217</v>
      </c>
      <c r="B1400" t="s">
        <v>786</v>
      </c>
      <c r="C1400" t="s">
        <v>34</v>
      </c>
      <c r="D1400">
        <v>48</v>
      </c>
      <c r="F1400" s="17">
        <f>IF(Log[[#This Row],[ID]]="","",IF(ISNA(MATCH(Log[[#This Row],[ID]],Items[ID],0)),"unknown ID",IF(ISNA(MATCH(Log[[#This Row],[Verb]],VerbList,0)),"unknown verb",IF(Log[[#This Row],[Date]]="","no date",""))))</f>
      </c>
      <c r="G1400" s="17">
        <f>IF(Log[[#This Row],[ID]]="","",IFERROR(VLOOKUP(Log[[#This Row],[Verb]],Verbs,3,FALSE)&amp;"",""))</f>
      </c>
      <c r="H1400" s="17">
        <f>IF(Log[[#This Row],[Date]]="","",INT((Log[[#This Row],[Date]]-Sprint1)/SprintDays)+1)</f>
      </c>
      <c r="I1400" s="17">
        <f>IF(OR(Log[[#This Row],[Verb]]="commit",Log[[#This Row],[Verb]]="carry",Log[[#This Row],[Verb]]="redo"),IF(Log[[#This Row],[Arg]]="",Log[[#This Row],[Sprint]],N(Log[[#This Row],[Arg]])),"")</f>
      </c>
      <c r="J1400" s="17">
        <f>IF(Log[[#This Row],[Verb]]="block",1,IF(OR(Log[[#This Row],[Verb]]="unblock",Log[[#This Row],[Verb]]="done",Log[[#This Row],[Verb]]="drop",Log[[#This Row],[Verb]]="punt",Log[[#This Row],[Verb]]="pass"),0,""))</f>
      </c>
      <c r="K1400" s="17">
        <f>IF(Log[[#This Row],[ID]]="",0,IFERROR(INDEX(Items[Pts],MATCH(Log[[#This Row],[ID]],Items[ID],0))*1,0))</f>
      </c>
      <c r="L1400" s="17">
        <f>IF(Log[[#This Row],[ID]]="","",IFERROR(INDEX(Items[Cur team],MATCH(Log[[#This Row],[ID]],Items[ID],0))&amp;"",""))</f>
      </c>
      <c r="M1400" s="17">
        <f>IF(OR(Log[[#This Row],[Verb]]="done",Log[[#This Row],[Verb]]="punt",Log[[#This Row],[Verb]]="drop",Log[[#This Row],[Verb]]="pass"),Log[[#This Row],[Pts]],0)</f>
      </c>
    </row>
    <row r="1401">
      <c r="A1401" s="11">
        <v>46217</v>
      </c>
      <c r="B1401" t="s">
        <v>787</v>
      </c>
      <c r="C1401" t="s">
        <v>34</v>
      </c>
      <c r="D1401">
        <v>48</v>
      </c>
      <c r="F1401" s="17">
        <f>IF(Log[[#This Row],[ID]]="","",IF(ISNA(MATCH(Log[[#This Row],[ID]],Items[ID],0)),"unknown ID",IF(ISNA(MATCH(Log[[#This Row],[Verb]],VerbList,0)),"unknown verb",IF(Log[[#This Row],[Date]]="","no date",""))))</f>
      </c>
      <c r="G1401" s="17">
        <f>IF(Log[[#This Row],[ID]]="","",IFERROR(VLOOKUP(Log[[#This Row],[Verb]],Verbs,3,FALSE)&amp;"",""))</f>
      </c>
      <c r="H1401" s="17">
        <f>IF(Log[[#This Row],[Date]]="","",INT((Log[[#This Row],[Date]]-Sprint1)/SprintDays)+1)</f>
      </c>
      <c r="I1401" s="17">
        <f>IF(OR(Log[[#This Row],[Verb]]="commit",Log[[#This Row],[Verb]]="carry",Log[[#This Row],[Verb]]="redo"),IF(Log[[#This Row],[Arg]]="",Log[[#This Row],[Sprint]],N(Log[[#This Row],[Arg]])),"")</f>
      </c>
      <c r="J1401" s="17">
        <f>IF(Log[[#This Row],[Verb]]="block",1,IF(OR(Log[[#This Row],[Verb]]="unblock",Log[[#This Row],[Verb]]="done",Log[[#This Row],[Verb]]="drop",Log[[#This Row],[Verb]]="punt",Log[[#This Row],[Verb]]="pass"),0,""))</f>
      </c>
      <c r="K1401" s="17">
        <f>IF(Log[[#This Row],[ID]]="",0,IFERROR(INDEX(Items[Pts],MATCH(Log[[#This Row],[ID]],Items[ID],0))*1,0))</f>
      </c>
      <c r="L1401" s="17">
        <f>IF(Log[[#This Row],[ID]]="","",IFERROR(INDEX(Items[Cur team],MATCH(Log[[#This Row],[ID]],Items[ID],0))&amp;"",""))</f>
      </c>
      <c r="M1401" s="17">
        <f>IF(OR(Log[[#This Row],[Verb]]="done",Log[[#This Row],[Verb]]="punt",Log[[#This Row],[Verb]]="drop",Log[[#This Row],[Verb]]="pass"),Log[[#This Row],[Pts]],0)</f>
      </c>
    </row>
    <row r="1402">
      <c r="A1402" s="11">
        <v>46217</v>
      </c>
      <c r="B1402" t="s">
        <v>788</v>
      </c>
      <c r="C1402" t="s">
        <v>34</v>
      </c>
      <c r="D1402">
        <v>48</v>
      </c>
      <c r="F1402" s="17">
        <f>IF(Log[[#This Row],[ID]]="","",IF(ISNA(MATCH(Log[[#This Row],[ID]],Items[ID],0)),"unknown ID",IF(ISNA(MATCH(Log[[#This Row],[Verb]],VerbList,0)),"unknown verb",IF(Log[[#This Row],[Date]]="","no date",""))))</f>
      </c>
      <c r="G1402" s="17">
        <f>IF(Log[[#This Row],[ID]]="","",IFERROR(VLOOKUP(Log[[#This Row],[Verb]],Verbs,3,FALSE)&amp;"",""))</f>
      </c>
      <c r="H1402" s="17">
        <f>IF(Log[[#This Row],[Date]]="","",INT((Log[[#This Row],[Date]]-Sprint1)/SprintDays)+1)</f>
      </c>
      <c r="I1402" s="17">
        <f>IF(OR(Log[[#This Row],[Verb]]="commit",Log[[#This Row],[Verb]]="carry",Log[[#This Row],[Verb]]="redo"),IF(Log[[#This Row],[Arg]]="",Log[[#This Row],[Sprint]],N(Log[[#This Row],[Arg]])),"")</f>
      </c>
      <c r="J1402" s="17">
        <f>IF(Log[[#This Row],[Verb]]="block",1,IF(OR(Log[[#This Row],[Verb]]="unblock",Log[[#This Row],[Verb]]="done",Log[[#This Row],[Verb]]="drop",Log[[#This Row],[Verb]]="punt",Log[[#This Row],[Verb]]="pass"),0,""))</f>
      </c>
      <c r="K1402" s="17">
        <f>IF(Log[[#This Row],[ID]]="",0,IFERROR(INDEX(Items[Pts],MATCH(Log[[#This Row],[ID]],Items[ID],0))*1,0))</f>
      </c>
      <c r="L1402" s="17">
        <f>IF(Log[[#This Row],[ID]]="","",IFERROR(INDEX(Items[Cur team],MATCH(Log[[#This Row],[ID]],Items[ID],0))&amp;"",""))</f>
      </c>
      <c r="M1402" s="17">
        <f>IF(OR(Log[[#This Row],[Verb]]="done",Log[[#This Row],[Verb]]="punt",Log[[#This Row],[Verb]]="drop",Log[[#This Row],[Verb]]="pass"),Log[[#This Row],[Pts]],0)</f>
      </c>
    </row>
    <row r="1403">
      <c r="A1403" s="11">
        <v>46217</v>
      </c>
      <c r="B1403" t="s">
        <v>789</v>
      </c>
      <c r="C1403" t="s">
        <v>34</v>
      </c>
      <c r="D1403">
        <v>48</v>
      </c>
      <c r="F1403" s="17">
        <f>IF(Log[[#This Row],[ID]]="","",IF(ISNA(MATCH(Log[[#This Row],[ID]],Items[ID],0)),"unknown ID",IF(ISNA(MATCH(Log[[#This Row],[Verb]],VerbList,0)),"unknown verb",IF(Log[[#This Row],[Date]]="","no date",""))))</f>
      </c>
      <c r="G1403" s="17">
        <f>IF(Log[[#This Row],[ID]]="","",IFERROR(VLOOKUP(Log[[#This Row],[Verb]],Verbs,3,FALSE)&amp;"",""))</f>
      </c>
      <c r="H1403" s="17">
        <f>IF(Log[[#This Row],[Date]]="","",INT((Log[[#This Row],[Date]]-Sprint1)/SprintDays)+1)</f>
      </c>
      <c r="I1403" s="17">
        <f>IF(OR(Log[[#This Row],[Verb]]="commit",Log[[#This Row],[Verb]]="carry",Log[[#This Row],[Verb]]="redo"),IF(Log[[#This Row],[Arg]]="",Log[[#This Row],[Sprint]],N(Log[[#This Row],[Arg]])),"")</f>
      </c>
      <c r="J1403" s="17">
        <f>IF(Log[[#This Row],[Verb]]="block",1,IF(OR(Log[[#This Row],[Verb]]="unblock",Log[[#This Row],[Verb]]="done",Log[[#This Row],[Verb]]="drop",Log[[#This Row],[Verb]]="punt",Log[[#This Row],[Verb]]="pass"),0,""))</f>
      </c>
      <c r="K1403" s="17">
        <f>IF(Log[[#This Row],[ID]]="",0,IFERROR(INDEX(Items[Pts],MATCH(Log[[#This Row],[ID]],Items[ID],0))*1,0))</f>
      </c>
      <c r="L1403" s="17">
        <f>IF(Log[[#This Row],[ID]]="","",IFERROR(INDEX(Items[Cur team],MATCH(Log[[#This Row],[ID]],Items[ID],0))&amp;"",""))</f>
      </c>
      <c r="M1403" s="17">
        <f>IF(OR(Log[[#This Row],[Verb]]="done",Log[[#This Row],[Verb]]="punt",Log[[#This Row],[Verb]]="drop",Log[[#This Row],[Verb]]="pass"),Log[[#This Row],[Pts]],0)</f>
      </c>
    </row>
    <row r="1404">
      <c r="A1404" s="11">
        <v>46217</v>
      </c>
      <c r="B1404" t="s">
        <v>790</v>
      </c>
      <c r="C1404" t="s">
        <v>34</v>
      </c>
      <c r="D1404">
        <v>48</v>
      </c>
      <c r="F1404" s="17">
        <f>IF(Log[[#This Row],[ID]]="","",IF(ISNA(MATCH(Log[[#This Row],[ID]],Items[ID],0)),"unknown ID",IF(ISNA(MATCH(Log[[#This Row],[Verb]],VerbList,0)),"unknown verb",IF(Log[[#This Row],[Date]]="","no date",""))))</f>
      </c>
      <c r="G1404" s="17">
        <f>IF(Log[[#This Row],[ID]]="","",IFERROR(VLOOKUP(Log[[#This Row],[Verb]],Verbs,3,FALSE)&amp;"",""))</f>
      </c>
      <c r="H1404" s="17">
        <f>IF(Log[[#This Row],[Date]]="","",INT((Log[[#This Row],[Date]]-Sprint1)/SprintDays)+1)</f>
      </c>
      <c r="I1404" s="17">
        <f>IF(OR(Log[[#This Row],[Verb]]="commit",Log[[#This Row],[Verb]]="carry",Log[[#This Row],[Verb]]="redo"),IF(Log[[#This Row],[Arg]]="",Log[[#This Row],[Sprint]],N(Log[[#This Row],[Arg]])),"")</f>
      </c>
      <c r="J1404" s="17">
        <f>IF(Log[[#This Row],[Verb]]="block",1,IF(OR(Log[[#This Row],[Verb]]="unblock",Log[[#This Row],[Verb]]="done",Log[[#This Row],[Verb]]="drop",Log[[#This Row],[Verb]]="punt",Log[[#This Row],[Verb]]="pass"),0,""))</f>
      </c>
      <c r="K1404" s="17">
        <f>IF(Log[[#This Row],[ID]]="",0,IFERROR(INDEX(Items[Pts],MATCH(Log[[#This Row],[ID]],Items[ID],0))*1,0))</f>
      </c>
      <c r="L1404" s="17">
        <f>IF(Log[[#This Row],[ID]]="","",IFERROR(INDEX(Items[Cur team],MATCH(Log[[#This Row],[ID]],Items[ID],0))&amp;"",""))</f>
      </c>
      <c r="M1404" s="17">
        <f>IF(OR(Log[[#This Row],[Verb]]="done",Log[[#This Row],[Verb]]="punt",Log[[#This Row],[Verb]]="drop",Log[[#This Row],[Verb]]="pass"),Log[[#This Row],[Pts]],0)</f>
      </c>
    </row>
    <row r="1405">
      <c r="A1405" s="11">
        <v>46217</v>
      </c>
      <c r="B1405" t="s">
        <v>791</v>
      </c>
      <c r="C1405" t="s">
        <v>34</v>
      </c>
      <c r="D1405">
        <v>48</v>
      </c>
      <c r="F1405" s="17">
        <f>IF(Log[[#This Row],[ID]]="","",IF(ISNA(MATCH(Log[[#This Row],[ID]],Items[ID],0)),"unknown ID",IF(ISNA(MATCH(Log[[#This Row],[Verb]],VerbList,0)),"unknown verb",IF(Log[[#This Row],[Date]]="","no date",""))))</f>
      </c>
      <c r="G1405" s="17">
        <f>IF(Log[[#This Row],[ID]]="","",IFERROR(VLOOKUP(Log[[#This Row],[Verb]],Verbs,3,FALSE)&amp;"",""))</f>
      </c>
      <c r="H1405" s="17">
        <f>IF(Log[[#This Row],[Date]]="","",INT((Log[[#This Row],[Date]]-Sprint1)/SprintDays)+1)</f>
      </c>
      <c r="I1405" s="17">
        <f>IF(OR(Log[[#This Row],[Verb]]="commit",Log[[#This Row],[Verb]]="carry",Log[[#This Row],[Verb]]="redo"),IF(Log[[#This Row],[Arg]]="",Log[[#This Row],[Sprint]],N(Log[[#This Row],[Arg]])),"")</f>
      </c>
      <c r="J1405" s="17">
        <f>IF(Log[[#This Row],[Verb]]="block",1,IF(OR(Log[[#This Row],[Verb]]="unblock",Log[[#This Row],[Verb]]="done",Log[[#This Row],[Verb]]="drop",Log[[#This Row],[Verb]]="punt",Log[[#This Row],[Verb]]="pass"),0,""))</f>
      </c>
      <c r="K1405" s="17">
        <f>IF(Log[[#This Row],[ID]]="",0,IFERROR(INDEX(Items[Pts],MATCH(Log[[#This Row],[ID]],Items[ID],0))*1,0))</f>
      </c>
      <c r="L1405" s="17">
        <f>IF(Log[[#This Row],[ID]]="","",IFERROR(INDEX(Items[Cur team],MATCH(Log[[#This Row],[ID]],Items[ID],0))&amp;"",""))</f>
      </c>
      <c r="M1405" s="17">
        <f>IF(OR(Log[[#This Row],[Verb]]="done",Log[[#This Row],[Verb]]="punt",Log[[#This Row],[Verb]]="drop",Log[[#This Row],[Verb]]="pass"),Log[[#This Row],[Pts]],0)</f>
      </c>
    </row>
    <row r="1406">
      <c r="A1406" s="11">
        <v>46217</v>
      </c>
      <c r="B1406" t="s">
        <v>792</v>
      </c>
      <c r="C1406" t="s">
        <v>34</v>
      </c>
      <c r="D1406">
        <v>48</v>
      </c>
      <c r="F1406" s="17">
        <f>IF(Log[[#This Row],[ID]]="","",IF(ISNA(MATCH(Log[[#This Row],[ID]],Items[ID],0)),"unknown ID",IF(ISNA(MATCH(Log[[#This Row],[Verb]],VerbList,0)),"unknown verb",IF(Log[[#This Row],[Date]]="","no date",""))))</f>
      </c>
      <c r="G1406" s="17">
        <f>IF(Log[[#This Row],[ID]]="","",IFERROR(VLOOKUP(Log[[#This Row],[Verb]],Verbs,3,FALSE)&amp;"",""))</f>
      </c>
      <c r="H1406" s="17">
        <f>IF(Log[[#This Row],[Date]]="","",INT((Log[[#This Row],[Date]]-Sprint1)/SprintDays)+1)</f>
      </c>
      <c r="I1406" s="17">
        <f>IF(OR(Log[[#This Row],[Verb]]="commit",Log[[#This Row],[Verb]]="carry",Log[[#This Row],[Verb]]="redo"),IF(Log[[#This Row],[Arg]]="",Log[[#This Row],[Sprint]],N(Log[[#This Row],[Arg]])),"")</f>
      </c>
      <c r="J1406" s="17">
        <f>IF(Log[[#This Row],[Verb]]="block",1,IF(OR(Log[[#This Row],[Verb]]="unblock",Log[[#This Row],[Verb]]="done",Log[[#This Row],[Verb]]="drop",Log[[#This Row],[Verb]]="punt",Log[[#This Row],[Verb]]="pass"),0,""))</f>
      </c>
      <c r="K1406" s="17">
        <f>IF(Log[[#This Row],[ID]]="",0,IFERROR(INDEX(Items[Pts],MATCH(Log[[#This Row],[ID]],Items[ID],0))*1,0))</f>
      </c>
      <c r="L1406" s="17">
        <f>IF(Log[[#This Row],[ID]]="","",IFERROR(INDEX(Items[Cur team],MATCH(Log[[#This Row],[ID]],Items[ID],0))&amp;"",""))</f>
      </c>
      <c r="M1406" s="17">
        <f>IF(OR(Log[[#This Row],[Verb]]="done",Log[[#This Row],[Verb]]="punt",Log[[#This Row],[Verb]]="drop",Log[[#This Row],[Verb]]="pass"),Log[[#This Row],[Pts]],0)</f>
      </c>
    </row>
    <row r="1407">
      <c r="A1407" s="11">
        <v>46217</v>
      </c>
      <c r="B1407" t="s">
        <v>793</v>
      </c>
      <c r="C1407" t="s">
        <v>34</v>
      </c>
      <c r="D1407">
        <v>48</v>
      </c>
      <c r="F1407" s="17">
        <f>IF(Log[[#This Row],[ID]]="","",IF(ISNA(MATCH(Log[[#This Row],[ID]],Items[ID],0)),"unknown ID",IF(ISNA(MATCH(Log[[#This Row],[Verb]],VerbList,0)),"unknown verb",IF(Log[[#This Row],[Date]]="","no date",""))))</f>
      </c>
      <c r="G1407" s="17">
        <f>IF(Log[[#This Row],[ID]]="","",IFERROR(VLOOKUP(Log[[#This Row],[Verb]],Verbs,3,FALSE)&amp;"",""))</f>
      </c>
      <c r="H1407" s="17">
        <f>IF(Log[[#This Row],[Date]]="","",INT((Log[[#This Row],[Date]]-Sprint1)/SprintDays)+1)</f>
      </c>
      <c r="I1407" s="17">
        <f>IF(OR(Log[[#This Row],[Verb]]="commit",Log[[#This Row],[Verb]]="carry",Log[[#This Row],[Verb]]="redo"),IF(Log[[#This Row],[Arg]]="",Log[[#This Row],[Sprint]],N(Log[[#This Row],[Arg]])),"")</f>
      </c>
      <c r="J1407" s="17">
        <f>IF(Log[[#This Row],[Verb]]="block",1,IF(OR(Log[[#This Row],[Verb]]="unblock",Log[[#This Row],[Verb]]="done",Log[[#This Row],[Verb]]="drop",Log[[#This Row],[Verb]]="punt",Log[[#This Row],[Verb]]="pass"),0,""))</f>
      </c>
      <c r="K1407" s="17">
        <f>IF(Log[[#This Row],[ID]]="",0,IFERROR(INDEX(Items[Pts],MATCH(Log[[#This Row],[ID]],Items[ID],0))*1,0))</f>
      </c>
      <c r="L1407" s="17">
        <f>IF(Log[[#This Row],[ID]]="","",IFERROR(INDEX(Items[Cur team],MATCH(Log[[#This Row],[ID]],Items[ID],0))&amp;"",""))</f>
      </c>
      <c r="M1407" s="17">
        <f>IF(OR(Log[[#This Row],[Verb]]="done",Log[[#This Row],[Verb]]="punt",Log[[#This Row],[Verb]]="drop",Log[[#This Row],[Verb]]="pass"),Log[[#This Row],[Pts]],0)</f>
      </c>
    </row>
    <row r="1408">
      <c r="A1408" s="11">
        <v>46217</v>
      </c>
      <c r="B1408" t="s">
        <v>794</v>
      </c>
      <c r="C1408" t="s">
        <v>34</v>
      </c>
      <c r="D1408">
        <v>48</v>
      </c>
      <c r="F1408" s="17">
        <f>IF(Log[[#This Row],[ID]]="","",IF(ISNA(MATCH(Log[[#This Row],[ID]],Items[ID],0)),"unknown ID",IF(ISNA(MATCH(Log[[#This Row],[Verb]],VerbList,0)),"unknown verb",IF(Log[[#This Row],[Date]]="","no date",""))))</f>
      </c>
      <c r="G1408" s="17">
        <f>IF(Log[[#This Row],[ID]]="","",IFERROR(VLOOKUP(Log[[#This Row],[Verb]],Verbs,3,FALSE)&amp;"",""))</f>
      </c>
      <c r="H1408" s="17">
        <f>IF(Log[[#This Row],[Date]]="","",INT((Log[[#This Row],[Date]]-Sprint1)/SprintDays)+1)</f>
      </c>
      <c r="I1408" s="17">
        <f>IF(OR(Log[[#This Row],[Verb]]="commit",Log[[#This Row],[Verb]]="carry",Log[[#This Row],[Verb]]="redo"),IF(Log[[#This Row],[Arg]]="",Log[[#This Row],[Sprint]],N(Log[[#This Row],[Arg]])),"")</f>
      </c>
      <c r="J1408" s="17">
        <f>IF(Log[[#This Row],[Verb]]="block",1,IF(OR(Log[[#This Row],[Verb]]="unblock",Log[[#This Row],[Verb]]="done",Log[[#This Row],[Verb]]="drop",Log[[#This Row],[Verb]]="punt",Log[[#This Row],[Verb]]="pass"),0,""))</f>
      </c>
      <c r="K1408" s="17">
        <f>IF(Log[[#This Row],[ID]]="",0,IFERROR(INDEX(Items[Pts],MATCH(Log[[#This Row],[ID]],Items[ID],0))*1,0))</f>
      </c>
      <c r="L1408" s="17">
        <f>IF(Log[[#This Row],[ID]]="","",IFERROR(INDEX(Items[Cur team],MATCH(Log[[#This Row],[ID]],Items[ID],0))&amp;"",""))</f>
      </c>
      <c r="M1408" s="17">
        <f>IF(OR(Log[[#This Row],[Verb]]="done",Log[[#This Row],[Verb]]="punt",Log[[#This Row],[Verb]]="drop",Log[[#This Row],[Verb]]="pass"),Log[[#This Row],[Pts]],0)</f>
      </c>
    </row>
    <row r="1409">
      <c r="A1409" s="11">
        <v>46217</v>
      </c>
      <c r="B1409" t="s">
        <v>795</v>
      </c>
      <c r="C1409" t="s">
        <v>34</v>
      </c>
      <c r="D1409">
        <v>48</v>
      </c>
      <c r="F1409" s="17">
        <f>IF(Log[[#This Row],[ID]]="","",IF(ISNA(MATCH(Log[[#This Row],[ID]],Items[ID],0)),"unknown ID",IF(ISNA(MATCH(Log[[#This Row],[Verb]],VerbList,0)),"unknown verb",IF(Log[[#This Row],[Date]]="","no date",""))))</f>
      </c>
      <c r="G1409" s="17">
        <f>IF(Log[[#This Row],[ID]]="","",IFERROR(VLOOKUP(Log[[#This Row],[Verb]],Verbs,3,FALSE)&amp;"",""))</f>
      </c>
      <c r="H1409" s="17">
        <f>IF(Log[[#This Row],[Date]]="","",INT((Log[[#This Row],[Date]]-Sprint1)/SprintDays)+1)</f>
      </c>
      <c r="I1409" s="17">
        <f>IF(OR(Log[[#This Row],[Verb]]="commit",Log[[#This Row],[Verb]]="carry",Log[[#This Row],[Verb]]="redo"),IF(Log[[#This Row],[Arg]]="",Log[[#This Row],[Sprint]],N(Log[[#This Row],[Arg]])),"")</f>
      </c>
      <c r="J1409" s="17">
        <f>IF(Log[[#This Row],[Verb]]="block",1,IF(OR(Log[[#This Row],[Verb]]="unblock",Log[[#This Row],[Verb]]="done",Log[[#This Row],[Verb]]="drop",Log[[#This Row],[Verb]]="punt",Log[[#This Row],[Verb]]="pass"),0,""))</f>
      </c>
      <c r="K1409" s="17">
        <f>IF(Log[[#This Row],[ID]]="",0,IFERROR(INDEX(Items[Pts],MATCH(Log[[#This Row],[ID]],Items[ID],0))*1,0))</f>
      </c>
      <c r="L1409" s="17">
        <f>IF(Log[[#This Row],[ID]]="","",IFERROR(INDEX(Items[Cur team],MATCH(Log[[#This Row],[ID]],Items[ID],0))&amp;"",""))</f>
      </c>
      <c r="M1409" s="17">
        <f>IF(OR(Log[[#This Row],[Verb]]="done",Log[[#This Row],[Verb]]="punt",Log[[#This Row],[Verb]]="drop",Log[[#This Row],[Verb]]="pass"),Log[[#This Row],[Pts]],0)</f>
      </c>
    </row>
    <row r="1410">
      <c r="A1410" s="11">
        <v>46217</v>
      </c>
      <c r="B1410" t="s">
        <v>796</v>
      </c>
      <c r="C1410" t="s">
        <v>34</v>
      </c>
      <c r="D1410">
        <v>48</v>
      </c>
      <c r="F1410" s="17">
        <f>IF(Log[[#This Row],[ID]]="","",IF(ISNA(MATCH(Log[[#This Row],[ID]],Items[ID],0)),"unknown ID",IF(ISNA(MATCH(Log[[#This Row],[Verb]],VerbList,0)),"unknown verb",IF(Log[[#This Row],[Date]]="","no date",""))))</f>
      </c>
      <c r="G1410" s="17">
        <f>IF(Log[[#This Row],[ID]]="","",IFERROR(VLOOKUP(Log[[#This Row],[Verb]],Verbs,3,FALSE)&amp;"",""))</f>
      </c>
      <c r="H1410" s="17">
        <f>IF(Log[[#This Row],[Date]]="","",INT((Log[[#This Row],[Date]]-Sprint1)/SprintDays)+1)</f>
      </c>
      <c r="I1410" s="17">
        <f>IF(OR(Log[[#This Row],[Verb]]="commit",Log[[#This Row],[Verb]]="carry",Log[[#This Row],[Verb]]="redo"),IF(Log[[#This Row],[Arg]]="",Log[[#This Row],[Sprint]],N(Log[[#This Row],[Arg]])),"")</f>
      </c>
      <c r="J1410" s="17">
        <f>IF(Log[[#This Row],[Verb]]="block",1,IF(OR(Log[[#This Row],[Verb]]="unblock",Log[[#This Row],[Verb]]="done",Log[[#This Row],[Verb]]="drop",Log[[#This Row],[Verb]]="punt",Log[[#This Row],[Verb]]="pass"),0,""))</f>
      </c>
      <c r="K1410" s="17">
        <f>IF(Log[[#This Row],[ID]]="",0,IFERROR(INDEX(Items[Pts],MATCH(Log[[#This Row],[ID]],Items[ID],0))*1,0))</f>
      </c>
      <c r="L1410" s="17">
        <f>IF(Log[[#This Row],[ID]]="","",IFERROR(INDEX(Items[Cur team],MATCH(Log[[#This Row],[ID]],Items[ID],0))&amp;"",""))</f>
      </c>
      <c r="M1410" s="17">
        <f>IF(OR(Log[[#This Row],[Verb]]="done",Log[[#This Row],[Verb]]="punt",Log[[#This Row],[Verb]]="drop",Log[[#This Row],[Verb]]="pass"),Log[[#This Row],[Pts]],0)</f>
      </c>
    </row>
    <row r="1411">
      <c r="A1411" s="11">
        <v>46217</v>
      </c>
      <c r="B1411" t="s">
        <v>797</v>
      </c>
      <c r="C1411" t="s">
        <v>34</v>
      </c>
      <c r="D1411">
        <v>48</v>
      </c>
      <c r="F1411" s="17">
        <f>IF(Log[[#This Row],[ID]]="","",IF(ISNA(MATCH(Log[[#This Row],[ID]],Items[ID],0)),"unknown ID",IF(ISNA(MATCH(Log[[#This Row],[Verb]],VerbList,0)),"unknown verb",IF(Log[[#This Row],[Date]]="","no date",""))))</f>
      </c>
      <c r="G1411" s="17">
        <f>IF(Log[[#This Row],[ID]]="","",IFERROR(VLOOKUP(Log[[#This Row],[Verb]],Verbs,3,FALSE)&amp;"",""))</f>
      </c>
      <c r="H1411" s="17">
        <f>IF(Log[[#This Row],[Date]]="","",INT((Log[[#This Row],[Date]]-Sprint1)/SprintDays)+1)</f>
      </c>
      <c r="I1411" s="17">
        <f>IF(OR(Log[[#This Row],[Verb]]="commit",Log[[#This Row],[Verb]]="carry",Log[[#This Row],[Verb]]="redo"),IF(Log[[#This Row],[Arg]]="",Log[[#This Row],[Sprint]],N(Log[[#This Row],[Arg]])),"")</f>
      </c>
      <c r="J1411" s="17">
        <f>IF(Log[[#This Row],[Verb]]="block",1,IF(OR(Log[[#This Row],[Verb]]="unblock",Log[[#This Row],[Verb]]="done",Log[[#This Row],[Verb]]="drop",Log[[#This Row],[Verb]]="punt",Log[[#This Row],[Verb]]="pass"),0,""))</f>
      </c>
      <c r="K1411" s="17">
        <f>IF(Log[[#This Row],[ID]]="",0,IFERROR(INDEX(Items[Pts],MATCH(Log[[#This Row],[ID]],Items[ID],0))*1,0))</f>
      </c>
      <c r="L1411" s="17">
        <f>IF(Log[[#This Row],[ID]]="","",IFERROR(INDEX(Items[Cur team],MATCH(Log[[#This Row],[ID]],Items[ID],0))&amp;"",""))</f>
      </c>
      <c r="M1411" s="17">
        <f>IF(OR(Log[[#This Row],[Verb]]="done",Log[[#This Row],[Verb]]="punt",Log[[#This Row],[Verb]]="drop",Log[[#This Row],[Verb]]="pass"),Log[[#This Row],[Pts]],0)</f>
      </c>
    </row>
    <row r="1412">
      <c r="A1412" s="11">
        <v>46217</v>
      </c>
      <c r="B1412" t="s">
        <v>798</v>
      </c>
      <c r="C1412" t="s">
        <v>34</v>
      </c>
      <c r="D1412">
        <v>48</v>
      </c>
      <c r="F1412" s="17">
        <f>IF(Log[[#This Row],[ID]]="","",IF(ISNA(MATCH(Log[[#This Row],[ID]],Items[ID],0)),"unknown ID",IF(ISNA(MATCH(Log[[#This Row],[Verb]],VerbList,0)),"unknown verb",IF(Log[[#This Row],[Date]]="","no date",""))))</f>
      </c>
      <c r="G1412" s="17">
        <f>IF(Log[[#This Row],[ID]]="","",IFERROR(VLOOKUP(Log[[#This Row],[Verb]],Verbs,3,FALSE)&amp;"",""))</f>
      </c>
      <c r="H1412" s="17">
        <f>IF(Log[[#This Row],[Date]]="","",INT((Log[[#This Row],[Date]]-Sprint1)/SprintDays)+1)</f>
      </c>
      <c r="I1412" s="17">
        <f>IF(OR(Log[[#This Row],[Verb]]="commit",Log[[#This Row],[Verb]]="carry",Log[[#This Row],[Verb]]="redo"),IF(Log[[#This Row],[Arg]]="",Log[[#This Row],[Sprint]],N(Log[[#This Row],[Arg]])),"")</f>
      </c>
      <c r="J1412" s="17">
        <f>IF(Log[[#This Row],[Verb]]="block",1,IF(OR(Log[[#This Row],[Verb]]="unblock",Log[[#This Row],[Verb]]="done",Log[[#This Row],[Verb]]="drop",Log[[#This Row],[Verb]]="punt",Log[[#This Row],[Verb]]="pass"),0,""))</f>
      </c>
      <c r="K1412" s="17">
        <f>IF(Log[[#This Row],[ID]]="",0,IFERROR(INDEX(Items[Pts],MATCH(Log[[#This Row],[ID]],Items[ID],0))*1,0))</f>
      </c>
      <c r="L1412" s="17">
        <f>IF(Log[[#This Row],[ID]]="","",IFERROR(INDEX(Items[Cur team],MATCH(Log[[#This Row],[ID]],Items[ID],0))&amp;"",""))</f>
      </c>
      <c r="M1412" s="17">
        <f>IF(OR(Log[[#This Row],[Verb]]="done",Log[[#This Row],[Verb]]="punt",Log[[#This Row],[Verb]]="drop",Log[[#This Row],[Verb]]="pass"),Log[[#This Row],[Pts]],0)</f>
      </c>
    </row>
    <row r="1413">
      <c r="A1413" s="11">
        <v>46217</v>
      </c>
      <c r="B1413" t="s">
        <v>799</v>
      </c>
      <c r="C1413" t="s">
        <v>34</v>
      </c>
      <c r="D1413">
        <v>48</v>
      </c>
      <c r="F1413" s="17">
        <f>IF(Log[[#This Row],[ID]]="","",IF(ISNA(MATCH(Log[[#This Row],[ID]],Items[ID],0)),"unknown ID",IF(ISNA(MATCH(Log[[#This Row],[Verb]],VerbList,0)),"unknown verb",IF(Log[[#This Row],[Date]]="","no date",""))))</f>
      </c>
      <c r="G1413" s="17">
        <f>IF(Log[[#This Row],[ID]]="","",IFERROR(VLOOKUP(Log[[#This Row],[Verb]],Verbs,3,FALSE)&amp;"",""))</f>
      </c>
      <c r="H1413" s="17">
        <f>IF(Log[[#This Row],[Date]]="","",INT((Log[[#This Row],[Date]]-Sprint1)/SprintDays)+1)</f>
      </c>
      <c r="I1413" s="17">
        <f>IF(OR(Log[[#This Row],[Verb]]="commit",Log[[#This Row],[Verb]]="carry",Log[[#This Row],[Verb]]="redo"),IF(Log[[#This Row],[Arg]]="",Log[[#This Row],[Sprint]],N(Log[[#This Row],[Arg]])),"")</f>
      </c>
      <c r="J1413" s="17">
        <f>IF(Log[[#This Row],[Verb]]="block",1,IF(OR(Log[[#This Row],[Verb]]="unblock",Log[[#This Row],[Verb]]="done",Log[[#This Row],[Verb]]="drop",Log[[#This Row],[Verb]]="punt",Log[[#This Row],[Verb]]="pass"),0,""))</f>
      </c>
      <c r="K1413" s="17">
        <f>IF(Log[[#This Row],[ID]]="",0,IFERROR(INDEX(Items[Pts],MATCH(Log[[#This Row],[ID]],Items[ID],0))*1,0))</f>
      </c>
      <c r="L1413" s="17">
        <f>IF(Log[[#This Row],[ID]]="","",IFERROR(INDEX(Items[Cur team],MATCH(Log[[#This Row],[ID]],Items[ID],0))&amp;"",""))</f>
      </c>
      <c r="M1413" s="17">
        <f>IF(OR(Log[[#This Row],[Verb]]="done",Log[[#This Row],[Verb]]="punt",Log[[#This Row],[Verb]]="drop",Log[[#This Row],[Verb]]="pass"),Log[[#This Row],[Pts]],0)</f>
      </c>
    </row>
    <row r="1414">
      <c r="A1414" s="11">
        <v>46217</v>
      </c>
      <c r="B1414" t="s">
        <v>800</v>
      </c>
      <c r="C1414" t="s">
        <v>34</v>
      </c>
      <c r="D1414">
        <v>48</v>
      </c>
      <c r="F1414" s="17">
        <f>IF(Log[[#This Row],[ID]]="","",IF(ISNA(MATCH(Log[[#This Row],[ID]],Items[ID],0)),"unknown ID",IF(ISNA(MATCH(Log[[#This Row],[Verb]],VerbList,0)),"unknown verb",IF(Log[[#This Row],[Date]]="","no date",""))))</f>
      </c>
      <c r="G1414" s="17">
        <f>IF(Log[[#This Row],[ID]]="","",IFERROR(VLOOKUP(Log[[#This Row],[Verb]],Verbs,3,FALSE)&amp;"",""))</f>
      </c>
      <c r="H1414" s="17">
        <f>IF(Log[[#This Row],[Date]]="","",INT((Log[[#This Row],[Date]]-Sprint1)/SprintDays)+1)</f>
      </c>
      <c r="I1414" s="17">
        <f>IF(OR(Log[[#This Row],[Verb]]="commit",Log[[#This Row],[Verb]]="carry",Log[[#This Row],[Verb]]="redo"),IF(Log[[#This Row],[Arg]]="",Log[[#This Row],[Sprint]],N(Log[[#This Row],[Arg]])),"")</f>
      </c>
      <c r="J1414" s="17">
        <f>IF(Log[[#This Row],[Verb]]="block",1,IF(OR(Log[[#This Row],[Verb]]="unblock",Log[[#This Row],[Verb]]="done",Log[[#This Row],[Verb]]="drop",Log[[#This Row],[Verb]]="punt",Log[[#This Row],[Verb]]="pass"),0,""))</f>
      </c>
      <c r="K1414" s="17">
        <f>IF(Log[[#This Row],[ID]]="",0,IFERROR(INDEX(Items[Pts],MATCH(Log[[#This Row],[ID]],Items[ID],0))*1,0))</f>
      </c>
      <c r="L1414" s="17">
        <f>IF(Log[[#This Row],[ID]]="","",IFERROR(INDEX(Items[Cur team],MATCH(Log[[#This Row],[ID]],Items[ID],0))&amp;"",""))</f>
      </c>
      <c r="M1414" s="17">
        <f>IF(OR(Log[[#This Row],[Verb]]="done",Log[[#This Row],[Verb]]="punt",Log[[#This Row],[Verb]]="drop",Log[[#This Row],[Verb]]="pass"),Log[[#This Row],[Pts]],0)</f>
      </c>
    </row>
    <row r="1415">
      <c r="A1415" s="11">
        <v>46217</v>
      </c>
      <c r="B1415" t="s">
        <v>801</v>
      </c>
      <c r="C1415" t="s">
        <v>34</v>
      </c>
      <c r="D1415">
        <v>48</v>
      </c>
      <c r="F1415" s="17">
        <f>IF(Log[[#This Row],[ID]]="","",IF(ISNA(MATCH(Log[[#This Row],[ID]],Items[ID],0)),"unknown ID",IF(ISNA(MATCH(Log[[#This Row],[Verb]],VerbList,0)),"unknown verb",IF(Log[[#This Row],[Date]]="","no date",""))))</f>
      </c>
      <c r="G1415" s="17">
        <f>IF(Log[[#This Row],[ID]]="","",IFERROR(VLOOKUP(Log[[#This Row],[Verb]],Verbs,3,FALSE)&amp;"",""))</f>
      </c>
      <c r="H1415" s="17">
        <f>IF(Log[[#This Row],[Date]]="","",INT((Log[[#This Row],[Date]]-Sprint1)/SprintDays)+1)</f>
      </c>
      <c r="I1415" s="17">
        <f>IF(OR(Log[[#This Row],[Verb]]="commit",Log[[#This Row],[Verb]]="carry",Log[[#This Row],[Verb]]="redo"),IF(Log[[#This Row],[Arg]]="",Log[[#This Row],[Sprint]],N(Log[[#This Row],[Arg]])),"")</f>
      </c>
      <c r="J1415" s="17">
        <f>IF(Log[[#This Row],[Verb]]="block",1,IF(OR(Log[[#This Row],[Verb]]="unblock",Log[[#This Row],[Verb]]="done",Log[[#This Row],[Verb]]="drop",Log[[#This Row],[Verb]]="punt",Log[[#This Row],[Verb]]="pass"),0,""))</f>
      </c>
      <c r="K1415" s="17">
        <f>IF(Log[[#This Row],[ID]]="",0,IFERROR(INDEX(Items[Pts],MATCH(Log[[#This Row],[ID]],Items[ID],0))*1,0))</f>
      </c>
      <c r="L1415" s="17">
        <f>IF(Log[[#This Row],[ID]]="","",IFERROR(INDEX(Items[Cur team],MATCH(Log[[#This Row],[ID]],Items[ID],0))&amp;"",""))</f>
      </c>
      <c r="M1415" s="17">
        <f>IF(OR(Log[[#This Row],[Verb]]="done",Log[[#This Row],[Verb]]="punt",Log[[#This Row],[Verb]]="drop",Log[[#This Row],[Verb]]="pass"),Log[[#This Row],[Pts]],0)</f>
      </c>
    </row>
    <row r="1416">
      <c r="A1416" s="11">
        <v>46217</v>
      </c>
      <c r="B1416" t="s">
        <v>802</v>
      </c>
      <c r="C1416" t="s">
        <v>34</v>
      </c>
      <c r="D1416">
        <v>48</v>
      </c>
      <c r="F1416" s="17">
        <f>IF(Log[[#This Row],[ID]]="","",IF(ISNA(MATCH(Log[[#This Row],[ID]],Items[ID],0)),"unknown ID",IF(ISNA(MATCH(Log[[#This Row],[Verb]],VerbList,0)),"unknown verb",IF(Log[[#This Row],[Date]]="","no date",""))))</f>
      </c>
      <c r="G1416" s="17">
        <f>IF(Log[[#This Row],[ID]]="","",IFERROR(VLOOKUP(Log[[#This Row],[Verb]],Verbs,3,FALSE)&amp;"",""))</f>
      </c>
      <c r="H1416" s="17">
        <f>IF(Log[[#This Row],[Date]]="","",INT((Log[[#This Row],[Date]]-Sprint1)/SprintDays)+1)</f>
      </c>
      <c r="I1416" s="17">
        <f>IF(OR(Log[[#This Row],[Verb]]="commit",Log[[#This Row],[Verb]]="carry",Log[[#This Row],[Verb]]="redo"),IF(Log[[#This Row],[Arg]]="",Log[[#This Row],[Sprint]],N(Log[[#This Row],[Arg]])),"")</f>
      </c>
      <c r="J1416" s="17">
        <f>IF(Log[[#This Row],[Verb]]="block",1,IF(OR(Log[[#This Row],[Verb]]="unblock",Log[[#This Row],[Verb]]="done",Log[[#This Row],[Verb]]="drop",Log[[#This Row],[Verb]]="punt",Log[[#This Row],[Verb]]="pass"),0,""))</f>
      </c>
      <c r="K1416" s="17">
        <f>IF(Log[[#This Row],[ID]]="",0,IFERROR(INDEX(Items[Pts],MATCH(Log[[#This Row],[ID]],Items[ID],0))*1,0))</f>
      </c>
      <c r="L1416" s="17">
        <f>IF(Log[[#This Row],[ID]]="","",IFERROR(INDEX(Items[Cur team],MATCH(Log[[#This Row],[ID]],Items[ID],0))&amp;"",""))</f>
      </c>
      <c r="M1416" s="17">
        <f>IF(OR(Log[[#This Row],[Verb]]="done",Log[[#This Row],[Verb]]="punt",Log[[#This Row],[Verb]]="drop",Log[[#This Row],[Verb]]="pass"),Log[[#This Row],[Pts]],0)</f>
      </c>
    </row>
    <row r="1417">
      <c r="A1417" s="11">
        <v>46217</v>
      </c>
      <c r="B1417" t="s">
        <v>803</v>
      </c>
      <c r="C1417" t="s">
        <v>34</v>
      </c>
      <c r="D1417">
        <v>48</v>
      </c>
      <c r="F1417" s="17">
        <f>IF(Log[[#This Row],[ID]]="","",IF(ISNA(MATCH(Log[[#This Row],[ID]],Items[ID],0)),"unknown ID",IF(ISNA(MATCH(Log[[#This Row],[Verb]],VerbList,0)),"unknown verb",IF(Log[[#This Row],[Date]]="","no date",""))))</f>
      </c>
      <c r="G1417" s="17">
        <f>IF(Log[[#This Row],[ID]]="","",IFERROR(VLOOKUP(Log[[#This Row],[Verb]],Verbs,3,FALSE)&amp;"",""))</f>
      </c>
      <c r="H1417" s="17">
        <f>IF(Log[[#This Row],[Date]]="","",INT((Log[[#This Row],[Date]]-Sprint1)/SprintDays)+1)</f>
      </c>
      <c r="I1417" s="17">
        <f>IF(OR(Log[[#This Row],[Verb]]="commit",Log[[#This Row],[Verb]]="carry",Log[[#This Row],[Verb]]="redo"),IF(Log[[#This Row],[Arg]]="",Log[[#This Row],[Sprint]],N(Log[[#This Row],[Arg]])),"")</f>
      </c>
      <c r="J1417" s="17">
        <f>IF(Log[[#This Row],[Verb]]="block",1,IF(OR(Log[[#This Row],[Verb]]="unblock",Log[[#This Row],[Verb]]="done",Log[[#This Row],[Verb]]="drop",Log[[#This Row],[Verb]]="punt",Log[[#This Row],[Verb]]="pass"),0,""))</f>
      </c>
      <c r="K1417" s="17">
        <f>IF(Log[[#This Row],[ID]]="",0,IFERROR(INDEX(Items[Pts],MATCH(Log[[#This Row],[ID]],Items[ID],0))*1,0))</f>
      </c>
      <c r="L1417" s="17">
        <f>IF(Log[[#This Row],[ID]]="","",IFERROR(INDEX(Items[Cur team],MATCH(Log[[#This Row],[ID]],Items[ID],0))&amp;"",""))</f>
      </c>
      <c r="M1417" s="17">
        <f>IF(OR(Log[[#This Row],[Verb]]="done",Log[[#This Row],[Verb]]="punt",Log[[#This Row],[Verb]]="drop",Log[[#This Row],[Verb]]="pass"),Log[[#This Row],[Pts]],0)</f>
      </c>
    </row>
    <row r="1418">
      <c r="A1418" s="11">
        <v>46217</v>
      </c>
      <c r="B1418" t="s">
        <v>804</v>
      </c>
      <c r="C1418" t="s">
        <v>34</v>
      </c>
      <c r="D1418">
        <v>48</v>
      </c>
      <c r="F1418" s="17">
        <f>IF(Log[[#This Row],[ID]]="","",IF(ISNA(MATCH(Log[[#This Row],[ID]],Items[ID],0)),"unknown ID",IF(ISNA(MATCH(Log[[#This Row],[Verb]],VerbList,0)),"unknown verb",IF(Log[[#This Row],[Date]]="","no date",""))))</f>
      </c>
      <c r="G1418" s="17">
        <f>IF(Log[[#This Row],[ID]]="","",IFERROR(VLOOKUP(Log[[#This Row],[Verb]],Verbs,3,FALSE)&amp;"",""))</f>
      </c>
      <c r="H1418" s="17">
        <f>IF(Log[[#This Row],[Date]]="","",INT((Log[[#This Row],[Date]]-Sprint1)/SprintDays)+1)</f>
      </c>
      <c r="I1418" s="17">
        <f>IF(OR(Log[[#This Row],[Verb]]="commit",Log[[#This Row],[Verb]]="carry",Log[[#This Row],[Verb]]="redo"),IF(Log[[#This Row],[Arg]]="",Log[[#This Row],[Sprint]],N(Log[[#This Row],[Arg]])),"")</f>
      </c>
      <c r="J1418" s="17">
        <f>IF(Log[[#This Row],[Verb]]="block",1,IF(OR(Log[[#This Row],[Verb]]="unblock",Log[[#This Row],[Verb]]="done",Log[[#This Row],[Verb]]="drop",Log[[#This Row],[Verb]]="punt",Log[[#This Row],[Verb]]="pass"),0,""))</f>
      </c>
      <c r="K1418" s="17">
        <f>IF(Log[[#This Row],[ID]]="",0,IFERROR(INDEX(Items[Pts],MATCH(Log[[#This Row],[ID]],Items[ID],0))*1,0))</f>
      </c>
      <c r="L1418" s="17">
        <f>IF(Log[[#This Row],[ID]]="","",IFERROR(INDEX(Items[Cur team],MATCH(Log[[#This Row],[ID]],Items[ID],0))&amp;"",""))</f>
      </c>
      <c r="M1418" s="17">
        <f>IF(OR(Log[[#This Row],[Verb]]="done",Log[[#This Row],[Verb]]="punt",Log[[#This Row],[Verb]]="drop",Log[[#This Row],[Verb]]="pass"),Log[[#This Row],[Pts]],0)</f>
      </c>
    </row>
    <row r="1419">
      <c r="A1419" s="11">
        <v>46217</v>
      </c>
      <c r="B1419" t="s">
        <v>805</v>
      </c>
      <c r="C1419" t="s">
        <v>34</v>
      </c>
      <c r="D1419">
        <v>48</v>
      </c>
      <c r="F1419" s="17">
        <f>IF(Log[[#This Row],[ID]]="","",IF(ISNA(MATCH(Log[[#This Row],[ID]],Items[ID],0)),"unknown ID",IF(ISNA(MATCH(Log[[#This Row],[Verb]],VerbList,0)),"unknown verb",IF(Log[[#This Row],[Date]]="","no date",""))))</f>
      </c>
      <c r="G1419" s="17">
        <f>IF(Log[[#This Row],[ID]]="","",IFERROR(VLOOKUP(Log[[#This Row],[Verb]],Verbs,3,FALSE)&amp;"",""))</f>
      </c>
      <c r="H1419" s="17">
        <f>IF(Log[[#This Row],[Date]]="","",INT((Log[[#This Row],[Date]]-Sprint1)/SprintDays)+1)</f>
      </c>
      <c r="I1419" s="17">
        <f>IF(OR(Log[[#This Row],[Verb]]="commit",Log[[#This Row],[Verb]]="carry",Log[[#This Row],[Verb]]="redo"),IF(Log[[#This Row],[Arg]]="",Log[[#This Row],[Sprint]],N(Log[[#This Row],[Arg]])),"")</f>
      </c>
      <c r="J1419" s="17">
        <f>IF(Log[[#This Row],[Verb]]="block",1,IF(OR(Log[[#This Row],[Verb]]="unblock",Log[[#This Row],[Verb]]="done",Log[[#This Row],[Verb]]="drop",Log[[#This Row],[Verb]]="punt",Log[[#This Row],[Verb]]="pass"),0,""))</f>
      </c>
      <c r="K1419" s="17">
        <f>IF(Log[[#This Row],[ID]]="",0,IFERROR(INDEX(Items[Pts],MATCH(Log[[#This Row],[ID]],Items[ID],0))*1,0))</f>
      </c>
      <c r="L1419" s="17">
        <f>IF(Log[[#This Row],[ID]]="","",IFERROR(INDEX(Items[Cur team],MATCH(Log[[#This Row],[ID]],Items[ID],0))&amp;"",""))</f>
      </c>
      <c r="M1419" s="17">
        <f>IF(OR(Log[[#This Row],[Verb]]="done",Log[[#This Row],[Verb]]="punt",Log[[#This Row],[Verb]]="drop",Log[[#This Row],[Verb]]="pass"),Log[[#This Row],[Pts]],0)</f>
      </c>
    </row>
    <row r="1420">
      <c r="A1420" s="11">
        <v>46217</v>
      </c>
      <c r="B1420" t="s">
        <v>806</v>
      </c>
      <c r="C1420" t="s">
        <v>34</v>
      </c>
      <c r="D1420">
        <v>48</v>
      </c>
      <c r="F1420" s="17">
        <f>IF(Log[[#This Row],[ID]]="","",IF(ISNA(MATCH(Log[[#This Row],[ID]],Items[ID],0)),"unknown ID",IF(ISNA(MATCH(Log[[#This Row],[Verb]],VerbList,0)),"unknown verb",IF(Log[[#This Row],[Date]]="","no date",""))))</f>
      </c>
      <c r="G1420" s="17">
        <f>IF(Log[[#This Row],[ID]]="","",IFERROR(VLOOKUP(Log[[#This Row],[Verb]],Verbs,3,FALSE)&amp;"",""))</f>
      </c>
      <c r="H1420" s="17">
        <f>IF(Log[[#This Row],[Date]]="","",INT((Log[[#This Row],[Date]]-Sprint1)/SprintDays)+1)</f>
      </c>
      <c r="I1420" s="17">
        <f>IF(OR(Log[[#This Row],[Verb]]="commit",Log[[#This Row],[Verb]]="carry",Log[[#This Row],[Verb]]="redo"),IF(Log[[#This Row],[Arg]]="",Log[[#This Row],[Sprint]],N(Log[[#This Row],[Arg]])),"")</f>
      </c>
      <c r="J1420" s="17">
        <f>IF(Log[[#This Row],[Verb]]="block",1,IF(OR(Log[[#This Row],[Verb]]="unblock",Log[[#This Row],[Verb]]="done",Log[[#This Row],[Verb]]="drop",Log[[#This Row],[Verb]]="punt",Log[[#This Row],[Verb]]="pass"),0,""))</f>
      </c>
      <c r="K1420" s="17">
        <f>IF(Log[[#This Row],[ID]]="",0,IFERROR(INDEX(Items[Pts],MATCH(Log[[#This Row],[ID]],Items[ID],0))*1,0))</f>
      </c>
      <c r="L1420" s="17">
        <f>IF(Log[[#This Row],[ID]]="","",IFERROR(INDEX(Items[Cur team],MATCH(Log[[#This Row],[ID]],Items[ID],0))&amp;"",""))</f>
      </c>
      <c r="M1420" s="17">
        <f>IF(OR(Log[[#This Row],[Verb]]="done",Log[[#This Row],[Verb]]="punt",Log[[#This Row],[Verb]]="drop",Log[[#This Row],[Verb]]="pass"),Log[[#This Row],[Pts]],0)</f>
      </c>
    </row>
    <row r="1421">
      <c r="A1421" s="11">
        <v>46217</v>
      </c>
      <c r="B1421" t="s">
        <v>807</v>
      </c>
      <c r="C1421" t="s">
        <v>34</v>
      </c>
      <c r="D1421">
        <v>48</v>
      </c>
      <c r="F1421" s="17">
        <f>IF(Log[[#This Row],[ID]]="","",IF(ISNA(MATCH(Log[[#This Row],[ID]],Items[ID],0)),"unknown ID",IF(ISNA(MATCH(Log[[#This Row],[Verb]],VerbList,0)),"unknown verb",IF(Log[[#This Row],[Date]]="","no date",""))))</f>
      </c>
      <c r="G1421" s="17">
        <f>IF(Log[[#This Row],[ID]]="","",IFERROR(VLOOKUP(Log[[#This Row],[Verb]],Verbs,3,FALSE)&amp;"",""))</f>
      </c>
      <c r="H1421" s="17">
        <f>IF(Log[[#This Row],[Date]]="","",INT((Log[[#This Row],[Date]]-Sprint1)/SprintDays)+1)</f>
      </c>
      <c r="I1421" s="17">
        <f>IF(OR(Log[[#This Row],[Verb]]="commit",Log[[#This Row],[Verb]]="carry",Log[[#This Row],[Verb]]="redo"),IF(Log[[#This Row],[Arg]]="",Log[[#This Row],[Sprint]],N(Log[[#This Row],[Arg]])),"")</f>
      </c>
      <c r="J1421" s="17">
        <f>IF(Log[[#This Row],[Verb]]="block",1,IF(OR(Log[[#This Row],[Verb]]="unblock",Log[[#This Row],[Verb]]="done",Log[[#This Row],[Verb]]="drop",Log[[#This Row],[Verb]]="punt",Log[[#This Row],[Verb]]="pass"),0,""))</f>
      </c>
      <c r="K1421" s="17">
        <f>IF(Log[[#This Row],[ID]]="",0,IFERROR(INDEX(Items[Pts],MATCH(Log[[#This Row],[ID]],Items[ID],0))*1,0))</f>
      </c>
      <c r="L1421" s="17">
        <f>IF(Log[[#This Row],[ID]]="","",IFERROR(INDEX(Items[Cur team],MATCH(Log[[#This Row],[ID]],Items[ID],0))&amp;"",""))</f>
      </c>
      <c r="M1421" s="17">
        <f>IF(OR(Log[[#This Row],[Verb]]="done",Log[[#This Row],[Verb]]="punt",Log[[#This Row],[Verb]]="drop",Log[[#This Row],[Verb]]="pass"),Log[[#This Row],[Pts]],0)</f>
      </c>
    </row>
    <row r="1422">
      <c r="A1422" s="11">
        <v>46217</v>
      </c>
      <c r="B1422" t="s">
        <v>808</v>
      </c>
      <c r="C1422" t="s">
        <v>34</v>
      </c>
      <c r="D1422">
        <v>48</v>
      </c>
      <c r="F1422" s="17">
        <f>IF(Log[[#This Row],[ID]]="","",IF(ISNA(MATCH(Log[[#This Row],[ID]],Items[ID],0)),"unknown ID",IF(ISNA(MATCH(Log[[#This Row],[Verb]],VerbList,0)),"unknown verb",IF(Log[[#This Row],[Date]]="","no date",""))))</f>
      </c>
      <c r="G1422" s="17">
        <f>IF(Log[[#This Row],[ID]]="","",IFERROR(VLOOKUP(Log[[#This Row],[Verb]],Verbs,3,FALSE)&amp;"",""))</f>
      </c>
      <c r="H1422" s="17">
        <f>IF(Log[[#This Row],[Date]]="","",INT((Log[[#This Row],[Date]]-Sprint1)/SprintDays)+1)</f>
      </c>
      <c r="I1422" s="17">
        <f>IF(OR(Log[[#This Row],[Verb]]="commit",Log[[#This Row],[Verb]]="carry",Log[[#This Row],[Verb]]="redo"),IF(Log[[#This Row],[Arg]]="",Log[[#This Row],[Sprint]],N(Log[[#This Row],[Arg]])),"")</f>
      </c>
      <c r="J1422" s="17">
        <f>IF(Log[[#This Row],[Verb]]="block",1,IF(OR(Log[[#This Row],[Verb]]="unblock",Log[[#This Row],[Verb]]="done",Log[[#This Row],[Verb]]="drop",Log[[#This Row],[Verb]]="punt",Log[[#This Row],[Verb]]="pass"),0,""))</f>
      </c>
      <c r="K1422" s="17">
        <f>IF(Log[[#This Row],[ID]]="",0,IFERROR(INDEX(Items[Pts],MATCH(Log[[#This Row],[ID]],Items[ID],0))*1,0))</f>
      </c>
      <c r="L1422" s="17">
        <f>IF(Log[[#This Row],[ID]]="","",IFERROR(INDEX(Items[Cur team],MATCH(Log[[#This Row],[ID]],Items[ID],0))&amp;"",""))</f>
      </c>
      <c r="M1422" s="17">
        <f>IF(OR(Log[[#This Row],[Verb]]="done",Log[[#This Row],[Verb]]="punt",Log[[#This Row],[Verb]]="drop",Log[[#This Row],[Verb]]="pass"),Log[[#This Row],[Pts]],0)</f>
      </c>
    </row>
    <row r="1423">
      <c r="A1423" s="11">
        <v>46217</v>
      </c>
      <c r="B1423" t="s">
        <v>809</v>
      </c>
      <c r="C1423" t="s">
        <v>34</v>
      </c>
      <c r="D1423">
        <v>48</v>
      </c>
      <c r="F1423" s="17">
        <f>IF(Log[[#This Row],[ID]]="","",IF(ISNA(MATCH(Log[[#This Row],[ID]],Items[ID],0)),"unknown ID",IF(ISNA(MATCH(Log[[#This Row],[Verb]],VerbList,0)),"unknown verb",IF(Log[[#This Row],[Date]]="","no date",""))))</f>
      </c>
      <c r="G1423" s="17">
        <f>IF(Log[[#This Row],[ID]]="","",IFERROR(VLOOKUP(Log[[#This Row],[Verb]],Verbs,3,FALSE)&amp;"",""))</f>
      </c>
      <c r="H1423" s="17">
        <f>IF(Log[[#This Row],[Date]]="","",INT((Log[[#This Row],[Date]]-Sprint1)/SprintDays)+1)</f>
      </c>
      <c r="I1423" s="17">
        <f>IF(OR(Log[[#This Row],[Verb]]="commit",Log[[#This Row],[Verb]]="carry",Log[[#This Row],[Verb]]="redo"),IF(Log[[#This Row],[Arg]]="",Log[[#This Row],[Sprint]],N(Log[[#This Row],[Arg]])),"")</f>
      </c>
      <c r="J1423" s="17">
        <f>IF(Log[[#This Row],[Verb]]="block",1,IF(OR(Log[[#This Row],[Verb]]="unblock",Log[[#This Row],[Verb]]="done",Log[[#This Row],[Verb]]="drop",Log[[#This Row],[Verb]]="punt",Log[[#This Row],[Verb]]="pass"),0,""))</f>
      </c>
      <c r="K1423" s="17">
        <f>IF(Log[[#This Row],[ID]]="",0,IFERROR(INDEX(Items[Pts],MATCH(Log[[#This Row],[ID]],Items[ID],0))*1,0))</f>
      </c>
      <c r="L1423" s="17">
        <f>IF(Log[[#This Row],[ID]]="","",IFERROR(INDEX(Items[Cur team],MATCH(Log[[#This Row],[ID]],Items[ID],0))&amp;"",""))</f>
      </c>
      <c r="M1423" s="17">
        <f>IF(OR(Log[[#This Row],[Verb]]="done",Log[[#This Row],[Verb]]="punt",Log[[#This Row],[Verb]]="drop",Log[[#This Row],[Verb]]="pass"),Log[[#This Row],[Pts]],0)</f>
      </c>
    </row>
    <row r="1424">
      <c r="A1424" s="11">
        <v>46217</v>
      </c>
      <c r="B1424" t="s">
        <v>810</v>
      </c>
      <c r="C1424" t="s">
        <v>34</v>
      </c>
      <c r="D1424">
        <v>48</v>
      </c>
      <c r="F1424" s="17">
        <f>IF(Log[[#This Row],[ID]]="","",IF(ISNA(MATCH(Log[[#This Row],[ID]],Items[ID],0)),"unknown ID",IF(ISNA(MATCH(Log[[#This Row],[Verb]],VerbList,0)),"unknown verb",IF(Log[[#This Row],[Date]]="","no date",""))))</f>
      </c>
      <c r="G1424" s="17">
        <f>IF(Log[[#This Row],[ID]]="","",IFERROR(VLOOKUP(Log[[#This Row],[Verb]],Verbs,3,FALSE)&amp;"",""))</f>
      </c>
      <c r="H1424" s="17">
        <f>IF(Log[[#This Row],[Date]]="","",INT((Log[[#This Row],[Date]]-Sprint1)/SprintDays)+1)</f>
      </c>
      <c r="I1424" s="17">
        <f>IF(OR(Log[[#This Row],[Verb]]="commit",Log[[#This Row],[Verb]]="carry",Log[[#This Row],[Verb]]="redo"),IF(Log[[#This Row],[Arg]]="",Log[[#This Row],[Sprint]],N(Log[[#This Row],[Arg]])),"")</f>
      </c>
      <c r="J1424" s="17">
        <f>IF(Log[[#This Row],[Verb]]="block",1,IF(OR(Log[[#This Row],[Verb]]="unblock",Log[[#This Row],[Verb]]="done",Log[[#This Row],[Verb]]="drop",Log[[#This Row],[Verb]]="punt",Log[[#This Row],[Verb]]="pass"),0,""))</f>
      </c>
      <c r="K1424" s="17">
        <f>IF(Log[[#This Row],[ID]]="",0,IFERROR(INDEX(Items[Pts],MATCH(Log[[#This Row],[ID]],Items[ID],0))*1,0))</f>
      </c>
      <c r="L1424" s="17">
        <f>IF(Log[[#This Row],[ID]]="","",IFERROR(INDEX(Items[Cur team],MATCH(Log[[#This Row],[ID]],Items[ID],0))&amp;"",""))</f>
      </c>
      <c r="M1424" s="17">
        <f>IF(OR(Log[[#This Row],[Verb]]="done",Log[[#This Row],[Verb]]="punt",Log[[#This Row],[Verb]]="drop",Log[[#This Row],[Verb]]="pass"),Log[[#This Row],[Pts]],0)</f>
      </c>
    </row>
    <row r="1425">
      <c r="A1425" s="11">
        <v>46217</v>
      </c>
      <c r="B1425" t="s">
        <v>811</v>
      </c>
      <c r="C1425" t="s">
        <v>34</v>
      </c>
      <c r="D1425">
        <v>48</v>
      </c>
      <c r="F1425" s="17">
        <f>IF(Log[[#This Row],[ID]]="","",IF(ISNA(MATCH(Log[[#This Row],[ID]],Items[ID],0)),"unknown ID",IF(ISNA(MATCH(Log[[#This Row],[Verb]],VerbList,0)),"unknown verb",IF(Log[[#This Row],[Date]]="","no date",""))))</f>
      </c>
      <c r="G1425" s="17">
        <f>IF(Log[[#This Row],[ID]]="","",IFERROR(VLOOKUP(Log[[#This Row],[Verb]],Verbs,3,FALSE)&amp;"",""))</f>
      </c>
      <c r="H1425" s="17">
        <f>IF(Log[[#This Row],[Date]]="","",INT((Log[[#This Row],[Date]]-Sprint1)/SprintDays)+1)</f>
      </c>
      <c r="I1425" s="17">
        <f>IF(OR(Log[[#This Row],[Verb]]="commit",Log[[#This Row],[Verb]]="carry",Log[[#This Row],[Verb]]="redo"),IF(Log[[#This Row],[Arg]]="",Log[[#This Row],[Sprint]],N(Log[[#This Row],[Arg]])),"")</f>
      </c>
      <c r="J1425" s="17">
        <f>IF(Log[[#This Row],[Verb]]="block",1,IF(OR(Log[[#This Row],[Verb]]="unblock",Log[[#This Row],[Verb]]="done",Log[[#This Row],[Verb]]="drop",Log[[#This Row],[Verb]]="punt",Log[[#This Row],[Verb]]="pass"),0,""))</f>
      </c>
      <c r="K1425" s="17">
        <f>IF(Log[[#This Row],[ID]]="",0,IFERROR(INDEX(Items[Pts],MATCH(Log[[#This Row],[ID]],Items[ID],0))*1,0))</f>
      </c>
      <c r="L1425" s="17">
        <f>IF(Log[[#This Row],[ID]]="","",IFERROR(INDEX(Items[Cur team],MATCH(Log[[#This Row],[ID]],Items[ID],0))&amp;"",""))</f>
      </c>
      <c r="M1425" s="17">
        <f>IF(OR(Log[[#This Row],[Verb]]="done",Log[[#This Row],[Verb]]="punt",Log[[#This Row],[Verb]]="drop",Log[[#This Row],[Verb]]="pass"),Log[[#This Row],[Pts]],0)</f>
      </c>
    </row>
    <row r="1426">
      <c r="A1426" s="11">
        <v>46217</v>
      </c>
      <c r="B1426" t="s">
        <v>812</v>
      </c>
      <c r="C1426" t="s">
        <v>34</v>
      </c>
      <c r="D1426">
        <v>48</v>
      </c>
      <c r="F1426" s="17">
        <f>IF(Log[[#This Row],[ID]]="","",IF(ISNA(MATCH(Log[[#This Row],[ID]],Items[ID],0)),"unknown ID",IF(ISNA(MATCH(Log[[#This Row],[Verb]],VerbList,0)),"unknown verb",IF(Log[[#This Row],[Date]]="","no date",""))))</f>
      </c>
      <c r="G1426" s="17">
        <f>IF(Log[[#This Row],[ID]]="","",IFERROR(VLOOKUP(Log[[#This Row],[Verb]],Verbs,3,FALSE)&amp;"",""))</f>
      </c>
      <c r="H1426" s="17">
        <f>IF(Log[[#This Row],[Date]]="","",INT((Log[[#This Row],[Date]]-Sprint1)/SprintDays)+1)</f>
      </c>
      <c r="I1426" s="17">
        <f>IF(OR(Log[[#This Row],[Verb]]="commit",Log[[#This Row],[Verb]]="carry",Log[[#This Row],[Verb]]="redo"),IF(Log[[#This Row],[Arg]]="",Log[[#This Row],[Sprint]],N(Log[[#This Row],[Arg]])),"")</f>
      </c>
      <c r="J1426" s="17">
        <f>IF(Log[[#This Row],[Verb]]="block",1,IF(OR(Log[[#This Row],[Verb]]="unblock",Log[[#This Row],[Verb]]="done",Log[[#This Row],[Verb]]="drop",Log[[#This Row],[Verb]]="punt",Log[[#This Row],[Verb]]="pass"),0,""))</f>
      </c>
      <c r="K1426" s="17">
        <f>IF(Log[[#This Row],[ID]]="",0,IFERROR(INDEX(Items[Pts],MATCH(Log[[#This Row],[ID]],Items[ID],0))*1,0))</f>
      </c>
      <c r="L1426" s="17">
        <f>IF(Log[[#This Row],[ID]]="","",IFERROR(INDEX(Items[Cur team],MATCH(Log[[#This Row],[ID]],Items[ID],0))&amp;"",""))</f>
      </c>
      <c r="M1426" s="17">
        <f>IF(OR(Log[[#This Row],[Verb]]="done",Log[[#This Row],[Verb]]="punt",Log[[#This Row],[Verb]]="drop",Log[[#This Row],[Verb]]="pass"),Log[[#This Row],[Pts]],0)</f>
      </c>
    </row>
    <row r="1427">
      <c r="A1427" s="11">
        <v>46217</v>
      </c>
      <c r="B1427" t="s">
        <v>813</v>
      </c>
      <c r="C1427" t="s">
        <v>34</v>
      </c>
      <c r="D1427">
        <v>48</v>
      </c>
      <c r="F1427" s="17">
        <f>IF(Log[[#This Row],[ID]]="","",IF(ISNA(MATCH(Log[[#This Row],[ID]],Items[ID],0)),"unknown ID",IF(ISNA(MATCH(Log[[#This Row],[Verb]],VerbList,0)),"unknown verb",IF(Log[[#This Row],[Date]]="","no date",""))))</f>
      </c>
      <c r="G1427" s="17">
        <f>IF(Log[[#This Row],[ID]]="","",IFERROR(VLOOKUP(Log[[#This Row],[Verb]],Verbs,3,FALSE)&amp;"",""))</f>
      </c>
      <c r="H1427" s="17">
        <f>IF(Log[[#This Row],[Date]]="","",INT((Log[[#This Row],[Date]]-Sprint1)/SprintDays)+1)</f>
      </c>
      <c r="I1427" s="17">
        <f>IF(OR(Log[[#This Row],[Verb]]="commit",Log[[#This Row],[Verb]]="carry",Log[[#This Row],[Verb]]="redo"),IF(Log[[#This Row],[Arg]]="",Log[[#This Row],[Sprint]],N(Log[[#This Row],[Arg]])),"")</f>
      </c>
      <c r="J1427" s="17">
        <f>IF(Log[[#This Row],[Verb]]="block",1,IF(OR(Log[[#This Row],[Verb]]="unblock",Log[[#This Row],[Verb]]="done",Log[[#This Row],[Verb]]="drop",Log[[#This Row],[Verb]]="punt",Log[[#This Row],[Verb]]="pass"),0,""))</f>
      </c>
      <c r="K1427" s="17">
        <f>IF(Log[[#This Row],[ID]]="",0,IFERROR(INDEX(Items[Pts],MATCH(Log[[#This Row],[ID]],Items[ID],0))*1,0))</f>
      </c>
      <c r="L1427" s="17">
        <f>IF(Log[[#This Row],[ID]]="","",IFERROR(INDEX(Items[Cur team],MATCH(Log[[#This Row],[ID]],Items[ID],0))&amp;"",""))</f>
      </c>
      <c r="M1427" s="17">
        <f>IF(OR(Log[[#This Row],[Verb]]="done",Log[[#This Row],[Verb]]="punt",Log[[#This Row],[Verb]]="drop",Log[[#This Row],[Verb]]="pass"),Log[[#This Row],[Pts]],0)</f>
      </c>
    </row>
    <row r="1428">
      <c r="A1428" s="11">
        <v>46217</v>
      </c>
      <c r="B1428" t="s">
        <v>814</v>
      </c>
      <c r="C1428" t="s">
        <v>34</v>
      </c>
      <c r="D1428">
        <v>48</v>
      </c>
      <c r="F1428" s="17">
        <f>IF(Log[[#This Row],[ID]]="","",IF(ISNA(MATCH(Log[[#This Row],[ID]],Items[ID],0)),"unknown ID",IF(ISNA(MATCH(Log[[#This Row],[Verb]],VerbList,0)),"unknown verb",IF(Log[[#This Row],[Date]]="","no date",""))))</f>
      </c>
      <c r="G1428" s="17">
        <f>IF(Log[[#This Row],[ID]]="","",IFERROR(VLOOKUP(Log[[#This Row],[Verb]],Verbs,3,FALSE)&amp;"",""))</f>
      </c>
      <c r="H1428" s="17">
        <f>IF(Log[[#This Row],[Date]]="","",INT((Log[[#This Row],[Date]]-Sprint1)/SprintDays)+1)</f>
      </c>
      <c r="I1428" s="17">
        <f>IF(OR(Log[[#This Row],[Verb]]="commit",Log[[#This Row],[Verb]]="carry",Log[[#This Row],[Verb]]="redo"),IF(Log[[#This Row],[Arg]]="",Log[[#This Row],[Sprint]],N(Log[[#This Row],[Arg]])),"")</f>
      </c>
      <c r="J1428" s="17">
        <f>IF(Log[[#This Row],[Verb]]="block",1,IF(OR(Log[[#This Row],[Verb]]="unblock",Log[[#This Row],[Verb]]="done",Log[[#This Row],[Verb]]="drop",Log[[#This Row],[Verb]]="punt",Log[[#This Row],[Verb]]="pass"),0,""))</f>
      </c>
      <c r="K1428" s="17">
        <f>IF(Log[[#This Row],[ID]]="",0,IFERROR(INDEX(Items[Pts],MATCH(Log[[#This Row],[ID]],Items[ID],0))*1,0))</f>
      </c>
      <c r="L1428" s="17">
        <f>IF(Log[[#This Row],[ID]]="","",IFERROR(INDEX(Items[Cur team],MATCH(Log[[#This Row],[ID]],Items[ID],0))&amp;"",""))</f>
      </c>
      <c r="M1428" s="17">
        <f>IF(OR(Log[[#This Row],[Verb]]="done",Log[[#This Row],[Verb]]="punt",Log[[#This Row],[Verb]]="drop",Log[[#This Row],[Verb]]="pass"),Log[[#This Row],[Pts]],0)</f>
      </c>
    </row>
    <row r="1429">
      <c r="A1429" s="11">
        <v>46217</v>
      </c>
      <c r="B1429" t="s">
        <v>815</v>
      </c>
      <c r="C1429" t="s">
        <v>34</v>
      </c>
      <c r="D1429">
        <v>48</v>
      </c>
      <c r="F1429" s="17">
        <f>IF(Log[[#This Row],[ID]]="","",IF(ISNA(MATCH(Log[[#This Row],[ID]],Items[ID],0)),"unknown ID",IF(ISNA(MATCH(Log[[#This Row],[Verb]],VerbList,0)),"unknown verb",IF(Log[[#This Row],[Date]]="","no date",""))))</f>
      </c>
      <c r="G1429" s="17">
        <f>IF(Log[[#This Row],[ID]]="","",IFERROR(VLOOKUP(Log[[#This Row],[Verb]],Verbs,3,FALSE)&amp;"",""))</f>
      </c>
      <c r="H1429" s="17">
        <f>IF(Log[[#This Row],[Date]]="","",INT((Log[[#This Row],[Date]]-Sprint1)/SprintDays)+1)</f>
      </c>
      <c r="I1429" s="17">
        <f>IF(OR(Log[[#This Row],[Verb]]="commit",Log[[#This Row],[Verb]]="carry",Log[[#This Row],[Verb]]="redo"),IF(Log[[#This Row],[Arg]]="",Log[[#This Row],[Sprint]],N(Log[[#This Row],[Arg]])),"")</f>
      </c>
      <c r="J1429" s="17">
        <f>IF(Log[[#This Row],[Verb]]="block",1,IF(OR(Log[[#This Row],[Verb]]="unblock",Log[[#This Row],[Verb]]="done",Log[[#This Row],[Verb]]="drop",Log[[#This Row],[Verb]]="punt",Log[[#This Row],[Verb]]="pass"),0,""))</f>
      </c>
      <c r="K1429" s="17">
        <f>IF(Log[[#This Row],[ID]]="",0,IFERROR(INDEX(Items[Pts],MATCH(Log[[#This Row],[ID]],Items[ID],0))*1,0))</f>
      </c>
      <c r="L1429" s="17">
        <f>IF(Log[[#This Row],[ID]]="","",IFERROR(INDEX(Items[Cur team],MATCH(Log[[#This Row],[ID]],Items[ID],0))&amp;"",""))</f>
      </c>
      <c r="M1429" s="17">
        <f>IF(OR(Log[[#This Row],[Verb]]="done",Log[[#This Row],[Verb]]="punt",Log[[#This Row],[Verb]]="drop",Log[[#This Row],[Verb]]="pass"),Log[[#This Row],[Pts]],0)</f>
      </c>
    </row>
    <row r="1430">
      <c r="A1430" s="11">
        <v>46217</v>
      </c>
      <c r="B1430" t="s">
        <v>816</v>
      </c>
      <c r="C1430" t="s">
        <v>34</v>
      </c>
      <c r="D1430">
        <v>48</v>
      </c>
      <c r="F1430" s="17">
        <f>IF(Log[[#This Row],[ID]]="","",IF(ISNA(MATCH(Log[[#This Row],[ID]],Items[ID],0)),"unknown ID",IF(ISNA(MATCH(Log[[#This Row],[Verb]],VerbList,0)),"unknown verb",IF(Log[[#This Row],[Date]]="","no date",""))))</f>
      </c>
      <c r="G1430" s="17">
        <f>IF(Log[[#This Row],[ID]]="","",IFERROR(VLOOKUP(Log[[#This Row],[Verb]],Verbs,3,FALSE)&amp;"",""))</f>
      </c>
      <c r="H1430" s="17">
        <f>IF(Log[[#This Row],[Date]]="","",INT((Log[[#This Row],[Date]]-Sprint1)/SprintDays)+1)</f>
      </c>
      <c r="I1430" s="17">
        <f>IF(OR(Log[[#This Row],[Verb]]="commit",Log[[#This Row],[Verb]]="carry",Log[[#This Row],[Verb]]="redo"),IF(Log[[#This Row],[Arg]]="",Log[[#This Row],[Sprint]],N(Log[[#This Row],[Arg]])),"")</f>
      </c>
      <c r="J1430" s="17">
        <f>IF(Log[[#This Row],[Verb]]="block",1,IF(OR(Log[[#This Row],[Verb]]="unblock",Log[[#This Row],[Verb]]="done",Log[[#This Row],[Verb]]="drop",Log[[#This Row],[Verb]]="punt",Log[[#This Row],[Verb]]="pass"),0,""))</f>
      </c>
      <c r="K1430" s="17">
        <f>IF(Log[[#This Row],[ID]]="",0,IFERROR(INDEX(Items[Pts],MATCH(Log[[#This Row],[ID]],Items[ID],0))*1,0))</f>
      </c>
      <c r="L1430" s="17">
        <f>IF(Log[[#This Row],[ID]]="","",IFERROR(INDEX(Items[Cur team],MATCH(Log[[#This Row],[ID]],Items[ID],0))&amp;"",""))</f>
      </c>
      <c r="M1430" s="17">
        <f>IF(OR(Log[[#This Row],[Verb]]="done",Log[[#This Row],[Verb]]="punt",Log[[#This Row],[Verb]]="drop",Log[[#This Row],[Verb]]="pass"),Log[[#This Row],[Pts]],0)</f>
      </c>
    </row>
    <row r="1431">
      <c r="A1431" s="11">
        <v>46230</v>
      </c>
      <c r="B1431" t="s">
        <v>708</v>
      </c>
      <c r="C1431" t="s">
        <v>41</v>
      </c>
      <c r="F1431" s="17">
        <f>IF(Log[[#This Row],[ID]]="","",IF(ISNA(MATCH(Log[[#This Row],[ID]],Items[ID],0)),"unknown ID",IF(ISNA(MATCH(Log[[#This Row],[Verb]],VerbList,0)),"unknown verb",IF(Log[[#This Row],[Date]]="","no date",""))))</f>
      </c>
      <c r="G1431" s="17">
        <f>IF(Log[[#This Row],[ID]]="","",IFERROR(VLOOKUP(Log[[#This Row],[Verb]],Verbs,3,FALSE)&amp;"",""))</f>
      </c>
      <c r="H1431" s="17">
        <f>IF(Log[[#This Row],[Date]]="","",INT((Log[[#This Row],[Date]]-Sprint1)/SprintDays)+1)</f>
      </c>
      <c r="I1431" s="17">
        <f>IF(OR(Log[[#This Row],[Verb]]="commit",Log[[#This Row],[Verb]]="carry",Log[[#This Row],[Verb]]="redo"),IF(Log[[#This Row],[Arg]]="",Log[[#This Row],[Sprint]],N(Log[[#This Row],[Arg]])),"")</f>
      </c>
      <c r="J1431" s="17">
        <f>IF(Log[[#This Row],[Verb]]="block",1,IF(OR(Log[[#This Row],[Verb]]="unblock",Log[[#This Row],[Verb]]="done",Log[[#This Row],[Verb]]="drop",Log[[#This Row],[Verb]]="punt",Log[[#This Row],[Verb]]="pass"),0,""))</f>
      </c>
      <c r="K1431" s="17">
        <f>IF(Log[[#This Row],[ID]]="",0,IFERROR(INDEX(Items[Pts],MATCH(Log[[#This Row],[ID]],Items[ID],0))*1,0))</f>
      </c>
      <c r="L1431" s="17">
        <f>IF(Log[[#This Row],[ID]]="","",IFERROR(INDEX(Items[Cur team],MATCH(Log[[#This Row],[ID]],Items[ID],0))&amp;"",""))</f>
      </c>
      <c r="M1431" s="17">
        <f>IF(OR(Log[[#This Row],[Verb]]="done",Log[[#This Row],[Verb]]="punt",Log[[#This Row],[Verb]]="drop",Log[[#This Row],[Verb]]="pass"),Log[[#This Row],[Pts]],0)</f>
      </c>
    </row>
    <row r="1432">
      <c r="A1432" s="11">
        <v>46230</v>
      </c>
      <c r="B1432" t="s">
        <v>713</v>
      </c>
      <c r="C1432" t="s">
        <v>41</v>
      </c>
      <c r="F1432" s="17">
        <f>IF(Log[[#This Row],[ID]]="","",IF(ISNA(MATCH(Log[[#This Row],[ID]],Items[ID],0)),"unknown ID",IF(ISNA(MATCH(Log[[#This Row],[Verb]],VerbList,0)),"unknown verb",IF(Log[[#This Row],[Date]]="","no date",""))))</f>
      </c>
      <c r="G1432" s="17">
        <f>IF(Log[[#This Row],[ID]]="","",IFERROR(VLOOKUP(Log[[#This Row],[Verb]],Verbs,3,FALSE)&amp;"",""))</f>
      </c>
      <c r="H1432" s="17">
        <f>IF(Log[[#This Row],[Date]]="","",INT((Log[[#This Row],[Date]]-Sprint1)/SprintDays)+1)</f>
      </c>
      <c r="I1432" s="17">
        <f>IF(OR(Log[[#This Row],[Verb]]="commit",Log[[#This Row],[Verb]]="carry",Log[[#This Row],[Verb]]="redo"),IF(Log[[#This Row],[Arg]]="",Log[[#This Row],[Sprint]],N(Log[[#This Row],[Arg]])),"")</f>
      </c>
      <c r="J1432" s="17">
        <f>IF(Log[[#This Row],[Verb]]="block",1,IF(OR(Log[[#This Row],[Verb]]="unblock",Log[[#This Row],[Verb]]="done",Log[[#This Row],[Verb]]="drop",Log[[#This Row],[Verb]]="punt",Log[[#This Row],[Verb]]="pass"),0,""))</f>
      </c>
      <c r="K1432" s="17">
        <f>IF(Log[[#This Row],[ID]]="",0,IFERROR(INDEX(Items[Pts],MATCH(Log[[#This Row],[ID]],Items[ID],0))*1,0))</f>
      </c>
      <c r="L1432" s="17">
        <f>IF(Log[[#This Row],[ID]]="","",IFERROR(INDEX(Items[Cur team],MATCH(Log[[#This Row],[ID]],Items[ID],0))&amp;"",""))</f>
      </c>
      <c r="M1432" s="17">
        <f>IF(OR(Log[[#This Row],[Verb]]="done",Log[[#This Row],[Verb]]="punt",Log[[#This Row],[Verb]]="drop",Log[[#This Row],[Verb]]="pass"),Log[[#This Row],[Pts]],0)</f>
      </c>
    </row>
    <row r="1433">
      <c r="A1433" s="11">
        <v>46230</v>
      </c>
      <c r="B1433" t="s">
        <v>760</v>
      </c>
      <c r="C1433" t="s">
        <v>41</v>
      </c>
      <c r="F1433" s="17">
        <f>IF(Log[[#This Row],[ID]]="","",IF(ISNA(MATCH(Log[[#This Row],[ID]],Items[ID],0)),"unknown ID",IF(ISNA(MATCH(Log[[#This Row],[Verb]],VerbList,0)),"unknown verb",IF(Log[[#This Row],[Date]]="","no date",""))))</f>
      </c>
      <c r="G1433" s="17">
        <f>IF(Log[[#This Row],[ID]]="","",IFERROR(VLOOKUP(Log[[#This Row],[Verb]],Verbs,3,FALSE)&amp;"",""))</f>
      </c>
      <c r="H1433" s="17">
        <f>IF(Log[[#This Row],[Date]]="","",INT((Log[[#This Row],[Date]]-Sprint1)/SprintDays)+1)</f>
      </c>
      <c r="I1433" s="17">
        <f>IF(OR(Log[[#This Row],[Verb]]="commit",Log[[#This Row],[Verb]]="carry",Log[[#This Row],[Verb]]="redo"),IF(Log[[#This Row],[Arg]]="",Log[[#This Row],[Sprint]],N(Log[[#This Row],[Arg]])),"")</f>
      </c>
      <c r="J1433" s="17">
        <f>IF(Log[[#This Row],[Verb]]="block",1,IF(OR(Log[[#This Row],[Verb]]="unblock",Log[[#This Row],[Verb]]="done",Log[[#This Row],[Verb]]="drop",Log[[#This Row],[Verb]]="punt",Log[[#This Row],[Verb]]="pass"),0,""))</f>
      </c>
      <c r="K1433" s="17">
        <f>IF(Log[[#This Row],[ID]]="",0,IFERROR(INDEX(Items[Pts],MATCH(Log[[#This Row],[ID]],Items[ID],0))*1,0))</f>
      </c>
      <c r="L1433" s="17">
        <f>IF(Log[[#This Row],[ID]]="","",IFERROR(INDEX(Items[Cur team],MATCH(Log[[#This Row],[ID]],Items[ID],0))&amp;"",""))</f>
      </c>
      <c r="M1433" s="17">
        <f>IF(OR(Log[[#This Row],[Verb]]="done",Log[[#This Row],[Verb]]="punt",Log[[#This Row],[Verb]]="drop",Log[[#This Row],[Verb]]="pass"),Log[[#This Row],[Pts]],0)</f>
      </c>
    </row>
    <row r="1434">
      <c r="A1434" s="11">
        <v>46230</v>
      </c>
      <c r="B1434" t="s">
        <v>761</v>
      </c>
      <c r="C1434" t="s">
        <v>41</v>
      </c>
      <c r="F1434" s="17">
        <f>IF(Log[[#This Row],[ID]]="","",IF(ISNA(MATCH(Log[[#This Row],[ID]],Items[ID],0)),"unknown ID",IF(ISNA(MATCH(Log[[#This Row],[Verb]],VerbList,0)),"unknown verb",IF(Log[[#This Row],[Date]]="","no date",""))))</f>
      </c>
      <c r="G1434" s="17">
        <f>IF(Log[[#This Row],[ID]]="","",IFERROR(VLOOKUP(Log[[#This Row],[Verb]],Verbs,3,FALSE)&amp;"",""))</f>
      </c>
      <c r="H1434" s="17">
        <f>IF(Log[[#This Row],[Date]]="","",INT((Log[[#This Row],[Date]]-Sprint1)/SprintDays)+1)</f>
      </c>
      <c r="I1434" s="17">
        <f>IF(OR(Log[[#This Row],[Verb]]="commit",Log[[#This Row],[Verb]]="carry",Log[[#This Row],[Verb]]="redo"),IF(Log[[#This Row],[Arg]]="",Log[[#This Row],[Sprint]],N(Log[[#This Row],[Arg]])),"")</f>
      </c>
      <c r="J1434" s="17">
        <f>IF(Log[[#This Row],[Verb]]="block",1,IF(OR(Log[[#This Row],[Verb]]="unblock",Log[[#This Row],[Verb]]="done",Log[[#This Row],[Verb]]="drop",Log[[#This Row],[Verb]]="punt",Log[[#This Row],[Verb]]="pass"),0,""))</f>
      </c>
      <c r="K1434" s="17">
        <f>IF(Log[[#This Row],[ID]]="",0,IFERROR(INDEX(Items[Pts],MATCH(Log[[#This Row],[ID]],Items[ID],0))*1,0))</f>
      </c>
      <c r="L1434" s="17">
        <f>IF(Log[[#This Row],[ID]]="","",IFERROR(INDEX(Items[Cur team],MATCH(Log[[#This Row],[ID]],Items[ID],0))&amp;"",""))</f>
      </c>
      <c r="M1434" s="17">
        <f>IF(OR(Log[[#This Row],[Verb]]="done",Log[[#This Row],[Verb]]="punt",Log[[#This Row],[Verb]]="drop",Log[[#This Row],[Verb]]="pass"),Log[[#This Row],[Pts]],0)</f>
      </c>
    </row>
    <row r="1435">
      <c r="A1435" s="11">
        <v>46230</v>
      </c>
      <c r="B1435" t="s">
        <v>762</v>
      </c>
      <c r="C1435" t="s">
        <v>41</v>
      </c>
      <c r="F1435" s="17">
        <f>IF(Log[[#This Row],[ID]]="","",IF(ISNA(MATCH(Log[[#This Row],[ID]],Items[ID],0)),"unknown ID",IF(ISNA(MATCH(Log[[#This Row],[Verb]],VerbList,0)),"unknown verb",IF(Log[[#This Row],[Date]]="","no date",""))))</f>
      </c>
      <c r="G1435" s="17">
        <f>IF(Log[[#This Row],[ID]]="","",IFERROR(VLOOKUP(Log[[#This Row],[Verb]],Verbs,3,FALSE)&amp;"",""))</f>
      </c>
      <c r="H1435" s="17">
        <f>IF(Log[[#This Row],[Date]]="","",INT((Log[[#This Row],[Date]]-Sprint1)/SprintDays)+1)</f>
      </c>
      <c r="I1435" s="17">
        <f>IF(OR(Log[[#This Row],[Verb]]="commit",Log[[#This Row],[Verb]]="carry",Log[[#This Row],[Verb]]="redo"),IF(Log[[#This Row],[Arg]]="",Log[[#This Row],[Sprint]],N(Log[[#This Row],[Arg]])),"")</f>
      </c>
      <c r="J1435" s="17">
        <f>IF(Log[[#This Row],[Verb]]="block",1,IF(OR(Log[[#This Row],[Verb]]="unblock",Log[[#This Row],[Verb]]="done",Log[[#This Row],[Verb]]="drop",Log[[#This Row],[Verb]]="punt",Log[[#This Row],[Verb]]="pass"),0,""))</f>
      </c>
      <c r="K1435" s="17">
        <f>IF(Log[[#This Row],[ID]]="",0,IFERROR(INDEX(Items[Pts],MATCH(Log[[#This Row],[ID]],Items[ID],0))*1,0))</f>
      </c>
      <c r="L1435" s="17">
        <f>IF(Log[[#This Row],[ID]]="","",IFERROR(INDEX(Items[Cur team],MATCH(Log[[#This Row],[ID]],Items[ID],0))&amp;"",""))</f>
      </c>
      <c r="M1435" s="17">
        <f>IF(OR(Log[[#This Row],[Verb]]="done",Log[[#This Row],[Verb]]="punt",Log[[#This Row],[Verb]]="drop",Log[[#This Row],[Verb]]="pass"),Log[[#This Row],[Pts]],0)</f>
      </c>
    </row>
    <row r="1436">
      <c r="A1436" s="11">
        <v>46230</v>
      </c>
      <c r="B1436" t="s">
        <v>763</v>
      </c>
      <c r="C1436" t="s">
        <v>41</v>
      </c>
      <c r="F1436" s="17">
        <f>IF(Log[[#This Row],[ID]]="","",IF(ISNA(MATCH(Log[[#This Row],[ID]],Items[ID],0)),"unknown ID",IF(ISNA(MATCH(Log[[#This Row],[Verb]],VerbList,0)),"unknown verb",IF(Log[[#This Row],[Date]]="","no date",""))))</f>
      </c>
      <c r="G1436" s="17">
        <f>IF(Log[[#This Row],[ID]]="","",IFERROR(VLOOKUP(Log[[#This Row],[Verb]],Verbs,3,FALSE)&amp;"",""))</f>
      </c>
      <c r="H1436" s="17">
        <f>IF(Log[[#This Row],[Date]]="","",INT((Log[[#This Row],[Date]]-Sprint1)/SprintDays)+1)</f>
      </c>
      <c r="I1436" s="17">
        <f>IF(OR(Log[[#This Row],[Verb]]="commit",Log[[#This Row],[Verb]]="carry",Log[[#This Row],[Verb]]="redo"),IF(Log[[#This Row],[Arg]]="",Log[[#This Row],[Sprint]],N(Log[[#This Row],[Arg]])),"")</f>
      </c>
      <c r="J1436" s="17">
        <f>IF(Log[[#This Row],[Verb]]="block",1,IF(OR(Log[[#This Row],[Verb]]="unblock",Log[[#This Row],[Verb]]="done",Log[[#This Row],[Verb]]="drop",Log[[#This Row],[Verb]]="punt",Log[[#This Row],[Verb]]="pass"),0,""))</f>
      </c>
      <c r="K1436" s="17">
        <f>IF(Log[[#This Row],[ID]]="",0,IFERROR(INDEX(Items[Pts],MATCH(Log[[#This Row],[ID]],Items[ID],0))*1,0))</f>
      </c>
      <c r="L1436" s="17">
        <f>IF(Log[[#This Row],[ID]]="","",IFERROR(INDEX(Items[Cur team],MATCH(Log[[#This Row],[ID]],Items[ID],0))&amp;"",""))</f>
      </c>
      <c r="M1436" s="17">
        <f>IF(OR(Log[[#This Row],[Verb]]="done",Log[[#This Row],[Verb]]="punt",Log[[#This Row],[Verb]]="drop",Log[[#This Row],[Verb]]="pass"),Log[[#This Row],[Pts]],0)</f>
      </c>
    </row>
    <row r="1437">
      <c r="A1437" s="11">
        <v>46230</v>
      </c>
      <c r="B1437" t="s">
        <v>764</v>
      </c>
      <c r="C1437" t="s">
        <v>41</v>
      </c>
      <c r="F1437" s="17">
        <f>IF(Log[[#This Row],[ID]]="","",IF(ISNA(MATCH(Log[[#This Row],[ID]],Items[ID],0)),"unknown ID",IF(ISNA(MATCH(Log[[#This Row],[Verb]],VerbList,0)),"unknown verb",IF(Log[[#This Row],[Date]]="","no date",""))))</f>
      </c>
      <c r="G1437" s="17">
        <f>IF(Log[[#This Row],[ID]]="","",IFERROR(VLOOKUP(Log[[#This Row],[Verb]],Verbs,3,FALSE)&amp;"",""))</f>
      </c>
      <c r="H1437" s="17">
        <f>IF(Log[[#This Row],[Date]]="","",INT((Log[[#This Row],[Date]]-Sprint1)/SprintDays)+1)</f>
      </c>
      <c r="I1437" s="17">
        <f>IF(OR(Log[[#This Row],[Verb]]="commit",Log[[#This Row],[Verb]]="carry",Log[[#This Row],[Verb]]="redo"),IF(Log[[#This Row],[Arg]]="",Log[[#This Row],[Sprint]],N(Log[[#This Row],[Arg]])),"")</f>
      </c>
      <c r="J1437" s="17">
        <f>IF(Log[[#This Row],[Verb]]="block",1,IF(OR(Log[[#This Row],[Verb]]="unblock",Log[[#This Row],[Verb]]="done",Log[[#This Row],[Verb]]="drop",Log[[#This Row],[Verb]]="punt",Log[[#This Row],[Verb]]="pass"),0,""))</f>
      </c>
      <c r="K1437" s="17">
        <f>IF(Log[[#This Row],[ID]]="",0,IFERROR(INDEX(Items[Pts],MATCH(Log[[#This Row],[ID]],Items[ID],0))*1,0))</f>
      </c>
      <c r="L1437" s="17">
        <f>IF(Log[[#This Row],[ID]]="","",IFERROR(INDEX(Items[Cur team],MATCH(Log[[#This Row],[ID]],Items[ID],0))&amp;"",""))</f>
      </c>
      <c r="M1437" s="17">
        <f>IF(OR(Log[[#This Row],[Verb]]="done",Log[[#This Row],[Verb]]="punt",Log[[#This Row],[Verb]]="drop",Log[[#This Row],[Verb]]="pass"),Log[[#This Row],[Pts]],0)</f>
      </c>
    </row>
    <row r="1438">
      <c r="A1438" s="11">
        <v>46230</v>
      </c>
      <c r="B1438" t="s">
        <v>765</v>
      </c>
      <c r="C1438" t="s">
        <v>41</v>
      </c>
      <c r="F1438" s="17">
        <f>IF(Log[[#This Row],[ID]]="","",IF(ISNA(MATCH(Log[[#This Row],[ID]],Items[ID],0)),"unknown ID",IF(ISNA(MATCH(Log[[#This Row],[Verb]],VerbList,0)),"unknown verb",IF(Log[[#This Row],[Date]]="","no date",""))))</f>
      </c>
      <c r="G1438" s="17">
        <f>IF(Log[[#This Row],[ID]]="","",IFERROR(VLOOKUP(Log[[#This Row],[Verb]],Verbs,3,FALSE)&amp;"",""))</f>
      </c>
      <c r="H1438" s="17">
        <f>IF(Log[[#This Row],[Date]]="","",INT((Log[[#This Row],[Date]]-Sprint1)/SprintDays)+1)</f>
      </c>
      <c r="I1438" s="17">
        <f>IF(OR(Log[[#This Row],[Verb]]="commit",Log[[#This Row],[Verb]]="carry",Log[[#This Row],[Verb]]="redo"),IF(Log[[#This Row],[Arg]]="",Log[[#This Row],[Sprint]],N(Log[[#This Row],[Arg]])),"")</f>
      </c>
      <c r="J1438" s="17">
        <f>IF(Log[[#This Row],[Verb]]="block",1,IF(OR(Log[[#This Row],[Verb]]="unblock",Log[[#This Row],[Verb]]="done",Log[[#This Row],[Verb]]="drop",Log[[#This Row],[Verb]]="punt",Log[[#This Row],[Verb]]="pass"),0,""))</f>
      </c>
      <c r="K1438" s="17">
        <f>IF(Log[[#This Row],[ID]]="",0,IFERROR(INDEX(Items[Pts],MATCH(Log[[#This Row],[ID]],Items[ID],0))*1,0))</f>
      </c>
      <c r="L1438" s="17">
        <f>IF(Log[[#This Row],[ID]]="","",IFERROR(INDEX(Items[Cur team],MATCH(Log[[#This Row],[ID]],Items[ID],0))&amp;"",""))</f>
      </c>
      <c r="M1438" s="17">
        <f>IF(OR(Log[[#This Row],[Verb]]="done",Log[[#This Row],[Verb]]="punt",Log[[#This Row],[Verb]]="drop",Log[[#This Row],[Verb]]="pass"),Log[[#This Row],[Pts]],0)</f>
      </c>
    </row>
    <row r="1439">
      <c r="A1439" s="11">
        <v>46230</v>
      </c>
      <c r="B1439" t="s">
        <v>597</v>
      </c>
      <c r="C1439" t="s">
        <v>41</v>
      </c>
      <c r="F1439" s="17">
        <f>IF(Log[[#This Row],[ID]]="","",IF(ISNA(MATCH(Log[[#This Row],[ID]],Items[ID],0)),"unknown ID",IF(ISNA(MATCH(Log[[#This Row],[Verb]],VerbList,0)),"unknown verb",IF(Log[[#This Row],[Date]]="","no date",""))))</f>
      </c>
      <c r="G1439" s="17">
        <f>IF(Log[[#This Row],[ID]]="","",IFERROR(VLOOKUP(Log[[#This Row],[Verb]],Verbs,3,FALSE)&amp;"",""))</f>
      </c>
      <c r="H1439" s="17">
        <f>IF(Log[[#This Row],[Date]]="","",INT((Log[[#This Row],[Date]]-Sprint1)/SprintDays)+1)</f>
      </c>
      <c r="I1439" s="17">
        <f>IF(OR(Log[[#This Row],[Verb]]="commit",Log[[#This Row],[Verb]]="carry",Log[[#This Row],[Verb]]="redo"),IF(Log[[#This Row],[Arg]]="",Log[[#This Row],[Sprint]],N(Log[[#This Row],[Arg]])),"")</f>
      </c>
      <c r="J1439" s="17">
        <f>IF(Log[[#This Row],[Verb]]="block",1,IF(OR(Log[[#This Row],[Verb]]="unblock",Log[[#This Row],[Verb]]="done",Log[[#This Row],[Verb]]="drop",Log[[#This Row],[Verb]]="punt",Log[[#This Row],[Verb]]="pass"),0,""))</f>
      </c>
      <c r="K1439" s="17">
        <f>IF(Log[[#This Row],[ID]]="",0,IFERROR(INDEX(Items[Pts],MATCH(Log[[#This Row],[ID]],Items[ID],0))*1,0))</f>
      </c>
      <c r="L1439" s="17">
        <f>IF(Log[[#This Row],[ID]]="","",IFERROR(INDEX(Items[Cur team],MATCH(Log[[#This Row],[ID]],Items[ID],0))&amp;"",""))</f>
      </c>
      <c r="M1439" s="17">
        <f>IF(OR(Log[[#This Row],[Verb]]="done",Log[[#This Row],[Verb]]="punt",Log[[#This Row],[Verb]]="drop",Log[[#This Row],[Verb]]="pass"),Log[[#This Row],[Pts]],0)</f>
      </c>
    </row>
    <row r="1440">
      <c r="A1440" s="11">
        <v>46230</v>
      </c>
      <c r="B1440" t="s">
        <v>664</v>
      </c>
      <c r="C1440" t="s">
        <v>41</v>
      </c>
      <c r="F1440" s="17">
        <f>IF(Log[[#This Row],[ID]]="","",IF(ISNA(MATCH(Log[[#This Row],[ID]],Items[ID],0)),"unknown ID",IF(ISNA(MATCH(Log[[#This Row],[Verb]],VerbList,0)),"unknown verb",IF(Log[[#This Row],[Date]]="","no date",""))))</f>
      </c>
      <c r="G1440" s="17">
        <f>IF(Log[[#This Row],[ID]]="","",IFERROR(VLOOKUP(Log[[#This Row],[Verb]],Verbs,3,FALSE)&amp;"",""))</f>
      </c>
      <c r="H1440" s="17">
        <f>IF(Log[[#This Row],[Date]]="","",INT((Log[[#This Row],[Date]]-Sprint1)/SprintDays)+1)</f>
      </c>
      <c r="I1440" s="17">
        <f>IF(OR(Log[[#This Row],[Verb]]="commit",Log[[#This Row],[Verb]]="carry",Log[[#This Row],[Verb]]="redo"),IF(Log[[#This Row],[Arg]]="",Log[[#This Row],[Sprint]],N(Log[[#This Row],[Arg]])),"")</f>
      </c>
      <c r="J1440" s="17">
        <f>IF(Log[[#This Row],[Verb]]="block",1,IF(OR(Log[[#This Row],[Verb]]="unblock",Log[[#This Row],[Verb]]="done",Log[[#This Row],[Verb]]="drop",Log[[#This Row],[Verb]]="punt",Log[[#This Row],[Verb]]="pass"),0,""))</f>
      </c>
      <c r="K1440" s="17">
        <f>IF(Log[[#This Row],[ID]]="",0,IFERROR(INDEX(Items[Pts],MATCH(Log[[#This Row],[ID]],Items[ID],0))*1,0))</f>
      </c>
      <c r="L1440" s="17">
        <f>IF(Log[[#This Row],[ID]]="","",IFERROR(INDEX(Items[Cur team],MATCH(Log[[#This Row],[ID]],Items[ID],0))&amp;"",""))</f>
      </c>
      <c r="M1440" s="17">
        <f>IF(OR(Log[[#This Row],[Verb]]="done",Log[[#This Row],[Verb]]="punt",Log[[#This Row],[Verb]]="drop",Log[[#This Row],[Verb]]="pass"),Log[[#This Row],[Pts]],0)</f>
      </c>
    </row>
    <row r="1441">
      <c r="A1441" s="11">
        <v>46230</v>
      </c>
      <c r="B1441" t="s">
        <v>715</v>
      </c>
      <c r="C1441" t="s">
        <v>41</v>
      </c>
      <c r="F1441" s="17">
        <f>IF(Log[[#This Row],[ID]]="","",IF(ISNA(MATCH(Log[[#This Row],[ID]],Items[ID],0)),"unknown ID",IF(ISNA(MATCH(Log[[#This Row],[Verb]],VerbList,0)),"unknown verb",IF(Log[[#This Row],[Date]]="","no date",""))))</f>
      </c>
      <c r="G1441" s="17">
        <f>IF(Log[[#This Row],[ID]]="","",IFERROR(VLOOKUP(Log[[#This Row],[Verb]],Verbs,3,FALSE)&amp;"",""))</f>
      </c>
      <c r="H1441" s="17">
        <f>IF(Log[[#This Row],[Date]]="","",INT((Log[[#This Row],[Date]]-Sprint1)/SprintDays)+1)</f>
      </c>
      <c r="I1441" s="17">
        <f>IF(OR(Log[[#This Row],[Verb]]="commit",Log[[#This Row],[Verb]]="carry",Log[[#This Row],[Verb]]="redo"),IF(Log[[#This Row],[Arg]]="",Log[[#This Row],[Sprint]],N(Log[[#This Row],[Arg]])),"")</f>
      </c>
      <c r="J1441" s="17">
        <f>IF(Log[[#This Row],[Verb]]="block",1,IF(OR(Log[[#This Row],[Verb]]="unblock",Log[[#This Row],[Verb]]="done",Log[[#This Row],[Verb]]="drop",Log[[#This Row],[Verb]]="punt",Log[[#This Row],[Verb]]="pass"),0,""))</f>
      </c>
      <c r="K1441" s="17">
        <f>IF(Log[[#This Row],[ID]]="",0,IFERROR(INDEX(Items[Pts],MATCH(Log[[#This Row],[ID]],Items[ID],0))*1,0))</f>
      </c>
      <c r="L1441" s="17">
        <f>IF(Log[[#This Row],[ID]]="","",IFERROR(INDEX(Items[Cur team],MATCH(Log[[#This Row],[ID]],Items[ID],0))&amp;"",""))</f>
      </c>
      <c r="M1441" s="17">
        <f>IF(OR(Log[[#This Row],[Verb]]="done",Log[[#This Row],[Verb]]="punt",Log[[#This Row],[Verb]]="drop",Log[[#This Row],[Verb]]="pass"),Log[[#This Row],[Pts]],0)</f>
      </c>
    </row>
    <row r="1442">
      <c r="A1442" s="11">
        <v>46230</v>
      </c>
      <c r="B1442" t="s">
        <v>766</v>
      </c>
      <c r="C1442" t="s">
        <v>41</v>
      </c>
      <c r="F1442" s="17">
        <f>IF(Log[[#This Row],[ID]]="","",IF(ISNA(MATCH(Log[[#This Row],[ID]],Items[ID],0)),"unknown ID",IF(ISNA(MATCH(Log[[#This Row],[Verb]],VerbList,0)),"unknown verb",IF(Log[[#This Row],[Date]]="","no date",""))))</f>
      </c>
      <c r="G1442" s="17">
        <f>IF(Log[[#This Row],[ID]]="","",IFERROR(VLOOKUP(Log[[#This Row],[Verb]],Verbs,3,FALSE)&amp;"",""))</f>
      </c>
      <c r="H1442" s="17">
        <f>IF(Log[[#This Row],[Date]]="","",INT((Log[[#This Row],[Date]]-Sprint1)/SprintDays)+1)</f>
      </c>
      <c r="I1442" s="17">
        <f>IF(OR(Log[[#This Row],[Verb]]="commit",Log[[#This Row],[Verb]]="carry",Log[[#This Row],[Verb]]="redo"),IF(Log[[#This Row],[Arg]]="",Log[[#This Row],[Sprint]],N(Log[[#This Row],[Arg]])),"")</f>
      </c>
      <c r="J1442" s="17">
        <f>IF(Log[[#This Row],[Verb]]="block",1,IF(OR(Log[[#This Row],[Verb]]="unblock",Log[[#This Row],[Verb]]="done",Log[[#This Row],[Verb]]="drop",Log[[#This Row],[Verb]]="punt",Log[[#This Row],[Verb]]="pass"),0,""))</f>
      </c>
      <c r="K1442" s="17">
        <f>IF(Log[[#This Row],[ID]]="",0,IFERROR(INDEX(Items[Pts],MATCH(Log[[#This Row],[ID]],Items[ID],0))*1,0))</f>
      </c>
      <c r="L1442" s="17">
        <f>IF(Log[[#This Row],[ID]]="","",IFERROR(INDEX(Items[Cur team],MATCH(Log[[#This Row],[ID]],Items[ID],0))&amp;"",""))</f>
      </c>
      <c r="M1442" s="17">
        <f>IF(OR(Log[[#This Row],[Verb]]="done",Log[[#This Row],[Verb]]="punt",Log[[#This Row],[Verb]]="drop",Log[[#This Row],[Verb]]="pass"),Log[[#This Row],[Pts]],0)</f>
      </c>
    </row>
    <row r="1443">
      <c r="A1443" s="11">
        <v>46230</v>
      </c>
      <c r="B1443" t="s">
        <v>767</v>
      </c>
      <c r="C1443" t="s">
        <v>41</v>
      </c>
      <c r="F1443" s="17">
        <f>IF(Log[[#This Row],[ID]]="","",IF(ISNA(MATCH(Log[[#This Row],[ID]],Items[ID],0)),"unknown ID",IF(ISNA(MATCH(Log[[#This Row],[Verb]],VerbList,0)),"unknown verb",IF(Log[[#This Row],[Date]]="","no date",""))))</f>
      </c>
      <c r="G1443" s="17">
        <f>IF(Log[[#This Row],[ID]]="","",IFERROR(VLOOKUP(Log[[#This Row],[Verb]],Verbs,3,FALSE)&amp;"",""))</f>
      </c>
      <c r="H1443" s="17">
        <f>IF(Log[[#This Row],[Date]]="","",INT((Log[[#This Row],[Date]]-Sprint1)/SprintDays)+1)</f>
      </c>
      <c r="I1443" s="17">
        <f>IF(OR(Log[[#This Row],[Verb]]="commit",Log[[#This Row],[Verb]]="carry",Log[[#This Row],[Verb]]="redo"),IF(Log[[#This Row],[Arg]]="",Log[[#This Row],[Sprint]],N(Log[[#This Row],[Arg]])),"")</f>
      </c>
      <c r="J1443" s="17">
        <f>IF(Log[[#This Row],[Verb]]="block",1,IF(OR(Log[[#This Row],[Verb]]="unblock",Log[[#This Row],[Verb]]="done",Log[[#This Row],[Verb]]="drop",Log[[#This Row],[Verb]]="punt",Log[[#This Row],[Verb]]="pass"),0,""))</f>
      </c>
      <c r="K1443" s="17">
        <f>IF(Log[[#This Row],[ID]]="",0,IFERROR(INDEX(Items[Pts],MATCH(Log[[#This Row],[ID]],Items[ID],0))*1,0))</f>
      </c>
      <c r="L1443" s="17">
        <f>IF(Log[[#This Row],[ID]]="","",IFERROR(INDEX(Items[Cur team],MATCH(Log[[#This Row],[ID]],Items[ID],0))&amp;"",""))</f>
      </c>
      <c r="M1443" s="17">
        <f>IF(OR(Log[[#This Row],[Verb]]="done",Log[[#This Row],[Verb]]="punt",Log[[#This Row],[Verb]]="drop",Log[[#This Row],[Verb]]="pass"),Log[[#This Row],[Pts]],0)</f>
      </c>
    </row>
    <row r="1444">
      <c r="A1444" s="11">
        <v>46230</v>
      </c>
      <c r="B1444" t="s">
        <v>768</v>
      </c>
      <c r="C1444" t="s">
        <v>41</v>
      </c>
      <c r="F1444" s="17">
        <f>IF(Log[[#This Row],[ID]]="","",IF(ISNA(MATCH(Log[[#This Row],[ID]],Items[ID],0)),"unknown ID",IF(ISNA(MATCH(Log[[#This Row],[Verb]],VerbList,0)),"unknown verb",IF(Log[[#This Row],[Date]]="","no date",""))))</f>
      </c>
      <c r="G1444" s="17">
        <f>IF(Log[[#This Row],[ID]]="","",IFERROR(VLOOKUP(Log[[#This Row],[Verb]],Verbs,3,FALSE)&amp;"",""))</f>
      </c>
      <c r="H1444" s="17">
        <f>IF(Log[[#This Row],[Date]]="","",INT((Log[[#This Row],[Date]]-Sprint1)/SprintDays)+1)</f>
      </c>
      <c r="I1444" s="17">
        <f>IF(OR(Log[[#This Row],[Verb]]="commit",Log[[#This Row],[Verb]]="carry",Log[[#This Row],[Verb]]="redo"),IF(Log[[#This Row],[Arg]]="",Log[[#This Row],[Sprint]],N(Log[[#This Row],[Arg]])),"")</f>
      </c>
      <c r="J1444" s="17">
        <f>IF(Log[[#This Row],[Verb]]="block",1,IF(OR(Log[[#This Row],[Verb]]="unblock",Log[[#This Row],[Verb]]="done",Log[[#This Row],[Verb]]="drop",Log[[#This Row],[Verb]]="punt",Log[[#This Row],[Verb]]="pass"),0,""))</f>
      </c>
      <c r="K1444" s="17">
        <f>IF(Log[[#This Row],[ID]]="",0,IFERROR(INDEX(Items[Pts],MATCH(Log[[#This Row],[ID]],Items[ID],0))*1,0))</f>
      </c>
      <c r="L1444" s="17">
        <f>IF(Log[[#This Row],[ID]]="","",IFERROR(INDEX(Items[Cur team],MATCH(Log[[#This Row],[ID]],Items[ID],0))&amp;"",""))</f>
      </c>
      <c r="M1444" s="17">
        <f>IF(OR(Log[[#This Row],[Verb]]="done",Log[[#This Row],[Verb]]="punt",Log[[#This Row],[Verb]]="drop",Log[[#This Row],[Verb]]="pass"),Log[[#This Row],[Pts]],0)</f>
      </c>
    </row>
    <row r="1445">
      <c r="A1445" s="11">
        <v>46230</v>
      </c>
      <c r="B1445" t="s">
        <v>769</v>
      </c>
      <c r="C1445" t="s">
        <v>41</v>
      </c>
      <c r="F1445" s="17">
        <f>IF(Log[[#This Row],[ID]]="","",IF(ISNA(MATCH(Log[[#This Row],[ID]],Items[ID],0)),"unknown ID",IF(ISNA(MATCH(Log[[#This Row],[Verb]],VerbList,0)),"unknown verb",IF(Log[[#This Row],[Date]]="","no date",""))))</f>
      </c>
      <c r="G1445" s="17">
        <f>IF(Log[[#This Row],[ID]]="","",IFERROR(VLOOKUP(Log[[#This Row],[Verb]],Verbs,3,FALSE)&amp;"",""))</f>
      </c>
      <c r="H1445" s="17">
        <f>IF(Log[[#This Row],[Date]]="","",INT((Log[[#This Row],[Date]]-Sprint1)/SprintDays)+1)</f>
      </c>
      <c r="I1445" s="17">
        <f>IF(OR(Log[[#This Row],[Verb]]="commit",Log[[#This Row],[Verb]]="carry",Log[[#This Row],[Verb]]="redo"),IF(Log[[#This Row],[Arg]]="",Log[[#This Row],[Sprint]],N(Log[[#This Row],[Arg]])),"")</f>
      </c>
      <c r="J1445" s="17">
        <f>IF(Log[[#This Row],[Verb]]="block",1,IF(OR(Log[[#This Row],[Verb]]="unblock",Log[[#This Row],[Verb]]="done",Log[[#This Row],[Verb]]="drop",Log[[#This Row],[Verb]]="punt",Log[[#This Row],[Verb]]="pass"),0,""))</f>
      </c>
      <c r="K1445" s="17">
        <f>IF(Log[[#This Row],[ID]]="",0,IFERROR(INDEX(Items[Pts],MATCH(Log[[#This Row],[ID]],Items[ID],0))*1,0))</f>
      </c>
      <c r="L1445" s="17">
        <f>IF(Log[[#This Row],[ID]]="","",IFERROR(INDEX(Items[Cur team],MATCH(Log[[#This Row],[ID]],Items[ID],0))&amp;"",""))</f>
      </c>
      <c r="M1445" s="17">
        <f>IF(OR(Log[[#This Row],[Verb]]="done",Log[[#This Row],[Verb]]="punt",Log[[#This Row],[Verb]]="drop",Log[[#This Row],[Verb]]="pass"),Log[[#This Row],[Pts]],0)</f>
      </c>
    </row>
    <row r="1446">
      <c r="A1446" s="11">
        <v>46230</v>
      </c>
      <c r="B1446" t="s">
        <v>721</v>
      </c>
      <c r="C1446" t="s">
        <v>41</v>
      </c>
      <c r="F1446" s="17">
        <f>IF(Log[[#This Row],[ID]]="","",IF(ISNA(MATCH(Log[[#This Row],[ID]],Items[ID],0)),"unknown ID",IF(ISNA(MATCH(Log[[#This Row],[Verb]],VerbList,0)),"unknown verb",IF(Log[[#This Row],[Date]]="","no date",""))))</f>
      </c>
      <c r="G1446" s="17">
        <f>IF(Log[[#This Row],[ID]]="","",IFERROR(VLOOKUP(Log[[#This Row],[Verb]],Verbs,3,FALSE)&amp;"",""))</f>
      </c>
      <c r="H1446" s="17">
        <f>IF(Log[[#This Row],[Date]]="","",INT((Log[[#This Row],[Date]]-Sprint1)/SprintDays)+1)</f>
      </c>
      <c r="I1446" s="17">
        <f>IF(OR(Log[[#This Row],[Verb]]="commit",Log[[#This Row],[Verb]]="carry",Log[[#This Row],[Verb]]="redo"),IF(Log[[#This Row],[Arg]]="",Log[[#This Row],[Sprint]],N(Log[[#This Row],[Arg]])),"")</f>
      </c>
      <c r="J1446" s="17">
        <f>IF(Log[[#This Row],[Verb]]="block",1,IF(OR(Log[[#This Row],[Verb]]="unblock",Log[[#This Row],[Verb]]="done",Log[[#This Row],[Verb]]="drop",Log[[#This Row],[Verb]]="punt",Log[[#This Row],[Verb]]="pass"),0,""))</f>
      </c>
      <c r="K1446" s="17">
        <f>IF(Log[[#This Row],[ID]]="",0,IFERROR(INDEX(Items[Pts],MATCH(Log[[#This Row],[ID]],Items[ID],0))*1,0))</f>
      </c>
      <c r="L1446" s="17">
        <f>IF(Log[[#This Row],[ID]]="","",IFERROR(INDEX(Items[Cur team],MATCH(Log[[#This Row],[ID]],Items[ID],0))&amp;"",""))</f>
      </c>
      <c r="M1446" s="17">
        <f>IF(OR(Log[[#This Row],[Verb]]="done",Log[[#This Row],[Verb]]="punt",Log[[#This Row],[Verb]]="drop",Log[[#This Row],[Verb]]="pass"),Log[[#This Row],[Pts]],0)</f>
      </c>
    </row>
    <row r="1447">
      <c r="A1447" s="11">
        <v>46230</v>
      </c>
      <c r="B1447" t="s">
        <v>724</v>
      </c>
      <c r="C1447" t="s">
        <v>38</v>
      </c>
      <c r="D1447">
        <v>49</v>
      </c>
      <c r="F1447" s="17">
        <f>IF(Log[[#This Row],[ID]]="","",IF(ISNA(MATCH(Log[[#This Row],[ID]],Items[ID],0)),"unknown ID",IF(ISNA(MATCH(Log[[#This Row],[Verb]],VerbList,0)),"unknown verb",IF(Log[[#This Row],[Date]]="","no date",""))))</f>
      </c>
      <c r="G1447" s="17">
        <f>IF(Log[[#This Row],[ID]]="","",IFERROR(VLOOKUP(Log[[#This Row],[Verb]],Verbs,3,FALSE)&amp;"",""))</f>
      </c>
      <c r="H1447" s="17">
        <f>IF(Log[[#This Row],[Date]]="","",INT((Log[[#This Row],[Date]]-Sprint1)/SprintDays)+1)</f>
      </c>
      <c r="I1447" s="17">
        <f>IF(OR(Log[[#This Row],[Verb]]="commit",Log[[#This Row],[Verb]]="carry",Log[[#This Row],[Verb]]="redo"),IF(Log[[#This Row],[Arg]]="",Log[[#This Row],[Sprint]],N(Log[[#This Row],[Arg]])),"")</f>
      </c>
      <c r="J1447" s="17">
        <f>IF(Log[[#This Row],[Verb]]="block",1,IF(OR(Log[[#This Row],[Verb]]="unblock",Log[[#This Row],[Verb]]="done",Log[[#This Row],[Verb]]="drop",Log[[#This Row],[Verb]]="punt",Log[[#This Row],[Verb]]="pass"),0,""))</f>
      </c>
      <c r="K1447" s="17">
        <f>IF(Log[[#This Row],[ID]]="",0,IFERROR(INDEX(Items[Pts],MATCH(Log[[#This Row],[ID]],Items[ID],0))*1,0))</f>
      </c>
      <c r="L1447" s="17">
        <f>IF(Log[[#This Row],[ID]]="","",IFERROR(INDEX(Items[Cur team],MATCH(Log[[#This Row],[ID]],Items[ID],0))&amp;"",""))</f>
      </c>
      <c r="M1447" s="17">
        <f>IF(OR(Log[[#This Row],[Verb]]="done",Log[[#This Row],[Verb]]="punt",Log[[#This Row],[Verb]]="drop",Log[[#This Row],[Verb]]="pass"),Log[[#This Row],[Pts]],0)</f>
      </c>
    </row>
    <row r="1448">
      <c r="A1448" s="11">
        <v>46230</v>
      </c>
      <c r="B1448" t="s">
        <v>770</v>
      </c>
      <c r="C1448" t="s">
        <v>41</v>
      </c>
      <c r="F1448" s="17">
        <f>IF(Log[[#This Row],[ID]]="","",IF(ISNA(MATCH(Log[[#This Row],[ID]],Items[ID],0)),"unknown ID",IF(ISNA(MATCH(Log[[#This Row],[Verb]],VerbList,0)),"unknown verb",IF(Log[[#This Row],[Date]]="","no date",""))))</f>
      </c>
      <c r="G1448" s="17">
        <f>IF(Log[[#This Row],[ID]]="","",IFERROR(VLOOKUP(Log[[#This Row],[Verb]],Verbs,3,FALSE)&amp;"",""))</f>
      </c>
      <c r="H1448" s="17">
        <f>IF(Log[[#This Row],[Date]]="","",INT((Log[[#This Row],[Date]]-Sprint1)/SprintDays)+1)</f>
      </c>
      <c r="I1448" s="17">
        <f>IF(OR(Log[[#This Row],[Verb]]="commit",Log[[#This Row],[Verb]]="carry",Log[[#This Row],[Verb]]="redo"),IF(Log[[#This Row],[Arg]]="",Log[[#This Row],[Sprint]],N(Log[[#This Row],[Arg]])),"")</f>
      </c>
      <c r="J1448" s="17">
        <f>IF(Log[[#This Row],[Verb]]="block",1,IF(OR(Log[[#This Row],[Verb]]="unblock",Log[[#This Row],[Verb]]="done",Log[[#This Row],[Verb]]="drop",Log[[#This Row],[Verb]]="punt",Log[[#This Row],[Verb]]="pass"),0,""))</f>
      </c>
      <c r="K1448" s="17">
        <f>IF(Log[[#This Row],[ID]]="",0,IFERROR(INDEX(Items[Pts],MATCH(Log[[#This Row],[ID]],Items[ID],0))*1,0))</f>
      </c>
      <c r="L1448" s="17">
        <f>IF(Log[[#This Row],[ID]]="","",IFERROR(INDEX(Items[Cur team],MATCH(Log[[#This Row],[ID]],Items[ID],0))&amp;"",""))</f>
      </c>
      <c r="M1448" s="17">
        <f>IF(OR(Log[[#This Row],[Verb]]="done",Log[[#This Row],[Verb]]="punt",Log[[#This Row],[Verb]]="drop",Log[[#This Row],[Verb]]="pass"),Log[[#This Row],[Pts]],0)</f>
      </c>
    </row>
    <row r="1449">
      <c r="A1449" s="11">
        <v>46230</v>
      </c>
      <c r="B1449" t="s">
        <v>771</v>
      </c>
      <c r="C1449" t="s">
        <v>41</v>
      </c>
      <c r="F1449" s="17">
        <f>IF(Log[[#This Row],[ID]]="","",IF(ISNA(MATCH(Log[[#This Row],[ID]],Items[ID],0)),"unknown ID",IF(ISNA(MATCH(Log[[#This Row],[Verb]],VerbList,0)),"unknown verb",IF(Log[[#This Row],[Date]]="","no date",""))))</f>
      </c>
      <c r="G1449" s="17">
        <f>IF(Log[[#This Row],[ID]]="","",IFERROR(VLOOKUP(Log[[#This Row],[Verb]],Verbs,3,FALSE)&amp;"",""))</f>
      </c>
      <c r="H1449" s="17">
        <f>IF(Log[[#This Row],[Date]]="","",INT((Log[[#This Row],[Date]]-Sprint1)/SprintDays)+1)</f>
      </c>
      <c r="I1449" s="17">
        <f>IF(OR(Log[[#This Row],[Verb]]="commit",Log[[#This Row],[Verb]]="carry",Log[[#This Row],[Verb]]="redo"),IF(Log[[#This Row],[Arg]]="",Log[[#This Row],[Sprint]],N(Log[[#This Row],[Arg]])),"")</f>
      </c>
      <c r="J1449" s="17">
        <f>IF(Log[[#This Row],[Verb]]="block",1,IF(OR(Log[[#This Row],[Verb]]="unblock",Log[[#This Row],[Verb]]="done",Log[[#This Row],[Verb]]="drop",Log[[#This Row],[Verb]]="punt",Log[[#This Row],[Verb]]="pass"),0,""))</f>
      </c>
      <c r="K1449" s="17">
        <f>IF(Log[[#This Row],[ID]]="",0,IFERROR(INDEX(Items[Pts],MATCH(Log[[#This Row],[ID]],Items[ID],0))*1,0))</f>
      </c>
      <c r="L1449" s="17">
        <f>IF(Log[[#This Row],[ID]]="","",IFERROR(INDEX(Items[Cur team],MATCH(Log[[#This Row],[ID]],Items[ID],0))&amp;"",""))</f>
      </c>
      <c r="M1449" s="17">
        <f>IF(OR(Log[[#This Row],[Verb]]="done",Log[[#This Row],[Verb]]="punt",Log[[#This Row],[Verb]]="drop",Log[[#This Row],[Verb]]="pass"),Log[[#This Row],[Pts]],0)</f>
      </c>
    </row>
    <row r="1450">
      <c r="A1450" s="11">
        <v>46230</v>
      </c>
      <c r="B1450" t="s">
        <v>772</v>
      </c>
      <c r="C1450" t="s">
        <v>41</v>
      </c>
      <c r="F1450" s="17">
        <f>IF(Log[[#This Row],[ID]]="","",IF(ISNA(MATCH(Log[[#This Row],[ID]],Items[ID],0)),"unknown ID",IF(ISNA(MATCH(Log[[#This Row],[Verb]],VerbList,0)),"unknown verb",IF(Log[[#This Row],[Date]]="","no date",""))))</f>
      </c>
      <c r="G1450" s="17">
        <f>IF(Log[[#This Row],[ID]]="","",IFERROR(VLOOKUP(Log[[#This Row],[Verb]],Verbs,3,FALSE)&amp;"",""))</f>
      </c>
      <c r="H1450" s="17">
        <f>IF(Log[[#This Row],[Date]]="","",INT((Log[[#This Row],[Date]]-Sprint1)/SprintDays)+1)</f>
      </c>
      <c r="I1450" s="17">
        <f>IF(OR(Log[[#This Row],[Verb]]="commit",Log[[#This Row],[Verb]]="carry",Log[[#This Row],[Verb]]="redo"),IF(Log[[#This Row],[Arg]]="",Log[[#This Row],[Sprint]],N(Log[[#This Row],[Arg]])),"")</f>
      </c>
      <c r="J1450" s="17">
        <f>IF(Log[[#This Row],[Verb]]="block",1,IF(OR(Log[[#This Row],[Verb]]="unblock",Log[[#This Row],[Verb]]="done",Log[[#This Row],[Verb]]="drop",Log[[#This Row],[Verb]]="punt",Log[[#This Row],[Verb]]="pass"),0,""))</f>
      </c>
      <c r="K1450" s="17">
        <f>IF(Log[[#This Row],[ID]]="",0,IFERROR(INDEX(Items[Pts],MATCH(Log[[#This Row],[ID]],Items[ID],0))*1,0))</f>
      </c>
      <c r="L1450" s="17">
        <f>IF(Log[[#This Row],[ID]]="","",IFERROR(INDEX(Items[Cur team],MATCH(Log[[#This Row],[ID]],Items[ID],0))&amp;"",""))</f>
      </c>
      <c r="M1450" s="17">
        <f>IF(OR(Log[[#This Row],[Verb]]="done",Log[[#This Row],[Verb]]="punt",Log[[#This Row],[Verb]]="drop",Log[[#This Row],[Verb]]="pass"),Log[[#This Row],[Pts]],0)</f>
      </c>
    </row>
    <row r="1451">
      <c r="A1451" s="11">
        <v>46230</v>
      </c>
      <c r="B1451" t="s">
        <v>773</v>
      </c>
      <c r="C1451" t="s">
        <v>41</v>
      </c>
      <c r="F1451" s="17">
        <f>IF(Log[[#This Row],[ID]]="","",IF(ISNA(MATCH(Log[[#This Row],[ID]],Items[ID],0)),"unknown ID",IF(ISNA(MATCH(Log[[#This Row],[Verb]],VerbList,0)),"unknown verb",IF(Log[[#This Row],[Date]]="","no date",""))))</f>
      </c>
      <c r="G1451" s="17">
        <f>IF(Log[[#This Row],[ID]]="","",IFERROR(VLOOKUP(Log[[#This Row],[Verb]],Verbs,3,FALSE)&amp;"",""))</f>
      </c>
      <c r="H1451" s="17">
        <f>IF(Log[[#This Row],[Date]]="","",INT((Log[[#This Row],[Date]]-Sprint1)/SprintDays)+1)</f>
      </c>
      <c r="I1451" s="17">
        <f>IF(OR(Log[[#This Row],[Verb]]="commit",Log[[#This Row],[Verb]]="carry",Log[[#This Row],[Verb]]="redo"),IF(Log[[#This Row],[Arg]]="",Log[[#This Row],[Sprint]],N(Log[[#This Row],[Arg]])),"")</f>
      </c>
      <c r="J1451" s="17">
        <f>IF(Log[[#This Row],[Verb]]="block",1,IF(OR(Log[[#This Row],[Verb]]="unblock",Log[[#This Row],[Verb]]="done",Log[[#This Row],[Verb]]="drop",Log[[#This Row],[Verb]]="punt",Log[[#This Row],[Verb]]="pass"),0,""))</f>
      </c>
      <c r="K1451" s="17">
        <f>IF(Log[[#This Row],[ID]]="",0,IFERROR(INDEX(Items[Pts],MATCH(Log[[#This Row],[ID]],Items[ID],0))*1,0))</f>
      </c>
      <c r="L1451" s="17">
        <f>IF(Log[[#This Row],[ID]]="","",IFERROR(INDEX(Items[Cur team],MATCH(Log[[#This Row],[ID]],Items[ID],0))&amp;"",""))</f>
      </c>
      <c r="M1451" s="17">
        <f>IF(OR(Log[[#This Row],[Verb]]="done",Log[[#This Row],[Verb]]="punt",Log[[#This Row],[Verb]]="drop",Log[[#This Row],[Verb]]="pass"),Log[[#This Row],[Pts]],0)</f>
      </c>
    </row>
    <row r="1452">
      <c r="A1452" s="11">
        <v>46230</v>
      </c>
      <c r="B1452" t="s">
        <v>774</v>
      </c>
      <c r="C1452" t="s">
        <v>41</v>
      </c>
      <c r="F1452" s="17">
        <f>IF(Log[[#This Row],[ID]]="","",IF(ISNA(MATCH(Log[[#This Row],[ID]],Items[ID],0)),"unknown ID",IF(ISNA(MATCH(Log[[#This Row],[Verb]],VerbList,0)),"unknown verb",IF(Log[[#This Row],[Date]]="","no date",""))))</f>
      </c>
      <c r="G1452" s="17">
        <f>IF(Log[[#This Row],[ID]]="","",IFERROR(VLOOKUP(Log[[#This Row],[Verb]],Verbs,3,FALSE)&amp;"",""))</f>
      </c>
      <c r="H1452" s="17">
        <f>IF(Log[[#This Row],[Date]]="","",INT((Log[[#This Row],[Date]]-Sprint1)/SprintDays)+1)</f>
      </c>
      <c r="I1452" s="17">
        <f>IF(OR(Log[[#This Row],[Verb]]="commit",Log[[#This Row],[Verb]]="carry",Log[[#This Row],[Verb]]="redo"),IF(Log[[#This Row],[Arg]]="",Log[[#This Row],[Sprint]],N(Log[[#This Row],[Arg]])),"")</f>
      </c>
      <c r="J1452" s="17">
        <f>IF(Log[[#This Row],[Verb]]="block",1,IF(OR(Log[[#This Row],[Verb]]="unblock",Log[[#This Row],[Verb]]="done",Log[[#This Row],[Verb]]="drop",Log[[#This Row],[Verb]]="punt",Log[[#This Row],[Verb]]="pass"),0,""))</f>
      </c>
      <c r="K1452" s="17">
        <f>IF(Log[[#This Row],[ID]]="",0,IFERROR(INDEX(Items[Pts],MATCH(Log[[#This Row],[ID]],Items[ID],0))*1,0))</f>
      </c>
      <c r="L1452" s="17">
        <f>IF(Log[[#This Row],[ID]]="","",IFERROR(INDEX(Items[Cur team],MATCH(Log[[#This Row],[ID]],Items[ID],0))&amp;"",""))</f>
      </c>
      <c r="M1452" s="17">
        <f>IF(OR(Log[[#This Row],[Verb]]="done",Log[[#This Row],[Verb]]="punt",Log[[#This Row],[Verb]]="drop",Log[[#This Row],[Verb]]="pass"),Log[[#This Row],[Pts]],0)</f>
      </c>
    </row>
    <row r="1453">
      <c r="A1453" s="11">
        <v>46230</v>
      </c>
      <c r="B1453" t="s">
        <v>728</v>
      </c>
      <c r="C1453" t="s">
        <v>41</v>
      </c>
      <c r="F1453" s="17">
        <f>IF(Log[[#This Row],[ID]]="","",IF(ISNA(MATCH(Log[[#This Row],[ID]],Items[ID],0)),"unknown ID",IF(ISNA(MATCH(Log[[#This Row],[Verb]],VerbList,0)),"unknown verb",IF(Log[[#This Row],[Date]]="","no date",""))))</f>
      </c>
      <c r="G1453" s="17">
        <f>IF(Log[[#This Row],[ID]]="","",IFERROR(VLOOKUP(Log[[#This Row],[Verb]],Verbs,3,FALSE)&amp;"",""))</f>
      </c>
      <c r="H1453" s="17">
        <f>IF(Log[[#This Row],[Date]]="","",INT((Log[[#This Row],[Date]]-Sprint1)/SprintDays)+1)</f>
      </c>
      <c r="I1453" s="17">
        <f>IF(OR(Log[[#This Row],[Verb]]="commit",Log[[#This Row],[Verb]]="carry",Log[[#This Row],[Verb]]="redo"),IF(Log[[#This Row],[Arg]]="",Log[[#This Row],[Sprint]],N(Log[[#This Row],[Arg]])),"")</f>
      </c>
      <c r="J1453" s="17">
        <f>IF(Log[[#This Row],[Verb]]="block",1,IF(OR(Log[[#This Row],[Verb]]="unblock",Log[[#This Row],[Verb]]="done",Log[[#This Row],[Verb]]="drop",Log[[#This Row],[Verb]]="punt",Log[[#This Row],[Verb]]="pass"),0,""))</f>
      </c>
      <c r="K1453" s="17">
        <f>IF(Log[[#This Row],[ID]]="",0,IFERROR(INDEX(Items[Pts],MATCH(Log[[#This Row],[ID]],Items[ID],0))*1,0))</f>
      </c>
      <c r="L1453" s="17">
        <f>IF(Log[[#This Row],[ID]]="","",IFERROR(INDEX(Items[Cur team],MATCH(Log[[#This Row],[ID]],Items[ID],0))&amp;"",""))</f>
      </c>
      <c r="M1453" s="17">
        <f>IF(OR(Log[[#This Row],[Verb]]="done",Log[[#This Row],[Verb]]="punt",Log[[#This Row],[Verb]]="drop",Log[[#This Row],[Verb]]="pass"),Log[[#This Row],[Pts]],0)</f>
      </c>
    </row>
    <row r="1454">
      <c r="A1454" s="11">
        <v>46230</v>
      </c>
      <c r="B1454" t="s">
        <v>775</v>
      </c>
      <c r="C1454" t="s">
        <v>41</v>
      </c>
      <c r="F1454" s="17">
        <f>IF(Log[[#This Row],[ID]]="","",IF(ISNA(MATCH(Log[[#This Row],[ID]],Items[ID],0)),"unknown ID",IF(ISNA(MATCH(Log[[#This Row],[Verb]],VerbList,0)),"unknown verb",IF(Log[[#This Row],[Date]]="","no date",""))))</f>
      </c>
      <c r="G1454" s="17">
        <f>IF(Log[[#This Row],[ID]]="","",IFERROR(VLOOKUP(Log[[#This Row],[Verb]],Verbs,3,FALSE)&amp;"",""))</f>
      </c>
      <c r="H1454" s="17">
        <f>IF(Log[[#This Row],[Date]]="","",INT((Log[[#This Row],[Date]]-Sprint1)/SprintDays)+1)</f>
      </c>
      <c r="I1454" s="17">
        <f>IF(OR(Log[[#This Row],[Verb]]="commit",Log[[#This Row],[Verb]]="carry",Log[[#This Row],[Verb]]="redo"),IF(Log[[#This Row],[Arg]]="",Log[[#This Row],[Sprint]],N(Log[[#This Row],[Arg]])),"")</f>
      </c>
      <c r="J1454" s="17">
        <f>IF(Log[[#This Row],[Verb]]="block",1,IF(OR(Log[[#This Row],[Verb]]="unblock",Log[[#This Row],[Verb]]="done",Log[[#This Row],[Verb]]="drop",Log[[#This Row],[Verb]]="punt",Log[[#This Row],[Verb]]="pass"),0,""))</f>
      </c>
      <c r="K1454" s="17">
        <f>IF(Log[[#This Row],[ID]]="",0,IFERROR(INDEX(Items[Pts],MATCH(Log[[#This Row],[ID]],Items[ID],0))*1,0))</f>
      </c>
      <c r="L1454" s="17">
        <f>IF(Log[[#This Row],[ID]]="","",IFERROR(INDEX(Items[Cur team],MATCH(Log[[#This Row],[ID]],Items[ID],0))&amp;"",""))</f>
      </c>
      <c r="M1454" s="17">
        <f>IF(OR(Log[[#This Row],[Verb]]="done",Log[[#This Row],[Verb]]="punt",Log[[#This Row],[Verb]]="drop",Log[[#This Row],[Verb]]="pass"),Log[[#This Row],[Pts]],0)</f>
      </c>
    </row>
    <row r="1455">
      <c r="A1455" s="11">
        <v>46230</v>
      </c>
      <c r="B1455" t="s">
        <v>776</v>
      </c>
      <c r="C1455" t="s">
        <v>41</v>
      </c>
      <c r="F1455" s="17">
        <f>IF(Log[[#This Row],[ID]]="","",IF(ISNA(MATCH(Log[[#This Row],[ID]],Items[ID],0)),"unknown ID",IF(ISNA(MATCH(Log[[#This Row],[Verb]],VerbList,0)),"unknown verb",IF(Log[[#This Row],[Date]]="","no date",""))))</f>
      </c>
      <c r="G1455" s="17">
        <f>IF(Log[[#This Row],[ID]]="","",IFERROR(VLOOKUP(Log[[#This Row],[Verb]],Verbs,3,FALSE)&amp;"",""))</f>
      </c>
      <c r="H1455" s="17">
        <f>IF(Log[[#This Row],[Date]]="","",INT((Log[[#This Row],[Date]]-Sprint1)/SprintDays)+1)</f>
      </c>
      <c r="I1455" s="17">
        <f>IF(OR(Log[[#This Row],[Verb]]="commit",Log[[#This Row],[Verb]]="carry",Log[[#This Row],[Verb]]="redo"),IF(Log[[#This Row],[Arg]]="",Log[[#This Row],[Sprint]],N(Log[[#This Row],[Arg]])),"")</f>
      </c>
      <c r="J1455" s="17">
        <f>IF(Log[[#This Row],[Verb]]="block",1,IF(OR(Log[[#This Row],[Verb]]="unblock",Log[[#This Row],[Verb]]="done",Log[[#This Row],[Verb]]="drop",Log[[#This Row],[Verb]]="punt",Log[[#This Row],[Verb]]="pass"),0,""))</f>
      </c>
      <c r="K1455" s="17">
        <f>IF(Log[[#This Row],[ID]]="",0,IFERROR(INDEX(Items[Pts],MATCH(Log[[#This Row],[ID]],Items[ID],0))*1,0))</f>
      </c>
      <c r="L1455" s="17">
        <f>IF(Log[[#This Row],[ID]]="","",IFERROR(INDEX(Items[Cur team],MATCH(Log[[#This Row],[ID]],Items[ID],0))&amp;"",""))</f>
      </c>
      <c r="M1455" s="17">
        <f>IF(OR(Log[[#This Row],[Verb]]="done",Log[[#This Row],[Verb]]="punt",Log[[#This Row],[Verb]]="drop",Log[[#This Row],[Verb]]="pass"),Log[[#This Row],[Pts]],0)</f>
      </c>
    </row>
    <row r="1456">
      <c r="A1456" s="11">
        <v>46230</v>
      </c>
      <c r="B1456" t="s">
        <v>777</v>
      </c>
      <c r="C1456" t="s">
        <v>41</v>
      </c>
      <c r="F1456" s="17">
        <f>IF(Log[[#This Row],[ID]]="","",IF(ISNA(MATCH(Log[[#This Row],[ID]],Items[ID],0)),"unknown ID",IF(ISNA(MATCH(Log[[#This Row],[Verb]],VerbList,0)),"unknown verb",IF(Log[[#This Row],[Date]]="","no date",""))))</f>
      </c>
      <c r="G1456" s="17">
        <f>IF(Log[[#This Row],[ID]]="","",IFERROR(VLOOKUP(Log[[#This Row],[Verb]],Verbs,3,FALSE)&amp;"",""))</f>
      </c>
      <c r="H1456" s="17">
        <f>IF(Log[[#This Row],[Date]]="","",INT((Log[[#This Row],[Date]]-Sprint1)/SprintDays)+1)</f>
      </c>
      <c r="I1456" s="17">
        <f>IF(OR(Log[[#This Row],[Verb]]="commit",Log[[#This Row],[Verb]]="carry",Log[[#This Row],[Verb]]="redo"),IF(Log[[#This Row],[Arg]]="",Log[[#This Row],[Sprint]],N(Log[[#This Row],[Arg]])),"")</f>
      </c>
      <c r="J1456" s="17">
        <f>IF(Log[[#This Row],[Verb]]="block",1,IF(OR(Log[[#This Row],[Verb]]="unblock",Log[[#This Row],[Verb]]="done",Log[[#This Row],[Verb]]="drop",Log[[#This Row],[Verb]]="punt",Log[[#This Row],[Verb]]="pass"),0,""))</f>
      </c>
      <c r="K1456" s="17">
        <f>IF(Log[[#This Row],[ID]]="",0,IFERROR(INDEX(Items[Pts],MATCH(Log[[#This Row],[ID]],Items[ID],0))*1,0))</f>
      </c>
      <c r="L1456" s="17">
        <f>IF(Log[[#This Row],[ID]]="","",IFERROR(INDEX(Items[Cur team],MATCH(Log[[#This Row],[ID]],Items[ID],0))&amp;"",""))</f>
      </c>
      <c r="M1456" s="17">
        <f>IF(OR(Log[[#This Row],[Verb]]="done",Log[[#This Row],[Verb]]="punt",Log[[#This Row],[Verb]]="drop",Log[[#This Row],[Verb]]="pass"),Log[[#This Row],[Pts]],0)</f>
      </c>
    </row>
    <row r="1457">
      <c r="A1457" s="11">
        <v>46230</v>
      </c>
      <c r="B1457" t="s">
        <v>778</v>
      </c>
      <c r="C1457" t="s">
        <v>41</v>
      </c>
      <c r="F1457" s="17">
        <f>IF(Log[[#This Row],[ID]]="","",IF(ISNA(MATCH(Log[[#This Row],[ID]],Items[ID],0)),"unknown ID",IF(ISNA(MATCH(Log[[#This Row],[Verb]],VerbList,0)),"unknown verb",IF(Log[[#This Row],[Date]]="","no date",""))))</f>
      </c>
      <c r="G1457" s="17">
        <f>IF(Log[[#This Row],[ID]]="","",IFERROR(VLOOKUP(Log[[#This Row],[Verb]],Verbs,3,FALSE)&amp;"",""))</f>
      </c>
      <c r="H1457" s="17">
        <f>IF(Log[[#This Row],[Date]]="","",INT((Log[[#This Row],[Date]]-Sprint1)/SprintDays)+1)</f>
      </c>
      <c r="I1457" s="17">
        <f>IF(OR(Log[[#This Row],[Verb]]="commit",Log[[#This Row],[Verb]]="carry",Log[[#This Row],[Verb]]="redo"),IF(Log[[#This Row],[Arg]]="",Log[[#This Row],[Sprint]],N(Log[[#This Row],[Arg]])),"")</f>
      </c>
      <c r="J1457" s="17">
        <f>IF(Log[[#This Row],[Verb]]="block",1,IF(OR(Log[[#This Row],[Verb]]="unblock",Log[[#This Row],[Verb]]="done",Log[[#This Row],[Verb]]="drop",Log[[#This Row],[Verb]]="punt",Log[[#This Row],[Verb]]="pass"),0,""))</f>
      </c>
      <c r="K1457" s="17">
        <f>IF(Log[[#This Row],[ID]]="",0,IFERROR(INDEX(Items[Pts],MATCH(Log[[#This Row],[ID]],Items[ID],0))*1,0))</f>
      </c>
      <c r="L1457" s="17">
        <f>IF(Log[[#This Row],[ID]]="","",IFERROR(INDEX(Items[Cur team],MATCH(Log[[#This Row],[ID]],Items[ID],0))&amp;"",""))</f>
      </c>
      <c r="M1457" s="17">
        <f>IF(OR(Log[[#This Row],[Verb]]="done",Log[[#This Row],[Verb]]="punt",Log[[#This Row],[Verb]]="drop",Log[[#This Row],[Verb]]="pass"),Log[[#This Row],[Pts]],0)</f>
      </c>
    </row>
    <row r="1458">
      <c r="A1458" s="11">
        <v>46230</v>
      </c>
      <c r="B1458" t="s">
        <v>779</v>
      </c>
      <c r="C1458" t="s">
        <v>41</v>
      </c>
      <c r="F1458" s="17">
        <f>IF(Log[[#This Row],[ID]]="","",IF(ISNA(MATCH(Log[[#This Row],[ID]],Items[ID],0)),"unknown ID",IF(ISNA(MATCH(Log[[#This Row],[Verb]],VerbList,0)),"unknown verb",IF(Log[[#This Row],[Date]]="","no date",""))))</f>
      </c>
      <c r="G1458" s="17">
        <f>IF(Log[[#This Row],[ID]]="","",IFERROR(VLOOKUP(Log[[#This Row],[Verb]],Verbs,3,FALSE)&amp;"",""))</f>
      </c>
      <c r="H1458" s="17">
        <f>IF(Log[[#This Row],[Date]]="","",INT((Log[[#This Row],[Date]]-Sprint1)/SprintDays)+1)</f>
      </c>
      <c r="I1458" s="17">
        <f>IF(OR(Log[[#This Row],[Verb]]="commit",Log[[#This Row],[Verb]]="carry",Log[[#This Row],[Verb]]="redo"),IF(Log[[#This Row],[Arg]]="",Log[[#This Row],[Sprint]],N(Log[[#This Row],[Arg]])),"")</f>
      </c>
      <c r="J1458" s="17">
        <f>IF(Log[[#This Row],[Verb]]="block",1,IF(OR(Log[[#This Row],[Verb]]="unblock",Log[[#This Row],[Verb]]="done",Log[[#This Row],[Verb]]="drop",Log[[#This Row],[Verb]]="punt",Log[[#This Row],[Verb]]="pass"),0,""))</f>
      </c>
      <c r="K1458" s="17">
        <f>IF(Log[[#This Row],[ID]]="",0,IFERROR(INDEX(Items[Pts],MATCH(Log[[#This Row],[ID]],Items[ID],0))*1,0))</f>
      </c>
      <c r="L1458" s="17">
        <f>IF(Log[[#This Row],[ID]]="","",IFERROR(INDEX(Items[Cur team],MATCH(Log[[#This Row],[ID]],Items[ID],0))&amp;"",""))</f>
      </c>
      <c r="M1458" s="17">
        <f>IF(OR(Log[[#This Row],[Verb]]="done",Log[[#This Row],[Verb]]="punt",Log[[#This Row],[Verb]]="drop",Log[[#This Row],[Verb]]="pass"),Log[[#This Row],[Pts]],0)</f>
      </c>
    </row>
    <row r="1459">
      <c r="A1459" s="11">
        <v>46230</v>
      </c>
      <c r="B1459" t="s">
        <v>780</v>
      </c>
      <c r="C1459" t="s">
        <v>41</v>
      </c>
      <c r="F1459" s="17">
        <f>IF(Log[[#This Row],[ID]]="","",IF(ISNA(MATCH(Log[[#This Row],[ID]],Items[ID],0)),"unknown ID",IF(ISNA(MATCH(Log[[#This Row],[Verb]],VerbList,0)),"unknown verb",IF(Log[[#This Row],[Date]]="","no date",""))))</f>
      </c>
      <c r="G1459" s="17">
        <f>IF(Log[[#This Row],[ID]]="","",IFERROR(VLOOKUP(Log[[#This Row],[Verb]],Verbs,3,FALSE)&amp;"",""))</f>
      </c>
      <c r="H1459" s="17">
        <f>IF(Log[[#This Row],[Date]]="","",INT((Log[[#This Row],[Date]]-Sprint1)/SprintDays)+1)</f>
      </c>
      <c r="I1459" s="17">
        <f>IF(OR(Log[[#This Row],[Verb]]="commit",Log[[#This Row],[Verb]]="carry",Log[[#This Row],[Verb]]="redo"),IF(Log[[#This Row],[Arg]]="",Log[[#This Row],[Sprint]],N(Log[[#This Row],[Arg]])),"")</f>
      </c>
      <c r="J1459" s="17">
        <f>IF(Log[[#This Row],[Verb]]="block",1,IF(OR(Log[[#This Row],[Verb]]="unblock",Log[[#This Row],[Verb]]="done",Log[[#This Row],[Verb]]="drop",Log[[#This Row],[Verb]]="punt",Log[[#This Row],[Verb]]="pass"),0,""))</f>
      </c>
      <c r="K1459" s="17">
        <f>IF(Log[[#This Row],[ID]]="",0,IFERROR(INDEX(Items[Pts],MATCH(Log[[#This Row],[ID]],Items[ID],0))*1,0))</f>
      </c>
      <c r="L1459" s="17">
        <f>IF(Log[[#This Row],[ID]]="","",IFERROR(INDEX(Items[Cur team],MATCH(Log[[#This Row],[ID]],Items[ID],0))&amp;"",""))</f>
      </c>
      <c r="M1459" s="17">
        <f>IF(OR(Log[[#This Row],[Verb]]="done",Log[[#This Row],[Verb]]="punt",Log[[#This Row],[Verb]]="drop",Log[[#This Row],[Verb]]="pass"),Log[[#This Row],[Pts]],0)</f>
      </c>
    </row>
    <row r="1460">
      <c r="A1460" s="11">
        <v>46230</v>
      </c>
      <c r="B1460" t="s">
        <v>678</v>
      </c>
      <c r="C1460" t="s">
        <v>41</v>
      </c>
      <c r="F1460" s="17">
        <f>IF(Log[[#This Row],[ID]]="","",IF(ISNA(MATCH(Log[[#This Row],[ID]],Items[ID],0)),"unknown ID",IF(ISNA(MATCH(Log[[#This Row],[Verb]],VerbList,0)),"unknown verb",IF(Log[[#This Row],[Date]]="","no date",""))))</f>
      </c>
      <c r="G1460" s="17">
        <f>IF(Log[[#This Row],[ID]]="","",IFERROR(VLOOKUP(Log[[#This Row],[Verb]],Verbs,3,FALSE)&amp;"",""))</f>
      </c>
      <c r="H1460" s="17">
        <f>IF(Log[[#This Row],[Date]]="","",INT((Log[[#This Row],[Date]]-Sprint1)/SprintDays)+1)</f>
      </c>
      <c r="I1460" s="17">
        <f>IF(OR(Log[[#This Row],[Verb]]="commit",Log[[#This Row],[Verb]]="carry",Log[[#This Row],[Verb]]="redo"),IF(Log[[#This Row],[Arg]]="",Log[[#This Row],[Sprint]],N(Log[[#This Row],[Arg]])),"")</f>
      </c>
      <c r="J1460" s="17">
        <f>IF(Log[[#This Row],[Verb]]="block",1,IF(OR(Log[[#This Row],[Verb]]="unblock",Log[[#This Row],[Verb]]="done",Log[[#This Row],[Verb]]="drop",Log[[#This Row],[Verb]]="punt",Log[[#This Row],[Verb]]="pass"),0,""))</f>
      </c>
      <c r="K1460" s="17">
        <f>IF(Log[[#This Row],[ID]]="",0,IFERROR(INDEX(Items[Pts],MATCH(Log[[#This Row],[ID]],Items[ID],0))*1,0))</f>
      </c>
      <c r="L1460" s="17">
        <f>IF(Log[[#This Row],[ID]]="","",IFERROR(INDEX(Items[Cur team],MATCH(Log[[#This Row],[ID]],Items[ID],0))&amp;"",""))</f>
      </c>
      <c r="M1460" s="17">
        <f>IF(OR(Log[[#This Row],[Verb]]="done",Log[[#This Row],[Verb]]="punt",Log[[#This Row],[Verb]]="drop",Log[[#This Row],[Verb]]="pass"),Log[[#This Row],[Pts]],0)</f>
      </c>
    </row>
    <row r="1461">
      <c r="A1461" s="11">
        <v>46230</v>
      </c>
      <c r="B1461" t="s">
        <v>781</v>
      </c>
      <c r="C1461" t="s">
        <v>41</v>
      </c>
      <c r="F1461" s="17">
        <f>IF(Log[[#This Row],[ID]]="","",IF(ISNA(MATCH(Log[[#This Row],[ID]],Items[ID],0)),"unknown ID",IF(ISNA(MATCH(Log[[#This Row],[Verb]],VerbList,0)),"unknown verb",IF(Log[[#This Row],[Date]]="","no date",""))))</f>
      </c>
      <c r="G1461" s="17">
        <f>IF(Log[[#This Row],[ID]]="","",IFERROR(VLOOKUP(Log[[#This Row],[Verb]],Verbs,3,FALSE)&amp;"",""))</f>
      </c>
      <c r="H1461" s="17">
        <f>IF(Log[[#This Row],[Date]]="","",INT((Log[[#This Row],[Date]]-Sprint1)/SprintDays)+1)</f>
      </c>
      <c r="I1461" s="17">
        <f>IF(OR(Log[[#This Row],[Verb]]="commit",Log[[#This Row],[Verb]]="carry",Log[[#This Row],[Verb]]="redo"),IF(Log[[#This Row],[Arg]]="",Log[[#This Row],[Sprint]],N(Log[[#This Row],[Arg]])),"")</f>
      </c>
      <c r="J1461" s="17">
        <f>IF(Log[[#This Row],[Verb]]="block",1,IF(OR(Log[[#This Row],[Verb]]="unblock",Log[[#This Row],[Verb]]="done",Log[[#This Row],[Verb]]="drop",Log[[#This Row],[Verb]]="punt",Log[[#This Row],[Verb]]="pass"),0,""))</f>
      </c>
      <c r="K1461" s="17">
        <f>IF(Log[[#This Row],[ID]]="",0,IFERROR(INDEX(Items[Pts],MATCH(Log[[#This Row],[ID]],Items[ID],0))*1,0))</f>
      </c>
      <c r="L1461" s="17">
        <f>IF(Log[[#This Row],[ID]]="","",IFERROR(INDEX(Items[Cur team],MATCH(Log[[#This Row],[ID]],Items[ID],0))&amp;"",""))</f>
      </c>
      <c r="M1461" s="17">
        <f>IF(OR(Log[[#This Row],[Verb]]="done",Log[[#This Row],[Verb]]="punt",Log[[#This Row],[Verb]]="drop",Log[[#This Row],[Verb]]="pass"),Log[[#This Row],[Pts]],0)</f>
      </c>
    </row>
    <row r="1462">
      <c r="A1462" s="11">
        <v>46230</v>
      </c>
      <c r="B1462" t="s">
        <v>782</v>
      </c>
      <c r="C1462" t="s">
        <v>41</v>
      </c>
      <c r="F1462" s="17">
        <f>IF(Log[[#This Row],[ID]]="","",IF(ISNA(MATCH(Log[[#This Row],[ID]],Items[ID],0)),"unknown ID",IF(ISNA(MATCH(Log[[#This Row],[Verb]],VerbList,0)),"unknown verb",IF(Log[[#This Row],[Date]]="","no date",""))))</f>
      </c>
      <c r="G1462" s="17">
        <f>IF(Log[[#This Row],[ID]]="","",IFERROR(VLOOKUP(Log[[#This Row],[Verb]],Verbs,3,FALSE)&amp;"",""))</f>
      </c>
      <c r="H1462" s="17">
        <f>IF(Log[[#This Row],[Date]]="","",INT((Log[[#This Row],[Date]]-Sprint1)/SprintDays)+1)</f>
      </c>
      <c r="I1462" s="17">
        <f>IF(OR(Log[[#This Row],[Verb]]="commit",Log[[#This Row],[Verb]]="carry",Log[[#This Row],[Verb]]="redo"),IF(Log[[#This Row],[Arg]]="",Log[[#This Row],[Sprint]],N(Log[[#This Row],[Arg]])),"")</f>
      </c>
      <c r="J1462" s="17">
        <f>IF(Log[[#This Row],[Verb]]="block",1,IF(OR(Log[[#This Row],[Verb]]="unblock",Log[[#This Row],[Verb]]="done",Log[[#This Row],[Verb]]="drop",Log[[#This Row],[Verb]]="punt",Log[[#This Row],[Verb]]="pass"),0,""))</f>
      </c>
      <c r="K1462" s="17">
        <f>IF(Log[[#This Row],[ID]]="",0,IFERROR(INDEX(Items[Pts],MATCH(Log[[#This Row],[ID]],Items[ID],0))*1,0))</f>
      </c>
      <c r="L1462" s="17">
        <f>IF(Log[[#This Row],[ID]]="","",IFERROR(INDEX(Items[Cur team],MATCH(Log[[#This Row],[ID]],Items[ID],0))&amp;"",""))</f>
      </c>
      <c r="M1462" s="17">
        <f>IF(OR(Log[[#This Row],[Verb]]="done",Log[[#This Row],[Verb]]="punt",Log[[#This Row],[Verb]]="drop",Log[[#This Row],[Verb]]="pass"),Log[[#This Row],[Pts]],0)</f>
      </c>
    </row>
    <row r="1463">
      <c r="A1463" s="11">
        <v>46230</v>
      </c>
      <c r="B1463" t="s">
        <v>783</v>
      </c>
      <c r="C1463" t="s">
        <v>41</v>
      </c>
      <c r="F1463" s="17">
        <f>IF(Log[[#This Row],[ID]]="","",IF(ISNA(MATCH(Log[[#This Row],[ID]],Items[ID],0)),"unknown ID",IF(ISNA(MATCH(Log[[#This Row],[Verb]],VerbList,0)),"unknown verb",IF(Log[[#This Row],[Date]]="","no date",""))))</f>
      </c>
      <c r="G1463" s="17">
        <f>IF(Log[[#This Row],[ID]]="","",IFERROR(VLOOKUP(Log[[#This Row],[Verb]],Verbs,3,FALSE)&amp;"",""))</f>
      </c>
      <c r="H1463" s="17">
        <f>IF(Log[[#This Row],[Date]]="","",INT((Log[[#This Row],[Date]]-Sprint1)/SprintDays)+1)</f>
      </c>
      <c r="I1463" s="17">
        <f>IF(OR(Log[[#This Row],[Verb]]="commit",Log[[#This Row],[Verb]]="carry",Log[[#This Row],[Verb]]="redo"),IF(Log[[#This Row],[Arg]]="",Log[[#This Row],[Sprint]],N(Log[[#This Row],[Arg]])),"")</f>
      </c>
      <c r="J1463" s="17">
        <f>IF(Log[[#This Row],[Verb]]="block",1,IF(OR(Log[[#This Row],[Verb]]="unblock",Log[[#This Row],[Verb]]="done",Log[[#This Row],[Verb]]="drop",Log[[#This Row],[Verb]]="punt",Log[[#This Row],[Verb]]="pass"),0,""))</f>
      </c>
      <c r="K1463" s="17">
        <f>IF(Log[[#This Row],[ID]]="",0,IFERROR(INDEX(Items[Pts],MATCH(Log[[#This Row],[ID]],Items[ID],0))*1,0))</f>
      </c>
      <c r="L1463" s="17">
        <f>IF(Log[[#This Row],[ID]]="","",IFERROR(INDEX(Items[Cur team],MATCH(Log[[#This Row],[ID]],Items[ID],0))&amp;"",""))</f>
      </c>
      <c r="M1463" s="17">
        <f>IF(OR(Log[[#This Row],[Verb]]="done",Log[[#This Row],[Verb]]="punt",Log[[#This Row],[Verb]]="drop",Log[[#This Row],[Verb]]="pass"),Log[[#This Row],[Pts]],0)</f>
      </c>
    </row>
    <row r="1464">
      <c r="A1464" s="11">
        <v>46230</v>
      </c>
      <c r="B1464" t="s">
        <v>784</v>
      </c>
      <c r="C1464" t="s">
        <v>41</v>
      </c>
      <c r="F1464" s="17">
        <f>IF(Log[[#This Row],[ID]]="","",IF(ISNA(MATCH(Log[[#This Row],[ID]],Items[ID],0)),"unknown ID",IF(ISNA(MATCH(Log[[#This Row],[Verb]],VerbList,0)),"unknown verb",IF(Log[[#This Row],[Date]]="","no date",""))))</f>
      </c>
      <c r="G1464" s="17">
        <f>IF(Log[[#This Row],[ID]]="","",IFERROR(VLOOKUP(Log[[#This Row],[Verb]],Verbs,3,FALSE)&amp;"",""))</f>
      </c>
      <c r="H1464" s="17">
        <f>IF(Log[[#This Row],[Date]]="","",INT((Log[[#This Row],[Date]]-Sprint1)/SprintDays)+1)</f>
      </c>
      <c r="I1464" s="17">
        <f>IF(OR(Log[[#This Row],[Verb]]="commit",Log[[#This Row],[Verb]]="carry",Log[[#This Row],[Verb]]="redo"),IF(Log[[#This Row],[Arg]]="",Log[[#This Row],[Sprint]],N(Log[[#This Row],[Arg]])),"")</f>
      </c>
      <c r="J1464" s="17">
        <f>IF(Log[[#This Row],[Verb]]="block",1,IF(OR(Log[[#This Row],[Verb]]="unblock",Log[[#This Row],[Verb]]="done",Log[[#This Row],[Verb]]="drop",Log[[#This Row],[Verb]]="punt",Log[[#This Row],[Verb]]="pass"),0,""))</f>
      </c>
      <c r="K1464" s="17">
        <f>IF(Log[[#This Row],[ID]]="",0,IFERROR(INDEX(Items[Pts],MATCH(Log[[#This Row],[ID]],Items[ID],0))*1,0))</f>
      </c>
      <c r="L1464" s="17">
        <f>IF(Log[[#This Row],[ID]]="","",IFERROR(INDEX(Items[Cur team],MATCH(Log[[#This Row],[ID]],Items[ID],0))&amp;"",""))</f>
      </c>
      <c r="M1464" s="17">
        <f>IF(OR(Log[[#This Row],[Verb]]="done",Log[[#This Row],[Verb]]="punt",Log[[#This Row],[Verb]]="drop",Log[[#This Row],[Verb]]="pass"),Log[[#This Row],[Pts]],0)</f>
      </c>
    </row>
    <row r="1465">
      <c r="A1465" s="11">
        <v>46230</v>
      </c>
      <c r="B1465" t="s">
        <v>785</v>
      </c>
      <c r="C1465" t="s">
        <v>41</v>
      </c>
      <c r="F1465" s="17">
        <f>IF(Log[[#This Row],[ID]]="","",IF(ISNA(MATCH(Log[[#This Row],[ID]],Items[ID],0)),"unknown ID",IF(ISNA(MATCH(Log[[#This Row],[Verb]],VerbList,0)),"unknown verb",IF(Log[[#This Row],[Date]]="","no date",""))))</f>
      </c>
      <c r="G1465" s="17">
        <f>IF(Log[[#This Row],[ID]]="","",IFERROR(VLOOKUP(Log[[#This Row],[Verb]],Verbs,3,FALSE)&amp;"",""))</f>
      </c>
      <c r="H1465" s="17">
        <f>IF(Log[[#This Row],[Date]]="","",INT((Log[[#This Row],[Date]]-Sprint1)/SprintDays)+1)</f>
      </c>
      <c r="I1465" s="17">
        <f>IF(OR(Log[[#This Row],[Verb]]="commit",Log[[#This Row],[Verb]]="carry",Log[[#This Row],[Verb]]="redo"),IF(Log[[#This Row],[Arg]]="",Log[[#This Row],[Sprint]],N(Log[[#This Row],[Arg]])),"")</f>
      </c>
      <c r="J1465" s="17">
        <f>IF(Log[[#This Row],[Verb]]="block",1,IF(OR(Log[[#This Row],[Verb]]="unblock",Log[[#This Row],[Verb]]="done",Log[[#This Row],[Verb]]="drop",Log[[#This Row],[Verb]]="punt",Log[[#This Row],[Verb]]="pass"),0,""))</f>
      </c>
      <c r="K1465" s="17">
        <f>IF(Log[[#This Row],[ID]]="",0,IFERROR(INDEX(Items[Pts],MATCH(Log[[#This Row],[ID]],Items[ID],0))*1,0))</f>
      </c>
      <c r="L1465" s="17">
        <f>IF(Log[[#This Row],[ID]]="","",IFERROR(INDEX(Items[Cur team],MATCH(Log[[#This Row],[ID]],Items[ID],0))&amp;"",""))</f>
      </c>
      <c r="M1465" s="17">
        <f>IF(OR(Log[[#This Row],[Verb]]="done",Log[[#This Row],[Verb]]="punt",Log[[#This Row],[Verb]]="drop",Log[[#This Row],[Verb]]="pass"),Log[[#This Row],[Pts]],0)</f>
      </c>
    </row>
    <row r="1466">
      <c r="A1466" s="11">
        <v>46230</v>
      </c>
      <c r="B1466" t="s">
        <v>683</v>
      </c>
      <c r="C1466" t="s">
        <v>41</v>
      </c>
      <c r="F1466" s="17">
        <f>IF(Log[[#This Row],[ID]]="","",IF(ISNA(MATCH(Log[[#This Row],[ID]],Items[ID],0)),"unknown ID",IF(ISNA(MATCH(Log[[#This Row],[Verb]],VerbList,0)),"unknown verb",IF(Log[[#This Row],[Date]]="","no date",""))))</f>
      </c>
      <c r="G1466" s="17">
        <f>IF(Log[[#This Row],[ID]]="","",IFERROR(VLOOKUP(Log[[#This Row],[Verb]],Verbs,3,FALSE)&amp;"",""))</f>
      </c>
      <c r="H1466" s="17">
        <f>IF(Log[[#This Row],[Date]]="","",INT((Log[[#This Row],[Date]]-Sprint1)/SprintDays)+1)</f>
      </c>
      <c r="I1466" s="17">
        <f>IF(OR(Log[[#This Row],[Verb]]="commit",Log[[#This Row],[Verb]]="carry",Log[[#This Row],[Verb]]="redo"),IF(Log[[#This Row],[Arg]]="",Log[[#This Row],[Sprint]],N(Log[[#This Row],[Arg]])),"")</f>
      </c>
      <c r="J1466" s="17">
        <f>IF(Log[[#This Row],[Verb]]="block",1,IF(OR(Log[[#This Row],[Verb]]="unblock",Log[[#This Row],[Verb]]="done",Log[[#This Row],[Verb]]="drop",Log[[#This Row],[Verb]]="punt",Log[[#This Row],[Verb]]="pass"),0,""))</f>
      </c>
      <c r="K1466" s="17">
        <f>IF(Log[[#This Row],[ID]]="",0,IFERROR(INDEX(Items[Pts],MATCH(Log[[#This Row],[ID]],Items[ID],0))*1,0))</f>
      </c>
      <c r="L1466" s="17">
        <f>IF(Log[[#This Row],[ID]]="","",IFERROR(INDEX(Items[Cur team],MATCH(Log[[#This Row],[ID]],Items[ID],0))&amp;"",""))</f>
      </c>
      <c r="M1466" s="17">
        <f>IF(OR(Log[[#This Row],[Verb]]="done",Log[[#This Row],[Verb]]="punt",Log[[#This Row],[Verb]]="drop",Log[[#This Row],[Verb]]="pass"),Log[[#This Row],[Pts]],0)</f>
      </c>
    </row>
    <row r="1467">
      <c r="A1467" s="11">
        <v>46230</v>
      </c>
      <c r="B1467" t="s">
        <v>748</v>
      </c>
      <c r="C1467" t="s">
        <v>41</v>
      </c>
      <c r="F1467" s="17">
        <f>IF(Log[[#This Row],[ID]]="","",IF(ISNA(MATCH(Log[[#This Row],[ID]],Items[ID],0)),"unknown ID",IF(ISNA(MATCH(Log[[#This Row],[Verb]],VerbList,0)),"unknown verb",IF(Log[[#This Row],[Date]]="","no date",""))))</f>
      </c>
      <c r="G1467" s="17">
        <f>IF(Log[[#This Row],[ID]]="","",IFERROR(VLOOKUP(Log[[#This Row],[Verb]],Verbs,3,FALSE)&amp;"",""))</f>
      </c>
      <c r="H1467" s="17">
        <f>IF(Log[[#This Row],[Date]]="","",INT((Log[[#This Row],[Date]]-Sprint1)/SprintDays)+1)</f>
      </c>
      <c r="I1467" s="17">
        <f>IF(OR(Log[[#This Row],[Verb]]="commit",Log[[#This Row],[Verb]]="carry",Log[[#This Row],[Verb]]="redo"),IF(Log[[#This Row],[Arg]]="",Log[[#This Row],[Sprint]],N(Log[[#This Row],[Arg]])),"")</f>
      </c>
      <c r="J1467" s="17">
        <f>IF(Log[[#This Row],[Verb]]="block",1,IF(OR(Log[[#This Row],[Verb]]="unblock",Log[[#This Row],[Verb]]="done",Log[[#This Row],[Verb]]="drop",Log[[#This Row],[Verb]]="punt",Log[[#This Row],[Verb]]="pass"),0,""))</f>
      </c>
      <c r="K1467" s="17">
        <f>IF(Log[[#This Row],[ID]]="",0,IFERROR(INDEX(Items[Pts],MATCH(Log[[#This Row],[ID]],Items[ID],0))*1,0))</f>
      </c>
      <c r="L1467" s="17">
        <f>IF(Log[[#This Row],[ID]]="","",IFERROR(INDEX(Items[Cur team],MATCH(Log[[#This Row],[ID]],Items[ID],0))&amp;"",""))</f>
      </c>
      <c r="M1467" s="17">
        <f>IF(OR(Log[[#This Row],[Verb]]="done",Log[[#This Row],[Verb]]="punt",Log[[#This Row],[Verb]]="drop",Log[[#This Row],[Verb]]="pass"),Log[[#This Row],[Pts]],0)</f>
      </c>
    </row>
    <row r="1468">
      <c r="A1468" s="11">
        <v>46230</v>
      </c>
      <c r="B1468" t="s">
        <v>749</v>
      </c>
      <c r="C1468" t="s">
        <v>41</v>
      </c>
      <c r="F1468" s="17">
        <f>IF(Log[[#This Row],[ID]]="","",IF(ISNA(MATCH(Log[[#This Row],[ID]],Items[ID],0)),"unknown ID",IF(ISNA(MATCH(Log[[#This Row],[Verb]],VerbList,0)),"unknown verb",IF(Log[[#This Row],[Date]]="","no date",""))))</f>
      </c>
      <c r="G1468" s="17">
        <f>IF(Log[[#This Row],[ID]]="","",IFERROR(VLOOKUP(Log[[#This Row],[Verb]],Verbs,3,FALSE)&amp;"",""))</f>
      </c>
      <c r="H1468" s="17">
        <f>IF(Log[[#This Row],[Date]]="","",INT((Log[[#This Row],[Date]]-Sprint1)/SprintDays)+1)</f>
      </c>
      <c r="I1468" s="17">
        <f>IF(OR(Log[[#This Row],[Verb]]="commit",Log[[#This Row],[Verb]]="carry",Log[[#This Row],[Verb]]="redo"),IF(Log[[#This Row],[Arg]]="",Log[[#This Row],[Sprint]],N(Log[[#This Row],[Arg]])),"")</f>
      </c>
      <c r="J1468" s="17">
        <f>IF(Log[[#This Row],[Verb]]="block",1,IF(OR(Log[[#This Row],[Verb]]="unblock",Log[[#This Row],[Verb]]="done",Log[[#This Row],[Verb]]="drop",Log[[#This Row],[Verb]]="punt",Log[[#This Row],[Verb]]="pass"),0,""))</f>
      </c>
      <c r="K1468" s="17">
        <f>IF(Log[[#This Row],[ID]]="",0,IFERROR(INDEX(Items[Pts],MATCH(Log[[#This Row],[ID]],Items[ID],0))*1,0))</f>
      </c>
      <c r="L1468" s="17">
        <f>IF(Log[[#This Row],[ID]]="","",IFERROR(INDEX(Items[Cur team],MATCH(Log[[#This Row],[ID]],Items[ID],0))&amp;"",""))</f>
      </c>
      <c r="M1468" s="17">
        <f>IF(OR(Log[[#This Row],[Verb]]="done",Log[[#This Row],[Verb]]="punt",Log[[#This Row],[Verb]]="drop",Log[[#This Row],[Verb]]="pass"),Log[[#This Row],[Pts]],0)</f>
      </c>
    </row>
    <row r="1469">
      <c r="A1469" s="11">
        <v>46230</v>
      </c>
      <c r="B1469" t="s">
        <v>786</v>
      </c>
      <c r="C1469" t="s">
        <v>41</v>
      </c>
      <c r="F1469" s="17">
        <f>IF(Log[[#This Row],[ID]]="","",IF(ISNA(MATCH(Log[[#This Row],[ID]],Items[ID],0)),"unknown ID",IF(ISNA(MATCH(Log[[#This Row],[Verb]],VerbList,0)),"unknown verb",IF(Log[[#This Row],[Date]]="","no date",""))))</f>
      </c>
      <c r="G1469" s="17">
        <f>IF(Log[[#This Row],[ID]]="","",IFERROR(VLOOKUP(Log[[#This Row],[Verb]],Verbs,3,FALSE)&amp;"",""))</f>
      </c>
      <c r="H1469" s="17">
        <f>IF(Log[[#This Row],[Date]]="","",INT((Log[[#This Row],[Date]]-Sprint1)/SprintDays)+1)</f>
      </c>
      <c r="I1469" s="17">
        <f>IF(OR(Log[[#This Row],[Verb]]="commit",Log[[#This Row],[Verb]]="carry",Log[[#This Row],[Verb]]="redo"),IF(Log[[#This Row],[Arg]]="",Log[[#This Row],[Sprint]],N(Log[[#This Row],[Arg]])),"")</f>
      </c>
      <c r="J1469" s="17">
        <f>IF(Log[[#This Row],[Verb]]="block",1,IF(OR(Log[[#This Row],[Verb]]="unblock",Log[[#This Row],[Verb]]="done",Log[[#This Row],[Verb]]="drop",Log[[#This Row],[Verb]]="punt",Log[[#This Row],[Verb]]="pass"),0,""))</f>
      </c>
      <c r="K1469" s="17">
        <f>IF(Log[[#This Row],[ID]]="",0,IFERROR(INDEX(Items[Pts],MATCH(Log[[#This Row],[ID]],Items[ID],0))*1,0))</f>
      </c>
      <c r="L1469" s="17">
        <f>IF(Log[[#This Row],[ID]]="","",IFERROR(INDEX(Items[Cur team],MATCH(Log[[#This Row],[ID]],Items[ID],0))&amp;"",""))</f>
      </c>
      <c r="M1469" s="17">
        <f>IF(OR(Log[[#This Row],[Verb]]="done",Log[[#This Row],[Verb]]="punt",Log[[#This Row],[Verb]]="drop",Log[[#This Row],[Verb]]="pass"),Log[[#This Row],[Pts]],0)</f>
      </c>
    </row>
    <row r="1470">
      <c r="A1470" s="11">
        <v>46230</v>
      </c>
      <c r="B1470" t="s">
        <v>787</v>
      </c>
      <c r="C1470" t="s">
        <v>41</v>
      </c>
      <c r="F1470" s="17">
        <f>IF(Log[[#This Row],[ID]]="","",IF(ISNA(MATCH(Log[[#This Row],[ID]],Items[ID],0)),"unknown ID",IF(ISNA(MATCH(Log[[#This Row],[Verb]],VerbList,0)),"unknown verb",IF(Log[[#This Row],[Date]]="","no date",""))))</f>
      </c>
      <c r="G1470" s="17">
        <f>IF(Log[[#This Row],[ID]]="","",IFERROR(VLOOKUP(Log[[#This Row],[Verb]],Verbs,3,FALSE)&amp;"",""))</f>
      </c>
      <c r="H1470" s="17">
        <f>IF(Log[[#This Row],[Date]]="","",INT((Log[[#This Row],[Date]]-Sprint1)/SprintDays)+1)</f>
      </c>
      <c r="I1470" s="17">
        <f>IF(OR(Log[[#This Row],[Verb]]="commit",Log[[#This Row],[Verb]]="carry",Log[[#This Row],[Verb]]="redo"),IF(Log[[#This Row],[Arg]]="",Log[[#This Row],[Sprint]],N(Log[[#This Row],[Arg]])),"")</f>
      </c>
      <c r="J1470" s="17">
        <f>IF(Log[[#This Row],[Verb]]="block",1,IF(OR(Log[[#This Row],[Verb]]="unblock",Log[[#This Row],[Verb]]="done",Log[[#This Row],[Verb]]="drop",Log[[#This Row],[Verb]]="punt",Log[[#This Row],[Verb]]="pass"),0,""))</f>
      </c>
      <c r="K1470" s="17">
        <f>IF(Log[[#This Row],[ID]]="",0,IFERROR(INDEX(Items[Pts],MATCH(Log[[#This Row],[ID]],Items[ID],0))*1,0))</f>
      </c>
      <c r="L1470" s="17">
        <f>IF(Log[[#This Row],[ID]]="","",IFERROR(INDEX(Items[Cur team],MATCH(Log[[#This Row],[ID]],Items[ID],0))&amp;"",""))</f>
      </c>
      <c r="M1470" s="17">
        <f>IF(OR(Log[[#This Row],[Verb]]="done",Log[[#This Row],[Verb]]="punt",Log[[#This Row],[Verb]]="drop",Log[[#This Row],[Verb]]="pass"),Log[[#This Row],[Pts]],0)</f>
      </c>
    </row>
    <row r="1471">
      <c r="A1471" s="11">
        <v>46230</v>
      </c>
      <c r="B1471" t="s">
        <v>788</v>
      </c>
      <c r="C1471" t="s">
        <v>41</v>
      </c>
      <c r="F1471" s="17">
        <f>IF(Log[[#This Row],[ID]]="","",IF(ISNA(MATCH(Log[[#This Row],[ID]],Items[ID],0)),"unknown ID",IF(ISNA(MATCH(Log[[#This Row],[Verb]],VerbList,0)),"unknown verb",IF(Log[[#This Row],[Date]]="","no date",""))))</f>
      </c>
      <c r="G1471" s="17">
        <f>IF(Log[[#This Row],[ID]]="","",IFERROR(VLOOKUP(Log[[#This Row],[Verb]],Verbs,3,FALSE)&amp;"",""))</f>
      </c>
      <c r="H1471" s="17">
        <f>IF(Log[[#This Row],[Date]]="","",INT((Log[[#This Row],[Date]]-Sprint1)/SprintDays)+1)</f>
      </c>
      <c r="I1471" s="17">
        <f>IF(OR(Log[[#This Row],[Verb]]="commit",Log[[#This Row],[Verb]]="carry",Log[[#This Row],[Verb]]="redo"),IF(Log[[#This Row],[Arg]]="",Log[[#This Row],[Sprint]],N(Log[[#This Row],[Arg]])),"")</f>
      </c>
      <c r="J1471" s="17">
        <f>IF(Log[[#This Row],[Verb]]="block",1,IF(OR(Log[[#This Row],[Verb]]="unblock",Log[[#This Row],[Verb]]="done",Log[[#This Row],[Verb]]="drop",Log[[#This Row],[Verb]]="punt",Log[[#This Row],[Verb]]="pass"),0,""))</f>
      </c>
      <c r="K1471" s="17">
        <f>IF(Log[[#This Row],[ID]]="",0,IFERROR(INDEX(Items[Pts],MATCH(Log[[#This Row],[ID]],Items[ID],0))*1,0))</f>
      </c>
      <c r="L1471" s="17">
        <f>IF(Log[[#This Row],[ID]]="","",IFERROR(INDEX(Items[Cur team],MATCH(Log[[#This Row],[ID]],Items[ID],0))&amp;"",""))</f>
      </c>
      <c r="M1471" s="17">
        <f>IF(OR(Log[[#This Row],[Verb]]="done",Log[[#This Row],[Verb]]="punt",Log[[#This Row],[Verb]]="drop",Log[[#This Row],[Verb]]="pass"),Log[[#This Row],[Pts]],0)</f>
      </c>
    </row>
    <row r="1472">
      <c r="A1472" s="11">
        <v>46230</v>
      </c>
      <c r="B1472" t="s">
        <v>789</v>
      </c>
      <c r="C1472" t="s">
        <v>41</v>
      </c>
      <c r="F1472" s="17">
        <f>IF(Log[[#This Row],[ID]]="","",IF(ISNA(MATCH(Log[[#This Row],[ID]],Items[ID],0)),"unknown ID",IF(ISNA(MATCH(Log[[#This Row],[Verb]],VerbList,0)),"unknown verb",IF(Log[[#This Row],[Date]]="","no date",""))))</f>
      </c>
      <c r="G1472" s="17">
        <f>IF(Log[[#This Row],[ID]]="","",IFERROR(VLOOKUP(Log[[#This Row],[Verb]],Verbs,3,FALSE)&amp;"",""))</f>
      </c>
      <c r="H1472" s="17">
        <f>IF(Log[[#This Row],[Date]]="","",INT((Log[[#This Row],[Date]]-Sprint1)/SprintDays)+1)</f>
      </c>
      <c r="I1472" s="17">
        <f>IF(OR(Log[[#This Row],[Verb]]="commit",Log[[#This Row],[Verb]]="carry",Log[[#This Row],[Verb]]="redo"),IF(Log[[#This Row],[Arg]]="",Log[[#This Row],[Sprint]],N(Log[[#This Row],[Arg]])),"")</f>
      </c>
      <c r="J1472" s="17">
        <f>IF(Log[[#This Row],[Verb]]="block",1,IF(OR(Log[[#This Row],[Verb]]="unblock",Log[[#This Row],[Verb]]="done",Log[[#This Row],[Verb]]="drop",Log[[#This Row],[Verb]]="punt",Log[[#This Row],[Verb]]="pass"),0,""))</f>
      </c>
      <c r="K1472" s="17">
        <f>IF(Log[[#This Row],[ID]]="",0,IFERROR(INDEX(Items[Pts],MATCH(Log[[#This Row],[ID]],Items[ID],0))*1,0))</f>
      </c>
      <c r="L1472" s="17">
        <f>IF(Log[[#This Row],[ID]]="","",IFERROR(INDEX(Items[Cur team],MATCH(Log[[#This Row],[ID]],Items[ID],0))&amp;"",""))</f>
      </c>
      <c r="M1472" s="17">
        <f>IF(OR(Log[[#This Row],[Verb]]="done",Log[[#This Row],[Verb]]="punt",Log[[#This Row],[Verb]]="drop",Log[[#This Row],[Verb]]="pass"),Log[[#This Row],[Pts]],0)</f>
      </c>
    </row>
    <row r="1473">
      <c r="A1473" s="11">
        <v>46230</v>
      </c>
      <c r="B1473" t="s">
        <v>790</v>
      </c>
      <c r="C1473" t="s">
        <v>38</v>
      </c>
      <c r="D1473">
        <v>49</v>
      </c>
      <c r="F1473" s="17">
        <f>IF(Log[[#This Row],[ID]]="","",IF(ISNA(MATCH(Log[[#This Row],[ID]],Items[ID],0)),"unknown ID",IF(ISNA(MATCH(Log[[#This Row],[Verb]],VerbList,0)),"unknown verb",IF(Log[[#This Row],[Date]]="","no date",""))))</f>
      </c>
      <c r="G1473" s="17">
        <f>IF(Log[[#This Row],[ID]]="","",IFERROR(VLOOKUP(Log[[#This Row],[Verb]],Verbs,3,FALSE)&amp;"",""))</f>
      </c>
      <c r="H1473" s="17">
        <f>IF(Log[[#This Row],[Date]]="","",INT((Log[[#This Row],[Date]]-Sprint1)/SprintDays)+1)</f>
      </c>
      <c r="I1473" s="17">
        <f>IF(OR(Log[[#This Row],[Verb]]="commit",Log[[#This Row],[Verb]]="carry",Log[[#This Row],[Verb]]="redo"),IF(Log[[#This Row],[Arg]]="",Log[[#This Row],[Sprint]],N(Log[[#This Row],[Arg]])),"")</f>
      </c>
      <c r="J1473" s="17">
        <f>IF(Log[[#This Row],[Verb]]="block",1,IF(OR(Log[[#This Row],[Verb]]="unblock",Log[[#This Row],[Verb]]="done",Log[[#This Row],[Verb]]="drop",Log[[#This Row],[Verb]]="punt",Log[[#This Row],[Verb]]="pass"),0,""))</f>
      </c>
      <c r="K1473" s="17">
        <f>IF(Log[[#This Row],[ID]]="",0,IFERROR(INDEX(Items[Pts],MATCH(Log[[#This Row],[ID]],Items[ID],0))*1,0))</f>
      </c>
      <c r="L1473" s="17">
        <f>IF(Log[[#This Row],[ID]]="","",IFERROR(INDEX(Items[Cur team],MATCH(Log[[#This Row],[ID]],Items[ID],0))&amp;"",""))</f>
      </c>
      <c r="M1473" s="17">
        <f>IF(OR(Log[[#This Row],[Verb]]="done",Log[[#This Row],[Verb]]="punt",Log[[#This Row],[Verb]]="drop",Log[[#This Row],[Verb]]="pass"),Log[[#This Row],[Pts]],0)</f>
      </c>
    </row>
    <row r="1474">
      <c r="A1474" s="11">
        <v>46230</v>
      </c>
      <c r="B1474" t="s">
        <v>791</v>
      </c>
      <c r="C1474" t="s">
        <v>41</v>
      </c>
      <c r="F1474" s="17">
        <f>IF(Log[[#This Row],[ID]]="","",IF(ISNA(MATCH(Log[[#This Row],[ID]],Items[ID],0)),"unknown ID",IF(ISNA(MATCH(Log[[#This Row],[Verb]],VerbList,0)),"unknown verb",IF(Log[[#This Row],[Date]]="","no date",""))))</f>
      </c>
      <c r="G1474" s="17">
        <f>IF(Log[[#This Row],[ID]]="","",IFERROR(VLOOKUP(Log[[#This Row],[Verb]],Verbs,3,FALSE)&amp;"",""))</f>
      </c>
      <c r="H1474" s="17">
        <f>IF(Log[[#This Row],[Date]]="","",INT((Log[[#This Row],[Date]]-Sprint1)/SprintDays)+1)</f>
      </c>
      <c r="I1474" s="17">
        <f>IF(OR(Log[[#This Row],[Verb]]="commit",Log[[#This Row],[Verb]]="carry",Log[[#This Row],[Verb]]="redo"),IF(Log[[#This Row],[Arg]]="",Log[[#This Row],[Sprint]],N(Log[[#This Row],[Arg]])),"")</f>
      </c>
      <c r="J1474" s="17">
        <f>IF(Log[[#This Row],[Verb]]="block",1,IF(OR(Log[[#This Row],[Verb]]="unblock",Log[[#This Row],[Verb]]="done",Log[[#This Row],[Verb]]="drop",Log[[#This Row],[Verb]]="punt",Log[[#This Row],[Verb]]="pass"),0,""))</f>
      </c>
      <c r="K1474" s="17">
        <f>IF(Log[[#This Row],[ID]]="",0,IFERROR(INDEX(Items[Pts],MATCH(Log[[#This Row],[ID]],Items[ID],0))*1,0))</f>
      </c>
      <c r="L1474" s="17">
        <f>IF(Log[[#This Row],[ID]]="","",IFERROR(INDEX(Items[Cur team],MATCH(Log[[#This Row],[ID]],Items[ID],0))&amp;"",""))</f>
      </c>
      <c r="M1474" s="17">
        <f>IF(OR(Log[[#This Row],[Verb]]="done",Log[[#This Row],[Verb]]="punt",Log[[#This Row],[Verb]]="drop",Log[[#This Row],[Verb]]="pass"),Log[[#This Row],[Pts]],0)</f>
      </c>
    </row>
    <row r="1475">
      <c r="A1475" s="11">
        <v>46230</v>
      </c>
      <c r="B1475" t="s">
        <v>792</v>
      </c>
      <c r="C1475" t="s">
        <v>38</v>
      </c>
      <c r="D1475">
        <v>49</v>
      </c>
      <c r="F1475" s="17">
        <f>IF(Log[[#This Row],[ID]]="","",IF(ISNA(MATCH(Log[[#This Row],[ID]],Items[ID],0)),"unknown ID",IF(ISNA(MATCH(Log[[#This Row],[Verb]],VerbList,0)),"unknown verb",IF(Log[[#This Row],[Date]]="","no date",""))))</f>
      </c>
      <c r="G1475" s="17">
        <f>IF(Log[[#This Row],[ID]]="","",IFERROR(VLOOKUP(Log[[#This Row],[Verb]],Verbs,3,FALSE)&amp;"",""))</f>
      </c>
      <c r="H1475" s="17">
        <f>IF(Log[[#This Row],[Date]]="","",INT((Log[[#This Row],[Date]]-Sprint1)/SprintDays)+1)</f>
      </c>
      <c r="I1475" s="17">
        <f>IF(OR(Log[[#This Row],[Verb]]="commit",Log[[#This Row],[Verb]]="carry",Log[[#This Row],[Verb]]="redo"),IF(Log[[#This Row],[Arg]]="",Log[[#This Row],[Sprint]],N(Log[[#This Row],[Arg]])),"")</f>
      </c>
      <c r="J1475" s="17">
        <f>IF(Log[[#This Row],[Verb]]="block",1,IF(OR(Log[[#This Row],[Verb]]="unblock",Log[[#This Row],[Verb]]="done",Log[[#This Row],[Verb]]="drop",Log[[#This Row],[Verb]]="punt",Log[[#This Row],[Verb]]="pass"),0,""))</f>
      </c>
      <c r="K1475" s="17">
        <f>IF(Log[[#This Row],[ID]]="",0,IFERROR(INDEX(Items[Pts],MATCH(Log[[#This Row],[ID]],Items[ID],0))*1,0))</f>
      </c>
      <c r="L1475" s="17">
        <f>IF(Log[[#This Row],[ID]]="","",IFERROR(INDEX(Items[Cur team],MATCH(Log[[#This Row],[ID]],Items[ID],0))&amp;"",""))</f>
      </c>
      <c r="M1475" s="17">
        <f>IF(OR(Log[[#This Row],[Verb]]="done",Log[[#This Row],[Verb]]="punt",Log[[#This Row],[Verb]]="drop",Log[[#This Row],[Verb]]="pass"),Log[[#This Row],[Pts]],0)</f>
      </c>
    </row>
    <row r="1476">
      <c r="A1476" s="11">
        <v>46230</v>
      </c>
      <c r="B1476" t="s">
        <v>632</v>
      </c>
      <c r="C1476" t="s">
        <v>41</v>
      </c>
      <c r="F1476" s="17">
        <f>IF(Log[[#This Row],[ID]]="","",IF(ISNA(MATCH(Log[[#This Row],[ID]],Items[ID],0)),"unknown ID",IF(ISNA(MATCH(Log[[#This Row],[Verb]],VerbList,0)),"unknown verb",IF(Log[[#This Row],[Date]]="","no date",""))))</f>
      </c>
      <c r="G1476" s="17">
        <f>IF(Log[[#This Row],[ID]]="","",IFERROR(VLOOKUP(Log[[#This Row],[Verb]],Verbs,3,FALSE)&amp;"",""))</f>
      </c>
      <c r="H1476" s="17">
        <f>IF(Log[[#This Row],[Date]]="","",INT((Log[[#This Row],[Date]]-Sprint1)/SprintDays)+1)</f>
      </c>
      <c r="I1476" s="17">
        <f>IF(OR(Log[[#This Row],[Verb]]="commit",Log[[#This Row],[Verb]]="carry",Log[[#This Row],[Verb]]="redo"),IF(Log[[#This Row],[Arg]]="",Log[[#This Row],[Sprint]],N(Log[[#This Row],[Arg]])),"")</f>
      </c>
      <c r="J1476" s="17">
        <f>IF(Log[[#This Row],[Verb]]="block",1,IF(OR(Log[[#This Row],[Verb]]="unblock",Log[[#This Row],[Verb]]="done",Log[[#This Row],[Verb]]="drop",Log[[#This Row],[Verb]]="punt",Log[[#This Row],[Verb]]="pass"),0,""))</f>
      </c>
      <c r="K1476" s="17">
        <f>IF(Log[[#This Row],[ID]]="",0,IFERROR(INDEX(Items[Pts],MATCH(Log[[#This Row],[ID]],Items[ID],0))*1,0))</f>
      </c>
      <c r="L1476" s="17">
        <f>IF(Log[[#This Row],[ID]]="","",IFERROR(INDEX(Items[Cur team],MATCH(Log[[#This Row],[ID]],Items[ID],0))&amp;"",""))</f>
      </c>
      <c r="M1476" s="17">
        <f>IF(OR(Log[[#This Row],[Verb]]="done",Log[[#This Row],[Verb]]="punt",Log[[#This Row],[Verb]]="drop",Log[[#This Row],[Verb]]="pass"),Log[[#This Row],[Pts]],0)</f>
      </c>
    </row>
    <row r="1477">
      <c r="A1477" s="11">
        <v>46230</v>
      </c>
      <c r="B1477" t="s">
        <v>684</v>
      </c>
      <c r="C1477" t="s">
        <v>41</v>
      </c>
      <c r="F1477" s="17">
        <f>IF(Log[[#This Row],[ID]]="","",IF(ISNA(MATCH(Log[[#This Row],[ID]],Items[ID],0)),"unknown ID",IF(ISNA(MATCH(Log[[#This Row],[Verb]],VerbList,0)),"unknown verb",IF(Log[[#This Row],[Date]]="","no date",""))))</f>
      </c>
      <c r="G1477" s="17">
        <f>IF(Log[[#This Row],[ID]]="","",IFERROR(VLOOKUP(Log[[#This Row],[Verb]],Verbs,3,FALSE)&amp;"",""))</f>
      </c>
      <c r="H1477" s="17">
        <f>IF(Log[[#This Row],[Date]]="","",INT((Log[[#This Row],[Date]]-Sprint1)/SprintDays)+1)</f>
      </c>
      <c r="I1477" s="17">
        <f>IF(OR(Log[[#This Row],[Verb]]="commit",Log[[#This Row],[Verb]]="carry",Log[[#This Row],[Verb]]="redo"),IF(Log[[#This Row],[Arg]]="",Log[[#This Row],[Sprint]],N(Log[[#This Row],[Arg]])),"")</f>
      </c>
      <c r="J1477" s="17">
        <f>IF(Log[[#This Row],[Verb]]="block",1,IF(OR(Log[[#This Row],[Verb]]="unblock",Log[[#This Row],[Verb]]="done",Log[[#This Row],[Verb]]="drop",Log[[#This Row],[Verb]]="punt",Log[[#This Row],[Verb]]="pass"),0,""))</f>
      </c>
      <c r="K1477" s="17">
        <f>IF(Log[[#This Row],[ID]]="",0,IFERROR(INDEX(Items[Pts],MATCH(Log[[#This Row],[ID]],Items[ID],0))*1,0))</f>
      </c>
      <c r="L1477" s="17">
        <f>IF(Log[[#This Row],[ID]]="","",IFERROR(INDEX(Items[Cur team],MATCH(Log[[#This Row],[ID]],Items[ID],0))&amp;"",""))</f>
      </c>
      <c r="M1477" s="17">
        <f>IF(OR(Log[[#This Row],[Verb]]="done",Log[[#This Row],[Verb]]="punt",Log[[#This Row],[Verb]]="drop",Log[[#This Row],[Verb]]="pass"),Log[[#This Row],[Pts]],0)</f>
      </c>
    </row>
    <row r="1478">
      <c r="A1478" s="11">
        <v>46230</v>
      </c>
      <c r="B1478" t="s">
        <v>793</v>
      </c>
      <c r="C1478" t="s">
        <v>41</v>
      </c>
      <c r="F1478" s="17">
        <f>IF(Log[[#This Row],[ID]]="","",IF(ISNA(MATCH(Log[[#This Row],[ID]],Items[ID],0)),"unknown ID",IF(ISNA(MATCH(Log[[#This Row],[Verb]],VerbList,0)),"unknown verb",IF(Log[[#This Row],[Date]]="","no date",""))))</f>
      </c>
      <c r="G1478" s="17">
        <f>IF(Log[[#This Row],[ID]]="","",IFERROR(VLOOKUP(Log[[#This Row],[Verb]],Verbs,3,FALSE)&amp;"",""))</f>
      </c>
      <c r="H1478" s="17">
        <f>IF(Log[[#This Row],[Date]]="","",INT((Log[[#This Row],[Date]]-Sprint1)/SprintDays)+1)</f>
      </c>
      <c r="I1478" s="17">
        <f>IF(OR(Log[[#This Row],[Verb]]="commit",Log[[#This Row],[Verb]]="carry",Log[[#This Row],[Verb]]="redo"),IF(Log[[#This Row],[Arg]]="",Log[[#This Row],[Sprint]],N(Log[[#This Row],[Arg]])),"")</f>
      </c>
      <c r="J1478" s="17">
        <f>IF(Log[[#This Row],[Verb]]="block",1,IF(OR(Log[[#This Row],[Verb]]="unblock",Log[[#This Row],[Verb]]="done",Log[[#This Row],[Verb]]="drop",Log[[#This Row],[Verb]]="punt",Log[[#This Row],[Verb]]="pass"),0,""))</f>
      </c>
      <c r="K1478" s="17">
        <f>IF(Log[[#This Row],[ID]]="",0,IFERROR(INDEX(Items[Pts],MATCH(Log[[#This Row],[ID]],Items[ID],0))*1,0))</f>
      </c>
      <c r="L1478" s="17">
        <f>IF(Log[[#This Row],[ID]]="","",IFERROR(INDEX(Items[Cur team],MATCH(Log[[#This Row],[ID]],Items[ID],0))&amp;"",""))</f>
      </c>
      <c r="M1478" s="17">
        <f>IF(OR(Log[[#This Row],[Verb]]="done",Log[[#This Row],[Verb]]="punt",Log[[#This Row],[Verb]]="drop",Log[[#This Row],[Verb]]="pass"),Log[[#This Row],[Pts]],0)</f>
      </c>
    </row>
    <row r="1479">
      <c r="A1479" s="11">
        <v>46230</v>
      </c>
      <c r="B1479" t="s">
        <v>794</v>
      </c>
      <c r="C1479" t="s">
        <v>41</v>
      </c>
      <c r="F1479" s="17">
        <f>IF(Log[[#This Row],[ID]]="","",IF(ISNA(MATCH(Log[[#This Row],[ID]],Items[ID],0)),"unknown ID",IF(ISNA(MATCH(Log[[#This Row],[Verb]],VerbList,0)),"unknown verb",IF(Log[[#This Row],[Date]]="","no date",""))))</f>
      </c>
      <c r="G1479" s="17">
        <f>IF(Log[[#This Row],[ID]]="","",IFERROR(VLOOKUP(Log[[#This Row],[Verb]],Verbs,3,FALSE)&amp;"",""))</f>
      </c>
      <c r="H1479" s="17">
        <f>IF(Log[[#This Row],[Date]]="","",INT((Log[[#This Row],[Date]]-Sprint1)/SprintDays)+1)</f>
      </c>
      <c r="I1479" s="17">
        <f>IF(OR(Log[[#This Row],[Verb]]="commit",Log[[#This Row],[Verb]]="carry",Log[[#This Row],[Verb]]="redo"),IF(Log[[#This Row],[Arg]]="",Log[[#This Row],[Sprint]],N(Log[[#This Row],[Arg]])),"")</f>
      </c>
      <c r="J1479" s="17">
        <f>IF(Log[[#This Row],[Verb]]="block",1,IF(OR(Log[[#This Row],[Verb]]="unblock",Log[[#This Row],[Verb]]="done",Log[[#This Row],[Verb]]="drop",Log[[#This Row],[Verb]]="punt",Log[[#This Row],[Verb]]="pass"),0,""))</f>
      </c>
      <c r="K1479" s="17">
        <f>IF(Log[[#This Row],[ID]]="",0,IFERROR(INDEX(Items[Pts],MATCH(Log[[#This Row],[ID]],Items[ID],0))*1,0))</f>
      </c>
      <c r="L1479" s="17">
        <f>IF(Log[[#This Row],[ID]]="","",IFERROR(INDEX(Items[Cur team],MATCH(Log[[#This Row],[ID]],Items[ID],0))&amp;"",""))</f>
      </c>
      <c r="M1479" s="17">
        <f>IF(OR(Log[[#This Row],[Verb]]="done",Log[[#This Row],[Verb]]="punt",Log[[#This Row],[Verb]]="drop",Log[[#This Row],[Verb]]="pass"),Log[[#This Row],[Pts]],0)</f>
      </c>
    </row>
    <row r="1480">
      <c r="A1480" s="11">
        <v>46230</v>
      </c>
      <c r="B1480" t="s">
        <v>795</v>
      </c>
      <c r="C1480" t="s">
        <v>41</v>
      </c>
      <c r="F1480" s="17">
        <f>IF(Log[[#This Row],[ID]]="","",IF(ISNA(MATCH(Log[[#This Row],[ID]],Items[ID],0)),"unknown ID",IF(ISNA(MATCH(Log[[#This Row],[Verb]],VerbList,0)),"unknown verb",IF(Log[[#This Row],[Date]]="","no date",""))))</f>
      </c>
      <c r="G1480" s="17">
        <f>IF(Log[[#This Row],[ID]]="","",IFERROR(VLOOKUP(Log[[#This Row],[Verb]],Verbs,3,FALSE)&amp;"",""))</f>
      </c>
      <c r="H1480" s="17">
        <f>IF(Log[[#This Row],[Date]]="","",INT((Log[[#This Row],[Date]]-Sprint1)/SprintDays)+1)</f>
      </c>
      <c r="I1480" s="17">
        <f>IF(OR(Log[[#This Row],[Verb]]="commit",Log[[#This Row],[Verb]]="carry",Log[[#This Row],[Verb]]="redo"),IF(Log[[#This Row],[Arg]]="",Log[[#This Row],[Sprint]],N(Log[[#This Row],[Arg]])),"")</f>
      </c>
      <c r="J1480" s="17">
        <f>IF(Log[[#This Row],[Verb]]="block",1,IF(OR(Log[[#This Row],[Verb]]="unblock",Log[[#This Row],[Verb]]="done",Log[[#This Row],[Verb]]="drop",Log[[#This Row],[Verb]]="punt",Log[[#This Row],[Verb]]="pass"),0,""))</f>
      </c>
      <c r="K1480" s="17">
        <f>IF(Log[[#This Row],[ID]]="",0,IFERROR(INDEX(Items[Pts],MATCH(Log[[#This Row],[ID]],Items[ID],0))*1,0))</f>
      </c>
      <c r="L1480" s="17">
        <f>IF(Log[[#This Row],[ID]]="","",IFERROR(INDEX(Items[Cur team],MATCH(Log[[#This Row],[ID]],Items[ID],0))&amp;"",""))</f>
      </c>
      <c r="M1480" s="17">
        <f>IF(OR(Log[[#This Row],[Verb]]="done",Log[[#This Row],[Verb]]="punt",Log[[#This Row],[Verb]]="drop",Log[[#This Row],[Verb]]="pass"),Log[[#This Row],[Pts]],0)</f>
      </c>
    </row>
    <row r="1481">
      <c r="A1481" s="11">
        <v>46230</v>
      </c>
      <c r="B1481" t="s">
        <v>796</v>
      </c>
      <c r="C1481" t="s">
        <v>41</v>
      </c>
      <c r="F1481" s="17">
        <f>IF(Log[[#This Row],[ID]]="","",IF(ISNA(MATCH(Log[[#This Row],[ID]],Items[ID],0)),"unknown ID",IF(ISNA(MATCH(Log[[#This Row],[Verb]],VerbList,0)),"unknown verb",IF(Log[[#This Row],[Date]]="","no date",""))))</f>
      </c>
      <c r="G1481" s="17">
        <f>IF(Log[[#This Row],[ID]]="","",IFERROR(VLOOKUP(Log[[#This Row],[Verb]],Verbs,3,FALSE)&amp;"",""))</f>
      </c>
      <c r="H1481" s="17">
        <f>IF(Log[[#This Row],[Date]]="","",INT((Log[[#This Row],[Date]]-Sprint1)/SprintDays)+1)</f>
      </c>
      <c r="I1481" s="17">
        <f>IF(OR(Log[[#This Row],[Verb]]="commit",Log[[#This Row],[Verb]]="carry",Log[[#This Row],[Verb]]="redo"),IF(Log[[#This Row],[Arg]]="",Log[[#This Row],[Sprint]],N(Log[[#This Row],[Arg]])),"")</f>
      </c>
      <c r="J1481" s="17">
        <f>IF(Log[[#This Row],[Verb]]="block",1,IF(OR(Log[[#This Row],[Verb]]="unblock",Log[[#This Row],[Verb]]="done",Log[[#This Row],[Verb]]="drop",Log[[#This Row],[Verb]]="punt",Log[[#This Row],[Verb]]="pass"),0,""))</f>
      </c>
      <c r="K1481" s="17">
        <f>IF(Log[[#This Row],[ID]]="",0,IFERROR(INDEX(Items[Pts],MATCH(Log[[#This Row],[ID]],Items[ID],0))*1,0))</f>
      </c>
      <c r="L1481" s="17">
        <f>IF(Log[[#This Row],[ID]]="","",IFERROR(INDEX(Items[Cur team],MATCH(Log[[#This Row],[ID]],Items[ID],0))&amp;"",""))</f>
      </c>
      <c r="M1481" s="17">
        <f>IF(OR(Log[[#This Row],[Verb]]="done",Log[[#This Row],[Verb]]="punt",Log[[#This Row],[Verb]]="drop",Log[[#This Row],[Verb]]="pass"),Log[[#This Row],[Pts]],0)</f>
      </c>
    </row>
    <row r="1482">
      <c r="A1482" s="11">
        <v>46230</v>
      </c>
      <c r="B1482" t="s">
        <v>753</v>
      </c>
      <c r="C1482" t="s">
        <v>41</v>
      </c>
      <c r="F1482" s="17">
        <f>IF(Log[[#This Row],[ID]]="","",IF(ISNA(MATCH(Log[[#This Row],[ID]],Items[ID],0)),"unknown ID",IF(ISNA(MATCH(Log[[#This Row],[Verb]],VerbList,0)),"unknown verb",IF(Log[[#This Row],[Date]]="","no date",""))))</f>
      </c>
      <c r="G1482" s="17">
        <f>IF(Log[[#This Row],[ID]]="","",IFERROR(VLOOKUP(Log[[#This Row],[Verb]],Verbs,3,FALSE)&amp;"",""))</f>
      </c>
      <c r="H1482" s="17">
        <f>IF(Log[[#This Row],[Date]]="","",INT((Log[[#This Row],[Date]]-Sprint1)/SprintDays)+1)</f>
      </c>
      <c r="I1482" s="17">
        <f>IF(OR(Log[[#This Row],[Verb]]="commit",Log[[#This Row],[Verb]]="carry",Log[[#This Row],[Verb]]="redo"),IF(Log[[#This Row],[Arg]]="",Log[[#This Row],[Sprint]],N(Log[[#This Row],[Arg]])),"")</f>
      </c>
      <c r="J1482" s="17">
        <f>IF(Log[[#This Row],[Verb]]="block",1,IF(OR(Log[[#This Row],[Verb]]="unblock",Log[[#This Row],[Verb]]="done",Log[[#This Row],[Verb]]="drop",Log[[#This Row],[Verb]]="punt",Log[[#This Row],[Verb]]="pass"),0,""))</f>
      </c>
      <c r="K1482" s="17">
        <f>IF(Log[[#This Row],[ID]]="",0,IFERROR(INDEX(Items[Pts],MATCH(Log[[#This Row],[ID]],Items[ID],0))*1,0))</f>
      </c>
      <c r="L1482" s="17">
        <f>IF(Log[[#This Row],[ID]]="","",IFERROR(INDEX(Items[Cur team],MATCH(Log[[#This Row],[ID]],Items[ID],0))&amp;"",""))</f>
      </c>
      <c r="M1482" s="17">
        <f>IF(OR(Log[[#This Row],[Verb]]="done",Log[[#This Row],[Verb]]="punt",Log[[#This Row],[Verb]]="drop",Log[[#This Row],[Verb]]="pass"),Log[[#This Row],[Pts]],0)</f>
      </c>
    </row>
    <row r="1483">
      <c r="A1483" s="11">
        <v>46230</v>
      </c>
      <c r="B1483" t="s">
        <v>797</v>
      </c>
      <c r="C1483" t="s">
        <v>41</v>
      </c>
      <c r="F1483" s="17">
        <f>IF(Log[[#This Row],[ID]]="","",IF(ISNA(MATCH(Log[[#This Row],[ID]],Items[ID],0)),"unknown ID",IF(ISNA(MATCH(Log[[#This Row],[Verb]],VerbList,0)),"unknown verb",IF(Log[[#This Row],[Date]]="","no date",""))))</f>
      </c>
      <c r="G1483" s="17">
        <f>IF(Log[[#This Row],[ID]]="","",IFERROR(VLOOKUP(Log[[#This Row],[Verb]],Verbs,3,FALSE)&amp;"",""))</f>
      </c>
      <c r="H1483" s="17">
        <f>IF(Log[[#This Row],[Date]]="","",INT((Log[[#This Row],[Date]]-Sprint1)/SprintDays)+1)</f>
      </c>
      <c r="I1483" s="17">
        <f>IF(OR(Log[[#This Row],[Verb]]="commit",Log[[#This Row],[Verb]]="carry",Log[[#This Row],[Verb]]="redo"),IF(Log[[#This Row],[Arg]]="",Log[[#This Row],[Sprint]],N(Log[[#This Row],[Arg]])),"")</f>
      </c>
      <c r="J1483" s="17">
        <f>IF(Log[[#This Row],[Verb]]="block",1,IF(OR(Log[[#This Row],[Verb]]="unblock",Log[[#This Row],[Verb]]="done",Log[[#This Row],[Verb]]="drop",Log[[#This Row],[Verb]]="punt",Log[[#This Row],[Verb]]="pass"),0,""))</f>
      </c>
      <c r="K1483" s="17">
        <f>IF(Log[[#This Row],[ID]]="",0,IFERROR(INDEX(Items[Pts],MATCH(Log[[#This Row],[ID]],Items[ID],0))*1,0))</f>
      </c>
      <c r="L1483" s="17">
        <f>IF(Log[[#This Row],[ID]]="","",IFERROR(INDEX(Items[Cur team],MATCH(Log[[#This Row],[ID]],Items[ID],0))&amp;"",""))</f>
      </c>
      <c r="M1483" s="17">
        <f>IF(OR(Log[[#This Row],[Verb]]="done",Log[[#This Row],[Verb]]="punt",Log[[#This Row],[Verb]]="drop",Log[[#This Row],[Verb]]="pass"),Log[[#This Row],[Pts]],0)</f>
      </c>
    </row>
    <row r="1484">
      <c r="A1484" s="11">
        <v>46230</v>
      </c>
      <c r="B1484" t="s">
        <v>798</v>
      </c>
      <c r="C1484" t="s">
        <v>41</v>
      </c>
      <c r="F1484" s="17">
        <f>IF(Log[[#This Row],[ID]]="","",IF(ISNA(MATCH(Log[[#This Row],[ID]],Items[ID],0)),"unknown ID",IF(ISNA(MATCH(Log[[#This Row],[Verb]],VerbList,0)),"unknown verb",IF(Log[[#This Row],[Date]]="","no date",""))))</f>
      </c>
      <c r="G1484" s="17">
        <f>IF(Log[[#This Row],[ID]]="","",IFERROR(VLOOKUP(Log[[#This Row],[Verb]],Verbs,3,FALSE)&amp;"",""))</f>
      </c>
      <c r="H1484" s="17">
        <f>IF(Log[[#This Row],[Date]]="","",INT((Log[[#This Row],[Date]]-Sprint1)/SprintDays)+1)</f>
      </c>
      <c r="I1484" s="17">
        <f>IF(OR(Log[[#This Row],[Verb]]="commit",Log[[#This Row],[Verb]]="carry",Log[[#This Row],[Verb]]="redo"),IF(Log[[#This Row],[Arg]]="",Log[[#This Row],[Sprint]],N(Log[[#This Row],[Arg]])),"")</f>
      </c>
      <c r="J1484" s="17">
        <f>IF(Log[[#This Row],[Verb]]="block",1,IF(OR(Log[[#This Row],[Verb]]="unblock",Log[[#This Row],[Verb]]="done",Log[[#This Row],[Verb]]="drop",Log[[#This Row],[Verb]]="punt",Log[[#This Row],[Verb]]="pass"),0,""))</f>
      </c>
      <c r="K1484" s="17">
        <f>IF(Log[[#This Row],[ID]]="",0,IFERROR(INDEX(Items[Pts],MATCH(Log[[#This Row],[ID]],Items[ID],0))*1,0))</f>
      </c>
      <c r="L1484" s="17">
        <f>IF(Log[[#This Row],[ID]]="","",IFERROR(INDEX(Items[Cur team],MATCH(Log[[#This Row],[ID]],Items[ID],0))&amp;"",""))</f>
      </c>
      <c r="M1484" s="17">
        <f>IF(OR(Log[[#This Row],[Verb]]="done",Log[[#This Row],[Verb]]="punt",Log[[#This Row],[Verb]]="drop",Log[[#This Row],[Verb]]="pass"),Log[[#This Row],[Pts]],0)</f>
      </c>
    </row>
    <row r="1485">
      <c r="A1485" s="11">
        <v>46230</v>
      </c>
      <c r="B1485" t="s">
        <v>799</v>
      </c>
      <c r="C1485" t="s">
        <v>41</v>
      </c>
      <c r="F1485" s="17">
        <f>IF(Log[[#This Row],[ID]]="","",IF(ISNA(MATCH(Log[[#This Row],[ID]],Items[ID],0)),"unknown ID",IF(ISNA(MATCH(Log[[#This Row],[Verb]],VerbList,0)),"unknown verb",IF(Log[[#This Row],[Date]]="","no date",""))))</f>
      </c>
      <c r="G1485" s="17">
        <f>IF(Log[[#This Row],[ID]]="","",IFERROR(VLOOKUP(Log[[#This Row],[Verb]],Verbs,3,FALSE)&amp;"",""))</f>
      </c>
      <c r="H1485" s="17">
        <f>IF(Log[[#This Row],[Date]]="","",INT((Log[[#This Row],[Date]]-Sprint1)/SprintDays)+1)</f>
      </c>
      <c r="I1485" s="17">
        <f>IF(OR(Log[[#This Row],[Verb]]="commit",Log[[#This Row],[Verb]]="carry",Log[[#This Row],[Verb]]="redo"),IF(Log[[#This Row],[Arg]]="",Log[[#This Row],[Sprint]],N(Log[[#This Row],[Arg]])),"")</f>
      </c>
      <c r="J1485" s="17">
        <f>IF(Log[[#This Row],[Verb]]="block",1,IF(OR(Log[[#This Row],[Verb]]="unblock",Log[[#This Row],[Verb]]="done",Log[[#This Row],[Verb]]="drop",Log[[#This Row],[Verb]]="punt",Log[[#This Row],[Verb]]="pass"),0,""))</f>
      </c>
      <c r="K1485" s="17">
        <f>IF(Log[[#This Row],[ID]]="",0,IFERROR(INDEX(Items[Pts],MATCH(Log[[#This Row],[ID]],Items[ID],0))*1,0))</f>
      </c>
      <c r="L1485" s="17">
        <f>IF(Log[[#This Row],[ID]]="","",IFERROR(INDEX(Items[Cur team],MATCH(Log[[#This Row],[ID]],Items[ID],0))&amp;"",""))</f>
      </c>
      <c r="M1485" s="17">
        <f>IF(OR(Log[[#This Row],[Verb]]="done",Log[[#This Row],[Verb]]="punt",Log[[#This Row],[Verb]]="drop",Log[[#This Row],[Verb]]="pass"),Log[[#This Row],[Pts]],0)</f>
      </c>
    </row>
    <row r="1486">
      <c r="A1486" s="11">
        <v>46230</v>
      </c>
      <c r="B1486" t="s">
        <v>800</v>
      </c>
      <c r="C1486" t="s">
        <v>41</v>
      </c>
      <c r="F1486" s="17">
        <f>IF(Log[[#This Row],[ID]]="","",IF(ISNA(MATCH(Log[[#This Row],[ID]],Items[ID],0)),"unknown ID",IF(ISNA(MATCH(Log[[#This Row],[Verb]],VerbList,0)),"unknown verb",IF(Log[[#This Row],[Date]]="","no date",""))))</f>
      </c>
      <c r="G1486" s="17">
        <f>IF(Log[[#This Row],[ID]]="","",IFERROR(VLOOKUP(Log[[#This Row],[Verb]],Verbs,3,FALSE)&amp;"",""))</f>
      </c>
      <c r="H1486" s="17">
        <f>IF(Log[[#This Row],[Date]]="","",INT((Log[[#This Row],[Date]]-Sprint1)/SprintDays)+1)</f>
      </c>
      <c r="I1486" s="17">
        <f>IF(OR(Log[[#This Row],[Verb]]="commit",Log[[#This Row],[Verb]]="carry",Log[[#This Row],[Verb]]="redo"),IF(Log[[#This Row],[Arg]]="",Log[[#This Row],[Sprint]],N(Log[[#This Row],[Arg]])),"")</f>
      </c>
      <c r="J1486" s="17">
        <f>IF(Log[[#This Row],[Verb]]="block",1,IF(OR(Log[[#This Row],[Verb]]="unblock",Log[[#This Row],[Verb]]="done",Log[[#This Row],[Verb]]="drop",Log[[#This Row],[Verb]]="punt",Log[[#This Row],[Verb]]="pass"),0,""))</f>
      </c>
      <c r="K1486" s="17">
        <f>IF(Log[[#This Row],[ID]]="",0,IFERROR(INDEX(Items[Pts],MATCH(Log[[#This Row],[ID]],Items[ID],0))*1,0))</f>
      </c>
      <c r="L1486" s="17">
        <f>IF(Log[[#This Row],[ID]]="","",IFERROR(INDEX(Items[Cur team],MATCH(Log[[#This Row],[ID]],Items[ID],0))&amp;"",""))</f>
      </c>
      <c r="M1486" s="17">
        <f>IF(OR(Log[[#This Row],[Verb]]="done",Log[[#This Row],[Verb]]="punt",Log[[#This Row],[Verb]]="drop",Log[[#This Row],[Verb]]="pass"),Log[[#This Row],[Pts]],0)</f>
      </c>
    </row>
    <row r="1487">
      <c r="A1487" s="11">
        <v>46230</v>
      </c>
      <c r="B1487" t="s">
        <v>801</v>
      </c>
      <c r="C1487" t="s">
        <v>41</v>
      </c>
      <c r="F1487" s="17">
        <f>IF(Log[[#This Row],[ID]]="","",IF(ISNA(MATCH(Log[[#This Row],[ID]],Items[ID],0)),"unknown ID",IF(ISNA(MATCH(Log[[#This Row],[Verb]],VerbList,0)),"unknown verb",IF(Log[[#This Row],[Date]]="","no date",""))))</f>
      </c>
      <c r="G1487" s="17">
        <f>IF(Log[[#This Row],[ID]]="","",IFERROR(VLOOKUP(Log[[#This Row],[Verb]],Verbs,3,FALSE)&amp;"",""))</f>
      </c>
      <c r="H1487" s="17">
        <f>IF(Log[[#This Row],[Date]]="","",INT((Log[[#This Row],[Date]]-Sprint1)/SprintDays)+1)</f>
      </c>
      <c r="I1487" s="17">
        <f>IF(OR(Log[[#This Row],[Verb]]="commit",Log[[#This Row],[Verb]]="carry",Log[[#This Row],[Verb]]="redo"),IF(Log[[#This Row],[Arg]]="",Log[[#This Row],[Sprint]],N(Log[[#This Row],[Arg]])),"")</f>
      </c>
      <c r="J1487" s="17">
        <f>IF(Log[[#This Row],[Verb]]="block",1,IF(OR(Log[[#This Row],[Verb]]="unblock",Log[[#This Row],[Verb]]="done",Log[[#This Row],[Verb]]="drop",Log[[#This Row],[Verb]]="punt",Log[[#This Row],[Verb]]="pass"),0,""))</f>
      </c>
      <c r="K1487" s="17">
        <f>IF(Log[[#This Row],[ID]]="",0,IFERROR(INDEX(Items[Pts],MATCH(Log[[#This Row],[ID]],Items[ID],0))*1,0))</f>
      </c>
      <c r="L1487" s="17">
        <f>IF(Log[[#This Row],[ID]]="","",IFERROR(INDEX(Items[Cur team],MATCH(Log[[#This Row],[ID]],Items[ID],0))&amp;"",""))</f>
      </c>
      <c r="M1487" s="17">
        <f>IF(OR(Log[[#This Row],[Verb]]="done",Log[[#This Row],[Verb]]="punt",Log[[#This Row],[Verb]]="drop",Log[[#This Row],[Verb]]="pass"),Log[[#This Row],[Pts]],0)</f>
      </c>
    </row>
    <row r="1488">
      <c r="A1488" s="11">
        <v>46230</v>
      </c>
      <c r="B1488" t="s">
        <v>802</v>
      </c>
      <c r="C1488" t="s">
        <v>41</v>
      </c>
      <c r="F1488" s="17">
        <f>IF(Log[[#This Row],[ID]]="","",IF(ISNA(MATCH(Log[[#This Row],[ID]],Items[ID],0)),"unknown ID",IF(ISNA(MATCH(Log[[#This Row],[Verb]],VerbList,0)),"unknown verb",IF(Log[[#This Row],[Date]]="","no date",""))))</f>
      </c>
      <c r="G1488" s="17">
        <f>IF(Log[[#This Row],[ID]]="","",IFERROR(VLOOKUP(Log[[#This Row],[Verb]],Verbs,3,FALSE)&amp;"",""))</f>
      </c>
      <c r="H1488" s="17">
        <f>IF(Log[[#This Row],[Date]]="","",INT((Log[[#This Row],[Date]]-Sprint1)/SprintDays)+1)</f>
      </c>
      <c r="I1488" s="17">
        <f>IF(OR(Log[[#This Row],[Verb]]="commit",Log[[#This Row],[Verb]]="carry",Log[[#This Row],[Verb]]="redo"),IF(Log[[#This Row],[Arg]]="",Log[[#This Row],[Sprint]],N(Log[[#This Row],[Arg]])),"")</f>
      </c>
      <c r="J1488" s="17">
        <f>IF(Log[[#This Row],[Verb]]="block",1,IF(OR(Log[[#This Row],[Verb]]="unblock",Log[[#This Row],[Verb]]="done",Log[[#This Row],[Verb]]="drop",Log[[#This Row],[Verb]]="punt",Log[[#This Row],[Verb]]="pass"),0,""))</f>
      </c>
      <c r="K1488" s="17">
        <f>IF(Log[[#This Row],[ID]]="",0,IFERROR(INDEX(Items[Pts],MATCH(Log[[#This Row],[ID]],Items[ID],0))*1,0))</f>
      </c>
      <c r="L1488" s="17">
        <f>IF(Log[[#This Row],[ID]]="","",IFERROR(INDEX(Items[Cur team],MATCH(Log[[#This Row],[ID]],Items[ID],0))&amp;"",""))</f>
      </c>
      <c r="M1488" s="17">
        <f>IF(OR(Log[[#This Row],[Verb]]="done",Log[[#This Row],[Verb]]="punt",Log[[#This Row],[Verb]]="drop",Log[[#This Row],[Verb]]="pass"),Log[[#This Row],[Pts]],0)</f>
      </c>
    </row>
    <row r="1489">
      <c r="A1489" s="11">
        <v>46230</v>
      </c>
      <c r="B1489" t="s">
        <v>803</v>
      </c>
      <c r="C1489" t="s">
        <v>41</v>
      </c>
      <c r="F1489" s="17">
        <f>IF(Log[[#This Row],[ID]]="","",IF(ISNA(MATCH(Log[[#This Row],[ID]],Items[ID],0)),"unknown ID",IF(ISNA(MATCH(Log[[#This Row],[Verb]],VerbList,0)),"unknown verb",IF(Log[[#This Row],[Date]]="","no date",""))))</f>
      </c>
      <c r="G1489" s="17">
        <f>IF(Log[[#This Row],[ID]]="","",IFERROR(VLOOKUP(Log[[#This Row],[Verb]],Verbs,3,FALSE)&amp;"",""))</f>
      </c>
      <c r="H1489" s="17">
        <f>IF(Log[[#This Row],[Date]]="","",INT((Log[[#This Row],[Date]]-Sprint1)/SprintDays)+1)</f>
      </c>
      <c r="I1489" s="17">
        <f>IF(OR(Log[[#This Row],[Verb]]="commit",Log[[#This Row],[Verb]]="carry",Log[[#This Row],[Verb]]="redo"),IF(Log[[#This Row],[Arg]]="",Log[[#This Row],[Sprint]],N(Log[[#This Row],[Arg]])),"")</f>
      </c>
      <c r="J1489" s="17">
        <f>IF(Log[[#This Row],[Verb]]="block",1,IF(OR(Log[[#This Row],[Verb]]="unblock",Log[[#This Row],[Verb]]="done",Log[[#This Row],[Verb]]="drop",Log[[#This Row],[Verb]]="punt",Log[[#This Row],[Verb]]="pass"),0,""))</f>
      </c>
      <c r="K1489" s="17">
        <f>IF(Log[[#This Row],[ID]]="",0,IFERROR(INDEX(Items[Pts],MATCH(Log[[#This Row],[ID]],Items[ID],0))*1,0))</f>
      </c>
      <c r="L1489" s="17">
        <f>IF(Log[[#This Row],[ID]]="","",IFERROR(INDEX(Items[Cur team],MATCH(Log[[#This Row],[ID]],Items[ID],0))&amp;"",""))</f>
      </c>
      <c r="M1489" s="17">
        <f>IF(OR(Log[[#This Row],[Verb]]="done",Log[[#This Row],[Verb]]="punt",Log[[#This Row],[Verb]]="drop",Log[[#This Row],[Verb]]="pass"),Log[[#This Row],[Pts]],0)</f>
      </c>
    </row>
    <row r="1490">
      <c r="A1490" s="11">
        <v>46230</v>
      </c>
      <c r="B1490" t="s">
        <v>696</v>
      </c>
      <c r="C1490" t="s">
        <v>41</v>
      </c>
      <c r="F1490" s="17">
        <f>IF(Log[[#This Row],[ID]]="","",IF(ISNA(MATCH(Log[[#This Row],[ID]],Items[ID],0)),"unknown ID",IF(ISNA(MATCH(Log[[#This Row],[Verb]],VerbList,0)),"unknown verb",IF(Log[[#This Row],[Date]]="","no date",""))))</f>
      </c>
      <c r="G1490" s="17">
        <f>IF(Log[[#This Row],[ID]]="","",IFERROR(VLOOKUP(Log[[#This Row],[Verb]],Verbs,3,FALSE)&amp;"",""))</f>
      </c>
      <c r="H1490" s="17">
        <f>IF(Log[[#This Row],[Date]]="","",INT((Log[[#This Row],[Date]]-Sprint1)/SprintDays)+1)</f>
      </c>
      <c r="I1490" s="17">
        <f>IF(OR(Log[[#This Row],[Verb]]="commit",Log[[#This Row],[Verb]]="carry",Log[[#This Row],[Verb]]="redo"),IF(Log[[#This Row],[Arg]]="",Log[[#This Row],[Sprint]],N(Log[[#This Row],[Arg]])),"")</f>
      </c>
      <c r="J1490" s="17">
        <f>IF(Log[[#This Row],[Verb]]="block",1,IF(OR(Log[[#This Row],[Verb]]="unblock",Log[[#This Row],[Verb]]="done",Log[[#This Row],[Verb]]="drop",Log[[#This Row],[Verb]]="punt",Log[[#This Row],[Verb]]="pass"),0,""))</f>
      </c>
      <c r="K1490" s="17">
        <f>IF(Log[[#This Row],[ID]]="",0,IFERROR(INDEX(Items[Pts],MATCH(Log[[#This Row],[ID]],Items[ID],0))*1,0))</f>
      </c>
      <c r="L1490" s="17">
        <f>IF(Log[[#This Row],[ID]]="","",IFERROR(INDEX(Items[Cur team],MATCH(Log[[#This Row],[ID]],Items[ID],0))&amp;"",""))</f>
      </c>
      <c r="M1490" s="17">
        <f>IF(OR(Log[[#This Row],[Verb]]="done",Log[[#This Row],[Verb]]="punt",Log[[#This Row],[Verb]]="drop",Log[[#This Row],[Verb]]="pass"),Log[[#This Row],[Pts]],0)</f>
      </c>
    </row>
    <row r="1491">
      <c r="A1491" s="11">
        <v>46230</v>
      </c>
      <c r="B1491" t="s">
        <v>804</v>
      </c>
      <c r="C1491" t="s">
        <v>41</v>
      </c>
      <c r="F1491" s="17">
        <f>IF(Log[[#This Row],[ID]]="","",IF(ISNA(MATCH(Log[[#This Row],[ID]],Items[ID],0)),"unknown ID",IF(ISNA(MATCH(Log[[#This Row],[Verb]],VerbList,0)),"unknown verb",IF(Log[[#This Row],[Date]]="","no date",""))))</f>
      </c>
      <c r="G1491" s="17">
        <f>IF(Log[[#This Row],[ID]]="","",IFERROR(VLOOKUP(Log[[#This Row],[Verb]],Verbs,3,FALSE)&amp;"",""))</f>
      </c>
      <c r="H1491" s="17">
        <f>IF(Log[[#This Row],[Date]]="","",INT((Log[[#This Row],[Date]]-Sprint1)/SprintDays)+1)</f>
      </c>
      <c r="I1491" s="17">
        <f>IF(OR(Log[[#This Row],[Verb]]="commit",Log[[#This Row],[Verb]]="carry",Log[[#This Row],[Verb]]="redo"),IF(Log[[#This Row],[Arg]]="",Log[[#This Row],[Sprint]],N(Log[[#This Row],[Arg]])),"")</f>
      </c>
      <c r="J1491" s="17">
        <f>IF(Log[[#This Row],[Verb]]="block",1,IF(OR(Log[[#This Row],[Verb]]="unblock",Log[[#This Row],[Verb]]="done",Log[[#This Row],[Verb]]="drop",Log[[#This Row],[Verb]]="punt",Log[[#This Row],[Verb]]="pass"),0,""))</f>
      </c>
      <c r="K1491" s="17">
        <f>IF(Log[[#This Row],[ID]]="",0,IFERROR(INDEX(Items[Pts],MATCH(Log[[#This Row],[ID]],Items[ID],0))*1,0))</f>
      </c>
      <c r="L1491" s="17">
        <f>IF(Log[[#This Row],[ID]]="","",IFERROR(INDEX(Items[Cur team],MATCH(Log[[#This Row],[ID]],Items[ID],0))&amp;"",""))</f>
      </c>
      <c r="M1491" s="17">
        <f>IF(OR(Log[[#This Row],[Verb]]="done",Log[[#This Row],[Verb]]="punt",Log[[#This Row],[Verb]]="drop",Log[[#This Row],[Verb]]="pass"),Log[[#This Row],[Pts]],0)</f>
      </c>
    </row>
    <row r="1492">
      <c r="A1492" s="11">
        <v>46230</v>
      </c>
      <c r="B1492" t="s">
        <v>805</v>
      </c>
      <c r="C1492" t="s">
        <v>38</v>
      </c>
      <c r="D1492">
        <v>49</v>
      </c>
      <c r="F1492" s="17">
        <f>IF(Log[[#This Row],[ID]]="","",IF(ISNA(MATCH(Log[[#This Row],[ID]],Items[ID],0)),"unknown ID",IF(ISNA(MATCH(Log[[#This Row],[Verb]],VerbList,0)),"unknown verb",IF(Log[[#This Row],[Date]]="","no date",""))))</f>
      </c>
      <c r="G1492" s="17">
        <f>IF(Log[[#This Row],[ID]]="","",IFERROR(VLOOKUP(Log[[#This Row],[Verb]],Verbs,3,FALSE)&amp;"",""))</f>
      </c>
      <c r="H1492" s="17">
        <f>IF(Log[[#This Row],[Date]]="","",INT((Log[[#This Row],[Date]]-Sprint1)/SprintDays)+1)</f>
      </c>
      <c r="I1492" s="17">
        <f>IF(OR(Log[[#This Row],[Verb]]="commit",Log[[#This Row],[Verb]]="carry",Log[[#This Row],[Verb]]="redo"),IF(Log[[#This Row],[Arg]]="",Log[[#This Row],[Sprint]],N(Log[[#This Row],[Arg]])),"")</f>
      </c>
      <c r="J1492" s="17">
        <f>IF(Log[[#This Row],[Verb]]="block",1,IF(OR(Log[[#This Row],[Verb]]="unblock",Log[[#This Row],[Verb]]="done",Log[[#This Row],[Verb]]="drop",Log[[#This Row],[Verb]]="punt",Log[[#This Row],[Verb]]="pass"),0,""))</f>
      </c>
      <c r="K1492" s="17">
        <f>IF(Log[[#This Row],[ID]]="",0,IFERROR(INDEX(Items[Pts],MATCH(Log[[#This Row],[ID]],Items[ID],0))*1,0))</f>
      </c>
      <c r="L1492" s="17">
        <f>IF(Log[[#This Row],[ID]]="","",IFERROR(INDEX(Items[Cur team],MATCH(Log[[#This Row],[ID]],Items[ID],0))&amp;"",""))</f>
      </c>
      <c r="M1492" s="17">
        <f>IF(OR(Log[[#This Row],[Verb]]="done",Log[[#This Row],[Verb]]="punt",Log[[#This Row],[Verb]]="drop",Log[[#This Row],[Verb]]="pass"),Log[[#This Row],[Pts]],0)</f>
      </c>
    </row>
    <row r="1493">
      <c r="A1493" s="11">
        <v>46230</v>
      </c>
      <c r="B1493" t="s">
        <v>806</v>
      </c>
      <c r="C1493" t="s">
        <v>41</v>
      </c>
      <c r="F1493" s="17">
        <f>IF(Log[[#This Row],[ID]]="","",IF(ISNA(MATCH(Log[[#This Row],[ID]],Items[ID],0)),"unknown ID",IF(ISNA(MATCH(Log[[#This Row],[Verb]],VerbList,0)),"unknown verb",IF(Log[[#This Row],[Date]]="","no date",""))))</f>
      </c>
      <c r="G1493" s="17">
        <f>IF(Log[[#This Row],[ID]]="","",IFERROR(VLOOKUP(Log[[#This Row],[Verb]],Verbs,3,FALSE)&amp;"",""))</f>
      </c>
      <c r="H1493" s="17">
        <f>IF(Log[[#This Row],[Date]]="","",INT((Log[[#This Row],[Date]]-Sprint1)/SprintDays)+1)</f>
      </c>
      <c r="I1493" s="17">
        <f>IF(OR(Log[[#This Row],[Verb]]="commit",Log[[#This Row],[Verb]]="carry",Log[[#This Row],[Verb]]="redo"),IF(Log[[#This Row],[Arg]]="",Log[[#This Row],[Sprint]],N(Log[[#This Row],[Arg]])),"")</f>
      </c>
      <c r="J1493" s="17">
        <f>IF(Log[[#This Row],[Verb]]="block",1,IF(OR(Log[[#This Row],[Verb]]="unblock",Log[[#This Row],[Verb]]="done",Log[[#This Row],[Verb]]="drop",Log[[#This Row],[Verb]]="punt",Log[[#This Row],[Verb]]="pass"),0,""))</f>
      </c>
      <c r="K1493" s="17">
        <f>IF(Log[[#This Row],[ID]]="",0,IFERROR(INDEX(Items[Pts],MATCH(Log[[#This Row],[ID]],Items[ID],0))*1,0))</f>
      </c>
      <c r="L1493" s="17">
        <f>IF(Log[[#This Row],[ID]]="","",IFERROR(INDEX(Items[Cur team],MATCH(Log[[#This Row],[ID]],Items[ID],0))&amp;"",""))</f>
      </c>
      <c r="M1493" s="17">
        <f>IF(OR(Log[[#This Row],[Verb]]="done",Log[[#This Row],[Verb]]="punt",Log[[#This Row],[Verb]]="drop",Log[[#This Row],[Verb]]="pass"),Log[[#This Row],[Pts]],0)</f>
      </c>
    </row>
    <row r="1494">
      <c r="A1494" s="11">
        <v>46230</v>
      </c>
      <c r="B1494" t="s">
        <v>807</v>
      </c>
      <c r="C1494" t="s">
        <v>41</v>
      </c>
      <c r="F1494" s="17">
        <f>IF(Log[[#This Row],[ID]]="","",IF(ISNA(MATCH(Log[[#This Row],[ID]],Items[ID],0)),"unknown ID",IF(ISNA(MATCH(Log[[#This Row],[Verb]],VerbList,0)),"unknown verb",IF(Log[[#This Row],[Date]]="","no date",""))))</f>
      </c>
      <c r="G1494" s="17">
        <f>IF(Log[[#This Row],[ID]]="","",IFERROR(VLOOKUP(Log[[#This Row],[Verb]],Verbs,3,FALSE)&amp;"",""))</f>
      </c>
      <c r="H1494" s="17">
        <f>IF(Log[[#This Row],[Date]]="","",INT((Log[[#This Row],[Date]]-Sprint1)/SprintDays)+1)</f>
      </c>
      <c r="I1494" s="17">
        <f>IF(OR(Log[[#This Row],[Verb]]="commit",Log[[#This Row],[Verb]]="carry",Log[[#This Row],[Verb]]="redo"),IF(Log[[#This Row],[Arg]]="",Log[[#This Row],[Sprint]],N(Log[[#This Row],[Arg]])),"")</f>
      </c>
      <c r="J1494" s="17">
        <f>IF(Log[[#This Row],[Verb]]="block",1,IF(OR(Log[[#This Row],[Verb]]="unblock",Log[[#This Row],[Verb]]="done",Log[[#This Row],[Verb]]="drop",Log[[#This Row],[Verb]]="punt",Log[[#This Row],[Verb]]="pass"),0,""))</f>
      </c>
      <c r="K1494" s="17">
        <f>IF(Log[[#This Row],[ID]]="",0,IFERROR(INDEX(Items[Pts],MATCH(Log[[#This Row],[ID]],Items[ID],0))*1,0))</f>
      </c>
      <c r="L1494" s="17">
        <f>IF(Log[[#This Row],[ID]]="","",IFERROR(INDEX(Items[Cur team],MATCH(Log[[#This Row],[ID]],Items[ID],0))&amp;"",""))</f>
      </c>
      <c r="M1494" s="17">
        <f>IF(OR(Log[[#This Row],[Verb]]="done",Log[[#This Row],[Verb]]="punt",Log[[#This Row],[Verb]]="drop",Log[[#This Row],[Verb]]="pass"),Log[[#This Row],[Pts]],0)</f>
      </c>
    </row>
    <row r="1495">
      <c r="A1495" s="11">
        <v>46230</v>
      </c>
      <c r="B1495" t="s">
        <v>808</v>
      </c>
      <c r="C1495" t="s">
        <v>41</v>
      </c>
      <c r="F1495" s="17">
        <f>IF(Log[[#This Row],[ID]]="","",IF(ISNA(MATCH(Log[[#This Row],[ID]],Items[ID],0)),"unknown ID",IF(ISNA(MATCH(Log[[#This Row],[Verb]],VerbList,0)),"unknown verb",IF(Log[[#This Row],[Date]]="","no date",""))))</f>
      </c>
      <c r="G1495" s="17">
        <f>IF(Log[[#This Row],[ID]]="","",IFERROR(VLOOKUP(Log[[#This Row],[Verb]],Verbs,3,FALSE)&amp;"",""))</f>
      </c>
      <c r="H1495" s="17">
        <f>IF(Log[[#This Row],[Date]]="","",INT((Log[[#This Row],[Date]]-Sprint1)/SprintDays)+1)</f>
      </c>
      <c r="I1495" s="17">
        <f>IF(OR(Log[[#This Row],[Verb]]="commit",Log[[#This Row],[Verb]]="carry",Log[[#This Row],[Verb]]="redo"),IF(Log[[#This Row],[Arg]]="",Log[[#This Row],[Sprint]],N(Log[[#This Row],[Arg]])),"")</f>
      </c>
      <c r="J1495" s="17">
        <f>IF(Log[[#This Row],[Verb]]="block",1,IF(OR(Log[[#This Row],[Verb]]="unblock",Log[[#This Row],[Verb]]="done",Log[[#This Row],[Verb]]="drop",Log[[#This Row],[Verb]]="punt",Log[[#This Row],[Verb]]="pass"),0,""))</f>
      </c>
      <c r="K1495" s="17">
        <f>IF(Log[[#This Row],[ID]]="",0,IFERROR(INDEX(Items[Pts],MATCH(Log[[#This Row],[ID]],Items[ID],0))*1,0))</f>
      </c>
      <c r="L1495" s="17">
        <f>IF(Log[[#This Row],[ID]]="","",IFERROR(INDEX(Items[Cur team],MATCH(Log[[#This Row],[ID]],Items[ID],0))&amp;"",""))</f>
      </c>
      <c r="M1495" s="17">
        <f>IF(OR(Log[[#This Row],[Verb]]="done",Log[[#This Row],[Verb]]="punt",Log[[#This Row],[Verb]]="drop",Log[[#This Row],[Verb]]="pass"),Log[[#This Row],[Pts]],0)</f>
      </c>
    </row>
    <row r="1496">
      <c r="A1496" s="11">
        <v>46230</v>
      </c>
      <c r="B1496" t="s">
        <v>809</v>
      </c>
      <c r="C1496" t="s">
        <v>41</v>
      </c>
      <c r="F1496" s="17">
        <f>IF(Log[[#This Row],[ID]]="","",IF(ISNA(MATCH(Log[[#This Row],[ID]],Items[ID],0)),"unknown ID",IF(ISNA(MATCH(Log[[#This Row],[Verb]],VerbList,0)),"unknown verb",IF(Log[[#This Row],[Date]]="","no date",""))))</f>
      </c>
      <c r="G1496" s="17">
        <f>IF(Log[[#This Row],[ID]]="","",IFERROR(VLOOKUP(Log[[#This Row],[Verb]],Verbs,3,FALSE)&amp;"",""))</f>
      </c>
      <c r="H1496" s="17">
        <f>IF(Log[[#This Row],[Date]]="","",INT((Log[[#This Row],[Date]]-Sprint1)/SprintDays)+1)</f>
      </c>
      <c r="I1496" s="17">
        <f>IF(OR(Log[[#This Row],[Verb]]="commit",Log[[#This Row],[Verb]]="carry",Log[[#This Row],[Verb]]="redo"),IF(Log[[#This Row],[Arg]]="",Log[[#This Row],[Sprint]],N(Log[[#This Row],[Arg]])),"")</f>
      </c>
      <c r="J1496" s="17">
        <f>IF(Log[[#This Row],[Verb]]="block",1,IF(OR(Log[[#This Row],[Verb]]="unblock",Log[[#This Row],[Verb]]="done",Log[[#This Row],[Verb]]="drop",Log[[#This Row],[Verb]]="punt",Log[[#This Row],[Verb]]="pass"),0,""))</f>
      </c>
      <c r="K1496" s="17">
        <f>IF(Log[[#This Row],[ID]]="",0,IFERROR(INDEX(Items[Pts],MATCH(Log[[#This Row],[ID]],Items[ID],0))*1,0))</f>
      </c>
      <c r="L1496" s="17">
        <f>IF(Log[[#This Row],[ID]]="","",IFERROR(INDEX(Items[Cur team],MATCH(Log[[#This Row],[ID]],Items[ID],0))&amp;"",""))</f>
      </c>
      <c r="M1496" s="17">
        <f>IF(OR(Log[[#This Row],[Verb]]="done",Log[[#This Row],[Verb]]="punt",Log[[#This Row],[Verb]]="drop",Log[[#This Row],[Verb]]="pass"),Log[[#This Row],[Pts]],0)</f>
      </c>
    </row>
    <row r="1497">
      <c r="A1497" s="11">
        <v>46230</v>
      </c>
      <c r="B1497" t="s">
        <v>810</v>
      </c>
      <c r="C1497" t="s">
        <v>41</v>
      </c>
      <c r="F1497" s="17">
        <f>IF(Log[[#This Row],[ID]]="","",IF(ISNA(MATCH(Log[[#This Row],[ID]],Items[ID],0)),"unknown ID",IF(ISNA(MATCH(Log[[#This Row],[Verb]],VerbList,0)),"unknown verb",IF(Log[[#This Row],[Date]]="","no date",""))))</f>
      </c>
      <c r="G1497" s="17">
        <f>IF(Log[[#This Row],[ID]]="","",IFERROR(VLOOKUP(Log[[#This Row],[Verb]],Verbs,3,FALSE)&amp;"",""))</f>
      </c>
      <c r="H1497" s="17">
        <f>IF(Log[[#This Row],[Date]]="","",INT((Log[[#This Row],[Date]]-Sprint1)/SprintDays)+1)</f>
      </c>
      <c r="I1497" s="17">
        <f>IF(OR(Log[[#This Row],[Verb]]="commit",Log[[#This Row],[Verb]]="carry",Log[[#This Row],[Verb]]="redo"),IF(Log[[#This Row],[Arg]]="",Log[[#This Row],[Sprint]],N(Log[[#This Row],[Arg]])),"")</f>
      </c>
      <c r="J1497" s="17">
        <f>IF(Log[[#This Row],[Verb]]="block",1,IF(OR(Log[[#This Row],[Verb]]="unblock",Log[[#This Row],[Verb]]="done",Log[[#This Row],[Verb]]="drop",Log[[#This Row],[Verb]]="punt",Log[[#This Row],[Verb]]="pass"),0,""))</f>
      </c>
      <c r="K1497" s="17">
        <f>IF(Log[[#This Row],[ID]]="",0,IFERROR(INDEX(Items[Pts],MATCH(Log[[#This Row],[ID]],Items[ID],0))*1,0))</f>
      </c>
      <c r="L1497" s="17">
        <f>IF(Log[[#This Row],[ID]]="","",IFERROR(INDEX(Items[Cur team],MATCH(Log[[#This Row],[ID]],Items[ID],0))&amp;"",""))</f>
      </c>
      <c r="M1497" s="17">
        <f>IF(OR(Log[[#This Row],[Verb]]="done",Log[[#This Row],[Verb]]="punt",Log[[#This Row],[Verb]]="drop",Log[[#This Row],[Verb]]="pass"),Log[[#This Row],[Pts]],0)</f>
      </c>
    </row>
    <row r="1498">
      <c r="A1498" s="11">
        <v>46230</v>
      </c>
      <c r="B1498" t="s">
        <v>811</v>
      </c>
      <c r="C1498" t="s">
        <v>41</v>
      </c>
      <c r="F1498" s="17">
        <f>IF(Log[[#This Row],[ID]]="","",IF(ISNA(MATCH(Log[[#This Row],[ID]],Items[ID],0)),"unknown ID",IF(ISNA(MATCH(Log[[#This Row],[Verb]],VerbList,0)),"unknown verb",IF(Log[[#This Row],[Date]]="","no date",""))))</f>
      </c>
      <c r="G1498" s="17">
        <f>IF(Log[[#This Row],[ID]]="","",IFERROR(VLOOKUP(Log[[#This Row],[Verb]],Verbs,3,FALSE)&amp;"",""))</f>
      </c>
      <c r="H1498" s="17">
        <f>IF(Log[[#This Row],[Date]]="","",INT((Log[[#This Row],[Date]]-Sprint1)/SprintDays)+1)</f>
      </c>
      <c r="I1498" s="17">
        <f>IF(OR(Log[[#This Row],[Verb]]="commit",Log[[#This Row],[Verb]]="carry",Log[[#This Row],[Verb]]="redo"),IF(Log[[#This Row],[Arg]]="",Log[[#This Row],[Sprint]],N(Log[[#This Row],[Arg]])),"")</f>
      </c>
      <c r="J1498" s="17">
        <f>IF(Log[[#This Row],[Verb]]="block",1,IF(OR(Log[[#This Row],[Verb]]="unblock",Log[[#This Row],[Verb]]="done",Log[[#This Row],[Verb]]="drop",Log[[#This Row],[Verb]]="punt",Log[[#This Row],[Verb]]="pass"),0,""))</f>
      </c>
      <c r="K1498" s="17">
        <f>IF(Log[[#This Row],[ID]]="",0,IFERROR(INDEX(Items[Pts],MATCH(Log[[#This Row],[ID]],Items[ID],0))*1,0))</f>
      </c>
      <c r="L1498" s="17">
        <f>IF(Log[[#This Row],[ID]]="","",IFERROR(INDEX(Items[Cur team],MATCH(Log[[#This Row],[ID]],Items[ID],0))&amp;"",""))</f>
      </c>
      <c r="M1498" s="17">
        <f>IF(OR(Log[[#This Row],[Verb]]="done",Log[[#This Row],[Verb]]="punt",Log[[#This Row],[Verb]]="drop",Log[[#This Row],[Verb]]="pass"),Log[[#This Row],[Pts]],0)</f>
      </c>
    </row>
    <row r="1499">
      <c r="A1499" s="11">
        <v>46230</v>
      </c>
      <c r="B1499" t="s">
        <v>812</v>
      </c>
      <c r="C1499" t="s">
        <v>41</v>
      </c>
      <c r="F1499" s="17">
        <f>IF(Log[[#This Row],[ID]]="","",IF(ISNA(MATCH(Log[[#This Row],[ID]],Items[ID],0)),"unknown ID",IF(ISNA(MATCH(Log[[#This Row],[Verb]],VerbList,0)),"unknown verb",IF(Log[[#This Row],[Date]]="","no date",""))))</f>
      </c>
      <c r="G1499" s="17">
        <f>IF(Log[[#This Row],[ID]]="","",IFERROR(VLOOKUP(Log[[#This Row],[Verb]],Verbs,3,FALSE)&amp;"",""))</f>
      </c>
      <c r="H1499" s="17">
        <f>IF(Log[[#This Row],[Date]]="","",INT((Log[[#This Row],[Date]]-Sprint1)/SprintDays)+1)</f>
      </c>
      <c r="I1499" s="17">
        <f>IF(OR(Log[[#This Row],[Verb]]="commit",Log[[#This Row],[Verb]]="carry",Log[[#This Row],[Verb]]="redo"),IF(Log[[#This Row],[Arg]]="",Log[[#This Row],[Sprint]],N(Log[[#This Row],[Arg]])),"")</f>
      </c>
      <c r="J1499" s="17">
        <f>IF(Log[[#This Row],[Verb]]="block",1,IF(OR(Log[[#This Row],[Verb]]="unblock",Log[[#This Row],[Verb]]="done",Log[[#This Row],[Verb]]="drop",Log[[#This Row],[Verb]]="punt",Log[[#This Row],[Verb]]="pass"),0,""))</f>
      </c>
      <c r="K1499" s="17">
        <f>IF(Log[[#This Row],[ID]]="",0,IFERROR(INDEX(Items[Pts],MATCH(Log[[#This Row],[ID]],Items[ID],0))*1,0))</f>
      </c>
      <c r="L1499" s="17">
        <f>IF(Log[[#This Row],[ID]]="","",IFERROR(INDEX(Items[Cur team],MATCH(Log[[#This Row],[ID]],Items[ID],0))&amp;"",""))</f>
      </c>
      <c r="M1499" s="17">
        <f>IF(OR(Log[[#This Row],[Verb]]="done",Log[[#This Row],[Verb]]="punt",Log[[#This Row],[Verb]]="drop",Log[[#This Row],[Verb]]="pass"),Log[[#This Row],[Pts]],0)</f>
      </c>
    </row>
    <row r="1500">
      <c r="A1500" s="11">
        <v>46230</v>
      </c>
      <c r="B1500" t="s">
        <v>813</v>
      </c>
      <c r="C1500" t="s">
        <v>41</v>
      </c>
      <c r="F1500" s="17">
        <f>IF(Log[[#This Row],[ID]]="","",IF(ISNA(MATCH(Log[[#This Row],[ID]],Items[ID],0)),"unknown ID",IF(ISNA(MATCH(Log[[#This Row],[Verb]],VerbList,0)),"unknown verb",IF(Log[[#This Row],[Date]]="","no date",""))))</f>
      </c>
      <c r="G1500" s="17">
        <f>IF(Log[[#This Row],[ID]]="","",IFERROR(VLOOKUP(Log[[#This Row],[Verb]],Verbs,3,FALSE)&amp;"",""))</f>
      </c>
      <c r="H1500" s="17">
        <f>IF(Log[[#This Row],[Date]]="","",INT((Log[[#This Row],[Date]]-Sprint1)/SprintDays)+1)</f>
      </c>
      <c r="I1500" s="17">
        <f>IF(OR(Log[[#This Row],[Verb]]="commit",Log[[#This Row],[Verb]]="carry",Log[[#This Row],[Verb]]="redo"),IF(Log[[#This Row],[Arg]]="",Log[[#This Row],[Sprint]],N(Log[[#This Row],[Arg]])),"")</f>
      </c>
      <c r="J1500" s="17">
        <f>IF(Log[[#This Row],[Verb]]="block",1,IF(OR(Log[[#This Row],[Verb]]="unblock",Log[[#This Row],[Verb]]="done",Log[[#This Row],[Verb]]="drop",Log[[#This Row],[Verb]]="punt",Log[[#This Row],[Verb]]="pass"),0,""))</f>
      </c>
      <c r="K1500" s="17">
        <f>IF(Log[[#This Row],[ID]]="",0,IFERROR(INDEX(Items[Pts],MATCH(Log[[#This Row],[ID]],Items[ID],0))*1,0))</f>
      </c>
      <c r="L1500" s="17">
        <f>IF(Log[[#This Row],[ID]]="","",IFERROR(INDEX(Items[Cur team],MATCH(Log[[#This Row],[ID]],Items[ID],0))&amp;"",""))</f>
      </c>
      <c r="M1500" s="17">
        <f>IF(OR(Log[[#This Row],[Verb]]="done",Log[[#This Row],[Verb]]="punt",Log[[#This Row],[Verb]]="drop",Log[[#This Row],[Verb]]="pass"),Log[[#This Row],[Pts]],0)</f>
      </c>
    </row>
    <row r="1501">
      <c r="A1501" s="11">
        <v>46230</v>
      </c>
      <c r="B1501" t="s">
        <v>814</v>
      </c>
      <c r="C1501" t="s">
        <v>41</v>
      </c>
      <c r="F1501" s="17">
        <f>IF(Log[[#This Row],[ID]]="","",IF(ISNA(MATCH(Log[[#This Row],[ID]],Items[ID],0)),"unknown ID",IF(ISNA(MATCH(Log[[#This Row],[Verb]],VerbList,0)),"unknown verb",IF(Log[[#This Row],[Date]]="","no date",""))))</f>
      </c>
      <c r="G1501" s="17">
        <f>IF(Log[[#This Row],[ID]]="","",IFERROR(VLOOKUP(Log[[#This Row],[Verb]],Verbs,3,FALSE)&amp;"",""))</f>
      </c>
      <c r="H1501" s="17">
        <f>IF(Log[[#This Row],[Date]]="","",INT((Log[[#This Row],[Date]]-Sprint1)/SprintDays)+1)</f>
      </c>
      <c r="I1501" s="17">
        <f>IF(OR(Log[[#This Row],[Verb]]="commit",Log[[#This Row],[Verb]]="carry",Log[[#This Row],[Verb]]="redo"),IF(Log[[#This Row],[Arg]]="",Log[[#This Row],[Sprint]],N(Log[[#This Row],[Arg]])),"")</f>
      </c>
      <c r="J1501" s="17">
        <f>IF(Log[[#This Row],[Verb]]="block",1,IF(OR(Log[[#This Row],[Verb]]="unblock",Log[[#This Row],[Verb]]="done",Log[[#This Row],[Verb]]="drop",Log[[#This Row],[Verb]]="punt",Log[[#This Row],[Verb]]="pass"),0,""))</f>
      </c>
      <c r="K1501" s="17">
        <f>IF(Log[[#This Row],[ID]]="",0,IFERROR(INDEX(Items[Pts],MATCH(Log[[#This Row],[ID]],Items[ID],0))*1,0))</f>
      </c>
      <c r="L1501" s="17">
        <f>IF(Log[[#This Row],[ID]]="","",IFERROR(INDEX(Items[Cur team],MATCH(Log[[#This Row],[ID]],Items[ID],0))&amp;"",""))</f>
      </c>
      <c r="M1501" s="17">
        <f>IF(OR(Log[[#This Row],[Verb]]="done",Log[[#This Row],[Verb]]="punt",Log[[#This Row],[Verb]]="drop",Log[[#This Row],[Verb]]="pass"),Log[[#This Row],[Pts]],0)</f>
      </c>
    </row>
    <row r="1502">
      <c r="A1502" s="11">
        <v>46230</v>
      </c>
      <c r="B1502" t="s">
        <v>815</v>
      </c>
      <c r="C1502" t="s">
        <v>41</v>
      </c>
      <c r="F1502" s="17">
        <f>IF(Log[[#This Row],[ID]]="","",IF(ISNA(MATCH(Log[[#This Row],[ID]],Items[ID],0)),"unknown ID",IF(ISNA(MATCH(Log[[#This Row],[Verb]],VerbList,0)),"unknown verb",IF(Log[[#This Row],[Date]]="","no date",""))))</f>
      </c>
      <c r="G1502" s="17">
        <f>IF(Log[[#This Row],[ID]]="","",IFERROR(VLOOKUP(Log[[#This Row],[Verb]],Verbs,3,FALSE)&amp;"",""))</f>
      </c>
      <c r="H1502" s="17">
        <f>IF(Log[[#This Row],[Date]]="","",INT((Log[[#This Row],[Date]]-Sprint1)/SprintDays)+1)</f>
      </c>
      <c r="I1502" s="17">
        <f>IF(OR(Log[[#This Row],[Verb]]="commit",Log[[#This Row],[Verb]]="carry",Log[[#This Row],[Verb]]="redo"),IF(Log[[#This Row],[Arg]]="",Log[[#This Row],[Sprint]],N(Log[[#This Row],[Arg]])),"")</f>
      </c>
      <c r="J1502" s="17">
        <f>IF(Log[[#This Row],[Verb]]="block",1,IF(OR(Log[[#This Row],[Verb]]="unblock",Log[[#This Row],[Verb]]="done",Log[[#This Row],[Verb]]="drop",Log[[#This Row],[Verb]]="punt",Log[[#This Row],[Verb]]="pass"),0,""))</f>
      </c>
      <c r="K1502" s="17">
        <f>IF(Log[[#This Row],[ID]]="",0,IFERROR(INDEX(Items[Pts],MATCH(Log[[#This Row],[ID]],Items[ID],0))*1,0))</f>
      </c>
      <c r="L1502" s="17">
        <f>IF(Log[[#This Row],[ID]]="","",IFERROR(INDEX(Items[Cur team],MATCH(Log[[#This Row],[ID]],Items[ID],0))&amp;"",""))</f>
      </c>
      <c r="M1502" s="17">
        <f>IF(OR(Log[[#This Row],[Verb]]="done",Log[[#This Row],[Verb]]="punt",Log[[#This Row],[Verb]]="drop",Log[[#This Row],[Verb]]="pass"),Log[[#This Row],[Pts]],0)</f>
      </c>
    </row>
    <row r="1503">
      <c r="A1503" s="11">
        <v>46230</v>
      </c>
      <c r="B1503" t="s">
        <v>816</v>
      </c>
      <c r="C1503" t="s">
        <v>41</v>
      </c>
      <c r="F1503" s="17">
        <f>IF(Log[[#This Row],[ID]]="","",IF(ISNA(MATCH(Log[[#This Row],[ID]],Items[ID],0)),"unknown ID",IF(ISNA(MATCH(Log[[#This Row],[Verb]],VerbList,0)),"unknown verb",IF(Log[[#This Row],[Date]]="","no date",""))))</f>
      </c>
      <c r="G1503" s="17">
        <f>IF(Log[[#This Row],[ID]]="","",IFERROR(VLOOKUP(Log[[#This Row],[Verb]],Verbs,3,FALSE)&amp;"",""))</f>
      </c>
      <c r="H1503" s="17">
        <f>IF(Log[[#This Row],[Date]]="","",INT((Log[[#This Row],[Date]]-Sprint1)/SprintDays)+1)</f>
      </c>
      <c r="I1503" s="17">
        <f>IF(OR(Log[[#This Row],[Verb]]="commit",Log[[#This Row],[Verb]]="carry",Log[[#This Row],[Verb]]="redo"),IF(Log[[#This Row],[Arg]]="",Log[[#This Row],[Sprint]],N(Log[[#This Row],[Arg]])),"")</f>
      </c>
      <c r="J1503" s="17">
        <f>IF(Log[[#This Row],[Verb]]="block",1,IF(OR(Log[[#This Row],[Verb]]="unblock",Log[[#This Row],[Verb]]="done",Log[[#This Row],[Verb]]="drop",Log[[#This Row],[Verb]]="punt",Log[[#This Row],[Verb]]="pass"),0,""))</f>
      </c>
      <c r="K1503" s="17">
        <f>IF(Log[[#This Row],[ID]]="",0,IFERROR(INDEX(Items[Pts],MATCH(Log[[#This Row],[ID]],Items[ID],0))*1,0))</f>
      </c>
      <c r="L1503" s="17">
        <f>IF(Log[[#This Row],[ID]]="","",IFERROR(INDEX(Items[Cur team],MATCH(Log[[#This Row],[ID]],Items[ID],0))&amp;"",""))</f>
      </c>
      <c r="M1503" s="17">
        <f>IF(OR(Log[[#This Row],[Verb]]="done",Log[[#This Row],[Verb]]="punt",Log[[#This Row],[Verb]]="drop",Log[[#This Row],[Verb]]="pass"),Log[[#This Row],[Pts]],0)</f>
      </c>
    </row>
    <row r="1504">
      <c r="A1504" s="11">
        <v>46231</v>
      </c>
      <c r="B1504" t="s">
        <v>817</v>
      </c>
      <c r="C1504" t="s">
        <v>34</v>
      </c>
      <c r="D1504">
        <v>49</v>
      </c>
      <c r="F1504" s="17">
        <f>IF(Log[[#This Row],[ID]]="","",IF(ISNA(MATCH(Log[[#This Row],[ID]],Items[ID],0)),"unknown ID",IF(ISNA(MATCH(Log[[#This Row],[Verb]],VerbList,0)),"unknown verb",IF(Log[[#This Row],[Date]]="","no date",""))))</f>
      </c>
      <c r="G1504" s="17">
        <f>IF(Log[[#This Row],[ID]]="","",IFERROR(VLOOKUP(Log[[#This Row],[Verb]],Verbs,3,FALSE)&amp;"",""))</f>
      </c>
      <c r="H1504" s="17">
        <f>IF(Log[[#This Row],[Date]]="","",INT((Log[[#This Row],[Date]]-Sprint1)/SprintDays)+1)</f>
      </c>
      <c r="I1504" s="17">
        <f>IF(OR(Log[[#This Row],[Verb]]="commit",Log[[#This Row],[Verb]]="carry",Log[[#This Row],[Verb]]="redo"),IF(Log[[#This Row],[Arg]]="",Log[[#This Row],[Sprint]],N(Log[[#This Row],[Arg]])),"")</f>
      </c>
      <c r="J1504" s="17">
        <f>IF(Log[[#This Row],[Verb]]="block",1,IF(OR(Log[[#This Row],[Verb]]="unblock",Log[[#This Row],[Verb]]="done",Log[[#This Row],[Verb]]="drop",Log[[#This Row],[Verb]]="punt",Log[[#This Row],[Verb]]="pass"),0,""))</f>
      </c>
      <c r="K1504" s="17">
        <f>IF(Log[[#This Row],[ID]]="",0,IFERROR(INDEX(Items[Pts],MATCH(Log[[#This Row],[ID]],Items[ID],0))*1,0))</f>
      </c>
      <c r="L1504" s="17">
        <f>IF(Log[[#This Row],[ID]]="","",IFERROR(INDEX(Items[Cur team],MATCH(Log[[#This Row],[ID]],Items[ID],0))&amp;"",""))</f>
      </c>
      <c r="M1504" s="17">
        <f>IF(OR(Log[[#This Row],[Verb]]="done",Log[[#This Row],[Verb]]="punt",Log[[#This Row],[Verb]]="drop",Log[[#This Row],[Verb]]="pass"),Log[[#This Row],[Pts]],0)</f>
      </c>
    </row>
    <row r="1505">
      <c r="A1505" s="11">
        <v>46231</v>
      </c>
      <c r="B1505" t="s">
        <v>818</v>
      </c>
      <c r="C1505" t="s">
        <v>34</v>
      </c>
      <c r="D1505">
        <v>49</v>
      </c>
      <c r="F1505" s="17">
        <f>IF(Log[[#This Row],[ID]]="","",IF(ISNA(MATCH(Log[[#This Row],[ID]],Items[ID],0)),"unknown ID",IF(ISNA(MATCH(Log[[#This Row],[Verb]],VerbList,0)),"unknown verb",IF(Log[[#This Row],[Date]]="","no date",""))))</f>
      </c>
      <c r="G1505" s="17">
        <f>IF(Log[[#This Row],[ID]]="","",IFERROR(VLOOKUP(Log[[#This Row],[Verb]],Verbs,3,FALSE)&amp;"",""))</f>
      </c>
      <c r="H1505" s="17">
        <f>IF(Log[[#This Row],[Date]]="","",INT((Log[[#This Row],[Date]]-Sprint1)/SprintDays)+1)</f>
      </c>
      <c r="I1505" s="17">
        <f>IF(OR(Log[[#This Row],[Verb]]="commit",Log[[#This Row],[Verb]]="carry",Log[[#This Row],[Verb]]="redo"),IF(Log[[#This Row],[Arg]]="",Log[[#This Row],[Sprint]],N(Log[[#This Row],[Arg]])),"")</f>
      </c>
      <c r="J1505" s="17">
        <f>IF(Log[[#This Row],[Verb]]="block",1,IF(OR(Log[[#This Row],[Verb]]="unblock",Log[[#This Row],[Verb]]="done",Log[[#This Row],[Verb]]="drop",Log[[#This Row],[Verb]]="punt",Log[[#This Row],[Verb]]="pass"),0,""))</f>
      </c>
      <c r="K1505" s="17">
        <f>IF(Log[[#This Row],[ID]]="",0,IFERROR(INDEX(Items[Pts],MATCH(Log[[#This Row],[ID]],Items[ID],0))*1,0))</f>
      </c>
      <c r="L1505" s="17">
        <f>IF(Log[[#This Row],[ID]]="","",IFERROR(INDEX(Items[Cur team],MATCH(Log[[#This Row],[ID]],Items[ID],0))&amp;"",""))</f>
      </c>
      <c r="M1505" s="17">
        <f>IF(OR(Log[[#This Row],[Verb]]="done",Log[[#This Row],[Verb]]="punt",Log[[#This Row],[Verb]]="drop",Log[[#This Row],[Verb]]="pass"),Log[[#This Row],[Pts]],0)</f>
      </c>
    </row>
    <row r="1506">
      <c r="A1506" s="11">
        <v>46231</v>
      </c>
      <c r="B1506" t="s">
        <v>819</v>
      </c>
      <c r="C1506" t="s">
        <v>34</v>
      </c>
      <c r="D1506">
        <v>49</v>
      </c>
      <c r="F1506" s="17">
        <f>IF(Log[[#This Row],[ID]]="","",IF(ISNA(MATCH(Log[[#This Row],[ID]],Items[ID],0)),"unknown ID",IF(ISNA(MATCH(Log[[#This Row],[Verb]],VerbList,0)),"unknown verb",IF(Log[[#This Row],[Date]]="","no date",""))))</f>
      </c>
      <c r="G1506" s="17">
        <f>IF(Log[[#This Row],[ID]]="","",IFERROR(VLOOKUP(Log[[#This Row],[Verb]],Verbs,3,FALSE)&amp;"",""))</f>
      </c>
      <c r="H1506" s="17">
        <f>IF(Log[[#This Row],[Date]]="","",INT((Log[[#This Row],[Date]]-Sprint1)/SprintDays)+1)</f>
      </c>
      <c r="I1506" s="17">
        <f>IF(OR(Log[[#This Row],[Verb]]="commit",Log[[#This Row],[Verb]]="carry",Log[[#This Row],[Verb]]="redo"),IF(Log[[#This Row],[Arg]]="",Log[[#This Row],[Sprint]],N(Log[[#This Row],[Arg]])),"")</f>
      </c>
      <c r="J1506" s="17">
        <f>IF(Log[[#This Row],[Verb]]="block",1,IF(OR(Log[[#This Row],[Verb]]="unblock",Log[[#This Row],[Verb]]="done",Log[[#This Row],[Verb]]="drop",Log[[#This Row],[Verb]]="punt",Log[[#This Row],[Verb]]="pass"),0,""))</f>
      </c>
      <c r="K1506" s="17">
        <f>IF(Log[[#This Row],[ID]]="",0,IFERROR(INDEX(Items[Pts],MATCH(Log[[#This Row],[ID]],Items[ID],0))*1,0))</f>
      </c>
      <c r="L1506" s="17">
        <f>IF(Log[[#This Row],[ID]]="","",IFERROR(INDEX(Items[Cur team],MATCH(Log[[#This Row],[ID]],Items[ID],0))&amp;"",""))</f>
      </c>
      <c r="M1506" s="17">
        <f>IF(OR(Log[[#This Row],[Verb]]="done",Log[[#This Row],[Verb]]="punt",Log[[#This Row],[Verb]]="drop",Log[[#This Row],[Verb]]="pass"),Log[[#This Row],[Pts]],0)</f>
      </c>
    </row>
    <row r="1507">
      <c r="A1507" s="11">
        <v>46231</v>
      </c>
      <c r="B1507" t="s">
        <v>820</v>
      </c>
      <c r="C1507" t="s">
        <v>34</v>
      </c>
      <c r="D1507">
        <v>49</v>
      </c>
      <c r="F1507" s="17">
        <f>IF(Log[[#This Row],[ID]]="","",IF(ISNA(MATCH(Log[[#This Row],[ID]],Items[ID],0)),"unknown ID",IF(ISNA(MATCH(Log[[#This Row],[Verb]],VerbList,0)),"unknown verb",IF(Log[[#This Row],[Date]]="","no date",""))))</f>
      </c>
      <c r="G1507" s="17">
        <f>IF(Log[[#This Row],[ID]]="","",IFERROR(VLOOKUP(Log[[#This Row],[Verb]],Verbs,3,FALSE)&amp;"",""))</f>
      </c>
      <c r="H1507" s="17">
        <f>IF(Log[[#This Row],[Date]]="","",INT((Log[[#This Row],[Date]]-Sprint1)/SprintDays)+1)</f>
      </c>
      <c r="I1507" s="17">
        <f>IF(OR(Log[[#This Row],[Verb]]="commit",Log[[#This Row],[Verb]]="carry",Log[[#This Row],[Verb]]="redo"),IF(Log[[#This Row],[Arg]]="",Log[[#This Row],[Sprint]],N(Log[[#This Row],[Arg]])),"")</f>
      </c>
      <c r="J1507" s="17">
        <f>IF(Log[[#This Row],[Verb]]="block",1,IF(OR(Log[[#This Row],[Verb]]="unblock",Log[[#This Row],[Verb]]="done",Log[[#This Row],[Verb]]="drop",Log[[#This Row],[Verb]]="punt",Log[[#This Row],[Verb]]="pass"),0,""))</f>
      </c>
      <c r="K1507" s="17">
        <f>IF(Log[[#This Row],[ID]]="",0,IFERROR(INDEX(Items[Pts],MATCH(Log[[#This Row],[ID]],Items[ID],0))*1,0))</f>
      </c>
      <c r="L1507" s="17">
        <f>IF(Log[[#This Row],[ID]]="","",IFERROR(INDEX(Items[Cur team],MATCH(Log[[#This Row],[ID]],Items[ID],0))&amp;"",""))</f>
      </c>
      <c r="M1507" s="17">
        <f>IF(OR(Log[[#This Row],[Verb]]="done",Log[[#This Row],[Verb]]="punt",Log[[#This Row],[Verb]]="drop",Log[[#This Row],[Verb]]="pass"),Log[[#This Row],[Pts]],0)</f>
      </c>
    </row>
    <row r="1508">
      <c r="A1508" s="11">
        <v>46231</v>
      </c>
      <c r="B1508" t="s">
        <v>821</v>
      </c>
      <c r="C1508" t="s">
        <v>34</v>
      </c>
      <c r="D1508">
        <v>49</v>
      </c>
      <c r="F1508" s="17">
        <f>IF(Log[[#This Row],[ID]]="","",IF(ISNA(MATCH(Log[[#This Row],[ID]],Items[ID],0)),"unknown ID",IF(ISNA(MATCH(Log[[#This Row],[Verb]],VerbList,0)),"unknown verb",IF(Log[[#This Row],[Date]]="","no date",""))))</f>
      </c>
      <c r="G1508" s="17">
        <f>IF(Log[[#This Row],[ID]]="","",IFERROR(VLOOKUP(Log[[#This Row],[Verb]],Verbs,3,FALSE)&amp;"",""))</f>
      </c>
      <c r="H1508" s="17">
        <f>IF(Log[[#This Row],[Date]]="","",INT((Log[[#This Row],[Date]]-Sprint1)/SprintDays)+1)</f>
      </c>
      <c r="I1508" s="17">
        <f>IF(OR(Log[[#This Row],[Verb]]="commit",Log[[#This Row],[Verb]]="carry",Log[[#This Row],[Verb]]="redo"),IF(Log[[#This Row],[Arg]]="",Log[[#This Row],[Sprint]],N(Log[[#This Row],[Arg]])),"")</f>
      </c>
      <c r="J1508" s="17">
        <f>IF(Log[[#This Row],[Verb]]="block",1,IF(OR(Log[[#This Row],[Verb]]="unblock",Log[[#This Row],[Verb]]="done",Log[[#This Row],[Verb]]="drop",Log[[#This Row],[Verb]]="punt",Log[[#This Row],[Verb]]="pass"),0,""))</f>
      </c>
      <c r="K1508" s="17">
        <f>IF(Log[[#This Row],[ID]]="",0,IFERROR(INDEX(Items[Pts],MATCH(Log[[#This Row],[ID]],Items[ID],0))*1,0))</f>
      </c>
      <c r="L1508" s="17">
        <f>IF(Log[[#This Row],[ID]]="","",IFERROR(INDEX(Items[Cur team],MATCH(Log[[#This Row],[ID]],Items[ID],0))&amp;"",""))</f>
      </c>
      <c r="M1508" s="17">
        <f>IF(OR(Log[[#This Row],[Verb]]="done",Log[[#This Row],[Verb]]="punt",Log[[#This Row],[Verb]]="drop",Log[[#This Row],[Verb]]="pass"),Log[[#This Row],[Pts]],0)</f>
      </c>
    </row>
    <row r="1509">
      <c r="A1509" s="11">
        <v>46231</v>
      </c>
      <c r="B1509" t="s">
        <v>822</v>
      </c>
      <c r="C1509" t="s">
        <v>34</v>
      </c>
      <c r="D1509">
        <v>49</v>
      </c>
      <c r="F1509" s="17">
        <f>IF(Log[[#This Row],[ID]]="","",IF(ISNA(MATCH(Log[[#This Row],[ID]],Items[ID],0)),"unknown ID",IF(ISNA(MATCH(Log[[#This Row],[Verb]],VerbList,0)),"unknown verb",IF(Log[[#This Row],[Date]]="","no date",""))))</f>
      </c>
      <c r="G1509" s="17">
        <f>IF(Log[[#This Row],[ID]]="","",IFERROR(VLOOKUP(Log[[#This Row],[Verb]],Verbs,3,FALSE)&amp;"",""))</f>
      </c>
      <c r="H1509" s="17">
        <f>IF(Log[[#This Row],[Date]]="","",INT((Log[[#This Row],[Date]]-Sprint1)/SprintDays)+1)</f>
      </c>
      <c r="I1509" s="17">
        <f>IF(OR(Log[[#This Row],[Verb]]="commit",Log[[#This Row],[Verb]]="carry",Log[[#This Row],[Verb]]="redo"),IF(Log[[#This Row],[Arg]]="",Log[[#This Row],[Sprint]],N(Log[[#This Row],[Arg]])),"")</f>
      </c>
      <c r="J1509" s="17">
        <f>IF(Log[[#This Row],[Verb]]="block",1,IF(OR(Log[[#This Row],[Verb]]="unblock",Log[[#This Row],[Verb]]="done",Log[[#This Row],[Verb]]="drop",Log[[#This Row],[Verb]]="punt",Log[[#This Row],[Verb]]="pass"),0,""))</f>
      </c>
      <c r="K1509" s="17">
        <f>IF(Log[[#This Row],[ID]]="",0,IFERROR(INDEX(Items[Pts],MATCH(Log[[#This Row],[ID]],Items[ID],0))*1,0))</f>
      </c>
      <c r="L1509" s="17">
        <f>IF(Log[[#This Row],[ID]]="","",IFERROR(INDEX(Items[Cur team],MATCH(Log[[#This Row],[ID]],Items[ID],0))&amp;"",""))</f>
      </c>
      <c r="M1509" s="17">
        <f>IF(OR(Log[[#This Row],[Verb]]="done",Log[[#This Row],[Verb]]="punt",Log[[#This Row],[Verb]]="drop",Log[[#This Row],[Verb]]="pass"),Log[[#This Row],[Pts]],0)</f>
      </c>
    </row>
    <row r="1510">
      <c r="A1510" s="11">
        <v>46231</v>
      </c>
      <c r="B1510" t="s">
        <v>823</v>
      </c>
      <c r="C1510" t="s">
        <v>34</v>
      </c>
      <c r="D1510">
        <v>49</v>
      </c>
      <c r="F1510" s="17">
        <f>IF(Log[[#This Row],[ID]]="","",IF(ISNA(MATCH(Log[[#This Row],[ID]],Items[ID],0)),"unknown ID",IF(ISNA(MATCH(Log[[#This Row],[Verb]],VerbList,0)),"unknown verb",IF(Log[[#This Row],[Date]]="","no date",""))))</f>
      </c>
      <c r="G1510" s="17">
        <f>IF(Log[[#This Row],[ID]]="","",IFERROR(VLOOKUP(Log[[#This Row],[Verb]],Verbs,3,FALSE)&amp;"",""))</f>
      </c>
      <c r="H1510" s="17">
        <f>IF(Log[[#This Row],[Date]]="","",INT((Log[[#This Row],[Date]]-Sprint1)/SprintDays)+1)</f>
      </c>
      <c r="I1510" s="17">
        <f>IF(OR(Log[[#This Row],[Verb]]="commit",Log[[#This Row],[Verb]]="carry",Log[[#This Row],[Verb]]="redo"),IF(Log[[#This Row],[Arg]]="",Log[[#This Row],[Sprint]],N(Log[[#This Row],[Arg]])),"")</f>
      </c>
      <c r="J1510" s="17">
        <f>IF(Log[[#This Row],[Verb]]="block",1,IF(OR(Log[[#This Row],[Verb]]="unblock",Log[[#This Row],[Verb]]="done",Log[[#This Row],[Verb]]="drop",Log[[#This Row],[Verb]]="punt",Log[[#This Row],[Verb]]="pass"),0,""))</f>
      </c>
      <c r="K1510" s="17">
        <f>IF(Log[[#This Row],[ID]]="",0,IFERROR(INDEX(Items[Pts],MATCH(Log[[#This Row],[ID]],Items[ID],0))*1,0))</f>
      </c>
      <c r="L1510" s="17">
        <f>IF(Log[[#This Row],[ID]]="","",IFERROR(INDEX(Items[Cur team],MATCH(Log[[#This Row],[ID]],Items[ID],0))&amp;"",""))</f>
      </c>
      <c r="M1510" s="17">
        <f>IF(OR(Log[[#This Row],[Verb]]="done",Log[[#This Row],[Verb]]="punt",Log[[#This Row],[Verb]]="drop",Log[[#This Row],[Verb]]="pass"),Log[[#This Row],[Pts]],0)</f>
      </c>
    </row>
    <row r="1511">
      <c r="A1511" s="11">
        <v>46231</v>
      </c>
      <c r="B1511" t="s">
        <v>824</v>
      </c>
      <c r="C1511" t="s">
        <v>34</v>
      </c>
      <c r="D1511">
        <v>49</v>
      </c>
      <c r="F1511" s="17">
        <f>IF(Log[[#This Row],[ID]]="","",IF(ISNA(MATCH(Log[[#This Row],[ID]],Items[ID],0)),"unknown ID",IF(ISNA(MATCH(Log[[#This Row],[Verb]],VerbList,0)),"unknown verb",IF(Log[[#This Row],[Date]]="","no date",""))))</f>
      </c>
      <c r="G1511" s="17">
        <f>IF(Log[[#This Row],[ID]]="","",IFERROR(VLOOKUP(Log[[#This Row],[Verb]],Verbs,3,FALSE)&amp;"",""))</f>
      </c>
      <c r="H1511" s="17">
        <f>IF(Log[[#This Row],[Date]]="","",INT((Log[[#This Row],[Date]]-Sprint1)/SprintDays)+1)</f>
      </c>
      <c r="I1511" s="17">
        <f>IF(OR(Log[[#This Row],[Verb]]="commit",Log[[#This Row],[Verb]]="carry",Log[[#This Row],[Verb]]="redo"),IF(Log[[#This Row],[Arg]]="",Log[[#This Row],[Sprint]],N(Log[[#This Row],[Arg]])),"")</f>
      </c>
      <c r="J1511" s="17">
        <f>IF(Log[[#This Row],[Verb]]="block",1,IF(OR(Log[[#This Row],[Verb]]="unblock",Log[[#This Row],[Verb]]="done",Log[[#This Row],[Verb]]="drop",Log[[#This Row],[Verb]]="punt",Log[[#This Row],[Verb]]="pass"),0,""))</f>
      </c>
      <c r="K1511" s="17">
        <f>IF(Log[[#This Row],[ID]]="",0,IFERROR(INDEX(Items[Pts],MATCH(Log[[#This Row],[ID]],Items[ID],0))*1,0))</f>
      </c>
      <c r="L1511" s="17">
        <f>IF(Log[[#This Row],[ID]]="","",IFERROR(INDEX(Items[Cur team],MATCH(Log[[#This Row],[ID]],Items[ID],0))&amp;"",""))</f>
      </c>
      <c r="M1511" s="17">
        <f>IF(OR(Log[[#This Row],[Verb]]="done",Log[[#This Row],[Verb]]="punt",Log[[#This Row],[Verb]]="drop",Log[[#This Row],[Verb]]="pass"),Log[[#This Row],[Pts]],0)</f>
      </c>
    </row>
    <row r="1512">
      <c r="A1512" s="11">
        <v>46231</v>
      </c>
      <c r="B1512" t="s">
        <v>825</v>
      </c>
      <c r="C1512" t="s">
        <v>34</v>
      </c>
      <c r="D1512">
        <v>49</v>
      </c>
      <c r="F1512" s="17">
        <f>IF(Log[[#This Row],[ID]]="","",IF(ISNA(MATCH(Log[[#This Row],[ID]],Items[ID],0)),"unknown ID",IF(ISNA(MATCH(Log[[#This Row],[Verb]],VerbList,0)),"unknown verb",IF(Log[[#This Row],[Date]]="","no date",""))))</f>
      </c>
      <c r="G1512" s="17">
        <f>IF(Log[[#This Row],[ID]]="","",IFERROR(VLOOKUP(Log[[#This Row],[Verb]],Verbs,3,FALSE)&amp;"",""))</f>
      </c>
      <c r="H1512" s="17">
        <f>IF(Log[[#This Row],[Date]]="","",INT((Log[[#This Row],[Date]]-Sprint1)/SprintDays)+1)</f>
      </c>
      <c r="I1512" s="17">
        <f>IF(OR(Log[[#This Row],[Verb]]="commit",Log[[#This Row],[Verb]]="carry",Log[[#This Row],[Verb]]="redo"),IF(Log[[#This Row],[Arg]]="",Log[[#This Row],[Sprint]],N(Log[[#This Row],[Arg]])),"")</f>
      </c>
      <c r="J1512" s="17">
        <f>IF(Log[[#This Row],[Verb]]="block",1,IF(OR(Log[[#This Row],[Verb]]="unblock",Log[[#This Row],[Verb]]="done",Log[[#This Row],[Verb]]="drop",Log[[#This Row],[Verb]]="punt",Log[[#This Row],[Verb]]="pass"),0,""))</f>
      </c>
      <c r="K1512" s="17">
        <f>IF(Log[[#This Row],[ID]]="",0,IFERROR(INDEX(Items[Pts],MATCH(Log[[#This Row],[ID]],Items[ID],0))*1,0))</f>
      </c>
      <c r="L1512" s="17">
        <f>IF(Log[[#This Row],[ID]]="","",IFERROR(INDEX(Items[Cur team],MATCH(Log[[#This Row],[ID]],Items[ID],0))&amp;"",""))</f>
      </c>
      <c r="M1512" s="17">
        <f>IF(OR(Log[[#This Row],[Verb]]="done",Log[[#This Row],[Verb]]="punt",Log[[#This Row],[Verb]]="drop",Log[[#This Row],[Verb]]="pass"),Log[[#This Row],[Pts]],0)</f>
      </c>
    </row>
    <row r="1513">
      <c r="A1513" s="11">
        <v>46231</v>
      </c>
      <c r="B1513" t="s">
        <v>826</v>
      </c>
      <c r="C1513" t="s">
        <v>34</v>
      </c>
      <c r="D1513">
        <v>49</v>
      </c>
      <c r="F1513" s="17">
        <f>IF(Log[[#This Row],[ID]]="","",IF(ISNA(MATCH(Log[[#This Row],[ID]],Items[ID],0)),"unknown ID",IF(ISNA(MATCH(Log[[#This Row],[Verb]],VerbList,0)),"unknown verb",IF(Log[[#This Row],[Date]]="","no date",""))))</f>
      </c>
      <c r="G1513" s="17">
        <f>IF(Log[[#This Row],[ID]]="","",IFERROR(VLOOKUP(Log[[#This Row],[Verb]],Verbs,3,FALSE)&amp;"",""))</f>
      </c>
      <c r="H1513" s="17">
        <f>IF(Log[[#This Row],[Date]]="","",INT((Log[[#This Row],[Date]]-Sprint1)/SprintDays)+1)</f>
      </c>
      <c r="I1513" s="17">
        <f>IF(OR(Log[[#This Row],[Verb]]="commit",Log[[#This Row],[Verb]]="carry",Log[[#This Row],[Verb]]="redo"),IF(Log[[#This Row],[Arg]]="",Log[[#This Row],[Sprint]],N(Log[[#This Row],[Arg]])),"")</f>
      </c>
      <c r="J1513" s="17">
        <f>IF(Log[[#This Row],[Verb]]="block",1,IF(OR(Log[[#This Row],[Verb]]="unblock",Log[[#This Row],[Verb]]="done",Log[[#This Row],[Verb]]="drop",Log[[#This Row],[Verb]]="punt",Log[[#This Row],[Verb]]="pass"),0,""))</f>
      </c>
      <c r="K1513" s="17">
        <f>IF(Log[[#This Row],[ID]]="",0,IFERROR(INDEX(Items[Pts],MATCH(Log[[#This Row],[ID]],Items[ID],0))*1,0))</f>
      </c>
      <c r="L1513" s="17">
        <f>IF(Log[[#This Row],[ID]]="","",IFERROR(INDEX(Items[Cur team],MATCH(Log[[#This Row],[ID]],Items[ID],0))&amp;"",""))</f>
      </c>
      <c r="M1513" s="17">
        <f>IF(OR(Log[[#This Row],[Verb]]="done",Log[[#This Row],[Verb]]="punt",Log[[#This Row],[Verb]]="drop",Log[[#This Row],[Verb]]="pass"),Log[[#This Row],[Pts]],0)</f>
      </c>
    </row>
    <row r="1514">
      <c r="A1514" s="11">
        <v>46231</v>
      </c>
      <c r="B1514" t="s">
        <v>827</v>
      </c>
      <c r="C1514" t="s">
        <v>34</v>
      </c>
      <c r="D1514">
        <v>49</v>
      </c>
      <c r="F1514" s="17">
        <f>IF(Log[[#This Row],[ID]]="","",IF(ISNA(MATCH(Log[[#This Row],[ID]],Items[ID],0)),"unknown ID",IF(ISNA(MATCH(Log[[#This Row],[Verb]],VerbList,0)),"unknown verb",IF(Log[[#This Row],[Date]]="","no date",""))))</f>
      </c>
      <c r="G1514" s="17">
        <f>IF(Log[[#This Row],[ID]]="","",IFERROR(VLOOKUP(Log[[#This Row],[Verb]],Verbs,3,FALSE)&amp;"",""))</f>
      </c>
      <c r="H1514" s="17">
        <f>IF(Log[[#This Row],[Date]]="","",INT((Log[[#This Row],[Date]]-Sprint1)/SprintDays)+1)</f>
      </c>
      <c r="I1514" s="17">
        <f>IF(OR(Log[[#This Row],[Verb]]="commit",Log[[#This Row],[Verb]]="carry",Log[[#This Row],[Verb]]="redo"),IF(Log[[#This Row],[Arg]]="",Log[[#This Row],[Sprint]],N(Log[[#This Row],[Arg]])),"")</f>
      </c>
      <c r="J1514" s="17">
        <f>IF(Log[[#This Row],[Verb]]="block",1,IF(OR(Log[[#This Row],[Verb]]="unblock",Log[[#This Row],[Verb]]="done",Log[[#This Row],[Verb]]="drop",Log[[#This Row],[Verb]]="punt",Log[[#This Row],[Verb]]="pass"),0,""))</f>
      </c>
      <c r="K1514" s="17">
        <f>IF(Log[[#This Row],[ID]]="",0,IFERROR(INDEX(Items[Pts],MATCH(Log[[#This Row],[ID]],Items[ID],0))*1,0))</f>
      </c>
      <c r="L1514" s="17">
        <f>IF(Log[[#This Row],[ID]]="","",IFERROR(INDEX(Items[Cur team],MATCH(Log[[#This Row],[ID]],Items[ID],0))&amp;"",""))</f>
      </c>
      <c r="M1514" s="17">
        <f>IF(OR(Log[[#This Row],[Verb]]="done",Log[[#This Row],[Verb]]="punt",Log[[#This Row],[Verb]]="drop",Log[[#This Row],[Verb]]="pass"),Log[[#This Row],[Pts]],0)</f>
      </c>
    </row>
    <row r="1515">
      <c r="A1515" s="11">
        <v>46231</v>
      </c>
      <c r="B1515" t="s">
        <v>828</v>
      </c>
      <c r="C1515" t="s">
        <v>34</v>
      </c>
      <c r="D1515">
        <v>49</v>
      </c>
      <c r="F1515" s="17">
        <f>IF(Log[[#This Row],[ID]]="","",IF(ISNA(MATCH(Log[[#This Row],[ID]],Items[ID],0)),"unknown ID",IF(ISNA(MATCH(Log[[#This Row],[Verb]],VerbList,0)),"unknown verb",IF(Log[[#This Row],[Date]]="","no date",""))))</f>
      </c>
      <c r="G1515" s="17">
        <f>IF(Log[[#This Row],[ID]]="","",IFERROR(VLOOKUP(Log[[#This Row],[Verb]],Verbs,3,FALSE)&amp;"",""))</f>
      </c>
      <c r="H1515" s="17">
        <f>IF(Log[[#This Row],[Date]]="","",INT((Log[[#This Row],[Date]]-Sprint1)/SprintDays)+1)</f>
      </c>
      <c r="I1515" s="17">
        <f>IF(OR(Log[[#This Row],[Verb]]="commit",Log[[#This Row],[Verb]]="carry",Log[[#This Row],[Verb]]="redo"),IF(Log[[#This Row],[Arg]]="",Log[[#This Row],[Sprint]],N(Log[[#This Row],[Arg]])),"")</f>
      </c>
      <c r="J1515" s="17">
        <f>IF(Log[[#This Row],[Verb]]="block",1,IF(OR(Log[[#This Row],[Verb]]="unblock",Log[[#This Row],[Verb]]="done",Log[[#This Row],[Verb]]="drop",Log[[#This Row],[Verb]]="punt",Log[[#This Row],[Verb]]="pass"),0,""))</f>
      </c>
      <c r="K1515" s="17">
        <f>IF(Log[[#This Row],[ID]]="",0,IFERROR(INDEX(Items[Pts],MATCH(Log[[#This Row],[ID]],Items[ID],0))*1,0))</f>
      </c>
      <c r="L1515" s="17">
        <f>IF(Log[[#This Row],[ID]]="","",IFERROR(INDEX(Items[Cur team],MATCH(Log[[#This Row],[ID]],Items[ID],0))&amp;"",""))</f>
      </c>
      <c r="M1515" s="17">
        <f>IF(OR(Log[[#This Row],[Verb]]="done",Log[[#This Row],[Verb]]="punt",Log[[#This Row],[Verb]]="drop",Log[[#This Row],[Verb]]="pass"),Log[[#This Row],[Pts]],0)</f>
      </c>
    </row>
    <row r="1516">
      <c r="A1516" s="11">
        <v>46231</v>
      </c>
      <c r="B1516" t="s">
        <v>829</v>
      </c>
      <c r="C1516" t="s">
        <v>34</v>
      </c>
      <c r="D1516">
        <v>49</v>
      </c>
      <c r="F1516" s="17">
        <f>IF(Log[[#This Row],[ID]]="","",IF(ISNA(MATCH(Log[[#This Row],[ID]],Items[ID],0)),"unknown ID",IF(ISNA(MATCH(Log[[#This Row],[Verb]],VerbList,0)),"unknown verb",IF(Log[[#This Row],[Date]]="","no date",""))))</f>
      </c>
      <c r="G1516" s="17">
        <f>IF(Log[[#This Row],[ID]]="","",IFERROR(VLOOKUP(Log[[#This Row],[Verb]],Verbs,3,FALSE)&amp;"",""))</f>
      </c>
      <c r="H1516" s="17">
        <f>IF(Log[[#This Row],[Date]]="","",INT((Log[[#This Row],[Date]]-Sprint1)/SprintDays)+1)</f>
      </c>
      <c r="I1516" s="17">
        <f>IF(OR(Log[[#This Row],[Verb]]="commit",Log[[#This Row],[Verb]]="carry",Log[[#This Row],[Verb]]="redo"),IF(Log[[#This Row],[Arg]]="",Log[[#This Row],[Sprint]],N(Log[[#This Row],[Arg]])),"")</f>
      </c>
      <c r="J1516" s="17">
        <f>IF(Log[[#This Row],[Verb]]="block",1,IF(OR(Log[[#This Row],[Verb]]="unblock",Log[[#This Row],[Verb]]="done",Log[[#This Row],[Verb]]="drop",Log[[#This Row],[Verb]]="punt",Log[[#This Row],[Verb]]="pass"),0,""))</f>
      </c>
      <c r="K1516" s="17">
        <f>IF(Log[[#This Row],[ID]]="",0,IFERROR(INDEX(Items[Pts],MATCH(Log[[#This Row],[ID]],Items[ID],0))*1,0))</f>
      </c>
      <c r="L1516" s="17">
        <f>IF(Log[[#This Row],[ID]]="","",IFERROR(INDEX(Items[Cur team],MATCH(Log[[#This Row],[ID]],Items[ID],0))&amp;"",""))</f>
      </c>
      <c r="M1516" s="17">
        <f>IF(OR(Log[[#This Row],[Verb]]="done",Log[[#This Row],[Verb]]="punt",Log[[#This Row],[Verb]]="drop",Log[[#This Row],[Verb]]="pass"),Log[[#This Row],[Pts]],0)</f>
      </c>
    </row>
    <row r="1517">
      <c r="A1517" s="11">
        <v>46231</v>
      </c>
      <c r="B1517" t="s">
        <v>830</v>
      </c>
      <c r="C1517" t="s">
        <v>34</v>
      </c>
      <c r="D1517">
        <v>49</v>
      </c>
      <c r="F1517" s="17">
        <f>IF(Log[[#This Row],[ID]]="","",IF(ISNA(MATCH(Log[[#This Row],[ID]],Items[ID],0)),"unknown ID",IF(ISNA(MATCH(Log[[#This Row],[Verb]],VerbList,0)),"unknown verb",IF(Log[[#This Row],[Date]]="","no date",""))))</f>
      </c>
      <c r="G1517" s="17">
        <f>IF(Log[[#This Row],[ID]]="","",IFERROR(VLOOKUP(Log[[#This Row],[Verb]],Verbs,3,FALSE)&amp;"",""))</f>
      </c>
      <c r="H1517" s="17">
        <f>IF(Log[[#This Row],[Date]]="","",INT((Log[[#This Row],[Date]]-Sprint1)/SprintDays)+1)</f>
      </c>
      <c r="I1517" s="17">
        <f>IF(OR(Log[[#This Row],[Verb]]="commit",Log[[#This Row],[Verb]]="carry",Log[[#This Row],[Verb]]="redo"),IF(Log[[#This Row],[Arg]]="",Log[[#This Row],[Sprint]],N(Log[[#This Row],[Arg]])),"")</f>
      </c>
      <c r="J1517" s="17">
        <f>IF(Log[[#This Row],[Verb]]="block",1,IF(OR(Log[[#This Row],[Verb]]="unblock",Log[[#This Row],[Verb]]="done",Log[[#This Row],[Verb]]="drop",Log[[#This Row],[Verb]]="punt",Log[[#This Row],[Verb]]="pass"),0,""))</f>
      </c>
      <c r="K1517" s="17">
        <f>IF(Log[[#This Row],[ID]]="",0,IFERROR(INDEX(Items[Pts],MATCH(Log[[#This Row],[ID]],Items[ID],0))*1,0))</f>
      </c>
      <c r="L1517" s="17">
        <f>IF(Log[[#This Row],[ID]]="","",IFERROR(INDEX(Items[Cur team],MATCH(Log[[#This Row],[ID]],Items[ID],0))&amp;"",""))</f>
      </c>
      <c r="M1517" s="17">
        <f>IF(OR(Log[[#This Row],[Verb]]="done",Log[[#This Row],[Verb]]="punt",Log[[#This Row],[Verb]]="drop",Log[[#This Row],[Verb]]="pass"),Log[[#This Row],[Pts]],0)</f>
      </c>
    </row>
    <row r="1518">
      <c r="A1518" s="11">
        <v>46231</v>
      </c>
      <c r="B1518" t="s">
        <v>831</v>
      </c>
      <c r="C1518" t="s">
        <v>34</v>
      </c>
      <c r="D1518">
        <v>49</v>
      </c>
      <c r="F1518" s="17">
        <f>IF(Log[[#This Row],[ID]]="","",IF(ISNA(MATCH(Log[[#This Row],[ID]],Items[ID],0)),"unknown ID",IF(ISNA(MATCH(Log[[#This Row],[Verb]],VerbList,0)),"unknown verb",IF(Log[[#This Row],[Date]]="","no date",""))))</f>
      </c>
      <c r="G1518" s="17">
        <f>IF(Log[[#This Row],[ID]]="","",IFERROR(VLOOKUP(Log[[#This Row],[Verb]],Verbs,3,FALSE)&amp;"",""))</f>
      </c>
      <c r="H1518" s="17">
        <f>IF(Log[[#This Row],[Date]]="","",INT((Log[[#This Row],[Date]]-Sprint1)/SprintDays)+1)</f>
      </c>
      <c r="I1518" s="17">
        <f>IF(OR(Log[[#This Row],[Verb]]="commit",Log[[#This Row],[Verb]]="carry",Log[[#This Row],[Verb]]="redo"),IF(Log[[#This Row],[Arg]]="",Log[[#This Row],[Sprint]],N(Log[[#This Row],[Arg]])),"")</f>
      </c>
      <c r="J1518" s="17">
        <f>IF(Log[[#This Row],[Verb]]="block",1,IF(OR(Log[[#This Row],[Verb]]="unblock",Log[[#This Row],[Verb]]="done",Log[[#This Row],[Verb]]="drop",Log[[#This Row],[Verb]]="punt",Log[[#This Row],[Verb]]="pass"),0,""))</f>
      </c>
      <c r="K1518" s="17">
        <f>IF(Log[[#This Row],[ID]]="",0,IFERROR(INDEX(Items[Pts],MATCH(Log[[#This Row],[ID]],Items[ID],0))*1,0))</f>
      </c>
      <c r="L1518" s="17">
        <f>IF(Log[[#This Row],[ID]]="","",IFERROR(INDEX(Items[Cur team],MATCH(Log[[#This Row],[ID]],Items[ID],0))&amp;"",""))</f>
      </c>
      <c r="M1518" s="17">
        <f>IF(OR(Log[[#This Row],[Verb]]="done",Log[[#This Row],[Verb]]="punt",Log[[#This Row],[Verb]]="drop",Log[[#This Row],[Verb]]="pass"),Log[[#This Row],[Pts]],0)</f>
      </c>
    </row>
    <row r="1519">
      <c r="A1519" s="11">
        <v>46231</v>
      </c>
      <c r="B1519" t="s">
        <v>832</v>
      </c>
      <c r="C1519" t="s">
        <v>34</v>
      </c>
      <c r="D1519">
        <v>49</v>
      </c>
      <c r="F1519" s="17">
        <f>IF(Log[[#This Row],[ID]]="","",IF(ISNA(MATCH(Log[[#This Row],[ID]],Items[ID],0)),"unknown ID",IF(ISNA(MATCH(Log[[#This Row],[Verb]],VerbList,0)),"unknown verb",IF(Log[[#This Row],[Date]]="","no date",""))))</f>
      </c>
      <c r="G1519" s="17">
        <f>IF(Log[[#This Row],[ID]]="","",IFERROR(VLOOKUP(Log[[#This Row],[Verb]],Verbs,3,FALSE)&amp;"",""))</f>
      </c>
      <c r="H1519" s="17">
        <f>IF(Log[[#This Row],[Date]]="","",INT((Log[[#This Row],[Date]]-Sprint1)/SprintDays)+1)</f>
      </c>
      <c r="I1519" s="17">
        <f>IF(OR(Log[[#This Row],[Verb]]="commit",Log[[#This Row],[Verb]]="carry",Log[[#This Row],[Verb]]="redo"),IF(Log[[#This Row],[Arg]]="",Log[[#This Row],[Sprint]],N(Log[[#This Row],[Arg]])),"")</f>
      </c>
      <c r="J1519" s="17">
        <f>IF(Log[[#This Row],[Verb]]="block",1,IF(OR(Log[[#This Row],[Verb]]="unblock",Log[[#This Row],[Verb]]="done",Log[[#This Row],[Verb]]="drop",Log[[#This Row],[Verb]]="punt",Log[[#This Row],[Verb]]="pass"),0,""))</f>
      </c>
      <c r="K1519" s="17">
        <f>IF(Log[[#This Row],[ID]]="",0,IFERROR(INDEX(Items[Pts],MATCH(Log[[#This Row],[ID]],Items[ID],0))*1,0))</f>
      </c>
      <c r="L1519" s="17">
        <f>IF(Log[[#This Row],[ID]]="","",IFERROR(INDEX(Items[Cur team],MATCH(Log[[#This Row],[ID]],Items[ID],0))&amp;"",""))</f>
      </c>
      <c r="M1519" s="17">
        <f>IF(OR(Log[[#This Row],[Verb]]="done",Log[[#This Row],[Verb]]="punt",Log[[#This Row],[Verb]]="drop",Log[[#This Row],[Verb]]="pass"),Log[[#This Row],[Pts]],0)</f>
      </c>
    </row>
    <row r="1520">
      <c r="A1520" s="11">
        <v>46231</v>
      </c>
      <c r="B1520" t="s">
        <v>833</v>
      </c>
      <c r="C1520" t="s">
        <v>34</v>
      </c>
      <c r="D1520">
        <v>49</v>
      </c>
      <c r="F1520" s="17">
        <f>IF(Log[[#This Row],[ID]]="","",IF(ISNA(MATCH(Log[[#This Row],[ID]],Items[ID],0)),"unknown ID",IF(ISNA(MATCH(Log[[#This Row],[Verb]],VerbList,0)),"unknown verb",IF(Log[[#This Row],[Date]]="","no date",""))))</f>
      </c>
      <c r="G1520" s="17">
        <f>IF(Log[[#This Row],[ID]]="","",IFERROR(VLOOKUP(Log[[#This Row],[Verb]],Verbs,3,FALSE)&amp;"",""))</f>
      </c>
      <c r="H1520" s="17">
        <f>IF(Log[[#This Row],[Date]]="","",INT((Log[[#This Row],[Date]]-Sprint1)/SprintDays)+1)</f>
      </c>
      <c r="I1520" s="17">
        <f>IF(OR(Log[[#This Row],[Verb]]="commit",Log[[#This Row],[Verb]]="carry",Log[[#This Row],[Verb]]="redo"),IF(Log[[#This Row],[Arg]]="",Log[[#This Row],[Sprint]],N(Log[[#This Row],[Arg]])),"")</f>
      </c>
      <c r="J1520" s="17">
        <f>IF(Log[[#This Row],[Verb]]="block",1,IF(OR(Log[[#This Row],[Verb]]="unblock",Log[[#This Row],[Verb]]="done",Log[[#This Row],[Verb]]="drop",Log[[#This Row],[Verb]]="punt",Log[[#This Row],[Verb]]="pass"),0,""))</f>
      </c>
      <c r="K1520" s="17">
        <f>IF(Log[[#This Row],[ID]]="",0,IFERROR(INDEX(Items[Pts],MATCH(Log[[#This Row],[ID]],Items[ID],0))*1,0))</f>
      </c>
      <c r="L1520" s="17">
        <f>IF(Log[[#This Row],[ID]]="","",IFERROR(INDEX(Items[Cur team],MATCH(Log[[#This Row],[ID]],Items[ID],0))&amp;"",""))</f>
      </c>
      <c r="M1520" s="17">
        <f>IF(OR(Log[[#This Row],[Verb]]="done",Log[[#This Row],[Verb]]="punt",Log[[#This Row],[Verb]]="drop",Log[[#This Row],[Verb]]="pass"),Log[[#This Row],[Pts]],0)</f>
      </c>
    </row>
    <row r="1521">
      <c r="A1521" s="11">
        <v>46231</v>
      </c>
      <c r="B1521" t="s">
        <v>834</v>
      </c>
      <c r="C1521" t="s">
        <v>34</v>
      </c>
      <c r="D1521">
        <v>49</v>
      </c>
      <c r="F1521" s="17">
        <f>IF(Log[[#This Row],[ID]]="","",IF(ISNA(MATCH(Log[[#This Row],[ID]],Items[ID],0)),"unknown ID",IF(ISNA(MATCH(Log[[#This Row],[Verb]],VerbList,0)),"unknown verb",IF(Log[[#This Row],[Date]]="","no date",""))))</f>
      </c>
      <c r="G1521" s="17">
        <f>IF(Log[[#This Row],[ID]]="","",IFERROR(VLOOKUP(Log[[#This Row],[Verb]],Verbs,3,FALSE)&amp;"",""))</f>
      </c>
      <c r="H1521" s="17">
        <f>IF(Log[[#This Row],[Date]]="","",INT((Log[[#This Row],[Date]]-Sprint1)/SprintDays)+1)</f>
      </c>
      <c r="I1521" s="17">
        <f>IF(OR(Log[[#This Row],[Verb]]="commit",Log[[#This Row],[Verb]]="carry",Log[[#This Row],[Verb]]="redo"),IF(Log[[#This Row],[Arg]]="",Log[[#This Row],[Sprint]],N(Log[[#This Row],[Arg]])),"")</f>
      </c>
      <c r="J1521" s="17">
        <f>IF(Log[[#This Row],[Verb]]="block",1,IF(OR(Log[[#This Row],[Verb]]="unblock",Log[[#This Row],[Verb]]="done",Log[[#This Row],[Verb]]="drop",Log[[#This Row],[Verb]]="punt",Log[[#This Row],[Verb]]="pass"),0,""))</f>
      </c>
      <c r="K1521" s="17">
        <f>IF(Log[[#This Row],[ID]]="",0,IFERROR(INDEX(Items[Pts],MATCH(Log[[#This Row],[ID]],Items[ID],0))*1,0))</f>
      </c>
      <c r="L1521" s="17">
        <f>IF(Log[[#This Row],[ID]]="","",IFERROR(INDEX(Items[Cur team],MATCH(Log[[#This Row],[ID]],Items[ID],0))&amp;"",""))</f>
      </c>
      <c r="M1521" s="17">
        <f>IF(OR(Log[[#This Row],[Verb]]="done",Log[[#This Row],[Verb]]="punt",Log[[#This Row],[Verb]]="drop",Log[[#This Row],[Verb]]="pass"),Log[[#This Row],[Pts]],0)</f>
      </c>
    </row>
    <row r="1522">
      <c r="A1522" s="11">
        <v>46231</v>
      </c>
      <c r="B1522" t="s">
        <v>835</v>
      </c>
      <c r="C1522" t="s">
        <v>34</v>
      </c>
      <c r="D1522">
        <v>49</v>
      </c>
      <c r="F1522" s="17">
        <f>IF(Log[[#This Row],[ID]]="","",IF(ISNA(MATCH(Log[[#This Row],[ID]],Items[ID],0)),"unknown ID",IF(ISNA(MATCH(Log[[#This Row],[Verb]],VerbList,0)),"unknown verb",IF(Log[[#This Row],[Date]]="","no date",""))))</f>
      </c>
      <c r="G1522" s="17">
        <f>IF(Log[[#This Row],[ID]]="","",IFERROR(VLOOKUP(Log[[#This Row],[Verb]],Verbs,3,FALSE)&amp;"",""))</f>
      </c>
      <c r="H1522" s="17">
        <f>IF(Log[[#This Row],[Date]]="","",INT((Log[[#This Row],[Date]]-Sprint1)/SprintDays)+1)</f>
      </c>
      <c r="I1522" s="17">
        <f>IF(OR(Log[[#This Row],[Verb]]="commit",Log[[#This Row],[Verb]]="carry",Log[[#This Row],[Verb]]="redo"),IF(Log[[#This Row],[Arg]]="",Log[[#This Row],[Sprint]],N(Log[[#This Row],[Arg]])),"")</f>
      </c>
      <c r="J1522" s="17">
        <f>IF(Log[[#This Row],[Verb]]="block",1,IF(OR(Log[[#This Row],[Verb]]="unblock",Log[[#This Row],[Verb]]="done",Log[[#This Row],[Verb]]="drop",Log[[#This Row],[Verb]]="punt",Log[[#This Row],[Verb]]="pass"),0,""))</f>
      </c>
      <c r="K1522" s="17">
        <f>IF(Log[[#This Row],[ID]]="",0,IFERROR(INDEX(Items[Pts],MATCH(Log[[#This Row],[ID]],Items[ID],0))*1,0))</f>
      </c>
      <c r="L1522" s="17">
        <f>IF(Log[[#This Row],[ID]]="","",IFERROR(INDEX(Items[Cur team],MATCH(Log[[#This Row],[ID]],Items[ID],0))&amp;"",""))</f>
      </c>
      <c r="M1522" s="17">
        <f>IF(OR(Log[[#This Row],[Verb]]="done",Log[[#This Row],[Verb]]="punt",Log[[#This Row],[Verb]]="drop",Log[[#This Row],[Verb]]="pass"),Log[[#This Row],[Pts]],0)</f>
      </c>
    </row>
    <row r="1523">
      <c r="A1523" s="11">
        <v>46231</v>
      </c>
      <c r="B1523" t="s">
        <v>836</v>
      </c>
      <c r="C1523" t="s">
        <v>34</v>
      </c>
      <c r="D1523">
        <v>49</v>
      </c>
      <c r="F1523" s="17">
        <f>IF(Log[[#This Row],[ID]]="","",IF(ISNA(MATCH(Log[[#This Row],[ID]],Items[ID],0)),"unknown ID",IF(ISNA(MATCH(Log[[#This Row],[Verb]],VerbList,0)),"unknown verb",IF(Log[[#This Row],[Date]]="","no date",""))))</f>
      </c>
      <c r="G1523" s="17">
        <f>IF(Log[[#This Row],[ID]]="","",IFERROR(VLOOKUP(Log[[#This Row],[Verb]],Verbs,3,FALSE)&amp;"",""))</f>
      </c>
      <c r="H1523" s="17">
        <f>IF(Log[[#This Row],[Date]]="","",INT((Log[[#This Row],[Date]]-Sprint1)/SprintDays)+1)</f>
      </c>
      <c r="I1523" s="17">
        <f>IF(OR(Log[[#This Row],[Verb]]="commit",Log[[#This Row],[Verb]]="carry",Log[[#This Row],[Verb]]="redo"),IF(Log[[#This Row],[Arg]]="",Log[[#This Row],[Sprint]],N(Log[[#This Row],[Arg]])),"")</f>
      </c>
      <c r="J1523" s="17">
        <f>IF(Log[[#This Row],[Verb]]="block",1,IF(OR(Log[[#This Row],[Verb]]="unblock",Log[[#This Row],[Verb]]="done",Log[[#This Row],[Verb]]="drop",Log[[#This Row],[Verb]]="punt",Log[[#This Row],[Verb]]="pass"),0,""))</f>
      </c>
      <c r="K1523" s="17">
        <f>IF(Log[[#This Row],[ID]]="",0,IFERROR(INDEX(Items[Pts],MATCH(Log[[#This Row],[ID]],Items[ID],0))*1,0))</f>
      </c>
      <c r="L1523" s="17">
        <f>IF(Log[[#This Row],[ID]]="","",IFERROR(INDEX(Items[Cur team],MATCH(Log[[#This Row],[ID]],Items[ID],0))&amp;"",""))</f>
      </c>
      <c r="M1523" s="17">
        <f>IF(OR(Log[[#This Row],[Verb]]="done",Log[[#This Row],[Verb]]="punt",Log[[#This Row],[Verb]]="drop",Log[[#This Row],[Verb]]="pass"),Log[[#This Row],[Pts]],0)</f>
      </c>
    </row>
    <row r="1524">
      <c r="A1524" s="11">
        <v>46231</v>
      </c>
      <c r="B1524" t="s">
        <v>837</v>
      </c>
      <c r="C1524" t="s">
        <v>34</v>
      </c>
      <c r="D1524">
        <v>49</v>
      </c>
      <c r="F1524" s="17">
        <f>IF(Log[[#This Row],[ID]]="","",IF(ISNA(MATCH(Log[[#This Row],[ID]],Items[ID],0)),"unknown ID",IF(ISNA(MATCH(Log[[#This Row],[Verb]],VerbList,0)),"unknown verb",IF(Log[[#This Row],[Date]]="","no date",""))))</f>
      </c>
      <c r="G1524" s="17">
        <f>IF(Log[[#This Row],[ID]]="","",IFERROR(VLOOKUP(Log[[#This Row],[Verb]],Verbs,3,FALSE)&amp;"",""))</f>
      </c>
      <c r="H1524" s="17">
        <f>IF(Log[[#This Row],[Date]]="","",INT((Log[[#This Row],[Date]]-Sprint1)/SprintDays)+1)</f>
      </c>
      <c r="I1524" s="17">
        <f>IF(OR(Log[[#This Row],[Verb]]="commit",Log[[#This Row],[Verb]]="carry",Log[[#This Row],[Verb]]="redo"),IF(Log[[#This Row],[Arg]]="",Log[[#This Row],[Sprint]],N(Log[[#This Row],[Arg]])),"")</f>
      </c>
      <c r="J1524" s="17">
        <f>IF(Log[[#This Row],[Verb]]="block",1,IF(OR(Log[[#This Row],[Verb]]="unblock",Log[[#This Row],[Verb]]="done",Log[[#This Row],[Verb]]="drop",Log[[#This Row],[Verb]]="punt",Log[[#This Row],[Verb]]="pass"),0,""))</f>
      </c>
      <c r="K1524" s="17">
        <f>IF(Log[[#This Row],[ID]]="",0,IFERROR(INDEX(Items[Pts],MATCH(Log[[#This Row],[ID]],Items[ID],0))*1,0))</f>
      </c>
      <c r="L1524" s="17">
        <f>IF(Log[[#This Row],[ID]]="","",IFERROR(INDEX(Items[Cur team],MATCH(Log[[#This Row],[ID]],Items[ID],0))&amp;"",""))</f>
      </c>
      <c r="M1524" s="17">
        <f>IF(OR(Log[[#This Row],[Verb]]="done",Log[[#This Row],[Verb]]="punt",Log[[#This Row],[Verb]]="drop",Log[[#This Row],[Verb]]="pass"),Log[[#This Row],[Pts]],0)</f>
      </c>
    </row>
    <row r="1525">
      <c r="A1525" s="11">
        <v>46231</v>
      </c>
      <c r="B1525" t="s">
        <v>838</v>
      </c>
      <c r="C1525" t="s">
        <v>34</v>
      </c>
      <c r="D1525">
        <v>49</v>
      </c>
      <c r="F1525" s="17">
        <f>IF(Log[[#This Row],[ID]]="","",IF(ISNA(MATCH(Log[[#This Row],[ID]],Items[ID],0)),"unknown ID",IF(ISNA(MATCH(Log[[#This Row],[Verb]],VerbList,0)),"unknown verb",IF(Log[[#This Row],[Date]]="","no date",""))))</f>
      </c>
      <c r="G1525" s="17">
        <f>IF(Log[[#This Row],[ID]]="","",IFERROR(VLOOKUP(Log[[#This Row],[Verb]],Verbs,3,FALSE)&amp;"",""))</f>
      </c>
      <c r="H1525" s="17">
        <f>IF(Log[[#This Row],[Date]]="","",INT((Log[[#This Row],[Date]]-Sprint1)/SprintDays)+1)</f>
      </c>
      <c r="I1525" s="17">
        <f>IF(OR(Log[[#This Row],[Verb]]="commit",Log[[#This Row],[Verb]]="carry",Log[[#This Row],[Verb]]="redo"),IF(Log[[#This Row],[Arg]]="",Log[[#This Row],[Sprint]],N(Log[[#This Row],[Arg]])),"")</f>
      </c>
      <c r="J1525" s="17">
        <f>IF(Log[[#This Row],[Verb]]="block",1,IF(OR(Log[[#This Row],[Verb]]="unblock",Log[[#This Row],[Verb]]="done",Log[[#This Row],[Verb]]="drop",Log[[#This Row],[Verb]]="punt",Log[[#This Row],[Verb]]="pass"),0,""))</f>
      </c>
      <c r="K1525" s="17">
        <f>IF(Log[[#This Row],[ID]]="",0,IFERROR(INDEX(Items[Pts],MATCH(Log[[#This Row],[ID]],Items[ID],0))*1,0))</f>
      </c>
      <c r="L1525" s="17">
        <f>IF(Log[[#This Row],[ID]]="","",IFERROR(INDEX(Items[Cur team],MATCH(Log[[#This Row],[ID]],Items[ID],0))&amp;"",""))</f>
      </c>
      <c r="M1525" s="17">
        <f>IF(OR(Log[[#This Row],[Verb]]="done",Log[[#This Row],[Verb]]="punt",Log[[#This Row],[Verb]]="drop",Log[[#This Row],[Verb]]="pass"),Log[[#This Row],[Pts]],0)</f>
      </c>
    </row>
    <row r="1526">
      <c r="A1526" s="11">
        <v>46231</v>
      </c>
      <c r="B1526" t="s">
        <v>839</v>
      </c>
      <c r="C1526" t="s">
        <v>34</v>
      </c>
      <c r="D1526">
        <v>49</v>
      </c>
      <c r="F1526" s="17">
        <f>IF(Log[[#This Row],[ID]]="","",IF(ISNA(MATCH(Log[[#This Row],[ID]],Items[ID],0)),"unknown ID",IF(ISNA(MATCH(Log[[#This Row],[Verb]],VerbList,0)),"unknown verb",IF(Log[[#This Row],[Date]]="","no date",""))))</f>
      </c>
      <c r="G1526" s="17">
        <f>IF(Log[[#This Row],[ID]]="","",IFERROR(VLOOKUP(Log[[#This Row],[Verb]],Verbs,3,FALSE)&amp;"",""))</f>
      </c>
      <c r="H1526" s="17">
        <f>IF(Log[[#This Row],[Date]]="","",INT((Log[[#This Row],[Date]]-Sprint1)/SprintDays)+1)</f>
      </c>
      <c r="I1526" s="17">
        <f>IF(OR(Log[[#This Row],[Verb]]="commit",Log[[#This Row],[Verb]]="carry",Log[[#This Row],[Verb]]="redo"),IF(Log[[#This Row],[Arg]]="",Log[[#This Row],[Sprint]],N(Log[[#This Row],[Arg]])),"")</f>
      </c>
      <c r="J1526" s="17">
        <f>IF(Log[[#This Row],[Verb]]="block",1,IF(OR(Log[[#This Row],[Verb]]="unblock",Log[[#This Row],[Verb]]="done",Log[[#This Row],[Verb]]="drop",Log[[#This Row],[Verb]]="punt",Log[[#This Row],[Verb]]="pass"),0,""))</f>
      </c>
      <c r="K1526" s="17">
        <f>IF(Log[[#This Row],[ID]]="",0,IFERROR(INDEX(Items[Pts],MATCH(Log[[#This Row],[ID]],Items[ID],0))*1,0))</f>
      </c>
      <c r="L1526" s="17">
        <f>IF(Log[[#This Row],[ID]]="","",IFERROR(INDEX(Items[Cur team],MATCH(Log[[#This Row],[ID]],Items[ID],0))&amp;"",""))</f>
      </c>
      <c r="M1526" s="17">
        <f>IF(OR(Log[[#This Row],[Verb]]="done",Log[[#This Row],[Verb]]="punt",Log[[#This Row],[Verb]]="drop",Log[[#This Row],[Verb]]="pass"),Log[[#This Row],[Pts]],0)</f>
      </c>
    </row>
    <row r="1527">
      <c r="A1527" s="11">
        <v>46231</v>
      </c>
      <c r="B1527" t="s">
        <v>840</v>
      </c>
      <c r="C1527" t="s">
        <v>34</v>
      </c>
      <c r="D1527">
        <v>49</v>
      </c>
      <c r="F1527" s="17">
        <f>IF(Log[[#This Row],[ID]]="","",IF(ISNA(MATCH(Log[[#This Row],[ID]],Items[ID],0)),"unknown ID",IF(ISNA(MATCH(Log[[#This Row],[Verb]],VerbList,0)),"unknown verb",IF(Log[[#This Row],[Date]]="","no date",""))))</f>
      </c>
      <c r="G1527" s="17">
        <f>IF(Log[[#This Row],[ID]]="","",IFERROR(VLOOKUP(Log[[#This Row],[Verb]],Verbs,3,FALSE)&amp;"",""))</f>
      </c>
      <c r="H1527" s="17">
        <f>IF(Log[[#This Row],[Date]]="","",INT((Log[[#This Row],[Date]]-Sprint1)/SprintDays)+1)</f>
      </c>
      <c r="I1527" s="17">
        <f>IF(OR(Log[[#This Row],[Verb]]="commit",Log[[#This Row],[Verb]]="carry",Log[[#This Row],[Verb]]="redo"),IF(Log[[#This Row],[Arg]]="",Log[[#This Row],[Sprint]],N(Log[[#This Row],[Arg]])),"")</f>
      </c>
      <c r="J1527" s="17">
        <f>IF(Log[[#This Row],[Verb]]="block",1,IF(OR(Log[[#This Row],[Verb]]="unblock",Log[[#This Row],[Verb]]="done",Log[[#This Row],[Verb]]="drop",Log[[#This Row],[Verb]]="punt",Log[[#This Row],[Verb]]="pass"),0,""))</f>
      </c>
      <c r="K1527" s="17">
        <f>IF(Log[[#This Row],[ID]]="",0,IFERROR(INDEX(Items[Pts],MATCH(Log[[#This Row],[ID]],Items[ID],0))*1,0))</f>
      </c>
      <c r="L1527" s="17">
        <f>IF(Log[[#This Row],[ID]]="","",IFERROR(INDEX(Items[Cur team],MATCH(Log[[#This Row],[ID]],Items[ID],0))&amp;"",""))</f>
      </c>
      <c r="M1527" s="17">
        <f>IF(OR(Log[[#This Row],[Verb]]="done",Log[[#This Row],[Verb]]="punt",Log[[#This Row],[Verb]]="drop",Log[[#This Row],[Verb]]="pass"),Log[[#This Row],[Pts]],0)</f>
      </c>
    </row>
    <row r="1528">
      <c r="A1528" s="11">
        <v>46231</v>
      </c>
      <c r="B1528" t="s">
        <v>841</v>
      </c>
      <c r="C1528" t="s">
        <v>34</v>
      </c>
      <c r="D1528">
        <v>49</v>
      </c>
      <c r="F1528" s="17">
        <f>IF(Log[[#This Row],[ID]]="","",IF(ISNA(MATCH(Log[[#This Row],[ID]],Items[ID],0)),"unknown ID",IF(ISNA(MATCH(Log[[#This Row],[Verb]],VerbList,0)),"unknown verb",IF(Log[[#This Row],[Date]]="","no date",""))))</f>
      </c>
      <c r="G1528" s="17">
        <f>IF(Log[[#This Row],[ID]]="","",IFERROR(VLOOKUP(Log[[#This Row],[Verb]],Verbs,3,FALSE)&amp;"",""))</f>
      </c>
      <c r="H1528" s="17">
        <f>IF(Log[[#This Row],[Date]]="","",INT((Log[[#This Row],[Date]]-Sprint1)/SprintDays)+1)</f>
      </c>
      <c r="I1528" s="17">
        <f>IF(OR(Log[[#This Row],[Verb]]="commit",Log[[#This Row],[Verb]]="carry",Log[[#This Row],[Verb]]="redo"),IF(Log[[#This Row],[Arg]]="",Log[[#This Row],[Sprint]],N(Log[[#This Row],[Arg]])),"")</f>
      </c>
      <c r="J1528" s="17">
        <f>IF(Log[[#This Row],[Verb]]="block",1,IF(OR(Log[[#This Row],[Verb]]="unblock",Log[[#This Row],[Verb]]="done",Log[[#This Row],[Verb]]="drop",Log[[#This Row],[Verb]]="punt",Log[[#This Row],[Verb]]="pass"),0,""))</f>
      </c>
      <c r="K1528" s="17">
        <f>IF(Log[[#This Row],[ID]]="",0,IFERROR(INDEX(Items[Pts],MATCH(Log[[#This Row],[ID]],Items[ID],0))*1,0))</f>
      </c>
      <c r="L1528" s="17">
        <f>IF(Log[[#This Row],[ID]]="","",IFERROR(INDEX(Items[Cur team],MATCH(Log[[#This Row],[ID]],Items[ID],0))&amp;"",""))</f>
      </c>
      <c r="M1528" s="17">
        <f>IF(OR(Log[[#This Row],[Verb]]="done",Log[[#This Row],[Verb]]="punt",Log[[#This Row],[Verb]]="drop",Log[[#This Row],[Verb]]="pass"),Log[[#This Row],[Pts]],0)</f>
      </c>
    </row>
    <row r="1529">
      <c r="A1529" s="11">
        <v>46231</v>
      </c>
      <c r="B1529" t="s">
        <v>842</v>
      </c>
      <c r="C1529" t="s">
        <v>34</v>
      </c>
      <c r="D1529">
        <v>49</v>
      </c>
      <c r="F1529" s="17">
        <f>IF(Log[[#This Row],[ID]]="","",IF(ISNA(MATCH(Log[[#This Row],[ID]],Items[ID],0)),"unknown ID",IF(ISNA(MATCH(Log[[#This Row],[Verb]],VerbList,0)),"unknown verb",IF(Log[[#This Row],[Date]]="","no date",""))))</f>
      </c>
      <c r="G1529" s="17">
        <f>IF(Log[[#This Row],[ID]]="","",IFERROR(VLOOKUP(Log[[#This Row],[Verb]],Verbs,3,FALSE)&amp;"",""))</f>
      </c>
      <c r="H1529" s="17">
        <f>IF(Log[[#This Row],[Date]]="","",INT((Log[[#This Row],[Date]]-Sprint1)/SprintDays)+1)</f>
      </c>
      <c r="I1529" s="17">
        <f>IF(OR(Log[[#This Row],[Verb]]="commit",Log[[#This Row],[Verb]]="carry",Log[[#This Row],[Verb]]="redo"),IF(Log[[#This Row],[Arg]]="",Log[[#This Row],[Sprint]],N(Log[[#This Row],[Arg]])),"")</f>
      </c>
      <c r="J1529" s="17">
        <f>IF(Log[[#This Row],[Verb]]="block",1,IF(OR(Log[[#This Row],[Verb]]="unblock",Log[[#This Row],[Verb]]="done",Log[[#This Row],[Verb]]="drop",Log[[#This Row],[Verb]]="punt",Log[[#This Row],[Verb]]="pass"),0,""))</f>
      </c>
      <c r="K1529" s="17">
        <f>IF(Log[[#This Row],[ID]]="",0,IFERROR(INDEX(Items[Pts],MATCH(Log[[#This Row],[ID]],Items[ID],0))*1,0))</f>
      </c>
      <c r="L1529" s="17">
        <f>IF(Log[[#This Row],[ID]]="","",IFERROR(INDEX(Items[Cur team],MATCH(Log[[#This Row],[ID]],Items[ID],0))&amp;"",""))</f>
      </c>
      <c r="M1529" s="17">
        <f>IF(OR(Log[[#This Row],[Verb]]="done",Log[[#This Row],[Verb]]="punt",Log[[#This Row],[Verb]]="drop",Log[[#This Row],[Verb]]="pass"),Log[[#This Row],[Pts]],0)</f>
      </c>
    </row>
    <row r="1530">
      <c r="A1530" s="11">
        <v>46231</v>
      </c>
      <c r="B1530" t="s">
        <v>843</v>
      </c>
      <c r="C1530" t="s">
        <v>34</v>
      </c>
      <c r="D1530">
        <v>49</v>
      </c>
      <c r="F1530" s="17">
        <f>IF(Log[[#This Row],[ID]]="","",IF(ISNA(MATCH(Log[[#This Row],[ID]],Items[ID],0)),"unknown ID",IF(ISNA(MATCH(Log[[#This Row],[Verb]],VerbList,0)),"unknown verb",IF(Log[[#This Row],[Date]]="","no date",""))))</f>
      </c>
      <c r="G1530" s="17">
        <f>IF(Log[[#This Row],[ID]]="","",IFERROR(VLOOKUP(Log[[#This Row],[Verb]],Verbs,3,FALSE)&amp;"",""))</f>
      </c>
      <c r="H1530" s="17">
        <f>IF(Log[[#This Row],[Date]]="","",INT((Log[[#This Row],[Date]]-Sprint1)/SprintDays)+1)</f>
      </c>
      <c r="I1530" s="17">
        <f>IF(OR(Log[[#This Row],[Verb]]="commit",Log[[#This Row],[Verb]]="carry",Log[[#This Row],[Verb]]="redo"),IF(Log[[#This Row],[Arg]]="",Log[[#This Row],[Sprint]],N(Log[[#This Row],[Arg]])),"")</f>
      </c>
      <c r="J1530" s="17">
        <f>IF(Log[[#This Row],[Verb]]="block",1,IF(OR(Log[[#This Row],[Verb]]="unblock",Log[[#This Row],[Verb]]="done",Log[[#This Row],[Verb]]="drop",Log[[#This Row],[Verb]]="punt",Log[[#This Row],[Verb]]="pass"),0,""))</f>
      </c>
      <c r="K1530" s="17">
        <f>IF(Log[[#This Row],[ID]]="",0,IFERROR(INDEX(Items[Pts],MATCH(Log[[#This Row],[ID]],Items[ID],0))*1,0))</f>
      </c>
      <c r="L1530" s="17">
        <f>IF(Log[[#This Row],[ID]]="","",IFERROR(INDEX(Items[Cur team],MATCH(Log[[#This Row],[ID]],Items[ID],0))&amp;"",""))</f>
      </c>
      <c r="M1530" s="17">
        <f>IF(OR(Log[[#This Row],[Verb]]="done",Log[[#This Row],[Verb]]="punt",Log[[#This Row],[Verb]]="drop",Log[[#This Row],[Verb]]="pass"),Log[[#This Row],[Pts]],0)</f>
      </c>
    </row>
    <row r="1531">
      <c r="A1531" s="11">
        <v>46231</v>
      </c>
      <c r="B1531" t="s">
        <v>844</v>
      </c>
      <c r="C1531" t="s">
        <v>34</v>
      </c>
      <c r="D1531">
        <v>49</v>
      </c>
      <c r="F1531" s="17">
        <f>IF(Log[[#This Row],[ID]]="","",IF(ISNA(MATCH(Log[[#This Row],[ID]],Items[ID],0)),"unknown ID",IF(ISNA(MATCH(Log[[#This Row],[Verb]],VerbList,0)),"unknown verb",IF(Log[[#This Row],[Date]]="","no date",""))))</f>
      </c>
      <c r="G1531" s="17">
        <f>IF(Log[[#This Row],[ID]]="","",IFERROR(VLOOKUP(Log[[#This Row],[Verb]],Verbs,3,FALSE)&amp;"",""))</f>
      </c>
      <c r="H1531" s="17">
        <f>IF(Log[[#This Row],[Date]]="","",INT((Log[[#This Row],[Date]]-Sprint1)/SprintDays)+1)</f>
      </c>
      <c r="I1531" s="17">
        <f>IF(OR(Log[[#This Row],[Verb]]="commit",Log[[#This Row],[Verb]]="carry",Log[[#This Row],[Verb]]="redo"),IF(Log[[#This Row],[Arg]]="",Log[[#This Row],[Sprint]],N(Log[[#This Row],[Arg]])),"")</f>
      </c>
      <c r="J1531" s="17">
        <f>IF(Log[[#This Row],[Verb]]="block",1,IF(OR(Log[[#This Row],[Verb]]="unblock",Log[[#This Row],[Verb]]="done",Log[[#This Row],[Verb]]="drop",Log[[#This Row],[Verb]]="punt",Log[[#This Row],[Verb]]="pass"),0,""))</f>
      </c>
      <c r="K1531" s="17">
        <f>IF(Log[[#This Row],[ID]]="",0,IFERROR(INDEX(Items[Pts],MATCH(Log[[#This Row],[ID]],Items[ID],0))*1,0))</f>
      </c>
      <c r="L1531" s="17">
        <f>IF(Log[[#This Row],[ID]]="","",IFERROR(INDEX(Items[Cur team],MATCH(Log[[#This Row],[ID]],Items[ID],0))&amp;"",""))</f>
      </c>
      <c r="M1531" s="17">
        <f>IF(OR(Log[[#This Row],[Verb]]="done",Log[[#This Row],[Verb]]="punt",Log[[#This Row],[Verb]]="drop",Log[[#This Row],[Verb]]="pass"),Log[[#This Row],[Pts]],0)</f>
      </c>
    </row>
    <row r="1532">
      <c r="A1532" s="11">
        <v>46231</v>
      </c>
      <c r="B1532" t="s">
        <v>845</v>
      </c>
      <c r="C1532" t="s">
        <v>34</v>
      </c>
      <c r="D1532">
        <v>49</v>
      </c>
      <c r="F1532" s="17">
        <f>IF(Log[[#This Row],[ID]]="","",IF(ISNA(MATCH(Log[[#This Row],[ID]],Items[ID],0)),"unknown ID",IF(ISNA(MATCH(Log[[#This Row],[Verb]],VerbList,0)),"unknown verb",IF(Log[[#This Row],[Date]]="","no date",""))))</f>
      </c>
      <c r="G1532" s="17">
        <f>IF(Log[[#This Row],[ID]]="","",IFERROR(VLOOKUP(Log[[#This Row],[Verb]],Verbs,3,FALSE)&amp;"",""))</f>
      </c>
      <c r="H1532" s="17">
        <f>IF(Log[[#This Row],[Date]]="","",INT((Log[[#This Row],[Date]]-Sprint1)/SprintDays)+1)</f>
      </c>
      <c r="I1532" s="17">
        <f>IF(OR(Log[[#This Row],[Verb]]="commit",Log[[#This Row],[Verb]]="carry",Log[[#This Row],[Verb]]="redo"),IF(Log[[#This Row],[Arg]]="",Log[[#This Row],[Sprint]],N(Log[[#This Row],[Arg]])),"")</f>
      </c>
      <c r="J1532" s="17">
        <f>IF(Log[[#This Row],[Verb]]="block",1,IF(OR(Log[[#This Row],[Verb]]="unblock",Log[[#This Row],[Verb]]="done",Log[[#This Row],[Verb]]="drop",Log[[#This Row],[Verb]]="punt",Log[[#This Row],[Verb]]="pass"),0,""))</f>
      </c>
      <c r="K1532" s="17">
        <f>IF(Log[[#This Row],[ID]]="",0,IFERROR(INDEX(Items[Pts],MATCH(Log[[#This Row],[ID]],Items[ID],0))*1,0))</f>
      </c>
      <c r="L1532" s="17">
        <f>IF(Log[[#This Row],[ID]]="","",IFERROR(INDEX(Items[Cur team],MATCH(Log[[#This Row],[ID]],Items[ID],0))&amp;"",""))</f>
      </c>
      <c r="M1532" s="17">
        <f>IF(OR(Log[[#This Row],[Verb]]="done",Log[[#This Row],[Verb]]="punt",Log[[#This Row],[Verb]]="drop",Log[[#This Row],[Verb]]="pass"),Log[[#This Row],[Pts]],0)</f>
      </c>
    </row>
    <row r="1533">
      <c r="A1533" s="11">
        <v>46231</v>
      </c>
      <c r="B1533" t="s">
        <v>846</v>
      </c>
      <c r="C1533" t="s">
        <v>34</v>
      </c>
      <c r="D1533">
        <v>49</v>
      </c>
      <c r="F1533" s="17">
        <f>IF(Log[[#This Row],[ID]]="","",IF(ISNA(MATCH(Log[[#This Row],[ID]],Items[ID],0)),"unknown ID",IF(ISNA(MATCH(Log[[#This Row],[Verb]],VerbList,0)),"unknown verb",IF(Log[[#This Row],[Date]]="","no date",""))))</f>
      </c>
      <c r="G1533" s="17">
        <f>IF(Log[[#This Row],[ID]]="","",IFERROR(VLOOKUP(Log[[#This Row],[Verb]],Verbs,3,FALSE)&amp;"",""))</f>
      </c>
      <c r="H1533" s="17">
        <f>IF(Log[[#This Row],[Date]]="","",INT((Log[[#This Row],[Date]]-Sprint1)/SprintDays)+1)</f>
      </c>
      <c r="I1533" s="17">
        <f>IF(OR(Log[[#This Row],[Verb]]="commit",Log[[#This Row],[Verb]]="carry",Log[[#This Row],[Verb]]="redo"),IF(Log[[#This Row],[Arg]]="",Log[[#This Row],[Sprint]],N(Log[[#This Row],[Arg]])),"")</f>
      </c>
      <c r="J1533" s="17">
        <f>IF(Log[[#This Row],[Verb]]="block",1,IF(OR(Log[[#This Row],[Verb]]="unblock",Log[[#This Row],[Verb]]="done",Log[[#This Row],[Verb]]="drop",Log[[#This Row],[Verb]]="punt",Log[[#This Row],[Verb]]="pass"),0,""))</f>
      </c>
      <c r="K1533" s="17">
        <f>IF(Log[[#This Row],[ID]]="",0,IFERROR(INDEX(Items[Pts],MATCH(Log[[#This Row],[ID]],Items[ID],0))*1,0))</f>
      </c>
      <c r="L1533" s="17">
        <f>IF(Log[[#This Row],[ID]]="","",IFERROR(INDEX(Items[Cur team],MATCH(Log[[#This Row],[ID]],Items[ID],0))&amp;"",""))</f>
      </c>
      <c r="M1533" s="17">
        <f>IF(OR(Log[[#This Row],[Verb]]="done",Log[[#This Row],[Verb]]="punt",Log[[#This Row],[Verb]]="drop",Log[[#This Row],[Verb]]="pass"),Log[[#This Row],[Pts]],0)</f>
      </c>
    </row>
    <row r="1534">
      <c r="A1534" s="11">
        <v>46231</v>
      </c>
      <c r="B1534" t="s">
        <v>847</v>
      </c>
      <c r="C1534" t="s">
        <v>34</v>
      </c>
      <c r="D1534">
        <v>49</v>
      </c>
      <c r="F1534" s="17">
        <f>IF(Log[[#This Row],[ID]]="","",IF(ISNA(MATCH(Log[[#This Row],[ID]],Items[ID],0)),"unknown ID",IF(ISNA(MATCH(Log[[#This Row],[Verb]],VerbList,0)),"unknown verb",IF(Log[[#This Row],[Date]]="","no date",""))))</f>
      </c>
      <c r="G1534" s="17">
        <f>IF(Log[[#This Row],[ID]]="","",IFERROR(VLOOKUP(Log[[#This Row],[Verb]],Verbs,3,FALSE)&amp;"",""))</f>
      </c>
      <c r="H1534" s="17">
        <f>IF(Log[[#This Row],[Date]]="","",INT((Log[[#This Row],[Date]]-Sprint1)/SprintDays)+1)</f>
      </c>
      <c r="I1534" s="17">
        <f>IF(OR(Log[[#This Row],[Verb]]="commit",Log[[#This Row],[Verb]]="carry",Log[[#This Row],[Verb]]="redo"),IF(Log[[#This Row],[Arg]]="",Log[[#This Row],[Sprint]],N(Log[[#This Row],[Arg]])),"")</f>
      </c>
      <c r="J1534" s="17">
        <f>IF(Log[[#This Row],[Verb]]="block",1,IF(OR(Log[[#This Row],[Verb]]="unblock",Log[[#This Row],[Verb]]="done",Log[[#This Row],[Verb]]="drop",Log[[#This Row],[Verb]]="punt",Log[[#This Row],[Verb]]="pass"),0,""))</f>
      </c>
      <c r="K1534" s="17">
        <f>IF(Log[[#This Row],[ID]]="",0,IFERROR(INDEX(Items[Pts],MATCH(Log[[#This Row],[ID]],Items[ID],0))*1,0))</f>
      </c>
      <c r="L1534" s="17">
        <f>IF(Log[[#This Row],[ID]]="","",IFERROR(INDEX(Items[Cur team],MATCH(Log[[#This Row],[ID]],Items[ID],0))&amp;"",""))</f>
      </c>
      <c r="M1534" s="17">
        <f>IF(OR(Log[[#This Row],[Verb]]="done",Log[[#This Row],[Verb]]="punt",Log[[#This Row],[Verb]]="drop",Log[[#This Row],[Verb]]="pass"),Log[[#This Row],[Pts]],0)</f>
      </c>
    </row>
    <row r="1535">
      <c r="A1535" s="11">
        <v>46231</v>
      </c>
      <c r="B1535" t="s">
        <v>848</v>
      </c>
      <c r="C1535" t="s">
        <v>34</v>
      </c>
      <c r="D1535">
        <v>49</v>
      </c>
      <c r="F1535" s="17">
        <f>IF(Log[[#This Row],[ID]]="","",IF(ISNA(MATCH(Log[[#This Row],[ID]],Items[ID],0)),"unknown ID",IF(ISNA(MATCH(Log[[#This Row],[Verb]],VerbList,0)),"unknown verb",IF(Log[[#This Row],[Date]]="","no date",""))))</f>
      </c>
      <c r="G1535" s="17">
        <f>IF(Log[[#This Row],[ID]]="","",IFERROR(VLOOKUP(Log[[#This Row],[Verb]],Verbs,3,FALSE)&amp;"",""))</f>
      </c>
      <c r="H1535" s="17">
        <f>IF(Log[[#This Row],[Date]]="","",INT((Log[[#This Row],[Date]]-Sprint1)/SprintDays)+1)</f>
      </c>
      <c r="I1535" s="17">
        <f>IF(OR(Log[[#This Row],[Verb]]="commit",Log[[#This Row],[Verb]]="carry",Log[[#This Row],[Verb]]="redo"),IF(Log[[#This Row],[Arg]]="",Log[[#This Row],[Sprint]],N(Log[[#This Row],[Arg]])),"")</f>
      </c>
      <c r="J1535" s="17">
        <f>IF(Log[[#This Row],[Verb]]="block",1,IF(OR(Log[[#This Row],[Verb]]="unblock",Log[[#This Row],[Verb]]="done",Log[[#This Row],[Verb]]="drop",Log[[#This Row],[Verb]]="punt",Log[[#This Row],[Verb]]="pass"),0,""))</f>
      </c>
      <c r="K1535" s="17">
        <f>IF(Log[[#This Row],[ID]]="",0,IFERROR(INDEX(Items[Pts],MATCH(Log[[#This Row],[ID]],Items[ID],0))*1,0))</f>
      </c>
      <c r="L1535" s="17">
        <f>IF(Log[[#This Row],[ID]]="","",IFERROR(INDEX(Items[Cur team],MATCH(Log[[#This Row],[ID]],Items[ID],0))&amp;"",""))</f>
      </c>
      <c r="M1535" s="17">
        <f>IF(OR(Log[[#This Row],[Verb]]="done",Log[[#This Row],[Verb]]="punt",Log[[#This Row],[Verb]]="drop",Log[[#This Row],[Verb]]="pass"),Log[[#This Row],[Pts]],0)</f>
      </c>
    </row>
    <row r="1536">
      <c r="A1536" s="11">
        <v>46231</v>
      </c>
      <c r="B1536" t="s">
        <v>849</v>
      </c>
      <c r="C1536" t="s">
        <v>34</v>
      </c>
      <c r="D1536">
        <v>49</v>
      </c>
      <c r="F1536" s="17">
        <f>IF(Log[[#This Row],[ID]]="","",IF(ISNA(MATCH(Log[[#This Row],[ID]],Items[ID],0)),"unknown ID",IF(ISNA(MATCH(Log[[#This Row],[Verb]],VerbList,0)),"unknown verb",IF(Log[[#This Row],[Date]]="","no date",""))))</f>
      </c>
      <c r="G1536" s="17">
        <f>IF(Log[[#This Row],[ID]]="","",IFERROR(VLOOKUP(Log[[#This Row],[Verb]],Verbs,3,FALSE)&amp;"",""))</f>
      </c>
      <c r="H1536" s="17">
        <f>IF(Log[[#This Row],[Date]]="","",INT((Log[[#This Row],[Date]]-Sprint1)/SprintDays)+1)</f>
      </c>
      <c r="I1536" s="17">
        <f>IF(OR(Log[[#This Row],[Verb]]="commit",Log[[#This Row],[Verb]]="carry",Log[[#This Row],[Verb]]="redo"),IF(Log[[#This Row],[Arg]]="",Log[[#This Row],[Sprint]],N(Log[[#This Row],[Arg]])),"")</f>
      </c>
      <c r="J1536" s="17">
        <f>IF(Log[[#This Row],[Verb]]="block",1,IF(OR(Log[[#This Row],[Verb]]="unblock",Log[[#This Row],[Verb]]="done",Log[[#This Row],[Verb]]="drop",Log[[#This Row],[Verb]]="punt",Log[[#This Row],[Verb]]="pass"),0,""))</f>
      </c>
      <c r="K1536" s="17">
        <f>IF(Log[[#This Row],[ID]]="",0,IFERROR(INDEX(Items[Pts],MATCH(Log[[#This Row],[ID]],Items[ID],0))*1,0))</f>
      </c>
      <c r="L1536" s="17">
        <f>IF(Log[[#This Row],[ID]]="","",IFERROR(INDEX(Items[Cur team],MATCH(Log[[#This Row],[ID]],Items[ID],0))&amp;"",""))</f>
      </c>
      <c r="M1536" s="17">
        <f>IF(OR(Log[[#This Row],[Verb]]="done",Log[[#This Row],[Verb]]="punt",Log[[#This Row],[Verb]]="drop",Log[[#This Row],[Verb]]="pass"),Log[[#This Row],[Pts]],0)</f>
      </c>
    </row>
    <row r="1537">
      <c r="A1537" s="11">
        <v>46231</v>
      </c>
      <c r="B1537" t="s">
        <v>850</v>
      </c>
      <c r="C1537" t="s">
        <v>34</v>
      </c>
      <c r="D1537">
        <v>49</v>
      </c>
      <c r="F1537" s="17">
        <f>IF(Log[[#This Row],[ID]]="","",IF(ISNA(MATCH(Log[[#This Row],[ID]],Items[ID],0)),"unknown ID",IF(ISNA(MATCH(Log[[#This Row],[Verb]],VerbList,0)),"unknown verb",IF(Log[[#This Row],[Date]]="","no date",""))))</f>
      </c>
      <c r="G1537" s="17">
        <f>IF(Log[[#This Row],[ID]]="","",IFERROR(VLOOKUP(Log[[#This Row],[Verb]],Verbs,3,FALSE)&amp;"",""))</f>
      </c>
      <c r="H1537" s="17">
        <f>IF(Log[[#This Row],[Date]]="","",INT((Log[[#This Row],[Date]]-Sprint1)/SprintDays)+1)</f>
      </c>
      <c r="I1537" s="17">
        <f>IF(OR(Log[[#This Row],[Verb]]="commit",Log[[#This Row],[Verb]]="carry",Log[[#This Row],[Verb]]="redo"),IF(Log[[#This Row],[Arg]]="",Log[[#This Row],[Sprint]],N(Log[[#This Row],[Arg]])),"")</f>
      </c>
      <c r="J1537" s="17">
        <f>IF(Log[[#This Row],[Verb]]="block",1,IF(OR(Log[[#This Row],[Verb]]="unblock",Log[[#This Row],[Verb]]="done",Log[[#This Row],[Verb]]="drop",Log[[#This Row],[Verb]]="punt",Log[[#This Row],[Verb]]="pass"),0,""))</f>
      </c>
      <c r="K1537" s="17">
        <f>IF(Log[[#This Row],[ID]]="",0,IFERROR(INDEX(Items[Pts],MATCH(Log[[#This Row],[ID]],Items[ID],0))*1,0))</f>
      </c>
      <c r="L1537" s="17">
        <f>IF(Log[[#This Row],[ID]]="","",IFERROR(INDEX(Items[Cur team],MATCH(Log[[#This Row],[ID]],Items[ID],0))&amp;"",""))</f>
      </c>
      <c r="M1537" s="17">
        <f>IF(OR(Log[[#This Row],[Verb]]="done",Log[[#This Row],[Verb]]="punt",Log[[#This Row],[Verb]]="drop",Log[[#This Row],[Verb]]="pass"),Log[[#This Row],[Pts]],0)</f>
      </c>
    </row>
    <row r="1538">
      <c r="A1538" s="11">
        <v>46231</v>
      </c>
      <c r="B1538" t="s">
        <v>851</v>
      </c>
      <c r="C1538" t="s">
        <v>34</v>
      </c>
      <c r="D1538">
        <v>49</v>
      </c>
      <c r="F1538" s="17">
        <f>IF(Log[[#This Row],[ID]]="","",IF(ISNA(MATCH(Log[[#This Row],[ID]],Items[ID],0)),"unknown ID",IF(ISNA(MATCH(Log[[#This Row],[Verb]],VerbList,0)),"unknown verb",IF(Log[[#This Row],[Date]]="","no date",""))))</f>
      </c>
      <c r="G1538" s="17">
        <f>IF(Log[[#This Row],[ID]]="","",IFERROR(VLOOKUP(Log[[#This Row],[Verb]],Verbs,3,FALSE)&amp;"",""))</f>
      </c>
      <c r="H1538" s="17">
        <f>IF(Log[[#This Row],[Date]]="","",INT((Log[[#This Row],[Date]]-Sprint1)/SprintDays)+1)</f>
      </c>
      <c r="I1538" s="17">
        <f>IF(OR(Log[[#This Row],[Verb]]="commit",Log[[#This Row],[Verb]]="carry",Log[[#This Row],[Verb]]="redo"),IF(Log[[#This Row],[Arg]]="",Log[[#This Row],[Sprint]],N(Log[[#This Row],[Arg]])),"")</f>
      </c>
      <c r="J1538" s="17">
        <f>IF(Log[[#This Row],[Verb]]="block",1,IF(OR(Log[[#This Row],[Verb]]="unblock",Log[[#This Row],[Verb]]="done",Log[[#This Row],[Verb]]="drop",Log[[#This Row],[Verb]]="punt",Log[[#This Row],[Verb]]="pass"),0,""))</f>
      </c>
      <c r="K1538" s="17">
        <f>IF(Log[[#This Row],[ID]]="",0,IFERROR(INDEX(Items[Pts],MATCH(Log[[#This Row],[ID]],Items[ID],0))*1,0))</f>
      </c>
      <c r="L1538" s="17">
        <f>IF(Log[[#This Row],[ID]]="","",IFERROR(INDEX(Items[Cur team],MATCH(Log[[#This Row],[ID]],Items[ID],0))&amp;"",""))</f>
      </c>
      <c r="M1538" s="17">
        <f>IF(OR(Log[[#This Row],[Verb]]="done",Log[[#This Row],[Verb]]="punt",Log[[#This Row],[Verb]]="drop",Log[[#This Row],[Verb]]="pass"),Log[[#This Row],[Pts]],0)</f>
      </c>
    </row>
    <row r="1539">
      <c r="A1539" s="11">
        <v>46231</v>
      </c>
      <c r="B1539" t="s">
        <v>852</v>
      </c>
      <c r="C1539" t="s">
        <v>34</v>
      </c>
      <c r="D1539">
        <v>49</v>
      </c>
      <c r="F1539" s="17">
        <f>IF(Log[[#This Row],[ID]]="","",IF(ISNA(MATCH(Log[[#This Row],[ID]],Items[ID],0)),"unknown ID",IF(ISNA(MATCH(Log[[#This Row],[Verb]],VerbList,0)),"unknown verb",IF(Log[[#This Row],[Date]]="","no date",""))))</f>
      </c>
      <c r="G1539" s="17">
        <f>IF(Log[[#This Row],[ID]]="","",IFERROR(VLOOKUP(Log[[#This Row],[Verb]],Verbs,3,FALSE)&amp;"",""))</f>
      </c>
      <c r="H1539" s="17">
        <f>IF(Log[[#This Row],[Date]]="","",INT((Log[[#This Row],[Date]]-Sprint1)/SprintDays)+1)</f>
      </c>
      <c r="I1539" s="17">
        <f>IF(OR(Log[[#This Row],[Verb]]="commit",Log[[#This Row],[Verb]]="carry",Log[[#This Row],[Verb]]="redo"),IF(Log[[#This Row],[Arg]]="",Log[[#This Row],[Sprint]],N(Log[[#This Row],[Arg]])),"")</f>
      </c>
      <c r="J1539" s="17">
        <f>IF(Log[[#This Row],[Verb]]="block",1,IF(OR(Log[[#This Row],[Verb]]="unblock",Log[[#This Row],[Verb]]="done",Log[[#This Row],[Verb]]="drop",Log[[#This Row],[Verb]]="punt",Log[[#This Row],[Verb]]="pass"),0,""))</f>
      </c>
      <c r="K1539" s="17">
        <f>IF(Log[[#This Row],[ID]]="",0,IFERROR(INDEX(Items[Pts],MATCH(Log[[#This Row],[ID]],Items[ID],0))*1,0))</f>
      </c>
      <c r="L1539" s="17">
        <f>IF(Log[[#This Row],[ID]]="","",IFERROR(INDEX(Items[Cur team],MATCH(Log[[#This Row],[ID]],Items[ID],0))&amp;"",""))</f>
      </c>
      <c r="M1539" s="17">
        <f>IF(OR(Log[[#This Row],[Verb]]="done",Log[[#This Row],[Verb]]="punt",Log[[#This Row],[Verb]]="drop",Log[[#This Row],[Verb]]="pass"),Log[[#This Row],[Pts]],0)</f>
      </c>
    </row>
    <row r="1540">
      <c r="A1540" s="11">
        <v>46231</v>
      </c>
      <c r="B1540" t="s">
        <v>853</v>
      </c>
      <c r="C1540" t="s">
        <v>34</v>
      </c>
      <c r="D1540">
        <v>49</v>
      </c>
      <c r="F1540" s="17">
        <f>IF(Log[[#This Row],[ID]]="","",IF(ISNA(MATCH(Log[[#This Row],[ID]],Items[ID],0)),"unknown ID",IF(ISNA(MATCH(Log[[#This Row],[Verb]],VerbList,0)),"unknown verb",IF(Log[[#This Row],[Date]]="","no date",""))))</f>
      </c>
      <c r="G1540" s="17">
        <f>IF(Log[[#This Row],[ID]]="","",IFERROR(VLOOKUP(Log[[#This Row],[Verb]],Verbs,3,FALSE)&amp;"",""))</f>
      </c>
      <c r="H1540" s="17">
        <f>IF(Log[[#This Row],[Date]]="","",INT((Log[[#This Row],[Date]]-Sprint1)/SprintDays)+1)</f>
      </c>
      <c r="I1540" s="17">
        <f>IF(OR(Log[[#This Row],[Verb]]="commit",Log[[#This Row],[Verb]]="carry",Log[[#This Row],[Verb]]="redo"),IF(Log[[#This Row],[Arg]]="",Log[[#This Row],[Sprint]],N(Log[[#This Row],[Arg]])),"")</f>
      </c>
      <c r="J1540" s="17">
        <f>IF(Log[[#This Row],[Verb]]="block",1,IF(OR(Log[[#This Row],[Verb]]="unblock",Log[[#This Row],[Verb]]="done",Log[[#This Row],[Verb]]="drop",Log[[#This Row],[Verb]]="punt",Log[[#This Row],[Verb]]="pass"),0,""))</f>
      </c>
      <c r="K1540" s="17">
        <f>IF(Log[[#This Row],[ID]]="",0,IFERROR(INDEX(Items[Pts],MATCH(Log[[#This Row],[ID]],Items[ID],0))*1,0))</f>
      </c>
      <c r="L1540" s="17">
        <f>IF(Log[[#This Row],[ID]]="","",IFERROR(INDEX(Items[Cur team],MATCH(Log[[#This Row],[ID]],Items[ID],0))&amp;"",""))</f>
      </c>
      <c r="M1540" s="17">
        <f>IF(OR(Log[[#This Row],[Verb]]="done",Log[[#This Row],[Verb]]="punt",Log[[#This Row],[Verb]]="drop",Log[[#This Row],[Verb]]="pass"),Log[[#This Row],[Pts]],0)</f>
      </c>
    </row>
    <row r="1541">
      <c r="A1541" s="11">
        <v>46231</v>
      </c>
      <c r="B1541" t="s">
        <v>854</v>
      </c>
      <c r="C1541" t="s">
        <v>34</v>
      </c>
      <c r="D1541">
        <v>49</v>
      </c>
      <c r="F1541" s="17">
        <f>IF(Log[[#This Row],[ID]]="","",IF(ISNA(MATCH(Log[[#This Row],[ID]],Items[ID],0)),"unknown ID",IF(ISNA(MATCH(Log[[#This Row],[Verb]],VerbList,0)),"unknown verb",IF(Log[[#This Row],[Date]]="","no date",""))))</f>
      </c>
      <c r="G1541" s="17">
        <f>IF(Log[[#This Row],[ID]]="","",IFERROR(VLOOKUP(Log[[#This Row],[Verb]],Verbs,3,FALSE)&amp;"",""))</f>
      </c>
      <c r="H1541" s="17">
        <f>IF(Log[[#This Row],[Date]]="","",INT((Log[[#This Row],[Date]]-Sprint1)/SprintDays)+1)</f>
      </c>
      <c r="I1541" s="17">
        <f>IF(OR(Log[[#This Row],[Verb]]="commit",Log[[#This Row],[Verb]]="carry",Log[[#This Row],[Verb]]="redo"),IF(Log[[#This Row],[Arg]]="",Log[[#This Row],[Sprint]],N(Log[[#This Row],[Arg]])),"")</f>
      </c>
      <c r="J1541" s="17">
        <f>IF(Log[[#This Row],[Verb]]="block",1,IF(OR(Log[[#This Row],[Verb]]="unblock",Log[[#This Row],[Verb]]="done",Log[[#This Row],[Verb]]="drop",Log[[#This Row],[Verb]]="punt",Log[[#This Row],[Verb]]="pass"),0,""))</f>
      </c>
      <c r="K1541" s="17">
        <f>IF(Log[[#This Row],[ID]]="",0,IFERROR(INDEX(Items[Pts],MATCH(Log[[#This Row],[ID]],Items[ID],0))*1,0))</f>
      </c>
      <c r="L1541" s="17">
        <f>IF(Log[[#This Row],[ID]]="","",IFERROR(INDEX(Items[Cur team],MATCH(Log[[#This Row],[ID]],Items[ID],0))&amp;"",""))</f>
      </c>
      <c r="M1541" s="17">
        <f>IF(OR(Log[[#This Row],[Verb]]="done",Log[[#This Row],[Verb]]="punt",Log[[#This Row],[Verb]]="drop",Log[[#This Row],[Verb]]="pass"),Log[[#This Row],[Pts]],0)</f>
      </c>
    </row>
    <row r="1542">
      <c r="A1542" s="11">
        <v>46231</v>
      </c>
      <c r="B1542" t="s">
        <v>855</v>
      </c>
      <c r="C1542" t="s">
        <v>34</v>
      </c>
      <c r="D1542">
        <v>49</v>
      </c>
      <c r="F1542" s="17">
        <f>IF(Log[[#This Row],[ID]]="","",IF(ISNA(MATCH(Log[[#This Row],[ID]],Items[ID],0)),"unknown ID",IF(ISNA(MATCH(Log[[#This Row],[Verb]],VerbList,0)),"unknown verb",IF(Log[[#This Row],[Date]]="","no date",""))))</f>
      </c>
      <c r="G1542" s="17">
        <f>IF(Log[[#This Row],[ID]]="","",IFERROR(VLOOKUP(Log[[#This Row],[Verb]],Verbs,3,FALSE)&amp;"",""))</f>
      </c>
      <c r="H1542" s="17">
        <f>IF(Log[[#This Row],[Date]]="","",INT((Log[[#This Row],[Date]]-Sprint1)/SprintDays)+1)</f>
      </c>
      <c r="I1542" s="17">
        <f>IF(OR(Log[[#This Row],[Verb]]="commit",Log[[#This Row],[Verb]]="carry",Log[[#This Row],[Verb]]="redo"),IF(Log[[#This Row],[Arg]]="",Log[[#This Row],[Sprint]],N(Log[[#This Row],[Arg]])),"")</f>
      </c>
      <c r="J1542" s="17">
        <f>IF(Log[[#This Row],[Verb]]="block",1,IF(OR(Log[[#This Row],[Verb]]="unblock",Log[[#This Row],[Verb]]="done",Log[[#This Row],[Verb]]="drop",Log[[#This Row],[Verb]]="punt",Log[[#This Row],[Verb]]="pass"),0,""))</f>
      </c>
      <c r="K1542" s="17">
        <f>IF(Log[[#This Row],[ID]]="",0,IFERROR(INDEX(Items[Pts],MATCH(Log[[#This Row],[ID]],Items[ID],0))*1,0))</f>
      </c>
      <c r="L1542" s="17">
        <f>IF(Log[[#This Row],[ID]]="","",IFERROR(INDEX(Items[Cur team],MATCH(Log[[#This Row],[ID]],Items[ID],0))&amp;"",""))</f>
      </c>
      <c r="M1542" s="17">
        <f>IF(OR(Log[[#This Row],[Verb]]="done",Log[[#This Row],[Verb]]="punt",Log[[#This Row],[Verb]]="drop",Log[[#This Row],[Verb]]="pass"),Log[[#This Row],[Pts]],0)</f>
      </c>
    </row>
    <row r="1543">
      <c r="A1543" s="11">
        <v>46231</v>
      </c>
      <c r="B1543" t="s">
        <v>856</v>
      </c>
      <c r="C1543" t="s">
        <v>34</v>
      </c>
      <c r="D1543">
        <v>49</v>
      </c>
      <c r="F1543" s="17">
        <f>IF(Log[[#This Row],[ID]]="","",IF(ISNA(MATCH(Log[[#This Row],[ID]],Items[ID],0)),"unknown ID",IF(ISNA(MATCH(Log[[#This Row],[Verb]],VerbList,0)),"unknown verb",IF(Log[[#This Row],[Date]]="","no date",""))))</f>
      </c>
      <c r="G1543" s="17">
        <f>IF(Log[[#This Row],[ID]]="","",IFERROR(VLOOKUP(Log[[#This Row],[Verb]],Verbs,3,FALSE)&amp;"",""))</f>
      </c>
      <c r="H1543" s="17">
        <f>IF(Log[[#This Row],[Date]]="","",INT((Log[[#This Row],[Date]]-Sprint1)/SprintDays)+1)</f>
      </c>
      <c r="I1543" s="17">
        <f>IF(OR(Log[[#This Row],[Verb]]="commit",Log[[#This Row],[Verb]]="carry",Log[[#This Row],[Verb]]="redo"),IF(Log[[#This Row],[Arg]]="",Log[[#This Row],[Sprint]],N(Log[[#This Row],[Arg]])),"")</f>
      </c>
      <c r="J1543" s="17">
        <f>IF(Log[[#This Row],[Verb]]="block",1,IF(OR(Log[[#This Row],[Verb]]="unblock",Log[[#This Row],[Verb]]="done",Log[[#This Row],[Verb]]="drop",Log[[#This Row],[Verb]]="punt",Log[[#This Row],[Verb]]="pass"),0,""))</f>
      </c>
      <c r="K1543" s="17">
        <f>IF(Log[[#This Row],[ID]]="",0,IFERROR(INDEX(Items[Pts],MATCH(Log[[#This Row],[ID]],Items[ID],0))*1,0))</f>
      </c>
      <c r="L1543" s="17">
        <f>IF(Log[[#This Row],[ID]]="","",IFERROR(INDEX(Items[Cur team],MATCH(Log[[#This Row],[ID]],Items[ID],0))&amp;"",""))</f>
      </c>
      <c r="M1543" s="17">
        <f>IF(OR(Log[[#This Row],[Verb]]="done",Log[[#This Row],[Verb]]="punt",Log[[#This Row],[Verb]]="drop",Log[[#This Row],[Verb]]="pass"),Log[[#This Row],[Pts]],0)</f>
      </c>
    </row>
    <row r="1544">
      <c r="A1544" s="11">
        <v>46231</v>
      </c>
      <c r="B1544" t="s">
        <v>857</v>
      </c>
      <c r="C1544" t="s">
        <v>34</v>
      </c>
      <c r="D1544">
        <v>49</v>
      </c>
      <c r="F1544" s="17">
        <f>IF(Log[[#This Row],[ID]]="","",IF(ISNA(MATCH(Log[[#This Row],[ID]],Items[ID],0)),"unknown ID",IF(ISNA(MATCH(Log[[#This Row],[Verb]],VerbList,0)),"unknown verb",IF(Log[[#This Row],[Date]]="","no date",""))))</f>
      </c>
      <c r="G1544" s="17">
        <f>IF(Log[[#This Row],[ID]]="","",IFERROR(VLOOKUP(Log[[#This Row],[Verb]],Verbs,3,FALSE)&amp;"",""))</f>
      </c>
      <c r="H1544" s="17">
        <f>IF(Log[[#This Row],[Date]]="","",INT((Log[[#This Row],[Date]]-Sprint1)/SprintDays)+1)</f>
      </c>
      <c r="I1544" s="17">
        <f>IF(OR(Log[[#This Row],[Verb]]="commit",Log[[#This Row],[Verb]]="carry",Log[[#This Row],[Verb]]="redo"),IF(Log[[#This Row],[Arg]]="",Log[[#This Row],[Sprint]],N(Log[[#This Row],[Arg]])),"")</f>
      </c>
      <c r="J1544" s="17">
        <f>IF(Log[[#This Row],[Verb]]="block",1,IF(OR(Log[[#This Row],[Verb]]="unblock",Log[[#This Row],[Verb]]="done",Log[[#This Row],[Verb]]="drop",Log[[#This Row],[Verb]]="punt",Log[[#This Row],[Verb]]="pass"),0,""))</f>
      </c>
      <c r="K1544" s="17">
        <f>IF(Log[[#This Row],[ID]]="",0,IFERROR(INDEX(Items[Pts],MATCH(Log[[#This Row],[ID]],Items[ID],0))*1,0))</f>
      </c>
      <c r="L1544" s="17">
        <f>IF(Log[[#This Row],[ID]]="","",IFERROR(INDEX(Items[Cur team],MATCH(Log[[#This Row],[ID]],Items[ID],0))&amp;"",""))</f>
      </c>
      <c r="M1544" s="17">
        <f>IF(OR(Log[[#This Row],[Verb]]="done",Log[[#This Row],[Verb]]="punt",Log[[#This Row],[Verb]]="drop",Log[[#This Row],[Verb]]="pass"),Log[[#This Row],[Pts]],0)</f>
      </c>
    </row>
    <row r="1545">
      <c r="A1545" s="11">
        <v>46231</v>
      </c>
      <c r="B1545" t="s">
        <v>858</v>
      </c>
      <c r="C1545" t="s">
        <v>34</v>
      </c>
      <c r="D1545">
        <v>49</v>
      </c>
      <c r="F1545" s="17">
        <f>IF(Log[[#This Row],[ID]]="","",IF(ISNA(MATCH(Log[[#This Row],[ID]],Items[ID],0)),"unknown ID",IF(ISNA(MATCH(Log[[#This Row],[Verb]],VerbList,0)),"unknown verb",IF(Log[[#This Row],[Date]]="","no date",""))))</f>
      </c>
      <c r="G1545" s="17">
        <f>IF(Log[[#This Row],[ID]]="","",IFERROR(VLOOKUP(Log[[#This Row],[Verb]],Verbs,3,FALSE)&amp;"",""))</f>
      </c>
      <c r="H1545" s="17">
        <f>IF(Log[[#This Row],[Date]]="","",INT((Log[[#This Row],[Date]]-Sprint1)/SprintDays)+1)</f>
      </c>
      <c r="I1545" s="17">
        <f>IF(OR(Log[[#This Row],[Verb]]="commit",Log[[#This Row],[Verb]]="carry",Log[[#This Row],[Verb]]="redo"),IF(Log[[#This Row],[Arg]]="",Log[[#This Row],[Sprint]],N(Log[[#This Row],[Arg]])),"")</f>
      </c>
      <c r="J1545" s="17">
        <f>IF(Log[[#This Row],[Verb]]="block",1,IF(OR(Log[[#This Row],[Verb]]="unblock",Log[[#This Row],[Verb]]="done",Log[[#This Row],[Verb]]="drop",Log[[#This Row],[Verb]]="punt",Log[[#This Row],[Verb]]="pass"),0,""))</f>
      </c>
      <c r="K1545" s="17">
        <f>IF(Log[[#This Row],[ID]]="",0,IFERROR(INDEX(Items[Pts],MATCH(Log[[#This Row],[ID]],Items[ID],0))*1,0))</f>
      </c>
      <c r="L1545" s="17">
        <f>IF(Log[[#This Row],[ID]]="","",IFERROR(INDEX(Items[Cur team],MATCH(Log[[#This Row],[ID]],Items[ID],0))&amp;"",""))</f>
      </c>
      <c r="M1545" s="17">
        <f>IF(OR(Log[[#This Row],[Verb]]="done",Log[[#This Row],[Verb]]="punt",Log[[#This Row],[Verb]]="drop",Log[[#This Row],[Verb]]="pass"),Log[[#This Row],[Pts]],0)</f>
      </c>
    </row>
    <row r="1546">
      <c r="A1546" s="11">
        <v>46231</v>
      </c>
      <c r="B1546" t="s">
        <v>859</v>
      </c>
      <c r="C1546" t="s">
        <v>34</v>
      </c>
      <c r="D1546">
        <v>49</v>
      </c>
      <c r="F1546" s="17">
        <f>IF(Log[[#This Row],[ID]]="","",IF(ISNA(MATCH(Log[[#This Row],[ID]],Items[ID],0)),"unknown ID",IF(ISNA(MATCH(Log[[#This Row],[Verb]],VerbList,0)),"unknown verb",IF(Log[[#This Row],[Date]]="","no date",""))))</f>
      </c>
      <c r="G1546" s="17">
        <f>IF(Log[[#This Row],[ID]]="","",IFERROR(VLOOKUP(Log[[#This Row],[Verb]],Verbs,3,FALSE)&amp;"",""))</f>
      </c>
      <c r="H1546" s="17">
        <f>IF(Log[[#This Row],[Date]]="","",INT((Log[[#This Row],[Date]]-Sprint1)/SprintDays)+1)</f>
      </c>
      <c r="I1546" s="17">
        <f>IF(OR(Log[[#This Row],[Verb]]="commit",Log[[#This Row],[Verb]]="carry",Log[[#This Row],[Verb]]="redo"),IF(Log[[#This Row],[Arg]]="",Log[[#This Row],[Sprint]],N(Log[[#This Row],[Arg]])),"")</f>
      </c>
      <c r="J1546" s="17">
        <f>IF(Log[[#This Row],[Verb]]="block",1,IF(OR(Log[[#This Row],[Verb]]="unblock",Log[[#This Row],[Verb]]="done",Log[[#This Row],[Verb]]="drop",Log[[#This Row],[Verb]]="punt",Log[[#This Row],[Verb]]="pass"),0,""))</f>
      </c>
      <c r="K1546" s="17">
        <f>IF(Log[[#This Row],[ID]]="",0,IFERROR(INDEX(Items[Pts],MATCH(Log[[#This Row],[ID]],Items[ID],0))*1,0))</f>
      </c>
      <c r="L1546" s="17">
        <f>IF(Log[[#This Row],[ID]]="","",IFERROR(INDEX(Items[Cur team],MATCH(Log[[#This Row],[ID]],Items[ID],0))&amp;"",""))</f>
      </c>
      <c r="M1546" s="17">
        <f>IF(OR(Log[[#This Row],[Verb]]="done",Log[[#This Row],[Verb]]="punt",Log[[#This Row],[Verb]]="drop",Log[[#This Row],[Verb]]="pass"),Log[[#This Row],[Pts]],0)</f>
      </c>
    </row>
    <row r="1547">
      <c r="A1547" s="11">
        <v>46231</v>
      </c>
      <c r="B1547" t="s">
        <v>860</v>
      </c>
      <c r="C1547" t="s">
        <v>34</v>
      </c>
      <c r="D1547">
        <v>49</v>
      </c>
      <c r="F1547" s="17">
        <f>IF(Log[[#This Row],[ID]]="","",IF(ISNA(MATCH(Log[[#This Row],[ID]],Items[ID],0)),"unknown ID",IF(ISNA(MATCH(Log[[#This Row],[Verb]],VerbList,0)),"unknown verb",IF(Log[[#This Row],[Date]]="","no date",""))))</f>
      </c>
      <c r="G1547" s="17">
        <f>IF(Log[[#This Row],[ID]]="","",IFERROR(VLOOKUP(Log[[#This Row],[Verb]],Verbs,3,FALSE)&amp;"",""))</f>
      </c>
      <c r="H1547" s="17">
        <f>IF(Log[[#This Row],[Date]]="","",INT((Log[[#This Row],[Date]]-Sprint1)/SprintDays)+1)</f>
      </c>
      <c r="I1547" s="17">
        <f>IF(OR(Log[[#This Row],[Verb]]="commit",Log[[#This Row],[Verb]]="carry",Log[[#This Row],[Verb]]="redo"),IF(Log[[#This Row],[Arg]]="",Log[[#This Row],[Sprint]],N(Log[[#This Row],[Arg]])),"")</f>
      </c>
      <c r="J1547" s="17">
        <f>IF(Log[[#This Row],[Verb]]="block",1,IF(OR(Log[[#This Row],[Verb]]="unblock",Log[[#This Row],[Verb]]="done",Log[[#This Row],[Verb]]="drop",Log[[#This Row],[Verb]]="punt",Log[[#This Row],[Verb]]="pass"),0,""))</f>
      </c>
      <c r="K1547" s="17">
        <f>IF(Log[[#This Row],[ID]]="",0,IFERROR(INDEX(Items[Pts],MATCH(Log[[#This Row],[ID]],Items[ID],0))*1,0))</f>
      </c>
      <c r="L1547" s="17">
        <f>IF(Log[[#This Row],[ID]]="","",IFERROR(INDEX(Items[Cur team],MATCH(Log[[#This Row],[ID]],Items[ID],0))&amp;"",""))</f>
      </c>
      <c r="M1547" s="17">
        <f>IF(OR(Log[[#This Row],[Verb]]="done",Log[[#This Row],[Verb]]="punt",Log[[#This Row],[Verb]]="drop",Log[[#This Row],[Verb]]="pass"),Log[[#This Row],[Pts]],0)</f>
      </c>
    </row>
    <row r="1548">
      <c r="A1548" s="11">
        <v>46231</v>
      </c>
      <c r="B1548" t="s">
        <v>861</v>
      </c>
      <c r="C1548" t="s">
        <v>34</v>
      </c>
      <c r="D1548">
        <v>49</v>
      </c>
      <c r="F1548" s="17">
        <f>IF(Log[[#This Row],[ID]]="","",IF(ISNA(MATCH(Log[[#This Row],[ID]],Items[ID],0)),"unknown ID",IF(ISNA(MATCH(Log[[#This Row],[Verb]],VerbList,0)),"unknown verb",IF(Log[[#This Row],[Date]]="","no date",""))))</f>
      </c>
      <c r="G1548" s="17">
        <f>IF(Log[[#This Row],[ID]]="","",IFERROR(VLOOKUP(Log[[#This Row],[Verb]],Verbs,3,FALSE)&amp;"",""))</f>
      </c>
      <c r="H1548" s="17">
        <f>IF(Log[[#This Row],[Date]]="","",INT((Log[[#This Row],[Date]]-Sprint1)/SprintDays)+1)</f>
      </c>
      <c r="I1548" s="17">
        <f>IF(OR(Log[[#This Row],[Verb]]="commit",Log[[#This Row],[Verb]]="carry",Log[[#This Row],[Verb]]="redo"),IF(Log[[#This Row],[Arg]]="",Log[[#This Row],[Sprint]],N(Log[[#This Row],[Arg]])),"")</f>
      </c>
      <c r="J1548" s="17">
        <f>IF(Log[[#This Row],[Verb]]="block",1,IF(OR(Log[[#This Row],[Verb]]="unblock",Log[[#This Row],[Verb]]="done",Log[[#This Row],[Verb]]="drop",Log[[#This Row],[Verb]]="punt",Log[[#This Row],[Verb]]="pass"),0,""))</f>
      </c>
      <c r="K1548" s="17">
        <f>IF(Log[[#This Row],[ID]]="",0,IFERROR(INDEX(Items[Pts],MATCH(Log[[#This Row],[ID]],Items[ID],0))*1,0))</f>
      </c>
      <c r="L1548" s="17">
        <f>IF(Log[[#This Row],[ID]]="","",IFERROR(INDEX(Items[Cur team],MATCH(Log[[#This Row],[ID]],Items[ID],0))&amp;"",""))</f>
      </c>
      <c r="M1548" s="17">
        <f>IF(OR(Log[[#This Row],[Verb]]="done",Log[[#This Row],[Verb]]="punt",Log[[#This Row],[Verb]]="drop",Log[[#This Row],[Verb]]="pass"),Log[[#This Row],[Pts]],0)</f>
      </c>
    </row>
    <row r="1549">
      <c r="A1549" s="11">
        <v>46231</v>
      </c>
      <c r="B1549" t="s">
        <v>862</v>
      </c>
      <c r="C1549" t="s">
        <v>34</v>
      </c>
      <c r="D1549">
        <v>49</v>
      </c>
      <c r="F1549" s="17">
        <f>IF(Log[[#This Row],[ID]]="","",IF(ISNA(MATCH(Log[[#This Row],[ID]],Items[ID],0)),"unknown ID",IF(ISNA(MATCH(Log[[#This Row],[Verb]],VerbList,0)),"unknown verb",IF(Log[[#This Row],[Date]]="","no date",""))))</f>
      </c>
      <c r="G1549" s="17">
        <f>IF(Log[[#This Row],[ID]]="","",IFERROR(VLOOKUP(Log[[#This Row],[Verb]],Verbs,3,FALSE)&amp;"",""))</f>
      </c>
      <c r="H1549" s="17">
        <f>IF(Log[[#This Row],[Date]]="","",INT((Log[[#This Row],[Date]]-Sprint1)/SprintDays)+1)</f>
      </c>
      <c r="I1549" s="17">
        <f>IF(OR(Log[[#This Row],[Verb]]="commit",Log[[#This Row],[Verb]]="carry",Log[[#This Row],[Verb]]="redo"),IF(Log[[#This Row],[Arg]]="",Log[[#This Row],[Sprint]],N(Log[[#This Row],[Arg]])),"")</f>
      </c>
      <c r="J1549" s="17">
        <f>IF(Log[[#This Row],[Verb]]="block",1,IF(OR(Log[[#This Row],[Verb]]="unblock",Log[[#This Row],[Verb]]="done",Log[[#This Row],[Verb]]="drop",Log[[#This Row],[Verb]]="punt",Log[[#This Row],[Verb]]="pass"),0,""))</f>
      </c>
      <c r="K1549" s="17">
        <f>IF(Log[[#This Row],[ID]]="",0,IFERROR(INDEX(Items[Pts],MATCH(Log[[#This Row],[ID]],Items[ID],0))*1,0))</f>
      </c>
      <c r="L1549" s="17">
        <f>IF(Log[[#This Row],[ID]]="","",IFERROR(INDEX(Items[Cur team],MATCH(Log[[#This Row],[ID]],Items[ID],0))&amp;"",""))</f>
      </c>
      <c r="M1549" s="17">
        <f>IF(OR(Log[[#This Row],[Verb]]="done",Log[[#This Row],[Verb]]="punt",Log[[#This Row],[Verb]]="drop",Log[[#This Row],[Verb]]="pass"),Log[[#This Row],[Pts]],0)</f>
      </c>
    </row>
    <row r="1550">
      <c r="A1550" s="11">
        <v>46231</v>
      </c>
      <c r="B1550" t="s">
        <v>863</v>
      </c>
      <c r="C1550" t="s">
        <v>34</v>
      </c>
      <c r="D1550">
        <v>49</v>
      </c>
      <c r="F1550" s="17">
        <f>IF(Log[[#This Row],[ID]]="","",IF(ISNA(MATCH(Log[[#This Row],[ID]],Items[ID],0)),"unknown ID",IF(ISNA(MATCH(Log[[#This Row],[Verb]],VerbList,0)),"unknown verb",IF(Log[[#This Row],[Date]]="","no date",""))))</f>
      </c>
      <c r="G1550" s="17">
        <f>IF(Log[[#This Row],[ID]]="","",IFERROR(VLOOKUP(Log[[#This Row],[Verb]],Verbs,3,FALSE)&amp;"",""))</f>
      </c>
      <c r="H1550" s="17">
        <f>IF(Log[[#This Row],[Date]]="","",INT((Log[[#This Row],[Date]]-Sprint1)/SprintDays)+1)</f>
      </c>
      <c r="I1550" s="17">
        <f>IF(OR(Log[[#This Row],[Verb]]="commit",Log[[#This Row],[Verb]]="carry",Log[[#This Row],[Verb]]="redo"),IF(Log[[#This Row],[Arg]]="",Log[[#This Row],[Sprint]],N(Log[[#This Row],[Arg]])),"")</f>
      </c>
      <c r="J1550" s="17">
        <f>IF(Log[[#This Row],[Verb]]="block",1,IF(OR(Log[[#This Row],[Verb]]="unblock",Log[[#This Row],[Verb]]="done",Log[[#This Row],[Verb]]="drop",Log[[#This Row],[Verb]]="punt",Log[[#This Row],[Verb]]="pass"),0,""))</f>
      </c>
      <c r="K1550" s="17">
        <f>IF(Log[[#This Row],[ID]]="",0,IFERROR(INDEX(Items[Pts],MATCH(Log[[#This Row],[ID]],Items[ID],0))*1,0))</f>
      </c>
      <c r="L1550" s="17">
        <f>IF(Log[[#This Row],[ID]]="","",IFERROR(INDEX(Items[Cur team],MATCH(Log[[#This Row],[ID]],Items[ID],0))&amp;"",""))</f>
      </c>
      <c r="M1550" s="17">
        <f>IF(OR(Log[[#This Row],[Verb]]="done",Log[[#This Row],[Verb]]="punt",Log[[#This Row],[Verb]]="drop",Log[[#This Row],[Verb]]="pass"),Log[[#This Row],[Pts]],0)</f>
      </c>
    </row>
    <row r="1551">
      <c r="A1551" s="11">
        <v>46231</v>
      </c>
      <c r="B1551" t="s">
        <v>864</v>
      </c>
      <c r="C1551" t="s">
        <v>34</v>
      </c>
      <c r="D1551">
        <v>49</v>
      </c>
      <c r="F1551" s="17">
        <f>IF(Log[[#This Row],[ID]]="","",IF(ISNA(MATCH(Log[[#This Row],[ID]],Items[ID],0)),"unknown ID",IF(ISNA(MATCH(Log[[#This Row],[Verb]],VerbList,0)),"unknown verb",IF(Log[[#This Row],[Date]]="","no date",""))))</f>
      </c>
      <c r="G1551" s="17">
        <f>IF(Log[[#This Row],[ID]]="","",IFERROR(VLOOKUP(Log[[#This Row],[Verb]],Verbs,3,FALSE)&amp;"",""))</f>
      </c>
      <c r="H1551" s="17">
        <f>IF(Log[[#This Row],[Date]]="","",INT((Log[[#This Row],[Date]]-Sprint1)/SprintDays)+1)</f>
      </c>
      <c r="I1551" s="17">
        <f>IF(OR(Log[[#This Row],[Verb]]="commit",Log[[#This Row],[Verb]]="carry",Log[[#This Row],[Verb]]="redo"),IF(Log[[#This Row],[Arg]]="",Log[[#This Row],[Sprint]],N(Log[[#This Row],[Arg]])),"")</f>
      </c>
      <c r="J1551" s="17">
        <f>IF(Log[[#This Row],[Verb]]="block",1,IF(OR(Log[[#This Row],[Verb]]="unblock",Log[[#This Row],[Verb]]="done",Log[[#This Row],[Verb]]="drop",Log[[#This Row],[Verb]]="punt",Log[[#This Row],[Verb]]="pass"),0,""))</f>
      </c>
      <c r="K1551" s="17">
        <f>IF(Log[[#This Row],[ID]]="",0,IFERROR(INDEX(Items[Pts],MATCH(Log[[#This Row],[ID]],Items[ID],0))*1,0))</f>
      </c>
      <c r="L1551" s="17">
        <f>IF(Log[[#This Row],[ID]]="","",IFERROR(INDEX(Items[Cur team],MATCH(Log[[#This Row],[ID]],Items[ID],0))&amp;"",""))</f>
      </c>
      <c r="M1551" s="17">
        <f>IF(OR(Log[[#This Row],[Verb]]="done",Log[[#This Row],[Verb]]="punt",Log[[#This Row],[Verb]]="drop",Log[[#This Row],[Verb]]="pass"),Log[[#This Row],[Pts]],0)</f>
      </c>
    </row>
    <row r="1552">
      <c r="A1552" s="11">
        <v>46231</v>
      </c>
      <c r="B1552" t="s">
        <v>865</v>
      </c>
      <c r="C1552" t="s">
        <v>34</v>
      </c>
      <c r="D1552">
        <v>49</v>
      </c>
      <c r="F1552" s="17">
        <f>IF(Log[[#This Row],[ID]]="","",IF(ISNA(MATCH(Log[[#This Row],[ID]],Items[ID],0)),"unknown ID",IF(ISNA(MATCH(Log[[#This Row],[Verb]],VerbList,0)),"unknown verb",IF(Log[[#This Row],[Date]]="","no date",""))))</f>
      </c>
      <c r="G1552" s="17">
        <f>IF(Log[[#This Row],[ID]]="","",IFERROR(VLOOKUP(Log[[#This Row],[Verb]],Verbs,3,FALSE)&amp;"",""))</f>
      </c>
      <c r="H1552" s="17">
        <f>IF(Log[[#This Row],[Date]]="","",INT((Log[[#This Row],[Date]]-Sprint1)/SprintDays)+1)</f>
      </c>
      <c r="I1552" s="17">
        <f>IF(OR(Log[[#This Row],[Verb]]="commit",Log[[#This Row],[Verb]]="carry",Log[[#This Row],[Verb]]="redo"),IF(Log[[#This Row],[Arg]]="",Log[[#This Row],[Sprint]],N(Log[[#This Row],[Arg]])),"")</f>
      </c>
      <c r="J1552" s="17">
        <f>IF(Log[[#This Row],[Verb]]="block",1,IF(OR(Log[[#This Row],[Verb]]="unblock",Log[[#This Row],[Verb]]="done",Log[[#This Row],[Verb]]="drop",Log[[#This Row],[Verb]]="punt",Log[[#This Row],[Verb]]="pass"),0,""))</f>
      </c>
      <c r="K1552" s="17">
        <f>IF(Log[[#This Row],[ID]]="",0,IFERROR(INDEX(Items[Pts],MATCH(Log[[#This Row],[ID]],Items[ID],0))*1,0))</f>
      </c>
      <c r="L1552" s="17">
        <f>IF(Log[[#This Row],[ID]]="","",IFERROR(INDEX(Items[Cur team],MATCH(Log[[#This Row],[ID]],Items[ID],0))&amp;"",""))</f>
      </c>
      <c r="M1552" s="17">
        <f>IF(OR(Log[[#This Row],[Verb]]="done",Log[[#This Row],[Verb]]="punt",Log[[#This Row],[Verb]]="drop",Log[[#This Row],[Verb]]="pass"),Log[[#This Row],[Pts]],0)</f>
      </c>
    </row>
    <row r="1553">
      <c r="A1553" s="11">
        <v>46231</v>
      </c>
      <c r="B1553" t="s">
        <v>866</v>
      </c>
      <c r="C1553" t="s">
        <v>34</v>
      </c>
      <c r="D1553">
        <v>49</v>
      </c>
      <c r="F1553" s="17">
        <f>IF(Log[[#This Row],[ID]]="","",IF(ISNA(MATCH(Log[[#This Row],[ID]],Items[ID],0)),"unknown ID",IF(ISNA(MATCH(Log[[#This Row],[Verb]],VerbList,0)),"unknown verb",IF(Log[[#This Row],[Date]]="","no date",""))))</f>
      </c>
      <c r="G1553" s="17">
        <f>IF(Log[[#This Row],[ID]]="","",IFERROR(VLOOKUP(Log[[#This Row],[Verb]],Verbs,3,FALSE)&amp;"",""))</f>
      </c>
      <c r="H1553" s="17">
        <f>IF(Log[[#This Row],[Date]]="","",INT((Log[[#This Row],[Date]]-Sprint1)/SprintDays)+1)</f>
      </c>
      <c r="I1553" s="17">
        <f>IF(OR(Log[[#This Row],[Verb]]="commit",Log[[#This Row],[Verb]]="carry",Log[[#This Row],[Verb]]="redo"),IF(Log[[#This Row],[Arg]]="",Log[[#This Row],[Sprint]],N(Log[[#This Row],[Arg]])),"")</f>
      </c>
      <c r="J1553" s="17">
        <f>IF(Log[[#This Row],[Verb]]="block",1,IF(OR(Log[[#This Row],[Verb]]="unblock",Log[[#This Row],[Verb]]="done",Log[[#This Row],[Verb]]="drop",Log[[#This Row],[Verb]]="punt",Log[[#This Row],[Verb]]="pass"),0,""))</f>
      </c>
      <c r="K1553" s="17">
        <f>IF(Log[[#This Row],[ID]]="",0,IFERROR(INDEX(Items[Pts],MATCH(Log[[#This Row],[ID]],Items[ID],0))*1,0))</f>
      </c>
      <c r="L1553" s="17">
        <f>IF(Log[[#This Row],[ID]]="","",IFERROR(INDEX(Items[Cur team],MATCH(Log[[#This Row],[ID]],Items[ID],0))&amp;"",""))</f>
      </c>
      <c r="M1553" s="17">
        <f>IF(OR(Log[[#This Row],[Verb]]="done",Log[[#This Row],[Verb]]="punt",Log[[#This Row],[Verb]]="drop",Log[[#This Row],[Verb]]="pass"),Log[[#This Row],[Pts]],0)</f>
      </c>
    </row>
    <row r="1554">
      <c r="A1554" s="11">
        <v>46231</v>
      </c>
      <c r="B1554" t="s">
        <v>867</v>
      </c>
      <c r="C1554" t="s">
        <v>34</v>
      </c>
      <c r="D1554">
        <v>49</v>
      </c>
      <c r="F1554" s="17">
        <f>IF(Log[[#This Row],[ID]]="","",IF(ISNA(MATCH(Log[[#This Row],[ID]],Items[ID],0)),"unknown ID",IF(ISNA(MATCH(Log[[#This Row],[Verb]],VerbList,0)),"unknown verb",IF(Log[[#This Row],[Date]]="","no date",""))))</f>
      </c>
      <c r="G1554" s="17">
        <f>IF(Log[[#This Row],[ID]]="","",IFERROR(VLOOKUP(Log[[#This Row],[Verb]],Verbs,3,FALSE)&amp;"",""))</f>
      </c>
      <c r="H1554" s="17">
        <f>IF(Log[[#This Row],[Date]]="","",INT((Log[[#This Row],[Date]]-Sprint1)/SprintDays)+1)</f>
      </c>
      <c r="I1554" s="17">
        <f>IF(OR(Log[[#This Row],[Verb]]="commit",Log[[#This Row],[Verb]]="carry",Log[[#This Row],[Verb]]="redo"),IF(Log[[#This Row],[Arg]]="",Log[[#This Row],[Sprint]],N(Log[[#This Row],[Arg]])),"")</f>
      </c>
      <c r="J1554" s="17">
        <f>IF(Log[[#This Row],[Verb]]="block",1,IF(OR(Log[[#This Row],[Verb]]="unblock",Log[[#This Row],[Verb]]="done",Log[[#This Row],[Verb]]="drop",Log[[#This Row],[Verb]]="punt",Log[[#This Row],[Verb]]="pass"),0,""))</f>
      </c>
      <c r="K1554" s="17">
        <f>IF(Log[[#This Row],[ID]]="",0,IFERROR(INDEX(Items[Pts],MATCH(Log[[#This Row],[ID]],Items[ID],0))*1,0))</f>
      </c>
      <c r="L1554" s="17">
        <f>IF(Log[[#This Row],[ID]]="","",IFERROR(INDEX(Items[Cur team],MATCH(Log[[#This Row],[ID]],Items[ID],0))&amp;"",""))</f>
      </c>
      <c r="M1554" s="17">
        <f>IF(OR(Log[[#This Row],[Verb]]="done",Log[[#This Row],[Verb]]="punt",Log[[#This Row],[Verb]]="drop",Log[[#This Row],[Verb]]="pass"),Log[[#This Row],[Pts]],0)</f>
      </c>
    </row>
    <row r="1555">
      <c r="A1555" s="11">
        <v>46231</v>
      </c>
      <c r="B1555" t="s">
        <v>868</v>
      </c>
      <c r="C1555" t="s">
        <v>34</v>
      </c>
      <c r="D1555">
        <v>49</v>
      </c>
      <c r="F1555" s="17">
        <f>IF(Log[[#This Row],[ID]]="","",IF(ISNA(MATCH(Log[[#This Row],[ID]],Items[ID],0)),"unknown ID",IF(ISNA(MATCH(Log[[#This Row],[Verb]],VerbList,0)),"unknown verb",IF(Log[[#This Row],[Date]]="","no date",""))))</f>
      </c>
      <c r="G1555" s="17">
        <f>IF(Log[[#This Row],[ID]]="","",IFERROR(VLOOKUP(Log[[#This Row],[Verb]],Verbs,3,FALSE)&amp;"",""))</f>
      </c>
      <c r="H1555" s="17">
        <f>IF(Log[[#This Row],[Date]]="","",INT((Log[[#This Row],[Date]]-Sprint1)/SprintDays)+1)</f>
      </c>
      <c r="I1555" s="17">
        <f>IF(OR(Log[[#This Row],[Verb]]="commit",Log[[#This Row],[Verb]]="carry",Log[[#This Row],[Verb]]="redo"),IF(Log[[#This Row],[Arg]]="",Log[[#This Row],[Sprint]],N(Log[[#This Row],[Arg]])),"")</f>
      </c>
      <c r="J1555" s="17">
        <f>IF(Log[[#This Row],[Verb]]="block",1,IF(OR(Log[[#This Row],[Verb]]="unblock",Log[[#This Row],[Verb]]="done",Log[[#This Row],[Verb]]="drop",Log[[#This Row],[Verb]]="punt",Log[[#This Row],[Verb]]="pass"),0,""))</f>
      </c>
      <c r="K1555" s="17">
        <f>IF(Log[[#This Row],[ID]]="",0,IFERROR(INDEX(Items[Pts],MATCH(Log[[#This Row],[ID]],Items[ID],0))*1,0))</f>
      </c>
      <c r="L1555" s="17">
        <f>IF(Log[[#This Row],[ID]]="","",IFERROR(INDEX(Items[Cur team],MATCH(Log[[#This Row],[ID]],Items[ID],0))&amp;"",""))</f>
      </c>
      <c r="M1555" s="17">
        <f>IF(OR(Log[[#This Row],[Verb]]="done",Log[[#This Row],[Verb]]="punt",Log[[#This Row],[Verb]]="drop",Log[[#This Row],[Verb]]="pass"),Log[[#This Row],[Pts]],0)</f>
      </c>
    </row>
    <row r="1556">
      <c r="A1556" s="11">
        <v>46231</v>
      </c>
      <c r="B1556" t="s">
        <v>869</v>
      </c>
      <c r="C1556" t="s">
        <v>34</v>
      </c>
      <c r="D1556">
        <v>49</v>
      </c>
      <c r="F1556" s="17">
        <f>IF(Log[[#This Row],[ID]]="","",IF(ISNA(MATCH(Log[[#This Row],[ID]],Items[ID],0)),"unknown ID",IF(ISNA(MATCH(Log[[#This Row],[Verb]],VerbList,0)),"unknown verb",IF(Log[[#This Row],[Date]]="","no date",""))))</f>
      </c>
      <c r="G1556" s="17">
        <f>IF(Log[[#This Row],[ID]]="","",IFERROR(VLOOKUP(Log[[#This Row],[Verb]],Verbs,3,FALSE)&amp;"",""))</f>
      </c>
      <c r="H1556" s="17">
        <f>IF(Log[[#This Row],[Date]]="","",INT((Log[[#This Row],[Date]]-Sprint1)/SprintDays)+1)</f>
      </c>
      <c r="I1556" s="17">
        <f>IF(OR(Log[[#This Row],[Verb]]="commit",Log[[#This Row],[Verb]]="carry",Log[[#This Row],[Verb]]="redo"),IF(Log[[#This Row],[Arg]]="",Log[[#This Row],[Sprint]],N(Log[[#This Row],[Arg]])),"")</f>
      </c>
      <c r="J1556" s="17">
        <f>IF(Log[[#This Row],[Verb]]="block",1,IF(OR(Log[[#This Row],[Verb]]="unblock",Log[[#This Row],[Verb]]="done",Log[[#This Row],[Verb]]="drop",Log[[#This Row],[Verb]]="punt",Log[[#This Row],[Verb]]="pass"),0,""))</f>
      </c>
      <c r="K1556" s="17">
        <f>IF(Log[[#This Row],[ID]]="",0,IFERROR(INDEX(Items[Pts],MATCH(Log[[#This Row],[ID]],Items[ID],0))*1,0))</f>
      </c>
      <c r="L1556" s="17">
        <f>IF(Log[[#This Row],[ID]]="","",IFERROR(INDEX(Items[Cur team],MATCH(Log[[#This Row],[ID]],Items[ID],0))&amp;"",""))</f>
      </c>
      <c r="M1556" s="17">
        <f>IF(OR(Log[[#This Row],[Verb]]="done",Log[[#This Row],[Verb]]="punt",Log[[#This Row],[Verb]]="drop",Log[[#This Row],[Verb]]="pass"),Log[[#This Row],[Pts]],0)</f>
      </c>
    </row>
    <row r="1557">
      <c r="A1557" s="11">
        <v>46231</v>
      </c>
      <c r="B1557" t="s">
        <v>870</v>
      </c>
      <c r="C1557" t="s">
        <v>34</v>
      </c>
      <c r="D1557">
        <v>49</v>
      </c>
      <c r="F1557" s="17">
        <f>IF(Log[[#This Row],[ID]]="","",IF(ISNA(MATCH(Log[[#This Row],[ID]],Items[ID],0)),"unknown ID",IF(ISNA(MATCH(Log[[#This Row],[Verb]],VerbList,0)),"unknown verb",IF(Log[[#This Row],[Date]]="","no date",""))))</f>
      </c>
      <c r="G1557" s="17">
        <f>IF(Log[[#This Row],[ID]]="","",IFERROR(VLOOKUP(Log[[#This Row],[Verb]],Verbs,3,FALSE)&amp;"",""))</f>
      </c>
      <c r="H1557" s="17">
        <f>IF(Log[[#This Row],[Date]]="","",INT((Log[[#This Row],[Date]]-Sprint1)/SprintDays)+1)</f>
      </c>
      <c r="I1557" s="17">
        <f>IF(OR(Log[[#This Row],[Verb]]="commit",Log[[#This Row],[Verb]]="carry",Log[[#This Row],[Verb]]="redo"),IF(Log[[#This Row],[Arg]]="",Log[[#This Row],[Sprint]],N(Log[[#This Row],[Arg]])),"")</f>
      </c>
      <c r="J1557" s="17">
        <f>IF(Log[[#This Row],[Verb]]="block",1,IF(OR(Log[[#This Row],[Verb]]="unblock",Log[[#This Row],[Verb]]="done",Log[[#This Row],[Verb]]="drop",Log[[#This Row],[Verb]]="punt",Log[[#This Row],[Verb]]="pass"),0,""))</f>
      </c>
      <c r="K1557" s="17">
        <f>IF(Log[[#This Row],[ID]]="",0,IFERROR(INDEX(Items[Pts],MATCH(Log[[#This Row],[ID]],Items[ID],0))*1,0))</f>
      </c>
      <c r="L1557" s="17">
        <f>IF(Log[[#This Row],[ID]]="","",IFERROR(INDEX(Items[Cur team],MATCH(Log[[#This Row],[ID]],Items[ID],0))&amp;"",""))</f>
      </c>
      <c r="M1557" s="17">
        <f>IF(OR(Log[[#This Row],[Verb]]="done",Log[[#This Row],[Verb]]="punt",Log[[#This Row],[Verb]]="drop",Log[[#This Row],[Verb]]="pass"),Log[[#This Row],[Pts]],0)</f>
      </c>
    </row>
    <row r="1558">
      <c r="A1558" s="11">
        <v>46231</v>
      </c>
      <c r="B1558" t="s">
        <v>871</v>
      </c>
      <c r="C1558" t="s">
        <v>34</v>
      </c>
      <c r="D1558">
        <v>49</v>
      </c>
      <c r="F1558" s="17">
        <f>IF(Log[[#This Row],[ID]]="","",IF(ISNA(MATCH(Log[[#This Row],[ID]],Items[ID],0)),"unknown ID",IF(ISNA(MATCH(Log[[#This Row],[Verb]],VerbList,0)),"unknown verb",IF(Log[[#This Row],[Date]]="","no date",""))))</f>
      </c>
      <c r="G1558" s="17">
        <f>IF(Log[[#This Row],[ID]]="","",IFERROR(VLOOKUP(Log[[#This Row],[Verb]],Verbs,3,FALSE)&amp;"",""))</f>
      </c>
      <c r="H1558" s="17">
        <f>IF(Log[[#This Row],[Date]]="","",INT((Log[[#This Row],[Date]]-Sprint1)/SprintDays)+1)</f>
      </c>
      <c r="I1558" s="17">
        <f>IF(OR(Log[[#This Row],[Verb]]="commit",Log[[#This Row],[Verb]]="carry",Log[[#This Row],[Verb]]="redo"),IF(Log[[#This Row],[Arg]]="",Log[[#This Row],[Sprint]],N(Log[[#This Row],[Arg]])),"")</f>
      </c>
      <c r="J1558" s="17">
        <f>IF(Log[[#This Row],[Verb]]="block",1,IF(OR(Log[[#This Row],[Verb]]="unblock",Log[[#This Row],[Verb]]="done",Log[[#This Row],[Verb]]="drop",Log[[#This Row],[Verb]]="punt",Log[[#This Row],[Verb]]="pass"),0,""))</f>
      </c>
      <c r="K1558" s="17">
        <f>IF(Log[[#This Row],[ID]]="",0,IFERROR(INDEX(Items[Pts],MATCH(Log[[#This Row],[ID]],Items[ID],0))*1,0))</f>
      </c>
      <c r="L1558" s="17">
        <f>IF(Log[[#This Row],[ID]]="","",IFERROR(INDEX(Items[Cur team],MATCH(Log[[#This Row],[ID]],Items[ID],0))&amp;"",""))</f>
      </c>
      <c r="M1558" s="17">
        <f>IF(OR(Log[[#This Row],[Verb]]="done",Log[[#This Row],[Verb]]="punt",Log[[#This Row],[Verb]]="drop",Log[[#This Row],[Verb]]="pass"),Log[[#This Row],[Pts]],0)</f>
      </c>
    </row>
    <row r="1559">
      <c r="A1559" s="11">
        <v>46231</v>
      </c>
      <c r="B1559" t="s">
        <v>872</v>
      </c>
      <c r="C1559" t="s">
        <v>34</v>
      </c>
      <c r="D1559">
        <v>49</v>
      </c>
      <c r="F1559" s="17">
        <f>IF(Log[[#This Row],[ID]]="","",IF(ISNA(MATCH(Log[[#This Row],[ID]],Items[ID],0)),"unknown ID",IF(ISNA(MATCH(Log[[#This Row],[Verb]],VerbList,0)),"unknown verb",IF(Log[[#This Row],[Date]]="","no date",""))))</f>
      </c>
      <c r="G1559" s="17">
        <f>IF(Log[[#This Row],[ID]]="","",IFERROR(VLOOKUP(Log[[#This Row],[Verb]],Verbs,3,FALSE)&amp;"",""))</f>
      </c>
      <c r="H1559" s="17">
        <f>IF(Log[[#This Row],[Date]]="","",INT((Log[[#This Row],[Date]]-Sprint1)/SprintDays)+1)</f>
      </c>
      <c r="I1559" s="17">
        <f>IF(OR(Log[[#This Row],[Verb]]="commit",Log[[#This Row],[Verb]]="carry",Log[[#This Row],[Verb]]="redo"),IF(Log[[#This Row],[Arg]]="",Log[[#This Row],[Sprint]],N(Log[[#This Row],[Arg]])),"")</f>
      </c>
      <c r="J1559" s="17">
        <f>IF(Log[[#This Row],[Verb]]="block",1,IF(OR(Log[[#This Row],[Verb]]="unblock",Log[[#This Row],[Verb]]="done",Log[[#This Row],[Verb]]="drop",Log[[#This Row],[Verb]]="punt",Log[[#This Row],[Verb]]="pass"),0,""))</f>
      </c>
      <c r="K1559" s="17">
        <f>IF(Log[[#This Row],[ID]]="",0,IFERROR(INDEX(Items[Pts],MATCH(Log[[#This Row],[ID]],Items[ID],0))*1,0))</f>
      </c>
      <c r="L1559" s="17">
        <f>IF(Log[[#This Row],[ID]]="","",IFERROR(INDEX(Items[Cur team],MATCH(Log[[#This Row],[ID]],Items[ID],0))&amp;"",""))</f>
      </c>
      <c r="M1559" s="17">
        <f>IF(OR(Log[[#This Row],[Verb]]="done",Log[[#This Row],[Verb]]="punt",Log[[#This Row],[Verb]]="drop",Log[[#This Row],[Verb]]="pass"),Log[[#This Row],[Pts]],0)</f>
      </c>
    </row>
    <row r="1560">
      <c r="A1560" s="11">
        <v>46231</v>
      </c>
      <c r="B1560" t="s">
        <v>873</v>
      </c>
      <c r="C1560" t="s">
        <v>34</v>
      </c>
      <c r="D1560">
        <v>49</v>
      </c>
      <c r="F1560" s="17">
        <f>IF(Log[[#This Row],[ID]]="","",IF(ISNA(MATCH(Log[[#This Row],[ID]],Items[ID],0)),"unknown ID",IF(ISNA(MATCH(Log[[#This Row],[Verb]],VerbList,0)),"unknown verb",IF(Log[[#This Row],[Date]]="","no date",""))))</f>
      </c>
      <c r="G1560" s="17">
        <f>IF(Log[[#This Row],[ID]]="","",IFERROR(VLOOKUP(Log[[#This Row],[Verb]],Verbs,3,FALSE)&amp;"",""))</f>
      </c>
      <c r="H1560" s="17">
        <f>IF(Log[[#This Row],[Date]]="","",INT((Log[[#This Row],[Date]]-Sprint1)/SprintDays)+1)</f>
      </c>
      <c r="I1560" s="17">
        <f>IF(OR(Log[[#This Row],[Verb]]="commit",Log[[#This Row],[Verb]]="carry",Log[[#This Row],[Verb]]="redo"),IF(Log[[#This Row],[Arg]]="",Log[[#This Row],[Sprint]],N(Log[[#This Row],[Arg]])),"")</f>
      </c>
      <c r="J1560" s="17">
        <f>IF(Log[[#This Row],[Verb]]="block",1,IF(OR(Log[[#This Row],[Verb]]="unblock",Log[[#This Row],[Verb]]="done",Log[[#This Row],[Verb]]="drop",Log[[#This Row],[Verb]]="punt",Log[[#This Row],[Verb]]="pass"),0,""))</f>
      </c>
      <c r="K1560" s="17">
        <f>IF(Log[[#This Row],[ID]]="",0,IFERROR(INDEX(Items[Pts],MATCH(Log[[#This Row],[ID]],Items[ID],0))*1,0))</f>
      </c>
      <c r="L1560" s="17">
        <f>IF(Log[[#This Row],[ID]]="","",IFERROR(INDEX(Items[Cur team],MATCH(Log[[#This Row],[ID]],Items[ID],0))&amp;"",""))</f>
      </c>
      <c r="M1560" s="17">
        <f>IF(OR(Log[[#This Row],[Verb]]="done",Log[[#This Row],[Verb]]="punt",Log[[#This Row],[Verb]]="drop",Log[[#This Row],[Verb]]="pass"),Log[[#This Row],[Pts]],0)</f>
      </c>
    </row>
    <row r="1561">
      <c r="A1561" s="11">
        <v>46231</v>
      </c>
      <c r="B1561" t="s">
        <v>874</v>
      </c>
      <c r="C1561" t="s">
        <v>34</v>
      </c>
      <c r="D1561">
        <v>49</v>
      </c>
      <c r="F1561" s="17">
        <f>IF(Log[[#This Row],[ID]]="","",IF(ISNA(MATCH(Log[[#This Row],[ID]],Items[ID],0)),"unknown ID",IF(ISNA(MATCH(Log[[#This Row],[Verb]],VerbList,0)),"unknown verb",IF(Log[[#This Row],[Date]]="","no date",""))))</f>
      </c>
      <c r="G1561" s="17">
        <f>IF(Log[[#This Row],[ID]]="","",IFERROR(VLOOKUP(Log[[#This Row],[Verb]],Verbs,3,FALSE)&amp;"",""))</f>
      </c>
      <c r="H1561" s="17">
        <f>IF(Log[[#This Row],[Date]]="","",INT((Log[[#This Row],[Date]]-Sprint1)/SprintDays)+1)</f>
      </c>
      <c r="I1561" s="17">
        <f>IF(OR(Log[[#This Row],[Verb]]="commit",Log[[#This Row],[Verb]]="carry",Log[[#This Row],[Verb]]="redo"),IF(Log[[#This Row],[Arg]]="",Log[[#This Row],[Sprint]],N(Log[[#This Row],[Arg]])),"")</f>
      </c>
      <c r="J1561" s="17">
        <f>IF(Log[[#This Row],[Verb]]="block",1,IF(OR(Log[[#This Row],[Verb]]="unblock",Log[[#This Row],[Verb]]="done",Log[[#This Row],[Verb]]="drop",Log[[#This Row],[Verb]]="punt",Log[[#This Row],[Verb]]="pass"),0,""))</f>
      </c>
      <c r="K1561" s="17">
        <f>IF(Log[[#This Row],[ID]]="",0,IFERROR(INDEX(Items[Pts],MATCH(Log[[#This Row],[ID]],Items[ID],0))*1,0))</f>
      </c>
      <c r="L1561" s="17">
        <f>IF(Log[[#This Row],[ID]]="","",IFERROR(INDEX(Items[Cur team],MATCH(Log[[#This Row],[ID]],Items[ID],0))&amp;"",""))</f>
      </c>
      <c r="M1561" s="17">
        <f>IF(OR(Log[[#This Row],[Verb]]="done",Log[[#This Row],[Verb]]="punt",Log[[#This Row],[Verb]]="drop",Log[[#This Row],[Verb]]="pass"),Log[[#This Row],[Pts]],0)</f>
      </c>
    </row>
    <row r="1562">
      <c r="A1562" s="11">
        <v>46231</v>
      </c>
      <c r="B1562" t="s">
        <v>875</v>
      </c>
      <c r="C1562" t="s">
        <v>34</v>
      </c>
      <c r="D1562">
        <v>49</v>
      </c>
      <c r="F1562" s="17">
        <f>IF(Log[[#This Row],[ID]]="","",IF(ISNA(MATCH(Log[[#This Row],[ID]],Items[ID],0)),"unknown ID",IF(ISNA(MATCH(Log[[#This Row],[Verb]],VerbList,0)),"unknown verb",IF(Log[[#This Row],[Date]]="","no date",""))))</f>
      </c>
      <c r="G1562" s="17">
        <f>IF(Log[[#This Row],[ID]]="","",IFERROR(VLOOKUP(Log[[#This Row],[Verb]],Verbs,3,FALSE)&amp;"",""))</f>
      </c>
      <c r="H1562" s="17">
        <f>IF(Log[[#This Row],[Date]]="","",INT((Log[[#This Row],[Date]]-Sprint1)/SprintDays)+1)</f>
      </c>
      <c r="I1562" s="17">
        <f>IF(OR(Log[[#This Row],[Verb]]="commit",Log[[#This Row],[Verb]]="carry",Log[[#This Row],[Verb]]="redo"),IF(Log[[#This Row],[Arg]]="",Log[[#This Row],[Sprint]],N(Log[[#This Row],[Arg]])),"")</f>
      </c>
      <c r="J1562" s="17">
        <f>IF(Log[[#This Row],[Verb]]="block",1,IF(OR(Log[[#This Row],[Verb]]="unblock",Log[[#This Row],[Verb]]="done",Log[[#This Row],[Verb]]="drop",Log[[#This Row],[Verb]]="punt",Log[[#This Row],[Verb]]="pass"),0,""))</f>
      </c>
      <c r="K1562" s="17">
        <f>IF(Log[[#This Row],[ID]]="",0,IFERROR(INDEX(Items[Pts],MATCH(Log[[#This Row],[ID]],Items[ID],0))*1,0))</f>
      </c>
      <c r="L1562" s="17">
        <f>IF(Log[[#This Row],[ID]]="","",IFERROR(INDEX(Items[Cur team],MATCH(Log[[#This Row],[ID]],Items[ID],0))&amp;"",""))</f>
      </c>
      <c r="M1562" s="17">
        <f>IF(OR(Log[[#This Row],[Verb]]="done",Log[[#This Row],[Verb]]="punt",Log[[#This Row],[Verb]]="drop",Log[[#This Row],[Verb]]="pass"),Log[[#This Row],[Pts]],0)</f>
      </c>
    </row>
    <row r="1563">
      <c r="A1563" s="11">
        <v>46231</v>
      </c>
      <c r="B1563" t="s">
        <v>876</v>
      </c>
      <c r="C1563" t="s">
        <v>34</v>
      </c>
      <c r="D1563">
        <v>49</v>
      </c>
      <c r="F1563" s="17">
        <f>IF(Log[[#This Row],[ID]]="","",IF(ISNA(MATCH(Log[[#This Row],[ID]],Items[ID],0)),"unknown ID",IF(ISNA(MATCH(Log[[#This Row],[Verb]],VerbList,0)),"unknown verb",IF(Log[[#This Row],[Date]]="","no date",""))))</f>
      </c>
      <c r="G1563" s="17">
        <f>IF(Log[[#This Row],[ID]]="","",IFERROR(VLOOKUP(Log[[#This Row],[Verb]],Verbs,3,FALSE)&amp;"",""))</f>
      </c>
      <c r="H1563" s="17">
        <f>IF(Log[[#This Row],[Date]]="","",INT((Log[[#This Row],[Date]]-Sprint1)/SprintDays)+1)</f>
      </c>
      <c r="I1563" s="17">
        <f>IF(OR(Log[[#This Row],[Verb]]="commit",Log[[#This Row],[Verb]]="carry",Log[[#This Row],[Verb]]="redo"),IF(Log[[#This Row],[Arg]]="",Log[[#This Row],[Sprint]],N(Log[[#This Row],[Arg]])),"")</f>
      </c>
      <c r="J1563" s="17">
        <f>IF(Log[[#This Row],[Verb]]="block",1,IF(OR(Log[[#This Row],[Verb]]="unblock",Log[[#This Row],[Verb]]="done",Log[[#This Row],[Verb]]="drop",Log[[#This Row],[Verb]]="punt",Log[[#This Row],[Verb]]="pass"),0,""))</f>
      </c>
      <c r="K1563" s="17">
        <f>IF(Log[[#This Row],[ID]]="",0,IFERROR(INDEX(Items[Pts],MATCH(Log[[#This Row],[ID]],Items[ID],0))*1,0))</f>
      </c>
      <c r="L1563" s="17">
        <f>IF(Log[[#This Row],[ID]]="","",IFERROR(INDEX(Items[Cur team],MATCH(Log[[#This Row],[ID]],Items[ID],0))&amp;"",""))</f>
      </c>
      <c r="M1563" s="17">
        <f>IF(OR(Log[[#This Row],[Verb]]="done",Log[[#This Row],[Verb]]="punt",Log[[#This Row],[Verb]]="drop",Log[[#This Row],[Verb]]="pass"),Log[[#This Row],[Pts]],0)</f>
      </c>
    </row>
    <row r="1564">
      <c r="A1564" s="11">
        <v>46231</v>
      </c>
      <c r="B1564" t="s">
        <v>877</v>
      </c>
      <c r="C1564" t="s">
        <v>34</v>
      </c>
      <c r="D1564">
        <v>49</v>
      </c>
      <c r="F1564" s="17">
        <f>IF(Log[[#This Row],[ID]]="","",IF(ISNA(MATCH(Log[[#This Row],[ID]],Items[ID],0)),"unknown ID",IF(ISNA(MATCH(Log[[#This Row],[Verb]],VerbList,0)),"unknown verb",IF(Log[[#This Row],[Date]]="","no date",""))))</f>
      </c>
      <c r="G1564" s="17">
        <f>IF(Log[[#This Row],[ID]]="","",IFERROR(VLOOKUP(Log[[#This Row],[Verb]],Verbs,3,FALSE)&amp;"",""))</f>
      </c>
      <c r="H1564" s="17">
        <f>IF(Log[[#This Row],[Date]]="","",INT((Log[[#This Row],[Date]]-Sprint1)/SprintDays)+1)</f>
      </c>
      <c r="I1564" s="17">
        <f>IF(OR(Log[[#This Row],[Verb]]="commit",Log[[#This Row],[Verb]]="carry",Log[[#This Row],[Verb]]="redo"),IF(Log[[#This Row],[Arg]]="",Log[[#This Row],[Sprint]],N(Log[[#This Row],[Arg]])),"")</f>
      </c>
      <c r="J1564" s="17">
        <f>IF(Log[[#This Row],[Verb]]="block",1,IF(OR(Log[[#This Row],[Verb]]="unblock",Log[[#This Row],[Verb]]="done",Log[[#This Row],[Verb]]="drop",Log[[#This Row],[Verb]]="punt",Log[[#This Row],[Verb]]="pass"),0,""))</f>
      </c>
      <c r="K1564" s="17">
        <f>IF(Log[[#This Row],[ID]]="",0,IFERROR(INDEX(Items[Pts],MATCH(Log[[#This Row],[ID]],Items[ID],0))*1,0))</f>
      </c>
      <c r="L1564" s="17">
        <f>IF(Log[[#This Row],[ID]]="","",IFERROR(INDEX(Items[Cur team],MATCH(Log[[#This Row],[ID]],Items[ID],0))&amp;"",""))</f>
      </c>
      <c r="M1564" s="17">
        <f>IF(OR(Log[[#This Row],[Verb]]="done",Log[[#This Row],[Verb]]="punt",Log[[#This Row],[Verb]]="drop",Log[[#This Row],[Verb]]="pass"),Log[[#This Row],[Pts]],0)</f>
      </c>
    </row>
    <row r="1565">
      <c r="A1565" s="11">
        <v>46231</v>
      </c>
      <c r="B1565" t="s">
        <v>878</v>
      </c>
      <c r="C1565" t="s">
        <v>34</v>
      </c>
      <c r="D1565">
        <v>49</v>
      </c>
      <c r="F1565" s="17">
        <f>IF(Log[[#This Row],[ID]]="","",IF(ISNA(MATCH(Log[[#This Row],[ID]],Items[ID],0)),"unknown ID",IF(ISNA(MATCH(Log[[#This Row],[Verb]],VerbList,0)),"unknown verb",IF(Log[[#This Row],[Date]]="","no date",""))))</f>
      </c>
      <c r="G1565" s="17">
        <f>IF(Log[[#This Row],[ID]]="","",IFERROR(VLOOKUP(Log[[#This Row],[Verb]],Verbs,3,FALSE)&amp;"",""))</f>
      </c>
      <c r="H1565" s="17">
        <f>IF(Log[[#This Row],[Date]]="","",INT((Log[[#This Row],[Date]]-Sprint1)/SprintDays)+1)</f>
      </c>
      <c r="I1565" s="17">
        <f>IF(OR(Log[[#This Row],[Verb]]="commit",Log[[#This Row],[Verb]]="carry",Log[[#This Row],[Verb]]="redo"),IF(Log[[#This Row],[Arg]]="",Log[[#This Row],[Sprint]],N(Log[[#This Row],[Arg]])),"")</f>
      </c>
      <c r="J1565" s="17">
        <f>IF(Log[[#This Row],[Verb]]="block",1,IF(OR(Log[[#This Row],[Verb]]="unblock",Log[[#This Row],[Verb]]="done",Log[[#This Row],[Verb]]="drop",Log[[#This Row],[Verb]]="punt",Log[[#This Row],[Verb]]="pass"),0,""))</f>
      </c>
      <c r="K1565" s="17">
        <f>IF(Log[[#This Row],[ID]]="",0,IFERROR(INDEX(Items[Pts],MATCH(Log[[#This Row],[ID]],Items[ID],0))*1,0))</f>
      </c>
      <c r="L1565" s="17">
        <f>IF(Log[[#This Row],[ID]]="","",IFERROR(INDEX(Items[Cur team],MATCH(Log[[#This Row],[ID]],Items[ID],0))&amp;"",""))</f>
      </c>
      <c r="M1565" s="17">
        <f>IF(OR(Log[[#This Row],[Verb]]="done",Log[[#This Row],[Verb]]="punt",Log[[#This Row],[Verb]]="drop",Log[[#This Row],[Verb]]="pass"),Log[[#This Row],[Pts]],0)</f>
      </c>
    </row>
    <row r="1566">
      <c r="A1566" s="11">
        <v>46231</v>
      </c>
      <c r="B1566" t="s">
        <v>879</v>
      </c>
      <c r="C1566" t="s">
        <v>34</v>
      </c>
      <c r="D1566">
        <v>49</v>
      </c>
      <c r="F1566" s="17">
        <f>IF(Log[[#This Row],[ID]]="","",IF(ISNA(MATCH(Log[[#This Row],[ID]],Items[ID],0)),"unknown ID",IF(ISNA(MATCH(Log[[#This Row],[Verb]],VerbList,0)),"unknown verb",IF(Log[[#This Row],[Date]]="","no date",""))))</f>
      </c>
      <c r="G1566" s="17">
        <f>IF(Log[[#This Row],[ID]]="","",IFERROR(VLOOKUP(Log[[#This Row],[Verb]],Verbs,3,FALSE)&amp;"",""))</f>
      </c>
      <c r="H1566" s="17">
        <f>IF(Log[[#This Row],[Date]]="","",INT((Log[[#This Row],[Date]]-Sprint1)/SprintDays)+1)</f>
      </c>
      <c r="I1566" s="17">
        <f>IF(OR(Log[[#This Row],[Verb]]="commit",Log[[#This Row],[Verb]]="carry",Log[[#This Row],[Verb]]="redo"),IF(Log[[#This Row],[Arg]]="",Log[[#This Row],[Sprint]],N(Log[[#This Row],[Arg]])),"")</f>
      </c>
      <c r="J1566" s="17">
        <f>IF(Log[[#This Row],[Verb]]="block",1,IF(OR(Log[[#This Row],[Verb]]="unblock",Log[[#This Row],[Verb]]="done",Log[[#This Row],[Verb]]="drop",Log[[#This Row],[Verb]]="punt",Log[[#This Row],[Verb]]="pass"),0,""))</f>
      </c>
      <c r="K1566" s="17">
        <f>IF(Log[[#This Row],[ID]]="",0,IFERROR(INDEX(Items[Pts],MATCH(Log[[#This Row],[ID]],Items[ID],0))*1,0))</f>
      </c>
      <c r="L1566" s="17">
        <f>IF(Log[[#This Row],[ID]]="","",IFERROR(INDEX(Items[Cur team],MATCH(Log[[#This Row],[ID]],Items[ID],0))&amp;"",""))</f>
      </c>
      <c r="M1566" s="17">
        <f>IF(OR(Log[[#This Row],[Verb]]="done",Log[[#This Row],[Verb]]="punt",Log[[#This Row],[Verb]]="drop",Log[[#This Row],[Verb]]="pass"),Log[[#This Row],[Pts]],0)</f>
      </c>
    </row>
    <row r="1567">
      <c r="A1567" s="11">
        <v>46231</v>
      </c>
      <c r="B1567" t="s">
        <v>880</v>
      </c>
      <c r="C1567" t="s">
        <v>34</v>
      </c>
      <c r="D1567">
        <v>49</v>
      </c>
      <c r="F1567" s="17">
        <f>IF(Log[[#This Row],[ID]]="","",IF(ISNA(MATCH(Log[[#This Row],[ID]],Items[ID],0)),"unknown ID",IF(ISNA(MATCH(Log[[#This Row],[Verb]],VerbList,0)),"unknown verb",IF(Log[[#This Row],[Date]]="","no date",""))))</f>
      </c>
      <c r="G1567" s="17">
        <f>IF(Log[[#This Row],[ID]]="","",IFERROR(VLOOKUP(Log[[#This Row],[Verb]],Verbs,3,FALSE)&amp;"",""))</f>
      </c>
      <c r="H1567" s="17">
        <f>IF(Log[[#This Row],[Date]]="","",INT((Log[[#This Row],[Date]]-Sprint1)/SprintDays)+1)</f>
      </c>
      <c r="I1567" s="17">
        <f>IF(OR(Log[[#This Row],[Verb]]="commit",Log[[#This Row],[Verb]]="carry",Log[[#This Row],[Verb]]="redo"),IF(Log[[#This Row],[Arg]]="",Log[[#This Row],[Sprint]],N(Log[[#This Row],[Arg]])),"")</f>
      </c>
      <c r="J1567" s="17">
        <f>IF(Log[[#This Row],[Verb]]="block",1,IF(OR(Log[[#This Row],[Verb]]="unblock",Log[[#This Row],[Verb]]="done",Log[[#This Row],[Verb]]="drop",Log[[#This Row],[Verb]]="punt",Log[[#This Row],[Verb]]="pass"),0,""))</f>
      </c>
      <c r="K1567" s="17">
        <f>IF(Log[[#This Row],[ID]]="",0,IFERROR(INDEX(Items[Pts],MATCH(Log[[#This Row],[ID]],Items[ID],0))*1,0))</f>
      </c>
      <c r="L1567" s="17">
        <f>IF(Log[[#This Row],[ID]]="","",IFERROR(INDEX(Items[Cur team],MATCH(Log[[#This Row],[ID]],Items[ID],0))&amp;"",""))</f>
      </c>
      <c r="M1567" s="17">
        <f>IF(OR(Log[[#This Row],[Verb]]="done",Log[[#This Row],[Verb]]="punt",Log[[#This Row],[Verb]]="drop",Log[[#This Row],[Verb]]="pass"),Log[[#This Row],[Pts]],0)</f>
      </c>
    </row>
    <row r="1568">
      <c r="A1568" s="11">
        <v>46231</v>
      </c>
      <c r="B1568" t="s">
        <v>881</v>
      </c>
      <c r="C1568" t="s">
        <v>34</v>
      </c>
      <c r="D1568">
        <v>49</v>
      </c>
      <c r="F1568" s="17">
        <f>IF(Log[[#This Row],[ID]]="","",IF(ISNA(MATCH(Log[[#This Row],[ID]],Items[ID],0)),"unknown ID",IF(ISNA(MATCH(Log[[#This Row],[Verb]],VerbList,0)),"unknown verb",IF(Log[[#This Row],[Date]]="","no date",""))))</f>
      </c>
      <c r="G1568" s="17">
        <f>IF(Log[[#This Row],[ID]]="","",IFERROR(VLOOKUP(Log[[#This Row],[Verb]],Verbs,3,FALSE)&amp;"",""))</f>
      </c>
      <c r="H1568" s="17">
        <f>IF(Log[[#This Row],[Date]]="","",INT((Log[[#This Row],[Date]]-Sprint1)/SprintDays)+1)</f>
      </c>
      <c r="I1568" s="17">
        <f>IF(OR(Log[[#This Row],[Verb]]="commit",Log[[#This Row],[Verb]]="carry",Log[[#This Row],[Verb]]="redo"),IF(Log[[#This Row],[Arg]]="",Log[[#This Row],[Sprint]],N(Log[[#This Row],[Arg]])),"")</f>
      </c>
      <c r="J1568" s="17">
        <f>IF(Log[[#This Row],[Verb]]="block",1,IF(OR(Log[[#This Row],[Verb]]="unblock",Log[[#This Row],[Verb]]="done",Log[[#This Row],[Verb]]="drop",Log[[#This Row],[Verb]]="punt",Log[[#This Row],[Verb]]="pass"),0,""))</f>
      </c>
      <c r="K1568" s="17">
        <f>IF(Log[[#This Row],[ID]]="",0,IFERROR(INDEX(Items[Pts],MATCH(Log[[#This Row],[ID]],Items[ID],0))*1,0))</f>
      </c>
      <c r="L1568" s="17">
        <f>IF(Log[[#This Row],[ID]]="","",IFERROR(INDEX(Items[Cur team],MATCH(Log[[#This Row],[ID]],Items[ID],0))&amp;"",""))</f>
      </c>
      <c r="M1568" s="17">
        <f>IF(OR(Log[[#This Row],[Verb]]="done",Log[[#This Row],[Verb]]="punt",Log[[#This Row],[Verb]]="drop",Log[[#This Row],[Verb]]="pass"),Log[[#This Row],[Pts]],0)</f>
      </c>
    </row>
    <row r="1569">
      <c r="A1569" s="11">
        <v>46231</v>
      </c>
      <c r="B1569" t="s">
        <v>882</v>
      </c>
      <c r="C1569" t="s">
        <v>34</v>
      </c>
      <c r="D1569">
        <v>49</v>
      </c>
      <c r="F1569" s="17">
        <f>IF(Log[[#This Row],[ID]]="","",IF(ISNA(MATCH(Log[[#This Row],[ID]],Items[ID],0)),"unknown ID",IF(ISNA(MATCH(Log[[#This Row],[Verb]],VerbList,0)),"unknown verb",IF(Log[[#This Row],[Date]]="","no date",""))))</f>
      </c>
      <c r="G1569" s="17">
        <f>IF(Log[[#This Row],[ID]]="","",IFERROR(VLOOKUP(Log[[#This Row],[Verb]],Verbs,3,FALSE)&amp;"",""))</f>
      </c>
      <c r="H1569" s="17">
        <f>IF(Log[[#This Row],[Date]]="","",INT((Log[[#This Row],[Date]]-Sprint1)/SprintDays)+1)</f>
      </c>
      <c r="I1569" s="17">
        <f>IF(OR(Log[[#This Row],[Verb]]="commit",Log[[#This Row],[Verb]]="carry",Log[[#This Row],[Verb]]="redo"),IF(Log[[#This Row],[Arg]]="",Log[[#This Row],[Sprint]],N(Log[[#This Row],[Arg]])),"")</f>
      </c>
      <c r="J1569" s="17">
        <f>IF(Log[[#This Row],[Verb]]="block",1,IF(OR(Log[[#This Row],[Verb]]="unblock",Log[[#This Row],[Verb]]="done",Log[[#This Row],[Verb]]="drop",Log[[#This Row],[Verb]]="punt",Log[[#This Row],[Verb]]="pass"),0,""))</f>
      </c>
      <c r="K1569" s="17">
        <f>IF(Log[[#This Row],[ID]]="",0,IFERROR(INDEX(Items[Pts],MATCH(Log[[#This Row],[ID]],Items[ID],0))*1,0))</f>
      </c>
      <c r="L1569" s="17">
        <f>IF(Log[[#This Row],[ID]]="","",IFERROR(INDEX(Items[Cur team],MATCH(Log[[#This Row],[ID]],Items[ID],0))&amp;"",""))</f>
      </c>
      <c r="M1569" s="17">
        <f>IF(OR(Log[[#This Row],[Verb]]="done",Log[[#This Row],[Verb]]="punt",Log[[#This Row],[Verb]]="drop",Log[[#This Row],[Verb]]="pass"),Log[[#This Row],[Pts]],0)</f>
      </c>
    </row>
    <row r="1570">
      <c r="A1570" s="11">
        <v>46231</v>
      </c>
      <c r="B1570" t="s">
        <v>883</v>
      </c>
      <c r="C1570" t="s">
        <v>34</v>
      </c>
      <c r="D1570">
        <v>49</v>
      </c>
      <c r="F1570" s="17">
        <f>IF(Log[[#This Row],[ID]]="","",IF(ISNA(MATCH(Log[[#This Row],[ID]],Items[ID],0)),"unknown ID",IF(ISNA(MATCH(Log[[#This Row],[Verb]],VerbList,0)),"unknown verb",IF(Log[[#This Row],[Date]]="","no date",""))))</f>
      </c>
      <c r="G1570" s="17">
        <f>IF(Log[[#This Row],[ID]]="","",IFERROR(VLOOKUP(Log[[#This Row],[Verb]],Verbs,3,FALSE)&amp;"",""))</f>
      </c>
      <c r="H1570" s="17">
        <f>IF(Log[[#This Row],[Date]]="","",INT((Log[[#This Row],[Date]]-Sprint1)/SprintDays)+1)</f>
      </c>
      <c r="I1570" s="17">
        <f>IF(OR(Log[[#This Row],[Verb]]="commit",Log[[#This Row],[Verb]]="carry",Log[[#This Row],[Verb]]="redo"),IF(Log[[#This Row],[Arg]]="",Log[[#This Row],[Sprint]],N(Log[[#This Row],[Arg]])),"")</f>
      </c>
      <c r="J1570" s="17">
        <f>IF(Log[[#This Row],[Verb]]="block",1,IF(OR(Log[[#This Row],[Verb]]="unblock",Log[[#This Row],[Verb]]="done",Log[[#This Row],[Verb]]="drop",Log[[#This Row],[Verb]]="punt",Log[[#This Row],[Verb]]="pass"),0,""))</f>
      </c>
      <c r="K1570" s="17">
        <f>IF(Log[[#This Row],[ID]]="",0,IFERROR(INDEX(Items[Pts],MATCH(Log[[#This Row],[ID]],Items[ID],0))*1,0))</f>
      </c>
      <c r="L1570" s="17">
        <f>IF(Log[[#This Row],[ID]]="","",IFERROR(INDEX(Items[Cur team],MATCH(Log[[#This Row],[ID]],Items[ID],0))&amp;"",""))</f>
      </c>
      <c r="M1570" s="17">
        <f>IF(OR(Log[[#This Row],[Verb]]="done",Log[[#This Row],[Verb]]="punt",Log[[#This Row],[Verb]]="drop",Log[[#This Row],[Verb]]="pass"),Log[[#This Row],[Pts]],0)</f>
      </c>
    </row>
    <row r="1571">
      <c r="A1571" s="11">
        <v>46231</v>
      </c>
      <c r="B1571" t="s">
        <v>884</v>
      </c>
      <c r="C1571" t="s">
        <v>34</v>
      </c>
      <c r="D1571">
        <v>49</v>
      </c>
      <c r="F1571" s="17">
        <f>IF(Log[[#This Row],[ID]]="","",IF(ISNA(MATCH(Log[[#This Row],[ID]],Items[ID],0)),"unknown ID",IF(ISNA(MATCH(Log[[#This Row],[Verb]],VerbList,0)),"unknown verb",IF(Log[[#This Row],[Date]]="","no date",""))))</f>
      </c>
      <c r="G1571" s="17">
        <f>IF(Log[[#This Row],[ID]]="","",IFERROR(VLOOKUP(Log[[#This Row],[Verb]],Verbs,3,FALSE)&amp;"",""))</f>
      </c>
      <c r="H1571" s="17">
        <f>IF(Log[[#This Row],[Date]]="","",INT((Log[[#This Row],[Date]]-Sprint1)/SprintDays)+1)</f>
      </c>
      <c r="I1571" s="17">
        <f>IF(OR(Log[[#This Row],[Verb]]="commit",Log[[#This Row],[Verb]]="carry",Log[[#This Row],[Verb]]="redo"),IF(Log[[#This Row],[Arg]]="",Log[[#This Row],[Sprint]],N(Log[[#This Row],[Arg]])),"")</f>
      </c>
      <c r="J1571" s="17">
        <f>IF(Log[[#This Row],[Verb]]="block",1,IF(OR(Log[[#This Row],[Verb]]="unblock",Log[[#This Row],[Verb]]="done",Log[[#This Row],[Verb]]="drop",Log[[#This Row],[Verb]]="punt",Log[[#This Row],[Verb]]="pass"),0,""))</f>
      </c>
      <c r="K1571" s="17">
        <f>IF(Log[[#This Row],[ID]]="",0,IFERROR(INDEX(Items[Pts],MATCH(Log[[#This Row],[ID]],Items[ID],0))*1,0))</f>
      </c>
      <c r="L1571" s="17">
        <f>IF(Log[[#This Row],[ID]]="","",IFERROR(INDEX(Items[Cur team],MATCH(Log[[#This Row],[ID]],Items[ID],0))&amp;"",""))</f>
      </c>
      <c r="M1571" s="17">
        <f>IF(OR(Log[[#This Row],[Verb]]="done",Log[[#This Row],[Verb]]="punt",Log[[#This Row],[Verb]]="drop",Log[[#This Row],[Verb]]="pass"),Log[[#This Row],[Pts]],0)</f>
      </c>
    </row>
    <row r="1572">
      <c r="A1572" s="11">
        <v>46231</v>
      </c>
      <c r="B1572" t="s">
        <v>885</v>
      </c>
      <c r="C1572" t="s">
        <v>34</v>
      </c>
      <c r="D1572">
        <v>49</v>
      </c>
      <c r="F1572" s="17">
        <f>IF(Log[[#This Row],[ID]]="","",IF(ISNA(MATCH(Log[[#This Row],[ID]],Items[ID],0)),"unknown ID",IF(ISNA(MATCH(Log[[#This Row],[Verb]],VerbList,0)),"unknown verb",IF(Log[[#This Row],[Date]]="","no date",""))))</f>
      </c>
      <c r="G1572" s="17">
        <f>IF(Log[[#This Row],[ID]]="","",IFERROR(VLOOKUP(Log[[#This Row],[Verb]],Verbs,3,FALSE)&amp;"",""))</f>
      </c>
      <c r="H1572" s="17">
        <f>IF(Log[[#This Row],[Date]]="","",INT((Log[[#This Row],[Date]]-Sprint1)/SprintDays)+1)</f>
      </c>
      <c r="I1572" s="17">
        <f>IF(OR(Log[[#This Row],[Verb]]="commit",Log[[#This Row],[Verb]]="carry",Log[[#This Row],[Verb]]="redo"),IF(Log[[#This Row],[Arg]]="",Log[[#This Row],[Sprint]],N(Log[[#This Row],[Arg]])),"")</f>
      </c>
      <c r="J1572" s="17">
        <f>IF(Log[[#This Row],[Verb]]="block",1,IF(OR(Log[[#This Row],[Verb]]="unblock",Log[[#This Row],[Verb]]="done",Log[[#This Row],[Verb]]="drop",Log[[#This Row],[Verb]]="punt",Log[[#This Row],[Verb]]="pass"),0,""))</f>
      </c>
      <c r="K1572" s="17">
        <f>IF(Log[[#This Row],[ID]]="",0,IFERROR(INDEX(Items[Pts],MATCH(Log[[#This Row],[ID]],Items[ID],0))*1,0))</f>
      </c>
      <c r="L1572" s="17">
        <f>IF(Log[[#This Row],[ID]]="","",IFERROR(INDEX(Items[Cur team],MATCH(Log[[#This Row],[ID]],Items[ID],0))&amp;"",""))</f>
      </c>
      <c r="M1572" s="17">
        <f>IF(OR(Log[[#This Row],[Verb]]="done",Log[[#This Row],[Verb]]="punt",Log[[#This Row],[Verb]]="drop",Log[[#This Row],[Verb]]="pass"),Log[[#This Row],[Pts]],0)</f>
      </c>
    </row>
    <row r="1573">
      <c r="A1573" s="11">
        <v>46231</v>
      </c>
      <c r="B1573" t="s">
        <v>886</v>
      </c>
      <c r="C1573" t="s">
        <v>34</v>
      </c>
      <c r="D1573">
        <v>49</v>
      </c>
      <c r="F1573" s="17">
        <f>IF(Log[[#This Row],[ID]]="","",IF(ISNA(MATCH(Log[[#This Row],[ID]],Items[ID],0)),"unknown ID",IF(ISNA(MATCH(Log[[#This Row],[Verb]],VerbList,0)),"unknown verb",IF(Log[[#This Row],[Date]]="","no date",""))))</f>
      </c>
      <c r="G1573" s="17">
        <f>IF(Log[[#This Row],[ID]]="","",IFERROR(VLOOKUP(Log[[#This Row],[Verb]],Verbs,3,FALSE)&amp;"",""))</f>
      </c>
      <c r="H1573" s="17">
        <f>IF(Log[[#This Row],[Date]]="","",INT((Log[[#This Row],[Date]]-Sprint1)/SprintDays)+1)</f>
      </c>
      <c r="I1573" s="17">
        <f>IF(OR(Log[[#This Row],[Verb]]="commit",Log[[#This Row],[Verb]]="carry",Log[[#This Row],[Verb]]="redo"),IF(Log[[#This Row],[Arg]]="",Log[[#This Row],[Sprint]],N(Log[[#This Row],[Arg]])),"")</f>
      </c>
      <c r="J1573" s="17">
        <f>IF(Log[[#This Row],[Verb]]="block",1,IF(OR(Log[[#This Row],[Verb]]="unblock",Log[[#This Row],[Verb]]="done",Log[[#This Row],[Verb]]="drop",Log[[#This Row],[Verb]]="punt",Log[[#This Row],[Verb]]="pass"),0,""))</f>
      </c>
      <c r="K1573" s="17">
        <f>IF(Log[[#This Row],[ID]]="",0,IFERROR(INDEX(Items[Pts],MATCH(Log[[#This Row],[ID]],Items[ID],0))*1,0))</f>
      </c>
      <c r="L1573" s="17">
        <f>IF(Log[[#This Row],[ID]]="","",IFERROR(INDEX(Items[Cur team],MATCH(Log[[#This Row],[ID]],Items[ID],0))&amp;"",""))</f>
      </c>
      <c r="M1573" s="17">
        <f>IF(OR(Log[[#This Row],[Verb]]="done",Log[[#This Row],[Verb]]="punt",Log[[#This Row],[Verb]]="drop",Log[[#This Row],[Verb]]="pass"),Log[[#This Row],[Pts]],0)</f>
      </c>
    </row>
    <row r="1574">
      <c r="A1574" s="11">
        <v>46231</v>
      </c>
      <c r="B1574" t="s">
        <v>887</v>
      </c>
      <c r="C1574" t="s">
        <v>34</v>
      </c>
      <c r="D1574">
        <v>49</v>
      </c>
      <c r="F1574" s="17">
        <f>IF(Log[[#This Row],[ID]]="","",IF(ISNA(MATCH(Log[[#This Row],[ID]],Items[ID],0)),"unknown ID",IF(ISNA(MATCH(Log[[#This Row],[Verb]],VerbList,0)),"unknown verb",IF(Log[[#This Row],[Date]]="","no date",""))))</f>
      </c>
      <c r="G1574" s="17">
        <f>IF(Log[[#This Row],[ID]]="","",IFERROR(VLOOKUP(Log[[#This Row],[Verb]],Verbs,3,FALSE)&amp;"",""))</f>
      </c>
      <c r="H1574" s="17">
        <f>IF(Log[[#This Row],[Date]]="","",INT((Log[[#This Row],[Date]]-Sprint1)/SprintDays)+1)</f>
      </c>
      <c r="I1574" s="17">
        <f>IF(OR(Log[[#This Row],[Verb]]="commit",Log[[#This Row],[Verb]]="carry",Log[[#This Row],[Verb]]="redo"),IF(Log[[#This Row],[Arg]]="",Log[[#This Row],[Sprint]],N(Log[[#This Row],[Arg]])),"")</f>
      </c>
      <c r="J1574" s="17">
        <f>IF(Log[[#This Row],[Verb]]="block",1,IF(OR(Log[[#This Row],[Verb]]="unblock",Log[[#This Row],[Verb]]="done",Log[[#This Row],[Verb]]="drop",Log[[#This Row],[Verb]]="punt",Log[[#This Row],[Verb]]="pass"),0,""))</f>
      </c>
      <c r="K1574" s="17">
        <f>IF(Log[[#This Row],[ID]]="",0,IFERROR(INDEX(Items[Pts],MATCH(Log[[#This Row],[ID]],Items[ID],0))*1,0))</f>
      </c>
      <c r="L1574" s="17">
        <f>IF(Log[[#This Row],[ID]]="","",IFERROR(INDEX(Items[Cur team],MATCH(Log[[#This Row],[ID]],Items[ID],0))&amp;"",""))</f>
      </c>
      <c r="M1574" s="17">
        <f>IF(OR(Log[[#This Row],[Verb]]="done",Log[[#This Row],[Verb]]="punt",Log[[#This Row],[Verb]]="drop",Log[[#This Row],[Verb]]="pass"),Log[[#This Row],[Pts]],0)</f>
      </c>
    </row>
    <row r="1575">
      <c r="A1575" s="11">
        <v>46231</v>
      </c>
      <c r="B1575" t="s">
        <v>888</v>
      </c>
      <c r="C1575" t="s">
        <v>34</v>
      </c>
      <c r="D1575">
        <v>49</v>
      </c>
      <c r="F1575" s="17">
        <f>IF(Log[[#This Row],[ID]]="","",IF(ISNA(MATCH(Log[[#This Row],[ID]],Items[ID],0)),"unknown ID",IF(ISNA(MATCH(Log[[#This Row],[Verb]],VerbList,0)),"unknown verb",IF(Log[[#This Row],[Date]]="","no date",""))))</f>
      </c>
      <c r="G1575" s="17">
        <f>IF(Log[[#This Row],[ID]]="","",IFERROR(VLOOKUP(Log[[#This Row],[Verb]],Verbs,3,FALSE)&amp;"",""))</f>
      </c>
      <c r="H1575" s="17">
        <f>IF(Log[[#This Row],[Date]]="","",INT((Log[[#This Row],[Date]]-Sprint1)/SprintDays)+1)</f>
      </c>
      <c r="I1575" s="17">
        <f>IF(OR(Log[[#This Row],[Verb]]="commit",Log[[#This Row],[Verb]]="carry",Log[[#This Row],[Verb]]="redo"),IF(Log[[#This Row],[Arg]]="",Log[[#This Row],[Sprint]],N(Log[[#This Row],[Arg]])),"")</f>
      </c>
      <c r="J1575" s="17">
        <f>IF(Log[[#This Row],[Verb]]="block",1,IF(OR(Log[[#This Row],[Verb]]="unblock",Log[[#This Row],[Verb]]="done",Log[[#This Row],[Verb]]="drop",Log[[#This Row],[Verb]]="punt",Log[[#This Row],[Verb]]="pass"),0,""))</f>
      </c>
      <c r="K1575" s="17">
        <f>IF(Log[[#This Row],[ID]]="",0,IFERROR(INDEX(Items[Pts],MATCH(Log[[#This Row],[ID]],Items[ID],0))*1,0))</f>
      </c>
      <c r="L1575" s="17">
        <f>IF(Log[[#This Row],[ID]]="","",IFERROR(INDEX(Items[Cur team],MATCH(Log[[#This Row],[ID]],Items[ID],0))&amp;"",""))</f>
      </c>
      <c r="M1575" s="17">
        <f>IF(OR(Log[[#This Row],[Verb]]="done",Log[[#This Row],[Verb]]="punt",Log[[#This Row],[Verb]]="drop",Log[[#This Row],[Verb]]="pass"),Log[[#This Row],[Pts]],0)</f>
      </c>
    </row>
    <row r="1576">
      <c r="A1576" s="11">
        <v>46231</v>
      </c>
      <c r="B1576" t="s">
        <v>889</v>
      </c>
      <c r="C1576" t="s">
        <v>34</v>
      </c>
      <c r="D1576">
        <v>49</v>
      </c>
      <c r="F1576" s="17">
        <f>IF(Log[[#This Row],[ID]]="","",IF(ISNA(MATCH(Log[[#This Row],[ID]],Items[ID],0)),"unknown ID",IF(ISNA(MATCH(Log[[#This Row],[Verb]],VerbList,0)),"unknown verb",IF(Log[[#This Row],[Date]]="","no date",""))))</f>
      </c>
      <c r="G1576" s="17">
        <f>IF(Log[[#This Row],[ID]]="","",IFERROR(VLOOKUP(Log[[#This Row],[Verb]],Verbs,3,FALSE)&amp;"",""))</f>
      </c>
      <c r="H1576" s="17">
        <f>IF(Log[[#This Row],[Date]]="","",INT((Log[[#This Row],[Date]]-Sprint1)/SprintDays)+1)</f>
      </c>
      <c r="I1576" s="17">
        <f>IF(OR(Log[[#This Row],[Verb]]="commit",Log[[#This Row],[Verb]]="carry",Log[[#This Row],[Verb]]="redo"),IF(Log[[#This Row],[Arg]]="",Log[[#This Row],[Sprint]],N(Log[[#This Row],[Arg]])),"")</f>
      </c>
      <c r="J1576" s="17">
        <f>IF(Log[[#This Row],[Verb]]="block",1,IF(OR(Log[[#This Row],[Verb]]="unblock",Log[[#This Row],[Verb]]="done",Log[[#This Row],[Verb]]="drop",Log[[#This Row],[Verb]]="punt",Log[[#This Row],[Verb]]="pass"),0,""))</f>
      </c>
      <c r="K1576" s="17">
        <f>IF(Log[[#This Row],[ID]]="",0,IFERROR(INDEX(Items[Pts],MATCH(Log[[#This Row],[ID]],Items[ID],0))*1,0))</f>
      </c>
      <c r="L1576" s="17">
        <f>IF(Log[[#This Row],[ID]]="","",IFERROR(INDEX(Items[Cur team],MATCH(Log[[#This Row],[ID]],Items[ID],0))&amp;"",""))</f>
      </c>
      <c r="M1576" s="17">
        <f>IF(OR(Log[[#This Row],[Verb]]="done",Log[[#This Row],[Verb]]="punt",Log[[#This Row],[Verb]]="drop",Log[[#This Row],[Verb]]="pass"),Log[[#This Row],[Pts]],0)</f>
      </c>
    </row>
    <row r="1577">
      <c r="A1577" s="11">
        <v>46244</v>
      </c>
      <c r="B1577" t="s">
        <v>817</v>
      </c>
      <c r="C1577" t="s">
        <v>41</v>
      </c>
      <c r="F1577" s="17">
        <f>IF(Log[[#This Row],[ID]]="","",IF(ISNA(MATCH(Log[[#This Row],[ID]],Items[ID],0)),"unknown ID",IF(ISNA(MATCH(Log[[#This Row],[Verb]],VerbList,0)),"unknown verb",IF(Log[[#This Row],[Date]]="","no date",""))))</f>
      </c>
      <c r="G1577" s="17">
        <f>IF(Log[[#This Row],[ID]]="","",IFERROR(VLOOKUP(Log[[#This Row],[Verb]],Verbs,3,FALSE)&amp;"",""))</f>
      </c>
      <c r="H1577" s="17">
        <f>IF(Log[[#This Row],[Date]]="","",INT((Log[[#This Row],[Date]]-Sprint1)/SprintDays)+1)</f>
      </c>
      <c r="I1577" s="17">
        <f>IF(OR(Log[[#This Row],[Verb]]="commit",Log[[#This Row],[Verb]]="carry",Log[[#This Row],[Verb]]="redo"),IF(Log[[#This Row],[Arg]]="",Log[[#This Row],[Sprint]],N(Log[[#This Row],[Arg]])),"")</f>
      </c>
      <c r="J1577" s="17">
        <f>IF(Log[[#This Row],[Verb]]="block",1,IF(OR(Log[[#This Row],[Verb]]="unblock",Log[[#This Row],[Verb]]="done",Log[[#This Row],[Verb]]="drop",Log[[#This Row],[Verb]]="punt",Log[[#This Row],[Verb]]="pass"),0,""))</f>
      </c>
      <c r="K1577" s="17">
        <f>IF(Log[[#This Row],[ID]]="",0,IFERROR(INDEX(Items[Pts],MATCH(Log[[#This Row],[ID]],Items[ID],0))*1,0))</f>
      </c>
      <c r="L1577" s="17">
        <f>IF(Log[[#This Row],[ID]]="","",IFERROR(INDEX(Items[Cur team],MATCH(Log[[#This Row],[ID]],Items[ID],0))&amp;"",""))</f>
      </c>
      <c r="M1577" s="17">
        <f>IF(OR(Log[[#This Row],[Verb]]="done",Log[[#This Row],[Verb]]="punt",Log[[#This Row],[Verb]]="drop",Log[[#This Row],[Verb]]="pass"),Log[[#This Row],[Pts]],0)</f>
      </c>
    </row>
    <row r="1578">
      <c r="A1578" s="11">
        <v>46244</v>
      </c>
      <c r="B1578" t="s">
        <v>818</v>
      </c>
      <c r="C1578" t="s">
        <v>41</v>
      </c>
      <c r="F1578" s="17">
        <f>IF(Log[[#This Row],[ID]]="","",IF(ISNA(MATCH(Log[[#This Row],[ID]],Items[ID],0)),"unknown ID",IF(ISNA(MATCH(Log[[#This Row],[Verb]],VerbList,0)),"unknown verb",IF(Log[[#This Row],[Date]]="","no date",""))))</f>
      </c>
      <c r="G1578" s="17">
        <f>IF(Log[[#This Row],[ID]]="","",IFERROR(VLOOKUP(Log[[#This Row],[Verb]],Verbs,3,FALSE)&amp;"",""))</f>
      </c>
      <c r="H1578" s="17">
        <f>IF(Log[[#This Row],[Date]]="","",INT((Log[[#This Row],[Date]]-Sprint1)/SprintDays)+1)</f>
      </c>
      <c r="I1578" s="17">
        <f>IF(OR(Log[[#This Row],[Verb]]="commit",Log[[#This Row],[Verb]]="carry",Log[[#This Row],[Verb]]="redo"),IF(Log[[#This Row],[Arg]]="",Log[[#This Row],[Sprint]],N(Log[[#This Row],[Arg]])),"")</f>
      </c>
      <c r="J1578" s="17">
        <f>IF(Log[[#This Row],[Verb]]="block",1,IF(OR(Log[[#This Row],[Verb]]="unblock",Log[[#This Row],[Verb]]="done",Log[[#This Row],[Verb]]="drop",Log[[#This Row],[Verb]]="punt",Log[[#This Row],[Verb]]="pass"),0,""))</f>
      </c>
      <c r="K1578" s="17">
        <f>IF(Log[[#This Row],[ID]]="",0,IFERROR(INDEX(Items[Pts],MATCH(Log[[#This Row],[ID]],Items[ID],0))*1,0))</f>
      </c>
      <c r="L1578" s="17">
        <f>IF(Log[[#This Row],[ID]]="","",IFERROR(INDEX(Items[Cur team],MATCH(Log[[#This Row],[ID]],Items[ID],0))&amp;"",""))</f>
      </c>
      <c r="M1578" s="17">
        <f>IF(OR(Log[[#This Row],[Verb]]="done",Log[[#This Row],[Verb]]="punt",Log[[#This Row],[Verb]]="drop",Log[[#This Row],[Verb]]="pass"),Log[[#This Row],[Pts]],0)</f>
      </c>
    </row>
    <row r="1579">
      <c r="A1579" s="11">
        <v>46244</v>
      </c>
      <c r="B1579" t="s">
        <v>819</v>
      </c>
      <c r="C1579" t="s">
        <v>41</v>
      </c>
      <c r="F1579" s="17">
        <f>IF(Log[[#This Row],[ID]]="","",IF(ISNA(MATCH(Log[[#This Row],[ID]],Items[ID],0)),"unknown ID",IF(ISNA(MATCH(Log[[#This Row],[Verb]],VerbList,0)),"unknown verb",IF(Log[[#This Row],[Date]]="","no date",""))))</f>
      </c>
      <c r="G1579" s="17">
        <f>IF(Log[[#This Row],[ID]]="","",IFERROR(VLOOKUP(Log[[#This Row],[Verb]],Verbs,3,FALSE)&amp;"",""))</f>
      </c>
      <c r="H1579" s="17">
        <f>IF(Log[[#This Row],[Date]]="","",INT((Log[[#This Row],[Date]]-Sprint1)/SprintDays)+1)</f>
      </c>
      <c r="I1579" s="17">
        <f>IF(OR(Log[[#This Row],[Verb]]="commit",Log[[#This Row],[Verb]]="carry",Log[[#This Row],[Verb]]="redo"),IF(Log[[#This Row],[Arg]]="",Log[[#This Row],[Sprint]],N(Log[[#This Row],[Arg]])),"")</f>
      </c>
      <c r="J1579" s="17">
        <f>IF(Log[[#This Row],[Verb]]="block",1,IF(OR(Log[[#This Row],[Verb]]="unblock",Log[[#This Row],[Verb]]="done",Log[[#This Row],[Verb]]="drop",Log[[#This Row],[Verb]]="punt",Log[[#This Row],[Verb]]="pass"),0,""))</f>
      </c>
      <c r="K1579" s="17">
        <f>IF(Log[[#This Row],[ID]]="",0,IFERROR(INDEX(Items[Pts],MATCH(Log[[#This Row],[ID]],Items[ID],0))*1,0))</f>
      </c>
      <c r="L1579" s="17">
        <f>IF(Log[[#This Row],[ID]]="","",IFERROR(INDEX(Items[Cur team],MATCH(Log[[#This Row],[ID]],Items[ID],0))&amp;"",""))</f>
      </c>
      <c r="M1579" s="17">
        <f>IF(OR(Log[[#This Row],[Verb]]="done",Log[[#This Row],[Verb]]="punt",Log[[#This Row],[Verb]]="drop",Log[[#This Row],[Verb]]="pass"),Log[[#This Row],[Pts]],0)</f>
      </c>
    </row>
    <row r="1580">
      <c r="A1580" s="11">
        <v>46244</v>
      </c>
      <c r="B1580" t="s">
        <v>820</v>
      </c>
      <c r="C1580" t="s">
        <v>41</v>
      </c>
      <c r="F1580" s="17">
        <f>IF(Log[[#This Row],[ID]]="","",IF(ISNA(MATCH(Log[[#This Row],[ID]],Items[ID],0)),"unknown ID",IF(ISNA(MATCH(Log[[#This Row],[Verb]],VerbList,0)),"unknown verb",IF(Log[[#This Row],[Date]]="","no date",""))))</f>
      </c>
      <c r="G1580" s="17">
        <f>IF(Log[[#This Row],[ID]]="","",IFERROR(VLOOKUP(Log[[#This Row],[Verb]],Verbs,3,FALSE)&amp;"",""))</f>
      </c>
      <c r="H1580" s="17">
        <f>IF(Log[[#This Row],[Date]]="","",INT((Log[[#This Row],[Date]]-Sprint1)/SprintDays)+1)</f>
      </c>
      <c r="I1580" s="17">
        <f>IF(OR(Log[[#This Row],[Verb]]="commit",Log[[#This Row],[Verb]]="carry",Log[[#This Row],[Verb]]="redo"),IF(Log[[#This Row],[Arg]]="",Log[[#This Row],[Sprint]],N(Log[[#This Row],[Arg]])),"")</f>
      </c>
      <c r="J1580" s="17">
        <f>IF(Log[[#This Row],[Verb]]="block",1,IF(OR(Log[[#This Row],[Verb]]="unblock",Log[[#This Row],[Verb]]="done",Log[[#This Row],[Verb]]="drop",Log[[#This Row],[Verb]]="punt",Log[[#This Row],[Verb]]="pass"),0,""))</f>
      </c>
      <c r="K1580" s="17">
        <f>IF(Log[[#This Row],[ID]]="",0,IFERROR(INDEX(Items[Pts],MATCH(Log[[#This Row],[ID]],Items[ID],0))*1,0))</f>
      </c>
      <c r="L1580" s="17">
        <f>IF(Log[[#This Row],[ID]]="","",IFERROR(INDEX(Items[Cur team],MATCH(Log[[#This Row],[ID]],Items[ID],0))&amp;"",""))</f>
      </c>
      <c r="M1580" s="17">
        <f>IF(OR(Log[[#This Row],[Verb]]="done",Log[[#This Row],[Verb]]="punt",Log[[#This Row],[Verb]]="drop",Log[[#This Row],[Verb]]="pass"),Log[[#This Row],[Pts]],0)</f>
      </c>
    </row>
    <row r="1581">
      <c r="A1581" s="11">
        <v>46244</v>
      </c>
      <c r="B1581" t="s">
        <v>821</v>
      </c>
      <c r="C1581" t="s">
        <v>41</v>
      </c>
      <c r="F1581" s="17">
        <f>IF(Log[[#This Row],[ID]]="","",IF(ISNA(MATCH(Log[[#This Row],[ID]],Items[ID],0)),"unknown ID",IF(ISNA(MATCH(Log[[#This Row],[Verb]],VerbList,0)),"unknown verb",IF(Log[[#This Row],[Date]]="","no date",""))))</f>
      </c>
      <c r="G1581" s="17">
        <f>IF(Log[[#This Row],[ID]]="","",IFERROR(VLOOKUP(Log[[#This Row],[Verb]],Verbs,3,FALSE)&amp;"",""))</f>
      </c>
      <c r="H1581" s="17">
        <f>IF(Log[[#This Row],[Date]]="","",INT((Log[[#This Row],[Date]]-Sprint1)/SprintDays)+1)</f>
      </c>
      <c r="I1581" s="17">
        <f>IF(OR(Log[[#This Row],[Verb]]="commit",Log[[#This Row],[Verb]]="carry",Log[[#This Row],[Verb]]="redo"),IF(Log[[#This Row],[Arg]]="",Log[[#This Row],[Sprint]],N(Log[[#This Row],[Arg]])),"")</f>
      </c>
      <c r="J1581" s="17">
        <f>IF(Log[[#This Row],[Verb]]="block",1,IF(OR(Log[[#This Row],[Verb]]="unblock",Log[[#This Row],[Verb]]="done",Log[[#This Row],[Verb]]="drop",Log[[#This Row],[Verb]]="punt",Log[[#This Row],[Verb]]="pass"),0,""))</f>
      </c>
      <c r="K1581" s="17">
        <f>IF(Log[[#This Row],[ID]]="",0,IFERROR(INDEX(Items[Pts],MATCH(Log[[#This Row],[ID]],Items[ID],0))*1,0))</f>
      </c>
      <c r="L1581" s="17">
        <f>IF(Log[[#This Row],[ID]]="","",IFERROR(INDEX(Items[Cur team],MATCH(Log[[#This Row],[ID]],Items[ID],0))&amp;"",""))</f>
      </c>
      <c r="M1581" s="17">
        <f>IF(OR(Log[[#This Row],[Verb]]="done",Log[[#This Row],[Verb]]="punt",Log[[#This Row],[Verb]]="drop",Log[[#This Row],[Verb]]="pass"),Log[[#This Row],[Pts]],0)</f>
      </c>
    </row>
    <row r="1582">
      <c r="A1582" s="11">
        <v>46244</v>
      </c>
      <c r="B1582" t="s">
        <v>822</v>
      </c>
      <c r="C1582" t="s">
        <v>41</v>
      </c>
      <c r="F1582" s="17">
        <f>IF(Log[[#This Row],[ID]]="","",IF(ISNA(MATCH(Log[[#This Row],[ID]],Items[ID],0)),"unknown ID",IF(ISNA(MATCH(Log[[#This Row],[Verb]],VerbList,0)),"unknown verb",IF(Log[[#This Row],[Date]]="","no date",""))))</f>
      </c>
      <c r="G1582" s="17">
        <f>IF(Log[[#This Row],[ID]]="","",IFERROR(VLOOKUP(Log[[#This Row],[Verb]],Verbs,3,FALSE)&amp;"",""))</f>
      </c>
      <c r="H1582" s="17">
        <f>IF(Log[[#This Row],[Date]]="","",INT((Log[[#This Row],[Date]]-Sprint1)/SprintDays)+1)</f>
      </c>
      <c r="I1582" s="17">
        <f>IF(OR(Log[[#This Row],[Verb]]="commit",Log[[#This Row],[Verb]]="carry",Log[[#This Row],[Verb]]="redo"),IF(Log[[#This Row],[Arg]]="",Log[[#This Row],[Sprint]],N(Log[[#This Row],[Arg]])),"")</f>
      </c>
      <c r="J1582" s="17">
        <f>IF(Log[[#This Row],[Verb]]="block",1,IF(OR(Log[[#This Row],[Verb]]="unblock",Log[[#This Row],[Verb]]="done",Log[[#This Row],[Verb]]="drop",Log[[#This Row],[Verb]]="punt",Log[[#This Row],[Verb]]="pass"),0,""))</f>
      </c>
      <c r="K1582" s="17">
        <f>IF(Log[[#This Row],[ID]]="",0,IFERROR(INDEX(Items[Pts],MATCH(Log[[#This Row],[ID]],Items[ID],0))*1,0))</f>
      </c>
      <c r="L1582" s="17">
        <f>IF(Log[[#This Row],[ID]]="","",IFERROR(INDEX(Items[Cur team],MATCH(Log[[#This Row],[ID]],Items[ID],0))&amp;"",""))</f>
      </c>
      <c r="M1582" s="17">
        <f>IF(OR(Log[[#This Row],[Verb]]="done",Log[[#This Row],[Verb]]="punt",Log[[#This Row],[Verb]]="drop",Log[[#This Row],[Verb]]="pass"),Log[[#This Row],[Pts]],0)</f>
      </c>
    </row>
    <row r="1583">
      <c r="A1583" s="11">
        <v>46244</v>
      </c>
      <c r="B1583" t="s">
        <v>823</v>
      </c>
      <c r="C1583" t="s">
        <v>41</v>
      </c>
      <c r="F1583" s="17">
        <f>IF(Log[[#This Row],[ID]]="","",IF(ISNA(MATCH(Log[[#This Row],[ID]],Items[ID],0)),"unknown ID",IF(ISNA(MATCH(Log[[#This Row],[Verb]],VerbList,0)),"unknown verb",IF(Log[[#This Row],[Date]]="","no date",""))))</f>
      </c>
      <c r="G1583" s="17">
        <f>IF(Log[[#This Row],[ID]]="","",IFERROR(VLOOKUP(Log[[#This Row],[Verb]],Verbs,3,FALSE)&amp;"",""))</f>
      </c>
      <c r="H1583" s="17">
        <f>IF(Log[[#This Row],[Date]]="","",INT((Log[[#This Row],[Date]]-Sprint1)/SprintDays)+1)</f>
      </c>
      <c r="I1583" s="17">
        <f>IF(OR(Log[[#This Row],[Verb]]="commit",Log[[#This Row],[Verb]]="carry",Log[[#This Row],[Verb]]="redo"),IF(Log[[#This Row],[Arg]]="",Log[[#This Row],[Sprint]],N(Log[[#This Row],[Arg]])),"")</f>
      </c>
      <c r="J1583" s="17">
        <f>IF(Log[[#This Row],[Verb]]="block",1,IF(OR(Log[[#This Row],[Verb]]="unblock",Log[[#This Row],[Verb]]="done",Log[[#This Row],[Verb]]="drop",Log[[#This Row],[Verb]]="punt",Log[[#This Row],[Verb]]="pass"),0,""))</f>
      </c>
      <c r="K1583" s="17">
        <f>IF(Log[[#This Row],[ID]]="",0,IFERROR(INDEX(Items[Pts],MATCH(Log[[#This Row],[ID]],Items[ID],0))*1,0))</f>
      </c>
      <c r="L1583" s="17">
        <f>IF(Log[[#This Row],[ID]]="","",IFERROR(INDEX(Items[Cur team],MATCH(Log[[#This Row],[ID]],Items[ID],0))&amp;"",""))</f>
      </c>
      <c r="M1583" s="17">
        <f>IF(OR(Log[[#This Row],[Verb]]="done",Log[[#This Row],[Verb]]="punt",Log[[#This Row],[Verb]]="drop",Log[[#This Row],[Verb]]="pass"),Log[[#This Row],[Pts]],0)</f>
      </c>
    </row>
    <row r="1584">
      <c r="A1584" s="11">
        <v>46244</v>
      </c>
      <c r="B1584" t="s">
        <v>824</v>
      </c>
      <c r="C1584" t="s">
        <v>41</v>
      </c>
      <c r="F1584" s="17">
        <f>IF(Log[[#This Row],[ID]]="","",IF(ISNA(MATCH(Log[[#This Row],[ID]],Items[ID],0)),"unknown ID",IF(ISNA(MATCH(Log[[#This Row],[Verb]],VerbList,0)),"unknown verb",IF(Log[[#This Row],[Date]]="","no date",""))))</f>
      </c>
      <c r="G1584" s="17">
        <f>IF(Log[[#This Row],[ID]]="","",IFERROR(VLOOKUP(Log[[#This Row],[Verb]],Verbs,3,FALSE)&amp;"",""))</f>
      </c>
      <c r="H1584" s="17">
        <f>IF(Log[[#This Row],[Date]]="","",INT((Log[[#This Row],[Date]]-Sprint1)/SprintDays)+1)</f>
      </c>
      <c r="I1584" s="17">
        <f>IF(OR(Log[[#This Row],[Verb]]="commit",Log[[#This Row],[Verb]]="carry",Log[[#This Row],[Verb]]="redo"),IF(Log[[#This Row],[Arg]]="",Log[[#This Row],[Sprint]],N(Log[[#This Row],[Arg]])),"")</f>
      </c>
      <c r="J1584" s="17">
        <f>IF(Log[[#This Row],[Verb]]="block",1,IF(OR(Log[[#This Row],[Verb]]="unblock",Log[[#This Row],[Verb]]="done",Log[[#This Row],[Verb]]="drop",Log[[#This Row],[Verb]]="punt",Log[[#This Row],[Verb]]="pass"),0,""))</f>
      </c>
      <c r="K1584" s="17">
        <f>IF(Log[[#This Row],[ID]]="",0,IFERROR(INDEX(Items[Pts],MATCH(Log[[#This Row],[ID]],Items[ID],0))*1,0))</f>
      </c>
      <c r="L1584" s="17">
        <f>IF(Log[[#This Row],[ID]]="","",IFERROR(INDEX(Items[Cur team],MATCH(Log[[#This Row],[ID]],Items[ID],0))&amp;"",""))</f>
      </c>
      <c r="M1584" s="17">
        <f>IF(OR(Log[[#This Row],[Verb]]="done",Log[[#This Row],[Verb]]="punt",Log[[#This Row],[Verb]]="drop",Log[[#This Row],[Verb]]="pass"),Log[[#This Row],[Pts]],0)</f>
      </c>
    </row>
    <row r="1585">
      <c r="A1585" s="11">
        <v>46244</v>
      </c>
      <c r="B1585" t="s">
        <v>825</v>
      </c>
      <c r="C1585" t="s">
        <v>41</v>
      </c>
      <c r="F1585" s="17">
        <f>IF(Log[[#This Row],[ID]]="","",IF(ISNA(MATCH(Log[[#This Row],[ID]],Items[ID],0)),"unknown ID",IF(ISNA(MATCH(Log[[#This Row],[Verb]],VerbList,0)),"unknown verb",IF(Log[[#This Row],[Date]]="","no date",""))))</f>
      </c>
      <c r="G1585" s="17">
        <f>IF(Log[[#This Row],[ID]]="","",IFERROR(VLOOKUP(Log[[#This Row],[Verb]],Verbs,3,FALSE)&amp;"",""))</f>
      </c>
      <c r="H1585" s="17">
        <f>IF(Log[[#This Row],[Date]]="","",INT((Log[[#This Row],[Date]]-Sprint1)/SprintDays)+1)</f>
      </c>
      <c r="I1585" s="17">
        <f>IF(OR(Log[[#This Row],[Verb]]="commit",Log[[#This Row],[Verb]]="carry",Log[[#This Row],[Verb]]="redo"),IF(Log[[#This Row],[Arg]]="",Log[[#This Row],[Sprint]],N(Log[[#This Row],[Arg]])),"")</f>
      </c>
      <c r="J1585" s="17">
        <f>IF(Log[[#This Row],[Verb]]="block",1,IF(OR(Log[[#This Row],[Verb]]="unblock",Log[[#This Row],[Verb]]="done",Log[[#This Row],[Verb]]="drop",Log[[#This Row],[Verb]]="punt",Log[[#This Row],[Verb]]="pass"),0,""))</f>
      </c>
      <c r="K1585" s="17">
        <f>IF(Log[[#This Row],[ID]]="",0,IFERROR(INDEX(Items[Pts],MATCH(Log[[#This Row],[ID]],Items[ID],0))*1,0))</f>
      </c>
      <c r="L1585" s="17">
        <f>IF(Log[[#This Row],[ID]]="","",IFERROR(INDEX(Items[Cur team],MATCH(Log[[#This Row],[ID]],Items[ID],0))&amp;"",""))</f>
      </c>
      <c r="M1585" s="17">
        <f>IF(OR(Log[[#This Row],[Verb]]="done",Log[[#This Row],[Verb]]="punt",Log[[#This Row],[Verb]]="drop",Log[[#This Row],[Verb]]="pass"),Log[[#This Row],[Pts]],0)</f>
      </c>
    </row>
    <row r="1586">
      <c r="A1586" s="11">
        <v>46244</v>
      </c>
      <c r="B1586" t="s">
        <v>826</v>
      </c>
      <c r="C1586" t="s">
        <v>41</v>
      </c>
      <c r="F1586" s="17">
        <f>IF(Log[[#This Row],[ID]]="","",IF(ISNA(MATCH(Log[[#This Row],[ID]],Items[ID],0)),"unknown ID",IF(ISNA(MATCH(Log[[#This Row],[Verb]],VerbList,0)),"unknown verb",IF(Log[[#This Row],[Date]]="","no date",""))))</f>
      </c>
      <c r="G1586" s="17">
        <f>IF(Log[[#This Row],[ID]]="","",IFERROR(VLOOKUP(Log[[#This Row],[Verb]],Verbs,3,FALSE)&amp;"",""))</f>
      </c>
      <c r="H1586" s="17">
        <f>IF(Log[[#This Row],[Date]]="","",INT((Log[[#This Row],[Date]]-Sprint1)/SprintDays)+1)</f>
      </c>
      <c r="I1586" s="17">
        <f>IF(OR(Log[[#This Row],[Verb]]="commit",Log[[#This Row],[Verb]]="carry",Log[[#This Row],[Verb]]="redo"),IF(Log[[#This Row],[Arg]]="",Log[[#This Row],[Sprint]],N(Log[[#This Row],[Arg]])),"")</f>
      </c>
      <c r="J1586" s="17">
        <f>IF(Log[[#This Row],[Verb]]="block",1,IF(OR(Log[[#This Row],[Verb]]="unblock",Log[[#This Row],[Verb]]="done",Log[[#This Row],[Verb]]="drop",Log[[#This Row],[Verb]]="punt",Log[[#This Row],[Verb]]="pass"),0,""))</f>
      </c>
      <c r="K1586" s="17">
        <f>IF(Log[[#This Row],[ID]]="",0,IFERROR(INDEX(Items[Pts],MATCH(Log[[#This Row],[ID]],Items[ID],0))*1,0))</f>
      </c>
      <c r="L1586" s="17">
        <f>IF(Log[[#This Row],[ID]]="","",IFERROR(INDEX(Items[Cur team],MATCH(Log[[#This Row],[ID]],Items[ID],0))&amp;"",""))</f>
      </c>
      <c r="M1586" s="17">
        <f>IF(OR(Log[[#This Row],[Verb]]="done",Log[[#This Row],[Verb]]="punt",Log[[#This Row],[Verb]]="drop",Log[[#This Row],[Verb]]="pass"),Log[[#This Row],[Pts]],0)</f>
      </c>
    </row>
    <row r="1587">
      <c r="A1587" s="11">
        <v>46244</v>
      </c>
      <c r="B1587" t="s">
        <v>827</v>
      </c>
      <c r="C1587" t="s">
        <v>41</v>
      </c>
      <c r="F1587" s="17">
        <f>IF(Log[[#This Row],[ID]]="","",IF(ISNA(MATCH(Log[[#This Row],[ID]],Items[ID],0)),"unknown ID",IF(ISNA(MATCH(Log[[#This Row],[Verb]],VerbList,0)),"unknown verb",IF(Log[[#This Row],[Date]]="","no date",""))))</f>
      </c>
      <c r="G1587" s="17">
        <f>IF(Log[[#This Row],[ID]]="","",IFERROR(VLOOKUP(Log[[#This Row],[Verb]],Verbs,3,FALSE)&amp;"",""))</f>
      </c>
      <c r="H1587" s="17">
        <f>IF(Log[[#This Row],[Date]]="","",INT((Log[[#This Row],[Date]]-Sprint1)/SprintDays)+1)</f>
      </c>
      <c r="I1587" s="17">
        <f>IF(OR(Log[[#This Row],[Verb]]="commit",Log[[#This Row],[Verb]]="carry",Log[[#This Row],[Verb]]="redo"),IF(Log[[#This Row],[Arg]]="",Log[[#This Row],[Sprint]],N(Log[[#This Row],[Arg]])),"")</f>
      </c>
      <c r="J1587" s="17">
        <f>IF(Log[[#This Row],[Verb]]="block",1,IF(OR(Log[[#This Row],[Verb]]="unblock",Log[[#This Row],[Verb]]="done",Log[[#This Row],[Verb]]="drop",Log[[#This Row],[Verb]]="punt",Log[[#This Row],[Verb]]="pass"),0,""))</f>
      </c>
      <c r="K1587" s="17">
        <f>IF(Log[[#This Row],[ID]]="",0,IFERROR(INDEX(Items[Pts],MATCH(Log[[#This Row],[ID]],Items[ID],0))*1,0))</f>
      </c>
      <c r="L1587" s="17">
        <f>IF(Log[[#This Row],[ID]]="","",IFERROR(INDEX(Items[Cur team],MATCH(Log[[#This Row],[ID]],Items[ID],0))&amp;"",""))</f>
      </c>
      <c r="M1587" s="17">
        <f>IF(OR(Log[[#This Row],[Verb]]="done",Log[[#This Row],[Verb]]="punt",Log[[#This Row],[Verb]]="drop",Log[[#This Row],[Verb]]="pass"),Log[[#This Row],[Pts]],0)</f>
      </c>
    </row>
    <row r="1588">
      <c r="A1588" s="11">
        <v>46244</v>
      </c>
      <c r="B1588" t="s">
        <v>828</v>
      </c>
      <c r="C1588" t="s">
        <v>41</v>
      </c>
      <c r="F1588" s="17">
        <f>IF(Log[[#This Row],[ID]]="","",IF(ISNA(MATCH(Log[[#This Row],[ID]],Items[ID],0)),"unknown ID",IF(ISNA(MATCH(Log[[#This Row],[Verb]],VerbList,0)),"unknown verb",IF(Log[[#This Row],[Date]]="","no date",""))))</f>
      </c>
      <c r="G1588" s="17">
        <f>IF(Log[[#This Row],[ID]]="","",IFERROR(VLOOKUP(Log[[#This Row],[Verb]],Verbs,3,FALSE)&amp;"",""))</f>
      </c>
      <c r="H1588" s="17">
        <f>IF(Log[[#This Row],[Date]]="","",INT((Log[[#This Row],[Date]]-Sprint1)/SprintDays)+1)</f>
      </c>
      <c r="I1588" s="17">
        <f>IF(OR(Log[[#This Row],[Verb]]="commit",Log[[#This Row],[Verb]]="carry",Log[[#This Row],[Verb]]="redo"),IF(Log[[#This Row],[Arg]]="",Log[[#This Row],[Sprint]],N(Log[[#This Row],[Arg]])),"")</f>
      </c>
      <c r="J1588" s="17">
        <f>IF(Log[[#This Row],[Verb]]="block",1,IF(OR(Log[[#This Row],[Verb]]="unblock",Log[[#This Row],[Verb]]="done",Log[[#This Row],[Verb]]="drop",Log[[#This Row],[Verb]]="punt",Log[[#This Row],[Verb]]="pass"),0,""))</f>
      </c>
      <c r="K1588" s="17">
        <f>IF(Log[[#This Row],[ID]]="",0,IFERROR(INDEX(Items[Pts],MATCH(Log[[#This Row],[ID]],Items[ID],0))*1,0))</f>
      </c>
      <c r="L1588" s="17">
        <f>IF(Log[[#This Row],[ID]]="","",IFERROR(INDEX(Items[Cur team],MATCH(Log[[#This Row],[ID]],Items[ID],0))&amp;"",""))</f>
      </c>
      <c r="M1588" s="17">
        <f>IF(OR(Log[[#This Row],[Verb]]="done",Log[[#This Row],[Verb]]="punt",Log[[#This Row],[Verb]]="drop",Log[[#This Row],[Verb]]="pass"),Log[[#This Row],[Pts]],0)</f>
      </c>
    </row>
    <row r="1589">
      <c r="A1589" s="11">
        <v>46244</v>
      </c>
      <c r="B1589" t="s">
        <v>829</v>
      </c>
      <c r="C1589" t="s">
        <v>41</v>
      </c>
      <c r="F1589" s="17">
        <f>IF(Log[[#This Row],[ID]]="","",IF(ISNA(MATCH(Log[[#This Row],[ID]],Items[ID],0)),"unknown ID",IF(ISNA(MATCH(Log[[#This Row],[Verb]],VerbList,0)),"unknown verb",IF(Log[[#This Row],[Date]]="","no date",""))))</f>
      </c>
      <c r="G1589" s="17">
        <f>IF(Log[[#This Row],[ID]]="","",IFERROR(VLOOKUP(Log[[#This Row],[Verb]],Verbs,3,FALSE)&amp;"",""))</f>
      </c>
      <c r="H1589" s="17">
        <f>IF(Log[[#This Row],[Date]]="","",INT((Log[[#This Row],[Date]]-Sprint1)/SprintDays)+1)</f>
      </c>
      <c r="I1589" s="17">
        <f>IF(OR(Log[[#This Row],[Verb]]="commit",Log[[#This Row],[Verb]]="carry",Log[[#This Row],[Verb]]="redo"),IF(Log[[#This Row],[Arg]]="",Log[[#This Row],[Sprint]],N(Log[[#This Row],[Arg]])),"")</f>
      </c>
      <c r="J1589" s="17">
        <f>IF(Log[[#This Row],[Verb]]="block",1,IF(OR(Log[[#This Row],[Verb]]="unblock",Log[[#This Row],[Verb]]="done",Log[[#This Row],[Verb]]="drop",Log[[#This Row],[Verb]]="punt",Log[[#This Row],[Verb]]="pass"),0,""))</f>
      </c>
      <c r="K1589" s="17">
        <f>IF(Log[[#This Row],[ID]]="",0,IFERROR(INDEX(Items[Pts],MATCH(Log[[#This Row],[ID]],Items[ID],0))*1,0))</f>
      </c>
      <c r="L1589" s="17">
        <f>IF(Log[[#This Row],[ID]]="","",IFERROR(INDEX(Items[Cur team],MATCH(Log[[#This Row],[ID]],Items[ID],0))&amp;"",""))</f>
      </c>
      <c r="M1589" s="17">
        <f>IF(OR(Log[[#This Row],[Verb]]="done",Log[[#This Row],[Verb]]="punt",Log[[#This Row],[Verb]]="drop",Log[[#This Row],[Verb]]="pass"),Log[[#This Row],[Pts]],0)</f>
      </c>
    </row>
    <row r="1590">
      <c r="A1590" s="11">
        <v>46244</v>
      </c>
      <c r="B1590" t="s">
        <v>830</v>
      </c>
      <c r="C1590" t="s">
        <v>41</v>
      </c>
      <c r="F1590" s="17">
        <f>IF(Log[[#This Row],[ID]]="","",IF(ISNA(MATCH(Log[[#This Row],[ID]],Items[ID],0)),"unknown ID",IF(ISNA(MATCH(Log[[#This Row],[Verb]],VerbList,0)),"unknown verb",IF(Log[[#This Row],[Date]]="","no date",""))))</f>
      </c>
      <c r="G1590" s="17">
        <f>IF(Log[[#This Row],[ID]]="","",IFERROR(VLOOKUP(Log[[#This Row],[Verb]],Verbs,3,FALSE)&amp;"",""))</f>
      </c>
      <c r="H1590" s="17">
        <f>IF(Log[[#This Row],[Date]]="","",INT((Log[[#This Row],[Date]]-Sprint1)/SprintDays)+1)</f>
      </c>
      <c r="I1590" s="17">
        <f>IF(OR(Log[[#This Row],[Verb]]="commit",Log[[#This Row],[Verb]]="carry",Log[[#This Row],[Verb]]="redo"),IF(Log[[#This Row],[Arg]]="",Log[[#This Row],[Sprint]],N(Log[[#This Row],[Arg]])),"")</f>
      </c>
      <c r="J1590" s="17">
        <f>IF(Log[[#This Row],[Verb]]="block",1,IF(OR(Log[[#This Row],[Verb]]="unblock",Log[[#This Row],[Verb]]="done",Log[[#This Row],[Verb]]="drop",Log[[#This Row],[Verb]]="punt",Log[[#This Row],[Verb]]="pass"),0,""))</f>
      </c>
      <c r="K1590" s="17">
        <f>IF(Log[[#This Row],[ID]]="",0,IFERROR(INDEX(Items[Pts],MATCH(Log[[#This Row],[ID]],Items[ID],0))*1,0))</f>
      </c>
      <c r="L1590" s="17">
        <f>IF(Log[[#This Row],[ID]]="","",IFERROR(INDEX(Items[Cur team],MATCH(Log[[#This Row],[ID]],Items[ID],0))&amp;"",""))</f>
      </c>
      <c r="M1590" s="17">
        <f>IF(OR(Log[[#This Row],[Verb]]="done",Log[[#This Row],[Verb]]="punt",Log[[#This Row],[Verb]]="drop",Log[[#This Row],[Verb]]="pass"),Log[[#This Row],[Pts]],0)</f>
      </c>
    </row>
    <row r="1591">
      <c r="A1591" s="11">
        <v>46244</v>
      </c>
      <c r="B1591" t="s">
        <v>831</v>
      </c>
      <c r="C1591" t="s">
        <v>41</v>
      </c>
      <c r="F1591" s="17">
        <f>IF(Log[[#This Row],[ID]]="","",IF(ISNA(MATCH(Log[[#This Row],[ID]],Items[ID],0)),"unknown ID",IF(ISNA(MATCH(Log[[#This Row],[Verb]],VerbList,0)),"unknown verb",IF(Log[[#This Row],[Date]]="","no date",""))))</f>
      </c>
      <c r="G1591" s="17">
        <f>IF(Log[[#This Row],[ID]]="","",IFERROR(VLOOKUP(Log[[#This Row],[Verb]],Verbs,3,FALSE)&amp;"",""))</f>
      </c>
      <c r="H1591" s="17">
        <f>IF(Log[[#This Row],[Date]]="","",INT((Log[[#This Row],[Date]]-Sprint1)/SprintDays)+1)</f>
      </c>
      <c r="I1591" s="17">
        <f>IF(OR(Log[[#This Row],[Verb]]="commit",Log[[#This Row],[Verb]]="carry",Log[[#This Row],[Verb]]="redo"),IF(Log[[#This Row],[Arg]]="",Log[[#This Row],[Sprint]],N(Log[[#This Row],[Arg]])),"")</f>
      </c>
      <c r="J1591" s="17">
        <f>IF(Log[[#This Row],[Verb]]="block",1,IF(OR(Log[[#This Row],[Verb]]="unblock",Log[[#This Row],[Verb]]="done",Log[[#This Row],[Verb]]="drop",Log[[#This Row],[Verb]]="punt",Log[[#This Row],[Verb]]="pass"),0,""))</f>
      </c>
      <c r="K1591" s="17">
        <f>IF(Log[[#This Row],[ID]]="",0,IFERROR(INDEX(Items[Pts],MATCH(Log[[#This Row],[ID]],Items[ID],0))*1,0))</f>
      </c>
      <c r="L1591" s="17">
        <f>IF(Log[[#This Row],[ID]]="","",IFERROR(INDEX(Items[Cur team],MATCH(Log[[#This Row],[ID]],Items[ID],0))&amp;"",""))</f>
      </c>
      <c r="M1591" s="17">
        <f>IF(OR(Log[[#This Row],[Verb]]="done",Log[[#This Row],[Verb]]="punt",Log[[#This Row],[Verb]]="drop",Log[[#This Row],[Verb]]="pass"),Log[[#This Row],[Pts]],0)</f>
      </c>
    </row>
    <row r="1592">
      <c r="A1592" s="11">
        <v>46244</v>
      </c>
      <c r="B1592" t="s">
        <v>832</v>
      </c>
      <c r="C1592" t="s">
        <v>41</v>
      </c>
      <c r="F1592" s="17">
        <f>IF(Log[[#This Row],[ID]]="","",IF(ISNA(MATCH(Log[[#This Row],[ID]],Items[ID],0)),"unknown ID",IF(ISNA(MATCH(Log[[#This Row],[Verb]],VerbList,0)),"unknown verb",IF(Log[[#This Row],[Date]]="","no date",""))))</f>
      </c>
      <c r="G1592" s="17">
        <f>IF(Log[[#This Row],[ID]]="","",IFERROR(VLOOKUP(Log[[#This Row],[Verb]],Verbs,3,FALSE)&amp;"",""))</f>
      </c>
      <c r="H1592" s="17">
        <f>IF(Log[[#This Row],[Date]]="","",INT((Log[[#This Row],[Date]]-Sprint1)/SprintDays)+1)</f>
      </c>
      <c r="I1592" s="17">
        <f>IF(OR(Log[[#This Row],[Verb]]="commit",Log[[#This Row],[Verb]]="carry",Log[[#This Row],[Verb]]="redo"),IF(Log[[#This Row],[Arg]]="",Log[[#This Row],[Sprint]],N(Log[[#This Row],[Arg]])),"")</f>
      </c>
      <c r="J1592" s="17">
        <f>IF(Log[[#This Row],[Verb]]="block",1,IF(OR(Log[[#This Row],[Verb]]="unblock",Log[[#This Row],[Verb]]="done",Log[[#This Row],[Verb]]="drop",Log[[#This Row],[Verb]]="punt",Log[[#This Row],[Verb]]="pass"),0,""))</f>
      </c>
      <c r="K1592" s="17">
        <f>IF(Log[[#This Row],[ID]]="",0,IFERROR(INDEX(Items[Pts],MATCH(Log[[#This Row],[ID]],Items[ID],0))*1,0))</f>
      </c>
      <c r="L1592" s="17">
        <f>IF(Log[[#This Row],[ID]]="","",IFERROR(INDEX(Items[Cur team],MATCH(Log[[#This Row],[ID]],Items[ID],0))&amp;"",""))</f>
      </c>
      <c r="M1592" s="17">
        <f>IF(OR(Log[[#This Row],[Verb]]="done",Log[[#This Row],[Verb]]="punt",Log[[#This Row],[Verb]]="drop",Log[[#This Row],[Verb]]="pass"),Log[[#This Row],[Pts]],0)</f>
      </c>
    </row>
    <row r="1593">
      <c r="A1593" s="11">
        <v>46244</v>
      </c>
      <c r="B1593" t="s">
        <v>833</v>
      </c>
      <c r="C1593" t="s">
        <v>41</v>
      </c>
      <c r="F1593" s="17">
        <f>IF(Log[[#This Row],[ID]]="","",IF(ISNA(MATCH(Log[[#This Row],[ID]],Items[ID],0)),"unknown ID",IF(ISNA(MATCH(Log[[#This Row],[Verb]],VerbList,0)),"unknown verb",IF(Log[[#This Row],[Date]]="","no date",""))))</f>
      </c>
      <c r="G1593" s="17">
        <f>IF(Log[[#This Row],[ID]]="","",IFERROR(VLOOKUP(Log[[#This Row],[Verb]],Verbs,3,FALSE)&amp;"",""))</f>
      </c>
      <c r="H1593" s="17">
        <f>IF(Log[[#This Row],[Date]]="","",INT((Log[[#This Row],[Date]]-Sprint1)/SprintDays)+1)</f>
      </c>
      <c r="I1593" s="17">
        <f>IF(OR(Log[[#This Row],[Verb]]="commit",Log[[#This Row],[Verb]]="carry",Log[[#This Row],[Verb]]="redo"),IF(Log[[#This Row],[Arg]]="",Log[[#This Row],[Sprint]],N(Log[[#This Row],[Arg]])),"")</f>
      </c>
      <c r="J1593" s="17">
        <f>IF(Log[[#This Row],[Verb]]="block",1,IF(OR(Log[[#This Row],[Verb]]="unblock",Log[[#This Row],[Verb]]="done",Log[[#This Row],[Verb]]="drop",Log[[#This Row],[Verb]]="punt",Log[[#This Row],[Verb]]="pass"),0,""))</f>
      </c>
      <c r="K1593" s="17">
        <f>IF(Log[[#This Row],[ID]]="",0,IFERROR(INDEX(Items[Pts],MATCH(Log[[#This Row],[ID]],Items[ID],0))*1,0))</f>
      </c>
      <c r="L1593" s="17">
        <f>IF(Log[[#This Row],[ID]]="","",IFERROR(INDEX(Items[Cur team],MATCH(Log[[#This Row],[ID]],Items[ID],0))&amp;"",""))</f>
      </c>
      <c r="M1593" s="17">
        <f>IF(OR(Log[[#This Row],[Verb]]="done",Log[[#This Row],[Verb]]="punt",Log[[#This Row],[Verb]]="drop",Log[[#This Row],[Verb]]="pass"),Log[[#This Row],[Pts]],0)</f>
      </c>
    </row>
    <row r="1594">
      <c r="A1594" s="11">
        <v>46244</v>
      </c>
      <c r="B1594" t="s">
        <v>834</v>
      </c>
      <c r="C1594" t="s">
        <v>41</v>
      </c>
      <c r="F1594" s="17">
        <f>IF(Log[[#This Row],[ID]]="","",IF(ISNA(MATCH(Log[[#This Row],[ID]],Items[ID],0)),"unknown ID",IF(ISNA(MATCH(Log[[#This Row],[Verb]],VerbList,0)),"unknown verb",IF(Log[[#This Row],[Date]]="","no date",""))))</f>
      </c>
      <c r="G1594" s="17">
        <f>IF(Log[[#This Row],[ID]]="","",IFERROR(VLOOKUP(Log[[#This Row],[Verb]],Verbs,3,FALSE)&amp;"",""))</f>
      </c>
      <c r="H1594" s="17">
        <f>IF(Log[[#This Row],[Date]]="","",INT((Log[[#This Row],[Date]]-Sprint1)/SprintDays)+1)</f>
      </c>
      <c r="I1594" s="17">
        <f>IF(OR(Log[[#This Row],[Verb]]="commit",Log[[#This Row],[Verb]]="carry",Log[[#This Row],[Verb]]="redo"),IF(Log[[#This Row],[Arg]]="",Log[[#This Row],[Sprint]],N(Log[[#This Row],[Arg]])),"")</f>
      </c>
      <c r="J1594" s="17">
        <f>IF(Log[[#This Row],[Verb]]="block",1,IF(OR(Log[[#This Row],[Verb]]="unblock",Log[[#This Row],[Verb]]="done",Log[[#This Row],[Verb]]="drop",Log[[#This Row],[Verb]]="punt",Log[[#This Row],[Verb]]="pass"),0,""))</f>
      </c>
      <c r="K1594" s="17">
        <f>IF(Log[[#This Row],[ID]]="",0,IFERROR(INDEX(Items[Pts],MATCH(Log[[#This Row],[ID]],Items[ID],0))*1,0))</f>
      </c>
      <c r="L1594" s="17">
        <f>IF(Log[[#This Row],[ID]]="","",IFERROR(INDEX(Items[Cur team],MATCH(Log[[#This Row],[ID]],Items[ID],0))&amp;"",""))</f>
      </c>
      <c r="M1594" s="17">
        <f>IF(OR(Log[[#This Row],[Verb]]="done",Log[[#This Row],[Verb]]="punt",Log[[#This Row],[Verb]]="drop",Log[[#This Row],[Verb]]="pass"),Log[[#This Row],[Pts]],0)</f>
      </c>
    </row>
    <row r="1595">
      <c r="A1595" s="11">
        <v>46244</v>
      </c>
      <c r="B1595" t="s">
        <v>835</v>
      </c>
      <c r="C1595" t="s">
        <v>41</v>
      </c>
      <c r="F1595" s="17">
        <f>IF(Log[[#This Row],[ID]]="","",IF(ISNA(MATCH(Log[[#This Row],[ID]],Items[ID],0)),"unknown ID",IF(ISNA(MATCH(Log[[#This Row],[Verb]],VerbList,0)),"unknown verb",IF(Log[[#This Row],[Date]]="","no date",""))))</f>
      </c>
      <c r="G1595" s="17">
        <f>IF(Log[[#This Row],[ID]]="","",IFERROR(VLOOKUP(Log[[#This Row],[Verb]],Verbs,3,FALSE)&amp;"",""))</f>
      </c>
      <c r="H1595" s="17">
        <f>IF(Log[[#This Row],[Date]]="","",INT((Log[[#This Row],[Date]]-Sprint1)/SprintDays)+1)</f>
      </c>
      <c r="I1595" s="17">
        <f>IF(OR(Log[[#This Row],[Verb]]="commit",Log[[#This Row],[Verb]]="carry",Log[[#This Row],[Verb]]="redo"),IF(Log[[#This Row],[Arg]]="",Log[[#This Row],[Sprint]],N(Log[[#This Row],[Arg]])),"")</f>
      </c>
      <c r="J1595" s="17">
        <f>IF(Log[[#This Row],[Verb]]="block",1,IF(OR(Log[[#This Row],[Verb]]="unblock",Log[[#This Row],[Verb]]="done",Log[[#This Row],[Verb]]="drop",Log[[#This Row],[Verb]]="punt",Log[[#This Row],[Verb]]="pass"),0,""))</f>
      </c>
      <c r="K1595" s="17">
        <f>IF(Log[[#This Row],[ID]]="",0,IFERROR(INDEX(Items[Pts],MATCH(Log[[#This Row],[ID]],Items[ID],0))*1,0))</f>
      </c>
      <c r="L1595" s="17">
        <f>IF(Log[[#This Row],[ID]]="","",IFERROR(INDEX(Items[Cur team],MATCH(Log[[#This Row],[ID]],Items[ID],0))&amp;"",""))</f>
      </c>
      <c r="M1595" s="17">
        <f>IF(OR(Log[[#This Row],[Verb]]="done",Log[[#This Row],[Verb]]="punt",Log[[#This Row],[Verb]]="drop",Log[[#This Row],[Verb]]="pass"),Log[[#This Row],[Pts]],0)</f>
      </c>
    </row>
    <row r="1596">
      <c r="A1596" s="11">
        <v>46244</v>
      </c>
      <c r="B1596" t="s">
        <v>724</v>
      </c>
      <c r="C1596" t="s">
        <v>38</v>
      </c>
      <c r="D1596">
        <v>50</v>
      </c>
      <c r="F1596" s="17">
        <f>IF(Log[[#This Row],[ID]]="","",IF(ISNA(MATCH(Log[[#This Row],[ID]],Items[ID],0)),"unknown ID",IF(ISNA(MATCH(Log[[#This Row],[Verb]],VerbList,0)),"unknown verb",IF(Log[[#This Row],[Date]]="","no date",""))))</f>
      </c>
      <c r="G1596" s="17">
        <f>IF(Log[[#This Row],[ID]]="","",IFERROR(VLOOKUP(Log[[#This Row],[Verb]],Verbs,3,FALSE)&amp;"",""))</f>
      </c>
      <c r="H1596" s="17">
        <f>IF(Log[[#This Row],[Date]]="","",INT((Log[[#This Row],[Date]]-Sprint1)/SprintDays)+1)</f>
      </c>
      <c r="I1596" s="17">
        <f>IF(OR(Log[[#This Row],[Verb]]="commit",Log[[#This Row],[Verb]]="carry",Log[[#This Row],[Verb]]="redo"),IF(Log[[#This Row],[Arg]]="",Log[[#This Row],[Sprint]],N(Log[[#This Row],[Arg]])),"")</f>
      </c>
      <c r="J1596" s="17">
        <f>IF(Log[[#This Row],[Verb]]="block",1,IF(OR(Log[[#This Row],[Verb]]="unblock",Log[[#This Row],[Verb]]="done",Log[[#This Row],[Verb]]="drop",Log[[#This Row],[Verb]]="punt",Log[[#This Row],[Verb]]="pass"),0,""))</f>
      </c>
      <c r="K1596" s="17">
        <f>IF(Log[[#This Row],[ID]]="",0,IFERROR(INDEX(Items[Pts],MATCH(Log[[#This Row],[ID]],Items[ID],0))*1,0))</f>
      </c>
      <c r="L1596" s="17">
        <f>IF(Log[[#This Row],[ID]]="","",IFERROR(INDEX(Items[Cur team],MATCH(Log[[#This Row],[ID]],Items[ID],0))&amp;"",""))</f>
      </c>
      <c r="M1596" s="17">
        <f>IF(OR(Log[[#This Row],[Verb]]="done",Log[[#This Row],[Verb]]="punt",Log[[#This Row],[Verb]]="drop",Log[[#This Row],[Verb]]="pass"),Log[[#This Row],[Pts]],0)</f>
      </c>
    </row>
    <row r="1597">
      <c r="A1597" s="11">
        <v>46244</v>
      </c>
      <c r="B1597" t="s">
        <v>836</v>
      </c>
      <c r="C1597" t="s">
        <v>41</v>
      </c>
      <c r="F1597" s="17">
        <f>IF(Log[[#This Row],[ID]]="","",IF(ISNA(MATCH(Log[[#This Row],[ID]],Items[ID],0)),"unknown ID",IF(ISNA(MATCH(Log[[#This Row],[Verb]],VerbList,0)),"unknown verb",IF(Log[[#This Row],[Date]]="","no date",""))))</f>
      </c>
      <c r="G1597" s="17">
        <f>IF(Log[[#This Row],[ID]]="","",IFERROR(VLOOKUP(Log[[#This Row],[Verb]],Verbs,3,FALSE)&amp;"",""))</f>
      </c>
      <c r="H1597" s="17">
        <f>IF(Log[[#This Row],[Date]]="","",INT((Log[[#This Row],[Date]]-Sprint1)/SprintDays)+1)</f>
      </c>
      <c r="I1597" s="17">
        <f>IF(OR(Log[[#This Row],[Verb]]="commit",Log[[#This Row],[Verb]]="carry",Log[[#This Row],[Verb]]="redo"),IF(Log[[#This Row],[Arg]]="",Log[[#This Row],[Sprint]],N(Log[[#This Row],[Arg]])),"")</f>
      </c>
      <c r="J1597" s="17">
        <f>IF(Log[[#This Row],[Verb]]="block",1,IF(OR(Log[[#This Row],[Verb]]="unblock",Log[[#This Row],[Verb]]="done",Log[[#This Row],[Verb]]="drop",Log[[#This Row],[Verb]]="punt",Log[[#This Row],[Verb]]="pass"),0,""))</f>
      </c>
      <c r="K1597" s="17">
        <f>IF(Log[[#This Row],[ID]]="",0,IFERROR(INDEX(Items[Pts],MATCH(Log[[#This Row],[ID]],Items[ID],0))*1,0))</f>
      </c>
      <c r="L1597" s="17">
        <f>IF(Log[[#This Row],[ID]]="","",IFERROR(INDEX(Items[Cur team],MATCH(Log[[#This Row],[ID]],Items[ID],0))&amp;"",""))</f>
      </c>
      <c r="M1597" s="17">
        <f>IF(OR(Log[[#This Row],[Verb]]="done",Log[[#This Row],[Verb]]="punt",Log[[#This Row],[Verb]]="drop",Log[[#This Row],[Verb]]="pass"),Log[[#This Row],[Pts]],0)</f>
      </c>
    </row>
    <row r="1598">
      <c r="A1598" s="11">
        <v>46244</v>
      </c>
      <c r="B1598" t="s">
        <v>837</v>
      </c>
      <c r="C1598" t="s">
        <v>41</v>
      </c>
      <c r="F1598" s="17">
        <f>IF(Log[[#This Row],[ID]]="","",IF(ISNA(MATCH(Log[[#This Row],[ID]],Items[ID],0)),"unknown ID",IF(ISNA(MATCH(Log[[#This Row],[Verb]],VerbList,0)),"unknown verb",IF(Log[[#This Row],[Date]]="","no date",""))))</f>
      </c>
      <c r="G1598" s="17">
        <f>IF(Log[[#This Row],[ID]]="","",IFERROR(VLOOKUP(Log[[#This Row],[Verb]],Verbs,3,FALSE)&amp;"",""))</f>
      </c>
      <c r="H1598" s="17">
        <f>IF(Log[[#This Row],[Date]]="","",INT((Log[[#This Row],[Date]]-Sprint1)/SprintDays)+1)</f>
      </c>
      <c r="I1598" s="17">
        <f>IF(OR(Log[[#This Row],[Verb]]="commit",Log[[#This Row],[Verb]]="carry",Log[[#This Row],[Verb]]="redo"),IF(Log[[#This Row],[Arg]]="",Log[[#This Row],[Sprint]],N(Log[[#This Row],[Arg]])),"")</f>
      </c>
      <c r="J1598" s="17">
        <f>IF(Log[[#This Row],[Verb]]="block",1,IF(OR(Log[[#This Row],[Verb]]="unblock",Log[[#This Row],[Verb]]="done",Log[[#This Row],[Verb]]="drop",Log[[#This Row],[Verb]]="punt",Log[[#This Row],[Verb]]="pass"),0,""))</f>
      </c>
      <c r="K1598" s="17">
        <f>IF(Log[[#This Row],[ID]]="",0,IFERROR(INDEX(Items[Pts],MATCH(Log[[#This Row],[ID]],Items[ID],0))*1,0))</f>
      </c>
      <c r="L1598" s="17">
        <f>IF(Log[[#This Row],[ID]]="","",IFERROR(INDEX(Items[Cur team],MATCH(Log[[#This Row],[ID]],Items[ID],0))&amp;"",""))</f>
      </c>
      <c r="M1598" s="17">
        <f>IF(OR(Log[[#This Row],[Verb]]="done",Log[[#This Row],[Verb]]="punt",Log[[#This Row],[Verb]]="drop",Log[[#This Row],[Verb]]="pass"),Log[[#This Row],[Pts]],0)</f>
      </c>
    </row>
    <row r="1599">
      <c r="A1599" s="11">
        <v>46244</v>
      </c>
      <c r="B1599" t="s">
        <v>838</v>
      </c>
      <c r="C1599" t="s">
        <v>41</v>
      </c>
      <c r="F1599" s="17">
        <f>IF(Log[[#This Row],[ID]]="","",IF(ISNA(MATCH(Log[[#This Row],[ID]],Items[ID],0)),"unknown ID",IF(ISNA(MATCH(Log[[#This Row],[Verb]],VerbList,0)),"unknown verb",IF(Log[[#This Row],[Date]]="","no date",""))))</f>
      </c>
      <c r="G1599" s="17">
        <f>IF(Log[[#This Row],[ID]]="","",IFERROR(VLOOKUP(Log[[#This Row],[Verb]],Verbs,3,FALSE)&amp;"",""))</f>
      </c>
      <c r="H1599" s="17">
        <f>IF(Log[[#This Row],[Date]]="","",INT((Log[[#This Row],[Date]]-Sprint1)/SprintDays)+1)</f>
      </c>
      <c r="I1599" s="17">
        <f>IF(OR(Log[[#This Row],[Verb]]="commit",Log[[#This Row],[Verb]]="carry",Log[[#This Row],[Verb]]="redo"),IF(Log[[#This Row],[Arg]]="",Log[[#This Row],[Sprint]],N(Log[[#This Row],[Arg]])),"")</f>
      </c>
      <c r="J1599" s="17">
        <f>IF(Log[[#This Row],[Verb]]="block",1,IF(OR(Log[[#This Row],[Verb]]="unblock",Log[[#This Row],[Verb]]="done",Log[[#This Row],[Verb]]="drop",Log[[#This Row],[Verb]]="punt",Log[[#This Row],[Verb]]="pass"),0,""))</f>
      </c>
      <c r="K1599" s="17">
        <f>IF(Log[[#This Row],[ID]]="",0,IFERROR(INDEX(Items[Pts],MATCH(Log[[#This Row],[ID]],Items[ID],0))*1,0))</f>
      </c>
      <c r="L1599" s="17">
        <f>IF(Log[[#This Row],[ID]]="","",IFERROR(INDEX(Items[Cur team],MATCH(Log[[#This Row],[ID]],Items[ID],0))&amp;"",""))</f>
      </c>
      <c r="M1599" s="17">
        <f>IF(OR(Log[[#This Row],[Verb]]="done",Log[[#This Row],[Verb]]="punt",Log[[#This Row],[Verb]]="drop",Log[[#This Row],[Verb]]="pass"),Log[[#This Row],[Pts]],0)</f>
      </c>
    </row>
    <row r="1600">
      <c r="A1600" s="11">
        <v>46244</v>
      </c>
      <c r="B1600" t="s">
        <v>839</v>
      </c>
      <c r="C1600" t="s">
        <v>41</v>
      </c>
      <c r="F1600" s="17">
        <f>IF(Log[[#This Row],[ID]]="","",IF(ISNA(MATCH(Log[[#This Row],[ID]],Items[ID],0)),"unknown ID",IF(ISNA(MATCH(Log[[#This Row],[Verb]],VerbList,0)),"unknown verb",IF(Log[[#This Row],[Date]]="","no date",""))))</f>
      </c>
      <c r="G1600" s="17">
        <f>IF(Log[[#This Row],[ID]]="","",IFERROR(VLOOKUP(Log[[#This Row],[Verb]],Verbs,3,FALSE)&amp;"",""))</f>
      </c>
      <c r="H1600" s="17">
        <f>IF(Log[[#This Row],[Date]]="","",INT((Log[[#This Row],[Date]]-Sprint1)/SprintDays)+1)</f>
      </c>
      <c r="I1600" s="17">
        <f>IF(OR(Log[[#This Row],[Verb]]="commit",Log[[#This Row],[Verb]]="carry",Log[[#This Row],[Verb]]="redo"),IF(Log[[#This Row],[Arg]]="",Log[[#This Row],[Sprint]],N(Log[[#This Row],[Arg]])),"")</f>
      </c>
      <c r="J1600" s="17">
        <f>IF(Log[[#This Row],[Verb]]="block",1,IF(OR(Log[[#This Row],[Verb]]="unblock",Log[[#This Row],[Verb]]="done",Log[[#This Row],[Verb]]="drop",Log[[#This Row],[Verb]]="punt",Log[[#This Row],[Verb]]="pass"),0,""))</f>
      </c>
      <c r="K1600" s="17">
        <f>IF(Log[[#This Row],[ID]]="",0,IFERROR(INDEX(Items[Pts],MATCH(Log[[#This Row],[ID]],Items[ID],0))*1,0))</f>
      </c>
      <c r="L1600" s="17">
        <f>IF(Log[[#This Row],[ID]]="","",IFERROR(INDEX(Items[Cur team],MATCH(Log[[#This Row],[ID]],Items[ID],0))&amp;"",""))</f>
      </c>
      <c r="M1600" s="17">
        <f>IF(OR(Log[[#This Row],[Verb]]="done",Log[[#This Row],[Verb]]="punt",Log[[#This Row],[Verb]]="drop",Log[[#This Row],[Verb]]="pass"),Log[[#This Row],[Pts]],0)</f>
      </c>
    </row>
    <row r="1601">
      <c r="A1601" s="11">
        <v>46244</v>
      </c>
      <c r="B1601" t="s">
        <v>840</v>
      </c>
      <c r="C1601" t="s">
        <v>41</v>
      </c>
      <c r="F1601" s="17">
        <f>IF(Log[[#This Row],[ID]]="","",IF(ISNA(MATCH(Log[[#This Row],[ID]],Items[ID],0)),"unknown ID",IF(ISNA(MATCH(Log[[#This Row],[Verb]],VerbList,0)),"unknown verb",IF(Log[[#This Row],[Date]]="","no date",""))))</f>
      </c>
      <c r="G1601" s="17">
        <f>IF(Log[[#This Row],[ID]]="","",IFERROR(VLOOKUP(Log[[#This Row],[Verb]],Verbs,3,FALSE)&amp;"",""))</f>
      </c>
      <c r="H1601" s="17">
        <f>IF(Log[[#This Row],[Date]]="","",INT((Log[[#This Row],[Date]]-Sprint1)/SprintDays)+1)</f>
      </c>
      <c r="I1601" s="17">
        <f>IF(OR(Log[[#This Row],[Verb]]="commit",Log[[#This Row],[Verb]]="carry",Log[[#This Row],[Verb]]="redo"),IF(Log[[#This Row],[Arg]]="",Log[[#This Row],[Sprint]],N(Log[[#This Row],[Arg]])),"")</f>
      </c>
      <c r="J1601" s="17">
        <f>IF(Log[[#This Row],[Verb]]="block",1,IF(OR(Log[[#This Row],[Verb]]="unblock",Log[[#This Row],[Verb]]="done",Log[[#This Row],[Verb]]="drop",Log[[#This Row],[Verb]]="punt",Log[[#This Row],[Verb]]="pass"),0,""))</f>
      </c>
      <c r="K1601" s="17">
        <f>IF(Log[[#This Row],[ID]]="",0,IFERROR(INDEX(Items[Pts],MATCH(Log[[#This Row],[ID]],Items[ID],0))*1,0))</f>
      </c>
      <c r="L1601" s="17">
        <f>IF(Log[[#This Row],[ID]]="","",IFERROR(INDEX(Items[Cur team],MATCH(Log[[#This Row],[ID]],Items[ID],0))&amp;"",""))</f>
      </c>
      <c r="M1601" s="17">
        <f>IF(OR(Log[[#This Row],[Verb]]="done",Log[[#This Row],[Verb]]="punt",Log[[#This Row],[Verb]]="drop",Log[[#This Row],[Verb]]="pass"),Log[[#This Row],[Pts]],0)</f>
      </c>
    </row>
    <row r="1602">
      <c r="A1602" s="11">
        <v>46244</v>
      </c>
      <c r="B1602" t="s">
        <v>841</v>
      </c>
      <c r="C1602" t="s">
        <v>41</v>
      </c>
      <c r="F1602" s="17">
        <f>IF(Log[[#This Row],[ID]]="","",IF(ISNA(MATCH(Log[[#This Row],[ID]],Items[ID],0)),"unknown ID",IF(ISNA(MATCH(Log[[#This Row],[Verb]],VerbList,0)),"unknown verb",IF(Log[[#This Row],[Date]]="","no date",""))))</f>
      </c>
      <c r="G1602" s="17">
        <f>IF(Log[[#This Row],[ID]]="","",IFERROR(VLOOKUP(Log[[#This Row],[Verb]],Verbs,3,FALSE)&amp;"",""))</f>
      </c>
      <c r="H1602" s="17">
        <f>IF(Log[[#This Row],[Date]]="","",INT((Log[[#This Row],[Date]]-Sprint1)/SprintDays)+1)</f>
      </c>
      <c r="I1602" s="17">
        <f>IF(OR(Log[[#This Row],[Verb]]="commit",Log[[#This Row],[Verb]]="carry",Log[[#This Row],[Verb]]="redo"),IF(Log[[#This Row],[Arg]]="",Log[[#This Row],[Sprint]],N(Log[[#This Row],[Arg]])),"")</f>
      </c>
      <c r="J1602" s="17">
        <f>IF(Log[[#This Row],[Verb]]="block",1,IF(OR(Log[[#This Row],[Verb]]="unblock",Log[[#This Row],[Verb]]="done",Log[[#This Row],[Verb]]="drop",Log[[#This Row],[Verb]]="punt",Log[[#This Row],[Verb]]="pass"),0,""))</f>
      </c>
      <c r="K1602" s="17">
        <f>IF(Log[[#This Row],[ID]]="",0,IFERROR(INDEX(Items[Pts],MATCH(Log[[#This Row],[ID]],Items[ID],0))*1,0))</f>
      </c>
      <c r="L1602" s="17">
        <f>IF(Log[[#This Row],[ID]]="","",IFERROR(INDEX(Items[Cur team],MATCH(Log[[#This Row],[ID]],Items[ID],0))&amp;"",""))</f>
      </c>
      <c r="M1602" s="17">
        <f>IF(OR(Log[[#This Row],[Verb]]="done",Log[[#This Row],[Verb]]="punt",Log[[#This Row],[Verb]]="drop",Log[[#This Row],[Verb]]="pass"),Log[[#This Row],[Pts]],0)</f>
      </c>
    </row>
    <row r="1603">
      <c r="A1603" s="11">
        <v>46244</v>
      </c>
      <c r="B1603" t="s">
        <v>842</v>
      </c>
      <c r="C1603" t="s">
        <v>41</v>
      </c>
      <c r="F1603" s="17">
        <f>IF(Log[[#This Row],[ID]]="","",IF(ISNA(MATCH(Log[[#This Row],[ID]],Items[ID],0)),"unknown ID",IF(ISNA(MATCH(Log[[#This Row],[Verb]],VerbList,0)),"unknown verb",IF(Log[[#This Row],[Date]]="","no date",""))))</f>
      </c>
      <c r="G1603" s="17">
        <f>IF(Log[[#This Row],[ID]]="","",IFERROR(VLOOKUP(Log[[#This Row],[Verb]],Verbs,3,FALSE)&amp;"",""))</f>
      </c>
      <c r="H1603" s="17">
        <f>IF(Log[[#This Row],[Date]]="","",INT((Log[[#This Row],[Date]]-Sprint1)/SprintDays)+1)</f>
      </c>
      <c r="I1603" s="17">
        <f>IF(OR(Log[[#This Row],[Verb]]="commit",Log[[#This Row],[Verb]]="carry",Log[[#This Row],[Verb]]="redo"),IF(Log[[#This Row],[Arg]]="",Log[[#This Row],[Sprint]],N(Log[[#This Row],[Arg]])),"")</f>
      </c>
      <c r="J1603" s="17">
        <f>IF(Log[[#This Row],[Verb]]="block",1,IF(OR(Log[[#This Row],[Verb]]="unblock",Log[[#This Row],[Verb]]="done",Log[[#This Row],[Verb]]="drop",Log[[#This Row],[Verb]]="punt",Log[[#This Row],[Verb]]="pass"),0,""))</f>
      </c>
      <c r="K1603" s="17">
        <f>IF(Log[[#This Row],[ID]]="",0,IFERROR(INDEX(Items[Pts],MATCH(Log[[#This Row],[ID]],Items[ID],0))*1,0))</f>
      </c>
      <c r="L1603" s="17">
        <f>IF(Log[[#This Row],[ID]]="","",IFERROR(INDEX(Items[Cur team],MATCH(Log[[#This Row],[ID]],Items[ID],0))&amp;"",""))</f>
      </c>
      <c r="M1603" s="17">
        <f>IF(OR(Log[[#This Row],[Verb]]="done",Log[[#This Row],[Verb]]="punt",Log[[#This Row],[Verb]]="drop",Log[[#This Row],[Verb]]="pass"),Log[[#This Row],[Pts]],0)</f>
      </c>
    </row>
    <row r="1604">
      <c r="A1604" s="11">
        <v>46244</v>
      </c>
      <c r="B1604" t="s">
        <v>843</v>
      </c>
      <c r="C1604" t="s">
        <v>41</v>
      </c>
      <c r="F1604" s="17">
        <f>IF(Log[[#This Row],[ID]]="","",IF(ISNA(MATCH(Log[[#This Row],[ID]],Items[ID],0)),"unknown ID",IF(ISNA(MATCH(Log[[#This Row],[Verb]],VerbList,0)),"unknown verb",IF(Log[[#This Row],[Date]]="","no date",""))))</f>
      </c>
      <c r="G1604" s="17">
        <f>IF(Log[[#This Row],[ID]]="","",IFERROR(VLOOKUP(Log[[#This Row],[Verb]],Verbs,3,FALSE)&amp;"",""))</f>
      </c>
      <c r="H1604" s="17">
        <f>IF(Log[[#This Row],[Date]]="","",INT((Log[[#This Row],[Date]]-Sprint1)/SprintDays)+1)</f>
      </c>
      <c r="I1604" s="17">
        <f>IF(OR(Log[[#This Row],[Verb]]="commit",Log[[#This Row],[Verb]]="carry",Log[[#This Row],[Verb]]="redo"),IF(Log[[#This Row],[Arg]]="",Log[[#This Row],[Sprint]],N(Log[[#This Row],[Arg]])),"")</f>
      </c>
      <c r="J1604" s="17">
        <f>IF(Log[[#This Row],[Verb]]="block",1,IF(OR(Log[[#This Row],[Verb]]="unblock",Log[[#This Row],[Verb]]="done",Log[[#This Row],[Verb]]="drop",Log[[#This Row],[Verb]]="punt",Log[[#This Row],[Verb]]="pass"),0,""))</f>
      </c>
      <c r="K1604" s="17">
        <f>IF(Log[[#This Row],[ID]]="",0,IFERROR(INDEX(Items[Pts],MATCH(Log[[#This Row],[ID]],Items[ID],0))*1,0))</f>
      </c>
      <c r="L1604" s="17">
        <f>IF(Log[[#This Row],[ID]]="","",IFERROR(INDEX(Items[Cur team],MATCH(Log[[#This Row],[ID]],Items[ID],0))&amp;"",""))</f>
      </c>
      <c r="M1604" s="17">
        <f>IF(OR(Log[[#This Row],[Verb]]="done",Log[[#This Row],[Verb]]="punt",Log[[#This Row],[Verb]]="drop",Log[[#This Row],[Verb]]="pass"),Log[[#This Row],[Pts]],0)</f>
      </c>
    </row>
    <row r="1605">
      <c r="A1605" s="11">
        <v>46244</v>
      </c>
      <c r="B1605" t="s">
        <v>844</v>
      </c>
      <c r="C1605" t="s">
        <v>41</v>
      </c>
      <c r="F1605" s="17">
        <f>IF(Log[[#This Row],[ID]]="","",IF(ISNA(MATCH(Log[[#This Row],[ID]],Items[ID],0)),"unknown ID",IF(ISNA(MATCH(Log[[#This Row],[Verb]],VerbList,0)),"unknown verb",IF(Log[[#This Row],[Date]]="","no date",""))))</f>
      </c>
      <c r="G1605" s="17">
        <f>IF(Log[[#This Row],[ID]]="","",IFERROR(VLOOKUP(Log[[#This Row],[Verb]],Verbs,3,FALSE)&amp;"",""))</f>
      </c>
      <c r="H1605" s="17">
        <f>IF(Log[[#This Row],[Date]]="","",INT((Log[[#This Row],[Date]]-Sprint1)/SprintDays)+1)</f>
      </c>
      <c r="I1605" s="17">
        <f>IF(OR(Log[[#This Row],[Verb]]="commit",Log[[#This Row],[Verb]]="carry",Log[[#This Row],[Verb]]="redo"),IF(Log[[#This Row],[Arg]]="",Log[[#This Row],[Sprint]],N(Log[[#This Row],[Arg]])),"")</f>
      </c>
      <c r="J1605" s="17">
        <f>IF(Log[[#This Row],[Verb]]="block",1,IF(OR(Log[[#This Row],[Verb]]="unblock",Log[[#This Row],[Verb]]="done",Log[[#This Row],[Verb]]="drop",Log[[#This Row],[Verb]]="punt",Log[[#This Row],[Verb]]="pass"),0,""))</f>
      </c>
      <c r="K1605" s="17">
        <f>IF(Log[[#This Row],[ID]]="",0,IFERROR(INDEX(Items[Pts],MATCH(Log[[#This Row],[ID]],Items[ID],0))*1,0))</f>
      </c>
      <c r="L1605" s="17">
        <f>IF(Log[[#This Row],[ID]]="","",IFERROR(INDEX(Items[Cur team],MATCH(Log[[#This Row],[ID]],Items[ID],0))&amp;"",""))</f>
      </c>
      <c r="M1605" s="17">
        <f>IF(OR(Log[[#This Row],[Verb]]="done",Log[[#This Row],[Verb]]="punt",Log[[#This Row],[Verb]]="drop",Log[[#This Row],[Verb]]="pass"),Log[[#This Row],[Pts]],0)</f>
      </c>
    </row>
    <row r="1606">
      <c r="A1606" s="11">
        <v>46244</v>
      </c>
      <c r="B1606" t="s">
        <v>845</v>
      </c>
      <c r="C1606" t="s">
        <v>41</v>
      </c>
      <c r="F1606" s="17">
        <f>IF(Log[[#This Row],[ID]]="","",IF(ISNA(MATCH(Log[[#This Row],[ID]],Items[ID],0)),"unknown ID",IF(ISNA(MATCH(Log[[#This Row],[Verb]],VerbList,0)),"unknown verb",IF(Log[[#This Row],[Date]]="","no date",""))))</f>
      </c>
      <c r="G1606" s="17">
        <f>IF(Log[[#This Row],[ID]]="","",IFERROR(VLOOKUP(Log[[#This Row],[Verb]],Verbs,3,FALSE)&amp;"",""))</f>
      </c>
      <c r="H1606" s="17">
        <f>IF(Log[[#This Row],[Date]]="","",INT((Log[[#This Row],[Date]]-Sprint1)/SprintDays)+1)</f>
      </c>
      <c r="I1606" s="17">
        <f>IF(OR(Log[[#This Row],[Verb]]="commit",Log[[#This Row],[Verb]]="carry",Log[[#This Row],[Verb]]="redo"),IF(Log[[#This Row],[Arg]]="",Log[[#This Row],[Sprint]],N(Log[[#This Row],[Arg]])),"")</f>
      </c>
      <c r="J1606" s="17">
        <f>IF(Log[[#This Row],[Verb]]="block",1,IF(OR(Log[[#This Row],[Verb]]="unblock",Log[[#This Row],[Verb]]="done",Log[[#This Row],[Verb]]="drop",Log[[#This Row],[Verb]]="punt",Log[[#This Row],[Verb]]="pass"),0,""))</f>
      </c>
      <c r="K1606" s="17">
        <f>IF(Log[[#This Row],[ID]]="",0,IFERROR(INDEX(Items[Pts],MATCH(Log[[#This Row],[ID]],Items[ID],0))*1,0))</f>
      </c>
      <c r="L1606" s="17">
        <f>IF(Log[[#This Row],[ID]]="","",IFERROR(INDEX(Items[Cur team],MATCH(Log[[#This Row],[ID]],Items[ID],0))&amp;"",""))</f>
      </c>
      <c r="M1606" s="17">
        <f>IF(OR(Log[[#This Row],[Verb]]="done",Log[[#This Row],[Verb]]="punt",Log[[#This Row],[Verb]]="drop",Log[[#This Row],[Verb]]="pass"),Log[[#This Row],[Pts]],0)</f>
      </c>
    </row>
    <row r="1607">
      <c r="A1607" s="11">
        <v>46244</v>
      </c>
      <c r="B1607" t="s">
        <v>846</v>
      </c>
      <c r="C1607" t="s">
        <v>41</v>
      </c>
      <c r="F1607" s="17">
        <f>IF(Log[[#This Row],[ID]]="","",IF(ISNA(MATCH(Log[[#This Row],[ID]],Items[ID],0)),"unknown ID",IF(ISNA(MATCH(Log[[#This Row],[Verb]],VerbList,0)),"unknown verb",IF(Log[[#This Row],[Date]]="","no date",""))))</f>
      </c>
      <c r="G1607" s="17">
        <f>IF(Log[[#This Row],[ID]]="","",IFERROR(VLOOKUP(Log[[#This Row],[Verb]],Verbs,3,FALSE)&amp;"",""))</f>
      </c>
      <c r="H1607" s="17">
        <f>IF(Log[[#This Row],[Date]]="","",INT((Log[[#This Row],[Date]]-Sprint1)/SprintDays)+1)</f>
      </c>
      <c r="I1607" s="17">
        <f>IF(OR(Log[[#This Row],[Verb]]="commit",Log[[#This Row],[Verb]]="carry",Log[[#This Row],[Verb]]="redo"),IF(Log[[#This Row],[Arg]]="",Log[[#This Row],[Sprint]],N(Log[[#This Row],[Arg]])),"")</f>
      </c>
      <c r="J1607" s="17">
        <f>IF(Log[[#This Row],[Verb]]="block",1,IF(OR(Log[[#This Row],[Verb]]="unblock",Log[[#This Row],[Verb]]="done",Log[[#This Row],[Verb]]="drop",Log[[#This Row],[Verb]]="punt",Log[[#This Row],[Verb]]="pass"),0,""))</f>
      </c>
      <c r="K1607" s="17">
        <f>IF(Log[[#This Row],[ID]]="",0,IFERROR(INDEX(Items[Pts],MATCH(Log[[#This Row],[ID]],Items[ID],0))*1,0))</f>
      </c>
      <c r="L1607" s="17">
        <f>IF(Log[[#This Row],[ID]]="","",IFERROR(INDEX(Items[Cur team],MATCH(Log[[#This Row],[ID]],Items[ID],0))&amp;"",""))</f>
      </c>
      <c r="M1607" s="17">
        <f>IF(OR(Log[[#This Row],[Verb]]="done",Log[[#This Row],[Verb]]="punt",Log[[#This Row],[Verb]]="drop",Log[[#This Row],[Verb]]="pass"),Log[[#This Row],[Pts]],0)</f>
      </c>
    </row>
    <row r="1608">
      <c r="A1608" s="11">
        <v>46244</v>
      </c>
      <c r="B1608" t="s">
        <v>847</v>
      </c>
      <c r="C1608" t="s">
        <v>41</v>
      </c>
      <c r="F1608" s="17">
        <f>IF(Log[[#This Row],[ID]]="","",IF(ISNA(MATCH(Log[[#This Row],[ID]],Items[ID],0)),"unknown ID",IF(ISNA(MATCH(Log[[#This Row],[Verb]],VerbList,0)),"unknown verb",IF(Log[[#This Row],[Date]]="","no date",""))))</f>
      </c>
      <c r="G1608" s="17">
        <f>IF(Log[[#This Row],[ID]]="","",IFERROR(VLOOKUP(Log[[#This Row],[Verb]],Verbs,3,FALSE)&amp;"",""))</f>
      </c>
      <c r="H1608" s="17">
        <f>IF(Log[[#This Row],[Date]]="","",INT((Log[[#This Row],[Date]]-Sprint1)/SprintDays)+1)</f>
      </c>
      <c r="I1608" s="17">
        <f>IF(OR(Log[[#This Row],[Verb]]="commit",Log[[#This Row],[Verb]]="carry",Log[[#This Row],[Verb]]="redo"),IF(Log[[#This Row],[Arg]]="",Log[[#This Row],[Sprint]],N(Log[[#This Row],[Arg]])),"")</f>
      </c>
      <c r="J1608" s="17">
        <f>IF(Log[[#This Row],[Verb]]="block",1,IF(OR(Log[[#This Row],[Verb]]="unblock",Log[[#This Row],[Verb]]="done",Log[[#This Row],[Verb]]="drop",Log[[#This Row],[Verb]]="punt",Log[[#This Row],[Verb]]="pass"),0,""))</f>
      </c>
      <c r="K1608" s="17">
        <f>IF(Log[[#This Row],[ID]]="",0,IFERROR(INDEX(Items[Pts],MATCH(Log[[#This Row],[ID]],Items[ID],0))*1,0))</f>
      </c>
      <c r="L1608" s="17">
        <f>IF(Log[[#This Row],[ID]]="","",IFERROR(INDEX(Items[Cur team],MATCH(Log[[#This Row],[ID]],Items[ID],0))&amp;"",""))</f>
      </c>
      <c r="M1608" s="17">
        <f>IF(OR(Log[[#This Row],[Verb]]="done",Log[[#This Row],[Verb]]="punt",Log[[#This Row],[Verb]]="drop",Log[[#This Row],[Verb]]="pass"),Log[[#This Row],[Pts]],0)</f>
      </c>
    </row>
    <row r="1609">
      <c r="A1609" s="11">
        <v>46244</v>
      </c>
      <c r="B1609" t="s">
        <v>848</v>
      </c>
      <c r="C1609" t="s">
        <v>41</v>
      </c>
      <c r="F1609" s="17">
        <f>IF(Log[[#This Row],[ID]]="","",IF(ISNA(MATCH(Log[[#This Row],[ID]],Items[ID],0)),"unknown ID",IF(ISNA(MATCH(Log[[#This Row],[Verb]],VerbList,0)),"unknown verb",IF(Log[[#This Row],[Date]]="","no date",""))))</f>
      </c>
      <c r="G1609" s="17">
        <f>IF(Log[[#This Row],[ID]]="","",IFERROR(VLOOKUP(Log[[#This Row],[Verb]],Verbs,3,FALSE)&amp;"",""))</f>
      </c>
      <c r="H1609" s="17">
        <f>IF(Log[[#This Row],[Date]]="","",INT((Log[[#This Row],[Date]]-Sprint1)/SprintDays)+1)</f>
      </c>
      <c r="I1609" s="17">
        <f>IF(OR(Log[[#This Row],[Verb]]="commit",Log[[#This Row],[Verb]]="carry",Log[[#This Row],[Verb]]="redo"),IF(Log[[#This Row],[Arg]]="",Log[[#This Row],[Sprint]],N(Log[[#This Row],[Arg]])),"")</f>
      </c>
      <c r="J1609" s="17">
        <f>IF(Log[[#This Row],[Verb]]="block",1,IF(OR(Log[[#This Row],[Verb]]="unblock",Log[[#This Row],[Verb]]="done",Log[[#This Row],[Verb]]="drop",Log[[#This Row],[Verb]]="punt",Log[[#This Row],[Verb]]="pass"),0,""))</f>
      </c>
      <c r="K1609" s="17">
        <f>IF(Log[[#This Row],[ID]]="",0,IFERROR(INDEX(Items[Pts],MATCH(Log[[#This Row],[ID]],Items[ID],0))*1,0))</f>
      </c>
      <c r="L1609" s="17">
        <f>IF(Log[[#This Row],[ID]]="","",IFERROR(INDEX(Items[Cur team],MATCH(Log[[#This Row],[ID]],Items[ID],0))&amp;"",""))</f>
      </c>
      <c r="M1609" s="17">
        <f>IF(OR(Log[[#This Row],[Verb]]="done",Log[[#This Row],[Verb]]="punt",Log[[#This Row],[Verb]]="drop",Log[[#This Row],[Verb]]="pass"),Log[[#This Row],[Pts]],0)</f>
      </c>
    </row>
    <row r="1610">
      <c r="A1610" s="11">
        <v>46244</v>
      </c>
      <c r="B1610" t="s">
        <v>849</v>
      </c>
      <c r="C1610" t="s">
        <v>41</v>
      </c>
      <c r="F1610" s="17">
        <f>IF(Log[[#This Row],[ID]]="","",IF(ISNA(MATCH(Log[[#This Row],[ID]],Items[ID],0)),"unknown ID",IF(ISNA(MATCH(Log[[#This Row],[Verb]],VerbList,0)),"unknown verb",IF(Log[[#This Row],[Date]]="","no date",""))))</f>
      </c>
      <c r="G1610" s="17">
        <f>IF(Log[[#This Row],[ID]]="","",IFERROR(VLOOKUP(Log[[#This Row],[Verb]],Verbs,3,FALSE)&amp;"",""))</f>
      </c>
      <c r="H1610" s="17">
        <f>IF(Log[[#This Row],[Date]]="","",INT((Log[[#This Row],[Date]]-Sprint1)/SprintDays)+1)</f>
      </c>
      <c r="I1610" s="17">
        <f>IF(OR(Log[[#This Row],[Verb]]="commit",Log[[#This Row],[Verb]]="carry",Log[[#This Row],[Verb]]="redo"),IF(Log[[#This Row],[Arg]]="",Log[[#This Row],[Sprint]],N(Log[[#This Row],[Arg]])),"")</f>
      </c>
      <c r="J1610" s="17">
        <f>IF(Log[[#This Row],[Verb]]="block",1,IF(OR(Log[[#This Row],[Verb]]="unblock",Log[[#This Row],[Verb]]="done",Log[[#This Row],[Verb]]="drop",Log[[#This Row],[Verb]]="punt",Log[[#This Row],[Verb]]="pass"),0,""))</f>
      </c>
      <c r="K1610" s="17">
        <f>IF(Log[[#This Row],[ID]]="",0,IFERROR(INDEX(Items[Pts],MATCH(Log[[#This Row],[ID]],Items[ID],0))*1,0))</f>
      </c>
      <c r="L1610" s="17">
        <f>IF(Log[[#This Row],[ID]]="","",IFERROR(INDEX(Items[Cur team],MATCH(Log[[#This Row],[ID]],Items[ID],0))&amp;"",""))</f>
      </c>
      <c r="M1610" s="17">
        <f>IF(OR(Log[[#This Row],[Verb]]="done",Log[[#This Row],[Verb]]="punt",Log[[#This Row],[Verb]]="drop",Log[[#This Row],[Verb]]="pass"),Log[[#This Row],[Pts]],0)</f>
      </c>
    </row>
    <row r="1611">
      <c r="A1611" s="11">
        <v>46244</v>
      </c>
      <c r="B1611" t="s">
        <v>850</v>
      </c>
      <c r="C1611" t="s">
        <v>41</v>
      </c>
      <c r="F1611" s="17">
        <f>IF(Log[[#This Row],[ID]]="","",IF(ISNA(MATCH(Log[[#This Row],[ID]],Items[ID],0)),"unknown ID",IF(ISNA(MATCH(Log[[#This Row],[Verb]],VerbList,0)),"unknown verb",IF(Log[[#This Row],[Date]]="","no date",""))))</f>
      </c>
      <c r="G1611" s="17">
        <f>IF(Log[[#This Row],[ID]]="","",IFERROR(VLOOKUP(Log[[#This Row],[Verb]],Verbs,3,FALSE)&amp;"",""))</f>
      </c>
      <c r="H1611" s="17">
        <f>IF(Log[[#This Row],[Date]]="","",INT((Log[[#This Row],[Date]]-Sprint1)/SprintDays)+1)</f>
      </c>
      <c r="I1611" s="17">
        <f>IF(OR(Log[[#This Row],[Verb]]="commit",Log[[#This Row],[Verb]]="carry",Log[[#This Row],[Verb]]="redo"),IF(Log[[#This Row],[Arg]]="",Log[[#This Row],[Sprint]],N(Log[[#This Row],[Arg]])),"")</f>
      </c>
      <c r="J1611" s="17">
        <f>IF(Log[[#This Row],[Verb]]="block",1,IF(OR(Log[[#This Row],[Verb]]="unblock",Log[[#This Row],[Verb]]="done",Log[[#This Row],[Verb]]="drop",Log[[#This Row],[Verb]]="punt",Log[[#This Row],[Verb]]="pass"),0,""))</f>
      </c>
      <c r="K1611" s="17">
        <f>IF(Log[[#This Row],[ID]]="",0,IFERROR(INDEX(Items[Pts],MATCH(Log[[#This Row],[ID]],Items[ID],0))*1,0))</f>
      </c>
      <c r="L1611" s="17">
        <f>IF(Log[[#This Row],[ID]]="","",IFERROR(INDEX(Items[Cur team],MATCH(Log[[#This Row],[ID]],Items[ID],0))&amp;"",""))</f>
      </c>
      <c r="M1611" s="17">
        <f>IF(OR(Log[[#This Row],[Verb]]="done",Log[[#This Row],[Verb]]="punt",Log[[#This Row],[Verb]]="drop",Log[[#This Row],[Verb]]="pass"),Log[[#This Row],[Pts]],0)</f>
      </c>
    </row>
    <row r="1612">
      <c r="A1612" s="11">
        <v>46244</v>
      </c>
      <c r="B1612" t="s">
        <v>851</v>
      </c>
      <c r="C1612" t="s">
        <v>41</v>
      </c>
      <c r="F1612" s="17">
        <f>IF(Log[[#This Row],[ID]]="","",IF(ISNA(MATCH(Log[[#This Row],[ID]],Items[ID],0)),"unknown ID",IF(ISNA(MATCH(Log[[#This Row],[Verb]],VerbList,0)),"unknown verb",IF(Log[[#This Row],[Date]]="","no date",""))))</f>
      </c>
      <c r="G1612" s="17">
        <f>IF(Log[[#This Row],[ID]]="","",IFERROR(VLOOKUP(Log[[#This Row],[Verb]],Verbs,3,FALSE)&amp;"",""))</f>
      </c>
      <c r="H1612" s="17">
        <f>IF(Log[[#This Row],[Date]]="","",INT((Log[[#This Row],[Date]]-Sprint1)/SprintDays)+1)</f>
      </c>
      <c r="I1612" s="17">
        <f>IF(OR(Log[[#This Row],[Verb]]="commit",Log[[#This Row],[Verb]]="carry",Log[[#This Row],[Verb]]="redo"),IF(Log[[#This Row],[Arg]]="",Log[[#This Row],[Sprint]],N(Log[[#This Row],[Arg]])),"")</f>
      </c>
      <c r="J1612" s="17">
        <f>IF(Log[[#This Row],[Verb]]="block",1,IF(OR(Log[[#This Row],[Verb]]="unblock",Log[[#This Row],[Verb]]="done",Log[[#This Row],[Verb]]="drop",Log[[#This Row],[Verb]]="punt",Log[[#This Row],[Verb]]="pass"),0,""))</f>
      </c>
      <c r="K1612" s="17">
        <f>IF(Log[[#This Row],[ID]]="",0,IFERROR(INDEX(Items[Pts],MATCH(Log[[#This Row],[ID]],Items[ID],0))*1,0))</f>
      </c>
      <c r="L1612" s="17">
        <f>IF(Log[[#This Row],[ID]]="","",IFERROR(INDEX(Items[Cur team],MATCH(Log[[#This Row],[ID]],Items[ID],0))&amp;"",""))</f>
      </c>
      <c r="M1612" s="17">
        <f>IF(OR(Log[[#This Row],[Verb]]="done",Log[[#This Row],[Verb]]="punt",Log[[#This Row],[Verb]]="drop",Log[[#This Row],[Verb]]="pass"),Log[[#This Row],[Pts]],0)</f>
      </c>
    </row>
    <row r="1613">
      <c r="A1613" s="11">
        <v>46244</v>
      </c>
      <c r="B1613" t="s">
        <v>852</v>
      </c>
      <c r="C1613" t="s">
        <v>41</v>
      </c>
      <c r="F1613" s="17">
        <f>IF(Log[[#This Row],[ID]]="","",IF(ISNA(MATCH(Log[[#This Row],[ID]],Items[ID],0)),"unknown ID",IF(ISNA(MATCH(Log[[#This Row],[Verb]],VerbList,0)),"unknown verb",IF(Log[[#This Row],[Date]]="","no date",""))))</f>
      </c>
      <c r="G1613" s="17">
        <f>IF(Log[[#This Row],[ID]]="","",IFERROR(VLOOKUP(Log[[#This Row],[Verb]],Verbs,3,FALSE)&amp;"",""))</f>
      </c>
      <c r="H1613" s="17">
        <f>IF(Log[[#This Row],[Date]]="","",INT((Log[[#This Row],[Date]]-Sprint1)/SprintDays)+1)</f>
      </c>
      <c r="I1613" s="17">
        <f>IF(OR(Log[[#This Row],[Verb]]="commit",Log[[#This Row],[Verb]]="carry",Log[[#This Row],[Verb]]="redo"),IF(Log[[#This Row],[Arg]]="",Log[[#This Row],[Sprint]],N(Log[[#This Row],[Arg]])),"")</f>
      </c>
      <c r="J1613" s="17">
        <f>IF(Log[[#This Row],[Verb]]="block",1,IF(OR(Log[[#This Row],[Verb]]="unblock",Log[[#This Row],[Verb]]="done",Log[[#This Row],[Verb]]="drop",Log[[#This Row],[Verb]]="punt",Log[[#This Row],[Verb]]="pass"),0,""))</f>
      </c>
      <c r="K1613" s="17">
        <f>IF(Log[[#This Row],[ID]]="",0,IFERROR(INDEX(Items[Pts],MATCH(Log[[#This Row],[ID]],Items[ID],0))*1,0))</f>
      </c>
      <c r="L1613" s="17">
        <f>IF(Log[[#This Row],[ID]]="","",IFERROR(INDEX(Items[Cur team],MATCH(Log[[#This Row],[ID]],Items[ID],0))&amp;"",""))</f>
      </c>
      <c r="M1613" s="17">
        <f>IF(OR(Log[[#This Row],[Verb]]="done",Log[[#This Row],[Verb]]="punt",Log[[#This Row],[Verb]]="drop",Log[[#This Row],[Verb]]="pass"),Log[[#This Row],[Pts]],0)</f>
      </c>
    </row>
    <row r="1614">
      <c r="A1614" s="11">
        <v>46244</v>
      </c>
      <c r="B1614" t="s">
        <v>853</v>
      </c>
      <c r="C1614" t="s">
        <v>41</v>
      </c>
      <c r="F1614" s="17">
        <f>IF(Log[[#This Row],[ID]]="","",IF(ISNA(MATCH(Log[[#This Row],[ID]],Items[ID],0)),"unknown ID",IF(ISNA(MATCH(Log[[#This Row],[Verb]],VerbList,0)),"unknown verb",IF(Log[[#This Row],[Date]]="","no date",""))))</f>
      </c>
      <c r="G1614" s="17">
        <f>IF(Log[[#This Row],[ID]]="","",IFERROR(VLOOKUP(Log[[#This Row],[Verb]],Verbs,3,FALSE)&amp;"",""))</f>
      </c>
      <c r="H1614" s="17">
        <f>IF(Log[[#This Row],[Date]]="","",INT((Log[[#This Row],[Date]]-Sprint1)/SprintDays)+1)</f>
      </c>
      <c r="I1614" s="17">
        <f>IF(OR(Log[[#This Row],[Verb]]="commit",Log[[#This Row],[Verb]]="carry",Log[[#This Row],[Verb]]="redo"),IF(Log[[#This Row],[Arg]]="",Log[[#This Row],[Sprint]],N(Log[[#This Row],[Arg]])),"")</f>
      </c>
      <c r="J1614" s="17">
        <f>IF(Log[[#This Row],[Verb]]="block",1,IF(OR(Log[[#This Row],[Verb]]="unblock",Log[[#This Row],[Verb]]="done",Log[[#This Row],[Verb]]="drop",Log[[#This Row],[Verb]]="punt",Log[[#This Row],[Verb]]="pass"),0,""))</f>
      </c>
      <c r="K1614" s="17">
        <f>IF(Log[[#This Row],[ID]]="",0,IFERROR(INDEX(Items[Pts],MATCH(Log[[#This Row],[ID]],Items[ID],0))*1,0))</f>
      </c>
      <c r="L1614" s="17">
        <f>IF(Log[[#This Row],[ID]]="","",IFERROR(INDEX(Items[Cur team],MATCH(Log[[#This Row],[ID]],Items[ID],0))&amp;"",""))</f>
      </c>
      <c r="M1614" s="17">
        <f>IF(OR(Log[[#This Row],[Verb]]="done",Log[[#This Row],[Verb]]="punt",Log[[#This Row],[Verb]]="drop",Log[[#This Row],[Verb]]="pass"),Log[[#This Row],[Pts]],0)</f>
      </c>
    </row>
    <row r="1615">
      <c r="A1615" s="11">
        <v>46244</v>
      </c>
      <c r="B1615" t="s">
        <v>854</v>
      </c>
      <c r="C1615" t="s">
        <v>41</v>
      </c>
      <c r="F1615" s="17">
        <f>IF(Log[[#This Row],[ID]]="","",IF(ISNA(MATCH(Log[[#This Row],[ID]],Items[ID],0)),"unknown ID",IF(ISNA(MATCH(Log[[#This Row],[Verb]],VerbList,0)),"unknown verb",IF(Log[[#This Row],[Date]]="","no date",""))))</f>
      </c>
      <c r="G1615" s="17">
        <f>IF(Log[[#This Row],[ID]]="","",IFERROR(VLOOKUP(Log[[#This Row],[Verb]],Verbs,3,FALSE)&amp;"",""))</f>
      </c>
      <c r="H1615" s="17">
        <f>IF(Log[[#This Row],[Date]]="","",INT((Log[[#This Row],[Date]]-Sprint1)/SprintDays)+1)</f>
      </c>
      <c r="I1615" s="17">
        <f>IF(OR(Log[[#This Row],[Verb]]="commit",Log[[#This Row],[Verb]]="carry",Log[[#This Row],[Verb]]="redo"),IF(Log[[#This Row],[Arg]]="",Log[[#This Row],[Sprint]],N(Log[[#This Row],[Arg]])),"")</f>
      </c>
      <c r="J1615" s="17">
        <f>IF(Log[[#This Row],[Verb]]="block",1,IF(OR(Log[[#This Row],[Verb]]="unblock",Log[[#This Row],[Verb]]="done",Log[[#This Row],[Verb]]="drop",Log[[#This Row],[Verb]]="punt",Log[[#This Row],[Verb]]="pass"),0,""))</f>
      </c>
      <c r="K1615" s="17">
        <f>IF(Log[[#This Row],[ID]]="",0,IFERROR(INDEX(Items[Pts],MATCH(Log[[#This Row],[ID]],Items[ID],0))*1,0))</f>
      </c>
      <c r="L1615" s="17">
        <f>IF(Log[[#This Row],[ID]]="","",IFERROR(INDEX(Items[Cur team],MATCH(Log[[#This Row],[ID]],Items[ID],0))&amp;"",""))</f>
      </c>
      <c r="M1615" s="17">
        <f>IF(OR(Log[[#This Row],[Verb]]="done",Log[[#This Row],[Verb]]="punt",Log[[#This Row],[Verb]]="drop",Log[[#This Row],[Verb]]="pass"),Log[[#This Row],[Pts]],0)</f>
      </c>
    </row>
    <row r="1616">
      <c r="A1616" s="11">
        <v>46244</v>
      </c>
      <c r="B1616" t="s">
        <v>855</v>
      </c>
      <c r="C1616" t="s">
        <v>41</v>
      </c>
      <c r="F1616" s="17">
        <f>IF(Log[[#This Row],[ID]]="","",IF(ISNA(MATCH(Log[[#This Row],[ID]],Items[ID],0)),"unknown ID",IF(ISNA(MATCH(Log[[#This Row],[Verb]],VerbList,0)),"unknown verb",IF(Log[[#This Row],[Date]]="","no date",""))))</f>
      </c>
      <c r="G1616" s="17">
        <f>IF(Log[[#This Row],[ID]]="","",IFERROR(VLOOKUP(Log[[#This Row],[Verb]],Verbs,3,FALSE)&amp;"",""))</f>
      </c>
      <c r="H1616" s="17">
        <f>IF(Log[[#This Row],[Date]]="","",INT((Log[[#This Row],[Date]]-Sprint1)/SprintDays)+1)</f>
      </c>
      <c r="I1616" s="17">
        <f>IF(OR(Log[[#This Row],[Verb]]="commit",Log[[#This Row],[Verb]]="carry",Log[[#This Row],[Verb]]="redo"),IF(Log[[#This Row],[Arg]]="",Log[[#This Row],[Sprint]],N(Log[[#This Row],[Arg]])),"")</f>
      </c>
      <c r="J1616" s="17">
        <f>IF(Log[[#This Row],[Verb]]="block",1,IF(OR(Log[[#This Row],[Verb]]="unblock",Log[[#This Row],[Verb]]="done",Log[[#This Row],[Verb]]="drop",Log[[#This Row],[Verb]]="punt",Log[[#This Row],[Verb]]="pass"),0,""))</f>
      </c>
      <c r="K1616" s="17">
        <f>IF(Log[[#This Row],[ID]]="",0,IFERROR(INDEX(Items[Pts],MATCH(Log[[#This Row],[ID]],Items[ID],0))*1,0))</f>
      </c>
      <c r="L1616" s="17">
        <f>IF(Log[[#This Row],[ID]]="","",IFERROR(INDEX(Items[Cur team],MATCH(Log[[#This Row],[ID]],Items[ID],0))&amp;"",""))</f>
      </c>
      <c r="M1616" s="17">
        <f>IF(OR(Log[[#This Row],[Verb]]="done",Log[[#This Row],[Verb]]="punt",Log[[#This Row],[Verb]]="drop",Log[[#This Row],[Verb]]="pass"),Log[[#This Row],[Pts]],0)</f>
      </c>
    </row>
    <row r="1617">
      <c r="A1617" s="11">
        <v>46244</v>
      </c>
      <c r="B1617" t="s">
        <v>856</v>
      </c>
      <c r="C1617" t="s">
        <v>38</v>
      </c>
      <c r="D1617">
        <v>50</v>
      </c>
      <c r="F1617" s="17">
        <f>IF(Log[[#This Row],[ID]]="","",IF(ISNA(MATCH(Log[[#This Row],[ID]],Items[ID],0)),"unknown ID",IF(ISNA(MATCH(Log[[#This Row],[Verb]],VerbList,0)),"unknown verb",IF(Log[[#This Row],[Date]]="","no date",""))))</f>
      </c>
      <c r="G1617" s="17">
        <f>IF(Log[[#This Row],[ID]]="","",IFERROR(VLOOKUP(Log[[#This Row],[Verb]],Verbs,3,FALSE)&amp;"",""))</f>
      </c>
      <c r="H1617" s="17">
        <f>IF(Log[[#This Row],[Date]]="","",INT((Log[[#This Row],[Date]]-Sprint1)/SprintDays)+1)</f>
      </c>
      <c r="I1617" s="17">
        <f>IF(OR(Log[[#This Row],[Verb]]="commit",Log[[#This Row],[Verb]]="carry",Log[[#This Row],[Verb]]="redo"),IF(Log[[#This Row],[Arg]]="",Log[[#This Row],[Sprint]],N(Log[[#This Row],[Arg]])),"")</f>
      </c>
      <c r="J1617" s="17">
        <f>IF(Log[[#This Row],[Verb]]="block",1,IF(OR(Log[[#This Row],[Verb]]="unblock",Log[[#This Row],[Verb]]="done",Log[[#This Row],[Verb]]="drop",Log[[#This Row],[Verb]]="punt",Log[[#This Row],[Verb]]="pass"),0,""))</f>
      </c>
      <c r="K1617" s="17">
        <f>IF(Log[[#This Row],[ID]]="",0,IFERROR(INDEX(Items[Pts],MATCH(Log[[#This Row],[ID]],Items[ID],0))*1,0))</f>
      </c>
      <c r="L1617" s="17">
        <f>IF(Log[[#This Row],[ID]]="","",IFERROR(INDEX(Items[Cur team],MATCH(Log[[#This Row],[ID]],Items[ID],0))&amp;"",""))</f>
      </c>
      <c r="M1617" s="17">
        <f>IF(OR(Log[[#This Row],[Verb]]="done",Log[[#This Row],[Verb]]="punt",Log[[#This Row],[Verb]]="drop",Log[[#This Row],[Verb]]="pass"),Log[[#This Row],[Pts]],0)</f>
      </c>
    </row>
    <row r="1618">
      <c r="A1618" s="11">
        <v>46244</v>
      </c>
      <c r="B1618" t="s">
        <v>857</v>
      </c>
      <c r="C1618" t="s">
        <v>41</v>
      </c>
      <c r="F1618" s="17">
        <f>IF(Log[[#This Row],[ID]]="","",IF(ISNA(MATCH(Log[[#This Row],[ID]],Items[ID],0)),"unknown ID",IF(ISNA(MATCH(Log[[#This Row],[Verb]],VerbList,0)),"unknown verb",IF(Log[[#This Row],[Date]]="","no date",""))))</f>
      </c>
      <c r="G1618" s="17">
        <f>IF(Log[[#This Row],[ID]]="","",IFERROR(VLOOKUP(Log[[#This Row],[Verb]],Verbs,3,FALSE)&amp;"",""))</f>
      </c>
      <c r="H1618" s="17">
        <f>IF(Log[[#This Row],[Date]]="","",INT((Log[[#This Row],[Date]]-Sprint1)/SprintDays)+1)</f>
      </c>
      <c r="I1618" s="17">
        <f>IF(OR(Log[[#This Row],[Verb]]="commit",Log[[#This Row],[Verb]]="carry",Log[[#This Row],[Verb]]="redo"),IF(Log[[#This Row],[Arg]]="",Log[[#This Row],[Sprint]],N(Log[[#This Row],[Arg]])),"")</f>
      </c>
      <c r="J1618" s="17">
        <f>IF(Log[[#This Row],[Verb]]="block",1,IF(OR(Log[[#This Row],[Verb]]="unblock",Log[[#This Row],[Verb]]="done",Log[[#This Row],[Verb]]="drop",Log[[#This Row],[Verb]]="punt",Log[[#This Row],[Verb]]="pass"),0,""))</f>
      </c>
      <c r="K1618" s="17">
        <f>IF(Log[[#This Row],[ID]]="",0,IFERROR(INDEX(Items[Pts],MATCH(Log[[#This Row],[ID]],Items[ID],0))*1,0))</f>
      </c>
      <c r="L1618" s="17">
        <f>IF(Log[[#This Row],[ID]]="","",IFERROR(INDEX(Items[Cur team],MATCH(Log[[#This Row],[ID]],Items[ID],0))&amp;"",""))</f>
      </c>
      <c r="M1618" s="17">
        <f>IF(OR(Log[[#This Row],[Verb]]="done",Log[[#This Row],[Verb]]="punt",Log[[#This Row],[Verb]]="drop",Log[[#This Row],[Verb]]="pass"),Log[[#This Row],[Pts]],0)</f>
      </c>
    </row>
    <row r="1619">
      <c r="A1619" s="11">
        <v>46244</v>
      </c>
      <c r="B1619" t="s">
        <v>790</v>
      </c>
      <c r="C1619" t="s">
        <v>38</v>
      </c>
      <c r="D1619">
        <v>50</v>
      </c>
      <c r="F1619" s="17">
        <f>IF(Log[[#This Row],[ID]]="","",IF(ISNA(MATCH(Log[[#This Row],[ID]],Items[ID],0)),"unknown ID",IF(ISNA(MATCH(Log[[#This Row],[Verb]],VerbList,0)),"unknown verb",IF(Log[[#This Row],[Date]]="","no date",""))))</f>
      </c>
      <c r="G1619" s="17">
        <f>IF(Log[[#This Row],[ID]]="","",IFERROR(VLOOKUP(Log[[#This Row],[Verb]],Verbs,3,FALSE)&amp;"",""))</f>
      </c>
      <c r="H1619" s="17">
        <f>IF(Log[[#This Row],[Date]]="","",INT((Log[[#This Row],[Date]]-Sprint1)/SprintDays)+1)</f>
      </c>
      <c r="I1619" s="17">
        <f>IF(OR(Log[[#This Row],[Verb]]="commit",Log[[#This Row],[Verb]]="carry",Log[[#This Row],[Verb]]="redo"),IF(Log[[#This Row],[Arg]]="",Log[[#This Row],[Sprint]],N(Log[[#This Row],[Arg]])),"")</f>
      </c>
      <c r="J1619" s="17">
        <f>IF(Log[[#This Row],[Verb]]="block",1,IF(OR(Log[[#This Row],[Verb]]="unblock",Log[[#This Row],[Verb]]="done",Log[[#This Row],[Verb]]="drop",Log[[#This Row],[Verb]]="punt",Log[[#This Row],[Verb]]="pass"),0,""))</f>
      </c>
      <c r="K1619" s="17">
        <f>IF(Log[[#This Row],[ID]]="",0,IFERROR(INDEX(Items[Pts],MATCH(Log[[#This Row],[ID]],Items[ID],0))*1,0))</f>
      </c>
      <c r="L1619" s="17">
        <f>IF(Log[[#This Row],[ID]]="","",IFERROR(INDEX(Items[Cur team],MATCH(Log[[#This Row],[ID]],Items[ID],0))&amp;"",""))</f>
      </c>
      <c r="M1619" s="17">
        <f>IF(OR(Log[[#This Row],[Verb]]="done",Log[[#This Row],[Verb]]="punt",Log[[#This Row],[Verb]]="drop",Log[[#This Row],[Verb]]="pass"),Log[[#This Row],[Pts]],0)</f>
      </c>
    </row>
    <row r="1620">
      <c r="A1620" s="11">
        <v>46244</v>
      </c>
      <c r="B1620" t="s">
        <v>792</v>
      </c>
      <c r="C1620" t="s">
        <v>41</v>
      </c>
      <c r="F1620" s="17">
        <f>IF(Log[[#This Row],[ID]]="","",IF(ISNA(MATCH(Log[[#This Row],[ID]],Items[ID],0)),"unknown ID",IF(ISNA(MATCH(Log[[#This Row],[Verb]],VerbList,0)),"unknown verb",IF(Log[[#This Row],[Date]]="","no date",""))))</f>
      </c>
      <c r="G1620" s="17">
        <f>IF(Log[[#This Row],[ID]]="","",IFERROR(VLOOKUP(Log[[#This Row],[Verb]],Verbs,3,FALSE)&amp;"",""))</f>
      </c>
      <c r="H1620" s="17">
        <f>IF(Log[[#This Row],[Date]]="","",INT((Log[[#This Row],[Date]]-Sprint1)/SprintDays)+1)</f>
      </c>
      <c r="I1620" s="17">
        <f>IF(OR(Log[[#This Row],[Verb]]="commit",Log[[#This Row],[Verb]]="carry",Log[[#This Row],[Verb]]="redo"),IF(Log[[#This Row],[Arg]]="",Log[[#This Row],[Sprint]],N(Log[[#This Row],[Arg]])),"")</f>
      </c>
      <c r="J1620" s="17">
        <f>IF(Log[[#This Row],[Verb]]="block",1,IF(OR(Log[[#This Row],[Verb]]="unblock",Log[[#This Row],[Verb]]="done",Log[[#This Row],[Verb]]="drop",Log[[#This Row],[Verb]]="punt",Log[[#This Row],[Verb]]="pass"),0,""))</f>
      </c>
      <c r="K1620" s="17">
        <f>IF(Log[[#This Row],[ID]]="",0,IFERROR(INDEX(Items[Pts],MATCH(Log[[#This Row],[ID]],Items[ID],0))*1,0))</f>
      </c>
      <c r="L1620" s="17">
        <f>IF(Log[[#This Row],[ID]]="","",IFERROR(INDEX(Items[Cur team],MATCH(Log[[#This Row],[ID]],Items[ID],0))&amp;"",""))</f>
      </c>
      <c r="M1620" s="17">
        <f>IF(OR(Log[[#This Row],[Verb]]="done",Log[[#This Row],[Verb]]="punt",Log[[#This Row],[Verb]]="drop",Log[[#This Row],[Verb]]="pass"),Log[[#This Row],[Pts]],0)</f>
      </c>
    </row>
    <row r="1621">
      <c r="A1621" s="11">
        <v>46244</v>
      </c>
      <c r="B1621" t="s">
        <v>858</v>
      </c>
      <c r="C1621" t="s">
        <v>41</v>
      </c>
      <c r="F1621" s="17">
        <f>IF(Log[[#This Row],[ID]]="","",IF(ISNA(MATCH(Log[[#This Row],[ID]],Items[ID],0)),"unknown ID",IF(ISNA(MATCH(Log[[#This Row],[Verb]],VerbList,0)),"unknown verb",IF(Log[[#This Row],[Date]]="","no date",""))))</f>
      </c>
      <c r="G1621" s="17">
        <f>IF(Log[[#This Row],[ID]]="","",IFERROR(VLOOKUP(Log[[#This Row],[Verb]],Verbs,3,FALSE)&amp;"",""))</f>
      </c>
      <c r="H1621" s="17">
        <f>IF(Log[[#This Row],[Date]]="","",INT((Log[[#This Row],[Date]]-Sprint1)/SprintDays)+1)</f>
      </c>
      <c r="I1621" s="17">
        <f>IF(OR(Log[[#This Row],[Verb]]="commit",Log[[#This Row],[Verb]]="carry",Log[[#This Row],[Verb]]="redo"),IF(Log[[#This Row],[Arg]]="",Log[[#This Row],[Sprint]],N(Log[[#This Row],[Arg]])),"")</f>
      </c>
      <c r="J1621" s="17">
        <f>IF(Log[[#This Row],[Verb]]="block",1,IF(OR(Log[[#This Row],[Verb]]="unblock",Log[[#This Row],[Verb]]="done",Log[[#This Row],[Verb]]="drop",Log[[#This Row],[Verb]]="punt",Log[[#This Row],[Verb]]="pass"),0,""))</f>
      </c>
      <c r="K1621" s="17">
        <f>IF(Log[[#This Row],[ID]]="",0,IFERROR(INDEX(Items[Pts],MATCH(Log[[#This Row],[ID]],Items[ID],0))*1,0))</f>
      </c>
      <c r="L1621" s="17">
        <f>IF(Log[[#This Row],[ID]]="","",IFERROR(INDEX(Items[Cur team],MATCH(Log[[#This Row],[ID]],Items[ID],0))&amp;"",""))</f>
      </c>
      <c r="M1621" s="17">
        <f>IF(OR(Log[[#This Row],[Verb]]="done",Log[[#This Row],[Verb]]="punt",Log[[#This Row],[Verb]]="drop",Log[[#This Row],[Verb]]="pass"),Log[[#This Row],[Pts]],0)</f>
      </c>
    </row>
    <row r="1622">
      <c r="A1622" s="11">
        <v>46244</v>
      </c>
      <c r="B1622" t="s">
        <v>859</v>
      </c>
      <c r="C1622" t="s">
        <v>41</v>
      </c>
      <c r="F1622" s="17">
        <f>IF(Log[[#This Row],[ID]]="","",IF(ISNA(MATCH(Log[[#This Row],[ID]],Items[ID],0)),"unknown ID",IF(ISNA(MATCH(Log[[#This Row],[Verb]],VerbList,0)),"unknown verb",IF(Log[[#This Row],[Date]]="","no date",""))))</f>
      </c>
      <c r="G1622" s="17">
        <f>IF(Log[[#This Row],[ID]]="","",IFERROR(VLOOKUP(Log[[#This Row],[Verb]],Verbs,3,FALSE)&amp;"",""))</f>
      </c>
      <c r="H1622" s="17">
        <f>IF(Log[[#This Row],[Date]]="","",INT((Log[[#This Row],[Date]]-Sprint1)/SprintDays)+1)</f>
      </c>
      <c r="I1622" s="17">
        <f>IF(OR(Log[[#This Row],[Verb]]="commit",Log[[#This Row],[Verb]]="carry",Log[[#This Row],[Verb]]="redo"),IF(Log[[#This Row],[Arg]]="",Log[[#This Row],[Sprint]],N(Log[[#This Row],[Arg]])),"")</f>
      </c>
      <c r="J1622" s="17">
        <f>IF(Log[[#This Row],[Verb]]="block",1,IF(OR(Log[[#This Row],[Verb]]="unblock",Log[[#This Row],[Verb]]="done",Log[[#This Row],[Verb]]="drop",Log[[#This Row],[Verb]]="punt",Log[[#This Row],[Verb]]="pass"),0,""))</f>
      </c>
      <c r="K1622" s="17">
        <f>IF(Log[[#This Row],[ID]]="",0,IFERROR(INDEX(Items[Pts],MATCH(Log[[#This Row],[ID]],Items[ID],0))*1,0))</f>
      </c>
      <c r="L1622" s="17">
        <f>IF(Log[[#This Row],[ID]]="","",IFERROR(INDEX(Items[Cur team],MATCH(Log[[#This Row],[ID]],Items[ID],0))&amp;"",""))</f>
      </c>
      <c r="M1622" s="17">
        <f>IF(OR(Log[[#This Row],[Verb]]="done",Log[[#This Row],[Verb]]="punt",Log[[#This Row],[Verb]]="drop",Log[[#This Row],[Verb]]="pass"),Log[[#This Row],[Pts]],0)</f>
      </c>
    </row>
    <row r="1623">
      <c r="A1623" s="11">
        <v>46244</v>
      </c>
      <c r="B1623" t="s">
        <v>860</v>
      </c>
      <c r="C1623" t="s">
        <v>41</v>
      </c>
      <c r="F1623" s="17">
        <f>IF(Log[[#This Row],[ID]]="","",IF(ISNA(MATCH(Log[[#This Row],[ID]],Items[ID],0)),"unknown ID",IF(ISNA(MATCH(Log[[#This Row],[Verb]],VerbList,0)),"unknown verb",IF(Log[[#This Row],[Date]]="","no date",""))))</f>
      </c>
      <c r="G1623" s="17">
        <f>IF(Log[[#This Row],[ID]]="","",IFERROR(VLOOKUP(Log[[#This Row],[Verb]],Verbs,3,FALSE)&amp;"",""))</f>
      </c>
      <c r="H1623" s="17">
        <f>IF(Log[[#This Row],[Date]]="","",INT((Log[[#This Row],[Date]]-Sprint1)/SprintDays)+1)</f>
      </c>
      <c r="I1623" s="17">
        <f>IF(OR(Log[[#This Row],[Verb]]="commit",Log[[#This Row],[Verb]]="carry",Log[[#This Row],[Verb]]="redo"),IF(Log[[#This Row],[Arg]]="",Log[[#This Row],[Sprint]],N(Log[[#This Row],[Arg]])),"")</f>
      </c>
      <c r="J1623" s="17">
        <f>IF(Log[[#This Row],[Verb]]="block",1,IF(OR(Log[[#This Row],[Verb]]="unblock",Log[[#This Row],[Verb]]="done",Log[[#This Row],[Verb]]="drop",Log[[#This Row],[Verb]]="punt",Log[[#This Row],[Verb]]="pass"),0,""))</f>
      </c>
      <c r="K1623" s="17">
        <f>IF(Log[[#This Row],[ID]]="",0,IFERROR(INDEX(Items[Pts],MATCH(Log[[#This Row],[ID]],Items[ID],0))*1,0))</f>
      </c>
      <c r="L1623" s="17">
        <f>IF(Log[[#This Row],[ID]]="","",IFERROR(INDEX(Items[Cur team],MATCH(Log[[#This Row],[ID]],Items[ID],0))&amp;"",""))</f>
      </c>
      <c r="M1623" s="17">
        <f>IF(OR(Log[[#This Row],[Verb]]="done",Log[[#This Row],[Verb]]="punt",Log[[#This Row],[Verb]]="drop",Log[[#This Row],[Verb]]="pass"),Log[[#This Row],[Pts]],0)</f>
      </c>
    </row>
    <row r="1624">
      <c r="A1624" s="11">
        <v>46244</v>
      </c>
      <c r="B1624" t="s">
        <v>861</v>
      </c>
      <c r="C1624" t="s">
        <v>41</v>
      </c>
      <c r="F1624" s="17">
        <f>IF(Log[[#This Row],[ID]]="","",IF(ISNA(MATCH(Log[[#This Row],[ID]],Items[ID],0)),"unknown ID",IF(ISNA(MATCH(Log[[#This Row],[Verb]],VerbList,0)),"unknown verb",IF(Log[[#This Row],[Date]]="","no date",""))))</f>
      </c>
      <c r="G1624" s="17">
        <f>IF(Log[[#This Row],[ID]]="","",IFERROR(VLOOKUP(Log[[#This Row],[Verb]],Verbs,3,FALSE)&amp;"",""))</f>
      </c>
      <c r="H1624" s="17">
        <f>IF(Log[[#This Row],[Date]]="","",INT((Log[[#This Row],[Date]]-Sprint1)/SprintDays)+1)</f>
      </c>
      <c r="I1624" s="17">
        <f>IF(OR(Log[[#This Row],[Verb]]="commit",Log[[#This Row],[Verb]]="carry",Log[[#This Row],[Verb]]="redo"),IF(Log[[#This Row],[Arg]]="",Log[[#This Row],[Sprint]],N(Log[[#This Row],[Arg]])),"")</f>
      </c>
      <c r="J1624" s="17">
        <f>IF(Log[[#This Row],[Verb]]="block",1,IF(OR(Log[[#This Row],[Verb]]="unblock",Log[[#This Row],[Verb]]="done",Log[[#This Row],[Verb]]="drop",Log[[#This Row],[Verb]]="punt",Log[[#This Row],[Verb]]="pass"),0,""))</f>
      </c>
      <c r="K1624" s="17">
        <f>IF(Log[[#This Row],[ID]]="",0,IFERROR(INDEX(Items[Pts],MATCH(Log[[#This Row],[ID]],Items[ID],0))*1,0))</f>
      </c>
      <c r="L1624" s="17">
        <f>IF(Log[[#This Row],[ID]]="","",IFERROR(INDEX(Items[Cur team],MATCH(Log[[#This Row],[ID]],Items[ID],0))&amp;"",""))</f>
      </c>
      <c r="M1624" s="17">
        <f>IF(OR(Log[[#This Row],[Verb]]="done",Log[[#This Row],[Verb]]="punt",Log[[#This Row],[Verb]]="drop",Log[[#This Row],[Verb]]="pass"),Log[[#This Row],[Pts]],0)</f>
      </c>
    </row>
    <row r="1625">
      <c r="A1625" s="11">
        <v>46244</v>
      </c>
      <c r="B1625" t="s">
        <v>862</v>
      </c>
      <c r="C1625" t="s">
        <v>41</v>
      </c>
      <c r="F1625" s="17">
        <f>IF(Log[[#This Row],[ID]]="","",IF(ISNA(MATCH(Log[[#This Row],[ID]],Items[ID],0)),"unknown ID",IF(ISNA(MATCH(Log[[#This Row],[Verb]],VerbList,0)),"unknown verb",IF(Log[[#This Row],[Date]]="","no date",""))))</f>
      </c>
      <c r="G1625" s="17">
        <f>IF(Log[[#This Row],[ID]]="","",IFERROR(VLOOKUP(Log[[#This Row],[Verb]],Verbs,3,FALSE)&amp;"",""))</f>
      </c>
      <c r="H1625" s="17">
        <f>IF(Log[[#This Row],[Date]]="","",INT((Log[[#This Row],[Date]]-Sprint1)/SprintDays)+1)</f>
      </c>
      <c r="I1625" s="17">
        <f>IF(OR(Log[[#This Row],[Verb]]="commit",Log[[#This Row],[Verb]]="carry",Log[[#This Row],[Verb]]="redo"),IF(Log[[#This Row],[Arg]]="",Log[[#This Row],[Sprint]],N(Log[[#This Row],[Arg]])),"")</f>
      </c>
      <c r="J1625" s="17">
        <f>IF(Log[[#This Row],[Verb]]="block",1,IF(OR(Log[[#This Row],[Verb]]="unblock",Log[[#This Row],[Verb]]="done",Log[[#This Row],[Verb]]="drop",Log[[#This Row],[Verb]]="punt",Log[[#This Row],[Verb]]="pass"),0,""))</f>
      </c>
      <c r="K1625" s="17">
        <f>IF(Log[[#This Row],[ID]]="",0,IFERROR(INDEX(Items[Pts],MATCH(Log[[#This Row],[ID]],Items[ID],0))*1,0))</f>
      </c>
      <c r="L1625" s="17">
        <f>IF(Log[[#This Row],[ID]]="","",IFERROR(INDEX(Items[Cur team],MATCH(Log[[#This Row],[ID]],Items[ID],0))&amp;"",""))</f>
      </c>
      <c r="M1625" s="17">
        <f>IF(OR(Log[[#This Row],[Verb]]="done",Log[[#This Row],[Verb]]="punt",Log[[#This Row],[Verb]]="drop",Log[[#This Row],[Verb]]="pass"),Log[[#This Row],[Pts]],0)</f>
      </c>
    </row>
    <row r="1626">
      <c r="A1626" s="11">
        <v>46244</v>
      </c>
      <c r="B1626" t="s">
        <v>863</v>
      </c>
      <c r="C1626" t="s">
        <v>41</v>
      </c>
      <c r="F1626" s="17">
        <f>IF(Log[[#This Row],[ID]]="","",IF(ISNA(MATCH(Log[[#This Row],[ID]],Items[ID],0)),"unknown ID",IF(ISNA(MATCH(Log[[#This Row],[Verb]],VerbList,0)),"unknown verb",IF(Log[[#This Row],[Date]]="","no date",""))))</f>
      </c>
      <c r="G1626" s="17">
        <f>IF(Log[[#This Row],[ID]]="","",IFERROR(VLOOKUP(Log[[#This Row],[Verb]],Verbs,3,FALSE)&amp;"",""))</f>
      </c>
      <c r="H1626" s="17">
        <f>IF(Log[[#This Row],[Date]]="","",INT((Log[[#This Row],[Date]]-Sprint1)/SprintDays)+1)</f>
      </c>
      <c r="I1626" s="17">
        <f>IF(OR(Log[[#This Row],[Verb]]="commit",Log[[#This Row],[Verb]]="carry",Log[[#This Row],[Verb]]="redo"),IF(Log[[#This Row],[Arg]]="",Log[[#This Row],[Sprint]],N(Log[[#This Row],[Arg]])),"")</f>
      </c>
      <c r="J1626" s="17">
        <f>IF(Log[[#This Row],[Verb]]="block",1,IF(OR(Log[[#This Row],[Verb]]="unblock",Log[[#This Row],[Verb]]="done",Log[[#This Row],[Verb]]="drop",Log[[#This Row],[Verb]]="punt",Log[[#This Row],[Verb]]="pass"),0,""))</f>
      </c>
      <c r="K1626" s="17">
        <f>IF(Log[[#This Row],[ID]]="",0,IFERROR(INDEX(Items[Pts],MATCH(Log[[#This Row],[ID]],Items[ID],0))*1,0))</f>
      </c>
      <c r="L1626" s="17">
        <f>IF(Log[[#This Row],[ID]]="","",IFERROR(INDEX(Items[Cur team],MATCH(Log[[#This Row],[ID]],Items[ID],0))&amp;"",""))</f>
      </c>
      <c r="M1626" s="17">
        <f>IF(OR(Log[[#This Row],[Verb]]="done",Log[[#This Row],[Verb]]="punt",Log[[#This Row],[Verb]]="drop",Log[[#This Row],[Verb]]="pass"),Log[[#This Row],[Pts]],0)</f>
      </c>
    </row>
    <row r="1627">
      <c r="A1627" s="11">
        <v>46244</v>
      </c>
      <c r="B1627" t="s">
        <v>864</v>
      </c>
      <c r="C1627" t="s">
        <v>41</v>
      </c>
      <c r="F1627" s="17">
        <f>IF(Log[[#This Row],[ID]]="","",IF(ISNA(MATCH(Log[[#This Row],[ID]],Items[ID],0)),"unknown ID",IF(ISNA(MATCH(Log[[#This Row],[Verb]],VerbList,0)),"unknown verb",IF(Log[[#This Row],[Date]]="","no date",""))))</f>
      </c>
      <c r="G1627" s="17">
        <f>IF(Log[[#This Row],[ID]]="","",IFERROR(VLOOKUP(Log[[#This Row],[Verb]],Verbs,3,FALSE)&amp;"",""))</f>
      </c>
      <c r="H1627" s="17">
        <f>IF(Log[[#This Row],[Date]]="","",INT((Log[[#This Row],[Date]]-Sprint1)/SprintDays)+1)</f>
      </c>
      <c r="I1627" s="17">
        <f>IF(OR(Log[[#This Row],[Verb]]="commit",Log[[#This Row],[Verb]]="carry",Log[[#This Row],[Verb]]="redo"),IF(Log[[#This Row],[Arg]]="",Log[[#This Row],[Sprint]],N(Log[[#This Row],[Arg]])),"")</f>
      </c>
      <c r="J1627" s="17">
        <f>IF(Log[[#This Row],[Verb]]="block",1,IF(OR(Log[[#This Row],[Verb]]="unblock",Log[[#This Row],[Verb]]="done",Log[[#This Row],[Verb]]="drop",Log[[#This Row],[Verb]]="punt",Log[[#This Row],[Verb]]="pass"),0,""))</f>
      </c>
      <c r="K1627" s="17">
        <f>IF(Log[[#This Row],[ID]]="",0,IFERROR(INDEX(Items[Pts],MATCH(Log[[#This Row],[ID]],Items[ID],0))*1,0))</f>
      </c>
      <c r="L1627" s="17">
        <f>IF(Log[[#This Row],[ID]]="","",IFERROR(INDEX(Items[Cur team],MATCH(Log[[#This Row],[ID]],Items[ID],0))&amp;"",""))</f>
      </c>
      <c r="M1627" s="17">
        <f>IF(OR(Log[[#This Row],[Verb]]="done",Log[[#This Row],[Verb]]="punt",Log[[#This Row],[Verb]]="drop",Log[[#This Row],[Verb]]="pass"),Log[[#This Row],[Pts]],0)</f>
      </c>
    </row>
    <row r="1628">
      <c r="A1628" s="11">
        <v>46244</v>
      </c>
      <c r="B1628" t="s">
        <v>865</v>
      </c>
      <c r="C1628" t="s">
        <v>38</v>
      </c>
      <c r="D1628">
        <v>50</v>
      </c>
      <c r="F1628" s="17">
        <f>IF(Log[[#This Row],[ID]]="","",IF(ISNA(MATCH(Log[[#This Row],[ID]],Items[ID],0)),"unknown ID",IF(ISNA(MATCH(Log[[#This Row],[Verb]],VerbList,0)),"unknown verb",IF(Log[[#This Row],[Date]]="","no date",""))))</f>
      </c>
      <c r="G1628" s="17">
        <f>IF(Log[[#This Row],[ID]]="","",IFERROR(VLOOKUP(Log[[#This Row],[Verb]],Verbs,3,FALSE)&amp;"",""))</f>
      </c>
      <c r="H1628" s="17">
        <f>IF(Log[[#This Row],[Date]]="","",INT((Log[[#This Row],[Date]]-Sprint1)/SprintDays)+1)</f>
      </c>
      <c r="I1628" s="17">
        <f>IF(OR(Log[[#This Row],[Verb]]="commit",Log[[#This Row],[Verb]]="carry",Log[[#This Row],[Verb]]="redo"),IF(Log[[#This Row],[Arg]]="",Log[[#This Row],[Sprint]],N(Log[[#This Row],[Arg]])),"")</f>
      </c>
      <c r="J1628" s="17">
        <f>IF(Log[[#This Row],[Verb]]="block",1,IF(OR(Log[[#This Row],[Verb]]="unblock",Log[[#This Row],[Verb]]="done",Log[[#This Row],[Verb]]="drop",Log[[#This Row],[Verb]]="punt",Log[[#This Row],[Verb]]="pass"),0,""))</f>
      </c>
      <c r="K1628" s="17">
        <f>IF(Log[[#This Row],[ID]]="",0,IFERROR(INDEX(Items[Pts],MATCH(Log[[#This Row],[ID]],Items[ID],0))*1,0))</f>
      </c>
      <c r="L1628" s="17">
        <f>IF(Log[[#This Row],[ID]]="","",IFERROR(INDEX(Items[Cur team],MATCH(Log[[#This Row],[ID]],Items[ID],0))&amp;"",""))</f>
      </c>
      <c r="M1628" s="17">
        <f>IF(OR(Log[[#This Row],[Verb]]="done",Log[[#This Row],[Verb]]="punt",Log[[#This Row],[Verb]]="drop",Log[[#This Row],[Verb]]="pass"),Log[[#This Row],[Pts]],0)</f>
      </c>
    </row>
    <row r="1629">
      <c r="A1629" s="11">
        <v>46244</v>
      </c>
      <c r="B1629" t="s">
        <v>866</v>
      </c>
      <c r="C1629" t="s">
        <v>41</v>
      </c>
      <c r="F1629" s="17">
        <f>IF(Log[[#This Row],[ID]]="","",IF(ISNA(MATCH(Log[[#This Row],[ID]],Items[ID],0)),"unknown ID",IF(ISNA(MATCH(Log[[#This Row],[Verb]],VerbList,0)),"unknown verb",IF(Log[[#This Row],[Date]]="","no date",""))))</f>
      </c>
      <c r="G1629" s="17">
        <f>IF(Log[[#This Row],[ID]]="","",IFERROR(VLOOKUP(Log[[#This Row],[Verb]],Verbs,3,FALSE)&amp;"",""))</f>
      </c>
      <c r="H1629" s="17">
        <f>IF(Log[[#This Row],[Date]]="","",INT((Log[[#This Row],[Date]]-Sprint1)/SprintDays)+1)</f>
      </c>
      <c r="I1629" s="17">
        <f>IF(OR(Log[[#This Row],[Verb]]="commit",Log[[#This Row],[Verb]]="carry",Log[[#This Row],[Verb]]="redo"),IF(Log[[#This Row],[Arg]]="",Log[[#This Row],[Sprint]],N(Log[[#This Row],[Arg]])),"")</f>
      </c>
      <c r="J1629" s="17">
        <f>IF(Log[[#This Row],[Verb]]="block",1,IF(OR(Log[[#This Row],[Verb]]="unblock",Log[[#This Row],[Verb]]="done",Log[[#This Row],[Verb]]="drop",Log[[#This Row],[Verb]]="punt",Log[[#This Row],[Verb]]="pass"),0,""))</f>
      </c>
      <c r="K1629" s="17">
        <f>IF(Log[[#This Row],[ID]]="",0,IFERROR(INDEX(Items[Pts],MATCH(Log[[#This Row],[ID]],Items[ID],0))*1,0))</f>
      </c>
      <c r="L1629" s="17">
        <f>IF(Log[[#This Row],[ID]]="","",IFERROR(INDEX(Items[Cur team],MATCH(Log[[#This Row],[ID]],Items[ID],0))&amp;"",""))</f>
      </c>
      <c r="M1629" s="17">
        <f>IF(OR(Log[[#This Row],[Verb]]="done",Log[[#This Row],[Verb]]="punt",Log[[#This Row],[Verb]]="drop",Log[[#This Row],[Verb]]="pass"),Log[[#This Row],[Pts]],0)</f>
      </c>
    </row>
    <row r="1630">
      <c r="A1630" s="11">
        <v>46244</v>
      </c>
      <c r="B1630" t="s">
        <v>867</v>
      </c>
      <c r="C1630" t="s">
        <v>41</v>
      </c>
      <c r="F1630" s="17">
        <f>IF(Log[[#This Row],[ID]]="","",IF(ISNA(MATCH(Log[[#This Row],[ID]],Items[ID],0)),"unknown ID",IF(ISNA(MATCH(Log[[#This Row],[Verb]],VerbList,0)),"unknown verb",IF(Log[[#This Row],[Date]]="","no date",""))))</f>
      </c>
      <c r="G1630" s="17">
        <f>IF(Log[[#This Row],[ID]]="","",IFERROR(VLOOKUP(Log[[#This Row],[Verb]],Verbs,3,FALSE)&amp;"",""))</f>
      </c>
      <c r="H1630" s="17">
        <f>IF(Log[[#This Row],[Date]]="","",INT((Log[[#This Row],[Date]]-Sprint1)/SprintDays)+1)</f>
      </c>
      <c r="I1630" s="17">
        <f>IF(OR(Log[[#This Row],[Verb]]="commit",Log[[#This Row],[Verb]]="carry",Log[[#This Row],[Verb]]="redo"),IF(Log[[#This Row],[Arg]]="",Log[[#This Row],[Sprint]],N(Log[[#This Row],[Arg]])),"")</f>
      </c>
      <c r="J1630" s="17">
        <f>IF(Log[[#This Row],[Verb]]="block",1,IF(OR(Log[[#This Row],[Verb]]="unblock",Log[[#This Row],[Verb]]="done",Log[[#This Row],[Verb]]="drop",Log[[#This Row],[Verb]]="punt",Log[[#This Row],[Verb]]="pass"),0,""))</f>
      </c>
      <c r="K1630" s="17">
        <f>IF(Log[[#This Row],[ID]]="",0,IFERROR(INDEX(Items[Pts],MATCH(Log[[#This Row],[ID]],Items[ID],0))*1,0))</f>
      </c>
      <c r="L1630" s="17">
        <f>IF(Log[[#This Row],[ID]]="","",IFERROR(INDEX(Items[Cur team],MATCH(Log[[#This Row],[ID]],Items[ID],0))&amp;"",""))</f>
      </c>
      <c r="M1630" s="17">
        <f>IF(OR(Log[[#This Row],[Verb]]="done",Log[[#This Row],[Verb]]="punt",Log[[#This Row],[Verb]]="drop",Log[[#This Row],[Verb]]="pass"),Log[[#This Row],[Pts]],0)</f>
      </c>
    </row>
    <row r="1631">
      <c r="A1631" s="11">
        <v>46244</v>
      </c>
      <c r="B1631" t="s">
        <v>868</v>
      </c>
      <c r="C1631" t="s">
        <v>41</v>
      </c>
      <c r="F1631" s="17">
        <f>IF(Log[[#This Row],[ID]]="","",IF(ISNA(MATCH(Log[[#This Row],[ID]],Items[ID],0)),"unknown ID",IF(ISNA(MATCH(Log[[#This Row],[Verb]],VerbList,0)),"unknown verb",IF(Log[[#This Row],[Date]]="","no date",""))))</f>
      </c>
      <c r="G1631" s="17">
        <f>IF(Log[[#This Row],[ID]]="","",IFERROR(VLOOKUP(Log[[#This Row],[Verb]],Verbs,3,FALSE)&amp;"",""))</f>
      </c>
      <c r="H1631" s="17">
        <f>IF(Log[[#This Row],[Date]]="","",INT((Log[[#This Row],[Date]]-Sprint1)/SprintDays)+1)</f>
      </c>
      <c r="I1631" s="17">
        <f>IF(OR(Log[[#This Row],[Verb]]="commit",Log[[#This Row],[Verb]]="carry",Log[[#This Row],[Verb]]="redo"),IF(Log[[#This Row],[Arg]]="",Log[[#This Row],[Sprint]],N(Log[[#This Row],[Arg]])),"")</f>
      </c>
      <c r="J1631" s="17">
        <f>IF(Log[[#This Row],[Verb]]="block",1,IF(OR(Log[[#This Row],[Verb]]="unblock",Log[[#This Row],[Verb]]="done",Log[[#This Row],[Verb]]="drop",Log[[#This Row],[Verb]]="punt",Log[[#This Row],[Verb]]="pass"),0,""))</f>
      </c>
      <c r="K1631" s="17">
        <f>IF(Log[[#This Row],[ID]]="",0,IFERROR(INDEX(Items[Pts],MATCH(Log[[#This Row],[ID]],Items[ID],0))*1,0))</f>
      </c>
      <c r="L1631" s="17">
        <f>IF(Log[[#This Row],[ID]]="","",IFERROR(INDEX(Items[Cur team],MATCH(Log[[#This Row],[ID]],Items[ID],0))&amp;"",""))</f>
      </c>
      <c r="M1631" s="17">
        <f>IF(OR(Log[[#This Row],[Verb]]="done",Log[[#This Row],[Verb]]="punt",Log[[#This Row],[Verb]]="drop",Log[[#This Row],[Verb]]="pass"),Log[[#This Row],[Pts]],0)</f>
      </c>
    </row>
    <row r="1632">
      <c r="A1632" s="11">
        <v>46244</v>
      </c>
      <c r="B1632" t="s">
        <v>869</v>
      </c>
      <c r="C1632" t="s">
        <v>41</v>
      </c>
      <c r="F1632" s="17">
        <f>IF(Log[[#This Row],[ID]]="","",IF(ISNA(MATCH(Log[[#This Row],[ID]],Items[ID],0)),"unknown ID",IF(ISNA(MATCH(Log[[#This Row],[Verb]],VerbList,0)),"unknown verb",IF(Log[[#This Row],[Date]]="","no date",""))))</f>
      </c>
      <c r="G1632" s="17">
        <f>IF(Log[[#This Row],[ID]]="","",IFERROR(VLOOKUP(Log[[#This Row],[Verb]],Verbs,3,FALSE)&amp;"",""))</f>
      </c>
      <c r="H1632" s="17">
        <f>IF(Log[[#This Row],[Date]]="","",INT((Log[[#This Row],[Date]]-Sprint1)/SprintDays)+1)</f>
      </c>
      <c r="I1632" s="17">
        <f>IF(OR(Log[[#This Row],[Verb]]="commit",Log[[#This Row],[Verb]]="carry",Log[[#This Row],[Verb]]="redo"),IF(Log[[#This Row],[Arg]]="",Log[[#This Row],[Sprint]],N(Log[[#This Row],[Arg]])),"")</f>
      </c>
      <c r="J1632" s="17">
        <f>IF(Log[[#This Row],[Verb]]="block",1,IF(OR(Log[[#This Row],[Verb]]="unblock",Log[[#This Row],[Verb]]="done",Log[[#This Row],[Verb]]="drop",Log[[#This Row],[Verb]]="punt",Log[[#This Row],[Verb]]="pass"),0,""))</f>
      </c>
      <c r="K1632" s="17">
        <f>IF(Log[[#This Row],[ID]]="",0,IFERROR(INDEX(Items[Pts],MATCH(Log[[#This Row],[ID]],Items[ID],0))*1,0))</f>
      </c>
      <c r="L1632" s="17">
        <f>IF(Log[[#This Row],[ID]]="","",IFERROR(INDEX(Items[Cur team],MATCH(Log[[#This Row],[ID]],Items[ID],0))&amp;"",""))</f>
      </c>
      <c r="M1632" s="17">
        <f>IF(OR(Log[[#This Row],[Verb]]="done",Log[[#This Row],[Verb]]="punt",Log[[#This Row],[Verb]]="drop",Log[[#This Row],[Verb]]="pass"),Log[[#This Row],[Pts]],0)</f>
      </c>
    </row>
    <row r="1633">
      <c r="A1633" s="11">
        <v>46244</v>
      </c>
      <c r="B1633" t="s">
        <v>870</v>
      </c>
      <c r="C1633" t="s">
        <v>41</v>
      </c>
      <c r="F1633" s="17">
        <f>IF(Log[[#This Row],[ID]]="","",IF(ISNA(MATCH(Log[[#This Row],[ID]],Items[ID],0)),"unknown ID",IF(ISNA(MATCH(Log[[#This Row],[Verb]],VerbList,0)),"unknown verb",IF(Log[[#This Row],[Date]]="","no date",""))))</f>
      </c>
      <c r="G1633" s="17">
        <f>IF(Log[[#This Row],[ID]]="","",IFERROR(VLOOKUP(Log[[#This Row],[Verb]],Verbs,3,FALSE)&amp;"",""))</f>
      </c>
      <c r="H1633" s="17">
        <f>IF(Log[[#This Row],[Date]]="","",INT((Log[[#This Row],[Date]]-Sprint1)/SprintDays)+1)</f>
      </c>
      <c r="I1633" s="17">
        <f>IF(OR(Log[[#This Row],[Verb]]="commit",Log[[#This Row],[Verb]]="carry",Log[[#This Row],[Verb]]="redo"),IF(Log[[#This Row],[Arg]]="",Log[[#This Row],[Sprint]],N(Log[[#This Row],[Arg]])),"")</f>
      </c>
      <c r="J1633" s="17">
        <f>IF(Log[[#This Row],[Verb]]="block",1,IF(OR(Log[[#This Row],[Verb]]="unblock",Log[[#This Row],[Verb]]="done",Log[[#This Row],[Verb]]="drop",Log[[#This Row],[Verb]]="punt",Log[[#This Row],[Verb]]="pass"),0,""))</f>
      </c>
      <c r="K1633" s="17">
        <f>IF(Log[[#This Row],[ID]]="",0,IFERROR(INDEX(Items[Pts],MATCH(Log[[#This Row],[ID]],Items[ID],0))*1,0))</f>
      </c>
      <c r="L1633" s="17">
        <f>IF(Log[[#This Row],[ID]]="","",IFERROR(INDEX(Items[Cur team],MATCH(Log[[#This Row],[ID]],Items[ID],0))&amp;"",""))</f>
      </c>
      <c r="M1633" s="17">
        <f>IF(OR(Log[[#This Row],[Verb]]="done",Log[[#This Row],[Verb]]="punt",Log[[#This Row],[Verb]]="drop",Log[[#This Row],[Verb]]="pass"),Log[[#This Row],[Pts]],0)</f>
      </c>
    </row>
    <row r="1634">
      <c r="A1634" s="11">
        <v>46244</v>
      </c>
      <c r="B1634" t="s">
        <v>871</v>
      </c>
      <c r="C1634" t="s">
        <v>41</v>
      </c>
      <c r="F1634" s="17">
        <f>IF(Log[[#This Row],[ID]]="","",IF(ISNA(MATCH(Log[[#This Row],[ID]],Items[ID],0)),"unknown ID",IF(ISNA(MATCH(Log[[#This Row],[Verb]],VerbList,0)),"unknown verb",IF(Log[[#This Row],[Date]]="","no date",""))))</f>
      </c>
      <c r="G1634" s="17">
        <f>IF(Log[[#This Row],[ID]]="","",IFERROR(VLOOKUP(Log[[#This Row],[Verb]],Verbs,3,FALSE)&amp;"",""))</f>
      </c>
      <c r="H1634" s="17">
        <f>IF(Log[[#This Row],[Date]]="","",INT((Log[[#This Row],[Date]]-Sprint1)/SprintDays)+1)</f>
      </c>
      <c r="I1634" s="17">
        <f>IF(OR(Log[[#This Row],[Verb]]="commit",Log[[#This Row],[Verb]]="carry",Log[[#This Row],[Verb]]="redo"),IF(Log[[#This Row],[Arg]]="",Log[[#This Row],[Sprint]],N(Log[[#This Row],[Arg]])),"")</f>
      </c>
      <c r="J1634" s="17">
        <f>IF(Log[[#This Row],[Verb]]="block",1,IF(OR(Log[[#This Row],[Verb]]="unblock",Log[[#This Row],[Verb]]="done",Log[[#This Row],[Verb]]="drop",Log[[#This Row],[Verb]]="punt",Log[[#This Row],[Verb]]="pass"),0,""))</f>
      </c>
      <c r="K1634" s="17">
        <f>IF(Log[[#This Row],[ID]]="",0,IFERROR(INDEX(Items[Pts],MATCH(Log[[#This Row],[ID]],Items[ID],0))*1,0))</f>
      </c>
      <c r="L1634" s="17">
        <f>IF(Log[[#This Row],[ID]]="","",IFERROR(INDEX(Items[Cur team],MATCH(Log[[#This Row],[ID]],Items[ID],0))&amp;"",""))</f>
      </c>
      <c r="M1634" s="17">
        <f>IF(OR(Log[[#This Row],[Verb]]="done",Log[[#This Row],[Verb]]="punt",Log[[#This Row],[Verb]]="drop",Log[[#This Row],[Verb]]="pass"),Log[[#This Row],[Pts]],0)</f>
      </c>
    </row>
    <row r="1635">
      <c r="A1635" s="11">
        <v>46244</v>
      </c>
      <c r="B1635" t="s">
        <v>872</v>
      </c>
      <c r="C1635" t="s">
        <v>41</v>
      </c>
      <c r="F1635" s="17">
        <f>IF(Log[[#This Row],[ID]]="","",IF(ISNA(MATCH(Log[[#This Row],[ID]],Items[ID],0)),"unknown ID",IF(ISNA(MATCH(Log[[#This Row],[Verb]],VerbList,0)),"unknown verb",IF(Log[[#This Row],[Date]]="","no date",""))))</f>
      </c>
      <c r="G1635" s="17">
        <f>IF(Log[[#This Row],[ID]]="","",IFERROR(VLOOKUP(Log[[#This Row],[Verb]],Verbs,3,FALSE)&amp;"",""))</f>
      </c>
      <c r="H1635" s="17">
        <f>IF(Log[[#This Row],[Date]]="","",INT((Log[[#This Row],[Date]]-Sprint1)/SprintDays)+1)</f>
      </c>
      <c r="I1635" s="17">
        <f>IF(OR(Log[[#This Row],[Verb]]="commit",Log[[#This Row],[Verb]]="carry",Log[[#This Row],[Verb]]="redo"),IF(Log[[#This Row],[Arg]]="",Log[[#This Row],[Sprint]],N(Log[[#This Row],[Arg]])),"")</f>
      </c>
      <c r="J1635" s="17">
        <f>IF(Log[[#This Row],[Verb]]="block",1,IF(OR(Log[[#This Row],[Verb]]="unblock",Log[[#This Row],[Verb]]="done",Log[[#This Row],[Verb]]="drop",Log[[#This Row],[Verb]]="punt",Log[[#This Row],[Verb]]="pass"),0,""))</f>
      </c>
      <c r="K1635" s="17">
        <f>IF(Log[[#This Row],[ID]]="",0,IFERROR(INDEX(Items[Pts],MATCH(Log[[#This Row],[ID]],Items[ID],0))*1,0))</f>
      </c>
      <c r="L1635" s="17">
        <f>IF(Log[[#This Row],[ID]]="","",IFERROR(INDEX(Items[Cur team],MATCH(Log[[#This Row],[ID]],Items[ID],0))&amp;"",""))</f>
      </c>
      <c r="M1635" s="17">
        <f>IF(OR(Log[[#This Row],[Verb]]="done",Log[[#This Row],[Verb]]="punt",Log[[#This Row],[Verb]]="drop",Log[[#This Row],[Verb]]="pass"),Log[[#This Row],[Pts]],0)</f>
      </c>
    </row>
    <row r="1636">
      <c r="A1636" s="11">
        <v>46244</v>
      </c>
      <c r="B1636" t="s">
        <v>873</v>
      </c>
      <c r="C1636" t="s">
        <v>38</v>
      </c>
      <c r="D1636">
        <v>50</v>
      </c>
      <c r="F1636" s="17">
        <f>IF(Log[[#This Row],[ID]]="","",IF(ISNA(MATCH(Log[[#This Row],[ID]],Items[ID],0)),"unknown ID",IF(ISNA(MATCH(Log[[#This Row],[Verb]],VerbList,0)),"unknown verb",IF(Log[[#This Row],[Date]]="","no date",""))))</f>
      </c>
      <c r="G1636" s="17">
        <f>IF(Log[[#This Row],[ID]]="","",IFERROR(VLOOKUP(Log[[#This Row],[Verb]],Verbs,3,FALSE)&amp;"",""))</f>
      </c>
      <c r="H1636" s="17">
        <f>IF(Log[[#This Row],[Date]]="","",INT((Log[[#This Row],[Date]]-Sprint1)/SprintDays)+1)</f>
      </c>
      <c r="I1636" s="17">
        <f>IF(OR(Log[[#This Row],[Verb]]="commit",Log[[#This Row],[Verb]]="carry",Log[[#This Row],[Verb]]="redo"),IF(Log[[#This Row],[Arg]]="",Log[[#This Row],[Sprint]],N(Log[[#This Row],[Arg]])),"")</f>
      </c>
      <c r="J1636" s="17">
        <f>IF(Log[[#This Row],[Verb]]="block",1,IF(OR(Log[[#This Row],[Verb]]="unblock",Log[[#This Row],[Verb]]="done",Log[[#This Row],[Verb]]="drop",Log[[#This Row],[Verb]]="punt",Log[[#This Row],[Verb]]="pass"),0,""))</f>
      </c>
      <c r="K1636" s="17">
        <f>IF(Log[[#This Row],[ID]]="",0,IFERROR(INDEX(Items[Pts],MATCH(Log[[#This Row],[ID]],Items[ID],0))*1,0))</f>
      </c>
      <c r="L1636" s="17">
        <f>IF(Log[[#This Row],[ID]]="","",IFERROR(INDEX(Items[Cur team],MATCH(Log[[#This Row],[ID]],Items[ID],0))&amp;"",""))</f>
      </c>
      <c r="M1636" s="17">
        <f>IF(OR(Log[[#This Row],[Verb]]="done",Log[[#This Row],[Verb]]="punt",Log[[#This Row],[Verb]]="drop",Log[[#This Row],[Verb]]="pass"),Log[[#This Row],[Pts]],0)</f>
      </c>
    </row>
    <row r="1637">
      <c r="A1637" s="11">
        <v>46244</v>
      </c>
      <c r="B1637" t="s">
        <v>874</v>
      </c>
      <c r="C1637" t="s">
        <v>38</v>
      </c>
      <c r="D1637">
        <v>50</v>
      </c>
      <c r="F1637" s="17">
        <f>IF(Log[[#This Row],[ID]]="","",IF(ISNA(MATCH(Log[[#This Row],[ID]],Items[ID],0)),"unknown ID",IF(ISNA(MATCH(Log[[#This Row],[Verb]],VerbList,0)),"unknown verb",IF(Log[[#This Row],[Date]]="","no date",""))))</f>
      </c>
      <c r="G1637" s="17">
        <f>IF(Log[[#This Row],[ID]]="","",IFERROR(VLOOKUP(Log[[#This Row],[Verb]],Verbs,3,FALSE)&amp;"",""))</f>
      </c>
      <c r="H1637" s="17">
        <f>IF(Log[[#This Row],[Date]]="","",INT((Log[[#This Row],[Date]]-Sprint1)/SprintDays)+1)</f>
      </c>
      <c r="I1637" s="17">
        <f>IF(OR(Log[[#This Row],[Verb]]="commit",Log[[#This Row],[Verb]]="carry",Log[[#This Row],[Verb]]="redo"),IF(Log[[#This Row],[Arg]]="",Log[[#This Row],[Sprint]],N(Log[[#This Row],[Arg]])),"")</f>
      </c>
      <c r="J1637" s="17">
        <f>IF(Log[[#This Row],[Verb]]="block",1,IF(OR(Log[[#This Row],[Verb]]="unblock",Log[[#This Row],[Verb]]="done",Log[[#This Row],[Verb]]="drop",Log[[#This Row],[Verb]]="punt",Log[[#This Row],[Verb]]="pass"),0,""))</f>
      </c>
      <c r="K1637" s="17">
        <f>IF(Log[[#This Row],[ID]]="",0,IFERROR(INDEX(Items[Pts],MATCH(Log[[#This Row],[ID]],Items[ID],0))*1,0))</f>
      </c>
      <c r="L1637" s="17">
        <f>IF(Log[[#This Row],[ID]]="","",IFERROR(INDEX(Items[Cur team],MATCH(Log[[#This Row],[ID]],Items[ID],0))&amp;"",""))</f>
      </c>
      <c r="M1637" s="17">
        <f>IF(OR(Log[[#This Row],[Verb]]="done",Log[[#This Row],[Verb]]="punt",Log[[#This Row],[Verb]]="drop",Log[[#This Row],[Verb]]="pass"),Log[[#This Row],[Pts]],0)</f>
      </c>
    </row>
    <row r="1638">
      <c r="A1638" s="11">
        <v>46244</v>
      </c>
      <c r="B1638" t="s">
        <v>875</v>
      </c>
      <c r="C1638" t="s">
        <v>41</v>
      </c>
      <c r="F1638" s="17">
        <f>IF(Log[[#This Row],[ID]]="","",IF(ISNA(MATCH(Log[[#This Row],[ID]],Items[ID],0)),"unknown ID",IF(ISNA(MATCH(Log[[#This Row],[Verb]],VerbList,0)),"unknown verb",IF(Log[[#This Row],[Date]]="","no date",""))))</f>
      </c>
      <c r="G1638" s="17">
        <f>IF(Log[[#This Row],[ID]]="","",IFERROR(VLOOKUP(Log[[#This Row],[Verb]],Verbs,3,FALSE)&amp;"",""))</f>
      </c>
      <c r="H1638" s="17">
        <f>IF(Log[[#This Row],[Date]]="","",INT((Log[[#This Row],[Date]]-Sprint1)/SprintDays)+1)</f>
      </c>
      <c r="I1638" s="17">
        <f>IF(OR(Log[[#This Row],[Verb]]="commit",Log[[#This Row],[Verb]]="carry",Log[[#This Row],[Verb]]="redo"),IF(Log[[#This Row],[Arg]]="",Log[[#This Row],[Sprint]],N(Log[[#This Row],[Arg]])),"")</f>
      </c>
      <c r="J1638" s="17">
        <f>IF(Log[[#This Row],[Verb]]="block",1,IF(OR(Log[[#This Row],[Verb]]="unblock",Log[[#This Row],[Verb]]="done",Log[[#This Row],[Verb]]="drop",Log[[#This Row],[Verb]]="punt",Log[[#This Row],[Verb]]="pass"),0,""))</f>
      </c>
      <c r="K1638" s="17">
        <f>IF(Log[[#This Row],[ID]]="",0,IFERROR(INDEX(Items[Pts],MATCH(Log[[#This Row],[ID]],Items[ID],0))*1,0))</f>
      </c>
      <c r="L1638" s="17">
        <f>IF(Log[[#This Row],[ID]]="","",IFERROR(INDEX(Items[Cur team],MATCH(Log[[#This Row],[ID]],Items[ID],0))&amp;"",""))</f>
      </c>
      <c r="M1638" s="17">
        <f>IF(OR(Log[[#This Row],[Verb]]="done",Log[[#This Row],[Verb]]="punt",Log[[#This Row],[Verb]]="drop",Log[[#This Row],[Verb]]="pass"),Log[[#This Row],[Pts]],0)</f>
      </c>
    </row>
    <row r="1639">
      <c r="A1639" s="11">
        <v>46244</v>
      </c>
      <c r="B1639" t="s">
        <v>876</v>
      </c>
      <c r="C1639" t="s">
        <v>41</v>
      </c>
      <c r="F1639" s="17">
        <f>IF(Log[[#This Row],[ID]]="","",IF(ISNA(MATCH(Log[[#This Row],[ID]],Items[ID],0)),"unknown ID",IF(ISNA(MATCH(Log[[#This Row],[Verb]],VerbList,0)),"unknown verb",IF(Log[[#This Row],[Date]]="","no date",""))))</f>
      </c>
      <c r="G1639" s="17">
        <f>IF(Log[[#This Row],[ID]]="","",IFERROR(VLOOKUP(Log[[#This Row],[Verb]],Verbs,3,FALSE)&amp;"",""))</f>
      </c>
      <c r="H1639" s="17">
        <f>IF(Log[[#This Row],[Date]]="","",INT((Log[[#This Row],[Date]]-Sprint1)/SprintDays)+1)</f>
      </c>
      <c r="I1639" s="17">
        <f>IF(OR(Log[[#This Row],[Verb]]="commit",Log[[#This Row],[Verb]]="carry",Log[[#This Row],[Verb]]="redo"),IF(Log[[#This Row],[Arg]]="",Log[[#This Row],[Sprint]],N(Log[[#This Row],[Arg]])),"")</f>
      </c>
      <c r="J1639" s="17">
        <f>IF(Log[[#This Row],[Verb]]="block",1,IF(OR(Log[[#This Row],[Verb]]="unblock",Log[[#This Row],[Verb]]="done",Log[[#This Row],[Verb]]="drop",Log[[#This Row],[Verb]]="punt",Log[[#This Row],[Verb]]="pass"),0,""))</f>
      </c>
      <c r="K1639" s="17">
        <f>IF(Log[[#This Row],[ID]]="",0,IFERROR(INDEX(Items[Pts],MATCH(Log[[#This Row],[ID]],Items[ID],0))*1,0))</f>
      </c>
      <c r="L1639" s="17">
        <f>IF(Log[[#This Row],[ID]]="","",IFERROR(INDEX(Items[Cur team],MATCH(Log[[#This Row],[ID]],Items[ID],0))&amp;"",""))</f>
      </c>
      <c r="M1639" s="17">
        <f>IF(OR(Log[[#This Row],[Verb]]="done",Log[[#This Row],[Verb]]="punt",Log[[#This Row],[Verb]]="drop",Log[[#This Row],[Verb]]="pass"),Log[[#This Row],[Pts]],0)</f>
      </c>
    </row>
    <row r="1640">
      <c r="A1640" s="11">
        <v>46244</v>
      </c>
      <c r="B1640" t="s">
        <v>877</v>
      </c>
      <c r="C1640" t="s">
        <v>54</v>
      </c>
      <c r="E1640" t="s">
        <v>235</v>
      </c>
      <c r="F1640" s="17">
        <f>IF(Log[[#This Row],[ID]]="","",IF(ISNA(MATCH(Log[[#This Row],[ID]],Items[ID],0)),"unknown ID",IF(ISNA(MATCH(Log[[#This Row],[Verb]],VerbList,0)),"unknown verb",IF(Log[[#This Row],[Date]]="","no date",""))))</f>
      </c>
      <c r="G1640" s="17">
        <f>IF(Log[[#This Row],[ID]]="","",IFERROR(VLOOKUP(Log[[#This Row],[Verb]],Verbs,3,FALSE)&amp;"",""))</f>
      </c>
      <c r="H1640" s="17">
        <f>IF(Log[[#This Row],[Date]]="","",INT((Log[[#This Row],[Date]]-Sprint1)/SprintDays)+1)</f>
      </c>
      <c r="I1640" s="17">
        <f>IF(OR(Log[[#This Row],[Verb]]="commit",Log[[#This Row],[Verb]]="carry",Log[[#This Row],[Verb]]="redo"),IF(Log[[#This Row],[Arg]]="",Log[[#This Row],[Sprint]],N(Log[[#This Row],[Arg]])),"")</f>
      </c>
      <c r="J1640" s="17">
        <f>IF(Log[[#This Row],[Verb]]="block",1,IF(OR(Log[[#This Row],[Verb]]="unblock",Log[[#This Row],[Verb]]="done",Log[[#This Row],[Verb]]="drop",Log[[#This Row],[Verb]]="punt",Log[[#This Row],[Verb]]="pass"),0,""))</f>
      </c>
      <c r="K1640" s="17">
        <f>IF(Log[[#This Row],[ID]]="",0,IFERROR(INDEX(Items[Pts],MATCH(Log[[#This Row],[ID]],Items[ID],0))*1,0))</f>
      </c>
      <c r="L1640" s="17">
        <f>IF(Log[[#This Row],[ID]]="","",IFERROR(INDEX(Items[Cur team],MATCH(Log[[#This Row],[ID]],Items[ID],0))&amp;"",""))</f>
      </c>
      <c r="M1640" s="17">
        <f>IF(OR(Log[[#This Row],[Verb]]="done",Log[[#This Row],[Verb]]="punt",Log[[#This Row],[Verb]]="drop",Log[[#This Row],[Verb]]="pass"),Log[[#This Row],[Pts]],0)</f>
      </c>
    </row>
    <row r="1641">
      <c r="A1641" s="11">
        <v>46244</v>
      </c>
      <c r="B1641" t="s">
        <v>878</v>
      </c>
      <c r="C1641" t="s">
        <v>41</v>
      </c>
      <c r="F1641" s="17">
        <f>IF(Log[[#This Row],[ID]]="","",IF(ISNA(MATCH(Log[[#This Row],[ID]],Items[ID],0)),"unknown ID",IF(ISNA(MATCH(Log[[#This Row],[Verb]],VerbList,0)),"unknown verb",IF(Log[[#This Row],[Date]]="","no date",""))))</f>
      </c>
      <c r="G1641" s="17">
        <f>IF(Log[[#This Row],[ID]]="","",IFERROR(VLOOKUP(Log[[#This Row],[Verb]],Verbs,3,FALSE)&amp;"",""))</f>
      </c>
      <c r="H1641" s="17">
        <f>IF(Log[[#This Row],[Date]]="","",INT((Log[[#This Row],[Date]]-Sprint1)/SprintDays)+1)</f>
      </c>
      <c r="I1641" s="17">
        <f>IF(OR(Log[[#This Row],[Verb]]="commit",Log[[#This Row],[Verb]]="carry",Log[[#This Row],[Verb]]="redo"),IF(Log[[#This Row],[Arg]]="",Log[[#This Row],[Sprint]],N(Log[[#This Row],[Arg]])),"")</f>
      </c>
      <c r="J1641" s="17">
        <f>IF(Log[[#This Row],[Verb]]="block",1,IF(OR(Log[[#This Row],[Verb]]="unblock",Log[[#This Row],[Verb]]="done",Log[[#This Row],[Verb]]="drop",Log[[#This Row],[Verb]]="punt",Log[[#This Row],[Verb]]="pass"),0,""))</f>
      </c>
      <c r="K1641" s="17">
        <f>IF(Log[[#This Row],[ID]]="",0,IFERROR(INDEX(Items[Pts],MATCH(Log[[#This Row],[ID]],Items[ID],0))*1,0))</f>
      </c>
      <c r="L1641" s="17">
        <f>IF(Log[[#This Row],[ID]]="","",IFERROR(INDEX(Items[Cur team],MATCH(Log[[#This Row],[ID]],Items[ID],0))&amp;"",""))</f>
      </c>
      <c r="M1641" s="17">
        <f>IF(OR(Log[[#This Row],[Verb]]="done",Log[[#This Row],[Verb]]="punt",Log[[#This Row],[Verb]]="drop",Log[[#This Row],[Verb]]="pass"),Log[[#This Row],[Pts]],0)</f>
      </c>
    </row>
    <row r="1642">
      <c r="A1642" s="11">
        <v>46244</v>
      </c>
      <c r="B1642" t="s">
        <v>805</v>
      </c>
      <c r="C1642" t="s">
        <v>41</v>
      </c>
      <c r="F1642" s="17">
        <f>IF(Log[[#This Row],[ID]]="","",IF(ISNA(MATCH(Log[[#This Row],[ID]],Items[ID],0)),"unknown ID",IF(ISNA(MATCH(Log[[#This Row],[Verb]],VerbList,0)),"unknown verb",IF(Log[[#This Row],[Date]]="","no date",""))))</f>
      </c>
      <c r="G1642" s="17">
        <f>IF(Log[[#This Row],[ID]]="","",IFERROR(VLOOKUP(Log[[#This Row],[Verb]],Verbs,3,FALSE)&amp;"",""))</f>
      </c>
      <c r="H1642" s="17">
        <f>IF(Log[[#This Row],[Date]]="","",INT((Log[[#This Row],[Date]]-Sprint1)/SprintDays)+1)</f>
      </c>
      <c r="I1642" s="17">
        <f>IF(OR(Log[[#This Row],[Verb]]="commit",Log[[#This Row],[Verb]]="carry",Log[[#This Row],[Verb]]="redo"),IF(Log[[#This Row],[Arg]]="",Log[[#This Row],[Sprint]],N(Log[[#This Row],[Arg]])),"")</f>
      </c>
      <c r="J1642" s="17">
        <f>IF(Log[[#This Row],[Verb]]="block",1,IF(OR(Log[[#This Row],[Verb]]="unblock",Log[[#This Row],[Verb]]="done",Log[[#This Row],[Verb]]="drop",Log[[#This Row],[Verb]]="punt",Log[[#This Row],[Verb]]="pass"),0,""))</f>
      </c>
      <c r="K1642" s="17">
        <f>IF(Log[[#This Row],[ID]]="",0,IFERROR(INDEX(Items[Pts],MATCH(Log[[#This Row],[ID]],Items[ID],0))*1,0))</f>
      </c>
      <c r="L1642" s="17">
        <f>IF(Log[[#This Row],[ID]]="","",IFERROR(INDEX(Items[Cur team],MATCH(Log[[#This Row],[ID]],Items[ID],0))&amp;"",""))</f>
      </c>
      <c r="M1642" s="17">
        <f>IF(OR(Log[[#This Row],[Verb]]="done",Log[[#This Row],[Verb]]="punt",Log[[#This Row],[Verb]]="drop",Log[[#This Row],[Verb]]="pass"),Log[[#This Row],[Pts]],0)</f>
      </c>
    </row>
    <row r="1643">
      <c r="A1643" s="11">
        <v>46244</v>
      </c>
      <c r="B1643" t="s">
        <v>879</v>
      </c>
      <c r="C1643" t="s">
        <v>41</v>
      </c>
      <c r="F1643" s="17">
        <f>IF(Log[[#This Row],[ID]]="","",IF(ISNA(MATCH(Log[[#This Row],[ID]],Items[ID],0)),"unknown ID",IF(ISNA(MATCH(Log[[#This Row],[Verb]],VerbList,0)),"unknown verb",IF(Log[[#This Row],[Date]]="","no date",""))))</f>
      </c>
      <c r="G1643" s="17">
        <f>IF(Log[[#This Row],[ID]]="","",IFERROR(VLOOKUP(Log[[#This Row],[Verb]],Verbs,3,FALSE)&amp;"",""))</f>
      </c>
      <c r="H1643" s="17">
        <f>IF(Log[[#This Row],[Date]]="","",INT((Log[[#This Row],[Date]]-Sprint1)/SprintDays)+1)</f>
      </c>
      <c r="I1643" s="17">
        <f>IF(OR(Log[[#This Row],[Verb]]="commit",Log[[#This Row],[Verb]]="carry",Log[[#This Row],[Verb]]="redo"),IF(Log[[#This Row],[Arg]]="",Log[[#This Row],[Sprint]],N(Log[[#This Row],[Arg]])),"")</f>
      </c>
      <c r="J1643" s="17">
        <f>IF(Log[[#This Row],[Verb]]="block",1,IF(OR(Log[[#This Row],[Verb]]="unblock",Log[[#This Row],[Verb]]="done",Log[[#This Row],[Verb]]="drop",Log[[#This Row],[Verb]]="punt",Log[[#This Row],[Verb]]="pass"),0,""))</f>
      </c>
      <c r="K1643" s="17">
        <f>IF(Log[[#This Row],[ID]]="",0,IFERROR(INDEX(Items[Pts],MATCH(Log[[#This Row],[ID]],Items[ID],0))*1,0))</f>
      </c>
      <c r="L1643" s="17">
        <f>IF(Log[[#This Row],[ID]]="","",IFERROR(INDEX(Items[Cur team],MATCH(Log[[#This Row],[ID]],Items[ID],0))&amp;"",""))</f>
      </c>
      <c r="M1643" s="17">
        <f>IF(OR(Log[[#This Row],[Verb]]="done",Log[[#This Row],[Verb]]="punt",Log[[#This Row],[Verb]]="drop",Log[[#This Row],[Verb]]="pass"),Log[[#This Row],[Pts]],0)</f>
      </c>
    </row>
    <row r="1644">
      <c r="A1644" s="11">
        <v>46244</v>
      </c>
      <c r="B1644" t="s">
        <v>880</v>
      </c>
      <c r="C1644" t="s">
        <v>41</v>
      </c>
      <c r="F1644" s="17">
        <f>IF(Log[[#This Row],[ID]]="","",IF(ISNA(MATCH(Log[[#This Row],[ID]],Items[ID],0)),"unknown ID",IF(ISNA(MATCH(Log[[#This Row],[Verb]],VerbList,0)),"unknown verb",IF(Log[[#This Row],[Date]]="","no date",""))))</f>
      </c>
      <c r="G1644" s="17">
        <f>IF(Log[[#This Row],[ID]]="","",IFERROR(VLOOKUP(Log[[#This Row],[Verb]],Verbs,3,FALSE)&amp;"",""))</f>
      </c>
      <c r="H1644" s="17">
        <f>IF(Log[[#This Row],[Date]]="","",INT((Log[[#This Row],[Date]]-Sprint1)/SprintDays)+1)</f>
      </c>
      <c r="I1644" s="17">
        <f>IF(OR(Log[[#This Row],[Verb]]="commit",Log[[#This Row],[Verb]]="carry",Log[[#This Row],[Verb]]="redo"),IF(Log[[#This Row],[Arg]]="",Log[[#This Row],[Sprint]],N(Log[[#This Row],[Arg]])),"")</f>
      </c>
      <c r="J1644" s="17">
        <f>IF(Log[[#This Row],[Verb]]="block",1,IF(OR(Log[[#This Row],[Verb]]="unblock",Log[[#This Row],[Verb]]="done",Log[[#This Row],[Verb]]="drop",Log[[#This Row],[Verb]]="punt",Log[[#This Row],[Verb]]="pass"),0,""))</f>
      </c>
      <c r="K1644" s="17">
        <f>IF(Log[[#This Row],[ID]]="",0,IFERROR(INDEX(Items[Pts],MATCH(Log[[#This Row],[ID]],Items[ID],0))*1,0))</f>
      </c>
      <c r="L1644" s="17">
        <f>IF(Log[[#This Row],[ID]]="","",IFERROR(INDEX(Items[Cur team],MATCH(Log[[#This Row],[ID]],Items[ID],0))&amp;"",""))</f>
      </c>
      <c r="M1644" s="17">
        <f>IF(OR(Log[[#This Row],[Verb]]="done",Log[[#This Row],[Verb]]="punt",Log[[#This Row],[Verb]]="drop",Log[[#This Row],[Verb]]="pass"),Log[[#This Row],[Pts]],0)</f>
      </c>
    </row>
    <row r="1645">
      <c r="A1645" s="11">
        <v>46244</v>
      </c>
      <c r="B1645" t="s">
        <v>881</v>
      </c>
      <c r="C1645" t="s">
        <v>41</v>
      </c>
      <c r="F1645" s="17">
        <f>IF(Log[[#This Row],[ID]]="","",IF(ISNA(MATCH(Log[[#This Row],[ID]],Items[ID],0)),"unknown ID",IF(ISNA(MATCH(Log[[#This Row],[Verb]],VerbList,0)),"unknown verb",IF(Log[[#This Row],[Date]]="","no date",""))))</f>
      </c>
      <c r="G1645" s="17">
        <f>IF(Log[[#This Row],[ID]]="","",IFERROR(VLOOKUP(Log[[#This Row],[Verb]],Verbs,3,FALSE)&amp;"",""))</f>
      </c>
      <c r="H1645" s="17">
        <f>IF(Log[[#This Row],[Date]]="","",INT((Log[[#This Row],[Date]]-Sprint1)/SprintDays)+1)</f>
      </c>
      <c r="I1645" s="17">
        <f>IF(OR(Log[[#This Row],[Verb]]="commit",Log[[#This Row],[Verb]]="carry",Log[[#This Row],[Verb]]="redo"),IF(Log[[#This Row],[Arg]]="",Log[[#This Row],[Sprint]],N(Log[[#This Row],[Arg]])),"")</f>
      </c>
      <c r="J1645" s="17">
        <f>IF(Log[[#This Row],[Verb]]="block",1,IF(OR(Log[[#This Row],[Verb]]="unblock",Log[[#This Row],[Verb]]="done",Log[[#This Row],[Verb]]="drop",Log[[#This Row],[Verb]]="punt",Log[[#This Row],[Verb]]="pass"),0,""))</f>
      </c>
      <c r="K1645" s="17">
        <f>IF(Log[[#This Row],[ID]]="",0,IFERROR(INDEX(Items[Pts],MATCH(Log[[#This Row],[ID]],Items[ID],0))*1,0))</f>
      </c>
      <c r="L1645" s="17">
        <f>IF(Log[[#This Row],[ID]]="","",IFERROR(INDEX(Items[Cur team],MATCH(Log[[#This Row],[ID]],Items[ID],0))&amp;"",""))</f>
      </c>
      <c r="M1645" s="17">
        <f>IF(OR(Log[[#This Row],[Verb]]="done",Log[[#This Row],[Verb]]="punt",Log[[#This Row],[Verb]]="drop",Log[[#This Row],[Verb]]="pass"),Log[[#This Row],[Pts]],0)</f>
      </c>
    </row>
    <row r="1646">
      <c r="A1646" s="11">
        <v>46244</v>
      </c>
      <c r="B1646" t="s">
        <v>882</v>
      </c>
      <c r="C1646" t="s">
        <v>38</v>
      </c>
      <c r="D1646">
        <v>50</v>
      </c>
      <c r="F1646" s="17">
        <f>IF(Log[[#This Row],[ID]]="","",IF(ISNA(MATCH(Log[[#This Row],[ID]],Items[ID],0)),"unknown ID",IF(ISNA(MATCH(Log[[#This Row],[Verb]],VerbList,0)),"unknown verb",IF(Log[[#This Row],[Date]]="","no date",""))))</f>
      </c>
      <c r="G1646" s="17">
        <f>IF(Log[[#This Row],[ID]]="","",IFERROR(VLOOKUP(Log[[#This Row],[Verb]],Verbs,3,FALSE)&amp;"",""))</f>
      </c>
      <c r="H1646" s="17">
        <f>IF(Log[[#This Row],[Date]]="","",INT((Log[[#This Row],[Date]]-Sprint1)/SprintDays)+1)</f>
      </c>
      <c r="I1646" s="17">
        <f>IF(OR(Log[[#This Row],[Verb]]="commit",Log[[#This Row],[Verb]]="carry",Log[[#This Row],[Verb]]="redo"),IF(Log[[#This Row],[Arg]]="",Log[[#This Row],[Sprint]],N(Log[[#This Row],[Arg]])),"")</f>
      </c>
      <c r="J1646" s="17">
        <f>IF(Log[[#This Row],[Verb]]="block",1,IF(OR(Log[[#This Row],[Verb]]="unblock",Log[[#This Row],[Verb]]="done",Log[[#This Row],[Verb]]="drop",Log[[#This Row],[Verb]]="punt",Log[[#This Row],[Verb]]="pass"),0,""))</f>
      </c>
      <c r="K1646" s="17">
        <f>IF(Log[[#This Row],[ID]]="",0,IFERROR(INDEX(Items[Pts],MATCH(Log[[#This Row],[ID]],Items[ID],0))*1,0))</f>
      </c>
      <c r="L1646" s="17">
        <f>IF(Log[[#This Row],[ID]]="","",IFERROR(INDEX(Items[Cur team],MATCH(Log[[#This Row],[ID]],Items[ID],0))&amp;"",""))</f>
      </c>
      <c r="M1646" s="17">
        <f>IF(OR(Log[[#This Row],[Verb]]="done",Log[[#This Row],[Verb]]="punt",Log[[#This Row],[Verb]]="drop",Log[[#This Row],[Verb]]="pass"),Log[[#This Row],[Pts]],0)</f>
      </c>
    </row>
    <row r="1647">
      <c r="A1647" s="11">
        <v>46244</v>
      </c>
      <c r="B1647" t="s">
        <v>883</v>
      </c>
      <c r="C1647" t="s">
        <v>38</v>
      </c>
      <c r="D1647">
        <v>50</v>
      </c>
      <c r="F1647" s="17">
        <f>IF(Log[[#This Row],[ID]]="","",IF(ISNA(MATCH(Log[[#This Row],[ID]],Items[ID],0)),"unknown ID",IF(ISNA(MATCH(Log[[#This Row],[Verb]],VerbList,0)),"unknown verb",IF(Log[[#This Row],[Date]]="","no date",""))))</f>
      </c>
      <c r="G1647" s="17">
        <f>IF(Log[[#This Row],[ID]]="","",IFERROR(VLOOKUP(Log[[#This Row],[Verb]],Verbs,3,FALSE)&amp;"",""))</f>
      </c>
      <c r="H1647" s="17">
        <f>IF(Log[[#This Row],[Date]]="","",INT((Log[[#This Row],[Date]]-Sprint1)/SprintDays)+1)</f>
      </c>
      <c r="I1647" s="17">
        <f>IF(OR(Log[[#This Row],[Verb]]="commit",Log[[#This Row],[Verb]]="carry",Log[[#This Row],[Verb]]="redo"),IF(Log[[#This Row],[Arg]]="",Log[[#This Row],[Sprint]],N(Log[[#This Row],[Arg]])),"")</f>
      </c>
      <c r="J1647" s="17">
        <f>IF(Log[[#This Row],[Verb]]="block",1,IF(OR(Log[[#This Row],[Verb]]="unblock",Log[[#This Row],[Verb]]="done",Log[[#This Row],[Verb]]="drop",Log[[#This Row],[Verb]]="punt",Log[[#This Row],[Verb]]="pass"),0,""))</f>
      </c>
      <c r="K1647" s="17">
        <f>IF(Log[[#This Row],[ID]]="",0,IFERROR(INDEX(Items[Pts],MATCH(Log[[#This Row],[ID]],Items[ID],0))*1,0))</f>
      </c>
      <c r="L1647" s="17">
        <f>IF(Log[[#This Row],[ID]]="","",IFERROR(INDEX(Items[Cur team],MATCH(Log[[#This Row],[ID]],Items[ID],0))&amp;"",""))</f>
      </c>
      <c r="M1647" s="17">
        <f>IF(OR(Log[[#This Row],[Verb]]="done",Log[[#This Row],[Verb]]="punt",Log[[#This Row],[Verb]]="drop",Log[[#This Row],[Verb]]="pass"),Log[[#This Row],[Pts]],0)</f>
      </c>
    </row>
    <row r="1648">
      <c r="A1648" s="11">
        <v>46244</v>
      </c>
      <c r="B1648" t="s">
        <v>884</v>
      </c>
      <c r="C1648" t="s">
        <v>41</v>
      </c>
      <c r="F1648" s="17">
        <f>IF(Log[[#This Row],[ID]]="","",IF(ISNA(MATCH(Log[[#This Row],[ID]],Items[ID],0)),"unknown ID",IF(ISNA(MATCH(Log[[#This Row],[Verb]],VerbList,0)),"unknown verb",IF(Log[[#This Row],[Date]]="","no date",""))))</f>
      </c>
      <c r="G1648" s="17">
        <f>IF(Log[[#This Row],[ID]]="","",IFERROR(VLOOKUP(Log[[#This Row],[Verb]],Verbs,3,FALSE)&amp;"",""))</f>
      </c>
      <c r="H1648" s="17">
        <f>IF(Log[[#This Row],[Date]]="","",INT((Log[[#This Row],[Date]]-Sprint1)/SprintDays)+1)</f>
      </c>
      <c r="I1648" s="17">
        <f>IF(OR(Log[[#This Row],[Verb]]="commit",Log[[#This Row],[Verb]]="carry",Log[[#This Row],[Verb]]="redo"),IF(Log[[#This Row],[Arg]]="",Log[[#This Row],[Sprint]],N(Log[[#This Row],[Arg]])),"")</f>
      </c>
      <c r="J1648" s="17">
        <f>IF(Log[[#This Row],[Verb]]="block",1,IF(OR(Log[[#This Row],[Verb]]="unblock",Log[[#This Row],[Verb]]="done",Log[[#This Row],[Verb]]="drop",Log[[#This Row],[Verb]]="punt",Log[[#This Row],[Verb]]="pass"),0,""))</f>
      </c>
      <c r="K1648" s="17">
        <f>IF(Log[[#This Row],[ID]]="",0,IFERROR(INDEX(Items[Pts],MATCH(Log[[#This Row],[ID]],Items[ID],0))*1,0))</f>
      </c>
      <c r="L1648" s="17">
        <f>IF(Log[[#This Row],[ID]]="","",IFERROR(INDEX(Items[Cur team],MATCH(Log[[#This Row],[ID]],Items[ID],0))&amp;"",""))</f>
      </c>
      <c r="M1648" s="17">
        <f>IF(OR(Log[[#This Row],[Verb]]="done",Log[[#This Row],[Verb]]="punt",Log[[#This Row],[Verb]]="drop",Log[[#This Row],[Verb]]="pass"),Log[[#This Row],[Pts]],0)</f>
      </c>
    </row>
    <row r="1649">
      <c r="A1649" s="11">
        <v>46244</v>
      </c>
      <c r="B1649" t="s">
        <v>885</v>
      </c>
      <c r="C1649" t="s">
        <v>38</v>
      </c>
      <c r="D1649">
        <v>50</v>
      </c>
      <c r="F1649" s="17">
        <f>IF(Log[[#This Row],[ID]]="","",IF(ISNA(MATCH(Log[[#This Row],[ID]],Items[ID],0)),"unknown ID",IF(ISNA(MATCH(Log[[#This Row],[Verb]],VerbList,0)),"unknown verb",IF(Log[[#This Row],[Date]]="","no date",""))))</f>
      </c>
      <c r="G1649" s="17">
        <f>IF(Log[[#This Row],[ID]]="","",IFERROR(VLOOKUP(Log[[#This Row],[Verb]],Verbs,3,FALSE)&amp;"",""))</f>
      </c>
      <c r="H1649" s="17">
        <f>IF(Log[[#This Row],[Date]]="","",INT((Log[[#This Row],[Date]]-Sprint1)/SprintDays)+1)</f>
      </c>
      <c r="I1649" s="17">
        <f>IF(OR(Log[[#This Row],[Verb]]="commit",Log[[#This Row],[Verb]]="carry",Log[[#This Row],[Verb]]="redo"),IF(Log[[#This Row],[Arg]]="",Log[[#This Row],[Sprint]],N(Log[[#This Row],[Arg]])),"")</f>
      </c>
      <c r="J1649" s="17">
        <f>IF(Log[[#This Row],[Verb]]="block",1,IF(OR(Log[[#This Row],[Verb]]="unblock",Log[[#This Row],[Verb]]="done",Log[[#This Row],[Verb]]="drop",Log[[#This Row],[Verb]]="punt",Log[[#This Row],[Verb]]="pass"),0,""))</f>
      </c>
      <c r="K1649" s="17">
        <f>IF(Log[[#This Row],[ID]]="",0,IFERROR(INDEX(Items[Pts],MATCH(Log[[#This Row],[ID]],Items[ID],0))*1,0))</f>
      </c>
      <c r="L1649" s="17">
        <f>IF(Log[[#This Row],[ID]]="","",IFERROR(INDEX(Items[Cur team],MATCH(Log[[#This Row],[ID]],Items[ID],0))&amp;"",""))</f>
      </c>
      <c r="M1649" s="17">
        <f>IF(OR(Log[[#This Row],[Verb]]="done",Log[[#This Row],[Verb]]="punt",Log[[#This Row],[Verb]]="drop",Log[[#This Row],[Verb]]="pass"),Log[[#This Row],[Pts]],0)</f>
      </c>
    </row>
    <row r="1650">
      <c r="A1650" s="11">
        <v>46244</v>
      </c>
      <c r="B1650" t="s">
        <v>886</v>
      </c>
      <c r="C1650" t="s">
        <v>41</v>
      </c>
      <c r="F1650" s="17">
        <f>IF(Log[[#This Row],[ID]]="","",IF(ISNA(MATCH(Log[[#This Row],[ID]],Items[ID],0)),"unknown ID",IF(ISNA(MATCH(Log[[#This Row],[Verb]],VerbList,0)),"unknown verb",IF(Log[[#This Row],[Date]]="","no date",""))))</f>
      </c>
      <c r="G1650" s="17">
        <f>IF(Log[[#This Row],[ID]]="","",IFERROR(VLOOKUP(Log[[#This Row],[Verb]],Verbs,3,FALSE)&amp;"",""))</f>
      </c>
      <c r="H1650" s="17">
        <f>IF(Log[[#This Row],[Date]]="","",INT((Log[[#This Row],[Date]]-Sprint1)/SprintDays)+1)</f>
      </c>
      <c r="I1650" s="17">
        <f>IF(OR(Log[[#This Row],[Verb]]="commit",Log[[#This Row],[Verb]]="carry",Log[[#This Row],[Verb]]="redo"),IF(Log[[#This Row],[Arg]]="",Log[[#This Row],[Sprint]],N(Log[[#This Row],[Arg]])),"")</f>
      </c>
      <c r="J1650" s="17">
        <f>IF(Log[[#This Row],[Verb]]="block",1,IF(OR(Log[[#This Row],[Verb]]="unblock",Log[[#This Row],[Verb]]="done",Log[[#This Row],[Verb]]="drop",Log[[#This Row],[Verb]]="punt",Log[[#This Row],[Verb]]="pass"),0,""))</f>
      </c>
      <c r="K1650" s="17">
        <f>IF(Log[[#This Row],[ID]]="",0,IFERROR(INDEX(Items[Pts],MATCH(Log[[#This Row],[ID]],Items[ID],0))*1,0))</f>
      </c>
      <c r="L1650" s="17">
        <f>IF(Log[[#This Row],[ID]]="","",IFERROR(INDEX(Items[Cur team],MATCH(Log[[#This Row],[ID]],Items[ID],0))&amp;"",""))</f>
      </c>
      <c r="M1650" s="17">
        <f>IF(OR(Log[[#This Row],[Verb]]="done",Log[[#This Row],[Verb]]="punt",Log[[#This Row],[Verb]]="drop",Log[[#This Row],[Verb]]="pass"),Log[[#This Row],[Pts]],0)</f>
      </c>
    </row>
    <row r="1651">
      <c r="A1651" s="11">
        <v>46244</v>
      </c>
      <c r="B1651" t="s">
        <v>887</v>
      </c>
      <c r="C1651" t="s">
        <v>41</v>
      </c>
      <c r="F1651" s="17">
        <f>IF(Log[[#This Row],[ID]]="","",IF(ISNA(MATCH(Log[[#This Row],[ID]],Items[ID],0)),"unknown ID",IF(ISNA(MATCH(Log[[#This Row],[Verb]],VerbList,0)),"unknown verb",IF(Log[[#This Row],[Date]]="","no date",""))))</f>
      </c>
      <c r="G1651" s="17">
        <f>IF(Log[[#This Row],[ID]]="","",IFERROR(VLOOKUP(Log[[#This Row],[Verb]],Verbs,3,FALSE)&amp;"",""))</f>
      </c>
      <c r="H1651" s="17">
        <f>IF(Log[[#This Row],[Date]]="","",INT((Log[[#This Row],[Date]]-Sprint1)/SprintDays)+1)</f>
      </c>
      <c r="I1651" s="17">
        <f>IF(OR(Log[[#This Row],[Verb]]="commit",Log[[#This Row],[Verb]]="carry",Log[[#This Row],[Verb]]="redo"),IF(Log[[#This Row],[Arg]]="",Log[[#This Row],[Sprint]],N(Log[[#This Row],[Arg]])),"")</f>
      </c>
      <c r="J1651" s="17">
        <f>IF(Log[[#This Row],[Verb]]="block",1,IF(OR(Log[[#This Row],[Verb]]="unblock",Log[[#This Row],[Verb]]="done",Log[[#This Row],[Verb]]="drop",Log[[#This Row],[Verb]]="punt",Log[[#This Row],[Verb]]="pass"),0,""))</f>
      </c>
      <c r="K1651" s="17">
        <f>IF(Log[[#This Row],[ID]]="",0,IFERROR(INDEX(Items[Pts],MATCH(Log[[#This Row],[ID]],Items[ID],0))*1,0))</f>
      </c>
      <c r="L1651" s="17">
        <f>IF(Log[[#This Row],[ID]]="","",IFERROR(INDEX(Items[Cur team],MATCH(Log[[#This Row],[ID]],Items[ID],0))&amp;"",""))</f>
      </c>
      <c r="M1651" s="17">
        <f>IF(OR(Log[[#This Row],[Verb]]="done",Log[[#This Row],[Verb]]="punt",Log[[#This Row],[Verb]]="drop",Log[[#This Row],[Verb]]="pass"),Log[[#This Row],[Pts]],0)</f>
      </c>
    </row>
    <row r="1652">
      <c r="A1652" s="11">
        <v>46244</v>
      </c>
      <c r="B1652" t="s">
        <v>888</v>
      </c>
      <c r="C1652" t="s">
        <v>41</v>
      </c>
      <c r="F1652" s="17">
        <f>IF(Log[[#This Row],[ID]]="","",IF(ISNA(MATCH(Log[[#This Row],[ID]],Items[ID],0)),"unknown ID",IF(ISNA(MATCH(Log[[#This Row],[Verb]],VerbList,0)),"unknown verb",IF(Log[[#This Row],[Date]]="","no date",""))))</f>
      </c>
      <c r="G1652" s="17">
        <f>IF(Log[[#This Row],[ID]]="","",IFERROR(VLOOKUP(Log[[#This Row],[Verb]],Verbs,3,FALSE)&amp;"",""))</f>
      </c>
      <c r="H1652" s="17">
        <f>IF(Log[[#This Row],[Date]]="","",INT((Log[[#This Row],[Date]]-Sprint1)/SprintDays)+1)</f>
      </c>
      <c r="I1652" s="17">
        <f>IF(OR(Log[[#This Row],[Verb]]="commit",Log[[#This Row],[Verb]]="carry",Log[[#This Row],[Verb]]="redo"),IF(Log[[#This Row],[Arg]]="",Log[[#This Row],[Sprint]],N(Log[[#This Row],[Arg]])),"")</f>
      </c>
      <c r="J1652" s="17">
        <f>IF(Log[[#This Row],[Verb]]="block",1,IF(OR(Log[[#This Row],[Verb]]="unblock",Log[[#This Row],[Verb]]="done",Log[[#This Row],[Verb]]="drop",Log[[#This Row],[Verb]]="punt",Log[[#This Row],[Verb]]="pass"),0,""))</f>
      </c>
      <c r="K1652" s="17">
        <f>IF(Log[[#This Row],[ID]]="",0,IFERROR(INDEX(Items[Pts],MATCH(Log[[#This Row],[ID]],Items[ID],0))*1,0))</f>
      </c>
      <c r="L1652" s="17">
        <f>IF(Log[[#This Row],[ID]]="","",IFERROR(INDEX(Items[Cur team],MATCH(Log[[#This Row],[ID]],Items[ID],0))&amp;"",""))</f>
      </c>
      <c r="M1652" s="17">
        <f>IF(OR(Log[[#This Row],[Verb]]="done",Log[[#This Row],[Verb]]="punt",Log[[#This Row],[Verb]]="drop",Log[[#This Row],[Verb]]="pass"),Log[[#This Row],[Pts]],0)</f>
      </c>
    </row>
    <row r="1653">
      <c r="A1653" s="11">
        <v>46244</v>
      </c>
      <c r="B1653" t="s">
        <v>889</v>
      </c>
      <c r="C1653" t="s">
        <v>41</v>
      </c>
      <c r="F1653" s="17">
        <f>IF(Log[[#This Row],[ID]]="","",IF(ISNA(MATCH(Log[[#This Row],[ID]],Items[ID],0)),"unknown ID",IF(ISNA(MATCH(Log[[#This Row],[Verb]],VerbList,0)),"unknown verb",IF(Log[[#This Row],[Date]]="","no date",""))))</f>
      </c>
      <c r="G1653" s="17">
        <f>IF(Log[[#This Row],[ID]]="","",IFERROR(VLOOKUP(Log[[#This Row],[Verb]],Verbs,3,FALSE)&amp;"",""))</f>
      </c>
      <c r="H1653" s="17">
        <f>IF(Log[[#This Row],[Date]]="","",INT((Log[[#This Row],[Date]]-Sprint1)/SprintDays)+1)</f>
      </c>
      <c r="I1653" s="17">
        <f>IF(OR(Log[[#This Row],[Verb]]="commit",Log[[#This Row],[Verb]]="carry",Log[[#This Row],[Verb]]="redo"),IF(Log[[#This Row],[Arg]]="",Log[[#This Row],[Sprint]],N(Log[[#This Row],[Arg]])),"")</f>
      </c>
      <c r="J1653" s="17">
        <f>IF(Log[[#This Row],[Verb]]="block",1,IF(OR(Log[[#This Row],[Verb]]="unblock",Log[[#This Row],[Verb]]="done",Log[[#This Row],[Verb]]="drop",Log[[#This Row],[Verb]]="punt",Log[[#This Row],[Verb]]="pass"),0,""))</f>
      </c>
      <c r="K1653" s="17">
        <f>IF(Log[[#This Row],[ID]]="",0,IFERROR(INDEX(Items[Pts],MATCH(Log[[#This Row],[ID]],Items[ID],0))*1,0))</f>
      </c>
      <c r="L1653" s="17">
        <f>IF(Log[[#This Row],[ID]]="","",IFERROR(INDEX(Items[Cur team],MATCH(Log[[#This Row],[ID]],Items[ID],0))&amp;"",""))</f>
      </c>
      <c r="M1653" s="17">
        <f>IF(OR(Log[[#This Row],[Verb]]="done",Log[[#This Row],[Verb]]="punt",Log[[#This Row],[Verb]]="drop",Log[[#This Row],[Verb]]="pass"),Log[[#This Row],[Pts]],0)</f>
      </c>
    </row>
    <row r="1654">
      <c r="A1654" s="11">
        <v>46245</v>
      </c>
      <c r="B1654" t="s">
        <v>890</v>
      </c>
      <c r="C1654" t="s">
        <v>34</v>
      </c>
      <c r="D1654">
        <v>50</v>
      </c>
      <c r="F1654" s="17">
        <f>IF(Log[[#This Row],[ID]]="","",IF(ISNA(MATCH(Log[[#This Row],[ID]],Items[ID],0)),"unknown ID",IF(ISNA(MATCH(Log[[#This Row],[Verb]],VerbList,0)),"unknown verb",IF(Log[[#This Row],[Date]]="","no date",""))))</f>
      </c>
      <c r="G1654" s="17">
        <f>IF(Log[[#This Row],[ID]]="","",IFERROR(VLOOKUP(Log[[#This Row],[Verb]],Verbs,3,FALSE)&amp;"",""))</f>
      </c>
      <c r="H1654" s="17">
        <f>IF(Log[[#This Row],[Date]]="","",INT((Log[[#This Row],[Date]]-Sprint1)/SprintDays)+1)</f>
      </c>
      <c r="I1654" s="17">
        <f>IF(OR(Log[[#This Row],[Verb]]="commit",Log[[#This Row],[Verb]]="carry",Log[[#This Row],[Verb]]="redo"),IF(Log[[#This Row],[Arg]]="",Log[[#This Row],[Sprint]],N(Log[[#This Row],[Arg]])),"")</f>
      </c>
      <c r="J1654" s="17">
        <f>IF(Log[[#This Row],[Verb]]="block",1,IF(OR(Log[[#This Row],[Verb]]="unblock",Log[[#This Row],[Verb]]="done",Log[[#This Row],[Verb]]="drop",Log[[#This Row],[Verb]]="punt",Log[[#This Row],[Verb]]="pass"),0,""))</f>
      </c>
      <c r="K1654" s="17">
        <f>IF(Log[[#This Row],[ID]]="",0,IFERROR(INDEX(Items[Pts],MATCH(Log[[#This Row],[ID]],Items[ID],0))*1,0))</f>
      </c>
      <c r="L1654" s="17">
        <f>IF(Log[[#This Row],[ID]]="","",IFERROR(INDEX(Items[Cur team],MATCH(Log[[#This Row],[ID]],Items[ID],0))&amp;"",""))</f>
      </c>
      <c r="M1654" s="17">
        <f>IF(OR(Log[[#This Row],[Verb]]="done",Log[[#This Row],[Verb]]="punt",Log[[#This Row],[Verb]]="drop",Log[[#This Row],[Verb]]="pass"),Log[[#This Row],[Pts]],0)</f>
      </c>
    </row>
    <row r="1655">
      <c r="A1655" s="11">
        <v>46245</v>
      </c>
      <c r="B1655" t="s">
        <v>891</v>
      </c>
      <c r="C1655" t="s">
        <v>34</v>
      </c>
      <c r="D1655">
        <v>50</v>
      </c>
      <c r="F1655" s="17">
        <f>IF(Log[[#This Row],[ID]]="","",IF(ISNA(MATCH(Log[[#This Row],[ID]],Items[ID],0)),"unknown ID",IF(ISNA(MATCH(Log[[#This Row],[Verb]],VerbList,0)),"unknown verb",IF(Log[[#This Row],[Date]]="","no date",""))))</f>
      </c>
      <c r="G1655" s="17">
        <f>IF(Log[[#This Row],[ID]]="","",IFERROR(VLOOKUP(Log[[#This Row],[Verb]],Verbs,3,FALSE)&amp;"",""))</f>
      </c>
      <c r="H1655" s="17">
        <f>IF(Log[[#This Row],[Date]]="","",INT((Log[[#This Row],[Date]]-Sprint1)/SprintDays)+1)</f>
      </c>
      <c r="I1655" s="17">
        <f>IF(OR(Log[[#This Row],[Verb]]="commit",Log[[#This Row],[Verb]]="carry",Log[[#This Row],[Verb]]="redo"),IF(Log[[#This Row],[Arg]]="",Log[[#This Row],[Sprint]],N(Log[[#This Row],[Arg]])),"")</f>
      </c>
      <c r="J1655" s="17">
        <f>IF(Log[[#This Row],[Verb]]="block",1,IF(OR(Log[[#This Row],[Verb]]="unblock",Log[[#This Row],[Verb]]="done",Log[[#This Row],[Verb]]="drop",Log[[#This Row],[Verb]]="punt",Log[[#This Row],[Verb]]="pass"),0,""))</f>
      </c>
      <c r="K1655" s="17">
        <f>IF(Log[[#This Row],[ID]]="",0,IFERROR(INDEX(Items[Pts],MATCH(Log[[#This Row],[ID]],Items[ID],0))*1,0))</f>
      </c>
      <c r="L1655" s="17">
        <f>IF(Log[[#This Row],[ID]]="","",IFERROR(INDEX(Items[Cur team],MATCH(Log[[#This Row],[ID]],Items[ID],0))&amp;"",""))</f>
      </c>
      <c r="M1655" s="17">
        <f>IF(OR(Log[[#This Row],[Verb]]="done",Log[[#This Row],[Verb]]="punt",Log[[#This Row],[Verb]]="drop",Log[[#This Row],[Verb]]="pass"),Log[[#This Row],[Pts]],0)</f>
      </c>
    </row>
    <row r="1656">
      <c r="A1656" s="11">
        <v>46245</v>
      </c>
      <c r="B1656" t="s">
        <v>892</v>
      </c>
      <c r="C1656" t="s">
        <v>34</v>
      </c>
      <c r="D1656">
        <v>50</v>
      </c>
      <c r="F1656" s="17">
        <f>IF(Log[[#This Row],[ID]]="","",IF(ISNA(MATCH(Log[[#This Row],[ID]],Items[ID],0)),"unknown ID",IF(ISNA(MATCH(Log[[#This Row],[Verb]],VerbList,0)),"unknown verb",IF(Log[[#This Row],[Date]]="","no date",""))))</f>
      </c>
      <c r="G1656" s="17">
        <f>IF(Log[[#This Row],[ID]]="","",IFERROR(VLOOKUP(Log[[#This Row],[Verb]],Verbs,3,FALSE)&amp;"",""))</f>
      </c>
      <c r="H1656" s="17">
        <f>IF(Log[[#This Row],[Date]]="","",INT((Log[[#This Row],[Date]]-Sprint1)/SprintDays)+1)</f>
      </c>
      <c r="I1656" s="17">
        <f>IF(OR(Log[[#This Row],[Verb]]="commit",Log[[#This Row],[Verb]]="carry",Log[[#This Row],[Verb]]="redo"),IF(Log[[#This Row],[Arg]]="",Log[[#This Row],[Sprint]],N(Log[[#This Row],[Arg]])),"")</f>
      </c>
      <c r="J1656" s="17">
        <f>IF(Log[[#This Row],[Verb]]="block",1,IF(OR(Log[[#This Row],[Verb]]="unblock",Log[[#This Row],[Verb]]="done",Log[[#This Row],[Verb]]="drop",Log[[#This Row],[Verb]]="punt",Log[[#This Row],[Verb]]="pass"),0,""))</f>
      </c>
      <c r="K1656" s="17">
        <f>IF(Log[[#This Row],[ID]]="",0,IFERROR(INDEX(Items[Pts],MATCH(Log[[#This Row],[ID]],Items[ID],0))*1,0))</f>
      </c>
      <c r="L1656" s="17">
        <f>IF(Log[[#This Row],[ID]]="","",IFERROR(INDEX(Items[Cur team],MATCH(Log[[#This Row],[ID]],Items[ID],0))&amp;"",""))</f>
      </c>
      <c r="M1656" s="17">
        <f>IF(OR(Log[[#This Row],[Verb]]="done",Log[[#This Row],[Verb]]="punt",Log[[#This Row],[Verb]]="drop",Log[[#This Row],[Verb]]="pass"),Log[[#This Row],[Pts]],0)</f>
      </c>
    </row>
    <row r="1657">
      <c r="A1657" s="11">
        <v>46245</v>
      </c>
      <c r="B1657" t="s">
        <v>893</v>
      </c>
      <c r="C1657" t="s">
        <v>34</v>
      </c>
      <c r="D1657">
        <v>50</v>
      </c>
      <c r="F1657" s="17">
        <f>IF(Log[[#This Row],[ID]]="","",IF(ISNA(MATCH(Log[[#This Row],[ID]],Items[ID],0)),"unknown ID",IF(ISNA(MATCH(Log[[#This Row],[Verb]],VerbList,0)),"unknown verb",IF(Log[[#This Row],[Date]]="","no date",""))))</f>
      </c>
      <c r="G1657" s="17">
        <f>IF(Log[[#This Row],[ID]]="","",IFERROR(VLOOKUP(Log[[#This Row],[Verb]],Verbs,3,FALSE)&amp;"",""))</f>
      </c>
      <c r="H1657" s="17">
        <f>IF(Log[[#This Row],[Date]]="","",INT((Log[[#This Row],[Date]]-Sprint1)/SprintDays)+1)</f>
      </c>
      <c r="I1657" s="17">
        <f>IF(OR(Log[[#This Row],[Verb]]="commit",Log[[#This Row],[Verb]]="carry",Log[[#This Row],[Verb]]="redo"),IF(Log[[#This Row],[Arg]]="",Log[[#This Row],[Sprint]],N(Log[[#This Row],[Arg]])),"")</f>
      </c>
      <c r="J1657" s="17">
        <f>IF(Log[[#This Row],[Verb]]="block",1,IF(OR(Log[[#This Row],[Verb]]="unblock",Log[[#This Row],[Verb]]="done",Log[[#This Row],[Verb]]="drop",Log[[#This Row],[Verb]]="punt",Log[[#This Row],[Verb]]="pass"),0,""))</f>
      </c>
      <c r="K1657" s="17">
        <f>IF(Log[[#This Row],[ID]]="",0,IFERROR(INDEX(Items[Pts],MATCH(Log[[#This Row],[ID]],Items[ID],0))*1,0))</f>
      </c>
      <c r="L1657" s="17">
        <f>IF(Log[[#This Row],[ID]]="","",IFERROR(INDEX(Items[Cur team],MATCH(Log[[#This Row],[ID]],Items[ID],0))&amp;"",""))</f>
      </c>
      <c r="M1657" s="17">
        <f>IF(OR(Log[[#This Row],[Verb]]="done",Log[[#This Row],[Verb]]="punt",Log[[#This Row],[Verb]]="drop",Log[[#This Row],[Verb]]="pass"),Log[[#This Row],[Pts]],0)</f>
      </c>
    </row>
    <row r="1658">
      <c r="A1658" s="11">
        <v>46245</v>
      </c>
      <c r="B1658" t="s">
        <v>894</v>
      </c>
      <c r="C1658" t="s">
        <v>34</v>
      </c>
      <c r="D1658">
        <v>50</v>
      </c>
      <c r="F1658" s="17">
        <f>IF(Log[[#This Row],[ID]]="","",IF(ISNA(MATCH(Log[[#This Row],[ID]],Items[ID],0)),"unknown ID",IF(ISNA(MATCH(Log[[#This Row],[Verb]],VerbList,0)),"unknown verb",IF(Log[[#This Row],[Date]]="","no date",""))))</f>
      </c>
      <c r="G1658" s="17">
        <f>IF(Log[[#This Row],[ID]]="","",IFERROR(VLOOKUP(Log[[#This Row],[Verb]],Verbs,3,FALSE)&amp;"",""))</f>
      </c>
      <c r="H1658" s="17">
        <f>IF(Log[[#This Row],[Date]]="","",INT((Log[[#This Row],[Date]]-Sprint1)/SprintDays)+1)</f>
      </c>
      <c r="I1658" s="17">
        <f>IF(OR(Log[[#This Row],[Verb]]="commit",Log[[#This Row],[Verb]]="carry",Log[[#This Row],[Verb]]="redo"),IF(Log[[#This Row],[Arg]]="",Log[[#This Row],[Sprint]],N(Log[[#This Row],[Arg]])),"")</f>
      </c>
      <c r="J1658" s="17">
        <f>IF(Log[[#This Row],[Verb]]="block",1,IF(OR(Log[[#This Row],[Verb]]="unblock",Log[[#This Row],[Verb]]="done",Log[[#This Row],[Verb]]="drop",Log[[#This Row],[Verb]]="punt",Log[[#This Row],[Verb]]="pass"),0,""))</f>
      </c>
      <c r="K1658" s="17">
        <f>IF(Log[[#This Row],[ID]]="",0,IFERROR(INDEX(Items[Pts],MATCH(Log[[#This Row],[ID]],Items[ID],0))*1,0))</f>
      </c>
      <c r="L1658" s="17">
        <f>IF(Log[[#This Row],[ID]]="","",IFERROR(INDEX(Items[Cur team],MATCH(Log[[#This Row],[ID]],Items[ID],0))&amp;"",""))</f>
      </c>
      <c r="M1658" s="17">
        <f>IF(OR(Log[[#This Row],[Verb]]="done",Log[[#This Row],[Verb]]="punt",Log[[#This Row],[Verb]]="drop",Log[[#This Row],[Verb]]="pass"),Log[[#This Row],[Pts]],0)</f>
      </c>
    </row>
    <row r="1659">
      <c r="A1659" s="11">
        <v>46245</v>
      </c>
      <c r="B1659" t="s">
        <v>895</v>
      </c>
      <c r="C1659" t="s">
        <v>34</v>
      </c>
      <c r="D1659">
        <v>50</v>
      </c>
      <c r="F1659" s="17">
        <f>IF(Log[[#This Row],[ID]]="","",IF(ISNA(MATCH(Log[[#This Row],[ID]],Items[ID],0)),"unknown ID",IF(ISNA(MATCH(Log[[#This Row],[Verb]],VerbList,0)),"unknown verb",IF(Log[[#This Row],[Date]]="","no date",""))))</f>
      </c>
      <c r="G1659" s="17">
        <f>IF(Log[[#This Row],[ID]]="","",IFERROR(VLOOKUP(Log[[#This Row],[Verb]],Verbs,3,FALSE)&amp;"",""))</f>
      </c>
      <c r="H1659" s="17">
        <f>IF(Log[[#This Row],[Date]]="","",INT((Log[[#This Row],[Date]]-Sprint1)/SprintDays)+1)</f>
      </c>
      <c r="I1659" s="17">
        <f>IF(OR(Log[[#This Row],[Verb]]="commit",Log[[#This Row],[Verb]]="carry",Log[[#This Row],[Verb]]="redo"),IF(Log[[#This Row],[Arg]]="",Log[[#This Row],[Sprint]],N(Log[[#This Row],[Arg]])),"")</f>
      </c>
      <c r="J1659" s="17">
        <f>IF(Log[[#This Row],[Verb]]="block",1,IF(OR(Log[[#This Row],[Verb]]="unblock",Log[[#This Row],[Verb]]="done",Log[[#This Row],[Verb]]="drop",Log[[#This Row],[Verb]]="punt",Log[[#This Row],[Verb]]="pass"),0,""))</f>
      </c>
      <c r="K1659" s="17">
        <f>IF(Log[[#This Row],[ID]]="",0,IFERROR(INDEX(Items[Pts],MATCH(Log[[#This Row],[ID]],Items[ID],0))*1,0))</f>
      </c>
      <c r="L1659" s="17">
        <f>IF(Log[[#This Row],[ID]]="","",IFERROR(INDEX(Items[Cur team],MATCH(Log[[#This Row],[ID]],Items[ID],0))&amp;"",""))</f>
      </c>
      <c r="M1659" s="17">
        <f>IF(OR(Log[[#This Row],[Verb]]="done",Log[[#This Row],[Verb]]="punt",Log[[#This Row],[Verb]]="drop",Log[[#This Row],[Verb]]="pass"),Log[[#This Row],[Pts]],0)</f>
      </c>
    </row>
    <row r="1660">
      <c r="A1660" s="11">
        <v>46245</v>
      </c>
      <c r="B1660" t="s">
        <v>896</v>
      </c>
      <c r="C1660" t="s">
        <v>34</v>
      </c>
      <c r="D1660">
        <v>50</v>
      </c>
      <c r="F1660" s="17">
        <f>IF(Log[[#This Row],[ID]]="","",IF(ISNA(MATCH(Log[[#This Row],[ID]],Items[ID],0)),"unknown ID",IF(ISNA(MATCH(Log[[#This Row],[Verb]],VerbList,0)),"unknown verb",IF(Log[[#This Row],[Date]]="","no date",""))))</f>
      </c>
      <c r="G1660" s="17">
        <f>IF(Log[[#This Row],[ID]]="","",IFERROR(VLOOKUP(Log[[#This Row],[Verb]],Verbs,3,FALSE)&amp;"",""))</f>
      </c>
      <c r="H1660" s="17">
        <f>IF(Log[[#This Row],[Date]]="","",INT((Log[[#This Row],[Date]]-Sprint1)/SprintDays)+1)</f>
      </c>
      <c r="I1660" s="17">
        <f>IF(OR(Log[[#This Row],[Verb]]="commit",Log[[#This Row],[Verb]]="carry",Log[[#This Row],[Verb]]="redo"),IF(Log[[#This Row],[Arg]]="",Log[[#This Row],[Sprint]],N(Log[[#This Row],[Arg]])),"")</f>
      </c>
      <c r="J1660" s="17">
        <f>IF(Log[[#This Row],[Verb]]="block",1,IF(OR(Log[[#This Row],[Verb]]="unblock",Log[[#This Row],[Verb]]="done",Log[[#This Row],[Verb]]="drop",Log[[#This Row],[Verb]]="punt",Log[[#This Row],[Verb]]="pass"),0,""))</f>
      </c>
      <c r="K1660" s="17">
        <f>IF(Log[[#This Row],[ID]]="",0,IFERROR(INDEX(Items[Pts],MATCH(Log[[#This Row],[ID]],Items[ID],0))*1,0))</f>
      </c>
      <c r="L1660" s="17">
        <f>IF(Log[[#This Row],[ID]]="","",IFERROR(INDEX(Items[Cur team],MATCH(Log[[#This Row],[ID]],Items[ID],0))&amp;"",""))</f>
      </c>
      <c r="M1660" s="17">
        <f>IF(OR(Log[[#This Row],[Verb]]="done",Log[[#This Row],[Verb]]="punt",Log[[#This Row],[Verb]]="drop",Log[[#This Row],[Verb]]="pass"),Log[[#This Row],[Pts]],0)</f>
      </c>
    </row>
    <row r="1661">
      <c r="A1661" s="11">
        <v>46245</v>
      </c>
      <c r="B1661" t="s">
        <v>897</v>
      </c>
      <c r="C1661" t="s">
        <v>34</v>
      </c>
      <c r="D1661">
        <v>50</v>
      </c>
      <c r="F1661" s="17">
        <f>IF(Log[[#This Row],[ID]]="","",IF(ISNA(MATCH(Log[[#This Row],[ID]],Items[ID],0)),"unknown ID",IF(ISNA(MATCH(Log[[#This Row],[Verb]],VerbList,0)),"unknown verb",IF(Log[[#This Row],[Date]]="","no date",""))))</f>
      </c>
      <c r="G1661" s="17">
        <f>IF(Log[[#This Row],[ID]]="","",IFERROR(VLOOKUP(Log[[#This Row],[Verb]],Verbs,3,FALSE)&amp;"",""))</f>
      </c>
      <c r="H1661" s="17">
        <f>IF(Log[[#This Row],[Date]]="","",INT((Log[[#This Row],[Date]]-Sprint1)/SprintDays)+1)</f>
      </c>
      <c r="I1661" s="17">
        <f>IF(OR(Log[[#This Row],[Verb]]="commit",Log[[#This Row],[Verb]]="carry",Log[[#This Row],[Verb]]="redo"),IF(Log[[#This Row],[Arg]]="",Log[[#This Row],[Sprint]],N(Log[[#This Row],[Arg]])),"")</f>
      </c>
      <c r="J1661" s="17">
        <f>IF(Log[[#This Row],[Verb]]="block",1,IF(OR(Log[[#This Row],[Verb]]="unblock",Log[[#This Row],[Verb]]="done",Log[[#This Row],[Verb]]="drop",Log[[#This Row],[Verb]]="punt",Log[[#This Row],[Verb]]="pass"),0,""))</f>
      </c>
      <c r="K1661" s="17">
        <f>IF(Log[[#This Row],[ID]]="",0,IFERROR(INDEX(Items[Pts],MATCH(Log[[#This Row],[ID]],Items[ID],0))*1,0))</f>
      </c>
      <c r="L1661" s="17">
        <f>IF(Log[[#This Row],[ID]]="","",IFERROR(INDEX(Items[Cur team],MATCH(Log[[#This Row],[ID]],Items[ID],0))&amp;"",""))</f>
      </c>
      <c r="M1661" s="17">
        <f>IF(OR(Log[[#This Row],[Verb]]="done",Log[[#This Row],[Verb]]="punt",Log[[#This Row],[Verb]]="drop",Log[[#This Row],[Verb]]="pass"),Log[[#This Row],[Pts]],0)</f>
      </c>
    </row>
    <row r="1662">
      <c r="A1662" s="11">
        <v>46245</v>
      </c>
      <c r="B1662" t="s">
        <v>898</v>
      </c>
      <c r="C1662" t="s">
        <v>34</v>
      </c>
      <c r="D1662">
        <v>50</v>
      </c>
      <c r="F1662" s="17">
        <f>IF(Log[[#This Row],[ID]]="","",IF(ISNA(MATCH(Log[[#This Row],[ID]],Items[ID],0)),"unknown ID",IF(ISNA(MATCH(Log[[#This Row],[Verb]],VerbList,0)),"unknown verb",IF(Log[[#This Row],[Date]]="","no date",""))))</f>
      </c>
      <c r="G1662" s="17">
        <f>IF(Log[[#This Row],[ID]]="","",IFERROR(VLOOKUP(Log[[#This Row],[Verb]],Verbs,3,FALSE)&amp;"",""))</f>
      </c>
      <c r="H1662" s="17">
        <f>IF(Log[[#This Row],[Date]]="","",INT((Log[[#This Row],[Date]]-Sprint1)/SprintDays)+1)</f>
      </c>
      <c r="I1662" s="17">
        <f>IF(OR(Log[[#This Row],[Verb]]="commit",Log[[#This Row],[Verb]]="carry",Log[[#This Row],[Verb]]="redo"),IF(Log[[#This Row],[Arg]]="",Log[[#This Row],[Sprint]],N(Log[[#This Row],[Arg]])),"")</f>
      </c>
      <c r="J1662" s="17">
        <f>IF(Log[[#This Row],[Verb]]="block",1,IF(OR(Log[[#This Row],[Verb]]="unblock",Log[[#This Row],[Verb]]="done",Log[[#This Row],[Verb]]="drop",Log[[#This Row],[Verb]]="punt",Log[[#This Row],[Verb]]="pass"),0,""))</f>
      </c>
      <c r="K1662" s="17">
        <f>IF(Log[[#This Row],[ID]]="",0,IFERROR(INDEX(Items[Pts],MATCH(Log[[#This Row],[ID]],Items[ID],0))*1,0))</f>
      </c>
      <c r="L1662" s="17">
        <f>IF(Log[[#This Row],[ID]]="","",IFERROR(INDEX(Items[Cur team],MATCH(Log[[#This Row],[ID]],Items[ID],0))&amp;"",""))</f>
      </c>
      <c r="M1662" s="17">
        <f>IF(OR(Log[[#This Row],[Verb]]="done",Log[[#This Row],[Verb]]="punt",Log[[#This Row],[Verb]]="drop",Log[[#This Row],[Verb]]="pass"),Log[[#This Row],[Pts]],0)</f>
      </c>
    </row>
    <row r="1663">
      <c r="A1663" s="11">
        <v>46245</v>
      </c>
      <c r="B1663" t="s">
        <v>899</v>
      </c>
      <c r="C1663" t="s">
        <v>34</v>
      </c>
      <c r="D1663">
        <v>50</v>
      </c>
      <c r="F1663" s="17">
        <f>IF(Log[[#This Row],[ID]]="","",IF(ISNA(MATCH(Log[[#This Row],[ID]],Items[ID],0)),"unknown ID",IF(ISNA(MATCH(Log[[#This Row],[Verb]],VerbList,0)),"unknown verb",IF(Log[[#This Row],[Date]]="","no date",""))))</f>
      </c>
      <c r="G1663" s="17">
        <f>IF(Log[[#This Row],[ID]]="","",IFERROR(VLOOKUP(Log[[#This Row],[Verb]],Verbs,3,FALSE)&amp;"",""))</f>
      </c>
      <c r="H1663" s="17">
        <f>IF(Log[[#This Row],[Date]]="","",INT((Log[[#This Row],[Date]]-Sprint1)/SprintDays)+1)</f>
      </c>
      <c r="I1663" s="17">
        <f>IF(OR(Log[[#This Row],[Verb]]="commit",Log[[#This Row],[Verb]]="carry",Log[[#This Row],[Verb]]="redo"),IF(Log[[#This Row],[Arg]]="",Log[[#This Row],[Sprint]],N(Log[[#This Row],[Arg]])),"")</f>
      </c>
      <c r="J1663" s="17">
        <f>IF(Log[[#This Row],[Verb]]="block",1,IF(OR(Log[[#This Row],[Verb]]="unblock",Log[[#This Row],[Verb]]="done",Log[[#This Row],[Verb]]="drop",Log[[#This Row],[Verb]]="punt",Log[[#This Row],[Verb]]="pass"),0,""))</f>
      </c>
      <c r="K1663" s="17">
        <f>IF(Log[[#This Row],[ID]]="",0,IFERROR(INDEX(Items[Pts],MATCH(Log[[#This Row],[ID]],Items[ID],0))*1,0))</f>
      </c>
      <c r="L1663" s="17">
        <f>IF(Log[[#This Row],[ID]]="","",IFERROR(INDEX(Items[Cur team],MATCH(Log[[#This Row],[ID]],Items[ID],0))&amp;"",""))</f>
      </c>
      <c r="M1663" s="17">
        <f>IF(OR(Log[[#This Row],[Verb]]="done",Log[[#This Row],[Verb]]="punt",Log[[#This Row],[Verb]]="drop",Log[[#This Row],[Verb]]="pass"),Log[[#This Row],[Pts]],0)</f>
      </c>
    </row>
    <row r="1664">
      <c r="A1664" s="11">
        <v>46245</v>
      </c>
      <c r="B1664" t="s">
        <v>900</v>
      </c>
      <c r="C1664" t="s">
        <v>34</v>
      </c>
      <c r="D1664">
        <v>50</v>
      </c>
      <c r="F1664" s="17">
        <f>IF(Log[[#This Row],[ID]]="","",IF(ISNA(MATCH(Log[[#This Row],[ID]],Items[ID],0)),"unknown ID",IF(ISNA(MATCH(Log[[#This Row],[Verb]],VerbList,0)),"unknown verb",IF(Log[[#This Row],[Date]]="","no date",""))))</f>
      </c>
      <c r="G1664" s="17">
        <f>IF(Log[[#This Row],[ID]]="","",IFERROR(VLOOKUP(Log[[#This Row],[Verb]],Verbs,3,FALSE)&amp;"",""))</f>
      </c>
      <c r="H1664" s="17">
        <f>IF(Log[[#This Row],[Date]]="","",INT((Log[[#This Row],[Date]]-Sprint1)/SprintDays)+1)</f>
      </c>
      <c r="I1664" s="17">
        <f>IF(OR(Log[[#This Row],[Verb]]="commit",Log[[#This Row],[Verb]]="carry",Log[[#This Row],[Verb]]="redo"),IF(Log[[#This Row],[Arg]]="",Log[[#This Row],[Sprint]],N(Log[[#This Row],[Arg]])),"")</f>
      </c>
      <c r="J1664" s="17">
        <f>IF(Log[[#This Row],[Verb]]="block",1,IF(OR(Log[[#This Row],[Verb]]="unblock",Log[[#This Row],[Verb]]="done",Log[[#This Row],[Verb]]="drop",Log[[#This Row],[Verb]]="punt",Log[[#This Row],[Verb]]="pass"),0,""))</f>
      </c>
      <c r="K1664" s="17">
        <f>IF(Log[[#This Row],[ID]]="",0,IFERROR(INDEX(Items[Pts],MATCH(Log[[#This Row],[ID]],Items[ID],0))*1,0))</f>
      </c>
      <c r="L1664" s="17">
        <f>IF(Log[[#This Row],[ID]]="","",IFERROR(INDEX(Items[Cur team],MATCH(Log[[#This Row],[ID]],Items[ID],0))&amp;"",""))</f>
      </c>
      <c r="M1664" s="17">
        <f>IF(OR(Log[[#This Row],[Verb]]="done",Log[[#This Row],[Verb]]="punt",Log[[#This Row],[Verb]]="drop",Log[[#This Row],[Verb]]="pass"),Log[[#This Row],[Pts]],0)</f>
      </c>
    </row>
    <row r="1665">
      <c r="A1665" s="11">
        <v>46245</v>
      </c>
      <c r="B1665" t="s">
        <v>901</v>
      </c>
      <c r="C1665" t="s">
        <v>34</v>
      </c>
      <c r="D1665">
        <v>50</v>
      </c>
      <c r="F1665" s="17">
        <f>IF(Log[[#This Row],[ID]]="","",IF(ISNA(MATCH(Log[[#This Row],[ID]],Items[ID],0)),"unknown ID",IF(ISNA(MATCH(Log[[#This Row],[Verb]],VerbList,0)),"unknown verb",IF(Log[[#This Row],[Date]]="","no date",""))))</f>
      </c>
      <c r="G1665" s="17">
        <f>IF(Log[[#This Row],[ID]]="","",IFERROR(VLOOKUP(Log[[#This Row],[Verb]],Verbs,3,FALSE)&amp;"",""))</f>
      </c>
      <c r="H1665" s="17">
        <f>IF(Log[[#This Row],[Date]]="","",INT((Log[[#This Row],[Date]]-Sprint1)/SprintDays)+1)</f>
      </c>
      <c r="I1665" s="17">
        <f>IF(OR(Log[[#This Row],[Verb]]="commit",Log[[#This Row],[Verb]]="carry",Log[[#This Row],[Verb]]="redo"),IF(Log[[#This Row],[Arg]]="",Log[[#This Row],[Sprint]],N(Log[[#This Row],[Arg]])),"")</f>
      </c>
      <c r="J1665" s="17">
        <f>IF(Log[[#This Row],[Verb]]="block",1,IF(OR(Log[[#This Row],[Verb]]="unblock",Log[[#This Row],[Verb]]="done",Log[[#This Row],[Verb]]="drop",Log[[#This Row],[Verb]]="punt",Log[[#This Row],[Verb]]="pass"),0,""))</f>
      </c>
      <c r="K1665" s="17">
        <f>IF(Log[[#This Row],[ID]]="",0,IFERROR(INDEX(Items[Pts],MATCH(Log[[#This Row],[ID]],Items[ID],0))*1,0))</f>
      </c>
      <c r="L1665" s="17">
        <f>IF(Log[[#This Row],[ID]]="","",IFERROR(INDEX(Items[Cur team],MATCH(Log[[#This Row],[ID]],Items[ID],0))&amp;"",""))</f>
      </c>
      <c r="M1665" s="17">
        <f>IF(OR(Log[[#This Row],[Verb]]="done",Log[[#This Row],[Verb]]="punt",Log[[#This Row],[Verb]]="drop",Log[[#This Row],[Verb]]="pass"),Log[[#This Row],[Pts]],0)</f>
      </c>
    </row>
    <row r="1666">
      <c r="A1666" s="11">
        <v>46245</v>
      </c>
      <c r="B1666" t="s">
        <v>902</v>
      </c>
      <c r="C1666" t="s">
        <v>34</v>
      </c>
      <c r="D1666">
        <v>50</v>
      </c>
      <c r="F1666" s="17">
        <f>IF(Log[[#This Row],[ID]]="","",IF(ISNA(MATCH(Log[[#This Row],[ID]],Items[ID],0)),"unknown ID",IF(ISNA(MATCH(Log[[#This Row],[Verb]],VerbList,0)),"unknown verb",IF(Log[[#This Row],[Date]]="","no date",""))))</f>
      </c>
      <c r="G1666" s="17">
        <f>IF(Log[[#This Row],[ID]]="","",IFERROR(VLOOKUP(Log[[#This Row],[Verb]],Verbs,3,FALSE)&amp;"",""))</f>
      </c>
      <c r="H1666" s="17">
        <f>IF(Log[[#This Row],[Date]]="","",INT((Log[[#This Row],[Date]]-Sprint1)/SprintDays)+1)</f>
      </c>
      <c r="I1666" s="17">
        <f>IF(OR(Log[[#This Row],[Verb]]="commit",Log[[#This Row],[Verb]]="carry",Log[[#This Row],[Verb]]="redo"),IF(Log[[#This Row],[Arg]]="",Log[[#This Row],[Sprint]],N(Log[[#This Row],[Arg]])),"")</f>
      </c>
      <c r="J1666" s="17">
        <f>IF(Log[[#This Row],[Verb]]="block",1,IF(OR(Log[[#This Row],[Verb]]="unblock",Log[[#This Row],[Verb]]="done",Log[[#This Row],[Verb]]="drop",Log[[#This Row],[Verb]]="punt",Log[[#This Row],[Verb]]="pass"),0,""))</f>
      </c>
      <c r="K1666" s="17">
        <f>IF(Log[[#This Row],[ID]]="",0,IFERROR(INDEX(Items[Pts],MATCH(Log[[#This Row],[ID]],Items[ID],0))*1,0))</f>
      </c>
      <c r="L1666" s="17">
        <f>IF(Log[[#This Row],[ID]]="","",IFERROR(INDEX(Items[Cur team],MATCH(Log[[#This Row],[ID]],Items[ID],0))&amp;"",""))</f>
      </c>
      <c r="M1666" s="17">
        <f>IF(OR(Log[[#This Row],[Verb]]="done",Log[[#This Row],[Verb]]="punt",Log[[#This Row],[Verb]]="drop",Log[[#This Row],[Verb]]="pass"),Log[[#This Row],[Pts]],0)</f>
      </c>
    </row>
    <row r="1667">
      <c r="A1667" s="11">
        <v>46245</v>
      </c>
      <c r="B1667" t="s">
        <v>903</v>
      </c>
      <c r="C1667" t="s">
        <v>34</v>
      </c>
      <c r="D1667">
        <v>50</v>
      </c>
      <c r="F1667" s="17">
        <f>IF(Log[[#This Row],[ID]]="","",IF(ISNA(MATCH(Log[[#This Row],[ID]],Items[ID],0)),"unknown ID",IF(ISNA(MATCH(Log[[#This Row],[Verb]],VerbList,0)),"unknown verb",IF(Log[[#This Row],[Date]]="","no date",""))))</f>
      </c>
      <c r="G1667" s="17">
        <f>IF(Log[[#This Row],[ID]]="","",IFERROR(VLOOKUP(Log[[#This Row],[Verb]],Verbs,3,FALSE)&amp;"",""))</f>
      </c>
      <c r="H1667" s="17">
        <f>IF(Log[[#This Row],[Date]]="","",INT((Log[[#This Row],[Date]]-Sprint1)/SprintDays)+1)</f>
      </c>
      <c r="I1667" s="17">
        <f>IF(OR(Log[[#This Row],[Verb]]="commit",Log[[#This Row],[Verb]]="carry",Log[[#This Row],[Verb]]="redo"),IF(Log[[#This Row],[Arg]]="",Log[[#This Row],[Sprint]],N(Log[[#This Row],[Arg]])),"")</f>
      </c>
      <c r="J1667" s="17">
        <f>IF(Log[[#This Row],[Verb]]="block",1,IF(OR(Log[[#This Row],[Verb]]="unblock",Log[[#This Row],[Verb]]="done",Log[[#This Row],[Verb]]="drop",Log[[#This Row],[Verb]]="punt",Log[[#This Row],[Verb]]="pass"),0,""))</f>
      </c>
      <c r="K1667" s="17">
        <f>IF(Log[[#This Row],[ID]]="",0,IFERROR(INDEX(Items[Pts],MATCH(Log[[#This Row],[ID]],Items[ID],0))*1,0))</f>
      </c>
      <c r="L1667" s="17">
        <f>IF(Log[[#This Row],[ID]]="","",IFERROR(INDEX(Items[Cur team],MATCH(Log[[#This Row],[ID]],Items[ID],0))&amp;"",""))</f>
      </c>
      <c r="M1667" s="17">
        <f>IF(OR(Log[[#This Row],[Verb]]="done",Log[[#This Row],[Verb]]="punt",Log[[#This Row],[Verb]]="drop",Log[[#This Row],[Verb]]="pass"),Log[[#This Row],[Pts]],0)</f>
      </c>
    </row>
    <row r="1668">
      <c r="A1668" s="11">
        <v>46245</v>
      </c>
      <c r="B1668" t="s">
        <v>904</v>
      </c>
      <c r="C1668" t="s">
        <v>34</v>
      </c>
      <c r="D1668">
        <v>50</v>
      </c>
      <c r="F1668" s="17">
        <f>IF(Log[[#This Row],[ID]]="","",IF(ISNA(MATCH(Log[[#This Row],[ID]],Items[ID],0)),"unknown ID",IF(ISNA(MATCH(Log[[#This Row],[Verb]],VerbList,0)),"unknown verb",IF(Log[[#This Row],[Date]]="","no date",""))))</f>
      </c>
      <c r="G1668" s="17">
        <f>IF(Log[[#This Row],[ID]]="","",IFERROR(VLOOKUP(Log[[#This Row],[Verb]],Verbs,3,FALSE)&amp;"",""))</f>
      </c>
      <c r="H1668" s="17">
        <f>IF(Log[[#This Row],[Date]]="","",INT((Log[[#This Row],[Date]]-Sprint1)/SprintDays)+1)</f>
      </c>
      <c r="I1668" s="17">
        <f>IF(OR(Log[[#This Row],[Verb]]="commit",Log[[#This Row],[Verb]]="carry",Log[[#This Row],[Verb]]="redo"),IF(Log[[#This Row],[Arg]]="",Log[[#This Row],[Sprint]],N(Log[[#This Row],[Arg]])),"")</f>
      </c>
      <c r="J1668" s="17">
        <f>IF(Log[[#This Row],[Verb]]="block",1,IF(OR(Log[[#This Row],[Verb]]="unblock",Log[[#This Row],[Verb]]="done",Log[[#This Row],[Verb]]="drop",Log[[#This Row],[Verb]]="punt",Log[[#This Row],[Verb]]="pass"),0,""))</f>
      </c>
      <c r="K1668" s="17">
        <f>IF(Log[[#This Row],[ID]]="",0,IFERROR(INDEX(Items[Pts],MATCH(Log[[#This Row],[ID]],Items[ID],0))*1,0))</f>
      </c>
      <c r="L1668" s="17">
        <f>IF(Log[[#This Row],[ID]]="","",IFERROR(INDEX(Items[Cur team],MATCH(Log[[#This Row],[ID]],Items[ID],0))&amp;"",""))</f>
      </c>
      <c r="M1668" s="17">
        <f>IF(OR(Log[[#This Row],[Verb]]="done",Log[[#This Row],[Verb]]="punt",Log[[#This Row],[Verb]]="drop",Log[[#This Row],[Verb]]="pass"),Log[[#This Row],[Pts]],0)</f>
      </c>
    </row>
    <row r="1669">
      <c r="A1669" s="11">
        <v>46245</v>
      </c>
      <c r="B1669" t="s">
        <v>905</v>
      </c>
      <c r="C1669" t="s">
        <v>34</v>
      </c>
      <c r="D1669">
        <v>50</v>
      </c>
      <c r="F1669" s="17">
        <f>IF(Log[[#This Row],[ID]]="","",IF(ISNA(MATCH(Log[[#This Row],[ID]],Items[ID],0)),"unknown ID",IF(ISNA(MATCH(Log[[#This Row],[Verb]],VerbList,0)),"unknown verb",IF(Log[[#This Row],[Date]]="","no date",""))))</f>
      </c>
      <c r="G1669" s="17">
        <f>IF(Log[[#This Row],[ID]]="","",IFERROR(VLOOKUP(Log[[#This Row],[Verb]],Verbs,3,FALSE)&amp;"",""))</f>
      </c>
      <c r="H1669" s="17">
        <f>IF(Log[[#This Row],[Date]]="","",INT((Log[[#This Row],[Date]]-Sprint1)/SprintDays)+1)</f>
      </c>
      <c r="I1669" s="17">
        <f>IF(OR(Log[[#This Row],[Verb]]="commit",Log[[#This Row],[Verb]]="carry",Log[[#This Row],[Verb]]="redo"),IF(Log[[#This Row],[Arg]]="",Log[[#This Row],[Sprint]],N(Log[[#This Row],[Arg]])),"")</f>
      </c>
      <c r="J1669" s="17">
        <f>IF(Log[[#This Row],[Verb]]="block",1,IF(OR(Log[[#This Row],[Verb]]="unblock",Log[[#This Row],[Verb]]="done",Log[[#This Row],[Verb]]="drop",Log[[#This Row],[Verb]]="punt",Log[[#This Row],[Verb]]="pass"),0,""))</f>
      </c>
      <c r="K1669" s="17">
        <f>IF(Log[[#This Row],[ID]]="",0,IFERROR(INDEX(Items[Pts],MATCH(Log[[#This Row],[ID]],Items[ID],0))*1,0))</f>
      </c>
      <c r="L1669" s="17">
        <f>IF(Log[[#This Row],[ID]]="","",IFERROR(INDEX(Items[Cur team],MATCH(Log[[#This Row],[ID]],Items[ID],0))&amp;"",""))</f>
      </c>
      <c r="M1669" s="17">
        <f>IF(OR(Log[[#This Row],[Verb]]="done",Log[[#This Row],[Verb]]="punt",Log[[#This Row],[Verb]]="drop",Log[[#This Row],[Verb]]="pass"),Log[[#This Row],[Pts]],0)</f>
      </c>
    </row>
    <row r="1670">
      <c r="A1670" s="11">
        <v>46245</v>
      </c>
      <c r="B1670" t="s">
        <v>906</v>
      </c>
      <c r="C1670" t="s">
        <v>34</v>
      </c>
      <c r="D1670">
        <v>50</v>
      </c>
      <c r="F1670" s="17">
        <f>IF(Log[[#This Row],[ID]]="","",IF(ISNA(MATCH(Log[[#This Row],[ID]],Items[ID],0)),"unknown ID",IF(ISNA(MATCH(Log[[#This Row],[Verb]],VerbList,0)),"unknown verb",IF(Log[[#This Row],[Date]]="","no date",""))))</f>
      </c>
      <c r="G1670" s="17">
        <f>IF(Log[[#This Row],[ID]]="","",IFERROR(VLOOKUP(Log[[#This Row],[Verb]],Verbs,3,FALSE)&amp;"",""))</f>
      </c>
      <c r="H1670" s="17">
        <f>IF(Log[[#This Row],[Date]]="","",INT((Log[[#This Row],[Date]]-Sprint1)/SprintDays)+1)</f>
      </c>
      <c r="I1670" s="17">
        <f>IF(OR(Log[[#This Row],[Verb]]="commit",Log[[#This Row],[Verb]]="carry",Log[[#This Row],[Verb]]="redo"),IF(Log[[#This Row],[Arg]]="",Log[[#This Row],[Sprint]],N(Log[[#This Row],[Arg]])),"")</f>
      </c>
      <c r="J1670" s="17">
        <f>IF(Log[[#This Row],[Verb]]="block",1,IF(OR(Log[[#This Row],[Verb]]="unblock",Log[[#This Row],[Verb]]="done",Log[[#This Row],[Verb]]="drop",Log[[#This Row],[Verb]]="punt",Log[[#This Row],[Verb]]="pass"),0,""))</f>
      </c>
      <c r="K1670" s="17">
        <f>IF(Log[[#This Row],[ID]]="",0,IFERROR(INDEX(Items[Pts],MATCH(Log[[#This Row],[ID]],Items[ID],0))*1,0))</f>
      </c>
      <c r="L1670" s="17">
        <f>IF(Log[[#This Row],[ID]]="","",IFERROR(INDEX(Items[Cur team],MATCH(Log[[#This Row],[ID]],Items[ID],0))&amp;"",""))</f>
      </c>
      <c r="M1670" s="17">
        <f>IF(OR(Log[[#This Row],[Verb]]="done",Log[[#This Row],[Verb]]="punt",Log[[#This Row],[Verb]]="drop",Log[[#This Row],[Verb]]="pass"),Log[[#This Row],[Pts]],0)</f>
      </c>
    </row>
    <row r="1671">
      <c r="A1671" s="11">
        <v>46245</v>
      </c>
      <c r="B1671" t="s">
        <v>907</v>
      </c>
      <c r="C1671" t="s">
        <v>34</v>
      </c>
      <c r="D1671">
        <v>50</v>
      </c>
      <c r="F1671" s="17">
        <f>IF(Log[[#This Row],[ID]]="","",IF(ISNA(MATCH(Log[[#This Row],[ID]],Items[ID],0)),"unknown ID",IF(ISNA(MATCH(Log[[#This Row],[Verb]],VerbList,0)),"unknown verb",IF(Log[[#This Row],[Date]]="","no date",""))))</f>
      </c>
      <c r="G1671" s="17">
        <f>IF(Log[[#This Row],[ID]]="","",IFERROR(VLOOKUP(Log[[#This Row],[Verb]],Verbs,3,FALSE)&amp;"",""))</f>
      </c>
      <c r="H1671" s="17">
        <f>IF(Log[[#This Row],[Date]]="","",INT((Log[[#This Row],[Date]]-Sprint1)/SprintDays)+1)</f>
      </c>
      <c r="I1671" s="17">
        <f>IF(OR(Log[[#This Row],[Verb]]="commit",Log[[#This Row],[Verb]]="carry",Log[[#This Row],[Verb]]="redo"),IF(Log[[#This Row],[Arg]]="",Log[[#This Row],[Sprint]],N(Log[[#This Row],[Arg]])),"")</f>
      </c>
      <c r="J1671" s="17">
        <f>IF(Log[[#This Row],[Verb]]="block",1,IF(OR(Log[[#This Row],[Verb]]="unblock",Log[[#This Row],[Verb]]="done",Log[[#This Row],[Verb]]="drop",Log[[#This Row],[Verb]]="punt",Log[[#This Row],[Verb]]="pass"),0,""))</f>
      </c>
      <c r="K1671" s="17">
        <f>IF(Log[[#This Row],[ID]]="",0,IFERROR(INDEX(Items[Pts],MATCH(Log[[#This Row],[ID]],Items[ID],0))*1,0))</f>
      </c>
      <c r="L1671" s="17">
        <f>IF(Log[[#This Row],[ID]]="","",IFERROR(INDEX(Items[Cur team],MATCH(Log[[#This Row],[ID]],Items[ID],0))&amp;"",""))</f>
      </c>
      <c r="M1671" s="17">
        <f>IF(OR(Log[[#This Row],[Verb]]="done",Log[[#This Row],[Verb]]="punt",Log[[#This Row],[Verb]]="drop",Log[[#This Row],[Verb]]="pass"),Log[[#This Row],[Pts]],0)</f>
      </c>
    </row>
    <row r="1672">
      <c r="A1672" s="11">
        <v>46245</v>
      </c>
      <c r="B1672" t="s">
        <v>908</v>
      </c>
      <c r="C1672" t="s">
        <v>34</v>
      </c>
      <c r="D1672">
        <v>50</v>
      </c>
      <c r="F1672" s="17">
        <f>IF(Log[[#This Row],[ID]]="","",IF(ISNA(MATCH(Log[[#This Row],[ID]],Items[ID],0)),"unknown ID",IF(ISNA(MATCH(Log[[#This Row],[Verb]],VerbList,0)),"unknown verb",IF(Log[[#This Row],[Date]]="","no date",""))))</f>
      </c>
      <c r="G1672" s="17">
        <f>IF(Log[[#This Row],[ID]]="","",IFERROR(VLOOKUP(Log[[#This Row],[Verb]],Verbs,3,FALSE)&amp;"",""))</f>
      </c>
      <c r="H1672" s="17">
        <f>IF(Log[[#This Row],[Date]]="","",INT((Log[[#This Row],[Date]]-Sprint1)/SprintDays)+1)</f>
      </c>
      <c r="I1672" s="17">
        <f>IF(OR(Log[[#This Row],[Verb]]="commit",Log[[#This Row],[Verb]]="carry",Log[[#This Row],[Verb]]="redo"),IF(Log[[#This Row],[Arg]]="",Log[[#This Row],[Sprint]],N(Log[[#This Row],[Arg]])),"")</f>
      </c>
      <c r="J1672" s="17">
        <f>IF(Log[[#This Row],[Verb]]="block",1,IF(OR(Log[[#This Row],[Verb]]="unblock",Log[[#This Row],[Verb]]="done",Log[[#This Row],[Verb]]="drop",Log[[#This Row],[Verb]]="punt",Log[[#This Row],[Verb]]="pass"),0,""))</f>
      </c>
      <c r="K1672" s="17">
        <f>IF(Log[[#This Row],[ID]]="",0,IFERROR(INDEX(Items[Pts],MATCH(Log[[#This Row],[ID]],Items[ID],0))*1,0))</f>
      </c>
      <c r="L1672" s="17">
        <f>IF(Log[[#This Row],[ID]]="","",IFERROR(INDEX(Items[Cur team],MATCH(Log[[#This Row],[ID]],Items[ID],0))&amp;"",""))</f>
      </c>
      <c r="M1672" s="17">
        <f>IF(OR(Log[[#This Row],[Verb]]="done",Log[[#This Row],[Verb]]="punt",Log[[#This Row],[Verb]]="drop",Log[[#This Row],[Verb]]="pass"),Log[[#This Row],[Pts]],0)</f>
      </c>
    </row>
    <row r="1673">
      <c r="A1673" s="11">
        <v>46245</v>
      </c>
      <c r="B1673" t="s">
        <v>909</v>
      </c>
      <c r="C1673" t="s">
        <v>34</v>
      </c>
      <c r="D1673">
        <v>50</v>
      </c>
      <c r="F1673" s="17">
        <f>IF(Log[[#This Row],[ID]]="","",IF(ISNA(MATCH(Log[[#This Row],[ID]],Items[ID],0)),"unknown ID",IF(ISNA(MATCH(Log[[#This Row],[Verb]],VerbList,0)),"unknown verb",IF(Log[[#This Row],[Date]]="","no date",""))))</f>
      </c>
      <c r="G1673" s="17">
        <f>IF(Log[[#This Row],[ID]]="","",IFERROR(VLOOKUP(Log[[#This Row],[Verb]],Verbs,3,FALSE)&amp;"",""))</f>
      </c>
      <c r="H1673" s="17">
        <f>IF(Log[[#This Row],[Date]]="","",INT((Log[[#This Row],[Date]]-Sprint1)/SprintDays)+1)</f>
      </c>
      <c r="I1673" s="17">
        <f>IF(OR(Log[[#This Row],[Verb]]="commit",Log[[#This Row],[Verb]]="carry",Log[[#This Row],[Verb]]="redo"),IF(Log[[#This Row],[Arg]]="",Log[[#This Row],[Sprint]],N(Log[[#This Row],[Arg]])),"")</f>
      </c>
      <c r="J1673" s="17">
        <f>IF(Log[[#This Row],[Verb]]="block",1,IF(OR(Log[[#This Row],[Verb]]="unblock",Log[[#This Row],[Verb]]="done",Log[[#This Row],[Verb]]="drop",Log[[#This Row],[Verb]]="punt",Log[[#This Row],[Verb]]="pass"),0,""))</f>
      </c>
      <c r="K1673" s="17">
        <f>IF(Log[[#This Row],[ID]]="",0,IFERROR(INDEX(Items[Pts],MATCH(Log[[#This Row],[ID]],Items[ID],0))*1,0))</f>
      </c>
      <c r="L1673" s="17">
        <f>IF(Log[[#This Row],[ID]]="","",IFERROR(INDEX(Items[Cur team],MATCH(Log[[#This Row],[ID]],Items[ID],0))&amp;"",""))</f>
      </c>
      <c r="M1673" s="17">
        <f>IF(OR(Log[[#This Row],[Verb]]="done",Log[[#This Row],[Verb]]="punt",Log[[#This Row],[Verb]]="drop",Log[[#This Row],[Verb]]="pass"),Log[[#This Row],[Pts]],0)</f>
      </c>
    </row>
    <row r="1674">
      <c r="A1674" s="11">
        <v>46245</v>
      </c>
      <c r="B1674" t="s">
        <v>910</v>
      </c>
      <c r="C1674" t="s">
        <v>34</v>
      </c>
      <c r="D1674">
        <v>50</v>
      </c>
      <c r="F1674" s="17">
        <f>IF(Log[[#This Row],[ID]]="","",IF(ISNA(MATCH(Log[[#This Row],[ID]],Items[ID],0)),"unknown ID",IF(ISNA(MATCH(Log[[#This Row],[Verb]],VerbList,0)),"unknown verb",IF(Log[[#This Row],[Date]]="","no date",""))))</f>
      </c>
      <c r="G1674" s="17">
        <f>IF(Log[[#This Row],[ID]]="","",IFERROR(VLOOKUP(Log[[#This Row],[Verb]],Verbs,3,FALSE)&amp;"",""))</f>
      </c>
      <c r="H1674" s="17">
        <f>IF(Log[[#This Row],[Date]]="","",INT((Log[[#This Row],[Date]]-Sprint1)/SprintDays)+1)</f>
      </c>
      <c r="I1674" s="17">
        <f>IF(OR(Log[[#This Row],[Verb]]="commit",Log[[#This Row],[Verb]]="carry",Log[[#This Row],[Verb]]="redo"),IF(Log[[#This Row],[Arg]]="",Log[[#This Row],[Sprint]],N(Log[[#This Row],[Arg]])),"")</f>
      </c>
      <c r="J1674" s="17">
        <f>IF(Log[[#This Row],[Verb]]="block",1,IF(OR(Log[[#This Row],[Verb]]="unblock",Log[[#This Row],[Verb]]="done",Log[[#This Row],[Verb]]="drop",Log[[#This Row],[Verb]]="punt",Log[[#This Row],[Verb]]="pass"),0,""))</f>
      </c>
      <c r="K1674" s="17">
        <f>IF(Log[[#This Row],[ID]]="",0,IFERROR(INDEX(Items[Pts],MATCH(Log[[#This Row],[ID]],Items[ID],0))*1,0))</f>
      </c>
      <c r="L1674" s="17">
        <f>IF(Log[[#This Row],[ID]]="","",IFERROR(INDEX(Items[Cur team],MATCH(Log[[#This Row],[ID]],Items[ID],0))&amp;"",""))</f>
      </c>
      <c r="M1674" s="17">
        <f>IF(OR(Log[[#This Row],[Verb]]="done",Log[[#This Row],[Verb]]="punt",Log[[#This Row],[Verb]]="drop",Log[[#This Row],[Verb]]="pass"),Log[[#This Row],[Pts]],0)</f>
      </c>
    </row>
    <row r="1675">
      <c r="A1675" s="11">
        <v>46245</v>
      </c>
      <c r="B1675" t="s">
        <v>911</v>
      </c>
      <c r="C1675" t="s">
        <v>34</v>
      </c>
      <c r="D1675">
        <v>50</v>
      </c>
      <c r="F1675" s="17">
        <f>IF(Log[[#This Row],[ID]]="","",IF(ISNA(MATCH(Log[[#This Row],[ID]],Items[ID],0)),"unknown ID",IF(ISNA(MATCH(Log[[#This Row],[Verb]],VerbList,0)),"unknown verb",IF(Log[[#This Row],[Date]]="","no date",""))))</f>
      </c>
      <c r="G1675" s="17">
        <f>IF(Log[[#This Row],[ID]]="","",IFERROR(VLOOKUP(Log[[#This Row],[Verb]],Verbs,3,FALSE)&amp;"",""))</f>
      </c>
      <c r="H1675" s="17">
        <f>IF(Log[[#This Row],[Date]]="","",INT((Log[[#This Row],[Date]]-Sprint1)/SprintDays)+1)</f>
      </c>
      <c r="I1675" s="17">
        <f>IF(OR(Log[[#This Row],[Verb]]="commit",Log[[#This Row],[Verb]]="carry",Log[[#This Row],[Verb]]="redo"),IF(Log[[#This Row],[Arg]]="",Log[[#This Row],[Sprint]],N(Log[[#This Row],[Arg]])),"")</f>
      </c>
      <c r="J1675" s="17">
        <f>IF(Log[[#This Row],[Verb]]="block",1,IF(OR(Log[[#This Row],[Verb]]="unblock",Log[[#This Row],[Verb]]="done",Log[[#This Row],[Verb]]="drop",Log[[#This Row],[Verb]]="punt",Log[[#This Row],[Verb]]="pass"),0,""))</f>
      </c>
      <c r="K1675" s="17">
        <f>IF(Log[[#This Row],[ID]]="",0,IFERROR(INDEX(Items[Pts],MATCH(Log[[#This Row],[ID]],Items[ID],0))*1,0))</f>
      </c>
      <c r="L1675" s="17">
        <f>IF(Log[[#This Row],[ID]]="","",IFERROR(INDEX(Items[Cur team],MATCH(Log[[#This Row],[ID]],Items[ID],0))&amp;"",""))</f>
      </c>
      <c r="M1675" s="17">
        <f>IF(OR(Log[[#This Row],[Verb]]="done",Log[[#This Row],[Verb]]="punt",Log[[#This Row],[Verb]]="drop",Log[[#This Row],[Verb]]="pass"),Log[[#This Row],[Pts]],0)</f>
      </c>
    </row>
    <row r="1676">
      <c r="A1676" s="11">
        <v>46245</v>
      </c>
      <c r="B1676" t="s">
        <v>912</v>
      </c>
      <c r="C1676" t="s">
        <v>34</v>
      </c>
      <c r="D1676">
        <v>50</v>
      </c>
      <c r="F1676" s="17">
        <f>IF(Log[[#This Row],[ID]]="","",IF(ISNA(MATCH(Log[[#This Row],[ID]],Items[ID],0)),"unknown ID",IF(ISNA(MATCH(Log[[#This Row],[Verb]],VerbList,0)),"unknown verb",IF(Log[[#This Row],[Date]]="","no date",""))))</f>
      </c>
      <c r="G1676" s="17">
        <f>IF(Log[[#This Row],[ID]]="","",IFERROR(VLOOKUP(Log[[#This Row],[Verb]],Verbs,3,FALSE)&amp;"",""))</f>
      </c>
      <c r="H1676" s="17">
        <f>IF(Log[[#This Row],[Date]]="","",INT((Log[[#This Row],[Date]]-Sprint1)/SprintDays)+1)</f>
      </c>
      <c r="I1676" s="17">
        <f>IF(OR(Log[[#This Row],[Verb]]="commit",Log[[#This Row],[Verb]]="carry",Log[[#This Row],[Verb]]="redo"),IF(Log[[#This Row],[Arg]]="",Log[[#This Row],[Sprint]],N(Log[[#This Row],[Arg]])),"")</f>
      </c>
      <c r="J1676" s="17">
        <f>IF(Log[[#This Row],[Verb]]="block",1,IF(OR(Log[[#This Row],[Verb]]="unblock",Log[[#This Row],[Verb]]="done",Log[[#This Row],[Verb]]="drop",Log[[#This Row],[Verb]]="punt",Log[[#This Row],[Verb]]="pass"),0,""))</f>
      </c>
      <c r="K1676" s="17">
        <f>IF(Log[[#This Row],[ID]]="",0,IFERROR(INDEX(Items[Pts],MATCH(Log[[#This Row],[ID]],Items[ID],0))*1,0))</f>
      </c>
      <c r="L1676" s="17">
        <f>IF(Log[[#This Row],[ID]]="","",IFERROR(INDEX(Items[Cur team],MATCH(Log[[#This Row],[ID]],Items[ID],0))&amp;"",""))</f>
      </c>
      <c r="M1676" s="17">
        <f>IF(OR(Log[[#This Row],[Verb]]="done",Log[[#This Row],[Verb]]="punt",Log[[#This Row],[Verb]]="drop",Log[[#This Row],[Verb]]="pass"),Log[[#This Row],[Pts]],0)</f>
      </c>
    </row>
    <row r="1677">
      <c r="A1677" s="11">
        <v>46245</v>
      </c>
      <c r="B1677" t="s">
        <v>913</v>
      </c>
      <c r="C1677" t="s">
        <v>34</v>
      </c>
      <c r="D1677">
        <v>50</v>
      </c>
      <c r="F1677" s="17">
        <f>IF(Log[[#This Row],[ID]]="","",IF(ISNA(MATCH(Log[[#This Row],[ID]],Items[ID],0)),"unknown ID",IF(ISNA(MATCH(Log[[#This Row],[Verb]],VerbList,0)),"unknown verb",IF(Log[[#This Row],[Date]]="","no date",""))))</f>
      </c>
      <c r="G1677" s="17">
        <f>IF(Log[[#This Row],[ID]]="","",IFERROR(VLOOKUP(Log[[#This Row],[Verb]],Verbs,3,FALSE)&amp;"",""))</f>
      </c>
      <c r="H1677" s="17">
        <f>IF(Log[[#This Row],[Date]]="","",INT((Log[[#This Row],[Date]]-Sprint1)/SprintDays)+1)</f>
      </c>
      <c r="I1677" s="17">
        <f>IF(OR(Log[[#This Row],[Verb]]="commit",Log[[#This Row],[Verb]]="carry",Log[[#This Row],[Verb]]="redo"),IF(Log[[#This Row],[Arg]]="",Log[[#This Row],[Sprint]],N(Log[[#This Row],[Arg]])),"")</f>
      </c>
      <c r="J1677" s="17">
        <f>IF(Log[[#This Row],[Verb]]="block",1,IF(OR(Log[[#This Row],[Verb]]="unblock",Log[[#This Row],[Verb]]="done",Log[[#This Row],[Verb]]="drop",Log[[#This Row],[Verb]]="punt",Log[[#This Row],[Verb]]="pass"),0,""))</f>
      </c>
      <c r="K1677" s="17">
        <f>IF(Log[[#This Row],[ID]]="",0,IFERROR(INDEX(Items[Pts],MATCH(Log[[#This Row],[ID]],Items[ID],0))*1,0))</f>
      </c>
      <c r="L1677" s="17">
        <f>IF(Log[[#This Row],[ID]]="","",IFERROR(INDEX(Items[Cur team],MATCH(Log[[#This Row],[ID]],Items[ID],0))&amp;"",""))</f>
      </c>
      <c r="M1677" s="17">
        <f>IF(OR(Log[[#This Row],[Verb]]="done",Log[[#This Row],[Verb]]="punt",Log[[#This Row],[Verb]]="drop",Log[[#This Row],[Verb]]="pass"),Log[[#This Row],[Pts]],0)</f>
      </c>
    </row>
    <row r="1678">
      <c r="A1678" s="11">
        <v>46245</v>
      </c>
      <c r="B1678" t="s">
        <v>914</v>
      </c>
      <c r="C1678" t="s">
        <v>34</v>
      </c>
      <c r="D1678">
        <v>50</v>
      </c>
      <c r="F1678" s="17">
        <f>IF(Log[[#This Row],[ID]]="","",IF(ISNA(MATCH(Log[[#This Row],[ID]],Items[ID],0)),"unknown ID",IF(ISNA(MATCH(Log[[#This Row],[Verb]],VerbList,0)),"unknown verb",IF(Log[[#This Row],[Date]]="","no date",""))))</f>
      </c>
      <c r="G1678" s="17">
        <f>IF(Log[[#This Row],[ID]]="","",IFERROR(VLOOKUP(Log[[#This Row],[Verb]],Verbs,3,FALSE)&amp;"",""))</f>
      </c>
      <c r="H1678" s="17">
        <f>IF(Log[[#This Row],[Date]]="","",INT((Log[[#This Row],[Date]]-Sprint1)/SprintDays)+1)</f>
      </c>
      <c r="I1678" s="17">
        <f>IF(OR(Log[[#This Row],[Verb]]="commit",Log[[#This Row],[Verb]]="carry",Log[[#This Row],[Verb]]="redo"),IF(Log[[#This Row],[Arg]]="",Log[[#This Row],[Sprint]],N(Log[[#This Row],[Arg]])),"")</f>
      </c>
      <c r="J1678" s="17">
        <f>IF(Log[[#This Row],[Verb]]="block",1,IF(OR(Log[[#This Row],[Verb]]="unblock",Log[[#This Row],[Verb]]="done",Log[[#This Row],[Verb]]="drop",Log[[#This Row],[Verb]]="punt",Log[[#This Row],[Verb]]="pass"),0,""))</f>
      </c>
      <c r="K1678" s="17">
        <f>IF(Log[[#This Row],[ID]]="",0,IFERROR(INDEX(Items[Pts],MATCH(Log[[#This Row],[ID]],Items[ID],0))*1,0))</f>
      </c>
      <c r="L1678" s="17">
        <f>IF(Log[[#This Row],[ID]]="","",IFERROR(INDEX(Items[Cur team],MATCH(Log[[#This Row],[ID]],Items[ID],0))&amp;"",""))</f>
      </c>
      <c r="M1678" s="17">
        <f>IF(OR(Log[[#This Row],[Verb]]="done",Log[[#This Row],[Verb]]="punt",Log[[#This Row],[Verb]]="drop",Log[[#This Row],[Verb]]="pass"),Log[[#This Row],[Pts]],0)</f>
      </c>
    </row>
    <row r="1679">
      <c r="A1679" s="11">
        <v>46245</v>
      </c>
      <c r="B1679" t="s">
        <v>915</v>
      </c>
      <c r="C1679" t="s">
        <v>34</v>
      </c>
      <c r="D1679">
        <v>50</v>
      </c>
      <c r="F1679" s="17">
        <f>IF(Log[[#This Row],[ID]]="","",IF(ISNA(MATCH(Log[[#This Row],[ID]],Items[ID],0)),"unknown ID",IF(ISNA(MATCH(Log[[#This Row],[Verb]],VerbList,0)),"unknown verb",IF(Log[[#This Row],[Date]]="","no date",""))))</f>
      </c>
      <c r="G1679" s="17">
        <f>IF(Log[[#This Row],[ID]]="","",IFERROR(VLOOKUP(Log[[#This Row],[Verb]],Verbs,3,FALSE)&amp;"",""))</f>
      </c>
      <c r="H1679" s="17">
        <f>IF(Log[[#This Row],[Date]]="","",INT((Log[[#This Row],[Date]]-Sprint1)/SprintDays)+1)</f>
      </c>
      <c r="I1679" s="17">
        <f>IF(OR(Log[[#This Row],[Verb]]="commit",Log[[#This Row],[Verb]]="carry",Log[[#This Row],[Verb]]="redo"),IF(Log[[#This Row],[Arg]]="",Log[[#This Row],[Sprint]],N(Log[[#This Row],[Arg]])),"")</f>
      </c>
      <c r="J1679" s="17">
        <f>IF(Log[[#This Row],[Verb]]="block",1,IF(OR(Log[[#This Row],[Verb]]="unblock",Log[[#This Row],[Verb]]="done",Log[[#This Row],[Verb]]="drop",Log[[#This Row],[Verb]]="punt",Log[[#This Row],[Verb]]="pass"),0,""))</f>
      </c>
      <c r="K1679" s="17">
        <f>IF(Log[[#This Row],[ID]]="",0,IFERROR(INDEX(Items[Pts],MATCH(Log[[#This Row],[ID]],Items[ID],0))*1,0))</f>
      </c>
      <c r="L1679" s="17">
        <f>IF(Log[[#This Row],[ID]]="","",IFERROR(INDEX(Items[Cur team],MATCH(Log[[#This Row],[ID]],Items[ID],0))&amp;"",""))</f>
      </c>
      <c r="M1679" s="17">
        <f>IF(OR(Log[[#This Row],[Verb]]="done",Log[[#This Row],[Verb]]="punt",Log[[#This Row],[Verb]]="drop",Log[[#This Row],[Verb]]="pass"),Log[[#This Row],[Pts]],0)</f>
      </c>
    </row>
    <row r="1680">
      <c r="A1680" s="11">
        <v>46245</v>
      </c>
      <c r="B1680" t="s">
        <v>916</v>
      </c>
      <c r="C1680" t="s">
        <v>34</v>
      </c>
      <c r="D1680">
        <v>50</v>
      </c>
      <c r="F1680" s="17">
        <f>IF(Log[[#This Row],[ID]]="","",IF(ISNA(MATCH(Log[[#This Row],[ID]],Items[ID],0)),"unknown ID",IF(ISNA(MATCH(Log[[#This Row],[Verb]],VerbList,0)),"unknown verb",IF(Log[[#This Row],[Date]]="","no date",""))))</f>
      </c>
      <c r="G1680" s="17">
        <f>IF(Log[[#This Row],[ID]]="","",IFERROR(VLOOKUP(Log[[#This Row],[Verb]],Verbs,3,FALSE)&amp;"",""))</f>
      </c>
      <c r="H1680" s="17">
        <f>IF(Log[[#This Row],[Date]]="","",INT((Log[[#This Row],[Date]]-Sprint1)/SprintDays)+1)</f>
      </c>
      <c r="I1680" s="17">
        <f>IF(OR(Log[[#This Row],[Verb]]="commit",Log[[#This Row],[Verb]]="carry",Log[[#This Row],[Verb]]="redo"),IF(Log[[#This Row],[Arg]]="",Log[[#This Row],[Sprint]],N(Log[[#This Row],[Arg]])),"")</f>
      </c>
      <c r="J1680" s="17">
        <f>IF(Log[[#This Row],[Verb]]="block",1,IF(OR(Log[[#This Row],[Verb]]="unblock",Log[[#This Row],[Verb]]="done",Log[[#This Row],[Verb]]="drop",Log[[#This Row],[Verb]]="punt",Log[[#This Row],[Verb]]="pass"),0,""))</f>
      </c>
      <c r="K1680" s="17">
        <f>IF(Log[[#This Row],[ID]]="",0,IFERROR(INDEX(Items[Pts],MATCH(Log[[#This Row],[ID]],Items[ID],0))*1,0))</f>
      </c>
      <c r="L1680" s="17">
        <f>IF(Log[[#This Row],[ID]]="","",IFERROR(INDEX(Items[Cur team],MATCH(Log[[#This Row],[ID]],Items[ID],0))&amp;"",""))</f>
      </c>
      <c r="M1680" s="17">
        <f>IF(OR(Log[[#This Row],[Verb]]="done",Log[[#This Row],[Verb]]="punt",Log[[#This Row],[Verb]]="drop",Log[[#This Row],[Verb]]="pass"),Log[[#This Row],[Pts]],0)</f>
      </c>
    </row>
    <row r="1681">
      <c r="A1681" s="11">
        <v>46245</v>
      </c>
      <c r="B1681" t="s">
        <v>917</v>
      </c>
      <c r="C1681" t="s">
        <v>34</v>
      </c>
      <c r="D1681">
        <v>50</v>
      </c>
      <c r="F1681" s="17">
        <f>IF(Log[[#This Row],[ID]]="","",IF(ISNA(MATCH(Log[[#This Row],[ID]],Items[ID],0)),"unknown ID",IF(ISNA(MATCH(Log[[#This Row],[Verb]],VerbList,0)),"unknown verb",IF(Log[[#This Row],[Date]]="","no date",""))))</f>
      </c>
      <c r="G1681" s="17">
        <f>IF(Log[[#This Row],[ID]]="","",IFERROR(VLOOKUP(Log[[#This Row],[Verb]],Verbs,3,FALSE)&amp;"",""))</f>
      </c>
      <c r="H1681" s="17">
        <f>IF(Log[[#This Row],[Date]]="","",INT((Log[[#This Row],[Date]]-Sprint1)/SprintDays)+1)</f>
      </c>
      <c r="I1681" s="17">
        <f>IF(OR(Log[[#This Row],[Verb]]="commit",Log[[#This Row],[Verb]]="carry",Log[[#This Row],[Verb]]="redo"),IF(Log[[#This Row],[Arg]]="",Log[[#This Row],[Sprint]],N(Log[[#This Row],[Arg]])),"")</f>
      </c>
      <c r="J1681" s="17">
        <f>IF(Log[[#This Row],[Verb]]="block",1,IF(OR(Log[[#This Row],[Verb]]="unblock",Log[[#This Row],[Verb]]="done",Log[[#This Row],[Verb]]="drop",Log[[#This Row],[Verb]]="punt",Log[[#This Row],[Verb]]="pass"),0,""))</f>
      </c>
      <c r="K1681" s="17">
        <f>IF(Log[[#This Row],[ID]]="",0,IFERROR(INDEX(Items[Pts],MATCH(Log[[#This Row],[ID]],Items[ID],0))*1,0))</f>
      </c>
      <c r="L1681" s="17">
        <f>IF(Log[[#This Row],[ID]]="","",IFERROR(INDEX(Items[Cur team],MATCH(Log[[#This Row],[ID]],Items[ID],0))&amp;"",""))</f>
      </c>
      <c r="M1681" s="17">
        <f>IF(OR(Log[[#This Row],[Verb]]="done",Log[[#This Row],[Verb]]="punt",Log[[#This Row],[Verb]]="drop",Log[[#This Row],[Verb]]="pass"),Log[[#This Row],[Pts]],0)</f>
      </c>
    </row>
    <row r="1682">
      <c r="A1682" s="11">
        <v>46245</v>
      </c>
      <c r="B1682" t="s">
        <v>918</v>
      </c>
      <c r="C1682" t="s">
        <v>34</v>
      </c>
      <c r="D1682">
        <v>50</v>
      </c>
      <c r="F1682" s="17">
        <f>IF(Log[[#This Row],[ID]]="","",IF(ISNA(MATCH(Log[[#This Row],[ID]],Items[ID],0)),"unknown ID",IF(ISNA(MATCH(Log[[#This Row],[Verb]],VerbList,0)),"unknown verb",IF(Log[[#This Row],[Date]]="","no date",""))))</f>
      </c>
      <c r="G1682" s="17">
        <f>IF(Log[[#This Row],[ID]]="","",IFERROR(VLOOKUP(Log[[#This Row],[Verb]],Verbs,3,FALSE)&amp;"",""))</f>
      </c>
      <c r="H1682" s="17">
        <f>IF(Log[[#This Row],[Date]]="","",INT((Log[[#This Row],[Date]]-Sprint1)/SprintDays)+1)</f>
      </c>
      <c r="I1682" s="17">
        <f>IF(OR(Log[[#This Row],[Verb]]="commit",Log[[#This Row],[Verb]]="carry",Log[[#This Row],[Verb]]="redo"),IF(Log[[#This Row],[Arg]]="",Log[[#This Row],[Sprint]],N(Log[[#This Row],[Arg]])),"")</f>
      </c>
      <c r="J1682" s="17">
        <f>IF(Log[[#This Row],[Verb]]="block",1,IF(OR(Log[[#This Row],[Verb]]="unblock",Log[[#This Row],[Verb]]="done",Log[[#This Row],[Verb]]="drop",Log[[#This Row],[Verb]]="punt",Log[[#This Row],[Verb]]="pass"),0,""))</f>
      </c>
      <c r="K1682" s="17">
        <f>IF(Log[[#This Row],[ID]]="",0,IFERROR(INDEX(Items[Pts],MATCH(Log[[#This Row],[ID]],Items[ID],0))*1,0))</f>
      </c>
      <c r="L1682" s="17">
        <f>IF(Log[[#This Row],[ID]]="","",IFERROR(INDEX(Items[Cur team],MATCH(Log[[#This Row],[ID]],Items[ID],0))&amp;"",""))</f>
      </c>
      <c r="M1682" s="17">
        <f>IF(OR(Log[[#This Row],[Verb]]="done",Log[[#This Row],[Verb]]="punt",Log[[#This Row],[Verb]]="drop",Log[[#This Row],[Verb]]="pass"),Log[[#This Row],[Pts]],0)</f>
      </c>
    </row>
    <row r="1683">
      <c r="A1683" s="11">
        <v>46245</v>
      </c>
      <c r="B1683" t="s">
        <v>919</v>
      </c>
      <c r="C1683" t="s">
        <v>34</v>
      </c>
      <c r="D1683">
        <v>50</v>
      </c>
      <c r="F1683" s="17">
        <f>IF(Log[[#This Row],[ID]]="","",IF(ISNA(MATCH(Log[[#This Row],[ID]],Items[ID],0)),"unknown ID",IF(ISNA(MATCH(Log[[#This Row],[Verb]],VerbList,0)),"unknown verb",IF(Log[[#This Row],[Date]]="","no date",""))))</f>
      </c>
      <c r="G1683" s="17">
        <f>IF(Log[[#This Row],[ID]]="","",IFERROR(VLOOKUP(Log[[#This Row],[Verb]],Verbs,3,FALSE)&amp;"",""))</f>
      </c>
      <c r="H1683" s="17">
        <f>IF(Log[[#This Row],[Date]]="","",INT((Log[[#This Row],[Date]]-Sprint1)/SprintDays)+1)</f>
      </c>
      <c r="I1683" s="17">
        <f>IF(OR(Log[[#This Row],[Verb]]="commit",Log[[#This Row],[Verb]]="carry",Log[[#This Row],[Verb]]="redo"),IF(Log[[#This Row],[Arg]]="",Log[[#This Row],[Sprint]],N(Log[[#This Row],[Arg]])),"")</f>
      </c>
      <c r="J1683" s="17">
        <f>IF(Log[[#This Row],[Verb]]="block",1,IF(OR(Log[[#This Row],[Verb]]="unblock",Log[[#This Row],[Verb]]="done",Log[[#This Row],[Verb]]="drop",Log[[#This Row],[Verb]]="punt",Log[[#This Row],[Verb]]="pass"),0,""))</f>
      </c>
      <c r="K1683" s="17">
        <f>IF(Log[[#This Row],[ID]]="",0,IFERROR(INDEX(Items[Pts],MATCH(Log[[#This Row],[ID]],Items[ID],0))*1,0))</f>
      </c>
      <c r="L1683" s="17">
        <f>IF(Log[[#This Row],[ID]]="","",IFERROR(INDEX(Items[Cur team],MATCH(Log[[#This Row],[ID]],Items[ID],0))&amp;"",""))</f>
      </c>
      <c r="M1683" s="17">
        <f>IF(OR(Log[[#This Row],[Verb]]="done",Log[[#This Row],[Verb]]="punt",Log[[#This Row],[Verb]]="drop",Log[[#This Row],[Verb]]="pass"),Log[[#This Row],[Pts]],0)</f>
      </c>
    </row>
    <row r="1684">
      <c r="A1684" s="11">
        <v>46245</v>
      </c>
      <c r="B1684" t="s">
        <v>920</v>
      </c>
      <c r="C1684" t="s">
        <v>34</v>
      </c>
      <c r="D1684">
        <v>50</v>
      </c>
      <c r="F1684" s="17">
        <f>IF(Log[[#This Row],[ID]]="","",IF(ISNA(MATCH(Log[[#This Row],[ID]],Items[ID],0)),"unknown ID",IF(ISNA(MATCH(Log[[#This Row],[Verb]],VerbList,0)),"unknown verb",IF(Log[[#This Row],[Date]]="","no date",""))))</f>
      </c>
      <c r="G1684" s="17">
        <f>IF(Log[[#This Row],[ID]]="","",IFERROR(VLOOKUP(Log[[#This Row],[Verb]],Verbs,3,FALSE)&amp;"",""))</f>
      </c>
      <c r="H1684" s="17">
        <f>IF(Log[[#This Row],[Date]]="","",INT((Log[[#This Row],[Date]]-Sprint1)/SprintDays)+1)</f>
      </c>
      <c r="I1684" s="17">
        <f>IF(OR(Log[[#This Row],[Verb]]="commit",Log[[#This Row],[Verb]]="carry",Log[[#This Row],[Verb]]="redo"),IF(Log[[#This Row],[Arg]]="",Log[[#This Row],[Sprint]],N(Log[[#This Row],[Arg]])),"")</f>
      </c>
      <c r="J1684" s="17">
        <f>IF(Log[[#This Row],[Verb]]="block",1,IF(OR(Log[[#This Row],[Verb]]="unblock",Log[[#This Row],[Verb]]="done",Log[[#This Row],[Verb]]="drop",Log[[#This Row],[Verb]]="punt",Log[[#This Row],[Verb]]="pass"),0,""))</f>
      </c>
      <c r="K1684" s="17">
        <f>IF(Log[[#This Row],[ID]]="",0,IFERROR(INDEX(Items[Pts],MATCH(Log[[#This Row],[ID]],Items[ID],0))*1,0))</f>
      </c>
      <c r="L1684" s="17">
        <f>IF(Log[[#This Row],[ID]]="","",IFERROR(INDEX(Items[Cur team],MATCH(Log[[#This Row],[ID]],Items[ID],0))&amp;"",""))</f>
      </c>
      <c r="M1684" s="17">
        <f>IF(OR(Log[[#This Row],[Verb]]="done",Log[[#This Row],[Verb]]="punt",Log[[#This Row],[Verb]]="drop",Log[[#This Row],[Verb]]="pass"),Log[[#This Row],[Pts]],0)</f>
      </c>
    </row>
    <row r="1685">
      <c r="A1685" s="11">
        <v>46245</v>
      </c>
      <c r="B1685" t="s">
        <v>921</v>
      </c>
      <c r="C1685" t="s">
        <v>34</v>
      </c>
      <c r="D1685">
        <v>50</v>
      </c>
      <c r="F1685" s="17">
        <f>IF(Log[[#This Row],[ID]]="","",IF(ISNA(MATCH(Log[[#This Row],[ID]],Items[ID],0)),"unknown ID",IF(ISNA(MATCH(Log[[#This Row],[Verb]],VerbList,0)),"unknown verb",IF(Log[[#This Row],[Date]]="","no date",""))))</f>
      </c>
      <c r="G1685" s="17">
        <f>IF(Log[[#This Row],[ID]]="","",IFERROR(VLOOKUP(Log[[#This Row],[Verb]],Verbs,3,FALSE)&amp;"",""))</f>
      </c>
      <c r="H1685" s="17">
        <f>IF(Log[[#This Row],[Date]]="","",INT((Log[[#This Row],[Date]]-Sprint1)/SprintDays)+1)</f>
      </c>
      <c r="I1685" s="17">
        <f>IF(OR(Log[[#This Row],[Verb]]="commit",Log[[#This Row],[Verb]]="carry",Log[[#This Row],[Verb]]="redo"),IF(Log[[#This Row],[Arg]]="",Log[[#This Row],[Sprint]],N(Log[[#This Row],[Arg]])),"")</f>
      </c>
      <c r="J1685" s="17">
        <f>IF(Log[[#This Row],[Verb]]="block",1,IF(OR(Log[[#This Row],[Verb]]="unblock",Log[[#This Row],[Verb]]="done",Log[[#This Row],[Verb]]="drop",Log[[#This Row],[Verb]]="punt",Log[[#This Row],[Verb]]="pass"),0,""))</f>
      </c>
      <c r="K1685" s="17">
        <f>IF(Log[[#This Row],[ID]]="",0,IFERROR(INDEX(Items[Pts],MATCH(Log[[#This Row],[ID]],Items[ID],0))*1,0))</f>
      </c>
      <c r="L1685" s="17">
        <f>IF(Log[[#This Row],[ID]]="","",IFERROR(INDEX(Items[Cur team],MATCH(Log[[#This Row],[ID]],Items[ID],0))&amp;"",""))</f>
      </c>
      <c r="M1685" s="17">
        <f>IF(OR(Log[[#This Row],[Verb]]="done",Log[[#This Row],[Verb]]="punt",Log[[#This Row],[Verb]]="drop",Log[[#This Row],[Verb]]="pass"),Log[[#This Row],[Pts]],0)</f>
      </c>
    </row>
    <row r="1686">
      <c r="A1686" s="11">
        <v>46245</v>
      </c>
      <c r="B1686" t="s">
        <v>792</v>
      </c>
      <c r="C1686" t="s">
        <v>57</v>
      </c>
      <c r="D1686">
        <v>50</v>
      </c>
      <c r="E1686" t="s">
        <v>193</v>
      </c>
      <c r="F1686" s="17">
        <f>IF(Log[[#This Row],[ID]]="","",IF(ISNA(MATCH(Log[[#This Row],[ID]],Items[ID],0)),"unknown ID",IF(ISNA(MATCH(Log[[#This Row],[Verb]],VerbList,0)),"unknown verb",IF(Log[[#This Row],[Date]]="","no date",""))))</f>
      </c>
      <c r="G1686" s="17">
        <f>IF(Log[[#This Row],[ID]]="","",IFERROR(VLOOKUP(Log[[#This Row],[Verb]],Verbs,3,FALSE)&amp;"",""))</f>
      </c>
      <c r="H1686" s="17">
        <f>IF(Log[[#This Row],[Date]]="","",INT((Log[[#This Row],[Date]]-Sprint1)/SprintDays)+1)</f>
      </c>
      <c r="I1686" s="17">
        <f>IF(OR(Log[[#This Row],[Verb]]="commit",Log[[#This Row],[Verb]]="carry",Log[[#This Row],[Verb]]="redo"),IF(Log[[#This Row],[Arg]]="",Log[[#This Row],[Sprint]],N(Log[[#This Row],[Arg]])),"")</f>
      </c>
      <c r="J1686" s="17">
        <f>IF(Log[[#This Row],[Verb]]="block",1,IF(OR(Log[[#This Row],[Verb]]="unblock",Log[[#This Row],[Verb]]="done",Log[[#This Row],[Verb]]="drop",Log[[#This Row],[Verb]]="punt",Log[[#This Row],[Verb]]="pass"),0,""))</f>
      </c>
      <c r="K1686" s="17">
        <f>IF(Log[[#This Row],[ID]]="",0,IFERROR(INDEX(Items[Pts],MATCH(Log[[#This Row],[ID]],Items[ID],0))*1,0))</f>
      </c>
      <c r="L1686" s="17">
        <f>IF(Log[[#This Row],[ID]]="","",IFERROR(INDEX(Items[Cur team],MATCH(Log[[#This Row],[ID]],Items[ID],0))&amp;"",""))</f>
      </c>
      <c r="M1686" s="17">
        <f>IF(OR(Log[[#This Row],[Verb]]="done",Log[[#This Row],[Verb]]="punt",Log[[#This Row],[Verb]]="drop",Log[[#This Row],[Verb]]="pass"),Log[[#This Row],[Pts]],0)</f>
      </c>
    </row>
    <row r="1687">
      <c r="A1687" s="11">
        <v>46245</v>
      </c>
      <c r="B1687" t="s">
        <v>922</v>
      </c>
      <c r="C1687" t="s">
        <v>34</v>
      </c>
      <c r="D1687">
        <v>50</v>
      </c>
      <c r="F1687" s="17">
        <f>IF(Log[[#This Row],[ID]]="","",IF(ISNA(MATCH(Log[[#This Row],[ID]],Items[ID],0)),"unknown ID",IF(ISNA(MATCH(Log[[#This Row],[Verb]],VerbList,0)),"unknown verb",IF(Log[[#This Row],[Date]]="","no date",""))))</f>
      </c>
      <c r="G1687" s="17">
        <f>IF(Log[[#This Row],[ID]]="","",IFERROR(VLOOKUP(Log[[#This Row],[Verb]],Verbs,3,FALSE)&amp;"",""))</f>
      </c>
      <c r="H1687" s="17">
        <f>IF(Log[[#This Row],[Date]]="","",INT((Log[[#This Row],[Date]]-Sprint1)/SprintDays)+1)</f>
      </c>
      <c r="I1687" s="17">
        <f>IF(OR(Log[[#This Row],[Verb]]="commit",Log[[#This Row],[Verb]]="carry",Log[[#This Row],[Verb]]="redo"),IF(Log[[#This Row],[Arg]]="",Log[[#This Row],[Sprint]],N(Log[[#This Row],[Arg]])),"")</f>
      </c>
      <c r="J1687" s="17">
        <f>IF(Log[[#This Row],[Verb]]="block",1,IF(OR(Log[[#This Row],[Verb]]="unblock",Log[[#This Row],[Verb]]="done",Log[[#This Row],[Verb]]="drop",Log[[#This Row],[Verb]]="punt",Log[[#This Row],[Verb]]="pass"),0,""))</f>
      </c>
      <c r="K1687" s="17">
        <f>IF(Log[[#This Row],[ID]]="",0,IFERROR(INDEX(Items[Pts],MATCH(Log[[#This Row],[ID]],Items[ID],0))*1,0))</f>
      </c>
      <c r="L1687" s="17">
        <f>IF(Log[[#This Row],[ID]]="","",IFERROR(INDEX(Items[Cur team],MATCH(Log[[#This Row],[ID]],Items[ID],0))&amp;"",""))</f>
      </c>
      <c r="M1687" s="17">
        <f>IF(OR(Log[[#This Row],[Verb]]="done",Log[[#This Row],[Verb]]="punt",Log[[#This Row],[Verb]]="drop",Log[[#This Row],[Verb]]="pass"),Log[[#This Row],[Pts]],0)</f>
      </c>
    </row>
    <row r="1688">
      <c r="A1688" s="11">
        <v>46245</v>
      </c>
      <c r="B1688" t="s">
        <v>923</v>
      </c>
      <c r="C1688" t="s">
        <v>34</v>
      </c>
      <c r="D1688">
        <v>50</v>
      </c>
      <c r="F1688" s="17">
        <f>IF(Log[[#This Row],[ID]]="","",IF(ISNA(MATCH(Log[[#This Row],[ID]],Items[ID],0)),"unknown ID",IF(ISNA(MATCH(Log[[#This Row],[Verb]],VerbList,0)),"unknown verb",IF(Log[[#This Row],[Date]]="","no date",""))))</f>
      </c>
      <c r="G1688" s="17">
        <f>IF(Log[[#This Row],[ID]]="","",IFERROR(VLOOKUP(Log[[#This Row],[Verb]],Verbs,3,FALSE)&amp;"",""))</f>
      </c>
      <c r="H1688" s="17">
        <f>IF(Log[[#This Row],[Date]]="","",INT((Log[[#This Row],[Date]]-Sprint1)/SprintDays)+1)</f>
      </c>
      <c r="I1688" s="17">
        <f>IF(OR(Log[[#This Row],[Verb]]="commit",Log[[#This Row],[Verb]]="carry",Log[[#This Row],[Verb]]="redo"),IF(Log[[#This Row],[Arg]]="",Log[[#This Row],[Sprint]],N(Log[[#This Row],[Arg]])),"")</f>
      </c>
      <c r="J1688" s="17">
        <f>IF(Log[[#This Row],[Verb]]="block",1,IF(OR(Log[[#This Row],[Verb]]="unblock",Log[[#This Row],[Verb]]="done",Log[[#This Row],[Verb]]="drop",Log[[#This Row],[Verb]]="punt",Log[[#This Row],[Verb]]="pass"),0,""))</f>
      </c>
      <c r="K1688" s="17">
        <f>IF(Log[[#This Row],[ID]]="",0,IFERROR(INDEX(Items[Pts],MATCH(Log[[#This Row],[ID]],Items[ID],0))*1,0))</f>
      </c>
      <c r="L1688" s="17">
        <f>IF(Log[[#This Row],[ID]]="","",IFERROR(INDEX(Items[Cur team],MATCH(Log[[#This Row],[ID]],Items[ID],0))&amp;"",""))</f>
      </c>
      <c r="M1688" s="17">
        <f>IF(OR(Log[[#This Row],[Verb]]="done",Log[[#This Row],[Verb]]="punt",Log[[#This Row],[Verb]]="drop",Log[[#This Row],[Verb]]="pass"),Log[[#This Row],[Pts]],0)</f>
      </c>
    </row>
    <row r="1689">
      <c r="A1689" s="11">
        <v>46245</v>
      </c>
      <c r="B1689" t="s">
        <v>924</v>
      </c>
      <c r="C1689" t="s">
        <v>34</v>
      </c>
      <c r="D1689">
        <v>50</v>
      </c>
      <c r="F1689" s="17">
        <f>IF(Log[[#This Row],[ID]]="","",IF(ISNA(MATCH(Log[[#This Row],[ID]],Items[ID],0)),"unknown ID",IF(ISNA(MATCH(Log[[#This Row],[Verb]],VerbList,0)),"unknown verb",IF(Log[[#This Row],[Date]]="","no date",""))))</f>
      </c>
      <c r="G1689" s="17">
        <f>IF(Log[[#This Row],[ID]]="","",IFERROR(VLOOKUP(Log[[#This Row],[Verb]],Verbs,3,FALSE)&amp;"",""))</f>
      </c>
      <c r="H1689" s="17">
        <f>IF(Log[[#This Row],[Date]]="","",INT((Log[[#This Row],[Date]]-Sprint1)/SprintDays)+1)</f>
      </c>
      <c r="I1689" s="17">
        <f>IF(OR(Log[[#This Row],[Verb]]="commit",Log[[#This Row],[Verb]]="carry",Log[[#This Row],[Verb]]="redo"),IF(Log[[#This Row],[Arg]]="",Log[[#This Row],[Sprint]],N(Log[[#This Row],[Arg]])),"")</f>
      </c>
      <c r="J1689" s="17">
        <f>IF(Log[[#This Row],[Verb]]="block",1,IF(OR(Log[[#This Row],[Verb]]="unblock",Log[[#This Row],[Verb]]="done",Log[[#This Row],[Verb]]="drop",Log[[#This Row],[Verb]]="punt",Log[[#This Row],[Verb]]="pass"),0,""))</f>
      </c>
      <c r="K1689" s="17">
        <f>IF(Log[[#This Row],[ID]]="",0,IFERROR(INDEX(Items[Pts],MATCH(Log[[#This Row],[ID]],Items[ID],0))*1,0))</f>
      </c>
      <c r="L1689" s="17">
        <f>IF(Log[[#This Row],[ID]]="","",IFERROR(INDEX(Items[Cur team],MATCH(Log[[#This Row],[ID]],Items[ID],0))&amp;"",""))</f>
      </c>
      <c r="M1689" s="17">
        <f>IF(OR(Log[[#This Row],[Verb]]="done",Log[[#This Row],[Verb]]="punt",Log[[#This Row],[Verb]]="drop",Log[[#This Row],[Verb]]="pass"),Log[[#This Row],[Pts]],0)</f>
      </c>
    </row>
    <row r="1690">
      <c r="A1690" s="11">
        <v>46245</v>
      </c>
      <c r="B1690" t="s">
        <v>925</v>
      </c>
      <c r="C1690" t="s">
        <v>34</v>
      </c>
      <c r="D1690">
        <v>50</v>
      </c>
      <c r="F1690" s="17">
        <f>IF(Log[[#This Row],[ID]]="","",IF(ISNA(MATCH(Log[[#This Row],[ID]],Items[ID],0)),"unknown ID",IF(ISNA(MATCH(Log[[#This Row],[Verb]],VerbList,0)),"unknown verb",IF(Log[[#This Row],[Date]]="","no date",""))))</f>
      </c>
      <c r="G1690" s="17">
        <f>IF(Log[[#This Row],[ID]]="","",IFERROR(VLOOKUP(Log[[#This Row],[Verb]],Verbs,3,FALSE)&amp;"",""))</f>
      </c>
      <c r="H1690" s="17">
        <f>IF(Log[[#This Row],[Date]]="","",INT((Log[[#This Row],[Date]]-Sprint1)/SprintDays)+1)</f>
      </c>
      <c r="I1690" s="17">
        <f>IF(OR(Log[[#This Row],[Verb]]="commit",Log[[#This Row],[Verb]]="carry",Log[[#This Row],[Verb]]="redo"),IF(Log[[#This Row],[Arg]]="",Log[[#This Row],[Sprint]],N(Log[[#This Row],[Arg]])),"")</f>
      </c>
      <c r="J1690" s="17">
        <f>IF(Log[[#This Row],[Verb]]="block",1,IF(OR(Log[[#This Row],[Verb]]="unblock",Log[[#This Row],[Verb]]="done",Log[[#This Row],[Verb]]="drop",Log[[#This Row],[Verb]]="punt",Log[[#This Row],[Verb]]="pass"),0,""))</f>
      </c>
      <c r="K1690" s="17">
        <f>IF(Log[[#This Row],[ID]]="",0,IFERROR(INDEX(Items[Pts],MATCH(Log[[#This Row],[ID]],Items[ID],0))*1,0))</f>
      </c>
      <c r="L1690" s="17">
        <f>IF(Log[[#This Row],[ID]]="","",IFERROR(INDEX(Items[Cur team],MATCH(Log[[#This Row],[ID]],Items[ID],0))&amp;"",""))</f>
      </c>
      <c r="M1690" s="17">
        <f>IF(OR(Log[[#This Row],[Verb]]="done",Log[[#This Row],[Verb]]="punt",Log[[#This Row],[Verb]]="drop",Log[[#This Row],[Verb]]="pass"),Log[[#This Row],[Pts]],0)</f>
      </c>
    </row>
    <row r="1691">
      <c r="A1691" s="11">
        <v>46245</v>
      </c>
      <c r="B1691" t="s">
        <v>926</v>
      </c>
      <c r="C1691" t="s">
        <v>34</v>
      </c>
      <c r="D1691">
        <v>50</v>
      </c>
      <c r="F1691" s="17">
        <f>IF(Log[[#This Row],[ID]]="","",IF(ISNA(MATCH(Log[[#This Row],[ID]],Items[ID],0)),"unknown ID",IF(ISNA(MATCH(Log[[#This Row],[Verb]],VerbList,0)),"unknown verb",IF(Log[[#This Row],[Date]]="","no date",""))))</f>
      </c>
      <c r="G1691" s="17">
        <f>IF(Log[[#This Row],[ID]]="","",IFERROR(VLOOKUP(Log[[#This Row],[Verb]],Verbs,3,FALSE)&amp;"",""))</f>
      </c>
      <c r="H1691" s="17">
        <f>IF(Log[[#This Row],[Date]]="","",INT((Log[[#This Row],[Date]]-Sprint1)/SprintDays)+1)</f>
      </c>
      <c r="I1691" s="17">
        <f>IF(OR(Log[[#This Row],[Verb]]="commit",Log[[#This Row],[Verb]]="carry",Log[[#This Row],[Verb]]="redo"),IF(Log[[#This Row],[Arg]]="",Log[[#This Row],[Sprint]],N(Log[[#This Row],[Arg]])),"")</f>
      </c>
      <c r="J1691" s="17">
        <f>IF(Log[[#This Row],[Verb]]="block",1,IF(OR(Log[[#This Row],[Verb]]="unblock",Log[[#This Row],[Verb]]="done",Log[[#This Row],[Verb]]="drop",Log[[#This Row],[Verb]]="punt",Log[[#This Row],[Verb]]="pass"),0,""))</f>
      </c>
      <c r="K1691" s="17">
        <f>IF(Log[[#This Row],[ID]]="",0,IFERROR(INDEX(Items[Pts],MATCH(Log[[#This Row],[ID]],Items[ID],0))*1,0))</f>
      </c>
      <c r="L1691" s="17">
        <f>IF(Log[[#This Row],[ID]]="","",IFERROR(INDEX(Items[Cur team],MATCH(Log[[#This Row],[ID]],Items[ID],0))&amp;"",""))</f>
      </c>
      <c r="M1691" s="17">
        <f>IF(OR(Log[[#This Row],[Verb]]="done",Log[[#This Row],[Verb]]="punt",Log[[#This Row],[Verb]]="drop",Log[[#This Row],[Verb]]="pass"),Log[[#This Row],[Pts]],0)</f>
      </c>
    </row>
    <row r="1692">
      <c r="A1692" s="11">
        <v>46245</v>
      </c>
      <c r="B1692" t="s">
        <v>927</v>
      </c>
      <c r="C1692" t="s">
        <v>34</v>
      </c>
      <c r="D1692">
        <v>50</v>
      </c>
      <c r="F1692" s="17">
        <f>IF(Log[[#This Row],[ID]]="","",IF(ISNA(MATCH(Log[[#This Row],[ID]],Items[ID],0)),"unknown ID",IF(ISNA(MATCH(Log[[#This Row],[Verb]],VerbList,0)),"unknown verb",IF(Log[[#This Row],[Date]]="","no date",""))))</f>
      </c>
      <c r="G1692" s="17">
        <f>IF(Log[[#This Row],[ID]]="","",IFERROR(VLOOKUP(Log[[#This Row],[Verb]],Verbs,3,FALSE)&amp;"",""))</f>
      </c>
      <c r="H1692" s="17">
        <f>IF(Log[[#This Row],[Date]]="","",INT((Log[[#This Row],[Date]]-Sprint1)/SprintDays)+1)</f>
      </c>
      <c r="I1692" s="17">
        <f>IF(OR(Log[[#This Row],[Verb]]="commit",Log[[#This Row],[Verb]]="carry",Log[[#This Row],[Verb]]="redo"),IF(Log[[#This Row],[Arg]]="",Log[[#This Row],[Sprint]],N(Log[[#This Row],[Arg]])),"")</f>
      </c>
      <c r="J1692" s="17">
        <f>IF(Log[[#This Row],[Verb]]="block",1,IF(OR(Log[[#This Row],[Verb]]="unblock",Log[[#This Row],[Verb]]="done",Log[[#This Row],[Verb]]="drop",Log[[#This Row],[Verb]]="punt",Log[[#This Row],[Verb]]="pass"),0,""))</f>
      </c>
      <c r="K1692" s="17">
        <f>IF(Log[[#This Row],[ID]]="",0,IFERROR(INDEX(Items[Pts],MATCH(Log[[#This Row],[ID]],Items[ID],0))*1,0))</f>
      </c>
      <c r="L1692" s="17">
        <f>IF(Log[[#This Row],[ID]]="","",IFERROR(INDEX(Items[Cur team],MATCH(Log[[#This Row],[ID]],Items[ID],0))&amp;"",""))</f>
      </c>
      <c r="M1692" s="17">
        <f>IF(OR(Log[[#This Row],[Verb]]="done",Log[[#This Row],[Verb]]="punt",Log[[#This Row],[Verb]]="drop",Log[[#This Row],[Verb]]="pass"),Log[[#This Row],[Pts]],0)</f>
      </c>
    </row>
    <row r="1693">
      <c r="A1693" s="11">
        <v>46245</v>
      </c>
      <c r="B1693" t="s">
        <v>928</v>
      </c>
      <c r="C1693" t="s">
        <v>34</v>
      </c>
      <c r="D1693">
        <v>50</v>
      </c>
      <c r="F1693" s="17">
        <f>IF(Log[[#This Row],[ID]]="","",IF(ISNA(MATCH(Log[[#This Row],[ID]],Items[ID],0)),"unknown ID",IF(ISNA(MATCH(Log[[#This Row],[Verb]],VerbList,0)),"unknown verb",IF(Log[[#This Row],[Date]]="","no date",""))))</f>
      </c>
      <c r="G1693" s="17">
        <f>IF(Log[[#This Row],[ID]]="","",IFERROR(VLOOKUP(Log[[#This Row],[Verb]],Verbs,3,FALSE)&amp;"",""))</f>
      </c>
      <c r="H1693" s="17">
        <f>IF(Log[[#This Row],[Date]]="","",INT((Log[[#This Row],[Date]]-Sprint1)/SprintDays)+1)</f>
      </c>
      <c r="I1693" s="17">
        <f>IF(OR(Log[[#This Row],[Verb]]="commit",Log[[#This Row],[Verb]]="carry",Log[[#This Row],[Verb]]="redo"),IF(Log[[#This Row],[Arg]]="",Log[[#This Row],[Sprint]],N(Log[[#This Row],[Arg]])),"")</f>
      </c>
      <c r="J1693" s="17">
        <f>IF(Log[[#This Row],[Verb]]="block",1,IF(OR(Log[[#This Row],[Verb]]="unblock",Log[[#This Row],[Verb]]="done",Log[[#This Row],[Verb]]="drop",Log[[#This Row],[Verb]]="punt",Log[[#This Row],[Verb]]="pass"),0,""))</f>
      </c>
      <c r="K1693" s="17">
        <f>IF(Log[[#This Row],[ID]]="",0,IFERROR(INDEX(Items[Pts],MATCH(Log[[#This Row],[ID]],Items[ID],0))*1,0))</f>
      </c>
      <c r="L1693" s="17">
        <f>IF(Log[[#This Row],[ID]]="","",IFERROR(INDEX(Items[Cur team],MATCH(Log[[#This Row],[ID]],Items[ID],0))&amp;"",""))</f>
      </c>
      <c r="M1693" s="17">
        <f>IF(OR(Log[[#This Row],[Verb]]="done",Log[[#This Row],[Verb]]="punt",Log[[#This Row],[Verb]]="drop",Log[[#This Row],[Verb]]="pass"),Log[[#This Row],[Pts]],0)</f>
      </c>
    </row>
    <row r="1694">
      <c r="A1694" s="11">
        <v>46245</v>
      </c>
      <c r="B1694" t="s">
        <v>929</v>
      </c>
      <c r="C1694" t="s">
        <v>34</v>
      </c>
      <c r="D1694">
        <v>50</v>
      </c>
      <c r="F1694" s="17">
        <f>IF(Log[[#This Row],[ID]]="","",IF(ISNA(MATCH(Log[[#This Row],[ID]],Items[ID],0)),"unknown ID",IF(ISNA(MATCH(Log[[#This Row],[Verb]],VerbList,0)),"unknown verb",IF(Log[[#This Row],[Date]]="","no date",""))))</f>
      </c>
      <c r="G1694" s="17">
        <f>IF(Log[[#This Row],[ID]]="","",IFERROR(VLOOKUP(Log[[#This Row],[Verb]],Verbs,3,FALSE)&amp;"",""))</f>
      </c>
      <c r="H1694" s="17">
        <f>IF(Log[[#This Row],[Date]]="","",INT((Log[[#This Row],[Date]]-Sprint1)/SprintDays)+1)</f>
      </c>
      <c r="I1694" s="17">
        <f>IF(OR(Log[[#This Row],[Verb]]="commit",Log[[#This Row],[Verb]]="carry",Log[[#This Row],[Verb]]="redo"),IF(Log[[#This Row],[Arg]]="",Log[[#This Row],[Sprint]],N(Log[[#This Row],[Arg]])),"")</f>
      </c>
      <c r="J1694" s="17">
        <f>IF(Log[[#This Row],[Verb]]="block",1,IF(OR(Log[[#This Row],[Verb]]="unblock",Log[[#This Row],[Verb]]="done",Log[[#This Row],[Verb]]="drop",Log[[#This Row],[Verb]]="punt",Log[[#This Row],[Verb]]="pass"),0,""))</f>
      </c>
      <c r="K1694" s="17">
        <f>IF(Log[[#This Row],[ID]]="",0,IFERROR(INDEX(Items[Pts],MATCH(Log[[#This Row],[ID]],Items[ID],0))*1,0))</f>
      </c>
      <c r="L1694" s="17">
        <f>IF(Log[[#This Row],[ID]]="","",IFERROR(INDEX(Items[Cur team],MATCH(Log[[#This Row],[ID]],Items[ID],0))&amp;"",""))</f>
      </c>
      <c r="M1694" s="17">
        <f>IF(OR(Log[[#This Row],[Verb]]="done",Log[[#This Row],[Verb]]="punt",Log[[#This Row],[Verb]]="drop",Log[[#This Row],[Verb]]="pass"),Log[[#This Row],[Pts]],0)</f>
      </c>
    </row>
    <row r="1695">
      <c r="A1695" s="11">
        <v>46245</v>
      </c>
      <c r="B1695" t="s">
        <v>930</v>
      </c>
      <c r="C1695" t="s">
        <v>34</v>
      </c>
      <c r="D1695">
        <v>50</v>
      </c>
      <c r="F1695" s="17">
        <f>IF(Log[[#This Row],[ID]]="","",IF(ISNA(MATCH(Log[[#This Row],[ID]],Items[ID],0)),"unknown ID",IF(ISNA(MATCH(Log[[#This Row],[Verb]],VerbList,0)),"unknown verb",IF(Log[[#This Row],[Date]]="","no date",""))))</f>
      </c>
      <c r="G1695" s="17">
        <f>IF(Log[[#This Row],[ID]]="","",IFERROR(VLOOKUP(Log[[#This Row],[Verb]],Verbs,3,FALSE)&amp;"",""))</f>
      </c>
      <c r="H1695" s="17">
        <f>IF(Log[[#This Row],[Date]]="","",INT((Log[[#This Row],[Date]]-Sprint1)/SprintDays)+1)</f>
      </c>
      <c r="I1695" s="17">
        <f>IF(OR(Log[[#This Row],[Verb]]="commit",Log[[#This Row],[Verb]]="carry",Log[[#This Row],[Verb]]="redo"),IF(Log[[#This Row],[Arg]]="",Log[[#This Row],[Sprint]],N(Log[[#This Row],[Arg]])),"")</f>
      </c>
      <c r="J1695" s="17">
        <f>IF(Log[[#This Row],[Verb]]="block",1,IF(OR(Log[[#This Row],[Verb]]="unblock",Log[[#This Row],[Verb]]="done",Log[[#This Row],[Verb]]="drop",Log[[#This Row],[Verb]]="punt",Log[[#This Row],[Verb]]="pass"),0,""))</f>
      </c>
      <c r="K1695" s="17">
        <f>IF(Log[[#This Row],[ID]]="",0,IFERROR(INDEX(Items[Pts],MATCH(Log[[#This Row],[ID]],Items[ID],0))*1,0))</f>
      </c>
      <c r="L1695" s="17">
        <f>IF(Log[[#This Row],[ID]]="","",IFERROR(INDEX(Items[Cur team],MATCH(Log[[#This Row],[ID]],Items[ID],0))&amp;"",""))</f>
      </c>
      <c r="M1695" s="17">
        <f>IF(OR(Log[[#This Row],[Verb]]="done",Log[[#This Row],[Verb]]="punt",Log[[#This Row],[Verb]]="drop",Log[[#This Row],[Verb]]="pass"),Log[[#This Row],[Pts]],0)</f>
      </c>
    </row>
    <row r="1696">
      <c r="A1696" s="11">
        <v>46245</v>
      </c>
      <c r="B1696" t="s">
        <v>931</v>
      </c>
      <c r="C1696" t="s">
        <v>34</v>
      </c>
      <c r="D1696">
        <v>50</v>
      </c>
      <c r="F1696" s="17">
        <f>IF(Log[[#This Row],[ID]]="","",IF(ISNA(MATCH(Log[[#This Row],[ID]],Items[ID],0)),"unknown ID",IF(ISNA(MATCH(Log[[#This Row],[Verb]],VerbList,0)),"unknown verb",IF(Log[[#This Row],[Date]]="","no date",""))))</f>
      </c>
      <c r="G1696" s="17">
        <f>IF(Log[[#This Row],[ID]]="","",IFERROR(VLOOKUP(Log[[#This Row],[Verb]],Verbs,3,FALSE)&amp;"",""))</f>
      </c>
      <c r="H1696" s="17">
        <f>IF(Log[[#This Row],[Date]]="","",INT((Log[[#This Row],[Date]]-Sprint1)/SprintDays)+1)</f>
      </c>
      <c r="I1696" s="17">
        <f>IF(OR(Log[[#This Row],[Verb]]="commit",Log[[#This Row],[Verb]]="carry",Log[[#This Row],[Verb]]="redo"),IF(Log[[#This Row],[Arg]]="",Log[[#This Row],[Sprint]],N(Log[[#This Row],[Arg]])),"")</f>
      </c>
      <c r="J1696" s="17">
        <f>IF(Log[[#This Row],[Verb]]="block",1,IF(OR(Log[[#This Row],[Verb]]="unblock",Log[[#This Row],[Verb]]="done",Log[[#This Row],[Verb]]="drop",Log[[#This Row],[Verb]]="punt",Log[[#This Row],[Verb]]="pass"),0,""))</f>
      </c>
      <c r="K1696" s="17">
        <f>IF(Log[[#This Row],[ID]]="",0,IFERROR(INDEX(Items[Pts],MATCH(Log[[#This Row],[ID]],Items[ID],0))*1,0))</f>
      </c>
      <c r="L1696" s="17">
        <f>IF(Log[[#This Row],[ID]]="","",IFERROR(INDEX(Items[Cur team],MATCH(Log[[#This Row],[ID]],Items[ID],0))&amp;"",""))</f>
      </c>
      <c r="M1696" s="17">
        <f>IF(OR(Log[[#This Row],[Verb]]="done",Log[[#This Row],[Verb]]="punt",Log[[#This Row],[Verb]]="drop",Log[[#This Row],[Verb]]="pass"),Log[[#This Row],[Pts]],0)</f>
      </c>
    </row>
    <row r="1697">
      <c r="A1697" s="11">
        <v>46245</v>
      </c>
      <c r="B1697" t="s">
        <v>932</v>
      </c>
      <c r="C1697" t="s">
        <v>34</v>
      </c>
      <c r="D1697">
        <v>50</v>
      </c>
      <c r="F1697" s="17">
        <f>IF(Log[[#This Row],[ID]]="","",IF(ISNA(MATCH(Log[[#This Row],[ID]],Items[ID],0)),"unknown ID",IF(ISNA(MATCH(Log[[#This Row],[Verb]],VerbList,0)),"unknown verb",IF(Log[[#This Row],[Date]]="","no date",""))))</f>
      </c>
      <c r="G1697" s="17">
        <f>IF(Log[[#This Row],[ID]]="","",IFERROR(VLOOKUP(Log[[#This Row],[Verb]],Verbs,3,FALSE)&amp;"",""))</f>
      </c>
      <c r="H1697" s="17">
        <f>IF(Log[[#This Row],[Date]]="","",INT((Log[[#This Row],[Date]]-Sprint1)/SprintDays)+1)</f>
      </c>
      <c r="I1697" s="17">
        <f>IF(OR(Log[[#This Row],[Verb]]="commit",Log[[#This Row],[Verb]]="carry",Log[[#This Row],[Verb]]="redo"),IF(Log[[#This Row],[Arg]]="",Log[[#This Row],[Sprint]],N(Log[[#This Row],[Arg]])),"")</f>
      </c>
      <c r="J1697" s="17">
        <f>IF(Log[[#This Row],[Verb]]="block",1,IF(OR(Log[[#This Row],[Verb]]="unblock",Log[[#This Row],[Verb]]="done",Log[[#This Row],[Verb]]="drop",Log[[#This Row],[Verb]]="punt",Log[[#This Row],[Verb]]="pass"),0,""))</f>
      </c>
      <c r="K1697" s="17">
        <f>IF(Log[[#This Row],[ID]]="",0,IFERROR(INDEX(Items[Pts],MATCH(Log[[#This Row],[ID]],Items[ID],0))*1,0))</f>
      </c>
      <c r="L1697" s="17">
        <f>IF(Log[[#This Row],[ID]]="","",IFERROR(INDEX(Items[Cur team],MATCH(Log[[#This Row],[ID]],Items[ID],0))&amp;"",""))</f>
      </c>
      <c r="M1697" s="17">
        <f>IF(OR(Log[[#This Row],[Verb]]="done",Log[[#This Row],[Verb]]="punt",Log[[#This Row],[Verb]]="drop",Log[[#This Row],[Verb]]="pass"),Log[[#This Row],[Pts]],0)</f>
      </c>
    </row>
    <row r="1698">
      <c r="A1698" s="11">
        <v>46245</v>
      </c>
      <c r="B1698" t="s">
        <v>933</v>
      </c>
      <c r="C1698" t="s">
        <v>34</v>
      </c>
      <c r="D1698">
        <v>50</v>
      </c>
      <c r="F1698" s="17">
        <f>IF(Log[[#This Row],[ID]]="","",IF(ISNA(MATCH(Log[[#This Row],[ID]],Items[ID],0)),"unknown ID",IF(ISNA(MATCH(Log[[#This Row],[Verb]],VerbList,0)),"unknown verb",IF(Log[[#This Row],[Date]]="","no date",""))))</f>
      </c>
      <c r="G1698" s="17">
        <f>IF(Log[[#This Row],[ID]]="","",IFERROR(VLOOKUP(Log[[#This Row],[Verb]],Verbs,3,FALSE)&amp;"",""))</f>
      </c>
      <c r="H1698" s="17">
        <f>IF(Log[[#This Row],[Date]]="","",INT((Log[[#This Row],[Date]]-Sprint1)/SprintDays)+1)</f>
      </c>
      <c r="I1698" s="17">
        <f>IF(OR(Log[[#This Row],[Verb]]="commit",Log[[#This Row],[Verb]]="carry",Log[[#This Row],[Verb]]="redo"),IF(Log[[#This Row],[Arg]]="",Log[[#This Row],[Sprint]],N(Log[[#This Row],[Arg]])),"")</f>
      </c>
      <c r="J1698" s="17">
        <f>IF(Log[[#This Row],[Verb]]="block",1,IF(OR(Log[[#This Row],[Verb]]="unblock",Log[[#This Row],[Verb]]="done",Log[[#This Row],[Verb]]="drop",Log[[#This Row],[Verb]]="punt",Log[[#This Row],[Verb]]="pass"),0,""))</f>
      </c>
      <c r="K1698" s="17">
        <f>IF(Log[[#This Row],[ID]]="",0,IFERROR(INDEX(Items[Pts],MATCH(Log[[#This Row],[ID]],Items[ID],0))*1,0))</f>
      </c>
      <c r="L1698" s="17">
        <f>IF(Log[[#This Row],[ID]]="","",IFERROR(INDEX(Items[Cur team],MATCH(Log[[#This Row],[ID]],Items[ID],0))&amp;"",""))</f>
      </c>
      <c r="M1698" s="17">
        <f>IF(OR(Log[[#This Row],[Verb]]="done",Log[[#This Row],[Verb]]="punt",Log[[#This Row],[Verb]]="drop",Log[[#This Row],[Verb]]="pass"),Log[[#This Row],[Pts]],0)</f>
      </c>
    </row>
    <row r="1699">
      <c r="A1699" s="11">
        <v>46245</v>
      </c>
      <c r="B1699" t="s">
        <v>934</v>
      </c>
      <c r="C1699" t="s">
        <v>34</v>
      </c>
      <c r="D1699">
        <v>50</v>
      </c>
      <c r="F1699" s="17">
        <f>IF(Log[[#This Row],[ID]]="","",IF(ISNA(MATCH(Log[[#This Row],[ID]],Items[ID],0)),"unknown ID",IF(ISNA(MATCH(Log[[#This Row],[Verb]],VerbList,0)),"unknown verb",IF(Log[[#This Row],[Date]]="","no date",""))))</f>
      </c>
      <c r="G1699" s="17">
        <f>IF(Log[[#This Row],[ID]]="","",IFERROR(VLOOKUP(Log[[#This Row],[Verb]],Verbs,3,FALSE)&amp;"",""))</f>
      </c>
      <c r="H1699" s="17">
        <f>IF(Log[[#This Row],[Date]]="","",INT((Log[[#This Row],[Date]]-Sprint1)/SprintDays)+1)</f>
      </c>
      <c r="I1699" s="17">
        <f>IF(OR(Log[[#This Row],[Verb]]="commit",Log[[#This Row],[Verb]]="carry",Log[[#This Row],[Verb]]="redo"),IF(Log[[#This Row],[Arg]]="",Log[[#This Row],[Sprint]],N(Log[[#This Row],[Arg]])),"")</f>
      </c>
      <c r="J1699" s="17">
        <f>IF(Log[[#This Row],[Verb]]="block",1,IF(OR(Log[[#This Row],[Verb]]="unblock",Log[[#This Row],[Verb]]="done",Log[[#This Row],[Verb]]="drop",Log[[#This Row],[Verb]]="punt",Log[[#This Row],[Verb]]="pass"),0,""))</f>
      </c>
      <c r="K1699" s="17">
        <f>IF(Log[[#This Row],[ID]]="",0,IFERROR(INDEX(Items[Pts],MATCH(Log[[#This Row],[ID]],Items[ID],0))*1,0))</f>
      </c>
      <c r="L1699" s="17">
        <f>IF(Log[[#This Row],[ID]]="","",IFERROR(INDEX(Items[Cur team],MATCH(Log[[#This Row],[ID]],Items[ID],0))&amp;"",""))</f>
      </c>
      <c r="M1699" s="17">
        <f>IF(OR(Log[[#This Row],[Verb]]="done",Log[[#This Row],[Verb]]="punt",Log[[#This Row],[Verb]]="drop",Log[[#This Row],[Verb]]="pass"),Log[[#This Row],[Pts]],0)</f>
      </c>
    </row>
    <row r="1700">
      <c r="A1700" s="11">
        <v>46245</v>
      </c>
      <c r="B1700" t="s">
        <v>935</v>
      </c>
      <c r="C1700" t="s">
        <v>34</v>
      </c>
      <c r="D1700">
        <v>50</v>
      </c>
      <c r="F1700" s="17">
        <f>IF(Log[[#This Row],[ID]]="","",IF(ISNA(MATCH(Log[[#This Row],[ID]],Items[ID],0)),"unknown ID",IF(ISNA(MATCH(Log[[#This Row],[Verb]],VerbList,0)),"unknown verb",IF(Log[[#This Row],[Date]]="","no date",""))))</f>
      </c>
      <c r="G1700" s="17">
        <f>IF(Log[[#This Row],[ID]]="","",IFERROR(VLOOKUP(Log[[#This Row],[Verb]],Verbs,3,FALSE)&amp;"",""))</f>
      </c>
      <c r="H1700" s="17">
        <f>IF(Log[[#This Row],[Date]]="","",INT((Log[[#This Row],[Date]]-Sprint1)/SprintDays)+1)</f>
      </c>
      <c r="I1700" s="17">
        <f>IF(OR(Log[[#This Row],[Verb]]="commit",Log[[#This Row],[Verb]]="carry",Log[[#This Row],[Verb]]="redo"),IF(Log[[#This Row],[Arg]]="",Log[[#This Row],[Sprint]],N(Log[[#This Row],[Arg]])),"")</f>
      </c>
      <c r="J1700" s="17">
        <f>IF(Log[[#This Row],[Verb]]="block",1,IF(OR(Log[[#This Row],[Verb]]="unblock",Log[[#This Row],[Verb]]="done",Log[[#This Row],[Verb]]="drop",Log[[#This Row],[Verb]]="punt",Log[[#This Row],[Verb]]="pass"),0,""))</f>
      </c>
      <c r="K1700" s="17">
        <f>IF(Log[[#This Row],[ID]]="",0,IFERROR(INDEX(Items[Pts],MATCH(Log[[#This Row],[ID]],Items[ID],0))*1,0))</f>
      </c>
      <c r="L1700" s="17">
        <f>IF(Log[[#This Row],[ID]]="","",IFERROR(INDEX(Items[Cur team],MATCH(Log[[#This Row],[ID]],Items[ID],0))&amp;"",""))</f>
      </c>
      <c r="M1700" s="17">
        <f>IF(OR(Log[[#This Row],[Verb]]="done",Log[[#This Row],[Verb]]="punt",Log[[#This Row],[Verb]]="drop",Log[[#This Row],[Verb]]="pass"),Log[[#This Row],[Pts]],0)</f>
      </c>
    </row>
    <row r="1701">
      <c r="A1701" s="11">
        <v>46245</v>
      </c>
      <c r="B1701" t="s">
        <v>936</v>
      </c>
      <c r="C1701" t="s">
        <v>34</v>
      </c>
      <c r="D1701">
        <v>50</v>
      </c>
      <c r="F1701" s="17">
        <f>IF(Log[[#This Row],[ID]]="","",IF(ISNA(MATCH(Log[[#This Row],[ID]],Items[ID],0)),"unknown ID",IF(ISNA(MATCH(Log[[#This Row],[Verb]],VerbList,0)),"unknown verb",IF(Log[[#This Row],[Date]]="","no date",""))))</f>
      </c>
      <c r="G1701" s="17">
        <f>IF(Log[[#This Row],[ID]]="","",IFERROR(VLOOKUP(Log[[#This Row],[Verb]],Verbs,3,FALSE)&amp;"",""))</f>
      </c>
      <c r="H1701" s="17">
        <f>IF(Log[[#This Row],[Date]]="","",INT((Log[[#This Row],[Date]]-Sprint1)/SprintDays)+1)</f>
      </c>
      <c r="I1701" s="17">
        <f>IF(OR(Log[[#This Row],[Verb]]="commit",Log[[#This Row],[Verb]]="carry",Log[[#This Row],[Verb]]="redo"),IF(Log[[#This Row],[Arg]]="",Log[[#This Row],[Sprint]],N(Log[[#This Row],[Arg]])),"")</f>
      </c>
      <c r="J1701" s="17">
        <f>IF(Log[[#This Row],[Verb]]="block",1,IF(OR(Log[[#This Row],[Verb]]="unblock",Log[[#This Row],[Verb]]="done",Log[[#This Row],[Verb]]="drop",Log[[#This Row],[Verb]]="punt",Log[[#This Row],[Verb]]="pass"),0,""))</f>
      </c>
      <c r="K1701" s="17">
        <f>IF(Log[[#This Row],[ID]]="",0,IFERROR(INDEX(Items[Pts],MATCH(Log[[#This Row],[ID]],Items[ID],0))*1,0))</f>
      </c>
      <c r="L1701" s="17">
        <f>IF(Log[[#This Row],[ID]]="","",IFERROR(INDEX(Items[Cur team],MATCH(Log[[#This Row],[ID]],Items[ID],0))&amp;"",""))</f>
      </c>
      <c r="M1701" s="17">
        <f>IF(OR(Log[[#This Row],[Verb]]="done",Log[[#This Row],[Verb]]="punt",Log[[#This Row],[Verb]]="drop",Log[[#This Row],[Verb]]="pass"),Log[[#This Row],[Pts]],0)</f>
      </c>
    </row>
    <row r="1702">
      <c r="A1702" s="11">
        <v>46245</v>
      </c>
      <c r="B1702" t="s">
        <v>937</v>
      </c>
      <c r="C1702" t="s">
        <v>34</v>
      </c>
      <c r="D1702">
        <v>50</v>
      </c>
      <c r="F1702" s="17">
        <f>IF(Log[[#This Row],[ID]]="","",IF(ISNA(MATCH(Log[[#This Row],[ID]],Items[ID],0)),"unknown ID",IF(ISNA(MATCH(Log[[#This Row],[Verb]],VerbList,0)),"unknown verb",IF(Log[[#This Row],[Date]]="","no date",""))))</f>
      </c>
      <c r="G1702" s="17">
        <f>IF(Log[[#This Row],[ID]]="","",IFERROR(VLOOKUP(Log[[#This Row],[Verb]],Verbs,3,FALSE)&amp;"",""))</f>
      </c>
      <c r="H1702" s="17">
        <f>IF(Log[[#This Row],[Date]]="","",INT((Log[[#This Row],[Date]]-Sprint1)/SprintDays)+1)</f>
      </c>
      <c r="I1702" s="17">
        <f>IF(OR(Log[[#This Row],[Verb]]="commit",Log[[#This Row],[Verb]]="carry",Log[[#This Row],[Verb]]="redo"),IF(Log[[#This Row],[Arg]]="",Log[[#This Row],[Sprint]],N(Log[[#This Row],[Arg]])),"")</f>
      </c>
      <c r="J1702" s="17">
        <f>IF(Log[[#This Row],[Verb]]="block",1,IF(OR(Log[[#This Row],[Verb]]="unblock",Log[[#This Row],[Verb]]="done",Log[[#This Row],[Verb]]="drop",Log[[#This Row],[Verb]]="punt",Log[[#This Row],[Verb]]="pass"),0,""))</f>
      </c>
      <c r="K1702" s="17">
        <f>IF(Log[[#This Row],[ID]]="",0,IFERROR(INDEX(Items[Pts],MATCH(Log[[#This Row],[ID]],Items[ID],0))*1,0))</f>
      </c>
      <c r="L1702" s="17">
        <f>IF(Log[[#This Row],[ID]]="","",IFERROR(INDEX(Items[Cur team],MATCH(Log[[#This Row],[ID]],Items[ID],0))&amp;"",""))</f>
      </c>
      <c r="M1702" s="17">
        <f>IF(OR(Log[[#This Row],[Verb]]="done",Log[[#This Row],[Verb]]="punt",Log[[#This Row],[Verb]]="drop",Log[[#This Row],[Verb]]="pass"),Log[[#This Row],[Pts]],0)</f>
      </c>
    </row>
    <row r="1703">
      <c r="A1703" s="11">
        <v>46245</v>
      </c>
      <c r="B1703" t="s">
        <v>938</v>
      </c>
      <c r="C1703" t="s">
        <v>34</v>
      </c>
      <c r="D1703">
        <v>50</v>
      </c>
      <c r="F1703" s="17">
        <f>IF(Log[[#This Row],[ID]]="","",IF(ISNA(MATCH(Log[[#This Row],[ID]],Items[ID],0)),"unknown ID",IF(ISNA(MATCH(Log[[#This Row],[Verb]],VerbList,0)),"unknown verb",IF(Log[[#This Row],[Date]]="","no date",""))))</f>
      </c>
      <c r="G1703" s="17">
        <f>IF(Log[[#This Row],[ID]]="","",IFERROR(VLOOKUP(Log[[#This Row],[Verb]],Verbs,3,FALSE)&amp;"",""))</f>
      </c>
      <c r="H1703" s="17">
        <f>IF(Log[[#This Row],[Date]]="","",INT((Log[[#This Row],[Date]]-Sprint1)/SprintDays)+1)</f>
      </c>
      <c r="I1703" s="17">
        <f>IF(OR(Log[[#This Row],[Verb]]="commit",Log[[#This Row],[Verb]]="carry",Log[[#This Row],[Verb]]="redo"),IF(Log[[#This Row],[Arg]]="",Log[[#This Row],[Sprint]],N(Log[[#This Row],[Arg]])),"")</f>
      </c>
      <c r="J1703" s="17">
        <f>IF(Log[[#This Row],[Verb]]="block",1,IF(OR(Log[[#This Row],[Verb]]="unblock",Log[[#This Row],[Verb]]="done",Log[[#This Row],[Verb]]="drop",Log[[#This Row],[Verb]]="punt",Log[[#This Row],[Verb]]="pass"),0,""))</f>
      </c>
      <c r="K1703" s="17">
        <f>IF(Log[[#This Row],[ID]]="",0,IFERROR(INDEX(Items[Pts],MATCH(Log[[#This Row],[ID]],Items[ID],0))*1,0))</f>
      </c>
      <c r="L1703" s="17">
        <f>IF(Log[[#This Row],[ID]]="","",IFERROR(INDEX(Items[Cur team],MATCH(Log[[#This Row],[ID]],Items[ID],0))&amp;"",""))</f>
      </c>
      <c r="M1703" s="17">
        <f>IF(OR(Log[[#This Row],[Verb]]="done",Log[[#This Row],[Verb]]="punt",Log[[#This Row],[Verb]]="drop",Log[[#This Row],[Verb]]="pass"),Log[[#This Row],[Pts]],0)</f>
      </c>
    </row>
    <row r="1704">
      <c r="A1704" s="11">
        <v>46245</v>
      </c>
      <c r="B1704" t="s">
        <v>939</v>
      </c>
      <c r="C1704" t="s">
        <v>34</v>
      </c>
      <c r="D1704">
        <v>50</v>
      </c>
      <c r="F1704" s="17">
        <f>IF(Log[[#This Row],[ID]]="","",IF(ISNA(MATCH(Log[[#This Row],[ID]],Items[ID],0)),"unknown ID",IF(ISNA(MATCH(Log[[#This Row],[Verb]],VerbList,0)),"unknown verb",IF(Log[[#This Row],[Date]]="","no date",""))))</f>
      </c>
      <c r="G1704" s="17">
        <f>IF(Log[[#This Row],[ID]]="","",IFERROR(VLOOKUP(Log[[#This Row],[Verb]],Verbs,3,FALSE)&amp;"",""))</f>
      </c>
      <c r="H1704" s="17">
        <f>IF(Log[[#This Row],[Date]]="","",INT((Log[[#This Row],[Date]]-Sprint1)/SprintDays)+1)</f>
      </c>
      <c r="I1704" s="17">
        <f>IF(OR(Log[[#This Row],[Verb]]="commit",Log[[#This Row],[Verb]]="carry",Log[[#This Row],[Verb]]="redo"),IF(Log[[#This Row],[Arg]]="",Log[[#This Row],[Sprint]],N(Log[[#This Row],[Arg]])),"")</f>
      </c>
      <c r="J1704" s="17">
        <f>IF(Log[[#This Row],[Verb]]="block",1,IF(OR(Log[[#This Row],[Verb]]="unblock",Log[[#This Row],[Verb]]="done",Log[[#This Row],[Verb]]="drop",Log[[#This Row],[Verb]]="punt",Log[[#This Row],[Verb]]="pass"),0,""))</f>
      </c>
      <c r="K1704" s="17">
        <f>IF(Log[[#This Row],[ID]]="",0,IFERROR(INDEX(Items[Pts],MATCH(Log[[#This Row],[ID]],Items[ID],0))*1,0))</f>
      </c>
      <c r="L1704" s="17">
        <f>IF(Log[[#This Row],[ID]]="","",IFERROR(INDEX(Items[Cur team],MATCH(Log[[#This Row],[ID]],Items[ID],0))&amp;"",""))</f>
      </c>
      <c r="M1704" s="17">
        <f>IF(OR(Log[[#This Row],[Verb]]="done",Log[[#This Row],[Verb]]="punt",Log[[#This Row],[Verb]]="drop",Log[[#This Row],[Verb]]="pass"),Log[[#This Row],[Pts]],0)</f>
      </c>
    </row>
    <row r="1705">
      <c r="A1705" s="11">
        <v>46245</v>
      </c>
      <c r="B1705" t="s">
        <v>940</v>
      </c>
      <c r="C1705" t="s">
        <v>34</v>
      </c>
      <c r="D1705">
        <v>50</v>
      </c>
      <c r="F1705" s="17">
        <f>IF(Log[[#This Row],[ID]]="","",IF(ISNA(MATCH(Log[[#This Row],[ID]],Items[ID],0)),"unknown ID",IF(ISNA(MATCH(Log[[#This Row],[Verb]],VerbList,0)),"unknown verb",IF(Log[[#This Row],[Date]]="","no date",""))))</f>
      </c>
      <c r="G1705" s="17">
        <f>IF(Log[[#This Row],[ID]]="","",IFERROR(VLOOKUP(Log[[#This Row],[Verb]],Verbs,3,FALSE)&amp;"",""))</f>
      </c>
      <c r="H1705" s="17">
        <f>IF(Log[[#This Row],[Date]]="","",INT((Log[[#This Row],[Date]]-Sprint1)/SprintDays)+1)</f>
      </c>
      <c r="I1705" s="17">
        <f>IF(OR(Log[[#This Row],[Verb]]="commit",Log[[#This Row],[Verb]]="carry",Log[[#This Row],[Verb]]="redo"),IF(Log[[#This Row],[Arg]]="",Log[[#This Row],[Sprint]],N(Log[[#This Row],[Arg]])),"")</f>
      </c>
      <c r="J1705" s="17">
        <f>IF(Log[[#This Row],[Verb]]="block",1,IF(OR(Log[[#This Row],[Verb]]="unblock",Log[[#This Row],[Verb]]="done",Log[[#This Row],[Verb]]="drop",Log[[#This Row],[Verb]]="punt",Log[[#This Row],[Verb]]="pass"),0,""))</f>
      </c>
      <c r="K1705" s="17">
        <f>IF(Log[[#This Row],[ID]]="",0,IFERROR(INDEX(Items[Pts],MATCH(Log[[#This Row],[ID]],Items[ID],0))*1,0))</f>
      </c>
      <c r="L1705" s="17">
        <f>IF(Log[[#This Row],[ID]]="","",IFERROR(INDEX(Items[Cur team],MATCH(Log[[#This Row],[ID]],Items[ID],0))&amp;"",""))</f>
      </c>
      <c r="M1705" s="17">
        <f>IF(OR(Log[[#This Row],[Verb]]="done",Log[[#This Row],[Verb]]="punt",Log[[#This Row],[Verb]]="drop",Log[[#This Row],[Verb]]="pass"),Log[[#This Row],[Pts]],0)</f>
      </c>
    </row>
    <row r="1706">
      <c r="A1706" s="11">
        <v>46245</v>
      </c>
      <c r="B1706" t="s">
        <v>941</v>
      </c>
      <c r="C1706" t="s">
        <v>34</v>
      </c>
      <c r="D1706">
        <v>50</v>
      </c>
      <c r="F1706" s="17">
        <f>IF(Log[[#This Row],[ID]]="","",IF(ISNA(MATCH(Log[[#This Row],[ID]],Items[ID],0)),"unknown ID",IF(ISNA(MATCH(Log[[#This Row],[Verb]],VerbList,0)),"unknown verb",IF(Log[[#This Row],[Date]]="","no date",""))))</f>
      </c>
      <c r="G1706" s="17">
        <f>IF(Log[[#This Row],[ID]]="","",IFERROR(VLOOKUP(Log[[#This Row],[Verb]],Verbs,3,FALSE)&amp;"",""))</f>
      </c>
      <c r="H1706" s="17">
        <f>IF(Log[[#This Row],[Date]]="","",INT((Log[[#This Row],[Date]]-Sprint1)/SprintDays)+1)</f>
      </c>
      <c r="I1706" s="17">
        <f>IF(OR(Log[[#This Row],[Verb]]="commit",Log[[#This Row],[Verb]]="carry",Log[[#This Row],[Verb]]="redo"),IF(Log[[#This Row],[Arg]]="",Log[[#This Row],[Sprint]],N(Log[[#This Row],[Arg]])),"")</f>
      </c>
      <c r="J1706" s="17">
        <f>IF(Log[[#This Row],[Verb]]="block",1,IF(OR(Log[[#This Row],[Verb]]="unblock",Log[[#This Row],[Verb]]="done",Log[[#This Row],[Verb]]="drop",Log[[#This Row],[Verb]]="punt",Log[[#This Row],[Verb]]="pass"),0,""))</f>
      </c>
      <c r="K1706" s="17">
        <f>IF(Log[[#This Row],[ID]]="",0,IFERROR(INDEX(Items[Pts],MATCH(Log[[#This Row],[ID]],Items[ID],0))*1,0))</f>
      </c>
      <c r="L1706" s="17">
        <f>IF(Log[[#This Row],[ID]]="","",IFERROR(INDEX(Items[Cur team],MATCH(Log[[#This Row],[ID]],Items[ID],0))&amp;"",""))</f>
      </c>
      <c r="M1706" s="17">
        <f>IF(OR(Log[[#This Row],[Verb]]="done",Log[[#This Row],[Verb]]="punt",Log[[#This Row],[Verb]]="drop",Log[[#This Row],[Verb]]="pass"),Log[[#This Row],[Pts]],0)</f>
      </c>
    </row>
    <row r="1707">
      <c r="A1707" s="11">
        <v>46245</v>
      </c>
      <c r="B1707" t="s">
        <v>942</v>
      </c>
      <c r="C1707" t="s">
        <v>34</v>
      </c>
      <c r="D1707">
        <v>50</v>
      </c>
      <c r="F1707" s="17">
        <f>IF(Log[[#This Row],[ID]]="","",IF(ISNA(MATCH(Log[[#This Row],[ID]],Items[ID],0)),"unknown ID",IF(ISNA(MATCH(Log[[#This Row],[Verb]],VerbList,0)),"unknown verb",IF(Log[[#This Row],[Date]]="","no date",""))))</f>
      </c>
      <c r="G1707" s="17">
        <f>IF(Log[[#This Row],[ID]]="","",IFERROR(VLOOKUP(Log[[#This Row],[Verb]],Verbs,3,FALSE)&amp;"",""))</f>
      </c>
      <c r="H1707" s="17">
        <f>IF(Log[[#This Row],[Date]]="","",INT((Log[[#This Row],[Date]]-Sprint1)/SprintDays)+1)</f>
      </c>
      <c r="I1707" s="17">
        <f>IF(OR(Log[[#This Row],[Verb]]="commit",Log[[#This Row],[Verb]]="carry",Log[[#This Row],[Verb]]="redo"),IF(Log[[#This Row],[Arg]]="",Log[[#This Row],[Sprint]],N(Log[[#This Row],[Arg]])),"")</f>
      </c>
      <c r="J1707" s="17">
        <f>IF(Log[[#This Row],[Verb]]="block",1,IF(OR(Log[[#This Row],[Verb]]="unblock",Log[[#This Row],[Verb]]="done",Log[[#This Row],[Verb]]="drop",Log[[#This Row],[Verb]]="punt",Log[[#This Row],[Verb]]="pass"),0,""))</f>
      </c>
      <c r="K1707" s="17">
        <f>IF(Log[[#This Row],[ID]]="",0,IFERROR(INDEX(Items[Pts],MATCH(Log[[#This Row],[ID]],Items[ID],0))*1,0))</f>
      </c>
      <c r="L1707" s="17">
        <f>IF(Log[[#This Row],[ID]]="","",IFERROR(INDEX(Items[Cur team],MATCH(Log[[#This Row],[ID]],Items[ID],0))&amp;"",""))</f>
      </c>
      <c r="M1707" s="17">
        <f>IF(OR(Log[[#This Row],[Verb]]="done",Log[[#This Row],[Verb]]="punt",Log[[#This Row],[Verb]]="drop",Log[[#This Row],[Verb]]="pass"),Log[[#This Row],[Pts]],0)</f>
      </c>
    </row>
    <row r="1708">
      <c r="A1708" s="11">
        <v>46245</v>
      </c>
      <c r="B1708" t="s">
        <v>943</v>
      </c>
      <c r="C1708" t="s">
        <v>34</v>
      </c>
      <c r="D1708">
        <v>50</v>
      </c>
      <c r="F1708" s="17">
        <f>IF(Log[[#This Row],[ID]]="","",IF(ISNA(MATCH(Log[[#This Row],[ID]],Items[ID],0)),"unknown ID",IF(ISNA(MATCH(Log[[#This Row],[Verb]],VerbList,0)),"unknown verb",IF(Log[[#This Row],[Date]]="","no date",""))))</f>
      </c>
      <c r="G1708" s="17">
        <f>IF(Log[[#This Row],[ID]]="","",IFERROR(VLOOKUP(Log[[#This Row],[Verb]],Verbs,3,FALSE)&amp;"",""))</f>
      </c>
      <c r="H1708" s="17">
        <f>IF(Log[[#This Row],[Date]]="","",INT((Log[[#This Row],[Date]]-Sprint1)/SprintDays)+1)</f>
      </c>
      <c r="I1708" s="17">
        <f>IF(OR(Log[[#This Row],[Verb]]="commit",Log[[#This Row],[Verb]]="carry",Log[[#This Row],[Verb]]="redo"),IF(Log[[#This Row],[Arg]]="",Log[[#This Row],[Sprint]],N(Log[[#This Row],[Arg]])),"")</f>
      </c>
      <c r="J1708" s="17">
        <f>IF(Log[[#This Row],[Verb]]="block",1,IF(OR(Log[[#This Row],[Verb]]="unblock",Log[[#This Row],[Verb]]="done",Log[[#This Row],[Verb]]="drop",Log[[#This Row],[Verb]]="punt",Log[[#This Row],[Verb]]="pass"),0,""))</f>
      </c>
      <c r="K1708" s="17">
        <f>IF(Log[[#This Row],[ID]]="",0,IFERROR(INDEX(Items[Pts],MATCH(Log[[#This Row],[ID]],Items[ID],0))*1,0))</f>
      </c>
      <c r="L1708" s="17">
        <f>IF(Log[[#This Row],[ID]]="","",IFERROR(INDEX(Items[Cur team],MATCH(Log[[#This Row],[ID]],Items[ID],0))&amp;"",""))</f>
      </c>
      <c r="M1708" s="17">
        <f>IF(OR(Log[[#This Row],[Verb]]="done",Log[[#This Row],[Verb]]="punt",Log[[#This Row],[Verb]]="drop",Log[[#This Row],[Verb]]="pass"),Log[[#This Row],[Pts]],0)</f>
      </c>
    </row>
    <row r="1709">
      <c r="A1709" s="11">
        <v>46245</v>
      </c>
      <c r="B1709" t="s">
        <v>944</v>
      </c>
      <c r="C1709" t="s">
        <v>34</v>
      </c>
      <c r="D1709">
        <v>50</v>
      </c>
      <c r="F1709" s="17">
        <f>IF(Log[[#This Row],[ID]]="","",IF(ISNA(MATCH(Log[[#This Row],[ID]],Items[ID],0)),"unknown ID",IF(ISNA(MATCH(Log[[#This Row],[Verb]],VerbList,0)),"unknown verb",IF(Log[[#This Row],[Date]]="","no date",""))))</f>
      </c>
      <c r="G1709" s="17">
        <f>IF(Log[[#This Row],[ID]]="","",IFERROR(VLOOKUP(Log[[#This Row],[Verb]],Verbs,3,FALSE)&amp;"",""))</f>
      </c>
      <c r="H1709" s="17">
        <f>IF(Log[[#This Row],[Date]]="","",INT((Log[[#This Row],[Date]]-Sprint1)/SprintDays)+1)</f>
      </c>
      <c r="I1709" s="17">
        <f>IF(OR(Log[[#This Row],[Verb]]="commit",Log[[#This Row],[Verb]]="carry",Log[[#This Row],[Verb]]="redo"),IF(Log[[#This Row],[Arg]]="",Log[[#This Row],[Sprint]],N(Log[[#This Row],[Arg]])),"")</f>
      </c>
      <c r="J1709" s="17">
        <f>IF(Log[[#This Row],[Verb]]="block",1,IF(OR(Log[[#This Row],[Verb]]="unblock",Log[[#This Row],[Verb]]="done",Log[[#This Row],[Verb]]="drop",Log[[#This Row],[Verb]]="punt",Log[[#This Row],[Verb]]="pass"),0,""))</f>
      </c>
      <c r="K1709" s="17">
        <f>IF(Log[[#This Row],[ID]]="",0,IFERROR(INDEX(Items[Pts],MATCH(Log[[#This Row],[ID]],Items[ID],0))*1,0))</f>
      </c>
      <c r="L1709" s="17">
        <f>IF(Log[[#This Row],[ID]]="","",IFERROR(INDEX(Items[Cur team],MATCH(Log[[#This Row],[ID]],Items[ID],0))&amp;"",""))</f>
      </c>
      <c r="M1709" s="17">
        <f>IF(OR(Log[[#This Row],[Verb]]="done",Log[[#This Row],[Verb]]="punt",Log[[#This Row],[Verb]]="drop",Log[[#This Row],[Verb]]="pass"),Log[[#This Row],[Pts]],0)</f>
      </c>
    </row>
    <row r="1710">
      <c r="A1710" s="11">
        <v>46245</v>
      </c>
      <c r="B1710" t="s">
        <v>945</v>
      </c>
      <c r="C1710" t="s">
        <v>34</v>
      </c>
      <c r="D1710">
        <v>50</v>
      </c>
      <c r="F1710" s="17">
        <f>IF(Log[[#This Row],[ID]]="","",IF(ISNA(MATCH(Log[[#This Row],[ID]],Items[ID],0)),"unknown ID",IF(ISNA(MATCH(Log[[#This Row],[Verb]],VerbList,0)),"unknown verb",IF(Log[[#This Row],[Date]]="","no date",""))))</f>
      </c>
      <c r="G1710" s="17">
        <f>IF(Log[[#This Row],[ID]]="","",IFERROR(VLOOKUP(Log[[#This Row],[Verb]],Verbs,3,FALSE)&amp;"",""))</f>
      </c>
      <c r="H1710" s="17">
        <f>IF(Log[[#This Row],[Date]]="","",INT((Log[[#This Row],[Date]]-Sprint1)/SprintDays)+1)</f>
      </c>
      <c r="I1710" s="17">
        <f>IF(OR(Log[[#This Row],[Verb]]="commit",Log[[#This Row],[Verb]]="carry",Log[[#This Row],[Verb]]="redo"),IF(Log[[#This Row],[Arg]]="",Log[[#This Row],[Sprint]],N(Log[[#This Row],[Arg]])),"")</f>
      </c>
      <c r="J1710" s="17">
        <f>IF(Log[[#This Row],[Verb]]="block",1,IF(OR(Log[[#This Row],[Verb]]="unblock",Log[[#This Row],[Verb]]="done",Log[[#This Row],[Verb]]="drop",Log[[#This Row],[Verb]]="punt",Log[[#This Row],[Verb]]="pass"),0,""))</f>
      </c>
      <c r="K1710" s="17">
        <f>IF(Log[[#This Row],[ID]]="",0,IFERROR(INDEX(Items[Pts],MATCH(Log[[#This Row],[ID]],Items[ID],0))*1,0))</f>
      </c>
      <c r="L1710" s="17">
        <f>IF(Log[[#This Row],[ID]]="","",IFERROR(INDEX(Items[Cur team],MATCH(Log[[#This Row],[ID]],Items[ID],0))&amp;"",""))</f>
      </c>
      <c r="M1710" s="17">
        <f>IF(OR(Log[[#This Row],[Verb]]="done",Log[[#This Row],[Verb]]="punt",Log[[#This Row],[Verb]]="drop",Log[[#This Row],[Verb]]="pass"),Log[[#This Row],[Pts]],0)</f>
      </c>
    </row>
    <row r="1711">
      <c r="A1711" s="11">
        <v>46245</v>
      </c>
      <c r="B1711" t="s">
        <v>946</v>
      </c>
      <c r="C1711" t="s">
        <v>34</v>
      </c>
      <c r="D1711">
        <v>50</v>
      </c>
      <c r="F1711" s="17">
        <f>IF(Log[[#This Row],[ID]]="","",IF(ISNA(MATCH(Log[[#This Row],[ID]],Items[ID],0)),"unknown ID",IF(ISNA(MATCH(Log[[#This Row],[Verb]],VerbList,0)),"unknown verb",IF(Log[[#This Row],[Date]]="","no date",""))))</f>
      </c>
      <c r="G1711" s="17">
        <f>IF(Log[[#This Row],[ID]]="","",IFERROR(VLOOKUP(Log[[#This Row],[Verb]],Verbs,3,FALSE)&amp;"",""))</f>
      </c>
      <c r="H1711" s="17">
        <f>IF(Log[[#This Row],[Date]]="","",INT((Log[[#This Row],[Date]]-Sprint1)/SprintDays)+1)</f>
      </c>
      <c r="I1711" s="17">
        <f>IF(OR(Log[[#This Row],[Verb]]="commit",Log[[#This Row],[Verb]]="carry",Log[[#This Row],[Verb]]="redo"),IF(Log[[#This Row],[Arg]]="",Log[[#This Row],[Sprint]],N(Log[[#This Row],[Arg]])),"")</f>
      </c>
      <c r="J1711" s="17">
        <f>IF(Log[[#This Row],[Verb]]="block",1,IF(OR(Log[[#This Row],[Verb]]="unblock",Log[[#This Row],[Verb]]="done",Log[[#This Row],[Verb]]="drop",Log[[#This Row],[Verb]]="punt",Log[[#This Row],[Verb]]="pass"),0,""))</f>
      </c>
      <c r="K1711" s="17">
        <f>IF(Log[[#This Row],[ID]]="",0,IFERROR(INDEX(Items[Pts],MATCH(Log[[#This Row],[ID]],Items[ID],0))*1,0))</f>
      </c>
      <c r="L1711" s="17">
        <f>IF(Log[[#This Row],[ID]]="","",IFERROR(INDEX(Items[Cur team],MATCH(Log[[#This Row],[ID]],Items[ID],0))&amp;"",""))</f>
      </c>
      <c r="M1711" s="17">
        <f>IF(OR(Log[[#This Row],[Verb]]="done",Log[[#This Row],[Verb]]="punt",Log[[#This Row],[Verb]]="drop",Log[[#This Row],[Verb]]="pass"),Log[[#This Row],[Pts]],0)</f>
      </c>
    </row>
    <row r="1712">
      <c r="A1712" s="11">
        <v>46245</v>
      </c>
      <c r="B1712" t="s">
        <v>947</v>
      </c>
      <c r="C1712" t="s">
        <v>34</v>
      </c>
      <c r="D1712">
        <v>50</v>
      </c>
      <c r="F1712" s="17">
        <f>IF(Log[[#This Row],[ID]]="","",IF(ISNA(MATCH(Log[[#This Row],[ID]],Items[ID],0)),"unknown ID",IF(ISNA(MATCH(Log[[#This Row],[Verb]],VerbList,0)),"unknown verb",IF(Log[[#This Row],[Date]]="","no date",""))))</f>
      </c>
      <c r="G1712" s="17">
        <f>IF(Log[[#This Row],[ID]]="","",IFERROR(VLOOKUP(Log[[#This Row],[Verb]],Verbs,3,FALSE)&amp;"",""))</f>
      </c>
      <c r="H1712" s="17">
        <f>IF(Log[[#This Row],[Date]]="","",INT((Log[[#This Row],[Date]]-Sprint1)/SprintDays)+1)</f>
      </c>
      <c r="I1712" s="17">
        <f>IF(OR(Log[[#This Row],[Verb]]="commit",Log[[#This Row],[Verb]]="carry",Log[[#This Row],[Verb]]="redo"),IF(Log[[#This Row],[Arg]]="",Log[[#This Row],[Sprint]],N(Log[[#This Row],[Arg]])),"")</f>
      </c>
      <c r="J1712" s="17">
        <f>IF(Log[[#This Row],[Verb]]="block",1,IF(OR(Log[[#This Row],[Verb]]="unblock",Log[[#This Row],[Verb]]="done",Log[[#This Row],[Verb]]="drop",Log[[#This Row],[Verb]]="punt",Log[[#This Row],[Verb]]="pass"),0,""))</f>
      </c>
      <c r="K1712" s="17">
        <f>IF(Log[[#This Row],[ID]]="",0,IFERROR(INDEX(Items[Pts],MATCH(Log[[#This Row],[ID]],Items[ID],0))*1,0))</f>
      </c>
      <c r="L1712" s="17">
        <f>IF(Log[[#This Row],[ID]]="","",IFERROR(INDEX(Items[Cur team],MATCH(Log[[#This Row],[ID]],Items[ID],0))&amp;"",""))</f>
      </c>
      <c r="M1712" s="17">
        <f>IF(OR(Log[[#This Row],[Verb]]="done",Log[[#This Row],[Verb]]="punt",Log[[#This Row],[Verb]]="drop",Log[[#This Row],[Verb]]="pass"),Log[[#This Row],[Pts]],0)</f>
      </c>
    </row>
    <row r="1713">
      <c r="A1713" s="11">
        <v>46245</v>
      </c>
      <c r="B1713" t="s">
        <v>948</v>
      </c>
      <c r="C1713" t="s">
        <v>34</v>
      </c>
      <c r="D1713">
        <v>50</v>
      </c>
      <c r="F1713" s="17">
        <f>IF(Log[[#This Row],[ID]]="","",IF(ISNA(MATCH(Log[[#This Row],[ID]],Items[ID],0)),"unknown ID",IF(ISNA(MATCH(Log[[#This Row],[Verb]],VerbList,0)),"unknown verb",IF(Log[[#This Row],[Date]]="","no date",""))))</f>
      </c>
      <c r="G1713" s="17">
        <f>IF(Log[[#This Row],[ID]]="","",IFERROR(VLOOKUP(Log[[#This Row],[Verb]],Verbs,3,FALSE)&amp;"",""))</f>
      </c>
      <c r="H1713" s="17">
        <f>IF(Log[[#This Row],[Date]]="","",INT((Log[[#This Row],[Date]]-Sprint1)/SprintDays)+1)</f>
      </c>
      <c r="I1713" s="17">
        <f>IF(OR(Log[[#This Row],[Verb]]="commit",Log[[#This Row],[Verb]]="carry",Log[[#This Row],[Verb]]="redo"),IF(Log[[#This Row],[Arg]]="",Log[[#This Row],[Sprint]],N(Log[[#This Row],[Arg]])),"")</f>
      </c>
      <c r="J1713" s="17">
        <f>IF(Log[[#This Row],[Verb]]="block",1,IF(OR(Log[[#This Row],[Verb]]="unblock",Log[[#This Row],[Verb]]="done",Log[[#This Row],[Verb]]="drop",Log[[#This Row],[Verb]]="punt",Log[[#This Row],[Verb]]="pass"),0,""))</f>
      </c>
      <c r="K1713" s="17">
        <f>IF(Log[[#This Row],[ID]]="",0,IFERROR(INDEX(Items[Pts],MATCH(Log[[#This Row],[ID]],Items[ID],0))*1,0))</f>
      </c>
      <c r="L1713" s="17">
        <f>IF(Log[[#This Row],[ID]]="","",IFERROR(INDEX(Items[Cur team],MATCH(Log[[#This Row],[ID]],Items[ID],0))&amp;"",""))</f>
      </c>
      <c r="M1713" s="17">
        <f>IF(OR(Log[[#This Row],[Verb]]="done",Log[[#This Row],[Verb]]="punt",Log[[#This Row],[Verb]]="drop",Log[[#This Row],[Verb]]="pass"),Log[[#This Row],[Pts]],0)</f>
      </c>
    </row>
    <row r="1714">
      <c r="A1714" s="11">
        <v>46245</v>
      </c>
      <c r="B1714" t="s">
        <v>949</v>
      </c>
      <c r="C1714" t="s">
        <v>34</v>
      </c>
      <c r="D1714">
        <v>50</v>
      </c>
      <c r="F1714" s="17">
        <f>IF(Log[[#This Row],[ID]]="","",IF(ISNA(MATCH(Log[[#This Row],[ID]],Items[ID],0)),"unknown ID",IF(ISNA(MATCH(Log[[#This Row],[Verb]],VerbList,0)),"unknown verb",IF(Log[[#This Row],[Date]]="","no date",""))))</f>
      </c>
      <c r="G1714" s="17">
        <f>IF(Log[[#This Row],[ID]]="","",IFERROR(VLOOKUP(Log[[#This Row],[Verb]],Verbs,3,FALSE)&amp;"",""))</f>
      </c>
      <c r="H1714" s="17">
        <f>IF(Log[[#This Row],[Date]]="","",INT((Log[[#This Row],[Date]]-Sprint1)/SprintDays)+1)</f>
      </c>
      <c r="I1714" s="17">
        <f>IF(OR(Log[[#This Row],[Verb]]="commit",Log[[#This Row],[Verb]]="carry",Log[[#This Row],[Verb]]="redo"),IF(Log[[#This Row],[Arg]]="",Log[[#This Row],[Sprint]],N(Log[[#This Row],[Arg]])),"")</f>
      </c>
      <c r="J1714" s="17">
        <f>IF(Log[[#This Row],[Verb]]="block",1,IF(OR(Log[[#This Row],[Verb]]="unblock",Log[[#This Row],[Verb]]="done",Log[[#This Row],[Verb]]="drop",Log[[#This Row],[Verb]]="punt",Log[[#This Row],[Verb]]="pass"),0,""))</f>
      </c>
      <c r="K1714" s="17">
        <f>IF(Log[[#This Row],[ID]]="",0,IFERROR(INDEX(Items[Pts],MATCH(Log[[#This Row],[ID]],Items[ID],0))*1,0))</f>
      </c>
      <c r="L1714" s="17">
        <f>IF(Log[[#This Row],[ID]]="","",IFERROR(INDEX(Items[Cur team],MATCH(Log[[#This Row],[ID]],Items[ID],0))&amp;"",""))</f>
      </c>
      <c r="M1714" s="17">
        <f>IF(OR(Log[[#This Row],[Verb]]="done",Log[[#This Row],[Verb]]="punt",Log[[#This Row],[Verb]]="drop",Log[[#This Row],[Verb]]="pass"),Log[[#This Row],[Pts]],0)</f>
      </c>
    </row>
    <row r="1715">
      <c r="A1715" s="11">
        <v>46245</v>
      </c>
      <c r="B1715" t="s">
        <v>950</v>
      </c>
      <c r="C1715" t="s">
        <v>34</v>
      </c>
      <c r="D1715">
        <v>50</v>
      </c>
      <c r="F1715" s="17">
        <f>IF(Log[[#This Row],[ID]]="","",IF(ISNA(MATCH(Log[[#This Row],[ID]],Items[ID],0)),"unknown ID",IF(ISNA(MATCH(Log[[#This Row],[Verb]],VerbList,0)),"unknown verb",IF(Log[[#This Row],[Date]]="","no date",""))))</f>
      </c>
      <c r="G1715" s="17">
        <f>IF(Log[[#This Row],[ID]]="","",IFERROR(VLOOKUP(Log[[#This Row],[Verb]],Verbs,3,FALSE)&amp;"",""))</f>
      </c>
      <c r="H1715" s="17">
        <f>IF(Log[[#This Row],[Date]]="","",INT((Log[[#This Row],[Date]]-Sprint1)/SprintDays)+1)</f>
      </c>
      <c r="I1715" s="17">
        <f>IF(OR(Log[[#This Row],[Verb]]="commit",Log[[#This Row],[Verb]]="carry",Log[[#This Row],[Verb]]="redo"),IF(Log[[#This Row],[Arg]]="",Log[[#This Row],[Sprint]],N(Log[[#This Row],[Arg]])),"")</f>
      </c>
      <c r="J1715" s="17">
        <f>IF(Log[[#This Row],[Verb]]="block",1,IF(OR(Log[[#This Row],[Verb]]="unblock",Log[[#This Row],[Verb]]="done",Log[[#This Row],[Verb]]="drop",Log[[#This Row],[Verb]]="punt",Log[[#This Row],[Verb]]="pass"),0,""))</f>
      </c>
      <c r="K1715" s="17">
        <f>IF(Log[[#This Row],[ID]]="",0,IFERROR(INDEX(Items[Pts],MATCH(Log[[#This Row],[ID]],Items[ID],0))*1,0))</f>
      </c>
      <c r="L1715" s="17">
        <f>IF(Log[[#This Row],[ID]]="","",IFERROR(INDEX(Items[Cur team],MATCH(Log[[#This Row],[ID]],Items[ID],0))&amp;"",""))</f>
      </c>
      <c r="M1715" s="17">
        <f>IF(OR(Log[[#This Row],[Verb]]="done",Log[[#This Row],[Verb]]="punt",Log[[#This Row],[Verb]]="drop",Log[[#This Row],[Verb]]="pass"),Log[[#This Row],[Pts]],0)</f>
      </c>
    </row>
    <row r="1716">
      <c r="A1716" s="11">
        <v>46245</v>
      </c>
      <c r="B1716" t="s">
        <v>951</v>
      </c>
      <c r="C1716" t="s">
        <v>34</v>
      </c>
      <c r="D1716">
        <v>50</v>
      </c>
      <c r="F1716" s="17">
        <f>IF(Log[[#This Row],[ID]]="","",IF(ISNA(MATCH(Log[[#This Row],[ID]],Items[ID],0)),"unknown ID",IF(ISNA(MATCH(Log[[#This Row],[Verb]],VerbList,0)),"unknown verb",IF(Log[[#This Row],[Date]]="","no date",""))))</f>
      </c>
      <c r="G1716" s="17">
        <f>IF(Log[[#This Row],[ID]]="","",IFERROR(VLOOKUP(Log[[#This Row],[Verb]],Verbs,3,FALSE)&amp;"",""))</f>
      </c>
      <c r="H1716" s="17">
        <f>IF(Log[[#This Row],[Date]]="","",INT((Log[[#This Row],[Date]]-Sprint1)/SprintDays)+1)</f>
      </c>
      <c r="I1716" s="17">
        <f>IF(OR(Log[[#This Row],[Verb]]="commit",Log[[#This Row],[Verb]]="carry",Log[[#This Row],[Verb]]="redo"),IF(Log[[#This Row],[Arg]]="",Log[[#This Row],[Sprint]],N(Log[[#This Row],[Arg]])),"")</f>
      </c>
      <c r="J1716" s="17">
        <f>IF(Log[[#This Row],[Verb]]="block",1,IF(OR(Log[[#This Row],[Verb]]="unblock",Log[[#This Row],[Verb]]="done",Log[[#This Row],[Verb]]="drop",Log[[#This Row],[Verb]]="punt",Log[[#This Row],[Verb]]="pass"),0,""))</f>
      </c>
      <c r="K1716" s="17">
        <f>IF(Log[[#This Row],[ID]]="",0,IFERROR(INDEX(Items[Pts],MATCH(Log[[#This Row],[ID]],Items[ID],0))*1,0))</f>
      </c>
      <c r="L1716" s="17">
        <f>IF(Log[[#This Row],[ID]]="","",IFERROR(INDEX(Items[Cur team],MATCH(Log[[#This Row],[ID]],Items[ID],0))&amp;"",""))</f>
      </c>
      <c r="M1716" s="17">
        <f>IF(OR(Log[[#This Row],[Verb]]="done",Log[[#This Row],[Verb]]="punt",Log[[#This Row],[Verb]]="drop",Log[[#This Row],[Verb]]="pass"),Log[[#This Row],[Pts]],0)</f>
      </c>
    </row>
    <row r="1717">
      <c r="A1717" s="11">
        <v>46245</v>
      </c>
      <c r="B1717" t="s">
        <v>952</v>
      </c>
      <c r="C1717" t="s">
        <v>34</v>
      </c>
      <c r="D1717">
        <v>50</v>
      </c>
      <c r="F1717" s="17">
        <f>IF(Log[[#This Row],[ID]]="","",IF(ISNA(MATCH(Log[[#This Row],[ID]],Items[ID],0)),"unknown ID",IF(ISNA(MATCH(Log[[#This Row],[Verb]],VerbList,0)),"unknown verb",IF(Log[[#This Row],[Date]]="","no date",""))))</f>
      </c>
      <c r="G1717" s="17">
        <f>IF(Log[[#This Row],[ID]]="","",IFERROR(VLOOKUP(Log[[#This Row],[Verb]],Verbs,3,FALSE)&amp;"",""))</f>
      </c>
      <c r="H1717" s="17">
        <f>IF(Log[[#This Row],[Date]]="","",INT((Log[[#This Row],[Date]]-Sprint1)/SprintDays)+1)</f>
      </c>
      <c r="I1717" s="17">
        <f>IF(OR(Log[[#This Row],[Verb]]="commit",Log[[#This Row],[Verb]]="carry",Log[[#This Row],[Verb]]="redo"),IF(Log[[#This Row],[Arg]]="",Log[[#This Row],[Sprint]],N(Log[[#This Row],[Arg]])),"")</f>
      </c>
      <c r="J1717" s="17">
        <f>IF(Log[[#This Row],[Verb]]="block",1,IF(OR(Log[[#This Row],[Verb]]="unblock",Log[[#This Row],[Verb]]="done",Log[[#This Row],[Verb]]="drop",Log[[#This Row],[Verb]]="punt",Log[[#This Row],[Verb]]="pass"),0,""))</f>
      </c>
      <c r="K1717" s="17">
        <f>IF(Log[[#This Row],[ID]]="",0,IFERROR(INDEX(Items[Pts],MATCH(Log[[#This Row],[ID]],Items[ID],0))*1,0))</f>
      </c>
      <c r="L1717" s="17">
        <f>IF(Log[[#This Row],[ID]]="","",IFERROR(INDEX(Items[Cur team],MATCH(Log[[#This Row],[ID]],Items[ID],0))&amp;"",""))</f>
      </c>
      <c r="M1717" s="17">
        <f>IF(OR(Log[[#This Row],[Verb]]="done",Log[[#This Row],[Verb]]="punt",Log[[#This Row],[Verb]]="drop",Log[[#This Row],[Verb]]="pass"),Log[[#This Row],[Pts]],0)</f>
      </c>
    </row>
    <row r="1718">
      <c r="A1718" s="11">
        <v>46258</v>
      </c>
      <c r="B1718" t="s">
        <v>890</v>
      </c>
      <c r="C1718" t="s">
        <v>41</v>
      </c>
      <c r="F1718" s="17">
        <f>IF(Log[[#This Row],[ID]]="","",IF(ISNA(MATCH(Log[[#This Row],[ID]],Items[ID],0)),"unknown ID",IF(ISNA(MATCH(Log[[#This Row],[Verb]],VerbList,0)),"unknown verb",IF(Log[[#This Row],[Date]]="","no date",""))))</f>
      </c>
      <c r="G1718" s="17">
        <f>IF(Log[[#This Row],[ID]]="","",IFERROR(VLOOKUP(Log[[#This Row],[Verb]],Verbs,3,FALSE)&amp;"",""))</f>
      </c>
      <c r="H1718" s="17">
        <f>IF(Log[[#This Row],[Date]]="","",INT((Log[[#This Row],[Date]]-Sprint1)/SprintDays)+1)</f>
      </c>
      <c r="I1718" s="17">
        <f>IF(OR(Log[[#This Row],[Verb]]="commit",Log[[#This Row],[Verb]]="carry",Log[[#This Row],[Verb]]="redo"),IF(Log[[#This Row],[Arg]]="",Log[[#This Row],[Sprint]],N(Log[[#This Row],[Arg]])),"")</f>
      </c>
      <c r="J1718" s="17">
        <f>IF(Log[[#This Row],[Verb]]="block",1,IF(OR(Log[[#This Row],[Verb]]="unblock",Log[[#This Row],[Verb]]="done",Log[[#This Row],[Verb]]="drop",Log[[#This Row],[Verb]]="punt",Log[[#This Row],[Verb]]="pass"),0,""))</f>
      </c>
      <c r="K1718" s="17">
        <f>IF(Log[[#This Row],[ID]]="",0,IFERROR(INDEX(Items[Pts],MATCH(Log[[#This Row],[ID]],Items[ID],0))*1,0))</f>
      </c>
      <c r="L1718" s="17">
        <f>IF(Log[[#This Row],[ID]]="","",IFERROR(INDEX(Items[Cur team],MATCH(Log[[#This Row],[ID]],Items[ID],0))&amp;"",""))</f>
      </c>
      <c r="M1718" s="17">
        <f>IF(OR(Log[[#This Row],[Verb]]="done",Log[[#This Row],[Verb]]="punt",Log[[#This Row],[Verb]]="drop",Log[[#This Row],[Verb]]="pass"),Log[[#This Row],[Pts]],0)</f>
      </c>
    </row>
    <row r="1719">
      <c r="A1719" s="11">
        <v>46258</v>
      </c>
      <c r="B1719" t="s">
        <v>891</v>
      </c>
      <c r="C1719" t="s">
        <v>41</v>
      </c>
      <c r="F1719" s="17">
        <f>IF(Log[[#This Row],[ID]]="","",IF(ISNA(MATCH(Log[[#This Row],[ID]],Items[ID],0)),"unknown ID",IF(ISNA(MATCH(Log[[#This Row],[Verb]],VerbList,0)),"unknown verb",IF(Log[[#This Row],[Date]]="","no date",""))))</f>
      </c>
      <c r="G1719" s="17">
        <f>IF(Log[[#This Row],[ID]]="","",IFERROR(VLOOKUP(Log[[#This Row],[Verb]],Verbs,3,FALSE)&amp;"",""))</f>
      </c>
      <c r="H1719" s="17">
        <f>IF(Log[[#This Row],[Date]]="","",INT((Log[[#This Row],[Date]]-Sprint1)/SprintDays)+1)</f>
      </c>
      <c r="I1719" s="17">
        <f>IF(OR(Log[[#This Row],[Verb]]="commit",Log[[#This Row],[Verb]]="carry",Log[[#This Row],[Verb]]="redo"),IF(Log[[#This Row],[Arg]]="",Log[[#This Row],[Sprint]],N(Log[[#This Row],[Arg]])),"")</f>
      </c>
      <c r="J1719" s="17">
        <f>IF(Log[[#This Row],[Verb]]="block",1,IF(OR(Log[[#This Row],[Verb]]="unblock",Log[[#This Row],[Verb]]="done",Log[[#This Row],[Verb]]="drop",Log[[#This Row],[Verb]]="punt",Log[[#This Row],[Verb]]="pass"),0,""))</f>
      </c>
      <c r="K1719" s="17">
        <f>IF(Log[[#This Row],[ID]]="",0,IFERROR(INDEX(Items[Pts],MATCH(Log[[#This Row],[ID]],Items[ID],0))*1,0))</f>
      </c>
      <c r="L1719" s="17">
        <f>IF(Log[[#This Row],[ID]]="","",IFERROR(INDEX(Items[Cur team],MATCH(Log[[#This Row],[ID]],Items[ID],0))&amp;"",""))</f>
      </c>
      <c r="M1719" s="17">
        <f>IF(OR(Log[[#This Row],[Verb]]="done",Log[[#This Row],[Verb]]="punt",Log[[#This Row],[Verb]]="drop",Log[[#This Row],[Verb]]="pass"),Log[[#This Row],[Pts]],0)</f>
      </c>
    </row>
    <row r="1720">
      <c r="A1720" s="11">
        <v>46258</v>
      </c>
      <c r="B1720" t="s">
        <v>892</v>
      </c>
      <c r="C1720" t="s">
        <v>41</v>
      </c>
      <c r="F1720" s="17">
        <f>IF(Log[[#This Row],[ID]]="","",IF(ISNA(MATCH(Log[[#This Row],[ID]],Items[ID],0)),"unknown ID",IF(ISNA(MATCH(Log[[#This Row],[Verb]],VerbList,0)),"unknown verb",IF(Log[[#This Row],[Date]]="","no date",""))))</f>
      </c>
      <c r="G1720" s="17">
        <f>IF(Log[[#This Row],[ID]]="","",IFERROR(VLOOKUP(Log[[#This Row],[Verb]],Verbs,3,FALSE)&amp;"",""))</f>
      </c>
      <c r="H1720" s="17">
        <f>IF(Log[[#This Row],[Date]]="","",INT((Log[[#This Row],[Date]]-Sprint1)/SprintDays)+1)</f>
      </c>
      <c r="I1720" s="17">
        <f>IF(OR(Log[[#This Row],[Verb]]="commit",Log[[#This Row],[Verb]]="carry",Log[[#This Row],[Verb]]="redo"),IF(Log[[#This Row],[Arg]]="",Log[[#This Row],[Sprint]],N(Log[[#This Row],[Arg]])),"")</f>
      </c>
      <c r="J1720" s="17">
        <f>IF(Log[[#This Row],[Verb]]="block",1,IF(OR(Log[[#This Row],[Verb]]="unblock",Log[[#This Row],[Verb]]="done",Log[[#This Row],[Verb]]="drop",Log[[#This Row],[Verb]]="punt",Log[[#This Row],[Verb]]="pass"),0,""))</f>
      </c>
      <c r="K1720" s="17">
        <f>IF(Log[[#This Row],[ID]]="",0,IFERROR(INDEX(Items[Pts],MATCH(Log[[#This Row],[ID]],Items[ID],0))*1,0))</f>
      </c>
      <c r="L1720" s="17">
        <f>IF(Log[[#This Row],[ID]]="","",IFERROR(INDEX(Items[Cur team],MATCH(Log[[#This Row],[ID]],Items[ID],0))&amp;"",""))</f>
      </c>
      <c r="M1720" s="17">
        <f>IF(OR(Log[[#This Row],[Verb]]="done",Log[[#This Row],[Verb]]="punt",Log[[#This Row],[Verb]]="drop",Log[[#This Row],[Verb]]="pass"),Log[[#This Row],[Pts]],0)</f>
      </c>
    </row>
    <row r="1721">
      <c r="A1721" s="11">
        <v>46258</v>
      </c>
      <c r="B1721" t="s">
        <v>893</v>
      </c>
      <c r="C1721" t="s">
        <v>41</v>
      </c>
      <c r="F1721" s="17">
        <f>IF(Log[[#This Row],[ID]]="","",IF(ISNA(MATCH(Log[[#This Row],[ID]],Items[ID],0)),"unknown ID",IF(ISNA(MATCH(Log[[#This Row],[Verb]],VerbList,0)),"unknown verb",IF(Log[[#This Row],[Date]]="","no date",""))))</f>
      </c>
      <c r="G1721" s="17">
        <f>IF(Log[[#This Row],[ID]]="","",IFERROR(VLOOKUP(Log[[#This Row],[Verb]],Verbs,3,FALSE)&amp;"",""))</f>
      </c>
      <c r="H1721" s="17">
        <f>IF(Log[[#This Row],[Date]]="","",INT((Log[[#This Row],[Date]]-Sprint1)/SprintDays)+1)</f>
      </c>
      <c r="I1721" s="17">
        <f>IF(OR(Log[[#This Row],[Verb]]="commit",Log[[#This Row],[Verb]]="carry",Log[[#This Row],[Verb]]="redo"),IF(Log[[#This Row],[Arg]]="",Log[[#This Row],[Sprint]],N(Log[[#This Row],[Arg]])),"")</f>
      </c>
      <c r="J1721" s="17">
        <f>IF(Log[[#This Row],[Verb]]="block",1,IF(OR(Log[[#This Row],[Verb]]="unblock",Log[[#This Row],[Verb]]="done",Log[[#This Row],[Verb]]="drop",Log[[#This Row],[Verb]]="punt",Log[[#This Row],[Verb]]="pass"),0,""))</f>
      </c>
      <c r="K1721" s="17">
        <f>IF(Log[[#This Row],[ID]]="",0,IFERROR(INDEX(Items[Pts],MATCH(Log[[#This Row],[ID]],Items[ID],0))*1,0))</f>
      </c>
      <c r="L1721" s="17">
        <f>IF(Log[[#This Row],[ID]]="","",IFERROR(INDEX(Items[Cur team],MATCH(Log[[#This Row],[ID]],Items[ID],0))&amp;"",""))</f>
      </c>
      <c r="M1721" s="17">
        <f>IF(OR(Log[[#This Row],[Verb]]="done",Log[[#This Row],[Verb]]="punt",Log[[#This Row],[Verb]]="drop",Log[[#This Row],[Verb]]="pass"),Log[[#This Row],[Pts]],0)</f>
      </c>
    </row>
    <row r="1722">
      <c r="A1722" s="11">
        <v>46258</v>
      </c>
      <c r="B1722" t="s">
        <v>894</v>
      </c>
      <c r="C1722" t="s">
        <v>38</v>
      </c>
      <c r="D1722">
        <v>51</v>
      </c>
      <c r="F1722" s="17">
        <f>IF(Log[[#This Row],[ID]]="","",IF(ISNA(MATCH(Log[[#This Row],[ID]],Items[ID],0)),"unknown ID",IF(ISNA(MATCH(Log[[#This Row],[Verb]],VerbList,0)),"unknown verb",IF(Log[[#This Row],[Date]]="","no date",""))))</f>
      </c>
      <c r="G1722" s="17">
        <f>IF(Log[[#This Row],[ID]]="","",IFERROR(VLOOKUP(Log[[#This Row],[Verb]],Verbs,3,FALSE)&amp;"",""))</f>
      </c>
      <c r="H1722" s="17">
        <f>IF(Log[[#This Row],[Date]]="","",INT((Log[[#This Row],[Date]]-Sprint1)/SprintDays)+1)</f>
      </c>
      <c r="I1722" s="17">
        <f>IF(OR(Log[[#This Row],[Verb]]="commit",Log[[#This Row],[Verb]]="carry",Log[[#This Row],[Verb]]="redo"),IF(Log[[#This Row],[Arg]]="",Log[[#This Row],[Sprint]],N(Log[[#This Row],[Arg]])),"")</f>
      </c>
      <c r="J1722" s="17">
        <f>IF(Log[[#This Row],[Verb]]="block",1,IF(OR(Log[[#This Row],[Verb]]="unblock",Log[[#This Row],[Verb]]="done",Log[[#This Row],[Verb]]="drop",Log[[#This Row],[Verb]]="punt",Log[[#This Row],[Verb]]="pass"),0,""))</f>
      </c>
      <c r="K1722" s="17">
        <f>IF(Log[[#This Row],[ID]]="",0,IFERROR(INDEX(Items[Pts],MATCH(Log[[#This Row],[ID]],Items[ID],0))*1,0))</f>
      </c>
      <c r="L1722" s="17">
        <f>IF(Log[[#This Row],[ID]]="","",IFERROR(INDEX(Items[Cur team],MATCH(Log[[#This Row],[ID]],Items[ID],0))&amp;"",""))</f>
      </c>
      <c r="M1722" s="17">
        <f>IF(OR(Log[[#This Row],[Verb]]="done",Log[[#This Row],[Verb]]="punt",Log[[#This Row],[Verb]]="drop",Log[[#This Row],[Verb]]="pass"),Log[[#This Row],[Pts]],0)</f>
      </c>
    </row>
    <row r="1723">
      <c r="A1723" s="11">
        <v>46258</v>
      </c>
      <c r="B1723" t="s">
        <v>895</v>
      </c>
      <c r="C1723" t="s">
        <v>41</v>
      </c>
      <c r="F1723" s="17">
        <f>IF(Log[[#This Row],[ID]]="","",IF(ISNA(MATCH(Log[[#This Row],[ID]],Items[ID],0)),"unknown ID",IF(ISNA(MATCH(Log[[#This Row],[Verb]],VerbList,0)),"unknown verb",IF(Log[[#This Row],[Date]]="","no date",""))))</f>
      </c>
      <c r="G1723" s="17">
        <f>IF(Log[[#This Row],[ID]]="","",IFERROR(VLOOKUP(Log[[#This Row],[Verb]],Verbs,3,FALSE)&amp;"",""))</f>
      </c>
      <c r="H1723" s="17">
        <f>IF(Log[[#This Row],[Date]]="","",INT((Log[[#This Row],[Date]]-Sprint1)/SprintDays)+1)</f>
      </c>
      <c r="I1723" s="17">
        <f>IF(OR(Log[[#This Row],[Verb]]="commit",Log[[#This Row],[Verb]]="carry",Log[[#This Row],[Verb]]="redo"),IF(Log[[#This Row],[Arg]]="",Log[[#This Row],[Sprint]],N(Log[[#This Row],[Arg]])),"")</f>
      </c>
      <c r="J1723" s="17">
        <f>IF(Log[[#This Row],[Verb]]="block",1,IF(OR(Log[[#This Row],[Verb]]="unblock",Log[[#This Row],[Verb]]="done",Log[[#This Row],[Verb]]="drop",Log[[#This Row],[Verb]]="punt",Log[[#This Row],[Verb]]="pass"),0,""))</f>
      </c>
      <c r="K1723" s="17">
        <f>IF(Log[[#This Row],[ID]]="",0,IFERROR(INDEX(Items[Pts],MATCH(Log[[#This Row],[ID]],Items[ID],0))*1,0))</f>
      </c>
      <c r="L1723" s="17">
        <f>IF(Log[[#This Row],[ID]]="","",IFERROR(INDEX(Items[Cur team],MATCH(Log[[#This Row],[ID]],Items[ID],0))&amp;"",""))</f>
      </c>
      <c r="M1723" s="17">
        <f>IF(OR(Log[[#This Row],[Verb]]="done",Log[[#This Row],[Verb]]="punt",Log[[#This Row],[Verb]]="drop",Log[[#This Row],[Verb]]="pass"),Log[[#This Row],[Pts]],0)</f>
      </c>
    </row>
    <row r="1724">
      <c r="A1724" s="11">
        <v>46258</v>
      </c>
      <c r="B1724" t="s">
        <v>896</v>
      </c>
      <c r="C1724" t="s">
        <v>38</v>
      </c>
      <c r="D1724">
        <v>51</v>
      </c>
      <c r="F1724" s="17">
        <f>IF(Log[[#This Row],[ID]]="","",IF(ISNA(MATCH(Log[[#This Row],[ID]],Items[ID],0)),"unknown ID",IF(ISNA(MATCH(Log[[#This Row],[Verb]],VerbList,0)),"unknown verb",IF(Log[[#This Row],[Date]]="","no date",""))))</f>
      </c>
      <c r="G1724" s="17">
        <f>IF(Log[[#This Row],[ID]]="","",IFERROR(VLOOKUP(Log[[#This Row],[Verb]],Verbs,3,FALSE)&amp;"",""))</f>
      </c>
      <c r="H1724" s="17">
        <f>IF(Log[[#This Row],[Date]]="","",INT((Log[[#This Row],[Date]]-Sprint1)/SprintDays)+1)</f>
      </c>
      <c r="I1724" s="17">
        <f>IF(OR(Log[[#This Row],[Verb]]="commit",Log[[#This Row],[Verb]]="carry",Log[[#This Row],[Verb]]="redo"),IF(Log[[#This Row],[Arg]]="",Log[[#This Row],[Sprint]],N(Log[[#This Row],[Arg]])),"")</f>
      </c>
      <c r="J1724" s="17">
        <f>IF(Log[[#This Row],[Verb]]="block",1,IF(OR(Log[[#This Row],[Verb]]="unblock",Log[[#This Row],[Verb]]="done",Log[[#This Row],[Verb]]="drop",Log[[#This Row],[Verb]]="punt",Log[[#This Row],[Verb]]="pass"),0,""))</f>
      </c>
      <c r="K1724" s="17">
        <f>IF(Log[[#This Row],[ID]]="",0,IFERROR(INDEX(Items[Pts],MATCH(Log[[#This Row],[ID]],Items[ID],0))*1,0))</f>
      </c>
      <c r="L1724" s="17">
        <f>IF(Log[[#This Row],[ID]]="","",IFERROR(INDEX(Items[Cur team],MATCH(Log[[#This Row],[ID]],Items[ID],0))&amp;"",""))</f>
      </c>
      <c r="M1724" s="17">
        <f>IF(OR(Log[[#This Row],[Verb]]="done",Log[[#This Row],[Verb]]="punt",Log[[#This Row],[Verb]]="drop",Log[[#This Row],[Verb]]="pass"),Log[[#This Row],[Pts]],0)</f>
      </c>
    </row>
    <row r="1725">
      <c r="A1725" s="11">
        <v>46258</v>
      </c>
      <c r="B1725" t="s">
        <v>897</v>
      </c>
      <c r="C1725" t="s">
        <v>38</v>
      </c>
      <c r="D1725">
        <v>51</v>
      </c>
      <c r="F1725" s="17">
        <f>IF(Log[[#This Row],[ID]]="","",IF(ISNA(MATCH(Log[[#This Row],[ID]],Items[ID],0)),"unknown ID",IF(ISNA(MATCH(Log[[#This Row],[Verb]],VerbList,0)),"unknown verb",IF(Log[[#This Row],[Date]]="","no date",""))))</f>
      </c>
      <c r="G1725" s="17">
        <f>IF(Log[[#This Row],[ID]]="","",IFERROR(VLOOKUP(Log[[#This Row],[Verb]],Verbs,3,FALSE)&amp;"",""))</f>
      </c>
      <c r="H1725" s="17">
        <f>IF(Log[[#This Row],[Date]]="","",INT((Log[[#This Row],[Date]]-Sprint1)/SprintDays)+1)</f>
      </c>
      <c r="I1725" s="17">
        <f>IF(OR(Log[[#This Row],[Verb]]="commit",Log[[#This Row],[Verb]]="carry",Log[[#This Row],[Verb]]="redo"),IF(Log[[#This Row],[Arg]]="",Log[[#This Row],[Sprint]],N(Log[[#This Row],[Arg]])),"")</f>
      </c>
      <c r="J1725" s="17">
        <f>IF(Log[[#This Row],[Verb]]="block",1,IF(OR(Log[[#This Row],[Verb]]="unblock",Log[[#This Row],[Verb]]="done",Log[[#This Row],[Verb]]="drop",Log[[#This Row],[Verb]]="punt",Log[[#This Row],[Verb]]="pass"),0,""))</f>
      </c>
      <c r="K1725" s="17">
        <f>IF(Log[[#This Row],[ID]]="",0,IFERROR(INDEX(Items[Pts],MATCH(Log[[#This Row],[ID]],Items[ID],0))*1,0))</f>
      </c>
      <c r="L1725" s="17">
        <f>IF(Log[[#This Row],[ID]]="","",IFERROR(INDEX(Items[Cur team],MATCH(Log[[#This Row],[ID]],Items[ID],0))&amp;"",""))</f>
      </c>
      <c r="M1725" s="17">
        <f>IF(OR(Log[[#This Row],[Verb]]="done",Log[[#This Row],[Verb]]="punt",Log[[#This Row],[Verb]]="drop",Log[[#This Row],[Verb]]="pass"),Log[[#This Row],[Pts]],0)</f>
      </c>
    </row>
    <row r="1726">
      <c r="A1726" s="11">
        <v>46258</v>
      </c>
      <c r="B1726" t="s">
        <v>898</v>
      </c>
      <c r="C1726" t="s">
        <v>41</v>
      </c>
      <c r="F1726" s="17">
        <f>IF(Log[[#This Row],[ID]]="","",IF(ISNA(MATCH(Log[[#This Row],[ID]],Items[ID],0)),"unknown ID",IF(ISNA(MATCH(Log[[#This Row],[Verb]],VerbList,0)),"unknown verb",IF(Log[[#This Row],[Date]]="","no date",""))))</f>
      </c>
      <c r="G1726" s="17">
        <f>IF(Log[[#This Row],[ID]]="","",IFERROR(VLOOKUP(Log[[#This Row],[Verb]],Verbs,3,FALSE)&amp;"",""))</f>
      </c>
      <c r="H1726" s="17">
        <f>IF(Log[[#This Row],[Date]]="","",INT((Log[[#This Row],[Date]]-Sprint1)/SprintDays)+1)</f>
      </c>
      <c r="I1726" s="17">
        <f>IF(OR(Log[[#This Row],[Verb]]="commit",Log[[#This Row],[Verb]]="carry",Log[[#This Row],[Verb]]="redo"),IF(Log[[#This Row],[Arg]]="",Log[[#This Row],[Sprint]],N(Log[[#This Row],[Arg]])),"")</f>
      </c>
      <c r="J1726" s="17">
        <f>IF(Log[[#This Row],[Verb]]="block",1,IF(OR(Log[[#This Row],[Verb]]="unblock",Log[[#This Row],[Verb]]="done",Log[[#This Row],[Verb]]="drop",Log[[#This Row],[Verb]]="punt",Log[[#This Row],[Verb]]="pass"),0,""))</f>
      </c>
      <c r="K1726" s="17">
        <f>IF(Log[[#This Row],[ID]]="",0,IFERROR(INDEX(Items[Pts],MATCH(Log[[#This Row],[ID]],Items[ID],0))*1,0))</f>
      </c>
      <c r="L1726" s="17">
        <f>IF(Log[[#This Row],[ID]]="","",IFERROR(INDEX(Items[Cur team],MATCH(Log[[#This Row],[ID]],Items[ID],0))&amp;"",""))</f>
      </c>
      <c r="M1726" s="17">
        <f>IF(OR(Log[[#This Row],[Verb]]="done",Log[[#This Row],[Verb]]="punt",Log[[#This Row],[Verb]]="drop",Log[[#This Row],[Verb]]="pass"),Log[[#This Row],[Pts]],0)</f>
      </c>
    </row>
    <row r="1727">
      <c r="A1727" s="11">
        <v>46258</v>
      </c>
      <c r="B1727" t="s">
        <v>899</v>
      </c>
      <c r="C1727" t="s">
        <v>38</v>
      </c>
      <c r="D1727">
        <v>51</v>
      </c>
      <c r="F1727" s="17">
        <f>IF(Log[[#This Row],[ID]]="","",IF(ISNA(MATCH(Log[[#This Row],[ID]],Items[ID],0)),"unknown ID",IF(ISNA(MATCH(Log[[#This Row],[Verb]],VerbList,0)),"unknown verb",IF(Log[[#This Row],[Date]]="","no date",""))))</f>
      </c>
      <c r="G1727" s="17">
        <f>IF(Log[[#This Row],[ID]]="","",IFERROR(VLOOKUP(Log[[#This Row],[Verb]],Verbs,3,FALSE)&amp;"",""))</f>
      </c>
      <c r="H1727" s="17">
        <f>IF(Log[[#This Row],[Date]]="","",INT((Log[[#This Row],[Date]]-Sprint1)/SprintDays)+1)</f>
      </c>
      <c r="I1727" s="17">
        <f>IF(OR(Log[[#This Row],[Verb]]="commit",Log[[#This Row],[Verb]]="carry",Log[[#This Row],[Verb]]="redo"),IF(Log[[#This Row],[Arg]]="",Log[[#This Row],[Sprint]],N(Log[[#This Row],[Arg]])),"")</f>
      </c>
      <c r="J1727" s="17">
        <f>IF(Log[[#This Row],[Verb]]="block",1,IF(OR(Log[[#This Row],[Verb]]="unblock",Log[[#This Row],[Verb]]="done",Log[[#This Row],[Verb]]="drop",Log[[#This Row],[Verb]]="punt",Log[[#This Row],[Verb]]="pass"),0,""))</f>
      </c>
      <c r="K1727" s="17">
        <f>IF(Log[[#This Row],[ID]]="",0,IFERROR(INDEX(Items[Pts],MATCH(Log[[#This Row],[ID]],Items[ID],0))*1,0))</f>
      </c>
      <c r="L1727" s="17">
        <f>IF(Log[[#This Row],[ID]]="","",IFERROR(INDEX(Items[Cur team],MATCH(Log[[#This Row],[ID]],Items[ID],0))&amp;"",""))</f>
      </c>
      <c r="M1727" s="17">
        <f>IF(OR(Log[[#This Row],[Verb]]="done",Log[[#This Row],[Verb]]="punt",Log[[#This Row],[Verb]]="drop",Log[[#This Row],[Verb]]="pass"),Log[[#This Row],[Pts]],0)</f>
      </c>
    </row>
    <row r="1728">
      <c r="A1728" s="11">
        <v>46258</v>
      </c>
      <c r="B1728" t="s">
        <v>900</v>
      </c>
      <c r="C1728" t="s">
        <v>41</v>
      </c>
      <c r="F1728" s="17">
        <f>IF(Log[[#This Row],[ID]]="","",IF(ISNA(MATCH(Log[[#This Row],[ID]],Items[ID],0)),"unknown ID",IF(ISNA(MATCH(Log[[#This Row],[Verb]],VerbList,0)),"unknown verb",IF(Log[[#This Row],[Date]]="","no date",""))))</f>
      </c>
      <c r="G1728" s="17">
        <f>IF(Log[[#This Row],[ID]]="","",IFERROR(VLOOKUP(Log[[#This Row],[Verb]],Verbs,3,FALSE)&amp;"",""))</f>
      </c>
      <c r="H1728" s="17">
        <f>IF(Log[[#This Row],[Date]]="","",INT((Log[[#This Row],[Date]]-Sprint1)/SprintDays)+1)</f>
      </c>
      <c r="I1728" s="17">
        <f>IF(OR(Log[[#This Row],[Verb]]="commit",Log[[#This Row],[Verb]]="carry",Log[[#This Row],[Verb]]="redo"),IF(Log[[#This Row],[Arg]]="",Log[[#This Row],[Sprint]],N(Log[[#This Row],[Arg]])),"")</f>
      </c>
      <c r="J1728" s="17">
        <f>IF(Log[[#This Row],[Verb]]="block",1,IF(OR(Log[[#This Row],[Verb]]="unblock",Log[[#This Row],[Verb]]="done",Log[[#This Row],[Verb]]="drop",Log[[#This Row],[Verb]]="punt",Log[[#This Row],[Verb]]="pass"),0,""))</f>
      </c>
      <c r="K1728" s="17">
        <f>IF(Log[[#This Row],[ID]]="",0,IFERROR(INDEX(Items[Pts],MATCH(Log[[#This Row],[ID]],Items[ID],0))*1,0))</f>
      </c>
      <c r="L1728" s="17">
        <f>IF(Log[[#This Row],[ID]]="","",IFERROR(INDEX(Items[Cur team],MATCH(Log[[#This Row],[ID]],Items[ID],0))&amp;"",""))</f>
      </c>
      <c r="M1728" s="17">
        <f>IF(OR(Log[[#This Row],[Verb]]="done",Log[[#This Row],[Verb]]="punt",Log[[#This Row],[Verb]]="drop",Log[[#This Row],[Verb]]="pass"),Log[[#This Row],[Pts]],0)</f>
      </c>
    </row>
    <row r="1729">
      <c r="A1729" s="11">
        <v>46258</v>
      </c>
      <c r="B1729" t="s">
        <v>901</v>
      </c>
      <c r="C1729" t="s">
        <v>41</v>
      </c>
      <c r="F1729" s="17">
        <f>IF(Log[[#This Row],[ID]]="","",IF(ISNA(MATCH(Log[[#This Row],[ID]],Items[ID],0)),"unknown ID",IF(ISNA(MATCH(Log[[#This Row],[Verb]],VerbList,0)),"unknown verb",IF(Log[[#This Row],[Date]]="","no date",""))))</f>
      </c>
      <c r="G1729" s="17">
        <f>IF(Log[[#This Row],[ID]]="","",IFERROR(VLOOKUP(Log[[#This Row],[Verb]],Verbs,3,FALSE)&amp;"",""))</f>
      </c>
      <c r="H1729" s="17">
        <f>IF(Log[[#This Row],[Date]]="","",INT((Log[[#This Row],[Date]]-Sprint1)/SprintDays)+1)</f>
      </c>
      <c r="I1729" s="17">
        <f>IF(OR(Log[[#This Row],[Verb]]="commit",Log[[#This Row],[Verb]]="carry",Log[[#This Row],[Verb]]="redo"),IF(Log[[#This Row],[Arg]]="",Log[[#This Row],[Sprint]],N(Log[[#This Row],[Arg]])),"")</f>
      </c>
      <c r="J1729" s="17">
        <f>IF(Log[[#This Row],[Verb]]="block",1,IF(OR(Log[[#This Row],[Verb]]="unblock",Log[[#This Row],[Verb]]="done",Log[[#This Row],[Verb]]="drop",Log[[#This Row],[Verb]]="punt",Log[[#This Row],[Verb]]="pass"),0,""))</f>
      </c>
      <c r="K1729" s="17">
        <f>IF(Log[[#This Row],[ID]]="",0,IFERROR(INDEX(Items[Pts],MATCH(Log[[#This Row],[ID]],Items[ID],0))*1,0))</f>
      </c>
      <c r="L1729" s="17">
        <f>IF(Log[[#This Row],[ID]]="","",IFERROR(INDEX(Items[Cur team],MATCH(Log[[#This Row],[ID]],Items[ID],0))&amp;"",""))</f>
      </c>
      <c r="M1729" s="17">
        <f>IF(OR(Log[[#This Row],[Verb]]="done",Log[[#This Row],[Verb]]="punt",Log[[#This Row],[Verb]]="drop",Log[[#This Row],[Verb]]="pass"),Log[[#This Row],[Pts]],0)</f>
      </c>
    </row>
    <row r="1730">
      <c r="A1730" s="11">
        <v>46258</v>
      </c>
      <c r="B1730" t="s">
        <v>724</v>
      </c>
      <c r="C1730" t="s">
        <v>41</v>
      </c>
      <c r="F1730" s="17">
        <f>IF(Log[[#This Row],[ID]]="","",IF(ISNA(MATCH(Log[[#This Row],[ID]],Items[ID],0)),"unknown ID",IF(ISNA(MATCH(Log[[#This Row],[Verb]],VerbList,0)),"unknown verb",IF(Log[[#This Row],[Date]]="","no date",""))))</f>
      </c>
      <c r="G1730" s="17">
        <f>IF(Log[[#This Row],[ID]]="","",IFERROR(VLOOKUP(Log[[#This Row],[Verb]],Verbs,3,FALSE)&amp;"",""))</f>
      </c>
      <c r="H1730" s="17">
        <f>IF(Log[[#This Row],[Date]]="","",INT((Log[[#This Row],[Date]]-Sprint1)/SprintDays)+1)</f>
      </c>
      <c r="I1730" s="17">
        <f>IF(OR(Log[[#This Row],[Verb]]="commit",Log[[#This Row],[Verb]]="carry",Log[[#This Row],[Verb]]="redo"),IF(Log[[#This Row],[Arg]]="",Log[[#This Row],[Sprint]],N(Log[[#This Row],[Arg]])),"")</f>
      </c>
      <c r="J1730" s="17">
        <f>IF(Log[[#This Row],[Verb]]="block",1,IF(OR(Log[[#This Row],[Verb]]="unblock",Log[[#This Row],[Verb]]="done",Log[[#This Row],[Verb]]="drop",Log[[#This Row],[Verb]]="punt",Log[[#This Row],[Verb]]="pass"),0,""))</f>
      </c>
      <c r="K1730" s="17">
        <f>IF(Log[[#This Row],[ID]]="",0,IFERROR(INDEX(Items[Pts],MATCH(Log[[#This Row],[ID]],Items[ID],0))*1,0))</f>
      </c>
      <c r="L1730" s="17">
        <f>IF(Log[[#This Row],[ID]]="","",IFERROR(INDEX(Items[Cur team],MATCH(Log[[#This Row],[ID]],Items[ID],0))&amp;"",""))</f>
      </c>
      <c r="M1730" s="17">
        <f>IF(OR(Log[[#This Row],[Verb]]="done",Log[[#This Row],[Verb]]="punt",Log[[#This Row],[Verb]]="drop",Log[[#This Row],[Verb]]="pass"),Log[[#This Row],[Pts]],0)</f>
      </c>
    </row>
    <row r="1731">
      <c r="A1731" s="11">
        <v>46258</v>
      </c>
      <c r="B1731" t="s">
        <v>902</v>
      </c>
      <c r="C1731" t="s">
        <v>41</v>
      </c>
      <c r="F1731" s="17">
        <f>IF(Log[[#This Row],[ID]]="","",IF(ISNA(MATCH(Log[[#This Row],[ID]],Items[ID],0)),"unknown ID",IF(ISNA(MATCH(Log[[#This Row],[Verb]],VerbList,0)),"unknown verb",IF(Log[[#This Row],[Date]]="","no date",""))))</f>
      </c>
      <c r="G1731" s="17">
        <f>IF(Log[[#This Row],[ID]]="","",IFERROR(VLOOKUP(Log[[#This Row],[Verb]],Verbs,3,FALSE)&amp;"",""))</f>
      </c>
      <c r="H1731" s="17">
        <f>IF(Log[[#This Row],[Date]]="","",INT((Log[[#This Row],[Date]]-Sprint1)/SprintDays)+1)</f>
      </c>
      <c r="I1731" s="17">
        <f>IF(OR(Log[[#This Row],[Verb]]="commit",Log[[#This Row],[Verb]]="carry",Log[[#This Row],[Verb]]="redo"),IF(Log[[#This Row],[Arg]]="",Log[[#This Row],[Sprint]],N(Log[[#This Row],[Arg]])),"")</f>
      </c>
      <c r="J1731" s="17">
        <f>IF(Log[[#This Row],[Verb]]="block",1,IF(OR(Log[[#This Row],[Verb]]="unblock",Log[[#This Row],[Verb]]="done",Log[[#This Row],[Verb]]="drop",Log[[#This Row],[Verb]]="punt",Log[[#This Row],[Verb]]="pass"),0,""))</f>
      </c>
      <c r="K1731" s="17">
        <f>IF(Log[[#This Row],[ID]]="",0,IFERROR(INDEX(Items[Pts],MATCH(Log[[#This Row],[ID]],Items[ID],0))*1,0))</f>
      </c>
      <c r="L1731" s="17">
        <f>IF(Log[[#This Row],[ID]]="","",IFERROR(INDEX(Items[Cur team],MATCH(Log[[#This Row],[ID]],Items[ID],0))&amp;"",""))</f>
      </c>
      <c r="M1731" s="17">
        <f>IF(OR(Log[[#This Row],[Verb]]="done",Log[[#This Row],[Verb]]="punt",Log[[#This Row],[Verb]]="drop",Log[[#This Row],[Verb]]="pass"),Log[[#This Row],[Pts]],0)</f>
      </c>
    </row>
    <row r="1732">
      <c r="A1732" s="11">
        <v>46258</v>
      </c>
      <c r="B1732" t="s">
        <v>903</v>
      </c>
      <c r="C1732" t="s">
        <v>38</v>
      </c>
      <c r="D1732">
        <v>51</v>
      </c>
      <c r="F1732" s="17">
        <f>IF(Log[[#This Row],[ID]]="","",IF(ISNA(MATCH(Log[[#This Row],[ID]],Items[ID],0)),"unknown ID",IF(ISNA(MATCH(Log[[#This Row],[Verb]],VerbList,0)),"unknown verb",IF(Log[[#This Row],[Date]]="","no date",""))))</f>
      </c>
      <c r="G1732" s="17">
        <f>IF(Log[[#This Row],[ID]]="","",IFERROR(VLOOKUP(Log[[#This Row],[Verb]],Verbs,3,FALSE)&amp;"",""))</f>
      </c>
      <c r="H1732" s="17">
        <f>IF(Log[[#This Row],[Date]]="","",INT((Log[[#This Row],[Date]]-Sprint1)/SprintDays)+1)</f>
      </c>
      <c r="I1732" s="17">
        <f>IF(OR(Log[[#This Row],[Verb]]="commit",Log[[#This Row],[Verb]]="carry",Log[[#This Row],[Verb]]="redo"),IF(Log[[#This Row],[Arg]]="",Log[[#This Row],[Sprint]],N(Log[[#This Row],[Arg]])),"")</f>
      </c>
      <c r="J1732" s="17">
        <f>IF(Log[[#This Row],[Verb]]="block",1,IF(OR(Log[[#This Row],[Verb]]="unblock",Log[[#This Row],[Verb]]="done",Log[[#This Row],[Verb]]="drop",Log[[#This Row],[Verb]]="punt",Log[[#This Row],[Verb]]="pass"),0,""))</f>
      </c>
      <c r="K1732" s="17">
        <f>IF(Log[[#This Row],[ID]]="",0,IFERROR(INDEX(Items[Pts],MATCH(Log[[#This Row],[ID]],Items[ID],0))*1,0))</f>
      </c>
      <c r="L1732" s="17">
        <f>IF(Log[[#This Row],[ID]]="","",IFERROR(INDEX(Items[Cur team],MATCH(Log[[#This Row],[ID]],Items[ID],0))&amp;"",""))</f>
      </c>
      <c r="M1732" s="17">
        <f>IF(OR(Log[[#This Row],[Verb]]="done",Log[[#This Row],[Verb]]="punt",Log[[#This Row],[Verb]]="drop",Log[[#This Row],[Verb]]="pass"),Log[[#This Row],[Pts]],0)</f>
      </c>
    </row>
    <row r="1733">
      <c r="A1733" s="11">
        <v>46258</v>
      </c>
      <c r="B1733" t="s">
        <v>904</v>
      </c>
      <c r="C1733" t="s">
        <v>41</v>
      </c>
      <c r="F1733" s="17">
        <f>IF(Log[[#This Row],[ID]]="","",IF(ISNA(MATCH(Log[[#This Row],[ID]],Items[ID],0)),"unknown ID",IF(ISNA(MATCH(Log[[#This Row],[Verb]],VerbList,0)),"unknown verb",IF(Log[[#This Row],[Date]]="","no date",""))))</f>
      </c>
      <c r="G1733" s="17">
        <f>IF(Log[[#This Row],[ID]]="","",IFERROR(VLOOKUP(Log[[#This Row],[Verb]],Verbs,3,FALSE)&amp;"",""))</f>
      </c>
      <c r="H1733" s="17">
        <f>IF(Log[[#This Row],[Date]]="","",INT((Log[[#This Row],[Date]]-Sprint1)/SprintDays)+1)</f>
      </c>
      <c r="I1733" s="17">
        <f>IF(OR(Log[[#This Row],[Verb]]="commit",Log[[#This Row],[Verb]]="carry",Log[[#This Row],[Verb]]="redo"),IF(Log[[#This Row],[Arg]]="",Log[[#This Row],[Sprint]],N(Log[[#This Row],[Arg]])),"")</f>
      </c>
      <c r="J1733" s="17">
        <f>IF(Log[[#This Row],[Verb]]="block",1,IF(OR(Log[[#This Row],[Verb]]="unblock",Log[[#This Row],[Verb]]="done",Log[[#This Row],[Verb]]="drop",Log[[#This Row],[Verb]]="punt",Log[[#This Row],[Verb]]="pass"),0,""))</f>
      </c>
      <c r="K1733" s="17">
        <f>IF(Log[[#This Row],[ID]]="",0,IFERROR(INDEX(Items[Pts],MATCH(Log[[#This Row],[ID]],Items[ID],0))*1,0))</f>
      </c>
      <c r="L1733" s="17">
        <f>IF(Log[[#This Row],[ID]]="","",IFERROR(INDEX(Items[Cur team],MATCH(Log[[#This Row],[ID]],Items[ID],0))&amp;"",""))</f>
      </c>
      <c r="M1733" s="17">
        <f>IF(OR(Log[[#This Row],[Verb]]="done",Log[[#This Row],[Verb]]="punt",Log[[#This Row],[Verb]]="drop",Log[[#This Row],[Verb]]="pass"),Log[[#This Row],[Pts]],0)</f>
      </c>
    </row>
    <row r="1734">
      <c r="A1734" s="11">
        <v>46258</v>
      </c>
      <c r="B1734" t="s">
        <v>905</v>
      </c>
      <c r="C1734" t="s">
        <v>41</v>
      </c>
      <c r="F1734" s="17">
        <f>IF(Log[[#This Row],[ID]]="","",IF(ISNA(MATCH(Log[[#This Row],[ID]],Items[ID],0)),"unknown ID",IF(ISNA(MATCH(Log[[#This Row],[Verb]],VerbList,0)),"unknown verb",IF(Log[[#This Row],[Date]]="","no date",""))))</f>
      </c>
      <c r="G1734" s="17">
        <f>IF(Log[[#This Row],[ID]]="","",IFERROR(VLOOKUP(Log[[#This Row],[Verb]],Verbs,3,FALSE)&amp;"",""))</f>
      </c>
      <c r="H1734" s="17">
        <f>IF(Log[[#This Row],[Date]]="","",INT((Log[[#This Row],[Date]]-Sprint1)/SprintDays)+1)</f>
      </c>
      <c r="I1734" s="17">
        <f>IF(OR(Log[[#This Row],[Verb]]="commit",Log[[#This Row],[Verb]]="carry",Log[[#This Row],[Verb]]="redo"),IF(Log[[#This Row],[Arg]]="",Log[[#This Row],[Sprint]],N(Log[[#This Row],[Arg]])),"")</f>
      </c>
      <c r="J1734" s="17">
        <f>IF(Log[[#This Row],[Verb]]="block",1,IF(OR(Log[[#This Row],[Verb]]="unblock",Log[[#This Row],[Verb]]="done",Log[[#This Row],[Verb]]="drop",Log[[#This Row],[Verb]]="punt",Log[[#This Row],[Verb]]="pass"),0,""))</f>
      </c>
      <c r="K1734" s="17">
        <f>IF(Log[[#This Row],[ID]]="",0,IFERROR(INDEX(Items[Pts],MATCH(Log[[#This Row],[ID]],Items[ID],0))*1,0))</f>
      </c>
      <c r="L1734" s="17">
        <f>IF(Log[[#This Row],[ID]]="","",IFERROR(INDEX(Items[Cur team],MATCH(Log[[#This Row],[ID]],Items[ID],0))&amp;"",""))</f>
      </c>
      <c r="M1734" s="17">
        <f>IF(OR(Log[[#This Row],[Verb]]="done",Log[[#This Row],[Verb]]="punt",Log[[#This Row],[Verb]]="drop",Log[[#This Row],[Verb]]="pass"),Log[[#This Row],[Pts]],0)</f>
      </c>
    </row>
    <row r="1735">
      <c r="A1735" s="11">
        <v>46258</v>
      </c>
      <c r="B1735" t="s">
        <v>906</v>
      </c>
      <c r="C1735" t="s">
        <v>41</v>
      </c>
      <c r="F1735" s="17">
        <f>IF(Log[[#This Row],[ID]]="","",IF(ISNA(MATCH(Log[[#This Row],[ID]],Items[ID],0)),"unknown ID",IF(ISNA(MATCH(Log[[#This Row],[Verb]],VerbList,0)),"unknown verb",IF(Log[[#This Row],[Date]]="","no date",""))))</f>
      </c>
      <c r="G1735" s="17">
        <f>IF(Log[[#This Row],[ID]]="","",IFERROR(VLOOKUP(Log[[#This Row],[Verb]],Verbs,3,FALSE)&amp;"",""))</f>
      </c>
      <c r="H1735" s="17">
        <f>IF(Log[[#This Row],[Date]]="","",INT((Log[[#This Row],[Date]]-Sprint1)/SprintDays)+1)</f>
      </c>
      <c r="I1735" s="17">
        <f>IF(OR(Log[[#This Row],[Verb]]="commit",Log[[#This Row],[Verb]]="carry",Log[[#This Row],[Verb]]="redo"),IF(Log[[#This Row],[Arg]]="",Log[[#This Row],[Sprint]],N(Log[[#This Row],[Arg]])),"")</f>
      </c>
      <c r="J1735" s="17">
        <f>IF(Log[[#This Row],[Verb]]="block",1,IF(OR(Log[[#This Row],[Verb]]="unblock",Log[[#This Row],[Verb]]="done",Log[[#This Row],[Verb]]="drop",Log[[#This Row],[Verb]]="punt",Log[[#This Row],[Verb]]="pass"),0,""))</f>
      </c>
      <c r="K1735" s="17">
        <f>IF(Log[[#This Row],[ID]]="",0,IFERROR(INDEX(Items[Pts],MATCH(Log[[#This Row],[ID]],Items[ID],0))*1,0))</f>
      </c>
      <c r="L1735" s="17">
        <f>IF(Log[[#This Row],[ID]]="","",IFERROR(INDEX(Items[Cur team],MATCH(Log[[#This Row],[ID]],Items[ID],0))&amp;"",""))</f>
      </c>
      <c r="M1735" s="17">
        <f>IF(OR(Log[[#This Row],[Verb]]="done",Log[[#This Row],[Verb]]="punt",Log[[#This Row],[Verb]]="drop",Log[[#This Row],[Verb]]="pass"),Log[[#This Row],[Pts]],0)</f>
      </c>
    </row>
    <row r="1736">
      <c r="A1736" s="11">
        <v>46258</v>
      </c>
      <c r="B1736" t="s">
        <v>907</v>
      </c>
      <c r="C1736" t="s">
        <v>41</v>
      </c>
      <c r="F1736" s="17">
        <f>IF(Log[[#This Row],[ID]]="","",IF(ISNA(MATCH(Log[[#This Row],[ID]],Items[ID],0)),"unknown ID",IF(ISNA(MATCH(Log[[#This Row],[Verb]],VerbList,0)),"unknown verb",IF(Log[[#This Row],[Date]]="","no date",""))))</f>
      </c>
      <c r="G1736" s="17">
        <f>IF(Log[[#This Row],[ID]]="","",IFERROR(VLOOKUP(Log[[#This Row],[Verb]],Verbs,3,FALSE)&amp;"",""))</f>
      </c>
      <c r="H1736" s="17">
        <f>IF(Log[[#This Row],[Date]]="","",INT((Log[[#This Row],[Date]]-Sprint1)/SprintDays)+1)</f>
      </c>
      <c r="I1736" s="17">
        <f>IF(OR(Log[[#This Row],[Verb]]="commit",Log[[#This Row],[Verb]]="carry",Log[[#This Row],[Verb]]="redo"),IF(Log[[#This Row],[Arg]]="",Log[[#This Row],[Sprint]],N(Log[[#This Row],[Arg]])),"")</f>
      </c>
      <c r="J1736" s="17">
        <f>IF(Log[[#This Row],[Verb]]="block",1,IF(OR(Log[[#This Row],[Verb]]="unblock",Log[[#This Row],[Verb]]="done",Log[[#This Row],[Verb]]="drop",Log[[#This Row],[Verb]]="punt",Log[[#This Row],[Verb]]="pass"),0,""))</f>
      </c>
      <c r="K1736" s="17">
        <f>IF(Log[[#This Row],[ID]]="",0,IFERROR(INDEX(Items[Pts],MATCH(Log[[#This Row],[ID]],Items[ID],0))*1,0))</f>
      </c>
      <c r="L1736" s="17">
        <f>IF(Log[[#This Row],[ID]]="","",IFERROR(INDEX(Items[Cur team],MATCH(Log[[#This Row],[ID]],Items[ID],0))&amp;"",""))</f>
      </c>
      <c r="M1736" s="17">
        <f>IF(OR(Log[[#This Row],[Verb]]="done",Log[[#This Row],[Verb]]="punt",Log[[#This Row],[Verb]]="drop",Log[[#This Row],[Verb]]="pass"),Log[[#This Row],[Pts]],0)</f>
      </c>
    </row>
    <row r="1737">
      <c r="A1737" s="11">
        <v>46258</v>
      </c>
      <c r="B1737" t="s">
        <v>908</v>
      </c>
      <c r="C1737" t="s">
        <v>41</v>
      </c>
      <c r="F1737" s="17">
        <f>IF(Log[[#This Row],[ID]]="","",IF(ISNA(MATCH(Log[[#This Row],[ID]],Items[ID],0)),"unknown ID",IF(ISNA(MATCH(Log[[#This Row],[Verb]],VerbList,0)),"unknown verb",IF(Log[[#This Row],[Date]]="","no date",""))))</f>
      </c>
      <c r="G1737" s="17">
        <f>IF(Log[[#This Row],[ID]]="","",IFERROR(VLOOKUP(Log[[#This Row],[Verb]],Verbs,3,FALSE)&amp;"",""))</f>
      </c>
      <c r="H1737" s="17">
        <f>IF(Log[[#This Row],[Date]]="","",INT((Log[[#This Row],[Date]]-Sprint1)/SprintDays)+1)</f>
      </c>
      <c r="I1737" s="17">
        <f>IF(OR(Log[[#This Row],[Verb]]="commit",Log[[#This Row],[Verb]]="carry",Log[[#This Row],[Verb]]="redo"),IF(Log[[#This Row],[Arg]]="",Log[[#This Row],[Sprint]],N(Log[[#This Row],[Arg]])),"")</f>
      </c>
      <c r="J1737" s="17">
        <f>IF(Log[[#This Row],[Verb]]="block",1,IF(OR(Log[[#This Row],[Verb]]="unblock",Log[[#This Row],[Verb]]="done",Log[[#This Row],[Verb]]="drop",Log[[#This Row],[Verb]]="punt",Log[[#This Row],[Verb]]="pass"),0,""))</f>
      </c>
      <c r="K1737" s="17">
        <f>IF(Log[[#This Row],[ID]]="",0,IFERROR(INDEX(Items[Pts],MATCH(Log[[#This Row],[ID]],Items[ID],0))*1,0))</f>
      </c>
      <c r="L1737" s="17">
        <f>IF(Log[[#This Row],[ID]]="","",IFERROR(INDEX(Items[Cur team],MATCH(Log[[#This Row],[ID]],Items[ID],0))&amp;"",""))</f>
      </c>
      <c r="M1737" s="17">
        <f>IF(OR(Log[[#This Row],[Verb]]="done",Log[[#This Row],[Verb]]="punt",Log[[#This Row],[Verb]]="drop",Log[[#This Row],[Verb]]="pass"),Log[[#This Row],[Pts]],0)</f>
      </c>
    </row>
    <row r="1738">
      <c r="A1738" s="11">
        <v>46258</v>
      </c>
      <c r="B1738" t="s">
        <v>909</v>
      </c>
      <c r="C1738" t="s">
        <v>41</v>
      </c>
      <c r="F1738" s="17">
        <f>IF(Log[[#This Row],[ID]]="","",IF(ISNA(MATCH(Log[[#This Row],[ID]],Items[ID],0)),"unknown ID",IF(ISNA(MATCH(Log[[#This Row],[Verb]],VerbList,0)),"unknown verb",IF(Log[[#This Row],[Date]]="","no date",""))))</f>
      </c>
      <c r="G1738" s="17">
        <f>IF(Log[[#This Row],[ID]]="","",IFERROR(VLOOKUP(Log[[#This Row],[Verb]],Verbs,3,FALSE)&amp;"",""))</f>
      </c>
      <c r="H1738" s="17">
        <f>IF(Log[[#This Row],[Date]]="","",INT((Log[[#This Row],[Date]]-Sprint1)/SprintDays)+1)</f>
      </c>
      <c r="I1738" s="17">
        <f>IF(OR(Log[[#This Row],[Verb]]="commit",Log[[#This Row],[Verb]]="carry",Log[[#This Row],[Verb]]="redo"),IF(Log[[#This Row],[Arg]]="",Log[[#This Row],[Sprint]],N(Log[[#This Row],[Arg]])),"")</f>
      </c>
      <c r="J1738" s="17">
        <f>IF(Log[[#This Row],[Verb]]="block",1,IF(OR(Log[[#This Row],[Verb]]="unblock",Log[[#This Row],[Verb]]="done",Log[[#This Row],[Verb]]="drop",Log[[#This Row],[Verb]]="punt",Log[[#This Row],[Verb]]="pass"),0,""))</f>
      </c>
      <c r="K1738" s="17">
        <f>IF(Log[[#This Row],[ID]]="",0,IFERROR(INDEX(Items[Pts],MATCH(Log[[#This Row],[ID]],Items[ID],0))*1,0))</f>
      </c>
      <c r="L1738" s="17">
        <f>IF(Log[[#This Row],[ID]]="","",IFERROR(INDEX(Items[Cur team],MATCH(Log[[#This Row],[ID]],Items[ID],0))&amp;"",""))</f>
      </c>
      <c r="M1738" s="17">
        <f>IF(OR(Log[[#This Row],[Verb]]="done",Log[[#This Row],[Verb]]="punt",Log[[#This Row],[Verb]]="drop",Log[[#This Row],[Verb]]="pass"),Log[[#This Row],[Pts]],0)</f>
      </c>
    </row>
    <row r="1739">
      <c r="A1739" s="11">
        <v>46258</v>
      </c>
      <c r="B1739" t="s">
        <v>910</v>
      </c>
      <c r="C1739" t="s">
        <v>41</v>
      </c>
      <c r="F1739" s="17">
        <f>IF(Log[[#This Row],[ID]]="","",IF(ISNA(MATCH(Log[[#This Row],[ID]],Items[ID],0)),"unknown ID",IF(ISNA(MATCH(Log[[#This Row],[Verb]],VerbList,0)),"unknown verb",IF(Log[[#This Row],[Date]]="","no date",""))))</f>
      </c>
      <c r="G1739" s="17">
        <f>IF(Log[[#This Row],[ID]]="","",IFERROR(VLOOKUP(Log[[#This Row],[Verb]],Verbs,3,FALSE)&amp;"",""))</f>
      </c>
      <c r="H1739" s="17">
        <f>IF(Log[[#This Row],[Date]]="","",INT((Log[[#This Row],[Date]]-Sprint1)/SprintDays)+1)</f>
      </c>
      <c r="I1739" s="17">
        <f>IF(OR(Log[[#This Row],[Verb]]="commit",Log[[#This Row],[Verb]]="carry",Log[[#This Row],[Verb]]="redo"),IF(Log[[#This Row],[Arg]]="",Log[[#This Row],[Sprint]],N(Log[[#This Row],[Arg]])),"")</f>
      </c>
      <c r="J1739" s="17">
        <f>IF(Log[[#This Row],[Verb]]="block",1,IF(OR(Log[[#This Row],[Verb]]="unblock",Log[[#This Row],[Verb]]="done",Log[[#This Row],[Verb]]="drop",Log[[#This Row],[Verb]]="punt",Log[[#This Row],[Verb]]="pass"),0,""))</f>
      </c>
      <c r="K1739" s="17">
        <f>IF(Log[[#This Row],[ID]]="",0,IFERROR(INDEX(Items[Pts],MATCH(Log[[#This Row],[ID]],Items[ID],0))*1,0))</f>
      </c>
      <c r="L1739" s="17">
        <f>IF(Log[[#This Row],[ID]]="","",IFERROR(INDEX(Items[Cur team],MATCH(Log[[#This Row],[ID]],Items[ID],0))&amp;"",""))</f>
      </c>
      <c r="M1739" s="17">
        <f>IF(OR(Log[[#This Row],[Verb]]="done",Log[[#This Row],[Verb]]="punt",Log[[#This Row],[Verb]]="drop",Log[[#This Row],[Verb]]="pass"),Log[[#This Row],[Pts]],0)</f>
      </c>
    </row>
    <row r="1740">
      <c r="A1740" s="11">
        <v>46258</v>
      </c>
      <c r="B1740" t="s">
        <v>911</v>
      </c>
      <c r="C1740" t="s">
        <v>41</v>
      </c>
      <c r="F1740" s="17">
        <f>IF(Log[[#This Row],[ID]]="","",IF(ISNA(MATCH(Log[[#This Row],[ID]],Items[ID],0)),"unknown ID",IF(ISNA(MATCH(Log[[#This Row],[Verb]],VerbList,0)),"unknown verb",IF(Log[[#This Row],[Date]]="","no date",""))))</f>
      </c>
      <c r="G1740" s="17">
        <f>IF(Log[[#This Row],[ID]]="","",IFERROR(VLOOKUP(Log[[#This Row],[Verb]],Verbs,3,FALSE)&amp;"",""))</f>
      </c>
      <c r="H1740" s="17">
        <f>IF(Log[[#This Row],[Date]]="","",INT((Log[[#This Row],[Date]]-Sprint1)/SprintDays)+1)</f>
      </c>
      <c r="I1740" s="17">
        <f>IF(OR(Log[[#This Row],[Verb]]="commit",Log[[#This Row],[Verb]]="carry",Log[[#This Row],[Verb]]="redo"),IF(Log[[#This Row],[Arg]]="",Log[[#This Row],[Sprint]],N(Log[[#This Row],[Arg]])),"")</f>
      </c>
      <c r="J1740" s="17">
        <f>IF(Log[[#This Row],[Verb]]="block",1,IF(OR(Log[[#This Row],[Verb]]="unblock",Log[[#This Row],[Verb]]="done",Log[[#This Row],[Verb]]="drop",Log[[#This Row],[Verb]]="punt",Log[[#This Row],[Verb]]="pass"),0,""))</f>
      </c>
      <c r="K1740" s="17">
        <f>IF(Log[[#This Row],[ID]]="",0,IFERROR(INDEX(Items[Pts],MATCH(Log[[#This Row],[ID]],Items[ID],0))*1,0))</f>
      </c>
      <c r="L1740" s="17">
        <f>IF(Log[[#This Row],[ID]]="","",IFERROR(INDEX(Items[Cur team],MATCH(Log[[#This Row],[ID]],Items[ID],0))&amp;"",""))</f>
      </c>
      <c r="M1740" s="17">
        <f>IF(OR(Log[[#This Row],[Verb]]="done",Log[[#This Row],[Verb]]="punt",Log[[#This Row],[Verb]]="drop",Log[[#This Row],[Verb]]="pass"),Log[[#This Row],[Pts]],0)</f>
      </c>
    </row>
    <row r="1741">
      <c r="A1741" s="11">
        <v>46258</v>
      </c>
      <c r="B1741" t="s">
        <v>912</v>
      </c>
      <c r="C1741" t="s">
        <v>41</v>
      </c>
      <c r="F1741" s="17">
        <f>IF(Log[[#This Row],[ID]]="","",IF(ISNA(MATCH(Log[[#This Row],[ID]],Items[ID],0)),"unknown ID",IF(ISNA(MATCH(Log[[#This Row],[Verb]],VerbList,0)),"unknown verb",IF(Log[[#This Row],[Date]]="","no date",""))))</f>
      </c>
      <c r="G1741" s="17">
        <f>IF(Log[[#This Row],[ID]]="","",IFERROR(VLOOKUP(Log[[#This Row],[Verb]],Verbs,3,FALSE)&amp;"",""))</f>
      </c>
      <c r="H1741" s="17">
        <f>IF(Log[[#This Row],[Date]]="","",INT((Log[[#This Row],[Date]]-Sprint1)/SprintDays)+1)</f>
      </c>
      <c r="I1741" s="17">
        <f>IF(OR(Log[[#This Row],[Verb]]="commit",Log[[#This Row],[Verb]]="carry",Log[[#This Row],[Verb]]="redo"),IF(Log[[#This Row],[Arg]]="",Log[[#This Row],[Sprint]],N(Log[[#This Row],[Arg]])),"")</f>
      </c>
      <c r="J1741" s="17">
        <f>IF(Log[[#This Row],[Verb]]="block",1,IF(OR(Log[[#This Row],[Verb]]="unblock",Log[[#This Row],[Verb]]="done",Log[[#This Row],[Verb]]="drop",Log[[#This Row],[Verb]]="punt",Log[[#This Row],[Verb]]="pass"),0,""))</f>
      </c>
      <c r="K1741" s="17">
        <f>IF(Log[[#This Row],[ID]]="",0,IFERROR(INDEX(Items[Pts],MATCH(Log[[#This Row],[ID]],Items[ID],0))*1,0))</f>
      </c>
      <c r="L1741" s="17">
        <f>IF(Log[[#This Row],[ID]]="","",IFERROR(INDEX(Items[Cur team],MATCH(Log[[#This Row],[ID]],Items[ID],0))&amp;"",""))</f>
      </c>
      <c r="M1741" s="17">
        <f>IF(OR(Log[[#This Row],[Verb]]="done",Log[[#This Row],[Verb]]="punt",Log[[#This Row],[Verb]]="drop",Log[[#This Row],[Verb]]="pass"),Log[[#This Row],[Pts]],0)</f>
      </c>
    </row>
    <row r="1742">
      <c r="A1742" s="11">
        <v>46258</v>
      </c>
      <c r="B1742" t="s">
        <v>913</v>
      </c>
      <c r="C1742" t="s">
        <v>41</v>
      </c>
      <c r="F1742" s="17">
        <f>IF(Log[[#This Row],[ID]]="","",IF(ISNA(MATCH(Log[[#This Row],[ID]],Items[ID],0)),"unknown ID",IF(ISNA(MATCH(Log[[#This Row],[Verb]],VerbList,0)),"unknown verb",IF(Log[[#This Row],[Date]]="","no date",""))))</f>
      </c>
      <c r="G1742" s="17">
        <f>IF(Log[[#This Row],[ID]]="","",IFERROR(VLOOKUP(Log[[#This Row],[Verb]],Verbs,3,FALSE)&amp;"",""))</f>
      </c>
      <c r="H1742" s="17">
        <f>IF(Log[[#This Row],[Date]]="","",INT((Log[[#This Row],[Date]]-Sprint1)/SprintDays)+1)</f>
      </c>
      <c r="I1742" s="17">
        <f>IF(OR(Log[[#This Row],[Verb]]="commit",Log[[#This Row],[Verb]]="carry",Log[[#This Row],[Verb]]="redo"),IF(Log[[#This Row],[Arg]]="",Log[[#This Row],[Sprint]],N(Log[[#This Row],[Arg]])),"")</f>
      </c>
      <c r="J1742" s="17">
        <f>IF(Log[[#This Row],[Verb]]="block",1,IF(OR(Log[[#This Row],[Verb]]="unblock",Log[[#This Row],[Verb]]="done",Log[[#This Row],[Verb]]="drop",Log[[#This Row],[Verb]]="punt",Log[[#This Row],[Verb]]="pass"),0,""))</f>
      </c>
      <c r="K1742" s="17">
        <f>IF(Log[[#This Row],[ID]]="",0,IFERROR(INDEX(Items[Pts],MATCH(Log[[#This Row],[ID]],Items[ID],0))*1,0))</f>
      </c>
      <c r="L1742" s="17">
        <f>IF(Log[[#This Row],[ID]]="","",IFERROR(INDEX(Items[Cur team],MATCH(Log[[#This Row],[ID]],Items[ID],0))&amp;"",""))</f>
      </c>
      <c r="M1742" s="17">
        <f>IF(OR(Log[[#This Row],[Verb]]="done",Log[[#This Row],[Verb]]="punt",Log[[#This Row],[Verb]]="drop",Log[[#This Row],[Verb]]="pass"),Log[[#This Row],[Pts]],0)</f>
      </c>
    </row>
    <row r="1743">
      <c r="A1743" s="11">
        <v>46258</v>
      </c>
      <c r="B1743" t="s">
        <v>914</v>
      </c>
      <c r="C1743" t="s">
        <v>41</v>
      </c>
      <c r="F1743" s="17">
        <f>IF(Log[[#This Row],[ID]]="","",IF(ISNA(MATCH(Log[[#This Row],[ID]],Items[ID],0)),"unknown ID",IF(ISNA(MATCH(Log[[#This Row],[Verb]],VerbList,0)),"unknown verb",IF(Log[[#This Row],[Date]]="","no date",""))))</f>
      </c>
      <c r="G1743" s="17">
        <f>IF(Log[[#This Row],[ID]]="","",IFERROR(VLOOKUP(Log[[#This Row],[Verb]],Verbs,3,FALSE)&amp;"",""))</f>
      </c>
      <c r="H1743" s="17">
        <f>IF(Log[[#This Row],[Date]]="","",INT((Log[[#This Row],[Date]]-Sprint1)/SprintDays)+1)</f>
      </c>
      <c r="I1743" s="17">
        <f>IF(OR(Log[[#This Row],[Verb]]="commit",Log[[#This Row],[Verb]]="carry",Log[[#This Row],[Verb]]="redo"),IF(Log[[#This Row],[Arg]]="",Log[[#This Row],[Sprint]],N(Log[[#This Row],[Arg]])),"")</f>
      </c>
      <c r="J1743" s="17">
        <f>IF(Log[[#This Row],[Verb]]="block",1,IF(OR(Log[[#This Row],[Verb]]="unblock",Log[[#This Row],[Verb]]="done",Log[[#This Row],[Verb]]="drop",Log[[#This Row],[Verb]]="punt",Log[[#This Row],[Verb]]="pass"),0,""))</f>
      </c>
      <c r="K1743" s="17">
        <f>IF(Log[[#This Row],[ID]]="",0,IFERROR(INDEX(Items[Pts],MATCH(Log[[#This Row],[ID]],Items[ID],0))*1,0))</f>
      </c>
      <c r="L1743" s="17">
        <f>IF(Log[[#This Row],[ID]]="","",IFERROR(INDEX(Items[Cur team],MATCH(Log[[#This Row],[ID]],Items[ID],0))&amp;"",""))</f>
      </c>
      <c r="M1743" s="17">
        <f>IF(OR(Log[[#This Row],[Verb]]="done",Log[[#This Row],[Verb]]="punt",Log[[#This Row],[Verb]]="drop",Log[[#This Row],[Verb]]="pass"),Log[[#This Row],[Pts]],0)</f>
      </c>
    </row>
    <row r="1744">
      <c r="A1744" s="11">
        <v>46258</v>
      </c>
      <c r="B1744" t="s">
        <v>915</v>
      </c>
      <c r="C1744" t="s">
        <v>41</v>
      </c>
      <c r="F1744" s="17">
        <f>IF(Log[[#This Row],[ID]]="","",IF(ISNA(MATCH(Log[[#This Row],[ID]],Items[ID],0)),"unknown ID",IF(ISNA(MATCH(Log[[#This Row],[Verb]],VerbList,0)),"unknown verb",IF(Log[[#This Row],[Date]]="","no date",""))))</f>
      </c>
      <c r="G1744" s="17">
        <f>IF(Log[[#This Row],[ID]]="","",IFERROR(VLOOKUP(Log[[#This Row],[Verb]],Verbs,3,FALSE)&amp;"",""))</f>
      </c>
      <c r="H1744" s="17">
        <f>IF(Log[[#This Row],[Date]]="","",INT((Log[[#This Row],[Date]]-Sprint1)/SprintDays)+1)</f>
      </c>
      <c r="I1744" s="17">
        <f>IF(OR(Log[[#This Row],[Verb]]="commit",Log[[#This Row],[Verb]]="carry",Log[[#This Row],[Verb]]="redo"),IF(Log[[#This Row],[Arg]]="",Log[[#This Row],[Sprint]],N(Log[[#This Row],[Arg]])),"")</f>
      </c>
      <c r="J1744" s="17">
        <f>IF(Log[[#This Row],[Verb]]="block",1,IF(OR(Log[[#This Row],[Verb]]="unblock",Log[[#This Row],[Verb]]="done",Log[[#This Row],[Verb]]="drop",Log[[#This Row],[Verb]]="punt",Log[[#This Row],[Verb]]="pass"),0,""))</f>
      </c>
      <c r="K1744" s="17">
        <f>IF(Log[[#This Row],[ID]]="",0,IFERROR(INDEX(Items[Pts],MATCH(Log[[#This Row],[ID]],Items[ID],0))*1,0))</f>
      </c>
      <c r="L1744" s="17">
        <f>IF(Log[[#This Row],[ID]]="","",IFERROR(INDEX(Items[Cur team],MATCH(Log[[#This Row],[ID]],Items[ID],0))&amp;"",""))</f>
      </c>
      <c r="M1744" s="17">
        <f>IF(OR(Log[[#This Row],[Verb]]="done",Log[[#This Row],[Verb]]="punt",Log[[#This Row],[Verb]]="drop",Log[[#This Row],[Verb]]="pass"),Log[[#This Row],[Pts]],0)</f>
      </c>
    </row>
    <row r="1745">
      <c r="A1745" s="11">
        <v>46258</v>
      </c>
      <c r="B1745" t="s">
        <v>856</v>
      </c>
      <c r="C1745" t="s">
        <v>41</v>
      </c>
      <c r="F1745" s="17">
        <f>IF(Log[[#This Row],[ID]]="","",IF(ISNA(MATCH(Log[[#This Row],[ID]],Items[ID],0)),"unknown ID",IF(ISNA(MATCH(Log[[#This Row],[Verb]],VerbList,0)),"unknown verb",IF(Log[[#This Row],[Date]]="","no date",""))))</f>
      </c>
      <c r="G1745" s="17">
        <f>IF(Log[[#This Row],[ID]]="","",IFERROR(VLOOKUP(Log[[#This Row],[Verb]],Verbs,3,FALSE)&amp;"",""))</f>
      </c>
      <c r="H1745" s="17">
        <f>IF(Log[[#This Row],[Date]]="","",INT((Log[[#This Row],[Date]]-Sprint1)/SprintDays)+1)</f>
      </c>
      <c r="I1745" s="17">
        <f>IF(OR(Log[[#This Row],[Verb]]="commit",Log[[#This Row],[Verb]]="carry",Log[[#This Row],[Verb]]="redo"),IF(Log[[#This Row],[Arg]]="",Log[[#This Row],[Sprint]],N(Log[[#This Row],[Arg]])),"")</f>
      </c>
      <c r="J1745" s="17">
        <f>IF(Log[[#This Row],[Verb]]="block",1,IF(OR(Log[[#This Row],[Verb]]="unblock",Log[[#This Row],[Verb]]="done",Log[[#This Row],[Verb]]="drop",Log[[#This Row],[Verb]]="punt",Log[[#This Row],[Verb]]="pass"),0,""))</f>
      </c>
      <c r="K1745" s="17">
        <f>IF(Log[[#This Row],[ID]]="",0,IFERROR(INDEX(Items[Pts],MATCH(Log[[#This Row],[ID]],Items[ID],0))*1,0))</f>
      </c>
      <c r="L1745" s="17">
        <f>IF(Log[[#This Row],[ID]]="","",IFERROR(INDEX(Items[Cur team],MATCH(Log[[#This Row],[ID]],Items[ID],0))&amp;"",""))</f>
      </c>
      <c r="M1745" s="17">
        <f>IF(OR(Log[[#This Row],[Verb]]="done",Log[[#This Row],[Verb]]="punt",Log[[#This Row],[Verb]]="drop",Log[[#This Row],[Verb]]="pass"),Log[[#This Row],[Pts]],0)</f>
      </c>
    </row>
    <row r="1746">
      <c r="A1746" s="11">
        <v>46258</v>
      </c>
      <c r="B1746" t="s">
        <v>916</v>
      </c>
      <c r="C1746" t="s">
        <v>38</v>
      </c>
      <c r="D1746">
        <v>51</v>
      </c>
      <c r="F1746" s="17">
        <f>IF(Log[[#This Row],[ID]]="","",IF(ISNA(MATCH(Log[[#This Row],[ID]],Items[ID],0)),"unknown ID",IF(ISNA(MATCH(Log[[#This Row],[Verb]],VerbList,0)),"unknown verb",IF(Log[[#This Row],[Date]]="","no date",""))))</f>
      </c>
      <c r="G1746" s="17">
        <f>IF(Log[[#This Row],[ID]]="","",IFERROR(VLOOKUP(Log[[#This Row],[Verb]],Verbs,3,FALSE)&amp;"",""))</f>
      </c>
      <c r="H1746" s="17">
        <f>IF(Log[[#This Row],[Date]]="","",INT((Log[[#This Row],[Date]]-Sprint1)/SprintDays)+1)</f>
      </c>
      <c r="I1746" s="17">
        <f>IF(OR(Log[[#This Row],[Verb]]="commit",Log[[#This Row],[Verb]]="carry",Log[[#This Row],[Verb]]="redo"),IF(Log[[#This Row],[Arg]]="",Log[[#This Row],[Sprint]],N(Log[[#This Row],[Arg]])),"")</f>
      </c>
      <c r="J1746" s="17">
        <f>IF(Log[[#This Row],[Verb]]="block",1,IF(OR(Log[[#This Row],[Verb]]="unblock",Log[[#This Row],[Verb]]="done",Log[[#This Row],[Verb]]="drop",Log[[#This Row],[Verb]]="punt",Log[[#This Row],[Verb]]="pass"),0,""))</f>
      </c>
      <c r="K1746" s="17">
        <f>IF(Log[[#This Row],[ID]]="",0,IFERROR(INDEX(Items[Pts],MATCH(Log[[#This Row],[ID]],Items[ID],0))*1,0))</f>
      </c>
      <c r="L1746" s="17">
        <f>IF(Log[[#This Row],[ID]]="","",IFERROR(INDEX(Items[Cur team],MATCH(Log[[#This Row],[ID]],Items[ID],0))&amp;"",""))</f>
      </c>
      <c r="M1746" s="17">
        <f>IF(OR(Log[[#This Row],[Verb]]="done",Log[[#This Row],[Verb]]="punt",Log[[#This Row],[Verb]]="drop",Log[[#This Row],[Verb]]="pass"),Log[[#This Row],[Pts]],0)</f>
      </c>
    </row>
    <row r="1747">
      <c r="A1747" s="11">
        <v>46258</v>
      </c>
      <c r="B1747" t="s">
        <v>917</v>
      </c>
      <c r="C1747" t="s">
        <v>41</v>
      </c>
      <c r="F1747" s="17">
        <f>IF(Log[[#This Row],[ID]]="","",IF(ISNA(MATCH(Log[[#This Row],[ID]],Items[ID],0)),"unknown ID",IF(ISNA(MATCH(Log[[#This Row],[Verb]],VerbList,0)),"unknown verb",IF(Log[[#This Row],[Date]]="","no date",""))))</f>
      </c>
      <c r="G1747" s="17">
        <f>IF(Log[[#This Row],[ID]]="","",IFERROR(VLOOKUP(Log[[#This Row],[Verb]],Verbs,3,FALSE)&amp;"",""))</f>
      </c>
      <c r="H1747" s="17">
        <f>IF(Log[[#This Row],[Date]]="","",INT((Log[[#This Row],[Date]]-Sprint1)/SprintDays)+1)</f>
      </c>
      <c r="I1747" s="17">
        <f>IF(OR(Log[[#This Row],[Verb]]="commit",Log[[#This Row],[Verb]]="carry",Log[[#This Row],[Verb]]="redo"),IF(Log[[#This Row],[Arg]]="",Log[[#This Row],[Sprint]],N(Log[[#This Row],[Arg]])),"")</f>
      </c>
      <c r="J1747" s="17">
        <f>IF(Log[[#This Row],[Verb]]="block",1,IF(OR(Log[[#This Row],[Verb]]="unblock",Log[[#This Row],[Verb]]="done",Log[[#This Row],[Verb]]="drop",Log[[#This Row],[Verb]]="punt",Log[[#This Row],[Verb]]="pass"),0,""))</f>
      </c>
      <c r="K1747" s="17">
        <f>IF(Log[[#This Row],[ID]]="",0,IFERROR(INDEX(Items[Pts],MATCH(Log[[#This Row],[ID]],Items[ID],0))*1,0))</f>
      </c>
      <c r="L1747" s="17">
        <f>IF(Log[[#This Row],[ID]]="","",IFERROR(INDEX(Items[Cur team],MATCH(Log[[#This Row],[ID]],Items[ID],0))&amp;"",""))</f>
      </c>
      <c r="M1747" s="17">
        <f>IF(OR(Log[[#This Row],[Verb]]="done",Log[[#This Row],[Verb]]="punt",Log[[#This Row],[Verb]]="drop",Log[[#This Row],[Verb]]="pass"),Log[[#This Row],[Pts]],0)</f>
      </c>
    </row>
    <row r="1748">
      <c r="A1748" s="11">
        <v>46258</v>
      </c>
      <c r="B1748" t="s">
        <v>918</v>
      </c>
      <c r="C1748" t="s">
        <v>38</v>
      </c>
      <c r="D1748">
        <v>51</v>
      </c>
      <c r="F1748" s="17">
        <f>IF(Log[[#This Row],[ID]]="","",IF(ISNA(MATCH(Log[[#This Row],[ID]],Items[ID],0)),"unknown ID",IF(ISNA(MATCH(Log[[#This Row],[Verb]],VerbList,0)),"unknown verb",IF(Log[[#This Row],[Date]]="","no date",""))))</f>
      </c>
      <c r="G1748" s="17">
        <f>IF(Log[[#This Row],[ID]]="","",IFERROR(VLOOKUP(Log[[#This Row],[Verb]],Verbs,3,FALSE)&amp;"",""))</f>
      </c>
      <c r="H1748" s="17">
        <f>IF(Log[[#This Row],[Date]]="","",INT((Log[[#This Row],[Date]]-Sprint1)/SprintDays)+1)</f>
      </c>
      <c r="I1748" s="17">
        <f>IF(OR(Log[[#This Row],[Verb]]="commit",Log[[#This Row],[Verb]]="carry",Log[[#This Row],[Verb]]="redo"),IF(Log[[#This Row],[Arg]]="",Log[[#This Row],[Sprint]],N(Log[[#This Row],[Arg]])),"")</f>
      </c>
      <c r="J1748" s="17">
        <f>IF(Log[[#This Row],[Verb]]="block",1,IF(OR(Log[[#This Row],[Verb]]="unblock",Log[[#This Row],[Verb]]="done",Log[[#This Row],[Verb]]="drop",Log[[#This Row],[Verb]]="punt",Log[[#This Row],[Verb]]="pass"),0,""))</f>
      </c>
      <c r="K1748" s="17">
        <f>IF(Log[[#This Row],[ID]]="",0,IFERROR(INDEX(Items[Pts],MATCH(Log[[#This Row],[ID]],Items[ID],0))*1,0))</f>
      </c>
      <c r="L1748" s="17">
        <f>IF(Log[[#This Row],[ID]]="","",IFERROR(INDEX(Items[Cur team],MATCH(Log[[#This Row],[ID]],Items[ID],0))&amp;"",""))</f>
      </c>
      <c r="M1748" s="17">
        <f>IF(OR(Log[[#This Row],[Verb]]="done",Log[[#This Row],[Verb]]="punt",Log[[#This Row],[Verb]]="drop",Log[[#This Row],[Verb]]="pass"),Log[[#This Row],[Pts]],0)</f>
      </c>
    </row>
    <row r="1749">
      <c r="A1749" s="11">
        <v>46258</v>
      </c>
      <c r="B1749" t="s">
        <v>919</v>
      </c>
      <c r="C1749" t="s">
        <v>41</v>
      </c>
      <c r="F1749" s="17">
        <f>IF(Log[[#This Row],[ID]]="","",IF(ISNA(MATCH(Log[[#This Row],[ID]],Items[ID],0)),"unknown ID",IF(ISNA(MATCH(Log[[#This Row],[Verb]],VerbList,0)),"unknown verb",IF(Log[[#This Row],[Date]]="","no date",""))))</f>
      </c>
      <c r="G1749" s="17">
        <f>IF(Log[[#This Row],[ID]]="","",IFERROR(VLOOKUP(Log[[#This Row],[Verb]],Verbs,3,FALSE)&amp;"",""))</f>
      </c>
      <c r="H1749" s="17">
        <f>IF(Log[[#This Row],[Date]]="","",INT((Log[[#This Row],[Date]]-Sprint1)/SprintDays)+1)</f>
      </c>
      <c r="I1749" s="17">
        <f>IF(OR(Log[[#This Row],[Verb]]="commit",Log[[#This Row],[Verb]]="carry",Log[[#This Row],[Verb]]="redo"),IF(Log[[#This Row],[Arg]]="",Log[[#This Row],[Sprint]],N(Log[[#This Row],[Arg]])),"")</f>
      </c>
      <c r="J1749" s="17">
        <f>IF(Log[[#This Row],[Verb]]="block",1,IF(OR(Log[[#This Row],[Verb]]="unblock",Log[[#This Row],[Verb]]="done",Log[[#This Row],[Verb]]="drop",Log[[#This Row],[Verb]]="punt",Log[[#This Row],[Verb]]="pass"),0,""))</f>
      </c>
      <c r="K1749" s="17">
        <f>IF(Log[[#This Row],[ID]]="",0,IFERROR(INDEX(Items[Pts],MATCH(Log[[#This Row],[ID]],Items[ID],0))*1,0))</f>
      </c>
      <c r="L1749" s="17">
        <f>IF(Log[[#This Row],[ID]]="","",IFERROR(INDEX(Items[Cur team],MATCH(Log[[#This Row],[ID]],Items[ID],0))&amp;"",""))</f>
      </c>
      <c r="M1749" s="17">
        <f>IF(OR(Log[[#This Row],[Verb]]="done",Log[[#This Row],[Verb]]="punt",Log[[#This Row],[Verb]]="drop",Log[[#This Row],[Verb]]="pass"),Log[[#This Row],[Pts]],0)</f>
      </c>
    </row>
    <row r="1750">
      <c r="A1750" s="11">
        <v>46258</v>
      </c>
      <c r="B1750" t="s">
        <v>920</v>
      </c>
      <c r="C1750" t="s">
        <v>41</v>
      </c>
      <c r="F1750" s="17">
        <f>IF(Log[[#This Row],[ID]]="","",IF(ISNA(MATCH(Log[[#This Row],[ID]],Items[ID],0)),"unknown ID",IF(ISNA(MATCH(Log[[#This Row],[Verb]],VerbList,0)),"unknown verb",IF(Log[[#This Row],[Date]]="","no date",""))))</f>
      </c>
      <c r="G1750" s="17">
        <f>IF(Log[[#This Row],[ID]]="","",IFERROR(VLOOKUP(Log[[#This Row],[Verb]],Verbs,3,FALSE)&amp;"",""))</f>
      </c>
      <c r="H1750" s="17">
        <f>IF(Log[[#This Row],[Date]]="","",INT((Log[[#This Row],[Date]]-Sprint1)/SprintDays)+1)</f>
      </c>
      <c r="I1750" s="17">
        <f>IF(OR(Log[[#This Row],[Verb]]="commit",Log[[#This Row],[Verb]]="carry",Log[[#This Row],[Verb]]="redo"),IF(Log[[#This Row],[Arg]]="",Log[[#This Row],[Sprint]],N(Log[[#This Row],[Arg]])),"")</f>
      </c>
      <c r="J1750" s="17">
        <f>IF(Log[[#This Row],[Verb]]="block",1,IF(OR(Log[[#This Row],[Verb]]="unblock",Log[[#This Row],[Verb]]="done",Log[[#This Row],[Verb]]="drop",Log[[#This Row],[Verb]]="punt",Log[[#This Row],[Verb]]="pass"),0,""))</f>
      </c>
      <c r="K1750" s="17">
        <f>IF(Log[[#This Row],[ID]]="",0,IFERROR(INDEX(Items[Pts],MATCH(Log[[#This Row],[ID]],Items[ID],0))*1,0))</f>
      </c>
      <c r="L1750" s="17">
        <f>IF(Log[[#This Row],[ID]]="","",IFERROR(INDEX(Items[Cur team],MATCH(Log[[#This Row],[ID]],Items[ID],0))&amp;"",""))</f>
      </c>
      <c r="M1750" s="17">
        <f>IF(OR(Log[[#This Row],[Verb]]="done",Log[[#This Row],[Verb]]="punt",Log[[#This Row],[Verb]]="drop",Log[[#This Row],[Verb]]="pass"),Log[[#This Row],[Pts]],0)</f>
      </c>
    </row>
    <row r="1751">
      <c r="A1751" s="11">
        <v>46258</v>
      </c>
      <c r="B1751" t="s">
        <v>921</v>
      </c>
      <c r="C1751" t="s">
        <v>41</v>
      </c>
      <c r="F1751" s="17">
        <f>IF(Log[[#This Row],[ID]]="","",IF(ISNA(MATCH(Log[[#This Row],[ID]],Items[ID],0)),"unknown ID",IF(ISNA(MATCH(Log[[#This Row],[Verb]],VerbList,0)),"unknown verb",IF(Log[[#This Row],[Date]]="","no date",""))))</f>
      </c>
      <c r="G1751" s="17">
        <f>IF(Log[[#This Row],[ID]]="","",IFERROR(VLOOKUP(Log[[#This Row],[Verb]],Verbs,3,FALSE)&amp;"",""))</f>
      </c>
      <c r="H1751" s="17">
        <f>IF(Log[[#This Row],[Date]]="","",INT((Log[[#This Row],[Date]]-Sprint1)/SprintDays)+1)</f>
      </c>
      <c r="I1751" s="17">
        <f>IF(OR(Log[[#This Row],[Verb]]="commit",Log[[#This Row],[Verb]]="carry",Log[[#This Row],[Verb]]="redo"),IF(Log[[#This Row],[Arg]]="",Log[[#This Row],[Sprint]],N(Log[[#This Row],[Arg]])),"")</f>
      </c>
      <c r="J1751" s="17">
        <f>IF(Log[[#This Row],[Verb]]="block",1,IF(OR(Log[[#This Row],[Verb]]="unblock",Log[[#This Row],[Verb]]="done",Log[[#This Row],[Verb]]="drop",Log[[#This Row],[Verb]]="punt",Log[[#This Row],[Verb]]="pass"),0,""))</f>
      </c>
      <c r="K1751" s="17">
        <f>IF(Log[[#This Row],[ID]]="",0,IFERROR(INDEX(Items[Pts],MATCH(Log[[#This Row],[ID]],Items[ID],0))*1,0))</f>
      </c>
      <c r="L1751" s="17">
        <f>IF(Log[[#This Row],[ID]]="","",IFERROR(INDEX(Items[Cur team],MATCH(Log[[#This Row],[ID]],Items[ID],0))&amp;"",""))</f>
      </c>
      <c r="M1751" s="17">
        <f>IF(OR(Log[[#This Row],[Verb]]="done",Log[[#This Row],[Verb]]="punt",Log[[#This Row],[Verb]]="drop",Log[[#This Row],[Verb]]="pass"),Log[[#This Row],[Pts]],0)</f>
      </c>
    </row>
    <row r="1752">
      <c r="A1752" s="11">
        <v>46258</v>
      </c>
      <c r="B1752" t="s">
        <v>790</v>
      </c>
      <c r="C1752" t="s">
        <v>41</v>
      </c>
      <c r="F1752" s="17">
        <f>IF(Log[[#This Row],[ID]]="","",IF(ISNA(MATCH(Log[[#This Row],[ID]],Items[ID],0)),"unknown ID",IF(ISNA(MATCH(Log[[#This Row],[Verb]],VerbList,0)),"unknown verb",IF(Log[[#This Row],[Date]]="","no date",""))))</f>
      </c>
      <c r="G1752" s="17">
        <f>IF(Log[[#This Row],[ID]]="","",IFERROR(VLOOKUP(Log[[#This Row],[Verb]],Verbs,3,FALSE)&amp;"",""))</f>
      </c>
      <c r="H1752" s="17">
        <f>IF(Log[[#This Row],[Date]]="","",INT((Log[[#This Row],[Date]]-Sprint1)/SprintDays)+1)</f>
      </c>
      <c r="I1752" s="17">
        <f>IF(OR(Log[[#This Row],[Verb]]="commit",Log[[#This Row],[Verb]]="carry",Log[[#This Row],[Verb]]="redo"),IF(Log[[#This Row],[Arg]]="",Log[[#This Row],[Sprint]],N(Log[[#This Row],[Arg]])),"")</f>
      </c>
      <c r="J1752" s="17">
        <f>IF(Log[[#This Row],[Verb]]="block",1,IF(OR(Log[[#This Row],[Verb]]="unblock",Log[[#This Row],[Verb]]="done",Log[[#This Row],[Verb]]="drop",Log[[#This Row],[Verb]]="punt",Log[[#This Row],[Verb]]="pass"),0,""))</f>
      </c>
      <c r="K1752" s="17">
        <f>IF(Log[[#This Row],[ID]]="",0,IFERROR(INDEX(Items[Pts],MATCH(Log[[#This Row],[ID]],Items[ID],0))*1,0))</f>
      </c>
      <c r="L1752" s="17">
        <f>IF(Log[[#This Row],[ID]]="","",IFERROR(INDEX(Items[Cur team],MATCH(Log[[#This Row],[ID]],Items[ID],0))&amp;"",""))</f>
      </c>
      <c r="M1752" s="17">
        <f>IF(OR(Log[[#This Row],[Verb]]="done",Log[[#This Row],[Verb]]="punt",Log[[#This Row],[Verb]]="drop",Log[[#This Row],[Verb]]="pass"),Log[[#This Row],[Pts]],0)</f>
      </c>
    </row>
    <row r="1753">
      <c r="A1753" s="11">
        <v>46258</v>
      </c>
      <c r="B1753" t="s">
        <v>792</v>
      </c>
      <c r="C1753" t="s">
        <v>41</v>
      </c>
      <c r="F1753" s="17">
        <f>IF(Log[[#This Row],[ID]]="","",IF(ISNA(MATCH(Log[[#This Row],[ID]],Items[ID],0)),"unknown ID",IF(ISNA(MATCH(Log[[#This Row],[Verb]],VerbList,0)),"unknown verb",IF(Log[[#This Row],[Date]]="","no date",""))))</f>
      </c>
      <c r="G1753" s="17">
        <f>IF(Log[[#This Row],[ID]]="","",IFERROR(VLOOKUP(Log[[#This Row],[Verb]],Verbs,3,FALSE)&amp;"",""))</f>
      </c>
      <c r="H1753" s="17">
        <f>IF(Log[[#This Row],[Date]]="","",INT((Log[[#This Row],[Date]]-Sprint1)/SprintDays)+1)</f>
      </c>
      <c r="I1753" s="17">
        <f>IF(OR(Log[[#This Row],[Verb]]="commit",Log[[#This Row],[Verb]]="carry",Log[[#This Row],[Verb]]="redo"),IF(Log[[#This Row],[Arg]]="",Log[[#This Row],[Sprint]],N(Log[[#This Row],[Arg]])),"")</f>
      </c>
      <c r="J1753" s="17">
        <f>IF(Log[[#This Row],[Verb]]="block",1,IF(OR(Log[[#This Row],[Verb]]="unblock",Log[[#This Row],[Verb]]="done",Log[[#This Row],[Verb]]="drop",Log[[#This Row],[Verb]]="punt",Log[[#This Row],[Verb]]="pass"),0,""))</f>
      </c>
      <c r="K1753" s="17">
        <f>IF(Log[[#This Row],[ID]]="",0,IFERROR(INDEX(Items[Pts],MATCH(Log[[#This Row],[ID]],Items[ID],0))*1,0))</f>
      </c>
      <c r="L1753" s="17">
        <f>IF(Log[[#This Row],[ID]]="","",IFERROR(INDEX(Items[Cur team],MATCH(Log[[#This Row],[ID]],Items[ID],0))&amp;"",""))</f>
      </c>
      <c r="M1753" s="17">
        <f>IF(OR(Log[[#This Row],[Verb]]="done",Log[[#This Row],[Verb]]="punt",Log[[#This Row],[Verb]]="drop",Log[[#This Row],[Verb]]="pass"),Log[[#This Row],[Pts]],0)</f>
      </c>
    </row>
    <row r="1754">
      <c r="A1754" s="11">
        <v>46258</v>
      </c>
      <c r="B1754" t="s">
        <v>922</v>
      </c>
      <c r="C1754" t="s">
        <v>41</v>
      </c>
      <c r="F1754" s="17">
        <f>IF(Log[[#This Row],[ID]]="","",IF(ISNA(MATCH(Log[[#This Row],[ID]],Items[ID],0)),"unknown ID",IF(ISNA(MATCH(Log[[#This Row],[Verb]],VerbList,0)),"unknown verb",IF(Log[[#This Row],[Date]]="","no date",""))))</f>
      </c>
      <c r="G1754" s="17">
        <f>IF(Log[[#This Row],[ID]]="","",IFERROR(VLOOKUP(Log[[#This Row],[Verb]],Verbs,3,FALSE)&amp;"",""))</f>
      </c>
      <c r="H1754" s="17">
        <f>IF(Log[[#This Row],[Date]]="","",INT((Log[[#This Row],[Date]]-Sprint1)/SprintDays)+1)</f>
      </c>
      <c r="I1754" s="17">
        <f>IF(OR(Log[[#This Row],[Verb]]="commit",Log[[#This Row],[Verb]]="carry",Log[[#This Row],[Verb]]="redo"),IF(Log[[#This Row],[Arg]]="",Log[[#This Row],[Sprint]],N(Log[[#This Row],[Arg]])),"")</f>
      </c>
      <c r="J1754" s="17">
        <f>IF(Log[[#This Row],[Verb]]="block",1,IF(OR(Log[[#This Row],[Verb]]="unblock",Log[[#This Row],[Verb]]="done",Log[[#This Row],[Verb]]="drop",Log[[#This Row],[Verb]]="punt",Log[[#This Row],[Verb]]="pass"),0,""))</f>
      </c>
      <c r="K1754" s="17">
        <f>IF(Log[[#This Row],[ID]]="",0,IFERROR(INDEX(Items[Pts],MATCH(Log[[#This Row],[ID]],Items[ID],0))*1,0))</f>
      </c>
      <c r="L1754" s="17">
        <f>IF(Log[[#This Row],[ID]]="","",IFERROR(INDEX(Items[Cur team],MATCH(Log[[#This Row],[ID]],Items[ID],0))&amp;"",""))</f>
      </c>
      <c r="M1754" s="17">
        <f>IF(OR(Log[[#This Row],[Verb]]="done",Log[[#This Row],[Verb]]="punt",Log[[#This Row],[Verb]]="drop",Log[[#This Row],[Verb]]="pass"),Log[[#This Row],[Pts]],0)</f>
      </c>
    </row>
    <row r="1755">
      <c r="A1755" s="11">
        <v>46258</v>
      </c>
      <c r="B1755" t="s">
        <v>923</v>
      </c>
      <c r="C1755" t="s">
        <v>41</v>
      </c>
      <c r="F1755" s="17">
        <f>IF(Log[[#This Row],[ID]]="","",IF(ISNA(MATCH(Log[[#This Row],[ID]],Items[ID],0)),"unknown ID",IF(ISNA(MATCH(Log[[#This Row],[Verb]],VerbList,0)),"unknown verb",IF(Log[[#This Row],[Date]]="","no date",""))))</f>
      </c>
      <c r="G1755" s="17">
        <f>IF(Log[[#This Row],[ID]]="","",IFERROR(VLOOKUP(Log[[#This Row],[Verb]],Verbs,3,FALSE)&amp;"",""))</f>
      </c>
      <c r="H1755" s="17">
        <f>IF(Log[[#This Row],[Date]]="","",INT((Log[[#This Row],[Date]]-Sprint1)/SprintDays)+1)</f>
      </c>
      <c r="I1755" s="17">
        <f>IF(OR(Log[[#This Row],[Verb]]="commit",Log[[#This Row],[Verb]]="carry",Log[[#This Row],[Verb]]="redo"),IF(Log[[#This Row],[Arg]]="",Log[[#This Row],[Sprint]],N(Log[[#This Row],[Arg]])),"")</f>
      </c>
      <c r="J1755" s="17">
        <f>IF(Log[[#This Row],[Verb]]="block",1,IF(OR(Log[[#This Row],[Verb]]="unblock",Log[[#This Row],[Verb]]="done",Log[[#This Row],[Verb]]="drop",Log[[#This Row],[Verb]]="punt",Log[[#This Row],[Verb]]="pass"),0,""))</f>
      </c>
      <c r="K1755" s="17">
        <f>IF(Log[[#This Row],[ID]]="",0,IFERROR(INDEX(Items[Pts],MATCH(Log[[#This Row],[ID]],Items[ID],0))*1,0))</f>
      </c>
      <c r="L1755" s="17">
        <f>IF(Log[[#This Row],[ID]]="","",IFERROR(INDEX(Items[Cur team],MATCH(Log[[#This Row],[ID]],Items[ID],0))&amp;"",""))</f>
      </c>
      <c r="M1755" s="17">
        <f>IF(OR(Log[[#This Row],[Verb]]="done",Log[[#This Row],[Verb]]="punt",Log[[#This Row],[Verb]]="drop",Log[[#This Row],[Verb]]="pass"),Log[[#This Row],[Pts]],0)</f>
      </c>
    </row>
    <row r="1756">
      <c r="A1756" s="11">
        <v>46258</v>
      </c>
      <c r="B1756" t="s">
        <v>924</v>
      </c>
      <c r="C1756" t="s">
        <v>41</v>
      </c>
      <c r="F1756" s="17">
        <f>IF(Log[[#This Row],[ID]]="","",IF(ISNA(MATCH(Log[[#This Row],[ID]],Items[ID],0)),"unknown ID",IF(ISNA(MATCH(Log[[#This Row],[Verb]],VerbList,0)),"unknown verb",IF(Log[[#This Row],[Date]]="","no date",""))))</f>
      </c>
      <c r="G1756" s="17">
        <f>IF(Log[[#This Row],[ID]]="","",IFERROR(VLOOKUP(Log[[#This Row],[Verb]],Verbs,3,FALSE)&amp;"",""))</f>
      </c>
      <c r="H1756" s="17">
        <f>IF(Log[[#This Row],[Date]]="","",INT((Log[[#This Row],[Date]]-Sprint1)/SprintDays)+1)</f>
      </c>
      <c r="I1756" s="17">
        <f>IF(OR(Log[[#This Row],[Verb]]="commit",Log[[#This Row],[Verb]]="carry",Log[[#This Row],[Verb]]="redo"),IF(Log[[#This Row],[Arg]]="",Log[[#This Row],[Sprint]],N(Log[[#This Row],[Arg]])),"")</f>
      </c>
      <c r="J1756" s="17">
        <f>IF(Log[[#This Row],[Verb]]="block",1,IF(OR(Log[[#This Row],[Verb]]="unblock",Log[[#This Row],[Verb]]="done",Log[[#This Row],[Verb]]="drop",Log[[#This Row],[Verb]]="punt",Log[[#This Row],[Verb]]="pass"),0,""))</f>
      </c>
      <c r="K1756" s="17">
        <f>IF(Log[[#This Row],[ID]]="",0,IFERROR(INDEX(Items[Pts],MATCH(Log[[#This Row],[ID]],Items[ID],0))*1,0))</f>
      </c>
      <c r="L1756" s="17">
        <f>IF(Log[[#This Row],[ID]]="","",IFERROR(INDEX(Items[Cur team],MATCH(Log[[#This Row],[ID]],Items[ID],0))&amp;"",""))</f>
      </c>
      <c r="M1756" s="17">
        <f>IF(OR(Log[[#This Row],[Verb]]="done",Log[[#This Row],[Verb]]="punt",Log[[#This Row],[Verb]]="drop",Log[[#This Row],[Verb]]="pass"),Log[[#This Row],[Pts]],0)</f>
      </c>
    </row>
    <row r="1757">
      <c r="A1757" s="11">
        <v>46258</v>
      </c>
      <c r="B1757" t="s">
        <v>925</v>
      </c>
      <c r="C1757" t="s">
        <v>41</v>
      </c>
      <c r="F1757" s="17">
        <f>IF(Log[[#This Row],[ID]]="","",IF(ISNA(MATCH(Log[[#This Row],[ID]],Items[ID],0)),"unknown ID",IF(ISNA(MATCH(Log[[#This Row],[Verb]],VerbList,0)),"unknown verb",IF(Log[[#This Row],[Date]]="","no date",""))))</f>
      </c>
      <c r="G1757" s="17">
        <f>IF(Log[[#This Row],[ID]]="","",IFERROR(VLOOKUP(Log[[#This Row],[Verb]],Verbs,3,FALSE)&amp;"",""))</f>
      </c>
      <c r="H1757" s="17">
        <f>IF(Log[[#This Row],[Date]]="","",INT((Log[[#This Row],[Date]]-Sprint1)/SprintDays)+1)</f>
      </c>
      <c r="I1757" s="17">
        <f>IF(OR(Log[[#This Row],[Verb]]="commit",Log[[#This Row],[Verb]]="carry",Log[[#This Row],[Verb]]="redo"),IF(Log[[#This Row],[Arg]]="",Log[[#This Row],[Sprint]],N(Log[[#This Row],[Arg]])),"")</f>
      </c>
      <c r="J1757" s="17">
        <f>IF(Log[[#This Row],[Verb]]="block",1,IF(OR(Log[[#This Row],[Verb]]="unblock",Log[[#This Row],[Verb]]="done",Log[[#This Row],[Verb]]="drop",Log[[#This Row],[Verb]]="punt",Log[[#This Row],[Verb]]="pass"),0,""))</f>
      </c>
      <c r="K1757" s="17">
        <f>IF(Log[[#This Row],[ID]]="",0,IFERROR(INDEX(Items[Pts],MATCH(Log[[#This Row],[ID]],Items[ID],0))*1,0))</f>
      </c>
      <c r="L1757" s="17">
        <f>IF(Log[[#This Row],[ID]]="","",IFERROR(INDEX(Items[Cur team],MATCH(Log[[#This Row],[ID]],Items[ID],0))&amp;"",""))</f>
      </c>
      <c r="M1757" s="17">
        <f>IF(OR(Log[[#This Row],[Verb]]="done",Log[[#This Row],[Verb]]="punt",Log[[#This Row],[Verb]]="drop",Log[[#This Row],[Verb]]="pass"),Log[[#This Row],[Pts]],0)</f>
      </c>
    </row>
    <row r="1758">
      <c r="A1758" s="11">
        <v>46258</v>
      </c>
      <c r="B1758" t="s">
        <v>926</v>
      </c>
      <c r="C1758" t="s">
        <v>41</v>
      </c>
      <c r="F1758" s="17">
        <f>IF(Log[[#This Row],[ID]]="","",IF(ISNA(MATCH(Log[[#This Row],[ID]],Items[ID],0)),"unknown ID",IF(ISNA(MATCH(Log[[#This Row],[Verb]],VerbList,0)),"unknown verb",IF(Log[[#This Row],[Date]]="","no date",""))))</f>
      </c>
      <c r="G1758" s="17">
        <f>IF(Log[[#This Row],[ID]]="","",IFERROR(VLOOKUP(Log[[#This Row],[Verb]],Verbs,3,FALSE)&amp;"",""))</f>
      </c>
      <c r="H1758" s="17">
        <f>IF(Log[[#This Row],[Date]]="","",INT((Log[[#This Row],[Date]]-Sprint1)/SprintDays)+1)</f>
      </c>
      <c r="I1758" s="17">
        <f>IF(OR(Log[[#This Row],[Verb]]="commit",Log[[#This Row],[Verb]]="carry",Log[[#This Row],[Verb]]="redo"),IF(Log[[#This Row],[Arg]]="",Log[[#This Row],[Sprint]],N(Log[[#This Row],[Arg]])),"")</f>
      </c>
      <c r="J1758" s="17">
        <f>IF(Log[[#This Row],[Verb]]="block",1,IF(OR(Log[[#This Row],[Verb]]="unblock",Log[[#This Row],[Verb]]="done",Log[[#This Row],[Verb]]="drop",Log[[#This Row],[Verb]]="punt",Log[[#This Row],[Verb]]="pass"),0,""))</f>
      </c>
      <c r="K1758" s="17">
        <f>IF(Log[[#This Row],[ID]]="",0,IFERROR(INDEX(Items[Pts],MATCH(Log[[#This Row],[ID]],Items[ID],0))*1,0))</f>
      </c>
      <c r="L1758" s="17">
        <f>IF(Log[[#This Row],[ID]]="","",IFERROR(INDEX(Items[Cur team],MATCH(Log[[#This Row],[ID]],Items[ID],0))&amp;"",""))</f>
      </c>
      <c r="M1758" s="17">
        <f>IF(OR(Log[[#This Row],[Verb]]="done",Log[[#This Row],[Verb]]="punt",Log[[#This Row],[Verb]]="drop",Log[[#This Row],[Verb]]="pass"),Log[[#This Row],[Pts]],0)</f>
      </c>
    </row>
    <row r="1759">
      <c r="A1759" s="11">
        <v>46258</v>
      </c>
      <c r="B1759" t="s">
        <v>927</v>
      </c>
      <c r="C1759" t="s">
        <v>41</v>
      </c>
      <c r="F1759" s="17">
        <f>IF(Log[[#This Row],[ID]]="","",IF(ISNA(MATCH(Log[[#This Row],[ID]],Items[ID],0)),"unknown ID",IF(ISNA(MATCH(Log[[#This Row],[Verb]],VerbList,0)),"unknown verb",IF(Log[[#This Row],[Date]]="","no date",""))))</f>
      </c>
      <c r="G1759" s="17">
        <f>IF(Log[[#This Row],[ID]]="","",IFERROR(VLOOKUP(Log[[#This Row],[Verb]],Verbs,3,FALSE)&amp;"",""))</f>
      </c>
      <c r="H1759" s="17">
        <f>IF(Log[[#This Row],[Date]]="","",INT((Log[[#This Row],[Date]]-Sprint1)/SprintDays)+1)</f>
      </c>
      <c r="I1759" s="17">
        <f>IF(OR(Log[[#This Row],[Verb]]="commit",Log[[#This Row],[Verb]]="carry",Log[[#This Row],[Verb]]="redo"),IF(Log[[#This Row],[Arg]]="",Log[[#This Row],[Sprint]],N(Log[[#This Row],[Arg]])),"")</f>
      </c>
      <c r="J1759" s="17">
        <f>IF(Log[[#This Row],[Verb]]="block",1,IF(OR(Log[[#This Row],[Verb]]="unblock",Log[[#This Row],[Verb]]="done",Log[[#This Row],[Verb]]="drop",Log[[#This Row],[Verb]]="punt",Log[[#This Row],[Verb]]="pass"),0,""))</f>
      </c>
      <c r="K1759" s="17">
        <f>IF(Log[[#This Row],[ID]]="",0,IFERROR(INDEX(Items[Pts],MATCH(Log[[#This Row],[ID]],Items[ID],0))*1,0))</f>
      </c>
      <c r="L1759" s="17">
        <f>IF(Log[[#This Row],[ID]]="","",IFERROR(INDEX(Items[Cur team],MATCH(Log[[#This Row],[ID]],Items[ID],0))&amp;"",""))</f>
      </c>
      <c r="M1759" s="17">
        <f>IF(OR(Log[[#This Row],[Verb]]="done",Log[[#This Row],[Verb]]="punt",Log[[#This Row],[Verb]]="drop",Log[[#This Row],[Verb]]="pass"),Log[[#This Row],[Pts]],0)</f>
      </c>
    </row>
    <row r="1760">
      <c r="A1760" s="11">
        <v>46258</v>
      </c>
      <c r="B1760" t="s">
        <v>865</v>
      </c>
      <c r="C1760" t="s">
        <v>38</v>
      </c>
      <c r="D1760">
        <v>51</v>
      </c>
      <c r="F1760" s="17">
        <f>IF(Log[[#This Row],[ID]]="","",IF(ISNA(MATCH(Log[[#This Row],[ID]],Items[ID],0)),"unknown ID",IF(ISNA(MATCH(Log[[#This Row],[Verb]],VerbList,0)),"unknown verb",IF(Log[[#This Row],[Date]]="","no date",""))))</f>
      </c>
      <c r="G1760" s="17">
        <f>IF(Log[[#This Row],[ID]]="","",IFERROR(VLOOKUP(Log[[#This Row],[Verb]],Verbs,3,FALSE)&amp;"",""))</f>
      </c>
      <c r="H1760" s="17">
        <f>IF(Log[[#This Row],[Date]]="","",INT((Log[[#This Row],[Date]]-Sprint1)/SprintDays)+1)</f>
      </c>
      <c r="I1760" s="17">
        <f>IF(OR(Log[[#This Row],[Verb]]="commit",Log[[#This Row],[Verb]]="carry",Log[[#This Row],[Verb]]="redo"),IF(Log[[#This Row],[Arg]]="",Log[[#This Row],[Sprint]],N(Log[[#This Row],[Arg]])),"")</f>
      </c>
      <c r="J1760" s="17">
        <f>IF(Log[[#This Row],[Verb]]="block",1,IF(OR(Log[[#This Row],[Verb]]="unblock",Log[[#This Row],[Verb]]="done",Log[[#This Row],[Verb]]="drop",Log[[#This Row],[Verb]]="punt",Log[[#This Row],[Verb]]="pass"),0,""))</f>
      </c>
      <c r="K1760" s="17">
        <f>IF(Log[[#This Row],[ID]]="",0,IFERROR(INDEX(Items[Pts],MATCH(Log[[#This Row],[ID]],Items[ID],0))*1,0))</f>
      </c>
      <c r="L1760" s="17">
        <f>IF(Log[[#This Row],[ID]]="","",IFERROR(INDEX(Items[Cur team],MATCH(Log[[#This Row],[ID]],Items[ID],0))&amp;"",""))</f>
      </c>
      <c r="M1760" s="17">
        <f>IF(OR(Log[[#This Row],[Verb]]="done",Log[[#This Row],[Verb]]="punt",Log[[#This Row],[Verb]]="drop",Log[[#This Row],[Verb]]="pass"),Log[[#This Row],[Pts]],0)</f>
      </c>
    </row>
    <row r="1761">
      <c r="A1761" s="11">
        <v>46258</v>
      </c>
      <c r="B1761" t="s">
        <v>928</v>
      </c>
      <c r="C1761" t="s">
        <v>41</v>
      </c>
      <c r="F1761" s="17">
        <f>IF(Log[[#This Row],[ID]]="","",IF(ISNA(MATCH(Log[[#This Row],[ID]],Items[ID],0)),"unknown ID",IF(ISNA(MATCH(Log[[#This Row],[Verb]],VerbList,0)),"unknown verb",IF(Log[[#This Row],[Date]]="","no date",""))))</f>
      </c>
      <c r="G1761" s="17">
        <f>IF(Log[[#This Row],[ID]]="","",IFERROR(VLOOKUP(Log[[#This Row],[Verb]],Verbs,3,FALSE)&amp;"",""))</f>
      </c>
      <c r="H1761" s="17">
        <f>IF(Log[[#This Row],[Date]]="","",INT((Log[[#This Row],[Date]]-Sprint1)/SprintDays)+1)</f>
      </c>
      <c r="I1761" s="17">
        <f>IF(OR(Log[[#This Row],[Verb]]="commit",Log[[#This Row],[Verb]]="carry",Log[[#This Row],[Verb]]="redo"),IF(Log[[#This Row],[Arg]]="",Log[[#This Row],[Sprint]],N(Log[[#This Row],[Arg]])),"")</f>
      </c>
      <c r="J1761" s="17">
        <f>IF(Log[[#This Row],[Verb]]="block",1,IF(OR(Log[[#This Row],[Verb]]="unblock",Log[[#This Row],[Verb]]="done",Log[[#This Row],[Verb]]="drop",Log[[#This Row],[Verb]]="punt",Log[[#This Row],[Verb]]="pass"),0,""))</f>
      </c>
      <c r="K1761" s="17">
        <f>IF(Log[[#This Row],[ID]]="",0,IFERROR(INDEX(Items[Pts],MATCH(Log[[#This Row],[ID]],Items[ID],0))*1,0))</f>
      </c>
      <c r="L1761" s="17">
        <f>IF(Log[[#This Row],[ID]]="","",IFERROR(INDEX(Items[Cur team],MATCH(Log[[#This Row],[ID]],Items[ID],0))&amp;"",""))</f>
      </c>
      <c r="M1761" s="17">
        <f>IF(OR(Log[[#This Row],[Verb]]="done",Log[[#This Row],[Verb]]="punt",Log[[#This Row],[Verb]]="drop",Log[[#This Row],[Verb]]="pass"),Log[[#This Row],[Pts]],0)</f>
      </c>
    </row>
    <row r="1762">
      <c r="A1762" s="11">
        <v>46258</v>
      </c>
      <c r="B1762" t="s">
        <v>929</v>
      </c>
      <c r="C1762" t="s">
        <v>41</v>
      </c>
      <c r="F1762" s="17">
        <f>IF(Log[[#This Row],[ID]]="","",IF(ISNA(MATCH(Log[[#This Row],[ID]],Items[ID],0)),"unknown ID",IF(ISNA(MATCH(Log[[#This Row],[Verb]],VerbList,0)),"unknown verb",IF(Log[[#This Row],[Date]]="","no date",""))))</f>
      </c>
      <c r="G1762" s="17">
        <f>IF(Log[[#This Row],[ID]]="","",IFERROR(VLOOKUP(Log[[#This Row],[Verb]],Verbs,3,FALSE)&amp;"",""))</f>
      </c>
      <c r="H1762" s="17">
        <f>IF(Log[[#This Row],[Date]]="","",INT((Log[[#This Row],[Date]]-Sprint1)/SprintDays)+1)</f>
      </c>
      <c r="I1762" s="17">
        <f>IF(OR(Log[[#This Row],[Verb]]="commit",Log[[#This Row],[Verb]]="carry",Log[[#This Row],[Verb]]="redo"),IF(Log[[#This Row],[Arg]]="",Log[[#This Row],[Sprint]],N(Log[[#This Row],[Arg]])),"")</f>
      </c>
      <c r="J1762" s="17">
        <f>IF(Log[[#This Row],[Verb]]="block",1,IF(OR(Log[[#This Row],[Verb]]="unblock",Log[[#This Row],[Verb]]="done",Log[[#This Row],[Verb]]="drop",Log[[#This Row],[Verb]]="punt",Log[[#This Row],[Verb]]="pass"),0,""))</f>
      </c>
      <c r="K1762" s="17">
        <f>IF(Log[[#This Row],[ID]]="",0,IFERROR(INDEX(Items[Pts],MATCH(Log[[#This Row],[ID]],Items[ID],0))*1,0))</f>
      </c>
      <c r="L1762" s="17">
        <f>IF(Log[[#This Row],[ID]]="","",IFERROR(INDEX(Items[Cur team],MATCH(Log[[#This Row],[ID]],Items[ID],0))&amp;"",""))</f>
      </c>
      <c r="M1762" s="17">
        <f>IF(OR(Log[[#This Row],[Verb]]="done",Log[[#This Row],[Verb]]="punt",Log[[#This Row],[Verb]]="drop",Log[[#This Row],[Verb]]="pass"),Log[[#This Row],[Pts]],0)</f>
      </c>
    </row>
    <row r="1763">
      <c r="A1763" s="11">
        <v>46258</v>
      </c>
      <c r="B1763" t="s">
        <v>930</v>
      </c>
      <c r="C1763" t="s">
        <v>41</v>
      </c>
      <c r="F1763" s="17">
        <f>IF(Log[[#This Row],[ID]]="","",IF(ISNA(MATCH(Log[[#This Row],[ID]],Items[ID],0)),"unknown ID",IF(ISNA(MATCH(Log[[#This Row],[Verb]],VerbList,0)),"unknown verb",IF(Log[[#This Row],[Date]]="","no date",""))))</f>
      </c>
      <c r="G1763" s="17">
        <f>IF(Log[[#This Row],[ID]]="","",IFERROR(VLOOKUP(Log[[#This Row],[Verb]],Verbs,3,FALSE)&amp;"",""))</f>
      </c>
      <c r="H1763" s="17">
        <f>IF(Log[[#This Row],[Date]]="","",INT((Log[[#This Row],[Date]]-Sprint1)/SprintDays)+1)</f>
      </c>
      <c r="I1763" s="17">
        <f>IF(OR(Log[[#This Row],[Verb]]="commit",Log[[#This Row],[Verb]]="carry",Log[[#This Row],[Verb]]="redo"),IF(Log[[#This Row],[Arg]]="",Log[[#This Row],[Sprint]],N(Log[[#This Row],[Arg]])),"")</f>
      </c>
      <c r="J1763" s="17">
        <f>IF(Log[[#This Row],[Verb]]="block",1,IF(OR(Log[[#This Row],[Verb]]="unblock",Log[[#This Row],[Verb]]="done",Log[[#This Row],[Verb]]="drop",Log[[#This Row],[Verb]]="punt",Log[[#This Row],[Verb]]="pass"),0,""))</f>
      </c>
      <c r="K1763" s="17">
        <f>IF(Log[[#This Row],[ID]]="",0,IFERROR(INDEX(Items[Pts],MATCH(Log[[#This Row],[ID]],Items[ID],0))*1,0))</f>
      </c>
      <c r="L1763" s="17">
        <f>IF(Log[[#This Row],[ID]]="","",IFERROR(INDEX(Items[Cur team],MATCH(Log[[#This Row],[ID]],Items[ID],0))&amp;"",""))</f>
      </c>
      <c r="M1763" s="17">
        <f>IF(OR(Log[[#This Row],[Verb]]="done",Log[[#This Row],[Verb]]="punt",Log[[#This Row],[Verb]]="drop",Log[[#This Row],[Verb]]="pass"),Log[[#This Row],[Pts]],0)</f>
      </c>
    </row>
    <row r="1764">
      <c r="A1764" s="11">
        <v>46258</v>
      </c>
      <c r="B1764" t="s">
        <v>931</v>
      </c>
      <c r="C1764" t="s">
        <v>41</v>
      </c>
      <c r="F1764" s="17">
        <f>IF(Log[[#This Row],[ID]]="","",IF(ISNA(MATCH(Log[[#This Row],[ID]],Items[ID],0)),"unknown ID",IF(ISNA(MATCH(Log[[#This Row],[Verb]],VerbList,0)),"unknown verb",IF(Log[[#This Row],[Date]]="","no date",""))))</f>
      </c>
      <c r="G1764" s="17">
        <f>IF(Log[[#This Row],[ID]]="","",IFERROR(VLOOKUP(Log[[#This Row],[Verb]],Verbs,3,FALSE)&amp;"",""))</f>
      </c>
      <c r="H1764" s="17">
        <f>IF(Log[[#This Row],[Date]]="","",INT((Log[[#This Row],[Date]]-Sprint1)/SprintDays)+1)</f>
      </c>
      <c r="I1764" s="17">
        <f>IF(OR(Log[[#This Row],[Verb]]="commit",Log[[#This Row],[Verb]]="carry",Log[[#This Row],[Verb]]="redo"),IF(Log[[#This Row],[Arg]]="",Log[[#This Row],[Sprint]],N(Log[[#This Row],[Arg]])),"")</f>
      </c>
      <c r="J1764" s="17">
        <f>IF(Log[[#This Row],[Verb]]="block",1,IF(OR(Log[[#This Row],[Verb]]="unblock",Log[[#This Row],[Verb]]="done",Log[[#This Row],[Verb]]="drop",Log[[#This Row],[Verb]]="punt",Log[[#This Row],[Verb]]="pass"),0,""))</f>
      </c>
      <c r="K1764" s="17">
        <f>IF(Log[[#This Row],[ID]]="",0,IFERROR(INDEX(Items[Pts],MATCH(Log[[#This Row],[ID]],Items[ID],0))*1,0))</f>
      </c>
      <c r="L1764" s="17">
        <f>IF(Log[[#This Row],[ID]]="","",IFERROR(INDEX(Items[Cur team],MATCH(Log[[#This Row],[ID]],Items[ID],0))&amp;"",""))</f>
      </c>
      <c r="M1764" s="17">
        <f>IF(OR(Log[[#This Row],[Verb]]="done",Log[[#This Row],[Verb]]="punt",Log[[#This Row],[Verb]]="drop",Log[[#This Row],[Verb]]="pass"),Log[[#This Row],[Pts]],0)</f>
      </c>
    </row>
    <row r="1765">
      <c r="A1765" s="11">
        <v>46258</v>
      </c>
      <c r="B1765" t="s">
        <v>932</v>
      </c>
      <c r="C1765" t="s">
        <v>41</v>
      </c>
      <c r="F1765" s="17">
        <f>IF(Log[[#This Row],[ID]]="","",IF(ISNA(MATCH(Log[[#This Row],[ID]],Items[ID],0)),"unknown ID",IF(ISNA(MATCH(Log[[#This Row],[Verb]],VerbList,0)),"unknown verb",IF(Log[[#This Row],[Date]]="","no date",""))))</f>
      </c>
      <c r="G1765" s="17">
        <f>IF(Log[[#This Row],[ID]]="","",IFERROR(VLOOKUP(Log[[#This Row],[Verb]],Verbs,3,FALSE)&amp;"",""))</f>
      </c>
      <c r="H1765" s="17">
        <f>IF(Log[[#This Row],[Date]]="","",INT((Log[[#This Row],[Date]]-Sprint1)/SprintDays)+1)</f>
      </c>
      <c r="I1765" s="17">
        <f>IF(OR(Log[[#This Row],[Verb]]="commit",Log[[#This Row],[Verb]]="carry",Log[[#This Row],[Verb]]="redo"),IF(Log[[#This Row],[Arg]]="",Log[[#This Row],[Sprint]],N(Log[[#This Row],[Arg]])),"")</f>
      </c>
      <c r="J1765" s="17">
        <f>IF(Log[[#This Row],[Verb]]="block",1,IF(OR(Log[[#This Row],[Verb]]="unblock",Log[[#This Row],[Verb]]="done",Log[[#This Row],[Verb]]="drop",Log[[#This Row],[Verb]]="punt",Log[[#This Row],[Verb]]="pass"),0,""))</f>
      </c>
      <c r="K1765" s="17">
        <f>IF(Log[[#This Row],[ID]]="",0,IFERROR(INDEX(Items[Pts],MATCH(Log[[#This Row],[ID]],Items[ID],0))*1,0))</f>
      </c>
      <c r="L1765" s="17">
        <f>IF(Log[[#This Row],[ID]]="","",IFERROR(INDEX(Items[Cur team],MATCH(Log[[#This Row],[ID]],Items[ID],0))&amp;"",""))</f>
      </c>
      <c r="M1765" s="17">
        <f>IF(OR(Log[[#This Row],[Verb]]="done",Log[[#This Row],[Verb]]="punt",Log[[#This Row],[Verb]]="drop",Log[[#This Row],[Verb]]="pass"),Log[[#This Row],[Pts]],0)</f>
      </c>
    </row>
    <row r="1766">
      <c r="A1766" s="11">
        <v>46258</v>
      </c>
      <c r="B1766" t="s">
        <v>873</v>
      </c>
      <c r="C1766" t="s">
        <v>41</v>
      </c>
      <c r="F1766" s="17">
        <f>IF(Log[[#This Row],[ID]]="","",IF(ISNA(MATCH(Log[[#This Row],[ID]],Items[ID],0)),"unknown ID",IF(ISNA(MATCH(Log[[#This Row],[Verb]],VerbList,0)),"unknown verb",IF(Log[[#This Row],[Date]]="","no date",""))))</f>
      </c>
      <c r="G1766" s="17">
        <f>IF(Log[[#This Row],[ID]]="","",IFERROR(VLOOKUP(Log[[#This Row],[Verb]],Verbs,3,FALSE)&amp;"",""))</f>
      </c>
      <c r="H1766" s="17">
        <f>IF(Log[[#This Row],[Date]]="","",INT((Log[[#This Row],[Date]]-Sprint1)/SprintDays)+1)</f>
      </c>
      <c r="I1766" s="17">
        <f>IF(OR(Log[[#This Row],[Verb]]="commit",Log[[#This Row],[Verb]]="carry",Log[[#This Row],[Verb]]="redo"),IF(Log[[#This Row],[Arg]]="",Log[[#This Row],[Sprint]],N(Log[[#This Row],[Arg]])),"")</f>
      </c>
      <c r="J1766" s="17">
        <f>IF(Log[[#This Row],[Verb]]="block",1,IF(OR(Log[[#This Row],[Verb]]="unblock",Log[[#This Row],[Verb]]="done",Log[[#This Row],[Verb]]="drop",Log[[#This Row],[Verb]]="punt",Log[[#This Row],[Verb]]="pass"),0,""))</f>
      </c>
      <c r="K1766" s="17">
        <f>IF(Log[[#This Row],[ID]]="",0,IFERROR(INDEX(Items[Pts],MATCH(Log[[#This Row],[ID]],Items[ID],0))*1,0))</f>
      </c>
      <c r="L1766" s="17">
        <f>IF(Log[[#This Row],[ID]]="","",IFERROR(INDEX(Items[Cur team],MATCH(Log[[#This Row],[ID]],Items[ID],0))&amp;"",""))</f>
      </c>
      <c r="M1766" s="17">
        <f>IF(OR(Log[[#This Row],[Verb]]="done",Log[[#This Row],[Verb]]="punt",Log[[#This Row],[Verb]]="drop",Log[[#This Row],[Verb]]="pass"),Log[[#This Row],[Pts]],0)</f>
      </c>
    </row>
    <row r="1767">
      <c r="A1767" s="11">
        <v>46258</v>
      </c>
      <c r="B1767" t="s">
        <v>874</v>
      </c>
      <c r="C1767" t="s">
        <v>41</v>
      </c>
      <c r="F1767" s="17">
        <f>IF(Log[[#This Row],[ID]]="","",IF(ISNA(MATCH(Log[[#This Row],[ID]],Items[ID],0)),"unknown ID",IF(ISNA(MATCH(Log[[#This Row],[Verb]],VerbList,0)),"unknown verb",IF(Log[[#This Row],[Date]]="","no date",""))))</f>
      </c>
      <c r="G1767" s="17">
        <f>IF(Log[[#This Row],[ID]]="","",IFERROR(VLOOKUP(Log[[#This Row],[Verb]],Verbs,3,FALSE)&amp;"",""))</f>
      </c>
      <c r="H1767" s="17">
        <f>IF(Log[[#This Row],[Date]]="","",INT((Log[[#This Row],[Date]]-Sprint1)/SprintDays)+1)</f>
      </c>
      <c r="I1767" s="17">
        <f>IF(OR(Log[[#This Row],[Verb]]="commit",Log[[#This Row],[Verb]]="carry",Log[[#This Row],[Verb]]="redo"),IF(Log[[#This Row],[Arg]]="",Log[[#This Row],[Sprint]],N(Log[[#This Row],[Arg]])),"")</f>
      </c>
      <c r="J1767" s="17">
        <f>IF(Log[[#This Row],[Verb]]="block",1,IF(OR(Log[[#This Row],[Verb]]="unblock",Log[[#This Row],[Verb]]="done",Log[[#This Row],[Verb]]="drop",Log[[#This Row],[Verb]]="punt",Log[[#This Row],[Verb]]="pass"),0,""))</f>
      </c>
      <c r="K1767" s="17">
        <f>IF(Log[[#This Row],[ID]]="",0,IFERROR(INDEX(Items[Pts],MATCH(Log[[#This Row],[ID]],Items[ID],0))*1,0))</f>
      </c>
      <c r="L1767" s="17">
        <f>IF(Log[[#This Row],[ID]]="","",IFERROR(INDEX(Items[Cur team],MATCH(Log[[#This Row],[ID]],Items[ID],0))&amp;"",""))</f>
      </c>
      <c r="M1767" s="17">
        <f>IF(OR(Log[[#This Row],[Verb]]="done",Log[[#This Row],[Verb]]="punt",Log[[#This Row],[Verb]]="drop",Log[[#This Row],[Verb]]="pass"),Log[[#This Row],[Pts]],0)</f>
      </c>
    </row>
    <row r="1768">
      <c r="A1768" s="11">
        <v>46258</v>
      </c>
      <c r="B1768" t="s">
        <v>933</v>
      </c>
      <c r="C1768" t="s">
        <v>41</v>
      </c>
      <c r="F1768" s="17">
        <f>IF(Log[[#This Row],[ID]]="","",IF(ISNA(MATCH(Log[[#This Row],[ID]],Items[ID],0)),"unknown ID",IF(ISNA(MATCH(Log[[#This Row],[Verb]],VerbList,0)),"unknown verb",IF(Log[[#This Row],[Date]]="","no date",""))))</f>
      </c>
      <c r="G1768" s="17">
        <f>IF(Log[[#This Row],[ID]]="","",IFERROR(VLOOKUP(Log[[#This Row],[Verb]],Verbs,3,FALSE)&amp;"",""))</f>
      </c>
      <c r="H1768" s="17">
        <f>IF(Log[[#This Row],[Date]]="","",INT((Log[[#This Row],[Date]]-Sprint1)/SprintDays)+1)</f>
      </c>
      <c r="I1768" s="17">
        <f>IF(OR(Log[[#This Row],[Verb]]="commit",Log[[#This Row],[Verb]]="carry",Log[[#This Row],[Verb]]="redo"),IF(Log[[#This Row],[Arg]]="",Log[[#This Row],[Sprint]],N(Log[[#This Row],[Arg]])),"")</f>
      </c>
      <c r="J1768" s="17">
        <f>IF(Log[[#This Row],[Verb]]="block",1,IF(OR(Log[[#This Row],[Verb]]="unblock",Log[[#This Row],[Verb]]="done",Log[[#This Row],[Verb]]="drop",Log[[#This Row],[Verb]]="punt",Log[[#This Row],[Verb]]="pass"),0,""))</f>
      </c>
      <c r="K1768" s="17">
        <f>IF(Log[[#This Row],[ID]]="",0,IFERROR(INDEX(Items[Pts],MATCH(Log[[#This Row],[ID]],Items[ID],0))*1,0))</f>
      </c>
      <c r="L1768" s="17">
        <f>IF(Log[[#This Row],[ID]]="","",IFERROR(INDEX(Items[Cur team],MATCH(Log[[#This Row],[ID]],Items[ID],0))&amp;"",""))</f>
      </c>
      <c r="M1768" s="17">
        <f>IF(OR(Log[[#This Row],[Verb]]="done",Log[[#This Row],[Verb]]="punt",Log[[#This Row],[Verb]]="drop",Log[[#This Row],[Verb]]="pass"),Log[[#This Row],[Pts]],0)</f>
      </c>
    </row>
    <row r="1769">
      <c r="A1769" s="11">
        <v>46258</v>
      </c>
      <c r="B1769" t="s">
        <v>934</v>
      </c>
      <c r="C1769" t="s">
        <v>38</v>
      </c>
      <c r="D1769">
        <v>51</v>
      </c>
      <c r="F1769" s="17">
        <f>IF(Log[[#This Row],[ID]]="","",IF(ISNA(MATCH(Log[[#This Row],[ID]],Items[ID],0)),"unknown ID",IF(ISNA(MATCH(Log[[#This Row],[Verb]],VerbList,0)),"unknown verb",IF(Log[[#This Row],[Date]]="","no date",""))))</f>
      </c>
      <c r="G1769" s="17">
        <f>IF(Log[[#This Row],[ID]]="","",IFERROR(VLOOKUP(Log[[#This Row],[Verb]],Verbs,3,FALSE)&amp;"",""))</f>
      </c>
      <c r="H1769" s="17">
        <f>IF(Log[[#This Row],[Date]]="","",INT((Log[[#This Row],[Date]]-Sprint1)/SprintDays)+1)</f>
      </c>
      <c r="I1769" s="17">
        <f>IF(OR(Log[[#This Row],[Verb]]="commit",Log[[#This Row],[Verb]]="carry",Log[[#This Row],[Verb]]="redo"),IF(Log[[#This Row],[Arg]]="",Log[[#This Row],[Sprint]],N(Log[[#This Row],[Arg]])),"")</f>
      </c>
      <c r="J1769" s="17">
        <f>IF(Log[[#This Row],[Verb]]="block",1,IF(OR(Log[[#This Row],[Verb]]="unblock",Log[[#This Row],[Verb]]="done",Log[[#This Row],[Verb]]="drop",Log[[#This Row],[Verb]]="punt",Log[[#This Row],[Verb]]="pass"),0,""))</f>
      </c>
      <c r="K1769" s="17">
        <f>IF(Log[[#This Row],[ID]]="",0,IFERROR(INDEX(Items[Pts],MATCH(Log[[#This Row],[ID]],Items[ID],0))*1,0))</f>
      </c>
      <c r="L1769" s="17">
        <f>IF(Log[[#This Row],[ID]]="","",IFERROR(INDEX(Items[Cur team],MATCH(Log[[#This Row],[ID]],Items[ID],0))&amp;"",""))</f>
      </c>
      <c r="M1769" s="17">
        <f>IF(OR(Log[[#This Row],[Verb]]="done",Log[[#This Row],[Verb]]="punt",Log[[#This Row],[Verb]]="drop",Log[[#This Row],[Verb]]="pass"),Log[[#This Row],[Pts]],0)</f>
      </c>
    </row>
    <row r="1770">
      <c r="A1770" s="11">
        <v>46258</v>
      </c>
      <c r="B1770" t="s">
        <v>935</v>
      </c>
      <c r="C1770" t="s">
        <v>38</v>
      </c>
      <c r="D1770">
        <v>51</v>
      </c>
      <c r="F1770" s="17">
        <f>IF(Log[[#This Row],[ID]]="","",IF(ISNA(MATCH(Log[[#This Row],[ID]],Items[ID],0)),"unknown ID",IF(ISNA(MATCH(Log[[#This Row],[Verb]],VerbList,0)),"unknown verb",IF(Log[[#This Row],[Date]]="","no date",""))))</f>
      </c>
      <c r="G1770" s="17">
        <f>IF(Log[[#This Row],[ID]]="","",IFERROR(VLOOKUP(Log[[#This Row],[Verb]],Verbs,3,FALSE)&amp;"",""))</f>
      </c>
      <c r="H1770" s="17">
        <f>IF(Log[[#This Row],[Date]]="","",INT((Log[[#This Row],[Date]]-Sprint1)/SprintDays)+1)</f>
      </c>
      <c r="I1770" s="17">
        <f>IF(OR(Log[[#This Row],[Verb]]="commit",Log[[#This Row],[Verb]]="carry",Log[[#This Row],[Verb]]="redo"),IF(Log[[#This Row],[Arg]]="",Log[[#This Row],[Sprint]],N(Log[[#This Row],[Arg]])),"")</f>
      </c>
      <c r="J1770" s="17">
        <f>IF(Log[[#This Row],[Verb]]="block",1,IF(OR(Log[[#This Row],[Verb]]="unblock",Log[[#This Row],[Verb]]="done",Log[[#This Row],[Verb]]="drop",Log[[#This Row],[Verb]]="punt",Log[[#This Row],[Verb]]="pass"),0,""))</f>
      </c>
      <c r="K1770" s="17">
        <f>IF(Log[[#This Row],[ID]]="",0,IFERROR(INDEX(Items[Pts],MATCH(Log[[#This Row],[ID]],Items[ID],0))*1,0))</f>
      </c>
      <c r="L1770" s="17">
        <f>IF(Log[[#This Row],[ID]]="","",IFERROR(INDEX(Items[Cur team],MATCH(Log[[#This Row],[ID]],Items[ID],0))&amp;"",""))</f>
      </c>
      <c r="M1770" s="17">
        <f>IF(OR(Log[[#This Row],[Verb]]="done",Log[[#This Row],[Verb]]="punt",Log[[#This Row],[Verb]]="drop",Log[[#This Row],[Verb]]="pass"),Log[[#This Row],[Pts]],0)</f>
      </c>
    </row>
    <row r="1771">
      <c r="A1771" s="11">
        <v>46258</v>
      </c>
      <c r="B1771" t="s">
        <v>936</v>
      </c>
      <c r="C1771" t="s">
        <v>38</v>
      </c>
      <c r="D1771">
        <v>51</v>
      </c>
      <c r="F1771" s="17">
        <f>IF(Log[[#This Row],[ID]]="","",IF(ISNA(MATCH(Log[[#This Row],[ID]],Items[ID],0)),"unknown ID",IF(ISNA(MATCH(Log[[#This Row],[Verb]],VerbList,0)),"unknown verb",IF(Log[[#This Row],[Date]]="","no date",""))))</f>
      </c>
      <c r="G1771" s="17">
        <f>IF(Log[[#This Row],[ID]]="","",IFERROR(VLOOKUP(Log[[#This Row],[Verb]],Verbs,3,FALSE)&amp;"",""))</f>
      </c>
      <c r="H1771" s="17">
        <f>IF(Log[[#This Row],[Date]]="","",INT((Log[[#This Row],[Date]]-Sprint1)/SprintDays)+1)</f>
      </c>
      <c r="I1771" s="17">
        <f>IF(OR(Log[[#This Row],[Verb]]="commit",Log[[#This Row],[Verb]]="carry",Log[[#This Row],[Verb]]="redo"),IF(Log[[#This Row],[Arg]]="",Log[[#This Row],[Sprint]],N(Log[[#This Row],[Arg]])),"")</f>
      </c>
      <c r="J1771" s="17">
        <f>IF(Log[[#This Row],[Verb]]="block",1,IF(OR(Log[[#This Row],[Verb]]="unblock",Log[[#This Row],[Verb]]="done",Log[[#This Row],[Verb]]="drop",Log[[#This Row],[Verb]]="punt",Log[[#This Row],[Verb]]="pass"),0,""))</f>
      </c>
      <c r="K1771" s="17">
        <f>IF(Log[[#This Row],[ID]]="",0,IFERROR(INDEX(Items[Pts],MATCH(Log[[#This Row],[ID]],Items[ID],0))*1,0))</f>
      </c>
      <c r="L1771" s="17">
        <f>IF(Log[[#This Row],[ID]]="","",IFERROR(INDEX(Items[Cur team],MATCH(Log[[#This Row],[ID]],Items[ID],0))&amp;"",""))</f>
      </c>
      <c r="M1771" s="17">
        <f>IF(OR(Log[[#This Row],[Verb]]="done",Log[[#This Row],[Verb]]="punt",Log[[#This Row],[Verb]]="drop",Log[[#This Row],[Verb]]="pass"),Log[[#This Row],[Pts]],0)</f>
      </c>
    </row>
    <row r="1772">
      <c r="A1772" s="11">
        <v>46258</v>
      </c>
      <c r="B1772" t="s">
        <v>937</v>
      </c>
      <c r="C1772" t="s">
        <v>41</v>
      </c>
      <c r="F1772" s="17">
        <f>IF(Log[[#This Row],[ID]]="","",IF(ISNA(MATCH(Log[[#This Row],[ID]],Items[ID],0)),"unknown ID",IF(ISNA(MATCH(Log[[#This Row],[Verb]],VerbList,0)),"unknown verb",IF(Log[[#This Row],[Date]]="","no date",""))))</f>
      </c>
      <c r="G1772" s="17">
        <f>IF(Log[[#This Row],[ID]]="","",IFERROR(VLOOKUP(Log[[#This Row],[Verb]],Verbs,3,FALSE)&amp;"",""))</f>
      </c>
      <c r="H1772" s="17">
        <f>IF(Log[[#This Row],[Date]]="","",INT((Log[[#This Row],[Date]]-Sprint1)/SprintDays)+1)</f>
      </c>
      <c r="I1772" s="17">
        <f>IF(OR(Log[[#This Row],[Verb]]="commit",Log[[#This Row],[Verb]]="carry",Log[[#This Row],[Verb]]="redo"),IF(Log[[#This Row],[Arg]]="",Log[[#This Row],[Sprint]],N(Log[[#This Row],[Arg]])),"")</f>
      </c>
      <c r="J1772" s="17">
        <f>IF(Log[[#This Row],[Verb]]="block",1,IF(OR(Log[[#This Row],[Verb]]="unblock",Log[[#This Row],[Verb]]="done",Log[[#This Row],[Verb]]="drop",Log[[#This Row],[Verb]]="punt",Log[[#This Row],[Verb]]="pass"),0,""))</f>
      </c>
      <c r="K1772" s="17">
        <f>IF(Log[[#This Row],[ID]]="",0,IFERROR(INDEX(Items[Pts],MATCH(Log[[#This Row],[ID]],Items[ID],0))*1,0))</f>
      </c>
      <c r="L1772" s="17">
        <f>IF(Log[[#This Row],[ID]]="","",IFERROR(INDEX(Items[Cur team],MATCH(Log[[#This Row],[ID]],Items[ID],0))&amp;"",""))</f>
      </c>
      <c r="M1772" s="17">
        <f>IF(OR(Log[[#This Row],[Verb]]="done",Log[[#This Row],[Verb]]="punt",Log[[#This Row],[Verb]]="drop",Log[[#This Row],[Verb]]="pass"),Log[[#This Row],[Pts]],0)</f>
      </c>
    </row>
    <row r="1773">
      <c r="A1773" s="11">
        <v>46258</v>
      </c>
      <c r="B1773" t="s">
        <v>938</v>
      </c>
      <c r="C1773" t="s">
        <v>41</v>
      </c>
      <c r="F1773" s="17">
        <f>IF(Log[[#This Row],[ID]]="","",IF(ISNA(MATCH(Log[[#This Row],[ID]],Items[ID],0)),"unknown ID",IF(ISNA(MATCH(Log[[#This Row],[Verb]],VerbList,0)),"unknown verb",IF(Log[[#This Row],[Date]]="","no date",""))))</f>
      </c>
      <c r="G1773" s="17">
        <f>IF(Log[[#This Row],[ID]]="","",IFERROR(VLOOKUP(Log[[#This Row],[Verb]],Verbs,3,FALSE)&amp;"",""))</f>
      </c>
      <c r="H1773" s="17">
        <f>IF(Log[[#This Row],[Date]]="","",INT((Log[[#This Row],[Date]]-Sprint1)/SprintDays)+1)</f>
      </c>
      <c r="I1773" s="17">
        <f>IF(OR(Log[[#This Row],[Verb]]="commit",Log[[#This Row],[Verb]]="carry",Log[[#This Row],[Verb]]="redo"),IF(Log[[#This Row],[Arg]]="",Log[[#This Row],[Sprint]],N(Log[[#This Row],[Arg]])),"")</f>
      </c>
      <c r="J1773" s="17">
        <f>IF(Log[[#This Row],[Verb]]="block",1,IF(OR(Log[[#This Row],[Verb]]="unblock",Log[[#This Row],[Verb]]="done",Log[[#This Row],[Verb]]="drop",Log[[#This Row],[Verb]]="punt",Log[[#This Row],[Verb]]="pass"),0,""))</f>
      </c>
      <c r="K1773" s="17">
        <f>IF(Log[[#This Row],[ID]]="",0,IFERROR(INDEX(Items[Pts],MATCH(Log[[#This Row],[ID]],Items[ID],0))*1,0))</f>
      </c>
      <c r="L1773" s="17">
        <f>IF(Log[[#This Row],[ID]]="","",IFERROR(INDEX(Items[Cur team],MATCH(Log[[#This Row],[ID]],Items[ID],0))&amp;"",""))</f>
      </c>
      <c r="M1773" s="17">
        <f>IF(OR(Log[[#This Row],[Verb]]="done",Log[[#This Row],[Verb]]="punt",Log[[#This Row],[Verb]]="drop",Log[[#This Row],[Verb]]="pass"),Log[[#This Row],[Pts]],0)</f>
      </c>
    </row>
    <row r="1774">
      <c r="A1774" s="11">
        <v>46258</v>
      </c>
      <c r="B1774" t="s">
        <v>882</v>
      </c>
      <c r="C1774" t="s">
        <v>41</v>
      </c>
      <c r="F1774" s="17">
        <f>IF(Log[[#This Row],[ID]]="","",IF(ISNA(MATCH(Log[[#This Row],[ID]],Items[ID],0)),"unknown ID",IF(ISNA(MATCH(Log[[#This Row],[Verb]],VerbList,0)),"unknown verb",IF(Log[[#This Row],[Date]]="","no date",""))))</f>
      </c>
      <c r="G1774" s="17">
        <f>IF(Log[[#This Row],[ID]]="","",IFERROR(VLOOKUP(Log[[#This Row],[Verb]],Verbs,3,FALSE)&amp;"",""))</f>
      </c>
      <c r="H1774" s="17">
        <f>IF(Log[[#This Row],[Date]]="","",INT((Log[[#This Row],[Date]]-Sprint1)/SprintDays)+1)</f>
      </c>
      <c r="I1774" s="17">
        <f>IF(OR(Log[[#This Row],[Verb]]="commit",Log[[#This Row],[Verb]]="carry",Log[[#This Row],[Verb]]="redo"),IF(Log[[#This Row],[Arg]]="",Log[[#This Row],[Sprint]],N(Log[[#This Row],[Arg]])),"")</f>
      </c>
      <c r="J1774" s="17">
        <f>IF(Log[[#This Row],[Verb]]="block",1,IF(OR(Log[[#This Row],[Verb]]="unblock",Log[[#This Row],[Verb]]="done",Log[[#This Row],[Verb]]="drop",Log[[#This Row],[Verb]]="punt",Log[[#This Row],[Verb]]="pass"),0,""))</f>
      </c>
      <c r="K1774" s="17">
        <f>IF(Log[[#This Row],[ID]]="",0,IFERROR(INDEX(Items[Pts],MATCH(Log[[#This Row],[ID]],Items[ID],0))*1,0))</f>
      </c>
      <c r="L1774" s="17">
        <f>IF(Log[[#This Row],[ID]]="","",IFERROR(INDEX(Items[Cur team],MATCH(Log[[#This Row],[ID]],Items[ID],0))&amp;"",""))</f>
      </c>
      <c r="M1774" s="17">
        <f>IF(OR(Log[[#This Row],[Verb]]="done",Log[[#This Row],[Verb]]="punt",Log[[#This Row],[Verb]]="drop",Log[[#This Row],[Verb]]="pass"),Log[[#This Row],[Pts]],0)</f>
      </c>
    </row>
    <row r="1775">
      <c r="A1775" s="11">
        <v>46258</v>
      </c>
      <c r="B1775" t="s">
        <v>939</v>
      </c>
      <c r="C1775" t="s">
        <v>41</v>
      </c>
      <c r="F1775" s="17">
        <f>IF(Log[[#This Row],[ID]]="","",IF(ISNA(MATCH(Log[[#This Row],[ID]],Items[ID],0)),"unknown ID",IF(ISNA(MATCH(Log[[#This Row],[Verb]],VerbList,0)),"unknown verb",IF(Log[[#This Row],[Date]]="","no date",""))))</f>
      </c>
      <c r="G1775" s="17">
        <f>IF(Log[[#This Row],[ID]]="","",IFERROR(VLOOKUP(Log[[#This Row],[Verb]],Verbs,3,FALSE)&amp;"",""))</f>
      </c>
      <c r="H1775" s="17">
        <f>IF(Log[[#This Row],[Date]]="","",INT((Log[[#This Row],[Date]]-Sprint1)/SprintDays)+1)</f>
      </c>
      <c r="I1775" s="17">
        <f>IF(OR(Log[[#This Row],[Verb]]="commit",Log[[#This Row],[Verb]]="carry",Log[[#This Row],[Verb]]="redo"),IF(Log[[#This Row],[Arg]]="",Log[[#This Row],[Sprint]],N(Log[[#This Row],[Arg]])),"")</f>
      </c>
      <c r="J1775" s="17">
        <f>IF(Log[[#This Row],[Verb]]="block",1,IF(OR(Log[[#This Row],[Verb]]="unblock",Log[[#This Row],[Verb]]="done",Log[[#This Row],[Verb]]="drop",Log[[#This Row],[Verb]]="punt",Log[[#This Row],[Verb]]="pass"),0,""))</f>
      </c>
      <c r="K1775" s="17">
        <f>IF(Log[[#This Row],[ID]]="",0,IFERROR(INDEX(Items[Pts],MATCH(Log[[#This Row],[ID]],Items[ID],0))*1,0))</f>
      </c>
      <c r="L1775" s="17">
        <f>IF(Log[[#This Row],[ID]]="","",IFERROR(INDEX(Items[Cur team],MATCH(Log[[#This Row],[ID]],Items[ID],0))&amp;"",""))</f>
      </c>
      <c r="M1775" s="17">
        <f>IF(OR(Log[[#This Row],[Verb]]="done",Log[[#This Row],[Verb]]="punt",Log[[#This Row],[Verb]]="drop",Log[[#This Row],[Verb]]="pass"),Log[[#This Row],[Pts]],0)</f>
      </c>
    </row>
    <row r="1776">
      <c r="A1776" s="11">
        <v>46258</v>
      </c>
      <c r="B1776" t="s">
        <v>940</v>
      </c>
      <c r="C1776" t="s">
        <v>41</v>
      </c>
      <c r="F1776" s="17">
        <f>IF(Log[[#This Row],[ID]]="","",IF(ISNA(MATCH(Log[[#This Row],[ID]],Items[ID],0)),"unknown ID",IF(ISNA(MATCH(Log[[#This Row],[Verb]],VerbList,0)),"unknown verb",IF(Log[[#This Row],[Date]]="","no date",""))))</f>
      </c>
      <c r="G1776" s="17">
        <f>IF(Log[[#This Row],[ID]]="","",IFERROR(VLOOKUP(Log[[#This Row],[Verb]],Verbs,3,FALSE)&amp;"",""))</f>
      </c>
      <c r="H1776" s="17">
        <f>IF(Log[[#This Row],[Date]]="","",INT((Log[[#This Row],[Date]]-Sprint1)/SprintDays)+1)</f>
      </c>
      <c r="I1776" s="17">
        <f>IF(OR(Log[[#This Row],[Verb]]="commit",Log[[#This Row],[Verb]]="carry",Log[[#This Row],[Verb]]="redo"),IF(Log[[#This Row],[Arg]]="",Log[[#This Row],[Sprint]],N(Log[[#This Row],[Arg]])),"")</f>
      </c>
      <c r="J1776" s="17">
        <f>IF(Log[[#This Row],[Verb]]="block",1,IF(OR(Log[[#This Row],[Verb]]="unblock",Log[[#This Row],[Verb]]="done",Log[[#This Row],[Verb]]="drop",Log[[#This Row],[Verb]]="punt",Log[[#This Row],[Verb]]="pass"),0,""))</f>
      </c>
      <c r="K1776" s="17">
        <f>IF(Log[[#This Row],[ID]]="",0,IFERROR(INDEX(Items[Pts],MATCH(Log[[#This Row],[ID]],Items[ID],0))*1,0))</f>
      </c>
      <c r="L1776" s="17">
        <f>IF(Log[[#This Row],[ID]]="","",IFERROR(INDEX(Items[Cur team],MATCH(Log[[#This Row],[ID]],Items[ID],0))&amp;"",""))</f>
      </c>
      <c r="M1776" s="17">
        <f>IF(OR(Log[[#This Row],[Verb]]="done",Log[[#This Row],[Verb]]="punt",Log[[#This Row],[Verb]]="drop",Log[[#This Row],[Verb]]="pass"),Log[[#This Row],[Pts]],0)</f>
      </c>
    </row>
    <row r="1777">
      <c r="A1777" s="11">
        <v>46258</v>
      </c>
      <c r="B1777" t="s">
        <v>941</v>
      </c>
      <c r="C1777" t="s">
        <v>41</v>
      </c>
      <c r="F1777" s="17">
        <f>IF(Log[[#This Row],[ID]]="","",IF(ISNA(MATCH(Log[[#This Row],[ID]],Items[ID],0)),"unknown ID",IF(ISNA(MATCH(Log[[#This Row],[Verb]],VerbList,0)),"unknown verb",IF(Log[[#This Row],[Date]]="","no date",""))))</f>
      </c>
      <c r="G1777" s="17">
        <f>IF(Log[[#This Row],[ID]]="","",IFERROR(VLOOKUP(Log[[#This Row],[Verb]],Verbs,3,FALSE)&amp;"",""))</f>
      </c>
      <c r="H1777" s="17">
        <f>IF(Log[[#This Row],[Date]]="","",INT((Log[[#This Row],[Date]]-Sprint1)/SprintDays)+1)</f>
      </c>
      <c r="I1777" s="17">
        <f>IF(OR(Log[[#This Row],[Verb]]="commit",Log[[#This Row],[Verb]]="carry",Log[[#This Row],[Verb]]="redo"),IF(Log[[#This Row],[Arg]]="",Log[[#This Row],[Sprint]],N(Log[[#This Row],[Arg]])),"")</f>
      </c>
      <c r="J1777" s="17">
        <f>IF(Log[[#This Row],[Verb]]="block",1,IF(OR(Log[[#This Row],[Verb]]="unblock",Log[[#This Row],[Verb]]="done",Log[[#This Row],[Verb]]="drop",Log[[#This Row],[Verb]]="punt",Log[[#This Row],[Verb]]="pass"),0,""))</f>
      </c>
      <c r="K1777" s="17">
        <f>IF(Log[[#This Row],[ID]]="",0,IFERROR(INDEX(Items[Pts],MATCH(Log[[#This Row],[ID]],Items[ID],0))*1,0))</f>
      </c>
      <c r="L1777" s="17">
        <f>IF(Log[[#This Row],[ID]]="","",IFERROR(INDEX(Items[Cur team],MATCH(Log[[#This Row],[ID]],Items[ID],0))&amp;"",""))</f>
      </c>
      <c r="M1777" s="17">
        <f>IF(OR(Log[[#This Row],[Verb]]="done",Log[[#This Row],[Verb]]="punt",Log[[#This Row],[Verb]]="drop",Log[[#This Row],[Verb]]="pass"),Log[[#This Row],[Pts]],0)</f>
      </c>
    </row>
    <row r="1778">
      <c r="A1778" s="11">
        <v>46258</v>
      </c>
      <c r="B1778" t="s">
        <v>942</v>
      </c>
      <c r="C1778" t="s">
        <v>41</v>
      </c>
      <c r="F1778" s="17">
        <f>IF(Log[[#This Row],[ID]]="","",IF(ISNA(MATCH(Log[[#This Row],[ID]],Items[ID],0)),"unknown ID",IF(ISNA(MATCH(Log[[#This Row],[Verb]],VerbList,0)),"unknown verb",IF(Log[[#This Row],[Date]]="","no date",""))))</f>
      </c>
      <c r="G1778" s="17">
        <f>IF(Log[[#This Row],[ID]]="","",IFERROR(VLOOKUP(Log[[#This Row],[Verb]],Verbs,3,FALSE)&amp;"",""))</f>
      </c>
      <c r="H1778" s="17">
        <f>IF(Log[[#This Row],[Date]]="","",INT((Log[[#This Row],[Date]]-Sprint1)/SprintDays)+1)</f>
      </c>
      <c r="I1778" s="17">
        <f>IF(OR(Log[[#This Row],[Verb]]="commit",Log[[#This Row],[Verb]]="carry",Log[[#This Row],[Verb]]="redo"),IF(Log[[#This Row],[Arg]]="",Log[[#This Row],[Sprint]],N(Log[[#This Row],[Arg]])),"")</f>
      </c>
      <c r="J1778" s="17">
        <f>IF(Log[[#This Row],[Verb]]="block",1,IF(OR(Log[[#This Row],[Verb]]="unblock",Log[[#This Row],[Verb]]="done",Log[[#This Row],[Verb]]="drop",Log[[#This Row],[Verb]]="punt",Log[[#This Row],[Verb]]="pass"),0,""))</f>
      </c>
      <c r="K1778" s="17">
        <f>IF(Log[[#This Row],[ID]]="",0,IFERROR(INDEX(Items[Pts],MATCH(Log[[#This Row],[ID]],Items[ID],0))*1,0))</f>
      </c>
      <c r="L1778" s="17">
        <f>IF(Log[[#This Row],[ID]]="","",IFERROR(INDEX(Items[Cur team],MATCH(Log[[#This Row],[ID]],Items[ID],0))&amp;"",""))</f>
      </c>
      <c r="M1778" s="17">
        <f>IF(OR(Log[[#This Row],[Verb]]="done",Log[[#This Row],[Verb]]="punt",Log[[#This Row],[Verb]]="drop",Log[[#This Row],[Verb]]="pass"),Log[[#This Row],[Pts]],0)</f>
      </c>
    </row>
    <row r="1779">
      <c r="A1779" s="11">
        <v>46258</v>
      </c>
      <c r="B1779" t="s">
        <v>943</v>
      </c>
      <c r="C1779" t="s">
        <v>41</v>
      </c>
      <c r="F1779" s="17">
        <f>IF(Log[[#This Row],[ID]]="","",IF(ISNA(MATCH(Log[[#This Row],[ID]],Items[ID],0)),"unknown ID",IF(ISNA(MATCH(Log[[#This Row],[Verb]],VerbList,0)),"unknown verb",IF(Log[[#This Row],[Date]]="","no date",""))))</f>
      </c>
      <c r="G1779" s="17">
        <f>IF(Log[[#This Row],[ID]]="","",IFERROR(VLOOKUP(Log[[#This Row],[Verb]],Verbs,3,FALSE)&amp;"",""))</f>
      </c>
      <c r="H1779" s="17">
        <f>IF(Log[[#This Row],[Date]]="","",INT((Log[[#This Row],[Date]]-Sprint1)/SprintDays)+1)</f>
      </c>
      <c r="I1779" s="17">
        <f>IF(OR(Log[[#This Row],[Verb]]="commit",Log[[#This Row],[Verb]]="carry",Log[[#This Row],[Verb]]="redo"),IF(Log[[#This Row],[Arg]]="",Log[[#This Row],[Sprint]],N(Log[[#This Row],[Arg]])),"")</f>
      </c>
      <c r="J1779" s="17">
        <f>IF(Log[[#This Row],[Verb]]="block",1,IF(OR(Log[[#This Row],[Verb]]="unblock",Log[[#This Row],[Verb]]="done",Log[[#This Row],[Verb]]="drop",Log[[#This Row],[Verb]]="punt",Log[[#This Row],[Verb]]="pass"),0,""))</f>
      </c>
      <c r="K1779" s="17">
        <f>IF(Log[[#This Row],[ID]]="",0,IFERROR(INDEX(Items[Pts],MATCH(Log[[#This Row],[ID]],Items[ID],0))*1,0))</f>
      </c>
      <c r="L1779" s="17">
        <f>IF(Log[[#This Row],[ID]]="","",IFERROR(INDEX(Items[Cur team],MATCH(Log[[#This Row],[ID]],Items[ID],0))&amp;"",""))</f>
      </c>
      <c r="M1779" s="17">
        <f>IF(OR(Log[[#This Row],[Verb]]="done",Log[[#This Row],[Verb]]="punt",Log[[#This Row],[Verb]]="drop",Log[[#This Row],[Verb]]="pass"),Log[[#This Row],[Pts]],0)</f>
      </c>
    </row>
    <row r="1780">
      <c r="A1780" s="11">
        <v>46258</v>
      </c>
      <c r="B1780" t="s">
        <v>944</v>
      </c>
      <c r="C1780" t="s">
        <v>41</v>
      </c>
      <c r="F1780" s="17">
        <f>IF(Log[[#This Row],[ID]]="","",IF(ISNA(MATCH(Log[[#This Row],[ID]],Items[ID],0)),"unknown ID",IF(ISNA(MATCH(Log[[#This Row],[Verb]],VerbList,0)),"unknown verb",IF(Log[[#This Row],[Date]]="","no date",""))))</f>
      </c>
      <c r="G1780" s="17">
        <f>IF(Log[[#This Row],[ID]]="","",IFERROR(VLOOKUP(Log[[#This Row],[Verb]],Verbs,3,FALSE)&amp;"",""))</f>
      </c>
      <c r="H1780" s="17">
        <f>IF(Log[[#This Row],[Date]]="","",INT((Log[[#This Row],[Date]]-Sprint1)/SprintDays)+1)</f>
      </c>
      <c r="I1780" s="17">
        <f>IF(OR(Log[[#This Row],[Verb]]="commit",Log[[#This Row],[Verb]]="carry",Log[[#This Row],[Verb]]="redo"),IF(Log[[#This Row],[Arg]]="",Log[[#This Row],[Sprint]],N(Log[[#This Row],[Arg]])),"")</f>
      </c>
      <c r="J1780" s="17">
        <f>IF(Log[[#This Row],[Verb]]="block",1,IF(OR(Log[[#This Row],[Verb]]="unblock",Log[[#This Row],[Verb]]="done",Log[[#This Row],[Verb]]="drop",Log[[#This Row],[Verb]]="punt",Log[[#This Row],[Verb]]="pass"),0,""))</f>
      </c>
      <c r="K1780" s="17">
        <f>IF(Log[[#This Row],[ID]]="",0,IFERROR(INDEX(Items[Pts],MATCH(Log[[#This Row],[ID]],Items[ID],0))*1,0))</f>
      </c>
      <c r="L1780" s="17">
        <f>IF(Log[[#This Row],[ID]]="","",IFERROR(INDEX(Items[Cur team],MATCH(Log[[#This Row],[ID]],Items[ID],0))&amp;"",""))</f>
      </c>
      <c r="M1780" s="17">
        <f>IF(OR(Log[[#This Row],[Verb]]="done",Log[[#This Row],[Verb]]="punt",Log[[#This Row],[Verb]]="drop",Log[[#This Row],[Verb]]="pass"),Log[[#This Row],[Pts]],0)</f>
      </c>
    </row>
    <row r="1781">
      <c r="A1781" s="11">
        <v>46258</v>
      </c>
      <c r="B1781" t="s">
        <v>945</v>
      </c>
      <c r="C1781" t="s">
        <v>41</v>
      </c>
      <c r="F1781" s="17">
        <f>IF(Log[[#This Row],[ID]]="","",IF(ISNA(MATCH(Log[[#This Row],[ID]],Items[ID],0)),"unknown ID",IF(ISNA(MATCH(Log[[#This Row],[Verb]],VerbList,0)),"unknown verb",IF(Log[[#This Row],[Date]]="","no date",""))))</f>
      </c>
      <c r="G1781" s="17">
        <f>IF(Log[[#This Row],[ID]]="","",IFERROR(VLOOKUP(Log[[#This Row],[Verb]],Verbs,3,FALSE)&amp;"",""))</f>
      </c>
      <c r="H1781" s="17">
        <f>IF(Log[[#This Row],[Date]]="","",INT((Log[[#This Row],[Date]]-Sprint1)/SprintDays)+1)</f>
      </c>
      <c r="I1781" s="17">
        <f>IF(OR(Log[[#This Row],[Verb]]="commit",Log[[#This Row],[Verb]]="carry",Log[[#This Row],[Verb]]="redo"),IF(Log[[#This Row],[Arg]]="",Log[[#This Row],[Sprint]],N(Log[[#This Row],[Arg]])),"")</f>
      </c>
      <c r="J1781" s="17">
        <f>IF(Log[[#This Row],[Verb]]="block",1,IF(OR(Log[[#This Row],[Verb]]="unblock",Log[[#This Row],[Verb]]="done",Log[[#This Row],[Verb]]="drop",Log[[#This Row],[Verb]]="punt",Log[[#This Row],[Verb]]="pass"),0,""))</f>
      </c>
      <c r="K1781" s="17">
        <f>IF(Log[[#This Row],[ID]]="",0,IFERROR(INDEX(Items[Pts],MATCH(Log[[#This Row],[ID]],Items[ID],0))*1,0))</f>
      </c>
      <c r="L1781" s="17">
        <f>IF(Log[[#This Row],[ID]]="","",IFERROR(INDEX(Items[Cur team],MATCH(Log[[#This Row],[ID]],Items[ID],0))&amp;"",""))</f>
      </c>
      <c r="M1781" s="17">
        <f>IF(OR(Log[[#This Row],[Verb]]="done",Log[[#This Row],[Verb]]="punt",Log[[#This Row],[Verb]]="drop",Log[[#This Row],[Verb]]="pass"),Log[[#This Row],[Pts]],0)</f>
      </c>
    </row>
    <row r="1782">
      <c r="A1782" s="11">
        <v>46258</v>
      </c>
      <c r="B1782" t="s">
        <v>883</v>
      </c>
      <c r="C1782" t="s">
        <v>41</v>
      </c>
      <c r="F1782" s="17">
        <f>IF(Log[[#This Row],[ID]]="","",IF(ISNA(MATCH(Log[[#This Row],[ID]],Items[ID],0)),"unknown ID",IF(ISNA(MATCH(Log[[#This Row],[Verb]],VerbList,0)),"unknown verb",IF(Log[[#This Row],[Date]]="","no date",""))))</f>
      </c>
      <c r="G1782" s="17">
        <f>IF(Log[[#This Row],[ID]]="","",IFERROR(VLOOKUP(Log[[#This Row],[Verb]],Verbs,3,FALSE)&amp;"",""))</f>
      </c>
      <c r="H1782" s="17">
        <f>IF(Log[[#This Row],[Date]]="","",INT((Log[[#This Row],[Date]]-Sprint1)/SprintDays)+1)</f>
      </c>
      <c r="I1782" s="17">
        <f>IF(OR(Log[[#This Row],[Verb]]="commit",Log[[#This Row],[Verb]]="carry",Log[[#This Row],[Verb]]="redo"),IF(Log[[#This Row],[Arg]]="",Log[[#This Row],[Sprint]],N(Log[[#This Row],[Arg]])),"")</f>
      </c>
      <c r="J1782" s="17">
        <f>IF(Log[[#This Row],[Verb]]="block",1,IF(OR(Log[[#This Row],[Verb]]="unblock",Log[[#This Row],[Verb]]="done",Log[[#This Row],[Verb]]="drop",Log[[#This Row],[Verb]]="punt",Log[[#This Row],[Verb]]="pass"),0,""))</f>
      </c>
      <c r="K1782" s="17">
        <f>IF(Log[[#This Row],[ID]]="",0,IFERROR(INDEX(Items[Pts],MATCH(Log[[#This Row],[ID]],Items[ID],0))*1,0))</f>
      </c>
      <c r="L1782" s="17">
        <f>IF(Log[[#This Row],[ID]]="","",IFERROR(INDEX(Items[Cur team],MATCH(Log[[#This Row],[ID]],Items[ID],0))&amp;"",""))</f>
      </c>
      <c r="M1782" s="17">
        <f>IF(OR(Log[[#This Row],[Verb]]="done",Log[[#This Row],[Verb]]="punt",Log[[#This Row],[Verb]]="drop",Log[[#This Row],[Verb]]="pass"),Log[[#This Row],[Pts]],0)</f>
      </c>
    </row>
    <row r="1783">
      <c r="A1783" s="11">
        <v>46258</v>
      </c>
      <c r="B1783" t="s">
        <v>885</v>
      </c>
      <c r="C1783" t="s">
        <v>38</v>
      </c>
      <c r="D1783">
        <v>51</v>
      </c>
      <c r="F1783" s="17">
        <f>IF(Log[[#This Row],[ID]]="","",IF(ISNA(MATCH(Log[[#This Row],[ID]],Items[ID],0)),"unknown ID",IF(ISNA(MATCH(Log[[#This Row],[Verb]],VerbList,0)),"unknown verb",IF(Log[[#This Row],[Date]]="","no date",""))))</f>
      </c>
      <c r="G1783" s="17">
        <f>IF(Log[[#This Row],[ID]]="","",IFERROR(VLOOKUP(Log[[#This Row],[Verb]],Verbs,3,FALSE)&amp;"",""))</f>
      </c>
      <c r="H1783" s="17">
        <f>IF(Log[[#This Row],[Date]]="","",INT((Log[[#This Row],[Date]]-Sprint1)/SprintDays)+1)</f>
      </c>
      <c r="I1783" s="17">
        <f>IF(OR(Log[[#This Row],[Verb]]="commit",Log[[#This Row],[Verb]]="carry",Log[[#This Row],[Verb]]="redo"),IF(Log[[#This Row],[Arg]]="",Log[[#This Row],[Sprint]],N(Log[[#This Row],[Arg]])),"")</f>
      </c>
      <c r="J1783" s="17">
        <f>IF(Log[[#This Row],[Verb]]="block",1,IF(OR(Log[[#This Row],[Verb]]="unblock",Log[[#This Row],[Verb]]="done",Log[[#This Row],[Verb]]="drop",Log[[#This Row],[Verb]]="punt",Log[[#This Row],[Verb]]="pass"),0,""))</f>
      </c>
      <c r="K1783" s="17">
        <f>IF(Log[[#This Row],[ID]]="",0,IFERROR(INDEX(Items[Pts],MATCH(Log[[#This Row],[ID]],Items[ID],0))*1,0))</f>
      </c>
      <c r="L1783" s="17">
        <f>IF(Log[[#This Row],[ID]]="","",IFERROR(INDEX(Items[Cur team],MATCH(Log[[#This Row],[ID]],Items[ID],0))&amp;"",""))</f>
      </c>
      <c r="M1783" s="17">
        <f>IF(OR(Log[[#This Row],[Verb]]="done",Log[[#This Row],[Verb]]="punt",Log[[#This Row],[Verb]]="drop",Log[[#This Row],[Verb]]="pass"),Log[[#This Row],[Pts]],0)</f>
      </c>
    </row>
    <row r="1784">
      <c r="A1784" s="11">
        <v>46258</v>
      </c>
      <c r="B1784" t="s">
        <v>946</v>
      </c>
      <c r="C1784" t="s">
        <v>41</v>
      </c>
      <c r="F1784" s="17">
        <f>IF(Log[[#This Row],[ID]]="","",IF(ISNA(MATCH(Log[[#This Row],[ID]],Items[ID],0)),"unknown ID",IF(ISNA(MATCH(Log[[#This Row],[Verb]],VerbList,0)),"unknown verb",IF(Log[[#This Row],[Date]]="","no date",""))))</f>
      </c>
      <c r="G1784" s="17">
        <f>IF(Log[[#This Row],[ID]]="","",IFERROR(VLOOKUP(Log[[#This Row],[Verb]],Verbs,3,FALSE)&amp;"",""))</f>
      </c>
      <c r="H1784" s="17">
        <f>IF(Log[[#This Row],[Date]]="","",INT((Log[[#This Row],[Date]]-Sprint1)/SprintDays)+1)</f>
      </c>
      <c r="I1784" s="17">
        <f>IF(OR(Log[[#This Row],[Verb]]="commit",Log[[#This Row],[Verb]]="carry",Log[[#This Row],[Verb]]="redo"),IF(Log[[#This Row],[Arg]]="",Log[[#This Row],[Sprint]],N(Log[[#This Row],[Arg]])),"")</f>
      </c>
      <c r="J1784" s="17">
        <f>IF(Log[[#This Row],[Verb]]="block",1,IF(OR(Log[[#This Row],[Verb]]="unblock",Log[[#This Row],[Verb]]="done",Log[[#This Row],[Verb]]="drop",Log[[#This Row],[Verb]]="punt",Log[[#This Row],[Verb]]="pass"),0,""))</f>
      </c>
      <c r="K1784" s="17">
        <f>IF(Log[[#This Row],[ID]]="",0,IFERROR(INDEX(Items[Pts],MATCH(Log[[#This Row],[ID]],Items[ID],0))*1,0))</f>
      </c>
      <c r="L1784" s="17">
        <f>IF(Log[[#This Row],[ID]]="","",IFERROR(INDEX(Items[Cur team],MATCH(Log[[#This Row],[ID]],Items[ID],0))&amp;"",""))</f>
      </c>
      <c r="M1784" s="17">
        <f>IF(OR(Log[[#This Row],[Verb]]="done",Log[[#This Row],[Verb]]="punt",Log[[#This Row],[Verb]]="drop",Log[[#This Row],[Verb]]="pass"),Log[[#This Row],[Pts]],0)</f>
      </c>
    </row>
    <row r="1785">
      <c r="A1785" s="11">
        <v>46258</v>
      </c>
      <c r="B1785" t="s">
        <v>947</v>
      </c>
      <c r="C1785" t="s">
        <v>41</v>
      </c>
      <c r="F1785" s="17">
        <f>IF(Log[[#This Row],[ID]]="","",IF(ISNA(MATCH(Log[[#This Row],[ID]],Items[ID],0)),"unknown ID",IF(ISNA(MATCH(Log[[#This Row],[Verb]],VerbList,0)),"unknown verb",IF(Log[[#This Row],[Date]]="","no date",""))))</f>
      </c>
      <c r="G1785" s="17">
        <f>IF(Log[[#This Row],[ID]]="","",IFERROR(VLOOKUP(Log[[#This Row],[Verb]],Verbs,3,FALSE)&amp;"",""))</f>
      </c>
      <c r="H1785" s="17">
        <f>IF(Log[[#This Row],[Date]]="","",INT((Log[[#This Row],[Date]]-Sprint1)/SprintDays)+1)</f>
      </c>
      <c r="I1785" s="17">
        <f>IF(OR(Log[[#This Row],[Verb]]="commit",Log[[#This Row],[Verb]]="carry",Log[[#This Row],[Verb]]="redo"),IF(Log[[#This Row],[Arg]]="",Log[[#This Row],[Sprint]],N(Log[[#This Row],[Arg]])),"")</f>
      </c>
      <c r="J1785" s="17">
        <f>IF(Log[[#This Row],[Verb]]="block",1,IF(OR(Log[[#This Row],[Verb]]="unblock",Log[[#This Row],[Verb]]="done",Log[[#This Row],[Verb]]="drop",Log[[#This Row],[Verb]]="punt",Log[[#This Row],[Verb]]="pass"),0,""))</f>
      </c>
      <c r="K1785" s="17">
        <f>IF(Log[[#This Row],[ID]]="",0,IFERROR(INDEX(Items[Pts],MATCH(Log[[#This Row],[ID]],Items[ID],0))*1,0))</f>
      </c>
      <c r="L1785" s="17">
        <f>IF(Log[[#This Row],[ID]]="","",IFERROR(INDEX(Items[Cur team],MATCH(Log[[#This Row],[ID]],Items[ID],0))&amp;"",""))</f>
      </c>
      <c r="M1785" s="17">
        <f>IF(OR(Log[[#This Row],[Verb]]="done",Log[[#This Row],[Verb]]="punt",Log[[#This Row],[Verb]]="drop",Log[[#This Row],[Verb]]="pass"),Log[[#This Row],[Pts]],0)</f>
      </c>
    </row>
    <row r="1786">
      <c r="A1786" s="11">
        <v>46258</v>
      </c>
      <c r="B1786" t="s">
        <v>948</v>
      </c>
      <c r="C1786" t="s">
        <v>41</v>
      </c>
      <c r="F1786" s="17">
        <f>IF(Log[[#This Row],[ID]]="","",IF(ISNA(MATCH(Log[[#This Row],[ID]],Items[ID],0)),"unknown ID",IF(ISNA(MATCH(Log[[#This Row],[Verb]],VerbList,0)),"unknown verb",IF(Log[[#This Row],[Date]]="","no date",""))))</f>
      </c>
      <c r="G1786" s="17">
        <f>IF(Log[[#This Row],[ID]]="","",IFERROR(VLOOKUP(Log[[#This Row],[Verb]],Verbs,3,FALSE)&amp;"",""))</f>
      </c>
      <c r="H1786" s="17">
        <f>IF(Log[[#This Row],[Date]]="","",INT((Log[[#This Row],[Date]]-Sprint1)/SprintDays)+1)</f>
      </c>
      <c r="I1786" s="17">
        <f>IF(OR(Log[[#This Row],[Verb]]="commit",Log[[#This Row],[Verb]]="carry",Log[[#This Row],[Verb]]="redo"),IF(Log[[#This Row],[Arg]]="",Log[[#This Row],[Sprint]],N(Log[[#This Row],[Arg]])),"")</f>
      </c>
      <c r="J1786" s="17">
        <f>IF(Log[[#This Row],[Verb]]="block",1,IF(OR(Log[[#This Row],[Verb]]="unblock",Log[[#This Row],[Verb]]="done",Log[[#This Row],[Verb]]="drop",Log[[#This Row],[Verb]]="punt",Log[[#This Row],[Verb]]="pass"),0,""))</f>
      </c>
      <c r="K1786" s="17">
        <f>IF(Log[[#This Row],[ID]]="",0,IFERROR(INDEX(Items[Pts],MATCH(Log[[#This Row],[ID]],Items[ID],0))*1,0))</f>
      </c>
      <c r="L1786" s="17">
        <f>IF(Log[[#This Row],[ID]]="","",IFERROR(INDEX(Items[Cur team],MATCH(Log[[#This Row],[ID]],Items[ID],0))&amp;"",""))</f>
      </c>
      <c r="M1786" s="17">
        <f>IF(OR(Log[[#This Row],[Verb]]="done",Log[[#This Row],[Verb]]="punt",Log[[#This Row],[Verb]]="drop",Log[[#This Row],[Verb]]="pass"),Log[[#This Row],[Pts]],0)</f>
      </c>
    </row>
    <row r="1787">
      <c r="A1787" s="11">
        <v>46258</v>
      </c>
      <c r="B1787" t="s">
        <v>949</v>
      </c>
      <c r="C1787" t="s">
        <v>38</v>
      </c>
      <c r="D1787">
        <v>51</v>
      </c>
      <c r="F1787" s="17">
        <f>IF(Log[[#This Row],[ID]]="","",IF(ISNA(MATCH(Log[[#This Row],[ID]],Items[ID],0)),"unknown ID",IF(ISNA(MATCH(Log[[#This Row],[Verb]],VerbList,0)),"unknown verb",IF(Log[[#This Row],[Date]]="","no date",""))))</f>
      </c>
      <c r="G1787" s="17">
        <f>IF(Log[[#This Row],[ID]]="","",IFERROR(VLOOKUP(Log[[#This Row],[Verb]],Verbs,3,FALSE)&amp;"",""))</f>
      </c>
      <c r="H1787" s="17">
        <f>IF(Log[[#This Row],[Date]]="","",INT((Log[[#This Row],[Date]]-Sprint1)/SprintDays)+1)</f>
      </c>
      <c r="I1787" s="17">
        <f>IF(OR(Log[[#This Row],[Verb]]="commit",Log[[#This Row],[Verb]]="carry",Log[[#This Row],[Verb]]="redo"),IF(Log[[#This Row],[Arg]]="",Log[[#This Row],[Sprint]],N(Log[[#This Row],[Arg]])),"")</f>
      </c>
      <c r="J1787" s="17">
        <f>IF(Log[[#This Row],[Verb]]="block",1,IF(OR(Log[[#This Row],[Verb]]="unblock",Log[[#This Row],[Verb]]="done",Log[[#This Row],[Verb]]="drop",Log[[#This Row],[Verb]]="punt",Log[[#This Row],[Verb]]="pass"),0,""))</f>
      </c>
      <c r="K1787" s="17">
        <f>IF(Log[[#This Row],[ID]]="",0,IFERROR(INDEX(Items[Pts],MATCH(Log[[#This Row],[ID]],Items[ID],0))*1,0))</f>
      </c>
      <c r="L1787" s="17">
        <f>IF(Log[[#This Row],[ID]]="","",IFERROR(INDEX(Items[Cur team],MATCH(Log[[#This Row],[ID]],Items[ID],0))&amp;"",""))</f>
      </c>
      <c r="M1787" s="17">
        <f>IF(OR(Log[[#This Row],[Verb]]="done",Log[[#This Row],[Verb]]="punt",Log[[#This Row],[Verb]]="drop",Log[[#This Row],[Verb]]="pass"),Log[[#This Row],[Pts]],0)</f>
      </c>
    </row>
    <row r="1788">
      <c r="A1788" s="11">
        <v>46258</v>
      </c>
      <c r="B1788" t="s">
        <v>950</v>
      </c>
      <c r="C1788" t="s">
        <v>41</v>
      </c>
      <c r="F1788" s="17">
        <f>IF(Log[[#This Row],[ID]]="","",IF(ISNA(MATCH(Log[[#This Row],[ID]],Items[ID],0)),"unknown ID",IF(ISNA(MATCH(Log[[#This Row],[Verb]],VerbList,0)),"unknown verb",IF(Log[[#This Row],[Date]]="","no date",""))))</f>
      </c>
      <c r="G1788" s="17">
        <f>IF(Log[[#This Row],[ID]]="","",IFERROR(VLOOKUP(Log[[#This Row],[Verb]],Verbs,3,FALSE)&amp;"",""))</f>
      </c>
      <c r="H1788" s="17">
        <f>IF(Log[[#This Row],[Date]]="","",INT((Log[[#This Row],[Date]]-Sprint1)/SprintDays)+1)</f>
      </c>
      <c r="I1788" s="17">
        <f>IF(OR(Log[[#This Row],[Verb]]="commit",Log[[#This Row],[Verb]]="carry",Log[[#This Row],[Verb]]="redo"),IF(Log[[#This Row],[Arg]]="",Log[[#This Row],[Sprint]],N(Log[[#This Row],[Arg]])),"")</f>
      </c>
      <c r="J1788" s="17">
        <f>IF(Log[[#This Row],[Verb]]="block",1,IF(OR(Log[[#This Row],[Verb]]="unblock",Log[[#This Row],[Verb]]="done",Log[[#This Row],[Verb]]="drop",Log[[#This Row],[Verb]]="punt",Log[[#This Row],[Verb]]="pass"),0,""))</f>
      </c>
      <c r="K1788" s="17">
        <f>IF(Log[[#This Row],[ID]]="",0,IFERROR(INDEX(Items[Pts],MATCH(Log[[#This Row],[ID]],Items[ID],0))*1,0))</f>
      </c>
      <c r="L1788" s="17">
        <f>IF(Log[[#This Row],[ID]]="","",IFERROR(INDEX(Items[Cur team],MATCH(Log[[#This Row],[ID]],Items[ID],0))&amp;"",""))</f>
      </c>
      <c r="M1788" s="17">
        <f>IF(OR(Log[[#This Row],[Verb]]="done",Log[[#This Row],[Verb]]="punt",Log[[#This Row],[Verb]]="drop",Log[[#This Row],[Verb]]="pass"),Log[[#This Row],[Pts]],0)</f>
      </c>
    </row>
    <row r="1789">
      <c r="A1789" s="11">
        <v>46258</v>
      </c>
      <c r="B1789" t="s">
        <v>951</v>
      </c>
      <c r="C1789" t="s">
        <v>41</v>
      </c>
      <c r="F1789" s="17">
        <f>IF(Log[[#This Row],[ID]]="","",IF(ISNA(MATCH(Log[[#This Row],[ID]],Items[ID],0)),"unknown ID",IF(ISNA(MATCH(Log[[#This Row],[Verb]],VerbList,0)),"unknown verb",IF(Log[[#This Row],[Date]]="","no date",""))))</f>
      </c>
      <c r="G1789" s="17">
        <f>IF(Log[[#This Row],[ID]]="","",IFERROR(VLOOKUP(Log[[#This Row],[Verb]],Verbs,3,FALSE)&amp;"",""))</f>
      </c>
      <c r="H1789" s="17">
        <f>IF(Log[[#This Row],[Date]]="","",INT((Log[[#This Row],[Date]]-Sprint1)/SprintDays)+1)</f>
      </c>
      <c r="I1789" s="17">
        <f>IF(OR(Log[[#This Row],[Verb]]="commit",Log[[#This Row],[Verb]]="carry",Log[[#This Row],[Verb]]="redo"),IF(Log[[#This Row],[Arg]]="",Log[[#This Row],[Sprint]],N(Log[[#This Row],[Arg]])),"")</f>
      </c>
      <c r="J1789" s="17">
        <f>IF(Log[[#This Row],[Verb]]="block",1,IF(OR(Log[[#This Row],[Verb]]="unblock",Log[[#This Row],[Verb]]="done",Log[[#This Row],[Verb]]="drop",Log[[#This Row],[Verb]]="punt",Log[[#This Row],[Verb]]="pass"),0,""))</f>
      </c>
      <c r="K1789" s="17">
        <f>IF(Log[[#This Row],[ID]]="",0,IFERROR(INDEX(Items[Pts],MATCH(Log[[#This Row],[ID]],Items[ID],0))*1,0))</f>
      </c>
      <c r="L1789" s="17">
        <f>IF(Log[[#This Row],[ID]]="","",IFERROR(INDEX(Items[Cur team],MATCH(Log[[#This Row],[ID]],Items[ID],0))&amp;"",""))</f>
      </c>
      <c r="M1789" s="17">
        <f>IF(OR(Log[[#This Row],[Verb]]="done",Log[[#This Row],[Verb]]="punt",Log[[#This Row],[Verb]]="drop",Log[[#This Row],[Verb]]="pass"),Log[[#This Row],[Pts]],0)</f>
      </c>
    </row>
    <row r="1790">
      <c r="A1790" s="11">
        <v>46258</v>
      </c>
      <c r="B1790" t="s">
        <v>952</v>
      </c>
      <c r="C1790" t="s">
        <v>41</v>
      </c>
      <c r="F1790" s="17">
        <f>IF(Log[[#This Row],[ID]]="","",IF(ISNA(MATCH(Log[[#This Row],[ID]],Items[ID],0)),"unknown ID",IF(ISNA(MATCH(Log[[#This Row],[Verb]],VerbList,0)),"unknown verb",IF(Log[[#This Row],[Date]]="","no date",""))))</f>
      </c>
      <c r="G1790" s="17">
        <f>IF(Log[[#This Row],[ID]]="","",IFERROR(VLOOKUP(Log[[#This Row],[Verb]],Verbs,3,FALSE)&amp;"",""))</f>
      </c>
      <c r="H1790" s="17">
        <f>IF(Log[[#This Row],[Date]]="","",INT((Log[[#This Row],[Date]]-Sprint1)/SprintDays)+1)</f>
      </c>
      <c r="I1790" s="17">
        <f>IF(OR(Log[[#This Row],[Verb]]="commit",Log[[#This Row],[Verb]]="carry",Log[[#This Row],[Verb]]="redo"),IF(Log[[#This Row],[Arg]]="",Log[[#This Row],[Sprint]],N(Log[[#This Row],[Arg]])),"")</f>
      </c>
      <c r="J1790" s="17">
        <f>IF(Log[[#This Row],[Verb]]="block",1,IF(OR(Log[[#This Row],[Verb]]="unblock",Log[[#This Row],[Verb]]="done",Log[[#This Row],[Verb]]="drop",Log[[#This Row],[Verb]]="punt",Log[[#This Row],[Verb]]="pass"),0,""))</f>
      </c>
      <c r="K1790" s="17">
        <f>IF(Log[[#This Row],[ID]]="",0,IFERROR(INDEX(Items[Pts],MATCH(Log[[#This Row],[ID]],Items[ID],0))*1,0))</f>
      </c>
      <c r="L1790" s="17">
        <f>IF(Log[[#This Row],[ID]]="","",IFERROR(INDEX(Items[Cur team],MATCH(Log[[#This Row],[ID]],Items[ID],0))&amp;"",""))</f>
      </c>
      <c r="M1790" s="17">
        <f>IF(OR(Log[[#This Row],[Verb]]="done",Log[[#This Row],[Verb]]="punt",Log[[#This Row],[Verb]]="drop",Log[[#This Row],[Verb]]="pass"),Log[[#This Row],[Pts]],0)</f>
      </c>
    </row>
    <row r="1791">
      <c r="A1791" s="11">
        <v>46259</v>
      </c>
      <c r="B1791" t="s">
        <v>953</v>
      </c>
      <c r="C1791" t="s">
        <v>34</v>
      </c>
      <c r="D1791">
        <v>51</v>
      </c>
      <c r="F1791" s="17">
        <f>IF(Log[[#This Row],[ID]]="","",IF(ISNA(MATCH(Log[[#This Row],[ID]],Items[ID],0)),"unknown ID",IF(ISNA(MATCH(Log[[#This Row],[Verb]],VerbList,0)),"unknown verb",IF(Log[[#This Row],[Date]]="","no date",""))))</f>
      </c>
      <c r="G1791" s="17">
        <f>IF(Log[[#This Row],[ID]]="","",IFERROR(VLOOKUP(Log[[#This Row],[Verb]],Verbs,3,FALSE)&amp;"",""))</f>
      </c>
      <c r="H1791" s="17">
        <f>IF(Log[[#This Row],[Date]]="","",INT((Log[[#This Row],[Date]]-Sprint1)/SprintDays)+1)</f>
      </c>
      <c r="I1791" s="17">
        <f>IF(OR(Log[[#This Row],[Verb]]="commit",Log[[#This Row],[Verb]]="carry",Log[[#This Row],[Verb]]="redo"),IF(Log[[#This Row],[Arg]]="",Log[[#This Row],[Sprint]],N(Log[[#This Row],[Arg]])),"")</f>
      </c>
      <c r="J1791" s="17">
        <f>IF(Log[[#This Row],[Verb]]="block",1,IF(OR(Log[[#This Row],[Verb]]="unblock",Log[[#This Row],[Verb]]="done",Log[[#This Row],[Verb]]="drop",Log[[#This Row],[Verb]]="punt",Log[[#This Row],[Verb]]="pass"),0,""))</f>
      </c>
      <c r="K1791" s="17">
        <f>IF(Log[[#This Row],[ID]]="",0,IFERROR(INDEX(Items[Pts],MATCH(Log[[#This Row],[ID]],Items[ID],0))*1,0))</f>
      </c>
      <c r="L1791" s="17">
        <f>IF(Log[[#This Row],[ID]]="","",IFERROR(INDEX(Items[Cur team],MATCH(Log[[#This Row],[ID]],Items[ID],0))&amp;"",""))</f>
      </c>
      <c r="M1791" s="17">
        <f>IF(OR(Log[[#This Row],[Verb]]="done",Log[[#This Row],[Verb]]="punt",Log[[#This Row],[Verb]]="drop",Log[[#This Row],[Verb]]="pass"),Log[[#This Row],[Pts]],0)</f>
      </c>
    </row>
    <row r="1792">
      <c r="A1792" s="11">
        <v>46259</v>
      </c>
      <c r="B1792" t="s">
        <v>954</v>
      </c>
      <c r="C1792" t="s">
        <v>34</v>
      </c>
      <c r="D1792">
        <v>51</v>
      </c>
      <c r="F1792" s="17">
        <f>IF(Log[[#This Row],[ID]]="","",IF(ISNA(MATCH(Log[[#This Row],[ID]],Items[ID],0)),"unknown ID",IF(ISNA(MATCH(Log[[#This Row],[Verb]],VerbList,0)),"unknown verb",IF(Log[[#This Row],[Date]]="","no date",""))))</f>
      </c>
      <c r="G1792" s="17">
        <f>IF(Log[[#This Row],[ID]]="","",IFERROR(VLOOKUP(Log[[#This Row],[Verb]],Verbs,3,FALSE)&amp;"",""))</f>
      </c>
      <c r="H1792" s="17">
        <f>IF(Log[[#This Row],[Date]]="","",INT((Log[[#This Row],[Date]]-Sprint1)/SprintDays)+1)</f>
      </c>
      <c r="I1792" s="17">
        <f>IF(OR(Log[[#This Row],[Verb]]="commit",Log[[#This Row],[Verb]]="carry",Log[[#This Row],[Verb]]="redo"),IF(Log[[#This Row],[Arg]]="",Log[[#This Row],[Sprint]],N(Log[[#This Row],[Arg]])),"")</f>
      </c>
      <c r="J1792" s="17">
        <f>IF(Log[[#This Row],[Verb]]="block",1,IF(OR(Log[[#This Row],[Verb]]="unblock",Log[[#This Row],[Verb]]="done",Log[[#This Row],[Verb]]="drop",Log[[#This Row],[Verb]]="punt",Log[[#This Row],[Verb]]="pass"),0,""))</f>
      </c>
      <c r="K1792" s="17">
        <f>IF(Log[[#This Row],[ID]]="",0,IFERROR(INDEX(Items[Pts],MATCH(Log[[#This Row],[ID]],Items[ID],0))*1,0))</f>
      </c>
      <c r="L1792" s="17">
        <f>IF(Log[[#This Row],[ID]]="","",IFERROR(INDEX(Items[Cur team],MATCH(Log[[#This Row],[ID]],Items[ID],0))&amp;"",""))</f>
      </c>
      <c r="M1792" s="17">
        <f>IF(OR(Log[[#This Row],[Verb]]="done",Log[[#This Row],[Verb]]="punt",Log[[#This Row],[Verb]]="drop",Log[[#This Row],[Verb]]="pass"),Log[[#This Row],[Pts]],0)</f>
      </c>
    </row>
    <row r="1793">
      <c r="A1793" s="11">
        <v>46259</v>
      </c>
      <c r="B1793" t="s">
        <v>955</v>
      </c>
      <c r="C1793" t="s">
        <v>34</v>
      </c>
      <c r="D1793">
        <v>51</v>
      </c>
      <c r="F1793" s="17">
        <f>IF(Log[[#This Row],[ID]]="","",IF(ISNA(MATCH(Log[[#This Row],[ID]],Items[ID],0)),"unknown ID",IF(ISNA(MATCH(Log[[#This Row],[Verb]],VerbList,0)),"unknown verb",IF(Log[[#This Row],[Date]]="","no date",""))))</f>
      </c>
      <c r="G1793" s="17">
        <f>IF(Log[[#This Row],[ID]]="","",IFERROR(VLOOKUP(Log[[#This Row],[Verb]],Verbs,3,FALSE)&amp;"",""))</f>
      </c>
      <c r="H1793" s="17">
        <f>IF(Log[[#This Row],[Date]]="","",INT((Log[[#This Row],[Date]]-Sprint1)/SprintDays)+1)</f>
      </c>
      <c r="I1793" s="17">
        <f>IF(OR(Log[[#This Row],[Verb]]="commit",Log[[#This Row],[Verb]]="carry",Log[[#This Row],[Verb]]="redo"),IF(Log[[#This Row],[Arg]]="",Log[[#This Row],[Sprint]],N(Log[[#This Row],[Arg]])),"")</f>
      </c>
      <c r="J1793" s="17">
        <f>IF(Log[[#This Row],[Verb]]="block",1,IF(OR(Log[[#This Row],[Verb]]="unblock",Log[[#This Row],[Verb]]="done",Log[[#This Row],[Verb]]="drop",Log[[#This Row],[Verb]]="punt",Log[[#This Row],[Verb]]="pass"),0,""))</f>
      </c>
      <c r="K1793" s="17">
        <f>IF(Log[[#This Row],[ID]]="",0,IFERROR(INDEX(Items[Pts],MATCH(Log[[#This Row],[ID]],Items[ID],0))*1,0))</f>
      </c>
      <c r="L1793" s="17">
        <f>IF(Log[[#This Row],[ID]]="","",IFERROR(INDEX(Items[Cur team],MATCH(Log[[#This Row],[ID]],Items[ID],0))&amp;"",""))</f>
      </c>
      <c r="M1793" s="17">
        <f>IF(OR(Log[[#This Row],[Verb]]="done",Log[[#This Row],[Verb]]="punt",Log[[#This Row],[Verb]]="drop",Log[[#This Row],[Verb]]="pass"),Log[[#This Row],[Pts]],0)</f>
      </c>
    </row>
    <row r="1794">
      <c r="A1794" s="11">
        <v>46259</v>
      </c>
      <c r="B1794" t="s">
        <v>956</v>
      </c>
      <c r="C1794" t="s">
        <v>34</v>
      </c>
      <c r="D1794">
        <v>51</v>
      </c>
      <c r="F1794" s="17">
        <f>IF(Log[[#This Row],[ID]]="","",IF(ISNA(MATCH(Log[[#This Row],[ID]],Items[ID],0)),"unknown ID",IF(ISNA(MATCH(Log[[#This Row],[Verb]],VerbList,0)),"unknown verb",IF(Log[[#This Row],[Date]]="","no date",""))))</f>
      </c>
      <c r="G1794" s="17">
        <f>IF(Log[[#This Row],[ID]]="","",IFERROR(VLOOKUP(Log[[#This Row],[Verb]],Verbs,3,FALSE)&amp;"",""))</f>
      </c>
      <c r="H1794" s="17">
        <f>IF(Log[[#This Row],[Date]]="","",INT((Log[[#This Row],[Date]]-Sprint1)/SprintDays)+1)</f>
      </c>
      <c r="I1794" s="17">
        <f>IF(OR(Log[[#This Row],[Verb]]="commit",Log[[#This Row],[Verb]]="carry",Log[[#This Row],[Verb]]="redo"),IF(Log[[#This Row],[Arg]]="",Log[[#This Row],[Sprint]],N(Log[[#This Row],[Arg]])),"")</f>
      </c>
      <c r="J1794" s="17">
        <f>IF(Log[[#This Row],[Verb]]="block",1,IF(OR(Log[[#This Row],[Verb]]="unblock",Log[[#This Row],[Verb]]="done",Log[[#This Row],[Verb]]="drop",Log[[#This Row],[Verb]]="punt",Log[[#This Row],[Verb]]="pass"),0,""))</f>
      </c>
      <c r="K1794" s="17">
        <f>IF(Log[[#This Row],[ID]]="",0,IFERROR(INDEX(Items[Pts],MATCH(Log[[#This Row],[ID]],Items[ID],0))*1,0))</f>
      </c>
      <c r="L1794" s="17">
        <f>IF(Log[[#This Row],[ID]]="","",IFERROR(INDEX(Items[Cur team],MATCH(Log[[#This Row],[ID]],Items[ID],0))&amp;"",""))</f>
      </c>
      <c r="M1794" s="17">
        <f>IF(OR(Log[[#This Row],[Verb]]="done",Log[[#This Row],[Verb]]="punt",Log[[#This Row],[Verb]]="drop",Log[[#This Row],[Verb]]="pass"),Log[[#This Row],[Pts]],0)</f>
      </c>
    </row>
    <row r="1795">
      <c r="A1795" s="11">
        <v>46259</v>
      </c>
      <c r="B1795" t="s">
        <v>957</v>
      </c>
      <c r="C1795" t="s">
        <v>34</v>
      </c>
      <c r="D1795">
        <v>51</v>
      </c>
      <c r="F1795" s="17">
        <f>IF(Log[[#This Row],[ID]]="","",IF(ISNA(MATCH(Log[[#This Row],[ID]],Items[ID],0)),"unknown ID",IF(ISNA(MATCH(Log[[#This Row],[Verb]],VerbList,0)),"unknown verb",IF(Log[[#This Row],[Date]]="","no date",""))))</f>
      </c>
      <c r="G1795" s="17">
        <f>IF(Log[[#This Row],[ID]]="","",IFERROR(VLOOKUP(Log[[#This Row],[Verb]],Verbs,3,FALSE)&amp;"",""))</f>
      </c>
      <c r="H1795" s="17">
        <f>IF(Log[[#This Row],[Date]]="","",INT((Log[[#This Row],[Date]]-Sprint1)/SprintDays)+1)</f>
      </c>
      <c r="I1795" s="17">
        <f>IF(OR(Log[[#This Row],[Verb]]="commit",Log[[#This Row],[Verb]]="carry",Log[[#This Row],[Verb]]="redo"),IF(Log[[#This Row],[Arg]]="",Log[[#This Row],[Sprint]],N(Log[[#This Row],[Arg]])),"")</f>
      </c>
      <c r="J1795" s="17">
        <f>IF(Log[[#This Row],[Verb]]="block",1,IF(OR(Log[[#This Row],[Verb]]="unblock",Log[[#This Row],[Verb]]="done",Log[[#This Row],[Verb]]="drop",Log[[#This Row],[Verb]]="punt",Log[[#This Row],[Verb]]="pass"),0,""))</f>
      </c>
      <c r="K1795" s="17">
        <f>IF(Log[[#This Row],[ID]]="",0,IFERROR(INDEX(Items[Pts],MATCH(Log[[#This Row],[ID]],Items[ID],0))*1,0))</f>
      </c>
      <c r="L1795" s="17">
        <f>IF(Log[[#This Row],[ID]]="","",IFERROR(INDEX(Items[Cur team],MATCH(Log[[#This Row],[ID]],Items[ID],0))&amp;"",""))</f>
      </c>
      <c r="M1795" s="17">
        <f>IF(OR(Log[[#This Row],[Verb]]="done",Log[[#This Row],[Verb]]="punt",Log[[#This Row],[Verb]]="drop",Log[[#This Row],[Verb]]="pass"),Log[[#This Row],[Pts]],0)</f>
      </c>
    </row>
    <row r="1796">
      <c r="A1796" s="11">
        <v>46259</v>
      </c>
      <c r="B1796" t="s">
        <v>958</v>
      </c>
      <c r="C1796" t="s">
        <v>34</v>
      </c>
      <c r="D1796">
        <v>51</v>
      </c>
      <c r="F1796" s="17">
        <f>IF(Log[[#This Row],[ID]]="","",IF(ISNA(MATCH(Log[[#This Row],[ID]],Items[ID],0)),"unknown ID",IF(ISNA(MATCH(Log[[#This Row],[Verb]],VerbList,0)),"unknown verb",IF(Log[[#This Row],[Date]]="","no date",""))))</f>
      </c>
      <c r="G1796" s="17">
        <f>IF(Log[[#This Row],[ID]]="","",IFERROR(VLOOKUP(Log[[#This Row],[Verb]],Verbs,3,FALSE)&amp;"",""))</f>
      </c>
      <c r="H1796" s="17">
        <f>IF(Log[[#This Row],[Date]]="","",INT((Log[[#This Row],[Date]]-Sprint1)/SprintDays)+1)</f>
      </c>
      <c r="I1796" s="17">
        <f>IF(OR(Log[[#This Row],[Verb]]="commit",Log[[#This Row],[Verb]]="carry",Log[[#This Row],[Verb]]="redo"),IF(Log[[#This Row],[Arg]]="",Log[[#This Row],[Sprint]],N(Log[[#This Row],[Arg]])),"")</f>
      </c>
      <c r="J1796" s="17">
        <f>IF(Log[[#This Row],[Verb]]="block",1,IF(OR(Log[[#This Row],[Verb]]="unblock",Log[[#This Row],[Verb]]="done",Log[[#This Row],[Verb]]="drop",Log[[#This Row],[Verb]]="punt",Log[[#This Row],[Verb]]="pass"),0,""))</f>
      </c>
      <c r="K1796" s="17">
        <f>IF(Log[[#This Row],[ID]]="",0,IFERROR(INDEX(Items[Pts],MATCH(Log[[#This Row],[ID]],Items[ID],0))*1,0))</f>
      </c>
      <c r="L1796" s="17">
        <f>IF(Log[[#This Row],[ID]]="","",IFERROR(INDEX(Items[Cur team],MATCH(Log[[#This Row],[ID]],Items[ID],0))&amp;"",""))</f>
      </c>
      <c r="M1796" s="17">
        <f>IF(OR(Log[[#This Row],[Verb]]="done",Log[[#This Row],[Verb]]="punt",Log[[#This Row],[Verb]]="drop",Log[[#This Row],[Verb]]="pass"),Log[[#This Row],[Pts]],0)</f>
      </c>
    </row>
    <row r="1797">
      <c r="A1797" s="11">
        <v>46259</v>
      </c>
      <c r="B1797" t="s">
        <v>959</v>
      </c>
      <c r="C1797" t="s">
        <v>34</v>
      </c>
      <c r="D1797">
        <v>51</v>
      </c>
      <c r="F1797" s="17">
        <f>IF(Log[[#This Row],[ID]]="","",IF(ISNA(MATCH(Log[[#This Row],[ID]],Items[ID],0)),"unknown ID",IF(ISNA(MATCH(Log[[#This Row],[Verb]],VerbList,0)),"unknown verb",IF(Log[[#This Row],[Date]]="","no date",""))))</f>
      </c>
      <c r="G1797" s="17">
        <f>IF(Log[[#This Row],[ID]]="","",IFERROR(VLOOKUP(Log[[#This Row],[Verb]],Verbs,3,FALSE)&amp;"",""))</f>
      </c>
      <c r="H1797" s="17">
        <f>IF(Log[[#This Row],[Date]]="","",INT((Log[[#This Row],[Date]]-Sprint1)/SprintDays)+1)</f>
      </c>
      <c r="I1797" s="17">
        <f>IF(OR(Log[[#This Row],[Verb]]="commit",Log[[#This Row],[Verb]]="carry",Log[[#This Row],[Verb]]="redo"),IF(Log[[#This Row],[Arg]]="",Log[[#This Row],[Sprint]],N(Log[[#This Row],[Arg]])),"")</f>
      </c>
      <c r="J1797" s="17">
        <f>IF(Log[[#This Row],[Verb]]="block",1,IF(OR(Log[[#This Row],[Verb]]="unblock",Log[[#This Row],[Verb]]="done",Log[[#This Row],[Verb]]="drop",Log[[#This Row],[Verb]]="punt",Log[[#This Row],[Verb]]="pass"),0,""))</f>
      </c>
      <c r="K1797" s="17">
        <f>IF(Log[[#This Row],[ID]]="",0,IFERROR(INDEX(Items[Pts],MATCH(Log[[#This Row],[ID]],Items[ID],0))*1,0))</f>
      </c>
      <c r="L1797" s="17">
        <f>IF(Log[[#This Row],[ID]]="","",IFERROR(INDEX(Items[Cur team],MATCH(Log[[#This Row],[ID]],Items[ID],0))&amp;"",""))</f>
      </c>
      <c r="M1797" s="17">
        <f>IF(OR(Log[[#This Row],[Verb]]="done",Log[[#This Row],[Verb]]="punt",Log[[#This Row],[Verb]]="drop",Log[[#This Row],[Verb]]="pass"),Log[[#This Row],[Pts]],0)</f>
      </c>
    </row>
    <row r="1798">
      <c r="A1798" s="11">
        <v>46259</v>
      </c>
      <c r="B1798" t="s">
        <v>960</v>
      </c>
      <c r="C1798" t="s">
        <v>34</v>
      </c>
      <c r="D1798">
        <v>51</v>
      </c>
      <c r="F1798" s="17">
        <f>IF(Log[[#This Row],[ID]]="","",IF(ISNA(MATCH(Log[[#This Row],[ID]],Items[ID],0)),"unknown ID",IF(ISNA(MATCH(Log[[#This Row],[Verb]],VerbList,0)),"unknown verb",IF(Log[[#This Row],[Date]]="","no date",""))))</f>
      </c>
      <c r="G1798" s="17">
        <f>IF(Log[[#This Row],[ID]]="","",IFERROR(VLOOKUP(Log[[#This Row],[Verb]],Verbs,3,FALSE)&amp;"",""))</f>
      </c>
      <c r="H1798" s="17">
        <f>IF(Log[[#This Row],[Date]]="","",INT((Log[[#This Row],[Date]]-Sprint1)/SprintDays)+1)</f>
      </c>
      <c r="I1798" s="17">
        <f>IF(OR(Log[[#This Row],[Verb]]="commit",Log[[#This Row],[Verb]]="carry",Log[[#This Row],[Verb]]="redo"),IF(Log[[#This Row],[Arg]]="",Log[[#This Row],[Sprint]],N(Log[[#This Row],[Arg]])),"")</f>
      </c>
      <c r="J1798" s="17">
        <f>IF(Log[[#This Row],[Verb]]="block",1,IF(OR(Log[[#This Row],[Verb]]="unblock",Log[[#This Row],[Verb]]="done",Log[[#This Row],[Verb]]="drop",Log[[#This Row],[Verb]]="punt",Log[[#This Row],[Verb]]="pass"),0,""))</f>
      </c>
      <c r="K1798" s="17">
        <f>IF(Log[[#This Row],[ID]]="",0,IFERROR(INDEX(Items[Pts],MATCH(Log[[#This Row],[ID]],Items[ID],0))*1,0))</f>
      </c>
      <c r="L1798" s="17">
        <f>IF(Log[[#This Row],[ID]]="","",IFERROR(INDEX(Items[Cur team],MATCH(Log[[#This Row],[ID]],Items[ID],0))&amp;"",""))</f>
      </c>
      <c r="M1798" s="17">
        <f>IF(OR(Log[[#This Row],[Verb]]="done",Log[[#This Row],[Verb]]="punt",Log[[#This Row],[Verb]]="drop",Log[[#This Row],[Verb]]="pass"),Log[[#This Row],[Pts]],0)</f>
      </c>
    </row>
    <row r="1799">
      <c r="A1799" s="11">
        <v>46259</v>
      </c>
      <c r="B1799" t="s">
        <v>961</v>
      </c>
      <c r="C1799" t="s">
        <v>34</v>
      </c>
      <c r="D1799">
        <v>51</v>
      </c>
      <c r="F1799" s="17">
        <f>IF(Log[[#This Row],[ID]]="","",IF(ISNA(MATCH(Log[[#This Row],[ID]],Items[ID],0)),"unknown ID",IF(ISNA(MATCH(Log[[#This Row],[Verb]],VerbList,0)),"unknown verb",IF(Log[[#This Row],[Date]]="","no date",""))))</f>
      </c>
      <c r="G1799" s="17">
        <f>IF(Log[[#This Row],[ID]]="","",IFERROR(VLOOKUP(Log[[#This Row],[Verb]],Verbs,3,FALSE)&amp;"",""))</f>
      </c>
      <c r="H1799" s="17">
        <f>IF(Log[[#This Row],[Date]]="","",INT((Log[[#This Row],[Date]]-Sprint1)/SprintDays)+1)</f>
      </c>
      <c r="I1799" s="17">
        <f>IF(OR(Log[[#This Row],[Verb]]="commit",Log[[#This Row],[Verb]]="carry",Log[[#This Row],[Verb]]="redo"),IF(Log[[#This Row],[Arg]]="",Log[[#This Row],[Sprint]],N(Log[[#This Row],[Arg]])),"")</f>
      </c>
      <c r="J1799" s="17">
        <f>IF(Log[[#This Row],[Verb]]="block",1,IF(OR(Log[[#This Row],[Verb]]="unblock",Log[[#This Row],[Verb]]="done",Log[[#This Row],[Verb]]="drop",Log[[#This Row],[Verb]]="punt",Log[[#This Row],[Verb]]="pass"),0,""))</f>
      </c>
      <c r="K1799" s="17">
        <f>IF(Log[[#This Row],[ID]]="",0,IFERROR(INDEX(Items[Pts],MATCH(Log[[#This Row],[ID]],Items[ID],0))*1,0))</f>
      </c>
      <c r="L1799" s="17">
        <f>IF(Log[[#This Row],[ID]]="","",IFERROR(INDEX(Items[Cur team],MATCH(Log[[#This Row],[ID]],Items[ID],0))&amp;"",""))</f>
      </c>
      <c r="M1799" s="17">
        <f>IF(OR(Log[[#This Row],[Verb]]="done",Log[[#This Row],[Verb]]="punt",Log[[#This Row],[Verb]]="drop",Log[[#This Row],[Verb]]="pass"),Log[[#This Row],[Pts]],0)</f>
      </c>
    </row>
    <row r="1800">
      <c r="A1800" s="11">
        <v>46259</v>
      </c>
      <c r="B1800" t="s">
        <v>962</v>
      </c>
      <c r="C1800" t="s">
        <v>34</v>
      </c>
      <c r="D1800">
        <v>51</v>
      </c>
      <c r="F1800" s="17">
        <f>IF(Log[[#This Row],[ID]]="","",IF(ISNA(MATCH(Log[[#This Row],[ID]],Items[ID],0)),"unknown ID",IF(ISNA(MATCH(Log[[#This Row],[Verb]],VerbList,0)),"unknown verb",IF(Log[[#This Row],[Date]]="","no date",""))))</f>
      </c>
      <c r="G1800" s="17">
        <f>IF(Log[[#This Row],[ID]]="","",IFERROR(VLOOKUP(Log[[#This Row],[Verb]],Verbs,3,FALSE)&amp;"",""))</f>
      </c>
      <c r="H1800" s="17">
        <f>IF(Log[[#This Row],[Date]]="","",INT((Log[[#This Row],[Date]]-Sprint1)/SprintDays)+1)</f>
      </c>
      <c r="I1800" s="17">
        <f>IF(OR(Log[[#This Row],[Verb]]="commit",Log[[#This Row],[Verb]]="carry",Log[[#This Row],[Verb]]="redo"),IF(Log[[#This Row],[Arg]]="",Log[[#This Row],[Sprint]],N(Log[[#This Row],[Arg]])),"")</f>
      </c>
      <c r="J1800" s="17">
        <f>IF(Log[[#This Row],[Verb]]="block",1,IF(OR(Log[[#This Row],[Verb]]="unblock",Log[[#This Row],[Verb]]="done",Log[[#This Row],[Verb]]="drop",Log[[#This Row],[Verb]]="punt",Log[[#This Row],[Verb]]="pass"),0,""))</f>
      </c>
      <c r="K1800" s="17">
        <f>IF(Log[[#This Row],[ID]]="",0,IFERROR(INDEX(Items[Pts],MATCH(Log[[#This Row],[ID]],Items[ID],0))*1,0))</f>
      </c>
      <c r="L1800" s="17">
        <f>IF(Log[[#This Row],[ID]]="","",IFERROR(INDEX(Items[Cur team],MATCH(Log[[#This Row],[ID]],Items[ID],0))&amp;"",""))</f>
      </c>
      <c r="M1800" s="17">
        <f>IF(OR(Log[[#This Row],[Verb]]="done",Log[[#This Row],[Verb]]="punt",Log[[#This Row],[Verb]]="drop",Log[[#This Row],[Verb]]="pass"),Log[[#This Row],[Pts]],0)</f>
      </c>
    </row>
    <row r="1801">
      <c r="A1801" s="11">
        <v>46259</v>
      </c>
      <c r="B1801" t="s">
        <v>963</v>
      </c>
      <c r="C1801" t="s">
        <v>34</v>
      </c>
      <c r="D1801">
        <v>51</v>
      </c>
      <c r="F1801" s="17">
        <f>IF(Log[[#This Row],[ID]]="","",IF(ISNA(MATCH(Log[[#This Row],[ID]],Items[ID],0)),"unknown ID",IF(ISNA(MATCH(Log[[#This Row],[Verb]],VerbList,0)),"unknown verb",IF(Log[[#This Row],[Date]]="","no date",""))))</f>
      </c>
      <c r="G1801" s="17">
        <f>IF(Log[[#This Row],[ID]]="","",IFERROR(VLOOKUP(Log[[#This Row],[Verb]],Verbs,3,FALSE)&amp;"",""))</f>
      </c>
      <c r="H1801" s="17">
        <f>IF(Log[[#This Row],[Date]]="","",INT((Log[[#This Row],[Date]]-Sprint1)/SprintDays)+1)</f>
      </c>
      <c r="I1801" s="17">
        <f>IF(OR(Log[[#This Row],[Verb]]="commit",Log[[#This Row],[Verb]]="carry",Log[[#This Row],[Verb]]="redo"),IF(Log[[#This Row],[Arg]]="",Log[[#This Row],[Sprint]],N(Log[[#This Row],[Arg]])),"")</f>
      </c>
      <c r="J1801" s="17">
        <f>IF(Log[[#This Row],[Verb]]="block",1,IF(OR(Log[[#This Row],[Verb]]="unblock",Log[[#This Row],[Verb]]="done",Log[[#This Row],[Verb]]="drop",Log[[#This Row],[Verb]]="punt",Log[[#This Row],[Verb]]="pass"),0,""))</f>
      </c>
      <c r="K1801" s="17">
        <f>IF(Log[[#This Row],[ID]]="",0,IFERROR(INDEX(Items[Pts],MATCH(Log[[#This Row],[ID]],Items[ID],0))*1,0))</f>
      </c>
      <c r="L1801" s="17">
        <f>IF(Log[[#This Row],[ID]]="","",IFERROR(INDEX(Items[Cur team],MATCH(Log[[#This Row],[ID]],Items[ID],0))&amp;"",""))</f>
      </c>
      <c r="M1801" s="17">
        <f>IF(OR(Log[[#This Row],[Verb]]="done",Log[[#This Row],[Verb]]="punt",Log[[#This Row],[Verb]]="drop",Log[[#This Row],[Verb]]="pass"),Log[[#This Row],[Pts]],0)</f>
      </c>
    </row>
    <row r="1802">
      <c r="A1802" s="11">
        <v>46259</v>
      </c>
      <c r="B1802" t="s">
        <v>964</v>
      </c>
      <c r="C1802" t="s">
        <v>34</v>
      </c>
      <c r="D1802">
        <v>51</v>
      </c>
      <c r="F1802" s="17">
        <f>IF(Log[[#This Row],[ID]]="","",IF(ISNA(MATCH(Log[[#This Row],[ID]],Items[ID],0)),"unknown ID",IF(ISNA(MATCH(Log[[#This Row],[Verb]],VerbList,0)),"unknown verb",IF(Log[[#This Row],[Date]]="","no date",""))))</f>
      </c>
      <c r="G1802" s="17">
        <f>IF(Log[[#This Row],[ID]]="","",IFERROR(VLOOKUP(Log[[#This Row],[Verb]],Verbs,3,FALSE)&amp;"",""))</f>
      </c>
      <c r="H1802" s="17">
        <f>IF(Log[[#This Row],[Date]]="","",INT((Log[[#This Row],[Date]]-Sprint1)/SprintDays)+1)</f>
      </c>
      <c r="I1802" s="17">
        <f>IF(OR(Log[[#This Row],[Verb]]="commit",Log[[#This Row],[Verb]]="carry",Log[[#This Row],[Verb]]="redo"),IF(Log[[#This Row],[Arg]]="",Log[[#This Row],[Sprint]],N(Log[[#This Row],[Arg]])),"")</f>
      </c>
      <c r="J1802" s="17">
        <f>IF(Log[[#This Row],[Verb]]="block",1,IF(OR(Log[[#This Row],[Verb]]="unblock",Log[[#This Row],[Verb]]="done",Log[[#This Row],[Verb]]="drop",Log[[#This Row],[Verb]]="punt",Log[[#This Row],[Verb]]="pass"),0,""))</f>
      </c>
      <c r="K1802" s="17">
        <f>IF(Log[[#This Row],[ID]]="",0,IFERROR(INDEX(Items[Pts],MATCH(Log[[#This Row],[ID]],Items[ID],0))*1,0))</f>
      </c>
      <c r="L1802" s="17">
        <f>IF(Log[[#This Row],[ID]]="","",IFERROR(INDEX(Items[Cur team],MATCH(Log[[#This Row],[ID]],Items[ID],0))&amp;"",""))</f>
      </c>
      <c r="M1802" s="17">
        <f>IF(OR(Log[[#This Row],[Verb]]="done",Log[[#This Row],[Verb]]="punt",Log[[#This Row],[Verb]]="drop",Log[[#This Row],[Verb]]="pass"),Log[[#This Row],[Pts]],0)</f>
      </c>
    </row>
    <row r="1803">
      <c r="A1803" s="11">
        <v>46259</v>
      </c>
      <c r="B1803" t="s">
        <v>965</v>
      </c>
      <c r="C1803" t="s">
        <v>34</v>
      </c>
      <c r="D1803">
        <v>51</v>
      </c>
      <c r="F1803" s="17">
        <f>IF(Log[[#This Row],[ID]]="","",IF(ISNA(MATCH(Log[[#This Row],[ID]],Items[ID],0)),"unknown ID",IF(ISNA(MATCH(Log[[#This Row],[Verb]],VerbList,0)),"unknown verb",IF(Log[[#This Row],[Date]]="","no date",""))))</f>
      </c>
      <c r="G1803" s="17">
        <f>IF(Log[[#This Row],[ID]]="","",IFERROR(VLOOKUP(Log[[#This Row],[Verb]],Verbs,3,FALSE)&amp;"",""))</f>
      </c>
      <c r="H1803" s="17">
        <f>IF(Log[[#This Row],[Date]]="","",INT((Log[[#This Row],[Date]]-Sprint1)/SprintDays)+1)</f>
      </c>
      <c r="I1803" s="17">
        <f>IF(OR(Log[[#This Row],[Verb]]="commit",Log[[#This Row],[Verb]]="carry",Log[[#This Row],[Verb]]="redo"),IF(Log[[#This Row],[Arg]]="",Log[[#This Row],[Sprint]],N(Log[[#This Row],[Arg]])),"")</f>
      </c>
      <c r="J1803" s="17">
        <f>IF(Log[[#This Row],[Verb]]="block",1,IF(OR(Log[[#This Row],[Verb]]="unblock",Log[[#This Row],[Verb]]="done",Log[[#This Row],[Verb]]="drop",Log[[#This Row],[Verb]]="punt",Log[[#This Row],[Verb]]="pass"),0,""))</f>
      </c>
      <c r="K1803" s="17">
        <f>IF(Log[[#This Row],[ID]]="",0,IFERROR(INDEX(Items[Pts],MATCH(Log[[#This Row],[ID]],Items[ID],0))*1,0))</f>
      </c>
      <c r="L1803" s="17">
        <f>IF(Log[[#This Row],[ID]]="","",IFERROR(INDEX(Items[Cur team],MATCH(Log[[#This Row],[ID]],Items[ID],0))&amp;"",""))</f>
      </c>
      <c r="M1803" s="17">
        <f>IF(OR(Log[[#This Row],[Verb]]="done",Log[[#This Row],[Verb]]="punt",Log[[#This Row],[Verb]]="drop",Log[[#This Row],[Verb]]="pass"),Log[[#This Row],[Pts]],0)</f>
      </c>
    </row>
    <row r="1804">
      <c r="A1804" s="11">
        <v>46259</v>
      </c>
      <c r="B1804" t="s">
        <v>904</v>
      </c>
      <c r="C1804" t="s">
        <v>57</v>
      </c>
      <c r="D1804">
        <v>51</v>
      </c>
      <c r="E1804" t="s">
        <v>193</v>
      </c>
      <c r="F1804" s="17">
        <f>IF(Log[[#This Row],[ID]]="","",IF(ISNA(MATCH(Log[[#This Row],[ID]],Items[ID],0)),"unknown ID",IF(ISNA(MATCH(Log[[#This Row],[Verb]],VerbList,0)),"unknown verb",IF(Log[[#This Row],[Date]]="","no date",""))))</f>
      </c>
      <c r="G1804" s="17">
        <f>IF(Log[[#This Row],[ID]]="","",IFERROR(VLOOKUP(Log[[#This Row],[Verb]],Verbs,3,FALSE)&amp;"",""))</f>
      </c>
      <c r="H1804" s="17">
        <f>IF(Log[[#This Row],[Date]]="","",INT((Log[[#This Row],[Date]]-Sprint1)/SprintDays)+1)</f>
      </c>
      <c r="I1804" s="17">
        <f>IF(OR(Log[[#This Row],[Verb]]="commit",Log[[#This Row],[Verb]]="carry",Log[[#This Row],[Verb]]="redo"),IF(Log[[#This Row],[Arg]]="",Log[[#This Row],[Sprint]],N(Log[[#This Row],[Arg]])),"")</f>
      </c>
      <c r="J1804" s="17">
        <f>IF(Log[[#This Row],[Verb]]="block",1,IF(OR(Log[[#This Row],[Verb]]="unblock",Log[[#This Row],[Verb]]="done",Log[[#This Row],[Verb]]="drop",Log[[#This Row],[Verb]]="punt",Log[[#This Row],[Verb]]="pass"),0,""))</f>
      </c>
      <c r="K1804" s="17">
        <f>IF(Log[[#This Row],[ID]]="",0,IFERROR(INDEX(Items[Pts],MATCH(Log[[#This Row],[ID]],Items[ID],0))*1,0))</f>
      </c>
      <c r="L1804" s="17">
        <f>IF(Log[[#This Row],[ID]]="","",IFERROR(INDEX(Items[Cur team],MATCH(Log[[#This Row],[ID]],Items[ID],0))&amp;"",""))</f>
      </c>
      <c r="M1804" s="17">
        <f>IF(OR(Log[[#This Row],[Verb]]="done",Log[[#This Row],[Verb]]="punt",Log[[#This Row],[Verb]]="drop",Log[[#This Row],[Verb]]="pass"),Log[[#This Row],[Pts]],0)</f>
      </c>
    </row>
    <row r="1805">
      <c r="A1805" s="11">
        <v>46259</v>
      </c>
      <c r="B1805" t="s">
        <v>966</v>
      </c>
      <c r="C1805" t="s">
        <v>34</v>
      </c>
      <c r="D1805">
        <v>51</v>
      </c>
      <c r="F1805" s="17">
        <f>IF(Log[[#This Row],[ID]]="","",IF(ISNA(MATCH(Log[[#This Row],[ID]],Items[ID],0)),"unknown ID",IF(ISNA(MATCH(Log[[#This Row],[Verb]],VerbList,0)),"unknown verb",IF(Log[[#This Row],[Date]]="","no date",""))))</f>
      </c>
      <c r="G1805" s="17">
        <f>IF(Log[[#This Row],[ID]]="","",IFERROR(VLOOKUP(Log[[#This Row],[Verb]],Verbs,3,FALSE)&amp;"",""))</f>
      </c>
      <c r="H1805" s="17">
        <f>IF(Log[[#This Row],[Date]]="","",INT((Log[[#This Row],[Date]]-Sprint1)/SprintDays)+1)</f>
      </c>
      <c r="I1805" s="17">
        <f>IF(OR(Log[[#This Row],[Verb]]="commit",Log[[#This Row],[Verb]]="carry",Log[[#This Row],[Verb]]="redo"),IF(Log[[#This Row],[Arg]]="",Log[[#This Row],[Sprint]],N(Log[[#This Row],[Arg]])),"")</f>
      </c>
      <c r="J1805" s="17">
        <f>IF(Log[[#This Row],[Verb]]="block",1,IF(OR(Log[[#This Row],[Verb]]="unblock",Log[[#This Row],[Verb]]="done",Log[[#This Row],[Verb]]="drop",Log[[#This Row],[Verb]]="punt",Log[[#This Row],[Verb]]="pass"),0,""))</f>
      </c>
      <c r="K1805" s="17">
        <f>IF(Log[[#This Row],[ID]]="",0,IFERROR(INDEX(Items[Pts],MATCH(Log[[#This Row],[ID]],Items[ID],0))*1,0))</f>
      </c>
      <c r="L1805" s="17">
        <f>IF(Log[[#This Row],[ID]]="","",IFERROR(INDEX(Items[Cur team],MATCH(Log[[#This Row],[ID]],Items[ID],0))&amp;"",""))</f>
      </c>
      <c r="M1805" s="17">
        <f>IF(OR(Log[[#This Row],[Verb]]="done",Log[[#This Row],[Verb]]="punt",Log[[#This Row],[Verb]]="drop",Log[[#This Row],[Verb]]="pass"),Log[[#This Row],[Pts]],0)</f>
      </c>
    </row>
    <row r="1806">
      <c r="A1806" s="11">
        <v>46259</v>
      </c>
      <c r="B1806" t="s">
        <v>967</v>
      </c>
      <c r="C1806" t="s">
        <v>34</v>
      </c>
      <c r="D1806">
        <v>51</v>
      </c>
      <c r="F1806" s="17">
        <f>IF(Log[[#This Row],[ID]]="","",IF(ISNA(MATCH(Log[[#This Row],[ID]],Items[ID],0)),"unknown ID",IF(ISNA(MATCH(Log[[#This Row],[Verb]],VerbList,0)),"unknown verb",IF(Log[[#This Row],[Date]]="","no date",""))))</f>
      </c>
      <c r="G1806" s="17">
        <f>IF(Log[[#This Row],[ID]]="","",IFERROR(VLOOKUP(Log[[#This Row],[Verb]],Verbs,3,FALSE)&amp;"",""))</f>
      </c>
      <c r="H1806" s="17">
        <f>IF(Log[[#This Row],[Date]]="","",INT((Log[[#This Row],[Date]]-Sprint1)/SprintDays)+1)</f>
      </c>
      <c r="I1806" s="17">
        <f>IF(OR(Log[[#This Row],[Verb]]="commit",Log[[#This Row],[Verb]]="carry",Log[[#This Row],[Verb]]="redo"),IF(Log[[#This Row],[Arg]]="",Log[[#This Row],[Sprint]],N(Log[[#This Row],[Arg]])),"")</f>
      </c>
      <c r="J1806" s="17">
        <f>IF(Log[[#This Row],[Verb]]="block",1,IF(OR(Log[[#This Row],[Verb]]="unblock",Log[[#This Row],[Verb]]="done",Log[[#This Row],[Verb]]="drop",Log[[#This Row],[Verb]]="punt",Log[[#This Row],[Verb]]="pass"),0,""))</f>
      </c>
      <c r="K1806" s="17">
        <f>IF(Log[[#This Row],[ID]]="",0,IFERROR(INDEX(Items[Pts],MATCH(Log[[#This Row],[ID]],Items[ID],0))*1,0))</f>
      </c>
      <c r="L1806" s="17">
        <f>IF(Log[[#This Row],[ID]]="","",IFERROR(INDEX(Items[Cur team],MATCH(Log[[#This Row],[ID]],Items[ID],0))&amp;"",""))</f>
      </c>
      <c r="M1806" s="17">
        <f>IF(OR(Log[[#This Row],[Verb]]="done",Log[[#This Row],[Verb]]="punt",Log[[#This Row],[Verb]]="drop",Log[[#This Row],[Verb]]="pass"),Log[[#This Row],[Pts]],0)</f>
      </c>
    </row>
    <row r="1807">
      <c r="A1807" s="11">
        <v>46259</v>
      </c>
      <c r="B1807" t="s">
        <v>968</v>
      </c>
      <c r="C1807" t="s">
        <v>34</v>
      </c>
      <c r="D1807">
        <v>51</v>
      </c>
      <c r="F1807" s="17">
        <f>IF(Log[[#This Row],[ID]]="","",IF(ISNA(MATCH(Log[[#This Row],[ID]],Items[ID],0)),"unknown ID",IF(ISNA(MATCH(Log[[#This Row],[Verb]],VerbList,0)),"unknown verb",IF(Log[[#This Row],[Date]]="","no date",""))))</f>
      </c>
      <c r="G1807" s="17">
        <f>IF(Log[[#This Row],[ID]]="","",IFERROR(VLOOKUP(Log[[#This Row],[Verb]],Verbs,3,FALSE)&amp;"",""))</f>
      </c>
      <c r="H1807" s="17">
        <f>IF(Log[[#This Row],[Date]]="","",INT((Log[[#This Row],[Date]]-Sprint1)/SprintDays)+1)</f>
      </c>
      <c r="I1807" s="17">
        <f>IF(OR(Log[[#This Row],[Verb]]="commit",Log[[#This Row],[Verb]]="carry",Log[[#This Row],[Verb]]="redo"),IF(Log[[#This Row],[Arg]]="",Log[[#This Row],[Sprint]],N(Log[[#This Row],[Arg]])),"")</f>
      </c>
      <c r="J1807" s="17">
        <f>IF(Log[[#This Row],[Verb]]="block",1,IF(OR(Log[[#This Row],[Verb]]="unblock",Log[[#This Row],[Verb]]="done",Log[[#This Row],[Verb]]="drop",Log[[#This Row],[Verb]]="punt",Log[[#This Row],[Verb]]="pass"),0,""))</f>
      </c>
      <c r="K1807" s="17">
        <f>IF(Log[[#This Row],[ID]]="",0,IFERROR(INDEX(Items[Pts],MATCH(Log[[#This Row],[ID]],Items[ID],0))*1,0))</f>
      </c>
      <c r="L1807" s="17">
        <f>IF(Log[[#This Row],[ID]]="","",IFERROR(INDEX(Items[Cur team],MATCH(Log[[#This Row],[ID]],Items[ID],0))&amp;"",""))</f>
      </c>
      <c r="M1807" s="17">
        <f>IF(OR(Log[[#This Row],[Verb]]="done",Log[[#This Row],[Verb]]="punt",Log[[#This Row],[Verb]]="drop",Log[[#This Row],[Verb]]="pass"),Log[[#This Row],[Pts]],0)</f>
      </c>
    </row>
    <row r="1808">
      <c r="A1808" s="11">
        <v>46259</v>
      </c>
      <c r="B1808" t="s">
        <v>969</v>
      </c>
      <c r="C1808" t="s">
        <v>34</v>
      </c>
      <c r="D1808">
        <v>51</v>
      </c>
      <c r="F1808" s="17">
        <f>IF(Log[[#This Row],[ID]]="","",IF(ISNA(MATCH(Log[[#This Row],[ID]],Items[ID],0)),"unknown ID",IF(ISNA(MATCH(Log[[#This Row],[Verb]],VerbList,0)),"unknown verb",IF(Log[[#This Row],[Date]]="","no date",""))))</f>
      </c>
      <c r="G1808" s="17">
        <f>IF(Log[[#This Row],[ID]]="","",IFERROR(VLOOKUP(Log[[#This Row],[Verb]],Verbs,3,FALSE)&amp;"",""))</f>
      </c>
      <c r="H1808" s="17">
        <f>IF(Log[[#This Row],[Date]]="","",INT((Log[[#This Row],[Date]]-Sprint1)/SprintDays)+1)</f>
      </c>
      <c r="I1808" s="17">
        <f>IF(OR(Log[[#This Row],[Verb]]="commit",Log[[#This Row],[Verb]]="carry",Log[[#This Row],[Verb]]="redo"),IF(Log[[#This Row],[Arg]]="",Log[[#This Row],[Sprint]],N(Log[[#This Row],[Arg]])),"")</f>
      </c>
      <c r="J1808" s="17">
        <f>IF(Log[[#This Row],[Verb]]="block",1,IF(OR(Log[[#This Row],[Verb]]="unblock",Log[[#This Row],[Verb]]="done",Log[[#This Row],[Verb]]="drop",Log[[#This Row],[Verb]]="punt",Log[[#This Row],[Verb]]="pass"),0,""))</f>
      </c>
      <c r="K1808" s="17">
        <f>IF(Log[[#This Row],[ID]]="",0,IFERROR(INDEX(Items[Pts],MATCH(Log[[#This Row],[ID]],Items[ID],0))*1,0))</f>
      </c>
      <c r="L1808" s="17">
        <f>IF(Log[[#This Row],[ID]]="","",IFERROR(INDEX(Items[Cur team],MATCH(Log[[#This Row],[ID]],Items[ID],0))&amp;"",""))</f>
      </c>
      <c r="M1808" s="17">
        <f>IF(OR(Log[[#This Row],[Verb]]="done",Log[[#This Row],[Verb]]="punt",Log[[#This Row],[Verb]]="drop",Log[[#This Row],[Verb]]="pass"),Log[[#This Row],[Pts]],0)</f>
      </c>
    </row>
    <row r="1809">
      <c r="A1809" s="11">
        <v>46259</v>
      </c>
      <c r="B1809" t="s">
        <v>970</v>
      </c>
      <c r="C1809" t="s">
        <v>34</v>
      </c>
      <c r="D1809">
        <v>51</v>
      </c>
      <c r="F1809" s="17">
        <f>IF(Log[[#This Row],[ID]]="","",IF(ISNA(MATCH(Log[[#This Row],[ID]],Items[ID],0)),"unknown ID",IF(ISNA(MATCH(Log[[#This Row],[Verb]],VerbList,0)),"unknown verb",IF(Log[[#This Row],[Date]]="","no date",""))))</f>
      </c>
      <c r="G1809" s="17">
        <f>IF(Log[[#This Row],[ID]]="","",IFERROR(VLOOKUP(Log[[#This Row],[Verb]],Verbs,3,FALSE)&amp;"",""))</f>
      </c>
      <c r="H1809" s="17">
        <f>IF(Log[[#This Row],[Date]]="","",INT((Log[[#This Row],[Date]]-Sprint1)/SprintDays)+1)</f>
      </c>
      <c r="I1809" s="17">
        <f>IF(OR(Log[[#This Row],[Verb]]="commit",Log[[#This Row],[Verb]]="carry",Log[[#This Row],[Verb]]="redo"),IF(Log[[#This Row],[Arg]]="",Log[[#This Row],[Sprint]],N(Log[[#This Row],[Arg]])),"")</f>
      </c>
      <c r="J1809" s="17">
        <f>IF(Log[[#This Row],[Verb]]="block",1,IF(OR(Log[[#This Row],[Verb]]="unblock",Log[[#This Row],[Verb]]="done",Log[[#This Row],[Verb]]="drop",Log[[#This Row],[Verb]]="punt",Log[[#This Row],[Verb]]="pass"),0,""))</f>
      </c>
      <c r="K1809" s="17">
        <f>IF(Log[[#This Row],[ID]]="",0,IFERROR(INDEX(Items[Pts],MATCH(Log[[#This Row],[ID]],Items[ID],0))*1,0))</f>
      </c>
      <c r="L1809" s="17">
        <f>IF(Log[[#This Row],[ID]]="","",IFERROR(INDEX(Items[Cur team],MATCH(Log[[#This Row],[ID]],Items[ID],0))&amp;"",""))</f>
      </c>
      <c r="M1809" s="17">
        <f>IF(OR(Log[[#This Row],[Verb]]="done",Log[[#This Row],[Verb]]="punt",Log[[#This Row],[Verb]]="drop",Log[[#This Row],[Verb]]="pass"),Log[[#This Row],[Pts]],0)</f>
      </c>
    </row>
    <row r="1810">
      <c r="A1810" s="11">
        <v>46259</v>
      </c>
      <c r="B1810" t="s">
        <v>971</v>
      </c>
      <c r="C1810" t="s">
        <v>34</v>
      </c>
      <c r="D1810">
        <v>51</v>
      </c>
      <c r="F1810" s="17">
        <f>IF(Log[[#This Row],[ID]]="","",IF(ISNA(MATCH(Log[[#This Row],[ID]],Items[ID],0)),"unknown ID",IF(ISNA(MATCH(Log[[#This Row],[Verb]],VerbList,0)),"unknown verb",IF(Log[[#This Row],[Date]]="","no date",""))))</f>
      </c>
      <c r="G1810" s="17">
        <f>IF(Log[[#This Row],[ID]]="","",IFERROR(VLOOKUP(Log[[#This Row],[Verb]],Verbs,3,FALSE)&amp;"",""))</f>
      </c>
      <c r="H1810" s="17">
        <f>IF(Log[[#This Row],[Date]]="","",INT((Log[[#This Row],[Date]]-Sprint1)/SprintDays)+1)</f>
      </c>
      <c r="I1810" s="17">
        <f>IF(OR(Log[[#This Row],[Verb]]="commit",Log[[#This Row],[Verb]]="carry",Log[[#This Row],[Verb]]="redo"),IF(Log[[#This Row],[Arg]]="",Log[[#This Row],[Sprint]],N(Log[[#This Row],[Arg]])),"")</f>
      </c>
      <c r="J1810" s="17">
        <f>IF(Log[[#This Row],[Verb]]="block",1,IF(OR(Log[[#This Row],[Verb]]="unblock",Log[[#This Row],[Verb]]="done",Log[[#This Row],[Verb]]="drop",Log[[#This Row],[Verb]]="punt",Log[[#This Row],[Verb]]="pass"),0,""))</f>
      </c>
      <c r="K1810" s="17">
        <f>IF(Log[[#This Row],[ID]]="",0,IFERROR(INDEX(Items[Pts],MATCH(Log[[#This Row],[ID]],Items[ID],0))*1,0))</f>
      </c>
      <c r="L1810" s="17">
        <f>IF(Log[[#This Row],[ID]]="","",IFERROR(INDEX(Items[Cur team],MATCH(Log[[#This Row],[ID]],Items[ID],0))&amp;"",""))</f>
      </c>
      <c r="M1810" s="17">
        <f>IF(OR(Log[[#This Row],[Verb]]="done",Log[[#This Row],[Verb]]="punt",Log[[#This Row],[Verb]]="drop",Log[[#This Row],[Verb]]="pass"),Log[[#This Row],[Pts]],0)</f>
      </c>
    </row>
    <row r="1811">
      <c r="A1811" s="11">
        <v>46259</v>
      </c>
      <c r="B1811" t="s">
        <v>972</v>
      </c>
      <c r="C1811" t="s">
        <v>34</v>
      </c>
      <c r="D1811">
        <v>51</v>
      </c>
      <c r="F1811" s="17">
        <f>IF(Log[[#This Row],[ID]]="","",IF(ISNA(MATCH(Log[[#This Row],[ID]],Items[ID],0)),"unknown ID",IF(ISNA(MATCH(Log[[#This Row],[Verb]],VerbList,0)),"unknown verb",IF(Log[[#This Row],[Date]]="","no date",""))))</f>
      </c>
      <c r="G1811" s="17">
        <f>IF(Log[[#This Row],[ID]]="","",IFERROR(VLOOKUP(Log[[#This Row],[Verb]],Verbs,3,FALSE)&amp;"",""))</f>
      </c>
      <c r="H1811" s="17">
        <f>IF(Log[[#This Row],[Date]]="","",INT((Log[[#This Row],[Date]]-Sprint1)/SprintDays)+1)</f>
      </c>
      <c r="I1811" s="17">
        <f>IF(OR(Log[[#This Row],[Verb]]="commit",Log[[#This Row],[Verb]]="carry",Log[[#This Row],[Verb]]="redo"),IF(Log[[#This Row],[Arg]]="",Log[[#This Row],[Sprint]],N(Log[[#This Row],[Arg]])),"")</f>
      </c>
      <c r="J1811" s="17">
        <f>IF(Log[[#This Row],[Verb]]="block",1,IF(OR(Log[[#This Row],[Verb]]="unblock",Log[[#This Row],[Verb]]="done",Log[[#This Row],[Verb]]="drop",Log[[#This Row],[Verb]]="punt",Log[[#This Row],[Verb]]="pass"),0,""))</f>
      </c>
      <c r="K1811" s="17">
        <f>IF(Log[[#This Row],[ID]]="",0,IFERROR(INDEX(Items[Pts],MATCH(Log[[#This Row],[ID]],Items[ID],0))*1,0))</f>
      </c>
      <c r="L1811" s="17">
        <f>IF(Log[[#This Row],[ID]]="","",IFERROR(INDEX(Items[Cur team],MATCH(Log[[#This Row],[ID]],Items[ID],0))&amp;"",""))</f>
      </c>
      <c r="M1811" s="17">
        <f>IF(OR(Log[[#This Row],[Verb]]="done",Log[[#This Row],[Verb]]="punt",Log[[#This Row],[Verb]]="drop",Log[[#This Row],[Verb]]="pass"),Log[[#This Row],[Pts]],0)</f>
      </c>
    </row>
    <row r="1812">
      <c r="A1812" s="11">
        <v>46259</v>
      </c>
      <c r="B1812" t="s">
        <v>973</v>
      </c>
      <c r="C1812" t="s">
        <v>34</v>
      </c>
      <c r="D1812">
        <v>51</v>
      </c>
      <c r="F1812" s="17">
        <f>IF(Log[[#This Row],[ID]]="","",IF(ISNA(MATCH(Log[[#This Row],[ID]],Items[ID],0)),"unknown ID",IF(ISNA(MATCH(Log[[#This Row],[Verb]],VerbList,0)),"unknown verb",IF(Log[[#This Row],[Date]]="","no date",""))))</f>
      </c>
      <c r="G1812" s="17">
        <f>IF(Log[[#This Row],[ID]]="","",IFERROR(VLOOKUP(Log[[#This Row],[Verb]],Verbs,3,FALSE)&amp;"",""))</f>
      </c>
      <c r="H1812" s="17">
        <f>IF(Log[[#This Row],[Date]]="","",INT((Log[[#This Row],[Date]]-Sprint1)/SprintDays)+1)</f>
      </c>
      <c r="I1812" s="17">
        <f>IF(OR(Log[[#This Row],[Verb]]="commit",Log[[#This Row],[Verb]]="carry",Log[[#This Row],[Verb]]="redo"),IF(Log[[#This Row],[Arg]]="",Log[[#This Row],[Sprint]],N(Log[[#This Row],[Arg]])),"")</f>
      </c>
      <c r="J1812" s="17">
        <f>IF(Log[[#This Row],[Verb]]="block",1,IF(OR(Log[[#This Row],[Verb]]="unblock",Log[[#This Row],[Verb]]="done",Log[[#This Row],[Verb]]="drop",Log[[#This Row],[Verb]]="punt",Log[[#This Row],[Verb]]="pass"),0,""))</f>
      </c>
      <c r="K1812" s="17">
        <f>IF(Log[[#This Row],[ID]]="",0,IFERROR(INDEX(Items[Pts],MATCH(Log[[#This Row],[ID]],Items[ID],0))*1,0))</f>
      </c>
      <c r="L1812" s="17">
        <f>IF(Log[[#This Row],[ID]]="","",IFERROR(INDEX(Items[Cur team],MATCH(Log[[#This Row],[ID]],Items[ID],0))&amp;"",""))</f>
      </c>
      <c r="M1812" s="17">
        <f>IF(OR(Log[[#This Row],[Verb]]="done",Log[[#This Row],[Verb]]="punt",Log[[#This Row],[Verb]]="drop",Log[[#This Row],[Verb]]="pass"),Log[[#This Row],[Pts]],0)</f>
      </c>
    </row>
    <row r="1813">
      <c r="A1813" s="11">
        <v>46259</v>
      </c>
      <c r="B1813" t="s">
        <v>974</v>
      </c>
      <c r="C1813" t="s">
        <v>34</v>
      </c>
      <c r="D1813">
        <v>51</v>
      </c>
      <c r="F1813" s="17">
        <f>IF(Log[[#This Row],[ID]]="","",IF(ISNA(MATCH(Log[[#This Row],[ID]],Items[ID],0)),"unknown ID",IF(ISNA(MATCH(Log[[#This Row],[Verb]],VerbList,0)),"unknown verb",IF(Log[[#This Row],[Date]]="","no date",""))))</f>
      </c>
      <c r="G1813" s="17">
        <f>IF(Log[[#This Row],[ID]]="","",IFERROR(VLOOKUP(Log[[#This Row],[Verb]],Verbs,3,FALSE)&amp;"",""))</f>
      </c>
      <c r="H1813" s="17">
        <f>IF(Log[[#This Row],[Date]]="","",INT((Log[[#This Row],[Date]]-Sprint1)/SprintDays)+1)</f>
      </c>
      <c r="I1813" s="17">
        <f>IF(OR(Log[[#This Row],[Verb]]="commit",Log[[#This Row],[Verb]]="carry",Log[[#This Row],[Verb]]="redo"),IF(Log[[#This Row],[Arg]]="",Log[[#This Row],[Sprint]],N(Log[[#This Row],[Arg]])),"")</f>
      </c>
      <c r="J1813" s="17">
        <f>IF(Log[[#This Row],[Verb]]="block",1,IF(OR(Log[[#This Row],[Verb]]="unblock",Log[[#This Row],[Verb]]="done",Log[[#This Row],[Verb]]="drop",Log[[#This Row],[Verb]]="punt",Log[[#This Row],[Verb]]="pass"),0,""))</f>
      </c>
      <c r="K1813" s="17">
        <f>IF(Log[[#This Row],[ID]]="",0,IFERROR(INDEX(Items[Pts],MATCH(Log[[#This Row],[ID]],Items[ID],0))*1,0))</f>
      </c>
      <c r="L1813" s="17">
        <f>IF(Log[[#This Row],[ID]]="","",IFERROR(INDEX(Items[Cur team],MATCH(Log[[#This Row],[ID]],Items[ID],0))&amp;"",""))</f>
      </c>
      <c r="M1813" s="17">
        <f>IF(OR(Log[[#This Row],[Verb]]="done",Log[[#This Row],[Verb]]="punt",Log[[#This Row],[Verb]]="drop",Log[[#This Row],[Verb]]="pass"),Log[[#This Row],[Pts]],0)</f>
      </c>
    </row>
    <row r="1814">
      <c r="A1814" s="11">
        <v>46259</v>
      </c>
      <c r="B1814" t="s">
        <v>975</v>
      </c>
      <c r="C1814" t="s">
        <v>34</v>
      </c>
      <c r="D1814">
        <v>51</v>
      </c>
      <c r="F1814" s="17">
        <f>IF(Log[[#This Row],[ID]]="","",IF(ISNA(MATCH(Log[[#This Row],[ID]],Items[ID],0)),"unknown ID",IF(ISNA(MATCH(Log[[#This Row],[Verb]],VerbList,0)),"unknown verb",IF(Log[[#This Row],[Date]]="","no date",""))))</f>
      </c>
      <c r="G1814" s="17">
        <f>IF(Log[[#This Row],[ID]]="","",IFERROR(VLOOKUP(Log[[#This Row],[Verb]],Verbs,3,FALSE)&amp;"",""))</f>
      </c>
      <c r="H1814" s="17">
        <f>IF(Log[[#This Row],[Date]]="","",INT((Log[[#This Row],[Date]]-Sprint1)/SprintDays)+1)</f>
      </c>
      <c r="I1814" s="17">
        <f>IF(OR(Log[[#This Row],[Verb]]="commit",Log[[#This Row],[Verb]]="carry",Log[[#This Row],[Verb]]="redo"),IF(Log[[#This Row],[Arg]]="",Log[[#This Row],[Sprint]],N(Log[[#This Row],[Arg]])),"")</f>
      </c>
      <c r="J1814" s="17">
        <f>IF(Log[[#This Row],[Verb]]="block",1,IF(OR(Log[[#This Row],[Verb]]="unblock",Log[[#This Row],[Verb]]="done",Log[[#This Row],[Verb]]="drop",Log[[#This Row],[Verb]]="punt",Log[[#This Row],[Verb]]="pass"),0,""))</f>
      </c>
      <c r="K1814" s="17">
        <f>IF(Log[[#This Row],[ID]]="",0,IFERROR(INDEX(Items[Pts],MATCH(Log[[#This Row],[ID]],Items[ID],0))*1,0))</f>
      </c>
      <c r="L1814" s="17">
        <f>IF(Log[[#This Row],[ID]]="","",IFERROR(INDEX(Items[Cur team],MATCH(Log[[#This Row],[ID]],Items[ID],0))&amp;"",""))</f>
      </c>
      <c r="M1814" s="17">
        <f>IF(OR(Log[[#This Row],[Verb]]="done",Log[[#This Row],[Verb]]="punt",Log[[#This Row],[Verb]]="drop",Log[[#This Row],[Verb]]="pass"),Log[[#This Row],[Pts]],0)</f>
      </c>
    </row>
    <row r="1815">
      <c r="A1815" s="11">
        <v>46259</v>
      </c>
      <c r="B1815" t="s">
        <v>976</v>
      </c>
      <c r="C1815" t="s">
        <v>34</v>
      </c>
      <c r="D1815">
        <v>51</v>
      </c>
      <c r="F1815" s="17">
        <f>IF(Log[[#This Row],[ID]]="","",IF(ISNA(MATCH(Log[[#This Row],[ID]],Items[ID],0)),"unknown ID",IF(ISNA(MATCH(Log[[#This Row],[Verb]],VerbList,0)),"unknown verb",IF(Log[[#This Row],[Date]]="","no date",""))))</f>
      </c>
      <c r="G1815" s="17">
        <f>IF(Log[[#This Row],[ID]]="","",IFERROR(VLOOKUP(Log[[#This Row],[Verb]],Verbs,3,FALSE)&amp;"",""))</f>
      </c>
      <c r="H1815" s="17">
        <f>IF(Log[[#This Row],[Date]]="","",INT((Log[[#This Row],[Date]]-Sprint1)/SprintDays)+1)</f>
      </c>
      <c r="I1815" s="17">
        <f>IF(OR(Log[[#This Row],[Verb]]="commit",Log[[#This Row],[Verb]]="carry",Log[[#This Row],[Verb]]="redo"),IF(Log[[#This Row],[Arg]]="",Log[[#This Row],[Sprint]],N(Log[[#This Row],[Arg]])),"")</f>
      </c>
      <c r="J1815" s="17">
        <f>IF(Log[[#This Row],[Verb]]="block",1,IF(OR(Log[[#This Row],[Verb]]="unblock",Log[[#This Row],[Verb]]="done",Log[[#This Row],[Verb]]="drop",Log[[#This Row],[Verb]]="punt",Log[[#This Row],[Verb]]="pass"),0,""))</f>
      </c>
      <c r="K1815" s="17">
        <f>IF(Log[[#This Row],[ID]]="",0,IFERROR(INDEX(Items[Pts],MATCH(Log[[#This Row],[ID]],Items[ID],0))*1,0))</f>
      </c>
      <c r="L1815" s="17">
        <f>IF(Log[[#This Row],[ID]]="","",IFERROR(INDEX(Items[Cur team],MATCH(Log[[#This Row],[ID]],Items[ID],0))&amp;"",""))</f>
      </c>
      <c r="M1815" s="17">
        <f>IF(OR(Log[[#This Row],[Verb]]="done",Log[[#This Row],[Verb]]="punt",Log[[#This Row],[Verb]]="drop",Log[[#This Row],[Verb]]="pass"),Log[[#This Row],[Pts]],0)</f>
      </c>
    </row>
    <row r="1816">
      <c r="A1816" s="11">
        <v>46259</v>
      </c>
      <c r="B1816" t="s">
        <v>977</v>
      </c>
      <c r="C1816" t="s">
        <v>34</v>
      </c>
      <c r="D1816">
        <v>51</v>
      </c>
      <c r="F1816" s="17">
        <f>IF(Log[[#This Row],[ID]]="","",IF(ISNA(MATCH(Log[[#This Row],[ID]],Items[ID],0)),"unknown ID",IF(ISNA(MATCH(Log[[#This Row],[Verb]],VerbList,0)),"unknown verb",IF(Log[[#This Row],[Date]]="","no date",""))))</f>
      </c>
      <c r="G1816" s="17">
        <f>IF(Log[[#This Row],[ID]]="","",IFERROR(VLOOKUP(Log[[#This Row],[Verb]],Verbs,3,FALSE)&amp;"",""))</f>
      </c>
      <c r="H1816" s="17">
        <f>IF(Log[[#This Row],[Date]]="","",INT((Log[[#This Row],[Date]]-Sprint1)/SprintDays)+1)</f>
      </c>
      <c r="I1816" s="17">
        <f>IF(OR(Log[[#This Row],[Verb]]="commit",Log[[#This Row],[Verb]]="carry",Log[[#This Row],[Verb]]="redo"),IF(Log[[#This Row],[Arg]]="",Log[[#This Row],[Sprint]],N(Log[[#This Row],[Arg]])),"")</f>
      </c>
      <c r="J1816" s="17">
        <f>IF(Log[[#This Row],[Verb]]="block",1,IF(OR(Log[[#This Row],[Verb]]="unblock",Log[[#This Row],[Verb]]="done",Log[[#This Row],[Verb]]="drop",Log[[#This Row],[Verb]]="punt",Log[[#This Row],[Verb]]="pass"),0,""))</f>
      </c>
      <c r="K1816" s="17">
        <f>IF(Log[[#This Row],[ID]]="",0,IFERROR(INDEX(Items[Pts],MATCH(Log[[#This Row],[ID]],Items[ID],0))*1,0))</f>
      </c>
      <c r="L1816" s="17">
        <f>IF(Log[[#This Row],[ID]]="","",IFERROR(INDEX(Items[Cur team],MATCH(Log[[#This Row],[ID]],Items[ID],0))&amp;"",""))</f>
      </c>
      <c r="M1816" s="17">
        <f>IF(OR(Log[[#This Row],[Verb]]="done",Log[[#This Row],[Verb]]="punt",Log[[#This Row],[Verb]]="drop",Log[[#This Row],[Verb]]="pass"),Log[[#This Row],[Pts]],0)</f>
      </c>
    </row>
    <row r="1817">
      <c r="A1817" s="11">
        <v>46259</v>
      </c>
      <c r="B1817" t="s">
        <v>978</v>
      </c>
      <c r="C1817" t="s">
        <v>34</v>
      </c>
      <c r="D1817">
        <v>51</v>
      </c>
      <c r="F1817" s="17">
        <f>IF(Log[[#This Row],[ID]]="","",IF(ISNA(MATCH(Log[[#This Row],[ID]],Items[ID],0)),"unknown ID",IF(ISNA(MATCH(Log[[#This Row],[Verb]],VerbList,0)),"unknown verb",IF(Log[[#This Row],[Date]]="","no date",""))))</f>
      </c>
      <c r="G1817" s="17">
        <f>IF(Log[[#This Row],[ID]]="","",IFERROR(VLOOKUP(Log[[#This Row],[Verb]],Verbs,3,FALSE)&amp;"",""))</f>
      </c>
      <c r="H1817" s="17">
        <f>IF(Log[[#This Row],[Date]]="","",INT((Log[[#This Row],[Date]]-Sprint1)/SprintDays)+1)</f>
      </c>
      <c r="I1817" s="17">
        <f>IF(OR(Log[[#This Row],[Verb]]="commit",Log[[#This Row],[Verb]]="carry",Log[[#This Row],[Verb]]="redo"),IF(Log[[#This Row],[Arg]]="",Log[[#This Row],[Sprint]],N(Log[[#This Row],[Arg]])),"")</f>
      </c>
      <c r="J1817" s="17">
        <f>IF(Log[[#This Row],[Verb]]="block",1,IF(OR(Log[[#This Row],[Verb]]="unblock",Log[[#This Row],[Verb]]="done",Log[[#This Row],[Verb]]="drop",Log[[#This Row],[Verb]]="punt",Log[[#This Row],[Verb]]="pass"),0,""))</f>
      </c>
      <c r="K1817" s="17">
        <f>IF(Log[[#This Row],[ID]]="",0,IFERROR(INDEX(Items[Pts],MATCH(Log[[#This Row],[ID]],Items[ID],0))*1,0))</f>
      </c>
      <c r="L1817" s="17">
        <f>IF(Log[[#This Row],[ID]]="","",IFERROR(INDEX(Items[Cur team],MATCH(Log[[#This Row],[ID]],Items[ID],0))&amp;"",""))</f>
      </c>
      <c r="M1817" s="17">
        <f>IF(OR(Log[[#This Row],[Verb]]="done",Log[[#This Row],[Verb]]="punt",Log[[#This Row],[Verb]]="drop",Log[[#This Row],[Verb]]="pass"),Log[[#This Row],[Pts]],0)</f>
      </c>
    </row>
    <row r="1818">
      <c r="A1818" s="11">
        <v>46259</v>
      </c>
      <c r="B1818" t="s">
        <v>979</v>
      </c>
      <c r="C1818" t="s">
        <v>34</v>
      </c>
      <c r="D1818">
        <v>51</v>
      </c>
      <c r="F1818" s="17">
        <f>IF(Log[[#This Row],[ID]]="","",IF(ISNA(MATCH(Log[[#This Row],[ID]],Items[ID],0)),"unknown ID",IF(ISNA(MATCH(Log[[#This Row],[Verb]],VerbList,0)),"unknown verb",IF(Log[[#This Row],[Date]]="","no date",""))))</f>
      </c>
      <c r="G1818" s="17">
        <f>IF(Log[[#This Row],[ID]]="","",IFERROR(VLOOKUP(Log[[#This Row],[Verb]],Verbs,3,FALSE)&amp;"",""))</f>
      </c>
      <c r="H1818" s="17">
        <f>IF(Log[[#This Row],[Date]]="","",INT((Log[[#This Row],[Date]]-Sprint1)/SprintDays)+1)</f>
      </c>
      <c r="I1818" s="17">
        <f>IF(OR(Log[[#This Row],[Verb]]="commit",Log[[#This Row],[Verb]]="carry",Log[[#This Row],[Verb]]="redo"),IF(Log[[#This Row],[Arg]]="",Log[[#This Row],[Sprint]],N(Log[[#This Row],[Arg]])),"")</f>
      </c>
      <c r="J1818" s="17">
        <f>IF(Log[[#This Row],[Verb]]="block",1,IF(OR(Log[[#This Row],[Verb]]="unblock",Log[[#This Row],[Verb]]="done",Log[[#This Row],[Verb]]="drop",Log[[#This Row],[Verb]]="punt",Log[[#This Row],[Verb]]="pass"),0,""))</f>
      </c>
      <c r="K1818" s="17">
        <f>IF(Log[[#This Row],[ID]]="",0,IFERROR(INDEX(Items[Pts],MATCH(Log[[#This Row],[ID]],Items[ID],0))*1,0))</f>
      </c>
      <c r="L1818" s="17">
        <f>IF(Log[[#This Row],[ID]]="","",IFERROR(INDEX(Items[Cur team],MATCH(Log[[#This Row],[ID]],Items[ID],0))&amp;"",""))</f>
      </c>
      <c r="M1818" s="17">
        <f>IF(OR(Log[[#This Row],[Verb]]="done",Log[[#This Row],[Verb]]="punt",Log[[#This Row],[Verb]]="drop",Log[[#This Row],[Verb]]="pass"),Log[[#This Row],[Pts]],0)</f>
      </c>
    </row>
    <row r="1819">
      <c r="A1819" s="11">
        <v>46259</v>
      </c>
      <c r="B1819" t="s">
        <v>980</v>
      </c>
      <c r="C1819" t="s">
        <v>34</v>
      </c>
      <c r="D1819">
        <v>51</v>
      </c>
      <c r="F1819" s="17">
        <f>IF(Log[[#This Row],[ID]]="","",IF(ISNA(MATCH(Log[[#This Row],[ID]],Items[ID],0)),"unknown ID",IF(ISNA(MATCH(Log[[#This Row],[Verb]],VerbList,0)),"unknown verb",IF(Log[[#This Row],[Date]]="","no date",""))))</f>
      </c>
      <c r="G1819" s="17">
        <f>IF(Log[[#This Row],[ID]]="","",IFERROR(VLOOKUP(Log[[#This Row],[Verb]],Verbs,3,FALSE)&amp;"",""))</f>
      </c>
      <c r="H1819" s="17">
        <f>IF(Log[[#This Row],[Date]]="","",INT((Log[[#This Row],[Date]]-Sprint1)/SprintDays)+1)</f>
      </c>
      <c r="I1819" s="17">
        <f>IF(OR(Log[[#This Row],[Verb]]="commit",Log[[#This Row],[Verb]]="carry",Log[[#This Row],[Verb]]="redo"),IF(Log[[#This Row],[Arg]]="",Log[[#This Row],[Sprint]],N(Log[[#This Row],[Arg]])),"")</f>
      </c>
      <c r="J1819" s="17">
        <f>IF(Log[[#This Row],[Verb]]="block",1,IF(OR(Log[[#This Row],[Verb]]="unblock",Log[[#This Row],[Verb]]="done",Log[[#This Row],[Verb]]="drop",Log[[#This Row],[Verb]]="punt",Log[[#This Row],[Verb]]="pass"),0,""))</f>
      </c>
      <c r="K1819" s="17">
        <f>IF(Log[[#This Row],[ID]]="",0,IFERROR(INDEX(Items[Pts],MATCH(Log[[#This Row],[ID]],Items[ID],0))*1,0))</f>
      </c>
      <c r="L1819" s="17">
        <f>IF(Log[[#This Row],[ID]]="","",IFERROR(INDEX(Items[Cur team],MATCH(Log[[#This Row],[ID]],Items[ID],0))&amp;"",""))</f>
      </c>
      <c r="M1819" s="17">
        <f>IF(OR(Log[[#This Row],[Verb]]="done",Log[[#This Row],[Verb]]="punt",Log[[#This Row],[Verb]]="drop",Log[[#This Row],[Verb]]="pass"),Log[[#This Row],[Pts]],0)</f>
      </c>
    </row>
    <row r="1820">
      <c r="A1820" s="11">
        <v>46259</v>
      </c>
      <c r="B1820" t="s">
        <v>981</v>
      </c>
      <c r="C1820" t="s">
        <v>34</v>
      </c>
      <c r="D1820">
        <v>51</v>
      </c>
      <c r="F1820" s="17">
        <f>IF(Log[[#This Row],[ID]]="","",IF(ISNA(MATCH(Log[[#This Row],[ID]],Items[ID],0)),"unknown ID",IF(ISNA(MATCH(Log[[#This Row],[Verb]],VerbList,0)),"unknown verb",IF(Log[[#This Row],[Date]]="","no date",""))))</f>
      </c>
      <c r="G1820" s="17">
        <f>IF(Log[[#This Row],[ID]]="","",IFERROR(VLOOKUP(Log[[#This Row],[Verb]],Verbs,3,FALSE)&amp;"",""))</f>
      </c>
      <c r="H1820" s="17">
        <f>IF(Log[[#This Row],[Date]]="","",INT((Log[[#This Row],[Date]]-Sprint1)/SprintDays)+1)</f>
      </c>
      <c r="I1820" s="17">
        <f>IF(OR(Log[[#This Row],[Verb]]="commit",Log[[#This Row],[Verb]]="carry",Log[[#This Row],[Verb]]="redo"),IF(Log[[#This Row],[Arg]]="",Log[[#This Row],[Sprint]],N(Log[[#This Row],[Arg]])),"")</f>
      </c>
      <c r="J1820" s="17">
        <f>IF(Log[[#This Row],[Verb]]="block",1,IF(OR(Log[[#This Row],[Verb]]="unblock",Log[[#This Row],[Verb]]="done",Log[[#This Row],[Verb]]="drop",Log[[#This Row],[Verb]]="punt",Log[[#This Row],[Verb]]="pass"),0,""))</f>
      </c>
      <c r="K1820" s="17">
        <f>IF(Log[[#This Row],[ID]]="",0,IFERROR(INDEX(Items[Pts],MATCH(Log[[#This Row],[ID]],Items[ID],0))*1,0))</f>
      </c>
      <c r="L1820" s="17">
        <f>IF(Log[[#This Row],[ID]]="","",IFERROR(INDEX(Items[Cur team],MATCH(Log[[#This Row],[ID]],Items[ID],0))&amp;"",""))</f>
      </c>
      <c r="M1820" s="17">
        <f>IF(OR(Log[[#This Row],[Verb]]="done",Log[[#This Row],[Verb]]="punt",Log[[#This Row],[Verb]]="drop",Log[[#This Row],[Verb]]="pass"),Log[[#This Row],[Pts]],0)</f>
      </c>
    </row>
    <row r="1821">
      <c r="A1821" s="11">
        <v>46259</v>
      </c>
      <c r="B1821" t="s">
        <v>982</v>
      </c>
      <c r="C1821" t="s">
        <v>34</v>
      </c>
      <c r="D1821">
        <v>51</v>
      </c>
      <c r="F1821" s="17">
        <f>IF(Log[[#This Row],[ID]]="","",IF(ISNA(MATCH(Log[[#This Row],[ID]],Items[ID],0)),"unknown ID",IF(ISNA(MATCH(Log[[#This Row],[Verb]],VerbList,0)),"unknown verb",IF(Log[[#This Row],[Date]]="","no date",""))))</f>
      </c>
      <c r="G1821" s="17">
        <f>IF(Log[[#This Row],[ID]]="","",IFERROR(VLOOKUP(Log[[#This Row],[Verb]],Verbs,3,FALSE)&amp;"",""))</f>
      </c>
      <c r="H1821" s="17">
        <f>IF(Log[[#This Row],[Date]]="","",INT((Log[[#This Row],[Date]]-Sprint1)/SprintDays)+1)</f>
      </c>
      <c r="I1821" s="17">
        <f>IF(OR(Log[[#This Row],[Verb]]="commit",Log[[#This Row],[Verb]]="carry",Log[[#This Row],[Verb]]="redo"),IF(Log[[#This Row],[Arg]]="",Log[[#This Row],[Sprint]],N(Log[[#This Row],[Arg]])),"")</f>
      </c>
      <c r="J1821" s="17">
        <f>IF(Log[[#This Row],[Verb]]="block",1,IF(OR(Log[[#This Row],[Verb]]="unblock",Log[[#This Row],[Verb]]="done",Log[[#This Row],[Verb]]="drop",Log[[#This Row],[Verb]]="punt",Log[[#This Row],[Verb]]="pass"),0,""))</f>
      </c>
      <c r="K1821" s="17">
        <f>IF(Log[[#This Row],[ID]]="",0,IFERROR(INDEX(Items[Pts],MATCH(Log[[#This Row],[ID]],Items[ID],0))*1,0))</f>
      </c>
      <c r="L1821" s="17">
        <f>IF(Log[[#This Row],[ID]]="","",IFERROR(INDEX(Items[Cur team],MATCH(Log[[#This Row],[ID]],Items[ID],0))&amp;"",""))</f>
      </c>
      <c r="M1821" s="17">
        <f>IF(OR(Log[[#This Row],[Verb]]="done",Log[[#This Row],[Verb]]="punt",Log[[#This Row],[Verb]]="drop",Log[[#This Row],[Verb]]="pass"),Log[[#This Row],[Pts]],0)</f>
      </c>
    </row>
    <row r="1822">
      <c r="A1822" s="11">
        <v>46259</v>
      </c>
      <c r="B1822" t="s">
        <v>983</v>
      </c>
      <c r="C1822" t="s">
        <v>34</v>
      </c>
      <c r="D1822">
        <v>51</v>
      </c>
      <c r="F1822" s="17">
        <f>IF(Log[[#This Row],[ID]]="","",IF(ISNA(MATCH(Log[[#This Row],[ID]],Items[ID],0)),"unknown ID",IF(ISNA(MATCH(Log[[#This Row],[Verb]],VerbList,0)),"unknown verb",IF(Log[[#This Row],[Date]]="","no date",""))))</f>
      </c>
      <c r="G1822" s="17">
        <f>IF(Log[[#This Row],[ID]]="","",IFERROR(VLOOKUP(Log[[#This Row],[Verb]],Verbs,3,FALSE)&amp;"",""))</f>
      </c>
      <c r="H1822" s="17">
        <f>IF(Log[[#This Row],[Date]]="","",INT((Log[[#This Row],[Date]]-Sprint1)/SprintDays)+1)</f>
      </c>
      <c r="I1822" s="17">
        <f>IF(OR(Log[[#This Row],[Verb]]="commit",Log[[#This Row],[Verb]]="carry",Log[[#This Row],[Verb]]="redo"),IF(Log[[#This Row],[Arg]]="",Log[[#This Row],[Sprint]],N(Log[[#This Row],[Arg]])),"")</f>
      </c>
      <c r="J1822" s="17">
        <f>IF(Log[[#This Row],[Verb]]="block",1,IF(OR(Log[[#This Row],[Verb]]="unblock",Log[[#This Row],[Verb]]="done",Log[[#This Row],[Verb]]="drop",Log[[#This Row],[Verb]]="punt",Log[[#This Row],[Verb]]="pass"),0,""))</f>
      </c>
      <c r="K1822" s="17">
        <f>IF(Log[[#This Row],[ID]]="",0,IFERROR(INDEX(Items[Pts],MATCH(Log[[#This Row],[ID]],Items[ID],0))*1,0))</f>
      </c>
      <c r="L1822" s="17">
        <f>IF(Log[[#This Row],[ID]]="","",IFERROR(INDEX(Items[Cur team],MATCH(Log[[#This Row],[ID]],Items[ID],0))&amp;"",""))</f>
      </c>
      <c r="M1822" s="17">
        <f>IF(OR(Log[[#This Row],[Verb]]="done",Log[[#This Row],[Verb]]="punt",Log[[#This Row],[Verb]]="drop",Log[[#This Row],[Verb]]="pass"),Log[[#This Row],[Pts]],0)</f>
      </c>
    </row>
    <row r="1823">
      <c r="A1823" s="11">
        <v>46259</v>
      </c>
      <c r="B1823" t="s">
        <v>984</v>
      </c>
      <c r="C1823" t="s">
        <v>34</v>
      </c>
      <c r="D1823">
        <v>51</v>
      </c>
      <c r="F1823" s="17">
        <f>IF(Log[[#This Row],[ID]]="","",IF(ISNA(MATCH(Log[[#This Row],[ID]],Items[ID],0)),"unknown ID",IF(ISNA(MATCH(Log[[#This Row],[Verb]],VerbList,0)),"unknown verb",IF(Log[[#This Row],[Date]]="","no date",""))))</f>
      </c>
      <c r="G1823" s="17">
        <f>IF(Log[[#This Row],[ID]]="","",IFERROR(VLOOKUP(Log[[#This Row],[Verb]],Verbs,3,FALSE)&amp;"",""))</f>
      </c>
      <c r="H1823" s="17">
        <f>IF(Log[[#This Row],[Date]]="","",INT((Log[[#This Row],[Date]]-Sprint1)/SprintDays)+1)</f>
      </c>
      <c r="I1823" s="17">
        <f>IF(OR(Log[[#This Row],[Verb]]="commit",Log[[#This Row],[Verb]]="carry",Log[[#This Row],[Verb]]="redo"),IF(Log[[#This Row],[Arg]]="",Log[[#This Row],[Sprint]],N(Log[[#This Row],[Arg]])),"")</f>
      </c>
      <c r="J1823" s="17">
        <f>IF(Log[[#This Row],[Verb]]="block",1,IF(OR(Log[[#This Row],[Verb]]="unblock",Log[[#This Row],[Verb]]="done",Log[[#This Row],[Verb]]="drop",Log[[#This Row],[Verb]]="punt",Log[[#This Row],[Verb]]="pass"),0,""))</f>
      </c>
      <c r="K1823" s="17">
        <f>IF(Log[[#This Row],[ID]]="",0,IFERROR(INDEX(Items[Pts],MATCH(Log[[#This Row],[ID]],Items[ID],0))*1,0))</f>
      </c>
      <c r="L1823" s="17">
        <f>IF(Log[[#This Row],[ID]]="","",IFERROR(INDEX(Items[Cur team],MATCH(Log[[#This Row],[ID]],Items[ID],0))&amp;"",""))</f>
      </c>
      <c r="M1823" s="17">
        <f>IF(OR(Log[[#This Row],[Verb]]="done",Log[[#This Row],[Verb]]="punt",Log[[#This Row],[Verb]]="drop",Log[[#This Row],[Verb]]="pass"),Log[[#This Row],[Pts]],0)</f>
      </c>
    </row>
    <row r="1824">
      <c r="A1824" s="11">
        <v>46259</v>
      </c>
      <c r="B1824" t="s">
        <v>985</v>
      </c>
      <c r="C1824" t="s">
        <v>34</v>
      </c>
      <c r="D1824">
        <v>51</v>
      </c>
      <c r="F1824" s="17">
        <f>IF(Log[[#This Row],[ID]]="","",IF(ISNA(MATCH(Log[[#This Row],[ID]],Items[ID],0)),"unknown ID",IF(ISNA(MATCH(Log[[#This Row],[Verb]],VerbList,0)),"unknown verb",IF(Log[[#This Row],[Date]]="","no date",""))))</f>
      </c>
      <c r="G1824" s="17">
        <f>IF(Log[[#This Row],[ID]]="","",IFERROR(VLOOKUP(Log[[#This Row],[Verb]],Verbs,3,FALSE)&amp;"",""))</f>
      </c>
      <c r="H1824" s="17">
        <f>IF(Log[[#This Row],[Date]]="","",INT((Log[[#This Row],[Date]]-Sprint1)/SprintDays)+1)</f>
      </c>
      <c r="I1824" s="17">
        <f>IF(OR(Log[[#This Row],[Verb]]="commit",Log[[#This Row],[Verb]]="carry",Log[[#This Row],[Verb]]="redo"),IF(Log[[#This Row],[Arg]]="",Log[[#This Row],[Sprint]],N(Log[[#This Row],[Arg]])),"")</f>
      </c>
      <c r="J1824" s="17">
        <f>IF(Log[[#This Row],[Verb]]="block",1,IF(OR(Log[[#This Row],[Verb]]="unblock",Log[[#This Row],[Verb]]="done",Log[[#This Row],[Verb]]="drop",Log[[#This Row],[Verb]]="punt",Log[[#This Row],[Verb]]="pass"),0,""))</f>
      </c>
      <c r="K1824" s="17">
        <f>IF(Log[[#This Row],[ID]]="",0,IFERROR(INDEX(Items[Pts],MATCH(Log[[#This Row],[ID]],Items[ID],0))*1,0))</f>
      </c>
      <c r="L1824" s="17">
        <f>IF(Log[[#This Row],[ID]]="","",IFERROR(INDEX(Items[Cur team],MATCH(Log[[#This Row],[ID]],Items[ID],0))&amp;"",""))</f>
      </c>
      <c r="M1824" s="17">
        <f>IF(OR(Log[[#This Row],[Verb]]="done",Log[[#This Row],[Verb]]="punt",Log[[#This Row],[Verb]]="drop",Log[[#This Row],[Verb]]="pass"),Log[[#This Row],[Pts]],0)</f>
      </c>
    </row>
    <row r="1825">
      <c r="A1825" s="11">
        <v>46259</v>
      </c>
      <c r="B1825" t="s">
        <v>986</v>
      </c>
      <c r="C1825" t="s">
        <v>34</v>
      </c>
      <c r="D1825">
        <v>51</v>
      </c>
      <c r="F1825" s="17">
        <f>IF(Log[[#This Row],[ID]]="","",IF(ISNA(MATCH(Log[[#This Row],[ID]],Items[ID],0)),"unknown ID",IF(ISNA(MATCH(Log[[#This Row],[Verb]],VerbList,0)),"unknown verb",IF(Log[[#This Row],[Date]]="","no date",""))))</f>
      </c>
      <c r="G1825" s="17">
        <f>IF(Log[[#This Row],[ID]]="","",IFERROR(VLOOKUP(Log[[#This Row],[Verb]],Verbs,3,FALSE)&amp;"",""))</f>
      </c>
      <c r="H1825" s="17">
        <f>IF(Log[[#This Row],[Date]]="","",INT((Log[[#This Row],[Date]]-Sprint1)/SprintDays)+1)</f>
      </c>
      <c r="I1825" s="17">
        <f>IF(OR(Log[[#This Row],[Verb]]="commit",Log[[#This Row],[Verb]]="carry",Log[[#This Row],[Verb]]="redo"),IF(Log[[#This Row],[Arg]]="",Log[[#This Row],[Sprint]],N(Log[[#This Row],[Arg]])),"")</f>
      </c>
      <c r="J1825" s="17">
        <f>IF(Log[[#This Row],[Verb]]="block",1,IF(OR(Log[[#This Row],[Verb]]="unblock",Log[[#This Row],[Verb]]="done",Log[[#This Row],[Verb]]="drop",Log[[#This Row],[Verb]]="punt",Log[[#This Row],[Verb]]="pass"),0,""))</f>
      </c>
      <c r="K1825" s="17">
        <f>IF(Log[[#This Row],[ID]]="",0,IFERROR(INDEX(Items[Pts],MATCH(Log[[#This Row],[ID]],Items[ID],0))*1,0))</f>
      </c>
      <c r="L1825" s="17">
        <f>IF(Log[[#This Row],[ID]]="","",IFERROR(INDEX(Items[Cur team],MATCH(Log[[#This Row],[ID]],Items[ID],0))&amp;"",""))</f>
      </c>
      <c r="M1825" s="17">
        <f>IF(OR(Log[[#This Row],[Verb]]="done",Log[[#This Row],[Verb]]="punt",Log[[#This Row],[Verb]]="drop",Log[[#This Row],[Verb]]="pass"),Log[[#This Row],[Pts]],0)</f>
      </c>
    </row>
    <row r="1826">
      <c r="A1826" s="11">
        <v>46259</v>
      </c>
      <c r="B1826" t="s">
        <v>987</v>
      </c>
      <c r="C1826" t="s">
        <v>34</v>
      </c>
      <c r="D1826">
        <v>51</v>
      </c>
      <c r="F1826" s="17">
        <f>IF(Log[[#This Row],[ID]]="","",IF(ISNA(MATCH(Log[[#This Row],[ID]],Items[ID],0)),"unknown ID",IF(ISNA(MATCH(Log[[#This Row],[Verb]],VerbList,0)),"unknown verb",IF(Log[[#This Row],[Date]]="","no date",""))))</f>
      </c>
      <c r="G1826" s="17">
        <f>IF(Log[[#This Row],[ID]]="","",IFERROR(VLOOKUP(Log[[#This Row],[Verb]],Verbs,3,FALSE)&amp;"",""))</f>
      </c>
      <c r="H1826" s="17">
        <f>IF(Log[[#This Row],[Date]]="","",INT((Log[[#This Row],[Date]]-Sprint1)/SprintDays)+1)</f>
      </c>
      <c r="I1826" s="17">
        <f>IF(OR(Log[[#This Row],[Verb]]="commit",Log[[#This Row],[Verb]]="carry",Log[[#This Row],[Verb]]="redo"),IF(Log[[#This Row],[Arg]]="",Log[[#This Row],[Sprint]],N(Log[[#This Row],[Arg]])),"")</f>
      </c>
      <c r="J1826" s="17">
        <f>IF(Log[[#This Row],[Verb]]="block",1,IF(OR(Log[[#This Row],[Verb]]="unblock",Log[[#This Row],[Verb]]="done",Log[[#This Row],[Verb]]="drop",Log[[#This Row],[Verb]]="punt",Log[[#This Row],[Verb]]="pass"),0,""))</f>
      </c>
      <c r="K1826" s="17">
        <f>IF(Log[[#This Row],[ID]]="",0,IFERROR(INDEX(Items[Pts],MATCH(Log[[#This Row],[ID]],Items[ID],0))*1,0))</f>
      </c>
      <c r="L1826" s="17">
        <f>IF(Log[[#This Row],[ID]]="","",IFERROR(INDEX(Items[Cur team],MATCH(Log[[#This Row],[ID]],Items[ID],0))&amp;"",""))</f>
      </c>
      <c r="M1826" s="17">
        <f>IF(OR(Log[[#This Row],[Verb]]="done",Log[[#This Row],[Verb]]="punt",Log[[#This Row],[Verb]]="drop",Log[[#This Row],[Verb]]="pass"),Log[[#This Row],[Pts]],0)</f>
      </c>
    </row>
    <row r="1827">
      <c r="A1827" s="11">
        <v>46259</v>
      </c>
      <c r="B1827" t="s">
        <v>988</v>
      </c>
      <c r="C1827" t="s">
        <v>34</v>
      </c>
      <c r="D1827">
        <v>51</v>
      </c>
      <c r="F1827" s="17">
        <f>IF(Log[[#This Row],[ID]]="","",IF(ISNA(MATCH(Log[[#This Row],[ID]],Items[ID],0)),"unknown ID",IF(ISNA(MATCH(Log[[#This Row],[Verb]],VerbList,0)),"unknown verb",IF(Log[[#This Row],[Date]]="","no date",""))))</f>
      </c>
      <c r="G1827" s="17">
        <f>IF(Log[[#This Row],[ID]]="","",IFERROR(VLOOKUP(Log[[#This Row],[Verb]],Verbs,3,FALSE)&amp;"",""))</f>
      </c>
      <c r="H1827" s="17">
        <f>IF(Log[[#This Row],[Date]]="","",INT((Log[[#This Row],[Date]]-Sprint1)/SprintDays)+1)</f>
      </c>
      <c r="I1827" s="17">
        <f>IF(OR(Log[[#This Row],[Verb]]="commit",Log[[#This Row],[Verb]]="carry",Log[[#This Row],[Verb]]="redo"),IF(Log[[#This Row],[Arg]]="",Log[[#This Row],[Sprint]],N(Log[[#This Row],[Arg]])),"")</f>
      </c>
      <c r="J1827" s="17">
        <f>IF(Log[[#This Row],[Verb]]="block",1,IF(OR(Log[[#This Row],[Verb]]="unblock",Log[[#This Row],[Verb]]="done",Log[[#This Row],[Verb]]="drop",Log[[#This Row],[Verb]]="punt",Log[[#This Row],[Verb]]="pass"),0,""))</f>
      </c>
      <c r="K1827" s="17">
        <f>IF(Log[[#This Row],[ID]]="",0,IFERROR(INDEX(Items[Pts],MATCH(Log[[#This Row],[ID]],Items[ID],0))*1,0))</f>
      </c>
      <c r="L1827" s="17">
        <f>IF(Log[[#This Row],[ID]]="","",IFERROR(INDEX(Items[Cur team],MATCH(Log[[#This Row],[ID]],Items[ID],0))&amp;"",""))</f>
      </c>
      <c r="M1827" s="17">
        <f>IF(OR(Log[[#This Row],[Verb]]="done",Log[[#This Row],[Verb]]="punt",Log[[#This Row],[Verb]]="drop",Log[[#This Row],[Verb]]="pass"),Log[[#This Row],[Pts]],0)</f>
      </c>
    </row>
    <row r="1828">
      <c r="A1828" s="11">
        <v>46259</v>
      </c>
      <c r="B1828" t="s">
        <v>989</v>
      </c>
      <c r="C1828" t="s">
        <v>34</v>
      </c>
      <c r="D1828">
        <v>51</v>
      </c>
      <c r="F1828" s="17">
        <f>IF(Log[[#This Row],[ID]]="","",IF(ISNA(MATCH(Log[[#This Row],[ID]],Items[ID],0)),"unknown ID",IF(ISNA(MATCH(Log[[#This Row],[Verb]],VerbList,0)),"unknown verb",IF(Log[[#This Row],[Date]]="","no date",""))))</f>
      </c>
      <c r="G1828" s="17">
        <f>IF(Log[[#This Row],[ID]]="","",IFERROR(VLOOKUP(Log[[#This Row],[Verb]],Verbs,3,FALSE)&amp;"",""))</f>
      </c>
      <c r="H1828" s="17">
        <f>IF(Log[[#This Row],[Date]]="","",INT((Log[[#This Row],[Date]]-Sprint1)/SprintDays)+1)</f>
      </c>
      <c r="I1828" s="17">
        <f>IF(OR(Log[[#This Row],[Verb]]="commit",Log[[#This Row],[Verb]]="carry",Log[[#This Row],[Verb]]="redo"),IF(Log[[#This Row],[Arg]]="",Log[[#This Row],[Sprint]],N(Log[[#This Row],[Arg]])),"")</f>
      </c>
      <c r="J1828" s="17">
        <f>IF(Log[[#This Row],[Verb]]="block",1,IF(OR(Log[[#This Row],[Verb]]="unblock",Log[[#This Row],[Verb]]="done",Log[[#This Row],[Verb]]="drop",Log[[#This Row],[Verb]]="punt",Log[[#This Row],[Verb]]="pass"),0,""))</f>
      </c>
      <c r="K1828" s="17">
        <f>IF(Log[[#This Row],[ID]]="",0,IFERROR(INDEX(Items[Pts],MATCH(Log[[#This Row],[ID]],Items[ID],0))*1,0))</f>
      </c>
      <c r="L1828" s="17">
        <f>IF(Log[[#This Row],[ID]]="","",IFERROR(INDEX(Items[Cur team],MATCH(Log[[#This Row],[ID]],Items[ID],0))&amp;"",""))</f>
      </c>
      <c r="M1828" s="17">
        <f>IF(OR(Log[[#This Row],[Verb]]="done",Log[[#This Row],[Verb]]="punt",Log[[#This Row],[Verb]]="drop",Log[[#This Row],[Verb]]="pass"),Log[[#This Row],[Pts]],0)</f>
      </c>
    </row>
    <row r="1829">
      <c r="A1829" s="11">
        <v>46259</v>
      </c>
      <c r="B1829" t="s">
        <v>990</v>
      </c>
      <c r="C1829" t="s">
        <v>34</v>
      </c>
      <c r="D1829">
        <v>51</v>
      </c>
      <c r="F1829" s="17">
        <f>IF(Log[[#This Row],[ID]]="","",IF(ISNA(MATCH(Log[[#This Row],[ID]],Items[ID],0)),"unknown ID",IF(ISNA(MATCH(Log[[#This Row],[Verb]],VerbList,0)),"unknown verb",IF(Log[[#This Row],[Date]]="","no date",""))))</f>
      </c>
      <c r="G1829" s="17">
        <f>IF(Log[[#This Row],[ID]]="","",IFERROR(VLOOKUP(Log[[#This Row],[Verb]],Verbs,3,FALSE)&amp;"",""))</f>
      </c>
      <c r="H1829" s="17">
        <f>IF(Log[[#This Row],[Date]]="","",INT((Log[[#This Row],[Date]]-Sprint1)/SprintDays)+1)</f>
      </c>
      <c r="I1829" s="17">
        <f>IF(OR(Log[[#This Row],[Verb]]="commit",Log[[#This Row],[Verb]]="carry",Log[[#This Row],[Verb]]="redo"),IF(Log[[#This Row],[Arg]]="",Log[[#This Row],[Sprint]],N(Log[[#This Row],[Arg]])),"")</f>
      </c>
      <c r="J1829" s="17">
        <f>IF(Log[[#This Row],[Verb]]="block",1,IF(OR(Log[[#This Row],[Verb]]="unblock",Log[[#This Row],[Verb]]="done",Log[[#This Row],[Verb]]="drop",Log[[#This Row],[Verb]]="punt",Log[[#This Row],[Verb]]="pass"),0,""))</f>
      </c>
      <c r="K1829" s="17">
        <f>IF(Log[[#This Row],[ID]]="",0,IFERROR(INDEX(Items[Pts],MATCH(Log[[#This Row],[ID]],Items[ID],0))*1,0))</f>
      </c>
      <c r="L1829" s="17">
        <f>IF(Log[[#This Row],[ID]]="","",IFERROR(INDEX(Items[Cur team],MATCH(Log[[#This Row],[ID]],Items[ID],0))&amp;"",""))</f>
      </c>
      <c r="M1829" s="17">
        <f>IF(OR(Log[[#This Row],[Verb]]="done",Log[[#This Row],[Verb]]="punt",Log[[#This Row],[Verb]]="drop",Log[[#This Row],[Verb]]="pass"),Log[[#This Row],[Pts]],0)</f>
      </c>
    </row>
    <row r="1830">
      <c r="A1830" s="11">
        <v>46259</v>
      </c>
      <c r="B1830" t="s">
        <v>991</v>
      </c>
      <c r="C1830" t="s">
        <v>34</v>
      </c>
      <c r="D1830">
        <v>51</v>
      </c>
      <c r="F1830" s="17">
        <f>IF(Log[[#This Row],[ID]]="","",IF(ISNA(MATCH(Log[[#This Row],[ID]],Items[ID],0)),"unknown ID",IF(ISNA(MATCH(Log[[#This Row],[Verb]],VerbList,0)),"unknown verb",IF(Log[[#This Row],[Date]]="","no date",""))))</f>
      </c>
      <c r="G1830" s="17">
        <f>IF(Log[[#This Row],[ID]]="","",IFERROR(VLOOKUP(Log[[#This Row],[Verb]],Verbs,3,FALSE)&amp;"",""))</f>
      </c>
      <c r="H1830" s="17">
        <f>IF(Log[[#This Row],[Date]]="","",INT((Log[[#This Row],[Date]]-Sprint1)/SprintDays)+1)</f>
      </c>
      <c r="I1830" s="17">
        <f>IF(OR(Log[[#This Row],[Verb]]="commit",Log[[#This Row],[Verb]]="carry",Log[[#This Row],[Verb]]="redo"),IF(Log[[#This Row],[Arg]]="",Log[[#This Row],[Sprint]],N(Log[[#This Row],[Arg]])),"")</f>
      </c>
      <c r="J1830" s="17">
        <f>IF(Log[[#This Row],[Verb]]="block",1,IF(OR(Log[[#This Row],[Verb]]="unblock",Log[[#This Row],[Verb]]="done",Log[[#This Row],[Verb]]="drop",Log[[#This Row],[Verb]]="punt",Log[[#This Row],[Verb]]="pass"),0,""))</f>
      </c>
      <c r="K1830" s="17">
        <f>IF(Log[[#This Row],[ID]]="",0,IFERROR(INDEX(Items[Pts],MATCH(Log[[#This Row],[ID]],Items[ID],0))*1,0))</f>
      </c>
      <c r="L1830" s="17">
        <f>IF(Log[[#This Row],[ID]]="","",IFERROR(INDEX(Items[Cur team],MATCH(Log[[#This Row],[ID]],Items[ID],0))&amp;"",""))</f>
      </c>
      <c r="M1830" s="17">
        <f>IF(OR(Log[[#This Row],[Verb]]="done",Log[[#This Row],[Verb]]="punt",Log[[#This Row],[Verb]]="drop",Log[[#This Row],[Verb]]="pass"),Log[[#This Row],[Pts]],0)</f>
      </c>
    </row>
    <row r="1831">
      <c r="A1831" s="11">
        <v>46259</v>
      </c>
      <c r="B1831" t="s">
        <v>992</v>
      </c>
      <c r="C1831" t="s">
        <v>34</v>
      </c>
      <c r="D1831">
        <v>51</v>
      </c>
      <c r="F1831" s="17">
        <f>IF(Log[[#This Row],[ID]]="","",IF(ISNA(MATCH(Log[[#This Row],[ID]],Items[ID],0)),"unknown ID",IF(ISNA(MATCH(Log[[#This Row],[Verb]],VerbList,0)),"unknown verb",IF(Log[[#This Row],[Date]]="","no date",""))))</f>
      </c>
      <c r="G1831" s="17">
        <f>IF(Log[[#This Row],[ID]]="","",IFERROR(VLOOKUP(Log[[#This Row],[Verb]],Verbs,3,FALSE)&amp;"",""))</f>
      </c>
      <c r="H1831" s="17">
        <f>IF(Log[[#This Row],[Date]]="","",INT((Log[[#This Row],[Date]]-Sprint1)/SprintDays)+1)</f>
      </c>
      <c r="I1831" s="17">
        <f>IF(OR(Log[[#This Row],[Verb]]="commit",Log[[#This Row],[Verb]]="carry",Log[[#This Row],[Verb]]="redo"),IF(Log[[#This Row],[Arg]]="",Log[[#This Row],[Sprint]],N(Log[[#This Row],[Arg]])),"")</f>
      </c>
      <c r="J1831" s="17">
        <f>IF(Log[[#This Row],[Verb]]="block",1,IF(OR(Log[[#This Row],[Verb]]="unblock",Log[[#This Row],[Verb]]="done",Log[[#This Row],[Verb]]="drop",Log[[#This Row],[Verb]]="punt",Log[[#This Row],[Verb]]="pass"),0,""))</f>
      </c>
      <c r="K1831" s="17">
        <f>IF(Log[[#This Row],[ID]]="",0,IFERROR(INDEX(Items[Pts],MATCH(Log[[#This Row],[ID]],Items[ID],0))*1,0))</f>
      </c>
      <c r="L1831" s="17">
        <f>IF(Log[[#This Row],[ID]]="","",IFERROR(INDEX(Items[Cur team],MATCH(Log[[#This Row],[ID]],Items[ID],0))&amp;"",""))</f>
      </c>
      <c r="M1831" s="17">
        <f>IF(OR(Log[[#This Row],[Verb]]="done",Log[[#This Row],[Verb]]="punt",Log[[#This Row],[Verb]]="drop",Log[[#This Row],[Verb]]="pass"),Log[[#This Row],[Pts]],0)</f>
      </c>
    </row>
    <row r="1832">
      <c r="A1832" s="11">
        <v>46259</v>
      </c>
      <c r="B1832" t="s">
        <v>993</v>
      </c>
      <c r="C1832" t="s">
        <v>34</v>
      </c>
      <c r="D1832">
        <v>51</v>
      </c>
      <c r="F1832" s="17">
        <f>IF(Log[[#This Row],[ID]]="","",IF(ISNA(MATCH(Log[[#This Row],[ID]],Items[ID],0)),"unknown ID",IF(ISNA(MATCH(Log[[#This Row],[Verb]],VerbList,0)),"unknown verb",IF(Log[[#This Row],[Date]]="","no date",""))))</f>
      </c>
      <c r="G1832" s="17">
        <f>IF(Log[[#This Row],[ID]]="","",IFERROR(VLOOKUP(Log[[#This Row],[Verb]],Verbs,3,FALSE)&amp;"",""))</f>
      </c>
      <c r="H1832" s="17">
        <f>IF(Log[[#This Row],[Date]]="","",INT((Log[[#This Row],[Date]]-Sprint1)/SprintDays)+1)</f>
      </c>
      <c r="I1832" s="17">
        <f>IF(OR(Log[[#This Row],[Verb]]="commit",Log[[#This Row],[Verb]]="carry",Log[[#This Row],[Verb]]="redo"),IF(Log[[#This Row],[Arg]]="",Log[[#This Row],[Sprint]],N(Log[[#This Row],[Arg]])),"")</f>
      </c>
      <c r="J1832" s="17">
        <f>IF(Log[[#This Row],[Verb]]="block",1,IF(OR(Log[[#This Row],[Verb]]="unblock",Log[[#This Row],[Verb]]="done",Log[[#This Row],[Verb]]="drop",Log[[#This Row],[Verb]]="punt",Log[[#This Row],[Verb]]="pass"),0,""))</f>
      </c>
      <c r="K1832" s="17">
        <f>IF(Log[[#This Row],[ID]]="",0,IFERROR(INDEX(Items[Pts],MATCH(Log[[#This Row],[ID]],Items[ID],0))*1,0))</f>
      </c>
      <c r="L1832" s="17">
        <f>IF(Log[[#This Row],[ID]]="","",IFERROR(INDEX(Items[Cur team],MATCH(Log[[#This Row],[ID]],Items[ID],0))&amp;"",""))</f>
      </c>
      <c r="M1832" s="17">
        <f>IF(OR(Log[[#This Row],[Verb]]="done",Log[[#This Row],[Verb]]="punt",Log[[#This Row],[Verb]]="drop",Log[[#This Row],[Verb]]="pass"),Log[[#This Row],[Pts]],0)</f>
      </c>
    </row>
    <row r="1833">
      <c r="A1833" s="11">
        <v>46259</v>
      </c>
      <c r="B1833" t="s">
        <v>994</v>
      </c>
      <c r="C1833" t="s">
        <v>34</v>
      </c>
      <c r="D1833">
        <v>51</v>
      </c>
      <c r="F1833" s="17">
        <f>IF(Log[[#This Row],[ID]]="","",IF(ISNA(MATCH(Log[[#This Row],[ID]],Items[ID],0)),"unknown ID",IF(ISNA(MATCH(Log[[#This Row],[Verb]],VerbList,0)),"unknown verb",IF(Log[[#This Row],[Date]]="","no date",""))))</f>
      </c>
      <c r="G1833" s="17">
        <f>IF(Log[[#This Row],[ID]]="","",IFERROR(VLOOKUP(Log[[#This Row],[Verb]],Verbs,3,FALSE)&amp;"",""))</f>
      </c>
      <c r="H1833" s="17">
        <f>IF(Log[[#This Row],[Date]]="","",INT((Log[[#This Row],[Date]]-Sprint1)/SprintDays)+1)</f>
      </c>
      <c r="I1833" s="17">
        <f>IF(OR(Log[[#This Row],[Verb]]="commit",Log[[#This Row],[Verb]]="carry",Log[[#This Row],[Verb]]="redo"),IF(Log[[#This Row],[Arg]]="",Log[[#This Row],[Sprint]],N(Log[[#This Row],[Arg]])),"")</f>
      </c>
      <c r="J1833" s="17">
        <f>IF(Log[[#This Row],[Verb]]="block",1,IF(OR(Log[[#This Row],[Verb]]="unblock",Log[[#This Row],[Verb]]="done",Log[[#This Row],[Verb]]="drop",Log[[#This Row],[Verb]]="punt",Log[[#This Row],[Verb]]="pass"),0,""))</f>
      </c>
      <c r="K1833" s="17">
        <f>IF(Log[[#This Row],[ID]]="",0,IFERROR(INDEX(Items[Pts],MATCH(Log[[#This Row],[ID]],Items[ID],0))*1,0))</f>
      </c>
      <c r="L1833" s="17">
        <f>IF(Log[[#This Row],[ID]]="","",IFERROR(INDEX(Items[Cur team],MATCH(Log[[#This Row],[ID]],Items[ID],0))&amp;"",""))</f>
      </c>
      <c r="M1833" s="17">
        <f>IF(OR(Log[[#This Row],[Verb]]="done",Log[[#This Row],[Verb]]="punt",Log[[#This Row],[Verb]]="drop",Log[[#This Row],[Verb]]="pass"),Log[[#This Row],[Pts]],0)</f>
      </c>
    </row>
    <row r="1834">
      <c r="A1834" s="11">
        <v>46259</v>
      </c>
      <c r="B1834" t="s">
        <v>995</v>
      </c>
      <c r="C1834" t="s">
        <v>34</v>
      </c>
      <c r="D1834">
        <v>51</v>
      </c>
      <c r="F1834" s="17">
        <f>IF(Log[[#This Row],[ID]]="","",IF(ISNA(MATCH(Log[[#This Row],[ID]],Items[ID],0)),"unknown ID",IF(ISNA(MATCH(Log[[#This Row],[Verb]],VerbList,0)),"unknown verb",IF(Log[[#This Row],[Date]]="","no date",""))))</f>
      </c>
      <c r="G1834" s="17">
        <f>IF(Log[[#This Row],[ID]]="","",IFERROR(VLOOKUP(Log[[#This Row],[Verb]],Verbs,3,FALSE)&amp;"",""))</f>
      </c>
      <c r="H1834" s="17">
        <f>IF(Log[[#This Row],[Date]]="","",INT((Log[[#This Row],[Date]]-Sprint1)/SprintDays)+1)</f>
      </c>
      <c r="I1834" s="17">
        <f>IF(OR(Log[[#This Row],[Verb]]="commit",Log[[#This Row],[Verb]]="carry",Log[[#This Row],[Verb]]="redo"),IF(Log[[#This Row],[Arg]]="",Log[[#This Row],[Sprint]],N(Log[[#This Row],[Arg]])),"")</f>
      </c>
      <c r="J1834" s="17">
        <f>IF(Log[[#This Row],[Verb]]="block",1,IF(OR(Log[[#This Row],[Verb]]="unblock",Log[[#This Row],[Verb]]="done",Log[[#This Row],[Verb]]="drop",Log[[#This Row],[Verb]]="punt",Log[[#This Row],[Verb]]="pass"),0,""))</f>
      </c>
      <c r="K1834" s="17">
        <f>IF(Log[[#This Row],[ID]]="",0,IFERROR(INDEX(Items[Pts],MATCH(Log[[#This Row],[ID]],Items[ID],0))*1,0))</f>
      </c>
      <c r="L1834" s="17">
        <f>IF(Log[[#This Row],[ID]]="","",IFERROR(INDEX(Items[Cur team],MATCH(Log[[#This Row],[ID]],Items[ID],0))&amp;"",""))</f>
      </c>
      <c r="M1834" s="17">
        <f>IF(OR(Log[[#This Row],[Verb]]="done",Log[[#This Row],[Verb]]="punt",Log[[#This Row],[Verb]]="drop",Log[[#This Row],[Verb]]="pass"),Log[[#This Row],[Pts]],0)</f>
      </c>
    </row>
    <row r="1835">
      <c r="A1835" s="11">
        <v>46259</v>
      </c>
      <c r="B1835" t="s">
        <v>996</v>
      </c>
      <c r="C1835" t="s">
        <v>34</v>
      </c>
      <c r="D1835">
        <v>51</v>
      </c>
      <c r="F1835" s="17">
        <f>IF(Log[[#This Row],[ID]]="","",IF(ISNA(MATCH(Log[[#This Row],[ID]],Items[ID],0)),"unknown ID",IF(ISNA(MATCH(Log[[#This Row],[Verb]],VerbList,0)),"unknown verb",IF(Log[[#This Row],[Date]]="","no date",""))))</f>
      </c>
      <c r="G1835" s="17">
        <f>IF(Log[[#This Row],[ID]]="","",IFERROR(VLOOKUP(Log[[#This Row],[Verb]],Verbs,3,FALSE)&amp;"",""))</f>
      </c>
      <c r="H1835" s="17">
        <f>IF(Log[[#This Row],[Date]]="","",INT((Log[[#This Row],[Date]]-Sprint1)/SprintDays)+1)</f>
      </c>
      <c r="I1835" s="17">
        <f>IF(OR(Log[[#This Row],[Verb]]="commit",Log[[#This Row],[Verb]]="carry",Log[[#This Row],[Verb]]="redo"),IF(Log[[#This Row],[Arg]]="",Log[[#This Row],[Sprint]],N(Log[[#This Row],[Arg]])),"")</f>
      </c>
      <c r="J1835" s="17">
        <f>IF(Log[[#This Row],[Verb]]="block",1,IF(OR(Log[[#This Row],[Verb]]="unblock",Log[[#This Row],[Verb]]="done",Log[[#This Row],[Verb]]="drop",Log[[#This Row],[Verb]]="punt",Log[[#This Row],[Verb]]="pass"),0,""))</f>
      </c>
      <c r="K1835" s="17">
        <f>IF(Log[[#This Row],[ID]]="",0,IFERROR(INDEX(Items[Pts],MATCH(Log[[#This Row],[ID]],Items[ID],0))*1,0))</f>
      </c>
      <c r="L1835" s="17">
        <f>IF(Log[[#This Row],[ID]]="","",IFERROR(INDEX(Items[Cur team],MATCH(Log[[#This Row],[ID]],Items[ID],0))&amp;"",""))</f>
      </c>
      <c r="M1835" s="17">
        <f>IF(OR(Log[[#This Row],[Verb]]="done",Log[[#This Row],[Verb]]="punt",Log[[#This Row],[Verb]]="drop",Log[[#This Row],[Verb]]="pass"),Log[[#This Row],[Pts]],0)</f>
      </c>
    </row>
    <row r="1836">
      <c r="A1836" s="11">
        <v>46259</v>
      </c>
      <c r="B1836" t="s">
        <v>997</v>
      </c>
      <c r="C1836" t="s">
        <v>34</v>
      </c>
      <c r="D1836">
        <v>51</v>
      </c>
      <c r="F1836" s="17">
        <f>IF(Log[[#This Row],[ID]]="","",IF(ISNA(MATCH(Log[[#This Row],[ID]],Items[ID],0)),"unknown ID",IF(ISNA(MATCH(Log[[#This Row],[Verb]],VerbList,0)),"unknown verb",IF(Log[[#This Row],[Date]]="","no date",""))))</f>
      </c>
      <c r="G1836" s="17">
        <f>IF(Log[[#This Row],[ID]]="","",IFERROR(VLOOKUP(Log[[#This Row],[Verb]],Verbs,3,FALSE)&amp;"",""))</f>
      </c>
      <c r="H1836" s="17">
        <f>IF(Log[[#This Row],[Date]]="","",INT((Log[[#This Row],[Date]]-Sprint1)/SprintDays)+1)</f>
      </c>
      <c r="I1836" s="17">
        <f>IF(OR(Log[[#This Row],[Verb]]="commit",Log[[#This Row],[Verb]]="carry",Log[[#This Row],[Verb]]="redo"),IF(Log[[#This Row],[Arg]]="",Log[[#This Row],[Sprint]],N(Log[[#This Row],[Arg]])),"")</f>
      </c>
      <c r="J1836" s="17">
        <f>IF(Log[[#This Row],[Verb]]="block",1,IF(OR(Log[[#This Row],[Verb]]="unblock",Log[[#This Row],[Verb]]="done",Log[[#This Row],[Verb]]="drop",Log[[#This Row],[Verb]]="punt",Log[[#This Row],[Verb]]="pass"),0,""))</f>
      </c>
      <c r="K1836" s="17">
        <f>IF(Log[[#This Row],[ID]]="",0,IFERROR(INDEX(Items[Pts],MATCH(Log[[#This Row],[ID]],Items[ID],0))*1,0))</f>
      </c>
      <c r="L1836" s="17">
        <f>IF(Log[[#This Row],[ID]]="","",IFERROR(INDEX(Items[Cur team],MATCH(Log[[#This Row],[ID]],Items[ID],0))&amp;"",""))</f>
      </c>
      <c r="M1836" s="17">
        <f>IF(OR(Log[[#This Row],[Verb]]="done",Log[[#This Row],[Verb]]="punt",Log[[#This Row],[Verb]]="drop",Log[[#This Row],[Verb]]="pass"),Log[[#This Row],[Pts]],0)</f>
      </c>
    </row>
    <row r="1837">
      <c r="A1837" s="11">
        <v>46259</v>
      </c>
      <c r="B1837" t="s">
        <v>998</v>
      </c>
      <c r="C1837" t="s">
        <v>34</v>
      </c>
      <c r="D1837">
        <v>51</v>
      </c>
      <c r="F1837" s="17">
        <f>IF(Log[[#This Row],[ID]]="","",IF(ISNA(MATCH(Log[[#This Row],[ID]],Items[ID],0)),"unknown ID",IF(ISNA(MATCH(Log[[#This Row],[Verb]],VerbList,0)),"unknown verb",IF(Log[[#This Row],[Date]]="","no date",""))))</f>
      </c>
      <c r="G1837" s="17">
        <f>IF(Log[[#This Row],[ID]]="","",IFERROR(VLOOKUP(Log[[#This Row],[Verb]],Verbs,3,FALSE)&amp;"",""))</f>
      </c>
      <c r="H1837" s="17">
        <f>IF(Log[[#This Row],[Date]]="","",INT((Log[[#This Row],[Date]]-Sprint1)/SprintDays)+1)</f>
      </c>
      <c r="I1837" s="17">
        <f>IF(OR(Log[[#This Row],[Verb]]="commit",Log[[#This Row],[Verb]]="carry",Log[[#This Row],[Verb]]="redo"),IF(Log[[#This Row],[Arg]]="",Log[[#This Row],[Sprint]],N(Log[[#This Row],[Arg]])),"")</f>
      </c>
      <c r="J1837" s="17">
        <f>IF(Log[[#This Row],[Verb]]="block",1,IF(OR(Log[[#This Row],[Verb]]="unblock",Log[[#This Row],[Verb]]="done",Log[[#This Row],[Verb]]="drop",Log[[#This Row],[Verb]]="punt",Log[[#This Row],[Verb]]="pass"),0,""))</f>
      </c>
      <c r="K1837" s="17">
        <f>IF(Log[[#This Row],[ID]]="",0,IFERROR(INDEX(Items[Pts],MATCH(Log[[#This Row],[ID]],Items[ID],0))*1,0))</f>
      </c>
      <c r="L1837" s="17">
        <f>IF(Log[[#This Row],[ID]]="","",IFERROR(INDEX(Items[Cur team],MATCH(Log[[#This Row],[ID]],Items[ID],0))&amp;"",""))</f>
      </c>
      <c r="M1837" s="17">
        <f>IF(OR(Log[[#This Row],[Verb]]="done",Log[[#This Row],[Verb]]="punt",Log[[#This Row],[Verb]]="drop",Log[[#This Row],[Verb]]="pass"),Log[[#This Row],[Pts]],0)</f>
      </c>
    </row>
    <row r="1838">
      <c r="A1838" s="11">
        <v>46259</v>
      </c>
      <c r="B1838" t="s">
        <v>999</v>
      </c>
      <c r="C1838" t="s">
        <v>34</v>
      </c>
      <c r="D1838">
        <v>51</v>
      </c>
      <c r="F1838" s="17">
        <f>IF(Log[[#This Row],[ID]]="","",IF(ISNA(MATCH(Log[[#This Row],[ID]],Items[ID],0)),"unknown ID",IF(ISNA(MATCH(Log[[#This Row],[Verb]],VerbList,0)),"unknown verb",IF(Log[[#This Row],[Date]]="","no date",""))))</f>
      </c>
      <c r="G1838" s="17">
        <f>IF(Log[[#This Row],[ID]]="","",IFERROR(VLOOKUP(Log[[#This Row],[Verb]],Verbs,3,FALSE)&amp;"",""))</f>
      </c>
      <c r="H1838" s="17">
        <f>IF(Log[[#This Row],[Date]]="","",INT((Log[[#This Row],[Date]]-Sprint1)/SprintDays)+1)</f>
      </c>
      <c r="I1838" s="17">
        <f>IF(OR(Log[[#This Row],[Verb]]="commit",Log[[#This Row],[Verb]]="carry",Log[[#This Row],[Verb]]="redo"),IF(Log[[#This Row],[Arg]]="",Log[[#This Row],[Sprint]],N(Log[[#This Row],[Arg]])),"")</f>
      </c>
      <c r="J1838" s="17">
        <f>IF(Log[[#This Row],[Verb]]="block",1,IF(OR(Log[[#This Row],[Verb]]="unblock",Log[[#This Row],[Verb]]="done",Log[[#This Row],[Verb]]="drop",Log[[#This Row],[Verb]]="punt",Log[[#This Row],[Verb]]="pass"),0,""))</f>
      </c>
      <c r="K1838" s="17">
        <f>IF(Log[[#This Row],[ID]]="",0,IFERROR(INDEX(Items[Pts],MATCH(Log[[#This Row],[ID]],Items[ID],0))*1,0))</f>
      </c>
      <c r="L1838" s="17">
        <f>IF(Log[[#This Row],[ID]]="","",IFERROR(INDEX(Items[Cur team],MATCH(Log[[#This Row],[ID]],Items[ID],0))&amp;"",""))</f>
      </c>
      <c r="M1838" s="17">
        <f>IF(OR(Log[[#This Row],[Verb]]="done",Log[[#This Row],[Verb]]="punt",Log[[#This Row],[Verb]]="drop",Log[[#This Row],[Verb]]="pass"),Log[[#This Row],[Pts]],0)</f>
      </c>
    </row>
    <row r="1839">
      <c r="A1839" s="11">
        <v>46259</v>
      </c>
      <c r="B1839" t="s">
        <v>1000</v>
      </c>
      <c r="C1839" t="s">
        <v>34</v>
      </c>
      <c r="D1839">
        <v>51</v>
      </c>
      <c r="F1839" s="17">
        <f>IF(Log[[#This Row],[ID]]="","",IF(ISNA(MATCH(Log[[#This Row],[ID]],Items[ID],0)),"unknown ID",IF(ISNA(MATCH(Log[[#This Row],[Verb]],VerbList,0)),"unknown verb",IF(Log[[#This Row],[Date]]="","no date",""))))</f>
      </c>
      <c r="G1839" s="17">
        <f>IF(Log[[#This Row],[ID]]="","",IFERROR(VLOOKUP(Log[[#This Row],[Verb]],Verbs,3,FALSE)&amp;"",""))</f>
      </c>
      <c r="H1839" s="17">
        <f>IF(Log[[#This Row],[Date]]="","",INT((Log[[#This Row],[Date]]-Sprint1)/SprintDays)+1)</f>
      </c>
      <c r="I1839" s="17">
        <f>IF(OR(Log[[#This Row],[Verb]]="commit",Log[[#This Row],[Verb]]="carry",Log[[#This Row],[Verb]]="redo"),IF(Log[[#This Row],[Arg]]="",Log[[#This Row],[Sprint]],N(Log[[#This Row],[Arg]])),"")</f>
      </c>
      <c r="J1839" s="17">
        <f>IF(Log[[#This Row],[Verb]]="block",1,IF(OR(Log[[#This Row],[Verb]]="unblock",Log[[#This Row],[Verb]]="done",Log[[#This Row],[Verb]]="drop",Log[[#This Row],[Verb]]="punt",Log[[#This Row],[Verb]]="pass"),0,""))</f>
      </c>
      <c r="K1839" s="17">
        <f>IF(Log[[#This Row],[ID]]="",0,IFERROR(INDEX(Items[Pts],MATCH(Log[[#This Row],[ID]],Items[ID],0))*1,0))</f>
      </c>
      <c r="L1839" s="17">
        <f>IF(Log[[#This Row],[ID]]="","",IFERROR(INDEX(Items[Cur team],MATCH(Log[[#This Row],[ID]],Items[ID],0))&amp;"",""))</f>
      </c>
      <c r="M1839" s="17">
        <f>IF(OR(Log[[#This Row],[Verb]]="done",Log[[#This Row],[Verb]]="punt",Log[[#This Row],[Verb]]="drop",Log[[#This Row],[Verb]]="pass"),Log[[#This Row],[Pts]],0)</f>
      </c>
    </row>
    <row r="1840">
      <c r="A1840" s="11">
        <v>46259</v>
      </c>
      <c r="B1840" t="s">
        <v>1001</v>
      </c>
      <c r="C1840" t="s">
        <v>34</v>
      </c>
      <c r="D1840">
        <v>51</v>
      </c>
      <c r="F1840" s="17">
        <f>IF(Log[[#This Row],[ID]]="","",IF(ISNA(MATCH(Log[[#This Row],[ID]],Items[ID],0)),"unknown ID",IF(ISNA(MATCH(Log[[#This Row],[Verb]],VerbList,0)),"unknown verb",IF(Log[[#This Row],[Date]]="","no date",""))))</f>
      </c>
      <c r="G1840" s="17">
        <f>IF(Log[[#This Row],[ID]]="","",IFERROR(VLOOKUP(Log[[#This Row],[Verb]],Verbs,3,FALSE)&amp;"",""))</f>
      </c>
      <c r="H1840" s="17">
        <f>IF(Log[[#This Row],[Date]]="","",INT((Log[[#This Row],[Date]]-Sprint1)/SprintDays)+1)</f>
      </c>
      <c r="I1840" s="17">
        <f>IF(OR(Log[[#This Row],[Verb]]="commit",Log[[#This Row],[Verb]]="carry",Log[[#This Row],[Verb]]="redo"),IF(Log[[#This Row],[Arg]]="",Log[[#This Row],[Sprint]],N(Log[[#This Row],[Arg]])),"")</f>
      </c>
      <c r="J1840" s="17">
        <f>IF(Log[[#This Row],[Verb]]="block",1,IF(OR(Log[[#This Row],[Verb]]="unblock",Log[[#This Row],[Verb]]="done",Log[[#This Row],[Verb]]="drop",Log[[#This Row],[Verb]]="punt",Log[[#This Row],[Verb]]="pass"),0,""))</f>
      </c>
      <c r="K1840" s="17">
        <f>IF(Log[[#This Row],[ID]]="",0,IFERROR(INDEX(Items[Pts],MATCH(Log[[#This Row],[ID]],Items[ID],0))*1,0))</f>
      </c>
      <c r="L1840" s="17">
        <f>IF(Log[[#This Row],[ID]]="","",IFERROR(INDEX(Items[Cur team],MATCH(Log[[#This Row],[ID]],Items[ID],0))&amp;"",""))</f>
      </c>
      <c r="M1840" s="17">
        <f>IF(OR(Log[[#This Row],[Verb]]="done",Log[[#This Row],[Verb]]="punt",Log[[#This Row],[Verb]]="drop",Log[[#This Row],[Verb]]="pass"),Log[[#This Row],[Pts]],0)</f>
      </c>
    </row>
    <row r="1841">
      <c r="A1841" s="11">
        <v>46259</v>
      </c>
      <c r="B1841" t="s">
        <v>1002</v>
      </c>
      <c r="C1841" t="s">
        <v>34</v>
      </c>
      <c r="D1841">
        <v>51</v>
      </c>
      <c r="F1841" s="17">
        <f>IF(Log[[#This Row],[ID]]="","",IF(ISNA(MATCH(Log[[#This Row],[ID]],Items[ID],0)),"unknown ID",IF(ISNA(MATCH(Log[[#This Row],[Verb]],VerbList,0)),"unknown verb",IF(Log[[#This Row],[Date]]="","no date",""))))</f>
      </c>
      <c r="G1841" s="17">
        <f>IF(Log[[#This Row],[ID]]="","",IFERROR(VLOOKUP(Log[[#This Row],[Verb]],Verbs,3,FALSE)&amp;"",""))</f>
      </c>
      <c r="H1841" s="17">
        <f>IF(Log[[#This Row],[Date]]="","",INT((Log[[#This Row],[Date]]-Sprint1)/SprintDays)+1)</f>
      </c>
      <c r="I1841" s="17">
        <f>IF(OR(Log[[#This Row],[Verb]]="commit",Log[[#This Row],[Verb]]="carry",Log[[#This Row],[Verb]]="redo"),IF(Log[[#This Row],[Arg]]="",Log[[#This Row],[Sprint]],N(Log[[#This Row],[Arg]])),"")</f>
      </c>
      <c r="J1841" s="17">
        <f>IF(Log[[#This Row],[Verb]]="block",1,IF(OR(Log[[#This Row],[Verb]]="unblock",Log[[#This Row],[Verb]]="done",Log[[#This Row],[Verb]]="drop",Log[[#This Row],[Verb]]="punt",Log[[#This Row],[Verb]]="pass"),0,""))</f>
      </c>
      <c r="K1841" s="17">
        <f>IF(Log[[#This Row],[ID]]="",0,IFERROR(INDEX(Items[Pts],MATCH(Log[[#This Row],[ID]],Items[ID],0))*1,0))</f>
      </c>
      <c r="L1841" s="17">
        <f>IF(Log[[#This Row],[ID]]="","",IFERROR(INDEX(Items[Cur team],MATCH(Log[[#This Row],[ID]],Items[ID],0))&amp;"",""))</f>
      </c>
      <c r="M1841" s="17">
        <f>IF(OR(Log[[#This Row],[Verb]]="done",Log[[#This Row],[Verb]]="punt",Log[[#This Row],[Verb]]="drop",Log[[#This Row],[Verb]]="pass"),Log[[#This Row],[Pts]],0)</f>
      </c>
    </row>
    <row r="1842">
      <c r="A1842" s="11">
        <v>46259</v>
      </c>
      <c r="B1842" t="s">
        <v>1003</v>
      </c>
      <c r="C1842" t="s">
        <v>34</v>
      </c>
      <c r="D1842">
        <v>51</v>
      </c>
      <c r="F1842" s="17">
        <f>IF(Log[[#This Row],[ID]]="","",IF(ISNA(MATCH(Log[[#This Row],[ID]],Items[ID],0)),"unknown ID",IF(ISNA(MATCH(Log[[#This Row],[Verb]],VerbList,0)),"unknown verb",IF(Log[[#This Row],[Date]]="","no date",""))))</f>
      </c>
      <c r="G1842" s="17">
        <f>IF(Log[[#This Row],[ID]]="","",IFERROR(VLOOKUP(Log[[#This Row],[Verb]],Verbs,3,FALSE)&amp;"",""))</f>
      </c>
      <c r="H1842" s="17">
        <f>IF(Log[[#This Row],[Date]]="","",INT((Log[[#This Row],[Date]]-Sprint1)/SprintDays)+1)</f>
      </c>
      <c r="I1842" s="17">
        <f>IF(OR(Log[[#This Row],[Verb]]="commit",Log[[#This Row],[Verb]]="carry",Log[[#This Row],[Verb]]="redo"),IF(Log[[#This Row],[Arg]]="",Log[[#This Row],[Sprint]],N(Log[[#This Row],[Arg]])),"")</f>
      </c>
      <c r="J1842" s="17">
        <f>IF(Log[[#This Row],[Verb]]="block",1,IF(OR(Log[[#This Row],[Verb]]="unblock",Log[[#This Row],[Verb]]="done",Log[[#This Row],[Verb]]="drop",Log[[#This Row],[Verb]]="punt",Log[[#This Row],[Verb]]="pass"),0,""))</f>
      </c>
      <c r="K1842" s="17">
        <f>IF(Log[[#This Row],[ID]]="",0,IFERROR(INDEX(Items[Pts],MATCH(Log[[#This Row],[ID]],Items[ID],0))*1,0))</f>
      </c>
      <c r="L1842" s="17">
        <f>IF(Log[[#This Row],[ID]]="","",IFERROR(INDEX(Items[Cur team],MATCH(Log[[#This Row],[ID]],Items[ID],0))&amp;"",""))</f>
      </c>
      <c r="M1842" s="17">
        <f>IF(OR(Log[[#This Row],[Verb]]="done",Log[[#This Row],[Verb]]="punt",Log[[#This Row],[Verb]]="drop",Log[[#This Row],[Verb]]="pass"),Log[[#This Row],[Pts]],0)</f>
      </c>
    </row>
    <row r="1843">
      <c r="A1843" s="11">
        <v>46259</v>
      </c>
      <c r="B1843" t="s">
        <v>1004</v>
      </c>
      <c r="C1843" t="s">
        <v>34</v>
      </c>
      <c r="D1843">
        <v>51</v>
      </c>
      <c r="F1843" s="17">
        <f>IF(Log[[#This Row],[ID]]="","",IF(ISNA(MATCH(Log[[#This Row],[ID]],Items[ID],0)),"unknown ID",IF(ISNA(MATCH(Log[[#This Row],[Verb]],VerbList,0)),"unknown verb",IF(Log[[#This Row],[Date]]="","no date",""))))</f>
      </c>
      <c r="G1843" s="17">
        <f>IF(Log[[#This Row],[ID]]="","",IFERROR(VLOOKUP(Log[[#This Row],[Verb]],Verbs,3,FALSE)&amp;"",""))</f>
      </c>
      <c r="H1843" s="17">
        <f>IF(Log[[#This Row],[Date]]="","",INT((Log[[#This Row],[Date]]-Sprint1)/SprintDays)+1)</f>
      </c>
      <c r="I1843" s="17">
        <f>IF(OR(Log[[#This Row],[Verb]]="commit",Log[[#This Row],[Verb]]="carry",Log[[#This Row],[Verb]]="redo"),IF(Log[[#This Row],[Arg]]="",Log[[#This Row],[Sprint]],N(Log[[#This Row],[Arg]])),"")</f>
      </c>
      <c r="J1843" s="17">
        <f>IF(Log[[#This Row],[Verb]]="block",1,IF(OR(Log[[#This Row],[Verb]]="unblock",Log[[#This Row],[Verb]]="done",Log[[#This Row],[Verb]]="drop",Log[[#This Row],[Verb]]="punt",Log[[#This Row],[Verb]]="pass"),0,""))</f>
      </c>
      <c r="K1843" s="17">
        <f>IF(Log[[#This Row],[ID]]="",0,IFERROR(INDEX(Items[Pts],MATCH(Log[[#This Row],[ID]],Items[ID],0))*1,0))</f>
      </c>
      <c r="L1843" s="17">
        <f>IF(Log[[#This Row],[ID]]="","",IFERROR(INDEX(Items[Cur team],MATCH(Log[[#This Row],[ID]],Items[ID],0))&amp;"",""))</f>
      </c>
      <c r="M1843" s="17">
        <f>IF(OR(Log[[#This Row],[Verb]]="done",Log[[#This Row],[Verb]]="punt",Log[[#This Row],[Verb]]="drop",Log[[#This Row],[Verb]]="pass"),Log[[#This Row],[Pts]],0)</f>
      </c>
    </row>
    <row r="1844">
      <c r="A1844" s="11">
        <v>46259</v>
      </c>
      <c r="B1844" t="s">
        <v>1005</v>
      </c>
      <c r="C1844" t="s">
        <v>34</v>
      </c>
      <c r="D1844">
        <v>51</v>
      </c>
      <c r="F1844" s="17">
        <f>IF(Log[[#This Row],[ID]]="","",IF(ISNA(MATCH(Log[[#This Row],[ID]],Items[ID],0)),"unknown ID",IF(ISNA(MATCH(Log[[#This Row],[Verb]],VerbList,0)),"unknown verb",IF(Log[[#This Row],[Date]]="","no date",""))))</f>
      </c>
      <c r="G1844" s="17">
        <f>IF(Log[[#This Row],[ID]]="","",IFERROR(VLOOKUP(Log[[#This Row],[Verb]],Verbs,3,FALSE)&amp;"",""))</f>
      </c>
      <c r="H1844" s="17">
        <f>IF(Log[[#This Row],[Date]]="","",INT((Log[[#This Row],[Date]]-Sprint1)/SprintDays)+1)</f>
      </c>
      <c r="I1844" s="17">
        <f>IF(OR(Log[[#This Row],[Verb]]="commit",Log[[#This Row],[Verb]]="carry",Log[[#This Row],[Verb]]="redo"),IF(Log[[#This Row],[Arg]]="",Log[[#This Row],[Sprint]],N(Log[[#This Row],[Arg]])),"")</f>
      </c>
      <c r="J1844" s="17">
        <f>IF(Log[[#This Row],[Verb]]="block",1,IF(OR(Log[[#This Row],[Verb]]="unblock",Log[[#This Row],[Verb]]="done",Log[[#This Row],[Verb]]="drop",Log[[#This Row],[Verb]]="punt",Log[[#This Row],[Verb]]="pass"),0,""))</f>
      </c>
      <c r="K1844" s="17">
        <f>IF(Log[[#This Row],[ID]]="",0,IFERROR(INDEX(Items[Pts],MATCH(Log[[#This Row],[ID]],Items[ID],0))*1,0))</f>
      </c>
      <c r="L1844" s="17">
        <f>IF(Log[[#This Row],[ID]]="","",IFERROR(INDEX(Items[Cur team],MATCH(Log[[#This Row],[ID]],Items[ID],0))&amp;"",""))</f>
      </c>
      <c r="M1844" s="17">
        <f>IF(OR(Log[[#This Row],[Verb]]="done",Log[[#This Row],[Verb]]="punt",Log[[#This Row],[Verb]]="drop",Log[[#This Row],[Verb]]="pass"),Log[[#This Row],[Pts]],0)</f>
      </c>
    </row>
    <row r="1845">
      <c r="A1845" s="11">
        <v>46259</v>
      </c>
      <c r="B1845" t="s">
        <v>1006</v>
      </c>
      <c r="C1845" t="s">
        <v>34</v>
      </c>
      <c r="D1845">
        <v>51</v>
      </c>
      <c r="F1845" s="17">
        <f>IF(Log[[#This Row],[ID]]="","",IF(ISNA(MATCH(Log[[#This Row],[ID]],Items[ID],0)),"unknown ID",IF(ISNA(MATCH(Log[[#This Row],[Verb]],VerbList,0)),"unknown verb",IF(Log[[#This Row],[Date]]="","no date",""))))</f>
      </c>
      <c r="G1845" s="17">
        <f>IF(Log[[#This Row],[ID]]="","",IFERROR(VLOOKUP(Log[[#This Row],[Verb]],Verbs,3,FALSE)&amp;"",""))</f>
      </c>
      <c r="H1845" s="17">
        <f>IF(Log[[#This Row],[Date]]="","",INT((Log[[#This Row],[Date]]-Sprint1)/SprintDays)+1)</f>
      </c>
      <c r="I1845" s="17">
        <f>IF(OR(Log[[#This Row],[Verb]]="commit",Log[[#This Row],[Verb]]="carry",Log[[#This Row],[Verb]]="redo"),IF(Log[[#This Row],[Arg]]="",Log[[#This Row],[Sprint]],N(Log[[#This Row],[Arg]])),"")</f>
      </c>
      <c r="J1845" s="17">
        <f>IF(Log[[#This Row],[Verb]]="block",1,IF(OR(Log[[#This Row],[Verb]]="unblock",Log[[#This Row],[Verb]]="done",Log[[#This Row],[Verb]]="drop",Log[[#This Row],[Verb]]="punt",Log[[#This Row],[Verb]]="pass"),0,""))</f>
      </c>
      <c r="K1845" s="17">
        <f>IF(Log[[#This Row],[ID]]="",0,IFERROR(INDEX(Items[Pts],MATCH(Log[[#This Row],[ID]],Items[ID],0))*1,0))</f>
      </c>
      <c r="L1845" s="17">
        <f>IF(Log[[#This Row],[ID]]="","",IFERROR(INDEX(Items[Cur team],MATCH(Log[[#This Row],[ID]],Items[ID],0))&amp;"",""))</f>
      </c>
      <c r="M1845" s="17">
        <f>IF(OR(Log[[#This Row],[Verb]]="done",Log[[#This Row],[Verb]]="punt",Log[[#This Row],[Verb]]="drop",Log[[#This Row],[Verb]]="pass"),Log[[#This Row],[Pts]],0)</f>
      </c>
    </row>
    <row r="1846">
      <c r="A1846" s="11">
        <v>46259</v>
      </c>
      <c r="B1846" t="s">
        <v>1007</v>
      </c>
      <c r="C1846" t="s">
        <v>34</v>
      </c>
      <c r="D1846">
        <v>51</v>
      </c>
      <c r="F1846" s="17">
        <f>IF(Log[[#This Row],[ID]]="","",IF(ISNA(MATCH(Log[[#This Row],[ID]],Items[ID],0)),"unknown ID",IF(ISNA(MATCH(Log[[#This Row],[Verb]],VerbList,0)),"unknown verb",IF(Log[[#This Row],[Date]]="","no date",""))))</f>
      </c>
      <c r="G1846" s="17">
        <f>IF(Log[[#This Row],[ID]]="","",IFERROR(VLOOKUP(Log[[#This Row],[Verb]],Verbs,3,FALSE)&amp;"",""))</f>
      </c>
      <c r="H1846" s="17">
        <f>IF(Log[[#This Row],[Date]]="","",INT((Log[[#This Row],[Date]]-Sprint1)/SprintDays)+1)</f>
      </c>
      <c r="I1846" s="17">
        <f>IF(OR(Log[[#This Row],[Verb]]="commit",Log[[#This Row],[Verb]]="carry",Log[[#This Row],[Verb]]="redo"),IF(Log[[#This Row],[Arg]]="",Log[[#This Row],[Sprint]],N(Log[[#This Row],[Arg]])),"")</f>
      </c>
      <c r="J1846" s="17">
        <f>IF(Log[[#This Row],[Verb]]="block",1,IF(OR(Log[[#This Row],[Verb]]="unblock",Log[[#This Row],[Verb]]="done",Log[[#This Row],[Verb]]="drop",Log[[#This Row],[Verb]]="punt",Log[[#This Row],[Verb]]="pass"),0,""))</f>
      </c>
      <c r="K1846" s="17">
        <f>IF(Log[[#This Row],[ID]]="",0,IFERROR(INDEX(Items[Pts],MATCH(Log[[#This Row],[ID]],Items[ID],0))*1,0))</f>
      </c>
      <c r="L1846" s="17">
        <f>IF(Log[[#This Row],[ID]]="","",IFERROR(INDEX(Items[Cur team],MATCH(Log[[#This Row],[ID]],Items[ID],0))&amp;"",""))</f>
      </c>
      <c r="M1846" s="17">
        <f>IF(OR(Log[[#This Row],[Verb]]="done",Log[[#This Row],[Verb]]="punt",Log[[#This Row],[Verb]]="drop",Log[[#This Row],[Verb]]="pass"),Log[[#This Row],[Pts]],0)</f>
      </c>
    </row>
    <row r="1847">
      <c r="A1847" s="11">
        <v>46259</v>
      </c>
      <c r="B1847" t="s">
        <v>1008</v>
      </c>
      <c r="C1847" t="s">
        <v>34</v>
      </c>
      <c r="D1847">
        <v>51</v>
      </c>
      <c r="F1847" s="17">
        <f>IF(Log[[#This Row],[ID]]="","",IF(ISNA(MATCH(Log[[#This Row],[ID]],Items[ID],0)),"unknown ID",IF(ISNA(MATCH(Log[[#This Row],[Verb]],VerbList,0)),"unknown verb",IF(Log[[#This Row],[Date]]="","no date",""))))</f>
      </c>
      <c r="G1847" s="17">
        <f>IF(Log[[#This Row],[ID]]="","",IFERROR(VLOOKUP(Log[[#This Row],[Verb]],Verbs,3,FALSE)&amp;"",""))</f>
      </c>
      <c r="H1847" s="17">
        <f>IF(Log[[#This Row],[Date]]="","",INT((Log[[#This Row],[Date]]-Sprint1)/SprintDays)+1)</f>
      </c>
      <c r="I1847" s="17">
        <f>IF(OR(Log[[#This Row],[Verb]]="commit",Log[[#This Row],[Verb]]="carry",Log[[#This Row],[Verb]]="redo"),IF(Log[[#This Row],[Arg]]="",Log[[#This Row],[Sprint]],N(Log[[#This Row],[Arg]])),"")</f>
      </c>
      <c r="J1847" s="17">
        <f>IF(Log[[#This Row],[Verb]]="block",1,IF(OR(Log[[#This Row],[Verb]]="unblock",Log[[#This Row],[Verb]]="done",Log[[#This Row],[Verb]]="drop",Log[[#This Row],[Verb]]="punt",Log[[#This Row],[Verb]]="pass"),0,""))</f>
      </c>
      <c r="K1847" s="17">
        <f>IF(Log[[#This Row],[ID]]="",0,IFERROR(INDEX(Items[Pts],MATCH(Log[[#This Row],[ID]],Items[ID],0))*1,0))</f>
      </c>
      <c r="L1847" s="17">
        <f>IF(Log[[#This Row],[ID]]="","",IFERROR(INDEX(Items[Cur team],MATCH(Log[[#This Row],[ID]],Items[ID],0))&amp;"",""))</f>
      </c>
      <c r="M1847" s="17">
        <f>IF(OR(Log[[#This Row],[Verb]]="done",Log[[#This Row],[Verb]]="punt",Log[[#This Row],[Verb]]="drop",Log[[#This Row],[Verb]]="pass"),Log[[#This Row],[Pts]],0)</f>
      </c>
    </row>
    <row r="1848">
      <c r="A1848" s="11">
        <v>46259</v>
      </c>
      <c r="B1848" t="s">
        <v>1009</v>
      </c>
      <c r="C1848" t="s">
        <v>34</v>
      </c>
      <c r="D1848">
        <v>51</v>
      </c>
      <c r="F1848" s="17">
        <f>IF(Log[[#This Row],[ID]]="","",IF(ISNA(MATCH(Log[[#This Row],[ID]],Items[ID],0)),"unknown ID",IF(ISNA(MATCH(Log[[#This Row],[Verb]],VerbList,0)),"unknown verb",IF(Log[[#This Row],[Date]]="","no date",""))))</f>
      </c>
      <c r="G1848" s="17">
        <f>IF(Log[[#This Row],[ID]]="","",IFERROR(VLOOKUP(Log[[#This Row],[Verb]],Verbs,3,FALSE)&amp;"",""))</f>
      </c>
      <c r="H1848" s="17">
        <f>IF(Log[[#This Row],[Date]]="","",INT((Log[[#This Row],[Date]]-Sprint1)/SprintDays)+1)</f>
      </c>
      <c r="I1848" s="17">
        <f>IF(OR(Log[[#This Row],[Verb]]="commit",Log[[#This Row],[Verb]]="carry",Log[[#This Row],[Verb]]="redo"),IF(Log[[#This Row],[Arg]]="",Log[[#This Row],[Sprint]],N(Log[[#This Row],[Arg]])),"")</f>
      </c>
      <c r="J1848" s="17">
        <f>IF(Log[[#This Row],[Verb]]="block",1,IF(OR(Log[[#This Row],[Verb]]="unblock",Log[[#This Row],[Verb]]="done",Log[[#This Row],[Verb]]="drop",Log[[#This Row],[Verb]]="punt",Log[[#This Row],[Verb]]="pass"),0,""))</f>
      </c>
      <c r="K1848" s="17">
        <f>IF(Log[[#This Row],[ID]]="",0,IFERROR(INDEX(Items[Pts],MATCH(Log[[#This Row],[ID]],Items[ID],0))*1,0))</f>
      </c>
      <c r="L1848" s="17">
        <f>IF(Log[[#This Row],[ID]]="","",IFERROR(INDEX(Items[Cur team],MATCH(Log[[#This Row],[ID]],Items[ID],0))&amp;"",""))</f>
      </c>
      <c r="M1848" s="17">
        <f>IF(OR(Log[[#This Row],[Verb]]="done",Log[[#This Row],[Verb]]="punt",Log[[#This Row],[Verb]]="drop",Log[[#This Row],[Verb]]="pass"),Log[[#This Row],[Pts]],0)</f>
      </c>
    </row>
    <row r="1849">
      <c r="A1849" s="11">
        <v>46259</v>
      </c>
      <c r="B1849" t="s">
        <v>1010</v>
      </c>
      <c r="C1849" t="s">
        <v>34</v>
      </c>
      <c r="D1849">
        <v>51</v>
      </c>
      <c r="F1849" s="17">
        <f>IF(Log[[#This Row],[ID]]="","",IF(ISNA(MATCH(Log[[#This Row],[ID]],Items[ID],0)),"unknown ID",IF(ISNA(MATCH(Log[[#This Row],[Verb]],VerbList,0)),"unknown verb",IF(Log[[#This Row],[Date]]="","no date",""))))</f>
      </c>
      <c r="G1849" s="17">
        <f>IF(Log[[#This Row],[ID]]="","",IFERROR(VLOOKUP(Log[[#This Row],[Verb]],Verbs,3,FALSE)&amp;"",""))</f>
      </c>
      <c r="H1849" s="17">
        <f>IF(Log[[#This Row],[Date]]="","",INT((Log[[#This Row],[Date]]-Sprint1)/SprintDays)+1)</f>
      </c>
      <c r="I1849" s="17">
        <f>IF(OR(Log[[#This Row],[Verb]]="commit",Log[[#This Row],[Verb]]="carry",Log[[#This Row],[Verb]]="redo"),IF(Log[[#This Row],[Arg]]="",Log[[#This Row],[Sprint]],N(Log[[#This Row],[Arg]])),"")</f>
      </c>
      <c r="J1849" s="17">
        <f>IF(Log[[#This Row],[Verb]]="block",1,IF(OR(Log[[#This Row],[Verb]]="unblock",Log[[#This Row],[Verb]]="done",Log[[#This Row],[Verb]]="drop",Log[[#This Row],[Verb]]="punt",Log[[#This Row],[Verb]]="pass"),0,""))</f>
      </c>
      <c r="K1849" s="17">
        <f>IF(Log[[#This Row],[ID]]="",0,IFERROR(INDEX(Items[Pts],MATCH(Log[[#This Row],[ID]],Items[ID],0))*1,0))</f>
      </c>
      <c r="L1849" s="17">
        <f>IF(Log[[#This Row],[ID]]="","",IFERROR(INDEX(Items[Cur team],MATCH(Log[[#This Row],[ID]],Items[ID],0))&amp;"",""))</f>
      </c>
      <c r="M1849" s="17">
        <f>IF(OR(Log[[#This Row],[Verb]]="done",Log[[#This Row],[Verb]]="punt",Log[[#This Row],[Verb]]="drop",Log[[#This Row],[Verb]]="pass"),Log[[#This Row],[Pts]],0)</f>
      </c>
    </row>
    <row r="1850">
      <c r="A1850" s="11">
        <v>46259</v>
      </c>
      <c r="B1850" t="s">
        <v>1011</v>
      </c>
      <c r="C1850" t="s">
        <v>34</v>
      </c>
      <c r="D1850">
        <v>51</v>
      </c>
      <c r="F1850" s="17">
        <f>IF(Log[[#This Row],[ID]]="","",IF(ISNA(MATCH(Log[[#This Row],[ID]],Items[ID],0)),"unknown ID",IF(ISNA(MATCH(Log[[#This Row],[Verb]],VerbList,0)),"unknown verb",IF(Log[[#This Row],[Date]]="","no date",""))))</f>
      </c>
      <c r="G1850" s="17">
        <f>IF(Log[[#This Row],[ID]]="","",IFERROR(VLOOKUP(Log[[#This Row],[Verb]],Verbs,3,FALSE)&amp;"",""))</f>
      </c>
      <c r="H1850" s="17">
        <f>IF(Log[[#This Row],[Date]]="","",INT((Log[[#This Row],[Date]]-Sprint1)/SprintDays)+1)</f>
      </c>
      <c r="I1850" s="17">
        <f>IF(OR(Log[[#This Row],[Verb]]="commit",Log[[#This Row],[Verb]]="carry",Log[[#This Row],[Verb]]="redo"),IF(Log[[#This Row],[Arg]]="",Log[[#This Row],[Sprint]],N(Log[[#This Row],[Arg]])),"")</f>
      </c>
      <c r="J1850" s="17">
        <f>IF(Log[[#This Row],[Verb]]="block",1,IF(OR(Log[[#This Row],[Verb]]="unblock",Log[[#This Row],[Verb]]="done",Log[[#This Row],[Verb]]="drop",Log[[#This Row],[Verb]]="punt",Log[[#This Row],[Verb]]="pass"),0,""))</f>
      </c>
      <c r="K1850" s="17">
        <f>IF(Log[[#This Row],[ID]]="",0,IFERROR(INDEX(Items[Pts],MATCH(Log[[#This Row],[ID]],Items[ID],0))*1,0))</f>
      </c>
      <c r="L1850" s="17">
        <f>IF(Log[[#This Row],[ID]]="","",IFERROR(INDEX(Items[Cur team],MATCH(Log[[#This Row],[ID]],Items[ID],0))&amp;"",""))</f>
      </c>
      <c r="M1850" s="17">
        <f>IF(OR(Log[[#This Row],[Verb]]="done",Log[[#This Row],[Verb]]="punt",Log[[#This Row],[Verb]]="drop",Log[[#This Row],[Verb]]="pass"),Log[[#This Row],[Pts]],0)</f>
      </c>
    </row>
    <row r="1851">
      <c r="A1851" s="11">
        <v>46259</v>
      </c>
      <c r="B1851" t="s">
        <v>1012</v>
      </c>
      <c r="C1851" t="s">
        <v>34</v>
      </c>
      <c r="D1851">
        <v>51</v>
      </c>
      <c r="F1851" s="17">
        <f>IF(Log[[#This Row],[ID]]="","",IF(ISNA(MATCH(Log[[#This Row],[ID]],Items[ID],0)),"unknown ID",IF(ISNA(MATCH(Log[[#This Row],[Verb]],VerbList,0)),"unknown verb",IF(Log[[#This Row],[Date]]="","no date",""))))</f>
      </c>
      <c r="G1851" s="17">
        <f>IF(Log[[#This Row],[ID]]="","",IFERROR(VLOOKUP(Log[[#This Row],[Verb]],Verbs,3,FALSE)&amp;"",""))</f>
      </c>
      <c r="H1851" s="17">
        <f>IF(Log[[#This Row],[Date]]="","",INT((Log[[#This Row],[Date]]-Sprint1)/SprintDays)+1)</f>
      </c>
      <c r="I1851" s="17">
        <f>IF(OR(Log[[#This Row],[Verb]]="commit",Log[[#This Row],[Verb]]="carry",Log[[#This Row],[Verb]]="redo"),IF(Log[[#This Row],[Arg]]="",Log[[#This Row],[Sprint]],N(Log[[#This Row],[Arg]])),"")</f>
      </c>
      <c r="J1851" s="17">
        <f>IF(Log[[#This Row],[Verb]]="block",1,IF(OR(Log[[#This Row],[Verb]]="unblock",Log[[#This Row],[Verb]]="done",Log[[#This Row],[Verb]]="drop",Log[[#This Row],[Verb]]="punt",Log[[#This Row],[Verb]]="pass"),0,""))</f>
      </c>
      <c r="K1851" s="17">
        <f>IF(Log[[#This Row],[ID]]="",0,IFERROR(INDEX(Items[Pts],MATCH(Log[[#This Row],[ID]],Items[ID],0))*1,0))</f>
      </c>
      <c r="L1851" s="17">
        <f>IF(Log[[#This Row],[ID]]="","",IFERROR(INDEX(Items[Cur team],MATCH(Log[[#This Row],[ID]],Items[ID],0))&amp;"",""))</f>
      </c>
      <c r="M1851" s="17">
        <f>IF(OR(Log[[#This Row],[Verb]]="done",Log[[#This Row],[Verb]]="punt",Log[[#This Row],[Verb]]="drop",Log[[#This Row],[Verb]]="pass"),Log[[#This Row],[Pts]],0)</f>
      </c>
    </row>
    <row r="1852">
      <c r="A1852" s="11">
        <v>46259</v>
      </c>
      <c r="B1852" t="s">
        <v>1013</v>
      </c>
      <c r="C1852" t="s">
        <v>34</v>
      </c>
      <c r="D1852">
        <v>51</v>
      </c>
      <c r="F1852" s="17">
        <f>IF(Log[[#This Row],[ID]]="","",IF(ISNA(MATCH(Log[[#This Row],[ID]],Items[ID],0)),"unknown ID",IF(ISNA(MATCH(Log[[#This Row],[Verb]],VerbList,0)),"unknown verb",IF(Log[[#This Row],[Date]]="","no date",""))))</f>
      </c>
      <c r="G1852" s="17">
        <f>IF(Log[[#This Row],[ID]]="","",IFERROR(VLOOKUP(Log[[#This Row],[Verb]],Verbs,3,FALSE)&amp;"",""))</f>
      </c>
      <c r="H1852" s="17">
        <f>IF(Log[[#This Row],[Date]]="","",INT((Log[[#This Row],[Date]]-Sprint1)/SprintDays)+1)</f>
      </c>
      <c r="I1852" s="17">
        <f>IF(OR(Log[[#This Row],[Verb]]="commit",Log[[#This Row],[Verb]]="carry",Log[[#This Row],[Verb]]="redo"),IF(Log[[#This Row],[Arg]]="",Log[[#This Row],[Sprint]],N(Log[[#This Row],[Arg]])),"")</f>
      </c>
      <c r="J1852" s="17">
        <f>IF(Log[[#This Row],[Verb]]="block",1,IF(OR(Log[[#This Row],[Verb]]="unblock",Log[[#This Row],[Verb]]="done",Log[[#This Row],[Verb]]="drop",Log[[#This Row],[Verb]]="punt",Log[[#This Row],[Verb]]="pass"),0,""))</f>
      </c>
      <c r="K1852" s="17">
        <f>IF(Log[[#This Row],[ID]]="",0,IFERROR(INDEX(Items[Pts],MATCH(Log[[#This Row],[ID]],Items[ID],0))*1,0))</f>
      </c>
      <c r="L1852" s="17">
        <f>IF(Log[[#This Row],[ID]]="","",IFERROR(INDEX(Items[Cur team],MATCH(Log[[#This Row],[ID]],Items[ID],0))&amp;"",""))</f>
      </c>
      <c r="M1852" s="17">
        <f>IF(OR(Log[[#This Row],[Verb]]="done",Log[[#This Row],[Verb]]="punt",Log[[#This Row],[Verb]]="drop",Log[[#This Row],[Verb]]="pass"),Log[[#This Row],[Pts]],0)</f>
      </c>
    </row>
    <row r="1853">
      <c r="A1853" s="11">
        <v>46259</v>
      </c>
      <c r="B1853" t="s">
        <v>1014</v>
      </c>
      <c r="C1853" t="s">
        <v>34</v>
      </c>
      <c r="D1853">
        <v>51</v>
      </c>
      <c r="F1853" s="17">
        <f>IF(Log[[#This Row],[ID]]="","",IF(ISNA(MATCH(Log[[#This Row],[ID]],Items[ID],0)),"unknown ID",IF(ISNA(MATCH(Log[[#This Row],[Verb]],VerbList,0)),"unknown verb",IF(Log[[#This Row],[Date]]="","no date",""))))</f>
      </c>
      <c r="G1853" s="17">
        <f>IF(Log[[#This Row],[ID]]="","",IFERROR(VLOOKUP(Log[[#This Row],[Verb]],Verbs,3,FALSE)&amp;"",""))</f>
      </c>
      <c r="H1853" s="17">
        <f>IF(Log[[#This Row],[Date]]="","",INT((Log[[#This Row],[Date]]-Sprint1)/SprintDays)+1)</f>
      </c>
      <c r="I1853" s="17">
        <f>IF(OR(Log[[#This Row],[Verb]]="commit",Log[[#This Row],[Verb]]="carry",Log[[#This Row],[Verb]]="redo"),IF(Log[[#This Row],[Arg]]="",Log[[#This Row],[Sprint]],N(Log[[#This Row],[Arg]])),"")</f>
      </c>
      <c r="J1853" s="17">
        <f>IF(Log[[#This Row],[Verb]]="block",1,IF(OR(Log[[#This Row],[Verb]]="unblock",Log[[#This Row],[Verb]]="done",Log[[#This Row],[Verb]]="drop",Log[[#This Row],[Verb]]="punt",Log[[#This Row],[Verb]]="pass"),0,""))</f>
      </c>
      <c r="K1853" s="17">
        <f>IF(Log[[#This Row],[ID]]="",0,IFERROR(INDEX(Items[Pts],MATCH(Log[[#This Row],[ID]],Items[ID],0))*1,0))</f>
      </c>
      <c r="L1853" s="17">
        <f>IF(Log[[#This Row],[ID]]="","",IFERROR(INDEX(Items[Cur team],MATCH(Log[[#This Row],[ID]],Items[ID],0))&amp;"",""))</f>
      </c>
      <c r="M1853" s="17">
        <f>IF(OR(Log[[#This Row],[Verb]]="done",Log[[#This Row],[Verb]]="punt",Log[[#This Row],[Verb]]="drop",Log[[#This Row],[Verb]]="pass"),Log[[#This Row],[Pts]],0)</f>
      </c>
    </row>
    <row r="1854">
      <c r="A1854" s="11">
        <v>46259</v>
      </c>
      <c r="B1854" t="s">
        <v>1015</v>
      </c>
      <c r="C1854" t="s">
        <v>34</v>
      </c>
      <c r="D1854">
        <v>51</v>
      </c>
      <c r="F1854" s="17">
        <f>IF(Log[[#This Row],[ID]]="","",IF(ISNA(MATCH(Log[[#This Row],[ID]],Items[ID],0)),"unknown ID",IF(ISNA(MATCH(Log[[#This Row],[Verb]],VerbList,0)),"unknown verb",IF(Log[[#This Row],[Date]]="","no date",""))))</f>
      </c>
      <c r="G1854" s="17">
        <f>IF(Log[[#This Row],[ID]]="","",IFERROR(VLOOKUP(Log[[#This Row],[Verb]],Verbs,3,FALSE)&amp;"",""))</f>
      </c>
      <c r="H1854" s="17">
        <f>IF(Log[[#This Row],[Date]]="","",INT((Log[[#This Row],[Date]]-Sprint1)/SprintDays)+1)</f>
      </c>
      <c r="I1854" s="17">
        <f>IF(OR(Log[[#This Row],[Verb]]="commit",Log[[#This Row],[Verb]]="carry",Log[[#This Row],[Verb]]="redo"),IF(Log[[#This Row],[Arg]]="",Log[[#This Row],[Sprint]],N(Log[[#This Row],[Arg]])),"")</f>
      </c>
      <c r="J1854" s="17">
        <f>IF(Log[[#This Row],[Verb]]="block",1,IF(OR(Log[[#This Row],[Verb]]="unblock",Log[[#This Row],[Verb]]="done",Log[[#This Row],[Verb]]="drop",Log[[#This Row],[Verb]]="punt",Log[[#This Row],[Verb]]="pass"),0,""))</f>
      </c>
      <c r="K1854" s="17">
        <f>IF(Log[[#This Row],[ID]]="",0,IFERROR(INDEX(Items[Pts],MATCH(Log[[#This Row],[ID]],Items[ID],0))*1,0))</f>
      </c>
      <c r="L1854" s="17">
        <f>IF(Log[[#This Row],[ID]]="","",IFERROR(INDEX(Items[Cur team],MATCH(Log[[#This Row],[ID]],Items[ID],0))&amp;"",""))</f>
      </c>
      <c r="M1854" s="17">
        <f>IF(OR(Log[[#This Row],[Verb]]="done",Log[[#This Row],[Verb]]="punt",Log[[#This Row],[Verb]]="drop",Log[[#This Row],[Verb]]="pass"),Log[[#This Row],[Pts]],0)</f>
      </c>
    </row>
    <row r="1855">
      <c r="A1855" s="11">
        <v>46272</v>
      </c>
      <c r="B1855" t="s">
        <v>894</v>
      </c>
      <c r="C1855" t="s">
        <v>41</v>
      </c>
      <c r="F1855" s="17">
        <f>IF(Log[[#This Row],[ID]]="","",IF(ISNA(MATCH(Log[[#This Row],[ID]],Items[ID],0)),"unknown ID",IF(ISNA(MATCH(Log[[#This Row],[Verb]],VerbList,0)),"unknown verb",IF(Log[[#This Row],[Date]]="","no date",""))))</f>
      </c>
      <c r="G1855" s="17">
        <f>IF(Log[[#This Row],[ID]]="","",IFERROR(VLOOKUP(Log[[#This Row],[Verb]],Verbs,3,FALSE)&amp;"",""))</f>
      </c>
      <c r="H1855" s="17">
        <f>IF(Log[[#This Row],[Date]]="","",INT((Log[[#This Row],[Date]]-Sprint1)/SprintDays)+1)</f>
      </c>
      <c r="I1855" s="17">
        <f>IF(OR(Log[[#This Row],[Verb]]="commit",Log[[#This Row],[Verb]]="carry",Log[[#This Row],[Verb]]="redo"),IF(Log[[#This Row],[Arg]]="",Log[[#This Row],[Sprint]],N(Log[[#This Row],[Arg]])),"")</f>
      </c>
      <c r="J1855" s="17">
        <f>IF(Log[[#This Row],[Verb]]="block",1,IF(OR(Log[[#This Row],[Verb]]="unblock",Log[[#This Row],[Verb]]="done",Log[[#This Row],[Verb]]="drop",Log[[#This Row],[Verb]]="punt",Log[[#This Row],[Verb]]="pass"),0,""))</f>
      </c>
      <c r="K1855" s="17">
        <f>IF(Log[[#This Row],[ID]]="",0,IFERROR(INDEX(Items[Pts],MATCH(Log[[#This Row],[ID]],Items[ID],0))*1,0))</f>
      </c>
      <c r="L1855" s="17">
        <f>IF(Log[[#This Row],[ID]]="","",IFERROR(INDEX(Items[Cur team],MATCH(Log[[#This Row],[ID]],Items[ID],0))&amp;"",""))</f>
      </c>
      <c r="M1855" s="17">
        <f>IF(OR(Log[[#This Row],[Verb]]="done",Log[[#This Row],[Verb]]="punt",Log[[#This Row],[Verb]]="drop",Log[[#This Row],[Verb]]="pass"),Log[[#This Row],[Pts]],0)</f>
      </c>
    </row>
    <row r="1856">
      <c r="A1856" s="11">
        <v>46272</v>
      </c>
      <c r="B1856" t="s">
        <v>896</v>
      </c>
      <c r="C1856" t="s">
        <v>41</v>
      </c>
      <c r="F1856" s="17">
        <f>IF(Log[[#This Row],[ID]]="","",IF(ISNA(MATCH(Log[[#This Row],[ID]],Items[ID],0)),"unknown ID",IF(ISNA(MATCH(Log[[#This Row],[Verb]],VerbList,0)),"unknown verb",IF(Log[[#This Row],[Date]]="","no date",""))))</f>
      </c>
      <c r="G1856" s="17">
        <f>IF(Log[[#This Row],[ID]]="","",IFERROR(VLOOKUP(Log[[#This Row],[Verb]],Verbs,3,FALSE)&amp;"",""))</f>
      </c>
      <c r="H1856" s="17">
        <f>IF(Log[[#This Row],[Date]]="","",INT((Log[[#This Row],[Date]]-Sprint1)/SprintDays)+1)</f>
      </c>
      <c r="I1856" s="17">
        <f>IF(OR(Log[[#This Row],[Verb]]="commit",Log[[#This Row],[Verb]]="carry",Log[[#This Row],[Verb]]="redo"),IF(Log[[#This Row],[Arg]]="",Log[[#This Row],[Sprint]],N(Log[[#This Row],[Arg]])),"")</f>
      </c>
      <c r="J1856" s="17">
        <f>IF(Log[[#This Row],[Verb]]="block",1,IF(OR(Log[[#This Row],[Verb]]="unblock",Log[[#This Row],[Verb]]="done",Log[[#This Row],[Verb]]="drop",Log[[#This Row],[Verb]]="punt",Log[[#This Row],[Verb]]="pass"),0,""))</f>
      </c>
      <c r="K1856" s="17">
        <f>IF(Log[[#This Row],[ID]]="",0,IFERROR(INDEX(Items[Pts],MATCH(Log[[#This Row],[ID]],Items[ID],0))*1,0))</f>
      </c>
      <c r="L1856" s="17">
        <f>IF(Log[[#This Row],[ID]]="","",IFERROR(INDEX(Items[Cur team],MATCH(Log[[#This Row],[ID]],Items[ID],0))&amp;"",""))</f>
      </c>
      <c r="M1856" s="17">
        <f>IF(OR(Log[[#This Row],[Verb]]="done",Log[[#This Row],[Verb]]="punt",Log[[#This Row],[Verb]]="drop",Log[[#This Row],[Verb]]="pass"),Log[[#This Row],[Pts]],0)</f>
      </c>
    </row>
    <row r="1857">
      <c r="A1857" s="11">
        <v>46272</v>
      </c>
      <c r="B1857" t="s">
        <v>953</v>
      </c>
      <c r="C1857" t="s">
        <v>41</v>
      </c>
      <c r="F1857" s="17">
        <f>IF(Log[[#This Row],[ID]]="","",IF(ISNA(MATCH(Log[[#This Row],[ID]],Items[ID],0)),"unknown ID",IF(ISNA(MATCH(Log[[#This Row],[Verb]],VerbList,0)),"unknown verb",IF(Log[[#This Row],[Date]]="","no date",""))))</f>
      </c>
      <c r="G1857" s="17">
        <f>IF(Log[[#This Row],[ID]]="","",IFERROR(VLOOKUP(Log[[#This Row],[Verb]],Verbs,3,FALSE)&amp;"",""))</f>
      </c>
      <c r="H1857" s="17">
        <f>IF(Log[[#This Row],[Date]]="","",INT((Log[[#This Row],[Date]]-Sprint1)/SprintDays)+1)</f>
      </c>
      <c r="I1857" s="17">
        <f>IF(OR(Log[[#This Row],[Verb]]="commit",Log[[#This Row],[Verb]]="carry",Log[[#This Row],[Verb]]="redo"),IF(Log[[#This Row],[Arg]]="",Log[[#This Row],[Sprint]],N(Log[[#This Row],[Arg]])),"")</f>
      </c>
      <c r="J1857" s="17">
        <f>IF(Log[[#This Row],[Verb]]="block",1,IF(OR(Log[[#This Row],[Verb]]="unblock",Log[[#This Row],[Verb]]="done",Log[[#This Row],[Verb]]="drop",Log[[#This Row],[Verb]]="punt",Log[[#This Row],[Verb]]="pass"),0,""))</f>
      </c>
      <c r="K1857" s="17">
        <f>IF(Log[[#This Row],[ID]]="",0,IFERROR(INDEX(Items[Pts],MATCH(Log[[#This Row],[ID]],Items[ID],0))*1,0))</f>
      </c>
      <c r="L1857" s="17">
        <f>IF(Log[[#This Row],[ID]]="","",IFERROR(INDEX(Items[Cur team],MATCH(Log[[#This Row],[ID]],Items[ID],0))&amp;"",""))</f>
      </c>
      <c r="M1857" s="17">
        <f>IF(OR(Log[[#This Row],[Verb]]="done",Log[[#This Row],[Verb]]="punt",Log[[#This Row],[Verb]]="drop",Log[[#This Row],[Verb]]="pass"),Log[[#This Row],[Pts]],0)</f>
      </c>
    </row>
    <row r="1858">
      <c r="A1858" s="11">
        <v>46272</v>
      </c>
      <c r="B1858" t="s">
        <v>954</v>
      </c>
      <c r="C1858" t="s">
        <v>38</v>
      </c>
      <c r="D1858">
        <v>52</v>
      </c>
      <c r="F1858" s="17">
        <f>IF(Log[[#This Row],[ID]]="","",IF(ISNA(MATCH(Log[[#This Row],[ID]],Items[ID],0)),"unknown ID",IF(ISNA(MATCH(Log[[#This Row],[Verb]],VerbList,0)),"unknown verb",IF(Log[[#This Row],[Date]]="","no date",""))))</f>
      </c>
      <c r="G1858" s="17">
        <f>IF(Log[[#This Row],[ID]]="","",IFERROR(VLOOKUP(Log[[#This Row],[Verb]],Verbs,3,FALSE)&amp;"",""))</f>
      </c>
      <c r="H1858" s="17">
        <f>IF(Log[[#This Row],[Date]]="","",INT((Log[[#This Row],[Date]]-Sprint1)/SprintDays)+1)</f>
      </c>
      <c r="I1858" s="17">
        <f>IF(OR(Log[[#This Row],[Verb]]="commit",Log[[#This Row],[Verb]]="carry",Log[[#This Row],[Verb]]="redo"),IF(Log[[#This Row],[Arg]]="",Log[[#This Row],[Sprint]],N(Log[[#This Row],[Arg]])),"")</f>
      </c>
      <c r="J1858" s="17">
        <f>IF(Log[[#This Row],[Verb]]="block",1,IF(OR(Log[[#This Row],[Verb]]="unblock",Log[[#This Row],[Verb]]="done",Log[[#This Row],[Verb]]="drop",Log[[#This Row],[Verb]]="punt",Log[[#This Row],[Verb]]="pass"),0,""))</f>
      </c>
      <c r="K1858" s="17">
        <f>IF(Log[[#This Row],[ID]]="",0,IFERROR(INDEX(Items[Pts],MATCH(Log[[#This Row],[ID]],Items[ID],0))*1,0))</f>
      </c>
      <c r="L1858" s="17">
        <f>IF(Log[[#This Row],[ID]]="","",IFERROR(INDEX(Items[Cur team],MATCH(Log[[#This Row],[ID]],Items[ID],0))&amp;"",""))</f>
      </c>
      <c r="M1858" s="17">
        <f>IF(OR(Log[[#This Row],[Verb]]="done",Log[[#This Row],[Verb]]="punt",Log[[#This Row],[Verb]]="drop",Log[[#This Row],[Verb]]="pass"),Log[[#This Row],[Pts]],0)</f>
      </c>
    </row>
    <row r="1859">
      <c r="A1859" s="11">
        <v>46272</v>
      </c>
      <c r="B1859" t="s">
        <v>955</v>
      </c>
      <c r="C1859" t="s">
        <v>41</v>
      </c>
      <c r="F1859" s="17">
        <f>IF(Log[[#This Row],[ID]]="","",IF(ISNA(MATCH(Log[[#This Row],[ID]],Items[ID],0)),"unknown ID",IF(ISNA(MATCH(Log[[#This Row],[Verb]],VerbList,0)),"unknown verb",IF(Log[[#This Row],[Date]]="","no date",""))))</f>
      </c>
      <c r="G1859" s="17">
        <f>IF(Log[[#This Row],[ID]]="","",IFERROR(VLOOKUP(Log[[#This Row],[Verb]],Verbs,3,FALSE)&amp;"",""))</f>
      </c>
      <c r="H1859" s="17">
        <f>IF(Log[[#This Row],[Date]]="","",INT((Log[[#This Row],[Date]]-Sprint1)/SprintDays)+1)</f>
      </c>
      <c r="I1859" s="17">
        <f>IF(OR(Log[[#This Row],[Verb]]="commit",Log[[#This Row],[Verb]]="carry",Log[[#This Row],[Verb]]="redo"),IF(Log[[#This Row],[Arg]]="",Log[[#This Row],[Sprint]],N(Log[[#This Row],[Arg]])),"")</f>
      </c>
      <c r="J1859" s="17">
        <f>IF(Log[[#This Row],[Verb]]="block",1,IF(OR(Log[[#This Row],[Verb]]="unblock",Log[[#This Row],[Verb]]="done",Log[[#This Row],[Verb]]="drop",Log[[#This Row],[Verb]]="punt",Log[[#This Row],[Verb]]="pass"),0,""))</f>
      </c>
      <c r="K1859" s="17">
        <f>IF(Log[[#This Row],[ID]]="",0,IFERROR(INDEX(Items[Pts],MATCH(Log[[#This Row],[ID]],Items[ID],0))*1,0))</f>
      </c>
      <c r="L1859" s="17">
        <f>IF(Log[[#This Row],[ID]]="","",IFERROR(INDEX(Items[Cur team],MATCH(Log[[#This Row],[ID]],Items[ID],0))&amp;"",""))</f>
      </c>
      <c r="M1859" s="17">
        <f>IF(OR(Log[[#This Row],[Verb]]="done",Log[[#This Row],[Verb]]="punt",Log[[#This Row],[Verb]]="drop",Log[[#This Row],[Verb]]="pass"),Log[[#This Row],[Pts]],0)</f>
      </c>
    </row>
    <row r="1860">
      <c r="A1860" s="11">
        <v>46272</v>
      </c>
      <c r="B1860" t="s">
        <v>956</v>
      </c>
      <c r="C1860" t="s">
        <v>41</v>
      </c>
      <c r="F1860" s="17">
        <f>IF(Log[[#This Row],[ID]]="","",IF(ISNA(MATCH(Log[[#This Row],[ID]],Items[ID],0)),"unknown ID",IF(ISNA(MATCH(Log[[#This Row],[Verb]],VerbList,0)),"unknown verb",IF(Log[[#This Row],[Date]]="","no date",""))))</f>
      </c>
      <c r="G1860" s="17">
        <f>IF(Log[[#This Row],[ID]]="","",IFERROR(VLOOKUP(Log[[#This Row],[Verb]],Verbs,3,FALSE)&amp;"",""))</f>
      </c>
      <c r="H1860" s="17">
        <f>IF(Log[[#This Row],[Date]]="","",INT((Log[[#This Row],[Date]]-Sprint1)/SprintDays)+1)</f>
      </c>
      <c r="I1860" s="17">
        <f>IF(OR(Log[[#This Row],[Verb]]="commit",Log[[#This Row],[Verb]]="carry",Log[[#This Row],[Verb]]="redo"),IF(Log[[#This Row],[Arg]]="",Log[[#This Row],[Sprint]],N(Log[[#This Row],[Arg]])),"")</f>
      </c>
      <c r="J1860" s="17">
        <f>IF(Log[[#This Row],[Verb]]="block",1,IF(OR(Log[[#This Row],[Verb]]="unblock",Log[[#This Row],[Verb]]="done",Log[[#This Row],[Verb]]="drop",Log[[#This Row],[Verb]]="punt",Log[[#This Row],[Verb]]="pass"),0,""))</f>
      </c>
      <c r="K1860" s="17">
        <f>IF(Log[[#This Row],[ID]]="",0,IFERROR(INDEX(Items[Pts],MATCH(Log[[#This Row],[ID]],Items[ID],0))*1,0))</f>
      </c>
      <c r="L1860" s="17">
        <f>IF(Log[[#This Row],[ID]]="","",IFERROR(INDEX(Items[Cur team],MATCH(Log[[#This Row],[ID]],Items[ID],0))&amp;"",""))</f>
      </c>
      <c r="M1860" s="17">
        <f>IF(OR(Log[[#This Row],[Verb]]="done",Log[[#This Row],[Verb]]="punt",Log[[#This Row],[Verb]]="drop",Log[[#This Row],[Verb]]="pass"),Log[[#This Row],[Pts]],0)</f>
      </c>
    </row>
    <row r="1861">
      <c r="A1861" s="11">
        <v>46272</v>
      </c>
      <c r="B1861" t="s">
        <v>957</v>
      </c>
      <c r="C1861" t="s">
        <v>41</v>
      </c>
      <c r="F1861" s="17">
        <f>IF(Log[[#This Row],[ID]]="","",IF(ISNA(MATCH(Log[[#This Row],[ID]],Items[ID],0)),"unknown ID",IF(ISNA(MATCH(Log[[#This Row],[Verb]],VerbList,0)),"unknown verb",IF(Log[[#This Row],[Date]]="","no date",""))))</f>
      </c>
      <c r="G1861" s="17">
        <f>IF(Log[[#This Row],[ID]]="","",IFERROR(VLOOKUP(Log[[#This Row],[Verb]],Verbs,3,FALSE)&amp;"",""))</f>
      </c>
      <c r="H1861" s="17">
        <f>IF(Log[[#This Row],[Date]]="","",INT((Log[[#This Row],[Date]]-Sprint1)/SprintDays)+1)</f>
      </c>
      <c r="I1861" s="17">
        <f>IF(OR(Log[[#This Row],[Verb]]="commit",Log[[#This Row],[Verb]]="carry",Log[[#This Row],[Verb]]="redo"),IF(Log[[#This Row],[Arg]]="",Log[[#This Row],[Sprint]],N(Log[[#This Row],[Arg]])),"")</f>
      </c>
      <c r="J1861" s="17">
        <f>IF(Log[[#This Row],[Verb]]="block",1,IF(OR(Log[[#This Row],[Verb]]="unblock",Log[[#This Row],[Verb]]="done",Log[[#This Row],[Verb]]="drop",Log[[#This Row],[Verb]]="punt",Log[[#This Row],[Verb]]="pass"),0,""))</f>
      </c>
      <c r="K1861" s="17">
        <f>IF(Log[[#This Row],[ID]]="",0,IFERROR(INDEX(Items[Pts],MATCH(Log[[#This Row],[ID]],Items[ID],0))*1,0))</f>
      </c>
      <c r="L1861" s="17">
        <f>IF(Log[[#This Row],[ID]]="","",IFERROR(INDEX(Items[Cur team],MATCH(Log[[#This Row],[ID]],Items[ID],0))&amp;"",""))</f>
      </c>
      <c r="M1861" s="17">
        <f>IF(OR(Log[[#This Row],[Verb]]="done",Log[[#This Row],[Verb]]="punt",Log[[#This Row],[Verb]]="drop",Log[[#This Row],[Verb]]="pass"),Log[[#This Row],[Pts]],0)</f>
      </c>
    </row>
    <row r="1862">
      <c r="A1862" s="11">
        <v>46272</v>
      </c>
      <c r="B1862" t="s">
        <v>958</v>
      </c>
      <c r="C1862" t="s">
        <v>41</v>
      </c>
      <c r="F1862" s="17">
        <f>IF(Log[[#This Row],[ID]]="","",IF(ISNA(MATCH(Log[[#This Row],[ID]],Items[ID],0)),"unknown ID",IF(ISNA(MATCH(Log[[#This Row],[Verb]],VerbList,0)),"unknown verb",IF(Log[[#This Row],[Date]]="","no date",""))))</f>
      </c>
      <c r="G1862" s="17">
        <f>IF(Log[[#This Row],[ID]]="","",IFERROR(VLOOKUP(Log[[#This Row],[Verb]],Verbs,3,FALSE)&amp;"",""))</f>
      </c>
      <c r="H1862" s="17">
        <f>IF(Log[[#This Row],[Date]]="","",INT((Log[[#This Row],[Date]]-Sprint1)/SprintDays)+1)</f>
      </c>
      <c r="I1862" s="17">
        <f>IF(OR(Log[[#This Row],[Verb]]="commit",Log[[#This Row],[Verb]]="carry",Log[[#This Row],[Verb]]="redo"),IF(Log[[#This Row],[Arg]]="",Log[[#This Row],[Sprint]],N(Log[[#This Row],[Arg]])),"")</f>
      </c>
      <c r="J1862" s="17">
        <f>IF(Log[[#This Row],[Verb]]="block",1,IF(OR(Log[[#This Row],[Verb]]="unblock",Log[[#This Row],[Verb]]="done",Log[[#This Row],[Verb]]="drop",Log[[#This Row],[Verb]]="punt",Log[[#This Row],[Verb]]="pass"),0,""))</f>
      </c>
      <c r="K1862" s="17">
        <f>IF(Log[[#This Row],[ID]]="",0,IFERROR(INDEX(Items[Pts],MATCH(Log[[#This Row],[ID]],Items[ID],0))*1,0))</f>
      </c>
      <c r="L1862" s="17">
        <f>IF(Log[[#This Row],[ID]]="","",IFERROR(INDEX(Items[Cur team],MATCH(Log[[#This Row],[ID]],Items[ID],0))&amp;"",""))</f>
      </c>
      <c r="M1862" s="17">
        <f>IF(OR(Log[[#This Row],[Verb]]="done",Log[[#This Row],[Verb]]="punt",Log[[#This Row],[Verb]]="drop",Log[[#This Row],[Verb]]="pass"),Log[[#This Row],[Pts]],0)</f>
      </c>
    </row>
    <row r="1863">
      <c r="A1863" s="11">
        <v>46272</v>
      </c>
      <c r="B1863" t="s">
        <v>959</v>
      </c>
      <c r="C1863" t="s">
        <v>41</v>
      </c>
      <c r="F1863" s="17">
        <f>IF(Log[[#This Row],[ID]]="","",IF(ISNA(MATCH(Log[[#This Row],[ID]],Items[ID],0)),"unknown ID",IF(ISNA(MATCH(Log[[#This Row],[Verb]],VerbList,0)),"unknown verb",IF(Log[[#This Row],[Date]]="","no date",""))))</f>
      </c>
      <c r="G1863" s="17">
        <f>IF(Log[[#This Row],[ID]]="","",IFERROR(VLOOKUP(Log[[#This Row],[Verb]],Verbs,3,FALSE)&amp;"",""))</f>
      </c>
      <c r="H1863" s="17">
        <f>IF(Log[[#This Row],[Date]]="","",INT((Log[[#This Row],[Date]]-Sprint1)/SprintDays)+1)</f>
      </c>
      <c r="I1863" s="17">
        <f>IF(OR(Log[[#This Row],[Verb]]="commit",Log[[#This Row],[Verb]]="carry",Log[[#This Row],[Verb]]="redo"),IF(Log[[#This Row],[Arg]]="",Log[[#This Row],[Sprint]],N(Log[[#This Row],[Arg]])),"")</f>
      </c>
      <c r="J1863" s="17">
        <f>IF(Log[[#This Row],[Verb]]="block",1,IF(OR(Log[[#This Row],[Verb]]="unblock",Log[[#This Row],[Verb]]="done",Log[[#This Row],[Verb]]="drop",Log[[#This Row],[Verb]]="punt",Log[[#This Row],[Verb]]="pass"),0,""))</f>
      </c>
      <c r="K1863" s="17">
        <f>IF(Log[[#This Row],[ID]]="",0,IFERROR(INDEX(Items[Pts],MATCH(Log[[#This Row],[ID]],Items[ID],0))*1,0))</f>
      </c>
      <c r="L1863" s="17">
        <f>IF(Log[[#This Row],[ID]]="","",IFERROR(INDEX(Items[Cur team],MATCH(Log[[#This Row],[ID]],Items[ID],0))&amp;"",""))</f>
      </c>
      <c r="M1863" s="17">
        <f>IF(OR(Log[[#This Row],[Verb]]="done",Log[[#This Row],[Verb]]="punt",Log[[#This Row],[Verb]]="drop",Log[[#This Row],[Verb]]="pass"),Log[[#This Row],[Pts]],0)</f>
      </c>
    </row>
    <row r="1864">
      <c r="A1864" s="11">
        <v>46272</v>
      </c>
      <c r="B1864" t="s">
        <v>897</v>
      </c>
      <c r="C1864" t="s">
        <v>41</v>
      </c>
      <c r="F1864" s="17">
        <f>IF(Log[[#This Row],[ID]]="","",IF(ISNA(MATCH(Log[[#This Row],[ID]],Items[ID],0)),"unknown ID",IF(ISNA(MATCH(Log[[#This Row],[Verb]],VerbList,0)),"unknown verb",IF(Log[[#This Row],[Date]]="","no date",""))))</f>
      </c>
      <c r="G1864" s="17">
        <f>IF(Log[[#This Row],[ID]]="","",IFERROR(VLOOKUP(Log[[#This Row],[Verb]],Verbs,3,FALSE)&amp;"",""))</f>
      </c>
      <c r="H1864" s="17">
        <f>IF(Log[[#This Row],[Date]]="","",INT((Log[[#This Row],[Date]]-Sprint1)/SprintDays)+1)</f>
      </c>
      <c r="I1864" s="17">
        <f>IF(OR(Log[[#This Row],[Verb]]="commit",Log[[#This Row],[Verb]]="carry",Log[[#This Row],[Verb]]="redo"),IF(Log[[#This Row],[Arg]]="",Log[[#This Row],[Sprint]],N(Log[[#This Row],[Arg]])),"")</f>
      </c>
      <c r="J1864" s="17">
        <f>IF(Log[[#This Row],[Verb]]="block",1,IF(OR(Log[[#This Row],[Verb]]="unblock",Log[[#This Row],[Verb]]="done",Log[[#This Row],[Verb]]="drop",Log[[#This Row],[Verb]]="punt",Log[[#This Row],[Verb]]="pass"),0,""))</f>
      </c>
      <c r="K1864" s="17">
        <f>IF(Log[[#This Row],[ID]]="",0,IFERROR(INDEX(Items[Pts],MATCH(Log[[#This Row],[ID]],Items[ID],0))*1,0))</f>
      </c>
      <c r="L1864" s="17">
        <f>IF(Log[[#This Row],[ID]]="","",IFERROR(INDEX(Items[Cur team],MATCH(Log[[#This Row],[ID]],Items[ID],0))&amp;"",""))</f>
      </c>
      <c r="M1864" s="17">
        <f>IF(OR(Log[[#This Row],[Verb]]="done",Log[[#This Row],[Verb]]="punt",Log[[#This Row],[Verb]]="drop",Log[[#This Row],[Verb]]="pass"),Log[[#This Row],[Pts]],0)</f>
      </c>
    </row>
    <row r="1865">
      <c r="A1865" s="11">
        <v>46272</v>
      </c>
      <c r="B1865" t="s">
        <v>899</v>
      </c>
      <c r="C1865" t="s">
        <v>38</v>
      </c>
      <c r="D1865">
        <v>52</v>
      </c>
      <c r="F1865" s="17">
        <f>IF(Log[[#This Row],[ID]]="","",IF(ISNA(MATCH(Log[[#This Row],[ID]],Items[ID],0)),"unknown ID",IF(ISNA(MATCH(Log[[#This Row],[Verb]],VerbList,0)),"unknown verb",IF(Log[[#This Row],[Date]]="","no date",""))))</f>
      </c>
      <c r="G1865" s="17">
        <f>IF(Log[[#This Row],[ID]]="","",IFERROR(VLOOKUP(Log[[#This Row],[Verb]],Verbs,3,FALSE)&amp;"",""))</f>
      </c>
      <c r="H1865" s="17">
        <f>IF(Log[[#This Row],[Date]]="","",INT((Log[[#This Row],[Date]]-Sprint1)/SprintDays)+1)</f>
      </c>
      <c r="I1865" s="17">
        <f>IF(OR(Log[[#This Row],[Verb]]="commit",Log[[#This Row],[Verb]]="carry",Log[[#This Row],[Verb]]="redo"),IF(Log[[#This Row],[Arg]]="",Log[[#This Row],[Sprint]],N(Log[[#This Row],[Arg]])),"")</f>
      </c>
      <c r="J1865" s="17">
        <f>IF(Log[[#This Row],[Verb]]="block",1,IF(OR(Log[[#This Row],[Verb]]="unblock",Log[[#This Row],[Verb]]="done",Log[[#This Row],[Verb]]="drop",Log[[#This Row],[Verb]]="punt",Log[[#This Row],[Verb]]="pass"),0,""))</f>
      </c>
      <c r="K1865" s="17">
        <f>IF(Log[[#This Row],[ID]]="",0,IFERROR(INDEX(Items[Pts],MATCH(Log[[#This Row],[ID]],Items[ID],0))*1,0))</f>
      </c>
      <c r="L1865" s="17">
        <f>IF(Log[[#This Row],[ID]]="","",IFERROR(INDEX(Items[Cur team],MATCH(Log[[#This Row],[ID]],Items[ID],0))&amp;"",""))</f>
      </c>
      <c r="M1865" s="17">
        <f>IF(OR(Log[[#This Row],[Verb]]="done",Log[[#This Row],[Verb]]="punt",Log[[#This Row],[Verb]]="drop",Log[[#This Row],[Verb]]="pass"),Log[[#This Row],[Pts]],0)</f>
      </c>
    </row>
    <row r="1866">
      <c r="A1866" s="11">
        <v>46272</v>
      </c>
      <c r="B1866" t="s">
        <v>960</v>
      </c>
      <c r="C1866" t="s">
        <v>41</v>
      </c>
      <c r="F1866" s="17">
        <f>IF(Log[[#This Row],[ID]]="","",IF(ISNA(MATCH(Log[[#This Row],[ID]],Items[ID],0)),"unknown ID",IF(ISNA(MATCH(Log[[#This Row],[Verb]],VerbList,0)),"unknown verb",IF(Log[[#This Row],[Date]]="","no date",""))))</f>
      </c>
      <c r="G1866" s="17">
        <f>IF(Log[[#This Row],[ID]]="","",IFERROR(VLOOKUP(Log[[#This Row],[Verb]],Verbs,3,FALSE)&amp;"",""))</f>
      </c>
      <c r="H1866" s="17">
        <f>IF(Log[[#This Row],[Date]]="","",INT((Log[[#This Row],[Date]]-Sprint1)/SprintDays)+1)</f>
      </c>
      <c r="I1866" s="17">
        <f>IF(OR(Log[[#This Row],[Verb]]="commit",Log[[#This Row],[Verb]]="carry",Log[[#This Row],[Verb]]="redo"),IF(Log[[#This Row],[Arg]]="",Log[[#This Row],[Sprint]],N(Log[[#This Row],[Arg]])),"")</f>
      </c>
      <c r="J1866" s="17">
        <f>IF(Log[[#This Row],[Verb]]="block",1,IF(OR(Log[[#This Row],[Verb]]="unblock",Log[[#This Row],[Verb]]="done",Log[[#This Row],[Verb]]="drop",Log[[#This Row],[Verb]]="punt",Log[[#This Row],[Verb]]="pass"),0,""))</f>
      </c>
      <c r="K1866" s="17">
        <f>IF(Log[[#This Row],[ID]]="",0,IFERROR(INDEX(Items[Pts],MATCH(Log[[#This Row],[ID]],Items[ID],0))*1,0))</f>
      </c>
      <c r="L1866" s="17">
        <f>IF(Log[[#This Row],[ID]]="","",IFERROR(INDEX(Items[Cur team],MATCH(Log[[#This Row],[ID]],Items[ID],0))&amp;"",""))</f>
      </c>
      <c r="M1866" s="17">
        <f>IF(OR(Log[[#This Row],[Verb]]="done",Log[[#This Row],[Verb]]="punt",Log[[#This Row],[Verb]]="drop",Log[[#This Row],[Verb]]="pass"),Log[[#This Row],[Pts]],0)</f>
      </c>
    </row>
    <row r="1867">
      <c r="A1867" s="11">
        <v>46272</v>
      </c>
      <c r="B1867" t="s">
        <v>961</v>
      </c>
      <c r="C1867" t="s">
        <v>41</v>
      </c>
      <c r="F1867" s="17">
        <f>IF(Log[[#This Row],[ID]]="","",IF(ISNA(MATCH(Log[[#This Row],[ID]],Items[ID],0)),"unknown ID",IF(ISNA(MATCH(Log[[#This Row],[Verb]],VerbList,0)),"unknown verb",IF(Log[[#This Row],[Date]]="","no date",""))))</f>
      </c>
      <c r="G1867" s="17">
        <f>IF(Log[[#This Row],[ID]]="","",IFERROR(VLOOKUP(Log[[#This Row],[Verb]],Verbs,3,FALSE)&amp;"",""))</f>
      </c>
      <c r="H1867" s="17">
        <f>IF(Log[[#This Row],[Date]]="","",INT((Log[[#This Row],[Date]]-Sprint1)/SprintDays)+1)</f>
      </c>
      <c r="I1867" s="17">
        <f>IF(OR(Log[[#This Row],[Verb]]="commit",Log[[#This Row],[Verb]]="carry",Log[[#This Row],[Verb]]="redo"),IF(Log[[#This Row],[Arg]]="",Log[[#This Row],[Sprint]],N(Log[[#This Row],[Arg]])),"")</f>
      </c>
      <c r="J1867" s="17">
        <f>IF(Log[[#This Row],[Verb]]="block",1,IF(OR(Log[[#This Row],[Verb]]="unblock",Log[[#This Row],[Verb]]="done",Log[[#This Row],[Verb]]="drop",Log[[#This Row],[Verb]]="punt",Log[[#This Row],[Verb]]="pass"),0,""))</f>
      </c>
      <c r="K1867" s="17">
        <f>IF(Log[[#This Row],[ID]]="",0,IFERROR(INDEX(Items[Pts],MATCH(Log[[#This Row],[ID]],Items[ID],0))*1,0))</f>
      </c>
      <c r="L1867" s="17">
        <f>IF(Log[[#This Row],[ID]]="","",IFERROR(INDEX(Items[Cur team],MATCH(Log[[#This Row],[ID]],Items[ID],0))&amp;"",""))</f>
      </c>
      <c r="M1867" s="17">
        <f>IF(OR(Log[[#This Row],[Verb]]="done",Log[[#This Row],[Verb]]="punt",Log[[#This Row],[Verb]]="drop",Log[[#This Row],[Verb]]="pass"),Log[[#This Row],[Pts]],0)</f>
      </c>
    </row>
    <row r="1868">
      <c r="A1868" s="11">
        <v>46272</v>
      </c>
      <c r="B1868" t="s">
        <v>962</v>
      </c>
      <c r="C1868" t="s">
        <v>41</v>
      </c>
      <c r="F1868" s="17">
        <f>IF(Log[[#This Row],[ID]]="","",IF(ISNA(MATCH(Log[[#This Row],[ID]],Items[ID],0)),"unknown ID",IF(ISNA(MATCH(Log[[#This Row],[Verb]],VerbList,0)),"unknown verb",IF(Log[[#This Row],[Date]]="","no date",""))))</f>
      </c>
      <c r="G1868" s="17">
        <f>IF(Log[[#This Row],[ID]]="","",IFERROR(VLOOKUP(Log[[#This Row],[Verb]],Verbs,3,FALSE)&amp;"",""))</f>
      </c>
      <c r="H1868" s="17">
        <f>IF(Log[[#This Row],[Date]]="","",INT((Log[[#This Row],[Date]]-Sprint1)/SprintDays)+1)</f>
      </c>
      <c r="I1868" s="17">
        <f>IF(OR(Log[[#This Row],[Verb]]="commit",Log[[#This Row],[Verb]]="carry",Log[[#This Row],[Verb]]="redo"),IF(Log[[#This Row],[Arg]]="",Log[[#This Row],[Sprint]],N(Log[[#This Row],[Arg]])),"")</f>
      </c>
      <c r="J1868" s="17">
        <f>IF(Log[[#This Row],[Verb]]="block",1,IF(OR(Log[[#This Row],[Verb]]="unblock",Log[[#This Row],[Verb]]="done",Log[[#This Row],[Verb]]="drop",Log[[#This Row],[Verb]]="punt",Log[[#This Row],[Verb]]="pass"),0,""))</f>
      </c>
      <c r="K1868" s="17">
        <f>IF(Log[[#This Row],[ID]]="",0,IFERROR(INDEX(Items[Pts],MATCH(Log[[#This Row],[ID]],Items[ID],0))*1,0))</f>
      </c>
      <c r="L1868" s="17">
        <f>IF(Log[[#This Row],[ID]]="","",IFERROR(INDEX(Items[Cur team],MATCH(Log[[#This Row],[ID]],Items[ID],0))&amp;"",""))</f>
      </c>
      <c r="M1868" s="17">
        <f>IF(OR(Log[[#This Row],[Verb]]="done",Log[[#This Row],[Verb]]="punt",Log[[#This Row],[Verb]]="drop",Log[[#This Row],[Verb]]="pass"),Log[[#This Row],[Pts]],0)</f>
      </c>
    </row>
    <row r="1869">
      <c r="A1869" s="11">
        <v>46272</v>
      </c>
      <c r="B1869" t="s">
        <v>963</v>
      </c>
      <c r="C1869" t="s">
        <v>41</v>
      </c>
      <c r="F1869" s="17">
        <f>IF(Log[[#This Row],[ID]]="","",IF(ISNA(MATCH(Log[[#This Row],[ID]],Items[ID],0)),"unknown ID",IF(ISNA(MATCH(Log[[#This Row],[Verb]],VerbList,0)),"unknown verb",IF(Log[[#This Row],[Date]]="","no date",""))))</f>
      </c>
      <c r="G1869" s="17">
        <f>IF(Log[[#This Row],[ID]]="","",IFERROR(VLOOKUP(Log[[#This Row],[Verb]],Verbs,3,FALSE)&amp;"",""))</f>
      </c>
      <c r="H1869" s="17">
        <f>IF(Log[[#This Row],[Date]]="","",INT((Log[[#This Row],[Date]]-Sprint1)/SprintDays)+1)</f>
      </c>
      <c r="I1869" s="17">
        <f>IF(OR(Log[[#This Row],[Verb]]="commit",Log[[#This Row],[Verb]]="carry",Log[[#This Row],[Verb]]="redo"),IF(Log[[#This Row],[Arg]]="",Log[[#This Row],[Sprint]],N(Log[[#This Row],[Arg]])),"")</f>
      </c>
      <c r="J1869" s="17">
        <f>IF(Log[[#This Row],[Verb]]="block",1,IF(OR(Log[[#This Row],[Verb]]="unblock",Log[[#This Row],[Verb]]="done",Log[[#This Row],[Verb]]="drop",Log[[#This Row],[Verb]]="punt",Log[[#This Row],[Verb]]="pass"),0,""))</f>
      </c>
      <c r="K1869" s="17">
        <f>IF(Log[[#This Row],[ID]]="",0,IFERROR(INDEX(Items[Pts],MATCH(Log[[#This Row],[ID]],Items[ID],0))*1,0))</f>
      </c>
      <c r="L1869" s="17">
        <f>IF(Log[[#This Row],[ID]]="","",IFERROR(INDEX(Items[Cur team],MATCH(Log[[#This Row],[ID]],Items[ID],0))&amp;"",""))</f>
      </c>
      <c r="M1869" s="17">
        <f>IF(OR(Log[[#This Row],[Verb]]="done",Log[[#This Row],[Verb]]="punt",Log[[#This Row],[Verb]]="drop",Log[[#This Row],[Verb]]="pass"),Log[[#This Row],[Pts]],0)</f>
      </c>
    </row>
    <row r="1870">
      <c r="A1870" s="11">
        <v>46272</v>
      </c>
      <c r="B1870" t="s">
        <v>964</v>
      </c>
      <c r="C1870" t="s">
        <v>41</v>
      </c>
      <c r="F1870" s="17">
        <f>IF(Log[[#This Row],[ID]]="","",IF(ISNA(MATCH(Log[[#This Row],[ID]],Items[ID],0)),"unknown ID",IF(ISNA(MATCH(Log[[#This Row],[Verb]],VerbList,0)),"unknown verb",IF(Log[[#This Row],[Date]]="","no date",""))))</f>
      </c>
      <c r="G1870" s="17">
        <f>IF(Log[[#This Row],[ID]]="","",IFERROR(VLOOKUP(Log[[#This Row],[Verb]],Verbs,3,FALSE)&amp;"",""))</f>
      </c>
      <c r="H1870" s="17">
        <f>IF(Log[[#This Row],[Date]]="","",INT((Log[[#This Row],[Date]]-Sprint1)/SprintDays)+1)</f>
      </c>
      <c r="I1870" s="17">
        <f>IF(OR(Log[[#This Row],[Verb]]="commit",Log[[#This Row],[Verb]]="carry",Log[[#This Row],[Verb]]="redo"),IF(Log[[#This Row],[Arg]]="",Log[[#This Row],[Sprint]],N(Log[[#This Row],[Arg]])),"")</f>
      </c>
      <c r="J1870" s="17">
        <f>IF(Log[[#This Row],[Verb]]="block",1,IF(OR(Log[[#This Row],[Verb]]="unblock",Log[[#This Row],[Verb]]="done",Log[[#This Row],[Verb]]="drop",Log[[#This Row],[Verb]]="punt",Log[[#This Row],[Verb]]="pass"),0,""))</f>
      </c>
      <c r="K1870" s="17">
        <f>IF(Log[[#This Row],[ID]]="",0,IFERROR(INDEX(Items[Pts],MATCH(Log[[#This Row],[ID]],Items[ID],0))*1,0))</f>
      </c>
      <c r="L1870" s="17">
        <f>IF(Log[[#This Row],[ID]]="","",IFERROR(INDEX(Items[Cur team],MATCH(Log[[#This Row],[ID]],Items[ID],0))&amp;"",""))</f>
      </c>
      <c r="M1870" s="17">
        <f>IF(OR(Log[[#This Row],[Verb]]="done",Log[[#This Row],[Verb]]="punt",Log[[#This Row],[Verb]]="drop",Log[[#This Row],[Verb]]="pass"),Log[[#This Row],[Pts]],0)</f>
      </c>
    </row>
    <row r="1871">
      <c r="A1871" s="11">
        <v>46272</v>
      </c>
      <c r="B1871" t="s">
        <v>965</v>
      </c>
      <c r="C1871" t="s">
        <v>41</v>
      </c>
      <c r="F1871" s="17">
        <f>IF(Log[[#This Row],[ID]]="","",IF(ISNA(MATCH(Log[[#This Row],[ID]],Items[ID],0)),"unknown ID",IF(ISNA(MATCH(Log[[#This Row],[Verb]],VerbList,0)),"unknown verb",IF(Log[[#This Row],[Date]]="","no date",""))))</f>
      </c>
      <c r="G1871" s="17">
        <f>IF(Log[[#This Row],[ID]]="","",IFERROR(VLOOKUP(Log[[#This Row],[Verb]],Verbs,3,FALSE)&amp;"",""))</f>
      </c>
      <c r="H1871" s="17">
        <f>IF(Log[[#This Row],[Date]]="","",INT((Log[[#This Row],[Date]]-Sprint1)/SprintDays)+1)</f>
      </c>
      <c r="I1871" s="17">
        <f>IF(OR(Log[[#This Row],[Verb]]="commit",Log[[#This Row],[Verb]]="carry",Log[[#This Row],[Verb]]="redo"),IF(Log[[#This Row],[Arg]]="",Log[[#This Row],[Sprint]],N(Log[[#This Row],[Arg]])),"")</f>
      </c>
      <c r="J1871" s="17">
        <f>IF(Log[[#This Row],[Verb]]="block",1,IF(OR(Log[[#This Row],[Verb]]="unblock",Log[[#This Row],[Verb]]="done",Log[[#This Row],[Verb]]="drop",Log[[#This Row],[Verb]]="punt",Log[[#This Row],[Verb]]="pass"),0,""))</f>
      </c>
      <c r="K1871" s="17">
        <f>IF(Log[[#This Row],[ID]]="",0,IFERROR(INDEX(Items[Pts],MATCH(Log[[#This Row],[ID]],Items[ID],0))*1,0))</f>
      </c>
      <c r="L1871" s="17">
        <f>IF(Log[[#This Row],[ID]]="","",IFERROR(INDEX(Items[Cur team],MATCH(Log[[#This Row],[ID]],Items[ID],0))&amp;"",""))</f>
      </c>
      <c r="M1871" s="17">
        <f>IF(OR(Log[[#This Row],[Verb]]="done",Log[[#This Row],[Verb]]="punt",Log[[#This Row],[Verb]]="drop",Log[[#This Row],[Verb]]="pass"),Log[[#This Row],[Pts]],0)</f>
      </c>
    </row>
    <row r="1872">
      <c r="A1872" s="11">
        <v>46272</v>
      </c>
      <c r="B1872" t="s">
        <v>903</v>
      </c>
      <c r="C1872" t="s">
        <v>41</v>
      </c>
      <c r="F1872" s="17">
        <f>IF(Log[[#This Row],[ID]]="","",IF(ISNA(MATCH(Log[[#This Row],[ID]],Items[ID],0)),"unknown ID",IF(ISNA(MATCH(Log[[#This Row],[Verb]],VerbList,0)),"unknown verb",IF(Log[[#This Row],[Date]]="","no date",""))))</f>
      </c>
      <c r="G1872" s="17">
        <f>IF(Log[[#This Row],[ID]]="","",IFERROR(VLOOKUP(Log[[#This Row],[Verb]],Verbs,3,FALSE)&amp;"",""))</f>
      </c>
      <c r="H1872" s="17">
        <f>IF(Log[[#This Row],[Date]]="","",INT((Log[[#This Row],[Date]]-Sprint1)/SprintDays)+1)</f>
      </c>
      <c r="I1872" s="17">
        <f>IF(OR(Log[[#This Row],[Verb]]="commit",Log[[#This Row],[Verb]]="carry",Log[[#This Row],[Verb]]="redo"),IF(Log[[#This Row],[Arg]]="",Log[[#This Row],[Sprint]],N(Log[[#This Row],[Arg]])),"")</f>
      </c>
      <c r="J1872" s="17">
        <f>IF(Log[[#This Row],[Verb]]="block",1,IF(OR(Log[[#This Row],[Verb]]="unblock",Log[[#This Row],[Verb]]="done",Log[[#This Row],[Verb]]="drop",Log[[#This Row],[Verb]]="punt",Log[[#This Row],[Verb]]="pass"),0,""))</f>
      </c>
      <c r="K1872" s="17">
        <f>IF(Log[[#This Row],[ID]]="",0,IFERROR(INDEX(Items[Pts],MATCH(Log[[#This Row],[ID]],Items[ID],0))*1,0))</f>
      </c>
      <c r="L1872" s="17">
        <f>IF(Log[[#This Row],[ID]]="","",IFERROR(INDEX(Items[Cur team],MATCH(Log[[#This Row],[ID]],Items[ID],0))&amp;"",""))</f>
      </c>
      <c r="M1872" s="17">
        <f>IF(OR(Log[[#This Row],[Verb]]="done",Log[[#This Row],[Verb]]="punt",Log[[#This Row],[Verb]]="drop",Log[[#This Row],[Verb]]="pass"),Log[[#This Row],[Pts]],0)</f>
      </c>
    </row>
    <row r="1873">
      <c r="A1873" s="11">
        <v>46272</v>
      </c>
      <c r="B1873" t="s">
        <v>904</v>
      </c>
      <c r="C1873" t="s">
        <v>41</v>
      </c>
      <c r="F1873" s="17">
        <f>IF(Log[[#This Row],[ID]]="","",IF(ISNA(MATCH(Log[[#This Row],[ID]],Items[ID],0)),"unknown ID",IF(ISNA(MATCH(Log[[#This Row],[Verb]],VerbList,0)),"unknown verb",IF(Log[[#This Row],[Date]]="","no date",""))))</f>
      </c>
      <c r="G1873" s="17">
        <f>IF(Log[[#This Row],[ID]]="","",IFERROR(VLOOKUP(Log[[#This Row],[Verb]],Verbs,3,FALSE)&amp;"",""))</f>
      </c>
      <c r="H1873" s="17">
        <f>IF(Log[[#This Row],[Date]]="","",INT((Log[[#This Row],[Date]]-Sprint1)/SprintDays)+1)</f>
      </c>
      <c r="I1873" s="17">
        <f>IF(OR(Log[[#This Row],[Verb]]="commit",Log[[#This Row],[Verb]]="carry",Log[[#This Row],[Verb]]="redo"),IF(Log[[#This Row],[Arg]]="",Log[[#This Row],[Sprint]],N(Log[[#This Row],[Arg]])),"")</f>
      </c>
      <c r="J1873" s="17">
        <f>IF(Log[[#This Row],[Verb]]="block",1,IF(OR(Log[[#This Row],[Verb]]="unblock",Log[[#This Row],[Verb]]="done",Log[[#This Row],[Verb]]="drop",Log[[#This Row],[Verb]]="punt",Log[[#This Row],[Verb]]="pass"),0,""))</f>
      </c>
      <c r="K1873" s="17">
        <f>IF(Log[[#This Row],[ID]]="",0,IFERROR(INDEX(Items[Pts],MATCH(Log[[#This Row],[ID]],Items[ID],0))*1,0))</f>
      </c>
      <c r="L1873" s="17">
        <f>IF(Log[[#This Row],[ID]]="","",IFERROR(INDEX(Items[Cur team],MATCH(Log[[#This Row],[ID]],Items[ID],0))&amp;"",""))</f>
      </c>
      <c r="M1873" s="17">
        <f>IF(OR(Log[[#This Row],[Verb]]="done",Log[[#This Row],[Verb]]="punt",Log[[#This Row],[Verb]]="drop",Log[[#This Row],[Verb]]="pass"),Log[[#This Row],[Pts]],0)</f>
      </c>
    </row>
    <row r="1874">
      <c r="A1874" s="11">
        <v>46272</v>
      </c>
      <c r="B1874" t="s">
        <v>966</v>
      </c>
      <c r="C1874" t="s">
        <v>38</v>
      </c>
      <c r="D1874">
        <v>52</v>
      </c>
      <c r="F1874" s="17">
        <f>IF(Log[[#This Row],[ID]]="","",IF(ISNA(MATCH(Log[[#This Row],[ID]],Items[ID],0)),"unknown ID",IF(ISNA(MATCH(Log[[#This Row],[Verb]],VerbList,0)),"unknown verb",IF(Log[[#This Row],[Date]]="","no date",""))))</f>
      </c>
      <c r="G1874" s="17">
        <f>IF(Log[[#This Row],[ID]]="","",IFERROR(VLOOKUP(Log[[#This Row],[Verb]],Verbs,3,FALSE)&amp;"",""))</f>
      </c>
      <c r="H1874" s="17">
        <f>IF(Log[[#This Row],[Date]]="","",INT((Log[[#This Row],[Date]]-Sprint1)/SprintDays)+1)</f>
      </c>
      <c r="I1874" s="17">
        <f>IF(OR(Log[[#This Row],[Verb]]="commit",Log[[#This Row],[Verb]]="carry",Log[[#This Row],[Verb]]="redo"),IF(Log[[#This Row],[Arg]]="",Log[[#This Row],[Sprint]],N(Log[[#This Row],[Arg]])),"")</f>
      </c>
      <c r="J1874" s="17">
        <f>IF(Log[[#This Row],[Verb]]="block",1,IF(OR(Log[[#This Row],[Verb]]="unblock",Log[[#This Row],[Verb]]="done",Log[[#This Row],[Verb]]="drop",Log[[#This Row],[Verb]]="punt",Log[[#This Row],[Verb]]="pass"),0,""))</f>
      </c>
      <c r="K1874" s="17">
        <f>IF(Log[[#This Row],[ID]]="",0,IFERROR(INDEX(Items[Pts],MATCH(Log[[#This Row],[ID]],Items[ID],0))*1,0))</f>
      </c>
      <c r="L1874" s="17">
        <f>IF(Log[[#This Row],[ID]]="","",IFERROR(INDEX(Items[Cur team],MATCH(Log[[#This Row],[ID]],Items[ID],0))&amp;"",""))</f>
      </c>
      <c r="M1874" s="17">
        <f>IF(OR(Log[[#This Row],[Verb]]="done",Log[[#This Row],[Verb]]="punt",Log[[#This Row],[Verb]]="drop",Log[[#This Row],[Verb]]="pass"),Log[[#This Row],[Pts]],0)</f>
      </c>
    </row>
    <row r="1875">
      <c r="A1875" s="11">
        <v>46272</v>
      </c>
      <c r="B1875" t="s">
        <v>967</v>
      </c>
      <c r="C1875" t="s">
        <v>41</v>
      </c>
      <c r="F1875" s="17">
        <f>IF(Log[[#This Row],[ID]]="","",IF(ISNA(MATCH(Log[[#This Row],[ID]],Items[ID],0)),"unknown ID",IF(ISNA(MATCH(Log[[#This Row],[Verb]],VerbList,0)),"unknown verb",IF(Log[[#This Row],[Date]]="","no date",""))))</f>
      </c>
      <c r="G1875" s="17">
        <f>IF(Log[[#This Row],[ID]]="","",IFERROR(VLOOKUP(Log[[#This Row],[Verb]],Verbs,3,FALSE)&amp;"",""))</f>
      </c>
      <c r="H1875" s="17">
        <f>IF(Log[[#This Row],[Date]]="","",INT((Log[[#This Row],[Date]]-Sprint1)/SprintDays)+1)</f>
      </c>
      <c r="I1875" s="17">
        <f>IF(OR(Log[[#This Row],[Verb]]="commit",Log[[#This Row],[Verb]]="carry",Log[[#This Row],[Verb]]="redo"),IF(Log[[#This Row],[Arg]]="",Log[[#This Row],[Sprint]],N(Log[[#This Row],[Arg]])),"")</f>
      </c>
      <c r="J1875" s="17">
        <f>IF(Log[[#This Row],[Verb]]="block",1,IF(OR(Log[[#This Row],[Verb]]="unblock",Log[[#This Row],[Verb]]="done",Log[[#This Row],[Verb]]="drop",Log[[#This Row],[Verb]]="punt",Log[[#This Row],[Verb]]="pass"),0,""))</f>
      </c>
      <c r="K1875" s="17">
        <f>IF(Log[[#This Row],[ID]]="",0,IFERROR(INDEX(Items[Pts],MATCH(Log[[#This Row],[ID]],Items[ID],0))*1,0))</f>
      </c>
      <c r="L1875" s="17">
        <f>IF(Log[[#This Row],[ID]]="","",IFERROR(INDEX(Items[Cur team],MATCH(Log[[#This Row],[ID]],Items[ID],0))&amp;"",""))</f>
      </c>
      <c r="M1875" s="17">
        <f>IF(OR(Log[[#This Row],[Verb]]="done",Log[[#This Row],[Verb]]="punt",Log[[#This Row],[Verb]]="drop",Log[[#This Row],[Verb]]="pass"),Log[[#This Row],[Pts]],0)</f>
      </c>
    </row>
    <row r="1876">
      <c r="A1876" s="11">
        <v>46272</v>
      </c>
      <c r="B1876" t="s">
        <v>968</v>
      </c>
      <c r="C1876" t="s">
        <v>41</v>
      </c>
      <c r="F1876" s="17">
        <f>IF(Log[[#This Row],[ID]]="","",IF(ISNA(MATCH(Log[[#This Row],[ID]],Items[ID],0)),"unknown ID",IF(ISNA(MATCH(Log[[#This Row],[Verb]],VerbList,0)),"unknown verb",IF(Log[[#This Row],[Date]]="","no date",""))))</f>
      </c>
      <c r="G1876" s="17">
        <f>IF(Log[[#This Row],[ID]]="","",IFERROR(VLOOKUP(Log[[#This Row],[Verb]],Verbs,3,FALSE)&amp;"",""))</f>
      </c>
      <c r="H1876" s="17">
        <f>IF(Log[[#This Row],[Date]]="","",INT((Log[[#This Row],[Date]]-Sprint1)/SprintDays)+1)</f>
      </c>
      <c r="I1876" s="17">
        <f>IF(OR(Log[[#This Row],[Verb]]="commit",Log[[#This Row],[Verb]]="carry",Log[[#This Row],[Verb]]="redo"),IF(Log[[#This Row],[Arg]]="",Log[[#This Row],[Sprint]],N(Log[[#This Row],[Arg]])),"")</f>
      </c>
      <c r="J1876" s="17">
        <f>IF(Log[[#This Row],[Verb]]="block",1,IF(OR(Log[[#This Row],[Verb]]="unblock",Log[[#This Row],[Verb]]="done",Log[[#This Row],[Verb]]="drop",Log[[#This Row],[Verb]]="punt",Log[[#This Row],[Verb]]="pass"),0,""))</f>
      </c>
      <c r="K1876" s="17">
        <f>IF(Log[[#This Row],[ID]]="",0,IFERROR(INDEX(Items[Pts],MATCH(Log[[#This Row],[ID]],Items[ID],0))*1,0))</f>
      </c>
      <c r="L1876" s="17">
        <f>IF(Log[[#This Row],[ID]]="","",IFERROR(INDEX(Items[Cur team],MATCH(Log[[#This Row],[ID]],Items[ID],0))&amp;"",""))</f>
      </c>
      <c r="M1876" s="17">
        <f>IF(OR(Log[[#This Row],[Verb]]="done",Log[[#This Row],[Verb]]="punt",Log[[#This Row],[Verb]]="drop",Log[[#This Row],[Verb]]="pass"),Log[[#This Row],[Pts]],0)</f>
      </c>
    </row>
    <row r="1877">
      <c r="A1877" s="11">
        <v>46272</v>
      </c>
      <c r="B1877" t="s">
        <v>969</v>
      </c>
      <c r="C1877" t="s">
        <v>41</v>
      </c>
      <c r="F1877" s="17">
        <f>IF(Log[[#This Row],[ID]]="","",IF(ISNA(MATCH(Log[[#This Row],[ID]],Items[ID],0)),"unknown ID",IF(ISNA(MATCH(Log[[#This Row],[Verb]],VerbList,0)),"unknown verb",IF(Log[[#This Row],[Date]]="","no date",""))))</f>
      </c>
      <c r="G1877" s="17">
        <f>IF(Log[[#This Row],[ID]]="","",IFERROR(VLOOKUP(Log[[#This Row],[Verb]],Verbs,3,FALSE)&amp;"",""))</f>
      </c>
      <c r="H1877" s="17">
        <f>IF(Log[[#This Row],[Date]]="","",INT((Log[[#This Row],[Date]]-Sprint1)/SprintDays)+1)</f>
      </c>
      <c r="I1877" s="17">
        <f>IF(OR(Log[[#This Row],[Verb]]="commit",Log[[#This Row],[Verb]]="carry",Log[[#This Row],[Verb]]="redo"),IF(Log[[#This Row],[Arg]]="",Log[[#This Row],[Sprint]],N(Log[[#This Row],[Arg]])),"")</f>
      </c>
      <c r="J1877" s="17">
        <f>IF(Log[[#This Row],[Verb]]="block",1,IF(OR(Log[[#This Row],[Verb]]="unblock",Log[[#This Row],[Verb]]="done",Log[[#This Row],[Verb]]="drop",Log[[#This Row],[Verb]]="punt",Log[[#This Row],[Verb]]="pass"),0,""))</f>
      </c>
      <c r="K1877" s="17">
        <f>IF(Log[[#This Row],[ID]]="",0,IFERROR(INDEX(Items[Pts],MATCH(Log[[#This Row],[ID]],Items[ID],0))*1,0))</f>
      </c>
      <c r="L1877" s="17">
        <f>IF(Log[[#This Row],[ID]]="","",IFERROR(INDEX(Items[Cur team],MATCH(Log[[#This Row],[ID]],Items[ID],0))&amp;"",""))</f>
      </c>
      <c r="M1877" s="17">
        <f>IF(OR(Log[[#This Row],[Verb]]="done",Log[[#This Row],[Verb]]="punt",Log[[#This Row],[Verb]]="drop",Log[[#This Row],[Verb]]="pass"),Log[[#This Row],[Pts]],0)</f>
      </c>
    </row>
    <row r="1878">
      <c r="A1878" s="11">
        <v>46272</v>
      </c>
      <c r="B1878" t="s">
        <v>970</v>
      </c>
      <c r="C1878" t="s">
        <v>41</v>
      </c>
      <c r="F1878" s="17">
        <f>IF(Log[[#This Row],[ID]]="","",IF(ISNA(MATCH(Log[[#This Row],[ID]],Items[ID],0)),"unknown ID",IF(ISNA(MATCH(Log[[#This Row],[Verb]],VerbList,0)),"unknown verb",IF(Log[[#This Row],[Date]]="","no date",""))))</f>
      </c>
      <c r="G1878" s="17">
        <f>IF(Log[[#This Row],[ID]]="","",IFERROR(VLOOKUP(Log[[#This Row],[Verb]],Verbs,3,FALSE)&amp;"",""))</f>
      </c>
      <c r="H1878" s="17">
        <f>IF(Log[[#This Row],[Date]]="","",INT((Log[[#This Row],[Date]]-Sprint1)/SprintDays)+1)</f>
      </c>
      <c r="I1878" s="17">
        <f>IF(OR(Log[[#This Row],[Verb]]="commit",Log[[#This Row],[Verb]]="carry",Log[[#This Row],[Verb]]="redo"),IF(Log[[#This Row],[Arg]]="",Log[[#This Row],[Sprint]],N(Log[[#This Row],[Arg]])),"")</f>
      </c>
      <c r="J1878" s="17">
        <f>IF(Log[[#This Row],[Verb]]="block",1,IF(OR(Log[[#This Row],[Verb]]="unblock",Log[[#This Row],[Verb]]="done",Log[[#This Row],[Verb]]="drop",Log[[#This Row],[Verb]]="punt",Log[[#This Row],[Verb]]="pass"),0,""))</f>
      </c>
      <c r="K1878" s="17">
        <f>IF(Log[[#This Row],[ID]]="",0,IFERROR(INDEX(Items[Pts],MATCH(Log[[#This Row],[ID]],Items[ID],0))*1,0))</f>
      </c>
      <c r="L1878" s="17">
        <f>IF(Log[[#This Row],[ID]]="","",IFERROR(INDEX(Items[Cur team],MATCH(Log[[#This Row],[ID]],Items[ID],0))&amp;"",""))</f>
      </c>
      <c r="M1878" s="17">
        <f>IF(OR(Log[[#This Row],[Verb]]="done",Log[[#This Row],[Verb]]="punt",Log[[#This Row],[Verb]]="drop",Log[[#This Row],[Verb]]="pass"),Log[[#This Row],[Pts]],0)</f>
      </c>
    </row>
    <row r="1879">
      <c r="A1879" s="11">
        <v>46272</v>
      </c>
      <c r="B1879" t="s">
        <v>971</v>
      </c>
      <c r="C1879" t="s">
        <v>41</v>
      </c>
      <c r="F1879" s="17">
        <f>IF(Log[[#This Row],[ID]]="","",IF(ISNA(MATCH(Log[[#This Row],[ID]],Items[ID],0)),"unknown ID",IF(ISNA(MATCH(Log[[#This Row],[Verb]],VerbList,0)),"unknown verb",IF(Log[[#This Row],[Date]]="","no date",""))))</f>
      </c>
      <c r="G1879" s="17">
        <f>IF(Log[[#This Row],[ID]]="","",IFERROR(VLOOKUP(Log[[#This Row],[Verb]],Verbs,3,FALSE)&amp;"",""))</f>
      </c>
      <c r="H1879" s="17">
        <f>IF(Log[[#This Row],[Date]]="","",INT((Log[[#This Row],[Date]]-Sprint1)/SprintDays)+1)</f>
      </c>
      <c r="I1879" s="17">
        <f>IF(OR(Log[[#This Row],[Verb]]="commit",Log[[#This Row],[Verb]]="carry",Log[[#This Row],[Verb]]="redo"),IF(Log[[#This Row],[Arg]]="",Log[[#This Row],[Sprint]],N(Log[[#This Row],[Arg]])),"")</f>
      </c>
      <c r="J1879" s="17">
        <f>IF(Log[[#This Row],[Verb]]="block",1,IF(OR(Log[[#This Row],[Verb]]="unblock",Log[[#This Row],[Verb]]="done",Log[[#This Row],[Verb]]="drop",Log[[#This Row],[Verb]]="punt",Log[[#This Row],[Verb]]="pass"),0,""))</f>
      </c>
      <c r="K1879" s="17">
        <f>IF(Log[[#This Row],[ID]]="",0,IFERROR(INDEX(Items[Pts],MATCH(Log[[#This Row],[ID]],Items[ID],0))*1,0))</f>
      </c>
      <c r="L1879" s="17">
        <f>IF(Log[[#This Row],[ID]]="","",IFERROR(INDEX(Items[Cur team],MATCH(Log[[#This Row],[ID]],Items[ID],0))&amp;"",""))</f>
      </c>
      <c r="M1879" s="17">
        <f>IF(OR(Log[[#This Row],[Verb]]="done",Log[[#This Row],[Verb]]="punt",Log[[#This Row],[Verb]]="drop",Log[[#This Row],[Verb]]="pass"),Log[[#This Row],[Pts]],0)</f>
      </c>
    </row>
    <row r="1880">
      <c r="A1880" s="11">
        <v>46272</v>
      </c>
      <c r="B1880" t="s">
        <v>972</v>
      </c>
      <c r="C1880" t="s">
        <v>41</v>
      </c>
      <c r="F1880" s="17">
        <f>IF(Log[[#This Row],[ID]]="","",IF(ISNA(MATCH(Log[[#This Row],[ID]],Items[ID],0)),"unknown ID",IF(ISNA(MATCH(Log[[#This Row],[Verb]],VerbList,0)),"unknown verb",IF(Log[[#This Row],[Date]]="","no date",""))))</f>
      </c>
      <c r="G1880" s="17">
        <f>IF(Log[[#This Row],[ID]]="","",IFERROR(VLOOKUP(Log[[#This Row],[Verb]],Verbs,3,FALSE)&amp;"",""))</f>
      </c>
      <c r="H1880" s="17">
        <f>IF(Log[[#This Row],[Date]]="","",INT((Log[[#This Row],[Date]]-Sprint1)/SprintDays)+1)</f>
      </c>
      <c r="I1880" s="17">
        <f>IF(OR(Log[[#This Row],[Verb]]="commit",Log[[#This Row],[Verb]]="carry",Log[[#This Row],[Verb]]="redo"),IF(Log[[#This Row],[Arg]]="",Log[[#This Row],[Sprint]],N(Log[[#This Row],[Arg]])),"")</f>
      </c>
      <c r="J1880" s="17">
        <f>IF(Log[[#This Row],[Verb]]="block",1,IF(OR(Log[[#This Row],[Verb]]="unblock",Log[[#This Row],[Verb]]="done",Log[[#This Row],[Verb]]="drop",Log[[#This Row],[Verb]]="punt",Log[[#This Row],[Verb]]="pass"),0,""))</f>
      </c>
      <c r="K1880" s="17">
        <f>IF(Log[[#This Row],[ID]]="",0,IFERROR(INDEX(Items[Pts],MATCH(Log[[#This Row],[ID]],Items[ID],0))*1,0))</f>
      </c>
      <c r="L1880" s="17">
        <f>IF(Log[[#This Row],[ID]]="","",IFERROR(INDEX(Items[Cur team],MATCH(Log[[#This Row],[ID]],Items[ID],0))&amp;"",""))</f>
      </c>
      <c r="M1880" s="17">
        <f>IF(OR(Log[[#This Row],[Verb]]="done",Log[[#This Row],[Verb]]="punt",Log[[#This Row],[Verb]]="drop",Log[[#This Row],[Verb]]="pass"),Log[[#This Row],[Pts]],0)</f>
      </c>
    </row>
    <row r="1881">
      <c r="A1881" s="11">
        <v>46272</v>
      </c>
      <c r="B1881" t="s">
        <v>973</v>
      </c>
      <c r="C1881" t="s">
        <v>38</v>
      </c>
      <c r="D1881">
        <v>52</v>
      </c>
      <c r="F1881" s="17">
        <f>IF(Log[[#This Row],[ID]]="","",IF(ISNA(MATCH(Log[[#This Row],[ID]],Items[ID],0)),"unknown ID",IF(ISNA(MATCH(Log[[#This Row],[Verb]],VerbList,0)),"unknown verb",IF(Log[[#This Row],[Date]]="","no date",""))))</f>
      </c>
      <c r="G1881" s="17">
        <f>IF(Log[[#This Row],[ID]]="","",IFERROR(VLOOKUP(Log[[#This Row],[Verb]],Verbs,3,FALSE)&amp;"",""))</f>
      </c>
      <c r="H1881" s="17">
        <f>IF(Log[[#This Row],[Date]]="","",INT((Log[[#This Row],[Date]]-Sprint1)/SprintDays)+1)</f>
      </c>
      <c r="I1881" s="17">
        <f>IF(OR(Log[[#This Row],[Verb]]="commit",Log[[#This Row],[Verb]]="carry",Log[[#This Row],[Verb]]="redo"),IF(Log[[#This Row],[Arg]]="",Log[[#This Row],[Sprint]],N(Log[[#This Row],[Arg]])),"")</f>
      </c>
      <c r="J1881" s="17">
        <f>IF(Log[[#This Row],[Verb]]="block",1,IF(OR(Log[[#This Row],[Verb]]="unblock",Log[[#This Row],[Verb]]="done",Log[[#This Row],[Verb]]="drop",Log[[#This Row],[Verb]]="punt",Log[[#This Row],[Verb]]="pass"),0,""))</f>
      </c>
      <c r="K1881" s="17">
        <f>IF(Log[[#This Row],[ID]]="",0,IFERROR(INDEX(Items[Pts],MATCH(Log[[#This Row],[ID]],Items[ID],0))*1,0))</f>
      </c>
      <c r="L1881" s="17">
        <f>IF(Log[[#This Row],[ID]]="","",IFERROR(INDEX(Items[Cur team],MATCH(Log[[#This Row],[ID]],Items[ID],0))&amp;"",""))</f>
      </c>
      <c r="M1881" s="17">
        <f>IF(OR(Log[[#This Row],[Verb]]="done",Log[[#This Row],[Verb]]="punt",Log[[#This Row],[Verb]]="drop",Log[[#This Row],[Verb]]="pass"),Log[[#This Row],[Pts]],0)</f>
      </c>
    </row>
    <row r="1882">
      <c r="A1882" s="11">
        <v>46272</v>
      </c>
      <c r="B1882" t="s">
        <v>974</v>
      </c>
      <c r="C1882" t="s">
        <v>41</v>
      </c>
      <c r="F1882" s="17">
        <f>IF(Log[[#This Row],[ID]]="","",IF(ISNA(MATCH(Log[[#This Row],[ID]],Items[ID],0)),"unknown ID",IF(ISNA(MATCH(Log[[#This Row],[Verb]],VerbList,0)),"unknown verb",IF(Log[[#This Row],[Date]]="","no date",""))))</f>
      </c>
      <c r="G1882" s="17">
        <f>IF(Log[[#This Row],[ID]]="","",IFERROR(VLOOKUP(Log[[#This Row],[Verb]],Verbs,3,FALSE)&amp;"",""))</f>
      </c>
      <c r="H1882" s="17">
        <f>IF(Log[[#This Row],[Date]]="","",INT((Log[[#This Row],[Date]]-Sprint1)/SprintDays)+1)</f>
      </c>
      <c r="I1882" s="17">
        <f>IF(OR(Log[[#This Row],[Verb]]="commit",Log[[#This Row],[Verb]]="carry",Log[[#This Row],[Verb]]="redo"),IF(Log[[#This Row],[Arg]]="",Log[[#This Row],[Sprint]],N(Log[[#This Row],[Arg]])),"")</f>
      </c>
      <c r="J1882" s="17">
        <f>IF(Log[[#This Row],[Verb]]="block",1,IF(OR(Log[[#This Row],[Verb]]="unblock",Log[[#This Row],[Verb]]="done",Log[[#This Row],[Verb]]="drop",Log[[#This Row],[Verb]]="punt",Log[[#This Row],[Verb]]="pass"),0,""))</f>
      </c>
      <c r="K1882" s="17">
        <f>IF(Log[[#This Row],[ID]]="",0,IFERROR(INDEX(Items[Pts],MATCH(Log[[#This Row],[ID]],Items[ID],0))*1,0))</f>
      </c>
      <c r="L1882" s="17">
        <f>IF(Log[[#This Row],[ID]]="","",IFERROR(INDEX(Items[Cur team],MATCH(Log[[#This Row],[ID]],Items[ID],0))&amp;"",""))</f>
      </c>
      <c r="M1882" s="17">
        <f>IF(OR(Log[[#This Row],[Verb]]="done",Log[[#This Row],[Verb]]="punt",Log[[#This Row],[Verb]]="drop",Log[[#This Row],[Verb]]="pass"),Log[[#This Row],[Pts]],0)</f>
      </c>
    </row>
    <row r="1883">
      <c r="A1883" s="11">
        <v>46272</v>
      </c>
      <c r="B1883" t="s">
        <v>975</v>
      </c>
      <c r="C1883" t="s">
        <v>41</v>
      </c>
      <c r="F1883" s="17">
        <f>IF(Log[[#This Row],[ID]]="","",IF(ISNA(MATCH(Log[[#This Row],[ID]],Items[ID],0)),"unknown ID",IF(ISNA(MATCH(Log[[#This Row],[Verb]],VerbList,0)),"unknown verb",IF(Log[[#This Row],[Date]]="","no date",""))))</f>
      </c>
      <c r="G1883" s="17">
        <f>IF(Log[[#This Row],[ID]]="","",IFERROR(VLOOKUP(Log[[#This Row],[Verb]],Verbs,3,FALSE)&amp;"",""))</f>
      </c>
      <c r="H1883" s="17">
        <f>IF(Log[[#This Row],[Date]]="","",INT((Log[[#This Row],[Date]]-Sprint1)/SprintDays)+1)</f>
      </c>
      <c r="I1883" s="17">
        <f>IF(OR(Log[[#This Row],[Verb]]="commit",Log[[#This Row],[Verb]]="carry",Log[[#This Row],[Verb]]="redo"),IF(Log[[#This Row],[Arg]]="",Log[[#This Row],[Sprint]],N(Log[[#This Row],[Arg]])),"")</f>
      </c>
      <c r="J1883" s="17">
        <f>IF(Log[[#This Row],[Verb]]="block",1,IF(OR(Log[[#This Row],[Verb]]="unblock",Log[[#This Row],[Verb]]="done",Log[[#This Row],[Verb]]="drop",Log[[#This Row],[Verb]]="punt",Log[[#This Row],[Verb]]="pass"),0,""))</f>
      </c>
      <c r="K1883" s="17">
        <f>IF(Log[[#This Row],[ID]]="",0,IFERROR(INDEX(Items[Pts],MATCH(Log[[#This Row],[ID]],Items[ID],0))*1,0))</f>
      </c>
      <c r="L1883" s="17">
        <f>IF(Log[[#This Row],[ID]]="","",IFERROR(INDEX(Items[Cur team],MATCH(Log[[#This Row],[ID]],Items[ID],0))&amp;"",""))</f>
      </c>
      <c r="M1883" s="17">
        <f>IF(OR(Log[[#This Row],[Verb]]="done",Log[[#This Row],[Verb]]="punt",Log[[#This Row],[Verb]]="drop",Log[[#This Row],[Verb]]="pass"),Log[[#This Row],[Pts]],0)</f>
      </c>
    </row>
    <row r="1884">
      <c r="A1884" s="11">
        <v>46272</v>
      </c>
      <c r="B1884" t="s">
        <v>976</v>
      </c>
      <c r="C1884" t="s">
        <v>41</v>
      </c>
      <c r="F1884" s="17">
        <f>IF(Log[[#This Row],[ID]]="","",IF(ISNA(MATCH(Log[[#This Row],[ID]],Items[ID],0)),"unknown ID",IF(ISNA(MATCH(Log[[#This Row],[Verb]],VerbList,0)),"unknown verb",IF(Log[[#This Row],[Date]]="","no date",""))))</f>
      </c>
      <c r="G1884" s="17">
        <f>IF(Log[[#This Row],[ID]]="","",IFERROR(VLOOKUP(Log[[#This Row],[Verb]],Verbs,3,FALSE)&amp;"",""))</f>
      </c>
      <c r="H1884" s="17">
        <f>IF(Log[[#This Row],[Date]]="","",INT((Log[[#This Row],[Date]]-Sprint1)/SprintDays)+1)</f>
      </c>
      <c r="I1884" s="17">
        <f>IF(OR(Log[[#This Row],[Verb]]="commit",Log[[#This Row],[Verb]]="carry",Log[[#This Row],[Verb]]="redo"),IF(Log[[#This Row],[Arg]]="",Log[[#This Row],[Sprint]],N(Log[[#This Row],[Arg]])),"")</f>
      </c>
      <c r="J1884" s="17">
        <f>IF(Log[[#This Row],[Verb]]="block",1,IF(OR(Log[[#This Row],[Verb]]="unblock",Log[[#This Row],[Verb]]="done",Log[[#This Row],[Verb]]="drop",Log[[#This Row],[Verb]]="punt",Log[[#This Row],[Verb]]="pass"),0,""))</f>
      </c>
      <c r="K1884" s="17">
        <f>IF(Log[[#This Row],[ID]]="",0,IFERROR(INDEX(Items[Pts],MATCH(Log[[#This Row],[ID]],Items[ID],0))*1,0))</f>
      </c>
      <c r="L1884" s="17">
        <f>IF(Log[[#This Row],[ID]]="","",IFERROR(INDEX(Items[Cur team],MATCH(Log[[#This Row],[ID]],Items[ID],0))&amp;"",""))</f>
      </c>
      <c r="M1884" s="17">
        <f>IF(OR(Log[[#This Row],[Verb]]="done",Log[[#This Row],[Verb]]="punt",Log[[#This Row],[Verb]]="drop",Log[[#This Row],[Verb]]="pass"),Log[[#This Row],[Pts]],0)</f>
      </c>
    </row>
    <row r="1885">
      <c r="A1885" s="11">
        <v>46272</v>
      </c>
      <c r="B1885" t="s">
        <v>977</v>
      </c>
      <c r="C1885" t="s">
        <v>41</v>
      </c>
      <c r="F1885" s="17">
        <f>IF(Log[[#This Row],[ID]]="","",IF(ISNA(MATCH(Log[[#This Row],[ID]],Items[ID],0)),"unknown ID",IF(ISNA(MATCH(Log[[#This Row],[Verb]],VerbList,0)),"unknown verb",IF(Log[[#This Row],[Date]]="","no date",""))))</f>
      </c>
      <c r="G1885" s="17">
        <f>IF(Log[[#This Row],[ID]]="","",IFERROR(VLOOKUP(Log[[#This Row],[Verb]],Verbs,3,FALSE)&amp;"",""))</f>
      </c>
      <c r="H1885" s="17">
        <f>IF(Log[[#This Row],[Date]]="","",INT((Log[[#This Row],[Date]]-Sprint1)/SprintDays)+1)</f>
      </c>
      <c r="I1885" s="17">
        <f>IF(OR(Log[[#This Row],[Verb]]="commit",Log[[#This Row],[Verb]]="carry",Log[[#This Row],[Verb]]="redo"),IF(Log[[#This Row],[Arg]]="",Log[[#This Row],[Sprint]],N(Log[[#This Row],[Arg]])),"")</f>
      </c>
      <c r="J1885" s="17">
        <f>IF(Log[[#This Row],[Verb]]="block",1,IF(OR(Log[[#This Row],[Verb]]="unblock",Log[[#This Row],[Verb]]="done",Log[[#This Row],[Verb]]="drop",Log[[#This Row],[Verb]]="punt",Log[[#This Row],[Verb]]="pass"),0,""))</f>
      </c>
      <c r="K1885" s="17">
        <f>IF(Log[[#This Row],[ID]]="",0,IFERROR(INDEX(Items[Pts],MATCH(Log[[#This Row],[ID]],Items[ID],0))*1,0))</f>
      </c>
      <c r="L1885" s="17">
        <f>IF(Log[[#This Row],[ID]]="","",IFERROR(INDEX(Items[Cur team],MATCH(Log[[#This Row],[ID]],Items[ID],0))&amp;"",""))</f>
      </c>
      <c r="M1885" s="17">
        <f>IF(OR(Log[[#This Row],[Verb]]="done",Log[[#This Row],[Verb]]="punt",Log[[#This Row],[Verb]]="drop",Log[[#This Row],[Verb]]="pass"),Log[[#This Row],[Pts]],0)</f>
      </c>
    </row>
    <row r="1886">
      <c r="A1886" s="11">
        <v>46272</v>
      </c>
      <c r="B1886" t="s">
        <v>916</v>
      </c>
      <c r="C1886" t="s">
        <v>41</v>
      </c>
      <c r="F1886" s="17">
        <f>IF(Log[[#This Row],[ID]]="","",IF(ISNA(MATCH(Log[[#This Row],[ID]],Items[ID],0)),"unknown ID",IF(ISNA(MATCH(Log[[#This Row],[Verb]],VerbList,0)),"unknown verb",IF(Log[[#This Row],[Date]]="","no date",""))))</f>
      </c>
      <c r="G1886" s="17">
        <f>IF(Log[[#This Row],[ID]]="","",IFERROR(VLOOKUP(Log[[#This Row],[Verb]],Verbs,3,FALSE)&amp;"",""))</f>
      </c>
      <c r="H1886" s="17">
        <f>IF(Log[[#This Row],[Date]]="","",INT((Log[[#This Row],[Date]]-Sprint1)/SprintDays)+1)</f>
      </c>
      <c r="I1886" s="17">
        <f>IF(OR(Log[[#This Row],[Verb]]="commit",Log[[#This Row],[Verb]]="carry",Log[[#This Row],[Verb]]="redo"),IF(Log[[#This Row],[Arg]]="",Log[[#This Row],[Sprint]],N(Log[[#This Row],[Arg]])),"")</f>
      </c>
      <c r="J1886" s="17">
        <f>IF(Log[[#This Row],[Verb]]="block",1,IF(OR(Log[[#This Row],[Verb]]="unblock",Log[[#This Row],[Verb]]="done",Log[[#This Row],[Verb]]="drop",Log[[#This Row],[Verb]]="punt",Log[[#This Row],[Verb]]="pass"),0,""))</f>
      </c>
      <c r="K1886" s="17">
        <f>IF(Log[[#This Row],[ID]]="",0,IFERROR(INDEX(Items[Pts],MATCH(Log[[#This Row],[ID]],Items[ID],0))*1,0))</f>
      </c>
      <c r="L1886" s="17">
        <f>IF(Log[[#This Row],[ID]]="","",IFERROR(INDEX(Items[Cur team],MATCH(Log[[#This Row],[ID]],Items[ID],0))&amp;"",""))</f>
      </c>
      <c r="M1886" s="17">
        <f>IF(OR(Log[[#This Row],[Verb]]="done",Log[[#This Row],[Verb]]="punt",Log[[#This Row],[Verb]]="drop",Log[[#This Row],[Verb]]="pass"),Log[[#This Row],[Pts]],0)</f>
      </c>
    </row>
    <row r="1887">
      <c r="A1887" s="11">
        <v>46272</v>
      </c>
      <c r="B1887" t="s">
        <v>918</v>
      </c>
      <c r="C1887" t="s">
        <v>41</v>
      </c>
      <c r="F1887" s="17">
        <f>IF(Log[[#This Row],[ID]]="","",IF(ISNA(MATCH(Log[[#This Row],[ID]],Items[ID],0)),"unknown ID",IF(ISNA(MATCH(Log[[#This Row],[Verb]],VerbList,0)),"unknown verb",IF(Log[[#This Row],[Date]]="","no date",""))))</f>
      </c>
      <c r="G1887" s="17">
        <f>IF(Log[[#This Row],[ID]]="","",IFERROR(VLOOKUP(Log[[#This Row],[Verb]],Verbs,3,FALSE)&amp;"",""))</f>
      </c>
      <c r="H1887" s="17">
        <f>IF(Log[[#This Row],[Date]]="","",INT((Log[[#This Row],[Date]]-Sprint1)/SprintDays)+1)</f>
      </c>
      <c r="I1887" s="17">
        <f>IF(OR(Log[[#This Row],[Verb]]="commit",Log[[#This Row],[Verb]]="carry",Log[[#This Row],[Verb]]="redo"),IF(Log[[#This Row],[Arg]]="",Log[[#This Row],[Sprint]],N(Log[[#This Row],[Arg]])),"")</f>
      </c>
      <c r="J1887" s="17">
        <f>IF(Log[[#This Row],[Verb]]="block",1,IF(OR(Log[[#This Row],[Verb]]="unblock",Log[[#This Row],[Verb]]="done",Log[[#This Row],[Verb]]="drop",Log[[#This Row],[Verb]]="punt",Log[[#This Row],[Verb]]="pass"),0,""))</f>
      </c>
      <c r="K1887" s="17">
        <f>IF(Log[[#This Row],[ID]]="",0,IFERROR(INDEX(Items[Pts],MATCH(Log[[#This Row],[ID]],Items[ID],0))*1,0))</f>
      </c>
      <c r="L1887" s="17">
        <f>IF(Log[[#This Row],[ID]]="","",IFERROR(INDEX(Items[Cur team],MATCH(Log[[#This Row],[ID]],Items[ID],0))&amp;"",""))</f>
      </c>
      <c r="M1887" s="17">
        <f>IF(OR(Log[[#This Row],[Verb]]="done",Log[[#This Row],[Verb]]="punt",Log[[#This Row],[Verb]]="drop",Log[[#This Row],[Verb]]="pass"),Log[[#This Row],[Pts]],0)</f>
      </c>
    </row>
    <row r="1888">
      <c r="A1888" s="11">
        <v>46272</v>
      </c>
      <c r="B1888" t="s">
        <v>978</v>
      </c>
      <c r="C1888" t="s">
        <v>41</v>
      </c>
      <c r="F1888" s="17">
        <f>IF(Log[[#This Row],[ID]]="","",IF(ISNA(MATCH(Log[[#This Row],[ID]],Items[ID],0)),"unknown ID",IF(ISNA(MATCH(Log[[#This Row],[Verb]],VerbList,0)),"unknown verb",IF(Log[[#This Row],[Date]]="","no date",""))))</f>
      </c>
      <c r="G1888" s="17">
        <f>IF(Log[[#This Row],[ID]]="","",IFERROR(VLOOKUP(Log[[#This Row],[Verb]],Verbs,3,FALSE)&amp;"",""))</f>
      </c>
      <c r="H1888" s="17">
        <f>IF(Log[[#This Row],[Date]]="","",INT((Log[[#This Row],[Date]]-Sprint1)/SprintDays)+1)</f>
      </c>
      <c r="I1888" s="17">
        <f>IF(OR(Log[[#This Row],[Verb]]="commit",Log[[#This Row],[Verb]]="carry",Log[[#This Row],[Verb]]="redo"),IF(Log[[#This Row],[Arg]]="",Log[[#This Row],[Sprint]],N(Log[[#This Row],[Arg]])),"")</f>
      </c>
      <c r="J1888" s="17">
        <f>IF(Log[[#This Row],[Verb]]="block",1,IF(OR(Log[[#This Row],[Verb]]="unblock",Log[[#This Row],[Verb]]="done",Log[[#This Row],[Verb]]="drop",Log[[#This Row],[Verb]]="punt",Log[[#This Row],[Verb]]="pass"),0,""))</f>
      </c>
      <c r="K1888" s="17">
        <f>IF(Log[[#This Row],[ID]]="",0,IFERROR(INDEX(Items[Pts],MATCH(Log[[#This Row],[ID]],Items[ID],0))*1,0))</f>
      </c>
      <c r="L1888" s="17">
        <f>IF(Log[[#This Row],[ID]]="","",IFERROR(INDEX(Items[Cur team],MATCH(Log[[#This Row],[ID]],Items[ID],0))&amp;"",""))</f>
      </c>
      <c r="M1888" s="17">
        <f>IF(OR(Log[[#This Row],[Verb]]="done",Log[[#This Row],[Verb]]="punt",Log[[#This Row],[Verb]]="drop",Log[[#This Row],[Verb]]="pass"),Log[[#This Row],[Pts]],0)</f>
      </c>
    </row>
    <row r="1889">
      <c r="A1889" s="11">
        <v>46272</v>
      </c>
      <c r="B1889" t="s">
        <v>979</v>
      </c>
      <c r="C1889" t="s">
        <v>41</v>
      </c>
      <c r="F1889" s="17">
        <f>IF(Log[[#This Row],[ID]]="","",IF(ISNA(MATCH(Log[[#This Row],[ID]],Items[ID],0)),"unknown ID",IF(ISNA(MATCH(Log[[#This Row],[Verb]],VerbList,0)),"unknown verb",IF(Log[[#This Row],[Date]]="","no date",""))))</f>
      </c>
      <c r="G1889" s="17">
        <f>IF(Log[[#This Row],[ID]]="","",IFERROR(VLOOKUP(Log[[#This Row],[Verb]],Verbs,3,FALSE)&amp;"",""))</f>
      </c>
      <c r="H1889" s="17">
        <f>IF(Log[[#This Row],[Date]]="","",INT((Log[[#This Row],[Date]]-Sprint1)/SprintDays)+1)</f>
      </c>
      <c r="I1889" s="17">
        <f>IF(OR(Log[[#This Row],[Verb]]="commit",Log[[#This Row],[Verb]]="carry",Log[[#This Row],[Verb]]="redo"),IF(Log[[#This Row],[Arg]]="",Log[[#This Row],[Sprint]],N(Log[[#This Row],[Arg]])),"")</f>
      </c>
      <c r="J1889" s="17">
        <f>IF(Log[[#This Row],[Verb]]="block",1,IF(OR(Log[[#This Row],[Verb]]="unblock",Log[[#This Row],[Verb]]="done",Log[[#This Row],[Verb]]="drop",Log[[#This Row],[Verb]]="punt",Log[[#This Row],[Verb]]="pass"),0,""))</f>
      </c>
      <c r="K1889" s="17">
        <f>IF(Log[[#This Row],[ID]]="",0,IFERROR(INDEX(Items[Pts],MATCH(Log[[#This Row],[ID]],Items[ID],0))*1,0))</f>
      </c>
      <c r="L1889" s="17">
        <f>IF(Log[[#This Row],[ID]]="","",IFERROR(INDEX(Items[Cur team],MATCH(Log[[#This Row],[ID]],Items[ID],0))&amp;"",""))</f>
      </c>
      <c r="M1889" s="17">
        <f>IF(OR(Log[[#This Row],[Verb]]="done",Log[[#This Row],[Verb]]="punt",Log[[#This Row],[Verb]]="drop",Log[[#This Row],[Verb]]="pass"),Log[[#This Row],[Pts]],0)</f>
      </c>
    </row>
    <row r="1890">
      <c r="A1890" s="11">
        <v>46272</v>
      </c>
      <c r="B1890" t="s">
        <v>980</v>
      </c>
      <c r="C1890" t="s">
        <v>41</v>
      </c>
      <c r="F1890" s="17">
        <f>IF(Log[[#This Row],[ID]]="","",IF(ISNA(MATCH(Log[[#This Row],[ID]],Items[ID],0)),"unknown ID",IF(ISNA(MATCH(Log[[#This Row],[Verb]],VerbList,0)),"unknown verb",IF(Log[[#This Row],[Date]]="","no date",""))))</f>
      </c>
      <c r="G1890" s="17">
        <f>IF(Log[[#This Row],[ID]]="","",IFERROR(VLOOKUP(Log[[#This Row],[Verb]],Verbs,3,FALSE)&amp;"",""))</f>
      </c>
      <c r="H1890" s="17">
        <f>IF(Log[[#This Row],[Date]]="","",INT((Log[[#This Row],[Date]]-Sprint1)/SprintDays)+1)</f>
      </c>
      <c r="I1890" s="17">
        <f>IF(OR(Log[[#This Row],[Verb]]="commit",Log[[#This Row],[Verb]]="carry",Log[[#This Row],[Verb]]="redo"),IF(Log[[#This Row],[Arg]]="",Log[[#This Row],[Sprint]],N(Log[[#This Row],[Arg]])),"")</f>
      </c>
      <c r="J1890" s="17">
        <f>IF(Log[[#This Row],[Verb]]="block",1,IF(OR(Log[[#This Row],[Verb]]="unblock",Log[[#This Row],[Verb]]="done",Log[[#This Row],[Verb]]="drop",Log[[#This Row],[Verb]]="punt",Log[[#This Row],[Verb]]="pass"),0,""))</f>
      </c>
      <c r="K1890" s="17">
        <f>IF(Log[[#This Row],[ID]]="",0,IFERROR(INDEX(Items[Pts],MATCH(Log[[#This Row],[ID]],Items[ID],0))*1,0))</f>
      </c>
      <c r="L1890" s="17">
        <f>IF(Log[[#This Row],[ID]]="","",IFERROR(INDEX(Items[Cur team],MATCH(Log[[#This Row],[ID]],Items[ID],0))&amp;"",""))</f>
      </c>
      <c r="M1890" s="17">
        <f>IF(OR(Log[[#This Row],[Verb]]="done",Log[[#This Row],[Verb]]="punt",Log[[#This Row],[Verb]]="drop",Log[[#This Row],[Verb]]="pass"),Log[[#This Row],[Pts]],0)</f>
      </c>
    </row>
    <row r="1891">
      <c r="A1891" s="11">
        <v>46272</v>
      </c>
      <c r="B1891" t="s">
        <v>981</v>
      </c>
      <c r="C1891" t="s">
        <v>41</v>
      </c>
      <c r="F1891" s="17">
        <f>IF(Log[[#This Row],[ID]]="","",IF(ISNA(MATCH(Log[[#This Row],[ID]],Items[ID],0)),"unknown ID",IF(ISNA(MATCH(Log[[#This Row],[Verb]],VerbList,0)),"unknown verb",IF(Log[[#This Row],[Date]]="","no date",""))))</f>
      </c>
      <c r="G1891" s="17">
        <f>IF(Log[[#This Row],[ID]]="","",IFERROR(VLOOKUP(Log[[#This Row],[Verb]],Verbs,3,FALSE)&amp;"",""))</f>
      </c>
      <c r="H1891" s="17">
        <f>IF(Log[[#This Row],[Date]]="","",INT((Log[[#This Row],[Date]]-Sprint1)/SprintDays)+1)</f>
      </c>
      <c r="I1891" s="17">
        <f>IF(OR(Log[[#This Row],[Verb]]="commit",Log[[#This Row],[Verb]]="carry",Log[[#This Row],[Verb]]="redo"),IF(Log[[#This Row],[Arg]]="",Log[[#This Row],[Sprint]],N(Log[[#This Row],[Arg]])),"")</f>
      </c>
      <c r="J1891" s="17">
        <f>IF(Log[[#This Row],[Verb]]="block",1,IF(OR(Log[[#This Row],[Verb]]="unblock",Log[[#This Row],[Verb]]="done",Log[[#This Row],[Verb]]="drop",Log[[#This Row],[Verb]]="punt",Log[[#This Row],[Verb]]="pass"),0,""))</f>
      </c>
      <c r="K1891" s="17">
        <f>IF(Log[[#This Row],[ID]]="",0,IFERROR(INDEX(Items[Pts],MATCH(Log[[#This Row],[ID]],Items[ID],0))*1,0))</f>
      </c>
      <c r="L1891" s="17">
        <f>IF(Log[[#This Row],[ID]]="","",IFERROR(INDEX(Items[Cur team],MATCH(Log[[#This Row],[ID]],Items[ID],0))&amp;"",""))</f>
      </c>
      <c r="M1891" s="17">
        <f>IF(OR(Log[[#This Row],[Verb]]="done",Log[[#This Row],[Verb]]="punt",Log[[#This Row],[Verb]]="drop",Log[[#This Row],[Verb]]="pass"),Log[[#This Row],[Pts]],0)</f>
      </c>
    </row>
    <row r="1892">
      <c r="A1892" s="11">
        <v>46272</v>
      </c>
      <c r="B1892" t="s">
        <v>982</v>
      </c>
      <c r="C1892" t="s">
        <v>41</v>
      </c>
      <c r="F1892" s="17">
        <f>IF(Log[[#This Row],[ID]]="","",IF(ISNA(MATCH(Log[[#This Row],[ID]],Items[ID],0)),"unknown ID",IF(ISNA(MATCH(Log[[#This Row],[Verb]],VerbList,0)),"unknown verb",IF(Log[[#This Row],[Date]]="","no date",""))))</f>
      </c>
      <c r="G1892" s="17">
        <f>IF(Log[[#This Row],[ID]]="","",IFERROR(VLOOKUP(Log[[#This Row],[Verb]],Verbs,3,FALSE)&amp;"",""))</f>
      </c>
      <c r="H1892" s="17">
        <f>IF(Log[[#This Row],[Date]]="","",INT((Log[[#This Row],[Date]]-Sprint1)/SprintDays)+1)</f>
      </c>
      <c r="I1892" s="17">
        <f>IF(OR(Log[[#This Row],[Verb]]="commit",Log[[#This Row],[Verb]]="carry",Log[[#This Row],[Verb]]="redo"),IF(Log[[#This Row],[Arg]]="",Log[[#This Row],[Sprint]],N(Log[[#This Row],[Arg]])),"")</f>
      </c>
      <c r="J1892" s="17">
        <f>IF(Log[[#This Row],[Verb]]="block",1,IF(OR(Log[[#This Row],[Verb]]="unblock",Log[[#This Row],[Verb]]="done",Log[[#This Row],[Verb]]="drop",Log[[#This Row],[Verb]]="punt",Log[[#This Row],[Verb]]="pass"),0,""))</f>
      </c>
      <c r="K1892" s="17">
        <f>IF(Log[[#This Row],[ID]]="",0,IFERROR(INDEX(Items[Pts],MATCH(Log[[#This Row],[ID]],Items[ID],0))*1,0))</f>
      </c>
      <c r="L1892" s="17">
        <f>IF(Log[[#This Row],[ID]]="","",IFERROR(INDEX(Items[Cur team],MATCH(Log[[#This Row],[ID]],Items[ID],0))&amp;"",""))</f>
      </c>
      <c r="M1892" s="17">
        <f>IF(OR(Log[[#This Row],[Verb]]="done",Log[[#This Row],[Verb]]="punt",Log[[#This Row],[Verb]]="drop",Log[[#This Row],[Verb]]="pass"),Log[[#This Row],[Pts]],0)</f>
      </c>
    </row>
    <row r="1893">
      <c r="A1893" s="11">
        <v>46272</v>
      </c>
      <c r="B1893" t="s">
        <v>983</v>
      </c>
      <c r="C1893" t="s">
        <v>41</v>
      </c>
      <c r="F1893" s="17">
        <f>IF(Log[[#This Row],[ID]]="","",IF(ISNA(MATCH(Log[[#This Row],[ID]],Items[ID],0)),"unknown ID",IF(ISNA(MATCH(Log[[#This Row],[Verb]],VerbList,0)),"unknown verb",IF(Log[[#This Row],[Date]]="","no date",""))))</f>
      </c>
      <c r="G1893" s="17">
        <f>IF(Log[[#This Row],[ID]]="","",IFERROR(VLOOKUP(Log[[#This Row],[Verb]],Verbs,3,FALSE)&amp;"",""))</f>
      </c>
      <c r="H1893" s="17">
        <f>IF(Log[[#This Row],[Date]]="","",INT((Log[[#This Row],[Date]]-Sprint1)/SprintDays)+1)</f>
      </c>
      <c r="I1893" s="17">
        <f>IF(OR(Log[[#This Row],[Verb]]="commit",Log[[#This Row],[Verb]]="carry",Log[[#This Row],[Verb]]="redo"),IF(Log[[#This Row],[Arg]]="",Log[[#This Row],[Sprint]],N(Log[[#This Row],[Arg]])),"")</f>
      </c>
      <c r="J1893" s="17">
        <f>IF(Log[[#This Row],[Verb]]="block",1,IF(OR(Log[[#This Row],[Verb]]="unblock",Log[[#This Row],[Verb]]="done",Log[[#This Row],[Verb]]="drop",Log[[#This Row],[Verb]]="punt",Log[[#This Row],[Verb]]="pass"),0,""))</f>
      </c>
      <c r="K1893" s="17">
        <f>IF(Log[[#This Row],[ID]]="",0,IFERROR(INDEX(Items[Pts],MATCH(Log[[#This Row],[ID]],Items[ID],0))*1,0))</f>
      </c>
      <c r="L1893" s="17">
        <f>IF(Log[[#This Row],[ID]]="","",IFERROR(INDEX(Items[Cur team],MATCH(Log[[#This Row],[ID]],Items[ID],0))&amp;"",""))</f>
      </c>
      <c r="M1893" s="17">
        <f>IF(OR(Log[[#This Row],[Verb]]="done",Log[[#This Row],[Verb]]="punt",Log[[#This Row],[Verb]]="drop",Log[[#This Row],[Verb]]="pass"),Log[[#This Row],[Pts]],0)</f>
      </c>
    </row>
    <row r="1894">
      <c r="A1894" s="11">
        <v>46272</v>
      </c>
      <c r="B1894" t="s">
        <v>984</v>
      </c>
      <c r="C1894" t="s">
        <v>41</v>
      </c>
      <c r="F1894" s="17">
        <f>IF(Log[[#This Row],[ID]]="","",IF(ISNA(MATCH(Log[[#This Row],[ID]],Items[ID],0)),"unknown ID",IF(ISNA(MATCH(Log[[#This Row],[Verb]],VerbList,0)),"unknown verb",IF(Log[[#This Row],[Date]]="","no date",""))))</f>
      </c>
      <c r="G1894" s="17">
        <f>IF(Log[[#This Row],[ID]]="","",IFERROR(VLOOKUP(Log[[#This Row],[Verb]],Verbs,3,FALSE)&amp;"",""))</f>
      </c>
      <c r="H1894" s="17">
        <f>IF(Log[[#This Row],[Date]]="","",INT((Log[[#This Row],[Date]]-Sprint1)/SprintDays)+1)</f>
      </c>
      <c r="I1894" s="17">
        <f>IF(OR(Log[[#This Row],[Verb]]="commit",Log[[#This Row],[Verb]]="carry",Log[[#This Row],[Verb]]="redo"),IF(Log[[#This Row],[Arg]]="",Log[[#This Row],[Sprint]],N(Log[[#This Row],[Arg]])),"")</f>
      </c>
      <c r="J1894" s="17">
        <f>IF(Log[[#This Row],[Verb]]="block",1,IF(OR(Log[[#This Row],[Verb]]="unblock",Log[[#This Row],[Verb]]="done",Log[[#This Row],[Verb]]="drop",Log[[#This Row],[Verb]]="punt",Log[[#This Row],[Verb]]="pass"),0,""))</f>
      </c>
      <c r="K1894" s="17">
        <f>IF(Log[[#This Row],[ID]]="",0,IFERROR(INDEX(Items[Pts],MATCH(Log[[#This Row],[ID]],Items[ID],0))*1,0))</f>
      </c>
      <c r="L1894" s="17">
        <f>IF(Log[[#This Row],[ID]]="","",IFERROR(INDEX(Items[Cur team],MATCH(Log[[#This Row],[ID]],Items[ID],0))&amp;"",""))</f>
      </c>
      <c r="M1894" s="17">
        <f>IF(OR(Log[[#This Row],[Verb]]="done",Log[[#This Row],[Verb]]="punt",Log[[#This Row],[Verb]]="drop",Log[[#This Row],[Verb]]="pass"),Log[[#This Row],[Pts]],0)</f>
      </c>
    </row>
    <row r="1895">
      <c r="A1895" s="11">
        <v>46272</v>
      </c>
      <c r="B1895" t="s">
        <v>985</v>
      </c>
      <c r="C1895" t="s">
        <v>41</v>
      </c>
      <c r="F1895" s="17">
        <f>IF(Log[[#This Row],[ID]]="","",IF(ISNA(MATCH(Log[[#This Row],[ID]],Items[ID],0)),"unknown ID",IF(ISNA(MATCH(Log[[#This Row],[Verb]],VerbList,0)),"unknown verb",IF(Log[[#This Row],[Date]]="","no date",""))))</f>
      </c>
      <c r="G1895" s="17">
        <f>IF(Log[[#This Row],[ID]]="","",IFERROR(VLOOKUP(Log[[#This Row],[Verb]],Verbs,3,FALSE)&amp;"",""))</f>
      </c>
      <c r="H1895" s="17">
        <f>IF(Log[[#This Row],[Date]]="","",INT((Log[[#This Row],[Date]]-Sprint1)/SprintDays)+1)</f>
      </c>
      <c r="I1895" s="17">
        <f>IF(OR(Log[[#This Row],[Verb]]="commit",Log[[#This Row],[Verb]]="carry",Log[[#This Row],[Verb]]="redo"),IF(Log[[#This Row],[Arg]]="",Log[[#This Row],[Sprint]],N(Log[[#This Row],[Arg]])),"")</f>
      </c>
      <c r="J1895" s="17">
        <f>IF(Log[[#This Row],[Verb]]="block",1,IF(OR(Log[[#This Row],[Verb]]="unblock",Log[[#This Row],[Verb]]="done",Log[[#This Row],[Verb]]="drop",Log[[#This Row],[Verb]]="punt",Log[[#This Row],[Verb]]="pass"),0,""))</f>
      </c>
      <c r="K1895" s="17">
        <f>IF(Log[[#This Row],[ID]]="",0,IFERROR(INDEX(Items[Pts],MATCH(Log[[#This Row],[ID]],Items[ID],0))*1,0))</f>
      </c>
      <c r="L1895" s="17">
        <f>IF(Log[[#This Row],[ID]]="","",IFERROR(INDEX(Items[Cur team],MATCH(Log[[#This Row],[ID]],Items[ID],0))&amp;"",""))</f>
      </c>
      <c r="M1895" s="17">
        <f>IF(OR(Log[[#This Row],[Verb]]="done",Log[[#This Row],[Verb]]="punt",Log[[#This Row],[Verb]]="drop",Log[[#This Row],[Verb]]="pass"),Log[[#This Row],[Pts]],0)</f>
      </c>
    </row>
    <row r="1896">
      <c r="A1896" s="11">
        <v>46272</v>
      </c>
      <c r="B1896" t="s">
        <v>986</v>
      </c>
      <c r="C1896" t="s">
        <v>38</v>
      </c>
      <c r="D1896">
        <v>52</v>
      </c>
      <c r="F1896" s="17">
        <f>IF(Log[[#This Row],[ID]]="","",IF(ISNA(MATCH(Log[[#This Row],[ID]],Items[ID],0)),"unknown ID",IF(ISNA(MATCH(Log[[#This Row],[Verb]],VerbList,0)),"unknown verb",IF(Log[[#This Row],[Date]]="","no date",""))))</f>
      </c>
      <c r="G1896" s="17">
        <f>IF(Log[[#This Row],[ID]]="","",IFERROR(VLOOKUP(Log[[#This Row],[Verb]],Verbs,3,FALSE)&amp;"",""))</f>
      </c>
      <c r="H1896" s="17">
        <f>IF(Log[[#This Row],[Date]]="","",INT((Log[[#This Row],[Date]]-Sprint1)/SprintDays)+1)</f>
      </c>
      <c r="I1896" s="17">
        <f>IF(OR(Log[[#This Row],[Verb]]="commit",Log[[#This Row],[Verb]]="carry",Log[[#This Row],[Verb]]="redo"),IF(Log[[#This Row],[Arg]]="",Log[[#This Row],[Sprint]],N(Log[[#This Row],[Arg]])),"")</f>
      </c>
      <c r="J1896" s="17">
        <f>IF(Log[[#This Row],[Verb]]="block",1,IF(OR(Log[[#This Row],[Verb]]="unblock",Log[[#This Row],[Verb]]="done",Log[[#This Row],[Verb]]="drop",Log[[#This Row],[Verb]]="punt",Log[[#This Row],[Verb]]="pass"),0,""))</f>
      </c>
      <c r="K1896" s="17">
        <f>IF(Log[[#This Row],[ID]]="",0,IFERROR(INDEX(Items[Pts],MATCH(Log[[#This Row],[ID]],Items[ID],0))*1,0))</f>
      </c>
      <c r="L1896" s="17">
        <f>IF(Log[[#This Row],[ID]]="","",IFERROR(INDEX(Items[Cur team],MATCH(Log[[#This Row],[ID]],Items[ID],0))&amp;"",""))</f>
      </c>
      <c r="M1896" s="17">
        <f>IF(OR(Log[[#This Row],[Verb]]="done",Log[[#This Row],[Verb]]="punt",Log[[#This Row],[Verb]]="drop",Log[[#This Row],[Verb]]="pass"),Log[[#This Row],[Pts]],0)</f>
      </c>
    </row>
    <row r="1897">
      <c r="A1897" s="11">
        <v>46272</v>
      </c>
      <c r="B1897" t="s">
        <v>987</v>
      </c>
      <c r="C1897" t="s">
        <v>41</v>
      </c>
      <c r="F1897" s="17">
        <f>IF(Log[[#This Row],[ID]]="","",IF(ISNA(MATCH(Log[[#This Row],[ID]],Items[ID],0)),"unknown ID",IF(ISNA(MATCH(Log[[#This Row],[Verb]],VerbList,0)),"unknown verb",IF(Log[[#This Row],[Date]]="","no date",""))))</f>
      </c>
      <c r="G1897" s="17">
        <f>IF(Log[[#This Row],[ID]]="","",IFERROR(VLOOKUP(Log[[#This Row],[Verb]],Verbs,3,FALSE)&amp;"",""))</f>
      </c>
      <c r="H1897" s="17">
        <f>IF(Log[[#This Row],[Date]]="","",INT((Log[[#This Row],[Date]]-Sprint1)/SprintDays)+1)</f>
      </c>
      <c r="I1897" s="17">
        <f>IF(OR(Log[[#This Row],[Verb]]="commit",Log[[#This Row],[Verb]]="carry",Log[[#This Row],[Verb]]="redo"),IF(Log[[#This Row],[Arg]]="",Log[[#This Row],[Sprint]],N(Log[[#This Row],[Arg]])),"")</f>
      </c>
      <c r="J1897" s="17">
        <f>IF(Log[[#This Row],[Verb]]="block",1,IF(OR(Log[[#This Row],[Verb]]="unblock",Log[[#This Row],[Verb]]="done",Log[[#This Row],[Verb]]="drop",Log[[#This Row],[Verb]]="punt",Log[[#This Row],[Verb]]="pass"),0,""))</f>
      </c>
      <c r="K1897" s="17">
        <f>IF(Log[[#This Row],[ID]]="",0,IFERROR(INDEX(Items[Pts],MATCH(Log[[#This Row],[ID]],Items[ID],0))*1,0))</f>
      </c>
      <c r="L1897" s="17">
        <f>IF(Log[[#This Row],[ID]]="","",IFERROR(INDEX(Items[Cur team],MATCH(Log[[#This Row],[ID]],Items[ID],0))&amp;"",""))</f>
      </c>
      <c r="M1897" s="17">
        <f>IF(OR(Log[[#This Row],[Verb]]="done",Log[[#This Row],[Verb]]="punt",Log[[#This Row],[Verb]]="drop",Log[[#This Row],[Verb]]="pass"),Log[[#This Row],[Pts]],0)</f>
      </c>
    </row>
    <row r="1898">
      <c r="A1898" s="11">
        <v>46272</v>
      </c>
      <c r="B1898" t="s">
        <v>988</v>
      </c>
      <c r="C1898" t="s">
        <v>41</v>
      </c>
      <c r="F1898" s="17">
        <f>IF(Log[[#This Row],[ID]]="","",IF(ISNA(MATCH(Log[[#This Row],[ID]],Items[ID],0)),"unknown ID",IF(ISNA(MATCH(Log[[#This Row],[Verb]],VerbList,0)),"unknown verb",IF(Log[[#This Row],[Date]]="","no date",""))))</f>
      </c>
      <c r="G1898" s="17">
        <f>IF(Log[[#This Row],[ID]]="","",IFERROR(VLOOKUP(Log[[#This Row],[Verb]],Verbs,3,FALSE)&amp;"",""))</f>
      </c>
      <c r="H1898" s="17">
        <f>IF(Log[[#This Row],[Date]]="","",INT((Log[[#This Row],[Date]]-Sprint1)/SprintDays)+1)</f>
      </c>
      <c r="I1898" s="17">
        <f>IF(OR(Log[[#This Row],[Verb]]="commit",Log[[#This Row],[Verb]]="carry",Log[[#This Row],[Verb]]="redo"),IF(Log[[#This Row],[Arg]]="",Log[[#This Row],[Sprint]],N(Log[[#This Row],[Arg]])),"")</f>
      </c>
      <c r="J1898" s="17">
        <f>IF(Log[[#This Row],[Verb]]="block",1,IF(OR(Log[[#This Row],[Verb]]="unblock",Log[[#This Row],[Verb]]="done",Log[[#This Row],[Verb]]="drop",Log[[#This Row],[Verb]]="punt",Log[[#This Row],[Verb]]="pass"),0,""))</f>
      </c>
      <c r="K1898" s="17">
        <f>IF(Log[[#This Row],[ID]]="",0,IFERROR(INDEX(Items[Pts],MATCH(Log[[#This Row],[ID]],Items[ID],0))*1,0))</f>
      </c>
      <c r="L1898" s="17">
        <f>IF(Log[[#This Row],[ID]]="","",IFERROR(INDEX(Items[Cur team],MATCH(Log[[#This Row],[ID]],Items[ID],0))&amp;"",""))</f>
      </c>
      <c r="M1898" s="17">
        <f>IF(OR(Log[[#This Row],[Verb]]="done",Log[[#This Row],[Verb]]="punt",Log[[#This Row],[Verb]]="drop",Log[[#This Row],[Verb]]="pass"),Log[[#This Row],[Pts]],0)</f>
      </c>
    </row>
    <row r="1899">
      <c r="A1899" s="11">
        <v>46272</v>
      </c>
      <c r="B1899" t="s">
        <v>989</v>
      </c>
      <c r="C1899" t="s">
        <v>41</v>
      </c>
      <c r="F1899" s="17">
        <f>IF(Log[[#This Row],[ID]]="","",IF(ISNA(MATCH(Log[[#This Row],[ID]],Items[ID],0)),"unknown ID",IF(ISNA(MATCH(Log[[#This Row],[Verb]],VerbList,0)),"unknown verb",IF(Log[[#This Row],[Date]]="","no date",""))))</f>
      </c>
      <c r="G1899" s="17">
        <f>IF(Log[[#This Row],[ID]]="","",IFERROR(VLOOKUP(Log[[#This Row],[Verb]],Verbs,3,FALSE)&amp;"",""))</f>
      </c>
      <c r="H1899" s="17">
        <f>IF(Log[[#This Row],[Date]]="","",INT((Log[[#This Row],[Date]]-Sprint1)/SprintDays)+1)</f>
      </c>
      <c r="I1899" s="17">
        <f>IF(OR(Log[[#This Row],[Verb]]="commit",Log[[#This Row],[Verb]]="carry",Log[[#This Row],[Verb]]="redo"),IF(Log[[#This Row],[Arg]]="",Log[[#This Row],[Sprint]],N(Log[[#This Row],[Arg]])),"")</f>
      </c>
      <c r="J1899" s="17">
        <f>IF(Log[[#This Row],[Verb]]="block",1,IF(OR(Log[[#This Row],[Verb]]="unblock",Log[[#This Row],[Verb]]="done",Log[[#This Row],[Verb]]="drop",Log[[#This Row],[Verb]]="punt",Log[[#This Row],[Verb]]="pass"),0,""))</f>
      </c>
      <c r="K1899" s="17">
        <f>IF(Log[[#This Row],[ID]]="",0,IFERROR(INDEX(Items[Pts],MATCH(Log[[#This Row],[ID]],Items[ID],0))*1,0))</f>
      </c>
      <c r="L1899" s="17">
        <f>IF(Log[[#This Row],[ID]]="","",IFERROR(INDEX(Items[Cur team],MATCH(Log[[#This Row],[ID]],Items[ID],0))&amp;"",""))</f>
      </c>
      <c r="M1899" s="17">
        <f>IF(OR(Log[[#This Row],[Verb]]="done",Log[[#This Row],[Verb]]="punt",Log[[#This Row],[Verb]]="drop",Log[[#This Row],[Verb]]="pass"),Log[[#This Row],[Pts]],0)</f>
      </c>
    </row>
    <row r="1900">
      <c r="A1900" s="11">
        <v>46272</v>
      </c>
      <c r="B1900" t="s">
        <v>990</v>
      </c>
      <c r="C1900" t="s">
        <v>41</v>
      </c>
      <c r="F1900" s="17">
        <f>IF(Log[[#This Row],[ID]]="","",IF(ISNA(MATCH(Log[[#This Row],[ID]],Items[ID],0)),"unknown ID",IF(ISNA(MATCH(Log[[#This Row],[Verb]],VerbList,0)),"unknown verb",IF(Log[[#This Row],[Date]]="","no date",""))))</f>
      </c>
      <c r="G1900" s="17">
        <f>IF(Log[[#This Row],[ID]]="","",IFERROR(VLOOKUP(Log[[#This Row],[Verb]],Verbs,3,FALSE)&amp;"",""))</f>
      </c>
      <c r="H1900" s="17">
        <f>IF(Log[[#This Row],[Date]]="","",INT((Log[[#This Row],[Date]]-Sprint1)/SprintDays)+1)</f>
      </c>
      <c r="I1900" s="17">
        <f>IF(OR(Log[[#This Row],[Verb]]="commit",Log[[#This Row],[Verb]]="carry",Log[[#This Row],[Verb]]="redo"),IF(Log[[#This Row],[Arg]]="",Log[[#This Row],[Sprint]],N(Log[[#This Row],[Arg]])),"")</f>
      </c>
      <c r="J1900" s="17">
        <f>IF(Log[[#This Row],[Verb]]="block",1,IF(OR(Log[[#This Row],[Verb]]="unblock",Log[[#This Row],[Verb]]="done",Log[[#This Row],[Verb]]="drop",Log[[#This Row],[Verb]]="punt",Log[[#This Row],[Verb]]="pass"),0,""))</f>
      </c>
      <c r="K1900" s="17">
        <f>IF(Log[[#This Row],[ID]]="",0,IFERROR(INDEX(Items[Pts],MATCH(Log[[#This Row],[ID]],Items[ID],0))*1,0))</f>
      </c>
      <c r="L1900" s="17">
        <f>IF(Log[[#This Row],[ID]]="","",IFERROR(INDEX(Items[Cur team],MATCH(Log[[#This Row],[ID]],Items[ID],0))&amp;"",""))</f>
      </c>
      <c r="M1900" s="17">
        <f>IF(OR(Log[[#This Row],[Verb]]="done",Log[[#This Row],[Verb]]="punt",Log[[#This Row],[Verb]]="drop",Log[[#This Row],[Verb]]="pass"),Log[[#This Row],[Pts]],0)</f>
      </c>
    </row>
    <row r="1901">
      <c r="A1901" s="11">
        <v>46272</v>
      </c>
      <c r="B1901" t="s">
        <v>991</v>
      </c>
      <c r="C1901" t="s">
        <v>41</v>
      </c>
      <c r="F1901" s="17">
        <f>IF(Log[[#This Row],[ID]]="","",IF(ISNA(MATCH(Log[[#This Row],[ID]],Items[ID],0)),"unknown ID",IF(ISNA(MATCH(Log[[#This Row],[Verb]],VerbList,0)),"unknown verb",IF(Log[[#This Row],[Date]]="","no date",""))))</f>
      </c>
      <c r="G1901" s="17">
        <f>IF(Log[[#This Row],[ID]]="","",IFERROR(VLOOKUP(Log[[#This Row],[Verb]],Verbs,3,FALSE)&amp;"",""))</f>
      </c>
      <c r="H1901" s="17">
        <f>IF(Log[[#This Row],[Date]]="","",INT((Log[[#This Row],[Date]]-Sprint1)/SprintDays)+1)</f>
      </c>
      <c r="I1901" s="17">
        <f>IF(OR(Log[[#This Row],[Verb]]="commit",Log[[#This Row],[Verb]]="carry",Log[[#This Row],[Verb]]="redo"),IF(Log[[#This Row],[Arg]]="",Log[[#This Row],[Sprint]],N(Log[[#This Row],[Arg]])),"")</f>
      </c>
      <c r="J1901" s="17">
        <f>IF(Log[[#This Row],[Verb]]="block",1,IF(OR(Log[[#This Row],[Verb]]="unblock",Log[[#This Row],[Verb]]="done",Log[[#This Row],[Verb]]="drop",Log[[#This Row],[Verb]]="punt",Log[[#This Row],[Verb]]="pass"),0,""))</f>
      </c>
      <c r="K1901" s="17">
        <f>IF(Log[[#This Row],[ID]]="",0,IFERROR(INDEX(Items[Pts],MATCH(Log[[#This Row],[ID]],Items[ID],0))*1,0))</f>
      </c>
      <c r="L1901" s="17">
        <f>IF(Log[[#This Row],[ID]]="","",IFERROR(INDEX(Items[Cur team],MATCH(Log[[#This Row],[ID]],Items[ID],0))&amp;"",""))</f>
      </c>
      <c r="M1901" s="17">
        <f>IF(OR(Log[[#This Row],[Verb]]="done",Log[[#This Row],[Verb]]="punt",Log[[#This Row],[Verb]]="drop",Log[[#This Row],[Verb]]="pass"),Log[[#This Row],[Pts]],0)</f>
      </c>
    </row>
    <row r="1902">
      <c r="A1902" s="11">
        <v>46272</v>
      </c>
      <c r="B1902" t="s">
        <v>865</v>
      </c>
      <c r="C1902" t="s">
        <v>41</v>
      </c>
      <c r="F1902" s="17">
        <f>IF(Log[[#This Row],[ID]]="","",IF(ISNA(MATCH(Log[[#This Row],[ID]],Items[ID],0)),"unknown ID",IF(ISNA(MATCH(Log[[#This Row],[Verb]],VerbList,0)),"unknown verb",IF(Log[[#This Row],[Date]]="","no date",""))))</f>
      </c>
      <c r="G1902" s="17">
        <f>IF(Log[[#This Row],[ID]]="","",IFERROR(VLOOKUP(Log[[#This Row],[Verb]],Verbs,3,FALSE)&amp;"",""))</f>
      </c>
      <c r="H1902" s="17">
        <f>IF(Log[[#This Row],[Date]]="","",INT((Log[[#This Row],[Date]]-Sprint1)/SprintDays)+1)</f>
      </c>
      <c r="I1902" s="17">
        <f>IF(OR(Log[[#This Row],[Verb]]="commit",Log[[#This Row],[Verb]]="carry",Log[[#This Row],[Verb]]="redo"),IF(Log[[#This Row],[Arg]]="",Log[[#This Row],[Sprint]],N(Log[[#This Row],[Arg]])),"")</f>
      </c>
      <c r="J1902" s="17">
        <f>IF(Log[[#This Row],[Verb]]="block",1,IF(OR(Log[[#This Row],[Verb]]="unblock",Log[[#This Row],[Verb]]="done",Log[[#This Row],[Verb]]="drop",Log[[#This Row],[Verb]]="punt",Log[[#This Row],[Verb]]="pass"),0,""))</f>
      </c>
      <c r="K1902" s="17">
        <f>IF(Log[[#This Row],[ID]]="",0,IFERROR(INDEX(Items[Pts],MATCH(Log[[#This Row],[ID]],Items[ID],0))*1,0))</f>
      </c>
      <c r="L1902" s="17">
        <f>IF(Log[[#This Row],[ID]]="","",IFERROR(INDEX(Items[Cur team],MATCH(Log[[#This Row],[ID]],Items[ID],0))&amp;"",""))</f>
      </c>
      <c r="M1902" s="17">
        <f>IF(OR(Log[[#This Row],[Verb]]="done",Log[[#This Row],[Verb]]="punt",Log[[#This Row],[Verb]]="drop",Log[[#This Row],[Verb]]="pass"),Log[[#This Row],[Pts]],0)</f>
      </c>
    </row>
    <row r="1903">
      <c r="A1903" s="11">
        <v>46272</v>
      </c>
      <c r="B1903" t="s">
        <v>992</v>
      </c>
      <c r="C1903" t="s">
        <v>38</v>
      </c>
      <c r="D1903">
        <v>52</v>
      </c>
      <c r="F1903" s="17">
        <f>IF(Log[[#This Row],[ID]]="","",IF(ISNA(MATCH(Log[[#This Row],[ID]],Items[ID],0)),"unknown ID",IF(ISNA(MATCH(Log[[#This Row],[Verb]],VerbList,0)),"unknown verb",IF(Log[[#This Row],[Date]]="","no date",""))))</f>
      </c>
      <c r="G1903" s="17">
        <f>IF(Log[[#This Row],[ID]]="","",IFERROR(VLOOKUP(Log[[#This Row],[Verb]],Verbs,3,FALSE)&amp;"",""))</f>
      </c>
      <c r="H1903" s="17">
        <f>IF(Log[[#This Row],[Date]]="","",INT((Log[[#This Row],[Date]]-Sprint1)/SprintDays)+1)</f>
      </c>
      <c r="I1903" s="17">
        <f>IF(OR(Log[[#This Row],[Verb]]="commit",Log[[#This Row],[Verb]]="carry",Log[[#This Row],[Verb]]="redo"),IF(Log[[#This Row],[Arg]]="",Log[[#This Row],[Sprint]],N(Log[[#This Row],[Arg]])),"")</f>
      </c>
      <c r="J1903" s="17">
        <f>IF(Log[[#This Row],[Verb]]="block",1,IF(OR(Log[[#This Row],[Verb]]="unblock",Log[[#This Row],[Verb]]="done",Log[[#This Row],[Verb]]="drop",Log[[#This Row],[Verb]]="punt",Log[[#This Row],[Verb]]="pass"),0,""))</f>
      </c>
      <c r="K1903" s="17">
        <f>IF(Log[[#This Row],[ID]]="",0,IFERROR(INDEX(Items[Pts],MATCH(Log[[#This Row],[ID]],Items[ID],0))*1,0))</f>
      </c>
      <c r="L1903" s="17">
        <f>IF(Log[[#This Row],[ID]]="","",IFERROR(INDEX(Items[Cur team],MATCH(Log[[#This Row],[ID]],Items[ID],0))&amp;"",""))</f>
      </c>
      <c r="M1903" s="17">
        <f>IF(OR(Log[[#This Row],[Verb]]="done",Log[[#This Row],[Verb]]="punt",Log[[#This Row],[Verb]]="drop",Log[[#This Row],[Verb]]="pass"),Log[[#This Row],[Pts]],0)</f>
      </c>
    </row>
    <row r="1904">
      <c r="A1904" s="11">
        <v>46272</v>
      </c>
      <c r="B1904" t="s">
        <v>993</v>
      </c>
      <c r="C1904" t="s">
        <v>41</v>
      </c>
      <c r="F1904" s="17">
        <f>IF(Log[[#This Row],[ID]]="","",IF(ISNA(MATCH(Log[[#This Row],[ID]],Items[ID],0)),"unknown ID",IF(ISNA(MATCH(Log[[#This Row],[Verb]],VerbList,0)),"unknown verb",IF(Log[[#This Row],[Date]]="","no date",""))))</f>
      </c>
      <c r="G1904" s="17">
        <f>IF(Log[[#This Row],[ID]]="","",IFERROR(VLOOKUP(Log[[#This Row],[Verb]],Verbs,3,FALSE)&amp;"",""))</f>
      </c>
      <c r="H1904" s="17">
        <f>IF(Log[[#This Row],[Date]]="","",INT((Log[[#This Row],[Date]]-Sprint1)/SprintDays)+1)</f>
      </c>
      <c r="I1904" s="17">
        <f>IF(OR(Log[[#This Row],[Verb]]="commit",Log[[#This Row],[Verb]]="carry",Log[[#This Row],[Verb]]="redo"),IF(Log[[#This Row],[Arg]]="",Log[[#This Row],[Sprint]],N(Log[[#This Row],[Arg]])),"")</f>
      </c>
      <c r="J1904" s="17">
        <f>IF(Log[[#This Row],[Verb]]="block",1,IF(OR(Log[[#This Row],[Verb]]="unblock",Log[[#This Row],[Verb]]="done",Log[[#This Row],[Verb]]="drop",Log[[#This Row],[Verb]]="punt",Log[[#This Row],[Verb]]="pass"),0,""))</f>
      </c>
      <c r="K1904" s="17">
        <f>IF(Log[[#This Row],[ID]]="",0,IFERROR(INDEX(Items[Pts],MATCH(Log[[#This Row],[ID]],Items[ID],0))*1,0))</f>
      </c>
      <c r="L1904" s="17">
        <f>IF(Log[[#This Row],[ID]]="","",IFERROR(INDEX(Items[Cur team],MATCH(Log[[#This Row],[ID]],Items[ID],0))&amp;"",""))</f>
      </c>
      <c r="M1904" s="17">
        <f>IF(OR(Log[[#This Row],[Verb]]="done",Log[[#This Row],[Verb]]="punt",Log[[#This Row],[Verb]]="drop",Log[[#This Row],[Verb]]="pass"),Log[[#This Row],[Pts]],0)</f>
      </c>
    </row>
    <row r="1905">
      <c r="A1905" s="11">
        <v>46272</v>
      </c>
      <c r="B1905" t="s">
        <v>994</v>
      </c>
      <c r="C1905" t="s">
        <v>38</v>
      </c>
      <c r="D1905">
        <v>52</v>
      </c>
      <c r="F1905" s="17">
        <f>IF(Log[[#This Row],[ID]]="","",IF(ISNA(MATCH(Log[[#This Row],[ID]],Items[ID],0)),"unknown ID",IF(ISNA(MATCH(Log[[#This Row],[Verb]],VerbList,0)),"unknown verb",IF(Log[[#This Row],[Date]]="","no date",""))))</f>
      </c>
      <c r="G1905" s="17">
        <f>IF(Log[[#This Row],[ID]]="","",IFERROR(VLOOKUP(Log[[#This Row],[Verb]],Verbs,3,FALSE)&amp;"",""))</f>
      </c>
      <c r="H1905" s="17">
        <f>IF(Log[[#This Row],[Date]]="","",INT((Log[[#This Row],[Date]]-Sprint1)/SprintDays)+1)</f>
      </c>
      <c r="I1905" s="17">
        <f>IF(OR(Log[[#This Row],[Verb]]="commit",Log[[#This Row],[Verb]]="carry",Log[[#This Row],[Verb]]="redo"),IF(Log[[#This Row],[Arg]]="",Log[[#This Row],[Sprint]],N(Log[[#This Row],[Arg]])),"")</f>
      </c>
      <c r="J1905" s="17">
        <f>IF(Log[[#This Row],[Verb]]="block",1,IF(OR(Log[[#This Row],[Verb]]="unblock",Log[[#This Row],[Verb]]="done",Log[[#This Row],[Verb]]="drop",Log[[#This Row],[Verb]]="punt",Log[[#This Row],[Verb]]="pass"),0,""))</f>
      </c>
      <c r="K1905" s="17">
        <f>IF(Log[[#This Row],[ID]]="",0,IFERROR(INDEX(Items[Pts],MATCH(Log[[#This Row],[ID]],Items[ID],0))*1,0))</f>
      </c>
      <c r="L1905" s="17">
        <f>IF(Log[[#This Row],[ID]]="","",IFERROR(INDEX(Items[Cur team],MATCH(Log[[#This Row],[ID]],Items[ID],0))&amp;"",""))</f>
      </c>
      <c r="M1905" s="17">
        <f>IF(OR(Log[[#This Row],[Verb]]="done",Log[[#This Row],[Verb]]="punt",Log[[#This Row],[Verb]]="drop",Log[[#This Row],[Verb]]="pass"),Log[[#This Row],[Pts]],0)</f>
      </c>
    </row>
    <row r="1906">
      <c r="A1906" s="11">
        <v>46272</v>
      </c>
      <c r="B1906" t="s">
        <v>995</v>
      </c>
      <c r="C1906" t="s">
        <v>41</v>
      </c>
      <c r="F1906" s="17">
        <f>IF(Log[[#This Row],[ID]]="","",IF(ISNA(MATCH(Log[[#This Row],[ID]],Items[ID],0)),"unknown ID",IF(ISNA(MATCH(Log[[#This Row],[Verb]],VerbList,0)),"unknown verb",IF(Log[[#This Row],[Date]]="","no date",""))))</f>
      </c>
      <c r="G1906" s="17">
        <f>IF(Log[[#This Row],[ID]]="","",IFERROR(VLOOKUP(Log[[#This Row],[Verb]],Verbs,3,FALSE)&amp;"",""))</f>
      </c>
      <c r="H1906" s="17">
        <f>IF(Log[[#This Row],[Date]]="","",INT((Log[[#This Row],[Date]]-Sprint1)/SprintDays)+1)</f>
      </c>
      <c r="I1906" s="17">
        <f>IF(OR(Log[[#This Row],[Verb]]="commit",Log[[#This Row],[Verb]]="carry",Log[[#This Row],[Verb]]="redo"),IF(Log[[#This Row],[Arg]]="",Log[[#This Row],[Sprint]],N(Log[[#This Row],[Arg]])),"")</f>
      </c>
      <c r="J1906" s="17">
        <f>IF(Log[[#This Row],[Verb]]="block",1,IF(OR(Log[[#This Row],[Verb]]="unblock",Log[[#This Row],[Verb]]="done",Log[[#This Row],[Verb]]="drop",Log[[#This Row],[Verb]]="punt",Log[[#This Row],[Verb]]="pass"),0,""))</f>
      </c>
      <c r="K1906" s="17">
        <f>IF(Log[[#This Row],[ID]]="",0,IFERROR(INDEX(Items[Pts],MATCH(Log[[#This Row],[ID]],Items[ID],0))*1,0))</f>
      </c>
      <c r="L1906" s="17">
        <f>IF(Log[[#This Row],[ID]]="","",IFERROR(INDEX(Items[Cur team],MATCH(Log[[#This Row],[ID]],Items[ID],0))&amp;"",""))</f>
      </c>
      <c r="M1906" s="17">
        <f>IF(OR(Log[[#This Row],[Verb]]="done",Log[[#This Row],[Verb]]="punt",Log[[#This Row],[Verb]]="drop",Log[[#This Row],[Verb]]="pass"),Log[[#This Row],[Pts]],0)</f>
      </c>
    </row>
    <row r="1907">
      <c r="A1907" s="11">
        <v>46272</v>
      </c>
      <c r="B1907" t="s">
        <v>996</v>
      </c>
      <c r="C1907" t="s">
        <v>41</v>
      </c>
      <c r="F1907" s="17">
        <f>IF(Log[[#This Row],[ID]]="","",IF(ISNA(MATCH(Log[[#This Row],[ID]],Items[ID],0)),"unknown ID",IF(ISNA(MATCH(Log[[#This Row],[Verb]],VerbList,0)),"unknown verb",IF(Log[[#This Row],[Date]]="","no date",""))))</f>
      </c>
      <c r="G1907" s="17">
        <f>IF(Log[[#This Row],[ID]]="","",IFERROR(VLOOKUP(Log[[#This Row],[Verb]],Verbs,3,FALSE)&amp;"",""))</f>
      </c>
      <c r="H1907" s="17">
        <f>IF(Log[[#This Row],[Date]]="","",INT((Log[[#This Row],[Date]]-Sprint1)/SprintDays)+1)</f>
      </c>
      <c r="I1907" s="17">
        <f>IF(OR(Log[[#This Row],[Verb]]="commit",Log[[#This Row],[Verb]]="carry",Log[[#This Row],[Verb]]="redo"),IF(Log[[#This Row],[Arg]]="",Log[[#This Row],[Sprint]],N(Log[[#This Row],[Arg]])),"")</f>
      </c>
      <c r="J1907" s="17">
        <f>IF(Log[[#This Row],[Verb]]="block",1,IF(OR(Log[[#This Row],[Verb]]="unblock",Log[[#This Row],[Verb]]="done",Log[[#This Row],[Verb]]="drop",Log[[#This Row],[Verb]]="punt",Log[[#This Row],[Verb]]="pass"),0,""))</f>
      </c>
      <c r="K1907" s="17">
        <f>IF(Log[[#This Row],[ID]]="",0,IFERROR(INDEX(Items[Pts],MATCH(Log[[#This Row],[ID]],Items[ID],0))*1,0))</f>
      </c>
      <c r="L1907" s="17">
        <f>IF(Log[[#This Row],[ID]]="","",IFERROR(INDEX(Items[Cur team],MATCH(Log[[#This Row],[ID]],Items[ID],0))&amp;"",""))</f>
      </c>
      <c r="M1907" s="17">
        <f>IF(OR(Log[[#This Row],[Verb]]="done",Log[[#This Row],[Verb]]="punt",Log[[#This Row],[Verb]]="drop",Log[[#This Row],[Verb]]="pass"),Log[[#This Row],[Pts]],0)</f>
      </c>
    </row>
    <row r="1908">
      <c r="A1908" s="11">
        <v>46272</v>
      </c>
      <c r="B1908" t="s">
        <v>934</v>
      </c>
      <c r="C1908" t="s">
        <v>41</v>
      </c>
      <c r="F1908" s="17">
        <f>IF(Log[[#This Row],[ID]]="","",IF(ISNA(MATCH(Log[[#This Row],[ID]],Items[ID],0)),"unknown ID",IF(ISNA(MATCH(Log[[#This Row],[Verb]],VerbList,0)),"unknown verb",IF(Log[[#This Row],[Date]]="","no date",""))))</f>
      </c>
      <c r="G1908" s="17">
        <f>IF(Log[[#This Row],[ID]]="","",IFERROR(VLOOKUP(Log[[#This Row],[Verb]],Verbs,3,FALSE)&amp;"",""))</f>
      </c>
      <c r="H1908" s="17">
        <f>IF(Log[[#This Row],[Date]]="","",INT((Log[[#This Row],[Date]]-Sprint1)/SprintDays)+1)</f>
      </c>
      <c r="I1908" s="17">
        <f>IF(OR(Log[[#This Row],[Verb]]="commit",Log[[#This Row],[Verb]]="carry",Log[[#This Row],[Verb]]="redo"),IF(Log[[#This Row],[Arg]]="",Log[[#This Row],[Sprint]],N(Log[[#This Row],[Arg]])),"")</f>
      </c>
      <c r="J1908" s="17">
        <f>IF(Log[[#This Row],[Verb]]="block",1,IF(OR(Log[[#This Row],[Verb]]="unblock",Log[[#This Row],[Verb]]="done",Log[[#This Row],[Verb]]="drop",Log[[#This Row],[Verb]]="punt",Log[[#This Row],[Verb]]="pass"),0,""))</f>
      </c>
      <c r="K1908" s="17">
        <f>IF(Log[[#This Row],[ID]]="",0,IFERROR(INDEX(Items[Pts],MATCH(Log[[#This Row],[ID]],Items[ID],0))*1,0))</f>
      </c>
      <c r="L1908" s="17">
        <f>IF(Log[[#This Row],[ID]]="","",IFERROR(INDEX(Items[Cur team],MATCH(Log[[#This Row],[ID]],Items[ID],0))&amp;"",""))</f>
      </c>
      <c r="M1908" s="17">
        <f>IF(OR(Log[[#This Row],[Verb]]="done",Log[[#This Row],[Verb]]="punt",Log[[#This Row],[Verb]]="drop",Log[[#This Row],[Verb]]="pass"),Log[[#This Row],[Pts]],0)</f>
      </c>
    </row>
    <row r="1909">
      <c r="A1909" s="11">
        <v>46272</v>
      </c>
      <c r="B1909" t="s">
        <v>935</v>
      </c>
      <c r="C1909" t="s">
        <v>41</v>
      </c>
      <c r="F1909" s="17">
        <f>IF(Log[[#This Row],[ID]]="","",IF(ISNA(MATCH(Log[[#This Row],[ID]],Items[ID],0)),"unknown ID",IF(ISNA(MATCH(Log[[#This Row],[Verb]],VerbList,0)),"unknown verb",IF(Log[[#This Row],[Date]]="","no date",""))))</f>
      </c>
      <c r="G1909" s="17">
        <f>IF(Log[[#This Row],[ID]]="","",IFERROR(VLOOKUP(Log[[#This Row],[Verb]],Verbs,3,FALSE)&amp;"",""))</f>
      </c>
      <c r="H1909" s="17">
        <f>IF(Log[[#This Row],[Date]]="","",INT((Log[[#This Row],[Date]]-Sprint1)/SprintDays)+1)</f>
      </c>
      <c r="I1909" s="17">
        <f>IF(OR(Log[[#This Row],[Verb]]="commit",Log[[#This Row],[Verb]]="carry",Log[[#This Row],[Verb]]="redo"),IF(Log[[#This Row],[Arg]]="",Log[[#This Row],[Sprint]],N(Log[[#This Row],[Arg]])),"")</f>
      </c>
      <c r="J1909" s="17">
        <f>IF(Log[[#This Row],[Verb]]="block",1,IF(OR(Log[[#This Row],[Verb]]="unblock",Log[[#This Row],[Verb]]="done",Log[[#This Row],[Verb]]="drop",Log[[#This Row],[Verb]]="punt",Log[[#This Row],[Verb]]="pass"),0,""))</f>
      </c>
      <c r="K1909" s="17">
        <f>IF(Log[[#This Row],[ID]]="",0,IFERROR(INDEX(Items[Pts],MATCH(Log[[#This Row],[ID]],Items[ID],0))*1,0))</f>
      </c>
      <c r="L1909" s="17">
        <f>IF(Log[[#This Row],[ID]]="","",IFERROR(INDEX(Items[Cur team],MATCH(Log[[#This Row],[ID]],Items[ID],0))&amp;"",""))</f>
      </c>
      <c r="M1909" s="17">
        <f>IF(OR(Log[[#This Row],[Verb]]="done",Log[[#This Row],[Verb]]="punt",Log[[#This Row],[Verb]]="drop",Log[[#This Row],[Verb]]="pass"),Log[[#This Row],[Pts]],0)</f>
      </c>
    </row>
    <row r="1910">
      <c r="A1910" s="11">
        <v>46272</v>
      </c>
      <c r="B1910" t="s">
        <v>936</v>
      </c>
      <c r="C1910" t="s">
        <v>41</v>
      </c>
      <c r="F1910" s="17">
        <f>IF(Log[[#This Row],[ID]]="","",IF(ISNA(MATCH(Log[[#This Row],[ID]],Items[ID],0)),"unknown ID",IF(ISNA(MATCH(Log[[#This Row],[Verb]],VerbList,0)),"unknown verb",IF(Log[[#This Row],[Date]]="","no date",""))))</f>
      </c>
      <c r="G1910" s="17">
        <f>IF(Log[[#This Row],[ID]]="","",IFERROR(VLOOKUP(Log[[#This Row],[Verb]],Verbs,3,FALSE)&amp;"",""))</f>
      </c>
      <c r="H1910" s="17">
        <f>IF(Log[[#This Row],[Date]]="","",INT((Log[[#This Row],[Date]]-Sprint1)/SprintDays)+1)</f>
      </c>
      <c r="I1910" s="17">
        <f>IF(OR(Log[[#This Row],[Verb]]="commit",Log[[#This Row],[Verb]]="carry",Log[[#This Row],[Verb]]="redo"),IF(Log[[#This Row],[Arg]]="",Log[[#This Row],[Sprint]],N(Log[[#This Row],[Arg]])),"")</f>
      </c>
      <c r="J1910" s="17">
        <f>IF(Log[[#This Row],[Verb]]="block",1,IF(OR(Log[[#This Row],[Verb]]="unblock",Log[[#This Row],[Verb]]="done",Log[[#This Row],[Verb]]="drop",Log[[#This Row],[Verb]]="punt",Log[[#This Row],[Verb]]="pass"),0,""))</f>
      </c>
      <c r="K1910" s="17">
        <f>IF(Log[[#This Row],[ID]]="",0,IFERROR(INDEX(Items[Pts],MATCH(Log[[#This Row],[ID]],Items[ID],0))*1,0))</f>
      </c>
      <c r="L1910" s="17">
        <f>IF(Log[[#This Row],[ID]]="","",IFERROR(INDEX(Items[Cur team],MATCH(Log[[#This Row],[ID]],Items[ID],0))&amp;"",""))</f>
      </c>
      <c r="M1910" s="17">
        <f>IF(OR(Log[[#This Row],[Verb]]="done",Log[[#This Row],[Verb]]="punt",Log[[#This Row],[Verb]]="drop",Log[[#This Row],[Verb]]="pass"),Log[[#This Row],[Pts]],0)</f>
      </c>
    </row>
    <row r="1911">
      <c r="A1911" s="11">
        <v>46272</v>
      </c>
      <c r="B1911" t="s">
        <v>997</v>
      </c>
      <c r="C1911" t="s">
        <v>41</v>
      </c>
      <c r="F1911" s="17">
        <f>IF(Log[[#This Row],[ID]]="","",IF(ISNA(MATCH(Log[[#This Row],[ID]],Items[ID],0)),"unknown ID",IF(ISNA(MATCH(Log[[#This Row],[Verb]],VerbList,0)),"unknown verb",IF(Log[[#This Row],[Date]]="","no date",""))))</f>
      </c>
      <c r="G1911" s="17">
        <f>IF(Log[[#This Row],[ID]]="","",IFERROR(VLOOKUP(Log[[#This Row],[Verb]],Verbs,3,FALSE)&amp;"",""))</f>
      </c>
      <c r="H1911" s="17">
        <f>IF(Log[[#This Row],[Date]]="","",INT((Log[[#This Row],[Date]]-Sprint1)/SprintDays)+1)</f>
      </c>
      <c r="I1911" s="17">
        <f>IF(OR(Log[[#This Row],[Verb]]="commit",Log[[#This Row],[Verb]]="carry",Log[[#This Row],[Verb]]="redo"),IF(Log[[#This Row],[Arg]]="",Log[[#This Row],[Sprint]],N(Log[[#This Row],[Arg]])),"")</f>
      </c>
      <c r="J1911" s="17">
        <f>IF(Log[[#This Row],[Verb]]="block",1,IF(OR(Log[[#This Row],[Verb]]="unblock",Log[[#This Row],[Verb]]="done",Log[[#This Row],[Verb]]="drop",Log[[#This Row],[Verb]]="punt",Log[[#This Row],[Verb]]="pass"),0,""))</f>
      </c>
      <c r="K1911" s="17">
        <f>IF(Log[[#This Row],[ID]]="",0,IFERROR(INDEX(Items[Pts],MATCH(Log[[#This Row],[ID]],Items[ID],0))*1,0))</f>
      </c>
      <c r="L1911" s="17">
        <f>IF(Log[[#This Row],[ID]]="","",IFERROR(INDEX(Items[Cur team],MATCH(Log[[#This Row],[ID]],Items[ID],0))&amp;"",""))</f>
      </c>
      <c r="M1911" s="17">
        <f>IF(OR(Log[[#This Row],[Verb]]="done",Log[[#This Row],[Verb]]="punt",Log[[#This Row],[Verb]]="drop",Log[[#This Row],[Verb]]="pass"),Log[[#This Row],[Pts]],0)</f>
      </c>
    </row>
    <row r="1912">
      <c r="A1912" s="11">
        <v>46272</v>
      </c>
      <c r="B1912" t="s">
        <v>998</v>
      </c>
      <c r="C1912" t="s">
        <v>41</v>
      </c>
      <c r="F1912" s="17">
        <f>IF(Log[[#This Row],[ID]]="","",IF(ISNA(MATCH(Log[[#This Row],[ID]],Items[ID],0)),"unknown ID",IF(ISNA(MATCH(Log[[#This Row],[Verb]],VerbList,0)),"unknown verb",IF(Log[[#This Row],[Date]]="","no date",""))))</f>
      </c>
      <c r="G1912" s="17">
        <f>IF(Log[[#This Row],[ID]]="","",IFERROR(VLOOKUP(Log[[#This Row],[Verb]],Verbs,3,FALSE)&amp;"",""))</f>
      </c>
      <c r="H1912" s="17">
        <f>IF(Log[[#This Row],[Date]]="","",INT((Log[[#This Row],[Date]]-Sprint1)/SprintDays)+1)</f>
      </c>
      <c r="I1912" s="17">
        <f>IF(OR(Log[[#This Row],[Verb]]="commit",Log[[#This Row],[Verb]]="carry",Log[[#This Row],[Verb]]="redo"),IF(Log[[#This Row],[Arg]]="",Log[[#This Row],[Sprint]],N(Log[[#This Row],[Arg]])),"")</f>
      </c>
      <c r="J1912" s="17">
        <f>IF(Log[[#This Row],[Verb]]="block",1,IF(OR(Log[[#This Row],[Verb]]="unblock",Log[[#This Row],[Verb]]="done",Log[[#This Row],[Verb]]="drop",Log[[#This Row],[Verb]]="punt",Log[[#This Row],[Verb]]="pass"),0,""))</f>
      </c>
      <c r="K1912" s="17">
        <f>IF(Log[[#This Row],[ID]]="",0,IFERROR(INDEX(Items[Pts],MATCH(Log[[#This Row],[ID]],Items[ID],0))*1,0))</f>
      </c>
      <c r="L1912" s="17">
        <f>IF(Log[[#This Row],[ID]]="","",IFERROR(INDEX(Items[Cur team],MATCH(Log[[#This Row],[ID]],Items[ID],0))&amp;"",""))</f>
      </c>
      <c r="M1912" s="17">
        <f>IF(OR(Log[[#This Row],[Verb]]="done",Log[[#This Row],[Verb]]="punt",Log[[#This Row],[Verb]]="drop",Log[[#This Row],[Verb]]="pass"),Log[[#This Row],[Pts]],0)</f>
      </c>
    </row>
    <row r="1913">
      <c r="A1913" s="11">
        <v>46272</v>
      </c>
      <c r="B1913" t="s">
        <v>999</v>
      </c>
      <c r="C1913" t="s">
        <v>41</v>
      </c>
      <c r="F1913" s="17">
        <f>IF(Log[[#This Row],[ID]]="","",IF(ISNA(MATCH(Log[[#This Row],[ID]],Items[ID],0)),"unknown ID",IF(ISNA(MATCH(Log[[#This Row],[Verb]],VerbList,0)),"unknown verb",IF(Log[[#This Row],[Date]]="","no date",""))))</f>
      </c>
      <c r="G1913" s="17">
        <f>IF(Log[[#This Row],[ID]]="","",IFERROR(VLOOKUP(Log[[#This Row],[Verb]],Verbs,3,FALSE)&amp;"",""))</f>
      </c>
      <c r="H1913" s="17">
        <f>IF(Log[[#This Row],[Date]]="","",INT((Log[[#This Row],[Date]]-Sprint1)/SprintDays)+1)</f>
      </c>
      <c r="I1913" s="17">
        <f>IF(OR(Log[[#This Row],[Verb]]="commit",Log[[#This Row],[Verb]]="carry",Log[[#This Row],[Verb]]="redo"),IF(Log[[#This Row],[Arg]]="",Log[[#This Row],[Sprint]],N(Log[[#This Row],[Arg]])),"")</f>
      </c>
      <c r="J1913" s="17">
        <f>IF(Log[[#This Row],[Verb]]="block",1,IF(OR(Log[[#This Row],[Verb]]="unblock",Log[[#This Row],[Verb]]="done",Log[[#This Row],[Verb]]="drop",Log[[#This Row],[Verb]]="punt",Log[[#This Row],[Verb]]="pass"),0,""))</f>
      </c>
      <c r="K1913" s="17">
        <f>IF(Log[[#This Row],[ID]]="",0,IFERROR(INDEX(Items[Pts],MATCH(Log[[#This Row],[ID]],Items[ID],0))*1,0))</f>
      </c>
      <c r="L1913" s="17">
        <f>IF(Log[[#This Row],[ID]]="","",IFERROR(INDEX(Items[Cur team],MATCH(Log[[#This Row],[ID]],Items[ID],0))&amp;"",""))</f>
      </c>
      <c r="M1913" s="17">
        <f>IF(OR(Log[[#This Row],[Verb]]="done",Log[[#This Row],[Verb]]="punt",Log[[#This Row],[Verb]]="drop",Log[[#This Row],[Verb]]="pass"),Log[[#This Row],[Pts]],0)</f>
      </c>
    </row>
    <row r="1914">
      <c r="A1914" s="11">
        <v>46272</v>
      </c>
      <c r="B1914" t="s">
        <v>1000</v>
      </c>
      <c r="C1914" t="s">
        <v>41</v>
      </c>
      <c r="F1914" s="17">
        <f>IF(Log[[#This Row],[ID]]="","",IF(ISNA(MATCH(Log[[#This Row],[ID]],Items[ID],0)),"unknown ID",IF(ISNA(MATCH(Log[[#This Row],[Verb]],VerbList,0)),"unknown verb",IF(Log[[#This Row],[Date]]="","no date",""))))</f>
      </c>
      <c r="G1914" s="17">
        <f>IF(Log[[#This Row],[ID]]="","",IFERROR(VLOOKUP(Log[[#This Row],[Verb]],Verbs,3,FALSE)&amp;"",""))</f>
      </c>
      <c r="H1914" s="17">
        <f>IF(Log[[#This Row],[Date]]="","",INT((Log[[#This Row],[Date]]-Sprint1)/SprintDays)+1)</f>
      </c>
      <c r="I1914" s="17">
        <f>IF(OR(Log[[#This Row],[Verb]]="commit",Log[[#This Row],[Verb]]="carry",Log[[#This Row],[Verb]]="redo"),IF(Log[[#This Row],[Arg]]="",Log[[#This Row],[Sprint]],N(Log[[#This Row],[Arg]])),"")</f>
      </c>
      <c r="J1914" s="17">
        <f>IF(Log[[#This Row],[Verb]]="block",1,IF(OR(Log[[#This Row],[Verb]]="unblock",Log[[#This Row],[Verb]]="done",Log[[#This Row],[Verb]]="drop",Log[[#This Row],[Verb]]="punt",Log[[#This Row],[Verb]]="pass"),0,""))</f>
      </c>
      <c r="K1914" s="17">
        <f>IF(Log[[#This Row],[ID]]="",0,IFERROR(INDEX(Items[Pts],MATCH(Log[[#This Row],[ID]],Items[ID],0))*1,0))</f>
      </c>
      <c r="L1914" s="17">
        <f>IF(Log[[#This Row],[ID]]="","",IFERROR(INDEX(Items[Cur team],MATCH(Log[[#This Row],[ID]],Items[ID],0))&amp;"",""))</f>
      </c>
      <c r="M1914" s="17">
        <f>IF(OR(Log[[#This Row],[Verb]]="done",Log[[#This Row],[Verb]]="punt",Log[[#This Row],[Verb]]="drop",Log[[#This Row],[Verb]]="pass"),Log[[#This Row],[Pts]],0)</f>
      </c>
    </row>
    <row r="1915">
      <c r="A1915" s="11">
        <v>46272</v>
      </c>
      <c r="B1915" t="s">
        <v>1001</v>
      </c>
      <c r="C1915" t="s">
        <v>41</v>
      </c>
      <c r="F1915" s="17">
        <f>IF(Log[[#This Row],[ID]]="","",IF(ISNA(MATCH(Log[[#This Row],[ID]],Items[ID],0)),"unknown ID",IF(ISNA(MATCH(Log[[#This Row],[Verb]],VerbList,0)),"unknown verb",IF(Log[[#This Row],[Date]]="","no date",""))))</f>
      </c>
      <c r="G1915" s="17">
        <f>IF(Log[[#This Row],[ID]]="","",IFERROR(VLOOKUP(Log[[#This Row],[Verb]],Verbs,3,FALSE)&amp;"",""))</f>
      </c>
      <c r="H1915" s="17">
        <f>IF(Log[[#This Row],[Date]]="","",INT((Log[[#This Row],[Date]]-Sprint1)/SprintDays)+1)</f>
      </c>
      <c r="I1915" s="17">
        <f>IF(OR(Log[[#This Row],[Verb]]="commit",Log[[#This Row],[Verb]]="carry",Log[[#This Row],[Verb]]="redo"),IF(Log[[#This Row],[Arg]]="",Log[[#This Row],[Sprint]],N(Log[[#This Row],[Arg]])),"")</f>
      </c>
      <c r="J1915" s="17">
        <f>IF(Log[[#This Row],[Verb]]="block",1,IF(OR(Log[[#This Row],[Verb]]="unblock",Log[[#This Row],[Verb]]="done",Log[[#This Row],[Verb]]="drop",Log[[#This Row],[Verb]]="punt",Log[[#This Row],[Verb]]="pass"),0,""))</f>
      </c>
      <c r="K1915" s="17">
        <f>IF(Log[[#This Row],[ID]]="",0,IFERROR(INDEX(Items[Pts],MATCH(Log[[#This Row],[ID]],Items[ID],0))*1,0))</f>
      </c>
      <c r="L1915" s="17">
        <f>IF(Log[[#This Row],[ID]]="","",IFERROR(INDEX(Items[Cur team],MATCH(Log[[#This Row],[ID]],Items[ID],0))&amp;"",""))</f>
      </c>
      <c r="M1915" s="17">
        <f>IF(OR(Log[[#This Row],[Verb]]="done",Log[[#This Row],[Verb]]="punt",Log[[#This Row],[Verb]]="drop",Log[[#This Row],[Verb]]="pass"),Log[[#This Row],[Pts]],0)</f>
      </c>
    </row>
    <row r="1916">
      <c r="A1916" s="11">
        <v>46272</v>
      </c>
      <c r="B1916" t="s">
        <v>1002</v>
      </c>
      <c r="C1916" t="s">
        <v>41</v>
      </c>
      <c r="F1916" s="17">
        <f>IF(Log[[#This Row],[ID]]="","",IF(ISNA(MATCH(Log[[#This Row],[ID]],Items[ID],0)),"unknown ID",IF(ISNA(MATCH(Log[[#This Row],[Verb]],VerbList,0)),"unknown verb",IF(Log[[#This Row],[Date]]="","no date",""))))</f>
      </c>
      <c r="G1916" s="17">
        <f>IF(Log[[#This Row],[ID]]="","",IFERROR(VLOOKUP(Log[[#This Row],[Verb]],Verbs,3,FALSE)&amp;"",""))</f>
      </c>
      <c r="H1916" s="17">
        <f>IF(Log[[#This Row],[Date]]="","",INT((Log[[#This Row],[Date]]-Sprint1)/SprintDays)+1)</f>
      </c>
      <c r="I1916" s="17">
        <f>IF(OR(Log[[#This Row],[Verb]]="commit",Log[[#This Row],[Verb]]="carry",Log[[#This Row],[Verb]]="redo"),IF(Log[[#This Row],[Arg]]="",Log[[#This Row],[Sprint]],N(Log[[#This Row],[Arg]])),"")</f>
      </c>
      <c r="J1916" s="17">
        <f>IF(Log[[#This Row],[Verb]]="block",1,IF(OR(Log[[#This Row],[Verb]]="unblock",Log[[#This Row],[Verb]]="done",Log[[#This Row],[Verb]]="drop",Log[[#This Row],[Verb]]="punt",Log[[#This Row],[Verb]]="pass"),0,""))</f>
      </c>
      <c r="K1916" s="17">
        <f>IF(Log[[#This Row],[ID]]="",0,IFERROR(INDEX(Items[Pts],MATCH(Log[[#This Row],[ID]],Items[ID],0))*1,0))</f>
      </c>
      <c r="L1916" s="17">
        <f>IF(Log[[#This Row],[ID]]="","",IFERROR(INDEX(Items[Cur team],MATCH(Log[[#This Row],[ID]],Items[ID],0))&amp;"",""))</f>
      </c>
      <c r="M1916" s="17">
        <f>IF(OR(Log[[#This Row],[Verb]]="done",Log[[#This Row],[Verb]]="punt",Log[[#This Row],[Verb]]="drop",Log[[#This Row],[Verb]]="pass"),Log[[#This Row],[Pts]],0)</f>
      </c>
    </row>
    <row r="1917">
      <c r="A1917" s="11">
        <v>46272</v>
      </c>
      <c r="B1917" t="s">
        <v>1003</v>
      </c>
      <c r="C1917" t="s">
        <v>41</v>
      </c>
      <c r="F1917" s="17">
        <f>IF(Log[[#This Row],[ID]]="","",IF(ISNA(MATCH(Log[[#This Row],[ID]],Items[ID],0)),"unknown ID",IF(ISNA(MATCH(Log[[#This Row],[Verb]],VerbList,0)),"unknown verb",IF(Log[[#This Row],[Date]]="","no date",""))))</f>
      </c>
      <c r="G1917" s="17">
        <f>IF(Log[[#This Row],[ID]]="","",IFERROR(VLOOKUP(Log[[#This Row],[Verb]],Verbs,3,FALSE)&amp;"",""))</f>
      </c>
      <c r="H1917" s="17">
        <f>IF(Log[[#This Row],[Date]]="","",INT((Log[[#This Row],[Date]]-Sprint1)/SprintDays)+1)</f>
      </c>
      <c r="I1917" s="17">
        <f>IF(OR(Log[[#This Row],[Verb]]="commit",Log[[#This Row],[Verb]]="carry",Log[[#This Row],[Verb]]="redo"),IF(Log[[#This Row],[Arg]]="",Log[[#This Row],[Sprint]],N(Log[[#This Row],[Arg]])),"")</f>
      </c>
      <c r="J1917" s="17">
        <f>IF(Log[[#This Row],[Verb]]="block",1,IF(OR(Log[[#This Row],[Verb]]="unblock",Log[[#This Row],[Verb]]="done",Log[[#This Row],[Verb]]="drop",Log[[#This Row],[Verb]]="punt",Log[[#This Row],[Verb]]="pass"),0,""))</f>
      </c>
      <c r="K1917" s="17">
        <f>IF(Log[[#This Row],[ID]]="",0,IFERROR(INDEX(Items[Pts],MATCH(Log[[#This Row],[ID]],Items[ID],0))*1,0))</f>
      </c>
      <c r="L1917" s="17">
        <f>IF(Log[[#This Row],[ID]]="","",IFERROR(INDEX(Items[Cur team],MATCH(Log[[#This Row],[ID]],Items[ID],0))&amp;"",""))</f>
      </c>
      <c r="M1917" s="17">
        <f>IF(OR(Log[[#This Row],[Verb]]="done",Log[[#This Row],[Verb]]="punt",Log[[#This Row],[Verb]]="drop",Log[[#This Row],[Verb]]="pass"),Log[[#This Row],[Pts]],0)</f>
      </c>
    </row>
    <row r="1918">
      <c r="A1918" s="11">
        <v>46272</v>
      </c>
      <c r="B1918" t="s">
        <v>1004</v>
      </c>
      <c r="C1918" t="s">
        <v>41</v>
      </c>
      <c r="F1918" s="17">
        <f>IF(Log[[#This Row],[ID]]="","",IF(ISNA(MATCH(Log[[#This Row],[ID]],Items[ID],0)),"unknown ID",IF(ISNA(MATCH(Log[[#This Row],[Verb]],VerbList,0)),"unknown verb",IF(Log[[#This Row],[Date]]="","no date",""))))</f>
      </c>
      <c r="G1918" s="17">
        <f>IF(Log[[#This Row],[ID]]="","",IFERROR(VLOOKUP(Log[[#This Row],[Verb]],Verbs,3,FALSE)&amp;"",""))</f>
      </c>
      <c r="H1918" s="17">
        <f>IF(Log[[#This Row],[Date]]="","",INT((Log[[#This Row],[Date]]-Sprint1)/SprintDays)+1)</f>
      </c>
      <c r="I1918" s="17">
        <f>IF(OR(Log[[#This Row],[Verb]]="commit",Log[[#This Row],[Verb]]="carry",Log[[#This Row],[Verb]]="redo"),IF(Log[[#This Row],[Arg]]="",Log[[#This Row],[Sprint]],N(Log[[#This Row],[Arg]])),"")</f>
      </c>
      <c r="J1918" s="17">
        <f>IF(Log[[#This Row],[Verb]]="block",1,IF(OR(Log[[#This Row],[Verb]]="unblock",Log[[#This Row],[Verb]]="done",Log[[#This Row],[Verb]]="drop",Log[[#This Row],[Verb]]="punt",Log[[#This Row],[Verb]]="pass"),0,""))</f>
      </c>
      <c r="K1918" s="17">
        <f>IF(Log[[#This Row],[ID]]="",0,IFERROR(INDEX(Items[Pts],MATCH(Log[[#This Row],[ID]],Items[ID],0))*1,0))</f>
      </c>
      <c r="L1918" s="17">
        <f>IF(Log[[#This Row],[ID]]="","",IFERROR(INDEX(Items[Cur team],MATCH(Log[[#This Row],[ID]],Items[ID],0))&amp;"",""))</f>
      </c>
      <c r="M1918" s="17">
        <f>IF(OR(Log[[#This Row],[Verb]]="done",Log[[#This Row],[Verb]]="punt",Log[[#This Row],[Verb]]="drop",Log[[#This Row],[Verb]]="pass"),Log[[#This Row],[Pts]],0)</f>
      </c>
    </row>
    <row r="1919">
      <c r="A1919" s="11">
        <v>46272</v>
      </c>
      <c r="B1919" t="s">
        <v>1005</v>
      </c>
      <c r="C1919" t="s">
        <v>41</v>
      </c>
      <c r="F1919" s="17">
        <f>IF(Log[[#This Row],[ID]]="","",IF(ISNA(MATCH(Log[[#This Row],[ID]],Items[ID],0)),"unknown ID",IF(ISNA(MATCH(Log[[#This Row],[Verb]],VerbList,0)),"unknown verb",IF(Log[[#This Row],[Date]]="","no date",""))))</f>
      </c>
      <c r="G1919" s="17">
        <f>IF(Log[[#This Row],[ID]]="","",IFERROR(VLOOKUP(Log[[#This Row],[Verb]],Verbs,3,FALSE)&amp;"",""))</f>
      </c>
      <c r="H1919" s="17">
        <f>IF(Log[[#This Row],[Date]]="","",INT((Log[[#This Row],[Date]]-Sprint1)/SprintDays)+1)</f>
      </c>
      <c r="I1919" s="17">
        <f>IF(OR(Log[[#This Row],[Verb]]="commit",Log[[#This Row],[Verb]]="carry",Log[[#This Row],[Verb]]="redo"),IF(Log[[#This Row],[Arg]]="",Log[[#This Row],[Sprint]],N(Log[[#This Row],[Arg]])),"")</f>
      </c>
      <c r="J1919" s="17">
        <f>IF(Log[[#This Row],[Verb]]="block",1,IF(OR(Log[[#This Row],[Verb]]="unblock",Log[[#This Row],[Verb]]="done",Log[[#This Row],[Verb]]="drop",Log[[#This Row],[Verb]]="punt",Log[[#This Row],[Verb]]="pass"),0,""))</f>
      </c>
      <c r="K1919" s="17">
        <f>IF(Log[[#This Row],[ID]]="",0,IFERROR(INDEX(Items[Pts],MATCH(Log[[#This Row],[ID]],Items[ID],0))*1,0))</f>
      </c>
      <c r="L1919" s="17">
        <f>IF(Log[[#This Row],[ID]]="","",IFERROR(INDEX(Items[Cur team],MATCH(Log[[#This Row],[ID]],Items[ID],0))&amp;"",""))</f>
      </c>
      <c r="M1919" s="17">
        <f>IF(OR(Log[[#This Row],[Verb]]="done",Log[[#This Row],[Verb]]="punt",Log[[#This Row],[Verb]]="drop",Log[[#This Row],[Verb]]="pass"),Log[[#This Row],[Pts]],0)</f>
      </c>
    </row>
    <row r="1920">
      <c r="A1920" s="11">
        <v>46272</v>
      </c>
      <c r="B1920" t="s">
        <v>1006</v>
      </c>
      <c r="C1920" t="s">
        <v>41</v>
      </c>
      <c r="F1920" s="17">
        <f>IF(Log[[#This Row],[ID]]="","",IF(ISNA(MATCH(Log[[#This Row],[ID]],Items[ID],0)),"unknown ID",IF(ISNA(MATCH(Log[[#This Row],[Verb]],VerbList,0)),"unknown verb",IF(Log[[#This Row],[Date]]="","no date",""))))</f>
      </c>
      <c r="G1920" s="17">
        <f>IF(Log[[#This Row],[ID]]="","",IFERROR(VLOOKUP(Log[[#This Row],[Verb]],Verbs,3,FALSE)&amp;"",""))</f>
      </c>
      <c r="H1920" s="17">
        <f>IF(Log[[#This Row],[Date]]="","",INT((Log[[#This Row],[Date]]-Sprint1)/SprintDays)+1)</f>
      </c>
      <c r="I1920" s="17">
        <f>IF(OR(Log[[#This Row],[Verb]]="commit",Log[[#This Row],[Verb]]="carry",Log[[#This Row],[Verb]]="redo"),IF(Log[[#This Row],[Arg]]="",Log[[#This Row],[Sprint]],N(Log[[#This Row],[Arg]])),"")</f>
      </c>
      <c r="J1920" s="17">
        <f>IF(Log[[#This Row],[Verb]]="block",1,IF(OR(Log[[#This Row],[Verb]]="unblock",Log[[#This Row],[Verb]]="done",Log[[#This Row],[Verb]]="drop",Log[[#This Row],[Verb]]="punt",Log[[#This Row],[Verb]]="pass"),0,""))</f>
      </c>
      <c r="K1920" s="17">
        <f>IF(Log[[#This Row],[ID]]="",0,IFERROR(INDEX(Items[Pts],MATCH(Log[[#This Row],[ID]],Items[ID],0))*1,0))</f>
      </c>
      <c r="L1920" s="17">
        <f>IF(Log[[#This Row],[ID]]="","",IFERROR(INDEX(Items[Cur team],MATCH(Log[[#This Row],[ID]],Items[ID],0))&amp;"",""))</f>
      </c>
      <c r="M1920" s="17">
        <f>IF(OR(Log[[#This Row],[Verb]]="done",Log[[#This Row],[Verb]]="punt",Log[[#This Row],[Verb]]="drop",Log[[#This Row],[Verb]]="pass"),Log[[#This Row],[Pts]],0)</f>
      </c>
    </row>
    <row r="1921">
      <c r="A1921" s="11">
        <v>46272</v>
      </c>
      <c r="B1921" t="s">
        <v>1007</v>
      </c>
      <c r="C1921" t="s">
        <v>41</v>
      </c>
      <c r="F1921" s="17">
        <f>IF(Log[[#This Row],[ID]]="","",IF(ISNA(MATCH(Log[[#This Row],[ID]],Items[ID],0)),"unknown ID",IF(ISNA(MATCH(Log[[#This Row],[Verb]],VerbList,0)),"unknown verb",IF(Log[[#This Row],[Date]]="","no date",""))))</f>
      </c>
      <c r="G1921" s="17">
        <f>IF(Log[[#This Row],[ID]]="","",IFERROR(VLOOKUP(Log[[#This Row],[Verb]],Verbs,3,FALSE)&amp;"",""))</f>
      </c>
      <c r="H1921" s="17">
        <f>IF(Log[[#This Row],[Date]]="","",INT((Log[[#This Row],[Date]]-Sprint1)/SprintDays)+1)</f>
      </c>
      <c r="I1921" s="17">
        <f>IF(OR(Log[[#This Row],[Verb]]="commit",Log[[#This Row],[Verb]]="carry",Log[[#This Row],[Verb]]="redo"),IF(Log[[#This Row],[Arg]]="",Log[[#This Row],[Sprint]],N(Log[[#This Row],[Arg]])),"")</f>
      </c>
      <c r="J1921" s="17">
        <f>IF(Log[[#This Row],[Verb]]="block",1,IF(OR(Log[[#This Row],[Verb]]="unblock",Log[[#This Row],[Verb]]="done",Log[[#This Row],[Verb]]="drop",Log[[#This Row],[Verb]]="punt",Log[[#This Row],[Verb]]="pass"),0,""))</f>
      </c>
      <c r="K1921" s="17">
        <f>IF(Log[[#This Row],[ID]]="",0,IFERROR(INDEX(Items[Pts],MATCH(Log[[#This Row],[ID]],Items[ID],0))*1,0))</f>
      </c>
      <c r="L1921" s="17">
        <f>IF(Log[[#This Row],[ID]]="","",IFERROR(INDEX(Items[Cur team],MATCH(Log[[#This Row],[ID]],Items[ID],0))&amp;"",""))</f>
      </c>
      <c r="M1921" s="17">
        <f>IF(OR(Log[[#This Row],[Verb]]="done",Log[[#This Row],[Verb]]="punt",Log[[#This Row],[Verb]]="drop",Log[[#This Row],[Verb]]="pass"),Log[[#This Row],[Pts]],0)</f>
      </c>
    </row>
    <row r="1922">
      <c r="A1922" s="11">
        <v>46272</v>
      </c>
      <c r="B1922" t="s">
        <v>1008</v>
      </c>
      <c r="C1922" t="s">
        <v>41</v>
      </c>
      <c r="F1922" s="17">
        <f>IF(Log[[#This Row],[ID]]="","",IF(ISNA(MATCH(Log[[#This Row],[ID]],Items[ID],0)),"unknown ID",IF(ISNA(MATCH(Log[[#This Row],[Verb]],VerbList,0)),"unknown verb",IF(Log[[#This Row],[Date]]="","no date",""))))</f>
      </c>
      <c r="G1922" s="17">
        <f>IF(Log[[#This Row],[ID]]="","",IFERROR(VLOOKUP(Log[[#This Row],[Verb]],Verbs,3,FALSE)&amp;"",""))</f>
      </c>
      <c r="H1922" s="17">
        <f>IF(Log[[#This Row],[Date]]="","",INT((Log[[#This Row],[Date]]-Sprint1)/SprintDays)+1)</f>
      </c>
      <c r="I1922" s="17">
        <f>IF(OR(Log[[#This Row],[Verb]]="commit",Log[[#This Row],[Verb]]="carry",Log[[#This Row],[Verb]]="redo"),IF(Log[[#This Row],[Arg]]="",Log[[#This Row],[Sprint]],N(Log[[#This Row],[Arg]])),"")</f>
      </c>
      <c r="J1922" s="17">
        <f>IF(Log[[#This Row],[Verb]]="block",1,IF(OR(Log[[#This Row],[Verb]]="unblock",Log[[#This Row],[Verb]]="done",Log[[#This Row],[Verb]]="drop",Log[[#This Row],[Verb]]="punt",Log[[#This Row],[Verb]]="pass"),0,""))</f>
      </c>
      <c r="K1922" s="17">
        <f>IF(Log[[#This Row],[ID]]="",0,IFERROR(INDEX(Items[Pts],MATCH(Log[[#This Row],[ID]],Items[ID],0))*1,0))</f>
      </c>
      <c r="L1922" s="17">
        <f>IF(Log[[#This Row],[ID]]="","",IFERROR(INDEX(Items[Cur team],MATCH(Log[[#This Row],[ID]],Items[ID],0))&amp;"",""))</f>
      </c>
      <c r="M1922" s="17">
        <f>IF(OR(Log[[#This Row],[Verb]]="done",Log[[#This Row],[Verb]]="punt",Log[[#This Row],[Verb]]="drop",Log[[#This Row],[Verb]]="pass"),Log[[#This Row],[Pts]],0)</f>
      </c>
    </row>
    <row r="1923">
      <c r="A1923" s="11">
        <v>46272</v>
      </c>
      <c r="B1923" t="s">
        <v>885</v>
      </c>
      <c r="C1923" t="s">
        <v>41</v>
      </c>
      <c r="F1923" s="17">
        <f>IF(Log[[#This Row],[ID]]="","",IF(ISNA(MATCH(Log[[#This Row],[ID]],Items[ID],0)),"unknown ID",IF(ISNA(MATCH(Log[[#This Row],[Verb]],VerbList,0)),"unknown verb",IF(Log[[#This Row],[Date]]="","no date",""))))</f>
      </c>
      <c r="G1923" s="17">
        <f>IF(Log[[#This Row],[ID]]="","",IFERROR(VLOOKUP(Log[[#This Row],[Verb]],Verbs,3,FALSE)&amp;"",""))</f>
      </c>
      <c r="H1923" s="17">
        <f>IF(Log[[#This Row],[Date]]="","",INT((Log[[#This Row],[Date]]-Sprint1)/SprintDays)+1)</f>
      </c>
      <c r="I1923" s="17">
        <f>IF(OR(Log[[#This Row],[Verb]]="commit",Log[[#This Row],[Verb]]="carry",Log[[#This Row],[Verb]]="redo"),IF(Log[[#This Row],[Arg]]="",Log[[#This Row],[Sprint]],N(Log[[#This Row],[Arg]])),"")</f>
      </c>
      <c r="J1923" s="17">
        <f>IF(Log[[#This Row],[Verb]]="block",1,IF(OR(Log[[#This Row],[Verb]]="unblock",Log[[#This Row],[Verb]]="done",Log[[#This Row],[Verb]]="drop",Log[[#This Row],[Verb]]="punt",Log[[#This Row],[Verb]]="pass"),0,""))</f>
      </c>
      <c r="K1923" s="17">
        <f>IF(Log[[#This Row],[ID]]="",0,IFERROR(INDEX(Items[Pts],MATCH(Log[[#This Row],[ID]],Items[ID],0))*1,0))</f>
      </c>
      <c r="L1923" s="17">
        <f>IF(Log[[#This Row],[ID]]="","",IFERROR(INDEX(Items[Cur team],MATCH(Log[[#This Row],[ID]],Items[ID],0))&amp;"",""))</f>
      </c>
      <c r="M1923" s="17">
        <f>IF(OR(Log[[#This Row],[Verb]]="done",Log[[#This Row],[Verb]]="punt",Log[[#This Row],[Verb]]="drop",Log[[#This Row],[Verb]]="pass"),Log[[#This Row],[Pts]],0)</f>
      </c>
    </row>
    <row r="1924">
      <c r="A1924" s="11">
        <v>46272</v>
      </c>
      <c r="B1924" t="s">
        <v>949</v>
      </c>
      <c r="C1924" t="s">
        <v>41</v>
      </c>
      <c r="F1924" s="17">
        <f>IF(Log[[#This Row],[ID]]="","",IF(ISNA(MATCH(Log[[#This Row],[ID]],Items[ID],0)),"unknown ID",IF(ISNA(MATCH(Log[[#This Row],[Verb]],VerbList,0)),"unknown verb",IF(Log[[#This Row],[Date]]="","no date",""))))</f>
      </c>
      <c r="G1924" s="17">
        <f>IF(Log[[#This Row],[ID]]="","",IFERROR(VLOOKUP(Log[[#This Row],[Verb]],Verbs,3,FALSE)&amp;"",""))</f>
      </c>
      <c r="H1924" s="17">
        <f>IF(Log[[#This Row],[Date]]="","",INT((Log[[#This Row],[Date]]-Sprint1)/SprintDays)+1)</f>
      </c>
      <c r="I1924" s="17">
        <f>IF(OR(Log[[#This Row],[Verb]]="commit",Log[[#This Row],[Verb]]="carry",Log[[#This Row],[Verb]]="redo"),IF(Log[[#This Row],[Arg]]="",Log[[#This Row],[Sprint]],N(Log[[#This Row],[Arg]])),"")</f>
      </c>
      <c r="J1924" s="17">
        <f>IF(Log[[#This Row],[Verb]]="block",1,IF(OR(Log[[#This Row],[Verb]]="unblock",Log[[#This Row],[Verb]]="done",Log[[#This Row],[Verb]]="drop",Log[[#This Row],[Verb]]="punt",Log[[#This Row],[Verb]]="pass"),0,""))</f>
      </c>
      <c r="K1924" s="17">
        <f>IF(Log[[#This Row],[ID]]="",0,IFERROR(INDEX(Items[Pts],MATCH(Log[[#This Row],[ID]],Items[ID],0))*1,0))</f>
      </c>
      <c r="L1924" s="17">
        <f>IF(Log[[#This Row],[ID]]="","",IFERROR(INDEX(Items[Cur team],MATCH(Log[[#This Row],[ID]],Items[ID],0))&amp;"",""))</f>
      </c>
      <c r="M1924" s="17">
        <f>IF(OR(Log[[#This Row],[Verb]]="done",Log[[#This Row],[Verb]]="punt",Log[[#This Row],[Verb]]="drop",Log[[#This Row],[Verb]]="pass"),Log[[#This Row],[Pts]],0)</f>
      </c>
    </row>
    <row r="1925">
      <c r="A1925" s="11">
        <v>46272</v>
      </c>
      <c r="B1925" t="s">
        <v>1009</v>
      </c>
      <c r="C1925" t="s">
        <v>41</v>
      </c>
      <c r="F1925" s="17">
        <f>IF(Log[[#This Row],[ID]]="","",IF(ISNA(MATCH(Log[[#This Row],[ID]],Items[ID],0)),"unknown ID",IF(ISNA(MATCH(Log[[#This Row],[Verb]],VerbList,0)),"unknown verb",IF(Log[[#This Row],[Date]]="","no date",""))))</f>
      </c>
      <c r="G1925" s="17">
        <f>IF(Log[[#This Row],[ID]]="","",IFERROR(VLOOKUP(Log[[#This Row],[Verb]],Verbs,3,FALSE)&amp;"",""))</f>
      </c>
      <c r="H1925" s="17">
        <f>IF(Log[[#This Row],[Date]]="","",INT((Log[[#This Row],[Date]]-Sprint1)/SprintDays)+1)</f>
      </c>
      <c r="I1925" s="17">
        <f>IF(OR(Log[[#This Row],[Verb]]="commit",Log[[#This Row],[Verb]]="carry",Log[[#This Row],[Verb]]="redo"),IF(Log[[#This Row],[Arg]]="",Log[[#This Row],[Sprint]],N(Log[[#This Row],[Arg]])),"")</f>
      </c>
      <c r="J1925" s="17">
        <f>IF(Log[[#This Row],[Verb]]="block",1,IF(OR(Log[[#This Row],[Verb]]="unblock",Log[[#This Row],[Verb]]="done",Log[[#This Row],[Verb]]="drop",Log[[#This Row],[Verb]]="punt",Log[[#This Row],[Verb]]="pass"),0,""))</f>
      </c>
      <c r="K1925" s="17">
        <f>IF(Log[[#This Row],[ID]]="",0,IFERROR(INDEX(Items[Pts],MATCH(Log[[#This Row],[ID]],Items[ID],0))*1,0))</f>
      </c>
      <c r="L1925" s="17">
        <f>IF(Log[[#This Row],[ID]]="","",IFERROR(INDEX(Items[Cur team],MATCH(Log[[#This Row],[ID]],Items[ID],0))&amp;"",""))</f>
      </c>
      <c r="M1925" s="17">
        <f>IF(OR(Log[[#This Row],[Verb]]="done",Log[[#This Row],[Verb]]="punt",Log[[#This Row],[Verb]]="drop",Log[[#This Row],[Verb]]="pass"),Log[[#This Row],[Pts]],0)</f>
      </c>
    </row>
    <row r="1926">
      <c r="A1926" s="11">
        <v>46272</v>
      </c>
      <c r="B1926" t="s">
        <v>1010</v>
      </c>
      <c r="C1926" t="s">
        <v>41</v>
      </c>
      <c r="F1926" s="17">
        <f>IF(Log[[#This Row],[ID]]="","",IF(ISNA(MATCH(Log[[#This Row],[ID]],Items[ID],0)),"unknown ID",IF(ISNA(MATCH(Log[[#This Row],[Verb]],VerbList,0)),"unknown verb",IF(Log[[#This Row],[Date]]="","no date",""))))</f>
      </c>
      <c r="G1926" s="17">
        <f>IF(Log[[#This Row],[ID]]="","",IFERROR(VLOOKUP(Log[[#This Row],[Verb]],Verbs,3,FALSE)&amp;"",""))</f>
      </c>
      <c r="H1926" s="17">
        <f>IF(Log[[#This Row],[Date]]="","",INT((Log[[#This Row],[Date]]-Sprint1)/SprintDays)+1)</f>
      </c>
      <c r="I1926" s="17">
        <f>IF(OR(Log[[#This Row],[Verb]]="commit",Log[[#This Row],[Verb]]="carry",Log[[#This Row],[Verb]]="redo"),IF(Log[[#This Row],[Arg]]="",Log[[#This Row],[Sprint]],N(Log[[#This Row],[Arg]])),"")</f>
      </c>
      <c r="J1926" s="17">
        <f>IF(Log[[#This Row],[Verb]]="block",1,IF(OR(Log[[#This Row],[Verb]]="unblock",Log[[#This Row],[Verb]]="done",Log[[#This Row],[Verb]]="drop",Log[[#This Row],[Verb]]="punt",Log[[#This Row],[Verb]]="pass"),0,""))</f>
      </c>
      <c r="K1926" s="17">
        <f>IF(Log[[#This Row],[ID]]="",0,IFERROR(INDEX(Items[Pts],MATCH(Log[[#This Row],[ID]],Items[ID],0))*1,0))</f>
      </c>
      <c r="L1926" s="17">
        <f>IF(Log[[#This Row],[ID]]="","",IFERROR(INDEX(Items[Cur team],MATCH(Log[[#This Row],[ID]],Items[ID],0))&amp;"",""))</f>
      </c>
      <c r="M1926" s="17">
        <f>IF(OR(Log[[#This Row],[Verb]]="done",Log[[#This Row],[Verb]]="punt",Log[[#This Row],[Verb]]="drop",Log[[#This Row],[Verb]]="pass"),Log[[#This Row],[Pts]],0)</f>
      </c>
    </row>
    <row r="1927">
      <c r="A1927" s="11">
        <v>46272</v>
      </c>
      <c r="B1927" t="s">
        <v>1011</v>
      </c>
      <c r="C1927" t="s">
        <v>38</v>
      </c>
      <c r="D1927">
        <v>52</v>
      </c>
      <c r="F1927" s="17">
        <f>IF(Log[[#This Row],[ID]]="","",IF(ISNA(MATCH(Log[[#This Row],[ID]],Items[ID],0)),"unknown ID",IF(ISNA(MATCH(Log[[#This Row],[Verb]],VerbList,0)),"unknown verb",IF(Log[[#This Row],[Date]]="","no date",""))))</f>
      </c>
      <c r="G1927" s="17">
        <f>IF(Log[[#This Row],[ID]]="","",IFERROR(VLOOKUP(Log[[#This Row],[Verb]],Verbs,3,FALSE)&amp;"",""))</f>
      </c>
      <c r="H1927" s="17">
        <f>IF(Log[[#This Row],[Date]]="","",INT((Log[[#This Row],[Date]]-Sprint1)/SprintDays)+1)</f>
      </c>
      <c r="I1927" s="17">
        <f>IF(OR(Log[[#This Row],[Verb]]="commit",Log[[#This Row],[Verb]]="carry",Log[[#This Row],[Verb]]="redo"),IF(Log[[#This Row],[Arg]]="",Log[[#This Row],[Sprint]],N(Log[[#This Row],[Arg]])),"")</f>
      </c>
      <c r="J1927" s="17">
        <f>IF(Log[[#This Row],[Verb]]="block",1,IF(OR(Log[[#This Row],[Verb]]="unblock",Log[[#This Row],[Verb]]="done",Log[[#This Row],[Verb]]="drop",Log[[#This Row],[Verb]]="punt",Log[[#This Row],[Verb]]="pass"),0,""))</f>
      </c>
      <c r="K1927" s="17">
        <f>IF(Log[[#This Row],[ID]]="",0,IFERROR(INDEX(Items[Pts],MATCH(Log[[#This Row],[ID]],Items[ID],0))*1,0))</f>
      </c>
      <c r="L1927" s="17">
        <f>IF(Log[[#This Row],[ID]]="","",IFERROR(INDEX(Items[Cur team],MATCH(Log[[#This Row],[ID]],Items[ID],0))&amp;"",""))</f>
      </c>
      <c r="M1927" s="17">
        <f>IF(OR(Log[[#This Row],[Verb]]="done",Log[[#This Row],[Verb]]="punt",Log[[#This Row],[Verb]]="drop",Log[[#This Row],[Verb]]="pass"),Log[[#This Row],[Pts]],0)</f>
      </c>
    </row>
    <row r="1928">
      <c r="A1928" s="11">
        <v>46272</v>
      </c>
      <c r="B1928" t="s">
        <v>1012</v>
      </c>
      <c r="C1928" t="s">
        <v>41</v>
      </c>
      <c r="F1928" s="17">
        <f>IF(Log[[#This Row],[ID]]="","",IF(ISNA(MATCH(Log[[#This Row],[ID]],Items[ID],0)),"unknown ID",IF(ISNA(MATCH(Log[[#This Row],[Verb]],VerbList,0)),"unknown verb",IF(Log[[#This Row],[Date]]="","no date",""))))</f>
      </c>
      <c r="G1928" s="17">
        <f>IF(Log[[#This Row],[ID]]="","",IFERROR(VLOOKUP(Log[[#This Row],[Verb]],Verbs,3,FALSE)&amp;"",""))</f>
      </c>
      <c r="H1928" s="17">
        <f>IF(Log[[#This Row],[Date]]="","",INT((Log[[#This Row],[Date]]-Sprint1)/SprintDays)+1)</f>
      </c>
      <c r="I1928" s="17">
        <f>IF(OR(Log[[#This Row],[Verb]]="commit",Log[[#This Row],[Verb]]="carry",Log[[#This Row],[Verb]]="redo"),IF(Log[[#This Row],[Arg]]="",Log[[#This Row],[Sprint]],N(Log[[#This Row],[Arg]])),"")</f>
      </c>
      <c r="J1928" s="17">
        <f>IF(Log[[#This Row],[Verb]]="block",1,IF(OR(Log[[#This Row],[Verb]]="unblock",Log[[#This Row],[Verb]]="done",Log[[#This Row],[Verb]]="drop",Log[[#This Row],[Verb]]="punt",Log[[#This Row],[Verb]]="pass"),0,""))</f>
      </c>
      <c r="K1928" s="17">
        <f>IF(Log[[#This Row],[ID]]="",0,IFERROR(INDEX(Items[Pts],MATCH(Log[[#This Row],[ID]],Items[ID],0))*1,0))</f>
      </c>
      <c r="L1928" s="17">
        <f>IF(Log[[#This Row],[ID]]="","",IFERROR(INDEX(Items[Cur team],MATCH(Log[[#This Row],[ID]],Items[ID],0))&amp;"",""))</f>
      </c>
      <c r="M1928" s="17">
        <f>IF(OR(Log[[#This Row],[Verb]]="done",Log[[#This Row],[Verb]]="punt",Log[[#This Row],[Verb]]="drop",Log[[#This Row],[Verb]]="pass"),Log[[#This Row],[Pts]],0)</f>
      </c>
    </row>
    <row r="1929">
      <c r="A1929" s="11">
        <v>46272</v>
      </c>
      <c r="B1929" t="s">
        <v>1013</v>
      </c>
      <c r="C1929" t="s">
        <v>41</v>
      </c>
      <c r="F1929" s="17">
        <f>IF(Log[[#This Row],[ID]]="","",IF(ISNA(MATCH(Log[[#This Row],[ID]],Items[ID],0)),"unknown ID",IF(ISNA(MATCH(Log[[#This Row],[Verb]],VerbList,0)),"unknown verb",IF(Log[[#This Row],[Date]]="","no date",""))))</f>
      </c>
      <c r="G1929" s="17">
        <f>IF(Log[[#This Row],[ID]]="","",IFERROR(VLOOKUP(Log[[#This Row],[Verb]],Verbs,3,FALSE)&amp;"",""))</f>
      </c>
      <c r="H1929" s="17">
        <f>IF(Log[[#This Row],[Date]]="","",INT((Log[[#This Row],[Date]]-Sprint1)/SprintDays)+1)</f>
      </c>
      <c r="I1929" s="17">
        <f>IF(OR(Log[[#This Row],[Verb]]="commit",Log[[#This Row],[Verb]]="carry",Log[[#This Row],[Verb]]="redo"),IF(Log[[#This Row],[Arg]]="",Log[[#This Row],[Sprint]],N(Log[[#This Row],[Arg]])),"")</f>
      </c>
      <c r="J1929" s="17">
        <f>IF(Log[[#This Row],[Verb]]="block",1,IF(OR(Log[[#This Row],[Verb]]="unblock",Log[[#This Row],[Verb]]="done",Log[[#This Row],[Verb]]="drop",Log[[#This Row],[Verb]]="punt",Log[[#This Row],[Verb]]="pass"),0,""))</f>
      </c>
      <c r="K1929" s="17">
        <f>IF(Log[[#This Row],[ID]]="",0,IFERROR(INDEX(Items[Pts],MATCH(Log[[#This Row],[ID]],Items[ID],0))*1,0))</f>
      </c>
      <c r="L1929" s="17">
        <f>IF(Log[[#This Row],[ID]]="","",IFERROR(INDEX(Items[Cur team],MATCH(Log[[#This Row],[ID]],Items[ID],0))&amp;"",""))</f>
      </c>
      <c r="M1929" s="17">
        <f>IF(OR(Log[[#This Row],[Verb]]="done",Log[[#This Row],[Verb]]="punt",Log[[#This Row],[Verb]]="drop",Log[[#This Row],[Verb]]="pass"),Log[[#This Row],[Pts]],0)</f>
      </c>
    </row>
    <row r="1930">
      <c r="A1930" s="11">
        <v>46272</v>
      </c>
      <c r="B1930" t="s">
        <v>1014</v>
      </c>
      <c r="C1930" t="s">
        <v>41</v>
      </c>
      <c r="F1930" s="17">
        <f>IF(Log[[#This Row],[ID]]="","",IF(ISNA(MATCH(Log[[#This Row],[ID]],Items[ID],0)),"unknown ID",IF(ISNA(MATCH(Log[[#This Row],[Verb]],VerbList,0)),"unknown verb",IF(Log[[#This Row],[Date]]="","no date",""))))</f>
      </c>
      <c r="G1930" s="17">
        <f>IF(Log[[#This Row],[ID]]="","",IFERROR(VLOOKUP(Log[[#This Row],[Verb]],Verbs,3,FALSE)&amp;"",""))</f>
      </c>
      <c r="H1930" s="17">
        <f>IF(Log[[#This Row],[Date]]="","",INT((Log[[#This Row],[Date]]-Sprint1)/SprintDays)+1)</f>
      </c>
      <c r="I1930" s="17">
        <f>IF(OR(Log[[#This Row],[Verb]]="commit",Log[[#This Row],[Verb]]="carry",Log[[#This Row],[Verb]]="redo"),IF(Log[[#This Row],[Arg]]="",Log[[#This Row],[Sprint]],N(Log[[#This Row],[Arg]])),"")</f>
      </c>
      <c r="J1930" s="17">
        <f>IF(Log[[#This Row],[Verb]]="block",1,IF(OR(Log[[#This Row],[Verb]]="unblock",Log[[#This Row],[Verb]]="done",Log[[#This Row],[Verb]]="drop",Log[[#This Row],[Verb]]="punt",Log[[#This Row],[Verb]]="pass"),0,""))</f>
      </c>
      <c r="K1930" s="17">
        <f>IF(Log[[#This Row],[ID]]="",0,IFERROR(INDEX(Items[Pts],MATCH(Log[[#This Row],[ID]],Items[ID],0))*1,0))</f>
      </c>
      <c r="L1930" s="17">
        <f>IF(Log[[#This Row],[ID]]="","",IFERROR(INDEX(Items[Cur team],MATCH(Log[[#This Row],[ID]],Items[ID],0))&amp;"",""))</f>
      </c>
      <c r="M1930" s="17">
        <f>IF(OR(Log[[#This Row],[Verb]]="done",Log[[#This Row],[Verb]]="punt",Log[[#This Row],[Verb]]="drop",Log[[#This Row],[Verb]]="pass"),Log[[#This Row],[Pts]],0)</f>
      </c>
    </row>
    <row r="1931">
      <c r="A1931" s="11">
        <v>46272</v>
      </c>
      <c r="B1931" t="s">
        <v>1015</v>
      </c>
      <c r="C1931" t="s">
        <v>41</v>
      </c>
      <c r="F1931" s="17">
        <f>IF(Log[[#This Row],[ID]]="","",IF(ISNA(MATCH(Log[[#This Row],[ID]],Items[ID],0)),"unknown ID",IF(ISNA(MATCH(Log[[#This Row],[Verb]],VerbList,0)),"unknown verb",IF(Log[[#This Row],[Date]]="","no date",""))))</f>
      </c>
      <c r="G1931" s="17">
        <f>IF(Log[[#This Row],[ID]]="","",IFERROR(VLOOKUP(Log[[#This Row],[Verb]],Verbs,3,FALSE)&amp;"",""))</f>
      </c>
      <c r="H1931" s="17">
        <f>IF(Log[[#This Row],[Date]]="","",INT((Log[[#This Row],[Date]]-Sprint1)/SprintDays)+1)</f>
      </c>
      <c r="I1931" s="17">
        <f>IF(OR(Log[[#This Row],[Verb]]="commit",Log[[#This Row],[Verb]]="carry",Log[[#This Row],[Verb]]="redo"),IF(Log[[#This Row],[Arg]]="",Log[[#This Row],[Sprint]],N(Log[[#This Row],[Arg]])),"")</f>
      </c>
      <c r="J1931" s="17">
        <f>IF(Log[[#This Row],[Verb]]="block",1,IF(OR(Log[[#This Row],[Verb]]="unblock",Log[[#This Row],[Verb]]="done",Log[[#This Row],[Verb]]="drop",Log[[#This Row],[Verb]]="punt",Log[[#This Row],[Verb]]="pass"),0,""))</f>
      </c>
      <c r="K1931" s="17">
        <f>IF(Log[[#This Row],[ID]]="",0,IFERROR(INDEX(Items[Pts],MATCH(Log[[#This Row],[ID]],Items[ID],0))*1,0))</f>
      </c>
      <c r="L1931" s="17">
        <f>IF(Log[[#This Row],[ID]]="","",IFERROR(INDEX(Items[Cur team],MATCH(Log[[#This Row],[ID]],Items[ID],0))&amp;"",""))</f>
      </c>
      <c r="M1931" s="17">
        <f>IF(OR(Log[[#This Row],[Verb]]="done",Log[[#This Row],[Verb]]="punt",Log[[#This Row],[Verb]]="drop",Log[[#This Row],[Verb]]="pass"),Log[[#This Row],[Pts]],0)</f>
      </c>
    </row>
    <row r="1932">
      <c r="A1932" s="11">
        <v>46273</v>
      </c>
      <c r="B1932" t="s">
        <v>1016</v>
      </c>
      <c r="C1932" t="s">
        <v>34</v>
      </c>
      <c r="D1932">
        <v>52</v>
      </c>
      <c r="F1932" s="17">
        <f>IF(Log[[#This Row],[ID]]="","",IF(ISNA(MATCH(Log[[#This Row],[ID]],Items[ID],0)),"unknown ID",IF(ISNA(MATCH(Log[[#This Row],[Verb]],VerbList,0)),"unknown verb",IF(Log[[#This Row],[Date]]="","no date",""))))</f>
      </c>
      <c r="G1932" s="17">
        <f>IF(Log[[#This Row],[ID]]="","",IFERROR(VLOOKUP(Log[[#This Row],[Verb]],Verbs,3,FALSE)&amp;"",""))</f>
      </c>
      <c r="H1932" s="17">
        <f>IF(Log[[#This Row],[Date]]="","",INT((Log[[#This Row],[Date]]-Sprint1)/SprintDays)+1)</f>
      </c>
      <c r="I1932" s="17">
        <f>IF(OR(Log[[#This Row],[Verb]]="commit",Log[[#This Row],[Verb]]="carry",Log[[#This Row],[Verb]]="redo"),IF(Log[[#This Row],[Arg]]="",Log[[#This Row],[Sprint]],N(Log[[#This Row],[Arg]])),"")</f>
      </c>
      <c r="J1932" s="17">
        <f>IF(Log[[#This Row],[Verb]]="block",1,IF(OR(Log[[#This Row],[Verb]]="unblock",Log[[#This Row],[Verb]]="done",Log[[#This Row],[Verb]]="drop",Log[[#This Row],[Verb]]="punt",Log[[#This Row],[Verb]]="pass"),0,""))</f>
      </c>
      <c r="K1932" s="17">
        <f>IF(Log[[#This Row],[ID]]="",0,IFERROR(INDEX(Items[Pts],MATCH(Log[[#This Row],[ID]],Items[ID],0))*1,0))</f>
      </c>
      <c r="L1932" s="17">
        <f>IF(Log[[#This Row],[ID]]="","",IFERROR(INDEX(Items[Cur team],MATCH(Log[[#This Row],[ID]],Items[ID],0))&amp;"",""))</f>
      </c>
      <c r="M1932" s="17">
        <f>IF(OR(Log[[#This Row],[Verb]]="done",Log[[#This Row],[Verb]]="punt",Log[[#This Row],[Verb]]="drop",Log[[#This Row],[Verb]]="pass"),Log[[#This Row],[Pts]],0)</f>
      </c>
    </row>
    <row r="1933">
      <c r="A1933" s="11">
        <v>46273</v>
      </c>
      <c r="B1933" t="s">
        <v>1017</v>
      </c>
      <c r="C1933" t="s">
        <v>34</v>
      </c>
      <c r="D1933">
        <v>52</v>
      </c>
      <c r="F1933" s="17">
        <f>IF(Log[[#This Row],[ID]]="","",IF(ISNA(MATCH(Log[[#This Row],[ID]],Items[ID],0)),"unknown ID",IF(ISNA(MATCH(Log[[#This Row],[Verb]],VerbList,0)),"unknown verb",IF(Log[[#This Row],[Date]]="","no date",""))))</f>
      </c>
      <c r="G1933" s="17">
        <f>IF(Log[[#This Row],[ID]]="","",IFERROR(VLOOKUP(Log[[#This Row],[Verb]],Verbs,3,FALSE)&amp;"",""))</f>
      </c>
      <c r="H1933" s="17">
        <f>IF(Log[[#This Row],[Date]]="","",INT((Log[[#This Row],[Date]]-Sprint1)/SprintDays)+1)</f>
      </c>
      <c r="I1933" s="17">
        <f>IF(OR(Log[[#This Row],[Verb]]="commit",Log[[#This Row],[Verb]]="carry",Log[[#This Row],[Verb]]="redo"),IF(Log[[#This Row],[Arg]]="",Log[[#This Row],[Sprint]],N(Log[[#This Row],[Arg]])),"")</f>
      </c>
      <c r="J1933" s="17">
        <f>IF(Log[[#This Row],[Verb]]="block",1,IF(OR(Log[[#This Row],[Verb]]="unblock",Log[[#This Row],[Verb]]="done",Log[[#This Row],[Verb]]="drop",Log[[#This Row],[Verb]]="punt",Log[[#This Row],[Verb]]="pass"),0,""))</f>
      </c>
      <c r="K1933" s="17">
        <f>IF(Log[[#This Row],[ID]]="",0,IFERROR(INDEX(Items[Pts],MATCH(Log[[#This Row],[ID]],Items[ID],0))*1,0))</f>
      </c>
      <c r="L1933" s="17">
        <f>IF(Log[[#This Row],[ID]]="","",IFERROR(INDEX(Items[Cur team],MATCH(Log[[#This Row],[ID]],Items[ID],0))&amp;"",""))</f>
      </c>
      <c r="M1933" s="17">
        <f>IF(OR(Log[[#This Row],[Verb]]="done",Log[[#This Row],[Verb]]="punt",Log[[#This Row],[Verb]]="drop",Log[[#This Row],[Verb]]="pass"),Log[[#This Row],[Pts]],0)</f>
      </c>
    </row>
    <row r="1934">
      <c r="A1934" s="11">
        <v>46273</v>
      </c>
      <c r="B1934" t="s">
        <v>1018</v>
      </c>
      <c r="C1934" t="s">
        <v>34</v>
      </c>
      <c r="D1934">
        <v>52</v>
      </c>
      <c r="F1934" s="17">
        <f>IF(Log[[#This Row],[ID]]="","",IF(ISNA(MATCH(Log[[#This Row],[ID]],Items[ID],0)),"unknown ID",IF(ISNA(MATCH(Log[[#This Row],[Verb]],VerbList,0)),"unknown verb",IF(Log[[#This Row],[Date]]="","no date",""))))</f>
      </c>
      <c r="G1934" s="17">
        <f>IF(Log[[#This Row],[ID]]="","",IFERROR(VLOOKUP(Log[[#This Row],[Verb]],Verbs,3,FALSE)&amp;"",""))</f>
      </c>
      <c r="H1934" s="17">
        <f>IF(Log[[#This Row],[Date]]="","",INT((Log[[#This Row],[Date]]-Sprint1)/SprintDays)+1)</f>
      </c>
      <c r="I1934" s="17">
        <f>IF(OR(Log[[#This Row],[Verb]]="commit",Log[[#This Row],[Verb]]="carry",Log[[#This Row],[Verb]]="redo"),IF(Log[[#This Row],[Arg]]="",Log[[#This Row],[Sprint]],N(Log[[#This Row],[Arg]])),"")</f>
      </c>
      <c r="J1934" s="17">
        <f>IF(Log[[#This Row],[Verb]]="block",1,IF(OR(Log[[#This Row],[Verb]]="unblock",Log[[#This Row],[Verb]]="done",Log[[#This Row],[Verb]]="drop",Log[[#This Row],[Verb]]="punt",Log[[#This Row],[Verb]]="pass"),0,""))</f>
      </c>
      <c r="K1934" s="17">
        <f>IF(Log[[#This Row],[ID]]="",0,IFERROR(INDEX(Items[Pts],MATCH(Log[[#This Row],[ID]],Items[ID],0))*1,0))</f>
      </c>
      <c r="L1934" s="17">
        <f>IF(Log[[#This Row],[ID]]="","",IFERROR(INDEX(Items[Cur team],MATCH(Log[[#This Row],[ID]],Items[ID],0))&amp;"",""))</f>
      </c>
      <c r="M1934" s="17">
        <f>IF(OR(Log[[#This Row],[Verb]]="done",Log[[#This Row],[Verb]]="punt",Log[[#This Row],[Verb]]="drop",Log[[#This Row],[Verb]]="pass"),Log[[#This Row],[Pts]],0)</f>
      </c>
    </row>
    <row r="1935">
      <c r="A1935" s="11">
        <v>46273</v>
      </c>
      <c r="B1935" t="s">
        <v>1019</v>
      </c>
      <c r="C1935" t="s">
        <v>34</v>
      </c>
      <c r="D1935">
        <v>52</v>
      </c>
      <c r="F1935" s="17">
        <f>IF(Log[[#This Row],[ID]]="","",IF(ISNA(MATCH(Log[[#This Row],[ID]],Items[ID],0)),"unknown ID",IF(ISNA(MATCH(Log[[#This Row],[Verb]],VerbList,0)),"unknown verb",IF(Log[[#This Row],[Date]]="","no date",""))))</f>
      </c>
      <c r="G1935" s="17">
        <f>IF(Log[[#This Row],[ID]]="","",IFERROR(VLOOKUP(Log[[#This Row],[Verb]],Verbs,3,FALSE)&amp;"",""))</f>
      </c>
      <c r="H1935" s="17">
        <f>IF(Log[[#This Row],[Date]]="","",INT((Log[[#This Row],[Date]]-Sprint1)/SprintDays)+1)</f>
      </c>
      <c r="I1935" s="17">
        <f>IF(OR(Log[[#This Row],[Verb]]="commit",Log[[#This Row],[Verb]]="carry",Log[[#This Row],[Verb]]="redo"),IF(Log[[#This Row],[Arg]]="",Log[[#This Row],[Sprint]],N(Log[[#This Row],[Arg]])),"")</f>
      </c>
      <c r="J1935" s="17">
        <f>IF(Log[[#This Row],[Verb]]="block",1,IF(OR(Log[[#This Row],[Verb]]="unblock",Log[[#This Row],[Verb]]="done",Log[[#This Row],[Verb]]="drop",Log[[#This Row],[Verb]]="punt",Log[[#This Row],[Verb]]="pass"),0,""))</f>
      </c>
      <c r="K1935" s="17">
        <f>IF(Log[[#This Row],[ID]]="",0,IFERROR(INDEX(Items[Pts],MATCH(Log[[#This Row],[ID]],Items[ID],0))*1,0))</f>
      </c>
      <c r="L1935" s="17">
        <f>IF(Log[[#This Row],[ID]]="","",IFERROR(INDEX(Items[Cur team],MATCH(Log[[#This Row],[ID]],Items[ID],0))&amp;"",""))</f>
      </c>
      <c r="M1935" s="17">
        <f>IF(OR(Log[[#This Row],[Verb]]="done",Log[[#This Row],[Verb]]="punt",Log[[#This Row],[Verb]]="drop",Log[[#This Row],[Verb]]="pass"),Log[[#This Row],[Pts]],0)</f>
      </c>
    </row>
    <row r="1936">
      <c r="A1936" s="11">
        <v>46273</v>
      </c>
      <c r="B1936" t="s">
        <v>1020</v>
      </c>
      <c r="C1936" t="s">
        <v>34</v>
      </c>
      <c r="D1936">
        <v>52</v>
      </c>
      <c r="F1936" s="17">
        <f>IF(Log[[#This Row],[ID]]="","",IF(ISNA(MATCH(Log[[#This Row],[ID]],Items[ID],0)),"unknown ID",IF(ISNA(MATCH(Log[[#This Row],[Verb]],VerbList,0)),"unknown verb",IF(Log[[#This Row],[Date]]="","no date",""))))</f>
      </c>
      <c r="G1936" s="17">
        <f>IF(Log[[#This Row],[ID]]="","",IFERROR(VLOOKUP(Log[[#This Row],[Verb]],Verbs,3,FALSE)&amp;"",""))</f>
      </c>
      <c r="H1936" s="17">
        <f>IF(Log[[#This Row],[Date]]="","",INT((Log[[#This Row],[Date]]-Sprint1)/SprintDays)+1)</f>
      </c>
      <c r="I1936" s="17">
        <f>IF(OR(Log[[#This Row],[Verb]]="commit",Log[[#This Row],[Verb]]="carry",Log[[#This Row],[Verb]]="redo"),IF(Log[[#This Row],[Arg]]="",Log[[#This Row],[Sprint]],N(Log[[#This Row],[Arg]])),"")</f>
      </c>
      <c r="J1936" s="17">
        <f>IF(Log[[#This Row],[Verb]]="block",1,IF(OR(Log[[#This Row],[Verb]]="unblock",Log[[#This Row],[Verb]]="done",Log[[#This Row],[Verb]]="drop",Log[[#This Row],[Verb]]="punt",Log[[#This Row],[Verb]]="pass"),0,""))</f>
      </c>
      <c r="K1936" s="17">
        <f>IF(Log[[#This Row],[ID]]="",0,IFERROR(INDEX(Items[Pts],MATCH(Log[[#This Row],[ID]],Items[ID],0))*1,0))</f>
      </c>
      <c r="L1936" s="17">
        <f>IF(Log[[#This Row],[ID]]="","",IFERROR(INDEX(Items[Cur team],MATCH(Log[[#This Row],[ID]],Items[ID],0))&amp;"",""))</f>
      </c>
      <c r="M1936" s="17">
        <f>IF(OR(Log[[#This Row],[Verb]]="done",Log[[#This Row],[Verb]]="punt",Log[[#This Row],[Verb]]="drop",Log[[#This Row],[Verb]]="pass"),Log[[#This Row],[Pts]],0)</f>
      </c>
    </row>
    <row r="1937">
      <c r="A1937" s="11">
        <v>46273</v>
      </c>
      <c r="B1937" t="s">
        <v>1021</v>
      </c>
      <c r="C1937" t="s">
        <v>34</v>
      </c>
      <c r="D1937">
        <v>52</v>
      </c>
      <c r="F1937" s="17">
        <f>IF(Log[[#This Row],[ID]]="","",IF(ISNA(MATCH(Log[[#This Row],[ID]],Items[ID],0)),"unknown ID",IF(ISNA(MATCH(Log[[#This Row],[Verb]],VerbList,0)),"unknown verb",IF(Log[[#This Row],[Date]]="","no date",""))))</f>
      </c>
      <c r="G1937" s="17">
        <f>IF(Log[[#This Row],[ID]]="","",IFERROR(VLOOKUP(Log[[#This Row],[Verb]],Verbs,3,FALSE)&amp;"",""))</f>
      </c>
      <c r="H1937" s="17">
        <f>IF(Log[[#This Row],[Date]]="","",INT((Log[[#This Row],[Date]]-Sprint1)/SprintDays)+1)</f>
      </c>
      <c r="I1937" s="17">
        <f>IF(OR(Log[[#This Row],[Verb]]="commit",Log[[#This Row],[Verb]]="carry",Log[[#This Row],[Verb]]="redo"),IF(Log[[#This Row],[Arg]]="",Log[[#This Row],[Sprint]],N(Log[[#This Row],[Arg]])),"")</f>
      </c>
      <c r="J1937" s="17">
        <f>IF(Log[[#This Row],[Verb]]="block",1,IF(OR(Log[[#This Row],[Verb]]="unblock",Log[[#This Row],[Verb]]="done",Log[[#This Row],[Verb]]="drop",Log[[#This Row],[Verb]]="punt",Log[[#This Row],[Verb]]="pass"),0,""))</f>
      </c>
      <c r="K1937" s="17">
        <f>IF(Log[[#This Row],[ID]]="",0,IFERROR(INDEX(Items[Pts],MATCH(Log[[#This Row],[ID]],Items[ID],0))*1,0))</f>
      </c>
      <c r="L1937" s="17">
        <f>IF(Log[[#This Row],[ID]]="","",IFERROR(INDEX(Items[Cur team],MATCH(Log[[#This Row],[ID]],Items[ID],0))&amp;"",""))</f>
      </c>
      <c r="M1937" s="17">
        <f>IF(OR(Log[[#This Row],[Verb]]="done",Log[[#This Row],[Verb]]="punt",Log[[#This Row],[Verb]]="drop",Log[[#This Row],[Verb]]="pass"),Log[[#This Row],[Pts]],0)</f>
      </c>
    </row>
    <row r="1938">
      <c r="A1938" s="11">
        <v>46273</v>
      </c>
      <c r="B1938" t="s">
        <v>1022</v>
      </c>
      <c r="C1938" t="s">
        <v>34</v>
      </c>
      <c r="D1938">
        <v>52</v>
      </c>
      <c r="F1938" s="17">
        <f>IF(Log[[#This Row],[ID]]="","",IF(ISNA(MATCH(Log[[#This Row],[ID]],Items[ID],0)),"unknown ID",IF(ISNA(MATCH(Log[[#This Row],[Verb]],VerbList,0)),"unknown verb",IF(Log[[#This Row],[Date]]="","no date",""))))</f>
      </c>
      <c r="G1938" s="17">
        <f>IF(Log[[#This Row],[ID]]="","",IFERROR(VLOOKUP(Log[[#This Row],[Verb]],Verbs,3,FALSE)&amp;"",""))</f>
      </c>
      <c r="H1938" s="17">
        <f>IF(Log[[#This Row],[Date]]="","",INT((Log[[#This Row],[Date]]-Sprint1)/SprintDays)+1)</f>
      </c>
      <c r="I1938" s="17">
        <f>IF(OR(Log[[#This Row],[Verb]]="commit",Log[[#This Row],[Verb]]="carry",Log[[#This Row],[Verb]]="redo"),IF(Log[[#This Row],[Arg]]="",Log[[#This Row],[Sprint]],N(Log[[#This Row],[Arg]])),"")</f>
      </c>
      <c r="J1938" s="17">
        <f>IF(Log[[#This Row],[Verb]]="block",1,IF(OR(Log[[#This Row],[Verb]]="unblock",Log[[#This Row],[Verb]]="done",Log[[#This Row],[Verb]]="drop",Log[[#This Row],[Verb]]="punt",Log[[#This Row],[Verb]]="pass"),0,""))</f>
      </c>
      <c r="K1938" s="17">
        <f>IF(Log[[#This Row],[ID]]="",0,IFERROR(INDEX(Items[Pts],MATCH(Log[[#This Row],[ID]],Items[ID],0))*1,0))</f>
      </c>
      <c r="L1938" s="17">
        <f>IF(Log[[#This Row],[ID]]="","",IFERROR(INDEX(Items[Cur team],MATCH(Log[[#This Row],[ID]],Items[ID],0))&amp;"",""))</f>
      </c>
      <c r="M1938" s="17">
        <f>IF(OR(Log[[#This Row],[Verb]]="done",Log[[#This Row],[Verb]]="punt",Log[[#This Row],[Verb]]="drop",Log[[#This Row],[Verb]]="pass"),Log[[#This Row],[Pts]],0)</f>
      </c>
    </row>
    <row r="1939">
      <c r="A1939" s="11">
        <v>46273</v>
      </c>
      <c r="B1939" t="s">
        <v>1023</v>
      </c>
      <c r="C1939" t="s">
        <v>34</v>
      </c>
      <c r="D1939">
        <v>52</v>
      </c>
      <c r="F1939" s="17">
        <f>IF(Log[[#This Row],[ID]]="","",IF(ISNA(MATCH(Log[[#This Row],[ID]],Items[ID],0)),"unknown ID",IF(ISNA(MATCH(Log[[#This Row],[Verb]],VerbList,0)),"unknown verb",IF(Log[[#This Row],[Date]]="","no date",""))))</f>
      </c>
      <c r="G1939" s="17">
        <f>IF(Log[[#This Row],[ID]]="","",IFERROR(VLOOKUP(Log[[#This Row],[Verb]],Verbs,3,FALSE)&amp;"",""))</f>
      </c>
      <c r="H1939" s="17">
        <f>IF(Log[[#This Row],[Date]]="","",INT((Log[[#This Row],[Date]]-Sprint1)/SprintDays)+1)</f>
      </c>
      <c r="I1939" s="17">
        <f>IF(OR(Log[[#This Row],[Verb]]="commit",Log[[#This Row],[Verb]]="carry",Log[[#This Row],[Verb]]="redo"),IF(Log[[#This Row],[Arg]]="",Log[[#This Row],[Sprint]],N(Log[[#This Row],[Arg]])),"")</f>
      </c>
      <c r="J1939" s="17">
        <f>IF(Log[[#This Row],[Verb]]="block",1,IF(OR(Log[[#This Row],[Verb]]="unblock",Log[[#This Row],[Verb]]="done",Log[[#This Row],[Verb]]="drop",Log[[#This Row],[Verb]]="punt",Log[[#This Row],[Verb]]="pass"),0,""))</f>
      </c>
      <c r="K1939" s="17">
        <f>IF(Log[[#This Row],[ID]]="",0,IFERROR(INDEX(Items[Pts],MATCH(Log[[#This Row],[ID]],Items[ID],0))*1,0))</f>
      </c>
      <c r="L1939" s="17">
        <f>IF(Log[[#This Row],[ID]]="","",IFERROR(INDEX(Items[Cur team],MATCH(Log[[#This Row],[ID]],Items[ID],0))&amp;"",""))</f>
      </c>
      <c r="M1939" s="17">
        <f>IF(OR(Log[[#This Row],[Verb]]="done",Log[[#This Row],[Verb]]="punt",Log[[#This Row],[Verb]]="drop",Log[[#This Row],[Verb]]="pass"),Log[[#This Row],[Pts]],0)</f>
      </c>
    </row>
    <row r="1940">
      <c r="A1940" s="11">
        <v>46273</v>
      </c>
      <c r="B1940" t="s">
        <v>1024</v>
      </c>
      <c r="C1940" t="s">
        <v>34</v>
      </c>
      <c r="D1940">
        <v>52</v>
      </c>
      <c r="F1940" s="17">
        <f>IF(Log[[#This Row],[ID]]="","",IF(ISNA(MATCH(Log[[#This Row],[ID]],Items[ID],0)),"unknown ID",IF(ISNA(MATCH(Log[[#This Row],[Verb]],VerbList,0)),"unknown verb",IF(Log[[#This Row],[Date]]="","no date",""))))</f>
      </c>
      <c r="G1940" s="17">
        <f>IF(Log[[#This Row],[ID]]="","",IFERROR(VLOOKUP(Log[[#This Row],[Verb]],Verbs,3,FALSE)&amp;"",""))</f>
      </c>
      <c r="H1940" s="17">
        <f>IF(Log[[#This Row],[Date]]="","",INT((Log[[#This Row],[Date]]-Sprint1)/SprintDays)+1)</f>
      </c>
      <c r="I1940" s="17">
        <f>IF(OR(Log[[#This Row],[Verb]]="commit",Log[[#This Row],[Verb]]="carry",Log[[#This Row],[Verb]]="redo"),IF(Log[[#This Row],[Arg]]="",Log[[#This Row],[Sprint]],N(Log[[#This Row],[Arg]])),"")</f>
      </c>
      <c r="J1940" s="17">
        <f>IF(Log[[#This Row],[Verb]]="block",1,IF(OR(Log[[#This Row],[Verb]]="unblock",Log[[#This Row],[Verb]]="done",Log[[#This Row],[Verb]]="drop",Log[[#This Row],[Verb]]="punt",Log[[#This Row],[Verb]]="pass"),0,""))</f>
      </c>
      <c r="K1940" s="17">
        <f>IF(Log[[#This Row],[ID]]="",0,IFERROR(INDEX(Items[Pts],MATCH(Log[[#This Row],[ID]],Items[ID],0))*1,0))</f>
      </c>
      <c r="L1940" s="17">
        <f>IF(Log[[#This Row],[ID]]="","",IFERROR(INDEX(Items[Cur team],MATCH(Log[[#This Row],[ID]],Items[ID],0))&amp;"",""))</f>
      </c>
      <c r="M1940" s="17">
        <f>IF(OR(Log[[#This Row],[Verb]]="done",Log[[#This Row],[Verb]]="punt",Log[[#This Row],[Verb]]="drop",Log[[#This Row],[Verb]]="pass"),Log[[#This Row],[Pts]],0)</f>
      </c>
    </row>
    <row r="1941">
      <c r="A1941" s="11">
        <v>46273</v>
      </c>
      <c r="B1941" t="s">
        <v>1025</v>
      </c>
      <c r="C1941" t="s">
        <v>34</v>
      </c>
      <c r="D1941">
        <v>52</v>
      </c>
      <c r="F1941" s="17">
        <f>IF(Log[[#This Row],[ID]]="","",IF(ISNA(MATCH(Log[[#This Row],[ID]],Items[ID],0)),"unknown ID",IF(ISNA(MATCH(Log[[#This Row],[Verb]],VerbList,0)),"unknown verb",IF(Log[[#This Row],[Date]]="","no date",""))))</f>
      </c>
      <c r="G1941" s="17">
        <f>IF(Log[[#This Row],[ID]]="","",IFERROR(VLOOKUP(Log[[#This Row],[Verb]],Verbs,3,FALSE)&amp;"",""))</f>
      </c>
      <c r="H1941" s="17">
        <f>IF(Log[[#This Row],[Date]]="","",INT((Log[[#This Row],[Date]]-Sprint1)/SprintDays)+1)</f>
      </c>
      <c r="I1941" s="17">
        <f>IF(OR(Log[[#This Row],[Verb]]="commit",Log[[#This Row],[Verb]]="carry",Log[[#This Row],[Verb]]="redo"),IF(Log[[#This Row],[Arg]]="",Log[[#This Row],[Sprint]],N(Log[[#This Row],[Arg]])),"")</f>
      </c>
      <c r="J1941" s="17">
        <f>IF(Log[[#This Row],[Verb]]="block",1,IF(OR(Log[[#This Row],[Verb]]="unblock",Log[[#This Row],[Verb]]="done",Log[[#This Row],[Verb]]="drop",Log[[#This Row],[Verb]]="punt",Log[[#This Row],[Verb]]="pass"),0,""))</f>
      </c>
      <c r="K1941" s="17">
        <f>IF(Log[[#This Row],[ID]]="",0,IFERROR(INDEX(Items[Pts],MATCH(Log[[#This Row],[ID]],Items[ID],0))*1,0))</f>
      </c>
      <c r="L1941" s="17">
        <f>IF(Log[[#This Row],[ID]]="","",IFERROR(INDEX(Items[Cur team],MATCH(Log[[#This Row],[ID]],Items[ID],0))&amp;"",""))</f>
      </c>
      <c r="M1941" s="17">
        <f>IF(OR(Log[[#This Row],[Verb]]="done",Log[[#This Row],[Verb]]="punt",Log[[#This Row],[Verb]]="drop",Log[[#This Row],[Verb]]="pass"),Log[[#This Row],[Pts]],0)</f>
      </c>
    </row>
    <row r="1942">
      <c r="A1942" s="11">
        <v>46273</v>
      </c>
      <c r="B1942" t="s">
        <v>1026</v>
      </c>
      <c r="C1942" t="s">
        <v>34</v>
      </c>
      <c r="D1942">
        <v>52</v>
      </c>
      <c r="F1942" s="17">
        <f>IF(Log[[#This Row],[ID]]="","",IF(ISNA(MATCH(Log[[#This Row],[ID]],Items[ID],0)),"unknown ID",IF(ISNA(MATCH(Log[[#This Row],[Verb]],VerbList,0)),"unknown verb",IF(Log[[#This Row],[Date]]="","no date",""))))</f>
      </c>
      <c r="G1942" s="17">
        <f>IF(Log[[#This Row],[ID]]="","",IFERROR(VLOOKUP(Log[[#This Row],[Verb]],Verbs,3,FALSE)&amp;"",""))</f>
      </c>
      <c r="H1942" s="17">
        <f>IF(Log[[#This Row],[Date]]="","",INT((Log[[#This Row],[Date]]-Sprint1)/SprintDays)+1)</f>
      </c>
      <c r="I1942" s="17">
        <f>IF(OR(Log[[#This Row],[Verb]]="commit",Log[[#This Row],[Verb]]="carry",Log[[#This Row],[Verb]]="redo"),IF(Log[[#This Row],[Arg]]="",Log[[#This Row],[Sprint]],N(Log[[#This Row],[Arg]])),"")</f>
      </c>
      <c r="J1942" s="17">
        <f>IF(Log[[#This Row],[Verb]]="block",1,IF(OR(Log[[#This Row],[Verb]]="unblock",Log[[#This Row],[Verb]]="done",Log[[#This Row],[Verb]]="drop",Log[[#This Row],[Verb]]="punt",Log[[#This Row],[Verb]]="pass"),0,""))</f>
      </c>
      <c r="K1942" s="17">
        <f>IF(Log[[#This Row],[ID]]="",0,IFERROR(INDEX(Items[Pts],MATCH(Log[[#This Row],[ID]],Items[ID],0))*1,0))</f>
      </c>
      <c r="L1942" s="17">
        <f>IF(Log[[#This Row],[ID]]="","",IFERROR(INDEX(Items[Cur team],MATCH(Log[[#This Row],[ID]],Items[ID],0))&amp;"",""))</f>
      </c>
      <c r="M1942" s="17">
        <f>IF(OR(Log[[#This Row],[Verb]]="done",Log[[#This Row],[Verb]]="punt",Log[[#This Row],[Verb]]="drop",Log[[#This Row],[Verb]]="pass"),Log[[#This Row],[Pts]],0)</f>
      </c>
    </row>
    <row r="1943">
      <c r="A1943" s="11">
        <v>46273</v>
      </c>
      <c r="B1943" t="s">
        <v>1027</v>
      </c>
      <c r="C1943" t="s">
        <v>34</v>
      </c>
      <c r="D1943">
        <v>52</v>
      </c>
      <c r="F1943" s="17">
        <f>IF(Log[[#This Row],[ID]]="","",IF(ISNA(MATCH(Log[[#This Row],[ID]],Items[ID],0)),"unknown ID",IF(ISNA(MATCH(Log[[#This Row],[Verb]],VerbList,0)),"unknown verb",IF(Log[[#This Row],[Date]]="","no date",""))))</f>
      </c>
      <c r="G1943" s="17">
        <f>IF(Log[[#This Row],[ID]]="","",IFERROR(VLOOKUP(Log[[#This Row],[Verb]],Verbs,3,FALSE)&amp;"",""))</f>
      </c>
      <c r="H1943" s="17">
        <f>IF(Log[[#This Row],[Date]]="","",INT((Log[[#This Row],[Date]]-Sprint1)/SprintDays)+1)</f>
      </c>
      <c r="I1943" s="17">
        <f>IF(OR(Log[[#This Row],[Verb]]="commit",Log[[#This Row],[Verb]]="carry",Log[[#This Row],[Verb]]="redo"),IF(Log[[#This Row],[Arg]]="",Log[[#This Row],[Sprint]],N(Log[[#This Row],[Arg]])),"")</f>
      </c>
      <c r="J1943" s="17">
        <f>IF(Log[[#This Row],[Verb]]="block",1,IF(OR(Log[[#This Row],[Verb]]="unblock",Log[[#This Row],[Verb]]="done",Log[[#This Row],[Verb]]="drop",Log[[#This Row],[Verb]]="punt",Log[[#This Row],[Verb]]="pass"),0,""))</f>
      </c>
      <c r="K1943" s="17">
        <f>IF(Log[[#This Row],[ID]]="",0,IFERROR(INDEX(Items[Pts],MATCH(Log[[#This Row],[ID]],Items[ID],0))*1,0))</f>
      </c>
      <c r="L1943" s="17">
        <f>IF(Log[[#This Row],[ID]]="","",IFERROR(INDEX(Items[Cur team],MATCH(Log[[#This Row],[ID]],Items[ID],0))&amp;"",""))</f>
      </c>
      <c r="M1943" s="17">
        <f>IF(OR(Log[[#This Row],[Verb]]="done",Log[[#This Row],[Verb]]="punt",Log[[#This Row],[Verb]]="drop",Log[[#This Row],[Verb]]="pass"),Log[[#This Row],[Pts]],0)</f>
      </c>
    </row>
    <row r="1944">
      <c r="A1944" s="11">
        <v>46273</v>
      </c>
      <c r="B1944" t="s">
        <v>1028</v>
      </c>
      <c r="C1944" t="s">
        <v>34</v>
      </c>
      <c r="D1944">
        <v>52</v>
      </c>
      <c r="F1944" s="17">
        <f>IF(Log[[#This Row],[ID]]="","",IF(ISNA(MATCH(Log[[#This Row],[ID]],Items[ID],0)),"unknown ID",IF(ISNA(MATCH(Log[[#This Row],[Verb]],VerbList,0)),"unknown verb",IF(Log[[#This Row],[Date]]="","no date",""))))</f>
      </c>
      <c r="G1944" s="17">
        <f>IF(Log[[#This Row],[ID]]="","",IFERROR(VLOOKUP(Log[[#This Row],[Verb]],Verbs,3,FALSE)&amp;"",""))</f>
      </c>
      <c r="H1944" s="17">
        <f>IF(Log[[#This Row],[Date]]="","",INT((Log[[#This Row],[Date]]-Sprint1)/SprintDays)+1)</f>
      </c>
      <c r="I1944" s="17">
        <f>IF(OR(Log[[#This Row],[Verb]]="commit",Log[[#This Row],[Verb]]="carry",Log[[#This Row],[Verb]]="redo"),IF(Log[[#This Row],[Arg]]="",Log[[#This Row],[Sprint]],N(Log[[#This Row],[Arg]])),"")</f>
      </c>
      <c r="J1944" s="17">
        <f>IF(Log[[#This Row],[Verb]]="block",1,IF(OR(Log[[#This Row],[Verb]]="unblock",Log[[#This Row],[Verb]]="done",Log[[#This Row],[Verb]]="drop",Log[[#This Row],[Verb]]="punt",Log[[#This Row],[Verb]]="pass"),0,""))</f>
      </c>
      <c r="K1944" s="17">
        <f>IF(Log[[#This Row],[ID]]="",0,IFERROR(INDEX(Items[Pts],MATCH(Log[[#This Row],[ID]],Items[ID],0))*1,0))</f>
      </c>
      <c r="L1944" s="17">
        <f>IF(Log[[#This Row],[ID]]="","",IFERROR(INDEX(Items[Cur team],MATCH(Log[[#This Row],[ID]],Items[ID],0))&amp;"",""))</f>
      </c>
      <c r="M1944" s="17">
        <f>IF(OR(Log[[#This Row],[Verb]]="done",Log[[#This Row],[Verb]]="punt",Log[[#This Row],[Verb]]="drop",Log[[#This Row],[Verb]]="pass"),Log[[#This Row],[Pts]],0)</f>
      </c>
    </row>
    <row r="1945">
      <c r="A1945" s="11">
        <v>46273</v>
      </c>
      <c r="B1945" t="s">
        <v>1029</v>
      </c>
      <c r="C1945" t="s">
        <v>34</v>
      </c>
      <c r="D1945">
        <v>52</v>
      </c>
      <c r="F1945" s="17">
        <f>IF(Log[[#This Row],[ID]]="","",IF(ISNA(MATCH(Log[[#This Row],[ID]],Items[ID],0)),"unknown ID",IF(ISNA(MATCH(Log[[#This Row],[Verb]],VerbList,0)),"unknown verb",IF(Log[[#This Row],[Date]]="","no date",""))))</f>
      </c>
      <c r="G1945" s="17">
        <f>IF(Log[[#This Row],[ID]]="","",IFERROR(VLOOKUP(Log[[#This Row],[Verb]],Verbs,3,FALSE)&amp;"",""))</f>
      </c>
      <c r="H1945" s="17">
        <f>IF(Log[[#This Row],[Date]]="","",INT((Log[[#This Row],[Date]]-Sprint1)/SprintDays)+1)</f>
      </c>
      <c r="I1945" s="17">
        <f>IF(OR(Log[[#This Row],[Verb]]="commit",Log[[#This Row],[Verb]]="carry",Log[[#This Row],[Verb]]="redo"),IF(Log[[#This Row],[Arg]]="",Log[[#This Row],[Sprint]],N(Log[[#This Row],[Arg]])),"")</f>
      </c>
      <c r="J1945" s="17">
        <f>IF(Log[[#This Row],[Verb]]="block",1,IF(OR(Log[[#This Row],[Verb]]="unblock",Log[[#This Row],[Verb]]="done",Log[[#This Row],[Verb]]="drop",Log[[#This Row],[Verb]]="punt",Log[[#This Row],[Verb]]="pass"),0,""))</f>
      </c>
      <c r="K1945" s="17">
        <f>IF(Log[[#This Row],[ID]]="",0,IFERROR(INDEX(Items[Pts],MATCH(Log[[#This Row],[ID]],Items[ID],0))*1,0))</f>
      </c>
      <c r="L1945" s="17">
        <f>IF(Log[[#This Row],[ID]]="","",IFERROR(INDEX(Items[Cur team],MATCH(Log[[#This Row],[ID]],Items[ID],0))&amp;"",""))</f>
      </c>
      <c r="M1945" s="17">
        <f>IF(OR(Log[[#This Row],[Verb]]="done",Log[[#This Row],[Verb]]="punt",Log[[#This Row],[Verb]]="drop",Log[[#This Row],[Verb]]="pass"),Log[[#This Row],[Pts]],0)</f>
      </c>
    </row>
    <row r="1946">
      <c r="A1946" s="11">
        <v>46273</v>
      </c>
      <c r="B1946" t="s">
        <v>1030</v>
      </c>
      <c r="C1946" t="s">
        <v>34</v>
      </c>
      <c r="D1946">
        <v>52</v>
      </c>
      <c r="F1946" s="17">
        <f>IF(Log[[#This Row],[ID]]="","",IF(ISNA(MATCH(Log[[#This Row],[ID]],Items[ID],0)),"unknown ID",IF(ISNA(MATCH(Log[[#This Row],[Verb]],VerbList,0)),"unknown verb",IF(Log[[#This Row],[Date]]="","no date",""))))</f>
      </c>
      <c r="G1946" s="17">
        <f>IF(Log[[#This Row],[ID]]="","",IFERROR(VLOOKUP(Log[[#This Row],[Verb]],Verbs,3,FALSE)&amp;"",""))</f>
      </c>
      <c r="H1946" s="17">
        <f>IF(Log[[#This Row],[Date]]="","",INT((Log[[#This Row],[Date]]-Sprint1)/SprintDays)+1)</f>
      </c>
      <c r="I1946" s="17">
        <f>IF(OR(Log[[#This Row],[Verb]]="commit",Log[[#This Row],[Verb]]="carry",Log[[#This Row],[Verb]]="redo"),IF(Log[[#This Row],[Arg]]="",Log[[#This Row],[Sprint]],N(Log[[#This Row],[Arg]])),"")</f>
      </c>
      <c r="J1946" s="17">
        <f>IF(Log[[#This Row],[Verb]]="block",1,IF(OR(Log[[#This Row],[Verb]]="unblock",Log[[#This Row],[Verb]]="done",Log[[#This Row],[Verb]]="drop",Log[[#This Row],[Verb]]="punt",Log[[#This Row],[Verb]]="pass"),0,""))</f>
      </c>
      <c r="K1946" s="17">
        <f>IF(Log[[#This Row],[ID]]="",0,IFERROR(INDEX(Items[Pts],MATCH(Log[[#This Row],[ID]],Items[ID],0))*1,0))</f>
      </c>
      <c r="L1946" s="17">
        <f>IF(Log[[#This Row],[ID]]="","",IFERROR(INDEX(Items[Cur team],MATCH(Log[[#This Row],[ID]],Items[ID],0))&amp;"",""))</f>
      </c>
      <c r="M1946" s="17">
        <f>IF(OR(Log[[#This Row],[Verb]]="done",Log[[#This Row],[Verb]]="punt",Log[[#This Row],[Verb]]="drop",Log[[#This Row],[Verb]]="pass"),Log[[#This Row],[Pts]],0)</f>
      </c>
    </row>
    <row r="1947">
      <c r="A1947" s="11">
        <v>46273</v>
      </c>
      <c r="B1947" t="s">
        <v>1031</v>
      </c>
      <c r="C1947" t="s">
        <v>34</v>
      </c>
      <c r="D1947">
        <v>52</v>
      </c>
      <c r="F1947" s="17">
        <f>IF(Log[[#This Row],[ID]]="","",IF(ISNA(MATCH(Log[[#This Row],[ID]],Items[ID],0)),"unknown ID",IF(ISNA(MATCH(Log[[#This Row],[Verb]],VerbList,0)),"unknown verb",IF(Log[[#This Row],[Date]]="","no date",""))))</f>
      </c>
      <c r="G1947" s="17">
        <f>IF(Log[[#This Row],[ID]]="","",IFERROR(VLOOKUP(Log[[#This Row],[Verb]],Verbs,3,FALSE)&amp;"",""))</f>
      </c>
      <c r="H1947" s="17">
        <f>IF(Log[[#This Row],[Date]]="","",INT((Log[[#This Row],[Date]]-Sprint1)/SprintDays)+1)</f>
      </c>
      <c r="I1947" s="17">
        <f>IF(OR(Log[[#This Row],[Verb]]="commit",Log[[#This Row],[Verb]]="carry",Log[[#This Row],[Verb]]="redo"),IF(Log[[#This Row],[Arg]]="",Log[[#This Row],[Sprint]],N(Log[[#This Row],[Arg]])),"")</f>
      </c>
      <c r="J1947" s="17">
        <f>IF(Log[[#This Row],[Verb]]="block",1,IF(OR(Log[[#This Row],[Verb]]="unblock",Log[[#This Row],[Verb]]="done",Log[[#This Row],[Verb]]="drop",Log[[#This Row],[Verb]]="punt",Log[[#This Row],[Verb]]="pass"),0,""))</f>
      </c>
      <c r="K1947" s="17">
        <f>IF(Log[[#This Row],[ID]]="",0,IFERROR(INDEX(Items[Pts],MATCH(Log[[#This Row],[ID]],Items[ID],0))*1,0))</f>
      </c>
      <c r="L1947" s="17">
        <f>IF(Log[[#This Row],[ID]]="","",IFERROR(INDEX(Items[Cur team],MATCH(Log[[#This Row],[ID]],Items[ID],0))&amp;"",""))</f>
      </c>
      <c r="M1947" s="17">
        <f>IF(OR(Log[[#This Row],[Verb]]="done",Log[[#This Row],[Verb]]="punt",Log[[#This Row],[Verb]]="drop",Log[[#This Row],[Verb]]="pass"),Log[[#This Row],[Pts]],0)</f>
      </c>
    </row>
    <row r="1948">
      <c r="A1948" s="11">
        <v>46273</v>
      </c>
      <c r="B1948" t="s">
        <v>1032</v>
      </c>
      <c r="C1948" t="s">
        <v>34</v>
      </c>
      <c r="D1948">
        <v>52</v>
      </c>
      <c r="F1948" s="17">
        <f>IF(Log[[#This Row],[ID]]="","",IF(ISNA(MATCH(Log[[#This Row],[ID]],Items[ID],0)),"unknown ID",IF(ISNA(MATCH(Log[[#This Row],[Verb]],VerbList,0)),"unknown verb",IF(Log[[#This Row],[Date]]="","no date",""))))</f>
      </c>
      <c r="G1948" s="17">
        <f>IF(Log[[#This Row],[ID]]="","",IFERROR(VLOOKUP(Log[[#This Row],[Verb]],Verbs,3,FALSE)&amp;"",""))</f>
      </c>
      <c r="H1948" s="17">
        <f>IF(Log[[#This Row],[Date]]="","",INT((Log[[#This Row],[Date]]-Sprint1)/SprintDays)+1)</f>
      </c>
      <c r="I1948" s="17">
        <f>IF(OR(Log[[#This Row],[Verb]]="commit",Log[[#This Row],[Verb]]="carry",Log[[#This Row],[Verb]]="redo"),IF(Log[[#This Row],[Arg]]="",Log[[#This Row],[Sprint]],N(Log[[#This Row],[Arg]])),"")</f>
      </c>
      <c r="J1948" s="17">
        <f>IF(Log[[#This Row],[Verb]]="block",1,IF(OR(Log[[#This Row],[Verb]]="unblock",Log[[#This Row],[Verb]]="done",Log[[#This Row],[Verb]]="drop",Log[[#This Row],[Verb]]="punt",Log[[#This Row],[Verb]]="pass"),0,""))</f>
      </c>
      <c r="K1948" s="17">
        <f>IF(Log[[#This Row],[ID]]="",0,IFERROR(INDEX(Items[Pts],MATCH(Log[[#This Row],[ID]],Items[ID],0))*1,0))</f>
      </c>
      <c r="L1948" s="17">
        <f>IF(Log[[#This Row],[ID]]="","",IFERROR(INDEX(Items[Cur team],MATCH(Log[[#This Row],[ID]],Items[ID],0))&amp;"",""))</f>
      </c>
      <c r="M1948" s="17">
        <f>IF(OR(Log[[#This Row],[Verb]]="done",Log[[#This Row],[Verb]]="punt",Log[[#This Row],[Verb]]="drop",Log[[#This Row],[Verb]]="pass"),Log[[#This Row],[Pts]],0)</f>
      </c>
    </row>
    <row r="1949">
      <c r="A1949" s="11">
        <v>46273</v>
      </c>
      <c r="B1949" t="s">
        <v>1033</v>
      </c>
      <c r="C1949" t="s">
        <v>34</v>
      </c>
      <c r="D1949">
        <v>52</v>
      </c>
      <c r="F1949" s="17">
        <f>IF(Log[[#This Row],[ID]]="","",IF(ISNA(MATCH(Log[[#This Row],[ID]],Items[ID],0)),"unknown ID",IF(ISNA(MATCH(Log[[#This Row],[Verb]],VerbList,0)),"unknown verb",IF(Log[[#This Row],[Date]]="","no date",""))))</f>
      </c>
      <c r="G1949" s="17">
        <f>IF(Log[[#This Row],[ID]]="","",IFERROR(VLOOKUP(Log[[#This Row],[Verb]],Verbs,3,FALSE)&amp;"",""))</f>
      </c>
      <c r="H1949" s="17">
        <f>IF(Log[[#This Row],[Date]]="","",INT((Log[[#This Row],[Date]]-Sprint1)/SprintDays)+1)</f>
      </c>
      <c r="I1949" s="17">
        <f>IF(OR(Log[[#This Row],[Verb]]="commit",Log[[#This Row],[Verb]]="carry",Log[[#This Row],[Verb]]="redo"),IF(Log[[#This Row],[Arg]]="",Log[[#This Row],[Sprint]],N(Log[[#This Row],[Arg]])),"")</f>
      </c>
      <c r="J1949" s="17">
        <f>IF(Log[[#This Row],[Verb]]="block",1,IF(OR(Log[[#This Row],[Verb]]="unblock",Log[[#This Row],[Verb]]="done",Log[[#This Row],[Verb]]="drop",Log[[#This Row],[Verb]]="punt",Log[[#This Row],[Verb]]="pass"),0,""))</f>
      </c>
      <c r="K1949" s="17">
        <f>IF(Log[[#This Row],[ID]]="",0,IFERROR(INDEX(Items[Pts],MATCH(Log[[#This Row],[ID]],Items[ID],0))*1,0))</f>
      </c>
      <c r="L1949" s="17">
        <f>IF(Log[[#This Row],[ID]]="","",IFERROR(INDEX(Items[Cur team],MATCH(Log[[#This Row],[ID]],Items[ID],0))&amp;"",""))</f>
      </c>
      <c r="M1949" s="17">
        <f>IF(OR(Log[[#This Row],[Verb]]="done",Log[[#This Row],[Verb]]="punt",Log[[#This Row],[Verb]]="drop",Log[[#This Row],[Verb]]="pass"),Log[[#This Row],[Pts]],0)</f>
      </c>
    </row>
    <row r="1950">
      <c r="A1950" s="11">
        <v>46273</v>
      </c>
      <c r="B1950" t="s">
        <v>1034</v>
      </c>
      <c r="C1950" t="s">
        <v>34</v>
      </c>
      <c r="D1950">
        <v>52</v>
      </c>
      <c r="F1950" s="17">
        <f>IF(Log[[#This Row],[ID]]="","",IF(ISNA(MATCH(Log[[#This Row],[ID]],Items[ID],0)),"unknown ID",IF(ISNA(MATCH(Log[[#This Row],[Verb]],VerbList,0)),"unknown verb",IF(Log[[#This Row],[Date]]="","no date",""))))</f>
      </c>
      <c r="G1950" s="17">
        <f>IF(Log[[#This Row],[ID]]="","",IFERROR(VLOOKUP(Log[[#This Row],[Verb]],Verbs,3,FALSE)&amp;"",""))</f>
      </c>
      <c r="H1950" s="17">
        <f>IF(Log[[#This Row],[Date]]="","",INT((Log[[#This Row],[Date]]-Sprint1)/SprintDays)+1)</f>
      </c>
      <c r="I1950" s="17">
        <f>IF(OR(Log[[#This Row],[Verb]]="commit",Log[[#This Row],[Verb]]="carry",Log[[#This Row],[Verb]]="redo"),IF(Log[[#This Row],[Arg]]="",Log[[#This Row],[Sprint]],N(Log[[#This Row],[Arg]])),"")</f>
      </c>
      <c r="J1950" s="17">
        <f>IF(Log[[#This Row],[Verb]]="block",1,IF(OR(Log[[#This Row],[Verb]]="unblock",Log[[#This Row],[Verb]]="done",Log[[#This Row],[Verb]]="drop",Log[[#This Row],[Verb]]="punt",Log[[#This Row],[Verb]]="pass"),0,""))</f>
      </c>
      <c r="K1950" s="17">
        <f>IF(Log[[#This Row],[ID]]="",0,IFERROR(INDEX(Items[Pts],MATCH(Log[[#This Row],[ID]],Items[ID],0))*1,0))</f>
      </c>
      <c r="L1950" s="17">
        <f>IF(Log[[#This Row],[ID]]="","",IFERROR(INDEX(Items[Cur team],MATCH(Log[[#This Row],[ID]],Items[ID],0))&amp;"",""))</f>
      </c>
      <c r="M1950" s="17">
        <f>IF(OR(Log[[#This Row],[Verb]]="done",Log[[#This Row],[Verb]]="punt",Log[[#This Row],[Verb]]="drop",Log[[#This Row],[Verb]]="pass"),Log[[#This Row],[Pts]],0)</f>
      </c>
    </row>
    <row r="1951">
      <c r="A1951" s="11">
        <v>46273</v>
      </c>
      <c r="B1951" t="s">
        <v>1035</v>
      </c>
      <c r="C1951" t="s">
        <v>34</v>
      </c>
      <c r="D1951">
        <v>52</v>
      </c>
      <c r="F1951" s="17">
        <f>IF(Log[[#This Row],[ID]]="","",IF(ISNA(MATCH(Log[[#This Row],[ID]],Items[ID],0)),"unknown ID",IF(ISNA(MATCH(Log[[#This Row],[Verb]],VerbList,0)),"unknown verb",IF(Log[[#This Row],[Date]]="","no date",""))))</f>
      </c>
      <c r="G1951" s="17">
        <f>IF(Log[[#This Row],[ID]]="","",IFERROR(VLOOKUP(Log[[#This Row],[Verb]],Verbs,3,FALSE)&amp;"",""))</f>
      </c>
      <c r="H1951" s="17">
        <f>IF(Log[[#This Row],[Date]]="","",INT((Log[[#This Row],[Date]]-Sprint1)/SprintDays)+1)</f>
      </c>
      <c r="I1951" s="17">
        <f>IF(OR(Log[[#This Row],[Verb]]="commit",Log[[#This Row],[Verb]]="carry",Log[[#This Row],[Verb]]="redo"),IF(Log[[#This Row],[Arg]]="",Log[[#This Row],[Sprint]],N(Log[[#This Row],[Arg]])),"")</f>
      </c>
      <c r="J1951" s="17">
        <f>IF(Log[[#This Row],[Verb]]="block",1,IF(OR(Log[[#This Row],[Verb]]="unblock",Log[[#This Row],[Verb]]="done",Log[[#This Row],[Verb]]="drop",Log[[#This Row],[Verb]]="punt",Log[[#This Row],[Verb]]="pass"),0,""))</f>
      </c>
      <c r="K1951" s="17">
        <f>IF(Log[[#This Row],[ID]]="",0,IFERROR(INDEX(Items[Pts],MATCH(Log[[#This Row],[ID]],Items[ID],0))*1,0))</f>
      </c>
      <c r="L1951" s="17">
        <f>IF(Log[[#This Row],[ID]]="","",IFERROR(INDEX(Items[Cur team],MATCH(Log[[#This Row],[ID]],Items[ID],0))&amp;"",""))</f>
      </c>
      <c r="M1951" s="17">
        <f>IF(OR(Log[[#This Row],[Verb]]="done",Log[[#This Row],[Verb]]="punt",Log[[#This Row],[Verb]]="drop",Log[[#This Row],[Verb]]="pass"),Log[[#This Row],[Pts]],0)</f>
      </c>
    </row>
    <row r="1952">
      <c r="A1952" s="11">
        <v>46273</v>
      </c>
      <c r="B1952" t="s">
        <v>1036</v>
      </c>
      <c r="C1952" t="s">
        <v>34</v>
      </c>
      <c r="D1952">
        <v>52</v>
      </c>
      <c r="F1952" s="17">
        <f>IF(Log[[#This Row],[ID]]="","",IF(ISNA(MATCH(Log[[#This Row],[ID]],Items[ID],0)),"unknown ID",IF(ISNA(MATCH(Log[[#This Row],[Verb]],VerbList,0)),"unknown verb",IF(Log[[#This Row],[Date]]="","no date",""))))</f>
      </c>
      <c r="G1952" s="17">
        <f>IF(Log[[#This Row],[ID]]="","",IFERROR(VLOOKUP(Log[[#This Row],[Verb]],Verbs,3,FALSE)&amp;"",""))</f>
      </c>
      <c r="H1952" s="17">
        <f>IF(Log[[#This Row],[Date]]="","",INT((Log[[#This Row],[Date]]-Sprint1)/SprintDays)+1)</f>
      </c>
      <c r="I1952" s="17">
        <f>IF(OR(Log[[#This Row],[Verb]]="commit",Log[[#This Row],[Verb]]="carry",Log[[#This Row],[Verb]]="redo"),IF(Log[[#This Row],[Arg]]="",Log[[#This Row],[Sprint]],N(Log[[#This Row],[Arg]])),"")</f>
      </c>
      <c r="J1952" s="17">
        <f>IF(Log[[#This Row],[Verb]]="block",1,IF(OR(Log[[#This Row],[Verb]]="unblock",Log[[#This Row],[Verb]]="done",Log[[#This Row],[Verb]]="drop",Log[[#This Row],[Verb]]="punt",Log[[#This Row],[Verb]]="pass"),0,""))</f>
      </c>
      <c r="K1952" s="17">
        <f>IF(Log[[#This Row],[ID]]="",0,IFERROR(INDEX(Items[Pts],MATCH(Log[[#This Row],[ID]],Items[ID],0))*1,0))</f>
      </c>
      <c r="L1952" s="17">
        <f>IF(Log[[#This Row],[ID]]="","",IFERROR(INDEX(Items[Cur team],MATCH(Log[[#This Row],[ID]],Items[ID],0))&amp;"",""))</f>
      </c>
      <c r="M1952" s="17">
        <f>IF(OR(Log[[#This Row],[Verb]]="done",Log[[#This Row],[Verb]]="punt",Log[[#This Row],[Verb]]="drop",Log[[#This Row],[Verb]]="pass"),Log[[#This Row],[Pts]],0)</f>
      </c>
    </row>
    <row r="1953">
      <c r="A1953" s="11">
        <v>46273</v>
      </c>
      <c r="B1953" t="s">
        <v>1037</v>
      </c>
      <c r="C1953" t="s">
        <v>34</v>
      </c>
      <c r="D1953">
        <v>52</v>
      </c>
      <c r="F1953" s="17">
        <f>IF(Log[[#This Row],[ID]]="","",IF(ISNA(MATCH(Log[[#This Row],[ID]],Items[ID],0)),"unknown ID",IF(ISNA(MATCH(Log[[#This Row],[Verb]],VerbList,0)),"unknown verb",IF(Log[[#This Row],[Date]]="","no date",""))))</f>
      </c>
      <c r="G1953" s="17">
        <f>IF(Log[[#This Row],[ID]]="","",IFERROR(VLOOKUP(Log[[#This Row],[Verb]],Verbs,3,FALSE)&amp;"",""))</f>
      </c>
      <c r="H1953" s="17">
        <f>IF(Log[[#This Row],[Date]]="","",INT((Log[[#This Row],[Date]]-Sprint1)/SprintDays)+1)</f>
      </c>
      <c r="I1953" s="17">
        <f>IF(OR(Log[[#This Row],[Verb]]="commit",Log[[#This Row],[Verb]]="carry",Log[[#This Row],[Verb]]="redo"),IF(Log[[#This Row],[Arg]]="",Log[[#This Row],[Sprint]],N(Log[[#This Row],[Arg]])),"")</f>
      </c>
      <c r="J1953" s="17">
        <f>IF(Log[[#This Row],[Verb]]="block",1,IF(OR(Log[[#This Row],[Verb]]="unblock",Log[[#This Row],[Verb]]="done",Log[[#This Row],[Verb]]="drop",Log[[#This Row],[Verb]]="punt",Log[[#This Row],[Verb]]="pass"),0,""))</f>
      </c>
      <c r="K1953" s="17">
        <f>IF(Log[[#This Row],[ID]]="",0,IFERROR(INDEX(Items[Pts],MATCH(Log[[#This Row],[ID]],Items[ID],0))*1,0))</f>
      </c>
      <c r="L1953" s="17">
        <f>IF(Log[[#This Row],[ID]]="","",IFERROR(INDEX(Items[Cur team],MATCH(Log[[#This Row],[ID]],Items[ID],0))&amp;"",""))</f>
      </c>
      <c r="M1953" s="17">
        <f>IF(OR(Log[[#This Row],[Verb]]="done",Log[[#This Row],[Verb]]="punt",Log[[#This Row],[Verb]]="drop",Log[[#This Row],[Verb]]="pass"),Log[[#This Row],[Pts]],0)</f>
      </c>
    </row>
    <row r="1954">
      <c r="A1954" s="11">
        <v>46273</v>
      </c>
      <c r="B1954" t="s">
        <v>1038</v>
      </c>
      <c r="C1954" t="s">
        <v>34</v>
      </c>
      <c r="D1954">
        <v>52</v>
      </c>
      <c r="F1954" s="17">
        <f>IF(Log[[#This Row],[ID]]="","",IF(ISNA(MATCH(Log[[#This Row],[ID]],Items[ID],0)),"unknown ID",IF(ISNA(MATCH(Log[[#This Row],[Verb]],VerbList,0)),"unknown verb",IF(Log[[#This Row],[Date]]="","no date",""))))</f>
      </c>
      <c r="G1954" s="17">
        <f>IF(Log[[#This Row],[ID]]="","",IFERROR(VLOOKUP(Log[[#This Row],[Verb]],Verbs,3,FALSE)&amp;"",""))</f>
      </c>
      <c r="H1954" s="17">
        <f>IF(Log[[#This Row],[Date]]="","",INT((Log[[#This Row],[Date]]-Sprint1)/SprintDays)+1)</f>
      </c>
      <c r="I1954" s="17">
        <f>IF(OR(Log[[#This Row],[Verb]]="commit",Log[[#This Row],[Verb]]="carry",Log[[#This Row],[Verb]]="redo"),IF(Log[[#This Row],[Arg]]="",Log[[#This Row],[Sprint]],N(Log[[#This Row],[Arg]])),"")</f>
      </c>
      <c r="J1954" s="17">
        <f>IF(Log[[#This Row],[Verb]]="block",1,IF(OR(Log[[#This Row],[Verb]]="unblock",Log[[#This Row],[Verb]]="done",Log[[#This Row],[Verb]]="drop",Log[[#This Row],[Verb]]="punt",Log[[#This Row],[Verb]]="pass"),0,""))</f>
      </c>
      <c r="K1954" s="17">
        <f>IF(Log[[#This Row],[ID]]="",0,IFERROR(INDEX(Items[Pts],MATCH(Log[[#This Row],[ID]],Items[ID],0))*1,0))</f>
      </c>
      <c r="L1954" s="17">
        <f>IF(Log[[#This Row],[ID]]="","",IFERROR(INDEX(Items[Cur team],MATCH(Log[[#This Row],[ID]],Items[ID],0))&amp;"",""))</f>
      </c>
      <c r="M1954" s="17">
        <f>IF(OR(Log[[#This Row],[Verb]]="done",Log[[#This Row],[Verb]]="punt",Log[[#This Row],[Verb]]="drop",Log[[#This Row],[Verb]]="pass"),Log[[#This Row],[Pts]],0)</f>
      </c>
    </row>
    <row r="1955">
      <c r="A1955" s="11">
        <v>46273</v>
      </c>
      <c r="B1955" t="s">
        <v>1039</v>
      </c>
      <c r="C1955" t="s">
        <v>34</v>
      </c>
      <c r="D1955">
        <v>52</v>
      </c>
      <c r="F1955" s="17">
        <f>IF(Log[[#This Row],[ID]]="","",IF(ISNA(MATCH(Log[[#This Row],[ID]],Items[ID],0)),"unknown ID",IF(ISNA(MATCH(Log[[#This Row],[Verb]],VerbList,0)),"unknown verb",IF(Log[[#This Row],[Date]]="","no date",""))))</f>
      </c>
      <c r="G1955" s="17">
        <f>IF(Log[[#This Row],[ID]]="","",IFERROR(VLOOKUP(Log[[#This Row],[Verb]],Verbs,3,FALSE)&amp;"",""))</f>
      </c>
      <c r="H1955" s="17">
        <f>IF(Log[[#This Row],[Date]]="","",INT((Log[[#This Row],[Date]]-Sprint1)/SprintDays)+1)</f>
      </c>
      <c r="I1955" s="17">
        <f>IF(OR(Log[[#This Row],[Verb]]="commit",Log[[#This Row],[Verb]]="carry",Log[[#This Row],[Verb]]="redo"),IF(Log[[#This Row],[Arg]]="",Log[[#This Row],[Sprint]],N(Log[[#This Row],[Arg]])),"")</f>
      </c>
      <c r="J1955" s="17">
        <f>IF(Log[[#This Row],[Verb]]="block",1,IF(OR(Log[[#This Row],[Verb]]="unblock",Log[[#This Row],[Verb]]="done",Log[[#This Row],[Verb]]="drop",Log[[#This Row],[Verb]]="punt",Log[[#This Row],[Verb]]="pass"),0,""))</f>
      </c>
      <c r="K1955" s="17">
        <f>IF(Log[[#This Row],[ID]]="",0,IFERROR(INDEX(Items[Pts],MATCH(Log[[#This Row],[ID]],Items[ID],0))*1,0))</f>
      </c>
      <c r="L1955" s="17">
        <f>IF(Log[[#This Row],[ID]]="","",IFERROR(INDEX(Items[Cur team],MATCH(Log[[#This Row],[ID]],Items[ID],0))&amp;"",""))</f>
      </c>
      <c r="M1955" s="17">
        <f>IF(OR(Log[[#This Row],[Verb]]="done",Log[[#This Row],[Verb]]="punt",Log[[#This Row],[Verb]]="drop",Log[[#This Row],[Verb]]="pass"),Log[[#This Row],[Pts]],0)</f>
      </c>
    </row>
    <row r="1956">
      <c r="A1956" s="11">
        <v>46273</v>
      </c>
      <c r="B1956" t="s">
        <v>1040</v>
      </c>
      <c r="C1956" t="s">
        <v>34</v>
      </c>
      <c r="D1956">
        <v>52</v>
      </c>
      <c r="F1956" s="17">
        <f>IF(Log[[#This Row],[ID]]="","",IF(ISNA(MATCH(Log[[#This Row],[ID]],Items[ID],0)),"unknown ID",IF(ISNA(MATCH(Log[[#This Row],[Verb]],VerbList,0)),"unknown verb",IF(Log[[#This Row],[Date]]="","no date",""))))</f>
      </c>
      <c r="G1956" s="17">
        <f>IF(Log[[#This Row],[ID]]="","",IFERROR(VLOOKUP(Log[[#This Row],[Verb]],Verbs,3,FALSE)&amp;"",""))</f>
      </c>
      <c r="H1956" s="17">
        <f>IF(Log[[#This Row],[Date]]="","",INT((Log[[#This Row],[Date]]-Sprint1)/SprintDays)+1)</f>
      </c>
      <c r="I1956" s="17">
        <f>IF(OR(Log[[#This Row],[Verb]]="commit",Log[[#This Row],[Verb]]="carry",Log[[#This Row],[Verb]]="redo"),IF(Log[[#This Row],[Arg]]="",Log[[#This Row],[Sprint]],N(Log[[#This Row],[Arg]])),"")</f>
      </c>
      <c r="J1956" s="17">
        <f>IF(Log[[#This Row],[Verb]]="block",1,IF(OR(Log[[#This Row],[Verb]]="unblock",Log[[#This Row],[Verb]]="done",Log[[#This Row],[Verb]]="drop",Log[[#This Row],[Verb]]="punt",Log[[#This Row],[Verb]]="pass"),0,""))</f>
      </c>
      <c r="K1956" s="17">
        <f>IF(Log[[#This Row],[ID]]="",0,IFERROR(INDEX(Items[Pts],MATCH(Log[[#This Row],[ID]],Items[ID],0))*1,0))</f>
      </c>
      <c r="L1956" s="17">
        <f>IF(Log[[#This Row],[ID]]="","",IFERROR(INDEX(Items[Cur team],MATCH(Log[[#This Row],[ID]],Items[ID],0))&amp;"",""))</f>
      </c>
      <c r="M1956" s="17">
        <f>IF(OR(Log[[#This Row],[Verb]]="done",Log[[#This Row],[Verb]]="punt",Log[[#This Row],[Verb]]="drop",Log[[#This Row],[Verb]]="pass"),Log[[#This Row],[Pts]],0)</f>
      </c>
    </row>
    <row r="1957">
      <c r="A1957" s="11">
        <v>46273</v>
      </c>
      <c r="B1957" t="s">
        <v>1041</v>
      </c>
      <c r="C1957" t="s">
        <v>34</v>
      </c>
      <c r="D1957">
        <v>52</v>
      </c>
      <c r="F1957" s="17">
        <f>IF(Log[[#This Row],[ID]]="","",IF(ISNA(MATCH(Log[[#This Row],[ID]],Items[ID],0)),"unknown ID",IF(ISNA(MATCH(Log[[#This Row],[Verb]],VerbList,0)),"unknown verb",IF(Log[[#This Row],[Date]]="","no date",""))))</f>
      </c>
      <c r="G1957" s="17">
        <f>IF(Log[[#This Row],[ID]]="","",IFERROR(VLOOKUP(Log[[#This Row],[Verb]],Verbs,3,FALSE)&amp;"",""))</f>
      </c>
      <c r="H1957" s="17">
        <f>IF(Log[[#This Row],[Date]]="","",INT((Log[[#This Row],[Date]]-Sprint1)/SprintDays)+1)</f>
      </c>
      <c r="I1957" s="17">
        <f>IF(OR(Log[[#This Row],[Verb]]="commit",Log[[#This Row],[Verb]]="carry",Log[[#This Row],[Verb]]="redo"),IF(Log[[#This Row],[Arg]]="",Log[[#This Row],[Sprint]],N(Log[[#This Row],[Arg]])),"")</f>
      </c>
      <c r="J1957" s="17">
        <f>IF(Log[[#This Row],[Verb]]="block",1,IF(OR(Log[[#This Row],[Verb]]="unblock",Log[[#This Row],[Verb]]="done",Log[[#This Row],[Verb]]="drop",Log[[#This Row],[Verb]]="punt",Log[[#This Row],[Verb]]="pass"),0,""))</f>
      </c>
      <c r="K1957" s="17">
        <f>IF(Log[[#This Row],[ID]]="",0,IFERROR(INDEX(Items[Pts],MATCH(Log[[#This Row],[ID]],Items[ID],0))*1,0))</f>
      </c>
      <c r="L1957" s="17">
        <f>IF(Log[[#This Row],[ID]]="","",IFERROR(INDEX(Items[Cur team],MATCH(Log[[#This Row],[ID]],Items[ID],0))&amp;"",""))</f>
      </c>
      <c r="M1957" s="17">
        <f>IF(OR(Log[[#This Row],[Verb]]="done",Log[[#This Row],[Verb]]="punt",Log[[#This Row],[Verb]]="drop",Log[[#This Row],[Verb]]="pass"),Log[[#This Row],[Pts]],0)</f>
      </c>
    </row>
    <row r="1958">
      <c r="A1958" s="11">
        <v>46273</v>
      </c>
      <c r="B1958" t="s">
        <v>1042</v>
      </c>
      <c r="C1958" t="s">
        <v>34</v>
      </c>
      <c r="D1958">
        <v>52</v>
      </c>
      <c r="F1958" s="17">
        <f>IF(Log[[#This Row],[ID]]="","",IF(ISNA(MATCH(Log[[#This Row],[ID]],Items[ID],0)),"unknown ID",IF(ISNA(MATCH(Log[[#This Row],[Verb]],VerbList,0)),"unknown verb",IF(Log[[#This Row],[Date]]="","no date",""))))</f>
      </c>
      <c r="G1958" s="17">
        <f>IF(Log[[#This Row],[ID]]="","",IFERROR(VLOOKUP(Log[[#This Row],[Verb]],Verbs,3,FALSE)&amp;"",""))</f>
      </c>
      <c r="H1958" s="17">
        <f>IF(Log[[#This Row],[Date]]="","",INT((Log[[#This Row],[Date]]-Sprint1)/SprintDays)+1)</f>
      </c>
      <c r="I1958" s="17">
        <f>IF(OR(Log[[#This Row],[Verb]]="commit",Log[[#This Row],[Verb]]="carry",Log[[#This Row],[Verb]]="redo"),IF(Log[[#This Row],[Arg]]="",Log[[#This Row],[Sprint]],N(Log[[#This Row],[Arg]])),"")</f>
      </c>
      <c r="J1958" s="17">
        <f>IF(Log[[#This Row],[Verb]]="block",1,IF(OR(Log[[#This Row],[Verb]]="unblock",Log[[#This Row],[Verb]]="done",Log[[#This Row],[Verb]]="drop",Log[[#This Row],[Verb]]="punt",Log[[#This Row],[Verb]]="pass"),0,""))</f>
      </c>
      <c r="K1958" s="17">
        <f>IF(Log[[#This Row],[ID]]="",0,IFERROR(INDEX(Items[Pts],MATCH(Log[[#This Row],[ID]],Items[ID],0))*1,0))</f>
      </c>
      <c r="L1958" s="17">
        <f>IF(Log[[#This Row],[ID]]="","",IFERROR(INDEX(Items[Cur team],MATCH(Log[[#This Row],[ID]],Items[ID],0))&amp;"",""))</f>
      </c>
      <c r="M1958" s="17">
        <f>IF(OR(Log[[#This Row],[Verb]]="done",Log[[#This Row],[Verb]]="punt",Log[[#This Row],[Verb]]="drop",Log[[#This Row],[Verb]]="pass"),Log[[#This Row],[Pts]],0)</f>
      </c>
    </row>
    <row r="1959">
      <c r="A1959" s="11">
        <v>46273</v>
      </c>
      <c r="B1959" t="s">
        <v>1043</v>
      </c>
      <c r="C1959" t="s">
        <v>34</v>
      </c>
      <c r="D1959">
        <v>52</v>
      </c>
      <c r="F1959" s="17">
        <f>IF(Log[[#This Row],[ID]]="","",IF(ISNA(MATCH(Log[[#This Row],[ID]],Items[ID],0)),"unknown ID",IF(ISNA(MATCH(Log[[#This Row],[Verb]],VerbList,0)),"unknown verb",IF(Log[[#This Row],[Date]]="","no date",""))))</f>
      </c>
      <c r="G1959" s="17">
        <f>IF(Log[[#This Row],[ID]]="","",IFERROR(VLOOKUP(Log[[#This Row],[Verb]],Verbs,3,FALSE)&amp;"",""))</f>
      </c>
      <c r="H1959" s="17">
        <f>IF(Log[[#This Row],[Date]]="","",INT((Log[[#This Row],[Date]]-Sprint1)/SprintDays)+1)</f>
      </c>
      <c r="I1959" s="17">
        <f>IF(OR(Log[[#This Row],[Verb]]="commit",Log[[#This Row],[Verb]]="carry",Log[[#This Row],[Verb]]="redo"),IF(Log[[#This Row],[Arg]]="",Log[[#This Row],[Sprint]],N(Log[[#This Row],[Arg]])),"")</f>
      </c>
      <c r="J1959" s="17">
        <f>IF(Log[[#This Row],[Verb]]="block",1,IF(OR(Log[[#This Row],[Verb]]="unblock",Log[[#This Row],[Verb]]="done",Log[[#This Row],[Verb]]="drop",Log[[#This Row],[Verb]]="punt",Log[[#This Row],[Verb]]="pass"),0,""))</f>
      </c>
      <c r="K1959" s="17">
        <f>IF(Log[[#This Row],[ID]]="",0,IFERROR(INDEX(Items[Pts],MATCH(Log[[#This Row],[ID]],Items[ID],0))*1,0))</f>
      </c>
      <c r="L1959" s="17">
        <f>IF(Log[[#This Row],[ID]]="","",IFERROR(INDEX(Items[Cur team],MATCH(Log[[#This Row],[ID]],Items[ID],0))&amp;"",""))</f>
      </c>
      <c r="M1959" s="17">
        <f>IF(OR(Log[[#This Row],[Verb]]="done",Log[[#This Row],[Verb]]="punt",Log[[#This Row],[Verb]]="drop",Log[[#This Row],[Verb]]="pass"),Log[[#This Row],[Pts]],0)</f>
      </c>
    </row>
    <row r="1960">
      <c r="A1960" s="11">
        <v>46273</v>
      </c>
      <c r="B1960" t="s">
        <v>1044</v>
      </c>
      <c r="C1960" t="s">
        <v>34</v>
      </c>
      <c r="D1960">
        <v>52</v>
      </c>
      <c r="F1960" s="17">
        <f>IF(Log[[#This Row],[ID]]="","",IF(ISNA(MATCH(Log[[#This Row],[ID]],Items[ID],0)),"unknown ID",IF(ISNA(MATCH(Log[[#This Row],[Verb]],VerbList,0)),"unknown verb",IF(Log[[#This Row],[Date]]="","no date",""))))</f>
      </c>
      <c r="G1960" s="17">
        <f>IF(Log[[#This Row],[ID]]="","",IFERROR(VLOOKUP(Log[[#This Row],[Verb]],Verbs,3,FALSE)&amp;"",""))</f>
      </c>
      <c r="H1960" s="17">
        <f>IF(Log[[#This Row],[Date]]="","",INT((Log[[#This Row],[Date]]-Sprint1)/SprintDays)+1)</f>
      </c>
      <c r="I1960" s="17">
        <f>IF(OR(Log[[#This Row],[Verb]]="commit",Log[[#This Row],[Verb]]="carry",Log[[#This Row],[Verb]]="redo"),IF(Log[[#This Row],[Arg]]="",Log[[#This Row],[Sprint]],N(Log[[#This Row],[Arg]])),"")</f>
      </c>
      <c r="J1960" s="17">
        <f>IF(Log[[#This Row],[Verb]]="block",1,IF(OR(Log[[#This Row],[Verb]]="unblock",Log[[#This Row],[Verb]]="done",Log[[#This Row],[Verb]]="drop",Log[[#This Row],[Verb]]="punt",Log[[#This Row],[Verb]]="pass"),0,""))</f>
      </c>
      <c r="K1960" s="17">
        <f>IF(Log[[#This Row],[ID]]="",0,IFERROR(INDEX(Items[Pts],MATCH(Log[[#This Row],[ID]],Items[ID],0))*1,0))</f>
      </c>
      <c r="L1960" s="17">
        <f>IF(Log[[#This Row],[ID]]="","",IFERROR(INDEX(Items[Cur team],MATCH(Log[[#This Row],[ID]],Items[ID],0))&amp;"",""))</f>
      </c>
      <c r="M1960" s="17">
        <f>IF(OR(Log[[#This Row],[Verb]]="done",Log[[#This Row],[Verb]]="punt",Log[[#This Row],[Verb]]="drop",Log[[#This Row],[Verb]]="pass"),Log[[#This Row],[Pts]],0)</f>
      </c>
    </row>
    <row r="1961">
      <c r="A1961" s="11">
        <v>46273</v>
      </c>
      <c r="B1961" t="s">
        <v>1045</v>
      </c>
      <c r="C1961" t="s">
        <v>34</v>
      </c>
      <c r="D1961">
        <v>52</v>
      </c>
      <c r="F1961" s="17">
        <f>IF(Log[[#This Row],[ID]]="","",IF(ISNA(MATCH(Log[[#This Row],[ID]],Items[ID],0)),"unknown ID",IF(ISNA(MATCH(Log[[#This Row],[Verb]],VerbList,0)),"unknown verb",IF(Log[[#This Row],[Date]]="","no date",""))))</f>
      </c>
      <c r="G1961" s="17">
        <f>IF(Log[[#This Row],[ID]]="","",IFERROR(VLOOKUP(Log[[#This Row],[Verb]],Verbs,3,FALSE)&amp;"",""))</f>
      </c>
      <c r="H1961" s="17">
        <f>IF(Log[[#This Row],[Date]]="","",INT((Log[[#This Row],[Date]]-Sprint1)/SprintDays)+1)</f>
      </c>
      <c r="I1961" s="17">
        <f>IF(OR(Log[[#This Row],[Verb]]="commit",Log[[#This Row],[Verb]]="carry",Log[[#This Row],[Verb]]="redo"),IF(Log[[#This Row],[Arg]]="",Log[[#This Row],[Sprint]],N(Log[[#This Row],[Arg]])),"")</f>
      </c>
      <c r="J1961" s="17">
        <f>IF(Log[[#This Row],[Verb]]="block",1,IF(OR(Log[[#This Row],[Verb]]="unblock",Log[[#This Row],[Verb]]="done",Log[[#This Row],[Verb]]="drop",Log[[#This Row],[Verb]]="punt",Log[[#This Row],[Verb]]="pass"),0,""))</f>
      </c>
      <c r="K1961" s="17">
        <f>IF(Log[[#This Row],[ID]]="",0,IFERROR(INDEX(Items[Pts],MATCH(Log[[#This Row],[ID]],Items[ID],0))*1,0))</f>
      </c>
      <c r="L1961" s="17">
        <f>IF(Log[[#This Row],[ID]]="","",IFERROR(INDEX(Items[Cur team],MATCH(Log[[#This Row],[ID]],Items[ID],0))&amp;"",""))</f>
      </c>
      <c r="M1961" s="17">
        <f>IF(OR(Log[[#This Row],[Verb]]="done",Log[[#This Row],[Verb]]="punt",Log[[#This Row],[Verb]]="drop",Log[[#This Row],[Verb]]="pass"),Log[[#This Row],[Pts]],0)</f>
      </c>
    </row>
    <row r="1962">
      <c r="A1962" s="11">
        <v>46273</v>
      </c>
      <c r="B1962" t="s">
        <v>1046</v>
      </c>
      <c r="C1962" t="s">
        <v>34</v>
      </c>
      <c r="D1962">
        <v>52</v>
      </c>
      <c r="F1962" s="17">
        <f>IF(Log[[#This Row],[ID]]="","",IF(ISNA(MATCH(Log[[#This Row],[ID]],Items[ID],0)),"unknown ID",IF(ISNA(MATCH(Log[[#This Row],[Verb]],VerbList,0)),"unknown verb",IF(Log[[#This Row],[Date]]="","no date",""))))</f>
      </c>
      <c r="G1962" s="17">
        <f>IF(Log[[#This Row],[ID]]="","",IFERROR(VLOOKUP(Log[[#This Row],[Verb]],Verbs,3,FALSE)&amp;"",""))</f>
      </c>
      <c r="H1962" s="17">
        <f>IF(Log[[#This Row],[Date]]="","",INT((Log[[#This Row],[Date]]-Sprint1)/SprintDays)+1)</f>
      </c>
      <c r="I1962" s="17">
        <f>IF(OR(Log[[#This Row],[Verb]]="commit",Log[[#This Row],[Verb]]="carry",Log[[#This Row],[Verb]]="redo"),IF(Log[[#This Row],[Arg]]="",Log[[#This Row],[Sprint]],N(Log[[#This Row],[Arg]])),"")</f>
      </c>
      <c r="J1962" s="17">
        <f>IF(Log[[#This Row],[Verb]]="block",1,IF(OR(Log[[#This Row],[Verb]]="unblock",Log[[#This Row],[Verb]]="done",Log[[#This Row],[Verb]]="drop",Log[[#This Row],[Verb]]="punt",Log[[#This Row],[Verb]]="pass"),0,""))</f>
      </c>
      <c r="K1962" s="17">
        <f>IF(Log[[#This Row],[ID]]="",0,IFERROR(INDEX(Items[Pts],MATCH(Log[[#This Row],[ID]],Items[ID],0))*1,0))</f>
      </c>
      <c r="L1962" s="17">
        <f>IF(Log[[#This Row],[ID]]="","",IFERROR(INDEX(Items[Cur team],MATCH(Log[[#This Row],[ID]],Items[ID],0))&amp;"",""))</f>
      </c>
      <c r="M1962" s="17">
        <f>IF(OR(Log[[#This Row],[Verb]]="done",Log[[#This Row],[Verb]]="punt",Log[[#This Row],[Verb]]="drop",Log[[#This Row],[Verb]]="pass"),Log[[#This Row],[Pts]],0)</f>
      </c>
    </row>
    <row r="1963">
      <c r="A1963" s="11">
        <v>46273</v>
      </c>
      <c r="B1963" t="s">
        <v>1047</v>
      </c>
      <c r="C1963" t="s">
        <v>34</v>
      </c>
      <c r="D1963">
        <v>52</v>
      </c>
      <c r="F1963" s="17">
        <f>IF(Log[[#This Row],[ID]]="","",IF(ISNA(MATCH(Log[[#This Row],[ID]],Items[ID],0)),"unknown ID",IF(ISNA(MATCH(Log[[#This Row],[Verb]],VerbList,0)),"unknown verb",IF(Log[[#This Row],[Date]]="","no date",""))))</f>
      </c>
      <c r="G1963" s="17">
        <f>IF(Log[[#This Row],[ID]]="","",IFERROR(VLOOKUP(Log[[#This Row],[Verb]],Verbs,3,FALSE)&amp;"",""))</f>
      </c>
      <c r="H1963" s="17">
        <f>IF(Log[[#This Row],[Date]]="","",INT((Log[[#This Row],[Date]]-Sprint1)/SprintDays)+1)</f>
      </c>
      <c r="I1963" s="17">
        <f>IF(OR(Log[[#This Row],[Verb]]="commit",Log[[#This Row],[Verb]]="carry",Log[[#This Row],[Verb]]="redo"),IF(Log[[#This Row],[Arg]]="",Log[[#This Row],[Sprint]],N(Log[[#This Row],[Arg]])),"")</f>
      </c>
      <c r="J1963" s="17">
        <f>IF(Log[[#This Row],[Verb]]="block",1,IF(OR(Log[[#This Row],[Verb]]="unblock",Log[[#This Row],[Verb]]="done",Log[[#This Row],[Verb]]="drop",Log[[#This Row],[Verb]]="punt",Log[[#This Row],[Verb]]="pass"),0,""))</f>
      </c>
      <c r="K1963" s="17">
        <f>IF(Log[[#This Row],[ID]]="",0,IFERROR(INDEX(Items[Pts],MATCH(Log[[#This Row],[ID]],Items[ID],0))*1,0))</f>
      </c>
      <c r="L1963" s="17">
        <f>IF(Log[[#This Row],[ID]]="","",IFERROR(INDEX(Items[Cur team],MATCH(Log[[#This Row],[ID]],Items[ID],0))&amp;"",""))</f>
      </c>
      <c r="M1963" s="17">
        <f>IF(OR(Log[[#This Row],[Verb]]="done",Log[[#This Row],[Verb]]="punt",Log[[#This Row],[Verb]]="drop",Log[[#This Row],[Verb]]="pass"),Log[[#This Row],[Pts]],0)</f>
      </c>
    </row>
    <row r="1964">
      <c r="A1964" s="11">
        <v>46273</v>
      </c>
      <c r="B1964" t="s">
        <v>1048</v>
      </c>
      <c r="C1964" t="s">
        <v>34</v>
      </c>
      <c r="D1964">
        <v>52</v>
      </c>
      <c r="F1964" s="17">
        <f>IF(Log[[#This Row],[ID]]="","",IF(ISNA(MATCH(Log[[#This Row],[ID]],Items[ID],0)),"unknown ID",IF(ISNA(MATCH(Log[[#This Row],[Verb]],VerbList,0)),"unknown verb",IF(Log[[#This Row],[Date]]="","no date",""))))</f>
      </c>
      <c r="G1964" s="17">
        <f>IF(Log[[#This Row],[ID]]="","",IFERROR(VLOOKUP(Log[[#This Row],[Verb]],Verbs,3,FALSE)&amp;"",""))</f>
      </c>
      <c r="H1964" s="17">
        <f>IF(Log[[#This Row],[Date]]="","",INT((Log[[#This Row],[Date]]-Sprint1)/SprintDays)+1)</f>
      </c>
      <c r="I1964" s="17">
        <f>IF(OR(Log[[#This Row],[Verb]]="commit",Log[[#This Row],[Verb]]="carry",Log[[#This Row],[Verb]]="redo"),IF(Log[[#This Row],[Arg]]="",Log[[#This Row],[Sprint]],N(Log[[#This Row],[Arg]])),"")</f>
      </c>
      <c r="J1964" s="17">
        <f>IF(Log[[#This Row],[Verb]]="block",1,IF(OR(Log[[#This Row],[Verb]]="unblock",Log[[#This Row],[Verb]]="done",Log[[#This Row],[Verb]]="drop",Log[[#This Row],[Verb]]="punt",Log[[#This Row],[Verb]]="pass"),0,""))</f>
      </c>
      <c r="K1964" s="17">
        <f>IF(Log[[#This Row],[ID]]="",0,IFERROR(INDEX(Items[Pts],MATCH(Log[[#This Row],[ID]],Items[ID],0))*1,0))</f>
      </c>
      <c r="L1964" s="17">
        <f>IF(Log[[#This Row],[ID]]="","",IFERROR(INDEX(Items[Cur team],MATCH(Log[[#This Row],[ID]],Items[ID],0))&amp;"",""))</f>
      </c>
      <c r="M1964" s="17">
        <f>IF(OR(Log[[#This Row],[Verb]]="done",Log[[#This Row],[Verb]]="punt",Log[[#This Row],[Verb]]="drop",Log[[#This Row],[Verb]]="pass"),Log[[#This Row],[Pts]],0)</f>
      </c>
    </row>
    <row r="1965">
      <c r="A1965" s="11">
        <v>46273</v>
      </c>
      <c r="B1965" t="s">
        <v>1049</v>
      </c>
      <c r="C1965" t="s">
        <v>34</v>
      </c>
      <c r="D1965">
        <v>52</v>
      </c>
      <c r="F1965" s="17">
        <f>IF(Log[[#This Row],[ID]]="","",IF(ISNA(MATCH(Log[[#This Row],[ID]],Items[ID],0)),"unknown ID",IF(ISNA(MATCH(Log[[#This Row],[Verb]],VerbList,0)),"unknown verb",IF(Log[[#This Row],[Date]]="","no date",""))))</f>
      </c>
      <c r="G1965" s="17">
        <f>IF(Log[[#This Row],[ID]]="","",IFERROR(VLOOKUP(Log[[#This Row],[Verb]],Verbs,3,FALSE)&amp;"",""))</f>
      </c>
      <c r="H1965" s="17">
        <f>IF(Log[[#This Row],[Date]]="","",INT((Log[[#This Row],[Date]]-Sprint1)/SprintDays)+1)</f>
      </c>
      <c r="I1965" s="17">
        <f>IF(OR(Log[[#This Row],[Verb]]="commit",Log[[#This Row],[Verb]]="carry",Log[[#This Row],[Verb]]="redo"),IF(Log[[#This Row],[Arg]]="",Log[[#This Row],[Sprint]],N(Log[[#This Row],[Arg]])),"")</f>
      </c>
      <c r="J1965" s="17">
        <f>IF(Log[[#This Row],[Verb]]="block",1,IF(OR(Log[[#This Row],[Verb]]="unblock",Log[[#This Row],[Verb]]="done",Log[[#This Row],[Verb]]="drop",Log[[#This Row],[Verb]]="punt",Log[[#This Row],[Verb]]="pass"),0,""))</f>
      </c>
      <c r="K1965" s="17">
        <f>IF(Log[[#This Row],[ID]]="",0,IFERROR(INDEX(Items[Pts],MATCH(Log[[#This Row],[ID]],Items[ID],0))*1,0))</f>
      </c>
      <c r="L1965" s="17">
        <f>IF(Log[[#This Row],[ID]]="","",IFERROR(INDEX(Items[Cur team],MATCH(Log[[#This Row],[ID]],Items[ID],0))&amp;"",""))</f>
      </c>
      <c r="M1965" s="17">
        <f>IF(OR(Log[[#This Row],[Verb]]="done",Log[[#This Row],[Verb]]="punt",Log[[#This Row],[Verb]]="drop",Log[[#This Row],[Verb]]="pass"),Log[[#This Row],[Pts]],0)</f>
      </c>
    </row>
    <row r="1966">
      <c r="A1966" s="11">
        <v>46273</v>
      </c>
      <c r="B1966" t="s">
        <v>1050</v>
      </c>
      <c r="C1966" t="s">
        <v>34</v>
      </c>
      <c r="D1966">
        <v>52</v>
      </c>
      <c r="F1966" s="17">
        <f>IF(Log[[#This Row],[ID]]="","",IF(ISNA(MATCH(Log[[#This Row],[ID]],Items[ID],0)),"unknown ID",IF(ISNA(MATCH(Log[[#This Row],[Verb]],VerbList,0)),"unknown verb",IF(Log[[#This Row],[Date]]="","no date",""))))</f>
      </c>
      <c r="G1966" s="17">
        <f>IF(Log[[#This Row],[ID]]="","",IFERROR(VLOOKUP(Log[[#This Row],[Verb]],Verbs,3,FALSE)&amp;"",""))</f>
      </c>
      <c r="H1966" s="17">
        <f>IF(Log[[#This Row],[Date]]="","",INT((Log[[#This Row],[Date]]-Sprint1)/SprintDays)+1)</f>
      </c>
      <c r="I1966" s="17">
        <f>IF(OR(Log[[#This Row],[Verb]]="commit",Log[[#This Row],[Verb]]="carry",Log[[#This Row],[Verb]]="redo"),IF(Log[[#This Row],[Arg]]="",Log[[#This Row],[Sprint]],N(Log[[#This Row],[Arg]])),"")</f>
      </c>
      <c r="J1966" s="17">
        <f>IF(Log[[#This Row],[Verb]]="block",1,IF(OR(Log[[#This Row],[Verb]]="unblock",Log[[#This Row],[Verb]]="done",Log[[#This Row],[Verb]]="drop",Log[[#This Row],[Verb]]="punt",Log[[#This Row],[Verb]]="pass"),0,""))</f>
      </c>
      <c r="K1966" s="17">
        <f>IF(Log[[#This Row],[ID]]="",0,IFERROR(INDEX(Items[Pts],MATCH(Log[[#This Row],[ID]],Items[ID],0))*1,0))</f>
      </c>
      <c r="L1966" s="17">
        <f>IF(Log[[#This Row],[ID]]="","",IFERROR(INDEX(Items[Cur team],MATCH(Log[[#This Row],[ID]],Items[ID],0))&amp;"",""))</f>
      </c>
      <c r="M1966" s="17">
        <f>IF(OR(Log[[#This Row],[Verb]]="done",Log[[#This Row],[Verb]]="punt",Log[[#This Row],[Verb]]="drop",Log[[#This Row],[Verb]]="pass"),Log[[#This Row],[Pts]],0)</f>
      </c>
    </row>
    <row r="1967">
      <c r="A1967" s="11">
        <v>46273</v>
      </c>
      <c r="B1967" t="s">
        <v>1051</v>
      </c>
      <c r="C1967" t="s">
        <v>34</v>
      </c>
      <c r="D1967">
        <v>52</v>
      </c>
      <c r="F1967" s="17">
        <f>IF(Log[[#This Row],[ID]]="","",IF(ISNA(MATCH(Log[[#This Row],[ID]],Items[ID],0)),"unknown ID",IF(ISNA(MATCH(Log[[#This Row],[Verb]],VerbList,0)),"unknown verb",IF(Log[[#This Row],[Date]]="","no date",""))))</f>
      </c>
      <c r="G1967" s="17">
        <f>IF(Log[[#This Row],[ID]]="","",IFERROR(VLOOKUP(Log[[#This Row],[Verb]],Verbs,3,FALSE)&amp;"",""))</f>
      </c>
      <c r="H1967" s="17">
        <f>IF(Log[[#This Row],[Date]]="","",INT((Log[[#This Row],[Date]]-Sprint1)/SprintDays)+1)</f>
      </c>
      <c r="I1967" s="17">
        <f>IF(OR(Log[[#This Row],[Verb]]="commit",Log[[#This Row],[Verb]]="carry",Log[[#This Row],[Verb]]="redo"),IF(Log[[#This Row],[Arg]]="",Log[[#This Row],[Sprint]],N(Log[[#This Row],[Arg]])),"")</f>
      </c>
      <c r="J1967" s="17">
        <f>IF(Log[[#This Row],[Verb]]="block",1,IF(OR(Log[[#This Row],[Verb]]="unblock",Log[[#This Row],[Verb]]="done",Log[[#This Row],[Verb]]="drop",Log[[#This Row],[Verb]]="punt",Log[[#This Row],[Verb]]="pass"),0,""))</f>
      </c>
      <c r="K1967" s="17">
        <f>IF(Log[[#This Row],[ID]]="",0,IFERROR(INDEX(Items[Pts],MATCH(Log[[#This Row],[ID]],Items[ID],0))*1,0))</f>
      </c>
      <c r="L1967" s="17">
        <f>IF(Log[[#This Row],[ID]]="","",IFERROR(INDEX(Items[Cur team],MATCH(Log[[#This Row],[ID]],Items[ID],0))&amp;"",""))</f>
      </c>
      <c r="M1967" s="17">
        <f>IF(OR(Log[[#This Row],[Verb]]="done",Log[[#This Row],[Verb]]="punt",Log[[#This Row],[Verb]]="drop",Log[[#This Row],[Verb]]="pass"),Log[[#This Row],[Pts]],0)</f>
      </c>
    </row>
    <row r="1968">
      <c r="A1968" s="11">
        <v>46273</v>
      </c>
      <c r="B1968" t="s">
        <v>1052</v>
      </c>
      <c r="C1968" t="s">
        <v>34</v>
      </c>
      <c r="D1968">
        <v>52</v>
      </c>
      <c r="F1968" s="17">
        <f>IF(Log[[#This Row],[ID]]="","",IF(ISNA(MATCH(Log[[#This Row],[ID]],Items[ID],0)),"unknown ID",IF(ISNA(MATCH(Log[[#This Row],[Verb]],VerbList,0)),"unknown verb",IF(Log[[#This Row],[Date]]="","no date",""))))</f>
      </c>
      <c r="G1968" s="17">
        <f>IF(Log[[#This Row],[ID]]="","",IFERROR(VLOOKUP(Log[[#This Row],[Verb]],Verbs,3,FALSE)&amp;"",""))</f>
      </c>
      <c r="H1968" s="17">
        <f>IF(Log[[#This Row],[Date]]="","",INT((Log[[#This Row],[Date]]-Sprint1)/SprintDays)+1)</f>
      </c>
      <c r="I1968" s="17">
        <f>IF(OR(Log[[#This Row],[Verb]]="commit",Log[[#This Row],[Verb]]="carry",Log[[#This Row],[Verb]]="redo"),IF(Log[[#This Row],[Arg]]="",Log[[#This Row],[Sprint]],N(Log[[#This Row],[Arg]])),"")</f>
      </c>
      <c r="J1968" s="17">
        <f>IF(Log[[#This Row],[Verb]]="block",1,IF(OR(Log[[#This Row],[Verb]]="unblock",Log[[#This Row],[Verb]]="done",Log[[#This Row],[Verb]]="drop",Log[[#This Row],[Verb]]="punt",Log[[#This Row],[Verb]]="pass"),0,""))</f>
      </c>
      <c r="K1968" s="17">
        <f>IF(Log[[#This Row],[ID]]="",0,IFERROR(INDEX(Items[Pts],MATCH(Log[[#This Row],[ID]],Items[ID],0))*1,0))</f>
      </c>
      <c r="L1968" s="17">
        <f>IF(Log[[#This Row],[ID]]="","",IFERROR(INDEX(Items[Cur team],MATCH(Log[[#This Row],[ID]],Items[ID],0))&amp;"",""))</f>
      </c>
      <c r="M1968" s="17">
        <f>IF(OR(Log[[#This Row],[Verb]]="done",Log[[#This Row],[Verb]]="punt",Log[[#This Row],[Verb]]="drop",Log[[#This Row],[Verb]]="pass"),Log[[#This Row],[Pts]],0)</f>
      </c>
    </row>
    <row r="1969">
      <c r="A1969" s="11">
        <v>46273</v>
      </c>
      <c r="B1969" t="s">
        <v>1053</v>
      </c>
      <c r="C1969" t="s">
        <v>34</v>
      </c>
      <c r="D1969">
        <v>52</v>
      </c>
      <c r="F1969" s="17">
        <f>IF(Log[[#This Row],[ID]]="","",IF(ISNA(MATCH(Log[[#This Row],[ID]],Items[ID],0)),"unknown ID",IF(ISNA(MATCH(Log[[#This Row],[Verb]],VerbList,0)),"unknown verb",IF(Log[[#This Row],[Date]]="","no date",""))))</f>
      </c>
      <c r="G1969" s="17">
        <f>IF(Log[[#This Row],[ID]]="","",IFERROR(VLOOKUP(Log[[#This Row],[Verb]],Verbs,3,FALSE)&amp;"",""))</f>
      </c>
      <c r="H1969" s="17">
        <f>IF(Log[[#This Row],[Date]]="","",INT((Log[[#This Row],[Date]]-Sprint1)/SprintDays)+1)</f>
      </c>
      <c r="I1969" s="17">
        <f>IF(OR(Log[[#This Row],[Verb]]="commit",Log[[#This Row],[Verb]]="carry",Log[[#This Row],[Verb]]="redo"),IF(Log[[#This Row],[Arg]]="",Log[[#This Row],[Sprint]],N(Log[[#This Row],[Arg]])),"")</f>
      </c>
      <c r="J1969" s="17">
        <f>IF(Log[[#This Row],[Verb]]="block",1,IF(OR(Log[[#This Row],[Verb]]="unblock",Log[[#This Row],[Verb]]="done",Log[[#This Row],[Verb]]="drop",Log[[#This Row],[Verb]]="punt",Log[[#This Row],[Verb]]="pass"),0,""))</f>
      </c>
      <c r="K1969" s="17">
        <f>IF(Log[[#This Row],[ID]]="",0,IFERROR(INDEX(Items[Pts],MATCH(Log[[#This Row],[ID]],Items[ID],0))*1,0))</f>
      </c>
      <c r="L1969" s="17">
        <f>IF(Log[[#This Row],[ID]]="","",IFERROR(INDEX(Items[Cur team],MATCH(Log[[#This Row],[ID]],Items[ID],0))&amp;"",""))</f>
      </c>
      <c r="M1969" s="17">
        <f>IF(OR(Log[[#This Row],[Verb]]="done",Log[[#This Row],[Verb]]="punt",Log[[#This Row],[Verb]]="drop",Log[[#This Row],[Verb]]="pass"),Log[[#This Row],[Pts]],0)</f>
      </c>
    </row>
    <row r="1970">
      <c r="A1970" s="11">
        <v>46273</v>
      </c>
      <c r="B1970" t="s">
        <v>1054</v>
      </c>
      <c r="C1970" t="s">
        <v>34</v>
      </c>
      <c r="D1970">
        <v>52</v>
      </c>
      <c r="F1970" s="17">
        <f>IF(Log[[#This Row],[ID]]="","",IF(ISNA(MATCH(Log[[#This Row],[ID]],Items[ID],0)),"unknown ID",IF(ISNA(MATCH(Log[[#This Row],[Verb]],VerbList,0)),"unknown verb",IF(Log[[#This Row],[Date]]="","no date",""))))</f>
      </c>
      <c r="G1970" s="17">
        <f>IF(Log[[#This Row],[ID]]="","",IFERROR(VLOOKUP(Log[[#This Row],[Verb]],Verbs,3,FALSE)&amp;"",""))</f>
      </c>
      <c r="H1970" s="17">
        <f>IF(Log[[#This Row],[Date]]="","",INT((Log[[#This Row],[Date]]-Sprint1)/SprintDays)+1)</f>
      </c>
      <c r="I1970" s="17">
        <f>IF(OR(Log[[#This Row],[Verb]]="commit",Log[[#This Row],[Verb]]="carry",Log[[#This Row],[Verb]]="redo"),IF(Log[[#This Row],[Arg]]="",Log[[#This Row],[Sprint]],N(Log[[#This Row],[Arg]])),"")</f>
      </c>
      <c r="J1970" s="17">
        <f>IF(Log[[#This Row],[Verb]]="block",1,IF(OR(Log[[#This Row],[Verb]]="unblock",Log[[#This Row],[Verb]]="done",Log[[#This Row],[Verb]]="drop",Log[[#This Row],[Verb]]="punt",Log[[#This Row],[Verb]]="pass"),0,""))</f>
      </c>
      <c r="K1970" s="17">
        <f>IF(Log[[#This Row],[ID]]="",0,IFERROR(INDEX(Items[Pts],MATCH(Log[[#This Row],[ID]],Items[ID],0))*1,0))</f>
      </c>
      <c r="L1970" s="17">
        <f>IF(Log[[#This Row],[ID]]="","",IFERROR(INDEX(Items[Cur team],MATCH(Log[[#This Row],[ID]],Items[ID],0))&amp;"",""))</f>
      </c>
      <c r="M1970" s="17">
        <f>IF(OR(Log[[#This Row],[Verb]]="done",Log[[#This Row],[Verb]]="punt",Log[[#This Row],[Verb]]="drop",Log[[#This Row],[Verb]]="pass"),Log[[#This Row],[Pts]],0)</f>
      </c>
    </row>
    <row r="1971">
      <c r="A1971" s="11">
        <v>46273</v>
      </c>
      <c r="B1971" t="s">
        <v>1055</v>
      </c>
      <c r="C1971" t="s">
        <v>34</v>
      </c>
      <c r="D1971">
        <v>52</v>
      </c>
      <c r="F1971" s="17">
        <f>IF(Log[[#This Row],[ID]]="","",IF(ISNA(MATCH(Log[[#This Row],[ID]],Items[ID],0)),"unknown ID",IF(ISNA(MATCH(Log[[#This Row],[Verb]],VerbList,0)),"unknown verb",IF(Log[[#This Row],[Date]]="","no date",""))))</f>
      </c>
      <c r="G1971" s="17">
        <f>IF(Log[[#This Row],[ID]]="","",IFERROR(VLOOKUP(Log[[#This Row],[Verb]],Verbs,3,FALSE)&amp;"",""))</f>
      </c>
      <c r="H1971" s="17">
        <f>IF(Log[[#This Row],[Date]]="","",INT((Log[[#This Row],[Date]]-Sprint1)/SprintDays)+1)</f>
      </c>
      <c r="I1971" s="17">
        <f>IF(OR(Log[[#This Row],[Verb]]="commit",Log[[#This Row],[Verb]]="carry",Log[[#This Row],[Verb]]="redo"),IF(Log[[#This Row],[Arg]]="",Log[[#This Row],[Sprint]],N(Log[[#This Row],[Arg]])),"")</f>
      </c>
      <c r="J1971" s="17">
        <f>IF(Log[[#This Row],[Verb]]="block",1,IF(OR(Log[[#This Row],[Verb]]="unblock",Log[[#This Row],[Verb]]="done",Log[[#This Row],[Verb]]="drop",Log[[#This Row],[Verb]]="punt",Log[[#This Row],[Verb]]="pass"),0,""))</f>
      </c>
      <c r="K1971" s="17">
        <f>IF(Log[[#This Row],[ID]]="",0,IFERROR(INDEX(Items[Pts],MATCH(Log[[#This Row],[ID]],Items[ID],0))*1,0))</f>
      </c>
      <c r="L1971" s="17">
        <f>IF(Log[[#This Row],[ID]]="","",IFERROR(INDEX(Items[Cur team],MATCH(Log[[#This Row],[ID]],Items[ID],0))&amp;"",""))</f>
      </c>
      <c r="M1971" s="17">
        <f>IF(OR(Log[[#This Row],[Verb]]="done",Log[[#This Row],[Verb]]="punt",Log[[#This Row],[Verb]]="drop",Log[[#This Row],[Verb]]="pass"),Log[[#This Row],[Pts]],0)</f>
      </c>
    </row>
    <row r="1972">
      <c r="A1972" s="11">
        <v>46273</v>
      </c>
      <c r="B1972" t="s">
        <v>1056</v>
      </c>
      <c r="C1972" t="s">
        <v>34</v>
      </c>
      <c r="D1972">
        <v>52</v>
      </c>
      <c r="F1972" s="17">
        <f>IF(Log[[#This Row],[ID]]="","",IF(ISNA(MATCH(Log[[#This Row],[ID]],Items[ID],0)),"unknown ID",IF(ISNA(MATCH(Log[[#This Row],[Verb]],VerbList,0)),"unknown verb",IF(Log[[#This Row],[Date]]="","no date",""))))</f>
      </c>
      <c r="G1972" s="17">
        <f>IF(Log[[#This Row],[ID]]="","",IFERROR(VLOOKUP(Log[[#This Row],[Verb]],Verbs,3,FALSE)&amp;"",""))</f>
      </c>
      <c r="H1972" s="17">
        <f>IF(Log[[#This Row],[Date]]="","",INT((Log[[#This Row],[Date]]-Sprint1)/SprintDays)+1)</f>
      </c>
      <c r="I1972" s="17">
        <f>IF(OR(Log[[#This Row],[Verb]]="commit",Log[[#This Row],[Verb]]="carry",Log[[#This Row],[Verb]]="redo"),IF(Log[[#This Row],[Arg]]="",Log[[#This Row],[Sprint]],N(Log[[#This Row],[Arg]])),"")</f>
      </c>
      <c r="J1972" s="17">
        <f>IF(Log[[#This Row],[Verb]]="block",1,IF(OR(Log[[#This Row],[Verb]]="unblock",Log[[#This Row],[Verb]]="done",Log[[#This Row],[Verb]]="drop",Log[[#This Row],[Verb]]="punt",Log[[#This Row],[Verb]]="pass"),0,""))</f>
      </c>
      <c r="K1972" s="17">
        <f>IF(Log[[#This Row],[ID]]="",0,IFERROR(INDEX(Items[Pts],MATCH(Log[[#This Row],[ID]],Items[ID],0))*1,0))</f>
      </c>
      <c r="L1972" s="17">
        <f>IF(Log[[#This Row],[ID]]="","",IFERROR(INDEX(Items[Cur team],MATCH(Log[[#This Row],[ID]],Items[ID],0))&amp;"",""))</f>
      </c>
      <c r="M1972" s="17">
        <f>IF(OR(Log[[#This Row],[Verb]]="done",Log[[#This Row],[Verb]]="punt",Log[[#This Row],[Verb]]="drop",Log[[#This Row],[Verb]]="pass"),Log[[#This Row],[Pts]],0)</f>
      </c>
    </row>
    <row r="1973">
      <c r="A1973" s="11">
        <v>46273</v>
      </c>
      <c r="B1973" t="s">
        <v>1057</v>
      </c>
      <c r="C1973" t="s">
        <v>34</v>
      </c>
      <c r="D1973">
        <v>52</v>
      </c>
      <c r="F1973" s="17">
        <f>IF(Log[[#This Row],[ID]]="","",IF(ISNA(MATCH(Log[[#This Row],[ID]],Items[ID],0)),"unknown ID",IF(ISNA(MATCH(Log[[#This Row],[Verb]],VerbList,0)),"unknown verb",IF(Log[[#This Row],[Date]]="","no date",""))))</f>
      </c>
      <c r="G1973" s="17">
        <f>IF(Log[[#This Row],[ID]]="","",IFERROR(VLOOKUP(Log[[#This Row],[Verb]],Verbs,3,FALSE)&amp;"",""))</f>
      </c>
      <c r="H1973" s="17">
        <f>IF(Log[[#This Row],[Date]]="","",INT((Log[[#This Row],[Date]]-Sprint1)/SprintDays)+1)</f>
      </c>
      <c r="I1973" s="17">
        <f>IF(OR(Log[[#This Row],[Verb]]="commit",Log[[#This Row],[Verb]]="carry",Log[[#This Row],[Verb]]="redo"),IF(Log[[#This Row],[Arg]]="",Log[[#This Row],[Sprint]],N(Log[[#This Row],[Arg]])),"")</f>
      </c>
      <c r="J1973" s="17">
        <f>IF(Log[[#This Row],[Verb]]="block",1,IF(OR(Log[[#This Row],[Verb]]="unblock",Log[[#This Row],[Verb]]="done",Log[[#This Row],[Verb]]="drop",Log[[#This Row],[Verb]]="punt",Log[[#This Row],[Verb]]="pass"),0,""))</f>
      </c>
      <c r="K1973" s="17">
        <f>IF(Log[[#This Row],[ID]]="",0,IFERROR(INDEX(Items[Pts],MATCH(Log[[#This Row],[ID]],Items[ID],0))*1,0))</f>
      </c>
      <c r="L1973" s="17">
        <f>IF(Log[[#This Row],[ID]]="","",IFERROR(INDEX(Items[Cur team],MATCH(Log[[#This Row],[ID]],Items[ID],0))&amp;"",""))</f>
      </c>
      <c r="M1973" s="17">
        <f>IF(OR(Log[[#This Row],[Verb]]="done",Log[[#This Row],[Verb]]="punt",Log[[#This Row],[Verb]]="drop",Log[[#This Row],[Verb]]="pass"),Log[[#This Row],[Pts]],0)</f>
      </c>
    </row>
    <row r="1974">
      <c r="A1974" s="11">
        <v>46273</v>
      </c>
      <c r="B1974" t="s">
        <v>1058</v>
      </c>
      <c r="C1974" t="s">
        <v>34</v>
      </c>
      <c r="D1974">
        <v>52</v>
      </c>
      <c r="F1974" s="17">
        <f>IF(Log[[#This Row],[ID]]="","",IF(ISNA(MATCH(Log[[#This Row],[ID]],Items[ID],0)),"unknown ID",IF(ISNA(MATCH(Log[[#This Row],[Verb]],VerbList,0)),"unknown verb",IF(Log[[#This Row],[Date]]="","no date",""))))</f>
      </c>
      <c r="G1974" s="17">
        <f>IF(Log[[#This Row],[ID]]="","",IFERROR(VLOOKUP(Log[[#This Row],[Verb]],Verbs,3,FALSE)&amp;"",""))</f>
      </c>
      <c r="H1974" s="17">
        <f>IF(Log[[#This Row],[Date]]="","",INT((Log[[#This Row],[Date]]-Sprint1)/SprintDays)+1)</f>
      </c>
      <c r="I1974" s="17">
        <f>IF(OR(Log[[#This Row],[Verb]]="commit",Log[[#This Row],[Verb]]="carry",Log[[#This Row],[Verb]]="redo"),IF(Log[[#This Row],[Arg]]="",Log[[#This Row],[Sprint]],N(Log[[#This Row],[Arg]])),"")</f>
      </c>
      <c r="J1974" s="17">
        <f>IF(Log[[#This Row],[Verb]]="block",1,IF(OR(Log[[#This Row],[Verb]]="unblock",Log[[#This Row],[Verb]]="done",Log[[#This Row],[Verb]]="drop",Log[[#This Row],[Verb]]="punt",Log[[#This Row],[Verb]]="pass"),0,""))</f>
      </c>
      <c r="K1974" s="17">
        <f>IF(Log[[#This Row],[ID]]="",0,IFERROR(INDEX(Items[Pts],MATCH(Log[[#This Row],[ID]],Items[ID],0))*1,0))</f>
      </c>
      <c r="L1974" s="17">
        <f>IF(Log[[#This Row],[ID]]="","",IFERROR(INDEX(Items[Cur team],MATCH(Log[[#This Row],[ID]],Items[ID],0))&amp;"",""))</f>
      </c>
      <c r="M1974" s="17">
        <f>IF(OR(Log[[#This Row],[Verb]]="done",Log[[#This Row],[Verb]]="punt",Log[[#This Row],[Verb]]="drop",Log[[#This Row],[Verb]]="pass"),Log[[#This Row],[Pts]],0)</f>
      </c>
    </row>
    <row r="1975">
      <c r="A1975" s="11">
        <v>46273</v>
      </c>
      <c r="B1975" t="s">
        <v>1059</v>
      </c>
      <c r="C1975" t="s">
        <v>34</v>
      </c>
      <c r="D1975">
        <v>52</v>
      </c>
      <c r="F1975" s="17">
        <f>IF(Log[[#This Row],[ID]]="","",IF(ISNA(MATCH(Log[[#This Row],[ID]],Items[ID],0)),"unknown ID",IF(ISNA(MATCH(Log[[#This Row],[Verb]],VerbList,0)),"unknown verb",IF(Log[[#This Row],[Date]]="","no date",""))))</f>
      </c>
      <c r="G1975" s="17">
        <f>IF(Log[[#This Row],[ID]]="","",IFERROR(VLOOKUP(Log[[#This Row],[Verb]],Verbs,3,FALSE)&amp;"",""))</f>
      </c>
      <c r="H1975" s="17">
        <f>IF(Log[[#This Row],[Date]]="","",INT((Log[[#This Row],[Date]]-Sprint1)/SprintDays)+1)</f>
      </c>
      <c r="I1975" s="17">
        <f>IF(OR(Log[[#This Row],[Verb]]="commit",Log[[#This Row],[Verb]]="carry",Log[[#This Row],[Verb]]="redo"),IF(Log[[#This Row],[Arg]]="",Log[[#This Row],[Sprint]],N(Log[[#This Row],[Arg]])),"")</f>
      </c>
      <c r="J1975" s="17">
        <f>IF(Log[[#This Row],[Verb]]="block",1,IF(OR(Log[[#This Row],[Verb]]="unblock",Log[[#This Row],[Verb]]="done",Log[[#This Row],[Verb]]="drop",Log[[#This Row],[Verb]]="punt",Log[[#This Row],[Verb]]="pass"),0,""))</f>
      </c>
      <c r="K1975" s="17">
        <f>IF(Log[[#This Row],[ID]]="",0,IFERROR(INDEX(Items[Pts],MATCH(Log[[#This Row],[ID]],Items[ID],0))*1,0))</f>
      </c>
      <c r="L1975" s="17">
        <f>IF(Log[[#This Row],[ID]]="","",IFERROR(INDEX(Items[Cur team],MATCH(Log[[#This Row],[ID]],Items[ID],0))&amp;"",""))</f>
      </c>
      <c r="M1975" s="17">
        <f>IF(OR(Log[[#This Row],[Verb]]="done",Log[[#This Row],[Verb]]="punt",Log[[#This Row],[Verb]]="drop",Log[[#This Row],[Verb]]="pass"),Log[[#This Row],[Pts]],0)</f>
      </c>
    </row>
    <row r="1976">
      <c r="A1976" s="11">
        <v>46273</v>
      </c>
      <c r="B1976" t="s">
        <v>1060</v>
      </c>
      <c r="C1976" t="s">
        <v>34</v>
      </c>
      <c r="D1976">
        <v>52</v>
      </c>
      <c r="F1976" s="17">
        <f>IF(Log[[#This Row],[ID]]="","",IF(ISNA(MATCH(Log[[#This Row],[ID]],Items[ID],0)),"unknown ID",IF(ISNA(MATCH(Log[[#This Row],[Verb]],VerbList,0)),"unknown verb",IF(Log[[#This Row],[Date]]="","no date",""))))</f>
      </c>
      <c r="G1976" s="17">
        <f>IF(Log[[#This Row],[ID]]="","",IFERROR(VLOOKUP(Log[[#This Row],[Verb]],Verbs,3,FALSE)&amp;"",""))</f>
      </c>
      <c r="H1976" s="17">
        <f>IF(Log[[#This Row],[Date]]="","",INT((Log[[#This Row],[Date]]-Sprint1)/SprintDays)+1)</f>
      </c>
      <c r="I1976" s="17">
        <f>IF(OR(Log[[#This Row],[Verb]]="commit",Log[[#This Row],[Verb]]="carry",Log[[#This Row],[Verb]]="redo"),IF(Log[[#This Row],[Arg]]="",Log[[#This Row],[Sprint]],N(Log[[#This Row],[Arg]])),"")</f>
      </c>
      <c r="J1976" s="17">
        <f>IF(Log[[#This Row],[Verb]]="block",1,IF(OR(Log[[#This Row],[Verb]]="unblock",Log[[#This Row],[Verb]]="done",Log[[#This Row],[Verb]]="drop",Log[[#This Row],[Verb]]="punt",Log[[#This Row],[Verb]]="pass"),0,""))</f>
      </c>
      <c r="K1976" s="17">
        <f>IF(Log[[#This Row],[ID]]="",0,IFERROR(INDEX(Items[Pts],MATCH(Log[[#This Row],[ID]],Items[ID],0))*1,0))</f>
      </c>
      <c r="L1976" s="17">
        <f>IF(Log[[#This Row],[ID]]="","",IFERROR(INDEX(Items[Cur team],MATCH(Log[[#This Row],[ID]],Items[ID],0))&amp;"",""))</f>
      </c>
      <c r="M1976" s="17">
        <f>IF(OR(Log[[#This Row],[Verb]]="done",Log[[#This Row],[Verb]]="punt",Log[[#This Row],[Verb]]="drop",Log[[#This Row],[Verb]]="pass"),Log[[#This Row],[Pts]],0)</f>
      </c>
    </row>
    <row r="1977">
      <c r="A1977" s="11">
        <v>46273</v>
      </c>
      <c r="B1977" t="s">
        <v>1061</v>
      </c>
      <c r="C1977" t="s">
        <v>34</v>
      </c>
      <c r="D1977">
        <v>52</v>
      </c>
      <c r="F1977" s="17">
        <f>IF(Log[[#This Row],[ID]]="","",IF(ISNA(MATCH(Log[[#This Row],[ID]],Items[ID],0)),"unknown ID",IF(ISNA(MATCH(Log[[#This Row],[Verb]],VerbList,0)),"unknown verb",IF(Log[[#This Row],[Date]]="","no date",""))))</f>
      </c>
      <c r="G1977" s="17">
        <f>IF(Log[[#This Row],[ID]]="","",IFERROR(VLOOKUP(Log[[#This Row],[Verb]],Verbs,3,FALSE)&amp;"",""))</f>
      </c>
      <c r="H1977" s="17">
        <f>IF(Log[[#This Row],[Date]]="","",INT((Log[[#This Row],[Date]]-Sprint1)/SprintDays)+1)</f>
      </c>
      <c r="I1977" s="17">
        <f>IF(OR(Log[[#This Row],[Verb]]="commit",Log[[#This Row],[Verb]]="carry",Log[[#This Row],[Verb]]="redo"),IF(Log[[#This Row],[Arg]]="",Log[[#This Row],[Sprint]],N(Log[[#This Row],[Arg]])),"")</f>
      </c>
      <c r="J1977" s="17">
        <f>IF(Log[[#This Row],[Verb]]="block",1,IF(OR(Log[[#This Row],[Verb]]="unblock",Log[[#This Row],[Verb]]="done",Log[[#This Row],[Verb]]="drop",Log[[#This Row],[Verb]]="punt",Log[[#This Row],[Verb]]="pass"),0,""))</f>
      </c>
      <c r="K1977" s="17">
        <f>IF(Log[[#This Row],[ID]]="",0,IFERROR(INDEX(Items[Pts],MATCH(Log[[#This Row],[ID]],Items[ID],0))*1,0))</f>
      </c>
      <c r="L1977" s="17">
        <f>IF(Log[[#This Row],[ID]]="","",IFERROR(INDEX(Items[Cur team],MATCH(Log[[#This Row],[ID]],Items[ID],0))&amp;"",""))</f>
      </c>
      <c r="M1977" s="17">
        <f>IF(OR(Log[[#This Row],[Verb]]="done",Log[[#This Row],[Verb]]="punt",Log[[#This Row],[Verb]]="drop",Log[[#This Row],[Verb]]="pass"),Log[[#This Row],[Pts]],0)</f>
      </c>
    </row>
    <row r="1978">
      <c r="A1978" s="11">
        <v>46273</v>
      </c>
      <c r="B1978" t="s">
        <v>1062</v>
      </c>
      <c r="C1978" t="s">
        <v>34</v>
      </c>
      <c r="D1978">
        <v>52</v>
      </c>
      <c r="F1978" s="17">
        <f>IF(Log[[#This Row],[ID]]="","",IF(ISNA(MATCH(Log[[#This Row],[ID]],Items[ID],0)),"unknown ID",IF(ISNA(MATCH(Log[[#This Row],[Verb]],VerbList,0)),"unknown verb",IF(Log[[#This Row],[Date]]="","no date",""))))</f>
      </c>
      <c r="G1978" s="17">
        <f>IF(Log[[#This Row],[ID]]="","",IFERROR(VLOOKUP(Log[[#This Row],[Verb]],Verbs,3,FALSE)&amp;"",""))</f>
      </c>
      <c r="H1978" s="17">
        <f>IF(Log[[#This Row],[Date]]="","",INT((Log[[#This Row],[Date]]-Sprint1)/SprintDays)+1)</f>
      </c>
      <c r="I1978" s="17">
        <f>IF(OR(Log[[#This Row],[Verb]]="commit",Log[[#This Row],[Verb]]="carry",Log[[#This Row],[Verb]]="redo"),IF(Log[[#This Row],[Arg]]="",Log[[#This Row],[Sprint]],N(Log[[#This Row],[Arg]])),"")</f>
      </c>
      <c r="J1978" s="17">
        <f>IF(Log[[#This Row],[Verb]]="block",1,IF(OR(Log[[#This Row],[Verb]]="unblock",Log[[#This Row],[Verb]]="done",Log[[#This Row],[Verb]]="drop",Log[[#This Row],[Verb]]="punt",Log[[#This Row],[Verb]]="pass"),0,""))</f>
      </c>
      <c r="K1978" s="17">
        <f>IF(Log[[#This Row],[ID]]="",0,IFERROR(INDEX(Items[Pts],MATCH(Log[[#This Row],[ID]],Items[ID],0))*1,0))</f>
      </c>
      <c r="L1978" s="17">
        <f>IF(Log[[#This Row],[ID]]="","",IFERROR(INDEX(Items[Cur team],MATCH(Log[[#This Row],[ID]],Items[ID],0))&amp;"",""))</f>
      </c>
      <c r="M1978" s="17">
        <f>IF(OR(Log[[#This Row],[Verb]]="done",Log[[#This Row],[Verb]]="punt",Log[[#This Row],[Verb]]="drop",Log[[#This Row],[Verb]]="pass"),Log[[#This Row],[Pts]],0)</f>
      </c>
    </row>
    <row r="1979">
      <c r="A1979" s="11">
        <v>46273</v>
      </c>
      <c r="B1979" t="s">
        <v>1063</v>
      </c>
      <c r="C1979" t="s">
        <v>34</v>
      </c>
      <c r="D1979">
        <v>52</v>
      </c>
      <c r="F1979" s="17">
        <f>IF(Log[[#This Row],[ID]]="","",IF(ISNA(MATCH(Log[[#This Row],[ID]],Items[ID],0)),"unknown ID",IF(ISNA(MATCH(Log[[#This Row],[Verb]],VerbList,0)),"unknown verb",IF(Log[[#This Row],[Date]]="","no date",""))))</f>
      </c>
      <c r="G1979" s="17">
        <f>IF(Log[[#This Row],[ID]]="","",IFERROR(VLOOKUP(Log[[#This Row],[Verb]],Verbs,3,FALSE)&amp;"",""))</f>
      </c>
      <c r="H1979" s="17">
        <f>IF(Log[[#This Row],[Date]]="","",INT((Log[[#This Row],[Date]]-Sprint1)/SprintDays)+1)</f>
      </c>
      <c r="I1979" s="17">
        <f>IF(OR(Log[[#This Row],[Verb]]="commit",Log[[#This Row],[Verb]]="carry",Log[[#This Row],[Verb]]="redo"),IF(Log[[#This Row],[Arg]]="",Log[[#This Row],[Sprint]],N(Log[[#This Row],[Arg]])),"")</f>
      </c>
      <c r="J1979" s="17">
        <f>IF(Log[[#This Row],[Verb]]="block",1,IF(OR(Log[[#This Row],[Verb]]="unblock",Log[[#This Row],[Verb]]="done",Log[[#This Row],[Verb]]="drop",Log[[#This Row],[Verb]]="punt",Log[[#This Row],[Verb]]="pass"),0,""))</f>
      </c>
      <c r="K1979" s="17">
        <f>IF(Log[[#This Row],[ID]]="",0,IFERROR(INDEX(Items[Pts],MATCH(Log[[#This Row],[ID]],Items[ID],0))*1,0))</f>
      </c>
      <c r="L1979" s="17">
        <f>IF(Log[[#This Row],[ID]]="","",IFERROR(INDEX(Items[Cur team],MATCH(Log[[#This Row],[ID]],Items[ID],0))&amp;"",""))</f>
      </c>
      <c r="M1979" s="17">
        <f>IF(OR(Log[[#This Row],[Verb]]="done",Log[[#This Row],[Verb]]="punt",Log[[#This Row],[Verb]]="drop",Log[[#This Row],[Verb]]="pass"),Log[[#This Row],[Pts]],0)</f>
      </c>
    </row>
    <row r="1980">
      <c r="A1980" s="11">
        <v>46273</v>
      </c>
      <c r="B1980" t="s">
        <v>1064</v>
      </c>
      <c r="C1980" t="s">
        <v>34</v>
      </c>
      <c r="D1980">
        <v>52</v>
      </c>
      <c r="F1980" s="17">
        <f>IF(Log[[#This Row],[ID]]="","",IF(ISNA(MATCH(Log[[#This Row],[ID]],Items[ID],0)),"unknown ID",IF(ISNA(MATCH(Log[[#This Row],[Verb]],VerbList,0)),"unknown verb",IF(Log[[#This Row],[Date]]="","no date",""))))</f>
      </c>
      <c r="G1980" s="17">
        <f>IF(Log[[#This Row],[ID]]="","",IFERROR(VLOOKUP(Log[[#This Row],[Verb]],Verbs,3,FALSE)&amp;"",""))</f>
      </c>
      <c r="H1980" s="17">
        <f>IF(Log[[#This Row],[Date]]="","",INT((Log[[#This Row],[Date]]-Sprint1)/SprintDays)+1)</f>
      </c>
      <c r="I1980" s="17">
        <f>IF(OR(Log[[#This Row],[Verb]]="commit",Log[[#This Row],[Verb]]="carry",Log[[#This Row],[Verb]]="redo"),IF(Log[[#This Row],[Arg]]="",Log[[#This Row],[Sprint]],N(Log[[#This Row],[Arg]])),"")</f>
      </c>
      <c r="J1980" s="17">
        <f>IF(Log[[#This Row],[Verb]]="block",1,IF(OR(Log[[#This Row],[Verb]]="unblock",Log[[#This Row],[Verb]]="done",Log[[#This Row],[Verb]]="drop",Log[[#This Row],[Verb]]="punt",Log[[#This Row],[Verb]]="pass"),0,""))</f>
      </c>
      <c r="K1980" s="17">
        <f>IF(Log[[#This Row],[ID]]="",0,IFERROR(INDEX(Items[Pts],MATCH(Log[[#This Row],[ID]],Items[ID],0))*1,0))</f>
      </c>
      <c r="L1980" s="17">
        <f>IF(Log[[#This Row],[ID]]="","",IFERROR(INDEX(Items[Cur team],MATCH(Log[[#This Row],[ID]],Items[ID],0))&amp;"",""))</f>
      </c>
      <c r="M1980" s="17">
        <f>IF(OR(Log[[#This Row],[Verb]]="done",Log[[#This Row],[Verb]]="punt",Log[[#This Row],[Verb]]="drop",Log[[#This Row],[Verb]]="pass"),Log[[#This Row],[Pts]],0)</f>
      </c>
    </row>
    <row r="1981">
      <c r="A1981" s="11">
        <v>46273</v>
      </c>
      <c r="B1981" t="s">
        <v>1065</v>
      </c>
      <c r="C1981" t="s">
        <v>34</v>
      </c>
      <c r="D1981">
        <v>52</v>
      </c>
      <c r="F1981" s="17">
        <f>IF(Log[[#This Row],[ID]]="","",IF(ISNA(MATCH(Log[[#This Row],[ID]],Items[ID],0)),"unknown ID",IF(ISNA(MATCH(Log[[#This Row],[Verb]],VerbList,0)),"unknown verb",IF(Log[[#This Row],[Date]]="","no date",""))))</f>
      </c>
      <c r="G1981" s="17">
        <f>IF(Log[[#This Row],[ID]]="","",IFERROR(VLOOKUP(Log[[#This Row],[Verb]],Verbs,3,FALSE)&amp;"",""))</f>
      </c>
      <c r="H1981" s="17">
        <f>IF(Log[[#This Row],[Date]]="","",INT((Log[[#This Row],[Date]]-Sprint1)/SprintDays)+1)</f>
      </c>
      <c r="I1981" s="17">
        <f>IF(OR(Log[[#This Row],[Verb]]="commit",Log[[#This Row],[Verb]]="carry",Log[[#This Row],[Verb]]="redo"),IF(Log[[#This Row],[Arg]]="",Log[[#This Row],[Sprint]],N(Log[[#This Row],[Arg]])),"")</f>
      </c>
      <c r="J1981" s="17">
        <f>IF(Log[[#This Row],[Verb]]="block",1,IF(OR(Log[[#This Row],[Verb]]="unblock",Log[[#This Row],[Verb]]="done",Log[[#This Row],[Verb]]="drop",Log[[#This Row],[Verb]]="punt",Log[[#This Row],[Verb]]="pass"),0,""))</f>
      </c>
      <c r="K1981" s="17">
        <f>IF(Log[[#This Row],[ID]]="",0,IFERROR(INDEX(Items[Pts],MATCH(Log[[#This Row],[ID]],Items[ID],0))*1,0))</f>
      </c>
      <c r="L1981" s="17">
        <f>IF(Log[[#This Row],[ID]]="","",IFERROR(INDEX(Items[Cur team],MATCH(Log[[#This Row],[ID]],Items[ID],0))&amp;"",""))</f>
      </c>
      <c r="M1981" s="17">
        <f>IF(OR(Log[[#This Row],[Verb]]="done",Log[[#This Row],[Verb]]="punt",Log[[#This Row],[Verb]]="drop",Log[[#This Row],[Verb]]="pass"),Log[[#This Row],[Pts]],0)</f>
      </c>
    </row>
    <row r="1982">
      <c r="A1982" s="11">
        <v>46273</v>
      </c>
      <c r="B1982" t="s">
        <v>1066</v>
      </c>
      <c r="C1982" t="s">
        <v>34</v>
      </c>
      <c r="D1982">
        <v>52</v>
      </c>
      <c r="F1982" s="17">
        <f>IF(Log[[#This Row],[ID]]="","",IF(ISNA(MATCH(Log[[#This Row],[ID]],Items[ID],0)),"unknown ID",IF(ISNA(MATCH(Log[[#This Row],[Verb]],VerbList,0)),"unknown verb",IF(Log[[#This Row],[Date]]="","no date",""))))</f>
      </c>
      <c r="G1982" s="17">
        <f>IF(Log[[#This Row],[ID]]="","",IFERROR(VLOOKUP(Log[[#This Row],[Verb]],Verbs,3,FALSE)&amp;"",""))</f>
      </c>
      <c r="H1982" s="17">
        <f>IF(Log[[#This Row],[Date]]="","",INT((Log[[#This Row],[Date]]-Sprint1)/SprintDays)+1)</f>
      </c>
      <c r="I1982" s="17">
        <f>IF(OR(Log[[#This Row],[Verb]]="commit",Log[[#This Row],[Verb]]="carry",Log[[#This Row],[Verb]]="redo"),IF(Log[[#This Row],[Arg]]="",Log[[#This Row],[Sprint]],N(Log[[#This Row],[Arg]])),"")</f>
      </c>
      <c r="J1982" s="17">
        <f>IF(Log[[#This Row],[Verb]]="block",1,IF(OR(Log[[#This Row],[Verb]]="unblock",Log[[#This Row],[Verb]]="done",Log[[#This Row],[Verb]]="drop",Log[[#This Row],[Verb]]="punt",Log[[#This Row],[Verb]]="pass"),0,""))</f>
      </c>
      <c r="K1982" s="17">
        <f>IF(Log[[#This Row],[ID]]="",0,IFERROR(INDEX(Items[Pts],MATCH(Log[[#This Row],[ID]],Items[ID],0))*1,0))</f>
      </c>
      <c r="L1982" s="17">
        <f>IF(Log[[#This Row],[ID]]="","",IFERROR(INDEX(Items[Cur team],MATCH(Log[[#This Row],[ID]],Items[ID],0))&amp;"",""))</f>
      </c>
      <c r="M1982" s="17">
        <f>IF(OR(Log[[#This Row],[Verb]]="done",Log[[#This Row],[Verb]]="punt",Log[[#This Row],[Verb]]="drop",Log[[#This Row],[Verb]]="pass"),Log[[#This Row],[Pts]],0)</f>
      </c>
    </row>
    <row r="1983">
      <c r="A1983" s="11">
        <v>46273</v>
      </c>
      <c r="B1983" t="s">
        <v>1067</v>
      </c>
      <c r="C1983" t="s">
        <v>34</v>
      </c>
      <c r="D1983">
        <v>52</v>
      </c>
      <c r="F1983" s="17">
        <f>IF(Log[[#This Row],[ID]]="","",IF(ISNA(MATCH(Log[[#This Row],[ID]],Items[ID],0)),"unknown ID",IF(ISNA(MATCH(Log[[#This Row],[Verb]],VerbList,0)),"unknown verb",IF(Log[[#This Row],[Date]]="","no date",""))))</f>
      </c>
      <c r="G1983" s="17">
        <f>IF(Log[[#This Row],[ID]]="","",IFERROR(VLOOKUP(Log[[#This Row],[Verb]],Verbs,3,FALSE)&amp;"",""))</f>
      </c>
      <c r="H1983" s="17">
        <f>IF(Log[[#This Row],[Date]]="","",INT((Log[[#This Row],[Date]]-Sprint1)/SprintDays)+1)</f>
      </c>
      <c r="I1983" s="17">
        <f>IF(OR(Log[[#This Row],[Verb]]="commit",Log[[#This Row],[Verb]]="carry",Log[[#This Row],[Verb]]="redo"),IF(Log[[#This Row],[Arg]]="",Log[[#This Row],[Sprint]],N(Log[[#This Row],[Arg]])),"")</f>
      </c>
      <c r="J1983" s="17">
        <f>IF(Log[[#This Row],[Verb]]="block",1,IF(OR(Log[[#This Row],[Verb]]="unblock",Log[[#This Row],[Verb]]="done",Log[[#This Row],[Verb]]="drop",Log[[#This Row],[Verb]]="punt",Log[[#This Row],[Verb]]="pass"),0,""))</f>
      </c>
      <c r="K1983" s="17">
        <f>IF(Log[[#This Row],[ID]]="",0,IFERROR(INDEX(Items[Pts],MATCH(Log[[#This Row],[ID]],Items[ID],0))*1,0))</f>
      </c>
      <c r="L1983" s="17">
        <f>IF(Log[[#This Row],[ID]]="","",IFERROR(INDEX(Items[Cur team],MATCH(Log[[#This Row],[ID]],Items[ID],0))&amp;"",""))</f>
      </c>
      <c r="M1983" s="17">
        <f>IF(OR(Log[[#This Row],[Verb]]="done",Log[[#This Row],[Verb]]="punt",Log[[#This Row],[Verb]]="drop",Log[[#This Row],[Verb]]="pass"),Log[[#This Row],[Pts]],0)</f>
      </c>
    </row>
    <row r="1984">
      <c r="A1984" s="11">
        <v>46273</v>
      </c>
      <c r="B1984" t="s">
        <v>1068</v>
      </c>
      <c r="C1984" t="s">
        <v>34</v>
      </c>
      <c r="D1984">
        <v>52</v>
      </c>
      <c r="F1984" s="17">
        <f>IF(Log[[#This Row],[ID]]="","",IF(ISNA(MATCH(Log[[#This Row],[ID]],Items[ID],0)),"unknown ID",IF(ISNA(MATCH(Log[[#This Row],[Verb]],VerbList,0)),"unknown verb",IF(Log[[#This Row],[Date]]="","no date",""))))</f>
      </c>
      <c r="G1984" s="17">
        <f>IF(Log[[#This Row],[ID]]="","",IFERROR(VLOOKUP(Log[[#This Row],[Verb]],Verbs,3,FALSE)&amp;"",""))</f>
      </c>
      <c r="H1984" s="17">
        <f>IF(Log[[#This Row],[Date]]="","",INT((Log[[#This Row],[Date]]-Sprint1)/SprintDays)+1)</f>
      </c>
      <c r="I1984" s="17">
        <f>IF(OR(Log[[#This Row],[Verb]]="commit",Log[[#This Row],[Verb]]="carry",Log[[#This Row],[Verb]]="redo"),IF(Log[[#This Row],[Arg]]="",Log[[#This Row],[Sprint]],N(Log[[#This Row],[Arg]])),"")</f>
      </c>
      <c r="J1984" s="17">
        <f>IF(Log[[#This Row],[Verb]]="block",1,IF(OR(Log[[#This Row],[Verb]]="unblock",Log[[#This Row],[Verb]]="done",Log[[#This Row],[Verb]]="drop",Log[[#This Row],[Verb]]="punt",Log[[#This Row],[Verb]]="pass"),0,""))</f>
      </c>
      <c r="K1984" s="17">
        <f>IF(Log[[#This Row],[ID]]="",0,IFERROR(INDEX(Items[Pts],MATCH(Log[[#This Row],[ID]],Items[ID],0))*1,0))</f>
      </c>
      <c r="L1984" s="17">
        <f>IF(Log[[#This Row],[ID]]="","",IFERROR(INDEX(Items[Cur team],MATCH(Log[[#This Row],[ID]],Items[ID],0))&amp;"",""))</f>
      </c>
      <c r="M1984" s="17">
        <f>IF(OR(Log[[#This Row],[Verb]]="done",Log[[#This Row],[Verb]]="punt",Log[[#This Row],[Verb]]="drop",Log[[#This Row],[Verb]]="pass"),Log[[#This Row],[Pts]],0)</f>
      </c>
    </row>
    <row r="1985">
      <c r="A1985" s="11">
        <v>46273</v>
      </c>
      <c r="B1985" t="s">
        <v>1069</v>
      </c>
      <c r="C1985" t="s">
        <v>34</v>
      </c>
      <c r="D1985">
        <v>52</v>
      </c>
      <c r="F1985" s="17">
        <f>IF(Log[[#This Row],[ID]]="","",IF(ISNA(MATCH(Log[[#This Row],[ID]],Items[ID],0)),"unknown ID",IF(ISNA(MATCH(Log[[#This Row],[Verb]],VerbList,0)),"unknown verb",IF(Log[[#This Row],[Date]]="","no date",""))))</f>
      </c>
      <c r="G1985" s="17">
        <f>IF(Log[[#This Row],[ID]]="","",IFERROR(VLOOKUP(Log[[#This Row],[Verb]],Verbs,3,FALSE)&amp;"",""))</f>
      </c>
      <c r="H1985" s="17">
        <f>IF(Log[[#This Row],[Date]]="","",INT((Log[[#This Row],[Date]]-Sprint1)/SprintDays)+1)</f>
      </c>
      <c r="I1985" s="17">
        <f>IF(OR(Log[[#This Row],[Verb]]="commit",Log[[#This Row],[Verb]]="carry",Log[[#This Row],[Verb]]="redo"),IF(Log[[#This Row],[Arg]]="",Log[[#This Row],[Sprint]],N(Log[[#This Row],[Arg]])),"")</f>
      </c>
      <c r="J1985" s="17">
        <f>IF(Log[[#This Row],[Verb]]="block",1,IF(OR(Log[[#This Row],[Verb]]="unblock",Log[[#This Row],[Verb]]="done",Log[[#This Row],[Verb]]="drop",Log[[#This Row],[Verb]]="punt",Log[[#This Row],[Verb]]="pass"),0,""))</f>
      </c>
      <c r="K1985" s="17">
        <f>IF(Log[[#This Row],[ID]]="",0,IFERROR(INDEX(Items[Pts],MATCH(Log[[#This Row],[ID]],Items[ID],0))*1,0))</f>
      </c>
      <c r="L1985" s="17">
        <f>IF(Log[[#This Row],[ID]]="","",IFERROR(INDEX(Items[Cur team],MATCH(Log[[#This Row],[ID]],Items[ID],0))&amp;"",""))</f>
      </c>
      <c r="M1985" s="17">
        <f>IF(OR(Log[[#This Row],[Verb]]="done",Log[[#This Row],[Verb]]="punt",Log[[#This Row],[Verb]]="drop",Log[[#This Row],[Verb]]="pass"),Log[[#This Row],[Pts]],0)</f>
      </c>
    </row>
    <row r="1986">
      <c r="A1986" s="11">
        <v>46273</v>
      </c>
      <c r="B1986" t="s">
        <v>1070</v>
      </c>
      <c r="C1986" t="s">
        <v>34</v>
      </c>
      <c r="D1986">
        <v>52</v>
      </c>
      <c r="F1986" s="17">
        <f>IF(Log[[#This Row],[ID]]="","",IF(ISNA(MATCH(Log[[#This Row],[ID]],Items[ID],0)),"unknown ID",IF(ISNA(MATCH(Log[[#This Row],[Verb]],VerbList,0)),"unknown verb",IF(Log[[#This Row],[Date]]="","no date",""))))</f>
      </c>
      <c r="G1986" s="17">
        <f>IF(Log[[#This Row],[ID]]="","",IFERROR(VLOOKUP(Log[[#This Row],[Verb]],Verbs,3,FALSE)&amp;"",""))</f>
      </c>
      <c r="H1986" s="17">
        <f>IF(Log[[#This Row],[Date]]="","",INT((Log[[#This Row],[Date]]-Sprint1)/SprintDays)+1)</f>
      </c>
      <c r="I1986" s="17">
        <f>IF(OR(Log[[#This Row],[Verb]]="commit",Log[[#This Row],[Verb]]="carry",Log[[#This Row],[Verb]]="redo"),IF(Log[[#This Row],[Arg]]="",Log[[#This Row],[Sprint]],N(Log[[#This Row],[Arg]])),"")</f>
      </c>
      <c r="J1986" s="17">
        <f>IF(Log[[#This Row],[Verb]]="block",1,IF(OR(Log[[#This Row],[Verb]]="unblock",Log[[#This Row],[Verb]]="done",Log[[#This Row],[Verb]]="drop",Log[[#This Row],[Verb]]="punt",Log[[#This Row],[Verb]]="pass"),0,""))</f>
      </c>
      <c r="K1986" s="17">
        <f>IF(Log[[#This Row],[ID]]="",0,IFERROR(INDEX(Items[Pts],MATCH(Log[[#This Row],[ID]],Items[ID],0))*1,0))</f>
      </c>
      <c r="L1986" s="17">
        <f>IF(Log[[#This Row],[ID]]="","",IFERROR(INDEX(Items[Cur team],MATCH(Log[[#This Row],[ID]],Items[ID],0))&amp;"",""))</f>
      </c>
      <c r="M1986" s="17">
        <f>IF(OR(Log[[#This Row],[Verb]]="done",Log[[#This Row],[Verb]]="punt",Log[[#This Row],[Verb]]="drop",Log[[#This Row],[Verb]]="pass"),Log[[#This Row],[Pts]],0)</f>
      </c>
    </row>
    <row r="1987">
      <c r="A1987" s="11">
        <v>46273</v>
      </c>
      <c r="B1987" t="s">
        <v>1071</v>
      </c>
      <c r="C1987" t="s">
        <v>34</v>
      </c>
      <c r="D1987">
        <v>52</v>
      </c>
      <c r="F1987" s="17">
        <f>IF(Log[[#This Row],[ID]]="","",IF(ISNA(MATCH(Log[[#This Row],[ID]],Items[ID],0)),"unknown ID",IF(ISNA(MATCH(Log[[#This Row],[Verb]],VerbList,0)),"unknown verb",IF(Log[[#This Row],[Date]]="","no date",""))))</f>
      </c>
      <c r="G1987" s="17">
        <f>IF(Log[[#This Row],[ID]]="","",IFERROR(VLOOKUP(Log[[#This Row],[Verb]],Verbs,3,FALSE)&amp;"",""))</f>
      </c>
      <c r="H1987" s="17">
        <f>IF(Log[[#This Row],[Date]]="","",INT((Log[[#This Row],[Date]]-Sprint1)/SprintDays)+1)</f>
      </c>
      <c r="I1987" s="17">
        <f>IF(OR(Log[[#This Row],[Verb]]="commit",Log[[#This Row],[Verb]]="carry",Log[[#This Row],[Verb]]="redo"),IF(Log[[#This Row],[Arg]]="",Log[[#This Row],[Sprint]],N(Log[[#This Row],[Arg]])),"")</f>
      </c>
      <c r="J1987" s="17">
        <f>IF(Log[[#This Row],[Verb]]="block",1,IF(OR(Log[[#This Row],[Verb]]="unblock",Log[[#This Row],[Verb]]="done",Log[[#This Row],[Verb]]="drop",Log[[#This Row],[Verb]]="punt",Log[[#This Row],[Verb]]="pass"),0,""))</f>
      </c>
      <c r="K1987" s="17">
        <f>IF(Log[[#This Row],[ID]]="",0,IFERROR(INDEX(Items[Pts],MATCH(Log[[#This Row],[ID]],Items[ID],0))*1,0))</f>
      </c>
      <c r="L1987" s="17">
        <f>IF(Log[[#This Row],[ID]]="","",IFERROR(INDEX(Items[Cur team],MATCH(Log[[#This Row],[ID]],Items[ID],0))&amp;"",""))</f>
      </c>
      <c r="M1987" s="17">
        <f>IF(OR(Log[[#This Row],[Verb]]="done",Log[[#This Row],[Verb]]="punt",Log[[#This Row],[Verb]]="drop",Log[[#This Row],[Verb]]="pass"),Log[[#This Row],[Pts]],0)</f>
      </c>
    </row>
    <row r="1988">
      <c r="A1988" s="11">
        <v>46273</v>
      </c>
      <c r="B1988" t="s">
        <v>1072</v>
      </c>
      <c r="C1988" t="s">
        <v>34</v>
      </c>
      <c r="D1988">
        <v>52</v>
      </c>
      <c r="F1988" s="17">
        <f>IF(Log[[#This Row],[ID]]="","",IF(ISNA(MATCH(Log[[#This Row],[ID]],Items[ID],0)),"unknown ID",IF(ISNA(MATCH(Log[[#This Row],[Verb]],VerbList,0)),"unknown verb",IF(Log[[#This Row],[Date]]="","no date",""))))</f>
      </c>
      <c r="G1988" s="17">
        <f>IF(Log[[#This Row],[ID]]="","",IFERROR(VLOOKUP(Log[[#This Row],[Verb]],Verbs,3,FALSE)&amp;"",""))</f>
      </c>
      <c r="H1988" s="17">
        <f>IF(Log[[#This Row],[Date]]="","",INT((Log[[#This Row],[Date]]-Sprint1)/SprintDays)+1)</f>
      </c>
      <c r="I1988" s="17">
        <f>IF(OR(Log[[#This Row],[Verb]]="commit",Log[[#This Row],[Verb]]="carry",Log[[#This Row],[Verb]]="redo"),IF(Log[[#This Row],[Arg]]="",Log[[#This Row],[Sprint]],N(Log[[#This Row],[Arg]])),"")</f>
      </c>
      <c r="J1988" s="17">
        <f>IF(Log[[#This Row],[Verb]]="block",1,IF(OR(Log[[#This Row],[Verb]]="unblock",Log[[#This Row],[Verb]]="done",Log[[#This Row],[Verb]]="drop",Log[[#This Row],[Verb]]="punt",Log[[#This Row],[Verb]]="pass"),0,""))</f>
      </c>
      <c r="K1988" s="17">
        <f>IF(Log[[#This Row],[ID]]="",0,IFERROR(INDEX(Items[Pts],MATCH(Log[[#This Row],[ID]],Items[ID],0))*1,0))</f>
      </c>
      <c r="L1988" s="17">
        <f>IF(Log[[#This Row],[ID]]="","",IFERROR(INDEX(Items[Cur team],MATCH(Log[[#This Row],[ID]],Items[ID],0))&amp;"",""))</f>
      </c>
      <c r="M1988" s="17">
        <f>IF(OR(Log[[#This Row],[Verb]]="done",Log[[#This Row],[Verb]]="punt",Log[[#This Row],[Verb]]="drop",Log[[#This Row],[Verb]]="pass"),Log[[#This Row],[Pts]],0)</f>
      </c>
    </row>
    <row r="1989">
      <c r="A1989" s="11">
        <v>46273</v>
      </c>
      <c r="B1989" t="s">
        <v>1073</v>
      </c>
      <c r="C1989" t="s">
        <v>34</v>
      </c>
      <c r="D1989">
        <v>52</v>
      </c>
      <c r="F1989" s="17">
        <f>IF(Log[[#This Row],[ID]]="","",IF(ISNA(MATCH(Log[[#This Row],[ID]],Items[ID],0)),"unknown ID",IF(ISNA(MATCH(Log[[#This Row],[Verb]],VerbList,0)),"unknown verb",IF(Log[[#This Row],[Date]]="","no date",""))))</f>
      </c>
      <c r="G1989" s="17">
        <f>IF(Log[[#This Row],[ID]]="","",IFERROR(VLOOKUP(Log[[#This Row],[Verb]],Verbs,3,FALSE)&amp;"",""))</f>
      </c>
      <c r="H1989" s="17">
        <f>IF(Log[[#This Row],[Date]]="","",INT((Log[[#This Row],[Date]]-Sprint1)/SprintDays)+1)</f>
      </c>
      <c r="I1989" s="17">
        <f>IF(OR(Log[[#This Row],[Verb]]="commit",Log[[#This Row],[Verb]]="carry",Log[[#This Row],[Verb]]="redo"),IF(Log[[#This Row],[Arg]]="",Log[[#This Row],[Sprint]],N(Log[[#This Row],[Arg]])),"")</f>
      </c>
      <c r="J1989" s="17">
        <f>IF(Log[[#This Row],[Verb]]="block",1,IF(OR(Log[[#This Row],[Verb]]="unblock",Log[[#This Row],[Verb]]="done",Log[[#This Row],[Verb]]="drop",Log[[#This Row],[Verb]]="punt",Log[[#This Row],[Verb]]="pass"),0,""))</f>
      </c>
      <c r="K1989" s="17">
        <f>IF(Log[[#This Row],[ID]]="",0,IFERROR(INDEX(Items[Pts],MATCH(Log[[#This Row],[ID]],Items[ID],0))*1,0))</f>
      </c>
      <c r="L1989" s="17">
        <f>IF(Log[[#This Row],[ID]]="","",IFERROR(INDEX(Items[Cur team],MATCH(Log[[#This Row],[ID]],Items[ID],0))&amp;"",""))</f>
      </c>
      <c r="M1989" s="17">
        <f>IF(OR(Log[[#This Row],[Verb]]="done",Log[[#This Row],[Verb]]="punt",Log[[#This Row],[Verb]]="drop",Log[[#This Row],[Verb]]="pass"),Log[[#This Row],[Pts]],0)</f>
      </c>
    </row>
    <row r="1990">
      <c r="A1990" s="11">
        <v>46273</v>
      </c>
      <c r="B1990" t="s">
        <v>1074</v>
      </c>
      <c r="C1990" t="s">
        <v>34</v>
      </c>
      <c r="D1990">
        <v>52</v>
      </c>
      <c r="F1990" s="17">
        <f>IF(Log[[#This Row],[ID]]="","",IF(ISNA(MATCH(Log[[#This Row],[ID]],Items[ID],0)),"unknown ID",IF(ISNA(MATCH(Log[[#This Row],[Verb]],VerbList,0)),"unknown verb",IF(Log[[#This Row],[Date]]="","no date",""))))</f>
      </c>
      <c r="G1990" s="17">
        <f>IF(Log[[#This Row],[ID]]="","",IFERROR(VLOOKUP(Log[[#This Row],[Verb]],Verbs,3,FALSE)&amp;"",""))</f>
      </c>
      <c r="H1990" s="17">
        <f>IF(Log[[#This Row],[Date]]="","",INT((Log[[#This Row],[Date]]-Sprint1)/SprintDays)+1)</f>
      </c>
      <c r="I1990" s="17">
        <f>IF(OR(Log[[#This Row],[Verb]]="commit",Log[[#This Row],[Verb]]="carry",Log[[#This Row],[Verb]]="redo"),IF(Log[[#This Row],[Arg]]="",Log[[#This Row],[Sprint]],N(Log[[#This Row],[Arg]])),"")</f>
      </c>
      <c r="J1990" s="17">
        <f>IF(Log[[#This Row],[Verb]]="block",1,IF(OR(Log[[#This Row],[Verb]]="unblock",Log[[#This Row],[Verb]]="done",Log[[#This Row],[Verb]]="drop",Log[[#This Row],[Verb]]="punt",Log[[#This Row],[Verb]]="pass"),0,""))</f>
      </c>
      <c r="K1990" s="17">
        <f>IF(Log[[#This Row],[ID]]="",0,IFERROR(INDEX(Items[Pts],MATCH(Log[[#This Row],[ID]],Items[ID],0))*1,0))</f>
      </c>
      <c r="L1990" s="17">
        <f>IF(Log[[#This Row],[ID]]="","",IFERROR(INDEX(Items[Cur team],MATCH(Log[[#This Row],[ID]],Items[ID],0))&amp;"",""))</f>
      </c>
      <c r="M1990" s="17">
        <f>IF(OR(Log[[#This Row],[Verb]]="done",Log[[#This Row],[Verb]]="punt",Log[[#This Row],[Verb]]="drop",Log[[#This Row],[Verb]]="pass"),Log[[#This Row],[Pts]],0)</f>
      </c>
    </row>
    <row r="1991">
      <c r="A1991" s="11">
        <v>46273</v>
      </c>
      <c r="B1991" t="s">
        <v>1075</v>
      </c>
      <c r="C1991" t="s">
        <v>34</v>
      </c>
      <c r="D1991">
        <v>52</v>
      </c>
      <c r="F1991" s="17">
        <f>IF(Log[[#This Row],[ID]]="","",IF(ISNA(MATCH(Log[[#This Row],[ID]],Items[ID],0)),"unknown ID",IF(ISNA(MATCH(Log[[#This Row],[Verb]],VerbList,0)),"unknown verb",IF(Log[[#This Row],[Date]]="","no date",""))))</f>
      </c>
      <c r="G1991" s="17">
        <f>IF(Log[[#This Row],[ID]]="","",IFERROR(VLOOKUP(Log[[#This Row],[Verb]],Verbs,3,FALSE)&amp;"",""))</f>
      </c>
      <c r="H1991" s="17">
        <f>IF(Log[[#This Row],[Date]]="","",INT((Log[[#This Row],[Date]]-Sprint1)/SprintDays)+1)</f>
      </c>
      <c r="I1991" s="17">
        <f>IF(OR(Log[[#This Row],[Verb]]="commit",Log[[#This Row],[Verb]]="carry",Log[[#This Row],[Verb]]="redo"),IF(Log[[#This Row],[Arg]]="",Log[[#This Row],[Sprint]],N(Log[[#This Row],[Arg]])),"")</f>
      </c>
      <c r="J1991" s="17">
        <f>IF(Log[[#This Row],[Verb]]="block",1,IF(OR(Log[[#This Row],[Verb]]="unblock",Log[[#This Row],[Verb]]="done",Log[[#This Row],[Verb]]="drop",Log[[#This Row],[Verb]]="punt",Log[[#This Row],[Verb]]="pass"),0,""))</f>
      </c>
      <c r="K1991" s="17">
        <f>IF(Log[[#This Row],[ID]]="",0,IFERROR(INDEX(Items[Pts],MATCH(Log[[#This Row],[ID]],Items[ID],0))*1,0))</f>
      </c>
      <c r="L1991" s="17">
        <f>IF(Log[[#This Row],[ID]]="","",IFERROR(INDEX(Items[Cur team],MATCH(Log[[#This Row],[ID]],Items[ID],0))&amp;"",""))</f>
      </c>
      <c r="M1991" s="17">
        <f>IF(OR(Log[[#This Row],[Verb]]="done",Log[[#This Row],[Verb]]="punt",Log[[#This Row],[Verb]]="drop",Log[[#This Row],[Verb]]="pass"),Log[[#This Row],[Pts]],0)</f>
      </c>
    </row>
    <row r="1992">
      <c r="A1992" s="11">
        <v>46273</v>
      </c>
      <c r="B1992" t="s">
        <v>1076</v>
      </c>
      <c r="C1992" t="s">
        <v>34</v>
      </c>
      <c r="D1992">
        <v>52</v>
      </c>
      <c r="F1992" s="17">
        <f>IF(Log[[#This Row],[ID]]="","",IF(ISNA(MATCH(Log[[#This Row],[ID]],Items[ID],0)),"unknown ID",IF(ISNA(MATCH(Log[[#This Row],[Verb]],VerbList,0)),"unknown verb",IF(Log[[#This Row],[Date]]="","no date",""))))</f>
      </c>
      <c r="G1992" s="17">
        <f>IF(Log[[#This Row],[ID]]="","",IFERROR(VLOOKUP(Log[[#This Row],[Verb]],Verbs,3,FALSE)&amp;"",""))</f>
      </c>
      <c r="H1992" s="17">
        <f>IF(Log[[#This Row],[Date]]="","",INT((Log[[#This Row],[Date]]-Sprint1)/SprintDays)+1)</f>
      </c>
      <c r="I1992" s="17">
        <f>IF(OR(Log[[#This Row],[Verb]]="commit",Log[[#This Row],[Verb]]="carry",Log[[#This Row],[Verb]]="redo"),IF(Log[[#This Row],[Arg]]="",Log[[#This Row],[Sprint]],N(Log[[#This Row],[Arg]])),"")</f>
      </c>
      <c r="J1992" s="17">
        <f>IF(Log[[#This Row],[Verb]]="block",1,IF(OR(Log[[#This Row],[Verb]]="unblock",Log[[#This Row],[Verb]]="done",Log[[#This Row],[Verb]]="drop",Log[[#This Row],[Verb]]="punt",Log[[#This Row],[Verb]]="pass"),0,""))</f>
      </c>
      <c r="K1992" s="17">
        <f>IF(Log[[#This Row],[ID]]="",0,IFERROR(INDEX(Items[Pts],MATCH(Log[[#This Row],[ID]],Items[ID],0))*1,0))</f>
      </c>
      <c r="L1992" s="17">
        <f>IF(Log[[#This Row],[ID]]="","",IFERROR(INDEX(Items[Cur team],MATCH(Log[[#This Row],[ID]],Items[ID],0))&amp;"",""))</f>
      </c>
      <c r="M1992" s="17">
        <f>IF(OR(Log[[#This Row],[Verb]]="done",Log[[#This Row],[Verb]]="punt",Log[[#This Row],[Verb]]="drop",Log[[#This Row],[Verb]]="pass"),Log[[#This Row],[Pts]],0)</f>
      </c>
    </row>
    <row r="1993">
      <c r="A1993" s="11">
        <v>46273</v>
      </c>
      <c r="B1993" t="s">
        <v>1077</v>
      </c>
      <c r="C1993" t="s">
        <v>34</v>
      </c>
      <c r="D1993">
        <v>52</v>
      </c>
      <c r="F1993" s="17">
        <f>IF(Log[[#This Row],[ID]]="","",IF(ISNA(MATCH(Log[[#This Row],[ID]],Items[ID],0)),"unknown ID",IF(ISNA(MATCH(Log[[#This Row],[Verb]],VerbList,0)),"unknown verb",IF(Log[[#This Row],[Date]]="","no date",""))))</f>
      </c>
      <c r="G1993" s="17">
        <f>IF(Log[[#This Row],[ID]]="","",IFERROR(VLOOKUP(Log[[#This Row],[Verb]],Verbs,3,FALSE)&amp;"",""))</f>
      </c>
      <c r="H1993" s="17">
        <f>IF(Log[[#This Row],[Date]]="","",INT((Log[[#This Row],[Date]]-Sprint1)/SprintDays)+1)</f>
      </c>
      <c r="I1993" s="17">
        <f>IF(OR(Log[[#This Row],[Verb]]="commit",Log[[#This Row],[Verb]]="carry",Log[[#This Row],[Verb]]="redo"),IF(Log[[#This Row],[Arg]]="",Log[[#This Row],[Sprint]],N(Log[[#This Row],[Arg]])),"")</f>
      </c>
      <c r="J1993" s="17">
        <f>IF(Log[[#This Row],[Verb]]="block",1,IF(OR(Log[[#This Row],[Verb]]="unblock",Log[[#This Row],[Verb]]="done",Log[[#This Row],[Verb]]="drop",Log[[#This Row],[Verb]]="punt",Log[[#This Row],[Verb]]="pass"),0,""))</f>
      </c>
      <c r="K1993" s="17">
        <f>IF(Log[[#This Row],[ID]]="",0,IFERROR(INDEX(Items[Pts],MATCH(Log[[#This Row],[ID]],Items[ID],0))*1,0))</f>
      </c>
      <c r="L1993" s="17">
        <f>IF(Log[[#This Row],[ID]]="","",IFERROR(INDEX(Items[Cur team],MATCH(Log[[#This Row],[ID]],Items[ID],0))&amp;"",""))</f>
      </c>
      <c r="M1993" s="17">
        <f>IF(OR(Log[[#This Row],[Verb]]="done",Log[[#This Row],[Verb]]="punt",Log[[#This Row],[Verb]]="drop",Log[[#This Row],[Verb]]="pass"),Log[[#This Row],[Pts]],0)</f>
      </c>
    </row>
    <row r="1994">
      <c r="A1994" s="11">
        <v>46273</v>
      </c>
      <c r="B1994" t="s">
        <v>1078</v>
      </c>
      <c r="C1994" t="s">
        <v>34</v>
      </c>
      <c r="D1994">
        <v>52</v>
      </c>
      <c r="F1994" s="17">
        <f>IF(Log[[#This Row],[ID]]="","",IF(ISNA(MATCH(Log[[#This Row],[ID]],Items[ID],0)),"unknown ID",IF(ISNA(MATCH(Log[[#This Row],[Verb]],VerbList,0)),"unknown verb",IF(Log[[#This Row],[Date]]="","no date",""))))</f>
      </c>
      <c r="G1994" s="17">
        <f>IF(Log[[#This Row],[ID]]="","",IFERROR(VLOOKUP(Log[[#This Row],[Verb]],Verbs,3,FALSE)&amp;"",""))</f>
      </c>
      <c r="H1994" s="17">
        <f>IF(Log[[#This Row],[Date]]="","",INT((Log[[#This Row],[Date]]-Sprint1)/SprintDays)+1)</f>
      </c>
      <c r="I1994" s="17">
        <f>IF(OR(Log[[#This Row],[Verb]]="commit",Log[[#This Row],[Verb]]="carry",Log[[#This Row],[Verb]]="redo"),IF(Log[[#This Row],[Arg]]="",Log[[#This Row],[Sprint]],N(Log[[#This Row],[Arg]])),"")</f>
      </c>
      <c r="J1994" s="17">
        <f>IF(Log[[#This Row],[Verb]]="block",1,IF(OR(Log[[#This Row],[Verb]]="unblock",Log[[#This Row],[Verb]]="done",Log[[#This Row],[Verb]]="drop",Log[[#This Row],[Verb]]="punt",Log[[#This Row],[Verb]]="pass"),0,""))</f>
      </c>
      <c r="K1994" s="17">
        <f>IF(Log[[#This Row],[ID]]="",0,IFERROR(INDEX(Items[Pts],MATCH(Log[[#This Row],[ID]],Items[ID],0))*1,0))</f>
      </c>
      <c r="L1994" s="17">
        <f>IF(Log[[#This Row],[ID]]="","",IFERROR(INDEX(Items[Cur team],MATCH(Log[[#This Row],[ID]],Items[ID],0))&amp;"",""))</f>
      </c>
      <c r="M1994" s="17">
        <f>IF(OR(Log[[#This Row],[Verb]]="done",Log[[#This Row],[Verb]]="punt",Log[[#This Row],[Verb]]="drop",Log[[#This Row],[Verb]]="pass"),Log[[#This Row],[Pts]],0)</f>
      </c>
    </row>
    <row r="1995">
      <c r="A1995" s="11">
        <v>46273</v>
      </c>
      <c r="B1995" t="s">
        <v>1079</v>
      </c>
      <c r="C1995" t="s">
        <v>34</v>
      </c>
      <c r="D1995">
        <v>52</v>
      </c>
      <c r="F1995" s="17">
        <f>IF(Log[[#This Row],[ID]]="","",IF(ISNA(MATCH(Log[[#This Row],[ID]],Items[ID],0)),"unknown ID",IF(ISNA(MATCH(Log[[#This Row],[Verb]],VerbList,0)),"unknown verb",IF(Log[[#This Row],[Date]]="","no date",""))))</f>
      </c>
      <c r="G1995" s="17">
        <f>IF(Log[[#This Row],[ID]]="","",IFERROR(VLOOKUP(Log[[#This Row],[Verb]],Verbs,3,FALSE)&amp;"",""))</f>
      </c>
      <c r="H1995" s="17">
        <f>IF(Log[[#This Row],[Date]]="","",INT((Log[[#This Row],[Date]]-Sprint1)/SprintDays)+1)</f>
      </c>
      <c r="I1995" s="17">
        <f>IF(OR(Log[[#This Row],[Verb]]="commit",Log[[#This Row],[Verb]]="carry",Log[[#This Row],[Verb]]="redo"),IF(Log[[#This Row],[Arg]]="",Log[[#This Row],[Sprint]],N(Log[[#This Row],[Arg]])),"")</f>
      </c>
      <c r="J1995" s="17">
        <f>IF(Log[[#This Row],[Verb]]="block",1,IF(OR(Log[[#This Row],[Verb]]="unblock",Log[[#This Row],[Verb]]="done",Log[[#This Row],[Verb]]="drop",Log[[#This Row],[Verb]]="punt",Log[[#This Row],[Verb]]="pass"),0,""))</f>
      </c>
      <c r="K1995" s="17">
        <f>IF(Log[[#This Row],[ID]]="",0,IFERROR(INDEX(Items[Pts],MATCH(Log[[#This Row],[ID]],Items[ID],0))*1,0))</f>
      </c>
      <c r="L1995" s="17">
        <f>IF(Log[[#This Row],[ID]]="","",IFERROR(INDEX(Items[Cur team],MATCH(Log[[#This Row],[ID]],Items[ID],0))&amp;"",""))</f>
      </c>
      <c r="M1995" s="17">
        <f>IF(OR(Log[[#This Row],[Verb]]="done",Log[[#This Row],[Verb]]="punt",Log[[#This Row],[Verb]]="drop",Log[[#This Row],[Verb]]="pass"),Log[[#This Row],[Pts]],0)</f>
      </c>
    </row>
    <row r="1996">
      <c r="A1996" s="11">
        <v>46273</v>
      </c>
      <c r="B1996" t="s">
        <v>1080</v>
      </c>
      <c r="C1996" t="s">
        <v>34</v>
      </c>
      <c r="D1996">
        <v>52</v>
      </c>
      <c r="F1996" s="17">
        <f>IF(Log[[#This Row],[ID]]="","",IF(ISNA(MATCH(Log[[#This Row],[ID]],Items[ID],0)),"unknown ID",IF(ISNA(MATCH(Log[[#This Row],[Verb]],VerbList,0)),"unknown verb",IF(Log[[#This Row],[Date]]="","no date",""))))</f>
      </c>
      <c r="G1996" s="17">
        <f>IF(Log[[#This Row],[ID]]="","",IFERROR(VLOOKUP(Log[[#This Row],[Verb]],Verbs,3,FALSE)&amp;"",""))</f>
      </c>
      <c r="H1996" s="17">
        <f>IF(Log[[#This Row],[Date]]="","",INT((Log[[#This Row],[Date]]-Sprint1)/SprintDays)+1)</f>
      </c>
      <c r="I1996" s="17">
        <f>IF(OR(Log[[#This Row],[Verb]]="commit",Log[[#This Row],[Verb]]="carry",Log[[#This Row],[Verb]]="redo"),IF(Log[[#This Row],[Arg]]="",Log[[#This Row],[Sprint]],N(Log[[#This Row],[Arg]])),"")</f>
      </c>
      <c r="J1996" s="17">
        <f>IF(Log[[#This Row],[Verb]]="block",1,IF(OR(Log[[#This Row],[Verb]]="unblock",Log[[#This Row],[Verb]]="done",Log[[#This Row],[Verb]]="drop",Log[[#This Row],[Verb]]="punt",Log[[#This Row],[Verb]]="pass"),0,""))</f>
      </c>
      <c r="K1996" s="17">
        <f>IF(Log[[#This Row],[ID]]="",0,IFERROR(INDEX(Items[Pts],MATCH(Log[[#This Row],[ID]],Items[ID],0))*1,0))</f>
      </c>
      <c r="L1996" s="17">
        <f>IF(Log[[#This Row],[ID]]="","",IFERROR(INDEX(Items[Cur team],MATCH(Log[[#This Row],[ID]],Items[ID],0))&amp;"",""))</f>
      </c>
      <c r="M1996" s="17">
        <f>IF(OR(Log[[#This Row],[Verb]]="done",Log[[#This Row],[Verb]]="punt",Log[[#This Row],[Verb]]="drop",Log[[#This Row],[Verb]]="pass"),Log[[#This Row],[Pts]],0)</f>
      </c>
    </row>
    <row r="1997">
      <c r="A1997" s="11">
        <v>46273</v>
      </c>
      <c r="B1997" t="s">
        <v>1081</v>
      </c>
      <c r="C1997" t="s">
        <v>34</v>
      </c>
      <c r="D1997">
        <v>52</v>
      </c>
      <c r="F1997" s="17">
        <f>IF(Log[[#This Row],[ID]]="","",IF(ISNA(MATCH(Log[[#This Row],[ID]],Items[ID],0)),"unknown ID",IF(ISNA(MATCH(Log[[#This Row],[Verb]],VerbList,0)),"unknown verb",IF(Log[[#This Row],[Date]]="","no date",""))))</f>
      </c>
      <c r="G1997" s="17">
        <f>IF(Log[[#This Row],[ID]]="","",IFERROR(VLOOKUP(Log[[#This Row],[Verb]],Verbs,3,FALSE)&amp;"",""))</f>
      </c>
      <c r="H1997" s="17">
        <f>IF(Log[[#This Row],[Date]]="","",INT((Log[[#This Row],[Date]]-Sprint1)/SprintDays)+1)</f>
      </c>
      <c r="I1997" s="17">
        <f>IF(OR(Log[[#This Row],[Verb]]="commit",Log[[#This Row],[Verb]]="carry",Log[[#This Row],[Verb]]="redo"),IF(Log[[#This Row],[Arg]]="",Log[[#This Row],[Sprint]],N(Log[[#This Row],[Arg]])),"")</f>
      </c>
      <c r="J1997" s="17">
        <f>IF(Log[[#This Row],[Verb]]="block",1,IF(OR(Log[[#This Row],[Verb]]="unblock",Log[[#This Row],[Verb]]="done",Log[[#This Row],[Verb]]="drop",Log[[#This Row],[Verb]]="punt",Log[[#This Row],[Verb]]="pass"),0,""))</f>
      </c>
      <c r="K1997" s="17">
        <f>IF(Log[[#This Row],[ID]]="",0,IFERROR(INDEX(Items[Pts],MATCH(Log[[#This Row],[ID]],Items[ID],0))*1,0))</f>
      </c>
      <c r="L1997" s="17">
        <f>IF(Log[[#This Row],[ID]]="","",IFERROR(INDEX(Items[Cur team],MATCH(Log[[#This Row],[ID]],Items[ID],0))&amp;"",""))</f>
      </c>
      <c r="M1997" s="17">
        <f>IF(OR(Log[[#This Row],[Verb]]="done",Log[[#This Row],[Verb]]="punt",Log[[#This Row],[Verb]]="drop",Log[[#This Row],[Verb]]="pass"),Log[[#This Row],[Pts]],0)</f>
      </c>
    </row>
    <row r="1998">
      <c r="A1998" s="11">
        <v>46273</v>
      </c>
      <c r="B1998" t="s">
        <v>1082</v>
      </c>
      <c r="C1998" t="s">
        <v>34</v>
      </c>
      <c r="D1998">
        <v>52</v>
      </c>
      <c r="F1998" s="17">
        <f>IF(Log[[#This Row],[ID]]="","",IF(ISNA(MATCH(Log[[#This Row],[ID]],Items[ID],0)),"unknown ID",IF(ISNA(MATCH(Log[[#This Row],[Verb]],VerbList,0)),"unknown verb",IF(Log[[#This Row],[Date]]="","no date",""))))</f>
      </c>
      <c r="G1998" s="17">
        <f>IF(Log[[#This Row],[ID]]="","",IFERROR(VLOOKUP(Log[[#This Row],[Verb]],Verbs,3,FALSE)&amp;"",""))</f>
      </c>
      <c r="H1998" s="17">
        <f>IF(Log[[#This Row],[Date]]="","",INT((Log[[#This Row],[Date]]-Sprint1)/SprintDays)+1)</f>
      </c>
      <c r="I1998" s="17">
        <f>IF(OR(Log[[#This Row],[Verb]]="commit",Log[[#This Row],[Verb]]="carry",Log[[#This Row],[Verb]]="redo"),IF(Log[[#This Row],[Arg]]="",Log[[#This Row],[Sprint]],N(Log[[#This Row],[Arg]])),"")</f>
      </c>
      <c r="J1998" s="17">
        <f>IF(Log[[#This Row],[Verb]]="block",1,IF(OR(Log[[#This Row],[Verb]]="unblock",Log[[#This Row],[Verb]]="done",Log[[#This Row],[Verb]]="drop",Log[[#This Row],[Verb]]="punt",Log[[#This Row],[Verb]]="pass"),0,""))</f>
      </c>
      <c r="K1998" s="17">
        <f>IF(Log[[#This Row],[ID]]="",0,IFERROR(INDEX(Items[Pts],MATCH(Log[[#This Row],[ID]],Items[ID],0))*1,0))</f>
      </c>
      <c r="L1998" s="17">
        <f>IF(Log[[#This Row],[ID]]="","",IFERROR(INDEX(Items[Cur team],MATCH(Log[[#This Row],[ID]],Items[ID],0))&amp;"",""))</f>
      </c>
      <c r="M1998" s="17">
        <f>IF(OR(Log[[#This Row],[Verb]]="done",Log[[#This Row],[Verb]]="punt",Log[[#This Row],[Verb]]="drop",Log[[#This Row],[Verb]]="pass"),Log[[#This Row],[Pts]],0)</f>
      </c>
    </row>
    <row r="1999">
      <c r="A1999" s="11">
        <v>46273</v>
      </c>
      <c r="B1999" t="s">
        <v>1083</v>
      </c>
      <c r="C1999" t="s">
        <v>34</v>
      </c>
      <c r="D1999">
        <v>52</v>
      </c>
      <c r="F1999" s="17">
        <f>IF(Log[[#This Row],[ID]]="","",IF(ISNA(MATCH(Log[[#This Row],[ID]],Items[ID],0)),"unknown ID",IF(ISNA(MATCH(Log[[#This Row],[Verb]],VerbList,0)),"unknown verb",IF(Log[[#This Row],[Date]]="","no date",""))))</f>
      </c>
      <c r="G1999" s="17">
        <f>IF(Log[[#This Row],[ID]]="","",IFERROR(VLOOKUP(Log[[#This Row],[Verb]],Verbs,3,FALSE)&amp;"",""))</f>
      </c>
      <c r="H1999" s="17">
        <f>IF(Log[[#This Row],[Date]]="","",INT((Log[[#This Row],[Date]]-Sprint1)/SprintDays)+1)</f>
      </c>
      <c r="I1999" s="17">
        <f>IF(OR(Log[[#This Row],[Verb]]="commit",Log[[#This Row],[Verb]]="carry",Log[[#This Row],[Verb]]="redo"),IF(Log[[#This Row],[Arg]]="",Log[[#This Row],[Sprint]],N(Log[[#This Row],[Arg]])),"")</f>
      </c>
      <c r="J1999" s="17">
        <f>IF(Log[[#This Row],[Verb]]="block",1,IF(OR(Log[[#This Row],[Verb]]="unblock",Log[[#This Row],[Verb]]="done",Log[[#This Row],[Verb]]="drop",Log[[#This Row],[Verb]]="punt",Log[[#This Row],[Verb]]="pass"),0,""))</f>
      </c>
      <c r="K1999" s="17">
        <f>IF(Log[[#This Row],[ID]]="",0,IFERROR(INDEX(Items[Pts],MATCH(Log[[#This Row],[ID]],Items[ID],0))*1,0))</f>
      </c>
      <c r="L1999" s="17">
        <f>IF(Log[[#This Row],[ID]]="","",IFERROR(INDEX(Items[Cur team],MATCH(Log[[#This Row],[ID]],Items[ID],0))&amp;"",""))</f>
      </c>
      <c r="M1999" s="17">
        <f>IF(OR(Log[[#This Row],[Verb]]="done",Log[[#This Row],[Verb]]="punt",Log[[#This Row],[Verb]]="drop",Log[[#This Row],[Verb]]="pass"),Log[[#This Row],[Pts]],0)</f>
      </c>
    </row>
    <row r="2000">
      <c r="A2000" s="11">
        <v>46273</v>
      </c>
      <c r="B2000" t="s">
        <v>1084</v>
      </c>
      <c r="C2000" t="s">
        <v>34</v>
      </c>
      <c r="D2000">
        <v>52</v>
      </c>
      <c r="F2000" s="17">
        <f>IF(Log[[#This Row],[ID]]="","",IF(ISNA(MATCH(Log[[#This Row],[ID]],Items[ID],0)),"unknown ID",IF(ISNA(MATCH(Log[[#This Row],[Verb]],VerbList,0)),"unknown verb",IF(Log[[#This Row],[Date]]="","no date",""))))</f>
      </c>
      <c r="G2000" s="17">
        <f>IF(Log[[#This Row],[ID]]="","",IFERROR(VLOOKUP(Log[[#This Row],[Verb]],Verbs,3,FALSE)&amp;"",""))</f>
      </c>
      <c r="H2000" s="17">
        <f>IF(Log[[#This Row],[Date]]="","",INT((Log[[#This Row],[Date]]-Sprint1)/SprintDays)+1)</f>
      </c>
      <c r="I2000" s="17">
        <f>IF(OR(Log[[#This Row],[Verb]]="commit",Log[[#This Row],[Verb]]="carry",Log[[#This Row],[Verb]]="redo"),IF(Log[[#This Row],[Arg]]="",Log[[#This Row],[Sprint]],N(Log[[#This Row],[Arg]])),"")</f>
      </c>
      <c r="J2000" s="17">
        <f>IF(Log[[#This Row],[Verb]]="block",1,IF(OR(Log[[#This Row],[Verb]]="unblock",Log[[#This Row],[Verb]]="done",Log[[#This Row],[Verb]]="drop",Log[[#This Row],[Verb]]="punt",Log[[#This Row],[Verb]]="pass"),0,""))</f>
      </c>
      <c r="K2000" s="17">
        <f>IF(Log[[#This Row],[ID]]="",0,IFERROR(INDEX(Items[Pts],MATCH(Log[[#This Row],[ID]],Items[ID],0))*1,0))</f>
      </c>
      <c r="L2000" s="17">
        <f>IF(Log[[#This Row],[ID]]="","",IFERROR(INDEX(Items[Cur team],MATCH(Log[[#This Row],[ID]],Items[ID],0))&amp;"",""))</f>
      </c>
      <c r="M2000" s="17">
        <f>IF(OR(Log[[#This Row],[Verb]]="done",Log[[#This Row],[Verb]]="punt",Log[[#This Row],[Verb]]="drop",Log[[#This Row],[Verb]]="pass"),Log[[#This Row],[Pts]],0)</f>
      </c>
    </row>
    <row r="2001">
      <c r="A2001" s="11">
        <v>46273</v>
      </c>
      <c r="B2001" t="s">
        <v>1085</v>
      </c>
      <c r="C2001" t="s">
        <v>34</v>
      </c>
      <c r="D2001">
        <v>52</v>
      </c>
      <c r="F2001" s="17">
        <f>IF(Log[[#This Row],[ID]]="","",IF(ISNA(MATCH(Log[[#This Row],[ID]],Items[ID],0)),"unknown ID",IF(ISNA(MATCH(Log[[#This Row],[Verb]],VerbList,0)),"unknown verb",IF(Log[[#This Row],[Date]]="","no date",""))))</f>
      </c>
      <c r="G2001" s="17">
        <f>IF(Log[[#This Row],[ID]]="","",IFERROR(VLOOKUP(Log[[#This Row],[Verb]],Verbs,3,FALSE)&amp;"",""))</f>
      </c>
      <c r="H2001" s="17">
        <f>IF(Log[[#This Row],[Date]]="","",INT((Log[[#This Row],[Date]]-Sprint1)/SprintDays)+1)</f>
      </c>
      <c r="I2001" s="17">
        <f>IF(OR(Log[[#This Row],[Verb]]="commit",Log[[#This Row],[Verb]]="carry",Log[[#This Row],[Verb]]="redo"),IF(Log[[#This Row],[Arg]]="",Log[[#This Row],[Sprint]],N(Log[[#This Row],[Arg]])),"")</f>
      </c>
      <c r="J2001" s="17">
        <f>IF(Log[[#This Row],[Verb]]="block",1,IF(OR(Log[[#This Row],[Verb]]="unblock",Log[[#This Row],[Verb]]="done",Log[[#This Row],[Verb]]="drop",Log[[#This Row],[Verb]]="punt",Log[[#This Row],[Verb]]="pass"),0,""))</f>
      </c>
      <c r="K2001" s="17">
        <f>IF(Log[[#This Row],[ID]]="",0,IFERROR(INDEX(Items[Pts],MATCH(Log[[#This Row],[ID]],Items[ID],0))*1,0))</f>
      </c>
      <c r="L2001" s="17">
        <f>IF(Log[[#This Row],[ID]]="","",IFERROR(INDEX(Items[Cur team],MATCH(Log[[#This Row],[ID]],Items[ID],0))&amp;"",""))</f>
      </c>
      <c r="M2001" s="17">
        <f>IF(OR(Log[[#This Row],[Verb]]="done",Log[[#This Row],[Verb]]="punt",Log[[#This Row],[Verb]]="drop",Log[[#This Row],[Verb]]="pass"),Log[[#This Row],[Pts]],0)</f>
      </c>
    </row>
    <row r="2002">
      <c r="A2002" s="11">
        <v>46273</v>
      </c>
      <c r="B2002" t="s">
        <v>1086</v>
      </c>
      <c r="C2002" t="s">
        <v>34</v>
      </c>
      <c r="D2002">
        <v>52</v>
      </c>
      <c r="F2002" s="17">
        <f>IF(Log[[#This Row],[ID]]="","",IF(ISNA(MATCH(Log[[#This Row],[ID]],Items[ID],0)),"unknown ID",IF(ISNA(MATCH(Log[[#This Row],[Verb]],VerbList,0)),"unknown verb",IF(Log[[#This Row],[Date]]="","no date",""))))</f>
      </c>
      <c r="G2002" s="17">
        <f>IF(Log[[#This Row],[ID]]="","",IFERROR(VLOOKUP(Log[[#This Row],[Verb]],Verbs,3,FALSE)&amp;"",""))</f>
      </c>
      <c r="H2002" s="17">
        <f>IF(Log[[#This Row],[Date]]="","",INT((Log[[#This Row],[Date]]-Sprint1)/SprintDays)+1)</f>
      </c>
      <c r="I2002" s="17">
        <f>IF(OR(Log[[#This Row],[Verb]]="commit",Log[[#This Row],[Verb]]="carry",Log[[#This Row],[Verb]]="redo"),IF(Log[[#This Row],[Arg]]="",Log[[#This Row],[Sprint]],N(Log[[#This Row],[Arg]])),"")</f>
      </c>
      <c r="J2002" s="17">
        <f>IF(Log[[#This Row],[Verb]]="block",1,IF(OR(Log[[#This Row],[Verb]]="unblock",Log[[#This Row],[Verb]]="done",Log[[#This Row],[Verb]]="drop",Log[[#This Row],[Verb]]="punt",Log[[#This Row],[Verb]]="pass"),0,""))</f>
      </c>
      <c r="K2002" s="17">
        <f>IF(Log[[#This Row],[ID]]="",0,IFERROR(INDEX(Items[Pts],MATCH(Log[[#This Row],[ID]],Items[ID],0))*1,0))</f>
      </c>
      <c r="L2002" s="17">
        <f>IF(Log[[#This Row],[ID]]="","",IFERROR(INDEX(Items[Cur team],MATCH(Log[[#This Row],[ID]],Items[ID],0))&amp;"",""))</f>
      </c>
      <c r="M2002" s="17">
        <f>IF(OR(Log[[#This Row],[Verb]]="done",Log[[#This Row],[Verb]]="punt",Log[[#This Row],[Verb]]="drop",Log[[#This Row],[Verb]]="pass"),Log[[#This Row],[Pts]],0)</f>
      </c>
    </row>
    <row r="2003">
      <c r="A2003" s="11">
        <v>46273</v>
      </c>
      <c r="B2003" t="s">
        <v>1087</v>
      </c>
      <c r="C2003" t="s">
        <v>34</v>
      </c>
      <c r="D2003">
        <v>52</v>
      </c>
      <c r="F2003" s="17">
        <f>IF(Log[[#This Row],[ID]]="","",IF(ISNA(MATCH(Log[[#This Row],[ID]],Items[ID],0)),"unknown ID",IF(ISNA(MATCH(Log[[#This Row],[Verb]],VerbList,0)),"unknown verb",IF(Log[[#This Row],[Date]]="","no date",""))))</f>
      </c>
      <c r="G2003" s="17">
        <f>IF(Log[[#This Row],[ID]]="","",IFERROR(VLOOKUP(Log[[#This Row],[Verb]],Verbs,3,FALSE)&amp;"",""))</f>
      </c>
      <c r="H2003" s="17">
        <f>IF(Log[[#This Row],[Date]]="","",INT((Log[[#This Row],[Date]]-Sprint1)/SprintDays)+1)</f>
      </c>
      <c r="I2003" s="17">
        <f>IF(OR(Log[[#This Row],[Verb]]="commit",Log[[#This Row],[Verb]]="carry",Log[[#This Row],[Verb]]="redo"),IF(Log[[#This Row],[Arg]]="",Log[[#This Row],[Sprint]],N(Log[[#This Row],[Arg]])),"")</f>
      </c>
      <c r="J2003" s="17">
        <f>IF(Log[[#This Row],[Verb]]="block",1,IF(OR(Log[[#This Row],[Verb]]="unblock",Log[[#This Row],[Verb]]="done",Log[[#This Row],[Verb]]="drop",Log[[#This Row],[Verb]]="punt",Log[[#This Row],[Verb]]="pass"),0,""))</f>
      </c>
      <c r="K2003" s="17">
        <f>IF(Log[[#This Row],[ID]]="",0,IFERROR(INDEX(Items[Pts],MATCH(Log[[#This Row],[ID]],Items[ID],0))*1,0))</f>
      </c>
      <c r="L2003" s="17">
        <f>IF(Log[[#This Row],[ID]]="","",IFERROR(INDEX(Items[Cur team],MATCH(Log[[#This Row],[ID]],Items[ID],0))&amp;"",""))</f>
      </c>
      <c r="M2003" s="17">
        <f>IF(OR(Log[[#This Row],[Verb]]="done",Log[[#This Row],[Verb]]="punt",Log[[#This Row],[Verb]]="drop",Log[[#This Row],[Verb]]="pass"),Log[[#This Row],[Pts]],0)</f>
      </c>
    </row>
    <row r="2004">
      <c r="A2004" s="11">
        <v>46273</v>
      </c>
      <c r="B2004" t="s">
        <v>1088</v>
      </c>
      <c r="C2004" t="s">
        <v>34</v>
      </c>
      <c r="D2004">
        <v>52</v>
      </c>
      <c r="F2004" s="17">
        <f>IF(Log[[#This Row],[ID]]="","",IF(ISNA(MATCH(Log[[#This Row],[ID]],Items[ID],0)),"unknown ID",IF(ISNA(MATCH(Log[[#This Row],[Verb]],VerbList,0)),"unknown verb",IF(Log[[#This Row],[Date]]="","no date",""))))</f>
      </c>
      <c r="G2004" s="17">
        <f>IF(Log[[#This Row],[ID]]="","",IFERROR(VLOOKUP(Log[[#This Row],[Verb]],Verbs,3,FALSE)&amp;"",""))</f>
      </c>
      <c r="H2004" s="17">
        <f>IF(Log[[#This Row],[Date]]="","",INT((Log[[#This Row],[Date]]-Sprint1)/SprintDays)+1)</f>
      </c>
      <c r="I2004" s="17">
        <f>IF(OR(Log[[#This Row],[Verb]]="commit",Log[[#This Row],[Verb]]="carry",Log[[#This Row],[Verb]]="redo"),IF(Log[[#This Row],[Arg]]="",Log[[#This Row],[Sprint]],N(Log[[#This Row],[Arg]])),"")</f>
      </c>
      <c r="J2004" s="17">
        <f>IF(Log[[#This Row],[Verb]]="block",1,IF(OR(Log[[#This Row],[Verb]]="unblock",Log[[#This Row],[Verb]]="done",Log[[#This Row],[Verb]]="drop",Log[[#This Row],[Verb]]="punt",Log[[#This Row],[Verb]]="pass"),0,""))</f>
      </c>
      <c r="K2004" s="17">
        <f>IF(Log[[#This Row],[ID]]="",0,IFERROR(INDEX(Items[Pts],MATCH(Log[[#This Row],[ID]],Items[ID],0))*1,0))</f>
      </c>
      <c r="L2004" s="17">
        <f>IF(Log[[#This Row],[ID]]="","",IFERROR(INDEX(Items[Cur team],MATCH(Log[[#This Row],[ID]],Items[ID],0))&amp;"",""))</f>
      </c>
      <c r="M2004" s="17">
        <f>IF(OR(Log[[#This Row],[Verb]]="done",Log[[#This Row],[Verb]]="punt",Log[[#This Row],[Verb]]="drop",Log[[#This Row],[Verb]]="pass"),Log[[#This Row],[Pts]],0)</f>
      </c>
    </row>
    <row r="2005">
      <c r="A2005" s="11">
        <v>46273</v>
      </c>
      <c r="B2005" t="s">
        <v>1089</v>
      </c>
      <c r="C2005" t="s">
        <v>34</v>
      </c>
      <c r="D2005">
        <v>52</v>
      </c>
      <c r="F2005" s="17">
        <f>IF(Log[[#This Row],[ID]]="","",IF(ISNA(MATCH(Log[[#This Row],[ID]],Items[ID],0)),"unknown ID",IF(ISNA(MATCH(Log[[#This Row],[Verb]],VerbList,0)),"unknown verb",IF(Log[[#This Row],[Date]]="","no date",""))))</f>
      </c>
      <c r="G2005" s="17">
        <f>IF(Log[[#This Row],[ID]]="","",IFERROR(VLOOKUP(Log[[#This Row],[Verb]],Verbs,3,FALSE)&amp;"",""))</f>
      </c>
      <c r="H2005" s="17">
        <f>IF(Log[[#This Row],[Date]]="","",INT((Log[[#This Row],[Date]]-Sprint1)/SprintDays)+1)</f>
      </c>
      <c r="I2005" s="17">
        <f>IF(OR(Log[[#This Row],[Verb]]="commit",Log[[#This Row],[Verb]]="carry",Log[[#This Row],[Verb]]="redo"),IF(Log[[#This Row],[Arg]]="",Log[[#This Row],[Sprint]],N(Log[[#This Row],[Arg]])),"")</f>
      </c>
      <c r="J2005" s="17">
        <f>IF(Log[[#This Row],[Verb]]="block",1,IF(OR(Log[[#This Row],[Verb]]="unblock",Log[[#This Row],[Verb]]="done",Log[[#This Row],[Verb]]="drop",Log[[#This Row],[Verb]]="punt",Log[[#This Row],[Verb]]="pass"),0,""))</f>
      </c>
      <c r="K2005" s="17">
        <f>IF(Log[[#This Row],[ID]]="",0,IFERROR(INDEX(Items[Pts],MATCH(Log[[#This Row],[ID]],Items[ID],0))*1,0))</f>
      </c>
      <c r="L2005" s="17">
        <f>IF(Log[[#This Row],[ID]]="","",IFERROR(INDEX(Items[Cur team],MATCH(Log[[#This Row],[ID]],Items[ID],0))&amp;"",""))</f>
      </c>
      <c r="M2005" s="17">
        <f>IF(OR(Log[[#This Row],[Verb]]="done",Log[[#This Row],[Verb]]="punt",Log[[#This Row],[Verb]]="drop",Log[[#This Row],[Verb]]="pass"),Log[[#This Row],[Pts]],0)</f>
      </c>
    </row>
    <row r="2006">
      <c r="A2006" s="11">
        <v>46273</v>
      </c>
      <c r="B2006" t="s">
        <v>1090</v>
      </c>
      <c r="C2006" t="s">
        <v>34</v>
      </c>
      <c r="D2006">
        <v>52</v>
      </c>
      <c r="F2006" s="17">
        <f>IF(Log[[#This Row],[ID]]="","",IF(ISNA(MATCH(Log[[#This Row],[ID]],Items[ID],0)),"unknown ID",IF(ISNA(MATCH(Log[[#This Row],[Verb]],VerbList,0)),"unknown verb",IF(Log[[#This Row],[Date]]="","no date",""))))</f>
      </c>
      <c r="G2006" s="17">
        <f>IF(Log[[#This Row],[ID]]="","",IFERROR(VLOOKUP(Log[[#This Row],[Verb]],Verbs,3,FALSE)&amp;"",""))</f>
      </c>
      <c r="H2006" s="17">
        <f>IF(Log[[#This Row],[Date]]="","",INT((Log[[#This Row],[Date]]-Sprint1)/SprintDays)+1)</f>
      </c>
      <c r="I2006" s="17">
        <f>IF(OR(Log[[#This Row],[Verb]]="commit",Log[[#This Row],[Verb]]="carry",Log[[#This Row],[Verb]]="redo"),IF(Log[[#This Row],[Arg]]="",Log[[#This Row],[Sprint]],N(Log[[#This Row],[Arg]])),"")</f>
      </c>
      <c r="J2006" s="17">
        <f>IF(Log[[#This Row],[Verb]]="block",1,IF(OR(Log[[#This Row],[Verb]]="unblock",Log[[#This Row],[Verb]]="done",Log[[#This Row],[Verb]]="drop",Log[[#This Row],[Verb]]="punt",Log[[#This Row],[Verb]]="pass"),0,""))</f>
      </c>
      <c r="K2006" s="17">
        <f>IF(Log[[#This Row],[ID]]="",0,IFERROR(INDEX(Items[Pts],MATCH(Log[[#This Row],[ID]],Items[ID],0))*1,0))</f>
      </c>
      <c r="L2006" s="17">
        <f>IF(Log[[#This Row],[ID]]="","",IFERROR(INDEX(Items[Cur team],MATCH(Log[[#This Row],[ID]],Items[ID],0))&amp;"",""))</f>
      </c>
      <c r="M2006" s="17">
        <f>IF(OR(Log[[#This Row],[Verb]]="done",Log[[#This Row],[Verb]]="punt",Log[[#This Row],[Verb]]="drop",Log[[#This Row],[Verb]]="pass"),Log[[#This Row],[Pts]],0)</f>
      </c>
    </row>
    <row r="2007">
      <c r="A2007" s="11">
        <v>46286</v>
      </c>
      <c r="B2007" t="s">
        <v>954</v>
      </c>
      <c r="C2007" t="s">
        <v>41</v>
      </c>
      <c r="F2007" s="17">
        <f>IF(Log[[#This Row],[ID]]="","",IF(ISNA(MATCH(Log[[#This Row],[ID]],Items[ID],0)),"unknown ID",IF(ISNA(MATCH(Log[[#This Row],[Verb]],VerbList,0)),"unknown verb",IF(Log[[#This Row],[Date]]="","no date",""))))</f>
      </c>
      <c r="G2007" s="17">
        <f>IF(Log[[#This Row],[ID]]="","",IFERROR(VLOOKUP(Log[[#This Row],[Verb]],Verbs,3,FALSE)&amp;"",""))</f>
      </c>
      <c r="H2007" s="17">
        <f>IF(Log[[#This Row],[Date]]="","",INT((Log[[#This Row],[Date]]-Sprint1)/SprintDays)+1)</f>
      </c>
      <c r="I2007" s="17">
        <f>IF(OR(Log[[#This Row],[Verb]]="commit",Log[[#This Row],[Verb]]="carry",Log[[#This Row],[Verb]]="redo"),IF(Log[[#This Row],[Arg]]="",Log[[#This Row],[Sprint]],N(Log[[#This Row],[Arg]])),"")</f>
      </c>
      <c r="J2007" s="17">
        <f>IF(Log[[#This Row],[Verb]]="block",1,IF(OR(Log[[#This Row],[Verb]]="unblock",Log[[#This Row],[Verb]]="done",Log[[#This Row],[Verb]]="drop",Log[[#This Row],[Verb]]="punt",Log[[#This Row],[Verb]]="pass"),0,""))</f>
      </c>
      <c r="K2007" s="17">
        <f>IF(Log[[#This Row],[ID]]="",0,IFERROR(INDEX(Items[Pts],MATCH(Log[[#This Row],[ID]],Items[ID],0))*1,0))</f>
      </c>
      <c r="L2007" s="17">
        <f>IF(Log[[#This Row],[ID]]="","",IFERROR(INDEX(Items[Cur team],MATCH(Log[[#This Row],[ID]],Items[ID],0))&amp;"",""))</f>
      </c>
      <c r="M2007" s="17">
        <f>IF(OR(Log[[#This Row],[Verb]]="done",Log[[#This Row],[Verb]]="punt",Log[[#This Row],[Verb]]="drop",Log[[#This Row],[Verb]]="pass"),Log[[#This Row],[Pts]],0)</f>
      </c>
    </row>
    <row r="2008">
      <c r="A2008" s="11">
        <v>46286</v>
      </c>
      <c r="B2008" t="s">
        <v>1016</v>
      </c>
      <c r="C2008" t="s">
        <v>41</v>
      </c>
      <c r="F2008" s="17">
        <f>IF(Log[[#This Row],[ID]]="","",IF(ISNA(MATCH(Log[[#This Row],[ID]],Items[ID],0)),"unknown ID",IF(ISNA(MATCH(Log[[#This Row],[Verb]],VerbList,0)),"unknown verb",IF(Log[[#This Row],[Date]]="","no date",""))))</f>
      </c>
      <c r="G2008" s="17">
        <f>IF(Log[[#This Row],[ID]]="","",IFERROR(VLOOKUP(Log[[#This Row],[Verb]],Verbs,3,FALSE)&amp;"",""))</f>
      </c>
      <c r="H2008" s="17">
        <f>IF(Log[[#This Row],[Date]]="","",INT((Log[[#This Row],[Date]]-Sprint1)/SprintDays)+1)</f>
      </c>
      <c r="I2008" s="17">
        <f>IF(OR(Log[[#This Row],[Verb]]="commit",Log[[#This Row],[Verb]]="carry",Log[[#This Row],[Verb]]="redo"),IF(Log[[#This Row],[Arg]]="",Log[[#This Row],[Sprint]],N(Log[[#This Row],[Arg]])),"")</f>
      </c>
      <c r="J2008" s="17">
        <f>IF(Log[[#This Row],[Verb]]="block",1,IF(OR(Log[[#This Row],[Verb]]="unblock",Log[[#This Row],[Verb]]="done",Log[[#This Row],[Verb]]="drop",Log[[#This Row],[Verb]]="punt",Log[[#This Row],[Verb]]="pass"),0,""))</f>
      </c>
      <c r="K2008" s="17">
        <f>IF(Log[[#This Row],[ID]]="",0,IFERROR(INDEX(Items[Pts],MATCH(Log[[#This Row],[ID]],Items[ID],0))*1,0))</f>
      </c>
      <c r="L2008" s="17">
        <f>IF(Log[[#This Row],[ID]]="","",IFERROR(INDEX(Items[Cur team],MATCH(Log[[#This Row],[ID]],Items[ID],0))&amp;"",""))</f>
      </c>
      <c r="M2008" s="17">
        <f>IF(OR(Log[[#This Row],[Verb]]="done",Log[[#This Row],[Verb]]="punt",Log[[#This Row],[Verb]]="drop",Log[[#This Row],[Verb]]="pass"),Log[[#This Row],[Pts]],0)</f>
      </c>
    </row>
    <row r="2009">
      <c r="A2009" s="11">
        <v>46286</v>
      </c>
      <c r="B2009" t="s">
        <v>1017</v>
      </c>
      <c r="C2009" t="s">
        <v>41</v>
      </c>
      <c r="F2009" s="17">
        <f>IF(Log[[#This Row],[ID]]="","",IF(ISNA(MATCH(Log[[#This Row],[ID]],Items[ID],0)),"unknown ID",IF(ISNA(MATCH(Log[[#This Row],[Verb]],VerbList,0)),"unknown verb",IF(Log[[#This Row],[Date]]="","no date",""))))</f>
      </c>
      <c r="G2009" s="17">
        <f>IF(Log[[#This Row],[ID]]="","",IFERROR(VLOOKUP(Log[[#This Row],[Verb]],Verbs,3,FALSE)&amp;"",""))</f>
      </c>
      <c r="H2009" s="17">
        <f>IF(Log[[#This Row],[Date]]="","",INT((Log[[#This Row],[Date]]-Sprint1)/SprintDays)+1)</f>
      </c>
      <c r="I2009" s="17">
        <f>IF(OR(Log[[#This Row],[Verb]]="commit",Log[[#This Row],[Verb]]="carry",Log[[#This Row],[Verb]]="redo"),IF(Log[[#This Row],[Arg]]="",Log[[#This Row],[Sprint]],N(Log[[#This Row],[Arg]])),"")</f>
      </c>
      <c r="J2009" s="17">
        <f>IF(Log[[#This Row],[Verb]]="block",1,IF(OR(Log[[#This Row],[Verb]]="unblock",Log[[#This Row],[Verb]]="done",Log[[#This Row],[Verb]]="drop",Log[[#This Row],[Verb]]="punt",Log[[#This Row],[Verb]]="pass"),0,""))</f>
      </c>
      <c r="K2009" s="17">
        <f>IF(Log[[#This Row],[ID]]="",0,IFERROR(INDEX(Items[Pts],MATCH(Log[[#This Row],[ID]],Items[ID],0))*1,0))</f>
      </c>
      <c r="L2009" s="17">
        <f>IF(Log[[#This Row],[ID]]="","",IFERROR(INDEX(Items[Cur team],MATCH(Log[[#This Row],[ID]],Items[ID],0))&amp;"",""))</f>
      </c>
      <c r="M2009" s="17">
        <f>IF(OR(Log[[#This Row],[Verb]]="done",Log[[#This Row],[Verb]]="punt",Log[[#This Row],[Verb]]="drop",Log[[#This Row],[Verb]]="pass"),Log[[#This Row],[Pts]],0)</f>
      </c>
    </row>
    <row r="2010">
      <c r="A2010" s="11">
        <v>46286</v>
      </c>
      <c r="B2010" t="s">
        <v>1018</v>
      </c>
      <c r="C2010" t="s">
        <v>41</v>
      </c>
      <c r="F2010" s="17">
        <f>IF(Log[[#This Row],[ID]]="","",IF(ISNA(MATCH(Log[[#This Row],[ID]],Items[ID],0)),"unknown ID",IF(ISNA(MATCH(Log[[#This Row],[Verb]],VerbList,0)),"unknown verb",IF(Log[[#This Row],[Date]]="","no date",""))))</f>
      </c>
      <c r="G2010" s="17">
        <f>IF(Log[[#This Row],[ID]]="","",IFERROR(VLOOKUP(Log[[#This Row],[Verb]],Verbs,3,FALSE)&amp;"",""))</f>
      </c>
      <c r="H2010" s="17">
        <f>IF(Log[[#This Row],[Date]]="","",INT((Log[[#This Row],[Date]]-Sprint1)/SprintDays)+1)</f>
      </c>
      <c r="I2010" s="17">
        <f>IF(OR(Log[[#This Row],[Verb]]="commit",Log[[#This Row],[Verb]]="carry",Log[[#This Row],[Verb]]="redo"),IF(Log[[#This Row],[Arg]]="",Log[[#This Row],[Sprint]],N(Log[[#This Row],[Arg]])),"")</f>
      </c>
      <c r="J2010" s="17">
        <f>IF(Log[[#This Row],[Verb]]="block",1,IF(OR(Log[[#This Row],[Verb]]="unblock",Log[[#This Row],[Verb]]="done",Log[[#This Row],[Verb]]="drop",Log[[#This Row],[Verb]]="punt",Log[[#This Row],[Verb]]="pass"),0,""))</f>
      </c>
      <c r="K2010" s="17">
        <f>IF(Log[[#This Row],[ID]]="",0,IFERROR(INDEX(Items[Pts],MATCH(Log[[#This Row],[ID]],Items[ID],0))*1,0))</f>
      </c>
      <c r="L2010" s="17">
        <f>IF(Log[[#This Row],[ID]]="","",IFERROR(INDEX(Items[Cur team],MATCH(Log[[#This Row],[ID]],Items[ID],0))&amp;"",""))</f>
      </c>
      <c r="M2010" s="17">
        <f>IF(OR(Log[[#This Row],[Verb]]="done",Log[[#This Row],[Verb]]="punt",Log[[#This Row],[Verb]]="drop",Log[[#This Row],[Verb]]="pass"),Log[[#This Row],[Pts]],0)</f>
      </c>
    </row>
    <row r="2011">
      <c r="A2011" s="11">
        <v>46286</v>
      </c>
      <c r="B2011" t="s">
        <v>1019</v>
      </c>
      <c r="C2011" t="s">
        <v>41</v>
      </c>
      <c r="F2011" s="17">
        <f>IF(Log[[#This Row],[ID]]="","",IF(ISNA(MATCH(Log[[#This Row],[ID]],Items[ID],0)),"unknown ID",IF(ISNA(MATCH(Log[[#This Row],[Verb]],VerbList,0)),"unknown verb",IF(Log[[#This Row],[Date]]="","no date",""))))</f>
      </c>
      <c r="G2011" s="17">
        <f>IF(Log[[#This Row],[ID]]="","",IFERROR(VLOOKUP(Log[[#This Row],[Verb]],Verbs,3,FALSE)&amp;"",""))</f>
      </c>
      <c r="H2011" s="17">
        <f>IF(Log[[#This Row],[Date]]="","",INT((Log[[#This Row],[Date]]-Sprint1)/SprintDays)+1)</f>
      </c>
      <c r="I2011" s="17">
        <f>IF(OR(Log[[#This Row],[Verb]]="commit",Log[[#This Row],[Verb]]="carry",Log[[#This Row],[Verb]]="redo"),IF(Log[[#This Row],[Arg]]="",Log[[#This Row],[Sprint]],N(Log[[#This Row],[Arg]])),"")</f>
      </c>
      <c r="J2011" s="17">
        <f>IF(Log[[#This Row],[Verb]]="block",1,IF(OR(Log[[#This Row],[Verb]]="unblock",Log[[#This Row],[Verb]]="done",Log[[#This Row],[Verb]]="drop",Log[[#This Row],[Verb]]="punt",Log[[#This Row],[Verb]]="pass"),0,""))</f>
      </c>
      <c r="K2011" s="17">
        <f>IF(Log[[#This Row],[ID]]="",0,IFERROR(INDEX(Items[Pts],MATCH(Log[[#This Row],[ID]],Items[ID],0))*1,0))</f>
      </c>
      <c r="L2011" s="17">
        <f>IF(Log[[#This Row],[ID]]="","",IFERROR(INDEX(Items[Cur team],MATCH(Log[[#This Row],[ID]],Items[ID],0))&amp;"",""))</f>
      </c>
      <c r="M2011" s="17">
        <f>IF(OR(Log[[#This Row],[Verb]]="done",Log[[#This Row],[Verb]]="punt",Log[[#This Row],[Verb]]="drop",Log[[#This Row],[Verb]]="pass"),Log[[#This Row],[Pts]],0)</f>
      </c>
    </row>
    <row r="2012">
      <c r="A2012" s="11">
        <v>46286</v>
      </c>
      <c r="B2012" t="s">
        <v>1020</v>
      </c>
      <c r="C2012" t="s">
        <v>41</v>
      </c>
      <c r="F2012" s="17">
        <f>IF(Log[[#This Row],[ID]]="","",IF(ISNA(MATCH(Log[[#This Row],[ID]],Items[ID],0)),"unknown ID",IF(ISNA(MATCH(Log[[#This Row],[Verb]],VerbList,0)),"unknown verb",IF(Log[[#This Row],[Date]]="","no date",""))))</f>
      </c>
      <c r="G2012" s="17">
        <f>IF(Log[[#This Row],[ID]]="","",IFERROR(VLOOKUP(Log[[#This Row],[Verb]],Verbs,3,FALSE)&amp;"",""))</f>
      </c>
      <c r="H2012" s="17">
        <f>IF(Log[[#This Row],[Date]]="","",INT((Log[[#This Row],[Date]]-Sprint1)/SprintDays)+1)</f>
      </c>
      <c r="I2012" s="17">
        <f>IF(OR(Log[[#This Row],[Verb]]="commit",Log[[#This Row],[Verb]]="carry",Log[[#This Row],[Verb]]="redo"),IF(Log[[#This Row],[Arg]]="",Log[[#This Row],[Sprint]],N(Log[[#This Row],[Arg]])),"")</f>
      </c>
      <c r="J2012" s="17">
        <f>IF(Log[[#This Row],[Verb]]="block",1,IF(OR(Log[[#This Row],[Verb]]="unblock",Log[[#This Row],[Verb]]="done",Log[[#This Row],[Verb]]="drop",Log[[#This Row],[Verb]]="punt",Log[[#This Row],[Verb]]="pass"),0,""))</f>
      </c>
      <c r="K2012" s="17">
        <f>IF(Log[[#This Row],[ID]]="",0,IFERROR(INDEX(Items[Pts],MATCH(Log[[#This Row],[ID]],Items[ID],0))*1,0))</f>
      </c>
      <c r="L2012" s="17">
        <f>IF(Log[[#This Row],[ID]]="","",IFERROR(INDEX(Items[Cur team],MATCH(Log[[#This Row],[ID]],Items[ID],0))&amp;"",""))</f>
      </c>
      <c r="M2012" s="17">
        <f>IF(OR(Log[[#This Row],[Verb]]="done",Log[[#This Row],[Verb]]="punt",Log[[#This Row],[Verb]]="drop",Log[[#This Row],[Verb]]="pass"),Log[[#This Row],[Pts]],0)</f>
      </c>
    </row>
    <row r="2013">
      <c r="A2013" s="11">
        <v>46286</v>
      </c>
      <c r="B2013" t="s">
        <v>1021</v>
      </c>
      <c r="C2013" t="s">
        <v>41</v>
      </c>
      <c r="F2013" s="17">
        <f>IF(Log[[#This Row],[ID]]="","",IF(ISNA(MATCH(Log[[#This Row],[ID]],Items[ID],0)),"unknown ID",IF(ISNA(MATCH(Log[[#This Row],[Verb]],VerbList,0)),"unknown verb",IF(Log[[#This Row],[Date]]="","no date",""))))</f>
      </c>
      <c r="G2013" s="17">
        <f>IF(Log[[#This Row],[ID]]="","",IFERROR(VLOOKUP(Log[[#This Row],[Verb]],Verbs,3,FALSE)&amp;"",""))</f>
      </c>
      <c r="H2013" s="17">
        <f>IF(Log[[#This Row],[Date]]="","",INT((Log[[#This Row],[Date]]-Sprint1)/SprintDays)+1)</f>
      </c>
      <c r="I2013" s="17">
        <f>IF(OR(Log[[#This Row],[Verb]]="commit",Log[[#This Row],[Verb]]="carry",Log[[#This Row],[Verb]]="redo"),IF(Log[[#This Row],[Arg]]="",Log[[#This Row],[Sprint]],N(Log[[#This Row],[Arg]])),"")</f>
      </c>
      <c r="J2013" s="17">
        <f>IF(Log[[#This Row],[Verb]]="block",1,IF(OR(Log[[#This Row],[Verb]]="unblock",Log[[#This Row],[Verb]]="done",Log[[#This Row],[Verb]]="drop",Log[[#This Row],[Verb]]="punt",Log[[#This Row],[Verb]]="pass"),0,""))</f>
      </c>
      <c r="K2013" s="17">
        <f>IF(Log[[#This Row],[ID]]="",0,IFERROR(INDEX(Items[Pts],MATCH(Log[[#This Row],[ID]],Items[ID],0))*1,0))</f>
      </c>
      <c r="L2013" s="17">
        <f>IF(Log[[#This Row],[ID]]="","",IFERROR(INDEX(Items[Cur team],MATCH(Log[[#This Row],[ID]],Items[ID],0))&amp;"",""))</f>
      </c>
      <c r="M2013" s="17">
        <f>IF(OR(Log[[#This Row],[Verb]]="done",Log[[#This Row],[Verb]]="punt",Log[[#This Row],[Verb]]="drop",Log[[#This Row],[Verb]]="pass"),Log[[#This Row],[Pts]],0)</f>
      </c>
    </row>
    <row r="2014">
      <c r="A2014" s="11">
        <v>46286</v>
      </c>
      <c r="B2014" t="s">
        <v>1022</v>
      </c>
      <c r="C2014" t="s">
        <v>41</v>
      </c>
      <c r="F2014" s="17">
        <f>IF(Log[[#This Row],[ID]]="","",IF(ISNA(MATCH(Log[[#This Row],[ID]],Items[ID],0)),"unknown ID",IF(ISNA(MATCH(Log[[#This Row],[Verb]],VerbList,0)),"unknown verb",IF(Log[[#This Row],[Date]]="","no date",""))))</f>
      </c>
      <c r="G2014" s="17">
        <f>IF(Log[[#This Row],[ID]]="","",IFERROR(VLOOKUP(Log[[#This Row],[Verb]],Verbs,3,FALSE)&amp;"",""))</f>
      </c>
      <c r="H2014" s="17">
        <f>IF(Log[[#This Row],[Date]]="","",INT((Log[[#This Row],[Date]]-Sprint1)/SprintDays)+1)</f>
      </c>
      <c r="I2014" s="17">
        <f>IF(OR(Log[[#This Row],[Verb]]="commit",Log[[#This Row],[Verb]]="carry",Log[[#This Row],[Verb]]="redo"),IF(Log[[#This Row],[Arg]]="",Log[[#This Row],[Sprint]],N(Log[[#This Row],[Arg]])),"")</f>
      </c>
      <c r="J2014" s="17">
        <f>IF(Log[[#This Row],[Verb]]="block",1,IF(OR(Log[[#This Row],[Verb]]="unblock",Log[[#This Row],[Verb]]="done",Log[[#This Row],[Verb]]="drop",Log[[#This Row],[Verb]]="punt",Log[[#This Row],[Verb]]="pass"),0,""))</f>
      </c>
      <c r="K2014" s="17">
        <f>IF(Log[[#This Row],[ID]]="",0,IFERROR(INDEX(Items[Pts],MATCH(Log[[#This Row],[ID]],Items[ID],0))*1,0))</f>
      </c>
      <c r="L2014" s="17">
        <f>IF(Log[[#This Row],[ID]]="","",IFERROR(INDEX(Items[Cur team],MATCH(Log[[#This Row],[ID]],Items[ID],0))&amp;"",""))</f>
      </c>
      <c r="M2014" s="17">
        <f>IF(OR(Log[[#This Row],[Verb]]="done",Log[[#This Row],[Verb]]="punt",Log[[#This Row],[Verb]]="drop",Log[[#This Row],[Verb]]="pass"),Log[[#This Row],[Pts]],0)</f>
      </c>
    </row>
    <row r="2015">
      <c r="A2015" s="11">
        <v>46286</v>
      </c>
      <c r="B2015" t="s">
        <v>1023</v>
      </c>
      <c r="C2015" t="s">
        <v>41</v>
      </c>
      <c r="F2015" s="17">
        <f>IF(Log[[#This Row],[ID]]="","",IF(ISNA(MATCH(Log[[#This Row],[ID]],Items[ID],0)),"unknown ID",IF(ISNA(MATCH(Log[[#This Row],[Verb]],VerbList,0)),"unknown verb",IF(Log[[#This Row],[Date]]="","no date",""))))</f>
      </c>
      <c r="G2015" s="17">
        <f>IF(Log[[#This Row],[ID]]="","",IFERROR(VLOOKUP(Log[[#This Row],[Verb]],Verbs,3,FALSE)&amp;"",""))</f>
      </c>
      <c r="H2015" s="17">
        <f>IF(Log[[#This Row],[Date]]="","",INT((Log[[#This Row],[Date]]-Sprint1)/SprintDays)+1)</f>
      </c>
      <c r="I2015" s="17">
        <f>IF(OR(Log[[#This Row],[Verb]]="commit",Log[[#This Row],[Verb]]="carry",Log[[#This Row],[Verb]]="redo"),IF(Log[[#This Row],[Arg]]="",Log[[#This Row],[Sprint]],N(Log[[#This Row],[Arg]])),"")</f>
      </c>
      <c r="J2015" s="17">
        <f>IF(Log[[#This Row],[Verb]]="block",1,IF(OR(Log[[#This Row],[Verb]]="unblock",Log[[#This Row],[Verb]]="done",Log[[#This Row],[Verb]]="drop",Log[[#This Row],[Verb]]="punt",Log[[#This Row],[Verb]]="pass"),0,""))</f>
      </c>
      <c r="K2015" s="17">
        <f>IF(Log[[#This Row],[ID]]="",0,IFERROR(INDEX(Items[Pts],MATCH(Log[[#This Row],[ID]],Items[ID],0))*1,0))</f>
      </c>
      <c r="L2015" s="17">
        <f>IF(Log[[#This Row],[ID]]="","",IFERROR(INDEX(Items[Cur team],MATCH(Log[[#This Row],[ID]],Items[ID],0))&amp;"",""))</f>
      </c>
      <c r="M2015" s="17">
        <f>IF(OR(Log[[#This Row],[Verb]]="done",Log[[#This Row],[Verb]]="punt",Log[[#This Row],[Verb]]="drop",Log[[#This Row],[Verb]]="pass"),Log[[#This Row],[Pts]],0)</f>
      </c>
    </row>
    <row r="2016">
      <c r="A2016" s="11">
        <v>46286</v>
      </c>
      <c r="B2016" t="s">
        <v>1024</v>
      </c>
      <c r="C2016" t="s">
        <v>41</v>
      </c>
      <c r="F2016" s="17">
        <f>IF(Log[[#This Row],[ID]]="","",IF(ISNA(MATCH(Log[[#This Row],[ID]],Items[ID],0)),"unknown ID",IF(ISNA(MATCH(Log[[#This Row],[Verb]],VerbList,0)),"unknown verb",IF(Log[[#This Row],[Date]]="","no date",""))))</f>
      </c>
      <c r="G2016" s="17">
        <f>IF(Log[[#This Row],[ID]]="","",IFERROR(VLOOKUP(Log[[#This Row],[Verb]],Verbs,3,FALSE)&amp;"",""))</f>
      </c>
      <c r="H2016" s="17">
        <f>IF(Log[[#This Row],[Date]]="","",INT((Log[[#This Row],[Date]]-Sprint1)/SprintDays)+1)</f>
      </c>
      <c r="I2016" s="17">
        <f>IF(OR(Log[[#This Row],[Verb]]="commit",Log[[#This Row],[Verb]]="carry",Log[[#This Row],[Verb]]="redo"),IF(Log[[#This Row],[Arg]]="",Log[[#This Row],[Sprint]],N(Log[[#This Row],[Arg]])),"")</f>
      </c>
      <c r="J2016" s="17">
        <f>IF(Log[[#This Row],[Verb]]="block",1,IF(OR(Log[[#This Row],[Verb]]="unblock",Log[[#This Row],[Verb]]="done",Log[[#This Row],[Verb]]="drop",Log[[#This Row],[Verb]]="punt",Log[[#This Row],[Verb]]="pass"),0,""))</f>
      </c>
      <c r="K2016" s="17">
        <f>IF(Log[[#This Row],[ID]]="",0,IFERROR(INDEX(Items[Pts],MATCH(Log[[#This Row],[ID]],Items[ID],0))*1,0))</f>
      </c>
      <c r="L2016" s="17">
        <f>IF(Log[[#This Row],[ID]]="","",IFERROR(INDEX(Items[Cur team],MATCH(Log[[#This Row],[ID]],Items[ID],0))&amp;"",""))</f>
      </c>
      <c r="M2016" s="17">
        <f>IF(OR(Log[[#This Row],[Verb]]="done",Log[[#This Row],[Verb]]="punt",Log[[#This Row],[Verb]]="drop",Log[[#This Row],[Verb]]="pass"),Log[[#This Row],[Pts]],0)</f>
      </c>
    </row>
    <row r="2017">
      <c r="A2017" s="11">
        <v>46286</v>
      </c>
      <c r="B2017" t="s">
        <v>899</v>
      </c>
      <c r="C2017" t="s">
        <v>41</v>
      </c>
      <c r="F2017" s="17">
        <f>IF(Log[[#This Row],[ID]]="","",IF(ISNA(MATCH(Log[[#This Row],[ID]],Items[ID],0)),"unknown ID",IF(ISNA(MATCH(Log[[#This Row],[Verb]],VerbList,0)),"unknown verb",IF(Log[[#This Row],[Date]]="","no date",""))))</f>
      </c>
      <c r="G2017" s="17">
        <f>IF(Log[[#This Row],[ID]]="","",IFERROR(VLOOKUP(Log[[#This Row],[Verb]],Verbs,3,FALSE)&amp;"",""))</f>
      </c>
      <c r="H2017" s="17">
        <f>IF(Log[[#This Row],[Date]]="","",INT((Log[[#This Row],[Date]]-Sprint1)/SprintDays)+1)</f>
      </c>
      <c r="I2017" s="17">
        <f>IF(OR(Log[[#This Row],[Verb]]="commit",Log[[#This Row],[Verb]]="carry",Log[[#This Row],[Verb]]="redo"),IF(Log[[#This Row],[Arg]]="",Log[[#This Row],[Sprint]],N(Log[[#This Row],[Arg]])),"")</f>
      </c>
      <c r="J2017" s="17">
        <f>IF(Log[[#This Row],[Verb]]="block",1,IF(OR(Log[[#This Row],[Verb]]="unblock",Log[[#This Row],[Verb]]="done",Log[[#This Row],[Verb]]="drop",Log[[#This Row],[Verb]]="punt",Log[[#This Row],[Verb]]="pass"),0,""))</f>
      </c>
      <c r="K2017" s="17">
        <f>IF(Log[[#This Row],[ID]]="",0,IFERROR(INDEX(Items[Pts],MATCH(Log[[#This Row],[ID]],Items[ID],0))*1,0))</f>
      </c>
      <c r="L2017" s="17">
        <f>IF(Log[[#This Row],[ID]]="","",IFERROR(INDEX(Items[Cur team],MATCH(Log[[#This Row],[ID]],Items[ID],0))&amp;"",""))</f>
      </c>
      <c r="M2017" s="17">
        <f>IF(OR(Log[[#This Row],[Verb]]="done",Log[[#This Row],[Verb]]="punt",Log[[#This Row],[Verb]]="drop",Log[[#This Row],[Verb]]="pass"),Log[[#This Row],[Pts]],0)</f>
      </c>
    </row>
    <row r="2018">
      <c r="A2018" s="11">
        <v>46286</v>
      </c>
      <c r="B2018" t="s">
        <v>1025</v>
      </c>
      <c r="C2018" t="s">
        <v>38</v>
      </c>
      <c r="D2018">
        <v>53</v>
      </c>
      <c r="F2018" s="17">
        <f>IF(Log[[#This Row],[ID]]="","",IF(ISNA(MATCH(Log[[#This Row],[ID]],Items[ID],0)),"unknown ID",IF(ISNA(MATCH(Log[[#This Row],[Verb]],VerbList,0)),"unknown verb",IF(Log[[#This Row],[Date]]="","no date",""))))</f>
      </c>
      <c r="G2018" s="17">
        <f>IF(Log[[#This Row],[ID]]="","",IFERROR(VLOOKUP(Log[[#This Row],[Verb]],Verbs,3,FALSE)&amp;"",""))</f>
      </c>
      <c r="H2018" s="17">
        <f>IF(Log[[#This Row],[Date]]="","",INT((Log[[#This Row],[Date]]-Sprint1)/SprintDays)+1)</f>
      </c>
      <c r="I2018" s="17">
        <f>IF(OR(Log[[#This Row],[Verb]]="commit",Log[[#This Row],[Verb]]="carry",Log[[#This Row],[Verb]]="redo"),IF(Log[[#This Row],[Arg]]="",Log[[#This Row],[Sprint]],N(Log[[#This Row],[Arg]])),"")</f>
      </c>
      <c r="J2018" s="17">
        <f>IF(Log[[#This Row],[Verb]]="block",1,IF(OR(Log[[#This Row],[Verb]]="unblock",Log[[#This Row],[Verb]]="done",Log[[#This Row],[Verb]]="drop",Log[[#This Row],[Verb]]="punt",Log[[#This Row],[Verb]]="pass"),0,""))</f>
      </c>
      <c r="K2018" s="17">
        <f>IF(Log[[#This Row],[ID]]="",0,IFERROR(INDEX(Items[Pts],MATCH(Log[[#This Row],[ID]],Items[ID],0))*1,0))</f>
      </c>
      <c r="L2018" s="17">
        <f>IF(Log[[#This Row],[ID]]="","",IFERROR(INDEX(Items[Cur team],MATCH(Log[[#This Row],[ID]],Items[ID],0))&amp;"",""))</f>
      </c>
      <c r="M2018" s="17">
        <f>IF(OR(Log[[#This Row],[Verb]]="done",Log[[#This Row],[Verb]]="punt",Log[[#This Row],[Verb]]="drop",Log[[#This Row],[Verb]]="pass"),Log[[#This Row],[Pts]],0)</f>
      </c>
    </row>
    <row r="2019">
      <c r="A2019" s="11">
        <v>46286</v>
      </c>
      <c r="B2019" t="s">
        <v>1026</v>
      </c>
      <c r="C2019" t="s">
        <v>41</v>
      </c>
      <c r="F2019" s="17">
        <f>IF(Log[[#This Row],[ID]]="","",IF(ISNA(MATCH(Log[[#This Row],[ID]],Items[ID],0)),"unknown ID",IF(ISNA(MATCH(Log[[#This Row],[Verb]],VerbList,0)),"unknown verb",IF(Log[[#This Row],[Date]]="","no date",""))))</f>
      </c>
      <c r="G2019" s="17">
        <f>IF(Log[[#This Row],[ID]]="","",IFERROR(VLOOKUP(Log[[#This Row],[Verb]],Verbs,3,FALSE)&amp;"",""))</f>
      </c>
      <c r="H2019" s="17">
        <f>IF(Log[[#This Row],[Date]]="","",INT((Log[[#This Row],[Date]]-Sprint1)/SprintDays)+1)</f>
      </c>
      <c r="I2019" s="17">
        <f>IF(OR(Log[[#This Row],[Verb]]="commit",Log[[#This Row],[Verb]]="carry",Log[[#This Row],[Verb]]="redo"),IF(Log[[#This Row],[Arg]]="",Log[[#This Row],[Sprint]],N(Log[[#This Row],[Arg]])),"")</f>
      </c>
      <c r="J2019" s="17">
        <f>IF(Log[[#This Row],[Verb]]="block",1,IF(OR(Log[[#This Row],[Verb]]="unblock",Log[[#This Row],[Verb]]="done",Log[[#This Row],[Verb]]="drop",Log[[#This Row],[Verb]]="punt",Log[[#This Row],[Verb]]="pass"),0,""))</f>
      </c>
      <c r="K2019" s="17">
        <f>IF(Log[[#This Row],[ID]]="",0,IFERROR(INDEX(Items[Pts],MATCH(Log[[#This Row],[ID]],Items[ID],0))*1,0))</f>
      </c>
      <c r="L2019" s="17">
        <f>IF(Log[[#This Row],[ID]]="","",IFERROR(INDEX(Items[Cur team],MATCH(Log[[#This Row],[ID]],Items[ID],0))&amp;"",""))</f>
      </c>
      <c r="M2019" s="17">
        <f>IF(OR(Log[[#This Row],[Verb]]="done",Log[[#This Row],[Verb]]="punt",Log[[#This Row],[Verb]]="drop",Log[[#This Row],[Verb]]="pass"),Log[[#This Row],[Pts]],0)</f>
      </c>
    </row>
    <row r="2020">
      <c r="A2020" s="11">
        <v>46286</v>
      </c>
      <c r="B2020" t="s">
        <v>1027</v>
      </c>
      <c r="C2020" t="s">
        <v>41</v>
      </c>
      <c r="F2020" s="17">
        <f>IF(Log[[#This Row],[ID]]="","",IF(ISNA(MATCH(Log[[#This Row],[ID]],Items[ID],0)),"unknown ID",IF(ISNA(MATCH(Log[[#This Row],[Verb]],VerbList,0)),"unknown verb",IF(Log[[#This Row],[Date]]="","no date",""))))</f>
      </c>
      <c r="G2020" s="17">
        <f>IF(Log[[#This Row],[ID]]="","",IFERROR(VLOOKUP(Log[[#This Row],[Verb]],Verbs,3,FALSE)&amp;"",""))</f>
      </c>
      <c r="H2020" s="17">
        <f>IF(Log[[#This Row],[Date]]="","",INT((Log[[#This Row],[Date]]-Sprint1)/SprintDays)+1)</f>
      </c>
      <c r="I2020" s="17">
        <f>IF(OR(Log[[#This Row],[Verb]]="commit",Log[[#This Row],[Verb]]="carry",Log[[#This Row],[Verb]]="redo"),IF(Log[[#This Row],[Arg]]="",Log[[#This Row],[Sprint]],N(Log[[#This Row],[Arg]])),"")</f>
      </c>
      <c r="J2020" s="17">
        <f>IF(Log[[#This Row],[Verb]]="block",1,IF(OR(Log[[#This Row],[Verb]]="unblock",Log[[#This Row],[Verb]]="done",Log[[#This Row],[Verb]]="drop",Log[[#This Row],[Verb]]="punt",Log[[#This Row],[Verb]]="pass"),0,""))</f>
      </c>
      <c r="K2020" s="17">
        <f>IF(Log[[#This Row],[ID]]="",0,IFERROR(INDEX(Items[Pts],MATCH(Log[[#This Row],[ID]],Items[ID],0))*1,0))</f>
      </c>
      <c r="L2020" s="17">
        <f>IF(Log[[#This Row],[ID]]="","",IFERROR(INDEX(Items[Cur team],MATCH(Log[[#This Row],[ID]],Items[ID],0))&amp;"",""))</f>
      </c>
      <c r="M2020" s="17">
        <f>IF(OR(Log[[#This Row],[Verb]]="done",Log[[#This Row],[Verb]]="punt",Log[[#This Row],[Verb]]="drop",Log[[#This Row],[Verb]]="pass"),Log[[#This Row],[Pts]],0)</f>
      </c>
    </row>
    <row r="2021">
      <c r="A2021" s="11">
        <v>46286</v>
      </c>
      <c r="B2021" t="s">
        <v>1028</v>
      </c>
      <c r="C2021" t="s">
        <v>41</v>
      </c>
      <c r="F2021" s="17">
        <f>IF(Log[[#This Row],[ID]]="","",IF(ISNA(MATCH(Log[[#This Row],[ID]],Items[ID],0)),"unknown ID",IF(ISNA(MATCH(Log[[#This Row],[Verb]],VerbList,0)),"unknown verb",IF(Log[[#This Row],[Date]]="","no date",""))))</f>
      </c>
      <c r="G2021" s="17">
        <f>IF(Log[[#This Row],[ID]]="","",IFERROR(VLOOKUP(Log[[#This Row],[Verb]],Verbs,3,FALSE)&amp;"",""))</f>
      </c>
      <c r="H2021" s="17">
        <f>IF(Log[[#This Row],[Date]]="","",INT((Log[[#This Row],[Date]]-Sprint1)/SprintDays)+1)</f>
      </c>
      <c r="I2021" s="17">
        <f>IF(OR(Log[[#This Row],[Verb]]="commit",Log[[#This Row],[Verb]]="carry",Log[[#This Row],[Verb]]="redo"),IF(Log[[#This Row],[Arg]]="",Log[[#This Row],[Sprint]],N(Log[[#This Row],[Arg]])),"")</f>
      </c>
      <c r="J2021" s="17">
        <f>IF(Log[[#This Row],[Verb]]="block",1,IF(OR(Log[[#This Row],[Verb]]="unblock",Log[[#This Row],[Verb]]="done",Log[[#This Row],[Verb]]="drop",Log[[#This Row],[Verb]]="punt",Log[[#This Row],[Verb]]="pass"),0,""))</f>
      </c>
      <c r="K2021" s="17">
        <f>IF(Log[[#This Row],[ID]]="",0,IFERROR(INDEX(Items[Pts],MATCH(Log[[#This Row],[ID]],Items[ID],0))*1,0))</f>
      </c>
      <c r="L2021" s="17">
        <f>IF(Log[[#This Row],[ID]]="","",IFERROR(INDEX(Items[Cur team],MATCH(Log[[#This Row],[ID]],Items[ID],0))&amp;"",""))</f>
      </c>
      <c r="M2021" s="17">
        <f>IF(OR(Log[[#This Row],[Verb]]="done",Log[[#This Row],[Verb]]="punt",Log[[#This Row],[Verb]]="drop",Log[[#This Row],[Verb]]="pass"),Log[[#This Row],[Pts]],0)</f>
      </c>
    </row>
    <row r="2022">
      <c r="A2022" s="11">
        <v>46286</v>
      </c>
      <c r="B2022" t="s">
        <v>1029</v>
      </c>
      <c r="C2022" t="s">
        <v>41</v>
      </c>
      <c r="F2022" s="17">
        <f>IF(Log[[#This Row],[ID]]="","",IF(ISNA(MATCH(Log[[#This Row],[ID]],Items[ID],0)),"unknown ID",IF(ISNA(MATCH(Log[[#This Row],[Verb]],VerbList,0)),"unknown verb",IF(Log[[#This Row],[Date]]="","no date",""))))</f>
      </c>
      <c r="G2022" s="17">
        <f>IF(Log[[#This Row],[ID]]="","",IFERROR(VLOOKUP(Log[[#This Row],[Verb]],Verbs,3,FALSE)&amp;"",""))</f>
      </c>
      <c r="H2022" s="17">
        <f>IF(Log[[#This Row],[Date]]="","",INT((Log[[#This Row],[Date]]-Sprint1)/SprintDays)+1)</f>
      </c>
      <c r="I2022" s="17">
        <f>IF(OR(Log[[#This Row],[Verb]]="commit",Log[[#This Row],[Verb]]="carry",Log[[#This Row],[Verb]]="redo"),IF(Log[[#This Row],[Arg]]="",Log[[#This Row],[Sprint]],N(Log[[#This Row],[Arg]])),"")</f>
      </c>
      <c r="J2022" s="17">
        <f>IF(Log[[#This Row],[Verb]]="block",1,IF(OR(Log[[#This Row],[Verb]]="unblock",Log[[#This Row],[Verb]]="done",Log[[#This Row],[Verb]]="drop",Log[[#This Row],[Verb]]="punt",Log[[#This Row],[Verb]]="pass"),0,""))</f>
      </c>
      <c r="K2022" s="17">
        <f>IF(Log[[#This Row],[ID]]="",0,IFERROR(INDEX(Items[Pts],MATCH(Log[[#This Row],[ID]],Items[ID],0))*1,0))</f>
      </c>
      <c r="L2022" s="17">
        <f>IF(Log[[#This Row],[ID]]="","",IFERROR(INDEX(Items[Cur team],MATCH(Log[[#This Row],[ID]],Items[ID],0))&amp;"",""))</f>
      </c>
      <c r="M2022" s="17">
        <f>IF(OR(Log[[#This Row],[Verb]]="done",Log[[#This Row],[Verb]]="punt",Log[[#This Row],[Verb]]="drop",Log[[#This Row],[Verb]]="pass"),Log[[#This Row],[Pts]],0)</f>
      </c>
    </row>
    <row r="2023">
      <c r="A2023" s="11">
        <v>46286</v>
      </c>
      <c r="B2023" t="s">
        <v>1030</v>
      </c>
      <c r="C2023" t="s">
        <v>41</v>
      </c>
      <c r="F2023" s="17">
        <f>IF(Log[[#This Row],[ID]]="","",IF(ISNA(MATCH(Log[[#This Row],[ID]],Items[ID],0)),"unknown ID",IF(ISNA(MATCH(Log[[#This Row],[Verb]],VerbList,0)),"unknown verb",IF(Log[[#This Row],[Date]]="","no date",""))))</f>
      </c>
      <c r="G2023" s="17">
        <f>IF(Log[[#This Row],[ID]]="","",IFERROR(VLOOKUP(Log[[#This Row],[Verb]],Verbs,3,FALSE)&amp;"",""))</f>
      </c>
      <c r="H2023" s="17">
        <f>IF(Log[[#This Row],[Date]]="","",INT((Log[[#This Row],[Date]]-Sprint1)/SprintDays)+1)</f>
      </c>
      <c r="I2023" s="17">
        <f>IF(OR(Log[[#This Row],[Verb]]="commit",Log[[#This Row],[Verb]]="carry",Log[[#This Row],[Verb]]="redo"),IF(Log[[#This Row],[Arg]]="",Log[[#This Row],[Sprint]],N(Log[[#This Row],[Arg]])),"")</f>
      </c>
      <c r="J2023" s="17">
        <f>IF(Log[[#This Row],[Verb]]="block",1,IF(OR(Log[[#This Row],[Verb]]="unblock",Log[[#This Row],[Verb]]="done",Log[[#This Row],[Verb]]="drop",Log[[#This Row],[Verb]]="punt",Log[[#This Row],[Verb]]="pass"),0,""))</f>
      </c>
      <c r="K2023" s="17">
        <f>IF(Log[[#This Row],[ID]]="",0,IFERROR(INDEX(Items[Pts],MATCH(Log[[#This Row],[ID]],Items[ID],0))*1,0))</f>
      </c>
      <c r="L2023" s="17">
        <f>IF(Log[[#This Row],[ID]]="","",IFERROR(INDEX(Items[Cur team],MATCH(Log[[#This Row],[ID]],Items[ID],0))&amp;"",""))</f>
      </c>
      <c r="M2023" s="17">
        <f>IF(OR(Log[[#This Row],[Verb]]="done",Log[[#This Row],[Verb]]="punt",Log[[#This Row],[Verb]]="drop",Log[[#This Row],[Verb]]="pass"),Log[[#This Row],[Pts]],0)</f>
      </c>
    </row>
    <row r="2024">
      <c r="A2024" s="11">
        <v>46286</v>
      </c>
      <c r="B2024" t="s">
        <v>1031</v>
      </c>
      <c r="C2024" t="s">
        <v>41</v>
      </c>
      <c r="F2024" s="17">
        <f>IF(Log[[#This Row],[ID]]="","",IF(ISNA(MATCH(Log[[#This Row],[ID]],Items[ID],0)),"unknown ID",IF(ISNA(MATCH(Log[[#This Row],[Verb]],VerbList,0)),"unknown verb",IF(Log[[#This Row],[Date]]="","no date",""))))</f>
      </c>
      <c r="G2024" s="17">
        <f>IF(Log[[#This Row],[ID]]="","",IFERROR(VLOOKUP(Log[[#This Row],[Verb]],Verbs,3,FALSE)&amp;"",""))</f>
      </c>
      <c r="H2024" s="17">
        <f>IF(Log[[#This Row],[Date]]="","",INT((Log[[#This Row],[Date]]-Sprint1)/SprintDays)+1)</f>
      </c>
      <c r="I2024" s="17">
        <f>IF(OR(Log[[#This Row],[Verb]]="commit",Log[[#This Row],[Verb]]="carry",Log[[#This Row],[Verb]]="redo"),IF(Log[[#This Row],[Arg]]="",Log[[#This Row],[Sprint]],N(Log[[#This Row],[Arg]])),"")</f>
      </c>
      <c r="J2024" s="17">
        <f>IF(Log[[#This Row],[Verb]]="block",1,IF(OR(Log[[#This Row],[Verb]]="unblock",Log[[#This Row],[Verb]]="done",Log[[#This Row],[Verb]]="drop",Log[[#This Row],[Verb]]="punt",Log[[#This Row],[Verb]]="pass"),0,""))</f>
      </c>
      <c r="K2024" s="17">
        <f>IF(Log[[#This Row],[ID]]="",0,IFERROR(INDEX(Items[Pts],MATCH(Log[[#This Row],[ID]],Items[ID],0))*1,0))</f>
      </c>
      <c r="L2024" s="17">
        <f>IF(Log[[#This Row],[ID]]="","",IFERROR(INDEX(Items[Cur team],MATCH(Log[[#This Row],[ID]],Items[ID],0))&amp;"",""))</f>
      </c>
      <c r="M2024" s="17">
        <f>IF(OR(Log[[#This Row],[Verb]]="done",Log[[#This Row],[Verb]]="punt",Log[[#This Row],[Verb]]="drop",Log[[#This Row],[Verb]]="pass"),Log[[#This Row],[Pts]],0)</f>
      </c>
    </row>
    <row r="2025">
      <c r="A2025" s="11">
        <v>46286</v>
      </c>
      <c r="B2025" t="s">
        <v>966</v>
      </c>
      <c r="C2025" t="s">
        <v>41</v>
      </c>
      <c r="F2025" s="17">
        <f>IF(Log[[#This Row],[ID]]="","",IF(ISNA(MATCH(Log[[#This Row],[ID]],Items[ID],0)),"unknown ID",IF(ISNA(MATCH(Log[[#This Row],[Verb]],VerbList,0)),"unknown verb",IF(Log[[#This Row],[Date]]="","no date",""))))</f>
      </c>
      <c r="G2025" s="17">
        <f>IF(Log[[#This Row],[ID]]="","",IFERROR(VLOOKUP(Log[[#This Row],[Verb]],Verbs,3,FALSE)&amp;"",""))</f>
      </c>
      <c r="H2025" s="17">
        <f>IF(Log[[#This Row],[Date]]="","",INT((Log[[#This Row],[Date]]-Sprint1)/SprintDays)+1)</f>
      </c>
      <c r="I2025" s="17">
        <f>IF(OR(Log[[#This Row],[Verb]]="commit",Log[[#This Row],[Verb]]="carry",Log[[#This Row],[Verb]]="redo"),IF(Log[[#This Row],[Arg]]="",Log[[#This Row],[Sprint]],N(Log[[#This Row],[Arg]])),"")</f>
      </c>
      <c r="J2025" s="17">
        <f>IF(Log[[#This Row],[Verb]]="block",1,IF(OR(Log[[#This Row],[Verb]]="unblock",Log[[#This Row],[Verb]]="done",Log[[#This Row],[Verb]]="drop",Log[[#This Row],[Verb]]="punt",Log[[#This Row],[Verb]]="pass"),0,""))</f>
      </c>
      <c r="K2025" s="17">
        <f>IF(Log[[#This Row],[ID]]="",0,IFERROR(INDEX(Items[Pts],MATCH(Log[[#This Row],[ID]],Items[ID],0))*1,0))</f>
      </c>
      <c r="L2025" s="17">
        <f>IF(Log[[#This Row],[ID]]="","",IFERROR(INDEX(Items[Cur team],MATCH(Log[[#This Row],[ID]],Items[ID],0))&amp;"",""))</f>
      </c>
      <c r="M2025" s="17">
        <f>IF(OR(Log[[#This Row],[Verb]]="done",Log[[#This Row],[Verb]]="punt",Log[[#This Row],[Verb]]="drop",Log[[#This Row],[Verb]]="pass"),Log[[#This Row],[Pts]],0)</f>
      </c>
    </row>
    <row r="2026">
      <c r="A2026" s="11">
        <v>46286</v>
      </c>
      <c r="B2026" t="s">
        <v>1032</v>
      </c>
      <c r="C2026" t="s">
        <v>41</v>
      </c>
      <c r="F2026" s="17">
        <f>IF(Log[[#This Row],[ID]]="","",IF(ISNA(MATCH(Log[[#This Row],[ID]],Items[ID],0)),"unknown ID",IF(ISNA(MATCH(Log[[#This Row],[Verb]],VerbList,0)),"unknown verb",IF(Log[[#This Row],[Date]]="","no date",""))))</f>
      </c>
      <c r="G2026" s="17">
        <f>IF(Log[[#This Row],[ID]]="","",IFERROR(VLOOKUP(Log[[#This Row],[Verb]],Verbs,3,FALSE)&amp;"",""))</f>
      </c>
      <c r="H2026" s="17">
        <f>IF(Log[[#This Row],[Date]]="","",INT((Log[[#This Row],[Date]]-Sprint1)/SprintDays)+1)</f>
      </c>
      <c r="I2026" s="17">
        <f>IF(OR(Log[[#This Row],[Verb]]="commit",Log[[#This Row],[Verb]]="carry",Log[[#This Row],[Verb]]="redo"),IF(Log[[#This Row],[Arg]]="",Log[[#This Row],[Sprint]],N(Log[[#This Row],[Arg]])),"")</f>
      </c>
      <c r="J2026" s="17">
        <f>IF(Log[[#This Row],[Verb]]="block",1,IF(OR(Log[[#This Row],[Verb]]="unblock",Log[[#This Row],[Verb]]="done",Log[[#This Row],[Verb]]="drop",Log[[#This Row],[Verb]]="punt",Log[[#This Row],[Verb]]="pass"),0,""))</f>
      </c>
      <c r="K2026" s="17">
        <f>IF(Log[[#This Row],[ID]]="",0,IFERROR(INDEX(Items[Pts],MATCH(Log[[#This Row],[ID]],Items[ID],0))*1,0))</f>
      </c>
      <c r="L2026" s="17">
        <f>IF(Log[[#This Row],[ID]]="","",IFERROR(INDEX(Items[Cur team],MATCH(Log[[#This Row],[ID]],Items[ID],0))&amp;"",""))</f>
      </c>
      <c r="M2026" s="17">
        <f>IF(OR(Log[[#This Row],[Verb]]="done",Log[[#This Row],[Verb]]="punt",Log[[#This Row],[Verb]]="drop",Log[[#This Row],[Verb]]="pass"),Log[[#This Row],[Pts]],0)</f>
      </c>
    </row>
    <row r="2027">
      <c r="A2027" s="11">
        <v>46286</v>
      </c>
      <c r="B2027" t="s">
        <v>1033</v>
      </c>
      <c r="C2027" t="s">
        <v>41</v>
      </c>
      <c r="F2027" s="17">
        <f>IF(Log[[#This Row],[ID]]="","",IF(ISNA(MATCH(Log[[#This Row],[ID]],Items[ID],0)),"unknown ID",IF(ISNA(MATCH(Log[[#This Row],[Verb]],VerbList,0)),"unknown verb",IF(Log[[#This Row],[Date]]="","no date",""))))</f>
      </c>
      <c r="G2027" s="17">
        <f>IF(Log[[#This Row],[ID]]="","",IFERROR(VLOOKUP(Log[[#This Row],[Verb]],Verbs,3,FALSE)&amp;"",""))</f>
      </c>
      <c r="H2027" s="17">
        <f>IF(Log[[#This Row],[Date]]="","",INT((Log[[#This Row],[Date]]-Sprint1)/SprintDays)+1)</f>
      </c>
      <c r="I2027" s="17">
        <f>IF(OR(Log[[#This Row],[Verb]]="commit",Log[[#This Row],[Verb]]="carry",Log[[#This Row],[Verb]]="redo"),IF(Log[[#This Row],[Arg]]="",Log[[#This Row],[Sprint]],N(Log[[#This Row],[Arg]])),"")</f>
      </c>
      <c r="J2027" s="17">
        <f>IF(Log[[#This Row],[Verb]]="block",1,IF(OR(Log[[#This Row],[Verb]]="unblock",Log[[#This Row],[Verb]]="done",Log[[#This Row],[Verb]]="drop",Log[[#This Row],[Verb]]="punt",Log[[#This Row],[Verb]]="pass"),0,""))</f>
      </c>
      <c r="K2027" s="17">
        <f>IF(Log[[#This Row],[ID]]="",0,IFERROR(INDEX(Items[Pts],MATCH(Log[[#This Row],[ID]],Items[ID],0))*1,0))</f>
      </c>
      <c r="L2027" s="17">
        <f>IF(Log[[#This Row],[ID]]="","",IFERROR(INDEX(Items[Cur team],MATCH(Log[[#This Row],[ID]],Items[ID],0))&amp;"",""))</f>
      </c>
      <c r="M2027" s="17">
        <f>IF(OR(Log[[#This Row],[Verb]]="done",Log[[#This Row],[Verb]]="punt",Log[[#This Row],[Verb]]="drop",Log[[#This Row],[Verb]]="pass"),Log[[#This Row],[Pts]],0)</f>
      </c>
    </row>
    <row r="2028">
      <c r="A2028" s="11">
        <v>46286</v>
      </c>
      <c r="B2028" t="s">
        <v>1034</v>
      </c>
      <c r="C2028" t="s">
        <v>41</v>
      </c>
      <c r="F2028" s="17">
        <f>IF(Log[[#This Row],[ID]]="","",IF(ISNA(MATCH(Log[[#This Row],[ID]],Items[ID],0)),"unknown ID",IF(ISNA(MATCH(Log[[#This Row],[Verb]],VerbList,0)),"unknown verb",IF(Log[[#This Row],[Date]]="","no date",""))))</f>
      </c>
      <c r="G2028" s="17">
        <f>IF(Log[[#This Row],[ID]]="","",IFERROR(VLOOKUP(Log[[#This Row],[Verb]],Verbs,3,FALSE)&amp;"",""))</f>
      </c>
      <c r="H2028" s="17">
        <f>IF(Log[[#This Row],[Date]]="","",INT((Log[[#This Row],[Date]]-Sprint1)/SprintDays)+1)</f>
      </c>
      <c r="I2028" s="17">
        <f>IF(OR(Log[[#This Row],[Verb]]="commit",Log[[#This Row],[Verb]]="carry",Log[[#This Row],[Verb]]="redo"),IF(Log[[#This Row],[Arg]]="",Log[[#This Row],[Sprint]],N(Log[[#This Row],[Arg]])),"")</f>
      </c>
      <c r="J2028" s="17">
        <f>IF(Log[[#This Row],[Verb]]="block",1,IF(OR(Log[[#This Row],[Verb]]="unblock",Log[[#This Row],[Verb]]="done",Log[[#This Row],[Verb]]="drop",Log[[#This Row],[Verb]]="punt",Log[[#This Row],[Verb]]="pass"),0,""))</f>
      </c>
      <c r="K2028" s="17">
        <f>IF(Log[[#This Row],[ID]]="",0,IFERROR(INDEX(Items[Pts],MATCH(Log[[#This Row],[ID]],Items[ID],0))*1,0))</f>
      </c>
      <c r="L2028" s="17">
        <f>IF(Log[[#This Row],[ID]]="","",IFERROR(INDEX(Items[Cur team],MATCH(Log[[#This Row],[ID]],Items[ID],0))&amp;"",""))</f>
      </c>
      <c r="M2028" s="17">
        <f>IF(OR(Log[[#This Row],[Verb]]="done",Log[[#This Row],[Verb]]="punt",Log[[#This Row],[Verb]]="drop",Log[[#This Row],[Verb]]="pass"),Log[[#This Row],[Pts]],0)</f>
      </c>
    </row>
    <row r="2029">
      <c r="A2029" s="11">
        <v>46286</v>
      </c>
      <c r="B2029" t="s">
        <v>1035</v>
      </c>
      <c r="C2029" t="s">
        <v>41</v>
      </c>
      <c r="F2029" s="17">
        <f>IF(Log[[#This Row],[ID]]="","",IF(ISNA(MATCH(Log[[#This Row],[ID]],Items[ID],0)),"unknown ID",IF(ISNA(MATCH(Log[[#This Row],[Verb]],VerbList,0)),"unknown verb",IF(Log[[#This Row],[Date]]="","no date",""))))</f>
      </c>
      <c r="G2029" s="17">
        <f>IF(Log[[#This Row],[ID]]="","",IFERROR(VLOOKUP(Log[[#This Row],[Verb]],Verbs,3,FALSE)&amp;"",""))</f>
      </c>
      <c r="H2029" s="17">
        <f>IF(Log[[#This Row],[Date]]="","",INT((Log[[#This Row],[Date]]-Sprint1)/SprintDays)+1)</f>
      </c>
      <c r="I2029" s="17">
        <f>IF(OR(Log[[#This Row],[Verb]]="commit",Log[[#This Row],[Verb]]="carry",Log[[#This Row],[Verb]]="redo"),IF(Log[[#This Row],[Arg]]="",Log[[#This Row],[Sprint]],N(Log[[#This Row],[Arg]])),"")</f>
      </c>
      <c r="J2029" s="17">
        <f>IF(Log[[#This Row],[Verb]]="block",1,IF(OR(Log[[#This Row],[Verb]]="unblock",Log[[#This Row],[Verb]]="done",Log[[#This Row],[Verb]]="drop",Log[[#This Row],[Verb]]="punt",Log[[#This Row],[Verb]]="pass"),0,""))</f>
      </c>
      <c r="K2029" s="17">
        <f>IF(Log[[#This Row],[ID]]="",0,IFERROR(INDEX(Items[Pts],MATCH(Log[[#This Row],[ID]],Items[ID],0))*1,0))</f>
      </c>
      <c r="L2029" s="17">
        <f>IF(Log[[#This Row],[ID]]="","",IFERROR(INDEX(Items[Cur team],MATCH(Log[[#This Row],[ID]],Items[ID],0))&amp;"",""))</f>
      </c>
      <c r="M2029" s="17">
        <f>IF(OR(Log[[#This Row],[Verb]]="done",Log[[#This Row],[Verb]]="punt",Log[[#This Row],[Verb]]="drop",Log[[#This Row],[Verb]]="pass"),Log[[#This Row],[Pts]],0)</f>
      </c>
    </row>
    <row r="2030">
      <c r="A2030" s="11">
        <v>46286</v>
      </c>
      <c r="B2030" t="s">
        <v>1036</v>
      </c>
      <c r="C2030" t="s">
        <v>41</v>
      </c>
      <c r="F2030" s="17">
        <f>IF(Log[[#This Row],[ID]]="","",IF(ISNA(MATCH(Log[[#This Row],[ID]],Items[ID],0)),"unknown ID",IF(ISNA(MATCH(Log[[#This Row],[Verb]],VerbList,0)),"unknown verb",IF(Log[[#This Row],[Date]]="","no date",""))))</f>
      </c>
      <c r="G2030" s="17">
        <f>IF(Log[[#This Row],[ID]]="","",IFERROR(VLOOKUP(Log[[#This Row],[Verb]],Verbs,3,FALSE)&amp;"",""))</f>
      </c>
      <c r="H2030" s="17">
        <f>IF(Log[[#This Row],[Date]]="","",INT((Log[[#This Row],[Date]]-Sprint1)/SprintDays)+1)</f>
      </c>
      <c r="I2030" s="17">
        <f>IF(OR(Log[[#This Row],[Verb]]="commit",Log[[#This Row],[Verb]]="carry",Log[[#This Row],[Verb]]="redo"),IF(Log[[#This Row],[Arg]]="",Log[[#This Row],[Sprint]],N(Log[[#This Row],[Arg]])),"")</f>
      </c>
      <c r="J2030" s="17">
        <f>IF(Log[[#This Row],[Verb]]="block",1,IF(OR(Log[[#This Row],[Verb]]="unblock",Log[[#This Row],[Verb]]="done",Log[[#This Row],[Verb]]="drop",Log[[#This Row],[Verb]]="punt",Log[[#This Row],[Verb]]="pass"),0,""))</f>
      </c>
      <c r="K2030" s="17">
        <f>IF(Log[[#This Row],[ID]]="",0,IFERROR(INDEX(Items[Pts],MATCH(Log[[#This Row],[ID]],Items[ID],0))*1,0))</f>
      </c>
      <c r="L2030" s="17">
        <f>IF(Log[[#This Row],[ID]]="","",IFERROR(INDEX(Items[Cur team],MATCH(Log[[#This Row],[ID]],Items[ID],0))&amp;"",""))</f>
      </c>
      <c r="M2030" s="17">
        <f>IF(OR(Log[[#This Row],[Verb]]="done",Log[[#This Row],[Verb]]="punt",Log[[#This Row],[Verb]]="drop",Log[[#This Row],[Verb]]="pass"),Log[[#This Row],[Pts]],0)</f>
      </c>
    </row>
    <row r="2031">
      <c r="A2031" s="11">
        <v>46286</v>
      </c>
      <c r="B2031" t="s">
        <v>1037</v>
      </c>
      <c r="C2031" t="s">
        <v>41</v>
      </c>
      <c r="F2031" s="17">
        <f>IF(Log[[#This Row],[ID]]="","",IF(ISNA(MATCH(Log[[#This Row],[ID]],Items[ID],0)),"unknown ID",IF(ISNA(MATCH(Log[[#This Row],[Verb]],VerbList,0)),"unknown verb",IF(Log[[#This Row],[Date]]="","no date",""))))</f>
      </c>
      <c r="G2031" s="17">
        <f>IF(Log[[#This Row],[ID]]="","",IFERROR(VLOOKUP(Log[[#This Row],[Verb]],Verbs,3,FALSE)&amp;"",""))</f>
      </c>
      <c r="H2031" s="17">
        <f>IF(Log[[#This Row],[Date]]="","",INT((Log[[#This Row],[Date]]-Sprint1)/SprintDays)+1)</f>
      </c>
      <c r="I2031" s="17">
        <f>IF(OR(Log[[#This Row],[Verb]]="commit",Log[[#This Row],[Verb]]="carry",Log[[#This Row],[Verb]]="redo"),IF(Log[[#This Row],[Arg]]="",Log[[#This Row],[Sprint]],N(Log[[#This Row],[Arg]])),"")</f>
      </c>
      <c r="J2031" s="17">
        <f>IF(Log[[#This Row],[Verb]]="block",1,IF(OR(Log[[#This Row],[Verb]]="unblock",Log[[#This Row],[Verb]]="done",Log[[#This Row],[Verb]]="drop",Log[[#This Row],[Verb]]="punt",Log[[#This Row],[Verb]]="pass"),0,""))</f>
      </c>
      <c r="K2031" s="17">
        <f>IF(Log[[#This Row],[ID]]="",0,IFERROR(INDEX(Items[Pts],MATCH(Log[[#This Row],[ID]],Items[ID],0))*1,0))</f>
      </c>
      <c r="L2031" s="17">
        <f>IF(Log[[#This Row],[ID]]="","",IFERROR(INDEX(Items[Cur team],MATCH(Log[[#This Row],[ID]],Items[ID],0))&amp;"",""))</f>
      </c>
      <c r="M2031" s="17">
        <f>IF(OR(Log[[#This Row],[Verb]]="done",Log[[#This Row],[Verb]]="punt",Log[[#This Row],[Verb]]="drop",Log[[#This Row],[Verb]]="pass"),Log[[#This Row],[Pts]],0)</f>
      </c>
    </row>
    <row r="2032">
      <c r="A2032" s="11">
        <v>46286</v>
      </c>
      <c r="B2032" t="s">
        <v>1038</v>
      </c>
      <c r="C2032" t="s">
        <v>41</v>
      </c>
      <c r="F2032" s="17">
        <f>IF(Log[[#This Row],[ID]]="","",IF(ISNA(MATCH(Log[[#This Row],[ID]],Items[ID],0)),"unknown ID",IF(ISNA(MATCH(Log[[#This Row],[Verb]],VerbList,0)),"unknown verb",IF(Log[[#This Row],[Date]]="","no date",""))))</f>
      </c>
      <c r="G2032" s="17">
        <f>IF(Log[[#This Row],[ID]]="","",IFERROR(VLOOKUP(Log[[#This Row],[Verb]],Verbs,3,FALSE)&amp;"",""))</f>
      </c>
      <c r="H2032" s="17">
        <f>IF(Log[[#This Row],[Date]]="","",INT((Log[[#This Row],[Date]]-Sprint1)/SprintDays)+1)</f>
      </c>
      <c r="I2032" s="17">
        <f>IF(OR(Log[[#This Row],[Verb]]="commit",Log[[#This Row],[Verb]]="carry",Log[[#This Row],[Verb]]="redo"),IF(Log[[#This Row],[Arg]]="",Log[[#This Row],[Sprint]],N(Log[[#This Row],[Arg]])),"")</f>
      </c>
      <c r="J2032" s="17">
        <f>IF(Log[[#This Row],[Verb]]="block",1,IF(OR(Log[[#This Row],[Verb]]="unblock",Log[[#This Row],[Verb]]="done",Log[[#This Row],[Verb]]="drop",Log[[#This Row],[Verb]]="punt",Log[[#This Row],[Verb]]="pass"),0,""))</f>
      </c>
      <c r="K2032" s="17">
        <f>IF(Log[[#This Row],[ID]]="",0,IFERROR(INDEX(Items[Pts],MATCH(Log[[#This Row],[ID]],Items[ID],0))*1,0))</f>
      </c>
      <c r="L2032" s="17">
        <f>IF(Log[[#This Row],[ID]]="","",IFERROR(INDEX(Items[Cur team],MATCH(Log[[#This Row],[ID]],Items[ID],0))&amp;"",""))</f>
      </c>
      <c r="M2032" s="17">
        <f>IF(OR(Log[[#This Row],[Verb]]="done",Log[[#This Row],[Verb]]="punt",Log[[#This Row],[Verb]]="drop",Log[[#This Row],[Verb]]="pass"),Log[[#This Row],[Pts]],0)</f>
      </c>
    </row>
    <row r="2033">
      <c r="A2033" s="11">
        <v>46286</v>
      </c>
      <c r="B2033" t="s">
        <v>1039</v>
      </c>
      <c r="C2033" t="s">
        <v>41</v>
      </c>
      <c r="F2033" s="17">
        <f>IF(Log[[#This Row],[ID]]="","",IF(ISNA(MATCH(Log[[#This Row],[ID]],Items[ID],0)),"unknown ID",IF(ISNA(MATCH(Log[[#This Row],[Verb]],VerbList,0)),"unknown verb",IF(Log[[#This Row],[Date]]="","no date",""))))</f>
      </c>
      <c r="G2033" s="17">
        <f>IF(Log[[#This Row],[ID]]="","",IFERROR(VLOOKUP(Log[[#This Row],[Verb]],Verbs,3,FALSE)&amp;"",""))</f>
      </c>
      <c r="H2033" s="17">
        <f>IF(Log[[#This Row],[Date]]="","",INT((Log[[#This Row],[Date]]-Sprint1)/SprintDays)+1)</f>
      </c>
      <c r="I2033" s="17">
        <f>IF(OR(Log[[#This Row],[Verb]]="commit",Log[[#This Row],[Verb]]="carry",Log[[#This Row],[Verb]]="redo"),IF(Log[[#This Row],[Arg]]="",Log[[#This Row],[Sprint]],N(Log[[#This Row],[Arg]])),"")</f>
      </c>
      <c r="J2033" s="17">
        <f>IF(Log[[#This Row],[Verb]]="block",1,IF(OR(Log[[#This Row],[Verb]]="unblock",Log[[#This Row],[Verb]]="done",Log[[#This Row],[Verb]]="drop",Log[[#This Row],[Verb]]="punt",Log[[#This Row],[Verb]]="pass"),0,""))</f>
      </c>
      <c r="K2033" s="17">
        <f>IF(Log[[#This Row],[ID]]="",0,IFERROR(INDEX(Items[Pts],MATCH(Log[[#This Row],[ID]],Items[ID],0))*1,0))</f>
      </c>
      <c r="L2033" s="17">
        <f>IF(Log[[#This Row],[ID]]="","",IFERROR(INDEX(Items[Cur team],MATCH(Log[[#This Row],[ID]],Items[ID],0))&amp;"",""))</f>
      </c>
      <c r="M2033" s="17">
        <f>IF(OR(Log[[#This Row],[Verb]]="done",Log[[#This Row],[Verb]]="punt",Log[[#This Row],[Verb]]="drop",Log[[#This Row],[Verb]]="pass"),Log[[#This Row],[Pts]],0)</f>
      </c>
    </row>
    <row r="2034">
      <c r="A2034" s="11">
        <v>46286</v>
      </c>
      <c r="B2034" t="s">
        <v>973</v>
      </c>
      <c r="C2034" t="s">
        <v>41</v>
      </c>
      <c r="F2034" s="17">
        <f>IF(Log[[#This Row],[ID]]="","",IF(ISNA(MATCH(Log[[#This Row],[ID]],Items[ID],0)),"unknown ID",IF(ISNA(MATCH(Log[[#This Row],[Verb]],VerbList,0)),"unknown verb",IF(Log[[#This Row],[Date]]="","no date",""))))</f>
      </c>
      <c r="G2034" s="17">
        <f>IF(Log[[#This Row],[ID]]="","",IFERROR(VLOOKUP(Log[[#This Row],[Verb]],Verbs,3,FALSE)&amp;"",""))</f>
      </c>
      <c r="H2034" s="17">
        <f>IF(Log[[#This Row],[Date]]="","",INT((Log[[#This Row],[Date]]-Sprint1)/SprintDays)+1)</f>
      </c>
      <c r="I2034" s="17">
        <f>IF(OR(Log[[#This Row],[Verb]]="commit",Log[[#This Row],[Verb]]="carry",Log[[#This Row],[Verb]]="redo"),IF(Log[[#This Row],[Arg]]="",Log[[#This Row],[Sprint]],N(Log[[#This Row],[Arg]])),"")</f>
      </c>
      <c r="J2034" s="17">
        <f>IF(Log[[#This Row],[Verb]]="block",1,IF(OR(Log[[#This Row],[Verb]]="unblock",Log[[#This Row],[Verb]]="done",Log[[#This Row],[Verb]]="drop",Log[[#This Row],[Verb]]="punt",Log[[#This Row],[Verb]]="pass"),0,""))</f>
      </c>
      <c r="K2034" s="17">
        <f>IF(Log[[#This Row],[ID]]="",0,IFERROR(INDEX(Items[Pts],MATCH(Log[[#This Row],[ID]],Items[ID],0))*1,0))</f>
      </c>
      <c r="L2034" s="17">
        <f>IF(Log[[#This Row],[ID]]="","",IFERROR(INDEX(Items[Cur team],MATCH(Log[[#This Row],[ID]],Items[ID],0))&amp;"",""))</f>
      </c>
      <c r="M2034" s="17">
        <f>IF(OR(Log[[#This Row],[Verb]]="done",Log[[#This Row],[Verb]]="punt",Log[[#This Row],[Verb]]="drop",Log[[#This Row],[Verb]]="pass"),Log[[#This Row],[Pts]],0)</f>
      </c>
    </row>
    <row r="2035">
      <c r="A2035" s="11">
        <v>46286</v>
      </c>
      <c r="B2035" t="s">
        <v>1040</v>
      </c>
      <c r="C2035" t="s">
        <v>41</v>
      </c>
      <c r="F2035" s="17">
        <f>IF(Log[[#This Row],[ID]]="","",IF(ISNA(MATCH(Log[[#This Row],[ID]],Items[ID],0)),"unknown ID",IF(ISNA(MATCH(Log[[#This Row],[Verb]],VerbList,0)),"unknown verb",IF(Log[[#This Row],[Date]]="","no date",""))))</f>
      </c>
      <c r="G2035" s="17">
        <f>IF(Log[[#This Row],[ID]]="","",IFERROR(VLOOKUP(Log[[#This Row],[Verb]],Verbs,3,FALSE)&amp;"",""))</f>
      </c>
      <c r="H2035" s="17">
        <f>IF(Log[[#This Row],[Date]]="","",INT((Log[[#This Row],[Date]]-Sprint1)/SprintDays)+1)</f>
      </c>
      <c r="I2035" s="17">
        <f>IF(OR(Log[[#This Row],[Verb]]="commit",Log[[#This Row],[Verb]]="carry",Log[[#This Row],[Verb]]="redo"),IF(Log[[#This Row],[Arg]]="",Log[[#This Row],[Sprint]],N(Log[[#This Row],[Arg]])),"")</f>
      </c>
      <c r="J2035" s="17">
        <f>IF(Log[[#This Row],[Verb]]="block",1,IF(OR(Log[[#This Row],[Verb]]="unblock",Log[[#This Row],[Verb]]="done",Log[[#This Row],[Verb]]="drop",Log[[#This Row],[Verb]]="punt",Log[[#This Row],[Verb]]="pass"),0,""))</f>
      </c>
      <c r="K2035" s="17">
        <f>IF(Log[[#This Row],[ID]]="",0,IFERROR(INDEX(Items[Pts],MATCH(Log[[#This Row],[ID]],Items[ID],0))*1,0))</f>
      </c>
      <c r="L2035" s="17">
        <f>IF(Log[[#This Row],[ID]]="","",IFERROR(INDEX(Items[Cur team],MATCH(Log[[#This Row],[ID]],Items[ID],0))&amp;"",""))</f>
      </c>
      <c r="M2035" s="17">
        <f>IF(OR(Log[[#This Row],[Verb]]="done",Log[[#This Row],[Verb]]="punt",Log[[#This Row],[Verb]]="drop",Log[[#This Row],[Verb]]="pass"),Log[[#This Row],[Pts]],0)</f>
      </c>
    </row>
    <row r="2036">
      <c r="A2036" s="11">
        <v>46286</v>
      </c>
      <c r="B2036" t="s">
        <v>1041</v>
      </c>
      <c r="C2036" t="s">
        <v>41</v>
      </c>
      <c r="F2036" s="17">
        <f>IF(Log[[#This Row],[ID]]="","",IF(ISNA(MATCH(Log[[#This Row],[ID]],Items[ID],0)),"unknown ID",IF(ISNA(MATCH(Log[[#This Row],[Verb]],VerbList,0)),"unknown verb",IF(Log[[#This Row],[Date]]="","no date",""))))</f>
      </c>
      <c r="G2036" s="17">
        <f>IF(Log[[#This Row],[ID]]="","",IFERROR(VLOOKUP(Log[[#This Row],[Verb]],Verbs,3,FALSE)&amp;"",""))</f>
      </c>
      <c r="H2036" s="17">
        <f>IF(Log[[#This Row],[Date]]="","",INT((Log[[#This Row],[Date]]-Sprint1)/SprintDays)+1)</f>
      </c>
      <c r="I2036" s="17">
        <f>IF(OR(Log[[#This Row],[Verb]]="commit",Log[[#This Row],[Verb]]="carry",Log[[#This Row],[Verb]]="redo"),IF(Log[[#This Row],[Arg]]="",Log[[#This Row],[Sprint]],N(Log[[#This Row],[Arg]])),"")</f>
      </c>
      <c r="J2036" s="17">
        <f>IF(Log[[#This Row],[Verb]]="block",1,IF(OR(Log[[#This Row],[Verb]]="unblock",Log[[#This Row],[Verb]]="done",Log[[#This Row],[Verb]]="drop",Log[[#This Row],[Verb]]="punt",Log[[#This Row],[Verb]]="pass"),0,""))</f>
      </c>
      <c r="K2036" s="17">
        <f>IF(Log[[#This Row],[ID]]="",0,IFERROR(INDEX(Items[Pts],MATCH(Log[[#This Row],[ID]],Items[ID],0))*1,0))</f>
      </c>
      <c r="L2036" s="17">
        <f>IF(Log[[#This Row],[ID]]="","",IFERROR(INDEX(Items[Cur team],MATCH(Log[[#This Row],[ID]],Items[ID],0))&amp;"",""))</f>
      </c>
      <c r="M2036" s="17">
        <f>IF(OR(Log[[#This Row],[Verb]]="done",Log[[#This Row],[Verb]]="punt",Log[[#This Row],[Verb]]="drop",Log[[#This Row],[Verb]]="pass"),Log[[#This Row],[Pts]],0)</f>
      </c>
    </row>
    <row r="2037">
      <c r="A2037" s="11">
        <v>46286</v>
      </c>
      <c r="B2037" t="s">
        <v>1042</v>
      </c>
      <c r="C2037" t="s">
        <v>38</v>
      </c>
      <c r="D2037">
        <v>53</v>
      </c>
      <c r="F2037" s="17">
        <f>IF(Log[[#This Row],[ID]]="","",IF(ISNA(MATCH(Log[[#This Row],[ID]],Items[ID],0)),"unknown ID",IF(ISNA(MATCH(Log[[#This Row],[Verb]],VerbList,0)),"unknown verb",IF(Log[[#This Row],[Date]]="","no date",""))))</f>
      </c>
      <c r="G2037" s="17">
        <f>IF(Log[[#This Row],[ID]]="","",IFERROR(VLOOKUP(Log[[#This Row],[Verb]],Verbs,3,FALSE)&amp;"",""))</f>
      </c>
      <c r="H2037" s="17">
        <f>IF(Log[[#This Row],[Date]]="","",INT((Log[[#This Row],[Date]]-Sprint1)/SprintDays)+1)</f>
      </c>
      <c r="I2037" s="17">
        <f>IF(OR(Log[[#This Row],[Verb]]="commit",Log[[#This Row],[Verb]]="carry",Log[[#This Row],[Verb]]="redo"),IF(Log[[#This Row],[Arg]]="",Log[[#This Row],[Sprint]],N(Log[[#This Row],[Arg]])),"")</f>
      </c>
      <c r="J2037" s="17">
        <f>IF(Log[[#This Row],[Verb]]="block",1,IF(OR(Log[[#This Row],[Verb]]="unblock",Log[[#This Row],[Verb]]="done",Log[[#This Row],[Verb]]="drop",Log[[#This Row],[Verb]]="punt",Log[[#This Row],[Verb]]="pass"),0,""))</f>
      </c>
      <c r="K2037" s="17">
        <f>IF(Log[[#This Row],[ID]]="",0,IFERROR(INDEX(Items[Pts],MATCH(Log[[#This Row],[ID]],Items[ID],0))*1,0))</f>
      </c>
      <c r="L2037" s="17">
        <f>IF(Log[[#This Row],[ID]]="","",IFERROR(INDEX(Items[Cur team],MATCH(Log[[#This Row],[ID]],Items[ID],0))&amp;"",""))</f>
      </c>
      <c r="M2037" s="17">
        <f>IF(OR(Log[[#This Row],[Verb]]="done",Log[[#This Row],[Verb]]="punt",Log[[#This Row],[Verb]]="drop",Log[[#This Row],[Verb]]="pass"),Log[[#This Row],[Pts]],0)</f>
      </c>
    </row>
    <row r="2038">
      <c r="A2038" s="11">
        <v>46286</v>
      </c>
      <c r="B2038" t="s">
        <v>1043</v>
      </c>
      <c r="C2038" t="s">
        <v>41</v>
      </c>
      <c r="F2038" s="17">
        <f>IF(Log[[#This Row],[ID]]="","",IF(ISNA(MATCH(Log[[#This Row],[ID]],Items[ID],0)),"unknown ID",IF(ISNA(MATCH(Log[[#This Row],[Verb]],VerbList,0)),"unknown verb",IF(Log[[#This Row],[Date]]="","no date",""))))</f>
      </c>
      <c r="G2038" s="17">
        <f>IF(Log[[#This Row],[ID]]="","",IFERROR(VLOOKUP(Log[[#This Row],[Verb]],Verbs,3,FALSE)&amp;"",""))</f>
      </c>
      <c r="H2038" s="17">
        <f>IF(Log[[#This Row],[Date]]="","",INT((Log[[#This Row],[Date]]-Sprint1)/SprintDays)+1)</f>
      </c>
      <c r="I2038" s="17">
        <f>IF(OR(Log[[#This Row],[Verb]]="commit",Log[[#This Row],[Verb]]="carry",Log[[#This Row],[Verb]]="redo"),IF(Log[[#This Row],[Arg]]="",Log[[#This Row],[Sprint]],N(Log[[#This Row],[Arg]])),"")</f>
      </c>
      <c r="J2038" s="17">
        <f>IF(Log[[#This Row],[Verb]]="block",1,IF(OR(Log[[#This Row],[Verb]]="unblock",Log[[#This Row],[Verb]]="done",Log[[#This Row],[Verb]]="drop",Log[[#This Row],[Verb]]="punt",Log[[#This Row],[Verb]]="pass"),0,""))</f>
      </c>
      <c r="K2038" s="17">
        <f>IF(Log[[#This Row],[ID]]="",0,IFERROR(INDEX(Items[Pts],MATCH(Log[[#This Row],[ID]],Items[ID],0))*1,0))</f>
      </c>
      <c r="L2038" s="17">
        <f>IF(Log[[#This Row],[ID]]="","",IFERROR(INDEX(Items[Cur team],MATCH(Log[[#This Row],[ID]],Items[ID],0))&amp;"",""))</f>
      </c>
      <c r="M2038" s="17">
        <f>IF(OR(Log[[#This Row],[Verb]]="done",Log[[#This Row],[Verb]]="punt",Log[[#This Row],[Verb]]="drop",Log[[#This Row],[Verb]]="pass"),Log[[#This Row],[Pts]],0)</f>
      </c>
    </row>
    <row r="2039">
      <c r="A2039" s="11">
        <v>46286</v>
      </c>
      <c r="B2039" t="s">
        <v>1044</v>
      </c>
      <c r="C2039" t="s">
        <v>41</v>
      </c>
      <c r="F2039" s="17">
        <f>IF(Log[[#This Row],[ID]]="","",IF(ISNA(MATCH(Log[[#This Row],[ID]],Items[ID],0)),"unknown ID",IF(ISNA(MATCH(Log[[#This Row],[Verb]],VerbList,0)),"unknown verb",IF(Log[[#This Row],[Date]]="","no date",""))))</f>
      </c>
      <c r="G2039" s="17">
        <f>IF(Log[[#This Row],[ID]]="","",IFERROR(VLOOKUP(Log[[#This Row],[Verb]],Verbs,3,FALSE)&amp;"",""))</f>
      </c>
      <c r="H2039" s="17">
        <f>IF(Log[[#This Row],[Date]]="","",INT((Log[[#This Row],[Date]]-Sprint1)/SprintDays)+1)</f>
      </c>
      <c r="I2039" s="17">
        <f>IF(OR(Log[[#This Row],[Verb]]="commit",Log[[#This Row],[Verb]]="carry",Log[[#This Row],[Verb]]="redo"),IF(Log[[#This Row],[Arg]]="",Log[[#This Row],[Sprint]],N(Log[[#This Row],[Arg]])),"")</f>
      </c>
      <c r="J2039" s="17">
        <f>IF(Log[[#This Row],[Verb]]="block",1,IF(OR(Log[[#This Row],[Verb]]="unblock",Log[[#This Row],[Verb]]="done",Log[[#This Row],[Verb]]="drop",Log[[#This Row],[Verb]]="punt",Log[[#This Row],[Verb]]="pass"),0,""))</f>
      </c>
      <c r="K2039" s="17">
        <f>IF(Log[[#This Row],[ID]]="",0,IFERROR(INDEX(Items[Pts],MATCH(Log[[#This Row],[ID]],Items[ID],0))*1,0))</f>
      </c>
      <c r="L2039" s="17">
        <f>IF(Log[[#This Row],[ID]]="","",IFERROR(INDEX(Items[Cur team],MATCH(Log[[#This Row],[ID]],Items[ID],0))&amp;"",""))</f>
      </c>
      <c r="M2039" s="17">
        <f>IF(OR(Log[[#This Row],[Verb]]="done",Log[[#This Row],[Verb]]="punt",Log[[#This Row],[Verb]]="drop",Log[[#This Row],[Verb]]="pass"),Log[[#This Row],[Pts]],0)</f>
      </c>
    </row>
    <row r="2040">
      <c r="A2040" s="11">
        <v>46286</v>
      </c>
      <c r="B2040" t="s">
        <v>1045</v>
      </c>
      <c r="C2040" t="s">
        <v>41</v>
      </c>
      <c r="F2040" s="17">
        <f>IF(Log[[#This Row],[ID]]="","",IF(ISNA(MATCH(Log[[#This Row],[ID]],Items[ID],0)),"unknown ID",IF(ISNA(MATCH(Log[[#This Row],[Verb]],VerbList,0)),"unknown verb",IF(Log[[#This Row],[Date]]="","no date",""))))</f>
      </c>
      <c r="G2040" s="17">
        <f>IF(Log[[#This Row],[ID]]="","",IFERROR(VLOOKUP(Log[[#This Row],[Verb]],Verbs,3,FALSE)&amp;"",""))</f>
      </c>
      <c r="H2040" s="17">
        <f>IF(Log[[#This Row],[Date]]="","",INT((Log[[#This Row],[Date]]-Sprint1)/SprintDays)+1)</f>
      </c>
      <c r="I2040" s="17">
        <f>IF(OR(Log[[#This Row],[Verb]]="commit",Log[[#This Row],[Verb]]="carry",Log[[#This Row],[Verb]]="redo"),IF(Log[[#This Row],[Arg]]="",Log[[#This Row],[Sprint]],N(Log[[#This Row],[Arg]])),"")</f>
      </c>
      <c r="J2040" s="17">
        <f>IF(Log[[#This Row],[Verb]]="block",1,IF(OR(Log[[#This Row],[Verb]]="unblock",Log[[#This Row],[Verb]]="done",Log[[#This Row],[Verb]]="drop",Log[[#This Row],[Verb]]="punt",Log[[#This Row],[Verb]]="pass"),0,""))</f>
      </c>
      <c r="K2040" s="17">
        <f>IF(Log[[#This Row],[ID]]="",0,IFERROR(INDEX(Items[Pts],MATCH(Log[[#This Row],[ID]],Items[ID],0))*1,0))</f>
      </c>
      <c r="L2040" s="17">
        <f>IF(Log[[#This Row],[ID]]="","",IFERROR(INDEX(Items[Cur team],MATCH(Log[[#This Row],[ID]],Items[ID],0))&amp;"",""))</f>
      </c>
      <c r="M2040" s="17">
        <f>IF(OR(Log[[#This Row],[Verb]]="done",Log[[#This Row],[Verb]]="punt",Log[[#This Row],[Verb]]="drop",Log[[#This Row],[Verb]]="pass"),Log[[#This Row],[Pts]],0)</f>
      </c>
    </row>
    <row r="2041">
      <c r="A2041" s="11">
        <v>46286</v>
      </c>
      <c r="B2041" t="s">
        <v>1046</v>
      </c>
      <c r="C2041" t="s">
        <v>41</v>
      </c>
      <c r="F2041" s="17">
        <f>IF(Log[[#This Row],[ID]]="","",IF(ISNA(MATCH(Log[[#This Row],[ID]],Items[ID],0)),"unknown ID",IF(ISNA(MATCH(Log[[#This Row],[Verb]],VerbList,0)),"unknown verb",IF(Log[[#This Row],[Date]]="","no date",""))))</f>
      </c>
      <c r="G2041" s="17">
        <f>IF(Log[[#This Row],[ID]]="","",IFERROR(VLOOKUP(Log[[#This Row],[Verb]],Verbs,3,FALSE)&amp;"",""))</f>
      </c>
      <c r="H2041" s="17">
        <f>IF(Log[[#This Row],[Date]]="","",INT((Log[[#This Row],[Date]]-Sprint1)/SprintDays)+1)</f>
      </c>
      <c r="I2041" s="17">
        <f>IF(OR(Log[[#This Row],[Verb]]="commit",Log[[#This Row],[Verb]]="carry",Log[[#This Row],[Verb]]="redo"),IF(Log[[#This Row],[Arg]]="",Log[[#This Row],[Sprint]],N(Log[[#This Row],[Arg]])),"")</f>
      </c>
      <c r="J2041" s="17">
        <f>IF(Log[[#This Row],[Verb]]="block",1,IF(OR(Log[[#This Row],[Verb]]="unblock",Log[[#This Row],[Verb]]="done",Log[[#This Row],[Verb]]="drop",Log[[#This Row],[Verb]]="punt",Log[[#This Row],[Verb]]="pass"),0,""))</f>
      </c>
      <c r="K2041" s="17">
        <f>IF(Log[[#This Row],[ID]]="",0,IFERROR(INDEX(Items[Pts],MATCH(Log[[#This Row],[ID]],Items[ID],0))*1,0))</f>
      </c>
      <c r="L2041" s="17">
        <f>IF(Log[[#This Row],[ID]]="","",IFERROR(INDEX(Items[Cur team],MATCH(Log[[#This Row],[ID]],Items[ID],0))&amp;"",""))</f>
      </c>
      <c r="M2041" s="17">
        <f>IF(OR(Log[[#This Row],[Verb]]="done",Log[[#This Row],[Verb]]="punt",Log[[#This Row],[Verb]]="drop",Log[[#This Row],[Verb]]="pass"),Log[[#This Row],[Pts]],0)</f>
      </c>
    </row>
    <row r="2042">
      <c r="A2042" s="11">
        <v>46286</v>
      </c>
      <c r="B2042" t="s">
        <v>1047</v>
      </c>
      <c r="C2042" t="s">
        <v>38</v>
      </c>
      <c r="D2042">
        <v>53</v>
      </c>
      <c r="F2042" s="17">
        <f>IF(Log[[#This Row],[ID]]="","",IF(ISNA(MATCH(Log[[#This Row],[ID]],Items[ID],0)),"unknown ID",IF(ISNA(MATCH(Log[[#This Row],[Verb]],VerbList,0)),"unknown verb",IF(Log[[#This Row],[Date]]="","no date",""))))</f>
      </c>
      <c r="G2042" s="17">
        <f>IF(Log[[#This Row],[ID]]="","",IFERROR(VLOOKUP(Log[[#This Row],[Verb]],Verbs,3,FALSE)&amp;"",""))</f>
      </c>
      <c r="H2042" s="17">
        <f>IF(Log[[#This Row],[Date]]="","",INT((Log[[#This Row],[Date]]-Sprint1)/SprintDays)+1)</f>
      </c>
      <c r="I2042" s="17">
        <f>IF(OR(Log[[#This Row],[Verb]]="commit",Log[[#This Row],[Verb]]="carry",Log[[#This Row],[Verb]]="redo"),IF(Log[[#This Row],[Arg]]="",Log[[#This Row],[Sprint]],N(Log[[#This Row],[Arg]])),"")</f>
      </c>
      <c r="J2042" s="17">
        <f>IF(Log[[#This Row],[Verb]]="block",1,IF(OR(Log[[#This Row],[Verb]]="unblock",Log[[#This Row],[Verb]]="done",Log[[#This Row],[Verb]]="drop",Log[[#This Row],[Verb]]="punt",Log[[#This Row],[Verb]]="pass"),0,""))</f>
      </c>
      <c r="K2042" s="17">
        <f>IF(Log[[#This Row],[ID]]="",0,IFERROR(INDEX(Items[Pts],MATCH(Log[[#This Row],[ID]],Items[ID],0))*1,0))</f>
      </c>
      <c r="L2042" s="17">
        <f>IF(Log[[#This Row],[ID]]="","",IFERROR(INDEX(Items[Cur team],MATCH(Log[[#This Row],[ID]],Items[ID],0))&amp;"",""))</f>
      </c>
      <c r="M2042" s="17">
        <f>IF(OR(Log[[#This Row],[Verb]]="done",Log[[#This Row],[Verb]]="punt",Log[[#This Row],[Verb]]="drop",Log[[#This Row],[Verb]]="pass"),Log[[#This Row],[Pts]],0)</f>
      </c>
    </row>
    <row r="2043">
      <c r="A2043" s="11">
        <v>46286</v>
      </c>
      <c r="B2043" t="s">
        <v>1048</v>
      </c>
      <c r="C2043" t="s">
        <v>41</v>
      </c>
      <c r="F2043" s="17">
        <f>IF(Log[[#This Row],[ID]]="","",IF(ISNA(MATCH(Log[[#This Row],[ID]],Items[ID],0)),"unknown ID",IF(ISNA(MATCH(Log[[#This Row],[Verb]],VerbList,0)),"unknown verb",IF(Log[[#This Row],[Date]]="","no date",""))))</f>
      </c>
      <c r="G2043" s="17">
        <f>IF(Log[[#This Row],[ID]]="","",IFERROR(VLOOKUP(Log[[#This Row],[Verb]],Verbs,3,FALSE)&amp;"",""))</f>
      </c>
      <c r="H2043" s="17">
        <f>IF(Log[[#This Row],[Date]]="","",INT((Log[[#This Row],[Date]]-Sprint1)/SprintDays)+1)</f>
      </c>
      <c r="I2043" s="17">
        <f>IF(OR(Log[[#This Row],[Verb]]="commit",Log[[#This Row],[Verb]]="carry",Log[[#This Row],[Verb]]="redo"),IF(Log[[#This Row],[Arg]]="",Log[[#This Row],[Sprint]],N(Log[[#This Row],[Arg]])),"")</f>
      </c>
      <c r="J2043" s="17">
        <f>IF(Log[[#This Row],[Verb]]="block",1,IF(OR(Log[[#This Row],[Verb]]="unblock",Log[[#This Row],[Verb]]="done",Log[[#This Row],[Verb]]="drop",Log[[#This Row],[Verb]]="punt",Log[[#This Row],[Verb]]="pass"),0,""))</f>
      </c>
      <c r="K2043" s="17">
        <f>IF(Log[[#This Row],[ID]]="",0,IFERROR(INDEX(Items[Pts],MATCH(Log[[#This Row],[ID]],Items[ID],0))*1,0))</f>
      </c>
      <c r="L2043" s="17">
        <f>IF(Log[[#This Row],[ID]]="","",IFERROR(INDEX(Items[Cur team],MATCH(Log[[#This Row],[ID]],Items[ID],0))&amp;"",""))</f>
      </c>
      <c r="M2043" s="17">
        <f>IF(OR(Log[[#This Row],[Verb]]="done",Log[[#This Row],[Verb]]="punt",Log[[#This Row],[Verb]]="drop",Log[[#This Row],[Verb]]="pass"),Log[[#This Row],[Pts]],0)</f>
      </c>
    </row>
    <row r="2044">
      <c r="A2044" s="11">
        <v>46286</v>
      </c>
      <c r="B2044" t="s">
        <v>1049</v>
      </c>
      <c r="C2044" t="s">
        <v>41</v>
      </c>
      <c r="F2044" s="17">
        <f>IF(Log[[#This Row],[ID]]="","",IF(ISNA(MATCH(Log[[#This Row],[ID]],Items[ID],0)),"unknown ID",IF(ISNA(MATCH(Log[[#This Row],[Verb]],VerbList,0)),"unknown verb",IF(Log[[#This Row],[Date]]="","no date",""))))</f>
      </c>
      <c r="G2044" s="17">
        <f>IF(Log[[#This Row],[ID]]="","",IFERROR(VLOOKUP(Log[[#This Row],[Verb]],Verbs,3,FALSE)&amp;"",""))</f>
      </c>
      <c r="H2044" s="17">
        <f>IF(Log[[#This Row],[Date]]="","",INT((Log[[#This Row],[Date]]-Sprint1)/SprintDays)+1)</f>
      </c>
      <c r="I2044" s="17">
        <f>IF(OR(Log[[#This Row],[Verb]]="commit",Log[[#This Row],[Verb]]="carry",Log[[#This Row],[Verb]]="redo"),IF(Log[[#This Row],[Arg]]="",Log[[#This Row],[Sprint]],N(Log[[#This Row],[Arg]])),"")</f>
      </c>
      <c r="J2044" s="17">
        <f>IF(Log[[#This Row],[Verb]]="block",1,IF(OR(Log[[#This Row],[Verb]]="unblock",Log[[#This Row],[Verb]]="done",Log[[#This Row],[Verb]]="drop",Log[[#This Row],[Verb]]="punt",Log[[#This Row],[Verb]]="pass"),0,""))</f>
      </c>
      <c r="K2044" s="17">
        <f>IF(Log[[#This Row],[ID]]="",0,IFERROR(INDEX(Items[Pts],MATCH(Log[[#This Row],[ID]],Items[ID],0))*1,0))</f>
      </c>
      <c r="L2044" s="17">
        <f>IF(Log[[#This Row],[ID]]="","",IFERROR(INDEX(Items[Cur team],MATCH(Log[[#This Row],[ID]],Items[ID],0))&amp;"",""))</f>
      </c>
      <c r="M2044" s="17">
        <f>IF(OR(Log[[#This Row],[Verb]]="done",Log[[#This Row],[Verb]]="punt",Log[[#This Row],[Verb]]="drop",Log[[#This Row],[Verb]]="pass"),Log[[#This Row],[Pts]],0)</f>
      </c>
    </row>
    <row r="2045">
      <c r="A2045" s="11">
        <v>46286</v>
      </c>
      <c r="B2045" t="s">
        <v>1050</v>
      </c>
      <c r="C2045" t="s">
        <v>41</v>
      </c>
      <c r="F2045" s="17">
        <f>IF(Log[[#This Row],[ID]]="","",IF(ISNA(MATCH(Log[[#This Row],[ID]],Items[ID],0)),"unknown ID",IF(ISNA(MATCH(Log[[#This Row],[Verb]],VerbList,0)),"unknown verb",IF(Log[[#This Row],[Date]]="","no date",""))))</f>
      </c>
      <c r="G2045" s="17">
        <f>IF(Log[[#This Row],[ID]]="","",IFERROR(VLOOKUP(Log[[#This Row],[Verb]],Verbs,3,FALSE)&amp;"",""))</f>
      </c>
      <c r="H2045" s="17">
        <f>IF(Log[[#This Row],[Date]]="","",INT((Log[[#This Row],[Date]]-Sprint1)/SprintDays)+1)</f>
      </c>
      <c r="I2045" s="17">
        <f>IF(OR(Log[[#This Row],[Verb]]="commit",Log[[#This Row],[Verb]]="carry",Log[[#This Row],[Verb]]="redo"),IF(Log[[#This Row],[Arg]]="",Log[[#This Row],[Sprint]],N(Log[[#This Row],[Arg]])),"")</f>
      </c>
      <c r="J2045" s="17">
        <f>IF(Log[[#This Row],[Verb]]="block",1,IF(OR(Log[[#This Row],[Verb]]="unblock",Log[[#This Row],[Verb]]="done",Log[[#This Row],[Verb]]="drop",Log[[#This Row],[Verb]]="punt",Log[[#This Row],[Verb]]="pass"),0,""))</f>
      </c>
      <c r="K2045" s="17">
        <f>IF(Log[[#This Row],[ID]]="",0,IFERROR(INDEX(Items[Pts],MATCH(Log[[#This Row],[ID]],Items[ID],0))*1,0))</f>
      </c>
      <c r="L2045" s="17">
        <f>IF(Log[[#This Row],[ID]]="","",IFERROR(INDEX(Items[Cur team],MATCH(Log[[#This Row],[ID]],Items[ID],0))&amp;"",""))</f>
      </c>
      <c r="M2045" s="17">
        <f>IF(OR(Log[[#This Row],[Verb]]="done",Log[[#This Row],[Verb]]="punt",Log[[#This Row],[Verb]]="drop",Log[[#This Row],[Verb]]="pass"),Log[[#This Row],[Pts]],0)</f>
      </c>
    </row>
    <row r="2046">
      <c r="A2046" s="11">
        <v>46286</v>
      </c>
      <c r="B2046" t="s">
        <v>1051</v>
      </c>
      <c r="C2046" t="s">
        <v>41</v>
      </c>
      <c r="F2046" s="17">
        <f>IF(Log[[#This Row],[ID]]="","",IF(ISNA(MATCH(Log[[#This Row],[ID]],Items[ID],0)),"unknown ID",IF(ISNA(MATCH(Log[[#This Row],[Verb]],VerbList,0)),"unknown verb",IF(Log[[#This Row],[Date]]="","no date",""))))</f>
      </c>
      <c r="G2046" s="17">
        <f>IF(Log[[#This Row],[ID]]="","",IFERROR(VLOOKUP(Log[[#This Row],[Verb]],Verbs,3,FALSE)&amp;"",""))</f>
      </c>
      <c r="H2046" s="17">
        <f>IF(Log[[#This Row],[Date]]="","",INT((Log[[#This Row],[Date]]-Sprint1)/SprintDays)+1)</f>
      </c>
      <c r="I2046" s="17">
        <f>IF(OR(Log[[#This Row],[Verb]]="commit",Log[[#This Row],[Verb]]="carry",Log[[#This Row],[Verb]]="redo"),IF(Log[[#This Row],[Arg]]="",Log[[#This Row],[Sprint]],N(Log[[#This Row],[Arg]])),"")</f>
      </c>
      <c r="J2046" s="17">
        <f>IF(Log[[#This Row],[Verb]]="block",1,IF(OR(Log[[#This Row],[Verb]]="unblock",Log[[#This Row],[Verb]]="done",Log[[#This Row],[Verb]]="drop",Log[[#This Row],[Verb]]="punt",Log[[#This Row],[Verb]]="pass"),0,""))</f>
      </c>
      <c r="K2046" s="17">
        <f>IF(Log[[#This Row],[ID]]="",0,IFERROR(INDEX(Items[Pts],MATCH(Log[[#This Row],[ID]],Items[ID],0))*1,0))</f>
      </c>
      <c r="L2046" s="17">
        <f>IF(Log[[#This Row],[ID]]="","",IFERROR(INDEX(Items[Cur team],MATCH(Log[[#This Row],[ID]],Items[ID],0))&amp;"",""))</f>
      </c>
      <c r="M2046" s="17">
        <f>IF(OR(Log[[#This Row],[Verb]]="done",Log[[#This Row],[Verb]]="punt",Log[[#This Row],[Verb]]="drop",Log[[#This Row],[Verb]]="pass"),Log[[#This Row],[Pts]],0)</f>
      </c>
    </row>
    <row r="2047">
      <c r="A2047" s="11">
        <v>46286</v>
      </c>
      <c r="B2047" t="s">
        <v>1052</v>
      </c>
      <c r="C2047" t="s">
        <v>41</v>
      </c>
      <c r="F2047" s="17">
        <f>IF(Log[[#This Row],[ID]]="","",IF(ISNA(MATCH(Log[[#This Row],[ID]],Items[ID],0)),"unknown ID",IF(ISNA(MATCH(Log[[#This Row],[Verb]],VerbList,0)),"unknown verb",IF(Log[[#This Row],[Date]]="","no date",""))))</f>
      </c>
      <c r="G2047" s="17">
        <f>IF(Log[[#This Row],[ID]]="","",IFERROR(VLOOKUP(Log[[#This Row],[Verb]],Verbs,3,FALSE)&amp;"",""))</f>
      </c>
      <c r="H2047" s="17">
        <f>IF(Log[[#This Row],[Date]]="","",INT((Log[[#This Row],[Date]]-Sprint1)/SprintDays)+1)</f>
      </c>
      <c r="I2047" s="17">
        <f>IF(OR(Log[[#This Row],[Verb]]="commit",Log[[#This Row],[Verb]]="carry",Log[[#This Row],[Verb]]="redo"),IF(Log[[#This Row],[Arg]]="",Log[[#This Row],[Sprint]],N(Log[[#This Row],[Arg]])),"")</f>
      </c>
      <c r="J2047" s="17">
        <f>IF(Log[[#This Row],[Verb]]="block",1,IF(OR(Log[[#This Row],[Verb]]="unblock",Log[[#This Row],[Verb]]="done",Log[[#This Row],[Verb]]="drop",Log[[#This Row],[Verb]]="punt",Log[[#This Row],[Verb]]="pass"),0,""))</f>
      </c>
      <c r="K2047" s="17">
        <f>IF(Log[[#This Row],[ID]]="",0,IFERROR(INDEX(Items[Pts],MATCH(Log[[#This Row],[ID]],Items[ID],0))*1,0))</f>
      </c>
      <c r="L2047" s="17">
        <f>IF(Log[[#This Row],[ID]]="","",IFERROR(INDEX(Items[Cur team],MATCH(Log[[#This Row],[ID]],Items[ID],0))&amp;"",""))</f>
      </c>
      <c r="M2047" s="17">
        <f>IF(OR(Log[[#This Row],[Verb]]="done",Log[[#This Row],[Verb]]="punt",Log[[#This Row],[Verb]]="drop",Log[[#This Row],[Verb]]="pass"),Log[[#This Row],[Pts]],0)</f>
      </c>
    </row>
    <row r="2048">
      <c r="A2048" s="11">
        <v>46286</v>
      </c>
      <c r="B2048" t="s">
        <v>1053</v>
      </c>
      <c r="C2048" t="s">
        <v>41</v>
      </c>
      <c r="F2048" s="17">
        <f>IF(Log[[#This Row],[ID]]="","",IF(ISNA(MATCH(Log[[#This Row],[ID]],Items[ID],0)),"unknown ID",IF(ISNA(MATCH(Log[[#This Row],[Verb]],VerbList,0)),"unknown verb",IF(Log[[#This Row],[Date]]="","no date",""))))</f>
      </c>
      <c r="G2048" s="17">
        <f>IF(Log[[#This Row],[ID]]="","",IFERROR(VLOOKUP(Log[[#This Row],[Verb]],Verbs,3,FALSE)&amp;"",""))</f>
      </c>
      <c r="H2048" s="17">
        <f>IF(Log[[#This Row],[Date]]="","",INT((Log[[#This Row],[Date]]-Sprint1)/SprintDays)+1)</f>
      </c>
      <c r="I2048" s="17">
        <f>IF(OR(Log[[#This Row],[Verb]]="commit",Log[[#This Row],[Verb]]="carry",Log[[#This Row],[Verb]]="redo"),IF(Log[[#This Row],[Arg]]="",Log[[#This Row],[Sprint]],N(Log[[#This Row],[Arg]])),"")</f>
      </c>
      <c r="J2048" s="17">
        <f>IF(Log[[#This Row],[Verb]]="block",1,IF(OR(Log[[#This Row],[Verb]]="unblock",Log[[#This Row],[Verb]]="done",Log[[#This Row],[Verb]]="drop",Log[[#This Row],[Verb]]="punt",Log[[#This Row],[Verb]]="pass"),0,""))</f>
      </c>
      <c r="K2048" s="17">
        <f>IF(Log[[#This Row],[ID]]="",0,IFERROR(INDEX(Items[Pts],MATCH(Log[[#This Row],[ID]],Items[ID],0))*1,0))</f>
      </c>
      <c r="L2048" s="17">
        <f>IF(Log[[#This Row],[ID]]="","",IFERROR(INDEX(Items[Cur team],MATCH(Log[[#This Row],[ID]],Items[ID],0))&amp;"",""))</f>
      </c>
      <c r="M2048" s="17">
        <f>IF(OR(Log[[#This Row],[Verb]]="done",Log[[#This Row],[Verb]]="punt",Log[[#This Row],[Verb]]="drop",Log[[#This Row],[Verb]]="pass"),Log[[#This Row],[Pts]],0)</f>
      </c>
    </row>
    <row r="2049">
      <c r="A2049" s="11">
        <v>46286</v>
      </c>
      <c r="B2049" t="s">
        <v>986</v>
      </c>
      <c r="C2049" t="s">
        <v>38</v>
      </c>
      <c r="D2049">
        <v>53</v>
      </c>
      <c r="F2049" s="17">
        <f>IF(Log[[#This Row],[ID]]="","",IF(ISNA(MATCH(Log[[#This Row],[ID]],Items[ID],0)),"unknown ID",IF(ISNA(MATCH(Log[[#This Row],[Verb]],VerbList,0)),"unknown verb",IF(Log[[#This Row],[Date]]="","no date",""))))</f>
      </c>
      <c r="G2049" s="17">
        <f>IF(Log[[#This Row],[ID]]="","",IFERROR(VLOOKUP(Log[[#This Row],[Verb]],Verbs,3,FALSE)&amp;"",""))</f>
      </c>
      <c r="H2049" s="17">
        <f>IF(Log[[#This Row],[Date]]="","",INT((Log[[#This Row],[Date]]-Sprint1)/SprintDays)+1)</f>
      </c>
      <c r="I2049" s="17">
        <f>IF(OR(Log[[#This Row],[Verb]]="commit",Log[[#This Row],[Verb]]="carry",Log[[#This Row],[Verb]]="redo"),IF(Log[[#This Row],[Arg]]="",Log[[#This Row],[Sprint]],N(Log[[#This Row],[Arg]])),"")</f>
      </c>
      <c r="J2049" s="17">
        <f>IF(Log[[#This Row],[Verb]]="block",1,IF(OR(Log[[#This Row],[Verb]]="unblock",Log[[#This Row],[Verb]]="done",Log[[#This Row],[Verb]]="drop",Log[[#This Row],[Verb]]="punt",Log[[#This Row],[Verb]]="pass"),0,""))</f>
      </c>
      <c r="K2049" s="17">
        <f>IF(Log[[#This Row],[ID]]="",0,IFERROR(INDEX(Items[Pts],MATCH(Log[[#This Row],[ID]],Items[ID],0))*1,0))</f>
      </c>
      <c r="L2049" s="17">
        <f>IF(Log[[#This Row],[ID]]="","",IFERROR(INDEX(Items[Cur team],MATCH(Log[[#This Row],[ID]],Items[ID],0))&amp;"",""))</f>
      </c>
      <c r="M2049" s="17">
        <f>IF(OR(Log[[#This Row],[Verb]]="done",Log[[#This Row],[Verb]]="punt",Log[[#This Row],[Verb]]="drop",Log[[#This Row],[Verb]]="pass"),Log[[#This Row],[Pts]],0)</f>
      </c>
    </row>
    <row r="2050">
      <c r="A2050" s="11">
        <v>46286</v>
      </c>
      <c r="B2050" t="s">
        <v>986</v>
      </c>
      <c r="C2050" t="s">
        <v>45</v>
      </c>
      <c r="E2050" t="s">
        <v>429</v>
      </c>
      <c r="F2050" s="17">
        <f>IF(Log[[#This Row],[ID]]="","",IF(ISNA(MATCH(Log[[#This Row],[ID]],Items[ID],0)),"unknown ID",IF(ISNA(MATCH(Log[[#This Row],[Verb]],VerbList,0)),"unknown verb",IF(Log[[#This Row],[Date]]="","no date",""))))</f>
      </c>
      <c r="G2050" s="17">
        <f>IF(Log[[#This Row],[ID]]="","",IFERROR(VLOOKUP(Log[[#This Row],[Verb]],Verbs,3,FALSE)&amp;"",""))</f>
      </c>
      <c r="H2050" s="17">
        <f>IF(Log[[#This Row],[Date]]="","",INT((Log[[#This Row],[Date]]-Sprint1)/SprintDays)+1)</f>
      </c>
      <c r="I2050" s="17">
        <f>IF(OR(Log[[#This Row],[Verb]]="commit",Log[[#This Row],[Verb]]="carry",Log[[#This Row],[Verb]]="redo"),IF(Log[[#This Row],[Arg]]="",Log[[#This Row],[Sprint]],N(Log[[#This Row],[Arg]])),"")</f>
      </c>
      <c r="J2050" s="17">
        <f>IF(Log[[#This Row],[Verb]]="block",1,IF(OR(Log[[#This Row],[Verb]]="unblock",Log[[#This Row],[Verb]]="done",Log[[#This Row],[Verb]]="drop",Log[[#This Row],[Verb]]="punt",Log[[#This Row],[Verb]]="pass"),0,""))</f>
      </c>
      <c r="K2050" s="17">
        <f>IF(Log[[#This Row],[ID]]="",0,IFERROR(INDEX(Items[Pts],MATCH(Log[[#This Row],[ID]],Items[ID],0))*1,0))</f>
      </c>
      <c r="L2050" s="17">
        <f>IF(Log[[#This Row],[ID]]="","",IFERROR(INDEX(Items[Cur team],MATCH(Log[[#This Row],[ID]],Items[ID],0))&amp;"",""))</f>
      </c>
      <c r="M2050" s="17">
        <f>IF(OR(Log[[#This Row],[Verb]]="done",Log[[#This Row],[Verb]]="punt",Log[[#This Row],[Verb]]="drop",Log[[#This Row],[Verb]]="pass"),Log[[#This Row],[Pts]],0)</f>
      </c>
    </row>
    <row r="2051">
      <c r="A2051" s="11">
        <v>46286</v>
      </c>
      <c r="B2051" t="s">
        <v>1054</v>
      </c>
      <c r="C2051" t="s">
        <v>41</v>
      </c>
      <c r="F2051" s="17">
        <f>IF(Log[[#This Row],[ID]]="","",IF(ISNA(MATCH(Log[[#This Row],[ID]],Items[ID],0)),"unknown ID",IF(ISNA(MATCH(Log[[#This Row],[Verb]],VerbList,0)),"unknown verb",IF(Log[[#This Row],[Date]]="","no date",""))))</f>
      </c>
      <c r="G2051" s="17">
        <f>IF(Log[[#This Row],[ID]]="","",IFERROR(VLOOKUP(Log[[#This Row],[Verb]],Verbs,3,FALSE)&amp;"",""))</f>
      </c>
      <c r="H2051" s="17">
        <f>IF(Log[[#This Row],[Date]]="","",INT((Log[[#This Row],[Date]]-Sprint1)/SprintDays)+1)</f>
      </c>
      <c r="I2051" s="17">
        <f>IF(OR(Log[[#This Row],[Verb]]="commit",Log[[#This Row],[Verb]]="carry",Log[[#This Row],[Verb]]="redo"),IF(Log[[#This Row],[Arg]]="",Log[[#This Row],[Sprint]],N(Log[[#This Row],[Arg]])),"")</f>
      </c>
      <c r="J2051" s="17">
        <f>IF(Log[[#This Row],[Verb]]="block",1,IF(OR(Log[[#This Row],[Verb]]="unblock",Log[[#This Row],[Verb]]="done",Log[[#This Row],[Verb]]="drop",Log[[#This Row],[Verb]]="punt",Log[[#This Row],[Verb]]="pass"),0,""))</f>
      </c>
      <c r="K2051" s="17">
        <f>IF(Log[[#This Row],[ID]]="",0,IFERROR(INDEX(Items[Pts],MATCH(Log[[#This Row],[ID]],Items[ID],0))*1,0))</f>
      </c>
      <c r="L2051" s="17">
        <f>IF(Log[[#This Row],[ID]]="","",IFERROR(INDEX(Items[Cur team],MATCH(Log[[#This Row],[ID]],Items[ID],0))&amp;"",""))</f>
      </c>
      <c r="M2051" s="17">
        <f>IF(OR(Log[[#This Row],[Verb]]="done",Log[[#This Row],[Verb]]="punt",Log[[#This Row],[Verb]]="drop",Log[[#This Row],[Verb]]="pass"),Log[[#This Row],[Pts]],0)</f>
      </c>
    </row>
    <row r="2052">
      <c r="A2052" s="11">
        <v>46286</v>
      </c>
      <c r="B2052" t="s">
        <v>1055</v>
      </c>
      <c r="C2052" t="s">
        <v>41</v>
      </c>
      <c r="F2052" s="17">
        <f>IF(Log[[#This Row],[ID]]="","",IF(ISNA(MATCH(Log[[#This Row],[ID]],Items[ID],0)),"unknown ID",IF(ISNA(MATCH(Log[[#This Row],[Verb]],VerbList,0)),"unknown verb",IF(Log[[#This Row],[Date]]="","no date",""))))</f>
      </c>
      <c r="G2052" s="17">
        <f>IF(Log[[#This Row],[ID]]="","",IFERROR(VLOOKUP(Log[[#This Row],[Verb]],Verbs,3,FALSE)&amp;"",""))</f>
      </c>
      <c r="H2052" s="17">
        <f>IF(Log[[#This Row],[Date]]="","",INT((Log[[#This Row],[Date]]-Sprint1)/SprintDays)+1)</f>
      </c>
      <c r="I2052" s="17">
        <f>IF(OR(Log[[#This Row],[Verb]]="commit",Log[[#This Row],[Verb]]="carry",Log[[#This Row],[Verb]]="redo"),IF(Log[[#This Row],[Arg]]="",Log[[#This Row],[Sprint]],N(Log[[#This Row],[Arg]])),"")</f>
      </c>
      <c r="J2052" s="17">
        <f>IF(Log[[#This Row],[Verb]]="block",1,IF(OR(Log[[#This Row],[Verb]]="unblock",Log[[#This Row],[Verb]]="done",Log[[#This Row],[Verb]]="drop",Log[[#This Row],[Verb]]="punt",Log[[#This Row],[Verb]]="pass"),0,""))</f>
      </c>
      <c r="K2052" s="17">
        <f>IF(Log[[#This Row],[ID]]="",0,IFERROR(INDEX(Items[Pts],MATCH(Log[[#This Row],[ID]],Items[ID],0))*1,0))</f>
      </c>
      <c r="L2052" s="17">
        <f>IF(Log[[#This Row],[ID]]="","",IFERROR(INDEX(Items[Cur team],MATCH(Log[[#This Row],[ID]],Items[ID],0))&amp;"",""))</f>
      </c>
      <c r="M2052" s="17">
        <f>IF(OR(Log[[#This Row],[Verb]]="done",Log[[#This Row],[Verb]]="punt",Log[[#This Row],[Verb]]="drop",Log[[#This Row],[Verb]]="pass"),Log[[#This Row],[Pts]],0)</f>
      </c>
    </row>
    <row r="2053">
      <c r="A2053" s="11">
        <v>46286</v>
      </c>
      <c r="B2053" t="s">
        <v>1056</v>
      </c>
      <c r="C2053" t="s">
        <v>41</v>
      </c>
      <c r="F2053" s="17">
        <f>IF(Log[[#This Row],[ID]]="","",IF(ISNA(MATCH(Log[[#This Row],[ID]],Items[ID],0)),"unknown ID",IF(ISNA(MATCH(Log[[#This Row],[Verb]],VerbList,0)),"unknown verb",IF(Log[[#This Row],[Date]]="","no date",""))))</f>
      </c>
      <c r="G2053" s="17">
        <f>IF(Log[[#This Row],[ID]]="","",IFERROR(VLOOKUP(Log[[#This Row],[Verb]],Verbs,3,FALSE)&amp;"",""))</f>
      </c>
      <c r="H2053" s="17">
        <f>IF(Log[[#This Row],[Date]]="","",INT((Log[[#This Row],[Date]]-Sprint1)/SprintDays)+1)</f>
      </c>
      <c r="I2053" s="17">
        <f>IF(OR(Log[[#This Row],[Verb]]="commit",Log[[#This Row],[Verb]]="carry",Log[[#This Row],[Verb]]="redo"),IF(Log[[#This Row],[Arg]]="",Log[[#This Row],[Sprint]],N(Log[[#This Row],[Arg]])),"")</f>
      </c>
      <c r="J2053" s="17">
        <f>IF(Log[[#This Row],[Verb]]="block",1,IF(OR(Log[[#This Row],[Verb]]="unblock",Log[[#This Row],[Verb]]="done",Log[[#This Row],[Verb]]="drop",Log[[#This Row],[Verb]]="punt",Log[[#This Row],[Verb]]="pass"),0,""))</f>
      </c>
      <c r="K2053" s="17">
        <f>IF(Log[[#This Row],[ID]]="",0,IFERROR(INDEX(Items[Pts],MATCH(Log[[#This Row],[ID]],Items[ID],0))*1,0))</f>
      </c>
      <c r="L2053" s="17">
        <f>IF(Log[[#This Row],[ID]]="","",IFERROR(INDEX(Items[Cur team],MATCH(Log[[#This Row],[ID]],Items[ID],0))&amp;"",""))</f>
      </c>
      <c r="M2053" s="17">
        <f>IF(OR(Log[[#This Row],[Verb]]="done",Log[[#This Row],[Verb]]="punt",Log[[#This Row],[Verb]]="drop",Log[[#This Row],[Verb]]="pass"),Log[[#This Row],[Pts]],0)</f>
      </c>
    </row>
    <row r="2054">
      <c r="A2054" s="11">
        <v>46286</v>
      </c>
      <c r="B2054" t="s">
        <v>1057</v>
      </c>
      <c r="C2054" t="s">
        <v>38</v>
      </c>
      <c r="D2054">
        <v>53</v>
      </c>
      <c r="F2054" s="17">
        <f>IF(Log[[#This Row],[ID]]="","",IF(ISNA(MATCH(Log[[#This Row],[ID]],Items[ID],0)),"unknown ID",IF(ISNA(MATCH(Log[[#This Row],[Verb]],VerbList,0)),"unknown verb",IF(Log[[#This Row],[Date]]="","no date",""))))</f>
      </c>
      <c r="G2054" s="17">
        <f>IF(Log[[#This Row],[ID]]="","",IFERROR(VLOOKUP(Log[[#This Row],[Verb]],Verbs,3,FALSE)&amp;"",""))</f>
      </c>
      <c r="H2054" s="17">
        <f>IF(Log[[#This Row],[Date]]="","",INT((Log[[#This Row],[Date]]-Sprint1)/SprintDays)+1)</f>
      </c>
      <c r="I2054" s="17">
        <f>IF(OR(Log[[#This Row],[Verb]]="commit",Log[[#This Row],[Verb]]="carry",Log[[#This Row],[Verb]]="redo"),IF(Log[[#This Row],[Arg]]="",Log[[#This Row],[Sprint]],N(Log[[#This Row],[Arg]])),"")</f>
      </c>
      <c r="J2054" s="17">
        <f>IF(Log[[#This Row],[Verb]]="block",1,IF(OR(Log[[#This Row],[Verb]]="unblock",Log[[#This Row],[Verb]]="done",Log[[#This Row],[Verb]]="drop",Log[[#This Row],[Verb]]="punt",Log[[#This Row],[Verb]]="pass"),0,""))</f>
      </c>
      <c r="K2054" s="17">
        <f>IF(Log[[#This Row],[ID]]="",0,IFERROR(INDEX(Items[Pts],MATCH(Log[[#This Row],[ID]],Items[ID],0))*1,0))</f>
      </c>
      <c r="L2054" s="17">
        <f>IF(Log[[#This Row],[ID]]="","",IFERROR(INDEX(Items[Cur team],MATCH(Log[[#This Row],[ID]],Items[ID],0))&amp;"",""))</f>
      </c>
      <c r="M2054" s="17">
        <f>IF(OR(Log[[#This Row],[Verb]]="done",Log[[#This Row],[Verb]]="punt",Log[[#This Row],[Verb]]="drop",Log[[#This Row],[Verb]]="pass"),Log[[#This Row],[Pts]],0)</f>
      </c>
    </row>
    <row r="2055">
      <c r="A2055" s="11">
        <v>46286</v>
      </c>
      <c r="B2055" t="s">
        <v>1058</v>
      </c>
      <c r="C2055" t="s">
        <v>41</v>
      </c>
      <c r="F2055" s="17">
        <f>IF(Log[[#This Row],[ID]]="","",IF(ISNA(MATCH(Log[[#This Row],[ID]],Items[ID],0)),"unknown ID",IF(ISNA(MATCH(Log[[#This Row],[Verb]],VerbList,0)),"unknown verb",IF(Log[[#This Row],[Date]]="","no date",""))))</f>
      </c>
      <c r="G2055" s="17">
        <f>IF(Log[[#This Row],[ID]]="","",IFERROR(VLOOKUP(Log[[#This Row],[Verb]],Verbs,3,FALSE)&amp;"",""))</f>
      </c>
      <c r="H2055" s="17">
        <f>IF(Log[[#This Row],[Date]]="","",INT((Log[[#This Row],[Date]]-Sprint1)/SprintDays)+1)</f>
      </c>
      <c r="I2055" s="17">
        <f>IF(OR(Log[[#This Row],[Verb]]="commit",Log[[#This Row],[Verb]]="carry",Log[[#This Row],[Verb]]="redo"),IF(Log[[#This Row],[Arg]]="",Log[[#This Row],[Sprint]],N(Log[[#This Row],[Arg]])),"")</f>
      </c>
      <c r="J2055" s="17">
        <f>IF(Log[[#This Row],[Verb]]="block",1,IF(OR(Log[[#This Row],[Verb]]="unblock",Log[[#This Row],[Verb]]="done",Log[[#This Row],[Verb]]="drop",Log[[#This Row],[Verb]]="punt",Log[[#This Row],[Verb]]="pass"),0,""))</f>
      </c>
      <c r="K2055" s="17">
        <f>IF(Log[[#This Row],[ID]]="",0,IFERROR(INDEX(Items[Pts],MATCH(Log[[#This Row],[ID]],Items[ID],0))*1,0))</f>
      </c>
      <c r="L2055" s="17">
        <f>IF(Log[[#This Row],[ID]]="","",IFERROR(INDEX(Items[Cur team],MATCH(Log[[#This Row],[ID]],Items[ID],0))&amp;"",""))</f>
      </c>
      <c r="M2055" s="17">
        <f>IF(OR(Log[[#This Row],[Verb]]="done",Log[[#This Row],[Verb]]="punt",Log[[#This Row],[Verb]]="drop",Log[[#This Row],[Verb]]="pass"),Log[[#This Row],[Pts]],0)</f>
      </c>
    </row>
    <row r="2056">
      <c r="A2056" s="11">
        <v>46286</v>
      </c>
      <c r="B2056" t="s">
        <v>1059</v>
      </c>
      <c r="C2056" t="s">
        <v>41</v>
      </c>
      <c r="F2056" s="17">
        <f>IF(Log[[#This Row],[ID]]="","",IF(ISNA(MATCH(Log[[#This Row],[ID]],Items[ID],0)),"unknown ID",IF(ISNA(MATCH(Log[[#This Row],[Verb]],VerbList,0)),"unknown verb",IF(Log[[#This Row],[Date]]="","no date",""))))</f>
      </c>
      <c r="G2056" s="17">
        <f>IF(Log[[#This Row],[ID]]="","",IFERROR(VLOOKUP(Log[[#This Row],[Verb]],Verbs,3,FALSE)&amp;"",""))</f>
      </c>
      <c r="H2056" s="17">
        <f>IF(Log[[#This Row],[Date]]="","",INT((Log[[#This Row],[Date]]-Sprint1)/SprintDays)+1)</f>
      </c>
      <c r="I2056" s="17">
        <f>IF(OR(Log[[#This Row],[Verb]]="commit",Log[[#This Row],[Verb]]="carry",Log[[#This Row],[Verb]]="redo"),IF(Log[[#This Row],[Arg]]="",Log[[#This Row],[Sprint]],N(Log[[#This Row],[Arg]])),"")</f>
      </c>
      <c r="J2056" s="17">
        <f>IF(Log[[#This Row],[Verb]]="block",1,IF(OR(Log[[#This Row],[Verb]]="unblock",Log[[#This Row],[Verb]]="done",Log[[#This Row],[Verb]]="drop",Log[[#This Row],[Verb]]="punt",Log[[#This Row],[Verb]]="pass"),0,""))</f>
      </c>
      <c r="K2056" s="17">
        <f>IF(Log[[#This Row],[ID]]="",0,IFERROR(INDEX(Items[Pts],MATCH(Log[[#This Row],[ID]],Items[ID],0))*1,0))</f>
      </c>
      <c r="L2056" s="17">
        <f>IF(Log[[#This Row],[ID]]="","",IFERROR(INDEX(Items[Cur team],MATCH(Log[[#This Row],[ID]],Items[ID],0))&amp;"",""))</f>
      </c>
      <c r="M2056" s="17">
        <f>IF(OR(Log[[#This Row],[Verb]]="done",Log[[#This Row],[Verb]]="punt",Log[[#This Row],[Verb]]="drop",Log[[#This Row],[Verb]]="pass"),Log[[#This Row],[Pts]],0)</f>
      </c>
    </row>
    <row r="2057">
      <c r="A2057" s="11">
        <v>46286</v>
      </c>
      <c r="B2057" t="s">
        <v>1060</v>
      </c>
      <c r="C2057" t="s">
        <v>41</v>
      </c>
      <c r="F2057" s="17">
        <f>IF(Log[[#This Row],[ID]]="","",IF(ISNA(MATCH(Log[[#This Row],[ID]],Items[ID],0)),"unknown ID",IF(ISNA(MATCH(Log[[#This Row],[Verb]],VerbList,0)),"unknown verb",IF(Log[[#This Row],[Date]]="","no date",""))))</f>
      </c>
      <c r="G2057" s="17">
        <f>IF(Log[[#This Row],[ID]]="","",IFERROR(VLOOKUP(Log[[#This Row],[Verb]],Verbs,3,FALSE)&amp;"",""))</f>
      </c>
      <c r="H2057" s="17">
        <f>IF(Log[[#This Row],[Date]]="","",INT((Log[[#This Row],[Date]]-Sprint1)/SprintDays)+1)</f>
      </c>
      <c r="I2057" s="17">
        <f>IF(OR(Log[[#This Row],[Verb]]="commit",Log[[#This Row],[Verb]]="carry",Log[[#This Row],[Verb]]="redo"),IF(Log[[#This Row],[Arg]]="",Log[[#This Row],[Sprint]],N(Log[[#This Row],[Arg]])),"")</f>
      </c>
      <c r="J2057" s="17">
        <f>IF(Log[[#This Row],[Verb]]="block",1,IF(OR(Log[[#This Row],[Verb]]="unblock",Log[[#This Row],[Verb]]="done",Log[[#This Row],[Verb]]="drop",Log[[#This Row],[Verb]]="punt",Log[[#This Row],[Verb]]="pass"),0,""))</f>
      </c>
      <c r="K2057" s="17">
        <f>IF(Log[[#This Row],[ID]]="",0,IFERROR(INDEX(Items[Pts],MATCH(Log[[#This Row],[ID]],Items[ID],0))*1,0))</f>
      </c>
      <c r="L2057" s="17">
        <f>IF(Log[[#This Row],[ID]]="","",IFERROR(INDEX(Items[Cur team],MATCH(Log[[#This Row],[ID]],Items[ID],0))&amp;"",""))</f>
      </c>
      <c r="M2057" s="17">
        <f>IF(OR(Log[[#This Row],[Verb]]="done",Log[[#This Row],[Verb]]="punt",Log[[#This Row],[Verb]]="drop",Log[[#This Row],[Verb]]="pass"),Log[[#This Row],[Pts]],0)</f>
      </c>
    </row>
    <row r="2058">
      <c r="A2058" s="11">
        <v>46286</v>
      </c>
      <c r="B2058" t="s">
        <v>992</v>
      </c>
      <c r="C2058" t="s">
        <v>41</v>
      </c>
      <c r="F2058" s="17">
        <f>IF(Log[[#This Row],[ID]]="","",IF(ISNA(MATCH(Log[[#This Row],[ID]],Items[ID],0)),"unknown ID",IF(ISNA(MATCH(Log[[#This Row],[Verb]],VerbList,0)),"unknown verb",IF(Log[[#This Row],[Date]]="","no date",""))))</f>
      </c>
      <c r="G2058" s="17">
        <f>IF(Log[[#This Row],[ID]]="","",IFERROR(VLOOKUP(Log[[#This Row],[Verb]],Verbs,3,FALSE)&amp;"",""))</f>
      </c>
      <c r="H2058" s="17">
        <f>IF(Log[[#This Row],[Date]]="","",INT((Log[[#This Row],[Date]]-Sprint1)/SprintDays)+1)</f>
      </c>
      <c r="I2058" s="17">
        <f>IF(OR(Log[[#This Row],[Verb]]="commit",Log[[#This Row],[Verb]]="carry",Log[[#This Row],[Verb]]="redo"),IF(Log[[#This Row],[Arg]]="",Log[[#This Row],[Sprint]],N(Log[[#This Row],[Arg]])),"")</f>
      </c>
      <c r="J2058" s="17">
        <f>IF(Log[[#This Row],[Verb]]="block",1,IF(OR(Log[[#This Row],[Verb]]="unblock",Log[[#This Row],[Verb]]="done",Log[[#This Row],[Verb]]="drop",Log[[#This Row],[Verb]]="punt",Log[[#This Row],[Verb]]="pass"),0,""))</f>
      </c>
      <c r="K2058" s="17">
        <f>IF(Log[[#This Row],[ID]]="",0,IFERROR(INDEX(Items[Pts],MATCH(Log[[#This Row],[ID]],Items[ID],0))*1,0))</f>
      </c>
      <c r="L2058" s="17">
        <f>IF(Log[[#This Row],[ID]]="","",IFERROR(INDEX(Items[Cur team],MATCH(Log[[#This Row],[ID]],Items[ID],0))&amp;"",""))</f>
      </c>
      <c r="M2058" s="17">
        <f>IF(OR(Log[[#This Row],[Verb]]="done",Log[[#This Row],[Verb]]="punt",Log[[#This Row],[Verb]]="drop",Log[[#This Row],[Verb]]="pass"),Log[[#This Row],[Pts]],0)</f>
      </c>
    </row>
    <row r="2059">
      <c r="A2059" s="11">
        <v>46286</v>
      </c>
      <c r="B2059" t="s">
        <v>994</v>
      </c>
      <c r="C2059" t="s">
        <v>41</v>
      </c>
      <c r="F2059" s="17">
        <f>IF(Log[[#This Row],[ID]]="","",IF(ISNA(MATCH(Log[[#This Row],[ID]],Items[ID],0)),"unknown ID",IF(ISNA(MATCH(Log[[#This Row],[Verb]],VerbList,0)),"unknown verb",IF(Log[[#This Row],[Date]]="","no date",""))))</f>
      </c>
      <c r="G2059" s="17">
        <f>IF(Log[[#This Row],[ID]]="","",IFERROR(VLOOKUP(Log[[#This Row],[Verb]],Verbs,3,FALSE)&amp;"",""))</f>
      </c>
      <c r="H2059" s="17">
        <f>IF(Log[[#This Row],[Date]]="","",INT((Log[[#This Row],[Date]]-Sprint1)/SprintDays)+1)</f>
      </c>
      <c r="I2059" s="17">
        <f>IF(OR(Log[[#This Row],[Verb]]="commit",Log[[#This Row],[Verb]]="carry",Log[[#This Row],[Verb]]="redo"),IF(Log[[#This Row],[Arg]]="",Log[[#This Row],[Sprint]],N(Log[[#This Row],[Arg]])),"")</f>
      </c>
      <c r="J2059" s="17">
        <f>IF(Log[[#This Row],[Verb]]="block",1,IF(OR(Log[[#This Row],[Verb]]="unblock",Log[[#This Row],[Verb]]="done",Log[[#This Row],[Verb]]="drop",Log[[#This Row],[Verb]]="punt",Log[[#This Row],[Verb]]="pass"),0,""))</f>
      </c>
      <c r="K2059" s="17">
        <f>IF(Log[[#This Row],[ID]]="",0,IFERROR(INDEX(Items[Pts],MATCH(Log[[#This Row],[ID]],Items[ID],0))*1,0))</f>
      </c>
      <c r="L2059" s="17">
        <f>IF(Log[[#This Row],[ID]]="","",IFERROR(INDEX(Items[Cur team],MATCH(Log[[#This Row],[ID]],Items[ID],0))&amp;"",""))</f>
      </c>
      <c r="M2059" s="17">
        <f>IF(OR(Log[[#This Row],[Verb]]="done",Log[[#This Row],[Verb]]="punt",Log[[#This Row],[Verb]]="drop",Log[[#This Row],[Verb]]="pass"),Log[[#This Row],[Pts]],0)</f>
      </c>
    </row>
    <row r="2060">
      <c r="A2060" s="11">
        <v>46286</v>
      </c>
      <c r="B2060" t="s">
        <v>1061</v>
      </c>
      <c r="C2060" t="s">
        <v>41</v>
      </c>
      <c r="F2060" s="17">
        <f>IF(Log[[#This Row],[ID]]="","",IF(ISNA(MATCH(Log[[#This Row],[ID]],Items[ID],0)),"unknown ID",IF(ISNA(MATCH(Log[[#This Row],[Verb]],VerbList,0)),"unknown verb",IF(Log[[#This Row],[Date]]="","no date",""))))</f>
      </c>
      <c r="G2060" s="17">
        <f>IF(Log[[#This Row],[ID]]="","",IFERROR(VLOOKUP(Log[[#This Row],[Verb]],Verbs,3,FALSE)&amp;"",""))</f>
      </c>
      <c r="H2060" s="17">
        <f>IF(Log[[#This Row],[Date]]="","",INT((Log[[#This Row],[Date]]-Sprint1)/SprintDays)+1)</f>
      </c>
      <c r="I2060" s="17">
        <f>IF(OR(Log[[#This Row],[Verb]]="commit",Log[[#This Row],[Verb]]="carry",Log[[#This Row],[Verb]]="redo"),IF(Log[[#This Row],[Arg]]="",Log[[#This Row],[Sprint]],N(Log[[#This Row],[Arg]])),"")</f>
      </c>
      <c r="J2060" s="17">
        <f>IF(Log[[#This Row],[Verb]]="block",1,IF(OR(Log[[#This Row],[Verb]]="unblock",Log[[#This Row],[Verb]]="done",Log[[#This Row],[Verb]]="drop",Log[[#This Row],[Verb]]="punt",Log[[#This Row],[Verb]]="pass"),0,""))</f>
      </c>
      <c r="K2060" s="17">
        <f>IF(Log[[#This Row],[ID]]="",0,IFERROR(INDEX(Items[Pts],MATCH(Log[[#This Row],[ID]],Items[ID],0))*1,0))</f>
      </c>
      <c r="L2060" s="17">
        <f>IF(Log[[#This Row],[ID]]="","",IFERROR(INDEX(Items[Cur team],MATCH(Log[[#This Row],[ID]],Items[ID],0))&amp;"",""))</f>
      </c>
      <c r="M2060" s="17">
        <f>IF(OR(Log[[#This Row],[Verb]]="done",Log[[#This Row],[Verb]]="punt",Log[[#This Row],[Verb]]="drop",Log[[#This Row],[Verb]]="pass"),Log[[#This Row],[Pts]],0)</f>
      </c>
    </row>
    <row r="2061">
      <c r="A2061" s="11">
        <v>46286</v>
      </c>
      <c r="B2061" t="s">
        <v>1062</v>
      </c>
      <c r="C2061" t="s">
        <v>41</v>
      </c>
      <c r="F2061" s="17">
        <f>IF(Log[[#This Row],[ID]]="","",IF(ISNA(MATCH(Log[[#This Row],[ID]],Items[ID],0)),"unknown ID",IF(ISNA(MATCH(Log[[#This Row],[Verb]],VerbList,0)),"unknown verb",IF(Log[[#This Row],[Date]]="","no date",""))))</f>
      </c>
      <c r="G2061" s="17">
        <f>IF(Log[[#This Row],[ID]]="","",IFERROR(VLOOKUP(Log[[#This Row],[Verb]],Verbs,3,FALSE)&amp;"",""))</f>
      </c>
      <c r="H2061" s="17">
        <f>IF(Log[[#This Row],[Date]]="","",INT((Log[[#This Row],[Date]]-Sprint1)/SprintDays)+1)</f>
      </c>
      <c r="I2061" s="17">
        <f>IF(OR(Log[[#This Row],[Verb]]="commit",Log[[#This Row],[Verb]]="carry",Log[[#This Row],[Verb]]="redo"),IF(Log[[#This Row],[Arg]]="",Log[[#This Row],[Sprint]],N(Log[[#This Row],[Arg]])),"")</f>
      </c>
      <c r="J2061" s="17">
        <f>IF(Log[[#This Row],[Verb]]="block",1,IF(OR(Log[[#This Row],[Verb]]="unblock",Log[[#This Row],[Verb]]="done",Log[[#This Row],[Verb]]="drop",Log[[#This Row],[Verb]]="punt",Log[[#This Row],[Verb]]="pass"),0,""))</f>
      </c>
      <c r="K2061" s="17">
        <f>IF(Log[[#This Row],[ID]]="",0,IFERROR(INDEX(Items[Pts],MATCH(Log[[#This Row],[ID]],Items[ID],0))*1,0))</f>
      </c>
      <c r="L2061" s="17">
        <f>IF(Log[[#This Row],[ID]]="","",IFERROR(INDEX(Items[Cur team],MATCH(Log[[#This Row],[ID]],Items[ID],0))&amp;"",""))</f>
      </c>
      <c r="M2061" s="17">
        <f>IF(OR(Log[[#This Row],[Verb]]="done",Log[[#This Row],[Verb]]="punt",Log[[#This Row],[Verb]]="drop",Log[[#This Row],[Verb]]="pass"),Log[[#This Row],[Pts]],0)</f>
      </c>
    </row>
    <row r="2062">
      <c r="A2062" s="11">
        <v>46286</v>
      </c>
      <c r="B2062" t="s">
        <v>1063</v>
      </c>
      <c r="C2062" t="s">
        <v>41</v>
      </c>
      <c r="F2062" s="17">
        <f>IF(Log[[#This Row],[ID]]="","",IF(ISNA(MATCH(Log[[#This Row],[ID]],Items[ID],0)),"unknown ID",IF(ISNA(MATCH(Log[[#This Row],[Verb]],VerbList,0)),"unknown verb",IF(Log[[#This Row],[Date]]="","no date",""))))</f>
      </c>
      <c r="G2062" s="17">
        <f>IF(Log[[#This Row],[ID]]="","",IFERROR(VLOOKUP(Log[[#This Row],[Verb]],Verbs,3,FALSE)&amp;"",""))</f>
      </c>
      <c r="H2062" s="17">
        <f>IF(Log[[#This Row],[Date]]="","",INT((Log[[#This Row],[Date]]-Sprint1)/SprintDays)+1)</f>
      </c>
      <c r="I2062" s="17">
        <f>IF(OR(Log[[#This Row],[Verb]]="commit",Log[[#This Row],[Verb]]="carry",Log[[#This Row],[Verb]]="redo"),IF(Log[[#This Row],[Arg]]="",Log[[#This Row],[Sprint]],N(Log[[#This Row],[Arg]])),"")</f>
      </c>
      <c r="J2062" s="17">
        <f>IF(Log[[#This Row],[Verb]]="block",1,IF(OR(Log[[#This Row],[Verb]]="unblock",Log[[#This Row],[Verb]]="done",Log[[#This Row],[Verb]]="drop",Log[[#This Row],[Verb]]="punt",Log[[#This Row],[Verb]]="pass"),0,""))</f>
      </c>
      <c r="K2062" s="17">
        <f>IF(Log[[#This Row],[ID]]="",0,IFERROR(INDEX(Items[Pts],MATCH(Log[[#This Row],[ID]],Items[ID],0))*1,0))</f>
      </c>
      <c r="L2062" s="17">
        <f>IF(Log[[#This Row],[ID]]="","",IFERROR(INDEX(Items[Cur team],MATCH(Log[[#This Row],[ID]],Items[ID],0))&amp;"",""))</f>
      </c>
      <c r="M2062" s="17">
        <f>IF(OR(Log[[#This Row],[Verb]]="done",Log[[#This Row],[Verb]]="punt",Log[[#This Row],[Verb]]="drop",Log[[#This Row],[Verb]]="pass"),Log[[#This Row],[Pts]],0)</f>
      </c>
    </row>
    <row r="2063">
      <c r="A2063" s="11">
        <v>46286</v>
      </c>
      <c r="B2063" t="s">
        <v>1064</v>
      </c>
      <c r="C2063" t="s">
        <v>41</v>
      </c>
      <c r="F2063" s="17">
        <f>IF(Log[[#This Row],[ID]]="","",IF(ISNA(MATCH(Log[[#This Row],[ID]],Items[ID],0)),"unknown ID",IF(ISNA(MATCH(Log[[#This Row],[Verb]],VerbList,0)),"unknown verb",IF(Log[[#This Row],[Date]]="","no date",""))))</f>
      </c>
      <c r="G2063" s="17">
        <f>IF(Log[[#This Row],[ID]]="","",IFERROR(VLOOKUP(Log[[#This Row],[Verb]],Verbs,3,FALSE)&amp;"",""))</f>
      </c>
      <c r="H2063" s="17">
        <f>IF(Log[[#This Row],[Date]]="","",INT((Log[[#This Row],[Date]]-Sprint1)/SprintDays)+1)</f>
      </c>
      <c r="I2063" s="17">
        <f>IF(OR(Log[[#This Row],[Verb]]="commit",Log[[#This Row],[Verb]]="carry",Log[[#This Row],[Verb]]="redo"),IF(Log[[#This Row],[Arg]]="",Log[[#This Row],[Sprint]],N(Log[[#This Row],[Arg]])),"")</f>
      </c>
      <c r="J2063" s="17">
        <f>IF(Log[[#This Row],[Verb]]="block",1,IF(OR(Log[[#This Row],[Verb]]="unblock",Log[[#This Row],[Verb]]="done",Log[[#This Row],[Verb]]="drop",Log[[#This Row],[Verb]]="punt",Log[[#This Row],[Verb]]="pass"),0,""))</f>
      </c>
      <c r="K2063" s="17">
        <f>IF(Log[[#This Row],[ID]]="",0,IFERROR(INDEX(Items[Pts],MATCH(Log[[#This Row],[ID]],Items[ID],0))*1,0))</f>
      </c>
      <c r="L2063" s="17">
        <f>IF(Log[[#This Row],[ID]]="","",IFERROR(INDEX(Items[Cur team],MATCH(Log[[#This Row],[ID]],Items[ID],0))&amp;"",""))</f>
      </c>
      <c r="M2063" s="17">
        <f>IF(OR(Log[[#This Row],[Verb]]="done",Log[[#This Row],[Verb]]="punt",Log[[#This Row],[Verb]]="drop",Log[[#This Row],[Verb]]="pass"),Log[[#This Row],[Pts]],0)</f>
      </c>
    </row>
    <row r="2064">
      <c r="A2064" s="11">
        <v>46286</v>
      </c>
      <c r="B2064" t="s">
        <v>1065</v>
      </c>
      <c r="C2064" t="s">
        <v>38</v>
      </c>
      <c r="D2064">
        <v>53</v>
      </c>
      <c r="F2064" s="17">
        <f>IF(Log[[#This Row],[ID]]="","",IF(ISNA(MATCH(Log[[#This Row],[ID]],Items[ID],0)),"unknown ID",IF(ISNA(MATCH(Log[[#This Row],[Verb]],VerbList,0)),"unknown verb",IF(Log[[#This Row],[Date]]="","no date",""))))</f>
      </c>
      <c r="G2064" s="17">
        <f>IF(Log[[#This Row],[ID]]="","",IFERROR(VLOOKUP(Log[[#This Row],[Verb]],Verbs,3,FALSE)&amp;"",""))</f>
      </c>
      <c r="H2064" s="17">
        <f>IF(Log[[#This Row],[Date]]="","",INT((Log[[#This Row],[Date]]-Sprint1)/SprintDays)+1)</f>
      </c>
      <c r="I2064" s="17">
        <f>IF(OR(Log[[#This Row],[Verb]]="commit",Log[[#This Row],[Verb]]="carry",Log[[#This Row],[Verb]]="redo"),IF(Log[[#This Row],[Arg]]="",Log[[#This Row],[Sprint]],N(Log[[#This Row],[Arg]])),"")</f>
      </c>
      <c r="J2064" s="17">
        <f>IF(Log[[#This Row],[Verb]]="block",1,IF(OR(Log[[#This Row],[Verb]]="unblock",Log[[#This Row],[Verb]]="done",Log[[#This Row],[Verb]]="drop",Log[[#This Row],[Verb]]="punt",Log[[#This Row],[Verb]]="pass"),0,""))</f>
      </c>
      <c r="K2064" s="17">
        <f>IF(Log[[#This Row],[ID]]="",0,IFERROR(INDEX(Items[Pts],MATCH(Log[[#This Row],[ID]],Items[ID],0))*1,0))</f>
      </c>
      <c r="L2064" s="17">
        <f>IF(Log[[#This Row],[ID]]="","",IFERROR(INDEX(Items[Cur team],MATCH(Log[[#This Row],[ID]],Items[ID],0))&amp;"",""))</f>
      </c>
      <c r="M2064" s="17">
        <f>IF(OR(Log[[#This Row],[Verb]]="done",Log[[#This Row],[Verb]]="punt",Log[[#This Row],[Verb]]="drop",Log[[#This Row],[Verb]]="pass"),Log[[#This Row],[Pts]],0)</f>
      </c>
    </row>
    <row r="2065">
      <c r="A2065" s="11">
        <v>46286</v>
      </c>
      <c r="B2065" t="s">
        <v>1066</v>
      </c>
      <c r="C2065" t="s">
        <v>41</v>
      </c>
      <c r="F2065" s="17">
        <f>IF(Log[[#This Row],[ID]]="","",IF(ISNA(MATCH(Log[[#This Row],[ID]],Items[ID],0)),"unknown ID",IF(ISNA(MATCH(Log[[#This Row],[Verb]],VerbList,0)),"unknown verb",IF(Log[[#This Row],[Date]]="","no date",""))))</f>
      </c>
      <c r="G2065" s="17">
        <f>IF(Log[[#This Row],[ID]]="","",IFERROR(VLOOKUP(Log[[#This Row],[Verb]],Verbs,3,FALSE)&amp;"",""))</f>
      </c>
      <c r="H2065" s="17">
        <f>IF(Log[[#This Row],[Date]]="","",INT((Log[[#This Row],[Date]]-Sprint1)/SprintDays)+1)</f>
      </c>
      <c r="I2065" s="17">
        <f>IF(OR(Log[[#This Row],[Verb]]="commit",Log[[#This Row],[Verb]]="carry",Log[[#This Row],[Verb]]="redo"),IF(Log[[#This Row],[Arg]]="",Log[[#This Row],[Sprint]],N(Log[[#This Row],[Arg]])),"")</f>
      </c>
      <c r="J2065" s="17">
        <f>IF(Log[[#This Row],[Verb]]="block",1,IF(OR(Log[[#This Row],[Verb]]="unblock",Log[[#This Row],[Verb]]="done",Log[[#This Row],[Verb]]="drop",Log[[#This Row],[Verb]]="punt",Log[[#This Row],[Verb]]="pass"),0,""))</f>
      </c>
      <c r="K2065" s="17">
        <f>IF(Log[[#This Row],[ID]]="",0,IFERROR(INDEX(Items[Pts],MATCH(Log[[#This Row],[ID]],Items[ID],0))*1,0))</f>
      </c>
      <c r="L2065" s="17">
        <f>IF(Log[[#This Row],[ID]]="","",IFERROR(INDEX(Items[Cur team],MATCH(Log[[#This Row],[ID]],Items[ID],0))&amp;"",""))</f>
      </c>
      <c r="M2065" s="17">
        <f>IF(OR(Log[[#This Row],[Verb]]="done",Log[[#This Row],[Verb]]="punt",Log[[#This Row],[Verb]]="drop",Log[[#This Row],[Verb]]="pass"),Log[[#This Row],[Pts]],0)</f>
      </c>
    </row>
    <row r="2066">
      <c r="A2066" s="11">
        <v>46286</v>
      </c>
      <c r="B2066" t="s">
        <v>1067</v>
      </c>
      <c r="C2066" t="s">
        <v>41</v>
      </c>
      <c r="F2066" s="17">
        <f>IF(Log[[#This Row],[ID]]="","",IF(ISNA(MATCH(Log[[#This Row],[ID]],Items[ID],0)),"unknown ID",IF(ISNA(MATCH(Log[[#This Row],[Verb]],VerbList,0)),"unknown verb",IF(Log[[#This Row],[Date]]="","no date",""))))</f>
      </c>
      <c r="G2066" s="17">
        <f>IF(Log[[#This Row],[ID]]="","",IFERROR(VLOOKUP(Log[[#This Row],[Verb]],Verbs,3,FALSE)&amp;"",""))</f>
      </c>
      <c r="H2066" s="17">
        <f>IF(Log[[#This Row],[Date]]="","",INT((Log[[#This Row],[Date]]-Sprint1)/SprintDays)+1)</f>
      </c>
      <c r="I2066" s="17">
        <f>IF(OR(Log[[#This Row],[Verb]]="commit",Log[[#This Row],[Verb]]="carry",Log[[#This Row],[Verb]]="redo"),IF(Log[[#This Row],[Arg]]="",Log[[#This Row],[Sprint]],N(Log[[#This Row],[Arg]])),"")</f>
      </c>
      <c r="J2066" s="17">
        <f>IF(Log[[#This Row],[Verb]]="block",1,IF(OR(Log[[#This Row],[Verb]]="unblock",Log[[#This Row],[Verb]]="done",Log[[#This Row],[Verb]]="drop",Log[[#This Row],[Verb]]="punt",Log[[#This Row],[Verb]]="pass"),0,""))</f>
      </c>
      <c r="K2066" s="17">
        <f>IF(Log[[#This Row],[ID]]="",0,IFERROR(INDEX(Items[Pts],MATCH(Log[[#This Row],[ID]],Items[ID],0))*1,0))</f>
      </c>
      <c r="L2066" s="17">
        <f>IF(Log[[#This Row],[ID]]="","",IFERROR(INDEX(Items[Cur team],MATCH(Log[[#This Row],[ID]],Items[ID],0))&amp;"",""))</f>
      </c>
      <c r="M2066" s="17">
        <f>IF(OR(Log[[#This Row],[Verb]]="done",Log[[#This Row],[Verb]]="punt",Log[[#This Row],[Verb]]="drop",Log[[#This Row],[Verb]]="pass"),Log[[#This Row],[Pts]],0)</f>
      </c>
    </row>
    <row r="2067">
      <c r="A2067" s="11">
        <v>46286</v>
      </c>
      <c r="B2067" t="s">
        <v>1068</v>
      </c>
      <c r="C2067" t="s">
        <v>41</v>
      </c>
      <c r="F2067" s="17">
        <f>IF(Log[[#This Row],[ID]]="","",IF(ISNA(MATCH(Log[[#This Row],[ID]],Items[ID],0)),"unknown ID",IF(ISNA(MATCH(Log[[#This Row],[Verb]],VerbList,0)),"unknown verb",IF(Log[[#This Row],[Date]]="","no date",""))))</f>
      </c>
      <c r="G2067" s="17">
        <f>IF(Log[[#This Row],[ID]]="","",IFERROR(VLOOKUP(Log[[#This Row],[Verb]],Verbs,3,FALSE)&amp;"",""))</f>
      </c>
      <c r="H2067" s="17">
        <f>IF(Log[[#This Row],[Date]]="","",INT((Log[[#This Row],[Date]]-Sprint1)/SprintDays)+1)</f>
      </c>
      <c r="I2067" s="17">
        <f>IF(OR(Log[[#This Row],[Verb]]="commit",Log[[#This Row],[Verb]]="carry",Log[[#This Row],[Verb]]="redo"),IF(Log[[#This Row],[Arg]]="",Log[[#This Row],[Sprint]],N(Log[[#This Row],[Arg]])),"")</f>
      </c>
      <c r="J2067" s="17">
        <f>IF(Log[[#This Row],[Verb]]="block",1,IF(OR(Log[[#This Row],[Verb]]="unblock",Log[[#This Row],[Verb]]="done",Log[[#This Row],[Verb]]="drop",Log[[#This Row],[Verb]]="punt",Log[[#This Row],[Verb]]="pass"),0,""))</f>
      </c>
      <c r="K2067" s="17">
        <f>IF(Log[[#This Row],[ID]]="",0,IFERROR(INDEX(Items[Pts],MATCH(Log[[#This Row],[ID]],Items[ID],0))*1,0))</f>
      </c>
      <c r="L2067" s="17">
        <f>IF(Log[[#This Row],[ID]]="","",IFERROR(INDEX(Items[Cur team],MATCH(Log[[#This Row],[ID]],Items[ID],0))&amp;"",""))</f>
      </c>
      <c r="M2067" s="17">
        <f>IF(OR(Log[[#This Row],[Verb]]="done",Log[[#This Row],[Verb]]="punt",Log[[#This Row],[Verb]]="drop",Log[[#This Row],[Verb]]="pass"),Log[[#This Row],[Pts]],0)</f>
      </c>
    </row>
    <row r="2068">
      <c r="A2068" s="11">
        <v>46286</v>
      </c>
      <c r="B2068" t="s">
        <v>1069</v>
      </c>
      <c r="C2068" t="s">
        <v>41</v>
      </c>
      <c r="F2068" s="17">
        <f>IF(Log[[#This Row],[ID]]="","",IF(ISNA(MATCH(Log[[#This Row],[ID]],Items[ID],0)),"unknown ID",IF(ISNA(MATCH(Log[[#This Row],[Verb]],VerbList,0)),"unknown verb",IF(Log[[#This Row],[Date]]="","no date",""))))</f>
      </c>
      <c r="G2068" s="17">
        <f>IF(Log[[#This Row],[ID]]="","",IFERROR(VLOOKUP(Log[[#This Row],[Verb]],Verbs,3,FALSE)&amp;"",""))</f>
      </c>
      <c r="H2068" s="17">
        <f>IF(Log[[#This Row],[Date]]="","",INT((Log[[#This Row],[Date]]-Sprint1)/SprintDays)+1)</f>
      </c>
      <c r="I2068" s="17">
        <f>IF(OR(Log[[#This Row],[Verb]]="commit",Log[[#This Row],[Verb]]="carry",Log[[#This Row],[Verb]]="redo"),IF(Log[[#This Row],[Arg]]="",Log[[#This Row],[Sprint]],N(Log[[#This Row],[Arg]])),"")</f>
      </c>
      <c r="J2068" s="17">
        <f>IF(Log[[#This Row],[Verb]]="block",1,IF(OR(Log[[#This Row],[Verb]]="unblock",Log[[#This Row],[Verb]]="done",Log[[#This Row],[Verb]]="drop",Log[[#This Row],[Verb]]="punt",Log[[#This Row],[Verb]]="pass"),0,""))</f>
      </c>
      <c r="K2068" s="17">
        <f>IF(Log[[#This Row],[ID]]="",0,IFERROR(INDEX(Items[Pts],MATCH(Log[[#This Row],[ID]],Items[ID],0))*1,0))</f>
      </c>
      <c r="L2068" s="17">
        <f>IF(Log[[#This Row],[ID]]="","",IFERROR(INDEX(Items[Cur team],MATCH(Log[[#This Row],[ID]],Items[ID],0))&amp;"",""))</f>
      </c>
      <c r="M2068" s="17">
        <f>IF(OR(Log[[#This Row],[Verb]]="done",Log[[#This Row],[Verb]]="punt",Log[[#This Row],[Verb]]="drop",Log[[#This Row],[Verb]]="pass"),Log[[#This Row],[Pts]],0)</f>
      </c>
    </row>
    <row r="2069">
      <c r="A2069" s="11">
        <v>46286</v>
      </c>
      <c r="B2069" t="s">
        <v>1070</v>
      </c>
      <c r="C2069" t="s">
        <v>41</v>
      </c>
      <c r="F2069" s="17">
        <f>IF(Log[[#This Row],[ID]]="","",IF(ISNA(MATCH(Log[[#This Row],[ID]],Items[ID],0)),"unknown ID",IF(ISNA(MATCH(Log[[#This Row],[Verb]],VerbList,0)),"unknown verb",IF(Log[[#This Row],[Date]]="","no date",""))))</f>
      </c>
      <c r="G2069" s="17">
        <f>IF(Log[[#This Row],[ID]]="","",IFERROR(VLOOKUP(Log[[#This Row],[Verb]],Verbs,3,FALSE)&amp;"",""))</f>
      </c>
      <c r="H2069" s="17">
        <f>IF(Log[[#This Row],[Date]]="","",INT((Log[[#This Row],[Date]]-Sprint1)/SprintDays)+1)</f>
      </c>
      <c r="I2069" s="17">
        <f>IF(OR(Log[[#This Row],[Verb]]="commit",Log[[#This Row],[Verb]]="carry",Log[[#This Row],[Verb]]="redo"),IF(Log[[#This Row],[Arg]]="",Log[[#This Row],[Sprint]],N(Log[[#This Row],[Arg]])),"")</f>
      </c>
      <c r="J2069" s="17">
        <f>IF(Log[[#This Row],[Verb]]="block",1,IF(OR(Log[[#This Row],[Verb]]="unblock",Log[[#This Row],[Verb]]="done",Log[[#This Row],[Verb]]="drop",Log[[#This Row],[Verb]]="punt",Log[[#This Row],[Verb]]="pass"),0,""))</f>
      </c>
      <c r="K2069" s="17">
        <f>IF(Log[[#This Row],[ID]]="",0,IFERROR(INDEX(Items[Pts],MATCH(Log[[#This Row],[ID]],Items[ID],0))*1,0))</f>
      </c>
      <c r="L2069" s="17">
        <f>IF(Log[[#This Row],[ID]]="","",IFERROR(INDEX(Items[Cur team],MATCH(Log[[#This Row],[ID]],Items[ID],0))&amp;"",""))</f>
      </c>
      <c r="M2069" s="17">
        <f>IF(OR(Log[[#This Row],[Verb]]="done",Log[[#This Row],[Verb]]="punt",Log[[#This Row],[Verb]]="drop",Log[[#This Row],[Verb]]="pass"),Log[[#This Row],[Pts]],0)</f>
      </c>
    </row>
    <row r="2070">
      <c r="A2070" s="11">
        <v>46286</v>
      </c>
      <c r="B2070" t="s">
        <v>1071</v>
      </c>
      <c r="C2070" t="s">
        <v>41</v>
      </c>
      <c r="F2070" s="17">
        <f>IF(Log[[#This Row],[ID]]="","",IF(ISNA(MATCH(Log[[#This Row],[ID]],Items[ID],0)),"unknown ID",IF(ISNA(MATCH(Log[[#This Row],[Verb]],VerbList,0)),"unknown verb",IF(Log[[#This Row],[Date]]="","no date",""))))</f>
      </c>
      <c r="G2070" s="17">
        <f>IF(Log[[#This Row],[ID]]="","",IFERROR(VLOOKUP(Log[[#This Row],[Verb]],Verbs,3,FALSE)&amp;"",""))</f>
      </c>
      <c r="H2070" s="17">
        <f>IF(Log[[#This Row],[Date]]="","",INT((Log[[#This Row],[Date]]-Sprint1)/SprintDays)+1)</f>
      </c>
      <c r="I2070" s="17">
        <f>IF(OR(Log[[#This Row],[Verb]]="commit",Log[[#This Row],[Verb]]="carry",Log[[#This Row],[Verb]]="redo"),IF(Log[[#This Row],[Arg]]="",Log[[#This Row],[Sprint]],N(Log[[#This Row],[Arg]])),"")</f>
      </c>
      <c r="J2070" s="17">
        <f>IF(Log[[#This Row],[Verb]]="block",1,IF(OR(Log[[#This Row],[Verb]]="unblock",Log[[#This Row],[Verb]]="done",Log[[#This Row],[Verb]]="drop",Log[[#This Row],[Verb]]="punt",Log[[#This Row],[Verb]]="pass"),0,""))</f>
      </c>
      <c r="K2070" s="17">
        <f>IF(Log[[#This Row],[ID]]="",0,IFERROR(INDEX(Items[Pts],MATCH(Log[[#This Row],[ID]],Items[ID],0))*1,0))</f>
      </c>
      <c r="L2070" s="17">
        <f>IF(Log[[#This Row],[ID]]="","",IFERROR(INDEX(Items[Cur team],MATCH(Log[[#This Row],[ID]],Items[ID],0))&amp;"",""))</f>
      </c>
      <c r="M2070" s="17">
        <f>IF(OR(Log[[#This Row],[Verb]]="done",Log[[#This Row],[Verb]]="punt",Log[[#This Row],[Verb]]="drop",Log[[#This Row],[Verb]]="pass"),Log[[#This Row],[Pts]],0)</f>
      </c>
    </row>
    <row r="2071">
      <c r="A2071" s="11">
        <v>46286</v>
      </c>
      <c r="B2071" t="s">
        <v>1072</v>
      </c>
      <c r="C2071" t="s">
        <v>41</v>
      </c>
      <c r="F2071" s="17">
        <f>IF(Log[[#This Row],[ID]]="","",IF(ISNA(MATCH(Log[[#This Row],[ID]],Items[ID],0)),"unknown ID",IF(ISNA(MATCH(Log[[#This Row],[Verb]],VerbList,0)),"unknown verb",IF(Log[[#This Row],[Date]]="","no date",""))))</f>
      </c>
      <c r="G2071" s="17">
        <f>IF(Log[[#This Row],[ID]]="","",IFERROR(VLOOKUP(Log[[#This Row],[Verb]],Verbs,3,FALSE)&amp;"",""))</f>
      </c>
      <c r="H2071" s="17">
        <f>IF(Log[[#This Row],[Date]]="","",INT((Log[[#This Row],[Date]]-Sprint1)/SprintDays)+1)</f>
      </c>
      <c r="I2071" s="17">
        <f>IF(OR(Log[[#This Row],[Verb]]="commit",Log[[#This Row],[Verb]]="carry",Log[[#This Row],[Verb]]="redo"),IF(Log[[#This Row],[Arg]]="",Log[[#This Row],[Sprint]],N(Log[[#This Row],[Arg]])),"")</f>
      </c>
      <c r="J2071" s="17">
        <f>IF(Log[[#This Row],[Verb]]="block",1,IF(OR(Log[[#This Row],[Verb]]="unblock",Log[[#This Row],[Verb]]="done",Log[[#This Row],[Verb]]="drop",Log[[#This Row],[Verb]]="punt",Log[[#This Row],[Verb]]="pass"),0,""))</f>
      </c>
      <c r="K2071" s="17">
        <f>IF(Log[[#This Row],[ID]]="",0,IFERROR(INDEX(Items[Pts],MATCH(Log[[#This Row],[ID]],Items[ID],0))*1,0))</f>
      </c>
      <c r="L2071" s="17">
        <f>IF(Log[[#This Row],[ID]]="","",IFERROR(INDEX(Items[Cur team],MATCH(Log[[#This Row],[ID]],Items[ID],0))&amp;"",""))</f>
      </c>
      <c r="M2071" s="17">
        <f>IF(OR(Log[[#This Row],[Verb]]="done",Log[[#This Row],[Verb]]="punt",Log[[#This Row],[Verb]]="drop",Log[[#This Row],[Verb]]="pass"),Log[[#This Row],[Pts]],0)</f>
      </c>
    </row>
    <row r="2072">
      <c r="A2072" s="11">
        <v>46286</v>
      </c>
      <c r="B2072" t="s">
        <v>1073</v>
      </c>
      <c r="C2072" t="s">
        <v>41</v>
      </c>
      <c r="F2072" s="17">
        <f>IF(Log[[#This Row],[ID]]="","",IF(ISNA(MATCH(Log[[#This Row],[ID]],Items[ID],0)),"unknown ID",IF(ISNA(MATCH(Log[[#This Row],[Verb]],VerbList,0)),"unknown verb",IF(Log[[#This Row],[Date]]="","no date",""))))</f>
      </c>
      <c r="G2072" s="17">
        <f>IF(Log[[#This Row],[ID]]="","",IFERROR(VLOOKUP(Log[[#This Row],[Verb]],Verbs,3,FALSE)&amp;"",""))</f>
      </c>
      <c r="H2072" s="17">
        <f>IF(Log[[#This Row],[Date]]="","",INT((Log[[#This Row],[Date]]-Sprint1)/SprintDays)+1)</f>
      </c>
      <c r="I2072" s="17">
        <f>IF(OR(Log[[#This Row],[Verb]]="commit",Log[[#This Row],[Verb]]="carry",Log[[#This Row],[Verb]]="redo"),IF(Log[[#This Row],[Arg]]="",Log[[#This Row],[Sprint]],N(Log[[#This Row],[Arg]])),"")</f>
      </c>
      <c r="J2072" s="17">
        <f>IF(Log[[#This Row],[Verb]]="block",1,IF(OR(Log[[#This Row],[Verb]]="unblock",Log[[#This Row],[Verb]]="done",Log[[#This Row],[Verb]]="drop",Log[[#This Row],[Verb]]="punt",Log[[#This Row],[Verb]]="pass"),0,""))</f>
      </c>
      <c r="K2072" s="17">
        <f>IF(Log[[#This Row],[ID]]="",0,IFERROR(INDEX(Items[Pts],MATCH(Log[[#This Row],[ID]],Items[ID],0))*1,0))</f>
      </c>
      <c r="L2072" s="17">
        <f>IF(Log[[#This Row],[ID]]="","",IFERROR(INDEX(Items[Cur team],MATCH(Log[[#This Row],[ID]],Items[ID],0))&amp;"",""))</f>
      </c>
      <c r="M2072" s="17">
        <f>IF(OR(Log[[#This Row],[Verb]]="done",Log[[#This Row],[Verb]]="punt",Log[[#This Row],[Verb]]="drop",Log[[#This Row],[Verb]]="pass"),Log[[#This Row],[Pts]],0)</f>
      </c>
    </row>
    <row r="2073">
      <c r="A2073" s="11">
        <v>46286</v>
      </c>
      <c r="B2073" t="s">
        <v>1074</v>
      </c>
      <c r="C2073" t="s">
        <v>41</v>
      </c>
      <c r="F2073" s="17">
        <f>IF(Log[[#This Row],[ID]]="","",IF(ISNA(MATCH(Log[[#This Row],[ID]],Items[ID],0)),"unknown ID",IF(ISNA(MATCH(Log[[#This Row],[Verb]],VerbList,0)),"unknown verb",IF(Log[[#This Row],[Date]]="","no date",""))))</f>
      </c>
      <c r="G2073" s="17">
        <f>IF(Log[[#This Row],[ID]]="","",IFERROR(VLOOKUP(Log[[#This Row],[Verb]],Verbs,3,FALSE)&amp;"",""))</f>
      </c>
      <c r="H2073" s="17">
        <f>IF(Log[[#This Row],[Date]]="","",INT((Log[[#This Row],[Date]]-Sprint1)/SprintDays)+1)</f>
      </c>
      <c r="I2073" s="17">
        <f>IF(OR(Log[[#This Row],[Verb]]="commit",Log[[#This Row],[Verb]]="carry",Log[[#This Row],[Verb]]="redo"),IF(Log[[#This Row],[Arg]]="",Log[[#This Row],[Sprint]],N(Log[[#This Row],[Arg]])),"")</f>
      </c>
      <c r="J2073" s="17">
        <f>IF(Log[[#This Row],[Verb]]="block",1,IF(OR(Log[[#This Row],[Verb]]="unblock",Log[[#This Row],[Verb]]="done",Log[[#This Row],[Verb]]="drop",Log[[#This Row],[Verb]]="punt",Log[[#This Row],[Verb]]="pass"),0,""))</f>
      </c>
      <c r="K2073" s="17">
        <f>IF(Log[[#This Row],[ID]]="",0,IFERROR(INDEX(Items[Pts],MATCH(Log[[#This Row],[ID]],Items[ID],0))*1,0))</f>
      </c>
      <c r="L2073" s="17">
        <f>IF(Log[[#This Row],[ID]]="","",IFERROR(INDEX(Items[Cur team],MATCH(Log[[#This Row],[ID]],Items[ID],0))&amp;"",""))</f>
      </c>
      <c r="M2073" s="17">
        <f>IF(OR(Log[[#This Row],[Verb]]="done",Log[[#This Row],[Verb]]="punt",Log[[#This Row],[Verb]]="drop",Log[[#This Row],[Verb]]="pass"),Log[[#This Row],[Pts]],0)</f>
      </c>
    </row>
    <row r="2074">
      <c r="A2074" s="11">
        <v>46286</v>
      </c>
      <c r="B2074" t="s">
        <v>1075</v>
      </c>
      <c r="C2074" t="s">
        <v>41</v>
      </c>
      <c r="F2074" s="17">
        <f>IF(Log[[#This Row],[ID]]="","",IF(ISNA(MATCH(Log[[#This Row],[ID]],Items[ID],0)),"unknown ID",IF(ISNA(MATCH(Log[[#This Row],[Verb]],VerbList,0)),"unknown verb",IF(Log[[#This Row],[Date]]="","no date",""))))</f>
      </c>
      <c r="G2074" s="17">
        <f>IF(Log[[#This Row],[ID]]="","",IFERROR(VLOOKUP(Log[[#This Row],[Verb]],Verbs,3,FALSE)&amp;"",""))</f>
      </c>
      <c r="H2074" s="17">
        <f>IF(Log[[#This Row],[Date]]="","",INT((Log[[#This Row],[Date]]-Sprint1)/SprintDays)+1)</f>
      </c>
      <c r="I2074" s="17">
        <f>IF(OR(Log[[#This Row],[Verb]]="commit",Log[[#This Row],[Verb]]="carry",Log[[#This Row],[Verb]]="redo"),IF(Log[[#This Row],[Arg]]="",Log[[#This Row],[Sprint]],N(Log[[#This Row],[Arg]])),"")</f>
      </c>
      <c r="J2074" s="17">
        <f>IF(Log[[#This Row],[Verb]]="block",1,IF(OR(Log[[#This Row],[Verb]]="unblock",Log[[#This Row],[Verb]]="done",Log[[#This Row],[Verb]]="drop",Log[[#This Row],[Verb]]="punt",Log[[#This Row],[Verb]]="pass"),0,""))</f>
      </c>
      <c r="K2074" s="17">
        <f>IF(Log[[#This Row],[ID]]="",0,IFERROR(INDEX(Items[Pts],MATCH(Log[[#This Row],[ID]],Items[ID],0))*1,0))</f>
      </c>
      <c r="L2074" s="17">
        <f>IF(Log[[#This Row],[ID]]="","",IFERROR(INDEX(Items[Cur team],MATCH(Log[[#This Row],[ID]],Items[ID],0))&amp;"",""))</f>
      </c>
      <c r="M2074" s="17">
        <f>IF(OR(Log[[#This Row],[Verb]]="done",Log[[#This Row],[Verb]]="punt",Log[[#This Row],[Verb]]="drop",Log[[#This Row],[Verb]]="pass"),Log[[#This Row],[Pts]],0)</f>
      </c>
    </row>
    <row r="2075">
      <c r="A2075" s="11">
        <v>46286</v>
      </c>
      <c r="B2075" t="s">
        <v>1076</v>
      </c>
      <c r="C2075" t="s">
        <v>41</v>
      </c>
      <c r="F2075" s="17">
        <f>IF(Log[[#This Row],[ID]]="","",IF(ISNA(MATCH(Log[[#This Row],[ID]],Items[ID],0)),"unknown ID",IF(ISNA(MATCH(Log[[#This Row],[Verb]],VerbList,0)),"unknown verb",IF(Log[[#This Row],[Date]]="","no date",""))))</f>
      </c>
      <c r="G2075" s="17">
        <f>IF(Log[[#This Row],[ID]]="","",IFERROR(VLOOKUP(Log[[#This Row],[Verb]],Verbs,3,FALSE)&amp;"",""))</f>
      </c>
      <c r="H2075" s="17">
        <f>IF(Log[[#This Row],[Date]]="","",INT((Log[[#This Row],[Date]]-Sprint1)/SprintDays)+1)</f>
      </c>
      <c r="I2075" s="17">
        <f>IF(OR(Log[[#This Row],[Verb]]="commit",Log[[#This Row],[Verb]]="carry",Log[[#This Row],[Verb]]="redo"),IF(Log[[#This Row],[Arg]]="",Log[[#This Row],[Sprint]],N(Log[[#This Row],[Arg]])),"")</f>
      </c>
      <c r="J2075" s="17">
        <f>IF(Log[[#This Row],[Verb]]="block",1,IF(OR(Log[[#This Row],[Verb]]="unblock",Log[[#This Row],[Verb]]="done",Log[[#This Row],[Verb]]="drop",Log[[#This Row],[Verb]]="punt",Log[[#This Row],[Verb]]="pass"),0,""))</f>
      </c>
      <c r="K2075" s="17">
        <f>IF(Log[[#This Row],[ID]]="",0,IFERROR(INDEX(Items[Pts],MATCH(Log[[#This Row],[ID]],Items[ID],0))*1,0))</f>
      </c>
      <c r="L2075" s="17">
        <f>IF(Log[[#This Row],[ID]]="","",IFERROR(INDEX(Items[Cur team],MATCH(Log[[#This Row],[ID]],Items[ID],0))&amp;"",""))</f>
      </c>
      <c r="M2075" s="17">
        <f>IF(OR(Log[[#This Row],[Verb]]="done",Log[[#This Row],[Verb]]="punt",Log[[#This Row],[Verb]]="drop",Log[[#This Row],[Verb]]="pass"),Log[[#This Row],[Pts]],0)</f>
      </c>
    </row>
    <row r="2076">
      <c r="A2076" s="11">
        <v>46286</v>
      </c>
      <c r="B2076" t="s">
        <v>1077</v>
      </c>
      <c r="C2076" t="s">
        <v>41</v>
      </c>
      <c r="F2076" s="17">
        <f>IF(Log[[#This Row],[ID]]="","",IF(ISNA(MATCH(Log[[#This Row],[ID]],Items[ID],0)),"unknown ID",IF(ISNA(MATCH(Log[[#This Row],[Verb]],VerbList,0)),"unknown verb",IF(Log[[#This Row],[Date]]="","no date",""))))</f>
      </c>
      <c r="G2076" s="17">
        <f>IF(Log[[#This Row],[ID]]="","",IFERROR(VLOOKUP(Log[[#This Row],[Verb]],Verbs,3,FALSE)&amp;"",""))</f>
      </c>
      <c r="H2076" s="17">
        <f>IF(Log[[#This Row],[Date]]="","",INT((Log[[#This Row],[Date]]-Sprint1)/SprintDays)+1)</f>
      </c>
      <c r="I2076" s="17">
        <f>IF(OR(Log[[#This Row],[Verb]]="commit",Log[[#This Row],[Verb]]="carry",Log[[#This Row],[Verb]]="redo"),IF(Log[[#This Row],[Arg]]="",Log[[#This Row],[Sprint]],N(Log[[#This Row],[Arg]])),"")</f>
      </c>
      <c r="J2076" s="17">
        <f>IF(Log[[#This Row],[Verb]]="block",1,IF(OR(Log[[#This Row],[Verb]]="unblock",Log[[#This Row],[Verb]]="done",Log[[#This Row],[Verb]]="drop",Log[[#This Row],[Verb]]="punt",Log[[#This Row],[Verb]]="pass"),0,""))</f>
      </c>
      <c r="K2076" s="17">
        <f>IF(Log[[#This Row],[ID]]="",0,IFERROR(INDEX(Items[Pts],MATCH(Log[[#This Row],[ID]],Items[ID],0))*1,0))</f>
      </c>
      <c r="L2076" s="17">
        <f>IF(Log[[#This Row],[ID]]="","",IFERROR(INDEX(Items[Cur team],MATCH(Log[[#This Row],[ID]],Items[ID],0))&amp;"",""))</f>
      </c>
      <c r="M2076" s="17">
        <f>IF(OR(Log[[#This Row],[Verb]]="done",Log[[#This Row],[Verb]]="punt",Log[[#This Row],[Verb]]="drop",Log[[#This Row],[Verb]]="pass"),Log[[#This Row],[Pts]],0)</f>
      </c>
    </row>
    <row r="2077">
      <c r="A2077" s="11">
        <v>46286</v>
      </c>
      <c r="B2077" t="s">
        <v>1078</v>
      </c>
      <c r="C2077" t="s">
        <v>41</v>
      </c>
      <c r="F2077" s="17">
        <f>IF(Log[[#This Row],[ID]]="","",IF(ISNA(MATCH(Log[[#This Row],[ID]],Items[ID],0)),"unknown ID",IF(ISNA(MATCH(Log[[#This Row],[Verb]],VerbList,0)),"unknown verb",IF(Log[[#This Row],[Date]]="","no date",""))))</f>
      </c>
      <c r="G2077" s="17">
        <f>IF(Log[[#This Row],[ID]]="","",IFERROR(VLOOKUP(Log[[#This Row],[Verb]],Verbs,3,FALSE)&amp;"",""))</f>
      </c>
      <c r="H2077" s="17">
        <f>IF(Log[[#This Row],[Date]]="","",INT((Log[[#This Row],[Date]]-Sprint1)/SprintDays)+1)</f>
      </c>
      <c r="I2077" s="17">
        <f>IF(OR(Log[[#This Row],[Verb]]="commit",Log[[#This Row],[Verb]]="carry",Log[[#This Row],[Verb]]="redo"),IF(Log[[#This Row],[Arg]]="",Log[[#This Row],[Sprint]],N(Log[[#This Row],[Arg]])),"")</f>
      </c>
      <c r="J2077" s="17">
        <f>IF(Log[[#This Row],[Verb]]="block",1,IF(OR(Log[[#This Row],[Verb]]="unblock",Log[[#This Row],[Verb]]="done",Log[[#This Row],[Verb]]="drop",Log[[#This Row],[Verb]]="punt",Log[[#This Row],[Verb]]="pass"),0,""))</f>
      </c>
      <c r="K2077" s="17">
        <f>IF(Log[[#This Row],[ID]]="",0,IFERROR(INDEX(Items[Pts],MATCH(Log[[#This Row],[ID]],Items[ID],0))*1,0))</f>
      </c>
      <c r="L2077" s="17">
        <f>IF(Log[[#This Row],[ID]]="","",IFERROR(INDEX(Items[Cur team],MATCH(Log[[#This Row],[ID]],Items[ID],0))&amp;"",""))</f>
      </c>
      <c r="M2077" s="17">
        <f>IF(OR(Log[[#This Row],[Verb]]="done",Log[[#This Row],[Verb]]="punt",Log[[#This Row],[Verb]]="drop",Log[[#This Row],[Verb]]="pass"),Log[[#This Row],[Pts]],0)</f>
      </c>
    </row>
    <row r="2078">
      <c r="A2078" s="11">
        <v>46286</v>
      </c>
      <c r="B2078" t="s">
        <v>1079</v>
      </c>
      <c r="C2078" t="s">
        <v>41</v>
      </c>
      <c r="F2078" s="17">
        <f>IF(Log[[#This Row],[ID]]="","",IF(ISNA(MATCH(Log[[#This Row],[ID]],Items[ID],0)),"unknown ID",IF(ISNA(MATCH(Log[[#This Row],[Verb]],VerbList,0)),"unknown verb",IF(Log[[#This Row],[Date]]="","no date",""))))</f>
      </c>
      <c r="G2078" s="17">
        <f>IF(Log[[#This Row],[ID]]="","",IFERROR(VLOOKUP(Log[[#This Row],[Verb]],Verbs,3,FALSE)&amp;"",""))</f>
      </c>
      <c r="H2078" s="17">
        <f>IF(Log[[#This Row],[Date]]="","",INT((Log[[#This Row],[Date]]-Sprint1)/SprintDays)+1)</f>
      </c>
      <c r="I2078" s="17">
        <f>IF(OR(Log[[#This Row],[Verb]]="commit",Log[[#This Row],[Verb]]="carry",Log[[#This Row],[Verb]]="redo"),IF(Log[[#This Row],[Arg]]="",Log[[#This Row],[Sprint]],N(Log[[#This Row],[Arg]])),"")</f>
      </c>
      <c r="J2078" s="17">
        <f>IF(Log[[#This Row],[Verb]]="block",1,IF(OR(Log[[#This Row],[Verb]]="unblock",Log[[#This Row],[Verb]]="done",Log[[#This Row],[Verb]]="drop",Log[[#This Row],[Verb]]="punt",Log[[#This Row],[Verb]]="pass"),0,""))</f>
      </c>
      <c r="K2078" s="17">
        <f>IF(Log[[#This Row],[ID]]="",0,IFERROR(INDEX(Items[Pts],MATCH(Log[[#This Row],[ID]],Items[ID],0))*1,0))</f>
      </c>
      <c r="L2078" s="17">
        <f>IF(Log[[#This Row],[ID]]="","",IFERROR(INDEX(Items[Cur team],MATCH(Log[[#This Row],[ID]],Items[ID],0))&amp;"",""))</f>
      </c>
      <c r="M2078" s="17">
        <f>IF(OR(Log[[#This Row],[Verb]]="done",Log[[#This Row],[Verb]]="punt",Log[[#This Row],[Verb]]="drop",Log[[#This Row],[Verb]]="pass"),Log[[#This Row],[Pts]],0)</f>
      </c>
    </row>
    <row r="2079">
      <c r="A2079" s="11">
        <v>46286</v>
      </c>
      <c r="B2079" t="s">
        <v>1080</v>
      </c>
      <c r="C2079" t="s">
        <v>41</v>
      </c>
      <c r="F2079" s="17">
        <f>IF(Log[[#This Row],[ID]]="","",IF(ISNA(MATCH(Log[[#This Row],[ID]],Items[ID],0)),"unknown ID",IF(ISNA(MATCH(Log[[#This Row],[Verb]],VerbList,0)),"unknown verb",IF(Log[[#This Row],[Date]]="","no date",""))))</f>
      </c>
      <c r="G2079" s="17">
        <f>IF(Log[[#This Row],[ID]]="","",IFERROR(VLOOKUP(Log[[#This Row],[Verb]],Verbs,3,FALSE)&amp;"",""))</f>
      </c>
      <c r="H2079" s="17">
        <f>IF(Log[[#This Row],[Date]]="","",INT((Log[[#This Row],[Date]]-Sprint1)/SprintDays)+1)</f>
      </c>
      <c r="I2079" s="17">
        <f>IF(OR(Log[[#This Row],[Verb]]="commit",Log[[#This Row],[Verb]]="carry",Log[[#This Row],[Verb]]="redo"),IF(Log[[#This Row],[Arg]]="",Log[[#This Row],[Sprint]],N(Log[[#This Row],[Arg]])),"")</f>
      </c>
      <c r="J2079" s="17">
        <f>IF(Log[[#This Row],[Verb]]="block",1,IF(OR(Log[[#This Row],[Verb]]="unblock",Log[[#This Row],[Verb]]="done",Log[[#This Row],[Verb]]="drop",Log[[#This Row],[Verb]]="punt",Log[[#This Row],[Verb]]="pass"),0,""))</f>
      </c>
      <c r="K2079" s="17">
        <f>IF(Log[[#This Row],[ID]]="",0,IFERROR(INDEX(Items[Pts],MATCH(Log[[#This Row],[ID]],Items[ID],0))*1,0))</f>
      </c>
      <c r="L2079" s="17">
        <f>IF(Log[[#This Row],[ID]]="","",IFERROR(INDEX(Items[Cur team],MATCH(Log[[#This Row],[ID]],Items[ID],0))&amp;"",""))</f>
      </c>
      <c r="M2079" s="17">
        <f>IF(OR(Log[[#This Row],[Verb]]="done",Log[[#This Row],[Verb]]="punt",Log[[#This Row],[Verb]]="drop",Log[[#This Row],[Verb]]="pass"),Log[[#This Row],[Pts]],0)</f>
      </c>
    </row>
    <row r="2080">
      <c r="A2080" s="11">
        <v>46286</v>
      </c>
      <c r="B2080" t="s">
        <v>1011</v>
      </c>
      <c r="C2080" t="s">
        <v>41</v>
      </c>
      <c r="F2080" s="17">
        <f>IF(Log[[#This Row],[ID]]="","",IF(ISNA(MATCH(Log[[#This Row],[ID]],Items[ID],0)),"unknown ID",IF(ISNA(MATCH(Log[[#This Row],[Verb]],VerbList,0)),"unknown verb",IF(Log[[#This Row],[Date]]="","no date",""))))</f>
      </c>
      <c r="G2080" s="17">
        <f>IF(Log[[#This Row],[ID]]="","",IFERROR(VLOOKUP(Log[[#This Row],[Verb]],Verbs,3,FALSE)&amp;"",""))</f>
      </c>
      <c r="H2080" s="17">
        <f>IF(Log[[#This Row],[Date]]="","",INT((Log[[#This Row],[Date]]-Sprint1)/SprintDays)+1)</f>
      </c>
      <c r="I2080" s="17">
        <f>IF(OR(Log[[#This Row],[Verb]]="commit",Log[[#This Row],[Verb]]="carry",Log[[#This Row],[Verb]]="redo"),IF(Log[[#This Row],[Arg]]="",Log[[#This Row],[Sprint]],N(Log[[#This Row],[Arg]])),"")</f>
      </c>
      <c r="J2080" s="17">
        <f>IF(Log[[#This Row],[Verb]]="block",1,IF(OR(Log[[#This Row],[Verb]]="unblock",Log[[#This Row],[Verb]]="done",Log[[#This Row],[Verb]]="drop",Log[[#This Row],[Verb]]="punt",Log[[#This Row],[Verb]]="pass"),0,""))</f>
      </c>
      <c r="K2080" s="17">
        <f>IF(Log[[#This Row],[ID]]="",0,IFERROR(INDEX(Items[Pts],MATCH(Log[[#This Row],[ID]],Items[ID],0))*1,0))</f>
      </c>
      <c r="L2080" s="17">
        <f>IF(Log[[#This Row],[ID]]="","",IFERROR(INDEX(Items[Cur team],MATCH(Log[[#This Row],[ID]],Items[ID],0))&amp;"",""))</f>
      </c>
      <c r="M2080" s="17">
        <f>IF(OR(Log[[#This Row],[Verb]]="done",Log[[#This Row],[Verb]]="punt",Log[[#This Row],[Verb]]="drop",Log[[#This Row],[Verb]]="pass"),Log[[#This Row],[Pts]],0)</f>
      </c>
    </row>
    <row r="2081">
      <c r="A2081" s="11">
        <v>46286</v>
      </c>
      <c r="B2081" t="s">
        <v>1081</v>
      </c>
      <c r="C2081" t="s">
        <v>41</v>
      </c>
      <c r="F2081" s="17">
        <f>IF(Log[[#This Row],[ID]]="","",IF(ISNA(MATCH(Log[[#This Row],[ID]],Items[ID],0)),"unknown ID",IF(ISNA(MATCH(Log[[#This Row],[Verb]],VerbList,0)),"unknown verb",IF(Log[[#This Row],[Date]]="","no date",""))))</f>
      </c>
      <c r="G2081" s="17">
        <f>IF(Log[[#This Row],[ID]]="","",IFERROR(VLOOKUP(Log[[#This Row],[Verb]],Verbs,3,FALSE)&amp;"",""))</f>
      </c>
      <c r="H2081" s="17">
        <f>IF(Log[[#This Row],[Date]]="","",INT((Log[[#This Row],[Date]]-Sprint1)/SprintDays)+1)</f>
      </c>
      <c r="I2081" s="17">
        <f>IF(OR(Log[[#This Row],[Verb]]="commit",Log[[#This Row],[Verb]]="carry",Log[[#This Row],[Verb]]="redo"),IF(Log[[#This Row],[Arg]]="",Log[[#This Row],[Sprint]],N(Log[[#This Row],[Arg]])),"")</f>
      </c>
      <c r="J2081" s="17">
        <f>IF(Log[[#This Row],[Verb]]="block",1,IF(OR(Log[[#This Row],[Verb]]="unblock",Log[[#This Row],[Verb]]="done",Log[[#This Row],[Verb]]="drop",Log[[#This Row],[Verb]]="punt",Log[[#This Row],[Verb]]="pass"),0,""))</f>
      </c>
      <c r="K2081" s="17">
        <f>IF(Log[[#This Row],[ID]]="",0,IFERROR(INDEX(Items[Pts],MATCH(Log[[#This Row],[ID]],Items[ID],0))*1,0))</f>
      </c>
      <c r="L2081" s="17">
        <f>IF(Log[[#This Row],[ID]]="","",IFERROR(INDEX(Items[Cur team],MATCH(Log[[#This Row],[ID]],Items[ID],0))&amp;"",""))</f>
      </c>
      <c r="M2081" s="17">
        <f>IF(OR(Log[[#This Row],[Verb]]="done",Log[[#This Row],[Verb]]="punt",Log[[#This Row],[Verb]]="drop",Log[[#This Row],[Verb]]="pass"),Log[[#This Row],[Pts]],0)</f>
      </c>
    </row>
    <row r="2082">
      <c r="A2082" s="11">
        <v>46286</v>
      </c>
      <c r="B2082" t="s">
        <v>1082</v>
      </c>
      <c r="C2082" t="s">
        <v>41</v>
      </c>
      <c r="F2082" s="17">
        <f>IF(Log[[#This Row],[ID]]="","",IF(ISNA(MATCH(Log[[#This Row],[ID]],Items[ID],0)),"unknown ID",IF(ISNA(MATCH(Log[[#This Row],[Verb]],VerbList,0)),"unknown verb",IF(Log[[#This Row],[Date]]="","no date",""))))</f>
      </c>
      <c r="G2082" s="17">
        <f>IF(Log[[#This Row],[ID]]="","",IFERROR(VLOOKUP(Log[[#This Row],[Verb]],Verbs,3,FALSE)&amp;"",""))</f>
      </c>
      <c r="H2082" s="17">
        <f>IF(Log[[#This Row],[Date]]="","",INT((Log[[#This Row],[Date]]-Sprint1)/SprintDays)+1)</f>
      </c>
      <c r="I2082" s="17">
        <f>IF(OR(Log[[#This Row],[Verb]]="commit",Log[[#This Row],[Verb]]="carry",Log[[#This Row],[Verb]]="redo"),IF(Log[[#This Row],[Arg]]="",Log[[#This Row],[Sprint]],N(Log[[#This Row],[Arg]])),"")</f>
      </c>
      <c r="J2082" s="17">
        <f>IF(Log[[#This Row],[Verb]]="block",1,IF(OR(Log[[#This Row],[Verb]]="unblock",Log[[#This Row],[Verb]]="done",Log[[#This Row],[Verb]]="drop",Log[[#This Row],[Verb]]="punt",Log[[#This Row],[Verb]]="pass"),0,""))</f>
      </c>
      <c r="K2082" s="17">
        <f>IF(Log[[#This Row],[ID]]="",0,IFERROR(INDEX(Items[Pts],MATCH(Log[[#This Row],[ID]],Items[ID],0))*1,0))</f>
      </c>
      <c r="L2082" s="17">
        <f>IF(Log[[#This Row],[ID]]="","",IFERROR(INDEX(Items[Cur team],MATCH(Log[[#This Row],[ID]],Items[ID],0))&amp;"",""))</f>
      </c>
      <c r="M2082" s="17">
        <f>IF(OR(Log[[#This Row],[Verb]]="done",Log[[#This Row],[Verb]]="punt",Log[[#This Row],[Verb]]="drop",Log[[#This Row],[Verb]]="pass"),Log[[#This Row],[Pts]],0)</f>
      </c>
    </row>
    <row r="2083">
      <c r="A2083" s="11">
        <v>46286</v>
      </c>
      <c r="B2083" t="s">
        <v>1083</v>
      </c>
      <c r="C2083" t="s">
        <v>41</v>
      </c>
      <c r="F2083" s="17">
        <f>IF(Log[[#This Row],[ID]]="","",IF(ISNA(MATCH(Log[[#This Row],[ID]],Items[ID],0)),"unknown ID",IF(ISNA(MATCH(Log[[#This Row],[Verb]],VerbList,0)),"unknown verb",IF(Log[[#This Row],[Date]]="","no date",""))))</f>
      </c>
      <c r="G2083" s="17">
        <f>IF(Log[[#This Row],[ID]]="","",IFERROR(VLOOKUP(Log[[#This Row],[Verb]],Verbs,3,FALSE)&amp;"",""))</f>
      </c>
      <c r="H2083" s="17">
        <f>IF(Log[[#This Row],[Date]]="","",INT((Log[[#This Row],[Date]]-Sprint1)/SprintDays)+1)</f>
      </c>
      <c r="I2083" s="17">
        <f>IF(OR(Log[[#This Row],[Verb]]="commit",Log[[#This Row],[Verb]]="carry",Log[[#This Row],[Verb]]="redo"),IF(Log[[#This Row],[Arg]]="",Log[[#This Row],[Sprint]],N(Log[[#This Row],[Arg]])),"")</f>
      </c>
      <c r="J2083" s="17">
        <f>IF(Log[[#This Row],[Verb]]="block",1,IF(OR(Log[[#This Row],[Verb]]="unblock",Log[[#This Row],[Verb]]="done",Log[[#This Row],[Verb]]="drop",Log[[#This Row],[Verb]]="punt",Log[[#This Row],[Verb]]="pass"),0,""))</f>
      </c>
      <c r="K2083" s="17">
        <f>IF(Log[[#This Row],[ID]]="",0,IFERROR(INDEX(Items[Pts],MATCH(Log[[#This Row],[ID]],Items[ID],0))*1,0))</f>
      </c>
      <c r="L2083" s="17">
        <f>IF(Log[[#This Row],[ID]]="","",IFERROR(INDEX(Items[Cur team],MATCH(Log[[#This Row],[ID]],Items[ID],0))&amp;"",""))</f>
      </c>
      <c r="M2083" s="17">
        <f>IF(OR(Log[[#This Row],[Verb]]="done",Log[[#This Row],[Verb]]="punt",Log[[#This Row],[Verb]]="drop",Log[[#This Row],[Verb]]="pass"),Log[[#This Row],[Pts]],0)</f>
      </c>
    </row>
    <row r="2084">
      <c r="A2084" s="11">
        <v>46286</v>
      </c>
      <c r="B2084" t="s">
        <v>1084</v>
      </c>
      <c r="C2084" t="s">
        <v>41</v>
      </c>
      <c r="F2084" s="17">
        <f>IF(Log[[#This Row],[ID]]="","",IF(ISNA(MATCH(Log[[#This Row],[ID]],Items[ID],0)),"unknown ID",IF(ISNA(MATCH(Log[[#This Row],[Verb]],VerbList,0)),"unknown verb",IF(Log[[#This Row],[Date]]="","no date",""))))</f>
      </c>
      <c r="G2084" s="17">
        <f>IF(Log[[#This Row],[ID]]="","",IFERROR(VLOOKUP(Log[[#This Row],[Verb]],Verbs,3,FALSE)&amp;"",""))</f>
      </c>
      <c r="H2084" s="17">
        <f>IF(Log[[#This Row],[Date]]="","",INT((Log[[#This Row],[Date]]-Sprint1)/SprintDays)+1)</f>
      </c>
      <c r="I2084" s="17">
        <f>IF(OR(Log[[#This Row],[Verb]]="commit",Log[[#This Row],[Verb]]="carry",Log[[#This Row],[Verb]]="redo"),IF(Log[[#This Row],[Arg]]="",Log[[#This Row],[Sprint]],N(Log[[#This Row],[Arg]])),"")</f>
      </c>
      <c r="J2084" s="17">
        <f>IF(Log[[#This Row],[Verb]]="block",1,IF(OR(Log[[#This Row],[Verb]]="unblock",Log[[#This Row],[Verb]]="done",Log[[#This Row],[Verb]]="drop",Log[[#This Row],[Verb]]="punt",Log[[#This Row],[Verb]]="pass"),0,""))</f>
      </c>
      <c r="K2084" s="17">
        <f>IF(Log[[#This Row],[ID]]="",0,IFERROR(INDEX(Items[Pts],MATCH(Log[[#This Row],[ID]],Items[ID],0))*1,0))</f>
      </c>
      <c r="L2084" s="17">
        <f>IF(Log[[#This Row],[ID]]="","",IFERROR(INDEX(Items[Cur team],MATCH(Log[[#This Row],[ID]],Items[ID],0))&amp;"",""))</f>
      </c>
      <c r="M2084" s="17">
        <f>IF(OR(Log[[#This Row],[Verb]]="done",Log[[#This Row],[Verb]]="punt",Log[[#This Row],[Verb]]="drop",Log[[#This Row],[Verb]]="pass"),Log[[#This Row],[Pts]],0)</f>
      </c>
    </row>
    <row r="2085">
      <c r="A2085" s="11">
        <v>46286</v>
      </c>
      <c r="B2085" t="s">
        <v>1085</v>
      </c>
      <c r="C2085" t="s">
        <v>41</v>
      </c>
      <c r="F2085" s="17">
        <f>IF(Log[[#This Row],[ID]]="","",IF(ISNA(MATCH(Log[[#This Row],[ID]],Items[ID],0)),"unknown ID",IF(ISNA(MATCH(Log[[#This Row],[Verb]],VerbList,0)),"unknown verb",IF(Log[[#This Row],[Date]]="","no date",""))))</f>
      </c>
      <c r="G2085" s="17">
        <f>IF(Log[[#This Row],[ID]]="","",IFERROR(VLOOKUP(Log[[#This Row],[Verb]],Verbs,3,FALSE)&amp;"",""))</f>
      </c>
      <c r="H2085" s="17">
        <f>IF(Log[[#This Row],[Date]]="","",INT((Log[[#This Row],[Date]]-Sprint1)/SprintDays)+1)</f>
      </c>
      <c r="I2085" s="17">
        <f>IF(OR(Log[[#This Row],[Verb]]="commit",Log[[#This Row],[Verb]]="carry",Log[[#This Row],[Verb]]="redo"),IF(Log[[#This Row],[Arg]]="",Log[[#This Row],[Sprint]],N(Log[[#This Row],[Arg]])),"")</f>
      </c>
      <c r="J2085" s="17">
        <f>IF(Log[[#This Row],[Verb]]="block",1,IF(OR(Log[[#This Row],[Verb]]="unblock",Log[[#This Row],[Verb]]="done",Log[[#This Row],[Verb]]="drop",Log[[#This Row],[Verb]]="punt",Log[[#This Row],[Verb]]="pass"),0,""))</f>
      </c>
      <c r="K2085" s="17">
        <f>IF(Log[[#This Row],[ID]]="",0,IFERROR(INDEX(Items[Pts],MATCH(Log[[#This Row],[ID]],Items[ID],0))*1,0))</f>
      </c>
      <c r="L2085" s="17">
        <f>IF(Log[[#This Row],[ID]]="","",IFERROR(INDEX(Items[Cur team],MATCH(Log[[#This Row],[ID]],Items[ID],0))&amp;"",""))</f>
      </c>
      <c r="M2085" s="17">
        <f>IF(OR(Log[[#This Row],[Verb]]="done",Log[[#This Row],[Verb]]="punt",Log[[#This Row],[Verb]]="drop",Log[[#This Row],[Verb]]="pass"),Log[[#This Row],[Pts]],0)</f>
      </c>
    </row>
    <row r="2086">
      <c r="A2086" s="11">
        <v>46286</v>
      </c>
      <c r="B2086" t="s">
        <v>1086</v>
      </c>
      <c r="C2086" t="s">
        <v>41</v>
      </c>
      <c r="F2086" s="17">
        <f>IF(Log[[#This Row],[ID]]="","",IF(ISNA(MATCH(Log[[#This Row],[ID]],Items[ID],0)),"unknown ID",IF(ISNA(MATCH(Log[[#This Row],[Verb]],VerbList,0)),"unknown verb",IF(Log[[#This Row],[Date]]="","no date",""))))</f>
      </c>
      <c r="G2086" s="17">
        <f>IF(Log[[#This Row],[ID]]="","",IFERROR(VLOOKUP(Log[[#This Row],[Verb]],Verbs,3,FALSE)&amp;"",""))</f>
      </c>
      <c r="H2086" s="17">
        <f>IF(Log[[#This Row],[Date]]="","",INT((Log[[#This Row],[Date]]-Sprint1)/SprintDays)+1)</f>
      </c>
      <c r="I2086" s="17">
        <f>IF(OR(Log[[#This Row],[Verb]]="commit",Log[[#This Row],[Verb]]="carry",Log[[#This Row],[Verb]]="redo"),IF(Log[[#This Row],[Arg]]="",Log[[#This Row],[Sprint]],N(Log[[#This Row],[Arg]])),"")</f>
      </c>
      <c r="J2086" s="17">
        <f>IF(Log[[#This Row],[Verb]]="block",1,IF(OR(Log[[#This Row],[Verb]]="unblock",Log[[#This Row],[Verb]]="done",Log[[#This Row],[Verb]]="drop",Log[[#This Row],[Verb]]="punt",Log[[#This Row],[Verb]]="pass"),0,""))</f>
      </c>
      <c r="K2086" s="17">
        <f>IF(Log[[#This Row],[ID]]="",0,IFERROR(INDEX(Items[Pts],MATCH(Log[[#This Row],[ID]],Items[ID],0))*1,0))</f>
      </c>
      <c r="L2086" s="17">
        <f>IF(Log[[#This Row],[ID]]="","",IFERROR(INDEX(Items[Cur team],MATCH(Log[[#This Row],[ID]],Items[ID],0))&amp;"",""))</f>
      </c>
      <c r="M2086" s="17">
        <f>IF(OR(Log[[#This Row],[Verb]]="done",Log[[#This Row],[Verb]]="punt",Log[[#This Row],[Verb]]="drop",Log[[#This Row],[Verb]]="pass"),Log[[#This Row],[Pts]],0)</f>
      </c>
    </row>
    <row r="2087">
      <c r="A2087" s="11">
        <v>46286</v>
      </c>
      <c r="B2087" t="s">
        <v>1087</v>
      </c>
      <c r="C2087" t="s">
        <v>41</v>
      </c>
      <c r="F2087" s="17">
        <f>IF(Log[[#This Row],[ID]]="","",IF(ISNA(MATCH(Log[[#This Row],[ID]],Items[ID],0)),"unknown ID",IF(ISNA(MATCH(Log[[#This Row],[Verb]],VerbList,0)),"unknown verb",IF(Log[[#This Row],[Date]]="","no date",""))))</f>
      </c>
      <c r="G2087" s="17">
        <f>IF(Log[[#This Row],[ID]]="","",IFERROR(VLOOKUP(Log[[#This Row],[Verb]],Verbs,3,FALSE)&amp;"",""))</f>
      </c>
      <c r="H2087" s="17">
        <f>IF(Log[[#This Row],[Date]]="","",INT((Log[[#This Row],[Date]]-Sprint1)/SprintDays)+1)</f>
      </c>
      <c r="I2087" s="17">
        <f>IF(OR(Log[[#This Row],[Verb]]="commit",Log[[#This Row],[Verb]]="carry",Log[[#This Row],[Verb]]="redo"),IF(Log[[#This Row],[Arg]]="",Log[[#This Row],[Sprint]],N(Log[[#This Row],[Arg]])),"")</f>
      </c>
      <c r="J2087" s="17">
        <f>IF(Log[[#This Row],[Verb]]="block",1,IF(OR(Log[[#This Row],[Verb]]="unblock",Log[[#This Row],[Verb]]="done",Log[[#This Row],[Verb]]="drop",Log[[#This Row],[Verb]]="punt",Log[[#This Row],[Verb]]="pass"),0,""))</f>
      </c>
      <c r="K2087" s="17">
        <f>IF(Log[[#This Row],[ID]]="",0,IFERROR(INDEX(Items[Pts],MATCH(Log[[#This Row],[ID]],Items[ID],0))*1,0))</f>
      </c>
      <c r="L2087" s="17">
        <f>IF(Log[[#This Row],[ID]]="","",IFERROR(INDEX(Items[Cur team],MATCH(Log[[#This Row],[ID]],Items[ID],0))&amp;"",""))</f>
      </c>
      <c r="M2087" s="17">
        <f>IF(OR(Log[[#This Row],[Verb]]="done",Log[[#This Row],[Verb]]="punt",Log[[#This Row],[Verb]]="drop",Log[[#This Row],[Verb]]="pass"),Log[[#This Row],[Pts]],0)</f>
      </c>
    </row>
    <row r="2088">
      <c r="A2088" s="11">
        <v>46286</v>
      </c>
      <c r="B2088" t="s">
        <v>1088</v>
      </c>
      <c r="C2088" t="s">
        <v>41</v>
      </c>
      <c r="F2088" s="17">
        <f>IF(Log[[#This Row],[ID]]="","",IF(ISNA(MATCH(Log[[#This Row],[ID]],Items[ID],0)),"unknown ID",IF(ISNA(MATCH(Log[[#This Row],[Verb]],VerbList,0)),"unknown verb",IF(Log[[#This Row],[Date]]="","no date",""))))</f>
      </c>
      <c r="G2088" s="17">
        <f>IF(Log[[#This Row],[ID]]="","",IFERROR(VLOOKUP(Log[[#This Row],[Verb]],Verbs,3,FALSE)&amp;"",""))</f>
      </c>
      <c r="H2088" s="17">
        <f>IF(Log[[#This Row],[Date]]="","",INT((Log[[#This Row],[Date]]-Sprint1)/SprintDays)+1)</f>
      </c>
      <c r="I2088" s="17">
        <f>IF(OR(Log[[#This Row],[Verb]]="commit",Log[[#This Row],[Verb]]="carry",Log[[#This Row],[Verb]]="redo"),IF(Log[[#This Row],[Arg]]="",Log[[#This Row],[Sprint]],N(Log[[#This Row],[Arg]])),"")</f>
      </c>
      <c r="J2088" s="17">
        <f>IF(Log[[#This Row],[Verb]]="block",1,IF(OR(Log[[#This Row],[Verb]]="unblock",Log[[#This Row],[Verb]]="done",Log[[#This Row],[Verb]]="drop",Log[[#This Row],[Verb]]="punt",Log[[#This Row],[Verb]]="pass"),0,""))</f>
      </c>
      <c r="K2088" s="17">
        <f>IF(Log[[#This Row],[ID]]="",0,IFERROR(INDEX(Items[Pts],MATCH(Log[[#This Row],[ID]],Items[ID],0))*1,0))</f>
      </c>
      <c r="L2088" s="17">
        <f>IF(Log[[#This Row],[ID]]="","",IFERROR(INDEX(Items[Cur team],MATCH(Log[[#This Row],[ID]],Items[ID],0))&amp;"",""))</f>
      </c>
      <c r="M2088" s="17">
        <f>IF(OR(Log[[#This Row],[Verb]]="done",Log[[#This Row],[Verb]]="punt",Log[[#This Row],[Verb]]="drop",Log[[#This Row],[Verb]]="pass"),Log[[#This Row],[Pts]],0)</f>
      </c>
    </row>
    <row r="2089">
      <c r="A2089" s="11">
        <v>46286</v>
      </c>
      <c r="B2089" t="s">
        <v>1089</v>
      </c>
      <c r="C2089" t="s">
        <v>41</v>
      </c>
      <c r="F2089" s="17">
        <f>IF(Log[[#This Row],[ID]]="","",IF(ISNA(MATCH(Log[[#This Row],[ID]],Items[ID],0)),"unknown ID",IF(ISNA(MATCH(Log[[#This Row],[Verb]],VerbList,0)),"unknown verb",IF(Log[[#This Row],[Date]]="","no date",""))))</f>
      </c>
      <c r="G2089" s="17">
        <f>IF(Log[[#This Row],[ID]]="","",IFERROR(VLOOKUP(Log[[#This Row],[Verb]],Verbs,3,FALSE)&amp;"",""))</f>
      </c>
      <c r="H2089" s="17">
        <f>IF(Log[[#This Row],[Date]]="","",INT((Log[[#This Row],[Date]]-Sprint1)/SprintDays)+1)</f>
      </c>
      <c r="I2089" s="17">
        <f>IF(OR(Log[[#This Row],[Verb]]="commit",Log[[#This Row],[Verb]]="carry",Log[[#This Row],[Verb]]="redo"),IF(Log[[#This Row],[Arg]]="",Log[[#This Row],[Sprint]],N(Log[[#This Row],[Arg]])),"")</f>
      </c>
      <c r="J2089" s="17">
        <f>IF(Log[[#This Row],[Verb]]="block",1,IF(OR(Log[[#This Row],[Verb]]="unblock",Log[[#This Row],[Verb]]="done",Log[[#This Row],[Verb]]="drop",Log[[#This Row],[Verb]]="punt",Log[[#This Row],[Verb]]="pass"),0,""))</f>
      </c>
      <c r="K2089" s="17">
        <f>IF(Log[[#This Row],[ID]]="",0,IFERROR(INDEX(Items[Pts],MATCH(Log[[#This Row],[ID]],Items[ID],0))*1,0))</f>
      </c>
      <c r="L2089" s="17">
        <f>IF(Log[[#This Row],[ID]]="","",IFERROR(INDEX(Items[Cur team],MATCH(Log[[#This Row],[ID]],Items[ID],0))&amp;"",""))</f>
      </c>
      <c r="M2089" s="17">
        <f>IF(OR(Log[[#This Row],[Verb]]="done",Log[[#This Row],[Verb]]="punt",Log[[#This Row],[Verb]]="drop",Log[[#This Row],[Verb]]="pass"),Log[[#This Row],[Pts]],0)</f>
      </c>
    </row>
    <row r="2090">
      <c r="A2090" s="11">
        <v>46286</v>
      </c>
      <c r="B2090" t="s">
        <v>1090</v>
      </c>
      <c r="C2090" t="s">
        <v>41</v>
      </c>
      <c r="F2090" s="17">
        <f>IF(Log[[#This Row],[ID]]="","",IF(ISNA(MATCH(Log[[#This Row],[ID]],Items[ID],0)),"unknown ID",IF(ISNA(MATCH(Log[[#This Row],[Verb]],VerbList,0)),"unknown verb",IF(Log[[#This Row],[Date]]="","no date",""))))</f>
      </c>
      <c r="G2090" s="17">
        <f>IF(Log[[#This Row],[ID]]="","",IFERROR(VLOOKUP(Log[[#This Row],[Verb]],Verbs,3,FALSE)&amp;"",""))</f>
      </c>
      <c r="H2090" s="17">
        <f>IF(Log[[#This Row],[Date]]="","",INT((Log[[#This Row],[Date]]-Sprint1)/SprintDays)+1)</f>
      </c>
      <c r="I2090" s="17">
        <f>IF(OR(Log[[#This Row],[Verb]]="commit",Log[[#This Row],[Verb]]="carry",Log[[#This Row],[Verb]]="redo"),IF(Log[[#This Row],[Arg]]="",Log[[#This Row],[Sprint]],N(Log[[#This Row],[Arg]])),"")</f>
      </c>
      <c r="J2090" s="17">
        <f>IF(Log[[#This Row],[Verb]]="block",1,IF(OR(Log[[#This Row],[Verb]]="unblock",Log[[#This Row],[Verb]]="done",Log[[#This Row],[Verb]]="drop",Log[[#This Row],[Verb]]="punt",Log[[#This Row],[Verb]]="pass"),0,""))</f>
      </c>
      <c r="K2090" s="17">
        <f>IF(Log[[#This Row],[ID]]="",0,IFERROR(INDEX(Items[Pts],MATCH(Log[[#This Row],[ID]],Items[ID],0))*1,0))</f>
      </c>
      <c r="L2090" s="17">
        <f>IF(Log[[#This Row],[ID]]="","",IFERROR(INDEX(Items[Cur team],MATCH(Log[[#This Row],[ID]],Items[ID],0))&amp;"",""))</f>
      </c>
      <c r="M2090" s="17">
        <f>IF(OR(Log[[#This Row],[Verb]]="done",Log[[#This Row],[Verb]]="punt",Log[[#This Row],[Verb]]="drop",Log[[#This Row],[Verb]]="pass"),Log[[#This Row],[Pts]],0)</f>
      </c>
    </row>
  </sheetData>
  <conditionalFormatting sqref="F2:F2090">
    <cfRule type="expression" dxfId="0" priority="1">
      <formula>F2&lt;&gt;""</formula>
    </cfRule>
  </conditionalFormatting>
  <dataValidations count="2">
    <dataValidation type="list" allowBlank="1" showErrorMessage="1" errorStyle="warning" sqref="C2:C20000">
      <formula1>VerbList</formula1>
    </dataValidation>
    <dataValidation type="list" allowBlank="1" showErrorMessage="0" errorStyle="warning" sqref="B2:B20000">
      <formula1>IDList</formula1>
    </dataValidation>
  </dataValidations>
  <pageMargins left="0.5" right="0.5" top="0.6" bottom="0.6" header="0.3" footer="0.3"/>
  <pageSetup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27235D"/>
  </sheetPr>
  <sheetViews>
    <sheetView workbookViewId="0" showGridLines="1">
      <pane xSplit="1" ySplit="1" topLeftCell="B2" activePane="bottomRight" state="frozen"/>
    </sheetView>
  </sheetViews>
  <sheetFormatPr defaultRowHeight="13.8"/>
  <cols>
    <col min="1" max="1" width="11" customWidth="1"/>
    <col min="2" max="2" width="40" customWidth="1"/>
    <col min="3" max="3" width="18" customWidth="1"/>
    <col min="4" max="4" width="24" customWidth="1"/>
    <col min="5" max="5" width="12" customWidth="1"/>
    <col min="6" max="6" width="16" customWidth="1"/>
    <col min="7" max="7" width="7" customWidth="1"/>
    <col min="8" max="8" width="5" customWidth="1"/>
    <col min="9" max="9" width="11" customWidth="1"/>
    <col min="10" max="10" width="6" customWidth="1"/>
    <col min="11" max="11" width="12" customWidth="1"/>
    <col min="12" max="12" width="7" customWidth="1"/>
    <col min="13" max="13" width="8" customWidth="1"/>
    <col min="14" max="14" width="8" customWidth="1"/>
    <col min="15" max="15" width="12" customWidth="1"/>
    <col min="16" max="16" width="8" customWidth="1"/>
    <col min="17" max="17" width="30" customWidth="1"/>
    <col min="18" max="18" width="7" customWidth="1"/>
    <col min="19" max="19" width="6" customWidth="1"/>
    <col min="20" max="20" width="11" customWidth="1"/>
    <col min="21" max="21" width="8" customWidth="1"/>
    <col min="22" max="22" width="6" customWidth="1"/>
    <col min="23" max="23" width="6" customWidth="1" hidden="1"/>
    <col min="24" max="24" width="6" customWidth="1" hidden="1"/>
    <col min="25" max="25" width="6" customWidth="1" hidden="1"/>
  </cols>
  <sheetData>
    <row r="1">
      <c r="A1" s="3" t="s">
        <v>85</v>
      </c>
      <c r="B1" s="3" t="s">
        <v>87</v>
      </c>
      <c r="C1" s="3" t="s">
        <v>1091</v>
      </c>
      <c r="D1" s="3" t="s">
        <v>93</v>
      </c>
      <c r="E1" s="3" t="s">
        <v>144</v>
      </c>
      <c r="F1" s="3" t="s">
        <v>88</v>
      </c>
      <c r="G1" s="3" t="s">
        <v>1092</v>
      </c>
      <c r="H1" s="3" t="s">
        <v>1093</v>
      </c>
      <c r="I1" s="3" t="s">
        <v>1094</v>
      </c>
      <c r="J1" s="4" t="s">
        <v>160</v>
      </c>
      <c r="K1" s="4" t="s">
        <v>1095</v>
      </c>
      <c r="L1" s="4" t="s">
        <v>157</v>
      </c>
      <c r="M1" s="4" t="s">
        <v>1096</v>
      </c>
      <c r="N1" s="4" t="s">
        <v>86</v>
      </c>
      <c r="O1" s="4" t="s">
        <v>1097</v>
      </c>
      <c r="P1" s="4" t="s">
        <v>1098</v>
      </c>
      <c r="Q1" s="4" t="s">
        <v>151</v>
      </c>
      <c r="R1" s="4" t="s">
        <v>1099</v>
      </c>
      <c r="S1" s="4" t="s">
        <v>1100</v>
      </c>
      <c r="T1" s="4" t="s">
        <v>97</v>
      </c>
      <c r="U1" s="4" t="s">
        <v>1101</v>
      </c>
      <c r="V1" s="4" t="s">
        <v>1102</v>
      </c>
      <c r="W1" s="4" t="s">
        <v>1103</v>
      </c>
      <c r="X1" s="4" t="s">
        <v>1104</v>
      </c>
      <c r="Y1" s="4" t="s">
        <v>1105</v>
      </c>
    </row>
    <row r="2">
      <c r="A2" t="s">
        <v>166</v>
      </c>
      <c r="B2" t="s">
        <v>1106</v>
      </c>
      <c r="C2" t="s">
        <v>1107</v>
      </c>
      <c r="D2" t="s">
        <v>1108</v>
      </c>
      <c r="E2" t="s">
        <v>1109</v>
      </c>
      <c r="F2" t="s">
        <v>1110</v>
      </c>
      <c r="G2">
        <v>5</v>
      </c>
      <c r="H2">
        <v>3</v>
      </c>
      <c r="I2" s="11">
        <v>46021</v>
      </c>
      <c r="J2" s="17">
        <f>IF(Items[[#This Row],[ID]]="","",IFERROR(VALUE(LOOKUP(2,1/((Log[ID]=Items[[#This Row],[ID]])*(Log[Verb]="est")),Log[Arg])),N(Items[[#This Row],[Points]])))</f>
      </c>
      <c r="K2" s="17">
        <f>IF(Items[[#This Row],[ID]]="","",IFERROR(LOOKUP(2,1/((Log[ID]=Items[[#This Row],[ID]])*(Log[Verb]="pass")),Log[Arg])&amp;"",Items[[#This Row],[Team]]&amp;""))</f>
      </c>
      <c r="L2" s="17">
        <f>IF(Items[[#This Row],[ID]]="","",IFERROR(LOOKUP(2,1/((Log[ID]=Items[[#This Row],[ID]])*(Log[Into]&lt;&gt;"")),Log[Into]),""))</f>
      </c>
      <c r="M2" s="17">
        <f>IF(Items[[#This Row],[ID]]="","",IF(IFERROR(LOOKUP(2,1/((Log[ID]=Items[[#This Row],[ID]])*(Log[Blk]&lt;&gt;"")),Log[Blk]),0)=1,"Y",""))</f>
      </c>
      <c r="N2" s="17">
        <f>IF(Items[[#This Row],[ID]]="","",SUBSTITUTE(IFERROR(LOOKUP(2,1/((Log[ID]=Items[[#This Row],[ID]])*(Log[State]&lt;&gt;"")),Log[State]),"TODO"),"OPEN",IF(Items[[#This Row],[Blocked]]="Y","WAIT","OPEN")))</f>
      </c>
      <c r="O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" s="17">
        <f>IF(Items[[#This Row],[State]]&lt;&gt;"WAIT","",AsOf-Items[[#This Row],[Blocked since]])</f>
      </c>
      <c r="Q2" s="17">
        <f>IF(Items[[#This Row],[State]]&lt;&gt;"WAIT","",IFERROR(LOOKUP(2,1/((Log[ID]=Items[[#This Row],[ID]])*(Log[Verb]="block")),Log[Note])&amp;"",""))</f>
      </c>
      <c r="R2" s="17">
        <f>IF(Items[[#This Row],[ID]]="","",COUNTIFS(Log[ID],Items[[#This Row],[ID]],Log[Verb],"carry"))</f>
      </c>
      <c r="S2" s="17">
        <f>IF(Items[[#This Row],[ID]]="","",COUNTIFS(Log[ID],Items[[#This Row],[ID]],Log[Verb],"punt"))</f>
      </c>
      <c r="T2" s="11">
        <f>IF(Items[[#This Row],[State]]&lt;&gt;"DONE","",IFERROR(LOOKUP(2,1/((Log[ID]=Items[[#This Row],[ID]])*(Log[Verb]="done")),Log[Date]),""))</f>
      </c>
      <c r="U2" s="17">
        <f>IF(Items[[#This Row],[ID]]="","",IF(AND(Items[[#This Row],[Sprint]]=CurSprint,OR(Items[[#This Row],[State]]="OPEN",Items[[#This Row],[State]]="WAIT",Items[[#This Row],[State]]="HOLD",Items[[#This Row],[State]]="DONE")),1,0))</f>
      </c>
      <c r="V2" s="17">
        <f>IF(OR(Items[[#This Row],[ID]]="",Items[[#This Row],[Added]]=""),"",AsOf-Items[[#This Row],[Added]])</f>
      </c>
      <c r="W2" s="17">
        <f>IF(Items[[#This Row],[In sprint]]=1,(IF(Items[[#This Row],[Prio]]="",9,N(Items[[#This Row],[Prio]]))*10+(IF(Items[[#This Row],[State]]="DONE",1,0)))*100000+ROW(),"")</f>
      </c>
      <c r="X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" s="17">
        <f>IF(AND(Items[[#This Row],[State]]="DONE",N(Items[[#This Row],[Done on]])&gt;AsOf-7),(200000-N(Items[[#This Row],[Done on]]))*100000+ROW(),"")</f>
      </c>
    </row>
    <row r="3">
      <c r="A3" t="s">
        <v>162</v>
      </c>
      <c r="B3" t="s">
        <v>1111</v>
      </c>
      <c r="C3" t="s">
        <v>1107</v>
      </c>
      <c r="D3" t="s">
        <v>1108</v>
      </c>
      <c r="E3" t="s">
        <v>1112</v>
      </c>
      <c r="F3" t="s">
        <v>1113</v>
      </c>
      <c r="G3">
        <v>8</v>
      </c>
      <c r="H3">
        <v>1</v>
      </c>
      <c r="I3" s="11">
        <v>46035</v>
      </c>
      <c r="J3" s="17">
        <f>IF(Items[[#This Row],[ID]]="","",IFERROR(VALUE(LOOKUP(2,1/((Log[ID]=Items[[#This Row],[ID]])*(Log[Verb]="est")),Log[Arg])),N(Items[[#This Row],[Points]])))</f>
      </c>
      <c r="K3" s="17">
        <f>IF(Items[[#This Row],[ID]]="","",IFERROR(LOOKUP(2,1/((Log[ID]=Items[[#This Row],[ID]])*(Log[Verb]="pass")),Log[Arg])&amp;"",Items[[#This Row],[Team]]&amp;""))</f>
      </c>
      <c r="L3" s="17">
        <f>IF(Items[[#This Row],[ID]]="","",IFERROR(LOOKUP(2,1/((Log[ID]=Items[[#This Row],[ID]])*(Log[Into]&lt;&gt;"")),Log[Into]),""))</f>
      </c>
      <c r="M3" s="17">
        <f>IF(Items[[#This Row],[ID]]="","",IF(IFERROR(LOOKUP(2,1/((Log[ID]=Items[[#This Row],[ID]])*(Log[Blk]&lt;&gt;"")),Log[Blk]),0)=1,"Y",""))</f>
      </c>
      <c r="N3" s="17">
        <f>IF(Items[[#This Row],[ID]]="","",SUBSTITUTE(IFERROR(LOOKUP(2,1/((Log[ID]=Items[[#This Row],[ID]])*(Log[State]&lt;&gt;"")),Log[State]),"TODO"),"OPEN",IF(Items[[#This Row],[Blocked]]="Y","WAIT","OPEN")))</f>
      </c>
      <c r="O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" s="17">
        <f>IF(Items[[#This Row],[State]]&lt;&gt;"WAIT","",AsOf-Items[[#This Row],[Blocked since]])</f>
      </c>
      <c r="Q3" s="17">
        <f>IF(Items[[#This Row],[State]]&lt;&gt;"WAIT","",IFERROR(LOOKUP(2,1/((Log[ID]=Items[[#This Row],[ID]])*(Log[Verb]="block")),Log[Note])&amp;"",""))</f>
      </c>
      <c r="R3" s="17">
        <f>IF(Items[[#This Row],[ID]]="","",COUNTIFS(Log[ID],Items[[#This Row],[ID]],Log[Verb],"carry"))</f>
      </c>
      <c r="S3" s="17">
        <f>IF(Items[[#This Row],[ID]]="","",COUNTIFS(Log[ID],Items[[#This Row],[ID]],Log[Verb],"punt"))</f>
      </c>
      <c r="T3" s="11">
        <f>IF(Items[[#This Row],[State]]&lt;&gt;"DONE","",IFERROR(LOOKUP(2,1/((Log[ID]=Items[[#This Row],[ID]])*(Log[Verb]="done")),Log[Date]),""))</f>
      </c>
      <c r="U3" s="17">
        <f>IF(Items[[#This Row],[ID]]="","",IF(AND(Items[[#This Row],[Sprint]]=CurSprint,OR(Items[[#This Row],[State]]="OPEN",Items[[#This Row],[State]]="WAIT",Items[[#This Row],[State]]="HOLD",Items[[#This Row],[State]]="DONE")),1,0))</f>
      </c>
      <c r="V3" s="17">
        <f>IF(OR(Items[[#This Row],[ID]]="",Items[[#This Row],[Added]]=""),"",AsOf-Items[[#This Row],[Added]])</f>
      </c>
      <c r="W3" s="17">
        <f>IF(Items[[#This Row],[In sprint]]=1,(IF(Items[[#This Row],[Prio]]="",9,N(Items[[#This Row],[Prio]]))*10+(IF(Items[[#This Row],[State]]="DONE",1,0)))*100000+ROW(),"")</f>
      </c>
      <c r="X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" s="17">
        <f>IF(AND(Items[[#This Row],[State]]="DONE",N(Items[[#This Row],[Done on]])&gt;AsOf-7),(200000-N(Items[[#This Row],[Done on]]))*100000+ROW(),"")</f>
      </c>
    </row>
    <row r="4">
      <c r="A4" t="s">
        <v>170</v>
      </c>
      <c r="B4" t="s">
        <v>1114</v>
      </c>
      <c r="C4" t="s">
        <v>1115</v>
      </c>
      <c r="D4" t="s">
        <v>1116</v>
      </c>
      <c r="E4" t="s">
        <v>1112</v>
      </c>
      <c r="F4" t="s">
        <v>1117</v>
      </c>
      <c r="G4">
        <v>2</v>
      </c>
      <c r="H4">
        <v>1</v>
      </c>
      <c r="I4" s="11">
        <v>46035</v>
      </c>
      <c r="J4" s="17">
        <f>IF(Items[[#This Row],[ID]]="","",IFERROR(VALUE(LOOKUP(2,1/((Log[ID]=Items[[#This Row],[ID]])*(Log[Verb]="est")),Log[Arg])),N(Items[[#This Row],[Points]])))</f>
      </c>
      <c r="K4" s="17">
        <f>IF(Items[[#This Row],[ID]]="","",IFERROR(LOOKUP(2,1/((Log[ID]=Items[[#This Row],[ID]])*(Log[Verb]="pass")),Log[Arg])&amp;"",Items[[#This Row],[Team]]&amp;""))</f>
      </c>
      <c r="L4" s="17">
        <f>IF(Items[[#This Row],[ID]]="","",IFERROR(LOOKUP(2,1/((Log[ID]=Items[[#This Row],[ID]])*(Log[Into]&lt;&gt;"")),Log[Into]),""))</f>
      </c>
      <c r="M4" s="17">
        <f>IF(Items[[#This Row],[ID]]="","",IF(IFERROR(LOOKUP(2,1/((Log[ID]=Items[[#This Row],[ID]])*(Log[Blk]&lt;&gt;"")),Log[Blk]),0)=1,"Y",""))</f>
      </c>
      <c r="N4" s="17">
        <f>IF(Items[[#This Row],[ID]]="","",SUBSTITUTE(IFERROR(LOOKUP(2,1/((Log[ID]=Items[[#This Row],[ID]])*(Log[State]&lt;&gt;"")),Log[State]),"TODO"),"OPEN",IF(Items[[#This Row],[Blocked]]="Y","WAIT","OPEN")))</f>
      </c>
      <c r="O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" s="17">
        <f>IF(Items[[#This Row],[State]]&lt;&gt;"WAIT","",AsOf-Items[[#This Row],[Blocked since]])</f>
      </c>
      <c r="Q4" s="17">
        <f>IF(Items[[#This Row],[State]]&lt;&gt;"WAIT","",IFERROR(LOOKUP(2,1/((Log[ID]=Items[[#This Row],[ID]])*(Log[Verb]="block")),Log[Note])&amp;"",""))</f>
      </c>
      <c r="R4" s="17">
        <f>IF(Items[[#This Row],[ID]]="","",COUNTIFS(Log[ID],Items[[#This Row],[ID]],Log[Verb],"carry"))</f>
      </c>
      <c r="S4" s="17">
        <f>IF(Items[[#This Row],[ID]]="","",COUNTIFS(Log[ID],Items[[#This Row],[ID]],Log[Verb],"punt"))</f>
      </c>
      <c r="T4" s="11">
        <f>IF(Items[[#This Row],[State]]&lt;&gt;"DONE","",IFERROR(LOOKUP(2,1/((Log[ID]=Items[[#This Row],[ID]])*(Log[Verb]="done")),Log[Date]),""))</f>
      </c>
      <c r="U4" s="17">
        <f>IF(Items[[#This Row],[ID]]="","",IF(AND(Items[[#This Row],[Sprint]]=CurSprint,OR(Items[[#This Row],[State]]="OPEN",Items[[#This Row],[State]]="WAIT",Items[[#This Row],[State]]="HOLD",Items[[#This Row],[State]]="DONE")),1,0))</f>
      </c>
      <c r="V4" s="17">
        <f>IF(OR(Items[[#This Row],[ID]]="",Items[[#This Row],[Added]]=""),"",AsOf-Items[[#This Row],[Added]])</f>
      </c>
      <c r="W4" s="17">
        <f>IF(Items[[#This Row],[In sprint]]=1,(IF(Items[[#This Row],[Prio]]="",9,N(Items[[#This Row],[Prio]]))*10+(IF(Items[[#This Row],[State]]="DONE",1,0)))*100000+ROW(),"")</f>
      </c>
      <c r="X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" s="17">
        <f>IF(AND(Items[[#This Row],[State]]="DONE",N(Items[[#This Row],[Done on]])&gt;AsOf-7),(200000-N(Items[[#This Row],[Done on]]))*100000+ROW(),"")</f>
      </c>
    </row>
    <row r="5">
      <c r="A5" t="s">
        <v>163</v>
      </c>
      <c r="B5" t="s">
        <v>1118</v>
      </c>
      <c r="C5" t="s">
        <v>1115</v>
      </c>
      <c r="D5" t="s">
        <v>1119</v>
      </c>
      <c r="E5" t="s">
        <v>1120</v>
      </c>
      <c r="F5" t="s">
        <v>1121</v>
      </c>
      <c r="G5">
        <v>5</v>
      </c>
      <c r="H5">
        <v>1</v>
      </c>
      <c r="I5" s="11">
        <v>46035</v>
      </c>
      <c r="J5" s="17">
        <f>IF(Items[[#This Row],[ID]]="","",IFERROR(VALUE(LOOKUP(2,1/((Log[ID]=Items[[#This Row],[ID]])*(Log[Verb]="est")),Log[Arg])),N(Items[[#This Row],[Points]])))</f>
      </c>
      <c r="K5" s="17">
        <f>IF(Items[[#This Row],[ID]]="","",IFERROR(LOOKUP(2,1/((Log[ID]=Items[[#This Row],[ID]])*(Log[Verb]="pass")),Log[Arg])&amp;"",Items[[#This Row],[Team]]&amp;""))</f>
      </c>
      <c r="L5" s="17">
        <f>IF(Items[[#This Row],[ID]]="","",IFERROR(LOOKUP(2,1/((Log[ID]=Items[[#This Row],[ID]])*(Log[Into]&lt;&gt;"")),Log[Into]),""))</f>
      </c>
      <c r="M5" s="17">
        <f>IF(Items[[#This Row],[ID]]="","",IF(IFERROR(LOOKUP(2,1/((Log[ID]=Items[[#This Row],[ID]])*(Log[Blk]&lt;&gt;"")),Log[Blk]),0)=1,"Y",""))</f>
      </c>
      <c r="N5" s="17">
        <f>IF(Items[[#This Row],[ID]]="","",SUBSTITUTE(IFERROR(LOOKUP(2,1/((Log[ID]=Items[[#This Row],[ID]])*(Log[State]&lt;&gt;"")),Log[State]),"TODO"),"OPEN",IF(Items[[#This Row],[Blocked]]="Y","WAIT","OPEN")))</f>
      </c>
      <c r="O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" s="17">
        <f>IF(Items[[#This Row],[State]]&lt;&gt;"WAIT","",AsOf-Items[[#This Row],[Blocked since]])</f>
      </c>
      <c r="Q5" s="17">
        <f>IF(Items[[#This Row],[State]]&lt;&gt;"WAIT","",IFERROR(LOOKUP(2,1/((Log[ID]=Items[[#This Row],[ID]])*(Log[Verb]="block")),Log[Note])&amp;"",""))</f>
      </c>
      <c r="R5" s="17">
        <f>IF(Items[[#This Row],[ID]]="","",COUNTIFS(Log[ID],Items[[#This Row],[ID]],Log[Verb],"carry"))</f>
      </c>
      <c r="S5" s="17">
        <f>IF(Items[[#This Row],[ID]]="","",COUNTIFS(Log[ID],Items[[#This Row],[ID]],Log[Verb],"punt"))</f>
      </c>
      <c r="T5" s="11">
        <f>IF(Items[[#This Row],[State]]&lt;&gt;"DONE","",IFERROR(LOOKUP(2,1/((Log[ID]=Items[[#This Row],[ID]])*(Log[Verb]="done")),Log[Date]),""))</f>
      </c>
      <c r="U5" s="17">
        <f>IF(Items[[#This Row],[ID]]="","",IF(AND(Items[[#This Row],[Sprint]]=CurSprint,OR(Items[[#This Row],[State]]="OPEN",Items[[#This Row],[State]]="WAIT",Items[[#This Row],[State]]="HOLD",Items[[#This Row],[State]]="DONE")),1,0))</f>
      </c>
      <c r="V5" s="17">
        <f>IF(OR(Items[[#This Row],[ID]]="",Items[[#This Row],[Added]]=""),"",AsOf-Items[[#This Row],[Added]])</f>
      </c>
      <c r="W5" s="17">
        <f>IF(Items[[#This Row],[In sprint]]=1,(IF(Items[[#This Row],[Prio]]="",9,N(Items[[#This Row],[Prio]]))*10+(IF(Items[[#This Row],[State]]="DONE",1,0)))*100000+ROW(),"")</f>
      </c>
      <c r="X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" s="17">
        <f>IF(AND(Items[[#This Row],[State]]="DONE",N(Items[[#This Row],[Done on]])&gt;AsOf-7),(200000-N(Items[[#This Row],[Done on]]))*100000+ROW(),"")</f>
      </c>
    </row>
    <row r="6">
      <c r="A6" t="s">
        <v>164</v>
      </c>
      <c r="B6" t="s">
        <v>1122</v>
      </c>
      <c r="C6" t="s">
        <v>1107</v>
      </c>
      <c r="D6" t="s">
        <v>1123</v>
      </c>
      <c r="E6" t="s">
        <v>1124</v>
      </c>
      <c r="F6" t="s">
        <v>1125</v>
      </c>
      <c r="G6">
        <v>5</v>
      </c>
      <c r="H6">
        <v>2</v>
      </c>
      <c r="I6" s="11">
        <v>46035</v>
      </c>
      <c r="J6" s="17">
        <f>IF(Items[[#This Row],[ID]]="","",IFERROR(VALUE(LOOKUP(2,1/((Log[ID]=Items[[#This Row],[ID]])*(Log[Verb]="est")),Log[Arg])),N(Items[[#This Row],[Points]])))</f>
      </c>
      <c r="K6" s="17">
        <f>IF(Items[[#This Row],[ID]]="","",IFERROR(LOOKUP(2,1/((Log[ID]=Items[[#This Row],[ID]])*(Log[Verb]="pass")),Log[Arg])&amp;"",Items[[#This Row],[Team]]&amp;""))</f>
      </c>
      <c r="L6" s="17">
        <f>IF(Items[[#This Row],[ID]]="","",IFERROR(LOOKUP(2,1/((Log[ID]=Items[[#This Row],[ID]])*(Log[Into]&lt;&gt;"")),Log[Into]),""))</f>
      </c>
      <c r="M6" s="17">
        <f>IF(Items[[#This Row],[ID]]="","",IF(IFERROR(LOOKUP(2,1/((Log[ID]=Items[[#This Row],[ID]])*(Log[Blk]&lt;&gt;"")),Log[Blk]),0)=1,"Y",""))</f>
      </c>
      <c r="N6" s="17">
        <f>IF(Items[[#This Row],[ID]]="","",SUBSTITUTE(IFERROR(LOOKUP(2,1/((Log[ID]=Items[[#This Row],[ID]])*(Log[State]&lt;&gt;"")),Log[State]),"TODO"),"OPEN",IF(Items[[#This Row],[Blocked]]="Y","WAIT","OPEN")))</f>
      </c>
      <c r="O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" s="17">
        <f>IF(Items[[#This Row],[State]]&lt;&gt;"WAIT","",AsOf-Items[[#This Row],[Blocked since]])</f>
      </c>
      <c r="Q6" s="17">
        <f>IF(Items[[#This Row],[State]]&lt;&gt;"WAIT","",IFERROR(LOOKUP(2,1/((Log[ID]=Items[[#This Row],[ID]])*(Log[Verb]="block")),Log[Note])&amp;"",""))</f>
      </c>
      <c r="R6" s="17">
        <f>IF(Items[[#This Row],[ID]]="","",COUNTIFS(Log[ID],Items[[#This Row],[ID]],Log[Verb],"carry"))</f>
      </c>
      <c r="S6" s="17">
        <f>IF(Items[[#This Row],[ID]]="","",COUNTIFS(Log[ID],Items[[#This Row],[ID]],Log[Verb],"punt"))</f>
      </c>
      <c r="T6" s="11">
        <f>IF(Items[[#This Row],[State]]&lt;&gt;"DONE","",IFERROR(LOOKUP(2,1/((Log[ID]=Items[[#This Row],[ID]])*(Log[Verb]="done")),Log[Date]),""))</f>
      </c>
      <c r="U6" s="17">
        <f>IF(Items[[#This Row],[ID]]="","",IF(AND(Items[[#This Row],[Sprint]]=CurSprint,OR(Items[[#This Row],[State]]="OPEN",Items[[#This Row],[State]]="WAIT",Items[[#This Row],[State]]="HOLD",Items[[#This Row],[State]]="DONE")),1,0))</f>
      </c>
      <c r="V6" s="17">
        <f>IF(OR(Items[[#This Row],[ID]]="",Items[[#This Row],[Added]]=""),"",AsOf-Items[[#This Row],[Added]])</f>
      </c>
      <c r="W6" s="17">
        <f>IF(Items[[#This Row],[In sprint]]=1,(IF(Items[[#This Row],[Prio]]="",9,N(Items[[#This Row],[Prio]]))*10+(IF(Items[[#This Row],[State]]="DONE",1,0)))*100000+ROW(),"")</f>
      </c>
      <c r="X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" s="17">
        <f>IF(AND(Items[[#This Row],[State]]="DONE",N(Items[[#This Row],[Done on]])&gt;AsOf-7),(200000-N(Items[[#This Row],[Done on]]))*100000+ROW(),"")</f>
      </c>
    </row>
    <row r="7">
      <c r="A7" t="s">
        <v>176</v>
      </c>
      <c r="B7" t="s">
        <v>1126</v>
      </c>
      <c r="C7" t="s">
        <v>1107</v>
      </c>
      <c r="D7" t="s">
        <v>1127</v>
      </c>
      <c r="E7" t="s">
        <v>1128</v>
      </c>
      <c r="F7" t="s">
        <v>1129</v>
      </c>
      <c r="G7">
        <v>8</v>
      </c>
      <c r="H7">
        <v>2</v>
      </c>
      <c r="I7" s="11">
        <v>46035</v>
      </c>
      <c r="J7" s="17">
        <f>IF(Items[[#This Row],[ID]]="","",IFERROR(VALUE(LOOKUP(2,1/((Log[ID]=Items[[#This Row],[ID]])*(Log[Verb]="est")),Log[Arg])),N(Items[[#This Row],[Points]])))</f>
      </c>
      <c r="K7" s="17">
        <f>IF(Items[[#This Row],[ID]]="","",IFERROR(LOOKUP(2,1/((Log[ID]=Items[[#This Row],[ID]])*(Log[Verb]="pass")),Log[Arg])&amp;"",Items[[#This Row],[Team]]&amp;""))</f>
      </c>
      <c r="L7" s="17">
        <f>IF(Items[[#This Row],[ID]]="","",IFERROR(LOOKUP(2,1/((Log[ID]=Items[[#This Row],[ID]])*(Log[Into]&lt;&gt;"")),Log[Into]),""))</f>
      </c>
      <c r="M7" s="17">
        <f>IF(Items[[#This Row],[ID]]="","",IF(IFERROR(LOOKUP(2,1/((Log[ID]=Items[[#This Row],[ID]])*(Log[Blk]&lt;&gt;"")),Log[Blk]),0)=1,"Y",""))</f>
      </c>
      <c r="N7" s="17">
        <f>IF(Items[[#This Row],[ID]]="","",SUBSTITUTE(IFERROR(LOOKUP(2,1/((Log[ID]=Items[[#This Row],[ID]])*(Log[State]&lt;&gt;"")),Log[State]),"TODO"),"OPEN",IF(Items[[#This Row],[Blocked]]="Y","WAIT","OPEN")))</f>
      </c>
      <c r="O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" s="17">
        <f>IF(Items[[#This Row],[State]]&lt;&gt;"WAIT","",AsOf-Items[[#This Row],[Blocked since]])</f>
      </c>
      <c r="Q7" s="17">
        <f>IF(Items[[#This Row],[State]]&lt;&gt;"WAIT","",IFERROR(LOOKUP(2,1/((Log[ID]=Items[[#This Row],[ID]])*(Log[Verb]="block")),Log[Note])&amp;"",""))</f>
      </c>
      <c r="R7" s="17">
        <f>IF(Items[[#This Row],[ID]]="","",COUNTIFS(Log[ID],Items[[#This Row],[ID]],Log[Verb],"carry"))</f>
      </c>
      <c r="S7" s="17">
        <f>IF(Items[[#This Row],[ID]]="","",COUNTIFS(Log[ID],Items[[#This Row],[ID]],Log[Verb],"punt"))</f>
      </c>
      <c r="T7" s="11">
        <f>IF(Items[[#This Row],[State]]&lt;&gt;"DONE","",IFERROR(LOOKUP(2,1/((Log[ID]=Items[[#This Row],[ID]])*(Log[Verb]="done")),Log[Date]),""))</f>
      </c>
      <c r="U7" s="17">
        <f>IF(Items[[#This Row],[ID]]="","",IF(AND(Items[[#This Row],[Sprint]]=CurSprint,OR(Items[[#This Row],[State]]="OPEN",Items[[#This Row],[State]]="WAIT",Items[[#This Row],[State]]="HOLD",Items[[#This Row],[State]]="DONE")),1,0))</f>
      </c>
      <c r="V7" s="17">
        <f>IF(OR(Items[[#This Row],[ID]]="",Items[[#This Row],[Added]]=""),"",AsOf-Items[[#This Row],[Added]])</f>
      </c>
      <c r="W7" s="17">
        <f>IF(Items[[#This Row],[In sprint]]=1,(IF(Items[[#This Row],[Prio]]="",9,N(Items[[#This Row],[Prio]]))*10+(IF(Items[[#This Row],[State]]="DONE",1,0)))*100000+ROW(),"")</f>
      </c>
      <c r="X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" s="17">
        <f>IF(AND(Items[[#This Row],[State]]="DONE",N(Items[[#This Row],[Done on]])&gt;AsOf-7),(200000-N(Items[[#This Row],[Done on]]))*100000+ROW(),"")</f>
      </c>
    </row>
    <row r="8">
      <c r="A8" t="s">
        <v>167</v>
      </c>
      <c r="B8" t="s">
        <v>1130</v>
      </c>
      <c r="C8" t="s">
        <v>1115</v>
      </c>
      <c r="D8" t="s">
        <v>1116</v>
      </c>
      <c r="E8" t="s">
        <v>1131</v>
      </c>
      <c r="F8" t="s">
        <v>1132</v>
      </c>
      <c r="G8">
        <v>2</v>
      </c>
      <c r="H8">
        <v>3</v>
      </c>
      <c r="I8" s="11">
        <v>46035</v>
      </c>
      <c r="J8" s="17">
        <f>IF(Items[[#This Row],[ID]]="","",IFERROR(VALUE(LOOKUP(2,1/((Log[ID]=Items[[#This Row],[ID]])*(Log[Verb]="est")),Log[Arg])),N(Items[[#This Row],[Points]])))</f>
      </c>
      <c r="K8" s="17">
        <f>IF(Items[[#This Row],[ID]]="","",IFERROR(LOOKUP(2,1/((Log[ID]=Items[[#This Row],[ID]])*(Log[Verb]="pass")),Log[Arg])&amp;"",Items[[#This Row],[Team]]&amp;""))</f>
      </c>
      <c r="L8" s="17">
        <f>IF(Items[[#This Row],[ID]]="","",IFERROR(LOOKUP(2,1/((Log[ID]=Items[[#This Row],[ID]])*(Log[Into]&lt;&gt;"")),Log[Into]),""))</f>
      </c>
      <c r="M8" s="17">
        <f>IF(Items[[#This Row],[ID]]="","",IF(IFERROR(LOOKUP(2,1/((Log[ID]=Items[[#This Row],[ID]])*(Log[Blk]&lt;&gt;"")),Log[Blk]),0)=1,"Y",""))</f>
      </c>
      <c r="N8" s="17">
        <f>IF(Items[[#This Row],[ID]]="","",SUBSTITUTE(IFERROR(LOOKUP(2,1/((Log[ID]=Items[[#This Row],[ID]])*(Log[State]&lt;&gt;"")),Log[State]),"TODO"),"OPEN",IF(Items[[#This Row],[Blocked]]="Y","WAIT","OPEN")))</f>
      </c>
      <c r="O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" s="17">
        <f>IF(Items[[#This Row],[State]]&lt;&gt;"WAIT","",AsOf-Items[[#This Row],[Blocked since]])</f>
      </c>
      <c r="Q8" s="17">
        <f>IF(Items[[#This Row],[State]]&lt;&gt;"WAIT","",IFERROR(LOOKUP(2,1/((Log[ID]=Items[[#This Row],[ID]])*(Log[Verb]="block")),Log[Note])&amp;"",""))</f>
      </c>
      <c r="R8" s="17">
        <f>IF(Items[[#This Row],[ID]]="","",COUNTIFS(Log[ID],Items[[#This Row],[ID]],Log[Verb],"carry"))</f>
      </c>
      <c r="S8" s="17">
        <f>IF(Items[[#This Row],[ID]]="","",COUNTIFS(Log[ID],Items[[#This Row],[ID]],Log[Verb],"punt"))</f>
      </c>
      <c r="T8" s="11">
        <f>IF(Items[[#This Row],[State]]&lt;&gt;"DONE","",IFERROR(LOOKUP(2,1/((Log[ID]=Items[[#This Row],[ID]])*(Log[Verb]="done")),Log[Date]),""))</f>
      </c>
      <c r="U8" s="17">
        <f>IF(Items[[#This Row],[ID]]="","",IF(AND(Items[[#This Row],[Sprint]]=CurSprint,OR(Items[[#This Row],[State]]="OPEN",Items[[#This Row],[State]]="WAIT",Items[[#This Row],[State]]="HOLD",Items[[#This Row],[State]]="DONE")),1,0))</f>
      </c>
      <c r="V8" s="17">
        <f>IF(OR(Items[[#This Row],[ID]]="",Items[[#This Row],[Added]]=""),"",AsOf-Items[[#This Row],[Added]])</f>
      </c>
      <c r="W8" s="17">
        <f>IF(Items[[#This Row],[In sprint]]=1,(IF(Items[[#This Row],[Prio]]="",9,N(Items[[#This Row],[Prio]]))*10+(IF(Items[[#This Row],[State]]="DONE",1,0)))*100000+ROW(),"")</f>
      </c>
      <c r="X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" s="17">
        <f>IF(AND(Items[[#This Row],[State]]="DONE",N(Items[[#This Row],[Done on]])&gt;AsOf-7),(200000-N(Items[[#This Row],[Done on]]))*100000+ROW(),"")</f>
      </c>
    </row>
    <row r="9">
      <c r="A9" t="s">
        <v>168</v>
      </c>
      <c r="B9" t="s">
        <v>1133</v>
      </c>
      <c r="C9" t="s">
        <v>1107</v>
      </c>
      <c r="D9" t="s">
        <v>1123</v>
      </c>
      <c r="E9" t="s">
        <v>1134</v>
      </c>
      <c r="F9" t="s">
        <v>1135</v>
      </c>
      <c r="G9">
        <v>5</v>
      </c>
      <c r="H9">
        <v>1</v>
      </c>
      <c r="I9" s="11">
        <v>46035</v>
      </c>
      <c r="J9" s="17">
        <f>IF(Items[[#This Row],[ID]]="","",IFERROR(VALUE(LOOKUP(2,1/((Log[ID]=Items[[#This Row],[ID]])*(Log[Verb]="est")),Log[Arg])),N(Items[[#This Row],[Points]])))</f>
      </c>
      <c r="K9" s="17">
        <f>IF(Items[[#This Row],[ID]]="","",IFERROR(LOOKUP(2,1/((Log[ID]=Items[[#This Row],[ID]])*(Log[Verb]="pass")),Log[Arg])&amp;"",Items[[#This Row],[Team]]&amp;""))</f>
      </c>
      <c r="L9" s="17">
        <f>IF(Items[[#This Row],[ID]]="","",IFERROR(LOOKUP(2,1/((Log[ID]=Items[[#This Row],[ID]])*(Log[Into]&lt;&gt;"")),Log[Into]),""))</f>
      </c>
      <c r="M9" s="17">
        <f>IF(Items[[#This Row],[ID]]="","",IF(IFERROR(LOOKUP(2,1/((Log[ID]=Items[[#This Row],[ID]])*(Log[Blk]&lt;&gt;"")),Log[Blk]),0)=1,"Y",""))</f>
      </c>
      <c r="N9" s="17">
        <f>IF(Items[[#This Row],[ID]]="","",SUBSTITUTE(IFERROR(LOOKUP(2,1/((Log[ID]=Items[[#This Row],[ID]])*(Log[State]&lt;&gt;"")),Log[State]),"TODO"),"OPEN",IF(Items[[#This Row],[Blocked]]="Y","WAIT","OPEN")))</f>
      </c>
      <c r="O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" s="17">
        <f>IF(Items[[#This Row],[State]]&lt;&gt;"WAIT","",AsOf-Items[[#This Row],[Blocked since]])</f>
      </c>
      <c r="Q9" s="17">
        <f>IF(Items[[#This Row],[State]]&lt;&gt;"WAIT","",IFERROR(LOOKUP(2,1/((Log[ID]=Items[[#This Row],[ID]])*(Log[Verb]="block")),Log[Note])&amp;"",""))</f>
      </c>
      <c r="R9" s="17">
        <f>IF(Items[[#This Row],[ID]]="","",COUNTIFS(Log[ID],Items[[#This Row],[ID]],Log[Verb],"carry"))</f>
      </c>
      <c r="S9" s="17">
        <f>IF(Items[[#This Row],[ID]]="","",COUNTIFS(Log[ID],Items[[#This Row],[ID]],Log[Verb],"punt"))</f>
      </c>
      <c r="T9" s="11">
        <f>IF(Items[[#This Row],[State]]&lt;&gt;"DONE","",IFERROR(LOOKUP(2,1/((Log[ID]=Items[[#This Row],[ID]])*(Log[Verb]="done")),Log[Date]),""))</f>
      </c>
      <c r="U9" s="17">
        <f>IF(Items[[#This Row],[ID]]="","",IF(AND(Items[[#This Row],[Sprint]]=CurSprint,OR(Items[[#This Row],[State]]="OPEN",Items[[#This Row],[State]]="WAIT",Items[[#This Row],[State]]="HOLD",Items[[#This Row],[State]]="DONE")),1,0))</f>
      </c>
      <c r="V9" s="17">
        <f>IF(OR(Items[[#This Row],[ID]]="",Items[[#This Row],[Added]]=""),"",AsOf-Items[[#This Row],[Added]])</f>
      </c>
      <c r="W9" s="17">
        <f>IF(Items[[#This Row],[In sprint]]=1,(IF(Items[[#This Row],[Prio]]="",9,N(Items[[#This Row],[Prio]]))*10+(IF(Items[[#This Row],[State]]="DONE",1,0)))*100000+ROW(),"")</f>
      </c>
      <c r="X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" s="17">
        <f>IF(AND(Items[[#This Row],[State]]="DONE",N(Items[[#This Row],[Done on]])&gt;AsOf-7),(200000-N(Items[[#This Row],[Done on]]))*100000+ROW(),"")</f>
      </c>
    </row>
    <row r="10">
      <c r="A10" t="s">
        <v>179</v>
      </c>
      <c r="B10" t="s">
        <v>1136</v>
      </c>
      <c r="C10" t="s">
        <v>1115</v>
      </c>
      <c r="D10" t="s">
        <v>1116</v>
      </c>
      <c r="E10" t="s">
        <v>1134</v>
      </c>
      <c r="F10" t="s">
        <v>1137</v>
      </c>
      <c r="G10">
        <v>8</v>
      </c>
      <c r="H10">
        <v>3</v>
      </c>
      <c r="I10" s="11">
        <v>46035</v>
      </c>
      <c r="J10" s="17">
        <f>IF(Items[[#This Row],[ID]]="","",IFERROR(VALUE(LOOKUP(2,1/((Log[ID]=Items[[#This Row],[ID]])*(Log[Verb]="est")),Log[Arg])),N(Items[[#This Row],[Points]])))</f>
      </c>
      <c r="K10" s="17">
        <f>IF(Items[[#This Row],[ID]]="","",IFERROR(LOOKUP(2,1/((Log[ID]=Items[[#This Row],[ID]])*(Log[Verb]="pass")),Log[Arg])&amp;"",Items[[#This Row],[Team]]&amp;""))</f>
      </c>
      <c r="L10" s="17">
        <f>IF(Items[[#This Row],[ID]]="","",IFERROR(LOOKUP(2,1/((Log[ID]=Items[[#This Row],[ID]])*(Log[Into]&lt;&gt;"")),Log[Into]),""))</f>
      </c>
      <c r="M10" s="17">
        <f>IF(Items[[#This Row],[ID]]="","",IF(IFERROR(LOOKUP(2,1/((Log[ID]=Items[[#This Row],[ID]])*(Log[Blk]&lt;&gt;"")),Log[Blk]),0)=1,"Y",""))</f>
      </c>
      <c r="N10" s="17">
        <f>IF(Items[[#This Row],[ID]]="","",SUBSTITUTE(IFERROR(LOOKUP(2,1/((Log[ID]=Items[[#This Row],[ID]])*(Log[State]&lt;&gt;"")),Log[State]),"TODO"),"OPEN",IF(Items[[#This Row],[Blocked]]="Y","WAIT","OPEN")))</f>
      </c>
      <c r="O1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0" s="17">
        <f>IF(Items[[#This Row],[State]]&lt;&gt;"WAIT","",AsOf-Items[[#This Row],[Blocked since]])</f>
      </c>
      <c r="Q10" s="17">
        <f>IF(Items[[#This Row],[State]]&lt;&gt;"WAIT","",IFERROR(LOOKUP(2,1/((Log[ID]=Items[[#This Row],[ID]])*(Log[Verb]="block")),Log[Note])&amp;"",""))</f>
      </c>
      <c r="R10" s="17">
        <f>IF(Items[[#This Row],[ID]]="","",COUNTIFS(Log[ID],Items[[#This Row],[ID]],Log[Verb],"carry"))</f>
      </c>
      <c r="S10" s="17">
        <f>IF(Items[[#This Row],[ID]]="","",COUNTIFS(Log[ID],Items[[#This Row],[ID]],Log[Verb],"punt"))</f>
      </c>
      <c r="T10" s="11">
        <f>IF(Items[[#This Row],[State]]&lt;&gt;"DONE","",IFERROR(LOOKUP(2,1/((Log[ID]=Items[[#This Row],[ID]])*(Log[Verb]="done")),Log[Date]),""))</f>
      </c>
      <c r="U10" s="17">
        <f>IF(Items[[#This Row],[ID]]="","",IF(AND(Items[[#This Row],[Sprint]]=CurSprint,OR(Items[[#This Row],[State]]="OPEN",Items[[#This Row],[State]]="WAIT",Items[[#This Row],[State]]="HOLD",Items[[#This Row],[State]]="DONE")),1,0))</f>
      </c>
      <c r="V10" s="17">
        <f>IF(OR(Items[[#This Row],[ID]]="",Items[[#This Row],[Added]]=""),"",AsOf-Items[[#This Row],[Added]])</f>
      </c>
      <c r="W10" s="17">
        <f>IF(Items[[#This Row],[In sprint]]=1,(IF(Items[[#This Row],[Prio]]="",9,N(Items[[#This Row],[Prio]]))*10+(IF(Items[[#This Row],[State]]="DONE",1,0)))*100000+ROW(),"")</f>
      </c>
      <c r="X1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0" s="17">
        <f>IF(AND(Items[[#This Row],[State]]="DONE",N(Items[[#This Row],[Done on]])&gt;AsOf-7),(200000-N(Items[[#This Row],[Done on]]))*100000+ROW(),"")</f>
      </c>
    </row>
    <row r="11">
      <c r="A11" t="s">
        <v>169</v>
      </c>
      <c r="B11" t="s">
        <v>1138</v>
      </c>
      <c r="C11" t="s">
        <v>1107</v>
      </c>
      <c r="D11" t="s">
        <v>1123</v>
      </c>
      <c r="E11" t="s">
        <v>1139</v>
      </c>
      <c r="F11" t="s">
        <v>1140</v>
      </c>
      <c r="G11">
        <v>8</v>
      </c>
      <c r="H11">
        <v>3</v>
      </c>
      <c r="I11" s="11">
        <v>46035</v>
      </c>
      <c r="J11" s="17">
        <f>IF(Items[[#This Row],[ID]]="","",IFERROR(VALUE(LOOKUP(2,1/((Log[ID]=Items[[#This Row],[ID]])*(Log[Verb]="est")),Log[Arg])),N(Items[[#This Row],[Points]])))</f>
      </c>
      <c r="K11" s="17">
        <f>IF(Items[[#This Row],[ID]]="","",IFERROR(LOOKUP(2,1/((Log[ID]=Items[[#This Row],[ID]])*(Log[Verb]="pass")),Log[Arg])&amp;"",Items[[#This Row],[Team]]&amp;""))</f>
      </c>
      <c r="L11" s="17">
        <f>IF(Items[[#This Row],[ID]]="","",IFERROR(LOOKUP(2,1/((Log[ID]=Items[[#This Row],[ID]])*(Log[Into]&lt;&gt;"")),Log[Into]),""))</f>
      </c>
      <c r="M11" s="17">
        <f>IF(Items[[#This Row],[ID]]="","",IF(IFERROR(LOOKUP(2,1/((Log[ID]=Items[[#This Row],[ID]])*(Log[Blk]&lt;&gt;"")),Log[Blk]),0)=1,"Y",""))</f>
      </c>
      <c r="N11" s="17">
        <f>IF(Items[[#This Row],[ID]]="","",SUBSTITUTE(IFERROR(LOOKUP(2,1/((Log[ID]=Items[[#This Row],[ID]])*(Log[State]&lt;&gt;"")),Log[State]),"TODO"),"OPEN",IF(Items[[#This Row],[Blocked]]="Y","WAIT","OPEN")))</f>
      </c>
      <c r="O1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1" s="17">
        <f>IF(Items[[#This Row],[State]]&lt;&gt;"WAIT","",AsOf-Items[[#This Row],[Blocked since]])</f>
      </c>
      <c r="Q11" s="17">
        <f>IF(Items[[#This Row],[State]]&lt;&gt;"WAIT","",IFERROR(LOOKUP(2,1/((Log[ID]=Items[[#This Row],[ID]])*(Log[Verb]="block")),Log[Note])&amp;"",""))</f>
      </c>
      <c r="R11" s="17">
        <f>IF(Items[[#This Row],[ID]]="","",COUNTIFS(Log[ID],Items[[#This Row],[ID]],Log[Verb],"carry"))</f>
      </c>
      <c r="S11" s="17">
        <f>IF(Items[[#This Row],[ID]]="","",COUNTIFS(Log[ID],Items[[#This Row],[ID]],Log[Verb],"punt"))</f>
      </c>
      <c r="T11" s="11">
        <f>IF(Items[[#This Row],[State]]&lt;&gt;"DONE","",IFERROR(LOOKUP(2,1/((Log[ID]=Items[[#This Row],[ID]])*(Log[Verb]="done")),Log[Date]),""))</f>
      </c>
      <c r="U11" s="17">
        <f>IF(Items[[#This Row],[ID]]="","",IF(AND(Items[[#This Row],[Sprint]]=CurSprint,OR(Items[[#This Row],[State]]="OPEN",Items[[#This Row],[State]]="WAIT",Items[[#This Row],[State]]="HOLD",Items[[#This Row],[State]]="DONE")),1,0))</f>
      </c>
      <c r="V11" s="17">
        <f>IF(OR(Items[[#This Row],[ID]]="",Items[[#This Row],[Added]]=""),"",AsOf-Items[[#This Row],[Added]])</f>
      </c>
      <c r="W11" s="17">
        <f>IF(Items[[#This Row],[In sprint]]=1,(IF(Items[[#This Row],[Prio]]="",9,N(Items[[#This Row],[Prio]]))*10+(IF(Items[[#This Row],[State]]="DONE",1,0)))*100000+ROW(),"")</f>
      </c>
      <c r="X1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1" s="17">
        <f>IF(AND(Items[[#This Row],[State]]="DONE",N(Items[[#This Row],[Done on]])&gt;AsOf-7),(200000-N(Items[[#This Row],[Done on]]))*100000+ROW(),"")</f>
      </c>
    </row>
    <row r="12">
      <c r="A12" t="s">
        <v>183</v>
      </c>
      <c r="B12" t="s">
        <v>1141</v>
      </c>
      <c r="C12" t="s">
        <v>1115</v>
      </c>
      <c r="D12" t="s">
        <v>1119</v>
      </c>
      <c r="E12" t="s">
        <v>1112</v>
      </c>
      <c r="F12" t="s">
        <v>1142</v>
      </c>
      <c r="G12">
        <v>5</v>
      </c>
      <c r="H12">
        <v>3</v>
      </c>
      <c r="I12" s="11">
        <v>46049</v>
      </c>
      <c r="J12" s="17">
        <f>IF(Items[[#This Row],[ID]]="","",IFERROR(VALUE(LOOKUP(2,1/((Log[ID]=Items[[#This Row],[ID]])*(Log[Verb]="est")),Log[Arg])),N(Items[[#This Row],[Points]])))</f>
      </c>
      <c r="K12" s="17">
        <f>IF(Items[[#This Row],[ID]]="","",IFERROR(LOOKUP(2,1/((Log[ID]=Items[[#This Row],[ID]])*(Log[Verb]="pass")),Log[Arg])&amp;"",Items[[#This Row],[Team]]&amp;""))</f>
      </c>
      <c r="L12" s="17">
        <f>IF(Items[[#This Row],[ID]]="","",IFERROR(LOOKUP(2,1/((Log[ID]=Items[[#This Row],[ID]])*(Log[Into]&lt;&gt;"")),Log[Into]),""))</f>
      </c>
      <c r="M12" s="17">
        <f>IF(Items[[#This Row],[ID]]="","",IF(IFERROR(LOOKUP(2,1/((Log[ID]=Items[[#This Row],[ID]])*(Log[Blk]&lt;&gt;"")),Log[Blk]),0)=1,"Y",""))</f>
      </c>
      <c r="N12" s="17">
        <f>IF(Items[[#This Row],[ID]]="","",SUBSTITUTE(IFERROR(LOOKUP(2,1/((Log[ID]=Items[[#This Row],[ID]])*(Log[State]&lt;&gt;"")),Log[State]),"TODO"),"OPEN",IF(Items[[#This Row],[Blocked]]="Y","WAIT","OPEN")))</f>
      </c>
      <c r="O1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2" s="17">
        <f>IF(Items[[#This Row],[State]]&lt;&gt;"WAIT","",AsOf-Items[[#This Row],[Blocked since]])</f>
      </c>
      <c r="Q12" s="17">
        <f>IF(Items[[#This Row],[State]]&lt;&gt;"WAIT","",IFERROR(LOOKUP(2,1/((Log[ID]=Items[[#This Row],[ID]])*(Log[Verb]="block")),Log[Note])&amp;"",""))</f>
      </c>
      <c r="R12" s="17">
        <f>IF(Items[[#This Row],[ID]]="","",COUNTIFS(Log[ID],Items[[#This Row],[ID]],Log[Verb],"carry"))</f>
      </c>
      <c r="S12" s="17">
        <f>IF(Items[[#This Row],[ID]]="","",COUNTIFS(Log[ID],Items[[#This Row],[ID]],Log[Verb],"punt"))</f>
      </c>
      <c r="T12" s="11">
        <f>IF(Items[[#This Row],[State]]&lt;&gt;"DONE","",IFERROR(LOOKUP(2,1/((Log[ID]=Items[[#This Row],[ID]])*(Log[Verb]="done")),Log[Date]),""))</f>
      </c>
      <c r="U12" s="17">
        <f>IF(Items[[#This Row],[ID]]="","",IF(AND(Items[[#This Row],[Sprint]]=CurSprint,OR(Items[[#This Row],[State]]="OPEN",Items[[#This Row],[State]]="WAIT",Items[[#This Row],[State]]="HOLD",Items[[#This Row],[State]]="DONE")),1,0))</f>
      </c>
      <c r="V12" s="17">
        <f>IF(OR(Items[[#This Row],[ID]]="",Items[[#This Row],[Added]]=""),"",AsOf-Items[[#This Row],[Added]])</f>
      </c>
      <c r="W12" s="17">
        <f>IF(Items[[#This Row],[In sprint]]=1,(IF(Items[[#This Row],[Prio]]="",9,N(Items[[#This Row],[Prio]]))*10+(IF(Items[[#This Row],[State]]="DONE",1,0)))*100000+ROW(),"")</f>
      </c>
      <c r="X1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2" s="17">
        <f>IF(AND(Items[[#This Row],[State]]="DONE",N(Items[[#This Row],[Done on]])&gt;AsOf-7),(200000-N(Items[[#This Row],[Done on]]))*100000+ROW(),"")</f>
      </c>
    </row>
    <row r="13">
      <c r="A13" t="s">
        <v>184</v>
      </c>
      <c r="B13" t="s">
        <v>1143</v>
      </c>
      <c r="C13" t="s">
        <v>1115</v>
      </c>
      <c r="D13" t="s">
        <v>1116</v>
      </c>
      <c r="E13" t="s">
        <v>1112</v>
      </c>
      <c r="F13" t="s">
        <v>1144</v>
      </c>
      <c r="G13">
        <v>3</v>
      </c>
      <c r="H13">
        <v>1</v>
      </c>
      <c r="I13" s="11">
        <v>46049</v>
      </c>
      <c r="J13" s="17">
        <f>IF(Items[[#This Row],[ID]]="","",IFERROR(VALUE(LOOKUP(2,1/((Log[ID]=Items[[#This Row],[ID]])*(Log[Verb]="est")),Log[Arg])),N(Items[[#This Row],[Points]])))</f>
      </c>
      <c r="K13" s="17">
        <f>IF(Items[[#This Row],[ID]]="","",IFERROR(LOOKUP(2,1/((Log[ID]=Items[[#This Row],[ID]])*(Log[Verb]="pass")),Log[Arg])&amp;"",Items[[#This Row],[Team]]&amp;""))</f>
      </c>
      <c r="L13" s="17">
        <f>IF(Items[[#This Row],[ID]]="","",IFERROR(LOOKUP(2,1/((Log[ID]=Items[[#This Row],[ID]])*(Log[Into]&lt;&gt;"")),Log[Into]),""))</f>
      </c>
      <c r="M13" s="17">
        <f>IF(Items[[#This Row],[ID]]="","",IF(IFERROR(LOOKUP(2,1/((Log[ID]=Items[[#This Row],[ID]])*(Log[Blk]&lt;&gt;"")),Log[Blk]),0)=1,"Y",""))</f>
      </c>
      <c r="N13" s="17">
        <f>IF(Items[[#This Row],[ID]]="","",SUBSTITUTE(IFERROR(LOOKUP(2,1/((Log[ID]=Items[[#This Row],[ID]])*(Log[State]&lt;&gt;"")),Log[State]),"TODO"),"OPEN",IF(Items[[#This Row],[Blocked]]="Y","WAIT","OPEN")))</f>
      </c>
      <c r="O1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3" s="17">
        <f>IF(Items[[#This Row],[State]]&lt;&gt;"WAIT","",AsOf-Items[[#This Row],[Blocked since]])</f>
      </c>
      <c r="Q13" s="17">
        <f>IF(Items[[#This Row],[State]]&lt;&gt;"WAIT","",IFERROR(LOOKUP(2,1/((Log[ID]=Items[[#This Row],[ID]])*(Log[Verb]="block")),Log[Note])&amp;"",""))</f>
      </c>
      <c r="R13" s="17">
        <f>IF(Items[[#This Row],[ID]]="","",COUNTIFS(Log[ID],Items[[#This Row],[ID]],Log[Verb],"carry"))</f>
      </c>
      <c r="S13" s="17">
        <f>IF(Items[[#This Row],[ID]]="","",COUNTIFS(Log[ID],Items[[#This Row],[ID]],Log[Verb],"punt"))</f>
      </c>
      <c r="T13" s="11">
        <f>IF(Items[[#This Row],[State]]&lt;&gt;"DONE","",IFERROR(LOOKUP(2,1/((Log[ID]=Items[[#This Row],[ID]])*(Log[Verb]="done")),Log[Date]),""))</f>
      </c>
      <c r="U13" s="17">
        <f>IF(Items[[#This Row],[ID]]="","",IF(AND(Items[[#This Row],[Sprint]]=CurSprint,OR(Items[[#This Row],[State]]="OPEN",Items[[#This Row],[State]]="WAIT",Items[[#This Row],[State]]="HOLD",Items[[#This Row],[State]]="DONE")),1,0))</f>
      </c>
      <c r="V13" s="17">
        <f>IF(OR(Items[[#This Row],[ID]]="",Items[[#This Row],[Added]]=""),"",AsOf-Items[[#This Row],[Added]])</f>
      </c>
      <c r="W13" s="17">
        <f>IF(Items[[#This Row],[In sprint]]=1,(IF(Items[[#This Row],[Prio]]="",9,N(Items[[#This Row],[Prio]]))*10+(IF(Items[[#This Row],[State]]="DONE",1,0)))*100000+ROW(),"")</f>
      </c>
      <c r="X1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3" s="17">
        <f>IF(AND(Items[[#This Row],[State]]="DONE",N(Items[[#This Row],[Done on]])&gt;AsOf-7),(200000-N(Items[[#This Row],[Done on]]))*100000+ROW(),"")</f>
      </c>
    </row>
    <row r="14">
      <c r="A14" t="s">
        <v>185</v>
      </c>
      <c r="B14" t="s">
        <v>1145</v>
      </c>
      <c r="C14" t="s">
        <v>1107</v>
      </c>
      <c r="D14" t="s">
        <v>1123</v>
      </c>
      <c r="E14" t="s">
        <v>1112</v>
      </c>
      <c r="F14" t="s">
        <v>1113</v>
      </c>
      <c r="G14">
        <v>8</v>
      </c>
      <c r="H14">
        <v>2</v>
      </c>
      <c r="I14" s="11">
        <v>46049</v>
      </c>
      <c r="J14" s="17">
        <f>IF(Items[[#This Row],[ID]]="","",IFERROR(VALUE(LOOKUP(2,1/((Log[ID]=Items[[#This Row],[ID]])*(Log[Verb]="est")),Log[Arg])),N(Items[[#This Row],[Points]])))</f>
      </c>
      <c r="K14" s="17">
        <f>IF(Items[[#This Row],[ID]]="","",IFERROR(LOOKUP(2,1/((Log[ID]=Items[[#This Row],[ID]])*(Log[Verb]="pass")),Log[Arg])&amp;"",Items[[#This Row],[Team]]&amp;""))</f>
      </c>
      <c r="L14" s="17">
        <f>IF(Items[[#This Row],[ID]]="","",IFERROR(LOOKUP(2,1/((Log[ID]=Items[[#This Row],[ID]])*(Log[Into]&lt;&gt;"")),Log[Into]),""))</f>
      </c>
      <c r="M14" s="17">
        <f>IF(Items[[#This Row],[ID]]="","",IF(IFERROR(LOOKUP(2,1/((Log[ID]=Items[[#This Row],[ID]])*(Log[Blk]&lt;&gt;"")),Log[Blk]),0)=1,"Y",""))</f>
      </c>
      <c r="N14" s="17">
        <f>IF(Items[[#This Row],[ID]]="","",SUBSTITUTE(IFERROR(LOOKUP(2,1/((Log[ID]=Items[[#This Row],[ID]])*(Log[State]&lt;&gt;"")),Log[State]),"TODO"),"OPEN",IF(Items[[#This Row],[Blocked]]="Y","WAIT","OPEN")))</f>
      </c>
      <c r="O1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4" s="17">
        <f>IF(Items[[#This Row],[State]]&lt;&gt;"WAIT","",AsOf-Items[[#This Row],[Blocked since]])</f>
      </c>
      <c r="Q14" s="17">
        <f>IF(Items[[#This Row],[State]]&lt;&gt;"WAIT","",IFERROR(LOOKUP(2,1/((Log[ID]=Items[[#This Row],[ID]])*(Log[Verb]="block")),Log[Note])&amp;"",""))</f>
      </c>
      <c r="R14" s="17">
        <f>IF(Items[[#This Row],[ID]]="","",COUNTIFS(Log[ID],Items[[#This Row],[ID]],Log[Verb],"carry"))</f>
      </c>
      <c r="S14" s="17">
        <f>IF(Items[[#This Row],[ID]]="","",COUNTIFS(Log[ID],Items[[#This Row],[ID]],Log[Verb],"punt"))</f>
      </c>
      <c r="T14" s="11">
        <f>IF(Items[[#This Row],[State]]&lt;&gt;"DONE","",IFERROR(LOOKUP(2,1/((Log[ID]=Items[[#This Row],[ID]])*(Log[Verb]="done")),Log[Date]),""))</f>
      </c>
      <c r="U14" s="17">
        <f>IF(Items[[#This Row],[ID]]="","",IF(AND(Items[[#This Row],[Sprint]]=CurSprint,OR(Items[[#This Row],[State]]="OPEN",Items[[#This Row],[State]]="WAIT",Items[[#This Row],[State]]="HOLD",Items[[#This Row],[State]]="DONE")),1,0))</f>
      </c>
      <c r="V14" s="17">
        <f>IF(OR(Items[[#This Row],[ID]]="",Items[[#This Row],[Added]]=""),"",AsOf-Items[[#This Row],[Added]])</f>
      </c>
      <c r="W14" s="17">
        <f>IF(Items[[#This Row],[In sprint]]=1,(IF(Items[[#This Row],[Prio]]="",9,N(Items[[#This Row],[Prio]]))*10+(IF(Items[[#This Row],[State]]="DONE",1,0)))*100000+ROW(),"")</f>
      </c>
      <c r="X1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4" s="17">
        <f>IF(AND(Items[[#This Row],[State]]="DONE",N(Items[[#This Row],[Done on]])&gt;AsOf-7),(200000-N(Items[[#This Row],[Done on]]))*100000+ROW(),"")</f>
      </c>
    </row>
    <row r="15">
      <c r="A15" t="s">
        <v>186</v>
      </c>
      <c r="B15" t="s">
        <v>1146</v>
      </c>
      <c r="C15" t="s">
        <v>1107</v>
      </c>
      <c r="D15" t="s">
        <v>1127</v>
      </c>
      <c r="E15" t="s">
        <v>1112</v>
      </c>
      <c r="F15" t="s">
        <v>1147</v>
      </c>
      <c r="G15">
        <v>2</v>
      </c>
      <c r="H15">
        <v>3</v>
      </c>
      <c r="I15" s="11">
        <v>46049</v>
      </c>
      <c r="J15" s="17">
        <f>IF(Items[[#This Row],[ID]]="","",IFERROR(VALUE(LOOKUP(2,1/((Log[ID]=Items[[#This Row],[ID]])*(Log[Verb]="est")),Log[Arg])),N(Items[[#This Row],[Points]])))</f>
      </c>
      <c r="K15" s="17">
        <f>IF(Items[[#This Row],[ID]]="","",IFERROR(LOOKUP(2,1/((Log[ID]=Items[[#This Row],[ID]])*(Log[Verb]="pass")),Log[Arg])&amp;"",Items[[#This Row],[Team]]&amp;""))</f>
      </c>
      <c r="L15" s="17">
        <f>IF(Items[[#This Row],[ID]]="","",IFERROR(LOOKUP(2,1/((Log[ID]=Items[[#This Row],[ID]])*(Log[Into]&lt;&gt;"")),Log[Into]),""))</f>
      </c>
      <c r="M15" s="17">
        <f>IF(Items[[#This Row],[ID]]="","",IF(IFERROR(LOOKUP(2,1/((Log[ID]=Items[[#This Row],[ID]])*(Log[Blk]&lt;&gt;"")),Log[Blk]),0)=1,"Y",""))</f>
      </c>
      <c r="N15" s="17">
        <f>IF(Items[[#This Row],[ID]]="","",SUBSTITUTE(IFERROR(LOOKUP(2,1/((Log[ID]=Items[[#This Row],[ID]])*(Log[State]&lt;&gt;"")),Log[State]),"TODO"),"OPEN",IF(Items[[#This Row],[Blocked]]="Y","WAIT","OPEN")))</f>
      </c>
      <c r="O1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5" s="17">
        <f>IF(Items[[#This Row],[State]]&lt;&gt;"WAIT","",AsOf-Items[[#This Row],[Blocked since]])</f>
      </c>
      <c r="Q15" s="17">
        <f>IF(Items[[#This Row],[State]]&lt;&gt;"WAIT","",IFERROR(LOOKUP(2,1/((Log[ID]=Items[[#This Row],[ID]])*(Log[Verb]="block")),Log[Note])&amp;"",""))</f>
      </c>
      <c r="R15" s="17">
        <f>IF(Items[[#This Row],[ID]]="","",COUNTIFS(Log[ID],Items[[#This Row],[ID]],Log[Verb],"carry"))</f>
      </c>
      <c r="S15" s="17">
        <f>IF(Items[[#This Row],[ID]]="","",COUNTIFS(Log[ID],Items[[#This Row],[ID]],Log[Verb],"punt"))</f>
      </c>
      <c r="T15" s="11">
        <f>IF(Items[[#This Row],[State]]&lt;&gt;"DONE","",IFERROR(LOOKUP(2,1/((Log[ID]=Items[[#This Row],[ID]])*(Log[Verb]="done")),Log[Date]),""))</f>
      </c>
      <c r="U15" s="17">
        <f>IF(Items[[#This Row],[ID]]="","",IF(AND(Items[[#This Row],[Sprint]]=CurSprint,OR(Items[[#This Row],[State]]="OPEN",Items[[#This Row],[State]]="WAIT",Items[[#This Row],[State]]="HOLD",Items[[#This Row],[State]]="DONE")),1,0))</f>
      </c>
      <c r="V15" s="17">
        <f>IF(OR(Items[[#This Row],[ID]]="",Items[[#This Row],[Added]]=""),"",AsOf-Items[[#This Row],[Added]])</f>
      </c>
      <c r="W15" s="17">
        <f>IF(Items[[#This Row],[In sprint]]=1,(IF(Items[[#This Row],[Prio]]="",9,N(Items[[#This Row],[Prio]]))*10+(IF(Items[[#This Row],[State]]="DONE",1,0)))*100000+ROW(),"")</f>
      </c>
      <c r="X1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5" s="17">
        <f>IF(AND(Items[[#This Row],[State]]="DONE",N(Items[[#This Row],[Done on]])&gt;AsOf-7),(200000-N(Items[[#This Row],[Done on]]))*100000+ROW(),"")</f>
      </c>
    </row>
    <row r="16">
      <c r="A16" t="s">
        <v>187</v>
      </c>
      <c r="B16" t="s">
        <v>1148</v>
      </c>
      <c r="C16" t="s">
        <v>1107</v>
      </c>
      <c r="D16" t="s">
        <v>1127</v>
      </c>
      <c r="E16" t="s">
        <v>1112</v>
      </c>
      <c r="F16" t="s">
        <v>1149</v>
      </c>
      <c r="G16">
        <v>8</v>
      </c>
      <c r="H16">
        <v>2</v>
      </c>
      <c r="I16" s="11">
        <v>46049</v>
      </c>
      <c r="J16" s="17">
        <f>IF(Items[[#This Row],[ID]]="","",IFERROR(VALUE(LOOKUP(2,1/((Log[ID]=Items[[#This Row],[ID]])*(Log[Verb]="est")),Log[Arg])),N(Items[[#This Row],[Points]])))</f>
      </c>
      <c r="K16" s="17">
        <f>IF(Items[[#This Row],[ID]]="","",IFERROR(LOOKUP(2,1/((Log[ID]=Items[[#This Row],[ID]])*(Log[Verb]="pass")),Log[Arg])&amp;"",Items[[#This Row],[Team]]&amp;""))</f>
      </c>
      <c r="L16" s="17">
        <f>IF(Items[[#This Row],[ID]]="","",IFERROR(LOOKUP(2,1/((Log[ID]=Items[[#This Row],[ID]])*(Log[Into]&lt;&gt;"")),Log[Into]),""))</f>
      </c>
      <c r="M16" s="17">
        <f>IF(Items[[#This Row],[ID]]="","",IF(IFERROR(LOOKUP(2,1/((Log[ID]=Items[[#This Row],[ID]])*(Log[Blk]&lt;&gt;"")),Log[Blk]),0)=1,"Y",""))</f>
      </c>
      <c r="N16" s="17">
        <f>IF(Items[[#This Row],[ID]]="","",SUBSTITUTE(IFERROR(LOOKUP(2,1/((Log[ID]=Items[[#This Row],[ID]])*(Log[State]&lt;&gt;"")),Log[State]),"TODO"),"OPEN",IF(Items[[#This Row],[Blocked]]="Y","WAIT","OPEN")))</f>
      </c>
      <c r="O1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6" s="17">
        <f>IF(Items[[#This Row],[State]]&lt;&gt;"WAIT","",AsOf-Items[[#This Row],[Blocked since]])</f>
      </c>
      <c r="Q16" s="17">
        <f>IF(Items[[#This Row],[State]]&lt;&gt;"WAIT","",IFERROR(LOOKUP(2,1/((Log[ID]=Items[[#This Row],[ID]])*(Log[Verb]="block")),Log[Note])&amp;"",""))</f>
      </c>
      <c r="R16" s="17">
        <f>IF(Items[[#This Row],[ID]]="","",COUNTIFS(Log[ID],Items[[#This Row],[ID]],Log[Verb],"carry"))</f>
      </c>
      <c r="S16" s="17">
        <f>IF(Items[[#This Row],[ID]]="","",COUNTIFS(Log[ID],Items[[#This Row],[ID]],Log[Verb],"punt"))</f>
      </c>
      <c r="T16" s="11">
        <f>IF(Items[[#This Row],[State]]&lt;&gt;"DONE","",IFERROR(LOOKUP(2,1/((Log[ID]=Items[[#This Row],[ID]])*(Log[Verb]="done")),Log[Date]),""))</f>
      </c>
      <c r="U16" s="17">
        <f>IF(Items[[#This Row],[ID]]="","",IF(AND(Items[[#This Row],[Sprint]]=CurSprint,OR(Items[[#This Row],[State]]="OPEN",Items[[#This Row],[State]]="WAIT",Items[[#This Row],[State]]="HOLD",Items[[#This Row],[State]]="DONE")),1,0))</f>
      </c>
      <c r="V16" s="17">
        <f>IF(OR(Items[[#This Row],[ID]]="",Items[[#This Row],[Added]]=""),"",AsOf-Items[[#This Row],[Added]])</f>
      </c>
      <c r="W16" s="17">
        <f>IF(Items[[#This Row],[In sprint]]=1,(IF(Items[[#This Row],[Prio]]="",9,N(Items[[#This Row],[Prio]]))*10+(IF(Items[[#This Row],[State]]="DONE",1,0)))*100000+ROW(),"")</f>
      </c>
      <c r="X1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6" s="17">
        <f>IF(AND(Items[[#This Row],[State]]="DONE",N(Items[[#This Row],[Done on]])&gt;AsOf-7),(200000-N(Items[[#This Row],[Done on]]))*100000+ROW(),"")</f>
      </c>
    </row>
    <row r="17">
      <c r="A17" t="s">
        <v>171</v>
      </c>
      <c r="B17" t="s">
        <v>1150</v>
      </c>
      <c r="C17" t="s">
        <v>1107</v>
      </c>
      <c r="D17" t="s">
        <v>1123</v>
      </c>
      <c r="E17" t="s">
        <v>1120</v>
      </c>
      <c r="F17" t="s">
        <v>1151</v>
      </c>
      <c r="G17">
        <v>2</v>
      </c>
      <c r="H17">
        <v>3</v>
      </c>
      <c r="I17" s="11">
        <v>46049</v>
      </c>
      <c r="J17" s="17">
        <f>IF(Items[[#This Row],[ID]]="","",IFERROR(VALUE(LOOKUP(2,1/((Log[ID]=Items[[#This Row],[ID]])*(Log[Verb]="est")),Log[Arg])),N(Items[[#This Row],[Points]])))</f>
      </c>
      <c r="K17" s="17">
        <f>IF(Items[[#This Row],[ID]]="","",IFERROR(LOOKUP(2,1/((Log[ID]=Items[[#This Row],[ID]])*(Log[Verb]="pass")),Log[Arg])&amp;"",Items[[#This Row],[Team]]&amp;""))</f>
      </c>
      <c r="L17" s="17">
        <f>IF(Items[[#This Row],[ID]]="","",IFERROR(LOOKUP(2,1/((Log[ID]=Items[[#This Row],[ID]])*(Log[Into]&lt;&gt;"")),Log[Into]),""))</f>
      </c>
      <c r="M17" s="17">
        <f>IF(Items[[#This Row],[ID]]="","",IF(IFERROR(LOOKUP(2,1/((Log[ID]=Items[[#This Row],[ID]])*(Log[Blk]&lt;&gt;"")),Log[Blk]),0)=1,"Y",""))</f>
      </c>
      <c r="N17" s="17">
        <f>IF(Items[[#This Row],[ID]]="","",SUBSTITUTE(IFERROR(LOOKUP(2,1/((Log[ID]=Items[[#This Row],[ID]])*(Log[State]&lt;&gt;"")),Log[State]),"TODO"),"OPEN",IF(Items[[#This Row],[Blocked]]="Y","WAIT","OPEN")))</f>
      </c>
      <c r="O1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7" s="17">
        <f>IF(Items[[#This Row],[State]]&lt;&gt;"WAIT","",AsOf-Items[[#This Row],[Blocked since]])</f>
      </c>
      <c r="Q17" s="17">
        <f>IF(Items[[#This Row],[State]]&lt;&gt;"WAIT","",IFERROR(LOOKUP(2,1/((Log[ID]=Items[[#This Row],[ID]])*(Log[Verb]="block")),Log[Note])&amp;"",""))</f>
      </c>
      <c r="R17" s="17">
        <f>IF(Items[[#This Row],[ID]]="","",COUNTIFS(Log[ID],Items[[#This Row],[ID]],Log[Verb],"carry"))</f>
      </c>
      <c r="S17" s="17">
        <f>IF(Items[[#This Row],[ID]]="","",COUNTIFS(Log[ID],Items[[#This Row],[ID]],Log[Verb],"punt"))</f>
      </c>
      <c r="T17" s="11">
        <f>IF(Items[[#This Row],[State]]&lt;&gt;"DONE","",IFERROR(LOOKUP(2,1/((Log[ID]=Items[[#This Row],[ID]])*(Log[Verb]="done")),Log[Date]),""))</f>
      </c>
      <c r="U17" s="17">
        <f>IF(Items[[#This Row],[ID]]="","",IF(AND(Items[[#This Row],[Sprint]]=CurSprint,OR(Items[[#This Row],[State]]="OPEN",Items[[#This Row],[State]]="WAIT",Items[[#This Row],[State]]="HOLD",Items[[#This Row],[State]]="DONE")),1,0))</f>
      </c>
      <c r="V17" s="17">
        <f>IF(OR(Items[[#This Row],[ID]]="",Items[[#This Row],[Added]]=""),"",AsOf-Items[[#This Row],[Added]])</f>
      </c>
      <c r="W17" s="17">
        <f>IF(Items[[#This Row],[In sprint]]=1,(IF(Items[[#This Row],[Prio]]="",9,N(Items[[#This Row],[Prio]]))*10+(IF(Items[[#This Row],[State]]="DONE",1,0)))*100000+ROW(),"")</f>
      </c>
      <c r="X1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7" s="17">
        <f>IF(AND(Items[[#This Row],[State]]="DONE",N(Items[[#This Row],[Done on]])&gt;AsOf-7),(200000-N(Items[[#This Row],[Done on]]))*100000+ROW(),"")</f>
      </c>
    </row>
    <row r="18">
      <c r="A18" t="s">
        <v>172</v>
      </c>
      <c r="B18" t="s">
        <v>1152</v>
      </c>
      <c r="C18" t="s">
        <v>1107</v>
      </c>
      <c r="D18" t="s">
        <v>1127</v>
      </c>
      <c r="E18" t="s">
        <v>1120</v>
      </c>
      <c r="F18" t="s">
        <v>1153</v>
      </c>
      <c r="G18">
        <v>5</v>
      </c>
      <c r="H18">
        <v>3</v>
      </c>
      <c r="I18" s="11">
        <v>46049</v>
      </c>
      <c r="J18" s="17">
        <f>IF(Items[[#This Row],[ID]]="","",IFERROR(VALUE(LOOKUP(2,1/((Log[ID]=Items[[#This Row],[ID]])*(Log[Verb]="est")),Log[Arg])),N(Items[[#This Row],[Points]])))</f>
      </c>
      <c r="K18" s="17">
        <f>IF(Items[[#This Row],[ID]]="","",IFERROR(LOOKUP(2,1/((Log[ID]=Items[[#This Row],[ID]])*(Log[Verb]="pass")),Log[Arg])&amp;"",Items[[#This Row],[Team]]&amp;""))</f>
      </c>
      <c r="L18" s="17">
        <f>IF(Items[[#This Row],[ID]]="","",IFERROR(LOOKUP(2,1/((Log[ID]=Items[[#This Row],[ID]])*(Log[Into]&lt;&gt;"")),Log[Into]),""))</f>
      </c>
      <c r="M18" s="17">
        <f>IF(Items[[#This Row],[ID]]="","",IF(IFERROR(LOOKUP(2,1/((Log[ID]=Items[[#This Row],[ID]])*(Log[Blk]&lt;&gt;"")),Log[Blk]),0)=1,"Y",""))</f>
      </c>
      <c r="N18" s="17">
        <f>IF(Items[[#This Row],[ID]]="","",SUBSTITUTE(IFERROR(LOOKUP(2,1/((Log[ID]=Items[[#This Row],[ID]])*(Log[State]&lt;&gt;"")),Log[State]),"TODO"),"OPEN",IF(Items[[#This Row],[Blocked]]="Y","WAIT","OPEN")))</f>
      </c>
      <c r="O1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8" s="17">
        <f>IF(Items[[#This Row],[State]]&lt;&gt;"WAIT","",AsOf-Items[[#This Row],[Blocked since]])</f>
      </c>
      <c r="Q18" s="17">
        <f>IF(Items[[#This Row],[State]]&lt;&gt;"WAIT","",IFERROR(LOOKUP(2,1/((Log[ID]=Items[[#This Row],[ID]])*(Log[Verb]="block")),Log[Note])&amp;"",""))</f>
      </c>
      <c r="R18" s="17">
        <f>IF(Items[[#This Row],[ID]]="","",COUNTIFS(Log[ID],Items[[#This Row],[ID]],Log[Verb],"carry"))</f>
      </c>
      <c r="S18" s="17">
        <f>IF(Items[[#This Row],[ID]]="","",COUNTIFS(Log[ID],Items[[#This Row],[ID]],Log[Verb],"punt"))</f>
      </c>
      <c r="T18" s="11">
        <f>IF(Items[[#This Row],[State]]&lt;&gt;"DONE","",IFERROR(LOOKUP(2,1/((Log[ID]=Items[[#This Row],[ID]])*(Log[Verb]="done")),Log[Date]),""))</f>
      </c>
      <c r="U18" s="17">
        <f>IF(Items[[#This Row],[ID]]="","",IF(AND(Items[[#This Row],[Sprint]]=CurSprint,OR(Items[[#This Row],[State]]="OPEN",Items[[#This Row],[State]]="WAIT",Items[[#This Row],[State]]="HOLD",Items[[#This Row],[State]]="DONE")),1,0))</f>
      </c>
      <c r="V18" s="17">
        <f>IF(OR(Items[[#This Row],[ID]]="",Items[[#This Row],[Added]]=""),"",AsOf-Items[[#This Row],[Added]])</f>
      </c>
      <c r="W18" s="17">
        <f>IF(Items[[#This Row],[In sprint]]=1,(IF(Items[[#This Row],[Prio]]="",9,N(Items[[#This Row],[Prio]]))*10+(IF(Items[[#This Row],[State]]="DONE",1,0)))*100000+ROW(),"")</f>
      </c>
      <c r="X1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8" s="17">
        <f>IF(AND(Items[[#This Row],[State]]="DONE",N(Items[[#This Row],[Done on]])&gt;AsOf-7),(200000-N(Items[[#This Row],[Done on]]))*100000+ROW(),"")</f>
      </c>
    </row>
    <row r="19">
      <c r="A19" t="s">
        <v>165</v>
      </c>
      <c r="B19" t="s">
        <v>1154</v>
      </c>
      <c r="C19" t="s">
        <v>1115</v>
      </c>
      <c r="D19" t="s">
        <v>1116</v>
      </c>
      <c r="E19" t="s">
        <v>1124</v>
      </c>
      <c r="F19" t="s">
        <v>1155</v>
      </c>
      <c r="G19">
        <v>2</v>
      </c>
      <c r="H19">
        <v>3</v>
      </c>
      <c r="I19" s="11">
        <v>46049</v>
      </c>
      <c r="J19" s="17">
        <f>IF(Items[[#This Row],[ID]]="","",IFERROR(VALUE(LOOKUP(2,1/((Log[ID]=Items[[#This Row],[ID]])*(Log[Verb]="est")),Log[Arg])),N(Items[[#This Row],[Points]])))</f>
      </c>
      <c r="K19" s="17">
        <f>IF(Items[[#This Row],[ID]]="","",IFERROR(LOOKUP(2,1/((Log[ID]=Items[[#This Row],[ID]])*(Log[Verb]="pass")),Log[Arg])&amp;"",Items[[#This Row],[Team]]&amp;""))</f>
      </c>
      <c r="L19" s="17">
        <f>IF(Items[[#This Row],[ID]]="","",IFERROR(LOOKUP(2,1/((Log[ID]=Items[[#This Row],[ID]])*(Log[Into]&lt;&gt;"")),Log[Into]),""))</f>
      </c>
      <c r="M19" s="17">
        <f>IF(Items[[#This Row],[ID]]="","",IF(IFERROR(LOOKUP(2,1/((Log[ID]=Items[[#This Row],[ID]])*(Log[Blk]&lt;&gt;"")),Log[Blk]),0)=1,"Y",""))</f>
      </c>
      <c r="N19" s="17">
        <f>IF(Items[[#This Row],[ID]]="","",SUBSTITUTE(IFERROR(LOOKUP(2,1/((Log[ID]=Items[[#This Row],[ID]])*(Log[State]&lt;&gt;"")),Log[State]),"TODO"),"OPEN",IF(Items[[#This Row],[Blocked]]="Y","WAIT","OPEN")))</f>
      </c>
      <c r="O1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9" s="17">
        <f>IF(Items[[#This Row],[State]]&lt;&gt;"WAIT","",AsOf-Items[[#This Row],[Blocked since]])</f>
      </c>
      <c r="Q19" s="17">
        <f>IF(Items[[#This Row],[State]]&lt;&gt;"WAIT","",IFERROR(LOOKUP(2,1/((Log[ID]=Items[[#This Row],[ID]])*(Log[Verb]="block")),Log[Note])&amp;"",""))</f>
      </c>
      <c r="R19" s="17">
        <f>IF(Items[[#This Row],[ID]]="","",COUNTIFS(Log[ID],Items[[#This Row],[ID]],Log[Verb],"carry"))</f>
      </c>
      <c r="S19" s="17">
        <f>IF(Items[[#This Row],[ID]]="","",COUNTIFS(Log[ID],Items[[#This Row],[ID]],Log[Verb],"punt"))</f>
      </c>
      <c r="T19" s="11">
        <f>IF(Items[[#This Row],[State]]&lt;&gt;"DONE","",IFERROR(LOOKUP(2,1/((Log[ID]=Items[[#This Row],[ID]])*(Log[Verb]="done")),Log[Date]),""))</f>
      </c>
      <c r="U19" s="17">
        <f>IF(Items[[#This Row],[ID]]="","",IF(AND(Items[[#This Row],[Sprint]]=CurSprint,OR(Items[[#This Row],[State]]="OPEN",Items[[#This Row],[State]]="WAIT",Items[[#This Row],[State]]="HOLD",Items[[#This Row],[State]]="DONE")),1,0))</f>
      </c>
      <c r="V19" s="17">
        <f>IF(OR(Items[[#This Row],[ID]]="",Items[[#This Row],[Added]]=""),"",AsOf-Items[[#This Row],[Added]])</f>
      </c>
      <c r="W19" s="17">
        <f>IF(Items[[#This Row],[In sprint]]=1,(IF(Items[[#This Row],[Prio]]="",9,N(Items[[#This Row],[Prio]]))*10+(IF(Items[[#This Row],[State]]="DONE",1,0)))*100000+ROW(),"")</f>
      </c>
      <c r="X1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9" s="17">
        <f>IF(AND(Items[[#This Row],[State]]="DONE",N(Items[[#This Row],[Done on]])&gt;AsOf-7),(200000-N(Items[[#This Row],[Done on]]))*100000+ROW(),"")</f>
      </c>
    </row>
    <row r="20">
      <c r="A20" t="s">
        <v>173</v>
      </c>
      <c r="B20" t="s">
        <v>1156</v>
      </c>
      <c r="C20" t="s">
        <v>1107</v>
      </c>
      <c r="D20" t="s">
        <v>1127</v>
      </c>
      <c r="E20" t="s">
        <v>1124</v>
      </c>
      <c r="F20" t="s">
        <v>1157</v>
      </c>
      <c r="G20">
        <v>5</v>
      </c>
      <c r="H20">
        <v>2</v>
      </c>
      <c r="I20" s="11">
        <v>46049</v>
      </c>
      <c r="J20" s="17">
        <f>IF(Items[[#This Row],[ID]]="","",IFERROR(VALUE(LOOKUP(2,1/((Log[ID]=Items[[#This Row],[ID]])*(Log[Verb]="est")),Log[Arg])),N(Items[[#This Row],[Points]])))</f>
      </c>
      <c r="K20" s="17">
        <f>IF(Items[[#This Row],[ID]]="","",IFERROR(LOOKUP(2,1/((Log[ID]=Items[[#This Row],[ID]])*(Log[Verb]="pass")),Log[Arg])&amp;"",Items[[#This Row],[Team]]&amp;""))</f>
      </c>
      <c r="L20" s="17">
        <f>IF(Items[[#This Row],[ID]]="","",IFERROR(LOOKUP(2,1/((Log[ID]=Items[[#This Row],[ID]])*(Log[Into]&lt;&gt;"")),Log[Into]),""))</f>
      </c>
      <c r="M20" s="17">
        <f>IF(Items[[#This Row],[ID]]="","",IF(IFERROR(LOOKUP(2,1/((Log[ID]=Items[[#This Row],[ID]])*(Log[Blk]&lt;&gt;"")),Log[Blk]),0)=1,"Y",""))</f>
      </c>
      <c r="N20" s="17">
        <f>IF(Items[[#This Row],[ID]]="","",SUBSTITUTE(IFERROR(LOOKUP(2,1/((Log[ID]=Items[[#This Row],[ID]])*(Log[State]&lt;&gt;"")),Log[State]),"TODO"),"OPEN",IF(Items[[#This Row],[Blocked]]="Y","WAIT","OPEN")))</f>
      </c>
      <c r="O2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0" s="17">
        <f>IF(Items[[#This Row],[State]]&lt;&gt;"WAIT","",AsOf-Items[[#This Row],[Blocked since]])</f>
      </c>
      <c r="Q20" s="17">
        <f>IF(Items[[#This Row],[State]]&lt;&gt;"WAIT","",IFERROR(LOOKUP(2,1/((Log[ID]=Items[[#This Row],[ID]])*(Log[Verb]="block")),Log[Note])&amp;"",""))</f>
      </c>
      <c r="R20" s="17">
        <f>IF(Items[[#This Row],[ID]]="","",COUNTIFS(Log[ID],Items[[#This Row],[ID]],Log[Verb],"carry"))</f>
      </c>
      <c r="S20" s="17">
        <f>IF(Items[[#This Row],[ID]]="","",COUNTIFS(Log[ID],Items[[#This Row],[ID]],Log[Verb],"punt"))</f>
      </c>
      <c r="T20" s="11">
        <f>IF(Items[[#This Row],[State]]&lt;&gt;"DONE","",IFERROR(LOOKUP(2,1/((Log[ID]=Items[[#This Row],[ID]])*(Log[Verb]="done")),Log[Date]),""))</f>
      </c>
      <c r="U20" s="17">
        <f>IF(Items[[#This Row],[ID]]="","",IF(AND(Items[[#This Row],[Sprint]]=CurSprint,OR(Items[[#This Row],[State]]="OPEN",Items[[#This Row],[State]]="WAIT",Items[[#This Row],[State]]="HOLD",Items[[#This Row],[State]]="DONE")),1,0))</f>
      </c>
      <c r="V20" s="17">
        <f>IF(OR(Items[[#This Row],[ID]]="",Items[[#This Row],[Added]]=""),"",AsOf-Items[[#This Row],[Added]])</f>
      </c>
      <c r="W20" s="17">
        <f>IF(Items[[#This Row],[In sprint]]=1,(IF(Items[[#This Row],[Prio]]="",9,N(Items[[#This Row],[Prio]]))*10+(IF(Items[[#This Row],[State]]="DONE",1,0)))*100000+ROW(),"")</f>
      </c>
      <c r="X2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0" s="17">
        <f>IF(AND(Items[[#This Row],[State]]="DONE",N(Items[[#This Row],[Done on]])&gt;AsOf-7),(200000-N(Items[[#This Row],[Done on]]))*100000+ROW(),"")</f>
      </c>
    </row>
    <row r="21">
      <c r="A21" t="s">
        <v>199</v>
      </c>
      <c r="B21" t="s">
        <v>1158</v>
      </c>
      <c r="C21" t="s">
        <v>1115</v>
      </c>
      <c r="D21" t="s">
        <v>1116</v>
      </c>
      <c r="E21" t="s">
        <v>1159</v>
      </c>
      <c r="F21" t="s">
        <v>1160</v>
      </c>
      <c r="G21">
        <v>8</v>
      </c>
      <c r="H21">
        <v>3</v>
      </c>
      <c r="I21" s="11">
        <v>46049</v>
      </c>
      <c r="J21" s="17">
        <f>IF(Items[[#This Row],[ID]]="","",IFERROR(VALUE(LOOKUP(2,1/((Log[ID]=Items[[#This Row],[ID]])*(Log[Verb]="est")),Log[Arg])),N(Items[[#This Row],[Points]])))</f>
      </c>
      <c r="K21" s="17">
        <f>IF(Items[[#This Row],[ID]]="","",IFERROR(LOOKUP(2,1/((Log[ID]=Items[[#This Row],[ID]])*(Log[Verb]="pass")),Log[Arg])&amp;"",Items[[#This Row],[Team]]&amp;""))</f>
      </c>
      <c r="L21" s="17">
        <f>IF(Items[[#This Row],[ID]]="","",IFERROR(LOOKUP(2,1/((Log[ID]=Items[[#This Row],[ID]])*(Log[Into]&lt;&gt;"")),Log[Into]),""))</f>
      </c>
      <c r="M21" s="17">
        <f>IF(Items[[#This Row],[ID]]="","",IF(IFERROR(LOOKUP(2,1/((Log[ID]=Items[[#This Row],[ID]])*(Log[Blk]&lt;&gt;"")),Log[Blk]),0)=1,"Y",""))</f>
      </c>
      <c r="N21" s="17">
        <f>IF(Items[[#This Row],[ID]]="","",SUBSTITUTE(IFERROR(LOOKUP(2,1/((Log[ID]=Items[[#This Row],[ID]])*(Log[State]&lt;&gt;"")),Log[State]),"TODO"),"OPEN",IF(Items[[#This Row],[Blocked]]="Y","WAIT","OPEN")))</f>
      </c>
      <c r="O2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1" s="17">
        <f>IF(Items[[#This Row],[State]]&lt;&gt;"WAIT","",AsOf-Items[[#This Row],[Blocked since]])</f>
      </c>
      <c r="Q21" s="17">
        <f>IF(Items[[#This Row],[State]]&lt;&gt;"WAIT","",IFERROR(LOOKUP(2,1/((Log[ID]=Items[[#This Row],[ID]])*(Log[Verb]="block")),Log[Note])&amp;"",""))</f>
      </c>
      <c r="R21" s="17">
        <f>IF(Items[[#This Row],[ID]]="","",COUNTIFS(Log[ID],Items[[#This Row],[ID]],Log[Verb],"carry"))</f>
      </c>
      <c r="S21" s="17">
        <f>IF(Items[[#This Row],[ID]]="","",COUNTIFS(Log[ID],Items[[#This Row],[ID]],Log[Verb],"punt"))</f>
      </c>
      <c r="T21" s="11">
        <f>IF(Items[[#This Row],[State]]&lt;&gt;"DONE","",IFERROR(LOOKUP(2,1/((Log[ID]=Items[[#This Row],[ID]])*(Log[Verb]="done")),Log[Date]),""))</f>
      </c>
      <c r="U21" s="17">
        <f>IF(Items[[#This Row],[ID]]="","",IF(AND(Items[[#This Row],[Sprint]]=CurSprint,OR(Items[[#This Row],[State]]="OPEN",Items[[#This Row],[State]]="WAIT",Items[[#This Row],[State]]="HOLD",Items[[#This Row],[State]]="DONE")),1,0))</f>
      </c>
      <c r="V21" s="17">
        <f>IF(OR(Items[[#This Row],[ID]]="",Items[[#This Row],[Added]]=""),"",AsOf-Items[[#This Row],[Added]])</f>
      </c>
      <c r="W21" s="17">
        <f>IF(Items[[#This Row],[In sprint]]=1,(IF(Items[[#This Row],[Prio]]="",9,N(Items[[#This Row],[Prio]]))*10+(IF(Items[[#This Row],[State]]="DONE",1,0)))*100000+ROW(),"")</f>
      </c>
      <c r="X2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1" s="17">
        <f>IF(AND(Items[[#This Row],[State]]="DONE",N(Items[[#This Row],[Done on]])&gt;AsOf-7),(200000-N(Items[[#This Row],[Done on]]))*100000+ROW(),"")</f>
      </c>
    </row>
    <row r="22">
      <c r="A22" t="s">
        <v>204</v>
      </c>
      <c r="B22" t="s">
        <v>1161</v>
      </c>
      <c r="C22" t="s">
        <v>1107</v>
      </c>
      <c r="D22" t="s">
        <v>1108</v>
      </c>
      <c r="E22" t="s">
        <v>1128</v>
      </c>
      <c r="F22" t="s">
        <v>1162</v>
      </c>
      <c r="G22">
        <v>8</v>
      </c>
      <c r="H22">
        <v>1</v>
      </c>
      <c r="I22" s="11">
        <v>46049</v>
      </c>
      <c r="J22" s="17">
        <f>IF(Items[[#This Row],[ID]]="","",IFERROR(VALUE(LOOKUP(2,1/((Log[ID]=Items[[#This Row],[ID]])*(Log[Verb]="est")),Log[Arg])),N(Items[[#This Row],[Points]])))</f>
      </c>
      <c r="K22" s="17">
        <f>IF(Items[[#This Row],[ID]]="","",IFERROR(LOOKUP(2,1/((Log[ID]=Items[[#This Row],[ID]])*(Log[Verb]="pass")),Log[Arg])&amp;"",Items[[#This Row],[Team]]&amp;""))</f>
      </c>
      <c r="L22" s="17">
        <f>IF(Items[[#This Row],[ID]]="","",IFERROR(LOOKUP(2,1/((Log[ID]=Items[[#This Row],[ID]])*(Log[Into]&lt;&gt;"")),Log[Into]),""))</f>
      </c>
      <c r="M22" s="17">
        <f>IF(Items[[#This Row],[ID]]="","",IF(IFERROR(LOOKUP(2,1/((Log[ID]=Items[[#This Row],[ID]])*(Log[Blk]&lt;&gt;"")),Log[Blk]),0)=1,"Y",""))</f>
      </c>
      <c r="N22" s="17">
        <f>IF(Items[[#This Row],[ID]]="","",SUBSTITUTE(IFERROR(LOOKUP(2,1/((Log[ID]=Items[[#This Row],[ID]])*(Log[State]&lt;&gt;"")),Log[State]),"TODO"),"OPEN",IF(Items[[#This Row],[Blocked]]="Y","WAIT","OPEN")))</f>
      </c>
      <c r="O2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2" s="17">
        <f>IF(Items[[#This Row],[State]]&lt;&gt;"WAIT","",AsOf-Items[[#This Row],[Blocked since]])</f>
      </c>
      <c r="Q22" s="17">
        <f>IF(Items[[#This Row],[State]]&lt;&gt;"WAIT","",IFERROR(LOOKUP(2,1/((Log[ID]=Items[[#This Row],[ID]])*(Log[Verb]="block")),Log[Note])&amp;"",""))</f>
      </c>
      <c r="R22" s="17">
        <f>IF(Items[[#This Row],[ID]]="","",COUNTIFS(Log[ID],Items[[#This Row],[ID]],Log[Verb],"carry"))</f>
      </c>
      <c r="S22" s="17">
        <f>IF(Items[[#This Row],[ID]]="","",COUNTIFS(Log[ID],Items[[#This Row],[ID]],Log[Verb],"punt"))</f>
      </c>
      <c r="T22" s="11">
        <f>IF(Items[[#This Row],[State]]&lt;&gt;"DONE","",IFERROR(LOOKUP(2,1/((Log[ID]=Items[[#This Row],[ID]])*(Log[Verb]="done")),Log[Date]),""))</f>
      </c>
      <c r="U22" s="17">
        <f>IF(Items[[#This Row],[ID]]="","",IF(AND(Items[[#This Row],[Sprint]]=CurSprint,OR(Items[[#This Row],[State]]="OPEN",Items[[#This Row],[State]]="WAIT",Items[[#This Row],[State]]="HOLD",Items[[#This Row],[State]]="DONE")),1,0))</f>
      </c>
      <c r="V22" s="17">
        <f>IF(OR(Items[[#This Row],[ID]]="",Items[[#This Row],[Added]]=""),"",AsOf-Items[[#This Row],[Added]])</f>
      </c>
      <c r="W22" s="17">
        <f>IF(Items[[#This Row],[In sprint]]=1,(IF(Items[[#This Row],[Prio]]="",9,N(Items[[#This Row],[Prio]]))*10+(IF(Items[[#This Row],[State]]="DONE",1,0)))*100000+ROW(),"")</f>
      </c>
      <c r="X2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2" s="17">
        <f>IF(AND(Items[[#This Row],[State]]="DONE",N(Items[[#This Row],[Done on]])&gt;AsOf-7),(200000-N(Items[[#This Row],[Done on]]))*100000+ROW(),"")</f>
      </c>
    </row>
    <row r="23">
      <c r="A23" t="s">
        <v>205</v>
      </c>
      <c r="B23" t="s">
        <v>1163</v>
      </c>
      <c r="C23" t="s">
        <v>1115</v>
      </c>
      <c r="D23" t="s">
        <v>1116</v>
      </c>
      <c r="E23" t="s">
        <v>1128</v>
      </c>
      <c r="F23" t="s">
        <v>1164</v>
      </c>
      <c r="G23">
        <v>5</v>
      </c>
      <c r="H23">
        <v>3</v>
      </c>
      <c r="I23" s="11">
        <v>46049</v>
      </c>
      <c r="J23" s="17">
        <f>IF(Items[[#This Row],[ID]]="","",IFERROR(VALUE(LOOKUP(2,1/((Log[ID]=Items[[#This Row],[ID]])*(Log[Verb]="est")),Log[Arg])),N(Items[[#This Row],[Points]])))</f>
      </c>
      <c r="K23" s="17">
        <f>IF(Items[[#This Row],[ID]]="","",IFERROR(LOOKUP(2,1/((Log[ID]=Items[[#This Row],[ID]])*(Log[Verb]="pass")),Log[Arg])&amp;"",Items[[#This Row],[Team]]&amp;""))</f>
      </c>
      <c r="L23" s="17">
        <f>IF(Items[[#This Row],[ID]]="","",IFERROR(LOOKUP(2,1/((Log[ID]=Items[[#This Row],[ID]])*(Log[Into]&lt;&gt;"")),Log[Into]),""))</f>
      </c>
      <c r="M23" s="17">
        <f>IF(Items[[#This Row],[ID]]="","",IF(IFERROR(LOOKUP(2,1/((Log[ID]=Items[[#This Row],[ID]])*(Log[Blk]&lt;&gt;"")),Log[Blk]),0)=1,"Y",""))</f>
      </c>
      <c r="N23" s="17">
        <f>IF(Items[[#This Row],[ID]]="","",SUBSTITUTE(IFERROR(LOOKUP(2,1/((Log[ID]=Items[[#This Row],[ID]])*(Log[State]&lt;&gt;"")),Log[State]),"TODO"),"OPEN",IF(Items[[#This Row],[Blocked]]="Y","WAIT","OPEN")))</f>
      </c>
      <c r="O2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3" s="17">
        <f>IF(Items[[#This Row],[State]]&lt;&gt;"WAIT","",AsOf-Items[[#This Row],[Blocked since]])</f>
      </c>
      <c r="Q23" s="17">
        <f>IF(Items[[#This Row],[State]]&lt;&gt;"WAIT","",IFERROR(LOOKUP(2,1/((Log[ID]=Items[[#This Row],[ID]])*(Log[Verb]="block")),Log[Note])&amp;"",""))</f>
      </c>
      <c r="R23" s="17">
        <f>IF(Items[[#This Row],[ID]]="","",COUNTIFS(Log[ID],Items[[#This Row],[ID]],Log[Verb],"carry"))</f>
      </c>
      <c r="S23" s="17">
        <f>IF(Items[[#This Row],[ID]]="","",COUNTIFS(Log[ID],Items[[#This Row],[ID]],Log[Verb],"punt"))</f>
      </c>
      <c r="T23" s="11">
        <f>IF(Items[[#This Row],[State]]&lt;&gt;"DONE","",IFERROR(LOOKUP(2,1/((Log[ID]=Items[[#This Row],[ID]])*(Log[Verb]="done")),Log[Date]),""))</f>
      </c>
      <c r="U23" s="17">
        <f>IF(Items[[#This Row],[ID]]="","",IF(AND(Items[[#This Row],[Sprint]]=CurSprint,OR(Items[[#This Row],[State]]="OPEN",Items[[#This Row],[State]]="WAIT",Items[[#This Row],[State]]="HOLD",Items[[#This Row],[State]]="DONE")),1,0))</f>
      </c>
      <c r="V23" s="17">
        <f>IF(OR(Items[[#This Row],[ID]]="",Items[[#This Row],[Added]]=""),"",AsOf-Items[[#This Row],[Added]])</f>
      </c>
      <c r="W23" s="17">
        <f>IF(Items[[#This Row],[In sprint]]=1,(IF(Items[[#This Row],[Prio]]="",9,N(Items[[#This Row],[Prio]]))*10+(IF(Items[[#This Row],[State]]="DONE",1,0)))*100000+ROW(),"")</f>
      </c>
      <c r="X2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3" s="17">
        <f>IF(AND(Items[[#This Row],[State]]="DONE",N(Items[[#This Row],[Done on]])&gt;AsOf-7),(200000-N(Items[[#This Row],[Done on]]))*100000+ROW(),"")</f>
      </c>
    </row>
    <row r="24">
      <c r="A24" t="s">
        <v>178</v>
      </c>
      <c r="B24" t="s">
        <v>1165</v>
      </c>
      <c r="C24" t="s">
        <v>1115</v>
      </c>
      <c r="D24" t="s">
        <v>1116</v>
      </c>
      <c r="E24" t="s">
        <v>1131</v>
      </c>
      <c r="F24" t="s">
        <v>1166</v>
      </c>
      <c r="G24">
        <v>8</v>
      </c>
      <c r="H24">
        <v>2</v>
      </c>
      <c r="I24" s="11">
        <v>46049</v>
      </c>
      <c r="J24" s="17">
        <f>IF(Items[[#This Row],[ID]]="","",IFERROR(VALUE(LOOKUP(2,1/((Log[ID]=Items[[#This Row],[ID]])*(Log[Verb]="est")),Log[Arg])),N(Items[[#This Row],[Points]])))</f>
      </c>
      <c r="K24" s="17">
        <f>IF(Items[[#This Row],[ID]]="","",IFERROR(LOOKUP(2,1/((Log[ID]=Items[[#This Row],[ID]])*(Log[Verb]="pass")),Log[Arg])&amp;"",Items[[#This Row],[Team]]&amp;""))</f>
      </c>
      <c r="L24" s="17">
        <f>IF(Items[[#This Row],[ID]]="","",IFERROR(LOOKUP(2,1/((Log[ID]=Items[[#This Row],[ID]])*(Log[Into]&lt;&gt;"")),Log[Into]),""))</f>
      </c>
      <c r="M24" s="17">
        <f>IF(Items[[#This Row],[ID]]="","",IF(IFERROR(LOOKUP(2,1/((Log[ID]=Items[[#This Row],[ID]])*(Log[Blk]&lt;&gt;"")),Log[Blk]),0)=1,"Y",""))</f>
      </c>
      <c r="N24" s="17">
        <f>IF(Items[[#This Row],[ID]]="","",SUBSTITUTE(IFERROR(LOOKUP(2,1/((Log[ID]=Items[[#This Row],[ID]])*(Log[State]&lt;&gt;"")),Log[State]),"TODO"),"OPEN",IF(Items[[#This Row],[Blocked]]="Y","WAIT","OPEN")))</f>
      </c>
      <c r="O2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4" s="17">
        <f>IF(Items[[#This Row],[State]]&lt;&gt;"WAIT","",AsOf-Items[[#This Row],[Blocked since]])</f>
      </c>
      <c r="Q24" s="17">
        <f>IF(Items[[#This Row],[State]]&lt;&gt;"WAIT","",IFERROR(LOOKUP(2,1/((Log[ID]=Items[[#This Row],[ID]])*(Log[Verb]="block")),Log[Note])&amp;"",""))</f>
      </c>
      <c r="R24" s="17">
        <f>IF(Items[[#This Row],[ID]]="","",COUNTIFS(Log[ID],Items[[#This Row],[ID]],Log[Verb],"carry"))</f>
      </c>
      <c r="S24" s="17">
        <f>IF(Items[[#This Row],[ID]]="","",COUNTIFS(Log[ID],Items[[#This Row],[ID]],Log[Verb],"punt"))</f>
      </c>
      <c r="T24" s="11">
        <f>IF(Items[[#This Row],[State]]&lt;&gt;"DONE","",IFERROR(LOOKUP(2,1/((Log[ID]=Items[[#This Row],[ID]])*(Log[Verb]="done")),Log[Date]),""))</f>
      </c>
      <c r="U24" s="17">
        <f>IF(Items[[#This Row],[ID]]="","",IF(AND(Items[[#This Row],[Sprint]]=CurSprint,OR(Items[[#This Row],[State]]="OPEN",Items[[#This Row],[State]]="WAIT",Items[[#This Row],[State]]="HOLD",Items[[#This Row],[State]]="DONE")),1,0))</f>
      </c>
      <c r="V24" s="17">
        <f>IF(OR(Items[[#This Row],[ID]]="",Items[[#This Row],[Added]]=""),"",AsOf-Items[[#This Row],[Added]])</f>
      </c>
      <c r="W24" s="17">
        <f>IF(Items[[#This Row],[In sprint]]=1,(IF(Items[[#This Row],[Prio]]="",9,N(Items[[#This Row],[Prio]]))*10+(IF(Items[[#This Row],[State]]="DONE",1,0)))*100000+ROW(),"")</f>
      </c>
      <c r="X2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4" s="17">
        <f>IF(AND(Items[[#This Row],[State]]="DONE",N(Items[[#This Row],[Done on]])&gt;AsOf-7),(200000-N(Items[[#This Row],[Done on]]))*100000+ROW(),"")</f>
      </c>
    </row>
    <row r="25">
      <c r="A25" t="s">
        <v>214</v>
      </c>
      <c r="B25" t="s">
        <v>1167</v>
      </c>
      <c r="C25" t="s">
        <v>1107</v>
      </c>
      <c r="D25" t="s">
        <v>1127</v>
      </c>
      <c r="E25" t="s">
        <v>1131</v>
      </c>
      <c r="F25" t="s">
        <v>1168</v>
      </c>
      <c r="G25">
        <v>3</v>
      </c>
      <c r="H25">
        <v>3</v>
      </c>
      <c r="I25" s="11">
        <v>46049</v>
      </c>
      <c r="J25" s="17">
        <f>IF(Items[[#This Row],[ID]]="","",IFERROR(VALUE(LOOKUP(2,1/((Log[ID]=Items[[#This Row],[ID]])*(Log[Verb]="est")),Log[Arg])),N(Items[[#This Row],[Points]])))</f>
      </c>
      <c r="K25" s="17">
        <f>IF(Items[[#This Row],[ID]]="","",IFERROR(LOOKUP(2,1/((Log[ID]=Items[[#This Row],[ID]])*(Log[Verb]="pass")),Log[Arg])&amp;"",Items[[#This Row],[Team]]&amp;""))</f>
      </c>
      <c r="L25" s="17">
        <f>IF(Items[[#This Row],[ID]]="","",IFERROR(LOOKUP(2,1/((Log[ID]=Items[[#This Row],[ID]])*(Log[Into]&lt;&gt;"")),Log[Into]),""))</f>
      </c>
      <c r="M25" s="17">
        <f>IF(Items[[#This Row],[ID]]="","",IF(IFERROR(LOOKUP(2,1/((Log[ID]=Items[[#This Row],[ID]])*(Log[Blk]&lt;&gt;"")),Log[Blk]),0)=1,"Y",""))</f>
      </c>
      <c r="N25" s="17">
        <f>IF(Items[[#This Row],[ID]]="","",SUBSTITUTE(IFERROR(LOOKUP(2,1/((Log[ID]=Items[[#This Row],[ID]])*(Log[State]&lt;&gt;"")),Log[State]),"TODO"),"OPEN",IF(Items[[#This Row],[Blocked]]="Y","WAIT","OPEN")))</f>
      </c>
      <c r="O2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5" s="17">
        <f>IF(Items[[#This Row],[State]]&lt;&gt;"WAIT","",AsOf-Items[[#This Row],[Blocked since]])</f>
      </c>
      <c r="Q25" s="17">
        <f>IF(Items[[#This Row],[State]]&lt;&gt;"WAIT","",IFERROR(LOOKUP(2,1/((Log[ID]=Items[[#This Row],[ID]])*(Log[Verb]="block")),Log[Note])&amp;"",""))</f>
      </c>
      <c r="R25" s="17">
        <f>IF(Items[[#This Row],[ID]]="","",COUNTIFS(Log[ID],Items[[#This Row],[ID]],Log[Verb],"carry"))</f>
      </c>
      <c r="S25" s="17">
        <f>IF(Items[[#This Row],[ID]]="","",COUNTIFS(Log[ID],Items[[#This Row],[ID]],Log[Verb],"punt"))</f>
      </c>
      <c r="T25" s="11">
        <f>IF(Items[[#This Row],[State]]&lt;&gt;"DONE","",IFERROR(LOOKUP(2,1/((Log[ID]=Items[[#This Row],[ID]])*(Log[Verb]="done")),Log[Date]),""))</f>
      </c>
      <c r="U25" s="17">
        <f>IF(Items[[#This Row],[ID]]="","",IF(AND(Items[[#This Row],[Sprint]]=CurSprint,OR(Items[[#This Row],[State]]="OPEN",Items[[#This Row],[State]]="WAIT",Items[[#This Row],[State]]="HOLD",Items[[#This Row],[State]]="DONE")),1,0))</f>
      </c>
      <c r="V25" s="17">
        <f>IF(OR(Items[[#This Row],[ID]]="",Items[[#This Row],[Added]]=""),"",AsOf-Items[[#This Row],[Added]])</f>
      </c>
      <c r="W25" s="17">
        <f>IF(Items[[#This Row],[In sprint]]=1,(IF(Items[[#This Row],[Prio]]="",9,N(Items[[#This Row],[Prio]]))*10+(IF(Items[[#This Row],[State]]="DONE",1,0)))*100000+ROW(),"")</f>
      </c>
      <c r="X2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5" s="17">
        <f>IF(AND(Items[[#This Row],[State]]="DONE",N(Items[[#This Row],[Done on]])&gt;AsOf-7),(200000-N(Items[[#This Row],[Done on]]))*100000+ROW(),"")</f>
      </c>
    </row>
    <row r="26">
      <c r="A26" t="s">
        <v>215</v>
      </c>
      <c r="B26" t="s">
        <v>1169</v>
      </c>
      <c r="C26" t="s">
        <v>1107</v>
      </c>
      <c r="D26" t="s">
        <v>1123</v>
      </c>
      <c r="E26" t="s">
        <v>1131</v>
      </c>
      <c r="F26" t="s">
        <v>1168</v>
      </c>
      <c r="G26">
        <v>8</v>
      </c>
      <c r="H26">
        <v>2</v>
      </c>
      <c r="I26" s="11">
        <v>46049</v>
      </c>
      <c r="J26" s="17">
        <f>IF(Items[[#This Row],[ID]]="","",IFERROR(VALUE(LOOKUP(2,1/((Log[ID]=Items[[#This Row],[ID]])*(Log[Verb]="est")),Log[Arg])),N(Items[[#This Row],[Points]])))</f>
      </c>
      <c r="K26" s="17">
        <f>IF(Items[[#This Row],[ID]]="","",IFERROR(LOOKUP(2,1/((Log[ID]=Items[[#This Row],[ID]])*(Log[Verb]="pass")),Log[Arg])&amp;"",Items[[#This Row],[Team]]&amp;""))</f>
      </c>
      <c r="L26" s="17">
        <f>IF(Items[[#This Row],[ID]]="","",IFERROR(LOOKUP(2,1/((Log[ID]=Items[[#This Row],[ID]])*(Log[Into]&lt;&gt;"")),Log[Into]),""))</f>
      </c>
      <c r="M26" s="17">
        <f>IF(Items[[#This Row],[ID]]="","",IF(IFERROR(LOOKUP(2,1/((Log[ID]=Items[[#This Row],[ID]])*(Log[Blk]&lt;&gt;"")),Log[Blk]),0)=1,"Y",""))</f>
      </c>
      <c r="N26" s="17">
        <f>IF(Items[[#This Row],[ID]]="","",SUBSTITUTE(IFERROR(LOOKUP(2,1/((Log[ID]=Items[[#This Row],[ID]])*(Log[State]&lt;&gt;"")),Log[State]),"TODO"),"OPEN",IF(Items[[#This Row],[Blocked]]="Y","WAIT","OPEN")))</f>
      </c>
      <c r="O2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6" s="17">
        <f>IF(Items[[#This Row],[State]]&lt;&gt;"WAIT","",AsOf-Items[[#This Row],[Blocked since]])</f>
      </c>
      <c r="Q26" s="17">
        <f>IF(Items[[#This Row],[State]]&lt;&gt;"WAIT","",IFERROR(LOOKUP(2,1/((Log[ID]=Items[[#This Row],[ID]])*(Log[Verb]="block")),Log[Note])&amp;"",""))</f>
      </c>
      <c r="R26" s="17">
        <f>IF(Items[[#This Row],[ID]]="","",COUNTIFS(Log[ID],Items[[#This Row],[ID]],Log[Verb],"carry"))</f>
      </c>
      <c r="S26" s="17">
        <f>IF(Items[[#This Row],[ID]]="","",COUNTIFS(Log[ID],Items[[#This Row],[ID]],Log[Verb],"punt"))</f>
      </c>
      <c r="T26" s="11">
        <f>IF(Items[[#This Row],[State]]&lt;&gt;"DONE","",IFERROR(LOOKUP(2,1/((Log[ID]=Items[[#This Row],[ID]])*(Log[Verb]="done")),Log[Date]),""))</f>
      </c>
      <c r="U26" s="17">
        <f>IF(Items[[#This Row],[ID]]="","",IF(AND(Items[[#This Row],[Sprint]]=CurSprint,OR(Items[[#This Row],[State]]="OPEN",Items[[#This Row],[State]]="WAIT",Items[[#This Row],[State]]="HOLD",Items[[#This Row],[State]]="DONE")),1,0))</f>
      </c>
      <c r="V26" s="17">
        <f>IF(OR(Items[[#This Row],[ID]]="",Items[[#This Row],[Added]]=""),"",AsOf-Items[[#This Row],[Added]])</f>
      </c>
      <c r="W26" s="17">
        <f>IF(Items[[#This Row],[In sprint]]=1,(IF(Items[[#This Row],[Prio]]="",9,N(Items[[#This Row],[Prio]]))*10+(IF(Items[[#This Row],[State]]="DONE",1,0)))*100000+ROW(),"")</f>
      </c>
      <c r="X2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6" s="17">
        <f>IF(AND(Items[[#This Row],[State]]="DONE",N(Items[[#This Row],[Done on]])&gt;AsOf-7),(200000-N(Items[[#This Row],[Done on]]))*100000+ROW(),"")</f>
      </c>
    </row>
    <row r="27">
      <c r="A27" t="s">
        <v>180</v>
      </c>
      <c r="B27" t="s">
        <v>1170</v>
      </c>
      <c r="C27" t="s">
        <v>1115</v>
      </c>
      <c r="D27" t="s">
        <v>1119</v>
      </c>
      <c r="E27" t="s">
        <v>1134</v>
      </c>
      <c r="F27" t="s">
        <v>1171</v>
      </c>
      <c r="G27">
        <v>8</v>
      </c>
      <c r="H27">
        <v>3</v>
      </c>
      <c r="I27" s="11">
        <v>46049</v>
      </c>
      <c r="J27" s="17">
        <f>IF(Items[[#This Row],[ID]]="","",IFERROR(VALUE(LOOKUP(2,1/((Log[ID]=Items[[#This Row],[ID]])*(Log[Verb]="est")),Log[Arg])),N(Items[[#This Row],[Points]])))</f>
      </c>
      <c r="K27" s="17">
        <f>IF(Items[[#This Row],[ID]]="","",IFERROR(LOOKUP(2,1/((Log[ID]=Items[[#This Row],[ID]])*(Log[Verb]="pass")),Log[Arg])&amp;"",Items[[#This Row],[Team]]&amp;""))</f>
      </c>
      <c r="L27" s="17">
        <f>IF(Items[[#This Row],[ID]]="","",IFERROR(LOOKUP(2,1/((Log[ID]=Items[[#This Row],[ID]])*(Log[Into]&lt;&gt;"")),Log[Into]),""))</f>
      </c>
      <c r="M27" s="17">
        <f>IF(Items[[#This Row],[ID]]="","",IF(IFERROR(LOOKUP(2,1/((Log[ID]=Items[[#This Row],[ID]])*(Log[Blk]&lt;&gt;"")),Log[Blk]),0)=1,"Y",""))</f>
      </c>
      <c r="N27" s="17">
        <f>IF(Items[[#This Row],[ID]]="","",SUBSTITUTE(IFERROR(LOOKUP(2,1/((Log[ID]=Items[[#This Row],[ID]])*(Log[State]&lt;&gt;"")),Log[State]),"TODO"),"OPEN",IF(Items[[#This Row],[Blocked]]="Y","WAIT","OPEN")))</f>
      </c>
      <c r="O2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7" s="17">
        <f>IF(Items[[#This Row],[State]]&lt;&gt;"WAIT","",AsOf-Items[[#This Row],[Blocked since]])</f>
      </c>
      <c r="Q27" s="17">
        <f>IF(Items[[#This Row],[State]]&lt;&gt;"WAIT","",IFERROR(LOOKUP(2,1/((Log[ID]=Items[[#This Row],[ID]])*(Log[Verb]="block")),Log[Note])&amp;"",""))</f>
      </c>
      <c r="R27" s="17">
        <f>IF(Items[[#This Row],[ID]]="","",COUNTIFS(Log[ID],Items[[#This Row],[ID]],Log[Verb],"carry"))</f>
      </c>
      <c r="S27" s="17">
        <f>IF(Items[[#This Row],[ID]]="","",COUNTIFS(Log[ID],Items[[#This Row],[ID]],Log[Verb],"punt"))</f>
      </c>
      <c r="T27" s="11">
        <f>IF(Items[[#This Row],[State]]&lt;&gt;"DONE","",IFERROR(LOOKUP(2,1/((Log[ID]=Items[[#This Row],[ID]])*(Log[Verb]="done")),Log[Date]),""))</f>
      </c>
      <c r="U27" s="17">
        <f>IF(Items[[#This Row],[ID]]="","",IF(AND(Items[[#This Row],[Sprint]]=CurSprint,OR(Items[[#This Row],[State]]="OPEN",Items[[#This Row],[State]]="WAIT",Items[[#This Row],[State]]="HOLD",Items[[#This Row],[State]]="DONE")),1,0))</f>
      </c>
      <c r="V27" s="17">
        <f>IF(OR(Items[[#This Row],[ID]]="",Items[[#This Row],[Added]]=""),"",AsOf-Items[[#This Row],[Added]])</f>
      </c>
      <c r="W27" s="17">
        <f>IF(Items[[#This Row],[In sprint]]=1,(IF(Items[[#This Row],[Prio]]="",9,N(Items[[#This Row],[Prio]]))*10+(IF(Items[[#This Row],[State]]="DONE",1,0)))*100000+ROW(),"")</f>
      </c>
      <c r="X2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7" s="17">
        <f>IF(AND(Items[[#This Row],[State]]="DONE",N(Items[[#This Row],[Done on]])&gt;AsOf-7),(200000-N(Items[[#This Row],[Done on]]))*100000+ROW(),"")</f>
      </c>
    </row>
    <row r="28">
      <c r="A28" t="s">
        <v>219</v>
      </c>
      <c r="B28" t="s">
        <v>1172</v>
      </c>
      <c r="C28" t="s">
        <v>1115</v>
      </c>
      <c r="D28" t="s">
        <v>1119</v>
      </c>
      <c r="E28" t="s">
        <v>1134</v>
      </c>
      <c r="F28" t="s">
        <v>1137</v>
      </c>
      <c r="G28">
        <v>5</v>
      </c>
      <c r="H28">
        <v>2</v>
      </c>
      <c r="I28" s="11">
        <v>46049</v>
      </c>
      <c r="J28" s="17">
        <f>IF(Items[[#This Row],[ID]]="","",IFERROR(VALUE(LOOKUP(2,1/((Log[ID]=Items[[#This Row],[ID]])*(Log[Verb]="est")),Log[Arg])),N(Items[[#This Row],[Points]])))</f>
      </c>
      <c r="K28" s="17">
        <f>IF(Items[[#This Row],[ID]]="","",IFERROR(LOOKUP(2,1/((Log[ID]=Items[[#This Row],[ID]])*(Log[Verb]="pass")),Log[Arg])&amp;"",Items[[#This Row],[Team]]&amp;""))</f>
      </c>
      <c r="L28" s="17">
        <f>IF(Items[[#This Row],[ID]]="","",IFERROR(LOOKUP(2,1/((Log[ID]=Items[[#This Row],[ID]])*(Log[Into]&lt;&gt;"")),Log[Into]),""))</f>
      </c>
      <c r="M28" s="17">
        <f>IF(Items[[#This Row],[ID]]="","",IF(IFERROR(LOOKUP(2,1/((Log[ID]=Items[[#This Row],[ID]])*(Log[Blk]&lt;&gt;"")),Log[Blk]),0)=1,"Y",""))</f>
      </c>
      <c r="N28" s="17">
        <f>IF(Items[[#This Row],[ID]]="","",SUBSTITUTE(IFERROR(LOOKUP(2,1/((Log[ID]=Items[[#This Row],[ID]])*(Log[State]&lt;&gt;"")),Log[State]),"TODO"),"OPEN",IF(Items[[#This Row],[Blocked]]="Y","WAIT","OPEN")))</f>
      </c>
      <c r="O2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8" s="17">
        <f>IF(Items[[#This Row],[State]]&lt;&gt;"WAIT","",AsOf-Items[[#This Row],[Blocked since]])</f>
      </c>
      <c r="Q28" s="17">
        <f>IF(Items[[#This Row],[State]]&lt;&gt;"WAIT","",IFERROR(LOOKUP(2,1/((Log[ID]=Items[[#This Row],[ID]])*(Log[Verb]="block")),Log[Note])&amp;"",""))</f>
      </c>
      <c r="R28" s="17">
        <f>IF(Items[[#This Row],[ID]]="","",COUNTIFS(Log[ID],Items[[#This Row],[ID]],Log[Verb],"carry"))</f>
      </c>
      <c r="S28" s="17">
        <f>IF(Items[[#This Row],[ID]]="","",COUNTIFS(Log[ID],Items[[#This Row],[ID]],Log[Verb],"punt"))</f>
      </c>
      <c r="T28" s="11">
        <f>IF(Items[[#This Row],[State]]&lt;&gt;"DONE","",IFERROR(LOOKUP(2,1/((Log[ID]=Items[[#This Row],[ID]])*(Log[Verb]="done")),Log[Date]),""))</f>
      </c>
      <c r="U28" s="17">
        <f>IF(Items[[#This Row],[ID]]="","",IF(AND(Items[[#This Row],[Sprint]]=CurSprint,OR(Items[[#This Row],[State]]="OPEN",Items[[#This Row],[State]]="WAIT",Items[[#This Row],[State]]="HOLD",Items[[#This Row],[State]]="DONE")),1,0))</f>
      </c>
      <c r="V28" s="17">
        <f>IF(OR(Items[[#This Row],[ID]]="",Items[[#This Row],[Added]]=""),"",AsOf-Items[[#This Row],[Added]])</f>
      </c>
      <c r="W28" s="17">
        <f>IF(Items[[#This Row],[In sprint]]=1,(IF(Items[[#This Row],[Prio]]="",9,N(Items[[#This Row],[Prio]]))*10+(IF(Items[[#This Row],[State]]="DONE",1,0)))*100000+ROW(),"")</f>
      </c>
      <c r="X2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8" s="17">
        <f>IF(AND(Items[[#This Row],[State]]="DONE",N(Items[[#This Row],[Done on]])&gt;AsOf-7),(200000-N(Items[[#This Row],[Done on]]))*100000+ROW(),"")</f>
      </c>
    </row>
    <row r="29">
      <c r="A29" t="s">
        <v>181</v>
      </c>
      <c r="B29" t="s">
        <v>1173</v>
      </c>
      <c r="C29" t="s">
        <v>1115</v>
      </c>
      <c r="D29" t="s">
        <v>1119</v>
      </c>
      <c r="E29" t="s">
        <v>1139</v>
      </c>
      <c r="F29" t="s">
        <v>1140</v>
      </c>
      <c r="G29">
        <v>5</v>
      </c>
      <c r="H29">
        <v>3</v>
      </c>
      <c r="I29" s="11">
        <v>46049</v>
      </c>
      <c r="J29" s="17">
        <f>IF(Items[[#This Row],[ID]]="","",IFERROR(VALUE(LOOKUP(2,1/((Log[ID]=Items[[#This Row],[ID]])*(Log[Verb]="est")),Log[Arg])),N(Items[[#This Row],[Points]])))</f>
      </c>
      <c r="K29" s="17">
        <f>IF(Items[[#This Row],[ID]]="","",IFERROR(LOOKUP(2,1/((Log[ID]=Items[[#This Row],[ID]])*(Log[Verb]="pass")),Log[Arg])&amp;"",Items[[#This Row],[Team]]&amp;""))</f>
      </c>
      <c r="L29" s="17">
        <f>IF(Items[[#This Row],[ID]]="","",IFERROR(LOOKUP(2,1/((Log[ID]=Items[[#This Row],[ID]])*(Log[Into]&lt;&gt;"")),Log[Into]),""))</f>
      </c>
      <c r="M29" s="17">
        <f>IF(Items[[#This Row],[ID]]="","",IF(IFERROR(LOOKUP(2,1/((Log[ID]=Items[[#This Row],[ID]])*(Log[Blk]&lt;&gt;"")),Log[Blk]),0)=1,"Y",""))</f>
      </c>
      <c r="N29" s="17">
        <f>IF(Items[[#This Row],[ID]]="","",SUBSTITUTE(IFERROR(LOOKUP(2,1/((Log[ID]=Items[[#This Row],[ID]])*(Log[State]&lt;&gt;"")),Log[State]),"TODO"),"OPEN",IF(Items[[#This Row],[Blocked]]="Y","WAIT","OPEN")))</f>
      </c>
      <c r="O2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9" s="17">
        <f>IF(Items[[#This Row],[State]]&lt;&gt;"WAIT","",AsOf-Items[[#This Row],[Blocked since]])</f>
      </c>
      <c r="Q29" s="17">
        <f>IF(Items[[#This Row],[State]]&lt;&gt;"WAIT","",IFERROR(LOOKUP(2,1/((Log[ID]=Items[[#This Row],[ID]])*(Log[Verb]="block")),Log[Note])&amp;"",""))</f>
      </c>
      <c r="R29" s="17">
        <f>IF(Items[[#This Row],[ID]]="","",COUNTIFS(Log[ID],Items[[#This Row],[ID]],Log[Verb],"carry"))</f>
      </c>
      <c r="S29" s="17">
        <f>IF(Items[[#This Row],[ID]]="","",COUNTIFS(Log[ID],Items[[#This Row],[ID]],Log[Verb],"punt"))</f>
      </c>
      <c r="T29" s="11">
        <f>IF(Items[[#This Row],[State]]&lt;&gt;"DONE","",IFERROR(LOOKUP(2,1/((Log[ID]=Items[[#This Row],[ID]])*(Log[Verb]="done")),Log[Date]),""))</f>
      </c>
      <c r="U29" s="17">
        <f>IF(Items[[#This Row],[ID]]="","",IF(AND(Items[[#This Row],[Sprint]]=CurSprint,OR(Items[[#This Row],[State]]="OPEN",Items[[#This Row],[State]]="WAIT",Items[[#This Row],[State]]="HOLD",Items[[#This Row],[State]]="DONE")),1,0))</f>
      </c>
      <c r="V29" s="17">
        <f>IF(OR(Items[[#This Row],[ID]]="",Items[[#This Row],[Added]]=""),"",AsOf-Items[[#This Row],[Added]])</f>
      </c>
      <c r="W29" s="17">
        <f>IF(Items[[#This Row],[In sprint]]=1,(IF(Items[[#This Row],[Prio]]="",9,N(Items[[#This Row],[Prio]]))*10+(IF(Items[[#This Row],[State]]="DONE",1,0)))*100000+ROW(),"")</f>
      </c>
      <c r="X2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9" s="17">
        <f>IF(AND(Items[[#This Row],[State]]="DONE",N(Items[[#This Row],[Done on]])&gt;AsOf-7),(200000-N(Items[[#This Row],[Done on]]))*100000+ROW(),"")</f>
      </c>
    </row>
    <row r="30">
      <c r="A30" t="s">
        <v>224</v>
      </c>
      <c r="B30" t="s">
        <v>1174</v>
      </c>
      <c r="C30" t="s">
        <v>1115</v>
      </c>
      <c r="D30" t="s">
        <v>1119</v>
      </c>
      <c r="E30" t="s">
        <v>1139</v>
      </c>
      <c r="F30" t="s">
        <v>1175</v>
      </c>
      <c r="G30">
        <v>8</v>
      </c>
      <c r="H30">
        <v>2</v>
      </c>
      <c r="I30" s="11">
        <v>46049</v>
      </c>
      <c r="J30" s="17">
        <f>IF(Items[[#This Row],[ID]]="","",IFERROR(VALUE(LOOKUP(2,1/((Log[ID]=Items[[#This Row],[ID]])*(Log[Verb]="est")),Log[Arg])),N(Items[[#This Row],[Points]])))</f>
      </c>
      <c r="K30" s="17">
        <f>IF(Items[[#This Row],[ID]]="","",IFERROR(LOOKUP(2,1/((Log[ID]=Items[[#This Row],[ID]])*(Log[Verb]="pass")),Log[Arg])&amp;"",Items[[#This Row],[Team]]&amp;""))</f>
      </c>
      <c r="L30" s="17">
        <f>IF(Items[[#This Row],[ID]]="","",IFERROR(LOOKUP(2,1/((Log[ID]=Items[[#This Row],[ID]])*(Log[Into]&lt;&gt;"")),Log[Into]),""))</f>
      </c>
      <c r="M30" s="17">
        <f>IF(Items[[#This Row],[ID]]="","",IF(IFERROR(LOOKUP(2,1/((Log[ID]=Items[[#This Row],[ID]])*(Log[Blk]&lt;&gt;"")),Log[Blk]),0)=1,"Y",""))</f>
      </c>
      <c r="N30" s="17">
        <f>IF(Items[[#This Row],[ID]]="","",SUBSTITUTE(IFERROR(LOOKUP(2,1/((Log[ID]=Items[[#This Row],[ID]])*(Log[State]&lt;&gt;"")),Log[State]),"TODO"),"OPEN",IF(Items[[#This Row],[Blocked]]="Y","WAIT","OPEN")))</f>
      </c>
      <c r="O3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0" s="17">
        <f>IF(Items[[#This Row],[State]]&lt;&gt;"WAIT","",AsOf-Items[[#This Row],[Blocked since]])</f>
      </c>
      <c r="Q30" s="17">
        <f>IF(Items[[#This Row],[State]]&lt;&gt;"WAIT","",IFERROR(LOOKUP(2,1/((Log[ID]=Items[[#This Row],[ID]])*(Log[Verb]="block")),Log[Note])&amp;"",""))</f>
      </c>
      <c r="R30" s="17">
        <f>IF(Items[[#This Row],[ID]]="","",COUNTIFS(Log[ID],Items[[#This Row],[ID]],Log[Verb],"carry"))</f>
      </c>
      <c r="S30" s="17">
        <f>IF(Items[[#This Row],[ID]]="","",COUNTIFS(Log[ID],Items[[#This Row],[ID]],Log[Verb],"punt"))</f>
      </c>
      <c r="T30" s="11">
        <f>IF(Items[[#This Row],[State]]&lt;&gt;"DONE","",IFERROR(LOOKUP(2,1/((Log[ID]=Items[[#This Row],[ID]])*(Log[Verb]="done")),Log[Date]),""))</f>
      </c>
      <c r="U30" s="17">
        <f>IF(Items[[#This Row],[ID]]="","",IF(AND(Items[[#This Row],[Sprint]]=CurSprint,OR(Items[[#This Row],[State]]="OPEN",Items[[#This Row],[State]]="WAIT",Items[[#This Row],[State]]="HOLD",Items[[#This Row],[State]]="DONE")),1,0))</f>
      </c>
      <c r="V30" s="17">
        <f>IF(OR(Items[[#This Row],[ID]]="",Items[[#This Row],[Added]]=""),"",AsOf-Items[[#This Row],[Added]])</f>
      </c>
      <c r="W30" s="17">
        <f>IF(Items[[#This Row],[In sprint]]=1,(IF(Items[[#This Row],[Prio]]="",9,N(Items[[#This Row],[Prio]]))*10+(IF(Items[[#This Row],[State]]="DONE",1,0)))*100000+ROW(),"")</f>
      </c>
      <c r="X3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0" s="17">
        <f>IF(AND(Items[[#This Row],[State]]="DONE",N(Items[[#This Row],[Done on]])&gt;AsOf-7),(200000-N(Items[[#This Row],[Done on]]))*100000+ROW(),"")</f>
      </c>
    </row>
    <row r="31">
      <c r="A31" t="s">
        <v>182</v>
      </c>
      <c r="B31" t="s">
        <v>1176</v>
      </c>
      <c r="C31" t="s">
        <v>1107</v>
      </c>
      <c r="D31" t="s">
        <v>1127</v>
      </c>
      <c r="E31" t="s">
        <v>1177</v>
      </c>
      <c r="F31" t="s">
        <v>1178</v>
      </c>
      <c r="G31">
        <v>3</v>
      </c>
      <c r="H31">
        <v>2</v>
      </c>
      <c r="I31" s="11">
        <v>46049</v>
      </c>
      <c r="J31" s="17">
        <f>IF(Items[[#This Row],[ID]]="","",IFERROR(VALUE(LOOKUP(2,1/((Log[ID]=Items[[#This Row],[ID]])*(Log[Verb]="est")),Log[Arg])),N(Items[[#This Row],[Points]])))</f>
      </c>
      <c r="K31" s="17">
        <f>IF(Items[[#This Row],[ID]]="","",IFERROR(LOOKUP(2,1/((Log[ID]=Items[[#This Row],[ID]])*(Log[Verb]="pass")),Log[Arg])&amp;"",Items[[#This Row],[Team]]&amp;""))</f>
      </c>
      <c r="L31" s="17">
        <f>IF(Items[[#This Row],[ID]]="","",IFERROR(LOOKUP(2,1/((Log[ID]=Items[[#This Row],[ID]])*(Log[Into]&lt;&gt;"")),Log[Into]),""))</f>
      </c>
      <c r="M31" s="17">
        <f>IF(Items[[#This Row],[ID]]="","",IF(IFERROR(LOOKUP(2,1/((Log[ID]=Items[[#This Row],[ID]])*(Log[Blk]&lt;&gt;"")),Log[Blk]),0)=1,"Y",""))</f>
      </c>
      <c r="N31" s="17">
        <f>IF(Items[[#This Row],[ID]]="","",SUBSTITUTE(IFERROR(LOOKUP(2,1/((Log[ID]=Items[[#This Row],[ID]])*(Log[State]&lt;&gt;"")),Log[State]),"TODO"),"OPEN",IF(Items[[#This Row],[Blocked]]="Y","WAIT","OPEN")))</f>
      </c>
      <c r="O3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1" s="17">
        <f>IF(Items[[#This Row],[State]]&lt;&gt;"WAIT","",AsOf-Items[[#This Row],[Blocked since]])</f>
      </c>
      <c r="Q31" s="17">
        <f>IF(Items[[#This Row],[State]]&lt;&gt;"WAIT","",IFERROR(LOOKUP(2,1/((Log[ID]=Items[[#This Row],[ID]])*(Log[Verb]="block")),Log[Note])&amp;"",""))</f>
      </c>
      <c r="R31" s="17">
        <f>IF(Items[[#This Row],[ID]]="","",COUNTIFS(Log[ID],Items[[#This Row],[ID]],Log[Verb],"carry"))</f>
      </c>
      <c r="S31" s="17">
        <f>IF(Items[[#This Row],[ID]]="","",COUNTIFS(Log[ID],Items[[#This Row],[ID]],Log[Verb],"punt"))</f>
      </c>
      <c r="T31" s="11">
        <f>IF(Items[[#This Row],[State]]&lt;&gt;"DONE","",IFERROR(LOOKUP(2,1/((Log[ID]=Items[[#This Row],[ID]])*(Log[Verb]="done")),Log[Date]),""))</f>
      </c>
      <c r="U31" s="17">
        <f>IF(Items[[#This Row],[ID]]="","",IF(AND(Items[[#This Row],[Sprint]]=CurSprint,OR(Items[[#This Row],[State]]="OPEN",Items[[#This Row],[State]]="WAIT",Items[[#This Row],[State]]="HOLD",Items[[#This Row],[State]]="DONE")),1,0))</f>
      </c>
      <c r="V31" s="17">
        <f>IF(OR(Items[[#This Row],[ID]]="",Items[[#This Row],[Added]]=""),"",AsOf-Items[[#This Row],[Added]])</f>
      </c>
      <c r="W31" s="17">
        <f>IF(Items[[#This Row],[In sprint]]=1,(IF(Items[[#This Row],[Prio]]="",9,N(Items[[#This Row],[Prio]]))*10+(IF(Items[[#This Row],[State]]="DONE",1,0)))*100000+ROW(),"")</f>
      </c>
      <c r="X3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1" s="17">
        <f>IF(AND(Items[[#This Row],[State]]="DONE",N(Items[[#This Row],[Done on]])&gt;AsOf-7),(200000-N(Items[[#This Row],[Done on]]))*100000+ROW(),"")</f>
      </c>
    </row>
    <row r="32">
      <c r="A32" t="s">
        <v>228</v>
      </c>
      <c r="B32" t="s">
        <v>1179</v>
      </c>
      <c r="C32" t="s">
        <v>1115</v>
      </c>
      <c r="D32" t="s">
        <v>1116</v>
      </c>
      <c r="E32" t="s">
        <v>1177</v>
      </c>
      <c r="F32" t="s">
        <v>1180</v>
      </c>
      <c r="G32">
        <v>2</v>
      </c>
      <c r="H32">
        <v>1</v>
      </c>
      <c r="I32" s="11">
        <v>46049</v>
      </c>
      <c r="J32" s="17">
        <f>IF(Items[[#This Row],[ID]]="","",IFERROR(VALUE(LOOKUP(2,1/((Log[ID]=Items[[#This Row],[ID]])*(Log[Verb]="est")),Log[Arg])),N(Items[[#This Row],[Points]])))</f>
      </c>
      <c r="K32" s="17">
        <f>IF(Items[[#This Row],[ID]]="","",IFERROR(LOOKUP(2,1/((Log[ID]=Items[[#This Row],[ID]])*(Log[Verb]="pass")),Log[Arg])&amp;"",Items[[#This Row],[Team]]&amp;""))</f>
      </c>
      <c r="L32" s="17">
        <f>IF(Items[[#This Row],[ID]]="","",IFERROR(LOOKUP(2,1/((Log[ID]=Items[[#This Row],[ID]])*(Log[Into]&lt;&gt;"")),Log[Into]),""))</f>
      </c>
      <c r="M32" s="17">
        <f>IF(Items[[#This Row],[ID]]="","",IF(IFERROR(LOOKUP(2,1/((Log[ID]=Items[[#This Row],[ID]])*(Log[Blk]&lt;&gt;"")),Log[Blk]),0)=1,"Y",""))</f>
      </c>
      <c r="N32" s="17">
        <f>IF(Items[[#This Row],[ID]]="","",SUBSTITUTE(IFERROR(LOOKUP(2,1/((Log[ID]=Items[[#This Row],[ID]])*(Log[State]&lt;&gt;"")),Log[State]),"TODO"),"OPEN",IF(Items[[#This Row],[Blocked]]="Y","WAIT","OPEN")))</f>
      </c>
      <c r="O3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2" s="17">
        <f>IF(Items[[#This Row],[State]]&lt;&gt;"WAIT","",AsOf-Items[[#This Row],[Blocked since]])</f>
      </c>
      <c r="Q32" s="17">
        <f>IF(Items[[#This Row],[State]]&lt;&gt;"WAIT","",IFERROR(LOOKUP(2,1/((Log[ID]=Items[[#This Row],[ID]])*(Log[Verb]="block")),Log[Note])&amp;"",""))</f>
      </c>
      <c r="R32" s="17">
        <f>IF(Items[[#This Row],[ID]]="","",COUNTIFS(Log[ID],Items[[#This Row],[ID]],Log[Verb],"carry"))</f>
      </c>
      <c r="S32" s="17">
        <f>IF(Items[[#This Row],[ID]]="","",COUNTIFS(Log[ID],Items[[#This Row],[ID]],Log[Verb],"punt"))</f>
      </c>
      <c r="T32" s="11">
        <f>IF(Items[[#This Row],[State]]&lt;&gt;"DONE","",IFERROR(LOOKUP(2,1/((Log[ID]=Items[[#This Row],[ID]])*(Log[Verb]="done")),Log[Date]),""))</f>
      </c>
      <c r="U32" s="17">
        <f>IF(Items[[#This Row],[ID]]="","",IF(AND(Items[[#This Row],[Sprint]]=CurSprint,OR(Items[[#This Row],[State]]="OPEN",Items[[#This Row],[State]]="WAIT",Items[[#This Row],[State]]="HOLD",Items[[#This Row],[State]]="DONE")),1,0))</f>
      </c>
      <c r="V32" s="17">
        <f>IF(OR(Items[[#This Row],[ID]]="",Items[[#This Row],[Added]]=""),"",AsOf-Items[[#This Row],[Added]])</f>
      </c>
      <c r="W32" s="17">
        <f>IF(Items[[#This Row],[In sprint]]=1,(IF(Items[[#This Row],[Prio]]="",9,N(Items[[#This Row],[Prio]]))*10+(IF(Items[[#This Row],[State]]="DONE",1,0)))*100000+ROW(),"")</f>
      </c>
      <c r="X3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2" s="17">
        <f>IF(AND(Items[[#This Row],[State]]="DONE",N(Items[[#This Row],[Done on]])&gt;AsOf-7),(200000-N(Items[[#This Row],[Done on]]))*100000+ROW(),"")</f>
      </c>
    </row>
    <row r="33">
      <c r="A33" t="s">
        <v>229</v>
      </c>
      <c r="B33" t="s">
        <v>1181</v>
      </c>
      <c r="C33" t="s">
        <v>1115</v>
      </c>
      <c r="D33" t="s">
        <v>1116</v>
      </c>
      <c r="E33" t="s">
        <v>1177</v>
      </c>
      <c r="F33" t="s">
        <v>1182</v>
      </c>
      <c r="G33">
        <v>5</v>
      </c>
      <c r="H33">
        <v>1</v>
      </c>
      <c r="I33" s="11">
        <v>46049</v>
      </c>
      <c r="J33" s="17">
        <f>IF(Items[[#This Row],[ID]]="","",IFERROR(VALUE(LOOKUP(2,1/((Log[ID]=Items[[#This Row],[ID]])*(Log[Verb]="est")),Log[Arg])),N(Items[[#This Row],[Points]])))</f>
      </c>
      <c r="K33" s="17">
        <f>IF(Items[[#This Row],[ID]]="","",IFERROR(LOOKUP(2,1/((Log[ID]=Items[[#This Row],[ID]])*(Log[Verb]="pass")),Log[Arg])&amp;"",Items[[#This Row],[Team]]&amp;""))</f>
      </c>
      <c r="L33" s="17">
        <f>IF(Items[[#This Row],[ID]]="","",IFERROR(LOOKUP(2,1/((Log[ID]=Items[[#This Row],[ID]])*(Log[Into]&lt;&gt;"")),Log[Into]),""))</f>
      </c>
      <c r="M33" s="17">
        <f>IF(Items[[#This Row],[ID]]="","",IF(IFERROR(LOOKUP(2,1/((Log[ID]=Items[[#This Row],[ID]])*(Log[Blk]&lt;&gt;"")),Log[Blk]),0)=1,"Y",""))</f>
      </c>
      <c r="N33" s="17">
        <f>IF(Items[[#This Row],[ID]]="","",SUBSTITUTE(IFERROR(LOOKUP(2,1/((Log[ID]=Items[[#This Row],[ID]])*(Log[State]&lt;&gt;"")),Log[State]),"TODO"),"OPEN",IF(Items[[#This Row],[Blocked]]="Y","WAIT","OPEN")))</f>
      </c>
      <c r="O3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3" s="17">
        <f>IF(Items[[#This Row],[State]]&lt;&gt;"WAIT","",AsOf-Items[[#This Row],[Blocked since]])</f>
      </c>
      <c r="Q33" s="17">
        <f>IF(Items[[#This Row],[State]]&lt;&gt;"WAIT","",IFERROR(LOOKUP(2,1/((Log[ID]=Items[[#This Row],[ID]])*(Log[Verb]="block")),Log[Note])&amp;"",""))</f>
      </c>
      <c r="R33" s="17">
        <f>IF(Items[[#This Row],[ID]]="","",COUNTIFS(Log[ID],Items[[#This Row],[ID]],Log[Verb],"carry"))</f>
      </c>
      <c r="S33" s="17">
        <f>IF(Items[[#This Row],[ID]]="","",COUNTIFS(Log[ID],Items[[#This Row],[ID]],Log[Verb],"punt"))</f>
      </c>
      <c r="T33" s="11">
        <f>IF(Items[[#This Row],[State]]&lt;&gt;"DONE","",IFERROR(LOOKUP(2,1/((Log[ID]=Items[[#This Row],[ID]])*(Log[Verb]="done")),Log[Date]),""))</f>
      </c>
      <c r="U33" s="17">
        <f>IF(Items[[#This Row],[ID]]="","",IF(AND(Items[[#This Row],[Sprint]]=CurSprint,OR(Items[[#This Row],[State]]="OPEN",Items[[#This Row],[State]]="WAIT",Items[[#This Row],[State]]="HOLD",Items[[#This Row],[State]]="DONE")),1,0))</f>
      </c>
      <c r="V33" s="17">
        <f>IF(OR(Items[[#This Row],[ID]]="",Items[[#This Row],[Added]]=""),"",AsOf-Items[[#This Row],[Added]])</f>
      </c>
      <c r="W33" s="17">
        <f>IF(Items[[#This Row],[In sprint]]=1,(IF(Items[[#This Row],[Prio]]="",9,N(Items[[#This Row],[Prio]]))*10+(IF(Items[[#This Row],[State]]="DONE",1,0)))*100000+ROW(),"")</f>
      </c>
      <c r="X3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3" s="17">
        <f>IF(AND(Items[[#This Row],[State]]="DONE",N(Items[[#This Row],[Done on]])&gt;AsOf-7),(200000-N(Items[[#This Row],[Done on]]))*100000+ROW(),"")</f>
      </c>
    </row>
    <row r="34">
      <c r="A34" t="s">
        <v>236</v>
      </c>
      <c r="B34" t="s">
        <v>1183</v>
      </c>
      <c r="C34" t="s">
        <v>1107</v>
      </c>
      <c r="D34" t="s">
        <v>1108</v>
      </c>
      <c r="E34" t="s">
        <v>1112</v>
      </c>
      <c r="F34" t="s">
        <v>1184</v>
      </c>
      <c r="G34">
        <v>2</v>
      </c>
      <c r="H34">
        <v>1</v>
      </c>
      <c r="I34" s="11">
        <v>46063</v>
      </c>
      <c r="J34" s="17">
        <f>IF(Items[[#This Row],[ID]]="","",IFERROR(VALUE(LOOKUP(2,1/((Log[ID]=Items[[#This Row],[ID]])*(Log[Verb]="est")),Log[Arg])),N(Items[[#This Row],[Points]])))</f>
      </c>
      <c r="K34" s="17">
        <f>IF(Items[[#This Row],[ID]]="","",IFERROR(LOOKUP(2,1/((Log[ID]=Items[[#This Row],[ID]])*(Log[Verb]="pass")),Log[Arg])&amp;"",Items[[#This Row],[Team]]&amp;""))</f>
      </c>
      <c r="L34" s="17">
        <f>IF(Items[[#This Row],[ID]]="","",IFERROR(LOOKUP(2,1/((Log[ID]=Items[[#This Row],[ID]])*(Log[Into]&lt;&gt;"")),Log[Into]),""))</f>
      </c>
      <c r="M34" s="17">
        <f>IF(Items[[#This Row],[ID]]="","",IF(IFERROR(LOOKUP(2,1/((Log[ID]=Items[[#This Row],[ID]])*(Log[Blk]&lt;&gt;"")),Log[Blk]),0)=1,"Y",""))</f>
      </c>
      <c r="N34" s="17">
        <f>IF(Items[[#This Row],[ID]]="","",SUBSTITUTE(IFERROR(LOOKUP(2,1/((Log[ID]=Items[[#This Row],[ID]])*(Log[State]&lt;&gt;"")),Log[State]),"TODO"),"OPEN",IF(Items[[#This Row],[Blocked]]="Y","WAIT","OPEN")))</f>
      </c>
      <c r="O3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4" s="17">
        <f>IF(Items[[#This Row],[State]]&lt;&gt;"WAIT","",AsOf-Items[[#This Row],[Blocked since]])</f>
      </c>
      <c r="Q34" s="17">
        <f>IF(Items[[#This Row],[State]]&lt;&gt;"WAIT","",IFERROR(LOOKUP(2,1/((Log[ID]=Items[[#This Row],[ID]])*(Log[Verb]="block")),Log[Note])&amp;"",""))</f>
      </c>
      <c r="R34" s="17">
        <f>IF(Items[[#This Row],[ID]]="","",COUNTIFS(Log[ID],Items[[#This Row],[ID]],Log[Verb],"carry"))</f>
      </c>
      <c r="S34" s="17">
        <f>IF(Items[[#This Row],[ID]]="","",COUNTIFS(Log[ID],Items[[#This Row],[ID]],Log[Verb],"punt"))</f>
      </c>
      <c r="T34" s="11">
        <f>IF(Items[[#This Row],[State]]&lt;&gt;"DONE","",IFERROR(LOOKUP(2,1/((Log[ID]=Items[[#This Row],[ID]])*(Log[Verb]="done")),Log[Date]),""))</f>
      </c>
      <c r="U34" s="17">
        <f>IF(Items[[#This Row],[ID]]="","",IF(AND(Items[[#This Row],[Sprint]]=CurSprint,OR(Items[[#This Row],[State]]="OPEN",Items[[#This Row],[State]]="WAIT",Items[[#This Row],[State]]="HOLD",Items[[#This Row],[State]]="DONE")),1,0))</f>
      </c>
      <c r="V34" s="17">
        <f>IF(OR(Items[[#This Row],[ID]]="",Items[[#This Row],[Added]]=""),"",AsOf-Items[[#This Row],[Added]])</f>
      </c>
      <c r="W34" s="17">
        <f>IF(Items[[#This Row],[In sprint]]=1,(IF(Items[[#This Row],[Prio]]="",9,N(Items[[#This Row],[Prio]]))*10+(IF(Items[[#This Row],[State]]="DONE",1,0)))*100000+ROW(),"")</f>
      </c>
      <c r="X3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4" s="17">
        <f>IF(AND(Items[[#This Row],[State]]="DONE",N(Items[[#This Row],[Done on]])&gt;AsOf-7),(200000-N(Items[[#This Row],[Done on]]))*100000+ROW(),"")</f>
      </c>
    </row>
    <row r="35">
      <c r="A35" t="s">
        <v>237</v>
      </c>
      <c r="B35" t="s">
        <v>1185</v>
      </c>
      <c r="C35" t="s">
        <v>1115</v>
      </c>
      <c r="D35" t="s">
        <v>1116</v>
      </c>
      <c r="E35" t="s">
        <v>1112</v>
      </c>
      <c r="F35" t="s">
        <v>1186</v>
      </c>
      <c r="G35">
        <v>3</v>
      </c>
      <c r="H35">
        <v>1</v>
      </c>
      <c r="I35" s="11">
        <v>46063</v>
      </c>
      <c r="J35" s="17">
        <f>IF(Items[[#This Row],[ID]]="","",IFERROR(VALUE(LOOKUP(2,1/((Log[ID]=Items[[#This Row],[ID]])*(Log[Verb]="est")),Log[Arg])),N(Items[[#This Row],[Points]])))</f>
      </c>
      <c r="K35" s="17">
        <f>IF(Items[[#This Row],[ID]]="","",IFERROR(LOOKUP(2,1/((Log[ID]=Items[[#This Row],[ID]])*(Log[Verb]="pass")),Log[Arg])&amp;"",Items[[#This Row],[Team]]&amp;""))</f>
      </c>
      <c r="L35" s="17">
        <f>IF(Items[[#This Row],[ID]]="","",IFERROR(LOOKUP(2,1/((Log[ID]=Items[[#This Row],[ID]])*(Log[Into]&lt;&gt;"")),Log[Into]),""))</f>
      </c>
      <c r="M35" s="17">
        <f>IF(Items[[#This Row],[ID]]="","",IF(IFERROR(LOOKUP(2,1/((Log[ID]=Items[[#This Row],[ID]])*(Log[Blk]&lt;&gt;"")),Log[Blk]),0)=1,"Y",""))</f>
      </c>
      <c r="N35" s="17">
        <f>IF(Items[[#This Row],[ID]]="","",SUBSTITUTE(IFERROR(LOOKUP(2,1/((Log[ID]=Items[[#This Row],[ID]])*(Log[State]&lt;&gt;"")),Log[State]),"TODO"),"OPEN",IF(Items[[#This Row],[Blocked]]="Y","WAIT","OPEN")))</f>
      </c>
      <c r="O3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5" s="17">
        <f>IF(Items[[#This Row],[State]]&lt;&gt;"WAIT","",AsOf-Items[[#This Row],[Blocked since]])</f>
      </c>
      <c r="Q35" s="17">
        <f>IF(Items[[#This Row],[State]]&lt;&gt;"WAIT","",IFERROR(LOOKUP(2,1/((Log[ID]=Items[[#This Row],[ID]])*(Log[Verb]="block")),Log[Note])&amp;"",""))</f>
      </c>
      <c r="R35" s="17">
        <f>IF(Items[[#This Row],[ID]]="","",COUNTIFS(Log[ID],Items[[#This Row],[ID]],Log[Verb],"carry"))</f>
      </c>
      <c r="S35" s="17">
        <f>IF(Items[[#This Row],[ID]]="","",COUNTIFS(Log[ID],Items[[#This Row],[ID]],Log[Verb],"punt"))</f>
      </c>
      <c r="T35" s="11">
        <f>IF(Items[[#This Row],[State]]&lt;&gt;"DONE","",IFERROR(LOOKUP(2,1/((Log[ID]=Items[[#This Row],[ID]])*(Log[Verb]="done")),Log[Date]),""))</f>
      </c>
      <c r="U35" s="17">
        <f>IF(Items[[#This Row],[ID]]="","",IF(AND(Items[[#This Row],[Sprint]]=CurSprint,OR(Items[[#This Row],[State]]="OPEN",Items[[#This Row],[State]]="WAIT",Items[[#This Row],[State]]="HOLD",Items[[#This Row],[State]]="DONE")),1,0))</f>
      </c>
      <c r="V35" s="17">
        <f>IF(OR(Items[[#This Row],[ID]]="",Items[[#This Row],[Added]]=""),"",AsOf-Items[[#This Row],[Added]])</f>
      </c>
      <c r="W35" s="17">
        <f>IF(Items[[#This Row],[In sprint]]=1,(IF(Items[[#This Row],[Prio]]="",9,N(Items[[#This Row],[Prio]]))*10+(IF(Items[[#This Row],[State]]="DONE",1,0)))*100000+ROW(),"")</f>
      </c>
      <c r="X3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5" s="17">
        <f>IF(AND(Items[[#This Row],[State]]="DONE",N(Items[[#This Row],[Done on]])&gt;AsOf-7),(200000-N(Items[[#This Row],[Done on]]))*100000+ROW(),"")</f>
      </c>
    </row>
    <row r="36">
      <c r="A36" t="s">
        <v>238</v>
      </c>
      <c r="B36" t="s">
        <v>1187</v>
      </c>
      <c r="C36" t="s">
        <v>1107</v>
      </c>
      <c r="D36" t="s">
        <v>1127</v>
      </c>
      <c r="E36" t="s">
        <v>1112</v>
      </c>
      <c r="F36" t="s">
        <v>1186</v>
      </c>
      <c r="G36">
        <v>5</v>
      </c>
      <c r="H36">
        <v>2</v>
      </c>
      <c r="I36" s="11">
        <v>46063</v>
      </c>
      <c r="J36" s="17">
        <f>IF(Items[[#This Row],[ID]]="","",IFERROR(VALUE(LOOKUP(2,1/((Log[ID]=Items[[#This Row],[ID]])*(Log[Verb]="est")),Log[Arg])),N(Items[[#This Row],[Points]])))</f>
      </c>
      <c r="K36" s="17">
        <f>IF(Items[[#This Row],[ID]]="","",IFERROR(LOOKUP(2,1/((Log[ID]=Items[[#This Row],[ID]])*(Log[Verb]="pass")),Log[Arg])&amp;"",Items[[#This Row],[Team]]&amp;""))</f>
      </c>
      <c r="L36" s="17">
        <f>IF(Items[[#This Row],[ID]]="","",IFERROR(LOOKUP(2,1/((Log[ID]=Items[[#This Row],[ID]])*(Log[Into]&lt;&gt;"")),Log[Into]),""))</f>
      </c>
      <c r="M36" s="17">
        <f>IF(Items[[#This Row],[ID]]="","",IF(IFERROR(LOOKUP(2,1/((Log[ID]=Items[[#This Row],[ID]])*(Log[Blk]&lt;&gt;"")),Log[Blk]),0)=1,"Y",""))</f>
      </c>
      <c r="N36" s="17">
        <f>IF(Items[[#This Row],[ID]]="","",SUBSTITUTE(IFERROR(LOOKUP(2,1/((Log[ID]=Items[[#This Row],[ID]])*(Log[State]&lt;&gt;"")),Log[State]),"TODO"),"OPEN",IF(Items[[#This Row],[Blocked]]="Y","WAIT","OPEN")))</f>
      </c>
      <c r="O3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6" s="17">
        <f>IF(Items[[#This Row],[State]]&lt;&gt;"WAIT","",AsOf-Items[[#This Row],[Blocked since]])</f>
      </c>
      <c r="Q36" s="17">
        <f>IF(Items[[#This Row],[State]]&lt;&gt;"WAIT","",IFERROR(LOOKUP(2,1/((Log[ID]=Items[[#This Row],[ID]])*(Log[Verb]="block")),Log[Note])&amp;"",""))</f>
      </c>
      <c r="R36" s="17">
        <f>IF(Items[[#This Row],[ID]]="","",COUNTIFS(Log[ID],Items[[#This Row],[ID]],Log[Verb],"carry"))</f>
      </c>
      <c r="S36" s="17">
        <f>IF(Items[[#This Row],[ID]]="","",COUNTIFS(Log[ID],Items[[#This Row],[ID]],Log[Verb],"punt"))</f>
      </c>
      <c r="T36" s="11">
        <f>IF(Items[[#This Row],[State]]&lt;&gt;"DONE","",IFERROR(LOOKUP(2,1/((Log[ID]=Items[[#This Row],[ID]])*(Log[Verb]="done")),Log[Date]),""))</f>
      </c>
      <c r="U36" s="17">
        <f>IF(Items[[#This Row],[ID]]="","",IF(AND(Items[[#This Row],[Sprint]]=CurSprint,OR(Items[[#This Row],[State]]="OPEN",Items[[#This Row],[State]]="WAIT",Items[[#This Row],[State]]="HOLD",Items[[#This Row],[State]]="DONE")),1,0))</f>
      </c>
      <c r="V36" s="17">
        <f>IF(OR(Items[[#This Row],[ID]]="",Items[[#This Row],[Added]]=""),"",AsOf-Items[[#This Row],[Added]])</f>
      </c>
      <c r="W36" s="17">
        <f>IF(Items[[#This Row],[In sprint]]=1,(IF(Items[[#This Row],[Prio]]="",9,N(Items[[#This Row],[Prio]]))*10+(IF(Items[[#This Row],[State]]="DONE",1,0)))*100000+ROW(),"")</f>
      </c>
      <c r="X3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6" s="17">
        <f>IF(AND(Items[[#This Row],[State]]="DONE",N(Items[[#This Row],[Done on]])&gt;AsOf-7),(200000-N(Items[[#This Row],[Done on]]))*100000+ROW(),"")</f>
      </c>
    </row>
    <row r="37">
      <c r="A37" t="s">
        <v>239</v>
      </c>
      <c r="B37" t="s">
        <v>1188</v>
      </c>
      <c r="C37" t="s">
        <v>1115</v>
      </c>
      <c r="D37" t="s">
        <v>1119</v>
      </c>
      <c r="E37" t="s">
        <v>1112</v>
      </c>
      <c r="F37" t="s">
        <v>1149</v>
      </c>
      <c r="G37">
        <v>5</v>
      </c>
      <c r="H37">
        <v>2</v>
      </c>
      <c r="I37" s="11">
        <v>46063</v>
      </c>
      <c r="J37" s="17">
        <f>IF(Items[[#This Row],[ID]]="","",IFERROR(VALUE(LOOKUP(2,1/((Log[ID]=Items[[#This Row],[ID]])*(Log[Verb]="est")),Log[Arg])),N(Items[[#This Row],[Points]])))</f>
      </c>
      <c r="K37" s="17">
        <f>IF(Items[[#This Row],[ID]]="","",IFERROR(LOOKUP(2,1/((Log[ID]=Items[[#This Row],[ID]])*(Log[Verb]="pass")),Log[Arg])&amp;"",Items[[#This Row],[Team]]&amp;""))</f>
      </c>
      <c r="L37" s="17">
        <f>IF(Items[[#This Row],[ID]]="","",IFERROR(LOOKUP(2,1/((Log[ID]=Items[[#This Row],[ID]])*(Log[Into]&lt;&gt;"")),Log[Into]),""))</f>
      </c>
      <c r="M37" s="17">
        <f>IF(Items[[#This Row],[ID]]="","",IF(IFERROR(LOOKUP(2,1/((Log[ID]=Items[[#This Row],[ID]])*(Log[Blk]&lt;&gt;"")),Log[Blk]),0)=1,"Y",""))</f>
      </c>
      <c r="N37" s="17">
        <f>IF(Items[[#This Row],[ID]]="","",SUBSTITUTE(IFERROR(LOOKUP(2,1/((Log[ID]=Items[[#This Row],[ID]])*(Log[State]&lt;&gt;"")),Log[State]),"TODO"),"OPEN",IF(Items[[#This Row],[Blocked]]="Y","WAIT","OPEN")))</f>
      </c>
      <c r="O3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7" s="17">
        <f>IF(Items[[#This Row],[State]]&lt;&gt;"WAIT","",AsOf-Items[[#This Row],[Blocked since]])</f>
      </c>
      <c r="Q37" s="17">
        <f>IF(Items[[#This Row],[State]]&lt;&gt;"WAIT","",IFERROR(LOOKUP(2,1/((Log[ID]=Items[[#This Row],[ID]])*(Log[Verb]="block")),Log[Note])&amp;"",""))</f>
      </c>
      <c r="R37" s="17">
        <f>IF(Items[[#This Row],[ID]]="","",COUNTIFS(Log[ID],Items[[#This Row],[ID]],Log[Verb],"carry"))</f>
      </c>
      <c r="S37" s="17">
        <f>IF(Items[[#This Row],[ID]]="","",COUNTIFS(Log[ID],Items[[#This Row],[ID]],Log[Verb],"punt"))</f>
      </c>
      <c r="T37" s="11">
        <f>IF(Items[[#This Row],[State]]&lt;&gt;"DONE","",IFERROR(LOOKUP(2,1/((Log[ID]=Items[[#This Row],[ID]])*(Log[Verb]="done")),Log[Date]),""))</f>
      </c>
      <c r="U37" s="17">
        <f>IF(Items[[#This Row],[ID]]="","",IF(AND(Items[[#This Row],[Sprint]]=CurSprint,OR(Items[[#This Row],[State]]="OPEN",Items[[#This Row],[State]]="WAIT",Items[[#This Row],[State]]="HOLD",Items[[#This Row],[State]]="DONE")),1,0))</f>
      </c>
      <c r="V37" s="17">
        <f>IF(OR(Items[[#This Row],[ID]]="",Items[[#This Row],[Added]]=""),"",AsOf-Items[[#This Row],[Added]])</f>
      </c>
      <c r="W37" s="17">
        <f>IF(Items[[#This Row],[In sprint]]=1,(IF(Items[[#This Row],[Prio]]="",9,N(Items[[#This Row],[Prio]]))*10+(IF(Items[[#This Row],[State]]="DONE",1,0)))*100000+ROW(),"")</f>
      </c>
      <c r="X3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7" s="17">
        <f>IF(AND(Items[[#This Row],[State]]="DONE",N(Items[[#This Row],[Done on]])&gt;AsOf-7),(200000-N(Items[[#This Row],[Done on]]))*100000+ROW(),"")</f>
      </c>
    </row>
    <row r="38">
      <c r="A38" t="s">
        <v>188</v>
      </c>
      <c r="B38" t="s">
        <v>1189</v>
      </c>
      <c r="C38" t="s">
        <v>1115</v>
      </c>
      <c r="D38" t="s">
        <v>1119</v>
      </c>
      <c r="E38" t="s">
        <v>1120</v>
      </c>
      <c r="F38" t="s">
        <v>1121</v>
      </c>
      <c r="G38">
        <v>8</v>
      </c>
      <c r="H38">
        <v>3</v>
      </c>
      <c r="I38" s="11">
        <v>46063</v>
      </c>
      <c r="J38" s="17">
        <f>IF(Items[[#This Row],[ID]]="","",IFERROR(VALUE(LOOKUP(2,1/((Log[ID]=Items[[#This Row],[ID]])*(Log[Verb]="est")),Log[Arg])),N(Items[[#This Row],[Points]])))</f>
      </c>
      <c r="K38" s="17">
        <f>IF(Items[[#This Row],[ID]]="","",IFERROR(LOOKUP(2,1/((Log[ID]=Items[[#This Row],[ID]])*(Log[Verb]="pass")),Log[Arg])&amp;"",Items[[#This Row],[Team]]&amp;""))</f>
      </c>
      <c r="L38" s="17">
        <f>IF(Items[[#This Row],[ID]]="","",IFERROR(LOOKUP(2,1/((Log[ID]=Items[[#This Row],[ID]])*(Log[Into]&lt;&gt;"")),Log[Into]),""))</f>
      </c>
      <c r="M38" s="17">
        <f>IF(Items[[#This Row],[ID]]="","",IF(IFERROR(LOOKUP(2,1/((Log[ID]=Items[[#This Row],[ID]])*(Log[Blk]&lt;&gt;"")),Log[Blk]),0)=1,"Y",""))</f>
      </c>
      <c r="N38" s="17">
        <f>IF(Items[[#This Row],[ID]]="","",SUBSTITUTE(IFERROR(LOOKUP(2,1/((Log[ID]=Items[[#This Row],[ID]])*(Log[State]&lt;&gt;"")),Log[State]),"TODO"),"OPEN",IF(Items[[#This Row],[Blocked]]="Y","WAIT","OPEN")))</f>
      </c>
      <c r="O3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8" s="17">
        <f>IF(Items[[#This Row],[State]]&lt;&gt;"WAIT","",AsOf-Items[[#This Row],[Blocked since]])</f>
      </c>
      <c r="Q38" s="17">
        <f>IF(Items[[#This Row],[State]]&lt;&gt;"WAIT","",IFERROR(LOOKUP(2,1/((Log[ID]=Items[[#This Row],[ID]])*(Log[Verb]="block")),Log[Note])&amp;"",""))</f>
      </c>
      <c r="R38" s="17">
        <f>IF(Items[[#This Row],[ID]]="","",COUNTIFS(Log[ID],Items[[#This Row],[ID]],Log[Verb],"carry"))</f>
      </c>
      <c r="S38" s="17">
        <f>IF(Items[[#This Row],[ID]]="","",COUNTIFS(Log[ID],Items[[#This Row],[ID]],Log[Verb],"punt"))</f>
      </c>
      <c r="T38" s="11">
        <f>IF(Items[[#This Row],[State]]&lt;&gt;"DONE","",IFERROR(LOOKUP(2,1/((Log[ID]=Items[[#This Row],[ID]])*(Log[Verb]="done")),Log[Date]),""))</f>
      </c>
      <c r="U38" s="17">
        <f>IF(Items[[#This Row],[ID]]="","",IF(AND(Items[[#This Row],[Sprint]]=CurSprint,OR(Items[[#This Row],[State]]="OPEN",Items[[#This Row],[State]]="WAIT",Items[[#This Row],[State]]="HOLD",Items[[#This Row],[State]]="DONE")),1,0))</f>
      </c>
      <c r="V38" s="17">
        <f>IF(OR(Items[[#This Row],[ID]]="",Items[[#This Row],[Added]]=""),"",AsOf-Items[[#This Row],[Added]])</f>
      </c>
      <c r="W38" s="17">
        <f>IF(Items[[#This Row],[In sprint]]=1,(IF(Items[[#This Row],[Prio]]="",9,N(Items[[#This Row],[Prio]]))*10+(IF(Items[[#This Row],[State]]="DONE",1,0)))*100000+ROW(),"")</f>
      </c>
      <c r="X3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8" s="17">
        <f>IF(AND(Items[[#This Row],[State]]="DONE",N(Items[[#This Row],[Done on]])&gt;AsOf-7),(200000-N(Items[[#This Row],[Done on]]))*100000+ROW(),"")</f>
      </c>
    </row>
    <row r="39">
      <c r="A39" t="s">
        <v>189</v>
      </c>
      <c r="B39" t="s">
        <v>1190</v>
      </c>
      <c r="C39" t="s">
        <v>1115</v>
      </c>
      <c r="D39" t="s">
        <v>1119</v>
      </c>
      <c r="E39" t="s">
        <v>1120</v>
      </c>
      <c r="F39" t="s">
        <v>1191</v>
      </c>
      <c r="G39">
        <v>8</v>
      </c>
      <c r="H39">
        <v>1</v>
      </c>
      <c r="I39" s="11">
        <v>46063</v>
      </c>
      <c r="J39" s="17">
        <f>IF(Items[[#This Row],[ID]]="","",IFERROR(VALUE(LOOKUP(2,1/((Log[ID]=Items[[#This Row],[ID]])*(Log[Verb]="est")),Log[Arg])),N(Items[[#This Row],[Points]])))</f>
      </c>
      <c r="K39" s="17">
        <f>IF(Items[[#This Row],[ID]]="","",IFERROR(LOOKUP(2,1/((Log[ID]=Items[[#This Row],[ID]])*(Log[Verb]="pass")),Log[Arg])&amp;"",Items[[#This Row],[Team]]&amp;""))</f>
      </c>
      <c r="L39" s="17">
        <f>IF(Items[[#This Row],[ID]]="","",IFERROR(LOOKUP(2,1/((Log[ID]=Items[[#This Row],[ID]])*(Log[Into]&lt;&gt;"")),Log[Into]),""))</f>
      </c>
      <c r="M39" s="17">
        <f>IF(Items[[#This Row],[ID]]="","",IF(IFERROR(LOOKUP(2,1/((Log[ID]=Items[[#This Row],[ID]])*(Log[Blk]&lt;&gt;"")),Log[Blk]),0)=1,"Y",""))</f>
      </c>
      <c r="N39" s="17">
        <f>IF(Items[[#This Row],[ID]]="","",SUBSTITUTE(IFERROR(LOOKUP(2,1/((Log[ID]=Items[[#This Row],[ID]])*(Log[State]&lt;&gt;"")),Log[State]),"TODO"),"OPEN",IF(Items[[#This Row],[Blocked]]="Y","WAIT","OPEN")))</f>
      </c>
      <c r="O3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9" s="17">
        <f>IF(Items[[#This Row],[State]]&lt;&gt;"WAIT","",AsOf-Items[[#This Row],[Blocked since]])</f>
      </c>
      <c r="Q39" s="17">
        <f>IF(Items[[#This Row],[State]]&lt;&gt;"WAIT","",IFERROR(LOOKUP(2,1/((Log[ID]=Items[[#This Row],[ID]])*(Log[Verb]="block")),Log[Note])&amp;"",""))</f>
      </c>
      <c r="R39" s="17">
        <f>IF(Items[[#This Row],[ID]]="","",COUNTIFS(Log[ID],Items[[#This Row],[ID]],Log[Verb],"carry"))</f>
      </c>
      <c r="S39" s="17">
        <f>IF(Items[[#This Row],[ID]]="","",COUNTIFS(Log[ID],Items[[#This Row],[ID]],Log[Verb],"punt"))</f>
      </c>
      <c r="T39" s="11">
        <f>IF(Items[[#This Row],[State]]&lt;&gt;"DONE","",IFERROR(LOOKUP(2,1/((Log[ID]=Items[[#This Row],[ID]])*(Log[Verb]="done")),Log[Date]),""))</f>
      </c>
      <c r="U39" s="17">
        <f>IF(Items[[#This Row],[ID]]="","",IF(AND(Items[[#This Row],[Sprint]]=CurSprint,OR(Items[[#This Row],[State]]="OPEN",Items[[#This Row],[State]]="WAIT",Items[[#This Row],[State]]="HOLD",Items[[#This Row],[State]]="DONE")),1,0))</f>
      </c>
      <c r="V39" s="17">
        <f>IF(OR(Items[[#This Row],[ID]]="",Items[[#This Row],[Added]]=""),"",AsOf-Items[[#This Row],[Added]])</f>
      </c>
      <c r="W39" s="17">
        <f>IF(Items[[#This Row],[In sprint]]=1,(IF(Items[[#This Row],[Prio]]="",9,N(Items[[#This Row],[Prio]]))*10+(IF(Items[[#This Row],[State]]="DONE",1,0)))*100000+ROW(),"")</f>
      </c>
      <c r="X3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9" s="17">
        <f>IF(AND(Items[[#This Row],[State]]="DONE",N(Items[[#This Row],[Done on]])&gt;AsOf-7),(200000-N(Items[[#This Row],[Done on]]))*100000+ROW(),"")</f>
      </c>
    </row>
    <row r="40">
      <c r="A40" t="s">
        <v>190</v>
      </c>
      <c r="B40" t="s">
        <v>1192</v>
      </c>
      <c r="C40" t="s">
        <v>1115</v>
      </c>
      <c r="D40" t="s">
        <v>1119</v>
      </c>
      <c r="E40" t="s">
        <v>1120</v>
      </c>
      <c r="F40" t="s">
        <v>1193</v>
      </c>
      <c r="G40">
        <v>3</v>
      </c>
      <c r="H40">
        <v>2</v>
      </c>
      <c r="I40" s="11">
        <v>46063</v>
      </c>
      <c r="J40" s="17">
        <f>IF(Items[[#This Row],[ID]]="","",IFERROR(VALUE(LOOKUP(2,1/((Log[ID]=Items[[#This Row],[ID]])*(Log[Verb]="est")),Log[Arg])),N(Items[[#This Row],[Points]])))</f>
      </c>
      <c r="K40" s="17">
        <f>IF(Items[[#This Row],[ID]]="","",IFERROR(LOOKUP(2,1/((Log[ID]=Items[[#This Row],[ID]])*(Log[Verb]="pass")),Log[Arg])&amp;"",Items[[#This Row],[Team]]&amp;""))</f>
      </c>
      <c r="L40" s="17">
        <f>IF(Items[[#This Row],[ID]]="","",IFERROR(LOOKUP(2,1/((Log[ID]=Items[[#This Row],[ID]])*(Log[Into]&lt;&gt;"")),Log[Into]),""))</f>
      </c>
      <c r="M40" s="17">
        <f>IF(Items[[#This Row],[ID]]="","",IF(IFERROR(LOOKUP(2,1/((Log[ID]=Items[[#This Row],[ID]])*(Log[Blk]&lt;&gt;"")),Log[Blk]),0)=1,"Y",""))</f>
      </c>
      <c r="N40" s="17">
        <f>IF(Items[[#This Row],[ID]]="","",SUBSTITUTE(IFERROR(LOOKUP(2,1/((Log[ID]=Items[[#This Row],[ID]])*(Log[State]&lt;&gt;"")),Log[State]),"TODO"),"OPEN",IF(Items[[#This Row],[Blocked]]="Y","WAIT","OPEN")))</f>
      </c>
      <c r="O4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0" s="17">
        <f>IF(Items[[#This Row],[State]]&lt;&gt;"WAIT","",AsOf-Items[[#This Row],[Blocked since]])</f>
      </c>
      <c r="Q40" s="17">
        <f>IF(Items[[#This Row],[State]]&lt;&gt;"WAIT","",IFERROR(LOOKUP(2,1/((Log[ID]=Items[[#This Row],[ID]])*(Log[Verb]="block")),Log[Note])&amp;"",""))</f>
      </c>
      <c r="R40" s="17">
        <f>IF(Items[[#This Row],[ID]]="","",COUNTIFS(Log[ID],Items[[#This Row],[ID]],Log[Verb],"carry"))</f>
      </c>
      <c r="S40" s="17">
        <f>IF(Items[[#This Row],[ID]]="","",COUNTIFS(Log[ID],Items[[#This Row],[ID]],Log[Verb],"punt"))</f>
      </c>
      <c r="T40" s="11">
        <f>IF(Items[[#This Row],[State]]&lt;&gt;"DONE","",IFERROR(LOOKUP(2,1/((Log[ID]=Items[[#This Row],[ID]])*(Log[Verb]="done")),Log[Date]),""))</f>
      </c>
      <c r="U40" s="17">
        <f>IF(Items[[#This Row],[ID]]="","",IF(AND(Items[[#This Row],[Sprint]]=CurSprint,OR(Items[[#This Row],[State]]="OPEN",Items[[#This Row],[State]]="WAIT",Items[[#This Row],[State]]="HOLD",Items[[#This Row],[State]]="DONE")),1,0))</f>
      </c>
      <c r="V40" s="17">
        <f>IF(OR(Items[[#This Row],[ID]]="",Items[[#This Row],[Added]]=""),"",AsOf-Items[[#This Row],[Added]])</f>
      </c>
      <c r="W40" s="17">
        <f>IF(Items[[#This Row],[In sprint]]=1,(IF(Items[[#This Row],[Prio]]="",9,N(Items[[#This Row],[Prio]]))*10+(IF(Items[[#This Row],[State]]="DONE",1,0)))*100000+ROW(),"")</f>
      </c>
      <c r="X4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0" s="17">
        <f>IF(AND(Items[[#This Row],[State]]="DONE",N(Items[[#This Row],[Done on]])&gt;AsOf-7),(200000-N(Items[[#This Row],[Done on]]))*100000+ROW(),"")</f>
      </c>
    </row>
    <row r="41">
      <c r="A41" t="s">
        <v>242</v>
      </c>
      <c r="B41" t="s">
        <v>1194</v>
      </c>
      <c r="C41" t="s">
        <v>1115</v>
      </c>
      <c r="D41" t="s">
        <v>1116</v>
      </c>
      <c r="E41" t="s">
        <v>1120</v>
      </c>
      <c r="F41" t="s">
        <v>1121</v>
      </c>
      <c r="G41">
        <v>5</v>
      </c>
      <c r="H41">
        <v>2</v>
      </c>
      <c r="I41" s="11">
        <v>46063</v>
      </c>
      <c r="J41" s="17">
        <f>IF(Items[[#This Row],[ID]]="","",IFERROR(VALUE(LOOKUP(2,1/((Log[ID]=Items[[#This Row],[ID]])*(Log[Verb]="est")),Log[Arg])),N(Items[[#This Row],[Points]])))</f>
      </c>
      <c r="K41" s="17">
        <f>IF(Items[[#This Row],[ID]]="","",IFERROR(LOOKUP(2,1/((Log[ID]=Items[[#This Row],[ID]])*(Log[Verb]="pass")),Log[Arg])&amp;"",Items[[#This Row],[Team]]&amp;""))</f>
      </c>
      <c r="L41" s="17">
        <f>IF(Items[[#This Row],[ID]]="","",IFERROR(LOOKUP(2,1/((Log[ID]=Items[[#This Row],[ID]])*(Log[Into]&lt;&gt;"")),Log[Into]),""))</f>
      </c>
      <c r="M41" s="17">
        <f>IF(Items[[#This Row],[ID]]="","",IF(IFERROR(LOOKUP(2,1/((Log[ID]=Items[[#This Row],[ID]])*(Log[Blk]&lt;&gt;"")),Log[Blk]),0)=1,"Y",""))</f>
      </c>
      <c r="N41" s="17">
        <f>IF(Items[[#This Row],[ID]]="","",SUBSTITUTE(IFERROR(LOOKUP(2,1/((Log[ID]=Items[[#This Row],[ID]])*(Log[State]&lt;&gt;"")),Log[State]),"TODO"),"OPEN",IF(Items[[#This Row],[Blocked]]="Y","WAIT","OPEN")))</f>
      </c>
      <c r="O4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1" s="17">
        <f>IF(Items[[#This Row],[State]]&lt;&gt;"WAIT","",AsOf-Items[[#This Row],[Blocked since]])</f>
      </c>
      <c r="Q41" s="17">
        <f>IF(Items[[#This Row],[State]]&lt;&gt;"WAIT","",IFERROR(LOOKUP(2,1/((Log[ID]=Items[[#This Row],[ID]])*(Log[Verb]="block")),Log[Note])&amp;"",""))</f>
      </c>
      <c r="R41" s="17">
        <f>IF(Items[[#This Row],[ID]]="","",COUNTIFS(Log[ID],Items[[#This Row],[ID]],Log[Verb],"carry"))</f>
      </c>
      <c r="S41" s="17">
        <f>IF(Items[[#This Row],[ID]]="","",COUNTIFS(Log[ID],Items[[#This Row],[ID]],Log[Verb],"punt"))</f>
      </c>
      <c r="T41" s="11">
        <f>IF(Items[[#This Row],[State]]&lt;&gt;"DONE","",IFERROR(LOOKUP(2,1/((Log[ID]=Items[[#This Row],[ID]])*(Log[Verb]="done")),Log[Date]),""))</f>
      </c>
      <c r="U41" s="17">
        <f>IF(Items[[#This Row],[ID]]="","",IF(AND(Items[[#This Row],[Sprint]]=CurSprint,OR(Items[[#This Row],[State]]="OPEN",Items[[#This Row],[State]]="WAIT",Items[[#This Row],[State]]="HOLD",Items[[#This Row],[State]]="DONE")),1,0))</f>
      </c>
      <c r="V41" s="17">
        <f>IF(OR(Items[[#This Row],[ID]]="",Items[[#This Row],[Added]]=""),"",AsOf-Items[[#This Row],[Added]])</f>
      </c>
      <c r="W41" s="17">
        <f>IF(Items[[#This Row],[In sprint]]=1,(IF(Items[[#This Row],[Prio]]="",9,N(Items[[#This Row],[Prio]]))*10+(IF(Items[[#This Row],[State]]="DONE",1,0)))*100000+ROW(),"")</f>
      </c>
      <c r="X4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1" s="17">
        <f>IF(AND(Items[[#This Row],[State]]="DONE",N(Items[[#This Row],[Done on]])&gt;AsOf-7),(200000-N(Items[[#This Row],[Done on]]))*100000+ROW(),"")</f>
      </c>
    </row>
    <row r="42">
      <c r="A42" t="s">
        <v>194</v>
      </c>
      <c r="B42" t="s">
        <v>1195</v>
      </c>
      <c r="C42" t="s">
        <v>1107</v>
      </c>
      <c r="D42" t="s">
        <v>1123</v>
      </c>
      <c r="E42" t="s">
        <v>1124</v>
      </c>
      <c r="F42" t="s">
        <v>1155</v>
      </c>
      <c r="G42">
        <v>5</v>
      </c>
      <c r="H42">
        <v>2</v>
      </c>
      <c r="I42" s="11">
        <v>46063</v>
      </c>
      <c r="J42" s="17">
        <f>IF(Items[[#This Row],[ID]]="","",IFERROR(VALUE(LOOKUP(2,1/((Log[ID]=Items[[#This Row],[ID]])*(Log[Verb]="est")),Log[Arg])),N(Items[[#This Row],[Points]])))</f>
      </c>
      <c r="K42" s="17">
        <f>IF(Items[[#This Row],[ID]]="","",IFERROR(LOOKUP(2,1/((Log[ID]=Items[[#This Row],[ID]])*(Log[Verb]="pass")),Log[Arg])&amp;"",Items[[#This Row],[Team]]&amp;""))</f>
      </c>
      <c r="L42" s="17">
        <f>IF(Items[[#This Row],[ID]]="","",IFERROR(LOOKUP(2,1/((Log[ID]=Items[[#This Row],[ID]])*(Log[Into]&lt;&gt;"")),Log[Into]),""))</f>
      </c>
      <c r="M42" s="17">
        <f>IF(Items[[#This Row],[ID]]="","",IF(IFERROR(LOOKUP(2,1/((Log[ID]=Items[[#This Row],[ID]])*(Log[Blk]&lt;&gt;"")),Log[Blk]),0)=1,"Y",""))</f>
      </c>
      <c r="N42" s="17">
        <f>IF(Items[[#This Row],[ID]]="","",SUBSTITUTE(IFERROR(LOOKUP(2,1/((Log[ID]=Items[[#This Row],[ID]])*(Log[State]&lt;&gt;"")),Log[State]),"TODO"),"OPEN",IF(Items[[#This Row],[Blocked]]="Y","WAIT","OPEN")))</f>
      </c>
      <c r="O4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2" s="17">
        <f>IF(Items[[#This Row],[State]]&lt;&gt;"WAIT","",AsOf-Items[[#This Row],[Blocked since]])</f>
      </c>
      <c r="Q42" s="17">
        <f>IF(Items[[#This Row],[State]]&lt;&gt;"WAIT","",IFERROR(LOOKUP(2,1/((Log[ID]=Items[[#This Row],[ID]])*(Log[Verb]="block")),Log[Note])&amp;"",""))</f>
      </c>
      <c r="R42" s="17">
        <f>IF(Items[[#This Row],[ID]]="","",COUNTIFS(Log[ID],Items[[#This Row],[ID]],Log[Verb],"carry"))</f>
      </c>
      <c r="S42" s="17">
        <f>IF(Items[[#This Row],[ID]]="","",COUNTIFS(Log[ID],Items[[#This Row],[ID]],Log[Verb],"punt"))</f>
      </c>
      <c r="T42" s="11">
        <f>IF(Items[[#This Row],[State]]&lt;&gt;"DONE","",IFERROR(LOOKUP(2,1/((Log[ID]=Items[[#This Row],[ID]])*(Log[Verb]="done")),Log[Date]),""))</f>
      </c>
      <c r="U42" s="17">
        <f>IF(Items[[#This Row],[ID]]="","",IF(AND(Items[[#This Row],[Sprint]]=CurSprint,OR(Items[[#This Row],[State]]="OPEN",Items[[#This Row],[State]]="WAIT",Items[[#This Row],[State]]="HOLD",Items[[#This Row],[State]]="DONE")),1,0))</f>
      </c>
      <c r="V42" s="17">
        <f>IF(OR(Items[[#This Row],[ID]]="",Items[[#This Row],[Added]]=""),"",AsOf-Items[[#This Row],[Added]])</f>
      </c>
      <c r="W42" s="17">
        <f>IF(Items[[#This Row],[In sprint]]=1,(IF(Items[[#This Row],[Prio]]="",9,N(Items[[#This Row],[Prio]]))*10+(IF(Items[[#This Row],[State]]="DONE",1,0)))*100000+ROW(),"")</f>
      </c>
      <c r="X4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2" s="17">
        <f>IF(AND(Items[[#This Row],[State]]="DONE",N(Items[[#This Row],[Done on]])&gt;AsOf-7),(200000-N(Items[[#This Row],[Done on]]))*100000+ROW(),"")</f>
      </c>
    </row>
    <row r="43">
      <c r="A43" t="s">
        <v>195</v>
      </c>
      <c r="B43" t="s">
        <v>1196</v>
      </c>
      <c r="C43" t="s">
        <v>1115</v>
      </c>
      <c r="D43" t="s">
        <v>1116</v>
      </c>
      <c r="E43" t="s">
        <v>1124</v>
      </c>
      <c r="F43" t="s">
        <v>1155</v>
      </c>
      <c r="G43">
        <v>8</v>
      </c>
      <c r="H43">
        <v>3</v>
      </c>
      <c r="I43" s="11">
        <v>46063</v>
      </c>
      <c r="J43" s="17">
        <f>IF(Items[[#This Row],[ID]]="","",IFERROR(VALUE(LOOKUP(2,1/((Log[ID]=Items[[#This Row],[ID]])*(Log[Verb]="est")),Log[Arg])),N(Items[[#This Row],[Points]])))</f>
      </c>
      <c r="K43" s="17">
        <f>IF(Items[[#This Row],[ID]]="","",IFERROR(LOOKUP(2,1/((Log[ID]=Items[[#This Row],[ID]])*(Log[Verb]="pass")),Log[Arg])&amp;"",Items[[#This Row],[Team]]&amp;""))</f>
      </c>
      <c r="L43" s="17">
        <f>IF(Items[[#This Row],[ID]]="","",IFERROR(LOOKUP(2,1/((Log[ID]=Items[[#This Row],[ID]])*(Log[Into]&lt;&gt;"")),Log[Into]),""))</f>
      </c>
      <c r="M43" s="17">
        <f>IF(Items[[#This Row],[ID]]="","",IF(IFERROR(LOOKUP(2,1/((Log[ID]=Items[[#This Row],[ID]])*(Log[Blk]&lt;&gt;"")),Log[Blk]),0)=1,"Y",""))</f>
      </c>
      <c r="N43" s="17">
        <f>IF(Items[[#This Row],[ID]]="","",SUBSTITUTE(IFERROR(LOOKUP(2,1/((Log[ID]=Items[[#This Row],[ID]])*(Log[State]&lt;&gt;"")),Log[State]),"TODO"),"OPEN",IF(Items[[#This Row],[Blocked]]="Y","WAIT","OPEN")))</f>
      </c>
      <c r="O4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3" s="17">
        <f>IF(Items[[#This Row],[State]]&lt;&gt;"WAIT","",AsOf-Items[[#This Row],[Blocked since]])</f>
      </c>
      <c r="Q43" s="17">
        <f>IF(Items[[#This Row],[State]]&lt;&gt;"WAIT","",IFERROR(LOOKUP(2,1/((Log[ID]=Items[[#This Row],[ID]])*(Log[Verb]="block")),Log[Note])&amp;"",""))</f>
      </c>
      <c r="R43" s="17">
        <f>IF(Items[[#This Row],[ID]]="","",COUNTIFS(Log[ID],Items[[#This Row],[ID]],Log[Verb],"carry"))</f>
      </c>
      <c r="S43" s="17">
        <f>IF(Items[[#This Row],[ID]]="","",COUNTIFS(Log[ID],Items[[#This Row],[ID]],Log[Verb],"punt"))</f>
      </c>
      <c r="T43" s="11">
        <f>IF(Items[[#This Row],[State]]&lt;&gt;"DONE","",IFERROR(LOOKUP(2,1/((Log[ID]=Items[[#This Row],[ID]])*(Log[Verb]="done")),Log[Date]),""))</f>
      </c>
      <c r="U43" s="17">
        <f>IF(Items[[#This Row],[ID]]="","",IF(AND(Items[[#This Row],[Sprint]]=CurSprint,OR(Items[[#This Row],[State]]="OPEN",Items[[#This Row],[State]]="WAIT",Items[[#This Row],[State]]="HOLD",Items[[#This Row],[State]]="DONE")),1,0))</f>
      </c>
      <c r="V43" s="17">
        <f>IF(OR(Items[[#This Row],[ID]]="",Items[[#This Row],[Added]]=""),"",AsOf-Items[[#This Row],[Added]])</f>
      </c>
      <c r="W43" s="17">
        <f>IF(Items[[#This Row],[In sprint]]=1,(IF(Items[[#This Row],[Prio]]="",9,N(Items[[#This Row],[Prio]]))*10+(IF(Items[[#This Row],[State]]="DONE",1,0)))*100000+ROW(),"")</f>
      </c>
      <c r="X4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3" s="17">
        <f>IF(AND(Items[[#This Row],[State]]="DONE",N(Items[[#This Row],[Done on]])&gt;AsOf-7),(200000-N(Items[[#This Row],[Done on]]))*100000+ROW(),"")</f>
      </c>
    </row>
    <row r="44">
      <c r="A44" t="s">
        <v>196</v>
      </c>
      <c r="B44" t="s">
        <v>1197</v>
      </c>
      <c r="C44" t="s">
        <v>1107</v>
      </c>
      <c r="D44" t="s">
        <v>1127</v>
      </c>
      <c r="E44" t="s">
        <v>1124</v>
      </c>
      <c r="F44" t="s">
        <v>1198</v>
      </c>
      <c r="G44">
        <v>5</v>
      </c>
      <c r="H44">
        <v>1</v>
      </c>
      <c r="I44" s="11">
        <v>46063</v>
      </c>
      <c r="J44" s="17">
        <f>IF(Items[[#This Row],[ID]]="","",IFERROR(VALUE(LOOKUP(2,1/((Log[ID]=Items[[#This Row],[ID]])*(Log[Verb]="est")),Log[Arg])),N(Items[[#This Row],[Points]])))</f>
      </c>
      <c r="K44" s="17">
        <f>IF(Items[[#This Row],[ID]]="","",IFERROR(LOOKUP(2,1/((Log[ID]=Items[[#This Row],[ID]])*(Log[Verb]="pass")),Log[Arg])&amp;"",Items[[#This Row],[Team]]&amp;""))</f>
      </c>
      <c r="L44" s="17">
        <f>IF(Items[[#This Row],[ID]]="","",IFERROR(LOOKUP(2,1/((Log[ID]=Items[[#This Row],[ID]])*(Log[Into]&lt;&gt;"")),Log[Into]),""))</f>
      </c>
      <c r="M44" s="17">
        <f>IF(Items[[#This Row],[ID]]="","",IF(IFERROR(LOOKUP(2,1/((Log[ID]=Items[[#This Row],[ID]])*(Log[Blk]&lt;&gt;"")),Log[Blk]),0)=1,"Y",""))</f>
      </c>
      <c r="N44" s="17">
        <f>IF(Items[[#This Row],[ID]]="","",SUBSTITUTE(IFERROR(LOOKUP(2,1/((Log[ID]=Items[[#This Row],[ID]])*(Log[State]&lt;&gt;"")),Log[State]),"TODO"),"OPEN",IF(Items[[#This Row],[Blocked]]="Y","WAIT","OPEN")))</f>
      </c>
      <c r="O4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4" s="17">
        <f>IF(Items[[#This Row],[State]]&lt;&gt;"WAIT","",AsOf-Items[[#This Row],[Blocked since]])</f>
      </c>
      <c r="Q44" s="17">
        <f>IF(Items[[#This Row],[State]]&lt;&gt;"WAIT","",IFERROR(LOOKUP(2,1/((Log[ID]=Items[[#This Row],[ID]])*(Log[Verb]="block")),Log[Note])&amp;"",""))</f>
      </c>
      <c r="R44" s="17">
        <f>IF(Items[[#This Row],[ID]]="","",COUNTIFS(Log[ID],Items[[#This Row],[ID]],Log[Verb],"carry"))</f>
      </c>
      <c r="S44" s="17">
        <f>IF(Items[[#This Row],[ID]]="","",COUNTIFS(Log[ID],Items[[#This Row],[ID]],Log[Verb],"punt"))</f>
      </c>
      <c r="T44" s="11">
        <f>IF(Items[[#This Row],[State]]&lt;&gt;"DONE","",IFERROR(LOOKUP(2,1/((Log[ID]=Items[[#This Row],[ID]])*(Log[Verb]="done")),Log[Date]),""))</f>
      </c>
      <c r="U44" s="17">
        <f>IF(Items[[#This Row],[ID]]="","",IF(AND(Items[[#This Row],[Sprint]]=CurSprint,OR(Items[[#This Row],[State]]="OPEN",Items[[#This Row],[State]]="WAIT",Items[[#This Row],[State]]="HOLD",Items[[#This Row],[State]]="DONE")),1,0))</f>
      </c>
      <c r="V44" s="17">
        <f>IF(OR(Items[[#This Row],[ID]]="",Items[[#This Row],[Added]]=""),"",AsOf-Items[[#This Row],[Added]])</f>
      </c>
      <c r="W44" s="17">
        <f>IF(Items[[#This Row],[In sprint]]=1,(IF(Items[[#This Row],[Prio]]="",9,N(Items[[#This Row],[Prio]]))*10+(IF(Items[[#This Row],[State]]="DONE",1,0)))*100000+ROW(),"")</f>
      </c>
      <c r="X4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4" s="17">
        <f>IF(AND(Items[[#This Row],[State]]="DONE",N(Items[[#This Row],[Done on]])&gt;AsOf-7),(200000-N(Items[[#This Row],[Done on]]))*100000+ROW(),"")</f>
      </c>
    </row>
    <row r="45">
      <c r="A45" t="s">
        <v>197</v>
      </c>
      <c r="B45" t="s">
        <v>1199</v>
      </c>
      <c r="C45" t="s">
        <v>1107</v>
      </c>
      <c r="D45" t="s">
        <v>1127</v>
      </c>
      <c r="E45" t="s">
        <v>1124</v>
      </c>
      <c r="F45" t="s">
        <v>1200</v>
      </c>
      <c r="G45">
        <v>3</v>
      </c>
      <c r="H45">
        <v>1</v>
      </c>
      <c r="I45" s="11">
        <v>46063</v>
      </c>
      <c r="J45" s="17">
        <f>IF(Items[[#This Row],[ID]]="","",IFERROR(VALUE(LOOKUP(2,1/((Log[ID]=Items[[#This Row],[ID]])*(Log[Verb]="est")),Log[Arg])),N(Items[[#This Row],[Points]])))</f>
      </c>
      <c r="K45" s="17">
        <f>IF(Items[[#This Row],[ID]]="","",IFERROR(LOOKUP(2,1/((Log[ID]=Items[[#This Row],[ID]])*(Log[Verb]="pass")),Log[Arg])&amp;"",Items[[#This Row],[Team]]&amp;""))</f>
      </c>
      <c r="L45" s="17">
        <f>IF(Items[[#This Row],[ID]]="","",IFERROR(LOOKUP(2,1/((Log[ID]=Items[[#This Row],[ID]])*(Log[Into]&lt;&gt;"")),Log[Into]),""))</f>
      </c>
      <c r="M45" s="17">
        <f>IF(Items[[#This Row],[ID]]="","",IF(IFERROR(LOOKUP(2,1/((Log[ID]=Items[[#This Row],[ID]])*(Log[Blk]&lt;&gt;"")),Log[Blk]),0)=1,"Y",""))</f>
      </c>
      <c r="N45" s="17">
        <f>IF(Items[[#This Row],[ID]]="","",SUBSTITUTE(IFERROR(LOOKUP(2,1/((Log[ID]=Items[[#This Row],[ID]])*(Log[State]&lt;&gt;"")),Log[State]),"TODO"),"OPEN",IF(Items[[#This Row],[Blocked]]="Y","WAIT","OPEN")))</f>
      </c>
      <c r="O4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5" s="17">
        <f>IF(Items[[#This Row],[State]]&lt;&gt;"WAIT","",AsOf-Items[[#This Row],[Blocked since]])</f>
      </c>
      <c r="Q45" s="17">
        <f>IF(Items[[#This Row],[State]]&lt;&gt;"WAIT","",IFERROR(LOOKUP(2,1/((Log[ID]=Items[[#This Row],[ID]])*(Log[Verb]="block")),Log[Note])&amp;"",""))</f>
      </c>
      <c r="R45" s="17">
        <f>IF(Items[[#This Row],[ID]]="","",COUNTIFS(Log[ID],Items[[#This Row],[ID]],Log[Verb],"carry"))</f>
      </c>
      <c r="S45" s="17">
        <f>IF(Items[[#This Row],[ID]]="","",COUNTIFS(Log[ID],Items[[#This Row],[ID]],Log[Verb],"punt"))</f>
      </c>
      <c r="T45" s="11">
        <f>IF(Items[[#This Row],[State]]&lt;&gt;"DONE","",IFERROR(LOOKUP(2,1/((Log[ID]=Items[[#This Row],[ID]])*(Log[Verb]="done")),Log[Date]),""))</f>
      </c>
      <c r="U45" s="17">
        <f>IF(Items[[#This Row],[ID]]="","",IF(AND(Items[[#This Row],[Sprint]]=CurSprint,OR(Items[[#This Row],[State]]="OPEN",Items[[#This Row],[State]]="WAIT",Items[[#This Row],[State]]="HOLD",Items[[#This Row],[State]]="DONE")),1,0))</f>
      </c>
      <c r="V45" s="17">
        <f>IF(OR(Items[[#This Row],[ID]]="",Items[[#This Row],[Added]]=""),"",AsOf-Items[[#This Row],[Added]])</f>
      </c>
      <c r="W45" s="17">
        <f>IF(Items[[#This Row],[In sprint]]=1,(IF(Items[[#This Row],[Prio]]="",9,N(Items[[#This Row],[Prio]]))*10+(IF(Items[[#This Row],[State]]="DONE",1,0)))*100000+ROW(),"")</f>
      </c>
      <c r="X4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5" s="17">
        <f>IF(AND(Items[[#This Row],[State]]="DONE",N(Items[[#This Row],[Done on]])&gt;AsOf-7),(200000-N(Items[[#This Row],[Done on]]))*100000+ROW(),"")</f>
      </c>
    </row>
    <row r="46">
      <c r="A46" t="s">
        <v>198</v>
      </c>
      <c r="B46" t="s">
        <v>1201</v>
      </c>
      <c r="C46" t="s">
        <v>1115</v>
      </c>
      <c r="D46" t="s">
        <v>1116</v>
      </c>
      <c r="E46" t="s">
        <v>1124</v>
      </c>
      <c r="F46" t="s">
        <v>1198</v>
      </c>
      <c r="G46">
        <v>3</v>
      </c>
      <c r="H46">
        <v>2</v>
      </c>
      <c r="I46" s="11">
        <v>46063</v>
      </c>
      <c r="J46" s="17">
        <f>IF(Items[[#This Row],[ID]]="","",IFERROR(VALUE(LOOKUP(2,1/((Log[ID]=Items[[#This Row],[ID]])*(Log[Verb]="est")),Log[Arg])),N(Items[[#This Row],[Points]])))</f>
      </c>
      <c r="K46" s="17">
        <f>IF(Items[[#This Row],[ID]]="","",IFERROR(LOOKUP(2,1/((Log[ID]=Items[[#This Row],[ID]])*(Log[Verb]="pass")),Log[Arg])&amp;"",Items[[#This Row],[Team]]&amp;""))</f>
      </c>
      <c r="L46" s="17">
        <f>IF(Items[[#This Row],[ID]]="","",IFERROR(LOOKUP(2,1/((Log[ID]=Items[[#This Row],[ID]])*(Log[Into]&lt;&gt;"")),Log[Into]),""))</f>
      </c>
      <c r="M46" s="17">
        <f>IF(Items[[#This Row],[ID]]="","",IF(IFERROR(LOOKUP(2,1/((Log[ID]=Items[[#This Row],[ID]])*(Log[Blk]&lt;&gt;"")),Log[Blk]),0)=1,"Y",""))</f>
      </c>
      <c r="N46" s="17">
        <f>IF(Items[[#This Row],[ID]]="","",SUBSTITUTE(IFERROR(LOOKUP(2,1/((Log[ID]=Items[[#This Row],[ID]])*(Log[State]&lt;&gt;"")),Log[State]),"TODO"),"OPEN",IF(Items[[#This Row],[Blocked]]="Y","WAIT","OPEN")))</f>
      </c>
      <c r="O4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6" s="17">
        <f>IF(Items[[#This Row],[State]]&lt;&gt;"WAIT","",AsOf-Items[[#This Row],[Blocked since]])</f>
      </c>
      <c r="Q46" s="17">
        <f>IF(Items[[#This Row],[State]]&lt;&gt;"WAIT","",IFERROR(LOOKUP(2,1/((Log[ID]=Items[[#This Row],[ID]])*(Log[Verb]="block")),Log[Note])&amp;"",""))</f>
      </c>
      <c r="R46" s="17">
        <f>IF(Items[[#This Row],[ID]]="","",COUNTIFS(Log[ID],Items[[#This Row],[ID]],Log[Verb],"carry"))</f>
      </c>
      <c r="S46" s="17">
        <f>IF(Items[[#This Row],[ID]]="","",COUNTIFS(Log[ID],Items[[#This Row],[ID]],Log[Verb],"punt"))</f>
      </c>
      <c r="T46" s="11">
        <f>IF(Items[[#This Row],[State]]&lt;&gt;"DONE","",IFERROR(LOOKUP(2,1/((Log[ID]=Items[[#This Row],[ID]])*(Log[Verb]="done")),Log[Date]),""))</f>
      </c>
      <c r="U46" s="17">
        <f>IF(Items[[#This Row],[ID]]="","",IF(AND(Items[[#This Row],[Sprint]]=CurSprint,OR(Items[[#This Row],[State]]="OPEN",Items[[#This Row],[State]]="WAIT",Items[[#This Row],[State]]="HOLD",Items[[#This Row],[State]]="DONE")),1,0))</f>
      </c>
      <c r="V46" s="17">
        <f>IF(OR(Items[[#This Row],[ID]]="",Items[[#This Row],[Added]]=""),"",AsOf-Items[[#This Row],[Added]])</f>
      </c>
      <c r="W46" s="17">
        <f>IF(Items[[#This Row],[In sprint]]=1,(IF(Items[[#This Row],[Prio]]="",9,N(Items[[#This Row],[Prio]]))*10+(IF(Items[[#This Row],[State]]="DONE",1,0)))*100000+ROW(),"")</f>
      </c>
      <c r="X4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6" s="17">
        <f>IF(AND(Items[[#This Row],[State]]="DONE",N(Items[[#This Row],[Done on]])&gt;AsOf-7),(200000-N(Items[[#This Row],[Done on]]))*100000+ROW(),"")</f>
      </c>
    </row>
    <row r="47">
      <c r="A47" t="s">
        <v>250</v>
      </c>
      <c r="B47" t="s">
        <v>1202</v>
      </c>
      <c r="C47" t="s">
        <v>1107</v>
      </c>
      <c r="D47" t="s">
        <v>1108</v>
      </c>
      <c r="E47" t="s">
        <v>1124</v>
      </c>
      <c r="F47" t="s">
        <v>1203</v>
      </c>
      <c r="G47">
        <v>2</v>
      </c>
      <c r="H47">
        <v>3</v>
      </c>
      <c r="I47" s="11">
        <v>46063</v>
      </c>
      <c r="J47" s="17">
        <f>IF(Items[[#This Row],[ID]]="","",IFERROR(VALUE(LOOKUP(2,1/((Log[ID]=Items[[#This Row],[ID]])*(Log[Verb]="est")),Log[Arg])),N(Items[[#This Row],[Points]])))</f>
      </c>
      <c r="K47" s="17">
        <f>IF(Items[[#This Row],[ID]]="","",IFERROR(LOOKUP(2,1/((Log[ID]=Items[[#This Row],[ID]])*(Log[Verb]="pass")),Log[Arg])&amp;"",Items[[#This Row],[Team]]&amp;""))</f>
      </c>
      <c r="L47" s="17">
        <f>IF(Items[[#This Row],[ID]]="","",IFERROR(LOOKUP(2,1/((Log[ID]=Items[[#This Row],[ID]])*(Log[Into]&lt;&gt;"")),Log[Into]),""))</f>
      </c>
      <c r="M47" s="17">
        <f>IF(Items[[#This Row],[ID]]="","",IF(IFERROR(LOOKUP(2,1/((Log[ID]=Items[[#This Row],[ID]])*(Log[Blk]&lt;&gt;"")),Log[Blk]),0)=1,"Y",""))</f>
      </c>
      <c r="N47" s="17">
        <f>IF(Items[[#This Row],[ID]]="","",SUBSTITUTE(IFERROR(LOOKUP(2,1/((Log[ID]=Items[[#This Row],[ID]])*(Log[State]&lt;&gt;"")),Log[State]),"TODO"),"OPEN",IF(Items[[#This Row],[Blocked]]="Y","WAIT","OPEN")))</f>
      </c>
      <c r="O4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7" s="17">
        <f>IF(Items[[#This Row],[State]]&lt;&gt;"WAIT","",AsOf-Items[[#This Row],[Blocked since]])</f>
      </c>
      <c r="Q47" s="17">
        <f>IF(Items[[#This Row],[State]]&lt;&gt;"WAIT","",IFERROR(LOOKUP(2,1/((Log[ID]=Items[[#This Row],[ID]])*(Log[Verb]="block")),Log[Note])&amp;"",""))</f>
      </c>
      <c r="R47" s="17">
        <f>IF(Items[[#This Row],[ID]]="","",COUNTIFS(Log[ID],Items[[#This Row],[ID]],Log[Verb],"carry"))</f>
      </c>
      <c r="S47" s="17">
        <f>IF(Items[[#This Row],[ID]]="","",COUNTIFS(Log[ID],Items[[#This Row],[ID]],Log[Verb],"punt"))</f>
      </c>
      <c r="T47" s="11">
        <f>IF(Items[[#This Row],[State]]&lt;&gt;"DONE","",IFERROR(LOOKUP(2,1/((Log[ID]=Items[[#This Row],[ID]])*(Log[Verb]="done")),Log[Date]),""))</f>
      </c>
      <c r="U47" s="17">
        <f>IF(Items[[#This Row],[ID]]="","",IF(AND(Items[[#This Row],[Sprint]]=CurSprint,OR(Items[[#This Row],[State]]="OPEN",Items[[#This Row],[State]]="WAIT",Items[[#This Row],[State]]="HOLD",Items[[#This Row],[State]]="DONE")),1,0))</f>
      </c>
      <c r="V47" s="17">
        <f>IF(OR(Items[[#This Row],[ID]]="",Items[[#This Row],[Added]]=""),"",AsOf-Items[[#This Row],[Added]])</f>
      </c>
      <c r="W47" s="17">
        <f>IF(Items[[#This Row],[In sprint]]=1,(IF(Items[[#This Row],[Prio]]="",9,N(Items[[#This Row],[Prio]]))*10+(IF(Items[[#This Row],[State]]="DONE",1,0)))*100000+ROW(),"")</f>
      </c>
      <c r="X4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7" s="17">
        <f>IF(AND(Items[[#This Row],[State]]="DONE",N(Items[[#This Row],[Done on]])&gt;AsOf-7),(200000-N(Items[[#This Row],[Done on]]))*100000+ROW(),"")</f>
      </c>
    </row>
    <row r="48">
      <c r="A48" t="s">
        <v>251</v>
      </c>
      <c r="B48" t="s">
        <v>1204</v>
      </c>
      <c r="C48" t="s">
        <v>1115</v>
      </c>
      <c r="D48" t="s">
        <v>1116</v>
      </c>
      <c r="E48" t="s">
        <v>1124</v>
      </c>
      <c r="F48" t="s">
        <v>1157</v>
      </c>
      <c r="G48">
        <v>2</v>
      </c>
      <c r="H48">
        <v>3</v>
      </c>
      <c r="I48" s="11">
        <v>46063</v>
      </c>
      <c r="J48" s="17">
        <f>IF(Items[[#This Row],[ID]]="","",IFERROR(VALUE(LOOKUP(2,1/((Log[ID]=Items[[#This Row],[ID]])*(Log[Verb]="est")),Log[Arg])),N(Items[[#This Row],[Points]])))</f>
      </c>
      <c r="K48" s="17">
        <f>IF(Items[[#This Row],[ID]]="","",IFERROR(LOOKUP(2,1/((Log[ID]=Items[[#This Row],[ID]])*(Log[Verb]="pass")),Log[Arg])&amp;"",Items[[#This Row],[Team]]&amp;""))</f>
      </c>
      <c r="L48" s="17">
        <f>IF(Items[[#This Row],[ID]]="","",IFERROR(LOOKUP(2,1/((Log[ID]=Items[[#This Row],[ID]])*(Log[Into]&lt;&gt;"")),Log[Into]),""))</f>
      </c>
      <c r="M48" s="17">
        <f>IF(Items[[#This Row],[ID]]="","",IF(IFERROR(LOOKUP(2,1/((Log[ID]=Items[[#This Row],[ID]])*(Log[Blk]&lt;&gt;"")),Log[Blk]),0)=1,"Y",""))</f>
      </c>
      <c r="N48" s="17">
        <f>IF(Items[[#This Row],[ID]]="","",SUBSTITUTE(IFERROR(LOOKUP(2,1/((Log[ID]=Items[[#This Row],[ID]])*(Log[State]&lt;&gt;"")),Log[State]),"TODO"),"OPEN",IF(Items[[#This Row],[Blocked]]="Y","WAIT","OPEN")))</f>
      </c>
      <c r="O4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8" s="17">
        <f>IF(Items[[#This Row],[State]]&lt;&gt;"WAIT","",AsOf-Items[[#This Row],[Blocked since]])</f>
      </c>
      <c r="Q48" s="17">
        <f>IF(Items[[#This Row],[State]]&lt;&gt;"WAIT","",IFERROR(LOOKUP(2,1/((Log[ID]=Items[[#This Row],[ID]])*(Log[Verb]="block")),Log[Note])&amp;"",""))</f>
      </c>
      <c r="R48" s="17">
        <f>IF(Items[[#This Row],[ID]]="","",COUNTIFS(Log[ID],Items[[#This Row],[ID]],Log[Verb],"carry"))</f>
      </c>
      <c r="S48" s="17">
        <f>IF(Items[[#This Row],[ID]]="","",COUNTIFS(Log[ID],Items[[#This Row],[ID]],Log[Verb],"punt"))</f>
      </c>
      <c r="T48" s="11">
        <f>IF(Items[[#This Row],[State]]&lt;&gt;"DONE","",IFERROR(LOOKUP(2,1/((Log[ID]=Items[[#This Row],[ID]])*(Log[Verb]="done")),Log[Date]),""))</f>
      </c>
      <c r="U48" s="17">
        <f>IF(Items[[#This Row],[ID]]="","",IF(AND(Items[[#This Row],[Sprint]]=CurSprint,OR(Items[[#This Row],[State]]="OPEN",Items[[#This Row],[State]]="WAIT",Items[[#This Row],[State]]="HOLD",Items[[#This Row],[State]]="DONE")),1,0))</f>
      </c>
      <c r="V48" s="17">
        <f>IF(OR(Items[[#This Row],[ID]]="",Items[[#This Row],[Added]]=""),"",AsOf-Items[[#This Row],[Added]])</f>
      </c>
      <c r="W48" s="17">
        <f>IF(Items[[#This Row],[In sprint]]=1,(IF(Items[[#This Row],[Prio]]="",9,N(Items[[#This Row],[Prio]]))*10+(IF(Items[[#This Row],[State]]="DONE",1,0)))*100000+ROW(),"")</f>
      </c>
      <c r="X4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8" s="17">
        <f>IF(AND(Items[[#This Row],[State]]="DONE",N(Items[[#This Row],[Done on]])&gt;AsOf-7),(200000-N(Items[[#This Row],[Done on]]))*100000+ROW(),"")</f>
      </c>
    </row>
    <row r="49">
      <c r="A49" t="s">
        <v>252</v>
      </c>
      <c r="B49" t="s">
        <v>1205</v>
      </c>
      <c r="C49" t="s">
        <v>1107</v>
      </c>
      <c r="D49" t="s">
        <v>1108</v>
      </c>
      <c r="E49" t="s">
        <v>1124</v>
      </c>
      <c r="F49" t="s">
        <v>1125</v>
      </c>
      <c r="G49">
        <v>3</v>
      </c>
      <c r="H49">
        <v>3</v>
      </c>
      <c r="I49" s="11">
        <v>46063</v>
      </c>
      <c r="J49" s="17">
        <f>IF(Items[[#This Row],[ID]]="","",IFERROR(VALUE(LOOKUP(2,1/((Log[ID]=Items[[#This Row],[ID]])*(Log[Verb]="est")),Log[Arg])),N(Items[[#This Row],[Points]])))</f>
      </c>
      <c r="K49" s="17">
        <f>IF(Items[[#This Row],[ID]]="","",IFERROR(LOOKUP(2,1/((Log[ID]=Items[[#This Row],[ID]])*(Log[Verb]="pass")),Log[Arg])&amp;"",Items[[#This Row],[Team]]&amp;""))</f>
      </c>
      <c r="L49" s="17">
        <f>IF(Items[[#This Row],[ID]]="","",IFERROR(LOOKUP(2,1/((Log[ID]=Items[[#This Row],[ID]])*(Log[Into]&lt;&gt;"")),Log[Into]),""))</f>
      </c>
      <c r="M49" s="17">
        <f>IF(Items[[#This Row],[ID]]="","",IF(IFERROR(LOOKUP(2,1/((Log[ID]=Items[[#This Row],[ID]])*(Log[Blk]&lt;&gt;"")),Log[Blk]),0)=1,"Y",""))</f>
      </c>
      <c r="N49" s="17">
        <f>IF(Items[[#This Row],[ID]]="","",SUBSTITUTE(IFERROR(LOOKUP(2,1/((Log[ID]=Items[[#This Row],[ID]])*(Log[State]&lt;&gt;"")),Log[State]),"TODO"),"OPEN",IF(Items[[#This Row],[Blocked]]="Y","WAIT","OPEN")))</f>
      </c>
      <c r="O4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9" s="17">
        <f>IF(Items[[#This Row],[State]]&lt;&gt;"WAIT","",AsOf-Items[[#This Row],[Blocked since]])</f>
      </c>
      <c r="Q49" s="17">
        <f>IF(Items[[#This Row],[State]]&lt;&gt;"WAIT","",IFERROR(LOOKUP(2,1/((Log[ID]=Items[[#This Row],[ID]])*(Log[Verb]="block")),Log[Note])&amp;"",""))</f>
      </c>
      <c r="R49" s="17">
        <f>IF(Items[[#This Row],[ID]]="","",COUNTIFS(Log[ID],Items[[#This Row],[ID]],Log[Verb],"carry"))</f>
      </c>
      <c r="S49" s="17">
        <f>IF(Items[[#This Row],[ID]]="","",COUNTIFS(Log[ID],Items[[#This Row],[ID]],Log[Verb],"punt"))</f>
      </c>
      <c r="T49" s="11">
        <f>IF(Items[[#This Row],[State]]&lt;&gt;"DONE","",IFERROR(LOOKUP(2,1/((Log[ID]=Items[[#This Row],[ID]])*(Log[Verb]="done")),Log[Date]),""))</f>
      </c>
      <c r="U49" s="17">
        <f>IF(Items[[#This Row],[ID]]="","",IF(AND(Items[[#This Row],[Sprint]]=CurSprint,OR(Items[[#This Row],[State]]="OPEN",Items[[#This Row],[State]]="WAIT",Items[[#This Row],[State]]="HOLD",Items[[#This Row],[State]]="DONE")),1,0))</f>
      </c>
      <c r="V49" s="17">
        <f>IF(OR(Items[[#This Row],[ID]]="",Items[[#This Row],[Added]]=""),"",AsOf-Items[[#This Row],[Added]])</f>
      </c>
      <c r="W49" s="17">
        <f>IF(Items[[#This Row],[In sprint]]=1,(IF(Items[[#This Row],[Prio]]="",9,N(Items[[#This Row],[Prio]]))*10+(IF(Items[[#This Row],[State]]="DONE",1,0)))*100000+ROW(),"")</f>
      </c>
      <c r="X4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9" s="17">
        <f>IF(AND(Items[[#This Row],[State]]="DONE",N(Items[[#This Row],[Done on]])&gt;AsOf-7),(200000-N(Items[[#This Row],[Done on]]))*100000+ROW(),"")</f>
      </c>
    </row>
    <row r="50">
      <c r="A50" t="s">
        <v>174</v>
      </c>
      <c r="B50" t="s">
        <v>1206</v>
      </c>
      <c r="C50" t="s">
        <v>1107</v>
      </c>
      <c r="D50" t="s">
        <v>1108</v>
      </c>
      <c r="E50" t="s">
        <v>1159</v>
      </c>
      <c r="F50" t="s">
        <v>1207</v>
      </c>
      <c r="G50">
        <v>2</v>
      </c>
      <c r="H50">
        <v>2</v>
      </c>
      <c r="I50" s="11">
        <v>46063</v>
      </c>
      <c r="J50" s="17">
        <f>IF(Items[[#This Row],[ID]]="","",IFERROR(VALUE(LOOKUP(2,1/((Log[ID]=Items[[#This Row],[ID]])*(Log[Verb]="est")),Log[Arg])),N(Items[[#This Row],[Points]])))</f>
      </c>
      <c r="K50" s="17">
        <f>IF(Items[[#This Row],[ID]]="","",IFERROR(LOOKUP(2,1/((Log[ID]=Items[[#This Row],[ID]])*(Log[Verb]="pass")),Log[Arg])&amp;"",Items[[#This Row],[Team]]&amp;""))</f>
      </c>
      <c r="L50" s="17">
        <f>IF(Items[[#This Row],[ID]]="","",IFERROR(LOOKUP(2,1/((Log[ID]=Items[[#This Row],[ID]])*(Log[Into]&lt;&gt;"")),Log[Into]),""))</f>
      </c>
      <c r="M50" s="17">
        <f>IF(Items[[#This Row],[ID]]="","",IF(IFERROR(LOOKUP(2,1/((Log[ID]=Items[[#This Row],[ID]])*(Log[Blk]&lt;&gt;"")),Log[Blk]),0)=1,"Y",""))</f>
      </c>
      <c r="N50" s="17">
        <f>IF(Items[[#This Row],[ID]]="","",SUBSTITUTE(IFERROR(LOOKUP(2,1/((Log[ID]=Items[[#This Row],[ID]])*(Log[State]&lt;&gt;"")),Log[State]),"TODO"),"OPEN",IF(Items[[#This Row],[Blocked]]="Y","WAIT","OPEN")))</f>
      </c>
      <c r="O5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0" s="17">
        <f>IF(Items[[#This Row],[State]]&lt;&gt;"WAIT","",AsOf-Items[[#This Row],[Blocked since]])</f>
      </c>
      <c r="Q50" s="17">
        <f>IF(Items[[#This Row],[State]]&lt;&gt;"WAIT","",IFERROR(LOOKUP(2,1/((Log[ID]=Items[[#This Row],[ID]])*(Log[Verb]="block")),Log[Note])&amp;"",""))</f>
      </c>
      <c r="R50" s="17">
        <f>IF(Items[[#This Row],[ID]]="","",COUNTIFS(Log[ID],Items[[#This Row],[ID]],Log[Verb],"carry"))</f>
      </c>
      <c r="S50" s="17">
        <f>IF(Items[[#This Row],[ID]]="","",COUNTIFS(Log[ID],Items[[#This Row],[ID]],Log[Verb],"punt"))</f>
      </c>
      <c r="T50" s="11">
        <f>IF(Items[[#This Row],[State]]&lt;&gt;"DONE","",IFERROR(LOOKUP(2,1/((Log[ID]=Items[[#This Row],[ID]])*(Log[Verb]="done")),Log[Date]),""))</f>
      </c>
      <c r="U50" s="17">
        <f>IF(Items[[#This Row],[ID]]="","",IF(AND(Items[[#This Row],[Sprint]]=CurSprint,OR(Items[[#This Row],[State]]="OPEN",Items[[#This Row],[State]]="WAIT",Items[[#This Row],[State]]="HOLD",Items[[#This Row],[State]]="DONE")),1,0))</f>
      </c>
      <c r="V50" s="17">
        <f>IF(OR(Items[[#This Row],[ID]]="",Items[[#This Row],[Added]]=""),"",AsOf-Items[[#This Row],[Added]])</f>
      </c>
      <c r="W50" s="17">
        <f>IF(Items[[#This Row],[In sprint]]=1,(IF(Items[[#This Row],[Prio]]="",9,N(Items[[#This Row],[Prio]]))*10+(IF(Items[[#This Row],[State]]="DONE",1,0)))*100000+ROW(),"")</f>
      </c>
      <c r="X5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0" s="17">
        <f>IF(AND(Items[[#This Row],[State]]="DONE",N(Items[[#This Row],[Done on]])&gt;AsOf-7),(200000-N(Items[[#This Row],[Done on]]))*100000+ROW(),"")</f>
      </c>
    </row>
    <row r="51">
      <c r="A51" t="s">
        <v>175</v>
      </c>
      <c r="B51" t="s">
        <v>1208</v>
      </c>
      <c r="C51" t="s">
        <v>1107</v>
      </c>
      <c r="D51" t="s">
        <v>1123</v>
      </c>
      <c r="E51" t="s">
        <v>1159</v>
      </c>
      <c r="F51" t="s">
        <v>1160</v>
      </c>
      <c r="G51">
        <v>2</v>
      </c>
      <c r="H51">
        <v>2</v>
      </c>
      <c r="I51" s="11">
        <v>46063</v>
      </c>
      <c r="J51" s="17">
        <f>IF(Items[[#This Row],[ID]]="","",IFERROR(VALUE(LOOKUP(2,1/((Log[ID]=Items[[#This Row],[ID]])*(Log[Verb]="est")),Log[Arg])),N(Items[[#This Row],[Points]])))</f>
      </c>
      <c r="K51" s="17">
        <f>IF(Items[[#This Row],[ID]]="","",IFERROR(LOOKUP(2,1/((Log[ID]=Items[[#This Row],[ID]])*(Log[Verb]="pass")),Log[Arg])&amp;"",Items[[#This Row],[Team]]&amp;""))</f>
      </c>
      <c r="L51" s="17">
        <f>IF(Items[[#This Row],[ID]]="","",IFERROR(LOOKUP(2,1/((Log[ID]=Items[[#This Row],[ID]])*(Log[Into]&lt;&gt;"")),Log[Into]),""))</f>
      </c>
      <c r="M51" s="17">
        <f>IF(Items[[#This Row],[ID]]="","",IF(IFERROR(LOOKUP(2,1/((Log[ID]=Items[[#This Row],[ID]])*(Log[Blk]&lt;&gt;"")),Log[Blk]),0)=1,"Y",""))</f>
      </c>
      <c r="N51" s="17">
        <f>IF(Items[[#This Row],[ID]]="","",SUBSTITUTE(IFERROR(LOOKUP(2,1/((Log[ID]=Items[[#This Row],[ID]])*(Log[State]&lt;&gt;"")),Log[State]),"TODO"),"OPEN",IF(Items[[#This Row],[Blocked]]="Y","WAIT","OPEN")))</f>
      </c>
      <c r="O5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1" s="17">
        <f>IF(Items[[#This Row],[State]]&lt;&gt;"WAIT","",AsOf-Items[[#This Row],[Blocked since]])</f>
      </c>
      <c r="Q51" s="17">
        <f>IF(Items[[#This Row],[State]]&lt;&gt;"WAIT","",IFERROR(LOOKUP(2,1/((Log[ID]=Items[[#This Row],[ID]])*(Log[Verb]="block")),Log[Note])&amp;"",""))</f>
      </c>
      <c r="R51" s="17">
        <f>IF(Items[[#This Row],[ID]]="","",COUNTIFS(Log[ID],Items[[#This Row],[ID]],Log[Verb],"carry"))</f>
      </c>
      <c r="S51" s="17">
        <f>IF(Items[[#This Row],[ID]]="","",COUNTIFS(Log[ID],Items[[#This Row],[ID]],Log[Verb],"punt"))</f>
      </c>
      <c r="T51" s="11">
        <f>IF(Items[[#This Row],[State]]&lt;&gt;"DONE","",IFERROR(LOOKUP(2,1/((Log[ID]=Items[[#This Row],[ID]])*(Log[Verb]="done")),Log[Date]),""))</f>
      </c>
      <c r="U51" s="17">
        <f>IF(Items[[#This Row],[ID]]="","",IF(AND(Items[[#This Row],[Sprint]]=CurSprint,OR(Items[[#This Row],[State]]="OPEN",Items[[#This Row],[State]]="WAIT",Items[[#This Row],[State]]="HOLD",Items[[#This Row],[State]]="DONE")),1,0))</f>
      </c>
      <c r="V51" s="17">
        <f>IF(OR(Items[[#This Row],[ID]]="",Items[[#This Row],[Added]]=""),"",AsOf-Items[[#This Row],[Added]])</f>
      </c>
      <c r="W51" s="17">
        <f>IF(Items[[#This Row],[In sprint]]=1,(IF(Items[[#This Row],[Prio]]="",9,N(Items[[#This Row],[Prio]]))*10+(IF(Items[[#This Row],[State]]="DONE",1,0)))*100000+ROW(),"")</f>
      </c>
      <c r="X5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1" s="17">
        <f>IF(AND(Items[[#This Row],[State]]="DONE",N(Items[[#This Row],[Done on]])&gt;AsOf-7),(200000-N(Items[[#This Row],[Done on]]))*100000+ROW(),"")</f>
      </c>
    </row>
    <row r="52">
      <c r="A52" t="s">
        <v>200</v>
      </c>
      <c r="B52" t="s">
        <v>1209</v>
      </c>
      <c r="C52" t="s">
        <v>1107</v>
      </c>
      <c r="D52" t="s">
        <v>1127</v>
      </c>
      <c r="E52" t="s">
        <v>1159</v>
      </c>
      <c r="F52" t="s">
        <v>1160</v>
      </c>
      <c r="G52">
        <v>2</v>
      </c>
      <c r="H52">
        <v>2</v>
      </c>
      <c r="I52" s="11">
        <v>46063</v>
      </c>
      <c r="J52" s="17">
        <f>IF(Items[[#This Row],[ID]]="","",IFERROR(VALUE(LOOKUP(2,1/((Log[ID]=Items[[#This Row],[ID]])*(Log[Verb]="est")),Log[Arg])),N(Items[[#This Row],[Points]])))</f>
      </c>
      <c r="K52" s="17">
        <f>IF(Items[[#This Row],[ID]]="","",IFERROR(LOOKUP(2,1/((Log[ID]=Items[[#This Row],[ID]])*(Log[Verb]="pass")),Log[Arg])&amp;"",Items[[#This Row],[Team]]&amp;""))</f>
      </c>
      <c r="L52" s="17">
        <f>IF(Items[[#This Row],[ID]]="","",IFERROR(LOOKUP(2,1/((Log[ID]=Items[[#This Row],[ID]])*(Log[Into]&lt;&gt;"")),Log[Into]),""))</f>
      </c>
      <c r="M52" s="17">
        <f>IF(Items[[#This Row],[ID]]="","",IF(IFERROR(LOOKUP(2,1/((Log[ID]=Items[[#This Row],[ID]])*(Log[Blk]&lt;&gt;"")),Log[Blk]),0)=1,"Y",""))</f>
      </c>
      <c r="N52" s="17">
        <f>IF(Items[[#This Row],[ID]]="","",SUBSTITUTE(IFERROR(LOOKUP(2,1/((Log[ID]=Items[[#This Row],[ID]])*(Log[State]&lt;&gt;"")),Log[State]),"TODO"),"OPEN",IF(Items[[#This Row],[Blocked]]="Y","WAIT","OPEN")))</f>
      </c>
      <c r="O5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2" s="17">
        <f>IF(Items[[#This Row],[State]]&lt;&gt;"WAIT","",AsOf-Items[[#This Row],[Blocked since]])</f>
      </c>
      <c r="Q52" s="17">
        <f>IF(Items[[#This Row],[State]]&lt;&gt;"WAIT","",IFERROR(LOOKUP(2,1/((Log[ID]=Items[[#This Row],[ID]])*(Log[Verb]="block")),Log[Note])&amp;"",""))</f>
      </c>
      <c r="R52" s="17">
        <f>IF(Items[[#This Row],[ID]]="","",COUNTIFS(Log[ID],Items[[#This Row],[ID]],Log[Verb],"carry"))</f>
      </c>
      <c r="S52" s="17">
        <f>IF(Items[[#This Row],[ID]]="","",COUNTIFS(Log[ID],Items[[#This Row],[ID]],Log[Verb],"punt"))</f>
      </c>
      <c r="T52" s="11">
        <f>IF(Items[[#This Row],[State]]&lt;&gt;"DONE","",IFERROR(LOOKUP(2,1/((Log[ID]=Items[[#This Row],[ID]])*(Log[Verb]="done")),Log[Date]),""))</f>
      </c>
      <c r="U52" s="17">
        <f>IF(Items[[#This Row],[ID]]="","",IF(AND(Items[[#This Row],[Sprint]]=CurSprint,OR(Items[[#This Row],[State]]="OPEN",Items[[#This Row],[State]]="WAIT",Items[[#This Row],[State]]="HOLD",Items[[#This Row],[State]]="DONE")),1,0))</f>
      </c>
      <c r="V52" s="17">
        <f>IF(OR(Items[[#This Row],[ID]]="",Items[[#This Row],[Added]]=""),"",AsOf-Items[[#This Row],[Added]])</f>
      </c>
      <c r="W52" s="17">
        <f>IF(Items[[#This Row],[In sprint]]=1,(IF(Items[[#This Row],[Prio]]="",9,N(Items[[#This Row],[Prio]]))*10+(IF(Items[[#This Row],[State]]="DONE",1,0)))*100000+ROW(),"")</f>
      </c>
      <c r="X5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2" s="17">
        <f>IF(AND(Items[[#This Row],[State]]="DONE",N(Items[[#This Row],[Done on]])&gt;AsOf-7),(200000-N(Items[[#This Row],[Done on]]))*100000+ROW(),"")</f>
      </c>
    </row>
    <row r="53">
      <c r="A53" t="s">
        <v>201</v>
      </c>
      <c r="B53" t="s">
        <v>1210</v>
      </c>
      <c r="C53" t="s">
        <v>1107</v>
      </c>
      <c r="D53" t="s">
        <v>1123</v>
      </c>
      <c r="E53" t="s">
        <v>1159</v>
      </c>
      <c r="F53" t="s">
        <v>1211</v>
      </c>
      <c r="G53">
        <v>8</v>
      </c>
      <c r="H53">
        <v>1</v>
      </c>
      <c r="I53" s="11">
        <v>46063</v>
      </c>
      <c r="J53" s="17">
        <f>IF(Items[[#This Row],[ID]]="","",IFERROR(VALUE(LOOKUP(2,1/((Log[ID]=Items[[#This Row],[ID]])*(Log[Verb]="est")),Log[Arg])),N(Items[[#This Row],[Points]])))</f>
      </c>
      <c r="K53" s="17">
        <f>IF(Items[[#This Row],[ID]]="","",IFERROR(LOOKUP(2,1/((Log[ID]=Items[[#This Row],[ID]])*(Log[Verb]="pass")),Log[Arg])&amp;"",Items[[#This Row],[Team]]&amp;""))</f>
      </c>
      <c r="L53" s="17">
        <f>IF(Items[[#This Row],[ID]]="","",IFERROR(LOOKUP(2,1/((Log[ID]=Items[[#This Row],[ID]])*(Log[Into]&lt;&gt;"")),Log[Into]),""))</f>
      </c>
      <c r="M53" s="17">
        <f>IF(Items[[#This Row],[ID]]="","",IF(IFERROR(LOOKUP(2,1/((Log[ID]=Items[[#This Row],[ID]])*(Log[Blk]&lt;&gt;"")),Log[Blk]),0)=1,"Y",""))</f>
      </c>
      <c r="N53" s="17">
        <f>IF(Items[[#This Row],[ID]]="","",SUBSTITUTE(IFERROR(LOOKUP(2,1/((Log[ID]=Items[[#This Row],[ID]])*(Log[State]&lt;&gt;"")),Log[State]),"TODO"),"OPEN",IF(Items[[#This Row],[Blocked]]="Y","WAIT","OPEN")))</f>
      </c>
      <c r="O5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3" s="17">
        <f>IF(Items[[#This Row],[State]]&lt;&gt;"WAIT","",AsOf-Items[[#This Row],[Blocked since]])</f>
      </c>
      <c r="Q53" s="17">
        <f>IF(Items[[#This Row],[State]]&lt;&gt;"WAIT","",IFERROR(LOOKUP(2,1/((Log[ID]=Items[[#This Row],[ID]])*(Log[Verb]="block")),Log[Note])&amp;"",""))</f>
      </c>
      <c r="R53" s="17">
        <f>IF(Items[[#This Row],[ID]]="","",COUNTIFS(Log[ID],Items[[#This Row],[ID]],Log[Verb],"carry"))</f>
      </c>
      <c r="S53" s="17">
        <f>IF(Items[[#This Row],[ID]]="","",COUNTIFS(Log[ID],Items[[#This Row],[ID]],Log[Verb],"punt"))</f>
      </c>
      <c r="T53" s="11">
        <f>IF(Items[[#This Row],[State]]&lt;&gt;"DONE","",IFERROR(LOOKUP(2,1/((Log[ID]=Items[[#This Row],[ID]])*(Log[Verb]="done")),Log[Date]),""))</f>
      </c>
      <c r="U53" s="17">
        <f>IF(Items[[#This Row],[ID]]="","",IF(AND(Items[[#This Row],[Sprint]]=CurSprint,OR(Items[[#This Row],[State]]="OPEN",Items[[#This Row],[State]]="WAIT",Items[[#This Row],[State]]="HOLD",Items[[#This Row],[State]]="DONE")),1,0))</f>
      </c>
      <c r="V53" s="17">
        <f>IF(OR(Items[[#This Row],[ID]]="",Items[[#This Row],[Added]]=""),"",AsOf-Items[[#This Row],[Added]])</f>
      </c>
      <c r="W53" s="17">
        <f>IF(Items[[#This Row],[In sprint]]=1,(IF(Items[[#This Row],[Prio]]="",9,N(Items[[#This Row],[Prio]]))*10+(IF(Items[[#This Row],[State]]="DONE",1,0)))*100000+ROW(),"")</f>
      </c>
      <c r="X5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3" s="17">
        <f>IF(AND(Items[[#This Row],[State]]="DONE",N(Items[[#This Row],[Done on]])&gt;AsOf-7),(200000-N(Items[[#This Row],[Done on]]))*100000+ROW(),"")</f>
      </c>
    </row>
    <row r="54">
      <c r="A54" t="s">
        <v>202</v>
      </c>
      <c r="B54" t="s">
        <v>1212</v>
      </c>
      <c r="C54" t="s">
        <v>1107</v>
      </c>
      <c r="D54" t="s">
        <v>1127</v>
      </c>
      <c r="E54" t="s">
        <v>1159</v>
      </c>
      <c r="F54" t="s">
        <v>1213</v>
      </c>
      <c r="G54">
        <v>8</v>
      </c>
      <c r="H54">
        <v>1</v>
      </c>
      <c r="I54" s="11">
        <v>46063</v>
      </c>
      <c r="J54" s="17">
        <f>IF(Items[[#This Row],[ID]]="","",IFERROR(VALUE(LOOKUP(2,1/((Log[ID]=Items[[#This Row],[ID]])*(Log[Verb]="est")),Log[Arg])),N(Items[[#This Row],[Points]])))</f>
      </c>
      <c r="K54" s="17">
        <f>IF(Items[[#This Row],[ID]]="","",IFERROR(LOOKUP(2,1/((Log[ID]=Items[[#This Row],[ID]])*(Log[Verb]="pass")),Log[Arg])&amp;"",Items[[#This Row],[Team]]&amp;""))</f>
      </c>
      <c r="L54" s="17">
        <f>IF(Items[[#This Row],[ID]]="","",IFERROR(LOOKUP(2,1/((Log[ID]=Items[[#This Row],[ID]])*(Log[Into]&lt;&gt;"")),Log[Into]),""))</f>
      </c>
      <c r="M54" s="17">
        <f>IF(Items[[#This Row],[ID]]="","",IF(IFERROR(LOOKUP(2,1/((Log[ID]=Items[[#This Row],[ID]])*(Log[Blk]&lt;&gt;"")),Log[Blk]),0)=1,"Y",""))</f>
      </c>
      <c r="N54" s="17">
        <f>IF(Items[[#This Row],[ID]]="","",SUBSTITUTE(IFERROR(LOOKUP(2,1/((Log[ID]=Items[[#This Row],[ID]])*(Log[State]&lt;&gt;"")),Log[State]),"TODO"),"OPEN",IF(Items[[#This Row],[Blocked]]="Y","WAIT","OPEN")))</f>
      </c>
      <c r="O5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4" s="17">
        <f>IF(Items[[#This Row],[State]]&lt;&gt;"WAIT","",AsOf-Items[[#This Row],[Blocked since]])</f>
      </c>
      <c r="Q54" s="17">
        <f>IF(Items[[#This Row],[State]]&lt;&gt;"WAIT","",IFERROR(LOOKUP(2,1/((Log[ID]=Items[[#This Row],[ID]])*(Log[Verb]="block")),Log[Note])&amp;"",""))</f>
      </c>
      <c r="R54" s="17">
        <f>IF(Items[[#This Row],[ID]]="","",COUNTIFS(Log[ID],Items[[#This Row],[ID]],Log[Verb],"carry"))</f>
      </c>
      <c r="S54" s="17">
        <f>IF(Items[[#This Row],[ID]]="","",COUNTIFS(Log[ID],Items[[#This Row],[ID]],Log[Verb],"punt"))</f>
      </c>
      <c r="T54" s="11">
        <f>IF(Items[[#This Row],[State]]&lt;&gt;"DONE","",IFERROR(LOOKUP(2,1/((Log[ID]=Items[[#This Row],[ID]])*(Log[Verb]="done")),Log[Date]),""))</f>
      </c>
      <c r="U54" s="17">
        <f>IF(Items[[#This Row],[ID]]="","",IF(AND(Items[[#This Row],[Sprint]]=CurSprint,OR(Items[[#This Row],[State]]="OPEN",Items[[#This Row],[State]]="WAIT",Items[[#This Row],[State]]="HOLD",Items[[#This Row],[State]]="DONE")),1,0))</f>
      </c>
      <c r="V54" s="17">
        <f>IF(OR(Items[[#This Row],[ID]]="",Items[[#This Row],[Added]]=""),"",AsOf-Items[[#This Row],[Added]])</f>
      </c>
      <c r="W54" s="17">
        <f>IF(Items[[#This Row],[In sprint]]=1,(IF(Items[[#This Row],[Prio]]="",9,N(Items[[#This Row],[Prio]]))*10+(IF(Items[[#This Row],[State]]="DONE",1,0)))*100000+ROW(),"")</f>
      </c>
      <c r="X5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4" s="17">
        <f>IF(AND(Items[[#This Row],[State]]="DONE",N(Items[[#This Row],[Done on]])&gt;AsOf-7),(200000-N(Items[[#This Row],[Done on]]))*100000+ROW(),"")</f>
      </c>
    </row>
    <row r="55">
      <c r="A55" t="s">
        <v>257</v>
      </c>
      <c r="B55" t="s">
        <v>1214</v>
      </c>
      <c r="C55" t="s">
        <v>1107</v>
      </c>
      <c r="D55" t="s">
        <v>1127</v>
      </c>
      <c r="E55" t="s">
        <v>1159</v>
      </c>
      <c r="F55" t="s">
        <v>1213</v>
      </c>
      <c r="G55">
        <v>8</v>
      </c>
      <c r="H55">
        <v>3</v>
      </c>
      <c r="I55" s="11">
        <v>46063</v>
      </c>
      <c r="J55" s="17">
        <f>IF(Items[[#This Row],[ID]]="","",IFERROR(VALUE(LOOKUP(2,1/((Log[ID]=Items[[#This Row],[ID]])*(Log[Verb]="est")),Log[Arg])),N(Items[[#This Row],[Points]])))</f>
      </c>
      <c r="K55" s="17">
        <f>IF(Items[[#This Row],[ID]]="","",IFERROR(LOOKUP(2,1/((Log[ID]=Items[[#This Row],[ID]])*(Log[Verb]="pass")),Log[Arg])&amp;"",Items[[#This Row],[Team]]&amp;""))</f>
      </c>
      <c r="L55" s="17">
        <f>IF(Items[[#This Row],[ID]]="","",IFERROR(LOOKUP(2,1/((Log[ID]=Items[[#This Row],[ID]])*(Log[Into]&lt;&gt;"")),Log[Into]),""))</f>
      </c>
      <c r="M55" s="17">
        <f>IF(Items[[#This Row],[ID]]="","",IF(IFERROR(LOOKUP(2,1/((Log[ID]=Items[[#This Row],[ID]])*(Log[Blk]&lt;&gt;"")),Log[Blk]),0)=1,"Y",""))</f>
      </c>
      <c r="N55" s="17">
        <f>IF(Items[[#This Row],[ID]]="","",SUBSTITUTE(IFERROR(LOOKUP(2,1/((Log[ID]=Items[[#This Row],[ID]])*(Log[State]&lt;&gt;"")),Log[State]),"TODO"),"OPEN",IF(Items[[#This Row],[Blocked]]="Y","WAIT","OPEN")))</f>
      </c>
      <c r="O5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5" s="17">
        <f>IF(Items[[#This Row],[State]]&lt;&gt;"WAIT","",AsOf-Items[[#This Row],[Blocked since]])</f>
      </c>
      <c r="Q55" s="17">
        <f>IF(Items[[#This Row],[State]]&lt;&gt;"WAIT","",IFERROR(LOOKUP(2,1/((Log[ID]=Items[[#This Row],[ID]])*(Log[Verb]="block")),Log[Note])&amp;"",""))</f>
      </c>
      <c r="R55" s="17">
        <f>IF(Items[[#This Row],[ID]]="","",COUNTIFS(Log[ID],Items[[#This Row],[ID]],Log[Verb],"carry"))</f>
      </c>
      <c r="S55" s="17">
        <f>IF(Items[[#This Row],[ID]]="","",COUNTIFS(Log[ID],Items[[#This Row],[ID]],Log[Verb],"punt"))</f>
      </c>
      <c r="T55" s="11">
        <f>IF(Items[[#This Row],[State]]&lt;&gt;"DONE","",IFERROR(LOOKUP(2,1/((Log[ID]=Items[[#This Row],[ID]])*(Log[Verb]="done")),Log[Date]),""))</f>
      </c>
      <c r="U55" s="17">
        <f>IF(Items[[#This Row],[ID]]="","",IF(AND(Items[[#This Row],[Sprint]]=CurSprint,OR(Items[[#This Row],[State]]="OPEN",Items[[#This Row],[State]]="WAIT",Items[[#This Row],[State]]="HOLD",Items[[#This Row],[State]]="DONE")),1,0))</f>
      </c>
      <c r="V55" s="17">
        <f>IF(OR(Items[[#This Row],[ID]]="",Items[[#This Row],[Added]]=""),"",AsOf-Items[[#This Row],[Added]])</f>
      </c>
      <c r="W55" s="17">
        <f>IF(Items[[#This Row],[In sprint]]=1,(IF(Items[[#This Row],[Prio]]="",9,N(Items[[#This Row],[Prio]]))*10+(IF(Items[[#This Row],[State]]="DONE",1,0)))*100000+ROW(),"")</f>
      </c>
      <c r="X5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5" s="17">
        <f>IF(AND(Items[[#This Row],[State]]="DONE",N(Items[[#This Row],[Done on]])&gt;AsOf-7),(200000-N(Items[[#This Row],[Done on]]))*100000+ROW(),"")</f>
      </c>
    </row>
    <row r="56">
      <c r="A56" t="s">
        <v>206</v>
      </c>
      <c r="B56" t="s">
        <v>1215</v>
      </c>
      <c r="C56" t="s">
        <v>1107</v>
      </c>
      <c r="D56" t="s">
        <v>1123</v>
      </c>
      <c r="E56" t="s">
        <v>1128</v>
      </c>
      <c r="F56" t="s">
        <v>1162</v>
      </c>
      <c r="G56">
        <v>5</v>
      </c>
      <c r="H56">
        <v>3</v>
      </c>
      <c r="I56" s="11">
        <v>46063</v>
      </c>
      <c r="J56" s="17">
        <f>IF(Items[[#This Row],[ID]]="","",IFERROR(VALUE(LOOKUP(2,1/((Log[ID]=Items[[#This Row],[ID]])*(Log[Verb]="est")),Log[Arg])),N(Items[[#This Row],[Points]])))</f>
      </c>
      <c r="K56" s="17">
        <f>IF(Items[[#This Row],[ID]]="","",IFERROR(LOOKUP(2,1/((Log[ID]=Items[[#This Row],[ID]])*(Log[Verb]="pass")),Log[Arg])&amp;"",Items[[#This Row],[Team]]&amp;""))</f>
      </c>
      <c r="L56" s="17">
        <f>IF(Items[[#This Row],[ID]]="","",IFERROR(LOOKUP(2,1/((Log[ID]=Items[[#This Row],[ID]])*(Log[Into]&lt;&gt;"")),Log[Into]),""))</f>
      </c>
      <c r="M56" s="17">
        <f>IF(Items[[#This Row],[ID]]="","",IF(IFERROR(LOOKUP(2,1/((Log[ID]=Items[[#This Row],[ID]])*(Log[Blk]&lt;&gt;"")),Log[Blk]),0)=1,"Y",""))</f>
      </c>
      <c r="N56" s="17">
        <f>IF(Items[[#This Row],[ID]]="","",SUBSTITUTE(IFERROR(LOOKUP(2,1/((Log[ID]=Items[[#This Row],[ID]])*(Log[State]&lt;&gt;"")),Log[State]),"TODO"),"OPEN",IF(Items[[#This Row],[Blocked]]="Y","WAIT","OPEN")))</f>
      </c>
      <c r="O5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6" s="17">
        <f>IF(Items[[#This Row],[State]]&lt;&gt;"WAIT","",AsOf-Items[[#This Row],[Blocked since]])</f>
      </c>
      <c r="Q56" s="17">
        <f>IF(Items[[#This Row],[State]]&lt;&gt;"WAIT","",IFERROR(LOOKUP(2,1/((Log[ID]=Items[[#This Row],[ID]])*(Log[Verb]="block")),Log[Note])&amp;"",""))</f>
      </c>
      <c r="R56" s="17">
        <f>IF(Items[[#This Row],[ID]]="","",COUNTIFS(Log[ID],Items[[#This Row],[ID]],Log[Verb],"carry"))</f>
      </c>
      <c r="S56" s="17">
        <f>IF(Items[[#This Row],[ID]]="","",COUNTIFS(Log[ID],Items[[#This Row],[ID]],Log[Verb],"punt"))</f>
      </c>
      <c r="T56" s="11">
        <f>IF(Items[[#This Row],[State]]&lt;&gt;"DONE","",IFERROR(LOOKUP(2,1/((Log[ID]=Items[[#This Row],[ID]])*(Log[Verb]="done")),Log[Date]),""))</f>
      </c>
      <c r="U56" s="17">
        <f>IF(Items[[#This Row],[ID]]="","",IF(AND(Items[[#This Row],[Sprint]]=CurSprint,OR(Items[[#This Row],[State]]="OPEN",Items[[#This Row],[State]]="WAIT",Items[[#This Row],[State]]="HOLD",Items[[#This Row],[State]]="DONE")),1,0))</f>
      </c>
      <c r="V56" s="17">
        <f>IF(OR(Items[[#This Row],[ID]]="",Items[[#This Row],[Added]]=""),"",AsOf-Items[[#This Row],[Added]])</f>
      </c>
      <c r="W56" s="17">
        <f>IF(Items[[#This Row],[In sprint]]=1,(IF(Items[[#This Row],[Prio]]="",9,N(Items[[#This Row],[Prio]]))*10+(IF(Items[[#This Row],[State]]="DONE",1,0)))*100000+ROW(),"")</f>
      </c>
      <c r="X5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6" s="17">
        <f>IF(AND(Items[[#This Row],[State]]="DONE",N(Items[[#This Row],[Done on]])&gt;AsOf-7),(200000-N(Items[[#This Row],[Done on]]))*100000+ROW(),"")</f>
      </c>
    </row>
    <row r="57">
      <c r="A57" t="s">
        <v>207</v>
      </c>
      <c r="B57" t="s">
        <v>1216</v>
      </c>
      <c r="C57" t="s">
        <v>1107</v>
      </c>
      <c r="D57" t="s">
        <v>1108</v>
      </c>
      <c r="E57" t="s">
        <v>1128</v>
      </c>
      <c r="F57" t="s">
        <v>1217</v>
      </c>
      <c r="G57">
        <v>5</v>
      </c>
      <c r="H57">
        <v>1</v>
      </c>
      <c r="I57" s="11">
        <v>46063</v>
      </c>
      <c r="J57" s="17">
        <f>IF(Items[[#This Row],[ID]]="","",IFERROR(VALUE(LOOKUP(2,1/((Log[ID]=Items[[#This Row],[ID]])*(Log[Verb]="est")),Log[Arg])),N(Items[[#This Row],[Points]])))</f>
      </c>
      <c r="K57" s="17">
        <f>IF(Items[[#This Row],[ID]]="","",IFERROR(LOOKUP(2,1/((Log[ID]=Items[[#This Row],[ID]])*(Log[Verb]="pass")),Log[Arg])&amp;"",Items[[#This Row],[Team]]&amp;""))</f>
      </c>
      <c r="L57" s="17">
        <f>IF(Items[[#This Row],[ID]]="","",IFERROR(LOOKUP(2,1/((Log[ID]=Items[[#This Row],[ID]])*(Log[Into]&lt;&gt;"")),Log[Into]),""))</f>
      </c>
      <c r="M57" s="17">
        <f>IF(Items[[#This Row],[ID]]="","",IF(IFERROR(LOOKUP(2,1/((Log[ID]=Items[[#This Row],[ID]])*(Log[Blk]&lt;&gt;"")),Log[Blk]),0)=1,"Y",""))</f>
      </c>
      <c r="N57" s="17">
        <f>IF(Items[[#This Row],[ID]]="","",SUBSTITUTE(IFERROR(LOOKUP(2,1/((Log[ID]=Items[[#This Row],[ID]])*(Log[State]&lt;&gt;"")),Log[State]),"TODO"),"OPEN",IF(Items[[#This Row],[Blocked]]="Y","WAIT","OPEN")))</f>
      </c>
      <c r="O5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7" s="17">
        <f>IF(Items[[#This Row],[State]]&lt;&gt;"WAIT","",AsOf-Items[[#This Row],[Blocked since]])</f>
      </c>
      <c r="Q57" s="17">
        <f>IF(Items[[#This Row],[State]]&lt;&gt;"WAIT","",IFERROR(LOOKUP(2,1/((Log[ID]=Items[[#This Row],[ID]])*(Log[Verb]="block")),Log[Note])&amp;"",""))</f>
      </c>
      <c r="R57" s="17">
        <f>IF(Items[[#This Row],[ID]]="","",COUNTIFS(Log[ID],Items[[#This Row],[ID]],Log[Verb],"carry"))</f>
      </c>
      <c r="S57" s="17">
        <f>IF(Items[[#This Row],[ID]]="","",COUNTIFS(Log[ID],Items[[#This Row],[ID]],Log[Verb],"punt"))</f>
      </c>
      <c r="T57" s="11">
        <f>IF(Items[[#This Row],[State]]&lt;&gt;"DONE","",IFERROR(LOOKUP(2,1/((Log[ID]=Items[[#This Row],[ID]])*(Log[Verb]="done")),Log[Date]),""))</f>
      </c>
      <c r="U57" s="17">
        <f>IF(Items[[#This Row],[ID]]="","",IF(AND(Items[[#This Row],[Sprint]]=CurSprint,OR(Items[[#This Row],[State]]="OPEN",Items[[#This Row],[State]]="WAIT",Items[[#This Row],[State]]="HOLD",Items[[#This Row],[State]]="DONE")),1,0))</f>
      </c>
      <c r="V57" s="17">
        <f>IF(OR(Items[[#This Row],[ID]]="",Items[[#This Row],[Added]]=""),"",AsOf-Items[[#This Row],[Added]])</f>
      </c>
      <c r="W57" s="17">
        <f>IF(Items[[#This Row],[In sprint]]=1,(IF(Items[[#This Row],[Prio]]="",9,N(Items[[#This Row],[Prio]]))*10+(IF(Items[[#This Row],[State]]="DONE",1,0)))*100000+ROW(),"")</f>
      </c>
      <c r="X5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7" s="17">
        <f>IF(AND(Items[[#This Row],[State]]="DONE",N(Items[[#This Row],[Done on]])&gt;AsOf-7),(200000-N(Items[[#This Row],[Done on]]))*100000+ROW(),"")</f>
      </c>
    </row>
    <row r="58">
      <c r="A58" t="s">
        <v>263</v>
      </c>
      <c r="B58" t="s">
        <v>1218</v>
      </c>
      <c r="C58" t="s">
        <v>1115</v>
      </c>
      <c r="D58" t="s">
        <v>1116</v>
      </c>
      <c r="E58" t="s">
        <v>1128</v>
      </c>
      <c r="F58" t="s">
        <v>1162</v>
      </c>
      <c r="G58">
        <v>8</v>
      </c>
      <c r="H58">
        <v>3</v>
      </c>
      <c r="I58" s="11">
        <v>46063</v>
      </c>
      <c r="J58" s="17">
        <f>IF(Items[[#This Row],[ID]]="","",IFERROR(VALUE(LOOKUP(2,1/((Log[ID]=Items[[#This Row],[ID]])*(Log[Verb]="est")),Log[Arg])),N(Items[[#This Row],[Points]])))</f>
      </c>
      <c r="K58" s="17">
        <f>IF(Items[[#This Row],[ID]]="","",IFERROR(LOOKUP(2,1/((Log[ID]=Items[[#This Row],[ID]])*(Log[Verb]="pass")),Log[Arg])&amp;"",Items[[#This Row],[Team]]&amp;""))</f>
      </c>
      <c r="L58" s="17">
        <f>IF(Items[[#This Row],[ID]]="","",IFERROR(LOOKUP(2,1/((Log[ID]=Items[[#This Row],[ID]])*(Log[Into]&lt;&gt;"")),Log[Into]),""))</f>
      </c>
      <c r="M58" s="17">
        <f>IF(Items[[#This Row],[ID]]="","",IF(IFERROR(LOOKUP(2,1/((Log[ID]=Items[[#This Row],[ID]])*(Log[Blk]&lt;&gt;"")),Log[Blk]),0)=1,"Y",""))</f>
      </c>
      <c r="N58" s="17">
        <f>IF(Items[[#This Row],[ID]]="","",SUBSTITUTE(IFERROR(LOOKUP(2,1/((Log[ID]=Items[[#This Row],[ID]])*(Log[State]&lt;&gt;"")),Log[State]),"TODO"),"OPEN",IF(Items[[#This Row],[Blocked]]="Y","WAIT","OPEN")))</f>
      </c>
      <c r="O5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8" s="17">
        <f>IF(Items[[#This Row],[State]]&lt;&gt;"WAIT","",AsOf-Items[[#This Row],[Blocked since]])</f>
      </c>
      <c r="Q58" s="17">
        <f>IF(Items[[#This Row],[State]]&lt;&gt;"WAIT","",IFERROR(LOOKUP(2,1/((Log[ID]=Items[[#This Row],[ID]])*(Log[Verb]="block")),Log[Note])&amp;"",""))</f>
      </c>
      <c r="R58" s="17">
        <f>IF(Items[[#This Row],[ID]]="","",COUNTIFS(Log[ID],Items[[#This Row],[ID]],Log[Verb],"carry"))</f>
      </c>
      <c r="S58" s="17">
        <f>IF(Items[[#This Row],[ID]]="","",COUNTIFS(Log[ID],Items[[#This Row],[ID]],Log[Verb],"punt"))</f>
      </c>
      <c r="T58" s="11">
        <f>IF(Items[[#This Row],[State]]&lt;&gt;"DONE","",IFERROR(LOOKUP(2,1/((Log[ID]=Items[[#This Row],[ID]])*(Log[Verb]="done")),Log[Date]),""))</f>
      </c>
      <c r="U58" s="17">
        <f>IF(Items[[#This Row],[ID]]="","",IF(AND(Items[[#This Row],[Sprint]]=CurSprint,OR(Items[[#This Row],[State]]="OPEN",Items[[#This Row],[State]]="WAIT",Items[[#This Row],[State]]="HOLD",Items[[#This Row],[State]]="DONE")),1,0))</f>
      </c>
      <c r="V58" s="17">
        <f>IF(OR(Items[[#This Row],[ID]]="",Items[[#This Row],[Added]]=""),"",AsOf-Items[[#This Row],[Added]])</f>
      </c>
      <c r="W58" s="17">
        <f>IF(Items[[#This Row],[In sprint]]=1,(IF(Items[[#This Row],[Prio]]="",9,N(Items[[#This Row],[Prio]]))*10+(IF(Items[[#This Row],[State]]="DONE",1,0)))*100000+ROW(),"")</f>
      </c>
      <c r="X5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8" s="17">
        <f>IF(AND(Items[[#This Row],[State]]="DONE",N(Items[[#This Row],[Done on]])&gt;AsOf-7),(200000-N(Items[[#This Row],[Done on]]))*100000+ROW(),"")</f>
      </c>
    </row>
    <row r="59">
      <c r="A59" t="s">
        <v>177</v>
      </c>
      <c r="B59" t="s">
        <v>1219</v>
      </c>
      <c r="C59" t="s">
        <v>1115</v>
      </c>
      <c r="D59" t="s">
        <v>1119</v>
      </c>
      <c r="E59" t="s">
        <v>1109</v>
      </c>
      <c r="F59" t="s">
        <v>1220</v>
      </c>
      <c r="G59">
        <v>8</v>
      </c>
      <c r="H59">
        <v>1</v>
      </c>
      <c r="I59" s="11">
        <v>46063</v>
      </c>
      <c r="J59" s="17">
        <f>IF(Items[[#This Row],[ID]]="","",IFERROR(VALUE(LOOKUP(2,1/((Log[ID]=Items[[#This Row],[ID]])*(Log[Verb]="est")),Log[Arg])),N(Items[[#This Row],[Points]])))</f>
      </c>
      <c r="K59" s="17">
        <f>IF(Items[[#This Row],[ID]]="","",IFERROR(LOOKUP(2,1/((Log[ID]=Items[[#This Row],[ID]])*(Log[Verb]="pass")),Log[Arg])&amp;"",Items[[#This Row],[Team]]&amp;""))</f>
      </c>
      <c r="L59" s="17">
        <f>IF(Items[[#This Row],[ID]]="","",IFERROR(LOOKUP(2,1/((Log[ID]=Items[[#This Row],[ID]])*(Log[Into]&lt;&gt;"")),Log[Into]),""))</f>
      </c>
      <c r="M59" s="17">
        <f>IF(Items[[#This Row],[ID]]="","",IF(IFERROR(LOOKUP(2,1/((Log[ID]=Items[[#This Row],[ID]])*(Log[Blk]&lt;&gt;"")),Log[Blk]),0)=1,"Y",""))</f>
      </c>
      <c r="N59" s="17">
        <f>IF(Items[[#This Row],[ID]]="","",SUBSTITUTE(IFERROR(LOOKUP(2,1/((Log[ID]=Items[[#This Row],[ID]])*(Log[State]&lt;&gt;"")),Log[State]),"TODO"),"OPEN",IF(Items[[#This Row],[Blocked]]="Y","WAIT","OPEN")))</f>
      </c>
      <c r="O5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9" s="17">
        <f>IF(Items[[#This Row],[State]]&lt;&gt;"WAIT","",AsOf-Items[[#This Row],[Blocked since]])</f>
      </c>
      <c r="Q59" s="17">
        <f>IF(Items[[#This Row],[State]]&lt;&gt;"WAIT","",IFERROR(LOOKUP(2,1/((Log[ID]=Items[[#This Row],[ID]])*(Log[Verb]="block")),Log[Note])&amp;"",""))</f>
      </c>
      <c r="R59" s="17">
        <f>IF(Items[[#This Row],[ID]]="","",COUNTIFS(Log[ID],Items[[#This Row],[ID]],Log[Verb],"carry"))</f>
      </c>
      <c r="S59" s="17">
        <f>IF(Items[[#This Row],[ID]]="","",COUNTIFS(Log[ID],Items[[#This Row],[ID]],Log[Verb],"punt"))</f>
      </c>
      <c r="T59" s="11">
        <f>IF(Items[[#This Row],[State]]&lt;&gt;"DONE","",IFERROR(LOOKUP(2,1/((Log[ID]=Items[[#This Row],[ID]])*(Log[Verb]="done")),Log[Date]),""))</f>
      </c>
      <c r="U59" s="17">
        <f>IF(Items[[#This Row],[ID]]="","",IF(AND(Items[[#This Row],[Sprint]]=CurSprint,OR(Items[[#This Row],[State]]="OPEN",Items[[#This Row],[State]]="WAIT",Items[[#This Row],[State]]="HOLD",Items[[#This Row],[State]]="DONE")),1,0))</f>
      </c>
      <c r="V59" s="17">
        <f>IF(OR(Items[[#This Row],[ID]]="",Items[[#This Row],[Added]]=""),"",AsOf-Items[[#This Row],[Added]])</f>
      </c>
      <c r="W59" s="17">
        <f>IF(Items[[#This Row],[In sprint]]=1,(IF(Items[[#This Row],[Prio]]="",9,N(Items[[#This Row],[Prio]]))*10+(IF(Items[[#This Row],[State]]="DONE",1,0)))*100000+ROW(),"")</f>
      </c>
      <c r="X5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9" s="17">
        <f>IF(AND(Items[[#This Row],[State]]="DONE",N(Items[[#This Row],[Done on]])&gt;AsOf-7),(200000-N(Items[[#This Row],[Done on]]))*100000+ROW(),"")</f>
      </c>
    </row>
    <row r="60">
      <c r="A60" t="s">
        <v>209</v>
      </c>
      <c r="B60" t="s">
        <v>1221</v>
      </c>
      <c r="C60" t="s">
        <v>1107</v>
      </c>
      <c r="D60" t="s">
        <v>1127</v>
      </c>
      <c r="E60" t="s">
        <v>1109</v>
      </c>
      <c r="F60" t="s">
        <v>1222</v>
      </c>
      <c r="G60">
        <v>3</v>
      </c>
      <c r="H60">
        <v>3</v>
      </c>
      <c r="I60" s="11">
        <v>46063</v>
      </c>
      <c r="J60" s="17">
        <f>IF(Items[[#This Row],[ID]]="","",IFERROR(VALUE(LOOKUP(2,1/((Log[ID]=Items[[#This Row],[ID]])*(Log[Verb]="est")),Log[Arg])),N(Items[[#This Row],[Points]])))</f>
      </c>
      <c r="K60" s="17">
        <f>IF(Items[[#This Row],[ID]]="","",IFERROR(LOOKUP(2,1/((Log[ID]=Items[[#This Row],[ID]])*(Log[Verb]="pass")),Log[Arg])&amp;"",Items[[#This Row],[Team]]&amp;""))</f>
      </c>
      <c r="L60" s="17">
        <f>IF(Items[[#This Row],[ID]]="","",IFERROR(LOOKUP(2,1/((Log[ID]=Items[[#This Row],[ID]])*(Log[Into]&lt;&gt;"")),Log[Into]),""))</f>
      </c>
      <c r="M60" s="17">
        <f>IF(Items[[#This Row],[ID]]="","",IF(IFERROR(LOOKUP(2,1/((Log[ID]=Items[[#This Row],[ID]])*(Log[Blk]&lt;&gt;"")),Log[Blk]),0)=1,"Y",""))</f>
      </c>
      <c r="N60" s="17">
        <f>IF(Items[[#This Row],[ID]]="","",SUBSTITUTE(IFERROR(LOOKUP(2,1/((Log[ID]=Items[[#This Row],[ID]])*(Log[State]&lt;&gt;"")),Log[State]),"TODO"),"OPEN",IF(Items[[#This Row],[Blocked]]="Y","WAIT","OPEN")))</f>
      </c>
      <c r="O6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0" s="17">
        <f>IF(Items[[#This Row],[State]]&lt;&gt;"WAIT","",AsOf-Items[[#This Row],[Blocked since]])</f>
      </c>
      <c r="Q60" s="17">
        <f>IF(Items[[#This Row],[State]]&lt;&gt;"WAIT","",IFERROR(LOOKUP(2,1/((Log[ID]=Items[[#This Row],[ID]])*(Log[Verb]="block")),Log[Note])&amp;"",""))</f>
      </c>
      <c r="R60" s="17">
        <f>IF(Items[[#This Row],[ID]]="","",COUNTIFS(Log[ID],Items[[#This Row],[ID]],Log[Verb],"carry"))</f>
      </c>
      <c r="S60" s="17">
        <f>IF(Items[[#This Row],[ID]]="","",COUNTIFS(Log[ID],Items[[#This Row],[ID]],Log[Verb],"punt"))</f>
      </c>
      <c r="T60" s="11">
        <f>IF(Items[[#This Row],[State]]&lt;&gt;"DONE","",IFERROR(LOOKUP(2,1/((Log[ID]=Items[[#This Row],[ID]])*(Log[Verb]="done")),Log[Date]),""))</f>
      </c>
      <c r="U60" s="17">
        <f>IF(Items[[#This Row],[ID]]="","",IF(AND(Items[[#This Row],[Sprint]]=CurSprint,OR(Items[[#This Row],[State]]="OPEN",Items[[#This Row],[State]]="WAIT",Items[[#This Row],[State]]="HOLD",Items[[#This Row],[State]]="DONE")),1,0))</f>
      </c>
      <c r="V60" s="17">
        <f>IF(OR(Items[[#This Row],[ID]]="",Items[[#This Row],[Added]]=""),"",AsOf-Items[[#This Row],[Added]])</f>
      </c>
      <c r="W60" s="17">
        <f>IF(Items[[#This Row],[In sprint]]=1,(IF(Items[[#This Row],[Prio]]="",9,N(Items[[#This Row],[Prio]]))*10+(IF(Items[[#This Row],[State]]="DONE",1,0)))*100000+ROW(),"")</f>
      </c>
      <c r="X6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0" s="17">
        <f>IF(AND(Items[[#This Row],[State]]="DONE",N(Items[[#This Row],[Done on]])&gt;AsOf-7),(200000-N(Items[[#This Row],[Done on]]))*100000+ROW(),"")</f>
      </c>
    </row>
    <row r="61">
      <c r="A61" t="s">
        <v>210</v>
      </c>
      <c r="B61" t="s">
        <v>1223</v>
      </c>
      <c r="C61" t="s">
        <v>1115</v>
      </c>
      <c r="D61" t="s">
        <v>1116</v>
      </c>
      <c r="E61" t="s">
        <v>1109</v>
      </c>
      <c r="F61" t="s">
        <v>1110</v>
      </c>
      <c r="G61">
        <v>8</v>
      </c>
      <c r="H61">
        <v>2</v>
      </c>
      <c r="I61" s="11">
        <v>46063</v>
      </c>
      <c r="J61" s="17">
        <f>IF(Items[[#This Row],[ID]]="","",IFERROR(VALUE(LOOKUP(2,1/((Log[ID]=Items[[#This Row],[ID]])*(Log[Verb]="est")),Log[Arg])),N(Items[[#This Row],[Points]])))</f>
      </c>
      <c r="K61" s="17">
        <f>IF(Items[[#This Row],[ID]]="","",IFERROR(LOOKUP(2,1/((Log[ID]=Items[[#This Row],[ID]])*(Log[Verb]="pass")),Log[Arg])&amp;"",Items[[#This Row],[Team]]&amp;""))</f>
      </c>
      <c r="L61" s="17">
        <f>IF(Items[[#This Row],[ID]]="","",IFERROR(LOOKUP(2,1/((Log[ID]=Items[[#This Row],[ID]])*(Log[Into]&lt;&gt;"")),Log[Into]),""))</f>
      </c>
      <c r="M61" s="17">
        <f>IF(Items[[#This Row],[ID]]="","",IF(IFERROR(LOOKUP(2,1/((Log[ID]=Items[[#This Row],[ID]])*(Log[Blk]&lt;&gt;"")),Log[Blk]),0)=1,"Y",""))</f>
      </c>
      <c r="N61" s="17">
        <f>IF(Items[[#This Row],[ID]]="","",SUBSTITUTE(IFERROR(LOOKUP(2,1/((Log[ID]=Items[[#This Row],[ID]])*(Log[State]&lt;&gt;"")),Log[State]),"TODO"),"OPEN",IF(Items[[#This Row],[Blocked]]="Y","WAIT","OPEN")))</f>
      </c>
      <c r="O6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1" s="17">
        <f>IF(Items[[#This Row],[State]]&lt;&gt;"WAIT","",AsOf-Items[[#This Row],[Blocked since]])</f>
      </c>
      <c r="Q61" s="17">
        <f>IF(Items[[#This Row],[State]]&lt;&gt;"WAIT","",IFERROR(LOOKUP(2,1/((Log[ID]=Items[[#This Row],[ID]])*(Log[Verb]="block")),Log[Note])&amp;"",""))</f>
      </c>
      <c r="R61" s="17">
        <f>IF(Items[[#This Row],[ID]]="","",COUNTIFS(Log[ID],Items[[#This Row],[ID]],Log[Verb],"carry"))</f>
      </c>
      <c r="S61" s="17">
        <f>IF(Items[[#This Row],[ID]]="","",COUNTIFS(Log[ID],Items[[#This Row],[ID]],Log[Verb],"punt"))</f>
      </c>
      <c r="T61" s="11">
        <f>IF(Items[[#This Row],[State]]&lt;&gt;"DONE","",IFERROR(LOOKUP(2,1/((Log[ID]=Items[[#This Row],[ID]])*(Log[Verb]="done")),Log[Date]),""))</f>
      </c>
      <c r="U61" s="17">
        <f>IF(Items[[#This Row],[ID]]="","",IF(AND(Items[[#This Row],[Sprint]]=CurSprint,OR(Items[[#This Row],[State]]="OPEN",Items[[#This Row],[State]]="WAIT",Items[[#This Row],[State]]="HOLD",Items[[#This Row],[State]]="DONE")),1,0))</f>
      </c>
      <c r="V61" s="17">
        <f>IF(OR(Items[[#This Row],[ID]]="",Items[[#This Row],[Added]]=""),"",AsOf-Items[[#This Row],[Added]])</f>
      </c>
      <c r="W61" s="17">
        <f>IF(Items[[#This Row],[In sprint]]=1,(IF(Items[[#This Row],[Prio]]="",9,N(Items[[#This Row],[Prio]]))*10+(IF(Items[[#This Row],[State]]="DONE",1,0)))*100000+ROW(),"")</f>
      </c>
      <c r="X6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1" s="17">
        <f>IF(AND(Items[[#This Row],[State]]="DONE",N(Items[[#This Row],[Done on]])&gt;AsOf-7),(200000-N(Items[[#This Row],[Done on]]))*100000+ROW(),"")</f>
      </c>
    </row>
    <row r="62">
      <c r="A62" t="s">
        <v>211</v>
      </c>
      <c r="B62" t="s">
        <v>1224</v>
      </c>
      <c r="C62" t="s">
        <v>1115</v>
      </c>
      <c r="D62" t="s">
        <v>1119</v>
      </c>
      <c r="E62" t="s">
        <v>1109</v>
      </c>
      <c r="F62" t="s">
        <v>1225</v>
      </c>
      <c r="G62">
        <v>5</v>
      </c>
      <c r="H62">
        <v>2</v>
      </c>
      <c r="I62" s="11">
        <v>46063</v>
      </c>
      <c r="J62" s="17">
        <f>IF(Items[[#This Row],[ID]]="","",IFERROR(VALUE(LOOKUP(2,1/((Log[ID]=Items[[#This Row],[ID]])*(Log[Verb]="est")),Log[Arg])),N(Items[[#This Row],[Points]])))</f>
      </c>
      <c r="K62" s="17">
        <f>IF(Items[[#This Row],[ID]]="","",IFERROR(LOOKUP(2,1/((Log[ID]=Items[[#This Row],[ID]])*(Log[Verb]="pass")),Log[Arg])&amp;"",Items[[#This Row],[Team]]&amp;""))</f>
      </c>
      <c r="L62" s="17">
        <f>IF(Items[[#This Row],[ID]]="","",IFERROR(LOOKUP(2,1/((Log[ID]=Items[[#This Row],[ID]])*(Log[Into]&lt;&gt;"")),Log[Into]),""))</f>
      </c>
      <c r="M62" s="17">
        <f>IF(Items[[#This Row],[ID]]="","",IF(IFERROR(LOOKUP(2,1/((Log[ID]=Items[[#This Row],[ID]])*(Log[Blk]&lt;&gt;"")),Log[Blk]),0)=1,"Y",""))</f>
      </c>
      <c r="N62" s="17">
        <f>IF(Items[[#This Row],[ID]]="","",SUBSTITUTE(IFERROR(LOOKUP(2,1/((Log[ID]=Items[[#This Row],[ID]])*(Log[State]&lt;&gt;"")),Log[State]),"TODO"),"OPEN",IF(Items[[#This Row],[Blocked]]="Y","WAIT","OPEN")))</f>
      </c>
      <c r="O6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2" s="17">
        <f>IF(Items[[#This Row],[State]]&lt;&gt;"WAIT","",AsOf-Items[[#This Row],[Blocked since]])</f>
      </c>
      <c r="Q62" s="17">
        <f>IF(Items[[#This Row],[State]]&lt;&gt;"WAIT","",IFERROR(LOOKUP(2,1/((Log[ID]=Items[[#This Row],[ID]])*(Log[Verb]="block")),Log[Note])&amp;"",""))</f>
      </c>
      <c r="R62" s="17">
        <f>IF(Items[[#This Row],[ID]]="","",COUNTIFS(Log[ID],Items[[#This Row],[ID]],Log[Verb],"carry"))</f>
      </c>
      <c r="S62" s="17">
        <f>IF(Items[[#This Row],[ID]]="","",COUNTIFS(Log[ID],Items[[#This Row],[ID]],Log[Verb],"punt"))</f>
      </c>
      <c r="T62" s="11">
        <f>IF(Items[[#This Row],[State]]&lt;&gt;"DONE","",IFERROR(LOOKUP(2,1/((Log[ID]=Items[[#This Row],[ID]])*(Log[Verb]="done")),Log[Date]),""))</f>
      </c>
      <c r="U62" s="17">
        <f>IF(Items[[#This Row],[ID]]="","",IF(AND(Items[[#This Row],[Sprint]]=CurSprint,OR(Items[[#This Row],[State]]="OPEN",Items[[#This Row],[State]]="WAIT",Items[[#This Row],[State]]="HOLD",Items[[#This Row],[State]]="DONE")),1,0))</f>
      </c>
      <c r="V62" s="17">
        <f>IF(OR(Items[[#This Row],[ID]]="",Items[[#This Row],[Added]]=""),"",AsOf-Items[[#This Row],[Added]])</f>
      </c>
      <c r="W62" s="17">
        <f>IF(Items[[#This Row],[In sprint]]=1,(IF(Items[[#This Row],[Prio]]="",9,N(Items[[#This Row],[Prio]]))*10+(IF(Items[[#This Row],[State]]="DONE",1,0)))*100000+ROW(),"")</f>
      </c>
      <c r="X6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2" s="17">
        <f>IF(AND(Items[[#This Row],[State]]="DONE",N(Items[[#This Row],[Done on]])&gt;AsOf-7),(200000-N(Items[[#This Row],[Done on]]))*100000+ROW(),"")</f>
      </c>
    </row>
    <row r="63">
      <c r="A63" t="s">
        <v>268</v>
      </c>
      <c r="B63" t="s">
        <v>1226</v>
      </c>
      <c r="C63" t="s">
        <v>1107</v>
      </c>
      <c r="D63" t="s">
        <v>1127</v>
      </c>
      <c r="E63" t="s">
        <v>1109</v>
      </c>
      <c r="F63" t="s">
        <v>1227</v>
      </c>
      <c r="G63">
        <v>5</v>
      </c>
      <c r="H63">
        <v>1</v>
      </c>
      <c r="I63" s="11">
        <v>46063</v>
      </c>
      <c r="J63" s="17">
        <f>IF(Items[[#This Row],[ID]]="","",IFERROR(VALUE(LOOKUP(2,1/((Log[ID]=Items[[#This Row],[ID]])*(Log[Verb]="est")),Log[Arg])),N(Items[[#This Row],[Points]])))</f>
      </c>
      <c r="K63" s="17">
        <f>IF(Items[[#This Row],[ID]]="","",IFERROR(LOOKUP(2,1/((Log[ID]=Items[[#This Row],[ID]])*(Log[Verb]="pass")),Log[Arg])&amp;"",Items[[#This Row],[Team]]&amp;""))</f>
      </c>
      <c r="L63" s="17">
        <f>IF(Items[[#This Row],[ID]]="","",IFERROR(LOOKUP(2,1/((Log[ID]=Items[[#This Row],[ID]])*(Log[Into]&lt;&gt;"")),Log[Into]),""))</f>
      </c>
      <c r="M63" s="17">
        <f>IF(Items[[#This Row],[ID]]="","",IF(IFERROR(LOOKUP(2,1/((Log[ID]=Items[[#This Row],[ID]])*(Log[Blk]&lt;&gt;"")),Log[Blk]),0)=1,"Y",""))</f>
      </c>
      <c r="N63" s="17">
        <f>IF(Items[[#This Row],[ID]]="","",SUBSTITUTE(IFERROR(LOOKUP(2,1/((Log[ID]=Items[[#This Row],[ID]])*(Log[State]&lt;&gt;"")),Log[State]),"TODO"),"OPEN",IF(Items[[#This Row],[Blocked]]="Y","WAIT","OPEN")))</f>
      </c>
      <c r="O6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3" s="17">
        <f>IF(Items[[#This Row],[State]]&lt;&gt;"WAIT","",AsOf-Items[[#This Row],[Blocked since]])</f>
      </c>
      <c r="Q63" s="17">
        <f>IF(Items[[#This Row],[State]]&lt;&gt;"WAIT","",IFERROR(LOOKUP(2,1/((Log[ID]=Items[[#This Row],[ID]])*(Log[Verb]="block")),Log[Note])&amp;"",""))</f>
      </c>
      <c r="R63" s="17">
        <f>IF(Items[[#This Row],[ID]]="","",COUNTIFS(Log[ID],Items[[#This Row],[ID]],Log[Verb],"carry"))</f>
      </c>
      <c r="S63" s="17">
        <f>IF(Items[[#This Row],[ID]]="","",COUNTIFS(Log[ID],Items[[#This Row],[ID]],Log[Verb],"punt"))</f>
      </c>
      <c r="T63" s="11">
        <f>IF(Items[[#This Row],[State]]&lt;&gt;"DONE","",IFERROR(LOOKUP(2,1/((Log[ID]=Items[[#This Row],[ID]])*(Log[Verb]="done")),Log[Date]),""))</f>
      </c>
      <c r="U63" s="17">
        <f>IF(Items[[#This Row],[ID]]="","",IF(AND(Items[[#This Row],[Sprint]]=CurSprint,OR(Items[[#This Row],[State]]="OPEN",Items[[#This Row],[State]]="WAIT",Items[[#This Row],[State]]="HOLD",Items[[#This Row],[State]]="DONE")),1,0))</f>
      </c>
      <c r="V63" s="17">
        <f>IF(OR(Items[[#This Row],[ID]]="",Items[[#This Row],[Added]]=""),"",AsOf-Items[[#This Row],[Added]])</f>
      </c>
      <c r="W63" s="17">
        <f>IF(Items[[#This Row],[In sprint]]=1,(IF(Items[[#This Row],[Prio]]="",9,N(Items[[#This Row],[Prio]]))*10+(IF(Items[[#This Row],[State]]="DONE",1,0)))*100000+ROW(),"")</f>
      </c>
      <c r="X6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3" s="17">
        <f>IF(AND(Items[[#This Row],[State]]="DONE",N(Items[[#This Row],[Done on]])&gt;AsOf-7),(200000-N(Items[[#This Row],[Done on]]))*100000+ROW(),"")</f>
      </c>
    </row>
    <row r="64">
      <c r="A64" t="s">
        <v>212</v>
      </c>
      <c r="B64" t="s">
        <v>1228</v>
      </c>
      <c r="C64" t="s">
        <v>1115</v>
      </c>
      <c r="D64" t="s">
        <v>1119</v>
      </c>
      <c r="E64" t="s">
        <v>1109</v>
      </c>
      <c r="F64" t="s">
        <v>1220</v>
      </c>
      <c r="G64">
        <v>2</v>
      </c>
      <c r="H64">
        <v>1</v>
      </c>
      <c r="I64" s="11">
        <v>46063</v>
      </c>
      <c r="J64" s="17">
        <f>IF(Items[[#This Row],[ID]]="","",IFERROR(VALUE(LOOKUP(2,1/((Log[ID]=Items[[#This Row],[ID]])*(Log[Verb]="est")),Log[Arg])),N(Items[[#This Row],[Points]])))</f>
      </c>
      <c r="K64" s="17">
        <f>IF(Items[[#This Row],[ID]]="","",IFERROR(LOOKUP(2,1/((Log[ID]=Items[[#This Row],[ID]])*(Log[Verb]="pass")),Log[Arg])&amp;"",Items[[#This Row],[Team]]&amp;""))</f>
      </c>
      <c r="L64" s="17">
        <f>IF(Items[[#This Row],[ID]]="","",IFERROR(LOOKUP(2,1/((Log[ID]=Items[[#This Row],[ID]])*(Log[Into]&lt;&gt;"")),Log[Into]),""))</f>
      </c>
      <c r="M64" s="17">
        <f>IF(Items[[#This Row],[ID]]="","",IF(IFERROR(LOOKUP(2,1/((Log[ID]=Items[[#This Row],[ID]])*(Log[Blk]&lt;&gt;"")),Log[Blk]),0)=1,"Y",""))</f>
      </c>
      <c r="N64" s="17">
        <f>IF(Items[[#This Row],[ID]]="","",SUBSTITUTE(IFERROR(LOOKUP(2,1/((Log[ID]=Items[[#This Row],[ID]])*(Log[State]&lt;&gt;"")),Log[State]),"TODO"),"OPEN",IF(Items[[#This Row],[Blocked]]="Y","WAIT","OPEN")))</f>
      </c>
      <c r="O6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4" s="17">
        <f>IF(Items[[#This Row],[State]]&lt;&gt;"WAIT","",AsOf-Items[[#This Row],[Blocked since]])</f>
      </c>
      <c r="Q64" s="17">
        <f>IF(Items[[#This Row],[State]]&lt;&gt;"WAIT","",IFERROR(LOOKUP(2,1/((Log[ID]=Items[[#This Row],[ID]])*(Log[Verb]="block")),Log[Note])&amp;"",""))</f>
      </c>
      <c r="R64" s="17">
        <f>IF(Items[[#This Row],[ID]]="","",COUNTIFS(Log[ID],Items[[#This Row],[ID]],Log[Verb],"carry"))</f>
      </c>
      <c r="S64" s="17">
        <f>IF(Items[[#This Row],[ID]]="","",COUNTIFS(Log[ID],Items[[#This Row],[ID]],Log[Verb],"punt"))</f>
      </c>
      <c r="T64" s="11">
        <f>IF(Items[[#This Row],[State]]&lt;&gt;"DONE","",IFERROR(LOOKUP(2,1/((Log[ID]=Items[[#This Row],[ID]])*(Log[Verb]="done")),Log[Date]),""))</f>
      </c>
      <c r="U64" s="17">
        <f>IF(Items[[#This Row],[ID]]="","",IF(AND(Items[[#This Row],[Sprint]]=CurSprint,OR(Items[[#This Row],[State]]="OPEN",Items[[#This Row],[State]]="WAIT",Items[[#This Row],[State]]="HOLD",Items[[#This Row],[State]]="DONE")),1,0))</f>
      </c>
      <c r="V64" s="17">
        <f>IF(OR(Items[[#This Row],[ID]]="",Items[[#This Row],[Added]]=""),"",AsOf-Items[[#This Row],[Added]])</f>
      </c>
      <c r="W64" s="17">
        <f>IF(Items[[#This Row],[In sprint]]=1,(IF(Items[[#This Row],[Prio]]="",9,N(Items[[#This Row],[Prio]]))*10+(IF(Items[[#This Row],[State]]="DONE",1,0)))*100000+ROW(),"")</f>
      </c>
      <c r="X6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4" s="17">
        <f>IF(AND(Items[[#This Row],[State]]="DONE",N(Items[[#This Row],[Done on]])&gt;AsOf-7),(200000-N(Items[[#This Row],[Done on]]))*100000+ROW(),"")</f>
      </c>
    </row>
    <row r="65">
      <c r="A65" t="s">
        <v>269</v>
      </c>
      <c r="B65" t="s">
        <v>1229</v>
      </c>
      <c r="C65" t="s">
        <v>1107</v>
      </c>
      <c r="D65" t="s">
        <v>1127</v>
      </c>
      <c r="E65" t="s">
        <v>1109</v>
      </c>
      <c r="F65" t="s">
        <v>1220</v>
      </c>
      <c r="G65">
        <v>3</v>
      </c>
      <c r="H65">
        <v>3</v>
      </c>
      <c r="I65" s="11">
        <v>46063</v>
      </c>
      <c r="J65" s="17">
        <f>IF(Items[[#This Row],[ID]]="","",IFERROR(VALUE(LOOKUP(2,1/((Log[ID]=Items[[#This Row],[ID]])*(Log[Verb]="est")),Log[Arg])),N(Items[[#This Row],[Points]])))</f>
      </c>
      <c r="K65" s="17">
        <f>IF(Items[[#This Row],[ID]]="","",IFERROR(LOOKUP(2,1/((Log[ID]=Items[[#This Row],[ID]])*(Log[Verb]="pass")),Log[Arg])&amp;"",Items[[#This Row],[Team]]&amp;""))</f>
      </c>
      <c r="L65" s="17">
        <f>IF(Items[[#This Row],[ID]]="","",IFERROR(LOOKUP(2,1/((Log[ID]=Items[[#This Row],[ID]])*(Log[Into]&lt;&gt;"")),Log[Into]),""))</f>
      </c>
      <c r="M65" s="17">
        <f>IF(Items[[#This Row],[ID]]="","",IF(IFERROR(LOOKUP(2,1/((Log[ID]=Items[[#This Row],[ID]])*(Log[Blk]&lt;&gt;"")),Log[Blk]),0)=1,"Y",""))</f>
      </c>
      <c r="N65" s="17">
        <f>IF(Items[[#This Row],[ID]]="","",SUBSTITUTE(IFERROR(LOOKUP(2,1/((Log[ID]=Items[[#This Row],[ID]])*(Log[State]&lt;&gt;"")),Log[State]),"TODO"),"OPEN",IF(Items[[#This Row],[Blocked]]="Y","WAIT","OPEN")))</f>
      </c>
      <c r="O6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5" s="17">
        <f>IF(Items[[#This Row],[State]]&lt;&gt;"WAIT","",AsOf-Items[[#This Row],[Blocked since]])</f>
      </c>
      <c r="Q65" s="17">
        <f>IF(Items[[#This Row],[State]]&lt;&gt;"WAIT","",IFERROR(LOOKUP(2,1/((Log[ID]=Items[[#This Row],[ID]])*(Log[Verb]="block")),Log[Note])&amp;"",""))</f>
      </c>
      <c r="R65" s="17">
        <f>IF(Items[[#This Row],[ID]]="","",COUNTIFS(Log[ID],Items[[#This Row],[ID]],Log[Verb],"carry"))</f>
      </c>
      <c r="S65" s="17">
        <f>IF(Items[[#This Row],[ID]]="","",COUNTIFS(Log[ID],Items[[#This Row],[ID]],Log[Verb],"punt"))</f>
      </c>
      <c r="T65" s="11">
        <f>IF(Items[[#This Row],[State]]&lt;&gt;"DONE","",IFERROR(LOOKUP(2,1/((Log[ID]=Items[[#This Row],[ID]])*(Log[Verb]="done")),Log[Date]),""))</f>
      </c>
      <c r="U65" s="17">
        <f>IF(Items[[#This Row],[ID]]="","",IF(AND(Items[[#This Row],[Sprint]]=CurSprint,OR(Items[[#This Row],[State]]="OPEN",Items[[#This Row],[State]]="WAIT",Items[[#This Row],[State]]="HOLD",Items[[#This Row],[State]]="DONE")),1,0))</f>
      </c>
      <c r="V65" s="17">
        <f>IF(OR(Items[[#This Row],[ID]]="",Items[[#This Row],[Added]]=""),"",AsOf-Items[[#This Row],[Added]])</f>
      </c>
      <c r="W65" s="17">
        <f>IF(Items[[#This Row],[In sprint]]=1,(IF(Items[[#This Row],[Prio]]="",9,N(Items[[#This Row],[Prio]]))*10+(IF(Items[[#This Row],[State]]="DONE",1,0)))*100000+ROW(),"")</f>
      </c>
      <c r="X6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5" s="17">
        <f>IF(AND(Items[[#This Row],[State]]="DONE",N(Items[[#This Row],[Done on]])&gt;AsOf-7),(200000-N(Items[[#This Row],[Done on]]))*100000+ROW(),"")</f>
      </c>
    </row>
    <row r="66">
      <c r="A66" t="s">
        <v>216</v>
      </c>
      <c r="B66" t="s">
        <v>1230</v>
      </c>
      <c r="C66" t="s">
        <v>1115</v>
      </c>
      <c r="D66" t="s">
        <v>1116</v>
      </c>
      <c r="E66" t="s">
        <v>1131</v>
      </c>
      <c r="F66" t="s">
        <v>1231</v>
      </c>
      <c r="G66">
        <v>3</v>
      </c>
      <c r="H66">
        <v>3</v>
      </c>
      <c r="I66" s="11">
        <v>46063</v>
      </c>
      <c r="J66" s="17">
        <f>IF(Items[[#This Row],[ID]]="","",IFERROR(VALUE(LOOKUP(2,1/((Log[ID]=Items[[#This Row],[ID]])*(Log[Verb]="est")),Log[Arg])),N(Items[[#This Row],[Points]])))</f>
      </c>
      <c r="K66" s="17">
        <f>IF(Items[[#This Row],[ID]]="","",IFERROR(LOOKUP(2,1/((Log[ID]=Items[[#This Row],[ID]])*(Log[Verb]="pass")),Log[Arg])&amp;"",Items[[#This Row],[Team]]&amp;""))</f>
      </c>
      <c r="L66" s="17">
        <f>IF(Items[[#This Row],[ID]]="","",IFERROR(LOOKUP(2,1/((Log[ID]=Items[[#This Row],[ID]])*(Log[Into]&lt;&gt;"")),Log[Into]),""))</f>
      </c>
      <c r="M66" s="17">
        <f>IF(Items[[#This Row],[ID]]="","",IF(IFERROR(LOOKUP(2,1/((Log[ID]=Items[[#This Row],[ID]])*(Log[Blk]&lt;&gt;"")),Log[Blk]),0)=1,"Y",""))</f>
      </c>
      <c r="N66" s="17">
        <f>IF(Items[[#This Row],[ID]]="","",SUBSTITUTE(IFERROR(LOOKUP(2,1/((Log[ID]=Items[[#This Row],[ID]])*(Log[State]&lt;&gt;"")),Log[State]),"TODO"),"OPEN",IF(Items[[#This Row],[Blocked]]="Y","WAIT","OPEN")))</f>
      </c>
      <c r="O6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6" s="17">
        <f>IF(Items[[#This Row],[State]]&lt;&gt;"WAIT","",AsOf-Items[[#This Row],[Blocked since]])</f>
      </c>
      <c r="Q66" s="17">
        <f>IF(Items[[#This Row],[State]]&lt;&gt;"WAIT","",IFERROR(LOOKUP(2,1/((Log[ID]=Items[[#This Row],[ID]])*(Log[Verb]="block")),Log[Note])&amp;"",""))</f>
      </c>
      <c r="R66" s="17">
        <f>IF(Items[[#This Row],[ID]]="","",COUNTIFS(Log[ID],Items[[#This Row],[ID]],Log[Verb],"carry"))</f>
      </c>
      <c r="S66" s="17">
        <f>IF(Items[[#This Row],[ID]]="","",COUNTIFS(Log[ID],Items[[#This Row],[ID]],Log[Verb],"punt"))</f>
      </c>
      <c r="T66" s="11">
        <f>IF(Items[[#This Row],[State]]&lt;&gt;"DONE","",IFERROR(LOOKUP(2,1/((Log[ID]=Items[[#This Row],[ID]])*(Log[Verb]="done")),Log[Date]),""))</f>
      </c>
      <c r="U66" s="17">
        <f>IF(Items[[#This Row],[ID]]="","",IF(AND(Items[[#This Row],[Sprint]]=CurSprint,OR(Items[[#This Row],[State]]="OPEN",Items[[#This Row],[State]]="WAIT",Items[[#This Row],[State]]="HOLD",Items[[#This Row],[State]]="DONE")),1,0))</f>
      </c>
      <c r="V66" s="17">
        <f>IF(OR(Items[[#This Row],[ID]]="",Items[[#This Row],[Added]]=""),"",AsOf-Items[[#This Row],[Added]])</f>
      </c>
      <c r="W66" s="17">
        <f>IF(Items[[#This Row],[In sprint]]=1,(IF(Items[[#This Row],[Prio]]="",9,N(Items[[#This Row],[Prio]]))*10+(IF(Items[[#This Row],[State]]="DONE",1,0)))*100000+ROW(),"")</f>
      </c>
      <c r="X6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6" s="17">
        <f>IF(AND(Items[[#This Row],[State]]="DONE",N(Items[[#This Row],[Done on]])&gt;AsOf-7),(200000-N(Items[[#This Row],[Done on]]))*100000+ROW(),"")</f>
      </c>
    </row>
    <row r="67">
      <c r="A67" t="s">
        <v>217</v>
      </c>
      <c r="B67" t="s">
        <v>1232</v>
      </c>
      <c r="C67" t="s">
        <v>1107</v>
      </c>
      <c r="D67" t="s">
        <v>1127</v>
      </c>
      <c r="E67" t="s">
        <v>1131</v>
      </c>
      <c r="F67" t="s">
        <v>1233</v>
      </c>
      <c r="G67">
        <v>3</v>
      </c>
      <c r="H67">
        <v>3</v>
      </c>
      <c r="I67" s="11">
        <v>46063</v>
      </c>
      <c r="J67" s="17">
        <f>IF(Items[[#This Row],[ID]]="","",IFERROR(VALUE(LOOKUP(2,1/((Log[ID]=Items[[#This Row],[ID]])*(Log[Verb]="est")),Log[Arg])),N(Items[[#This Row],[Points]])))</f>
      </c>
      <c r="K67" s="17">
        <f>IF(Items[[#This Row],[ID]]="","",IFERROR(LOOKUP(2,1/((Log[ID]=Items[[#This Row],[ID]])*(Log[Verb]="pass")),Log[Arg])&amp;"",Items[[#This Row],[Team]]&amp;""))</f>
      </c>
      <c r="L67" s="17">
        <f>IF(Items[[#This Row],[ID]]="","",IFERROR(LOOKUP(2,1/((Log[ID]=Items[[#This Row],[ID]])*(Log[Into]&lt;&gt;"")),Log[Into]),""))</f>
      </c>
      <c r="M67" s="17">
        <f>IF(Items[[#This Row],[ID]]="","",IF(IFERROR(LOOKUP(2,1/((Log[ID]=Items[[#This Row],[ID]])*(Log[Blk]&lt;&gt;"")),Log[Blk]),0)=1,"Y",""))</f>
      </c>
      <c r="N67" s="17">
        <f>IF(Items[[#This Row],[ID]]="","",SUBSTITUTE(IFERROR(LOOKUP(2,1/((Log[ID]=Items[[#This Row],[ID]])*(Log[State]&lt;&gt;"")),Log[State]),"TODO"),"OPEN",IF(Items[[#This Row],[Blocked]]="Y","WAIT","OPEN")))</f>
      </c>
      <c r="O6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7" s="17">
        <f>IF(Items[[#This Row],[State]]&lt;&gt;"WAIT","",AsOf-Items[[#This Row],[Blocked since]])</f>
      </c>
      <c r="Q67" s="17">
        <f>IF(Items[[#This Row],[State]]&lt;&gt;"WAIT","",IFERROR(LOOKUP(2,1/((Log[ID]=Items[[#This Row],[ID]])*(Log[Verb]="block")),Log[Note])&amp;"",""))</f>
      </c>
      <c r="R67" s="17">
        <f>IF(Items[[#This Row],[ID]]="","",COUNTIFS(Log[ID],Items[[#This Row],[ID]],Log[Verb],"carry"))</f>
      </c>
      <c r="S67" s="17">
        <f>IF(Items[[#This Row],[ID]]="","",COUNTIFS(Log[ID],Items[[#This Row],[ID]],Log[Verb],"punt"))</f>
      </c>
      <c r="T67" s="11">
        <f>IF(Items[[#This Row],[State]]&lt;&gt;"DONE","",IFERROR(LOOKUP(2,1/((Log[ID]=Items[[#This Row],[ID]])*(Log[Verb]="done")),Log[Date]),""))</f>
      </c>
      <c r="U67" s="17">
        <f>IF(Items[[#This Row],[ID]]="","",IF(AND(Items[[#This Row],[Sprint]]=CurSprint,OR(Items[[#This Row],[State]]="OPEN",Items[[#This Row],[State]]="WAIT",Items[[#This Row],[State]]="HOLD",Items[[#This Row],[State]]="DONE")),1,0))</f>
      </c>
      <c r="V67" s="17">
        <f>IF(OR(Items[[#This Row],[ID]]="",Items[[#This Row],[Added]]=""),"",AsOf-Items[[#This Row],[Added]])</f>
      </c>
      <c r="W67" s="17">
        <f>IF(Items[[#This Row],[In sprint]]=1,(IF(Items[[#This Row],[Prio]]="",9,N(Items[[#This Row],[Prio]]))*10+(IF(Items[[#This Row],[State]]="DONE",1,0)))*100000+ROW(),"")</f>
      </c>
      <c r="X6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7" s="17">
        <f>IF(AND(Items[[#This Row],[State]]="DONE",N(Items[[#This Row],[Done on]])&gt;AsOf-7),(200000-N(Items[[#This Row],[Done on]]))*100000+ROW(),"")</f>
      </c>
    </row>
    <row r="68">
      <c r="A68" t="s">
        <v>218</v>
      </c>
      <c r="B68" t="s">
        <v>1234</v>
      </c>
      <c r="C68" t="s">
        <v>1115</v>
      </c>
      <c r="D68" t="s">
        <v>1119</v>
      </c>
      <c r="E68" t="s">
        <v>1131</v>
      </c>
      <c r="F68" t="s">
        <v>1233</v>
      </c>
      <c r="G68">
        <v>5</v>
      </c>
      <c r="H68">
        <v>2</v>
      </c>
      <c r="I68" s="11">
        <v>46063</v>
      </c>
      <c r="J68" s="17">
        <f>IF(Items[[#This Row],[ID]]="","",IFERROR(VALUE(LOOKUP(2,1/((Log[ID]=Items[[#This Row],[ID]])*(Log[Verb]="est")),Log[Arg])),N(Items[[#This Row],[Points]])))</f>
      </c>
      <c r="K68" s="17">
        <f>IF(Items[[#This Row],[ID]]="","",IFERROR(LOOKUP(2,1/((Log[ID]=Items[[#This Row],[ID]])*(Log[Verb]="pass")),Log[Arg])&amp;"",Items[[#This Row],[Team]]&amp;""))</f>
      </c>
      <c r="L68" s="17">
        <f>IF(Items[[#This Row],[ID]]="","",IFERROR(LOOKUP(2,1/((Log[ID]=Items[[#This Row],[ID]])*(Log[Into]&lt;&gt;"")),Log[Into]),""))</f>
      </c>
      <c r="M68" s="17">
        <f>IF(Items[[#This Row],[ID]]="","",IF(IFERROR(LOOKUP(2,1/((Log[ID]=Items[[#This Row],[ID]])*(Log[Blk]&lt;&gt;"")),Log[Blk]),0)=1,"Y",""))</f>
      </c>
      <c r="N68" s="17">
        <f>IF(Items[[#This Row],[ID]]="","",SUBSTITUTE(IFERROR(LOOKUP(2,1/((Log[ID]=Items[[#This Row],[ID]])*(Log[State]&lt;&gt;"")),Log[State]),"TODO"),"OPEN",IF(Items[[#This Row],[Blocked]]="Y","WAIT","OPEN")))</f>
      </c>
      <c r="O6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8" s="17">
        <f>IF(Items[[#This Row],[State]]&lt;&gt;"WAIT","",AsOf-Items[[#This Row],[Blocked since]])</f>
      </c>
      <c r="Q68" s="17">
        <f>IF(Items[[#This Row],[State]]&lt;&gt;"WAIT","",IFERROR(LOOKUP(2,1/((Log[ID]=Items[[#This Row],[ID]])*(Log[Verb]="block")),Log[Note])&amp;"",""))</f>
      </c>
      <c r="R68" s="17">
        <f>IF(Items[[#This Row],[ID]]="","",COUNTIFS(Log[ID],Items[[#This Row],[ID]],Log[Verb],"carry"))</f>
      </c>
      <c r="S68" s="17">
        <f>IF(Items[[#This Row],[ID]]="","",COUNTIFS(Log[ID],Items[[#This Row],[ID]],Log[Verb],"punt"))</f>
      </c>
      <c r="T68" s="11">
        <f>IF(Items[[#This Row],[State]]&lt;&gt;"DONE","",IFERROR(LOOKUP(2,1/((Log[ID]=Items[[#This Row],[ID]])*(Log[Verb]="done")),Log[Date]),""))</f>
      </c>
      <c r="U68" s="17">
        <f>IF(Items[[#This Row],[ID]]="","",IF(AND(Items[[#This Row],[Sprint]]=CurSprint,OR(Items[[#This Row],[State]]="OPEN",Items[[#This Row],[State]]="WAIT",Items[[#This Row],[State]]="HOLD",Items[[#This Row],[State]]="DONE")),1,0))</f>
      </c>
      <c r="V68" s="17">
        <f>IF(OR(Items[[#This Row],[ID]]="",Items[[#This Row],[Added]]=""),"",AsOf-Items[[#This Row],[Added]])</f>
      </c>
      <c r="W68" s="17">
        <f>IF(Items[[#This Row],[In sprint]]=1,(IF(Items[[#This Row],[Prio]]="",9,N(Items[[#This Row],[Prio]]))*10+(IF(Items[[#This Row],[State]]="DONE",1,0)))*100000+ROW(),"")</f>
      </c>
      <c r="X6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8" s="17">
        <f>IF(AND(Items[[#This Row],[State]]="DONE",N(Items[[#This Row],[Done on]])&gt;AsOf-7),(200000-N(Items[[#This Row],[Done on]]))*100000+ROW(),"")</f>
      </c>
    </row>
    <row r="69">
      <c r="A69" t="s">
        <v>277</v>
      </c>
      <c r="B69" t="s">
        <v>1235</v>
      </c>
      <c r="C69" t="s">
        <v>1107</v>
      </c>
      <c r="D69" t="s">
        <v>1127</v>
      </c>
      <c r="E69" t="s">
        <v>1131</v>
      </c>
      <c r="F69" t="s">
        <v>1233</v>
      </c>
      <c r="G69">
        <v>5</v>
      </c>
      <c r="H69">
        <v>3</v>
      </c>
      <c r="I69" s="11">
        <v>46063</v>
      </c>
      <c r="J69" s="17">
        <f>IF(Items[[#This Row],[ID]]="","",IFERROR(VALUE(LOOKUP(2,1/((Log[ID]=Items[[#This Row],[ID]])*(Log[Verb]="est")),Log[Arg])),N(Items[[#This Row],[Points]])))</f>
      </c>
      <c r="K69" s="17">
        <f>IF(Items[[#This Row],[ID]]="","",IFERROR(LOOKUP(2,1/((Log[ID]=Items[[#This Row],[ID]])*(Log[Verb]="pass")),Log[Arg])&amp;"",Items[[#This Row],[Team]]&amp;""))</f>
      </c>
      <c r="L69" s="17">
        <f>IF(Items[[#This Row],[ID]]="","",IFERROR(LOOKUP(2,1/((Log[ID]=Items[[#This Row],[ID]])*(Log[Into]&lt;&gt;"")),Log[Into]),""))</f>
      </c>
      <c r="M69" s="17">
        <f>IF(Items[[#This Row],[ID]]="","",IF(IFERROR(LOOKUP(2,1/((Log[ID]=Items[[#This Row],[ID]])*(Log[Blk]&lt;&gt;"")),Log[Blk]),0)=1,"Y",""))</f>
      </c>
      <c r="N69" s="17">
        <f>IF(Items[[#This Row],[ID]]="","",SUBSTITUTE(IFERROR(LOOKUP(2,1/((Log[ID]=Items[[#This Row],[ID]])*(Log[State]&lt;&gt;"")),Log[State]),"TODO"),"OPEN",IF(Items[[#This Row],[Blocked]]="Y","WAIT","OPEN")))</f>
      </c>
      <c r="O6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9" s="17">
        <f>IF(Items[[#This Row],[State]]&lt;&gt;"WAIT","",AsOf-Items[[#This Row],[Blocked since]])</f>
      </c>
      <c r="Q69" s="17">
        <f>IF(Items[[#This Row],[State]]&lt;&gt;"WAIT","",IFERROR(LOOKUP(2,1/((Log[ID]=Items[[#This Row],[ID]])*(Log[Verb]="block")),Log[Note])&amp;"",""))</f>
      </c>
      <c r="R69" s="17">
        <f>IF(Items[[#This Row],[ID]]="","",COUNTIFS(Log[ID],Items[[#This Row],[ID]],Log[Verb],"carry"))</f>
      </c>
      <c r="S69" s="17">
        <f>IF(Items[[#This Row],[ID]]="","",COUNTIFS(Log[ID],Items[[#This Row],[ID]],Log[Verb],"punt"))</f>
      </c>
      <c r="T69" s="11">
        <f>IF(Items[[#This Row],[State]]&lt;&gt;"DONE","",IFERROR(LOOKUP(2,1/((Log[ID]=Items[[#This Row],[ID]])*(Log[Verb]="done")),Log[Date]),""))</f>
      </c>
      <c r="U69" s="17">
        <f>IF(Items[[#This Row],[ID]]="","",IF(AND(Items[[#This Row],[Sprint]]=CurSprint,OR(Items[[#This Row],[State]]="OPEN",Items[[#This Row],[State]]="WAIT",Items[[#This Row],[State]]="HOLD",Items[[#This Row],[State]]="DONE")),1,0))</f>
      </c>
      <c r="V69" s="17">
        <f>IF(OR(Items[[#This Row],[ID]]="",Items[[#This Row],[Added]]=""),"",AsOf-Items[[#This Row],[Added]])</f>
      </c>
      <c r="W69" s="17">
        <f>IF(Items[[#This Row],[In sprint]]=1,(IF(Items[[#This Row],[Prio]]="",9,N(Items[[#This Row],[Prio]]))*10+(IF(Items[[#This Row],[State]]="DONE",1,0)))*100000+ROW(),"")</f>
      </c>
      <c r="X6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9" s="17">
        <f>IF(AND(Items[[#This Row],[State]]="DONE",N(Items[[#This Row],[Done on]])&gt;AsOf-7),(200000-N(Items[[#This Row],[Done on]]))*100000+ROW(),"")</f>
      </c>
    </row>
    <row r="70">
      <c r="A70" t="s">
        <v>220</v>
      </c>
      <c r="B70" t="s">
        <v>1236</v>
      </c>
      <c r="C70" t="s">
        <v>1107</v>
      </c>
      <c r="D70" t="s">
        <v>1108</v>
      </c>
      <c r="E70" t="s">
        <v>1134</v>
      </c>
      <c r="F70" t="s">
        <v>1237</v>
      </c>
      <c r="G70">
        <v>2</v>
      </c>
      <c r="H70">
        <v>1</v>
      </c>
      <c r="I70" s="11">
        <v>46063</v>
      </c>
      <c r="J70" s="17">
        <f>IF(Items[[#This Row],[ID]]="","",IFERROR(VALUE(LOOKUP(2,1/((Log[ID]=Items[[#This Row],[ID]])*(Log[Verb]="est")),Log[Arg])),N(Items[[#This Row],[Points]])))</f>
      </c>
      <c r="K70" s="17">
        <f>IF(Items[[#This Row],[ID]]="","",IFERROR(LOOKUP(2,1/((Log[ID]=Items[[#This Row],[ID]])*(Log[Verb]="pass")),Log[Arg])&amp;"",Items[[#This Row],[Team]]&amp;""))</f>
      </c>
      <c r="L70" s="17">
        <f>IF(Items[[#This Row],[ID]]="","",IFERROR(LOOKUP(2,1/((Log[ID]=Items[[#This Row],[ID]])*(Log[Into]&lt;&gt;"")),Log[Into]),""))</f>
      </c>
      <c r="M70" s="17">
        <f>IF(Items[[#This Row],[ID]]="","",IF(IFERROR(LOOKUP(2,1/((Log[ID]=Items[[#This Row],[ID]])*(Log[Blk]&lt;&gt;"")),Log[Blk]),0)=1,"Y",""))</f>
      </c>
      <c r="N70" s="17">
        <f>IF(Items[[#This Row],[ID]]="","",SUBSTITUTE(IFERROR(LOOKUP(2,1/((Log[ID]=Items[[#This Row],[ID]])*(Log[State]&lt;&gt;"")),Log[State]),"TODO"),"OPEN",IF(Items[[#This Row],[Blocked]]="Y","WAIT","OPEN")))</f>
      </c>
      <c r="O7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0" s="17">
        <f>IF(Items[[#This Row],[State]]&lt;&gt;"WAIT","",AsOf-Items[[#This Row],[Blocked since]])</f>
      </c>
      <c r="Q70" s="17">
        <f>IF(Items[[#This Row],[State]]&lt;&gt;"WAIT","",IFERROR(LOOKUP(2,1/((Log[ID]=Items[[#This Row],[ID]])*(Log[Verb]="block")),Log[Note])&amp;"",""))</f>
      </c>
      <c r="R70" s="17">
        <f>IF(Items[[#This Row],[ID]]="","",COUNTIFS(Log[ID],Items[[#This Row],[ID]],Log[Verb],"carry"))</f>
      </c>
      <c r="S70" s="17">
        <f>IF(Items[[#This Row],[ID]]="","",COUNTIFS(Log[ID],Items[[#This Row],[ID]],Log[Verb],"punt"))</f>
      </c>
      <c r="T70" s="11">
        <f>IF(Items[[#This Row],[State]]&lt;&gt;"DONE","",IFERROR(LOOKUP(2,1/((Log[ID]=Items[[#This Row],[ID]])*(Log[Verb]="done")),Log[Date]),""))</f>
      </c>
      <c r="U70" s="17">
        <f>IF(Items[[#This Row],[ID]]="","",IF(AND(Items[[#This Row],[Sprint]]=CurSprint,OR(Items[[#This Row],[State]]="OPEN",Items[[#This Row],[State]]="WAIT",Items[[#This Row],[State]]="HOLD",Items[[#This Row],[State]]="DONE")),1,0))</f>
      </c>
      <c r="V70" s="17">
        <f>IF(OR(Items[[#This Row],[ID]]="",Items[[#This Row],[Added]]=""),"",AsOf-Items[[#This Row],[Added]])</f>
      </c>
      <c r="W70" s="17">
        <f>IF(Items[[#This Row],[In sprint]]=1,(IF(Items[[#This Row],[Prio]]="",9,N(Items[[#This Row],[Prio]]))*10+(IF(Items[[#This Row],[State]]="DONE",1,0)))*100000+ROW(),"")</f>
      </c>
      <c r="X7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0" s="17">
        <f>IF(AND(Items[[#This Row],[State]]="DONE",N(Items[[#This Row],[Done on]])&gt;AsOf-7),(200000-N(Items[[#This Row],[Done on]]))*100000+ROW(),"")</f>
      </c>
    </row>
    <row r="71">
      <c r="A71" t="s">
        <v>280</v>
      </c>
      <c r="B71" t="s">
        <v>1238</v>
      </c>
      <c r="C71" t="s">
        <v>1107</v>
      </c>
      <c r="D71" t="s">
        <v>1123</v>
      </c>
      <c r="E71" t="s">
        <v>1134</v>
      </c>
      <c r="F71" t="s">
        <v>1137</v>
      </c>
      <c r="G71">
        <v>8</v>
      </c>
      <c r="H71">
        <v>3</v>
      </c>
      <c r="I71" s="11">
        <v>46063</v>
      </c>
      <c r="J71" s="17">
        <f>IF(Items[[#This Row],[ID]]="","",IFERROR(VALUE(LOOKUP(2,1/((Log[ID]=Items[[#This Row],[ID]])*(Log[Verb]="est")),Log[Arg])),N(Items[[#This Row],[Points]])))</f>
      </c>
      <c r="K71" s="17">
        <f>IF(Items[[#This Row],[ID]]="","",IFERROR(LOOKUP(2,1/((Log[ID]=Items[[#This Row],[ID]])*(Log[Verb]="pass")),Log[Arg])&amp;"",Items[[#This Row],[Team]]&amp;""))</f>
      </c>
      <c r="L71" s="17">
        <f>IF(Items[[#This Row],[ID]]="","",IFERROR(LOOKUP(2,1/((Log[ID]=Items[[#This Row],[ID]])*(Log[Into]&lt;&gt;"")),Log[Into]),""))</f>
      </c>
      <c r="M71" s="17">
        <f>IF(Items[[#This Row],[ID]]="","",IF(IFERROR(LOOKUP(2,1/((Log[ID]=Items[[#This Row],[ID]])*(Log[Blk]&lt;&gt;"")),Log[Blk]),0)=1,"Y",""))</f>
      </c>
      <c r="N71" s="17">
        <f>IF(Items[[#This Row],[ID]]="","",SUBSTITUTE(IFERROR(LOOKUP(2,1/((Log[ID]=Items[[#This Row],[ID]])*(Log[State]&lt;&gt;"")),Log[State]),"TODO"),"OPEN",IF(Items[[#This Row],[Blocked]]="Y","WAIT","OPEN")))</f>
      </c>
      <c r="O7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1" s="17">
        <f>IF(Items[[#This Row],[State]]&lt;&gt;"WAIT","",AsOf-Items[[#This Row],[Blocked since]])</f>
      </c>
      <c r="Q71" s="17">
        <f>IF(Items[[#This Row],[State]]&lt;&gt;"WAIT","",IFERROR(LOOKUP(2,1/((Log[ID]=Items[[#This Row],[ID]])*(Log[Verb]="block")),Log[Note])&amp;"",""))</f>
      </c>
      <c r="R71" s="17">
        <f>IF(Items[[#This Row],[ID]]="","",COUNTIFS(Log[ID],Items[[#This Row],[ID]],Log[Verb],"carry"))</f>
      </c>
      <c r="S71" s="17">
        <f>IF(Items[[#This Row],[ID]]="","",COUNTIFS(Log[ID],Items[[#This Row],[ID]],Log[Verb],"punt"))</f>
      </c>
      <c r="T71" s="11">
        <f>IF(Items[[#This Row],[State]]&lt;&gt;"DONE","",IFERROR(LOOKUP(2,1/((Log[ID]=Items[[#This Row],[ID]])*(Log[Verb]="done")),Log[Date]),""))</f>
      </c>
      <c r="U71" s="17">
        <f>IF(Items[[#This Row],[ID]]="","",IF(AND(Items[[#This Row],[Sprint]]=CurSprint,OR(Items[[#This Row],[State]]="OPEN",Items[[#This Row],[State]]="WAIT",Items[[#This Row],[State]]="HOLD",Items[[#This Row],[State]]="DONE")),1,0))</f>
      </c>
      <c r="V71" s="17">
        <f>IF(OR(Items[[#This Row],[ID]]="",Items[[#This Row],[Added]]=""),"",AsOf-Items[[#This Row],[Added]])</f>
      </c>
      <c r="W71" s="17">
        <f>IF(Items[[#This Row],[In sprint]]=1,(IF(Items[[#This Row],[Prio]]="",9,N(Items[[#This Row],[Prio]]))*10+(IF(Items[[#This Row],[State]]="DONE",1,0)))*100000+ROW(),"")</f>
      </c>
      <c r="X7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1" s="17">
        <f>IF(AND(Items[[#This Row],[State]]="DONE",N(Items[[#This Row],[Done on]])&gt;AsOf-7),(200000-N(Items[[#This Row],[Done on]]))*100000+ROW(),"")</f>
      </c>
    </row>
    <row r="72">
      <c r="A72" t="s">
        <v>221</v>
      </c>
      <c r="B72" t="s">
        <v>1239</v>
      </c>
      <c r="C72" t="s">
        <v>1107</v>
      </c>
      <c r="D72" t="s">
        <v>1123</v>
      </c>
      <c r="E72" t="s">
        <v>1134</v>
      </c>
      <c r="F72" t="s">
        <v>1240</v>
      </c>
      <c r="G72">
        <v>3</v>
      </c>
      <c r="H72">
        <v>1</v>
      </c>
      <c r="I72" s="11">
        <v>46063</v>
      </c>
      <c r="J72" s="17">
        <f>IF(Items[[#This Row],[ID]]="","",IFERROR(VALUE(LOOKUP(2,1/((Log[ID]=Items[[#This Row],[ID]])*(Log[Verb]="est")),Log[Arg])),N(Items[[#This Row],[Points]])))</f>
      </c>
      <c r="K72" s="17">
        <f>IF(Items[[#This Row],[ID]]="","",IFERROR(LOOKUP(2,1/((Log[ID]=Items[[#This Row],[ID]])*(Log[Verb]="pass")),Log[Arg])&amp;"",Items[[#This Row],[Team]]&amp;""))</f>
      </c>
      <c r="L72" s="17">
        <f>IF(Items[[#This Row],[ID]]="","",IFERROR(LOOKUP(2,1/((Log[ID]=Items[[#This Row],[ID]])*(Log[Into]&lt;&gt;"")),Log[Into]),""))</f>
      </c>
      <c r="M72" s="17">
        <f>IF(Items[[#This Row],[ID]]="","",IF(IFERROR(LOOKUP(2,1/((Log[ID]=Items[[#This Row],[ID]])*(Log[Blk]&lt;&gt;"")),Log[Blk]),0)=1,"Y",""))</f>
      </c>
      <c r="N72" s="17">
        <f>IF(Items[[#This Row],[ID]]="","",SUBSTITUTE(IFERROR(LOOKUP(2,1/((Log[ID]=Items[[#This Row],[ID]])*(Log[State]&lt;&gt;"")),Log[State]),"TODO"),"OPEN",IF(Items[[#This Row],[Blocked]]="Y","WAIT","OPEN")))</f>
      </c>
      <c r="O7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2" s="17">
        <f>IF(Items[[#This Row],[State]]&lt;&gt;"WAIT","",AsOf-Items[[#This Row],[Blocked since]])</f>
      </c>
      <c r="Q72" s="17">
        <f>IF(Items[[#This Row],[State]]&lt;&gt;"WAIT","",IFERROR(LOOKUP(2,1/((Log[ID]=Items[[#This Row],[ID]])*(Log[Verb]="block")),Log[Note])&amp;"",""))</f>
      </c>
      <c r="R72" s="17">
        <f>IF(Items[[#This Row],[ID]]="","",COUNTIFS(Log[ID],Items[[#This Row],[ID]],Log[Verb],"carry"))</f>
      </c>
      <c r="S72" s="17">
        <f>IF(Items[[#This Row],[ID]]="","",COUNTIFS(Log[ID],Items[[#This Row],[ID]],Log[Verb],"punt"))</f>
      </c>
      <c r="T72" s="11">
        <f>IF(Items[[#This Row],[State]]&lt;&gt;"DONE","",IFERROR(LOOKUP(2,1/((Log[ID]=Items[[#This Row],[ID]])*(Log[Verb]="done")),Log[Date]),""))</f>
      </c>
      <c r="U72" s="17">
        <f>IF(Items[[#This Row],[ID]]="","",IF(AND(Items[[#This Row],[Sprint]]=CurSprint,OR(Items[[#This Row],[State]]="OPEN",Items[[#This Row],[State]]="WAIT",Items[[#This Row],[State]]="HOLD",Items[[#This Row],[State]]="DONE")),1,0))</f>
      </c>
      <c r="V72" s="17">
        <f>IF(OR(Items[[#This Row],[ID]]="",Items[[#This Row],[Added]]=""),"",AsOf-Items[[#This Row],[Added]])</f>
      </c>
      <c r="W72" s="17">
        <f>IF(Items[[#This Row],[In sprint]]=1,(IF(Items[[#This Row],[Prio]]="",9,N(Items[[#This Row],[Prio]]))*10+(IF(Items[[#This Row],[State]]="DONE",1,0)))*100000+ROW(),"")</f>
      </c>
      <c r="X7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2" s="17">
        <f>IF(AND(Items[[#This Row],[State]]="DONE",N(Items[[#This Row],[Done on]])&gt;AsOf-7),(200000-N(Items[[#This Row],[Done on]]))*100000+ROW(),"")</f>
      </c>
    </row>
    <row r="73">
      <c r="A73" t="s">
        <v>222</v>
      </c>
      <c r="B73" t="s">
        <v>1241</v>
      </c>
      <c r="C73" t="s">
        <v>1115</v>
      </c>
      <c r="D73" t="s">
        <v>1119</v>
      </c>
      <c r="E73" t="s">
        <v>1134</v>
      </c>
      <c r="F73" t="s">
        <v>1242</v>
      </c>
      <c r="G73">
        <v>2</v>
      </c>
      <c r="H73">
        <v>2</v>
      </c>
      <c r="I73" s="11">
        <v>46063</v>
      </c>
      <c r="J73" s="17">
        <f>IF(Items[[#This Row],[ID]]="","",IFERROR(VALUE(LOOKUP(2,1/((Log[ID]=Items[[#This Row],[ID]])*(Log[Verb]="est")),Log[Arg])),N(Items[[#This Row],[Points]])))</f>
      </c>
      <c r="K73" s="17">
        <f>IF(Items[[#This Row],[ID]]="","",IFERROR(LOOKUP(2,1/((Log[ID]=Items[[#This Row],[ID]])*(Log[Verb]="pass")),Log[Arg])&amp;"",Items[[#This Row],[Team]]&amp;""))</f>
      </c>
      <c r="L73" s="17">
        <f>IF(Items[[#This Row],[ID]]="","",IFERROR(LOOKUP(2,1/((Log[ID]=Items[[#This Row],[ID]])*(Log[Into]&lt;&gt;"")),Log[Into]),""))</f>
      </c>
      <c r="M73" s="17">
        <f>IF(Items[[#This Row],[ID]]="","",IF(IFERROR(LOOKUP(2,1/((Log[ID]=Items[[#This Row],[ID]])*(Log[Blk]&lt;&gt;"")),Log[Blk]),0)=1,"Y",""))</f>
      </c>
      <c r="N73" s="17">
        <f>IF(Items[[#This Row],[ID]]="","",SUBSTITUTE(IFERROR(LOOKUP(2,1/((Log[ID]=Items[[#This Row],[ID]])*(Log[State]&lt;&gt;"")),Log[State]),"TODO"),"OPEN",IF(Items[[#This Row],[Blocked]]="Y","WAIT","OPEN")))</f>
      </c>
      <c r="O7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3" s="17">
        <f>IF(Items[[#This Row],[State]]&lt;&gt;"WAIT","",AsOf-Items[[#This Row],[Blocked since]])</f>
      </c>
      <c r="Q73" s="17">
        <f>IF(Items[[#This Row],[State]]&lt;&gt;"WAIT","",IFERROR(LOOKUP(2,1/((Log[ID]=Items[[#This Row],[ID]])*(Log[Verb]="block")),Log[Note])&amp;"",""))</f>
      </c>
      <c r="R73" s="17">
        <f>IF(Items[[#This Row],[ID]]="","",COUNTIFS(Log[ID],Items[[#This Row],[ID]],Log[Verb],"carry"))</f>
      </c>
      <c r="S73" s="17">
        <f>IF(Items[[#This Row],[ID]]="","",COUNTIFS(Log[ID],Items[[#This Row],[ID]],Log[Verb],"punt"))</f>
      </c>
      <c r="T73" s="11">
        <f>IF(Items[[#This Row],[State]]&lt;&gt;"DONE","",IFERROR(LOOKUP(2,1/((Log[ID]=Items[[#This Row],[ID]])*(Log[Verb]="done")),Log[Date]),""))</f>
      </c>
      <c r="U73" s="17">
        <f>IF(Items[[#This Row],[ID]]="","",IF(AND(Items[[#This Row],[Sprint]]=CurSprint,OR(Items[[#This Row],[State]]="OPEN",Items[[#This Row],[State]]="WAIT",Items[[#This Row],[State]]="HOLD",Items[[#This Row],[State]]="DONE")),1,0))</f>
      </c>
      <c r="V73" s="17">
        <f>IF(OR(Items[[#This Row],[ID]]="",Items[[#This Row],[Added]]=""),"",AsOf-Items[[#This Row],[Added]])</f>
      </c>
      <c r="W73" s="17">
        <f>IF(Items[[#This Row],[In sprint]]=1,(IF(Items[[#This Row],[Prio]]="",9,N(Items[[#This Row],[Prio]]))*10+(IF(Items[[#This Row],[State]]="DONE",1,0)))*100000+ROW(),"")</f>
      </c>
      <c r="X7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3" s="17">
        <f>IF(AND(Items[[#This Row],[State]]="DONE",N(Items[[#This Row],[Done on]])&gt;AsOf-7),(200000-N(Items[[#This Row],[Done on]]))*100000+ROW(),"")</f>
      </c>
    </row>
    <row r="74">
      <c r="A74" t="s">
        <v>223</v>
      </c>
      <c r="B74" t="s">
        <v>1243</v>
      </c>
      <c r="C74" t="s">
        <v>1107</v>
      </c>
      <c r="D74" t="s">
        <v>1127</v>
      </c>
      <c r="E74" t="s">
        <v>1134</v>
      </c>
      <c r="F74" t="s">
        <v>1244</v>
      </c>
      <c r="G74">
        <v>2</v>
      </c>
      <c r="H74">
        <v>2</v>
      </c>
      <c r="I74" s="11">
        <v>46063</v>
      </c>
      <c r="J74" s="17">
        <f>IF(Items[[#This Row],[ID]]="","",IFERROR(VALUE(LOOKUP(2,1/((Log[ID]=Items[[#This Row],[ID]])*(Log[Verb]="est")),Log[Arg])),N(Items[[#This Row],[Points]])))</f>
      </c>
      <c r="K74" s="17">
        <f>IF(Items[[#This Row],[ID]]="","",IFERROR(LOOKUP(2,1/((Log[ID]=Items[[#This Row],[ID]])*(Log[Verb]="pass")),Log[Arg])&amp;"",Items[[#This Row],[Team]]&amp;""))</f>
      </c>
      <c r="L74" s="17">
        <f>IF(Items[[#This Row],[ID]]="","",IFERROR(LOOKUP(2,1/((Log[ID]=Items[[#This Row],[ID]])*(Log[Into]&lt;&gt;"")),Log[Into]),""))</f>
      </c>
      <c r="M74" s="17">
        <f>IF(Items[[#This Row],[ID]]="","",IF(IFERROR(LOOKUP(2,1/((Log[ID]=Items[[#This Row],[ID]])*(Log[Blk]&lt;&gt;"")),Log[Blk]),0)=1,"Y",""))</f>
      </c>
      <c r="N74" s="17">
        <f>IF(Items[[#This Row],[ID]]="","",SUBSTITUTE(IFERROR(LOOKUP(2,1/((Log[ID]=Items[[#This Row],[ID]])*(Log[State]&lt;&gt;"")),Log[State]),"TODO"),"OPEN",IF(Items[[#This Row],[Blocked]]="Y","WAIT","OPEN")))</f>
      </c>
      <c r="O7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4" s="17">
        <f>IF(Items[[#This Row],[State]]&lt;&gt;"WAIT","",AsOf-Items[[#This Row],[Blocked since]])</f>
      </c>
      <c r="Q74" s="17">
        <f>IF(Items[[#This Row],[State]]&lt;&gt;"WAIT","",IFERROR(LOOKUP(2,1/((Log[ID]=Items[[#This Row],[ID]])*(Log[Verb]="block")),Log[Note])&amp;"",""))</f>
      </c>
      <c r="R74" s="17">
        <f>IF(Items[[#This Row],[ID]]="","",COUNTIFS(Log[ID],Items[[#This Row],[ID]],Log[Verb],"carry"))</f>
      </c>
      <c r="S74" s="17">
        <f>IF(Items[[#This Row],[ID]]="","",COUNTIFS(Log[ID],Items[[#This Row],[ID]],Log[Verb],"punt"))</f>
      </c>
      <c r="T74" s="11">
        <f>IF(Items[[#This Row],[State]]&lt;&gt;"DONE","",IFERROR(LOOKUP(2,1/((Log[ID]=Items[[#This Row],[ID]])*(Log[Verb]="done")),Log[Date]),""))</f>
      </c>
      <c r="U74" s="17">
        <f>IF(Items[[#This Row],[ID]]="","",IF(AND(Items[[#This Row],[Sprint]]=CurSprint,OR(Items[[#This Row],[State]]="OPEN",Items[[#This Row],[State]]="WAIT",Items[[#This Row],[State]]="HOLD",Items[[#This Row],[State]]="DONE")),1,0))</f>
      </c>
      <c r="V74" s="17">
        <f>IF(OR(Items[[#This Row],[ID]]="",Items[[#This Row],[Added]]=""),"",AsOf-Items[[#This Row],[Added]])</f>
      </c>
      <c r="W74" s="17">
        <f>IF(Items[[#This Row],[In sprint]]=1,(IF(Items[[#This Row],[Prio]]="",9,N(Items[[#This Row],[Prio]]))*10+(IF(Items[[#This Row],[State]]="DONE",1,0)))*100000+ROW(),"")</f>
      </c>
      <c r="X7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4" s="17">
        <f>IF(AND(Items[[#This Row],[State]]="DONE",N(Items[[#This Row],[Done on]])&gt;AsOf-7),(200000-N(Items[[#This Row],[Done on]]))*100000+ROW(),"")</f>
      </c>
    </row>
    <row r="75">
      <c r="A75" t="s">
        <v>281</v>
      </c>
      <c r="B75" t="s">
        <v>1245</v>
      </c>
      <c r="C75" t="s">
        <v>1107</v>
      </c>
      <c r="D75" t="s">
        <v>1123</v>
      </c>
      <c r="E75" t="s">
        <v>1134</v>
      </c>
      <c r="F75" t="s">
        <v>1240</v>
      </c>
      <c r="G75">
        <v>8</v>
      </c>
      <c r="H75">
        <v>3</v>
      </c>
      <c r="I75" s="11">
        <v>46063</v>
      </c>
      <c r="J75" s="17">
        <f>IF(Items[[#This Row],[ID]]="","",IFERROR(VALUE(LOOKUP(2,1/((Log[ID]=Items[[#This Row],[ID]])*(Log[Verb]="est")),Log[Arg])),N(Items[[#This Row],[Points]])))</f>
      </c>
      <c r="K75" s="17">
        <f>IF(Items[[#This Row],[ID]]="","",IFERROR(LOOKUP(2,1/((Log[ID]=Items[[#This Row],[ID]])*(Log[Verb]="pass")),Log[Arg])&amp;"",Items[[#This Row],[Team]]&amp;""))</f>
      </c>
      <c r="L75" s="17">
        <f>IF(Items[[#This Row],[ID]]="","",IFERROR(LOOKUP(2,1/((Log[ID]=Items[[#This Row],[ID]])*(Log[Into]&lt;&gt;"")),Log[Into]),""))</f>
      </c>
      <c r="M75" s="17">
        <f>IF(Items[[#This Row],[ID]]="","",IF(IFERROR(LOOKUP(2,1/((Log[ID]=Items[[#This Row],[ID]])*(Log[Blk]&lt;&gt;"")),Log[Blk]),0)=1,"Y",""))</f>
      </c>
      <c r="N75" s="17">
        <f>IF(Items[[#This Row],[ID]]="","",SUBSTITUTE(IFERROR(LOOKUP(2,1/((Log[ID]=Items[[#This Row],[ID]])*(Log[State]&lt;&gt;"")),Log[State]),"TODO"),"OPEN",IF(Items[[#This Row],[Blocked]]="Y","WAIT","OPEN")))</f>
      </c>
      <c r="O7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5" s="17">
        <f>IF(Items[[#This Row],[State]]&lt;&gt;"WAIT","",AsOf-Items[[#This Row],[Blocked since]])</f>
      </c>
      <c r="Q75" s="17">
        <f>IF(Items[[#This Row],[State]]&lt;&gt;"WAIT","",IFERROR(LOOKUP(2,1/((Log[ID]=Items[[#This Row],[ID]])*(Log[Verb]="block")),Log[Note])&amp;"",""))</f>
      </c>
      <c r="R75" s="17">
        <f>IF(Items[[#This Row],[ID]]="","",COUNTIFS(Log[ID],Items[[#This Row],[ID]],Log[Verb],"carry"))</f>
      </c>
      <c r="S75" s="17">
        <f>IF(Items[[#This Row],[ID]]="","",COUNTIFS(Log[ID],Items[[#This Row],[ID]],Log[Verb],"punt"))</f>
      </c>
      <c r="T75" s="11">
        <f>IF(Items[[#This Row],[State]]&lt;&gt;"DONE","",IFERROR(LOOKUP(2,1/((Log[ID]=Items[[#This Row],[ID]])*(Log[Verb]="done")),Log[Date]),""))</f>
      </c>
      <c r="U75" s="17">
        <f>IF(Items[[#This Row],[ID]]="","",IF(AND(Items[[#This Row],[Sprint]]=CurSprint,OR(Items[[#This Row],[State]]="OPEN",Items[[#This Row],[State]]="WAIT",Items[[#This Row],[State]]="HOLD",Items[[#This Row],[State]]="DONE")),1,0))</f>
      </c>
      <c r="V75" s="17">
        <f>IF(OR(Items[[#This Row],[ID]]="",Items[[#This Row],[Added]]=""),"",AsOf-Items[[#This Row],[Added]])</f>
      </c>
      <c r="W75" s="17">
        <f>IF(Items[[#This Row],[In sprint]]=1,(IF(Items[[#This Row],[Prio]]="",9,N(Items[[#This Row],[Prio]]))*10+(IF(Items[[#This Row],[State]]="DONE",1,0)))*100000+ROW(),"")</f>
      </c>
      <c r="X7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5" s="17">
        <f>IF(AND(Items[[#This Row],[State]]="DONE",N(Items[[#This Row],[Done on]])&gt;AsOf-7),(200000-N(Items[[#This Row],[Done on]]))*100000+ROW(),"")</f>
      </c>
    </row>
    <row r="76">
      <c r="A76" t="s">
        <v>225</v>
      </c>
      <c r="B76" t="s">
        <v>1246</v>
      </c>
      <c r="C76" t="s">
        <v>1107</v>
      </c>
      <c r="D76" t="s">
        <v>1108</v>
      </c>
      <c r="E76" t="s">
        <v>1139</v>
      </c>
      <c r="F76" t="s">
        <v>1247</v>
      </c>
      <c r="G76">
        <v>8</v>
      </c>
      <c r="H76">
        <v>2</v>
      </c>
      <c r="I76" s="11">
        <v>46063</v>
      </c>
      <c r="J76" s="17">
        <f>IF(Items[[#This Row],[ID]]="","",IFERROR(VALUE(LOOKUP(2,1/((Log[ID]=Items[[#This Row],[ID]])*(Log[Verb]="est")),Log[Arg])),N(Items[[#This Row],[Points]])))</f>
      </c>
      <c r="K76" s="17">
        <f>IF(Items[[#This Row],[ID]]="","",IFERROR(LOOKUP(2,1/((Log[ID]=Items[[#This Row],[ID]])*(Log[Verb]="pass")),Log[Arg])&amp;"",Items[[#This Row],[Team]]&amp;""))</f>
      </c>
      <c r="L76" s="17">
        <f>IF(Items[[#This Row],[ID]]="","",IFERROR(LOOKUP(2,1/((Log[ID]=Items[[#This Row],[ID]])*(Log[Into]&lt;&gt;"")),Log[Into]),""))</f>
      </c>
      <c r="M76" s="17">
        <f>IF(Items[[#This Row],[ID]]="","",IF(IFERROR(LOOKUP(2,1/((Log[ID]=Items[[#This Row],[ID]])*(Log[Blk]&lt;&gt;"")),Log[Blk]),0)=1,"Y",""))</f>
      </c>
      <c r="N76" s="17">
        <f>IF(Items[[#This Row],[ID]]="","",SUBSTITUTE(IFERROR(LOOKUP(2,1/((Log[ID]=Items[[#This Row],[ID]])*(Log[State]&lt;&gt;"")),Log[State]),"TODO"),"OPEN",IF(Items[[#This Row],[Blocked]]="Y","WAIT","OPEN")))</f>
      </c>
      <c r="O7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6" s="17">
        <f>IF(Items[[#This Row],[State]]&lt;&gt;"WAIT","",AsOf-Items[[#This Row],[Blocked since]])</f>
      </c>
      <c r="Q76" s="17">
        <f>IF(Items[[#This Row],[State]]&lt;&gt;"WAIT","",IFERROR(LOOKUP(2,1/((Log[ID]=Items[[#This Row],[ID]])*(Log[Verb]="block")),Log[Note])&amp;"",""))</f>
      </c>
      <c r="R76" s="17">
        <f>IF(Items[[#This Row],[ID]]="","",COUNTIFS(Log[ID],Items[[#This Row],[ID]],Log[Verb],"carry"))</f>
      </c>
      <c r="S76" s="17">
        <f>IF(Items[[#This Row],[ID]]="","",COUNTIFS(Log[ID],Items[[#This Row],[ID]],Log[Verb],"punt"))</f>
      </c>
      <c r="T76" s="11">
        <f>IF(Items[[#This Row],[State]]&lt;&gt;"DONE","",IFERROR(LOOKUP(2,1/((Log[ID]=Items[[#This Row],[ID]])*(Log[Verb]="done")),Log[Date]),""))</f>
      </c>
      <c r="U76" s="17">
        <f>IF(Items[[#This Row],[ID]]="","",IF(AND(Items[[#This Row],[Sprint]]=CurSprint,OR(Items[[#This Row],[State]]="OPEN",Items[[#This Row],[State]]="WAIT",Items[[#This Row],[State]]="HOLD",Items[[#This Row],[State]]="DONE")),1,0))</f>
      </c>
      <c r="V76" s="17">
        <f>IF(OR(Items[[#This Row],[ID]]="",Items[[#This Row],[Added]]=""),"",AsOf-Items[[#This Row],[Added]])</f>
      </c>
      <c r="W76" s="17">
        <f>IF(Items[[#This Row],[In sprint]]=1,(IF(Items[[#This Row],[Prio]]="",9,N(Items[[#This Row],[Prio]]))*10+(IF(Items[[#This Row],[State]]="DONE",1,0)))*100000+ROW(),"")</f>
      </c>
      <c r="X7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6" s="17">
        <f>IF(AND(Items[[#This Row],[State]]="DONE",N(Items[[#This Row],[Done on]])&gt;AsOf-7),(200000-N(Items[[#This Row],[Done on]]))*100000+ROW(),"")</f>
      </c>
    </row>
    <row r="77">
      <c r="A77" t="s">
        <v>226</v>
      </c>
      <c r="B77" t="s">
        <v>1248</v>
      </c>
      <c r="C77" t="s">
        <v>1107</v>
      </c>
      <c r="D77" t="s">
        <v>1108</v>
      </c>
      <c r="E77" t="s">
        <v>1139</v>
      </c>
      <c r="F77" t="s">
        <v>1249</v>
      </c>
      <c r="G77">
        <v>8</v>
      </c>
      <c r="H77">
        <v>3</v>
      </c>
      <c r="I77" s="11">
        <v>46063</v>
      </c>
      <c r="J77" s="17">
        <f>IF(Items[[#This Row],[ID]]="","",IFERROR(VALUE(LOOKUP(2,1/((Log[ID]=Items[[#This Row],[ID]])*(Log[Verb]="est")),Log[Arg])),N(Items[[#This Row],[Points]])))</f>
      </c>
      <c r="K77" s="17">
        <f>IF(Items[[#This Row],[ID]]="","",IFERROR(LOOKUP(2,1/((Log[ID]=Items[[#This Row],[ID]])*(Log[Verb]="pass")),Log[Arg])&amp;"",Items[[#This Row],[Team]]&amp;""))</f>
      </c>
      <c r="L77" s="17">
        <f>IF(Items[[#This Row],[ID]]="","",IFERROR(LOOKUP(2,1/((Log[ID]=Items[[#This Row],[ID]])*(Log[Into]&lt;&gt;"")),Log[Into]),""))</f>
      </c>
      <c r="M77" s="17">
        <f>IF(Items[[#This Row],[ID]]="","",IF(IFERROR(LOOKUP(2,1/((Log[ID]=Items[[#This Row],[ID]])*(Log[Blk]&lt;&gt;"")),Log[Blk]),0)=1,"Y",""))</f>
      </c>
      <c r="N77" s="17">
        <f>IF(Items[[#This Row],[ID]]="","",SUBSTITUTE(IFERROR(LOOKUP(2,1/((Log[ID]=Items[[#This Row],[ID]])*(Log[State]&lt;&gt;"")),Log[State]),"TODO"),"OPEN",IF(Items[[#This Row],[Blocked]]="Y","WAIT","OPEN")))</f>
      </c>
      <c r="O7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7" s="17">
        <f>IF(Items[[#This Row],[State]]&lt;&gt;"WAIT","",AsOf-Items[[#This Row],[Blocked since]])</f>
      </c>
      <c r="Q77" s="17">
        <f>IF(Items[[#This Row],[State]]&lt;&gt;"WAIT","",IFERROR(LOOKUP(2,1/((Log[ID]=Items[[#This Row],[ID]])*(Log[Verb]="block")),Log[Note])&amp;"",""))</f>
      </c>
      <c r="R77" s="17">
        <f>IF(Items[[#This Row],[ID]]="","",COUNTIFS(Log[ID],Items[[#This Row],[ID]],Log[Verb],"carry"))</f>
      </c>
      <c r="S77" s="17">
        <f>IF(Items[[#This Row],[ID]]="","",COUNTIFS(Log[ID],Items[[#This Row],[ID]],Log[Verb],"punt"))</f>
      </c>
      <c r="T77" s="11">
        <f>IF(Items[[#This Row],[State]]&lt;&gt;"DONE","",IFERROR(LOOKUP(2,1/((Log[ID]=Items[[#This Row],[ID]])*(Log[Verb]="done")),Log[Date]),""))</f>
      </c>
      <c r="U77" s="17">
        <f>IF(Items[[#This Row],[ID]]="","",IF(AND(Items[[#This Row],[Sprint]]=CurSprint,OR(Items[[#This Row],[State]]="OPEN",Items[[#This Row],[State]]="WAIT",Items[[#This Row],[State]]="HOLD",Items[[#This Row],[State]]="DONE")),1,0))</f>
      </c>
      <c r="V77" s="17">
        <f>IF(OR(Items[[#This Row],[ID]]="",Items[[#This Row],[Added]]=""),"",AsOf-Items[[#This Row],[Added]])</f>
      </c>
      <c r="W77" s="17">
        <f>IF(Items[[#This Row],[In sprint]]=1,(IF(Items[[#This Row],[Prio]]="",9,N(Items[[#This Row],[Prio]]))*10+(IF(Items[[#This Row],[State]]="DONE",1,0)))*100000+ROW(),"")</f>
      </c>
      <c r="X7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7" s="17">
        <f>IF(AND(Items[[#This Row],[State]]="DONE",N(Items[[#This Row],[Done on]])&gt;AsOf-7),(200000-N(Items[[#This Row],[Done on]]))*100000+ROW(),"")</f>
      </c>
    </row>
    <row r="78">
      <c r="A78" t="s">
        <v>283</v>
      </c>
      <c r="B78" t="s">
        <v>1250</v>
      </c>
      <c r="C78" t="s">
        <v>1115</v>
      </c>
      <c r="D78" t="s">
        <v>1119</v>
      </c>
      <c r="E78" t="s">
        <v>1139</v>
      </c>
      <c r="F78" t="s">
        <v>1251</v>
      </c>
      <c r="G78">
        <v>8</v>
      </c>
      <c r="H78">
        <v>2</v>
      </c>
      <c r="I78" s="11">
        <v>46063</v>
      </c>
      <c r="J78" s="17">
        <f>IF(Items[[#This Row],[ID]]="","",IFERROR(VALUE(LOOKUP(2,1/((Log[ID]=Items[[#This Row],[ID]])*(Log[Verb]="est")),Log[Arg])),N(Items[[#This Row],[Points]])))</f>
      </c>
      <c r="K78" s="17">
        <f>IF(Items[[#This Row],[ID]]="","",IFERROR(LOOKUP(2,1/((Log[ID]=Items[[#This Row],[ID]])*(Log[Verb]="pass")),Log[Arg])&amp;"",Items[[#This Row],[Team]]&amp;""))</f>
      </c>
      <c r="L78" s="17">
        <f>IF(Items[[#This Row],[ID]]="","",IFERROR(LOOKUP(2,1/((Log[ID]=Items[[#This Row],[ID]])*(Log[Into]&lt;&gt;"")),Log[Into]),""))</f>
      </c>
      <c r="M78" s="17">
        <f>IF(Items[[#This Row],[ID]]="","",IF(IFERROR(LOOKUP(2,1/((Log[ID]=Items[[#This Row],[ID]])*(Log[Blk]&lt;&gt;"")),Log[Blk]),0)=1,"Y",""))</f>
      </c>
      <c r="N78" s="17">
        <f>IF(Items[[#This Row],[ID]]="","",SUBSTITUTE(IFERROR(LOOKUP(2,1/((Log[ID]=Items[[#This Row],[ID]])*(Log[State]&lt;&gt;"")),Log[State]),"TODO"),"OPEN",IF(Items[[#This Row],[Blocked]]="Y","WAIT","OPEN")))</f>
      </c>
      <c r="O7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8" s="17">
        <f>IF(Items[[#This Row],[State]]&lt;&gt;"WAIT","",AsOf-Items[[#This Row],[Blocked since]])</f>
      </c>
      <c r="Q78" s="17">
        <f>IF(Items[[#This Row],[State]]&lt;&gt;"WAIT","",IFERROR(LOOKUP(2,1/((Log[ID]=Items[[#This Row],[ID]])*(Log[Verb]="block")),Log[Note])&amp;"",""))</f>
      </c>
      <c r="R78" s="17">
        <f>IF(Items[[#This Row],[ID]]="","",COUNTIFS(Log[ID],Items[[#This Row],[ID]],Log[Verb],"carry"))</f>
      </c>
      <c r="S78" s="17">
        <f>IF(Items[[#This Row],[ID]]="","",COUNTIFS(Log[ID],Items[[#This Row],[ID]],Log[Verb],"punt"))</f>
      </c>
      <c r="T78" s="11">
        <f>IF(Items[[#This Row],[State]]&lt;&gt;"DONE","",IFERROR(LOOKUP(2,1/((Log[ID]=Items[[#This Row],[ID]])*(Log[Verb]="done")),Log[Date]),""))</f>
      </c>
      <c r="U78" s="17">
        <f>IF(Items[[#This Row],[ID]]="","",IF(AND(Items[[#This Row],[Sprint]]=CurSprint,OR(Items[[#This Row],[State]]="OPEN",Items[[#This Row],[State]]="WAIT",Items[[#This Row],[State]]="HOLD",Items[[#This Row],[State]]="DONE")),1,0))</f>
      </c>
      <c r="V78" s="17">
        <f>IF(OR(Items[[#This Row],[ID]]="",Items[[#This Row],[Added]]=""),"",AsOf-Items[[#This Row],[Added]])</f>
      </c>
      <c r="W78" s="17">
        <f>IF(Items[[#This Row],[In sprint]]=1,(IF(Items[[#This Row],[Prio]]="",9,N(Items[[#This Row],[Prio]]))*10+(IF(Items[[#This Row],[State]]="DONE",1,0)))*100000+ROW(),"")</f>
      </c>
      <c r="X7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8" s="17">
        <f>IF(AND(Items[[#This Row],[State]]="DONE",N(Items[[#This Row],[Done on]])&gt;AsOf-7),(200000-N(Items[[#This Row],[Done on]]))*100000+ROW(),"")</f>
      </c>
    </row>
    <row r="79">
      <c r="A79" t="s">
        <v>227</v>
      </c>
      <c r="B79" t="s">
        <v>1252</v>
      </c>
      <c r="C79" t="s">
        <v>1107</v>
      </c>
      <c r="D79" t="s">
        <v>1127</v>
      </c>
      <c r="E79" t="s">
        <v>1139</v>
      </c>
      <c r="F79" t="s">
        <v>1249</v>
      </c>
      <c r="G79">
        <v>2</v>
      </c>
      <c r="H79">
        <v>1</v>
      </c>
      <c r="I79" s="11">
        <v>46063</v>
      </c>
      <c r="J79" s="17">
        <f>IF(Items[[#This Row],[ID]]="","",IFERROR(VALUE(LOOKUP(2,1/((Log[ID]=Items[[#This Row],[ID]])*(Log[Verb]="est")),Log[Arg])),N(Items[[#This Row],[Points]])))</f>
      </c>
      <c r="K79" s="17">
        <f>IF(Items[[#This Row],[ID]]="","",IFERROR(LOOKUP(2,1/((Log[ID]=Items[[#This Row],[ID]])*(Log[Verb]="pass")),Log[Arg])&amp;"",Items[[#This Row],[Team]]&amp;""))</f>
      </c>
      <c r="L79" s="17">
        <f>IF(Items[[#This Row],[ID]]="","",IFERROR(LOOKUP(2,1/((Log[ID]=Items[[#This Row],[ID]])*(Log[Into]&lt;&gt;"")),Log[Into]),""))</f>
      </c>
      <c r="M79" s="17">
        <f>IF(Items[[#This Row],[ID]]="","",IF(IFERROR(LOOKUP(2,1/((Log[ID]=Items[[#This Row],[ID]])*(Log[Blk]&lt;&gt;"")),Log[Blk]),0)=1,"Y",""))</f>
      </c>
      <c r="N79" s="17">
        <f>IF(Items[[#This Row],[ID]]="","",SUBSTITUTE(IFERROR(LOOKUP(2,1/((Log[ID]=Items[[#This Row],[ID]])*(Log[State]&lt;&gt;"")),Log[State]),"TODO"),"OPEN",IF(Items[[#This Row],[Blocked]]="Y","WAIT","OPEN")))</f>
      </c>
      <c r="O7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9" s="17">
        <f>IF(Items[[#This Row],[State]]&lt;&gt;"WAIT","",AsOf-Items[[#This Row],[Blocked since]])</f>
      </c>
      <c r="Q79" s="17">
        <f>IF(Items[[#This Row],[State]]&lt;&gt;"WAIT","",IFERROR(LOOKUP(2,1/((Log[ID]=Items[[#This Row],[ID]])*(Log[Verb]="block")),Log[Note])&amp;"",""))</f>
      </c>
      <c r="R79" s="17">
        <f>IF(Items[[#This Row],[ID]]="","",COUNTIFS(Log[ID],Items[[#This Row],[ID]],Log[Verb],"carry"))</f>
      </c>
      <c r="S79" s="17">
        <f>IF(Items[[#This Row],[ID]]="","",COUNTIFS(Log[ID],Items[[#This Row],[ID]],Log[Verb],"punt"))</f>
      </c>
      <c r="T79" s="11">
        <f>IF(Items[[#This Row],[State]]&lt;&gt;"DONE","",IFERROR(LOOKUP(2,1/((Log[ID]=Items[[#This Row],[ID]])*(Log[Verb]="done")),Log[Date]),""))</f>
      </c>
      <c r="U79" s="17">
        <f>IF(Items[[#This Row],[ID]]="","",IF(AND(Items[[#This Row],[Sprint]]=CurSprint,OR(Items[[#This Row],[State]]="OPEN",Items[[#This Row],[State]]="WAIT",Items[[#This Row],[State]]="HOLD",Items[[#This Row],[State]]="DONE")),1,0))</f>
      </c>
      <c r="V79" s="17">
        <f>IF(OR(Items[[#This Row],[ID]]="",Items[[#This Row],[Added]]=""),"",AsOf-Items[[#This Row],[Added]])</f>
      </c>
      <c r="W79" s="17">
        <f>IF(Items[[#This Row],[In sprint]]=1,(IF(Items[[#This Row],[Prio]]="",9,N(Items[[#This Row],[Prio]]))*10+(IF(Items[[#This Row],[State]]="DONE",1,0)))*100000+ROW(),"")</f>
      </c>
      <c r="X7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9" s="17">
        <f>IF(AND(Items[[#This Row],[State]]="DONE",N(Items[[#This Row],[Done on]])&gt;AsOf-7),(200000-N(Items[[#This Row],[Done on]]))*100000+ROW(),"")</f>
      </c>
    </row>
    <row r="80">
      <c r="A80" t="s">
        <v>284</v>
      </c>
      <c r="B80" t="s">
        <v>1253</v>
      </c>
      <c r="C80" t="s">
        <v>1115</v>
      </c>
      <c r="D80" t="s">
        <v>1116</v>
      </c>
      <c r="E80" t="s">
        <v>1139</v>
      </c>
      <c r="F80" t="s">
        <v>1251</v>
      </c>
      <c r="G80">
        <v>3</v>
      </c>
      <c r="H80">
        <v>1</v>
      </c>
      <c r="I80" s="11">
        <v>46063</v>
      </c>
      <c r="J80" s="17">
        <f>IF(Items[[#This Row],[ID]]="","",IFERROR(VALUE(LOOKUP(2,1/((Log[ID]=Items[[#This Row],[ID]])*(Log[Verb]="est")),Log[Arg])),N(Items[[#This Row],[Points]])))</f>
      </c>
      <c r="K80" s="17">
        <f>IF(Items[[#This Row],[ID]]="","",IFERROR(LOOKUP(2,1/((Log[ID]=Items[[#This Row],[ID]])*(Log[Verb]="pass")),Log[Arg])&amp;"",Items[[#This Row],[Team]]&amp;""))</f>
      </c>
      <c r="L80" s="17">
        <f>IF(Items[[#This Row],[ID]]="","",IFERROR(LOOKUP(2,1/((Log[ID]=Items[[#This Row],[ID]])*(Log[Into]&lt;&gt;"")),Log[Into]),""))</f>
      </c>
      <c r="M80" s="17">
        <f>IF(Items[[#This Row],[ID]]="","",IF(IFERROR(LOOKUP(2,1/((Log[ID]=Items[[#This Row],[ID]])*(Log[Blk]&lt;&gt;"")),Log[Blk]),0)=1,"Y",""))</f>
      </c>
      <c r="N80" s="17">
        <f>IF(Items[[#This Row],[ID]]="","",SUBSTITUTE(IFERROR(LOOKUP(2,1/((Log[ID]=Items[[#This Row],[ID]])*(Log[State]&lt;&gt;"")),Log[State]),"TODO"),"OPEN",IF(Items[[#This Row],[Blocked]]="Y","WAIT","OPEN")))</f>
      </c>
      <c r="O8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0" s="17">
        <f>IF(Items[[#This Row],[State]]&lt;&gt;"WAIT","",AsOf-Items[[#This Row],[Blocked since]])</f>
      </c>
      <c r="Q80" s="17">
        <f>IF(Items[[#This Row],[State]]&lt;&gt;"WAIT","",IFERROR(LOOKUP(2,1/((Log[ID]=Items[[#This Row],[ID]])*(Log[Verb]="block")),Log[Note])&amp;"",""))</f>
      </c>
      <c r="R80" s="17">
        <f>IF(Items[[#This Row],[ID]]="","",COUNTIFS(Log[ID],Items[[#This Row],[ID]],Log[Verb],"carry"))</f>
      </c>
      <c r="S80" s="17">
        <f>IF(Items[[#This Row],[ID]]="","",COUNTIFS(Log[ID],Items[[#This Row],[ID]],Log[Verb],"punt"))</f>
      </c>
      <c r="T80" s="11">
        <f>IF(Items[[#This Row],[State]]&lt;&gt;"DONE","",IFERROR(LOOKUP(2,1/((Log[ID]=Items[[#This Row],[ID]])*(Log[Verb]="done")),Log[Date]),""))</f>
      </c>
      <c r="U80" s="17">
        <f>IF(Items[[#This Row],[ID]]="","",IF(AND(Items[[#This Row],[Sprint]]=CurSprint,OR(Items[[#This Row],[State]]="OPEN",Items[[#This Row],[State]]="WAIT",Items[[#This Row],[State]]="HOLD",Items[[#This Row],[State]]="DONE")),1,0))</f>
      </c>
      <c r="V80" s="17">
        <f>IF(OR(Items[[#This Row],[ID]]="",Items[[#This Row],[Added]]=""),"",AsOf-Items[[#This Row],[Added]])</f>
      </c>
      <c r="W80" s="17">
        <f>IF(Items[[#This Row],[In sprint]]=1,(IF(Items[[#This Row],[Prio]]="",9,N(Items[[#This Row],[Prio]]))*10+(IF(Items[[#This Row],[State]]="DONE",1,0)))*100000+ROW(),"")</f>
      </c>
      <c r="X8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0" s="17">
        <f>IF(AND(Items[[#This Row],[State]]="DONE",N(Items[[#This Row],[Done on]])&gt;AsOf-7),(200000-N(Items[[#This Row],[Done on]]))*100000+ROW(),"")</f>
      </c>
    </row>
    <row r="81">
      <c r="A81" t="s">
        <v>230</v>
      </c>
      <c r="B81" t="s">
        <v>1254</v>
      </c>
      <c r="C81" t="s">
        <v>1107</v>
      </c>
      <c r="D81" t="s">
        <v>1127</v>
      </c>
      <c r="E81" t="s">
        <v>1177</v>
      </c>
      <c r="F81" t="s">
        <v>1182</v>
      </c>
      <c r="G81">
        <v>2</v>
      </c>
      <c r="H81">
        <v>2</v>
      </c>
      <c r="I81" s="11">
        <v>46063</v>
      </c>
      <c r="J81" s="17">
        <f>IF(Items[[#This Row],[ID]]="","",IFERROR(VALUE(LOOKUP(2,1/((Log[ID]=Items[[#This Row],[ID]])*(Log[Verb]="est")),Log[Arg])),N(Items[[#This Row],[Points]])))</f>
      </c>
      <c r="K81" s="17">
        <f>IF(Items[[#This Row],[ID]]="","",IFERROR(LOOKUP(2,1/((Log[ID]=Items[[#This Row],[ID]])*(Log[Verb]="pass")),Log[Arg])&amp;"",Items[[#This Row],[Team]]&amp;""))</f>
      </c>
      <c r="L81" s="17">
        <f>IF(Items[[#This Row],[ID]]="","",IFERROR(LOOKUP(2,1/((Log[ID]=Items[[#This Row],[ID]])*(Log[Into]&lt;&gt;"")),Log[Into]),""))</f>
      </c>
      <c r="M81" s="17">
        <f>IF(Items[[#This Row],[ID]]="","",IF(IFERROR(LOOKUP(2,1/((Log[ID]=Items[[#This Row],[ID]])*(Log[Blk]&lt;&gt;"")),Log[Blk]),0)=1,"Y",""))</f>
      </c>
      <c r="N81" s="17">
        <f>IF(Items[[#This Row],[ID]]="","",SUBSTITUTE(IFERROR(LOOKUP(2,1/((Log[ID]=Items[[#This Row],[ID]])*(Log[State]&lt;&gt;"")),Log[State]),"TODO"),"OPEN",IF(Items[[#This Row],[Blocked]]="Y","WAIT","OPEN")))</f>
      </c>
      <c r="O8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1" s="17">
        <f>IF(Items[[#This Row],[State]]&lt;&gt;"WAIT","",AsOf-Items[[#This Row],[Blocked since]])</f>
      </c>
      <c r="Q81" s="17">
        <f>IF(Items[[#This Row],[State]]&lt;&gt;"WAIT","",IFERROR(LOOKUP(2,1/((Log[ID]=Items[[#This Row],[ID]])*(Log[Verb]="block")),Log[Note])&amp;"",""))</f>
      </c>
      <c r="R81" s="17">
        <f>IF(Items[[#This Row],[ID]]="","",COUNTIFS(Log[ID],Items[[#This Row],[ID]],Log[Verb],"carry"))</f>
      </c>
      <c r="S81" s="17">
        <f>IF(Items[[#This Row],[ID]]="","",COUNTIFS(Log[ID],Items[[#This Row],[ID]],Log[Verb],"punt"))</f>
      </c>
      <c r="T81" s="11">
        <f>IF(Items[[#This Row],[State]]&lt;&gt;"DONE","",IFERROR(LOOKUP(2,1/((Log[ID]=Items[[#This Row],[ID]])*(Log[Verb]="done")),Log[Date]),""))</f>
      </c>
      <c r="U81" s="17">
        <f>IF(Items[[#This Row],[ID]]="","",IF(AND(Items[[#This Row],[Sprint]]=CurSprint,OR(Items[[#This Row],[State]]="OPEN",Items[[#This Row],[State]]="WAIT",Items[[#This Row],[State]]="HOLD",Items[[#This Row],[State]]="DONE")),1,0))</f>
      </c>
      <c r="V81" s="17">
        <f>IF(OR(Items[[#This Row],[ID]]="",Items[[#This Row],[Added]]=""),"",AsOf-Items[[#This Row],[Added]])</f>
      </c>
      <c r="W81" s="17">
        <f>IF(Items[[#This Row],[In sprint]]=1,(IF(Items[[#This Row],[Prio]]="",9,N(Items[[#This Row],[Prio]]))*10+(IF(Items[[#This Row],[State]]="DONE",1,0)))*100000+ROW(),"")</f>
      </c>
      <c r="X8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1" s="17">
        <f>IF(AND(Items[[#This Row],[State]]="DONE",N(Items[[#This Row],[Done on]])&gt;AsOf-7),(200000-N(Items[[#This Row],[Done on]]))*100000+ROW(),"")</f>
      </c>
    </row>
    <row r="82">
      <c r="A82" t="s">
        <v>231</v>
      </c>
      <c r="B82" t="s">
        <v>1255</v>
      </c>
      <c r="C82" t="s">
        <v>1107</v>
      </c>
      <c r="D82" t="s">
        <v>1127</v>
      </c>
      <c r="E82" t="s">
        <v>1177</v>
      </c>
      <c r="F82" t="s">
        <v>1182</v>
      </c>
      <c r="G82">
        <v>2</v>
      </c>
      <c r="H82">
        <v>1</v>
      </c>
      <c r="I82" s="11">
        <v>46063</v>
      </c>
      <c r="J82" s="17">
        <f>IF(Items[[#This Row],[ID]]="","",IFERROR(VALUE(LOOKUP(2,1/((Log[ID]=Items[[#This Row],[ID]])*(Log[Verb]="est")),Log[Arg])),N(Items[[#This Row],[Points]])))</f>
      </c>
      <c r="K82" s="17">
        <f>IF(Items[[#This Row],[ID]]="","",IFERROR(LOOKUP(2,1/((Log[ID]=Items[[#This Row],[ID]])*(Log[Verb]="pass")),Log[Arg])&amp;"",Items[[#This Row],[Team]]&amp;""))</f>
      </c>
      <c r="L82" s="17">
        <f>IF(Items[[#This Row],[ID]]="","",IFERROR(LOOKUP(2,1/((Log[ID]=Items[[#This Row],[ID]])*(Log[Into]&lt;&gt;"")),Log[Into]),""))</f>
      </c>
      <c r="M82" s="17">
        <f>IF(Items[[#This Row],[ID]]="","",IF(IFERROR(LOOKUP(2,1/((Log[ID]=Items[[#This Row],[ID]])*(Log[Blk]&lt;&gt;"")),Log[Blk]),0)=1,"Y",""))</f>
      </c>
      <c r="N82" s="17">
        <f>IF(Items[[#This Row],[ID]]="","",SUBSTITUTE(IFERROR(LOOKUP(2,1/((Log[ID]=Items[[#This Row],[ID]])*(Log[State]&lt;&gt;"")),Log[State]),"TODO"),"OPEN",IF(Items[[#This Row],[Blocked]]="Y","WAIT","OPEN")))</f>
      </c>
      <c r="O8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2" s="17">
        <f>IF(Items[[#This Row],[State]]&lt;&gt;"WAIT","",AsOf-Items[[#This Row],[Blocked since]])</f>
      </c>
      <c r="Q82" s="17">
        <f>IF(Items[[#This Row],[State]]&lt;&gt;"WAIT","",IFERROR(LOOKUP(2,1/((Log[ID]=Items[[#This Row],[ID]])*(Log[Verb]="block")),Log[Note])&amp;"",""))</f>
      </c>
      <c r="R82" s="17">
        <f>IF(Items[[#This Row],[ID]]="","",COUNTIFS(Log[ID],Items[[#This Row],[ID]],Log[Verb],"carry"))</f>
      </c>
      <c r="S82" s="17">
        <f>IF(Items[[#This Row],[ID]]="","",COUNTIFS(Log[ID],Items[[#This Row],[ID]],Log[Verb],"punt"))</f>
      </c>
      <c r="T82" s="11">
        <f>IF(Items[[#This Row],[State]]&lt;&gt;"DONE","",IFERROR(LOOKUP(2,1/((Log[ID]=Items[[#This Row],[ID]])*(Log[Verb]="done")),Log[Date]),""))</f>
      </c>
      <c r="U82" s="17">
        <f>IF(Items[[#This Row],[ID]]="","",IF(AND(Items[[#This Row],[Sprint]]=CurSprint,OR(Items[[#This Row],[State]]="OPEN",Items[[#This Row],[State]]="WAIT",Items[[#This Row],[State]]="HOLD",Items[[#This Row],[State]]="DONE")),1,0))</f>
      </c>
      <c r="V82" s="17">
        <f>IF(OR(Items[[#This Row],[ID]]="",Items[[#This Row],[Added]]=""),"",AsOf-Items[[#This Row],[Added]])</f>
      </c>
      <c r="W82" s="17">
        <f>IF(Items[[#This Row],[In sprint]]=1,(IF(Items[[#This Row],[Prio]]="",9,N(Items[[#This Row],[Prio]]))*10+(IF(Items[[#This Row],[State]]="DONE",1,0)))*100000+ROW(),"")</f>
      </c>
      <c r="X8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2" s="17">
        <f>IF(AND(Items[[#This Row],[State]]="DONE",N(Items[[#This Row],[Done on]])&gt;AsOf-7),(200000-N(Items[[#This Row],[Done on]]))*100000+ROW(),"")</f>
      </c>
    </row>
    <row r="83">
      <c r="A83" t="s">
        <v>232</v>
      </c>
      <c r="B83" t="s">
        <v>1256</v>
      </c>
      <c r="C83" t="s">
        <v>1107</v>
      </c>
      <c r="D83" t="s">
        <v>1108</v>
      </c>
      <c r="E83" t="s">
        <v>1177</v>
      </c>
      <c r="F83" t="s">
        <v>1257</v>
      </c>
      <c r="G83">
        <v>8</v>
      </c>
      <c r="H83">
        <v>3</v>
      </c>
      <c r="I83" s="11">
        <v>46063</v>
      </c>
      <c r="J83" s="17">
        <f>IF(Items[[#This Row],[ID]]="","",IFERROR(VALUE(LOOKUP(2,1/((Log[ID]=Items[[#This Row],[ID]])*(Log[Verb]="est")),Log[Arg])),N(Items[[#This Row],[Points]])))</f>
      </c>
      <c r="K83" s="17">
        <f>IF(Items[[#This Row],[ID]]="","",IFERROR(LOOKUP(2,1/((Log[ID]=Items[[#This Row],[ID]])*(Log[Verb]="pass")),Log[Arg])&amp;"",Items[[#This Row],[Team]]&amp;""))</f>
      </c>
      <c r="L83" s="17">
        <f>IF(Items[[#This Row],[ID]]="","",IFERROR(LOOKUP(2,1/((Log[ID]=Items[[#This Row],[ID]])*(Log[Into]&lt;&gt;"")),Log[Into]),""))</f>
      </c>
      <c r="M83" s="17">
        <f>IF(Items[[#This Row],[ID]]="","",IF(IFERROR(LOOKUP(2,1/((Log[ID]=Items[[#This Row],[ID]])*(Log[Blk]&lt;&gt;"")),Log[Blk]),0)=1,"Y",""))</f>
      </c>
      <c r="N83" s="17">
        <f>IF(Items[[#This Row],[ID]]="","",SUBSTITUTE(IFERROR(LOOKUP(2,1/((Log[ID]=Items[[#This Row],[ID]])*(Log[State]&lt;&gt;"")),Log[State]),"TODO"),"OPEN",IF(Items[[#This Row],[Blocked]]="Y","WAIT","OPEN")))</f>
      </c>
      <c r="O8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3" s="17">
        <f>IF(Items[[#This Row],[State]]&lt;&gt;"WAIT","",AsOf-Items[[#This Row],[Blocked since]])</f>
      </c>
      <c r="Q83" s="17">
        <f>IF(Items[[#This Row],[State]]&lt;&gt;"WAIT","",IFERROR(LOOKUP(2,1/((Log[ID]=Items[[#This Row],[ID]])*(Log[Verb]="block")),Log[Note])&amp;"",""))</f>
      </c>
      <c r="R83" s="17">
        <f>IF(Items[[#This Row],[ID]]="","",COUNTIFS(Log[ID],Items[[#This Row],[ID]],Log[Verb],"carry"))</f>
      </c>
      <c r="S83" s="17">
        <f>IF(Items[[#This Row],[ID]]="","",COUNTIFS(Log[ID],Items[[#This Row],[ID]],Log[Verb],"punt"))</f>
      </c>
      <c r="T83" s="11">
        <f>IF(Items[[#This Row],[State]]&lt;&gt;"DONE","",IFERROR(LOOKUP(2,1/((Log[ID]=Items[[#This Row],[ID]])*(Log[Verb]="done")),Log[Date]),""))</f>
      </c>
      <c r="U83" s="17">
        <f>IF(Items[[#This Row],[ID]]="","",IF(AND(Items[[#This Row],[Sprint]]=CurSprint,OR(Items[[#This Row],[State]]="OPEN",Items[[#This Row],[State]]="WAIT",Items[[#This Row],[State]]="HOLD",Items[[#This Row],[State]]="DONE")),1,0))</f>
      </c>
      <c r="V83" s="17">
        <f>IF(OR(Items[[#This Row],[ID]]="",Items[[#This Row],[Added]]=""),"",AsOf-Items[[#This Row],[Added]])</f>
      </c>
      <c r="W83" s="17">
        <f>IF(Items[[#This Row],[In sprint]]=1,(IF(Items[[#This Row],[Prio]]="",9,N(Items[[#This Row],[Prio]]))*10+(IF(Items[[#This Row],[State]]="DONE",1,0)))*100000+ROW(),"")</f>
      </c>
      <c r="X8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3" s="17">
        <f>IF(AND(Items[[#This Row],[State]]="DONE",N(Items[[#This Row],[Done on]])&gt;AsOf-7),(200000-N(Items[[#This Row],[Done on]]))*100000+ROW(),"")</f>
      </c>
    </row>
    <row r="84">
      <c r="A84" t="s">
        <v>233</v>
      </c>
      <c r="B84" t="s">
        <v>1258</v>
      </c>
      <c r="C84" t="s">
        <v>1107</v>
      </c>
      <c r="D84" t="s">
        <v>1123</v>
      </c>
      <c r="E84" t="s">
        <v>1177</v>
      </c>
      <c r="F84" t="s">
        <v>1259</v>
      </c>
      <c r="G84">
        <v>5</v>
      </c>
      <c r="H84">
        <v>1</v>
      </c>
      <c r="I84" s="11">
        <v>46063</v>
      </c>
      <c r="J84" s="17">
        <f>IF(Items[[#This Row],[ID]]="","",IFERROR(VALUE(LOOKUP(2,1/((Log[ID]=Items[[#This Row],[ID]])*(Log[Verb]="est")),Log[Arg])),N(Items[[#This Row],[Points]])))</f>
      </c>
      <c r="K84" s="17">
        <f>IF(Items[[#This Row],[ID]]="","",IFERROR(LOOKUP(2,1/((Log[ID]=Items[[#This Row],[ID]])*(Log[Verb]="pass")),Log[Arg])&amp;"",Items[[#This Row],[Team]]&amp;""))</f>
      </c>
      <c r="L84" s="17">
        <f>IF(Items[[#This Row],[ID]]="","",IFERROR(LOOKUP(2,1/((Log[ID]=Items[[#This Row],[ID]])*(Log[Into]&lt;&gt;"")),Log[Into]),""))</f>
      </c>
      <c r="M84" s="17">
        <f>IF(Items[[#This Row],[ID]]="","",IF(IFERROR(LOOKUP(2,1/((Log[ID]=Items[[#This Row],[ID]])*(Log[Blk]&lt;&gt;"")),Log[Blk]),0)=1,"Y",""))</f>
      </c>
      <c r="N84" s="17">
        <f>IF(Items[[#This Row],[ID]]="","",SUBSTITUTE(IFERROR(LOOKUP(2,1/((Log[ID]=Items[[#This Row],[ID]])*(Log[State]&lt;&gt;"")),Log[State]),"TODO"),"OPEN",IF(Items[[#This Row],[Blocked]]="Y","WAIT","OPEN")))</f>
      </c>
      <c r="O8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4" s="17">
        <f>IF(Items[[#This Row],[State]]&lt;&gt;"WAIT","",AsOf-Items[[#This Row],[Blocked since]])</f>
      </c>
      <c r="Q84" s="17">
        <f>IF(Items[[#This Row],[State]]&lt;&gt;"WAIT","",IFERROR(LOOKUP(2,1/((Log[ID]=Items[[#This Row],[ID]])*(Log[Verb]="block")),Log[Note])&amp;"",""))</f>
      </c>
      <c r="R84" s="17">
        <f>IF(Items[[#This Row],[ID]]="","",COUNTIFS(Log[ID],Items[[#This Row],[ID]],Log[Verb],"carry"))</f>
      </c>
      <c r="S84" s="17">
        <f>IF(Items[[#This Row],[ID]]="","",COUNTIFS(Log[ID],Items[[#This Row],[ID]],Log[Verb],"punt"))</f>
      </c>
      <c r="T84" s="11">
        <f>IF(Items[[#This Row],[State]]&lt;&gt;"DONE","",IFERROR(LOOKUP(2,1/((Log[ID]=Items[[#This Row],[ID]])*(Log[Verb]="done")),Log[Date]),""))</f>
      </c>
      <c r="U84" s="17">
        <f>IF(Items[[#This Row],[ID]]="","",IF(AND(Items[[#This Row],[Sprint]]=CurSprint,OR(Items[[#This Row],[State]]="OPEN",Items[[#This Row],[State]]="WAIT",Items[[#This Row],[State]]="HOLD",Items[[#This Row],[State]]="DONE")),1,0))</f>
      </c>
      <c r="V84" s="17">
        <f>IF(OR(Items[[#This Row],[ID]]="",Items[[#This Row],[Added]]=""),"",AsOf-Items[[#This Row],[Added]])</f>
      </c>
      <c r="W84" s="17">
        <f>IF(Items[[#This Row],[In sprint]]=1,(IF(Items[[#This Row],[Prio]]="",9,N(Items[[#This Row],[Prio]]))*10+(IF(Items[[#This Row],[State]]="DONE",1,0)))*100000+ROW(),"")</f>
      </c>
      <c r="X8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4" s="17">
        <f>IF(AND(Items[[#This Row],[State]]="DONE",N(Items[[#This Row],[Done on]])&gt;AsOf-7),(200000-N(Items[[#This Row],[Done on]]))*100000+ROW(),"")</f>
      </c>
    </row>
    <row r="85">
      <c r="A85" t="s">
        <v>234</v>
      </c>
      <c r="B85" t="s">
        <v>1260</v>
      </c>
      <c r="C85" t="s">
        <v>1115</v>
      </c>
      <c r="D85" t="s">
        <v>1116</v>
      </c>
      <c r="E85" t="s">
        <v>1177</v>
      </c>
      <c r="F85" t="s">
        <v>1261</v>
      </c>
      <c r="G85">
        <v>5</v>
      </c>
      <c r="H85">
        <v>2</v>
      </c>
      <c r="I85" s="11">
        <v>46063</v>
      </c>
      <c r="J85" s="17">
        <f>IF(Items[[#This Row],[ID]]="","",IFERROR(VALUE(LOOKUP(2,1/((Log[ID]=Items[[#This Row],[ID]])*(Log[Verb]="est")),Log[Arg])),N(Items[[#This Row],[Points]])))</f>
      </c>
      <c r="K85" s="17">
        <f>IF(Items[[#This Row],[ID]]="","",IFERROR(LOOKUP(2,1/((Log[ID]=Items[[#This Row],[ID]])*(Log[Verb]="pass")),Log[Arg])&amp;"",Items[[#This Row],[Team]]&amp;""))</f>
      </c>
      <c r="L85" s="17">
        <f>IF(Items[[#This Row],[ID]]="","",IFERROR(LOOKUP(2,1/((Log[ID]=Items[[#This Row],[ID]])*(Log[Into]&lt;&gt;"")),Log[Into]),""))</f>
      </c>
      <c r="M85" s="17">
        <f>IF(Items[[#This Row],[ID]]="","",IF(IFERROR(LOOKUP(2,1/((Log[ID]=Items[[#This Row],[ID]])*(Log[Blk]&lt;&gt;"")),Log[Blk]),0)=1,"Y",""))</f>
      </c>
      <c r="N85" s="17">
        <f>IF(Items[[#This Row],[ID]]="","",SUBSTITUTE(IFERROR(LOOKUP(2,1/((Log[ID]=Items[[#This Row],[ID]])*(Log[State]&lt;&gt;"")),Log[State]),"TODO"),"OPEN",IF(Items[[#This Row],[Blocked]]="Y","WAIT","OPEN")))</f>
      </c>
      <c r="O8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5" s="17">
        <f>IF(Items[[#This Row],[State]]&lt;&gt;"WAIT","",AsOf-Items[[#This Row],[Blocked since]])</f>
      </c>
      <c r="Q85" s="17">
        <f>IF(Items[[#This Row],[State]]&lt;&gt;"WAIT","",IFERROR(LOOKUP(2,1/((Log[ID]=Items[[#This Row],[ID]])*(Log[Verb]="block")),Log[Note])&amp;"",""))</f>
      </c>
      <c r="R85" s="17">
        <f>IF(Items[[#This Row],[ID]]="","",COUNTIFS(Log[ID],Items[[#This Row],[ID]],Log[Verb],"carry"))</f>
      </c>
      <c r="S85" s="17">
        <f>IF(Items[[#This Row],[ID]]="","",COUNTIFS(Log[ID],Items[[#This Row],[ID]],Log[Verb],"punt"))</f>
      </c>
      <c r="T85" s="11">
        <f>IF(Items[[#This Row],[State]]&lt;&gt;"DONE","",IFERROR(LOOKUP(2,1/((Log[ID]=Items[[#This Row],[ID]])*(Log[Verb]="done")),Log[Date]),""))</f>
      </c>
      <c r="U85" s="17">
        <f>IF(Items[[#This Row],[ID]]="","",IF(AND(Items[[#This Row],[Sprint]]=CurSprint,OR(Items[[#This Row],[State]]="OPEN",Items[[#This Row],[State]]="WAIT",Items[[#This Row],[State]]="HOLD",Items[[#This Row],[State]]="DONE")),1,0))</f>
      </c>
      <c r="V85" s="17">
        <f>IF(OR(Items[[#This Row],[ID]]="",Items[[#This Row],[Added]]=""),"",AsOf-Items[[#This Row],[Added]])</f>
      </c>
      <c r="W85" s="17">
        <f>IF(Items[[#This Row],[In sprint]]=1,(IF(Items[[#This Row],[Prio]]="",9,N(Items[[#This Row],[Prio]]))*10+(IF(Items[[#This Row],[State]]="DONE",1,0)))*100000+ROW(),"")</f>
      </c>
      <c r="X8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5" s="17">
        <f>IF(AND(Items[[#This Row],[State]]="DONE",N(Items[[#This Row],[Done on]])&gt;AsOf-7),(200000-N(Items[[#This Row],[Done on]]))*100000+ROW(),"")</f>
      </c>
    </row>
    <row r="86">
      <c r="A86" t="s">
        <v>289</v>
      </c>
      <c r="B86" t="s">
        <v>1262</v>
      </c>
      <c r="C86" t="s">
        <v>1115</v>
      </c>
      <c r="D86" t="s">
        <v>1116</v>
      </c>
      <c r="E86" t="s">
        <v>1177</v>
      </c>
      <c r="F86" t="s">
        <v>1263</v>
      </c>
      <c r="G86">
        <v>5</v>
      </c>
      <c r="H86">
        <v>2</v>
      </c>
      <c r="I86" s="11">
        <v>46063</v>
      </c>
      <c r="J86" s="17">
        <f>IF(Items[[#This Row],[ID]]="","",IFERROR(VALUE(LOOKUP(2,1/((Log[ID]=Items[[#This Row],[ID]])*(Log[Verb]="est")),Log[Arg])),N(Items[[#This Row],[Points]])))</f>
      </c>
      <c r="K86" s="17">
        <f>IF(Items[[#This Row],[ID]]="","",IFERROR(LOOKUP(2,1/((Log[ID]=Items[[#This Row],[ID]])*(Log[Verb]="pass")),Log[Arg])&amp;"",Items[[#This Row],[Team]]&amp;""))</f>
      </c>
      <c r="L86" s="17">
        <f>IF(Items[[#This Row],[ID]]="","",IFERROR(LOOKUP(2,1/((Log[ID]=Items[[#This Row],[ID]])*(Log[Into]&lt;&gt;"")),Log[Into]),""))</f>
      </c>
      <c r="M86" s="17">
        <f>IF(Items[[#This Row],[ID]]="","",IF(IFERROR(LOOKUP(2,1/((Log[ID]=Items[[#This Row],[ID]])*(Log[Blk]&lt;&gt;"")),Log[Blk]),0)=1,"Y",""))</f>
      </c>
      <c r="N86" s="17">
        <f>IF(Items[[#This Row],[ID]]="","",SUBSTITUTE(IFERROR(LOOKUP(2,1/((Log[ID]=Items[[#This Row],[ID]])*(Log[State]&lt;&gt;"")),Log[State]),"TODO"),"OPEN",IF(Items[[#This Row],[Blocked]]="Y","WAIT","OPEN")))</f>
      </c>
      <c r="O8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6" s="17">
        <f>IF(Items[[#This Row],[State]]&lt;&gt;"WAIT","",AsOf-Items[[#This Row],[Blocked since]])</f>
      </c>
      <c r="Q86" s="17">
        <f>IF(Items[[#This Row],[State]]&lt;&gt;"WAIT","",IFERROR(LOOKUP(2,1/((Log[ID]=Items[[#This Row],[ID]])*(Log[Verb]="block")),Log[Note])&amp;"",""))</f>
      </c>
      <c r="R86" s="17">
        <f>IF(Items[[#This Row],[ID]]="","",COUNTIFS(Log[ID],Items[[#This Row],[ID]],Log[Verb],"carry"))</f>
      </c>
      <c r="S86" s="17">
        <f>IF(Items[[#This Row],[ID]]="","",COUNTIFS(Log[ID],Items[[#This Row],[ID]],Log[Verb],"punt"))</f>
      </c>
      <c r="T86" s="11">
        <f>IF(Items[[#This Row],[State]]&lt;&gt;"DONE","",IFERROR(LOOKUP(2,1/((Log[ID]=Items[[#This Row],[ID]])*(Log[Verb]="done")),Log[Date]),""))</f>
      </c>
      <c r="U86" s="17">
        <f>IF(Items[[#This Row],[ID]]="","",IF(AND(Items[[#This Row],[Sprint]]=CurSprint,OR(Items[[#This Row],[State]]="OPEN",Items[[#This Row],[State]]="WAIT",Items[[#This Row],[State]]="HOLD",Items[[#This Row],[State]]="DONE")),1,0))</f>
      </c>
      <c r="V86" s="17">
        <f>IF(OR(Items[[#This Row],[ID]]="",Items[[#This Row],[Added]]=""),"",AsOf-Items[[#This Row],[Added]])</f>
      </c>
      <c r="W86" s="17">
        <f>IF(Items[[#This Row],[In sprint]]=1,(IF(Items[[#This Row],[Prio]]="",9,N(Items[[#This Row],[Prio]]))*10+(IF(Items[[#This Row],[State]]="DONE",1,0)))*100000+ROW(),"")</f>
      </c>
      <c r="X8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6" s="17">
        <f>IF(AND(Items[[#This Row],[State]]="DONE",N(Items[[#This Row],[Done on]])&gt;AsOf-7),(200000-N(Items[[#This Row],[Done on]]))*100000+ROW(),"")</f>
      </c>
    </row>
    <row r="87">
      <c r="A87" t="s">
        <v>240</v>
      </c>
      <c r="B87" t="s">
        <v>1264</v>
      </c>
      <c r="C87" t="s">
        <v>1107</v>
      </c>
      <c r="D87" t="s">
        <v>1108</v>
      </c>
      <c r="E87" t="s">
        <v>1112</v>
      </c>
      <c r="F87" t="s">
        <v>1265</v>
      </c>
      <c r="G87">
        <v>3</v>
      </c>
      <c r="H87">
        <v>3</v>
      </c>
      <c r="I87" s="11">
        <v>46077</v>
      </c>
      <c r="J87" s="17">
        <f>IF(Items[[#This Row],[ID]]="","",IFERROR(VALUE(LOOKUP(2,1/((Log[ID]=Items[[#This Row],[ID]])*(Log[Verb]="est")),Log[Arg])),N(Items[[#This Row],[Points]])))</f>
      </c>
      <c r="K87" s="17">
        <f>IF(Items[[#This Row],[ID]]="","",IFERROR(LOOKUP(2,1/((Log[ID]=Items[[#This Row],[ID]])*(Log[Verb]="pass")),Log[Arg])&amp;"",Items[[#This Row],[Team]]&amp;""))</f>
      </c>
      <c r="L87" s="17">
        <f>IF(Items[[#This Row],[ID]]="","",IFERROR(LOOKUP(2,1/((Log[ID]=Items[[#This Row],[ID]])*(Log[Into]&lt;&gt;"")),Log[Into]),""))</f>
      </c>
      <c r="M87" s="17">
        <f>IF(Items[[#This Row],[ID]]="","",IF(IFERROR(LOOKUP(2,1/((Log[ID]=Items[[#This Row],[ID]])*(Log[Blk]&lt;&gt;"")),Log[Blk]),0)=1,"Y",""))</f>
      </c>
      <c r="N87" s="17">
        <f>IF(Items[[#This Row],[ID]]="","",SUBSTITUTE(IFERROR(LOOKUP(2,1/((Log[ID]=Items[[#This Row],[ID]])*(Log[State]&lt;&gt;"")),Log[State]),"TODO"),"OPEN",IF(Items[[#This Row],[Blocked]]="Y","WAIT","OPEN")))</f>
      </c>
      <c r="O8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7" s="17">
        <f>IF(Items[[#This Row],[State]]&lt;&gt;"WAIT","",AsOf-Items[[#This Row],[Blocked since]])</f>
      </c>
      <c r="Q87" s="17">
        <f>IF(Items[[#This Row],[State]]&lt;&gt;"WAIT","",IFERROR(LOOKUP(2,1/((Log[ID]=Items[[#This Row],[ID]])*(Log[Verb]="block")),Log[Note])&amp;"",""))</f>
      </c>
      <c r="R87" s="17">
        <f>IF(Items[[#This Row],[ID]]="","",COUNTIFS(Log[ID],Items[[#This Row],[ID]],Log[Verb],"carry"))</f>
      </c>
      <c r="S87" s="17">
        <f>IF(Items[[#This Row],[ID]]="","",COUNTIFS(Log[ID],Items[[#This Row],[ID]],Log[Verb],"punt"))</f>
      </c>
      <c r="T87" s="11">
        <f>IF(Items[[#This Row],[State]]&lt;&gt;"DONE","",IFERROR(LOOKUP(2,1/((Log[ID]=Items[[#This Row],[ID]])*(Log[Verb]="done")),Log[Date]),""))</f>
      </c>
      <c r="U87" s="17">
        <f>IF(Items[[#This Row],[ID]]="","",IF(AND(Items[[#This Row],[Sprint]]=CurSprint,OR(Items[[#This Row],[State]]="OPEN",Items[[#This Row],[State]]="WAIT",Items[[#This Row],[State]]="HOLD",Items[[#This Row],[State]]="DONE")),1,0))</f>
      </c>
      <c r="V87" s="17">
        <f>IF(OR(Items[[#This Row],[ID]]="",Items[[#This Row],[Added]]=""),"",AsOf-Items[[#This Row],[Added]])</f>
      </c>
      <c r="W87" s="17">
        <f>IF(Items[[#This Row],[In sprint]]=1,(IF(Items[[#This Row],[Prio]]="",9,N(Items[[#This Row],[Prio]]))*10+(IF(Items[[#This Row],[State]]="DONE",1,0)))*100000+ROW(),"")</f>
      </c>
      <c r="X8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7" s="17">
        <f>IF(AND(Items[[#This Row],[State]]="DONE",N(Items[[#This Row],[Done on]])&gt;AsOf-7),(200000-N(Items[[#This Row],[Done on]]))*100000+ROW(),"")</f>
      </c>
    </row>
    <row r="88">
      <c r="A88" t="s">
        <v>241</v>
      </c>
      <c r="B88" t="s">
        <v>1266</v>
      </c>
      <c r="C88" t="s">
        <v>1107</v>
      </c>
      <c r="D88" t="s">
        <v>1127</v>
      </c>
      <c r="E88" t="s">
        <v>1112</v>
      </c>
      <c r="F88" t="s">
        <v>1113</v>
      </c>
      <c r="G88">
        <v>8</v>
      </c>
      <c r="H88">
        <v>1</v>
      </c>
      <c r="I88" s="11">
        <v>46077</v>
      </c>
      <c r="J88" s="17">
        <f>IF(Items[[#This Row],[ID]]="","",IFERROR(VALUE(LOOKUP(2,1/((Log[ID]=Items[[#This Row],[ID]])*(Log[Verb]="est")),Log[Arg])),N(Items[[#This Row],[Points]])))</f>
      </c>
      <c r="K88" s="17">
        <f>IF(Items[[#This Row],[ID]]="","",IFERROR(LOOKUP(2,1/((Log[ID]=Items[[#This Row],[ID]])*(Log[Verb]="pass")),Log[Arg])&amp;"",Items[[#This Row],[Team]]&amp;""))</f>
      </c>
      <c r="L88" s="17">
        <f>IF(Items[[#This Row],[ID]]="","",IFERROR(LOOKUP(2,1/((Log[ID]=Items[[#This Row],[ID]])*(Log[Into]&lt;&gt;"")),Log[Into]),""))</f>
      </c>
      <c r="M88" s="17">
        <f>IF(Items[[#This Row],[ID]]="","",IF(IFERROR(LOOKUP(2,1/((Log[ID]=Items[[#This Row],[ID]])*(Log[Blk]&lt;&gt;"")),Log[Blk]),0)=1,"Y",""))</f>
      </c>
      <c r="N88" s="17">
        <f>IF(Items[[#This Row],[ID]]="","",SUBSTITUTE(IFERROR(LOOKUP(2,1/((Log[ID]=Items[[#This Row],[ID]])*(Log[State]&lt;&gt;"")),Log[State]),"TODO"),"OPEN",IF(Items[[#This Row],[Blocked]]="Y","WAIT","OPEN")))</f>
      </c>
      <c r="O8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8" s="17">
        <f>IF(Items[[#This Row],[State]]&lt;&gt;"WAIT","",AsOf-Items[[#This Row],[Blocked since]])</f>
      </c>
      <c r="Q88" s="17">
        <f>IF(Items[[#This Row],[State]]&lt;&gt;"WAIT","",IFERROR(LOOKUP(2,1/((Log[ID]=Items[[#This Row],[ID]])*(Log[Verb]="block")),Log[Note])&amp;"",""))</f>
      </c>
      <c r="R88" s="17">
        <f>IF(Items[[#This Row],[ID]]="","",COUNTIFS(Log[ID],Items[[#This Row],[ID]],Log[Verb],"carry"))</f>
      </c>
      <c r="S88" s="17">
        <f>IF(Items[[#This Row],[ID]]="","",COUNTIFS(Log[ID],Items[[#This Row],[ID]],Log[Verb],"punt"))</f>
      </c>
      <c r="T88" s="11">
        <f>IF(Items[[#This Row],[State]]&lt;&gt;"DONE","",IFERROR(LOOKUP(2,1/((Log[ID]=Items[[#This Row],[ID]])*(Log[Verb]="done")),Log[Date]),""))</f>
      </c>
      <c r="U88" s="17">
        <f>IF(Items[[#This Row],[ID]]="","",IF(AND(Items[[#This Row],[Sprint]]=CurSprint,OR(Items[[#This Row],[State]]="OPEN",Items[[#This Row],[State]]="WAIT",Items[[#This Row],[State]]="HOLD",Items[[#This Row],[State]]="DONE")),1,0))</f>
      </c>
      <c r="V88" s="17">
        <f>IF(OR(Items[[#This Row],[ID]]="",Items[[#This Row],[Added]]=""),"",AsOf-Items[[#This Row],[Added]])</f>
      </c>
      <c r="W88" s="17">
        <f>IF(Items[[#This Row],[In sprint]]=1,(IF(Items[[#This Row],[Prio]]="",9,N(Items[[#This Row],[Prio]]))*10+(IF(Items[[#This Row],[State]]="DONE",1,0)))*100000+ROW(),"")</f>
      </c>
      <c r="X8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8" s="17">
        <f>IF(AND(Items[[#This Row],[State]]="DONE",N(Items[[#This Row],[Done on]])&gt;AsOf-7),(200000-N(Items[[#This Row],[Done on]]))*100000+ROW(),"")</f>
      </c>
    </row>
    <row r="89">
      <c r="A89" t="s">
        <v>296</v>
      </c>
      <c r="B89" t="s">
        <v>1267</v>
      </c>
      <c r="C89" t="s">
        <v>1115</v>
      </c>
      <c r="D89" t="s">
        <v>1116</v>
      </c>
      <c r="E89" t="s">
        <v>1112</v>
      </c>
      <c r="F89" t="s">
        <v>1149</v>
      </c>
      <c r="G89">
        <v>3</v>
      </c>
      <c r="H89">
        <v>2</v>
      </c>
      <c r="I89" s="11">
        <v>46077</v>
      </c>
      <c r="J89" s="17">
        <f>IF(Items[[#This Row],[ID]]="","",IFERROR(VALUE(LOOKUP(2,1/((Log[ID]=Items[[#This Row],[ID]])*(Log[Verb]="est")),Log[Arg])),N(Items[[#This Row],[Points]])))</f>
      </c>
      <c r="K89" s="17">
        <f>IF(Items[[#This Row],[ID]]="","",IFERROR(LOOKUP(2,1/((Log[ID]=Items[[#This Row],[ID]])*(Log[Verb]="pass")),Log[Arg])&amp;"",Items[[#This Row],[Team]]&amp;""))</f>
      </c>
      <c r="L89" s="17">
        <f>IF(Items[[#This Row],[ID]]="","",IFERROR(LOOKUP(2,1/((Log[ID]=Items[[#This Row],[ID]])*(Log[Into]&lt;&gt;"")),Log[Into]),""))</f>
      </c>
      <c r="M89" s="17">
        <f>IF(Items[[#This Row],[ID]]="","",IF(IFERROR(LOOKUP(2,1/((Log[ID]=Items[[#This Row],[ID]])*(Log[Blk]&lt;&gt;"")),Log[Blk]),0)=1,"Y",""))</f>
      </c>
      <c r="N89" s="17">
        <f>IF(Items[[#This Row],[ID]]="","",SUBSTITUTE(IFERROR(LOOKUP(2,1/((Log[ID]=Items[[#This Row],[ID]])*(Log[State]&lt;&gt;"")),Log[State]),"TODO"),"OPEN",IF(Items[[#This Row],[Blocked]]="Y","WAIT","OPEN")))</f>
      </c>
      <c r="O8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9" s="17">
        <f>IF(Items[[#This Row],[State]]&lt;&gt;"WAIT","",AsOf-Items[[#This Row],[Blocked since]])</f>
      </c>
      <c r="Q89" s="17">
        <f>IF(Items[[#This Row],[State]]&lt;&gt;"WAIT","",IFERROR(LOOKUP(2,1/((Log[ID]=Items[[#This Row],[ID]])*(Log[Verb]="block")),Log[Note])&amp;"",""))</f>
      </c>
      <c r="R89" s="17">
        <f>IF(Items[[#This Row],[ID]]="","",COUNTIFS(Log[ID],Items[[#This Row],[ID]],Log[Verb],"carry"))</f>
      </c>
      <c r="S89" s="17">
        <f>IF(Items[[#This Row],[ID]]="","",COUNTIFS(Log[ID],Items[[#This Row],[ID]],Log[Verb],"punt"))</f>
      </c>
      <c r="T89" s="11">
        <f>IF(Items[[#This Row],[State]]&lt;&gt;"DONE","",IFERROR(LOOKUP(2,1/((Log[ID]=Items[[#This Row],[ID]])*(Log[Verb]="done")),Log[Date]),""))</f>
      </c>
      <c r="U89" s="17">
        <f>IF(Items[[#This Row],[ID]]="","",IF(AND(Items[[#This Row],[Sprint]]=CurSprint,OR(Items[[#This Row],[State]]="OPEN",Items[[#This Row],[State]]="WAIT",Items[[#This Row],[State]]="HOLD",Items[[#This Row],[State]]="DONE")),1,0))</f>
      </c>
      <c r="V89" s="17">
        <f>IF(OR(Items[[#This Row],[ID]]="",Items[[#This Row],[Added]]=""),"",AsOf-Items[[#This Row],[Added]])</f>
      </c>
      <c r="W89" s="17">
        <f>IF(Items[[#This Row],[In sprint]]=1,(IF(Items[[#This Row],[Prio]]="",9,N(Items[[#This Row],[Prio]]))*10+(IF(Items[[#This Row],[State]]="DONE",1,0)))*100000+ROW(),"")</f>
      </c>
      <c r="X8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9" s="17">
        <f>IF(AND(Items[[#This Row],[State]]="DONE",N(Items[[#This Row],[Done on]])&gt;AsOf-7),(200000-N(Items[[#This Row],[Done on]]))*100000+ROW(),"")</f>
      </c>
    </row>
    <row r="90">
      <c r="A90" t="s">
        <v>191</v>
      </c>
      <c r="B90" t="s">
        <v>1268</v>
      </c>
      <c r="C90" t="s">
        <v>1115</v>
      </c>
      <c r="D90" t="s">
        <v>1119</v>
      </c>
      <c r="E90" t="s">
        <v>1120</v>
      </c>
      <c r="F90" t="s">
        <v>1269</v>
      </c>
      <c r="G90">
        <v>2</v>
      </c>
      <c r="H90">
        <v>3</v>
      </c>
      <c r="I90" s="11">
        <v>46077</v>
      </c>
      <c r="J90" s="17">
        <f>IF(Items[[#This Row],[ID]]="","",IFERROR(VALUE(LOOKUP(2,1/((Log[ID]=Items[[#This Row],[ID]])*(Log[Verb]="est")),Log[Arg])),N(Items[[#This Row],[Points]])))</f>
      </c>
      <c r="K90" s="17">
        <f>IF(Items[[#This Row],[ID]]="","",IFERROR(LOOKUP(2,1/((Log[ID]=Items[[#This Row],[ID]])*(Log[Verb]="pass")),Log[Arg])&amp;"",Items[[#This Row],[Team]]&amp;""))</f>
      </c>
      <c r="L90" s="17">
        <f>IF(Items[[#This Row],[ID]]="","",IFERROR(LOOKUP(2,1/((Log[ID]=Items[[#This Row],[ID]])*(Log[Into]&lt;&gt;"")),Log[Into]),""))</f>
      </c>
      <c r="M90" s="17">
        <f>IF(Items[[#This Row],[ID]]="","",IF(IFERROR(LOOKUP(2,1/((Log[ID]=Items[[#This Row],[ID]])*(Log[Blk]&lt;&gt;"")),Log[Blk]),0)=1,"Y",""))</f>
      </c>
      <c r="N90" s="17">
        <f>IF(Items[[#This Row],[ID]]="","",SUBSTITUTE(IFERROR(LOOKUP(2,1/((Log[ID]=Items[[#This Row],[ID]])*(Log[State]&lt;&gt;"")),Log[State]),"TODO"),"OPEN",IF(Items[[#This Row],[Blocked]]="Y","WAIT","OPEN")))</f>
      </c>
      <c r="O9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0" s="17">
        <f>IF(Items[[#This Row],[State]]&lt;&gt;"WAIT","",AsOf-Items[[#This Row],[Blocked since]])</f>
      </c>
      <c r="Q90" s="17">
        <f>IF(Items[[#This Row],[State]]&lt;&gt;"WAIT","",IFERROR(LOOKUP(2,1/((Log[ID]=Items[[#This Row],[ID]])*(Log[Verb]="block")),Log[Note])&amp;"",""))</f>
      </c>
      <c r="R90" s="17">
        <f>IF(Items[[#This Row],[ID]]="","",COUNTIFS(Log[ID],Items[[#This Row],[ID]],Log[Verb],"carry"))</f>
      </c>
      <c r="S90" s="17">
        <f>IF(Items[[#This Row],[ID]]="","",COUNTIFS(Log[ID],Items[[#This Row],[ID]],Log[Verb],"punt"))</f>
      </c>
      <c r="T90" s="11">
        <f>IF(Items[[#This Row],[State]]&lt;&gt;"DONE","",IFERROR(LOOKUP(2,1/((Log[ID]=Items[[#This Row],[ID]])*(Log[Verb]="done")),Log[Date]),""))</f>
      </c>
      <c r="U90" s="17">
        <f>IF(Items[[#This Row],[ID]]="","",IF(AND(Items[[#This Row],[Sprint]]=CurSprint,OR(Items[[#This Row],[State]]="OPEN",Items[[#This Row],[State]]="WAIT",Items[[#This Row],[State]]="HOLD",Items[[#This Row],[State]]="DONE")),1,0))</f>
      </c>
      <c r="V90" s="17">
        <f>IF(OR(Items[[#This Row],[ID]]="",Items[[#This Row],[Added]]=""),"",AsOf-Items[[#This Row],[Added]])</f>
      </c>
      <c r="W90" s="17">
        <f>IF(Items[[#This Row],[In sprint]]=1,(IF(Items[[#This Row],[Prio]]="",9,N(Items[[#This Row],[Prio]]))*10+(IF(Items[[#This Row],[State]]="DONE",1,0)))*100000+ROW(),"")</f>
      </c>
      <c r="X9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0" s="17">
        <f>IF(AND(Items[[#This Row],[State]]="DONE",N(Items[[#This Row],[Done on]])&gt;AsOf-7),(200000-N(Items[[#This Row],[Done on]]))*100000+ROW(),"")</f>
      </c>
    </row>
    <row r="91">
      <c r="A91" t="s">
        <v>192</v>
      </c>
      <c r="B91" t="s">
        <v>1270</v>
      </c>
      <c r="C91" t="s">
        <v>1107</v>
      </c>
      <c r="D91" t="s">
        <v>1127</v>
      </c>
      <c r="E91" t="s">
        <v>1120</v>
      </c>
      <c r="F91" t="s">
        <v>1269</v>
      </c>
      <c r="G91">
        <v>2</v>
      </c>
      <c r="H91">
        <v>1</v>
      </c>
      <c r="I91" s="11">
        <v>46077</v>
      </c>
      <c r="J91" s="17">
        <f>IF(Items[[#This Row],[ID]]="","",IFERROR(VALUE(LOOKUP(2,1/((Log[ID]=Items[[#This Row],[ID]])*(Log[Verb]="est")),Log[Arg])),N(Items[[#This Row],[Points]])))</f>
      </c>
      <c r="K91" s="17">
        <f>IF(Items[[#This Row],[ID]]="","",IFERROR(LOOKUP(2,1/((Log[ID]=Items[[#This Row],[ID]])*(Log[Verb]="pass")),Log[Arg])&amp;"",Items[[#This Row],[Team]]&amp;""))</f>
      </c>
      <c r="L91" s="17">
        <f>IF(Items[[#This Row],[ID]]="","",IFERROR(LOOKUP(2,1/((Log[ID]=Items[[#This Row],[ID]])*(Log[Into]&lt;&gt;"")),Log[Into]),""))</f>
      </c>
      <c r="M91" s="17">
        <f>IF(Items[[#This Row],[ID]]="","",IF(IFERROR(LOOKUP(2,1/((Log[ID]=Items[[#This Row],[ID]])*(Log[Blk]&lt;&gt;"")),Log[Blk]),0)=1,"Y",""))</f>
      </c>
      <c r="N91" s="17">
        <f>IF(Items[[#This Row],[ID]]="","",SUBSTITUTE(IFERROR(LOOKUP(2,1/((Log[ID]=Items[[#This Row],[ID]])*(Log[State]&lt;&gt;"")),Log[State]),"TODO"),"OPEN",IF(Items[[#This Row],[Blocked]]="Y","WAIT","OPEN")))</f>
      </c>
      <c r="O9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1" s="17">
        <f>IF(Items[[#This Row],[State]]&lt;&gt;"WAIT","",AsOf-Items[[#This Row],[Blocked since]])</f>
      </c>
      <c r="Q91" s="17">
        <f>IF(Items[[#This Row],[State]]&lt;&gt;"WAIT","",IFERROR(LOOKUP(2,1/((Log[ID]=Items[[#This Row],[ID]])*(Log[Verb]="block")),Log[Note])&amp;"",""))</f>
      </c>
      <c r="R91" s="17">
        <f>IF(Items[[#This Row],[ID]]="","",COUNTIFS(Log[ID],Items[[#This Row],[ID]],Log[Verb],"carry"))</f>
      </c>
      <c r="S91" s="17">
        <f>IF(Items[[#This Row],[ID]]="","",COUNTIFS(Log[ID],Items[[#This Row],[ID]],Log[Verb],"punt"))</f>
      </c>
      <c r="T91" s="11">
        <f>IF(Items[[#This Row],[State]]&lt;&gt;"DONE","",IFERROR(LOOKUP(2,1/((Log[ID]=Items[[#This Row],[ID]])*(Log[Verb]="done")),Log[Date]),""))</f>
      </c>
      <c r="U91" s="17">
        <f>IF(Items[[#This Row],[ID]]="","",IF(AND(Items[[#This Row],[Sprint]]=CurSprint,OR(Items[[#This Row],[State]]="OPEN",Items[[#This Row],[State]]="WAIT",Items[[#This Row],[State]]="HOLD",Items[[#This Row],[State]]="DONE")),1,0))</f>
      </c>
      <c r="V91" s="17">
        <f>IF(OR(Items[[#This Row],[ID]]="",Items[[#This Row],[Added]]=""),"",AsOf-Items[[#This Row],[Added]])</f>
      </c>
      <c r="W91" s="17">
        <f>IF(Items[[#This Row],[In sprint]]=1,(IF(Items[[#This Row],[Prio]]="",9,N(Items[[#This Row],[Prio]]))*10+(IF(Items[[#This Row],[State]]="DONE",1,0)))*100000+ROW(),"")</f>
      </c>
      <c r="X9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1" s="17">
        <f>IF(AND(Items[[#This Row],[State]]="DONE",N(Items[[#This Row],[Done on]])&gt;AsOf-7),(200000-N(Items[[#This Row],[Done on]]))*100000+ROW(),"")</f>
      </c>
    </row>
    <row r="92">
      <c r="A92" t="s">
        <v>243</v>
      </c>
      <c r="B92" t="s">
        <v>1271</v>
      </c>
      <c r="C92" t="s">
        <v>1107</v>
      </c>
      <c r="D92" t="s">
        <v>1108</v>
      </c>
      <c r="E92" t="s">
        <v>1120</v>
      </c>
      <c r="F92" t="s">
        <v>1272</v>
      </c>
      <c r="G92">
        <v>2</v>
      </c>
      <c r="H92">
        <v>3</v>
      </c>
      <c r="I92" s="11">
        <v>46077</v>
      </c>
      <c r="J92" s="17">
        <f>IF(Items[[#This Row],[ID]]="","",IFERROR(VALUE(LOOKUP(2,1/((Log[ID]=Items[[#This Row],[ID]])*(Log[Verb]="est")),Log[Arg])),N(Items[[#This Row],[Points]])))</f>
      </c>
      <c r="K92" s="17">
        <f>IF(Items[[#This Row],[ID]]="","",IFERROR(LOOKUP(2,1/((Log[ID]=Items[[#This Row],[ID]])*(Log[Verb]="pass")),Log[Arg])&amp;"",Items[[#This Row],[Team]]&amp;""))</f>
      </c>
      <c r="L92" s="17">
        <f>IF(Items[[#This Row],[ID]]="","",IFERROR(LOOKUP(2,1/((Log[ID]=Items[[#This Row],[ID]])*(Log[Into]&lt;&gt;"")),Log[Into]),""))</f>
      </c>
      <c r="M92" s="17">
        <f>IF(Items[[#This Row],[ID]]="","",IF(IFERROR(LOOKUP(2,1/((Log[ID]=Items[[#This Row],[ID]])*(Log[Blk]&lt;&gt;"")),Log[Blk]),0)=1,"Y",""))</f>
      </c>
      <c r="N92" s="17">
        <f>IF(Items[[#This Row],[ID]]="","",SUBSTITUTE(IFERROR(LOOKUP(2,1/((Log[ID]=Items[[#This Row],[ID]])*(Log[State]&lt;&gt;"")),Log[State]),"TODO"),"OPEN",IF(Items[[#This Row],[Blocked]]="Y","WAIT","OPEN")))</f>
      </c>
      <c r="O9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2" s="17">
        <f>IF(Items[[#This Row],[State]]&lt;&gt;"WAIT","",AsOf-Items[[#This Row],[Blocked since]])</f>
      </c>
      <c r="Q92" s="17">
        <f>IF(Items[[#This Row],[State]]&lt;&gt;"WAIT","",IFERROR(LOOKUP(2,1/((Log[ID]=Items[[#This Row],[ID]])*(Log[Verb]="block")),Log[Note])&amp;"",""))</f>
      </c>
      <c r="R92" s="17">
        <f>IF(Items[[#This Row],[ID]]="","",COUNTIFS(Log[ID],Items[[#This Row],[ID]],Log[Verb],"carry"))</f>
      </c>
      <c r="S92" s="17">
        <f>IF(Items[[#This Row],[ID]]="","",COUNTIFS(Log[ID],Items[[#This Row],[ID]],Log[Verb],"punt"))</f>
      </c>
      <c r="T92" s="11">
        <f>IF(Items[[#This Row],[State]]&lt;&gt;"DONE","",IFERROR(LOOKUP(2,1/((Log[ID]=Items[[#This Row],[ID]])*(Log[Verb]="done")),Log[Date]),""))</f>
      </c>
      <c r="U92" s="17">
        <f>IF(Items[[#This Row],[ID]]="","",IF(AND(Items[[#This Row],[Sprint]]=CurSprint,OR(Items[[#This Row],[State]]="OPEN",Items[[#This Row],[State]]="WAIT",Items[[#This Row],[State]]="HOLD",Items[[#This Row],[State]]="DONE")),1,0))</f>
      </c>
      <c r="V92" s="17">
        <f>IF(OR(Items[[#This Row],[ID]]="",Items[[#This Row],[Added]]=""),"",AsOf-Items[[#This Row],[Added]])</f>
      </c>
      <c r="W92" s="17">
        <f>IF(Items[[#This Row],[In sprint]]=1,(IF(Items[[#This Row],[Prio]]="",9,N(Items[[#This Row],[Prio]]))*10+(IF(Items[[#This Row],[State]]="DONE",1,0)))*100000+ROW(),"")</f>
      </c>
      <c r="X9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2" s="17">
        <f>IF(AND(Items[[#This Row],[State]]="DONE",N(Items[[#This Row],[Done on]])&gt;AsOf-7),(200000-N(Items[[#This Row],[Done on]]))*100000+ROW(),"")</f>
      </c>
    </row>
    <row r="93">
      <c r="A93" t="s">
        <v>244</v>
      </c>
      <c r="B93" t="s">
        <v>1273</v>
      </c>
      <c r="C93" t="s">
        <v>1115</v>
      </c>
      <c r="D93" t="s">
        <v>1116</v>
      </c>
      <c r="E93" t="s">
        <v>1120</v>
      </c>
      <c r="F93" t="s">
        <v>1153</v>
      </c>
      <c r="G93">
        <v>8</v>
      </c>
      <c r="H93">
        <v>1</v>
      </c>
      <c r="I93" s="11">
        <v>46077</v>
      </c>
      <c r="J93" s="17">
        <f>IF(Items[[#This Row],[ID]]="","",IFERROR(VALUE(LOOKUP(2,1/((Log[ID]=Items[[#This Row],[ID]])*(Log[Verb]="est")),Log[Arg])),N(Items[[#This Row],[Points]])))</f>
      </c>
      <c r="K93" s="17">
        <f>IF(Items[[#This Row],[ID]]="","",IFERROR(LOOKUP(2,1/((Log[ID]=Items[[#This Row],[ID]])*(Log[Verb]="pass")),Log[Arg])&amp;"",Items[[#This Row],[Team]]&amp;""))</f>
      </c>
      <c r="L93" s="17">
        <f>IF(Items[[#This Row],[ID]]="","",IFERROR(LOOKUP(2,1/((Log[ID]=Items[[#This Row],[ID]])*(Log[Into]&lt;&gt;"")),Log[Into]),""))</f>
      </c>
      <c r="M93" s="17">
        <f>IF(Items[[#This Row],[ID]]="","",IF(IFERROR(LOOKUP(2,1/((Log[ID]=Items[[#This Row],[ID]])*(Log[Blk]&lt;&gt;"")),Log[Blk]),0)=1,"Y",""))</f>
      </c>
      <c r="N93" s="17">
        <f>IF(Items[[#This Row],[ID]]="","",SUBSTITUTE(IFERROR(LOOKUP(2,1/((Log[ID]=Items[[#This Row],[ID]])*(Log[State]&lt;&gt;"")),Log[State]),"TODO"),"OPEN",IF(Items[[#This Row],[Blocked]]="Y","WAIT","OPEN")))</f>
      </c>
      <c r="O9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3" s="17">
        <f>IF(Items[[#This Row],[State]]&lt;&gt;"WAIT","",AsOf-Items[[#This Row],[Blocked since]])</f>
      </c>
      <c r="Q93" s="17">
        <f>IF(Items[[#This Row],[State]]&lt;&gt;"WAIT","",IFERROR(LOOKUP(2,1/((Log[ID]=Items[[#This Row],[ID]])*(Log[Verb]="block")),Log[Note])&amp;"",""))</f>
      </c>
      <c r="R93" s="17">
        <f>IF(Items[[#This Row],[ID]]="","",COUNTIFS(Log[ID],Items[[#This Row],[ID]],Log[Verb],"carry"))</f>
      </c>
      <c r="S93" s="17">
        <f>IF(Items[[#This Row],[ID]]="","",COUNTIFS(Log[ID],Items[[#This Row],[ID]],Log[Verb],"punt"))</f>
      </c>
      <c r="T93" s="11">
        <f>IF(Items[[#This Row],[State]]&lt;&gt;"DONE","",IFERROR(LOOKUP(2,1/((Log[ID]=Items[[#This Row],[ID]])*(Log[Verb]="done")),Log[Date]),""))</f>
      </c>
      <c r="U93" s="17">
        <f>IF(Items[[#This Row],[ID]]="","",IF(AND(Items[[#This Row],[Sprint]]=CurSprint,OR(Items[[#This Row],[State]]="OPEN",Items[[#This Row],[State]]="WAIT",Items[[#This Row],[State]]="HOLD",Items[[#This Row],[State]]="DONE")),1,0))</f>
      </c>
      <c r="V93" s="17">
        <f>IF(OR(Items[[#This Row],[ID]]="",Items[[#This Row],[Added]]=""),"",AsOf-Items[[#This Row],[Added]])</f>
      </c>
      <c r="W93" s="17">
        <f>IF(Items[[#This Row],[In sprint]]=1,(IF(Items[[#This Row],[Prio]]="",9,N(Items[[#This Row],[Prio]]))*10+(IF(Items[[#This Row],[State]]="DONE",1,0)))*100000+ROW(),"")</f>
      </c>
      <c r="X9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3" s="17">
        <f>IF(AND(Items[[#This Row],[State]]="DONE",N(Items[[#This Row],[Done on]])&gt;AsOf-7),(200000-N(Items[[#This Row],[Done on]]))*100000+ROW(),"")</f>
      </c>
    </row>
    <row r="94">
      <c r="A94" t="s">
        <v>245</v>
      </c>
      <c r="B94" t="s">
        <v>1274</v>
      </c>
      <c r="C94" t="s">
        <v>1115</v>
      </c>
      <c r="D94" t="s">
        <v>1116</v>
      </c>
      <c r="E94" t="s">
        <v>1120</v>
      </c>
      <c r="F94" t="s">
        <v>1269</v>
      </c>
      <c r="G94">
        <v>5</v>
      </c>
      <c r="H94">
        <v>1</v>
      </c>
      <c r="I94" s="11">
        <v>46077</v>
      </c>
      <c r="J94" s="17">
        <f>IF(Items[[#This Row],[ID]]="","",IFERROR(VALUE(LOOKUP(2,1/((Log[ID]=Items[[#This Row],[ID]])*(Log[Verb]="est")),Log[Arg])),N(Items[[#This Row],[Points]])))</f>
      </c>
      <c r="K94" s="17">
        <f>IF(Items[[#This Row],[ID]]="","",IFERROR(LOOKUP(2,1/((Log[ID]=Items[[#This Row],[ID]])*(Log[Verb]="pass")),Log[Arg])&amp;"",Items[[#This Row],[Team]]&amp;""))</f>
      </c>
      <c r="L94" s="17">
        <f>IF(Items[[#This Row],[ID]]="","",IFERROR(LOOKUP(2,1/((Log[ID]=Items[[#This Row],[ID]])*(Log[Into]&lt;&gt;"")),Log[Into]),""))</f>
      </c>
      <c r="M94" s="17">
        <f>IF(Items[[#This Row],[ID]]="","",IF(IFERROR(LOOKUP(2,1/((Log[ID]=Items[[#This Row],[ID]])*(Log[Blk]&lt;&gt;"")),Log[Blk]),0)=1,"Y",""))</f>
      </c>
      <c r="N94" s="17">
        <f>IF(Items[[#This Row],[ID]]="","",SUBSTITUTE(IFERROR(LOOKUP(2,1/((Log[ID]=Items[[#This Row],[ID]])*(Log[State]&lt;&gt;"")),Log[State]),"TODO"),"OPEN",IF(Items[[#This Row],[Blocked]]="Y","WAIT","OPEN")))</f>
      </c>
      <c r="O9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4" s="17">
        <f>IF(Items[[#This Row],[State]]&lt;&gt;"WAIT","",AsOf-Items[[#This Row],[Blocked since]])</f>
      </c>
      <c r="Q94" s="17">
        <f>IF(Items[[#This Row],[State]]&lt;&gt;"WAIT","",IFERROR(LOOKUP(2,1/((Log[ID]=Items[[#This Row],[ID]])*(Log[Verb]="block")),Log[Note])&amp;"",""))</f>
      </c>
      <c r="R94" s="17">
        <f>IF(Items[[#This Row],[ID]]="","",COUNTIFS(Log[ID],Items[[#This Row],[ID]],Log[Verb],"carry"))</f>
      </c>
      <c r="S94" s="17">
        <f>IF(Items[[#This Row],[ID]]="","",COUNTIFS(Log[ID],Items[[#This Row],[ID]],Log[Verb],"punt"))</f>
      </c>
      <c r="T94" s="11">
        <f>IF(Items[[#This Row],[State]]&lt;&gt;"DONE","",IFERROR(LOOKUP(2,1/((Log[ID]=Items[[#This Row],[ID]])*(Log[Verb]="done")),Log[Date]),""))</f>
      </c>
      <c r="U94" s="17">
        <f>IF(Items[[#This Row],[ID]]="","",IF(AND(Items[[#This Row],[Sprint]]=CurSprint,OR(Items[[#This Row],[State]]="OPEN",Items[[#This Row],[State]]="WAIT",Items[[#This Row],[State]]="HOLD",Items[[#This Row],[State]]="DONE")),1,0))</f>
      </c>
      <c r="V94" s="17">
        <f>IF(OR(Items[[#This Row],[ID]]="",Items[[#This Row],[Added]]=""),"",AsOf-Items[[#This Row],[Added]])</f>
      </c>
      <c r="W94" s="17">
        <f>IF(Items[[#This Row],[In sprint]]=1,(IF(Items[[#This Row],[Prio]]="",9,N(Items[[#This Row],[Prio]]))*10+(IF(Items[[#This Row],[State]]="DONE",1,0)))*100000+ROW(),"")</f>
      </c>
      <c r="X9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4" s="17">
        <f>IF(AND(Items[[#This Row],[State]]="DONE",N(Items[[#This Row],[Done on]])&gt;AsOf-7),(200000-N(Items[[#This Row],[Done on]]))*100000+ROW(),"")</f>
      </c>
    </row>
    <row r="95">
      <c r="A95" t="s">
        <v>246</v>
      </c>
      <c r="B95" t="s">
        <v>1275</v>
      </c>
      <c r="C95" t="s">
        <v>1107</v>
      </c>
      <c r="D95" t="s">
        <v>1108</v>
      </c>
      <c r="E95" t="s">
        <v>1120</v>
      </c>
      <c r="F95" t="s">
        <v>1193</v>
      </c>
      <c r="G95">
        <v>2</v>
      </c>
      <c r="H95">
        <v>2</v>
      </c>
      <c r="I95" s="11">
        <v>46077</v>
      </c>
      <c r="J95" s="17">
        <f>IF(Items[[#This Row],[ID]]="","",IFERROR(VALUE(LOOKUP(2,1/((Log[ID]=Items[[#This Row],[ID]])*(Log[Verb]="est")),Log[Arg])),N(Items[[#This Row],[Points]])))</f>
      </c>
      <c r="K95" s="17">
        <f>IF(Items[[#This Row],[ID]]="","",IFERROR(LOOKUP(2,1/((Log[ID]=Items[[#This Row],[ID]])*(Log[Verb]="pass")),Log[Arg])&amp;"",Items[[#This Row],[Team]]&amp;""))</f>
      </c>
      <c r="L95" s="17">
        <f>IF(Items[[#This Row],[ID]]="","",IFERROR(LOOKUP(2,1/((Log[ID]=Items[[#This Row],[ID]])*(Log[Into]&lt;&gt;"")),Log[Into]),""))</f>
      </c>
      <c r="M95" s="17">
        <f>IF(Items[[#This Row],[ID]]="","",IF(IFERROR(LOOKUP(2,1/((Log[ID]=Items[[#This Row],[ID]])*(Log[Blk]&lt;&gt;"")),Log[Blk]),0)=1,"Y",""))</f>
      </c>
      <c r="N95" s="17">
        <f>IF(Items[[#This Row],[ID]]="","",SUBSTITUTE(IFERROR(LOOKUP(2,1/((Log[ID]=Items[[#This Row],[ID]])*(Log[State]&lt;&gt;"")),Log[State]),"TODO"),"OPEN",IF(Items[[#This Row],[Blocked]]="Y","WAIT","OPEN")))</f>
      </c>
      <c r="O9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5" s="17">
        <f>IF(Items[[#This Row],[State]]&lt;&gt;"WAIT","",AsOf-Items[[#This Row],[Blocked since]])</f>
      </c>
      <c r="Q95" s="17">
        <f>IF(Items[[#This Row],[State]]&lt;&gt;"WAIT","",IFERROR(LOOKUP(2,1/((Log[ID]=Items[[#This Row],[ID]])*(Log[Verb]="block")),Log[Note])&amp;"",""))</f>
      </c>
      <c r="R95" s="17">
        <f>IF(Items[[#This Row],[ID]]="","",COUNTIFS(Log[ID],Items[[#This Row],[ID]],Log[Verb],"carry"))</f>
      </c>
      <c r="S95" s="17">
        <f>IF(Items[[#This Row],[ID]]="","",COUNTIFS(Log[ID],Items[[#This Row],[ID]],Log[Verb],"punt"))</f>
      </c>
      <c r="T95" s="11">
        <f>IF(Items[[#This Row],[State]]&lt;&gt;"DONE","",IFERROR(LOOKUP(2,1/((Log[ID]=Items[[#This Row],[ID]])*(Log[Verb]="done")),Log[Date]),""))</f>
      </c>
      <c r="U95" s="17">
        <f>IF(Items[[#This Row],[ID]]="","",IF(AND(Items[[#This Row],[Sprint]]=CurSprint,OR(Items[[#This Row],[State]]="OPEN",Items[[#This Row],[State]]="WAIT",Items[[#This Row],[State]]="HOLD",Items[[#This Row],[State]]="DONE")),1,0))</f>
      </c>
      <c r="V95" s="17">
        <f>IF(OR(Items[[#This Row],[ID]]="",Items[[#This Row],[Added]]=""),"",AsOf-Items[[#This Row],[Added]])</f>
      </c>
      <c r="W95" s="17">
        <f>IF(Items[[#This Row],[In sprint]]=1,(IF(Items[[#This Row],[Prio]]="",9,N(Items[[#This Row],[Prio]]))*10+(IF(Items[[#This Row],[State]]="DONE",1,0)))*100000+ROW(),"")</f>
      </c>
      <c r="X9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5" s="17">
        <f>IF(AND(Items[[#This Row],[State]]="DONE",N(Items[[#This Row],[Done on]])&gt;AsOf-7),(200000-N(Items[[#This Row],[Done on]]))*100000+ROW(),"")</f>
      </c>
    </row>
    <row r="96">
      <c r="A96" t="s">
        <v>247</v>
      </c>
      <c r="B96" t="s">
        <v>1276</v>
      </c>
      <c r="C96" t="s">
        <v>1107</v>
      </c>
      <c r="D96" t="s">
        <v>1108</v>
      </c>
      <c r="E96" t="s">
        <v>1120</v>
      </c>
      <c r="F96" t="s">
        <v>1121</v>
      </c>
      <c r="G96">
        <v>3</v>
      </c>
      <c r="H96">
        <v>3</v>
      </c>
      <c r="I96" s="11">
        <v>46077</v>
      </c>
      <c r="J96" s="17">
        <f>IF(Items[[#This Row],[ID]]="","",IFERROR(VALUE(LOOKUP(2,1/((Log[ID]=Items[[#This Row],[ID]])*(Log[Verb]="est")),Log[Arg])),N(Items[[#This Row],[Points]])))</f>
      </c>
      <c r="K96" s="17">
        <f>IF(Items[[#This Row],[ID]]="","",IFERROR(LOOKUP(2,1/((Log[ID]=Items[[#This Row],[ID]])*(Log[Verb]="pass")),Log[Arg])&amp;"",Items[[#This Row],[Team]]&amp;""))</f>
      </c>
      <c r="L96" s="17">
        <f>IF(Items[[#This Row],[ID]]="","",IFERROR(LOOKUP(2,1/((Log[ID]=Items[[#This Row],[ID]])*(Log[Into]&lt;&gt;"")),Log[Into]),""))</f>
      </c>
      <c r="M96" s="17">
        <f>IF(Items[[#This Row],[ID]]="","",IF(IFERROR(LOOKUP(2,1/((Log[ID]=Items[[#This Row],[ID]])*(Log[Blk]&lt;&gt;"")),Log[Blk]),0)=1,"Y",""))</f>
      </c>
      <c r="N96" s="17">
        <f>IF(Items[[#This Row],[ID]]="","",SUBSTITUTE(IFERROR(LOOKUP(2,1/((Log[ID]=Items[[#This Row],[ID]])*(Log[State]&lt;&gt;"")),Log[State]),"TODO"),"OPEN",IF(Items[[#This Row],[Blocked]]="Y","WAIT","OPEN")))</f>
      </c>
      <c r="O9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6" s="17">
        <f>IF(Items[[#This Row],[State]]&lt;&gt;"WAIT","",AsOf-Items[[#This Row],[Blocked since]])</f>
      </c>
      <c r="Q96" s="17">
        <f>IF(Items[[#This Row],[State]]&lt;&gt;"WAIT","",IFERROR(LOOKUP(2,1/((Log[ID]=Items[[#This Row],[ID]])*(Log[Verb]="block")),Log[Note])&amp;"",""))</f>
      </c>
      <c r="R96" s="17">
        <f>IF(Items[[#This Row],[ID]]="","",COUNTIFS(Log[ID],Items[[#This Row],[ID]],Log[Verb],"carry"))</f>
      </c>
      <c r="S96" s="17">
        <f>IF(Items[[#This Row],[ID]]="","",COUNTIFS(Log[ID],Items[[#This Row],[ID]],Log[Verb],"punt"))</f>
      </c>
      <c r="T96" s="11">
        <f>IF(Items[[#This Row],[State]]&lt;&gt;"DONE","",IFERROR(LOOKUP(2,1/((Log[ID]=Items[[#This Row],[ID]])*(Log[Verb]="done")),Log[Date]),""))</f>
      </c>
      <c r="U96" s="17">
        <f>IF(Items[[#This Row],[ID]]="","",IF(AND(Items[[#This Row],[Sprint]]=CurSprint,OR(Items[[#This Row],[State]]="OPEN",Items[[#This Row],[State]]="WAIT",Items[[#This Row],[State]]="HOLD",Items[[#This Row],[State]]="DONE")),1,0))</f>
      </c>
      <c r="V96" s="17">
        <f>IF(OR(Items[[#This Row],[ID]]="",Items[[#This Row],[Added]]=""),"",AsOf-Items[[#This Row],[Added]])</f>
      </c>
      <c r="W96" s="17">
        <f>IF(Items[[#This Row],[In sprint]]=1,(IF(Items[[#This Row],[Prio]]="",9,N(Items[[#This Row],[Prio]]))*10+(IF(Items[[#This Row],[State]]="DONE",1,0)))*100000+ROW(),"")</f>
      </c>
      <c r="X9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6" s="17">
        <f>IF(AND(Items[[#This Row],[State]]="DONE",N(Items[[#This Row],[Done on]])&gt;AsOf-7),(200000-N(Items[[#This Row],[Done on]]))*100000+ROW(),"")</f>
      </c>
    </row>
    <row r="97">
      <c r="A97" t="s">
        <v>248</v>
      </c>
      <c r="B97" t="s">
        <v>1277</v>
      </c>
      <c r="C97" t="s">
        <v>1107</v>
      </c>
      <c r="D97" t="s">
        <v>1127</v>
      </c>
      <c r="E97" t="s">
        <v>1120</v>
      </c>
      <c r="F97" t="s">
        <v>1269</v>
      </c>
      <c r="G97">
        <v>5</v>
      </c>
      <c r="H97">
        <v>2</v>
      </c>
      <c r="I97" s="11">
        <v>46077</v>
      </c>
      <c r="J97" s="17">
        <f>IF(Items[[#This Row],[ID]]="","",IFERROR(VALUE(LOOKUP(2,1/((Log[ID]=Items[[#This Row],[ID]])*(Log[Verb]="est")),Log[Arg])),N(Items[[#This Row],[Points]])))</f>
      </c>
      <c r="K97" s="17">
        <f>IF(Items[[#This Row],[ID]]="","",IFERROR(LOOKUP(2,1/((Log[ID]=Items[[#This Row],[ID]])*(Log[Verb]="pass")),Log[Arg])&amp;"",Items[[#This Row],[Team]]&amp;""))</f>
      </c>
      <c r="L97" s="17">
        <f>IF(Items[[#This Row],[ID]]="","",IFERROR(LOOKUP(2,1/((Log[ID]=Items[[#This Row],[ID]])*(Log[Into]&lt;&gt;"")),Log[Into]),""))</f>
      </c>
      <c r="M97" s="17">
        <f>IF(Items[[#This Row],[ID]]="","",IF(IFERROR(LOOKUP(2,1/((Log[ID]=Items[[#This Row],[ID]])*(Log[Blk]&lt;&gt;"")),Log[Blk]),0)=1,"Y",""))</f>
      </c>
      <c r="N97" s="17">
        <f>IF(Items[[#This Row],[ID]]="","",SUBSTITUTE(IFERROR(LOOKUP(2,1/((Log[ID]=Items[[#This Row],[ID]])*(Log[State]&lt;&gt;"")),Log[State]),"TODO"),"OPEN",IF(Items[[#This Row],[Blocked]]="Y","WAIT","OPEN")))</f>
      </c>
      <c r="O9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7" s="17">
        <f>IF(Items[[#This Row],[State]]&lt;&gt;"WAIT","",AsOf-Items[[#This Row],[Blocked since]])</f>
      </c>
      <c r="Q97" s="17">
        <f>IF(Items[[#This Row],[State]]&lt;&gt;"WAIT","",IFERROR(LOOKUP(2,1/((Log[ID]=Items[[#This Row],[ID]])*(Log[Verb]="block")),Log[Note])&amp;"",""))</f>
      </c>
      <c r="R97" s="17">
        <f>IF(Items[[#This Row],[ID]]="","",COUNTIFS(Log[ID],Items[[#This Row],[ID]],Log[Verb],"carry"))</f>
      </c>
      <c r="S97" s="17">
        <f>IF(Items[[#This Row],[ID]]="","",COUNTIFS(Log[ID],Items[[#This Row],[ID]],Log[Verb],"punt"))</f>
      </c>
      <c r="T97" s="11">
        <f>IF(Items[[#This Row],[State]]&lt;&gt;"DONE","",IFERROR(LOOKUP(2,1/((Log[ID]=Items[[#This Row],[ID]])*(Log[Verb]="done")),Log[Date]),""))</f>
      </c>
      <c r="U97" s="17">
        <f>IF(Items[[#This Row],[ID]]="","",IF(AND(Items[[#This Row],[Sprint]]=CurSprint,OR(Items[[#This Row],[State]]="OPEN",Items[[#This Row],[State]]="WAIT",Items[[#This Row],[State]]="HOLD",Items[[#This Row],[State]]="DONE")),1,0))</f>
      </c>
      <c r="V97" s="17">
        <f>IF(OR(Items[[#This Row],[ID]]="",Items[[#This Row],[Added]]=""),"",AsOf-Items[[#This Row],[Added]])</f>
      </c>
      <c r="W97" s="17">
        <f>IF(Items[[#This Row],[In sprint]]=1,(IF(Items[[#This Row],[Prio]]="",9,N(Items[[#This Row],[Prio]]))*10+(IF(Items[[#This Row],[State]]="DONE",1,0)))*100000+ROW(),"")</f>
      </c>
      <c r="X9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7" s="17">
        <f>IF(AND(Items[[#This Row],[State]]="DONE",N(Items[[#This Row],[Done on]])&gt;AsOf-7),(200000-N(Items[[#This Row],[Done on]]))*100000+ROW(),"")</f>
      </c>
    </row>
    <row r="98">
      <c r="A98" t="s">
        <v>253</v>
      </c>
      <c r="B98" t="s">
        <v>1278</v>
      </c>
      <c r="C98" t="s">
        <v>1107</v>
      </c>
      <c r="D98" t="s">
        <v>1127</v>
      </c>
      <c r="E98" t="s">
        <v>1124</v>
      </c>
      <c r="F98" t="s">
        <v>1198</v>
      </c>
      <c r="G98">
        <v>8</v>
      </c>
      <c r="H98">
        <v>3</v>
      </c>
      <c r="I98" s="11">
        <v>46077</v>
      </c>
      <c r="J98" s="17">
        <f>IF(Items[[#This Row],[ID]]="","",IFERROR(VALUE(LOOKUP(2,1/((Log[ID]=Items[[#This Row],[ID]])*(Log[Verb]="est")),Log[Arg])),N(Items[[#This Row],[Points]])))</f>
      </c>
      <c r="K98" s="17">
        <f>IF(Items[[#This Row],[ID]]="","",IFERROR(LOOKUP(2,1/((Log[ID]=Items[[#This Row],[ID]])*(Log[Verb]="pass")),Log[Arg])&amp;"",Items[[#This Row],[Team]]&amp;""))</f>
      </c>
      <c r="L98" s="17">
        <f>IF(Items[[#This Row],[ID]]="","",IFERROR(LOOKUP(2,1/((Log[ID]=Items[[#This Row],[ID]])*(Log[Into]&lt;&gt;"")),Log[Into]),""))</f>
      </c>
      <c r="M98" s="17">
        <f>IF(Items[[#This Row],[ID]]="","",IF(IFERROR(LOOKUP(2,1/((Log[ID]=Items[[#This Row],[ID]])*(Log[Blk]&lt;&gt;"")),Log[Blk]),0)=1,"Y",""))</f>
      </c>
      <c r="N98" s="17">
        <f>IF(Items[[#This Row],[ID]]="","",SUBSTITUTE(IFERROR(LOOKUP(2,1/((Log[ID]=Items[[#This Row],[ID]])*(Log[State]&lt;&gt;"")),Log[State]),"TODO"),"OPEN",IF(Items[[#This Row],[Blocked]]="Y","WAIT","OPEN")))</f>
      </c>
      <c r="O9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8" s="17">
        <f>IF(Items[[#This Row],[State]]&lt;&gt;"WAIT","",AsOf-Items[[#This Row],[Blocked since]])</f>
      </c>
      <c r="Q98" s="17">
        <f>IF(Items[[#This Row],[State]]&lt;&gt;"WAIT","",IFERROR(LOOKUP(2,1/((Log[ID]=Items[[#This Row],[ID]])*(Log[Verb]="block")),Log[Note])&amp;"",""))</f>
      </c>
      <c r="R98" s="17">
        <f>IF(Items[[#This Row],[ID]]="","",COUNTIFS(Log[ID],Items[[#This Row],[ID]],Log[Verb],"carry"))</f>
      </c>
      <c r="S98" s="17">
        <f>IF(Items[[#This Row],[ID]]="","",COUNTIFS(Log[ID],Items[[#This Row],[ID]],Log[Verb],"punt"))</f>
      </c>
      <c r="T98" s="11">
        <f>IF(Items[[#This Row],[State]]&lt;&gt;"DONE","",IFERROR(LOOKUP(2,1/((Log[ID]=Items[[#This Row],[ID]])*(Log[Verb]="done")),Log[Date]),""))</f>
      </c>
      <c r="U98" s="17">
        <f>IF(Items[[#This Row],[ID]]="","",IF(AND(Items[[#This Row],[Sprint]]=CurSprint,OR(Items[[#This Row],[State]]="OPEN",Items[[#This Row],[State]]="WAIT",Items[[#This Row],[State]]="HOLD",Items[[#This Row],[State]]="DONE")),1,0))</f>
      </c>
      <c r="V98" s="17">
        <f>IF(OR(Items[[#This Row],[ID]]="",Items[[#This Row],[Added]]=""),"",AsOf-Items[[#This Row],[Added]])</f>
      </c>
      <c r="W98" s="17">
        <f>IF(Items[[#This Row],[In sprint]]=1,(IF(Items[[#This Row],[Prio]]="",9,N(Items[[#This Row],[Prio]]))*10+(IF(Items[[#This Row],[State]]="DONE",1,0)))*100000+ROW(),"")</f>
      </c>
      <c r="X9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8" s="17">
        <f>IF(AND(Items[[#This Row],[State]]="DONE",N(Items[[#This Row],[Done on]])&gt;AsOf-7),(200000-N(Items[[#This Row],[Done on]]))*100000+ROW(),"")</f>
      </c>
    </row>
    <row r="99">
      <c r="A99" t="s">
        <v>254</v>
      </c>
      <c r="B99" t="s">
        <v>1279</v>
      </c>
      <c r="C99" t="s">
        <v>1115</v>
      </c>
      <c r="D99" t="s">
        <v>1116</v>
      </c>
      <c r="E99" t="s">
        <v>1124</v>
      </c>
      <c r="F99" t="s">
        <v>1280</v>
      </c>
      <c r="G99">
        <v>8</v>
      </c>
      <c r="H99">
        <v>2</v>
      </c>
      <c r="I99" s="11">
        <v>46077</v>
      </c>
      <c r="J99" s="17">
        <f>IF(Items[[#This Row],[ID]]="","",IFERROR(VALUE(LOOKUP(2,1/((Log[ID]=Items[[#This Row],[ID]])*(Log[Verb]="est")),Log[Arg])),N(Items[[#This Row],[Points]])))</f>
      </c>
      <c r="K99" s="17">
        <f>IF(Items[[#This Row],[ID]]="","",IFERROR(LOOKUP(2,1/((Log[ID]=Items[[#This Row],[ID]])*(Log[Verb]="pass")),Log[Arg])&amp;"",Items[[#This Row],[Team]]&amp;""))</f>
      </c>
      <c r="L99" s="17">
        <f>IF(Items[[#This Row],[ID]]="","",IFERROR(LOOKUP(2,1/((Log[ID]=Items[[#This Row],[ID]])*(Log[Into]&lt;&gt;"")),Log[Into]),""))</f>
      </c>
      <c r="M99" s="17">
        <f>IF(Items[[#This Row],[ID]]="","",IF(IFERROR(LOOKUP(2,1/((Log[ID]=Items[[#This Row],[ID]])*(Log[Blk]&lt;&gt;"")),Log[Blk]),0)=1,"Y",""))</f>
      </c>
      <c r="N99" s="17">
        <f>IF(Items[[#This Row],[ID]]="","",SUBSTITUTE(IFERROR(LOOKUP(2,1/((Log[ID]=Items[[#This Row],[ID]])*(Log[State]&lt;&gt;"")),Log[State]),"TODO"),"OPEN",IF(Items[[#This Row],[Blocked]]="Y","WAIT","OPEN")))</f>
      </c>
      <c r="O9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9" s="17">
        <f>IF(Items[[#This Row],[State]]&lt;&gt;"WAIT","",AsOf-Items[[#This Row],[Blocked since]])</f>
      </c>
      <c r="Q99" s="17">
        <f>IF(Items[[#This Row],[State]]&lt;&gt;"WAIT","",IFERROR(LOOKUP(2,1/((Log[ID]=Items[[#This Row],[ID]])*(Log[Verb]="block")),Log[Note])&amp;"",""))</f>
      </c>
      <c r="R99" s="17">
        <f>IF(Items[[#This Row],[ID]]="","",COUNTIFS(Log[ID],Items[[#This Row],[ID]],Log[Verb],"carry"))</f>
      </c>
      <c r="S99" s="17">
        <f>IF(Items[[#This Row],[ID]]="","",COUNTIFS(Log[ID],Items[[#This Row],[ID]],Log[Verb],"punt"))</f>
      </c>
      <c r="T99" s="11">
        <f>IF(Items[[#This Row],[State]]&lt;&gt;"DONE","",IFERROR(LOOKUP(2,1/((Log[ID]=Items[[#This Row],[ID]])*(Log[Verb]="done")),Log[Date]),""))</f>
      </c>
      <c r="U99" s="17">
        <f>IF(Items[[#This Row],[ID]]="","",IF(AND(Items[[#This Row],[Sprint]]=CurSprint,OR(Items[[#This Row],[State]]="OPEN",Items[[#This Row],[State]]="WAIT",Items[[#This Row],[State]]="HOLD",Items[[#This Row],[State]]="DONE")),1,0))</f>
      </c>
      <c r="V99" s="17">
        <f>IF(OR(Items[[#This Row],[ID]]="",Items[[#This Row],[Added]]=""),"",AsOf-Items[[#This Row],[Added]])</f>
      </c>
      <c r="W99" s="17">
        <f>IF(Items[[#This Row],[In sprint]]=1,(IF(Items[[#This Row],[Prio]]="",9,N(Items[[#This Row],[Prio]]))*10+(IF(Items[[#This Row],[State]]="DONE",1,0)))*100000+ROW(),"")</f>
      </c>
      <c r="X9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9" s="17">
        <f>IF(AND(Items[[#This Row],[State]]="DONE",N(Items[[#This Row],[Done on]])&gt;AsOf-7),(200000-N(Items[[#This Row],[Done on]]))*100000+ROW(),"")</f>
      </c>
    </row>
    <row r="100">
      <c r="A100" t="s">
        <v>255</v>
      </c>
      <c r="B100" t="s">
        <v>1281</v>
      </c>
      <c r="C100" t="s">
        <v>1107</v>
      </c>
      <c r="D100" t="s">
        <v>1108</v>
      </c>
      <c r="E100" t="s">
        <v>1124</v>
      </c>
      <c r="F100" t="s">
        <v>1200</v>
      </c>
      <c r="G100">
        <v>3</v>
      </c>
      <c r="H100">
        <v>3</v>
      </c>
      <c r="I100" s="11">
        <v>46077</v>
      </c>
      <c r="J100" s="17">
        <f>IF(Items[[#This Row],[ID]]="","",IFERROR(VALUE(LOOKUP(2,1/((Log[ID]=Items[[#This Row],[ID]])*(Log[Verb]="est")),Log[Arg])),N(Items[[#This Row],[Points]])))</f>
      </c>
      <c r="K100" s="17">
        <f>IF(Items[[#This Row],[ID]]="","",IFERROR(LOOKUP(2,1/((Log[ID]=Items[[#This Row],[ID]])*(Log[Verb]="pass")),Log[Arg])&amp;"",Items[[#This Row],[Team]]&amp;""))</f>
      </c>
      <c r="L100" s="17">
        <f>IF(Items[[#This Row],[ID]]="","",IFERROR(LOOKUP(2,1/((Log[ID]=Items[[#This Row],[ID]])*(Log[Into]&lt;&gt;"")),Log[Into]),""))</f>
      </c>
      <c r="M100" s="17">
        <f>IF(Items[[#This Row],[ID]]="","",IF(IFERROR(LOOKUP(2,1/((Log[ID]=Items[[#This Row],[ID]])*(Log[Blk]&lt;&gt;"")),Log[Blk]),0)=1,"Y",""))</f>
      </c>
      <c r="N100" s="17">
        <f>IF(Items[[#This Row],[ID]]="","",SUBSTITUTE(IFERROR(LOOKUP(2,1/((Log[ID]=Items[[#This Row],[ID]])*(Log[State]&lt;&gt;"")),Log[State]),"TODO"),"OPEN",IF(Items[[#This Row],[Blocked]]="Y","WAIT","OPEN")))</f>
      </c>
      <c r="O10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00" s="17">
        <f>IF(Items[[#This Row],[State]]&lt;&gt;"WAIT","",AsOf-Items[[#This Row],[Blocked since]])</f>
      </c>
      <c r="Q100" s="17">
        <f>IF(Items[[#This Row],[State]]&lt;&gt;"WAIT","",IFERROR(LOOKUP(2,1/((Log[ID]=Items[[#This Row],[ID]])*(Log[Verb]="block")),Log[Note])&amp;"",""))</f>
      </c>
      <c r="R100" s="17">
        <f>IF(Items[[#This Row],[ID]]="","",COUNTIFS(Log[ID],Items[[#This Row],[ID]],Log[Verb],"carry"))</f>
      </c>
      <c r="S100" s="17">
        <f>IF(Items[[#This Row],[ID]]="","",COUNTIFS(Log[ID],Items[[#This Row],[ID]],Log[Verb],"punt"))</f>
      </c>
      <c r="T100" s="11">
        <f>IF(Items[[#This Row],[State]]&lt;&gt;"DONE","",IFERROR(LOOKUP(2,1/((Log[ID]=Items[[#This Row],[ID]])*(Log[Verb]="done")),Log[Date]),""))</f>
      </c>
      <c r="U100" s="17">
        <f>IF(Items[[#This Row],[ID]]="","",IF(AND(Items[[#This Row],[Sprint]]=CurSprint,OR(Items[[#This Row],[State]]="OPEN",Items[[#This Row],[State]]="WAIT",Items[[#This Row],[State]]="HOLD",Items[[#This Row],[State]]="DONE")),1,0))</f>
      </c>
      <c r="V100" s="17">
        <f>IF(OR(Items[[#This Row],[ID]]="",Items[[#This Row],[Added]]=""),"",AsOf-Items[[#This Row],[Added]])</f>
      </c>
      <c r="W100" s="17">
        <f>IF(Items[[#This Row],[In sprint]]=1,(IF(Items[[#This Row],[Prio]]="",9,N(Items[[#This Row],[Prio]]))*10+(IF(Items[[#This Row],[State]]="DONE",1,0)))*100000+ROW(),"")</f>
      </c>
      <c r="X10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00" s="17">
        <f>IF(AND(Items[[#This Row],[State]]="DONE",N(Items[[#This Row],[Done on]])&gt;AsOf-7),(200000-N(Items[[#This Row],[Done on]]))*100000+ROW(),"")</f>
      </c>
    </row>
    <row r="101">
      <c r="A101" t="s">
        <v>311</v>
      </c>
      <c r="B101" t="s">
        <v>1282</v>
      </c>
      <c r="C101" t="s">
        <v>1115</v>
      </c>
      <c r="D101" t="s">
        <v>1116</v>
      </c>
      <c r="E101" t="s">
        <v>1124</v>
      </c>
      <c r="F101" t="s">
        <v>1283</v>
      </c>
      <c r="G101">
        <v>3</v>
      </c>
      <c r="H101">
        <v>2</v>
      </c>
      <c r="I101" s="11">
        <v>46077</v>
      </c>
      <c r="J101" s="17">
        <f>IF(Items[[#This Row],[ID]]="","",IFERROR(VALUE(LOOKUP(2,1/((Log[ID]=Items[[#This Row],[ID]])*(Log[Verb]="est")),Log[Arg])),N(Items[[#This Row],[Points]])))</f>
      </c>
      <c r="K101" s="17">
        <f>IF(Items[[#This Row],[ID]]="","",IFERROR(LOOKUP(2,1/((Log[ID]=Items[[#This Row],[ID]])*(Log[Verb]="pass")),Log[Arg])&amp;"",Items[[#This Row],[Team]]&amp;""))</f>
      </c>
      <c r="L101" s="17">
        <f>IF(Items[[#This Row],[ID]]="","",IFERROR(LOOKUP(2,1/((Log[ID]=Items[[#This Row],[ID]])*(Log[Into]&lt;&gt;"")),Log[Into]),""))</f>
      </c>
      <c r="M101" s="17">
        <f>IF(Items[[#This Row],[ID]]="","",IF(IFERROR(LOOKUP(2,1/((Log[ID]=Items[[#This Row],[ID]])*(Log[Blk]&lt;&gt;"")),Log[Blk]),0)=1,"Y",""))</f>
      </c>
      <c r="N101" s="17">
        <f>IF(Items[[#This Row],[ID]]="","",SUBSTITUTE(IFERROR(LOOKUP(2,1/((Log[ID]=Items[[#This Row],[ID]])*(Log[State]&lt;&gt;"")),Log[State]),"TODO"),"OPEN",IF(Items[[#This Row],[Blocked]]="Y","WAIT","OPEN")))</f>
      </c>
      <c r="O10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01" s="17">
        <f>IF(Items[[#This Row],[State]]&lt;&gt;"WAIT","",AsOf-Items[[#This Row],[Blocked since]])</f>
      </c>
      <c r="Q101" s="17">
        <f>IF(Items[[#This Row],[State]]&lt;&gt;"WAIT","",IFERROR(LOOKUP(2,1/((Log[ID]=Items[[#This Row],[ID]])*(Log[Verb]="block")),Log[Note])&amp;"",""))</f>
      </c>
      <c r="R101" s="17">
        <f>IF(Items[[#This Row],[ID]]="","",COUNTIFS(Log[ID],Items[[#This Row],[ID]],Log[Verb],"carry"))</f>
      </c>
      <c r="S101" s="17">
        <f>IF(Items[[#This Row],[ID]]="","",COUNTIFS(Log[ID],Items[[#This Row],[ID]],Log[Verb],"punt"))</f>
      </c>
      <c r="T101" s="11">
        <f>IF(Items[[#This Row],[State]]&lt;&gt;"DONE","",IFERROR(LOOKUP(2,1/((Log[ID]=Items[[#This Row],[ID]])*(Log[Verb]="done")),Log[Date]),""))</f>
      </c>
      <c r="U101" s="17">
        <f>IF(Items[[#This Row],[ID]]="","",IF(AND(Items[[#This Row],[Sprint]]=CurSprint,OR(Items[[#This Row],[State]]="OPEN",Items[[#This Row],[State]]="WAIT",Items[[#This Row],[State]]="HOLD",Items[[#This Row],[State]]="DONE")),1,0))</f>
      </c>
      <c r="V101" s="17">
        <f>IF(OR(Items[[#This Row],[ID]]="",Items[[#This Row],[Added]]=""),"",AsOf-Items[[#This Row],[Added]])</f>
      </c>
      <c r="W101" s="17">
        <f>IF(Items[[#This Row],[In sprint]]=1,(IF(Items[[#This Row],[Prio]]="",9,N(Items[[#This Row],[Prio]]))*10+(IF(Items[[#This Row],[State]]="DONE",1,0)))*100000+ROW(),"")</f>
      </c>
      <c r="X10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01" s="17">
        <f>IF(AND(Items[[#This Row],[State]]="DONE",N(Items[[#This Row],[Done on]])&gt;AsOf-7),(200000-N(Items[[#This Row],[Done on]]))*100000+ROW(),"")</f>
      </c>
    </row>
    <row r="102">
      <c r="A102" t="s">
        <v>258</v>
      </c>
      <c r="B102" t="s">
        <v>1284</v>
      </c>
      <c r="C102" t="s">
        <v>1107</v>
      </c>
      <c r="D102" t="s">
        <v>1127</v>
      </c>
      <c r="E102" t="s">
        <v>1159</v>
      </c>
      <c r="F102" t="s">
        <v>1285</v>
      </c>
      <c r="G102">
        <v>8</v>
      </c>
      <c r="H102">
        <v>1</v>
      </c>
      <c r="I102" s="11">
        <v>46077</v>
      </c>
      <c r="J102" s="17">
        <f>IF(Items[[#This Row],[ID]]="","",IFERROR(VALUE(LOOKUP(2,1/((Log[ID]=Items[[#This Row],[ID]])*(Log[Verb]="est")),Log[Arg])),N(Items[[#This Row],[Points]])))</f>
      </c>
      <c r="K102" s="17">
        <f>IF(Items[[#This Row],[ID]]="","",IFERROR(LOOKUP(2,1/((Log[ID]=Items[[#This Row],[ID]])*(Log[Verb]="pass")),Log[Arg])&amp;"",Items[[#This Row],[Team]]&amp;""))</f>
      </c>
      <c r="L102" s="17">
        <f>IF(Items[[#This Row],[ID]]="","",IFERROR(LOOKUP(2,1/((Log[ID]=Items[[#This Row],[ID]])*(Log[Into]&lt;&gt;"")),Log[Into]),""))</f>
      </c>
      <c r="M102" s="17">
        <f>IF(Items[[#This Row],[ID]]="","",IF(IFERROR(LOOKUP(2,1/((Log[ID]=Items[[#This Row],[ID]])*(Log[Blk]&lt;&gt;"")),Log[Blk]),0)=1,"Y",""))</f>
      </c>
      <c r="N102" s="17">
        <f>IF(Items[[#This Row],[ID]]="","",SUBSTITUTE(IFERROR(LOOKUP(2,1/((Log[ID]=Items[[#This Row],[ID]])*(Log[State]&lt;&gt;"")),Log[State]),"TODO"),"OPEN",IF(Items[[#This Row],[Blocked]]="Y","WAIT","OPEN")))</f>
      </c>
      <c r="O10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02" s="17">
        <f>IF(Items[[#This Row],[State]]&lt;&gt;"WAIT","",AsOf-Items[[#This Row],[Blocked since]])</f>
      </c>
      <c r="Q102" s="17">
        <f>IF(Items[[#This Row],[State]]&lt;&gt;"WAIT","",IFERROR(LOOKUP(2,1/((Log[ID]=Items[[#This Row],[ID]])*(Log[Verb]="block")),Log[Note])&amp;"",""))</f>
      </c>
      <c r="R102" s="17">
        <f>IF(Items[[#This Row],[ID]]="","",COUNTIFS(Log[ID],Items[[#This Row],[ID]],Log[Verb],"carry"))</f>
      </c>
      <c r="S102" s="17">
        <f>IF(Items[[#This Row],[ID]]="","",COUNTIFS(Log[ID],Items[[#This Row],[ID]],Log[Verb],"punt"))</f>
      </c>
      <c r="T102" s="11">
        <f>IF(Items[[#This Row],[State]]&lt;&gt;"DONE","",IFERROR(LOOKUP(2,1/((Log[ID]=Items[[#This Row],[ID]])*(Log[Verb]="done")),Log[Date]),""))</f>
      </c>
      <c r="U102" s="17">
        <f>IF(Items[[#This Row],[ID]]="","",IF(AND(Items[[#This Row],[Sprint]]=CurSprint,OR(Items[[#This Row],[State]]="OPEN",Items[[#This Row],[State]]="WAIT",Items[[#This Row],[State]]="HOLD",Items[[#This Row],[State]]="DONE")),1,0))</f>
      </c>
      <c r="V102" s="17">
        <f>IF(OR(Items[[#This Row],[ID]]="",Items[[#This Row],[Added]]=""),"",AsOf-Items[[#This Row],[Added]])</f>
      </c>
      <c r="W102" s="17">
        <f>IF(Items[[#This Row],[In sprint]]=1,(IF(Items[[#This Row],[Prio]]="",9,N(Items[[#This Row],[Prio]]))*10+(IF(Items[[#This Row],[State]]="DONE",1,0)))*100000+ROW(),"")</f>
      </c>
      <c r="X10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02" s="17">
        <f>IF(AND(Items[[#This Row],[State]]="DONE",N(Items[[#This Row],[Done on]])&gt;AsOf-7),(200000-N(Items[[#This Row],[Done on]]))*100000+ROW(),"")</f>
      </c>
    </row>
    <row r="103">
      <c r="A103" t="s">
        <v>203</v>
      </c>
      <c r="B103" t="s">
        <v>1286</v>
      </c>
      <c r="C103" t="s">
        <v>1107</v>
      </c>
      <c r="D103" t="s">
        <v>1127</v>
      </c>
      <c r="E103" t="s">
        <v>1159</v>
      </c>
      <c r="F103" t="s">
        <v>1211</v>
      </c>
      <c r="G103">
        <v>5</v>
      </c>
      <c r="H103">
        <v>1</v>
      </c>
      <c r="I103" s="11">
        <v>46077</v>
      </c>
      <c r="J103" s="17">
        <f>IF(Items[[#This Row],[ID]]="","",IFERROR(VALUE(LOOKUP(2,1/((Log[ID]=Items[[#This Row],[ID]])*(Log[Verb]="est")),Log[Arg])),N(Items[[#This Row],[Points]])))</f>
      </c>
      <c r="K103" s="17">
        <f>IF(Items[[#This Row],[ID]]="","",IFERROR(LOOKUP(2,1/((Log[ID]=Items[[#This Row],[ID]])*(Log[Verb]="pass")),Log[Arg])&amp;"",Items[[#This Row],[Team]]&amp;""))</f>
      </c>
      <c r="L103" s="17">
        <f>IF(Items[[#This Row],[ID]]="","",IFERROR(LOOKUP(2,1/((Log[ID]=Items[[#This Row],[ID]])*(Log[Into]&lt;&gt;"")),Log[Into]),""))</f>
      </c>
      <c r="M103" s="17">
        <f>IF(Items[[#This Row],[ID]]="","",IF(IFERROR(LOOKUP(2,1/((Log[ID]=Items[[#This Row],[ID]])*(Log[Blk]&lt;&gt;"")),Log[Blk]),0)=1,"Y",""))</f>
      </c>
      <c r="N103" s="17">
        <f>IF(Items[[#This Row],[ID]]="","",SUBSTITUTE(IFERROR(LOOKUP(2,1/((Log[ID]=Items[[#This Row],[ID]])*(Log[State]&lt;&gt;"")),Log[State]),"TODO"),"OPEN",IF(Items[[#This Row],[Blocked]]="Y","WAIT","OPEN")))</f>
      </c>
      <c r="O10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03" s="17">
        <f>IF(Items[[#This Row],[State]]&lt;&gt;"WAIT","",AsOf-Items[[#This Row],[Blocked since]])</f>
      </c>
      <c r="Q103" s="17">
        <f>IF(Items[[#This Row],[State]]&lt;&gt;"WAIT","",IFERROR(LOOKUP(2,1/((Log[ID]=Items[[#This Row],[ID]])*(Log[Verb]="block")),Log[Note])&amp;"",""))</f>
      </c>
      <c r="R103" s="17">
        <f>IF(Items[[#This Row],[ID]]="","",COUNTIFS(Log[ID],Items[[#This Row],[ID]],Log[Verb],"carry"))</f>
      </c>
      <c r="S103" s="17">
        <f>IF(Items[[#This Row],[ID]]="","",COUNTIFS(Log[ID],Items[[#This Row],[ID]],Log[Verb],"punt"))</f>
      </c>
      <c r="T103" s="11">
        <f>IF(Items[[#This Row],[State]]&lt;&gt;"DONE","",IFERROR(LOOKUP(2,1/((Log[ID]=Items[[#This Row],[ID]])*(Log[Verb]="done")),Log[Date]),""))</f>
      </c>
      <c r="U103" s="17">
        <f>IF(Items[[#This Row],[ID]]="","",IF(AND(Items[[#This Row],[Sprint]]=CurSprint,OR(Items[[#This Row],[State]]="OPEN",Items[[#This Row],[State]]="WAIT",Items[[#This Row],[State]]="HOLD",Items[[#This Row],[State]]="DONE")),1,0))</f>
      </c>
      <c r="V103" s="17">
        <f>IF(OR(Items[[#This Row],[ID]]="",Items[[#This Row],[Added]]=""),"",AsOf-Items[[#This Row],[Added]])</f>
      </c>
      <c r="W103" s="17">
        <f>IF(Items[[#This Row],[In sprint]]=1,(IF(Items[[#This Row],[Prio]]="",9,N(Items[[#This Row],[Prio]]))*10+(IF(Items[[#This Row],[State]]="DONE",1,0)))*100000+ROW(),"")</f>
      </c>
      <c r="X10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03" s="17">
        <f>IF(AND(Items[[#This Row],[State]]="DONE",N(Items[[#This Row],[Done on]])&gt;AsOf-7),(200000-N(Items[[#This Row],[Done on]]))*100000+ROW(),"")</f>
      </c>
    </row>
    <row r="104">
      <c r="A104" t="s">
        <v>259</v>
      </c>
      <c r="B104" t="s">
        <v>1287</v>
      </c>
      <c r="C104" t="s">
        <v>1107</v>
      </c>
      <c r="D104" t="s">
        <v>1108</v>
      </c>
      <c r="E104" t="s">
        <v>1159</v>
      </c>
      <c r="F104" t="s">
        <v>1285</v>
      </c>
      <c r="G104">
        <v>2</v>
      </c>
      <c r="H104">
        <v>1</v>
      </c>
      <c r="I104" s="11">
        <v>46077</v>
      </c>
      <c r="J104" s="17">
        <f>IF(Items[[#This Row],[ID]]="","",IFERROR(VALUE(LOOKUP(2,1/((Log[ID]=Items[[#This Row],[ID]])*(Log[Verb]="est")),Log[Arg])),N(Items[[#This Row],[Points]])))</f>
      </c>
      <c r="K104" s="17">
        <f>IF(Items[[#This Row],[ID]]="","",IFERROR(LOOKUP(2,1/((Log[ID]=Items[[#This Row],[ID]])*(Log[Verb]="pass")),Log[Arg])&amp;"",Items[[#This Row],[Team]]&amp;""))</f>
      </c>
      <c r="L104" s="17">
        <f>IF(Items[[#This Row],[ID]]="","",IFERROR(LOOKUP(2,1/((Log[ID]=Items[[#This Row],[ID]])*(Log[Into]&lt;&gt;"")),Log[Into]),""))</f>
      </c>
      <c r="M104" s="17">
        <f>IF(Items[[#This Row],[ID]]="","",IF(IFERROR(LOOKUP(2,1/((Log[ID]=Items[[#This Row],[ID]])*(Log[Blk]&lt;&gt;"")),Log[Blk]),0)=1,"Y",""))</f>
      </c>
      <c r="N104" s="17">
        <f>IF(Items[[#This Row],[ID]]="","",SUBSTITUTE(IFERROR(LOOKUP(2,1/((Log[ID]=Items[[#This Row],[ID]])*(Log[State]&lt;&gt;"")),Log[State]),"TODO"),"OPEN",IF(Items[[#This Row],[Blocked]]="Y","WAIT","OPEN")))</f>
      </c>
      <c r="O10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04" s="17">
        <f>IF(Items[[#This Row],[State]]&lt;&gt;"WAIT","",AsOf-Items[[#This Row],[Blocked since]])</f>
      </c>
      <c r="Q104" s="17">
        <f>IF(Items[[#This Row],[State]]&lt;&gt;"WAIT","",IFERROR(LOOKUP(2,1/((Log[ID]=Items[[#This Row],[ID]])*(Log[Verb]="block")),Log[Note])&amp;"",""))</f>
      </c>
      <c r="R104" s="17">
        <f>IF(Items[[#This Row],[ID]]="","",COUNTIFS(Log[ID],Items[[#This Row],[ID]],Log[Verb],"carry"))</f>
      </c>
      <c r="S104" s="17">
        <f>IF(Items[[#This Row],[ID]]="","",COUNTIFS(Log[ID],Items[[#This Row],[ID]],Log[Verb],"punt"))</f>
      </c>
      <c r="T104" s="11">
        <f>IF(Items[[#This Row],[State]]&lt;&gt;"DONE","",IFERROR(LOOKUP(2,1/((Log[ID]=Items[[#This Row],[ID]])*(Log[Verb]="done")),Log[Date]),""))</f>
      </c>
      <c r="U104" s="17">
        <f>IF(Items[[#This Row],[ID]]="","",IF(AND(Items[[#This Row],[Sprint]]=CurSprint,OR(Items[[#This Row],[State]]="OPEN",Items[[#This Row],[State]]="WAIT",Items[[#This Row],[State]]="HOLD",Items[[#This Row],[State]]="DONE")),1,0))</f>
      </c>
      <c r="V104" s="17">
        <f>IF(OR(Items[[#This Row],[ID]]="",Items[[#This Row],[Added]]=""),"",AsOf-Items[[#This Row],[Added]])</f>
      </c>
      <c r="W104" s="17">
        <f>IF(Items[[#This Row],[In sprint]]=1,(IF(Items[[#This Row],[Prio]]="",9,N(Items[[#This Row],[Prio]]))*10+(IF(Items[[#This Row],[State]]="DONE",1,0)))*100000+ROW(),"")</f>
      </c>
      <c r="X10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04" s="17">
        <f>IF(AND(Items[[#This Row],[State]]="DONE",N(Items[[#This Row],[Done on]])&gt;AsOf-7),(200000-N(Items[[#This Row],[Done on]]))*100000+ROW(),"")</f>
      </c>
    </row>
    <row r="105">
      <c r="A105" t="s">
        <v>260</v>
      </c>
      <c r="B105" t="s">
        <v>1288</v>
      </c>
      <c r="C105" t="s">
        <v>1107</v>
      </c>
      <c r="D105" t="s">
        <v>1127</v>
      </c>
      <c r="E105" t="s">
        <v>1159</v>
      </c>
      <c r="F105" t="s">
        <v>1207</v>
      </c>
      <c r="G105">
        <v>8</v>
      </c>
      <c r="H105">
        <v>2</v>
      </c>
      <c r="I105" s="11">
        <v>46077</v>
      </c>
      <c r="J105" s="17">
        <f>IF(Items[[#This Row],[ID]]="","",IFERROR(VALUE(LOOKUP(2,1/((Log[ID]=Items[[#This Row],[ID]])*(Log[Verb]="est")),Log[Arg])),N(Items[[#This Row],[Points]])))</f>
      </c>
      <c r="K105" s="17">
        <f>IF(Items[[#This Row],[ID]]="","",IFERROR(LOOKUP(2,1/((Log[ID]=Items[[#This Row],[ID]])*(Log[Verb]="pass")),Log[Arg])&amp;"",Items[[#This Row],[Team]]&amp;""))</f>
      </c>
      <c r="L105" s="17">
        <f>IF(Items[[#This Row],[ID]]="","",IFERROR(LOOKUP(2,1/((Log[ID]=Items[[#This Row],[ID]])*(Log[Into]&lt;&gt;"")),Log[Into]),""))</f>
      </c>
      <c r="M105" s="17">
        <f>IF(Items[[#This Row],[ID]]="","",IF(IFERROR(LOOKUP(2,1/((Log[ID]=Items[[#This Row],[ID]])*(Log[Blk]&lt;&gt;"")),Log[Blk]),0)=1,"Y",""))</f>
      </c>
      <c r="N105" s="17">
        <f>IF(Items[[#This Row],[ID]]="","",SUBSTITUTE(IFERROR(LOOKUP(2,1/((Log[ID]=Items[[#This Row],[ID]])*(Log[State]&lt;&gt;"")),Log[State]),"TODO"),"OPEN",IF(Items[[#This Row],[Blocked]]="Y","WAIT","OPEN")))</f>
      </c>
      <c r="O10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05" s="17">
        <f>IF(Items[[#This Row],[State]]&lt;&gt;"WAIT","",AsOf-Items[[#This Row],[Blocked since]])</f>
      </c>
      <c r="Q105" s="17">
        <f>IF(Items[[#This Row],[State]]&lt;&gt;"WAIT","",IFERROR(LOOKUP(2,1/((Log[ID]=Items[[#This Row],[ID]])*(Log[Verb]="block")),Log[Note])&amp;"",""))</f>
      </c>
      <c r="R105" s="17">
        <f>IF(Items[[#This Row],[ID]]="","",COUNTIFS(Log[ID],Items[[#This Row],[ID]],Log[Verb],"carry"))</f>
      </c>
      <c r="S105" s="17">
        <f>IF(Items[[#This Row],[ID]]="","",COUNTIFS(Log[ID],Items[[#This Row],[ID]],Log[Verb],"punt"))</f>
      </c>
      <c r="T105" s="11">
        <f>IF(Items[[#This Row],[State]]&lt;&gt;"DONE","",IFERROR(LOOKUP(2,1/((Log[ID]=Items[[#This Row],[ID]])*(Log[Verb]="done")),Log[Date]),""))</f>
      </c>
      <c r="U105" s="17">
        <f>IF(Items[[#This Row],[ID]]="","",IF(AND(Items[[#This Row],[Sprint]]=CurSprint,OR(Items[[#This Row],[State]]="OPEN",Items[[#This Row],[State]]="WAIT",Items[[#This Row],[State]]="HOLD",Items[[#This Row],[State]]="DONE")),1,0))</f>
      </c>
      <c r="V105" s="17">
        <f>IF(OR(Items[[#This Row],[ID]]="",Items[[#This Row],[Added]]=""),"",AsOf-Items[[#This Row],[Added]])</f>
      </c>
      <c r="W105" s="17">
        <f>IF(Items[[#This Row],[In sprint]]=1,(IF(Items[[#This Row],[Prio]]="",9,N(Items[[#This Row],[Prio]]))*10+(IF(Items[[#This Row],[State]]="DONE",1,0)))*100000+ROW(),"")</f>
      </c>
      <c r="X10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05" s="17">
        <f>IF(AND(Items[[#This Row],[State]]="DONE",N(Items[[#This Row],[Done on]])&gt;AsOf-7),(200000-N(Items[[#This Row],[Done on]]))*100000+ROW(),"")</f>
      </c>
    </row>
    <row r="106">
      <c r="A106" t="s">
        <v>264</v>
      </c>
      <c r="B106" t="s">
        <v>1289</v>
      </c>
      <c r="C106" t="s">
        <v>1107</v>
      </c>
      <c r="D106" t="s">
        <v>1123</v>
      </c>
      <c r="E106" t="s">
        <v>1128</v>
      </c>
      <c r="F106" t="s">
        <v>1164</v>
      </c>
      <c r="G106">
        <v>5</v>
      </c>
      <c r="H106">
        <v>1</v>
      </c>
      <c r="I106" s="11">
        <v>46077</v>
      </c>
      <c r="J106" s="17">
        <f>IF(Items[[#This Row],[ID]]="","",IFERROR(VALUE(LOOKUP(2,1/((Log[ID]=Items[[#This Row],[ID]])*(Log[Verb]="est")),Log[Arg])),N(Items[[#This Row],[Points]])))</f>
      </c>
      <c r="K106" s="17">
        <f>IF(Items[[#This Row],[ID]]="","",IFERROR(LOOKUP(2,1/((Log[ID]=Items[[#This Row],[ID]])*(Log[Verb]="pass")),Log[Arg])&amp;"",Items[[#This Row],[Team]]&amp;""))</f>
      </c>
      <c r="L106" s="17">
        <f>IF(Items[[#This Row],[ID]]="","",IFERROR(LOOKUP(2,1/((Log[ID]=Items[[#This Row],[ID]])*(Log[Into]&lt;&gt;"")),Log[Into]),""))</f>
      </c>
      <c r="M106" s="17">
        <f>IF(Items[[#This Row],[ID]]="","",IF(IFERROR(LOOKUP(2,1/((Log[ID]=Items[[#This Row],[ID]])*(Log[Blk]&lt;&gt;"")),Log[Blk]),0)=1,"Y",""))</f>
      </c>
      <c r="N106" s="17">
        <f>IF(Items[[#This Row],[ID]]="","",SUBSTITUTE(IFERROR(LOOKUP(2,1/((Log[ID]=Items[[#This Row],[ID]])*(Log[State]&lt;&gt;"")),Log[State]),"TODO"),"OPEN",IF(Items[[#This Row],[Blocked]]="Y","WAIT","OPEN")))</f>
      </c>
      <c r="O10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06" s="17">
        <f>IF(Items[[#This Row],[State]]&lt;&gt;"WAIT","",AsOf-Items[[#This Row],[Blocked since]])</f>
      </c>
      <c r="Q106" s="17">
        <f>IF(Items[[#This Row],[State]]&lt;&gt;"WAIT","",IFERROR(LOOKUP(2,1/((Log[ID]=Items[[#This Row],[ID]])*(Log[Verb]="block")),Log[Note])&amp;"",""))</f>
      </c>
      <c r="R106" s="17">
        <f>IF(Items[[#This Row],[ID]]="","",COUNTIFS(Log[ID],Items[[#This Row],[ID]],Log[Verb],"carry"))</f>
      </c>
      <c r="S106" s="17">
        <f>IF(Items[[#This Row],[ID]]="","",COUNTIFS(Log[ID],Items[[#This Row],[ID]],Log[Verb],"punt"))</f>
      </c>
      <c r="T106" s="11">
        <f>IF(Items[[#This Row],[State]]&lt;&gt;"DONE","",IFERROR(LOOKUP(2,1/((Log[ID]=Items[[#This Row],[ID]])*(Log[Verb]="done")),Log[Date]),""))</f>
      </c>
      <c r="U106" s="17">
        <f>IF(Items[[#This Row],[ID]]="","",IF(AND(Items[[#This Row],[Sprint]]=CurSprint,OR(Items[[#This Row],[State]]="OPEN",Items[[#This Row],[State]]="WAIT",Items[[#This Row],[State]]="HOLD",Items[[#This Row],[State]]="DONE")),1,0))</f>
      </c>
      <c r="V106" s="17">
        <f>IF(OR(Items[[#This Row],[ID]]="",Items[[#This Row],[Added]]=""),"",AsOf-Items[[#This Row],[Added]])</f>
      </c>
      <c r="W106" s="17">
        <f>IF(Items[[#This Row],[In sprint]]=1,(IF(Items[[#This Row],[Prio]]="",9,N(Items[[#This Row],[Prio]]))*10+(IF(Items[[#This Row],[State]]="DONE",1,0)))*100000+ROW(),"")</f>
      </c>
      <c r="X10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06" s="17">
        <f>IF(AND(Items[[#This Row],[State]]="DONE",N(Items[[#This Row],[Done on]])&gt;AsOf-7),(200000-N(Items[[#This Row],[Done on]]))*100000+ROW(),"")</f>
      </c>
    </row>
    <row r="107">
      <c r="A107" t="s">
        <v>208</v>
      </c>
      <c r="B107" t="s">
        <v>1290</v>
      </c>
      <c r="C107" t="s">
        <v>1115</v>
      </c>
      <c r="D107" t="s">
        <v>1119</v>
      </c>
      <c r="E107" t="s">
        <v>1128</v>
      </c>
      <c r="F107" t="s">
        <v>1164</v>
      </c>
      <c r="G107">
        <v>2</v>
      </c>
      <c r="H107">
        <v>2</v>
      </c>
      <c r="I107" s="11">
        <v>46077</v>
      </c>
      <c r="J107" s="17">
        <f>IF(Items[[#This Row],[ID]]="","",IFERROR(VALUE(LOOKUP(2,1/((Log[ID]=Items[[#This Row],[ID]])*(Log[Verb]="est")),Log[Arg])),N(Items[[#This Row],[Points]])))</f>
      </c>
      <c r="K107" s="17">
        <f>IF(Items[[#This Row],[ID]]="","",IFERROR(LOOKUP(2,1/((Log[ID]=Items[[#This Row],[ID]])*(Log[Verb]="pass")),Log[Arg])&amp;"",Items[[#This Row],[Team]]&amp;""))</f>
      </c>
      <c r="L107" s="17">
        <f>IF(Items[[#This Row],[ID]]="","",IFERROR(LOOKUP(2,1/((Log[ID]=Items[[#This Row],[ID]])*(Log[Into]&lt;&gt;"")),Log[Into]),""))</f>
      </c>
      <c r="M107" s="17">
        <f>IF(Items[[#This Row],[ID]]="","",IF(IFERROR(LOOKUP(2,1/((Log[ID]=Items[[#This Row],[ID]])*(Log[Blk]&lt;&gt;"")),Log[Blk]),0)=1,"Y",""))</f>
      </c>
      <c r="N107" s="17">
        <f>IF(Items[[#This Row],[ID]]="","",SUBSTITUTE(IFERROR(LOOKUP(2,1/((Log[ID]=Items[[#This Row],[ID]])*(Log[State]&lt;&gt;"")),Log[State]),"TODO"),"OPEN",IF(Items[[#This Row],[Blocked]]="Y","WAIT","OPEN")))</f>
      </c>
      <c r="O10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07" s="17">
        <f>IF(Items[[#This Row],[State]]&lt;&gt;"WAIT","",AsOf-Items[[#This Row],[Blocked since]])</f>
      </c>
      <c r="Q107" s="17">
        <f>IF(Items[[#This Row],[State]]&lt;&gt;"WAIT","",IFERROR(LOOKUP(2,1/((Log[ID]=Items[[#This Row],[ID]])*(Log[Verb]="block")),Log[Note])&amp;"",""))</f>
      </c>
      <c r="R107" s="17">
        <f>IF(Items[[#This Row],[ID]]="","",COUNTIFS(Log[ID],Items[[#This Row],[ID]],Log[Verb],"carry"))</f>
      </c>
      <c r="S107" s="17">
        <f>IF(Items[[#This Row],[ID]]="","",COUNTIFS(Log[ID],Items[[#This Row],[ID]],Log[Verb],"punt"))</f>
      </c>
      <c r="T107" s="11">
        <f>IF(Items[[#This Row],[State]]&lt;&gt;"DONE","",IFERROR(LOOKUP(2,1/((Log[ID]=Items[[#This Row],[ID]])*(Log[Verb]="done")),Log[Date]),""))</f>
      </c>
      <c r="U107" s="17">
        <f>IF(Items[[#This Row],[ID]]="","",IF(AND(Items[[#This Row],[Sprint]]=CurSprint,OR(Items[[#This Row],[State]]="OPEN",Items[[#This Row],[State]]="WAIT",Items[[#This Row],[State]]="HOLD",Items[[#This Row],[State]]="DONE")),1,0))</f>
      </c>
      <c r="V107" s="17">
        <f>IF(OR(Items[[#This Row],[ID]]="",Items[[#This Row],[Added]]=""),"",AsOf-Items[[#This Row],[Added]])</f>
      </c>
      <c r="W107" s="17">
        <f>IF(Items[[#This Row],[In sprint]]=1,(IF(Items[[#This Row],[Prio]]="",9,N(Items[[#This Row],[Prio]]))*10+(IF(Items[[#This Row],[State]]="DONE",1,0)))*100000+ROW(),"")</f>
      </c>
      <c r="X10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07" s="17">
        <f>IF(AND(Items[[#This Row],[State]]="DONE",N(Items[[#This Row],[Done on]])&gt;AsOf-7),(200000-N(Items[[#This Row],[Done on]]))*100000+ROW(),"")</f>
      </c>
    </row>
    <row r="108">
      <c r="A108" t="s">
        <v>265</v>
      </c>
      <c r="B108" t="s">
        <v>1291</v>
      </c>
      <c r="C108" t="s">
        <v>1115</v>
      </c>
      <c r="D108" t="s">
        <v>1119</v>
      </c>
      <c r="E108" t="s">
        <v>1128</v>
      </c>
      <c r="F108" t="s">
        <v>1292</v>
      </c>
      <c r="G108">
        <v>5</v>
      </c>
      <c r="H108">
        <v>2</v>
      </c>
      <c r="I108" s="11">
        <v>46077</v>
      </c>
      <c r="J108" s="17">
        <f>IF(Items[[#This Row],[ID]]="","",IFERROR(VALUE(LOOKUP(2,1/((Log[ID]=Items[[#This Row],[ID]])*(Log[Verb]="est")),Log[Arg])),N(Items[[#This Row],[Points]])))</f>
      </c>
      <c r="K108" s="17">
        <f>IF(Items[[#This Row],[ID]]="","",IFERROR(LOOKUP(2,1/((Log[ID]=Items[[#This Row],[ID]])*(Log[Verb]="pass")),Log[Arg])&amp;"",Items[[#This Row],[Team]]&amp;""))</f>
      </c>
      <c r="L108" s="17">
        <f>IF(Items[[#This Row],[ID]]="","",IFERROR(LOOKUP(2,1/((Log[ID]=Items[[#This Row],[ID]])*(Log[Into]&lt;&gt;"")),Log[Into]),""))</f>
      </c>
      <c r="M108" s="17">
        <f>IF(Items[[#This Row],[ID]]="","",IF(IFERROR(LOOKUP(2,1/((Log[ID]=Items[[#This Row],[ID]])*(Log[Blk]&lt;&gt;"")),Log[Blk]),0)=1,"Y",""))</f>
      </c>
      <c r="N108" s="17">
        <f>IF(Items[[#This Row],[ID]]="","",SUBSTITUTE(IFERROR(LOOKUP(2,1/((Log[ID]=Items[[#This Row],[ID]])*(Log[State]&lt;&gt;"")),Log[State]),"TODO"),"OPEN",IF(Items[[#This Row],[Blocked]]="Y","WAIT","OPEN")))</f>
      </c>
      <c r="O10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08" s="17">
        <f>IF(Items[[#This Row],[State]]&lt;&gt;"WAIT","",AsOf-Items[[#This Row],[Blocked since]])</f>
      </c>
      <c r="Q108" s="17">
        <f>IF(Items[[#This Row],[State]]&lt;&gt;"WAIT","",IFERROR(LOOKUP(2,1/((Log[ID]=Items[[#This Row],[ID]])*(Log[Verb]="block")),Log[Note])&amp;"",""))</f>
      </c>
      <c r="R108" s="17">
        <f>IF(Items[[#This Row],[ID]]="","",COUNTIFS(Log[ID],Items[[#This Row],[ID]],Log[Verb],"carry"))</f>
      </c>
      <c r="S108" s="17">
        <f>IF(Items[[#This Row],[ID]]="","",COUNTIFS(Log[ID],Items[[#This Row],[ID]],Log[Verb],"punt"))</f>
      </c>
      <c r="T108" s="11">
        <f>IF(Items[[#This Row],[State]]&lt;&gt;"DONE","",IFERROR(LOOKUP(2,1/((Log[ID]=Items[[#This Row],[ID]])*(Log[Verb]="done")),Log[Date]),""))</f>
      </c>
      <c r="U108" s="17">
        <f>IF(Items[[#This Row],[ID]]="","",IF(AND(Items[[#This Row],[Sprint]]=CurSprint,OR(Items[[#This Row],[State]]="OPEN",Items[[#This Row],[State]]="WAIT",Items[[#This Row],[State]]="HOLD",Items[[#This Row],[State]]="DONE")),1,0))</f>
      </c>
      <c r="V108" s="17">
        <f>IF(OR(Items[[#This Row],[ID]]="",Items[[#This Row],[Added]]=""),"",AsOf-Items[[#This Row],[Added]])</f>
      </c>
      <c r="W108" s="17">
        <f>IF(Items[[#This Row],[In sprint]]=1,(IF(Items[[#This Row],[Prio]]="",9,N(Items[[#This Row],[Prio]]))*10+(IF(Items[[#This Row],[State]]="DONE",1,0)))*100000+ROW(),"")</f>
      </c>
      <c r="X10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08" s="17">
        <f>IF(AND(Items[[#This Row],[State]]="DONE",N(Items[[#This Row],[Done on]])&gt;AsOf-7),(200000-N(Items[[#This Row],[Done on]]))*100000+ROW(),"")</f>
      </c>
    </row>
    <row r="109">
      <c r="A109" t="s">
        <v>266</v>
      </c>
      <c r="B109" t="s">
        <v>1293</v>
      </c>
      <c r="C109" t="s">
        <v>1115</v>
      </c>
      <c r="D109" t="s">
        <v>1116</v>
      </c>
      <c r="E109" t="s">
        <v>1128</v>
      </c>
      <c r="F109" t="s">
        <v>1294</v>
      </c>
      <c r="G109">
        <v>8</v>
      </c>
      <c r="H109">
        <v>1</v>
      </c>
      <c r="I109" s="11">
        <v>46077</v>
      </c>
      <c r="J109" s="17">
        <f>IF(Items[[#This Row],[ID]]="","",IFERROR(VALUE(LOOKUP(2,1/((Log[ID]=Items[[#This Row],[ID]])*(Log[Verb]="est")),Log[Arg])),N(Items[[#This Row],[Points]])))</f>
      </c>
      <c r="K109" s="17">
        <f>IF(Items[[#This Row],[ID]]="","",IFERROR(LOOKUP(2,1/((Log[ID]=Items[[#This Row],[ID]])*(Log[Verb]="pass")),Log[Arg])&amp;"",Items[[#This Row],[Team]]&amp;""))</f>
      </c>
      <c r="L109" s="17">
        <f>IF(Items[[#This Row],[ID]]="","",IFERROR(LOOKUP(2,1/((Log[ID]=Items[[#This Row],[ID]])*(Log[Into]&lt;&gt;"")),Log[Into]),""))</f>
      </c>
      <c r="M109" s="17">
        <f>IF(Items[[#This Row],[ID]]="","",IF(IFERROR(LOOKUP(2,1/((Log[ID]=Items[[#This Row],[ID]])*(Log[Blk]&lt;&gt;"")),Log[Blk]),0)=1,"Y",""))</f>
      </c>
      <c r="N109" s="17">
        <f>IF(Items[[#This Row],[ID]]="","",SUBSTITUTE(IFERROR(LOOKUP(2,1/((Log[ID]=Items[[#This Row],[ID]])*(Log[State]&lt;&gt;"")),Log[State]),"TODO"),"OPEN",IF(Items[[#This Row],[Blocked]]="Y","WAIT","OPEN")))</f>
      </c>
      <c r="O10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09" s="17">
        <f>IF(Items[[#This Row],[State]]&lt;&gt;"WAIT","",AsOf-Items[[#This Row],[Blocked since]])</f>
      </c>
      <c r="Q109" s="17">
        <f>IF(Items[[#This Row],[State]]&lt;&gt;"WAIT","",IFERROR(LOOKUP(2,1/((Log[ID]=Items[[#This Row],[ID]])*(Log[Verb]="block")),Log[Note])&amp;"",""))</f>
      </c>
      <c r="R109" s="17">
        <f>IF(Items[[#This Row],[ID]]="","",COUNTIFS(Log[ID],Items[[#This Row],[ID]],Log[Verb],"carry"))</f>
      </c>
      <c r="S109" s="17">
        <f>IF(Items[[#This Row],[ID]]="","",COUNTIFS(Log[ID],Items[[#This Row],[ID]],Log[Verb],"punt"))</f>
      </c>
      <c r="T109" s="11">
        <f>IF(Items[[#This Row],[State]]&lt;&gt;"DONE","",IFERROR(LOOKUP(2,1/((Log[ID]=Items[[#This Row],[ID]])*(Log[Verb]="done")),Log[Date]),""))</f>
      </c>
      <c r="U109" s="17">
        <f>IF(Items[[#This Row],[ID]]="","",IF(AND(Items[[#This Row],[Sprint]]=CurSprint,OR(Items[[#This Row],[State]]="OPEN",Items[[#This Row],[State]]="WAIT",Items[[#This Row],[State]]="HOLD",Items[[#This Row],[State]]="DONE")),1,0))</f>
      </c>
      <c r="V109" s="17">
        <f>IF(OR(Items[[#This Row],[ID]]="",Items[[#This Row],[Added]]=""),"",AsOf-Items[[#This Row],[Added]])</f>
      </c>
      <c r="W109" s="17">
        <f>IF(Items[[#This Row],[In sprint]]=1,(IF(Items[[#This Row],[Prio]]="",9,N(Items[[#This Row],[Prio]]))*10+(IF(Items[[#This Row],[State]]="DONE",1,0)))*100000+ROW(),"")</f>
      </c>
      <c r="X10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09" s="17">
        <f>IF(AND(Items[[#This Row],[State]]="DONE",N(Items[[#This Row],[Done on]])&gt;AsOf-7),(200000-N(Items[[#This Row],[Done on]]))*100000+ROW(),"")</f>
      </c>
    </row>
    <row r="110">
      <c r="A110" t="s">
        <v>327</v>
      </c>
      <c r="B110" t="s">
        <v>1295</v>
      </c>
      <c r="C110" t="s">
        <v>1115</v>
      </c>
      <c r="D110" t="s">
        <v>1116</v>
      </c>
      <c r="E110" t="s">
        <v>1128</v>
      </c>
      <c r="F110" t="s">
        <v>1296</v>
      </c>
      <c r="G110">
        <v>5</v>
      </c>
      <c r="H110">
        <v>1</v>
      </c>
      <c r="I110" s="11">
        <v>46077</v>
      </c>
      <c r="J110" s="17">
        <f>IF(Items[[#This Row],[ID]]="","",IFERROR(VALUE(LOOKUP(2,1/((Log[ID]=Items[[#This Row],[ID]])*(Log[Verb]="est")),Log[Arg])),N(Items[[#This Row],[Points]])))</f>
      </c>
      <c r="K110" s="17">
        <f>IF(Items[[#This Row],[ID]]="","",IFERROR(LOOKUP(2,1/((Log[ID]=Items[[#This Row],[ID]])*(Log[Verb]="pass")),Log[Arg])&amp;"",Items[[#This Row],[Team]]&amp;""))</f>
      </c>
      <c r="L110" s="17">
        <f>IF(Items[[#This Row],[ID]]="","",IFERROR(LOOKUP(2,1/((Log[ID]=Items[[#This Row],[ID]])*(Log[Into]&lt;&gt;"")),Log[Into]),""))</f>
      </c>
      <c r="M110" s="17">
        <f>IF(Items[[#This Row],[ID]]="","",IF(IFERROR(LOOKUP(2,1/((Log[ID]=Items[[#This Row],[ID]])*(Log[Blk]&lt;&gt;"")),Log[Blk]),0)=1,"Y",""))</f>
      </c>
      <c r="N110" s="17">
        <f>IF(Items[[#This Row],[ID]]="","",SUBSTITUTE(IFERROR(LOOKUP(2,1/((Log[ID]=Items[[#This Row],[ID]])*(Log[State]&lt;&gt;"")),Log[State]),"TODO"),"OPEN",IF(Items[[#This Row],[Blocked]]="Y","WAIT","OPEN")))</f>
      </c>
      <c r="O11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10" s="17">
        <f>IF(Items[[#This Row],[State]]&lt;&gt;"WAIT","",AsOf-Items[[#This Row],[Blocked since]])</f>
      </c>
      <c r="Q110" s="17">
        <f>IF(Items[[#This Row],[State]]&lt;&gt;"WAIT","",IFERROR(LOOKUP(2,1/((Log[ID]=Items[[#This Row],[ID]])*(Log[Verb]="block")),Log[Note])&amp;"",""))</f>
      </c>
      <c r="R110" s="17">
        <f>IF(Items[[#This Row],[ID]]="","",COUNTIFS(Log[ID],Items[[#This Row],[ID]],Log[Verb],"carry"))</f>
      </c>
      <c r="S110" s="17">
        <f>IF(Items[[#This Row],[ID]]="","",COUNTIFS(Log[ID],Items[[#This Row],[ID]],Log[Verb],"punt"))</f>
      </c>
      <c r="T110" s="11">
        <f>IF(Items[[#This Row],[State]]&lt;&gt;"DONE","",IFERROR(LOOKUP(2,1/((Log[ID]=Items[[#This Row],[ID]])*(Log[Verb]="done")),Log[Date]),""))</f>
      </c>
      <c r="U110" s="17">
        <f>IF(Items[[#This Row],[ID]]="","",IF(AND(Items[[#This Row],[Sprint]]=CurSprint,OR(Items[[#This Row],[State]]="OPEN",Items[[#This Row],[State]]="WAIT",Items[[#This Row],[State]]="HOLD",Items[[#This Row],[State]]="DONE")),1,0))</f>
      </c>
      <c r="V110" s="17">
        <f>IF(OR(Items[[#This Row],[ID]]="",Items[[#This Row],[Added]]=""),"",AsOf-Items[[#This Row],[Added]])</f>
      </c>
      <c r="W110" s="17">
        <f>IF(Items[[#This Row],[In sprint]]=1,(IF(Items[[#This Row],[Prio]]="",9,N(Items[[#This Row],[Prio]]))*10+(IF(Items[[#This Row],[State]]="DONE",1,0)))*100000+ROW(),"")</f>
      </c>
      <c r="X11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10" s="17">
        <f>IF(AND(Items[[#This Row],[State]]="DONE",N(Items[[#This Row],[Done on]])&gt;AsOf-7),(200000-N(Items[[#This Row],[Done on]]))*100000+ROW(),"")</f>
      </c>
    </row>
    <row r="111">
      <c r="A111" t="s">
        <v>213</v>
      </c>
      <c r="B111" t="s">
        <v>1297</v>
      </c>
      <c r="C111" t="s">
        <v>1115</v>
      </c>
      <c r="D111" t="s">
        <v>1119</v>
      </c>
      <c r="E111" t="s">
        <v>1109</v>
      </c>
      <c r="F111" t="s">
        <v>1225</v>
      </c>
      <c r="G111">
        <v>2</v>
      </c>
      <c r="H111">
        <v>3</v>
      </c>
      <c r="I111" s="11">
        <v>46077</v>
      </c>
      <c r="J111" s="17">
        <f>IF(Items[[#This Row],[ID]]="","",IFERROR(VALUE(LOOKUP(2,1/((Log[ID]=Items[[#This Row],[ID]])*(Log[Verb]="est")),Log[Arg])),N(Items[[#This Row],[Points]])))</f>
      </c>
      <c r="K111" s="17">
        <f>IF(Items[[#This Row],[ID]]="","",IFERROR(LOOKUP(2,1/((Log[ID]=Items[[#This Row],[ID]])*(Log[Verb]="pass")),Log[Arg])&amp;"",Items[[#This Row],[Team]]&amp;""))</f>
      </c>
      <c r="L111" s="17">
        <f>IF(Items[[#This Row],[ID]]="","",IFERROR(LOOKUP(2,1/((Log[ID]=Items[[#This Row],[ID]])*(Log[Into]&lt;&gt;"")),Log[Into]),""))</f>
      </c>
      <c r="M111" s="17">
        <f>IF(Items[[#This Row],[ID]]="","",IF(IFERROR(LOOKUP(2,1/((Log[ID]=Items[[#This Row],[ID]])*(Log[Blk]&lt;&gt;"")),Log[Blk]),0)=1,"Y",""))</f>
      </c>
      <c r="N111" s="17">
        <f>IF(Items[[#This Row],[ID]]="","",SUBSTITUTE(IFERROR(LOOKUP(2,1/((Log[ID]=Items[[#This Row],[ID]])*(Log[State]&lt;&gt;"")),Log[State]),"TODO"),"OPEN",IF(Items[[#This Row],[Blocked]]="Y","WAIT","OPEN")))</f>
      </c>
      <c r="O11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11" s="17">
        <f>IF(Items[[#This Row],[State]]&lt;&gt;"WAIT","",AsOf-Items[[#This Row],[Blocked since]])</f>
      </c>
      <c r="Q111" s="17">
        <f>IF(Items[[#This Row],[State]]&lt;&gt;"WAIT","",IFERROR(LOOKUP(2,1/((Log[ID]=Items[[#This Row],[ID]])*(Log[Verb]="block")),Log[Note])&amp;"",""))</f>
      </c>
      <c r="R111" s="17">
        <f>IF(Items[[#This Row],[ID]]="","",COUNTIFS(Log[ID],Items[[#This Row],[ID]],Log[Verb],"carry"))</f>
      </c>
      <c r="S111" s="17">
        <f>IF(Items[[#This Row],[ID]]="","",COUNTIFS(Log[ID],Items[[#This Row],[ID]],Log[Verb],"punt"))</f>
      </c>
      <c r="T111" s="11">
        <f>IF(Items[[#This Row],[State]]&lt;&gt;"DONE","",IFERROR(LOOKUP(2,1/((Log[ID]=Items[[#This Row],[ID]])*(Log[Verb]="done")),Log[Date]),""))</f>
      </c>
      <c r="U111" s="17">
        <f>IF(Items[[#This Row],[ID]]="","",IF(AND(Items[[#This Row],[Sprint]]=CurSprint,OR(Items[[#This Row],[State]]="OPEN",Items[[#This Row],[State]]="WAIT",Items[[#This Row],[State]]="HOLD",Items[[#This Row],[State]]="DONE")),1,0))</f>
      </c>
      <c r="V111" s="17">
        <f>IF(OR(Items[[#This Row],[ID]]="",Items[[#This Row],[Added]]=""),"",AsOf-Items[[#This Row],[Added]])</f>
      </c>
      <c r="W111" s="17">
        <f>IF(Items[[#This Row],[In sprint]]=1,(IF(Items[[#This Row],[Prio]]="",9,N(Items[[#This Row],[Prio]]))*10+(IF(Items[[#This Row],[State]]="DONE",1,0)))*100000+ROW(),"")</f>
      </c>
      <c r="X11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11" s="17">
        <f>IF(AND(Items[[#This Row],[State]]="DONE",N(Items[[#This Row],[Done on]])&gt;AsOf-7),(200000-N(Items[[#This Row],[Done on]]))*100000+ROW(),"")</f>
      </c>
    </row>
    <row r="112">
      <c r="A112" t="s">
        <v>270</v>
      </c>
      <c r="B112" t="s">
        <v>1298</v>
      </c>
      <c r="C112" t="s">
        <v>1107</v>
      </c>
      <c r="D112" t="s">
        <v>1108</v>
      </c>
      <c r="E112" t="s">
        <v>1109</v>
      </c>
      <c r="F112" t="s">
        <v>1222</v>
      </c>
      <c r="G112">
        <v>5</v>
      </c>
      <c r="H112">
        <v>1</v>
      </c>
      <c r="I112" s="11">
        <v>46077</v>
      </c>
      <c r="J112" s="17">
        <f>IF(Items[[#This Row],[ID]]="","",IFERROR(VALUE(LOOKUP(2,1/((Log[ID]=Items[[#This Row],[ID]])*(Log[Verb]="est")),Log[Arg])),N(Items[[#This Row],[Points]])))</f>
      </c>
      <c r="K112" s="17">
        <f>IF(Items[[#This Row],[ID]]="","",IFERROR(LOOKUP(2,1/((Log[ID]=Items[[#This Row],[ID]])*(Log[Verb]="pass")),Log[Arg])&amp;"",Items[[#This Row],[Team]]&amp;""))</f>
      </c>
      <c r="L112" s="17">
        <f>IF(Items[[#This Row],[ID]]="","",IFERROR(LOOKUP(2,1/((Log[ID]=Items[[#This Row],[ID]])*(Log[Into]&lt;&gt;"")),Log[Into]),""))</f>
      </c>
      <c r="M112" s="17">
        <f>IF(Items[[#This Row],[ID]]="","",IF(IFERROR(LOOKUP(2,1/((Log[ID]=Items[[#This Row],[ID]])*(Log[Blk]&lt;&gt;"")),Log[Blk]),0)=1,"Y",""))</f>
      </c>
      <c r="N112" s="17">
        <f>IF(Items[[#This Row],[ID]]="","",SUBSTITUTE(IFERROR(LOOKUP(2,1/((Log[ID]=Items[[#This Row],[ID]])*(Log[State]&lt;&gt;"")),Log[State]),"TODO"),"OPEN",IF(Items[[#This Row],[Blocked]]="Y","WAIT","OPEN")))</f>
      </c>
      <c r="O11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12" s="17">
        <f>IF(Items[[#This Row],[State]]&lt;&gt;"WAIT","",AsOf-Items[[#This Row],[Blocked since]])</f>
      </c>
      <c r="Q112" s="17">
        <f>IF(Items[[#This Row],[State]]&lt;&gt;"WAIT","",IFERROR(LOOKUP(2,1/((Log[ID]=Items[[#This Row],[ID]])*(Log[Verb]="block")),Log[Note])&amp;"",""))</f>
      </c>
      <c r="R112" s="17">
        <f>IF(Items[[#This Row],[ID]]="","",COUNTIFS(Log[ID],Items[[#This Row],[ID]],Log[Verb],"carry"))</f>
      </c>
      <c r="S112" s="17">
        <f>IF(Items[[#This Row],[ID]]="","",COUNTIFS(Log[ID],Items[[#This Row],[ID]],Log[Verb],"punt"))</f>
      </c>
      <c r="T112" s="11">
        <f>IF(Items[[#This Row],[State]]&lt;&gt;"DONE","",IFERROR(LOOKUP(2,1/((Log[ID]=Items[[#This Row],[ID]])*(Log[Verb]="done")),Log[Date]),""))</f>
      </c>
      <c r="U112" s="17">
        <f>IF(Items[[#This Row],[ID]]="","",IF(AND(Items[[#This Row],[Sprint]]=CurSprint,OR(Items[[#This Row],[State]]="OPEN",Items[[#This Row],[State]]="WAIT",Items[[#This Row],[State]]="HOLD",Items[[#This Row],[State]]="DONE")),1,0))</f>
      </c>
      <c r="V112" s="17">
        <f>IF(OR(Items[[#This Row],[ID]]="",Items[[#This Row],[Added]]=""),"",AsOf-Items[[#This Row],[Added]])</f>
      </c>
      <c r="W112" s="17">
        <f>IF(Items[[#This Row],[In sprint]]=1,(IF(Items[[#This Row],[Prio]]="",9,N(Items[[#This Row],[Prio]]))*10+(IF(Items[[#This Row],[State]]="DONE",1,0)))*100000+ROW(),"")</f>
      </c>
      <c r="X11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12" s="17">
        <f>IF(AND(Items[[#This Row],[State]]="DONE",N(Items[[#This Row],[Done on]])&gt;AsOf-7),(200000-N(Items[[#This Row],[Done on]]))*100000+ROW(),"")</f>
      </c>
    </row>
    <row r="113">
      <c r="A113" t="s">
        <v>271</v>
      </c>
      <c r="B113" t="s">
        <v>1299</v>
      </c>
      <c r="C113" t="s">
        <v>1107</v>
      </c>
      <c r="D113" t="s">
        <v>1127</v>
      </c>
      <c r="E113" t="s">
        <v>1109</v>
      </c>
      <c r="F113" t="s">
        <v>1300</v>
      </c>
      <c r="G113">
        <v>3</v>
      </c>
      <c r="H113">
        <v>1</v>
      </c>
      <c r="I113" s="11">
        <v>46077</v>
      </c>
      <c r="J113" s="17">
        <f>IF(Items[[#This Row],[ID]]="","",IFERROR(VALUE(LOOKUP(2,1/((Log[ID]=Items[[#This Row],[ID]])*(Log[Verb]="est")),Log[Arg])),N(Items[[#This Row],[Points]])))</f>
      </c>
      <c r="K113" s="17">
        <f>IF(Items[[#This Row],[ID]]="","",IFERROR(LOOKUP(2,1/((Log[ID]=Items[[#This Row],[ID]])*(Log[Verb]="pass")),Log[Arg])&amp;"",Items[[#This Row],[Team]]&amp;""))</f>
      </c>
      <c r="L113" s="17">
        <f>IF(Items[[#This Row],[ID]]="","",IFERROR(LOOKUP(2,1/((Log[ID]=Items[[#This Row],[ID]])*(Log[Into]&lt;&gt;"")),Log[Into]),""))</f>
      </c>
      <c r="M113" s="17">
        <f>IF(Items[[#This Row],[ID]]="","",IF(IFERROR(LOOKUP(2,1/((Log[ID]=Items[[#This Row],[ID]])*(Log[Blk]&lt;&gt;"")),Log[Blk]),0)=1,"Y",""))</f>
      </c>
      <c r="N113" s="17">
        <f>IF(Items[[#This Row],[ID]]="","",SUBSTITUTE(IFERROR(LOOKUP(2,1/((Log[ID]=Items[[#This Row],[ID]])*(Log[State]&lt;&gt;"")),Log[State]),"TODO"),"OPEN",IF(Items[[#This Row],[Blocked]]="Y","WAIT","OPEN")))</f>
      </c>
      <c r="O11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13" s="17">
        <f>IF(Items[[#This Row],[State]]&lt;&gt;"WAIT","",AsOf-Items[[#This Row],[Blocked since]])</f>
      </c>
      <c r="Q113" s="17">
        <f>IF(Items[[#This Row],[State]]&lt;&gt;"WAIT","",IFERROR(LOOKUP(2,1/((Log[ID]=Items[[#This Row],[ID]])*(Log[Verb]="block")),Log[Note])&amp;"",""))</f>
      </c>
      <c r="R113" s="17">
        <f>IF(Items[[#This Row],[ID]]="","",COUNTIFS(Log[ID],Items[[#This Row],[ID]],Log[Verb],"carry"))</f>
      </c>
      <c r="S113" s="17">
        <f>IF(Items[[#This Row],[ID]]="","",COUNTIFS(Log[ID],Items[[#This Row],[ID]],Log[Verb],"punt"))</f>
      </c>
      <c r="T113" s="11">
        <f>IF(Items[[#This Row],[State]]&lt;&gt;"DONE","",IFERROR(LOOKUP(2,1/((Log[ID]=Items[[#This Row],[ID]])*(Log[Verb]="done")),Log[Date]),""))</f>
      </c>
      <c r="U113" s="17">
        <f>IF(Items[[#This Row],[ID]]="","",IF(AND(Items[[#This Row],[Sprint]]=CurSprint,OR(Items[[#This Row],[State]]="OPEN",Items[[#This Row],[State]]="WAIT",Items[[#This Row],[State]]="HOLD",Items[[#This Row],[State]]="DONE")),1,0))</f>
      </c>
      <c r="V113" s="17">
        <f>IF(OR(Items[[#This Row],[ID]]="",Items[[#This Row],[Added]]=""),"",AsOf-Items[[#This Row],[Added]])</f>
      </c>
      <c r="W113" s="17">
        <f>IF(Items[[#This Row],[In sprint]]=1,(IF(Items[[#This Row],[Prio]]="",9,N(Items[[#This Row],[Prio]]))*10+(IF(Items[[#This Row],[State]]="DONE",1,0)))*100000+ROW(),"")</f>
      </c>
      <c r="X11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13" s="17">
        <f>IF(AND(Items[[#This Row],[State]]="DONE",N(Items[[#This Row],[Done on]])&gt;AsOf-7),(200000-N(Items[[#This Row],[Done on]]))*100000+ROW(),"")</f>
      </c>
    </row>
    <row r="114">
      <c r="A114" t="s">
        <v>272</v>
      </c>
      <c r="B114" t="s">
        <v>1301</v>
      </c>
      <c r="C114" t="s">
        <v>1107</v>
      </c>
      <c r="D114" t="s">
        <v>1108</v>
      </c>
      <c r="E114" t="s">
        <v>1109</v>
      </c>
      <c r="F114" t="s">
        <v>1302</v>
      </c>
      <c r="G114">
        <v>8</v>
      </c>
      <c r="H114">
        <v>1</v>
      </c>
      <c r="I114" s="11">
        <v>46077</v>
      </c>
      <c r="J114" s="17">
        <f>IF(Items[[#This Row],[ID]]="","",IFERROR(VALUE(LOOKUP(2,1/((Log[ID]=Items[[#This Row],[ID]])*(Log[Verb]="est")),Log[Arg])),N(Items[[#This Row],[Points]])))</f>
      </c>
      <c r="K114" s="17">
        <f>IF(Items[[#This Row],[ID]]="","",IFERROR(LOOKUP(2,1/((Log[ID]=Items[[#This Row],[ID]])*(Log[Verb]="pass")),Log[Arg])&amp;"",Items[[#This Row],[Team]]&amp;""))</f>
      </c>
      <c r="L114" s="17">
        <f>IF(Items[[#This Row],[ID]]="","",IFERROR(LOOKUP(2,1/((Log[ID]=Items[[#This Row],[ID]])*(Log[Into]&lt;&gt;"")),Log[Into]),""))</f>
      </c>
      <c r="M114" s="17">
        <f>IF(Items[[#This Row],[ID]]="","",IF(IFERROR(LOOKUP(2,1/((Log[ID]=Items[[#This Row],[ID]])*(Log[Blk]&lt;&gt;"")),Log[Blk]),0)=1,"Y",""))</f>
      </c>
      <c r="N114" s="17">
        <f>IF(Items[[#This Row],[ID]]="","",SUBSTITUTE(IFERROR(LOOKUP(2,1/((Log[ID]=Items[[#This Row],[ID]])*(Log[State]&lt;&gt;"")),Log[State]),"TODO"),"OPEN",IF(Items[[#This Row],[Blocked]]="Y","WAIT","OPEN")))</f>
      </c>
      <c r="O11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14" s="17">
        <f>IF(Items[[#This Row],[State]]&lt;&gt;"WAIT","",AsOf-Items[[#This Row],[Blocked since]])</f>
      </c>
      <c r="Q114" s="17">
        <f>IF(Items[[#This Row],[State]]&lt;&gt;"WAIT","",IFERROR(LOOKUP(2,1/((Log[ID]=Items[[#This Row],[ID]])*(Log[Verb]="block")),Log[Note])&amp;"",""))</f>
      </c>
      <c r="R114" s="17">
        <f>IF(Items[[#This Row],[ID]]="","",COUNTIFS(Log[ID],Items[[#This Row],[ID]],Log[Verb],"carry"))</f>
      </c>
      <c r="S114" s="17">
        <f>IF(Items[[#This Row],[ID]]="","",COUNTIFS(Log[ID],Items[[#This Row],[ID]],Log[Verb],"punt"))</f>
      </c>
      <c r="T114" s="11">
        <f>IF(Items[[#This Row],[State]]&lt;&gt;"DONE","",IFERROR(LOOKUP(2,1/((Log[ID]=Items[[#This Row],[ID]])*(Log[Verb]="done")),Log[Date]),""))</f>
      </c>
      <c r="U114" s="17">
        <f>IF(Items[[#This Row],[ID]]="","",IF(AND(Items[[#This Row],[Sprint]]=CurSprint,OR(Items[[#This Row],[State]]="OPEN",Items[[#This Row],[State]]="WAIT",Items[[#This Row],[State]]="HOLD",Items[[#This Row],[State]]="DONE")),1,0))</f>
      </c>
      <c r="V114" s="17">
        <f>IF(OR(Items[[#This Row],[ID]]="",Items[[#This Row],[Added]]=""),"",AsOf-Items[[#This Row],[Added]])</f>
      </c>
      <c r="W114" s="17">
        <f>IF(Items[[#This Row],[In sprint]]=1,(IF(Items[[#This Row],[Prio]]="",9,N(Items[[#This Row],[Prio]]))*10+(IF(Items[[#This Row],[State]]="DONE",1,0)))*100000+ROW(),"")</f>
      </c>
      <c r="X11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14" s="17">
        <f>IF(AND(Items[[#This Row],[State]]="DONE",N(Items[[#This Row],[Done on]])&gt;AsOf-7),(200000-N(Items[[#This Row],[Done on]]))*100000+ROW(),"")</f>
      </c>
    </row>
    <row r="115">
      <c r="A115" t="s">
        <v>273</v>
      </c>
      <c r="B115" t="s">
        <v>1303</v>
      </c>
      <c r="C115" t="s">
        <v>1107</v>
      </c>
      <c r="D115" t="s">
        <v>1108</v>
      </c>
      <c r="E115" t="s">
        <v>1109</v>
      </c>
      <c r="F115" t="s">
        <v>1227</v>
      </c>
      <c r="G115">
        <v>2</v>
      </c>
      <c r="H115">
        <v>1</v>
      </c>
      <c r="I115" s="11">
        <v>46077</v>
      </c>
      <c r="J115" s="17">
        <f>IF(Items[[#This Row],[ID]]="","",IFERROR(VALUE(LOOKUP(2,1/((Log[ID]=Items[[#This Row],[ID]])*(Log[Verb]="est")),Log[Arg])),N(Items[[#This Row],[Points]])))</f>
      </c>
      <c r="K115" s="17">
        <f>IF(Items[[#This Row],[ID]]="","",IFERROR(LOOKUP(2,1/((Log[ID]=Items[[#This Row],[ID]])*(Log[Verb]="pass")),Log[Arg])&amp;"",Items[[#This Row],[Team]]&amp;""))</f>
      </c>
      <c r="L115" s="17">
        <f>IF(Items[[#This Row],[ID]]="","",IFERROR(LOOKUP(2,1/((Log[ID]=Items[[#This Row],[ID]])*(Log[Into]&lt;&gt;"")),Log[Into]),""))</f>
      </c>
      <c r="M115" s="17">
        <f>IF(Items[[#This Row],[ID]]="","",IF(IFERROR(LOOKUP(2,1/((Log[ID]=Items[[#This Row],[ID]])*(Log[Blk]&lt;&gt;"")),Log[Blk]),0)=1,"Y",""))</f>
      </c>
      <c r="N115" s="17">
        <f>IF(Items[[#This Row],[ID]]="","",SUBSTITUTE(IFERROR(LOOKUP(2,1/((Log[ID]=Items[[#This Row],[ID]])*(Log[State]&lt;&gt;"")),Log[State]),"TODO"),"OPEN",IF(Items[[#This Row],[Blocked]]="Y","WAIT","OPEN")))</f>
      </c>
      <c r="O11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15" s="17">
        <f>IF(Items[[#This Row],[State]]&lt;&gt;"WAIT","",AsOf-Items[[#This Row],[Blocked since]])</f>
      </c>
      <c r="Q115" s="17">
        <f>IF(Items[[#This Row],[State]]&lt;&gt;"WAIT","",IFERROR(LOOKUP(2,1/((Log[ID]=Items[[#This Row],[ID]])*(Log[Verb]="block")),Log[Note])&amp;"",""))</f>
      </c>
      <c r="R115" s="17">
        <f>IF(Items[[#This Row],[ID]]="","",COUNTIFS(Log[ID],Items[[#This Row],[ID]],Log[Verb],"carry"))</f>
      </c>
      <c r="S115" s="17">
        <f>IF(Items[[#This Row],[ID]]="","",COUNTIFS(Log[ID],Items[[#This Row],[ID]],Log[Verb],"punt"))</f>
      </c>
      <c r="T115" s="11">
        <f>IF(Items[[#This Row],[State]]&lt;&gt;"DONE","",IFERROR(LOOKUP(2,1/((Log[ID]=Items[[#This Row],[ID]])*(Log[Verb]="done")),Log[Date]),""))</f>
      </c>
      <c r="U115" s="17">
        <f>IF(Items[[#This Row],[ID]]="","",IF(AND(Items[[#This Row],[Sprint]]=CurSprint,OR(Items[[#This Row],[State]]="OPEN",Items[[#This Row],[State]]="WAIT",Items[[#This Row],[State]]="HOLD",Items[[#This Row],[State]]="DONE")),1,0))</f>
      </c>
      <c r="V115" s="17">
        <f>IF(OR(Items[[#This Row],[ID]]="",Items[[#This Row],[Added]]=""),"",AsOf-Items[[#This Row],[Added]])</f>
      </c>
      <c r="W115" s="17">
        <f>IF(Items[[#This Row],[In sprint]]=1,(IF(Items[[#This Row],[Prio]]="",9,N(Items[[#This Row],[Prio]]))*10+(IF(Items[[#This Row],[State]]="DONE",1,0)))*100000+ROW(),"")</f>
      </c>
      <c r="X11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15" s="17">
        <f>IF(AND(Items[[#This Row],[State]]="DONE",N(Items[[#This Row],[Done on]])&gt;AsOf-7),(200000-N(Items[[#This Row],[Done on]]))*100000+ROW(),"")</f>
      </c>
    </row>
    <row r="116">
      <c r="A116" t="s">
        <v>274</v>
      </c>
      <c r="B116" t="s">
        <v>1304</v>
      </c>
      <c r="C116" t="s">
        <v>1115</v>
      </c>
      <c r="D116" t="s">
        <v>1116</v>
      </c>
      <c r="E116" t="s">
        <v>1109</v>
      </c>
      <c r="F116" t="s">
        <v>1110</v>
      </c>
      <c r="G116">
        <v>5</v>
      </c>
      <c r="H116">
        <v>3</v>
      </c>
      <c r="I116" s="11">
        <v>46077</v>
      </c>
      <c r="J116" s="17">
        <f>IF(Items[[#This Row],[ID]]="","",IFERROR(VALUE(LOOKUP(2,1/((Log[ID]=Items[[#This Row],[ID]])*(Log[Verb]="est")),Log[Arg])),N(Items[[#This Row],[Points]])))</f>
      </c>
      <c r="K116" s="17">
        <f>IF(Items[[#This Row],[ID]]="","",IFERROR(LOOKUP(2,1/((Log[ID]=Items[[#This Row],[ID]])*(Log[Verb]="pass")),Log[Arg])&amp;"",Items[[#This Row],[Team]]&amp;""))</f>
      </c>
      <c r="L116" s="17">
        <f>IF(Items[[#This Row],[ID]]="","",IFERROR(LOOKUP(2,1/((Log[ID]=Items[[#This Row],[ID]])*(Log[Into]&lt;&gt;"")),Log[Into]),""))</f>
      </c>
      <c r="M116" s="17">
        <f>IF(Items[[#This Row],[ID]]="","",IF(IFERROR(LOOKUP(2,1/((Log[ID]=Items[[#This Row],[ID]])*(Log[Blk]&lt;&gt;"")),Log[Blk]),0)=1,"Y",""))</f>
      </c>
      <c r="N116" s="17">
        <f>IF(Items[[#This Row],[ID]]="","",SUBSTITUTE(IFERROR(LOOKUP(2,1/((Log[ID]=Items[[#This Row],[ID]])*(Log[State]&lt;&gt;"")),Log[State]),"TODO"),"OPEN",IF(Items[[#This Row],[Blocked]]="Y","WAIT","OPEN")))</f>
      </c>
      <c r="O11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16" s="17">
        <f>IF(Items[[#This Row],[State]]&lt;&gt;"WAIT","",AsOf-Items[[#This Row],[Blocked since]])</f>
      </c>
      <c r="Q116" s="17">
        <f>IF(Items[[#This Row],[State]]&lt;&gt;"WAIT","",IFERROR(LOOKUP(2,1/((Log[ID]=Items[[#This Row],[ID]])*(Log[Verb]="block")),Log[Note])&amp;"",""))</f>
      </c>
      <c r="R116" s="17">
        <f>IF(Items[[#This Row],[ID]]="","",COUNTIFS(Log[ID],Items[[#This Row],[ID]],Log[Verb],"carry"))</f>
      </c>
      <c r="S116" s="17">
        <f>IF(Items[[#This Row],[ID]]="","",COUNTIFS(Log[ID],Items[[#This Row],[ID]],Log[Verb],"punt"))</f>
      </c>
      <c r="T116" s="11">
        <f>IF(Items[[#This Row],[State]]&lt;&gt;"DONE","",IFERROR(LOOKUP(2,1/((Log[ID]=Items[[#This Row],[ID]])*(Log[Verb]="done")),Log[Date]),""))</f>
      </c>
      <c r="U116" s="17">
        <f>IF(Items[[#This Row],[ID]]="","",IF(AND(Items[[#This Row],[Sprint]]=CurSprint,OR(Items[[#This Row],[State]]="OPEN",Items[[#This Row],[State]]="WAIT",Items[[#This Row],[State]]="HOLD",Items[[#This Row],[State]]="DONE")),1,0))</f>
      </c>
      <c r="V116" s="17">
        <f>IF(OR(Items[[#This Row],[ID]]="",Items[[#This Row],[Added]]=""),"",AsOf-Items[[#This Row],[Added]])</f>
      </c>
      <c r="W116" s="17">
        <f>IF(Items[[#This Row],[In sprint]]=1,(IF(Items[[#This Row],[Prio]]="",9,N(Items[[#This Row],[Prio]]))*10+(IF(Items[[#This Row],[State]]="DONE",1,0)))*100000+ROW(),"")</f>
      </c>
      <c r="X11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16" s="17">
        <f>IF(AND(Items[[#This Row],[State]]="DONE",N(Items[[#This Row],[Done on]])&gt;AsOf-7),(200000-N(Items[[#This Row],[Done on]]))*100000+ROW(),"")</f>
      </c>
    </row>
    <row r="117">
      <c r="A117" t="s">
        <v>278</v>
      </c>
      <c r="B117" t="s">
        <v>1305</v>
      </c>
      <c r="C117" t="s">
        <v>1115</v>
      </c>
      <c r="D117" t="s">
        <v>1119</v>
      </c>
      <c r="E117" t="s">
        <v>1131</v>
      </c>
      <c r="F117" t="s">
        <v>1168</v>
      </c>
      <c r="G117">
        <v>5</v>
      </c>
      <c r="H117">
        <v>1</v>
      </c>
      <c r="I117" s="11">
        <v>46077</v>
      </c>
      <c r="J117" s="17">
        <f>IF(Items[[#This Row],[ID]]="","",IFERROR(VALUE(LOOKUP(2,1/((Log[ID]=Items[[#This Row],[ID]])*(Log[Verb]="est")),Log[Arg])),N(Items[[#This Row],[Points]])))</f>
      </c>
      <c r="K117" s="17">
        <f>IF(Items[[#This Row],[ID]]="","",IFERROR(LOOKUP(2,1/((Log[ID]=Items[[#This Row],[ID]])*(Log[Verb]="pass")),Log[Arg])&amp;"",Items[[#This Row],[Team]]&amp;""))</f>
      </c>
      <c r="L117" s="17">
        <f>IF(Items[[#This Row],[ID]]="","",IFERROR(LOOKUP(2,1/((Log[ID]=Items[[#This Row],[ID]])*(Log[Into]&lt;&gt;"")),Log[Into]),""))</f>
      </c>
      <c r="M117" s="17">
        <f>IF(Items[[#This Row],[ID]]="","",IF(IFERROR(LOOKUP(2,1/((Log[ID]=Items[[#This Row],[ID]])*(Log[Blk]&lt;&gt;"")),Log[Blk]),0)=1,"Y",""))</f>
      </c>
      <c r="N117" s="17">
        <f>IF(Items[[#This Row],[ID]]="","",SUBSTITUTE(IFERROR(LOOKUP(2,1/((Log[ID]=Items[[#This Row],[ID]])*(Log[State]&lt;&gt;"")),Log[State]),"TODO"),"OPEN",IF(Items[[#This Row],[Blocked]]="Y","WAIT","OPEN")))</f>
      </c>
      <c r="O11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17" s="17">
        <f>IF(Items[[#This Row],[State]]&lt;&gt;"WAIT","",AsOf-Items[[#This Row],[Blocked since]])</f>
      </c>
      <c r="Q117" s="17">
        <f>IF(Items[[#This Row],[State]]&lt;&gt;"WAIT","",IFERROR(LOOKUP(2,1/((Log[ID]=Items[[#This Row],[ID]])*(Log[Verb]="block")),Log[Note])&amp;"",""))</f>
      </c>
      <c r="R117" s="17">
        <f>IF(Items[[#This Row],[ID]]="","",COUNTIFS(Log[ID],Items[[#This Row],[ID]],Log[Verb],"carry"))</f>
      </c>
      <c r="S117" s="17">
        <f>IF(Items[[#This Row],[ID]]="","",COUNTIFS(Log[ID],Items[[#This Row],[ID]],Log[Verb],"punt"))</f>
      </c>
      <c r="T117" s="11">
        <f>IF(Items[[#This Row],[State]]&lt;&gt;"DONE","",IFERROR(LOOKUP(2,1/((Log[ID]=Items[[#This Row],[ID]])*(Log[Verb]="done")),Log[Date]),""))</f>
      </c>
      <c r="U117" s="17">
        <f>IF(Items[[#This Row],[ID]]="","",IF(AND(Items[[#This Row],[Sprint]]=CurSprint,OR(Items[[#This Row],[State]]="OPEN",Items[[#This Row],[State]]="WAIT",Items[[#This Row],[State]]="HOLD",Items[[#This Row],[State]]="DONE")),1,0))</f>
      </c>
      <c r="V117" s="17">
        <f>IF(OR(Items[[#This Row],[ID]]="",Items[[#This Row],[Added]]=""),"",AsOf-Items[[#This Row],[Added]])</f>
      </c>
      <c r="W117" s="17">
        <f>IF(Items[[#This Row],[In sprint]]=1,(IF(Items[[#This Row],[Prio]]="",9,N(Items[[#This Row],[Prio]]))*10+(IF(Items[[#This Row],[State]]="DONE",1,0)))*100000+ROW(),"")</f>
      </c>
      <c r="X11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17" s="17">
        <f>IF(AND(Items[[#This Row],[State]]="DONE",N(Items[[#This Row],[Done on]])&gt;AsOf-7),(200000-N(Items[[#This Row],[Done on]]))*100000+ROW(),"")</f>
      </c>
    </row>
    <row r="118">
      <c r="A118" t="s">
        <v>345</v>
      </c>
      <c r="B118" t="s">
        <v>1306</v>
      </c>
      <c r="C118" t="s">
        <v>1115</v>
      </c>
      <c r="D118" t="s">
        <v>1116</v>
      </c>
      <c r="E118" t="s">
        <v>1131</v>
      </c>
      <c r="F118" t="s">
        <v>1307</v>
      </c>
      <c r="G118">
        <v>8</v>
      </c>
      <c r="H118">
        <v>2</v>
      </c>
      <c r="I118" s="11">
        <v>46077</v>
      </c>
      <c r="J118" s="17">
        <f>IF(Items[[#This Row],[ID]]="","",IFERROR(VALUE(LOOKUP(2,1/((Log[ID]=Items[[#This Row],[ID]])*(Log[Verb]="est")),Log[Arg])),N(Items[[#This Row],[Points]])))</f>
      </c>
      <c r="K118" s="17">
        <f>IF(Items[[#This Row],[ID]]="","",IFERROR(LOOKUP(2,1/((Log[ID]=Items[[#This Row],[ID]])*(Log[Verb]="pass")),Log[Arg])&amp;"",Items[[#This Row],[Team]]&amp;""))</f>
      </c>
      <c r="L118" s="17">
        <f>IF(Items[[#This Row],[ID]]="","",IFERROR(LOOKUP(2,1/((Log[ID]=Items[[#This Row],[ID]])*(Log[Into]&lt;&gt;"")),Log[Into]),""))</f>
      </c>
      <c r="M118" s="17">
        <f>IF(Items[[#This Row],[ID]]="","",IF(IFERROR(LOOKUP(2,1/((Log[ID]=Items[[#This Row],[ID]])*(Log[Blk]&lt;&gt;"")),Log[Blk]),0)=1,"Y",""))</f>
      </c>
      <c r="N118" s="17">
        <f>IF(Items[[#This Row],[ID]]="","",SUBSTITUTE(IFERROR(LOOKUP(2,1/((Log[ID]=Items[[#This Row],[ID]])*(Log[State]&lt;&gt;"")),Log[State]),"TODO"),"OPEN",IF(Items[[#This Row],[Blocked]]="Y","WAIT","OPEN")))</f>
      </c>
      <c r="O11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18" s="17">
        <f>IF(Items[[#This Row],[State]]&lt;&gt;"WAIT","",AsOf-Items[[#This Row],[Blocked since]])</f>
      </c>
      <c r="Q118" s="17">
        <f>IF(Items[[#This Row],[State]]&lt;&gt;"WAIT","",IFERROR(LOOKUP(2,1/((Log[ID]=Items[[#This Row],[ID]])*(Log[Verb]="block")),Log[Note])&amp;"",""))</f>
      </c>
      <c r="R118" s="17">
        <f>IF(Items[[#This Row],[ID]]="","",COUNTIFS(Log[ID],Items[[#This Row],[ID]],Log[Verb],"carry"))</f>
      </c>
      <c r="S118" s="17">
        <f>IF(Items[[#This Row],[ID]]="","",COUNTIFS(Log[ID],Items[[#This Row],[ID]],Log[Verb],"punt"))</f>
      </c>
      <c r="T118" s="11">
        <f>IF(Items[[#This Row],[State]]&lt;&gt;"DONE","",IFERROR(LOOKUP(2,1/((Log[ID]=Items[[#This Row],[ID]])*(Log[Verb]="done")),Log[Date]),""))</f>
      </c>
      <c r="U118" s="17">
        <f>IF(Items[[#This Row],[ID]]="","",IF(AND(Items[[#This Row],[Sprint]]=CurSprint,OR(Items[[#This Row],[State]]="OPEN",Items[[#This Row],[State]]="WAIT",Items[[#This Row],[State]]="HOLD",Items[[#This Row],[State]]="DONE")),1,0))</f>
      </c>
      <c r="V118" s="17">
        <f>IF(OR(Items[[#This Row],[ID]]="",Items[[#This Row],[Added]]=""),"",AsOf-Items[[#This Row],[Added]])</f>
      </c>
      <c r="W118" s="17">
        <f>IF(Items[[#This Row],[In sprint]]=1,(IF(Items[[#This Row],[Prio]]="",9,N(Items[[#This Row],[Prio]]))*10+(IF(Items[[#This Row],[State]]="DONE",1,0)))*100000+ROW(),"")</f>
      </c>
      <c r="X11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18" s="17">
        <f>IF(AND(Items[[#This Row],[State]]="DONE",N(Items[[#This Row],[Done on]])&gt;AsOf-7),(200000-N(Items[[#This Row],[Done on]]))*100000+ROW(),"")</f>
      </c>
    </row>
    <row r="119">
      <c r="A119" t="s">
        <v>279</v>
      </c>
      <c r="B119" t="s">
        <v>1308</v>
      </c>
      <c r="C119" t="s">
        <v>1115</v>
      </c>
      <c r="D119" t="s">
        <v>1119</v>
      </c>
      <c r="E119" t="s">
        <v>1131</v>
      </c>
      <c r="F119" t="s">
        <v>1309</v>
      </c>
      <c r="G119">
        <v>5</v>
      </c>
      <c r="H119">
        <v>2</v>
      </c>
      <c r="I119" s="11">
        <v>46077</v>
      </c>
      <c r="J119" s="17">
        <f>IF(Items[[#This Row],[ID]]="","",IFERROR(VALUE(LOOKUP(2,1/((Log[ID]=Items[[#This Row],[ID]])*(Log[Verb]="est")),Log[Arg])),N(Items[[#This Row],[Points]])))</f>
      </c>
      <c r="K119" s="17">
        <f>IF(Items[[#This Row],[ID]]="","",IFERROR(LOOKUP(2,1/((Log[ID]=Items[[#This Row],[ID]])*(Log[Verb]="pass")),Log[Arg])&amp;"",Items[[#This Row],[Team]]&amp;""))</f>
      </c>
      <c r="L119" s="17">
        <f>IF(Items[[#This Row],[ID]]="","",IFERROR(LOOKUP(2,1/((Log[ID]=Items[[#This Row],[ID]])*(Log[Into]&lt;&gt;"")),Log[Into]),""))</f>
      </c>
      <c r="M119" s="17">
        <f>IF(Items[[#This Row],[ID]]="","",IF(IFERROR(LOOKUP(2,1/((Log[ID]=Items[[#This Row],[ID]])*(Log[Blk]&lt;&gt;"")),Log[Blk]),0)=1,"Y",""))</f>
      </c>
      <c r="N119" s="17">
        <f>IF(Items[[#This Row],[ID]]="","",SUBSTITUTE(IFERROR(LOOKUP(2,1/((Log[ID]=Items[[#This Row],[ID]])*(Log[State]&lt;&gt;"")),Log[State]),"TODO"),"OPEN",IF(Items[[#This Row],[Blocked]]="Y","WAIT","OPEN")))</f>
      </c>
      <c r="O11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19" s="17">
        <f>IF(Items[[#This Row],[State]]&lt;&gt;"WAIT","",AsOf-Items[[#This Row],[Blocked since]])</f>
      </c>
      <c r="Q119" s="17">
        <f>IF(Items[[#This Row],[State]]&lt;&gt;"WAIT","",IFERROR(LOOKUP(2,1/((Log[ID]=Items[[#This Row],[ID]])*(Log[Verb]="block")),Log[Note])&amp;"",""))</f>
      </c>
      <c r="R119" s="17">
        <f>IF(Items[[#This Row],[ID]]="","",COUNTIFS(Log[ID],Items[[#This Row],[ID]],Log[Verb],"carry"))</f>
      </c>
      <c r="S119" s="17">
        <f>IF(Items[[#This Row],[ID]]="","",COUNTIFS(Log[ID],Items[[#This Row],[ID]],Log[Verb],"punt"))</f>
      </c>
      <c r="T119" s="11">
        <f>IF(Items[[#This Row],[State]]&lt;&gt;"DONE","",IFERROR(LOOKUP(2,1/((Log[ID]=Items[[#This Row],[ID]])*(Log[Verb]="done")),Log[Date]),""))</f>
      </c>
      <c r="U119" s="17">
        <f>IF(Items[[#This Row],[ID]]="","",IF(AND(Items[[#This Row],[Sprint]]=CurSprint,OR(Items[[#This Row],[State]]="OPEN",Items[[#This Row],[State]]="WAIT",Items[[#This Row],[State]]="HOLD",Items[[#This Row],[State]]="DONE")),1,0))</f>
      </c>
      <c r="V119" s="17">
        <f>IF(OR(Items[[#This Row],[ID]]="",Items[[#This Row],[Added]]=""),"",AsOf-Items[[#This Row],[Added]])</f>
      </c>
      <c r="W119" s="17">
        <f>IF(Items[[#This Row],[In sprint]]=1,(IF(Items[[#This Row],[Prio]]="",9,N(Items[[#This Row],[Prio]]))*10+(IF(Items[[#This Row],[State]]="DONE",1,0)))*100000+ROW(),"")</f>
      </c>
      <c r="X11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19" s="17">
        <f>IF(AND(Items[[#This Row],[State]]="DONE",N(Items[[#This Row],[Done on]])&gt;AsOf-7),(200000-N(Items[[#This Row],[Done on]]))*100000+ROW(),"")</f>
      </c>
    </row>
    <row r="120">
      <c r="A120" t="s">
        <v>346</v>
      </c>
      <c r="B120" t="s">
        <v>1310</v>
      </c>
      <c r="C120" t="s">
        <v>1107</v>
      </c>
      <c r="D120" t="s">
        <v>1108</v>
      </c>
      <c r="E120" t="s">
        <v>1131</v>
      </c>
      <c r="F120" t="s">
        <v>1168</v>
      </c>
      <c r="G120">
        <v>8</v>
      </c>
      <c r="H120">
        <v>1</v>
      </c>
      <c r="I120" s="11">
        <v>46077</v>
      </c>
      <c r="J120" s="17">
        <f>IF(Items[[#This Row],[ID]]="","",IFERROR(VALUE(LOOKUP(2,1/((Log[ID]=Items[[#This Row],[ID]])*(Log[Verb]="est")),Log[Arg])),N(Items[[#This Row],[Points]])))</f>
      </c>
      <c r="K120" s="17">
        <f>IF(Items[[#This Row],[ID]]="","",IFERROR(LOOKUP(2,1/((Log[ID]=Items[[#This Row],[ID]])*(Log[Verb]="pass")),Log[Arg])&amp;"",Items[[#This Row],[Team]]&amp;""))</f>
      </c>
      <c r="L120" s="17">
        <f>IF(Items[[#This Row],[ID]]="","",IFERROR(LOOKUP(2,1/((Log[ID]=Items[[#This Row],[ID]])*(Log[Into]&lt;&gt;"")),Log[Into]),""))</f>
      </c>
      <c r="M120" s="17">
        <f>IF(Items[[#This Row],[ID]]="","",IF(IFERROR(LOOKUP(2,1/((Log[ID]=Items[[#This Row],[ID]])*(Log[Blk]&lt;&gt;"")),Log[Blk]),0)=1,"Y",""))</f>
      </c>
      <c r="N120" s="17">
        <f>IF(Items[[#This Row],[ID]]="","",SUBSTITUTE(IFERROR(LOOKUP(2,1/((Log[ID]=Items[[#This Row],[ID]])*(Log[State]&lt;&gt;"")),Log[State]),"TODO"),"OPEN",IF(Items[[#This Row],[Blocked]]="Y","WAIT","OPEN")))</f>
      </c>
      <c r="O12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20" s="17">
        <f>IF(Items[[#This Row],[State]]&lt;&gt;"WAIT","",AsOf-Items[[#This Row],[Blocked since]])</f>
      </c>
      <c r="Q120" s="17">
        <f>IF(Items[[#This Row],[State]]&lt;&gt;"WAIT","",IFERROR(LOOKUP(2,1/((Log[ID]=Items[[#This Row],[ID]])*(Log[Verb]="block")),Log[Note])&amp;"",""))</f>
      </c>
      <c r="R120" s="17">
        <f>IF(Items[[#This Row],[ID]]="","",COUNTIFS(Log[ID],Items[[#This Row],[ID]],Log[Verb],"carry"))</f>
      </c>
      <c r="S120" s="17">
        <f>IF(Items[[#This Row],[ID]]="","",COUNTIFS(Log[ID],Items[[#This Row],[ID]],Log[Verb],"punt"))</f>
      </c>
      <c r="T120" s="11">
        <f>IF(Items[[#This Row],[State]]&lt;&gt;"DONE","",IFERROR(LOOKUP(2,1/((Log[ID]=Items[[#This Row],[ID]])*(Log[Verb]="done")),Log[Date]),""))</f>
      </c>
      <c r="U120" s="17">
        <f>IF(Items[[#This Row],[ID]]="","",IF(AND(Items[[#This Row],[Sprint]]=CurSprint,OR(Items[[#This Row],[State]]="OPEN",Items[[#This Row],[State]]="WAIT",Items[[#This Row],[State]]="HOLD",Items[[#This Row],[State]]="DONE")),1,0))</f>
      </c>
      <c r="V120" s="17">
        <f>IF(OR(Items[[#This Row],[ID]]="",Items[[#This Row],[Added]]=""),"",AsOf-Items[[#This Row],[Added]])</f>
      </c>
      <c r="W120" s="17">
        <f>IF(Items[[#This Row],[In sprint]]=1,(IF(Items[[#This Row],[Prio]]="",9,N(Items[[#This Row],[Prio]]))*10+(IF(Items[[#This Row],[State]]="DONE",1,0)))*100000+ROW(),"")</f>
      </c>
      <c r="X12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20" s="17">
        <f>IF(AND(Items[[#This Row],[State]]="DONE",N(Items[[#This Row],[Done on]])&gt;AsOf-7),(200000-N(Items[[#This Row],[Done on]]))*100000+ROW(),"")</f>
      </c>
    </row>
    <row r="121">
      <c r="A121" t="s">
        <v>352</v>
      </c>
      <c r="B121" t="s">
        <v>1311</v>
      </c>
      <c r="C121" t="s">
        <v>1115</v>
      </c>
      <c r="D121" t="s">
        <v>1119</v>
      </c>
      <c r="E121" t="s">
        <v>1134</v>
      </c>
      <c r="F121" t="s">
        <v>1171</v>
      </c>
      <c r="G121">
        <v>5</v>
      </c>
      <c r="H121">
        <v>2</v>
      </c>
      <c r="I121" s="11">
        <v>46077</v>
      </c>
      <c r="J121" s="17">
        <f>IF(Items[[#This Row],[ID]]="","",IFERROR(VALUE(LOOKUP(2,1/((Log[ID]=Items[[#This Row],[ID]])*(Log[Verb]="est")),Log[Arg])),N(Items[[#This Row],[Points]])))</f>
      </c>
      <c r="K121" s="17">
        <f>IF(Items[[#This Row],[ID]]="","",IFERROR(LOOKUP(2,1/((Log[ID]=Items[[#This Row],[ID]])*(Log[Verb]="pass")),Log[Arg])&amp;"",Items[[#This Row],[Team]]&amp;""))</f>
      </c>
      <c r="L121" s="17">
        <f>IF(Items[[#This Row],[ID]]="","",IFERROR(LOOKUP(2,1/((Log[ID]=Items[[#This Row],[ID]])*(Log[Into]&lt;&gt;"")),Log[Into]),""))</f>
      </c>
      <c r="M121" s="17">
        <f>IF(Items[[#This Row],[ID]]="","",IF(IFERROR(LOOKUP(2,1/((Log[ID]=Items[[#This Row],[ID]])*(Log[Blk]&lt;&gt;"")),Log[Blk]),0)=1,"Y",""))</f>
      </c>
      <c r="N121" s="17">
        <f>IF(Items[[#This Row],[ID]]="","",SUBSTITUTE(IFERROR(LOOKUP(2,1/((Log[ID]=Items[[#This Row],[ID]])*(Log[State]&lt;&gt;"")),Log[State]),"TODO"),"OPEN",IF(Items[[#This Row],[Blocked]]="Y","WAIT","OPEN")))</f>
      </c>
      <c r="O12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21" s="17">
        <f>IF(Items[[#This Row],[State]]&lt;&gt;"WAIT","",AsOf-Items[[#This Row],[Blocked since]])</f>
      </c>
      <c r="Q121" s="17">
        <f>IF(Items[[#This Row],[State]]&lt;&gt;"WAIT","",IFERROR(LOOKUP(2,1/((Log[ID]=Items[[#This Row],[ID]])*(Log[Verb]="block")),Log[Note])&amp;"",""))</f>
      </c>
      <c r="R121" s="17">
        <f>IF(Items[[#This Row],[ID]]="","",COUNTIFS(Log[ID],Items[[#This Row],[ID]],Log[Verb],"carry"))</f>
      </c>
      <c r="S121" s="17">
        <f>IF(Items[[#This Row],[ID]]="","",COUNTIFS(Log[ID],Items[[#This Row],[ID]],Log[Verb],"punt"))</f>
      </c>
      <c r="T121" s="11">
        <f>IF(Items[[#This Row],[State]]&lt;&gt;"DONE","",IFERROR(LOOKUP(2,1/((Log[ID]=Items[[#This Row],[ID]])*(Log[Verb]="done")),Log[Date]),""))</f>
      </c>
      <c r="U121" s="17">
        <f>IF(Items[[#This Row],[ID]]="","",IF(AND(Items[[#This Row],[Sprint]]=CurSprint,OR(Items[[#This Row],[State]]="OPEN",Items[[#This Row],[State]]="WAIT",Items[[#This Row],[State]]="HOLD",Items[[#This Row],[State]]="DONE")),1,0))</f>
      </c>
      <c r="V121" s="17">
        <f>IF(OR(Items[[#This Row],[ID]]="",Items[[#This Row],[Added]]=""),"",AsOf-Items[[#This Row],[Added]])</f>
      </c>
      <c r="W121" s="17">
        <f>IF(Items[[#This Row],[In sprint]]=1,(IF(Items[[#This Row],[Prio]]="",9,N(Items[[#This Row],[Prio]]))*10+(IF(Items[[#This Row],[State]]="DONE",1,0)))*100000+ROW(),"")</f>
      </c>
      <c r="X12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21" s="17">
        <f>IF(AND(Items[[#This Row],[State]]="DONE",N(Items[[#This Row],[Done on]])&gt;AsOf-7),(200000-N(Items[[#This Row],[Done on]]))*100000+ROW(),"")</f>
      </c>
    </row>
    <row r="122">
      <c r="A122" t="s">
        <v>353</v>
      </c>
      <c r="B122" t="s">
        <v>1312</v>
      </c>
      <c r="C122" t="s">
        <v>1107</v>
      </c>
      <c r="D122" t="s">
        <v>1127</v>
      </c>
      <c r="E122" t="s">
        <v>1134</v>
      </c>
      <c r="F122" t="s">
        <v>1244</v>
      </c>
      <c r="G122">
        <v>3</v>
      </c>
      <c r="H122">
        <v>2</v>
      </c>
      <c r="I122" s="11">
        <v>46077</v>
      </c>
      <c r="J122" s="17">
        <f>IF(Items[[#This Row],[ID]]="","",IFERROR(VALUE(LOOKUP(2,1/((Log[ID]=Items[[#This Row],[ID]])*(Log[Verb]="est")),Log[Arg])),N(Items[[#This Row],[Points]])))</f>
      </c>
      <c r="K122" s="17">
        <f>IF(Items[[#This Row],[ID]]="","",IFERROR(LOOKUP(2,1/((Log[ID]=Items[[#This Row],[ID]])*(Log[Verb]="pass")),Log[Arg])&amp;"",Items[[#This Row],[Team]]&amp;""))</f>
      </c>
      <c r="L122" s="17">
        <f>IF(Items[[#This Row],[ID]]="","",IFERROR(LOOKUP(2,1/((Log[ID]=Items[[#This Row],[ID]])*(Log[Into]&lt;&gt;"")),Log[Into]),""))</f>
      </c>
      <c r="M122" s="17">
        <f>IF(Items[[#This Row],[ID]]="","",IF(IFERROR(LOOKUP(2,1/((Log[ID]=Items[[#This Row],[ID]])*(Log[Blk]&lt;&gt;"")),Log[Blk]),0)=1,"Y",""))</f>
      </c>
      <c r="N122" s="17">
        <f>IF(Items[[#This Row],[ID]]="","",SUBSTITUTE(IFERROR(LOOKUP(2,1/((Log[ID]=Items[[#This Row],[ID]])*(Log[State]&lt;&gt;"")),Log[State]),"TODO"),"OPEN",IF(Items[[#This Row],[Blocked]]="Y","WAIT","OPEN")))</f>
      </c>
      <c r="O12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22" s="17">
        <f>IF(Items[[#This Row],[State]]&lt;&gt;"WAIT","",AsOf-Items[[#This Row],[Blocked since]])</f>
      </c>
      <c r="Q122" s="17">
        <f>IF(Items[[#This Row],[State]]&lt;&gt;"WAIT","",IFERROR(LOOKUP(2,1/((Log[ID]=Items[[#This Row],[ID]])*(Log[Verb]="block")),Log[Note])&amp;"",""))</f>
      </c>
      <c r="R122" s="17">
        <f>IF(Items[[#This Row],[ID]]="","",COUNTIFS(Log[ID],Items[[#This Row],[ID]],Log[Verb],"carry"))</f>
      </c>
      <c r="S122" s="17">
        <f>IF(Items[[#This Row],[ID]]="","",COUNTIFS(Log[ID],Items[[#This Row],[ID]],Log[Verb],"punt"))</f>
      </c>
      <c r="T122" s="11">
        <f>IF(Items[[#This Row],[State]]&lt;&gt;"DONE","",IFERROR(LOOKUP(2,1/((Log[ID]=Items[[#This Row],[ID]])*(Log[Verb]="done")),Log[Date]),""))</f>
      </c>
      <c r="U122" s="17">
        <f>IF(Items[[#This Row],[ID]]="","",IF(AND(Items[[#This Row],[Sprint]]=CurSprint,OR(Items[[#This Row],[State]]="OPEN",Items[[#This Row],[State]]="WAIT",Items[[#This Row],[State]]="HOLD",Items[[#This Row],[State]]="DONE")),1,0))</f>
      </c>
      <c r="V122" s="17">
        <f>IF(OR(Items[[#This Row],[ID]]="",Items[[#This Row],[Added]]=""),"",AsOf-Items[[#This Row],[Added]])</f>
      </c>
      <c r="W122" s="17">
        <f>IF(Items[[#This Row],[In sprint]]=1,(IF(Items[[#This Row],[Prio]]="",9,N(Items[[#This Row],[Prio]]))*10+(IF(Items[[#This Row],[State]]="DONE",1,0)))*100000+ROW(),"")</f>
      </c>
      <c r="X12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22" s="17">
        <f>IF(AND(Items[[#This Row],[State]]="DONE",N(Items[[#This Row],[Done on]])&gt;AsOf-7),(200000-N(Items[[#This Row],[Done on]]))*100000+ROW(),"")</f>
      </c>
    </row>
    <row r="123">
      <c r="A123" t="s">
        <v>282</v>
      </c>
      <c r="B123" t="s">
        <v>1313</v>
      </c>
      <c r="C123" t="s">
        <v>1107</v>
      </c>
      <c r="D123" t="s">
        <v>1108</v>
      </c>
      <c r="E123" t="s">
        <v>1134</v>
      </c>
      <c r="F123" t="s">
        <v>1171</v>
      </c>
      <c r="G123">
        <v>2</v>
      </c>
      <c r="H123">
        <v>3</v>
      </c>
      <c r="I123" s="11">
        <v>46077</v>
      </c>
      <c r="J123" s="17">
        <f>IF(Items[[#This Row],[ID]]="","",IFERROR(VALUE(LOOKUP(2,1/((Log[ID]=Items[[#This Row],[ID]])*(Log[Verb]="est")),Log[Arg])),N(Items[[#This Row],[Points]])))</f>
      </c>
      <c r="K123" s="17">
        <f>IF(Items[[#This Row],[ID]]="","",IFERROR(LOOKUP(2,1/((Log[ID]=Items[[#This Row],[ID]])*(Log[Verb]="pass")),Log[Arg])&amp;"",Items[[#This Row],[Team]]&amp;""))</f>
      </c>
      <c r="L123" s="17">
        <f>IF(Items[[#This Row],[ID]]="","",IFERROR(LOOKUP(2,1/((Log[ID]=Items[[#This Row],[ID]])*(Log[Into]&lt;&gt;"")),Log[Into]),""))</f>
      </c>
      <c r="M123" s="17">
        <f>IF(Items[[#This Row],[ID]]="","",IF(IFERROR(LOOKUP(2,1/((Log[ID]=Items[[#This Row],[ID]])*(Log[Blk]&lt;&gt;"")),Log[Blk]),0)=1,"Y",""))</f>
      </c>
      <c r="N123" s="17">
        <f>IF(Items[[#This Row],[ID]]="","",SUBSTITUTE(IFERROR(LOOKUP(2,1/((Log[ID]=Items[[#This Row],[ID]])*(Log[State]&lt;&gt;"")),Log[State]),"TODO"),"OPEN",IF(Items[[#This Row],[Blocked]]="Y","WAIT","OPEN")))</f>
      </c>
      <c r="O12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23" s="17">
        <f>IF(Items[[#This Row],[State]]&lt;&gt;"WAIT","",AsOf-Items[[#This Row],[Blocked since]])</f>
      </c>
      <c r="Q123" s="17">
        <f>IF(Items[[#This Row],[State]]&lt;&gt;"WAIT","",IFERROR(LOOKUP(2,1/((Log[ID]=Items[[#This Row],[ID]])*(Log[Verb]="block")),Log[Note])&amp;"",""))</f>
      </c>
      <c r="R123" s="17">
        <f>IF(Items[[#This Row],[ID]]="","",COUNTIFS(Log[ID],Items[[#This Row],[ID]],Log[Verb],"carry"))</f>
      </c>
      <c r="S123" s="17">
        <f>IF(Items[[#This Row],[ID]]="","",COUNTIFS(Log[ID],Items[[#This Row],[ID]],Log[Verb],"punt"))</f>
      </c>
      <c r="T123" s="11">
        <f>IF(Items[[#This Row],[State]]&lt;&gt;"DONE","",IFERROR(LOOKUP(2,1/((Log[ID]=Items[[#This Row],[ID]])*(Log[Verb]="done")),Log[Date]),""))</f>
      </c>
      <c r="U123" s="17">
        <f>IF(Items[[#This Row],[ID]]="","",IF(AND(Items[[#This Row],[Sprint]]=CurSprint,OR(Items[[#This Row],[State]]="OPEN",Items[[#This Row],[State]]="WAIT",Items[[#This Row],[State]]="HOLD",Items[[#This Row],[State]]="DONE")),1,0))</f>
      </c>
      <c r="V123" s="17">
        <f>IF(OR(Items[[#This Row],[ID]]="",Items[[#This Row],[Added]]=""),"",AsOf-Items[[#This Row],[Added]])</f>
      </c>
      <c r="W123" s="17">
        <f>IF(Items[[#This Row],[In sprint]]=1,(IF(Items[[#This Row],[Prio]]="",9,N(Items[[#This Row],[Prio]]))*10+(IF(Items[[#This Row],[State]]="DONE",1,0)))*100000+ROW(),"")</f>
      </c>
      <c r="X12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23" s="17">
        <f>IF(AND(Items[[#This Row],[State]]="DONE",N(Items[[#This Row],[Done on]])&gt;AsOf-7),(200000-N(Items[[#This Row],[Done on]]))*100000+ROW(),"")</f>
      </c>
    </row>
    <row r="124">
      <c r="A124" t="s">
        <v>354</v>
      </c>
      <c r="B124" t="s">
        <v>1314</v>
      </c>
      <c r="C124" t="s">
        <v>1115</v>
      </c>
      <c r="D124" t="s">
        <v>1116</v>
      </c>
      <c r="E124" t="s">
        <v>1134</v>
      </c>
      <c r="F124" t="s">
        <v>1135</v>
      </c>
      <c r="G124">
        <v>5</v>
      </c>
      <c r="H124">
        <v>2</v>
      </c>
      <c r="I124" s="11">
        <v>46077</v>
      </c>
      <c r="J124" s="17">
        <f>IF(Items[[#This Row],[ID]]="","",IFERROR(VALUE(LOOKUP(2,1/((Log[ID]=Items[[#This Row],[ID]])*(Log[Verb]="est")),Log[Arg])),N(Items[[#This Row],[Points]])))</f>
      </c>
      <c r="K124" s="17">
        <f>IF(Items[[#This Row],[ID]]="","",IFERROR(LOOKUP(2,1/((Log[ID]=Items[[#This Row],[ID]])*(Log[Verb]="pass")),Log[Arg])&amp;"",Items[[#This Row],[Team]]&amp;""))</f>
      </c>
      <c r="L124" s="17">
        <f>IF(Items[[#This Row],[ID]]="","",IFERROR(LOOKUP(2,1/((Log[ID]=Items[[#This Row],[ID]])*(Log[Into]&lt;&gt;"")),Log[Into]),""))</f>
      </c>
      <c r="M124" s="17">
        <f>IF(Items[[#This Row],[ID]]="","",IF(IFERROR(LOOKUP(2,1/((Log[ID]=Items[[#This Row],[ID]])*(Log[Blk]&lt;&gt;"")),Log[Blk]),0)=1,"Y",""))</f>
      </c>
      <c r="N124" s="17">
        <f>IF(Items[[#This Row],[ID]]="","",SUBSTITUTE(IFERROR(LOOKUP(2,1/((Log[ID]=Items[[#This Row],[ID]])*(Log[State]&lt;&gt;"")),Log[State]),"TODO"),"OPEN",IF(Items[[#This Row],[Blocked]]="Y","WAIT","OPEN")))</f>
      </c>
      <c r="O12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24" s="17">
        <f>IF(Items[[#This Row],[State]]&lt;&gt;"WAIT","",AsOf-Items[[#This Row],[Blocked since]])</f>
      </c>
      <c r="Q124" s="17">
        <f>IF(Items[[#This Row],[State]]&lt;&gt;"WAIT","",IFERROR(LOOKUP(2,1/((Log[ID]=Items[[#This Row],[ID]])*(Log[Verb]="block")),Log[Note])&amp;"",""))</f>
      </c>
      <c r="R124" s="17">
        <f>IF(Items[[#This Row],[ID]]="","",COUNTIFS(Log[ID],Items[[#This Row],[ID]],Log[Verb],"carry"))</f>
      </c>
      <c r="S124" s="17">
        <f>IF(Items[[#This Row],[ID]]="","",COUNTIFS(Log[ID],Items[[#This Row],[ID]],Log[Verb],"punt"))</f>
      </c>
      <c r="T124" s="11">
        <f>IF(Items[[#This Row],[State]]&lt;&gt;"DONE","",IFERROR(LOOKUP(2,1/((Log[ID]=Items[[#This Row],[ID]])*(Log[Verb]="done")),Log[Date]),""))</f>
      </c>
      <c r="U124" s="17">
        <f>IF(Items[[#This Row],[ID]]="","",IF(AND(Items[[#This Row],[Sprint]]=CurSprint,OR(Items[[#This Row],[State]]="OPEN",Items[[#This Row],[State]]="WAIT",Items[[#This Row],[State]]="HOLD",Items[[#This Row],[State]]="DONE")),1,0))</f>
      </c>
      <c r="V124" s="17">
        <f>IF(OR(Items[[#This Row],[ID]]="",Items[[#This Row],[Added]]=""),"",AsOf-Items[[#This Row],[Added]])</f>
      </c>
      <c r="W124" s="17">
        <f>IF(Items[[#This Row],[In sprint]]=1,(IF(Items[[#This Row],[Prio]]="",9,N(Items[[#This Row],[Prio]]))*10+(IF(Items[[#This Row],[State]]="DONE",1,0)))*100000+ROW(),"")</f>
      </c>
      <c r="X12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24" s="17">
        <f>IF(AND(Items[[#This Row],[State]]="DONE",N(Items[[#This Row],[Done on]])&gt;AsOf-7),(200000-N(Items[[#This Row],[Done on]]))*100000+ROW(),"")</f>
      </c>
    </row>
    <row r="125">
      <c r="A125" t="s">
        <v>355</v>
      </c>
      <c r="B125" t="s">
        <v>1315</v>
      </c>
      <c r="C125" t="s">
        <v>1107</v>
      </c>
      <c r="D125" t="s">
        <v>1108</v>
      </c>
      <c r="E125" t="s">
        <v>1134</v>
      </c>
      <c r="F125" t="s">
        <v>1240</v>
      </c>
      <c r="G125">
        <v>3</v>
      </c>
      <c r="H125">
        <v>2</v>
      </c>
      <c r="I125" s="11">
        <v>46077</v>
      </c>
      <c r="J125" s="17">
        <f>IF(Items[[#This Row],[ID]]="","",IFERROR(VALUE(LOOKUP(2,1/((Log[ID]=Items[[#This Row],[ID]])*(Log[Verb]="est")),Log[Arg])),N(Items[[#This Row],[Points]])))</f>
      </c>
      <c r="K125" s="17">
        <f>IF(Items[[#This Row],[ID]]="","",IFERROR(LOOKUP(2,1/((Log[ID]=Items[[#This Row],[ID]])*(Log[Verb]="pass")),Log[Arg])&amp;"",Items[[#This Row],[Team]]&amp;""))</f>
      </c>
      <c r="L125" s="17">
        <f>IF(Items[[#This Row],[ID]]="","",IFERROR(LOOKUP(2,1/((Log[ID]=Items[[#This Row],[ID]])*(Log[Into]&lt;&gt;"")),Log[Into]),""))</f>
      </c>
      <c r="M125" s="17">
        <f>IF(Items[[#This Row],[ID]]="","",IF(IFERROR(LOOKUP(2,1/((Log[ID]=Items[[#This Row],[ID]])*(Log[Blk]&lt;&gt;"")),Log[Blk]),0)=1,"Y",""))</f>
      </c>
      <c r="N125" s="17">
        <f>IF(Items[[#This Row],[ID]]="","",SUBSTITUTE(IFERROR(LOOKUP(2,1/((Log[ID]=Items[[#This Row],[ID]])*(Log[State]&lt;&gt;"")),Log[State]),"TODO"),"OPEN",IF(Items[[#This Row],[Blocked]]="Y","WAIT","OPEN")))</f>
      </c>
      <c r="O12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25" s="17">
        <f>IF(Items[[#This Row],[State]]&lt;&gt;"WAIT","",AsOf-Items[[#This Row],[Blocked since]])</f>
      </c>
      <c r="Q125" s="17">
        <f>IF(Items[[#This Row],[State]]&lt;&gt;"WAIT","",IFERROR(LOOKUP(2,1/((Log[ID]=Items[[#This Row],[ID]])*(Log[Verb]="block")),Log[Note])&amp;"",""))</f>
      </c>
      <c r="R125" s="17">
        <f>IF(Items[[#This Row],[ID]]="","",COUNTIFS(Log[ID],Items[[#This Row],[ID]],Log[Verb],"carry"))</f>
      </c>
      <c r="S125" s="17">
        <f>IF(Items[[#This Row],[ID]]="","",COUNTIFS(Log[ID],Items[[#This Row],[ID]],Log[Verb],"punt"))</f>
      </c>
      <c r="T125" s="11">
        <f>IF(Items[[#This Row],[State]]&lt;&gt;"DONE","",IFERROR(LOOKUP(2,1/((Log[ID]=Items[[#This Row],[ID]])*(Log[Verb]="done")),Log[Date]),""))</f>
      </c>
      <c r="U125" s="17">
        <f>IF(Items[[#This Row],[ID]]="","",IF(AND(Items[[#This Row],[Sprint]]=CurSprint,OR(Items[[#This Row],[State]]="OPEN",Items[[#This Row],[State]]="WAIT",Items[[#This Row],[State]]="HOLD",Items[[#This Row],[State]]="DONE")),1,0))</f>
      </c>
      <c r="V125" s="17">
        <f>IF(OR(Items[[#This Row],[ID]]="",Items[[#This Row],[Added]]=""),"",AsOf-Items[[#This Row],[Added]])</f>
      </c>
      <c r="W125" s="17">
        <f>IF(Items[[#This Row],[In sprint]]=1,(IF(Items[[#This Row],[Prio]]="",9,N(Items[[#This Row],[Prio]]))*10+(IF(Items[[#This Row],[State]]="DONE",1,0)))*100000+ROW(),"")</f>
      </c>
      <c r="X12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25" s="17">
        <f>IF(AND(Items[[#This Row],[State]]="DONE",N(Items[[#This Row],[Done on]])&gt;AsOf-7),(200000-N(Items[[#This Row],[Done on]]))*100000+ROW(),"")</f>
      </c>
    </row>
    <row r="126">
      <c r="A126" t="s">
        <v>356</v>
      </c>
      <c r="B126" t="s">
        <v>1316</v>
      </c>
      <c r="C126" t="s">
        <v>1115</v>
      </c>
      <c r="D126" t="s">
        <v>1116</v>
      </c>
      <c r="E126" t="s">
        <v>1134</v>
      </c>
      <c r="F126" t="s">
        <v>1317</v>
      </c>
      <c r="G126">
        <v>5</v>
      </c>
      <c r="H126">
        <v>1</v>
      </c>
      <c r="I126" s="11">
        <v>46077</v>
      </c>
      <c r="J126" s="17">
        <f>IF(Items[[#This Row],[ID]]="","",IFERROR(VALUE(LOOKUP(2,1/((Log[ID]=Items[[#This Row],[ID]])*(Log[Verb]="est")),Log[Arg])),N(Items[[#This Row],[Points]])))</f>
      </c>
      <c r="K126" s="17">
        <f>IF(Items[[#This Row],[ID]]="","",IFERROR(LOOKUP(2,1/((Log[ID]=Items[[#This Row],[ID]])*(Log[Verb]="pass")),Log[Arg])&amp;"",Items[[#This Row],[Team]]&amp;""))</f>
      </c>
      <c r="L126" s="17">
        <f>IF(Items[[#This Row],[ID]]="","",IFERROR(LOOKUP(2,1/((Log[ID]=Items[[#This Row],[ID]])*(Log[Into]&lt;&gt;"")),Log[Into]),""))</f>
      </c>
      <c r="M126" s="17">
        <f>IF(Items[[#This Row],[ID]]="","",IF(IFERROR(LOOKUP(2,1/((Log[ID]=Items[[#This Row],[ID]])*(Log[Blk]&lt;&gt;"")),Log[Blk]),0)=1,"Y",""))</f>
      </c>
      <c r="N126" s="17">
        <f>IF(Items[[#This Row],[ID]]="","",SUBSTITUTE(IFERROR(LOOKUP(2,1/((Log[ID]=Items[[#This Row],[ID]])*(Log[State]&lt;&gt;"")),Log[State]),"TODO"),"OPEN",IF(Items[[#This Row],[Blocked]]="Y","WAIT","OPEN")))</f>
      </c>
      <c r="O12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26" s="17">
        <f>IF(Items[[#This Row],[State]]&lt;&gt;"WAIT","",AsOf-Items[[#This Row],[Blocked since]])</f>
      </c>
      <c r="Q126" s="17">
        <f>IF(Items[[#This Row],[State]]&lt;&gt;"WAIT","",IFERROR(LOOKUP(2,1/((Log[ID]=Items[[#This Row],[ID]])*(Log[Verb]="block")),Log[Note])&amp;"",""))</f>
      </c>
      <c r="R126" s="17">
        <f>IF(Items[[#This Row],[ID]]="","",COUNTIFS(Log[ID],Items[[#This Row],[ID]],Log[Verb],"carry"))</f>
      </c>
      <c r="S126" s="17">
        <f>IF(Items[[#This Row],[ID]]="","",COUNTIFS(Log[ID],Items[[#This Row],[ID]],Log[Verb],"punt"))</f>
      </c>
      <c r="T126" s="11">
        <f>IF(Items[[#This Row],[State]]&lt;&gt;"DONE","",IFERROR(LOOKUP(2,1/((Log[ID]=Items[[#This Row],[ID]])*(Log[Verb]="done")),Log[Date]),""))</f>
      </c>
      <c r="U126" s="17">
        <f>IF(Items[[#This Row],[ID]]="","",IF(AND(Items[[#This Row],[Sprint]]=CurSprint,OR(Items[[#This Row],[State]]="OPEN",Items[[#This Row],[State]]="WAIT",Items[[#This Row],[State]]="HOLD",Items[[#This Row],[State]]="DONE")),1,0))</f>
      </c>
      <c r="V126" s="17">
        <f>IF(OR(Items[[#This Row],[ID]]="",Items[[#This Row],[Added]]=""),"",AsOf-Items[[#This Row],[Added]])</f>
      </c>
      <c r="W126" s="17">
        <f>IF(Items[[#This Row],[In sprint]]=1,(IF(Items[[#This Row],[Prio]]="",9,N(Items[[#This Row],[Prio]]))*10+(IF(Items[[#This Row],[State]]="DONE",1,0)))*100000+ROW(),"")</f>
      </c>
      <c r="X12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26" s="17">
        <f>IF(AND(Items[[#This Row],[State]]="DONE",N(Items[[#This Row],[Done on]])&gt;AsOf-7),(200000-N(Items[[#This Row],[Done on]]))*100000+ROW(),"")</f>
      </c>
    </row>
    <row r="127">
      <c r="A127" t="s">
        <v>285</v>
      </c>
      <c r="B127" t="s">
        <v>1318</v>
      </c>
      <c r="C127" t="s">
        <v>1107</v>
      </c>
      <c r="D127" t="s">
        <v>1108</v>
      </c>
      <c r="E127" t="s">
        <v>1139</v>
      </c>
      <c r="F127" t="s">
        <v>1319</v>
      </c>
      <c r="G127">
        <v>2</v>
      </c>
      <c r="H127">
        <v>1</v>
      </c>
      <c r="I127" s="11">
        <v>46077</v>
      </c>
      <c r="J127" s="17">
        <f>IF(Items[[#This Row],[ID]]="","",IFERROR(VALUE(LOOKUP(2,1/((Log[ID]=Items[[#This Row],[ID]])*(Log[Verb]="est")),Log[Arg])),N(Items[[#This Row],[Points]])))</f>
      </c>
      <c r="K127" s="17">
        <f>IF(Items[[#This Row],[ID]]="","",IFERROR(LOOKUP(2,1/((Log[ID]=Items[[#This Row],[ID]])*(Log[Verb]="pass")),Log[Arg])&amp;"",Items[[#This Row],[Team]]&amp;""))</f>
      </c>
      <c r="L127" s="17">
        <f>IF(Items[[#This Row],[ID]]="","",IFERROR(LOOKUP(2,1/((Log[ID]=Items[[#This Row],[ID]])*(Log[Into]&lt;&gt;"")),Log[Into]),""))</f>
      </c>
      <c r="M127" s="17">
        <f>IF(Items[[#This Row],[ID]]="","",IF(IFERROR(LOOKUP(2,1/((Log[ID]=Items[[#This Row],[ID]])*(Log[Blk]&lt;&gt;"")),Log[Blk]),0)=1,"Y",""))</f>
      </c>
      <c r="N127" s="17">
        <f>IF(Items[[#This Row],[ID]]="","",SUBSTITUTE(IFERROR(LOOKUP(2,1/((Log[ID]=Items[[#This Row],[ID]])*(Log[State]&lt;&gt;"")),Log[State]),"TODO"),"OPEN",IF(Items[[#This Row],[Blocked]]="Y","WAIT","OPEN")))</f>
      </c>
      <c r="O12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27" s="17">
        <f>IF(Items[[#This Row],[State]]&lt;&gt;"WAIT","",AsOf-Items[[#This Row],[Blocked since]])</f>
      </c>
      <c r="Q127" s="17">
        <f>IF(Items[[#This Row],[State]]&lt;&gt;"WAIT","",IFERROR(LOOKUP(2,1/((Log[ID]=Items[[#This Row],[ID]])*(Log[Verb]="block")),Log[Note])&amp;"",""))</f>
      </c>
      <c r="R127" s="17">
        <f>IF(Items[[#This Row],[ID]]="","",COUNTIFS(Log[ID],Items[[#This Row],[ID]],Log[Verb],"carry"))</f>
      </c>
      <c r="S127" s="17">
        <f>IF(Items[[#This Row],[ID]]="","",COUNTIFS(Log[ID],Items[[#This Row],[ID]],Log[Verb],"punt"))</f>
      </c>
      <c r="T127" s="11">
        <f>IF(Items[[#This Row],[State]]&lt;&gt;"DONE","",IFERROR(LOOKUP(2,1/((Log[ID]=Items[[#This Row],[ID]])*(Log[Verb]="done")),Log[Date]),""))</f>
      </c>
      <c r="U127" s="17">
        <f>IF(Items[[#This Row],[ID]]="","",IF(AND(Items[[#This Row],[Sprint]]=CurSprint,OR(Items[[#This Row],[State]]="OPEN",Items[[#This Row],[State]]="WAIT",Items[[#This Row],[State]]="HOLD",Items[[#This Row],[State]]="DONE")),1,0))</f>
      </c>
      <c r="V127" s="17">
        <f>IF(OR(Items[[#This Row],[ID]]="",Items[[#This Row],[Added]]=""),"",AsOf-Items[[#This Row],[Added]])</f>
      </c>
      <c r="W127" s="17">
        <f>IF(Items[[#This Row],[In sprint]]=1,(IF(Items[[#This Row],[Prio]]="",9,N(Items[[#This Row],[Prio]]))*10+(IF(Items[[#This Row],[State]]="DONE",1,0)))*100000+ROW(),"")</f>
      </c>
      <c r="X12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27" s="17">
        <f>IF(AND(Items[[#This Row],[State]]="DONE",N(Items[[#This Row],[Done on]])&gt;AsOf-7),(200000-N(Items[[#This Row],[Done on]]))*100000+ROW(),"")</f>
      </c>
    </row>
    <row r="128">
      <c r="A128" t="s">
        <v>286</v>
      </c>
      <c r="B128" t="s">
        <v>1320</v>
      </c>
      <c r="C128" t="s">
        <v>1115</v>
      </c>
      <c r="D128" t="s">
        <v>1119</v>
      </c>
      <c r="E128" t="s">
        <v>1139</v>
      </c>
      <c r="F128" t="s">
        <v>1249</v>
      </c>
      <c r="G128">
        <v>3</v>
      </c>
      <c r="H128">
        <v>1</v>
      </c>
      <c r="I128" s="11">
        <v>46077</v>
      </c>
      <c r="J128" s="17">
        <f>IF(Items[[#This Row],[ID]]="","",IFERROR(VALUE(LOOKUP(2,1/((Log[ID]=Items[[#This Row],[ID]])*(Log[Verb]="est")),Log[Arg])),N(Items[[#This Row],[Points]])))</f>
      </c>
      <c r="K128" s="17">
        <f>IF(Items[[#This Row],[ID]]="","",IFERROR(LOOKUP(2,1/((Log[ID]=Items[[#This Row],[ID]])*(Log[Verb]="pass")),Log[Arg])&amp;"",Items[[#This Row],[Team]]&amp;""))</f>
      </c>
      <c r="L128" s="17">
        <f>IF(Items[[#This Row],[ID]]="","",IFERROR(LOOKUP(2,1/((Log[ID]=Items[[#This Row],[ID]])*(Log[Into]&lt;&gt;"")),Log[Into]),""))</f>
      </c>
      <c r="M128" s="17">
        <f>IF(Items[[#This Row],[ID]]="","",IF(IFERROR(LOOKUP(2,1/((Log[ID]=Items[[#This Row],[ID]])*(Log[Blk]&lt;&gt;"")),Log[Blk]),0)=1,"Y",""))</f>
      </c>
      <c r="N128" s="17">
        <f>IF(Items[[#This Row],[ID]]="","",SUBSTITUTE(IFERROR(LOOKUP(2,1/((Log[ID]=Items[[#This Row],[ID]])*(Log[State]&lt;&gt;"")),Log[State]),"TODO"),"OPEN",IF(Items[[#This Row],[Blocked]]="Y","WAIT","OPEN")))</f>
      </c>
      <c r="O12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28" s="17">
        <f>IF(Items[[#This Row],[State]]&lt;&gt;"WAIT","",AsOf-Items[[#This Row],[Blocked since]])</f>
      </c>
      <c r="Q128" s="17">
        <f>IF(Items[[#This Row],[State]]&lt;&gt;"WAIT","",IFERROR(LOOKUP(2,1/((Log[ID]=Items[[#This Row],[ID]])*(Log[Verb]="block")),Log[Note])&amp;"",""))</f>
      </c>
      <c r="R128" s="17">
        <f>IF(Items[[#This Row],[ID]]="","",COUNTIFS(Log[ID],Items[[#This Row],[ID]],Log[Verb],"carry"))</f>
      </c>
      <c r="S128" s="17">
        <f>IF(Items[[#This Row],[ID]]="","",COUNTIFS(Log[ID],Items[[#This Row],[ID]],Log[Verb],"punt"))</f>
      </c>
      <c r="T128" s="11">
        <f>IF(Items[[#This Row],[State]]&lt;&gt;"DONE","",IFERROR(LOOKUP(2,1/((Log[ID]=Items[[#This Row],[ID]])*(Log[Verb]="done")),Log[Date]),""))</f>
      </c>
      <c r="U128" s="17">
        <f>IF(Items[[#This Row],[ID]]="","",IF(AND(Items[[#This Row],[Sprint]]=CurSprint,OR(Items[[#This Row],[State]]="OPEN",Items[[#This Row],[State]]="WAIT",Items[[#This Row],[State]]="HOLD",Items[[#This Row],[State]]="DONE")),1,0))</f>
      </c>
      <c r="V128" s="17">
        <f>IF(OR(Items[[#This Row],[ID]]="",Items[[#This Row],[Added]]=""),"",AsOf-Items[[#This Row],[Added]])</f>
      </c>
      <c r="W128" s="17">
        <f>IF(Items[[#This Row],[In sprint]]=1,(IF(Items[[#This Row],[Prio]]="",9,N(Items[[#This Row],[Prio]]))*10+(IF(Items[[#This Row],[State]]="DONE",1,0)))*100000+ROW(),"")</f>
      </c>
      <c r="X12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28" s="17">
        <f>IF(AND(Items[[#This Row],[State]]="DONE",N(Items[[#This Row],[Done on]])&gt;AsOf-7),(200000-N(Items[[#This Row],[Done on]]))*100000+ROW(),"")</f>
      </c>
    </row>
    <row r="129">
      <c r="A129" t="s">
        <v>287</v>
      </c>
      <c r="B129" t="s">
        <v>1321</v>
      </c>
      <c r="C129" t="s">
        <v>1115</v>
      </c>
      <c r="D129" t="s">
        <v>1119</v>
      </c>
      <c r="E129" t="s">
        <v>1139</v>
      </c>
      <c r="F129" t="s">
        <v>1175</v>
      </c>
      <c r="G129">
        <v>5</v>
      </c>
      <c r="H129">
        <v>3</v>
      </c>
      <c r="I129" s="11">
        <v>46077</v>
      </c>
      <c r="J129" s="17">
        <f>IF(Items[[#This Row],[ID]]="","",IFERROR(VALUE(LOOKUP(2,1/((Log[ID]=Items[[#This Row],[ID]])*(Log[Verb]="est")),Log[Arg])),N(Items[[#This Row],[Points]])))</f>
      </c>
      <c r="K129" s="17">
        <f>IF(Items[[#This Row],[ID]]="","",IFERROR(LOOKUP(2,1/((Log[ID]=Items[[#This Row],[ID]])*(Log[Verb]="pass")),Log[Arg])&amp;"",Items[[#This Row],[Team]]&amp;""))</f>
      </c>
      <c r="L129" s="17">
        <f>IF(Items[[#This Row],[ID]]="","",IFERROR(LOOKUP(2,1/((Log[ID]=Items[[#This Row],[ID]])*(Log[Into]&lt;&gt;"")),Log[Into]),""))</f>
      </c>
      <c r="M129" s="17">
        <f>IF(Items[[#This Row],[ID]]="","",IF(IFERROR(LOOKUP(2,1/((Log[ID]=Items[[#This Row],[ID]])*(Log[Blk]&lt;&gt;"")),Log[Blk]),0)=1,"Y",""))</f>
      </c>
      <c r="N129" s="17">
        <f>IF(Items[[#This Row],[ID]]="","",SUBSTITUTE(IFERROR(LOOKUP(2,1/((Log[ID]=Items[[#This Row],[ID]])*(Log[State]&lt;&gt;"")),Log[State]),"TODO"),"OPEN",IF(Items[[#This Row],[Blocked]]="Y","WAIT","OPEN")))</f>
      </c>
      <c r="O12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29" s="17">
        <f>IF(Items[[#This Row],[State]]&lt;&gt;"WAIT","",AsOf-Items[[#This Row],[Blocked since]])</f>
      </c>
      <c r="Q129" s="17">
        <f>IF(Items[[#This Row],[State]]&lt;&gt;"WAIT","",IFERROR(LOOKUP(2,1/((Log[ID]=Items[[#This Row],[ID]])*(Log[Verb]="block")),Log[Note])&amp;"",""))</f>
      </c>
      <c r="R129" s="17">
        <f>IF(Items[[#This Row],[ID]]="","",COUNTIFS(Log[ID],Items[[#This Row],[ID]],Log[Verb],"carry"))</f>
      </c>
      <c r="S129" s="17">
        <f>IF(Items[[#This Row],[ID]]="","",COUNTIFS(Log[ID],Items[[#This Row],[ID]],Log[Verb],"punt"))</f>
      </c>
      <c r="T129" s="11">
        <f>IF(Items[[#This Row],[State]]&lt;&gt;"DONE","",IFERROR(LOOKUP(2,1/((Log[ID]=Items[[#This Row],[ID]])*(Log[Verb]="done")),Log[Date]),""))</f>
      </c>
      <c r="U129" s="17">
        <f>IF(Items[[#This Row],[ID]]="","",IF(AND(Items[[#This Row],[Sprint]]=CurSprint,OR(Items[[#This Row],[State]]="OPEN",Items[[#This Row],[State]]="WAIT",Items[[#This Row],[State]]="HOLD",Items[[#This Row],[State]]="DONE")),1,0))</f>
      </c>
      <c r="V129" s="17">
        <f>IF(OR(Items[[#This Row],[ID]]="",Items[[#This Row],[Added]]=""),"",AsOf-Items[[#This Row],[Added]])</f>
      </c>
      <c r="W129" s="17">
        <f>IF(Items[[#This Row],[In sprint]]=1,(IF(Items[[#This Row],[Prio]]="",9,N(Items[[#This Row],[Prio]]))*10+(IF(Items[[#This Row],[State]]="DONE",1,0)))*100000+ROW(),"")</f>
      </c>
      <c r="X12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29" s="17">
        <f>IF(AND(Items[[#This Row],[State]]="DONE",N(Items[[#This Row],[Done on]])&gt;AsOf-7),(200000-N(Items[[#This Row],[Done on]]))*100000+ROW(),"")</f>
      </c>
    </row>
    <row r="130">
      <c r="A130" t="s">
        <v>288</v>
      </c>
      <c r="B130" t="s">
        <v>1322</v>
      </c>
      <c r="C130" t="s">
        <v>1115</v>
      </c>
      <c r="D130" t="s">
        <v>1119</v>
      </c>
      <c r="E130" t="s">
        <v>1139</v>
      </c>
      <c r="F130" t="s">
        <v>1323</v>
      </c>
      <c r="G130">
        <v>8</v>
      </c>
      <c r="H130">
        <v>2</v>
      </c>
      <c r="I130" s="11">
        <v>46077</v>
      </c>
      <c r="J130" s="17">
        <f>IF(Items[[#This Row],[ID]]="","",IFERROR(VALUE(LOOKUP(2,1/((Log[ID]=Items[[#This Row],[ID]])*(Log[Verb]="est")),Log[Arg])),N(Items[[#This Row],[Points]])))</f>
      </c>
      <c r="K130" s="17">
        <f>IF(Items[[#This Row],[ID]]="","",IFERROR(LOOKUP(2,1/((Log[ID]=Items[[#This Row],[ID]])*(Log[Verb]="pass")),Log[Arg])&amp;"",Items[[#This Row],[Team]]&amp;""))</f>
      </c>
      <c r="L130" s="17">
        <f>IF(Items[[#This Row],[ID]]="","",IFERROR(LOOKUP(2,1/((Log[ID]=Items[[#This Row],[ID]])*(Log[Into]&lt;&gt;"")),Log[Into]),""))</f>
      </c>
      <c r="M130" s="17">
        <f>IF(Items[[#This Row],[ID]]="","",IF(IFERROR(LOOKUP(2,1/((Log[ID]=Items[[#This Row],[ID]])*(Log[Blk]&lt;&gt;"")),Log[Blk]),0)=1,"Y",""))</f>
      </c>
      <c r="N130" s="17">
        <f>IF(Items[[#This Row],[ID]]="","",SUBSTITUTE(IFERROR(LOOKUP(2,1/((Log[ID]=Items[[#This Row],[ID]])*(Log[State]&lt;&gt;"")),Log[State]),"TODO"),"OPEN",IF(Items[[#This Row],[Blocked]]="Y","WAIT","OPEN")))</f>
      </c>
      <c r="O13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30" s="17">
        <f>IF(Items[[#This Row],[State]]&lt;&gt;"WAIT","",AsOf-Items[[#This Row],[Blocked since]])</f>
      </c>
      <c r="Q130" s="17">
        <f>IF(Items[[#This Row],[State]]&lt;&gt;"WAIT","",IFERROR(LOOKUP(2,1/((Log[ID]=Items[[#This Row],[ID]])*(Log[Verb]="block")),Log[Note])&amp;"",""))</f>
      </c>
      <c r="R130" s="17">
        <f>IF(Items[[#This Row],[ID]]="","",COUNTIFS(Log[ID],Items[[#This Row],[ID]],Log[Verb],"carry"))</f>
      </c>
      <c r="S130" s="17">
        <f>IF(Items[[#This Row],[ID]]="","",COUNTIFS(Log[ID],Items[[#This Row],[ID]],Log[Verb],"punt"))</f>
      </c>
      <c r="T130" s="11">
        <f>IF(Items[[#This Row],[State]]&lt;&gt;"DONE","",IFERROR(LOOKUP(2,1/((Log[ID]=Items[[#This Row],[ID]])*(Log[Verb]="done")),Log[Date]),""))</f>
      </c>
      <c r="U130" s="17">
        <f>IF(Items[[#This Row],[ID]]="","",IF(AND(Items[[#This Row],[Sprint]]=CurSprint,OR(Items[[#This Row],[State]]="OPEN",Items[[#This Row],[State]]="WAIT",Items[[#This Row],[State]]="HOLD",Items[[#This Row],[State]]="DONE")),1,0))</f>
      </c>
      <c r="V130" s="17">
        <f>IF(OR(Items[[#This Row],[ID]]="",Items[[#This Row],[Added]]=""),"",AsOf-Items[[#This Row],[Added]])</f>
      </c>
      <c r="W130" s="17">
        <f>IF(Items[[#This Row],[In sprint]]=1,(IF(Items[[#This Row],[Prio]]="",9,N(Items[[#This Row],[Prio]]))*10+(IF(Items[[#This Row],[State]]="DONE",1,0)))*100000+ROW(),"")</f>
      </c>
      <c r="X13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30" s="17">
        <f>IF(AND(Items[[#This Row],[State]]="DONE",N(Items[[#This Row],[Done on]])&gt;AsOf-7),(200000-N(Items[[#This Row],[Done on]]))*100000+ROW(),"")</f>
      </c>
    </row>
    <row r="131">
      <c r="A131" t="s">
        <v>290</v>
      </c>
      <c r="B131" t="s">
        <v>1324</v>
      </c>
      <c r="C131" t="s">
        <v>1107</v>
      </c>
      <c r="D131" t="s">
        <v>1123</v>
      </c>
      <c r="E131" t="s">
        <v>1177</v>
      </c>
      <c r="F131" t="s">
        <v>1257</v>
      </c>
      <c r="G131">
        <v>5</v>
      </c>
      <c r="H131">
        <v>3</v>
      </c>
      <c r="I131" s="11">
        <v>46077</v>
      </c>
      <c r="J131" s="17">
        <f>IF(Items[[#This Row],[ID]]="","",IFERROR(VALUE(LOOKUP(2,1/((Log[ID]=Items[[#This Row],[ID]])*(Log[Verb]="est")),Log[Arg])),N(Items[[#This Row],[Points]])))</f>
      </c>
      <c r="K131" s="17">
        <f>IF(Items[[#This Row],[ID]]="","",IFERROR(LOOKUP(2,1/((Log[ID]=Items[[#This Row],[ID]])*(Log[Verb]="pass")),Log[Arg])&amp;"",Items[[#This Row],[Team]]&amp;""))</f>
      </c>
      <c r="L131" s="17">
        <f>IF(Items[[#This Row],[ID]]="","",IFERROR(LOOKUP(2,1/((Log[ID]=Items[[#This Row],[ID]])*(Log[Into]&lt;&gt;"")),Log[Into]),""))</f>
      </c>
      <c r="M131" s="17">
        <f>IF(Items[[#This Row],[ID]]="","",IF(IFERROR(LOOKUP(2,1/((Log[ID]=Items[[#This Row],[ID]])*(Log[Blk]&lt;&gt;"")),Log[Blk]),0)=1,"Y",""))</f>
      </c>
      <c r="N131" s="17">
        <f>IF(Items[[#This Row],[ID]]="","",SUBSTITUTE(IFERROR(LOOKUP(2,1/((Log[ID]=Items[[#This Row],[ID]])*(Log[State]&lt;&gt;"")),Log[State]),"TODO"),"OPEN",IF(Items[[#This Row],[Blocked]]="Y","WAIT","OPEN")))</f>
      </c>
      <c r="O13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31" s="17">
        <f>IF(Items[[#This Row],[State]]&lt;&gt;"WAIT","",AsOf-Items[[#This Row],[Blocked since]])</f>
      </c>
      <c r="Q131" s="17">
        <f>IF(Items[[#This Row],[State]]&lt;&gt;"WAIT","",IFERROR(LOOKUP(2,1/((Log[ID]=Items[[#This Row],[ID]])*(Log[Verb]="block")),Log[Note])&amp;"",""))</f>
      </c>
      <c r="R131" s="17">
        <f>IF(Items[[#This Row],[ID]]="","",COUNTIFS(Log[ID],Items[[#This Row],[ID]],Log[Verb],"carry"))</f>
      </c>
      <c r="S131" s="17">
        <f>IF(Items[[#This Row],[ID]]="","",COUNTIFS(Log[ID],Items[[#This Row],[ID]],Log[Verb],"punt"))</f>
      </c>
      <c r="T131" s="11">
        <f>IF(Items[[#This Row],[State]]&lt;&gt;"DONE","",IFERROR(LOOKUP(2,1/((Log[ID]=Items[[#This Row],[ID]])*(Log[Verb]="done")),Log[Date]),""))</f>
      </c>
      <c r="U131" s="17">
        <f>IF(Items[[#This Row],[ID]]="","",IF(AND(Items[[#This Row],[Sprint]]=CurSprint,OR(Items[[#This Row],[State]]="OPEN",Items[[#This Row],[State]]="WAIT",Items[[#This Row],[State]]="HOLD",Items[[#This Row],[State]]="DONE")),1,0))</f>
      </c>
      <c r="V131" s="17">
        <f>IF(OR(Items[[#This Row],[ID]]="",Items[[#This Row],[Added]]=""),"",AsOf-Items[[#This Row],[Added]])</f>
      </c>
      <c r="W131" s="17">
        <f>IF(Items[[#This Row],[In sprint]]=1,(IF(Items[[#This Row],[Prio]]="",9,N(Items[[#This Row],[Prio]]))*10+(IF(Items[[#This Row],[State]]="DONE",1,0)))*100000+ROW(),"")</f>
      </c>
      <c r="X13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31" s="17">
        <f>IF(AND(Items[[#This Row],[State]]="DONE",N(Items[[#This Row],[Done on]])&gt;AsOf-7),(200000-N(Items[[#This Row],[Done on]]))*100000+ROW(),"")</f>
      </c>
    </row>
    <row r="132">
      <c r="A132" t="s">
        <v>291</v>
      </c>
      <c r="B132" t="s">
        <v>1325</v>
      </c>
      <c r="C132" t="s">
        <v>1115</v>
      </c>
      <c r="D132" t="s">
        <v>1119</v>
      </c>
      <c r="E132" t="s">
        <v>1177</v>
      </c>
      <c r="F132" t="s">
        <v>1261</v>
      </c>
      <c r="G132">
        <v>5</v>
      </c>
      <c r="H132">
        <v>3</v>
      </c>
      <c r="I132" s="11">
        <v>46077</v>
      </c>
      <c r="J132" s="17">
        <f>IF(Items[[#This Row],[ID]]="","",IFERROR(VALUE(LOOKUP(2,1/((Log[ID]=Items[[#This Row],[ID]])*(Log[Verb]="est")),Log[Arg])),N(Items[[#This Row],[Points]])))</f>
      </c>
      <c r="K132" s="17">
        <f>IF(Items[[#This Row],[ID]]="","",IFERROR(LOOKUP(2,1/((Log[ID]=Items[[#This Row],[ID]])*(Log[Verb]="pass")),Log[Arg])&amp;"",Items[[#This Row],[Team]]&amp;""))</f>
      </c>
      <c r="L132" s="17">
        <f>IF(Items[[#This Row],[ID]]="","",IFERROR(LOOKUP(2,1/((Log[ID]=Items[[#This Row],[ID]])*(Log[Into]&lt;&gt;"")),Log[Into]),""))</f>
      </c>
      <c r="M132" s="17">
        <f>IF(Items[[#This Row],[ID]]="","",IF(IFERROR(LOOKUP(2,1/((Log[ID]=Items[[#This Row],[ID]])*(Log[Blk]&lt;&gt;"")),Log[Blk]),0)=1,"Y",""))</f>
      </c>
      <c r="N132" s="17">
        <f>IF(Items[[#This Row],[ID]]="","",SUBSTITUTE(IFERROR(LOOKUP(2,1/((Log[ID]=Items[[#This Row],[ID]])*(Log[State]&lt;&gt;"")),Log[State]),"TODO"),"OPEN",IF(Items[[#This Row],[Blocked]]="Y","WAIT","OPEN")))</f>
      </c>
      <c r="O13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32" s="17">
        <f>IF(Items[[#This Row],[State]]&lt;&gt;"WAIT","",AsOf-Items[[#This Row],[Blocked since]])</f>
      </c>
      <c r="Q132" s="17">
        <f>IF(Items[[#This Row],[State]]&lt;&gt;"WAIT","",IFERROR(LOOKUP(2,1/((Log[ID]=Items[[#This Row],[ID]])*(Log[Verb]="block")),Log[Note])&amp;"",""))</f>
      </c>
      <c r="R132" s="17">
        <f>IF(Items[[#This Row],[ID]]="","",COUNTIFS(Log[ID],Items[[#This Row],[ID]],Log[Verb],"carry"))</f>
      </c>
      <c r="S132" s="17">
        <f>IF(Items[[#This Row],[ID]]="","",COUNTIFS(Log[ID],Items[[#This Row],[ID]],Log[Verb],"punt"))</f>
      </c>
      <c r="T132" s="11">
        <f>IF(Items[[#This Row],[State]]&lt;&gt;"DONE","",IFERROR(LOOKUP(2,1/((Log[ID]=Items[[#This Row],[ID]])*(Log[Verb]="done")),Log[Date]),""))</f>
      </c>
      <c r="U132" s="17">
        <f>IF(Items[[#This Row],[ID]]="","",IF(AND(Items[[#This Row],[Sprint]]=CurSprint,OR(Items[[#This Row],[State]]="OPEN",Items[[#This Row],[State]]="WAIT",Items[[#This Row],[State]]="HOLD",Items[[#This Row],[State]]="DONE")),1,0))</f>
      </c>
      <c r="V132" s="17">
        <f>IF(OR(Items[[#This Row],[ID]]="",Items[[#This Row],[Added]]=""),"",AsOf-Items[[#This Row],[Added]])</f>
      </c>
      <c r="W132" s="17">
        <f>IF(Items[[#This Row],[In sprint]]=1,(IF(Items[[#This Row],[Prio]]="",9,N(Items[[#This Row],[Prio]]))*10+(IF(Items[[#This Row],[State]]="DONE",1,0)))*100000+ROW(),"")</f>
      </c>
      <c r="X13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32" s="17">
        <f>IF(AND(Items[[#This Row],[State]]="DONE",N(Items[[#This Row],[Done on]])&gt;AsOf-7),(200000-N(Items[[#This Row],[Done on]]))*100000+ROW(),"")</f>
      </c>
    </row>
    <row r="133">
      <c r="A133" t="s">
        <v>292</v>
      </c>
      <c r="B133" t="s">
        <v>1326</v>
      </c>
      <c r="C133" t="s">
        <v>1115</v>
      </c>
      <c r="D133" t="s">
        <v>1116</v>
      </c>
      <c r="E133" t="s">
        <v>1177</v>
      </c>
      <c r="F133" t="s">
        <v>1327</v>
      </c>
      <c r="G133">
        <v>2</v>
      </c>
      <c r="H133">
        <v>2</v>
      </c>
      <c r="I133" s="11">
        <v>46077</v>
      </c>
      <c r="J133" s="17">
        <f>IF(Items[[#This Row],[ID]]="","",IFERROR(VALUE(LOOKUP(2,1/((Log[ID]=Items[[#This Row],[ID]])*(Log[Verb]="est")),Log[Arg])),N(Items[[#This Row],[Points]])))</f>
      </c>
      <c r="K133" s="17">
        <f>IF(Items[[#This Row],[ID]]="","",IFERROR(LOOKUP(2,1/((Log[ID]=Items[[#This Row],[ID]])*(Log[Verb]="pass")),Log[Arg])&amp;"",Items[[#This Row],[Team]]&amp;""))</f>
      </c>
      <c r="L133" s="17">
        <f>IF(Items[[#This Row],[ID]]="","",IFERROR(LOOKUP(2,1/((Log[ID]=Items[[#This Row],[ID]])*(Log[Into]&lt;&gt;"")),Log[Into]),""))</f>
      </c>
      <c r="M133" s="17">
        <f>IF(Items[[#This Row],[ID]]="","",IF(IFERROR(LOOKUP(2,1/((Log[ID]=Items[[#This Row],[ID]])*(Log[Blk]&lt;&gt;"")),Log[Blk]),0)=1,"Y",""))</f>
      </c>
      <c r="N133" s="17">
        <f>IF(Items[[#This Row],[ID]]="","",SUBSTITUTE(IFERROR(LOOKUP(2,1/((Log[ID]=Items[[#This Row],[ID]])*(Log[State]&lt;&gt;"")),Log[State]),"TODO"),"OPEN",IF(Items[[#This Row],[Blocked]]="Y","WAIT","OPEN")))</f>
      </c>
      <c r="O13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33" s="17">
        <f>IF(Items[[#This Row],[State]]&lt;&gt;"WAIT","",AsOf-Items[[#This Row],[Blocked since]])</f>
      </c>
      <c r="Q133" s="17">
        <f>IF(Items[[#This Row],[State]]&lt;&gt;"WAIT","",IFERROR(LOOKUP(2,1/((Log[ID]=Items[[#This Row],[ID]])*(Log[Verb]="block")),Log[Note])&amp;"",""))</f>
      </c>
      <c r="R133" s="17">
        <f>IF(Items[[#This Row],[ID]]="","",COUNTIFS(Log[ID],Items[[#This Row],[ID]],Log[Verb],"carry"))</f>
      </c>
      <c r="S133" s="17">
        <f>IF(Items[[#This Row],[ID]]="","",COUNTIFS(Log[ID],Items[[#This Row],[ID]],Log[Verb],"punt"))</f>
      </c>
      <c r="T133" s="11">
        <f>IF(Items[[#This Row],[State]]&lt;&gt;"DONE","",IFERROR(LOOKUP(2,1/((Log[ID]=Items[[#This Row],[ID]])*(Log[Verb]="done")),Log[Date]),""))</f>
      </c>
      <c r="U133" s="17">
        <f>IF(Items[[#This Row],[ID]]="","",IF(AND(Items[[#This Row],[Sprint]]=CurSprint,OR(Items[[#This Row],[State]]="OPEN",Items[[#This Row],[State]]="WAIT",Items[[#This Row],[State]]="HOLD",Items[[#This Row],[State]]="DONE")),1,0))</f>
      </c>
      <c r="V133" s="17">
        <f>IF(OR(Items[[#This Row],[ID]]="",Items[[#This Row],[Added]]=""),"",AsOf-Items[[#This Row],[Added]])</f>
      </c>
      <c r="W133" s="17">
        <f>IF(Items[[#This Row],[In sprint]]=1,(IF(Items[[#This Row],[Prio]]="",9,N(Items[[#This Row],[Prio]]))*10+(IF(Items[[#This Row],[State]]="DONE",1,0)))*100000+ROW(),"")</f>
      </c>
      <c r="X13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33" s="17">
        <f>IF(AND(Items[[#This Row],[State]]="DONE",N(Items[[#This Row],[Done on]])&gt;AsOf-7),(200000-N(Items[[#This Row],[Done on]]))*100000+ROW(),"")</f>
      </c>
    </row>
    <row r="134">
      <c r="A134" t="s">
        <v>293</v>
      </c>
      <c r="B134" t="s">
        <v>1328</v>
      </c>
      <c r="C134" t="s">
        <v>1107</v>
      </c>
      <c r="D134" t="s">
        <v>1108</v>
      </c>
      <c r="E134" t="s">
        <v>1177</v>
      </c>
      <c r="F134" t="s">
        <v>1178</v>
      </c>
      <c r="G134">
        <v>5</v>
      </c>
      <c r="H134">
        <v>3</v>
      </c>
      <c r="I134" s="11">
        <v>46077</v>
      </c>
      <c r="J134" s="17">
        <f>IF(Items[[#This Row],[ID]]="","",IFERROR(VALUE(LOOKUP(2,1/((Log[ID]=Items[[#This Row],[ID]])*(Log[Verb]="est")),Log[Arg])),N(Items[[#This Row],[Points]])))</f>
      </c>
      <c r="K134" s="17">
        <f>IF(Items[[#This Row],[ID]]="","",IFERROR(LOOKUP(2,1/((Log[ID]=Items[[#This Row],[ID]])*(Log[Verb]="pass")),Log[Arg])&amp;"",Items[[#This Row],[Team]]&amp;""))</f>
      </c>
      <c r="L134" s="17">
        <f>IF(Items[[#This Row],[ID]]="","",IFERROR(LOOKUP(2,1/((Log[ID]=Items[[#This Row],[ID]])*(Log[Into]&lt;&gt;"")),Log[Into]),""))</f>
      </c>
      <c r="M134" s="17">
        <f>IF(Items[[#This Row],[ID]]="","",IF(IFERROR(LOOKUP(2,1/((Log[ID]=Items[[#This Row],[ID]])*(Log[Blk]&lt;&gt;"")),Log[Blk]),0)=1,"Y",""))</f>
      </c>
      <c r="N134" s="17">
        <f>IF(Items[[#This Row],[ID]]="","",SUBSTITUTE(IFERROR(LOOKUP(2,1/((Log[ID]=Items[[#This Row],[ID]])*(Log[State]&lt;&gt;"")),Log[State]),"TODO"),"OPEN",IF(Items[[#This Row],[Blocked]]="Y","WAIT","OPEN")))</f>
      </c>
      <c r="O13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34" s="17">
        <f>IF(Items[[#This Row],[State]]&lt;&gt;"WAIT","",AsOf-Items[[#This Row],[Blocked since]])</f>
      </c>
      <c r="Q134" s="17">
        <f>IF(Items[[#This Row],[State]]&lt;&gt;"WAIT","",IFERROR(LOOKUP(2,1/((Log[ID]=Items[[#This Row],[ID]])*(Log[Verb]="block")),Log[Note])&amp;"",""))</f>
      </c>
      <c r="R134" s="17">
        <f>IF(Items[[#This Row],[ID]]="","",COUNTIFS(Log[ID],Items[[#This Row],[ID]],Log[Verb],"carry"))</f>
      </c>
      <c r="S134" s="17">
        <f>IF(Items[[#This Row],[ID]]="","",COUNTIFS(Log[ID],Items[[#This Row],[ID]],Log[Verb],"punt"))</f>
      </c>
      <c r="T134" s="11">
        <f>IF(Items[[#This Row],[State]]&lt;&gt;"DONE","",IFERROR(LOOKUP(2,1/((Log[ID]=Items[[#This Row],[ID]])*(Log[Verb]="done")),Log[Date]),""))</f>
      </c>
      <c r="U134" s="17">
        <f>IF(Items[[#This Row],[ID]]="","",IF(AND(Items[[#This Row],[Sprint]]=CurSprint,OR(Items[[#This Row],[State]]="OPEN",Items[[#This Row],[State]]="WAIT",Items[[#This Row],[State]]="HOLD",Items[[#This Row],[State]]="DONE")),1,0))</f>
      </c>
      <c r="V134" s="17">
        <f>IF(OR(Items[[#This Row],[ID]]="",Items[[#This Row],[Added]]=""),"",AsOf-Items[[#This Row],[Added]])</f>
      </c>
      <c r="W134" s="17">
        <f>IF(Items[[#This Row],[In sprint]]=1,(IF(Items[[#This Row],[Prio]]="",9,N(Items[[#This Row],[Prio]]))*10+(IF(Items[[#This Row],[State]]="DONE",1,0)))*100000+ROW(),"")</f>
      </c>
      <c r="X13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34" s="17">
        <f>IF(AND(Items[[#This Row],[State]]="DONE",N(Items[[#This Row],[Done on]])&gt;AsOf-7),(200000-N(Items[[#This Row],[Done on]]))*100000+ROW(),"")</f>
      </c>
    </row>
    <row r="135">
      <c r="A135" t="s">
        <v>297</v>
      </c>
      <c r="B135" t="s">
        <v>1329</v>
      </c>
      <c r="C135" t="s">
        <v>1115</v>
      </c>
      <c r="D135" t="s">
        <v>1116</v>
      </c>
      <c r="E135" t="s">
        <v>1112</v>
      </c>
      <c r="F135" t="s">
        <v>1147</v>
      </c>
      <c r="G135">
        <v>5</v>
      </c>
      <c r="H135">
        <v>1</v>
      </c>
      <c r="I135" s="11">
        <v>46091</v>
      </c>
      <c r="J135" s="17">
        <f>IF(Items[[#This Row],[ID]]="","",IFERROR(VALUE(LOOKUP(2,1/((Log[ID]=Items[[#This Row],[ID]])*(Log[Verb]="est")),Log[Arg])),N(Items[[#This Row],[Points]])))</f>
      </c>
      <c r="K135" s="17">
        <f>IF(Items[[#This Row],[ID]]="","",IFERROR(LOOKUP(2,1/((Log[ID]=Items[[#This Row],[ID]])*(Log[Verb]="pass")),Log[Arg])&amp;"",Items[[#This Row],[Team]]&amp;""))</f>
      </c>
      <c r="L135" s="17">
        <f>IF(Items[[#This Row],[ID]]="","",IFERROR(LOOKUP(2,1/((Log[ID]=Items[[#This Row],[ID]])*(Log[Into]&lt;&gt;"")),Log[Into]),""))</f>
      </c>
      <c r="M135" s="17">
        <f>IF(Items[[#This Row],[ID]]="","",IF(IFERROR(LOOKUP(2,1/((Log[ID]=Items[[#This Row],[ID]])*(Log[Blk]&lt;&gt;"")),Log[Blk]),0)=1,"Y",""))</f>
      </c>
      <c r="N135" s="17">
        <f>IF(Items[[#This Row],[ID]]="","",SUBSTITUTE(IFERROR(LOOKUP(2,1/((Log[ID]=Items[[#This Row],[ID]])*(Log[State]&lt;&gt;"")),Log[State]),"TODO"),"OPEN",IF(Items[[#This Row],[Blocked]]="Y","WAIT","OPEN")))</f>
      </c>
      <c r="O13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35" s="17">
        <f>IF(Items[[#This Row],[State]]&lt;&gt;"WAIT","",AsOf-Items[[#This Row],[Blocked since]])</f>
      </c>
      <c r="Q135" s="17">
        <f>IF(Items[[#This Row],[State]]&lt;&gt;"WAIT","",IFERROR(LOOKUP(2,1/((Log[ID]=Items[[#This Row],[ID]])*(Log[Verb]="block")),Log[Note])&amp;"",""))</f>
      </c>
      <c r="R135" s="17">
        <f>IF(Items[[#This Row],[ID]]="","",COUNTIFS(Log[ID],Items[[#This Row],[ID]],Log[Verb],"carry"))</f>
      </c>
      <c r="S135" s="17">
        <f>IF(Items[[#This Row],[ID]]="","",COUNTIFS(Log[ID],Items[[#This Row],[ID]],Log[Verb],"punt"))</f>
      </c>
      <c r="T135" s="11">
        <f>IF(Items[[#This Row],[State]]&lt;&gt;"DONE","",IFERROR(LOOKUP(2,1/((Log[ID]=Items[[#This Row],[ID]])*(Log[Verb]="done")),Log[Date]),""))</f>
      </c>
      <c r="U135" s="17">
        <f>IF(Items[[#This Row],[ID]]="","",IF(AND(Items[[#This Row],[Sprint]]=CurSprint,OR(Items[[#This Row],[State]]="OPEN",Items[[#This Row],[State]]="WAIT",Items[[#This Row],[State]]="HOLD",Items[[#This Row],[State]]="DONE")),1,0))</f>
      </c>
      <c r="V135" s="17">
        <f>IF(OR(Items[[#This Row],[ID]]="",Items[[#This Row],[Added]]=""),"",AsOf-Items[[#This Row],[Added]])</f>
      </c>
      <c r="W135" s="17">
        <f>IF(Items[[#This Row],[In sprint]]=1,(IF(Items[[#This Row],[Prio]]="",9,N(Items[[#This Row],[Prio]]))*10+(IF(Items[[#This Row],[State]]="DONE",1,0)))*100000+ROW(),"")</f>
      </c>
      <c r="X13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35" s="17">
        <f>IF(AND(Items[[#This Row],[State]]="DONE",N(Items[[#This Row],[Done on]])&gt;AsOf-7),(200000-N(Items[[#This Row],[Done on]]))*100000+ROW(),"")</f>
      </c>
    </row>
    <row r="136">
      <c r="A136" t="s">
        <v>298</v>
      </c>
      <c r="B136" t="s">
        <v>1330</v>
      </c>
      <c r="C136" t="s">
        <v>1107</v>
      </c>
      <c r="D136" t="s">
        <v>1127</v>
      </c>
      <c r="E136" t="s">
        <v>1112</v>
      </c>
      <c r="F136" t="s">
        <v>1149</v>
      </c>
      <c r="G136">
        <v>3</v>
      </c>
      <c r="H136">
        <v>1</v>
      </c>
      <c r="I136" s="11">
        <v>46091</v>
      </c>
      <c r="J136" s="17">
        <f>IF(Items[[#This Row],[ID]]="","",IFERROR(VALUE(LOOKUP(2,1/((Log[ID]=Items[[#This Row],[ID]])*(Log[Verb]="est")),Log[Arg])),N(Items[[#This Row],[Points]])))</f>
      </c>
      <c r="K136" s="17">
        <f>IF(Items[[#This Row],[ID]]="","",IFERROR(LOOKUP(2,1/((Log[ID]=Items[[#This Row],[ID]])*(Log[Verb]="pass")),Log[Arg])&amp;"",Items[[#This Row],[Team]]&amp;""))</f>
      </c>
      <c r="L136" s="17">
        <f>IF(Items[[#This Row],[ID]]="","",IFERROR(LOOKUP(2,1/((Log[ID]=Items[[#This Row],[ID]])*(Log[Into]&lt;&gt;"")),Log[Into]),""))</f>
      </c>
      <c r="M136" s="17">
        <f>IF(Items[[#This Row],[ID]]="","",IF(IFERROR(LOOKUP(2,1/((Log[ID]=Items[[#This Row],[ID]])*(Log[Blk]&lt;&gt;"")),Log[Blk]),0)=1,"Y",""))</f>
      </c>
      <c r="N136" s="17">
        <f>IF(Items[[#This Row],[ID]]="","",SUBSTITUTE(IFERROR(LOOKUP(2,1/((Log[ID]=Items[[#This Row],[ID]])*(Log[State]&lt;&gt;"")),Log[State]),"TODO"),"OPEN",IF(Items[[#This Row],[Blocked]]="Y","WAIT","OPEN")))</f>
      </c>
      <c r="O13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36" s="17">
        <f>IF(Items[[#This Row],[State]]&lt;&gt;"WAIT","",AsOf-Items[[#This Row],[Blocked since]])</f>
      </c>
      <c r="Q136" s="17">
        <f>IF(Items[[#This Row],[State]]&lt;&gt;"WAIT","",IFERROR(LOOKUP(2,1/((Log[ID]=Items[[#This Row],[ID]])*(Log[Verb]="block")),Log[Note])&amp;"",""))</f>
      </c>
      <c r="R136" s="17">
        <f>IF(Items[[#This Row],[ID]]="","",COUNTIFS(Log[ID],Items[[#This Row],[ID]],Log[Verb],"carry"))</f>
      </c>
      <c r="S136" s="17">
        <f>IF(Items[[#This Row],[ID]]="","",COUNTIFS(Log[ID],Items[[#This Row],[ID]],Log[Verb],"punt"))</f>
      </c>
      <c r="T136" s="11">
        <f>IF(Items[[#This Row],[State]]&lt;&gt;"DONE","",IFERROR(LOOKUP(2,1/((Log[ID]=Items[[#This Row],[ID]])*(Log[Verb]="done")),Log[Date]),""))</f>
      </c>
      <c r="U136" s="17">
        <f>IF(Items[[#This Row],[ID]]="","",IF(AND(Items[[#This Row],[Sprint]]=CurSprint,OR(Items[[#This Row],[State]]="OPEN",Items[[#This Row],[State]]="WAIT",Items[[#This Row],[State]]="HOLD",Items[[#This Row],[State]]="DONE")),1,0))</f>
      </c>
      <c r="V136" s="17">
        <f>IF(OR(Items[[#This Row],[ID]]="",Items[[#This Row],[Added]]=""),"",AsOf-Items[[#This Row],[Added]])</f>
      </c>
      <c r="W136" s="17">
        <f>IF(Items[[#This Row],[In sprint]]=1,(IF(Items[[#This Row],[Prio]]="",9,N(Items[[#This Row],[Prio]]))*10+(IF(Items[[#This Row],[State]]="DONE",1,0)))*100000+ROW(),"")</f>
      </c>
      <c r="X13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36" s="17">
        <f>IF(AND(Items[[#This Row],[State]]="DONE",N(Items[[#This Row],[Done on]])&gt;AsOf-7),(200000-N(Items[[#This Row],[Done on]]))*100000+ROW(),"")</f>
      </c>
    </row>
    <row r="137">
      <c r="A137" t="s">
        <v>299</v>
      </c>
      <c r="B137" t="s">
        <v>1331</v>
      </c>
      <c r="C137" t="s">
        <v>1115</v>
      </c>
      <c r="D137" t="s">
        <v>1119</v>
      </c>
      <c r="E137" t="s">
        <v>1112</v>
      </c>
      <c r="F137" t="s">
        <v>1265</v>
      </c>
      <c r="G137">
        <v>5</v>
      </c>
      <c r="H137">
        <v>1</v>
      </c>
      <c r="I137" s="11">
        <v>46091</v>
      </c>
      <c r="J137" s="17">
        <f>IF(Items[[#This Row],[ID]]="","",IFERROR(VALUE(LOOKUP(2,1/((Log[ID]=Items[[#This Row],[ID]])*(Log[Verb]="est")),Log[Arg])),N(Items[[#This Row],[Points]])))</f>
      </c>
      <c r="K137" s="17">
        <f>IF(Items[[#This Row],[ID]]="","",IFERROR(LOOKUP(2,1/((Log[ID]=Items[[#This Row],[ID]])*(Log[Verb]="pass")),Log[Arg])&amp;"",Items[[#This Row],[Team]]&amp;""))</f>
      </c>
      <c r="L137" s="17">
        <f>IF(Items[[#This Row],[ID]]="","",IFERROR(LOOKUP(2,1/((Log[ID]=Items[[#This Row],[ID]])*(Log[Into]&lt;&gt;"")),Log[Into]),""))</f>
      </c>
      <c r="M137" s="17">
        <f>IF(Items[[#This Row],[ID]]="","",IF(IFERROR(LOOKUP(2,1/((Log[ID]=Items[[#This Row],[ID]])*(Log[Blk]&lt;&gt;"")),Log[Blk]),0)=1,"Y",""))</f>
      </c>
      <c r="N137" s="17">
        <f>IF(Items[[#This Row],[ID]]="","",SUBSTITUTE(IFERROR(LOOKUP(2,1/((Log[ID]=Items[[#This Row],[ID]])*(Log[State]&lt;&gt;"")),Log[State]),"TODO"),"OPEN",IF(Items[[#This Row],[Blocked]]="Y","WAIT","OPEN")))</f>
      </c>
      <c r="O13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37" s="17">
        <f>IF(Items[[#This Row],[State]]&lt;&gt;"WAIT","",AsOf-Items[[#This Row],[Blocked since]])</f>
      </c>
      <c r="Q137" s="17">
        <f>IF(Items[[#This Row],[State]]&lt;&gt;"WAIT","",IFERROR(LOOKUP(2,1/((Log[ID]=Items[[#This Row],[ID]])*(Log[Verb]="block")),Log[Note])&amp;"",""))</f>
      </c>
      <c r="R137" s="17">
        <f>IF(Items[[#This Row],[ID]]="","",COUNTIFS(Log[ID],Items[[#This Row],[ID]],Log[Verb],"carry"))</f>
      </c>
      <c r="S137" s="17">
        <f>IF(Items[[#This Row],[ID]]="","",COUNTIFS(Log[ID],Items[[#This Row],[ID]],Log[Verb],"punt"))</f>
      </c>
      <c r="T137" s="11">
        <f>IF(Items[[#This Row],[State]]&lt;&gt;"DONE","",IFERROR(LOOKUP(2,1/((Log[ID]=Items[[#This Row],[ID]])*(Log[Verb]="done")),Log[Date]),""))</f>
      </c>
      <c r="U137" s="17">
        <f>IF(Items[[#This Row],[ID]]="","",IF(AND(Items[[#This Row],[Sprint]]=CurSprint,OR(Items[[#This Row],[State]]="OPEN",Items[[#This Row],[State]]="WAIT",Items[[#This Row],[State]]="HOLD",Items[[#This Row],[State]]="DONE")),1,0))</f>
      </c>
      <c r="V137" s="17">
        <f>IF(OR(Items[[#This Row],[ID]]="",Items[[#This Row],[Added]]=""),"",AsOf-Items[[#This Row],[Added]])</f>
      </c>
      <c r="W137" s="17">
        <f>IF(Items[[#This Row],[In sprint]]=1,(IF(Items[[#This Row],[Prio]]="",9,N(Items[[#This Row],[Prio]]))*10+(IF(Items[[#This Row],[State]]="DONE",1,0)))*100000+ROW(),"")</f>
      </c>
      <c r="X13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37" s="17">
        <f>IF(AND(Items[[#This Row],[State]]="DONE",N(Items[[#This Row],[Done on]])&gt;AsOf-7),(200000-N(Items[[#This Row],[Done on]]))*100000+ROW(),"")</f>
      </c>
    </row>
    <row r="138">
      <c r="A138" t="s">
        <v>300</v>
      </c>
      <c r="B138" t="s">
        <v>1332</v>
      </c>
      <c r="C138" t="s">
        <v>1115</v>
      </c>
      <c r="D138" t="s">
        <v>1119</v>
      </c>
      <c r="E138" t="s">
        <v>1112</v>
      </c>
      <c r="F138" t="s">
        <v>1184</v>
      </c>
      <c r="G138">
        <v>2</v>
      </c>
      <c r="H138">
        <v>1</v>
      </c>
      <c r="I138" s="11">
        <v>46091</v>
      </c>
      <c r="J138" s="17">
        <f>IF(Items[[#This Row],[ID]]="","",IFERROR(VALUE(LOOKUP(2,1/((Log[ID]=Items[[#This Row],[ID]])*(Log[Verb]="est")),Log[Arg])),N(Items[[#This Row],[Points]])))</f>
      </c>
      <c r="K138" s="17">
        <f>IF(Items[[#This Row],[ID]]="","",IFERROR(LOOKUP(2,1/((Log[ID]=Items[[#This Row],[ID]])*(Log[Verb]="pass")),Log[Arg])&amp;"",Items[[#This Row],[Team]]&amp;""))</f>
      </c>
      <c r="L138" s="17">
        <f>IF(Items[[#This Row],[ID]]="","",IFERROR(LOOKUP(2,1/((Log[ID]=Items[[#This Row],[ID]])*(Log[Into]&lt;&gt;"")),Log[Into]),""))</f>
      </c>
      <c r="M138" s="17">
        <f>IF(Items[[#This Row],[ID]]="","",IF(IFERROR(LOOKUP(2,1/((Log[ID]=Items[[#This Row],[ID]])*(Log[Blk]&lt;&gt;"")),Log[Blk]),0)=1,"Y",""))</f>
      </c>
      <c r="N138" s="17">
        <f>IF(Items[[#This Row],[ID]]="","",SUBSTITUTE(IFERROR(LOOKUP(2,1/((Log[ID]=Items[[#This Row],[ID]])*(Log[State]&lt;&gt;"")),Log[State]),"TODO"),"OPEN",IF(Items[[#This Row],[Blocked]]="Y","WAIT","OPEN")))</f>
      </c>
      <c r="O13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38" s="17">
        <f>IF(Items[[#This Row],[State]]&lt;&gt;"WAIT","",AsOf-Items[[#This Row],[Blocked since]])</f>
      </c>
      <c r="Q138" s="17">
        <f>IF(Items[[#This Row],[State]]&lt;&gt;"WAIT","",IFERROR(LOOKUP(2,1/((Log[ID]=Items[[#This Row],[ID]])*(Log[Verb]="block")),Log[Note])&amp;"",""))</f>
      </c>
      <c r="R138" s="17">
        <f>IF(Items[[#This Row],[ID]]="","",COUNTIFS(Log[ID],Items[[#This Row],[ID]],Log[Verb],"carry"))</f>
      </c>
      <c r="S138" s="17">
        <f>IF(Items[[#This Row],[ID]]="","",COUNTIFS(Log[ID],Items[[#This Row],[ID]],Log[Verb],"punt"))</f>
      </c>
      <c r="T138" s="11">
        <f>IF(Items[[#This Row],[State]]&lt;&gt;"DONE","",IFERROR(LOOKUP(2,1/((Log[ID]=Items[[#This Row],[ID]])*(Log[Verb]="done")),Log[Date]),""))</f>
      </c>
      <c r="U138" s="17">
        <f>IF(Items[[#This Row],[ID]]="","",IF(AND(Items[[#This Row],[Sprint]]=CurSprint,OR(Items[[#This Row],[State]]="OPEN",Items[[#This Row],[State]]="WAIT",Items[[#This Row],[State]]="HOLD",Items[[#This Row],[State]]="DONE")),1,0))</f>
      </c>
      <c r="V138" s="17">
        <f>IF(OR(Items[[#This Row],[ID]]="",Items[[#This Row],[Added]]=""),"",AsOf-Items[[#This Row],[Added]])</f>
      </c>
      <c r="W138" s="17">
        <f>IF(Items[[#This Row],[In sprint]]=1,(IF(Items[[#This Row],[Prio]]="",9,N(Items[[#This Row],[Prio]]))*10+(IF(Items[[#This Row],[State]]="DONE",1,0)))*100000+ROW(),"")</f>
      </c>
      <c r="X13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38" s="17">
        <f>IF(AND(Items[[#This Row],[State]]="DONE",N(Items[[#This Row],[Done on]])&gt;AsOf-7),(200000-N(Items[[#This Row],[Done on]]))*100000+ROW(),"")</f>
      </c>
    </row>
    <row r="139">
      <c r="A139" t="s">
        <v>301</v>
      </c>
      <c r="B139" t="s">
        <v>1333</v>
      </c>
      <c r="C139" t="s">
        <v>1115</v>
      </c>
      <c r="D139" t="s">
        <v>1119</v>
      </c>
      <c r="E139" t="s">
        <v>1112</v>
      </c>
      <c r="F139" t="s">
        <v>1184</v>
      </c>
      <c r="G139">
        <v>5</v>
      </c>
      <c r="H139">
        <v>1</v>
      </c>
      <c r="I139" s="11">
        <v>46091</v>
      </c>
      <c r="J139" s="17">
        <f>IF(Items[[#This Row],[ID]]="","",IFERROR(VALUE(LOOKUP(2,1/((Log[ID]=Items[[#This Row],[ID]])*(Log[Verb]="est")),Log[Arg])),N(Items[[#This Row],[Points]])))</f>
      </c>
      <c r="K139" s="17">
        <f>IF(Items[[#This Row],[ID]]="","",IFERROR(LOOKUP(2,1/((Log[ID]=Items[[#This Row],[ID]])*(Log[Verb]="pass")),Log[Arg])&amp;"",Items[[#This Row],[Team]]&amp;""))</f>
      </c>
      <c r="L139" s="17">
        <f>IF(Items[[#This Row],[ID]]="","",IFERROR(LOOKUP(2,1/((Log[ID]=Items[[#This Row],[ID]])*(Log[Into]&lt;&gt;"")),Log[Into]),""))</f>
      </c>
      <c r="M139" s="17">
        <f>IF(Items[[#This Row],[ID]]="","",IF(IFERROR(LOOKUP(2,1/((Log[ID]=Items[[#This Row],[ID]])*(Log[Blk]&lt;&gt;"")),Log[Blk]),0)=1,"Y",""))</f>
      </c>
      <c r="N139" s="17">
        <f>IF(Items[[#This Row],[ID]]="","",SUBSTITUTE(IFERROR(LOOKUP(2,1/((Log[ID]=Items[[#This Row],[ID]])*(Log[State]&lt;&gt;"")),Log[State]),"TODO"),"OPEN",IF(Items[[#This Row],[Blocked]]="Y","WAIT","OPEN")))</f>
      </c>
      <c r="O13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39" s="17">
        <f>IF(Items[[#This Row],[State]]&lt;&gt;"WAIT","",AsOf-Items[[#This Row],[Blocked since]])</f>
      </c>
      <c r="Q139" s="17">
        <f>IF(Items[[#This Row],[State]]&lt;&gt;"WAIT","",IFERROR(LOOKUP(2,1/((Log[ID]=Items[[#This Row],[ID]])*(Log[Verb]="block")),Log[Note])&amp;"",""))</f>
      </c>
      <c r="R139" s="17">
        <f>IF(Items[[#This Row],[ID]]="","",COUNTIFS(Log[ID],Items[[#This Row],[ID]],Log[Verb],"carry"))</f>
      </c>
      <c r="S139" s="17">
        <f>IF(Items[[#This Row],[ID]]="","",COUNTIFS(Log[ID],Items[[#This Row],[ID]],Log[Verb],"punt"))</f>
      </c>
      <c r="T139" s="11">
        <f>IF(Items[[#This Row],[State]]&lt;&gt;"DONE","",IFERROR(LOOKUP(2,1/((Log[ID]=Items[[#This Row],[ID]])*(Log[Verb]="done")),Log[Date]),""))</f>
      </c>
      <c r="U139" s="17">
        <f>IF(Items[[#This Row],[ID]]="","",IF(AND(Items[[#This Row],[Sprint]]=CurSprint,OR(Items[[#This Row],[State]]="OPEN",Items[[#This Row],[State]]="WAIT",Items[[#This Row],[State]]="HOLD",Items[[#This Row],[State]]="DONE")),1,0))</f>
      </c>
      <c r="V139" s="17">
        <f>IF(OR(Items[[#This Row],[ID]]="",Items[[#This Row],[Added]]=""),"",AsOf-Items[[#This Row],[Added]])</f>
      </c>
      <c r="W139" s="17">
        <f>IF(Items[[#This Row],[In sprint]]=1,(IF(Items[[#This Row],[Prio]]="",9,N(Items[[#This Row],[Prio]]))*10+(IF(Items[[#This Row],[State]]="DONE",1,0)))*100000+ROW(),"")</f>
      </c>
      <c r="X13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39" s="17">
        <f>IF(AND(Items[[#This Row],[State]]="DONE",N(Items[[#This Row],[Done on]])&gt;AsOf-7),(200000-N(Items[[#This Row],[Done on]]))*100000+ROW(),"")</f>
      </c>
    </row>
    <row r="140">
      <c r="A140" t="s">
        <v>302</v>
      </c>
      <c r="B140" t="s">
        <v>1334</v>
      </c>
      <c r="C140" t="s">
        <v>1107</v>
      </c>
      <c r="D140" t="s">
        <v>1123</v>
      </c>
      <c r="E140" t="s">
        <v>1112</v>
      </c>
      <c r="F140" t="s">
        <v>1117</v>
      </c>
      <c r="G140">
        <v>8</v>
      </c>
      <c r="H140">
        <v>1</v>
      </c>
      <c r="I140" s="11">
        <v>46091</v>
      </c>
      <c r="J140" s="17">
        <f>IF(Items[[#This Row],[ID]]="","",IFERROR(VALUE(LOOKUP(2,1/((Log[ID]=Items[[#This Row],[ID]])*(Log[Verb]="est")),Log[Arg])),N(Items[[#This Row],[Points]])))</f>
      </c>
      <c r="K140" s="17">
        <f>IF(Items[[#This Row],[ID]]="","",IFERROR(LOOKUP(2,1/((Log[ID]=Items[[#This Row],[ID]])*(Log[Verb]="pass")),Log[Arg])&amp;"",Items[[#This Row],[Team]]&amp;""))</f>
      </c>
      <c r="L140" s="17">
        <f>IF(Items[[#This Row],[ID]]="","",IFERROR(LOOKUP(2,1/((Log[ID]=Items[[#This Row],[ID]])*(Log[Into]&lt;&gt;"")),Log[Into]),""))</f>
      </c>
      <c r="M140" s="17">
        <f>IF(Items[[#This Row],[ID]]="","",IF(IFERROR(LOOKUP(2,1/((Log[ID]=Items[[#This Row],[ID]])*(Log[Blk]&lt;&gt;"")),Log[Blk]),0)=1,"Y",""))</f>
      </c>
      <c r="N140" s="17">
        <f>IF(Items[[#This Row],[ID]]="","",SUBSTITUTE(IFERROR(LOOKUP(2,1/((Log[ID]=Items[[#This Row],[ID]])*(Log[State]&lt;&gt;"")),Log[State]),"TODO"),"OPEN",IF(Items[[#This Row],[Blocked]]="Y","WAIT","OPEN")))</f>
      </c>
      <c r="O14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40" s="17">
        <f>IF(Items[[#This Row],[State]]&lt;&gt;"WAIT","",AsOf-Items[[#This Row],[Blocked since]])</f>
      </c>
      <c r="Q140" s="17">
        <f>IF(Items[[#This Row],[State]]&lt;&gt;"WAIT","",IFERROR(LOOKUP(2,1/((Log[ID]=Items[[#This Row],[ID]])*(Log[Verb]="block")),Log[Note])&amp;"",""))</f>
      </c>
      <c r="R140" s="17">
        <f>IF(Items[[#This Row],[ID]]="","",COUNTIFS(Log[ID],Items[[#This Row],[ID]],Log[Verb],"carry"))</f>
      </c>
      <c r="S140" s="17">
        <f>IF(Items[[#This Row],[ID]]="","",COUNTIFS(Log[ID],Items[[#This Row],[ID]],Log[Verb],"punt"))</f>
      </c>
      <c r="T140" s="11">
        <f>IF(Items[[#This Row],[State]]&lt;&gt;"DONE","",IFERROR(LOOKUP(2,1/((Log[ID]=Items[[#This Row],[ID]])*(Log[Verb]="done")),Log[Date]),""))</f>
      </c>
      <c r="U140" s="17">
        <f>IF(Items[[#This Row],[ID]]="","",IF(AND(Items[[#This Row],[Sprint]]=CurSprint,OR(Items[[#This Row],[State]]="OPEN",Items[[#This Row],[State]]="WAIT",Items[[#This Row],[State]]="HOLD",Items[[#This Row],[State]]="DONE")),1,0))</f>
      </c>
      <c r="V140" s="17">
        <f>IF(OR(Items[[#This Row],[ID]]="",Items[[#This Row],[Added]]=""),"",AsOf-Items[[#This Row],[Added]])</f>
      </c>
      <c r="W140" s="17">
        <f>IF(Items[[#This Row],[In sprint]]=1,(IF(Items[[#This Row],[Prio]]="",9,N(Items[[#This Row],[Prio]]))*10+(IF(Items[[#This Row],[State]]="DONE",1,0)))*100000+ROW(),"")</f>
      </c>
      <c r="X14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40" s="17">
        <f>IF(AND(Items[[#This Row],[State]]="DONE",N(Items[[#This Row],[Done on]])&gt;AsOf-7),(200000-N(Items[[#This Row],[Done on]]))*100000+ROW(),"")</f>
      </c>
    </row>
    <row r="141">
      <c r="A141" t="s">
        <v>305</v>
      </c>
      <c r="B141" t="s">
        <v>1335</v>
      </c>
      <c r="C141" t="s">
        <v>1107</v>
      </c>
      <c r="D141" t="s">
        <v>1127</v>
      </c>
      <c r="E141" t="s">
        <v>1120</v>
      </c>
      <c r="F141" t="s">
        <v>1153</v>
      </c>
      <c r="G141">
        <v>3</v>
      </c>
      <c r="H141">
        <v>1</v>
      </c>
      <c r="I141" s="11">
        <v>46091</v>
      </c>
      <c r="J141" s="17">
        <f>IF(Items[[#This Row],[ID]]="","",IFERROR(VALUE(LOOKUP(2,1/((Log[ID]=Items[[#This Row],[ID]])*(Log[Verb]="est")),Log[Arg])),N(Items[[#This Row],[Points]])))</f>
      </c>
      <c r="K141" s="17">
        <f>IF(Items[[#This Row],[ID]]="","",IFERROR(LOOKUP(2,1/((Log[ID]=Items[[#This Row],[ID]])*(Log[Verb]="pass")),Log[Arg])&amp;"",Items[[#This Row],[Team]]&amp;""))</f>
      </c>
      <c r="L141" s="17">
        <f>IF(Items[[#This Row],[ID]]="","",IFERROR(LOOKUP(2,1/((Log[ID]=Items[[#This Row],[ID]])*(Log[Into]&lt;&gt;"")),Log[Into]),""))</f>
      </c>
      <c r="M141" s="17">
        <f>IF(Items[[#This Row],[ID]]="","",IF(IFERROR(LOOKUP(2,1/((Log[ID]=Items[[#This Row],[ID]])*(Log[Blk]&lt;&gt;"")),Log[Blk]),0)=1,"Y",""))</f>
      </c>
      <c r="N141" s="17">
        <f>IF(Items[[#This Row],[ID]]="","",SUBSTITUTE(IFERROR(LOOKUP(2,1/((Log[ID]=Items[[#This Row],[ID]])*(Log[State]&lt;&gt;"")),Log[State]),"TODO"),"OPEN",IF(Items[[#This Row],[Blocked]]="Y","WAIT","OPEN")))</f>
      </c>
      <c r="O14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41" s="17">
        <f>IF(Items[[#This Row],[State]]&lt;&gt;"WAIT","",AsOf-Items[[#This Row],[Blocked since]])</f>
      </c>
      <c r="Q141" s="17">
        <f>IF(Items[[#This Row],[State]]&lt;&gt;"WAIT","",IFERROR(LOOKUP(2,1/((Log[ID]=Items[[#This Row],[ID]])*(Log[Verb]="block")),Log[Note])&amp;"",""))</f>
      </c>
      <c r="R141" s="17">
        <f>IF(Items[[#This Row],[ID]]="","",COUNTIFS(Log[ID],Items[[#This Row],[ID]],Log[Verb],"carry"))</f>
      </c>
      <c r="S141" s="17">
        <f>IF(Items[[#This Row],[ID]]="","",COUNTIFS(Log[ID],Items[[#This Row],[ID]],Log[Verb],"punt"))</f>
      </c>
      <c r="T141" s="11">
        <f>IF(Items[[#This Row],[State]]&lt;&gt;"DONE","",IFERROR(LOOKUP(2,1/((Log[ID]=Items[[#This Row],[ID]])*(Log[Verb]="done")),Log[Date]),""))</f>
      </c>
      <c r="U141" s="17">
        <f>IF(Items[[#This Row],[ID]]="","",IF(AND(Items[[#This Row],[Sprint]]=CurSprint,OR(Items[[#This Row],[State]]="OPEN",Items[[#This Row],[State]]="WAIT",Items[[#This Row],[State]]="HOLD",Items[[#This Row],[State]]="DONE")),1,0))</f>
      </c>
      <c r="V141" s="17">
        <f>IF(OR(Items[[#This Row],[ID]]="",Items[[#This Row],[Added]]=""),"",AsOf-Items[[#This Row],[Added]])</f>
      </c>
      <c r="W141" s="17">
        <f>IF(Items[[#This Row],[In sprint]]=1,(IF(Items[[#This Row],[Prio]]="",9,N(Items[[#This Row],[Prio]]))*10+(IF(Items[[#This Row],[State]]="DONE",1,0)))*100000+ROW(),"")</f>
      </c>
      <c r="X14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41" s="17">
        <f>IF(AND(Items[[#This Row],[State]]="DONE",N(Items[[#This Row],[Done on]])&gt;AsOf-7),(200000-N(Items[[#This Row],[Done on]]))*100000+ROW(),"")</f>
      </c>
    </row>
    <row r="142">
      <c r="A142" t="s">
        <v>306</v>
      </c>
      <c r="B142" t="s">
        <v>1336</v>
      </c>
      <c r="C142" t="s">
        <v>1107</v>
      </c>
      <c r="D142" t="s">
        <v>1108</v>
      </c>
      <c r="E142" t="s">
        <v>1120</v>
      </c>
      <c r="F142" t="s">
        <v>1121</v>
      </c>
      <c r="G142">
        <v>5</v>
      </c>
      <c r="H142">
        <v>2</v>
      </c>
      <c r="I142" s="11">
        <v>46091</v>
      </c>
      <c r="J142" s="17">
        <f>IF(Items[[#This Row],[ID]]="","",IFERROR(VALUE(LOOKUP(2,1/((Log[ID]=Items[[#This Row],[ID]])*(Log[Verb]="est")),Log[Arg])),N(Items[[#This Row],[Points]])))</f>
      </c>
      <c r="K142" s="17">
        <f>IF(Items[[#This Row],[ID]]="","",IFERROR(LOOKUP(2,1/((Log[ID]=Items[[#This Row],[ID]])*(Log[Verb]="pass")),Log[Arg])&amp;"",Items[[#This Row],[Team]]&amp;""))</f>
      </c>
      <c r="L142" s="17">
        <f>IF(Items[[#This Row],[ID]]="","",IFERROR(LOOKUP(2,1/((Log[ID]=Items[[#This Row],[ID]])*(Log[Into]&lt;&gt;"")),Log[Into]),""))</f>
      </c>
      <c r="M142" s="17">
        <f>IF(Items[[#This Row],[ID]]="","",IF(IFERROR(LOOKUP(2,1/((Log[ID]=Items[[#This Row],[ID]])*(Log[Blk]&lt;&gt;"")),Log[Blk]),0)=1,"Y",""))</f>
      </c>
      <c r="N142" s="17">
        <f>IF(Items[[#This Row],[ID]]="","",SUBSTITUTE(IFERROR(LOOKUP(2,1/((Log[ID]=Items[[#This Row],[ID]])*(Log[State]&lt;&gt;"")),Log[State]),"TODO"),"OPEN",IF(Items[[#This Row],[Blocked]]="Y","WAIT","OPEN")))</f>
      </c>
      <c r="O14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42" s="17">
        <f>IF(Items[[#This Row],[State]]&lt;&gt;"WAIT","",AsOf-Items[[#This Row],[Blocked since]])</f>
      </c>
      <c r="Q142" s="17">
        <f>IF(Items[[#This Row],[State]]&lt;&gt;"WAIT","",IFERROR(LOOKUP(2,1/((Log[ID]=Items[[#This Row],[ID]])*(Log[Verb]="block")),Log[Note])&amp;"",""))</f>
      </c>
      <c r="R142" s="17">
        <f>IF(Items[[#This Row],[ID]]="","",COUNTIFS(Log[ID],Items[[#This Row],[ID]],Log[Verb],"carry"))</f>
      </c>
      <c r="S142" s="17">
        <f>IF(Items[[#This Row],[ID]]="","",COUNTIFS(Log[ID],Items[[#This Row],[ID]],Log[Verb],"punt"))</f>
      </c>
      <c r="T142" s="11">
        <f>IF(Items[[#This Row],[State]]&lt;&gt;"DONE","",IFERROR(LOOKUP(2,1/((Log[ID]=Items[[#This Row],[ID]])*(Log[Verb]="done")),Log[Date]),""))</f>
      </c>
      <c r="U142" s="17">
        <f>IF(Items[[#This Row],[ID]]="","",IF(AND(Items[[#This Row],[Sprint]]=CurSprint,OR(Items[[#This Row],[State]]="OPEN",Items[[#This Row],[State]]="WAIT",Items[[#This Row],[State]]="HOLD",Items[[#This Row],[State]]="DONE")),1,0))</f>
      </c>
      <c r="V142" s="17">
        <f>IF(OR(Items[[#This Row],[ID]]="",Items[[#This Row],[Added]]=""),"",AsOf-Items[[#This Row],[Added]])</f>
      </c>
      <c r="W142" s="17">
        <f>IF(Items[[#This Row],[In sprint]]=1,(IF(Items[[#This Row],[Prio]]="",9,N(Items[[#This Row],[Prio]]))*10+(IF(Items[[#This Row],[State]]="DONE",1,0)))*100000+ROW(),"")</f>
      </c>
      <c r="X14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42" s="17">
        <f>IF(AND(Items[[#This Row],[State]]="DONE",N(Items[[#This Row],[Done on]])&gt;AsOf-7),(200000-N(Items[[#This Row],[Done on]]))*100000+ROW(),"")</f>
      </c>
    </row>
    <row r="143">
      <c r="A143" t="s">
        <v>249</v>
      </c>
      <c r="B143" t="s">
        <v>1337</v>
      </c>
      <c r="C143" t="s">
        <v>1107</v>
      </c>
      <c r="D143" t="s">
        <v>1108</v>
      </c>
      <c r="E143" t="s">
        <v>1120</v>
      </c>
      <c r="F143" t="s">
        <v>1272</v>
      </c>
      <c r="G143">
        <v>2</v>
      </c>
      <c r="H143">
        <v>1</v>
      </c>
      <c r="I143" s="11">
        <v>46091</v>
      </c>
      <c r="J143" s="17">
        <f>IF(Items[[#This Row],[ID]]="","",IFERROR(VALUE(LOOKUP(2,1/((Log[ID]=Items[[#This Row],[ID]])*(Log[Verb]="est")),Log[Arg])),N(Items[[#This Row],[Points]])))</f>
      </c>
      <c r="K143" s="17">
        <f>IF(Items[[#This Row],[ID]]="","",IFERROR(LOOKUP(2,1/((Log[ID]=Items[[#This Row],[ID]])*(Log[Verb]="pass")),Log[Arg])&amp;"",Items[[#This Row],[Team]]&amp;""))</f>
      </c>
      <c r="L143" s="17">
        <f>IF(Items[[#This Row],[ID]]="","",IFERROR(LOOKUP(2,1/((Log[ID]=Items[[#This Row],[ID]])*(Log[Into]&lt;&gt;"")),Log[Into]),""))</f>
      </c>
      <c r="M143" s="17">
        <f>IF(Items[[#This Row],[ID]]="","",IF(IFERROR(LOOKUP(2,1/((Log[ID]=Items[[#This Row],[ID]])*(Log[Blk]&lt;&gt;"")),Log[Blk]),0)=1,"Y",""))</f>
      </c>
      <c r="N143" s="17">
        <f>IF(Items[[#This Row],[ID]]="","",SUBSTITUTE(IFERROR(LOOKUP(2,1/((Log[ID]=Items[[#This Row],[ID]])*(Log[State]&lt;&gt;"")),Log[State]),"TODO"),"OPEN",IF(Items[[#This Row],[Blocked]]="Y","WAIT","OPEN")))</f>
      </c>
      <c r="O14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43" s="17">
        <f>IF(Items[[#This Row],[State]]&lt;&gt;"WAIT","",AsOf-Items[[#This Row],[Blocked since]])</f>
      </c>
      <c r="Q143" s="17">
        <f>IF(Items[[#This Row],[State]]&lt;&gt;"WAIT","",IFERROR(LOOKUP(2,1/((Log[ID]=Items[[#This Row],[ID]])*(Log[Verb]="block")),Log[Note])&amp;"",""))</f>
      </c>
      <c r="R143" s="17">
        <f>IF(Items[[#This Row],[ID]]="","",COUNTIFS(Log[ID],Items[[#This Row],[ID]],Log[Verb],"carry"))</f>
      </c>
      <c r="S143" s="17">
        <f>IF(Items[[#This Row],[ID]]="","",COUNTIFS(Log[ID],Items[[#This Row],[ID]],Log[Verb],"punt"))</f>
      </c>
      <c r="T143" s="11">
        <f>IF(Items[[#This Row],[State]]&lt;&gt;"DONE","",IFERROR(LOOKUP(2,1/((Log[ID]=Items[[#This Row],[ID]])*(Log[Verb]="done")),Log[Date]),""))</f>
      </c>
      <c r="U143" s="17">
        <f>IF(Items[[#This Row],[ID]]="","",IF(AND(Items[[#This Row],[Sprint]]=CurSprint,OR(Items[[#This Row],[State]]="OPEN",Items[[#This Row],[State]]="WAIT",Items[[#This Row],[State]]="HOLD",Items[[#This Row],[State]]="DONE")),1,0))</f>
      </c>
      <c r="V143" s="17">
        <f>IF(OR(Items[[#This Row],[ID]]="",Items[[#This Row],[Added]]=""),"",AsOf-Items[[#This Row],[Added]])</f>
      </c>
      <c r="W143" s="17">
        <f>IF(Items[[#This Row],[In sprint]]=1,(IF(Items[[#This Row],[Prio]]="",9,N(Items[[#This Row],[Prio]]))*10+(IF(Items[[#This Row],[State]]="DONE",1,0)))*100000+ROW(),"")</f>
      </c>
      <c r="X14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43" s="17">
        <f>IF(AND(Items[[#This Row],[State]]="DONE",N(Items[[#This Row],[Done on]])&gt;AsOf-7),(200000-N(Items[[#This Row],[Done on]]))*100000+ROW(),"")</f>
      </c>
    </row>
    <row r="144">
      <c r="A144" t="s">
        <v>307</v>
      </c>
      <c r="B144" t="s">
        <v>1338</v>
      </c>
      <c r="C144" t="s">
        <v>1107</v>
      </c>
      <c r="D144" t="s">
        <v>1127</v>
      </c>
      <c r="E144" t="s">
        <v>1120</v>
      </c>
      <c r="F144" t="s">
        <v>1339</v>
      </c>
      <c r="G144">
        <v>3</v>
      </c>
      <c r="H144">
        <v>3</v>
      </c>
      <c r="I144" s="11">
        <v>46091</v>
      </c>
      <c r="J144" s="17">
        <f>IF(Items[[#This Row],[ID]]="","",IFERROR(VALUE(LOOKUP(2,1/((Log[ID]=Items[[#This Row],[ID]])*(Log[Verb]="est")),Log[Arg])),N(Items[[#This Row],[Points]])))</f>
      </c>
      <c r="K144" s="17">
        <f>IF(Items[[#This Row],[ID]]="","",IFERROR(LOOKUP(2,1/((Log[ID]=Items[[#This Row],[ID]])*(Log[Verb]="pass")),Log[Arg])&amp;"",Items[[#This Row],[Team]]&amp;""))</f>
      </c>
      <c r="L144" s="17">
        <f>IF(Items[[#This Row],[ID]]="","",IFERROR(LOOKUP(2,1/((Log[ID]=Items[[#This Row],[ID]])*(Log[Into]&lt;&gt;"")),Log[Into]),""))</f>
      </c>
      <c r="M144" s="17">
        <f>IF(Items[[#This Row],[ID]]="","",IF(IFERROR(LOOKUP(2,1/((Log[ID]=Items[[#This Row],[ID]])*(Log[Blk]&lt;&gt;"")),Log[Blk]),0)=1,"Y",""))</f>
      </c>
      <c r="N144" s="17">
        <f>IF(Items[[#This Row],[ID]]="","",SUBSTITUTE(IFERROR(LOOKUP(2,1/((Log[ID]=Items[[#This Row],[ID]])*(Log[State]&lt;&gt;"")),Log[State]),"TODO"),"OPEN",IF(Items[[#This Row],[Blocked]]="Y","WAIT","OPEN")))</f>
      </c>
      <c r="O14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44" s="17">
        <f>IF(Items[[#This Row],[State]]&lt;&gt;"WAIT","",AsOf-Items[[#This Row],[Blocked since]])</f>
      </c>
      <c r="Q144" s="17">
        <f>IF(Items[[#This Row],[State]]&lt;&gt;"WAIT","",IFERROR(LOOKUP(2,1/((Log[ID]=Items[[#This Row],[ID]])*(Log[Verb]="block")),Log[Note])&amp;"",""))</f>
      </c>
      <c r="R144" s="17">
        <f>IF(Items[[#This Row],[ID]]="","",COUNTIFS(Log[ID],Items[[#This Row],[ID]],Log[Verb],"carry"))</f>
      </c>
      <c r="S144" s="17">
        <f>IF(Items[[#This Row],[ID]]="","",COUNTIFS(Log[ID],Items[[#This Row],[ID]],Log[Verb],"punt"))</f>
      </c>
      <c r="T144" s="11">
        <f>IF(Items[[#This Row],[State]]&lt;&gt;"DONE","",IFERROR(LOOKUP(2,1/((Log[ID]=Items[[#This Row],[ID]])*(Log[Verb]="done")),Log[Date]),""))</f>
      </c>
      <c r="U144" s="17">
        <f>IF(Items[[#This Row],[ID]]="","",IF(AND(Items[[#This Row],[Sprint]]=CurSprint,OR(Items[[#This Row],[State]]="OPEN",Items[[#This Row],[State]]="WAIT",Items[[#This Row],[State]]="HOLD",Items[[#This Row],[State]]="DONE")),1,0))</f>
      </c>
      <c r="V144" s="17">
        <f>IF(OR(Items[[#This Row],[ID]]="",Items[[#This Row],[Added]]=""),"",AsOf-Items[[#This Row],[Added]])</f>
      </c>
      <c r="W144" s="17">
        <f>IF(Items[[#This Row],[In sprint]]=1,(IF(Items[[#This Row],[Prio]]="",9,N(Items[[#This Row],[Prio]]))*10+(IF(Items[[#This Row],[State]]="DONE",1,0)))*100000+ROW(),"")</f>
      </c>
      <c r="X14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44" s="17">
        <f>IF(AND(Items[[#This Row],[State]]="DONE",N(Items[[#This Row],[Done on]])&gt;AsOf-7),(200000-N(Items[[#This Row],[Done on]]))*100000+ROW(),"")</f>
      </c>
    </row>
    <row r="145">
      <c r="A145" t="s">
        <v>308</v>
      </c>
      <c r="B145" t="s">
        <v>1340</v>
      </c>
      <c r="C145" t="s">
        <v>1107</v>
      </c>
      <c r="D145" t="s">
        <v>1123</v>
      </c>
      <c r="E145" t="s">
        <v>1120</v>
      </c>
      <c r="F145" t="s">
        <v>1151</v>
      </c>
      <c r="G145">
        <v>8</v>
      </c>
      <c r="H145">
        <v>1</v>
      </c>
      <c r="I145" s="11">
        <v>46091</v>
      </c>
      <c r="J145" s="17">
        <f>IF(Items[[#This Row],[ID]]="","",IFERROR(VALUE(LOOKUP(2,1/((Log[ID]=Items[[#This Row],[ID]])*(Log[Verb]="est")),Log[Arg])),N(Items[[#This Row],[Points]])))</f>
      </c>
      <c r="K145" s="17">
        <f>IF(Items[[#This Row],[ID]]="","",IFERROR(LOOKUP(2,1/((Log[ID]=Items[[#This Row],[ID]])*(Log[Verb]="pass")),Log[Arg])&amp;"",Items[[#This Row],[Team]]&amp;""))</f>
      </c>
      <c r="L145" s="17">
        <f>IF(Items[[#This Row],[ID]]="","",IFERROR(LOOKUP(2,1/((Log[ID]=Items[[#This Row],[ID]])*(Log[Into]&lt;&gt;"")),Log[Into]),""))</f>
      </c>
      <c r="M145" s="17">
        <f>IF(Items[[#This Row],[ID]]="","",IF(IFERROR(LOOKUP(2,1/((Log[ID]=Items[[#This Row],[ID]])*(Log[Blk]&lt;&gt;"")),Log[Blk]),0)=1,"Y",""))</f>
      </c>
      <c r="N145" s="17">
        <f>IF(Items[[#This Row],[ID]]="","",SUBSTITUTE(IFERROR(LOOKUP(2,1/((Log[ID]=Items[[#This Row],[ID]])*(Log[State]&lt;&gt;"")),Log[State]),"TODO"),"OPEN",IF(Items[[#This Row],[Blocked]]="Y","WAIT","OPEN")))</f>
      </c>
      <c r="O14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45" s="17">
        <f>IF(Items[[#This Row],[State]]&lt;&gt;"WAIT","",AsOf-Items[[#This Row],[Blocked since]])</f>
      </c>
      <c r="Q145" s="17">
        <f>IF(Items[[#This Row],[State]]&lt;&gt;"WAIT","",IFERROR(LOOKUP(2,1/((Log[ID]=Items[[#This Row],[ID]])*(Log[Verb]="block")),Log[Note])&amp;"",""))</f>
      </c>
      <c r="R145" s="17">
        <f>IF(Items[[#This Row],[ID]]="","",COUNTIFS(Log[ID],Items[[#This Row],[ID]],Log[Verb],"carry"))</f>
      </c>
      <c r="S145" s="17">
        <f>IF(Items[[#This Row],[ID]]="","",COUNTIFS(Log[ID],Items[[#This Row],[ID]],Log[Verb],"punt"))</f>
      </c>
      <c r="T145" s="11">
        <f>IF(Items[[#This Row],[State]]&lt;&gt;"DONE","",IFERROR(LOOKUP(2,1/((Log[ID]=Items[[#This Row],[ID]])*(Log[Verb]="done")),Log[Date]),""))</f>
      </c>
      <c r="U145" s="17">
        <f>IF(Items[[#This Row],[ID]]="","",IF(AND(Items[[#This Row],[Sprint]]=CurSprint,OR(Items[[#This Row],[State]]="OPEN",Items[[#This Row],[State]]="WAIT",Items[[#This Row],[State]]="HOLD",Items[[#This Row],[State]]="DONE")),1,0))</f>
      </c>
      <c r="V145" s="17">
        <f>IF(OR(Items[[#This Row],[ID]]="",Items[[#This Row],[Added]]=""),"",AsOf-Items[[#This Row],[Added]])</f>
      </c>
      <c r="W145" s="17">
        <f>IF(Items[[#This Row],[In sprint]]=1,(IF(Items[[#This Row],[Prio]]="",9,N(Items[[#This Row],[Prio]]))*10+(IF(Items[[#This Row],[State]]="DONE",1,0)))*100000+ROW(),"")</f>
      </c>
      <c r="X14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45" s="17">
        <f>IF(AND(Items[[#This Row],[State]]="DONE",N(Items[[#This Row],[Done on]])&gt;AsOf-7),(200000-N(Items[[#This Row],[Done on]]))*100000+ROW(),"")</f>
      </c>
    </row>
    <row r="146">
      <c r="A146" t="s">
        <v>309</v>
      </c>
      <c r="B146" t="s">
        <v>1341</v>
      </c>
      <c r="C146" t="s">
        <v>1107</v>
      </c>
      <c r="D146" t="s">
        <v>1108</v>
      </c>
      <c r="E146" t="s">
        <v>1120</v>
      </c>
      <c r="F146" t="s">
        <v>1342</v>
      </c>
      <c r="G146">
        <v>5</v>
      </c>
      <c r="H146">
        <v>3</v>
      </c>
      <c r="I146" s="11">
        <v>46091</v>
      </c>
      <c r="J146" s="17">
        <f>IF(Items[[#This Row],[ID]]="","",IFERROR(VALUE(LOOKUP(2,1/((Log[ID]=Items[[#This Row],[ID]])*(Log[Verb]="est")),Log[Arg])),N(Items[[#This Row],[Points]])))</f>
      </c>
      <c r="K146" s="17">
        <f>IF(Items[[#This Row],[ID]]="","",IFERROR(LOOKUP(2,1/((Log[ID]=Items[[#This Row],[ID]])*(Log[Verb]="pass")),Log[Arg])&amp;"",Items[[#This Row],[Team]]&amp;""))</f>
      </c>
      <c r="L146" s="17">
        <f>IF(Items[[#This Row],[ID]]="","",IFERROR(LOOKUP(2,1/((Log[ID]=Items[[#This Row],[ID]])*(Log[Into]&lt;&gt;"")),Log[Into]),""))</f>
      </c>
      <c r="M146" s="17">
        <f>IF(Items[[#This Row],[ID]]="","",IF(IFERROR(LOOKUP(2,1/((Log[ID]=Items[[#This Row],[ID]])*(Log[Blk]&lt;&gt;"")),Log[Blk]),0)=1,"Y",""))</f>
      </c>
      <c r="N146" s="17">
        <f>IF(Items[[#This Row],[ID]]="","",SUBSTITUTE(IFERROR(LOOKUP(2,1/((Log[ID]=Items[[#This Row],[ID]])*(Log[State]&lt;&gt;"")),Log[State]),"TODO"),"OPEN",IF(Items[[#This Row],[Blocked]]="Y","WAIT","OPEN")))</f>
      </c>
      <c r="O14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46" s="17">
        <f>IF(Items[[#This Row],[State]]&lt;&gt;"WAIT","",AsOf-Items[[#This Row],[Blocked since]])</f>
      </c>
      <c r="Q146" s="17">
        <f>IF(Items[[#This Row],[State]]&lt;&gt;"WAIT","",IFERROR(LOOKUP(2,1/((Log[ID]=Items[[#This Row],[ID]])*(Log[Verb]="block")),Log[Note])&amp;"",""))</f>
      </c>
      <c r="R146" s="17">
        <f>IF(Items[[#This Row],[ID]]="","",COUNTIFS(Log[ID],Items[[#This Row],[ID]],Log[Verb],"carry"))</f>
      </c>
      <c r="S146" s="17">
        <f>IF(Items[[#This Row],[ID]]="","",COUNTIFS(Log[ID],Items[[#This Row],[ID]],Log[Verb],"punt"))</f>
      </c>
      <c r="T146" s="11">
        <f>IF(Items[[#This Row],[State]]&lt;&gt;"DONE","",IFERROR(LOOKUP(2,1/((Log[ID]=Items[[#This Row],[ID]])*(Log[Verb]="done")),Log[Date]),""))</f>
      </c>
      <c r="U146" s="17">
        <f>IF(Items[[#This Row],[ID]]="","",IF(AND(Items[[#This Row],[Sprint]]=CurSprint,OR(Items[[#This Row],[State]]="OPEN",Items[[#This Row],[State]]="WAIT",Items[[#This Row],[State]]="HOLD",Items[[#This Row],[State]]="DONE")),1,0))</f>
      </c>
      <c r="V146" s="17">
        <f>IF(OR(Items[[#This Row],[ID]]="",Items[[#This Row],[Added]]=""),"",AsOf-Items[[#This Row],[Added]])</f>
      </c>
      <c r="W146" s="17">
        <f>IF(Items[[#This Row],[In sprint]]=1,(IF(Items[[#This Row],[Prio]]="",9,N(Items[[#This Row],[Prio]]))*10+(IF(Items[[#This Row],[State]]="DONE",1,0)))*100000+ROW(),"")</f>
      </c>
      <c r="X14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46" s="17">
        <f>IF(AND(Items[[#This Row],[State]]="DONE",N(Items[[#This Row],[Done on]])&gt;AsOf-7),(200000-N(Items[[#This Row],[Done on]]))*100000+ROW(),"")</f>
      </c>
    </row>
    <row r="147">
      <c r="A147" t="s">
        <v>312</v>
      </c>
      <c r="B147" t="s">
        <v>1343</v>
      </c>
      <c r="C147" t="s">
        <v>1107</v>
      </c>
      <c r="D147" t="s">
        <v>1123</v>
      </c>
      <c r="E147" t="s">
        <v>1124</v>
      </c>
      <c r="F147" t="s">
        <v>1344</v>
      </c>
      <c r="G147">
        <v>8</v>
      </c>
      <c r="H147">
        <v>3</v>
      </c>
      <c r="I147" s="11">
        <v>46091</v>
      </c>
      <c r="J147" s="17">
        <f>IF(Items[[#This Row],[ID]]="","",IFERROR(VALUE(LOOKUP(2,1/((Log[ID]=Items[[#This Row],[ID]])*(Log[Verb]="est")),Log[Arg])),N(Items[[#This Row],[Points]])))</f>
      </c>
      <c r="K147" s="17">
        <f>IF(Items[[#This Row],[ID]]="","",IFERROR(LOOKUP(2,1/((Log[ID]=Items[[#This Row],[ID]])*(Log[Verb]="pass")),Log[Arg])&amp;"",Items[[#This Row],[Team]]&amp;""))</f>
      </c>
      <c r="L147" s="17">
        <f>IF(Items[[#This Row],[ID]]="","",IFERROR(LOOKUP(2,1/((Log[ID]=Items[[#This Row],[ID]])*(Log[Into]&lt;&gt;"")),Log[Into]),""))</f>
      </c>
      <c r="M147" s="17">
        <f>IF(Items[[#This Row],[ID]]="","",IF(IFERROR(LOOKUP(2,1/((Log[ID]=Items[[#This Row],[ID]])*(Log[Blk]&lt;&gt;"")),Log[Blk]),0)=1,"Y",""))</f>
      </c>
      <c r="N147" s="17">
        <f>IF(Items[[#This Row],[ID]]="","",SUBSTITUTE(IFERROR(LOOKUP(2,1/((Log[ID]=Items[[#This Row],[ID]])*(Log[State]&lt;&gt;"")),Log[State]),"TODO"),"OPEN",IF(Items[[#This Row],[Blocked]]="Y","WAIT","OPEN")))</f>
      </c>
      <c r="O14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47" s="17">
        <f>IF(Items[[#This Row],[State]]&lt;&gt;"WAIT","",AsOf-Items[[#This Row],[Blocked since]])</f>
      </c>
      <c r="Q147" s="17">
        <f>IF(Items[[#This Row],[State]]&lt;&gt;"WAIT","",IFERROR(LOOKUP(2,1/((Log[ID]=Items[[#This Row],[ID]])*(Log[Verb]="block")),Log[Note])&amp;"",""))</f>
      </c>
      <c r="R147" s="17">
        <f>IF(Items[[#This Row],[ID]]="","",COUNTIFS(Log[ID],Items[[#This Row],[ID]],Log[Verb],"carry"))</f>
      </c>
      <c r="S147" s="17">
        <f>IF(Items[[#This Row],[ID]]="","",COUNTIFS(Log[ID],Items[[#This Row],[ID]],Log[Verb],"punt"))</f>
      </c>
      <c r="T147" s="11">
        <f>IF(Items[[#This Row],[State]]&lt;&gt;"DONE","",IFERROR(LOOKUP(2,1/((Log[ID]=Items[[#This Row],[ID]])*(Log[Verb]="done")),Log[Date]),""))</f>
      </c>
      <c r="U147" s="17">
        <f>IF(Items[[#This Row],[ID]]="","",IF(AND(Items[[#This Row],[Sprint]]=CurSprint,OR(Items[[#This Row],[State]]="OPEN",Items[[#This Row],[State]]="WAIT",Items[[#This Row],[State]]="HOLD",Items[[#This Row],[State]]="DONE")),1,0))</f>
      </c>
      <c r="V147" s="17">
        <f>IF(OR(Items[[#This Row],[ID]]="",Items[[#This Row],[Added]]=""),"",AsOf-Items[[#This Row],[Added]])</f>
      </c>
      <c r="W147" s="17">
        <f>IF(Items[[#This Row],[In sprint]]=1,(IF(Items[[#This Row],[Prio]]="",9,N(Items[[#This Row],[Prio]]))*10+(IF(Items[[#This Row],[State]]="DONE",1,0)))*100000+ROW(),"")</f>
      </c>
      <c r="X14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47" s="17">
        <f>IF(AND(Items[[#This Row],[State]]="DONE",N(Items[[#This Row],[Done on]])&gt;AsOf-7),(200000-N(Items[[#This Row],[Done on]]))*100000+ROW(),"")</f>
      </c>
    </row>
    <row r="148">
      <c r="A148" t="s">
        <v>256</v>
      </c>
      <c r="B148" t="s">
        <v>1345</v>
      </c>
      <c r="C148" t="s">
        <v>1115</v>
      </c>
      <c r="D148" t="s">
        <v>1119</v>
      </c>
      <c r="E148" t="s">
        <v>1124</v>
      </c>
      <c r="F148" t="s">
        <v>1157</v>
      </c>
      <c r="G148">
        <v>2</v>
      </c>
      <c r="H148">
        <v>1</v>
      </c>
      <c r="I148" s="11">
        <v>46091</v>
      </c>
      <c r="J148" s="17">
        <f>IF(Items[[#This Row],[ID]]="","",IFERROR(VALUE(LOOKUP(2,1/((Log[ID]=Items[[#This Row],[ID]])*(Log[Verb]="est")),Log[Arg])),N(Items[[#This Row],[Points]])))</f>
      </c>
      <c r="K148" s="17">
        <f>IF(Items[[#This Row],[ID]]="","",IFERROR(LOOKUP(2,1/((Log[ID]=Items[[#This Row],[ID]])*(Log[Verb]="pass")),Log[Arg])&amp;"",Items[[#This Row],[Team]]&amp;""))</f>
      </c>
      <c r="L148" s="17">
        <f>IF(Items[[#This Row],[ID]]="","",IFERROR(LOOKUP(2,1/((Log[ID]=Items[[#This Row],[ID]])*(Log[Into]&lt;&gt;"")),Log[Into]),""))</f>
      </c>
      <c r="M148" s="17">
        <f>IF(Items[[#This Row],[ID]]="","",IF(IFERROR(LOOKUP(2,1/((Log[ID]=Items[[#This Row],[ID]])*(Log[Blk]&lt;&gt;"")),Log[Blk]),0)=1,"Y",""))</f>
      </c>
      <c r="N148" s="17">
        <f>IF(Items[[#This Row],[ID]]="","",SUBSTITUTE(IFERROR(LOOKUP(2,1/((Log[ID]=Items[[#This Row],[ID]])*(Log[State]&lt;&gt;"")),Log[State]),"TODO"),"OPEN",IF(Items[[#This Row],[Blocked]]="Y","WAIT","OPEN")))</f>
      </c>
      <c r="O14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48" s="17">
        <f>IF(Items[[#This Row],[State]]&lt;&gt;"WAIT","",AsOf-Items[[#This Row],[Blocked since]])</f>
      </c>
      <c r="Q148" s="17">
        <f>IF(Items[[#This Row],[State]]&lt;&gt;"WAIT","",IFERROR(LOOKUP(2,1/((Log[ID]=Items[[#This Row],[ID]])*(Log[Verb]="block")),Log[Note])&amp;"",""))</f>
      </c>
      <c r="R148" s="17">
        <f>IF(Items[[#This Row],[ID]]="","",COUNTIFS(Log[ID],Items[[#This Row],[ID]],Log[Verb],"carry"))</f>
      </c>
      <c r="S148" s="17">
        <f>IF(Items[[#This Row],[ID]]="","",COUNTIFS(Log[ID],Items[[#This Row],[ID]],Log[Verb],"punt"))</f>
      </c>
      <c r="T148" s="11">
        <f>IF(Items[[#This Row],[State]]&lt;&gt;"DONE","",IFERROR(LOOKUP(2,1/((Log[ID]=Items[[#This Row],[ID]])*(Log[Verb]="done")),Log[Date]),""))</f>
      </c>
      <c r="U148" s="17">
        <f>IF(Items[[#This Row],[ID]]="","",IF(AND(Items[[#This Row],[Sprint]]=CurSprint,OR(Items[[#This Row],[State]]="OPEN",Items[[#This Row],[State]]="WAIT",Items[[#This Row],[State]]="HOLD",Items[[#This Row],[State]]="DONE")),1,0))</f>
      </c>
      <c r="V148" s="17">
        <f>IF(OR(Items[[#This Row],[ID]]="",Items[[#This Row],[Added]]=""),"",AsOf-Items[[#This Row],[Added]])</f>
      </c>
      <c r="W148" s="17">
        <f>IF(Items[[#This Row],[In sprint]]=1,(IF(Items[[#This Row],[Prio]]="",9,N(Items[[#This Row],[Prio]]))*10+(IF(Items[[#This Row],[State]]="DONE",1,0)))*100000+ROW(),"")</f>
      </c>
      <c r="X14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48" s="17">
        <f>IF(AND(Items[[#This Row],[State]]="DONE",N(Items[[#This Row],[Done on]])&gt;AsOf-7),(200000-N(Items[[#This Row],[Done on]]))*100000+ROW(),"")</f>
      </c>
    </row>
    <row r="149">
      <c r="A149" t="s">
        <v>313</v>
      </c>
      <c r="B149" t="s">
        <v>1346</v>
      </c>
      <c r="C149" t="s">
        <v>1107</v>
      </c>
      <c r="D149" t="s">
        <v>1108</v>
      </c>
      <c r="E149" t="s">
        <v>1124</v>
      </c>
      <c r="F149" t="s">
        <v>1203</v>
      </c>
      <c r="G149">
        <v>2</v>
      </c>
      <c r="H149">
        <v>1</v>
      </c>
      <c r="I149" s="11">
        <v>46091</v>
      </c>
      <c r="J149" s="17">
        <f>IF(Items[[#This Row],[ID]]="","",IFERROR(VALUE(LOOKUP(2,1/((Log[ID]=Items[[#This Row],[ID]])*(Log[Verb]="est")),Log[Arg])),N(Items[[#This Row],[Points]])))</f>
      </c>
      <c r="K149" s="17">
        <f>IF(Items[[#This Row],[ID]]="","",IFERROR(LOOKUP(2,1/((Log[ID]=Items[[#This Row],[ID]])*(Log[Verb]="pass")),Log[Arg])&amp;"",Items[[#This Row],[Team]]&amp;""))</f>
      </c>
      <c r="L149" s="17">
        <f>IF(Items[[#This Row],[ID]]="","",IFERROR(LOOKUP(2,1/((Log[ID]=Items[[#This Row],[ID]])*(Log[Into]&lt;&gt;"")),Log[Into]),""))</f>
      </c>
      <c r="M149" s="17">
        <f>IF(Items[[#This Row],[ID]]="","",IF(IFERROR(LOOKUP(2,1/((Log[ID]=Items[[#This Row],[ID]])*(Log[Blk]&lt;&gt;"")),Log[Blk]),0)=1,"Y",""))</f>
      </c>
      <c r="N149" s="17">
        <f>IF(Items[[#This Row],[ID]]="","",SUBSTITUTE(IFERROR(LOOKUP(2,1/((Log[ID]=Items[[#This Row],[ID]])*(Log[State]&lt;&gt;"")),Log[State]),"TODO"),"OPEN",IF(Items[[#This Row],[Blocked]]="Y","WAIT","OPEN")))</f>
      </c>
      <c r="O14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49" s="17">
        <f>IF(Items[[#This Row],[State]]&lt;&gt;"WAIT","",AsOf-Items[[#This Row],[Blocked since]])</f>
      </c>
      <c r="Q149" s="17">
        <f>IF(Items[[#This Row],[State]]&lt;&gt;"WAIT","",IFERROR(LOOKUP(2,1/((Log[ID]=Items[[#This Row],[ID]])*(Log[Verb]="block")),Log[Note])&amp;"",""))</f>
      </c>
      <c r="R149" s="17">
        <f>IF(Items[[#This Row],[ID]]="","",COUNTIFS(Log[ID],Items[[#This Row],[ID]],Log[Verb],"carry"))</f>
      </c>
      <c r="S149" s="17">
        <f>IF(Items[[#This Row],[ID]]="","",COUNTIFS(Log[ID],Items[[#This Row],[ID]],Log[Verb],"punt"))</f>
      </c>
      <c r="T149" s="11">
        <f>IF(Items[[#This Row],[State]]&lt;&gt;"DONE","",IFERROR(LOOKUP(2,1/((Log[ID]=Items[[#This Row],[ID]])*(Log[Verb]="done")),Log[Date]),""))</f>
      </c>
      <c r="U149" s="17">
        <f>IF(Items[[#This Row],[ID]]="","",IF(AND(Items[[#This Row],[Sprint]]=CurSprint,OR(Items[[#This Row],[State]]="OPEN",Items[[#This Row],[State]]="WAIT",Items[[#This Row],[State]]="HOLD",Items[[#This Row],[State]]="DONE")),1,0))</f>
      </c>
      <c r="V149" s="17">
        <f>IF(OR(Items[[#This Row],[ID]]="",Items[[#This Row],[Added]]=""),"",AsOf-Items[[#This Row],[Added]])</f>
      </c>
      <c r="W149" s="17">
        <f>IF(Items[[#This Row],[In sprint]]=1,(IF(Items[[#This Row],[Prio]]="",9,N(Items[[#This Row],[Prio]]))*10+(IF(Items[[#This Row],[State]]="DONE",1,0)))*100000+ROW(),"")</f>
      </c>
      <c r="X14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49" s="17">
        <f>IF(AND(Items[[#This Row],[State]]="DONE",N(Items[[#This Row],[Done on]])&gt;AsOf-7),(200000-N(Items[[#This Row],[Done on]]))*100000+ROW(),"")</f>
      </c>
    </row>
    <row r="150">
      <c r="A150" t="s">
        <v>314</v>
      </c>
      <c r="B150" t="s">
        <v>1347</v>
      </c>
      <c r="C150" t="s">
        <v>1115</v>
      </c>
      <c r="D150" t="s">
        <v>1119</v>
      </c>
      <c r="E150" t="s">
        <v>1124</v>
      </c>
      <c r="F150" t="s">
        <v>1283</v>
      </c>
      <c r="G150">
        <v>2</v>
      </c>
      <c r="H150">
        <v>2</v>
      </c>
      <c r="I150" s="11">
        <v>46091</v>
      </c>
      <c r="J150" s="17">
        <f>IF(Items[[#This Row],[ID]]="","",IFERROR(VALUE(LOOKUP(2,1/((Log[ID]=Items[[#This Row],[ID]])*(Log[Verb]="est")),Log[Arg])),N(Items[[#This Row],[Points]])))</f>
      </c>
      <c r="K150" s="17">
        <f>IF(Items[[#This Row],[ID]]="","",IFERROR(LOOKUP(2,1/((Log[ID]=Items[[#This Row],[ID]])*(Log[Verb]="pass")),Log[Arg])&amp;"",Items[[#This Row],[Team]]&amp;""))</f>
      </c>
      <c r="L150" s="17">
        <f>IF(Items[[#This Row],[ID]]="","",IFERROR(LOOKUP(2,1/((Log[ID]=Items[[#This Row],[ID]])*(Log[Into]&lt;&gt;"")),Log[Into]),""))</f>
      </c>
      <c r="M150" s="17">
        <f>IF(Items[[#This Row],[ID]]="","",IF(IFERROR(LOOKUP(2,1/((Log[ID]=Items[[#This Row],[ID]])*(Log[Blk]&lt;&gt;"")),Log[Blk]),0)=1,"Y",""))</f>
      </c>
      <c r="N150" s="17">
        <f>IF(Items[[#This Row],[ID]]="","",SUBSTITUTE(IFERROR(LOOKUP(2,1/((Log[ID]=Items[[#This Row],[ID]])*(Log[State]&lt;&gt;"")),Log[State]),"TODO"),"OPEN",IF(Items[[#This Row],[Blocked]]="Y","WAIT","OPEN")))</f>
      </c>
      <c r="O15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50" s="17">
        <f>IF(Items[[#This Row],[State]]&lt;&gt;"WAIT","",AsOf-Items[[#This Row],[Blocked since]])</f>
      </c>
      <c r="Q150" s="17">
        <f>IF(Items[[#This Row],[State]]&lt;&gt;"WAIT","",IFERROR(LOOKUP(2,1/((Log[ID]=Items[[#This Row],[ID]])*(Log[Verb]="block")),Log[Note])&amp;"",""))</f>
      </c>
      <c r="R150" s="17">
        <f>IF(Items[[#This Row],[ID]]="","",COUNTIFS(Log[ID],Items[[#This Row],[ID]],Log[Verb],"carry"))</f>
      </c>
      <c r="S150" s="17">
        <f>IF(Items[[#This Row],[ID]]="","",COUNTIFS(Log[ID],Items[[#This Row],[ID]],Log[Verb],"punt"))</f>
      </c>
      <c r="T150" s="11">
        <f>IF(Items[[#This Row],[State]]&lt;&gt;"DONE","",IFERROR(LOOKUP(2,1/((Log[ID]=Items[[#This Row],[ID]])*(Log[Verb]="done")),Log[Date]),""))</f>
      </c>
      <c r="U150" s="17">
        <f>IF(Items[[#This Row],[ID]]="","",IF(AND(Items[[#This Row],[Sprint]]=CurSprint,OR(Items[[#This Row],[State]]="OPEN",Items[[#This Row],[State]]="WAIT",Items[[#This Row],[State]]="HOLD",Items[[#This Row],[State]]="DONE")),1,0))</f>
      </c>
      <c r="V150" s="17">
        <f>IF(OR(Items[[#This Row],[ID]]="",Items[[#This Row],[Added]]=""),"",AsOf-Items[[#This Row],[Added]])</f>
      </c>
      <c r="W150" s="17">
        <f>IF(Items[[#This Row],[In sprint]]=1,(IF(Items[[#This Row],[Prio]]="",9,N(Items[[#This Row],[Prio]]))*10+(IF(Items[[#This Row],[State]]="DONE",1,0)))*100000+ROW(),"")</f>
      </c>
      <c r="X15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50" s="17">
        <f>IF(AND(Items[[#This Row],[State]]="DONE",N(Items[[#This Row],[Done on]])&gt;AsOf-7),(200000-N(Items[[#This Row],[Done on]]))*100000+ROW(),"")</f>
      </c>
    </row>
    <row r="151">
      <c r="A151" t="s">
        <v>315</v>
      </c>
      <c r="B151" t="s">
        <v>1348</v>
      </c>
      <c r="C151" t="s">
        <v>1107</v>
      </c>
      <c r="D151" t="s">
        <v>1123</v>
      </c>
      <c r="E151" t="s">
        <v>1124</v>
      </c>
      <c r="F151" t="s">
        <v>1155</v>
      </c>
      <c r="G151">
        <v>3</v>
      </c>
      <c r="H151">
        <v>2</v>
      </c>
      <c r="I151" s="11">
        <v>46091</v>
      </c>
      <c r="J151" s="17">
        <f>IF(Items[[#This Row],[ID]]="","",IFERROR(VALUE(LOOKUP(2,1/((Log[ID]=Items[[#This Row],[ID]])*(Log[Verb]="est")),Log[Arg])),N(Items[[#This Row],[Points]])))</f>
      </c>
      <c r="K151" s="17">
        <f>IF(Items[[#This Row],[ID]]="","",IFERROR(LOOKUP(2,1/((Log[ID]=Items[[#This Row],[ID]])*(Log[Verb]="pass")),Log[Arg])&amp;"",Items[[#This Row],[Team]]&amp;""))</f>
      </c>
      <c r="L151" s="17">
        <f>IF(Items[[#This Row],[ID]]="","",IFERROR(LOOKUP(2,1/((Log[ID]=Items[[#This Row],[ID]])*(Log[Into]&lt;&gt;"")),Log[Into]),""))</f>
      </c>
      <c r="M151" s="17">
        <f>IF(Items[[#This Row],[ID]]="","",IF(IFERROR(LOOKUP(2,1/((Log[ID]=Items[[#This Row],[ID]])*(Log[Blk]&lt;&gt;"")),Log[Blk]),0)=1,"Y",""))</f>
      </c>
      <c r="N151" s="17">
        <f>IF(Items[[#This Row],[ID]]="","",SUBSTITUTE(IFERROR(LOOKUP(2,1/((Log[ID]=Items[[#This Row],[ID]])*(Log[State]&lt;&gt;"")),Log[State]),"TODO"),"OPEN",IF(Items[[#This Row],[Blocked]]="Y","WAIT","OPEN")))</f>
      </c>
      <c r="O15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51" s="17">
        <f>IF(Items[[#This Row],[State]]&lt;&gt;"WAIT","",AsOf-Items[[#This Row],[Blocked since]])</f>
      </c>
      <c r="Q151" s="17">
        <f>IF(Items[[#This Row],[State]]&lt;&gt;"WAIT","",IFERROR(LOOKUP(2,1/((Log[ID]=Items[[#This Row],[ID]])*(Log[Verb]="block")),Log[Note])&amp;"",""))</f>
      </c>
      <c r="R151" s="17">
        <f>IF(Items[[#This Row],[ID]]="","",COUNTIFS(Log[ID],Items[[#This Row],[ID]],Log[Verb],"carry"))</f>
      </c>
      <c r="S151" s="17">
        <f>IF(Items[[#This Row],[ID]]="","",COUNTIFS(Log[ID],Items[[#This Row],[ID]],Log[Verb],"punt"))</f>
      </c>
      <c r="T151" s="11">
        <f>IF(Items[[#This Row],[State]]&lt;&gt;"DONE","",IFERROR(LOOKUP(2,1/((Log[ID]=Items[[#This Row],[ID]])*(Log[Verb]="done")),Log[Date]),""))</f>
      </c>
      <c r="U151" s="17">
        <f>IF(Items[[#This Row],[ID]]="","",IF(AND(Items[[#This Row],[Sprint]]=CurSprint,OR(Items[[#This Row],[State]]="OPEN",Items[[#This Row],[State]]="WAIT",Items[[#This Row],[State]]="HOLD",Items[[#This Row],[State]]="DONE")),1,0))</f>
      </c>
      <c r="V151" s="17">
        <f>IF(OR(Items[[#This Row],[ID]]="",Items[[#This Row],[Added]]=""),"",AsOf-Items[[#This Row],[Added]])</f>
      </c>
      <c r="W151" s="17">
        <f>IF(Items[[#This Row],[In sprint]]=1,(IF(Items[[#This Row],[Prio]]="",9,N(Items[[#This Row],[Prio]]))*10+(IF(Items[[#This Row],[State]]="DONE",1,0)))*100000+ROW(),"")</f>
      </c>
      <c r="X15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51" s="17">
        <f>IF(AND(Items[[#This Row],[State]]="DONE",N(Items[[#This Row],[Done on]])&gt;AsOf-7),(200000-N(Items[[#This Row],[Done on]]))*100000+ROW(),"")</f>
      </c>
    </row>
    <row r="152">
      <c r="A152" t="s">
        <v>316</v>
      </c>
      <c r="B152" t="s">
        <v>1349</v>
      </c>
      <c r="C152" t="s">
        <v>1115</v>
      </c>
      <c r="D152" t="s">
        <v>1119</v>
      </c>
      <c r="E152" t="s">
        <v>1124</v>
      </c>
      <c r="F152" t="s">
        <v>1280</v>
      </c>
      <c r="G152">
        <v>5</v>
      </c>
      <c r="H152">
        <v>1</v>
      </c>
      <c r="I152" s="11">
        <v>46091</v>
      </c>
      <c r="J152" s="17">
        <f>IF(Items[[#This Row],[ID]]="","",IFERROR(VALUE(LOOKUP(2,1/((Log[ID]=Items[[#This Row],[ID]])*(Log[Verb]="est")),Log[Arg])),N(Items[[#This Row],[Points]])))</f>
      </c>
      <c r="K152" s="17">
        <f>IF(Items[[#This Row],[ID]]="","",IFERROR(LOOKUP(2,1/((Log[ID]=Items[[#This Row],[ID]])*(Log[Verb]="pass")),Log[Arg])&amp;"",Items[[#This Row],[Team]]&amp;""))</f>
      </c>
      <c r="L152" s="17">
        <f>IF(Items[[#This Row],[ID]]="","",IFERROR(LOOKUP(2,1/((Log[ID]=Items[[#This Row],[ID]])*(Log[Into]&lt;&gt;"")),Log[Into]),""))</f>
      </c>
      <c r="M152" s="17">
        <f>IF(Items[[#This Row],[ID]]="","",IF(IFERROR(LOOKUP(2,1/((Log[ID]=Items[[#This Row],[ID]])*(Log[Blk]&lt;&gt;"")),Log[Blk]),0)=1,"Y",""))</f>
      </c>
      <c r="N152" s="17">
        <f>IF(Items[[#This Row],[ID]]="","",SUBSTITUTE(IFERROR(LOOKUP(2,1/((Log[ID]=Items[[#This Row],[ID]])*(Log[State]&lt;&gt;"")),Log[State]),"TODO"),"OPEN",IF(Items[[#This Row],[Blocked]]="Y","WAIT","OPEN")))</f>
      </c>
      <c r="O15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52" s="17">
        <f>IF(Items[[#This Row],[State]]&lt;&gt;"WAIT","",AsOf-Items[[#This Row],[Blocked since]])</f>
      </c>
      <c r="Q152" s="17">
        <f>IF(Items[[#This Row],[State]]&lt;&gt;"WAIT","",IFERROR(LOOKUP(2,1/((Log[ID]=Items[[#This Row],[ID]])*(Log[Verb]="block")),Log[Note])&amp;"",""))</f>
      </c>
      <c r="R152" s="17">
        <f>IF(Items[[#This Row],[ID]]="","",COUNTIFS(Log[ID],Items[[#This Row],[ID]],Log[Verb],"carry"))</f>
      </c>
      <c r="S152" s="17">
        <f>IF(Items[[#This Row],[ID]]="","",COUNTIFS(Log[ID],Items[[#This Row],[ID]],Log[Verb],"punt"))</f>
      </c>
      <c r="T152" s="11">
        <f>IF(Items[[#This Row],[State]]&lt;&gt;"DONE","",IFERROR(LOOKUP(2,1/((Log[ID]=Items[[#This Row],[ID]])*(Log[Verb]="done")),Log[Date]),""))</f>
      </c>
      <c r="U152" s="17">
        <f>IF(Items[[#This Row],[ID]]="","",IF(AND(Items[[#This Row],[Sprint]]=CurSprint,OR(Items[[#This Row],[State]]="OPEN",Items[[#This Row],[State]]="WAIT",Items[[#This Row],[State]]="HOLD",Items[[#This Row],[State]]="DONE")),1,0))</f>
      </c>
      <c r="V152" s="17">
        <f>IF(OR(Items[[#This Row],[ID]]="",Items[[#This Row],[Added]]=""),"",AsOf-Items[[#This Row],[Added]])</f>
      </c>
      <c r="W152" s="17">
        <f>IF(Items[[#This Row],[In sprint]]=1,(IF(Items[[#This Row],[Prio]]="",9,N(Items[[#This Row],[Prio]]))*10+(IF(Items[[#This Row],[State]]="DONE",1,0)))*100000+ROW(),"")</f>
      </c>
      <c r="X15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52" s="17">
        <f>IF(AND(Items[[#This Row],[State]]="DONE",N(Items[[#This Row],[Done on]])&gt;AsOf-7),(200000-N(Items[[#This Row],[Done on]]))*100000+ROW(),"")</f>
      </c>
    </row>
    <row r="153">
      <c r="A153" t="s">
        <v>385</v>
      </c>
      <c r="B153" t="s">
        <v>1350</v>
      </c>
      <c r="C153" t="s">
        <v>1115</v>
      </c>
      <c r="D153" t="s">
        <v>1116</v>
      </c>
      <c r="E153" t="s">
        <v>1124</v>
      </c>
      <c r="F153" t="s">
        <v>1198</v>
      </c>
      <c r="G153">
        <v>5</v>
      </c>
      <c r="H153">
        <v>2</v>
      </c>
      <c r="I153" s="11">
        <v>46091</v>
      </c>
      <c r="J153" s="17">
        <f>IF(Items[[#This Row],[ID]]="","",IFERROR(VALUE(LOOKUP(2,1/((Log[ID]=Items[[#This Row],[ID]])*(Log[Verb]="est")),Log[Arg])),N(Items[[#This Row],[Points]])))</f>
      </c>
      <c r="K153" s="17">
        <f>IF(Items[[#This Row],[ID]]="","",IFERROR(LOOKUP(2,1/((Log[ID]=Items[[#This Row],[ID]])*(Log[Verb]="pass")),Log[Arg])&amp;"",Items[[#This Row],[Team]]&amp;""))</f>
      </c>
      <c r="L153" s="17">
        <f>IF(Items[[#This Row],[ID]]="","",IFERROR(LOOKUP(2,1/((Log[ID]=Items[[#This Row],[ID]])*(Log[Into]&lt;&gt;"")),Log[Into]),""))</f>
      </c>
      <c r="M153" s="17">
        <f>IF(Items[[#This Row],[ID]]="","",IF(IFERROR(LOOKUP(2,1/((Log[ID]=Items[[#This Row],[ID]])*(Log[Blk]&lt;&gt;"")),Log[Blk]),0)=1,"Y",""))</f>
      </c>
      <c r="N153" s="17">
        <f>IF(Items[[#This Row],[ID]]="","",SUBSTITUTE(IFERROR(LOOKUP(2,1/((Log[ID]=Items[[#This Row],[ID]])*(Log[State]&lt;&gt;"")),Log[State]),"TODO"),"OPEN",IF(Items[[#This Row],[Blocked]]="Y","WAIT","OPEN")))</f>
      </c>
      <c r="O15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53" s="17">
        <f>IF(Items[[#This Row],[State]]&lt;&gt;"WAIT","",AsOf-Items[[#This Row],[Blocked since]])</f>
      </c>
      <c r="Q153" s="17">
        <f>IF(Items[[#This Row],[State]]&lt;&gt;"WAIT","",IFERROR(LOOKUP(2,1/((Log[ID]=Items[[#This Row],[ID]])*(Log[Verb]="block")),Log[Note])&amp;"",""))</f>
      </c>
      <c r="R153" s="17">
        <f>IF(Items[[#This Row],[ID]]="","",COUNTIFS(Log[ID],Items[[#This Row],[ID]],Log[Verb],"carry"))</f>
      </c>
      <c r="S153" s="17">
        <f>IF(Items[[#This Row],[ID]]="","",COUNTIFS(Log[ID],Items[[#This Row],[ID]],Log[Verb],"punt"))</f>
      </c>
      <c r="T153" s="11">
        <f>IF(Items[[#This Row],[State]]&lt;&gt;"DONE","",IFERROR(LOOKUP(2,1/((Log[ID]=Items[[#This Row],[ID]])*(Log[Verb]="done")),Log[Date]),""))</f>
      </c>
      <c r="U153" s="17">
        <f>IF(Items[[#This Row],[ID]]="","",IF(AND(Items[[#This Row],[Sprint]]=CurSprint,OR(Items[[#This Row],[State]]="OPEN",Items[[#This Row],[State]]="WAIT",Items[[#This Row],[State]]="HOLD",Items[[#This Row],[State]]="DONE")),1,0))</f>
      </c>
      <c r="V153" s="17">
        <f>IF(OR(Items[[#This Row],[ID]]="",Items[[#This Row],[Added]]=""),"",AsOf-Items[[#This Row],[Added]])</f>
      </c>
      <c r="W153" s="17">
        <f>IF(Items[[#This Row],[In sprint]]=1,(IF(Items[[#This Row],[Prio]]="",9,N(Items[[#This Row],[Prio]]))*10+(IF(Items[[#This Row],[State]]="DONE",1,0)))*100000+ROW(),"")</f>
      </c>
      <c r="X15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53" s="17">
        <f>IF(AND(Items[[#This Row],[State]]="DONE",N(Items[[#This Row],[Done on]])&gt;AsOf-7),(200000-N(Items[[#This Row],[Done on]]))*100000+ROW(),"")</f>
      </c>
    </row>
    <row r="154">
      <c r="A154" t="s">
        <v>261</v>
      </c>
      <c r="B154" t="s">
        <v>1351</v>
      </c>
      <c r="C154" t="s">
        <v>1115</v>
      </c>
      <c r="D154" t="s">
        <v>1116</v>
      </c>
      <c r="E154" t="s">
        <v>1159</v>
      </c>
      <c r="F154" t="s">
        <v>1207</v>
      </c>
      <c r="G154">
        <v>2</v>
      </c>
      <c r="H154">
        <v>3</v>
      </c>
      <c r="I154" s="11">
        <v>46091</v>
      </c>
      <c r="J154" s="17">
        <f>IF(Items[[#This Row],[ID]]="","",IFERROR(VALUE(LOOKUP(2,1/((Log[ID]=Items[[#This Row],[ID]])*(Log[Verb]="est")),Log[Arg])),N(Items[[#This Row],[Points]])))</f>
      </c>
      <c r="K154" s="17">
        <f>IF(Items[[#This Row],[ID]]="","",IFERROR(LOOKUP(2,1/((Log[ID]=Items[[#This Row],[ID]])*(Log[Verb]="pass")),Log[Arg])&amp;"",Items[[#This Row],[Team]]&amp;""))</f>
      </c>
      <c r="L154" s="17">
        <f>IF(Items[[#This Row],[ID]]="","",IFERROR(LOOKUP(2,1/((Log[ID]=Items[[#This Row],[ID]])*(Log[Into]&lt;&gt;"")),Log[Into]),""))</f>
      </c>
      <c r="M154" s="17">
        <f>IF(Items[[#This Row],[ID]]="","",IF(IFERROR(LOOKUP(2,1/((Log[ID]=Items[[#This Row],[ID]])*(Log[Blk]&lt;&gt;"")),Log[Blk]),0)=1,"Y",""))</f>
      </c>
      <c r="N154" s="17">
        <f>IF(Items[[#This Row],[ID]]="","",SUBSTITUTE(IFERROR(LOOKUP(2,1/((Log[ID]=Items[[#This Row],[ID]])*(Log[State]&lt;&gt;"")),Log[State]),"TODO"),"OPEN",IF(Items[[#This Row],[Blocked]]="Y","WAIT","OPEN")))</f>
      </c>
      <c r="O15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54" s="17">
        <f>IF(Items[[#This Row],[State]]&lt;&gt;"WAIT","",AsOf-Items[[#This Row],[Blocked since]])</f>
      </c>
      <c r="Q154" s="17">
        <f>IF(Items[[#This Row],[State]]&lt;&gt;"WAIT","",IFERROR(LOOKUP(2,1/((Log[ID]=Items[[#This Row],[ID]])*(Log[Verb]="block")),Log[Note])&amp;"",""))</f>
      </c>
      <c r="R154" s="17">
        <f>IF(Items[[#This Row],[ID]]="","",COUNTIFS(Log[ID],Items[[#This Row],[ID]],Log[Verb],"carry"))</f>
      </c>
      <c r="S154" s="17">
        <f>IF(Items[[#This Row],[ID]]="","",COUNTIFS(Log[ID],Items[[#This Row],[ID]],Log[Verb],"punt"))</f>
      </c>
      <c r="T154" s="11">
        <f>IF(Items[[#This Row],[State]]&lt;&gt;"DONE","",IFERROR(LOOKUP(2,1/((Log[ID]=Items[[#This Row],[ID]])*(Log[Verb]="done")),Log[Date]),""))</f>
      </c>
      <c r="U154" s="17">
        <f>IF(Items[[#This Row],[ID]]="","",IF(AND(Items[[#This Row],[Sprint]]=CurSprint,OR(Items[[#This Row],[State]]="OPEN",Items[[#This Row],[State]]="WAIT",Items[[#This Row],[State]]="HOLD",Items[[#This Row],[State]]="DONE")),1,0))</f>
      </c>
      <c r="V154" s="17">
        <f>IF(OR(Items[[#This Row],[ID]]="",Items[[#This Row],[Added]]=""),"",AsOf-Items[[#This Row],[Added]])</f>
      </c>
      <c r="W154" s="17">
        <f>IF(Items[[#This Row],[In sprint]]=1,(IF(Items[[#This Row],[Prio]]="",9,N(Items[[#This Row],[Prio]]))*10+(IF(Items[[#This Row],[State]]="DONE",1,0)))*100000+ROW(),"")</f>
      </c>
      <c r="X15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54" s="17">
        <f>IF(AND(Items[[#This Row],[State]]="DONE",N(Items[[#This Row],[Done on]])&gt;AsOf-7),(200000-N(Items[[#This Row],[Done on]]))*100000+ROW(),"")</f>
      </c>
    </row>
    <row r="155">
      <c r="A155" t="s">
        <v>318</v>
      </c>
      <c r="B155" t="s">
        <v>1352</v>
      </c>
      <c r="C155" t="s">
        <v>1115</v>
      </c>
      <c r="D155" t="s">
        <v>1116</v>
      </c>
      <c r="E155" t="s">
        <v>1159</v>
      </c>
      <c r="F155" t="s">
        <v>1213</v>
      </c>
      <c r="G155">
        <v>3</v>
      </c>
      <c r="H155">
        <v>3</v>
      </c>
      <c r="I155" s="11">
        <v>46091</v>
      </c>
      <c r="J155" s="17">
        <f>IF(Items[[#This Row],[ID]]="","",IFERROR(VALUE(LOOKUP(2,1/((Log[ID]=Items[[#This Row],[ID]])*(Log[Verb]="est")),Log[Arg])),N(Items[[#This Row],[Points]])))</f>
      </c>
      <c r="K155" s="17">
        <f>IF(Items[[#This Row],[ID]]="","",IFERROR(LOOKUP(2,1/((Log[ID]=Items[[#This Row],[ID]])*(Log[Verb]="pass")),Log[Arg])&amp;"",Items[[#This Row],[Team]]&amp;""))</f>
      </c>
      <c r="L155" s="17">
        <f>IF(Items[[#This Row],[ID]]="","",IFERROR(LOOKUP(2,1/((Log[ID]=Items[[#This Row],[ID]])*(Log[Into]&lt;&gt;"")),Log[Into]),""))</f>
      </c>
      <c r="M155" s="17">
        <f>IF(Items[[#This Row],[ID]]="","",IF(IFERROR(LOOKUP(2,1/((Log[ID]=Items[[#This Row],[ID]])*(Log[Blk]&lt;&gt;"")),Log[Blk]),0)=1,"Y",""))</f>
      </c>
      <c r="N155" s="17">
        <f>IF(Items[[#This Row],[ID]]="","",SUBSTITUTE(IFERROR(LOOKUP(2,1/((Log[ID]=Items[[#This Row],[ID]])*(Log[State]&lt;&gt;"")),Log[State]),"TODO"),"OPEN",IF(Items[[#This Row],[Blocked]]="Y","WAIT","OPEN")))</f>
      </c>
      <c r="O15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55" s="17">
        <f>IF(Items[[#This Row],[State]]&lt;&gt;"WAIT","",AsOf-Items[[#This Row],[Blocked since]])</f>
      </c>
      <c r="Q155" s="17">
        <f>IF(Items[[#This Row],[State]]&lt;&gt;"WAIT","",IFERROR(LOOKUP(2,1/((Log[ID]=Items[[#This Row],[ID]])*(Log[Verb]="block")),Log[Note])&amp;"",""))</f>
      </c>
      <c r="R155" s="17">
        <f>IF(Items[[#This Row],[ID]]="","",COUNTIFS(Log[ID],Items[[#This Row],[ID]],Log[Verb],"carry"))</f>
      </c>
      <c r="S155" s="17">
        <f>IF(Items[[#This Row],[ID]]="","",COUNTIFS(Log[ID],Items[[#This Row],[ID]],Log[Verb],"punt"))</f>
      </c>
      <c r="T155" s="11">
        <f>IF(Items[[#This Row],[State]]&lt;&gt;"DONE","",IFERROR(LOOKUP(2,1/((Log[ID]=Items[[#This Row],[ID]])*(Log[Verb]="done")),Log[Date]),""))</f>
      </c>
      <c r="U155" s="17">
        <f>IF(Items[[#This Row],[ID]]="","",IF(AND(Items[[#This Row],[Sprint]]=CurSprint,OR(Items[[#This Row],[State]]="OPEN",Items[[#This Row],[State]]="WAIT",Items[[#This Row],[State]]="HOLD",Items[[#This Row],[State]]="DONE")),1,0))</f>
      </c>
      <c r="V155" s="17">
        <f>IF(OR(Items[[#This Row],[ID]]="",Items[[#This Row],[Added]]=""),"",AsOf-Items[[#This Row],[Added]])</f>
      </c>
      <c r="W155" s="17">
        <f>IF(Items[[#This Row],[In sprint]]=1,(IF(Items[[#This Row],[Prio]]="",9,N(Items[[#This Row],[Prio]]))*10+(IF(Items[[#This Row],[State]]="DONE",1,0)))*100000+ROW(),"")</f>
      </c>
      <c r="X15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55" s="17">
        <f>IF(AND(Items[[#This Row],[State]]="DONE",N(Items[[#This Row],[Done on]])&gt;AsOf-7),(200000-N(Items[[#This Row],[Done on]]))*100000+ROW(),"")</f>
      </c>
    </row>
    <row r="156">
      <c r="A156" t="s">
        <v>319</v>
      </c>
      <c r="B156" t="s">
        <v>1353</v>
      </c>
      <c r="C156" t="s">
        <v>1107</v>
      </c>
      <c r="D156" t="s">
        <v>1123</v>
      </c>
      <c r="E156" t="s">
        <v>1159</v>
      </c>
      <c r="F156" t="s">
        <v>1160</v>
      </c>
      <c r="G156">
        <v>5</v>
      </c>
      <c r="H156">
        <v>2</v>
      </c>
      <c r="I156" s="11">
        <v>46091</v>
      </c>
      <c r="J156" s="17">
        <f>IF(Items[[#This Row],[ID]]="","",IFERROR(VALUE(LOOKUP(2,1/((Log[ID]=Items[[#This Row],[ID]])*(Log[Verb]="est")),Log[Arg])),N(Items[[#This Row],[Points]])))</f>
      </c>
      <c r="K156" s="17">
        <f>IF(Items[[#This Row],[ID]]="","",IFERROR(LOOKUP(2,1/((Log[ID]=Items[[#This Row],[ID]])*(Log[Verb]="pass")),Log[Arg])&amp;"",Items[[#This Row],[Team]]&amp;""))</f>
      </c>
      <c r="L156" s="17">
        <f>IF(Items[[#This Row],[ID]]="","",IFERROR(LOOKUP(2,1/((Log[ID]=Items[[#This Row],[ID]])*(Log[Into]&lt;&gt;"")),Log[Into]),""))</f>
      </c>
      <c r="M156" s="17">
        <f>IF(Items[[#This Row],[ID]]="","",IF(IFERROR(LOOKUP(2,1/((Log[ID]=Items[[#This Row],[ID]])*(Log[Blk]&lt;&gt;"")),Log[Blk]),0)=1,"Y",""))</f>
      </c>
      <c r="N156" s="17">
        <f>IF(Items[[#This Row],[ID]]="","",SUBSTITUTE(IFERROR(LOOKUP(2,1/((Log[ID]=Items[[#This Row],[ID]])*(Log[State]&lt;&gt;"")),Log[State]),"TODO"),"OPEN",IF(Items[[#This Row],[Blocked]]="Y","WAIT","OPEN")))</f>
      </c>
      <c r="O15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56" s="17">
        <f>IF(Items[[#This Row],[State]]&lt;&gt;"WAIT","",AsOf-Items[[#This Row],[Blocked since]])</f>
      </c>
      <c r="Q156" s="17">
        <f>IF(Items[[#This Row],[State]]&lt;&gt;"WAIT","",IFERROR(LOOKUP(2,1/((Log[ID]=Items[[#This Row],[ID]])*(Log[Verb]="block")),Log[Note])&amp;"",""))</f>
      </c>
      <c r="R156" s="17">
        <f>IF(Items[[#This Row],[ID]]="","",COUNTIFS(Log[ID],Items[[#This Row],[ID]],Log[Verb],"carry"))</f>
      </c>
      <c r="S156" s="17">
        <f>IF(Items[[#This Row],[ID]]="","",COUNTIFS(Log[ID],Items[[#This Row],[ID]],Log[Verb],"punt"))</f>
      </c>
      <c r="T156" s="11">
        <f>IF(Items[[#This Row],[State]]&lt;&gt;"DONE","",IFERROR(LOOKUP(2,1/((Log[ID]=Items[[#This Row],[ID]])*(Log[Verb]="done")),Log[Date]),""))</f>
      </c>
      <c r="U156" s="17">
        <f>IF(Items[[#This Row],[ID]]="","",IF(AND(Items[[#This Row],[Sprint]]=CurSprint,OR(Items[[#This Row],[State]]="OPEN",Items[[#This Row],[State]]="WAIT",Items[[#This Row],[State]]="HOLD",Items[[#This Row],[State]]="DONE")),1,0))</f>
      </c>
      <c r="V156" s="17">
        <f>IF(OR(Items[[#This Row],[ID]]="",Items[[#This Row],[Added]]=""),"",AsOf-Items[[#This Row],[Added]])</f>
      </c>
      <c r="W156" s="17">
        <f>IF(Items[[#This Row],[In sprint]]=1,(IF(Items[[#This Row],[Prio]]="",9,N(Items[[#This Row],[Prio]]))*10+(IF(Items[[#This Row],[State]]="DONE",1,0)))*100000+ROW(),"")</f>
      </c>
      <c r="X15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56" s="17">
        <f>IF(AND(Items[[#This Row],[State]]="DONE",N(Items[[#This Row],[Done on]])&gt;AsOf-7),(200000-N(Items[[#This Row],[Done on]]))*100000+ROW(),"")</f>
      </c>
    </row>
    <row r="157">
      <c r="A157" t="s">
        <v>262</v>
      </c>
      <c r="B157" t="s">
        <v>1354</v>
      </c>
      <c r="C157" t="s">
        <v>1115</v>
      </c>
      <c r="D157" t="s">
        <v>1119</v>
      </c>
      <c r="E157" t="s">
        <v>1159</v>
      </c>
      <c r="F157" t="s">
        <v>1355</v>
      </c>
      <c r="G157">
        <v>2</v>
      </c>
      <c r="H157">
        <v>3</v>
      </c>
      <c r="I157" s="11">
        <v>46091</v>
      </c>
      <c r="J157" s="17">
        <f>IF(Items[[#This Row],[ID]]="","",IFERROR(VALUE(LOOKUP(2,1/((Log[ID]=Items[[#This Row],[ID]])*(Log[Verb]="est")),Log[Arg])),N(Items[[#This Row],[Points]])))</f>
      </c>
      <c r="K157" s="17">
        <f>IF(Items[[#This Row],[ID]]="","",IFERROR(LOOKUP(2,1/((Log[ID]=Items[[#This Row],[ID]])*(Log[Verb]="pass")),Log[Arg])&amp;"",Items[[#This Row],[Team]]&amp;""))</f>
      </c>
      <c r="L157" s="17">
        <f>IF(Items[[#This Row],[ID]]="","",IFERROR(LOOKUP(2,1/((Log[ID]=Items[[#This Row],[ID]])*(Log[Into]&lt;&gt;"")),Log[Into]),""))</f>
      </c>
      <c r="M157" s="17">
        <f>IF(Items[[#This Row],[ID]]="","",IF(IFERROR(LOOKUP(2,1/((Log[ID]=Items[[#This Row],[ID]])*(Log[Blk]&lt;&gt;"")),Log[Blk]),0)=1,"Y",""))</f>
      </c>
      <c r="N157" s="17">
        <f>IF(Items[[#This Row],[ID]]="","",SUBSTITUTE(IFERROR(LOOKUP(2,1/((Log[ID]=Items[[#This Row],[ID]])*(Log[State]&lt;&gt;"")),Log[State]),"TODO"),"OPEN",IF(Items[[#This Row],[Blocked]]="Y","WAIT","OPEN")))</f>
      </c>
      <c r="O15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57" s="17">
        <f>IF(Items[[#This Row],[State]]&lt;&gt;"WAIT","",AsOf-Items[[#This Row],[Blocked since]])</f>
      </c>
      <c r="Q157" s="17">
        <f>IF(Items[[#This Row],[State]]&lt;&gt;"WAIT","",IFERROR(LOOKUP(2,1/((Log[ID]=Items[[#This Row],[ID]])*(Log[Verb]="block")),Log[Note])&amp;"",""))</f>
      </c>
      <c r="R157" s="17">
        <f>IF(Items[[#This Row],[ID]]="","",COUNTIFS(Log[ID],Items[[#This Row],[ID]],Log[Verb],"carry"))</f>
      </c>
      <c r="S157" s="17">
        <f>IF(Items[[#This Row],[ID]]="","",COUNTIFS(Log[ID],Items[[#This Row],[ID]],Log[Verb],"punt"))</f>
      </c>
      <c r="T157" s="11">
        <f>IF(Items[[#This Row],[State]]&lt;&gt;"DONE","",IFERROR(LOOKUP(2,1/((Log[ID]=Items[[#This Row],[ID]])*(Log[Verb]="done")),Log[Date]),""))</f>
      </c>
      <c r="U157" s="17">
        <f>IF(Items[[#This Row],[ID]]="","",IF(AND(Items[[#This Row],[Sprint]]=CurSprint,OR(Items[[#This Row],[State]]="OPEN",Items[[#This Row],[State]]="WAIT",Items[[#This Row],[State]]="HOLD",Items[[#This Row],[State]]="DONE")),1,0))</f>
      </c>
      <c r="V157" s="17">
        <f>IF(OR(Items[[#This Row],[ID]]="",Items[[#This Row],[Added]]=""),"",AsOf-Items[[#This Row],[Added]])</f>
      </c>
      <c r="W157" s="17">
        <f>IF(Items[[#This Row],[In sprint]]=1,(IF(Items[[#This Row],[Prio]]="",9,N(Items[[#This Row],[Prio]]))*10+(IF(Items[[#This Row],[State]]="DONE",1,0)))*100000+ROW(),"")</f>
      </c>
      <c r="X15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57" s="17">
        <f>IF(AND(Items[[#This Row],[State]]="DONE",N(Items[[#This Row],[Done on]])&gt;AsOf-7),(200000-N(Items[[#This Row],[Done on]]))*100000+ROW(),"")</f>
      </c>
    </row>
    <row r="158">
      <c r="A158" t="s">
        <v>320</v>
      </c>
      <c r="B158" t="s">
        <v>1356</v>
      </c>
      <c r="C158" t="s">
        <v>1115</v>
      </c>
      <c r="D158" t="s">
        <v>1116</v>
      </c>
      <c r="E158" t="s">
        <v>1159</v>
      </c>
      <c r="F158" t="s">
        <v>1211</v>
      </c>
      <c r="G158">
        <v>2</v>
      </c>
      <c r="H158">
        <v>3</v>
      </c>
      <c r="I158" s="11">
        <v>46091</v>
      </c>
      <c r="J158" s="17">
        <f>IF(Items[[#This Row],[ID]]="","",IFERROR(VALUE(LOOKUP(2,1/((Log[ID]=Items[[#This Row],[ID]])*(Log[Verb]="est")),Log[Arg])),N(Items[[#This Row],[Points]])))</f>
      </c>
      <c r="K158" s="17">
        <f>IF(Items[[#This Row],[ID]]="","",IFERROR(LOOKUP(2,1/((Log[ID]=Items[[#This Row],[ID]])*(Log[Verb]="pass")),Log[Arg])&amp;"",Items[[#This Row],[Team]]&amp;""))</f>
      </c>
      <c r="L158" s="17">
        <f>IF(Items[[#This Row],[ID]]="","",IFERROR(LOOKUP(2,1/((Log[ID]=Items[[#This Row],[ID]])*(Log[Into]&lt;&gt;"")),Log[Into]),""))</f>
      </c>
      <c r="M158" s="17">
        <f>IF(Items[[#This Row],[ID]]="","",IF(IFERROR(LOOKUP(2,1/((Log[ID]=Items[[#This Row],[ID]])*(Log[Blk]&lt;&gt;"")),Log[Blk]),0)=1,"Y",""))</f>
      </c>
      <c r="N158" s="17">
        <f>IF(Items[[#This Row],[ID]]="","",SUBSTITUTE(IFERROR(LOOKUP(2,1/((Log[ID]=Items[[#This Row],[ID]])*(Log[State]&lt;&gt;"")),Log[State]),"TODO"),"OPEN",IF(Items[[#This Row],[Blocked]]="Y","WAIT","OPEN")))</f>
      </c>
      <c r="O15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58" s="17">
        <f>IF(Items[[#This Row],[State]]&lt;&gt;"WAIT","",AsOf-Items[[#This Row],[Blocked since]])</f>
      </c>
      <c r="Q158" s="17">
        <f>IF(Items[[#This Row],[State]]&lt;&gt;"WAIT","",IFERROR(LOOKUP(2,1/((Log[ID]=Items[[#This Row],[ID]])*(Log[Verb]="block")),Log[Note])&amp;"",""))</f>
      </c>
      <c r="R158" s="17">
        <f>IF(Items[[#This Row],[ID]]="","",COUNTIFS(Log[ID],Items[[#This Row],[ID]],Log[Verb],"carry"))</f>
      </c>
      <c r="S158" s="17">
        <f>IF(Items[[#This Row],[ID]]="","",COUNTIFS(Log[ID],Items[[#This Row],[ID]],Log[Verb],"punt"))</f>
      </c>
      <c r="T158" s="11">
        <f>IF(Items[[#This Row],[State]]&lt;&gt;"DONE","",IFERROR(LOOKUP(2,1/((Log[ID]=Items[[#This Row],[ID]])*(Log[Verb]="done")),Log[Date]),""))</f>
      </c>
      <c r="U158" s="17">
        <f>IF(Items[[#This Row],[ID]]="","",IF(AND(Items[[#This Row],[Sprint]]=CurSprint,OR(Items[[#This Row],[State]]="OPEN",Items[[#This Row],[State]]="WAIT",Items[[#This Row],[State]]="HOLD",Items[[#This Row],[State]]="DONE")),1,0))</f>
      </c>
      <c r="V158" s="17">
        <f>IF(OR(Items[[#This Row],[ID]]="",Items[[#This Row],[Added]]=""),"",AsOf-Items[[#This Row],[Added]])</f>
      </c>
      <c r="W158" s="17">
        <f>IF(Items[[#This Row],[In sprint]]=1,(IF(Items[[#This Row],[Prio]]="",9,N(Items[[#This Row],[Prio]]))*10+(IF(Items[[#This Row],[State]]="DONE",1,0)))*100000+ROW(),"")</f>
      </c>
      <c r="X15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58" s="17">
        <f>IF(AND(Items[[#This Row],[State]]="DONE",N(Items[[#This Row],[Done on]])&gt;AsOf-7),(200000-N(Items[[#This Row],[Done on]]))*100000+ROW(),"")</f>
      </c>
    </row>
    <row r="159">
      <c r="A159" t="s">
        <v>321</v>
      </c>
      <c r="B159" t="s">
        <v>1357</v>
      </c>
      <c r="C159" t="s">
        <v>1107</v>
      </c>
      <c r="D159" t="s">
        <v>1108</v>
      </c>
      <c r="E159" t="s">
        <v>1159</v>
      </c>
      <c r="F159" t="s">
        <v>1358</v>
      </c>
      <c r="G159">
        <v>8</v>
      </c>
      <c r="H159">
        <v>3</v>
      </c>
      <c r="I159" s="11">
        <v>46091</v>
      </c>
      <c r="J159" s="17">
        <f>IF(Items[[#This Row],[ID]]="","",IFERROR(VALUE(LOOKUP(2,1/((Log[ID]=Items[[#This Row],[ID]])*(Log[Verb]="est")),Log[Arg])),N(Items[[#This Row],[Points]])))</f>
      </c>
      <c r="K159" s="17">
        <f>IF(Items[[#This Row],[ID]]="","",IFERROR(LOOKUP(2,1/((Log[ID]=Items[[#This Row],[ID]])*(Log[Verb]="pass")),Log[Arg])&amp;"",Items[[#This Row],[Team]]&amp;""))</f>
      </c>
      <c r="L159" s="17">
        <f>IF(Items[[#This Row],[ID]]="","",IFERROR(LOOKUP(2,1/((Log[ID]=Items[[#This Row],[ID]])*(Log[Into]&lt;&gt;"")),Log[Into]),""))</f>
      </c>
      <c r="M159" s="17">
        <f>IF(Items[[#This Row],[ID]]="","",IF(IFERROR(LOOKUP(2,1/((Log[ID]=Items[[#This Row],[ID]])*(Log[Blk]&lt;&gt;"")),Log[Blk]),0)=1,"Y",""))</f>
      </c>
      <c r="N159" s="17">
        <f>IF(Items[[#This Row],[ID]]="","",SUBSTITUTE(IFERROR(LOOKUP(2,1/((Log[ID]=Items[[#This Row],[ID]])*(Log[State]&lt;&gt;"")),Log[State]),"TODO"),"OPEN",IF(Items[[#This Row],[Blocked]]="Y","WAIT","OPEN")))</f>
      </c>
      <c r="O15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59" s="17">
        <f>IF(Items[[#This Row],[State]]&lt;&gt;"WAIT","",AsOf-Items[[#This Row],[Blocked since]])</f>
      </c>
      <c r="Q159" s="17">
        <f>IF(Items[[#This Row],[State]]&lt;&gt;"WAIT","",IFERROR(LOOKUP(2,1/((Log[ID]=Items[[#This Row],[ID]])*(Log[Verb]="block")),Log[Note])&amp;"",""))</f>
      </c>
      <c r="R159" s="17">
        <f>IF(Items[[#This Row],[ID]]="","",COUNTIFS(Log[ID],Items[[#This Row],[ID]],Log[Verb],"carry"))</f>
      </c>
      <c r="S159" s="17">
        <f>IF(Items[[#This Row],[ID]]="","",COUNTIFS(Log[ID],Items[[#This Row],[ID]],Log[Verb],"punt"))</f>
      </c>
      <c r="T159" s="11">
        <f>IF(Items[[#This Row],[State]]&lt;&gt;"DONE","",IFERROR(LOOKUP(2,1/((Log[ID]=Items[[#This Row],[ID]])*(Log[Verb]="done")),Log[Date]),""))</f>
      </c>
      <c r="U159" s="17">
        <f>IF(Items[[#This Row],[ID]]="","",IF(AND(Items[[#This Row],[Sprint]]=CurSprint,OR(Items[[#This Row],[State]]="OPEN",Items[[#This Row],[State]]="WAIT",Items[[#This Row],[State]]="HOLD",Items[[#This Row],[State]]="DONE")),1,0))</f>
      </c>
      <c r="V159" s="17">
        <f>IF(OR(Items[[#This Row],[ID]]="",Items[[#This Row],[Added]]=""),"",AsOf-Items[[#This Row],[Added]])</f>
      </c>
      <c r="W159" s="17">
        <f>IF(Items[[#This Row],[In sprint]]=1,(IF(Items[[#This Row],[Prio]]="",9,N(Items[[#This Row],[Prio]]))*10+(IF(Items[[#This Row],[State]]="DONE",1,0)))*100000+ROW(),"")</f>
      </c>
      <c r="X15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59" s="17">
        <f>IF(AND(Items[[#This Row],[State]]="DONE",N(Items[[#This Row],[Done on]])&gt;AsOf-7),(200000-N(Items[[#This Row],[Done on]]))*100000+ROW(),"")</f>
      </c>
    </row>
    <row r="160">
      <c r="A160" t="s">
        <v>267</v>
      </c>
      <c r="B160" t="s">
        <v>1359</v>
      </c>
      <c r="C160" t="s">
        <v>1115</v>
      </c>
      <c r="D160" t="s">
        <v>1116</v>
      </c>
      <c r="E160" t="s">
        <v>1128</v>
      </c>
      <c r="F160" t="s">
        <v>1360</v>
      </c>
      <c r="G160">
        <v>2</v>
      </c>
      <c r="H160">
        <v>1</v>
      </c>
      <c r="I160" s="11">
        <v>46091</v>
      </c>
      <c r="J160" s="17">
        <f>IF(Items[[#This Row],[ID]]="","",IFERROR(VALUE(LOOKUP(2,1/((Log[ID]=Items[[#This Row],[ID]])*(Log[Verb]="est")),Log[Arg])),N(Items[[#This Row],[Points]])))</f>
      </c>
      <c r="K160" s="17">
        <f>IF(Items[[#This Row],[ID]]="","",IFERROR(LOOKUP(2,1/((Log[ID]=Items[[#This Row],[ID]])*(Log[Verb]="pass")),Log[Arg])&amp;"",Items[[#This Row],[Team]]&amp;""))</f>
      </c>
      <c r="L160" s="17">
        <f>IF(Items[[#This Row],[ID]]="","",IFERROR(LOOKUP(2,1/((Log[ID]=Items[[#This Row],[ID]])*(Log[Into]&lt;&gt;"")),Log[Into]),""))</f>
      </c>
      <c r="M160" s="17">
        <f>IF(Items[[#This Row],[ID]]="","",IF(IFERROR(LOOKUP(2,1/((Log[ID]=Items[[#This Row],[ID]])*(Log[Blk]&lt;&gt;"")),Log[Blk]),0)=1,"Y",""))</f>
      </c>
      <c r="N160" s="17">
        <f>IF(Items[[#This Row],[ID]]="","",SUBSTITUTE(IFERROR(LOOKUP(2,1/((Log[ID]=Items[[#This Row],[ID]])*(Log[State]&lt;&gt;"")),Log[State]),"TODO"),"OPEN",IF(Items[[#This Row],[Blocked]]="Y","WAIT","OPEN")))</f>
      </c>
      <c r="O16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60" s="17">
        <f>IF(Items[[#This Row],[State]]&lt;&gt;"WAIT","",AsOf-Items[[#This Row],[Blocked since]])</f>
      </c>
      <c r="Q160" s="17">
        <f>IF(Items[[#This Row],[State]]&lt;&gt;"WAIT","",IFERROR(LOOKUP(2,1/((Log[ID]=Items[[#This Row],[ID]])*(Log[Verb]="block")),Log[Note])&amp;"",""))</f>
      </c>
      <c r="R160" s="17">
        <f>IF(Items[[#This Row],[ID]]="","",COUNTIFS(Log[ID],Items[[#This Row],[ID]],Log[Verb],"carry"))</f>
      </c>
      <c r="S160" s="17">
        <f>IF(Items[[#This Row],[ID]]="","",COUNTIFS(Log[ID],Items[[#This Row],[ID]],Log[Verb],"punt"))</f>
      </c>
      <c r="T160" s="11">
        <f>IF(Items[[#This Row],[State]]&lt;&gt;"DONE","",IFERROR(LOOKUP(2,1/((Log[ID]=Items[[#This Row],[ID]])*(Log[Verb]="done")),Log[Date]),""))</f>
      </c>
      <c r="U160" s="17">
        <f>IF(Items[[#This Row],[ID]]="","",IF(AND(Items[[#This Row],[Sprint]]=CurSprint,OR(Items[[#This Row],[State]]="OPEN",Items[[#This Row],[State]]="WAIT",Items[[#This Row],[State]]="HOLD",Items[[#This Row],[State]]="DONE")),1,0))</f>
      </c>
      <c r="V160" s="17">
        <f>IF(OR(Items[[#This Row],[ID]]="",Items[[#This Row],[Added]]=""),"",AsOf-Items[[#This Row],[Added]])</f>
      </c>
      <c r="W160" s="17">
        <f>IF(Items[[#This Row],[In sprint]]=1,(IF(Items[[#This Row],[Prio]]="",9,N(Items[[#This Row],[Prio]]))*10+(IF(Items[[#This Row],[State]]="DONE",1,0)))*100000+ROW(),"")</f>
      </c>
      <c r="X16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60" s="17">
        <f>IF(AND(Items[[#This Row],[State]]="DONE",N(Items[[#This Row],[Done on]])&gt;AsOf-7),(200000-N(Items[[#This Row],[Done on]]))*100000+ROW(),"")</f>
      </c>
    </row>
    <row r="161">
      <c r="A161" t="s">
        <v>328</v>
      </c>
      <c r="B161" t="s">
        <v>1361</v>
      </c>
      <c r="C161" t="s">
        <v>1107</v>
      </c>
      <c r="D161" t="s">
        <v>1123</v>
      </c>
      <c r="E161" t="s">
        <v>1128</v>
      </c>
      <c r="F161" t="s">
        <v>1129</v>
      </c>
      <c r="G161">
        <v>3</v>
      </c>
      <c r="H161">
        <v>3</v>
      </c>
      <c r="I161" s="11">
        <v>46091</v>
      </c>
      <c r="J161" s="17">
        <f>IF(Items[[#This Row],[ID]]="","",IFERROR(VALUE(LOOKUP(2,1/((Log[ID]=Items[[#This Row],[ID]])*(Log[Verb]="est")),Log[Arg])),N(Items[[#This Row],[Points]])))</f>
      </c>
      <c r="K161" s="17">
        <f>IF(Items[[#This Row],[ID]]="","",IFERROR(LOOKUP(2,1/((Log[ID]=Items[[#This Row],[ID]])*(Log[Verb]="pass")),Log[Arg])&amp;"",Items[[#This Row],[Team]]&amp;""))</f>
      </c>
      <c r="L161" s="17">
        <f>IF(Items[[#This Row],[ID]]="","",IFERROR(LOOKUP(2,1/((Log[ID]=Items[[#This Row],[ID]])*(Log[Into]&lt;&gt;"")),Log[Into]),""))</f>
      </c>
      <c r="M161" s="17">
        <f>IF(Items[[#This Row],[ID]]="","",IF(IFERROR(LOOKUP(2,1/((Log[ID]=Items[[#This Row],[ID]])*(Log[Blk]&lt;&gt;"")),Log[Blk]),0)=1,"Y",""))</f>
      </c>
      <c r="N161" s="17">
        <f>IF(Items[[#This Row],[ID]]="","",SUBSTITUTE(IFERROR(LOOKUP(2,1/((Log[ID]=Items[[#This Row],[ID]])*(Log[State]&lt;&gt;"")),Log[State]),"TODO"),"OPEN",IF(Items[[#This Row],[Blocked]]="Y","WAIT","OPEN")))</f>
      </c>
      <c r="O16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61" s="17">
        <f>IF(Items[[#This Row],[State]]&lt;&gt;"WAIT","",AsOf-Items[[#This Row],[Blocked since]])</f>
      </c>
      <c r="Q161" s="17">
        <f>IF(Items[[#This Row],[State]]&lt;&gt;"WAIT","",IFERROR(LOOKUP(2,1/((Log[ID]=Items[[#This Row],[ID]])*(Log[Verb]="block")),Log[Note])&amp;"",""))</f>
      </c>
      <c r="R161" s="17">
        <f>IF(Items[[#This Row],[ID]]="","",COUNTIFS(Log[ID],Items[[#This Row],[ID]],Log[Verb],"carry"))</f>
      </c>
      <c r="S161" s="17">
        <f>IF(Items[[#This Row],[ID]]="","",COUNTIFS(Log[ID],Items[[#This Row],[ID]],Log[Verb],"punt"))</f>
      </c>
      <c r="T161" s="11">
        <f>IF(Items[[#This Row],[State]]&lt;&gt;"DONE","",IFERROR(LOOKUP(2,1/((Log[ID]=Items[[#This Row],[ID]])*(Log[Verb]="done")),Log[Date]),""))</f>
      </c>
      <c r="U161" s="17">
        <f>IF(Items[[#This Row],[ID]]="","",IF(AND(Items[[#This Row],[Sprint]]=CurSprint,OR(Items[[#This Row],[State]]="OPEN",Items[[#This Row],[State]]="WAIT",Items[[#This Row],[State]]="HOLD",Items[[#This Row],[State]]="DONE")),1,0))</f>
      </c>
      <c r="V161" s="17">
        <f>IF(OR(Items[[#This Row],[ID]]="",Items[[#This Row],[Added]]=""),"",AsOf-Items[[#This Row],[Added]])</f>
      </c>
      <c r="W161" s="17">
        <f>IF(Items[[#This Row],[In sprint]]=1,(IF(Items[[#This Row],[Prio]]="",9,N(Items[[#This Row],[Prio]]))*10+(IF(Items[[#This Row],[State]]="DONE",1,0)))*100000+ROW(),"")</f>
      </c>
      <c r="X16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61" s="17">
        <f>IF(AND(Items[[#This Row],[State]]="DONE",N(Items[[#This Row],[Done on]])&gt;AsOf-7),(200000-N(Items[[#This Row],[Done on]]))*100000+ROW(),"")</f>
      </c>
    </row>
    <row r="162">
      <c r="A162" t="s">
        <v>329</v>
      </c>
      <c r="B162" t="s">
        <v>1362</v>
      </c>
      <c r="C162" t="s">
        <v>1115</v>
      </c>
      <c r="D162" t="s">
        <v>1119</v>
      </c>
      <c r="E162" t="s">
        <v>1128</v>
      </c>
      <c r="F162" t="s">
        <v>1292</v>
      </c>
      <c r="G162">
        <v>5</v>
      </c>
      <c r="H162">
        <v>2</v>
      </c>
      <c r="I162" s="11">
        <v>46091</v>
      </c>
      <c r="J162" s="17">
        <f>IF(Items[[#This Row],[ID]]="","",IFERROR(VALUE(LOOKUP(2,1/((Log[ID]=Items[[#This Row],[ID]])*(Log[Verb]="est")),Log[Arg])),N(Items[[#This Row],[Points]])))</f>
      </c>
      <c r="K162" s="17">
        <f>IF(Items[[#This Row],[ID]]="","",IFERROR(LOOKUP(2,1/((Log[ID]=Items[[#This Row],[ID]])*(Log[Verb]="pass")),Log[Arg])&amp;"",Items[[#This Row],[Team]]&amp;""))</f>
      </c>
      <c r="L162" s="17">
        <f>IF(Items[[#This Row],[ID]]="","",IFERROR(LOOKUP(2,1/((Log[ID]=Items[[#This Row],[ID]])*(Log[Into]&lt;&gt;"")),Log[Into]),""))</f>
      </c>
      <c r="M162" s="17">
        <f>IF(Items[[#This Row],[ID]]="","",IF(IFERROR(LOOKUP(2,1/((Log[ID]=Items[[#This Row],[ID]])*(Log[Blk]&lt;&gt;"")),Log[Blk]),0)=1,"Y",""))</f>
      </c>
      <c r="N162" s="17">
        <f>IF(Items[[#This Row],[ID]]="","",SUBSTITUTE(IFERROR(LOOKUP(2,1/((Log[ID]=Items[[#This Row],[ID]])*(Log[State]&lt;&gt;"")),Log[State]),"TODO"),"OPEN",IF(Items[[#This Row],[Blocked]]="Y","WAIT","OPEN")))</f>
      </c>
      <c r="O16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62" s="17">
        <f>IF(Items[[#This Row],[State]]&lt;&gt;"WAIT","",AsOf-Items[[#This Row],[Blocked since]])</f>
      </c>
      <c r="Q162" s="17">
        <f>IF(Items[[#This Row],[State]]&lt;&gt;"WAIT","",IFERROR(LOOKUP(2,1/((Log[ID]=Items[[#This Row],[ID]])*(Log[Verb]="block")),Log[Note])&amp;"",""))</f>
      </c>
      <c r="R162" s="17">
        <f>IF(Items[[#This Row],[ID]]="","",COUNTIFS(Log[ID],Items[[#This Row],[ID]],Log[Verb],"carry"))</f>
      </c>
      <c r="S162" s="17">
        <f>IF(Items[[#This Row],[ID]]="","",COUNTIFS(Log[ID],Items[[#This Row],[ID]],Log[Verb],"punt"))</f>
      </c>
      <c r="T162" s="11">
        <f>IF(Items[[#This Row],[State]]&lt;&gt;"DONE","",IFERROR(LOOKUP(2,1/((Log[ID]=Items[[#This Row],[ID]])*(Log[Verb]="done")),Log[Date]),""))</f>
      </c>
      <c r="U162" s="17">
        <f>IF(Items[[#This Row],[ID]]="","",IF(AND(Items[[#This Row],[Sprint]]=CurSprint,OR(Items[[#This Row],[State]]="OPEN",Items[[#This Row],[State]]="WAIT",Items[[#This Row],[State]]="HOLD",Items[[#This Row],[State]]="DONE")),1,0))</f>
      </c>
      <c r="V162" s="17">
        <f>IF(OR(Items[[#This Row],[ID]]="",Items[[#This Row],[Added]]=""),"",AsOf-Items[[#This Row],[Added]])</f>
      </c>
      <c r="W162" s="17">
        <f>IF(Items[[#This Row],[In sprint]]=1,(IF(Items[[#This Row],[Prio]]="",9,N(Items[[#This Row],[Prio]]))*10+(IF(Items[[#This Row],[State]]="DONE",1,0)))*100000+ROW(),"")</f>
      </c>
      <c r="X16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62" s="17">
        <f>IF(AND(Items[[#This Row],[State]]="DONE",N(Items[[#This Row],[Done on]])&gt;AsOf-7),(200000-N(Items[[#This Row],[Done on]]))*100000+ROW(),"")</f>
      </c>
    </row>
    <row r="163">
      <c r="A163" t="s">
        <v>330</v>
      </c>
      <c r="B163" t="s">
        <v>1363</v>
      </c>
      <c r="C163" t="s">
        <v>1115</v>
      </c>
      <c r="D163" t="s">
        <v>1119</v>
      </c>
      <c r="E163" t="s">
        <v>1128</v>
      </c>
      <c r="F163" t="s">
        <v>1129</v>
      </c>
      <c r="G163">
        <v>2</v>
      </c>
      <c r="H163">
        <v>1</v>
      </c>
      <c r="I163" s="11">
        <v>46091</v>
      </c>
      <c r="J163" s="17">
        <f>IF(Items[[#This Row],[ID]]="","",IFERROR(VALUE(LOOKUP(2,1/((Log[ID]=Items[[#This Row],[ID]])*(Log[Verb]="est")),Log[Arg])),N(Items[[#This Row],[Points]])))</f>
      </c>
      <c r="K163" s="17">
        <f>IF(Items[[#This Row],[ID]]="","",IFERROR(LOOKUP(2,1/((Log[ID]=Items[[#This Row],[ID]])*(Log[Verb]="pass")),Log[Arg])&amp;"",Items[[#This Row],[Team]]&amp;""))</f>
      </c>
      <c r="L163" s="17">
        <f>IF(Items[[#This Row],[ID]]="","",IFERROR(LOOKUP(2,1/((Log[ID]=Items[[#This Row],[ID]])*(Log[Into]&lt;&gt;"")),Log[Into]),""))</f>
      </c>
      <c r="M163" s="17">
        <f>IF(Items[[#This Row],[ID]]="","",IF(IFERROR(LOOKUP(2,1/((Log[ID]=Items[[#This Row],[ID]])*(Log[Blk]&lt;&gt;"")),Log[Blk]),0)=1,"Y",""))</f>
      </c>
      <c r="N163" s="17">
        <f>IF(Items[[#This Row],[ID]]="","",SUBSTITUTE(IFERROR(LOOKUP(2,1/((Log[ID]=Items[[#This Row],[ID]])*(Log[State]&lt;&gt;"")),Log[State]),"TODO"),"OPEN",IF(Items[[#This Row],[Blocked]]="Y","WAIT","OPEN")))</f>
      </c>
      <c r="O16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63" s="17">
        <f>IF(Items[[#This Row],[State]]&lt;&gt;"WAIT","",AsOf-Items[[#This Row],[Blocked since]])</f>
      </c>
      <c r="Q163" s="17">
        <f>IF(Items[[#This Row],[State]]&lt;&gt;"WAIT","",IFERROR(LOOKUP(2,1/((Log[ID]=Items[[#This Row],[ID]])*(Log[Verb]="block")),Log[Note])&amp;"",""))</f>
      </c>
      <c r="R163" s="17">
        <f>IF(Items[[#This Row],[ID]]="","",COUNTIFS(Log[ID],Items[[#This Row],[ID]],Log[Verb],"carry"))</f>
      </c>
      <c r="S163" s="17">
        <f>IF(Items[[#This Row],[ID]]="","",COUNTIFS(Log[ID],Items[[#This Row],[ID]],Log[Verb],"punt"))</f>
      </c>
      <c r="T163" s="11">
        <f>IF(Items[[#This Row],[State]]&lt;&gt;"DONE","",IFERROR(LOOKUP(2,1/((Log[ID]=Items[[#This Row],[ID]])*(Log[Verb]="done")),Log[Date]),""))</f>
      </c>
      <c r="U163" s="17">
        <f>IF(Items[[#This Row],[ID]]="","",IF(AND(Items[[#This Row],[Sprint]]=CurSprint,OR(Items[[#This Row],[State]]="OPEN",Items[[#This Row],[State]]="WAIT",Items[[#This Row],[State]]="HOLD",Items[[#This Row],[State]]="DONE")),1,0))</f>
      </c>
      <c r="V163" s="17">
        <f>IF(OR(Items[[#This Row],[ID]]="",Items[[#This Row],[Added]]=""),"",AsOf-Items[[#This Row],[Added]])</f>
      </c>
      <c r="W163" s="17">
        <f>IF(Items[[#This Row],[In sprint]]=1,(IF(Items[[#This Row],[Prio]]="",9,N(Items[[#This Row],[Prio]]))*10+(IF(Items[[#This Row],[State]]="DONE",1,0)))*100000+ROW(),"")</f>
      </c>
      <c r="X16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63" s="17">
        <f>IF(AND(Items[[#This Row],[State]]="DONE",N(Items[[#This Row],[Done on]])&gt;AsOf-7),(200000-N(Items[[#This Row],[Done on]]))*100000+ROW(),"")</f>
      </c>
    </row>
    <row r="164">
      <c r="A164" t="s">
        <v>331</v>
      </c>
      <c r="B164" t="s">
        <v>1364</v>
      </c>
      <c r="C164" t="s">
        <v>1107</v>
      </c>
      <c r="D164" t="s">
        <v>1123</v>
      </c>
      <c r="E164" t="s">
        <v>1128</v>
      </c>
      <c r="F164" t="s">
        <v>1162</v>
      </c>
      <c r="G164">
        <v>5</v>
      </c>
      <c r="H164">
        <v>1</v>
      </c>
      <c r="I164" s="11">
        <v>46091</v>
      </c>
      <c r="J164" s="17">
        <f>IF(Items[[#This Row],[ID]]="","",IFERROR(VALUE(LOOKUP(2,1/((Log[ID]=Items[[#This Row],[ID]])*(Log[Verb]="est")),Log[Arg])),N(Items[[#This Row],[Points]])))</f>
      </c>
      <c r="K164" s="17">
        <f>IF(Items[[#This Row],[ID]]="","",IFERROR(LOOKUP(2,1/((Log[ID]=Items[[#This Row],[ID]])*(Log[Verb]="pass")),Log[Arg])&amp;"",Items[[#This Row],[Team]]&amp;""))</f>
      </c>
      <c r="L164" s="17">
        <f>IF(Items[[#This Row],[ID]]="","",IFERROR(LOOKUP(2,1/((Log[ID]=Items[[#This Row],[ID]])*(Log[Into]&lt;&gt;"")),Log[Into]),""))</f>
      </c>
      <c r="M164" s="17">
        <f>IF(Items[[#This Row],[ID]]="","",IF(IFERROR(LOOKUP(2,1/((Log[ID]=Items[[#This Row],[ID]])*(Log[Blk]&lt;&gt;"")),Log[Blk]),0)=1,"Y",""))</f>
      </c>
      <c r="N164" s="17">
        <f>IF(Items[[#This Row],[ID]]="","",SUBSTITUTE(IFERROR(LOOKUP(2,1/((Log[ID]=Items[[#This Row],[ID]])*(Log[State]&lt;&gt;"")),Log[State]),"TODO"),"OPEN",IF(Items[[#This Row],[Blocked]]="Y","WAIT","OPEN")))</f>
      </c>
      <c r="O16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64" s="17">
        <f>IF(Items[[#This Row],[State]]&lt;&gt;"WAIT","",AsOf-Items[[#This Row],[Blocked since]])</f>
      </c>
      <c r="Q164" s="17">
        <f>IF(Items[[#This Row],[State]]&lt;&gt;"WAIT","",IFERROR(LOOKUP(2,1/((Log[ID]=Items[[#This Row],[ID]])*(Log[Verb]="block")),Log[Note])&amp;"",""))</f>
      </c>
      <c r="R164" s="17">
        <f>IF(Items[[#This Row],[ID]]="","",COUNTIFS(Log[ID],Items[[#This Row],[ID]],Log[Verb],"carry"))</f>
      </c>
      <c r="S164" s="17">
        <f>IF(Items[[#This Row],[ID]]="","",COUNTIFS(Log[ID],Items[[#This Row],[ID]],Log[Verb],"punt"))</f>
      </c>
      <c r="T164" s="11">
        <f>IF(Items[[#This Row],[State]]&lt;&gt;"DONE","",IFERROR(LOOKUP(2,1/((Log[ID]=Items[[#This Row],[ID]])*(Log[Verb]="done")),Log[Date]),""))</f>
      </c>
      <c r="U164" s="17">
        <f>IF(Items[[#This Row],[ID]]="","",IF(AND(Items[[#This Row],[Sprint]]=CurSprint,OR(Items[[#This Row],[State]]="OPEN",Items[[#This Row],[State]]="WAIT",Items[[#This Row],[State]]="HOLD",Items[[#This Row],[State]]="DONE")),1,0))</f>
      </c>
      <c r="V164" s="17">
        <f>IF(OR(Items[[#This Row],[ID]]="",Items[[#This Row],[Added]]=""),"",AsOf-Items[[#This Row],[Added]])</f>
      </c>
      <c r="W164" s="17">
        <f>IF(Items[[#This Row],[In sprint]]=1,(IF(Items[[#This Row],[Prio]]="",9,N(Items[[#This Row],[Prio]]))*10+(IF(Items[[#This Row],[State]]="DONE",1,0)))*100000+ROW(),"")</f>
      </c>
      <c r="X16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64" s="17">
        <f>IF(AND(Items[[#This Row],[State]]="DONE",N(Items[[#This Row],[Done on]])&gt;AsOf-7),(200000-N(Items[[#This Row],[Done on]]))*100000+ROW(),"")</f>
      </c>
    </row>
    <row r="165">
      <c r="A165" t="s">
        <v>332</v>
      </c>
      <c r="B165" t="s">
        <v>1365</v>
      </c>
      <c r="C165" t="s">
        <v>1107</v>
      </c>
      <c r="D165" t="s">
        <v>1127</v>
      </c>
      <c r="E165" t="s">
        <v>1128</v>
      </c>
      <c r="F165" t="s">
        <v>1366</v>
      </c>
      <c r="G165">
        <v>3</v>
      </c>
      <c r="H165">
        <v>2</v>
      </c>
      <c r="I165" s="11">
        <v>46091</v>
      </c>
      <c r="J165" s="17">
        <f>IF(Items[[#This Row],[ID]]="","",IFERROR(VALUE(LOOKUP(2,1/((Log[ID]=Items[[#This Row],[ID]])*(Log[Verb]="est")),Log[Arg])),N(Items[[#This Row],[Points]])))</f>
      </c>
      <c r="K165" s="17">
        <f>IF(Items[[#This Row],[ID]]="","",IFERROR(LOOKUP(2,1/((Log[ID]=Items[[#This Row],[ID]])*(Log[Verb]="pass")),Log[Arg])&amp;"",Items[[#This Row],[Team]]&amp;""))</f>
      </c>
      <c r="L165" s="17">
        <f>IF(Items[[#This Row],[ID]]="","",IFERROR(LOOKUP(2,1/((Log[ID]=Items[[#This Row],[ID]])*(Log[Into]&lt;&gt;"")),Log[Into]),""))</f>
      </c>
      <c r="M165" s="17">
        <f>IF(Items[[#This Row],[ID]]="","",IF(IFERROR(LOOKUP(2,1/((Log[ID]=Items[[#This Row],[ID]])*(Log[Blk]&lt;&gt;"")),Log[Blk]),0)=1,"Y",""))</f>
      </c>
      <c r="N165" s="17">
        <f>IF(Items[[#This Row],[ID]]="","",SUBSTITUTE(IFERROR(LOOKUP(2,1/((Log[ID]=Items[[#This Row],[ID]])*(Log[State]&lt;&gt;"")),Log[State]),"TODO"),"OPEN",IF(Items[[#This Row],[Blocked]]="Y","WAIT","OPEN")))</f>
      </c>
      <c r="O16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65" s="17">
        <f>IF(Items[[#This Row],[State]]&lt;&gt;"WAIT","",AsOf-Items[[#This Row],[Blocked since]])</f>
      </c>
      <c r="Q165" s="17">
        <f>IF(Items[[#This Row],[State]]&lt;&gt;"WAIT","",IFERROR(LOOKUP(2,1/((Log[ID]=Items[[#This Row],[ID]])*(Log[Verb]="block")),Log[Note])&amp;"",""))</f>
      </c>
      <c r="R165" s="17">
        <f>IF(Items[[#This Row],[ID]]="","",COUNTIFS(Log[ID],Items[[#This Row],[ID]],Log[Verb],"carry"))</f>
      </c>
      <c r="S165" s="17">
        <f>IF(Items[[#This Row],[ID]]="","",COUNTIFS(Log[ID],Items[[#This Row],[ID]],Log[Verb],"punt"))</f>
      </c>
      <c r="T165" s="11">
        <f>IF(Items[[#This Row],[State]]&lt;&gt;"DONE","",IFERROR(LOOKUP(2,1/((Log[ID]=Items[[#This Row],[ID]])*(Log[Verb]="done")),Log[Date]),""))</f>
      </c>
      <c r="U165" s="17">
        <f>IF(Items[[#This Row],[ID]]="","",IF(AND(Items[[#This Row],[Sprint]]=CurSprint,OR(Items[[#This Row],[State]]="OPEN",Items[[#This Row],[State]]="WAIT",Items[[#This Row],[State]]="HOLD",Items[[#This Row],[State]]="DONE")),1,0))</f>
      </c>
      <c r="V165" s="17">
        <f>IF(OR(Items[[#This Row],[ID]]="",Items[[#This Row],[Added]]=""),"",AsOf-Items[[#This Row],[Added]])</f>
      </c>
      <c r="W165" s="17">
        <f>IF(Items[[#This Row],[In sprint]]=1,(IF(Items[[#This Row],[Prio]]="",9,N(Items[[#This Row],[Prio]]))*10+(IF(Items[[#This Row],[State]]="DONE",1,0)))*100000+ROW(),"")</f>
      </c>
      <c r="X16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65" s="17">
        <f>IF(AND(Items[[#This Row],[State]]="DONE",N(Items[[#This Row],[Done on]])&gt;AsOf-7),(200000-N(Items[[#This Row],[Done on]]))*100000+ROW(),"")</f>
      </c>
    </row>
    <row r="166">
      <c r="A166" t="s">
        <v>333</v>
      </c>
      <c r="B166" t="s">
        <v>1367</v>
      </c>
      <c r="C166" t="s">
        <v>1107</v>
      </c>
      <c r="D166" t="s">
        <v>1127</v>
      </c>
      <c r="E166" t="s">
        <v>1128</v>
      </c>
      <c r="F166" t="s">
        <v>1294</v>
      </c>
      <c r="G166">
        <v>2</v>
      </c>
      <c r="H166">
        <v>3</v>
      </c>
      <c r="I166" s="11">
        <v>46091</v>
      </c>
      <c r="J166" s="17">
        <f>IF(Items[[#This Row],[ID]]="","",IFERROR(VALUE(LOOKUP(2,1/((Log[ID]=Items[[#This Row],[ID]])*(Log[Verb]="est")),Log[Arg])),N(Items[[#This Row],[Points]])))</f>
      </c>
      <c r="K166" s="17">
        <f>IF(Items[[#This Row],[ID]]="","",IFERROR(LOOKUP(2,1/((Log[ID]=Items[[#This Row],[ID]])*(Log[Verb]="pass")),Log[Arg])&amp;"",Items[[#This Row],[Team]]&amp;""))</f>
      </c>
      <c r="L166" s="17">
        <f>IF(Items[[#This Row],[ID]]="","",IFERROR(LOOKUP(2,1/((Log[ID]=Items[[#This Row],[ID]])*(Log[Into]&lt;&gt;"")),Log[Into]),""))</f>
      </c>
      <c r="M166" s="17">
        <f>IF(Items[[#This Row],[ID]]="","",IF(IFERROR(LOOKUP(2,1/((Log[ID]=Items[[#This Row],[ID]])*(Log[Blk]&lt;&gt;"")),Log[Blk]),0)=1,"Y",""))</f>
      </c>
      <c r="N166" s="17">
        <f>IF(Items[[#This Row],[ID]]="","",SUBSTITUTE(IFERROR(LOOKUP(2,1/((Log[ID]=Items[[#This Row],[ID]])*(Log[State]&lt;&gt;"")),Log[State]),"TODO"),"OPEN",IF(Items[[#This Row],[Blocked]]="Y","WAIT","OPEN")))</f>
      </c>
      <c r="O16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66" s="17">
        <f>IF(Items[[#This Row],[State]]&lt;&gt;"WAIT","",AsOf-Items[[#This Row],[Blocked since]])</f>
      </c>
      <c r="Q166" s="17">
        <f>IF(Items[[#This Row],[State]]&lt;&gt;"WAIT","",IFERROR(LOOKUP(2,1/((Log[ID]=Items[[#This Row],[ID]])*(Log[Verb]="block")),Log[Note])&amp;"",""))</f>
      </c>
      <c r="R166" s="17">
        <f>IF(Items[[#This Row],[ID]]="","",COUNTIFS(Log[ID],Items[[#This Row],[ID]],Log[Verb],"carry"))</f>
      </c>
      <c r="S166" s="17">
        <f>IF(Items[[#This Row],[ID]]="","",COUNTIFS(Log[ID],Items[[#This Row],[ID]],Log[Verb],"punt"))</f>
      </c>
      <c r="T166" s="11">
        <f>IF(Items[[#This Row],[State]]&lt;&gt;"DONE","",IFERROR(LOOKUP(2,1/((Log[ID]=Items[[#This Row],[ID]])*(Log[Verb]="done")),Log[Date]),""))</f>
      </c>
      <c r="U166" s="17">
        <f>IF(Items[[#This Row],[ID]]="","",IF(AND(Items[[#This Row],[Sprint]]=CurSprint,OR(Items[[#This Row],[State]]="OPEN",Items[[#This Row],[State]]="WAIT",Items[[#This Row],[State]]="HOLD",Items[[#This Row],[State]]="DONE")),1,0))</f>
      </c>
      <c r="V166" s="17">
        <f>IF(OR(Items[[#This Row],[ID]]="",Items[[#This Row],[Added]]=""),"",AsOf-Items[[#This Row],[Added]])</f>
      </c>
      <c r="W166" s="17">
        <f>IF(Items[[#This Row],[In sprint]]=1,(IF(Items[[#This Row],[Prio]]="",9,N(Items[[#This Row],[Prio]]))*10+(IF(Items[[#This Row],[State]]="DONE",1,0)))*100000+ROW(),"")</f>
      </c>
      <c r="X16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66" s="17">
        <f>IF(AND(Items[[#This Row],[State]]="DONE",N(Items[[#This Row],[Done on]])&gt;AsOf-7),(200000-N(Items[[#This Row],[Done on]]))*100000+ROW(),"")</f>
      </c>
    </row>
    <row r="167">
      <c r="A167" t="s">
        <v>334</v>
      </c>
      <c r="B167" t="s">
        <v>1368</v>
      </c>
      <c r="C167" t="s">
        <v>1107</v>
      </c>
      <c r="D167" t="s">
        <v>1127</v>
      </c>
      <c r="E167" t="s">
        <v>1128</v>
      </c>
      <c r="F167" t="s">
        <v>1366</v>
      </c>
      <c r="G167">
        <v>2</v>
      </c>
      <c r="H167">
        <v>3</v>
      </c>
      <c r="I167" s="11">
        <v>46091</v>
      </c>
      <c r="J167" s="17">
        <f>IF(Items[[#This Row],[ID]]="","",IFERROR(VALUE(LOOKUP(2,1/((Log[ID]=Items[[#This Row],[ID]])*(Log[Verb]="est")),Log[Arg])),N(Items[[#This Row],[Points]])))</f>
      </c>
      <c r="K167" s="17">
        <f>IF(Items[[#This Row],[ID]]="","",IFERROR(LOOKUP(2,1/((Log[ID]=Items[[#This Row],[ID]])*(Log[Verb]="pass")),Log[Arg])&amp;"",Items[[#This Row],[Team]]&amp;""))</f>
      </c>
      <c r="L167" s="17">
        <f>IF(Items[[#This Row],[ID]]="","",IFERROR(LOOKUP(2,1/((Log[ID]=Items[[#This Row],[ID]])*(Log[Into]&lt;&gt;"")),Log[Into]),""))</f>
      </c>
      <c r="M167" s="17">
        <f>IF(Items[[#This Row],[ID]]="","",IF(IFERROR(LOOKUP(2,1/((Log[ID]=Items[[#This Row],[ID]])*(Log[Blk]&lt;&gt;"")),Log[Blk]),0)=1,"Y",""))</f>
      </c>
      <c r="N167" s="17">
        <f>IF(Items[[#This Row],[ID]]="","",SUBSTITUTE(IFERROR(LOOKUP(2,1/((Log[ID]=Items[[#This Row],[ID]])*(Log[State]&lt;&gt;"")),Log[State]),"TODO"),"OPEN",IF(Items[[#This Row],[Blocked]]="Y","WAIT","OPEN")))</f>
      </c>
      <c r="O16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67" s="17">
        <f>IF(Items[[#This Row],[State]]&lt;&gt;"WAIT","",AsOf-Items[[#This Row],[Blocked since]])</f>
      </c>
      <c r="Q167" s="17">
        <f>IF(Items[[#This Row],[State]]&lt;&gt;"WAIT","",IFERROR(LOOKUP(2,1/((Log[ID]=Items[[#This Row],[ID]])*(Log[Verb]="block")),Log[Note])&amp;"",""))</f>
      </c>
      <c r="R167" s="17">
        <f>IF(Items[[#This Row],[ID]]="","",COUNTIFS(Log[ID],Items[[#This Row],[ID]],Log[Verb],"carry"))</f>
      </c>
      <c r="S167" s="17">
        <f>IF(Items[[#This Row],[ID]]="","",COUNTIFS(Log[ID],Items[[#This Row],[ID]],Log[Verb],"punt"))</f>
      </c>
      <c r="T167" s="11">
        <f>IF(Items[[#This Row],[State]]&lt;&gt;"DONE","",IFERROR(LOOKUP(2,1/((Log[ID]=Items[[#This Row],[ID]])*(Log[Verb]="done")),Log[Date]),""))</f>
      </c>
      <c r="U167" s="17">
        <f>IF(Items[[#This Row],[ID]]="","",IF(AND(Items[[#This Row],[Sprint]]=CurSprint,OR(Items[[#This Row],[State]]="OPEN",Items[[#This Row],[State]]="WAIT",Items[[#This Row],[State]]="HOLD",Items[[#This Row],[State]]="DONE")),1,0))</f>
      </c>
      <c r="V167" s="17">
        <f>IF(OR(Items[[#This Row],[ID]]="",Items[[#This Row],[Added]]=""),"",AsOf-Items[[#This Row],[Added]])</f>
      </c>
      <c r="W167" s="17">
        <f>IF(Items[[#This Row],[In sprint]]=1,(IF(Items[[#This Row],[Prio]]="",9,N(Items[[#This Row],[Prio]]))*10+(IF(Items[[#This Row],[State]]="DONE",1,0)))*100000+ROW(),"")</f>
      </c>
      <c r="X16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67" s="17">
        <f>IF(AND(Items[[#This Row],[State]]="DONE",N(Items[[#This Row],[Done on]])&gt;AsOf-7),(200000-N(Items[[#This Row],[Done on]]))*100000+ROW(),"")</f>
      </c>
    </row>
    <row r="168">
      <c r="A168" t="s">
        <v>275</v>
      </c>
      <c r="B168" t="s">
        <v>1369</v>
      </c>
      <c r="C168" t="s">
        <v>1115</v>
      </c>
      <c r="D168" t="s">
        <v>1116</v>
      </c>
      <c r="E168" t="s">
        <v>1109</v>
      </c>
      <c r="F168" t="s">
        <v>1370</v>
      </c>
      <c r="G168">
        <v>3</v>
      </c>
      <c r="H168">
        <v>3</v>
      </c>
      <c r="I168" s="11">
        <v>46091</v>
      </c>
      <c r="J168" s="17">
        <f>IF(Items[[#This Row],[ID]]="","",IFERROR(VALUE(LOOKUP(2,1/((Log[ID]=Items[[#This Row],[ID]])*(Log[Verb]="est")),Log[Arg])),N(Items[[#This Row],[Points]])))</f>
      </c>
      <c r="K168" s="17">
        <f>IF(Items[[#This Row],[ID]]="","",IFERROR(LOOKUP(2,1/((Log[ID]=Items[[#This Row],[ID]])*(Log[Verb]="pass")),Log[Arg])&amp;"",Items[[#This Row],[Team]]&amp;""))</f>
      </c>
      <c r="L168" s="17">
        <f>IF(Items[[#This Row],[ID]]="","",IFERROR(LOOKUP(2,1/((Log[ID]=Items[[#This Row],[ID]])*(Log[Into]&lt;&gt;"")),Log[Into]),""))</f>
      </c>
      <c r="M168" s="17">
        <f>IF(Items[[#This Row],[ID]]="","",IF(IFERROR(LOOKUP(2,1/((Log[ID]=Items[[#This Row],[ID]])*(Log[Blk]&lt;&gt;"")),Log[Blk]),0)=1,"Y",""))</f>
      </c>
      <c r="N168" s="17">
        <f>IF(Items[[#This Row],[ID]]="","",SUBSTITUTE(IFERROR(LOOKUP(2,1/((Log[ID]=Items[[#This Row],[ID]])*(Log[State]&lt;&gt;"")),Log[State]),"TODO"),"OPEN",IF(Items[[#This Row],[Blocked]]="Y","WAIT","OPEN")))</f>
      </c>
      <c r="O16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68" s="17">
        <f>IF(Items[[#This Row],[State]]&lt;&gt;"WAIT","",AsOf-Items[[#This Row],[Blocked since]])</f>
      </c>
      <c r="Q168" s="17">
        <f>IF(Items[[#This Row],[State]]&lt;&gt;"WAIT","",IFERROR(LOOKUP(2,1/((Log[ID]=Items[[#This Row],[ID]])*(Log[Verb]="block")),Log[Note])&amp;"",""))</f>
      </c>
      <c r="R168" s="17">
        <f>IF(Items[[#This Row],[ID]]="","",COUNTIFS(Log[ID],Items[[#This Row],[ID]],Log[Verb],"carry"))</f>
      </c>
      <c r="S168" s="17">
        <f>IF(Items[[#This Row],[ID]]="","",COUNTIFS(Log[ID],Items[[#This Row],[ID]],Log[Verb],"punt"))</f>
      </c>
      <c r="T168" s="11">
        <f>IF(Items[[#This Row],[State]]&lt;&gt;"DONE","",IFERROR(LOOKUP(2,1/((Log[ID]=Items[[#This Row],[ID]])*(Log[Verb]="done")),Log[Date]),""))</f>
      </c>
      <c r="U168" s="17">
        <f>IF(Items[[#This Row],[ID]]="","",IF(AND(Items[[#This Row],[Sprint]]=CurSprint,OR(Items[[#This Row],[State]]="OPEN",Items[[#This Row],[State]]="WAIT",Items[[#This Row],[State]]="HOLD",Items[[#This Row],[State]]="DONE")),1,0))</f>
      </c>
      <c r="V168" s="17">
        <f>IF(OR(Items[[#This Row],[ID]]="",Items[[#This Row],[Added]]=""),"",AsOf-Items[[#This Row],[Added]])</f>
      </c>
      <c r="W168" s="17">
        <f>IF(Items[[#This Row],[In sprint]]=1,(IF(Items[[#This Row],[Prio]]="",9,N(Items[[#This Row],[Prio]]))*10+(IF(Items[[#This Row],[State]]="DONE",1,0)))*100000+ROW(),"")</f>
      </c>
      <c r="X16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68" s="17">
        <f>IF(AND(Items[[#This Row],[State]]="DONE",N(Items[[#This Row],[Done on]])&gt;AsOf-7),(200000-N(Items[[#This Row],[Done on]]))*100000+ROW(),"")</f>
      </c>
    </row>
    <row r="169">
      <c r="A169" t="s">
        <v>338</v>
      </c>
      <c r="B169" t="s">
        <v>1371</v>
      </c>
      <c r="C169" t="s">
        <v>1107</v>
      </c>
      <c r="D169" t="s">
        <v>1108</v>
      </c>
      <c r="E169" t="s">
        <v>1109</v>
      </c>
      <c r="F169" t="s">
        <v>1372</v>
      </c>
      <c r="G169">
        <v>3</v>
      </c>
      <c r="H169">
        <v>3</v>
      </c>
      <c r="I169" s="11">
        <v>46091</v>
      </c>
      <c r="J169" s="17">
        <f>IF(Items[[#This Row],[ID]]="","",IFERROR(VALUE(LOOKUP(2,1/((Log[ID]=Items[[#This Row],[ID]])*(Log[Verb]="est")),Log[Arg])),N(Items[[#This Row],[Points]])))</f>
      </c>
      <c r="K169" s="17">
        <f>IF(Items[[#This Row],[ID]]="","",IFERROR(LOOKUP(2,1/((Log[ID]=Items[[#This Row],[ID]])*(Log[Verb]="pass")),Log[Arg])&amp;"",Items[[#This Row],[Team]]&amp;""))</f>
      </c>
      <c r="L169" s="17">
        <f>IF(Items[[#This Row],[ID]]="","",IFERROR(LOOKUP(2,1/((Log[ID]=Items[[#This Row],[ID]])*(Log[Into]&lt;&gt;"")),Log[Into]),""))</f>
      </c>
      <c r="M169" s="17">
        <f>IF(Items[[#This Row],[ID]]="","",IF(IFERROR(LOOKUP(2,1/((Log[ID]=Items[[#This Row],[ID]])*(Log[Blk]&lt;&gt;"")),Log[Blk]),0)=1,"Y",""))</f>
      </c>
      <c r="N169" s="17">
        <f>IF(Items[[#This Row],[ID]]="","",SUBSTITUTE(IFERROR(LOOKUP(2,1/((Log[ID]=Items[[#This Row],[ID]])*(Log[State]&lt;&gt;"")),Log[State]),"TODO"),"OPEN",IF(Items[[#This Row],[Blocked]]="Y","WAIT","OPEN")))</f>
      </c>
      <c r="O16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69" s="17">
        <f>IF(Items[[#This Row],[State]]&lt;&gt;"WAIT","",AsOf-Items[[#This Row],[Blocked since]])</f>
      </c>
      <c r="Q169" s="17">
        <f>IF(Items[[#This Row],[State]]&lt;&gt;"WAIT","",IFERROR(LOOKUP(2,1/((Log[ID]=Items[[#This Row],[ID]])*(Log[Verb]="block")),Log[Note])&amp;"",""))</f>
      </c>
      <c r="R169" s="17">
        <f>IF(Items[[#This Row],[ID]]="","",COUNTIFS(Log[ID],Items[[#This Row],[ID]],Log[Verb],"carry"))</f>
      </c>
      <c r="S169" s="17">
        <f>IF(Items[[#This Row],[ID]]="","",COUNTIFS(Log[ID],Items[[#This Row],[ID]],Log[Verb],"punt"))</f>
      </c>
      <c r="T169" s="11">
        <f>IF(Items[[#This Row],[State]]&lt;&gt;"DONE","",IFERROR(LOOKUP(2,1/((Log[ID]=Items[[#This Row],[ID]])*(Log[Verb]="done")),Log[Date]),""))</f>
      </c>
      <c r="U169" s="17">
        <f>IF(Items[[#This Row],[ID]]="","",IF(AND(Items[[#This Row],[Sprint]]=CurSprint,OR(Items[[#This Row],[State]]="OPEN",Items[[#This Row],[State]]="WAIT",Items[[#This Row],[State]]="HOLD",Items[[#This Row],[State]]="DONE")),1,0))</f>
      </c>
      <c r="V169" s="17">
        <f>IF(OR(Items[[#This Row],[ID]]="",Items[[#This Row],[Added]]=""),"",AsOf-Items[[#This Row],[Added]])</f>
      </c>
      <c r="W169" s="17">
        <f>IF(Items[[#This Row],[In sprint]]=1,(IF(Items[[#This Row],[Prio]]="",9,N(Items[[#This Row],[Prio]]))*10+(IF(Items[[#This Row],[State]]="DONE",1,0)))*100000+ROW(),"")</f>
      </c>
      <c r="X16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69" s="17">
        <f>IF(AND(Items[[#This Row],[State]]="DONE",N(Items[[#This Row],[Done on]])&gt;AsOf-7),(200000-N(Items[[#This Row],[Done on]]))*100000+ROW(),"")</f>
      </c>
    </row>
    <row r="170">
      <c r="A170" t="s">
        <v>339</v>
      </c>
      <c r="B170" t="s">
        <v>1373</v>
      </c>
      <c r="C170" t="s">
        <v>1115</v>
      </c>
      <c r="D170" t="s">
        <v>1119</v>
      </c>
      <c r="E170" t="s">
        <v>1109</v>
      </c>
      <c r="F170" t="s">
        <v>1300</v>
      </c>
      <c r="G170">
        <v>5</v>
      </c>
      <c r="H170">
        <v>2</v>
      </c>
      <c r="I170" s="11">
        <v>46091</v>
      </c>
      <c r="J170" s="17">
        <f>IF(Items[[#This Row],[ID]]="","",IFERROR(VALUE(LOOKUP(2,1/((Log[ID]=Items[[#This Row],[ID]])*(Log[Verb]="est")),Log[Arg])),N(Items[[#This Row],[Points]])))</f>
      </c>
      <c r="K170" s="17">
        <f>IF(Items[[#This Row],[ID]]="","",IFERROR(LOOKUP(2,1/((Log[ID]=Items[[#This Row],[ID]])*(Log[Verb]="pass")),Log[Arg])&amp;"",Items[[#This Row],[Team]]&amp;""))</f>
      </c>
      <c r="L170" s="17">
        <f>IF(Items[[#This Row],[ID]]="","",IFERROR(LOOKUP(2,1/((Log[ID]=Items[[#This Row],[ID]])*(Log[Into]&lt;&gt;"")),Log[Into]),""))</f>
      </c>
      <c r="M170" s="17">
        <f>IF(Items[[#This Row],[ID]]="","",IF(IFERROR(LOOKUP(2,1/((Log[ID]=Items[[#This Row],[ID]])*(Log[Blk]&lt;&gt;"")),Log[Blk]),0)=1,"Y",""))</f>
      </c>
      <c r="N170" s="17">
        <f>IF(Items[[#This Row],[ID]]="","",SUBSTITUTE(IFERROR(LOOKUP(2,1/((Log[ID]=Items[[#This Row],[ID]])*(Log[State]&lt;&gt;"")),Log[State]),"TODO"),"OPEN",IF(Items[[#This Row],[Blocked]]="Y","WAIT","OPEN")))</f>
      </c>
      <c r="O17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70" s="17">
        <f>IF(Items[[#This Row],[State]]&lt;&gt;"WAIT","",AsOf-Items[[#This Row],[Blocked since]])</f>
      </c>
      <c r="Q170" s="17">
        <f>IF(Items[[#This Row],[State]]&lt;&gt;"WAIT","",IFERROR(LOOKUP(2,1/((Log[ID]=Items[[#This Row],[ID]])*(Log[Verb]="block")),Log[Note])&amp;"",""))</f>
      </c>
      <c r="R170" s="17">
        <f>IF(Items[[#This Row],[ID]]="","",COUNTIFS(Log[ID],Items[[#This Row],[ID]],Log[Verb],"carry"))</f>
      </c>
      <c r="S170" s="17">
        <f>IF(Items[[#This Row],[ID]]="","",COUNTIFS(Log[ID],Items[[#This Row],[ID]],Log[Verb],"punt"))</f>
      </c>
      <c r="T170" s="11">
        <f>IF(Items[[#This Row],[State]]&lt;&gt;"DONE","",IFERROR(LOOKUP(2,1/((Log[ID]=Items[[#This Row],[ID]])*(Log[Verb]="done")),Log[Date]),""))</f>
      </c>
      <c r="U170" s="17">
        <f>IF(Items[[#This Row],[ID]]="","",IF(AND(Items[[#This Row],[Sprint]]=CurSprint,OR(Items[[#This Row],[State]]="OPEN",Items[[#This Row],[State]]="WAIT",Items[[#This Row],[State]]="HOLD",Items[[#This Row],[State]]="DONE")),1,0))</f>
      </c>
      <c r="V170" s="17">
        <f>IF(OR(Items[[#This Row],[ID]]="",Items[[#This Row],[Added]]=""),"",AsOf-Items[[#This Row],[Added]])</f>
      </c>
      <c r="W170" s="17">
        <f>IF(Items[[#This Row],[In sprint]]=1,(IF(Items[[#This Row],[Prio]]="",9,N(Items[[#This Row],[Prio]]))*10+(IF(Items[[#This Row],[State]]="DONE",1,0)))*100000+ROW(),"")</f>
      </c>
      <c r="X17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70" s="17">
        <f>IF(AND(Items[[#This Row],[State]]="DONE",N(Items[[#This Row],[Done on]])&gt;AsOf-7),(200000-N(Items[[#This Row],[Done on]]))*100000+ROW(),"")</f>
      </c>
    </row>
    <row r="171">
      <c r="A171" t="s">
        <v>340</v>
      </c>
      <c r="B171" t="s">
        <v>1374</v>
      </c>
      <c r="C171" t="s">
        <v>1107</v>
      </c>
      <c r="D171" t="s">
        <v>1127</v>
      </c>
      <c r="E171" t="s">
        <v>1109</v>
      </c>
      <c r="F171" t="s">
        <v>1227</v>
      </c>
      <c r="G171">
        <v>3</v>
      </c>
      <c r="H171">
        <v>1</v>
      </c>
      <c r="I171" s="11">
        <v>46091</v>
      </c>
      <c r="J171" s="17">
        <f>IF(Items[[#This Row],[ID]]="","",IFERROR(VALUE(LOOKUP(2,1/((Log[ID]=Items[[#This Row],[ID]])*(Log[Verb]="est")),Log[Arg])),N(Items[[#This Row],[Points]])))</f>
      </c>
      <c r="K171" s="17">
        <f>IF(Items[[#This Row],[ID]]="","",IFERROR(LOOKUP(2,1/((Log[ID]=Items[[#This Row],[ID]])*(Log[Verb]="pass")),Log[Arg])&amp;"",Items[[#This Row],[Team]]&amp;""))</f>
      </c>
      <c r="L171" s="17">
        <f>IF(Items[[#This Row],[ID]]="","",IFERROR(LOOKUP(2,1/((Log[ID]=Items[[#This Row],[ID]])*(Log[Into]&lt;&gt;"")),Log[Into]),""))</f>
      </c>
      <c r="M171" s="17">
        <f>IF(Items[[#This Row],[ID]]="","",IF(IFERROR(LOOKUP(2,1/((Log[ID]=Items[[#This Row],[ID]])*(Log[Blk]&lt;&gt;"")),Log[Blk]),0)=1,"Y",""))</f>
      </c>
      <c r="N171" s="17">
        <f>IF(Items[[#This Row],[ID]]="","",SUBSTITUTE(IFERROR(LOOKUP(2,1/((Log[ID]=Items[[#This Row],[ID]])*(Log[State]&lt;&gt;"")),Log[State]),"TODO"),"OPEN",IF(Items[[#This Row],[Blocked]]="Y","WAIT","OPEN")))</f>
      </c>
      <c r="O17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71" s="17">
        <f>IF(Items[[#This Row],[State]]&lt;&gt;"WAIT","",AsOf-Items[[#This Row],[Blocked since]])</f>
      </c>
      <c r="Q171" s="17">
        <f>IF(Items[[#This Row],[State]]&lt;&gt;"WAIT","",IFERROR(LOOKUP(2,1/((Log[ID]=Items[[#This Row],[ID]])*(Log[Verb]="block")),Log[Note])&amp;"",""))</f>
      </c>
      <c r="R171" s="17">
        <f>IF(Items[[#This Row],[ID]]="","",COUNTIFS(Log[ID],Items[[#This Row],[ID]],Log[Verb],"carry"))</f>
      </c>
      <c r="S171" s="17">
        <f>IF(Items[[#This Row],[ID]]="","",COUNTIFS(Log[ID],Items[[#This Row],[ID]],Log[Verb],"punt"))</f>
      </c>
      <c r="T171" s="11">
        <f>IF(Items[[#This Row],[State]]&lt;&gt;"DONE","",IFERROR(LOOKUP(2,1/((Log[ID]=Items[[#This Row],[ID]])*(Log[Verb]="done")),Log[Date]),""))</f>
      </c>
      <c r="U171" s="17">
        <f>IF(Items[[#This Row],[ID]]="","",IF(AND(Items[[#This Row],[Sprint]]=CurSprint,OR(Items[[#This Row],[State]]="OPEN",Items[[#This Row],[State]]="WAIT",Items[[#This Row],[State]]="HOLD",Items[[#This Row],[State]]="DONE")),1,0))</f>
      </c>
      <c r="V171" s="17">
        <f>IF(OR(Items[[#This Row],[ID]]="",Items[[#This Row],[Added]]=""),"",AsOf-Items[[#This Row],[Added]])</f>
      </c>
      <c r="W171" s="17">
        <f>IF(Items[[#This Row],[In sprint]]=1,(IF(Items[[#This Row],[Prio]]="",9,N(Items[[#This Row],[Prio]]))*10+(IF(Items[[#This Row],[State]]="DONE",1,0)))*100000+ROW(),"")</f>
      </c>
      <c r="X17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71" s="17">
        <f>IF(AND(Items[[#This Row],[State]]="DONE",N(Items[[#This Row],[Done on]])&gt;AsOf-7),(200000-N(Items[[#This Row],[Done on]]))*100000+ROW(),"")</f>
      </c>
    </row>
    <row r="172">
      <c r="A172" t="s">
        <v>341</v>
      </c>
      <c r="B172" t="s">
        <v>1375</v>
      </c>
      <c r="C172" t="s">
        <v>1115</v>
      </c>
      <c r="D172" t="s">
        <v>1116</v>
      </c>
      <c r="E172" t="s">
        <v>1109</v>
      </c>
      <c r="F172" t="s">
        <v>1225</v>
      </c>
      <c r="G172">
        <v>3</v>
      </c>
      <c r="H172">
        <v>3</v>
      </c>
      <c r="I172" s="11">
        <v>46091</v>
      </c>
      <c r="J172" s="17">
        <f>IF(Items[[#This Row],[ID]]="","",IFERROR(VALUE(LOOKUP(2,1/((Log[ID]=Items[[#This Row],[ID]])*(Log[Verb]="est")),Log[Arg])),N(Items[[#This Row],[Points]])))</f>
      </c>
      <c r="K172" s="17">
        <f>IF(Items[[#This Row],[ID]]="","",IFERROR(LOOKUP(2,1/((Log[ID]=Items[[#This Row],[ID]])*(Log[Verb]="pass")),Log[Arg])&amp;"",Items[[#This Row],[Team]]&amp;""))</f>
      </c>
      <c r="L172" s="17">
        <f>IF(Items[[#This Row],[ID]]="","",IFERROR(LOOKUP(2,1/((Log[ID]=Items[[#This Row],[ID]])*(Log[Into]&lt;&gt;"")),Log[Into]),""))</f>
      </c>
      <c r="M172" s="17">
        <f>IF(Items[[#This Row],[ID]]="","",IF(IFERROR(LOOKUP(2,1/((Log[ID]=Items[[#This Row],[ID]])*(Log[Blk]&lt;&gt;"")),Log[Blk]),0)=1,"Y",""))</f>
      </c>
      <c r="N172" s="17">
        <f>IF(Items[[#This Row],[ID]]="","",SUBSTITUTE(IFERROR(LOOKUP(2,1/((Log[ID]=Items[[#This Row],[ID]])*(Log[State]&lt;&gt;"")),Log[State]),"TODO"),"OPEN",IF(Items[[#This Row],[Blocked]]="Y","WAIT","OPEN")))</f>
      </c>
      <c r="O17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72" s="17">
        <f>IF(Items[[#This Row],[State]]&lt;&gt;"WAIT","",AsOf-Items[[#This Row],[Blocked since]])</f>
      </c>
      <c r="Q172" s="17">
        <f>IF(Items[[#This Row],[State]]&lt;&gt;"WAIT","",IFERROR(LOOKUP(2,1/((Log[ID]=Items[[#This Row],[ID]])*(Log[Verb]="block")),Log[Note])&amp;"",""))</f>
      </c>
      <c r="R172" s="17">
        <f>IF(Items[[#This Row],[ID]]="","",COUNTIFS(Log[ID],Items[[#This Row],[ID]],Log[Verb],"carry"))</f>
      </c>
      <c r="S172" s="17">
        <f>IF(Items[[#This Row],[ID]]="","",COUNTIFS(Log[ID],Items[[#This Row],[ID]],Log[Verb],"punt"))</f>
      </c>
      <c r="T172" s="11">
        <f>IF(Items[[#This Row],[State]]&lt;&gt;"DONE","",IFERROR(LOOKUP(2,1/((Log[ID]=Items[[#This Row],[ID]])*(Log[Verb]="done")),Log[Date]),""))</f>
      </c>
      <c r="U172" s="17">
        <f>IF(Items[[#This Row],[ID]]="","",IF(AND(Items[[#This Row],[Sprint]]=CurSprint,OR(Items[[#This Row],[State]]="OPEN",Items[[#This Row],[State]]="WAIT",Items[[#This Row],[State]]="HOLD",Items[[#This Row],[State]]="DONE")),1,0))</f>
      </c>
      <c r="V172" s="17">
        <f>IF(OR(Items[[#This Row],[ID]]="",Items[[#This Row],[Added]]=""),"",AsOf-Items[[#This Row],[Added]])</f>
      </c>
      <c r="W172" s="17">
        <f>IF(Items[[#This Row],[In sprint]]=1,(IF(Items[[#This Row],[Prio]]="",9,N(Items[[#This Row],[Prio]]))*10+(IF(Items[[#This Row],[State]]="DONE",1,0)))*100000+ROW(),"")</f>
      </c>
      <c r="X17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72" s="17">
        <f>IF(AND(Items[[#This Row],[State]]="DONE",N(Items[[#This Row],[Done on]])&gt;AsOf-7),(200000-N(Items[[#This Row],[Done on]]))*100000+ROW(),"")</f>
      </c>
    </row>
    <row r="173">
      <c r="A173" t="s">
        <v>276</v>
      </c>
      <c r="B173" t="s">
        <v>1376</v>
      </c>
      <c r="C173" t="s">
        <v>1107</v>
      </c>
      <c r="D173" t="s">
        <v>1108</v>
      </c>
      <c r="E173" t="s">
        <v>1109</v>
      </c>
      <c r="F173" t="s">
        <v>1220</v>
      </c>
      <c r="G173">
        <v>2</v>
      </c>
      <c r="H173">
        <v>2</v>
      </c>
      <c r="I173" s="11">
        <v>46091</v>
      </c>
      <c r="J173" s="17">
        <f>IF(Items[[#This Row],[ID]]="","",IFERROR(VALUE(LOOKUP(2,1/((Log[ID]=Items[[#This Row],[ID]])*(Log[Verb]="est")),Log[Arg])),N(Items[[#This Row],[Points]])))</f>
      </c>
      <c r="K173" s="17">
        <f>IF(Items[[#This Row],[ID]]="","",IFERROR(LOOKUP(2,1/((Log[ID]=Items[[#This Row],[ID]])*(Log[Verb]="pass")),Log[Arg])&amp;"",Items[[#This Row],[Team]]&amp;""))</f>
      </c>
      <c r="L173" s="17">
        <f>IF(Items[[#This Row],[ID]]="","",IFERROR(LOOKUP(2,1/((Log[ID]=Items[[#This Row],[ID]])*(Log[Into]&lt;&gt;"")),Log[Into]),""))</f>
      </c>
      <c r="M173" s="17">
        <f>IF(Items[[#This Row],[ID]]="","",IF(IFERROR(LOOKUP(2,1/((Log[ID]=Items[[#This Row],[ID]])*(Log[Blk]&lt;&gt;"")),Log[Blk]),0)=1,"Y",""))</f>
      </c>
      <c r="N173" s="17">
        <f>IF(Items[[#This Row],[ID]]="","",SUBSTITUTE(IFERROR(LOOKUP(2,1/((Log[ID]=Items[[#This Row],[ID]])*(Log[State]&lt;&gt;"")),Log[State]),"TODO"),"OPEN",IF(Items[[#This Row],[Blocked]]="Y","WAIT","OPEN")))</f>
      </c>
      <c r="O17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73" s="17">
        <f>IF(Items[[#This Row],[State]]&lt;&gt;"WAIT","",AsOf-Items[[#This Row],[Blocked since]])</f>
      </c>
      <c r="Q173" s="17">
        <f>IF(Items[[#This Row],[State]]&lt;&gt;"WAIT","",IFERROR(LOOKUP(2,1/((Log[ID]=Items[[#This Row],[ID]])*(Log[Verb]="block")),Log[Note])&amp;"",""))</f>
      </c>
      <c r="R173" s="17">
        <f>IF(Items[[#This Row],[ID]]="","",COUNTIFS(Log[ID],Items[[#This Row],[ID]],Log[Verb],"carry"))</f>
      </c>
      <c r="S173" s="17">
        <f>IF(Items[[#This Row],[ID]]="","",COUNTIFS(Log[ID],Items[[#This Row],[ID]],Log[Verb],"punt"))</f>
      </c>
      <c r="T173" s="11">
        <f>IF(Items[[#This Row],[State]]&lt;&gt;"DONE","",IFERROR(LOOKUP(2,1/((Log[ID]=Items[[#This Row],[ID]])*(Log[Verb]="done")),Log[Date]),""))</f>
      </c>
      <c r="U173" s="17">
        <f>IF(Items[[#This Row],[ID]]="","",IF(AND(Items[[#This Row],[Sprint]]=CurSprint,OR(Items[[#This Row],[State]]="OPEN",Items[[#This Row],[State]]="WAIT",Items[[#This Row],[State]]="HOLD",Items[[#This Row],[State]]="DONE")),1,0))</f>
      </c>
      <c r="V173" s="17">
        <f>IF(OR(Items[[#This Row],[ID]]="",Items[[#This Row],[Added]]=""),"",AsOf-Items[[#This Row],[Added]])</f>
      </c>
      <c r="W173" s="17">
        <f>IF(Items[[#This Row],[In sprint]]=1,(IF(Items[[#This Row],[Prio]]="",9,N(Items[[#This Row],[Prio]]))*10+(IF(Items[[#This Row],[State]]="DONE",1,0)))*100000+ROW(),"")</f>
      </c>
      <c r="X17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73" s="17">
        <f>IF(AND(Items[[#This Row],[State]]="DONE",N(Items[[#This Row],[Done on]])&gt;AsOf-7),(200000-N(Items[[#This Row],[Done on]]))*100000+ROW(),"")</f>
      </c>
    </row>
    <row r="174">
      <c r="A174" t="s">
        <v>342</v>
      </c>
      <c r="B174" t="s">
        <v>1377</v>
      </c>
      <c r="C174" t="s">
        <v>1107</v>
      </c>
      <c r="D174" t="s">
        <v>1127</v>
      </c>
      <c r="E174" t="s">
        <v>1109</v>
      </c>
      <c r="F174" t="s">
        <v>1220</v>
      </c>
      <c r="G174">
        <v>3</v>
      </c>
      <c r="H174">
        <v>2</v>
      </c>
      <c r="I174" s="11">
        <v>46091</v>
      </c>
      <c r="J174" s="17">
        <f>IF(Items[[#This Row],[ID]]="","",IFERROR(VALUE(LOOKUP(2,1/((Log[ID]=Items[[#This Row],[ID]])*(Log[Verb]="est")),Log[Arg])),N(Items[[#This Row],[Points]])))</f>
      </c>
      <c r="K174" s="17">
        <f>IF(Items[[#This Row],[ID]]="","",IFERROR(LOOKUP(2,1/((Log[ID]=Items[[#This Row],[ID]])*(Log[Verb]="pass")),Log[Arg])&amp;"",Items[[#This Row],[Team]]&amp;""))</f>
      </c>
      <c r="L174" s="17">
        <f>IF(Items[[#This Row],[ID]]="","",IFERROR(LOOKUP(2,1/((Log[ID]=Items[[#This Row],[ID]])*(Log[Into]&lt;&gt;"")),Log[Into]),""))</f>
      </c>
      <c r="M174" s="17">
        <f>IF(Items[[#This Row],[ID]]="","",IF(IFERROR(LOOKUP(2,1/((Log[ID]=Items[[#This Row],[ID]])*(Log[Blk]&lt;&gt;"")),Log[Blk]),0)=1,"Y",""))</f>
      </c>
      <c r="N174" s="17">
        <f>IF(Items[[#This Row],[ID]]="","",SUBSTITUTE(IFERROR(LOOKUP(2,1/((Log[ID]=Items[[#This Row],[ID]])*(Log[State]&lt;&gt;"")),Log[State]),"TODO"),"OPEN",IF(Items[[#This Row],[Blocked]]="Y","WAIT","OPEN")))</f>
      </c>
      <c r="O17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74" s="17">
        <f>IF(Items[[#This Row],[State]]&lt;&gt;"WAIT","",AsOf-Items[[#This Row],[Blocked since]])</f>
      </c>
      <c r="Q174" s="17">
        <f>IF(Items[[#This Row],[State]]&lt;&gt;"WAIT","",IFERROR(LOOKUP(2,1/((Log[ID]=Items[[#This Row],[ID]])*(Log[Verb]="block")),Log[Note])&amp;"",""))</f>
      </c>
      <c r="R174" s="17">
        <f>IF(Items[[#This Row],[ID]]="","",COUNTIFS(Log[ID],Items[[#This Row],[ID]],Log[Verb],"carry"))</f>
      </c>
      <c r="S174" s="17">
        <f>IF(Items[[#This Row],[ID]]="","",COUNTIFS(Log[ID],Items[[#This Row],[ID]],Log[Verb],"punt"))</f>
      </c>
      <c r="T174" s="11">
        <f>IF(Items[[#This Row],[State]]&lt;&gt;"DONE","",IFERROR(LOOKUP(2,1/((Log[ID]=Items[[#This Row],[ID]])*(Log[Verb]="done")),Log[Date]),""))</f>
      </c>
      <c r="U174" s="17">
        <f>IF(Items[[#This Row],[ID]]="","",IF(AND(Items[[#This Row],[Sprint]]=CurSprint,OR(Items[[#This Row],[State]]="OPEN",Items[[#This Row],[State]]="WAIT",Items[[#This Row],[State]]="HOLD",Items[[#This Row],[State]]="DONE")),1,0))</f>
      </c>
      <c r="V174" s="17">
        <f>IF(OR(Items[[#This Row],[ID]]="",Items[[#This Row],[Added]]=""),"",AsOf-Items[[#This Row],[Added]])</f>
      </c>
      <c r="W174" s="17">
        <f>IF(Items[[#This Row],[In sprint]]=1,(IF(Items[[#This Row],[Prio]]="",9,N(Items[[#This Row],[Prio]]))*10+(IF(Items[[#This Row],[State]]="DONE",1,0)))*100000+ROW(),"")</f>
      </c>
      <c r="X17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74" s="17">
        <f>IF(AND(Items[[#This Row],[State]]="DONE",N(Items[[#This Row],[Done on]])&gt;AsOf-7),(200000-N(Items[[#This Row],[Done on]]))*100000+ROW(),"")</f>
      </c>
    </row>
    <row r="175">
      <c r="A175" t="s">
        <v>343</v>
      </c>
      <c r="B175" t="s">
        <v>1378</v>
      </c>
      <c r="C175" t="s">
        <v>1107</v>
      </c>
      <c r="D175" t="s">
        <v>1123</v>
      </c>
      <c r="E175" t="s">
        <v>1109</v>
      </c>
      <c r="F175" t="s">
        <v>1110</v>
      </c>
      <c r="G175">
        <v>3</v>
      </c>
      <c r="H175">
        <v>1</v>
      </c>
      <c r="I175" s="11">
        <v>46091</v>
      </c>
      <c r="J175" s="17">
        <f>IF(Items[[#This Row],[ID]]="","",IFERROR(VALUE(LOOKUP(2,1/((Log[ID]=Items[[#This Row],[ID]])*(Log[Verb]="est")),Log[Arg])),N(Items[[#This Row],[Points]])))</f>
      </c>
      <c r="K175" s="17">
        <f>IF(Items[[#This Row],[ID]]="","",IFERROR(LOOKUP(2,1/((Log[ID]=Items[[#This Row],[ID]])*(Log[Verb]="pass")),Log[Arg])&amp;"",Items[[#This Row],[Team]]&amp;""))</f>
      </c>
      <c r="L175" s="17">
        <f>IF(Items[[#This Row],[ID]]="","",IFERROR(LOOKUP(2,1/((Log[ID]=Items[[#This Row],[ID]])*(Log[Into]&lt;&gt;"")),Log[Into]),""))</f>
      </c>
      <c r="M175" s="17">
        <f>IF(Items[[#This Row],[ID]]="","",IF(IFERROR(LOOKUP(2,1/((Log[ID]=Items[[#This Row],[ID]])*(Log[Blk]&lt;&gt;"")),Log[Blk]),0)=1,"Y",""))</f>
      </c>
      <c r="N175" s="17">
        <f>IF(Items[[#This Row],[ID]]="","",SUBSTITUTE(IFERROR(LOOKUP(2,1/((Log[ID]=Items[[#This Row],[ID]])*(Log[State]&lt;&gt;"")),Log[State]),"TODO"),"OPEN",IF(Items[[#This Row],[Blocked]]="Y","WAIT","OPEN")))</f>
      </c>
      <c r="O17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75" s="17">
        <f>IF(Items[[#This Row],[State]]&lt;&gt;"WAIT","",AsOf-Items[[#This Row],[Blocked since]])</f>
      </c>
      <c r="Q175" s="17">
        <f>IF(Items[[#This Row],[State]]&lt;&gt;"WAIT","",IFERROR(LOOKUP(2,1/((Log[ID]=Items[[#This Row],[ID]])*(Log[Verb]="block")),Log[Note])&amp;"",""))</f>
      </c>
      <c r="R175" s="17">
        <f>IF(Items[[#This Row],[ID]]="","",COUNTIFS(Log[ID],Items[[#This Row],[ID]],Log[Verb],"carry"))</f>
      </c>
      <c r="S175" s="17">
        <f>IF(Items[[#This Row],[ID]]="","",COUNTIFS(Log[ID],Items[[#This Row],[ID]],Log[Verb],"punt"))</f>
      </c>
      <c r="T175" s="11">
        <f>IF(Items[[#This Row],[State]]&lt;&gt;"DONE","",IFERROR(LOOKUP(2,1/((Log[ID]=Items[[#This Row],[ID]])*(Log[Verb]="done")),Log[Date]),""))</f>
      </c>
      <c r="U175" s="17">
        <f>IF(Items[[#This Row],[ID]]="","",IF(AND(Items[[#This Row],[Sprint]]=CurSprint,OR(Items[[#This Row],[State]]="OPEN",Items[[#This Row],[State]]="WAIT",Items[[#This Row],[State]]="HOLD",Items[[#This Row],[State]]="DONE")),1,0))</f>
      </c>
      <c r="V175" s="17">
        <f>IF(OR(Items[[#This Row],[ID]]="",Items[[#This Row],[Added]]=""),"",AsOf-Items[[#This Row],[Added]])</f>
      </c>
      <c r="W175" s="17">
        <f>IF(Items[[#This Row],[In sprint]]=1,(IF(Items[[#This Row],[Prio]]="",9,N(Items[[#This Row],[Prio]]))*10+(IF(Items[[#This Row],[State]]="DONE",1,0)))*100000+ROW(),"")</f>
      </c>
      <c r="X17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75" s="17">
        <f>IF(AND(Items[[#This Row],[State]]="DONE",N(Items[[#This Row],[Done on]])&gt;AsOf-7),(200000-N(Items[[#This Row],[Done on]]))*100000+ROW(),"")</f>
      </c>
    </row>
    <row r="176">
      <c r="A176" t="s">
        <v>347</v>
      </c>
      <c r="B176" t="s">
        <v>1379</v>
      </c>
      <c r="C176" t="s">
        <v>1107</v>
      </c>
      <c r="D176" t="s">
        <v>1108</v>
      </c>
      <c r="E176" t="s">
        <v>1131</v>
      </c>
      <c r="F176" t="s">
        <v>1132</v>
      </c>
      <c r="G176">
        <v>3</v>
      </c>
      <c r="H176">
        <v>3</v>
      </c>
      <c r="I176" s="11">
        <v>46091</v>
      </c>
      <c r="J176" s="17">
        <f>IF(Items[[#This Row],[ID]]="","",IFERROR(VALUE(LOOKUP(2,1/((Log[ID]=Items[[#This Row],[ID]])*(Log[Verb]="est")),Log[Arg])),N(Items[[#This Row],[Points]])))</f>
      </c>
      <c r="K176" s="17">
        <f>IF(Items[[#This Row],[ID]]="","",IFERROR(LOOKUP(2,1/((Log[ID]=Items[[#This Row],[ID]])*(Log[Verb]="pass")),Log[Arg])&amp;"",Items[[#This Row],[Team]]&amp;""))</f>
      </c>
      <c r="L176" s="17">
        <f>IF(Items[[#This Row],[ID]]="","",IFERROR(LOOKUP(2,1/((Log[ID]=Items[[#This Row],[ID]])*(Log[Into]&lt;&gt;"")),Log[Into]),""))</f>
      </c>
      <c r="M176" s="17">
        <f>IF(Items[[#This Row],[ID]]="","",IF(IFERROR(LOOKUP(2,1/((Log[ID]=Items[[#This Row],[ID]])*(Log[Blk]&lt;&gt;"")),Log[Blk]),0)=1,"Y",""))</f>
      </c>
      <c r="N176" s="17">
        <f>IF(Items[[#This Row],[ID]]="","",SUBSTITUTE(IFERROR(LOOKUP(2,1/((Log[ID]=Items[[#This Row],[ID]])*(Log[State]&lt;&gt;"")),Log[State]),"TODO"),"OPEN",IF(Items[[#This Row],[Blocked]]="Y","WAIT","OPEN")))</f>
      </c>
      <c r="O17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76" s="17">
        <f>IF(Items[[#This Row],[State]]&lt;&gt;"WAIT","",AsOf-Items[[#This Row],[Blocked since]])</f>
      </c>
      <c r="Q176" s="17">
        <f>IF(Items[[#This Row],[State]]&lt;&gt;"WAIT","",IFERROR(LOOKUP(2,1/((Log[ID]=Items[[#This Row],[ID]])*(Log[Verb]="block")),Log[Note])&amp;"",""))</f>
      </c>
      <c r="R176" s="17">
        <f>IF(Items[[#This Row],[ID]]="","",COUNTIFS(Log[ID],Items[[#This Row],[ID]],Log[Verb],"carry"))</f>
      </c>
      <c r="S176" s="17">
        <f>IF(Items[[#This Row],[ID]]="","",COUNTIFS(Log[ID],Items[[#This Row],[ID]],Log[Verb],"punt"))</f>
      </c>
      <c r="T176" s="11">
        <f>IF(Items[[#This Row],[State]]&lt;&gt;"DONE","",IFERROR(LOOKUP(2,1/((Log[ID]=Items[[#This Row],[ID]])*(Log[Verb]="done")),Log[Date]),""))</f>
      </c>
      <c r="U176" s="17">
        <f>IF(Items[[#This Row],[ID]]="","",IF(AND(Items[[#This Row],[Sprint]]=CurSprint,OR(Items[[#This Row],[State]]="OPEN",Items[[#This Row],[State]]="WAIT",Items[[#This Row],[State]]="HOLD",Items[[#This Row],[State]]="DONE")),1,0))</f>
      </c>
      <c r="V176" s="17">
        <f>IF(OR(Items[[#This Row],[ID]]="",Items[[#This Row],[Added]]=""),"",AsOf-Items[[#This Row],[Added]])</f>
      </c>
      <c r="W176" s="17">
        <f>IF(Items[[#This Row],[In sprint]]=1,(IF(Items[[#This Row],[Prio]]="",9,N(Items[[#This Row],[Prio]]))*10+(IF(Items[[#This Row],[State]]="DONE",1,0)))*100000+ROW(),"")</f>
      </c>
      <c r="X17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76" s="17">
        <f>IF(AND(Items[[#This Row],[State]]="DONE",N(Items[[#This Row],[Done on]])&gt;AsOf-7),(200000-N(Items[[#This Row],[Done on]]))*100000+ROW(),"")</f>
      </c>
    </row>
    <row r="177">
      <c r="A177" t="s">
        <v>348</v>
      </c>
      <c r="B177" t="s">
        <v>1380</v>
      </c>
      <c r="C177" t="s">
        <v>1115</v>
      </c>
      <c r="D177" t="s">
        <v>1116</v>
      </c>
      <c r="E177" t="s">
        <v>1131</v>
      </c>
      <c r="F177" t="s">
        <v>1132</v>
      </c>
      <c r="G177">
        <v>5</v>
      </c>
      <c r="H177">
        <v>2</v>
      </c>
      <c r="I177" s="11">
        <v>46091</v>
      </c>
      <c r="J177" s="17">
        <f>IF(Items[[#This Row],[ID]]="","",IFERROR(VALUE(LOOKUP(2,1/((Log[ID]=Items[[#This Row],[ID]])*(Log[Verb]="est")),Log[Arg])),N(Items[[#This Row],[Points]])))</f>
      </c>
      <c r="K177" s="17">
        <f>IF(Items[[#This Row],[ID]]="","",IFERROR(LOOKUP(2,1/((Log[ID]=Items[[#This Row],[ID]])*(Log[Verb]="pass")),Log[Arg])&amp;"",Items[[#This Row],[Team]]&amp;""))</f>
      </c>
      <c r="L177" s="17">
        <f>IF(Items[[#This Row],[ID]]="","",IFERROR(LOOKUP(2,1/((Log[ID]=Items[[#This Row],[ID]])*(Log[Into]&lt;&gt;"")),Log[Into]),""))</f>
      </c>
      <c r="M177" s="17">
        <f>IF(Items[[#This Row],[ID]]="","",IF(IFERROR(LOOKUP(2,1/((Log[ID]=Items[[#This Row],[ID]])*(Log[Blk]&lt;&gt;"")),Log[Blk]),0)=1,"Y",""))</f>
      </c>
      <c r="N177" s="17">
        <f>IF(Items[[#This Row],[ID]]="","",SUBSTITUTE(IFERROR(LOOKUP(2,1/((Log[ID]=Items[[#This Row],[ID]])*(Log[State]&lt;&gt;"")),Log[State]),"TODO"),"OPEN",IF(Items[[#This Row],[Blocked]]="Y","WAIT","OPEN")))</f>
      </c>
      <c r="O17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77" s="17">
        <f>IF(Items[[#This Row],[State]]&lt;&gt;"WAIT","",AsOf-Items[[#This Row],[Blocked since]])</f>
      </c>
      <c r="Q177" s="17">
        <f>IF(Items[[#This Row],[State]]&lt;&gt;"WAIT","",IFERROR(LOOKUP(2,1/((Log[ID]=Items[[#This Row],[ID]])*(Log[Verb]="block")),Log[Note])&amp;"",""))</f>
      </c>
      <c r="R177" s="17">
        <f>IF(Items[[#This Row],[ID]]="","",COUNTIFS(Log[ID],Items[[#This Row],[ID]],Log[Verb],"carry"))</f>
      </c>
      <c r="S177" s="17">
        <f>IF(Items[[#This Row],[ID]]="","",COUNTIFS(Log[ID],Items[[#This Row],[ID]],Log[Verb],"punt"))</f>
      </c>
      <c r="T177" s="11">
        <f>IF(Items[[#This Row],[State]]&lt;&gt;"DONE","",IFERROR(LOOKUP(2,1/((Log[ID]=Items[[#This Row],[ID]])*(Log[Verb]="done")),Log[Date]),""))</f>
      </c>
      <c r="U177" s="17">
        <f>IF(Items[[#This Row],[ID]]="","",IF(AND(Items[[#This Row],[Sprint]]=CurSprint,OR(Items[[#This Row],[State]]="OPEN",Items[[#This Row],[State]]="WAIT",Items[[#This Row],[State]]="HOLD",Items[[#This Row],[State]]="DONE")),1,0))</f>
      </c>
      <c r="V177" s="17">
        <f>IF(OR(Items[[#This Row],[ID]]="",Items[[#This Row],[Added]]=""),"",AsOf-Items[[#This Row],[Added]])</f>
      </c>
      <c r="W177" s="17">
        <f>IF(Items[[#This Row],[In sprint]]=1,(IF(Items[[#This Row],[Prio]]="",9,N(Items[[#This Row],[Prio]]))*10+(IF(Items[[#This Row],[State]]="DONE",1,0)))*100000+ROW(),"")</f>
      </c>
      <c r="X17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77" s="17">
        <f>IF(AND(Items[[#This Row],[State]]="DONE",N(Items[[#This Row],[Done on]])&gt;AsOf-7),(200000-N(Items[[#This Row],[Done on]]))*100000+ROW(),"")</f>
      </c>
    </row>
    <row r="178">
      <c r="A178" t="s">
        <v>349</v>
      </c>
      <c r="B178" t="s">
        <v>1381</v>
      </c>
      <c r="C178" t="s">
        <v>1107</v>
      </c>
      <c r="D178" t="s">
        <v>1108</v>
      </c>
      <c r="E178" t="s">
        <v>1131</v>
      </c>
      <c r="F178" t="s">
        <v>1382</v>
      </c>
      <c r="G178">
        <v>3</v>
      </c>
      <c r="H178">
        <v>3</v>
      </c>
      <c r="I178" s="11">
        <v>46091</v>
      </c>
      <c r="J178" s="17">
        <f>IF(Items[[#This Row],[ID]]="","",IFERROR(VALUE(LOOKUP(2,1/((Log[ID]=Items[[#This Row],[ID]])*(Log[Verb]="est")),Log[Arg])),N(Items[[#This Row],[Points]])))</f>
      </c>
      <c r="K178" s="17">
        <f>IF(Items[[#This Row],[ID]]="","",IFERROR(LOOKUP(2,1/((Log[ID]=Items[[#This Row],[ID]])*(Log[Verb]="pass")),Log[Arg])&amp;"",Items[[#This Row],[Team]]&amp;""))</f>
      </c>
      <c r="L178" s="17">
        <f>IF(Items[[#This Row],[ID]]="","",IFERROR(LOOKUP(2,1/((Log[ID]=Items[[#This Row],[ID]])*(Log[Into]&lt;&gt;"")),Log[Into]),""))</f>
      </c>
      <c r="M178" s="17">
        <f>IF(Items[[#This Row],[ID]]="","",IF(IFERROR(LOOKUP(2,1/((Log[ID]=Items[[#This Row],[ID]])*(Log[Blk]&lt;&gt;"")),Log[Blk]),0)=1,"Y",""))</f>
      </c>
      <c r="N178" s="17">
        <f>IF(Items[[#This Row],[ID]]="","",SUBSTITUTE(IFERROR(LOOKUP(2,1/((Log[ID]=Items[[#This Row],[ID]])*(Log[State]&lt;&gt;"")),Log[State]),"TODO"),"OPEN",IF(Items[[#This Row],[Blocked]]="Y","WAIT","OPEN")))</f>
      </c>
      <c r="O17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78" s="17">
        <f>IF(Items[[#This Row],[State]]&lt;&gt;"WAIT","",AsOf-Items[[#This Row],[Blocked since]])</f>
      </c>
      <c r="Q178" s="17">
        <f>IF(Items[[#This Row],[State]]&lt;&gt;"WAIT","",IFERROR(LOOKUP(2,1/((Log[ID]=Items[[#This Row],[ID]])*(Log[Verb]="block")),Log[Note])&amp;"",""))</f>
      </c>
      <c r="R178" s="17">
        <f>IF(Items[[#This Row],[ID]]="","",COUNTIFS(Log[ID],Items[[#This Row],[ID]],Log[Verb],"carry"))</f>
      </c>
      <c r="S178" s="17">
        <f>IF(Items[[#This Row],[ID]]="","",COUNTIFS(Log[ID],Items[[#This Row],[ID]],Log[Verb],"punt"))</f>
      </c>
      <c r="T178" s="11">
        <f>IF(Items[[#This Row],[State]]&lt;&gt;"DONE","",IFERROR(LOOKUP(2,1/((Log[ID]=Items[[#This Row],[ID]])*(Log[Verb]="done")),Log[Date]),""))</f>
      </c>
      <c r="U178" s="17">
        <f>IF(Items[[#This Row],[ID]]="","",IF(AND(Items[[#This Row],[Sprint]]=CurSprint,OR(Items[[#This Row],[State]]="OPEN",Items[[#This Row],[State]]="WAIT",Items[[#This Row],[State]]="HOLD",Items[[#This Row],[State]]="DONE")),1,0))</f>
      </c>
      <c r="V178" s="17">
        <f>IF(OR(Items[[#This Row],[ID]]="",Items[[#This Row],[Added]]=""),"",AsOf-Items[[#This Row],[Added]])</f>
      </c>
      <c r="W178" s="17">
        <f>IF(Items[[#This Row],[In sprint]]=1,(IF(Items[[#This Row],[Prio]]="",9,N(Items[[#This Row],[Prio]]))*10+(IF(Items[[#This Row],[State]]="DONE",1,0)))*100000+ROW(),"")</f>
      </c>
      <c r="X17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78" s="17">
        <f>IF(AND(Items[[#This Row],[State]]="DONE",N(Items[[#This Row],[Done on]])&gt;AsOf-7),(200000-N(Items[[#This Row],[Done on]]))*100000+ROW(),"")</f>
      </c>
    </row>
    <row r="179">
      <c r="A179" t="s">
        <v>410</v>
      </c>
      <c r="B179" t="s">
        <v>1383</v>
      </c>
      <c r="C179" t="s">
        <v>1107</v>
      </c>
      <c r="D179" t="s">
        <v>1127</v>
      </c>
      <c r="E179" t="s">
        <v>1131</v>
      </c>
      <c r="F179" t="s">
        <v>1384</v>
      </c>
      <c r="G179">
        <v>8</v>
      </c>
      <c r="H179">
        <v>2</v>
      </c>
      <c r="I179" s="11">
        <v>46091</v>
      </c>
      <c r="J179" s="17">
        <f>IF(Items[[#This Row],[ID]]="","",IFERROR(VALUE(LOOKUP(2,1/((Log[ID]=Items[[#This Row],[ID]])*(Log[Verb]="est")),Log[Arg])),N(Items[[#This Row],[Points]])))</f>
      </c>
      <c r="K179" s="17">
        <f>IF(Items[[#This Row],[ID]]="","",IFERROR(LOOKUP(2,1/((Log[ID]=Items[[#This Row],[ID]])*(Log[Verb]="pass")),Log[Arg])&amp;"",Items[[#This Row],[Team]]&amp;""))</f>
      </c>
      <c r="L179" s="17">
        <f>IF(Items[[#This Row],[ID]]="","",IFERROR(LOOKUP(2,1/((Log[ID]=Items[[#This Row],[ID]])*(Log[Into]&lt;&gt;"")),Log[Into]),""))</f>
      </c>
      <c r="M179" s="17">
        <f>IF(Items[[#This Row],[ID]]="","",IF(IFERROR(LOOKUP(2,1/((Log[ID]=Items[[#This Row],[ID]])*(Log[Blk]&lt;&gt;"")),Log[Blk]),0)=1,"Y",""))</f>
      </c>
      <c r="N179" s="17">
        <f>IF(Items[[#This Row],[ID]]="","",SUBSTITUTE(IFERROR(LOOKUP(2,1/((Log[ID]=Items[[#This Row],[ID]])*(Log[State]&lt;&gt;"")),Log[State]),"TODO"),"OPEN",IF(Items[[#This Row],[Blocked]]="Y","WAIT","OPEN")))</f>
      </c>
      <c r="O17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79" s="17">
        <f>IF(Items[[#This Row],[State]]&lt;&gt;"WAIT","",AsOf-Items[[#This Row],[Blocked since]])</f>
      </c>
      <c r="Q179" s="17">
        <f>IF(Items[[#This Row],[State]]&lt;&gt;"WAIT","",IFERROR(LOOKUP(2,1/((Log[ID]=Items[[#This Row],[ID]])*(Log[Verb]="block")),Log[Note])&amp;"",""))</f>
      </c>
      <c r="R179" s="17">
        <f>IF(Items[[#This Row],[ID]]="","",COUNTIFS(Log[ID],Items[[#This Row],[ID]],Log[Verb],"carry"))</f>
      </c>
      <c r="S179" s="17">
        <f>IF(Items[[#This Row],[ID]]="","",COUNTIFS(Log[ID],Items[[#This Row],[ID]],Log[Verb],"punt"))</f>
      </c>
      <c r="T179" s="11">
        <f>IF(Items[[#This Row],[State]]&lt;&gt;"DONE","",IFERROR(LOOKUP(2,1/((Log[ID]=Items[[#This Row],[ID]])*(Log[Verb]="done")),Log[Date]),""))</f>
      </c>
      <c r="U179" s="17">
        <f>IF(Items[[#This Row],[ID]]="","",IF(AND(Items[[#This Row],[Sprint]]=CurSprint,OR(Items[[#This Row],[State]]="OPEN",Items[[#This Row],[State]]="WAIT",Items[[#This Row],[State]]="HOLD",Items[[#This Row],[State]]="DONE")),1,0))</f>
      </c>
      <c r="V179" s="17">
        <f>IF(OR(Items[[#This Row],[ID]]="",Items[[#This Row],[Added]]=""),"",AsOf-Items[[#This Row],[Added]])</f>
      </c>
      <c r="W179" s="17">
        <f>IF(Items[[#This Row],[In sprint]]=1,(IF(Items[[#This Row],[Prio]]="",9,N(Items[[#This Row],[Prio]]))*10+(IF(Items[[#This Row],[State]]="DONE",1,0)))*100000+ROW(),"")</f>
      </c>
      <c r="X17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79" s="17">
        <f>IF(AND(Items[[#This Row],[State]]="DONE",N(Items[[#This Row],[Done on]])&gt;AsOf-7),(200000-N(Items[[#This Row],[Done on]]))*100000+ROW(),"")</f>
      </c>
    </row>
    <row r="180">
      <c r="A180" t="s">
        <v>411</v>
      </c>
      <c r="B180" t="s">
        <v>1385</v>
      </c>
      <c r="C180" t="s">
        <v>1115</v>
      </c>
      <c r="D180" t="s">
        <v>1119</v>
      </c>
      <c r="E180" t="s">
        <v>1131</v>
      </c>
      <c r="F180" t="s">
        <v>1309</v>
      </c>
      <c r="G180">
        <v>8</v>
      </c>
      <c r="H180">
        <v>1</v>
      </c>
      <c r="I180" s="11">
        <v>46091</v>
      </c>
      <c r="J180" s="17">
        <f>IF(Items[[#This Row],[ID]]="","",IFERROR(VALUE(LOOKUP(2,1/((Log[ID]=Items[[#This Row],[ID]])*(Log[Verb]="est")),Log[Arg])),N(Items[[#This Row],[Points]])))</f>
      </c>
      <c r="K180" s="17">
        <f>IF(Items[[#This Row],[ID]]="","",IFERROR(LOOKUP(2,1/((Log[ID]=Items[[#This Row],[ID]])*(Log[Verb]="pass")),Log[Arg])&amp;"",Items[[#This Row],[Team]]&amp;""))</f>
      </c>
      <c r="L180" s="17">
        <f>IF(Items[[#This Row],[ID]]="","",IFERROR(LOOKUP(2,1/((Log[ID]=Items[[#This Row],[ID]])*(Log[Into]&lt;&gt;"")),Log[Into]),""))</f>
      </c>
      <c r="M180" s="17">
        <f>IF(Items[[#This Row],[ID]]="","",IF(IFERROR(LOOKUP(2,1/((Log[ID]=Items[[#This Row],[ID]])*(Log[Blk]&lt;&gt;"")),Log[Blk]),0)=1,"Y",""))</f>
      </c>
      <c r="N180" s="17">
        <f>IF(Items[[#This Row],[ID]]="","",SUBSTITUTE(IFERROR(LOOKUP(2,1/((Log[ID]=Items[[#This Row],[ID]])*(Log[State]&lt;&gt;"")),Log[State]),"TODO"),"OPEN",IF(Items[[#This Row],[Blocked]]="Y","WAIT","OPEN")))</f>
      </c>
      <c r="O18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80" s="17">
        <f>IF(Items[[#This Row],[State]]&lt;&gt;"WAIT","",AsOf-Items[[#This Row],[Blocked since]])</f>
      </c>
      <c r="Q180" s="17">
        <f>IF(Items[[#This Row],[State]]&lt;&gt;"WAIT","",IFERROR(LOOKUP(2,1/((Log[ID]=Items[[#This Row],[ID]])*(Log[Verb]="block")),Log[Note])&amp;"",""))</f>
      </c>
      <c r="R180" s="17">
        <f>IF(Items[[#This Row],[ID]]="","",COUNTIFS(Log[ID],Items[[#This Row],[ID]],Log[Verb],"carry"))</f>
      </c>
      <c r="S180" s="17">
        <f>IF(Items[[#This Row],[ID]]="","",COUNTIFS(Log[ID],Items[[#This Row],[ID]],Log[Verb],"punt"))</f>
      </c>
      <c r="T180" s="11">
        <f>IF(Items[[#This Row],[State]]&lt;&gt;"DONE","",IFERROR(LOOKUP(2,1/((Log[ID]=Items[[#This Row],[ID]])*(Log[Verb]="done")),Log[Date]),""))</f>
      </c>
      <c r="U180" s="17">
        <f>IF(Items[[#This Row],[ID]]="","",IF(AND(Items[[#This Row],[Sprint]]=CurSprint,OR(Items[[#This Row],[State]]="OPEN",Items[[#This Row],[State]]="WAIT",Items[[#This Row],[State]]="HOLD",Items[[#This Row],[State]]="DONE")),1,0))</f>
      </c>
      <c r="V180" s="17">
        <f>IF(OR(Items[[#This Row],[ID]]="",Items[[#This Row],[Added]]=""),"",AsOf-Items[[#This Row],[Added]])</f>
      </c>
      <c r="W180" s="17">
        <f>IF(Items[[#This Row],[In sprint]]=1,(IF(Items[[#This Row],[Prio]]="",9,N(Items[[#This Row],[Prio]]))*10+(IF(Items[[#This Row],[State]]="DONE",1,0)))*100000+ROW(),"")</f>
      </c>
      <c r="X18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80" s="17">
        <f>IF(AND(Items[[#This Row],[State]]="DONE",N(Items[[#This Row],[Done on]])&gt;AsOf-7),(200000-N(Items[[#This Row],[Done on]]))*100000+ROW(),"")</f>
      </c>
    </row>
    <row r="181">
      <c r="A181" t="s">
        <v>357</v>
      </c>
      <c r="B181" t="s">
        <v>1386</v>
      </c>
      <c r="C181" t="s">
        <v>1115</v>
      </c>
      <c r="D181" t="s">
        <v>1119</v>
      </c>
      <c r="E181" t="s">
        <v>1134</v>
      </c>
      <c r="F181" t="s">
        <v>1387</v>
      </c>
      <c r="G181">
        <v>5</v>
      </c>
      <c r="H181">
        <v>3</v>
      </c>
      <c r="I181" s="11">
        <v>46091</v>
      </c>
      <c r="J181" s="17">
        <f>IF(Items[[#This Row],[ID]]="","",IFERROR(VALUE(LOOKUP(2,1/((Log[ID]=Items[[#This Row],[ID]])*(Log[Verb]="est")),Log[Arg])),N(Items[[#This Row],[Points]])))</f>
      </c>
      <c r="K181" s="17">
        <f>IF(Items[[#This Row],[ID]]="","",IFERROR(LOOKUP(2,1/((Log[ID]=Items[[#This Row],[ID]])*(Log[Verb]="pass")),Log[Arg])&amp;"",Items[[#This Row],[Team]]&amp;""))</f>
      </c>
      <c r="L181" s="17">
        <f>IF(Items[[#This Row],[ID]]="","",IFERROR(LOOKUP(2,1/((Log[ID]=Items[[#This Row],[ID]])*(Log[Into]&lt;&gt;"")),Log[Into]),""))</f>
      </c>
      <c r="M181" s="17">
        <f>IF(Items[[#This Row],[ID]]="","",IF(IFERROR(LOOKUP(2,1/((Log[ID]=Items[[#This Row],[ID]])*(Log[Blk]&lt;&gt;"")),Log[Blk]),0)=1,"Y",""))</f>
      </c>
      <c r="N181" s="17">
        <f>IF(Items[[#This Row],[ID]]="","",SUBSTITUTE(IFERROR(LOOKUP(2,1/((Log[ID]=Items[[#This Row],[ID]])*(Log[State]&lt;&gt;"")),Log[State]),"TODO"),"OPEN",IF(Items[[#This Row],[Blocked]]="Y","WAIT","OPEN")))</f>
      </c>
      <c r="O18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81" s="17">
        <f>IF(Items[[#This Row],[State]]&lt;&gt;"WAIT","",AsOf-Items[[#This Row],[Blocked since]])</f>
      </c>
      <c r="Q181" s="17">
        <f>IF(Items[[#This Row],[State]]&lt;&gt;"WAIT","",IFERROR(LOOKUP(2,1/((Log[ID]=Items[[#This Row],[ID]])*(Log[Verb]="block")),Log[Note])&amp;"",""))</f>
      </c>
      <c r="R181" s="17">
        <f>IF(Items[[#This Row],[ID]]="","",COUNTIFS(Log[ID],Items[[#This Row],[ID]],Log[Verb],"carry"))</f>
      </c>
      <c r="S181" s="17">
        <f>IF(Items[[#This Row],[ID]]="","",COUNTIFS(Log[ID],Items[[#This Row],[ID]],Log[Verb],"punt"))</f>
      </c>
      <c r="T181" s="11">
        <f>IF(Items[[#This Row],[State]]&lt;&gt;"DONE","",IFERROR(LOOKUP(2,1/((Log[ID]=Items[[#This Row],[ID]])*(Log[Verb]="done")),Log[Date]),""))</f>
      </c>
      <c r="U181" s="17">
        <f>IF(Items[[#This Row],[ID]]="","",IF(AND(Items[[#This Row],[Sprint]]=CurSprint,OR(Items[[#This Row],[State]]="OPEN",Items[[#This Row],[State]]="WAIT",Items[[#This Row],[State]]="HOLD",Items[[#This Row],[State]]="DONE")),1,0))</f>
      </c>
      <c r="V181" s="17">
        <f>IF(OR(Items[[#This Row],[ID]]="",Items[[#This Row],[Added]]=""),"",AsOf-Items[[#This Row],[Added]])</f>
      </c>
      <c r="W181" s="17">
        <f>IF(Items[[#This Row],[In sprint]]=1,(IF(Items[[#This Row],[Prio]]="",9,N(Items[[#This Row],[Prio]]))*10+(IF(Items[[#This Row],[State]]="DONE",1,0)))*100000+ROW(),"")</f>
      </c>
      <c r="X18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81" s="17">
        <f>IF(AND(Items[[#This Row],[State]]="DONE",N(Items[[#This Row],[Done on]])&gt;AsOf-7),(200000-N(Items[[#This Row],[Done on]]))*100000+ROW(),"")</f>
      </c>
    </row>
    <row r="182">
      <c r="A182" t="s">
        <v>358</v>
      </c>
      <c r="B182" t="s">
        <v>1388</v>
      </c>
      <c r="C182" t="s">
        <v>1107</v>
      </c>
      <c r="D182" t="s">
        <v>1127</v>
      </c>
      <c r="E182" t="s">
        <v>1134</v>
      </c>
      <c r="F182" t="s">
        <v>1240</v>
      </c>
      <c r="G182">
        <v>3</v>
      </c>
      <c r="H182">
        <v>2</v>
      </c>
      <c r="I182" s="11">
        <v>46091</v>
      </c>
      <c r="J182" s="17">
        <f>IF(Items[[#This Row],[ID]]="","",IFERROR(VALUE(LOOKUP(2,1/((Log[ID]=Items[[#This Row],[ID]])*(Log[Verb]="est")),Log[Arg])),N(Items[[#This Row],[Points]])))</f>
      </c>
      <c r="K182" s="17">
        <f>IF(Items[[#This Row],[ID]]="","",IFERROR(LOOKUP(2,1/((Log[ID]=Items[[#This Row],[ID]])*(Log[Verb]="pass")),Log[Arg])&amp;"",Items[[#This Row],[Team]]&amp;""))</f>
      </c>
      <c r="L182" s="17">
        <f>IF(Items[[#This Row],[ID]]="","",IFERROR(LOOKUP(2,1/((Log[ID]=Items[[#This Row],[ID]])*(Log[Into]&lt;&gt;"")),Log[Into]),""))</f>
      </c>
      <c r="M182" s="17">
        <f>IF(Items[[#This Row],[ID]]="","",IF(IFERROR(LOOKUP(2,1/((Log[ID]=Items[[#This Row],[ID]])*(Log[Blk]&lt;&gt;"")),Log[Blk]),0)=1,"Y",""))</f>
      </c>
      <c r="N182" s="17">
        <f>IF(Items[[#This Row],[ID]]="","",SUBSTITUTE(IFERROR(LOOKUP(2,1/((Log[ID]=Items[[#This Row],[ID]])*(Log[State]&lt;&gt;"")),Log[State]),"TODO"),"OPEN",IF(Items[[#This Row],[Blocked]]="Y","WAIT","OPEN")))</f>
      </c>
      <c r="O18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82" s="17">
        <f>IF(Items[[#This Row],[State]]&lt;&gt;"WAIT","",AsOf-Items[[#This Row],[Blocked since]])</f>
      </c>
      <c r="Q182" s="17">
        <f>IF(Items[[#This Row],[State]]&lt;&gt;"WAIT","",IFERROR(LOOKUP(2,1/((Log[ID]=Items[[#This Row],[ID]])*(Log[Verb]="block")),Log[Note])&amp;"",""))</f>
      </c>
      <c r="R182" s="17">
        <f>IF(Items[[#This Row],[ID]]="","",COUNTIFS(Log[ID],Items[[#This Row],[ID]],Log[Verb],"carry"))</f>
      </c>
      <c r="S182" s="17">
        <f>IF(Items[[#This Row],[ID]]="","",COUNTIFS(Log[ID],Items[[#This Row],[ID]],Log[Verb],"punt"))</f>
      </c>
      <c r="T182" s="11">
        <f>IF(Items[[#This Row],[State]]&lt;&gt;"DONE","",IFERROR(LOOKUP(2,1/((Log[ID]=Items[[#This Row],[ID]])*(Log[Verb]="done")),Log[Date]),""))</f>
      </c>
      <c r="U182" s="17">
        <f>IF(Items[[#This Row],[ID]]="","",IF(AND(Items[[#This Row],[Sprint]]=CurSprint,OR(Items[[#This Row],[State]]="OPEN",Items[[#This Row],[State]]="WAIT",Items[[#This Row],[State]]="HOLD",Items[[#This Row],[State]]="DONE")),1,0))</f>
      </c>
      <c r="V182" s="17">
        <f>IF(OR(Items[[#This Row],[ID]]="",Items[[#This Row],[Added]]=""),"",AsOf-Items[[#This Row],[Added]])</f>
      </c>
      <c r="W182" s="17">
        <f>IF(Items[[#This Row],[In sprint]]=1,(IF(Items[[#This Row],[Prio]]="",9,N(Items[[#This Row],[Prio]]))*10+(IF(Items[[#This Row],[State]]="DONE",1,0)))*100000+ROW(),"")</f>
      </c>
      <c r="X18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82" s="17">
        <f>IF(AND(Items[[#This Row],[State]]="DONE",N(Items[[#This Row],[Done on]])&gt;AsOf-7),(200000-N(Items[[#This Row],[Done on]]))*100000+ROW(),"")</f>
      </c>
    </row>
    <row r="183">
      <c r="A183" t="s">
        <v>359</v>
      </c>
      <c r="B183" t="s">
        <v>1389</v>
      </c>
      <c r="C183" t="s">
        <v>1107</v>
      </c>
      <c r="D183" t="s">
        <v>1108</v>
      </c>
      <c r="E183" t="s">
        <v>1134</v>
      </c>
      <c r="F183" t="s">
        <v>1171</v>
      </c>
      <c r="G183">
        <v>5</v>
      </c>
      <c r="H183">
        <v>1</v>
      </c>
      <c r="I183" s="11">
        <v>46091</v>
      </c>
      <c r="J183" s="17">
        <f>IF(Items[[#This Row],[ID]]="","",IFERROR(VALUE(LOOKUP(2,1/((Log[ID]=Items[[#This Row],[ID]])*(Log[Verb]="est")),Log[Arg])),N(Items[[#This Row],[Points]])))</f>
      </c>
      <c r="K183" s="17">
        <f>IF(Items[[#This Row],[ID]]="","",IFERROR(LOOKUP(2,1/((Log[ID]=Items[[#This Row],[ID]])*(Log[Verb]="pass")),Log[Arg])&amp;"",Items[[#This Row],[Team]]&amp;""))</f>
      </c>
      <c r="L183" s="17">
        <f>IF(Items[[#This Row],[ID]]="","",IFERROR(LOOKUP(2,1/((Log[ID]=Items[[#This Row],[ID]])*(Log[Into]&lt;&gt;"")),Log[Into]),""))</f>
      </c>
      <c r="M183" s="17">
        <f>IF(Items[[#This Row],[ID]]="","",IF(IFERROR(LOOKUP(2,1/((Log[ID]=Items[[#This Row],[ID]])*(Log[Blk]&lt;&gt;"")),Log[Blk]),0)=1,"Y",""))</f>
      </c>
      <c r="N183" s="17">
        <f>IF(Items[[#This Row],[ID]]="","",SUBSTITUTE(IFERROR(LOOKUP(2,1/((Log[ID]=Items[[#This Row],[ID]])*(Log[State]&lt;&gt;"")),Log[State]),"TODO"),"OPEN",IF(Items[[#This Row],[Blocked]]="Y","WAIT","OPEN")))</f>
      </c>
      <c r="O18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83" s="17">
        <f>IF(Items[[#This Row],[State]]&lt;&gt;"WAIT","",AsOf-Items[[#This Row],[Blocked since]])</f>
      </c>
      <c r="Q183" s="17">
        <f>IF(Items[[#This Row],[State]]&lt;&gt;"WAIT","",IFERROR(LOOKUP(2,1/((Log[ID]=Items[[#This Row],[ID]])*(Log[Verb]="block")),Log[Note])&amp;"",""))</f>
      </c>
      <c r="R183" s="17">
        <f>IF(Items[[#This Row],[ID]]="","",COUNTIFS(Log[ID],Items[[#This Row],[ID]],Log[Verb],"carry"))</f>
      </c>
      <c r="S183" s="17">
        <f>IF(Items[[#This Row],[ID]]="","",COUNTIFS(Log[ID],Items[[#This Row],[ID]],Log[Verb],"punt"))</f>
      </c>
      <c r="T183" s="11">
        <f>IF(Items[[#This Row],[State]]&lt;&gt;"DONE","",IFERROR(LOOKUP(2,1/((Log[ID]=Items[[#This Row],[ID]])*(Log[Verb]="done")),Log[Date]),""))</f>
      </c>
      <c r="U183" s="17">
        <f>IF(Items[[#This Row],[ID]]="","",IF(AND(Items[[#This Row],[Sprint]]=CurSprint,OR(Items[[#This Row],[State]]="OPEN",Items[[#This Row],[State]]="WAIT",Items[[#This Row],[State]]="HOLD",Items[[#This Row],[State]]="DONE")),1,0))</f>
      </c>
      <c r="V183" s="17">
        <f>IF(OR(Items[[#This Row],[ID]]="",Items[[#This Row],[Added]]=""),"",AsOf-Items[[#This Row],[Added]])</f>
      </c>
      <c r="W183" s="17">
        <f>IF(Items[[#This Row],[In sprint]]=1,(IF(Items[[#This Row],[Prio]]="",9,N(Items[[#This Row],[Prio]]))*10+(IF(Items[[#This Row],[State]]="DONE",1,0)))*100000+ROW(),"")</f>
      </c>
      <c r="X18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83" s="17">
        <f>IF(AND(Items[[#This Row],[State]]="DONE",N(Items[[#This Row],[Done on]])&gt;AsOf-7),(200000-N(Items[[#This Row],[Done on]]))*100000+ROW(),"")</f>
      </c>
    </row>
    <row r="184">
      <c r="A184" t="s">
        <v>360</v>
      </c>
      <c r="B184" t="s">
        <v>1390</v>
      </c>
      <c r="C184" t="s">
        <v>1107</v>
      </c>
      <c r="D184" t="s">
        <v>1108</v>
      </c>
      <c r="E184" t="s">
        <v>1134</v>
      </c>
      <c r="F184" t="s">
        <v>1137</v>
      </c>
      <c r="G184">
        <v>2</v>
      </c>
      <c r="H184">
        <v>2</v>
      </c>
      <c r="I184" s="11">
        <v>46091</v>
      </c>
      <c r="J184" s="17">
        <f>IF(Items[[#This Row],[ID]]="","",IFERROR(VALUE(LOOKUP(2,1/((Log[ID]=Items[[#This Row],[ID]])*(Log[Verb]="est")),Log[Arg])),N(Items[[#This Row],[Points]])))</f>
      </c>
      <c r="K184" s="17">
        <f>IF(Items[[#This Row],[ID]]="","",IFERROR(LOOKUP(2,1/((Log[ID]=Items[[#This Row],[ID]])*(Log[Verb]="pass")),Log[Arg])&amp;"",Items[[#This Row],[Team]]&amp;""))</f>
      </c>
      <c r="L184" s="17">
        <f>IF(Items[[#This Row],[ID]]="","",IFERROR(LOOKUP(2,1/((Log[ID]=Items[[#This Row],[ID]])*(Log[Into]&lt;&gt;"")),Log[Into]),""))</f>
      </c>
      <c r="M184" s="17">
        <f>IF(Items[[#This Row],[ID]]="","",IF(IFERROR(LOOKUP(2,1/((Log[ID]=Items[[#This Row],[ID]])*(Log[Blk]&lt;&gt;"")),Log[Blk]),0)=1,"Y",""))</f>
      </c>
      <c r="N184" s="17">
        <f>IF(Items[[#This Row],[ID]]="","",SUBSTITUTE(IFERROR(LOOKUP(2,1/((Log[ID]=Items[[#This Row],[ID]])*(Log[State]&lt;&gt;"")),Log[State]),"TODO"),"OPEN",IF(Items[[#This Row],[Blocked]]="Y","WAIT","OPEN")))</f>
      </c>
      <c r="O18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84" s="17">
        <f>IF(Items[[#This Row],[State]]&lt;&gt;"WAIT","",AsOf-Items[[#This Row],[Blocked since]])</f>
      </c>
      <c r="Q184" s="17">
        <f>IF(Items[[#This Row],[State]]&lt;&gt;"WAIT","",IFERROR(LOOKUP(2,1/((Log[ID]=Items[[#This Row],[ID]])*(Log[Verb]="block")),Log[Note])&amp;"",""))</f>
      </c>
      <c r="R184" s="17">
        <f>IF(Items[[#This Row],[ID]]="","",COUNTIFS(Log[ID],Items[[#This Row],[ID]],Log[Verb],"carry"))</f>
      </c>
      <c r="S184" s="17">
        <f>IF(Items[[#This Row],[ID]]="","",COUNTIFS(Log[ID],Items[[#This Row],[ID]],Log[Verb],"punt"))</f>
      </c>
      <c r="T184" s="11">
        <f>IF(Items[[#This Row],[State]]&lt;&gt;"DONE","",IFERROR(LOOKUP(2,1/((Log[ID]=Items[[#This Row],[ID]])*(Log[Verb]="done")),Log[Date]),""))</f>
      </c>
      <c r="U184" s="17">
        <f>IF(Items[[#This Row],[ID]]="","",IF(AND(Items[[#This Row],[Sprint]]=CurSprint,OR(Items[[#This Row],[State]]="OPEN",Items[[#This Row],[State]]="WAIT",Items[[#This Row],[State]]="HOLD",Items[[#This Row],[State]]="DONE")),1,0))</f>
      </c>
      <c r="V184" s="17">
        <f>IF(OR(Items[[#This Row],[ID]]="",Items[[#This Row],[Added]]=""),"",AsOf-Items[[#This Row],[Added]])</f>
      </c>
      <c r="W184" s="17">
        <f>IF(Items[[#This Row],[In sprint]]=1,(IF(Items[[#This Row],[Prio]]="",9,N(Items[[#This Row],[Prio]]))*10+(IF(Items[[#This Row],[State]]="DONE",1,0)))*100000+ROW(),"")</f>
      </c>
      <c r="X18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84" s="17">
        <f>IF(AND(Items[[#This Row],[State]]="DONE",N(Items[[#This Row],[Done on]])&gt;AsOf-7),(200000-N(Items[[#This Row],[Done on]]))*100000+ROW(),"")</f>
      </c>
    </row>
    <row r="185">
      <c r="A185" t="s">
        <v>361</v>
      </c>
      <c r="B185" t="s">
        <v>1391</v>
      </c>
      <c r="C185" t="s">
        <v>1115</v>
      </c>
      <c r="D185" t="s">
        <v>1116</v>
      </c>
      <c r="E185" t="s">
        <v>1139</v>
      </c>
      <c r="F185" t="s">
        <v>1247</v>
      </c>
      <c r="G185">
        <v>2</v>
      </c>
      <c r="H185">
        <v>2</v>
      </c>
      <c r="I185" s="11">
        <v>46091</v>
      </c>
      <c r="J185" s="17">
        <f>IF(Items[[#This Row],[ID]]="","",IFERROR(VALUE(LOOKUP(2,1/((Log[ID]=Items[[#This Row],[ID]])*(Log[Verb]="est")),Log[Arg])),N(Items[[#This Row],[Points]])))</f>
      </c>
      <c r="K185" s="17">
        <f>IF(Items[[#This Row],[ID]]="","",IFERROR(LOOKUP(2,1/((Log[ID]=Items[[#This Row],[ID]])*(Log[Verb]="pass")),Log[Arg])&amp;"",Items[[#This Row],[Team]]&amp;""))</f>
      </c>
      <c r="L185" s="17">
        <f>IF(Items[[#This Row],[ID]]="","",IFERROR(LOOKUP(2,1/((Log[ID]=Items[[#This Row],[ID]])*(Log[Into]&lt;&gt;"")),Log[Into]),""))</f>
      </c>
      <c r="M185" s="17">
        <f>IF(Items[[#This Row],[ID]]="","",IF(IFERROR(LOOKUP(2,1/((Log[ID]=Items[[#This Row],[ID]])*(Log[Blk]&lt;&gt;"")),Log[Blk]),0)=1,"Y",""))</f>
      </c>
      <c r="N185" s="17">
        <f>IF(Items[[#This Row],[ID]]="","",SUBSTITUTE(IFERROR(LOOKUP(2,1/((Log[ID]=Items[[#This Row],[ID]])*(Log[State]&lt;&gt;"")),Log[State]),"TODO"),"OPEN",IF(Items[[#This Row],[Blocked]]="Y","WAIT","OPEN")))</f>
      </c>
      <c r="O18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85" s="17">
        <f>IF(Items[[#This Row],[State]]&lt;&gt;"WAIT","",AsOf-Items[[#This Row],[Blocked since]])</f>
      </c>
      <c r="Q185" s="17">
        <f>IF(Items[[#This Row],[State]]&lt;&gt;"WAIT","",IFERROR(LOOKUP(2,1/((Log[ID]=Items[[#This Row],[ID]])*(Log[Verb]="block")),Log[Note])&amp;"",""))</f>
      </c>
      <c r="R185" s="17">
        <f>IF(Items[[#This Row],[ID]]="","",COUNTIFS(Log[ID],Items[[#This Row],[ID]],Log[Verb],"carry"))</f>
      </c>
      <c r="S185" s="17">
        <f>IF(Items[[#This Row],[ID]]="","",COUNTIFS(Log[ID],Items[[#This Row],[ID]],Log[Verb],"punt"))</f>
      </c>
      <c r="T185" s="11">
        <f>IF(Items[[#This Row],[State]]&lt;&gt;"DONE","",IFERROR(LOOKUP(2,1/((Log[ID]=Items[[#This Row],[ID]])*(Log[Verb]="done")),Log[Date]),""))</f>
      </c>
      <c r="U185" s="17">
        <f>IF(Items[[#This Row],[ID]]="","",IF(AND(Items[[#This Row],[Sprint]]=CurSprint,OR(Items[[#This Row],[State]]="OPEN",Items[[#This Row],[State]]="WAIT",Items[[#This Row],[State]]="HOLD",Items[[#This Row],[State]]="DONE")),1,0))</f>
      </c>
      <c r="V185" s="17">
        <f>IF(OR(Items[[#This Row],[ID]]="",Items[[#This Row],[Added]]=""),"",AsOf-Items[[#This Row],[Added]])</f>
      </c>
      <c r="W185" s="17">
        <f>IF(Items[[#This Row],[In sprint]]=1,(IF(Items[[#This Row],[Prio]]="",9,N(Items[[#This Row],[Prio]]))*10+(IF(Items[[#This Row],[State]]="DONE",1,0)))*100000+ROW(),"")</f>
      </c>
      <c r="X18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85" s="17">
        <f>IF(AND(Items[[#This Row],[State]]="DONE",N(Items[[#This Row],[Done on]])&gt;AsOf-7),(200000-N(Items[[#This Row],[Done on]]))*100000+ROW(),"")</f>
      </c>
    </row>
    <row r="186">
      <c r="A186" t="s">
        <v>362</v>
      </c>
      <c r="B186" t="s">
        <v>1392</v>
      </c>
      <c r="C186" t="s">
        <v>1107</v>
      </c>
      <c r="D186" t="s">
        <v>1127</v>
      </c>
      <c r="E186" t="s">
        <v>1139</v>
      </c>
      <c r="F186" t="s">
        <v>1251</v>
      </c>
      <c r="G186">
        <v>5</v>
      </c>
      <c r="H186">
        <v>2</v>
      </c>
      <c r="I186" s="11">
        <v>46091</v>
      </c>
      <c r="J186" s="17">
        <f>IF(Items[[#This Row],[ID]]="","",IFERROR(VALUE(LOOKUP(2,1/((Log[ID]=Items[[#This Row],[ID]])*(Log[Verb]="est")),Log[Arg])),N(Items[[#This Row],[Points]])))</f>
      </c>
      <c r="K186" s="17">
        <f>IF(Items[[#This Row],[ID]]="","",IFERROR(LOOKUP(2,1/((Log[ID]=Items[[#This Row],[ID]])*(Log[Verb]="pass")),Log[Arg])&amp;"",Items[[#This Row],[Team]]&amp;""))</f>
      </c>
      <c r="L186" s="17">
        <f>IF(Items[[#This Row],[ID]]="","",IFERROR(LOOKUP(2,1/((Log[ID]=Items[[#This Row],[ID]])*(Log[Into]&lt;&gt;"")),Log[Into]),""))</f>
      </c>
      <c r="M186" s="17">
        <f>IF(Items[[#This Row],[ID]]="","",IF(IFERROR(LOOKUP(2,1/((Log[ID]=Items[[#This Row],[ID]])*(Log[Blk]&lt;&gt;"")),Log[Blk]),0)=1,"Y",""))</f>
      </c>
      <c r="N186" s="17">
        <f>IF(Items[[#This Row],[ID]]="","",SUBSTITUTE(IFERROR(LOOKUP(2,1/((Log[ID]=Items[[#This Row],[ID]])*(Log[State]&lt;&gt;"")),Log[State]),"TODO"),"OPEN",IF(Items[[#This Row],[Blocked]]="Y","WAIT","OPEN")))</f>
      </c>
      <c r="O18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86" s="17">
        <f>IF(Items[[#This Row],[State]]&lt;&gt;"WAIT","",AsOf-Items[[#This Row],[Blocked since]])</f>
      </c>
      <c r="Q186" s="17">
        <f>IF(Items[[#This Row],[State]]&lt;&gt;"WAIT","",IFERROR(LOOKUP(2,1/((Log[ID]=Items[[#This Row],[ID]])*(Log[Verb]="block")),Log[Note])&amp;"",""))</f>
      </c>
      <c r="R186" s="17">
        <f>IF(Items[[#This Row],[ID]]="","",COUNTIFS(Log[ID],Items[[#This Row],[ID]],Log[Verb],"carry"))</f>
      </c>
      <c r="S186" s="17">
        <f>IF(Items[[#This Row],[ID]]="","",COUNTIFS(Log[ID],Items[[#This Row],[ID]],Log[Verb],"punt"))</f>
      </c>
      <c r="T186" s="11">
        <f>IF(Items[[#This Row],[State]]&lt;&gt;"DONE","",IFERROR(LOOKUP(2,1/((Log[ID]=Items[[#This Row],[ID]])*(Log[Verb]="done")),Log[Date]),""))</f>
      </c>
      <c r="U186" s="17">
        <f>IF(Items[[#This Row],[ID]]="","",IF(AND(Items[[#This Row],[Sprint]]=CurSprint,OR(Items[[#This Row],[State]]="OPEN",Items[[#This Row],[State]]="WAIT",Items[[#This Row],[State]]="HOLD",Items[[#This Row],[State]]="DONE")),1,0))</f>
      </c>
      <c r="V186" s="17">
        <f>IF(OR(Items[[#This Row],[ID]]="",Items[[#This Row],[Added]]=""),"",AsOf-Items[[#This Row],[Added]])</f>
      </c>
      <c r="W186" s="17">
        <f>IF(Items[[#This Row],[In sprint]]=1,(IF(Items[[#This Row],[Prio]]="",9,N(Items[[#This Row],[Prio]]))*10+(IF(Items[[#This Row],[State]]="DONE",1,0)))*100000+ROW(),"")</f>
      </c>
      <c r="X18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86" s="17">
        <f>IF(AND(Items[[#This Row],[State]]="DONE",N(Items[[#This Row],[Done on]])&gt;AsOf-7),(200000-N(Items[[#This Row],[Done on]]))*100000+ROW(),"")</f>
      </c>
    </row>
    <row r="187">
      <c r="A187" t="s">
        <v>363</v>
      </c>
      <c r="B187" t="s">
        <v>1393</v>
      </c>
      <c r="C187" t="s">
        <v>1115</v>
      </c>
      <c r="D187" t="s">
        <v>1119</v>
      </c>
      <c r="E187" t="s">
        <v>1139</v>
      </c>
      <c r="F187" t="s">
        <v>1319</v>
      </c>
      <c r="G187">
        <v>3</v>
      </c>
      <c r="H187">
        <v>2</v>
      </c>
      <c r="I187" s="11">
        <v>46091</v>
      </c>
      <c r="J187" s="17">
        <f>IF(Items[[#This Row],[ID]]="","",IFERROR(VALUE(LOOKUP(2,1/((Log[ID]=Items[[#This Row],[ID]])*(Log[Verb]="est")),Log[Arg])),N(Items[[#This Row],[Points]])))</f>
      </c>
      <c r="K187" s="17">
        <f>IF(Items[[#This Row],[ID]]="","",IFERROR(LOOKUP(2,1/((Log[ID]=Items[[#This Row],[ID]])*(Log[Verb]="pass")),Log[Arg])&amp;"",Items[[#This Row],[Team]]&amp;""))</f>
      </c>
      <c r="L187" s="17">
        <f>IF(Items[[#This Row],[ID]]="","",IFERROR(LOOKUP(2,1/((Log[ID]=Items[[#This Row],[ID]])*(Log[Into]&lt;&gt;"")),Log[Into]),""))</f>
      </c>
      <c r="M187" s="17">
        <f>IF(Items[[#This Row],[ID]]="","",IF(IFERROR(LOOKUP(2,1/((Log[ID]=Items[[#This Row],[ID]])*(Log[Blk]&lt;&gt;"")),Log[Blk]),0)=1,"Y",""))</f>
      </c>
      <c r="N187" s="17">
        <f>IF(Items[[#This Row],[ID]]="","",SUBSTITUTE(IFERROR(LOOKUP(2,1/((Log[ID]=Items[[#This Row],[ID]])*(Log[State]&lt;&gt;"")),Log[State]),"TODO"),"OPEN",IF(Items[[#This Row],[Blocked]]="Y","WAIT","OPEN")))</f>
      </c>
      <c r="O18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87" s="17">
        <f>IF(Items[[#This Row],[State]]&lt;&gt;"WAIT","",AsOf-Items[[#This Row],[Blocked since]])</f>
      </c>
      <c r="Q187" s="17">
        <f>IF(Items[[#This Row],[State]]&lt;&gt;"WAIT","",IFERROR(LOOKUP(2,1/((Log[ID]=Items[[#This Row],[ID]])*(Log[Verb]="block")),Log[Note])&amp;"",""))</f>
      </c>
      <c r="R187" s="17">
        <f>IF(Items[[#This Row],[ID]]="","",COUNTIFS(Log[ID],Items[[#This Row],[ID]],Log[Verb],"carry"))</f>
      </c>
      <c r="S187" s="17">
        <f>IF(Items[[#This Row],[ID]]="","",COUNTIFS(Log[ID],Items[[#This Row],[ID]],Log[Verb],"punt"))</f>
      </c>
      <c r="T187" s="11">
        <f>IF(Items[[#This Row],[State]]&lt;&gt;"DONE","",IFERROR(LOOKUP(2,1/((Log[ID]=Items[[#This Row],[ID]])*(Log[Verb]="done")),Log[Date]),""))</f>
      </c>
      <c r="U187" s="17">
        <f>IF(Items[[#This Row],[ID]]="","",IF(AND(Items[[#This Row],[Sprint]]=CurSprint,OR(Items[[#This Row],[State]]="OPEN",Items[[#This Row],[State]]="WAIT",Items[[#This Row],[State]]="HOLD",Items[[#This Row],[State]]="DONE")),1,0))</f>
      </c>
      <c r="V187" s="17">
        <f>IF(OR(Items[[#This Row],[ID]]="",Items[[#This Row],[Added]]=""),"",AsOf-Items[[#This Row],[Added]])</f>
      </c>
      <c r="W187" s="17">
        <f>IF(Items[[#This Row],[In sprint]]=1,(IF(Items[[#This Row],[Prio]]="",9,N(Items[[#This Row],[Prio]]))*10+(IF(Items[[#This Row],[State]]="DONE",1,0)))*100000+ROW(),"")</f>
      </c>
      <c r="X18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87" s="17">
        <f>IF(AND(Items[[#This Row],[State]]="DONE",N(Items[[#This Row],[Done on]])&gt;AsOf-7),(200000-N(Items[[#This Row],[Done on]]))*100000+ROW(),"")</f>
      </c>
    </row>
    <row r="188">
      <c r="A188" t="s">
        <v>364</v>
      </c>
      <c r="B188" t="s">
        <v>1394</v>
      </c>
      <c r="C188" t="s">
        <v>1107</v>
      </c>
      <c r="D188" t="s">
        <v>1127</v>
      </c>
      <c r="E188" t="s">
        <v>1139</v>
      </c>
      <c r="F188" t="s">
        <v>1395</v>
      </c>
      <c r="G188">
        <v>5</v>
      </c>
      <c r="H188">
        <v>1</v>
      </c>
      <c r="I188" s="11">
        <v>46091</v>
      </c>
      <c r="J188" s="17">
        <f>IF(Items[[#This Row],[ID]]="","",IFERROR(VALUE(LOOKUP(2,1/((Log[ID]=Items[[#This Row],[ID]])*(Log[Verb]="est")),Log[Arg])),N(Items[[#This Row],[Points]])))</f>
      </c>
      <c r="K188" s="17">
        <f>IF(Items[[#This Row],[ID]]="","",IFERROR(LOOKUP(2,1/((Log[ID]=Items[[#This Row],[ID]])*(Log[Verb]="pass")),Log[Arg])&amp;"",Items[[#This Row],[Team]]&amp;""))</f>
      </c>
      <c r="L188" s="17">
        <f>IF(Items[[#This Row],[ID]]="","",IFERROR(LOOKUP(2,1/((Log[ID]=Items[[#This Row],[ID]])*(Log[Into]&lt;&gt;"")),Log[Into]),""))</f>
      </c>
      <c r="M188" s="17">
        <f>IF(Items[[#This Row],[ID]]="","",IF(IFERROR(LOOKUP(2,1/((Log[ID]=Items[[#This Row],[ID]])*(Log[Blk]&lt;&gt;"")),Log[Blk]),0)=1,"Y",""))</f>
      </c>
      <c r="N188" s="17">
        <f>IF(Items[[#This Row],[ID]]="","",SUBSTITUTE(IFERROR(LOOKUP(2,1/((Log[ID]=Items[[#This Row],[ID]])*(Log[State]&lt;&gt;"")),Log[State]),"TODO"),"OPEN",IF(Items[[#This Row],[Blocked]]="Y","WAIT","OPEN")))</f>
      </c>
      <c r="O18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88" s="17">
        <f>IF(Items[[#This Row],[State]]&lt;&gt;"WAIT","",AsOf-Items[[#This Row],[Blocked since]])</f>
      </c>
      <c r="Q188" s="17">
        <f>IF(Items[[#This Row],[State]]&lt;&gt;"WAIT","",IFERROR(LOOKUP(2,1/((Log[ID]=Items[[#This Row],[ID]])*(Log[Verb]="block")),Log[Note])&amp;"",""))</f>
      </c>
      <c r="R188" s="17">
        <f>IF(Items[[#This Row],[ID]]="","",COUNTIFS(Log[ID],Items[[#This Row],[ID]],Log[Verb],"carry"))</f>
      </c>
      <c r="S188" s="17">
        <f>IF(Items[[#This Row],[ID]]="","",COUNTIFS(Log[ID],Items[[#This Row],[ID]],Log[Verb],"punt"))</f>
      </c>
      <c r="T188" s="11">
        <f>IF(Items[[#This Row],[State]]&lt;&gt;"DONE","",IFERROR(LOOKUP(2,1/((Log[ID]=Items[[#This Row],[ID]])*(Log[Verb]="done")),Log[Date]),""))</f>
      </c>
      <c r="U188" s="17">
        <f>IF(Items[[#This Row],[ID]]="","",IF(AND(Items[[#This Row],[Sprint]]=CurSprint,OR(Items[[#This Row],[State]]="OPEN",Items[[#This Row],[State]]="WAIT",Items[[#This Row],[State]]="HOLD",Items[[#This Row],[State]]="DONE")),1,0))</f>
      </c>
      <c r="V188" s="17">
        <f>IF(OR(Items[[#This Row],[ID]]="",Items[[#This Row],[Added]]=""),"",AsOf-Items[[#This Row],[Added]])</f>
      </c>
      <c r="W188" s="17">
        <f>IF(Items[[#This Row],[In sprint]]=1,(IF(Items[[#This Row],[Prio]]="",9,N(Items[[#This Row],[Prio]]))*10+(IF(Items[[#This Row],[State]]="DONE",1,0)))*100000+ROW(),"")</f>
      </c>
      <c r="X18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88" s="17">
        <f>IF(AND(Items[[#This Row],[State]]="DONE",N(Items[[#This Row],[Done on]])&gt;AsOf-7),(200000-N(Items[[#This Row],[Done on]]))*100000+ROW(),"")</f>
      </c>
    </row>
    <row r="189">
      <c r="A189" t="s">
        <v>416</v>
      </c>
      <c r="B189" t="s">
        <v>1396</v>
      </c>
      <c r="C189" t="s">
        <v>1107</v>
      </c>
      <c r="D189" t="s">
        <v>1123</v>
      </c>
      <c r="E189" t="s">
        <v>1139</v>
      </c>
      <c r="F189" t="s">
        <v>1251</v>
      </c>
      <c r="G189">
        <v>5</v>
      </c>
      <c r="H189">
        <v>1</v>
      </c>
      <c r="I189" s="11">
        <v>46091</v>
      </c>
      <c r="J189" s="17">
        <f>IF(Items[[#This Row],[ID]]="","",IFERROR(VALUE(LOOKUP(2,1/((Log[ID]=Items[[#This Row],[ID]])*(Log[Verb]="est")),Log[Arg])),N(Items[[#This Row],[Points]])))</f>
      </c>
      <c r="K189" s="17">
        <f>IF(Items[[#This Row],[ID]]="","",IFERROR(LOOKUP(2,1/((Log[ID]=Items[[#This Row],[ID]])*(Log[Verb]="pass")),Log[Arg])&amp;"",Items[[#This Row],[Team]]&amp;""))</f>
      </c>
      <c r="L189" s="17">
        <f>IF(Items[[#This Row],[ID]]="","",IFERROR(LOOKUP(2,1/((Log[ID]=Items[[#This Row],[ID]])*(Log[Into]&lt;&gt;"")),Log[Into]),""))</f>
      </c>
      <c r="M189" s="17">
        <f>IF(Items[[#This Row],[ID]]="","",IF(IFERROR(LOOKUP(2,1/((Log[ID]=Items[[#This Row],[ID]])*(Log[Blk]&lt;&gt;"")),Log[Blk]),0)=1,"Y",""))</f>
      </c>
      <c r="N189" s="17">
        <f>IF(Items[[#This Row],[ID]]="","",SUBSTITUTE(IFERROR(LOOKUP(2,1/((Log[ID]=Items[[#This Row],[ID]])*(Log[State]&lt;&gt;"")),Log[State]),"TODO"),"OPEN",IF(Items[[#This Row],[Blocked]]="Y","WAIT","OPEN")))</f>
      </c>
      <c r="O18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89" s="17">
        <f>IF(Items[[#This Row],[State]]&lt;&gt;"WAIT","",AsOf-Items[[#This Row],[Blocked since]])</f>
      </c>
      <c r="Q189" s="17">
        <f>IF(Items[[#This Row],[State]]&lt;&gt;"WAIT","",IFERROR(LOOKUP(2,1/((Log[ID]=Items[[#This Row],[ID]])*(Log[Verb]="block")),Log[Note])&amp;"",""))</f>
      </c>
      <c r="R189" s="17">
        <f>IF(Items[[#This Row],[ID]]="","",COUNTIFS(Log[ID],Items[[#This Row],[ID]],Log[Verb],"carry"))</f>
      </c>
      <c r="S189" s="17">
        <f>IF(Items[[#This Row],[ID]]="","",COUNTIFS(Log[ID],Items[[#This Row],[ID]],Log[Verb],"punt"))</f>
      </c>
      <c r="T189" s="11">
        <f>IF(Items[[#This Row],[State]]&lt;&gt;"DONE","",IFERROR(LOOKUP(2,1/((Log[ID]=Items[[#This Row],[ID]])*(Log[Verb]="done")),Log[Date]),""))</f>
      </c>
      <c r="U189" s="17">
        <f>IF(Items[[#This Row],[ID]]="","",IF(AND(Items[[#This Row],[Sprint]]=CurSprint,OR(Items[[#This Row],[State]]="OPEN",Items[[#This Row],[State]]="WAIT",Items[[#This Row],[State]]="HOLD",Items[[#This Row],[State]]="DONE")),1,0))</f>
      </c>
      <c r="V189" s="17">
        <f>IF(OR(Items[[#This Row],[ID]]="",Items[[#This Row],[Added]]=""),"",AsOf-Items[[#This Row],[Added]])</f>
      </c>
      <c r="W189" s="17">
        <f>IF(Items[[#This Row],[In sprint]]=1,(IF(Items[[#This Row],[Prio]]="",9,N(Items[[#This Row],[Prio]]))*10+(IF(Items[[#This Row],[State]]="DONE",1,0)))*100000+ROW(),"")</f>
      </c>
      <c r="X18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89" s="17">
        <f>IF(AND(Items[[#This Row],[State]]="DONE",N(Items[[#This Row],[Done on]])&gt;AsOf-7),(200000-N(Items[[#This Row],[Done on]]))*100000+ROW(),"")</f>
      </c>
    </row>
    <row r="190">
      <c r="A190" t="s">
        <v>417</v>
      </c>
      <c r="B190" t="s">
        <v>1397</v>
      </c>
      <c r="C190" t="s">
        <v>1107</v>
      </c>
      <c r="D190" t="s">
        <v>1127</v>
      </c>
      <c r="E190" t="s">
        <v>1139</v>
      </c>
      <c r="F190" t="s">
        <v>1398</v>
      </c>
      <c r="G190">
        <v>8</v>
      </c>
      <c r="H190">
        <v>2</v>
      </c>
      <c r="I190" s="11">
        <v>46091</v>
      </c>
      <c r="J190" s="17">
        <f>IF(Items[[#This Row],[ID]]="","",IFERROR(VALUE(LOOKUP(2,1/((Log[ID]=Items[[#This Row],[ID]])*(Log[Verb]="est")),Log[Arg])),N(Items[[#This Row],[Points]])))</f>
      </c>
      <c r="K190" s="17">
        <f>IF(Items[[#This Row],[ID]]="","",IFERROR(LOOKUP(2,1/((Log[ID]=Items[[#This Row],[ID]])*(Log[Verb]="pass")),Log[Arg])&amp;"",Items[[#This Row],[Team]]&amp;""))</f>
      </c>
      <c r="L190" s="17">
        <f>IF(Items[[#This Row],[ID]]="","",IFERROR(LOOKUP(2,1/((Log[ID]=Items[[#This Row],[ID]])*(Log[Into]&lt;&gt;"")),Log[Into]),""))</f>
      </c>
      <c r="M190" s="17">
        <f>IF(Items[[#This Row],[ID]]="","",IF(IFERROR(LOOKUP(2,1/((Log[ID]=Items[[#This Row],[ID]])*(Log[Blk]&lt;&gt;"")),Log[Blk]),0)=1,"Y",""))</f>
      </c>
      <c r="N190" s="17">
        <f>IF(Items[[#This Row],[ID]]="","",SUBSTITUTE(IFERROR(LOOKUP(2,1/((Log[ID]=Items[[#This Row],[ID]])*(Log[State]&lt;&gt;"")),Log[State]),"TODO"),"OPEN",IF(Items[[#This Row],[Blocked]]="Y","WAIT","OPEN")))</f>
      </c>
      <c r="O19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90" s="17">
        <f>IF(Items[[#This Row],[State]]&lt;&gt;"WAIT","",AsOf-Items[[#This Row],[Blocked since]])</f>
      </c>
      <c r="Q190" s="17">
        <f>IF(Items[[#This Row],[State]]&lt;&gt;"WAIT","",IFERROR(LOOKUP(2,1/((Log[ID]=Items[[#This Row],[ID]])*(Log[Verb]="block")),Log[Note])&amp;"",""))</f>
      </c>
      <c r="R190" s="17">
        <f>IF(Items[[#This Row],[ID]]="","",COUNTIFS(Log[ID],Items[[#This Row],[ID]],Log[Verb],"carry"))</f>
      </c>
      <c r="S190" s="17">
        <f>IF(Items[[#This Row],[ID]]="","",COUNTIFS(Log[ID],Items[[#This Row],[ID]],Log[Verb],"punt"))</f>
      </c>
      <c r="T190" s="11">
        <f>IF(Items[[#This Row],[State]]&lt;&gt;"DONE","",IFERROR(LOOKUP(2,1/((Log[ID]=Items[[#This Row],[ID]])*(Log[Verb]="done")),Log[Date]),""))</f>
      </c>
      <c r="U190" s="17">
        <f>IF(Items[[#This Row],[ID]]="","",IF(AND(Items[[#This Row],[Sprint]]=CurSprint,OR(Items[[#This Row],[State]]="OPEN",Items[[#This Row],[State]]="WAIT",Items[[#This Row],[State]]="HOLD",Items[[#This Row],[State]]="DONE")),1,0))</f>
      </c>
      <c r="V190" s="17">
        <f>IF(OR(Items[[#This Row],[ID]]="",Items[[#This Row],[Added]]=""),"",AsOf-Items[[#This Row],[Added]])</f>
      </c>
      <c r="W190" s="17">
        <f>IF(Items[[#This Row],[In sprint]]=1,(IF(Items[[#This Row],[Prio]]="",9,N(Items[[#This Row],[Prio]]))*10+(IF(Items[[#This Row],[State]]="DONE",1,0)))*100000+ROW(),"")</f>
      </c>
      <c r="X19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90" s="17">
        <f>IF(AND(Items[[#This Row],[State]]="DONE",N(Items[[#This Row],[Done on]])&gt;AsOf-7),(200000-N(Items[[#This Row],[Done on]]))*100000+ROW(),"")</f>
      </c>
    </row>
    <row r="191">
      <c r="A191" t="s">
        <v>294</v>
      </c>
      <c r="B191" t="s">
        <v>1399</v>
      </c>
      <c r="C191" t="s">
        <v>1107</v>
      </c>
      <c r="D191" t="s">
        <v>1127</v>
      </c>
      <c r="E191" t="s">
        <v>1177</v>
      </c>
      <c r="F191" t="s">
        <v>1400</v>
      </c>
      <c r="G191">
        <v>2</v>
      </c>
      <c r="H191">
        <v>2</v>
      </c>
      <c r="I191" s="11">
        <v>46091</v>
      </c>
      <c r="J191" s="17">
        <f>IF(Items[[#This Row],[ID]]="","",IFERROR(VALUE(LOOKUP(2,1/((Log[ID]=Items[[#This Row],[ID]])*(Log[Verb]="est")),Log[Arg])),N(Items[[#This Row],[Points]])))</f>
      </c>
      <c r="K191" s="17">
        <f>IF(Items[[#This Row],[ID]]="","",IFERROR(LOOKUP(2,1/((Log[ID]=Items[[#This Row],[ID]])*(Log[Verb]="pass")),Log[Arg])&amp;"",Items[[#This Row],[Team]]&amp;""))</f>
      </c>
      <c r="L191" s="17">
        <f>IF(Items[[#This Row],[ID]]="","",IFERROR(LOOKUP(2,1/((Log[ID]=Items[[#This Row],[ID]])*(Log[Into]&lt;&gt;"")),Log[Into]),""))</f>
      </c>
      <c r="M191" s="17">
        <f>IF(Items[[#This Row],[ID]]="","",IF(IFERROR(LOOKUP(2,1/((Log[ID]=Items[[#This Row],[ID]])*(Log[Blk]&lt;&gt;"")),Log[Blk]),0)=1,"Y",""))</f>
      </c>
      <c r="N191" s="17">
        <f>IF(Items[[#This Row],[ID]]="","",SUBSTITUTE(IFERROR(LOOKUP(2,1/((Log[ID]=Items[[#This Row],[ID]])*(Log[State]&lt;&gt;"")),Log[State]),"TODO"),"OPEN",IF(Items[[#This Row],[Blocked]]="Y","WAIT","OPEN")))</f>
      </c>
      <c r="O19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91" s="17">
        <f>IF(Items[[#This Row],[State]]&lt;&gt;"WAIT","",AsOf-Items[[#This Row],[Blocked since]])</f>
      </c>
      <c r="Q191" s="17">
        <f>IF(Items[[#This Row],[State]]&lt;&gt;"WAIT","",IFERROR(LOOKUP(2,1/((Log[ID]=Items[[#This Row],[ID]])*(Log[Verb]="block")),Log[Note])&amp;"",""))</f>
      </c>
      <c r="R191" s="17">
        <f>IF(Items[[#This Row],[ID]]="","",COUNTIFS(Log[ID],Items[[#This Row],[ID]],Log[Verb],"carry"))</f>
      </c>
      <c r="S191" s="17">
        <f>IF(Items[[#This Row],[ID]]="","",COUNTIFS(Log[ID],Items[[#This Row],[ID]],Log[Verb],"punt"))</f>
      </c>
      <c r="T191" s="11">
        <f>IF(Items[[#This Row],[State]]&lt;&gt;"DONE","",IFERROR(LOOKUP(2,1/((Log[ID]=Items[[#This Row],[ID]])*(Log[Verb]="done")),Log[Date]),""))</f>
      </c>
      <c r="U191" s="17">
        <f>IF(Items[[#This Row],[ID]]="","",IF(AND(Items[[#This Row],[Sprint]]=CurSprint,OR(Items[[#This Row],[State]]="OPEN",Items[[#This Row],[State]]="WAIT",Items[[#This Row],[State]]="HOLD",Items[[#This Row],[State]]="DONE")),1,0))</f>
      </c>
      <c r="V191" s="17">
        <f>IF(OR(Items[[#This Row],[ID]]="",Items[[#This Row],[Added]]=""),"",AsOf-Items[[#This Row],[Added]])</f>
      </c>
      <c r="W191" s="17">
        <f>IF(Items[[#This Row],[In sprint]]=1,(IF(Items[[#This Row],[Prio]]="",9,N(Items[[#This Row],[Prio]]))*10+(IF(Items[[#This Row],[State]]="DONE",1,0)))*100000+ROW(),"")</f>
      </c>
      <c r="X19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91" s="17">
        <f>IF(AND(Items[[#This Row],[State]]="DONE",N(Items[[#This Row],[Done on]])&gt;AsOf-7),(200000-N(Items[[#This Row],[Done on]]))*100000+ROW(),"")</f>
      </c>
    </row>
    <row r="192">
      <c r="A192" t="s">
        <v>295</v>
      </c>
      <c r="B192" t="s">
        <v>1401</v>
      </c>
      <c r="C192" t="s">
        <v>1107</v>
      </c>
      <c r="D192" t="s">
        <v>1123</v>
      </c>
      <c r="E192" t="s">
        <v>1177</v>
      </c>
      <c r="F192" t="s">
        <v>1263</v>
      </c>
      <c r="G192">
        <v>2</v>
      </c>
      <c r="H192">
        <v>2</v>
      </c>
      <c r="I192" s="11">
        <v>46091</v>
      </c>
      <c r="J192" s="17">
        <f>IF(Items[[#This Row],[ID]]="","",IFERROR(VALUE(LOOKUP(2,1/((Log[ID]=Items[[#This Row],[ID]])*(Log[Verb]="est")),Log[Arg])),N(Items[[#This Row],[Points]])))</f>
      </c>
      <c r="K192" s="17">
        <f>IF(Items[[#This Row],[ID]]="","",IFERROR(LOOKUP(2,1/((Log[ID]=Items[[#This Row],[ID]])*(Log[Verb]="pass")),Log[Arg])&amp;"",Items[[#This Row],[Team]]&amp;""))</f>
      </c>
      <c r="L192" s="17">
        <f>IF(Items[[#This Row],[ID]]="","",IFERROR(LOOKUP(2,1/((Log[ID]=Items[[#This Row],[ID]])*(Log[Into]&lt;&gt;"")),Log[Into]),""))</f>
      </c>
      <c r="M192" s="17">
        <f>IF(Items[[#This Row],[ID]]="","",IF(IFERROR(LOOKUP(2,1/((Log[ID]=Items[[#This Row],[ID]])*(Log[Blk]&lt;&gt;"")),Log[Blk]),0)=1,"Y",""))</f>
      </c>
      <c r="N192" s="17">
        <f>IF(Items[[#This Row],[ID]]="","",SUBSTITUTE(IFERROR(LOOKUP(2,1/((Log[ID]=Items[[#This Row],[ID]])*(Log[State]&lt;&gt;"")),Log[State]),"TODO"),"OPEN",IF(Items[[#This Row],[Blocked]]="Y","WAIT","OPEN")))</f>
      </c>
      <c r="O19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92" s="17">
        <f>IF(Items[[#This Row],[State]]&lt;&gt;"WAIT","",AsOf-Items[[#This Row],[Blocked since]])</f>
      </c>
      <c r="Q192" s="17">
        <f>IF(Items[[#This Row],[State]]&lt;&gt;"WAIT","",IFERROR(LOOKUP(2,1/((Log[ID]=Items[[#This Row],[ID]])*(Log[Verb]="block")),Log[Note])&amp;"",""))</f>
      </c>
      <c r="R192" s="17">
        <f>IF(Items[[#This Row],[ID]]="","",COUNTIFS(Log[ID],Items[[#This Row],[ID]],Log[Verb],"carry"))</f>
      </c>
      <c r="S192" s="17">
        <f>IF(Items[[#This Row],[ID]]="","",COUNTIFS(Log[ID],Items[[#This Row],[ID]],Log[Verb],"punt"))</f>
      </c>
      <c r="T192" s="11">
        <f>IF(Items[[#This Row],[State]]&lt;&gt;"DONE","",IFERROR(LOOKUP(2,1/((Log[ID]=Items[[#This Row],[ID]])*(Log[Verb]="done")),Log[Date]),""))</f>
      </c>
      <c r="U192" s="17">
        <f>IF(Items[[#This Row],[ID]]="","",IF(AND(Items[[#This Row],[Sprint]]=CurSprint,OR(Items[[#This Row],[State]]="OPEN",Items[[#This Row],[State]]="WAIT",Items[[#This Row],[State]]="HOLD",Items[[#This Row],[State]]="DONE")),1,0))</f>
      </c>
      <c r="V192" s="17">
        <f>IF(OR(Items[[#This Row],[ID]]="",Items[[#This Row],[Added]]=""),"",AsOf-Items[[#This Row],[Added]])</f>
      </c>
      <c r="W192" s="17">
        <f>IF(Items[[#This Row],[In sprint]]=1,(IF(Items[[#This Row],[Prio]]="",9,N(Items[[#This Row],[Prio]]))*10+(IF(Items[[#This Row],[State]]="DONE",1,0)))*100000+ROW(),"")</f>
      </c>
      <c r="X19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92" s="17">
        <f>IF(AND(Items[[#This Row],[State]]="DONE",N(Items[[#This Row],[Done on]])&gt;AsOf-7),(200000-N(Items[[#This Row],[Done on]]))*100000+ROW(),"")</f>
      </c>
    </row>
    <row r="193">
      <c r="A193" t="s">
        <v>366</v>
      </c>
      <c r="B193" t="s">
        <v>1402</v>
      </c>
      <c r="C193" t="s">
        <v>1107</v>
      </c>
      <c r="D193" t="s">
        <v>1123</v>
      </c>
      <c r="E193" t="s">
        <v>1177</v>
      </c>
      <c r="F193" t="s">
        <v>1180</v>
      </c>
      <c r="G193">
        <v>8</v>
      </c>
      <c r="H193">
        <v>3</v>
      </c>
      <c r="I193" s="11">
        <v>46091</v>
      </c>
      <c r="J193" s="17">
        <f>IF(Items[[#This Row],[ID]]="","",IFERROR(VALUE(LOOKUP(2,1/((Log[ID]=Items[[#This Row],[ID]])*(Log[Verb]="est")),Log[Arg])),N(Items[[#This Row],[Points]])))</f>
      </c>
      <c r="K193" s="17">
        <f>IF(Items[[#This Row],[ID]]="","",IFERROR(LOOKUP(2,1/((Log[ID]=Items[[#This Row],[ID]])*(Log[Verb]="pass")),Log[Arg])&amp;"",Items[[#This Row],[Team]]&amp;""))</f>
      </c>
      <c r="L193" s="17">
        <f>IF(Items[[#This Row],[ID]]="","",IFERROR(LOOKUP(2,1/((Log[ID]=Items[[#This Row],[ID]])*(Log[Into]&lt;&gt;"")),Log[Into]),""))</f>
      </c>
      <c r="M193" s="17">
        <f>IF(Items[[#This Row],[ID]]="","",IF(IFERROR(LOOKUP(2,1/((Log[ID]=Items[[#This Row],[ID]])*(Log[Blk]&lt;&gt;"")),Log[Blk]),0)=1,"Y",""))</f>
      </c>
      <c r="N193" s="17">
        <f>IF(Items[[#This Row],[ID]]="","",SUBSTITUTE(IFERROR(LOOKUP(2,1/((Log[ID]=Items[[#This Row],[ID]])*(Log[State]&lt;&gt;"")),Log[State]),"TODO"),"OPEN",IF(Items[[#This Row],[Blocked]]="Y","WAIT","OPEN")))</f>
      </c>
      <c r="O19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93" s="17">
        <f>IF(Items[[#This Row],[State]]&lt;&gt;"WAIT","",AsOf-Items[[#This Row],[Blocked since]])</f>
      </c>
      <c r="Q193" s="17">
        <f>IF(Items[[#This Row],[State]]&lt;&gt;"WAIT","",IFERROR(LOOKUP(2,1/((Log[ID]=Items[[#This Row],[ID]])*(Log[Verb]="block")),Log[Note])&amp;"",""))</f>
      </c>
      <c r="R193" s="17">
        <f>IF(Items[[#This Row],[ID]]="","",COUNTIFS(Log[ID],Items[[#This Row],[ID]],Log[Verb],"carry"))</f>
      </c>
      <c r="S193" s="17">
        <f>IF(Items[[#This Row],[ID]]="","",COUNTIFS(Log[ID],Items[[#This Row],[ID]],Log[Verb],"punt"))</f>
      </c>
      <c r="T193" s="11">
        <f>IF(Items[[#This Row],[State]]&lt;&gt;"DONE","",IFERROR(LOOKUP(2,1/((Log[ID]=Items[[#This Row],[ID]])*(Log[Verb]="done")),Log[Date]),""))</f>
      </c>
      <c r="U193" s="17">
        <f>IF(Items[[#This Row],[ID]]="","",IF(AND(Items[[#This Row],[Sprint]]=CurSprint,OR(Items[[#This Row],[State]]="OPEN",Items[[#This Row],[State]]="WAIT",Items[[#This Row],[State]]="HOLD",Items[[#This Row],[State]]="DONE")),1,0))</f>
      </c>
      <c r="V193" s="17">
        <f>IF(OR(Items[[#This Row],[ID]]="",Items[[#This Row],[Added]]=""),"",AsOf-Items[[#This Row],[Added]])</f>
      </c>
      <c r="W193" s="17">
        <f>IF(Items[[#This Row],[In sprint]]=1,(IF(Items[[#This Row],[Prio]]="",9,N(Items[[#This Row],[Prio]]))*10+(IF(Items[[#This Row],[State]]="DONE",1,0)))*100000+ROW(),"")</f>
      </c>
      <c r="X19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93" s="17">
        <f>IF(AND(Items[[#This Row],[State]]="DONE",N(Items[[#This Row],[Done on]])&gt;AsOf-7),(200000-N(Items[[#This Row],[Done on]]))*100000+ROW(),"")</f>
      </c>
    </row>
    <row r="194">
      <c r="A194" t="s">
        <v>367</v>
      </c>
      <c r="B194" t="s">
        <v>1403</v>
      </c>
      <c r="C194" t="s">
        <v>1115</v>
      </c>
      <c r="D194" t="s">
        <v>1116</v>
      </c>
      <c r="E194" t="s">
        <v>1177</v>
      </c>
      <c r="F194" t="s">
        <v>1327</v>
      </c>
      <c r="G194">
        <v>3</v>
      </c>
      <c r="H194">
        <v>2</v>
      </c>
      <c r="I194" s="11">
        <v>46091</v>
      </c>
      <c r="J194" s="17">
        <f>IF(Items[[#This Row],[ID]]="","",IFERROR(VALUE(LOOKUP(2,1/((Log[ID]=Items[[#This Row],[ID]])*(Log[Verb]="est")),Log[Arg])),N(Items[[#This Row],[Points]])))</f>
      </c>
      <c r="K194" s="17">
        <f>IF(Items[[#This Row],[ID]]="","",IFERROR(LOOKUP(2,1/((Log[ID]=Items[[#This Row],[ID]])*(Log[Verb]="pass")),Log[Arg])&amp;"",Items[[#This Row],[Team]]&amp;""))</f>
      </c>
      <c r="L194" s="17">
        <f>IF(Items[[#This Row],[ID]]="","",IFERROR(LOOKUP(2,1/((Log[ID]=Items[[#This Row],[ID]])*(Log[Into]&lt;&gt;"")),Log[Into]),""))</f>
      </c>
      <c r="M194" s="17">
        <f>IF(Items[[#This Row],[ID]]="","",IF(IFERROR(LOOKUP(2,1/((Log[ID]=Items[[#This Row],[ID]])*(Log[Blk]&lt;&gt;"")),Log[Blk]),0)=1,"Y",""))</f>
      </c>
      <c r="N194" s="17">
        <f>IF(Items[[#This Row],[ID]]="","",SUBSTITUTE(IFERROR(LOOKUP(2,1/((Log[ID]=Items[[#This Row],[ID]])*(Log[State]&lt;&gt;"")),Log[State]),"TODO"),"OPEN",IF(Items[[#This Row],[Blocked]]="Y","WAIT","OPEN")))</f>
      </c>
      <c r="O19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94" s="17">
        <f>IF(Items[[#This Row],[State]]&lt;&gt;"WAIT","",AsOf-Items[[#This Row],[Blocked since]])</f>
      </c>
      <c r="Q194" s="17">
        <f>IF(Items[[#This Row],[State]]&lt;&gt;"WAIT","",IFERROR(LOOKUP(2,1/((Log[ID]=Items[[#This Row],[ID]])*(Log[Verb]="block")),Log[Note])&amp;"",""))</f>
      </c>
      <c r="R194" s="17">
        <f>IF(Items[[#This Row],[ID]]="","",COUNTIFS(Log[ID],Items[[#This Row],[ID]],Log[Verb],"carry"))</f>
      </c>
      <c r="S194" s="17">
        <f>IF(Items[[#This Row],[ID]]="","",COUNTIFS(Log[ID],Items[[#This Row],[ID]],Log[Verb],"punt"))</f>
      </c>
      <c r="T194" s="11">
        <f>IF(Items[[#This Row],[State]]&lt;&gt;"DONE","",IFERROR(LOOKUP(2,1/((Log[ID]=Items[[#This Row],[ID]])*(Log[Verb]="done")),Log[Date]),""))</f>
      </c>
      <c r="U194" s="17">
        <f>IF(Items[[#This Row],[ID]]="","",IF(AND(Items[[#This Row],[Sprint]]=CurSprint,OR(Items[[#This Row],[State]]="OPEN",Items[[#This Row],[State]]="WAIT",Items[[#This Row],[State]]="HOLD",Items[[#This Row],[State]]="DONE")),1,0))</f>
      </c>
      <c r="V194" s="17">
        <f>IF(OR(Items[[#This Row],[ID]]="",Items[[#This Row],[Added]]=""),"",AsOf-Items[[#This Row],[Added]])</f>
      </c>
      <c r="W194" s="17">
        <f>IF(Items[[#This Row],[In sprint]]=1,(IF(Items[[#This Row],[Prio]]="",9,N(Items[[#This Row],[Prio]]))*10+(IF(Items[[#This Row],[State]]="DONE",1,0)))*100000+ROW(),"")</f>
      </c>
      <c r="X19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94" s="17">
        <f>IF(AND(Items[[#This Row],[State]]="DONE",N(Items[[#This Row],[Done on]])&gt;AsOf-7),(200000-N(Items[[#This Row],[Done on]]))*100000+ROW(),"")</f>
      </c>
    </row>
    <row r="195">
      <c r="A195" t="s">
        <v>368</v>
      </c>
      <c r="B195" t="s">
        <v>1404</v>
      </c>
      <c r="C195" t="s">
        <v>1107</v>
      </c>
      <c r="D195" t="s">
        <v>1108</v>
      </c>
      <c r="E195" t="s">
        <v>1177</v>
      </c>
      <c r="F195" t="s">
        <v>1182</v>
      </c>
      <c r="G195">
        <v>5</v>
      </c>
      <c r="H195">
        <v>1</v>
      </c>
      <c r="I195" s="11">
        <v>46091</v>
      </c>
      <c r="J195" s="17">
        <f>IF(Items[[#This Row],[ID]]="","",IFERROR(VALUE(LOOKUP(2,1/((Log[ID]=Items[[#This Row],[ID]])*(Log[Verb]="est")),Log[Arg])),N(Items[[#This Row],[Points]])))</f>
      </c>
      <c r="K195" s="17">
        <f>IF(Items[[#This Row],[ID]]="","",IFERROR(LOOKUP(2,1/((Log[ID]=Items[[#This Row],[ID]])*(Log[Verb]="pass")),Log[Arg])&amp;"",Items[[#This Row],[Team]]&amp;""))</f>
      </c>
      <c r="L195" s="17">
        <f>IF(Items[[#This Row],[ID]]="","",IFERROR(LOOKUP(2,1/((Log[ID]=Items[[#This Row],[ID]])*(Log[Into]&lt;&gt;"")),Log[Into]),""))</f>
      </c>
      <c r="M195" s="17">
        <f>IF(Items[[#This Row],[ID]]="","",IF(IFERROR(LOOKUP(2,1/((Log[ID]=Items[[#This Row],[ID]])*(Log[Blk]&lt;&gt;"")),Log[Blk]),0)=1,"Y",""))</f>
      </c>
      <c r="N195" s="17">
        <f>IF(Items[[#This Row],[ID]]="","",SUBSTITUTE(IFERROR(LOOKUP(2,1/((Log[ID]=Items[[#This Row],[ID]])*(Log[State]&lt;&gt;"")),Log[State]),"TODO"),"OPEN",IF(Items[[#This Row],[Blocked]]="Y","WAIT","OPEN")))</f>
      </c>
      <c r="O19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95" s="17">
        <f>IF(Items[[#This Row],[State]]&lt;&gt;"WAIT","",AsOf-Items[[#This Row],[Blocked since]])</f>
      </c>
      <c r="Q195" s="17">
        <f>IF(Items[[#This Row],[State]]&lt;&gt;"WAIT","",IFERROR(LOOKUP(2,1/((Log[ID]=Items[[#This Row],[ID]])*(Log[Verb]="block")),Log[Note])&amp;"",""))</f>
      </c>
      <c r="R195" s="17">
        <f>IF(Items[[#This Row],[ID]]="","",COUNTIFS(Log[ID],Items[[#This Row],[ID]],Log[Verb],"carry"))</f>
      </c>
      <c r="S195" s="17">
        <f>IF(Items[[#This Row],[ID]]="","",COUNTIFS(Log[ID],Items[[#This Row],[ID]],Log[Verb],"punt"))</f>
      </c>
      <c r="T195" s="11">
        <f>IF(Items[[#This Row],[State]]&lt;&gt;"DONE","",IFERROR(LOOKUP(2,1/((Log[ID]=Items[[#This Row],[ID]])*(Log[Verb]="done")),Log[Date]),""))</f>
      </c>
      <c r="U195" s="17">
        <f>IF(Items[[#This Row],[ID]]="","",IF(AND(Items[[#This Row],[Sprint]]=CurSprint,OR(Items[[#This Row],[State]]="OPEN",Items[[#This Row],[State]]="WAIT",Items[[#This Row],[State]]="HOLD",Items[[#This Row],[State]]="DONE")),1,0))</f>
      </c>
      <c r="V195" s="17">
        <f>IF(OR(Items[[#This Row],[ID]]="",Items[[#This Row],[Added]]=""),"",AsOf-Items[[#This Row],[Added]])</f>
      </c>
      <c r="W195" s="17">
        <f>IF(Items[[#This Row],[In sprint]]=1,(IF(Items[[#This Row],[Prio]]="",9,N(Items[[#This Row],[Prio]]))*10+(IF(Items[[#This Row],[State]]="DONE",1,0)))*100000+ROW(),"")</f>
      </c>
      <c r="X19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95" s="17">
        <f>IF(AND(Items[[#This Row],[State]]="DONE",N(Items[[#This Row],[Done on]])&gt;AsOf-7),(200000-N(Items[[#This Row],[Done on]]))*100000+ROW(),"")</f>
      </c>
    </row>
    <row r="196">
      <c r="A196" t="s">
        <v>369</v>
      </c>
      <c r="B196" t="s">
        <v>1405</v>
      </c>
      <c r="C196" t="s">
        <v>1107</v>
      </c>
      <c r="D196" t="s">
        <v>1127</v>
      </c>
      <c r="E196" t="s">
        <v>1177</v>
      </c>
      <c r="F196" t="s">
        <v>1182</v>
      </c>
      <c r="G196">
        <v>5</v>
      </c>
      <c r="H196">
        <v>3</v>
      </c>
      <c r="I196" s="11">
        <v>46091</v>
      </c>
      <c r="J196" s="17">
        <f>IF(Items[[#This Row],[ID]]="","",IFERROR(VALUE(LOOKUP(2,1/((Log[ID]=Items[[#This Row],[ID]])*(Log[Verb]="est")),Log[Arg])),N(Items[[#This Row],[Points]])))</f>
      </c>
      <c r="K196" s="17">
        <f>IF(Items[[#This Row],[ID]]="","",IFERROR(LOOKUP(2,1/((Log[ID]=Items[[#This Row],[ID]])*(Log[Verb]="pass")),Log[Arg])&amp;"",Items[[#This Row],[Team]]&amp;""))</f>
      </c>
      <c r="L196" s="17">
        <f>IF(Items[[#This Row],[ID]]="","",IFERROR(LOOKUP(2,1/((Log[ID]=Items[[#This Row],[ID]])*(Log[Into]&lt;&gt;"")),Log[Into]),""))</f>
      </c>
      <c r="M196" s="17">
        <f>IF(Items[[#This Row],[ID]]="","",IF(IFERROR(LOOKUP(2,1/((Log[ID]=Items[[#This Row],[ID]])*(Log[Blk]&lt;&gt;"")),Log[Blk]),0)=1,"Y",""))</f>
      </c>
      <c r="N196" s="17">
        <f>IF(Items[[#This Row],[ID]]="","",SUBSTITUTE(IFERROR(LOOKUP(2,1/((Log[ID]=Items[[#This Row],[ID]])*(Log[State]&lt;&gt;"")),Log[State]),"TODO"),"OPEN",IF(Items[[#This Row],[Blocked]]="Y","WAIT","OPEN")))</f>
      </c>
      <c r="O19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96" s="17">
        <f>IF(Items[[#This Row],[State]]&lt;&gt;"WAIT","",AsOf-Items[[#This Row],[Blocked since]])</f>
      </c>
      <c r="Q196" s="17">
        <f>IF(Items[[#This Row],[State]]&lt;&gt;"WAIT","",IFERROR(LOOKUP(2,1/((Log[ID]=Items[[#This Row],[ID]])*(Log[Verb]="block")),Log[Note])&amp;"",""))</f>
      </c>
      <c r="R196" s="17">
        <f>IF(Items[[#This Row],[ID]]="","",COUNTIFS(Log[ID],Items[[#This Row],[ID]],Log[Verb],"carry"))</f>
      </c>
      <c r="S196" s="17">
        <f>IF(Items[[#This Row],[ID]]="","",COUNTIFS(Log[ID],Items[[#This Row],[ID]],Log[Verb],"punt"))</f>
      </c>
      <c r="T196" s="11">
        <f>IF(Items[[#This Row],[State]]&lt;&gt;"DONE","",IFERROR(LOOKUP(2,1/((Log[ID]=Items[[#This Row],[ID]])*(Log[Verb]="done")),Log[Date]),""))</f>
      </c>
      <c r="U196" s="17">
        <f>IF(Items[[#This Row],[ID]]="","",IF(AND(Items[[#This Row],[Sprint]]=CurSprint,OR(Items[[#This Row],[State]]="OPEN",Items[[#This Row],[State]]="WAIT",Items[[#This Row],[State]]="HOLD",Items[[#This Row],[State]]="DONE")),1,0))</f>
      </c>
      <c r="V196" s="17">
        <f>IF(OR(Items[[#This Row],[ID]]="",Items[[#This Row],[Added]]=""),"",AsOf-Items[[#This Row],[Added]])</f>
      </c>
      <c r="W196" s="17">
        <f>IF(Items[[#This Row],[In sprint]]=1,(IF(Items[[#This Row],[Prio]]="",9,N(Items[[#This Row],[Prio]]))*10+(IF(Items[[#This Row],[State]]="DONE",1,0)))*100000+ROW(),"")</f>
      </c>
      <c r="X19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96" s="17">
        <f>IF(AND(Items[[#This Row],[State]]="DONE",N(Items[[#This Row],[Done on]])&gt;AsOf-7),(200000-N(Items[[#This Row],[Done on]]))*100000+ROW(),"")</f>
      </c>
    </row>
    <row r="197">
      <c r="A197" t="s">
        <v>370</v>
      </c>
      <c r="B197" t="s">
        <v>1406</v>
      </c>
      <c r="C197" t="s">
        <v>1115</v>
      </c>
      <c r="D197" t="s">
        <v>1119</v>
      </c>
      <c r="E197" t="s">
        <v>1177</v>
      </c>
      <c r="F197" t="s">
        <v>1407</v>
      </c>
      <c r="G197">
        <v>3</v>
      </c>
      <c r="H197">
        <v>3</v>
      </c>
      <c r="I197" s="11">
        <v>46091</v>
      </c>
      <c r="J197" s="17">
        <f>IF(Items[[#This Row],[ID]]="","",IFERROR(VALUE(LOOKUP(2,1/((Log[ID]=Items[[#This Row],[ID]])*(Log[Verb]="est")),Log[Arg])),N(Items[[#This Row],[Points]])))</f>
      </c>
      <c r="K197" s="17">
        <f>IF(Items[[#This Row],[ID]]="","",IFERROR(LOOKUP(2,1/((Log[ID]=Items[[#This Row],[ID]])*(Log[Verb]="pass")),Log[Arg])&amp;"",Items[[#This Row],[Team]]&amp;""))</f>
      </c>
      <c r="L197" s="17">
        <f>IF(Items[[#This Row],[ID]]="","",IFERROR(LOOKUP(2,1/((Log[ID]=Items[[#This Row],[ID]])*(Log[Into]&lt;&gt;"")),Log[Into]),""))</f>
      </c>
      <c r="M197" s="17">
        <f>IF(Items[[#This Row],[ID]]="","",IF(IFERROR(LOOKUP(2,1/((Log[ID]=Items[[#This Row],[ID]])*(Log[Blk]&lt;&gt;"")),Log[Blk]),0)=1,"Y",""))</f>
      </c>
      <c r="N197" s="17">
        <f>IF(Items[[#This Row],[ID]]="","",SUBSTITUTE(IFERROR(LOOKUP(2,1/((Log[ID]=Items[[#This Row],[ID]])*(Log[State]&lt;&gt;"")),Log[State]),"TODO"),"OPEN",IF(Items[[#This Row],[Blocked]]="Y","WAIT","OPEN")))</f>
      </c>
      <c r="O19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97" s="17">
        <f>IF(Items[[#This Row],[State]]&lt;&gt;"WAIT","",AsOf-Items[[#This Row],[Blocked since]])</f>
      </c>
      <c r="Q197" s="17">
        <f>IF(Items[[#This Row],[State]]&lt;&gt;"WAIT","",IFERROR(LOOKUP(2,1/((Log[ID]=Items[[#This Row],[ID]])*(Log[Verb]="block")),Log[Note])&amp;"",""))</f>
      </c>
      <c r="R197" s="17">
        <f>IF(Items[[#This Row],[ID]]="","",COUNTIFS(Log[ID],Items[[#This Row],[ID]],Log[Verb],"carry"))</f>
      </c>
      <c r="S197" s="17">
        <f>IF(Items[[#This Row],[ID]]="","",COUNTIFS(Log[ID],Items[[#This Row],[ID]],Log[Verb],"punt"))</f>
      </c>
      <c r="T197" s="11">
        <f>IF(Items[[#This Row],[State]]&lt;&gt;"DONE","",IFERROR(LOOKUP(2,1/((Log[ID]=Items[[#This Row],[ID]])*(Log[Verb]="done")),Log[Date]),""))</f>
      </c>
      <c r="U197" s="17">
        <f>IF(Items[[#This Row],[ID]]="","",IF(AND(Items[[#This Row],[Sprint]]=CurSprint,OR(Items[[#This Row],[State]]="OPEN",Items[[#This Row],[State]]="WAIT",Items[[#This Row],[State]]="HOLD",Items[[#This Row],[State]]="DONE")),1,0))</f>
      </c>
      <c r="V197" s="17">
        <f>IF(OR(Items[[#This Row],[ID]]="",Items[[#This Row],[Added]]=""),"",AsOf-Items[[#This Row],[Added]])</f>
      </c>
      <c r="W197" s="17">
        <f>IF(Items[[#This Row],[In sprint]]=1,(IF(Items[[#This Row],[Prio]]="",9,N(Items[[#This Row],[Prio]]))*10+(IF(Items[[#This Row],[State]]="DONE",1,0)))*100000+ROW(),"")</f>
      </c>
      <c r="X19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97" s="17">
        <f>IF(AND(Items[[#This Row],[State]]="DONE",N(Items[[#This Row],[Done on]])&gt;AsOf-7),(200000-N(Items[[#This Row],[Done on]]))*100000+ROW(),"")</f>
      </c>
    </row>
    <row r="198">
      <c r="A198" t="s">
        <v>371</v>
      </c>
      <c r="B198" t="s">
        <v>1408</v>
      </c>
      <c r="C198" t="s">
        <v>1115</v>
      </c>
      <c r="D198" t="s">
        <v>1119</v>
      </c>
      <c r="E198" t="s">
        <v>1177</v>
      </c>
      <c r="F198" t="s">
        <v>1180</v>
      </c>
      <c r="G198">
        <v>8</v>
      </c>
      <c r="H198">
        <v>1</v>
      </c>
      <c r="I198" s="11">
        <v>46091</v>
      </c>
      <c r="J198" s="17">
        <f>IF(Items[[#This Row],[ID]]="","",IFERROR(VALUE(LOOKUP(2,1/((Log[ID]=Items[[#This Row],[ID]])*(Log[Verb]="est")),Log[Arg])),N(Items[[#This Row],[Points]])))</f>
      </c>
      <c r="K198" s="17">
        <f>IF(Items[[#This Row],[ID]]="","",IFERROR(LOOKUP(2,1/((Log[ID]=Items[[#This Row],[ID]])*(Log[Verb]="pass")),Log[Arg])&amp;"",Items[[#This Row],[Team]]&amp;""))</f>
      </c>
      <c r="L198" s="17">
        <f>IF(Items[[#This Row],[ID]]="","",IFERROR(LOOKUP(2,1/((Log[ID]=Items[[#This Row],[ID]])*(Log[Into]&lt;&gt;"")),Log[Into]),""))</f>
      </c>
      <c r="M198" s="17">
        <f>IF(Items[[#This Row],[ID]]="","",IF(IFERROR(LOOKUP(2,1/((Log[ID]=Items[[#This Row],[ID]])*(Log[Blk]&lt;&gt;"")),Log[Blk]),0)=1,"Y",""))</f>
      </c>
      <c r="N198" s="17">
        <f>IF(Items[[#This Row],[ID]]="","",SUBSTITUTE(IFERROR(LOOKUP(2,1/((Log[ID]=Items[[#This Row],[ID]])*(Log[State]&lt;&gt;"")),Log[State]),"TODO"),"OPEN",IF(Items[[#This Row],[Blocked]]="Y","WAIT","OPEN")))</f>
      </c>
      <c r="O19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98" s="17">
        <f>IF(Items[[#This Row],[State]]&lt;&gt;"WAIT","",AsOf-Items[[#This Row],[Blocked since]])</f>
      </c>
      <c r="Q198" s="17">
        <f>IF(Items[[#This Row],[State]]&lt;&gt;"WAIT","",IFERROR(LOOKUP(2,1/((Log[ID]=Items[[#This Row],[ID]])*(Log[Verb]="block")),Log[Note])&amp;"",""))</f>
      </c>
      <c r="R198" s="17">
        <f>IF(Items[[#This Row],[ID]]="","",COUNTIFS(Log[ID],Items[[#This Row],[ID]],Log[Verb],"carry"))</f>
      </c>
      <c r="S198" s="17">
        <f>IF(Items[[#This Row],[ID]]="","",COUNTIFS(Log[ID],Items[[#This Row],[ID]],Log[Verb],"punt"))</f>
      </c>
      <c r="T198" s="11">
        <f>IF(Items[[#This Row],[State]]&lt;&gt;"DONE","",IFERROR(LOOKUP(2,1/((Log[ID]=Items[[#This Row],[ID]])*(Log[Verb]="done")),Log[Date]),""))</f>
      </c>
      <c r="U198" s="17">
        <f>IF(Items[[#This Row],[ID]]="","",IF(AND(Items[[#This Row],[Sprint]]=CurSprint,OR(Items[[#This Row],[State]]="OPEN",Items[[#This Row],[State]]="WAIT",Items[[#This Row],[State]]="HOLD",Items[[#This Row],[State]]="DONE")),1,0))</f>
      </c>
      <c r="V198" s="17">
        <f>IF(OR(Items[[#This Row],[ID]]="",Items[[#This Row],[Added]]=""),"",AsOf-Items[[#This Row],[Added]])</f>
      </c>
      <c r="W198" s="17">
        <f>IF(Items[[#This Row],[In sprint]]=1,(IF(Items[[#This Row],[Prio]]="",9,N(Items[[#This Row],[Prio]]))*10+(IF(Items[[#This Row],[State]]="DONE",1,0)))*100000+ROW(),"")</f>
      </c>
      <c r="X19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98" s="17">
        <f>IF(AND(Items[[#This Row],[State]]="DONE",N(Items[[#This Row],[Done on]])&gt;AsOf-7),(200000-N(Items[[#This Row],[Done on]]))*100000+ROW(),"")</f>
      </c>
    </row>
    <row r="199">
      <c r="A199" t="s">
        <v>303</v>
      </c>
      <c r="B199" t="s">
        <v>1409</v>
      </c>
      <c r="C199" t="s">
        <v>1115</v>
      </c>
      <c r="D199" t="s">
        <v>1116</v>
      </c>
      <c r="E199" t="s">
        <v>1112</v>
      </c>
      <c r="F199" t="s">
        <v>1186</v>
      </c>
      <c r="G199">
        <v>3</v>
      </c>
      <c r="H199">
        <v>2</v>
      </c>
      <c r="I199" s="11">
        <v>46105</v>
      </c>
      <c r="J199" s="17">
        <f>IF(Items[[#This Row],[ID]]="","",IFERROR(VALUE(LOOKUP(2,1/((Log[ID]=Items[[#This Row],[ID]])*(Log[Verb]="est")),Log[Arg])),N(Items[[#This Row],[Points]])))</f>
      </c>
      <c r="K199" s="17">
        <f>IF(Items[[#This Row],[ID]]="","",IFERROR(LOOKUP(2,1/((Log[ID]=Items[[#This Row],[ID]])*(Log[Verb]="pass")),Log[Arg])&amp;"",Items[[#This Row],[Team]]&amp;""))</f>
      </c>
      <c r="L199" s="17">
        <f>IF(Items[[#This Row],[ID]]="","",IFERROR(LOOKUP(2,1/((Log[ID]=Items[[#This Row],[ID]])*(Log[Into]&lt;&gt;"")),Log[Into]),""))</f>
      </c>
      <c r="M199" s="17">
        <f>IF(Items[[#This Row],[ID]]="","",IF(IFERROR(LOOKUP(2,1/((Log[ID]=Items[[#This Row],[ID]])*(Log[Blk]&lt;&gt;"")),Log[Blk]),0)=1,"Y",""))</f>
      </c>
      <c r="N199" s="17">
        <f>IF(Items[[#This Row],[ID]]="","",SUBSTITUTE(IFERROR(LOOKUP(2,1/((Log[ID]=Items[[#This Row],[ID]])*(Log[State]&lt;&gt;"")),Log[State]),"TODO"),"OPEN",IF(Items[[#This Row],[Blocked]]="Y","WAIT","OPEN")))</f>
      </c>
      <c r="O19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99" s="17">
        <f>IF(Items[[#This Row],[State]]&lt;&gt;"WAIT","",AsOf-Items[[#This Row],[Blocked since]])</f>
      </c>
      <c r="Q199" s="17">
        <f>IF(Items[[#This Row],[State]]&lt;&gt;"WAIT","",IFERROR(LOOKUP(2,1/((Log[ID]=Items[[#This Row],[ID]])*(Log[Verb]="block")),Log[Note])&amp;"",""))</f>
      </c>
      <c r="R199" s="17">
        <f>IF(Items[[#This Row],[ID]]="","",COUNTIFS(Log[ID],Items[[#This Row],[ID]],Log[Verb],"carry"))</f>
      </c>
      <c r="S199" s="17">
        <f>IF(Items[[#This Row],[ID]]="","",COUNTIFS(Log[ID],Items[[#This Row],[ID]],Log[Verb],"punt"))</f>
      </c>
      <c r="T199" s="11">
        <f>IF(Items[[#This Row],[State]]&lt;&gt;"DONE","",IFERROR(LOOKUP(2,1/((Log[ID]=Items[[#This Row],[ID]])*(Log[Verb]="done")),Log[Date]),""))</f>
      </c>
      <c r="U199" s="17">
        <f>IF(Items[[#This Row],[ID]]="","",IF(AND(Items[[#This Row],[Sprint]]=CurSprint,OR(Items[[#This Row],[State]]="OPEN",Items[[#This Row],[State]]="WAIT",Items[[#This Row],[State]]="HOLD",Items[[#This Row],[State]]="DONE")),1,0))</f>
      </c>
      <c r="V199" s="17">
        <f>IF(OR(Items[[#This Row],[ID]]="",Items[[#This Row],[Added]]=""),"",AsOf-Items[[#This Row],[Added]])</f>
      </c>
      <c r="W199" s="17">
        <f>IF(Items[[#This Row],[In sprint]]=1,(IF(Items[[#This Row],[Prio]]="",9,N(Items[[#This Row],[Prio]]))*10+(IF(Items[[#This Row],[State]]="DONE",1,0)))*100000+ROW(),"")</f>
      </c>
      <c r="X19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99" s="17">
        <f>IF(AND(Items[[#This Row],[State]]="DONE",N(Items[[#This Row],[Done on]])&gt;AsOf-7),(200000-N(Items[[#This Row],[Done on]]))*100000+ROW(),"")</f>
      </c>
    </row>
    <row r="200">
      <c r="A200" t="s">
        <v>374</v>
      </c>
      <c r="B200" t="s">
        <v>1410</v>
      </c>
      <c r="C200" t="s">
        <v>1107</v>
      </c>
      <c r="D200" t="s">
        <v>1123</v>
      </c>
      <c r="E200" t="s">
        <v>1112</v>
      </c>
      <c r="F200" t="s">
        <v>1117</v>
      </c>
      <c r="G200">
        <v>8</v>
      </c>
      <c r="H200">
        <v>3</v>
      </c>
      <c r="I200" s="11">
        <v>46105</v>
      </c>
      <c r="J200" s="17">
        <f>IF(Items[[#This Row],[ID]]="","",IFERROR(VALUE(LOOKUP(2,1/((Log[ID]=Items[[#This Row],[ID]])*(Log[Verb]="est")),Log[Arg])),N(Items[[#This Row],[Points]])))</f>
      </c>
      <c r="K200" s="17">
        <f>IF(Items[[#This Row],[ID]]="","",IFERROR(LOOKUP(2,1/((Log[ID]=Items[[#This Row],[ID]])*(Log[Verb]="pass")),Log[Arg])&amp;"",Items[[#This Row],[Team]]&amp;""))</f>
      </c>
      <c r="L200" s="17">
        <f>IF(Items[[#This Row],[ID]]="","",IFERROR(LOOKUP(2,1/((Log[ID]=Items[[#This Row],[ID]])*(Log[Into]&lt;&gt;"")),Log[Into]),""))</f>
      </c>
      <c r="M200" s="17">
        <f>IF(Items[[#This Row],[ID]]="","",IF(IFERROR(LOOKUP(2,1/((Log[ID]=Items[[#This Row],[ID]])*(Log[Blk]&lt;&gt;"")),Log[Blk]),0)=1,"Y",""))</f>
      </c>
      <c r="N200" s="17">
        <f>IF(Items[[#This Row],[ID]]="","",SUBSTITUTE(IFERROR(LOOKUP(2,1/((Log[ID]=Items[[#This Row],[ID]])*(Log[State]&lt;&gt;"")),Log[State]),"TODO"),"OPEN",IF(Items[[#This Row],[Blocked]]="Y","WAIT","OPEN")))</f>
      </c>
      <c r="O20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00" s="17">
        <f>IF(Items[[#This Row],[State]]&lt;&gt;"WAIT","",AsOf-Items[[#This Row],[Blocked since]])</f>
      </c>
      <c r="Q200" s="17">
        <f>IF(Items[[#This Row],[State]]&lt;&gt;"WAIT","",IFERROR(LOOKUP(2,1/((Log[ID]=Items[[#This Row],[ID]])*(Log[Verb]="block")),Log[Note])&amp;"",""))</f>
      </c>
      <c r="R200" s="17">
        <f>IF(Items[[#This Row],[ID]]="","",COUNTIFS(Log[ID],Items[[#This Row],[ID]],Log[Verb],"carry"))</f>
      </c>
      <c r="S200" s="17">
        <f>IF(Items[[#This Row],[ID]]="","",COUNTIFS(Log[ID],Items[[#This Row],[ID]],Log[Verb],"punt"))</f>
      </c>
      <c r="T200" s="11">
        <f>IF(Items[[#This Row],[State]]&lt;&gt;"DONE","",IFERROR(LOOKUP(2,1/((Log[ID]=Items[[#This Row],[ID]])*(Log[Verb]="done")),Log[Date]),""))</f>
      </c>
      <c r="U200" s="17">
        <f>IF(Items[[#This Row],[ID]]="","",IF(AND(Items[[#This Row],[Sprint]]=CurSprint,OR(Items[[#This Row],[State]]="OPEN",Items[[#This Row],[State]]="WAIT",Items[[#This Row],[State]]="HOLD",Items[[#This Row],[State]]="DONE")),1,0))</f>
      </c>
      <c r="V200" s="17">
        <f>IF(OR(Items[[#This Row],[ID]]="",Items[[#This Row],[Added]]=""),"",AsOf-Items[[#This Row],[Added]])</f>
      </c>
      <c r="W200" s="17">
        <f>IF(Items[[#This Row],[In sprint]]=1,(IF(Items[[#This Row],[Prio]]="",9,N(Items[[#This Row],[Prio]]))*10+(IF(Items[[#This Row],[State]]="DONE",1,0)))*100000+ROW(),"")</f>
      </c>
      <c r="X20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00" s="17">
        <f>IF(AND(Items[[#This Row],[State]]="DONE",N(Items[[#This Row],[Done on]])&gt;AsOf-7),(200000-N(Items[[#This Row],[Done on]]))*100000+ROW(),"")</f>
      </c>
    </row>
    <row r="201">
      <c r="A201" t="s">
        <v>375</v>
      </c>
      <c r="B201" t="s">
        <v>1411</v>
      </c>
      <c r="C201" t="s">
        <v>1115</v>
      </c>
      <c r="D201" t="s">
        <v>1119</v>
      </c>
      <c r="E201" t="s">
        <v>1112</v>
      </c>
      <c r="F201" t="s">
        <v>1412</v>
      </c>
      <c r="G201">
        <v>5</v>
      </c>
      <c r="H201">
        <v>1</v>
      </c>
      <c r="I201" s="11">
        <v>46105</v>
      </c>
      <c r="J201" s="17">
        <f>IF(Items[[#This Row],[ID]]="","",IFERROR(VALUE(LOOKUP(2,1/((Log[ID]=Items[[#This Row],[ID]])*(Log[Verb]="est")),Log[Arg])),N(Items[[#This Row],[Points]])))</f>
      </c>
      <c r="K201" s="17">
        <f>IF(Items[[#This Row],[ID]]="","",IFERROR(LOOKUP(2,1/((Log[ID]=Items[[#This Row],[ID]])*(Log[Verb]="pass")),Log[Arg])&amp;"",Items[[#This Row],[Team]]&amp;""))</f>
      </c>
      <c r="L201" s="17">
        <f>IF(Items[[#This Row],[ID]]="","",IFERROR(LOOKUP(2,1/((Log[ID]=Items[[#This Row],[ID]])*(Log[Into]&lt;&gt;"")),Log[Into]),""))</f>
      </c>
      <c r="M201" s="17">
        <f>IF(Items[[#This Row],[ID]]="","",IF(IFERROR(LOOKUP(2,1/((Log[ID]=Items[[#This Row],[ID]])*(Log[Blk]&lt;&gt;"")),Log[Blk]),0)=1,"Y",""))</f>
      </c>
      <c r="N201" s="17">
        <f>IF(Items[[#This Row],[ID]]="","",SUBSTITUTE(IFERROR(LOOKUP(2,1/((Log[ID]=Items[[#This Row],[ID]])*(Log[State]&lt;&gt;"")),Log[State]),"TODO"),"OPEN",IF(Items[[#This Row],[Blocked]]="Y","WAIT","OPEN")))</f>
      </c>
      <c r="O20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01" s="17">
        <f>IF(Items[[#This Row],[State]]&lt;&gt;"WAIT","",AsOf-Items[[#This Row],[Blocked since]])</f>
      </c>
      <c r="Q201" s="17">
        <f>IF(Items[[#This Row],[State]]&lt;&gt;"WAIT","",IFERROR(LOOKUP(2,1/((Log[ID]=Items[[#This Row],[ID]])*(Log[Verb]="block")),Log[Note])&amp;"",""))</f>
      </c>
      <c r="R201" s="17">
        <f>IF(Items[[#This Row],[ID]]="","",COUNTIFS(Log[ID],Items[[#This Row],[ID]],Log[Verb],"carry"))</f>
      </c>
      <c r="S201" s="17">
        <f>IF(Items[[#This Row],[ID]]="","",COUNTIFS(Log[ID],Items[[#This Row],[ID]],Log[Verb],"punt"))</f>
      </c>
      <c r="T201" s="11">
        <f>IF(Items[[#This Row],[State]]&lt;&gt;"DONE","",IFERROR(LOOKUP(2,1/((Log[ID]=Items[[#This Row],[ID]])*(Log[Verb]="done")),Log[Date]),""))</f>
      </c>
      <c r="U201" s="17">
        <f>IF(Items[[#This Row],[ID]]="","",IF(AND(Items[[#This Row],[Sprint]]=CurSprint,OR(Items[[#This Row],[State]]="OPEN",Items[[#This Row],[State]]="WAIT",Items[[#This Row],[State]]="HOLD",Items[[#This Row],[State]]="DONE")),1,0))</f>
      </c>
      <c r="V201" s="17">
        <f>IF(OR(Items[[#This Row],[ID]]="",Items[[#This Row],[Added]]=""),"",AsOf-Items[[#This Row],[Added]])</f>
      </c>
      <c r="W201" s="17">
        <f>IF(Items[[#This Row],[In sprint]]=1,(IF(Items[[#This Row],[Prio]]="",9,N(Items[[#This Row],[Prio]]))*10+(IF(Items[[#This Row],[State]]="DONE",1,0)))*100000+ROW(),"")</f>
      </c>
      <c r="X20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01" s="17">
        <f>IF(AND(Items[[#This Row],[State]]="DONE",N(Items[[#This Row],[Done on]])&gt;AsOf-7),(200000-N(Items[[#This Row],[Done on]]))*100000+ROW(),"")</f>
      </c>
    </row>
    <row r="202">
      <c r="A202" t="s">
        <v>376</v>
      </c>
      <c r="B202" t="s">
        <v>1413</v>
      </c>
      <c r="C202" t="s">
        <v>1107</v>
      </c>
      <c r="D202" t="s">
        <v>1123</v>
      </c>
      <c r="E202" t="s">
        <v>1112</v>
      </c>
      <c r="F202" t="s">
        <v>1142</v>
      </c>
      <c r="G202">
        <v>8</v>
      </c>
      <c r="H202">
        <v>1</v>
      </c>
      <c r="I202" s="11">
        <v>46105</v>
      </c>
      <c r="J202" s="17">
        <f>IF(Items[[#This Row],[ID]]="","",IFERROR(VALUE(LOOKUP(2,1/((Log[ID]=Items[[#This Row],[ID]])*(Log[Verb]="est")),Log[Arg])),N(Items[[#This Row],[Points]])))</f>
      </c>
      <c r="K202" s="17">
        <f>IF(Items[[#This Row],[ID]]="","",IFERROR(LOOKUP(2,1/((Log[ID]=Items[[#This Row],[ID]])*(Log[Verb]="pass")),Log[Arg])&amp;"",Items[[#This Row],[Team]]&amp;""))</f>
      </c>
      <c r="L202" s="17">
        <f>IF(Items[[#This Row],[ID]]="","",IFERROR(LOOKUP(2,1/((Log[ID]=Items[[#This Row],[ID]])*(Log[Into]&lt;&gt;"")),Log[Into]),""))</f>
      </c>
      <c r="M202" s="17">
        <f>IF(Items[[#This Row],[ID]]="","",IF(IFERROR(LOOKUP(2,1/((Log[ID]=Items[[#This Row],[ID]])*(Log[Blk]&lt;&gt;"")),Log[Blk]),0)=1,"Y",""))</f>
      </c>
      <c r="N202" s="17">
        <f>IF(Items[[#This Row],[ID]]="","",SUBSTITUTE(IFERROR(LOOKUP(2,1/((Log[ID]=Items[[#This Row],[ID]])*(Log[State]&lt;&gt;"")),Log[State]),"TODO"),"OPEN",IF(Items[[#This Row],[Blocked]]="Y","WAIT","OPEN")))</f>
      </c>
      <c r="O20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02" s="17">
        <f>IF(Items[[#This Row],[State]]&lt;&gt;"WAIT","",AsOf-Items[[#This Row],[Blocked since]])</f>
      </c>
      <c r="Q202" s="17">
        <f>IF(Items[[#This Row],[State]]&lt;&gt;"WAIT","",IFERROR(LOOKUP(2,1/((Log[ID]=Items[[#This Row],[ID]])*(Log[Verb]="block")),Log[Note])&amp;"",""))</f>
      </c>
      <c r="R202" s="17">
        <f>IF(Items[[#This Row],[ID]]="","",COUNTIFS(Log[ID],Items[[#This Row],[ID]],Log[Verb],"carry"))</f>
      </c>
      <c r="S202" s="17">
        <f>IF(Items[[#This Row],[ID]]="","",COUNTIFS(Log[ID],Items[[#This Row],[ID]],Log[Verb],"punt"))</f>
      </c>
      <c r="T202" s="11">
        <f>IF(Items[[#This Row],[State]]&lt;&gt;"DONE","",IFERROR(LOOKUP(2,1/((Log[ID]=Items[[#This Row],[ID]])*(Log[Verb]="done")),Log[Date]),""))</f>
      </c>
      <c r="U202" s="17">
        <f>IF(Items[[#This Row],[ID]]="","",IF(AND(Items[[#This Row],[Sprint]]=CurSprint,OR(Items[[#This Row],[State]]="OPEN",Items[[#This Row],[State]]="WAIT",Items[[#This Row],[State]]="HOLD",Items[[#This Row],[State]]="DONE")),1,0))</f>
      </c>
      <c r="V202" s="17">
        <f>IF(OR(Items[[#This Row],[ID]]="",Items[[#This Row],[Added]]=""),"",AsOf-Items[[#This Row],[Added]])</f>
      </c>
      <c r="W202" s="17">
        <f>IF(Items[[#This Row],[In sprint]]=1,(IF(Items[[#This Row],[Prio]]="",9,N(Items[[#This Row],[Prio]]))*10+(IF(Items[[#This Row],[State]]="DONE",1,0)))*100000+ROW(),"")</f>
      </c>
      <c r="X20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02" s="17">
        <f>IF(AND(Items[[#This Row],[State]]="DONE",N(Items[[#This Row],[Done on]])&gt;AsOf-7),(200000-N(Items[[#This Row],[Done on]]))*100000+ROW(),"")</f>
      </c>
    </row>
    <row r="203">
      <c r="A203" t="s">
        <v>304</v>
      </c>
      <c r="B203" t="s">
        <v>1414</v>
      </c>
      <c r="C203" t="s">
        <v>1107</v>
      </c>
      <c r="D203" t="s">
        <v>1127</v>
      </c>
      <c r="E203" t="s">
        <v>1112</v>
      </c>
      <c r="F203" t="s">
        <v>1147</v>
      </c>
      <c r="G203">
        <v>3</v>
      </c>
      <c r="H203">
        <v>1</v>
      </c>
      <c r="I203" s="11">
        <v>46105</v>
      </c>
      <c r="J203" s="17">
        <f>IF(Items[[#This Row],[ID]]="","",IFERROR(VALUE(LOOKUP(2,1/((Log[ID]=Items[[#This Row],[ID]])*(Log[Verb]="est")),Log[Arg])),N(Items[[#This Row],[Points]])))</f>
      </c>
      <c r="K203" s="17">
        <f>IF(Items[[#This Row],[ID]]="","",IFERROR(LOOKUP(2,1/((Log[ID]=Items[[#This Row],[ID]])*(Log[Verb]="pass")),Log[Arg])&amp;"",Items[[#This Row],[Team]]&amp;""))</f>
      </c>
      <c r="L203" s="17">
        <f>IF(Items[[#This Row],[ID]]="","",IFERROR(LOOKUP(2,1/((Log[ID]=Items[[#This Row],[ID]])*(Log[Into]&lt;&gt;"")),Log[Into]),""))</f>
      </c>
      <c r="M203" s="17">
        <f>IF(Items[[#This Row],[ID]]="","",IF(IFERROR(LOOKUP(2,1/((Log[ID]=Items[[#This Row],[ID]])*(Log[Blk]&lt;&gt;"")),Log[Blk]),0)=1,"Y",""))</f>
      </c>
      <c r="N203" s="17">
        <f>IF(Items[[#This Row],[ID]]="","",SUBSTITUTE(IFERROR(LOOKUP(2,1/((Log[ID]=Items[[#This Row],[ID]])*(Log[State]&lt;&gt;"")),Log[State]),"TODO"),"OPEN",IF(Items[[#This Row],[Blocked]]="Y","WAIT","OPEN")))</f>
      </c>
      <c r="O20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03" s="17">
        <f>IF(Items[[#This Row],[State]]&lt;&gt;"WAIT","",AsOf-Items[[#This Row],[Blocked since]])</f>
      </c>
      <c r="Q203" s="17">
        <f>IF(Items[[#This Row],[State]]&lt;&gt;"WAIT","",IFERROR(LOOKUP(2,1/((Log[ID]=Items[[#This Row],[ID]])*(Log[Verb]="block")),Log[Note])&amp;"",""))</f>
      </c>
      <c r="R203" s="17">
        <f>IF(Items[[#This Row],[ID]]="","",COUNTIFS(Log[ID],Items[[#This Row],[ID]],Log[Verb],"carry"))</f>
      </c>
      <c r="S203" s="17">
        <f>IF(Items[[#This Row],[ID]]="","",COUNTIFS(Log[ID],Items[[#This Row],[ID]],Log[Verb],"punt"))</f>
      </c>
      <c r="T203" s="11">
        <f>IF(Items[[#This Row],[State]]&lt;&gt;"DONE","",IFERROR(LOOKUP(2,1/((Log[ID]=Items[[#This Row],[ID]])*(Log[Verb]="done")),Log[Date]),""))</f>
      </c>
      <c r="U203" s="17">
        <f>IF(Items[[#This Row],[ID]]="","",IF(AND(Items[[#This Row],[Sprint]]=CurSprint,OR(Items[[#This Row],[State]]="OPEN",Items[[#This Row],[State]]="WAIT",Items[[#This Row],[State]]="HOLD",Items[[#This Row],[State]]="DONE")),1,0))</f>
      </c>
      <c r="V203" s="17">
        <f>IF(OR(Items[[#This Row],[ID]]="",Items[[#This Row],[Added]]=""),"",AsOf-Items[[#This Row],[Added]])</f>
      </c>
      <c r="W203" s="17">
        <f>IF(Items[[#This Row],[In sprint]]=1,(IF(Items[[#This Row],[Prio]]="",9,N(Items[[#This Row],[Prio]]))*10+(IF(Items[[#This Row],[State]]="DONE",1,0)))*100000+ROW(),"")</f>
      </c>
      <c r="X20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03" s="17">
        <f>IF(AND(Items[[#This Row],[State]]="DONE",N(Items[[#This Row],[Done on]])&gt;AsOf-7),(200000-N(Items[[#This Row],[Done on]]))*100000+ROW(),"")</f>
      </c>
    </row>
    <row r="204">
      <c r="A204" t="s">
        <v>310</v>
      </c>
      <c r="B204" t="s">
        <v>1415</v>
      </c>
      <c r="C204" t="s">
        <v>1115</v>
      </c>
      <c r="D204" t="s">
        <v>1119</v>
      </c>
      <c r="E204" t="s">
        <v>1120</v>
      </c>
      <c r="F204" t="s">
        <v>1269</v>
      </c>
      <c r="G204">
        <v>3</v>
      </c>
      <c r="H204">
        <v>2</v>
      </c>
      <c r="I204" s="11">
        <v>46105</v>
      </c>
      <c r="J204" s="17">
        <f>IF(Items[[#This Row],[ID]]="","",IFERROR(VALUE(LOOKUP(2,1/((Log[ID]=Items[[#This Row],[ID]])*(Log[Verb]="est")),Log[Arg])),N(Items[[#This Row],[Points]])))</f>
      </c>
      <c r="K204" s="17">
        <f>IF(Items[[#This Row],[ID]]="","",IFERROR(LOOKUP(2,1/((Log[ID]=Items[[#This Row],[ID]])*(Log[Verb]="pass")),Log[Arg])&amp;"",Items[[#This Row],[Team]]&amp;""))</f>
      </c>
      <c r="L204" s="17">
        <f>IF(Items[[#This Row],[ID]]="","",IFERROR(LOOKUP(2,1/((Log[ID]=Items[[#This Row],[ID]])*(Log[Into]&lt;&gt;"")),Log[Into]),""))</f>
      </c>
      <c r="M204" s="17">
        <f>IF(Items[[#This Row],[ID]]="","",IF(IFERROR(LOOKUP(2,1/((Log[ID]=Items[[#This Row],[ID]])*(Log[Blk]&lt;&gt;"")),Log[Blk]),0)=1,"Y",""))</f>
      </c>
      <c r="N204" s="17">
        <f>IF(Items[[#This Row],[ID]]="","",SUBSTITUTE(IFERROR(LOOKUP(2,1/((Log[ID]=Items[[#This Row],[ID]])*(Log[State]&lt;&gt;"")),Log[State]),"TODO"),"OPEN",IF(Items[[#This Row],[Blocked]]="Y","WAIT","OPEN")))</f>
      </c>
      <c r="O20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04" s="17">
        <f>IF(Items[[#This Row],[State]]&lt;&gt;"WAIT","",AsOf-Items[[#This Row],[Blocked since]])</f>
      </c>
      <c r="Q204" s="17">
        <f>IF(Items[[#This Row],[State]]&lt;&gt;"WAIT","",IFERROR(LOOKUP(2,1/((Log[ID]=Items[[#This Row],[ID]])*(Log[Verb]="block")),Log[Note])&amp;"",""))</f>
      </c>
      <c r="R204" s="17">
        <f>IF(Items[[#This Row],[ID]]="","",COUNTIFS(Log[ID],Items[[#This Row],[ID]],Log[Verb],"carry"))</f>
      </c>
      <c r="S204" s="17">
        <f>IF(Items[[#This Row],[ID]]="","",COUNTIFS(Log[ID],Items[[#This Row],[ID]],Log[Verb],"punt"))</f>
      </c>
      <c r="T204" s="11">
        <f>IF(Items[[#This Row],[State]]&lt;&gt;"DONE","",IFERROR(LOOKUP(2,1/((Log[ID]=Items[[#This Row],[ID]])*(Log[Verb]="done")),Log[Date]),""))</f>
      </c>
      <c r="U204" s="17">
        <f>IF(Items[[#This Row],[ID]]="","",IF(AND(Items[[#This Row],[Sprint]]=CurSprint,OR(Items[[#This Row],[State]]="OPEN",Items[[#This Row],[State]]="WAIT",Items[[#This Row],[State]]="HOLD",Items[[#This Row],[State]]="DONE")),1,0))</f>
      </c>
      <c r="V204" s="17">
        <f>IF(OR(Items[[#This Row],[ID]]="",Items[[#This Row],[Added]]=""),"",AsOf-Items[[#This Row],[Added]])</f>
      </c>
      <c r="W204" s="17">
        <f>IF(Items[[#This Row],[In sprint]]=1,(IF(Items[[#This Row],[Prio]]="",9,N(Items[[#This Row],[Prio]]))*10+(IF(Items[[#This Row],[State]]="DONE",1,0)))*100000+ROW(),"")</f>
      </c>
      <c r="X20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04" s="17">
        <f>IF(AND(Items[[#This Row],[State]]="DONE",N(Items[[#This Row],[Done on]])&gt;AsOf-7),(200000-N(Items[[#This Row],[Done on]]))*100000+ROW(),"")</f>
      </c>
    </row>
    <row r="205">
      <c r="A205" t="s">
        <v>379</v>
      </c>
      <c r="B205" t="s">
        <v>1416</v>
      </c>
      <c r="C205" t="s">
        <v>1107</v>
      </c>
      <c r="D205" t="s">
        <v>1108</v>
      </c>
      <c r="E205" t="s">
        <v>1120</v>
      </c>
      <c r="F205" t="s">
        <v>1151</v>
      </c>
      <c r="G205">
        <v>5</v>
      </c>
      <c r="H205">
        <v>1</v>
      </c>
      <c r="I205" s="11">
        <v>46105</v>
      </c>
      <c r="J205" s="17">
        <f>IF(Items[[#This Row],[ID]]="","",IFERROR(VALUE(LOOKUP(2,1/((Log[ID]=Items[[#This Row],[ID]])*(Log[Verb]="est")),Log[Arg])),N(Items[[#This Row],[Points]])))</f>
      </c>
      <c r="K205" s="17">
        <f>IF(Items[[#This Row],[ID]]="","",IFERROR(LOOKUP(2,1/((Log[ID]=Items[[#This Row],[ID]])*(Log[Verb]="pass")),Log[Arg])&amp;"",Items[[#This Row],[Team]]&amp;""))</f>
      </c>
      <c r="L205" s="17">
        <f>IF(Items[[#This Row],[ID]]="","",IFERROR(LOOKUP(2,1/((Log[ID]=Items[[#This Row],[ID]])*(Log[Into]&lt;&gt;"")),Log[Into]),""))</f>
      </c>
      <c r="M205" s="17">
        <f>IF(Items[[#This Row],[ID]]="","",IF(IFERROR(LOOKUP(2,1/((Log[ID]=Items[[#This Row],[ID]])*(Log[Blk]&lt;&gt;"")),Log[Blk]),0)=1,"Y",""))</f>
      </c>
      <c r="N205" s="17">
        <f>IF(Items[[#This Row],[ID]]="","",SUBSTITUTE(IFERROR(LOOKUP(2,1/((Log[ID]=Items[[#This Row],[ID]])*(Log[State]&lt;&gt;"")),Log[State]),"TODO"),"OPEN",IF(Items[[#This Row],[Blocked]]="Y","WAIT","OPEN")))</f>
      </c>
      <c r="O20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05" s="17">
        <f>IF(Items[[#This Row],[State]]&lt;&gt;"WAIT","",AsOf-Items[[#This Row],[Blocked since]])</f>
      </c>
      <c r="Q205" s="17">
        <f>IF(Items[[#This Row],[State]]&lt;&gt;"WAIT","",IFERROR(LOOKUP(2,1/((Log[ID]=Items[[#This Row],[ID]])*(Log[Verb]="block")),Log[Note])&amp;"",""))</f>
      </c>
      <c r="R205" s="17">
        <f>IF(Items[[#This Row],[ID]]="","",COUNTIFS(Log[ID],Items[[#This Row],[ID]],Log[Verb],"carry"))</f>
      </c>
      <c r="S205" s="17">
        <f>IF(Items[[#This Row],[ID]]="","",COUNTIFS(Log[ID],Items[[#This Row],[ID]],Log[Verb],"punt"))</f>
      </c>
      <c r="T205" s="11">
        <f>IF(Items[[#This Row],[State]]&lt;&gt;"DONE","",IFERROR(LOOKUP(2,1/((Log[ID]=Items[[#This Row],[ID]])*(Log[Verb]="done")),Log[Date]),""))</f>
      </c>
      <c r="U205" s="17">
        <f>IF(Items[[#This Row],[ID]]="","",IF(AND(Items[[#This Row],[Sprint]]=CurSprint,OR(Items[[#This Row],[State]]="OPEN",Items[[#This Row],[State]]="WAIT",Items[[#This Row],[State]]="HOLD",Items[[#This Row],[State]]="DONE")),1,0))</f>
      </c>
      <c r="V205" s="17">
        <f>IF(OR(Items[[#This Row],[ID]]="",Items[[#This Row],[Added]]=""),"",AsOf-Items[[#This Row],[Added]])</f>
      </c>
      <c r="W205" s="17">
        <f>IF(Items[[#This Row],[In sprint]]=1,(IF(Items[[#This Row],[Prio]]="",9,N(Items[[#This Row],[Prio]]))*10+(IF(Items[[#This Row],[State]]="DONE",1,0)))*100000+ROW(),"")</f>
      </c>
      <c r="X20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05" s="17">
        <f>IF(AND(Items[[#This Row],[State]]="DONE",N(Items[[#This Row],[Done on]])&gt;AsOf-7),(200000-N(Items[[#This Row],[Done on]]))*100000+ROW(),"")</f>
      </c>
    </row>
    <row r="206">
      <c r="A206" t="s">
        <v>380</v>
      </c>
      <c r="B206" t="s">
        <v>1417</v>
      </c>
      <c r="C206" t="s">
        <v>1115</v>
      </c>
      <c r="D206" t="s">
        <v>1116</v>
      </c>
      <c r="E206" t="s">
        <v>1120</v>
      </c>
      <c r="F206" t="s">
        <v>1269</v>
      </c>
      <c r="G206">
        <v>8</v>
      </c>
      <c r="H206">
        <v>2</v>
      </c>
      <c r="I206" s="11">
        <v>46105</v>
      </c>
      <c r="J206" s="17">
        <f>IF(Items[[#This Row],[ID]]="","",IFERROR(VALUE(LOOKUP(2,1/((Log[ID]=Items[[#This Row],[ID]])*(Log[Verb]="est")),Log[Arg])),N(Items[[#This Row],[Points]])))</f>
      </c>
      <c r="K206" s="17">
        <f>IF(Items[[#This Row],[ID]]="","",IFERROR(LOOKUP(2,1/((Log[ID]=Items[[#This Row],[ID]])*(Log[Verb]="pass")),Log[Arg])&amp;"",Items[[#This Row],[Team]]&amp;""))</f>
      </c>
      <c r="L206" s="17">
        <f>IF(Items[[#This Row],[ID]]="","",IFERROR(LOOKUP(2,1/((Log[ID]=Items[[#This Row],[ID]])*(Log[Into]&lt;&gt;"")),Log[Into]),""))</f>
      </c>
      <c r="M206" s="17">
        <f>IF(Items[[#This Row],[ID]]="","",IF(IFERROR(LOOKUP(2,1/((Log[ID]=Items[[#This Row],[ID]])*(Log[Blk]&lt;&gt;"")),Log[Blk]),0)=1,"Y",""))</f>
      </c>
      <c r="N206" s="17">
        <f>IF(Items[[#This Row],[ID]]="","",SUBSTITUTE(IFERROR(LOOKUP(2,1/((Log[ID]=Items[[#This Row],[ID]])*(Log[State]&lt;&gt;"")),Log[State]),"TODO"),"OPEN",IF(Items[[#This Row],[Blocked]]="Y","WAIT","OPEN")))</f>
      </c>
      <c r="O20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06" s="17">
        <f>IF(Items[[#This Row],[State]]&lt;&gt;"WAIT","",AsOf-Items[[#This Row],[Blocked since]])</f>
      </c>
      <c r="Q206" s="17">
        <f>IF(Items[[#This Row],[State]]&lt;&gt;"WAIT","",IFERROR(LOOKUP(2,1/((Log[ID]=Items[[#This Row],[ID]])*(Log[Verb]="block")),Log[Note])&amp;"",""))</f>
      </c>
      <c r="R206" s="17">
        <f>IF(Items[[#This Row],[ID]]="","",COUNTIFS(Log[ID],Items[[#This Row],[ID]],Log[Verb],"carry"))</f>
      </c>
      <c r="S206" s="17">
        <f>IF(Items[[#This Row],[ID]]="","",COUNTIFS(Log[ID],Items[[#This Row],[ID]],Log[Verb],"punt"))</f>
      </c>
      <c r="T206" s="11">
        <f>IF(Items[[#This Row],[State]]&lt;&gt;"DONE","",IFERROR(LOOKUP(2,1/((Log[ID]=Items[[#This Row],[ID]])*(Log[Verb]="done")),Log[Date]),""))</f>
      </c>
      <c r="U206" s="17">
        <f>IF(Items[[#This Row],[ID]]="","",IF(AND(Items[[#This Row],[Sprint]]=CurSprint,OR(Items[[#This Row],[State]]="OPEN",Items[[#This Row],[State]]="WAIT",Items[[#This Row],[State]]="HOLD",Items[[#This Row],[State]]="DONE")),1,0))</f>
      </c>
      <c r="V206" s="17">
        <f>IF(OR(Items[[#This Row],[ID]]="",Items[[#This Row],[Added]]=""),"",AsOf-Items[[#This Row],[Added]])</f>
      </c>
      <c r="W206" s="17">
        <f>IF(Items[[#This Row],[In sprint]]=1,(IF(Items[[#This Row],[Prio]]="",9,N(Items[[#This Row],[Prio]]))*10+(IF(Items[[#This Row],[State]]="DONE",1,0)))*100000+ROW(),"")</f>
      </c>
      <c r="X20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06" s="17">
        <f>IF(AND(Items[[#This Row],[State]]="DONE",N(Items[[#This Row],[Done on]])&gt;AsOf-7),(200000-N(Items[[#This Row],[Done on]]))*100000+ROW(),"")</f>
      </c>
    </row>
    <row r="207">
      <c r="A207" t="s">
        <v>381</v>
      </c>
      <c r="B207" t="s">
        <v>1418</v>
      </c>
      <c r="C207" t="s">
        <v>1107</v>
      </c>
      <c r="D207" t="s">
        <v>1108</v>
      </c>
      <c r="E207" t="s">
        <v>1120</v>
      </c>
      <c r="F207" t="s">
        <v>1272</v>
      </c>
      <c r="G207">
        <v>5</v>
      </c>
      <c r="H207">
        <v>1</v>
      </c>
      <c r="I207" s="11">
        <v>46105</v>
      </c>
      <c r="J207" s="17">
        <f>IF(Items[[#This Row],[ID]]="","",IFERROR(VALUE(LOOKUP(2,1/((Log[ID]=Items[[#This Row],[ID]])*(Log[Verb]="est")),Log[Arg])),N(Items[[#This Row],[Points]])))</f>
      </c>
      <c r="K207" s="17">
        <f>IF(Items[[#This Row],[ID]]="","",IFERROR(LOOKUP(2,1/((Log[ID]=Items[[#This Row],[ID]])*(Log[Verb]="pass")),Log[Arg])&amp;"",Items[[#This Row],[Team]]&amp;""))</f>
      </c>
      <c r="L207" s="17">
        <f>IF(Items[[#This Row],[ID]]="","",IFERROR(LOOKUP(2,1/((Log[ID]=Items[[#This Row],[ID]])*(Log[Into]&lt;&gt;"")),Log[Into]),""))</f>
      </c>
      <c r="M207" s="17">
        <f>IF(Items[[#This Row],[ID]]="","",IF(IFERROR(LOOKUP(2,1/((Log[ID]=Items[[#This Row],[ID]])*(Log[Blk]&lt;&gt;"")),Log[Blk]),0)=1,"Y",""))</f>
      </c>
      <c r="N207" s="17">
        <f>IF(Items[[#This Row],[ID]]="","",SUBSTITUTE(IFERROR(LOOKUP(2,1/((Log[ID]=Items[[#This Row],[ID]])*(Log[State]&lt;&gt;"")),Log[State]),"TODO"),"OPEN",IF(Items[[#This Row],[Blocked]]="Y","WAIT","OPEN")))</f>
      </c>
      <c r="O20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07" s="17">
        <f>IF(Items[[#This Row],[State]]&lt;&gt;"WAIT","",AsOf-Items[[#This Row],[Blocked since]])</f>
      </c>
      <c r="Q207" s="17">
        <f>IF(Items[[#This Row],[State]]&lt;&gt;"WAIT","",IFERROR(LOOKUP(2,1/((Log[ID]=Items[[#This Row],[ID]])*(Log[Verb]="block")),Log[Note])&amp;"",""))</f>
      </c>
      <c r="R207" s="17">
        <f>IF(Items[[#This Row],[ID]]="","",COUNTIFS(Log[ID],Items[[#This Row],[ID]],Log[Verb],"carry"))</f>
      </c>
      <c r="S207" s="17">
        <f>IF(Items[[#This Row],[ID]]="","",COUNTIFS(Log[ID],Items[[#This Row],[ID]],Log[Verb],"punt"))</f>
      </c>
      <c r="T207" s="11">
        <f>IF(Items[[#This Row],[State]]&lt;&gt;"DONE","",IFERROR(LOOKUP(2,1/((Log[ID]=Items[[#This Row],[ID]])*(Log[Verb]="done")),Log[Date]),""))</f>
      </c>
      <c r="U207" s="17">
        <f>IF(Items[[#This Row],[ID]]="","",IF(AND(Items[[#This Row],[Sprint]]=CurSprint,OR(Items[[#This Row],[State]]="OPEN",Items[[#This Row],[State]]="WAIT",Items[[#This Row],[State]]="HOLD",Items[[#This Row],[State]]="DONE")),1,0))</f>
      </c>
      <c r="V207" s="17">
        <f>IF(OR(Items[[#This Row],[ID]]="",Items[[#This Row],[Added]]=""),"",AsOf-Items[[#This Row],[Added]])</f>
      </c>
      <c r="W207" s="17">
        <f>IF(Items[[#This Row],[In sprint]]=1,(IF(Items[[#This Row],[Prio]]="",9,N(Items[[#This Row],[Prio]]))*10+(IF(Items[[#This Row],[State]]="DONE",1,0)))*100000+ROW(),"")</f>
      </c>
      <c r="X20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07" s="17">
        <f>IF(AND(Items[[#This Row],[State]]="DONE",N(Items[[#This Row],[Done on]])&gt;AsOf-7),(200000-N(Items[[#This Row],[Done on]]))*100000+ROW(),"")</f>
      </c>
    </row>
    <row r="208">
      <c r="A208" t="s">
        <v>382</v>
      </c>
      <c r="B208" t="s">
        <v>1419</v>
      </c>
      <c r="C208" t="s">
        <v>1115</v>
      </c>
      <c r="D208" t="s">
        <v>1116</v>
      </c>
      <c r="E208" t="s">
        <v>1120</v>
      </c>
      <c r="F208" t="s">
        <v>1121</v>
      </c>
      <c r="G208">
        <v>2</v>
      </c>
      <c r="H208">
        <v>3</v>
      </c>
      <c r="I208" s="11">
        <v>46105</v>
      </c>
      <c r="J208" s="17">
        <f>IF(Items[[#This Row],[ID]]="","",IFERROR(VALUE(LOOKUP(2,1/((Log[ID]=Items[[#This Row],[ID]])*(Log[Verb]="est")),Log[Arg])),N(Items[[#This Row],[Points]])))</f>
      </c>
      <c r="K208" s="17">
        <f>IF(Items[[#This Row],[ID]]="","",IFERROR(LOOKUP(2,1/((Log[ID]=Items[[#This Row],[ID]])*(Log[Verb]="pass")),Log[Arg])&amp;"",Items[[#This Row],[Team]]&amp;""))</f>
      </c>
      <c r="L208" s="17">
        <f>IF(Items[[#This Row],[ID]]="","",IFERROR(LOOKUP(2,1/((Log[ID]=Items[[#This Row],[ID]])*(Log[Into]&lt;&gt;"")),Log[Into]),""))</f>
      </c>
      <c r="M208" s="17">
        <f>IF(Items[[#This Row],[ID]]="","",IF(IFERROR(LOOKUP(2,1/((Log[ID]=Items[[#This Row],[ID]])*(Log[Blk]&lt;&gt;"")),Log[Blk]),0)=1,"Y",""))</f>
      </c>
      <c r="N208" s="17">
        <f>IF(Items[[#This Row],[ID]]="","",SUBSTITUTE(IFERROR(LOOKUP(2,1/((Log[ID]=Items[[#This Row],[ID]])*(Log[State]&lt;&gt;"")),Log[State]),"TODO"),"OPEN",IF(Items[[#This Row],[Blocked]]="Y","WAIT","OPEN")))</f>
      </c>
      <c r="O20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08" s="17">
        <f>IF(Items[[#This Row],[State]]&lt;&gt;"WAIT","",AsOf-Items[[#This Row],[Blocked since]])</f>
      </c>
      <c r="Q208" s="17">
        <f>IF(Items[[#This Row],[State]]&lt;&gt;"WAIT","",IFERROR(LOOKUP(2,1/((Log[ID]=Items[[#This Row],[ID]])*(Log[Verb]="block")),Log[Note])&amp;"",""))</f>
      </c>
      <c r="R208" s="17">
        <f>IF(Items[[#This Row],[ID]]="","",COUNTIFS(Log[ID],Items[[#This Row],[ID]],Log[Verb],"carry"))</f>
      </c>
      <c r="S208" s="17">
        <f>IF(Items[[#This Row],[ID]]="","",COUNTIFS(Log[ID],Items[[#This Row],[ID]],Log[Verb],"punt"))</f>
      </c>
      <c r="T208" s="11">
        <f>IF(Items[[#This Row],[State]]&lt;&gt;"DONE","",IFERROR(LOOKUP(2,1/((Log[ID]=Items[[#This Row],[ID]])*(Log[Verb]="done")),Log[Date]),""))</f>
      </c>
      <c r="U208" s="17">
        <f>IF(Items[[#This Row],[ID]]="","",IF(AND(Items[[#This Row],[Sprint]]=CurSprint,OR(Items[[#This Row],[State]]="OPEN",Items[[#This Row],[State]]="WAIT",Items[[#This Row],[State]]="HOLD",Items[[#This Row],[State]]="DONE")),1,0))</f>
      </c>
      <c r="V208" s="17">
        <f>IF(OR(Items[[#This Row],[ID]]="",Items[[#This Row],[Added]]=""),"",AsOf-Items[[#This Row],[Added]])</f>
      </c>
      <c r="W208" s="17">
        <f>IF(Items[[#This Row],[In sprint]]=1,(IF(Items[[#This Row],[Prio]]="",9,N(Items[[#This Row],[Prio]]))*10+(IF(Items[[#This Row],[State]]="DONE",1,0)))*100000+ROW(),"")</f>
      </c>
      <c r="X20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08" s="17">
        <f>IF(AND(Items[[#This Row],[State]]="DONE",N(Items[[#This Row],[Done on]])&gt;AsOf-7),(200000-N(Items[[#This Row],[Done on]]))*100000+ROW(),"")</f>
      </c>
    </row>
    <row r="209">
      <c r="A209" t="s">
        <v>383</v>
      </c>
      <c r="B209" t="s">
        <v>1420</v>
      </c>
      <c r="C209" t="s">
        <v>1115</v>
      </c>
      <c r="D209" t="s">
        <v>1116</v>
      </c>
      <c r="E209" t="s">
        <v>1120</v>
      </c>
      <c r="F209" t="s">
        <v>1421</v>
      </c>
      <c r="G209">
        <v>3</v>
      </c>
      <c r="H209">
        <v>1</v>
      </c>
      <c r="I209" s="11">
        <v>46105</v>
      </c>
      <c r="J209" s="17">
        <f>IF(Items[[#This Row],[ID]]="","",IFERROR(VALUE(LOOKUP(2,1/((Log[ID]=Items[[#This Row],[ID]])*(Log[Verb]="est")),Log[Arg])),N(Items[[#This Row],[Points]])))</f>
      </c>
      <c r="K209" s="17">
        <f>IF(Items[[#This Row],[ID]]="","",IFERROR(LOOKUP(2,1/((Log[ID]=Items[[#This Row],[ID]])*(Log[Verb]="pass")),Log[Arg])&amp;"",Items[[#This Row],[Team]]&amp;""))</f>
      </c>
      <c r="L209" s="17">
        <f>IF(Items[[#This Row],[ID]]="","",IFERROR(LOOKUP(2,1/((Log[ID]=Items[[#This Row],[ID]])*(Log[Into]&lt;&gt;"")),Log[Into]),""))</f>
      </c>
      <c r="M209" s="17">
        <f>IF(Items[[#This Row],[ID]]="","",IF(IFERROR(LOOKUP(2,1/((Log[ID]=Items[[#This Row],[ID]])*(Log[Blk]&lt;&gt;"")),Log[Blk]),0)=1,"Y",""))</f>
      </c>
      <c r="N209" s="17">
        <f>IF(Items[[#This Row],[ID]]="","",SUBSTITUTE(IFERROR(LOOKUP(2,1/((Log[ID]=Items[[#This Row],[ID]])*(Log[State]&lt;&gt;"")),Log[State]),"TODO"),"OPEN",IF(Items[[#This Row],[Blocked]]="Y","WAIT","OPEN")))</f>
      </c>
      <c r="O20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09" s="17">
        <f>IF(Items[[#This Row],[State]]&lt;&gt;"WAIT","",AsOf-Items[[#This Row],[Blocked since]])</f>
      </c>
      <c r="Q209" s="17">
        <f>IF(Items[[#This Row],[State]]&lt;&gt;"WAIT","",IFERROR(LOOKUP(2,1/((Log[ID]=Items[[#This Row],[ID]])*(Log[Verb]="block")),Log[Note])&amp;"",""))</f>
      </c>
      <c r="R209" s="17">
        <f>IF(Items[[#This Row],[ID]]="","",COUNTIFS(Log[ID],Items[[#This Row],[ID]],Log[Verb],"carry"))</f>
      </c>
      <c r="S209" s="17">
        <f>IF(Items[[#This Row],[ID]]="","",COUNTIFS(Log[ID],Items[[#This Row],[ID]],Log[Verb],"punt"))</f>
      </c>
      <c r="T209" s="11">
        <f>IF(Items[[#This Row],[State]]&lt;&gt;"DONE","",IFERROR(LOOKUP(2,1/((Log[ID]=Items[[#This Row],[ID]])*(Log[Verb]="done")),Log[Date]),""))</f>
      </c>
      <c r="U209" s="17">
        <f>IF(Items[[#This Row],[ID]]="","",IF(AND(Items[[#This Row],[Sprint]]=CurSprint,OR(Items[[#This Row],[State]]="OPEN",Items[[#This Row],[State]]="WAIT",Items[[#This Row],[State]]="HOLD",Items[[#This Row],[State]]="DONE")),1,0))</f>
      </c>
      <c r="V209" s="17">
        <f>IF(OR(Items[[#This Row],[ID]]="",Items[[#This Row],[Added]]=""),"",AsOf-Items[[#This Row],[Added]])</f>
      </c>
      <c r="W209" s="17">
        <f>IF(Items[[#This Row],[In sprint]]=1,(IF(Items[[#This Row],[Prio]]="",9,N(Items[[#This Row],[Prio]]))*10+(IF(Items[[#This Row],[State]]="DONE",1,0)))*100000+ROW(),"")</f>
      </c>
      <c r="X20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09" s="17">
        <f>IF(AND(Items[[#This Row],[State]]="DONE",N(Items[[#This Row],[Done on]])&gt;AsOf-7),(200000-N(Items[[#This Row],[Done on]]))*100000+ROW(),"")</f>
      </c>
    </row>
    <row r="210">
      <c r="A210" t="s">
        <v>384</v>
      </c>
      <c r="B210" t="s">
        <v>1422</v>
      </c>
      <c r="C210" t="s">
        <v>1115</v>
      </c>
      <c r="D210" t="s">
        <v>1119</v>
      </c>
      <c r="E210" t="s">
        <v>1120</v>
      </c>
      <c r="F210" t="s">
        <v>1342</v>
      </c>
      <c r="G210">
        <v>3</v>
      </c>
      <c r="H210">
        <v>2</v>
      </c>
      <c r="I210" s="11">
        <v>46105</v>
      </c>
      <c r="J210" s="17">
        <f>IF(Items[[#This Row],[ID]]="","",IFERROR(VALUE(LOOKUP(2,1/((Log[ID]=Items[[#This Row],[ID]])*(Log[Verb]="est")),Log[Arg])),N(Items[[#This Row],[Points]])))</f>
      </c>
      <c r="K210" s="17">
        <f>IF(Items[[#This Row],[ID]]="","",IFERROR(LOOKUP(2,1/((Log[ID]=Items[[#This Row],[ID]])*(Log[Verb]="pass")),Log[Arg])&amp;"",Items[[#This Row],[Team]]&amp;""))</f>
      </c>
      <c r="L210" s="17">
        <f>IF(Items[[#This Row],[ID]]="","",IFERROR(LOOKUP(2,1/((Log[ID]=Items[[#This Row],[ID]])*(Log[Into]&lt;&gt;"")),Log[Into]),""))</f>
      </c>
      <c r="M210" s="17">
        <f>IF(Items[[#This Row],[ID]]="","",IF(IFERROR(LOOKUP(2,1/((Log[ID]=Items[[#This Row],[ID]])*(Log[Blk]&lt;&gt;"")),Log[Blk]),0)=1,"Y",""))</f>
      </c>
      <c r="N210" s="17">
        <f>IF(Items[[#This Row],[ID]]="","",SUBSTITUTE(IFERROR(LOOKUP(2,1/((Log[ID]=Items[[#This Row],[ID]])*(Log[State]&lt;&gt;"")),Log[State]),"TODO"),"OPEN",IF(Items[[#This Row],[Blocked]]="Y","WAIT","OPEN")))</f>
      </c>
      <c r="O21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10" s="17">
        <f>IF(Items[[#This Row],[State]]&lt;&gt;"WAIT","",AsOf-Items[[#This Row],[Blocked since]])</f>
      </c>
      <c r="Q210" s="17">
        <f>IF(Items[[#This Row],[State]]&lt;&gt;"WAIT","",IFERROR(LOOKUP(2,1/((Log[ID]=Items[[#This Row],[ID]])*(Log[Verb]="block")),Log[Note])&amp;"",""))</f>
      </c>
      <c r="R210" s="17">
        <f>IF(Items[[#This Row],[ID]]="","",COUNTIFS(Log[ID],Items[[#This Row],[ID]],Log[Verb],"carry"))</f>
      </c>
      <c r="S210" s="17">
        <f>IF(Items[[#This Row],[ID]]="","",COUNTIFS(Log[ID],Items[[#This Row],[ID]],Log[Verb],"punt"))</f>
      </c>
      <c r="T210" s="11">
        <f>IF(Items[[#This Row],[State]]&lt;&gt;"DONE","",IFERROR(LOOKUP(2,1/((Log[ID]=Items[[#This Row],[ID]])*(Log[Verb]="done")),Log[Date]),""))</f>
      </c>
      <c r="U210" s="17">
        <f>IF(Items[[#This Row],[ID]]="","",IF(AND(Items[[#This Row],[Sprint]]=CurSprint,OR(Items[[#This Row],[State]]="OPEN",Items[[#This Row],[State]]="WAIT",Items[[#This Row],[State]]="HOLD",Items[[#This Row],[State]]="DONE")),1,0))</f>
      </c>
      <c r="V210" s="17">
        <f>IF(OR(Items[[#This Row],[ID]]="",Items[[#This Row],[Added]]=""),"",AsOf-Items[[#This Row],[Added]])</f>
      </c>
      <c r="W210" s="17">
        <f>IF(Items[[#This Row],[In sprint]]=1,(IF(Items[[#This Row],[Prio]]="",9,N(Items[[#This Row],[Prio]]))*10+(IF(Items[[#This Row],[State]]="DONE",1,0)))*100000+ROW(),"")</f>
      </c>
      <c r="X21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10" s="17">
        <f>IF(AND(Items[[#This Row],[State]]="DONE",N(Items[[#This Row],[Done on]])&gt;AsOf-7),(200000-N(Items[[#This Row],[Done on]]))*100000+ROW(),"")</f>
      </c>
    </row>
    <row r="211">
      <c r="A211" t="s">
        <v>436</v>
      </c>
      <c r="B211" t="s">
        <v>1423</v>
      </c>
      <c r="C211" t="s">
        <v>1115</v>
      </c>
      <c r="D211" t="s">
        <v>1119</v>
      </c>
      <c r="E211" t="s">
        <v>1120</v>
      </c>
      <c r="F211" t="s">
        <v>1272</v>
      </c>
      <c r="G211">
        <v>5</v>
      </c>
      <c r="H211">
        <v>3</v>
      </c>
      <c r="I211" s="11">
        <v>46105</v>
      </c>
      <c r="J211" s="17">
        <f>IF(Items[[#This Row],[ID]]="","",IFERROR(VALUE(LOOKUP(2,1/((Log[ID]=Items[[#This Row],[ID]])*(Log[Verb]="est")),Log[Arg])),N(Items[[#This Row],[Points]])))</f>
      </c>
      <c r="K211" s="17">
        <f>IF(Items[[#This Row],[ID]]="","",IFERROR(LOOKUP(2,1/((Log[ID]=Items[[#This Row],[ID]])*(Log[Verb]="pass")),Log[Arg])&amp;"",Items[[#This Row],[Team]]&amp;""))</f>
      </c>
      <c r="L211" s="17">
        <f>IF(Items[[#This Row],[ID]]="","",IFERROR(LOOKUP(2,1/((Log[ID]=Items[[#This Row],[ID]])*(Log[Into]&lt;&gt;"")),Log[Into]),""))</f>
      </c>
      <c r="M211" s="17">
        <f>IF(Items[[#This Row],[ID]]="","",IF(IFERROR(LOOKUP(2,1/((Log[ID]=Items[[#This Row],[ID]])*(Log[Blk]&lt;&gt;"")),Log[Blk]),0)=1,"Y",""))</f>
      </c>
      <c r="N211" s="17">
        <f>IF(Items[[#This Row],[ID]]="","",SUBSTITUTE(IFERROR(LOOKUP(2,1/((Log[ID]=Items[[#This Row],[ID]])*(Log[State]&lt;&gt;"")),Log[State]),"TODO"),"OPEN",IF(Items[[#This Row],[Blocked]]="Y","WAIT","OPEN")))</f>
      </c>
      <c r="O21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11" s="17">
        <f>IF(Items[[#This Row],[State]]&lt;&gt;"WAIT","",AsOf-Items[[#This Row],[Blocked since]])</f>
      </c>
      <c r="Q211" s="17">
        <f>IF(Items[[#This Row],[State]]&lt;&gt;"WAIT","",IFERROR(LOOKUP(2,1/((Log[ID]=Items[[#This Row],[ID]])*(Log[Verb]="block")),Log[Note])&amp;"",""))</f>
      </c>
      <c r="R211" s="17">
        <f>IF(Items[[#This Row],[ID]]="","",COUNTIFS(Log[ID],Items[[#This Row],[ID]],Log[Verb],"carry"))</f>
      </c>
      <c r="S211" s="17">
        <f>IF(Items[[#This Row],[ID]]="","",COUNTIFS(Log[ID],Items[[#This Row],[ID]],Log[Verb],"punt"))</f>
      </c>
      <c r="T211" s="11">
        <f>IF(Items[[#This Row],[State]]&lt;&gt;"DONE","",IFERROR(LOOKUP(2,1/((Log[ID]=Items[[#This Row],[ID]])*(Log[Verb]="done")),Log[Date]),""))</f>
      </c>
      <c r="U211" s="17">
        <f>IF(Items[[#This Row],[ID]]="","",IF(AND(Items[[#This Row],[Sprint]]=CurSprint,OR(Items[[#This Row],[State]]="OPEN",Items[[#This Row],[State]]="WAIT",Items[[#This Row],[State]]="HOLD",Items[[#This Row],[State]]="DONE")),1,0))</f>
      </c>
      <c r="V211" s="17">
        <f>IF(OR(Items[[#This Row],[ID]]="",Items[[#This Row],[Added]]=""),"",AsOf-Items[[#This Row],[Added]])</f>
      </c>
      <c r="W211" s="17">
        <f>IF(Items[[#This Row],[In sprint]]=1,(IF(Items[[#This Row],[Prio]]="",9,N(Items[[#This Row],[Prio]]))*10+(IF(Items[[#This Row],[State]]="DONE",1,0)))*100000+ROW(),"")</f>
      </c>
      <c r="X21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11" s="17">
        <f>IF(AND(Items[[#This Row],[State]]="DONE",N(Items[[#This Row],[Done on]])&gt;AsOf-7),(200000-N(Items[[#This Row],[Done on]]))*100000+ROW(),"")</f>
      </c>
    </row>
    <row r="212">
      <c r="A212" t="s">
        <v>386</v>
      </c>
      <c r="B212" t="s">
        <v>1424</v>
      </c>
      <c r="C212" t="s">
        <v>1107</v>
      </c>
      <c r="D212" t="s">
        <v>1127</v>
      </c>
      <c r="E212" t="s">
        <v>1124</v>
      </c>
      <c r="F212" t="s">
        <v>1200</v>
      </c>
      <c r="G212">
        <v>5</v>
      </c>
      <c r="H212">
        <v>3</v>
      </c>
      <c r="I212" s="11">
        <v>46105</v>
      </c>
      <c r="J212" s="17">
        <f>IF(Items[[#This Row],[ID]]="","",IFERROR(VALUE(LOOKUP(2,1/((Log[ID]=Items[[#This Row],[ID]])*(Log[Verb]="est")),Log[Arg])),N(Items[[#This Row],[Points]])))</f>
      </c>
      <c r="K212" s="17">
        <f>IF(Items[[#This Row],[ID]]="","",IFERROR(LOOKUP(2,1/((Log[ID]=Items[[#This Row],[ID]])*(Log[Verb]="pass")),Log[Arg])&amp;"",Items[[#This Row],[Team]]&amp;""))</f>
      </c>
      <c r="L212" s="17">
        <f>IF(Items[[#This Row],[ID]]="","",IFERROR(LOOKUP(2,1/((Log[ID]=Items[[#This Row],[ID]])*(Log[Into]&lt;&gt;"")),Log[Into]),""))</f>
      </c>
      <c r="M212" s="17">
        <f>IF(Items[[#This Row],[ID]]="","",IF(IFERROR(LOOKUP(2,1/((Log[ID]=Items[[#This Row],[ID]])*(Log[Blk]&lt;&gt;"")),Log[Blk]),0)=1,"Y",""))</f>
      </c>
      <c r="N212" s="17">
        <f>IF(Items[[#This Row],[ID]]="","",SUBSTITUTE(IFERROR(LOOKUP(2,1/((Log[ID]=Items[[#This Row],[ID]])*(Log[State]&lt;&gt;"")),Log[State]),"TODO"),"OPEN",IF(Items[[#This Row],[Blocked]]="Y","WAIT","OPEN")))</f>
      </c>
      <c r="O21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12" s="17">
        <f>IF(Items[[#This Row],[State]]&lt;&gt;"WAIT","",AsOf-Items[[#This Row],[Blocked since]])</f>
      </c>
      <c r="Q212" s="17">
        <f>IF(Items[[#This Row],[State]]&lt;&gt;"WAIT","",IFERROR(LOOKUP(2,1/((Log[ID]=Items[[#This Row],[ID]])*(Log[Verb]="block")),Log[Note])&amp;"",""))</f>
      </c>
      <c r="R212" s="17">
        <f>IF(Items[[#This Row],[ID]]="","",COUNTIFS(Log[ID],Items[[#This Row],[ID]],Log[Verb],"carry"))</f>
      </c>
      <c r="S212" s="17">
        <f>IF(Items[[#This Row],[ID]]="","",COUNTIFS(Log[ID],Items[[#This Row],[ID]],Log[Verb],"punt"))</f>
      </c>
      <c r="T212" s="11">
        <f>IF(Items[[#This Row],[State]]&lt;&gt;"DONE","",IFERROR(LOOKUP(2,1/((Log[ID]=Items[[#This Row],[ID]])*(Log[Verb]="done")),Log[Date]),""))</f>
      </c>
      <c r="U212" s="17">
        <f>IF(Items[[#This Row],[ID]]="","",IF(AND(Items[[#This Row],[Sprint]]=CurSprint,OR(Items[[#This Row],[State]]="OPEN",Items[[#This Row],[State]]="WAIT",Items[[#This Row],[State]]="HOLD",Items[[#This Row],[State]]="DONE")),1,0))</f>
      </c>
      <c r="V212" s="17">
        <f>IF(OR(Items[[#This Row],[ID]]="",Items[[#This Row],[Added]]=""),"",AsOf-Items[[#This Row],[Added]])</f>
      </c>
      <c r="W212" s="17">
        <f>IF(Items[[#This Row],[In sprint]]=1,(IF(Items[[#This Row],[Prio]]="",9,N(Items[[#This Row],[Prio]]))*10+(IF(Items[[#This Row],[State]]="DONE",1,0)))*100000+ROW(),"")</f>
      </c>
      <c r="X21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12" s="17">
        <f>IF(AND(Items[[#This Row],[State]]="DONE",N(Items[[#This Row],[Done on]])&gt;AsOf-7),(200000-N(Items[[#This Row],[Done on]]))*100000+ROW(),"")</f>
      </c>
    </row>
    <row r="213">
      <c r="A213" t="s">
        <v>317</v>
      </c>
      <c r="B213" t="s">
        <v>1425</v>
      </c>
      <c r="C213" t="s">
        <v>1107</v>
      </c>
      <c r="D213" t="s">
        <v>1127</v>
      </c>
      <c r="E213" t="s">
        <v>1124</v>
      </c>
      <c r="F213" t="s">
        <v>1157</v>
      </c>
      <c r="G213">
        <v>2</v>
      </c>
      <c r="H213">
        <v>2</v>
      </c>
      <c r="I213" s="11">
        <v>46105</v>
      </c>
      <c r="J213" s="17">
        <f>IF(Items[[#This Row],[ID]]="","",IFERROR(VALUE(LOOKUP(2,1/((Log[ID]=Items[[#This Row],[ID]])*(Log[Verb]="est")),Log[Arg])),N(Items[[#This Row],[Points]])))</f>
      </c>
      <c r="K213" s="17">
        <f>IF(Items[[#This Row],[ID]]="","",IFERROR(LOOKUP(2,1/((Log[ID]=Items[[#This Row],[ID]])*(Log[Verb]="pass")),Log[Arg])&amp;"",Items[[#This Row],[Team]]&amp;""))</f>
      </c>
      <c r="L213" s="17">
        <f>IF(Items[[#This Row],[ID]]="","",IFERROR(LOOKUP(2,1/((Log[ID]=Items[[#This Row],[ID]])*(Log[Into]&lt;&gt;"")),Log[Into]),""))</f>
      </c>
      <c r="M213" s="17">
        <f>IF(Items[[#This Row],[ID]]="","",IF(IFERROR(LOOKUP(2,1/((Log[ID]=Items[[#This Row],[ID]])*(Log[Blk]&lt;&gt;"")),Log[Blk]),0)=1,"Y",""))</f>
      </c>
      <c r="N213" s="17">
        <f>IF(Items[[#This Row],[ID]]="","",SUBSTITUTE(IFERROR(LOOKUP(2,1/((Log[ID]=Items[[#This Row],[ID]])*(Log[State]&lt;&gt;"")),Log[State]),"TODO"),"OPEN",IF(Items[[#This Row],[Blocked]]="Y","WAIT","OPEN")))</f>
      </c>
      <c r="O21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13" s="17">
        <f>IF(Items[[#This Row],[State]]&lt;&gt;"WAIT","",AsOf-Items[[#This Row],[Blocked since]])</f>
      </c>
      <c r="Q213" s="17">
        <f>IF(Items[[#This Row],[State]]&lt;&gt;"WAIT","",IFERROR(LOOKUP(2,1/((Log[ID]=Items[[#This Row],[ID]])*(Log[Verb]="block")),Log[Note])&amp;"",""))</f>
      </c>
      <c r="R213" s="17">
        <f>IF(Items[[#This Row],[ID]]="","",COUNTIFS(Log[ID],Items[[#This Row],[ID]],Log[Verb],"carry"))</f>
      </c>
      <c r="S213" s="17">
        <f>IF(Items[[#This Row],[ID]]="","",COUNTIFS(Log[ID],Items[[#This Row],[ID]],Log[Verb],"punt"))</f>
      </c>
      <c r="T213" s="11">
        <f>IF(Items[[#This Row],[State]]&lt;&gt;"DONE","",IFERROR(LOOKUP(2,1/((Log[ID]=Items[[#This Row],[ID]])*(Log[Verb]="done")),Log[Date]),""))</f>
      </c>
      <c r="U213" s="17">
        <f>IF(Items[[#This Row],[ID]]="","",IF(AND(Items[[#This Row],[Sprint]]=CurSprint,OR(Items[[#This Row],[State]]="OPEN",Items[[#This Row],[State]]="WAIT",Items[[#This Row],[State]]="HOLD",Items[[#This Row],[State]]="DONE")),1,0))</f>
      </c>
      <c r="V213" s="17">
        <f>IF(OR(Items[[#This Row],[ID]]="",Items[[#This Row],[Added]]=""),"",AsOf-Items[[#This Row],[Added]])</f>
      </c>
      <c r="W213" s="17">
        <f>IF(Items[[#This Row],[In sprint]]=1,(IF(Items[[#This Row],[Prio]]="",9,N(Items[[#This Row],[Prio]]))*10+(IF(Items[[#This Row],[State]]="DONE",1,0)))*100000+ROW(),"")</f>
      </c>
      <c r="X21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13" s="17">
        <f>IF(AND(Items[[#This Row],[State]]="DONE",N(Items[[#This Row],[Done on]])&gt;AsOf-7),(200000-N(Items[[#This Row],[Done on]]))*100000+ROW(),"")</f>
      </c>
    </row>
    <row r="214">
      <c r="A214" t="s">
        <v>387</v>
      </c>
      <c r="B214" t="s">
        <v>1426</v>
      </c>
      <c r="C214" t="s">
        <v>1107</v>
      </c>
      <c r="D214" t="s">
        <v>1123</v>
      </c>
      <c r="E214" t="s">
        <v>1124</v>
      </c>
      <c r="F214" t="s">
        <v>1155</v>
      </c>
      <c r="G214">
        <v>3</v>
      </c>
      <c r="H214">
        <v>3</v>
      </c>
      <c r="I214" s="11">
        <v>46105</v>
      </c>
      <c r="J214" s="17">
        <f>IF(Items[[#This Row],[ID]]="","",IFERROR(VALUE(LOOKUP(2,1/((Log[ID]=Items[[#This Row],[ID]])*(Log[Verb]="est")),Log[Arg])),N(Items[[#This Row],[Points]])))</f>
      </c>
      <c r="K214" s="17">
        <f>IF(Items[[#This Row],[ID]]="","",IFERROR(LOOKUP(2,1/((Log[ID]=Items[[#This Row],[ID]])*(Log[Verb]="pass")),Log[Arg])&amp;"",Items[[#This Row],[Team]]&amp;""))</f>
      </c>
      <c r="L214" s="17">
        <f>IF(Items[[#This Row],[ID]]="","",IFERROR(LOOKUP(2,1/((Log[ID]=Items[[#This Row],[ID]])*(Log[Into]&lt;&gt;"")),Log[Into]),""))</f>
      </c>
      <c r="M214" s="17">
        <f>IF(Items[[#This Row],[ID]]="","",IF(IFERROR(LOOKUP(2,1/((Log[ID]=Items[[#This Row],[ID]])*(Log[Blk]&lt;&gt;"")),Log[Blk]),0)=1,"Y",""))</f>
      </c>
      <c r="N214" s="17">
        <f>IF(Items[[#This Row],[ID]]="","",SUBSTITUTE(IFERROR(LOOKUP(2,1/((Log[ID]=Items[[#This Row],[ID]])*(Log[State]&lt;&gt;"")),Log[State]),"TODO"),"OPEN",IF(Items[[#This Row],[Blocked]]="Y","WAIT","OPEN")))</f>
      </c>
      <c r="O21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14" s="17">
        <f>IF(Items[[#This Row],[State]]&lt;&gt;"WAIT","",AsOf-Items[[#This Row],[Blocked since]])</f>
      </c>
      <c r="Q214" s="17">
        <f>IF(Items[[#This Row],[State]]&lt;&gt;"WAIT","",IFERROR(LOOKUP(2,1/((Log[ID]=Items[[#This Row],[ID]])*(Log[Verb]="block")),Log[Note])&amp;"",""))</f>
      </c>
      <c r="R214" s="17">
        <f>IF(Items[[#This Row],[ID]]="","",COUNTIFS(Log[ID],Items[[#This Row],[ID]],Log[Verb],"carry"))</f>
      </c>
      <c r="S214" s="17">
        <f>IF(Items[[#This Row],[ID]]="","",COUNTIFS(Log[ID],Items[[#This Row],[ID]],Log[Verb],"punt"))</f>
      </c>
      <c r="T214" s="11">
        <f>IF(Items[[#This Row],[State]]&lt;&gt;"DONE","",IFERROR(LOOKUP(2,1/((Log[ID]=Items[[#This Row],[ID]])*(Log[Verb]="done")),Log[Date]),""))</f>
      </c>
      <c r="U214" s="17">
        <f>IF(Items[[#This Row],[ID]]="","",IF(AND(Items[[#This Row],[Sprint]]=CurSprint,OR(Items[[#This Row],[State]]="OPEN",Items[[#This Row],[State]]="WAIT",Items[[#This Row],[State]]="HOLD",Items[[#This Row],[State]]="DONE")),1,0))</f>
      </c>
      <c r="V214" s="17">
        <f>IF(OR(Items[[#This Row],[ID]]="",Items[[#This Row],[Added]]=""),"",AsOf-Items[[#This Row],[Added]])</f>
      </c>
      <c r="W214" s="17">
        <f>IF(Items[[#This Row],[In sprint]]=1,(IF(Items[[#This Row],[Prio]]="",9,N(Items[[#This Row],[Prio]]))*10+(IF(Items[[#This Row],[State]]="DONE",1,0)))*100000+ROW(),"")</f>
      </c>
      <c r="X21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14" s="17">
        <f>IF(AND(Items[[#This Row],[State]]="DONE",N(Items[[#This Row],[Done on]])&gt;AsOf-7),(200000-N(Items[[#This Row],[Done on]]))*100000+ROW(),"")</f>
      </c>
    </row>
    <row r="215">
      <c r="A215" t="s">
        <v>388</v>
      </c>
      <c r="B215" t="s">
        <v>1427</v>
      </c>
      <c r="C215" t="s">
        <v>1107</v>
      </c>
      <c r="D215" t="s">
        <v>1123</v>
      </c>
      <c r="E215" t="s">
        <v>1124</v>
      </c>
      <c r="F215" t="s">
        <v>1200</v>
      </c>
      <c r="G215">
        <v>3</v>
      </c>
      <c r="H215">
        <v>2</v>
      </c>
      <c r="I215" s="11">
        <v>46105</v>
      </c>
      <c r="J215" s="17">
        <f>IF(Items[[#This Row],[ID]]="","",IFERROR(VALUE(LOOKUP(2,1/((Log[ID]=Items[[#This Row],[ID]])*(Log[Verb]="est")),Log[Arg])),N(Items[[#This Row],[Points]])))</f>
      </c>
      <c r="K215" s="17">
        <f>IF(Items[[#This Row],[ID]]="","",IFERROR(LOOKUP(2,1/((Log[ID]=Items[[#This Row],[ID]])*(Log[Verb]="pass")),Log[Arg])&amp;"",Items[[#This Row],[Team]]&amp;""))</f>
      </c>
      <c r="L215" s="17">
        <f>IF(Items[[#This Row],[ID]]="","",IFERROR(LOOKUP(2,1/((Log[ID]=Items[[#This Row],[ID]])*(Log[Into]&lt;&gt;"")),Log[Into]),""))</f>
      </c>
      <c r="M215" s="17">
        <f>IF(Items[[#This Row],[ID]]="","",IF(IFERROR(LOOKUP(2,1/((Log[ID]=Items[[#This Row],[ID]])*(Log[Blk]&lt;&gt;"")),Log[Blk]),0)=1,"Y",""))</f>
      </c>
      <c r="N215" s="17">
        <f>IF(Items[[#This Row],[ID]]="","",SUBSTITUTE(IFERROR(LOOKUP(2,1/((Log[ID]=Items[[#This Row],[ID]])*(Log[State]&lt;&gt;"")),Log[State]),"TODO"),"OPEN",IF(Items[[#This Row],[Blocked]]="Y","WAIT","OPEN")))</f>
      </c>
      <c r="O21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15" s="17">
        <f>IF(Items[[#This Row],[State]]&lt;&gt;"WAIT","",AsOf-Items[[#This Row],[Blocked since]])</f>
      </c>
      <c r="Q215" s="17">
        <f>IF(Items[[#This Row],[State]]&lt;&gt;"WAIT","",IFERROR(LOOKUP(2,1/((Log[ID]=Items[[#This Row],[ID]])*(Log[Verb]="block")),Log[Note])&amp;"",""))</f>
      </c>
      <c r="R215" s="17">
        <f>IF(Items[[#This Row],[ID]]="","",COUNTIFS(Log[ID],Items[[#This Row],[ID]],Log[Verb],"carry"))</f>
      </c>
      <c r="S215" s="17">
        <f>IF(Items[[#This Row],[ID]]="","",COUNTIFS(Log[ID],Items[[#This Row],[ID]],Log[Verb],"punt"))</f>
      </c>
      <c r="T215" s="11">
        <f>IF(Items[[#This Row],[State]]&lt;&gt;"DONE","",IFERROR(LOOKUP(2,1/((Log[ID]=Items[[#This Row],[ID]])*(Log[Verb]="done")),Log[Date]),""))</f>
      </c>
      <c r="U215" s="17">
        <f>IF(Items[[#This Row],[ID]]="","",IF(AND(Items[[#This Row],[Sprint]]=CurSprint,OR(Items[[#This Row],[State]]="OPEN",Items[[#This Row],[State]]="WAIT",Items[[#This Row],[State]]="HOLD",Items[[#This Row],[State]]="DONE")),1,0))</f>
      </c>
      <c r="V215" s="17">
        <f>IF(OR(Items[[#This Row],[ID]]="",Items[[#This Row],[Added]]=""),"",AsOf-Items[[#This Row],[Added]])</f>
      </c>
      <c r="W215" s="17">
        <f>IF(Items[[#This Row],[In sprint]]=1,(IF(Items[[#This Row],[Prio]]="",9,N(Items[[#This Row],[Prio]]))*10+(IF(Items[[#This Row],[State]]="DONE",1,0)))*100000+ROW(),"")</f>
      </c>
      <c r="X21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15" s="17">
        <f>IF(AND(Items[[#This Row],[State]]="DONE",N(Items[[#This Row],[Done on]])&gt;AsOf-7),(200000-N(Items[[#This Row],[Done on]]))*100000+ROW(),"")</f>
      </c>
    </row>
    <row r="216">
      <c r="A216" t="s">
        <v>389</v>
      </c>
      <c r="B216" t="s">
        <v>1428</v>
      </c>
      <c r="C216" t="s">
        <v>1115</v>
      </c>
      <c r="D216" t="s">
        <v>1119</v>
      </c>
      <c r="E216" t="s">
        <v>1124</v>
      </c>
      <c r="F216" t="s">
        <v>1198</v>
      </c>
      <c r="G216">
        <v>5</v>
      </c>
      <c r="H216">
        <v>1</v>
      </c>
      <c r="I216" s="11">
        <v>46105</v>
      </c>
      <c r="J216" s="17">
        <f>IF(Items[[#This Row],[ID]]="","",IFERROR(VALUE(LOOKUP(2,1/((Log[ID]=Items[[#This Row],[ID]])*(Log[Verb]="est")),Log[Arg])),N(Items[[#This Row],[Points]])))</f>
      </c>
      <c r="K216" s="17">
        <f>IF(Items[[#This Row],[ID]]="","",IFERROR(LOOKUP(2,1/((Log[ID]=Items[[#This Row],[ID]])*(Log[Verb]="pass")),Log[Arg])&amp;"",Items[[#This Row],[Team]]&amp;""))</f>
      </c>
      <c r="L216" s="17">
        <f>IF(Items[[#This Row],[ID]]="","",IFERROR(LOOKUP(2,1/((Log[ID]=Items[[#This Row],[ID]])*(Log[Into]&lt;&gt;"")),Log[Into]),""))</f>
      </c>
      <c r="M216" s="17">
        <f>IF(Items[[#This Row],[ID]]="","",IF(IFERROR(LOOKUP(2,1/((Log[ID]=Items[[#This Row],[ID]])*(Log[Blk]&lt;&gt;"")),Log[Blk]),0)=1,"Y",""))</f>
      </c>
      <c r="N216" s="17">
        <f>IF(Items[[#This Row],[ID]]="","",SUBSTITUTE(IFERROR(LOOKUP(2,1/((Log[ID]=Items[[#This Row],[ID]])*(Log[State]&lt;&gt;"")),Log[State]),"TODO"),"OPEN",IF(Items[[#This Row],[Blocked]]="Y","WAIT","OPEN")))</f>
      </c>
      <c r="O21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16" s="17">
        <f>IF(Items[[#This Row],[State]]&lt;&gt;"WAIT","",AsOf-Items[[#This Row],[Blocked since]])</f>
      </c>
      <c r="Q216" s="17">
        <f>IF(Items[[#This Row],[State]]&lt;&gt;"WAIT","",IFERROR(LOOKUP(2,1/((Log[ID]=Items[[#This Row],[ID]])*(Log[Verb]="block")),Log[Note])&amp;"",""))</f>
      </c>
      <c r="R216" s="17">
        <f>IF(Items[[#This Row],[ID]]="","",COUNTIFS(Log[ID],Items[[#This Row],[ID]],Log[Verb],"carry"))</f>
      </c>
      <c r="S216" s="17">
        <f>IF(Items[[#This Row],[ID]]="","",COUNTIFS(Log[ID],Items[[#This Row],[ID]],Log[Verb],"punt"))</f>
      </c>
      <c r="T216" s="11">
        <f>IF(Items[[#This Row],[State]]&lt;&gt;"DONE","",IFERROR(LOOKUP(2,1/((Log[ID]=Items[[#This Row],[ID]])*(Log[Verb]="done")),Log[Date]),""))</f>
      </c>
      <c r="U216" s="17">
        <f>IF(Items[[#This Row],[ID]]="","",IF(AND(Items[[#This Row],[Sprint]]=CurSprint,OR(Items[[#This Row],[State]]="OPEN",Items[[#This Row],[State]]="WAIT",Items[[#This Row],[State]]="HOLD",Items[[#This Row],[State]]="DONE")),1,0))</f>
      </c>
      <c r="V216" s="17">
        <f>IF(OR(Items[[#This Row],[ID]]="",Items[[#This Row],[Added]]=""),"",AsOf-Items[[#This Row],[Added]])</f>
      </c>
      <c r="W216" s="17">
        <f>IF(Items[[#This Row],[In sprint]]=1,(IF(Items[[#This Row],[Prio]]="",9,N(Items[[#This Row],[Prio]]))*10+(IF(Items[[#This Row],[State]]="DONE",1,0)))*100000+ROW(),"")</f>
      </c>
      <c r="X21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16" s="17">
        <f>IF(AND(Items[[#This Row],[State]]="DONE",N(Items[[#This Row],[Done on]])&gt;AsOf-7),(200000-N(Items[[#This Row],[Done on]]))*100000+ROW(),"")</f>
      </c>
    </row>
    <row r="217">
      <c r="A217" t="s">
        <v>390</v>
      </c>
      <c r="B217" t="s">
        <v>1429</v>
      </c>
      <c r="C217" t="s">
        <v>1107</v>
      </c>
      <c r="D217" t="s">
        <v>1123</v>
      </c>
      <c r="E217" t="s">
        <v>1124</v>
      </c>
      <c r="F217" t="s">
        <v>1203</v>
      </c>
      <c r="G217">
        <v>3</v>
      </c>
      <c r="H217">
        <v>3</v>
      </c>
      <c r="I217" s="11">
        <v>46105</v>
      </c>
      <c r="J217" s="17">
        <f>IF(Items[[#This Row],[ID]]="","",IFERROR(VALUE(LOOKUP(2,1/((Log[ID]=Items[[#This Row],[ID]])*(Log[Verb]="est")),Log[Arg])),N(Items[[#This Row],[Points]])))</f>
      </c>
      <c r="K217" s="17">
        <f>IF(Items[[#This Row],[ID]]="","",IFERROR(LOOKUP(2,1/((Log[ID]=Items[[#This Row],[ID]])*(Log[Verb]="pass")),Log[Arg])&amp;"",Items[[#This Row],[Team]]&amp;""))</f>
      </c>
      <c r="L217" s="17">
        <f>IF(Items[[#This Row],[ID]]="","",IFERROR(LOOKUP(2,1/((Log[ID]=Items[[#This Row],[ID]])*(Log[Into]&lt;&gt;"")),Log[Into]),""))</f>
      </c>
      <c r="M217" s="17">
        <f>IF(Items[[#This Row],[ID]]="","",IF(IFERROR(LOOKUP(2,1/((Log[ID]=Items[[#This Row],[ID]])*(Log[Blk]&lt;&gt;"")),Log[Blk]),0)=1,"Y",""))</f>
      </c>
      <c r="N217" s="17">
        <f>IF(Items[[#This Row],[ID]]="","",SUBSTITUTE(IFERROR(LOOKUP(2,1/((Log[ID]=Items[[#This Row],[ID]])*(Log[State]&lt;&gt;"")),Log[State]),"TODO"),"OPEN",IF(Items[[#This Row],[Blocked]]="Y","WAIT","OPEN")))</f>
      </c>
      <c r="O21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17" s="17">
        <f>IF(Items[[#This Row],[State]]&lt;&gt;"WAIT","",AsOf-Items[[#This Row],[Blocked since]])</f>
      </c>
      <c r="Q217" s="17">
        <f>IF(Items[[#This Row],[State]]&lt;&gt;"WAIT","",IFERROR(LOOKUP(2,1/((Log[ID]=Items[[#This Row],[ID]])*(Log[Verb]="block")),Log[Note])&amp;"",""))</f>
      </c>
      <c r="R217" s="17">
        <f>IF(Items[[#This Row],[ID]]="","",COUNTIFS(Log[ID],Items[[#This Row],[ID]],Log[Verb],"carry"))</f>
      </c>
      <c r="S217" s="17">
        <f>IF(Items[[#This Row],[ID]]="","",COUNTIFS(Log[ID],Items[[#This Row],[ID]],Log[Verb],"punt"))</f>
      </c>
      <c r="T217" s="11">
        <f>IF(Items[[#This Row],[State]]&lt;&gt;"DONE","",IFERROR(LOOKUP(2,1/((Log[ID]=Items[[#This Row],[ID]])*(Log[Verb]="done")),Log[Date]),""))</f>
      </c>
      <c r="U217" s="17">
        <f>IF(Items[[#This Row],[ID]]="","",IF(AND(Items[[#This Row],[Sprint]]=CurSprint,OR(Items[[#This Row],[State]]="OPEN",Items[[#This Row],[State]]="WAIT",Items[[#This Row],[State]]="HOLD",Items[[#This Row],[State]]="DONE")),1,0))</f>
      </c>
      <c r="V217" s="17">
        <f>IF(OR(Items[[#This Row],[ID]]="",Items[[#This Row],[Added]]=""),"",AsOf-Items[[#This Row],[Added]])</f>
      </c>
      <c r="W217" s="17">
        <f>IF(Items[[#This Row],[In sprint]]=1,(IF(Items[[#This Row],[Prio]]="",9,N(Items[[#This Row],[Prio]]))*10+(IF(Items[[#This Row],[State]]="DONE",1,0)))*100000+ROW(),"")</f>
      </c>
      <c r="X21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17" s="17">
        <f>IF(AND(Items[[#This Row],[State]]="DONE",N(Items[[#This Row],[Done on]])&gt;AsOf-7),(200000-N(Items[[#This Row],[Done on]]))*100000+ROW(),"")</f>
      </c>
    </row>
    <row r="218">
      <c r="A218" t="s">
        <v>391</v>
      </c>
      <c r="B218" t="s">
        <v>1430</v>
      </c>
      <c r="C218" t="s">
        <v>1115</v>
      </c>
      <c r="D218" t="s">
        <v>1116</v>
      </c>
      <c r="E218" t="s">
        <v>1124</v>
      </c>
      <c r="F218" t="s">
        <v>1155</v>
      </c>
      <c r="G218">
        <v>2</v>
      </c>
      <c r="H218">
        <v>2</v>
      </c>
      <c r="I218" s="11">
        <v>46105</v>
      </c>
      <c r="J218" s="17">
        <f>IF(Items[[#This Row],[ID]]="","",IFERROR(VALUE(LOOKUP(2,1/((Log[ID]=Items[[#This Row],[ID]])*(Log[Verb]="est")),Log[Arg])),N(Items[[#This Row],[Points]])))</f>
      </c>
      <c r="K218" s="17">
        <f>IF(Items[[#This Row],[ID]]="","",IFERROR(LOOKUP(2,1/((Log[ID]=Items[[#This Row],[ID]])*(Log[Verb]="pass")),Log[Arg])&amp;"",Items[[#This Row],[Team]]&amp;""))</f>
      </c>
      <c r="L218" s="17">
        <f>IF(Items[[#This Row],[ID]]="","",IFERROR(LOOKUP(2,1/((Log[ID]=Items[[#This Row],[ID]])*(Log[Into]&lt;&gt;"")),Log[Into]),""))</f>
      </c>
      <c r="M218" s="17">
        <f>IF(Items[[#This Row],[ID]]="","",IF(IFERROR(LOOKUP(2,1/((Log[ID]=Items[[#This Row],[ID]])*(Log[Blk]&lt;&gt;"")),Log[Blk]),0)=1,"Y",""))</f>
      </c>
      <c r="N218" s="17">
        <f>IF(Items[[#This Row],[ID]]="","",SUBSTITUTE(IFERROR(LOOKUP(2,1/((Log[ID]=Items[[#This Row],[ID]])*(Log[State]&lt;&gt;"")),Log[State]),"TODO"),"OPEN",IF(Items[[#This Row],[Blocked]]="Y","WAIT","OPEN")))</f>
      </c>
      <c r="O21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18" s="17">
        <f>IF(Items[[#This Row],[State]]&lt;&gt;"WAIT","",AsOf-Items[[#This Row],[Blocked since]])</f>
      </c>
      <c r="Q218" s="17">
        <f>IF(Items[[#This Row],[State]]&lt;&gt;"WAIT","",IFERROR(LOOKUP(2,1/((Log[ID]=Items[[#This Row],[ID]])*(Log[Verb]="block")),Log[Note])&amp;"",""))</f>
      </c>
      <c r="R218" s="17">
        <f>IF(Items[[#This Row],[ID]]="","",COUNTIFS(Log[ID],Items[[#This Row],[ID]],Log[Verb],"carry"))</f>
      </c>
      <c r="S218" s="17">
        <f>IF(Items[[#This Row],[ID]]="","",COUNTIFS(Log[ID],Items[[#This Row],[ID]],Log[Verb],"punt"))</f>
      </c>
      <c r="T218" s="11">
        <f>IF(Items[[#This Row],[State]]&lt;&gt;"DONE","",IFERROR(LOOKUP(2,1/((Log[ID]=Items[[#This Row],[ID]])*(Log[Verb]="done")),Log[Date]),""))</f>
      </c>
      <c r="U218" s="17">
        <f>IF(Items[[#This Row],[ID]]="","",IF(AND(Items[[#This Row],[Sprint]]=CurSprint,OR(Items[[#This Row],[State]]="OPEN",Items[[#This Row],[State]]="WAIT",Items[[#This Row],[State]]="HOLD",Items[[#This Row],[State]]="DONE")),1,0))</f>
      </c>
      <c r="V218" s="17">
        <f>IF(OR(Items[[#This Row],[ID]]="",Items[[#This Row],[Added]]=""),"",AsOf-Items[[#This Row],[Added]])</f>
      </c>
      <c r="W218" s="17">
        <f>IF(Items[[#This Row],[In sprint]]=1,(IF(Items[[#This Row],[Prio]]="",9,N(Items[[#This Row],[Prio]]))*10+(IF(Items[[#This Row],[State]]="DONE",1,0)))*100000+ROW(),"")</f>
      </c>
      <c r="X21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18" s="17">
        <f>IF(AND(Items[[#This Row],[State]]="DONE",N(Items[[#This Row],[Done on]])&gt;AsOf-7),(200000-N(Items[[#This Row],[Done on]]))*100000+ROW(),"")</f>
      </c>
    </row>
    <row r="219">
      <c r="A219" t="s">
        <v>392</v>
      </c>
      <c r="B219" t="s">
        <v>1431</v>
      </c>
      <c r="C219" t="s">
        <v>1115</v>
      </c>
      <c r="D219" t="s">
        <v>1119</v>
      </c>
      <c r="E219" t="s">
        <v>1124</v>
      </c>
      <c r="F219" t="s">
        <v>1283</v>
      </c>
      <c r="G219">
        <v>5</v>
      </c>
      <c r="H219">
        <v>2</v>
      </c>
      <c r="I219" s="11">
        <v>46105</v>
      </c>
      <c r="J219" s="17">
        <f>IF(Items[[#This Row],[ID]]="","",IFERROR(VALUE(LOOKUP(2,1/((Log[ID]=Items[[#This Row],[ID]])*(Log[Verb]="est")),Log[Arg])),N(Items[[#This Row],[Points]])))</f>
      </c>
      <c r="K219" s="17">
        <f>IF(Items[[#This Row],[ID]]="","",IFERROR(LOOKUP(2,1/((Log[ID]=Items[[#This Row],[ID]])*(Log[Verb]="pass")),Log[Arg])&amp;"",Items[[#This Row],[Team]]&amp;""))</f>
      </c>
      <c r="L219" s="17">
        <f>IF(Items[[#This Row],[ID]]="","",IFERROR(LOOKUP(2,1/((Log[ID]=Items[[#This Row],[ID]])*(Log[Into]&lt;&gt;"")),Log[Into]),""))</f>
      </c>
      <c r="M219" s="17">
        <f>IF(Items[[#This Row],[ID]]="","",IF(IFERROR(LOOKUP(2,1/((Log[ID]=Items[[#This Row],[ID]])*(Log[Blk]&lt;&gt;"")),Log[Blk]),0)=1,"Y",""))</f>
      </c>
      <c r="N219" s="17">
        <f>IF(Items[[#This Row],[ID]]="","",SUBSTITUTE(IFERROR(LOOKUP(2,1/((Log[ID]=Items[[#This Row],[ID]])*(Log[State]&lt;&gt;"")),Log[State]),"TODO"),"OPEN",IF(Items[[#This Row],[Blocked]]="Y","WAIT","OPEN")))</f>
      </c>
      <c r="O21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19" s="17">
        <f>IF(Items[[#This Row],[State]]&lt;&gt;"WAIT","",AsOf-Items[[#This Row],[Blocked since]])</f>
      </c>
      <c r="Q219" s="17">
        <f>IF(Items[[#This Row],[State]]&lt;&gt;"WAIT","",IFERROR(LOOKUP(2,1/((Log[ID]=Items[[#This Row],[ID]])*(Log[Verb]="block")),Log[Note])&amp;"",""))</f>
      </c>
      <c r="R219" s="17">
        <f>IF(Items[[#This Row],[ID]]="","",COUNTIFS(Log[ID],Items[[#This Row],[ID]],Log[Verb],"carry"))</f>
      </c>
      <c r="S219" s="17">
        <f>IF(Items[[#This Row],[ID]]="","",COUNTIFS(Log[ID],Items[[#This Row],[ID]],Log[Verb],"punt"))</f>
      </c>
      <c r="T219" s="11">
        <f>IF(Items[[#This Row],[State]]&lt;&gt;"DONE","",IFERROR(LOOKUP(2,1/((Log[ID]=Items[[#This Row],[ID]])*(Log[Verb]="done")),Log[Date]),""))</f>
      </c>
      <c r="U219" s="17">
        <f>IF(Items[[#This Row],[ID]]="","",IF(AND(Items[[#This Row],[Sprint]]=CurSprint,OR(Items[[#This Row],[State]]="OPEN",Items[[#This Row],[State]]="WAIT",Items[[#This Row],[State]]="HOLD",Items[[#This Row],[State]]="DONE")),1,0))</f>
      </c>
      <c r="V219" s="17">
        <f>IF(OR(Items[[#This Row],[ID]]="",Items[[#This Row],[Added]]=""),"",AsOf-Items[[#This Row],[Added]])</f>
      </c>
      <c r="W219" s="17">
        <f>IF(Items[[#This Row],[In sprint]]=1,(IF(Items[[#This Row],[Prio]]="",9,N(Items[[#This Row],[Prio]]))*10+(IF(Items[[#This Row],[State]]="DONE",1,0)))*100000+ROW(),"")</f>
      </c>
      <c r="X21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19" s="17">
        <f>IF(AND(Items[[#This Row],[State]]="DONE",N(Items[[#This Row],[Done on]])&gt;AsOf-7),(200000-N(Items[[#This Row],[Done on]]))*100000+ROW(),"")</f>
      </c>
    </row>
    <row r="220">
      <c r="A220" t="s">
        <v>322</v>
      </c>
      <c r="B220" t="s">
        <v>1432</v>
      </c>
      <c r="C220" t="s">
        <v>1115</v>
      </c>
      <c r="D220" t="s">
        <v>1119</v>
      </c>
      <c r="E220" t="s">
        <v>1159</v>
      </c>
      <c r="F220" t="s">
        <v>1433</v>
      </c>
      <c r="G220">
        <v>3</v>
      </c>
      <c r="H220">
        <v>1</v>
      </c>
      <c r="I220" s="11">
        <v>46105</v>
      </c>
      <c r="J220" s="17">
        <f>IF(Items[[#This Row],[ID]]="","",IFERROR(VALUE(LOOKUP(2,1/((Log[ID]=Items[[#This Row],[ID]])*(Log[Verb]="est")),Log[Arg])),N(Items[[#This Row],[Points]])))</f>
      </c>
      <c r="K220" s="17">
        <f>IF(Items[[#This Row],[ID]]="","",IFERROR(LOOKUP(2,1/((Log[ID]=Items[[#This Row],[ID]])*(Log[Verb]="pass")),Log[Arg])&amp;"",Items[[#This Row],[Team]]&amp;""))</f>
      </c>
      <c r="L220" s="17">
        <f>IF(Items[[#This Row],[ID]]="","",IFERROR(LOOKUP(2,1/((Log[ID]=Items[[#This Row],[ID]])*(Log[Into]&lt;&gt;"")),Log[Into]),""))</f>
      </c>
      <c r="M220" s="17">
        <f>IF(Items[[#This Row],[ID]]="","",IF(IFERROR(LOOKUP(2,1/((Log[ID]=Items[[#This Row],[ID]])*(Log[Blk]&lt;&gt;"")),Log[Blk]),0)=1,"Y",""))</f>
      </c>
      <c r="N220" s="17">
        <f>IF(Items[[#This Row],[ID]]="","",SUBSTITUTE(IFERROR(LOOKUP(2,1/((Log[ID]=Items[[#This Row],[ID]])*(Log[State]&lt;&gt;"")),Log[State]),"TODO"),"OPEN",IF(Items[[#This Row],[Blocked]]="Y","WAIT","OPEN")))</f>
      </c>
      <c r="O22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20" s="17">
        <f>IF(Items[[#This Row],[State]]&lt;&gt;"WAIT","",AsOf-Items[[#This Row],[Blocked since]])</f>
      </c>
      <c r="Q220" s="17">
        <f>IF(Items[[#This Row],[State]]&lt;&gt;"WAIT","",IFERROR(LOOKUP(2,1/((Log[ID]=Items[[#This Row],[ID]])*(Log[Verb]="block")),Log[Note])&amp;"",""))</f>
      </c>
      <c r="R220" s="17">
        <f>IF(Items[[#This Row],[ID]]="","",COUNTIFS(Log[ID],Items[[#This Row],[ID]],Log[Verb],"carry"))</f>
      </c>
      <c r="S220" s="17">
        <f>IF(Items[[#This Row],[ID]]="","",COUNTIFS(Log[ID],Items[[#This Row],[ID]],Log[Verb],"punt"))</f>
      </c>
      <c r="T220" s="11">
        <f>IF(Items[[#This Row],[State]]&lt;&gt;"DONE","",IFERROR(LOOKUP(2,1/((Log[ID]=Items[[#This Row],[ID]])*(Log[Verb]="done")),Log[Date]),""))</f>
      </c>
      <c r="U220" s="17">
        <f>IF(Items[[#This Row],[ID]]="","",IF(AND(Items[[#This Row],[Sprint]]=CurSprint,OR(Items[[#This Row],[State]]="OPEN",Items[[#This Row],[State]]="WAIT",Items[[#This Row],[State]]="HOLD",Items[[#This Row],[State]]="DONE")),1,0))</f>
      </c>
      <c r="V220" s="17">
        <f>IF(OR(Items[[#This Row],[ID]]="",Items[[#This Row],[Added]]=""),"",AsOf-Items[[#This Row],[Added]])</f>
      </c>
      <c r="W220" s="17">
        <f>IF(Items[[#This Row],[In sprint]]=1,(IF(Items[[#This Row],[Prio]]="",9,N(Items[[#This Row],[Prio]]))*10+(IF(Items[[#This Row],[State]]="DONE",1,0)))*100000+ROW(),"")</f>
      </c>
      <c r="X22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20" s="17">
        <f>IF(AND(Items[[#This Row],[State]]="DONE",N(Items[[#This Row],[Done on]])&gt;AsOf-7),(200000-N(Items[[#This Row],[Done on]]))*100000+ROW(),"")</f>
      </c>
    </row>
    <row r="221">
      <c r="A221" t="s">
        <v>323</v>
      </c>
      <c r="B221" t="s">
        <v>1434</v>
      </c>
      <c r="C221" t="s">
        <v>1107</v>
      </c>
      <c r="D221" t="s">
        <v>1127</v>
      </c>
      <c r="E221" t="s">
        <v>1159</v>
      </c>
      <c r="F221" t="s">
        <v>1355</v>
      </c>
      <c r="G221">
        <v>5</v>
      </c>
      <c r="H221">
        <v>2</v>
      </c>
      <c r="I221" s="11">
        <v>46105</v>
      </c>
      <c r="J221" s="17">
        <f>IF(Items[[#This Row],[ID]]="","",IFERROR(VALUE(LOOKUP(2,1/((Log[ID]=Items[[#This Row],[ID]])*(Log[Verb]="est")),Log[Arg])),N(Items[[#This Row],[Points]])))</f>
      </c>
      <c r="K221" s="17">
        <f>IF(Items[[#This Row],[ID]]="","",IFERROR(LOOKUP(2,1/((Log[ID]=Items[[#This Row],[ID]])*(Log[Verb]="pass")),Log[Arg])&amp;"",Items[[#This Row],[Team]]&amp;""))</f>
      </c>
      <c r="L221" s="17">
        <f>IF(Items[[#This Row],[ID]]="","",IFERROR(LOOKUP(2,1/((Log[ID]=Items[[#This Row],[ID]])*(Log[Into]&lt;&gt;"")),Log[Into]),""))</f>
      </c>
      <c r="M221" s="17">
        <f>IF(Items[[#This Row],[ID]]="","",IF(IFERROR(LOOKUP(2,1/((Log[ID]=Items[[#This Row],[ID]])*(Log[Blk]&lt;&gt;"")),Log[Blk]),0)=1,"Y",""))</f>
      </c>
      <c r="N221" s="17">
        <f>IF(Items[[#This Row],[ID]]="","",SUBSTITUTE(IFERROR(LOOKUP(2,1/((Log[ID]=Items[[#This Row],[ID]])*(Log[State]&lt;&gt;"")),Log[State]),"TODO"),"OPEN",IF(Items[[#This Row],[Blocked]]="Y","WAIT","OPEN")))</f>
      </c>
      <c r="O22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21" s="17">
        <f>IF(Items[[#This Row],[State]]&lt;&gt;"WAIT","",AsOf-Items[[#This Row],[Blocked since]])</f>
      </c>
      <c r="Q221" s="17">
        <f>IF(Items[[#This Row],[State]]&lt;&gt;"WAIT","",IFERROR(LOOKUP(2,1/((Log[ID]=Items[[#This Row],[ID]])*(Log[Verb]="block")),Log[Note])&amp;"",""))</f>
      </c>
      <c r="R221" s="17">
        <f>IF(Items[[#This Row],[ID]]="","",COUNTIFS(Log[ID],Items[[#This Row],[ID]],Log[Verb],"carry"))</f>
      </c>
      <c r="S221" s="17">
        <f>IF(Items[[#This Row],[ID]]="","",COUNTIFS(Log[ID],Items[[#This Row],[ID]],Log[Verb],"punt"))</f>
      </c>
      <c r="T221" s="11">
        <f>IF(Items[[#This Row],[State]]&lt;&gt;"DONE","",IFERROR(LOOKUP(2,1/((Log[ID]=Items[[#This Row],[ID]])*(Log[Verb]="done")),Log[Date]),""))</f>
      </c>
      <c r="U221" s="17">
        <f>IF(Items[[#This Row],[ID]]="","",IF(AND(Items[[#This Row],[Sprint]]=CurSprint,OR(Items[[#This Row],[State]]="OPEN",Items[[#This Row],[State]]="WAIT",Items[[#This Row],[State]]="HOLD",Items[[#This Row],[State]]="DONE")),1,0))</f>
      </c>
      <c r="V221" s="17">
        <f>IF(OR(Items[[#This Row],[ID]]="",Items[[#This Row],[Added]]=""),"",AsOf-Items[[#This Row],[Added]])</f>
      </c>
      <c r="W221" s="17">
        <f>IF(Items[[#This Row],[In sprint]]=1,(IF(Items[[#This Row],[Prio]]="",9,N(Items[[#This Row],[Prio]]))*10+(IF(Items[[#This Row],[State]]="DONE",1,0)))*100000+ROW(),"")</f>
      </c>
      <c r="X22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21" s="17">
        <f>IF(AND(Items[[#This Row],[State]]="DONE",N(Items[[#This Row],[Done on]])&gt;AsOf-7),(200000-N(Items[[#This Row],[Done on]]))*100000+ROW(),"")</f>
      </c>
    </row>
    <row r="222">
      <c r="A222" t="s">
        <v>324</v>
      </c>
      <c r="B222" t="s">
        <v>1435</v>
      </c>
      <c r="C222" t="s">
        <v>1107</v>
      </c>
      <c r="D222" t="s">
        <v>1108</v>
      </c>
      <c r="E222" t="s">
        <v>1159</v>
      </c>
      <c r="F222" t="s">
        <v>1160</v>
      </c>
      <c r="G222">
        <v>3</v>
      </c>
      <c r="H222">
        <v>3</v>
      </c>
      <c r="I222" s="11">
        <v>46105</v>
      </c>
      <c r="J222" s="17">
        <f>IF(Items[[#This Row],[ID]]="","",IFERROR(VALUE(LOOKUP(2,1/((Log[ID]=Items[[#This Row],[ID]])*(Log[Verb]="est")),Log[Arg])),N(Items[[#This Row],[Points]])))</f>
      </c>
      <c r="K222" s="17">
        <f>IF(Items[[#This Row],[ID]]="","",IFERROR(LOOKUP(2,1/((Log[ID]=Items[[#This Row],[ID]])*(Log[Verb]="pass")),Log[Arg])&amp;"",Items[[#This Row],[Team]]&amp;""))</f>
      </c>
      <c r="L222" s="17">
        <f>IF(Items[[#This Row],[ID]]="","",IFERROR(LOOKUP(2,1/((Log[ID]=Items[[#This Row],[ID]])*(Log[Into]&lt;&gt;"")),Log[Into]),""))</f>
      </c>
      <c r="M222" s="17">
        <f>IF(Items[[#This Row],[ID]]="","",IF(IFERROR(LOOKUP(2,1/((Log[ID]=Items[[#This Row],[ID]])*(Log[Blk]&lt;&gt;"")),Log[Blk]),0)=1,"Y",""))</f>
      </c>
      <c r="N222" s="17">
        <f>IF(Items[[#This Row],[ID]]="","",SUBSTITUTE(IFERROR(LOOKUP(2,1/((Log[ID]=Items[[#This Row],[ID]])*(Log[State]&lt;&gt;"")),Log[State]),"TODO"),"OPEN",IF(Items[[#This Row],[Blocked]]="Y","WAIT","OPEN")))</f>
      </c>
      <c r="O22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22" s="17">
        <f>IF(Items[[#This Row],[State]]&lt;&gt;"WAIT","",AsOf-Items[[#This Row],[Blocked since]])</f>
      </c>
      <c r="Q222" s="17">
        <f>IF(Items[[#This Row],[State]]&lt;&gt;"WAIT","",IFERROR(LOOKUP(2,1/((Log[ID]=Items[[#This Row],[ID]])*(Log[Verb]="block")),Log[Note])&amp;"",""))</f>
      </c>
      <c r="R222" s="17">
        <f>IF(Items[[#This Row],[ID]]="","",COUNTIFS(Log[ID],Items[[#This Row],[ID]],Log[Verb],"carry"))</f>
      </c>
      <c r="S222" s="17">
        <f>IF(Items[[#This Row],[ID]]="","",COUNTIFS(Log[ID],Items[[#This Row],[ID]],Log[Verb],"punt"))</f>
      </c>
      <c r="T222" s="11">
        <f>IF(Items[[#This Row],[State]]&lt;&gt;"DONE","",IFERROR(LOOKUP(2,1/((Log[ID]=Items[[#This Row],[ID]])*(Log[Verb]="done")),Log[Date]),""))</f>
      </c>
      <c r="U222" s="17">
        <f>IF(Items[[#This Row],[ID]]="","",IF(AND(Items[[#This Row],[Sprint]]=CurSprint,OR(Items[[#This Row],[State]]="OPEN",Items[[#This Row],[State]]="WAIT",Items[[#This Row],[State]]="HOLD",Items[[#This Row],[State]]="DONE")),1,0))</f>
      </c>
      <c r="V222" s="17">
        <f>IF(OR(Items[[#This Row],[ID]]="",Items[[#This Row],[Added]]=""),"",AsOf-Items[[#This Row],[Added]])</f>
      </c>
      <c r="W222" s="17">
        <f>IF(Items[[#This Row],[In sprint]]=1,(IF(Items[[#This Row],[Prio]]="",9,N(Items[[#This Row],[Prio]]))*10+(IF(Items[[#This Row],[State]]="DONE",1,0)))*100000+ROW(),"")</f>
      </c>
      <c r="X22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22" s="17">
        <f>IF(AND(Items[[#This Row],[State]]="DONE",N(Items[[#This Row],[Done on]])&gt;AsOf-7),(200000-N(Items[[#This Row],[Done on]]))*100000+ROW(),"")</f>
      </c>
    </row>
    <row r="223">
      <c r="A223" t="s">
        <v>325</v>
      </c>
      <c r="B223" t="s">
        <v>1436</v>
      </c>
      <c r="C223" t="s">
        <v>1107</v>
      </c>
      <c r="D223" t="s">
        <v>1123</v>
      </c>
      <c r="E223" t="s">
        <v>1159</v>
      </c>
      <c r="F223" t="s">
        <v>1437</v>
      </c>
      <c r="G223">
        <v>5</v>
      </c>
      <c r="H223">
        <v>2</v>
      </c>
      <c r="I223" s="11">
        <v>46105</v>
      </c>
      <c r="J223" s="17">
        <f>IF(Items[[#This Row],[ID]]="","",IFERROR(VALUE(LOOKUP(2,1/((Log[ID]=Items[[#This Row],[ID]])*(Log[Verb]="est")),Log[Arg])),N(Items[[#This Row],[Points]])))</f>
      </c>
      <c r="K223" s="17">
        <f>IF(Items[[#This Row],[ID]]="","",IFERROR(LOOKUP(2,1/((Log[ID]=Items[[#This Row],[ID]])*(Log[Verb]="pass")),Log[Arg])&amp;"",Items[[#This Row],[Team]]&amp;""))</f>
      </c>
      <c r="L223" s="17">
        <f>IF(Items[[#This Row],[ID]]="","",IFERROR(LOOKUP(2,1/((Log[ID]=Items[[#This Row],[ID]])*(Log[Into]&lt;&gt;"")),Log[Into]),""))</f>
      </c>
      <c r="M223" s="17">
        <f>IF(Items[[#This Row],[ID]]="","",IF(IFERROR(LOOKUP(2,1/((Log[ID]=Items[[#This Row],[ID]])*(Log[Blk]&lt;&gt;"")),Log[Blk]),0)=1,"Y",""))</f>
      </c>
      <c r="N223" s="17">
        <f>IF(Items[[#This Row],[ID]]="","",SUBSTITUTE(IFERROR(LOOKUP(2,1/((Log[ID]=Items[[#This Row],[ID]])*(Log[State]&lt;&gt;"")),Log[State]),"TODO"),"OPEN",IF(Items[[#This Row],[Blocked]]="Y","WAIT","OPEN")))</f>
      </c>
      <c r="O22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23" s="17">
        <f>IF(Items[[#This Row],[State]]&lt;&gt;"WAIT","",AsOf-Items[[#This Row],[Blocked since]])</f>
      </c>
      <c r="Q223" s="17">
        <f>IF(Items[[#This Row],[State]]&lt;&gt;"WAIT","",IFERROR(LOOKUP(2,1/((Log[ID]=Items[[#This Row],[ID]])*(Log[Verb]="block")),Log[Note])&amp;"",""))</f>
      </c>
      <c r="R223" s="17">
        <f>IF(Items[[#This Row],[ID]]="","",COUNTIFS(Log[ID],Items[[#This Row],[ID]],Log[Verb],"carry"))</f>
      </c>
      <c r="S223" s="17">
        <f>IF(Items[[#This Row],[ID]]="","",COUNTIFS(Log[ID],Items[[#This Row],[ID]],Log[Verb],"punt"))</f>
      </c>
      <c r="T223" s="11">
        <f>IF(Items[[#This Row],[State]]&lt;&gt;"DONE","",IFERROR(LOOKUP(2,1/((Log[ID]=Items[[#This Row],[ID]])*(Log[Verb]="done")),Log[Date]),""))</f>
      </c>
      <c r="U223" s="17">
        <f>IF(Items[[#This Row],[ID]]="","",IF(AND(Items[[#This Row],[Sprint]]=CurSprint,OR(Items[[#This Row],[State]]="OPEN",Items[[#This Row],[State]]="WAIT",Items[[#This Row],[State]]="HOLD",Items[[#This Row],[State]]="DONE")),1,0))</f>
      </c>
      <c r="V223" s="17">
        <f>IF(OR(Items[[#This Row],[ID]]="",Items[[#This Row],[Added]]=""),"",AsOf-Items[[#This Row],[Added]])</f>
      </c>
      <c r="W223" s="17">
        <f>IF(Items[[#This Row],[In sprint]]=1,(IF(Items[[#This Row],[Prio]]="",9,N(Items[[#This Row],[Prio]]))*10+(IF(Items[[#This Row],[State]]="DONE",1,0)))*100000+ROW(),"")</f>
      </c>
      <c r="X22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23" s="17">
        <f>IF(AND(Items[[#This Row],[State]]="DONE",N(Items[[#This Row],[Done on]])&gt;AsOf-7),(200000-N(Items[[#This Row],[Done on]]))*100000+ROW(),"")</f>
      </c>
    </row>
    <row r="224">
      <c r="A224" t="s">
        <v>326</v>
      </c>
      <c r="B224" t="s">
        <v>1438</v>
      </c>
      <c r="C224" t="s">
        <v>1107</v>
      </c>
      <c r="D224" t="s">
        <v>1127</v>
      </c>
      <c r="E224" t="s">
        <v>1159</v>
      </c>
      <c r="F224" t="s">
        <v>1439</v>
      </c>
      <c r="G224">
        <v>2</v>
      </c>
      <c r="H224">
        <v>1</v>
      </c>
      <c r="I224" s="11">
        <v>46105</v>
      </c>
      <c r="J224" s="17">
        <f>IF(Items[[#This Row],[ID]]="","",IFERROR(VALUE(LOOKUP(2,1/((Log[ID]=Items[[#This Row],[ID]])*(Log[Verb]="est")),Log[Arg])),N(Items[[#This Row],[Points]])))</f>
      </c>
      <c r="K224" s="17">
        <f>IF(Items[[#This Row],[ID]]="","",IFERROR(LOOKUP(2,1/((Log[ID]=Items[[#This Row],[ID]])*(Log[Verb]="pass")),Log[Arg])&amp;"",Items[[#This Row],[Team]]&amp;""))</f>
      </c>
      <c r="L224" s="17">
        <f>IF(Items[[#This Row],[ID]]="","",IFERROR(LOOKUP(2,1/((Log[ID]=Items[[#This Row],[ID]])*(Log[Into]&lt;&gt;"")),Log[Into]),""))</f>
      </c>
      <c r="M224" s="17">
        <f>IF(Items[[#This Row],[ID]]="","",IF(IFERROR(LOOKUP(2,1/((Log[ID]=Items[[#This Row],[ID]])*(Log[Blk]&lt;&gt;"")),Log[Blk]),0)=1,"Y",""))</f>
      </c>
      <c r="N224" s="17">
        <f>IF(Items[[#This Row],[ID]]="","",SUBSTITUTE(IFERROR(LOOKUP(2,1/((Log[ID]=Items[[#This Row],[ID]])*(Log[State]&lt;&gt;"")),Log[State]),"TODO"),"OPEN",IF(Items[[#This Row],[Blocked]]="Y","WAIT","OPEN")))</f>
      </c>
      <c r="O22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24" s="17">
        <f>IF(Items[[#This Row],[State]]&lt;&gt;"WAIT","",AsOf-Items[[#This Row],[Blocked since]])</f>
      </c>
      <c r="Q224" s="17">
        <f>IF(Items[[#This Row],[State]]&lt;&gt;"WAIT","",IFERROR(LOOKUP(2,1/((Log[ID]=Items[[#This Row],[ID]])*(Log[Verb]="block")),Log[Note])&amp;"",""))</f>
      </c>
      <c r="R224" s="17">
        <f>IF(Items[[#This Row],[ID]]="","",COUNTIFS(Log[ID],Items[[#This Row],[ID]],Log[Verb],"carry"))</f>
      </c>
      <c r="S224" s="17">
        <f>IF(Items[[#This Row],[ID]]="","",COUNTIFS(Log[ID],Items[[#This Row],[ID]],Log[Verb],"punt"))</f>
      </c>
      <c r="T224" s="11">
        <f>IF(Items[[#This Row],[State]]&lt;&gt;"DONE","",IFERROR(LOOKUP(2,1/((Log[ID]=Items[[#This Row],[ID]])*(Log[Verb]="done")),Log[Date]),""))</f>
      </c>
      <c r="U224" s="17">
        <f>IF(Items[[#This Row],[ID]]="","",IF(AND(Items[[#This Row],[Sprint]]=CurSprint,OR(Items[[#This Row],[State]]="OPEN",Items[[#This Row],[State]]="WAIT",Items[[#This Row],[State]]="HOLD",Items[[#This Row],[State]]="DONE")),1,0))</f>
      </c>
      <c r="V224" s="17">
        <f>IF(OR(Items[[#This Row],[ID]]="",Items[[#This Row],[Added]]=""),"",AsOf-Items[[#This Row],[Added]])</f>
      </c>
      <c r="W224" s="17">
        <f>IF(Items[[#This Row],[In sprint]]=1,(IF(Items[[#This Row],[Prio]]="",9,N(Items[[#This Row],[Prio]]))*10+(IF(Items[[#This Row],[State]]="DONE",1,0)))*100000+ROW(),"")</f>
      </c>
      <c r="X22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24" s="17">
        <f>IF(AND(Items[[#This Row],[State]]="DONE",N(Items[[#This Row],[Done on]])&gt;AsOf-7),(200000-N(Items[[#This Row],[Done on]]))*100000+ROW(),"")</f>
      </c>
    </row>
    <row r="225">
      <c r="A225" t="s">
        <v>394</v>
      </c>
      <c r="B225" t="s">
        <v>1440</v>
      </c>
      <c r="C225" t="s">
        <v>1107</v>
      </c>
      <c r="D225" t="s">
        <v>1108</v>
      </c>
      <c r="E225" t="s">
        <v>1159</v>
      </c>
      <c r="F225" t="s">
        <v>1433</v>
      </c>
      <c r="G225">
        <v>5</v>
      </c>
      <c r="H225">
        <v>2</v>
      </c>
      <c r="I225" s="11">
        <v>46105</v>
      </c>
      <c r="J225" s="17">
        <f>IF(Items[[#This Row],[ID]]="","",IFERROR(VALUE(LOOKUP(2,1/((Log[ID]=Items[[#This Row],[ID]])*(Log[Verb]="est")),Log[Arg])),N(Items[[#This Row],[Points]])))</f>
      </c>
      <c r="K225" s="17">
        <f>IF(Items[[#This Row],[ID]]="","",IFERROR(LOOKUP(2,1/((Log[ID]=Items[[#This Row],[ID]])*(Log[Verb]="pass")),Log[Arg])&amp;"",Items[[#This Row],[Team]]&amp;""))</f>
      </c>
      <c r="L225" s="17">
        <f>IF(Items[[#This Row],[ID]]="","",IFERROR(LOOKUP(2,1/((Log[ID]=Items[[#This Row],[ID]])*(Log[Into]&lt;&gt;"")),Log[Into]),""))</f>
      </c>
      <c r="M225" s="17">
        <f>IF(Items[[#This Row],[ID]]="","",IF(IFERROR(LOOKUP(2,1/((Log[ID]=Items[[#This Row],[ID]])*(Log[Blk]&lt;&gt;"")),Log[Blk]),0)=1,"Y",""))</f>
      </c>
      <c r="N225" s="17">
        <f>IF(Items[[#This Row],[ID]]="","",SUBSTITUTE(IFERROR(LOOKUP(2,1/((Log[ID]=Items[[#This Row],[ID]])*(Log[State]&lt;&gt;"")),Log[State]),"TODO"),"OPEN",IF(Items[[#This Row],[Blocked]]="Y","WAIT","OPEN")))</f>
      </c>
      <c r="O22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25" s="17">
        <f>IF(Items[[#This Row],[State]]&lt;&gt;"WAIT","",AsOf-Items[[#This Row],[Blocked since]])</f>
      </c>
      <c r="Q225" s="17">
        <f>IF(Items[[#This Row],[State]]&lt;&gt;"WAIT","",IFERROR(LOOKUP(2,1/((Log[ID]=Items[[#This Row],[ID]])*(Log[Verb]="block")),Log[Note])&amp;"",""))</f>
      </c>
      <c r="R225" s="17">
        <f>IF(Items[[#This Row],[ID]]="","",COUNTIFS(Log[ID],Items[[#This Row],[ID]],Log[Verb],"carry"))</f>
      </c>
      <c r="S225" s="17">
        <f>IF(Items[[#This Row],[ID]]="","",COUNTIFS(Log[ID],Items[[#This Row],[ID]],Log[Verb],"punt"))</f>
      </c>
      <c r="T225" s="11">
        <f>IF(Items[[#This Row],[State]]&lt;&gt;"DONE","",IFERROR(LOOKUP(2,1/((Log[ID]=Items[[#This Row],[ID]])*(Log[Verb]="done")),Log[Date]),""))</f>
      </c>
      <c r="U225" s="17">
        <f>IF(Items[[#This Row],[ID]]="","",IF(AND(Items[[#This Row],[Sprint]]=CurSprint,OR(Items[[#This Row],[State]]="OPEN",Items[[#This Row],[State]]="WAIT",Items[[#This Row],[State]]="HOLD",Items[[#This Row],[State]]="DONE")),1,0))</f>
      </c>
      <c r="V225" s="17">
        <f>IF(OR(Items[[#This Row],[ID]]="",Items[[#This Row],[Added]]=""),"",AsOf-Items[[#This Row],[Added]])</f>
      </c>
      <c r="W225" s="17">
        <f>IF(Items[[#This Row],[In sprint]]=1,(IF(Items[[#This Row],[Prio]]="",9,N(Items[[#This Row],[Prio]]))*10+(IF(Items[[#This Row],[State]]="DONE",1,0)))*100000+ROW(),"")</f>
      </c>
      <c r="X22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25" s="17">
        <f>IF(AND(Items[[#This Row],[State]]="DONE",N(Items[[#This Row],[Done on]])&gt;AsOf-7),(200000-N(Items[[#This Row],[Done on]]))*100000+ROW(),"")</f>
      </c>
    </row>
    <row r="226">
      <c r="A226" t="s">
        <v>395</v>
      </c>
      <c r="B226" t="s">
        <v>1441</v>
      </c>
      <c r="C226" t="s">
        <v>1107</v>
      </c>
      <c r="D226" t="s">
        <v>1108</v>
      </c>
      <c r="E226" t="s">
        <v>1159</v>
      </c>
      <c r="F226" t="s">
        <v>1433</v>
      </c>
      <c r="G226">
        <v>8</v>
      </c>
      <c r="H226">
        <v>2</v>
      </c>
      <c r="I226" s="11">
        <v>46105</v>
      </c>
      <c r="J226" s="17">
        <f>IF(Items[[#This Row],[ID]]="","",IFERROR(VALUE(LOOKUP(2,1/((Log[ID]=Items[[#This Row],[ID]])*(Log[Verb]="est")),Log[Arg])),N(Items[[#This Row],[Points]])))</f>
      </c>
      <c r="K226" s="17">
        <f>IF(Items[[#This Row],[ID]]="","",IFERROR(LOOKUP(2,1/((Log[ID]=Items[[#This Row],[ID]])*(Log[Verb]="pass")),Log[Arg])&amp;"",Items[[#This Row],[Team]]&amp;""))</f>
      </c>
      <c r="L226" s="17">
        <f>IF(Items[[#This Row],[ID]]="","",IFERROR(LOOKUP(2,1/((Log[ID]=Items[[#This Row],[ID]])*(Log[Into]&lt;&gt;"")),Log[Into]),""))</f>
      </c>
      <c r="M226" s="17">
        <f>IF(Items[[#This Row],[ID]]="","",IF(IFERROR(LOOKUP(2,1/((Log[ID]=Items[[#This Row],[ID]])*(Log[Blk]&lt;&gt;"")),Log[Blk]),0)=1,"Y",""))</f>
      </c>
      <c r="N226" s="17">
        <f>IF(Items[[#This Row],[ID]]="","",SUBSTITUTE(IFERROR(LOOKUP(2,1/((Log[ID]=Items[[#This Row],[ID]])*(Log[State]&lt;&gt;"")),Log[State]),"TODO"),"OPEN",IF(Items[[#This Row],[Blocked]]="Y","WAIT","OPEN")))</f>
      </c>
      <c r="O22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26" s="17">
        <f>IF(Items[[#This Row],[State]]&lt;&gt;"WAIT","",AsOf-Items[[#This Row],[Blocked since]])</f>
      </c>
      <c r="Q226" s="17">
        <f>IF(Items[[#This Row],[State]]&lt;&gt;"WAIT","",IFERROR(LOOKUP(2,1/((Log[ID]=Items[[#This Row],[ID]])*(Log[Verb]="block")),Log[Note])&amp;"",""))</f>
      </c>
      <c r="R226" s="17">
        <f>IF(Items[[#This Row],[ID]]="","",COUNTIFS(Log[ID],Items[[#This Row],[ID]],Log[Verb],"carry"))</f>
      </c>
      <c r="S226" s="17">
        <f>IF(Items[[#This Row],[ID]]="","",COUNTIFS(Log[ID],Items[[#This Row],[ID]],Log[Verb],"punt"))</f>
      </c>
      <c r="T226" s="11">
        <f>IF(Items[[#This Row],[State]]&lt;&gt;"DONE","",IFERROR(LOOKUP(2,1/((Log[ID]=Items[[#This Row],[ID]])*(Log[Verb]="done")),Log[Date]),""))</f>
      </c>
      <c r="U226" s="17">
        <f>IF(Items[[#This Row],[ID]]="","",IF(AND(Items[[#This Row],[Sprint]]=CurSprint,OR(Items[[#This Row],[State]]="OPEN",Items[[#This Row],[State]]="WAIT",Items[[#This Row],[State]]="HOLD",Items[[#This Row],[State]]="DONE")),1,0))</f>
      </c>
      <c r="V226" s="17">
        <f>IF(OR(Items[[#This Row],[ID]]="",Items[[#This Row],[Added]]=""),"",AsOf-Items[[#This Row],[Added]])</f>
      </c>
      <c r="W226" s="17">
        <f>IF(Items[[#This Row],[In sprint]]=1,(IF(Items[[#This Row],[Prio]]="",9,N(Items[[#This Row],[Prio]]))*10+(IF(Items[[#This Row],[State]]="DONE",1,0)))*100000+ROW(),"")</f>
      </c>
      <c r="X22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26" s="17">
        <f>IF(AND(Items[[#This Row],[State]]="DONE",N(Items[[#This Row],[Done on]])&gt;AsOf-7),(200000-N(Items[[#This Row],[Done on]]))*100000+ROW(),"")</f>
      </c>
    </row>
    <row r="227">
      <c r="A227" t="s">
        <v>396</v>
      </c>
      <c r="B227" t="s">
        <v>1442</v>
      </c>
      <c r="C227" t="s">
        <v>1107</v>
      </c>
      <c r="D227" t="s">
        <v>1108</v>
      </c>
      <c r="E227" t="s">
        <v>1159</v>
      </c>
      <c r="F227" t="s">
        <v>1358</v>
      </c>
      <c r="G227">
        <v>3</v>
      </c>
      <c r="H227">
        <v>2</v>
      </c>
      <c r="I227" s="11">
        <v>46105</v>
      </c>
      <c r="J227" s="17">
        <f>IF(Items[[#This Row],[ID]]="","",IFERROR(VALUE(LOOKUP(2,1/((Log[ID]=Items[[#This Row],[ID]])*(Log[Verb]="est")),Log[Arg])),N(Items[[#This Row],[Points]])))</f>
      </c>
      <c r="K227" s="17">
        <f>IF(Items[[#This Row],[ID]]="","",IFERROR(LOOKUP(2,1/((Log[ID]=Items[[#This Row],[ID]])*(Log[Verb]="pass")),Log[Arg])&amp;"",Items[[#This Row],[Team]]&amp;""))</f>
      </c>
      <c r="L227" s="17">
        <f>IF(Items[[#This Row],[ID]]="","",IFERROR(LOOKUP(2,1/((Log[ID]=Items[[#This Row],[ID]])*(Log[Into]&lt;&gt;"")),Log[Into]),""))</f>
      </c>
      <c r="M227" s="17">
        <f>IF(Items[[#This Row],[ID]]="","",IF(IFERROR(LOOKUP(2,1/((Log[ID]=Items[[#This Row],[ID]])*(Log[Blk]&lt;&gt;"")),Log[Blk]),0)=1,"Y",""))</f>
      </c>
      <c r="N227" s="17">
        <f>IF(Items[[#This Row],[ID]]="","",SUBSTITUTE(IFERROR(LOOKUP(2,1/((Log[ID]=Items[[#This Row],[ID]])*(Log[State]&lt;&gt;"")),Log[State]),"TODO"),"OPEN",IF(Items[[#This Row],[Blocked]]="Y","WAIT","OPEN")))</f>
      </c>
      <c r="O22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27" s="17">
        <f>IF(Items[[#This Row],[State]]&lt;&gt;"WAIT","",AsOf-Items[[#This Row],[Blocked since]])</f>
      </c>
      <c r="Q227" s="17">
        <f>IF(Items[[#This Row],[State]]&lt;&gt;"WAIT","",IFERROR(LOOKUP(2,1/((Log[ID]=Items[[#This Row],[ID]])*(Log[Verb]="block")),Log[Note])&amp;"",""))</f>
      </c>
      <c r="R227" s="17">
        <f>IF(Items[[#This Row],[ID]]="","",COUNTIFS(Log[ID],Items[[#This Row],[ID]],Log[Verb],"carry"))</f>
      </c>
      <c r="S227" s="17">
        <f>IF(Items[[#This Row],[ID]]="","",COUNTIFS(Log[ID],Items[[#This Row],[ID]],Log[Verb],"punt"))</f>
      </c>
      <c r="T227" s="11">
        <f>IF(Items[[#This Row],[State]]&lt;&gt;"DONE","",IFERROR(LOOKUP(2,1/((Log[ID]=Items[[#This Row],[ID]])*(Log[Verb]="done")),Log[Date]),""))</f>
      </c>
      <c r="U227" s="17">
        <f>IF(Items[[#This Row],[ID]]="","",IF(AND(Items[[#This Row],[Sprint]]=CurSprint,OR(Items[[#This Row],[State]]="OPEN",Items[[#This Row],[State]]="WAIT",Items[[#This Row],[State]]="HOLD",Items[[#This Row],[State]]="DONE")),1,0))</f>
      </c>
      <c r="V227" s="17">
        <f>IF(OR(Items[[#This Row],[ID]]="",Items[[#This Row],[Added]]=""),"",AsOf-Items[[#This Row],[Added]])</f>
      </c>
      <c r="W227" s="17">
        <f>IF(Items[[#This Row],[In sprint]]=1,(IF(Items[[#This Row],[Prio]]="",9,N(Items[[#This Row],[Prio]]))*10+(IF(Items[[#This Row],[State]]="DONE",1,0)))*100000+ROW(),"")</f>
      </c>
      <c r="X22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27" s="17">
        <f>IF(AND(Items[[#This Row],[State]]="DONE",N(Items[[#This Row],[Done on]])&gt;AsOf-7),(200000-N(Items[[#This Row],[Done on]]))*100000+ROW(),"")</f>
      </c>
    </row>
    <row r="228">
      <c r="A228" t="s">
        <v>397</v>
      </c>
      <c r="B228" t="s">
        <v>1443</v>
      </c>
      <c r="C228" t="s">
        <v>1107</v>
      </c>
      <c r="D228" t="s">
        <v>1123</v>
      </c>
      <c r="E228" t="s">
        <v>1159</v>
      </c>
      <c r="F228" t="s">
        <v>1355</v>
      </c>
      <c r="G228">
        <v>5</v>
      </c>
      <c r="H228">
        <v>2</v>
      </c>
      <c r="I228" s="11">
        <v>46105</v>
      </c>
      <c r="J228" s="17">
        <f>IF(Items[[#This Row],[ID]]="","",IFERROR(VALUE(LOOKUP(2,1/((Log[ID]=Items[[#This Row],[ID]])*(Log[Verb]="est")),Log[Arg])),N(Items[[#This Row],[Points]])))</f>
      </c>
      <c r="K228" s="17">
        <f>IF(Items[[#This Row],[ID]]="","",IFERROR(LOOKUP(2,1/((Log[ID]=Items[[#This Row],[ID]])*(Log[Verb]="pass")),Log[Arg])&amp;"",Items[[#This Row],[Team]]&amp;""))</f>
      </c>
      <c r="L228" s="17">
        <f>IF(Items[[#This Row],[ID]]="","",IFERROR(LOOKUP(2,1/((Log[ID]=Items[[#This Row],[ID]])*(Log[Into]&lt;&gt;"")),Log[Into]),""))</f>
      </c>
      <c r="M228" s="17">
        <f>IF(Items[[#This Row],[ID]]="","",IF(IFERROR(LOOKUP(2,1/((Log[ID]=Items[[#This Row],[ID]])*(Log[Blk]&lt;&gt;"")),Log[Blk]),0)=1,"Y",""))</f>
      </c>
      <c r="N228" s="17">
        <f>IF(Items[[#This Row],[ID]]="","",SUBSTITUTE(IFERROR(LOOKUP(2,1/((Log[ID]=Items[[#This Row],[ID]])*(Log[State]&lt;&gt;"")),Log[State]),"TODO"),"OPEN",IF(Items[[#This Row],[Blocked]]="Y","WAIT","OPEN")))</f>
      </c>
      <c r="O22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28" s="17">
        <f>IF(Items[[#This Row],[State]]&lt;&gt;"WAIT","",AsOf-Items[[#This Row],[Blocked since]])</f>
      </c>
      <c r="Q228" s="17">
        <f>IF(Items[[#This Row],[State]]&lt;&gt;"WAIT","",IFERROR(LOOKUP(2,1/((Log[ID]=Items[[#This Row],[ID]])*(Log[Verb]="block")),Log[Note])&amp;"",""))</f>
      </c>
      <c r="R228" s="17">
        <f>IF(Items[[#This Row],[ID]]="","",COUNTIFS(Log[ID],Items[[#This Row],[ID]],Log[Verb],"carry"))</f>
      </c>
      <c r="S228" s="17">
        <f>IF(Items[[#This Row],[ID]]="","",COUNTIFS(Log[ID],Items[[#This Row],[ID]],Log[Verb],"punt"))</f>
      </c>
      <c r="T228" s="11">
        <f>IF(Items[[#This Row],[State]]&lt;&gt;"DONE","",IFERROR(LOOKUP(2,1/((Log[ID]=Items[[#This Row],[ID]])*(Log[Verb]="done")),Log[Date]),""))</f>
      </c>
      <c r="U228" s="17">
        <f>IF(Items[[#This Row],[ID]]="","",IF(AND(Items[[#This Row],[Sprint]]=CurSprint,OR(Items[[#This Row],[State]]="OPEN",Items[[#This Row],[State]]="WAIT",Items[[#This Row],[State]]="HOLD",Items[[#This Row],[State]]="DONE")),1,0))</f>
      </c>
      <c r="V228" s="17">
        <f>IF(OR(Items[[#This Row],[ID]]="",Items[[#This Row],[Added]]=""),"",AsOf-Items[[#This Row],[Added]])</f>
      </c>
      <c r="W228" s="17">
        <f>IF(Items[[#This Row],[In sprint]]=1,(IF(Items[[#This Row],[Prio]]="",9,N(Items[[#This Row],[Prio]]))*10+(IF(Items[[#This Row],[State]]="DONE",1,0)))*100000+ROW(),"")</f>
      </c>
      <c r="X22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28" s="17">
        <f>IF(AND(Items[[#This Row],[State]]="DONE",N(Items[[#This Row],[Done on]])&gt;AsOf-7),(200000-N(Items[[#This Row],[Done on]]))*100000+ROW(),"")</f>
      </c>
    </row>
    <row r="229">
      <c r="A229" t="s">
        <v>335</v>
      </c>
      <c r="B229" t="s">
        <v>1444</v>
      </c>
      <c r="C229" t="s">
        <v>1107</v>
      </c>
      <c r="D229" t="s">
        <v>1108</v>
      </c>
      <c r="E229" t="s">
        <v>1128</v>
      </c>
      <c r="F229" t="s">
        <v>1164</v>
      </c>
      <c r="G229">
        <v>3</v>
      </c>
      <c r="H229">
        <v>3</v>
      </c>
      <c r="I229" s="11">
        <v>46105</v>
      </c>
      <c r="J229" s="17">
        <f>IF(Items[[#This Row],[ID]]="","",IFERROR(VALUE(LOOKUP(2,1/((Log[ID]=Items[[#This Row],[ID]])*(Log[Verb]="est")),Log[Arg])),N(Items[[#This Row],[Points]])))</f>
      </c>
      <c r="K229" s="17">
        <f>IF(Items[[#This Row],[ID]]="","",IFERROR(LOOKUP(2,1/((Log[ID]=Items[[#This Row],[ID]])*(Log[Verb]="pass")),Log[Arg])&amp;"",Items[[#This Row],[Team]]&amp;""))</f>
      </c>
      <c r="L229" s="17">
        <f>IF(Items[[#This Row],[ID]]="","",IFERROR(LOOKUP(2,1/((Log[ID]=Items[[#This Row],[ID]])*(Log[Into]&lt;&gt;"")),Log[Into]),""))</f>
      </c>
      <c r="M229" s="17">
        <f>IF(Items[[#This Row],[ID]]="","",IF(IFERROR(LOOKUP(2,1/((Log[ID]=Items[[#This Row],[ID]])*(Log[Blk]&lt;&gt;"")),Log[Blk]),0)=1,"Y",""))</f>
      </c>
      <c r="N229" s="17">
        <f>IF(Items[[#This Row],[ID]]="","",SUBSTITUTE(IFERROR(LOOKUP(2,1/((Log[ID]=Items[[#This Row],[ID]])*(Log[State]&lt;&gt;"")),Log[State]),"TODO"),"OPEN",IF(Items[[#This Row],[Blocked]]="Y","WAIT","OPEN")))</f>
      </c>
      <c r="O22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29" s="17">
        <f>IF(Items[[#This Row],[State]]&lt;&gt;"WAIT","",AsOf-Items[[#This Row],[Blocked since]])</f>
      </c>
      <c r="Q229" s="17">
        <f>IF(Items[[#This Row],[State]]&lt;&gt;"WAIT","",IFERROR(LOOKUP(2,1/((Log[ID]=Items[[#This Row],[ID]])*(Log[Verb]="block")),Log[Note])&amp;"",""))</f>
      </c>
      <c r="R229" s="17">
        <f>IF(Items[[#This Row],[ID]]="","",COUNTIFS(Log[ID],Items[[#This Row],[ID]],Log[Verb],"carry"))</f>
      </c>
      <c r="S229" s="17">
        <f>IF(Items[[#This Row],[ID]]="","",COUNTIFS(Log[ID],Items[[#This Row],[ID]],Log[Verb],"punt"))</f>
      </c>
      <c r="T229" s="11">
        <f>IF(Items[[#This Row],[State]]&lt;&gt;"DONE","",IFERROR(LOOKUP(2,1/((Log[ID]=Items[[#This Row],[ID]])*(Log[Verb]="done")),Log[Date]),""))</f>
      </c>
      <c r="U229" s="17">
        <f>IF(Items[[#This Row],[ID]]="","",IF(AND(Items[[#This Row],[Sprint]]=CurSprint,OR(Items[[#This Row],[State]]="OPEN",Items[[#This Row],[State]]="WAIT",Items[[#This Row],[State]]="HOLD",Items[[#This Row],[State]]="DONE")),1,0))</f>
      </c>
      <c r="V229" s="17">
        <f>IF(OR(Items[[#This Row],[ID]]="",Items[[#This Row],[Added]]=""),"",AsOf-Items[[#This Row],[Added]])</f>
      </c>
      <c r="W229" s="17">
        <f>IF(Items[[#This Row],[In sprint]]=1,(IF(Items[[#This Row],[Prio]]="",9,N(Items[[#This Row],[Prio]]))*10+(IF(Items[[#This Row],[State]]="DONE",1,0)))*100000+ROW(),"")</f>
      </c>
      <c r="X22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29" s="17">
        <f>IF(AND(Items[[#This Row],[State]]="DONE",N(Items[[#This Row],[Done on]])&gt;AsOf-7),(200000-N(Items[[#This Row],[Done on]]))*100000+ROW(),"")</f>
      </c>
    </row>
    <row r="230">
      <c r="A230" t="s">
        <v>400</v>
      </c>
      <c r="B230" t="s">
        <v>1445</v>
      </c>
      <c r="C230" t="s">
        <v>1115</v>
      </c>
      <c r="D230" t="s">
        <v>1116</v>
      </c>
      <c r="E230" t="s">
        <v>1128</v>
      </c>
      <c r="F230" t="s">
        <v>1164</v>
      </c>
      <c r="G230">
        <v>8</v>
      </c>
      <c r="H230">
        <v>2</v>
      </c>
      <c r="I230" s="11">
        <v>46105</v>
      </c>
      <c r="J230" s="17">
        <f>IF(Items[[#This Row],[ID]]="","",IFERROR(VALUE(LOOKUP(2,1/((Log[ID]=Items[[#This Row],[ID]])*(Log[Verb]="est")),Log[Arg])),N(Items[[#This Row],[Points]])))</f>
      </c>
      <c r="K230" s="17">
        <f>IF(Items[[#This Row],[ID]]="","",IFERROR(LOOKUP(2,1/((Log[ID]=Items[[#This Row],[ID]])*(Log[Verb]="pass")),Log[Arg])&amp;"",Items[[#This Row],[Team]]&amp;""))</f>
      </c>
      <c r="L230" s="17">
        <f>IF(Items[[#This Row],[ID]]="","",IFERROR(LOOKUP(2,1/((Log[ID]=Items[[#This Row],[ID]])*(Log[Into]&lt;&gt;"")),Log[Into]),""))</f>
      </c>
      <c r="M230" s="17">
        <f>IF(Items[[#This Row],[ID]]="","",IF(IFERROR(LOOKUP(2,1/((Log[ID]=Items[[#This Row],[ID]])*(Log[Blk]&lt;&gt;"")),Log[Blk]),0)=1,"Y",""))</f>
      </c>
      <c r="N230" s="17">
        <f>IF(Items[[#This Row],[ID]]="","",SUBSTITUTE(IFERROR(LOOKUP(2,1/((Log[ID]=Items[[#This Row],[ID]])*(Log[State]&lt;&gt;"")),Log[State]),"TODO"),"OPEN",IF(Items[[#This Row],[Blocked]]="Y","WAIT","OPEN")))</f>
      </c>
      <c r="O23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30" s="17">
        <f>IF(Items[[#This Row],[State]]&lt;&gt;"WAIT","",AsOf-Items[[#This Row],[Blocked since]])</f>
      </c>
      <c r="Q230" s="17">
        <f>IF(Items[[#This Row],[State]]&lt;&gt;"WAIT","",IFERROR(LOOKUP(2,1/((Log[ID]=Items[[#This Row],[ID]])*(Log[Verb]="block")),Log[Note])&amp;"",""))</f>
      </c>
      <c r="R230" s="17">
        <f>IF(Items[[#This Row],[ID]]="","",COUNTIFS(Log[ID],Items[[#This Row],[ID]],Log[Verb],"carry"))</f>
      </c>
      <c r="S230" s="17">
        <f>IF(Items[[#This Row],[ID]]="","",COUNTIFS(Log[ID],Items[[#This Row],[ID]],Log[Verb],"punt"))</f>
      </c>
      <c r="T230" s="11">
        <f>IF(Items[[#This Row],[State]]&lt;&gt;"DONE","",IFERROR(LOOKUP(2,1/((Log[ID]=Items[[#This Row],[ID]])*(Log[Verb]="done")),Log[Date]),""))</f>
      </c>
      <c r="U230" s="17">
        <f>IF(Items[[#This Row],[ID]]="","",IF(AND(Items[[#This Row],[Sprint]]=CurSprint,OR(Items[[#This Row],[State]]="OPEN",Items[[#This Row],[State]]="WAIT",Items[[#This Row],[State]]="HOLD",Items[[#This Row],[State]]="DONE")),1,0))</f>
      </c>
      <c r="V230" s="17">
        <f>IF(OR(Items[[#This Row],[ID]]="",Items[[#This Row],[Added]]=""),"",AsOf-Items[[#This Row],[Added]])</f>
      </c>
      <c r="W230" s="17">
        <f>IF(Items[[#This Row],[In sprint]]=1,(IF(Items[[#This Row],[Prio]]="",9,N(Items[[#This Row],[Prio]]))*10+(IF(Items[[#This Row],[State]]="DONE",1,0)))*100000+ROW(),"")</f>
      </c>
      <c r="X23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30" s="17">
        <f>IF(AND(Items[[#This Row],[State]]="DONE",N(Items[[#This Row],[Done on]])&gt;AsOf-7),(200000-N(Items[[#This Row],[Done on]]))*100000+ROW(),"")</f>
      </c>
    </row>
    <row r="231">
      <c r="A231" t="s">
        <v>336</v>
      </c>
      <c r="B231" t="s">
        <v>1446</v>
      </c>
      <c r="C231" t="s">
        <v>1107</v>
      </c>
      <c r="D231" t="s">
        <v>1127</v>
      </c>
      <c r="E231" t="s">
        <v>1128</v>
      </c>
      <c r="F231" t="s">
        <v>1292</v>
      </c>
      <c r="G231">
        <v>2</v>
      </c>
      <c r="H231">
        <v>2</v>
      </c>
      <c r="I231" s="11">
        <v>46105</v>
      </c>
      <c r="J231" s="17">
        <f>IF(Items[[#This Row],[ID]]="","",IFERROR(VALUE(LOOKUP(2,1/((Log[ID]=Items[[#This Row],[ID]])*(Log[Verb]="est")),Log[Arg])),N(Items[[#This Row],[Points]])))</f>
      </c>
      <c r="K231" s="17">
        <f>IF(Items[[#This Row],[ID]]="","",IFERROR(LOOKUP(2,1/((Log[ID]=Items[[#This Row],[ID]])*(Log[Verb]="pass")),Log[Arg])&amp;"",Items[[#This Row],[Team]]&amp;""))</f>
      </c>
      <c r="L231" s="17">
        <f>IF(Items[[#This Row],[ID]]="","",IFERROR(LOOKUP(2,1/((Log[ID]=Items[[#This Row],[ID]])*(Log[Into]&lt;&gt;"")),Log[Into]),""))</f>
      </c>
      <c r="M231" s="17">
        <f>IF(Items[[#This Row],[ID]]="","",IF(IFERROR(LOOKUP(2,1/((Log[ID]=Items[[#This Row],[ID]])*(Log[Blk]&lt;&gt;"")),Log[Blk]),0)=1,"Y",""))</f>
      </c>
      <c r="N231" s="17">
        <f>IF(Items[[#This Row],[ID]]="","",SUBSTITUTE(IFERROR(LOOKUP(2,1/((Log[ID]=Items[[#This Row],[ID]])*(Log[State]&lt;&gt;"")),Log[State]),"TODO"),"OPEN",IF(Items[[#This Row],[Blocked]]="Y","WAIT","OPEN")))</f>
      </c>
      <c r="O23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31" s="17">
        <f>IF(Items[[#This Row],[State]]&lt;&gt;"WAIT","",AsOf-Items[[#This Row],[Blocked since]])</f>
      </c>
      <c r="Q231" s="17">
        <f>IF(Items[[#This Row],[State]]&lt;&gt;"WAIT","",IFERROR(LOOKUP(2,1/((Log[ID]=Items[[#This Row],[ID]])*(Log[Verb]="block")),Log[Note])&amp;"",""))</f>
      </c>
      <c r="R231" s="17">
        <f>IF(Items[[#This Row],[ID]]="","",COUNTIFS(Log[ID],Items[[#This Row],[ID]],Log[Verb],"carry"))</f>
      </c>
      <c r="S231" s="17">
        <f>IF(Items[[#This Row],[ID]]="","",COUNTIFS(Log[ID],Items[[#This Row],[ID]],Log[Verb],"punt"))</f>
      </c>
      <c r="T231" s="11">
        <f>IF(Items[[#This Row],[State]]&lt;&gt;"DONE","",IFERROR(LOOKUP(2,1/((Log[ID]=Items[[#This Row],[ID]])*(Log[Verb]="done")),Log[Date]),""))</f>
      </c>
      <c r="U231" s="17">
        <f>IF(Items[[#This Row],[ID]]="","",IF(AND(Items[[#This Row],[Sprint]]=CurSprint,OR(Items[[#This Row],[State]]="OPEN",Items[[#This Row],[State]]="WAIT",Items[[#This Row],[State]]="HOLD",Items[[#This Row],[State]]="DONE")),1,0))</f>
      </c>
      <c r="V231" s="17">
        <f>IF(OR(Items[[#This Row],[ID]]="",Items[[#This Row],[Added]]=""),"",AsOf-Items[[#This Row],[Added]])</f>
      </c>
      <c r="W231" s="17">
        <f>IF(Items[[#This Row],[In sprint]]=1,(IF(Items[[#This Row],[Prio]]="",9,N(Items[[#This Row],[Prio]]))*10+(IF(Items[[#This Row],[State]]="DONE",1,0)))*100000+ROW(),"")</f>
      </c>
      <c r="X23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31" s="17">
        <f>IF(AND(Items[[#This Row],[State]]="DONE",N(Items[[#This Row],[Done on]])&gt;AsOf-7),(200000-N(Items[[#This Row],[Done on]]))*100000+ROW(),"")</f>
      </c>
    </row>
    <row r="232">
      <c r="A232" t="s">
        <v>337</v>
      </c>
      <c r="B232" t="s">
        <v>1447</v>
      </c>
      <c r="C232" t="s">
        <v>1115</v>
      </c>
      <c r="D232" t="s">
        <v>1119</v>
      </c>
      <c r="E232" t="s">
        <v>1128</v>
      </c>
      <c r="F232" t="s">
        <v>1296</v>
      </c>
      <c r="G232">
        <v>2</v>
      </c>
      <c r="H232">
        <v>2</v>
      </c>
      <c r="I232" s="11">
        <v>46105</v>
      </c>
      <c r="J232" s="17">
        <f>IF(Items[[#This Row],[ID]]="","",IFERROR(VALUE(LOOKUP(2,1/((Log[ID]=Items[[#This Row],[ID]])*(Log[Verb]="est")),Log[Arg])),N(Items[[#This Row],[Points]])))</f>
      </c>
      <c r="K232" s="17">
        <f>IF(Items[[#This Row],[ID]]="","",IFERROR(LOOKUP(2,1/((Log[ID]=Items[[#This Row],[ID]])*(Log[Verb]="pass")),Log[Arg])&amp;"",Items[[#This Row],[Team]]&amp;""))</f>
      </c>
      <c r="L232" s="17">
        <f>IF(Items[[#This Row],[ID]]="","",IFERROR(LOOKUP(2,1/((Log[ID]=Items[[#This Row],[ID]])*(Log[Into]&lt;&gt;"")),Log[Into]),""))</f>
      </c>
      <c r="M232" s="17">
        <f>IF(Items[[#This Row],[ID]]="","",IF(IFERROR(LOOKUP(2,1/((Log[ID]=Items[[#This Row],[ID]])*(Log[Blk]&lt;&gt;"")),Log[Blk]),0)=1,"Y",""))</f>
      </c>
      <c r="N232" s="17">
        <f>IF(Items[[#This Row],[ID]]="","",SUBSTITUTE(IFERROR(LOOKUP(2,1/((Log[ID]=Items[[#This Row],[ID]])*(Log[State]&lt;&gt;"")),Log[State]),"TODO"),"OPEN",IF(Items[[#This Row],[Blocked]]="Y","WAIT","OPEN")))</f>
      </c>
      <c r="O23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32" s="17">
        <f>IF(Items[[#This Row],[State]]&lt;&gt;"WAIT","",AsOf-Items[[#This Row],[Blocked since]])</f>
      </c>
      <c r="Q232" s="17">
        <f>IF(Items[[#This Row],[State]]&lt;&gt;"WAIT","",IFERROR(LOOKUP(2,1/((Log[ID]=Items[[#This Row],[ID]])*(Log[Verb]="block")),Log[Note])&amp;"",""))</f>
      </c>
      <c r="R232" s="17">
        <f>IF(Items[[#This Row],[ID]]="","",COUNTIFS(Log[ID],Items[[#This Row],[ID]],Log[Verb],"carry"))</f>
      </c>
      <c r="S232" s="17">
        <f>IF(Items[[#This Row],[ID]]="","",COUNTIFS(Log[ID],Items[[#This Row],[ID]],Log[Verb],"punt"))</f>
      </c>
      <c r="T232" s="11">
        <f>IF(Items[[#This Row],[State]]&lt;&gt;"DONE","",IFERROR(LOOKUP(2,1/((Log[ID]=Items[[#This Row],[ID]])*(Log[Verb]="done")),Log[Date]),""))</f>
      </c>
      <c r="U232" s="17">
        <f>IF(Items[[#This Row],[ID]]="","",IF(AND(Items[[#This Row],[Sprint]]=CurSprint,OR(Items[[#This Row],[State]]="OPEN",Items[[#This Row],[State]]="WAIT",Items[[#This Row],[State]]="HOLD",Items[[#This Row],[State]]="DONE")),1,0))</f>
      </c>
      <c r="V232" s="17">
        <f>IF(OR(Items[[#This Row],[ID]]="",Items[[#This Row],[Added]]=""),"",AsOf-Items[[#This Row],[Added]])</f>
      </c>
      <c r="W232" s="17">
        <f>IF(Items[[#This Row],[In sprint]]=1,(IF(Items[[#This Row],[Prio]]="",9,N(Items[[#This Row],[Prio]]))*10+(IF(Items[[#This Row],[State]]="DONE",1,0)))*100000+ROW(),"")</f>
      </c>
      <c r="X23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32" s="17">
        <f>IF(AND(Items[[#This Row],[State]]="DONE",N(Items[[#This Row],[Done on]])&gt;AsOf-7),(200000-N(Items[[#This Row],[Done on]]))*100000+ROW(),"")</f>
      </c>
    </row>
    <row r="233">
      <c r="A233" t="s">
        <v>401</v>
      </c>
      <c r="B233" t="s">
        <v>1448</v>
      </c>
      <c r="C233" t="s">
        <v>1107</v>
      </c>
      <c r="D233" t="s">
        <v>1108</v>
      </c>
      <c r="E233" t="s">
        <v>1128</v>
      </c>
      <c r="F233" t="s">
        <v>1360</v>
      </c>
      <c r="G233">
        <v>5</v>
      </c>
      <c r="H233">
        <v>3</v>
      </c>
      <c r="I233" s="11">
        <v>46105</v>
      </c>
      <c r="J233" s="17">
        <f>IF(Items[[#This Row],[ID]]="","",IFERROR(VALUE(LOOKUP(2,1/((Log[ID]=Items[[#This Row],[ID]])*(Log[Verb]="est")),Log[Arg])),N(Items[[#This Row],[Points]])))</f>
      </c>
      <c r="K233" s="17">
        <f>IF(Items[[#This Row],[ID]]="","",IFERROR(LOOKUP(2,1/((Log[ID]=Items[[#This Row],[ID]])*(Log[Verb]="pass")),Log[Arg])&amp;"",Items[[#This Row],[Team]]&amp;""))</f>
      </c>
      <c r="L233" s="17">
        <f>IF(Items[[#This Row],[ID]]="","",IFERROR(LOOKUP(2,1/((Log[ID]=Items[[#This Row],[ID]])*(Log[Into]&lt;&gt;"")),Log[Into]),""))</f>
      </c>
      <c r="M233" s="17">
        <f>IF(Items[[#This Row],[ID]]="","",IF(IFERROR(LOOKUP(2,1/((Log[ID]=Items[[#This Row],[ID]])*(Log[Blk]&lt;&gt;"")),Log[Blk]),0)=1,"Y",""))</f>
      </c>
      <c r="N233" s="17">
        <f>IF(Items[[#This Row],[ID]]="","",SUBSTITUTE(IFERROR(LOOKUP(2,1/((Log[ID]=Items[[#This Row],[ID]])*(Log[State]&lt;&gt;"")),Log[State]),"TODO"),"OPEN",IF(Items[[#This Row],[Blocked]]="Y","WAIT","OPEN")))</f>
      </c>
      <c r="O23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33" s="17">
        <f>IF(Items[[#This Row],[State]]&lt;&gt;"WAIT","",AsOf-Items[[#This Row],[Blocked since]])</f>
      </c>
      <c r="Q233" s="17">
        <f>IF(Items[[#This Row],[State]]&lt;&gt;"WAIT","",IFERROR(LOOKUP(2,1/((Log[ID]=Items[[#This Row],[ID]])*(Log[Verb]="block")),Log[Note])&amp;"",""))</f>
      </c>
      <c r="R233" s="17">
        <f>IF(Items[[#This Row],[ID]]="","",COUNTIFS(Log[ID],Items[[#This Row],[ID]],Log[Verb],"carry"))</f>
      </c>
      <c r="S233" s="17">
        <f>IF(Items[[#This Row],[ID]]="","",COUNTIFS(Log[ID],Items[[#This Row],[ID]],Log[Verb],"punt"))</f>
      </c>
      <c r="T233" s="11">
        <f>IF(Items[[#This Row],[State]]&lt;&gt;"DONE","",IFERROR(LOOKUP(2,1/((Log[ID]=Items[[#This Row],[ID]])*(Log[Verb]="done")),Log[Date]),""))</f>
      </c>
      <c r="U233" s="17">
        <f>IF(Items[[#This Row],[ID]]="","",IF(AND(Items[[#This Row],[Sprint]]=CurSprint,OR(Items[[#This Row],[State]]="OPEN",Items[[#This Row],[State]]="WAIT",Items[[#This Row],[State]]="HOLD",Items[[#This Row],[State]]="DONE")),1,0))</f>
      </c>
      <c r="V233" s="17">
        <f>IF(OR(Items[[#This Row],[ID]]="",Items[[#This Row],[Added]]=""),"",AsOf-Items[[#This Row],[Added]])</f>
      </c>
      <c r="W233" s="17">
        <f>IF(Items[[#This Row],[In sprint]]=1,(IF(Items[[#This Row],[Prio]]="",9,N(Items[[#This Row],[Prio]]))*10+(IF(Items[[#This Row],[State]]="DONE",1,0)))*100000+ROW(),"")</f>
      </c>
      <c r="X23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33" s="17">
        <f>IF(AND(Items[[#This Row],[State]]="DONE",N(Items[[#This Row],[Done on]])&gt;AsOf-7),(200000-N(Items[[#This Row],[Done on]]))*100000+ROW(),"")</f>
      </c>
    </row>
    <row r="234">
      <c r="A234" t="s">
        <v>402</v>
      </c>
      <c r="B234" t="s">
        <v>1449</v>
      </c>
      <c r="C234" t="s">
        <v>1115</v>
      </c>
      <c r="D234" t="s">
        <v>1119</v>
      </c>
      <c r="E234" t="s">
        <v>1128</v>
      </c>
      <c r="F234" t="s">
        <v>1164</v>
      </c>
      <c r="G234">
        <v>8</v>
      </c>
      <c r="H234">
        <v>3</v>
      </c>
      <c r="I234" s="11">
        <v>46105</v>
      </c>
      <c r="J234" s="17">
        <f>IF(Items[[#This Row],[ID]]="","",IFERROR(VALUE(LOOKUP(2,1/((Log[ID]=Items[[#This Row],[ID]])*(Log[Verb]="est")),Log[Arg])),N(Items[[#This Row],[Points]])))</f>
      </c>
      <c r="K234" s="17">
        <f>IF(Items[[#This Row],[ID]]="","",IFERROR(LOOKUP(2,1/((Log[ID]=Items[[#This Row],[ID]])*(Log[Verb]="pass")),Log[Arg])&amp;"",Items[[#This Row],[Team]]&amp;""))</f>
      </c>
      <c r="L234" s="17">
        <f>IF(Items[[#This Row],[ID]]="","",IFERROR(LOOKUP(2,1/((Log[ID]=Items[[#This Row],[ID]])*(Log[Into]&lt;&gt;"")),Log[Into]),""))</f>
      </c>
      <c r="M234" s="17">
        <f>IF(Items[[#This Row],[ID]]="","",IF(IFERROR(LOOKUP(2,1/((Log[ID]=Items[[#This Row],[ID]])*(Log[Blk]&lt;&gt;"")),Log[Blk]),0)=1,"Y",""))</f>
      </c>
      <c r="N234" s="17">
        <f>IF(Items[[#This Row],[ID]]="","",SUBSTITUTE(IFERROR(LOOKUP(2,1/((Log[ID]=Items[[#This Row],[ID]])*(Log[State]&lt;&gt;"")),Log[State]),"TODO"),"OPEN",IF(Items[[#This Row],[Blocked]]="Y","WAIT","OPEN")))</f>
      </c>
      <c r="O23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34" s="17">
        <f>IF(Items[[#This Row],[State]]&lt;&gt;"WAIT","",AsOf-Items[[#This Row],[Blocked since]])</f>
      </c>
      <c r="Q234" s="17">
        <f>IF(Items[[#This Row],[State]]&lt;&gt;"WAIT","",IFERROR(LOOKUP(2,1/((Log[ID]=Items[[#This Row],[ID]])*(Log[Verb]="block")),Log[Note])&amp;"",""))</f>
      </c>
      <c r="R234" s="17">
        <f>IF(Items[[#This Row],[ID]]="","",COUNTIFS(Log[ID],Items[[#This Row],[ID]],Log[Verb],"carry"))</f>
      </c>
      <c r="S234" s="17">
        <f>IF(Items[[#This Row],[ID]]="","",COUNTIFS(Log[ID],Items[[#This Row],[ID]],Log[Verb],"punt"))</f>
      </c>
      <c r="T234" s="11">
        <f>IF(Items[[#This Row],[State]]&lt;&gt;"DONE","",IFERROR(LOOKUP(2,1/((Log[ID]=Items[[#This Row],[ID]])*(Log[Verb]="done")),Log[Date]),""))</f>
      </c>
      <c r="U234" s="17">
        <f>IF(Items[[#This Row],[ID]]="","",IF(AND(Items[[#This Row],[Sprint]]=CurSprint,OR(Items[[#This Row],[State]]="OPEN",Items[[#This Row],[State]]="WAIT",Items[[#This Row],[State]]="HOLD",Items[[#This Row],[State]]="DONE")),1,0))</f>
      </c>
      <c r="V234" s="17">
        <f>IF(OR(Items[[#This Row],[ID]]="",Items[[#This Row],[Added]]=""),"",AsOf-Items[[#This Row],[Added]])</f>
      </c>
      <c r="W234" s="17">
        <f>IF(Items[[#This Row],[In sprint]]=1,(IF(Items[[#This Row],[Prio]]="",9,N(Items[[#This Row],[Prio]]))*10+(IF(Items[[#This Row],[State]]="DONE",1,0)))*100000+ROW(),"")</f>
      </c>
      <c r="X23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34" s="17">
        <f>IF(AND(Items[[#This Row],[State]]="DONE",N(Items[[#This Row],[Done on]])&gt;AsOf-7),(200000-N(Items[[#This Row],[Done on]]))*100000+ROW(),"")</f>
      </c>
    </row>
    <row r="235">
      <c r="A235" t="s">
        <v>403</v>
      </c>
      <c r="B235" t="s">
        <v>1450</v>
      </c>
      <c r="C235" t="s">
        <v>1107</v>
      </c>
      <c r="D235" t="s">
        <v>1108</v>
      </c>
      <c r="E235" t="s">
        <v>1128</v>
      </c>
      <c r="F235" t="s">
        <v>1451</v>
      </c>
      <c r="G235">
        <v>8</v>
      </c>
      <c r="H235">
        <v>3</v>
      </c>
      <c r="I235" s="11">
        <v>46105</v>
      </c>
      <c r="J235" s="17">
        <f>IF(Items[[#This Row],[ID]]="","",IFERROR(VALUE(LOOKUP(2,1/((Log[ID]=Items[[#This Row],[ID]])*(Log[Verb]="est")),Log[Arg])),N(Items[[#This Row],[Points]])))</f>
      </c>
      <c r="K235" s="17">
        <f>IF(Items[[#This Row],[ID]]="","",IFERROR(LOOKUP(2,1/((Log[ID]=Items[[#This Row],[ID]])*(Log[Verb]="pass")),Log[Arg])&amp;"",Items[[#This Row],[Team]]&amp;""))</f>
      </c>
      <c r="L235" s="17">
        <f>IF(Items[[#This Row],[ID]]="","",IFERROR(LOOKUP(2,1/((Log[ID]=Items[[#This Row],[ID]])*(Log[Into]&lt;&gt;"")),Log[Into]),""))</f>
      </c>
      <c r="M235" s="17">
        <f>IF(Items[[#This Row],[ID]]="","",IF(IFERROR(LOOKUP(2,1/((Log[ID]=Items[[#This Row],[ID]])*(Log[Blk]&lt;&gt;"")),Log[Blk]),0)=1,"Y",""))</f>
      </c>
      <c r="N235" s="17">
        <f>IF(Items[[#This Row],[ID]]="","",SUBSTITUTE(IFERROR(LOOKUP(2,1/((Log[ID]=Items[[#This Row],[ID]])*(Log[State]&lt;&gt;"")),Log[State]),"TODO"),"OPEN",IF(Items[[#This Row],[Blocked]]="Y","WAIT","OPEN")))</f>
      </c>
      <c r="O23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35" s="17">
        <f>IF(Items[[#This Row],[State]]&lt;&gt;"WAIT","",AsOf-Items[[#This Row],[Blocked since]])</f>
      </c>
      <c r="Q235" s="17">
        <f>IF(Items[[#This Row],[State]]&lt;&gt;"WAIT","",IFERROR(LOOKUP(2,1/((Log[ID]=Items[[#This Row],[ID]])*(Log[Verb]="block")),Log[Note])&amp;"",""))</f>
      </c>
      <c r="R235" s="17">
        <f>IF(Items[[#This Row],[ID]]="","",COUNTIFS(Log[ID],Items[[#This Row],[ID]],Log[Verb],"carry"))</f>
      </c>
      <c r="S235" s="17">
        <f>IF(Items[[#This Row],[ID]]="","",COUNTIFS(Log[ID],Items[[#This Row],[ID]],Log[Verb],"punt"))</f>
      </c>
      <c r="T235" s="11">
        <f>IF(Items[[#This Row],[State]]&lt;&gt;"DONE","",IFERROR(LOOKUP(2,1/((Log[ID]=Items[[#This Row],[ID]])*(Log[Verb]="done")),Log[Date]),""))</f>
      </c>
      <c r="U235" s="17">
        <f>IF(Items[[#This Row],[ID]]="","",IF(AND(Items[[#This Row],[Sprint]]=CurSprint,OR(Items[[#This Row],[State]]="OPEN",Items[[#This Row],[State]]="WAIT",Items[[#This Row],[State]]="HOLD",Items[[#This Row],[State]]="DONE")),1,0))</f>
      </c>
      <c r="V235" s="17">
        <f>IF(OR(Items[[#This Row],[ID]]="",Items[[#This Row],[Added]]=""),"",AsOf-Items[[#This Row],[Added]])</f>
      </c>
      <c r="W235" s="17">
        <f>IF(Items[[#This Row],[In sprint]]=1,(IF(Items[[#This Row],[Prio]]="",9,N(Items[[#This Row],[Prio]]))*10+(IF(Items[[#This Row],[State]]="DONE",1,0)))*100000+ROW(),"")</f>
      </c>
      <c r="X23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35" s="17">
        <f>IF(AND(Items[[#This Row],[State]]="DONE",N(Items[[#This Row],[Done on]])&gt;AsOf-7),(200000-N(Items[[#This Row],[Done on]]))*100000+ROW(),"")</f>
      </c>
    </row>
    <row r="236">
      <c r="A236" t="s">
        <v>406</v>
      </c>
      <c r="B236" t="s">
        <v>1452</v>
      </c>
      <c r="C236" t="s">
        <v>1107</v>
      </c>
      <c r="D236" t="s">
        <v>1108</v>
      </c>
      <c r="E236" t="s">
        <v>1109</v>
      </c>
      <c r="F236" t="s">
        <v>1220</v>
      </c>
      <c r="G236">
        <v>8</v>
      </c>
      <c r="H236">
        <v>1</v>
      </c>
      <c r="I236" s="11">
        <v>46105</v>
      </c>
      <c r="J236" s="17">
        <f>IF(Items[[#This Row],[ID]]="","",IFERROR(VALUE(LOOKUP(2,1/((Log[ID]=Items[[#This Row],[ID]])*(Log[Verb]="est")),Log[Arg])),N(Items[[#This Row],[Points]])))</f>
      </c>
      <c r="K236" s="17">
        <f>IF(Items[[#This Row],[ID]]="","",IFERROR(LOOKUP(2,1/((Log[ID]=Items[[#This Row],[ID]])*(Log[Verb]="pass")),Log[Arg])&amp;"",Items[[#This Row],[Team]]&amp;""))</f>
      </c>
      <c r="L236" s="17">
        <f>IF(Items[[#This Row],[ID]]="","",IFERROR(LOOKUP(2,1/((Log[ID]=Items[[#This Row],[ID]])*(Log[Into]&lt;&gt;"")),Log[Into]),""))</f>
      </c>
      <c r="M236" s="17">
        <f>IF(Items[[#This Row],[ID]]="","",IF(IFERROR(LOOKUP(2,1/((Log[ID]=Items[[#This Row],[ID]])*(Log[Blk]&lt;&gt;"")),Log[Blk]),0)=1,"Y",""))</f>
      </c>
      <c r="N236" s="17">
        <f>IF(Items[[#This Row],[ID]]="","",SUBSTITUTE(IFERROR(LOOKUP(2,1/((Log[ID]=Items[[#This Row],[ID]])*(Log[State]&lt;&gt;"")),Log[State]),"TODO"),"OPEN",IF(Items[[#This Row],[Blocked]]="Y","WAIT","OPEN")))</f>
      </c>
      <c r="O23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36" s="17">
        <f>IF(Items[[#This Row],[State]]&lt;&gt;"WAIT","",AsOf-Items[[#This Row],[Blocked since]])</f>
      </c>
      <c r="Q236" s="17">
        <f>IF(Items[[#This Row],[State]]&lt;&gt;"WAIT","",IFERROR(LOOKUP(2,1/((Log[ID]=Items[[#This Row],[ID]])*(Log[Verb]="block")),Log[Note])&amp;"",""))</f>
      </c>
      <c r="R236" s="17">
        <f>IF(Items[[#This Row],[ID]]="","",COUNTIFS(Log[ID],Items[[#This Row],[ID]],Log[Verb],"carry"))</f>
      </c>
      <c r="S236" s="17">
        <f>IF(Items[[#This Row],[ID]]="","",COUNTIFS(Log[ID],Items[[#This Row],[ID]],Log[Verb],"punt"))</f>
      </c>
      <c r="T236" s="11">
        <f>IF(Items[[#This Row],[State]]&lt;&gt;"DONE","",IFERROR(LOOKUP(2,1/((Log[ID]=Items[[#This Row],[ID]])*(Log[Verb]="done")),Log[Date]),""))</f>
      </c>
      <c r="U236" s="17">
        <f>IF(Items[[#This Row],[ID]]="","",IF(AND(Items[[#This Row],[Sprint]]=CurSprint,OR(Items[[#This Row],[State]]="OPEN",Items[[#This Row],[State]]="WAIT",Items[[#This Row],[State]]="HOLD",Items[[#This Row],[State]]="DONE")),1,0))</f>
      </c>
      <c r="V236" s="17">
        <f>IF(OR(Items[[#This Row],[ID]]="",Items[[#This Row],[Added]]=""),"",AsOf-Items[[#This Row],[Added]])</f>
      </c>
      <c r="W236" s="17">
        <f>IF(Items[[#This Row],[In sprint]]=1,(IF(Items[[#This Row],[Prio]]="",9,N(Items[[#This Row],[Prio]]))*10+(IF(Items[[#This Row],[State]]="DONE",1,0)))*100000+ROW(),"")</f>
      </c>
      <c r="X23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36" s="17">
        <f>IF(AND(Items[[#This Row],[State]]="DONE",N(Items[[#This Row],[Done on]])&gt;AsOf-7),(200000-N(Items[[#This Row],[Done on]]))*100000+ROW(),"")</f>
      </c>
    </row>
    <row r="237">
      <c r="A237" t="s">
        <v>407</v>
      </c>
      <c r="B237" t="s">
        <v>1453</v>
      </c>
      <c r="C237" t="s">
        <v>1107</v>
      </c>
      <c r="D237" t="s">
        <v>1123</v>
      </c>
      <c r="E237" t="s">
        <v>1109</v>
      </c>
      <c r="F237" t="s">
        <v>1110</v>
      </c>
      <c r="G237">
        <v>8</v>
      </c>
      <c r="H237">
        <v>2</v>
      </c>
      <c r="I237" s="11">
        <v>46105</v>
      </c>
      <c r="J237" s="17">
        <f>IF(Items[[#This Row],[ID]]="","",IFERROR(VALUE(LOOKUP(2,1/((Log[ID]=Items[[#This Row],[ID]])*(Log[Verb]="est")),Log[Arg])),N(Items[[#This Row],[Points]])))</f>
      </c>
      <c r="K237" s="17">
        <f>IF(Items[[#This Row],[ID]]="","",IFERROR(LOOKUP(2,1/((Log[ID]=Items[[#This Row],[ID]])*(Log[Verb]="pass")),Log[Arg])&amp;"",Items[[#This Row],[Team]]&amp;""))</f>
      </c>
      <c r="L237" s="17">
        <f>IF(Items[[#This Row],[ID]]="","",IFERROR(LOOKUP(2,1/((Log[ID]=Items[[#This Row],[ID]])*(Log[Into]&lt;&gt;"")),Log[Into]),""))</f>
      </c>
      <c r="M237" s="17">
        <f>IF(Items[[#This Row],[ID]]="","",IF(IFERROR(LOOKUP(2,1/((Log[ID]=Items[[#This Row],[ID]])*(Log[Blk]&lt;&gt;"")),Log[Blk]),0)=1,"Y",""))</f>
      </c>
      <c r="N237" s="17">
        <f>IF(Items[[#This Row],[ID]]="","",SUBSTITUTE(IFERROR(LOOKUP(2,1/((Log[ID]=Items[[#This Row],[ID]])*(Log[State]&lt;&gt;"")),Log[State]),"TODO"),"OPEN",IF(Items[[#This Row],[Blocked]]="Y","WAIT","OPEN")))</f>
      </c>
      <c r="O23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37" s="17">
        <f>IF(Items[[#This Row],[State]]&lt;&gt;"WAIT","",AsOf-Items[[#This Row],[Blocked since]])</f>
      </c>
      <c r="Q237" s="17">
        <f>IF(Items[[#This Row],[State]]&lt;&gt;"WAIT","",IFERROR(LOOKUP(2,1/((Log[ID]=Items[[#This Row],[ID]])*(Log[Verb]="block")),Log[Note])&amp;"",""))</f>
      </c>
      <c r="R237" s="17">
        <f>IF(Items[[#This Row],[ID]]="","",COUNTIFS(Log[ID],Items[[#This Row],[ID]],Log[Verb],"carry"))</f>
      </c>
      <c r="S237" s="17">
        <f>IF(Items[[#This Row],[ID]]="","",COUNTIFS(Log[ID],Items[[#This Row],[ID]],Log[Verb],"punt"))</f>
      </c>
      <c r="T237" s="11">
        <f>IF(Items[[#This Row],[State]]&lt;&gt;"DONE","",IFERROR(LOOKUP(2,1/((Log[ID]=Items[[#This Row],[ID]])*(Log[Verb]="done")),Log[Date]),""))</f>
      </c>
      <c r="U237" s="17">
        <f>IF(Items[[#This Row],[ID]]="","",IF(AND(Items[[#This Row],[Sprint]]=CurSprint,OR(Items[[#This Row],[State]]="OPEN",Items[[#This Row],[State]]="WAIT",Items[[#This Row],[State]]="HOLD",Items[[#This Row],[State]]="DONE")),1,0))</f>
      </c>
      <c r="V237" s="17">
        <f>IF(OR(Items[[#This Row],[ID]]="",Items[[#This Row],[Added]]=""),"",AsOf-Items[[#This Row],[Added]])</f>
      </c>
      <c r="W237" s="17">
        <f>IF(Items[[#This Row],[In sprint]]=1,(IF(Items[[#This Row],[Prio]]="",9,N(Items[[#This Row],[Prio]]))*10+(IF(Items[[#This Row],[State]]="DONE",1,0)))*100000+ROW(),"")</f>
      </c>
      <c r="X23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37" s="17">
        <f>IF(AND(Items[[#This Row],[State]]="DONE",N(Items[[#This Row],[Done on]])&gt;AsOf-7),(200000-N(Items[[#This Row],[Done on]]))*100000+ROW(),"")</f>
      </c>
    </row>
    <row r="238">
      <c r="A238" t="s">
        <v>408</v>
      </c>
      <c r="B238" t="s">
        <v>1454</v>
      </c>
      <c r="C238" t="s">
        <v>1107</v>
      </c>
      <c r="D238" t="s">
        <v>1108</v>
      </c>
      <c r="E238" t="s">
        <v>1109</v>
      </c>
      <c r="F238" t="s">
        <v>1370</v>
      </c>
      <c r="G238">
        <v>8</v>
      </c>
      <c r="H238">
        <v>1</v>
      </c>
      <c r="I238" s="11">
        <v>46105</v>
      </c>
      <c r="J238" s="17">
        <f>IF(Items[[#This Row],[ID]]="","",IFERROR(VALUE(LOOKUP(2,1/((Log[ID]=Items[[#This Row],[ID]])*(Log[Verb]="est")),Log[Arg])),N(Items[[#This Row],[Points]])))</f>
      </c>
      <c r="K238" s="17">
        <f>IF(Items[[#This Row],[ID]]="","",IFERROR(LOOKUP(2,1/((Log[ID]=Items[[#This Row],[ID]])*(Log[Verb]="pass")),Log[Arg])&amp;"",Items[[#This Row],[Team]]&amp;""))</f>
      </c>
      <c r="L238" s="17">
        <f>IF(Items[[#This Row],[ID]]="","",IFERROR(LOOKUP(2,1/((Log[ID]=Items[[#This Row],[ID]])*(Log[Into]&lt;&gt;"")),Log[Into]),""))</f>
      </c>
      <c r="M238" s="17">
        <f>IF(Items[[#This Row],[ID]]="","",IF(IFERROR(LOOKUP(2,1/((Log[ID]=Items[[#This Row],[ID]])*(Log[Blk]&lt;&gt;"")),Log[Blk]),0)=1,"Y",""))</f>
      </c>
      <c r="N238" s="17">
        <f>IF(Items[[#This Row],[ID]]="","",SUBSTITUTE(IFERROR(LOOKUP(2,1/((Log[ID]=Items[[#This Row],[ID]])*(Log[State]&lt;&gt;"")),Log[State]),"TODO"),"OPEN",IF(Items[[#This Row],[Blocked]]="Y","WAIT","OPEN")))</f>
      </c>
      <c r="O23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38" s="17">
        <f>IF(Items[[#This Row],[State]]&lt;&gt;"WAIT","",AsOf-Items[[#This Row],[Blocked since]])</f>
      </c>
      <c r="Q238" s="17">
        <f>IF(Items[[#This Row],[State]]&lt;&gt;"WAIT","",IFERROR(LOOKUP(2,1/((Log[ID]=Items[[#This Row],[ID]])*(Log[Verb]="block")),Log[Note])&amp;"",""))</f>
      </c>
      <c r="R238" s="17">
        <f>IF(Items[[#This Row],[ID]]="","",COUNTIFS(Log[ID],Items[[#This Row],[ID]],Log[Verb],"carry"))</f>
      </c>
      <c r="S238" s="17">
        <f>IF(Items[[#This Row],[ID]]="","",COUNTIFS(Log[ID],Items[[#This Row],[ID]],Log[Verb],"punt"))</f>
      </c>
      <c r="T238" s="11">
        <f>IF(Items[[#This Row],[State]]&lt;&gt;"DONE","",IFERROR(LOOKUP(2,1/((Log[ID]=Items[[#This Row],[ID]])*(Log[Verb]="done")),Log[Date]),""))</f>
      </c>
      <c r="U238" s="17">
        <f>IF(Items[[#This Row],[ID]]="","",IF(AND(Items[[#This Row],[Sprint]]=CurSprint,OR(Items[[#This Row],[State]]="OPEN",Items[[#This Row],[State]]="WAIT",Items[[#This Row],[State]]="HOLD",Items[[#This Row],[State]]="DONE")),1,0))</f>
      </c>
      <c r="V238" s="17">
        <f>IF(OR(Items[[#This Row],[ID]]="",Items[[#This Row],[Added]]=""),"",AsOf-Items[[#This Row],[Added]])</f>
      </c>
      <c r="W238" s="17">
        <f>IF(Items[[#This Row],[In sprint]]=1,(IF(Items[[#This Row],[Prio]]="",9,N(Items[[#This Row],[Prio]]))*10+(IF(Items[[#This Row],[State]]="DONE",1,0)))*100000+ROW(),"")</f>
      </c>
      <c r="X23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38" s="17">
        <f>IF(AND(Items[[#This Row],[State]]="DONE",N(Items[[#This Row],[Done on]])&gt;AsOf-7),(200000-N(Items[[#This Row],[Done on]]))*100000+ROW(),"")</f>
      </c>
    </row>
    <row r="239">
      <c r="A239" t="s">
        <v>344</v>
      </c>
      <c r="B239" t="s">
        <v>1455</v>
      </c>
      <c r="C239" t="s">
        <v>1115</v>
      </c>
      <c r="D239" t="s">
        <v>1116</v>
      </c>
      <c r="E239" t="s">
        <v>1109</v>
      </c>
      <c r="F239" t="s">
        <v>1225</v>
      </c>
      <c r="G239">
        <v>3</v>
      </c>
      <c r="H239">
        <v>1</v>
      </c>
      <c r="I239" s="11">
        <v>46105</v>
      </c>
      <c r="J239" s="17">
        <f>IF(Items[[#This Row],[ID]]="","",IFERROR(VALUE(LOOKUP(2,1/((Log[ID]=Items[[#This Row],[ID]])*(Log[Verb]="est")),Log[Arg])),N(Items[[#This Row],[Points]])))</f>
      </c>
      <c r="K239" s="17">
        <f>IF(Items[[#This Row],[ID]]="","",IFERROR(LOOKUP(2,1/((Log[ID]=Items[[#This Row],[ID]])*(Log[Verb]="pass")),Log[Arg])&amp;"",Items[[#This Row],[Team]]&amp;""))</f>
      </c>
      <c r="L239" s="17">
        <f>IF(Items[[#This Row],[ID]]="","",IFERROR(LOOKUP(2,1/((Log[ID]=Items[[#This Row],[ID]])*(Log[Into]&lt;&gt;"")),Log[Into]),""))</f>
      </c>
      <c r="M239" s="17">
        <f>IF(Items[[#This Row],[ID]]="","",IF(IFERROR(LOOKUP(2,1/((Log[ID]=Items[[#This Row],[ID]])*(Log[Blk]&lt;&gt;"")),Log[Blk]),0)=1,"Y",""))</f>
      </c>
      <c r="N239" s="17">
        <f>IF(Items[[#This Row],[ID]]="","",SUBSTITUTE(IFERROR(LOOKUP(2,1/((Log[ID]=Items[[#This Row],[ID]])*(Log[State]&lt;&gt;"")),Log[State]),"TODO"),"OPEN",IF(Items[[#This Row],[Blocked]]="Y","WAIT","OPEN")))</f>
      </c>
      <c r="O23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39" s="17">
        <f>IF(Items[[#This Row],[State]]&lt;&gt;"WAIT","",AsOf-Items[[#This Row],[Blocked since]])</f>
      </c>
      <c r="Q239" s="17">
        <f>IF(Items[[#This Row],[State]]&lt;&gt;"WAIT","",IFERROR(LOOKUP(2,1/((Log[ID]=Items[[#This Row],[ID]])*(Log[Verb]="block")),Log[Note])&amp;"",""))</f>
      </c>
      <c r="R239" s="17">
        <f>IF(Items[[#This Row],[ID]]="","",COUNTIFS(Log[ID],Items[[#This Row],[ID]],Log[Verb],"carry"))</f>
      </c>
      <c r="S239" s="17">
        <f>IF(Items[[#This Row],[ID]]="","",COUNTIFS(Log[ID],Items[[#This Row],[ID]],Log[Verb],"punt"))</f>
      </c>
      <c r="T239" s="11">
        <f>IF(Items[[#This Row],[State]]&lt;&gt;"DONE","",IFERROR(LOOKUP(2,1/((Log[ID]=Items[[#This Row],[ID]])*(Log[Verb]="done")),Log[Date]),""))</f>
      </c>
      <c r="U239" s="17">
        <f>IF(Items[[#This Row],[ID]]="","",IF(AND(Items[[#This Row],[Sprint]]=CurSprint,OR(Items[[#This Row],[State]]="OPEN",Items[[#This Row],[State]]="WAIT",Items[[#This Row],[State]]="HOLD",Items[[#This Row],[State]]="DONE")),1,0))</f>
      </c>
      <c r="V239" s="17">
        <f>IF(OR(Items[[#This Row],[ID]]="",Items[[#This Row],[Added]]=""),"",AsOf-Items[[#This Row],[Added]])</f>
      </c>
      <c r="W239" s="17">
        <f>IF(Items[[#This Row],[In sprint]]=1,(IF(Items[[#This Row],[Prio]]="",9,N(Items[[#This Row],[Prio]]))*10+(IF(Items[[#This Row],[State]]="DONE",1,0)))*100000+ROW(),"")</f>
      </c>
      <c r="X23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39" s="17">
        <f>IF(AND(Items[[#This Row],[State]]="DONE",N(Items[[#This Row],[Done on]])&gt;AsOf-7),(200000-N(Items[[#This Row],[Done on]]))*100000+ROW(),"")</f>
      </c>
    </row>
    <row r="240">
      <c r="A240" t="s">
        <v>460</v>
      </c>
      <c r="B240" t="s">
        <v>1456</v>
      </c>
      <c r="C240" t="s">
        <v>1107</v>
      </c>
      <c r="D240" t="s">
        <v>1123</v>
      </c>
      <c r="E240" t="s">
        <v>1109</v>
      </c>
      <c r="F240" t="s">
        <v>1227</v>
      </c>
      <c r="G240">
        <v>5</v>
      </c>
      <c r="H240">
        <v>2</v>
      </c>
      <c r="I240" s="11">
        <v>46105</v>
      </c>
      <c r="J240" s="17">
        <f>IF(Items[[#This Row],[ID]]="","",IFERROR(VALUE(LOOKUP(2,1/((Log[ID]=Items[[#This Row],[ID]])*(Log[Verb]="est")),Log[Arg])),N(Items[[#This Row],[Points]])))</f>
      </c>
      <c r="K240" s="17">
        <f>IF(Items[[#This Row],[ID]]="","",IFERROR(LOOKUP(2,1/((Log[ID]=Items[[#This Row],[ID]])*(Log[Verb]="pass")),Log[Arg])&amp;"",Items[[#This Row],[Team]]&amp;""))</f>
      </c>
      <c r="L240" s="17">
        <f>IF(Items[[#This Row],[ID]]="","",IFERROR(LOOKUP(2,1/((Log[ID]=Items[[#This Row],[ID]])*(Log[Into]&lt;&gt;"")),Log[Into]),""))</f>
      </c>
      <c r="M240" s="17">
        <f>IF(Items[[#This Row],[ID]]="","",IF(IFERROR(LOOKUP(2,1/((Log[ID]=Items[[#This Row],[ID]])*(Log[Blk]&lt;&gt;"")),Log[Blk]),0)=1,"Y",""))</f>
      </c>
      <c r="N240" s="17">
        <f>IF(Items[[#This Row],[ID]]="","",SUBSTITUTE(IFERROR(LOOKUP(2,1/((Log[ID]=Items[[#This Row],[ID]])*(Log[State]&lt;&gt;"")),Log[State]),"TODO"),"OPEN",IF(Items[[#This Row],[Blocked]]="Y","WAIT","OPEN")))</f>
      </c>
      <c r="O24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40" s="17">
        <f>IF(Items[[#This Row],[State]]&lt;&gt;"WAIT","",AsOf-Items[[#This Row],[Blocked since]])</f>
      </c>
      <c r="Q240" s="17">
        <f>IF(Items[[#This Row],[State]]&lt;&gt;"WAIT","",IFERROR(LOOKUP(2,1/((Log[ID]=Items[[#This Row],[ID]])*(Log[Verb]="block")),Log[Note])&amp;"",""))</f>
      </c>
      <c r="R240" s="17">
        <f>IF(Items[[#This Row],[ID]]="","",COUNTIFS(Log[ID],Items[[#This Row],[ID]],Log[Verb],"carry"))</f>
      </c>
      <c r="S240" s="17">
        <f>IF(Items[[#This Row],[ID]]="","",COUNTIFS(Log[ID],Items[[#This Row],[ID]],Log[Verb],"punt"))</f>
      </c>
      <c r="T240" s="11">
        <f>IF(Items[[#This Row],[State]]&lt;&gt;"DONE","",IFERROR(LOOKUP(2,1/((Log[ID]=Items[[#This Row],[ID]])*(Log[Verb]="done")),Log[Date]),""))</f>
      </c>
      <c r="U240" s="17">
        <f>IF(Items[[#This Row],[ID]]="","",IF(AND(Items[[#This Row],[Sprint]]=CurSprint,OR(Items[[#This Row],[State]]="OPEN",Items[[#This Row],[State]]="WAIT",Items[[#This Row],[State]]="HOLD",Items[[#This Row],[State]]="DONE")),1,0))</f>
      </c>
      <c r="V240" s="17">
        <f>IF(OR(Items[[#This Row],[ID]]="",Items[[#This Row],[Added]]=""),"",AsOf-Items[[#This Row],[Added]])</f>
      </c>
      <c r="W240" s="17">
        <f>IF(Items[[#This Row],[In sprint]]=1,(IF(Items[[#This Row],[Prio]]="",9,N(Items[[#This Row],[Prio]]))*10+(IF(Items[[#This Row],[State]]="DONE",1,0)))*100000+ROW(),"")</f>
      </c>
      <c r="X24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40" s="17">
        <f>IF(AND(Items[[#This Row],[State]]="DONE",N(Items[[#This Row],[Done on]])&gt;AsOf-7),(200000-N(Items[[#This Row],[Done on]]))*100000+ROW(),"")</f>
      </c>
    </row>
    <row r="241">
      <c r="A241" t="s">
        <v>461</v>
      </c>
      <c r="B241" t="s">
        <v>1457</v>
      </c>
      <c r="C241" t="s">
        <v>1107</v>
      </c>
      <c r="D241" t="s">
        <v>1123</v>
      </c>
      <c r="E241" t="s">
        <v>1109</v>
      </c>
      <c r="F241" t="s">
        <v>1227</v>
      </c>
      <c r="G241">
        <v>5</v>
      </c>
      <c r="H241">
        <v>2</v>
      </c>
      <c r="I241" s="11">
        <v>46105</v>
      </c>
      <c r="J241" s="17">
        <f>IF(Items[[#This Row],[ID]]="","",IFERROR(VALUE(LOOKUP(2,1/((Log[ID]=Items[[#This Row],[ID]])*(Log[Verb]="est")),Log[Arg])),N(Items[[#This Row],[Points]])))</f>
      </c>
      <c r="K241" s="17">
        <f>IF(Items[[#This Row],[ID]]="","",IFERROR(LOOKUP(2,1/((Log[ID]=Items[[#This Row],[ID]])*(Log[Verb]="pass")),Log[Arg])&amp;"",Items[[#This Row],[Team]]&amp;""))</f>
      </c>
      <c r="L241" s="17">
        <f>IF(Items[[#This Row],[ID]]="","",IFERROR(LOOKUP(2,1/((Log[ID]=Items[[#This Row],[ID]])*(Log[Into]&lt;&gt;"")),Log[Into]),""))</f>
      </c>
      <c r="M241" s="17">
        <f>IF(Items[[#This Row],[ID]]="","",IF(IFERROR(LOOKUP(2,1/((Log[ID]=Items[[#This Row],[ID]])*(Log[Blk]&lt;&gt;"")),Log[Blk]),0)=1,"Y",""))</f>
      </c>
      <c r="N241" s="17">
        <f>IF(Items[[#This Row],[ID]]="","",SUBSTITUTE(IFERROR(LOOKUP(2,1/((Log[ID]=Items[[#This Row],[ID]])*(Log[State]&lt;&gt;"")),Log[State]),"TODO"),"OPEN",IF(Items[[#This Row],[Blocked]]="Y","WAIT","OPEN")))</f>
      </c>
      <c r="O24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41" s="17">
        <f>IF(Items[[#This Row],[State]]&lt;&gt;"WAIT","",AsOf-Items[[#This Row],[Blocked since]])</f>
      </c>
      <c r="Q241" s="17">
        <f>IF(Items[[#This Row],[State]]&lt;&gt;"WAIT","",IFERROR(LOOKUP(2,1/((Log[ID]=Items[[#This Row],[ID]])*(Log[Verb]="block")),Log[Note])&amp;"",""))</f>
      </c>
      <c r="R241" s="17">
        <f>IF(Items[[#This Row],[ID]]="","",COUNTIFS(Log[ID],Items[[#This Row],[ID]],Log[Verb],"carry"))</f>
      </c>
      <c r="S241" s="17">
        <f>IF(Items[[#This Row],[ID]]="","",COUNTIFS(Log[ID],Items[[#This Row],[ID]],Log[Verb],"punt"))</f>
      </c>
      <c r="T241" s="11">
        <f>IF(Items[[#This Row],[State]]&lt;&gt;"DONE","",IFERROR(LOOKUP(2,1/((Log[ID]=Items[[#This Row],[ID]])*(Log[Verb]="done")),Log[Date]),""))</f>
      </c>
      <c r="U241" s="17">
        <f>IF(Items[[#This Row],[ID]]="","",IF(AND(Items[[#This Row],[Sprint]]=CurSprint,OR(Items[[#This Row],[State]]="OPEN",Items[[#This Row],[State]]="WAIT",Items[[#This Row],[State]]="HOLD",Items[[#This Row],[State]]="DONE")),1,0))</f>
      </c>
      <c r="V241" s="17">
        <f>IF(OR(Items[[#This Row],[ID]]="",Items[[#This Row],[Added]]=""),"",AsOf-Items[[#This Row],[Added]])</f>
      </c>
      <c r="W241" s="17">
        <f>IF(Items[[#This Row],[In sprint]]=1,(IF(Items[[#This Row],[Prio]]="",9,N(Items[[#This Row],[Prio]]))*10+(IF(Items[[#This Row],[State]]="DONE",1,0)))*100000+ROW(),"")</f>
      </c>
      <c r="X24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41" s="17">
        <f>IF(AND(Items[[#This Row],[State]]="DONE",N(Items[[#This Row],[Done on]])&gt;AsOf-7),(200000-N(Items[[#This Row],[Done on]]))*100000+ROW(),"")</f>
      </c>
    </row>
    <row r="242">
      <c r="A242" t="s">
        <v>350</v>
      </c>
      <c r="B242" t="s">
        <v>1458</v>
      </c>
      <c r="C242" t="s">
        <v>1115</v>
      </c>
      <c r="D242" t="s">
        <v>1119</v>
      </c>
      <c r="E242" t="s">
        <v>1131</v>
      </c>
      <c r="F242" t="s">
        <v>1309</v>
      </c>
      <c r="G242">
        <v>3</v>
      </c>
      <c r="H242">
        <v>1</v>
      </c>
      <c r="I242" s="11">
        <v>46105</v>
      </c>
      <c r="J242" s="17">
        <f>IF(Items[[#This Row],[ID]]="","",IFERROR(VALUE(LOOKUP(2,1/((Log[ID]=Items[[#This Row],[ID]])*(Log[Verb]="est")),Log[Arg])),N(Items[[#This Row],[Points]])))</f>
      </c>
      <c r="K242" s="17">
        <f>IF(Items[[#This Row],[ID]]="","",IFERROR(LOOKUP(2,1/((Log[ID]=Items[[#This Row],[ID]])*(Log[Verb]="pass")),Log[Arg])&amp;"",Items[[#This Row],[Team]]&amp;""))</f>
      </c>
      <c r="L242" s="17">
        <f>IF(Items[[#This Row],[ID]]="","",IFERROR(LOOKUP(2,1/((Log[ID]=Items[[#This Row],[ID]])*(Log[Into]&lt;&gt;"")),Log[Into]),""))</f>
      </c>
      <c r="M242" s="17">
        <f>IF(Items[[#This Row],[ID]]="","",IF(IFERROR(LOOKUP(2,1/((Log[ID]=Items[[#This Row],[ID]])*(Log[Blk]&lt;&gt;"")),Log[Blk]),0)=1,"Y",""))</f>
      </c>
      <c r="N242" s="17">
        <f>IF(Items[[#This Row],[ID]]="","",SUBSTITUTE(IFERROR(LOOKUP(2,1/((Log[ID]=Items[[#This Row],[ID]])*(Log[State]&lt;&gt;"")),Log[State]),"TODO"),"OPEN",IF(Items[[#This Row],[Blocked]]="Y","WAIT","OPEN")))</f>
      </c>
      <c r="O24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42" s="17">
        <f>IF(Items[[#This Row],[State]]&lt;&gt;"WAIT","",AsOf-Items[[#This Row],[Blocked since]])</f>
      </c>
      <c r="Q242" s="17">
        <f>IF(Items[[#This Row],[State]]&lt;&gt;"WAIT","",IFERROR(LOOKUP(2,1/((Log[ID]=Items[[#This Row],[ID]])*(Log[Verb]="block")),Log[Note])&amp;"",""))</f>
      </c>
      <c r="R242" s="17">
        <f>IF(Items[[#This Row],[ID]]="","",COUNTIFS(Log[ID],Items[[#This Row],[ID]],Log[Verb],"carry"))</f>
      </c>
      <c r="S242" s="17">
        <f>IF(Items[[#This Row],[ID]]="","",COUNTIFS(Log[ID],Items[[#This Row],[ID]],Log[Verb],"punt"))</f>
      </c>
      <c r="T242" s="11">
        <f>IF(Items[[#This Row],[State]]&lt;&gt;"DONE","",IFERROR(LOOKUP(2,1/((Log[ID]=Items[[#This Row],[ID]])*(Log[Verb]="done")),Log[Date]),""))</f>
      </c>
      <c r="U242" s="17">
        <f>IF(Items[[#This Row],[ID]]="","",IF(AND(Items[[#This Row],[Sprint]]=CurSprint,OR(Items[[#This Row],[State]]="OPEN",Items[[#This Row],[State]]="WAIT",Items[[#This Row],[State]]="HOLD",Items[[#This Row],[State]]="DONE")),1,0))</f>
      </c>
      <c r="V242" s="17">
        <f>IF(OR(Items[[#This Row],[ID]]="",Items[[#This Row],[Added]]=""),"",AsOf-Items[[#This Row],[Added]])</f>
      </c>
      <c r="W242" s="17">
        <f>IF(Items[[#This Row],[In sprint]]=1,(IF(Items[[#This Row],[Prio]]="",9,N(Items[[#This Row],[Prio]]))*10+(IF(Items[[#This Row],[State]]="DONE",1,0)))*100000+ROW(),"")</f>
      </c>
      <c r="X24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42" s="17">
        <f>IF(AND(Items[[#This Row],[State]]="DONE",N(Items[[#This Row],[Done on]])&gt;AsOf-7),(200000-N(Items[[#This Row],[Done on]]))*100000+ROW(),"")</f>
      </c>
    </row>
    <row r="243">
      <c r="A243" t="s">
        <v>351</v>
      </c>
      <c r="B243" t="s">
        <v>1459</v>
      </c>
      <c r="C243" t="s">
        <v>1115</v>
      </c>
      <c r="D243" t="s">
        <v>1116</v>
      </c>
      <c r="E243" t="s">
        <v>1131</v>
      </c>
      <c r="F243" t="s">
        <v>1307</v>
      </c>
      <c r="G243">
        <v>3</v>
      </c>
      <c r="H243">
        <v>1</v>
      </c>
      <c r="I243" s="11">
        <v>46105</v>
      </c>
      <c r="J243" s="17">
        <f>IF(Items[[#This Row],[ID]]="","",IFERROR(VALUE(LOOKUP(2,1/((Log[ID]=Items[[#This Row],[ID]])*(Log[Verb]="est")),Log[Arg])),N(Items[[#This Row],[Points]])))</f>
      </c>
      <c r="K243" s="17">
        <f>IF(Items[[#This Row],[ID]]="","",IFERROR(LOOKUP(2,1/((Log[ID]=Items[[#This Row],[ID]])*(Log[Verb]="pass")),Log[Arg])&amp;"",Items[[#This Row],[Team]]&amp;""))</f>
      </c>
      <c r="L243" s="17">
        <f>IF(Items[[#This Row],[ID]]="","",IFERROR(LOOKUP(2,1/((Log[ID]=Items[[#This Row],[ID]])*(Log[Into]&lt;&gt;"")),Log[Into]),""))</f>
      </c>
      <c r="M243" s="17">
        <f>IF(Items[[#This Row],[ID]]="","",IF(IFERROR(LOOKUP(2,1/((Log[ID]=Items[[#This Row],[ID]])*(Log[Blk]&lt;&gt;"")),Log[Blk]),0)=1,"Y",""))</f>
      </c>
      <c r="N243" s="17">
        <f>IF(Items[[#This Row],[ID]]="","",SUBSTITUTE(IFERROR(LOOKUP(2,1/((Log[ID]=Items[[#This Row],[ID]])*(Log[State]&lt;&gt;"")),Log[State]),"TODO"),"OPEN",IF(Items[[#This Row],[Blocked]]="Y","WAIT","OPEN")))</f>
      </c>
      <c r="O24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43" s="17">
        <f>IF(Items[[#This Row],[State]]&lt;&gt;"WAIT","",AsOf-Items[[#This Row],[Blocked since]])</f>
      </c>
      <c r="Q243" s="17">
        <f>IF(Items[[#This Row],[State]]&lt;&gt;"WAIT","",IFERROR(LOOKUP(2,1/((Log[ID]=Items[[#This Row],[ID]])*(Log[Verb]="block")),Log[Note])&amp;"",""))</f>
      </c>
      <c r="R243" s="17">
        <f>IF(Items[[#This Row],[ID]]="","",COUNTIFS(Log[ID],Items[[#This Row],[ID]],Log[Verb],"carry"))</f>
      </c>
      <c r="S243" s="17">
        <f>IF(Items[[#This Row],[ID]]="","",COUNTIFS(Log[ID],Items[[#This Row],[ID]],Log[Verb],"punt"))</f>
      </c>
      <c r="T243" s="11">
        <f>IF(Items[[#This Row],[State]]&lt;&gt;"DONE","",IFERROR(LOOKUP(2,1/((Log[ID]=Items[[#This Row],[ID]])*(Log[Verb]="done")),Log[Date]),""))</f>
      </c>
      <c r="U243" s="17">
        <f>IF(Items[[#This Row],[ID]]="","",IF(AND(Items[[#This Row],[Sprint]]=CurSprint,OR(Items[[#This Row],[State]]="OPEN",Items[[#This Row],[State]]="WAIT",Items[[#This Row],[State]]="HOLD",Items[[#This Row],[State]]="DONE")),1,0))</f>
      </c>
      <c r="V243" s="17">
        <f>IF(OR(Items[[#This Row],[ID]]="",Items[[#This Row],[Added]]=""),"",AsOf-Items[[#This Row],[Added]])</f>
      </c>
      <c r="W243" s="17">
        <f>IF(Items[[#This Row],[In sprint]]=1,(IF(Items[[#This Row],[Prio]]="",9,N(Items[[#This Row],[Prio]]))*10+(IF(Items[[#This Row],[State]]="DONE",1,0)))*100000+ROW(),"")</f>
      </c>
      <c r="X24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43" s="17">
        <f>IF(AND(Items[[#This Row],[State]]="DONE",N(Items[[#This Row],[Done on]])&gt;AsOf-7),(200000-N(Items[[#This Row],[Done on]]))*100000+ROW(),"")</f>
      </c>
    </row>
    <row r="244">
      <c r="A244" t="s">
        <v>412</v>
      </c>
      <c r="B244" t="s">
        <v>1460</v>
      </c>
      <c r="C244" t="s">
        <v>1107</v>
      </c>
      <c r="D244" t="s">
        <v>1108</v>
      </c>
      <c r="E244" t="s">
        <v>1131</v>
      </c>
      <c r="F244" t="s">
        <v>1233</v>
      </c>
      <c r="G244">
        <v>8</v>
      </c>
      <c r="H244">
        <v>2</v>
      </c>
      <c r="I244" s="11">
        <v>46105</v>
      </c>
      <c r="J244" s="17">
        <f>IF(Items[[#This Row],[ID]]="","",IFERROR(VALUE(LOOKUP(2,1/((Log[ID]=Items[[#This Row],[ID]])*(Log[Verb]="est")),Log[Arg])),N(Items[[#This Row],[Points]])))</f>
      </c>
      <c r="K244" s="17">
        <f>IF(Items[[#This Row],[ID]]="","",IFERROR(LOOKUP(2,1/((Log[ID]=Items[[#This Row],[ID]])*(Log[Verb]="pass")),Log[Arg])&amp;"",Items[[#This Row],[Team]]&amp;""))</f>
      </c>
      <c r="L244" s="17">
        <f>IF(Items[[#This Row],[ID]]="","",IFERROR(LOOKUP(2,1/((Log[ID]=Items[[#This Row],[ID]])*(Log[Into]&lt;&gt;"")),Log[Into]),""))</f>
      </c>
      <c r="M244" s="17">
        <f>IF(Items[[#This Row],[ID]]="","",IF(IFERROR(LOOKUP(2,1/((Log[ID]=Items[[#This Row],[ID]])*(Log[Blk]&lt;&gt;"")),Log[Blk]),0)=1,"Y",""))</f>
      </c>
      <c r="N244" s="17">
        <f>IF(Items[[#This Row],[ID]]="","",SUBSTITUTE(IFERROR(LOOKUP(2,1/((Log[ID]=Items[[#This Row],[ID]])*(Log[State]&lt;&gt;"")),Log[State]),"TODO"),"OPEN",IF(Items[[#This Row],[Blocked]]="Y","WAIT","OPEN")))</f>
      </c>
      <c r="O24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44" s="17">
        <f>IF(Items[[#This Row],[State]]&lt;&gt;"WAIT","",AsOf-Items[[#This Row],[Blocked since]])</f>
      </c>
      <c r="Q244" s="17">
        <f>IF(Items[[#This Row],[State]]&lt;&gt;"WAIT","",IFERROR(LOOKUP(2,1/((Log[ID]=Items[[#This Row],[ID]])*(Log[Verb]="block")),Log[Note])&amp;"",""))</f>
      </c>
      <c r="R244" s="17">
        <f>IF(Items[[#This Row],[ID]]="","",COUNTIFS(Log[ID],Items[[#This Row],[ID]],Log[Verb],"carry"))</f>
      </c>
      <c r="S244" s="17">
        <f>IF(Items[[#This Row],[ID]]="","",COUNTIFS(Log[ID],Items[[#This Row],[ID]],Log[Verb],"punt"))</f>
      </c>
      <c r="T244" s="11">
        <f>IF(Items[[#This Row],[State]]&lt;&gt;"DONE","",IFERROR(LOOKUP(2,1/((Log[ID]=Items[[#This Row],[ID]])*(Log[Verb]="done")),Log[Date]),""))</f>
      </c>
      <c r="U244" s="17">
        <f>IF(Items[[#This Row],[ID]]="","",IF(AND(Items[[#This Row],[Sprint]]=CurSprint,OR(Items[[#This Row],[State]]="OPEN",Items[[#This Row],[State]]="WAIT",Items[[#This Row],[State]]="HOLD",Items[[#This Row],[State]]="DONE")),1,0))</f>
      </c>
      <c r="V244" s="17">
        <f>IF(OR(Items[[#This Row],[ID]]="",Items[[#This Row],[Added]]=""),"",AsOf-Items[[#This Row],[Added]])</f>
      </c>
      <c r="W244" s="17">
        <f>IF(Items[[#This Row],[In sprint]]=1,(IF(Items[[#This Row],[Prio]]="",9,N(Items[[#This Row],[Prio]]))*10+(IF(Items[[#This Row],[State]]="DONE",1,0)))*100000+ROW(),"")</f>
      </c>
      <c r="X24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44" s="17">
        <f>IF(AND(Items[[#This Row],[State]]="DONE",N(Items[[#This Row],[Done on]])&gt;AsOf-7),(200000-N(Items[[#This Row],[Done on]]))*100000+ROW(),"")</f>
      </c>
    </row>
    <row r="245">
      <c r="A245" t="s">
        <v>413</v>
      </c>
      <c r="B245" t="s">
        <v>1461</v>
      </c>
      <c r="C245" t="s">
        <v>1107</v>
      </c>
      <c r="D245" t="s">
        <v>1123</v>
      </c>
      <c r="E245" t="s">
        <v>1134</v>
      </c>
      <c r="F245" t="s">
        <v>1237</v>
      </c>
      <c r="G245">
        <v>8</v>
      </c>
      <c r="H245">
        <v>1</v>
      </c>
      <c r="I245" s="11">
        <v>46105</v>
      </c>
      <c r="J245" s="17">
        <f>IF(Items[[#This Row],[ID]]="","",IFERROR(VALUE(LOOKUP(2,1/((Log[ID]=Items[[#This Row],[ID]])*(Log[Verb]="est")),Log[Arg])),N(Items[[#This Row],[Points]])))</f>
      </c>
      <c r="K245" s="17">
        <f>IF(Items[[#This Row],[ID]]="","",IFERROR(LOOKUP(2,1/((Log[ID]=Items[[#This Row],[ID]])*(Log[Verb]="pass")),Log[Arg])&amp;"",Items[[#This Row],[Team]]&amp;""))</f>
      </c>
      <c r="L245" s="17">
        <f>IF(Items[[#This Row],[ID]]="","",IFERROR(LOOKUP(2,1/((Log[ID]=Items[[#This Row],[ID]])*(Log[Into]&lt;&gt;"")),Log[Into]),""))</f>
      </c>
      <c r="M245" s="17">
        <f>IF(Items[[#This Row],[ID]]="","",IF(IFERROR(LOOKUP(2,1/((Log[ID]=Items[[#This Row],[ID]])*(Log[Blk]&lt;&gt;"")),Log[Blk]),0)=1,"Y",""))</f>
      </c>
      <c r="N245" s="17">
        <f>IF(Items[[#This Row],[ID]]="","",SUBSTITUTE(IFERROR(LOOKUP(2,1/((Log[ID]=Items[[#This Row],[ID]])*(Log[State]&lt;&gt;"")),Log[State]),"TODO"),"OPEN",IF(Items[[#This Row],[Blocked]]="Y","WAIT","OPEN")))</f>
      </c>
      <c r="O24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45" s="17">
        <f>IF(Items[[#This Row],[State]]&lt;&gt;"WAIT","",AsOf-Items[[#This Row],[Blocked since]])</f>
      </c>
      <c r="Q245" s="17">
        <f>IF(Items[[#This Row],[State]]&lt;&gt;"WAIT","",IFERROR(LOOKUP(2,1/((Log[ID]=Items[[#This Row],[ID]])*(Log[Verb]="block")),Log[Note])&amp;"",""))</f>
      </c>
      <c r="R245" s="17">
        <f>IF(Items[[#This Row],[ID]]="","",COUNTIFS(Log[ID],Items[[#This Row],[ID]],Log[Verb],"carry"))</f>
      </c>
      <c r="S245" s="17">
        <f>IF(Items[[#This Row],[ID]]="","",COUNTIFS(Log[ID],Items[[#This Row],[ID]],Log[Verb],"punt"))</f>
      </c>
      <c r="T245" s="11">
        <f>IF(Items[[#This Row],[State]]&lt;&gt;"DONE","",IFERROR(LOOKUP(2,1/((Log[ID]=Items[[#This Row],[ID]])*(Log[Verb]="done")),Log[Date]),""))</f>
      </c>
      <c r="U245" s="17">
        <f>IF(Items[[#This Row],[ID]]="","",IF(AND(Items[[#This Row],[Sprint]]=CurSprint,OR(Items[[#This Row],[State]]="OPEN",Items[[#This Row],[State]]="WAIT",Items[[#This Row],[State]]="HOLD",Items[[#This Row],[State]]="DONE")),1,0))</f>
      </c>
      <c r="V245" s="17">
        <f>IF(OR(Items[[#This Row],[ID]]="",Items[[#This Row],[Added]]=""),"",AsOf-Items[[#This Row],[Added]])</f>
      </c>
      <c r="W245" s="17">
        <f>IF(Items[[#This Row],[In sprint]]=1,(IF(Items[[#This Row],[Prio]]="",9,N(Items[[#This Row],[Prio]]))*10+(IF(Items[[#This Row],[State]]="DONE",1,0)))*100000+ROW(),"")</f>
      </c>
      <c r="X24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45" s="17">
        <f>IF(AND(Items[[#This Row],[State]]="DONE",N(Items[[#This Row],[Done on]])&gt;AsOf-7),(200000-N(Items[[#This Row],[Done on]]))*100000+ROW(),"")</f>
      </c>
    </row>
    <row r="246">
      <c r="A246" t="s">
        <v>474</v>
      </c>
      <c r="B246" t="s">
        <v>1462</v>
      </c>
      <c r="C246" t="s">
        <v>1107</v>
      </c>
      <c r="D246" t="s">
        <v>1108</v>
      </c>
      <c r="E246" t="s">
        <v>1134</v>
      </c>
      <c r="F246" t="s">
        <v>1240</v>
      </c>
      <c r="G246">
        <v>8</v>
      </c>
      <c r="H246">
        <v>3</v>
      </c>
      <c r="I246" s="11">
        <v>46105</v>
      </c>
      <c r="J246" s="17">
        <f>IF(Items[[#This Row],[ID]]="","",IFERROR(VALUE(LOOKUP(2,1/((Log[ID]=Items[[#This Row],[ID]])*(Log[Verb]="est")),Log[Arg])),N(Items[[#This Row],[Points]])))</f>
      </c>
      <c r="K246" s="17">
        <f>IF(Items[[#This Row],[ID]]="","",IFERROR(LOOKUP(2,1/((Log[ID]=Items[[#This Row],[ID]])*(Log[Verb]="pass")),Log[Arg])&amp;"",Items[[#This Row],[Team]]&amp;""))</f>
      </c>
      <c r="L246" s="17">
        <f>IF(Items[[#This Row],[ID]]="","",IFERROR(LOOKUP(2,1/((Log[ID]=Items[[#This Row],[ID]])*(Log[Into]&lt;&gt;"")),Log[Into]),""))</f>
      </c>
      <c r="M246" s="17">
        <f>IF(Items[[#This Row],[ID]]="","",IF(IFERROR(LOOKUP(2,1/((Log[ID]=Items[[#This Row],[ID]])*(Log[Blk]&lt;&gt;"")),Log[Blk]),0)=1,"Y",""))</f>
      </c>
      <c r="N246" s="17">
        <f>IF(Items[[#This Row],[ID]]="","",SUBSTITUTE(IFERROR(LOOKUP(2,1/((Log[ID]=Items[[#This Row],[ID]])*(Log[State]&lt;&gt;"")),Log[State]),"TODO"),"OPEN",IF(Items[[#This Row],[Blocked]]="Y","WAIT","OPEN")))</f>
      </c>
      <c r="O24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46" s="17">
        <f>IF(Items[[#This Row],[State]]&lt;&gt;"WAIT","",AsOf-Items[[#This Row],[Blocked since]])</f>
      </c>
      <c r="Q246" s="17">
        <f>IF(Items[[#This Row],[State]]&lt;&gt;"WAIT","",IFERROR(LOOKUP(2,1/((Log[ID]=Items[[#This Row],[ID]])*(Log[Verb]="block")),Log[Note])&amp;"",""))</f>
      </c>
      <c r="R246" s="17">
        <f>IF(Items[[#This Row],[ID]]="","",COUNTIFS(Log[ID],Items[[#This Row],[ID]],Log[Verb],"carry"))</f>
      </c>
      <c r="S246" s="17">
        <f>IF(Items[[#This Row],[ID]]="","",COUNTIFS(Log[ID],Items[[#This Row],[ID]],Log[Verb],"punt"))</f>
      </c>
      <c r="T246" s="11">
        <f>IF(Items[[#This Row],[State]]&lt;&gt;"DONE","",IFERROR(LOOKUP(2,1/((Log[ID]=Items[[#This Row],[ID]])*(Log[Verb]="done")),Log[Date]),""))</f>
      </c>
      <c r="U246" s="17">
        <f>IF(Items[[#This Row],[ID]]="","",IF(AND(Items[[#This Row],[Sprint]]=CurSprint,OR(Items[[#This Row],[State]]="OPEN",Items[[#This Row],[State]]="WAIT",Items[[#This Row],[State]]="HOLD",Items[[#This Row],[State]]="DONE")),1,0))</f>
      </c>
      <c r="V246" s="17">
        <f>IF(OR(Items[[#This Row],[ID]]="",Items[[#This Row],[Added]]=""),"",AsOf-Items[[#This Row],[Added]])</f>
      </c>
      <c r="W246" s="17">
        <f>IF(Items[[#This Row],[In sprint]]=1,(IF(Items[[#This Row],[Prio]]="",9,N(Items[[#This Row],[Prio]]))*10+(IF(Items[[#This Row],[State]]="DONE",1,0)))*100000+ROW(),"")</f>
      </c>
      <c r="X24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46" s="17">
        <f>IF(AND(Items[[#This Row],[State]]="DONE",N(Items[[#This Row],[Done on]])&gt;AsOf-7),(200000-N(Items[[#This Row],[Done on]]))*100000+ROW(),"")</f>
      </c>
    </row>
    <row r="247">
      <c r="A247" t="s">
        <v>414</v>
      </c>
      <c r="B247" t="s">
        <v>1463</v>
      </c>
      <c r="C247" t="s">
        <v>1115</v>
      </c>
      <c r="D247" t="s">
        <v>1116</v>
      </c>
      <c r="E247" t="s">
        <v>1134</v>
      </c>
      <c r="F247" t="s">
        <v>1237</v>
      </c>
      <c r="G247">
        <v>3</v>
      </c>
      <c r="H247">
        <v>3</v>
      </c>
      <c r="I247" s="11">
        <v>46105</v>
      </c>
      <c r="J247" s="17">
        <f>IF(Items[[#This Row],[ID]]="","",IFERROR(VALUE(LOOKUP(2,1/((Log[ID]=Items[[#This Row],[ID]])*(Log[Verb]="est")),Log[Arg])),N(Items[[#This Row],[Points]])))</f>
      </c>
      <c r="K247" s="17">
        <f>IF(Items[[#This Row],[ID]]="","",IFERROR(LOOKUP(2,1/((Log[ID]=Items[[#This Row],[ID]])*(Log[Verb]="pass")),Log[Arg])&amp;"",Items[[#This Row],[Team]]&amp;""))</f>
      </c>
      <c r="L247" s="17">
        <f>IF(Items[[#This Row],[ID]]="","",IFERROR(LOOKUP(2,1/((Log[ID]=Items[[#This Row],[ID]])*(Log[Into]&lt;&gt;"")),Log[Into]),""))</f>
      </c>
      <c r="M247" s="17">
        <f>IF(Items[[#This Row],[ID]]="","",IF(IFERROR(LOOKUP(2,1/((Log[ID]=Items[[#This Row],[ID]])*(Log[Blk]&lt;&gt;"")),Log[Blk]),0)=1,"Y",""))</f>
      </c>
      <c r="N247" s="17">
        <f>IF(Items[[#This Row],[ID]]="","",SUBSTITUTE(IFERROR(LOOKUP(2,1/((Log[ID]=Items[[#This Row],[ID]])*(Log[State]&lt;&gt;"")),Log[State]),"TODO"),"OPEN",IF(Items[[#This Row],[Blocked]]="Y","WAIT","OPEN")))</f>
      </c>
      <c r="O24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47" s="17">
        <f>IF(Items[[#This Row],[State]]&lt;&gt;"WAIT","",AsOf-Items[[#This Row],[Blocked since]])</f>
      </c>
      <c r="Q247" s="17">
        <f>IF(Items[[#This Row],[State]]&lt;&gt;"WAIT","",IFERROR(LOOKUP(2,1/((Log[ID]=Items[[#This Row],[ID]])*(Log[Verb]="block")),Log[Note])&amp;"",""))</f>
      </c>
      <c r="R247" s="17">
        <f>IF(Items[[#This Row],[ID]]="","",COUNTIFS(Log[ID],Items[[#This Row],[ID]],Log[Verb],"carry"))</f>
      </c>
      <c r="S247" s="17">
        <f>IF(Items[[#This Row],[ID]]="","",COUNTIFS(Log[ID],Items[[#This Row],[ID]],Log[Verb],"punt"))</f>
      </c>
      <c r="T247" s="11">
        <f>IF(Items[[#This Row],[State]]&lt;&gt;"DONE","",IFERROR(LOOKUP(2,1/((Log[ID]=Items[[#This Row],[ID]])*(Log[Verb]="done")),Log[Date]),""))</f>
      </c>
      <c r="U247" s="17">
        <f>IF(Items[[#This Row],[ID]]="","",IF(AND(Items[[#This Row],[Sprint]]=CurSprint,OR(Items[[#This Row],[State]]="OPEN",Items[[#This Row],[State]]="WAIT",Items[[#This Row],[State]]="HOLD",Items[[#This Row],[State]]="DONE")),1,0))</f>
      </c>
      <c r="V247" s="17">
        <f>IF(OR(Items[[#This Row],[ID]]="",Items[[#This Row],[Added]]=""),"",AsOf-Items[[#This Row],[Added]])</f>
      </c>
      <c r="W247" s="17">
        <f>IF(Items[[#This Row],[In sprint]]=1,(IF(Items[[#This Row],[Prio]]="",9,N(Items[[#This Row],[Prio]]))*10+(IF(Items[[#This Row],[State]]="DONE",1,0)))*100000+ROW(),"")</f>
      </c>
      <c r="X24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47" s="17">
        <f>IF(AND(Items[[#This Row],[State]]="DONE",N(Items[[#This Row],[Done on]])&gt;AsOf-7),(200000-N(Items[[#This Row],[Done on]]))*100000+ROW(),"")</f>
      </c>
    </row>
    <row r="248">
      <c r="A248" t="s">
        <v>365</v>
      </c>
      <c r="B248" t="s">
        <v>1464</v>
      </c>
      <c r="C248" t="s">
        <v>1115</v>
      </c>
      <c r="D248" t="s">
        <v>1116</v>
      </c>
      <c r="E248" t="s">
        <v>1139</v>
      </c>
      <c r="F248" t="s">
        <v>1247</v>
      </c>
      <c r="G248">
        <v>3</v>
      </c>
      <c r="H248">
        <v>1</v>
      </c>
      <c r="I248" s="11">
        <v>46105</v>
      </c>
      <c r="J248" s="17">
        <f>IF(Items[[#This Row],[ID]]="","",IFERROR(VALUE(LOOKUP(2,1/((Log[ID]=Items[[#This Row],[ID]])*(Log[Verb]="est")),Log[Arg])),N(Items[[#This Row],[Points]])))</f>
      </c>
      <c r="K248" s="17">
        <f>IF(Items[[#This Row],[ID]]="","",IFERROR(LOOKUP(2,1/((Log[ID]=Items[[#This Row],[ID]])*(Log[Verb]="pass")),Log[Arg])&amp;"",Items[[#This Row],[Team]]&amp;""))</f>
      </c>
      <c r="L248" s="17">
        <f>IF(Items[[#This Row],[ID]]="","",IFERROR(LOOKUP(2,1/((Log[ID]=Items[[#This Row],[ID]])*(Log[Into]&lt;&gt;"")),Log[Into]),""))</f>
      </c>
      <c r="M248" s="17">
        <f>IF(Items[[#This Row],[ID]]="","",IF(IFERROR(LOOKUP(2,1/((Log[ID]=Items[[#This Row],[ID]])*(Log[Blk]&lt;&gt;"")),Log[Blk]),0)=1,"Y",""))</f>
      </c>
      <c r="N248" s="17">
        <f>IF(Items[[#This Row],[ID]]="","",SUBSTITUTE(IFERROR(LOOKUP(2,1/((Log[ID]=Items[[#This Row],[ID]])*(Log[State]&lt;&gt;"")),Log[State]),"TODO"),"OPEN",IF(Items[[#This Row],[Blocked]]="Y","WAIT","OPEN")))</f>
      </c>
      <c r="O24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48" s="17">
        <f>IF(Items[[#This Row],[State]]&lt;&gt;"WAIT","",AsOf-Items[[#This Row],[Blocked since]])</f>
      </c>
      <c r="Q248" s="17">
        <f>IF(Items[[#This Row],[State]]&lt;&gt;"WAIT","",IFERROR(LOOKUP(2,1/((Log[ID]=Items[[#This Row],[ID]])*(Log[Verb]="block")),Log[Note])&amp;"",""))</f>
      </c>
      <c r="R248" s="17">
        <f>IF(Items[[#This Row],[ID]]="","",COUNTIFS(Log[ID],Items[[#This Row],[ID]],Log[Verb],"carry"))</f>
      </c>
      <c r="S248" s="17">
        <f>IF(Items[[#This Row],[ID]]="","",COUNTIFS(Log[ID],Items[[#This Row],[ID]],Log[Verb],"punt"))</f>
      </c>
      <c r="T248" s="11">
        <f>IF(Items[[#This Row],[State]]&lt;&gt;"DONE","",IFERROR(LOOKUP(2,1/((Log[ID]=Items[[#This Row],[ID]])*(Log[Verb]="done")),Log[Date]),""))</f>
      </c>
      <c r="U248" s="17">
        <f>IF(Items[[#This Row],[ID]]="","",IF(AND(Items[[#This Row],[Sprint]]=CurSprint,OR(Items[[#This Row],[State]]="OPEN",Items[[#This Row],[State]]="WAIT",Items[[#This Row],[State]]="HOLD",Items[[#This Row],[State]]="DONE")),1,0))</f>
      </c>
      <c r="V248" s="17">
        <f>IF(OR(Items[[#This Row],[ID]]="",Items[[#This Row],[Added]]=""),"",AsOf-Items[[#This Row],[Added]])</f>
      </c>
      <c r="W248" s="17">
        <f>IF(Items[[#This Row],[In sprint]]=1,(IF(Items[[#This Row],[Prio]]="",9,N(Items[[#This Row],[Prio]]))*10+(IF(Items[[#This Row],[State]]="DONE",1,0)))*100000+ROW(),"")</f>
      </c>
      <c r="X24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48" s="17">
        <f>IF(AND(Items[[#This Row],[State]]="DONE",N(Items[[#This Row],[Done on]])&gt;AsOf-7),(200000-N(Items[[#This Row],[Done on]]))*100000+ROW(),"")</f>
      </c>
    </row>
    <row r="249">
      <c r="A249" t="s">
        <v>418</v>
      </c>
      <c r="B249" t="s">
        <v>1465</v>
      </c>
      <c r="C249" t="s">
        <v>1107</v>
      </c>
      <c r="D249" t="s">
        <v>1123</v>
      </c>
      <c r="E249" t="s">
        <v>1139</v>
      </c>
      <c r="F249" t="s">
        <v>1247</v>
      </c>
      <c r="G249">
        <v>8</v>
      </c>
      <c r="H249">
        <v>2</v>
      </c>
      <c r="I249" s="11">
        <v>46105</v>
      </c>
      <c r="J249" s="17">
        <f>IF(Items[[#This Row],[ID]]="","",IFERROR(VALUE(LOOKUP(2,1/((Log[ID]=Items[[#This Row],[ID]])*(Log[Verb]="est")),Log[Arg])),N(Items[[#This Row],[Points]])))</f>
      </c>
      <c r="K249" s="17">
        <f>IF(Items[[#This Row],[ID]]="","",IFERROR(LOOKUP(2,1/((Log[ID]=Items[[#This Row],[ID]])*(Log[Verb]="pass")),Log[Arg])&amp;"",Items[[#This Row],[Team]]&amp;""))</f>
      </c>
      <c r="L249" s="17">
        <f>IF(Items[[#This Row],[ID]]="","",IFERROR(LOOKUP(2,1/((Log[ID]=Items[[#This Row],[ID]])*(Log[Into]&lt;&gt;"")),Log[Into]),""))</f>
      </c>
      <c r="M249" s="17">
        <f>IF(Items[[#This Row],[ID]]="","",IF(IFERROR(LOOKUP(2,1/((Log[ID]=Items[[#This Row],[ID]])*(Log[Blk]&lt;&gt;"")),Log[Blk]),0)=1,"Y",""))</f>
      </c>
      <c r="N249" s="17">
        <f>IF(Items[[#This Row],[ID]]="","",SUBSTITUTE(IFERROR(LOOKUP(2,1/((Log[ID]=Items[[#This Row],[ID]])*(Log[State]&lt;&gt;"")),Log[State]),"TODO"),"OPEN",IF(Items[[#This Row],[Blocked]]="Y","WAIT","OPEN")))</f>
      </c>
      <c r="O24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49" s="17">
        <f>IF(Items[[#This Row],[State]]&lt;&gt;"WAIT","",AsOf-Items[[#This Row],[Blocked since]])</f>
      </c>
      <c r="Q249" s="17">
        <f>IF(Items[[#This Row],[State]]&lt;&gt;"WAIT","",IFERROR(LOOKUP(2,1/((Log[ID]=Items[[#This Row],[ID]])*(Log[Verb]="block")),Log[Note])&amp;"",""))</f>
      </c>
      <c r="R249" s="17">
        <f>IF(Items[[#This Row],[ID]]="","",COUNTIFS(Log[ID],Items[[#This Row],[ID]],Log[Verb],"carry"))</f>
      </c>
      <c r="S249" s="17">
        <f>IF(Items[[#This Row],[ID]]="","",COUNTIFS(Log[ID],Items[[#This Row],[ID]],Log[Verb],"punt"))</f>
      </c>
      <c r="T249" s="11">
        <f>IF(Items[[#This Row],[State]]&lt;&gt;"DONE","",IFERROR(LOOKUP(2,1/((Log[ID]=Items[[#This Row],[ID]])*(Log[Verb]="done")),Log[Date]),""))</f>
      </c>
      <c r="U249" s="17">
        <f>IF(Items[[#This Row],[ID]]="","",IF(AND(Items[[#This Row],[Sprint]]=CurSprint,OR(Items[[#This Row],[State]]="OPEN",Items[[#This Row],[State]]="WAIT",Items[[#This Row],[State]]="HOLD",Items[[#This Row],[State]]="DONE")),1,0))</f>
      </c>
      <c r="V249" s="17">
        <f>IF(OR(Items[[#This Row],[ID]]="",Items[[#This Row],[Added]]=""),"",AsOf-Items[[#This Row],[Added]])</f>
      </c>
      <c r="W249" s="17">
        <f>IF(Items[[#This Row],[In sprint]]=1,(IF(Items[[#This Row],[Prio]]="",9,N(Items[[#This Row],[Prio]]))*10+(IF(Items[[#This Row],[State]]="DONE",1,0)))*100000+ROW(),"")</f>
      </c>
      <c r="X24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49" s="17">
        <f>IF(AND(Items[[#This Row],[State]]="DONE",N(Items[[#This Row],[Done on]])&gt;AsOf-7),(200000-N(Items[[#This Row],[Done on]]))*100000+ROW(),"")</f>
      </c>
    </row>
    <row r="250">
      <c r="A250" t="s">
        <v>419</v>
      </c>
      <c r="B250" t="s">
        <v>1466</v>
      </c>
      <c r="C250" t="s">
        <v>1115</v>
      </c>
      <c r="D250" t="s">
        <v>1116</v>
      </c>
      <c r="E250" t="s">
        <v>1139</v>
      </c>
      <c r="F250" t="s">
        <v>1251</v>
      </c>
      <c r="G250">
        <v>2</v>
      </c>
      <c r="H250">
        <v>2</v>
      </c>
      <c r="I250" s="11">
        <v>46105</v>
      </c>
      <c r="J250" s="17">
        <f>IF(Items[[#This Row],[ID]]="","",IFERROR(VALUE(LOOKUP(2,1/((Log[ID]=Items[[#This Row],[ID]])*(Log[Verb]="est")),Log[Arg])),N(Items[[#This Row],[Points]])))</f>
      </c>
      <c r="K250" s="17">
        <f>IF(Items[[#This Row],[ID]]="","",IFERROR(LOOKUP(2,1/((Log[ID]=Items[[#This Row],[ID]])*(Log[Verb]="pass")),Log[Arg])&amp;"",Items[[#This Row],[Team]]&amp;""))</f>
      </c>
      <c r="L250" s="17">
        <f>IF(Items[[#This Row],[ID]]="","",IFERROR(LOOKUP(2,1/((Log[ID]=Items[[#This Row],[ID]])*(Log[Into]&lt;&gt;"")),Log[Into]),""))</f>
      </c>
      <c r="M250" s="17">
        <f>IF(Items[[#This Row],[ID]]="","",IF(IFERROR(LOOKUP(2,1/((Log[ID]=Items[[#This Row],[ID]])*(Log[Blk]&lt;&gt;"")),Log[Blk]),0)=1,"Y",""))</f>
      </c>
      <c r="N250" s="17">
        <f>IF(Items[[#This Row],[ID]]="","",SUBSTITUTE(IFERROR(LOOKUP(2,1/((Log[ID]=Items[[#This Row],[ID]])*(Log[State]&lt;&gt;"")),Log[State]),"TODO"),"OPEN",IF(Items[[#This Row],[Blocked]]="Y","WAIT","OPEN")))</f>
      </c>
      <c r="O25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50" s="17">
        <f>IF(Items[[#This Row],[State]]&lt;&gt;"WAIT","",AsOf-Items[[#This Row],[Blocked since]])</f>
      </c>
      <c r="Q250" s="17">
        <f>IF(Items[[#This Row],[State]]&lt;&gt;"WAIT","",IFERROR(LOOKUP(2,1/((Log[ID]=Items[[#This Row],[ID]])*(Log[Verb]="block")),Log[Note])&amp;"",""))</f>
      </c>
      <c r="R250" s="17">
        <f>IF(Items[[#This Row],[ID]]="","",COUNTIFS(Log[ID],Items[[#This Row],[ID]],Log[Verb],"carry"))</f>
      </c>
      <c r="S250" s="17">
        <f>IF(Items[[#This Row],[ID]]="","",COUNTIFS(Log[ID],Items[[#This Row],[ID]],Log[Verb],"punt"))</f>
      </c>
      <c r="T250" s="11">
        <f>IF(Items[[#This Row],[State]]&lt;&gt;"DONE","",IFERROR(LOOKUP(2,1/((Log[ID]=Items[[#This Row],[ID]])*(Log[Verb]="done")),Log[Date]),""))</f>
      </c>
      <c r="U250" s="17">
        <f>IF(Items[[#This Row],[ID]]="","",IF(AND(Items[[#This Row],[Sprint]]=CurSprint,OR(Items[[#This Row],[State]]="OPEN",Items[[#This Row],[State]]="WAIT",Items[[#This Row],[State]]="HOLD",Items[[#This Row],[State]]="DONE")),1,0))</f>
      </c>
      <c r="V250" s="17">
        <f>IF(OR(Items[[#This Row],[ID]]="",Items[[#This Row],[Added]]=""),"",AsOf-Items[[#This Row],[Added]])</f>
      </c>
      <c r="W250" s="17">
        <f>IF(Items[[#This Row],[In sprint]]=1,(IF(Items[[#This Row],[Prio]]="",9,N(Items[[#This Row],[Prio]]))*10+(IF(Items[[#This Row],[State]]="DONE",1,0)))*100000+ROW(),"")</f>
      </c>
      <c r="X25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50" s="17">
        <f>IF(AND(Items[[#This Row],[State]]="DONE",N(Items[[#This Row],[Done on]])&gt;AsOf-7),(200000-N(Items[[#This Row],[Done on]]))*100000+ROW(),"")</f>
      </c>
    </row>
    <row r="251">
      <c r="A251" t="s">
        <v>420</v>
      </c>
      <c r="B251" t="s">
        <v>1467</v>
      </c>
      <c r="C251" t="s">
        <v>1115</v>
      </c>
      <c r="D251" t="s">
        <v>1116</v>
      </c>
      <c r="E251" t="s">
        <v>1139</v>
      </c>
      <c r="F251" t="s">
        <v>1175</v>
      </c>
      <c r="G251">
        <v>5</v>
      </c>
      <c r="H251">
        <v>1</v>
      </c>
      <c r="I251" s="11">
        <v>46105</v>
      </c>
      <c r="J251" s="17">
        <f>IF(Items[[#This Row],[ID]]="","",IFERROR(VALUE(LOOKUP(2,1/((Log[ID]=Items[[#This Row],[ID]])*(Log[Verb]="est")),Log[Arg])),N(Items[[#This Row],[Points]])))</f>
      </c>
      <c r="K251" s="17">
        <f>IF(Items[[#This Row],[ID]]="","",IFERROR(LOOKUP(2,1/((Log[ID]=Items[[#This Row],[ID]])*(Log[Verb]="pass")),Log[Arg])&amp;"",Items[[#This Row],[Team]]&amp;""))</f>
      </c>
      <c r="L251" s="17">
        <f>IF(Items[[#This Row],[ID]]="","",IFERROR(LOOKUP(2,1/((Log[ID]=Items[[#This Row],[ID]])*(Log[Into]&lt;&gt;"")),Log[Into]),""))</f>
      </c>
      <c r="M251" s="17">
        <f>IF(Items[[#This Row],[ID]]="","",IF(IFERROR(LOOKUP(2,1/((Log[ID]=Items[[#This Row],[ID]])*(Log[Blk]&lt;&gt;"")),Log[Blk]),0)=1,"Y",""))</f>
      </c>
      <c r="N251" s="17">
        <f>IF(Items[[#This Row],[ID]]="","",SUBSTITUTE(IFERROR(LOOKUP(2,1/((Log[ID]=Items[[#This Row],[ID]])*(Log[State]&lt;&gt;"")),Log[State]),"TODO"),"OPEN",IF(Items[[#This Row],[Blocked]]="Y","WAIT","OPEN")))</f>
      </c>
      <c r="O25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51" s="17">
        <f>IF(Items[[#This Row],[State]]&lt;&gt;"WAIT","",AsOf-Items[[#This Row],[Blocked since]])</f>
      </c>
      <c r="Q251" s="17">
        <f>IF(Items[[#This Row],[State]]&lt;&gt;"WAIT","",IFERROR(LOOKUP(2,1/((Log[ID]=Items[[#This Row],[ID]])*(Log[Verb]="block")),Log[Note])&amp;"",""))</f>
      </c>
      <c r="R251" s="17">
        <f>IF(Items[[#This Row],[ID]]="","",COUNTIFS(Log[ID],Items[[#This Row],[ID]],Log[Verb],"carry"))</f>
      </c>
      <c r="S251" s="17">
        <f>IF(Items[[#This Row],[ID]]="","",COUNTIFS(Log[ID],Items[[#This Row],[ID]],Log[Verb],"punt"))</f>
      </c>
      <c r="T251" s="11">
        <f>IF(Items[[#This Row],[State]]&lt;&gt;"DONE","",IFERROR(LOOKUP(2,1/((Log[ID]=Items[[#This Row],[ID]])*(Log[Verb]="done")),Log[Date]),""))</f>
      </c>
      <c r="U251" s="17">
        <f>IF(Items[[#This Row],[ID]]="","",IF(AND(Items[[#This Row],[Sprint]]=CurSprint,OR(Items[[#This Row],[State]]="OPEN",Items[[#This Row],[State]]="WAIT",Items[[#This Row],[State]]="HOLD",Items[[#This Row],[State]]="DONE")),1,0))</f>
      </c>
      <c r="V251" s="17">
        <f>IF(OR(Items[[#This Row],[ID]]="",Items[[#This Row],[Added]]=""),"",AsOf-Items[[#This Row],[Added]])</f>
      </c>
      <c r="W251" s="17">
        <f>IF(Items[[#This Row],[In sprint]]=1,(IF(Items[[#This Row],[Prio]]="",9,N(Items[[#This Row],[Prio]]))*10+(IF(Items[[#This Row],[State]]="DONE",1,0)))*100000+ROW(),"")</f>
      </c>
      <c r="X25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51" s="17">
        <f>IF(AND(Items[[#This Row],[State]]="DONE",N(Items[[#This Row],[Done on]])&gt;AsOf-7),(200000-N(Items[[#This Row],[Done on]]))*100000+ROW(),"")</f>
      </c>
    </row>
    <row r="252">
      <c r="A252" t="s">
        <v>421</v>
      </c>
      <c r="B252" t="s">
        <v>1468</v>
      </c>
      <c r="C252" t="s">
        <v>1115</v>
      </c>
      <c r="D252" t="s">
        <v>1119</v>
      </c>
      <c r="E252" t="s">
        <v>1139</v>
      </c>
      <c r="F252" t="s">
        <v>1249</v>
      </c>
      <c r="G252">
        <v>2</v>
      </c>
      <c r="H252">
        <v>3</v>
      </c>
      <c r="I252" s="11">
        <v>46105</v>
      </c>
      <c r="J252" s="17">
        <f>IF(Items[[#This Row],[ID]]="","",IFERROR(VALUE(LOOKUP(2,1/((Log[ID]=Items[[#This Row],[ID]])*(Log[Verb]="est")),Log[Arg])),N(Items[[#This Row],[Points]])))</f>
      </c>
      <c r="K252" s="17">
        <f>IF(Items[[#This Row],[ID]]="","",IFERROR(LOOKUP(2,1/((Log[ID]=Items[[#This Row],[ID]])*(Log[Verb]="pass")),Log[Arg])&amp;"",Items[[#This Row],[Team]]&amp;""))</f>
      </c>
      <c r="L252" s="17">
        <f>IF(Items[[#This Row],[ID]]="","",IFERROR(LOOKUP(2,1/((Log[ID]=Items[[#This Row],[ID]])*(Log[Into]&lt;&gt;"")),Log[Into]),""))</f>
      </c>
      <c r="M252" s="17">
        <f>IF(Items[[#This Row],[ID]]="","",IF(IFERROR(LOOKUP(2,1/((Log[ID]=Items[[#This Row],[ID]])*(Log[Blk]&lt;&gt;"")),Log[Blk]),0)=1,"Y",""))</f>
      </c>
      <c r="N252" s="17">
        <f>IF(Items[[#This Row],[ID]]="","",SUBSTITUTE(IFERROR(LOOKUP(2,1/((Log[ID]=Items[[#This Row],[ID]])*(Log[State]&lt;&gt;"")),Log[State]),"TODO"),"OPEN",IF(Items[[#This Row],[Blocked]]="Y","WAIT","OPEN")))</f>
      </c>
      <c r="O25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52" s="17">
        <f>IF(Items[[#This Row],[State]]&lt;&gt;"WAIT","",AsOf-Items[[#This Row],[Blocked since]])</f>
      </c>
      <c r="Q252" s="17">
        <f>IF(Items[[#This Row],[State]]&lt;&gt;"WAIT","",IFERROR(LOOKUP(2,1/((Log[ID]=Items[[#This Row],[ID]])*(Log[Verb]="block")),Log[Note])&amp;"",""))</f>
      </c>
      <c r="R252" s="17">
        <f>IF(Items[[#This Row],[ID]]="","",COUNTIFS(Log[ID],Items[[#This Row],[ID]],Log[Verb],"carry"))</f>
      </c>
      <c r="S252" s="17">
        <f>IF(Items[[#This Row],[ID]]="","",COUNTIFS(Log[ID],Items[[#This Row],[ID]],Log[Verb],"punt"))</f>
      </c>
      <c r="T252" s="11">
        <f>IF(Items[[#This Row],[State]]&lt;&gt;"DONE","",IFERROR(LOOKUP(2,1/((Log[ID]=Items[[#This Row],[ID]])*(Log[Verb]="done")),Log[Date]),""))</f>
      </c>
      <c r="U252" s="17">
        <f>IF(Items[[#This Row],[ID]]="","",IF(AND(Items[[#This Row],[Sprint]]=CurSprint,OR(Items[[#This Row],[State]]="OPEN",Items[[#This Row],[State]]="WAIT",Items[[#This Row],[State]]="HOLD",Items[[#This Row],[State]]="DONE")),1,0))</f>
      </c>
      <c r="V252" s="17">
        <f>IF(OR(Items[[#This Row],[ID]]="",Items[[#This Row],[Added]]=""),"",AsOf-Items[[#This Row],[Added]])</f>
      </c>
      <c r="W252" s="17">
        <f>IF(Items[[#This Row],[In sprint]]=1,(IF(Items[[#This Row],[Prio]]="",9,N(Items[[#This Row],[Prio]]))*10+(IF(Items[[#This Row],[State]]="DONE",1,0)))*100000+ROW(),"")</f>
      </c>
      <c r="X25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52" s="17">
        <f>IF(AND(Items[[#This Row],[State]]="DONE",N(Items[[#This Row],[Done on]])&gt;AsOf-7),(200000-N(Items[[#This Row],[Done on]]))*100000+ROW(),"")</f>
      </c>
    </row>
    <row r="253">
      <c r="A253" t="s">
        <v>478</v>
      </c>
      <c r="B253" t="s">
        <v>1469</v>
      </c>
      <c r="C253" t="s">
        <v>1107</v>
      </c>
      <c r="D253" t="s">
        <v>1123</v>
      </c>
      <c r="E253" t="s">
        <v>1139</v>
      </c>
      <c r="F253" t="s">
        <v>1175</v>
      </c>
      <c r="G253">
        <v>8</v>
      </c>
      <c r="H253">
        <v>1</v>
      </c>
      <c r="I253" s="11">
        <v>46105</v>
      </c>
      <c r="J253" s="17">
        <f>IF(Items[[#This Row],[ID]]="","",IFERROR(VALUE(LOOKUP(2,1/((Log[ID]=Items[[#This Row],[ID]])*(Log[Verb]="est")),Log[Arg])),N(Items[[#This Row],[Points]])))</f>
      </c>
      <c r="K253" s="17">
        <f>IF(Items[[#This Row],[ID]]="","",IFERROR(LOOKUP(2,1/((Log[ID]=Items[[#This Row],[ID]])*(Log[Verb]="pass")),Log[Arg])&amp;"",Items[[#This Row],[Team]]&amp;""))</f>
      </c>
      <c r="L253" s="17">
        <f>IF(Items[[#This Row],[ID]]="","",IFERROR(LOOKUP(2,1/((Log[ID]=Items[[#This Row],[ID]])*(Log[Into]&lt;&gt;"")),Log[Into]),""))</f>
      </c>
      <c r="M253" s="17">
        <f>IF(Items[[#This Row],[ID]]="","",IF(IFERROR(LOOKUP(2,1/((Log[ID]=Items[[#This Row],[ID]])*(Log[Blk]&lt;&gt;"")),Log[Blk]),0)=1,"Y",""))</f>
      </c>
      <c r="N253" s="17">
        <f>IF(Items[[#This Row],[ID]]="","",SUBSTITUTE(IFERROR(LOOKUP(2,1/((Log[ID]=Items[[#This Row],[ID]])*(Log[State]&lt;&gt;"")),Log[State]),"TODO"),"OPEN",IF(Items[[#This Row],[Blocked]]="Y","WAIT","OPEN")))</f>
      </c>
      <c r="O25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53" s="17">
        <f>IF(Items[[#This Row],[State]]&lt;&gt;"WAIT","",AsOf-Items[[#This Row],[Blocked since]])</f>
      </c>
      <c r="Q253" s="17">
        <f>IF(Items[[#This Row],[State]]&lt;&gt;"WAIT","",IFERROR(LOOKUP(2,1/((Log[ID]=Items[[#This Row],[ID]])*(Log[Verb]="block")),Log[Note])&amp;"",""))</f>
      </c>
      <c r="R253" s="17">
        <f>IF(Items[[#This Row],[ID]]="","",COUNTIFS(Log[ID],Items[[#This Row],[ID]],Log[Verb],"carry"))</f>
      </c>
      <c r="S253" s="17">
        <f>IF(Items[[#This Row],[ID]]="","",COUNTIFS(Log[ID],Items[[#This Row],[ID]],Log[Verb],"punt"))</f>
      </c>
      <c r="T253" s="11">
        <f>IF(Items[[#This Row],[State]]&lt;&gt;"DONE","",IFERROR(LOOKUP(2,1/((Log[ID]=Items[[#This Row],[ID]])*(Log[Verb]="done")),Log[Date]),""))</f>
      </c>
      <c r="U253" s="17">
        <f>IF(Items[[#This Row],[ID]]="","",IF(AND(Items[[#This Row],[Sprint]]=CurSprint,OR(Items[[#This Row],[State]]="OPEN",Items[[#This Row],[State]]="WAIT",Items[[#This Row],[State]]="HOLD",Items[[#This Row],[State]]="DONE")),1,0))</f>
      </c>
      <c r="V253" s="17">
        <f>IF(OR(Items[[#This Row],[ID]]="",Items[[#This Row],[Added]]=""),"",AsOf-Items[[#This Row],[Added]])</f>
      </c>
      <c r="W253" s="17">
        <f>IF(Items[[#This Row],[In sprint]]=1,(IF(Items[[#This Row],[Prio]]="",9,N(Items[[#This Row],[Prio]]))*10+(IF(Items[[#This Row],[State]]="DONE",1,0)))*100000+ROW(),"")</f>
      </c>
      <c r="X25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53" s="17">
        <f>IF(AND(Items[[#This Row],[State]]="DONE",N(Items[[#This Row],[Done on]])&gt;AsOf-7),(200000-N(Items[[#This Row],[Done on]]))*100000+ROW(),"")</f>
      </c>
    </row>
    <row r="254">
      <c r="A254" t="s">
        <v>372</v>
      </c>
      <c r="B254" t="s">
        <v>1470</v>
      </c>
      <c r="C254" t="s">
        <v>1115</v>
      </c>
      <c r="D254" t="s">
        <v>1116</v>
      </c>
      <c r="E254" t="s">
        <v>1177</v>
      </c>
      <c r="F254" t="s">
        <v>1257</v>
      </c>
      <c r="G254">
        <v>2</v>
      </c>
      <c r="H254">
        <v>2</v>
      </c>
      <c r="I254" s="11">
        <v>46105</v>
      </c>
      <c r="J254" s="17">
        <f>IF(Items[[#This Row],[ID]]="","",IFERROR(VALUE(LOOKUP(2,1/((Log[ID]=Items[[#This Row],[ID]])*(Log[Verb]="est")),Log[Arg])),N(Items[[#This Row],[Points]])))</f>
      </c>
      <c r="K254" s="17">
        <f>IF(Items[[#This Row],[ID]]="","",IFERROR(LOOKUP(2,1/((Log[ID]=Items[[#This Row],[ID]])*(Log[Verb]="pass")),Log[Arg])&amp;"",Items[[#This Row],[Team]]&amp;""))</f>
      </c>
      <c r="L254" s="17">
        <f>IF(Items[[#This Row],[ID]]="","",IFERROR(LOOKUP(2,1/((Log[ID]=Items[[#This Row],[ID]])*(Log[Into]&lt;&gt;"")),Log[Into]),""))</f>
      </c>
      <c r="M254" s="17">
        <f>IF(Items[[#This Row],[ID]]="","",IF(IFERROR(LOOKUP(2,1/((Log[ID]=Items[[#This Row],[ID]])*(Log[Blk]&lt;&gt;"")),Log[Blk]),0)=1,"Y",""))</f>
      </c>
      <c r="N254" s="17">
        <f>IF(Items[[#This Row],[ID]]="","",SUBSTITUTE(IFERROR(LOOKUP(2,1/((Log[ID]=Items[[#This Row],[ID]])*(Log[State]&lt;&gt;"")),Log[State]),"TODO"),"OPEN",IF(Items[[#This Row],[Blocked]]="Y","WAIT","OPEN")))</f>
      </c>
      <c r="O25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54" s="17">
        <f>IF(Items[[#This Row],[State]]&lt;&gt;"WAIT","",AsOf-Items[[#This Row],[Blocked since]])</f>
      </c>
      <c r="Q254" s="17">
        <f>IF(Items[[#This Row],[State]]&lt;&gt;"WAIT","",IFERROR(LOOKUP(2,1/((Log[ID]=Items[[#This Row],[ID]])*(Log[Verb]="block")),Log[Note])&amp;"",""))</f>
      </c>
      <c r="R254" s="17">
        <f>IF(Items[[#This Row],[ID]]="","",COUNTIFS(Log[ID],Items[[#This Row],[ID]],Log[Verb],"carry"))</f>
      </c>
      <c r="S254" s="17">
        <f>IF(Items[[#This Row],[ID]]="","",COUNTIFS(Log[ID],Items[[#This Row],[ID]],Log[Verb],"punt"))</f>
      </c>
      <c r="T254" s="11">
        <f>IF(Items[[#This Row],[State]]&lt;&gt;"DONE","",IFERROR(LOOKUP(2,1/((Log[ID]=Items[[#This Row],[ID]])*(Log[Verb]="done")),Log[Date]),""))</f>
      </c>
      <c r="U254" s="17">
        <f>IF(Items[[#This Row],[ID]]="","",IF(AND(Items[[#This Row],[Sprint]]=CurSprint,OR(Items[[#This Row],[State]]="OPEN",Items[[#This Row],[State]]="WAIT",Items[[#This Row],[State]]="HOLD",Items[[#This Row],[State]]="DONE")),1,0))</f>
      </c>
      <c r="V254" s="17">
        <f>IF(OR(Items[[#This Row],[ID]]="",Items[[#This Row],[Added]]=""),"",AsOf-Items[[#This Row],[Added]])</f>
      </c>
      <c r="W254" s="17">
        <f>IF(Items[[#This Row],[In sprint]]=1,(IF(Items[[#This Row],[Prio]]="",9,N(Items[[#This Row],[Prio]]))*10+(IF(Items[[#This Row],[State]]="DONE",1,0)))*100000+ROW(),"")</f>
      </c>
      <c r="X25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54" s="17">
        <f>IF(AND(Items[[#This Row],[State]]="DONE",N(Items[[#This Row],[Done on]])&gt;AsOf-7),(200000-N(Items[[#This Row],[Done on]]))*100000+ROW(),"")</f>
      </c>
    </row>
    <row r="255">
      <c r="A255" t="s">
        <v>423</v>
      </c>
      <c r="B255" t="s">
        <v>1471</v>
      </c>
      <c r="C255" t="s">
        <v>1107</v>
      </c>
      <c r="D255" t="s">
        <v>1123</v>
      </c>
      <c r="E255" t="s">
        <v>1177</v>
      </c>
      <c r="F255" t="s">
        <v>1327</v>
      </c>
      <c r="G255">
        <v>5</v>
      </c>
      <c r="H255">
        <v>3</v>
      </c>
      <c r="I255" s="11">
        <v>46105</v>
      </c>
      <c r="J255" s="17">
        <f>IF(Items[[#This Row],[ID]]="","",IFERROR(VALUE(LOOKUP(2,1/((Log[ID]=Items[[#This Row],[ID]])*(Log[Verb]="est")),Log[Arg])),N(Items[[#This Row],[Points]])))</f>
      </c>
      <c r="K255" s="17">
        <f>IF(Items[[#This Row],[ID]]="","",IFERROR(LOOKUP(2,1/((Log[ID]=Items[[#This Row],[ID]])*(Log[Verb]="pass")),Log[Arg])&amp;"",Items[[#This Row],[Team]]&amp;""))</f>
      </c>
      <c r="L255" s="17">
        <f>IF(Items[[#This Row],[ID]]="","",IFERROR(LOOKUP(2,1/((Log[ID]=Items[[#This Row],[ID]])*(Log[Into]&lt;&gt;"")),Log[Into]),""))</f>
      </c>
      <c r="M255" s="17">
        <f>IF(Items[[#This Row],[ID]]="","",IF(IFERROR(LOOKUP(2,1/((Log[ID]=Items[[#This Row],[ID]])*(Log[Blk]&lt;&gt;"")),Log[Blk]),0)=1,"Y",""))</f>
      </c>
      <c r="N255" s="17">
        <f>IF(Items[[#This Row],[ID]]="","",SUBSTITUTE(IFERROR(LOOKUP(2,1/((Log[ID]=Items[[#This Row],[ID]])*(Log[State]&lt;&gt;"")),Log[State]),"TODO"),"OPEN",IF(Items[[#This Row],[Blocked]]="Y","WAIT","OPEN")))</f>
      </c>
      <c r="O25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55" s="17">
        <f>IF(Items[[#This Row],[State]]&lt;&gt;"WAIT","",AsOf-Items[[#This Row],[Blocked since]])</f>
      </c>
      <c r="Q255" s="17">
        <f>IF(Items[[#This Row],[State]]&lt;&gt;"WAIT","",IFERROR(LOOKUP(2,1/((Log[ID]=Items[[#This Row],[ID]])*(Log[Verb]="block")),Log[Note])&amp;"",""))</f>
      </c>
      <c r="R255" s="17">
        <f>IF(Items[[#This Row],[ID]]="","",COUNTIFS(Log[ID],Items[[#This Row],[ID]],Log[Verb],"carry"))</f>
      </c>
      <c r="S255" s="17">
        <f>IF(Items[[#This Row],[ID]]="","",COUNTIFS(Log[ID],Items[[#This Row],[ID]],Log[Verb],"punt"))</f>
      </c>
      <c r="T255" s="11">
        <f>IF(Items[[#This Row],[State]]&lt;&gt;"DONE","",IFERROR(LOOKUP(2,1/((Log[ID]=Items[[#This Row],[ID]])*(Log[Verb]="done")),Log[Date]),""))</f>
      </c>
      <c r="U255" s="17">
        <f>IF(Items[[#This Row],[ID]]="","",IF(AND(Items[[#This Row],[Sprint]]=CurSprint,OR(Items[[#This Row],[State]]="OPEN",Items[[#This Row],[State]]="WAIT",Items[[#This Row],[State]]="HOLD",Items[[#This Row],[State]]="DONE")),1,0))</f>
      </c>
      <c r="V255" s="17">
        <f>IF(OR(Items[[#This Row],[ID]]="",Items[[#This Row],[Added]]=""),"",AsOf-Items[[#This Row],[Added]])</f>
      </c>
      <c r="W255" s="17">
        <f>IF(Items[[#This Row],[In sprint]]=1,(IF(Items[[#This Row],[Prio]]="",9,N(Items[[#This Row],[Prio]]))*10+(IF(Items[[#This Row],[State]]="DONE",1,0)))*100000+ROW(),"")</f>
      </c>
      <c r="X25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55" s="17">
        <f>IF(AND(Items[[#This Row],[State]]="DONE",N(Items[[#This Row],[Done on]])&gt;AsOf-7),(200000-N(Items[[#This Row],[Done on]]))*100000+ROW(),"")</f>
      </c>
    </row>
    <row r="256">
      <c r="A256" t="s">
        <v>424</v>
      </c>
      <c r="B256" t="s">
        <v>1472</v>
      </c>
      <c r="C256" t="s">
        <v>1115</v>
      </c>
      <c r="D256" t="s">
        <v>1116</v>
      </c>
      <c r="E256" t="s">
        <v>1177</v>
      </c>
      <c r="F256" t="s">
        <v>1400</v>
      </c>
      <c r="G256">
        <v>5</v>
      </c>
      <c r="H256">
        <v>1</v>
      </c>
      <c r="I256" s="11">
        <v>46105</v>
      </c>
      <c r="J256" s="17">
        <f>IF(Items[[#This Row],[ID]]="","",IFERROR(VALUE(LOOKUP(2,1/((Log[ID]=Items[[#This Row],[ID]])*(Log[Verb]="est")),Log[Arg])),N(Items[[#This Row],[Points]])))</f>
      </c>
      <c r="K256" s="17">
        <f>IF(Items[[#This Row],[ID]]="","",IFERROR(LOOKUP(2,1/((Log[ID]=Items[[#This Row],[ID]])*(Log[Verb]="pass")),Log[Arg])&amp;"",Items[[#This Row],[Team]]&amp;""))</f>
      </c>
      <c r="L256" s="17">
        <f>IF(Items[[#This Row],[ID]]="","",IFERROR(LOOKUP(2,1/((Log[ID]=Items[[#This Row],[ID]])*(Log[Into]&lt;&gt;"")),Log[Into]),""))</f>
      </c>
      <c r="M256" s="17">
        <f>IF(Items[[#This Row],[ID]]="","",IF(IFERROR(LOOKUP(2,1/((Log[ID]=Items[[#This Row],[ID]])*(Log[Blk]&lt;&gt;"")),Log[Blk]),0)=1,"Y",""))</f>
      </c>
      <c r="N256" s="17">
        <f>IF(Items[[#This Row],[ID]]="","",SUBSTITUTE(IFERROR(LOOKUP(2,1/((Log[ID]=Items[[#This Row],[ID]])*(Log[State]&lt;&gt;"")),Log[State]),"TODO"),"OPEN",IF(Items[[#This Row],[Blocked]]="Y","WAIT","OPEN")))</f>
      </c>
      <c r="O25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56" s="17">
        <f>IF(Items[[#This Row],[State]]&lt;&gt;"WAIT","",AsOf-Items[[#This Row],[Blocked since]])</f>
      </c>
      <c r="Q256" s="17">
        <f>IF(Items[[#This Row],[State]]&lt;&gt;"WAIT","",IFERROR(LOOKUP(2,1/((Log[ID]=Items[[#This Row],[ID]])*(Log[Verb]="block")),Log[Note])&amp;"",""))</f>
      </c>
      <c r="R256" s="17">
        <f>IF(Items[[#This Row],[ID]]="","",COUNTIFS(Log[ID],Items[[#This Row],[ID]],Log[Verb],"carry"))</f>
      </c>
      <c r="S256" s="17">
        <f>IF(Items[[#This Row],[ID]]="","",COUNTIFS(Log[ID],Items[[#This Row],[ID]],Log[Verb],"punt"))</f>
      </c>
      <c r="T256" s="11">
        <f>IF(Items[[#This Row],[State]]&lt;&gt;"DONE","",IFERROR(LOOKUP(2,1/((Log[ID]=Items[[#This Row],[ID]])*(Log[Verb]="done")),Log[Date]),""))</f>
      </c>
      <c r="U256" s="17">
        <f>IF(Items[[#This Row],[ID]]="","",IF(AND(Items[[#This Row],[Sprint]]=CurSprint,OR(Items[[#This Row],[State]]="OPEN",Items[[#This Row],[State]]="WAIT",Items[[#This Row],[State]]="HOLD",Items[[#This Row],[State]]="DONE")),1,0))</f>
      </c>
      <c r="V256" s="17">
        <f>IF(OR(Items[[#This Row],[ID]]="",Items[[#This Row],[Added]]=""),"",AsOf-Items[[#This Row],[Added]])</f>
      </c>
      <c r="W256" s="17">
        <f>IF(Items[[#This Row],[In sprint]]=1,(IF(Items[[#This Row],[Prio]]="",9,N(Items[[#This Row],[Prio]]))*10+(IF(Items[[#This Row],[State]]="DONE",1,0)))*100000+ROW(),"")</f>
      </c>
      <c r="X25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56" s="17">
        <f>IF(AND(Items[[#This Row],[State]]="DONE",N(Items[[#This Row],[Done on]])&gt;AsOf-7),(200000-N(Items[[#This Row],[Done on]]))*100000+ROW(),"")</f>
      </c>
    </row>
    <row r="257">
      <c r="A257" t="s">
        <v>373</v>
      </c>
      <c r="B257" t="s">
        <v>1473</v>
      </c>
      <c r="C257" t="s">
        <v>1115</v>
      </c>
      <c r="D257" t="s">
        <v>1116</v>
      </c>
      <c r="E257" t="s">
        <v>1177</v>
      </c>
      <c r="F257" t="s">
        <v>1180</v>
      </c>
      <c r="G257">
        <v>2</v>
      </c>
      <c r="H257">
        <v>3</v>
      </c>
      <c r="I257" s="11">
        <v>46105</v>
      </c>
      <c r="J257" s="17">
        <f>IF(Items[[#This Row],[ID]]="","",IFERROR(VALUE(LOOKUP(2,1/((Log[ID]=Items[[#This Row],[ID]])*(Log[Verb]="est")),Log[Arg])),N(Items[[#This Row],[Points]])))</f>
      </c>
      <c r="K257" s="17">
        <f>IF(Items[[#This Row],[ID]]="","",IFERROR(LOOKUP(2,1/((Log[ID]=Items[[#This Row],[ID]])*(Log[Verb]="pass")),Log[Arg])&amp;"",Items[[#This Row],[Team]]&amp;""))</f>
      </c>
      <c r="L257" s="17">
        <f>IF(Items[[#This Row],[ID]]="","",IFERROR(LOOKUP(2,1/((Log[ID]=Items[[#This Row],[ID]])*(Log[Into]&lt;&gt;"")),Log[Into]),""))</f>
      </c>
      <c r="M257" s="17">
        <f>IF(Items[[#This Row],[ID]]="","",IF(IFERROR(LOOKUP(2,1/((Log[ID]=Items[[#This Row],[ID]])*(Log[Blk]&lt;&gt;"")),Log[Blk]),0)=1,"Y",""))</f>
      </c>
      <c r="N257" s="17">
        <f>IF(Items[[#This Row],[ID]]="","",SUBSTITUTE(IFERROR(LOOKUP(2,1/((Log[ID]=Items[[#This Row],[ID]])*(Log[State]&lt;&gt;"")),Log[State]),"TODO"),"OPEN",IF(Items[[#This Row],[Blocked]]="Y","WAIT","OPEN")))</f>
      </c>
      <c r="O25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57" s="17">
        <f>IF(Items[[#This Row],[State]]&lt;&gt;"WAIT","",AsOf-Items[[#This Row],[Blocked since]])</f>
      </c>
      <c r="Q257" s="17">
        <f>IF(Items[[#This Row],[State]]&lt;&gt;"WAIT","",IFERROR(LOOKUP(2,1/((Log[ID]=Items[[#This Row],[ID]])*(Log[Verb]="block")),Log[Note])&amp;"",""))</f>
      </c>
      <c r="R257" s="17">
        <f>IF(Items[[#This Row],[ID]]="","",COUNTIFS(Log[ID],Items[[#This Row],[ID]],Log[Verb],"carry"))</f>
      </c>
      <c r="S257" s="17">
        <f>IF(Items[[#This Row],[ID]]="","",COUNTIFS(Log[ID],Items[[#This Row],[ID]],Log[Verb],"punt"))</f>
      </c>
      <c r="T257" s="11">
        <f>IF(Items[[#This Row],[State]]&lt;&gt;"DONE","",IFERROR(LOOKUP(2,1/((Log[ID]=Items[[#This Row],[ID]])*(Log[Verb]="done")),Log[Date]),""))</f>
      </c>
      <c r="U257" s="17">
        <f>IF(Items[[#This Row],[ID]]="","",IF(AND(Items[[#This Row],[Sprint]]=CurSprint,OR(Items[[#This Row],[State]]="OPEN",Items[[#This Row],[State]]="WAIT",Items[[#This Row],[State]]="HOLD",Items[[#This Row],[State]]="DONE")),1,0))</f>
      </c>
      <c r="V257" s="17">
        <f>IF(OR(Items[[#This Row],[ID]]="",Items[[#This Row],[Added]]=""),"",AsOf-Items[[#This Row],[Added]])</f>
      </c>
      <c r="W257" s="17">
        <f>IF(Items[[#This Row],[In sprint]]=1,(IF(Items[[#This Row],[Prio]]="",9,N(Items[[#This Row],[Prio]]))*10+(IF(Items[[#This Row],[State]]="DONE",1,0)))*100000+ROW(),"")</f>
      </c>
      <c r="X25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57" s="17">
        <f>IF(AND(Items[[#This Row],[State]]="DONE",N(Items[[#This Row],[Done on]])&gt;AsOf-7),(200000-N(Items[[#This Row],[Done on]]))*100000+ROW(),"")</f>
      </c>
    </row>
    <row r="258">
      <c r="A258" t="s">
        <v>425</v>
      </c>
      <c r="B258" t="s">
        <v>1474</v>
      </c>
      <c r="C258" t="s">
        <v>1107</v>
      </c>
      <c r="D258" t="s">
        <v>1127</v>
      </c>
      <c r="E258" t="s">
        <v>1177</v>
      </c>
      <c r="F258" t="s">
        <v>1182</v>
      </c>
      <c r="G258">
        <v>8</v>
      </c>
      <c r="H258">
        <v>1</v>
      </c>
      <c r="I258" s="11">
        <v>46105</v>
      </c>
      <c r="J258" s="17">
        <f>IF(Items[[#This Row],[ID]]="","",IFERROR(VALUE(LOOKUP(2,1/((Log[ID]=Items[[#This Row],[ID]])*(Log[Verb]="est")),Log[Arg])),N(Items[[#This Row],[Points]])))</f>
      </c>
      <c r="K258" s="17">
        <f>IF(Items[[#This Row],[ID]]="","",IFERROR(LOOKUP(2,1/((Log[ID]=Items[[#This Row],[ID]])*(Log[Verb]="pass")),Log[Arg])&amp;"",Items[[#This Row],[Team]]&amp;""))</f>
      </c>
      <c r="L258" s="17">
        <f>IF(Items[[#This Row],[ID]]="","",IFERROR(LOOKUP(2,1/((Log[ID]=Items[[#This Row],[ID]])*(Log[Into]&lt;&gt;"")),Log[Into]),""))</f>
      </c>
      <c r="M258" s="17">
        <f>IF(Items[[#This Row],[ID]]="","",IF(IFERROR(LOOKUP(2,1/((Log[ID]=Items[[#This Row],[ID]])*(Log[Blk]&lt;&gt;"")),Log[Blk]),0)=1,"Y",""))</f>
      </c>
      <c r="N258" s="17">
        <f>IF(Items[[#This Row],[ID]]="","",SUBSTITUTE(IFERROR(LOOKUP(2,1/((Log[ID]=Items[[#This Row],[ID]])*(Log[State]&lt;&gt;"")),Log[State]),"TODO"),"OPEN",IF(Items[[#This Row],[Blocked]]="Y","WAIT","OPEN")))</f>
      </c>
      <c r="O25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58" s="17">
        <f>IF(Items[[#This Row],[State]]&lt;&gt;"WAIT","",AsOf-Items[[#This Row],[Blocked since]])</f>
      </c>
      <c r="Q258" s="17">
        <f>IF(Items[[#This Row],[State]]&lt;&gt;"WAIT","",IFERROR(LOOKUP(2,1/((Log[ID]=Items[[#This Row],[ID]])*(Log[Verb]="block")),Log[Note])&amp;"",""))</f>
      </c>
      <c r="R258" s="17">
        <f>IF(Items[[#This Row],[ID]]="","",COUNTIFS(Log[ID],Items[[#This Row],[ID]],Log[Verb],"carry"))</f>
      </c>
      <c r="S258" s="17">
        <f>IF(Items[[#This Row],[ID]]="","",COUNTIFS(Log[ID],Items[[#This Row],[ID]],Log[Verb],"punt"))</f>
      </c>
      <c r="T258" s="11">
        <f>IF(Items[[#This Row],[State]]&lt;&gt;"DONE","",IFERROR(LOOKUP(2,1/((Log[ID]=Items[[#This Row],[ID]])*(Log[Verb]="done")),Log[Date]),""))</f>
      </c>
      <c r="U258" s="17">
        <f>IF(Items[[#This Row],[ID]]="","",IF(AND(Items[[#This Row],[Sprint]]=CurSprint,OR(Items[[#This Row],[State]]="OPEN",Items[[#This Row],[State]]="WAIT",Items[[#This Row],[State]]="HOLD",Items[[#This Row],[State]]="DONE")),1,0))</f>
      </c>
      <c r="V258" s="17">
        <f>IF(OR(Items[[#This Row],[ID]]="",Items[[#This Row],[Added]]=""),"",AsOf-Items[[#This Row],[Added]])</f>
      </c>
      <c r="W258" s="17">
        <f>IF(Items[[#This Row],[In sprint]]=1,(IF(Items[[#This Row],[Prio]]="",9,N(Items[[#This Row],[Prio]]))*10+(IF(Items[[#This Row],[State]]="DONE",1,0)))*100000+ROW(),"")</f>
      </c>
      <c r="X25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58" s="17">
        <f>IF(AND(Items[[#This Row],[State]]="DONE",N(Items[[#This Row],[Done on]])&gt;AsOf-7),(200000-N(Items[[#This Row],[Done on]]))*100000+ROW(),"")</f>
      </c>
    </row>
    <row r="259">
      <c r="A259" t="s">
        <v>426</v>
      </c>
      <c r="B259" t="s">
        <v>1475</v>
      </c>
      <c r="C259" t="s">
        <v>1107</v>
      </c>
      <c r="D259" t="s">
        <v>1108</v>
      </c>
      <c r="E259" t="s">
        <v>1177</v>
      </c>
      <c r="F259" t="s">
        <v>1180</v>
      </c>
      <c r="G259">
        <v>3</v>
      </c>
      <c r="H259">
        <v>3</v>
      </c>
      <c r="I259" s="11">
        <v>46105</v>
      </c>
      <c r="J259" s="17">
        <f>IF(Items[[#This Row],[ID]]="","",IFERROR(VALUE(LOOKUP(2,1/((Log[ID]=Items[[#This Row],[ID]])*(Log[Verb]="est")),Log[Arg])),N(Items[[#This Row],[Points]])))</f>
      </c>
      <c r="K259" s="17">
        <f>IF(Items[[#This Row],[ID]]="","",IFERROR(LOOKUP(2,1/((Log[ID]=Items[[#This Row],[ID]])*(Log[Verb]="pass")),Log[Arg])&amp;"",Items[[#This Row],[Team]]&amp;""))</f>
      </c>
      <c r="L259" s="17">
        <f>IF(Items[[#This Row],[ID]]="","",IFERROR(LOOKUP(2,1/((Log[ID]=Items[[#This Row],[ID]])*(Log[Into]&lt;&gt;"")),Log[Into]),""))</f>
      </c>
      <c r="M259" s="17">
        <f>IF(Items[[#This Row],[ID]]="","",IF(IFERROR(LOOKUP(2,1/((Log[ID]=Items[[#This Row],[ID]])*(Log[Blk]&lt;&gt;"")),Log[Blk]),0)=1,"Y",""))</f>
      </c>
      <c r="N259" s="17">
        <f>IF(Items[[#This Row],[ID]]="","",SUBSTITUTE(IFERROR(LOOKUP(2,1/((Log[ID]=Items[[#This Row],[ID]])*(Log[State]&lt;&gt;"")),Log[State]),"TODO"),"OPEN",IF(Items[[#This Row],[Blocked]]="Y","WAIT","OPEN")))</f>
      </c>
      <c r="O25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59" s="17">
        <f>IF(Items[[#This Row],[State]]&lt;&gt;"WAIT","",AsOf-Items[[#This Row],[Blocked since]])</f>
      </c>
      <c r="Q259" s="17">
        <f>IF(Items[[#This Row],[State]]&lt;&gt;"WAIT","",IFERROR(LOOKUP(2,1/((Log[ID]=Items[[#This Row],[ID]])*(Log[Verb]="block")),Log[Note])&amp;"",""))</f>
      </c>
      <c r="R259" s="17">
        <f>IF(Items[[#This Row],[ID]]="","",COUNTIFS(Log[ID],Items[[#This Row],[ID]],Log[Verb],"carry"))</f>
      </c>
      <c r="S259" s="17">
        <f>IF(Items[[#This Row],[ID]]="","",COUNTIFS(Log[ID],Items[[#This Row],[ID]],Log[Verb],"punt"))</f>
      </c>
      <c r="T259" s="11">
        <f>IF(Items[[#This Row],[State]]&lt;&gt;"DONE","",IFERROR(LOOKUP(2,1/((Log[ID]=Items[[#This Row],[ID]])*(Log[Verb]="done")),Log[Date]),""))</f>
      </c>
      <c r="U259" s="17">
        <f>IF(Items[[#This Row],[ID]]="","",IF(AND(Items[[#This Row],[Sprint]]=CurSprint,OR(Items[[#This Row],[State]]="OPEN",Items[[#This Row],[State]]="WAIT",Items[[#This Row],[State]]="HOLD",Items[[#This Row],[State]]="DONE")),1,0))</f>
      </c>
      <c r="V259" s="17">
        <f>IF(OR(Items[[#This Row],[ID]]="",Items[[#This Row],[Added]]=""),"",AsOf-Items[[#This Row],[Added]])</f>
      </c>
      <c r="W259" s="17">
        <f>IF(Items[[#This Row],[In sprint]]=1,(IF(Items[[#This Row],[Prio]]="",9,N(Items[[#This Row],[Prio]]))*10+(IF(Items[[#This Row],[State]]="DONE",1,0)))*100000+ROW(),"")</f>
      </c>
      <c r="X25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59" s="17">
        <f>IF(AND(Items[[#This Row],[State]]="DONE",N(Items[[#This Row],[Done on]])&gt;AsOf-7),(200000-N(Items[[#This Row],[Done on]]))*100000+ROW(),"")</f>
      </c>
    </row>
    <row r="260">
      <c r="A260" t="s">
        <v>377</v>
      </c>
      <c r="B260" t="s">
        <v>1476</v>
      </c>
      <c r="C260" t="s">
        <v>1107</v>
      </c>
      <c r="D260" t="s">
        <v>1108</v>
      </c>
      <c r="E260" t="s">
        <v>1112</v>
      </c>
      <c r="F260" t="s">
        <v>1184</v>
      </c>
      <c r="G260">
        <v>2</v>
      </c>
      <c r="H260">
        <v>1</v>
      </c>
      <c r="I260" s="11">
        <v>46119</v>
      </c>
      <c r="J260" s="17">
        <f>IF(Items[[#This Row],[ID]]="","",IFERROR(VALUE(LOOKUP(2,1/((Log[ID]=Items[[#This Row],[ID]])*(Log[Verb]="est")),Log[Arg])),N(Items[[#This Row],[Points]])))</f>
      </c>
      <c r="K260" s="17">
        <f>IF(Items[[#This Row],[ID]]="","",IFERROR(LOOKUP(2,1/((Log[ID]=Items[[#This Row],[ID]])*(Log[Verb]="pass")),Log[Arg])&amp;"",Items[[#This Row],[Team]]&amp;""))</f>
      </c>
      <c r="L260" s="17">
        <f>IF(Items[[#This Row],[ID]]="","",IFERROR(LOOKUP(2,1/((Log[ID]=Items[[#This Row],[ID]])*(Log[Into]&lt;&gt;"")),Log[Into]),""))</f>
      </c>
      <c r="M260" s="17">
        <f>IF(Items[[#This Row],[ID]]="","",IF(IFERROR(LOOKUP(2,1/((Log[ID]=Items[[#This Row],[ID]])*(Log[Blk]&lt;&gt;"")),Log[Blk]),0)=1,"Y",""))</f>
      </c>
      <c r="N260" s="17">
        <f>IF(Items[[#This Row],[ID]]="","",SUBSTITUTE(IFERROR(LOOKUP(2,1/((Log[ID]=Items[[#This Row],[ID]])*(Log[State]&lt;&gt;"")),Log[State]),"TODO"),"OPEN",IF(Items[[#This Row],[Blocked]]="Y","WAIT","OPEN")))</f>
      </c>
      <c r="O26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60" s="17">
        <f>IF(Items[[#This Row],[State]]&lt;&gt;"WAIT","",AsOf-Items[[#This Row],[Blocked since]])</f>
      </c>
      <c r="Q260" s="17">
        <f>IF(Items[[#This Row],[State]]&lt;&gt;"WAIT","",IFERROR(LOOKUP(2,1/((Log[ID]=Items[[#This Row],[ID]])*(Log[Verb]="block")),Log[Note])&amp;"",""))</f>
      </c>
      <c r="R260" s="17">
        <f>IF(Items[[#This Row],[ID]]="","",COUNTIFS(Log[ID],Items[[#This Row],[ID]],Log[Verb],"carry"))</f>
      </c>
      <c r="S260" s="17">
        <f>IF(Items[[#This Row],[ID]]="","",COUNTIFS(Log[ID],Items[[#This Row],[ID]],Log[Verb],"punt"))</f>
      </c>
      <c r="T260" s="11">
        <f>IF(Items[[#This Row],[State]]&lt;&gt;"DONE","",IFERROR(LOOKUP(2,1/((Log[ID]=Items[[#This Row],[ID]])*(Log[Verb]="done")),Log[Date]),""))</f>
      </c>
      <c r="U260" s="17">
        <f>IF(Items[[#This Row],[ID]]="","",IF(AND(Items[[#This Row],[Sprint]]=CurSprint,OR(Items[[#This Row],[State]]="OPEN",Items[[#This Row],[State]]="WAIT",Items[[#This Row],[State]]="HOLD",Items[[#This Row],[State]]="DONE")),1,0))</f>
      </c>
      <c r="V260" s="17">
        <f>IF(OR(Items[[#This Row],[ID]]="",Items[[#This Row],[Added]]=""),"",AsOf-Items[[#This Row],[Added]])</f>
      </c>
      <c r="W260" s="17">
        <f>IF(Items[[#This Row],[In sprint]]=1,(IF(Items[[#This Row],[Prio]]="",9,N(Items[[#This Row],[Prio]]))*10+(IF(Items[[#This Row],[State]]="DONE",1,0)))*100000+ROW(),"")</f>
      </c>
      <c r="X26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60" s="17">
        <f>IF(AND(Items[[#This Row],[State]]="DONE",N(Items[[#This Row],[Done on]])&gt;AsOf-7),(200000-N(Items[[#This Row],[Done on]]))*100000+ROW(),"")</f>
      </c>
    </row>
    <row r="261">
      <c r="A261" t="s">
        <v>430</v>
      </c>
      <c r="B261" t="s">
        <v>1477</v>
      </c>
      <c r="C261" t="s">
        <v>1107</v>
      </c>
      <c r="D261" t="s">
        <v>1123</v>
      </c>
      <c r="E261" t="s">
        <v>1112</v>
      </c>
      <c r="F261" t="s">
        <v>1142</v>
      </c>
      <c r="G261">
        <v>8</v>
      </c>
      <c r="H261">
        <v>1</v>
      </c>
      <c r="I261" s="11">
        <v>46119</v>
      </c>
      <c r="J261" s="17">
        <f>IF(Items[[#This Row],[ID]]="","",IFERROR(VALUE(LOOKUP(2,1/((Log[ID]=Items[[#This Row],[ID]])*(Log[Verb]="est")),Log[Arg])),N(Items[[#This Row],[Points]])))</f>
      </c>
      <c r="K261" s="17">
        <f>IF(Items[[#This Row],[ID]]="","",IFERROR(LOOKUP(2,1/((Log[ID]=Items[[#This Row],[ID]])*(Log[Verb]="pass")),Log[Arg])&amp;"",Items[[#This Row],[Team]]&amp;""))</f>
      </c>
      <c r="L261" s="17">
        <f>IF(Items[[#This Row],[ID]]="","",IFERROR(LOOKUP(2,1/((Log[ID]=Items[[#This Row],[ID]])*(Log[Into]&lt;&gt;"")),Log[Into]),""))</f>
      </c>
      <c r="M261" s="17">
        <f>IF(Items[[#This Row],[ID]]="","",IF(IFERROR(LOOKUP(2,1/((Log[ID]=Items[[#This Row],[ID]])*(Log[Blk]&lt;&gt;"")),Log[Blk]),0)=1,"Y",""))</f>
      </c>
      <c r="N261" s="17">
        <f>IF(Items[[#This Row],[ID]]="","",SUBSTITUTE(IFERROR(LOOKUP(2,1/((Log[ID]=Items[[#This Row],[ID]])*(Log[State]&lt;&gt;"")),Log[State]),"TODO"),"OPEN",IF(Items[[#This Row],[Blocked]]="Y","WAIT","OPEN")))</f>
      </c>
      <c r="O26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61" s="17">
        <f>IF(Items[[#This Row],[State]]&lt;&gt;"WAIT","",AsOf-Items[[#This Row],[Blocked since]])</f>
      </c>
      <c r="Q261" s="17">
        <f>IF(Items[[#This Row],[State]]&lt;&gt;"WAIT","",IFERROR(LOOKUP(2,1/((Log[ID]=Items[[#This Row],[ID]])*(Log[Verb]="block")),Log[Note])&amp;"",""))</f>
      </c>
      <c r="R261" s="17">
        <f>IF(Items[[#This Row],[ID]]="","",COUNTIFS(Log[ID],Items[[#This Row],[ID]],Log[Verb],"carry"))</f>
      </c>
      <c r="S261" s="17">
        <f>IF(Items[[#This Row],[ID]]="","",COUNTIFS(Log[ID],Items[[#This Row],[ID]],Log[Verb],"punt"))</f>
      </c>
      <c r="T261" s="11">
        <f>IF(Items[[#This Row],[State]]&lt;&gt;"DONE","",IFERROR(LOOKUP(2,1/((Log[ID]=Items[[#This Row],[ID]])*(Log[Verb]="done")),Log[Date]),""))</f>
      </c>
      <c r="U261" s="17">
        <f>IF(Items[[#This Row],[ID]]="","",IF(AND(Items[[#This Row],[Sprint]]=CurSprint,OR(Items[[#This Row],[State]]="OPEN",Items[[#This Row],[State]]="WAIT",Items[[#This Row],[State]]="HOLD",Items[[#This Row],[State]]="DONE")),1,0))</f>
      </c>
      <c r="V261" s="17">
        <f>IF(OR(Items[[#This Row],[ID]]="",Items[[#This Row],[Added]]=""),"",AsOf-Items[[#This Row],[Added]])</f>
      </c>
      <c r="W261" s="17">
        <f>IF(Items[[#This Row],[In sprint]]=1,(IF(Items[[#This Row],[Prio]]="",9,N(Items[[#This Row],[Prio]]))*10+(IF(Items[[#This Row],[State]]="DONE",1,0)))*100000+ROW(),"")</f>
      </c>
      <c r="X26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61" s="17">
        <f>IF(AND(Items[[#This Row],[State]]="DONE",N(Items[[#This Row],[Done on]])&gt;AsOf-7),(200000-N(Items[[#This Row],[Done on]]))*100000+ROW(),"")</f>
      </c>
    </row>
    <row r="262">
      <c r="A262" t="s">
        <v>378</v>
      </c>
      <c r="B262" t="s">
        <v>1478</v>
      </c>
      <c r="C262" t="s">
        <v>1107</v>
      </c>
      <c r="D262" t="s">
        <v>1127</v>
      </c>
      <c r="E262" t="s">
        <v>1112</v>
      </c>
      <c r="F262" t="s">
        <v>1412</v>
      </c>
      <c r="G262">
        <v>3</v>
      </c>
      <c r="H262">
        <v>2</v>
      </c>
      <c r="I262" s="11">
        <v>46119</v>
      </c>
      <c r="J262" s="17">
        <f>IF(Items[[#This Row],[ID]]="","",IFERROR(VALUE(LOOKUP(2,1/((Log[ID]=Items[[#This Row],[ID]])*(Log[Verb]="est")),Log[Arg])),N(Items[[#This Row],[Points]])))</f>
      </c>
      <c r="K262" s="17">
        <f>IF(Items[[#This Row],[ID]]="","",IFERROR(LOOKUP(2,1/((Log[ID]=Items[[#This Row],[ID]])*(Log[Verb]="pass")),Log[Arg])&amp;"",Items[[#This Row],[Team]]&amp;""))</f>
      </c>
      <c r="L262" s="17">
        <f>IF(Items[[#This Row],[ID]]="","",IFERROR(LOOKUP(2,1/((Log[ID]=Items[[#This Row],[ID]])*(Log[Into]&lt;&gt;"")),Log[Into]),""))</f>
      </c>
      <c r="M262" s="17">
        <f>IF(Items[[#This Row],[ID]]="","",IF(IFERROR(LOOKUP(2,1/((Log[ID]=Items[[#This Row],[ID]])*(Log[Blk]&lt;&gt;"")),Log[Blk]),0)=1,"Y",""))</f>
      </c>
      <c r="N262" s="17">
        <f>IF(Items[[#This Row],[ID]]="","",SUBSTITUTE(IFERROR(LOOKUP(2,1/((Log[ID]=Items[[#This Row],[ID]])*(Log[State]&lt;&gt;"")),Log[State]),"TODO"),"OPEN",IF(Items[[#This Row],[Blocked]]="Y","WAIT","OPEN")))</f>
      </c>
      <c r="O26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62" s="17">
        <f>IF(Items[[#This Row],[State]]&lt;&gt;"WAIT","",AsOf-Items[[#This Row],[Blocked since]])</f>
      </c>
      <c r="Q262" s="17">
        <f>IF(Items[[#This Row],[State]]&lt;&gt;"WAIT","",IFERROR(LOOKUP(2,1/((Log[ID]=Items[[#This Row],[ID]])*(Log[Verb]="block")),Log[Note])&amp;"",""))</f>
      </c>
      <c r="R262" s="17">
        <f>IF(Items[[#This Row],[ID]]="","",COUNTIFS(Log[ID],Items[[#This Row],[ID]],Log[Verb],"carry"))</f>
      </c>
      <c r="S262" s="17">
        <f>IF(Items[[#This Row],[ID]]="","",COUNTIFS(Log[ID],Items[[#This Row],[ID]],Log[Verb],"punt"))</f>
      </c>
      <c r="T262" s="11">
        <f>IF(Items[[#This Row],[State]]&lt;&gt;"DONE","",IFERROR(LOOKUP(2,1/((Log[ID]=Items[[#This Row],[ID]])*(Log[Verb]="done")),Log[Date]),""))</f>
      </c>
      <c r="U262" s="17">
        <f>IF(Items[[#This Row],[ID]]="","",IF(AND(Items[[#This Row],[Sprint]]=CurSprint,OR(Items[[#This Row],[State]]="OPEN",Items[[#This Row],[State]]="WAIT",Items[[#This Row],[State]]="HOLD",Items[[#This Row],[State]]="DONE")),1,0))</f>
      </c>
      <c r="V262" s="17">
        <f>IF(OR(Items[[#This Row],[ID]]="",Items[[#This Row],[Added]]=""),"",AsOf-Items[[#This Row],[Added]])</f>
      </c>
      <c r="W262" s="17">
        <f>IF(Items[[#This Row],[In sprint]]=1,(IF(Items[[#This Row],[Prio]]="",9,N(Items[[#This Row],[Prio]]))*10+(IF(Items[[#This Row],[State]]="DONE",1,0)))*100000+ROW(),"")</f>
      </c>
      <c r="X26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62" s="17">
        <f>IF(AND(Items[[#This Row],[State]]="DONE",N(Items[[#This Row],[Done on]])&gt;AsOf-7),(200000-N(Items[[#This Row],[Done on]]))*100000+ROW(),"")</f>
      </c>
    </row>
    <row r="263">
      <c r="A263" t="s">
        <v>431</v>
      </c>
      <c r="B263" t="s">
        <v>1479</v>
      </c>
      <c r="C263" t="s">
        <v>1115</v>
      </c>
      <c r="D263" t="s">
        <v>1119</v>
      </c>
      <c r="E263" t="s">
        <v>1112</v>
      </c>
      <c r="F263" t="s">
        <v>1265</v>
      </c>
      <c r="G263">
        <v>2</v>
      </c>
      <c r="H263">
        <v>1</v>
      </c>
      <c r="I263" s="11">
        <v>46119</v>
      </c>
      <c r="J263" s="17">
        <f>IF(Items[[#This Row],[ID]]="","",IFERROR(VALUE(LOOKUP(2,1/((Log[ID]=Items[[#This Row],[ID]])*(Log[Verb]="est")),Log[Arg])),N(Items[[#This Row],[Points]])))</f>
      </c>
      <c r="K263" s="17">
        <f>IF(Items[[#This Row],[ID]]="","",IFERROR(LOOKUP(2,1/((Log[ID]=Items[[#This Row],[ID]])*(Log[Verb]="pass")),Log[Arg])&amp;"",Items[[#This Row],[Team]]&amp;""))</f>
      </c>
      <c r="L263" s="17">
        <f>IF(Items[[#This Row],[ID]]="","",IFERROR(LOOKUP(2,1/((Log[ID]=Items[[#This Row],[ID]])*(Log[Into]&lt;&gt;"")),Log[Into]),""))</f>
      </c>
      <c r="M263" s="17">
        <f>IF(Items[[#This Row],[ID]]="","",IF(IFERROR(LOOKUP(2,1/((Log[ID]=Items[[#This Row],[ID]])*(Log[Blk]&lt;&gt;"")),Log[Blk]),0)=1,"Y",""))</f>
      </c>
      <c r="N263" s="17">
        <f>IF(Items[[#This Row],[ID]]="","",SUBSTITUTE(IFERROR(LOOKUP(2,1/((Log[ID]=Items[[#This Row],[ID]])*(Log[State]&lt;&gt;"")),Log[State]),"TODO"),"OPEN",IF(Items[[#This Row],[Blocked]]="Y","WAIT","OPEN")))</f>
      </c>
      <c r="O26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63" s="17">
        <f>IF(Items[[#This Row],[State]]&lt;&gt;"WAIT","",AsOf-Items[[#This Row],[Blocked since]])</f>
      </c>
      <c r="Q263" s="17">
        <f>IF(Items[[#This Row],[State]]&lt;&gt;"WAIT","",IFERROR(LOOKUP(2,1/((Log[ID]=Items[[#This Row],[ID]])*(Log[Verb]="block")),Log[Note])&amp;"",""))</f>
      </c>
      <c r="R263" s="17">
        <f>IF(Items[[#This Row],[ID]]="","",COUNTIFS(Log[ID],Items[[#This Row],[ID]],Log[Verb],"carry"))</f>
      </c>
      <c r="S263" s="17">
        <f>IF(Items[[#This Row],[ID]]="","",COUNTIFS(Log[ID],Items[[#This Row],[ID]],Log[Verb],"punt"))</f>
      </c>
      <c r="T263" s="11">
        <f>IF(Items[[#This Row],[State]]&lt;&gt;"DONE","",IFERROR(LOOKUP(2,1/((Log[ID]=Items[[#This Row],[ID]])*(Log[Verb]="done")),Log[Date]),""))</f>
      </c>
      <c r="U263" s="17">
        <f>IF(Items[[#This Row],[ID]]="","",IF(AND(Items[[#This Row],[Sprint]]=CurSprint,OR(Items[[#This Row],[State]]="OPEN",Items[[#This Row],[State]]="WAIT",Items[[#This Row],[State]]="HOLD",Items[[#This Row],[State]]="DONE")),1,0))</f>
      </c>
      <c r="V263" s="17">
        <f>IF(OR(Items[[#This Row],[ID]]="",Items[[#This Row],[Added]]=""),"",AsOf-Items[[#This Row],[Added]])</f>
      </c>
      <c r="W263" s="17">
        <f>IF(Items[[#This Row],[In sprint]]=1,(IF(Items[[#This Row],[Prio]]="",9,N(Items[[#This Row],[Prio]]))*10+(IF(Items[[#This Row],[State]]="DONE",1,0)))*100000+ROW(),"")</f>
      </c>
      <c r="X26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63" s="17">
        <f>IF(AND(Items[[#This Row],[State]]="DONE",N(Items[[#This Row],[Done on]])&gt;AsOf-7),(200000-N(Items[[#This Row],[Done on]]))*100000+ROW(),"")</f>
      </c>
    </row>
    <row r="264">
      <c r="A264" t="s">
        <v>432</v>
      </c>
      <c r="B264" t="s">
        <v>1480</v>
      </c>
      <c r="C264" t="s">
        <v>1107</v>
      </c>
      <c r="D264" t="s">
        <v>1108</v>
      </c>
      <c r="E264" t="s">
        <v>1112</v>
      </c>
      <c r="F264" t="s">
        <v>1149</v>
      </c>
      <c r="G264">
        <v>3</v>
      </c>
      <c r="H264">
        <v>1</v>
      </c>
      <c r="I264" s="11">
        <v>46119</v>
      </c>
      <c r="J264" s="17">
        <f>IF(Items[[#This Row],[ID]]="","",IFERROR(VALUE(LOOKUP(2,1/((Log[ID]=Items[[#This Row],[ID]])*(Log[Verb]="est")),Log[Arg])),N(Items[[#This Row],[Points]])))</f>
      </c>
      <c r="K264" s="17">
        <f>IF(Items[[#This Row],[ID]]="","",IFERROR(LOOKUP(2,1/((Log[ID]=Items[[#This Row],[ID]])*(Log[Verb]="pass")),Log[Arg])&amp;"",Items[[#This Row],[Team]]&amp;""))</f>
      </c>
      <c r="L264" s="17">
        <f>IF(Items[[#This Row],[ID]]="","",IFERROR(LOOKUP(2,1/((Log[ID]=Items[[#This Row],[ID]])*(Log[Into]&lt;&gt;"")),Log[Into]),""))</f>
      </c>
      <c r="M264" s="17">
        <f>IF(Items[[#This Row],[ID]]="","",IF(IFERROR(LOOKUP(2,1/((Log[ID]=Items[[#This Row],[ID]])*(Log[Blk]&lt;&gt;"")),Log[Blk]),0)=1,"Y",""))</f>
      </c>
      <c r="N264" s="17">
        <f>IF(Items[[#This Row],[ID]]="","",SUBSTITUTE(IFERROR(LOOKUP(2,1/((Log[ID]=Items[[#This Row],[ID]])*(Log[State]&lt;&gt;"")),Log[State]),"TODO"),"OPEN",IF(Items[[#This Row],[Blocked]]="Y","WAIT","OPEN")))</f>
      </c>
      <c r="O26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64" s="17">
        <f>IF(Items[[#This Row],[State]]&lt;&gt;"WAIT","",AsOf-Items[[#This Row],[Blocked since]])</f>
      </c>
      <c r="Q264" s="17">
        <f>IF(Items[[#This Row],[State]]&lt;&gt;"WAIT","",IFERROR(LOOKUP(2,1/((Log[ID]=Items[[#This Row],[ID]])*(Log[Verb]="block")),Log[Note])&amp;"",""))</f>
      </c>
      <c r="R264" s="17">
        <f>IF(Items[[#This Row],[ID]]="","",COUNTIFS(Log[ID],Items[[#This Row],[ID]],Log[Verb],"carry"))</f>
      </c>
      <c r="S264" s="17">
        <f>IF(Items[[#This Row],[ID]]="","",COUNTIFS(Log[ID],Items[[#This Row],[ID]],Log[Verb],"punt"))</f>
      </c>
      <c r="T264" s="11">
        <f>IF(Items[[#This Row],[State]]&lt;&gt;"DONE","",IFERROR(LOOKUP(2,1/((Log[ID]=Items[[#This Row],[ID]])*(Log[Verb]="done")),Log[Date]),""))</f>
      </c>
      <c r="U264" s="17">
        <f>IF(Items[[#This Row],[ID]]="","",IF(AND(Items[[#This Row],[Sprint]]=CurSprint,OR(Items[[#This Row],[State]]="OPEN",Items[[#This Row],[State]]="WAIT",Items[[#This Row],[State]]="HOLD",Items[[#This Row],[State]]="DONE")),1,0))</f>
      </c>
      <c r="V264" s="17">
        <f>IF(OR(Items[[#This Row],[ID]]="",Items[[#This Row],[Added]]=""),"",AsOf-Items[[#This Row],[Added]])</f>
      </c>
      <c r="W264" s="17">
        <f>IF(Items[[#This Row],[In sprint]]=1,(IF(Items[[#This Row],[Prio]]="",9,N(Items[[#This Row],[Prio]]))*10+(IF(Items[[#This Row],[State]]="DONE",1,0)))*100000+ROW(),"")</f>
      </c>
      <c r="X26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64" s="17">
        <f>IF(AND(Items[[#This Row],[State]]="DONE",N(Items[[#This Row],[Done on]])&gt;AsOf-7),(200000-N(Items[[#This Row],[Done on]]))*100000+ROW(),"")</f>
      </c>
    </row>
    <row r="265">
      <c r="A265" t="s">
        <v>433</v>
      </c>
      <c r="B265" t="s">
        <v>1481</v>
      </c>
      <c r="C265" t="s">
        <v>1107</v>
      </c>
      <c r="D265" t="s">
        <v>1108</v>
      </c>
      <c r="E265" t="s">
        <v>1112</v>
      </c>
      <c r="F265" t="s">
        <v>1149</v>
      </c>
      <c r="G265">
        <v>5</v>
      </c>
      <c r="H265">
        <v>1</v>
      </c>
      <c r="I265" s="11">
        <v>46119</v>
      </c>
      <c r="J265" s="17">
        <f>IF(Items[[#This Row],[ID]]="","",IFERROR(VALUE(LOOKUP(2,1/((Log[ID]=Items[[#This Row],[ID]])*(Log[Verb]="est")),Log[Arg])),N(Items[[#This Row],[Points]])))</f>
      </c>
      <c r="K265" s="17">
        <f>IF(Items[[#This Row],[ID]]="","",IFERROR(LOOKUP(2,1/((Log[ID]=Items[[#This Row],[ID]])*(Log[Verb]="pass")),Log[Arg])&amp;"",Items[[#This Row],[Team]]&amp;""))</f>
      </c>
      <c r="L265" s="17">
        <f>IF(Items[[#This Row],[ID]]="","",IFERROR(LOOKUP(2,1/((Log[ID]=Items[[#This Row],[ID]])*(Log[Into]&lt;&gt;"")),Log[Into]),""))</f>
      </c>
      <c r="M265" s="17">
        <f>IF(Items[[#This Row],[ID]]="","",IF(IFERROR(LOOKUP(2,1/((Log[ID]=Items[[#This Row],[ID]])*(Log[Blk]&lt;&gt;"")),Log[Blk]),0)=1,"Y",""))</f>
      </c>
      <c r="N265" s="17">
        <f>IF(Items[[#This Row],[ID]]="","",SUBSTITUTE(IFERROR(LOOKUP(2,1/((Log[ID]=Items[[#This Row],[ID]])*(Log[State]&lt;&gt;"")),Log[State]),"TODO"),"OPEN",IF(Items[[#This Row],[Blocked]]="Y","WAIT","OPEN")))</f>
      </c>
      <c r="O26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65" s="17">
        <f>IF(Items[[#This Row],[State]]&lt;&gt;"WAIT","",AsOf-Items[[#This Row],[Blocked since]])</f>
      </c>
      <c r="Q265" s="17">
        <f>IF(Items[[#This Row],[State]]&lt;&gt;"WAIT","",IFERROR(LOOKUP(2,1/((Log[ID]=Items[[#This Row],[ID]])*(Log[Verb]="block")),Log[Note])&amp;"",""))</f>
      </c>
      <c r="R265" s="17">
        <f>IF(Items[[#This Row],[ID]]="","",COUNTIFS(Log[ID],Items[[#This Row],[ID]],Log[Verb],"carry"))</f>
      </c>
      <c r="S265" s="17">
        <f>IF(Items[[#This Row],[ID]]="","",COUNTIFS(Log[ID],Items[[#This Row],[ID]],Log[Verb],"punt"))</f>
      </c>
      <c r="T265" s="11">
        <f>IF(Items[[#This Row],[State]]&lt;&gt;"DONE","",IFERROR(LOOKUP(2,1/((Log[ID]=Items[[#This Row],[ID]])*(Log[Verb]="done")),Log[Date]),""))</f>
      </c>
      <c r="U265" s="17">
        <f>IF(Items[[#This Row],[ID]]="","",IF(AND(Items[[#This Row],[Sprint]]=CurSprint,OR(Items[[#This Row],[State]]="OPEN",Items[[#This Row],[State]]="WAIT",Items[[#This Row],[State]]="HOLD",Items[[#This Row],[State]]="DONE")),1,0))</f>
      </c>
      <c r="V265" s="17">
        <f>IF(OR(Items[[#This Row],[ID]]="",Items[[#This Row],[Added]]=""),"",AsOf-Items[[#This Row],[Added]])</f>
      </c>
      <c r="W265" s="17">
        <f>IF(Items[[#This Row],[In sprint]]=1,(IF(Items[[#This Row],[Prio]]="",9,N(Items[[#This Row],[Prio]]))*10+(IF(Items[[#This Row],[State]]="DONE",1,0)))*100000+ROW(),"")</f>
      </c>
      <c r="X26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65" s="17">
        <f>IF(AND(Items[[#This Row],[State]]="DONE",N(Items[[#This Row],[Done on]])&gt;AsOf-7),(200000-N(Items[[#This Row],[Done on]]))*100000+ROW(),"")</f>
      </c>
    </row>
    <row r="266">
      <c r="A266" t="s">
        <v>434</v>
      </c>
      <c r="B266" t="s">
        <v>1482</v>
      </c>
      <c r="C266" t="s">
        <v>1107</v>
      </c>
      <c r="D266" t="s">
        <v>1127</v>
      </c>
      <c r="E266" t="s">
        <v>1112</v>
      </c>
      <c r="F266" t="s">
        <v>1117</v>
      </c>
      <c r="G266">
        <v>5</v>
      </c>
      <c r="H266">
        <v>1</v>
      </c>
      <c r="I266" s="11">
        <v>46119</v>
      </c>
      <c r="J266" s="17">
        <f>IF(Items[[#This Row],[ID]]="","",IFERROR(VALUE(LOOKUP(2,1/((Log[ID]=Items[[#This Row],[ID]])*(Log[Verb]="est")),Log[Arg])),N(Items[[#This Row],[Points]])))</f>
      </c>
      <c r="K266" s="17">
        <f>IF(Items[[#This Row],[ID]]="","",IFERROR(LOOKUP(2,1/((Log[ID]=Items[[#This Row],[ID]])*(Log[Verb]="pass")),Log[Arg])&amp;"",Items[[#This Row],[Team]]&amp;""))</f>
      </c>
      <c r="L266" s="17">
        <f>IF(Items[[#This Row],[ID]]="","",IFERROR(LOOKUP(2,1/((Log[ID]=Items[[#This Row],[ID]])*(Log[Into]&lt;&gt;"")),Log[Into]),""))</f>
      </c>
      <c r="M266" s="17">
        <f>IF(Items[[#This Row],[ID]]="","",IF(IFERROR(LOOKUP(2,1/((Log[ID]=Items[[#This Row],[ID]])*(Log[Blk]&lt;&gt;"")),Log[Blk]),0)=1,"Y",""))</f>
      </c>
      <c r="N266" s="17">
        <f>IF(Items[[#This Row],[ID]]="","",SUBSTITUTE(IFERROR(LOOKUP(2,1/((Log[ID]=Items[[#This Row],[ID]])*(Log[State]&lt;&gt;"")),Log[State]),"TODO"),"OPEN",IF(Items[[#This Row],[Blocked]]="Y","WAIT","OPEN")))</f>
      </c>
      <c r="O26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66" s="17">
        <f>IF(Items[[#This Row],[State]]&lt;&gt;"WAIT","",AsOf-Items[[#This Row],[Blocked since]])</f>
      </c>
      <c r="Q266" s="17">
        <f>IF(Items[[#This Row],[State]]&lt;&gt;"WAIT","",IFERROR(LOOKUP(2,1/((Log[ID]=Items[[#This Row],[ID]])*(Log[Verb]="block")),Log[Note])&amp;"",""))</f>
      </c>
      <c r="R266" s="17">
        <f>IF(Items[[#This Row],[ID]]="","",COUNTIFS(Log[ID],Items[[#This Row],[ID]],Log[Verb],"carry"))</f>
      </c>
      <c r="S266" s="17">
        <f>IF(Items[[#This Row],[ID]]="","",COUNTIFS(Log[ID],Items[[#This Row],[ID]],Log[Verb],"punt"))</f>
      </c>
      <c r="T266" s="11">
        <f>IF(Items[[#This Row],[State]]&lt;&gt;"DONE","",IFERROR(LOOKUP(2,1/((Log[ID]=Items[[#This Row],[ID]])*(Log[Verb]="done")),Log[Date]),""))</f>
      </c>
      <c r="U266" s="17">
        <f>IF(Items[[#This Row],[ID]]="","",IF(AND(Items[[#This Row],[Sprint]]=CurSprint,OR(Items[[#This Row],[State]]="OPEN",Items[[#This Row],[State]]="WAIT",Items[[#This Row],[State]]="HOLD",Items[[#This Row],[State]]="DONE")),1,0))</f>
      </c>
      <c r="V266" s="17">
        <f>IF(OR(Items[[#This Row],[ID]]="",Items[[#This Row],[Added]]=""),"",AsOf-Items[[#This Row],[Added]])</f>
      </c>
      <c r="W266" s="17">
        <f>IF(Items[[#This Row],[In sprint]]=1,(IF(Items[[#This Row],[Prio]]="",9,N(Items[[#This Row],[Prio]]))*10+(IF(Items[[#This Row],[State]]="DONE",1,0)))*100000+ROW(),"")</f>
      </c>
      <c r="X26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66" s="17">
        <f>IF(AND(Items[[#This Row],[State]]="DONE",N(Items[[#This Row],[Done on]])&gt;AsOf-7),(200000-N(Items[[#This Row],[Done on]]))*100000+ROW(),"")</f>
      </c>
    </row>
    <row r="267">
      <c r="A267" t="s">
        <v>435</v>
      </c>
      <c r="B267" t="s">
        <v>1483</v>
      </c>
      <c r="C267" t="s">
        <v>1107</v>
      </c>
      <c r="D267" t="s">
        <v>1108</v>
      </c>
      <c r="E267" t="s">
        <v>1112</v>
      </c>
      <c r="F267" t="s">
        <v>1265</v>
      </c>
      <c r="G267">
        <v>8</v>
      </c>
      <c r="H267">
        <v>3</v>
      </c>
      <c r="I267" s="11">
        <v>46119</v>
      </c>
      <c r="J267" s="17">
        <f>IF(Items[[#This Row],[ID]]="","",IFERROR(VALUE(LOOKUP(2,1/((Log[ID]=Items[[#This Row],[ID]])*(Log[Verb]="est")),Log[Arg])),N(Items[[#This Row],[Points]])))</f>
      </c>
      <c r="K267" s="17">
        <f>IF(Items[[#This Row],[ID]]="","",IFERROR(LOOKUP(2,1/((Log[ID]=Items[[#This Row],[ID]])*(Log[Verb]="pass")),Log[Arg])&amp;"",Items[[#This Row],[Team]]&amp;""))</f>
      </c>
      <c r="L267" s="17">
        <f>IF(Items[[#This Row],[ID]]="","",IFERROR(LOOKUP(2,1/((Log[ID]=Items[[#This Row],[ID]])*(Log[Into]&lt;&gt;"")),Log[Into]),""))</f>
      </c>
      <c r="M267" s="17">
        <f>IF(Items[[#This Row],[ID]]="","",IF(IFERROR(LOOKUP(2,1/((Log[ID]=Items[[#This Row],[ID]])*(Log[Blk]&lt;&gt;"")),Log[Blk]),0)=1,"Y",""))</f>
      </c>
      <c r="N267" s="17">
        <f>IF(Items[[#This Row],[ID]]="","",SUBSTITUTE(IFERROR(LOOKUP(2,1/((Log[ID]=Items[[#This Row],[ID]])*(Log[State]&lt;&gt;"")),Log[State]),"TODO"),"OPEN",IF(Items[[#This Row],[Blocked]]="Y","WAIT","OPEN")))</f>
      </c>
      <c r="O26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67" s="17">
        <f>IF(Items[[#This Row],[State]]&lt;&gt;"WAIT","",AsOf-Items[[#This Row],[Blocked since]])</f>
      </c>
      <c r="Q267" s="17">
        <f>IF(Items[[#This Row],[State]]&lt;&gt;"WAIT","",IFERROR(LOOKUP(2,1/((Log[ID]=Items[[#This Row],[ID]])*(Log[Verb]="block")),Log[Note])&amp;"",""))</f>
      </c>
      <c r="R267" s="17">
        <f>IF(Items[[#This Row],[ID]]="","",COUNTIFS(Log[ID],Items[[#This Row],[ID]],Log[Verb],"carry"))</f>
      </c>
      <c r="S267" s="17">
        <f>IF(Items[[#This Row],[ID]]="","",COUNTIFS(Log[ID],Items[[#This Row],[ID]],Log[Verb],"punt"))</f>
      </c>
      <c r="T267" s="11">
        <f>IF(Items[[#This Row],[State]]&lt;&gt;"DONE","",IFERROR(LOOKUP(2,1/((Log[ID]=Items[[#This Row],[ID]])*(Log[Verb]="done")),Log[Date]),""))</f>
      </c>
      <c r="U267" s="17">
        <f>IF(Items[[#This Row],[ID]]="","",IF(AND(Items[[#This Row],[Sprint]]=CurSprint,OR(Items[[#This Row],[State]]="OPEN",Items[[#This Row],[State]]="WAIT",Items[[#This Row],[State]]="HOLD",Items[[#This Row],[State]]="DONE")),1,0))</f>
      </c>
      <c r="V267" s="17">
        <f>IF(OR(Items[[#This Row],[ID]]="",Items[[#This Row],[Added]]=""),"",AsOf-Items[[#This Row],[Added]])</f>
      </c>
      <c r="W267" s="17">
        <f>IF(Items[[#This Row],[In sprint]]=1,(IF(Items[[#This Row],[Prio]]="",9,N(Items[[#This Row],[Prio]]))*10+(IF(Items[[#This Row],[State]]="DONE",1,0)))*100000+ROW(),"")</f>
      </c>
      <c r="X26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67" s="17">
        <f>IF(AND(Items[[#This Row],[State]]="DONE",N(Items[[#This Row],[Done on]])&gt;AsOf-7),(200000-N(Items[[#This Row],[Done on]]))*100000+ROW(),"")</f>
      </c>
    </row>
    <row r="268">
      <c r="A268" t="s">
        <v>437</v>
      </c>
      <c r="B268" t="s">
        <v>1484</v>
      </c>
      <c r="C268" t="s">
        <v>1107</v>
      </c>
      <c r="D268" t="s">
        <v>1123</v>
      </c>
      <c r="E268" t="s">
        <v>1120</v>
      </c>
      <c r="F268" t="s">
        <v>1269</v>
      </c>
      <c r="G268">
        <v>3</v>
      </c>
      <c r="H268">
        <v>1</v>
      </c>
      <c r="I268" s="11">
        <v>46119</v>
      </c>
      <c r="J268" s="17">
        <f>IF(Items[[#This Row],[ID]]="","",IFERROR(VALUE(LOOKUP(2,1/((Log[ID]=Items[[#This Row],[ID]])*(Log[Verb]="est")),Log[Arg])),N(Items[[#This Row],[Points]])))</f>
      </c>
      <c r="K268" s="17">
        <f>IF(Items[[#This Row],[ID]]="","",IFERROR(LOOKUP(2,1/((Log[ID]=Items[[#This Row],[ID]])*(Log[Verb]="pass")),Log[Arg])&amp;"",Items[[#This Row],[Team]]&amp;""))</f>
      </c>
      <c r="L268" s="17">
        <f>IF(Items[[#This Row],[ID]]="","",IFERROR(LOOKUP(2,1/((Log[ID]=Items[[#This Row],[ID]])*(Log[Into]&lt;&gt;"")),Log[Into]),""))</f>
      </c>
      <c r="M268" s="17">
        <f>IF(Items[[#This Row],[ID]]="","",IF(IFERROR(LOOKUP(2,1/((Log[ID]=Items[[#This Row],[ID]])*(Log[Blk]&lt;&gt;"")),Log[Blk]),0)=1,"Y",""))</f>
      </c>
      <c r="N268" s="17">
        <f>IF(Items[[#This Row],[ID]]="","",SUBSTITUTE(IFERROR(LOOKUP(2,1/((Log[ID]=Items[[#This Row],[ID]])*(Log[State]&lt;&gt;"")),Log[State]),"TODO"),"OPEN",IF(Items[[#This Row],[Blocked]]="Y","WAIT","OPEN")))</f>
      </c>
      <c r="O26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68" s="17">
        <f>IF(Items[[#This Row],[State]]&lt;&gt;"WAIT","",AsOf-Items[[#This Row],[Blocked since]])</f>
      </c>
      <c r="Q268" s="17">
        <f>IF(Items[[#This Row],[State]]&lt;&gt;"WAIT","",IFERROR(LOOKUP(2,1/((Log[ID]=Items[[#This Row],[ID]])*(Log[Verb]="block")),Log[Note])&amp;"",""))</f>
      </c>
      <c r="R268" s="17">
        <f>IF(Items[[#This Row],[ID]]="","",COUNTIFS(Log[ID],Items[[#This Row],[ID]],Log[Verb],"carry"))</f>
      </c>
      <c r="S268" s="17">
        <f>IF(Items[[#This Row],[ID]]="","",COUNTIFS(Log[ID],Items[[#This Row],[ID]],Log[Verb],"punt"))</f>
      </c>
      <c r="T268" s="11">
        <f>IF(Items[[#This Row],[State]]&lt;&gt;"DONE","",IFERROR(LOOKUP(2,1/((Log[ID]=Items[[#This Row],[ID]])*(Log[Verb]="done")),Log[Date]),""))</f>
      </c>
      <c r="U268" s="17">
        <f>IF(Items[[#This Row],[ID]]="","",IF(AND(Items[[#This Row],[Sprint]]=CurSprint,OR(Items[[#This Row],[State]]="OPEN",Items[[#This Row],[State]]="WAIT",Items[[#This Row],[State]]="HOLD",Items[[#This Row],[State]]="DONE")),1,0))</f>
      </c>
      <c r="V268" s="17">
        <f>IF(OR(Items[[#This Row],[ID]]="",Items[[#This Row],[Added]]=""),"",AsOf-Items[[#This Row],[Added]])</f>
      </c>
      <c r="W268" s="17">
        <f>IF(Items[[#This Row],[In sprint]]=1,(IF(Items[[#This Row],[Prio]]="",9,N(Items[[#This Row],[Prio]]))*10+(IF(Items[[#This Row],[State]]="DONE",1,0)))*100000+ROW(),"")</f>
      </c>
      <c r="X26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68" s="17">
        <f>IF(AND(Items[[#This Row],[State]]="DONE",N(Items[[#This Row],[Done on]])&gt;AsOf-7),(200000-N(Items[[#This Row],[Done on]]))*100000+ROW(),"")</f>
      </c>
    </row>
    <row r="269">
      <c r="A269" t="s">
        <v>438</v>
      </c>
      <c r="B269" t="s">
        <v>1485</v>
      </c>
      <c r="C269" t="s">
        <v>1107</v>
      </c>
      <c r="D269" t="s">
        <v>1123</v>
      </c>
      <c r="E269" t="s">
        <v>1120</v>
      </c>
      <c r="F269" t="s">
        <v>1193</v>
      </c>
      <c r="G269">
        <v>5</v>
      </c>
      <c r="H269">
        <v>3</v>
      </c>
      <c r="I269" s="11">
        <v>46119</v>
      </c>
      <c r="J269" s="17">
        <f>IF(Items[[#This Row],[ID]]="","",IFERROR(VALUE(LOOKUP(2,1/((Log[ID]=Items[[#This Row],[ID]])*(Log[Verb]="est")),Log[Arg])),N(Items[[#This Row],[Points]])))</f>
      </c>
      <c r="K269" s="17">
        <f>IF(Items[[#This Row],[ID]]="","",IFERROR(LOOKUP(2,1/((Log[ID]=Items[[#This Row],[ID]])*(Log[Verb]="pass")),Log[Arg])&amp;"",Items[[#This Row],[Team]]&amp;""))</f>
      </c>
      <c r="L269" s="17">
        <f>IF(Items[[#This Row],[ID]]="","",IFERROR(LOOKUP(2,1/((Log[ID]=Items[[#This Row],[ID]])*(Log[Into]&lt;&gt;"")),Log[Into]),""))</f>
      </c>
      <c r="M269" s="17">
        <f>IF(Items[[#This Row],[ID]]="","",IF(IFERROR(LOOKUP(2,1/((Log[ID]=Items[[#This Row],[ID]])*(Log[Blk]&lt;&gt;"")),Log[Blk]),0)=1,"Y",""))</f>
      </c>
      <c r="N269" s="17">
        <f>IF(Items[[#This Row],[ID]]="","",SUBSTITUTE(IFERROR(LOOKUP(2,1/((Log[ID]=Items[[#This Row],[ID]])*(Log[State]&lt;&gt;"")),Log[State]),"TODO"),"OPEN",IF(Items[[#This Row],[Blocked]]="Y","WAIT","OPEN")))</f>
      </c>
      <c r="O26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69" s="17">
        <f>IF(Items[[#This Row],[State]]&lt;&gt;"WAIT","",AsOf-Items[[#This Row],[Blocked since]])</f>
      </c>
      <c r="Q269" s="17">
        <f>IF(Items[[#This Row],[State]]&lt;&gt;"WAIT","",IFERROR(LOOKUP(2,1/((Log[ID]=Items[[#This Row],[ID]])*(Log[Verb]="block")),Log[Note])&amp;"",""))</f>
      </c>
      <c r="R269" s="17">
        <f>IF(Items[[#This Row],[ID]]="","",COUNTIFS(Log[ID],Items[[#This Row],[ID]],Log[Verb],"carry"))</f>
      </c>
      <c r="S269" s="17">
        <f>IF(Items[[#This Row],[ID]]="","",COUNTIFS(Log[ID],Items[[#This Row],[ID]],Log[Verb],"punt"))</f>
      </c>
      <c r="T269" s="11">
        <f>IF(Items[[#This Row],[State]]&lt;&gt;"DONE","",IFERROR(LOOKUP(2,1/((Log[ID]=Items[[#This Row],[ID]])*(Log[Verb]="done")),Log[Date]),""))</f>
      </c>
      <c r="U269" s="17">
        <f>IF(Items[[#This Row],[ID]]="","",IF(AND(Items[[#This Row],[Sprint]]=CurSprint,OR(Items[[#This Row],[State]]="OPEN",Items[[#This Row],[State]]="WAIT",Items[[#This Row],[State]]="HOLD",Items[[#This Row],[State]]="DONE")),1,0))</f>
      </c>
      <c r="V269" s="17">
        <f>IF(OR(Items[[#This Row],[ID]]="",Items[[#This Row],[Added]]=""),"",AsOf-Items[[#This Row],[Added]])</f>
      </c>
      <c r="W269" s="17">
        <f>IF(Items[[#This Row],[In sprint]]=1,(IF(Items[[#This Row],[Prio]]="",9,N(Items[[#This Row],[Prio]]))*10+(IF(Items[[#This Row],[State]]="DONE",1,0)))*100000+ROW(),"")</f>
      </c>
      <c r="X26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69" s="17">
        <f>IF(AND(Items[[#This Row],[State]]="DONE",N(Items[[#This Row],[Done on]])&gt;AsOf-7),(200000-N(Items[[#This Row],[Done on]]))*100000+ROW(),"")</f>
      </c>
    </row>
    <row r="270">
      <c r="A270" t="s">
        <v>439</v>
      </c>
      <c r="B270" t="s">
        <v>1486</v>
      </c>
      <c r="C270" t="s">
        <v>1115</v>
      </c>
      <c r="D270" t="s">
        <v>1116</v>
      </c>
      <c r="E270" t="s">
        <v>1120</v>
      </c>
      <c r="F270" t="s">
        <v>1272</v>
      </c>
      <c r="G270">
        <v>3</v>
      </c>
      <c r="H270">
        <v>1</v>
      </c>
      <c r="I270" s="11">
        <v>46119</v>
      </c>
      <c r="J270" s="17">
        <f>IF(Items[[#This Row],[ID]]="","",IFERROR(VALUE(LOOKUP(2,1/((Log[ID]=Items[[#This Row],[ID]])*(Log[Verb]="est")),Log[Arg])),N(Items[[#This Row],[Points]])))</f>
      </c>
      <c r="K270" s="17">
        <f>IF(Items[[#This Row],[ID]]="","",IFERROR(LOOKUP(2,1/((Log[ID]=Items[[#This Row],[ID]])*(Log[Verb]="pass")),Log[Arg])&amp;"",Items[[#This Row],[Team]]&amp;""))</f>
      </c>
      <c r="L270" s="17">
        <f>IF(Items[[#This Row],[ID]]="","",IFERROR(LOOKUP(2,1/((Log[ID]=Items[[#This Row],[ID]])*(Log[Into]&lt;&gt;"")),Log[Into]),""))</f>
      </c>
      <c r="M270" s="17">
        <f>IF(Items[[#This Row],[ID]]="","",IF(IFERROR(LOOKUP(2,1/((Log[ID]=Items[[#This Row],[ID]])*(Log[Blk]&lt;&gt;"")),Log[Blk]),0)=1,"Y",""))</f>
      </c>
      <c r="N270" s="17">
        <f>IF(Items[[#This Row],[ID]]="","",SUBSTITUTE(IFERROR(LOOKUP(2,1/((Log[ID]=Items[[#This Row],[ID]])*(Log[State]&lt;&gt;"")),Log[State]),"TODO"),"OPEN",IF(Items[[#This Row],[Blocked]]="Y","WAIT","OPEN")))</f>
      </c>
      <c r="O27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70" s="17">
        <f>IF(Items[[#This Row],[State]]&lt;&gt;"WAIT","",AsOf-Items[[#This Row],[Blocked since]])</f>
      </c>
      <c r="Q270" s="17">
        <f>IF(Items[[#This Row],[State]]&lt;&gt;"WAIT","",IFERROR(LOOKUP(2,1/((Log[ID]=Items[[#This Row],[ID]])*(Log[Verb]="block")),Log[Note])&amp;"",""))</f>
      </c>
      <c r="R270" s="17">
        <f>IF(Items[[#This Row],[ID]]="","",COUNTIFS(Log[ID],Items[[#This Row],[ID]],Log[Verb],"carry"))</f>
      </c>
      <c r="S270" s="17">
        <f>IF(Items[[#This Row],[ID]]="","",COUNTIFS(Log[ID],Items[[#This Row],[ID]],Log[Verb],"punt"))</f>
      </c>
      <c r="T270" s="11">
        <f>IF(Items[[#This Row],[State]]&lt;&gt;"DONE","",IFERROR(LOOKUP(2,1/((Log[ID]=Items[[#This Row],[ID]])*(Log[Verb]="done")),Log[Date]),""))</f>
      </c>
      <c r="U270" s="17">
        <f>IF(Items[[#This Row],[ID]]="","",IF(AND(Items[[#This Row],[Sprint]]=CurSprint,OR(Items[[#This Row],[State]]="OPEN",Items[[#This Row],[State]]="WAIT",Items[[#This Row],[State]]="HOLD",Items[[#This Row],[State]]="DONE")),1,0))</f>
      </c>
      <c r="V270" s="17">
        <f>IF(OR(Items[[#This Row],[ID]]="",Items[[#This Row],[Added]]=""),"",AsOf-Items[[#This Row],[Added]])</f>
      </c>
      <c r="W270" s="17">
        <f>IF(Items[[#This Row],[In sprint]]=1,(IF(Items[[#This Row],[Prio]]="",9,N(Items[[#This Row],[Prio]]))*10+(IF(Items[[#This Row],[State]]="DONE",1,0)))*100000+ROW(),"")</f>
      </c>
      <c r="X27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70" s="17">
        <f>IF(AND(Items[[#This Row],[State]]="DONE",N(Items[[#This Row],[Done on]])&gt;AsOf-7),(200000-N(Items[[#This Row],[Done on]]))*100000+ROW(),"")</f>
      </c>
    </row>
    <row r="271">
      <c r="A271" t="s">
        <v>440</v>
      </c>
      <c r="B271" t="s">
        <v>1487</v>
      </c>
      <c r="C271" t="s">
        <v>1115</v>
      </c>
      <c r="D271" t="s">
        <v>1116</v>
      </c>
      <c r="E271" t="s">
        <v>1120</v>
      </c>
      <c r="F271" t="s">
        <v>1193</v>
      </c>
      <c r="G271">
        <v>5</v>
      </c>
      <c r="H271">
        <v>1</v>
      </c>
      <c r="I271" s="11">
        <v>46119</v>
      </c>
      <c r="J271" s="17">
        <f>IF(Items[[#This Row],[ID]]="","",IFERROR(VALUE(LOOKUP(2,1/((Log[ID]=Items[[#This Row],[ID]])*(Log[Verb]="est")),Log[Arg])),N(Items[[#This Row],[Points]])))</f>
      </c>
      <c r="K271" s="17">
        <f>IF(Items[[#This Row],[ID]]="","",IFERROR(LOOKUP(2,1/((Log[ID]=Items[[#This Row],[ID]])*(Log[Verb]="pass")),Log[Arg])&amp;"",Items[[#This Row],[Team]]&amp;""))</f>
      </c>
      <c r="L271" s="17">
        <f>IF(Items[[#This Row],[ID]]="","",IFERROR(LOOKUP(2,1/((Log[ID]=Items[[#This Row],[ID]])*(Log[Into]&lt;&gt;"")),Log[Into]),""))</f>
      </c>
      <c r="M271" s="17">
        <f>IF(Items[[#This Row],[ID]]="","",IF(IFERROR(LOOKUP(2,1/((Log[ID]=Items[[#This Row],[ID]])*(Log[Blk]&lt;&gt;"")),Log[Blk]),0)=1,"Y",""))</f>
      </c>
      <c r="N271" s="17">
        <f>IF(Items[[#This Row],[ID]]="","",SUBSTITUTE(IFERROR(LOOKUP(2,1/((Log[ID]=Items[[#This Row],[ID]])*(Log[State]&lt;&gt;"")),Log[State]),"TODO"),"OPEN",IF(Items[[#This Row],[Blocked]]="Y","WAIT","OPEN")))</f>
      </c>
      <c r="O27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71" s="17">
        <f>IF(Items[[#This Row],[State]]&lt;&gt;"WAIT","",AsOf-Items[[#This Row],[Blocked since]])</f>
      </c>
      <c r="Q271" s="17">
        <f>IF(Items[[#This Row],[State]]&lt;&gt;"WAIT","",IFERROR(LOOKUP(2,1/((Log[ID]=Items[[#This Row],[ID]])*(Log[Verb]="block")),Log[Note])&amp;"",""))</f>
      </c>
      <c r="R271" s="17">
        <f>IF(Items[[#This Row],[ID]]="","",COUNTIFS(Log[ID],Items[[#This Row],[ID]],Log[Verb],"carry"))</f>
      </c>
      <c r="S271" s="17">
        <f>IF(Items[[#This Row],[ID]]="","",COUNTIFS(Log[ID],Items[[#This Row],[ID]],Log[Verb],"punt"))</f>
      </c>
      <c r="T271" s="11">
        <f>IF(Items[[#This Row],[State]]&lt;&gt;"DONE","",IFERROR(LOOKUP(2,1/((Log[ID]=Items[[#This Row],[ID]])*(Log[Verb]="done")),Log[Date]),""))</f>
      </c>
      <c r="U271" s="17">
        <f>IF(Items[[#This Row],[ID]]="","",IF(AND(Items[[#This Row],[Sprint]]=CurSprint,OR(Items[[#This Row],[State]]="OPEN",Items[[#This Row],[State]]="WAIT",Items[[#This Row],[State]]="HOLD",Items[[#This Row],[State]]="DONE")),1,0))</f>
      </c>
      <c r="V271" s="17">
        <f>IF(OR(Items[[#This Row],[ID]]="",Items[[#This Row],[Added]]=""),"",AsOf-Items[[#This Row],[Added]])</f>
      </c>
      <c r="W271" s="17">
        <f>IF(Items[[#This Row],[In sprint]]=1,(IF(Items[[#This Row],[Prio]]="",9,N(Items[[#This Row],[Prio]]))*10+(IF(Items[[#This Row],[State]]="DONE",1,0)))*100000+ROW(),"")</f>
      </c>
      <c r="X27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71" s="17">
        <f>IF(AND(Items[[#This Row],[State]]="DONE",N(Items[[#This Row],[Done on]])&gt;AsOf-7),(200000-N(Items[[#This Row],[Done on]]))*100000+ROW(),"")</f>
      </c>
    </row>
    <row r="272">
      <c r="A272" t="s">
        <v>498</v>
      </c>
      <c r="B272" t="s">
        <v>1488</v>
      </c>
      <c r="C272" t="s">
        <v>1115</v>
      </c>
      <c r="D272" t="s">
        <v>1116</v>
      </c>
      <c r="E272" t="s">
        <v>1120</v>
      </c>
      <c r="F272" t="s">
        <v>1342</v>
      </c>
      <c r="G272">
        <v>8</v>
      </c>
      <c r="H272">
        <v>1</v>
      </c>
      <c r="I272" s="11">
        <v>46119</v>
      </c>
      <c r="J272" s="17">
        <f>IF(Items[[#This Row],[ID]]="","",IFERROR(VALUE(LOOKUP(2,1/((Log[ID]=Items[[#This Row],[ID]])*(Log[Verb]="est")),Log[Arg])),N(Items[[#This Row],[Points]])))</f>
      </c>
      <c r="K272" s="17">
        <f>IF(Items[[#This Row],[ID]]="","",IFERROR(LOOKUP(2,1/((Log[ID]=Items[[#This Row],[ID]])*(Log[Verb]="pass")),Log[Arg])&amp;"",Items[[#This Row],[Team]]&amp;""))</f>
      </c>
      <c r="L272" s="17">
        <f>IF(Items[[#This Row],[ID]]="","",IFERROR(LOOKUP(2,1/((Log[ID]=Items[[#This Row],[ID]])*(Log[Into]&lt;&gt;"")),Log[Into]),""))</f>
      </c>
      <c r="M272" s="17">
        <f>IF(Items[[#This Row],[ID]]="","",IF(IFERROR(LOOKUP(2,1/((Log[ID]=Items[[#This Row],[ID]])*(Log[Blk]&lt;&gt;"")),Log[Blk]),0)=1,"Y",""))</f>
      </c>
      <c r="N272" s="17">
        <f>IF(Items[[#This Row],[ID]]="","",SUBSTITUTE(IFERROR(LOOKUP(2,1/((Log[ID]=Items[[#This Row],[ID]])*(Log[State]&lt;&gt;"")),Log[State]),"TODO"),"OPEN",IF(Items[[#This Row],[Blocked]]="Y","WAIT","OPEN")))</f>
      </c>
      <c r="O27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72" s="17">
        <f>IF(Items[[#This Row],[State]]&lt;&gt;"WAIT","",AsOf-Items[[#This Row],[Blocked since]])</f>
      </c>
      <c r="Q272" s="17">
        <f>IF(Items[[#This Row],[State]]&lt;&gt;"WAIT","",IFERROR(LOOKUP(2,1/((Log[ID]=Items[[#This Row],[ID]])*(Log[Verb]="block")),Log[Note])&amp;"",""))</f>
      </c>
      <c r="R272" s="17">
        <f>IF(Items[[#This Row],[ID]]="","",COUNTIFS(Log[ID],Items[[#This Row],[ID]],Log[Verb],"carry"))</f>
      </c>
      <c r="S272" s="17">
        <f>IF(Items[[#This Row],[ID]]="","",COUNTIFS(Log[ID],Items[[#This Row],[ID]],Log[Verb],"punt"))</f>
      </c>
      <c r="T272" s="11">
        <f>IF(Items[[#This Row],[State]]&lt;&gt;"DONE","",IFERROR(LOOKUP(2,1/((Log[ID]=Items[[#This Row],[ID]])*(Log[Verb]="done")),Log[Date]),""))</f>
      </c>
      <c r="U272" s="17">
        <f>IF(Items[[#This Row],[ID]]="","",IF(AND(Items[[#This Row],[Sprint]]=CurSprint,OR(Items[[#This Row],[State]]="OPEN",Items[[#This Row],[State]]="WAIT",Items[[#This Row],[State]]="HOLD",Items[[#This Row],[State]]="DONE")),1,0))</f>
      </c>
      <c r="V272" s="17">
        <f>IF(OR(Items[[#This Row],[ID]]="",Items[[#This Row],[Added]]=""),"",AsOf-Items[[#This Row],[Added]])</f>
      </c>
      <c r="W272" s="17">
        <f>IF(Items[[#This Row],[In sprint]]=1,(IF(Items[[#This Row],[Prio]]="",9,N(Items[[#This Row],[Prio]]))*10+(IF(Items[[#This Row],[State]]="DONE",1,0)))*100000+ROW(),"")</f>
      </c>
      <c r="X27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72" s="17">
        <f>IF(AND(Items[[#This Row],[State]]="DONE",N(Items[[#This Row],[Done on]])&gt;AsOf-7),(200000-N(Items[[#This Row],[Done on]]))*100000+ROW(),"")</f>
      </c>
    </row>
    <row r="273">
      <c r="A273" t="s">
        <v>442</v>
      </c>
      <c r="B273" t="s">
        <v>1489</v>
      </c>
      <c r="C273" t="s">
        <v>1115</v>
      </c>
      <c r="D273" t="s">
        <v>1119</v>
      </c>
      <c r="E273" t="s">
        <v>1124</v>
      </c>
      <c r="F273" t="s">
        <v>1283</v>
      </c>
      <c r="G273">
        <v>5</v>
      </c>
      <c r="H273">
        <v>3</v>
      </c>
      <c r="I273" s="11">
        <v>46119</v>
      </c>
      <c r="J273" s="17">
        <f>IF(Items[[#This Row],[ID]]="","",IFERROR(VALUE(LOOKUP(2,1/((Log[ID]=Items[[#This Row],[ID]])*(Log[Verb]="est")),Log[Arg])),N(Items[[#This Row],[Points]])))</f>
      </c>
      <c r="K273" s="17">
        <f>IF(Items[[#This Row],[ID]]="","",IFERROR(LOOKUP(2,1/((Log[ID]=Items[[#This Row],[ID]])*(Log[Verb]="pass")),Log[Arg])&amp;"",Items[[#This Row],[Team]]&amp;""))</f>
      </c>
      <c r="L273" s="17">
        <f>IF(Items[[#This Row],[ID]]="","",IFERROR(LOOKUP(2,1/((Log[ID]=Items[[#This Row],[ID]])*(Log[Into]&lt;&gt;"")),Log[Into]),""))</f>
      </c>
      <c r="M273" s="17">
        <f>IF(Items[[#This Row],[ID]]="","",IF(IFERROR(LOOKUP(2,1/((Log[ID]=Items[[#This Row],[ID]])*(Log[Blk]&lt;&gt;"")),Log[Blk]),0)=1,"Y",""))</f>
      </c>
      <c r="N273" s="17">
        <f>IF(Items[[#This Row],[ID]]="","",SUBSTITUTE(IFERROR(LOOKUP(2,1/((Log[ID]=Items[[#This Row],[ID]])*(Log[State]&lt;&gt;"")),Log[State]),"TODO"),"OPEN",IF(Items[[#This Row],[Blocked]]="Y","WAIT","OPEN")))</f>
      </c>
      <c r="O27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73" s="17">
        <f>IF(Items[[#This Row],[State]]&lt;&gt;"WAIT","",AsOf-Items[[#This Row],[Blocked since]])</f>
      </c>
      <c r="Q273" s="17">
        <f>IF(Items[[#This Row],[State]]&lt;&gt;"WAIT","",IFERROR(LOOKUP(2,1/((Log[ID]=Items[[#This Row],[ID]])*(Log[Verb]="block")),Log[Note])&amp;"",""))</f>
      </c>
      <c r="R273" s="17">
        <f>IF(Items[[#This Row],[ID]]="","",COUNTIFS(Log[ID],Items[[#This Row],[ID]],Log[Verb],"carry"))</f>
      </c>
      <c r="S273" s="17">
        <f>IF(Items[[#This Row],[ID]]="","",COUNTIFS(Log[ID],Items[[#This Row],[ID]],Log[Verb],"punt"))</f>
      </c>
      <c r="T273" s="11">
        <f>IF(Items[[#This Row],[State]]&lt;&gt;"DONE","",IFERROR(LOOKUP(2,1/((Log[ID]=Items[[#This Row],[ID]])*(Log[Verb]="done")),Log[Date]),""))</f>
      </c>
      <c r="U273" s="17">
        <f>IF(Items[[#This Row],[ID]]="","",IF(AND(Items[[#This Row],[Sprint]]=CurSprint,OR(Items[[#This Row],[State]]="OPEN",Items[[#This Row],[State]]="WAIT",Items[[#This Row],[State]]="HOLD",Items[[#This Row],[State]]="DONE")),1,0))</f>
      </c>
      <c r="V273" s="17">
        <f>IF(OR(Items[[#This Row],[ID]]="",Items[[#This Row],[Added]]=""),"",AsOf-Items[[#This Row],[Added]])</f>
      </c>
      <c r="W273" s="17">
        <f>IF(Items[[#This Row],[In sprint]]=1,(IF(Items[[#This Row],[Prio]]="",9,N(Items[[#This Row],[Prio]]))*10+(IF(Items[[#This Row],[State]]="DONE",1,0)))*100000+ROW(),"")</f>
      </c>
      <c r="X27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73" s="17">
        <f>IF(AND(Items[[#This Row],[State]]="DONE",N(Items[[#This Row],[Done on]])&gt;AsOf-7),(200000-N(Items[[#This Row],[Done on]]))*100000+ROW(),"")</f>
      </c>
    </row>
    <row r="274">
      <c r="A274" t="s">
        <v>443</v>
      </c>
      <c r="B274" t="s">
        <v>1490</v>
      </c>
      <c r="C274" t="s">
        <v>1115</v>
      </c>
      <c r="D274" t="s">
        <v>1119</v>
      </c>
      <c r="E274" t="s">
        <v>1124</v>
      </c>
      <c r="F274" t="s">
        <v>1125</v>
      </c>
      <c r="G274">
        <v>3</v>
      </c>
      <c r="H274">
        <v>2</v>
      </c>
      <c r="I274" s="11">
        <v>46119</v>
      </c>
      <c r="J274" s="17">
        <f>IF(Items[[#This Row],[ID]]="","",IFERROR(VALUE(LOOKUP(2,1/((Log[ID]=Items[[#This Row],[ID]])*(Log[Verb]="est")),Log[Arg])),N(Items[[#This Row],[Points]])))</f>
      </c>
      <c r="K274" s="17">
        <f>IF(Items[[#This Row],[ID]]="","",IFERROR(LOOKUP(2,1/((Log[ID]=Items[[#This Row],[ID]])*(Log[Verb]="pass")),Log[Arg])&amp;"",Items[[#This Row],[Team]]&amp;""))</f>
      </c>
      <c r="L274" s="17">
        <f>IF(Items[[#This Row],[ID]]="","",IFERROR(LOOKUP(2,1/((Log[ID]=Items[[#This Row],[ID]])*(Log[Into]&lt;&gt;"")),Log[Into]),""))</f>
      </c>
      <c r="M274" s="17">
        <f>IF(Items[[#This Row],[ID]]="","",IF(IFERROR(LOOKUP(2,1/((Log[ID]=Items[[#This Row],[ID]])*(Log[Blk]&lt;&gt;"")),Log[Blk]),0)=1,"Y",""))</f>
      </c>
      <c r="N274" s="17">
        <f>IF(Items[[#This Row],[ID]]="","",SUBSTITUTE(IFERROR(LOOKUP(2,1/((Log[ID]=Items[[#This Row],[ID]])*(Log[State]&lt;&gt;"")),Log[State]),"TODO"),"OPEN",IF(Items[[#This Row],[Blocked]]="Y","WAIT","OPEN")))</f>
      </c>
      <c r="O27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74" s="17">
        <f>IF(Items[[#This Row],[State]]&lt;&gt;"WAIT","",AsOf-Items[[#This Row],[Blocked since]])</f>
      </c>
      <c r="Q274" s="17">
        <f>IF(Items[[#This Row],[State]]&lt;&gt;"WAIT","",IFERROR(LOOKUP(2,1/((Log[ID]=Items[[#This Row],[ID]])*(Log[Verb]="block")),Log[Note])&amp;"",""))</f>
      </c>
      <c r="R274" s="17">
        <f>IF(Items[[#This Row],[ID]]="","",COUNTIFS(Log[ID],Items[[#This Row],[ID]],Log[Verb],"carry"))</f>
      </c>
      <c r="S274" s="17">
        <f>IF(Items[[#This Row],[ID]]="","",COUNTIFS(Log[ID],Items[[#This Row],[ID]],Log[Verb],"punt"))</f>
      </c>
      <c r="T274" s="11">
        <f>IF(Items[[#This Row],[State]]&lt;&gt;"DONE","",IFERROR(LOOKUP(2,1/((Log[ID]=Items[[#This Row],[ID]])*(Log[Verb]="done")),Log[Date]),""))</f>
      </c>
      <c r="U274" s="17">
        <f>IF(Items[[#This Row],[ID]]="","",IF(AND(Items[[#This Row],[Sprint]]=CurSprint,OR(Items[[#This Row],[State]]="OPEN",Items[[#This Row],[State]]="WAIT",Items[[#This Row],[State]]="HOLD",Items[[#This Row],[State]]="DONE")),1,0))</f>
      </c>
      <c r="V274" s="17">
        <f>IF(OR(Items[[#This Row],[ID]]="",Items[[#This Row],[Added]]=""),"",AsOf-Items[[#This Row],[Added]])</f>
      </c>
      <c r="W274" s="17">
        <f>IF(Items[[#This Row],[In sprint]]=1,(IF(Items[[#This Row],[Prio]]="",9,N(Items[[#This Row],[Prio]]))*10+(IF(Items[[#This Row],[State]]="DONE",1,0)))*100000+ROW(),"")</f>
      </c>
      <c r="X27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74" s="17">
        <f>IF(AND(Items[[#This Row],[State]]="DONE",N(Items[[#This Row],[Done on]])&gt;AsOf-7),(200000-N(Items[[#This Row],[Done on]]))*100000+ROW(),"")</f>
      </c>
    </row>
    <row r="275">
      <c r="A275" t="s">
        <v>444</v>
      </c>
      <c r="B275" t="s">
        <v>1491</v>
      </c>
      <c r="C275" t="s">
        <v>1107</v>
      </c>
      <c r="D275" t="s">
        <v>1127</v>
      </c>
      <c r="E275" t="s">
        <v>1124</v>
      </c>
      <c r="F275" t="s">
        <v>1283</v>
      </c>
      <c r="G275">
        <v>3</v>
      </c>
      <c r="H275">
        <v>1</v>
      </c>
      <c r="I275" s="11">
        <v>46119</v>
      </c>
      <c r="J275" s="17">
        <f>IF(Items[[#This Row],[ID]]="","",IFERROR(VALUE(LOOKUP(2,1/((Log[ID]=Items[[#This Row],[ID]])*(Log[Verb]="est")),Log[Arg])),N(Items[[#This Row],[Points]])))</f>
      </c>
      <c r="K275" s="17">
        <f>IF(Items[[#This Row],[ID]]="","",IFERROR(LOOKUP(2,1/((Log[ID]=Items[[#This Row],[ID]])*(Log[Verb]="pass")),Log[Arg])&amp;"",Items[[#This Row],[Team]]&amp;""))</f>
      </c>
      <c r="L275" s="17">
        <f>IF(Items[[#This Row],[ID]]="","",IFERROR(LOOKUP(2,1/((Log[ID]=Items[[#This Row],[ID]])*(Log[Into]&lt;&gt;"")),Log[Into]),""))</f>
      </c>
      <c r="M275" s="17">
        <f>IF(Items[[#This Row],[ID]]="","",IF(IFERROR(LOOKUP(2,1/((Log[ID]=Items[[#This Row],[ID]])*(Log[Blk]&lt;&gt;"")),Log[Blk]),0)=1,"Y",""))</f>
      </c>
      <c r="N275" s="17">
        <f>IF(Items[[#This Row],[ID]]="","",SUBSTITUTE(IFERROR(LOOKUP(2,1/((Log[ID]=Items[[#This Row],[ID]])*(Log[State]&lt;&gt;"")),Log[State]),"TODO"),"OPEN",IF(Items[[#This Row],[Blocked]]="Y","WAIT","OPEN")))</f>
      </c>
      <c r="O27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75" s="17">
        <f>IF(Items[[#This Row],[State]]&lt;&gt;"WAIT","",AsOf-Items[[#This Row],[Blocked since]])</f>
      </c>
      <c r="Q275" s="17">
        <f>IF(Items[[#This Row],[State]]&lt;&gt;"WAIT","",IFERROR(LOOKUP(2,1/((Log[ID]=Items[[#This Row],[ID]])*(Log[Verb]="block")),Log[Note])&amp;"",""))</f>
      </c>
      <c r="R275" s="17">
        <f>IF(Items[[#This Row],[ID]]="","",COUNTIFS(Log[ID],Items[[#This Row],[ID]],Log[Verb],"carry"))</f>
      </c>
      <c r="S275" s="17">
        <f>IF(Items[[#This Row],[ID]]="","",COUNTIFS(Log[ID],Items[[#This Row],[ID]],Log[Verb],"punt"))</f>
      </c>
      <c r="T275" s="11">
        <f>IF(Items[[#This Row],[State]]&lt;&gt;"DONE","",IFERROR(LOOKUP(2,1/((Log[ID]=Items[[#This Row],[ID]])*(Log[Verb]="done")),Log[Date]),""))</f>
      </c>
      <c r="U275" s="17">
        <f>IF(Items[[#This Row],[ID]]="","",IF(AND(Items[[#This Row],[Sprint]]=CurSprint,OR(Items[[#This Row],[State]]="OPEN",Items[[#This Row],[State]]="WAIT",Items[[#This Row],[State]]="HOLD",Items[[#This Row],[State]]="DONE")),1,0))</f>
      </c>
      <c r="V275" s="17">
        <f>IF(OR(Items[[#This Row],[ID]]="",Items[[#This Row],[Added]]=""),"",AsOf-Items[[#This Row],[Added]])</f>
      </c>
      <c r="W275" s="17">
        <f>IF(Items[[#This Row],[In sprint]]=1,(IF(Items[[#This Row],[Prio]]="",9,N(Items[[#This Row],[Prio]]))*10+(IF(Items[[#This Row],[State]]="DONE",1,0)))*100000+ROW(),"")</f>
      </c>
      <c r="X27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75" s="17">
        <f>IF(AND(Items[[#This Row],[State]]="DONE",N(Items[[#This Row],[Done on]])&gt;AsOf-7),(200000-N(Items[[#This Row],[Done on]]))*100000+ROW(),"")</f>
      </c>
    </row>
    <row r="276">
      <c r="A276" t="s">
        <v>393</v>
      </c>
      <c r="B276" t="s">
        <v>1492</v>
      </c>
      <c r="C276" t="s">
        <v>1115</v>
      </c>
      <c r="D276" t="s">
        <v>1116</v>
      </c>
      <c r="E276" t="s">
        <v>1124</v>
      </c>
      <c r="F276" t="s">
        <v>1283</v>
      </c>
      <c r="G276">
        <v>2</v>
      </c>
      <c r="H276">
        <v>2</v>
      </c>
      <c r="I276" s="11">
        <v>46119</v>
      </c>
      <c r="J276" s="17">
        <f>IF(Items[[#This Row],[ID]]="","",IFERROR(VALUE(LOOKUP(2,1/((Log[ID]=Items[[#This Row],[ID]])*(Log[Verb]="est")),Log[Arg])),N(Items[[#This Row],[Points]])))</f>
      </c>
      <c r="K276" s="17">
        <f>IF(Items[[#This Row],[ID]]="","",IFERROR(LOOKUP(2,1/((Log[ID]=Items[[#This Row],[ID]])*(Log[Verb]="pass")),Log[Arg])&amp;"",Items[[#This Row],[Team]]&amp;""))</f>
      </c>
      <c r="L276" s="17">
        <f>IF(Items[[#This Row],[ID]]="","",IFERROR(LOOKUP(2,1/((Log[ID]=Items[[#This Row],[ID]])*(Log[Into]&lt;&gt;"")),Log[Into]),""))</f>
      </c>
      <c r="M276" s="17">
        <f>IF(Items[[#This Row],[ID]]="","",IF(IFERROR(LOOKUP(2,1/((Log[ID]=Items[[#This Row],[ID]])*(Log[Blk]&lt;&gt;"")),Log[Blk]),0)=1,"Y",""))</f>
      </c>
      <c r="N276" s="17">
        <f>IF(Items[[#This Row],[ID]]="","",SUBSTITUTE(IFERROR(LOOKUP(2,1/((Log[ID]=Items[[#This Row],[ID]])*(Log[State]&lt;&gt;"")),Log[State]),"TODO"),"OPEN",IF(Items[[#This Row],[Blocked]]="Y","WAIT","OPEN")))</f>
      </c>
      <c r="O27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76" s="17">
        <f>IF(Items[[#This Row],[State]]&lt;&gt;"WAIT","",AsOf-Items[[#This Row],[Blocked since]])</f>
      </c>
      <c r="Q276" s="17">
        <f>IF(Items[[#This Row],[State]]&lt;&gt;"WAIT","",IFERROR(LOOKUP(2,1/((Log[ID]=Items[[#This Row],[ID]])*(Log[Verb]="block")),Log[Note])&amp;"",""))</f>
      </c>
      <c r="R276" s="17">
        <f>IF(Items[[#This Row],[ID]]="","",COUNTIFS(Log[ID],Items[[#This Row],[ID]],Log[Verb],"carry"))</f>
      </c>
      <c r="S276" s="17">
        <f>IF(Items[[#This Row],[ID]]="","",COUNTIFS(Log[ID],Items[[#This Row],[ID]],Log[Verb],"punt"))</f>
      </c>
      <c r="T276" s="11">
        <f>IF(Items[[#This Row],[State]]&lt;&gt;"DONE","",IFERROR(LOOKUP(2,1/((Log[ID]=Items[[#This Row],[ID]])*(Log[Verb]="done")),Log[Date]),""))</f>
      </c>
      <c r="U276" s="17">
        <f>IF(Items[[#This Row],[ID]]="","",IF(AND(Items[[#This Row],[Sprint]]=CurSprint,OR(Items[[#This Row],[State]]="OPEN",Items[[#This Row],[State]]="WAIT",Items[[#This Row],[State]]="HOLD",Items[[#This Row],[State]]="DONE")),1,0))</f>
      </c>
      <c r="V276" s="17">
        <f>IF(OR(Items[[#This Row],[ID]]="",Items[[#This Row],[Added]]=""),"",AsOf-Items[[#This Row],[Added]])</f>
      </c>
      <c r="W276" s="17">
        <f>IF(Items[[#This Row],[In sprint]]=1,(IF(Items[[#This Row],[Prio]]="",9,N(Items[[#This Row],[Prio]]))*10+(IF(Items[[#This Row],[State]]="DONE",1,0)))*100000+ROW(),"")</f>
      </c>
      <c r="X27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76" s="17">
        <f>IF(AND(Items[[#This Row],[State]]="DONE",N(Items[[#This Row],[Done on]])&gt;AsOf-7),(200000-N(Items[[#This Row],[Done on]]))*100000+ROW(),"")</f>
      </c>
    </row>
    <row r="277">
      <c r="A277" t="s">
        <v>445</v>
      </c>
      <c r="B277" t="s">
        <v>1493</v>
      </c>
      <c r="C277" t="s">
        <v>1115</v>
      </c>
      <c r="D277" t="s">
        <v>1119</v>
      </c>
      <c r="E277" t="s">
        <v>1124</v>
      </c>
      <c r="F277" t="s">
        <v>1200</v>
      </c>
      <c r="G277">
        <v>2</v>
      </c>
      <c r="H277">
        <v>2</v>
      </c>
      <c r="I277" s="11">
        <v>46119</v>
      </c>
      <c r="J277" s="17">
        <f>IF(Items[[#This Row],[ID]]="","",IFERROR(VALUE(LOOKUP(2,1/((Log[ID]=Items[[#This Row],[ID]])*(Log[Verb]="est")),Log[Arg])),N(Items[[#This Row],[Points]])))</f>
      </c>
      <c r="K277" s="17">
        <f>IF(Items[[#This Row],[ID]]="","",IFERROR(LOOKUP(2,1/((Log[ID]=Items[[#This Row],[ID]])*(Log[Verb]="pass")),Log[Arg])&amp;"",Items[[#This Row],[Team]]&amp;""))</f>
      </c>
      <c r="L277" s="17">
        <f>IF(Items[[#This Row],[ID]]="","",IFERROR(LOOKUP(2,1/((Log[ID]=Items[[#This Row],[ID]])*(Log[Into]&lt;&gt;"")),Log[Into]),""))</f>
      </c>
      <c r="M277" s="17">
        <f>IF(Items[[#This Row],[ID]]="","",IF(IFERROR(LOOKUP(2,1/((Log[ID]=Items[[#This Row],[ID]])*(Log[Blk]&lt;&gt;"")),Log[Blk]),0)=1,"Y",""))</f>
      </c>
      <c r="N277" s="17">
        <f>IF(Items[[#This Row],[ID]]="","",SUBSTITUTE(IFERROR(LOOKUP(2,1/((Log[ID]=Items[[#This Row],[ID]])*(Log[State]&lt;&gt;"")),Log[State]),"TODO"),"OPEN",IF(Items[[#This Row],[Blocked]]="Y","WAIT","OPEN")))</f>
      </c>
      <c r="O27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77" s="17">
        <f>IF(Items[[#This Row],[State]]&lt;&gt;"WAIT","",AsOf-Items[[#This Row],[Blocked since]])</f>
      </c>
      <c r="Q277" s="17">
        <f>IF(Items[[#This Row],[State]]&lt;&gt;"WAIT","",IFERROR(LOOKUP(2,1/((Log[ID]=Items[[#This Row],[ID]])*(Log[Verb]="block")),Log[Note])&amp;"",""))</f>
      </c>
      <c r="R277" s="17">
        <f>IF(Items[[#This Row],[ID]]="","",COUNTIFS(Log[ID],Items[[#This Row],[ID]],Log[Verb],"carry"))</f>
      </c>
      <c r="S277" s="17">
        <f>IF(Items[[#This Row],[ID]]="","",COUNTIFS(Log[ID],Items[[#This Row],[ID]],Log[Verb],"punt"))</f>
      </c>
      <c r="T277" s="11">
        <f>IF(Items[[#This Row],[State]]&lt;&gt;"DONE","",IFERROR(LOOKUP(2,1/((Log[ID]=Items[[#This Row],[ID]])*(Log[Verb]="done")),Log[Date]),""))</f>
      </c>
      <c r="U277" s="17">
        <f>IF(Items[[#This Row],[ID]]="","",IF(AND(Items[[#This Row],[Sprint]]=CurSprint,OR(Items[[#This Row],[State]]="OPEN",Items[[#This Row],[State]]="WAIT",Items[[#This Row],[State]]="HOLD",Items[[#This Row],[State]]="DONE")),1,0))</f>
      </c>
      <c r="V277" s="17">
        <f>IF(OR(Items[[#This Row],[ID]]="",Items[[#This Row],[Added]]=""),"",AsOf-Items[[#This Row],[Added]])</f>
      </c>
      <c r="W277" s="17">
        <f>IF(Items[[#This Row],[In sprint]]=1,(IF(Items[[#This Row],[Prio]]="",9,N(Items[[#This Row],[Prio]]))*10+(IF(Items[[#This Row],[State]]="DONE",1,0)))*100000+ROW(),"")</f>
      </c>
      <c r="X27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77" s="17">
        <f>IF(AND(Items[[#This Row],[State]]="DONE",N(Items[[#This Row],[Done on]])&gt;AsOf-7),(200000-N(Items[[#This Row],[Done on]]))*100000+ROW(),"")</f>
      </c>
    </row>
    <row r="278">
      <c r="A278" t="s">
        <v>446</v>
      </c>
      <c r="B278" t="s">
        <v>1494</v>
      </c>
      <c r="C278" t="s">
        <v>1115</v>
      </c>
      <c r="D278" t="s">
        <v>1119</v>
      </c>
      <c r="E278" t="s">
        <v>1124</v>
      </c>
      <c r="F278" t="s">
        <v>1155</v>
      </c>
      <c r="G278">
        <v>3</v>
      </c>
      <c r="H278">
        <v>1</v>
      </c>
      <c r="I278" s="11">
        <v>46119</v>
      </c>
      <c r="J278" s="17">
        <f>IF(Items[[#This Row],[ID]]="","",IFERROR(VALUE(LOOKUP(2,1/((Log[ID]=Items[[#This Row],[ID]])*(Log[Verb]="est")),Log[Arg])),N(Items[[#This Row],[Points]])))</f>
      </c>
      <c r="K278" s="17">
        <f>IF(Items[[#This Row],[ID]]="","",IFERROR(LOOKUP(2,1/((Log[ID]=Items[[#This Row],[ID]])*(Log[Verb]="pass")),Log[Arg])&amp;"",Items[[#This Row],[Team]]&amp;""))</f>
      </c>
      <c r="L278" s="17">
        <f>IF(Items[[#This Row],[ID]]="","",IFERROR(LOOKUP(2,1/((Log[ID]=Items[[#This Row],[ID]])*(Log[Into]&lt;&gt;"")),Log[Into]),""))</f>
      </c>
      <c r="M278" s="17">
        <f>IF(Items[[#This Row],[ID]]="","",IF(IFERROR(LOOKUP(2,1/((Log[ID]=Items[[#This Row],[ID]])*(Log[Blk]&lt;&gt;"")),Log[Blk]),0)=1,"Y",""))</f>
      </c>
      <c r="N278" s="17">
        <f>IF(Items[[#This Row],[ID]]="","",SUBSTITUTE(IFERROR(LOOKUP(2,1/((Log[ID]=Items[[#This Row],[ID]])*(Log[State]&lt;&gt;"")),Log[State]),"TODO"),"OPEN",IF(Items[[#This Row],[Blocked]]="Y","WAIT","OPEN")))</f>
      </c>
      <c r="O27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78" s="17">
        <f>IF(Items[[#This Row],[State]]&lt;&gt;"WAIT","",AsOf-Items[[#This Row],[Blocked since]])</f>
      </c>
      <c r="Q278" s="17">
        <f>IF(Items[[#This Row],[State]]&lt;&gt;"WAIT","",IFERROR(LOOKUP(2,1/((Log[ID]=Items[[#This Row],[ID]])*(Log[Verb]="block")),Log[Note])&amp;"",""))</f>
      </c>
      <c r="R278" s="17">
        <f>IF(Items[[#This Row],[ID]]="","",COUNTIFS(Log[ID],Items[[#This Row],[ID]],Log[Verb],"carry"))</f>
      </c>
      <c r="S278" s="17">
        <f>IF(Items[[#This Row],[ID]]="","",COUNTIFS(Log[ID],Items[[#This Row],[ID]],Log[Verb],"punt"))</f>
      </c>
      <c r="T278" s="11">
        <f>IF(Items[[#This Row],[State]]&lt;&gt;"DONE","",IFERROR(LOOKUP(2,1/((Log[ID]=Items[[#This Row],[ID]])*(Log[Verb]="done")),Log[Date]),""))</f>
      </c>
      <c r="U278" s="17">
        <f>IF(Items[[#This Row],[ID]]="","",IF(AND(Items[[#This Row],[Sprint]]=CurSprint,OR(Items[[#This Row],[State]]="OPEN",Items[[#This Row],[State]]="WAIT",Items[[#This Row],[State]]="HOLD",Items[[#This Row],[State]]="DONE")),1,0))</f>
      </c>
      <c r="V278" s="17">
        <f>IF(OR(Items[[#This Row],[ID]]="",Items[[#This Row],[Added]]=""),"",AsOf-Items[[#This Row],[Added]])</f>
      </c>
      <c r="W278" s="17">
        <f>IF(Items[[#This Row],[In sprint]]=1,(IF(Items[[#This Row],[Prio]]="",9,N(Items[[#This Row],[Prio]]))*10+(IF(Items[[#This Row],[State]]="DONE",1,0)))*100000+ROW(),"")</f>
      </c>
      <c r="X27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78" s="17">
        <f>IF(AND(Items[[#This Row],[State]]="DONE",N(Items[[#This Row],[Done on]])&gt;AsOf-7),(200000-N(Items[[#This Row],[Done on]]))*100000+ROW(),"")</f>
      </c>
    </row>
    <row r="279">
      <c r="A279" t="s">
        <v>447</v>
      </c>
      <c r="B279" t="s">
        <v>1495</v>
      </c>
      <c r="C279" t="s">
        <v>1107</v>
      </c>
      <c r="D279" t="s">
        <v>1127</v>
      </c>
      <c r="E279" t="s">
        <v>1124</v>
      </c>
      <c r="F279" t="s">
        <v>1203</v>
      </c>
      <c r="G279">
        <v>5</v>
      </c>
      <c r="H279">
        <v>1</v>
      </c>
      <c r="I279" s="11">
        <v>46119</v>
      </c>
      <c r="J279" s="17">
        <f>IF(Items[[#This Row],[ID]]="","",IFERROR(VALUE(LOOKUP(2,1/((Log[ID]=Items[[#This Row],[ID]])*(Log[Verb]="est")),Log[Arg])),N(Items[[#This Row],[Points]])))</f>
      </c>
      <c r="K279" s="17">
        <f>IF(Items[[#This Row],[ID]]="","",IFERROR(LOOKUP(2,1/((Log[ID]=Items[[#This Row],[ID]])*(Log[Verb]="pass")),Log[Arg])&amp;"",Items[[#This Row],[Team]]&amp;""))</f>
      </c>
      <c r="L279" s="17">
        <f>IF(Items[[#This Row],[ID]]="","",IFERROR(LOOKUP(2,1/((Log[ID]=Items[[#This Row],[ID]])*(Log[Into]&lt;&gt;"")),Log[Into]),""))</f>
      </c>
      <c r="M279" s="17">
        <f>IF(Items[[#This Row],[ID]]="","",IF(IFERROR(LOOKUP(2,1/((Log[ID]=Items[[#This Row],[ID]])*(Log[Blk]&lt;&gt;"")),Log[Blk]),0)=1,"Y",""))</f>
      </c>
      <c r="N279" s="17">
        <f>IF(Items[[#This Row],[ID]]="","",SUBSTITUTE(IFERROR(LOOKUP(2,1/((Log[ID]=Items[[#This Row],[ID]])*(Log[State]&lt;&gt;"")),Log[State]),"TODO"),"OPEN",IF(Items[[#This Row],[Blocked]]="Y","WAIT","OPEN")))</f>
      </c>
      <c r="O27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79" s="17">
        <f>IF(Items[[#This Row],[State]]&lt;&gt;"WAIT","",AsOf-Items[[#This Row],[Blocked since]])</f>
      </c>
      <c r="Q279" s="17">
        <f>IF(Items[[#This Row],[State]]&lt;&gt;"WAIT","",IFERROR(LOOKUP(2,1/((Log[ID]=Items[[#This Row],[ID]])*(Log[Verb]="block")),Log[Note])&amp;"",""))</f>
      </c>
      <c r="R279" s="17">
        <f>IF(Items[[#This Row],[ID]]="","",COUNTIFS(Log[ID],Items[[#This Row],[ID]],Log[Verb],"carry"))</f>
      </c>
      <c r="S279" s="17">
        <f>IF(Items[[#This Row],[ID]]="","",COUNTIFS(Log[ID],Items[[#This Row],[ID]],Log[Verb],"punt"))</f>
      </c>
      <c r="T279" s="11">
        <f>IF(Items[[#This Row],[State]]&lt;&gt;"DONE","",IFERROR(LOOKUP(2,1/((Log[ID]=Items[[#This Row],[ID]])*(Log[Verb]="done")),Log[Date]),""))</f>
      </c>
      <c r="U279" s="17">
        <f>IF(Items[[#This Row],[ID]]="","",IF(AND(Items[[#This Row],[Sprint]]=CurSprint,OR(Items[[#This Row],[State]]="OPEN",Items[[#This Row],[State]]="WAIT",Items[[#This Row],[State]]="HOLD",Items[[#This Row],[State]]="DONE")),1,0))</f>
      </c>
      <c r="V279" s="17">
        <f>IF(OR(Items[[#This Row],[ID]]="",Items[[#This Row],[Added]]=""),"",AsOf-Items[[#This Row],[Added]])</f>
      </c>
      <c r="W279" s="17">
        <f>IF(Items[[#This Row],[In sprint]]=1,(IF(Items[[#This Row],[Prio]]="",9,N(Items[[#This Row],[Prio]]))*10+(IF(Items[[#This Row],[State]]="DONE",1,0)))*100000+ROW(),"")</f>
      </c>
      <c r="X27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79" s="17">
        <f>IF(AND(Items[[#This Row],[State]]="DONE",N(Items[[#This Row],[Done on]])&gt;AsOf-7),(200000-N(Items[[#This Row],[Done on]]))*100000+ROW(),"")</f>
      </c>
    </row>
    <row r="280">
      <c r="A280" t="s">
        <v>398</v>
      </c>
      <c r="B280" t="s">
        <v>1496</v>
      </c>
      <c r="C280" t="s">
        <v>1115</v>
      </c>
      <c r="D280" t="s">
        <v>1116</v>
      </c>
      <c r="E280" t="s">
        <v>1159</v>
      </c>
      <c r="F280" t="s">
        <v>1439</v>
      </c>
      <c r="G280">
        <v>2</v>
      </c>
      <c r="H280">
        <v>1</v>
      </c>
      <c r="I280" s="11">
        <v>46119</v>
      </c>
      <c r="J280" s="17">
        <f>IF(Items[[#This Row],[ID]]="","",IFERROR(VALUE(LOOKUP(2,1/((Log[ID]=Items[[#This Row],[ID]])*(Log[Verb]="est")),Log[Arg])),N(Items[[#This Row],[Points]])))</f>
      </c>
      <c r="K280" s="17">
        <f>IF(Items[[#This Row],[ID]]="","",IFERROR(LOOKUP(2,1/((Log[ID]=Items[[#This Row],[ID]])*(Log[Verb]="pass")),Log[Arg])&amp;"",Items[[#This Row],[Team]]&amp;""))</f>
      </c>
      <c r="L280" s="17">
        <f>IF(Items[[#This Row],[ID]]="","",IFERROR(LOOKUP(2,1/((Log[ID]=Items[[#This Row],[ID]])*(Log[Into]&lt;&gt;"")),Log[Into]),""))</f>
      </c>
      <c r="M280" s="17">
        <f>IF(Items[[#This Row],[ID]]="","",IF(IFERROR(LOOKUP(2,1/((Log[ID]=Items[[#This Row],[ID]])*(Log[Blk]&lt;&gt;"")),Log[Blk]),0)=1,"Y",""))</f>
      </c>
      <c r="N280" s="17">
        <f>IF(Items[[#This Row],[ID]]="","",SUBSTITUTE(IFERROR(LOOKUP(2,1/((Log[ID]=Items[[#This Row],[ID]])*(Log[State]&lt;&gt;"")),Log[State]),"TODO"),"OPEN",IF(Items[[#This Row],[Blocked]]="Y","WAIT","OPEN")))</f>
      </c>
      <c r="O28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80" s="17">
        <f>IF(Items[[#This Row],[State]]&lt;&gt;"WAIT","",AsOf-Items[[#This Row],[Blocked since]])</f>
      </c>
      <c r="Q280" s="17">
        <f>IF(Items[[#This Row],[State]]&lt;&gt;"WAIT","",IFERROR(LOOKUP(2,1/((Log[ID]=Items[[#This Row],[ID]])*(Log[Verb]="block")),Log[Note])&amp;"",""))</f>
      </c>
      <c r="R280" s="17">
        <f>IF(Items[[#This Row],[ID]]="","",COUNTIFS(Log[ID],Items[[#This Row],[ID]],Log[Verb],"carry"))</f>
      </c>
      <c r="S280" s="17">
        <f>IF(Items[[#This Row],[ID]]="","",COUNTIFS(Log[ID],Items[[#This Row],[ID]],Log[Verb],"punt"))</f>
      </c>
      <c r="T280" s="11">
        <f>IF(Items[[#This Row],[State]]&lt;&gt;"DONE","",IFERROR(LOOKUP(2,1/((Log[ID]=Items[[#This Row],[ID]])*(Log[Verb]="done")),Log[Date]),""))</f>
      </c>
      <c r="U280" s="17">
        <f>IF(Items[[#This Row],[ID]]="","",IF(AND(Items[[#This Row],[Sprint]]=CurSprint,OR(Items[[#This Row],[State]]="OPEN",Items[[#This Row],[State]]="WAIT",Items[[#This Row],[State]]="HOLD",Items[[#This Row],[State]]="DONE")),1,0))</f>
      </c>
      <c r="V280" s="17">
        <f>IF(OR(Items[[#This Row],[ID]]="",Items[[#This Row],[Added]]=""),"",AsOf-Items[[#This Row],[Added]])</f>
      </c>
      <c r="W280" s="17">
        <f>IF(Items[[#This Row],[In sprint]]=1,(IF(Items[[#This Row],[Prio]]="",9,N(Items[[#This Row],[Prio]]))*10+(IF(Items[[#This Row],[State]]="DONE",1,0)))*100000+ROW(),"")</f>
      </c>
      <c r="X28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80" s="17">
        <f>IF(AND(Items[[#This Row],[State]]="DONE",N(Items[[#This Row],[Done on]])&gt;AsOf-7),(200000-N(Items[[#This Row],[Done on]]))*100000+ROW(),"")</f>
      </c>
    </row>
    <row r="281">
      <c r="A281" t="s">
        <v>449</v>
      </c>
      <c r="B281" t="s">
        <v>1497</v>
      </c>
      <c r="C281" t="s">
        <v>1107</v>
      </c>
      <c r="D281" t="s">
        <v>1123</v>
      </c>
      <c r="E281" t="s">
        <v>1159</v>
      </c>
      <c r="F281" t="s">
        <v>1285</v>
      </c>
      <c r="G281">
        <v>8</v>
      </c>
      <c r="H281">
        <v>3</v>
      </c>
      <c r="I281" s="11">
        <v>46119</v>
      </c>
      <c r="J281" s="17">
        <f>IF(Items[[#This Row],[ID]]="","",IFERROR(VALUE(LOOKUP(2,1/((Log[ID]=Items[[#This Row],[ID]])*(Log[Verb]="est")),Log[Arg])),N(Items[[#This Row],[Points]])))</f>
      </c>
      <c r="K281" s="17">
        <f>IF(Items[[#This Row],[ID]]="","",IFERROR(LOOKUP(2,1/((Log[ID]=Items[[#This Row],[ID]])*(Log[Verb]="pass")),Log[Arg])&amp;"",Items[[#This Row],[Team]]&amp;""))</f>
      </c>
      <c r="L281" s="17">
        <f>IF(Items[[#This Row],[ID]]="","",IFERROR(LOOKUP(2,1/((Log[ID]=Items[[#This Row],[ID]])*(Log[Into]&lt;&gt;"")),Log[Into]),""))</f>
      </c>
      <c r="M281" s="17">
        <f>IF(Items[[#This Row],[ID]]="","",IF(IFERROR(LOOKUP(2,1/((Log[ID]=Items[[#This Row],[ID]])*(Log[Blk]&lt;&gt;"")),Log[Blk]),0)=1,"Y",""))</f>
      </c>
      <c r="N281" s="17">
        <f>IF(Items[[#This Row],[ID]]="","",SUBSTITUTE(IFERROR(LOOKUP(2,1/((Log[ID]=Items[[#This Row],[ID]])*(Log[State]&lt;&gt;"")),Log[State]),"TODO"),"OPEN",IF(Items[[#This Row],[Blocked]]="Y","WAIT","OPEN")))</f>
      </c>
      <c r="O28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81" s="17">
        <f>IF(Items[[#This Row],[State]]&lt;&gt;"WAIT","",AsOf-Items[[#This Row],[Blocked since]])</f>
      </c>
      <c r="Q281" s="17">
        <f>IF(Items[[#This Row],[State]]&lt;&gt;"WAIT","",IFERROR(LOOKUP(2,1/((Log[ID]=Items[[#This Row],[ID]])*(Log[Verb]="block")),Log[Note])&amp;"",""))</f>
      </c>
      <c r="R281" s="17">
        <f>IF(Items[[#This Row],[ID]]="","",COUNTIFS(Log[ID],Items[[#This Row],[ID]],Log[Verb],"carry"))</f>
      </c>
      <c r="S281" s="17">
        <f>IF(Items[[#This Row],[ID]]="","",COUNTIFS(Log[ID],Items[[#This Row],[ID]],Log[Verb],"punt"))</f>
      </c>
      <c r="T281" s="11">
        <f>IF(Items[[#This Row],[State]]&lt;&gt;"DONE","",IFERROR(LOOKUP(2,1/((Log[ID]=Items[[#This Row],[ID]])*(Log[Verb]="done")),Log[Date]),""))</f>
      </c>
      <c r="U281" s="17">
        <f>IF(Items[[#This Row],[ID]]="","",IF(AND(Items[[#This Row],[Sprint]]=CurSprint,OR(Items[[#This Row],[State]]="OPEN",Items[[#This Row],[State]]="WAIT",Items[[#This Row],[State]]="HOLD",Items[[#This Row],[State]]="DONE")),1,0))</f>
      </c>
      <c r="V281" s="17">
        <f>IF(OR(Items[[#This Row],[ID]]="",Items[[#This Row],[Added]]=""),"",AsOf-Items[[#This Row],[Added]])</f>
      </c>
      <c r="W281" s="17">
        <f>IF(Items[[#This Row],[In sprint]]=1,(IF(Items[[#This Row],[Prio]]="",9,N(Items[[#This Row],[Prio]]))*10+(IF(Items[[#This Row],[State]]="DONE",1,0)))*100000+ROW(),"")</f>
      </c>
      <c r="X28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81" s="17">
        <f>IF(AND(Items[[#This Row],[State]]="DONE",N(Items[[#This Row],[Done on]])&gt;AsOf-7),(200000-N(Items[[#This Row],[Done on]]))*100000+ROW(),"")</f>
      </c>
    </row>
    <row r="282">
      <c r="A282" t="s">
        <v>399</v>
      </c>
      <c r="B282" t="s">
        <v>1498</v>
      </c>
      <c r="C282" t="s">
        <v>1107</v>
      </c>
      <c r="D282" t="s">
        <v>1108</v>
      </c>
      <c r="E282" t="s">
        <v>1159</v>
      </c>
      <c r="F282" t="s">
        <v>1358</v>
      </c>
      <c r="G282">
        <v>5</v>
      </c>
      <c r="H282">
        <v>1</v>
      </c>
      <c r="I282" s="11">
        <v>46119</v>
      </c>
      <c r="J282" s="17">
        <f>IF(Items[[#This Row],[ID]]="","",IFERROR(VALUE(LOOKUP(2,1/((Log[ID]=Items[[#This Row],[ID]])*(Log[Verb]="est")),Log[Arg])),N(Items[[#This Row],[Points]])))</f>
      </c>
      <c r="K282" s="17">
        <f>IF(Items[[#This Row],[ID]]="","",IFERROR(LOOKUP(2,1/((Log[ID]=Items[[#This Row],[ID]])*(Log[Verb]="pass")),Log[Arg])&amp;"",Items[[#This Row],[Team]]&amp;""))</f>
      </c>
      <c r="L282" s="17">
        <f>IF(Items[[#This Row],[ID]]="","",IFERROR(LOOKUP(2,1/((Log[ID]=Items[[#This Row],[ID]])*(Log[Into]&lt;&gt;"")),Log[Into]),""))</f>
      </c>
      <c r="M282" s="17">
        <f>IF(Items[[#This Row],[ID]]="","",IF(IFERROR(LOOKUP(2,1/((Log[ID]=Items[[#This Row],[ID]])*(Log[Blk]&lt;&gt;"")),Log[Blk]),0)=1,"Y",""))</f>
      </c>
      <c r="N282" s="17">
        <f>IF(Items[[#This Row],[ID]]="","",SUBSTITUTE(IFERROR(LOOKUP(2,1/((Log[ID]=Items[[#This Row],[ID]])*(Log[State]&lt;&gt;"")),Log[State]),"TODO"),"OPEN",IF(Items[[#This Row],[Blocked]]="Y","WAIT","OPEN")))</f>
      </c>
      <c r="O28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82" s="17">
        <f>IF(Items[[#This Row],[State]]&lt;&gt;"WAIT","",AsOf-Items[[#This Row],[Blocked since]])</f>
      </c>
      <c r="Q282" s="17">
        <f>IF(Items[[#This Row],[State]]&lt;&gt;"WAIT","",IFERROR(LOOKUP(2,1/((Log[ID]=Items[[#This Row],[ID]])*(Log[Verb]="block")),Log[Note])&amp;"",""))</f>
      </c>
      <c r="R282" s="17">
        <f>IF(Items[[#This Row],[ID]]="","",COUNTIFS(Log[ID],Items[[#This Row],[ID]],Log[Verb],"carry"))</f>
      </c>
      <c r="S282" s="17">
        <f>IF(Items[[#This Row],[ID]]="","",COUNTIFS(Log[ID],Items[[#This Row],[ID]],Log[Verb],"punt"))</f>
      </c>
      <c r="T282" s="11">
        <f>IF(Items[[#This Row],[State]]&lt;&gt;"DONE","",IFERROR(LOOKUP(2,1/((Log[ID]=Items[[#This Row],[ID]])*(Log[Verb]="done")),Log[Date]),""))</f>
      </c>
      <c r="U282" s="17">
        <f>IF(Items[[#This Row],[ID]]="","",IF(AND(Items[[#This Row],[Sprint]]=CurSprint,OR(Items[[#This Row],[State]]="OPEN",Items[[#This Row],[State]]="WAIT",Items[[#This Row],[State]]="HOLD",Items[[#This Row],[State]]="DONE")),1,0))</f>
      </c>
      <c r="V282" s="17">
        <f>IF(OR(Items[[#This Row],[ID]]="",Items[[#This Row],[Added]]=""),"",AsOf-Items[[#This Row],[Added]])</f>
      </c>
      <c r="W282" s="17">
        <f>IF(Items[[#This Row],[In sprint]]=1,(IF(Items[[#This Row],[Prio]]="",9,N(Items[[#This Row],[Prio]]))*10+(IF(Items[[#This Row],[State]]="DONE",1,0)))*100000+ROW(),"")</f>
      </c>
      <c r="X28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82" s="17">
        <f>IF(AND(Items[[#This Row],[State]]="DONE",N(Items[[#This Row],[Done on]])&gt;AsOf-7),(200000-N(Items[[#This Row],[Done on]]))*100000+ROW(),"")</f>
      </c>
    </row>
    <row r="283">
      <c r="A283" t="s">
        <v>450</v>
      </c>
      <c r="B283" t="s">
        <v>1499</v>
      </c>
      <c r="C283" t="s">
        <v>1115</v>
      </c>
      <c r="D283" t="s">
        <v>1119</v>
      </c>
      <c r="E283" t="s">
        <v>1159</v>
      </c>
      <c r="F283" t="s">
        <v>1433</v>
      </c>
      <c r="G283">
        <v>5</v>
      </c>
      <c r="H283">
        <v>1</v>
      </c>
      <c r="I283" s="11">
        <v>46119</v>
      </c>
      <c r="J283" s="17">
        <f>IF(Items[[#This Row],[ID]]="","",IFERROR(VALUE(LOOKUP(2,1/((Log[ID]=Items[[#This Row],[ID]])*(Log[Verb]="est")),Log[Arg])),N(Items[[#This Row],[Points]])))</f>
      </c>
      <c r="K283" s="17">
        <f>IF(Items[[#This Row],[ID]]="","",IFERROR(LOOKUP(2,1/((Log[ID]=Items[[#This Row],[ID]])*(Log[Verb]="pass")),Log[Arg])&amp;"",Items[[#This Row],[Team]]&amp;""))</f>
      </c>
      <c r="L283" s="17">
        <f>IF(Items[[#This Row],[ID]]="","",IFERROR(LOOKUP(2,1/((Log[ID]=Items[[#This Row],[ID]])*(Log[Into]&lt;&gt;"")),Log[Into]),""))</f>
      </c>
      <c r="M283" s="17">
        <f>IF(Items[[#This Row],[ID]]="","",IF(IFERROR(LOOKUP(2,1/((Log[ID]=Items[[#This Row],[ID]])*(Log[Blk]&lt;&gt;"")),Log[Blk]),0)=1,"Y",""))</f>
      </c>
      <c r="N283" s="17">
        <f>IF(Items[[#This Row],[ID]]="","",SUBSTITUTE(IFERROR(LOOKUP(2,1/((Log[ID]=Items[[#This Row],[ID]])*(Log[State]&lt;&gt;"")),Log[State]),"TODO"),"OPEN",IF(Items[[#This Row],[Blocked]]="Y","WAIT","OPEN")))</f>
      </c>
      <c r="O28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83" s="17">
        <f>IF(Items[[#This Row],[State]]&lt;&gt;"WAIT","",AsOf-Items[[#This Row],[Blocked since]])</f>
      </c>
      <c r="Q283" s="17">
        <f>IF(Items[[#This Row],[State]]&lt;&gt;"WAIT","",IFERROR(LOOKUP(2,1/((Log[ID]=Items[[#This Row],[ID]])*(Log[Verb]="block")),Log[Note])&amp;"",""))</f>
      </c>
      <c r="R283" s="17">
        <f>IF(Items[[#This Row],[ID]]="","",COUNTIFS(Log[ID],Items[[#This Row],[ID]],Log[Verb],"carry"))</f>
      </c>
      <c r="S283" s="17">
        <f>IF(Items[[#This Row],[ID]]="","",COUNTIFS(Log[ID],Items[[#This Row],[ID]],Log[Verb],"punt"))</f>
      </c>
      <c r="T283" s="11">
        <f>IF(Items[[#This Row],[State]]&lt;&gt;"DONE","",IFERROR(LOOKUP(2,1/((Log[ID]=Items[[#This Row],[ID]])*(Log[Verb]="done")),Log[Date]),""))</f>
      </c>
      <c r="U283" s="17">
        <f>IF(Items[[#This Row],[ID]]="","",IF(AND(Items[[#This Row],[Sprint]]=CurSprint,OR(Items[[#This Row],[State]]="OPEN",Items[[#This Row],[State]]="WAIT",Items[[#This Row],[State]]="HOLD",Items[[#This Row],[State]]="DONE")),1,0))</f>
      </c>
      <c r="V283" s="17">
        <f>IF(OR(Items[[#This Row],[ID]]="",Items[[#This Row],[Added]]=""),"",AsOf-Items[[#This Row],[Added]])</f>
      </c>
      <c r="W283" s="17">
        <f>IF(Items[[#This Row],[In sprint]]=1,(IF(Items[[#This Row],[Prio]]="",9,N(Items[[#This Row],[Prio]]))*10+(IF(Items[[#This Row],[State]]="DONE",1,0)))*100000+ROW(),"")</f>
      </c>
      <c r="X28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83" s="17">
        <f>IF(AND(Items[[#This Row],[State]]="DONE",N(Items[[#This Row],[Done on]])&gt;AsOf-7),(200000-N(Items[[#This Row],[Done on]]))*100000+ROW(),"")</f>
      </c>
    </row>
    <row r="284">
      <c r="A284" t="s">
        <v>451</v>
      </c>
      <c r="B284" t="s">
        <v>1500</v>
      </c>
      <c r="C284" t="s">
        <v>1107</v>
      </c>
      <c r="D284" t="s">
        <v>1123</v>
      </c>
      <c r="E284" t="s">
        <v>1159</v>
      </c>
      <c r="F284" t="s">
        <v>1213</v>
      </c>
      <c r="G284">
        <v>5</v>
      </c>
      <c r="H284">
        <v>3</v>
      </c>
      <c r="I284" s="11">
        <v>46119</v>
      </c>
      <c r="J284" s="17">
        <f>IF(Items[[#This Row],[ID]]="","",IFERROR(VALUE(LOOKUP(2,1/((Log[ID]=Items[[#This Row],[ID]])*(Log[Verb]="est")),Log[Arg])),N(Items[[#This Row],[Points]])))</f>
      </c>
      <c r="K284" s="17">
        <f>IF(Items[[#This Row],[ID]]="","",IFERROR(LOOKUP(2,1/((Log[ID]=Items[[#This Row],[ID]])*(Log[Verb]="pass")),Log[Arg])&amp;"",Items[[#This Row],[Team]]&amp;""))</f>
      </c>
      <c r="L284" s="17">
        <f>IF(Items[[#This Row],[ID]]="","",IFERROR(LOOKUP(2,1/((Log[ID]=Items[[#This Row],[ID]])*(Log[Into]&lt;&gt;"")),Log[Into]),""))</f>
      </c>
      <c r="M284" s="17">
        <f>IF(Items[[#This Row],[ID]]="","",IF(IFERROR(LOOKUP(2,1/((Log[ID]=Items[[#This Row],[ID]])*(Log[Blk]&lt;&gt;"")),Log[Blk]),0)=1,"Y",""))</f>
      </c>
      <c r="N284" s="17">
        <f>IF(Items[[#This Row],[ID]]="","",SUBSTITUTE(IFERROR(LOOKUP(2,1/((Log[ID]=Items[[#This Row],[ID]])*(Log[State]&lt;&gt;"")),Log[State]),"TODO"),"OPEN",IF(Items[[#This Row],[Blocked]]="Y","WAIT","OPEN")))</f>
      </c>
      <c r="O28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84" s="17">
        <f>IF(Items[[#This Row],[State]]&lt;&gt;"WAIT","",AsOf-Items[[#This Row],[Blocked since]])</f>
      </c>
      <c r="Q284" s="17">
        <f>IF(Items[[#This Row],[State]]&lt;&gt;"WAIT","",IFERROR(LOOKUP(2,1/((Log[ID]=Items[[#This Row],[ID]])*(Log[Verb]="block")),Log[Note])&amp;"",""))</f>
      </c>
      <c r="R284" s="17">
        <f>IF(Items[[#This Row],[ID]]="","",COUNTIFS(Log[ID],Items[[#This Row],[ID]],Log[Verb],"carry"))</f>
      </c>
      <c r="S284" s="17">
        <f>IF(Items[[#This Row],[ID]]="","",COUNTIFS(Log[ID],Items[[#This Row],[ID]],Log[Verb],"punt"))</f>
      </c>
      <c r="T284" s="11">
        <f>IF(Items[[#This Row],[State]]&lt;&gt;"DONE","",IFERROR(LOOKUP(2,1/((Log[ID]=Items[[#This Row],[ID]])*(Log[Verb]="done")),Log[Date]),""))</f>
      </c>
      <c r="U284" s="17">
        <f>IF(Items[[#This Row],[ID]]="","",IF(AND(Items[[#This Row],[Sprint]]=CurSprint,OR(Items[[#This Row],[State]]="OPEN",Items[[#This Row],[State]]="WAIT",Items[[#This Row],[State]]="HOLD",Items[[#This Row],[State]]="DONE")),1,0))</f>
      </c>
      <c r="V284" s="17">
        <f>IF(OR(Items[[#This Row],[ID]]="",Items[[#This Row],[Added]]=""),"",AsOf-Items[[#This Row],[Added]])</f>
      </c>
      <c r="W284" s="17">
        <f>IF(Items[[#This Row],[In sprint]]=1,(IF(Items[[#This Row],[Prio]]="",9,N(Items[[#This Row],[Prio]]))*10+(IF(Items[[#This Row],[State]]="DONE",1,0)))*100000+ROW(),"")</f>
      </c>
      <c r="X28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84" s="17">
        <f>IF(AND(Items[[#This Row],[State]]="DONE",N(Items[[#This Row],[Done on]])&gt;AsOf-7),(200000-N(Items[[#This Row],[Done on]]))*100000+ROW(),"")</f>
      </c>
    </row>
    <row r="285">
      <c r="A285" t="s">
        <v>452</v>
      </c>
      <c r="B285" t="s">
        <v>1501</v>
      </c>
      <c r="C285" t="s">
        <v>1107</v>
      </c>
      <c r="D285" t="s">
        <v>1123</v>
      </c>
      <c r="E285" t="s">
        <v>1159</v>
      </c>
      <c r="F285" t="s">
        <v>1211</v>
      </c>
      <c r="G285">
        <v>5</v>
      </c>
      <c r="H285">
        <v>2</v>
      </c>
      <c r="I285" s="11">
        <v>46119</v>
      </c>
      <c r="J285" s="17">
        <f>IF(Items[[#This Row],[ID]]="","",IFERROR(VALUE(LOOKUP(2,1/((Log[ID]=Items[[#This Row],[ID]])*(Log[Verb]="est")),Log[Arg])),N(Items[[#This Row],[Points]])))</f>
      </c>
      <c r="K285" s="17">
        <f>IF(Items[[#This Row],[ID]]="","",IFERROR(LOOKUP(2,1/((Log[ID]=Items[[#This Row],[ID]])*(Log[Verb]="pass")),Log[Arg])&amp;"",Items[[#This Row],[Team]]&amp;""))</f>
      </c>
      <c r="L285" s="17">
        <f>IF(Items[[#This Row],[ID]]="","",IFERROR(LOOKUP(2,1/((Log[ID]=Items[[#This Row],[ID]])*(Log[Into]&lt;&gt;"")),Log[Into]),""))</f>
      </c>
      <c r="M285" s="17">
        <f>IF(Items[[#This Row],[ID]]="","",IF(IFERROR(LOOKUP(2,1/((Log[ID]=Items[[#This Row],[ID]])*(Log[Blk]&lt;&gt;"")),Log[Blk]),0)=1,"Y",""))</f>
      </c>
      <c r="N285" s="17">
        <f>IF(Items[[#This Row],[ID]]="","",SUBSTITUTE(IFERROR(LOOKUP(2,1/((Log[ID]=Items[[#This Row],[ID]])*(Log[State]&lt;&gt;"")),Log[State]),"TODO"),"OPEN",IF(Items[[#This Row],[Blocked]]="Y","WAIT","OPEN")))</f>
      </c>
      <c r="O28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85" s="17">
        <f>IF(Items[[#This Row],[State]]&lt;&gt;"WAIT","",AsOf-Items[[#This Row],[Blocked since]])</f>
      </c>
      <c r="Q285" s="17">
        <f>IF(Items[[#This Row],[State]]&lt;&gt;"WAIT","",IFERROR(LOOKUP(2,1/((Log[ID]=Items[[#This Row],[ID]])*(Log[Verb]="block")),Log[Note])&amp;"",""))</f>
      </c>
      <c r="R285" s="17">
        <f>IF(Items[[#This Row],[ID]]="","",COUNTIFS(Log[ID],Items[[#This Row],[ID]],Log[Verb],"carry"))</f>
      </c>
      <c r="S285" s="17">
        <f>IF(Items[[#This Row],[ID]]="","",COUNTIFS(Log[ID],Items[[#This Row],[ID]],Log[Verb],"punt"))</f>
      </c>
      <c r="T285" s="11">
        <f>IF(Items[[#This Row],[State]]&lt;&gt;"DONE","",IFERROR(LOOKUP(2,1/((Log[ID]=Items[[#This Row],[ID]])*(Log[Verb]="done")),Log[Date]),""))</f>
      </c>
      <c r="U285" s="17">
        <f>IF(Items[[#This Row],[ID]]="","",IF(AND(Items[[#This Row],[Sprint]]=CurSprint,OR(Items[[#This Row],[State]]="OPEN",Items[[#This Row],[State]]="WAIT",Items[[#This Row],[State]]="HOLD",Items[[#This Row],[State]]="DONE")),1,0))</f>
      </c>
      <c r="V285" s="17">
        <f>IF(OR(Items[[#This Row],[ID]]="",Items[[#This Row],[Added]]=""),"",AsOf-Items[[#This Row],[Added]])</f>
      </c>
      <c r="W285" s="17">
        <f>IF(Items[[#This Row],[In sprint]]=1,(IF(Items[[#This Row],[Prio]]="",9,N(Items[[#This Row],[Prio]]))*10+(IF(Items[[#This Row],[State]]="DONE",1,0)))*100000+ROW(),"")</f>
      </c>
      <c r="X28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85" s="17">
        <f>IF(AND(Items[[#This Row],[State]]="DONE",N(Items[[#This Row],[Done on]])&gt;AsOf-7),(200000-N(Items[[#This Row],[Done on]]))*100000+ROW(),"")</f>
      </c>
    </row>
    <row r="286">
      <c r="A286" t="s">
        <v>453</v>
      </c>
      <c r="B286" t="s">
        <v>1502</v>
      </c>
      <c r="C286" t="s">
        <v>1115</v>
      </c>
      <c r="D286" t="s">
        <v>1116</v>
      </c>
      <c r="E286" t="s">
        <v>1159</v>
      </c>
      <c r="F286" t="s">
        <v>1439</v>
      </c>
      <c r="G286">
        <v>3</v>
      </c>
      <c r="H286">
        <v>1</v>
      </c>
      <c r="I286" s="11">
        <v>46119</v>
      </c>
      <c r="J286" s="17">
        <f>IF(Items[[#This Row],[ID]]="","",IFERROR(VALUE(LOOKUP(2,1/((Log[ID]=Items[[#This Row],[ID]])*(Log[Verb]="est")),Log[Arg])),N(Items[[#This Row],[Points]])))</f>
      </c>
      <c r="K286" s="17">
        <f>IF(Items[[#This Row],[ID]]="","",IFERROR(LOOKUP(2,1/((Log[ID]=Items[[#This Row],[ID]])*(Log[Verb]="pass")),Log[Arg])&amp;"",Items[[#This Row],[Team]]&amp;""))</f>
      </c>
      <c r="L286" s="17">
        <f>IF(Items[[#This Row],[ID]]="","",IFERROR(LOOKUP(2,1/((Log[ID]=Items[[#This Row],[ID]])*(Log[Into]&lt;&gt;"")),Log[Into]),""))</f>
      </c>
      <c r="M286" s="17">
        <f>IF(Items[[#This Row],[ID]]="","",IF(IFERROR(LOOKUP(2,1/((Log[ID]=Items[[#This Row],[ID]])*(Log[Blk]&lt;&gt;"")),Log[Blk]),0)=1,"Y",""))</f>
      </c>
      <c r="N286" s="17">
        <f>IF(Items[[#This Row],[ID]]="","",SUBSTITUTE(IFERROR(LOOKUP(2,1/((Log[ID]=Items[[#This Row],[ID]])*(Log[State]&lt;&gt;"")),Log[State]),"TODO"),"OPEN",IF(Items[[#This Row],[Blocked]]="Y","WAIT","OPEN")))</f>
      </c>
      <c r="O28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86" s="17">
        <f>IF(Items[[#This Row],[State]]&lt;&gt;"WAIT","",AsOf-Items[[#This Row],[Blocked since]])</f>
      </c>
      <c r="Q286" s="17">
        <f>IF(Items[[#This Row],[State]]&lt;&gt;"WAIT","",IFERROR(LOOKUP(2,1/((Log[ID]=Items[[#This Row],[ID]])*(Log[Verb]="block")),Log[Note])&amp;"",""))</f>
      </c>
      <c r="R286" s="17">
        <f>IF(Items[[#This Row],[ID]]="","",COUNTIFS(Log[ID],Items[[#This Row],[ID]],Log[Verb],"carry"))</f>
      </c>
      <c r="S286" s="17">
        <f>IF(Items[[#This Row],[ID]]="","",COUNTIFS(Log[ID],Items[[#This Row],[ID]],Log[Verb],"punt"))</f>
      </c>
      <c r="T286" s="11">
        <f>IF(Items[[#This Row],[State]]&lt;&gt;"DONE","",IFERROR(LOOKUP(2,1/((Log[ID]=Items[[#This Row],[ID]])*(Log[Verb]="done")),Log[Date]),""))</f>
      </c>
      <c r="U286" s="17">
        <f>IF(Items[[#This Row],[ID]]="","",IF(AND(Items[[#This Row],[Sprint]]=CurSprint,OR(Items[[#This Row],[State]]="OPEN",Items[[#This Row],[State]]="WAIT",Items[[#This Row],[State]]="HOLD",Items[[#This Row],[State]]="DONE")),1,0))</f>
      </c>
      <c r="V286" s="17">
        <f>IF(OR(Items[[#This Row],[ID]]="",Items[[#This Row],[Added]]=""),"",AsOf-Items[[#This Row],[Added]])</f>
      </c>
      <c r="W286" s="17">
        <f>IF(Items[[#This Row],[In sprint]]=1,(IF(Items[[#This Row],[Prio]]="",9,N(Items[[#This Row],[Prio]]))*10+(IF(Items[[#This Row],[State]]="DONE",1,0)))*100000+ROW(),"")</f>
      </c>
      <c r="X28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86" s="17">
        <f>IF(AND(Items[[#This Row],[State]]="DONE",N(Items[[#This Row],[Done on]])&gt;AsOf-7),(200000-N(Items[[#This Row],[Done on]]))*100000+ROW(),"")</f>
      </c>
    </row>
    <row r="287">
      <c r="A287" t="s">
        <v>404</v>
      </c>
      <c r="B287" t="s">
        <v>1503</v>
      </c>
      <c r="C287" t="s">
        <v>1107</v>
      </c>
      <c r="D287" t="s">
        <v>1123</v>
      </c>
      <c r="E287" t="s">
        <v>1128</v>
      </c>
      <c r="F287" t="s">
        <v>1217</v>
      </c>
      <c r="G287">
        <v>2</v>
      </c>
      <c r="H287">
        <v>3</v>
      </c>
      <c r="I287" s="11">
        <v>46119</v>
      </c>
      <c r="J287" s="17">
        <f>IF(Items[[#This Row],[ID]]="","",IFERROR(VALUE(LOOKUP(2,1/((Log[ID]=Items[[#This Row],[ID]])*(Log[Verb]="est")),Log[Arg])),N(Items[[#This Row],[Points]])))</f>
      </c>
      <c r="K287" s="17">
        <f>IF(Items[[#This Row],[ID]]="","",IFERROR(LOOKUP(2,1/((Log[ID]=Items[[#This Row],[ID]])*(Log[Verb]="pass")),Log[Arg])&amp;"",Items[[#This Row],[Team]]&amp;""))</f>
      </c>
      <c r="L287" s="17">
        <f>IF(Items[[#This Row],[ID]]="","",IFERROR(LOOKUP(2,1/((Log[ID]=Items[[#This Row],[ID]])*(Log[Into]&lt;&gt;"")),Log[Into]),""))</f>
      </c>
      <c r="M287" s="17">
        <f>IF(Items[[#This Row],[ID]]="","",IF(IFERROR(LOOKUP(2,1/((Log[ID]=Items[[#This Row],[ID]])*(Log[Blk]&lt;&gt;"")),Log[Blk]),0)=1,"Y",""))</f>
      </c>
      <c r="N287" s="17">
        <f>IF(Items[[#This Row],[ID]]="","",SUBSTITUTE(IFERROR(LOOKUP(2,1/((Log[ID]=Items[[#This Row],[ID]])*(Log[State]&lt;&gt;"")),Log[State]),"TODO"),"OPEN",IF(Items[[#This Row],[Blocked]]="Y","WAIT","OPEN")))</f>
      </c>
      <c r="O28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87" s="17">
        <f>IF(Items[[#This Row],[State]]&lt;&gt;"WAIT","",AsOf-Items[[#This Row],[Blocked since]])</f>
      </c>
      <c r="Q287" s="17">
        <f>IF(Items[[#This Row],[State]]&lt;&gt;"WAIT","",IFERROR(LOOKUP(2,1/((Log[ID]=Items[[#This Row],[ID]])*(Log[Verb]="block")),Log[Note])&amp;"",""))</f>
      </c>
      <c r="R287" s="17">
        <f>IF(Items[[#This Row],[ID]]="","",COUNTIFS(Log[ID],Items[[#This Row],[ID]],Log[Verb],"carry"))</f>
      </c>
      <c r="S287" s="17">
        <f>IF(Items[[#This Row],[ID]]="","",COUNTIFS(Log[ID],Items[[#This Row],[ID]],Log[Verb],"punt"))</f>
      </c>
      <c r="T287" s="11">
        <f>IF(Items[[#This Row],[State]]&lt;&gt;"DONE","",IFERROR(LOOKUP(2,1/((Log[ID]=Items[[#This Row],[ID]])*(Log[Verb]="done")),Log[Date]),""))</f>
      </c>
      <c r="U287" s="17">
        <f>IF(Items[[#This Row],[ID]]="","",IF(AND(Items[[#This Row],[Sprint]]=CurSprint,OR(Items[[#This Row],[State]]="OPEN",Items[[#This Row],[State]]="WAIT",Items[[#This Row],[State]]="HOLD",Items[[#This Row],[State]]="DONE")),1,0))</f>
      </c>
      <c r="V287" s="17">
        <f>IF(OR(Items[[#This Row],[ID]]="",Items[[#This Row],[Added]]=""),"",AsOf-Items[[#This Row],[Added]])</f>
      </c>
      <c r="W287" s="17">
        <f>IF(Items[[#This Row],[In sprint]]=1,(IF(Items[[#This Row],[Prio]]="",9,N(Items[[#This Row],[Prio]]))*10+(IF(Items[[#This Row],[State]]="DONE",1,0)))*100000+ROW(),"")</f>
      </c>
      <c r="X28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87" s="17">
        <f>IF(AND(Items[[#This Row],[State]]="DONE",N(Items[[#This Row],[Done on]])&gt;AsOf-7),(200000-N(Items[[#This Row],[Done on]]))*100000+ROW(),"")</f>
      </c>
    </row>
    <row r="288">
      <c r="A288" t="s">
        <v>454</v>
      </c>
      <c r="B288" t="s">
        <v>1504</v>
      </c>
      <c r="C288" t="s">
        <v>1107</v>
      </c>
      <c r="D288" t="s">
        <v>1108</v>
      </c>
      <c r="E288" t="s">
        <v>1128</v>
      </c>
      <c r="F288" t="s">
        <v>1162</v>
      </c>
      <c r="G288">
        <v>8</v>
      </c>
      <c r="H288">
        <v>2</v>
      </c>
      <c r="I288" s="11">
        <v>46119</v>
      </c>
      <c r="J288" s="17">
        <f>IF(Items[[#This Row],[ID]]="","",IFERROR(VALUE(LOOKUP(2,1/((Log[ID]=Items[[#This Row],[ID]])*(Log[Verb]="est")),Log[Arg])),N(Items[[#This Row],[Points]])))</f>
      </c>
      <c r="K288" s="17">
        <f>IF(Items[[#This Row],[ID]]="","",IFERROR(LOOKUP(2,1/((Log[ID]=Items[[#This Row],[ID]])*(Log[Verb]="pass")),Log[Arg])&amp;"",Items[[#This Row],[Team]]&amp;""))</f>
      </c>
      <c r="L288" s="17">
        <f>IF(Items[[#This Row],[ID]]="","",IFERROR(LOOKUP(2,1/((Log[ID]=Items[[#This Row],[ID]])*(Log[Into]&lt;&gt;"")),Log[Into]),""))</f>
      </c>
      <c r="M288" s="17">
        <f>IF(Items[[#This Row],[ID]]="","",IF(IFERROR(LOOKUP(2,1/((Log[ID]=Items[[#This Row],[ID]])*(Log[Blk]&lt;&gt;"")),Log[Blk]),0)=1,"Y",""))</f>
      </c>
      <c r="N288" s="17">
        <f>IF(Items[[#This Row],[ID]]="","",SUBSTITUTE(IFERROR(LOOKUP(2,1/((Log[ID]=Items[[#This Row],[ID]])*(Log[State]&lt;&gt;"")),Log[State]),"TODO"),"OPEN",IF(Items[[#This Row],[Blocked]]="Y","WAIT","OPEN")))</f>
      </c>
      <c r="O28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88" s="17">
        <f>IF(Items[[#This Row],[State]]&lt;&gt;"WAIT","",AsOf-Items[[#This Row],[Blocked since]])</f>
      </c>
      <c r="Q288" s="17">
        <f>IF(Items[[#This Row],[State]]&lt;&gt;"WAIT","",IFERROR(LOOKUP(2,1/((Log[ID]=Items[[#This Row],[ID]])*(Log[Verb]="block")),Log[Note])&amp;"",""))</f>
      </c>
      <c r="R288" s="17">
        <f>IF(Items[[#This Row],[ID]]="","",COUNTIFS(Log[ID],Items[[#This Row],[ID]],Log[Verb],"carry"))</f>
      </c>
      <c r="S288" s="17">
        <f>IF(Items[[#This Row],[ID]]="","",COUNTIFS(Log[ID],Items[[#This Row],[ID]],Log[Verb],"punt"))</f>
      </c>
      <c r="T288" s="11">
        <f>IF(Items[[#This Row],[State]]&lt;&gt;"DONE","",IFERROR(LOOKUP(2,1/((Log[ID]=Items[[#This Row],[ID]])*(Log[Verb]="done")),Log[Date]),""))</f>
      </c>
      <c r="U288" s="17">
        <f>IF(Items[[#This Row],[ID]]="","",IF(AND(Items[[#This Row],[Sprint]]=CurSprint,OR(Items[[#This Row],[State]]="OPEN",Items[[#This Row],[State]]="WAIT",Items[[#This Row],[State]]="HOLD",Items[[#This Row],[State]]="DONE")),1,0))</f>
      </c>
      <c r="V288" s="17">
        <f>IF(OR(Items[[#This Row],[ID]]="",Items[[#This Row],[Added]]=""),"",AsOf-Items[[#This Row],[Added]])</f>
      </c>
      <c r="W288" s="17">
        <f>IF(Items[[#This Row],[In sprint]]=1,(IF(Items[[#This Row],[Prio]]="",9,N(Items[[#This Row],[Prio]]))*10+(IF(Items[[#This Row],[State]]="DONE",1,0)))*100000+ROW(),"")</f>
      </c>
      <c r="X28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88" s="17">
        <f>IF(AND(Items[[#This Row],[State]]="DONE",N(Items[[#This Row],[Done on]])&gt;AsOf-7),(200000-N(Items[[#This Row],[Done on]]))*100000+ROW(),"")</f>
      </c>
    </row>
    <row r="289">
      <c r="A289" t="s">
        <v>455</v>
      </c>
      <c r="B289" t="s">
        <v>1505</v>
      </c>
      <c r="C289" t="s">
        <v>1107</v>
      </c>
      <c r="D289" t="s">
        <v>1108</v>
      </c>
      <c r="E289" t="s">
        <v>1128</v>
      </c>
      <c r="F289" t="s">
        <v>1162</v>
      </c>
      <c r="G289">
        <v>3</v>
      </c>
      <c r="H289">
        <v>3</v>
      </c>
      <c r="I289" s="11">
        <v>46119</v>
      </c>
      <c r="J289" s="17">
        <f>IF(Items[[#This Row],[ID]]="","",IFERROR(VALUE(LOOKUP(2,1/((Log[ID]=Items[[#This Row],[ID]])*(Log[Verb]="est")),Log[Arg])),N(Items[[#This Row],[Points]])))</f>
      </c>
      <c r="K289" s="17">
        <f>IF(Items[[#This Row],[ID]]="","",IFERROR(LOOKUP(2,1/((Log[ID]=Items[[#This Row],[ID]])*(Log[Verb]="pass")),Log[Arg])&amp;"",Items[[#This Row],[Team]]&amp;""))</f>
      </c>
      <c r="L289" s="17">
        <f>IF(Items[[#This Row],[ID]]="","",IFERROR(LOOKUP(2,1/((Log[ID]=Items[[#This Row],[ID]])*(Log[Into]&lt;&gt;"")),Log[Into]),""))</f>
      </c>
      <c r="M289" s="17">
        <f>IF(Items[[#This Row],[ID]]="","",IF(IFERROR(LOOKUP(2,1/((Log[ID]=Items[[#This Row],[ID]])*(Log[Blk]&lt;&gt;"")),Log[Blk]),0)=1,"Y",""))</f>
      </c>
      <c r="N289" s="17">
        <f>IF(Items[[#This Row],[ID]]="","",SUBSTITUTE(IFERROR(LOOKUP(2,1/((Log[ID]=Items[[#This Row],[ID]])*(Log[State]&lt;&gt;"")),Log[State]),"TODO"),"OPEN",IF(Items[[#This Row],[Blocked]]="Y","WAIT","OPEN")))</f>
      </c>
      <c r="O28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89" s="17">
        <f>IF(Items[[#This Row],[State]]&lt;&gt;"WAIT","",AsOf-Items[[#This Row],[Blocked since]])</f>
      </c>
      <c r="Q289" s="17">
        <f>IF(Items[[#This Row],[State]]&lt;&gt;"WAIT","",IFERROR(LOOKUP(2,1/((Log[ID]=Items[[#This Row],[ID]])*(Log[Verb]="block")),Log[Note])&amp;"",""))</f>
      </c>
      <c r="R289" s="17">
        <f>IF(Items[[#This Row],[ID]]="","",COUNTIFS(Log[ID],Items[[#This Row],[ID]],Log[Verb],"carry"))</f>
      </c>
      <c r="S289" s="17">
        <f>IF(Items[[#This Row],[ID]]="","",COUNTIFS(Log[ID],Items[[#This Row],[ID]],Log[Verb],"punt"))</f>
      </c>
      <c r="T289" s="11">
        <f>IF(Items[[#This Row],[State]]&lt;&gt;"DONE","",IFERROR(LOOKUP(2,1/((Log[ID]=Items[[#This Row],[ID]])*(Log[Verb]="done")),Log[Date]),""))</f>
      </c>
      <c r="U289" s="17">
        <f>IF(Items[[#This Row],[ID]]="","",IF(AND(Items[[#This Row],[Sprint]]=CurSprint,OR(Items[[#This Row],[State]]="OPEN",Items[[#This Row],[State]]="WAIT",Items[[#This Row],[State]]="HOLD",Items[[#This Row],[State]]="DONE")),1,0))</f>
      </c>
      <c r="V289" s="17">
        <f>IF(OR(Items[[#This Row],[ID]]="",Items[[#This Row],[Added]]=""),"",AsOf-Items[[#This Row],[Added]])</f>
      </c>
      <c r="W289" s="17">
        <f>IF(Items[[#This Row],[In sprint]]=1,(IF(Items[[#This Row],[Prio]]="",9,N(Items[[#This Row],[Prio]]))*10+(IF(Items[[#This Row],[State]]="DONE",1,0)))*100000+ROW(),"")</f>
      </c>
      <c r="X28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89" s="17">
        <f>IF(AND(Items[[#This Row],[State]]="DONE",N(Items[[#This Row],[Done on]])&gt;AsOf-7),(200000-N(Items[[#This Row],[Done on]]))*100000+ROW(),"")</f>
      </c>
    </row>
    <row r="290">
      <c r="A290" t="s">
        <v>456</v>
      </c>
      <c r="B290" t="s">
        <v>1506</v>
      </c>
      <c r="C290" t="s">
        <v>1115</v>
      </c>
      <c r="D290" t="s">
        <v>1119</v>
      </c>
      <c r="E290" t="s">
        <v>1128</v>
      </c>
      <c r="F290" t="s">
        <v>1360</v>
      </c>
      <c r="G290">
        <v>3</v>
      </c>
      <c r="H290">
        <v>2</v>
      </c>
      <c r="I290" s="11">
        <v>46119</v>
      </c>
      <c r="J290" s="17">
        <f>IF(Items[[#This Row],[ID]]="","",IFERROR(VALUE(LOOKUP(2,1/((Log[ID]=Items[[#This Row],[ID]])*(Log[Verb]="est")),Log[Arg])),N(Items[[#This Row],[Points]])))</f>
      </c>
      <c r="K290" s="17">
        <f>IF(Items[[#This Row],[ID]]="","",IFERROR(LOOKUP(2,1/((Log[ID]=Items[[#This Row],[ID]])*(Log[Verb]="pass")),Log[Arg])&amp;"",Items[[#This Row],[Team]]&amp;""))</f>
      </c>
      <c r="L290" s="17">
        <f>IF(Items[[#This Row],[ID]]="","",IFERROR(LOOKUP(2,1/((Log[ID]=Items[[#This Row],[ID]])*(Log[Into]&lt;&gt;"")),Log[Into]),""))</f>
      </c>
      <c r="M290" s="17">
        <f>IF(Items[[#This Row],[ID]]="","",IF(IFERROR(LOOKUP(2,1/((Log[ID]=Items[[#This Row],[ID]])*(Log[Blk]&lt;&gt;"")),Log[Blk]),0)=1,"Y",""))</f>
      </c>
      <c r="N290" s="17">
        <f>IF(Items[[#This Row],[ID]]="","",SUBSTITUTE(IFERROR(LOOKUP(2,1/((Log[ID]=Items[[#This Row],[ID]])*(Log[State]&lt;&gt;"")),Log[State]),"TODO"),"OPEN",IF(Items[[#This Row],[Blocked]]="Y","WAIT","OPEN")))</f>
      </c>
      <c r="O29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90" s="17">
        <f>IF(Items[[#This Row],[State]]&lt;&gt;"WAIT","",AsOf-Items[[#This Row],[Blocked since]])</f>
      </c>
      <c r="Q290" s="17">
        <f>IF(Items[[#This Row],[State]]&lt;&gt;"WAIT","",IFERROR(LOOKUP(2,1/((Log[ID]=Items[[#This Row],[ID]])*(Log[Verb]="block")),Log[Note])&amp;"",""))</f>
      </c>
      <c r="R290" s="17">
        <f>IF(Items[[#This Row],[ID]]="","",COUNTIFS(Log[ID],Items[[#This Row],[ID]],Log[Verb],"carry"))</f>
      </c>
      <c r="S290" s="17">
        <f>IF(Items[[#This Row],[ID]]="","",COUNTIFS(Log[ID],Items[[#This Row],[ID]],Log[Verb],"punt"))</f>
      </c>
      <c r="T290" s="11">
        <f>IF(Items[[#This Row],[State]]&lt;&gt;"DONE","",IFERROR(LOOKUP(2,1/((Log[ID]=Items[[#This Row],[ID]])*(Log[Verb]="done")),Log[Date]),""))</f>
      </c>
      <c r="U290" s="17">
        <f>IF(Items[[#This Row],[ID]]="","",IF(AND(Items[[#This Row],[Sprint]]=CurSprint,OR(Items[[#This Row],[State]]="OPEN",Items[[#This Row],[State]]="WAIT",Items[[#This Row],[State]]="HOLD",Items[[#This Row],[State]]="DONE")),1,0))</f>
      </c>
      <c r="V290" s="17">
        <f>IF(OR(Items[[#This Row],[ID]]="",Items[[#This Row],[Added]]=""),"",AsOf-Items[[#This Row],[Added]])</f>
      </c>
      <c r="W290" s="17">
        <f>IF(Items[[#This Row],[In sprint]]=1,(IF(Items[[#This Row],[Prio]]="",9,N(Items[[#This Row],[Prio]]))*10+(IF(Items[[#This Row],[State]]="DONE",1,0)))*100000+ROW(),"")</f>
      </c>
      <c r="X29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90" s="17">
        <f>IF(AND(Items[[#This Row],[State]]="DONE",N(Items[[#This Row],[Done on]])&gt;AsOf-7),(200000-N(Items[[#This Row],[Done on]]))*100000+ROW(),"")</f>
      </c>
    </row>
    <row r="291">
      <c r="A291" t="s">
        <v>405</v>
      </c>
      <c r="B291" t="s">
        <v>1507</v>
      </c>
      <c r="C291" t="s">
        <v>1115</v>
      </c>
      <c r="D291" t="s">
        <v>1119</v>
      </c>
      <c r="E291" t="s">
        <v>1128</v>
      </c>
      <c r="F291" t="s">
        <v>1217</v>
      </c>
      <c r="G291">
        <v>2</v>
      </c>
      <c r="H291">
        <v>1</v>
      </c>
      <c r="I291" s="11">
        <v>46119</v>
      </c>
      <c r="J291" s="17">
        <f>IF(Items[[#This Row],[ID]]="","",IFERROR(VALUE(LOOKUP(2,1/((Log[ID]=Items[[#This Row],[ID]])*(Log[Verb]="est")),Log[Arg])),N(Items[[#This Row],[Points]])))</f>
      </c>
      <c r="K291" s="17">
        <f>IF(Items[[#This Row],[ID]]="","",IFERROR(LOOKUP(2,1/((Log[ID]=Items[[#This Row],[ID]])*(Log[Verb]="pass")),Log[Arg])&amp;"",Items[[#This Row],[Team]]&amp;""))</f>
      </c>
      <c r="L291" s="17">
        <f>IF(Items[[#This Row],[ID]]="","",IFERROR(LOOKUP(2,1/((Log[ID]=Items[[#This Row],[ID]])*(Log[Into]&lt;&gt;"")),Log[Into]),""))</f>
      </c>
      <c r="M291" s="17">
        <f>IF(Items[[#This Row],[ID]]="","",IF(IFERROR(LOOKUP(2,1/((Log[ID]=Items[[#This Row],[ID]])*(Log[Blk]&lt;&gt;"")),Log[Blk]),0)=1,"Y",""))</f>
      </c>
      <c r="N291" s="17">
        <f>IF(Items[[#This Row],[ID]]="","",SUBSTITUTE(IFERROR(LOOKUP(2,1/((Log[ID]=Items[[#This Row],[ID]])*(Log[State]&lt;&gt;"")),Log[State]),"TODO"),"OPEN",IF(Items[[#This Row],[Blocked]]="Y","WAIT","OPEN")))</f>
      </c>
      <c r="O29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91" s="17">
        <f>IF(Items[[#This Row],[State]]&lt;&gt;"WAIT","",AsOf-Items[[#This Row],[Blocked since]])</f>
      </c>
      <c r="Q291" s="17">
        <f>IF(Items[[#This Row],[State]]&lt;&gt;"WAIT","",IFERROR(LOOKUP(2,1/((Log[ID]=Items[[#This Row],[ID]])*(Log[Verb]="block")),Log[Note])&amp;"",""))</f>
      </c>
      <c r="R291" s="17">
        <f>IF(Items[[#This Row],[ID]]="","",COUNTIFS(Log[ID],Items[[#This Row],[ID]],Log[Verb],"carry"))</f>
      </c>
      <c r="S291" s="17">
        <f>IF(Items[[#This Row],[ID]]="","",COUNTIFS(Log[ID],Items[[#This Row],[ID]],Log[Verb],"punt"))</f>
      </c>
      <c r="T291" s="11">
        <f>IF(Items[[#This Row],[State]]&lt;&gt;"DONE","",IFERROR(LOOKUP(2,1/((Log[ID]=Items[[#This Row],[ID]])*(Log[Verb]="done")),Log[Date]),""))</f>
      </c>
      <c r="U291" s="17">
        <f>IF(Items[[#This Row],[ID]]="","",IF(AND(Items[[#This Row],[Sprint]]=CurSprint,OR(Items[[#This Row],[State]]="OPEN",Items[[#This Row],[State]]="WAIT",Items[[#This Row],[State]]="HOLD",Items[[#This Row],[State]]="DONE")),1,0))</f>
      </c>
      <c r="V291" s="17">
        <f>IF(OR(Items[[#This Row],[ID]]="",Items[[#This Row],[Added]]=""),"",AsOf-Items[[#This Row],[Added]])</f>
      </c>
      <c r="W291" s="17">
        <f>IF(Items[[#This Row],[In sprint]]=1,(IF(Items[[#This Row],[Prio]]="",9,N(Items[[#This Row],[Prio]]))*10+(IF(Items[[#This Row],[State]]="DONE",1,0)))*100000+ROW(),"")</f>
      </c>
      <c r="X29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91" s="17">
        <f>IF(AND(Items[[#This Row],[State]]="DONE",N(Items[[#This Row],[Done on]])&gt;AsOf-7),(200000-N(Items[[#This Row],[Done on]]))*100000+ROW(),"")</f>
      </c>
    </row>
    <row r="292">
      <c r="A292" t="s">
        <v>457</v>
      </c>
      <c r="B292" t="s">
        <v>1508</v>
      </c>
      <c r="C292" t="s">
        <v>1107</v>
      </c>
      <c r="D292" t="s">
        <v>1108</v>
      </c>
      <c r="E292" t="s">
        <v>1128</v>
      </c>
      <c r="F292" t="s">
        <v>1360</v>
      </c>
      <c r="G292">
        <v>8</v>
      </c>
      <c r="H292">
        <v>2</v>
      </c>
      <c r="I292" s="11">
        <v>46119</v>
      </c>
      <c r="J292" s="17">
        <f>IF(Items[[#This Row],[ID]]="","",IFERROR(VALUE(LOOKUP(2,1/((Log[ID]=Items[[#This Row],[ID]])*(Log[Verb]="est")),Log[Arg])),N(Items[[#This Row],[Points]])))</f>
      </c>
      <c r="K292" s="17">
        <f>IF(Items[[#This Row],[ID]]="","",IFERROR(LOOKUP(2,1/((Log[ID]=Items[[#This Row],[ID]])*(Log[Verb]="pass")),Log[Arg])&amp;"",Items[[#This Row],[Team]]&amp;""))</f>
      </c>
      <c r="L292" s="17">
        <f>IF(Items[[#This Row],[ID]]="","",IFERROR(LOOKUP(2,1/((Log[ID]=Items[[#This Row],[ID]])*(Log[Into]&lt;&gt;"")),Log[Into]),""))</f>
      </c>
      <c r="M292" s="17">
        <f>IF(Items[[#This Row],[ID]]="","",IF(IFERROR(LOOKUP(2,1/((Log[ID]=Items[[#This Row],[ID]])*(Log[Blk]&lt;&gt;"")),Log[Blk]),0)=1,"Y",""))</f>
      </c>
      <c r="N292" s="17">
        <f>IF(Items[[#This Row],[ID]]="","",SUBSTITUTE(IFERROR(LOOKUP(2,1/((Log[ID]=Items[[#This Row],[ID]])*(Log[State]&lt;&gt;"")),Log[State]),"TODO"),"OPEN",IF(Items[[#This Row],[Blocked]]="Y","WAIT","OPEN")))</f>
      </c>
      <c r="O29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92" s="17">
        <f>IF(Items[[#This Row],[State]]&lt;&gt;"WAIT","",AsOf-Items[[#This Row],[Blocked since]])</f>
      </c>
      <c r="Q292" s="17">
        <f>IF(Items[[#This Row],[State]]&lt;&gt;"WAIT","",IFERROR(LOOKUP(2,1/((Log[ID]=Items[[#This Row],[ID]])*(Log[Verb]="block")),Log[Note])&amp;"",""))</f>
      </c>
      <c r="R292" s="17">
        <f>IF(Items[[#This Row],[ID]]="","",COUNTIFS(Log[ID],Items[[#This Row],[ID]],Log[Verb],"carry"))</f>
      </c>
      <c r="S292" s="17">
        <f>IF(Items[[#This Row],[ID]]="","",COUNTIFS(Log[ID],Items[[#This Row],[ID]],Log[Verb],"punt"))</f>
      </c>
      <c r="T292" s="11">
        <f>IF(Items[[#This Row],[State]]&lt;&gt;"DONE","",IFERROR(LOOKUP(2,1/((Log[ID]=Items[[#This Row],[ID]])*(Log[Verb]="done")),Log[Date]),""))</f>
      </c>
      <c r="U292" s="17">
        <f>IF(Items[[#This Row],[ID]]="","",IF(AND(Items[[#This Row],[Sprint]]=CurSprint,OR(Items[[#This Row],[State]]="OPEN",Items[[#This Row],[State]]="WAIT",Items[[#This Row],[State]]="HOLD",Items[[#This Row],[State]]="DONE")),1,0))</f>
      </c>
      <c r="V292" s="17">
        <f>IF(OR(Items[[#This Row],[ID]]="",Items[[#This Row],[Added]]=""),"",AsOf-Items[[#This Row],[Added]])</f>
      </c>
      <c r="W292" s="17">
        <f>IF(Items[[#This Row],[In sprint]]=1,(IF(Items[[#This Row],[Prio]]="",9,N(Items[[#This Row],[Prio]]))*10+(IF(Items[[#This Row],[State]]="DONE",1,0)))*100000+ROW(),"")</f>
      </c>
      <c r="X29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92" s="17">
        <f>IF(AND(Items[[#This Row],[State]]="DONE",N(Items[[#This Row],[Done on]])&gt;AsOf-7),(200000-N(Items[[#This Row],[Done on]]))*100000+ROW(),"")</f>
      </c>
    </row>
    <row r="293">
      <c r="A293" t="s">
        <v>409</v>
      </c>
      <c r="B293" t="s">
        <v>1509</v>
      </c>
      <c r="C293" t="s">
        <v>1115</v>
      </c>
      <c r="D293" t="s">
        <v>1119</v>
      </c>
      <c r="E293" t="s">
        <v>1109</v>
      </c>
      <c r="F293" t="s">
        <v>1220</v>
      </c>
      <c r="G293">
        <v>3</v>
      </c>
      <c r="H293">
        <v>1</v>
      </c>
      <c r="I293" s="11">
        <v>46119</v>
      </c>
      <c r="J293" s="17">
        <f>IF(Items[[#This Row],[ID]]="","",IFERROR(VALUE(LOOKUP(2,1/((Log[ID]=Items[[#This Row],[ID]])*(Log[Verb]="est")),Log[Arg])),N(Items[[#This Row],[Points]])))</f>
      </c>
      <c r="K293" s="17">
        <f>IF(Items[[#This Row],[ID]]="","",IFERROR(LOOKUP(2,1/((Log[ID]=Items[[#This Row],[ID]])*(Log[Verb]="pass")),Log[Arg])&amp;"",Items[[#This Row],[Team]]&amp;""))</f>
      </c>
      <c r="L293" s="17">
        <f>IF(Items[[#This Row],[ID]]="","",IFERROR(LOOKUP(2,1/((Log[ID]=Items[[#This Row],[ID]])*(Log[Into]&lt;&gt;"")),Log[Into]),""))</f>
      </c>
      <c r="M293" s="17">
        <f>IF(Items[[#This Row],[ID]]="","",IF(IFERROR(LOOKUP(2,1/((Log[ID]=Items[[#This Row],[ID]])*(Log[Blk]&lt;&gt;"")),Log[Blk]),0)=1,"Y",""))</f>
      </c>
      <c r="N293" s="17">
        <f>IF(Items[[#This Row],[ID]]="","",SUBSTITUTE(IFERROR(LOOKUP(2,1/((Log[ID]=Items[[#This Row],[ID]])*(Log[State]&lt;&gt;"")),Log[State]),"TODO"),"OPEN",IF(Items[[#This Row],[Blocked]]="Y","WAIT","OPEN")))</f>
      </c>
      <c r="O29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93" s="17">
        <f>IF(Items[[#This Row],[State]]&lt;&gt;"WAIT","",AsOf-Items[[#This Row],[Blocked since]])</f>
      </c>
      <c r="Q293" s="17">
        <f>IF(Items[[#This Row],[State]]&lt;&gt;"WAIT","",IFERROR(LOOKUP(2,1/((Log[ID]=Items[[#This Row],[ID]])*(Log[Verb]="block")),Log[Note])&amp;"",""))</f>
      </c>
      <c r="R293" s="17">
        <f>IF(Items[[#This Row],[ID]]="","",COUNTIFS(Log[ID],Items[[#This Row],[ID]],Log[Verb],"carry"))</f>
      </c>
      <c r="S293" s="17">
        <f>IF(Items[[#This Row],[ID]]="","",COUNTIFS(Log[ID],Items[[#This Row],[ID]],Log[Verb],"punt"))</f>
      </c>
      <c r="T293" s="11">
        <f>IF(Items[[#This Row],[State]]&lt;&gt;"DONE","",IFERROR(LOOKUP(2,1/((Log[ID]=Items[[#This Row],[ID]])*(Log[Verb]="done")),Log[Date]),""))</f>
      </c>
      <c r="U293" s="17">
        <f>IF(Items[[#This Row],[ID]]="","",IF(AND(Items[[#This Row],[Sprint]]=CurSprint,OR(Items[[#This Row],[State]]="OPEN",Items[[#This Row],[State]]="WAIT",Items[[#This Row],[State]]="HOLD",Items[[#This Row],[State]]="DONE")),1,0))</f>
      </c>
      <c r="V293" s="17">
        <f>IF(OR(Items[[#This Row],[ID]]="",Items[[#This Row],[Added]]=""),"",AsOf-Items[[#This Row],[Added]])</f>
      </c>
      <c r="W293" s="17">
        <f>IF(Items[[#This Row],[In sprint]]=1,(IF(Items[[#This Row],[Prio]]="",9,N(Items[[#This Row],[Prio]]))*10+(IF(Items[[#This Row],[State]]="DONE",1,0)))*100000+ROW(),"")</f>
      </c>
      <c r="X29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93" s="17">
        <f>IF(AND(Items[[#This Row],[State]]="DONE",N(Items[[#This Row],[Done on]])&gt;AsOf-7),(200000-N(Items[[#This Row],[Done on]]))*100000+ROW(),"")</f>
      </c>
    </row>
    <row r="294">
      <c r="A294" t="s">
        <v>462</v>
      </c>
      <c r="B294" t="s">
        <v>1510</v>
      </c>
      <c r="C294" t="s">
        <v>1107</v>
      </c>
      <c r="D294" t="s">
        <v>1127</v>
      </c>
      <c r="E294" t="s">
        <v>1109</v>
      </c>
      <c r="F294" t="s">
        <v>1511</v>
      </c>
      <c r="G294">
        <v>2</v>
      </c>
      <c r="H294">
        <v>2</v>
      </c>
      <c r="I294" s="11">
        <v>46119</v>
      </c>
      <c r="J294" s="17">
        <f>IF(Items[[#This Row],[ID]]="","",IFERROR(VALUE(LOOKUP(2,1/((Log[ID]=Items[[#This Row],[ID]])*(Log[Verb]="est")),Log[Arg])),N(Items[[#This Row],[Points]])))</f>
      </c>
      <c r="K294" s="17">
        <f>IF(Items[[#This Row],[ID]]="","",IFERROR(LOOKUP(2,1/((Log[ID]=Items[[#This Row],[ID]])*(Log[Verb]="pass")),Log[Arg])&amp;"",Items[[#This Row],[Team]]&amp;""))</f>
      </c>
      <c r="L294" s="17">
        <f>IF(Items[[#This Row],[ID]]="","",IFERROR(LOOKUP(2,1/((Log[ID]=Items[[#This Row],[ID]])*(Log[Into]&lt;&gt;"")),Log[Into]),""))</f>
      </c>
      <c r="M294" s="17">
        <f>IF(Items[[#This Row],[ID]]="","",IF(IFERROR(LOOKUP(2,1/((Log[ID]=Items[[#This Row],[ID]])*(Log[Blk]&lt;&gt;"")),Log[Blk]),0)=1,"Y",""))</f>
      </c>
      <c r="N294" s="17">
        <f>IF(Items[[#This Row],[ID]]="","",SUBSTITUTE(IFERROR(LOOKUP(2,1/((Log[ID]=Items[[#This Row],[ID]])*(Log[State]&lt;&gt;"")),Log[State]),"TODO"),"OPEN",IF(Items[[#This Row],[Blocked]]="Y","WAIT","OPEN")))</f>
      </c>
      <c r="O29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94" s="17">
        <f>IF(Items[[#This Row],[State]]&lt;&gt;"WAIT","",AsOf-Items[[#This Row],[Blocked since]])</f>
      </c>
      <c r="Q294" s="17">
        <f>IF(Items[[#This Row],[State]]&lt;&gt;"WAIT","",IFERROR(LOOKUP(2,1/((Log[ID]=Items[[#This Row],[ID]])*(Log[Verb]="block")),Log[Note])&amp;"",""))</f>
      </c>
      <c r="R294" s="17">
        <f>IF(Items[[#This Row],[ID]]="","",COUNTIFS(Log[ID],Items[[#This Row],[ID]],Log[Verb],"carry"))</f>
      </c>
      <c r="S294" s="17">
        <f>IF(Items[[#This Row],[ID]]="","",COUNTIFS(Log[ID],Items[[#This Row],[ID]],Log[Verb],"punt"))</f>
      </c>
      <c r="T294" s="11">
        <f>IF(Items[[#This Row],[State]]&lt;&gt;"DONE","",IFERROR(LOOKUP(2,1/((Log[ID]=Items[[#This Row],[ID]])*(Log[Verb]="done")),Log[Date]),""))</f>
      </c>
      <c r="U294" s="17">
        <f>IF(Items[[#This Row],[ID]]="","",IF(AND(Items[[#This Row],[Sprint]]=CurSprint,OR(Items[[#This Row],[State]]="OPEN",Items[[#This Row],[State]]="WAIT",Items[[#This Row],[State]]="HOLD",Items[[#This Row],[State]]="DONE")),1,0))</f>
      </c>
      <c r="V294" s="17">
        <f>IF(OR(Items[[#This Row],[ID]]="",Items[[#This Row],[Added]]=""),"",AsOf-Items[[#This Row],[Added]])</f>
      </c>
      <c r="W294" s="17">
        <f>IF(Items[[#This Row],[In sprint]]=1,(IF(Items[[#This Row],[Prio]]="",9,N(Items[[#This Row],[Prio]]))*10+(IF(Items[[#This Row],[State]]="DONE",1,0)))*100000+ROW(),"")</f>
      </c>
      <c r="X29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94" s="17">
        <f>IF(AND(Items[[#This Row],[State]]="DONE",N(Items[[#This Row],[Done on]])&gt;AsOf-7),(200000-N(Items[[#This Row],[Done on]]))*100000+ROW(),"")</f>
      </c>
    </row>
    <row r="295">
      <c r="A295" t="s">
        <v>463</v>
      </c>
      <c r="B295" t="s">
        <v>1512</v>
      </c>
      <c r="C295" t="s">
        <v>1115</v>
      </c>
      <c r="D295" t="s">
        <v>1119</v>
      </c>
      <c r="E295" t="s">
        <v>1109</v>
      </c>
      <c r="F295" t="s">
        <v>1110</v>
      </c>
      <c r="G295">
        <v>2</v>
      </c>
      <c r="H295">
        <v>2</v>
      </c>
      <c r="I295" s="11">
        <v>46119</v>
      </c>
      <c r="J295" s="17">
        <f>IF(Items[[#This Row],[ID]]="","",IFERROR(VALUE(LOOKUP(2,1/((Log[ID]=Items[[#This Row],[ID]])*(Log[Verb]="est")),Log[Arg])),N(Items[[#This Row],[Points]])))</f>
      </c>
      <c r="K295" s="17">
        <f>IF(Items[[#This Row],[ID]]="","",IFERROR(LOOKUP(2,1/((Log[ID]=Items[[#This Row],[ID]])*(Log[Verb]="pass")),Log[Arg])&amp;"",Items[[#This Row],[Team]]&amp;""))</f>
      </c>
      <c r="L295" s="17">
        <f>IF(Items[[#This Row],[ID]]="","",IFERROR(LOOKUP(2,1/((Log[ID]=Items[[#This Row],[ID]])*(Log[Into]&lt;&gt;"")),Log[Into]),""))</f>
      </c>
      <c r="M295" s="17">
        <f>IF(Items[[#This Row],[ID]]="","",IF(IFERROR(LOOKUP(2,1/((Log[ID]=Items[[#This Row],[ID]])*(Log[Blk]&lt;&gt;"")),Log[Blk]),0)=1,"Y",""))</f>
      </c>
      <c r="N295" s="17">
        <f>IF(Items[[#This Row],[ID]]="","",SUBSTITUTE(IFERROR(LOOKUP(2,1/((Log[ID]=Items[[#This Row],[ID]])*(Log[State]&lt;&gt;"")),Log[State]),"TODO"),"OPEN",IF(Items[[#This Row],[Blocked]]="Y","WAIT","OPEN")))</f>
      </c>
      <c r="O29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95" s="17">
        <f>IF(Items[[#This Row],[State]]&lt;&gt;"WAIT","",AsOf-Items[[#This Row],[Blocked since]])</f>
      </c>
      <c r="Q295" s="17">
        <f>IF(Items[[#This Row],[State]]&lt;&gt;"WAIT","",IFERROR(LOOKUP(2,1/((Log[ID]=Items[[#This Row],[ID]])*(Log[Verb]="block")),Log[Note])&amp;"",""))</f>
      </c>
      <c r="R295" s="17">
        <f>IF(Items[[#This Row],[ID]]="","",COUNTIFS(Log[ID],Items[[#This Row],[ID]],Log[Verb],"carry"))</f>
      </c>
      <c r="S295" s="17">
        <f>IF(Items[[#This Row],[ID]]="","",COUNTIFS(Log[ID],Items[[#This Row],[ID]],Log[Verb],"punt"))</f>
      </c>
      <c r="T295" s="11">
        <f>IF(Items[[#This Row],[State]]&lt;&gt;"DONE","",IFERROR(LOOKUP(2,1/((Log[ID]=Items[[#This Row],[ID]])*(Log[Verb]="done")),Log[Date]),""))</f>
      </c>
      <c r="U295" s="17">
        <f>IF(Items[[#This Row],[ID]]="","",IF(AND(Items[[#This Row],[Sprint]]=CurSprint,OR(Items[[#This Row],[State]]="OPEN",Items[[#This Row],[State]]="WAIT",Items[[#This Row],[State]]="HOLD",Items[[#This Row],[State]]="DONE")),1,0))</f>
      </c>
      <c r="V295" s="17">
        <f>IF(OR(Items[[#This Row],[ID]]="",Items[[#This Row],[Added]]=""),"",AsOf-Items[[#This Row],[Added]])</f>
      </c>
      <c r="W295" s="17">
        <f>IF(Items[[#This Row],[In sprint]]=1,(IF(Items[[#This Row],[Prio]]="",9,N(Items[[#This Row],[Prio]]))*10+(IF(Items[[#This Row],[State]]="DONE",1,0)))*100000+ROW(),"")</f>
      </c>
      <c r="X29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95" s="17">
        <f>IF(AND(Items[[#This Row],[State]]="DONE",N(Items[[#This Row],[Done on]])&gt;AsOf-7),(200000-N(Items[[#This Row],[Done on]]))*100000+ROW(),"")</f>
      </c>
    </row>
    <row r="296">
      <c r="A296" t="s">
        <v>464</v>
      </c>
      <c r="B296" t="s">
        <v>1513</v>
      </c>
      <c r="C296" t="s">
        <v>1115</v>
      </c>
      <c r="D296" t="s">
        <v>1119</v>
      </c>
      <c r="E296" t="s">
        <v>1109</v>
      </c>
      <c r="F296" t="s">
        <v>1511</v>
      </c>
      <c r="G296">
        <v>3</v>
      </c>
      <c r="H296">
        <v>2</v>
      </c>
      <c r="I296" s="11">
        <v>46119</v>
      </c>
      <c r="J296" s="17">
        <f>IF(Items[[#This Row],[ID]]="","",IFERROR(VALUE(LOOKUP(2,1/((Log[ID]=Items[[#This Row],[ID]])*(Log[Verb]="est")),Log[Arg])),N(Items[[#This Row],[Points]])))</f>
      </c>
      <c r="K296" s="17">
        <f>IF(Items[[#This Row],[ID]]="","",IFERROR(LOOKUP(2,1/((Log[ID]=Items[[#This Row],[ID]])*(Log[Verb]="pass")),Log[Arg])&amp;"",Items[[#This Row],[Team]]&amp;""))</f>
      </c>
      <c r="L296" s="17">
        <f>IF(Items[[#This Row],[ID]]="","",IFERROR(LOOKUP(2,1/((Log[ID]=Items[[#This Row],[ID]])*(Log[Into]&lt;&gt;"")),Log[Into]),""))</f>
      </c>
      <c r="M296" s="17">
        <f>IF(Items[[#This Row],[ID]]="","",IF(IFERROR(LOOKUP(2,1/((Log[ID]=Items[[#This Row],[ID]])*(Log[Blk]&lt;&gt;"")),Log[Blk]),0)=1,"Y",""))</f>
      </c>
      <c r="N296" s="17">
        <f>IF(Items[[#This Row],[ID]]="","",SUBSTITUTE(IFERROR(LOOKUP(2,1/((Log[ID]=Items[[#This Row],[ID]])*(Log[State]&lt;&gt;"")),Log[State]),"TODO"),"OPEN",IF(Items[[#This Row],[Blocked]]="Y","WAIT","OPEN")))</f>
      </c>
      <c r="O29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96" s="17">
        <f>IF(Items[[#This Row],[State]]&lt;&gt;"WAIT","",AsOf-Items[[#This Row],[Blocked since]])</f>
      </c>
      <c r="Q296" s="17">
        <f>IF(Items[[#This Row],[State]]&lt;&gt;"WAIT","",IFERROR(LOOKUP(2,1/((Log[ID]=Items[[#This Row],[ID]])*(Log[Verb]="block")),Log[Note])&amp;"",""))</f>
      </c>
      <c r="R296" s="17">
        <f>IF(Items[[#This Row],[ID]]="","",COUNTIFS(Log[ID],Items[[#This Row],[ID]],Log[Verb],"carry"))</f>
      </c>
      <c r="S296" s="17">
        <f>IF(Items[[#This Row],[ID]]="","",COUNTIFS(Log[ID],Items[[#This Row],[ID]],Log[Verb],"punt"))</f>
      </c>
      <c r="T296" s="11">
        <f>IF(Items[[#This Row],[State]]&lt;&gt;"DONE","",IFERROR(LOOKUP(2,1/((Log[ID]=Items[[#This Row],[ID]])*(Log[Verb]="done")),Log[Date]),""))</f>
      </c>
      <c r="U296" s="17">
        <f>IF(Items[[#This Row],[ID]]="","",IF(AND(Items[[#This Row],[Sprint]]=CurSprint,OR(Items[[#This Row],[State]]="OPEN",Items[[#This Row],[State]]="WAIT",Items[[#This Row],[State]]="HOLD",Items[[#This Row],[State]]="DONE")),1,0))</f>
      </c>
      <c r="V296" s="17">
        <f>IF(OR(Items[[#This Row],[ID]]="",Items[[#This Row],[Added]]=""),"",AsOf-Items[[#This Row],[Added]])</f>
      </c>
      <c r="W296" s="17">
        <f>IF(Items[[#This Row],[In sprint]]=1,(IF(Items[[#This Row],[Prio]]="",9,N(Items[[#This Row],[Prio]]))*10+(IF(Items[[#This Row],[State]]="DONE",1,0)))*100000+ROW(),"")</f>
      </c>
      <c r="X29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96" s="17">
        <f>IF(AND(Items[[#This Row],[State]]="DONE",N(Items[[#This Row],[Done on]])&gt;AsOf-7),(200000-N(Items[[#This Row],[Done on]]))*100000+ROW(),"")</f>
      </c>
    </row>
    <row r="297">
      <c r="A297" t="s">
        <v>465</v>
      </c>
      <c r="B297" t="s">
        <v>1514</v>
      </c>
      <c r="C297" t="s">
        <v>1107</v>
      </c>
      <c r="D297" t="s">
        <v>1123</v>
      </c>
      <c r="E297" t="s">
        <v>1109</v>
      </c>
      <c r="F297" t="s">
        <v>1302</v>
      </c>
      <c r="G297">
        <v>5</v>
      </c>
      <c r="H297">
        <v>2</v>
      </c>
      <c r="I297" s="11">
        <v>46119</v>
      </c>
      <c r="J297" s="17">
        <f>IF(Items[[#This Row],[ID]]="","",IFERROR(VALUE(LOOKUP(2,1/((Log[ID]=Items[[#This Row],[ID]])*(Log[Verb]="est")),Log[Arg])),N(Items[[#This Row],[Points]])))</f>
      </c>
      <c r="K297" s="17">
        <f>IF(Items[[#This Row],[ID]]="","",IFERROR(LOOKUP(2,1/((Log[ID]=Items[[#This Row],[ID]])*(Log[Verb]="pass")),Log[Arg])&amp;"",Items[[#This Row],[Team]]&amp;""))</f>
      </c>
      <c r="L297" s="17">
        <f>IF(Items[[#This Row],[ID]]="","",IFERROR(LOOKUP(2,1/((Log[ID]=Items[[#This Row],[ID]])*(Log[Into]&lt;&gt;"")),Log[Into]),""))</f>
      </c>
      <c r="M297" s="17">
        <f>IF(Items[[#This Row],[ID]]="","",IF(IFERROR(LOOKUP(2,1/((Log[ID]=Items[[#This Row],[ID]])*(Log[Blk]&lt;&gt;"")),Log[Blk]),0)=1,"Y",""))</f>
      </c>
      <c r="N297" s="17">
        <f>IF(Items[[#This Row],[ID]]="","",SUBSTITUTE(IFERROR(LOOKUP(2,1/((Log[ID]=Items[[#This Row],[ID]])*(Log[State]&lt;&gt;"")),Log[State]),"TODO"),"OPEN",IF(Items[[#This Row],[Blocked]]="Y","WAIT","OPEN")))</f>
      </c>
      <c r="O29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97" s="17">
        <f>IF(Items[[#This Row],[State]]&lt;&gt;"WAIT","",AsOf-Items[[#This Row],[Blocked since]])</f>
      </c>
      <c r="Q297" s="17">
        <f>IF(Items[[#This Row],[State]]&lt;&gt;"WAIT","",IFERROR(LOOKUP(2,1/((Log[ID]=Items[[#This Row],[ID]])*(Log[Verb]="block")),Log[Note])&amp;"",""))</f>
      </c>
      <c r="R297" s="17">
        <f>IF(Items[[#This Row],[ID]]="","",COUNTIFS(Log[ID],Items[[#This Row],[ID]],Log[Verb],"carry"))</f>
      </c>
      <c r="S297" s="17">
        <f>IF(Items[[#This Row],[ID]]="","",COUNTIFS(Log[ID],Items[[#This Row],[ID]],Log[Verb],"punt"))</f>
      </c>
      <c r="T297" s="11">
        <f>IF(Items[[#This Row],[State]]&lt;&gt;"DONE","",IFERROR(LOOKUP(2,1/((Log[ID]=Items[[#This Row],[ID]])*(Log[Verb]="done")),Log[Date]),""))</f>
      </c>
      <c r="U297" s="17">
        <f>IF(Items[[#This Row],[ID]]="","",IF(AND(Items[[#This Row],[Sprint]]=CurSprint,OR(Items[[#This Row],[State]]="OPEN",Items[[#This Row],[State]]="WAIT",Items[[#This Row],[State]]="HOLD",Items[[#This Row],[State]]="DONE")),1,0))</f>
      </c>
      <c r="V297" s="17">
        <f>IF(OR(Items[[#This Row],[ID]]="",Items[[#This Row],[Added]]=""),"",AsOf-Items[[#This Row],[Added]])</f>
      </c>
      <c r="W297" s="17">
        <f>IF(Items[[#This Row],[In sprint]]=1,(IF(Items[[#This Row],[Prio]]="",9,N(Items[[#This Row],[Prio]]))*10+(IF(Items[[#This Row],[State]]="DONE",1,0)))*100000+ROW(),"")</f>
      </c>
      <c r="X29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97" s="17">
        <f>IF(AND(Items[[#This Row],[State]]="DONE",N(Items[[#This Row],[Done on]])&gt;AsOf-7),(200000-N(Items[[#This Row],[Done on]]))*100000+ROW(),"")</f>
      </c>
    </row>
    <row r="298">
      <c r="A298" t="s">
        <v>466</v>
      </c>
      <c r="B298" t="s">
        <v>1515</v>
      </c>
      <c r="C298" t="s">
        <v>1115</v>
      </c>
      <c r="D298" t="s">
        <v>1116</v>
      </c>
      <c r="E298" t="s">
        <v>1109</v>
      </c>
      <c r="F298" t="s">
        <v>1225</v>
      </c>
      <c r="G298">
        <v>2</v>
      </c>
      <c r="H298">
        <v>2</v>
      </c>
      <c r="I298" s="11">
        <v>46119</v>
      </c>
      <c r="J298" s="17">
        <f>IF(Items[[#This Row],[ID]]="","",IFERROR(VALUE(LOOKUP(2,1/((Log[ID]=Items[[#This Row],[ID]])*(Log[Verb]="est")),Log[Arg])),N(Items[[#This Row],[Points]])))</f>
      </c>
      <c r="K298" s="17">
        <f>IF(Items[[#This Row],[ID]]="","",IFERROR(LOOKUP(2,1/((Log[ID]=Items[[#This Row],[ID]])*(Log[Verb]="pass")),Log[Arg])&amp;"",Items[[#This Row],[Team]]&amp;""))</f>
      </c>
      <c r="L298" s="17">
        <f>IF(Items[[#This Row],[ID]]="","",IFERROR(LOOKUP(2,1/((Log[ID]=Items[[#This Row],[ID]])*(Log[Into]&lt;&gt;"")),Log[Into]),""))</f>
      </c>
      <c r="M298" s="17">
        <f>IF(Items[[#This Row],[ID]]="","",IF(IFERROR(LOOKUP(2,1/((Log[ID]=Items[[#This Row],[ID]])*(Log[Blk]&lt;&gt;"")),Log[Blk]),0)=1,"Y",""))</f>
      </c>
      <c r="N298" s="17">
        <f>IF(Items[[#This Row],[ID]]="","",SUBSTITUTE(IFERROR(LOOKUP(2,1/((Log[ID]=Items[[#This Row],[ID]])*(Log[State]&lt;&gt;"")),Log[State]),"TODO"),"OPEN",IF(Items[[#This Row],[Blocked]]="Y","WAIT","OPEN")))</f>
      </c>
      <c r="O29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98" s="17">
        <f>IF(Items[[#This Row],[State]]&lt;&gt;"WAIT","",AsOf-Items[[#This Row],[Blocked since]])</f>
      </c>
      <c r="Q298" s="17">
        <f>IF(Items[[#This Row],[State]]&lt;&gt;"WAIT","",IFERROR(LOOKUP(2,1/((Log[ID]=Items[[#This Row],[ID]])*(Log[Verb]="block")),Log[Note])&amp;"",""))</f>
      </c>
      <c r="R298" s="17">
        <f>IF(Items[[#This Row],[ID]]="","",COUNTIFS(Log[ID],Items[[#This Row],[ID]],Log[Verb],"carry"))</f>
      </c>
      <c r="S298" s="17">
        <f>IF(Items[[#This Row],[ID]]="","",COUNTIFS(Log[ID],Items[[#This Row],[ID]],Log[Verb],"punt"))</f>
      </c>
      <c r="T298" s="11">
        <f>IF(Items[[#This Row],[State]]&lt;&gt;"DONE","",IFERROR(LOOKUP(2,1/((Log[ID]=Items[[#This Row],[ID]])*(Log[Verb]="done")),Log[Date]),""))</f>
      </c>
      <c r="U298" s="17">
        <f>IF(Items[[#This Row],[ID]]="","",IF(AND(Items[[#This Row],[Sprint]]=CurSprint,OR(Items[[#This Row],[State]]="OPEN",Items[[#This Row],[State]]="WAIT",Items[[#This Row],[State]]="HOLD",Items[[#This Row],[State]]="DONE")),1,0))</f>
      </c>
      <c r="V298" s="17">
        <f>IF(OR(Items[[#This Row],[ID]]="",Items[[#This Row],[Added]]=""),"",AsOf-Items[[#This Row],[Added]])</f>
      </c>
      <c r="W298" s="17">
        <f>IF(Items[[#This Row],[In sprint]]=1,(IF(Items[[#This Row],[Prio]]="",9,N(Items[[#This Row],[Prio]]))*10+(IF(Items[[#This Row],[State]]="DONE",1,0)))*100000+ROW(),"")</f>
      </c>
      <c r="X29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98" s="17">
        <f>IF(AND(Items[[#This Row],[State]]="DONE",N(Items[[#This Row],[Done on]])&gt;AsOf-7),(200000-N(Items[[#This Row],[Done on]]))*100000+ROW(),"")</f>
      </c>
    </row>
    <row r="299">
      <c r="A299" t="s">
        <v>516</v>
      </c>
      <c r="B299" t="s">
        <v>1516</v>
      </c>
      <c r="C299" t="s">
        <v>1107</v>
      </c>
      <c r="D299" t="s">
        <v>1123</v>
      </c>
      <c r="E299" t="s">
        <v>1109</v>
      </c>
      <c r="F299" t="s">
        <v>1220</v>
      </c>
      <c r="G299">
        <v>5</v>
      </c>
      <c r="H299">
        <v>1</v>
      </c>
      <c r="I299" s="11">
        <v>46119</v>
      </c>
      <c r="J299" s="17">
        <f>IF(Items[[#This Row],[ID]]="","",IFERROR(VALUE(LOOKUP(2,1/((Log[ID]=Items[[#This Row],[ID]])*(Log[Verb]="est")),Log[Arg])),N(Items[[#This Row],[Points]])))</f>
      </c>
      <c r="K299" s="17">
        <f>IF(Items[[#This Row],[ID]]="","",IFERROR(LOOKUP(2,1/((Log[ID]=Items[[#This Row],[ID]])*(Log[Verb]="pass")),Log[Arg])&amp;"",Items[[#This Row],[Team]]&amp;""))</f>
      </c>
      <c r="L299" s="17">
        <f>IF(Items[[#This Row],[ID]]="","",IFERROR(LOOKUP(2,1/((Log[ID]=Items[[#This Row],[ID]])*(Log[Into]&lt;&gt;"")),Log[Into]),""))</f>
      </c>
      <c r="M299" s="17">
        <f>IF(Items[[#This Row],[ID]]="","",IF(IFERROR(LOOKUP(2,1/((Log[ID]=Items[[#This Row],[ID]])*(Log[Blk]&lt;&gt;"")),Log[Blk]),0)=1,"Y",""))</f>
      </c>
      <c r="N299" s="17">
        <f>IF(Items[[#This Row],[ID]]="","",SUBSTITUTE(IFERROR(LOOKUP(2,1/((Log[ID]=Items[[#This Row],[ID]])*(Log[State]&lt;&gt;"")),Log[State]),"TODO"),"OPEN",IF(Items[[#This Row],[Blocked]]="Y","WAIT","OPEN")))</f>
      </c>
      <c r="O29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99" s="17">
        <f>IF(Items[[#This Row],[State]]&lt;&gt;"WAIT","",AsOf-Items[[#This Row],[Blocked since]])</f>
      </c>
      <c r="Q299" s="17">
        <f>IF(Items[[#This Row],[State]]&lt;&gt;"WAIT","",IFERROR(LOOKUP(2,1/((Log[ID]=Items[[#This Row],[ID]])*(Log[Verb]="block")),Log[Note])&amp;"",""))</f>
      </c>
      <c r="R299" s="17">
        <f>IF(Items[[#This Row],[ID]]="","",COUNTIFS(Log[ID],Items[[#This Row],[ID]],Log[Verb],"carry"))</f>
      </c>
      <c r="S299" s="17">
        <f>IF(Items[[#This Row],[ID]]="","",COUNTIFS(Log[ID],Items[[#This Row],[ID]],Log[Verb],"punt"))</f>
      </c>
      <c r="T299" s="11">
        <f>IF(Items[[#This Row],[State]]&lt;&gt;"DONE","",IFERROR(LOOKUP(2,1/((Log[ID]=Items[[#This Row],[ID]])*(Log[Verb]="done")),Log[Date]),""))</f>
      </c>
      <c r="U299" s="17">
        <f>IF(Items[[#This Row],[ID]]="","",IF(AND(Items[[#This Row],[Sprint]]=CurSprint,OR(Items[[#This Row],[State]]="OPEN",Items[[#This Row],[State]]="WAIT",Items[[#This Row],[State]]="HOLD",Items[[#This Row],[State]]="DONE")),1,0))</f>
      </c>
      <c r="V299" s="17">
        <f>IF(OR(Items[[#This Row],[ID]]="",Items[[#This Row],[Added]]=""),"",AsOf-Items[[#This Row],[Added]])</f>
      </c>
      <c r="W299" s="17">
        <f>IF(Items[[#This Row],[In sprint]]=1,(IF(Items[[#This Row],[Prio]]="",9,N(Items[[#This Row],[Prio]]))*10+(IF(Items[[#This Row],[State]]="DONE",1,0)))*100000+ROW(),"")</f>
      </c>
      <c r="X29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99" s="17">
        <f>IF(AND(Items[[#This Row],[State]]="DONE",N(Items[[#This Row],[Done on]])&gt;AsOf-7),(200000-N(Items[[#This Row],[Done on]]))*100000+ROW(),"")</f>
      </c>
    </row>
    <row r="300">
      <c r="A300" t="s">
        <v>468</v>
      </c>
      <c r="B300" t="s">
        <v>1517</v>
      </c>
      <c r="C300" t="s">
        <v>1107</v>
      </c>
      <c r="D300" t="s">
        <v>1108</v>
      </c>
      <c r="E300" t="s">
        <v>1131</v>
      </c>
      <c r="F300" t="s">
        <v>1309</v>
      </c>
      <c r="G300">
        <v>2</v>
      </c>
      <c r="H300">
        <v>3</v>
      </c>
      <c r="I300" s="11">
        <v>46119</v>
      </c>
      <c r="J300" s="17">
        <f>IF(Items[[#This Row],[ID]]="","",IFERROR(VALUE(LOOKUP(2,1/((Log[ID]=Items[[#This Row],[ID]])*(Log[Verb]="est")),Log[Arg])),N(Items[[#This Row],[Points]])))</f>
      </c>
      <c r="K300" s="17">
        <f>IF(Items[[#This Row],[ID]]="","",IFERROR(LOOKUP(2,1/((Log[ID]=Items[[#This Row],[ID]])*(Log[Verb]="pass")),Log[Arg])&amp;"",Items[[#This Row],[Team]]&amp;""))</f>
      </c>
      <c r="L300" s="17">
        <f>IF(Items[[#This Row],[ID]]="","",IFERROR(LOOKUP(2,1/((Log[ID]=Items[[#This Row],[ID]])*(Log[Into]&lt;&gt;"")),Log[Into]),""))</f>
      </c>
      <c r="M300" s="17">
        <f>IF(Items[[#This Row],[ID]]="","",IF(IFERROR(LOOKUP(2,1/((Log[ID]=Items[[#This Row],[ID]])*(Log[Blk]&lt;&gt;"")),Log[Blk]),0)=1,"Y",""))</f>
      </c>
      <c r="N300" s="17">
        <f>IF(Items[[#This Row],[ID]]="","",SUBSTITUTE(IFERROR(LOOKUP(2,1/((Log[ID]=Items[[#This Row],[ID]])*(Log[State]&lt;&gt;"")),Log[State]),"TODO"),"OPEN",IF(Items[[#This Row],[Blocked]]="Y","WAIT","OPEN")))</f>
      </c>
      <c r="O30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00" s="17">
        <f>IF(Items[[#This Row],[State]]&lt;&gt;"WAIT","",AsOf-Items[[#This Row],[Blocked since]])</f>
      </c>
      <c r="Q300" s="17">
        <f>IF(Items[[#This Row],[State]]&lt;&gt;"WAIT","",IFERROR(LOOKUP(2,1/((Log[ID]=Items[[#This Row],[ID]])*(Log[Verb]="block")),Log[Note])&amp;"",""))</f>
      </c>
      <c r="R300" s="17">
        <f>IF(Items[[#This Row],[ID]]="","",COUNTIFS(Log[ID],Items[[#This Row],[ID]],Log[Verb],"carry"))</f>
      </c>
      <c r="S300" s="17">
        <f>IF(Items[[#This Row],[ID]]="","",COUNTIFS(Log[ID],Items[[#This Row],[ID]],Log[Verb],"punt"))</f>
      </c>
      <c r="T300" s="11">
        <f>IF(Items[[#This Row],[State]]&lt;&gt;"DONE","",IFERROR(LOOKUP(2,1/((Log[ID]=Items[[#This Row],[ID]])*(Log[Verb]="done")),Log[Date]),""))</f>
      </c>
      <c r="U300" s="17">
        <f>IF(Items[[#This Row],[ID]]="","",IF(AND(Items[[#This Row],[Sprint]]=CurSprint,OR(Items[[#This Row],[State]]="OPEN",Items[[#This Row],[State]]="WAIT",Items[[#This Row],[State]]="HOLD",Items[[#This Row],[State]]="DONE")),1,0))</f>
      </c>
      <c r="V300" s="17">
        <f>IF(OR(Items[[#This Row],[ID]]="",Items[[#This Row],[Added]]=""),"",AsOf-Items[[#This Row],[Added]])</f>
      </c>
      <c r="W300" s="17">
        <f>IF(Items[[#This Row],[In sprint]]=1,(IF(Items[[#This Row],[Prio]]="",9,N(Items[[#This Row],[Prio]]))*10+(IF(Items[[#This Row],[State]]="DONE",1,0)))*100000+ROW(),"")</f>
      </c>
      <c r="X30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00" s="17">
        <f>IF(AND(Items[[#This Row],[State]]="DONE",N(Items[[#This Row],[Done on]])&gt;AsOf-7),(200000-N(Items[[#This Row],[Done on]]))*100000+ROW(),"")</f>
      </c>
    </row>
    <row r="301">
      <c r="A301" t="s">
        <v>469</v>
      </c>
      <c r="B301" t="s">
        <v>1518</v>
      </c>
      <c r="C301" t="s">
        <v>1115</v>
      </c>
      <c r="D301" t="s">
        <v>1119</v>
      </c>
      <c r="E301" t="s">
        <v>1131</v>
      </c>
      <c r="F301" t="s">
        <v>1233</v>
      </c>
      <c r="G301">
        <v>3</v>
      </c>
      <c r="H301">
        <v>1</v>
      </c>
      <c r="I301" s="11">
        <v>46119</v>
      </c>
      <c r="J301" s="17">
        <f>IF(Items[[#This Row],[ID]]="","",IFERROR(VALUE(LOOKUP(2,1/((Log[ID]=Items[[#This Row],[ID]])*(Log[Verb]="est")),Log[Arg])),N(Items[[#This Row],[Points]])))</f>
      </c>
      <c r="K301" s="17">
        <f>IF(Items[[#This Row],[ID]]="","",IFERROR(LOOKUP(2,1/((Log[ID]=Items[[#This Row],[ID]])*(Log[Verb]="pass")),Log[Arg])&amp;"",Items[[#This Row],[Team]]&amp;""))</f>
      </c>
      <c r="L301" s="17">
        <f>IF(Items[[#This Row],[ID]]="","",IFERROR(LOOKUP(2,1/((Log[ID]=Items[[#This Row],[ID]])*(Log[Into]&lt;&gt;"")),Log[Into]),""))</f>
      </c>
      <c r="M301" s="17">
        <f>IF(Items[[#This Row],[ID]]="","",IF(IFERROR(LOOKUP(2,1/((Log[ID]=Items[[#This Row],[ID]])*(Log[Blk]&lt;&gt;"")),Log[Blk]),0)=1,"Y",""))</f>
      </c>
      <c r="N301" s="17">
        <f>IF(Items[[#This Row],[ID]]="","",SUBSTITUTE(IFERROR(LOOKUP(2,1/((Log[ID]=Items[[#This Row],[ID]])*(Log[State]&lt;&gt;"")),Log[State]),"TODO"),"OPEN",IF(Items[[#This Row],[Blocked]]="Y","WAIT","OPEN")))</f>
      </c>
      <c r="O30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01" s="17">
        <f>IF(Items[[#This Row],[State]]&lt;&gt;"WAIT","",AsOf-Items[[#This Row],[Blocked since]])</f>
      </c>
      <c r="Q301" s="17">
        <f>IF(Items[[#This Row],[State]]&lt;&gt;"WAIT","",IFERROR(LOOKUP(2,1/((Log[ID]=Items[[#This Row],[ID]])*(Log[Verb]="block")),Log[Note])&amp;"",""))</f>
      </c>
      <c r="R301" s="17">
        <f>IF(Items[[#This Row],[ID]]="","",COUNTIFS(Log[ID],Items[[#This Row],[ID]],Log[Verb],"carry"))</f>
      </c>
      <c r="S301" s="17">
        <f>IF(Items[[#This Row],[ID]]="","",COUNTIFS(Log[ID],Items[[#This Row],[ID]],Log[Verb],"punt"))</f>
      </c>
      <c r="T301" s="11">
        <f>IF(Items[[#This Row],[State]]&lt;&gt;"DONE","",IFERROR(LOOKUP(2,1/((Log[ID]=Items[[#This Row],[ID]])*(Log[Verb]="done")),Log[Date]),""))</f>
      </c>
      <c r="U301" s="17">
        <f>IF(Items[[#This Row],[ID]]="","",IF(AND(Items[[#This Row],[Sprint]]=CurSprint,OR(Items[[#This Row],[State]]="OPEN",Items[[#This Row],[State]]="WAIT",Items[[#This Row],[State]]="HOLD",Items[[#This Row],[State]]="DONE")),1,0))</f>
      </c>
      <c r="V301" s="17">
        <f>IF(OR(Items[[#This Row],[ID]]="",Items[[#This Row],[Added]]=""),"",AsOf-Items[[#This Row],[Added]])</f>
      </c>
      <c r="W301" s="17">
        <f>IF(Items[[#This Row],[In sprint]]=1,(IF(Items[[#This Row],[Prio]]="",9,N(Items[[#This Row],[Prio]]))*10+(IF(Items[[#This Row],[State]]="DONE",1,0)))*100000+ROW(),"")</f>
      </c>
      <c r="X30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01" s="17">
        <f>IF(AND(Items[[#This Row],[State]]="DONE",N(Items[[#This Row],[Done on]])&gt;AsOf-7),(200000-N(Items[[#This Row],[Done on]]))*100000+ROW(),"")</f>
      </c>
    </row>
    <row r="302">
      <c r="A302" t="s">
        <v>470</v>
      </c>
      <c r="B302" t="s">
        <v>1519</v>
      </c>
      <c r="C302" t="s">
        <v>1115</v>
      </c>
      <c r="D302" t="s">
        <v>1116</v>
      </c>
      <c r="E302" t="s">
        <v>1131</v>
      </c>
      <c r="F302" t="s">
        <v>1168</v>
      </c>
      <c r="G302">
        <v>2</v>
      </c>
      <c r="H302">
        <v>3</v>
      </c>
      <c r="I302" s="11">
        <v>46119</v>
      </c>
      <c r="J302" s="17">
        <f>IF(Items[[#This Row],[ID]]="","",IFERROR(VALUE(LOOKUP(2,1/((Log[ID]=Items[[#This Row],[ID]])*(Log[Verb]="est")),Log[Arg])),N(Items[[#This Row],[Points]])))</f>
      </c>
      <c r="K302" s="17">
        <f>IF(Items[[#This Row],[ID]]="","",IFERROR(LOOKUP(2,1/((Log[ID]=Items[[#This Row],[ID]])*(Log[Verb]="pass")),Log[Arg])&amp;"",Items[[#This Row],[Team]]&amp;""))</f>
      </c>
      <c r="L302" s="17">
        <f>IF(Items[[#This Row],[ID]]="","",IFERROR(LOOKUP(2,1/((Log[ID]=Items[[#This Row],[ID]])*(Log[Into]&lt;&gt;"")),Log[Into]),""))</f>
      </c>
      <c r="M302" s="17">
        <f>IF(Items[[#This Row],[ID]]="","",IF(IFERROR(LOOKUP(2,1/((Log[ID]=Items[[#This Row],[ID]])*(Log[Blk]&lt;&gt;"")),Log[Blk]),0)=1,"Y",""))</f>
      </c>
      <c r="N302" s="17">
        <f>IF(Items[[#This Row],[ID]]="","",SUBSTITUTE(IFERROR(LOOKUP(2,1/((Log[ID]=Items[[#This Row],[ID]])*(Log[State]&lt;&gt;"")),Log[State]),"TODO"),"OPEN",IF(Items[[#This Row],[Blocked]]="Y","WAIT","OPEN")))</f>
      </c>
      <c r="O30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02" s="17">
        <f>IF(Items[[#This Row],[State]]&lt;&gt;"WAIT","",AsOf-Items[[#This Row],[Blocked since]])</f>
      </c>
      <c r="Q302" s="17">
        <f>IF(Items[[#This Row],[State]]&lt;&gt;"WAIT","",IFERROR(LOOKUP(2,1/((Log[ID]=Items[[#This Row],[ID]])*(Log[Verb]="block")),Log[Note])&amp;"",""))</f>
      </c>
      <c r="R302" s="17">
        <f>IF(Items[[#This Row],[ID]]="","",COUNTIFS(Log[ID],Items[[#This Row],[ID]],Log[Verb],"carry"))</f>
      </c>
      <c r="S302" s="17">
        <f>IF(Items[[#This Row],[ID]]="","",COUNTIFS(Log[ID],Items[[#This Row],[ID]],Log[Verb],"punt"))</f>
      </c>
      <c r="T302" s="11">
        <f>IF(Items[[#This Row],[State]]&lt;&gt;"DONE","",IFERROR(LOOKUP(2,1/((Log[ID]=Items[[#This Row],[ID]])*(Log[Verb]="done")),Log[Date]),""))</f>
      </c>
      <c r="U302" s="17">
        <f>IF(Items[[#This Row],[ID]]="","",IF(AND(Items[[#This Row],[Sprint]]=CurSprint,OR(Items[[#This Row],[State]]="OPEN",Items[[#This Row],[State]]="WAIT",Items[[#This Row],[State]]="HOLD",Items[[#This Row],[State]]="DONE")),1,0))</f>
      </c>
      <c r="V302" s="17">
        <f>IF(OR(Items[[#This Row],[ID]]="",Items[[#This Row],[Added]]=""),"",AsOf-Items[[#This Row],[Added]])</f>
      </c>
      <c r="W302" s="17">
        <f>IF(Items[[#This Row],[In sprint]]=1,(IF(Items[[#This Row],[Prio]]="",9,N(Items[[#This Row],[Prio]]))*10+(IF(Items[[#This Row],[State]]="DONE",1,0)))*100000+ROW(),"")</f>
      </c>
      <c r="X30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02" s="17">
        <f>IF(AND(Items[[#This Row],[State]]="DONE",N(Items[[#This Row],[Done on]])&gt;AsOf-7),(200000-N(Items[[#This Row],[Done on]]))*100000+ROW(),"")</f>
      </c>
    </row>
    <row r="303">
      <c r="A303" t="s">
        <v>471</v>
      </c>
      <c r="B303" t="s">
        <v>1520</v>
      </c>
      <c r="C303" t="s">
        <v>1107</v>
      </c>
      <c r="D303" t="s">
        <v>1108</v>
      </c>
      <c r="E303" t="s">
        <v>1131</v>
      </c>
      <c r="F303" t="s">
        <v>1233</v>
      </c>
      <c r="G303">
        <v>8</v>
      </c>
      <c r="H303">
        <v>2</v>
      </c>
      <c r="I303" s="11">
        <v>46119</v>
      </c>
      <c r="J303" s="17">
        <f>IF(Items[[#This Row],[ID]]="","",IFERROR(VALUE(LOOKUP(2,1/((Log[ID]=Items[[#This Row],[ID]])*(Log[Verb]="est")),Log[Arg])),N(Items[[#This Row],[Points]])))</f>
      </c>
      <c r="K303" s="17">
        <f>IF(Items[[#This Row],[ID]]="","",IFERROR(LOOKUP(2,1/((Log[ID]=Items[[#This Row],[ID]])*(Log[Verb]="pass")),Log[Arg])&amp;"",Items[[#This Row],[Team]]&amp;""))</f>
      </c>
      <c r="L303" s="17">
        <f>IF(Items[[#This Row],[ID]]="","",IFERROR(LOOKUP(2,1/((Log[ID]=Items[[#This Row],[ID]])*(Log[Into]&lt;&gt;"")),Log[Into]),""))</f>
      </c>
      <c r="M303" s="17">
        <f>IF(Items[[#This Row],[ID]]="","",IF(IFERROR(LOOKUP(2,1/((Log[ID]=Items[[#This Row],[ID]])*(Log[Blk]&lt;&gt;"")),Log[Blk]),0)=1,"Y",""))</f>
      </c>
      <c r="N303" s="17">
        <f>IF(Items[[#This Row],[ID]]="","",SUBSTITUTE(IFERROR(LOOKUP(2,1/((Log[ID]=Items[[#This Row],[ID]])*(Log[State]&lt;&gt;"")),Log[State]),"TODO"),"OPEN",IF(Items[[#This Row],[Blocked]]="Y","WAIT","OPEN")))</f>
      </c>
      <c r="O30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03" s="17">
        <f>IF(Items[[#This Row],[State]]&lt;&gt;"WAIT","",AsOf-Items[[#This Row],[Blocked since]])</f>
      </c>
      <c r="Q303" s="17">
        <f>IF(Items[[#This Row],[State]]&lt;&gt;"WAIT","",IFERROR(LOOKUP(2,1/((Log[ID]=Items[[#This Row],[ID]])*(Log[Verb]="block")),Log[Note])&amp;"",""))</f>
      </c>
      <c r="R303" s="17">
        <f>IF(Items[[#This Row],[ID]]="","",COUNTIFS(Log[ID],Items[[#This Row],[ID]],Log[Verb],"carry"))</f>
      </c>
      <c r="S303" s="17">
        <f>IF(Items[[#This Row],[ID]]="","",COUNTIFS(Log[ID],Items[[#This Row],[ID]],Log[Verb],"punt"))</f>
      </c>
      <c r="T303" s="11">
        <f>IF(Items[[#This Row],[State]]&lt;&gt;"DONE","",IFERROR(LOOKUP(2,1/((Log[ID]=Items[[#This Row],[ID]])*(Log[Verb]="done")),Log[Date]),""))</f>
      </c>
      <c r="U303" s="17">
        <f>IF(Items[[#This Row],[ID]]="","",IF(AND(Items[[#This Row],[Sprint]]=CurSprint,OR(Items[[#This Row],[State]]="OPEN",Items[[#This Row],[State]]="WAIT",Items[[#This Row],[State]]="HOLD",Items[[#This Row],[State]]="DONE")),1,0))</f>
      </c>
      <c r="V303" s="17">
        <f>IF(OR(Items[[#This Row],[ID]]="",Items[[#This Row],[Added]]=""),"",AsOf-Items[[#This Row],[Added]])</f>
      </c>
      <c r="W303" s="17">
        <f>IF(Items[[#This Row],[In sprint]]=1,(IF(Items[[#This Row],[Prio]]="",9,N(Items[[#This Row],[Prio]]))*10+(IF(Items[[#This Row],[State]]="DONE",1,0)))*100000+ROW(),"")</f>
      </c>
      <c r="X30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03" s="17">
        <f>IF(AND(Items[[#This Row],[State]]="DONE",N(Items[[#This Row],[Done on]])&gt;AsOf-7),(200000-N(Items[[#This Row],[Done on]]))*100000+ROW(),"")</f>
      </c>
    </row>
    <row r="304">
      <c r="A304" t="s">
        <v>472</v>
      </c>
      <c r="B304" t="s">
        <v>1521</v>
      </c>
      <c r="C304" t="s">
        <v>1107</v>
      </c>
      <c r="D304" t="s">
        <v>1108</v>
      </c>
      <c r="E304" t="s">
        <v>1131</v>
      </c>
      <c r="F304" t="s">
        <v>1307</v>
      </c>
      <c r="G304">
        <v>8</v>
      </c>
      <c r="H304">
        <v>2</v>
      </c>
      <c r="I304" s="11">
        <v>46119</v>
      </c>
      <c r="J304" s="17">
        <f>IF(Items[[#This Row],[ID]]="","",IFERROR(VALUE(LOOKUP(2,1/((Log[ID]=Items[[#This Row],[ID]])*(Log[Verb]="est")),Log[Arg])),N(Items[[#This Row],[Points]])))</f>
      </c>
      <c r="K304" s="17">
        <f>IF(Items[[#This Row],[ID]]="","",IFERROR(LOOKUP(2,1/((Log[ID]=Items[[#This Row],[ID]])*(Log[Verb]="pass")),Log[Arg])&amp;"",Items[[#This Row],[Team]]&amp;""))</f>
      </c>
      <c r="L304" s="17">
        <f>IF(Items[[#This Row],[ID]]="","",IFERROR(LOOKUP(2,1/((Log[ID]=Items[[#This Row],[ID]])*(Log[Into]&lt;&gt;"")),Log[Into]),""))</f>
      </c>
      <c r="M304" s="17">
        <f>IF(Items[[#This Row],[ID]]="","",IF(IFERROR(LOOKUP(2,1/((Log[ID]=Items[[#This Row],[ID]])*(Log[Blk]&lt;&gt;"")),Log[Blk]),0)=1,"Y",""))</f>
      </c>
      <c r="N304" s="17">
        <f>IF(Items[[#This Row],[ID]]="","",SUBSTITUTE(IFERROR(LOOKUP(2,1/((Log[ID]=Items[[#This Row],[ID]])*(Log[State]&lt;&gt;"")),Log[State]),"TODO"),"OPEN",IF(Items[[#This Row],[Blocked]]="Y","WAIT","OPEN")))</f>
      </c>
      <c r="O30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04" s="17">
        <f>IF(Items[[#This Row],[State]]&lt;&gt;"WAIT","",AsOf-Items[[#This Row],[Blocked since]])</f>
      </c>
      <c r="Q304" s="17">
        <f>IF(Items[[#This Row],[State]]&lt;&gt;"WAIT","",IFERROR(LOOKUP(2,1/((Log[ID]=Items[[#This Row],[ID]])*(Log[Verb]="block")),Log[Note])&amp;"",""))</f>
      </c>
      <c r="R304" s="17">
        <f>IF(Items[[#This Row],[ID]]="","",COUNTIFS(Log[ID],Items[[#This Row],[ID]],Log[Verb],"carry"))</f>
      </c>
      <c r="S304" s="17">
        <f>IF(Items[[#This Row],[ID]]="","",COUNTIFS(Log[ID],Items[[#This Row],[ID]],Log[Verb],"punt"))</f>
      </c>
      <c r="T304" s="11">
        <f>IF(Items[[#This Row],[State]]&lt;&gt;"DONE","",IFERROR(LOOKUP(2,1/((Log[ID]=Items[[#This Row],[ID]])*(Log[Verb]="done")),Log[Date]),""))</f>
      </c>
      <c r="U304" s="17">
        <f>IF(Items[[#This Row],[ID]]="","",IF(AND(Items[[#This Row],[Sprint]]=CurSprint,OR(Items[[#This Row],[State]]="OPEN",Items[[#This Row],[State]]="WAIT",Items[[#This Row],[State]]="HOLD",Items[[#This Row],[State]]="DONE")),1,0))</f>
      </c>
      <c r="V304" s="17">
        <f>IF(OR(Items[[#This Row],[ID]]="",Items[[#This Row],[Added]]=""),"",AsOf-Items[[#This Row],[Added]])</f>
      </c>
      <c r="W304" s="17">
        <f>IF(Items[[#This Row],[In sprint]]=1,(IF(Items[[#This Row],[Prio]]="",9,N(Items[[#This Row],[Prio]]))*10+(IF(Items[[#This Row],[State]]="DONE",1,0)))*100000+ROW(),"")</f>
      </c>
      <c r="X30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04" s="17">
        <f>IF(AND(Items[[#This Row],[State]]="DONE",N(Items[[#This Row],[Done on]])&gt;AsOf-7),(200000-N(Items[[#This Row],[Done on]]))*100000+ROW(),"")</f>
      </c>
    </row>
    <row r="305">
      <c r="A305" t="s">
        <v>522</v>
      </c>
      <c r="B305" t="s">
        <v>1522</v>
      </c>
      <c r="C305" t="s">
        <v>1115</v>
      </c>
      <c r="D305" t="s">
        <v>1116</v>
      </c>
      <c r="E305" t="s">
        <v>1131</v>
      </c>
      <c r="F305" t="s">
        <v>1166</v>
      </c>
      <c r="G305">
        <v>8</v>
      </c>
      <c r="H305">
        <v>1</v>
      </c>
      <c r="I305" s="11">
        <v>46119</v>
      </c>
      <c r="J305" s="17">
        <f>IF(Items[[#This Row],[ID]]="","",IFERROR(VALUE(LOOKUP(2,1/((Log[ID]=Items[[#This Row],[ID]])*(Log[Verb]="est")),Log[Arg])),N(Items[[#This Row],[Points]])))</f>
      </c>
      <c r="K305" s="17">
        <f>IF(Items[[#This Row],[ID]]="","",IFERROR(LOOKUP(2,1/((Log[ID]=Items[[#This Row],[ID]])*(Log[Verb]="pass")),Log[Arg])&amp;"",Items[[#This Row],[Team]]&amp;""))</f>
      </c>
      <c r="L305" s="17">
        <f>IF(Items[[#This Row],[ID]]="","",IFERROR(LOOKUP(2,1/((Log[ID]=Items[[#This Row],[ID]])*(Log[Into]&lt;&gt;"")),Log[Into]),""))</f>
      </c>
      <c r="M305" s="17">
        <f>IF(Items[[#This Row],[ID]]="","",IF(IFERROR(LOOKUP(2,1/((Log[ID]=Items[[#This Row],[ID]])*(Log[Blk]&lt;&gt;"")),Log[Blk]),0)=1,"Y",""))</f>
      </c>
      <c r="N305" s="17">
        <f>IF(Items[[#This Row],[ID]]="","",SUBSTITUTE(IFERROR(LOOKUP(2,1/((Log[ID]=Items[[#This Row],[ID]])*(Log[State]&lt;&gt;"")),Log[State]),"TODO"),"OPEN",IF(Items[[#This Row],[Blocked]]="Y","WAIT","OPEN")))</f>
      </c>
      <c r="O30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05" s="17">
        <f>IF(Items[[#This Row],[State]]&lt;&gt;"WAIT","",AsOf-Items[[#This Row],[Blocked since]])</f>
      </c>
      <c r="Q305" s="17">
        <f>IF(Items[[#This Row],[State]]&lt;&gt;"WAIT","",IFERROR(LOOKUP(2,1/((Log[ID]=Items[[#This Row],[ID]])*(Log[Verb]="block")),Log[Note])&amp;"",""))</f>
      </c>
      <c r="R305" s="17">
        <f>IF(Items[[#This Row],[ID]]="","",COUNTIFS(Log[ID],Items[[#This Row],[ID]],Log[Verb],"carry"))</f>
      </c>
      <c r="S305" s="17">
        <f>IF(Items[[#This Row],[ID]]="","",COUNTIFS(Log[ID],Items[[#This Row],[ID]],Log[Verb],"punt"))</f>
      </c>
      <c r="T305" s="11">
        <f>IF(Items[[#This Row],[State]]&lt;&gt;"DONE","",IFERROR(LOOKUP(2,1/((Log[ID]=Items[[#This Row],[ID]])*(Log[Verb]="done")),Log[Date]),""))</f>
      </c>
      <c r="U305" s="17">
        <f>IF(Items[[#This Row],[ID]]="","",IF(AND(Items[[#This Row],[Sprint]]=CurSprint,OR(Items[[#This Row],[State]]="OPEN",Items[[#This Row],[State]]="WAIT",Items[[#This Row],[State]]="HOLD",Items[[#This Row],[State]]="DONE")),1,0))</f>
      </c>
      <c r="V305" s="17">
        <f>IF(OR(Items[[#This Row],[ID]]="",Items[[#This Row],[Added]]=""),"",AsOf-Items[[#This Row],[Added]])</f>
      </c>
      <c r="W305" s="17">
        <f>IF(Items[[#This Row],[In sprint]]=1,(IF(Items[[#This Row],[Prio]]="",9,N(Items[[#This Row],[Prio]]))*10+(IF(Items[[#This Row],[State]]="DONE",1,0)))*100000+ROW(),"")</f>
      </c>
      <c r="X30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05" s="17">
        <f>IF(AND(Items[[#This Row],[State]]="DONE",N(Items[[#This Row],[Done on]])&gt;AsOf-7),(200000-N(Items[[#This Row],[Done on]]))*100000+ROW(),"")</f>
      </c>
    </row>
    <row r="306">
      <c r="A306" t="s">
        <v>475</v>
      </c>
      <c r="B306" t="s">
        <v>1523</v>
      </c>
      <c r="C306" t="s">
        <v>1115</v>
      </c>
      <c r="D306" t="s">
        <v>1119</v>
      </c>
      <c r="E306" t="s">
        <v>1134</v>
      </c>
      <c r="F306" t="s">
        <v>1137</v>
      </c>
      <c r="G306">
        <v>8</v>
      </c>
      <c r="H306">
        <v>3</v>
      </c>
      <c r="I306" s="11">
        <v>46119</v>
      </c>
      <c r="J306" s="17">
        <f>IF(Items[[#This Row],[ID]]="","",IFERROR(VALUE(LOOKUP(2,1/((Log[ID]=Items[[#This Row],[ID]])*(Log[Verb]="est")),Log[Arg])),N(Items[[#This Row],[Points]])))</f>
      </c>
      <c r="K306" s="17">
        <f>IF(Items[[#This Row],[ID]]="","",IFERROR(LOOKUP(2,1/((Log[ID]=Items[[#This Row],[ID]])*(Log[Verb]="pass")),Log[Arg])&amp;"",Items[[#This Row],[Team]]&amp;""))</f>
      </c>
      <c r="L306" s="17">
        <f>IF(Items[[#This Row],[ID]]="","",IFERROR(LOOKUP(2,1/((Log[ID]=Items[[#This Row],[ID]])*(Log[Into]&lt;&gt;"")),Log[Into]),""))</f>
      </c>
      <c r="M306" s="17">
        <f>IF(Items[[#This Row],[ID]]="","",IF(IFERROR(LOOKUP(2,1/((Log[ID]=Items[[#This Row],[ID]])*(Log[Blk]&lt;&gt;"")),Log[Blk]),0)=1,"Y",""))</f>
      </c>
      <c r="N306" s="17">
        <f>IF(Items[[#This Row],[ID]]="","",SUBSTITUTE(IFERROR(LOOKUP(2,1/((Log[ID]=Items[[#This Row],[ID]])*(Log[State]&lt;&gt;"")),Log[State]),"TODO"),"OPEN",IF(Items[[#This Row],[Blocked]]="Y","WAIT","OPEN")))</f>
      </c>
      <c r="O30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06" s="17">
        <f>IF(Items[[#This Row],[State]]&lt;&gt;"WAIT","",AsOf-Items[[#This Row],[Blocked since]])</f>
      </c>
      <c r="Q306" s="17">
        <f>IF(Items[[#This Row],[State]]&lt;&gt;"WAIT","",IFERROR(LOOKUP(2,1/((Log[ID]=Items[[#This Row],[ID]])*(Log[Verb]="block")),Log[Note])&amp;"",""))</f>
      </c>
      <c r="R306" s="17">
        <f>IF(Items[[#This Row],[ID]]="","",COUNTIFS(Log[ID],Items[[#This Row],[ID]],Log[Verb],"carry"))</f>
      </c>
      <c r="S306" s="17">
        <f>IF(Items[[#This Row],[ID]]="","",COUNTIFS(Log[ID],Items[[#This Row],[ID]],Log[Verb],"punt"))</f>
      </c>
      <c r="T306" s="11">
        <f>IF(Items[[#This Row],[State]]&lt;&gt;"DONE","",IFERROR(LOOKUP(2,1/((Log[ID]=Items[[#This Row],[ID]])*(Log[Verb]="done")),Log[Date]),""))</f>
      </c>
      <c r="U306" s="17">
        <f>IF(Items[[#This Row],[ID]]="","",IF(AND(Items[[#This Row],[Sprint]]=CurSprint,OR(Items[[#This Row],[State]]="OPEN",Items[[#This Row],[State]]="WAIT",Items[[#This Row],[State]]="HOLD",Items[[#This Row],[State]]="DONE")),1,0))</f>
      </c>
      <c r="V306" s="17">
        <f>IF(OR(Items[[#This Row],[ID]]="",Items[[#This Row],[Added]]=""),"",AsOf-Items[[#This Row],[Added]])</f>
      </c>
      <c r="W306" s="17">
        <f>IF(Items[[#This Row],[In sprint]]=1,(IF(Items[[#This Row],[Prio]]="",9,N(Items[[#This Row],[Prio]]))*10+(IF(Items[[#This Row],[State]]="DONE",1,0)))*100000+ROW(),"")</f>
      </c>
      <c r="X30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06" s="17">
        <f>IF(AND(Items[[#This Row],[State]]="DONE",N(Items[[#This Row],[Done on]])&gt;AsOf-7),(200000-N(Items[[#This Row],[Done on]]))*100000+ROW(),"")</f>
      </c>
    </row>
    <row r="307">
      <c r="A307" t="s">
        <v>415</v>
      </c>
      <c r="B307" t="s">
        <v>1524</v>
      </c>
      <c r="C307" t="s">
        <v>1115</v>
      </c>
      <c r="D307" t="s">
        <v>1119</v>
      </c>
      <c r="E307" t="s">
        <v>1134</v>
      </c>
      <c r="F307" t="s">
        <v>1387</v>
      </c>
      <c r="G307">
        <v>2</v>
      </c>
      <c r="H307">
        <v>2</v>
      </c>
      <c r="I307" s="11">
        <v>46119</v>
      </c>
      <c r="J307" s="17">
        <f>IF(Items[[#This Row],[ID]]="","",IFERROR(VALUE(LOOKUP(2,1/((Log[ID]=Items[[#This Row],[ID]])*(Log[Verb]="est")),Log[Arg])),N(Items[[#This Row],[Points]])))</f>
      </c>
      <c r="K307" s="17">
        <f>IF(Items[[#This Row],[ID]]="","",IFERROR(LOOKUP(2,1/((Log[ID]=Items[[#This Row],[ID]])*(Log[Verb]="pass")),Log[Arg])&amp;"",Items[[#This Row],[Team]]&amp;""))</f>
      </c>
      <c r="L307" s="17">
        <f>IF(Items[[#This Row],[ID]]="","",IFERROR(LOOKUP(2,1/((Log[ID]=Items[[#This Row],[ID]])*(Log[Into]&lt;&gt;"")),Log[Into]),""))</f>
      </c>
      <c r="M307" s="17">
        <f>IF(Items[[#This Row],[ID]]="","",IF(IFERROR(LOOKUP(2,1/((Log[ID]=Items[[#This Row],[ID]])*(Log[Blk]&lt;&gt;"")),Log[Blk]),0)=1,"Y",""))</f>
      </c>
      <c r="N307" s="17">
        <f>IF(Items[[#This Row],[ID]]="","",SUBSTITUTE(IFERROR(LOOKUP(2,1/((Log[ID]=Items[[#This Row],[ID]])*(Log[State]&lt;&gt;"")),Log[State]),"TODO"),"OPEN",IF(Items[[#This Row],[Blocked]]="Y","WAIT","OPEN")))</f>
      </c>
      <c r="O30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07" s="17">
        <f>IF(Items[[#This Row],[State]]&lt;&gt;"WAIT","",AsOf-Items[[#This Row],[Blocked since]])</f>
      </c>
      <c r="Q307" s="17">
        <f>IF(Items[[#This Row],[State]]&lt;&gt;"WAIT","",IFERROR(LOOKUP(2,1/((Log[ID]=Items[[#This Row],[ID]])*(Log[Verb]="block")),Log[Note])&amp;"",""))</f>
      </c>
      <c r="R307" s="17">
        <f>IF(Items[[#This Row],[ID]]="","",COUNTIFS(Log[ID],Items[[#This Row],[ID]],Log[Verb],"carry"))</f>
      </c>
      <c r="S307" s="17">
        <f>IF(Items[[#This Row],[ID]]="","",COUNTIFS(Log[ID],Items[[#This Row],[ID]],Log[Verb],"punt"))</f>
      </c>
      <c r="T307" s="11">
        <f>IF(Items[[#This Row],[State]]&lt;&gt;"DONE","",IFERROR(LOOKUP(2,1/((Log[ID]=Items[[#This Row],[ID]])*(Log[Verb]="done")),Log[Date]),""))</f>
      </c>
      <c r="U307" s="17">
        <f>IF(Items[[#This Row],[ID]]="","",IF(AND(Items[[#This Row],[Sprint]]=CurSprint,OR(Items[[#This Row],[State]]="OPEN",Items[[#This Row],[State]]="WAIT",Items[[#This Row],[State]]="HOLD",Items[[#This Row],[State]]="DONE")),1,0))</f>
      </c>
      <c r="V307" s="17">
        <f>IF(OR(Items[[#This Row],[ID]]="",Items[[#This Row],[Added]]=""),"",AsOf-Items[[#This Row],[Added]])</f>
      </c>
      <c r="W307" s="17">
        <f>IF(Items[[#This Row],[In sprint]]=1,(IF(Items[[#This Row],[Prio]]="",9,N(Items[[#This Row],[Prio]]))*10+(IF(Items[[#This Row],[State]]="DONE",1,0)))*100000+ROW(),"")</f>
      </c>
      <c r="X30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07" s="17">
        <f>IF(AND(Items[[#This Row],[State]]="DONE",N(Items[[#This Row],[Done on]])&gt;AsOf-7),(200000-N(Items[[#This Row],[Done on]]))*100000+ROW(),"")</f>
      </c>
    </row>
    <row r="308">
      <c r="A308" t="s">
        <v>476</v>
      </c>
      <c r="B308" t="s">
        <v>1525</v>
      </c>
      <c r="C308" t="s">
        <v>1115</v>
      </c>
      <c r="D308" t="s">
        <v>1119</v>
      </c>
      <c r="E308" t="s">
        <v>1134</v>
      </c>
      <c r="F308" t="s">
        <v>1387</v>
      </c>
      <c r="G308">
        <v>3</v>
      </c>
      <c r="H308">
        <v>3</v>
      </c>
      <c r="I308" s="11">
        <v>46119</v>
      </c>
      <c r="J308" s="17">
        <f>IF(Items[[#This Row],[ID]]="","",IFERROR(VALUE(LOOKUP(2,1/((Log[ID]=Items[[#This Row],[ID]])*(Log[Verb]="est")),Log[Arg])),N(Items[[#This Row],[Points]])))</f>
      </c>
      <c r="K308" s="17">
        <f>IF(Items[[#This Row],[ID]]="","",IFERROR(LOOKUP(2,1/((Log[ID]=Items[[#This Row],[ID]])*(Log[Verb]="pass")),Log[Arg])&amp;"",Items[[#This Row],[Team]]&amp;""))</f>
      </c>
      <c r="L308" s="17">
        <f>IF(Items[[#This Row],[ID]]="","",IFERROR(LOOKUP(2,1/((Log[ID]=Items[[#This Row],[ID]])*(Log[Into]&lt;&gt;"")),Log[Into]),""))</f>
      </c>
      <c r="M308" s="17">
        <f>IF(Items[[#This Row],[ID]]="","",IF(IFERROR(LOOKUP(2,1/((Log[ID]=Items[[#This Row],[ID]])*(Log[Blk]&lt;&gt;"")),Log[Blk]),0)=1,"Y",""))</f>
      </c>
      <c r="N308" s="17">
        <f>IF(Items[[#This Row],[ID]]="","",SUBSTITUTE(IFERROR(LOOKUP(2,1/((Log[ID]=Items[[#This Row],[ID]])*(Log[State]&lt;&gt;"")),Log[State]),"TODO"),"OPEN",IF(Items[[#This Row],[Blocked]]="Y","WAIT","OPEN")))</f>
      </c>
      <c r="O30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08" s="17">
        <f>IF(Items[[#This Row],[State]]&lt;&gt;"WAIT","",AsOf-Items[[#This Row],[Blocked since]])</f>
      </c>
      <c r="Q308" s="17">
        <f>IF(Items[[#This Row],[State]]&lt;&gt;"WAIT","",IFERROR(LOOKUP(2,1/((Log[ID]=Items[[#This Row],[ID]])*(Log[Verb]="block")),Log[Note])&amp;"",""))</f>
      </c>
      <c r="R308" s="17">
        <f>IF(Items[[#This Row],[ID]]="","",COUNTIFS(Log[ID],Items[[#This Row],[ID]],Log[Verb],"carry"))</f>
      </c>
      <c r="S308" s="17">
        <f>IF(Items[[#This Row],[ID]]="","",COUNTIFS(Log[ID],Items[[#This Row],[ID]],Log[Verb],"punt"))</f>
      </c>
      <c r="T308" s="11">
        <f>IF(Items[[#This Row],[State]]&lt;&gt;"DONE","",IFERROR(LOOKUP(2,1/((Log[ID]=Items[[#This Row],[ID]])*(Log[Verb]="done")),Log[Date]),""))</f>
      </c>
      <c r="U308" s="17">
        <f>IF(Items[[#This Row],[ID]]="","",IF(AND(Items[[#This Row],[Sprint]]=CurSprint,OR(Items[[#This Row],[State]]="OPEN",Items[[#This Row],[State]]="WAIT",Items[[#This Row],[State]]="HOLD",Items[[#This Row],[State]]="DONE")),1,0))</f>
      </c>
      <c r="V308" s="17">
        <f>IF(OR(Items[[#This Row],[ID]]="",Items[[#This Row],[Added]]=""),"",AsOf-Items[[#This Row],[Added]])</f>
      </c>
      <c r="W308" s="17">
        <f>IF(Items[[#This Row],[In sprint]]=1,(IF(Items[[#This Row],[Prio]]="",9,N(Items[[#This Row],[Prio]]))*10+(IF(Items[[#This Row],[State]]="DONE",1,0)))*100000+ROW(),"")</f>
      </c>
      <c r="X30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08" s="17">
        <f>IF(AND(Items[[#This Row],[State]]="DONE",N(Items[[#This Row],[Done on]])&gt;AsOf-7),(200000-N(Items[[#This Row],[Done on]]))*100000+ROW(),"")</f>
      </c>
    </row>
    <row r="309">
      <c r="A309" t="s">
        <v>528</v>
      </c>
      <c r="B309" t="s">
        <v>1526</v>
      </c>
      <c r="C309" t="s">
        <v>1115</v>
      </c>
      <c r="D309" t="s">
        <v>1116</v>
      </c>
      <c r="E309" t="s">
        <v>1134</v>
      </c>
      <c r="F309" t="s">
        <v>1237</v>
      </c>
      <c r="G309">
        <v>5</v>
      </c>
      <c r="H309">
        <v>2</v>
      </c>
      <c r="I309" s="11">
        <v>46119</v>
      </c>
      <c r="J309" s="17">
        <f>IF(Items[[#This Row],[ID]]="","",IFERROR(VALUE(LOOKUP(2,1/((Log[ID]=Items[[#This Row],[ID]])*(Log[Verb]="est")),Log[Arg])),N(Items[[#This Row],[Points]])))</f>
      </c>
      <c r="K309" s="17">
        <f>IF(Items[[#This Row],[ID]]="","",IFERROR(LOOKUP(2,1/((Log[ID]=Items[[#This Row],[ID]])*(Log[Verb]="pass")),Log[Arg])&amp;"",Items[[#This Row],[Team]]&amp;""))</f>
      </c>
      <c r="L309" s="17">
        <f>IF(Items[[#This Row],[ID]]="","",IFERROR(LOOKUP(2,1/((Log[ID]=Items[[#This Row],[ID]])*(Log[Into]&lt;&gt;"")),Log[Into]),""))</f>
      </c>
      <c r="M309" s="17">
        <f>IF(Items[[#This Row],[ID]]="","",IF(IFERROR(LOOKUP(2,1/((Log[ID]=Items[[#This Row],[ID]])*(Log[Blk]&lt;&gt;"")),Log[Blk]),0)=1,"Y",""))</f>
      </c>
      <c r="N309" s="17">
        <f>IF(Items[[#This Row],[ID]]="","",SUBSTITUTE(IFERROR(LOOKUP(2,1/((Log[ID]=Items[[#This Row],[ID]])*(Log[State]&lt;&gt;"")),Log[State]),"TODO"),"OPEN",IF(Items[[#This Row],[Blocked]]="Y","WAIT","OPEN")))</f>
      </c>
      <c r="O30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09" s="17">
        <f>IF(Items[[#This Row],[State]]&lt;&gt;"WAIT","",AsOf-Items[[#This Row],[Blocked since]])</f>
      </c>
      <c r="Q309" s="17">
        <f>IF(Items[[#This Row],[State]]&lt;&gt;"WAIT","",IFERROR(LOOKUP(2,1/((Log[ID]=Items[[#This Row],[ID]])*(Log[Verb]="block")),Log[Note])&amp;"",""))</f>
      </c>
      <c r="R309" s="17">
        <f>IF(Items[[#This Row],[ID]]="","",COUNTIFS(Log[ID],Items[[#This Row],[ID]],Log[Verb],"carry"))</f>
      </c>
      <c r="S309" s="17">
        <f>IF(Items[[#This Row],[ID]]="","",COUNTIFS(Log[ID],Items[[#This Row],[ID]],Log[Verb],"punt"))</f>
      </c>
      <c r="T309" s="11">
        <f>IF(Items[[#This Row],[State]]&lt;&gt;"DONE","",IFERROR(LOOKUP(2,1/((Log[ID]=Items[[#This Row],[ID]])*(Log[Verb]="done")),Log[Date]),""))</f>
      </c>
      <c r="U309" s="17">
        <f>IF(Items[[#This Row],[ID]]="","",IF(AND(Items[[#This Row],[Sprint]]=CurSprint,OR(Items[[#This Row],[State]]="OPEN",Items[[#This Row],[State]]="WAIT",Items[[#This Row],[State]]="HOLD",Items[[#This Row],[State]]="DONE")),1,0))</f>
      </c>
      <c r="V309" s="17">
        <f>IF(OR(Items[[#This Row],[ID]]="",Items[[#This Row],[Added]]=""),"",AsOf-Items[[#This Row],[Added]])</f>
      </c>
      <c r="W309" s="17">
        <f>IF(Items[[#This Row],[In sprint]]=1,(IF(Items[[#This Row],[Prio]]="",9,N(Items[[#This Row],[Prio]]))*10+(IF(Items[[#This Row],[State]]="DONE",1,0)))*100000+ROW(),"")</f>
      </c>
      <c r="X30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09" s="17">
        <f>IF(AND(Items[[#This Row],[State]]="DONE",N(Items[[#This Row],[Done on]])&gt;AsOf-7),(200000-N(Items[[#This Row],[Done on]]))*100000+ROW(),"")</f>
      </c>
    </row>
    <row r="310">
      <c r="A310" t="s">
        <v>529</v>
      </c>
      <c r="B310" t="s">
        <v>1527</v>
      </c>
      <c r="C310" t="s">
        <v>1115</v>
      </c>
      <c r="D310" t="s">
        <v>1119</v>
      </c>
      <c r="E310" t="s">
        <v>1134</v>
      </c>
      <c r="F310" t="s">
        <v>1528</v>
      </c>
      <c r="G310">
        <v>8</v>
      </c>
      <c r="H310">
        <v>1</v>
      </c>
      <c r="I310" s="11">
        <v>46119</v>
      </c>
      <c r="J310" s="17">
        <f>IF(Items[[#This Row],[ID]]="","",IFERROR(VALUE(LOOKUP(2,1/((Log[ID]=Items[[#This Row],[ID]])*(Log[Verb]="est")),Log[Arg])),N(Items[[#This Row],[Points]])))</f>
      </c>
      <c r="K310" s="17">
        <f>IF(Items[[#This Row],[ID]]="","",IFERROR(LOOKUP(2,1/((Log[ID]=Items[[#This Row],[ID]])*(Log[Verb]="pass")),Log[Arg])&amp;"",Items[[#This Row],[Team]]&amp;""))</f>
      </c>
      <c r="L310" s="17">
        <f>IF(Items[[#This Row],[ID]]="","",IFERROR(LOOKUP(2,1/((Log[ID]=Items[[#This Row],[ID]])*(Log[Into]&lt;&gt;"")),Log[Into]),""))</f>
      </c>
      <c r="M310" s="17">
        <f>IF(Items[[#This Row],[ID]]="","",IF(IFERROR(LOOKUP(2,1/((Log[ID]=Items[[#This Row],[ID]])*(Log[Blk]&lt;&gt;"")),Log[Blk]),0)=1,"Y",""))</f>
      </c>
      <c r="N310" s="17">
        <f>IF(Items[[#This Row],[ID]]="","",SUBSTITUTE(IFERROR(LOOKUP(2,1/((Log[ID]=Items[[#This Row],[ID]])*(Log[State]&lt;&gt;"")),Log[State]),"TODO"),"OPEN",IF(Items[[#This Row],[Blocked]]="Y","WAIT","OPEN")))</f>
      </c>
      <c r="O31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10" s="17">
        <f>IF(Items[[#This Row],[State]]&lt;&gt;"WAIT","",AsOf-Items[[#This Row],[Blocked since]])</f>
      </c>
      <c r="Q310" s="17">
        <f>IF(Items[[#This Row],[State]]&lt;&gt;"WAIT","",IFERROR(LOOKUP(2,1/((Log[ID]=Items[[#This Row],[ID]])*(Log[Verb]="block")),Log[Note])&amp;"",""))</f>
      </c>
      <c r="R310" s="17">
        <f>IF(Items[[#This Row],[ID]]="","",COUNTIFS(Log[ID],Items[[#This Row],[ID]],Log[Verb],"carry"))</f>
      </c>
      <c r="S310" s="17">
        <f>IF(Items[[#This Row],[ID]]="","",COUNTIFS(Log[ID],Items[[#This Row],[ID]],Log[Verb],"punt"))</f>
      </c>
      <c r="T310" s="11">
        <f>IF(Items[[#This Row],[State]]&lt;&gt;"DONE","",IFERROR(LOOKUP(2,1/((Log[ID]=Items[[#This Row],[ID]])*(Log[Verb]="done")),Log[Date]),""))</f>
      </c>
      <c r="U310" s="17">
        <f>IF(Items[[#This Row],[ID]]="","",IF(AND(Items[[#This Row],[Sprint]]=CurSprint,OR(Items[[#This Row],[State]]="OPEN",Items[[#This Row],[State]]="WAIT",Items[[#This Row],[State]]="HOLD",Items[[#This Row],[State]]="DONE")),1,0))</f>
      </c>
      <c r="V310" s="17">
        <f>IF(OR(Items[[#This Row],[ID]]="",Items[[#This Row],[Added]]=""),"",AsOf-Items[[#This Row],[Added]])</f>
      </c>
      <c r="W310" s="17">
        <f>IF(Items[[#This Row],[In sprint]]=1,(IF(Items[[#This Row],[Prio]]="",9,N(Items[[#This Row],[Prio]]))*10+(IF(Items[[#This Row],[State]]="DONE",1,0)))*100000+ROW(),"")</f>
      </c>
      <c r="X31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10" s="17">
        <f>IF(AND(Items[[#This Row],[State]]="DONE",N(Items[[#This Row],[Done on]])&gt;AsOf-7),(200000-N(Items[[#This Row],[Done on]]))*100000+ROW(),"")</f>
      </c>
    </row>
    <row r="311">
      <c r="A311" t="s">
        <v>581</v>
      </c>
      <c r="B311" t="s">
        <v>1529</v>
      </c>
      <c r="C311" t="s">
        <v>1107</v>
      </c>
      <c r="D311" t="s">
        <v>1127</v>
      </c>
      <c r="E311" t="s">
        <v>1134</v>
      </c>
      <c r="F311" t="s">
        <v>1244</v>
      </c>
      <c r="G311">
        <v>5</v>
      </c>
      <c r="H311">
        <v>1</v>
      </c>
      <c r="I311" s="11">
        <v>46119</v>
      </c>
      <c r="J311" s="17">
        <f>IF(Items[[#This Row],[ID]]="","",IFERROR(VALUE(LOOKUP(2,1/((Log[ID]=Items[[#This Row],[ID]])*(Log[Verb]="est")),Log[Arg])),N(Items[[#This Row],[Points]])))</f>
      </c>
      <c r="K311" s="17">
        <f>IF(Items[[#This Row],[ID]]="","",IFERROR(LOOKUP(2,1/((Log[ID]=Items[[#This Row],[ID]])*(Log[Verb]="pass")),Log[Arg])&amp;"",Items[[#This Row],[Team]]&amp;""))</f>
      </c>
      <c r="L311" s="17">
        <f>IF(Items[[#This Row],[ID]]="","",IFERROR(LOOKUP(2,1/((Log[ID]=Items[[#This Row],[ID]])*(Log[Into]&lt;&gt;"")),Log[Into]),""))</f>
      </c>
      <c r="M311" s="17">
        <f>IF(Items[[#This Row],[ID]]="","",IF(IFERROR(LOOKUP(2,1/((Log[ID]=Items[[#This Row],[ID]])*(Log[Blk]&lt;&gt;"")),Log[Blk]),0)=1,"Y",""))</f>
      </c>
      <c r="N311" s="17">
        <f>IF(Items[[#This Row],[ID]]="","",SUBSTITUTE(IFERROR(LOOKUP(2,1/((Log[ID]=Items[[#This Row],[ID]])*(Log[State]&lt;&gt;"")),Log[State]),"TODO"),"OPEN",IF(Items[[#This Row],[Blocked]]="Y","WAIT","OPEN")))</f>
      </c>
      <c r="O31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11" s="17">
        <f>IF(Items[[#This Row],[State]]&lt;&gt;"WAIT","",AsOf-Items[[#This Row],[Blocked since]])</f>
      </c>
      <c r="Q311" s="17">
        <f>IF(Items[[#This Row],[State]]&lt;&gt;"WAIT","",IFERROR(LOOKUP(2,1/((Log[ID]=Items[[#This Row],[ID]])*(Log[Verb]="block")),Log[Note])&amp;"",""))</f>
      </c>
      <c r="R311" s="17">
        <f>IF(Items[[#This Row],[ID]]="","",COUNTIFS(Log[ID],Items[[#This Row],[ID]],Log[Verb],"carry"))</f>
      </c>
      <c r="S311" s="17">
        <f>IF(Items[[#This Row],[ID]]="","",COUNTIFS(Log[ID],Items[[#This Row],[ID]],Log[Verb],"punt"))</f>
      </c>
      <c r="T311" s="11">
        <f>IF(Items[[#This Row],[State]]&lt;&gt;"DONE","",IFERROR(LOOKUP(2,1/((Log[ID]=Items[[#This Row],[ID]])*(Log[Verb]="done")),Log[Date]),""))</f>
      </c>
      <c r="U311" s="17">
        <f>IF(Items[[#This Row],[ID]]="","",IF(AND(Items[[#This Row],[Sprint]]=CurSprint,OR(Items[[#This Row],[State]]="OPEN",Items[[#This Row],[State]]="WAIT",Items[[#This Row],[State]]="HOLD",Items[[#This Row],[State]]="DONE")),1,0))</f>
      </c>
      <c r="V311" s="17">
        <f>IF(OR(Items[[#This Row],[ID]]="",Items[[#This Row],[Added]]=""),"",AsOf-Items[[#This Row],[Added]])</f>
      </c>
      <c r="W311" s="17">
        <f>IF(Items[[#This Row],[In sprint]]=1,(IF(Items[[#This Row],[Prio]]="",9,N(Items[[#This Row],[Prio]]))*10+(IF(Items[[#This Row],[State]]="DONE",1,0)))*100000+ROW(),"")</f>
      </c>
      <c r="X31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11" s="17">
        <f>IF(AND(Items[[#This Row],[State]]="DONE",N(Items[[#This Row],[Done on]])&gt;AsOf-7),(200000-N(Items[[#This Row],[Done on]]))*100000+ROW(),"")</f>
      </c>
    </row>
    <row r="312">
      <c r="A312" t="s">
        <v>422</v>
      </c>
      <c r="B312" t="s">
        <v>1530</v>
      </c>
      <c r="C312" t="s">
        <v>1107</v>
      </c>
      <c r="D312" t="s">
        <v>1127</v>
      </c>
      <c r="E312" t="s">
        <v>1139</v>
      </c>
      <c r="F312" t="s">
        <v>1319</v>
      </c>
      <c r="G312">
        <v>3</v>
      </c>
      <c r="H312">
        <v>2</v>
      </c>
      <c r="I312" s="11">
        <v>46119</v>
      </c>
      <c r="J312" s="17">
        <f>IF(Items[[#This Row],[ID]]="","",IFERROR(VALUE(LOOKUP(2,1/((Log[ID]=Items[[#This Row],[ID]])*(Log[Verb]="est")),Log[Arg])),N(Items[[#This Row],[Points]])))</f>
      </c>
      <c r="K312" s="17">
        <f>IF(Items[[#This Row],[ID]]="","",IFERROR(LOOKUP(2,1/((Log[ID]=Items[[#This Row],[ID]])*(Log[Verb]="pass")),Log[Arg])&amp;"",Items[[#This Row],[Team]]&amp;""))</f>
      </c>
      <c r="L312" s="17">
        <f>IF(Items[[#This Row],[ID]]="","",IFERROR(LOOKUP(2,1/((Log[ID]=Items[[#This Row],[ID]])*(Log[Into]&lt;&gt;"")),Log[Into]),""))</f>
      </c>
      <c r="M312" s="17">
        <f>IF(Items[[#This Row],[ID]]="","",IF(IFERROR(LOOKUP(2,1/((Log[ID]=Items[[#This Row],[ID]])*(Log[Blk]&lt;&gt;"")),Log[Blk]),0)=1,"Y",""))</f>
      </c>
      <c r="N312" s="17">
        <f>IF(Items[[#This Row],[ID]]="","",SUBSTITUTE(IFERROR(LOOKUP(2,1/((Log[ID]=Items[[#This Row],[ID]])*(Log[State]&lt;&gt;"")),Log[State]),"TODO"),"OPEN",IF(Items[[#This Row],[Blocked]]="Y","WAIT","OPEN")))</f>
      </c>
      <c r="O31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12" s="17">
        <f>IF(Items[[#This Row],[State]]&lt;&gt;"WAIT","",AsOf-Items[[#This Row],[Blocked since]])</f>
      </c>
      <c r="Q312" s="17">
        <f>IF(Items[[#This Row],[State]]&lt;&gt;"WAIT","",IFERROR(LOOKUP(2,1/((Log[ID]=Items[[#This Row],[ID]])*(Log[Verb]="block")),Log[Note])&amp;"",""))</f>
      </c>
      <c r="R312" s="17">
        <f>IF(Items[[#This Row],[ID]]="","",COUNTIFS(Log[ID],Items[[#This Row],[ID]],Log[Verb],"carry"))</f>
      </c>
      <c r="S312" s="17">
        <f>IF(Items[[#This Row],[ID]]="","",COUNTIFS(Log[ID],Items[[#This Row],[ID]],Log[Verb],"punt"))</f>
      </c>
      <c r="T312" s="11">
        <f>IF(Items[[#This Row],[State]]&lt;&gt;"DONE","",IFERROR(LOOKUP(2,1/((Log[ID]=Items[[#This Row],[ID]])*(Log[Verb]="done")),Log[Date]),""))</f>
      </c>
      <c r="U312" s="17">
        <f>IF(Items[[#This Row],[ID]]="","",IF(AND(Items[[#This Row],[Sprint]]=CurSprint,OR(Items[[#This Row],[State]]="OPEN",Items[[#This Row],[State]]="WAIT",Items[[#This Row],[State]]="HOLD",Items[[#This Row],[State]]="DONE")),1,0))</f>
      </c>
      <c r="V312" s="17">
        <f>IF(OR(Items[[#This Row],[ID]]="",Items[[#This Row],[Added]]=""),"",AsOf-Items[[#This Row],[Added]])</f>
      </c>
      <c r="W312" s="17">
        <f>IF(Items[[#This Row],[In sprint]]=1,(IF(Items[[#This Row],[Prio]]="",9,N(Items[[#This Row],[Prio]]))*10+(IF(Items[[#This Row],[State]]="DONE",1,0)))*100000+ROW(),"")</f>
      </c>
      <c r="X31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12" s="17">
        <f>IF(AND(Items[[#This Row],[State]]="DONE",N(Items[[#This Row],[Done on]])&gt;AsOf-7),(200000-N(Items[[#This Row],[Done on]]))*100000+ROW(),"")</f>
      </c>
    </row>
    <row r="313">
      <c r="A313" t="s">
        <v>479</v>
      </c>
      <c r="B313" t="s">
        <v>1531</v>
      </c>
      <c r="C313" t="s">
        <v>1107</v>
      </c>
      <c r="D313" t="s">
        <v>1127</v>
      </c>
      <c r="E313" t="s">
        <v>1139</v>
      </c>
      <c r="F313" t="s">
        <v>1323</v>
      </c>
      <c r="G313">
        <v>3</v>
      </c>
      <c r="H313">
        <v>2</v>
      </c>
      <c r="I313" s="11">
        <v>46119</v>
      </c>
      <c r="J313" s="17">
        <f>IF(Items[[#This Row],[ID]]="","",IFERROR(VALUE(LOOKUP(2,1/((Log[ID]=Items[[#This Row],[ID]])*(Log[Verb]="est")),Log[Arg])),N(Items[[#This Row],[Points]])))</f>
      </c>
      <c r="K313" s="17">
        <f>IF(Items[[#This Row],[ID]]="","",IFERROR(LOOKUP(2,1/((Log[ID]=Items[[#This Row],[ID]])*(Log[Verb]="pass")),Log[Arg])&amp;"",Items[[#This Row],[Team]]&amp;""))</f>
      </c>
      <c r="L313" s="17">
        <f>IF(Items[[#This Row],[ID]]="","",IFERROR(LOOKUP(2,1/((Log[ID]=Items[[#This Row],[ID]])*(Log[Into]&lt;&gt;"")),Log[Into]),""))</f>
      </c>
      <c r="M313" s="17">
        <f>IF(Items[[#This Row],[ID]]="","",IF(IFERROR(LOOKUP(2,1/((Log[ID]=Items[[#This Row],[ID]])*(Log[Blk]&lt;&gt;"")),Log[Blk]),0)=1,"Y",""))</f>
      </c>
      <c r="N313" s="17">
        <f>IF(Items[[#This Row],[ID]]="","",SUBSTITUTE(IFERROR(LOOKUP(2,1/((Log[ID]=Items[[#This Row],[ID]])*(Log[State]&lt;&gt;"")),Log[State]),"TODO"),"OPEN",IF(Items[[#This Row],[Blocked]]="Y","WAIT","OPEN")))</f>
      </c>
      <c r="O31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13" s="17">
        <f>IF(Items[[#This Row],[State]]&lt;&gt;"WAIT","",AsOf-Items[[#This Row],[Blocked since]])</f>
      </c>
      <c r="Q313" s="17">
        <f>IF(Items[[#This Row],[State]]&lt;&gt;"WAIT","",IFERROR(LOOKUP(2,1/((Log[ID]=Items[[#This Row],[ID]])*(Log[Verb]="block")),Log[Note])&amp;"",""))</f>
      </c>
      <c r="R313" s="17">
        <f>IF(Items[[#This Row],[ID]]="","",COUNTIFS(Log[ID],Items[[#This Row],[ID]],Log[Verb],"carry"))</f>
      </c>
      <c r="S313" s="17">
        <f>IF(Items[[#This Row],[ID]]="","",COUNTIFS(Log[ID],Items[[#This Row],[ID]],Log[Verb],"punt"))</f>
      </c>
      <c r="T313" s="11">
        <f>IF(Items[[#This Row],[State]]&lt;&gt;"DONE","",IFERROR(LOOKUP(2,1/((Log[ID]=Items[[#This Row],[ID]])*(Log[Verb]="done")),Log[Date]),""))</f>
      </c>
      <c r="U313" s="17">
        <f>IF(Items[[#This Row],[ID]]="","",IF(AND(Items[[#This Row],[Sprint]]=CurSprint,OR(Items[[#This Row],[State]]="OPEN",Items[[#This Row],[State]]="WAIT",Items[[#This Row],[State]]="HOLD",Items[[#This Row],[State]]="DONE")),1,0))</f>
      </c>
      <c r="V313" s="17">
        <f>IF(OR(Items[[#This Row],[ID]]="",Items[[#This Row],[Added]]=""),"",AsOf-Items[[#This Row],[Added]])</f>
      </c>
      <c r="W313" s="17">
        <f>IF(Items[[#This Row],[In sprint]]=1,(IF(Items[[#This Row],[Prio]]="",9,N(Items[[#This Row],[Prio]]))*10+(IF(Items[[#This Row],[State]]="DONE",1,0)))*100000+ROW(),"")</f>
      </c>
      <c r="X31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13" s="17">
        <f>IF(AND(Items[[#This Row],[State]]="DONE",N(Items[[#This Row],[Done on]])&gt;AsOf-7),(200000-N(Items[[#This Row],[Done on]]))*100000+ROW(),"")</f>
      </c>
    </row>
    <row r="314">
      <c r="A314" t="s">
        <v>480</v>
      </c>
      <c r="B314" t="s">
        <v>1532</v>
      </c>
      <c r="C314" t="s">
        <v>1115</v>
      </c>
      <c r="D314" t="s">
        <v>1116</v>
      </c>
      <c r="E314" t="s">
        <v>1139</v>
      </c>
      <c r="F314" t="s">
        <v>1323</v>
      </c>
      <c r="G314">
        <v>2</v>
      </c>
      <c r="H314">
        <v>3</v>
      </c>
      <c r="I314" s="11">
        <v>46119</v>
      </c>
      <c r="J314" s="17">
        <f>IF(Items[[#This Row],[ID]]="","",IFERROR(VALUE(LOOKUP(2,1/((Log[ID]=Items[[#This Row],[ID]])*(Log[Verb]="est")),Log[Arg])),N(Items[[#This Row],[Points]])))</f>
      </c>
      <c r="K314" s="17">
        <f>IF(Items[[#This Row],[ID]]="","",IFERROR(LOOKUP(2,1/((Log[ID]=Items[[#This Row],[ID]])*(Log[Verb]="pass")),Log[Arg])&amp;"",Items[[#This Row],[Team]]&amp;""))</f>
      </c>
      <c r="L314" s="17">
        <f>IF(Items[[#This Row],[ID]]="","",IFERROR(LOOKUP(2,1/((Log[ID]=Items[[#This Row],[ID]])*(Log[Into]&lt;&gt;"")),Log[Into]),""))</f>
      </c>
      <c r="M314" s="17">
        <f>IF(Items[[#This Row],[ID]]="","",IF(IFERROR(LOOKUP(2,1/((Log[ID]=Items[[#This Row],[ID]])*(Log[Blk]&lt;&gt;"")),Log[Blk]),0)=1,"Y",""))</f>
      </c>
      <c r="N314" s="17">
        <f>IF(Items[[#This Row],[ID]]="","",SUBSTITUTE(IFERROR(LOOKUP(2,1/((Log[ID]=Items[[#This Row],[ID]])*(Log[State]&lt;&gt;"")),Log[State]),"TODO"),"OPEN",IF(Items[[#This Row],[Blocked]]="Y","WAIT","OPEN")))</f>
      </c>
      <c r="O31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14" s="17">
        <f>IF(Items[[#This Row],[State]]&lt;&gt;"WAIT","",AsOf-Items[[#This Row],[Blocked since]])</f>
      </c>
      <c r="Q314" s="17">
        <f>IF(Items[[#This Row],[State]]&lt;&gt;"WAIT","",IFERROR(LOOKUP(2,1/((Log[ID]=Items[[#This Row],[ID]])*(Log[Verb]="block")),Log[Note])&amp;"",""))</f>
      </c>
      <c r="R314" s="17">
        <f>IF(Items[[#This Row],[ID]]="","",COUNTIFS(Log[ID],Items[[#This Row],[ID]],Log[Verb],"carry"))</f>
      </c>
      <c r="S314" s="17">
        <f>IF(Items[[#This Row],[ID]]="","",COUNTIFS(Log[ID],Items[[#This Row],[ID]],Log[Verb],"punt"))</f>
      </c>
      <c r="T314" s="11">
        <f>IF(Items[[#This Row],[State]]&lt;&gt;"DONE","",IFERROR(LOOKUP(2,1/((Log[ID]=Items[[#This Row],[ID]])*(Log[Verb]="done")),Log[Date]),""))</f>
      </c>
      <c r="U314" s="17">
        <f>IF(Items[[#This Row],[ID]]="","",IF(AND(Items[[#This Row],[Sprint]]=CurSprint,OR(Items[[#This Row],[State]]="OPEN",Items[[#This Row],[State]]="WAIT",Items[[#This Row],[State]]="HOLD",Items[[#This Row],[State]]="DONE")),1,0))</f>
      </c>
      <c r="V314" s="17">
        <f>IF(OR(Items[[#This Row],[ID]]="",Items[[#This Row],[Added]]=""),"",AsOf-Items[[#This Row],[Added]])</f>
      </c>
      <c r="W314" s="17">
        <f>IF(Items[[#This Row],[In sprint]]=1,(IF(Items[[#This Row],[Prio]]="",9,N(Items[[#This Row],[Prio]]))*10+(IF(Items[[#This Row],[State]]="DONE",1,0)))*100000+ROW(),"")</f>
      </c>
      <c r="X31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14" s="17">
        <f>IF(AND(Items[[#This Row],[State]]="DONE",N(Items[[#This Row],[Done on]])&gt;AsOf-7),(200000-N(Items[[#This Row],[Done on]]))*100000+ROW(),"")</f>
      </c>
    </row>
    <row r="315">
      <c r="A315" t="s">
        <v>481</v>
      </c>
      <c r="B315" t="s">
        <v>1533</v>
      </c>
      <c r="C315" t="s">
        <v>1115</v>
      </c>
      <c r="D315" t="s">
        <v>1119</v>
      </c>
      <c r="E315" t="s">
        <v>1139</v>
      </c>
      <c r="F315" t="s">
        <v>1249</v>
      </c>
      <c r="G315">
        <v>8</v>
      </c>
      <c r="H315">
        <v>3</v>
      </c>
      <c r="I315" s="11">
        <v>46119</v>
      </c>
      <c r="J315" s="17">
        <f>IF(Items[[#This Row],[ID]]="","",IFERROR(VALUE(LOOKUP(2,1/((Log[ID]=Items[[#This Row],[ID]])*(Log[Verb]="est")),Log[Arg])),N(Items[[#This Row],[Points]])))</f>
      </c>
      <c r="K315" s="17">
        <f>IF(Items[[#This Row],[ID]]="","",IFERROR(LOOKUP(2,1/((Log[ID]=Items[[#This Row],[ID]])*(Log[Verb]="pass")),Log[Arg])&amp;"",Items[[#This Row],[Team]]&amp;""))</f>
      </c>
      <c r="L315" s="17">
        <f>IF(Items[[#This Row],[ID]]="","",IFERROR(LOOKUP(2,1/((Log[ID]=Items[[#This Row],[ID]])*(Log[Into]&lt;&gt;"")),Log[Into]),""))</f>
      </c>
      <c r="M315" s="17">
        <f>IF(Items[[#This Row],[ID]]="","",IF(IFERROR(LOOKUP(2,1/((Log[ID]=Items[[#This Row],[ID]])*(Log[Blk]&lt;&gt;"")),Log[Blk]),0)=1,"Y",""))</f>
      </c>
      <c r="N315" s="17">
        <f>IF(Items[[#This Row],[ID]]="","",SUBSTITUTE(IFERROR(LOOKUP(2,1/((Log[ID]=Items[[#This Row],[ID]])*(Log[State]&lt;&gt;"")),Log[State]),"TODO"),"OPEN",IF(Items[[#This Row],[Blocked]]="Y","WAIT","OPEN")))</f>
      </c>
      <c r="O31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15" s="17">
        <f>IF(Items[[#This Row],[State]]&lt;&gt;"WAIT","",AsOf-Items[[#This Row],[Blocked since]])</f>
      </c>
      <c r="Q315" s="17">
        <f>IF(Items[[#This Row],[State]]&lt;&gt;"WAIT","",IFERROR(LOOKUP(2,1/((Log[ID]=Items[[#This Row],[ID]])*(Log[Verb]="block")),Log[Note])&amp;"",""))</f>
      </c>
      <c r="R315" s="17">
        <f>IF(Items[[#This Row],[ID]]="","",COUNTIFS(Log[ID],Items[[#This Row],[ID]],Log[Verb],"carry"))</f>
      </c>
      <c r="S315" s="17">
        <f>IF(Items[[#This Row],[ID]]="","",COUNTIFS(Log[ID],Items[[#This Row],[ID]],Log[Verb],"punt"))</f>
      </c>
      <c r="T315" s="11">
        <f>IF(Items[[#This Row],[State]]&lt;&gt;"DONE","",IFERROR(LOOKUP(2,1/((Log[ID]=Items[[#This Row],[ID]])*(Log[Verb]="done")),Log[Date]),""))</f>
      </c>
      <c r="U315" s="17">
        <f>IF(Items[[#This Row],[ID]]="","",IF(AND(Items[[#This Row],[Sprint]]=CurSprint,OR(Items[[#This Row],[State]]="OPEN",Items[[#This Row],[State]]="WAIT",Items[[#This Row],[State]]="HOLD",Items[[#This Row],[State]]="DONE")),1,0))</f>
      </c>
      <c r="V315" s="17">
        <f>IF(OR(Items[[#This Row],[ID]]="",Items[[#This Row],[Added]]=""),"",AsOf-Items[[#This Row],[Added]])</f>
      </c>
      <c r="W315" s="17">
        <f>IF(Items[[#This Row],[In sprint]]=1,(IF(Items[[#This Row],[Prio]]="",9,N(Items[[#This Row],[Prio]]))*10+(IF(Items[[#This Row],[State]]="DONE",1,0)))*100000+ROW(),"")</f>
      </c>
      <c r="X31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15" s="17">
        <f>IF(AND(Items[[#This Row],[State]]="DONE",N(Items[[#This Row],[Done on]])&gt;AsOf-7),(200000-N(Items[[#This Row],[Done on]]))*100000+ROW(),"")</f>
      </c>
    </row>
    <row r="316">
      <c r="A316" t="s">
        <v>427</v>
      </c>
      <c r="B316" t="s">
        <v>1534</v>
      </c>
      <c r="C316" t="s">
        <v>1107</v>
      </c>
      <c r="D316" t="s">
        <v>1108</v>
      </c>
      <c r="E316" t="s">
        <v>1177</v>
      </c>
      <c r="F316" t="s">
        <v>1327</v>
      </c>
      <c r="G316">
        <v>8</v>
      </c>
      <c r="H316">
        <v>2</v>
      </c>
      <c r="I316" s="11">
        <v>46119</v>
      </c>
      <c r="J316" s="17">
        <f>IF(Items[[#This Row],[ID]]="","",IFERROR(VALUE(LOOKUP(2,1/((Log[ID]=Items[[#This Row],[ID]])*(Log[Verb]="est")),Log[Arg])),N(Items[[#This Row],[Points]])))</f>
      </c>
      <c r="K316" s="17">
        <f>IF(Items[[#This Row],[ID]]="","",IFERROR(LOOKUP(2,1/((Log[ID]=Items[[#This Row],[ID]])*(Log[Verb]="pass")),Log[Arg])&amp;"",Items[[#This Row],[Team]]&amp;""))</f>
      </c>
      <c r="L316" s="17">
        <f>IF(Items[[#This Row],[ID]]="","",IFERROR(LOOKUP(2,1/((Log[ID]=Items[[#This Row],[ID]])*(Log[Into]&lt;&gt;"")),Log[Into]),""))</f>
      </c>
      <c r="M316" s="17">
        <f>IF(Items[[#This Row],[ID]]="","",IF(IFERROR(LOOKUP(2,1/((Log[ID]=Items[[#This Row],[ID]])*(Log[Blk]&lt;&gt;"")),Log[Blk]),0)=1,"Y",""))</f>
      </c>
      <c r="N316" s="17">
        <f>IF(Items[[#This Row],[ID]]="","",SUBSTITUTE(IFERROR(LOOKUP(2,1/((Log[ID]=Items[[#This Row],[ID]])*(Log[State]&lt;&gt;"")),Log[State]),"TODO"),"OPEN",IF(Items[[#This Row],[Blocked]]="Y","WAIT","OPEN")))</f>
      </c>
      <c r="O31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16" s="17">
        <f>IF(Items[[#This Row],[State]]&lt;&gt;"WAIT","",AsOf-Items[[#This Row],[Blocked since]])</f>
      </c>
      <c r="Q316" s="17">
        <f>IF(Items[[#This Row],[State]]&lt;&gt;"WAIT","",IFERROR(LOOKUP(2,1/((Log[ID]=Items[[#This Row],[ID]])*(Log[Verb]="block")),Log[Note])&amp;"",""))</f>
      </c>
      <c r="R316" s="17">
        <f>IF(Items[[#This Row],[ID]]="","",COUNTIFS(Log[ID],Items[[#This Row],[ID]],Log[Verb],"carry"))</f>
      </c>
      <c r="S316" s="17">
        <f>IF(Items[[#This Row],[ID]]="","",COUNTIFS(Log[ID],Items[[#This Row],[ID]],Log[Verb],"punt"))</f>
      </c>
      <c r="T316" s="11">
        <f>IF(Items[[#This Row],[State]]&lt;&gt;"DONE","",IFERROR(LOOKUP(2,1/((Log[ID]=Items[[#This Row],[ID]])*(Log[Verb]="done")),Log[Date]),""))</f>
      </c>
      <c r="U316" s="17">
        <f>IF(Items[[#This Row],[ID]]="","",IF(AND(Items[[#This Row],[Sprint]]=CurSprint,OR(Items[[#This Row],[State]]="OPEN",Items[[#This Row],[State]]="WAIT",Items[[#This Row],[State]]="HOLD",Items[[#This Row],[State]]="DONE")),1,0))</f>
      </c>
      <c r="V316" s="17">
        <f>IF(OR(Items[[#This Row],[ID]]="",Items[[#This Row],[Added]]=""),"",AsOf-Items[[#This Row],[Added]])</f>
      </c>
      <c r="W316" s="17">
        <f>IF(Items[[#This Row],[In sprint]]=1,(IF(Items[[#This Row],[Prio]]="",9,N(Items[[#This Row],[Prio]]))*10+(IF(Items[[#This Row],[State]]="DONE",1,0)))*100000+ROW(),"")</f>
      </c>
      <c r="X31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16" s="17">
        <f>IF(AND(Items[[#This Row],[State]]="DONE",N(Items[[#This Row],[Done on]])&gt;AsOf-7),(200000-N(Items[[#This Row],[Done on]]))*100000+ROW(),"")</f>
      </c>
    </row>
    <row r="317">
      <c r="A317" t="s">
        <v>428</v>
      </c>
      <c r="B317" t="s">
        <v>1535</v>
      </c>
      <c r="C317" t="s">
        <v>1107</v>
      </c>
      <c r="D317" t="s">
        <v>1127</v>
      </c>
      <c r="E317" t="s">
        <v>1177</v>
      </c>
      <c r="F317" t="s">
        <v>1182</v>
      </c>
      <c r="G317">
        <v>2</v>
      </c>
      <c r="H317">
        <v>2</v>
      </c>
      <c r="I317" s="11">
        <v>46119</v>
      </c>
      <c r="J317" s="17">
        <f>IF(Items[[#This Row],[ID]]="","",IFERROR(VALUE(LOOKUP(2,1/((Log[ID]=Items[[#This Row],[ID]])*(Log[Verb]="est")),Log[Arg])),N(Items[[#This Row],[Points]])))</f>
      </c>
      <c r="K317" s="17">
        <f>IF(Items[[#This Row],[ID]]="","",IFERROR(LOOKUP(2,1/((Log[ID]=Items[[#This Row],[ID]])*(Log[Verb]="pass")),Log[Arg])&amp;"",Items[[#This Row],[Team]]&amp;""))</f>
      </c>
      <c r="L317" s="17">
        <f>IF(Items[[#This Row],[ID]]="","",IFERROR(LOOKUP(2,1/((Log[ID]=Items[[#This Row],[ID]])*(Log[Into]&lt;&gt;"")),Log[Into]),""))</f>
      </c>
      <c r="M317" s="17">
        <f>IF(Items[[#This Row],[ID]]="","",IF(IFERROR(LOOKUP(2,1/((Log[ID]=Items[[#This Row],[ID]])*(Log[Blk]&lt;&gt;"")),Log[Blk]),0)=1,"Y",""))</f>
      </c>
      <c r="N317" s="17">
        <f>IF(Items[[#This Row],[ID]]="","",SUBSTITUTE(IFERROR(LOOKUP(2,1/((Log[ID]=Items[[#This Row],[ID]])*(Log[State]&lt;&gt;"")),Log[State]),"TODO"),"OPEN",IF(Items[[#This Row],[Blocked]]="Y","WAIT","OPEN")))</f>
      </c>
      <c r="O31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17" s="17">
        <f>IF(Items[[#This Row],[State]]&lt;&gt;"WAIT","",AsOf-Items[[#This Row],[Blocked since]])</f>
      </c>
      <c r="Q317" s="17">
        <f>IF(Items[[#This Row],[State]]&lt;&gt;"WAIT","",IFERROR(LOOKUP(2,1/((Log[ID]=Items[[#This Row],[ID]])*(Log[Verb]="block")),Log[Note])&amp;"",""))</f>
      </c>
      <c r="R317" s="17">
        <f>IF(Items[[#This Row],[ID]]="","",COUNTIFS(Log[ID],Items[[#This Row],[ID]],Log[Verb],"carry"))</f>
      </c>
      <c r="S317" s="17">
        <f>IF(Items[[#This Row],[ID]]="","",COUNTIFS(Log[ID],Items[[#This Row],[ID]],Log[Verb],"punt"))</f>
      </c>
      <c r="T317" s="11">
        <f>IF(Items[[#This Row],[State]]&lt;&gt;"DONE","",IFERROR(LOOKUP(2,1/((Log[ID]=Items[[#This Row],[ID]])*(Log[Verb]="done")),Log[Date]),""))</f>
      </c>
      <c r="U317" s="17">
        <f>IF(Items[[#This Row],[ID]]="","",IF(AND(Items[[#This Row],[Sprint]]=CurSprint,OR(Items[[#This Row],[State]]="OPEN",Items[[#This Row],[State]]="WAIT",Items[[#This Row],[State]]="HOLD",Items[[#This Row],[State]]="DONE")),1,0))</f>
      </c>
      <c r="V317" s="17">
        <f>IF(OR(Items[[#This Row],[ID]]="",Items[[#This Row],[Added]]=""),"",AsOf-Items[[#This Row],[Added]])</f>
      </c>
      <c r="W317" s="17">
        <f>IF(Items[[#This Row],[In sprint]]=1,(IF(Items[[#This Row],[Prio]]="",9,N(Items[[#This Row],[Prio]]))*10+(IF(Items[[#This Row],[State]]="DONE",1,0)))*100000+ROW(),"")</f>
      </c>
      <c r="X31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17" s="17">
        <f>IF(AND(Items[[#This Row],[State]]="DONE",N(Items[[#This Row],[Done on]])&gt;AsOf-7),(200000-N(Items[[#This Row],[Done on]]))*100000+ROW(),"")</f>
      </c>
    </row>
    <row r="318">
      <c r="A318" t="s">
        <v>484</v>
      </c>
      <c r="B318" t="s">
        <v>1536</v>
      </c>
      <c r="C318" t="s">
        <v>1107</v>
      </c>
      <c r="D318" t="s">
        <v>1123</v>
      </c>
      <c r="E318" t="s">
        <v>1177</v>
      </c>
      <c r="F318" t="s">
        <v>1261</v>
      </c>
      <c r="G318">
        <v>5</v>
      </c>
      <c r="H318">
        <v>1</v>
      </c>
      <c r="I318" s="11">
        <v>46119</v>
      </c>
      <c r="J318" s="17">
        <f>IF(Items[[#This Row],[ID]]="","",IFERROR(VALUE(LOOKUP(2,1/((Log[ID]=Items[[#This Row],[ID]])*(Log[Verb]="est")),Log[Arg])),N(Items[[#This Row],[Points]])))</f>
      </c>
      <c r="K318" s="17">
        <f>IF(Items[[#This Row],[ID]]="","",IFERROR(LOOKUP(2,1/((Log[ID]=Items[[#This Row],[ID]])*(Log[Verb]="pass")),Log[Arg])&amp;"",Items[[#This Row],[Team]]&amp;""))</f>
      </c>
      <c r="L318" s="17">
        <f>IF(Items[[#This Row],[ID]]="","",IFERROR(LOOKUP(2,1/((Log[ID]=Items[[#This Row],[ID]])*(Log[Into]&lt;&gt;"")),Log[Into]),""))</f>
      </c>
      <c r="M318" s="17">
        <f>IF(Items[[#This Row],[ID]]="","",IF(IFERROR(LOOKUP(2,1/((Log[ID]=Items[[#This Row],[ID]])*(Log[Blk]&lt;&gt;"")),Log[Blk]),0)=1,"Y",""))</f>
      </c>
      <c r="N318" s="17">
        <f>IF(Items[[#This Row],[ID]]="","",SUBSTITUTE(IFERROR(LOOKUP(2,1/((Log[ID]=Items[[#This Row],[ID]])*(Log[State]&lt;&gt;"")),Log[State]),"TODO"),"OPEN",IF(Items[[#This Row],[Blocked]]="Y","WAIT","OPEN")))</f>
      </c>
      <c r="O31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18" s="17">
        <f>IF(Items[[#This Row],[State]]&lt;&gt;"WAIT","",AsOf-Items[[#This Row],[Blocked since]])</f>
      </c>
      <c r="Q318" s="17">
        <f>IF(Items[[#This Row],[State]]&lt;&gt;"WAIT","",IFERROR(LOOKUP(2,1/((Log[ID]=Items[[#This Row],[ID]])*(Log[Verb]="block")),Log[Note])&amp;"",""))</f>
      </c>
      <c r="R318" s="17">
        <f>IF(Items[[#This Row],[ID]]="","",COUNTIFS(Log[ID],Items[[#This Row],[ID]],Log[Verb],"carry"))</f>
      </c>
      <c r="S318" s="17">
        <f>IF(Items[[#This Row],[ID]]="","",COUNTIFS(Log[ID],Items[[#This Row],[ID]],Log[Verb],"punt"))</f>
      </c>
      <c r="T318" s="11">
        <f>IF(Items[[#This Row],[State]]&lt;&gt;"DONE","",IFERROR(LOOKUP(2,1/((Log[ID]=Items[[#This Row],[ID]])*(Log[Verb]="done")),Log[Date]),""))</f>
      </c>
      <c r="U318" s="17">
        <f>IF(Items[[#This Row],[ID]]="","",IF(AND(Items[[#This Row],[Sprint]]=CurSprint,OR(Items[[#This Row],[State]]="OPEN",Items[[#This Row],[State]]="WAIT",Items[[#This Row],[State]]="HOLD",Items[[#This Row],[State]]="DONE")),1,0))</f>
      </c>
      <c r="V318" s="17">
        <f>IF(OR(Items[[#This Row],[ID]]="",Items[[#This Row],[Added]]=""),"",AsOf-Items[[#This Row],[Added]])</f>
      </c>
      <c r="W318" s="17">
        <f>IF(Items[[#This Row],[In sprint]]=1,(IF(Items[[#This Row],[Prio]]="",9,N(Items[[#This Row],[Prio]]))*10+(IF(Items[[#This Row],[State]]="DONE",1,0)))*100000+ROW(),"")</f>
      </c>
      <c r="X31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18" s="17">
        <f>IF(AND(Items[[#This Row],[State]]="DONE",N(Items[[#This Row],[Done on]])&gt;AsOf-7),(200000-N(Items[[#This Row],[Done on]]))*100000+ROW(),"")</f>
      </c>
    </row>
    <row r="319">
      <c r="A319" t="s">
        <v>485</v>
      </c>
      <c r="B319" t="s">
        <v>1537</v>
      </c>
      <c r="C319" t="s">
        <v>1107</v>
      </c>
      <c r="D319" t="s">
        <v>1108</v>
      </c>
      <c r="E319" t="s">
        <v>1177</v>
      </c>
      <c r="F319" t="s">
        <v>1327</v>
      </c>
      <c r="G319">
        <v>5</v>
      </c>
      <c r="H319">
        <v>1</v>
      </c>
      <c r="I319" s="11">
        <v>46119</v>
      </c>
      <c r="J319" s="17">
        <f>IF(Items[[#This Row],[ID]]="","",IFERROR(VALUE(LOOKUP(2,1/((Log[ID]=Items[[#This Row],[ID]])*(Log[Verb]="est")),Log[Arg])),N(Items[[#This Row],[Points]])))</f>
      </c>
      <c r="K319" s="17">
        <f>IF(Items[[#This Row],[ID]]="","",IFERROR(LOOKUP(2,1/((Log[ID]=Items[[#This Row],[ID]])*(Log[Verb]="pass")),Log[Arg])&amp;"",Items[[#This Row],[Team]]&amp;""))</f>
      </c>
      <c r="L319" s="17">
        <f>IF(Items[[#This Row],[ID]]="","",IFERROR(LOOKUP(2,1/((Log[ID]=Items[[#This Row],[ID]])*(Log[Into]&lt;&gt;"")),Log[Into]),""))</f>
      </c>
      <c r="M319" s="17">
        <f>IF(Items[[#This Row],[ID]]="","",IF(IFERROR(LOOKUP(2,1/((Log[ID]=Items[[#This Row],[ID]])*(Log[Blk]&lt;&gt;"")),Log[Blk]),0)=1,"Y",""))</f>
      </c>
      <c r="N319" s="17">
        <f>IF(Items[[#This Row],[ID]]="","",SUBSTITUTE(IFERROR(LOOKUP(2,1/((Log[ID]=Items[[#This Row],[ID]])*(Log[State]&lt;&gt;"")),Log[State]),"TODO"),"OPEN",IF(Items[[#This Row],[Blocked]]="Y","WAIT","OPEN")))</f>
      </c>
      <c r="O31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19" s="17">
        <f>IF(Items[[#This Row],[State]]&lt;&gt;"WAIT","",AsOf-Items[[#This Row],[Blocked since]])</f>
      </c>
      <c r="Q319" s="17">
        <f>IF(Items[[#This Row],[State]]&lt;&gt;"WAIT","",IFERROR(LOOKUP(2,1/((Log[ID]=Items[[#This Row],[ID]])*(Log[Verb]="block")),Log[Note])&amp;"",""))</f>
      </c>
      <c r="R319" s="17">
        <f>IF(Items[[#This Row],[ID]]="","",COUNTIFS(Log[ID],Items[[#This Row],[ID]],Log[Verb],"carry"))</f>
      </c>
      <c r="S319" s="17">
        <f>IF(Items[[#This Row],[ID]]="","",COUNTIFS(Log[ID],Items[[#This Row],[ID]],Log[Verb],"punt"))</f>
      </c>
      <c r="T319" s="11">
        <f>IF(Items[[#This Row],[State]]&lt;&gt;"DONE","",IFERROR(LOOKUP(2,1/((Log[ID]=Items[[#This Row],[ID]])*(Log[Verb]="done")),Log[Date]),""))</f>
      </c>
      <c r="U319" s="17">
        <f>IF(Items[[#This Row],[ID]]="","",IF(AND(Items[[#This Row],[Sprint]]=CurSprint,OR(Items[[#This Row],[State]]="OPEN",Items[[#This Row],[State]]="WAIT",Items[[#This Row],[State]]="HOLD",Items[[#This Row],[State]]="DONE")),1,0))</f>
      </c>
      <c r="V319" s="17">
        <f>IF(OR(Items[[#This Row],[ID]]="",Items[[#This Row],[Added]]=""),"",AsOf-Items[[#This Row],[Added]])</f>
      </c>
      <c r="W319" s="17">
        <f>IF(Items[[#This Row],[In sprint]]=1,(IF(Items[[#This Row],[Prio]]="",9,N(Items[[#This Row],[Prio]]))*10+(IF(Items[[#This Row],[State]]="DONE",1,0)))*100000+ROW(),"")</f>
      </c>
      <c r="X31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19" s="17">
        <f>IF(AND(Items[[#This Row],[State]]="DONE",N(Items[[#This Row],[Done on]])&gt;AsOf-7),(200000-N(Items[[#This Row],[Done on]]))*100000+ROW(),"")</f>
      </c>
    </row>
    <row r="320">
      <c r="A320" t="s">
        <v>486</v>
      </c>
      <c r="B320" t="s">
        <v>1538</v>
      </c>
      <c r="C320" t="s">
        <v>1115</v>
      </c>
      <c r="D320" t="s">
        <v>1116</v>
      </c>
      <c r="E320" t="s">
        <v>1177</v>
      </c>
      <c r="F320" t="s">
        <v>1261</v>
      </c>
      <c r="G320">
        <v>3</v>
      </c>
      <c r="H320">
        <v>3</v>
      </c>
      <c r="I320" s="11">
        <v>46119</v>
      </c>
      <c r="J320" s="17">
        <f>IF(Items[[#This Row],[ID]]="","",IFERROR(VALUE(LOOKUP(2,1/((Log[ID]=Items[[#This Row],[ID]])*(Log[Verb]="est")),Log[Arg])),N(Items[[#This Row],[Points]])))</f>
      </c>
      <c r="K320" s="17">
        <f>IF(Items[[#This Row],[ID]]="","",IFERROR(LOOKUP(2,1/((Log[ID]=Items[[#This Row],[ID]])*(Log[Verb]="pass")),Log[Arg])&amp;"",Items[[#This Row],[Team]]&amp;""))</f>
      </c>
      <c r="L320" s="17">
        <f>IF(Items[[#This Row],[ID]]="","",IFERROR(LOOKUP(2,1/((Log[ID]=Items[[#This Row],[ID]])*(Log[Into]&lt;&gt;"")),Log[Into]),""))</f>
      </c>
      <c r="M320" s="17">
        <f>IF(Items[[#This Row],[ID]]="","",IF(IFERROR(LOOKUP(2,1/((Log[ID]=Items[[#This Row],[ID]])*(Log[Blk]&lt;&gt;"")),Log[Blk]),0)=1,"Y",""))</f>
      </c>
      <c r="N320" s="17">
        <f>IF(Items[[#This Row],[ID]]="","",SUBSTITUTE(IFERROR(LOOKUP(2,1/((Log[ID]=Items[[#This Row],[ID]])*(Log[State]&lt;&gt;"")),Log[State]),"TODO"),"OPEN",IF(Items[[#This Row],[Blocked]]="Y","WAIT","OPEN")))</f>
      </c>
      <c r="O32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20" s="17">
        <f>IF(Items[[#This Row],[State]]&lt;&gt;"WAIT","",AsOf-Items[[#This Row],[Blocked since]])</f>
      </c>
      <c r="Q320" s="17">
        <f>IF(Items[[#This Row],[State]]&lt;&gt;"WAIT","",IFERROR(LOOKUP(2,1/((Log[ID]=Items[[#This Row],[ID]])*(Log[Verb]="block")),Log[Note])&amp;"",""))</f>
      </c>
      <c r="R320" s="17">
        <f>IF(Items[[#This Row],[ID]]="","",COUNTIFS(Log[ID],Items[[#This Row],[ID]],Log[Verb],"carry"))</f>
      </c>
      <c r="S320" s="17">
        <f>IF(Items[[#This Row],[ID]]="","",COUNTIFS(Log[ID],Items[[#This Row],[ID]],Log[Verb],"punt"))</f>
      </c>
      <c r="T320" s="11">
        <f>IF(Items[[#This Row],[State]]&lt;&gt;"DONE","",IFERROR(LOOKUP(2,1/((Log[ID]=Items[[#This Row],[ID]])*(Log[Verb]="done")),Log[Date]),""))</f>
      </c>
      <c r="U320" s="17">
        <f>IF(Items[[#This Row],[ID]]="","",IF(AND(Items[[#This Row],[Sprint]]=CurSprint,OR(Items[[#This Row],[State]]="OPEN",Items[[#This Row],[State]]="WAIT",Items[[#This Row],[State]]="HOLD",Items[[#This Row],[State]]="DONE")),1,0))</f>
      </c>
      <c r="V320" s="17">
        <f>IF(OR(Items[[#This Row],[ID]]="",Items[[#This Row],[Added]]=""),"",AsOf-Items[[#This Row],[Added]])</f>
      </c>
      <c r="W320" s="17">
        <f>IF(Items[[#This Row],[In sprint]]=1,(IF(Items[[#This Row],[Prio]]="",9,N(Items[[#This Row],[Prio]]))*10+(IF(Items[[#This Row],[State]]="DONE",1,0)))*100000+ROW(),"")</f>
      </c>
      <c r="X32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20" s="17">
        <f>IF(AND(Items[[#This Row],[State]]="DONE",N(Items[[#This Row],[Done on]])&gt;AsOf-7),(200000-N(Items[[#This Row],[Done on]]))*100000+ROW(),"")</f>
      </c>
    </row>
    <row r="321">
      <c r="A321" t="s">
        <v>487</v>
      </c>
      <c r="B321" t="s">
        <v>1539</v>
      </c>
      <c r="C321" t="s">
        <v>1107</v>
      </c>
      <c r="D321" t="s">
        <v>1108</v>
      </c>
      <c r="E321" t="s">
        <v>1177</v>
      </c>
      <c r="F321" t="s">
        <v>1400</v>
      </c>
      <c r="G321">
        <v>8</v>
      </c>
      <c r="H321">
        <v>3</v>
      </c>
      <c r="I321" s="11">
        <v>46119</v>
      </c>
      <c r="J321" s="17">
        <f>IF(Items[[#This Row],[ID]]="","",IFERROR(VALUE(LOOKUP(2,1/((Log[ID]=Items[[#This Row],[ID]])*(Log[Verb]="est")),Log[Arg])),N(Items[[#This Row],[Points]])))</f>
      </c>
      <c r="K321" s="17">
        <f>IF(Items[[#This Row],[ID]]="","",IFERROR(LOOKUP(2,1/((Log[ID]=Items[[#This Row],[ID]])*(Log[Verb]="pass")),Log[Arg])&amp;"",Items[[#This Row],[Team]]&amp;""))</f>
      </c>
      <c r="L321" s="17">
        <f>IF(Items[[#This Row],[ID]]="","",IFERROR(LOOKUP(2,1/((Log[ID]=Items[[#This Row],[ID]])*(Log[Into]&lt;&gt;"")),Log[Into]),""))</f>
      </c>
      <c r="M321" s="17">
        <f>IF(Items[[#This Row],[ID]]="","",IF(IFERROR(LOOKUP(2,1/((Log[ID]=Items[[#This Row],[ID]])*(Log[Blk]&lt;&gt;"")),Log[Blk]),0)=1,"Y",""))</f>
      </c>
      <c r="N321" s="17">
        <f>IF(Items[[#This Row],[ID]]="","",SUBSTITUTE(IFERROR(LOOKUP(2,1/((Log[ID]=Items[[#This Row],[ID]])*(Log[State]&lt;&gt;"")),Log[State]),"TODO"),"OPEN",IF(Items[[#This Row],[Blocked]]="Y","WAIT","OPEN")))</f>
      </c>
      <c r="O32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21" s="17">
        <f>IF(Items[[#This Row],[State]]&lt;&gt;"WAIT","",AsOf-Items[[#This Row],[Blocked since]])</f>
      </c>
      <c r="Q321" s="17">
        <f>IF(Items[[#This Row],[State]]&lt;&gt;"WAIT","",IFERROR(LOOKUP(2,1/((Log[ID]=Items[[#This Row],[ID]])*(Log[Verb]="block")),Log[Note])&amp;"",""))</f>
      </c>
      <c r="R321" s="17">
        <f>IF(Items[[#This Row],[ID]]="","",COUNTIFS(Log[ID],Items[[#This Row],[ID]],Log[Verb],"carry"))</f>
      </c>
      <c r="S321" s="17">
        <f>IF(Items[[#This Row],[ID]]="","",COUNTIFS(Log[ID],Items[[#This Row],[ID]],Log[Verb],"punt"))</f>
      </c>
      <c r="T321" s="11">
        <f>IF(Items[[#This Row],[State]]&lt;&gt;"DONE","",IFERROR(LOOKUP(2,1/((Log[ID]=Items[[#This Row],[ID]])*(Log[Verb]="done")),Log[Date]),""))</f>
      </c>
      <c r="U321" s="17">
        <f>IF(Items[[#This Row],[ID]]="","",IF(AND(Items[[#This Row],[Sprint]]=CurSprint,OR(Items[[#This Row],[State]]="OPEN",Items[[#This Row],[State]]="WAIT",Items[[#This Row],[State]]="HOLD",Items[[#This Row],[State]]="DONE")),1,0))</f>
      </c>
      <c r="V321" s="17">
        <f>IF(OR(Items[[#This Row],[ID]]="",Items[[#This Row],[Added]]=""),"",AsOf-Items[[#This Row],[Added]])</f>
      </c>
      <c r="W321" s="17">
        <f>IF(Items[[#This Row],[In sprint]]=1,(IF(Items[[#This Row],[Prio]]="",9,N(Items[[#This Row],[Prio]]))*10+(IF(Items[[#This Row],[State]]="DONE",1,0)))*100000+ROW(),"")</f>
      </c>
      <c r="X32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21" s="17">
        <f>IF(AND(Items[[#This Row],[State]]="DONE",N(Items[[#This Row],[Done on]])&gt;AsOf-7),(200000-N(Items[[#This Row],[Done on]]))*100000+ROW(),"")</f>
      </c>
    </row>
    <row r="322">
      <c r="A322" t="s">
        <v>493</v>
      </c>
      <c r="B322" t="s">
        <v>1540</v>
      </c>
      <c r="C322" t="s">
        <v>1115</v>
      </c>
      <c r="D322" t="s">
        <v>1116</v>
      </c>
      <c r="E322" t="s">
        <v>1112</v>
      </c>
      <c r="F322" t="s">
        <v>1142</v>
      </c>
      <c r="G322">
        <v>3</v>
      </c>
      <c r="H322">
        <v>1</v>
      </c>
      <c r="I322" s="11">
        <v>46133</v>
      </c>
      <c r="J322" s="17">
        <f>IF(Items[[#This Row],[ID]]="","",IFERROR(VALUE(LOOKUP(2,1/((Log[ID]=Items[[#This Row],[ID]])*(Log[Verb]="est")),Log[Arg])),N(Items[[#This Row],[Points]])))</f>
      </c>
      <c r="K322" s="17">
        <f>IF(Items[[#This Row],[ID]]="","",IFERROR(LOOKUP(2,1/((Log[ID]=Items[[#This Row],[ID]])*(Log[Verb]="pass")),Log[Arg])&amp;"",Items[[#This Row],[Team]]&amp;""))</f>
      </c>
      <c r="L322" s="17">
        <f>IF(Items[[#This Row],[ID]]="","",IFERROR(LOOKUP(2,1/((Log[ID]=Items[[#This Row],[ID]])*(Log[Into]&lt;&gt;"")),Log[Into]),""))</f>
      </c>
      <c r="M322" s="17">
        <f>IF(Items[[#This Row],[ID]]="","",IF(IFERROR(LOOKUP(2,1/((Log[ID]=Items[[#This Row],[ID]])*(Log[Blk]&lt;&gt;"")),Log[Blk]),0)=1,"Y",""))</f>
      </c>
      <c r="N322" s="17">
        <f>IF(Items[[#This Row],[ID]]="","",SUBSTITUTE(IFERROR(LOOKUP(2,1/((Log[ID]=Items[[#This Row],[ID]])*(Log[State]&lt;&gt;"")),Log[State]),"TODO"),"OPEN",IF(Items[[#This Row],[Blocked]]="Y","WAIT","OPEN")))</f>
      </c>
      <c r="O32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22" s="17">
        <f>IF(Items[[#This Row],[State]]&lt;&gt;"WAIT","",AsOf-Items[[#This Row],[Blocked since]])</f>
      </c>
      <c r="Q322" s="17">
        <f>IF(Items[[#This Row],[State]]&lt;&gt;"WAIT","",IFERROR(LOOKUP(2,1/((Log[ID]=Items[[#This Row],[ID]])*(Log[Verb]="block")),Log[Note])&amp;"",""))</f>
      </c>
      <c r="R322" s="17">
        <f>IF(Items[[#This Row],[ID]]="","",COUNTIFS(Log[ID],Items[[#This Row],[ID]],Log[Verb],"carry"))</f>
      </c>
      <c r="S322" s="17">
        <f>IF(Items[[#This Row],[ID]]="","",COUNTIFS(Log[ID],Items[[#This Row],[ID]],Log[Verb],"punt"))</f>
      </c>
      <c r="T322" s="11">
        <f>IF(Items[[#This Row],[State]]&lt;&gt;"DONE","",IFERROR(LOOKUP(2,1/((Log[ID]=Items[[#This Row],[ID]])*(Log[Verb]="done")),Log[Date]),""))</f>
      </c>
      <c r="U322" s="17">
        <f>IF(Items[[#This Row],[ID]]="","",IF(AND(Items[[#This Row],[Sprint]]=CurSprint,OR(Items[[#This Row],[State]]="OPEN",Items[[#This Row],[State]]="WAIT",Items[[#This Row],[State]]="HOLD",Items[[#This Row],[State]]="DONE")),1,0))</f>
      </c>
      <c r="V322" s="17">
        <f>IF(OR(Items[[#This Row],[ID]]="",Items[[#This Row],[Added]]=""),"",AsOf-Items[[#This Row],[Added]])</f>
      </c>
      <c r="W322" s="17">
        <f>IF(Items[[#This Row],[In sprint]]=1,(IF(Items[[#This Row],[Prio]]="",9,N(Items[[#This Row],[Prio]]))*10+(IF(Items[[#This Row],[State]]="DONE",1,0)))*100000+ROW(),"")</f>
      </c>
      <c r="X32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22" s="17">
        <f>IF(AND(Items[[#This Row],[State]]="DONE",N(Items[[#This Row],[Done on]])&gt;AsOf-7),(200000-N(Items[[#This Row],[Done on]]))*100000+ROW(),"")</f>
      </c>
    </row>
    <row r="323">
      <c r="A323" t="s">
        <v>494</v>
      </c>
      <c r="B323" t="s">
        <v>1541</v>
      </c>
      <c r="C323" t="s">
        <v>1107</v>
      </c>
      <c r="D323" t="s">
        <v>1123</v>
      </c>
      <c r="E323" t="s">
        <v>1112</v>
      </c>
      <c r="F323" t="s">
        <v>1412</v>
      </c>
      <c r="G323">
        <v>2</v>
      </c>
      <c r="H323">
        <v>3</v>
      </c>
      <c r="I323" s="11">
        <v>46133</v>
      </c>
      <c r="J323" s="17">
        <f>IF(Items[[#This Row],[ID]]="","",IFERROR(VALUE(LOOKUP(2,1/((Log[ID]=Items[[#This Row],[ID]])*(Log[Verb]="est")),Log[Arg])),N(Items[[#This Row],[Points]])))</f>
      </c>
      <c r="K323" s="17">
        <f>IF(Items[[#This Row],[ID]]="","",IFERROR(LOOKUP(2,1/((Log[ID]=Items[[#This Row],[ID]])*(Log[Verb]="pass")),Log[Arg])&amp;"",Items[[#This Row],[Team]]&amp;""))</f>
      </c>
      <c r="L323" s="17">
        <f>IF(Items[[#This Row],[ID]]="","",IFERROR(LOOKUP(2,1/((Log[ID]=Items[[#This Row],[ID]])*(Log[Into]&lt;&gt;"")),Log[Into]),""))</f>
      </c>
      <c r="M323" s="17">
        <f>IF(Items[[#This Row],[ID]]="","",IF(IFERROR(LOOKUP(2,1/((Log[ID]=Items[[#This Row],[ID]])*(Log[Blk]&lt;&gt;"")),Log[Blk]),0)=1,"Y",""))</f>
      </c>
      <c r="N323" s="17">
        <f>IF(Items[[#This Row],[ID]]="","",SUBSTITUTE(IFERROR(LOOKUP(2,1/((Log[ID]=Items[[#This Row],[ID]])*(Log[State]&lt;&gt;"")),Log[State]),"TODO"),"OPEN",IF(Items[[#This Row],[Blocked]]="Y","WAIT","OPEN")))</f>
      </c>
      <c r="O32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23" s="17">
        <f>IF(Items[[#This Row],[State]]&lt;&gt;"WAIT","",AsOf-Items[[#This Row],[Blocked since]])</f>
      </c>
      <c r="Q323" s="17">
        <f>IF(Items[[#This Row],[State]]&lt;&gt;"WAIT","",IFERROR(LOOKUP(2,1/((Log[ID]=Items[[#This Row],[ID]])*(Log[Verb]="block")),Log[Note])&amp;"",""))</f>
      </c>
      <c r="R323" s="17">
        <f>IF(Items[[#This Row],[ID]]="","",COUNTIFS(Log[ID],Items[[#This Row],[ID]],Log[Verb],"carry"))</f>
      </c>
      <c r="S323" s="17">
        <f>IF(Items[[#This Row],[ID]]="","",COUNTIFS(Log[ID],Items[[#This Row],[ID]],Log[Verb],"punt"))</f>
      </c>
      <c r="T323" s="11">
        <f>IF(Items[[#This Row],[State]]&lt;&gt;"DONE","",IFERROR(LOOKUP(2,1/((Log[ID]=Items[[#This Row],[ID]])*(Log[Verb]="done")),Log[Date]),""))</f>
      </c>
      <c r="U323" s="17">
        <f>IF(Items[[#This Row],[ID]]="","",IF(AND(Items[[#This Row],[Sprint]]=CurSprint,OR(Items[[#This Row],[State]]="OPEN",Items[[#This Row],[State]]="WAIT",Items[[#This Row],[State]]="HOLD",Items[[#This Row],[State]]="DONE")),1,0))</f>
      </c>
      <c r="V323" s="17">
        <f>IF(OR(Items[[#This Row],[ID]]="",Items[[#This Row],[Added]]=""),"",AsOf-Items[[#This Row],[Added]])</f>
      </c>
      <c r="W323" s="17">
        <f>IF(Items[[#This Row],[In sprint]]=1,(IF(Items[[#This Row],[Prio]]="",9,N(Items[[#This Row],[Prio]]))*10+(IF(Items[[#This Row],[State]]="DONE",1,0)))*100000+ROW(),"")</f>
      </c>
      <c r="X32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23" s="17">
        <f>IF(AND(Items[[#This Row],[State]]="DONE",N(Items[[#This Row],[Done on]])&gt;AsOf-7),(200000-N(Items[[#This Row],[Done on]]))*100000+ROW(),"")</f>
      </c>
    </row>
    <row r="324">
      <c r="A324" t="s">
        <v>495</v>
      </c>
      <c r="B324" t="s">
        <v>1542</v>
      </c>
      <c r="C324" t="s">
        <v>1107</v>
      </c>
      <c r="D324" t="s">
        <v>1123</v>
      </c>
      <c r="E324" t="s">
        <v>1112</v>
      </c>
      <c r="F324" t="s">
        <v>1149</v>
      </c>
      <c r="G324">
        <v>3</v>
      </c>
      <c r="H324">
        <v>3</v>
      </c>
      <c r="I324" s="11">
        <v>46133</v>
      </c>
      <c r="J324" s="17">
        <f>IF(Items[[#This Row],[ID]]="","",IFERROR(VALUE(LOOKUP(2,1/((Log[ID]=Items[[#This Row],[ID]])*(Log[Verb]="est")),Log[Arg])),N(Items[[#This Row],[Points]])))</f>
      </c>
      <c r="K324" s="17">
        <f>IF(Items[[#This Row],[ID]]="","",IFERROR(LOOKUP(2,1/((Log[ID]=Items[[#This Row],[ID]])*(Log[Verb]="pass")),Log[Arg])&amp;"",Items[[#This Row],[Team]]&amp;""))</f>
      </c>
      <c r="L324" s="17">
        <f>IF(Items[[#This Row],[ID]]="","",IFERROR(LOOKUP(2,1/((Log[ID]=Items[[#This Row],[ID]])*(Log[Into]&lt;&gt;"")),Log[Into]),""))</f>
      </c>
      <c r="M324" s="17">
        <f>IF(Items[[#This Row],[ID]]="","",IF(IFERROR(LOOKUP(2,1/((Log[ID]=Items[[#This Row],[ID]])*(Log[Blk]&lt;&gt;"")),Log[Blk]),0)=1,"Y",""))</f>
      </c>
      <c r="N324" s="17">
        <f>IF(Items[[#This Row],[ID]]="","",SUBSTITUTE(IFERROR(LOOKUP(2,1/((Log[ID]=Items[[#This Row],[ID]])*(Log[State]&lt;&gt;"")),Log[State]),"TODO"),"OPEN",IF(Items[[#This Row],[Blocked]]="Y","WAIT","OPEN")))</f>
      </c>
      <c r="O32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24" s="17">
        <f>IF(Items[[#This Row],[State]]&lt;&gt;"WAIT","",AsOf-Items[[#This Row],[Blocked since]])</f>
      </c>
      <c r="Q324" s="17">
        <f>IF(Items[[#This Row],[State]]&lt;&gt;"WAIT","",IFERROR(LOOKUP(2,1/((Log[ID]=Items[[#This Row],[ID]])*(Log[Verb]="block")),Log[Note])&amp;"",""))</f>
      </c>
      <c r="R324" s="17">
        <f>IF(Items[[#This Row],[ID]]="","",COUNTIFS(Log[ID],Items[[#This Row],[ID]],Log[Verb],"carry"))</f>
      </c>
      <c r="S324" s="17">
        <f>IF(Items[[#This Row],[ID]]="","",COUNTIFS(Log[ID],Items[[#This Row],[ID]],Log[Verb],"punt"))</f>
      </c>
      <c r="T324" s="11">
        <f>IF(Items[[#This Row],[State]]&lt;&gt;"DONE","",IFERROR(LOOKUP(2,1/((Log[ID]=Items[[#This Row],[ID]])*(Log[Verb]="done")),Log[Date]),""))</f>
      </c>
      <c r="U324" s="17">
        <f>IF(Items[[#This Row],[ID]]="","",IF(AND(Items[[#This Row],[Sprint]]=CurSprint,OR(Items[[#This Row],[State]]="OPEN",Items[[#This Row],[State]]="WAIT",Items[[#This Row],[State]]="HOLD",Items[[#This Row],[State]]="DONE")),1,0))</f>
      </c>
      <c r="V324" s="17">
        <f>IF(OR(Items[[#This Row],[ID]]="",Items[[#This Row],[Added]]=""),"",AsOf-Items[[#This Row],[Added]])</f>
      </c>
      <c r="W324" s="17">
        <f>IF(Items[[#This Row],[In sprint]]=1,(IF(Items[[#This Row],[Prio]]="",9,N(Items[[#This Row],[Prio]]))*10+(IF(Items[[#This Row],[State]]="DONE",1,0)))*100000+ROW(),"")</f>
      </c>
      <c r="X32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24" s="17">
        <f>IF(AND(Items[[#This Row],[State]]="DONE",N(Items[[#This Row],[Done on]])&gt;AsOf-7),(200000-N(Items[[#This Row],[Done on]]))*100000+ROW(),"")</f>
      </c>
    </row>
    <row r="325">
      <c r="A325" t="s">
        <v>496</v>
      </c>
      <c r="B325" t="s">
        <v>1543</v>
      </c>
      <c r="C325" t="s">
        <v>1107</v>
      </c>
      <c r="D325" t="s">
        <v>1108</v>
      </c>
      <c r="E325" t="s">
        <v>1112</v>
      </c>
      <c r="F325" t="s">
        <v>1147</v>
      </c>
      <c r="G325">
        <v>5</v>
      </c>
      <c r="H325">
        <v>1</v>
      </c>
      <c r="I325" s="11">
        <v>46133</v>
      </c>
      <c r="J325" s="17">
        <f>IF(Items[[#This Row],[ID]]="","",IFERROR(VALUE(LOOKUP(2,1/((Log[ID]=Items[[#This Row],[ID]])*(Log[Verb]="est")),Log[Arg])),N(Items[[#This Row],[Points]])))</f>
      </c>
      <c r="K325" s="17">
        <f>IF(Items[[#This Row],[ID]]="","",IFERROR(LOOKUP(2,1/((Log[ID]=Items[[#This Row],[ID]])*(Log[Verb]="pass")),Log[Arg])&amp;"",Items[[#This Row],[Team]]&amp;""))</f>
      </c>
      <c r="L325" s="17">
        <f>IF(Items[[#This Row],[ID]]="","",IFERROR(LOOKUP(2,1/((Log[ID]=Items[[#This Row],[ID]])*(Log[Into]&lt;&gt;"")),Log[Into]),""))</f>
      </c>
      <c r="M325" s="17">
        <f>IF(Items[[#This Row],[ID]]="","",IF(IFERROR(LOOKUP(2,1/((Log[ID]=Items[[#This Row],[ID]])*(Log[Blk]&lt;&gt;"")),Log[Blk]),0)=1,"Y",""))</f>
      </c>
      <c r="N325" s="17">
        <f>IF(Items[[#This Row],[ID]]="","",SUBSTITUTE(IFERROR(LOOKUP(2,1/((Log[ID]=Items[[#This Row],[ID]])*(Log[State]&lt;&gt;"")),Log[State]),"TODO"),"OPEN",IF(Items[[#This Row],[Blocked]]="Y","WAIT","OPEN")))</f>
      </c>
      <c r="O32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25" s="17">
        <f>IF(Items[[#This Row],[State]]&lt;&gt;"WAIT","",AsOf-Items[[#This Row],[Blocked since]])</f>
      </c>
      <c r="Q325" s="17">
        <f>IF(Items[[#This Row],[State]]&lt;&gt;"WAIT","",IFERROR(LOOKUP(2,1/((Log[ID]=Items[[#This Row],[ID]])*(Log[Verb]="block")),Log[Note])&amp;"",""))</f>
      </c>
      <c r="R325" s="17">
        <f>IF(Items[[#This Row],[ID]]="","",COUNTIFS(Log[ID],Items[[#This Row],[ID]],Log[Verb],"carry"))</f>
      </c>
      <c r="S325" s="17">
        <f>IF(Items[[#This Row],[ID]]="","",COUNTIFS(Log[ID],Items[[#This Row],[ID]],Log[Verb],"punt"))</f>
      </c>
      <c r="T325" s="11">
        <f>IF(Items[[#This Row],[State]]&lt;&gt;"DONE","",IFERROR(LOOKUP(2,1/((Log[ID]=Items[[#This Row],[ID]])*(Log[Verb]="done")),Log[Date]),""))</f>
      </c>
      <c r="U325" s="17">
        <f>IF(Items[[#This Row],[ID]]="","",IF(AND(Items[[#This Row],[Sprint]]=CurSprint,OR(Items[[#This Row],[State]]="OPEN",Items[[#This Row],[State]]="WAIT",Items[[#This Row],[State]]="HOLD",Items[[#This Row],[State]]="DONE")),1,0))</f>
      </c>
      <c r="V325" s="17">
        <f>IF(OR(Items[[#This Row],[ID]]="",Items[[#This Row],[Added]]=""),"",AsOf-Items[[#This Row],[Added]])</f>
      </c>
      <c r="W325" s="17">
        <f>IF(Items[[#This Row],[In sprint]]=1,(IF(Items[[#This Row],[Prio]]="",9,N(Items[[#This Row],[Prio]]))*10+(IF(Items[[#This Row],[State]]="DONE",1,0)))*100000+ROW(),"")</f>
      </c>
      <c r="X32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25" s="17">
        <f>IF(AND(Items[[#This Row],[State]]="DONE",N(Items[[#This Row],[Done on]])&gt;AsOf-7),(200000-N(Items[[#This Row],[Done on]]))*100000+ROW(),"")</f>
      </c>
    </row>
    <row r="326">
      <c r="A326" t="s">
        <v>497</v>
      </c>
      <c r="B326" t="s">
        <v>1544</v>
      </c>
      <c r="C326" t="s">
        <v>1107</v>
      </c>
      <c r="D326" t="s">
        <v>1123</v>
      </c>
      <c r="E326" t="s">
        <v>1112</v>
      </c>
      <c r="F326" t="s">
        <v>1113</v>
      </c>
      <c r="G326">
        <v>5</v>
      </c>
      <c r="H326">
        <v>3</v>
      </c>
      <c r="I326" s="11">
        <v>46133</v>
      </c>
      <c r="J326" s="17">
        <f>IF(Items[[#This Row],[ID]]="","",IFERROR(VALUE(LOOKUP(2,1/((Log[ID]=Items[[#This Row],[ID]])*(Log[Verb]="est")),Log[Arg])),N(Items[[#This Row],[Points]])))</f>
      </c>
      <c r="K326" s="17">
        <f>IF(Items[[#This Row],[ID]]="","",IFERROR(LOOKUP(2,1/((Log[ID]=Items[[#This Row],[ID]])*(Log[Verb]="pass")),Log[Arg])&amp;"",Items[[#This Row],[Team]]&amp;""))</f>
      </c>
      <c r="L326" s="17">
        <f>IF(Items[[#This Row],[ID]]="","",IFERROR(LOOKUP(2,1/((Log[ID]=Items[[#This Row],[ID]])*(Log[Into]&lt;&gt;"")),Log[Into]),""))</f>
      </c>
      <c r="M326" s="17">
        <f>IF(Items[[#This Row],[ID]]="","",IF(IFERROR(LOOKUP(2,1/((Log[ID]=Items[[#This Row],[ID]])*(Log[Blk]&lt;&gt;"")),Log[Blk]),0)=1,"Y",""))</f>
      </c>
      <c r="N326" s="17">
        <f>IF(Items[[#This Row],[ID]]="","",SUBSTITUTE(IFERROR(LOOKUP(2,1/((Log[ID]=Items[[#This Row],[ID]])*(Log[State]&lt;&gt;"")),Log[State]),"TODO"),"OPEN",IF(Items[[#This Row],[Blocked]]="Y","WAIT","OPEN")))</f>
      </c>
      <c r="O32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26" s="17">
        <f>IF(Items[[#This Row],[State]]&lt;&gt;"WAIT","",AsOf-Items[[#This Row],[Blocked since]])</f>
      </c>
      <c r="Q326" s="17">
        <f>IF(Items[[#This Row],[State]]&lt;&gt;"WAIT","",IFERROR(LOOKUP(2,1/((Log[ID]=Items[[#This Row],[ID]])*(Log[Verb]="block")),Log[Note])&amp;"",""))</f>
      </c>
      <c r="R326" s="17">
        <f>IF(Items[[#This Row],[ID]]="","",COUNTIFS(Log[ID],Items[[#This Row],[ID]],Log[Verb],"carry"))</f>
      </c>
      <c r="S326" s="17">
        <f>IF(Items[[#This Row],[ID]]="","",COUNTIFS(Log[ID],Items[[#This Row],[ID]],Log[Verb],"punt"))</f>
      </c>
      <c r="T326" s="11">
        <f>IF(Items[[#This Row],[State]]&lt;&gt;"DONE","",IFERROR(LOOKUP(2,1/((Log[ID]=Items[[#This Row],[ID]])*(Log[Verb]="done")),Log[Date]),""))</f>
      </c>
      <c r="U326" s="17">
        <f>IF(Items[[#This Row],[ID]]="","",IF(AND(Items[[#This Row],[Sprint]]=CurSprint,OR(Items[[#This Row],[State]]="OPEN",Items[[#This Row],[State]]="WAIT",Items[[#This Row],[State]]="HOLD",Items[[#This Row],[State]]="DONE")),1,0))</f>
      </c>
      <c r="V326" s="17">
        <f>IF(OR(Items[[#This Row],[ID]]="",Items[[#This Row],[Added]]=""),"",AsOf-Items[[#This Row],[Added]])</f>
      </c>
      <c r="W326" s="17">
        <f>IF(Items[[#This Row],[In sprint]]=1,(IF(Items[[#This Row],[Prio]]="",9,N(Items[[#This Row],[Prio]]))*10+(IF(Items[[#This Row],[State]]="DONE",1,0)))*100000+ROW(),"")</f>
      </c>
      <c r="X32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26" s="17">
        <f>IF(AND(Items[[#This Row],[State]]="DONE",N(Items[[#This Row],[Done on]])&gt;AsOf-7),(200000-N(Items[[#This Row],[Done on]]))*100000+ROW(),"")</f>
      </c>
    </row>
    <row r="327">
      <c r="A327" t="s">
        <v>543</v>
      </c>
      <c r="B327" t="s">
        <v>1545</v>
      </c>
      <c r="C327" t="s">
        <v>1107</v>
      </c>
      <c r="D327" t="s">
        <v>1127</v>
      </c>
      <c r="E327" t="s">
        <v>1112</v>
      </c>
      <c r="F327" t="s">
        <v>1186</v>
      </c>
      <c r="G327">
        <v>8</v>
      </c>
      <c r="H327">
        <v>3</v>
      </c>
      <c r="I327" s="11">
        <v>46133</v>
      </c>
      <c r="J327" s="17">
        <f>IF(Items[[#This Row],[ID]]="","",IFERROR(VALUE(LOOKUP(2,1/((Log[ID]=Items[[#This Row],[ID]])*(Log[Verb]="est")),Log[Arg])),N(Items[[#This Row],[Points]])))</f>
      </c>
      <c r="K327" s="17">
        <f>IF(Items[[#This Row],[ID]]="","",IFERROR(LOOKUP(2,1/((Log[ID]=Items[[#This Row],[ID]])*(Log[Verb]="pass")),Log[Arg])&amp;"",Items[[#This Row],[Team]]&amp;""))</f>
      </c>
      <c r="L327" s="17">
        <f>IF(Items[[#This Row],[ID]]="","",IFERROR(LOOKUP(2,1/((Log[ID]=Items[[#This Row],[ID]])*(Log[Into]&lt;&gt;"")),Log[Into]),""))</f>
      </c>
      <c r="M327" s="17">
        <f>IF(Items[[#This Row],[ID]]="","",IF(IFERROR(LOOKUP(2,1/((Log[ID]=Items[[#This Row],[ID]])*(Log[Blk]&lt;&gt;"")),Log[Blk]),0)=1,"Y",""))</f>
      </c>
      <c r="N327" s="17">
        <f>IF(Items[[#This Row],[ID]]="","",SUBSTITUTE(IFERROR(LOOKUP(2,1/((Log[ID]=Items[[#This Row],[ID]])*(Log[State]&lt;&gt;"")),Log[State]),"TODO"),"OPEN",IF(Items[[#This Row],[Blocked]]="Y","WAIT","OPEN")))</f>
      </c>
      <c r="O32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27" s="17">
        <f>IF(Items[[#This Row],[State]]&lt;&gt;"WAIT","",AsOf-Items[[#This Row],[Blocked since]])</f>
      </c>
      <c r="Q327" s="17">
        <f>IF(Items[[#This Row],[State]]&lt;&gt;"WAIT","",IFERROR(LOOKUP(2,1/((Log[ID]=Items[[#This Row],[ID]])*(Log[Verb]="block")),Log[Note])&amp;"",""))</f>
      </c>
      <c r="R327" s="17">
        <f>IF(Items[[#This Row],[ID]]="","",COUNTIFS(Log[ID],Items[[#This Row],[ID]],Log[Verb],"carry"))</f>
      </c>
      <c r="S327" s="17">
        <f>IF(Items[[#This Row],[ID]]="","",COUNTIFS(Log[ID],Items[[#This Row],[ID]],Log[Verb],"punt"))</f>
      </c>
      <c r="T327" s="11">
        <f>IF(Items[[#This Row],[State]]&lt;&gt;"DONE","",IFERROR(LOOKUP(2,1/((Log[ID]=Items[[#This Row],[ID]])*(Log[Verb]="done")),Log[Date]),""))</f>
      </c>
      <c r="U327" s="17">
        <f>IF(Items[[#This Row],[ID]]="","",IF(AND(Items[[#This Row],[Sprint]]=CurSprint,OR(Items[[#This Row],[State]]="OPEN",Items[[#This Row],[State]]="WAIT",Items[[#This Row],[State]]="HOLD",Items[[#This Row],[State]]="DONE")),1,0))</f>
      </c>
      <c r="V327" s="17">
        <f>IF(OR(Items[[#This Row],[ID]]="",Items[[#This Row],[Added]]=""),"",AsOf-Items[[#This Row],[Added]])</f>
      </c>
      <c r="W327" s="17">
        <f>IF(Items[[#This Row],[In sprint]]=1,(IF(Items[[#This Row],[Prio]]="",9,N(Items[[#This Row],[Prio]]))*10+(IF(Items[[#This Row],[State]]="DONE",1,0)))*100000+ROW(),"")</f>
      </c>
      <c r="X32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27" s="17">
        <f>IF(AND(Items[[#This Row],[State]]="DONE",N(Items[[#This Row],[Done on]])&gt;AsOf-7),(200000-N(Items[[#This Row],[Done on]]))*100000+ROW(),"")</f>
      </c>
    </row>
    <row r="328">
      <c r="A328" t="s">
        <v>499</v>
      </c>
      <c r="B328" t="s">
        <v>1546</v>
      </c>
      <c r="C328" t="s">
        <v>1115</v>
      </c>
      <c r="D328" t="s">
        <v>1116</v>
      </c>
      <c r="E328" t="s">
        <v>1120</v>
      </c>
      <c r="F328" t="s">
        <v>1421</v>
      </c>
      <c r="G328">
        <v>5</v>
      </c>
      <c r="H328">
        <v>3</v>
      </c>
      <c r="I328" s="11">
        <v>46133</v>
      </c>
      <c r="J328" s="17">
        <f>IF(Items[[#This Row],[ID]]="","",IFERROR(VALUE(LOOKUP(2,1/((Log[ID]=Items[[#This Row],[ID]])*(Log[Verb]="est")),Log[Arg])),N(Items[[#This Row],[Points]])))</f>
      </c>
      <c r="K328" s="17">
        <f>IF(Items[[#This Row],[ID]]="","",IFERROR(LOOKUP(2,1/((Log[ID]=Items[[#This Row],[ID]])*(Log[Verb]="pass")),Log[Arg])&amp;"",Items[[#This Row],[Team]]&amp;""))</f>
      </c>
      <c r="L328" s="17">
        <f>IF(Items[[#This Row],[ID]]="","",IFERROR(LOOKUP(2,1/((Log[ID]=Items[[#This Row],[ID]])*(Log[Into]&lt;&gt;"")),Log[Into]),""))</f>
      </c>
      <c r="M328" s="17">
        <f>IF(Items[[#This Row],[ID]]="","",IF(IFERROR(LOOKUP(2,1/((Log[ID]=Items[[#This Row],[ID]])*(Log[Blk]&lt;&gt;"")),Log[Blk]),0)=1,"Y",""))</f>
      </c>
      <c r="N328" s="17">
        <f>IF(Items[[#This Row],[ID]]="","",SUBSTITUTE(IFERROR(LOOKUP(2,1/((Log[ID]=Items[[#This Row],[ID]])*(Log[State]&lt;&gt;"")),Log[State]),"TODO"),"OPEN",IF(Items[[#This Row],[Blocked]]="Y","WAIT","OPEN")))</f>
      </c>
      <c r="O32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28" s="17">
        <f>IF(Items[[#This Row],[State]]&lt;&gt;"WAIT","",AsOf-Items[[#This Row],[Blocked since]])</f>
      </c>
      <c r="Q328" s="17">
        <f>IF(Items[[#This Row],[State]]&lt;&gt;"WAIT","",IFERROR(LOOKUP(2,1/((Log[ID]=Items[[#This Row],[ID]])*(Log[Verb]="block")),Log[Note])&amp;"",""))</f>
      </c>
      <c r="R328" s="17">
        <f>IF(Items[[#This Row],[ID]]="","",COUNTIFS(Log[ID],Items[[#This Row],[ID]],Log[Verb],"carry"))</f>
      </c>
      <c r="S328" s="17">
        <f>IF(Items[[#This Row],[ID]]="","",COUNTIFS(Log[ID],Items[[#This Row],[ID]],Log[Verb],"punt"))</f>
      </c>
      <c r="T328" s="11">
        <f>IF(Items[[#This Row],[State]]&lt;&gt;"DONE","",IFERROR(LOOKUP(2,1/((Log[ID]=Items[[#This Row],[ID]])*(Log[Verb]="done")),Log[Date]),""))</f>
      </c>
      <c r="U328" s="17">
        <f>IF(Items[[#This Row],[ID]]="","",IF(AND(Items[[#This Row],[Sprint]]=CurSprint,OR(Items[[#This Row],[State]]="OPEN",Items[[#This Row],[State]]="WAIT",Items[[#This Row],[State]]="HOLD",Items[[#This Row],[State]]="DONE")),1,0))</f>
      </c>
      <c r="V328" s="17">
        <f>IF(OR(Items[[#This Row],[ID]]="",Items[[#This Row],[Added]]=""),"",AsOf-Items[[#This Row],[Added]])</f>
      </c>
      <c r="W328" s="17">
        <f>IF(Items[[#This Row],[In sprint]]=1,(IF(Items[[#This Row],[Prio]]="",9,N(Items[[#This Row],[Prio]]))*10+(IF(Items[[#This Row],[State]]="DONE",1,0)))*100000+ROW(),"")</f>
      </c>
      <c r="X32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28" s="17">
        <f>IF(AND(Items[[#This Row],[State]]="DONE",N(Items[[#This Row],[Done on]])&gt;AsOf-7),(200000-N(Items[[#This Row],[Done on]]))*100000+ROW(),"")</f>
      </c>
    </row>
    <row r="329">
      <c r="A329" t="s">
        <v>441</v>
      </c>
      <c r="B329" t="s">
        <v>1547</v>
      </c>
      <c r="C329" t="s">
        <v>1107</v>
      </c>
      <c r="D329" t="s">
        <v>1108</v>
      </c>
      <c r="E329" t="s">
        <v>1120</v>
      </c>
      <c r="F329" t="s">
        <v>1272</v>
      </c>
      <c r="G329">
        <v>3</v>
      </c>
      <c r="H329">
        <v>2</v>
      </c>
      <c r="I329" s="11">
        <v>46133</v>
      </c>
      <c r="J329" s="17">
        <f>IF(Items[[#This Row],[ID]]="","",IFERROR(VALUE(LOOKUP(2,1/((Log[ID]=Items[[#This Row],[ID]])*(Log[Verb]="est")),Log[Arg])),N(Items[[#This Row],[Points]])))</f>
      </c>
      <c r="K329" s="17">
        <f>IF(Items[[#This Row],[ID]]="","",IFERROR(LOOKUP(2,1/((Log[ID]=Items[[#This Row],[ID]])*(Log[Verb]="pass")),Log[Arg])&amp;"",Items[[#This Row],[Team]]&amp;""))</f>
      </c>
      <c r="L329" s="17">
        <f>IF(Items[[#This Row],[ID]]="","",IFERROR(LOOKUP(2,1/((Log[ID]=Items[[#This Row],[ID]])*(Log[Into]&lt;&gt;"")),Log[Into]),""))</f>
      </c>
      <c r="M329" s="17">
        <f>IF(Items[[#This Row],[ID]]="","",IF(IFERROR(LOOKUP(2,1/((Log[ID]=Items[[#This Row],[ID]])*(Log[Blk]&lt;&gt;"")),Log[Blk]),0)=1,"Y",""))</f>
      </c>
      <c r="N329" s="17">
        <f>IF(Items[[#This Row],[ID]]="","",SUBSTITUTE(IFERROR(LOOKUP(2,1/((Log[ID]=Items[[#This Row],[ID]])*(Log[State]&lt;&gt;"")),Log[State]),"TODO"),"OPEN",IF(Items[[#This Row],[Blocked]]="Y","WAIT","OPEN")))</f>
      </c>
      <c r="O32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29" s="17">
        <f>IF(Items[[#This Row],[State]]&lt;&gt;"WAIT","",AsOf-Items[[#This Row],[Blocked since]])</f>
      </c>
      <c r="Q329" s="17">
        <f>IF(Items[[#This Row],[State]]&lt;&gt;"WAIT","",IFERROR(LOOKUP(2,1/((Log[ID]=Items[[#This Row],[ID]])*(Log[Verb]="block")),Log[Note])&amp;"",""))</f>
      </c>
      <c r="R329" s="17">
        <f>IF(Items[[#This Row],[ID]]="","",COUNTIFS(Log[ID],Items[[#This Row],[ID]],Log[Verb],"carry"))</f>
      </c>
      <c r="S329" s="17">
        <f>IF(Items[[#This Row],[ID]]="","",COUNTIFS(Log[ID],Items[[#This Row],[ID]],Log[Verb],"punt"))</f>
      </c>
      <c r="T329" s="11">
        <f>IF(Items[[#This Row],[State]]&lt;&gt;"DONE","",IFERROR(LOOKUP(2,1/((Log[ID]=Items[[#This Row],[ID]])*(Log[Verb]="done")),Log[Date]),""))</f>
      </c>
      <c r="U329" s="17">
        <f>IF(Items[[#This Row],[ID]]="","",IF(AND(Items[[#This Row],[Sprint]]=CurSprint,OR(Items[[#This Row],[State]]="OPEN",Items[[#This Row],[State]]="WAIT",Items[[#This Row],[State]]="HOLD",Items[[#This Row],[State]]="DONE")),1,0))</f>
      </c>
      <c r="V329" s="17">
        <f>IF(OR(Items[[#This Row],[ID]]="",Items[[#This Row],[Added]]=""),"",AsOf-Items[[#This Row],[Added]])</f>
      </c>
      <c r="W329" s="17">
        <f>IF(Items[[#This Row],[In sprint]]=1,(IF(Items[[#This Row],[Prio]]="",9,N(Items[[#This Row],[Prio]]))*10+(IF(Items[[#This Row],[State]]="DONE",1,0)))*100000+ROW(),"")</f>
      </c>
      <c r="X32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29" s="17">
        <f>IF(AND(Items[[#This Row],[State]]="DONE",N(Items[[#This Row],[Done on]])&gt;AsOf-7),(200000-N(Items[[#This Row],[Done on]]))*100000+ROW(),"")</f>
      </c>
    </row>
    <row r="330">
      <c r="A330" t="s">
        <v>500</v>
      </c>
      <c r="B330" t="s">
        <v>1548</v>
      </c>
      <c r="C330" t="s">
        <v>1115</v>
      </c>
      <c r="D330" t="s">
        <v>1119</v>
      </c>
      <c r="E330" t="s">
        <v>1120</v>
      </c>
      <c r="F330" t="s">
        <v>1421</v>
      </c>
      <c r="G330">
        <v>3</v>
      </c>
      <c r="H330">
        <v>1</v>
      </c>
      <c r="I330" s="11">
        <v>46133</v>
      </c>
      <c r="J330" s="17">
        <f>IF(Items[[#This Row],[ID]]="","",IFERROR(VALUE(LOOKUP(2,1/((Log[ID]=Items[[#This Row],[ID]])*(Log[Verb]="est")),Log[Arg])),N(Items[[#This Row],[Points]])))</f>
      </c>
      <c r="K330" s="17">
        <f>IF(Items[[#This Row],[ID]]="","",IFERROR(LOOKUP(2,1/((Log[ID]=Items[[#This Row],[ID]])*(Log[Verb]="pass")),Log[Arg])&amp;"",Items[[#This Row],[Team]]&amp;""))</f>
      </c>
      <c r="L330" s="17">
        <f>IF(Items[[#This Row],[ID]]="","",IFERROR(LOOKUP(2,1/((Log[ID]=Items[[#This Row],[ID]])*(Log[Into]&lt;&gt;"")),Log[Into]),""))</f>
      </c>
      <c r="M330" s="17">
        <f>IF(Items[[#This Row],[ID]]="","",IF(IFERROR(LOOKUP(2,1/((Log[ID]=Items[[#This Row],[ID]])*(Log[Blk]&lt;&gt;"")),Log[Blk]),0)=1,"Y",""))</f>
      </c>
      <c r="N330" s="17">
        <f>IF(Items[[#This Row],[ID]]="","",SUBSTITUTE(IFERROR(LOOKUP(2,1/((Log[ID]=Items[[#This Row],[ID]])*(Log[State]&lt;&gt;"")),Log[State]),"TODO"),"OPEN",IF(Items[[#This Row],[Blocked]]="Y","WAIT","OPEN")))</f>
      </c>
      <c r="O33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30" s="17">
        <f>IF(Items[[#This Row],[State]]&lt;&gt;"WAIT","",AsOf-Items[[#This Row],[Blocked since]])</f>
      </c>
      <c r="Q330" s="17">
        <f>IF(Items[[#This Row],[State]]&lt;&gt;"WAIT","",IFERROR(LOOKUP(2,1/((Log[ID]=Items[[#This Row],[ID]])*(Log[Verb]="block")),Log[Note])&amp;"",""))</f>
      </c>
      <c r="R330" s="17">
        <f>IF(Items[[#This Row],[ID]]="","",COUNTIFS(Log[ID],Items[[#This Row],[ID]],Log[Verb],"carry"))</f>
      </c>
      <c r="S330" s="17">
        <f>IF(Items[[#This Row],[ID]]="","",COUNTIFS(Log[ID],Items[[#This Row],[ID]],Log[Verb],"punt"))</f>
      </c>
      <c r="T330" s="11">
        <f>IF(Items[[#This Row],[State]]&lt;&gt;"DONE","",IFERROR(LOOKUP(2,1/((Log[ID]=Items[[#This Row],[ID]])*(Log[Verb]="done")),Log[Date]),""))</f>
      </c>
      <c r="U330" s="17">
        <f>IF(Items[[#This Row],[ID]]="","",IF(AND(Items[[#This Row],[Sprint]]=CurSprint,OR(Items[[#This Row],[State]]="OPEN",Items[[#This Row],[State]]="WAIT",Items[[#This Row],[State]]="HOLD",Items[[#This Row],[State]]="DONE")),1,0))</f>
      </c>
      <c r="V330" s="17">
        <f>IF(OR(Items[[#This Row],[ID]]="",Items[[#This Row],[Added]]=""),"",AsOf-Items[[#This Row],[Added]])</f>
      </c>
      <c r="W330" s="17">
        <f>IF(Items[[#This Row],[In sprint]]=1,(IF(Items[[#This Row],[Prio]]="",9,N(Items[[#This Row],[Prio]]))*10+(IF(Items[[#This Row],[State]]="DONE",1,0)))*100000+ROW(),"")</f>
      </c>
      <c r="X33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30" s="17">
        <f>IF(AND(Items[[#This Row],[State]]="DONE",N(Items[[#This Row],[Done on]])&gt;AsOf-7),(200000-N(Items[[#This Row],[Done on]]))*100000+ROW(),"")</f>
      </c>
    </row>
    <row r="331">
      <c r="A331" t="s">
        <v>501</v>
      </c>
      <c r="B331" t="s">
        <v>1549</v>
      </c>
      <c r="C331" t="s">
        <v>1115</v>
      </c>
      <c r="D331" t="s">
        <v>1119</v>
      </c>
      <c r="E331" t="s">
        <v>1120</v>
      </c>
      <c r="F331" t="s">
        <v>1342</v>
      </c>
      <c r="G331">
        <v>5</v>
      </c>
      <c r="H331">
        <v>2</v>
      </c>
      <c r="I331" s="11">
        <v>46133</v>
      </c>
      <c r="J331" s="17">
        <f>IF(Items[[#This Row],[ID]]="","",IFERROR(VALUE(LOOKUP(2,1/((Log[ID]=Items[[#This Row],[ID]])*(Log[Verb]="est")),Log[Arg])),N(Items[[#This Row],[Points]])))</f>
      </c>
      <c r="K331" s="17">
        <f>IF(Items[[#This Row],[ID]]="","",IFERROR(LOOKUP(2,1/((Log[ID]=Items[[#This Row],[ID]])*(Log[Verb]="pass")),Log[Arg])&amp;"",Items[[#This Row],[Team]]&amp;""))</f>
      </c>
      <c r="L331" s="17">
        <f>IF(Items[[#This Row],[ID]]="","",IFERROR(LOOKUP(2,1/((Log[ID]=Items[[#This Row],[ID]])*(Log[Into]&lt;&gt;"")),Log[Into]),""))</f>
      </c>
      <c r="M331" s="17">
        <f>IF(Items[[#This Row],[ID]]="","",IF(IFERROR(LOOKUP(2,1/((Log[ID]=Items[[#This Row],[ID]])*(Log[Blk]&lt;&gt;"")),Log[Blk]),0)=1,"Y",""))</f>
      </c>
      <c r="N331" s="17">
        <f>IF(Items[[#This Row],[ID]]="","",SUBSTITUTE(IFERROR(LOOKUP(2,1/((Log[ID]=Items[[#This Row],[ID]])*(Log[State]&lt;&gt;"")),Log[State]),"TODO"),"OPEN",IF(Items[[#This Row],[Blocked]]="Y","WAIT","OPEN")))</f>
      </c>
      <c r="O33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31" s="17">
        <f>IF(Items[[#This Row],[State]]&lt;&gt;"WAIT","",AsOf-Items[[#This Row],[Blocked since]])</f>
      </c>
      <c r="Q331" s="17">
        <f>IF(Items[[#This Row],[State]]&lt;&gt;"WAIT","",IFERROR(LOOKUP(2,1/((Log[ID]=Items[[#This Row],[ID]])*(Log[Verb]="block")),Log[Note])&amp;"",""))</f>
      </c>
      <c r="R331" s="17">
        <f>IF(Items[[#This Row],[ID]]="","",COUNTIFS(Log[ID],Items[[#This Row],[ID]],Log[Verb],"carry"))</f>
      </c>
      <c r="S331" s="17">
        <f>IF(Items[[#This Row],[ID]]="","",COUNTIFS(Log[ID],Items[[#This Row],[ID]],Log[Verb],"punt"))</f>
      </c>
      <c r="T331" s="11">
        <f>IF(Items[[#This Row],[State]]&lt;&gt;"DONE","",IFERROR(LOOKUP(2,1/((Log[ID]=Items[[#This Row],[ID]])*(Log[Verb]="done")),Log[Date]),""))</f>
      </c>
      <c r="U331" s="17">
        <f>IF(Items[[#This Row],[ID]]="","",IF(AND(Items[[#This Row],[Sprint]]=CurSprint,OR(Items[[#This Row],[State]]="OPEN",Items[[#This Row],[State]]="WAIT",Items[[#This Row],[State]]="HOLD",Items[[#This Row],[State]]="DONE")),1,0))</f>
      </c>
      <c r="V331" s="17">
        <f>IF(OR(Items[[#This Row],[ID]]="",Items[[#This Row],[Added]]=""),"",AsOf-Items[[#This Row],[Added]])</f>
      </c>
      <c r="W331" s="17">
        <f>IF(Items[[#This Row],[In sprint]]=1,(IF(Items[[#This Row],[Prio]]="",9,N(Items[[#This Row],[Prio]]))*10+(IF(Items[[#This Row],[State]]="DONE",1,0)))*100000+ROW(),"")</f>
      </c>
      <c r="X33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31" s="17">
        <f>IF(AND(Items[[#This Row],[State]]="DONE",N(Items[[#This Row],[Done on]])&gt;AsOf-7),(200000-N(Items[[#This Row],[Done on]]))*100000+ROW(),"")</f>
      </c>
    </row>
    <row r="332">
      <c r="A332" t="s">
        <v>502</v>
      </c>
      <c r="B332" t="s">
        <v>1550</v>
      </c>
      <c r="C332" t="s">
        <v>1107</v>
      </c>
      <c r="D332" t="s">
        <v>1108</v>
      </c>
      <c r="E332" t="s">
        <v>1120</v>
      </c>
      <c r="F332" t="s">
        <v>1153</v>
      </c>
      <c r="G332">
        <v>5</v>
      </c>
      <c r="H332">
        <v>3</v>
      </c>
      <c r="I332" s="11">
        <v>46133</v>
      </c>
      <c r="J332" s="17">
        <f>IF(Items[[#This Row],[ID]]="","",IFERROR(VALUE(LOOKUP(2,1/((Log[ID]=Items[[#This Row],[ID]])*(Log[Verb]="est")),Log[Arg])),N(Items[[#This Row],[Points]])))</f>
      </c>
      <c r="K332" s="17">
        <f>IF(Items[[#This Row],[ID]]="","",IFERROR(LOOKUP(2,1/((Log[ID]=Items[[#This Row],[ID]])*(Log[Verb]="pass")),Log[Arg])&amp;"",Items[[#This Row],[Team]]&amp;""))</f>
      </c>
      <c r="L332" s="17">
        <f>IF(Items[[#This Row],[ID]]="","",IFERROR(LOOKUP(2,1/((Log[ID]=Items[[#This Row],[ID]])*(Log[Into]&lt;&gt;"")),Log[Into]),""))</f>
      </c>
      <c r="M332" s="17">
        <f>IF(Items[[#This Row],[ID]]="","",IF(IFERROR(LOOKUP(2,1/((Log[ID]=Items[[#This Row],[ID]])*(Log[Blk]&lt;&gt;"")),Log[Blk]),0)=1,"Y",""))</f>
      </c>
      <c r="N332" s="17">
        <f>IF(Items[[#This Row],[ID]]="","",SUBSTITUTE(IFERROR(LOOKUP(2,1/((Log[ID]=Items[[#This Row],[ID]])*(Log[State]&lt;&gt;"")),Log[State]),"TODO"),"OPEN",IF(Items[[#This Row],[Blocked]]="Y","WAIT","OPEN")))</f>
      </c>
      <c r="O33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32" s="17">
        <f>IF(Items[[#This Row],[State]]&lt;&gt;"WAIT","",AsOf-Items[[#This Row],[Blocked since]])</f>
      </c>
      <c r="Q332" s="17">
        <f>IF(Items[[#This Row],[State]]&lt;&gt;"WAIT","",IFERROR(LOOKUP(2,1/((Log[ID]=Items[[#This Row],[ID]])*(Log[Verb]="block")),Log[Note])&amp;"",""))</f>
      </c>
      <c r="R332" s="17">
        <f>IF(Items[[#This Row],[ID]]="","",COUNTIFS(Log[ID],Items[[#This Row],[ID]],Log[Verb],"carry"))</f>
      </c>
      <c r="S332" s="17">
        <f>IF(Items[[#This Row],[ID]]="","",COUNTIFS(Log[ID],Items[[#This Row],[ID]],Log[Verb],"punt"))</f>
      </c>
      <c r="T332" s="11">
        <f>IF(Items[[#This Row],[State]]&lt;&gt;"DONE","",IFERROR(LOOKUP(2,1/((Log[ID]=Items[[#This Row],[ID]])*(Log[Verb]="done")),Log[Date]),""))</f>
      </c>
      <c r="U332" s="17">
        <f>IF(Items[[#This Row],[ID]]="","",IF(AND(Items[[#This Row],[Sprint]]=CurSprint,OR(Items[[#This Row],[State]]="OPEN",Items[[#This Row],[State]]="WAIT",Items[[#This Row],[State]]="HOLD",Items[[#This Row],[State]]="DONE")),1,0))</f>
      </c>
      <c r="V332" s="17">
        <f>IF(OR(Items[[#This Row],[ID]]="",Items[[#This Row],[Added]]=""),"",AsOf-Items[[#This Row],[Added]])</f>
      </c>
      <c r="W332" s="17">
        <f>IF(Items[[#This Row],[In sprint]]=1,(IF(Items[[#This Row],[Prio]]="",9,N(Items[[#This Row],[Prio]]))*10+(IF(Items[[#This Row],[State]]="DONE",1,0)))*100000+ROW(),"")</f>
      </c>
      <c r="X33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32" s="17">
        <f>IF(AND(Items[[#This Row],[State]]="DONE",N(Items[[#This Row],[Done on]])&gt;AsOf-7),(200000-N(Items[[#This Row],[Done on]]))*100000+ROW(),"")</f>
      </c>
    </row>
    <row r="333">
      <c r="A333" t="s">
        <v>448</v>
      </c>
      <c r="B333" t="s">
        <v>1551</v>
      </c>
      <c r="C333" t="s">
        <v>1115</v>
      </c>
      <c r="D333" t="s">
        <v>1119</v>
      </c>
      <c r="E333" t="s">
        <v>1124</v>
      </c>
      <c r="F333" t="s">
        <v>1198</v>
      </c>
      <c r="G333">
        <v>8</v>
      </c>
      <c r="H333">
        <v>3</v>
      </c>
      <c r="I333" s="11">
        <v>46133</v>
      </c>
      <c r="J333" s="17">
        <f>IF(Items[[#This Row],[ID]]="","",IFERROR(VALUE(LOOKUP(2,1/((Log[ID]=Items[[#This Row],[ID]])*(Log[Verb]="est")),Log[Arg])),N(Items[[#This Row],[Points]])))</f>
      </c>
      <c r="K333" s="17">
        <f>IF(Items[[#This Row],[ID]]="","",IFERROR(LOOKUP(2,1/((Log[ID]=Items[[#This Row],[ID]])*(Log[Verb]="pass")),Log[Arg])&amp;"",Items[[#This Row],[Team]]&amp;""))</f>
      </c>
      <c r="L333" s="17">
        <f>IF(Items[[#This Row],[ID]]="","",IFERROR(LOOKUP(2,1/((Log[ID]=Items[[#This Row],[ID]])*(Log[Into]&lt;&gt;"")),Log[Into]),""))</f>
      </c>
      <c r="M333" s="17">
        <f>IF(Items[[#This Row],[ID]]="","",IF(IFERROR(LOOKUP(2,1/((Log[ID]=Items[[#This Row],[ID]])*(Log[Blk]&lt;&gt;"")),Log[Blk]),0)=1,"Y",""))</f>
      </c>
      <c r="N333" s="17">
        <f>IF(Items[[#This Row],[ID]]="","",SUBSTITUTE(IFERROR(LOOKUP(2,1/((Log[ID]=Items[[#This Row],[ID]])*(Log[State]&lt;&gt;"")),Log[State]),"TODO"),"OPEN",IF(Items[[#This Row],[Blocked]]="Y","WAIT","OPEN")))</f>
      </c>
      <c r="O33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33" s="17">
        <f>IF(Items[[#This Row],[State]]&lt;&gt;"WAIT","",AsOf-Items[[#This Row],[Blocked since]])</f>
      </c>
      <c r="Q333" s="17">
        <f>IF(Items[[#This Row],[State]]&lt;&gt;"WAIT","",IFERROR(LOOKUP(2,1/((Log[ID]=Items[[#This Row],[ID]])*(Log[Verb]="block")),Log[Note])&amp;"",""))</f>
      </c>
      <c r="R333" s="17">
        <f>IF(Items[[#This Row],[ID]]="","",COUNTIFS(Log[ID],Items[[#This Row],[ID]],Log[Verb],"carry"))</f>
      </c>
      <c r="S333" s="17">
        <f>IF(Items[[#This Row],[ID]]="","",COUNTIFS(Log[ID],Items[[#This Row],[ID]],Log[Verb],"punt"))</f>
      </c>
      <c r="T333" s="11">
        <f>IF(Items[[#This Row],[State]]&lt;&gt;"DONE","",IFERROR(LOOKUP(2,1/((Log[ID]=Items[[#This Row],[ID]])*(Log[Verb]="done")),Log[Date]),""))</f>
      </c>
      <c r="U333" s="17">
        <f>IF(Items[[#This Row],[ID]]="","",IF(AND(Items[[#This Row],[Sprint]]=CurSprint,OR(Items[[#This Row],[State]]="OPEN",Items[[#This Row],[State]]="WAIT",Items[[#This Row],[State]]="HOLD",Items[[#This Row],[State]]="DONE")),1,0))</f>
      </c>
      <c r="V333" s="17">
        <f>IF(OR(Items[[#This Row],[ID]]="",Items[[#This Row],[Added]]=""),"",AsOf-Items[[#This Row],[Added]])</f>
      </c>
      <c r="W333" s="17">
        <f>IF(Items[[#This Row],[In sprint]]=1,(IF(Items[[#This Row],[Prio]]="",9,N(Items[[#This Row],[Prio]]))*10+(IF(Items[[#This Row],[State]]="DONE",1,0)))*100000+ROW(),"")</f>
      </c>
      <c r="X33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33" s="17">
        <f>IF(AND(Items[[#This Row],[State]]="DONE",N(Items[[#This Row],[Done on]])&gt;AsOf-7),(200000-N(Items[[#This Row],[Done on]]))*100000+ROW(),"")</f>
      </c>
    </row>
    <row r="334">
      <c r="A334" t="s">
        <v>503</v>
      </c>
      <c r="B334" t="s">
        <v>1552</v>
      </c>
      <c r="C334" t="s">
        <v>1115</v>
      </c>
      <c r="D334" t="s">
        <v>1119</v>
      </c>
      <c r="E334" t="s">
        <v>1124</v>
      </c>
      <c r="F334" t="s">
        <v>1155</v>
      </c>
      <c r="G334">
        <v>5</v>
      </c>
      <c r="H334">
        <v>3</v>
      </c>
      <c r="I334" s="11">
        <v>46133</v>
      </c>
      <c r="J334" s="17">
        <f>IF(Items[[#This Row],[ID]]="","",IFERROR(VALUE(LOOKUP(2,1/((Log[ID]=Items[[#This Row],[ID]])*(Log[Verb]="est")),Log[Arg])),N(Items[[#This Row],[Points]])))</f>
      </c>
      <c r="K334" s="17">
        <f>IF(Items[[#This Row],[ID]]="","",IFERROR(LOOKUP(2,1/((Log[ID]=Items[[#This Row],[ID]])*(Log[Verb]="pass")),Log[Arg])&amp;"",Items[[#This Row],[Team]]&amp;""))</f>
      </c>
      <c r="L334" s="17">
        <f>IF(Items[[#This Row],[ID]]="","",IFERROR(LOOKUP(2,1/((Log[ID]=Items[[#This Row],[ID]])*(Log[Into]&lt;&gt;"")),Log[Into]),""))</f>
      </c>
      <c r="M334" s="17">
        <f>IF(Items[[#This Row],[ID]]="","",IF(IFERROR(LOOKUP(2,1/((Log[ID]=Items[[#This Row],[ID]])*(Log[Blk]&lt;&gt;"")),Log[Blk]),0)=1,"Y",""))</f>
      </c>
      <c r="N334" s="17">
        <f>IF(Items[[#This Row],[ID]]="","",SUBSTITUTE(IFERROR(LOOKUP(2,1/((Log[ID]=Items[[#This Row],[ID]])*(Log[State]&lt;&gt;"")),Log[State]),"TODO"),"OPEN",IF(Items[[#This Row],[Blocked]]="Y","WAIT","OPEN")))</f>
      </c>
      <c r="O33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34" s="17">
        <f>IF(Items[[#This Row],[State]]&lt;&gt;"WAIT","",AsOf-Items[[#This Row],[Blocked since]])</f>
      </c>
      <c r="Q334" s="17">
        <f>IF(Items[[#This Row],[State]]&lt;&gt;"WAIT","",IFERROR(LOOKUP(2,1/((Log[ID]=Items[[#This Row],[ID]])*(Log[Verb]="block")),Log[Note])&amp;"",""))</f>
      </c>
      <c r="R334" s="17">
        <f>IF(Items[[#This Row],[ID]]="","",COUNTIFS(Log[ID],Items[[#This Row],[ID]],Log[Verb],"carry"))</f>
      </c>
      <c r="S334" s="17">
        <f>IF(Items[[#This Row],[ID]]="","",COUNTIFS(Log[ID],Items[[#This Row],[ID]],Log[Verb],"punt"))</f>
      </c>
      <c r="T334" s="11">
        <f>IF(Items[[#This Row],[State]]&lt;&gt;"DONE","",IFERROR(LOOKUP(2,1/((Log[ID]=Items[[#This Row],[ID]])*(Log[Verb]="done")),Log[Date]),""))</f>
      </c>
      <c r="U334" s="17">
        <f>IF(Items[[#This Row],[ID]]="","",IF(AND(Items[[#This Row],[Sprint]]=CurSprint,OR(Items[[#This Row],[State]]="OPEN",Items[[#This Row],[State]]="WAIT",Items[[#This Row],[State]]="HOLD",Items[[#This Row],[State]]="DONE")),1,0))</f>
      </c>
      <c r="V334" s="17">
        <f>IF(OR(Items[[#This Row],[ID]]="",Items[[#This Row],[Added]]=""),"",AsOf-Items[[#This Row],[Added]])</f>
      </c>
      <c r="W334" s="17">
        <f>IF(Items[[#This Row],[In sprint]]=1,(IF(Items[[#This Row],[Prio]]="",9,N(Items[[#This Row],[Prio]]))*10+(IF(Items[[#This Row],[State]]="DONE",1,0)))*100000+ROW(),"")</f>
      </c>
      <c r="X33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34" s="17">
        <f>IF(AND(Items[[#This Row],[State]]="DONE",N(Items[[#This Row],[Done on]])&gt;AsOf-7),(200000-N(Items[[#This Row],[Done on]]))*100000+ROW(),"")</f>
      </c>
    </row>
    <row r="335">
      <c r="A335" t="s">
        <v>504</v>
      </c>
      <c r="B335" t="s">
        <v>1553</v>
      </c>
      <c r="C335" t="s">
        <v>1115</v>
      </c>
      <c r="D335" t="s">
        <v>1116</v>
      </c>
      <c r="E335" t="s">
        <v>1124</v>
      </c>
      <c r="F335" t="s">
        <v>1198</v>
      </c>
      <c r="G335">
        <v>3</v>
      </c>
      <c r="H335">
        <v>1</v>
      </c>
      <c r="I335" s="11">
        <v>46133</v>
      </c>
      <c r="J335" s="17">
        <f>IF(Items[[#This Row],[ID]]="","",IFERROR(VALUE(LOOKUP(2,1/((Log[ID]=Items[[#This Row],[ID]])*(Log[Verb]="est")),Log[Arg])),N(Items[[#This Row],[Points]])))</f>
      </c>
      <c r="K335" s="17">
        <f>IF(Items[[#This Row],[ID]]="","",IFERROR(LOOKUP(2,1/((Log[ID]=Items[[#This Row],[ID]])*(Log[Verb]="pass")),Log[Arg])&amp;"",Items[[#This Row],[Team]]&amp;""))</f>
      </c>
      <c r="L335" s="17">
        <f>IF(Items[[#This Row],[ID]]="","",IFERROR(LOOKUP(2,1/((Log[ID]=Items[[#This Row],[ID]])*(Log[Into]&lt;&gt;"")),Log[Into]),""))</f>
      </c>
      <c r="M335" s="17">
        <f>IF(Items[[#This Row],[ID]]="","",IF(IFERROR(LOOKUP(2,1/((Log[ID]=Items[[#This Row],[ID]])*(Log[Blk]&lt;&gt;"")),Log[Blk]),0)=1,"Y",""))</f>
      </c>
      <c r="N335" s="17">
        <f>IF(Items[[#This Row],[ID]]="","",SUBSTITUTE(IFERROR(LOOKUP(2,1/((Log[ID]=Items[[#This Row],[ID]])*(Log[State]&lt;&gt;"")),Log[State]),"TODO"),"OPEN",IF(Items[[#This Row],[Blocked]]="Y","WAIT","OPEN")))</f>
      </c>
      <c r="O33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35" s="17">
        <f>IF(Items[[#This Row],[State]]&lt;&gt;"WAIT","",AsOf-Items[[#This Row],[Blocked since]])</f>
      </c>
      <c r="Q335" s="17">
        <f>IF(Items[[#This Row],[State]]&lt;&gt;"WAIT","",IFERROR(LOOKUP(2,1/((Log[ID]=Items[[#This Row],[ID]])*(Log[Verb]="block")),Log[Note])&amp;"",""))</f>
      </c>
      <c r="R335" s="17">
        <f>IF(Items[[#This Row],[ID]]="","",COUNTIFS(Log[ID],Items[[#This Row],[ID]],Log[Verb],"carry"))</f>
      </c>
      <c r="S335" s="17">
        <f>IF(Items[[#This Row],[ID]]="","",COUNTIFS(Log[ID],Items[[#This Row],[ID]],Log[Verb],"punt"))</f>
      </c>
      <c r="T335" s="11">
        <f>IF(Items[[#This Row],[State]]&lt;&gt;"DONE","",IFERROR(LOOKUP(2,1/((Log[ID]=Items[[#This Row],[ID]])*(Log[Verb]="done")),Log[Date]),""))</f>
      </c>
      <c r="U335" s="17">
        <f>IF(Items[[#This Row],[ID]]="","",IF(AND(Items[[#This Row],[Sprint]]=CurSprint,OR(Items[[#This Row],[State]]="OPEN",Items[[#This Row],[State]]="WAIT",Items[[#This Row],[State]]="HOLD",Items[[#This Row],[State]]="DONE")),1,0))</f>
      </c>
      <c r="V335" s="17">
        <f>IF(OR(Items[[#This Row],[ID]]="",Items[[#This Row],[Added]]=""),"",AsOf-Items[[#This Row],[Added]])</f>
      </c>
      <c r="W335" s="17">
        <f>IF(Items[[#This Row],[In sprint]]=1,(IF(Items[[#This Row],[Prio]]="",9,N(Items[[#This Row],[Prio]]))*10+(IF(Items[[#This Row],[State]]="DONE",1,0)))*100000+ROW(),"")</f>
      </c>
      <c r="X33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35" s="17">
        <f>IF(AND(Items[[#This Row],[State]]="DONE",N(Items[[#This Row],[Done on]])&gt;AsOf-7),(200000-N(Items[[#This Row],[Done on]]))*100000+ROW(),"")</f>
      </c>
    </row>
    <row r="336">
      <c r="A336" t="s">
        <v>505</v>
      </c>
      <c r="B336" t="s">
        <v>1554</v>
      </c>
      <c r="C336" t="s">
        <v>1107</v>
      </c>
      <c r="D336" t="s">
        <v>1108</v>
      </c>
      <c r="E336" t="s">
        <v>1124</v>
      </c>
      <c r="F336" t="s">
        <v>1203</v>
      </c>
      <c r="G336">
        <v>2</v>
      </c>
      <c r="H336">
        <v>1</v>
      </c>
      <c r="I336" s="11">
        <v>46133</v>
      </c>
      <c r="J336" s="17">
        <f>IF(Items[[#This Row],[ID]]="","",IFERROR(VALUE(LOOKUP(2,1/((Log[ID]=Items[[#This Row],[ID]])*(Log[Verb]="est")),Log[Arg])),N(Items[[#This Row],[Points]])))</f>
      </c>
      <c r="K336" s="17">
        <f>IF(Items[[#This Row],[ID]]="","",IFERROR(LOOKUP(2,1/((Log[ID]=Items[[#This Row],[ID]])*(Log[Verb]="pass")),Log[Arg])&amp;"",Items[[#This Row],[Team]]&amp;""))</f>
      </c>
      <c r="L336" s="17">
        <f>IF(Items[[#This Row],[ID]]="","",IFERROR(LOOKUP(2,1/((Log[ID]=Items[[#This Row],[ID]])*(Log[Into]&lt;&gt;"")),Log[Into]),""))</f>
      </c>
      <c r="M336" s="17">
        <f>IF(Items[[#This Row],[ID]]="","",IF(IFERROR(LOOKUP(2,1/((Log[ID]=Items[[#This Row],[ID]])*(Log[Blk]&lt;&gt;"")),Log[Blk]),0)=1,"Y",""))</f>
      </c>
      <c r="N336" s="17">
        <f>IF(Items[[#This Row],[ID]]="","",SUBSTITUTE(IFERROR(LOOKUP(2,1/((Log[ID]=Items[[#This Row],[ID]])*(Log[State]&lt;&gt;"")),Log[State]),"TODO"),"OPEN",IF(Items[[#This Row],[Blocked]]="Y","WAIT","OPEN")))</f>
      </c>
      <c r="O33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36" s="17">
        <f>IF(Items[[#This Row],[State]]&lt;&gt;"WAIT","",AsOf-Items[[#This Row],[Blocked since]])</f>
      </c>
      <c r="Q336" s="17">
        <f>IF(Items[[#This Row],[State]]&lt;&gt;"WAIT","",IFERROR(LOOKUP(2,1/((Log[ID]=Items[[#This Row],[ID]])*(Log[Verb]="block")),Log[Note])&amp;"",""))</f>
      </c>
      <c r="R336" s="17">
        <f>IF(Items[[#This Row],[ID]]="","",COUNTIFS(Log[ID],Items[[#This Row],[ID]],Log[Verb],"carry"))</f>
      </c>
      <c r="S336" s="17">
        <f>IF(Items[[#This Row],[ID]]="","",COUNTIFS(Log[ID],Items[[#This Row],[ID]],Log[Verb],"punt"))</f>
      </c>
      <c r="T336" s="11">
        <f>IF(Items[[#This Row],[State]]&lt;&gt;"DONE","",IFERROR(LOOKUP(2,1/((Log[ID]=Items[[#This Row],[ID]])*(Log[Verb]="done")),Log[Date]),""))</f>
      </c>
      <c r="U336" s="17">
        <f>IF(Items[[#This Row],[ID]]="","",IF(AND(Items[[#This Row],[Sprint]]=CurSprint,OR(Items[[#This Row],[State]]="OPEN",Items[[#This Row],[State]]="WAIT",Items[[#This Row],[State]]="HOLD",Items[[#This Row],[State]]="DONE")),1,0))</f>
      </c>
      <c r="V336" s="17">
        <f>IF(OR(Items[[#This Row],[ID]]="",Items[[#This Row],[Added]]=""),"",AsOf-Items[[#This Row],[Added]])</f>
      </c>
      <c r="W336" s="17">
        <f>IF(Items[[#This Row],[In sprint]]=1,(IF(Items[[#This Row],[Prio]]="",9,N(Items[[#This Row],[Prio]]))*10+(IF(Items[[#This Row],[State]]="DONE",1,0)))*100000+ROW(),"")</f>
      </c>
      <c r="X33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36" s="17">
        <f>IF(AND(Items[[#This Row],[State]]="DONE",N(Items[[#This Row],[Done on]])&gt;AsOf-7),(200000-N(Items[[#This Row],[Done on]]))*100000+ROW(),"")</f>
      </c>
    </row>
    <row r="337">
      <c r="A337" t="s">
        <v>506</v>
      </c>
      <c r="B337" t="s">
        <v>1555</v>
      </c>
      <c r="C337" t="s">
        <v>1107</v>
      </c>
      <c r="D337" t="s">
        <v>1127</v>
      </c>
      <c r="E337" t="s">
        <v>1124</v>
      </c>
      <c r="F337" t="s">
        <v>1157</v>
      </c>
      <c r="G337">
        <v>8</v>
      </c>
      <c r="H337">
        <v>1</v>
      </c>
      <c r="I337" s="11">
        <v>46133</v>
      </c>
      <c r="J337" s="17">
        <f>IF(Items[[#This Row],[ID]]="","",IFERROR(VALUE(LOOKUP(2,1/((Log[ID]=Items[[#This Row],[ID]])*(Log[Verb]="est")),Log[Arg])),N(Items[[#This Row],[Points]])))</f>
      </c>
      <c r="K337" s="17">
        <f>IF(Items[[#This Row],[ID]]="","",IFERROR(LOOKUP(2,1/((Log[ID]=Items[[#This Row],[ID]])*(Log[Verb]="pass")),Log[Arg])&amp;"",Items[[#This Row],[Team]]&amp;""))</f>
      </c>
      <c r="L337" s="17">
        <f>IF(Items[[#This Row],[ID]]="","",IFERROR(LOOKUP(2,1/((Log[ID]=Items[[#This Row],[ID]])*(Log[Into]&lt;&gt;"")),Log[Into]),""))</f>
      </c>
      <c r="M337" s="17">
        <f>IF(Items[[#This Row],[ID]]="","",IF(IFERROR(LOOKUP(2,1/((Log[ID]=Items[[#This Row],[ID]])*(Log[Blk]&lt;&gt;"")),Log[Blk]),0)=1,"Y",""))</f>
      </c>
      <c r="N337" s="17">
        <f>IF(Items[[#This Row],[ID]]="","",SUBSTITUTE(IFERROR(LOOKUP(2,1/((Log[ID]=Items[[#This Row],[ID]])*(Log[State]&lt;&gt;"")),Log[State]),"TODO"),"OPEN",IF(Items[[#This Row],[Blocked]]="Y","WAIT","OPEN")))</f>
      </c>
      <c r="O33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37" s="17">
        <f>IF(Items[[#This Row],[State]]&lt;&gt;"WAIT","",AsOf-Items[[#This Row],[Blocked since]])</f>
      </c>
      <c r="Q337" s="17">
        <f>IF(Items[[#This Row],[State]]&lt;&gt;"WAIT","",IFERROR(LOOKUP(2,1/((Log[ID]=Items[[#This Row],[ID]])*(Log[Verb]="block")),Log[Note])&amp;"",""))</f>
      </c>
      <c r="R337" s="17">
        <f>IF(Items[[#This Row],[ID]]="","",COUNTIFS(Log[ID],Items[[#This Row],[ID]],Log[Verb],"carry"))</f>
      </c>
      <c r="S337" s="17">
        <f>IF(Items[[#This Row],[ID]]="","",COUNTIFS(Log[ID],Items[[#This Row],[ID]],Log[Verb],"punt"))</f>
      </c>
      <c r="T337" s="11">
        <f>IF(Items[[#This Row],[State]]&lt;&gt;"DONE","",IFERROR(LOOKUP(2,1/((Log[ID]=Items[[#This Row],[ID]])*(Log[Verb]="done")),Log[Date]),""))</f>
      </c>
      <c r="U337" s="17">
        <f>IF(Items[[#This Row],[ID]]="","",IF(AND(Items[[#This Row],[Sprint]]=CurSprint,OR(Items[[#This Row],[State]]="OPEN",Items[[#This Row],[State]]="WAIT",Items[[#This Row],[State]]="HOLD",Items[[#This Row],[State]]="DONE")),1,0))</f>
      </c>
      <c r="V337" s="17">
        <f>IF(OR(Items[[#This Row],[ID]]="",Items[[#This Row],[Added]]=""),"",AsOf-Items[[#This Row],[Added]])</f>
      </c>
      <c r="W337" s="17">
        <f>IF(Items[[#This Row],[In sprint]]=1,(IF(Items[[#This Row],[Prio]]="",9,N(Items[[#This Row],[Prio]]))*10+(IF(Items[[#This Row],[State]]="DONE",1,0)))*100000+ROW(),"")</f>
      </c>
      <c r="X33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37" s="17">
        <f>IF(AND(Items[[#This Row],[State]]="DONE",N(Items[[#This Row],[Done on]])&gt;AsOf-7),(200000-N(Items[[#This Row],[Done on]]))*100000+ROW(),"")</f>
      </c>
    </row>
    <row r="338">
      <c r="A338" t="s">
        <v>507</v>
      </c>
      <c r="B338" t="s">
        <v>1556</v>
      </c>
      <c r="C338" t="s">
        <v>1107</v>
      </c>
      <c r="D338" t="s">
        <v>1123</v>
      </c>
      <c r="E338" t="s">
        <v>1124</v>
      </c>
      <c r="F338" t="s">
        <v>1157</v>
      </c>
      <c r="G338">
        <v>8</v>
      </c>
      <c r="H338">
        <v>2</v>
      </c>
      <c r="I338" s="11">
        <v>46133</v>
      </c>
      <c r="J338" s="17">
        <f>IF(Items[[#This Row],[ID]]="","",IFERROR(VALUE(LOOKUP(2,1/((Log[ID]=Items[[#This Row],[ID]])*(Log[Verb]="est")),Log[Arg])),N(Items[[#This Row],[Points]])))</f>
      </c>
      <c r="K338" s="17">
        <f>IF(Items[[#This Row],[ID]]="","",IFERROR(LOOKUP(2,1/((Log[ID]=Items[[#This Row],[ID]])*(Log[Verb]="pass")),Log[Arg])&amp;"",Items[[#This Row],[Team]]&amp;""))</f>
      </c>
      <c r="L338" s="17">
        <f>IF(Items[[#This Row],[ID]]="","",IFERROR(LOOKUP(2,1/((Log[ID]=Items[[#This Row],[ID]])*(Log[Into]&lt;&gt;"")),Log[Into]),""))</f>
      </c>
      <c r="M338" s="17">
        <f>IF(Items[[#This Row],[ID]]="","",IF(IFERROR(LOOKUP(2,1/((Log[ID]=Items[[#This Row],[ID]])*(Log[Blk]&lt;&gt;"")),Log[Blk]),0)=1,"Y",""))</f>
      </c>
      <c r="N338" s="17">
        <f>IF(Items[[#This Row],[ID]]="","",SUBSTITUTE(IFERROR(LOOKUP(2,1/((Log[ID]=Items[[#This Row],[ID]])*(Log[State]&lt;&gt;"")),Log[State]),"TODO"),"OPEN",IF(Items[[#This Row],[Blocked]]="Y","WAIT","OPEN")))</f>
      </c>
      <c r="O33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38" s="17">
        <f>IF(Items[[#This Row],[State]]&lt;&gt;"WAIT","",AsOf-Items[[#This Row],[Blocked since]])</f>
      </c>
      <c r="Q338" s="17">
        <f>IF(Items[[#This Row],[State]]&lt;&gt;"WAIT","",IFERROR(LOOKUP(2,1/((Log[ID]=Items[[#This Row],[ID]])*(Log[Verb]="block")),Log[Note])&amp;"",""))</f>
      </c>
      <c r="R338" s="17">
        <f>IF(Items[[#This Row],[ID]]="","",COUNTIFS(Log[ID],Items[[#This Row],[ID]],Log[Verb],"carry"))</f>
      </c>
      <c r="S338" s="17">
        <f>IF(Items[[#This Row],[ID]]="","",COUNTIFS(Log[ID],Items[[#This Row],[ID]],Log[Verb],"punt"))</f>
      </c>
      <c r="T338" s="11">
        <f>IF(Items[[#This Row],[State]]&lt;&gt;"DONE","",IFERROR(LOOKUP(2,1/((Log[ID]=Items[[#This Row],[ID]])*(Log[Verb]="done")),Log[Date]),""))</f>
      </c>
      <c r="U338" s="17">
        <f>IF(Items[[#This Row],[ID]]="","",IF(AND(Items[[#This Row],[Sprint]]=CurSprint,OR(Items[[#This Row],[State]]="OPEN",Items[[#This Row],[State]]="WAIT",Items[[#This Row],[State]]="HOLD",Items[[#This Row],[State]]="DONE")),1,0))</f>
      </c>
      <c r="V338" s="17">
        <f>IF(OR(Items[[#This Row],[ID]]="",Items[[#This Row],[Added]]=""),"",AsOf-Items[[#This Row],[Added]])</f>
      </c>
      <c r="W338" s="17">
        <f>IF(Items[[#This Row],[In sprint]]=1,(IF(Items[[#This Row],[Prio]]="",9,N(Items[[#This Row],[Prio]]))*10+(IF(Items[[#This Row],[State]]="DONE",1,0)))*100000+ROW(),"")</f>
      </c>
      <c r="X33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38" s="17">
        <f>IF(AND(Items[[#This Row],[State]]="DONE",N(Items[[#This Row],[Done on]])&gt;AsOf-7),(200000-N(Items[[#This Row],[Done on]]))*100000+ROW(),"")</f>
      </c>
    </row>
    <row r="339">
      <c r="A339" t="s">
        <v>508</v>
      </c>
      <c r="B339" t="s">
        <v>1557</v>
      </c>
      <c r="C339" t="s">
        <v>1107</v>
      </c>
      <c r="D339" t="s">
        <v>1108</v>
      </c>
      <c r="E339" t="s">
        <v>1159</v>
      </c>
      <c r="F339" t="s">
        <v>1211</v>
      </c>
      <c r="G339">
        <v>2</v>
      </c>
      <c r="H339">
        <v>3</v>
      </c>
      <c r="I339" s="11">
        <v>46133</v>
      </c>
      <c r="J339" s="17">
        <f>IF(Items[[#This Row],[ID]]="","",IFERROR(VALUE(LOOKUP(2,1/((Log[ID]=Items[[#This Row],[ID]])*(Log[Verb]="est")),Log[Arg])),N(Items[[#This Row],[Points]])))</f>
      </c>
      <c r="K339" s="17">
        <f>IF(Items[[#This Row],[ID]]="","",IFERROR(LOOKUP(2,1/((Log[ID]=Items[[#This Row],[ID]])*(Log[Verb]="pass")),Log[Arg])&amp;"",Items[[#This Row],[Team]]&amp;""))</f>
      </c>
      <c r="L339" s="17">
        <f>IF(Items[[#This Row],[ID]]="","",IFERROR(LOOKUP(2,1/((Log[ID]=Items[[#This Row],[ID]])*(Log[Into]&lt;&gt;"")),Log[Into]),""))</f>
      </c>
      <c r="M339" s="17">
        <f>IF(Items[[#This Row],[ID]]="","",IF(IFERROR(LOOKUP(2,1/((Log[ID]=Items[[#This Row],[ID]])*(Log[Blk]&lt;&gt;"")),Log[Blk]),0)=1,"Y",""))</f>
      </c>
      <c r="N339" s="17">
        <f>IF(Items[[#This Row],[ID]]="","",SUBSTITUTE(IFERROR(LOOKUP(2,1/((Log[ID]=Items[[#This Row],[ID]])*(Log[State]&lt;&gt;"")),Log[State]),"TODO"),"OPEN",IF(Items[[#This Row],[Blocked]]="Y","WAIT","OPEN")))</f>
      </c>
      <c r="O33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39" s="17">
        <f>IF(Items[[#This Row],[State]]&lt;&gt;"WAIT","",AsOf-Items[[#This Row],[Blocked since]])</f>
      </c>
      <c r="Q339" s="17">
        <f>IF(Items[[#This Row],[State]]&lt;&gt;"WAIT","",IFERROR(LOOKUP(2,1/((Log[ID]=Items[[#This Row],[ID]])*(Log[Verb]="block")),Log[Note])&amp;"",""))</f>
      </c>
      <c r="R339" s="17">
        <f>IF(Items[[#This Row],[ID]]="","",COUNTIFS(Log[ID],Items[[#This Row],[ID]],Log[Verb],"carry"))</f>
      </c>
      <c r="S339" s="17">
        <f>IF(Items[[#This Row],[ID]]="","",COUNTIFS(Log[ID],Items[[#This Row],[ID]],Log[Verb],"punt"))</f>
      </c>
      <c r="T339" s="11">
        <f>IF(Items[[#This Row],[State]]&lt;&gt;"DONE","",IFERROR(LOOKUP(2,1/((Log[ID]=Items[[#This Row],[ID]])*(Log[Verb]="done")),Log[Date]),""))</f>
      </c>
      <c r="U339" s="17">
        <f>IF(Items[[#This Row],[ID]]="","",IF(AND(Items[[#This Row],[Sprint]]=CurSprint,OR(Items[[#This Row],[State]]="OPEN",Items[[#This Row],[State]]="WAIT",Items[[#This Row],[State]]="HOLD",Items[[#This Row],[State]]="DONE")),1,0))</f>
      </c>
      <c r="V339" s="17">
        <f>IF(OR(Items[[#This Row],[ID]]="",Items[[#This Row],[Added]]=""),"",AsOf-Items[[#This Row],[Added]])</f>
      </c>
      <c r="W339" s="17">
        <f>IF(Items[[#This Row],[In sprint]]=1,(IF(Items[[#This Row],[Prio]]="",9,N(Items[[#This Row],[Prio]]))*10+(IF(Items[[#This Row],[State]]="DONE",1,0)))*100000+ROW(),"")</f>
      </c>
      <c r="X33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39" s="17">
        <f>IF(AND(Items[[#This Row],[State]]="DONE",N(Items[[#This Row],[Done on]])&gt;AsOf-7),(200000-N(Items[[#This Row],[Done on]]))*100000+ROW(),"")</f>
      </c>
    </row>
    <row r="340">
      <c r="A340" t="s">
        <v>509</v>
      </c>
      <c r="B340" t="s">
        <v>1558</v>
      </c>
      <c r="C340" t="s">
        <v>1115</v>
      </c>
      <c r="D340" t="s">
        <v>1116</v>
      </c>
      <c r="E340" t="s">
        <v>1159</v>
      </c>
      <c r="F340" t="s">
        <v>1437</v>
      </c>
      <c r="G340">
        <v>3</v>
      </c>
      <c r="H340">
        <v>1</v>
      </c>
      <c r="I340" s="11">
        <v>46133</v>
      </c>
      <c r="J340" s="17">
        <f>IF(Items[[#This Row],[ID]]="","",IFERROR(VALUE(LOOKUP(2,1/((Log[ID]=Items[[#This Row],[ID]])*(Log[Verb]="est")),Log[Arg])),N(Items[[#This Row],[Points]])))</f>
      </c>
      <c r="K340" s="17">
        <f>IF(Items[[#This Row],[ID]]="","",IFERROR(LOOKUP(2,1/((Log[ID]=Items[[#This Row],[ID]])*(Log[Verb]="pass")),Log[Arg])&amp;"",Items[[#This Row],[Team]]&amp;""))</f>
      </c>
      <c r="L340" s="17">
        <f>IF(Items[[#This Row],[ID]]="","",IFERROR(LOOKUP(2,1/((Log[ID]=Items[[#This Row],[ID]])*(Log[Into]&lt;&gt;"")),Log[Into]),""))</f>
      </c>
      <c r="M340" s="17">
        <f>IF(Items[[#This Row],[ID]]="","",IF(IFERROR(LOOKUP(2,1/((Log[ID]=Items[[#This Row],[ID]])*(Log[Blk]&lt;&gt;"")),Log[Blk]),0)=1,"Y",""))</f>
      </c>
      <c r="N340" s="17">
        <f>IF(Items[[#This Row],[ID]]="","",SUBSTITUTE(IFERROR(LOOKUP(2,1/((Log[ID]=Items[[#This Row],[ID]])*(Log[State]&lt;&gt;"")),Log[State]),"TODO"),"OPEN",IF(Items[[#This Row],[Blocked]]="Y","WAIT","OPEN")))</f>
      </c>
      <c r="O34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40" s="17">
        <f>IF(Items[[#This Row],[State]]&lt;&gt;"WAIT","",AsOf-Items[[#This Row],[Blocked since]])</f>
      </c>
      <c r="Q340" s="17">
        <f>IF(Items[[#This Row],[State]]&lt;&gt;"WAIT","",IFERROR(LOOKUP(2,1/((Log[ID]=Items[[#This Row],[ID]])*(Log[Verb]="block")),Log[Note])&amp;"",""))</f>
      </c>
      <c r="R340" s="17">
        <f>IF(Items[[#This Row],[ID]]="","",COUNTIFS(Log[ID],Items[[#This Row],[ID]],Log[Verb],"carry"))</f>
      </c>
      <c r="S340" s="17">
        <f>IF(Items[[#This Row],[ID]]="","",COUNTIFS(Log[ID],Items[[#This Row],[ID]],Log[Verb],"punt"))</f>
      </c>
      <c r="T340" s="11">
        <f>IF(Items[[#This Row],[State]]&lt;&gt;"DONE","",IFERROR(LOOKUP(2,1/((Log[ID]=Items[[#This Row],[ID]])*(Log[Verb]="done")),Log[Date]),""))</f>
      </c>
      <c r="U340" s="17">
        <f>IF(Items[[#This Row],[ID]]="","",IF(AND(Items[[#This Row],[Sprint]]=CurSprint,OR(Items[[#This Row],[State]]="OPEN",Items[[#This Row],[State]]="WAIT",Items[[#This Row],[State]]="HOLD",Items[[#This Row],[State]]="DONE")),1,0))</f>
      </c>
      <c r="V340" s="17">
        <f>IF(OR(Items[[#This Row],[ID]]="",Items[[#This Row],[Added]]=""),"",AsOf-Items[[#This Row],[Added]])</f>
      </c>
      <c r="W340" s="17">
        <f>IF(Items[[#This Row],[In sprint]]=1,(IF(Items[[#This Row],[Prio]]="",9,N(Items[[#This Row],[Prio]]))*10+(IF(Items[[#This Row],[State]]="DONE",1,0)))*100000+ROW(),"")</f>
      </c>
      <c r="X34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40" s="17">
        <f>IF(AND(Items[[#This Row],[State]]="DONE",N(Items[[#This Row],[Done on]])&gt;AsOf-7),(200000-N(Items[[#This Row],[Done on]]))*100000+ROW(),"")</f>
      </c>
    </row>
    <row r="341">
      <c r="A341" t="s">
        <v>510</v>
      </c>
      <c r="B341" t="s">
        <v>1559</v>
      </c>
      <c r="C341" t="s">
        <v>1115</v>
      </c>
      <c r="D341" t="s">
        <v>1119</v>
      </c>
      <c r="E341" t="s">
        <v>1159</v>
      </c>
      <c r="F341" t="s">
        <v>1433</v>
      </c>
      <c r="G341">
        <v>5</v>
      </c>
      <c r="H341">
        <v>1</v>
      </c>
      <c r="I341" s="11">
        <v>46133</v>
      </c>
      <c r="J341" s="17">
        <f>IF(Items[[#This Row],[ID]]="","",IFERROR(VALUE(LOOKUP(2,1/((Log[ID]=Items[[#This Row],[ID]])*(Log[Verb]="est")),Log[Arg])),N(Items[[#This Row],[Points]])))</f>
      </c>
      <c r="K341" s="17">
        <f>IF(Items[[#This Row],[ID]]="","",IFERROR(LOOKUP(2,1/((Log[ID]=Items[[#This Row],[ID]])*(Log[Verb]="pass")),Log[Arg])&amp;"",Items[[#This Row],[Team]]&amp;""))</f>
      </c>
      <c r="L341" s="17">
        <f>IF(Items[[#This Row],[ID]]="","",IFERROR(LOOKUP(2,1/((Log[ID]=Items[[#This Row],[ID]])*(Log[Into]&lt;&gt;"")),Log[Into]),""))</f>
      </c>
      <c r="M341" s="17">
        <f>IF(Items[[#This Row],[ID]]="","",IF(IFERROR(LOOKUP(2,1/((Log[ID]=Items[[#This Row],[ID]])*(Log[Blk]&lt;&gt;"")),Log[Blk]),0)=1,"Y",""))</f>
      </c>
      <c r="N341" s="17">
        <f>IF(Items[[#This Row],[ID]]="","",SUBSTITUTE(IFERROR(LOOKUP(2,1/((Log[ID]=Items[[#This Row],[ID]])*(Log[State]&lt;&gt;"")),Log[State]),"TODO"),"OPEN",IF(Items[[#This Row],[Blocked]]="Y","WAIT","OPEN")))</f>
      </c>
      <c r="O34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41" s="17">
        <f>IF(Items[[#This Row],[State]]&lt;&gt;"WAIT","",AsOf-Items[[#This Row],[Blocked since]])</f>
      </c>
      <c r="Q341" s="17">
        <f>IF(Items[[#This Row],[State]]&lt;&gt;"WAIT","",IFERROR(LOOKUP(2,1/((Log[ID]=Items[[#This Row],[ID]])*(Log[Verb]="block")),Log[Note])&amp;"",""))</f>
      </c>
      <c r="R341" s="17">
        <f>IF(Items[[#This Row],[ID]]="","",COUNTIFS(Log[ID],Items[[#This Row],[ID]],Log[Verb],"carry"))</f>
      </c>
      <c r="S341" s="17">
        <f>IF(Items[[#This Row],[ID]]="","",COUNTIFS(Log[ID],Items[[#This Row],[ID]],Log[Verb],"punt"))</f>
      </c>
      <c r="T341" s="11">
        <f>IF(Items[[#This Row],[State]]&lt;&gt;"DONE","",IFERROR(LOOKUP(2,1/((Log[ID]=Items[[#This Row],[ID]])*(Log[Verb]="done")),Log[Date]),""))</f>
      </c>
      <c r="U341" s="17">
        <f>IF(Items[[#This Row],[ID]]="","",IF(AND(Items[[#This Row],[Sprint]]=CurSprint,OR(Items[[#This Row],[State]]="OPEN",Items[[#This Row],[State]]="WAIT",Items[[#This Row],[State]]="HOLD",Items[[#This Row],[State]]="DONE")),1,0))</f>
      </c>
      <c r="V341" s="17">
        <f>IF(OR(Items[[#This Row],[ID]]="",Items[[#This Row],[Added]]=""),"",AsOf-Items[[#This Row],[Added]])</f>
      </c>
      <c r="W341" s="17">
        <f>IF(Items[[#This Row],[In sprint]]=1,(IF(Items[[#This Row],[Prio]]="",9,N(Items[[#This Row],[Prio]]))*10+(IF(Items[[#This Row],[State]]="DONE",1,0)))*100000+ROW(),"")</f>
      </c>
      <c r="X34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41" s="17">
        <f>IF(AND(Items[[#This Row],[State]]="DONE",N(Items[[#This Row],[Done on]])&gt;AsOf-7),(200000-N(Items[[#This Row],[Done on]]))*100000+ROW(),"")</f>
      </c>
    </row>
    <row r="342">
      <c r="A342" t="s">
        <v>511</v>
      </c>
      <c r="B342" t="s">
        <v>1560</v>
      </c>
      <c r="C342" t="s">
        <v>1115</v>
      </c>
      <c r="D342" t="s">
        <v>1119</v>
      </c>
      <c r="E342" t="s">
        <v>1159</v>
      </c>
      <c r="F342" t="s">
        <v>1213</v>
      </c>
      <c r="G342">
        <v>8</v>
      </c>
      <c r="H342">
        <v>1</v>
      </c>
      <c r="I342" s="11">
        <v>46133</v>
      </c>
      <c r="J342" s="17">
        <f>IF(Items[[#This Row],[ID]]="","",IFERROR(VALUE(LOOKUP(2,1/((Log[ID]=Items[[#This Row],[ID]])*(Log[Verb]="est")),Log[Arg])),N(Items[[#This Row],[Points]])))</f>
      </c>
      <c r="K342" s="17">
        <f>IF(Items[[#This Row],[ID]]="","",IFERROR(LOOKUP(2,1/((Log[ID]=Items[[#This Row],[ID]])*(Log[Verb]="pass")),Log[Arg])&amp;"",Items[[#This Row],[Team]]&amp;""))</f>
      </c>
      <c r="L342" s="17">
        <f>IF(Items[[#This Row],[ID]]="","",IFERROR(LOOKUP(2,1/((Log[ID]=Items[[#This Row],[ID]])*(Log[Into]&lt;&gt;"")),Log[Into]),""))</f>
      </c>
      <c r="M342" s="17">
        <f>IF(Items[[#This Row],[ID]]="","",IF(IFERROR(LOOKUP(2,1/((Log[ID]=Items[[#This Row],[ID]])*(Log[Blk]&lt;&gt;"")),Log[Blk]),0)=1,"Y",""))</f>
      </c>
      <c r="N342" s="17">
        <f>IF(Items[[#This Row],[ID]]="","",SUBSTITUTE(IFERROR(LOOKUP(2,1/((Log[ID]=Items[[#This Row],[ID]])*(Log[State]&lt;&gt;"")),Log[State]),"TODO"),"OPEN",IF(Items[[#This Row],[Blocked]]="Y","WAIT","OPEN")))</f>
      </c>
      <c r="O34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42" s="17">
        <f>IF(Items[[#This Row],[State]]&lt;&gt;"WAIT","",AsOf-Items[[#This Row],[Blocked since]])</f>
      </c>
      <c r="Q342" s="17">
        <f>IF(Items[[#This Row],[State]]&lt;&gt;"WAIT","",IFERROR(LOOKUP(2,1/((Log[ID]=Items[[#This Row],[ID]])*(Log[Verb]="block")),Log[Note])&amp;"",""))</f>
      </c>
      <c r="R342" s="17">
        <f>IF(Items[[#This Row],[ID]]="","",COUNTIFS(Log[ID],Items[[#This Row],[ID]],Log[Verb],"carry"))</f>
      </c>
      <c r="S342" s="17">
        <f>IF(Items[[#This Row],[ID]]="","",COUNTIFS(Log[ID],Items[[#This Row],[ID]],Log[Verb],"punt"))</f>
      </c>
      <c r="T342" s="11">
        <f>IF(Items[[#This Row],[State]]&lt;&gt;"DONE","",IFERROR(LOOKUP(2,1/((Log[ID]=Items[[#This Row],[ID]])*(Log[Verb]="done")),Log[Date]),""))</f>
      </c>
      <c r="U342" s="17">
        <f>IF(Items[[#This Row],[ID]]="","",IF(AND(Items[[#This Row],[Sprint]]=CurSprint,OR(Items[[#This Row],[State]]="OPEN",Items[[#This Row],[State]]="WAIT",Items[[#This Row],[State]]="HOLD",Items[[#This Row],[State]]="DONE")),1,0))</f>
      </c>
      <c r="V342" s="17">
        <f>IF(OR(Items[[#This Row],[ID]]="",Items[[#This Row],[Added]]=""),"",AsOf-Items[[#This Row],[Added]])</f>
      </c>
      <c r="W342" s="17">
        <f>IF(Items[[#This Row],[In sprint]]=1,(IF(Items[[#This Row],[Prio]]="",9,N(Items[[#This Row],[Prio]]))*10+(IF(Items[[#This Row],[State]]="DONE",1,0)))*100000+ROW(),"")</f>
      </c>
      <c r="X34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42" s="17">
        <f>IF(AND(Items[[#This Row],[State]]="DONE",N(Items[[#This Row],[Done on]])&gt;AsOf-7),(200000-N(Items[[#This Row],[Done on]]))*100000+ROW(),"")</f>
      </c>
    </row>
    <row r="343">
      <c r="A343" t="s">
        <v>512</v>
      </c>
      <c r="B343" t="s">
        <v>1561</v>
      </c>
      <c r="C343" t="s">
        <v>1107</v>
      </c>
      <c r="D343" t="s">
        <v>1108</v>
      </c>
      <c r="E343" t="s">
        <v>1159</v>
      </c>
      <c r="F343" t="s">
        <v>1433</v>
      </c>
      <c r="G343">
        <v>8</v>
      </c>
      <c r="H343">
        <v>1</v>
      </c>
      <c r="I343" s="11">
        <v>46133</v>
      </c>
      <c r="J343" s="17">
        <f>IF(Items[[#This Row],[ID]]="","",IFERROR(VALUE(LOOKUP(2,1/((Log[ID]=Items[[#This Row],[ID]])*(Log[Verb]="est")),Log[Arg])),N(Items[[#This Row],[Points]])))</f>
      </c>
      <c r="K343" s="17">
        <f>IF(Items[[#This Row],[ID]]="","",IFERROR(LOOKUP(2,1/((Log[ID]=Items[[#This Row],[ID]])*(Log[Verb]="pass")),Log[Arg])&amp;"",Items[[#This Row],[Team]]&amp;""))</f>
      </c>
      <c r="L343" s="17">
        <f>IF(Items[[#This Row],[ID]]="","",IFERROR(LOOKUP(2,1/((Log[ID]=Items[[#This Row],[ID]])*(Log[Into]&lt;&gt;"")),Log[Into]),""))</f>
      </c>
      <c r="M343" s="17">
        <f>IF(Items[[#This Row],[ID]]="","",IF(IFERROR(LOOKUP(2,1/((Log[ID]=Items[[#This Row],[ID]])*(Log[Blk]&lt;&gt;"")),Log[Blk]),0)=1,"Y",""))</f>
      </c>
      <c r="N343" s="17">
        <f>IF(Items[[#This Row],[ID]]="","",SUBSTITUTE(IFERROR(LOOKUP(2,1/((Log[ID]=Items[[#This Row],[ID]])*(Log[State]&lt;&gt;"")),Log[State]),"TODO"),"OPEN",IF(Items[[#This Row],[Blocked]]="Y","WAIT","OPEN")))</f>
      </c>
      <c r="O34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43" s="17">
        <f>IF(Items[[#This Row],[State]]&lt;&gt;"WAIT","",AsOf-Items[[#This Row],[Blocked since]])</f>
      </c>
      <c r="Q343" s="17">
        <f>IF(Items[[#This Row],[State]]&lt;&gt;"WAIT","",IFERROR(LOOKUP(2,1/((Log[ID]=Items[[#This Row],[ID]])*(Log[Verb]="block")),Log[Note])&amp;"",""))</f>
      </c>
      <c r="R343" s="17">
        <f>IF(Items[[#This Row],[ID]]="","",COUNTIFS(Log[ID],Items[[#This Row],[ID]],Log[Verb],"carry"))</f>
      </c>
      <c r="S343" s="17">
        <f>IF(Items[[#This Row],[ID]]="","",COUNTIFS(Log[ID],Items[[#This Row],[ID]],Log[Verb],"punt"))</f>
      </c>
      <c r="T343" s="11">
        <f>IF(Items[[#This Row],[State]]&lt;&gt;"DONE","",IFERROR(LOOKUP(2,1/((Log[ID]=Items[[#This Row],[ID]])*(Log[Verb]="done")),Log[Date]),""))</f>
      </c>
      <c r="U343" s="17">
        <f>IF(Items[[#This Row],[ID]]="","",IF(AND(Items[[#This Row],[Sprint]]=CurSprint,OR(Items[[#This Row],[State]]="OPEN",Items[[#This Row],[State]]="WAIT",Items[[#This Row],[State]]="HOLD",Items[[#This Row],[State]]="DONE")),1,0))</f>
      </c>
      <c r="V343" s="17">
        <f>IF(OR(Items[[#This Row],[ID]]="",Items[[#This Row],[Added]]=""),"",AsOf-Items[[#This Row],[Added]])</f>
      </c>
      <c r="W343" s="17">
        <f>IF(Items[[#This Row],[In sprint]]=1,(IF(Items[[#This Row],[Prio]]="",9,N(Items[[#This Row],[Prio]]))*10+(IF(Items[[#This Row],[State]]="DONE",1,0)))*100000+ROW(),"")</f>
      </c>
      <c r="X34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43" s="17">
        <f>IF(AND(Items[[#This Row],[State]]="DONE",N(Items[[#This Row],[Done on]])&gt;AsOf-7),(200000-N(Items[[#This Row],[Done on]]))*100000+ROW(),"")</f>
      </c>
    </row>
    <row r="344">
      <c r="A344" t="s">
        <v>458</v>
      </c>
      <c r="B344" t="s">
        <v>1562</v>
      </c>
      <c r="C344" t="s">
        <v>1115</v>
      </c>
      <c r="D344" t="s">
        <v>1119</v>
      </c>
      <c r="E344" t="s">
        <v>1128</v>
      </c>
      <c r="F344" t="s">
        <v>1129</v>
      </c>
      <c r="G344">
        <v>3</v>
      </c>
      <c r="H344">
        <v>3</v>
      </c>
      <c r="I344" s="11">
        <v>46133</v>
      </c>
      <c r="J344" s="17">
        <f>IF(Items[[#This Row],[ID]]="","",IFERROR(VALUE(LOOKUP(2,1/((Log[ID]=Items[[#This Row],[ID]])*(Log[Verb]="est")),Log[Arg])),N(Items[[#This Row],[Points]])))</f>
      </c>
      <c r="K344" s="17">
        <f>IF(Items[[#This Row],[ID]]="","",IFERROR(LOOKUP(2,1/((Log[ID]=Items[[#This Row],[ID]])*(Log[Verb]="pass")),Log[Arg])&amp;"",Items[[#This Row],[Team]]&amp;""))</f>
      </c>
      <c r="L344" s="17">
        <f>IF(Items[[#This Row],[ID]]="","",IFERROR(LOOKUP(2,1/((Log[ID]=Items[[#This Row],[ID]])*(Log[Into]&lt;&gt;"")),Log[Into]),""))</f>
      </c>
      <c r="M344" s="17">
        <f>IF(Items[[#This Row],[ID]]="","",IF(IFERROR(LOOKUP(2,1/((Log[ID]=Items[[#This Row],[ID]])*(Log[Blk]&lt;&gt;"")),Log[Blk]),0)=1,"Y",""))</f>
      </c>
      <c r="N344" s="17">
        <f>IF(Items[[#This Row],[ID]]="","",SUBSTITUTE(IFERROR(LOOKUP(2,1/((Log[ID]=Items[[#This Row],[ID]])*(Log[State]&lt;&gt;"")),Log[State]),"TODO"),"OPEN",IF(Items[[#This Row],[Blocked]]="Y","WAIT","OPEN")))</f>
      </c>
      <c r="O34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44" s="17">
        <f>IF(Items[[#This Row],[State]]&lt;&gt;"WAIT","",AsOf-Items[[#This Row],[Blocked since]])</f>
      </c>
      <c r="Q344" s="17">
        <f>IF(Items[[#This Row],[State]]&lt;&gt;"WAIT","",IFERROR(LOOKUP(2,1/((Log[ID]=Items[[#This Row],[ID]])*(Log[Verb]="block")),Log[Note])&amp;"",""))</f>
      </c>
      <c r="R344" s="17">
        <f>IF(Items[[#This Row],[ID]]="","",COUNTIFS(Log[ID],Items[[#This Row],[ID]],Log[Verb],"carry"))</f>
      </c>
      <c r="S344" s="17">
        <f>IF(Items[[#This Row],[ID]]="","",COUNTIFS(Log[ID],Items[[#This Row],[ID]],Log[Verb],"punt"))</f>
      </c>
      <c r="T344" s="11">
        <f>IF(Items[[#This Row],[State]]&lt;&gt;"DONE","",IFERROR(LOOKUP(2,1/((Log[ID]=Items[[#This Row],[ID]])*(Log[Verb]="done")),Log[Date]),""))</f>
      </c>
      <c r="U344" s="17">
        <f>IF(Items[[#This Row],[ID]]="","",IF(AND(Items[[#This Row],[Sprint]]=CurSprint,OR(Items[[#This Row],[State]]="OPEN",Items[[#This Row],[State]]="WAIT",Items[[#This Row],[State]]="HOLD",Items[[#This Row],[State]]="DONE")),1,0))</f>
      </c>
      <c r="V344" s="17">
        <f>IF(OR(Items[[#This Row],[ID]]="",Items[[#This Row],[Added]]=""),"",AsOf-Items[[#This Row],[Added]])</f>
      </c>
      <c r="W344" s="17">
        <f>IF(Items[[#This Row],[In sprint]]=1,(IF(Items[[#This Row],[Prio]]="",9,N(Items[[#This Row],[Prio]]))*10+(IF(Items[[#This Row],[State]]="DONE",1,0)))*100000+ROW(),"")</f>
      </c>
      <c r="X34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44" s="17">
        <f>IF(AND(Items[[#This Row],[State]]="DONE",N(Items[[#This Row],[Done on]])&gt;AsOf-7),(200000-N(Items[[#This Row],[Done on]]))*100000+ROW(),"")</f>
      </c>
    </row>
    <row r="345">
      <c r="A345" t="s">
        <v>513</v>
      </c>
      <c r="B345" t="s">
        <v>1563</v>
      </c>
      <c r="C345" t="s">
        <v>1115</v>
      </c>
      <c r="D345" t="s">
        <v>1119</v>
      </c>
      <c r="E345" t="s">
        <v>1128</v>
      </c>
      <c r="F345" t="s">
        <v>1294</v>
      </c>
      <c r="G345">
        <v>8</v>
      </c>
      <c r="H345">
        <v>1</v>
      </c>
      <c r="I345" s="11">
        <v>46133</v>
      </c>
      <c r="J345" s="17">
        <f>IF(Items[[#This Row],[ID]]="","",IFERROR(VALUE(LOOKUP(2,1/((Log[ID]=Items[[#This Row],[ID]])*(Log[Verb]="est")),Log[Arg])),N(Items[[#This Row],[Points]])))</f>
      </c>
      <c r="K345" s="17">
        <f>IF(Items[[#This Row],[ID]]="","",IFERROR(LOOKUP(2,1/((Log[ID]=Items[[#This Row],[ID]])*(Log[Verb]="pass")),Log[Arg])&amp;"",Items[[#This Row],[Team]]&amp;""))</f>
      </c>
      <c r="L345" s="17">
        <f>IF(Items[[#This Row],[ID]]="","",IFERROR(LOOKUP(2,1/((Log[ID]=Items[[#This Row],[ID]])*(Log[Into]&lt;&gt;"")),Log[Into]),""))</f>
      </c>
      <c r="M345" s="17">
        <f>IF(Items[[#This Row],[ID]]="","",IF(IFERROR(LOOKUP(2,1/((Log[ID]=Items[[#This Row],[ID]])*(Log[Blk]&lt;&gt;"")),Log[Blk]),0)=1,"Y",""))</f>
      </c>
      <c r="N345" s="17">
        <f>IF(Items[[#This Row],[ID]]="","",SUBSTITUTE(IFERROR(LOOKUP(2,1/((Log[ID]=Items[[#This Row],[ID]])*(Log[State]&lt;&gt;"")),Log[State]),"TODO"),"OPEN",IF(Items[[#This Row],[Blocked]]="Y","WAIT","OPEN")))</f>
      </c>
      <c r="O34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45" s="17">
        <f>IF(Items[[#This Row],[State]]&lt;&gt;"WAIT","",AsOf-Items[[#This Row],[Blocked since]])</f>
      </c>
      <c r="Q345" s="17">
        <f>IF(Items[[#This Row],[State]]&lt;&gt;"WAIT","",IFERROR(LOOKUP(2,1/((Log[ID]=Items[[#This Row],[ID]])*(Log[Verb]="block")),Log[Note])&amp;"",""))</f>
      </c>
      <c r="R345" s="17">
        <f>IF(Items[[#This Row],[ID]]="","",COUNTIFS(Log[ID],Items[[#This Row],[ID]],Log[Verb],"carry"))</f>
      </c>
      <c r="S345" s="17">
        <f>IF(Items[[#This Row],[ID]]="","",COUNTIFS(Log[ID],Items[[#This Row],[ID]],Log[Verb],"punt"))</f>
      </c>
      <c r="T345" s="11">
        <f>IF(Items[[#This Row],[State]]&lt;&gt;"DONE","",IFERROR(LOOKUP(2,1/((Log[ID]=Items[[#This Row],[ID]])*(Log[Verb]="done")),Log[Date]),""))</f>
      </c>
      <c r="U345" s="17">
        <f>IF(Items[[#This Row],[ID]]="","",IF(AND(Items[[#This Row],[Sprint]]=CurSprint,OR(Items[[#This Row],[State]]="OPEN",Items[[#This Row],[State]]="WAIT",Items[[#This Row],[State]]="HOLD",Items[[#This Row],[State]]="DONE")),1,0))</f>
      </c>
      <c r="V345" s="17">
        <f>IF(OR(Items[[#This Row],[ID]]="",Items[[#This Row],[Added]]=""),"",AsOf-Items[[#This Row],[Added]])</f>
      </c>
      <c r="W345" s="17">
        <f>IF(Items[[#This Row],[In sprint]]=1,(IF(Items[[#This Row],[Prio]]="",9,N(Items[[#This Row],[Prio]]))*10+(IF(Items[[#This Row],[State]]="DONE",1,0)))*100000+ROW(),"")</f>
      </c>
      <c r="X34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45" s="17">
        <f>IF(AND(Items[[#This Row],[State]]="DONE",N(Items[[#This Row],[Done on]])&gt;AsOf-7),(200000-N(Items[[#This Row],[Done on]]))*100000+ROW(),"")</f>
      </c>
    </row>
    <row r="346">
      <c r="A346" t="s">
        <v>514</v>
      </c>
      <c r="B346" t="s">
        <v>1564</v>
      </c>
      <c r="C346" t="s">
        <v>1107</v>
      </c>
      <c r="D346" t="s">
        <v>1127</v>
      </c>
      <c r="E346" t="s">
        <v>1128</v>
      </c>
      <c r="F346" t="s">
        <v>1162</v>
      </c>
      <c r="G346">
        <v>5</v>
      </c>
      <c r="H346">
        <v>3</v>
      </c>
      <c r="I346" s="11">
        <v>46133</v>
      </c>
      <c r="J346" s="17">
        <f>IF(Items[[#This Row],[ID]]="","",IFERROR(VALUE(LOOKUP(2,1/((Log[ID]=Items[[#This Row],[ID]])*(Log[Verb]="est")),Log[Arg])),N(Items[[#This Row],[Points]])))</f>
      </c>
      <c r="K346" s="17">
        <f>IF(Items[[#This Row],[ID]]="","",IFERROR(LOOKUP(2,1/((Log[ID]=Items[[#This Row],[ID]])*(Log[Verb]="pass")),Log[Arg])&amp;"",Items[[#This Row],[Team]]&amp;""))</f>
      </c>
      <c r="L346" s="17">
        <f>IF(Items[[#This Row],[ID]]="","",IFERROR(LOOKUP(2,1/((Log[ID]=Items[[#This Row],[ID]])*(Log[Into]&lt;&gt;"")),Log[Into]),""))</f>
      </c>
      <c r="M346" s="17">
        <f>IF(Items[[#This Row],[ID]]="","",IF(IFERROR(LOOKUP(2,1/((Log[ID]=Items[[#This Row],[ID]])*(Log[Blk]&lt;&gt;"")),Log[Blk]),0)=1,"Y",""))</f>
      </c>
      <c r="N346" s="17">
        <f>IF(Items[[#This Row],[ID]]="","",SUBSTITUTE(IFERROR(LOOKUP(2,1/((Log[ID]=Items[[#This Row],[ID]])*(Log[State]&lt;&gt;"")),Log[State]),"TODO"),"OPEN",IF(Items[[#This Row],[Blocked]]="Y","WAIT","OPEN")))</f>
      </c>
      <c r="O34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46" s="17">
        <f>IF(Items[[#This Row],[State]]&lt;&gt;"WAIT","",AsOf-Items[[#This Row],[Blocked since]])</f>
      </c>
      <c r="Q346" s="17">
        <f>IF(Items[[#This Row],[State]]&lt;&gt;"WAIT","",IFERROR(LOOKUP(2,1/((Log[ID]=Items[[#This Row],[ID]])*(Log[Verb]="block")),Log[Note])&amp;"",""))</f>
      </c>
      <c r="R346" s="17">
        <f>IF(Items[[#This Row],[ID]]="","",COUNTIFS(Log[ID],Items[[#This Row],[ID]],Log[Verb],"carry"))</f>
      </c>
      <c r="S346" s="17">
        <f>IF(Items[[#This Row],[ID]]="","",COUNTIFS(Log[ID],Items[[#This Row],[ID]],Log[Verb],"punt"))</f>
      </c>
      <c r="T346" s="11">
        <f>IF(Items[[#This Row],[State]]&lt;&gt;"DONE","",IFERROR(LOOKUP(2,1/((Log[ID]=Items[[#This Row],[ID]])*(Log[Verb]="done")),Log[Date]),""))</f>
      </c>
      <c r="U346" s="17">
        <f>IF(Items[[#This Row],[ID]]="","",IF(AND(Items[[#This Row],[Sprint]]=CurSprint,OR(Items[[#This Row],[State]]="OPEN",Items[[#This Row],[State]]="WAIT",Items[[#This Row],[State]]="HOLD",Items[[#This Row],[State]]="DONE")),1,0))</f>
      </c>
      <c r="V346" s="17">
        <f>IF(OR(Items[[#This Row],[ID]]="",Items[[#This Row],[Added]]=""),"",AsOf-Items[[#This Row],[Added]])</f>
      </c>
      <c r="W346" s="17">
        <f>IF(Items[[#This Row],[In sprint]]=1,(IF(Items[[#This Row],[Prio]]="",9,N(Items[[#This Row],[Prio]]))*10+(IF(Items[[#This Row],[State]]="DONE",1,0)))*100000+ROW(),"")</f>
      </c>
      <c r="X34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46" s="17">
        <f>IF(AND(Items[[#This Row],[State]]="DONE",N(Items[[#This Row],[Done on]])&gt;AsOf-7),(200000-N(Items[[#This Row],[Done on]]))*100000+ROW(),"")</f>
      </c>
    </row>
    <row r="347">
      <c r="A347" t="s">
        <v>562</v>
      </c>
      <c r="B347" t="s">
        <v>1565</v>
      </c>
      <c r="C347" t="s">
        <v>1107</v>
      </c>
      <c r="D347" t="s">
        <v>1127</v>
      </c>
      <c r="E347" t="s">
        <v>1128</v>
      </c>
      <c r="F347" t="s">
        <v>1296</v>
      </c>
      <c r="G347">
        <v>8</v>
      </c>
      <c r="H347">
        <v>2</v>
      </c>
      <c r="I347" s="11">
        <v>46133</v>
      </c>
      <c r="J347" s="17">
        <f>IF(Items[[#This Row],[ID]]="","",IFERROR(VALUE(LOOKUP(2,1/((Log[ID]=Items[[#This Row],[ID]])*(Log[Verb]="est")),Log[Arg])),N(Items[[#This Row],[Points]])))</f>
      </c>
      <c r="K347" s="17">
        <f>IF(Items[[#This Row],[ID]]="","",IFERROR(LOOKUP(2,1/((Log[ID]=Items[[#This Row],[ID]])*(Log[Verb]="pass")),Log[Arg])&amp;"",Items[[#This Row],[Team]]&amp;""))</f>
      </c>
      <c r="L347" s="17">
        <f>IF(Items[[#This Row],[ID]]="","",IFERROR(LOOKUP(2,1/((Log[ID]=Items[[#This Row],[ID]])*(Log[Into]&lt;&gt;"")),Log[Into]),""))</f>
      </c>
      <c r="M347" s="17">
        <f>IF(Items[[#This Row],[ID]]="","",IF(IFERROR(LOOKUP(2,1/((Log[ID]=Items[[#This Row],[ID]])*(Log[Blk]&lt;&gt;"")),Log[Blk]),0)=1,"Y",""))</f>
      </c>
      <c r="N347" s="17">
        <f>IF(Items[[#This Row],[ID]]="","",SUBSTITUTE(IFERROR(LOOKUP(2,1/((Log[ID]=Items[[#This Row],[ID]])*(Log[State]&lt;&gt;"")),Log[State]),"TODO"),"OPEN",IF(Items[[#This Row],[Blocked]]="Y","WAIT","OPEN")))</f>
      </c>
      <c r="O34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47" s="17">
        <f>IF(Items[[#This Row],[State]]&lt;&gt;"WAIT","",AsOf-Items[[#This Row],[Blocked since]])</f>
      </c>
      <c r="Q347" s="17">
        <f>IF(Items[[#This Row],[State]]&lt;&gt;"WAIT","",IFERROR(LOOKUP(2,1/((Log[ID]=Items[[#This Row],[ID]])*(Log[Verb]="block")),Log[Note])&amp;"",""))</f>
      </c>
      <c r="R347" s="17">
        <f>IF(Items[[#This Row],[ID]]="","",COUNTIFS(Log[ID],Items[[#This Row],[ID]],Log[Verb],"carry"))</f>
      </c>
      <c r="S347" s="17">
        <f>IF(Items[[#This Row],[ID]]="","",COUNTIFS(Log[ID],Items[[#This Row],[ID]],Log[Verb],"punt"))</f>
      </c>
      <c r="T347" s="11">
        <f>IF(Items[[#This Row],[State]]&lt;&gt;"DONE","",IFERROR(LOOKUP(2,1/((Log[ID]=Items[[#This Row],[ID]])*(Log[Verb]="done")),Log[Date]),""))</f>
      </c>
      <c r="U347" s="17">
        <f>IF(Items[[#This Row],[ID]]="","",IF(AND(Items[[#This Row],[Sprint]]=CurSprint,OR(Items[[#This Row],[State]]="OPEN",Items[[#This Row],[State]]="WAIT",Items[[#This Row],[State]]="HOLD",Items[[#This Row],[State]]="DONE")),1,0))</f>
      </c>
      <c r="V347" s="17">
        <f>IF(OR(Items[[#This Row],[ID]]="",Items[[#This Row],[Added]]=""),"",AsOf-Items[[#This Row],[Added]])</f>
      </c>
      <c r="W347" s="17">
        <f>IF(Items[[#This Row],[In sprint]]=1,(IF(Items[[#This Row],[Prio]]="",9,N(Items[[#This Row],[Prio]]))*10+(IF(Items[[#This Row],[State]]="DONE",1,0)))*100000+ROW(),"")</f>
      </c>
      <c r="X34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47" s="17">
        <f>IF(AND(Items[[#This Row],[State]]="DONE",N(Items[[#This Row],[Done on]])&gt;AsOf-7),(200000-N(Items[[#This Row],[Done on]]))*100000+ROW(),"")</f>
      </c>
    </row>
    <row r="348">
      <c r="A348" t="s">
        <v>459</v>
      </c>
      <c r="B348" t="s">
        <v>1566</v>
      </c>
      <c r="C348" t="s">
        <v>1107</v>
      </c>
      <c r="D348" t="s">
        <v>1108</v>
      </c>
      <c r="E348" t="s">
        <v>1128</v>
      </c>
      <c r="F348" t="s">
        <v>1129</v>
      </c>
      <c r="G348">
        <v>2</v>
      </c>
      <c r="H348">
        <v>2</v>
      </c>
      <c r="I348" s="11">
        <v>46133</v>
      </c>
      <c r="J348" s="17">
        <f>IF(Items[[#This Row],[ID]]="","",IFERROR(VALUE(LOOKUP(2,1/((Log[ID]=Items[[#This Row],[ID]])*(Log[Verb]="est")),Log[Arg])),N(Items[[#This Row],[Points]])))</f>
      </c>
      <c r="K348" s="17">
        <f>IF(Items[[#This Row],[ID]]="","",IFERROR(LOOKUP(2,1/((Log[ID]=Items[[#This Row],[ID]])*(Log[Verb]="pass")),Log[Arg])&amp;"",Items[[#This Row],[Team]]&amp;""))</f>
      </c>
      <c r="L348" s="17">
        <f>IF(Items[[#This Row],[ID]]="","",IFERROR(LOOKUP(2,1/((Log[ID]=Items[[#This Row],[ID]])*(Log[Into]&lt;&gt;"")),Log[Into]),""))</f>
      </c>
      <c r="M348" s="17">
        <f>IF(Items[[#This Row],[ID]]="","",IF(IFERROR(LOOKUP(2,1/((Log[ID]=Items[[#This Row],[ID]])*(Log[Blk]&lt;&gt;"")),Log[Blk]),0)=1,"Y",""))</f>
      </c>
      <c r="N348" s="17">
        <f>IF(Items[[#This Row],[ID]]="","",SUBSTITUTE(IFERROR(LOOKUP(2,1/((Log[ID]=Items[[#This Row],[ID]])*(Log[State]&lt;&gt;"")),Log[State]),"TODO"),"OPEN",IF(Items[[#This Row],[Blocked]]="Y","WAIT","OPEN")))</f>
      </c>
      <c r="O34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48" s="17">
        <f>IF(Items[[#This Row],[State]]&lt;&gt;"WAIT","",AsOf-Items[[#This Row],[Blocked since]])</f>
      </c>
      <c r="Q348" s="17">
        <f>IF(Items[[#This Row],[State]]&lt;&gt;"WAIT","",IFERROR(LOOKUP(2,1/((Log[ID]=Items[[#This Row],[ID]])*(Log[Verb]="block")),Log[Note])&amp;"",""))</f>
      </c>
      <c r="R348" s="17">
        <f>IF(Items[[#This Row],[ID]]="","",COUNTIFS(Log[ID],Items[[#This Row],[ID]],Log[Verb],"carry"))</f>
      </c>
      <c r="S348" s="17">
        <f>IF(Items[[#This Row],[ID]]="","",COUNTIFS(Log[ID],Items[[#This Row],[ID]],Log[Verb],"punt"))</f>
      </c>
      <c r="T348" s="11">
        <f>IF(Items[[#This Row],[State]]&lt;&gt;"DONE","",IFERROR(LOOKUP(2,1/((Log[ID]=Items[[#This Row],[ID]])*(Log[Verb]="done")),Log[Date]),""))</f>
      </c>
      <c r="U348" s="17">
        <f>IF(Items[[#This Row],[ID]]="","",IF(AND(Items[[#This Row],[Sprint]]=CurSprint,OR(Items[[#This Row],[State]]="OPEN",Items[[#This Row],[State]]="WAIT",Items[[#This Row],[State]]="HOLD",Items[[#This Row],[State]]="DONE")),1,0))</f>
      </c>
      <c r="V348" s="17">
        <f>IF(OR(Items[[#This Row],[ID]]="",Items[[#This Row],[Added]]=""),"",AsOf-Items[[#This Row],[Added]])</f>
      </c>
      <c r="W348" s="17">
        <f>IF(Items[[#This Row],[In sprint]]=1,(IF(Items[[#This Row],[Prio]]="",9,N(Items[[#This Row],[Prio]]))*10+(IF(Items[[#This Row],[State]]="DONE",1,0)))*100000+ROW(),"")</f>
      </c>
      <c r="X34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48" s="17">
        <f>IF(AND(Items[[#This Row],[State]]="DONE",N(Items[[#This Row],[Done on]])&gt;AsOf-7),(200000-N(Items[[#This Row],[Done on]]))*100000+ROW(),"")</f>
      </c>
    </row>
    <row r="349">
      <c r="A349" t="s">
        <v>563</v>
      </c>
      <c r="B349" t="s">
        <v>1567</v>
      </c>
      <c r="C349" t="s">
        <v>1115</v>
      </c>
      <c r="D349" t="s">
        <v>1116</v>
      </c>
      <c r="E349" t="s">
        <v>1128</v>
      </c>
      <c r="F349" t="s">
        <v>1294</v>
      </c>
      <c r="G349">
        <v>8</v>
      </c>
      <c r="H349">
        <v>2</v>
      </c>
      <c r="I349" s="11">
        <v>46133</v>
      </c>
      <c r="J349" s="17">
        <f>IF(Items[[#This Row],[ID]]="","",IFERROR(VALUE(LOOKUP(2,1/((Log[ID]=Items[[#This Row],[ID]])*(Log[Verb]="est")),Log[Arg])),N(Items[[#This Row],[Points]])))</f>
      </c>
      <c r="K349" s="17">
        <f>IF(Items[[#This Row],[ID]]="","",IFERROR(LOOKUP(2,1/((Log[ID]=Items[[#This Row],[ID]])*(Log[Verb]="pass")),Log[Arg])&amp;"",Items[[#This Row],[Team]]&amp;""))</f>
      </c>
      <c r="L349" s="17">
        <f>IF(Items[[#This Row],[ID]]="","",IFERROR(LOOKUP(2,1/((Log[ID]=Items[[#This Row],[ID]])*(Log[Into]&lt;&gt;"")),Log[Into]),""))</f>
      </c>
      <c r="M349" s="17">
        <f>IF(Items[[#This Row],[ID]]="","",IF(IFERROR(LOOKUP(2,1/((Log[ID]=Items[[#This Row],[ID]])*(Log[Blk]&lt;&gt;"")),Log[Blk]),0)=1,"Y",""))</f>
      </c>
      <c r="N349" s="17">
        <f>IF(Items[[#This Row],[ID]]="","",SUBSTITUTE(IFERROR(LOOKUP(2,1/((Log[ID]=Items[[#This Row],[ID]])*(Log[State]&lt;&gt;"")),Log[State]),"TODO"),"OPEN",IF(Items[[#This Row],[Blocked]]="Y","WAIT","OPEN")))</f>
      </c>
      <c r="O34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49" s="17">
        <f>IF(Items[[#This Row],[State]]&lt;&gt;"WAIT","",AsOf-Items[[#This Row],[Blocked since]])</f>
      </c>
      <c r="Q349" s="17">
        <f>IF(Items[[#This Row],[State]]&lt;&gt;"WAIT","",IFERROR(LOOKUP(2,1/((Log[ID]=Items[[#This Row],[ID]])*(Log[Verb]="block")),Log[Note])&amp;"",""))</f>
      </c>
      <c r="R349" s="17">
        <f>IF(Items[[#This Row],[ID]]="","",COUNTIFS(Log[ID],Items[[#This Row],[ID]],Log[Verb],"carry"))</f>
      </c>
      <c r="S349" s="17">
        <f>IF(Items[[#This Row],[ID]]="","",COUNTIFS(Log[ID],Items[[#This Row],[ID]],Log[Verb],"punt"))</f>
      </c>
      <c r="T349" s="11">
        <f>IF(Items[[#This Row],[State]]&lt;&gt;"DONE","",IFERROR(LOOKUP(2,1/((Log[ID]=Items[[#This Row],[ID]])*(Log[Verb]="done")),Log[Date]),""))</f>
      </c>
      <c r="U349" s="17">
        <f>IF(Items[[#This Row],[ID]]="","",IF(AND(Items[[#This Row],[Sprint]]=CurSprint,OR(Items[[#This Row],[State]]="OPEN",Items[[#This Row],[State]]="WAIT",Items[[#This Row],[State]]="HOLD",Items[[#This Row],[State]]="DONE")),1,0))</f>
      </c>
      <c r="V349" s="17">
        <f>IF(OR(Items[[#This Row],[ID]]="",Items[[#This Row],[Added]]=""),"",AsOf-Items[[#This Row],[Added]])</f>
      </c>
      <c r="W349" s="17">
        <f>IF(Items[[#This Row],[In sprint]]=1,(IF(Items[[#This Row],[Prio]]="",9,N(Items[[#This Row],[Prio]]))*10+(IF(Items[[#This Row],[State]]="DONE",1,0)))*100000+ROW(),"")</f>
      </c>
      <c r="X34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49" s="17">
        <f>IF(AND(Items[[#This Row],[State]]="DONE",N(Items[[#This Row],[Done on]])&gt;AsOf-7),(200000-N(Items[[#This Row],[Done on]]))*100000+ROW(),"")</f>
      </c>
    </row>
    <row r="350">
      <c r="A350" t="s">
        <v>467</v>
      </c>
      <c r="B350" t="s">
        <v>1568</v>
      </c>
      <c r="C350" t="s">
        <v>1115</v>
      </c>
      <c r="D350" t="s">
        <v>1116</v>
      </c>
      <c r="E350" t="s">
        <v>1109</v>
      </c>
      <c r="F350" t="s">
        <v>1220</v>
      </c>
      <c r="G350">
        <v>2</v>
      </c>
      <c r="H350">
        <v>1</v>
      </c>
      <c r="I350" s="11">
        <v>46133</v>
      </c>
      <c r="J350" s="17">
        <f>IF(Items[[#This Row],[ID]]="","",IFERROR(VALUE(LOOKUP(2,1/((Log[ID]=Items[[#This Row],[ID]])*(Log[Verb]="est")),Log[Arg])),N(Items[[#This Row],[Points]])))</f>
      </c>
      <c r="K350" s="17">
        <f>IF(Items[[#This Row],[ID]]="","",IFERROR(LOOKUP(2,1/((Log[ID]=Items[[#This Row],[ID]])*(Log[Verb]="pass")),Log[Arg])&amp;"",Items[[#This Row],[Team]]&amp;""))</f>
      </c>
      <c r="L350" s="17">
        <f>IF(Items[[#This Row],[ID]]="","",IFERROR(LOOKUP(2,1/((Log[ID]=Items[[#This Row],[ID]])*(Log[Into]&lt;&gt;"")),Log[Into]),""))</f>
      </c>
      <c r="M350" s="17">
        <f>IF(Items[[#This Row],[ID]]="","",IF(IFERROR(LOOKUP(2,1/((Log[ID]=Items[[#This Row],[ID]])*(Log[Blk]&lt;&gt;"")),Log[Blk]),0)=1,"Y",""))</f>
      </c>
      <c r="N350" s="17">
        <f>IF(Items[[#This Row],[ID]]="","",SUBSTITUTE(IFERROR(LOOKUP(2,1/((Log[ID]=Items[[#This Row],[ID]])*(Log[State]&lt;&gt;"")),Log[State]),"TODO"),"OPEN",IF(Items[[#This Row],[Blocked]]="Y","WAIT","OPEN")))</f>
      </c>
      <c r="O35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50" s="17">
        <f>IF(Items[[#This Row],[State]]&lt;&gt;"WAIT","",AsOf-Items[[#This Row],[Blocked since]])</f>
      </c>
      <c r="Q350" s="17">
        <f>IF(Items[[#This Row],[State]]&lt;&gt;"WAIT","",IFERROR(LOOKUP(2,1/((Log[ID]=Items[[#This Row],[ID]])*(Log[Verb]="block")),Log[Note])&amp;"",""))</f>
      </c>
      <c r="R350" s="17">
        <f>IF(Items[[#This Row],[ID]]="","",COUNTIFS(Log[ID],Items[[#This Row],[ID]],Log[Verb],"carry"))</f>
      </c>
      <c r="S350" s="17">
        <f>IF(Items[[#This Row],[ID]]="","",COUNTIFS(Log[ID],Items[[#This Row],[ID]],Log[Verb],"punt"))</f>
      </c>
      <c r="T350" s="11">
        <f>IF(Items[[#This Row],[State]]&lt;&gt;"DONE","",IFERROR(LOOKUP(2,1/((Log[ID]=Items[[#This Row],[ID]])*(Log[Verb]="done")),Log[Date]),""))</f>
      </c>
      <c r="U350" s="17">
        <f>IF(Items[[#This Row],[ID]]="","",IF(AND(Items[[#This Row],[Sprint]]=CurSprint,OR(Items[[#This Row],[State]]="OPEN",Items[[#This Row],[State]]="WAIT",Items[[#This Row],[State]]="HOLD",Items[[#This Row],[State]]="DONE")),1,0))</f>
      </c>
      <c r="V350" s="17">
        <f>IF(OR(Items[[#This Row],[ID]]="",Items[[#This Row],[Added]]=""),"",AsOf-Items[[#This Row],[Added]])</f>
      </c>
      <c r="W350" s="17">
        <f>IF(Items[[#This Row],[In sprint]]=1,(IF(Items[[#This Row],[Prio]]="",9,N(Items[[#This Row],[Prio]]))*10+(IF(Items[[#This Row],[State]]="DONE",1,0)))*100000+ROW(),"")</f>
      </c>
      <c r="X35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50" s="17">
        <f>IF(AND(Items[[#This Row],[State]]="DONE",N(Items[[#This Row],[Done on]])&gt;AsOf-7),(200000-N(Items[[#This Row],[Done on]]))*100000+ROW(),"")</f>
      </c>
    </row>
    <row r="351">
      <c r="A351" t="s">
        <v>517</v>
      </c>
      <c r="B351" t="s">
        <v>1569</v>
      </c>
      <c r="C351" t="s">
        <v>1107</v>
      </c>
      <c r="D351" t="s">
        <v>1127</v>
      </c>
      <c r="E351" t="s">
        <v>1109</v>
      </c>
      <c r="F351" t="s">
        <v>1220</v>
      </c>
      <c r="G351">
        <v>2</v>
      </c>
      <c r="H351">
        <v>2</v>
      </c>
      <c r="I351" s="11">
        <v>46133</v>
      </c>
      <c r="J351" s="17">
        <f>IF(Items[[#This Row],[ID]]="","",IFERROR(VALUE(LOOKUP(2,1/((Log[ID]=Items[[#This Row],[ID]])*(Log[Verb]="est")),Log[Arg])),N(Items[[#This Row],[Points]])))</f>
      </c>
      <c r="K351" s="17">
        <f>IF(Items[[#This Row],[ID]]="","",IFERROR(LOOKUP(2,1/((Log[ID]=Items[[#This Row],[ID]])*(Log[Verb]="pass")),Log[Arg])&amp;"",Items[[#This Row],[Team]]&amp;""))</f>
      </c>
      <c r="L351" s="17">
        <f>IF(Items[[#This Row],[ID]]="","",IFERROR(LOOKUP(2,1/((Log[ID]=Items[[#This Row],[ID]])*(Log[Into]&lt;&gt;"")),Log[Into]),""))</f>
      </c>
      <c r="M351" s="17">
        <f>IF(Items[[#This Row],[ID]]="","",IF(IFERROR(LOOKUP(2,1/((Log[ID]=Items[[#This Row],[ID]])*(Log[Blk]&lt;&gt;"")),Log[Blk]),0)=1,"Y",""))</f>
      </c>
      <c r="N351" s="17">
        <f>IF(Items[[#This Row],[ID]]="","",SUBSTITUTE(IFERROR(LOOKUP(2,1/((Log[ID]=Items[[#This Row],[ID]])*(Log[State]&lt;&gt;"")),Log[State]),"TODO"),"OPEN",IF(Items[[#This Row],[Blocked]]="Y","WAIT","OPEN")))</f>
      </c>
      <c r="O35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51" s="17">
        <f>IF(Items[[#This Row],[State]]&lt;&gt;"WAIT","",AsOf-Items[[#This Row],[Blocked since]])</f>
      </c>
      <c r="Q351" s="17">
        <f>IF(Items[[#This Row],[State]]&lt;&gt;"WAIT","",IFERROR(LOOKUP(2,1/((Log[ID]=Items[[#This Row],[ID]])*(Log[Verb]="block")),Log[Note])&amp;"",""))</f>
      </c>
      <c r="R351" s="17">
        <f>IF(Items[[#This Row],[ID]]="","",COUNTIFS(Log[ID],Items[[#This Row],[ID]],Log[Verb],"carry"))</f>
      </c>
      <c r="S351" s="17">
        <f>IF(Items[[#This Row],[ID]]="","",COUNTIFS(Log[ID],Items[[#This Row],[ID]],Log[Verb],"punt"))</f>
      </c>
      <c r="T351" s="11">
        <f>IF(Items[[#This Row],[State]]&lt;&gt;"DONE","",IFERROR(LOOKUP(2,1/((Log[ID]=Items[[#This Row],[ID]])*(Log[Verb]="done")),Log[Date]),""))</f>
      </c>
      <c r="U351" s="17">
        <f>IF(Items[[#This Row],[ID]]="","",IF(AND(Items[[#This Row],[Sprint]]=CurSprint,OR(Items[[#This Row],[State]]="OPEN",Items[[#This Row],[State]]="WAIT",Items[[#This Row],[State]]="HOLD",Items[[#This Row],[State]]="DONE")),1,0))</f>
      </c>
      <c r="V351" s="17">
        <f>IF(OR(Items[[#This Row],[ID]]="",Items[[#This Row],[Added]]=""),"",AsOf-Items[[#This Row],[Added]])</f>
      </c>
      <c r="W351" s="17">
        <f>IF(Items[[#This Row],[In sprint]]=1,(IF(Items[[#This Row],[Prio]]="",9,N(Items[[#This Row],[Prio]]))*10+(IF(Items[[#This Row],[State]]="DONE",1,0)))*100000+ROW(),"")</f>
      </c>
      <c r="X35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51" s="17">
        <f>IF(AND(Items[[#This Row],[State]]="DONE",N(Items[[#This Row],[Done on]])&gt;AsOf-7),(200000-N(Items[[#This Row],[Done on]]))*100000+ROW(),"")</f>
      </c>
    </row>
    <row r="352">
      <c r="A352" t="s">
        <v>518</v>
      </c>
      <c r="B352" t="s">
        <v>1570</v>
      </c>
      <c r="C352" t="s">
        <v>1115</v>
      </c>
      <c r="D352" t="s">
        <v>1116</v>
      </c>
      <c r="E352" t="s">
        <v>1109</v>
      </c>
      <c r="F352" t="s">
        <v>1227</v>
      </c>
      <c r="G352">
        <v>5</v>
      </c>
      <c r="H352">
        <v>2</v>
      </c>
      <c r="I352" s="11">
        <v>46133</v>
      </c>
      <c r="J352" s="17">
        <f>IF(Items[[#This Row],[ID]]="","",IFERROR(VALUE(LOOKUP(2,1/((Log[ID]=Items[[#This Row],[ID]])*(Log[Verb]="est")),Log[Arg])),N(Items[[#This Row],[Points]])))</f>
      </c>
      <c r="K352" s="17">
        <f>IF(Items[[#This Row],[ID]]="","",IFERROR(LOOKUP(2,1/((Log[ID]=Items[[#This Row],[ID]])*(Log[Verb]="pass")),Log[Arg])&amp;"",Items[[#This Row],[Team]]&amp;""))</f>
      </c>
      <c r="L352" s="17">
        <f>IF(Items[[#This Row],[ID]]="","",IFERROR(LOOKUP(2,1/((Log[ID]=Items[[#This Row],[ID]])*(Log[Into]&lt;&gt;"")),Log[Into]),""))</f>
      </c>
      <c r="M352" s="17">
        <f>IF(Items[[#This Row],[ID]]="","",IF(IFERROR(LOOKUP(2,1/((Log[ID]=Items[[#This Row],[ID]])*(Log[Blk]&lt;&gt;"")),Log[Blk]),0)=1,"Y",""))</f>
      </c>
      <c r="N352" s="17">
        <f>IF(Items[[#This Row],[ID]]="","",SUBSTITUTE(IFERROR(LOOKUP(2,1/((Log[ID]=Items[[#This Row],[ID]])*(Log[State]&lt;&gt;"")),Log[State]),"TODO"),"OPEN",IF(Items[[#This Row],[Blocked]]="Y","WAIT","OPEN")))</f>
      </c>
      <c r="O35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52" s="17">
        <f>IF(Items[[#This Row],[State]]&lt;&gt;"WAIT","",AsOf-Items[[#This Row],[Blocked since]])</f>
      </c>
      <c r="Q352" s="17">
        <f>IF(Items[[#This Row],[State]]&lt;&gt;"WAIT","",IFERROR(LOOKUP(2,1/((Log[ID]=Items[[#This Row],[ID]])*(Log[Verb]="block")),Log[Note])&amp;"",""))</f>
      </c>
      <c r="R352" s="17">
        <f>IF(Items[[#This Row],[ID]]="","",COUNTIFS(Log[ID],Items[[#This Row],[ID]],Log[Verb],"carry"))</f>
      </c>
      <c r="S352" s="17">
        <f>IF(Items[[#This Row],[ID]]="","",COUNTIFS(Log[ID],Items[[#This Row],[ID]],Log[Verb],"punt"))</f>
      </c>
      <c r="T352" s="11">
        <f>IF(Items[[#This Row],[State]]&lt;&gt;"DONE","",IFERROR(LOOKUP(2,1/((Log[ID]=Items[[#This Row],[ID]])*(Log[Verb]="done")),Log[Date]),""))</f>
      </c>
      <c r="U352" s="17">
        <f>IF(Items[[#This Row],[ID]]="","",IF(AND(Items[[#This Row],[Sprint]]=CurSprint,OR(Items[[#This Row],[State]]="OPEN",Items[[#This Row],[State]]="WAIT",Items[[#This Row],[State]]="HOLD",Items[[#This Row],[State]]="DONE")),1,0))</f>
      </c>
      <c r="V352" s="17">
        <f>IF(OR(Items[[#This Row],[ID]]="",Items[[#This Row],[Added]]=""),"",AsOf-Items[[#This Row],[Added]])</f>
      </c>
      <c r="W352" s="17">
        <f>IF(Items[[#This Row],[In sprint]]=1,(IF(Items[[#This Row],[Prio]]="",9,N(Items[[#This Row],[Prio]]))*10+(IF(Items[[#This Row],[State]]="DONE",1,0)))*100000+ROW(),"")</f>
      </c>
      <c r="X35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52" s="17">
        <f>IF(AND(Items[[#This Row],[State]]="DONE",N(Items[[#This Row],[Done on]])&gt;AsOf-7),(200000-N(Items[[#This Row],[Done on]]))*100000+ROW(),"")</f>
      </c>
    </row>
    <row r="353">
      <c r="A353" t="s">
        <v>519</v>
      </c>
      <c r="B353" t="s">
        <v>1571</v>
      </c>
      <c r="C353" t="s">
        <v>1107</v>
      </c>
      <c r="D353" t="s">
        <v>1123</v>
      </c>
      <c r="E353" t="s">
        <v>1109</v>
      </c>
      <c r="F353" t="s">
        <v>1225</v>
      </c>
      <c r="G353">
        <v>8</v>
      </c>
      <c r="H353">
        <v>1</v>
      </c>
      <c r="I353" s="11">
        <v>46133</v>
      </c>
      <c r="J353" s="17">
        <f>IF(Items[[#This Row],[ID]]="","",IFERROR(VALUE(LOOKUP(2,1/((Log[ID]=Items[[#This Row],[ID]])*(Log[Verb]="est")),Log[Arg])),N(Items[[#This Row],[Points]])))</f>
      </c>
      <c r="K353" s="17">
        <f>IF(Items[[#This Row],[ID]]="","",IFERROR(LOOKUP(2,1/((Log[ID]=Items[[#This Row],[ID]])*(Log[Verb]="pass")),Log[Arg])&amp;"",Items[[#This Row],[Team]]&amp;""))</f>
      </c>
      <c r="L353" s="17">
        <f>IF(Items[[#This Row],[ID]]="","",IFERROR(LOOKUP(2,1/((Log[ID]=Items[[#This Row],[ID]])*(Log[Into]&lt;&gt;"")),Log[Into]),""))</f>
      </c>
      <c r="M353" s="17">
        <f>IF(Items[[#This Row],[ID]]="","",IF(IFERROR(LOOKUP(2,1/((Log[ID]=Items[[#This Row],[ID]])*(Log[Blk]&lt;&gt;"")),Log[Blk]),0)=1,"Y",""))</f>
      </c>
      <c r="N353" s="17">
        <f>IF(Items[[#This Row],[ID]]="","",SUBSTITUTE(IFERROR(LOOKUP(2,1/((Log[ID]=Items[[#This Row],[ID]])*(Log[State]&lt;&gt;"")),Log[State]),"TODO"),"OPEN",IF(Items[[#This Row],[Blocked]]="Y","WAIT","OPEN")))</f>
      </c>
      <c r="O35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53" s="17">
        <f>IF(Items[[#This Row],[State]]&lt;&gt;"WAIT","",AsOf-Items[[#This Row],[Blocked since]])</f>
      </c>
      <c r="Q353" s="17">
        <f>IF(Items[[#This Row],[State]]&lt;&gt;"WAIT","",IFERROR(LOOKUP(2,1/((Log[ID]=Items[[#This Row],[ID]])*(Log[Verb]="block")),Log[Note])&amp;"",""))</f>
      </c>
      <c r="R353" s="17">
        <f>IF(Items[[#This Row],[ID]]="","",COUNTIFS(Log[ID],Items[[#This Row],[ID]],Log[Verb],"carry"))</f>
      </c>
      <c r="S353" s="17">
        <f>IF(Items[[#This Row],[ID]]="","",COUNTIFS(Log[ID],Items[[#This Row],[ID]],Log[Verb],"punt"))</f>
      </c>
      <c r="T353" s="11">
        <f>IF(Items[[#This Row],[State]]&lt;&gt;"DONE","",IFERROR(LOOKUP(2,1/((Log[ID]=Items[[#This Row],[ID]])*(Log[Verb]="done")),Log[Date]),""))</f>
      </c>
      <c r="U353" s="17">
        <f>IF(Items[[#This Row],[ID]]="","",IF(AND(Items[[#This Row],[Sprint]]=CurSprint,OR(Items[[#This Row],[State]]="OPEN",Items[[#This Row],[State]]="WAIT",Items[[#This Row],[State]]="HOLD",Items[[#This Row],[State]]="DONE")),1,0))</f>
      </c>
      <c r="V353" s="17">
        <f>IF(OR(Items[[#This Row],[ID]]="",Items[[#This Row],[Added]]=""),"",AsOf-Items[[#This Row],[Added]])</f>
      </c>
      <c r="W353" s="17">
        <f>IF(Items[[#This Row],[In sprint]]=1,(IF(Items[[#This Row],[Prio]]="",9,N(Items[[#This Row],[Prio]]))*10+(IF(Items[[#This Row],[State]]="DONE",1,0)))*100000+ROW(),"")</f>
      </c>
      <c r="X35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53" s="17">
        <f>IF(AND(Items[[#This Row],[State]]="DONE",N(Items[[#This Row],[Done on]])&gt;AsOf-7),(200000-N(Items[[#This Row],[Done on]]))*100000+ROW(),"")</f>
      </c>
    </row>
    <row r="354">
      <c r="A354" t="s">
        <v>520</v>
      </c>
      <c r="B354" t="s">
        <v>1572</v>
      </c>
      <c r="C354" t="s">
        <v>1115</v>
      </c>
      <c r="D354" t="s">
        <v>1116</v>
      </c>
      <c r="E354" t="s">
        <v>1109</v>
      </c>
      <c r="F354" t="s">
        <v>1372</v>
      </c>
      <c r="G354">
        <v>8</v>
      </c>
      <c r="H354">
        <v>3</v>
      </c>
      <c r="I354" s="11">
        <v>46133</v>
      </c>
      <c r="J354" s="17">
        <f>IF(Items[[#This Row],[ID]]="","",IFERROR(VALUE(LOOKUP(2,1/((Log[ID]=Items[[#This Row],[ID]])*(Log[Verb]="est")),Log[Arg])),N(Items[[#This Row],[Points]])))</f>
      </c>
      <c r="K354" s="17">
        <f>IF(Items[[#This Row],[ID]]="","",IFERROR(LOOKUP(2,1/((Log[ID]=Items[[#This Row],[ID]])*(Log[Verb]="pass")),Log[Arg])&amp;"",Items[[#This Row],[Team]]&amp;""))</f>
      </c>
      <c r="L354" s="17">
        <f>IF(Items[[#This Row],[ID]]="","",IFERROR(LOOKUP(2,1/((Log[ID]=Items[[#This Row],[ID]])*(Log[Into]&lt;&gt;"")),Log[Into]),""))</f>
      </c>
      <c r="M354" s="17">
        <f>IF(Items[[#This Row],[ID]]="","",IF(IFERROR(LOOKUP(2,1/((Log[ID]=Items[[#This Row],[ID]])*(Log[Blk]&lt;&gt;"")),Log[Blk]),0)=1,"Y",""))</f>
      </c>
      <c r="N354" s="17">
        <f>IF(Items[[#This Row],[ID]]="","",SUBSTITUTE(IFERROR(LOOKUP(2,1/((Log[ID]=Items[[#This Row],[ID]])*(Log[State]&lt;&gt;"")),Log[State]),"TODO"),"OPEN",IF(Items[[#This Row],[Blocked]]="Y","WAIT","OPEN")))</f>
      </c>
      <c r="O35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54" s="17">
        <f>IF(Items[[#This Row],[State]]&lt;&gt;"WAIT","",AsOf-Items[[#This Row],[Blocked since]])</f>
      </c>
      <c r="Q354" s="17">
        <f>IF(Items[[#This Row],[State]]&lt;&gt;"WAIT","",IFERROR(LOOKUP(2,1/((Log[ID]=Items[[#This Row],[ID]])*(Log[Verb]="block")),Log[Note])&amp;"",""))</f>
      </c>
      <c r="R354" s="17">
        <f>IF(Items[[#This Row],[ID]]="","",COUNTIFS(Log[ID],Items[[#This Row],[ID]],Log[Verb],"carry"))</f>
      </c>
      <c r="S354" s="17">
        <f>IF(Items[[#This Row],[ID]]="","",COUNTIFS(Log[ID],Items[[#This Row],[ID]],Log[Verb],"punt"))</f>
      </c>
      <c r="T354" s="11">
        <f>IF(Items[[#This Row],[State]]&lt;&gt;"DONE","",IFERROR(LOOKUP(2,1/((Log[ID]=Items[[#This Row],[ID]])*(Log[Verb]="done")),Log[Date]),""))</f>
      </c>
      <c r="U354" s="17">
        <f>IF(Items[[#This Row],[ID]]="","",IF(AND(Items[[#This Row],[Sprint]]=CurSprint,OR(Items[[#This Row],[State]]="OPEN",Items[[#This Row],[State]]="WAIT",Items[[#This Row],[State]]="HOLD",Items[[#This Row],[State]]="DONE")),1,0))</f>
      </c>
      <c r="V354" s="17">
        <f>IF(OR(Items[[#This Row],[ID]]="",Items[[#This Row],[Added]]=""),"",AsOf-Items[[#This Row],[Added]])</f>
      </c>
      <c r="W354" s="17">
        <f>IF(Items[[#This Row],[In sprint]]=1,(IF(Items[[#This Row],[Prio]]="",9,N(Items[[#This Row],[Prio]]))*10+(IF(Items[[#This Row],[State]]="DONE",1,0)))*100000+ROW(),"")</f>
      </c>
      <c r="X35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54" s="17">
        <f>IF(AND(Items[[#This Row],[State]]="DONE",N(Items[[#This Row],[Done on]])&gt;AsOf-7),(200000-N(Items[[#This Row],[Done on]]))*100000+ROW(),"")</f>
      </c>
    </row>
    <row r="355">
      <c r="A355" t="s">
        <v>521</v>
      </c>
      <c r="B355" t="s">
        <v>1573</v>
      </c>
      <c r="C355" t="s">
        <v>1107</v>
      </c>
      <c r="D355" t="s">
        <v>1123</v>
      </c>
      <c r="E355" t="s">
        <v>1109</v>
      </c>
      <c r="F355" t="s">
        <v>1370</v>
      </c>
      <c r="G355">
        <v>8</v>
      </c>
      <c r="H355">
        <v>3</v>
      </c>
      <c r="I355" s="11">
        <v>46133</v>
      </c>
      <c r="J355" s="17">
        <f>IF(Items[[#This Row],[ID]]="","",IFERROR(VALUE(LOOKUP(2,1/((Log[ID]=Items[[#This Row],[ID]])*(Log[Verb]="est")),Log[Arg])),N(Items[[#This Row],[Points]])))</f>
      </c>
      <c r="K355" s="17">
        <f>IF(Items[[#This Row],[ID]]="","",IFERROR(LOOKUP(2,1/((Log[ID]=Items[[#This Row],[ID]])*(Log[Verb]="pass")),Log[Arg])&amp;"",Items[[#This Row],[Team]]&amp;""))</f>
      </c>
      <c r="L355" s="17">
        <f>IF(Items[[#This Row],[ID]]="","",IFERROR(LOOKUP(2,1/((Log[ID]=Items[[#This Row],[ID]])*(Log[Into]&lt;&gt;"")),Log[Into]),""))</f>
      </c>
      <c r="M355" s="17">
        <f>IF(Items[[#This Row],[ID]]="","",IF(IFERROR(LOOKUP(2,1/((Log[ID]=Items[[#This Row],[ID]])*(Log[Blk]&lt;&gt;"")),Log[Blk]),0)=1,"Y",""))</f>
      </c>
      <c r="N355" s="17">
        <f>IF(Items[[#This Row],[ID]]="","",SUBSTITUTE(IFERROR(LOOKUP(2,1/((Log[ID]=Items[[#This Row],[ID]])*(Log[State]&lt;&gt;"")),Log[State]),"TODO"),"OPEN",IF(Items[[#This Row],[Blocked]]="Y","WAIT","OPEN")))</f>
      </c>
      <c r="O35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55" s="17">
        <f>IF(Items[[#This Row],[State]]&lt;&gt;"WAIT","",AsOf-Items[[#This Row],[Blocked since]])</f>
      </c>
      <c r="Q355" s="17">
        <f>IF(Items[[#This Row],[State]]&lt;&gt;"WAIT","",IFERROR(LOOKUP(2,1/((Log[ID]=Items[[#This Row],[ID]])*(Log[Verb]="block")),Log[Note])&amp;"",""))</f>
      </c>
      <c r="R355" s="17">
        <f>IF(Items[[#This Row],[ID]]="","",COUNTIFS(Log[ID],Items[[#This Row],[ID]],Log[Verb],"carry"))</f>
      </c>
      <c r="S355" s="17">
        <f>IF(Items[[#This Row],[ID]]="","",COUNTIFS(Log[ID],Items[[#This Row],[ID]],Log[Verb],"punt"))</f>
      </c>
      <c r="T355" s="11">
        <f>IF(Items[[#This Row],[State]]&lt;&gt;"DONE","",IFERROR(LOOKUP(2,1/((Log[ID]=Items[[#This Row],[ID]])*(Log[Verb]="done")),Log[Date]),""))</f>
      </c>
      <c r="U355" s="17">
        <f>IF(Items[[#This Row],[ID]]="","",IF(AND(Items[[#This Row],[Sprint]]=CurSprint,OR(Items[[#This Row],[State]]="OPEN",Items[[#This Row],[State]]="WAIT",Items[[#This Row],[State]]="HOLD",Items[[#This Row],[State]]="DONE")),1,0))</f>
      </c>
      <c r="V355" s="17">
        <f>IF(OR(Items[[#This Row],[ID]]="",Items[[#This Row],[Added]]=""),"",AsOf-Items[[#This Row],[Added]])</f>
      </c>
      <c r="W355" s="17">
        <f>IF(Items[[#This Row],[In sprint]]=1,(IF(Items[[#This Row],[Prio]]="",9,N(Items[[#This Row],[Prio]]))*10+(IF(Items[[#This Row],[State]]="DONE",1,0)))*100000+ROW(),"")</f>
      </c>
      <c r="X35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55" s="17">
        <f>IF(AND(Items[[#This Row],[State]]="DONE",N(Items[[#This Row],[Done on]])&gt;AsOf-7),(200000-N(Items[[#This Row],[Done on]]))*100000+ROW(),"")</f>
      </c>
    </row>
    <row r="356">
      <c r="A356" t="s">
        <v>473</v>
      </c>
      <c r="B356" t="s">
        <v>1574</v>
      </c>
      <c r="C356" t="s">
        <v>1107</v>
      </c>
      <c r="D356" t="s">
        <v>1108</v>
      </c>
      <c r="E356" t="s">
        <v>1131</v>
      </c>
      <c r="F356" t="s">
        <v>1307</v>
      </c>
      <c r="G356">
        <v>3</v>
      </c>
      <c r="H356">
        <v>3</v>
      </c>
      <c r="I356" s="11">
        <v>46133</v>
      </c>
      <c r="J356" s="17">
        <f>IF(Items[[#This Row],[ID]]="","",IFERROR(VALUE(LOOKUP(2,1/((Log[ID]=Items[[#This Row],[ID]])*(Log[Verb]="est")),Log[Arg])),N(Items[[#This Row],[Points]])))</f>
      </c>
      <c r="K356" s="17">
        <f>IF(Items[[#This Row],[ID]]="","",IFERROR(LOOKUP(2,1/((Log[ID]=Items[[#This Row],[ID]])*(Log[Verb]="pass")),Log[Arg])&amp;"",Items[[#This Row],[Team]]&amp;""))</f>
      </c>
      <c r="L356" s="17">
        <f>IF(Items[[#This Row],[ID]]="","",IFERROR(LOOKUP(2,1/((Log[ID]=Items[[#This Row],[ID]])*(Log[Into]&lt;&gt;"")),Log[Into]),""))</f>
      </c>
      <c r="M356" s="17">
        <f>IF(Items[[#This Row],[ID]]="","",IF(IFERROR(LOOKUP(2,1/((Log[ID]=Items[[#This Row],[ID]])*(Log[Blk]&lt;&gt;"")),Log[Blk]),0)=1,"Y",""))</f>
      </c>
      <c r="N356" s="17">
        <f>IF(Items[[#This Row],[ID]]="","",SUBSTITUTE(IFERROR(LOOKUP(2,1/((Log[ID]=Items[[#This Row],[ID]])*(Log[State]&lt;&gt;"")),Log[State]),"TODO"),"OPEN",IF(Items[[#This Row],[Blocked]]="Y","WAIT","OPEN")))</f>
      </c>
      <c r="O35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56" s="17">
        <f>IF(Items[[#This Row],[State]]&lt;&gt;"WAIT","",AsOf-Items[[#This Row],[Blocked since]])</f>
      </c>
      <c r="Q356" s="17">
        <f>IF(Items[[#This Row],[State]]&lt;&gt;"WAIT","",IFERROR(LOOKUP(2,1/((Log[ID]=Items[[#This Row],[ID]])*(Log[Verb]="block")),Log[Note])&amp;"",""))</f>
      </c>
      <c r="R356" s="17">
        <f>IF(Items[[#This Row],[ID]]="","",COUNTIFS(Log[ID],Items[[#This Row],[ID]],Log[Verb],"carry"))</f>
      </c>
      <c r="S356" s="17">
        <f>IF(Items[[#This Row],[ID]]="","",COUNTIFS(Log[ID],Items[[#This Row],[ID]],Log[Verb],"punt"))</f>
      </c>
      <c r="T356" s="11">
        <f>IF(Items[[#This Row],[State]]&lt;&gt;"DONE","",IFERROR(LOOKUP(2,1/((Log[ID]=Items[[#This Row],[ID]])*(Log[Verb]="done")),Log[Date]),""))</f>
      </c>
      <c r="U356" s="17">
        <f>IF(Items[[#This Row],[ID]]="","",IF(AND(Items[[#This Row],[Sprint]]=CurSprint,OR(Items[[#This Row],[State]]="OPEN",Items[[#This Row],[State]]="WAIT",Items[[#This Row],[State]]="HOLD",Items[[#This Row],[State]]="DONE")),1,0))</f>
      </c>
      <c r="V356" s="17">
        <f>IF(OR(Items[[#This Row],[ID]]="",Items[[#This Row],[Added]]=""),"",AsOf-Items[[#This Row],[Added]])</f>
      </c>
      <c r="W356" s="17">
        <f>IF(Items[[#This Row],[In sprint]]=1,(IF(Items[[#This Row],[Prio]]="",9,N(Items[[#This Row],[Prio]]))*10+(IF(Items[[#This Row],[State]]="DONE",1,0)))*100000+ROW(),"")</f>
      </c>
      <c r="X35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56" s="17">
        <f>IF(AND(Items[[#This Row],[State]]="DONE",N(Items[[#This Row],[Done on]])&gt;AsOf-7),(200000-N(Items[[#This Row],[Done on]]))*100000+ROW(),"")</f>
      </c>
    </row>
    <row r="357">
      <c r="A357" t="s">
        <v>523</v>
      </c>
      <c r="B357" t="s">
        <v>1575</v>
      </c>
      <c r="C357" t="s">
        <v>1115</v>
      </c>
      <c r="D357" t="s">
        <v>1116</v>
      </c>
      <c r="E357" t="s">
        <v>1131</v>
      </c>
      <c r="F357" t="s">
        <v>1309</v>
      </c>
      <c r="G357">
        <v>5</v>
      </c>
      <c r="H357">
        <v>3</v>
      </c>
      <c r="I357" s="11">
        <v>46133</v>
      </c>
      <c r="J357" s="17">
        <f>IF(Items[[#This Row],[ID]]="","",IFERROR(VALUE(LOOKUP(2,1/((Log[ID]=Items[[#This Row],[ID]])*(Log[Verb]="est")),Log[Arg])),N(Items[[#This Row],[Points]])))</f>
      </c>
      <c r="K357" s="17">
        <f>IF(Items[[#This Row],[ID]]="","",IFERROR(LOOKUP(2,1/((Log[ID]=Items[[#This Row],[ID]])*(Log[Verb]="pass")),Log[Arg])&amp;"",Items[[#This Row],[Team]]&amp;""))</f>
      </c>
      <c r="L357" s="17">
        <f>IF(Items[[#This Row],[ID]]="","",IFERROR(LOOKUP(2,1/((Log[ID]=Items[[#This Row],[ID]])*(Log[Into]&lt;&gt;"")),Log[Into]),""))</f>
      </c>
      <c r="M357" s="17">
        <f>IF(Items[[#This Row],[ID]]="","",IF(IFERROR(LOOKUP(2,1/((Log[ID]=Items[[#This Row],[ID]])*(Log[Blk]&lt;&gt;"")),Log[Blk]),0)=1,"Y",""))</f>
      </c>
      <c r="N357" s="17">
        <f>IF(Items[[#This Row],[ID]]="","",SUBSTITUTE(IFERROR(LOOKUP(2,1/((Log[ID]=Items[[#This Row],[ID]])*(Log[State]&lt;&gt;"")),Log[State]),"TODO"),"OPEN",IF(Items[[#This Row],[Blocked]]="Y","WAIT","OPEN")))</f>
      </c>
      <c r="O35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57" s="17">
        <f>IF(Items[[#This Row],[State]]&lt;&gt;"WAIT","",AsOf-Items[[#This Row],[Blocked since]])</f>
      </c>
      <c r="Q357" s="17">
        <f>IF(Items[[#This Row],[State]]&lt;&gt;"WAIT","",IFERROR(LOOKUP(2,1/((Log[ID]=Items[[#This Row],[ID]])*(Log[Verb]="block")),Log[Note])&amp;"",""))</f>
      </c>
      <c r="R357" s="17">
        <f>IF(Items[[#This Row],[ID]]="","",COUNTIFS(Log[ID],Items[[#This Row],[ID]],Log[Verb],"carry"))</f>
      </c>
      <c r="S357" s="17">
        <f>IF(Items[[#This Row],[ID]]="","",COUNTIFS(Log[ID],Items[[#This Row],[ID]],Log[Verb],"punt"))</f>
      </c>
      <c r="T357" s="11">
        <f>IF(Items[[#This Row],[State]]&lt;&gt;"DONE","",IFERROR(LOOKUP(2,1/((Log[ID]=Items[[#This Row],[ID]])*(Log[Verb]="done")),Log[Date]),""))</f>
      </c>
      <c r="U357" s="17">
        <f>IF(Items[[#This Row],[ID]]="","",IF(AND(Items[[#This Row],[Sprint]]=CurSprint,OR(Items[[#This Row],[State]]="OPEN",Items[[#This Row],[State]]="WAIT",Items[[#This Row],[State]]="HOLD",Items[[#This Row],[State]]="DONE")),1,0))</f>
      </c>
      <c r="V357" s="17">
        <f>IF(OR(Items[[#This Row],[ID]]="",Items[[#This Row],[Added]]=""),"",AsOf-Items[[#This Row],[Added]])</f>
      </c>
      <c r="W357" s="17">
        <f>IF(Items[[#This Row],[In sprint]]=1,(IF(Items[[#This Row],[Prio]]="",9,N(Items[[#This Row],[Prio]]))*10+(IF(Items[[#This Row],[State]]="DONE",1,0)))*100000+ROW(),"")</f>
      </c>
      <c r="X35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57" s="17">
        <f>IF(AND(Items[[#This Row],[State]]="DONE",N(Items[[#This Row],[Done on]])&gt;AsOf-7),(200000-N(Items[[#This Row],[Done on]]))*100000+ROW(),"")</f>
      </c>
    </row>
    <row r="358">
      <c r="A358" t="s">
        <v>524</v>
      </c>
      <c r="B358" t="s">
        <v>1576</v>
      </c>
      <c r="C358" t="s">
        <v>1107</v>
      </c>
      <c r="D358" t="s">
        <v>1108</v>
      </c>
      <c r="E358" t="s">
        <v>1131</v>
      </c>
      <c r="F358" t="s">
        <v>1577</v>
      </c>
      <c r="G358">
        <v>3</v>
      </c>
      <c r="H358">
        <v>2</v>
      </c>
      <c r="I358" s="11">
        <v>46133</v>
      </c>
      <c r="J358" s="17">
        <f>IF(Items[[#This Row],[ID]]="","",IFERROR(VALUE(LOOKUP(2,1/((Log[ID]=Items[[#This Row],[ID]])*(Log[Verb]="est")),Log[Arg])),N(Items[[#This Row],[Points]])))</f>
      </c>
      <c r="K358" s="17">
        <f>IF(Items[[#This Row],[ID]]="","",IFERROR(LOOKUP(2,1/((Log[ID]=Items[[#This Row],[ID]])*(Log[Verb]="pass")),Log[Arg])&amp;"",Items[[#This Row],[Team]]&amp;""))</f>
      </c>
      <c r="L358" s="17">
        <f>IF(Items[[#This Row],[ID]]="","",IFERROR(LOOKUP(2,1/((Log[ID]=Items[[#This Row],[ID]])*(Log[Into]&lt;&gt;"")),Log[Into]),""))</f>
      </c>
      <c r="M358" s="17">
        <f>IF(Items[[#This Row],[ID]]="","",IF(IFERROR(LOOKUP(2,1/((Log[ID]=Items[[#This Row],[ID]])*(Log[Blk]&lt;&gt;"")),Log[Blk]),0)=1,"Y",""))</f>
      </c>
      <c r="N358" s="17">
        <f>IF(Items[[#This Row],[ID]]="","",SUBSTITUTE(IFERROR(LOOKUP(2,1/((Log[ID]=Items[[#This Row],[ID]])*(Log[State]&lt;&gt;"")),Log[State]),"TODO"),"OPEN",IF(Items[[#This Row],[Blocked]]="Y","WAIT","OPEN")))</f>
      </c>
      <c r="O35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58" s="17">
        <f>IF(Items[[#This Row],[State]]&lt;&gt;"WAIT","",AsOf-Items[[#This Row],[Blocked since]])</f>
      </c>
      <c r="Q358" s="17">
        <f>IF(Items[[#This Row],[State]]&lt;&gt;"WAIT","",IFERROR(LOOKUP(2,1/((Log[ID]=Items[[#This Row],[ID]])*(Log[Verb]="block")),Log[Note])&amp;"",""))</f>
      </c>
      <c r="R358" s="17">
        <f>IF(Items[[#This Row],[ID]]="","",COUNTIFS(Log[ID],Items[[#This Row],[ID]],Log[Verb],"carry"))</f>
      </c>
      <c r="S358" s="17">
        <f>IF(Items[[#This Row],[ID]]="","",COUNTIFS(Log[ID],Items[[#This Row],[ID]],Log[Verb],"punt"))</f>
      </c>
      <c r="T358" s="11">
        <f>IF(Items[[#This Row],[State]]&lt;&gt;"DONE","",IFERROR(LOOKUP(2,1/((Log[ID]=Items[[#This Row],[ID]])*(Log[Verb]="done")),Log[Date]),""))</f>
      </c>
      <c r="U358" s="17">
        <f>IF(Items[[#This Row],[ID]]="","",IF(AND(Items[[#This Row],[Sprint]]=CurSprint,OR(Items[[#This Row],[State]]="OPEN",Items[[#This Row],[State]]="WAIT",Items[[#This Row],[State]]="HOLD",Items[[#This Row],[State]]="DONE")),1,0))</f>
      </c>
      <c r="V358" s="17">
        <f>IF(OR(Items[[#This Row],[ID]]="",Items[[#This Row],[Added]]=""),"",AsOf-Items[[#This Row],[Added]])</f>
      </c>
      <c r="W358" s="17">
        <f>IF(Items[[#This Row],[In sprint]]=1,(IF(Items[[#This Row],[Prio]]="",9,N(Items[[#This Row],[Prio]]))*10+(IF(Items[[#This Row],[State]]="DONE",1,0)))*100000+ROW(),"")</f>
      </c>
      <c r="X35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58" s="17">
        <f>IF(AND(Items[[#This Row],[State]]="DONE",N(Items[[#This Row],[Done on]])&gt;AsOf-7),(200000-N(Items[[#This Row],[Done on]]))*100000+ROW(),"")</f>
      </c>
    </row>
    <row r="359">
      <c r="A359" t="s">
        <v>525</v>
      </c>
      <c r="B359" t="s">
        <v>1578</v>
      </c>
      <c r="C359" t="s">
        <v>1107</v>
      </c>
      <c r="D359" t="s">
        <v>1108</v>
      </c>
      <c r="E359" t="s">
        <v>1131</v>
      </c>
      <c r="F359" t="s">
        <v>1577</v>
      </c>
      <c r="G359">
        <v>2</v>
      </c>
      <c r="H359">
        <v>3</v>
      </c>
      <c r="I359" s="11">
        <v>46133</v>
      </c>
      <c r="J359" s="17">
        <f>IF(Items[[#This Row],[ID]]="","",IFERROR(VALUE(LOOKUP(2,1/((Log[ID]=Items[[#This Row],[ID]])*(Log[Verb]="est")),Log[Arg])),N(Items[[#This Row],[Points]])))</f>
      </c>
      <c r="K359" s="17">
        <f>IF(Items[[#This Row],[ID]]="","",IFERROR(LOOKUP(2,1/((Log[ID]=Items[[#This Row],[ID]])*(Log[Verb]="pass")),Log[Arg])&amp;"",Items[[#This Row],[Team]]&amp;""))</f>
      </c>
      <c r="L359" s="17">
        <f>IF(Items[[#This Row],[ID]]="","",IFERROR(LOOKUP(2,1/((Log[ID]=Items[[#This Row],[ID]])*(Log[Into]&lt;&gt;"")),Log[Into]),""))</f>
      </c>
      <c r="M359" s="17">
        <f>IF(Items[[#This Row],[ID]]="","",IF(IFERROR(LOOKUP(2,1/((Log[ID]=Items[[#This Row],[ID]])*(Log[Blk]&lt;&gt;"")),Log[Blk]),0)=1,"Y",""))</f>
      </c>
      <c r="N359" s="17">
        <f>IF(Items[[#This Row],[ID]]="","",SUBSTITUTE(IFERROR(LOOKUP(2,1/((Log[ID]=Items[[#This Row],[ID]])*(Log[State]&lt;&gt;"")),Log[State]),"TODO"),"OPEN",IF(Items[[#This Row],[Blocked]]="Y","WAIT","OPEN")))</f>
      </c>
      <c r="O35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59" s="17">
        <f>IF(Items[[#This Row],[State]]&lt;&gt;"WAIT","",AsOf-Items[[#This Row],[Blocked since]])</f>
      </c>
      <c r="Q359" s="17">
        <f>IF(Items[[#This Row],[State]]&lt;&gt;"WAIT","",IFERROR(LOOKUP(2,1/((Log[ID]=Items[[#This Row],[ID]])*(Log[Verb]="block")),Log[Note])&amp;"",""))</f>
      </c>
      <c r="R359" s="17">
        <f>IF(Items[[#This Row],[ID]]="","",COUNTIFS(Log[ID],Items[[#This Row],[ID]],Log[Verb],"carry"))</f>
      </c>
      <c r="S359" s="17">
        <f>IF(Items[[#This Row],[ID]]="","",COUNTIFS(Log[ID],Items[[#This Row],[ID]],Log[Verb],"punt"))</f>
      </c>
      <c r="T359" s="11">
        <f>IF(Items[[#This Row],[State]]&lt;&gt;"DONE","",IFERROR(LOOKUP(2,1/((Log[ID]=Items[[#This Row],[ID]])*(Log[Verb]="done")),Log[Date]),""))</f>
      </c>
      <c r="U359" s="17">
        <f>IF(Items[[#This Row],[ID]]="","",IF(AND(Items[[#This Row],[Sprint]]=CurSprint,OR(Items[[#This Row],[State]]="OPEN",Items[[#This Row],[State]]="WAIT",Items[[#This Row],[State]]="HOLD",Items[[#This Row],[State]]="DONE")),1,0))</f>
      </c>
      <c r="V359" s="17">
        <f>IF(OR(Items[[#This Row],[ID]]="",Items[[#This Row],[Added]]=""),"",AsOf-Items[[#This Row],[Added]])</f>
      </c>
      <c r="W359" s="17">
        <f>IF(Items[[#This Row],[In sprint]]=1,(IF(Items[[#This Row],[Prio]]="",9,N(Items[[#This Row],[Prio]]))*10+(IF(Items[[#This Row],[State]]="DONE",1,0)))*100000+ROW(),"")</f>
      </c>
      <c r="X35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59" s="17">
        <f>IF(AND(Items[[#This Row],[State]]="DONE",N(Items[[#This Row],[Done on]])&gt;AsOf-7),(200000-N(Items[[#This Row],[Done on]]))*100000+ROW(),"")</f>
      </c>
    </row>
    <row r="360">
      <c r="A360" t="s">
        <v>526</v>
      </c>
      <c r="B360" t="s">
        <v>1579</v>
      </c>
      <c r="C360" t="s">
        <v>1107</v>
      </c>
      <c r="D360" t="s">
        <v>1127</v>
      </c>
      <c r="E360" t="s">
        <v>1131</v>
      </c>
      <c r="F360" t="s">
        <v>1231</v>
      </c>
      <c r="G360">
        <v>8</v>
      </c>
      <c r="H360">
        <v>3</v>
      </c>
      <c r="I360" s="11">
        <v>46133</v>
      </c>
      <c r="J360" s="17">
        <f>IF(Items[[#This Row],[ID]]="","",IFERROR(VALUE(LOOKUP(2,1/((Log[ID]=Items[[#This Row],[ID]])*(Log[Verb]="est")),Log[Arg])),N(Items[[#This Row],[Points]])))</f>
      </c>
      <c r="K360" s="17">
        <f>IF(Items[[#This Row],[ID]]="","",IFERROR(LOOKUP(2,1/((Log[ID]=Items[[#This Row],[ID]])*(Log[Verb]="pass")),Log[Arg])&amp;"",Items[[#This Row],[Team]]&amp;""))</f>
      </c>
      <c r="L360" s="17">
        <f>IF(Items[[#This Row],[ID]]="","",IFERROR(LOOKUP(2,1/((Log[ID]=Items[[#This Row],[ID]])*(Log[Into]&lt;&gt;"")),Log[Into]),""))</f>
      </c>
      <c r="M360" s="17">
        <f>IF(Items[[#This Row],[ID]]="","",IF(IFERROR(LOOKUP(2,1/((Log[ID]=Items[[#This Row],[ID]])*(Log[Blk]&lt;&gt;"")),Log[Blk]),0)=1,"Y",""))</f>
      </c>
      <c r="N360" s="17">
        <f>IF(Items[[#This Row],[ID]]="","",SUBSTITUTE(IFERROR(LOOKUP(2,1/((Log[ID]=Items[[#This Row],[ID]])*(Log[State]&lt;&gt;"")),Log[State]),"TODO"),"OPEN",IF(Items[[#This Row],[Blocked]]="Y","WAIT","OPEN")))</f>
      </c>
      <c r="O36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60" s="17">
        <f>IF(Items[[#This Row],[State]]&lt;&gt;"WAIT","",AsOf-Items[[#This Row],[Blocked since]])</f>
      </c>
      <c r="Q360" s="17">
        <f>IF(Items[[#This Row],[State]]&lt;&gt;"WAIT","",IFERROR(LOOKUP(2,1/((Log[ID]=Items[[#This Row],[ID]])*(Log[Verb]="block")),Log[Note])&amp;"",""))</f>
      </c>
      <c r="R360" s="17">
        <f>IF(Items[[#This Row],[ID]]="","",COUNTIFS(Log[ID],Items[[#This Row],[ID]],Log[Verb],"carry"))</f>
      </c>
      <c r="S360" s="17">
        <f>IF(Items[[#This Row],[ID]]="","",COUNTIFS(Log[ID],Items[[#This Row],[ID]],Log[Verb],"punt"))</f>
      </c>
      <c r="T360" s="11">
        <f>IF(Items[[#This Row],[State]]&lt;&gt;"DONE","",IFERROR(LOOKUP(2,1/((Log[ID]=Items[[#This Row],[ID]])*(Log[Verb]="done")),Log[Date]),""))</f>
      </c>
      <c r="U360" s="17">
        <f>IF(Items[[#This Row],[ID]]="","",IF(AND(Items[[#This Row],[Sprint]]=CurSprint,OR(Items[[#This Row],[State]]="OPEN",Items[[#This Row],[State]]="WAIT",Items[[#This Row],[State]]="HOLD",Items[[#This Row],[State]]="DONE")),1,0))</f>
      </c>
      <c r="V360" s="17">
        <f>IF(OR(Items[[#This Row],[ID]]="",Items[[#This Row],[Added]]=""),"",AsOf-Items[[#This Row],[Added]])</f>
      </c>
      <c r="W360" s="17">
        <f>IF(Items[[#This Row],[In sprint]]=1,(IF(Items[[#This Row],[Prio]]="",9,N(Items[[#This Row],[Prio]]))*10+(IF(Items[[#This Row],[State]]="DONE",1,0)))*100000+ROW(),"")</f>
      </c>
      <c r="X36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60" s="17">
        <f>IF(AND(Items[[#This Row],[State]]="DONE",N(Items[[#This Row],[Done on]])&gt;AsOf-7),(200000-N(Items[[#This Row],[Done on]]))*100000+ROW(),"")</f>
      </c>
    </row>
    <row r="361">
      <c r="A361" t="s">
        <v>527</v>
      </c>
      <c r="B361" t="s">
        <v>1580</v>
      </c>
      <c r="C361" t="s">
        <v>1107</v>
      </c>
      <c r="D361" t="s">
        <v>1108</v>
      </c>
      <c r="E361" t="s">
        <v>1131</v>
      </c>
      <c r="F361" t="s">
        <v>1577</v>
      </c>
      <c r="G361">
        <v>2</v>
      </c>
      <c r="H361">
        <v>3</v>
      </c>
      <c r="I361" s="11">
        <v>46133</v>
      </c>
      <c r="J361" s="17">
        <f>IF(Items[[#This Row],[ID]]="","",IFERROR(VALUE(LOOKUP(2,1/((Log[ID]=Items[[#This Row],[ID]])*(Log[Verb]="est")),Log[Arg])),N(Items[[#This Row],[Points]])))</f>
      </c>
      <c r="K361" s="17">
        <f>IF(Items[[#This Row],[ID]]="","",IFERROR(LOOKUP(2,1/((Log[ID]=Items[[#This Row],[ID]])*(Log[Verb]="pass")),Log[Arg])&amp;"",Items[[#This Row],[Team]]&amp;""))</f>
      </c>
      <c r="L361" s="17">
        <f>IF(Items[[#This Row],[ID]]="","",IFERROR(LOOKUP(2,1/((Log[ID]=Items[[#This Row],[ID]])*(Log[Into]&lt;&gt;"")),Log[Into]),""))</f>
      </c>
      <c r="M361" s="17">
        <f>IF(Items[[#This Row],[ID]]="","",IF(IFERROR(LOOKUP(2,1/((Log[ID]=Items[[#This Row],[ID]])*(Log[Blk]&lt;&gt;"")),Log[Blk]),0)=1,"Y",""))</f>
      </c>
      <c r="N361" s="17">
        <f>IF(Items[[#This Row],[ID]]="","",SUBSTITUTE(IFERROR(LOOKUP(2,1/((Log[ID]=Items[[#This Row],[ID]])*(Log[State]&lt;&gt;"")),Log[State]),"TODO"),"OPEN",IF(Items[[#This Row],[Blocked]]="Y","WAIT","OPEN")))</f>
      </c>
      <c r="O36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61" s="17">
        <f>IF(Items[[#This Row],[State]]&lt;&gt;"WAIT","",AsOf-Items[[#This Row],[Blocked since]])</f>
      </c>
      <c r="Q361" s="17">
        <f>IF(Items[[#This Row],[State]]&lt;&gt;"WAIT","",IFERROR(LOOKUP(2,1/((Log[ID]=Items[[#This Row],[ID]])*(Log[Verb]="block")),Log[Note])&amp;"",""))</f>
      </c>
      <c r="R361" s="17">
        <f>IF(Items[[#This Row],[ID]]="","",COUNTIFS(Log[ID],Items[[#This Row],[ID]],Log[Verb],"carry"))</f>
      </c>
      <c r="S361" s="17">
        <f>IF(Items[[#This Row],[ID]]="","",COUNTIFS(Log[ID],Items[[#This Row],[ID]],Log[Verb],"punt"))</f>
      </c>
      <c r="T361" s="11">
        <f>IF(Items[[#This Row],[State]]&lt;&gt;"DONE","",IFERROR(LOOKUP(2,1/((Log[ID]=Items[[#This Row],[ID]])*(Log[Verb]="done")),Log[Date]),""))</f>
      </c>
      <c r="U361" s="17">
        <f>IF(Items[[#This Row],[ID]]="","",IF(AND(Items[[#This Row],[Sprint]]=CurSprint,OR(Items[[#This Row],[State]]="OPEN",Items[[#This Row],[State]]="WAIT",Items[[#This Row],[State]]="HOLD",Items[[#This Row],[State]]="DONE")),1,0))</f>
      </c>
      <c r="V361" s="17">
        <f>IF(OR(Items[[#This Row],[ID]]="",Items[[#This Row],[Added]]=""),"",AsOf-Items[[#This Row],[Added]])</f>
      </c>
      <c r="W361" s="17">
        <f>IF(Items[[#This Row],[In sprint]]=1,(IF(Items[[#This Row],[Prio]]="",9,N(Items[[#This Row],[Prio]]))*10+(IF(Items[[#This Row],[State]]="DONE",1,0)))*100000+ROW(),"")</f>
      </c>
      <c r="X36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61" s="17">
        <f>IF(AND(Items[[#This Row],[State]]="DONE",N(Items[[#This Row],[Done on]])&gt;AsOf-7),(200000-N(Items[[#This Row],[Done on]]))*100000+ROW(),"")</f>
      </c>
    </row>
    <row r="362">
      <c r="A362" t="s">
        <v>477</v>
      </c>
      <c r="B362" t="s">
        <v>1581</v>
      </c>
      <c r="C362" t="s">
        <v>1107</v>
      </c>
      <c r="D362" t="s">
        <v>1127</v>
      </c>
      <c r="E362" t="s">
        <v>1134</v>
      </c>
      <c r="F362" t="s">
        <v>1387</v>
      </c>
      <c r="G362">
        <v>2</v>
      </c>
      <c r="H362">
        <v>1</v>
      </c>
      <c r="I362" s="11">
        <v>46133</v>
      </c>
      <c r="J362" s="17">
        <f>IF(Items[[#This Row],[ID]]="","",IFERROR(VALUE(LOOKUP(2,1/((Log[ID]=Items[[#This Row],[ID]])*(Log[Verb]="est")),Log[Arg])),N(Items[[#This Row],[Points]])))</f>
      </c>
      <c r="K362" s="17">
        <f>IF(Items[[#This Row],[ID]]="","",IFERROR(LOOKUP(2,1/((Log[ID]=Items[[#This Row],[ID]])*(Log[Verb]="pass")),Log[Arg])&amp;"",Items[[#This Row],[Team]]&amp;""))</f>
      </c>
      <c r="L362" s="17">
        <f>IF(Items[[#This Row],[ID]]="","",IFERROR(LOOKUP(2,1/((Log[ID]=Items[[#This Row],[ID]])*(Log[Into]&lt;&gt;"")),Log[Into]),""))</f>
      </c>
      <c r="M362" s="17">
        <f>IF(Items[[#This Row],[ID]]="","",IF(IFERROR(LOOKUP(2,1/((Log[ID]=Items[[#This Row],[ID]])*(Log[Blk]&lt;&gt;"")),Log[Blk]),0)=1,"Y",""))</f>
      </c>
      <c r="N362" s="17">
        <f>IF(Items[[#This Row],[ID]]="","",SUBSTITUTE(IFERROR(LOOKUP(2,1/((Log[ID]=Items[[#This Row],[ID]])*(Log[State]&lt;&gt;"")),Log[State]),"TODO"),"OPEN",IF(Items[[#This Row],[Blocked]]="Y","WAIT","OPEN")))</f>
      </c>
      <c r="O36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62" s="17">
        <f>IF(Items[[#This Row],[State]]&lt;&gt;"WAIT","",AsOf-Items[[#This Row],[Blocked since]])</f>
      </c>
      <c r="Q362" s="17">
        <f>IF(Items[[#This Row],[State]]&lt;&gt;"WAIT","",IFERROR(LOOKUP(2,1/((Log[ID]=Items[[#This Row],[ID]])*(Log[Verb]="block")),Log[Note])&amp;"",""))</f>
      </c>
      <c r="R362" s="17">
        <f>IF(Items[[#This Row],[ID]]="","",COUNTIFS(Log[ID],Items[[#This Row],[ID]],Log[Verb],"carry"))</f>
      </c>
      <c r="S362" s="17">
        <f>IF(Items[[#This Row],[ID]]="","",COUNTIFS(Log[ID],Items[[#This Row],[ID]],Log[Verb],"punt"))</f>
      </c>
      <c r="T362" s="11">
        <f>IF(Items[[#This Row],[State]]&lt;&gt;"DONE","",IFERROR(LOOKUP(2,1/((Log[ID]=Items[[#This Row],[ID]])*(Log[Verb]="done")),Log[Date]),""))</f>
      </c>
      <c r="U362" s="17">
        <f>IF(Items[[#This Row],[ID]]="","",IF(AND(Items[[#This Row],[Sprint]]=CurSprint,OR(Items[[#This Row],[State]]="OPEN",Items[[#This Row],[State]]="WAIT",Items[[#This Row],[State]]="HOLD",Items[[#This Row],[State]]="DONE")),1,0))</f>
      </c>
      <c r="V362" s="17">
        <f>IF(OR(Items[[#This Row],[ID]]="",Items[[#This Row],[Added]]=""),"",AsOf-Items[[#This Row],[Added]])</f>
      </c>
      <c r="W362" s="17">
        <f>IF(Items[[#This Row],[In sprint]]=1,(IF(Items[[#This Row],[Prio]]="",9,N(Items[[#This Row],[Prio]]))*10+(IF(Items[[#This Row],[State]]="DONE",1,0)))*100000+ROW(),"")</f>
      </c>
      <c r="X36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62" s="17">
        <f>IF(AND(Items[[#This Row],[State]]="DONE",N(Items[[#This Row],[Done on]])&gt;AsOf-7),(200000-N(Items[[#This Row],[Done on]]))*100000+ROW(),"")</f>
      </c>
    </row>
    <row r="363">
      <c r="A363" t="s">
        <v>582</v>
      </c>
      <c r="B363" t="s">
        <v>1582</v>
      </c>
      <c r="C363" t="s">
        <v>1107</v>
      </c>
      <c r="D363" t="s">
        <v>1108</v>
      </c>
      <c r="E363" t="s">
        <v>1134</v>
      </c>
      <c r="F363" t="s">
        <v>1528</v>
      </c>
      <c r="G363">
        <v>5</v>
      </c>
      <c r="H363">
        <v>3</v>
      </c>
      <c r="I363" s="11">
        <v>46133</v>
      </c>
      <c r="J363" s="17">
        <f>IF(Items[[#This Row],[ID]]="","",IFERROR(VALUE(LOOKUP(2,1/((Log[ID]=Items[[#This Row],[ID]])*(Log[Verb]="est")),Log[Arg])),N(Items[[#This Row],[Points]])))</f>
      </c>
      <c r="K363" s="17">
        <f>IF(Items[[#This Row],[ID]]="","",IFERROR(LOOKUP(2,1/((Log[ID]=Items[[#This Row],[ID]])*(Log[Verb]="pass")),Log[Arg])&amp;"",Items[[#This Row],[Team]]&amp;""))</f>
      </c>
      <c r="L363" s="17">
        <f>IF(Items[[#This Row],[ID]]="","",IFERROR(LOOKUP(2,1/((Log[ID]=Items[[#This Row],[ID]])*(Log[Into]&lt;&gt;"")),Log[Into]),""))</f>
      </c>
      <c r="M363" s="17">
        <f>IF(Items[[#This Row],[ID]]="","",IF(IFERROR(LOOKUP(2,1/((Log[ID]=Items[[#This Row],[ID]])*(Log[Blk]&lt;&gt;"")),Log[Blk]),0)=1,"Y",""))</f>
      </c>
      <c r="N363" s="17">
        <f>IF(Items[[#This Row],[ID]]="","",SUBSTITUTE(IFERROR(LOOKUP(2,1/((Log[ID]=Items[[#This Row],[ID]])*(Log[State]&lt;&gt;"")),Log[State]),"TODO"),"OPEN",IF(Items[[#This Row],[Blocked]]="Y","WAIT","OPEN")))</f>
      </c>
      <c r="O36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63" s="17">
        <f>IF(Items[[#This Row],[State]]&lt;&gt;"WAIT","",AsOf-Items[[#This Row],[Blocked since]])</f>
      </c>
      <c r="Q363" s="17">
        <f>IF(Items[[#This Row],[State]]&lt;&gt;"WAIT","",IFERROR(LOOKUP(2,1/((Log[ID]=Items[[#This Row],[ID]])*(Log[Verb]="block")),Log[Note])&amp;"",""))</f>
      </c>
      <c r="R363" s="17">
        <f>IF(Items[[#This Row],[ID]]="","",COUNTIFS(Log[ID],Items[[#This Row],[ID]],Log[Verb],"carry"))</f>
      </c>
      <c r="S363" s="17">
        <f>IF(Items[[#This Row],[ID]]="","",COUNTIFS(Log[ID],Items[[#This Row],[ID]],Log[Verb],"punt"))</f>
      </c>
      <c r="T363" s="11">
        <f>IF(Items[[#This Row],[State]]&lt;&gt;"DONE","",IFERROR(LOOKUP(2,1/((Log[ID]=Items[[#This Row],[ID]])*(Log[Verb]="done")),Log[Date]),""))</f>
      </c>
      <c r="U363" s="17">
        <f>IF(Items[[#This Row],[ID]]="","",IF(AND(Items[[#This Row],[Sprint]]=CurSprint,OR(Items[[#This Row],[State]]="OPEN",Items[[#This Row],[State]]="WAIT",Items[[#This Row],[State]]="HOLD",Items[[#This Row],[State]]="DONE")),1,0))</f>
      </c>
      <c r="V363" s="17">
        <f>IF(OR(Items[[#This Row],[ID]]="",Items[[#This Row],[Added]]=""),"",AsOf-Items[[#This Row],[Added]])</f>
      </c>
      <c r="W363" s="17">
        <f>IF(Items[[#This Row],[In sprint]]=1,(IF(Items[[#This Row],[Prio]]="",9,N(Items[[#This Row],[Prio]]))*10+(IF(Items[[#This Row],[State]]="DONE",1,0)))*100000+ROW(),"")</f>
      </c>
      <c r="X36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63" s="17">
        <f>IF(AND(Items[[#This Row],[State]]="DONE",N(Items[[#This Row],[Done on]])&gt;AsOf-7),(200000-N(Items[[#This Row],[Done on]]))*100000+ROW(),"")</f>
      </c>
    </row>
    <row r="364">
      <c r="A364" t="s">
        <v>583</v>
      </c>
      <c r="B364" t="s">
        <v>1583</v>
      </c>
      <c r="C364" t="s">
        <v>1107</v>
      </c>
      <c r="D364" t="s">
        <v>1108</v>
      </c>
      <c r="E364" t="s">
        <v>1134</v>
      </c>
      <c r="F364" t="s">
        <v>1137</v>
      </c>
      <c r="G364">
        <v>3</v>
      </c>
      <c r="H364">
        <v>3</v>
      </c>
      <c r="I364" s="11">
        <v>46133</v>
      </c>
      <c r="J364" s="17">
        <f>IF(Items[[#This Row],[ID]]="","",IFERROR(VALUE(LOOKUP(2,1/((Log[ID]=Items[[#This Row],[ID]])*(Log[Verb]="est")),Log[Arg])),N(Items[[#This Row],[Points]])))</f>
      </c>
      <c r="K364" s="17">
        <f>IF(Items[[#This Row],[ID]]="","",IFERROR(LOOKUP(2,1/((Log[ID]=Items[[#This Row],[ID]])*(Log[Verb]="pass")),Log[Arg])&amp;"",Items[[#This Row],[Team]]&amp;""))</f>
      </c>
      <c r="L364" s="17">
        <f>IF(Items[[#This Row],[ID]]="","",IFERROR(LOOKUP(2,1/((Log[ID]=Items[[#This Row],[ID]])*(Log[Into]&lt;&gt;"")),Log[Into]),""))</f>
      </c>
      <c r="M364" s="17">
        <f>IF(Items[[#This Row],[ID]]="","",IF(IFERROR(LOOKUP(2,1/((Log[ID]=Items[[#This Row],[ID]])*(Log[Blk]&lt;&gt;"")),Log[Blk]),0)=1,"Y",""))</f>
      </c>
      <c r="N364" s="17">
        <f>IF(Items[[#This Row],[ID]]="","",SUBSTITUTE(IFERROR(LOOKUP(2,1/((Log[ID]=Items[[#This Row],[ID]])*(Log[State]&lt;&gt;"")),Log[State]),"TODO"),"OPEN",IF(Items[[#This Row],[Blocked]]="Y","WAIT","OPEN")))</f>
      </c>
      <c r="O36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64" s="17">
        <f>IF(Items[[#This Row],[State]]&lt;&gt;"WAIT","",AsOf-Items[[#This Row],[Blocked since]])</f>
      </c>
      <c r="Q364" s="17">
        <f>IF(Items[[#This Row],[State]]&lt;&gt;"WAIT","",IFERROR(LOOKUP(2,1/((Log[ID]=Items[[#This Row],[ID]])*(Log[Verb]="block")),Log[Note])&amp;"",""))</f>
      </c>
      <c r="R364" s="17">
        <f>IF(Items[[#This Row],[ID]]="","",COUNTIFS(Log[ID],Items[[#This Row],[ID]],Log[Verb],"carry"))</f>
      </c>
      <c r="S364" s="17">
        <f>IF(Items[[#This Row],[ID]]="","",COUNTIFS(Log[ID],Items[[#This Row],[ID]],Log[Verb],"punt"))</f>
      </c>
      <c r="T364" s="11">
        <f>IF(Items[[#This Row],[State]]&lt;&gt;"DONE","",IFERROR(LOOKUP(2,1/((Log[ID]=Items[[#This Row],[ID]])*(Log[Verb]="done")),Log[Date]),""))</f>
      </c>
      <c r="U364" s="17">
        <f>IF(Items[[#This Row],[ID]]="","",IF(AND(Items[[#This Row],[Sprint]]=CurSprint,OR(Items[[#This Row],[State]]="OPEN",Items[[#This Row],[State]]="WAIT",Items[[#This Row],[State]]="HOLD",Items[[#This Row],[State]]="DONE")),1,0))</f>
      </c>
      <c r="V364" s="17">
        <f>IF(OR(Items[[#This Row],[ID]]="",Items[[#This Row],[Added]]=""),"",AsOf-Items[[#This Row],[Added]])</f>
      </c>
      <c r="W364" s="17">
        <f>IF(Items[[#This Row],[In sprint]]=1,(IF(Items[[#This Row],[Prio]]="",9,N(Items[[#This Row],[Prio]]))*10+(IF(Items[[#This Row],[State]]="DONE",1,0)))*100000+ROW(),"")</f>
      </c>
      <c r="X36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64" s="17">
        <f>IF(AND(Items[[#This Row],[State]]="DONE",N(Items[[#This Row],[Done on]])&gt;AsOf-7),(200000-N(Items[[#This Row],[Done on]]))*100000+ROW(),"")</f>
      </c>
    </row>
    <row r="365">
      <c r="A365" t="s">
        <v>638</v>
      </c>
      <c r="B365" t="s">
        <v>1584</v>
      </c>
      <c r="C365" t="s">
        <v>1107</v>
      </c>
      <c r="D365" t="s">
        <v>1108</v>
      </c>
      <c r="E365" t="s">
        <v>1134</v>
      </c>
      <c r="F365" t="s">
        <v>1242</v>
      </c>
      <c r="G365">
        <v>8</v>
      </c>
      <c r="H365">
        <v>1</v>
      </c>
      <c r="I365" s="11">
        <v>46133</v>
      </c>
      <c r="J365" s="17">
        <f>IF(Items[[#This Row],[ID]]="","",IFERROR(VALUE(LOOKUP(2,1/((Log[ID]=Items[[#This Row],[ID]])*(Log[Verb]="est")),Log[Arg])),N(Items[[#This Row],[Points]])))</f>
      </c>
      <c r="K365" s="17">
        <f>IF(Items[[#This Row],[ID]]="","",IFERROR(LOOKUP(2,1/((Log[ID]=Items[[#This Row],[ID]])*(Log[Verb]="pass")),Log[Arg])&amp;"",Items[[#This Row],[Team]]&amp;""))</f>
      </c>
      <c r="L365" s="17">
        <f>IF(Items[[#This Row],[ID]]="","",IFERROR(LOOKUP(2,1/((Log[ID]=Items[[#This Row],[ID]])*(Log[Into]&lt;&gt;"")),Log[Into]),""))</f>
      </c>
      <c r="M365" s="17">
        <f>IF(Items[[#This Row],[ID]]="","",IF(IFERROR(LOOKUP(2,1/((Log[ID]=Items[[#This Row],[ID]])*(Log[Blk]&lt;&gt;"")),Log[Blk]),0)=1,"Y",""))</f>
      </c>
      <c r="N365" s="17">
        <f>IF(Items[[#This Row],[ID]]="","",SUBSTITUTE(IFERROR(LOOKUP(2,1/((Log[ID]=Items[[#This Row],[ID]])*(Log[State]&lt;&gt;"")),Log[State]),"TODO"),"OPEN",IF(Items[[#This Row],[Blocked]]="Y","WAIT","OPEN")))</f>
      </c>
      <c r="O36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65" s="17">
        <f>IF(Items[[#This Row],[State]]&lt;&gt;"WAIT","",AsOf-Items[[#This Row],[Blocked since]])</f>
      </c>
      <c r="Q365" s="17">
        <f>IF(Items[[#This Row],[State]]&lt;&gt;"WAIT","",IFERROR(LOOKUP(2,1/((Log[ID]=Items[[#This Row],[ID]])*(Log[Verb]="block")),Log[Note])&amp;"",""))</f>
      </c>
      <c r="R365" s="17">
        <f>IF(Items[[#This Row],[ID]]="","",COUNTIFS(Log[ID],Items[[#This Row],[ID]],Log[Verb],"carry"))</f>
      </c>
      <c r="S365" s="17">
        <f>IF(Items[[#This Row],[ID]]="","",COUNTIFS(Log[ID],Items[[#This Row],[ID]],Log[Verb],"punt"))</f>
      </c>
      <c r="T365" s="11">
        <f>IF(Items[[#This Row],[State]]&lt;&gt;"DONE","",IFERROR(LOOKUP(2,1/((Log[ID]=Items[[#This Row],[ID]])*(Log[Verb]="done")),Log[Date]),""))</f>
      </c>
      <c r="U365" s="17">
        <f>IF(Items[[#This Row],[ID]]="","",IF(AND(Items[[#This Row],[Sprint]]=CurSprint,OR(Items[[#This Row],[State]]="OPEN",Items[[#This Row],[State]]="WAIT",Items[[#This Row],[State]]="HOLD",Items[[#This Row],[State]]="DONE")),1,0))</f>
      </c>
      <c r="V365" s="17">
        <f>IF(OR(Items[[#This Row],[ID]]="",Items[[#This Row],[Added]]=""),"",AsOf-Items[[#This Row],[Added]])</f>
      </c>
      <c r="W365" s="17">
        <f>IF(Items[[#This Row],[In sprint]]=1,(IF(Items[[#This Row],[Prio]]="",9,N(Items[[#This Row],[Prio]]))*10+(IF(Items[[#This Row],[State]]="DONE",1,0)))*100000+ROW(),"")</f>
      </c>
      <c r="X36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65" s="17">
        <f>IF(AND(Items[[#This Row],[State]]="DONE",N(Items[[#This Row],[Done on]])&gt;AsOf-7),(200000-N(Items[[#This Row],[Done on]]))*100000+ROW(),"")</f>
      </c>
    </row>
    <row r="366">
      <c r="A366" t="s">
        <v>482</v>
      </c>
      <c r="B366" t="s">
        <v>1585</v>
      </c>
      <c r="C366" t="s">
        <v>1115</v>
      </c>
      <c r="D366" t="s">
        <v>1116</v>
      </c>
      <c r="E366" t="s">
        <v>1139</v>
      </c>
      <c r="F366" t="s">
        <v>1586</v>
      </c>
      <c r="G366">
        <v>3</v>
      </c>
      <c r="H366">
        <v>3</v>
      </c>
      <c r="I366" s="11">
        <v>46133</v>
      </c>
      <c r="J366" s="17">
        <f>IF(Items[[#This Row],[ID]]="","",IFERROR(VALUE(LOOKUP(2,1/((Log[ID]=Items[[#This Row],[ID]])*(Log[Verb]="est")),Log[Arg])),N(Items[[#This Row],[Points]])))</f>
      </c>
      <c r="K366" s="17">
        <f>IF(Items[[#This Row],[ID]]="","",IFERROR(LOOKUP(2,1/((Log[ID]=Items[[#This Row],[ID]])*(Log[Verb]="pass")),Log[Arg])&amp;"",Items[[#This Row],[Team]]&amp;""))</f>
      </c>
      <c r="L366" s="17">
        <f>IF(Items[[#This Row],[ID]]="","",IFERROR(LOOKUP(2,1/((Log[ID]=Items[[#This Row],[ID]])*(Log[Into]&lt;&gt;"")),Log[Into]),""))</f>
      </c>
      <c r="M366" s="17">
        <f>IF(Items[[#This Row],[ID]]="","",IF(IFERROR(LOOKUP(2,1/((Log[ID]=Items[[#This Row],[ID]])*(Log[Blk]&lt;&gt;"")),Log[Blk]),0)=1,"Y",""))</f>
      </c>
      <c r="N366" s="17">
        <f>IF(Items[[#This Row],[ID]]="","",SUBSTITUTE(IFERROR(LOOKUP(2,1/((Log[ID]=Items[[#This Row],[ID]])*(Log[State]&lt;&gt;"")),Log[State]),"TODO"),"OPEN",IF(Items[[#This Row],[Blocked]]="Y","WAIT","OPEN")))</f>
      </c>
      <c r="O36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66" s="17">
        <f>IF(Items[[#This Row],[State]]&lt;&gt;"WAIT","",AsOf-Items[[#This Row],[Blocked since]])</f>
      </c>
      <c r="Q366" s="17">
        <f>IF(Items[[#This Row],[State]]&lt;&gt;"WAIT","",IFERROR(LOOKUP(2,1/((Log[ID]=Items[[#This Row],[ID]])*(Log[Verb]="block")),Log[Note])&amp;"",""))</f>
      </c>
      <c r="R366" s="17">
        <f>IF(Items[[#This Row],[ID]]="","",COUNTIFS(Log[ID],Items[[#This Row],[ID]],Log[Verb],"carry"))</f>
      </c>
      <c r="S366" s="17">
        <f>IF(Items[[#This Row],[ID]]="","",COUNTIFS(Log[ID],Items[[#This Row],[ID]],Log[Verb],"punt"))</f>
      </c>
      <c r="T366" s="11">
        <f>IF(Items[[#This Row],[State]]&lt;&gt;"DONE","",IFERROR(LOOKUP(2,1/((Log[ID]=Items[[#This Row],[ID]])*(Log[Verb]="done")),Log[Date]),""))</f>
      </c>
      <c r="U366" s="17">
        <f>IF(Items[[#This Row],[ID]]="","",IF(AND(Items[[#This Row],[Sprint]]=CurSprint,OR(Items[[#This Row],[State]]="OPEN",Items[[#This Row],[State]]="WAIT",Items[[#This Row],[State]]="HOLD",Items[[#This Row],[State]]="DONE")),1,0))</f>
      </c>
      <c r="V366" s="17">
        <f>IF(OR(Items[[#This Row],[ID]]="",Items[[#This Row],[Added]]=""),"",AsOf-Items[[#This Row],[Added]])</f>
      </c>
      <c r="W366" s="17">
        <f>IF(Items[[#This Row],[In sprint]]=1,(IF(Items[[#This Row],[Prio]]="",9,N(Items[[#This Row],[Prio]]))*10+(IF(Items[[#This Row],[State]]="DONE",1,0)))*100000+ROW(),"")</f>
      </c>
      <c r="X36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66" s="17">
        <f>IF(AND(Items[[#This Row],[State]]="DONE",N(Items[[#This Row],[Done on]])&gt;AsOf-7),(200000-N(Items[[#This Row],[Done on]]))*100000+ROW(),"")</f>
      </c>
    </row>
    <row r="367">
      <c r="A367" t="s">
        <v>483</v>
      </c>
      <c r="B367" t="s">
        <v>1587</v>
      </c>
      <c r="C367" t="s">
        <v>1115</v>
      </c>
      <c r="D367" t="s">
        <v>1116</v>
      </c>
      <c r="E367" t="s">
        <v>1139</v>
      </c>
      <c r="F367" t="s">
        <v>1175</v>
      </c>
      <c r="G367">
        <v>5</v>
      </c>
      <c r="H367">
        <v>3</v>
      </c>
      <c r="I367" s="11">
        <v>46133</v>
      </c>
      <c r="J367" s="17">
        <f>IF(Items[[#This Row],[ID]]="","",IFERROR(VALUE(LOOKUP(2,1/((Log[ID]=Items[[#This Row],[ID]])*(Log[Verb]="est")),Log[Arg])),N(Items[[#This Row],[Points]])))</f>
      </c>
      <c r="K367" s="17">
        <f>IF(Items[[#This Row],[ID]]="","",IFERROR(LOOKUP(2,1/((Log[ID]=Items[[#This Row],[ID]])*(Log[Verb]="pass")),Log[Arg])&amp;"",Items[[#This Row],[Team]]&amp;""))</f>
      </c>
      <c r="L367" s="17">
        <f>IF(Items[[#This Row],[ID]]="","",IFERROR(LOOKUP(2,1/((Log[ID]=Items[[#This Row],[ID]])*(Log[Into]&lt;&gt;"")),Log[Into]),""))</f>
      </c>
      <c r="M367" s="17">
        <f>IF(Items[[#This Row],[ID]]="","",IF(IFERROR(LOOKUP(2,1/((Log[ID]=Items[[#This Row],[ID]])*(Log[Blk]&lt;&gt;"")),Log[Blk]),0)=1,"Y",""))</f>
      </c>
      <c r="N367" s="17">
        <f>IF(Items[[#This Row],[ID]]="","",SUBSTITUTE(IFERROR(LOOKUP(2,1/((Log[ID]=Items[[#This Row],[ID]])*(Log[State]&lt;&gt;"")),Log[State]),"TODO"),"OPEN",IF(Items[[#This Row],[Blocked]]="Y","WAIT","OPEN")))</f>
      </c>
      <c r="O36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67" s="17">
        <f>IF(Items[[#This Row],[State]]&lt;&gt;"WAIT","",AsOf-Items[[#This Row],[Blocked since]])</f>
      </c>
      <c r="Q367" s="17">
        <f>IF(Items[[#This Row],[State]]&lt;&gt;"WAIT","",IFERROR(LOOKUP(2,1/((Log[ID]=Items[[#This Row],[ID]])*(Log[Verb]="block")),Log[Note])&amp;"",""))</f>
      </c>
      <c r="R367" s="17">
        <f>IF(Items[[#This Row],[ID]]="","",COUNTIFS(Log[ID],Items[[#This Row],[ID]],Log[Verb],"carry"))</f>
      </c>
      <c r="S367" s="17">
        <f>IF(Items[[#This Row],[ID]]="","",COUNTIFS(Log[ID],Items[[#This Row],[ID]],Log[Verb],"punt"))</f>
      </c>
      <c r="T367" s="11">
        <f>IF(Items[[#This Row],[State]]&lt;&gt;"DONE","",IFERROR(LOOKUP(2,1/((Log[ID]=Items[[#This Row],[ID]])*(Log[Verb]="done")),Log[Date]),""))</f>
      </c>
      <c r="U367" s="17">
        <f>IF(Items[[#This Row],[ID]]="","",IF(AND(Items[[#This Row],[Sprint]]=CurSprint,OR(Items[[#This Row],[State]]="OPEN",Items[[#This Row],[State]]="WAIT",Items[[#This Row],[State]]="HOLD",Items[[#This Row],[State]]="DONE")),1,0))</f>
      </c>
      <c r="V367" s="17">
        <f>IF(OR(Items[[#This Row],[ID]]="",Items[[#This Row],[Added]]=""),"",AsOf-Items[[#This Row],[Added]])</f>
      </c>
      <c r="W367" s="17">
        <f>IF(Items[[#This Row],[In sprint]]=1,(IF(Items[[#This Row],[Prio]]="",9,N(Items[[#This Row],[Prio]]))*10+(IF(Items[[#This Row],[State]]="DONE",1,0)))*100000+ROW(),"")</f>
      </c>
      <c r="X36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67" s="17">
        <f>IF(AND(Items[[#This Row],[State]]="DONE",N(Items[[#This Row],[Done on]])&gt;AsOf-7),(200000-N(Items[[#This Row],[Done on]]))*100000+ROW(),"")</f>
      </c>
    </row>
    <row r="368">
      <c r="A368" t="s">
        <v>531</v>
      </c>
      <c r="B368" t="s">
        <v>1588</v>
      </c>
      <c r="C368" t="s">
        <v>1107</v>
      </c>
      <c r="D368" t="s">
        <v>1108</v>
      </c>
      <c r="E368" t="s">
        <v>1139</v>
      </c>
      <c r="F368" t="s">
        <v>1251</v>
      </c>
      <c r="G368">
        <v>3</v>
      </c>
      <c r="H368">
        <v>2</v>
      </c>
      <c r="I368" s="11">
        <v>46133</v>
      </c>
      <c r="J368" s="17">
        <f>IF(Items[[#This Row],[ID]]="","",IFERROR(VALUE(LOOKUP(2,1/((Log[ID]=Items[[#This Row],[ID]])*(Log[Verb]="est")),Log[Arg])),N(Items[[#This Row],[Points]])))</f>
      </c>
      <c r="K368" s="17">
        <f>IF(Items[[#This Row],[ID]]="","",IFERROR(LOOKUP(2,1/((Log[ID]=Items[[#This Row],[ID]])*(Log[Verb]="pass")),Log[Arg])&amp;"",Items[[#This Row],[Team]]&amp;""))</f>
      </c>
      <c r="L368" s="17">
        <f>IF(Items[[#This Row],[ID]]="","",IFERROR(LOOKUP(2,1/((Log[ID]=Items[[#This Row],[ID]])*(Log[Into]&lt;&gt;"")),Log[Into]),""))</f>
      </c>
      <c r="M368" s="17">
        <f>IF(Items[[#This Row],[ID]]="","",IF(IFERROR(LOOKUP(2,1/((Log[ID]=Items[[#This Row],[ID]])*(Log[Blk]&lt;&gt;"")),Log[Blk]),0)=1,"Y",""))</f>
      </c>
      <c r="N368" s="17">
        <f>IF(Items[[#This Row],[ID]]="","",SUBSTITUTE(IFERROR(LOOKUP(2,1/((Log[ID]=Items[[#This Row],[ID]])*(Log[State]&lt;&gt;"")),Log[State]),"TODO"),"OPEN",IF(Items[[#This Row],[Blocked]]="Y","WAIT","OPEN")))</f>
      </c>
      <c r="O36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68" s="17">
        <f>IF(Items[[#This Row],[State]]&lt;&gt;"WAIT","",AsOf-Items[[#This Row],[Blocked since]])</f>
      </c>
      <c r="Q368" s="17">
        <f>IF(Items[[#This Row],[State]]&lt;&gt;"WAIT","",IFERROR(LOOKUP(2,1/((Log[ID]=Items[[#This Row],[ID]])*(Log[Verb]="block")),Log[Note])&amp;"",""))</f>
      </c>
      <c r="R368" s="17">
        <f>IF(Items[[#This Row],[ID]]="","",COUNTIFS(Log[ID],Items[[#This Row],[ID]],Log[Verb],"carry"))</f>
      </c>
      <c r="S368" s="17">
        <f>IF(Items[[#This Row],[ID]]="","",COUNTIFS(Log[ID],Items[[#This Row],[ID]],Log[Verb],"punt"))</f>
      </c>
      <c r="T368" s="11">
        <f>IF(Items[[#This Row],[State]]&lt;&gt;"DONE","",IFERROR(LOOKUP(2,1/((Log[ID]=Items[[#This Row],[ID]])*(Log[Verb]="done")),Log[Date]),""))</f>
      </c>
      <c r="U368" s="17">
        <f>IF(Items[[#This Row],[ID]]="","",IF(AND(Items[[#This Row],[Sprint]]=CurSprint,OR(Items[[#This Row],[State]]="OPEN",Items[[#This Row],[State]]="WAIT",Items[[#This Row],[State]]="HOLD",Items[[#This Row],[State]]="DONE")),1,0))</f>
      </c>
      <c r="V368" s="17">
        <f>IF(OR(Items[[#This Row],[ID]]="",Items[[#This Row],[Added]]=""),"",AsOf-Items[[#This Row],[Added]])</f>
      </c>
      <c r="W368" s="17">
        <f>IF(Items[[#This Row],[In sprint]]=1,(IF(Items[[#This Row],[Prio]]="",9,N(Items[[#This Row],[Prio]]))*10+(IF(Items[[#This Row],[State]]="DONE",1,0)))*100000+ROW(),"")</f>
      </c>
      <c r="X36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68" s="17">
        <f>IF(AND(Items[[#This Row],[State]]="DONE",N(Items[[#This Row],[Done on]])&gt;AsOf-7),(200000-N(Items[[#This Row],[Done on]]))*100000+ROW(),"")</f>
      </c>
    </row>
    <row r="369">
      <c r="A369" t="s">
        <v>532</v>
      </c>
      <c r="B369" t="s">
        <v>1589</v>
      </c>
      <c r="C369" t="s">
        <v>1107</v>
      </c>
      <c r="D369" t="s">
        <v>1127</v>
      </c>
      <c r="E369" t="s">
        <v>1139</v>
      </c>
      <c r="F369" t="s">
        <v>1175</v>
      </c>
      <c r="G369">
        <v>3</v>
      </c>
      <c r="H369">
        <v>2</v>
      </c>
      <c r="I369" s="11">
        <v>46133</v>
      </c>
      <c r="J369" s="17">
        <f>IF(Items[[#This Row],[ID]]="","",IFERROR(VALUE(LOOKUP(2,1/((Log[ID]=Items[[#This Row],[ID]])*(Log[Verb]="est")),Log[Arg])),N(Items[[#This Row],[Points]])))</f>
      </c>
      <c r="K369" s="17">
        <f>IF(Items[[#This Row],[ID]]="","",IFERROR(LOOKUP(2,1/((Log[ID]=Items[[#This Row],[ID]])*(Log[Verb]="pass")),Log[Arg])&amp;"",Items[[#This Row],[Team]]&amp;""))</f>
      </c>
      <c r="L369" s="17">
        <f>IF(Items[[#This Row],[ID]]="","",IFERROR(LOOKUP(2,1/((Log[ID]=Items[[#This Row],[ID]])*(Log[Into]&lt;&gt;"")),Log[Into]),""))</f>
      </c>
      <c r="M369" s="17">
        <f>IF(Items[[#This Row],[ID]]="","",IF(IFERROR(LOOKUP(2,1/((Log[ID]=Items[[#This Row],[ID]])*(Log[Blk]&lt;&gt;"")),Log[Blk]),0)=1,"Y",""))</f>
      </c>
      <c r="N369" s="17">
        <f>IF(Items[[#This Row],[ID]]="","",SUBSTITUTE(IFERROR(LOOKUP(2,1/((Log[ID]=Items[[#This Row],[ID]])*(Log[State]&lt;&gt;"")),Log[State]),"TODO"),"OPEN",IF(Items[[#This Row],[Blocked]]="Y","WAIT","OPEN")))</f>
      </c>
      <c r="O36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69" s="17">
        <f>IF(Items[[#This Row],[State]]&lt;&gt;"WAIT","",AsOf-Items[[#This Row],[Blocked since]])</f>
      </c>
      <c r="Q369" s="17">
        <f>IF(Items[[#This Row],[State]]&lt;&gt;"WAIT","",IFERROR(LOOKUP(2,1/((Log[ID]=Items[[#This Row],[ID]])*(Log[Verb]="block")),Log[Note])&amp;"",""))</f>
      </c>
      <c r="R369" s="17">
        <f>IF(Items[[#This Row],[ID]]="","",COUNTIFS(Log[ID],Items[[#This Row],[ID]],Log[Verb],"carry"))</f>
      </c>
      <c r="S369" s="17">
        <f>IF(Items[[#This Row],[ID]]="","",COUNTIFS(Log[ID],Items[[#This Row],[ID]],Log[Verb],"punt"))</f>
      </c>
      <c r="T369" s="11">
        <f>IF(Items[[#This Row],[State]]&lt;&gt;"DONE","",IFERROR(LOOKUP(2,1/((Log[ID]=Items[[#This Row],[ID]])*(Log[Verb]="done")),Log[Date]),""))</f>
      </c>
      <c r="U369" s="17">
        <f>IF(Items[[#This Row],[ID]]="","",IF(AND(Items[[#This Row],[Sprint]]=CurSprint,OR(Items[[#This Row],[State]]="OPEN",Items[[#This Row],[State]]="WAIT",Items[[#This Row],[State]]="HOLD",Items[[#This Row],[State]]="DONE")),1,0))</f>
      </c>
      <c r="V369" s="17">
        <f>IF(OR(Items[[#This Row],[ID]]="",Items[[#This Row],[Added]]=""),"",AsOf-Items[[#This Row],[Added]])</f>
      </c>
      <c r="W369" s="17">
        <f>IF(Items[[#This Row],[In sprint]]=1,(IF(Items[[#This Row],[Prio]]="",9,N(Items[[#This Row],[Prio]]))*10+(IF(Items[[#This Row],[State]]="DONE",1,0)))*100000+ROW(),"")</f>
      </c>
      <c r="X36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69" s="17">
        <f>IF(AND(Items[[#This Row],[State]]="DONE",N(Items[[#This Row],[Done on]])&gt;AsOf-7),(200000-N(Items[[#This Row],[Done on]]))*100000+ROW(),"")</f>
      </c>
    </row>
    <row r="370">
      <c r="A370" t="s">
        <v>533</v>
      </c>
      <c r="B370" t="s">
        <v>1590</v>
      </c>
      <c r="C370" t="s">
        <v>1115</v>
      </c>
      <c r="D370" t="s">
        <v>1116</v>
      </c>
      <c r="E370" t="s">
        <v>1139</v>
      </c>
      <c r="F370" t="s">
        <v>1319</v>
      </c>
      <c r="G370">
        <v>2</v>
      </c>
      <c r="H370">
        <v>2</v>
      </c>
      <c r="I370" s="11">
        <v>46133</v>
      </c>
      <c r="J370" s="17">
        <f>IF(Items[[#This Row],[ID]]="","",IFERROR(VALUE(LOOKUP(2,1/((Log[ID]=Items[[#This Row],[ID]])*(Log[Verb]="est")),Log[Arg])),N(Items[[#This Row],[Points]])))</f>
      </c>
      <c r="K370" s="17">
        <f>IF(Items[[#This Row],[ID]]="","",IFERROR(LOOKUP(2,1/((Log[ID]=Items[[#This Row],[ID]])*(Log[Verb]="pass")),Log[Arg])&amp;"",Items[[#This Row],[Team]]&amp;""))</f>
      </c>
      <c r="L370" s="17">
        <f>IF(Items[[#This Row],[ID]]="","",IFERROR(LOOKUP(2,1/((Log[ID]=Items[[#This Row],[ID]])*(Log[Into]&lt;&gt;"")),Log[Into]),""))</f>
      </c>
      <c r="M370" s="17">
        <f>IF(Items[[#This Row],[ID]]="","",IF(IFERROR(LOOKUP(2,1/((Log[ID]=Items[[#This Row],[ID]])*(Log[Blk]&lt;&gt;"")),Log[Blk]),0)=1,"Y",""))</f>
      </c>
      <c r="N370" s="17">
        <f>IF(Items[[#This Row],[ID]]="","",SUBSTITUTE(IFERROR(LOOKUP(2,1/((Log[ID]=Items[[#This Row],[ID]])*(Log[State]&lt;&gt;"")),Log[State]),"TODO"),"OPEN",IF(Items[[#This Row],[Blocked]]="Y","WAIT","OPEN")))</f>
      </c>
      <c r="O37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70" s="17">
        <f>IF(Items[[#This Row],[State]]&lt;&gt;"WAIT","",AsOf-Items[[#This Row],[Blocked since]])</f>
      </c>
      <c r="Q370" s="17">
        <f>IF(Items[[#This Row],[State]]&lt;&gt;"WAIT","",IFERROR(LOOKUP(2,1/((Log[ID]=Items[[#This Row],[ID]])*(Log[Verb]="block")),Log[Note])&amp;"",""))</f>
      </c>
      <c r="R370" s="17">
        <f>IF(Items[[#This Row],[ID]]="","",COUNTIFS(Log[ID],Items[[#This Row],[ID]],Log[Verb],"carry"))</f>
      </c>
      <c r="S370" s="17">
        <f>IF(Items[[#This Row],[ID]]="","",COUNTIFS(Log[ID],Items[[#This Row],[ID]],Log[Verb],"punt"))</f>
      </c>
      <c r="T370" s="11">
        <f>IF(Items[[#This Row],[State]]&lt;&gt;"DONE","",IFERROR(LOOKUP(2,1/((Log[ID]=Items[[#This Row],[ID]])*(Log[Verb]="done")),Log[Date]),""))</f>
      </c>
      <c r="U370" s="17">
        <f>IF(Items[[#This Row],[ID]]="","",IF(AND(Items[[#This Row],[Sprint]]=CurSprint,OR(Items[[#This Row],[State]]="OPEN",Items[[#This Row],[State]]="WAIT",Items[[#This Row],[State]]="HOLD",Items[[#This Row],[State]]="DONE")),1,0))</f>
      </c>
      <c r="V370" s="17">
        <f>IF(OR(Items[[#This Row],[ID]]="",Items[[#This Row],[Added]]=""),"",AsOf-Items[[#This Row],[Added]])</f>
      </c>
      <c r="W370" s="17">
        <f>IF(Items[[#This Row],[In sprint]]=1,(IF(Items[[#This Row],[Prio]]="",9,N(Items[[#This Row],[Prio]]))*10+(IF(Items[[#This Row],[State]]="DONE",1,0)))*100000+ROW(),"")</f>
      </c>
      <c r="X37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70" s="17">
        <f>IF(AND(Items[[#This Row],[State]]="DONE",N(Items[[#This Row],[Done on]])&gt;AsOf-7),(200000-N(Items[[#This Row],[Done on]]))*100000+ROW(),"")</f>
      </c>
    </row>
    <row r="371">
      <c r="A371" t="s">
        <v>534</v>
      </c>
      <c r="B371" t="s">
        <v>1591</v>
      </c>
      <c r="C371" t="s">
        <v>1115</v>
      </c>
      <c r="D371" t="s">
        <v>1116</v>
      </c>
      <c r="E371" t="s">
        <v>1139</v>
      </c>
      <c r="F371" t="s">
        <v>1249</v>
      </c>
      <c r="G371">
        <v>3</v>
      </c>
      <c r="H371">
        <v>1</v>
      </c>
      <c r="I371" s="11">
        <v>46133</v>
      </c>
      <c r="J371" s="17">
        <f>IF(Items[[#This Row],[ID]]="","",IFERROR(VALUE(LOOKUP(2,1/((Log[ID]=Items[[#This Row],[ID]])*(Log[Verb]="est")),Log[Arg])),N(Items[[#This Row],[Points]])))</f>
      </c>
      <c r="K371" s="17">
        <f>IF(Items[[#This Row],[ID]]="","",IFERROR(LOOKUP(2,1/((Log[ID]=Items[[#This Row],[ID]])*(Log[Verb]="pass")),Log[Arg])&amp;"",Items[[#This Row],[Team]]&amp;""))</f>
      </c>
      <c r="L371" s="17">
        <f>IF(Items[[#This Row],[ID]]="","",IFERROR(LOOKUP(2,1/((Log[ID]=Items[[#This Row],[ID]])*(Log[Into]&lt;&gt;"")),Log[Into]),""))</f>
      </c>
      <c r="M371" s="17">
        <f>IF(Items[[#This Row],[ID]]="","",IF(IFERROR(LOOKUP(2,1/((Log[ID]=Items[[#This Row],[ID]])*(Log[Blk]&lt;&gt;"")),Log[Blk]),0)=1,"Y",""))</f>
      </c>
      <c r="N371" s="17">
        <f>IF(Items[[#This Row],[ID]]="","",SUBSTITUTE(IFERROR(LOOKUP(2,1/((Log[ID]=Items[[#This Row],[ID]])*(Log[State]&lt;&gt;"")),Log[State]),"TODO"),"OPEN",IF(Items[[#This Row],[Blocked]]="Y","WAIT","OPEN")))</f>
      </c>
      <c r="O37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71" s="17">
        <f>IF(Items[[#This Row],[State]]&lt;&gt;"WAIT","",AsOf-Items[[#This Row],[Blocked since]])</f>
      </c>
      <c r="Q371" s="17">
        <f>IF(Items[[#This Row],[State]]&lt;&gt;"WAIT","",IFERROR(LOOKUP(2,1/((Log[ID]=Items[[#This Row],[ID]])*(Log[Verb]="block")),Log[Note])&amp;"",""))</f>
      </c>
      <c r="R371" s="17">
        <f>IF(Items[[#This Row],[ID]]="","",COUNTIFS(Log[ID],Items[[#This Row],[ID]],Log[Verb],"carry"))</f>
      </c>
      <c r="S371" s="17">
        <f>IF(Items[[#This Row],[ID]]="","",COUNTIFS(Log[ID],Items[[#This Row],[ID]],Log[Verb],"punt"))</f>
      </c>
      <c r="T371" s="11">
        <f>IF(Items[[#This Row],[State]]&lt;&gt;"DONE","",IFERROR(LOOKUP(2,1/((Log[ID]=Items[[#This Row],[ID]])*(Log[Verb]="done")),Log[Date]),""))</f>
      </c>
      <c r="U371" s="17">
        <f>IF(Items[[#This Row],[ID]]="","",IF(AND(Items[[#This Row],[Sprint]]=CurSprint,OR(Items[[#This Row],[State]]="OPEN",Items[[#This Row],[State]]="WAIT",Items[[#This Row],[State]]="HOLD",Items[[#This Row],[State]]="DONE")),1,0))</f>
      </c>
      <c r="V371" s="17">
        <f>IF(OR(Items[[#This Row],[ID]]="",Items[[#This Row],[Added]]=""),"",AsOf-Items[[#This Row],[Added]])</f>
      </c>
      <c r="W371" s="17">
        <f>IF(Items[[#This Row],[In sprint]]=1,(IF(Items[[#This Row],[Prio]]="",9,N(Items[[#This Row],[Prio]]))*10+(IF(Items[[#This Row],[State]]="DONE",1,0)))*100000+ROW(),"")</f>
      </c>
      <c r="X37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71" s="17">
        <f>IF(AND(Items[[#This Row],[State]]="DONE",N(Items[[#This Row],[Done on]])&gt;AsOf-7),(200000-N(Items[[#This Row],[Done on]]))*100000+ROW(),"")</f>
      </c>
    </row>
    <row r="372">
      <c r="A372" t="s">
        <v>535</v>
      </c>
      <c r="B372" t="s">
        <v>1592</v>
      </c>
      <c r="C372" t="s">
        <v>1107</v>
      </c>
      <c r="D372" t="s">
        <v>1127</v>
      </c>
      <c r="E372" t="s">
        <v>1139</v>
      </c>
      <c r="F372" t="s">
        <v>1323</v>
      </c>
      <c r="G372">
        <v>2</v>
      </c>
      <c r="H372">
        <v>1</v>
      </c>
      <c r="I372" s="11">
        <v>46133</v>
      </c>
      <c r="J372" s="17">
        <f>IF(Items[[#This Row],[ID]]="","",IFERROR(VALUE(LOOKUP(2,1/((Log[ID]=Items[[#This Row],[ID]])*(Log[Verb]="est")),Log[Arg])),N(Items[[#This Row],[Points]])))</f>
      </c>
      <c r="K372" s="17">
        <f>IF(Items[[#This Row],[ID]]="","",IFERROR(LOOKUP(2,1/((Log[ID]=Items[[#This Row],[ID]])*(Log[Verb]="pass")),Log[Arg])&amp;"",Items[[#This Row],[Team]]&amp;""))</f>
      </c>
      <c r="L372" s="17">
        <f>IF(Items[[#This Row],[ID]]="","",IFERROR(LOOKUP(2,1/((Log[ID]=Items[[#This Row],[ID]])*(Log[Into]&lt;&gt;"")),Log[Into]),""))</f>
      </c>
      <c r="M372" s="17">
        <f>IF(Items[[#This Row],[ID]]="","",IF(IFERROR(LOOKUP(2,1/((Log[ID]=Items[[#This Row],[ID]])*(Log[Blk]&lt;&gt;"")),Log[Blk]),0)=1,"Y",""))</f>
      </c>
      <c r="N372" s="17">
        <f>IF(Items[[#This Row],[ID]]="","",SUBSTITUTE(IFERROR(LOOKUP(2,1/((Log[ID]=Items[[#This Row],[ID]])*(Log[State]&lt;&gt;"")),Log[State]),"TODO"),"OPEN",IF(Items[[#This Row],[Blocked]]="Y","WAIT","OPEN")))</f>
      </c>
      <c r="O37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72" s="17">
        <f>IF(Items[[#This Row],[State]]&lt;&gt;"WAIT","",AsOf-Items[[#This Row],[Blocked since]])</f>
      </c>
      <c r="Q372" s="17">
        <f>IF(Items[[#This Row],[State]]&lt;&gt;"WAIT","",IFERROR(LOOKUP(2,1/((Log[ID]=Items[[#This Row],[ID]])*(Log[Verb]="block")),Log[Note])&amp;"",""))</f>
      </c>
      <c r="R372" s="17">
        <f>IF(Items[[#This Row],[ID]]="","",COUNTIFS(Log[ID],Items[[#This Row],[ID]],Log[Verb],"carry"))</f>
      </c>
      <c r="S372" s="17">
        <f>IF(Items[[#This Row],[ID]]="","",COUNTIFS(Log[ID],Items[[#This Row],[ID]],Log[Verb],"punt"))</f>
      </c>
      <c r="T372" s="11">
        <f>IF(Items[[#This Row],[State]]&lt;&gt;"DONE","",IFERROR(LOOKUP(2,1/((Log[ID]=Items[[#This Row],[ID]])*(Log[Verb]="done")),Log[Date]),""))</f>
      </c>
      <c r="U372" s="17">
        <f>IF(Items[[#This Row],[ID]]="","",IF(AND(Items[[#This Row],[Sprint]]=CurSprint,OR(Items[[#This Row],[State]]="OPEN",Items[[#This Row],[State]]="WAIT",Items[[#This Row],[State]]="HOLD",Items[[#This Row],[State]]="DONE")),1,0))</f>
      </c>
      <c r="V372" s="17">
        <f>IF(OR(Items[[#This Row],[ID]]="",Items[[#This Row],[Added]]=""),"",AsOf-Items[[#This Row],[Added]])</f>
      </c>
      <c r="W372" s="17">
        <f>IF(Items[[#This Row],[In sprint]]=1,(IF(Items[[#This Row],[Prio]]="",9,N(Items[[#This Row],[Prio]]))*10+(IF(Items[[#This Row],[State]]="DONE",1,0)))*100000+ROW(),"")</f>
      </c>
      <c r="X37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72" s="17">
        <f>IF(AND(Items[[#This Row],[State]]="DONE",N(Items[[#This Row],[Done on]])&gt;AsOf-7),(200000-N(Items[[#This Row],[Done on]]))*100000+ROW(),"")</f>
      </c>
    </row>
    <row r="373">
      <c r="A373" t="s">
        <v>584</v>
      </c>
      <c r="B373" t="s">
        <v>1593</v>
      </c>
      <c r="C373" t="s">
        <v>1107</v>
      </c>
      <c r="D373" t="s">
        <v>1108</v>
      </c>
      <c r="E373" t="s">
        <v>1139</v>
      </c>
      <c r="F373" t="s">
        <v>1395</v>
      </c>
      <c r="G373">
        <v>8</v>
      </c>
      <c r="H373">
        <v>1</v>
      </c>
      <c r="I373" s="11">
        <v>46133</v>
      </c>
      <c r="J373" s="17">
        <f>IF(Items[[#This Row],[ID]]="","",IFERROR(VALUE(LOOKUP(2,1/((Log[ID]=Items[[#This Row],[ID]])*(Log[Verb]="est")),Log[Arg])),N(Items[[#This Row],[Points]])))</f>
      </c>
      <c r="K373" s="17">
        <f>IF(Items[[#This Row],[ID]]="","",IFERROR(LOOKUP(2,1/((Log[ID]=Items[[#This Row],[ID]])*(Log[Verb]="pass")),Log[Arg])&amp;"",Items[[#This Row],[Team]]&amp;""))</f>
      </c>
      <c r="L373" s="17">
        <f>IF(Items[[#This Row],[ID]]="","",IFERROR(LOOKUP(2,1/((Log[ID]=Items[[#This Row],[ID]])*(Log[Into]&lt;&gt;"")),Log[Into]),""))</f>
      </c>
      <c r="M373" s="17">
        <f>IF(Items[[#This Row],[ID]]="","",IF(IFERROR(LOOKUP(2,1/((Log[ID]=Items[[#This Row],[ID]])*(Log[Blk]&lt;&gt;"")),Log[Blk]),0)=1,"Y",""))</f>
      </c>
      <c r="N373" s="17">
        <f>IF(Items[[#This Row],[ID]]="","",SUBSTITUTE(IFERROR(LOOKUP(2,1/((Log[ID]=Items[[#This Row],[ID]])*(Log[State]&lt;&gt;"")),Log[State]),"TODO"),"OPEN",IF(Items[[#This Row],[Blocked]]="Y","WAIT","OPEN")))</f>
      </c>
      <c r="O37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73" s="17">
        <f>IF(Items[[#This Row],[State]]&lt;&gt;"WAIT","",AsOf-Items[[#This Row],[Blocked since]])</f>
      </c>
      <c r="Q373" s="17">
        <f>IF(Items[[#This Row],[State]]&lt;&gt;"WAIT","",IFERROR(LOOKUP(2,1/((Log[ID]=Items[[#This Row],[ID]])*(Log[Verb]="block")),Log[Note])&amp;"",""))</f>
      </c>
      <c r="R373" s="17">
        <f>IF(Items[[#This Row],[ID]]="","",COUNTIFS(Log[ID],Items[[#This Row],[ID]],Log[Verb],"carry"))</f>
      </c>
      <c r="S373" s="17">
        <f>IF(Items[[#This Row],[ID]]="","",COUNTIFS(Log[ID],Items[[#This Row],[ID]],Log[Verb],"punt"))</f>
      </c>
      <c r="T373" s="11">
        <f>IF(Items[[#This Row],[State]]&lt;&gt;"DONE","",IFERROR(LOOKUP(2,1/((Log[ID]=Items[[#This Row],[ID]])*(Log[Verb]="done")),Log[Date]),""))</f>
      </c>
      <c r="U373" s="17">
        <f>IF(Items[[#This Row],[ID]]="","",IF(AND(Items[[#This Row],[Sprint]]=CurSprint,OR(Items[[#This Row],[State]]="OPEN",Items[[#This Row],[State]]="WAIT",Items[[#This Row],[State]]="HOLD",Items[[#This Row],[State]]="DONE")),1,0))</f>
      </c>
      <c r="V373" s="17">
        <f>IF(OR(Items[[#This Row],[ID]]="",Items[[#This Row],[Added]]=""),"",AsOf-Items[[#This Row],[Added]])</f>
      </c>
      <c r="W373" s="17">
        <f>IF(Items[[#This Row],[In sprint]]=1,(IF(Items[[#This Row],[Prio]]="",9,N(Items[[#This Row],[Prio]]))*10+(IF(Items[[#This Row],[State]]="DONE",1,0)))*100000+ROW(),"")</f>
      </c>
      <c r="X37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73" s="17">
        <f>IF(AND(Items[[#This Row],[State]]="DONE",N(Items[[#This Row],[Done on]])&gt;AsOf-7),(200000-N(Items[[#This Row],[Done on]]))*100000+ROW(),"")</f>
      </c>
    </row>
    <row r="374">
      <c r="A374" t="s">
        <v>585</v>
      </c>
      <c r="B374" t="s">
        <v>1594</v>
      </c>
      <c r="C374" t="s">
        <v>1115</v>
      </c>
      <c r="D374" t="s">
        <v>1116</v>
      </c>
      <c r="E374" t="s">
        <v>1139</v>
      </c>
      <c r="F374" t="s">
        <v>1249</v>
      </c>
      <c r="G374">
        <v>5</v>
      </c>
      <c r="H374">
        <v>3</v>
      </c>
      <c r="I374" s="11">
        <v>46133</v>
      </c>
      <c r="J374" s="17">
        <f>IF(Items[[#This Row],[ID]]="","",IFERROR(VALUE(LOOKUP(2,1/((Log[ID]=Items[[#This Row],[ID]])*(Log[Verb]="est")),Log[Arg])),N(Items[[#This Row],[Points]])))</f>
      </c>
      <c r="K374" s="17">
        <f>IF(Items[[#This Row],[ID]]="","",IFERROR(LOOKUP(2,1/((Log[ID]=Items[[#This Row],[ID]])*(Log[Verb]="pass")),Log[Arg])&amp;"",Items[[#This Row],[Team]]&amp;""))</f>
      </c>
      <c r="L374" s="17">
        <f>IF(Items[[#This Row],[ID]]="","",IFERROR(LOOKUP(2,1/((Log[ID]=Items[[#This Row],[ID]])*(Log[Into]&lt;&gt;"")),Log[Into]),""))</f>
      </c>
      <c r="M374" s="17">
        <f>IF(Items[[#This Row],[ID]]="","",IF(IFERROR(LOOKUP(2,1/((Log[ID]=Items[[#This Row],[ID]])*(Log[Blk]&lt;&gt;"")),Log[Blk]),0)=1,"Y",""))</f>
      </c>
      <c r="N374" s="17">
        <f>IF(Items[[#This Row],[ID]]="","",SUBSTITUTE(IFERROR(LOOKUP(2,1/((Log[ID]=Items[[#This Row],[ID]])*(Log[State]&lt;&gt;"")),Log[State]),"TODO"),"OPEN",IF(Items[[#This Row],[Blocked]]="Y","WAIT","OPEN")))</f>
      </c>
      <c r="O37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74" s="17">
        <f>IF(Items[[#This Row],[State]]&lt;&gt;"WAIT","",AsOf-Items[[#This Row],[Blocked since]])</f>
      </c>
      <c r="Q374" s="17">
        <f>IF(Items[[#This Row],[State]]&lt;&gt;"WAIT","",IFERROR(LOOKUP(2,1/((Log[ID]=Items[[#This Row],[ID]])*(Log[Verb]="block")),Log[Note])&amp;"",""))</f>
      </c>
      <c r="R374" s="17">
        <f>IF(Items[[#This Row],[ID]]="","",COUNTIFS(Log[ID],Items[[#This Row],[ID]],Log[Verb],"carry"))</f>
      </c>
      <c r="S374" s="17">
        <f>IF(Items[[#This Row],[ID]]="","",COUNTIFS(Log[ID],Items[[#This Row],[ID]],Log[Verb],"punt"))</f>
      </c>
      <c r="T374" s="11">
        <f>IF(Items[[#This Row],[State]]&lt;&gt;"DONE","",IFERROR(LOOKUP(2,1/((Log[ID]=Items[[#This Row],[ID]])*(Log[Verb]="done")),Log[Date]),""))</f>
      </c>
      <c r="U374" s="17">
        <f>IF(Items[[#This Row],[ID]]="","",IF(AND(Items[[#This Row],[Sprint]]=CurSprint,OR(Items[[#This Row],[State]]="OPEN",Items[[#This Row],[State]]="WAIT",Items[[#This Row],[State]]="HOLD",Items[[#This Row],[State]]="DONE")),1,0))</f>
      </c>
      <c r="V374" s="17">
        <f>IF(OR(Items[[#This Row],[ID]]="",Items[[#This Row],[Added]]=""),"",AsOf-Items[[#This Row],[Added]])</f>
      </c>
      <c r="W374" s="17">
        <f>IF(Items[[#This Row],[In sprint]]=1,(IF(Items[[#This Row],[Prio]]="",9,N(Items[[#This Row],[Prio]]))*10+(IF(Items[[#This Row],[State]]="DONE",1,0)))*100000+ROW(),"")</f>
      </c>
      <c r="X37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74" s="17">
        <f>IF(AND(Items[[#This Row],[State]]="DONE",N(Items[[#This Row],[Done on]])&gt;AsOf-7),(200000-N(Items[[#This Row],[Done on]]))*100000+ROW(),"")</f>
      </c>
    </row>
    <row r="375">
      <c r="A375" t="s">
        <v>488</v>
      </c>
      <c r="B375" t="s">
        <v>1595</v>
      </c>
      <c r="C375" t="s">
        <v>1107</v>
      </c>
      <c r="D375" t="s">
        <v>1123</v>
      </c>
      <c r="E375" t="s">
        <v>1177</v>
      </c>
      <c r="F375" t="s">
        <v>1261</v>
      </c>
      <c r="G375">
        <v>2</v>
      </c>
      <c r="H375">
        <v>1</v>
      </c>
      <c r="I375" s="11">
        <v>46133</v>
      </c>
      <c r="J375" s="17">
        <f>IF(Items[[#This Row],[ID]]="","",IFERROR(VALUE(LOOKUP(2,1/((Log[ID]=Items[[#This Row],[ID]])*(Log[Verb]="est")),Log[Arg])),N(Items[[#This Row],[Points]])))</f>
      </c>
      <c r="K375" s="17">
        <f>IF(Items[[#This Row],[ID]]="","",IFERROR(LOOKUP(2,1/((Log[ID]=Items[[#This Row],[ID]])*(Log[Verb]="pass")),Log[Arg])&amp;"",Items[[#This Row],[Team]]&amp;""))</f>
      </c>
      <c r="L375" s="17">
        <f>IF(Items[[#This Row],[ID]]="","",IFERROR(LOOKUP(2,1/((Log[ID]=Items[[#This Row],[ID]])*(Log[Into]&lt;&gt;"")),Log[Into]),""))</f>
      </c>
      <c r="M375" s="17">
        <f>IF(Items[[#This Row],[ID]]="","",IF(IFERROR(LOOKUP(2,1/((Log[ID]=Items[[#This Row],[ID]])*(Log[Blk]&lt;&gt;"")),Log[Blk]),0)=1,"Y",""))</f>
      </c>
      <c r="N375" s="17">
        <f>IF(Items[[#This Row],[ID]]="","",SUBSTITUTE(IFERROR(LOOKUP(2,1/((Log[ID]=Items[[#This Row],[ID]])*(Log[State]&lt;&gt;"")),Log[State]),"TODO"),"OPEN",IF(Items[[#This Row],[Blocked]]="Y","WAIT","OPEN")))</f>
      </c>
      <c r="O37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75" s="17">
        <f>IF(Items[[#This Row],[State]]&lt;&gt;"WAIT","",AsOf-Items[[#This Row],[Blocked since]])</f>
      </c>
      <c r="Q375" s="17">
        <f>IF(Items[[#This Row],[State]]&lt;&gt;"WAIT","",IFERROR(LOOKUP(2,1/((Log[ID]=Items[[#This Row],[ID]])*(Log[Verb]="block")),Log[Note])&amp;"",""))</f>
      </c>
      <c r="R375" s="17">
        <f>IF(Items[[#This Row],[ID]]="","",COUNTIFS(Log[ID],Items[[#This Row],[ID]],Log[Verb],"carry"))</f>
      </c>
      <c r="S375" s="17">
        <f>IF(Items[[#This Row],[ID]]="","",COUNTIFS(Log[ID],Items[[#This Row],[ID]],Log[Verb],"punt"))</f>
      </c>
      <c r="T375" s="11">
        <f>IF(Items[[#This Row],[State]]&lt;&gt;"DONE","",IFERROR(LOOKUP(2,1/((Log[ID]=Items[[#This Row],[ID]])*(Log[Verb]="done")),Log[Date]),""))</f>
      </c>
      <c r="U375" s="17">
        <f>IF(Items[[#This Row],[ID]]="","",IF(AND(Items[[#This Row],[Sprint]]=CurSprint,OR(Items[[#This Row],[State]]="OPEN",Items[[#This Row],[State]]="WAIT",Items[[#This Row],[State]]="HOLD",Items[[#This Row],[State]]="DONE")),1,0))</f>
      </c>
      <c r="V375" s="17">
        <f>IF(OR(Items[[#This Row],[ID]]="",Items[[#This Row],[Added]]=""),"",AsOf-Items[[#This Row],[Added]])</f>
      </c>
      <c r="W375" s="17">
        <f>IF(Items[[#This Row],[In sprint]]=1,(IF(Items[[#This Row],[Prio]]="",9,N(Items[[#This Row],[Prio]]))*10+(IF(Items[[#This Row],[State]]="DONE",1,0)))*100000+ROW(),"")</f>
      </c>
      <c r="X37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75" s="17">
        <f>IF(AND(Items[[#This Row],[State]]="DONE",N(Items[[#This Row],[Done on]])&gt;AsOf-7),(200000-N(Items[[#This Row],[Done on]]))*100000+ROW(),"")</f>
      </c>
    </row>
    <row r="376">
      <c r="A376" t="s">
        <v>489</v>
      </c>
      <c r="B376" t="s">
        <v>1596</v>
      </c>
      <c r="C376" t="s">
        <v>1107</v>
      </c>
      <c r="D376" t="s">
        <v>1108</v>
      </c>
      <c r="E376" t="s">
        <v>1177</v>
      </c>
      <c r="F376" t="s">
        <v>1259</v>
      </c>
      <c r="G376">
        <v>2</v>
      </c>
      <c r="H376">
        <v>1</v>
      </c>
      <c r="I376" s="11">
        <v>46133</v>
      </c>
      <c r="J376" s="17">
        <f>IF(Items[[#This Row],[ID]]="","",IFERROR(VALUE(LOOKUP(2,1/((Log[ID]=Items[[#This Row],[ID]])*(Log[Verb]="est")),Log[Arg])),N(Items[[#This Row],[Points]])))</f>
      </c>
      <c r="K376" s="17">
        <f>IF(Items[[#This Row],[ID]]="","",IFERROR(LOOKUP(2,1/((Log[ID]=Items[[#This Row],[ID]])*(Log[Verb]="pass")),Log[Arg])&amp;"",Items[[#This Row],[Team]]&amp;""))</f>
      </c>
      <c r="L376" s="17">
        <f>IF(Items[[#This Row],[ID]]="","",IFERROR(LOOKUP(2,1/((Log[ID]=Items[[#This Row],[ID]])*(Log[Into]&lt;&gt;"")),Log[Into]),""))</f>
      </c>
      <c r="M376" s="17">
        <f>IF(Items[[#This Row],[ID]]="","",IF(IFERROR(LOOKUP(2,1/((Log[ID]=Items[[#This Row],[ID]])*(Log[Blk]&lt;&gt;"")),Log[Blk]),0)=1,"Y",""))</f>
      </c>
      <c r="N376" s="17">
        <f>IF(Items[[#This Row],[ID]]="","",SUBSTITUTE(IFERROR(LOOKUP(2,1/((Log[ID]=Items[[#This Row],[ID]])*(Log[State]&lt;&gt;"")),Log[State]),"TODO"),"OPEN",IF(Items[[#This Row],[Blocked]]="Y","WAIT","OPEN")))</f>
      </c>
      <c r="O37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76" s="17">
        <f>IF(Items[[#This Row],[State]]&lt;&gt;"WAIT","",AsOf-Items[[#This Row],[Blocked since]])</f>
      </c>
      <c r="Q376" s="17">
        <f>IF(Items[[#This Row],[State]]&lt;&gt;"WAIT","",IFERROR(LOOKUP(2,1/((Log[ID]=Items[[#This Row],[ID]])*(Log[Verb]="block")),Log[Note])&amp;"",""))</f>
      </c>
      <c r="R376" s="17">
        <f>IF(Items[[#This Row],[ID]]="","",COUNTIFS(Log[ID],Items[[#This Row],[ID]],Log[Verb],"carry"))</f>
      </c>
      <c r="S376" s="17">
        <f>IF(Items[[#This Row],[ID]]="","",COUNTIFS(Log[ID],Items[[#This Row],[ID]],Log[Verb],"punt"))</f>
      </c>
      <c r="T376" s="11">
        <f>IF(Items[[#This Row],[State]]&lt;&gt;"DONE","",IFERROR(LOOKUP(2,1/((Log[ID]=Items[[#This Row],[ID]])*(Log[Verb]="done")),Log[Date]),""))</f>
      </c>
      <c r="U376" s="17">
        <f>IF(Items[[#This Row],[ID]]="","",IF(AND(Items[[#This Row],[Sprint]]=CurSprint,OR(Items[[#This Row],[State]]="OPEN",Items[[#This Row],[State]]="WAIT",Items[[#This Row],[State]]="HOLD",Items[[#This Row],[State]]="DONE")),1,0))</f>
      </c>
      <c r="V376" s="17">
        <f>IF(OR(Items[[#This Row],[ID]]="",Items[[#This Row],[Added]]=""),"",AsOf-Items[[#This Row],[Added]])</f>
      </c>
      <c r="W376" s="17">
        <f>IF(Items[[#This Row],[In sprint]]=1,(IF(Items[[#This Row],[Prio]]="",9,N(Items[[#This Row],[Prio]]))*10+(IF(Items[[#This Row],[State]]="DONE",1,0)))*100000+ROW(),"")</f>
      </c>
      <c r="X37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76" s="17">
        <f>IF(AND(Items[[#This Row],[State]]="DONE",N(Items[[#This Row],[Done on]])&gt;AsOf-7),(200000-N(Items[[#This Row],[Done on]]))*100000+ROW(),"")</f>
      </c>
    </row>
    <row r="377">
      <c r="A377" t="s">
        <v>490</v>
      </c>
      <c r="B377" t="s">
        <v>1597</v>
      </c>
      <c r="C377" t="s">
        <v>1115</v>
      </c>
      <c r="D377" t="s">
        <v>1116</v>
      </c>
      <c r="E377" t="s">
        <v>1177</v>
      </c>
      <c r="F377" t="s">
        <v>1259</v>
      </c>
      <c r="G377">
        <v>5</v>
      </c>
      <c r="H377">
        <v>2</v>
      </c>
      <c r="I377" s="11">
        <v>46133</v>
      </c>
      <c r="J377" s="17">
        <f>IF(Items[[#This Row],[ID]]="","",IFERROR(VALUE(LOOKUP(2,1/((Log[ID]=Items[[#This Row],[ID]])*(Log[Verb]="est")),Log[Arg])),N(Items[[#This Row],[Points]])))</f>
      </c>
      <c r="K377" s="17">
        <f>IF(Items[[#This Row],[ID]]="","",IFERROR(LOOKUP(2,1/((Log[ID]=Items[[#This Row],[ID]])*(Log[Verb]="pass")),Log[Arg])&amp;"",Items[[#This Row],[Team]]&amp;""))</f>
      </c>
      <c r="L377" s="17">
        <f>IF(Items[[#This Row],[ID]]="","",IFERROR(LOOKUP(2,1/((Log[ID]=Items[[#This Row],[ID]])*(Log[Into]&lt;&gt;"")),Log[Into]),""))</f>
      </c>
      <c r="M377" s="17">
        <f>IF(Items[[#This Row],[ID]]="","",IF(IFERROR(LOOKUP(2,1/((Log[ID]=Items[[#This Row],[ID]])*(Log[Blk]&lt;&gt;"")),Log[Blk]),0)=1,"Y",""))</f>
      </c>
      <c r="N377" s="17">
        <f>IF(Items[[#This Row],[ID]]="","",SUBSTITUTE(IFERROR(LOOKUP(2,1/((Log[ID]=Items[[#This Row],[ID]])*(Log[State]&lt;&gt;"")),Log[State]),"TODO"),"OPEN",IF(Items[[#This Row],[Blocked]]="Y","WAIT","OPEN")))</f>
      </c>
      <c r="O37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77" s="17">
        <f>IF(Items[[#This Row],[State]]&lt;&gt;"WAIT","",AsOf-Items[[#This Row],[Blocked since]])</f>
      </c>
      <c r="Q377" s="17">
        <f>IF(Items[[#This Row],[State]]&lt;&gt;"WAIT","",IFERROR(LOOKUP(2,1/((Log[ID]=Items[[#This Row],[ID]])*(Log[Verb]="block")),Log[Note])&amp;"",""))</f>
      </c>
      <c r="R377" s="17">
        <f>IF(Items[[#This Row],[ID]]="","",COUNTIFS(Log[ID],Items[[#This Row],[ID]],Log[Verb],"carry"))</f>
      </c>
      <c r="S377" s="17">
        <f>IF(Items[[#This Row],[ID]]="","",COUNTIFS(Log[ID],Items[[#This Row],[ID]],Log[Verb],"punt"))</f>
      </c>
      <c r="T377" s="11">
        <f>IF(Items[[#This Row],[State]]&lt;&gt;"DONE","",IFERROR(LOOKUP(2,1/((Log[ID]=Items[[#This Row],[ID]])*(Log[Verb]="done")),Log[Date]),""))</f>
      </c>
      <c r="U377" s="17">
        <f>IF(Items[[#This Row],[ID]]="","",IF(AND(Items[[#This Row],[Sprint]]=CurSprint,OR(Items[[#This Row],[State]]="OPEN",Items[[#This Row],[State]]="WAIT",Items[[#This Row],[State]]="HOLD",Items[[#This Row],[State]]="DONE")),1,0))</f>
      </c>
      <c r="V377" s="17">
        <f>IF(OR(Items[[#This Row],[ID]]="",Items[[#This Row],[Added]]=""),"",AsOf-Items[[#This Row],[Added]])</f>
      </c>
      <c r="W377" s="17">
        <f>IF(Items[[#This Row],[In sprint]]=1,(IF(Items[[#This Row],[Prio]]="",9,N(Items[[#This Row],[Prio]]))*10+(IF(Items[[#This Row],[State]]="DONE",1,0)))*100000+ROW(),"")</f>
      </c>
      <c r="X37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77" s="17">
        <f>IF(AND(Items[[#This Row],[State]]="DONE",N(Items[[#This Row],[Done on]])&gt;AsOf-7),(200000-N(Items[[#This Row],[Done on]]))*100000+ROW(),"")</f>
      </c>
    </row>
    <row r="378">
      <c r="A378" t="s">
        <v>537</v>
      </c>
      <c r="B378" t="s">
        <v>1598</v>
      </c>
      <c r="C378" t="s">
        <v>1115</v>
      </c>
      <c r="D378" t="s">
        <v>1116</v>
      </c>
      <c r="E378" t="s">
        <v>1177</v>
      </c>
      <c r="F378" t="s">
        <v>1407</v>
      </c>
      <c r="G378">
        <v>8</v>
      </c>
      <c r="H378">
        <v>2</v>
      </c>
      <c r="I378" s="11">
        <v>46133</v>
      </c>
      <c r="J378" s="17">
        <f>IF(Items[[#This Row],[ID]]="","",IFERROR(VALUE(LOOKUP(2,1/((Log[ID]=Items[[#This Row],[ID]])*(Log[Verb]="est")),Log[Arg])),N(Items[[#This Row],[Points]])))</f>
      </c>
      <c r="K378" s="17">
        <f>IF(Items[[#This Row],[ID]]="","",IFERROR(LOOKUP(2,1/((Log[ID]=Items[[#This Row],[ID]])*(Log[Verb]="pass")),Log[Arg])&amp;"",Items[[#This Row],[Team]]&amp;""))</f>
      </c>
      <c r="L378" s="17">
        <f>IF(Items[[#This Row],[ID]]="","",IFERROR(LOOKUP(2,1/((Log[ID]=Items[[#This Row],[ID]])*(Log[Into]&lt;&gt;"")),Log[Into]),""))</f>
      </c>
      <c r="M378" s="17">
        <f>IF(Items[[#This Row],[ID]]="","",IF(IFERROR(LOOKUP(2,1/((Log[ID]=Items[[#This Row],[ID]])*(Log[Blk]&lt;&gt;"")),Log[Blk]),0)=1,"Y",""))</f>
      </c>
      <c r="N378" s="17">
        <f>IF(Items[[#This Row],[ID]]="","",SUBSTITUTE(IFERROR(LOOKUP(2,1/((Log[ID]=Items[[#This Row],[ID]])*(Log[State]&lt;&gt;"")),Log[State]),"TODO"),"OPEN",IF(Items[[#This Row],[Blocked]]="Y","WAIT","OPEN")))</f>
      </c>
      <c r="O37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78" s="17">
        <f>IF(Items[[#This Row],[State]]&lt;&gt;"WAIT","",AsOf-Items[[#This Row],[Blocked since]])</f>
      </c>
      <c r="Q378" s="17">
        <f>IF(Items[[#This Row],[State]]&lt;&gt;"WAIT","",IFERROR(LOOKUP(2,1/((Log[ID]=Items[[#This Row],[ID]])*(Log[Verb]="block")),Log[Note])&amp;"",""))</f>
      </c>
      <c r="R378" s="17">
        <f>IF(Items[[#This Row],[ID]]="","",COUNTIFS(Log[ID],Items[[#This Row],[ID]],Log[Verb],"carry"))</f>
      </c>
      <c r="S378" s="17">
        <f>IF(Items[[#This Row],[ID]]="","",COUNTIFS(Log[ID],Items[[#This Row],[ID]],Log[Verb],"punt"))</f>
      </c>
      <c r="T378" s="11">
        <f>IF(Items[[#This Row],[State]]&lt;&gt;"DONE","",IFERROR(LOOKUP(2,1/((Log[ID]=Items[[#This Row],[ID]])*(Log[Verb]="done")),Log[Date]),""))</f>
      </c>
      <c r="U378" s="17">
        <f>IF(Items[[#This Row],[ID]]="","",IF(AND(Items[[#This Row],[Sprint]]=CurSprint,OR(Items[[#This Row],[State]]="OPEN",Items[[#This Row],[State]]="WAIT",Items[[#This Row],[State]]="HOLD",Items[[#This Row],[State]]="DONE")),1,0))</f>
      </c>
      <c r="V378" s="17">
        <f>IF(OR(Items[[#This Row],[ID]]="",Items[[#This Row],[Added]]=""),"",AsOf-Items[[#This Row],[Added]])</f>
      </c>
      <c r="W378" s="17">
        <f>IF(Items[[#This Row],[In sprint]]=1,(IF(Items[[#This Row],[Prio]]="",9,N(Items[[#This Row],[Prio]]))*10+(IF(Items[[#This Row],[State]]="DONE",1,0)))*100000+ROW(),"")</f>
      </c>
      <c r="X37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78" s="17">
        <f>IF(AND(Items[[#This Row],[State]]="DONE",N(Items[[#This Row],[Done on]])&gt;AsOf-7),(200000-N(Items[[#This Row],[Done on]]))*100000+ROW(),"")</f>
      </c>
    </row>
    <row r="379">
      <c r="A379" t="s">
        <v>491</v>
      </c>
      <c r="B379" t="s">
        <v>1599</v>
      </c>
      <c r="C379" t="s">
        <v>1115</v>
      </c>
      <c r="D379" t="s">
        <v>1116</v>
      </c>
      <c r="E379" t="s">
        <v>1177</v>
      </c>
      <c r="F379" t="s">
        <v>1178</v>
      </c>
      <c r="G379">
        <v>3</v>
      </c>
      <c r="H379">
        <v>1</v>
      </c>
      <c r="I379" s="11">
        <v>46133</v>
      </c>
      <c r="J379" s="17">
        <f>IF(Items[[#This Row],[ID]]="","",IFERROR(VALUE(LOOKUP(2,1/((Log[ID]=Items[[#This Row],[ID]])*(Log[Verb]="est")),Log[Arg])),N(Items[[#This Row],[Points]])))</f>
      </c>
      <c r="K379" s="17">
        <f>IF(Items[[#This Row],[ID]]="","",IFERROR(LOOKUP(2,1/((Log[ID]=Items[[#This Row],[ID]])*(Log[Verb]="pass")),Log[Arg])&amp;"",Items[[#This Row],[Team]]&amp;""))</f>
      </c>
      <c r="L379" s="17">
        <f>IF(Items[[#This Row],[ID]]="","",IFERROR(LOOKUP(2,1/((Log[ID]=Items[[#This Row],[ID]])*(Log[Into]&lt;&gt;"")),Log[Into]),""))</f>
      </c>
      <c r="M379" s="17">
        <f>IF(Items[[#This Row],[ID]]="","",IF(IFERROR(LOOKUP(2,1/((Log[ID]=Items[[#This Row],[ID]])*(Log[Blk]&lt;&gt;"")),Log[Blk]),0)=1,"Y",""))</f>
      </c>
      <c r="N379" s="17">
        <f>IF(Items[[#This Row],[ID]]="","",SUBSTITUTE(IFERROR(LOOKUP(2,1/((Log[ID]=Items[[#This Row],[ID]])*(Log[State]&lt;&gt;"")),Log[State]),"TODO"),"OPEN",IF(Items[[#This Row],[Blocked]]="Y","WAIT","OPEN")))</f>
      </c>
      <c r="O37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79" s="17">
        <f>IF(Items[[#This Row],[State]]&lt;&gt;"WAIT","",AsOf-Items[[#This Row],[Blocked since]])</f>
      </c>
      <c r="Q379" s="17">
        <f>IF(Items[[#This Row],[State]]&lt;&gt;"WAIT","",IFERROR(LOOKUP(2,1/((Log[ID]=Items[[#This Row],[ID]])*(Log[Verb]="block")),Log[Note])&amp;"",""))</f>
      </c>
      <c r="R379" s="17">
        <f>IF(Items[[#This Row],[ID]]="","",COUNTIFS(Log[ID],Items[[#This Row],[ID]],Log[Verb],"carry"))</f>
      </c>
      <c r="S379" s="17">
        <f>IF(Items[[#This Row],[ID]]="","",COUNTIFS(Log[ID],Items[[#This Row],[ID]],Log[Verb],"punt"))</f>
      </c>
      <c r="T379" s="11">
        <f>IF(Items[[#This Row],[State]]&lt;&gt;"DONE","",IFERROR(LOOKUP(2,1/((Log[ID]=Items[[#This Row],[ID]])*(Log[Verb]="done")),Log[Date]),""))</f>
      </c>
      <c r="U379" s="17">
        <f>IF(Items[[#This Row],[ID]]="","",IF(AND(Items[[#This Row],[Sprint]]=CurSprint,OR(Items[[#This Row],[State]]="OPEN",Items[[#This Row],[State]]="WAIT",Items[[#This Row],[State]]="HOLD",Items[[#This Row],[State]]="DONE")),1,0))</f>
      </c>
      <c r="V379" s="17">
        <f>IF(OR(Items[[#This Row],[ID]]="",Items[[#This Row],[Added]]=""),"",AsOf-Items[[#This Row],[Added]])</f>
      </c>
      <c r="W379" s="17">
        <f>IF(Items[[#This Row],[In sprint]]=1,(IF(Items[[#This Row],[Prio]]="",9,N(Items[[#This Row],[Prio]]))*10+(IF(Items[[#This Row],[State]]="DONE",1,0)))*100000+ROW(),"")</f>
      </c>
      <c r="X37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79" s="17">
        <f>IF(AND(Items[[#This Row],[State]]="DONE",N(Items[[#This Row],[Done on]])&gt;AsOf-7),(200000-N(Items[[#This Row],[Done on]]))*100000+ROW(),"")</f>
      </c>
    </row>
    <row r="380">
      <c r="A380" t="s">
        <v>492</v>
      </c>
      <c r="B380" t="s">
        <v>1600</v>
      </c>
      <c r="C380" t="s">
        <v>1107</v>
      </c>
      <c r="D380" t="s">
        <v>1108</v>
      </c>
      <c r="E380" t="s">
        <v>1177</v>
      </c>
      <c r="F380" t="s">
        <v>1180</v>
      </c>
      <c r="G380">
        <v>3</v>
      </c>
      <c r="H380">
        <v>1</v>
      </c>
      <c r="I380" s="11">
        <v>46133</v>
      </c>
      <c r="J380" s="17">
        <f>IF(Items[[#This Row],[ID]]="","",IFERROR(VALUE(LOOKUP(2,1/((Log[ID]=Items[[#This Row],[ID]])*(Log[Verb]="est")),Log[Arg])),N(Items[[#This Row],[Points]])))</f>
      </c>
      <c r="K380" s="17">
        <f>IF(Items[[#This Row],[ID]]="","",IFERROR(LOOKUP(2,1/((Log[ID]=Items[[#This Row],[ID]])*(Log[Verb]="pass")),Log[Arg])&amp;"",Items[[#This Row],[Team]]&amp;""))</f>
      </c>
      <c r="L380" s="17">
        <f>IF(Items[[#This Row],[ID]]="","",IFERROR(LOOKUP(2,1/((Log[ID]=Items[[#This Row],[ID]])*(Log[Into]&lt;&gt;"")),Log[Into]),""))</f>
      </c>
      <c r="M380" s="17">
        <f>IF(Items[[#This Row],[ID]]="","",IF(IFERROR(LOOKUP(2,1/((Log[ID]=Items[[#This Row],[ID]])*(Log[Blk]&lt;&gt;"")),Log[Blk]),0)=1,"Y",""))</f>
      </c>
      <c r="N380" s="17">
        <f>IF(Items[[#This Row],[ID]]="","",SUBSTITUTE(IFERROR(LOOKUP(2,1/((Log[ID]=Items[[#This Row],[ID]])*(Log[State]&lt;&gt;"")),Log[State]),"TODO"),"OPEN",IF(Items[[#This Row],[Blocked]]="Y","WAIT","OPEN")))</f>
      </c>
      <c r="O38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80" s="17">
        <f>IF(Items[[#This Row],[State]]&lt;&gt;"WAIT","",AsOf-Items[[#This Row],[Blocked since]])</f>
      </c>
      <c r="Q380" s="17">
        <f>IF(Items[[#This Row],[State]]&lt;&gt;"WAIT","",IFERROR(LOOKUP(2,1/((Log[ID]=Items[[#This Row],[ID]])*(Log[Verb]="block")),Log[Note])&amp;"",""))</f>
      </c>
      <c r="R380" s="17">
        <f>IF(Items[[#This Row],[ID]]="","",COUNTIFS(Log[ID],Items[[#This Row],[ID]],Log[Verb],"carry"))</f>
      </c>
      <c r="S380" s="17">
        <f>IF(Items[[#This Row],[ID]]="","",COUNTIFS(Log[ID],Items[[#This Row],[ID]],Log[Verb],"punt"))</f>
      </c>
      <c r="T380" s="11">
        <f>IF(Items[[#This Row],[State]]&lt;&gt;"DONE","",IFERROR(LOOKUP(2,1/((Log[ID]=Items[[#This Row],[ID]])*(Log[Verb]="done")),Log[Date]),""))</f>
      </c>
      <c r="U380" s="17">
        <f>IF(Items[[#This Row],[ID]]="","",IF(AND(Items[[#This Row],[Sprint]]=CurSprint,OR(Items[[#This Row],[State]]="OPEN",Items[[#This Row],[State]]="WAIT",Items[[#This Row],[State]]="HOLD",Items[[#This Row],[State]]="DONE")),1,0))</f>
      </c>
      <c r="V380" s="17">
        <f>IF(OR(Items[[#This Row],[ID]]="",Items[[#This Row],[Added]]=""),"",AsOf-Items[[#This Row],[Added]])</f>
      </c>
      <c r="W380" s="17">
        <f>IF(Items[[#This Row],[In sprint]]=1,(IF(Items[[#This Row],[Prio]]="",9,N(Items[[#This Row],[Prio]]))*10+(IF(Items[[#This Row],[State]]="DONE",1,0)))*100000+ROW(),"")</f>
      </c>
      <c r="X38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80" s="17">
        <f>IF(AND(Items[[#This Row],[State]]="DONE",N(Items[[#This Row],[Done on]])&gt;AsOf-7),(200000-N(Items[[#This Row],[Done on]]))*100000+ROW(),"")</f>
      </c>
    </row>
    <row r="381">
      <c r="A381" t="s">
        <v>538</v>
      </c>
      <c r="B381" t="s">
        <v>1601</v>
      </c>
      <c r="C381" t="s">
        <v>1115</v>
      </c>
      <c r="D381" t="s">
        <v>1119</v>
      </c>
      <c r="E381" t="s">
        <v>1177</v>
      </c>
      <c r="F381" t="s">
        <v>1180</v>
      </c>
      <c r="G381">
        <v>3</v>
      </c>
      <c r="H381">
        <v>2</v>
      </c>
      <c r="I381" s="11">
        <v>46133</v>
      </c>
      <c r="J381" s="17">
        <f>IF(Items[[#This Row],[ID]]="","",IFERROR(VALUE(LOOKUP(2,1/((Log[ID]=Items[[#This Row],[ID]])*(Log[Verb]="est")),Log[Arg])),N(Items[[#This Row],[Points]])))</f>
      </c>
      <c r="K381" s="17">
        <f>IF(Items[[#This Row],[ID]]="","",IFERROR(LOOKUP(2,1/((Log[ID]=Items[[#This Row],[ID]])*(Log[Verb]="pass")),Log[Arg])&amp;"",Items[[#This Row],[Team]]&amp;""))</f>
      </c>
      <c r="L381" s="17">
        <f>IF(Items[[#This Row],[ID]]="","",IFERROR(LOOKUP(2,1/((Log[ID]=Items[[#This Row],[ID]])*(Log[Into]&lt;&gt;"")),Log[Into]),""))</f>
      </c>
      <c r="M381" s="17">
        <f>IF(Items[[#This Row],[ID]]="","",IF(IFERROR(LOOKUP(2,1/((Log[ID]=Items[[#This Row],[ID]])*(Log[Blk]&lt;&gt;"")),Log[Blk]),0)=1,"Y",""))</f>
      </c>
      <c r="N381" s="17">
        <f>IF(Items[[#This Row],[ID]]="","",SUBSTITUTE(IFERROR(LOOKUP(2,1/((Log[ID]=Items[[#This Row],[ID]])*(Log[State]&lt;&gt;"")),Log[State]),"TODO"),"OPEN",IF(Items[[#This Row],[Blocked]]="Y","WAIT","OPEN")))</f>
      </c>
      <c r="O38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81" s="17">
        <f>IF(Items[[#This Row],[State]]&lt;&gt;"WAIT","",AsOf-Items[[#This Row],[Blocked since]])</f>
      </c>
      <c r="Q381" s="17">
        <f>IF(Items[[#This Row],[State]]&lt;&gt;"WAIT","",IFERROR(LOOKUP(2,1/((Log[ID]=Items[[#This Row],[ID]])*(Log[Verb]="block")),Log[Note])&amp;"",""))</f>
      </c>
      <c r="R381" s="17">
        <f>IF(Items[[#This Row],[ID]]="","",COUNTIFS(Log[ID],Items[[#This Row],[ID]],Log[Verb],"carry"))</f>
      </c>
      <c r="S381" s="17">
        <f>IF(Items[[#This Row],[ID]]="","",COUNTIFS(Log[ID],Items[[#This Row],[ID]],Log[Verb],"punt"))</f>
      </c>
      <c r="T381" s="11">
        <f>IF(Items[[#This Row],[State]]&lt;&gt;"DONE","",IFERROR(LOOKUP(2,1/((Log[ID]=Items[[#This Row],[ID]])*(Log[Verb]="done")),Log[Date]),""))</f>
      </c>
      <c r="U381" s="17">
        <f>IF(Items[[#This Row],[ID]]="","",IF(AND(Items[[#This Row],[Sprint]]=CurSprint,OR(Items[[#This Row],[State]]="OPEN",Items[[#This Row],[State]]="WAIT",Items[[#This Row],[State]]="HOLD",Items[[#This Row],[State]]="DONE")),1,0))</f>
      </c>
      <c r="V381" s="17">
        <f>IF(OR(Items[[#This Row],[ID]]="",Items[[#This Row],[Added]]=""),"",AsOf-Items[[#This Row],[Added]])</f>
      </c>
      <c r="W381" s="17">
        <f>IF(Items[[#This Row],[In sprint]]=1,(IF(Items[[#This Row],[Prio]]="",9,N(Items[[#This Row],[Prio]]))*10+(IF(Items[[#This Row],[State]]="DONE",1,0)))*100000+ROW(),"")</f>
      </c>
      <c r="X38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81" s="17">
        <f>IF(AND(Items[[#This Row],[State]]="DONE",N(Items[[#This Row],[Done on]])&gt;AsOf-7),(200000-N(Items[[#This Row],[Done on]]))*100000+ROW(),"")</f>
      </c>
    </row>
    <row r="382">
      <c r="A382" t="s">
        <v>539</v>
      </c>
      <c r="B382" t="s">
        <v>1602</v>
      </c>
      <c r="C382" t="s">
        <v>1107</v>
      </c>
      <c r="D382" t="s">
        <v>1127</v>
      </c>
      <c r="E382" t="s">
        <v>1177</v>
      </c>
      <c r="F382" t="s">
        <v>1261</v>
      </c>
      <c r="G382">
        <v>5</v>
      </c>
      <c r="H382">
        <v>2</v>
      </c>
      <c r="I382" s="11">
        <v>46133</v>
      </c>
      <c r="J382" s="17">
        <f>IF(Items[[#This Row],[ID]]="","",IFERROR(VALUE(LOOKUP(2,1/((Log[ID]=Items[[#This Row],[ID]])*(Log[Verb]="est")),Log[Arg])),N(Items[[#This Row],[Points]])))</f>
      </c>
      <c r="K382" s="17">
        <f>IF(Items[[#This Row],[ID]]="","",IFERROR(LOOKUP(2,1/((Log[ID]=Items[[#This Row],[ID]])*(Log[Verb]="pass")),Log[Arg])&amp;"",Items[[#This Row],[Team]]&amp;""))</f>
      </c>
      <c r="L382" s="17">
        <f>IF(Items[[#This Row],[ID]]="","",IFERROR(LOOKUP(2,1/((Log[ID]=Items[[#This Row],[ID]])*(Log[Into]&lt;&gt;"")),Log[Into]),""))</f>
      </c>
      <c r="M382" s="17">
        <f>IF(Items[[#This Row],[ID]]="","",IF(IFERROR(LOOKUP(2,1/((Log[ID]=Items[[#This Row],[ID]])*(Log[Blk]&lt;&gt;"")),Log[Blk]),0)=1,"Y",""))</f>
      </c>
      <c r="N382" s="17">
        <f>IF(Items[[#This Row],[ID]]="","",SUBSTITUTE(IFERROR(LOOKUP(2,1/((Log[ID]=Items[[#This Row],[ID]])*(Log[State]&lt;&gt;"")),Log[State]),"TODO"),"OPEN",IF(Items[[#This Row],[Blocked]]="Y","WAIT","OPEN")))</f>
      </c>
      <c r="O38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82" s="17">
        <f>IF(Items[[#This Row],[State]]&lt;&gt;"WAIT","",AsOf-Items[[#This Row],[Blocked since]])</f>
      </c>
      <c r="Q382" s="17">
        <f>IF(Items[[#This Row],[State]]&lt;&gt;"WAIT","",IFERROR(LOOKUP(2,1/((Log[ID]=Items[[#This Row],[ID]])*(Log[Verb]="block")),Log[Note])&amp;"",""))</f>
      </c>
      <c r="R382" s="17">
        <f>IF(Items[[#This Row],[ID]]="","",COUNTIFS(Log[ID],Items[[#This Row],[ID]],Log[Verb],"carry"))</f>
      </c>
      <c r="S382" s="17">
        <f>IF(Items[[#This Row],[ID]]="","",COUNTIFS(Log[ID],Items[[#This Row],[ID]],Log[Verb],"punt"))</f>
      </c>
      <c r="T382" s="11">
        <f>IF(Items[[#This Row],[State]]&lt;&gt;"DONE","",IFERROR(LOOKUP(2,1/((Log[ID]=Items[[#This Row],[ID]])*(Log[Verb]="done")),Log[Date]),""))</f>
      </c>
      <c r="U382" s="17">
        <f>IF(Items[[#This Row],[ID]]="","",IF(AND(Items[[#This Row],[Sprint]]=CurSprint,OR(Items[[#This Row],[State]]="OPEN",Items[[#This Row],[State]]="WAIT",Items[[#This Row],[State]]="HOLD",Items[[#This Row],[State]]="DONE")),1,0))</f>
      </c>
      <c r="V382" s="17">
        <f>IF(OR(Items[[#This Row],[ID]]="",Items[[#This Row],[Added]]=""),"",AsOf-Items[[#This Row],[Added]])</f>
      </c>
      <c r="W382" s="17">
        <f>IF(Items[[#This Row],[In sprint]]=1,(IF(Items[[#This Row],[Prio]]="",9,N(Items[[#This Row],[Prio]]))*10+(IF(Items[[#This Row],[State]]="DONE",1,0)))*100000+ROW(),"")</f>
      </c>
      <c r="X38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82" s="17">
        <f>IF(AND(Items[[#This Row],[State]]="DONE",N(Items[[#This Row],[Done on]])&gt;AsOf-7),(200000-N(Items[[#This Row],[Done on]]))*100000+ROW(),"")</f>
      </c>
    </row>
    <row r="383">
      <c r="A383" t="s">
        <v>540</v>
      </c>
      <c r="B383" t="s">
        <v>1603</v>
      </c>
      <c r="C383" t="s">
        <v>1115</v>
      </c>
      <c r="D383" t="s">
        <v>1119</v>
      </c>
      <c r="E383" t="s">
        <v>1177</v>
      </c>
      <c r="F383" t="s">
        <v>1259</v>
      </c>
      <c r="G383">
        <v>8</v>
      </c>
      <c r="H383">
        <v>1</v>
      </c>
      <c r="I383" s="11">
        <v>46133</v>
      </c>
      <c r="J383" s="17">
        <f>IF(Items[[#This Row],[ID]]="","",IFERROR(VALUE(LOOKUP(2,1/((Log[ID]=Items[[#This Row],[ID]])*(Log[Verb]="est")),Log[Arg])),N(Items[[#This Row],[Points]])))</f>
      </c>
      <c r="K383" s="17">
        <f>IF(Items[[#This Row],[ID]]="","",IFERROR(LOOKUP(2,1/((Log[ID]=Items[[#This Row],[ID]])*(Log[Verb]="pass")),Log[Arg])&amp;"",Items[[#This Row],[Team]]&amp;""))</f>
      </c>
      <c r="L383" s="17">
        <f>IF(Items[[#This Row],[ID]]="","",IFERROR(LOOKUP(2,1/((Log[ID]=Items[[#This Row],[ID]])*(Log[Into]&lt;&gt;"")),Log[Into]),""))</f>
      </c>
      <c r="M383" s="17">
        <f>IF(Items[[#This Row],[ID]]="","",IF(IFERROR(LOOKUP(2,1/((Log[ID]=Items[[#This Row],[ID]])*(Log[Blk]&lt;&gt;"")),Log[Blk]),0)=1,"Y",""))</f>
      </c>
      <c r="N383" s="17">
        <f>IF(Items[[#This Row],[ID]]="","",SUBSTITUTE(IFERROR(LOOKUP(2,1/((Log[ID]=Items[[#This Row],[ID]])*(Log[State]&lt;&gt;"")),Log[State]),"TODO"),"OPEN",IF(Items[[#This Row],[Blocked]]="Y","WAIT","OPEN")))</f>
      </c>
      <c r="O38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83" s="17">
        <f>IF(Items[[#This Row],[State]]&lt;&gt;"WAIT","",AsOf-Items[[#This Row],[Blocked since]])</f>
      </c>
      <c r="Q383" s="17">
        <f>IF(Items[[#This Row],[State]]&lt;&gt;"WAIT","",IFERROR(LOOKUP(2,1/((Log[ID]=Items[[#This Row],[ID]])*(Log[Verb]="block")),Log[Note])&amp;"",""))</f>
      </c>
      <c r="R383" s="17">
        <f>IF(Items[[#This Row],[ID]]="","",COUNTIFS(Log[ID],Items[[#This Row],[ID]],Log[Verb],"carry"))</f>
      </c>
      <c r="S383" s="17">
        <f>IF(Items[[#This Row],[ID]]="","",COUNTIFS(Log[ID],Items[[#This Row],[ID]],Log[Verb],"punt"))</f>
      </c>
      <c r="T383" s="11">
        <f>IF(Items[[#This Row],[State]]&lt;&gt;"DONE","",IFERROR(LOOKUP(2,1/((Log[ID]=Items[[#This Row],[ID]])*(Log[Verb]="done")),Log[Date]),""))</f>
      </c>
      <c r="U383" s="17">
        <f>IF(Items[[#This Row],[ID]]="","",IF(AND(Items[[#This Row],[Sprint]]=CurSprint,OR(Items[[#This Row],[State]]="OPEN",Items[[#This Row],[State]]="WAIT",Items[[#This Row],[State]]="HOLD",Items[[#This Row],[State]]="DONE")),1,0))</f>
      </c>
      <c r="V383" s="17">
        <f>IF(OR(Items[[#This Row],[ID]]="",Items[[#This Row],[Added]]=""),"",AsOf-Items[[#This Row],[Added]])</f>
      </c>
      <c r="W383" s="17">
        <f>IF(Items[[#This Row],[In sprint]]=1,(IF(Items[[#This Row],[Prio]]="",9,N(Items[[#This Row],[Prio]]))*10+(IF(Items[[#This Row],[State]]="DONE",1,0)))*100000+ROW(),"")</f>
      </c>
      <c r="X38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83" s="17">
        <f>IF(AND(Items[[#This Row],[State]]="DONE",N(Items[[#This Row],[Done on]])&gt;AsOf-7),(200000-N(Items[[#This Row],[Done on]]))*100000+ROW(),"")</f>
      </c>
    </row>
    <row r="384">
      <c r="A384" t="s">
        <v>544</v>
      </c>
      <c r="B384" t="s">
        <v>1604</v>
      </c>
      <c r="C384" t="s">
        <v>1115</v>
      </c>
      <c r="D384" t="s">
        <v>1119</v>
      </c>
      <c r="E384" t="s">
        <v>1112</v>
      </c>
      <c r="F384" t="s">
        <v>1184</v>
      </c>
      <c r="G384">
        <v>5</v>
      </c>
      <c r="H384">
        <v>2</v>
      </c>
      <c r="I384" s="11">
        <v>46147</v>
      </c>
      <c r="J384" s="17">
        <f>IF(Items[[#This Row],[ID]]="","",IFERROR(VALUE(LOOKUP(2,1/((Log[ID]=Items[[#This Row],[ID]])*(Log[Verb]="est")),Log[Arg])),N(Items[[#This Row],[Points]])))</f>
      </c>
      <c r="K384" s="17">
        <f>IF(Items[[#This Row],[ID]]="","",IFERROR(LOOKUP(2,1/((Log[ID]=Items[[#This Row],[ID]])*(Log[Verb]="pass")),Log[Arg])&amp;"",Items[[#This Row],[Team]]&amp;""))</f>
      </c>
      <c r="L384" s="17">
        <f>IF(Items[[#This Row],[ID]]="","",IFERROR(LOOKUP(2,1/((Log[ID]=Items[[#This Row],[ID]])*(Log[Into]&lt;&gt;"")),Log[Into]),""))</f>
      </c>
      <c r="M384" s="17">
        <f>IF(Items[[#This Row],[ID]]="","",IF(IFERROR(LOOKUP(2,1/((Log[ID]=Items[[#This Row],[ID]])*(Log[Blk]&lt;&gt;"")),Log[Blk]),0)=1,"Y",""))</f>
      </c>
      <c r="N384" s="17">
        <f>IF(Items[[#This Row],[ID]]="","",SUBSTITUTE(IFERROR(LOOKUP(2,1/((Log[ID]=Items[[#This Row],[ID]])*(Log[State]&lt;&gt;"")),Log[State]),"TODO"),"OPEN",IF(Items[[#This Row],[Blocked]]="Y","WAIT","OPEN")))</f>
      </c>
      <c r="O38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84" s="17">
        <f>IF(Items[[#This Row],[State]]&lt;&gt;"WAIT","",AsOf-Items[[#This Row],[Blocked since]])</f>
      </c>
      <c r="Q384" s="17">
        <f>IF(Items[[#This Row],[State]]&lt;&gt;"WAIT","",IFERROR(LOOKUP(2,1/((Log[ID]=Items[[#This Row],[ID]])*(Log[Verb]="block")),Log[Note])&amp;"",""))</f>
      </c>
      <c r="R384" s="17">
        <f>IF(Items[[#This Row],[ID]]="","",COUNTIFS(Log[ID],Items[[#This Row],[ID]],Log[Verb],"carry"))</f>
      </c>
      <c r="S384" s="17">
        <f>IF(Items[[#This Row],[ID]]="","",COUNTIFS(Log[ID],Items[[#This Row],[ID]],Log[Verb],"punt"))</f>
      </c>
      <c r="T384" s="11">
        <f>IF(Items[[#This Row],[State]]&lt;&gt;"DONE","",IFERROR(LOOKUP(2,1/((Log[ID]=Items[[#This Row],[ID]])*(Log[Verb]="done")),Log[Date]),""))</f>
      </c>
      <c r="U384" s="17">
        <f>IF(Items[[#This Row],[ID]]="","",IF(AND(Items[[#This Row],[Sprint]]=CurSprint,OR(Items[[#This Row],[State]]="OPEN",Items[[#This Row],[State]]="WAIT",Items[[#This Row],[State]]="HOLD",Items[[#This Row],[State]]="DONE")),1,0))</f>
      </c>
      <c r="V384" s="17">
        <f>IF(OR(Items[[#This Row],[ID]]="",Items[[#This Row],[Added]]=""),"",AsOf-Items[[#This Row],[Added]])</f>
      </c>
      <c r="W384" s="17">
        <f>IF(Items[[#This Row],[In sprint]]=1,(IF(Items[[#This Row],[Prio]]="",9,N(Items[[#This Row],[Prio]]))*10+(IF(Items[[#This Row],[State]]="DONE",1,0)))*100000+ROW(),"")</f>
      </c>
      <c r="X38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84" s="17">
        <f>IF(AND(Items[[#This Row],[State]]="DONE",N(Items[[#This Row],[Done on]])&gt;AsOf-7),(200000-N(Items[[#This Row],[Done on]]))*100000+ROW(),"")</f>
      </c>
    </row>
    <row r="385">
      <c r="A385" t="s">
        <v>545</v>
      </c>
      <c r="B385" t="s">
        <v>1605</v>
      </c>
      <c r="C385" t="s">
        <v>1107</v>
      </c>
      <c r="D385" t="s">
        <v>1108</v>
      </c>
      <c r="E385" t="s">
        <v>1112</v>
      </c>
      <c r="F385" t="s">
        <v>1147</v>
      </c>
      <c r="G385">
        <v>8</v>
      </c>
      <c r="H385">
        <v>1</v>
      </c>
      <c r="I385" s="11">
        <v>46147</v>
      </c>
      <c r="J385" s="17">
        <f>IF(Items[[#This Row],[ID]]="","",IFERROR(VALUE(LOOKUP(2,1/((Log[ID]=Items[[#This Row],[ID]])*(Log[Verb]="est")),Log[Arg])),N(Items[[#This Row],[Points]])))</f>
      </c>
      <c r="K385" s="17">
        <f>IF(Items[[#This Row],[ID]]="","",IFERROR(LOOKUP(2,1/((Log[ID]=Items[[#This Row],[ID]])*(Log[Verb]="pass")),Log[Arg])&amp;"",Items[[#This Row],[Team]]&amp;""))</f>
      </c>
      <c r="L385" s="17">
        <f>IF(Items[[#This Row],[ID]]="","",IFERROR(LOOKUP(2,1/((Log[ID]=Items[[#This Row],[ID]])*(Log[Into]&lt;&gt;"")),Log[Into]),""))</f>
      </c>
      <c r="M385" s="17">
        <f>IF(Items[[#This Row],[ID]]="","",IF(IFERROR(LOOKUP(2,1/((Log[ID]=Items[[#This Row],[ID]])*(Log[Blk]&lt;&gt;"")),Log[Blk]),0)=1,"Y",""))</f>
      </c>
      <c r="N385" s="17">
        <f>IF(Items[[#This Row],[ID]]="","",SUBSTITUTE(IFERROR(LOOKUP(2,1/((Log[ID]=Items[[#This Row],[ID]])*(Log[State]&lt;&gt;"")),Log[State]),"TODO"),"OPEN",IF(Items[[#This Row],[Blocked]]="Y","WAIT","OPEN")))</f>
      </c>
      <c r="O38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85" s="17">
        <f>IF(Items[[#This Row],[State]]&lt;&gt;"WAIT","",AsOf-Items[[#This Row],[Blocked since]])</f>
      </c>
      <c r="Q385" s="17">
        <f>IF(Items[[#This Row],[State]]&lt;&gt;"WAIT","",IFERROR(LOOKUP(2,1/((Log[ID]=Items[[#This Row],[ID]])*(Log[Verb]="block")),Log[Note])&amp;"",""))</f>
      </c>
      <c r="R385" s="17">
        <f>IF(Items[[#This Row],[ID]]="","",COUNTIFS(Log[ID],Items[[#This Row],[ID]],Log[Verb],"carry"))</f>
      </c>
      <c r="S385" s="17">
        <f>IF(Items[[#This Row],[ID]]="","",COUNTIFS(Log[ID],Items[[#This Row],[ID]],Log[Verb],"punt"))</f>
      </c>
      <c r="T385" s="11">
        <f>IF(Items[[#This Row],[State]]&lt;&gt;"DONE","",IFERROR(LOOKUP(2,1/((Log[ID]=Items[[#This Row],[ID]])*(Log[Verb]="done")),Log[Date]),""))</f>
      </c>
      <c r="U385" s="17">
        <f>IF(Items[[#This Row],[ID]]="","",IF(AND(Items[[#This Row],[Sprint]]=CurSprint,OR(Items[[#This Row],[State]]="OPEN",Items[[#This Row],[State]]="WAIT",Items[[#This Row],[State]]="HOLD",Items[[#This Row],[State]]="DONE")),1,0))</f>
      </c>
      <c r="V385" s="17">
        <f>IF(OR(Items[[#This Row],[ID]]="",Items[[#This Row],[Added]]=""),"",AsOf-Items[[#This Row],[Added]])</f>
      </c>
      <c r="W385" s="17">
        <f>IF(Items[[#This Row],[In sprint]]=1,(IF(Items[[#This Row],[Prio]]="",9,N(Items[[#This Row],[Prio]]))*10+(IF(Items[[#This Row],[State]]="DONE",1,0)))*100000+ROW(),"")</f>
      </c>
      <c r="X38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85" s="17">
        <f>IF(AND(Items[[#This Row],[State]]="DONE",N(Items[[#This Row],[Done on]])&gt;AsOf-7),(200000-N(Items[[#This Row],[Done on]]))*100000+ROW(),"")</f>
      </c>
    </row>
    <row r="386">
      <c r="A386" t="s">
        <v>546</v>
      </c>
      <c r="B386" t="s">
        <v>1606</v>
      </c>
      <c r="C386" t="s">
        <v>1115</v>
      </c>
      <c r="D386" t="s">
        <v>1116</v>
      </c>
      <c r="E386" t="s">
        <v>1112</v>
      </c>
      <c r="F386" t="s">
        <v>1412</v>
      </c>
      <c r="G386">
        <v>5</v>
      </c>
      <c r="H386">
        <v>1</v>
      </c>
      <c r="I386" s="11">
        <v>46147</v>
      </c>
      <c r="J386" s="17">
        <f>IF(Items[[#This Row],[ID]]="","",IFERROR(VALUE(LOOKUP(2,1/((Log[ID]=Items[[#This Row],[ID]])*(Log[Verb]="est")),Log[Arg])),N(Items[[#This Row],[Points]])))</f>
      </c>
      <c r="K386" s="17">
        <f>IF(Items[[#This Row],[ID]]="","",IFERROR(LOOKUP(2,1/((Log[ID]=Items[[#This Row],[ID]])*(Log[Verb]="pass")),Log[Arg])&amp;"",Items[[#This Row],[Team]]&amp;""))</f>
      </c>
      <c r="L386" s="17">
        <f>IF(Items[[#This Row],[ID]]="","",IFERROR(LOOKUP(2,1/((Log[ID]=Items[[#This Row],[ID]])*(Log[Into]&lt;&gt;"")),Log[Into]),""))</f>
      </c>
      <c r="M386" s="17">
        <f>IF(Items[[#This Row],[ID]]="","",IF(IFERROR(LOOKUP(2,1/((Log[ID]=Items[[#This Row],[ID]])*(Log[Blk]&lt;&gt;"")),Log[Blk]),0)=1,"Y",""))</f>
      </c>
      <c r="N386" s="17">
        <f>IF(Items[[#This Row],[ID]]="","",SUBSTITUTE(IFERROR(LOOKUP(2,1/((Log[ID]=Items[[#This Row],[ID]])*(Log[State]&lt;&gt;"")),Log[State]),"TODO"),"OPEN",IF(Items[[#This Row],[Blocked]]="Y","WAIT","OPEN")))</f>
      </c>
      <c r="O38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86" s="17">
        <f>IF(Items[[#This Row],[State]]&lt;&gt;"WAIT","",AsOf-Items[[#This Row],[Blocked since]])</f>
      </c>
      <c r="Q386" s="17">
        <f>IF(Items[[#This Row],[State]]&lt;&gt;"WAIT","",IFERROR(LOOKUP(2,1/((Log[ID]=Items[[#This Row],[ID]])*(Log[Verb]="block")),Log[Note])&amp;"",""))</f>
      </c>
      <c r="R386" s="17">
        <f>IF(Items[[#This Row],[ID]]="","",COUNTIFS(Log[ID],Items[[#This Row],[ID]],Log[Verb],"carry"))</f>
      </c>
      <c r="S386" s="17">
        <f>IF(Items[[#This Row],[ID]]="","",COUNTIFS(Log[ID],Items[[#This Row],[ID]],Log[Verb],"punt"))</f>
      </c>
      <c r="T386" s="11">
        <f>IF(Items[[#This Row],[State]]&lt;&gt;"DONE","",IFERROR(LOOKUP(2,1/((Log[ID]=Items[[#This Row],[ID]])*(Log[Verb]="done")),Log[Date]),""))</f>
      </c>
      <c r="U386" s="17">
        <f>IF(Items[[#This Row],[ID]]="","",IF(AND(Items[[#This Row],[Sprint]]=CurSprint,OR(Items[[#This Row],[State]]="OPEN",Items[[#This Row],[State]]="WAIT",Items[[#This Row],[State]]="HOLD",Items[[#This Row],[State]]="DONE")),1,0))</f>
      </c>
      <c r="V386" s="17">
        <f>IF(OR(Items[[#This Row],[ID]]="",Items[[#This Row],[Added]]=""),"",AsOf-Items[[#This Row],[Added]])</f>
      </c>
      <c r="W386" s="17">
        <f>IF(Items[[#This Row],[In sprint]]=1,(IF(Items[[#This Row],[Prio]]="",9,N(Items[[#This Row],[Prio]]))*10+(IF(Items[[#This Row],[State]]="DONE",1,0)))*100000+ROW(),"")</f>
      </c>
      <c r="X38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86" s="17">
        <f>IF(AND(Items[[#This Row],[State]]="DONE",N(Items[[#This Row],[Done on]])&gt;AsOf-7),(200000-N(Items[[#This Row],[Done on]]))*100000+ROW(),"")</f>
      </c>
    </row>
    <row r="387">
      <c r="A387" t="s">
        <v>593</v>
      </c>
      <c r="B387" t="s">
        <v>1607</v>
      </c>
      <c r="C387" t="s">
        <v>1107</v>
      </c>
      <c r="D387" t="s">
        <v>1127</v>
      </c>
      <c r="E387" t="s">
        <v>1112</v>
      </c>
      <c r="F387" t="s">
        <v>1117</v>
      </c>
      <c r="G387">
        <v>8</v>
      </c>
      <c r="H387">
        <v>2</v>
      </c>
      <c r="I387" s="11">
        <v>46147</v>
      </c>
      <c r="J387" s="17">
        <f>IF(Items[[#This Row],[ID]]="","",IFERROR(VALUE(LOOKUP(2,1/((Log[ID]=Items[[#This Row],[ID]])*(Log[Verb]="est")),Log[Arg])),N(Items[[#This Row],[Points]])))</f>
      </c>
      <c r="K387" s="17">
        <f>IF(Items[[#This Row],[ID]]="","",IFERROR(LOOKUP(2,1/((Log[ID]=Items[[#This Row],[ID]])*(Log[Verb]="pass")),Log[Arg])&amp;"",Items[[#This Row],[Team]]&amp;""))</f>
      </c>
      <c r="L387" s="17">
        <f>IF(Items[[#This Row],[ID]]="","",IFERROR(LOOKUP(2,1/((Log[ID]=Items[[#This Row],[ID]])*(Log[Into]&lt;&gt;"")),Log[Into]),""))</f>
      </c>
      <c r="M387" s="17">
        <f>IF(Items[[#This Row],[ID]]="","",IF(IFERROR(LOOKUP(2,1/((Log[ID]=Items[[#This Row],[ID]])*(Log[Blk]&lt;&gt;"")),Log[Blk]),0)=1,"Y",""))</f>
      </c>
      <c r="N387" s="17">
        <f>IF(Items[[#This Row],[ID]]="","",SUBSTITUTE(IFERROR(LOOKUP(2,1/((Log[ID]=Items[[#This Row],[ID]])*(Log[State]&lt;&gt;"")),Log[State]),"TODO"),"OPEN",IF(Items[[#This Row],[Blocked]]="Y","WAIT","OPEN")))</f>
      </c>
      <c r="O38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87" s="17">
        <f>IF(Items[[#This Row],[State]]&lt;&gt;"WAIT","",AsOf-Items[[#This Row],[Blocked since]])</f>
      </c>
      <c r="Q387" s="17">
        <f>IF(Items[[#This Row],[State]]&lt;&gt;"WAIT","",IFERROR(LOOKUP(2,1/((Log[ID]=Items[[#This Row],[ID]])*(Log[Verb]="block")),Log[Note])&amp;"",""))</f>
      </c>
      <c r="R387" s="17">
        <f>IF(Items[[#This Row],[ID]]="","",COUNTIFS(Log[ID],Items[[#This Row],[ID]],Log[Verb],"carry"))</f>
      </c>
      <c r="S387" s="17">
        <f>IF(Items[[#This Row],[ID]]="","",COUNTIFS(Log[ID],Items[[#This Row],[ID]],Log[Verb],"punt"))</f>
      </c>
      <c r="T387" s="11">
        <f>IF(Items[[#This Row],[State]]&lt;&gt;"DONE","",IFERROR(LOOKUP(2,1/((Log[ID]=Items[[#This Row],[ID]])*(Log[Verb]="done")),Log[Date]),""))</f>
      </c>
      <c r="U387" s="17">
        <f>IF(Items[[#This Row],[ID]]="","",IF(AND(Items[[#This Row],[Sprint]]=CurSprint,OR(Items[[#This Row],[State]]="OPEN",Items[[#This Row],[State]]="WAIT",Items[[#This Row],[State]]="HOLD",Items[[#This Row],[State]]="DONE")),1,0))</f>
      </c>
      <c r="V387" s="17">
        <f>IF(OR(Items[[#This Row],[ID]]="",Items[[#This Row],[Added]]=""),"",AsOf-Items[[#This Row],[Added]])</f>
      </c>
      <c r="W387" s="17">
        <f>IF(Items[[#This Row],[In sprint]]=1,(IF(Items[[#This Row],[Prio]]="",9,N(Items[[#This Row],[Prio]]))*10+(IF(Items[[#This Row],[State]]="DONE",1,0)))*100000+ROW(),"")</f>
      </c>
      <c r="X38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87" s="17">
        <f>IF(AND(Items[[#This Row],[State]]="DONE",N(Items[[#This Row],[Done on]])&gt;AsOf-7),(200000-N(Items[[#This Row],[Done on]]))*100000+ROW(),"")</f>
      </c>
    </row>
    <row r="388">
      <c r="A388" t="s">
        <v>547</v>
      </c>
      <c r="B388" t="s">
        <v>1608</v>
      </c>
      <c r="C388" t="s">
        <v>1107</v>
      </c>
      <c r="D388" t="s">
        <v>1127</v>
      </c>
      <c r="E388" t="s">
        <v>1120</v>
      </c>
      <c r="F388" t="s">
        <v>1191</v>
      </c>
      <c r="G388">
        <v>5</v>
      </c>
      <c r="H388">
        <v>3</v>
      </c>
      <c r="I388" s="11">
        <v>46147</v>
      </c>
      <c r="J388" s="17">
        <f>IF(Items[[#This Row],[ID]]="","",IFERROR(VALUE(LOOKUP(2,1/((Log[ID]=Items[[#This Row],[ID]])*(Log[Verb]="est")),Log[Arg])),N(Items[[#This Row],[Points]])))</f>
      </c>
      <c r="K388" s="17">
        <f>IF(Items[[#This Row],[ID]]="","",IFERROR(LOOKUP(2,1/((Log[ID]=Items[[#This Row],[ID]])*(Log[Verb]="pass")),Log[Arg])&amp;"",Items[[#This Row],[Team]]&amp;""))</f>
      </c>
      <c r="L388" s="17">
        <f>IF(Items[[#This Row],[ID]]="","",IFERROR(LOOKUP(2,1/((Log[ID]=Items[[#This Row],[ID]])*(Log[Into]&lt;&gt;"")),Log[Into]),""))</f>
      </c>
      <c r="M388" s="17">
        <f>IF(Items[[#This Row],[ID]]="","",IF(IFERROR(LOOKUP(2,1/((Log[ID]=Items[[#This Row],[ID]])*(Log[Blk]&lt;&gt;"")),Log[Blk]),0)=1,"Y",""))</f>
      </c>
      <c r="N388" s="17">
        <f>IF(Items[[#This Row],[ID]]="","",SUBSTITUTE(IFERROR(LOOKUP(2,1/((Log[ID]=Items[[#This Row],[ID]])*(Log[State]&lt;&gt;"")),Log[State]),"TODO"),"OPEN",IF(Items[[#This Row],[Blocked]]="Y","WAIT","OPEN")))</f>
      </c>
      <c r="O38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88" s="17">
        <f>IF(Items[[#This Row],[State]]&lt;&gt;"WAIT","",AsOf-Items[[#This Row],[Blocked since]])</f>
      </c>
      <c r="Q388" s="17">
        <f>IF(Items[[#This Row],[State]]&lt;&gt;"WAIT","",IFERROR(LOOKUP(2,1/((Log[ID]=Items[[#This Row],[ID]])*(Log[Verb]="block")),Log[Note])&amp;"",""))</f>
      </c>
      <c r="R388" s="17">
        <f>IF(Items[[#This Row],[ID]]="","",COUNTIFS(Log[ID],Items[[#This Row],[ID]],Log[Verb],"carry"))</f>
      </c>
      <c r="S388" s="17">
        <f>IF(Items[[#This Row],[ID]]="","",COUNTIFS(Log[ID],Items[[#This Row],[ID]],Log[Verb],"punt"))</f>
      </c>
      <c r="T388" s="11">
        <f>IF(Items[[#This Row],[State]]&lt;&gt;"DONE","",IFERROR(LOOKUP(2,1/((Log[ID]=Items[[#This Row],[ID]])*(Log[Verb]="done")),Log[Date]),""))</f>
      </c>
      <c r="U388" s="17">
        <f>IF(Items[[#This Row],[ID]]="","",IF(AND(Items[[#This Row],[Sprint]]=CurSprint,OR(Items[[#This Row],[State]]="OPEN",Items[[#This Row],[State]]="WAIT",Items[[#This Row],[State]]="HOLD",Items[[#This Row],[State]]="DONE")),1,0))</f>
      </c>
      <c r="V388" s="17">
        <f>IF(OR(Items[[#This Row],[ID]]="",Items[[#This Row],[Added]]=""),"",AsOf-Items[[#This Row],[Added]])</f>
      </c>
      <c r="W388" s="17">
        <f>IF(Items[[#This Row],[In sprint]]=1,(IF(Items[[#This Row],[Prio]]="",9,N(Items[[#This Row],[Prio]]))*10+(IF(Items[[#This Row],[State]]="DONE",1,0)))*100000+ROW(),"")</f>
      </c>
      <c r="X38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88" s="17">
        <f>IF(AND(Items[[#This Row],[State]]="DONE",N(Items[[#This Row],[Done on]])&gt;AsOf-7),(200000-N(Items[[#This Row],[Done on]]))*100000+ROW(),"")</f>
      </c>
    </row>
    <row r="389">
      <c r="A389" t="s">
        <v>548</v>
      </c>
      <c r="B389" t="s">
        <v>1609</v>
      </c>
      <c r="C389" t="s">
        <v>1107</v>
      </c>
      <c r="D389" t="s">
        <v>1123</v>
      </c>
      <c r="E389" t="s">
        <v>1120</v>
      </c>
      <c r="F389" t="s">
        <v>1153</v>
      </c>
      <c r="G389">
        <v>5</v>
      </c>
      <c r="H389">
        <v>2</v>
      </c>
      <c r="I389" s="11">
        <v>46147</v>
      </c>
      <c r="J389" s="17">
        <f>IF(Items[[#This Row],[ID]]="","",IFERROR(VALUE(LOOKUP(2,1/((Log[ID]=Items[[#This Row],[ID]])*(Log[Verb]="est")),Log[Arg])),N(Items[[#This Row],[Points]])))</f>
      </c>
      <c r="K389" s="17">
        <f>IF(Items[[#This Row],[ID]]="","",IFERROR(LOOKUP(2,1/((Log[ID]=Items[[#This Row],[ID]])*(Log[Verb]="pass")),Log[Arg])&amp;"",Items[[#This Row],[Team]]&amp;""))</f>
      </c>
      <c r="L389" s="17">
        <f>IF(Items[[#This Row],[ID]]="","",IFERROR(LOOKUP(2,1/((Log[ID]=Items[[#This Row],[ID]])*(Log[Into]&lt;&gt;"")),Log[Into]),""))</f>
      </c>
      <c r="M389" s="17">
        <f>IF(Items[[#This Row],[ID]]="","",IF(IFERROR(LOOKUP(2,1/((Log[ID]=Items[[#This Row],[ID]])*(Log[Blk]&lt;&gt;"")),Log[Blk]),0)=1,"Y",""))</f>
      </c>
      <c r="N389" s="17">
        <f>IF(Items[[#This Row],[ID]]="","",SUBSTITUTE(IFERROR(LOOKUP(2,1/((Log[ID]=Items[[#This Row],[ID]])*(Log[State]&lt;&gt;"")),Log[State]),"TODO"),"OPEN",IF(Items[[#This Row],[Blocked]]="Y","WAIT","OPEN")))</f>
      </c>
      <c r="O38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89" s="17">
        <f>IF(Items[[#This Row],[State]]&lt;&gt;"WAIT","",AsOf-Items[[#This Row],[Blocked since]])</f>
      </c>
      <c r="Q389" s="17">
        <f>IF(Items[[#This Row],[State]]&lt;&gt;"WAIT","",IFERROR(LOOKUP(2,1/((Log[ID]=Items[[#This Row],[ID]])*(Log[Verb]="block")),Log[Note])&amp;"",""))</f>
      </c>
      <c r="R389" s="17">
        <f>IF(Items[[#This Row],[ID]]="","",COUNTIFS(Log[ID],Items[[#This Row],[ID]],Log[Verb],"carry"))</f>
      </c>
      <c r="S389" s="17">
        <f>IF(Items[[#This Row],[ID]]="","",COUNTIFS(Log[ID],Items[[#This Row],[ID]],Log[Verb],"punt"))</f>
      </c>
      <c r="T389" s="11">
        <f>IF(Items[[#This Row],[State]]&lt;&gt;"DONE","",IFERROR(LOOKUP(2,1/((Log[ID]=Items[[#This Row],[ID]])*(Log[Verb]="done")),Log[Date]),""))</f>
      </c>
      <c r="U389" s="17">
        <f>IF(Items[[#This Row],[ID]]="","",IF(AND(Items[[#This Row],[Sprint]]=CurSprint,OR(Items[[#This Row],[State]]="OPEN",Items[[#This Row],[State]]="WAIT",Items[[#This Row],[State]]="HOLD",Items[[#This Row],[State]]="DONE")),1,0))</f>
      </c>
      <c r="V389" s="17">
        <f>IF(OR(Items[[#This Row],[ID]]="",Items[[#This Row],[Added]]=""),"",AsOf-Items[[#This Row],[Added]])</f>
      </c>
      <c r="W389" s="17">
        <f>IF(Items[[#This Row],[In sprint]]=1,(IF(Items[[#This Row],[Prio]]="",9,N(Items[[#This Row],[Prio]]))*10+(IF(Items[[#This Row],[State]]="DONE",1,0)))*100000+ROW(),"")</f>
      </c>
      <c r="X38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89" s="17">
        <f>IF(AND(Items[[#This Row],[State]]="DONE",N(Items[[#This Row],[Done on]])&gt;AsOf-7),(200000-N(Items[[#This Row],[Done on]]))*100000+ROW(),"")</f>
      </c>
    </row>
    <row r="390">
      <c r="A390" t="s">
        <v>549</v>
      </c>
      <c r="B390" t="s">
        <v>1610</v>
      </c>
      <c r="C390" t="s">
        <v>1107</v>
      </c>
      <c r="D390" t="s">
        <v>1127</v>
      </c>
      <c r="E390" t="s">
        <v>1120</v>
      </c>
      <c r="F390" t="s">
        <v>1272</v>
      </c>
      <c r="G390">
        <v>8</v>
      </c>
      <c r="H390">
        <v>3</v>
      </c>
      <c r="I390" s="11">
        <v>46147</v>
      </c>
      <c r="J390" s="17">
        <f>IF(Items[[#This Row],[ID]]="","",IFERROR(VALUE(LOOKUP(2,1/((Log[ID]=Items[[#This Row],[ID]])*(Log[Verb]="est")),Log[Arg])),N(Items[[#This Row],[Points]])))</f>
      </c>
      <c r="K390" s="17">
        <f>IF(Items[[#This Row],[ID]]="","",IFERROR(LOOKUP(2,1/((Log[ID]=Items[[#This Row],[ID]])*(Log[Verb]="pass")),Log[Arg])&amp;"",Items[[#This Row],[Team]]&amp;""))</f>
      </c>
      <c r="L390" s="17">
        <f>IF(Items[[#This Row],[ID]]="","",IFERROR(LOOKUP(2,1/((Log[ID]=Items[[#This Row],[ID]])*(Log[Into]&lt;&gt;"")),Log[Into]),""))</f>
      </c>
      <c r="M390" s="17">
        <f>IF(Items[[#This Row],[ID]]="","",IF(IFERROR(LOOKUP(2,1/((Log[ID]=Items[[#This Row],[ID]])*(Log[Blk]&lt;&gt;"")),Log[Blk]),0)=1,"Y",""))</f>
      </c>
      <c r="N390" s="17">
        <f>IF(Items[[#This Row],[ID]]="","",SUBSTITUTE(IFERROR(LOOKUP(2,1/((Log[ID]=Items[[#This Row],[ID]])*(Log[State]&lt;&gt;"")),Log[State]),"TODO"),"OPEN",IF(Items[[#This Row],[Blocked]]="Y","WAIT","OPEN")))</f>
      </c>
      <c r="O39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90" s="17">
        <f>IF(Items[[#This Row],[State]]&lt;&gt;"WAIT","",AsOf-Items[[#This Row],[Blocked since]])</f>
      </c>
      <c r="Q390" s="17">
        <f>IF(Items[[#This Row],[State]]&lt;&gt;"WAIT","",IFERROR(LOOKUP(2,1/((Log[ID]=Items[[#This Row],[ID]])*(Log[Verb]="block")),Log[Note])&amp;"",""))</f>
      </c>
      <c r="R390" s="17">
        <f>IF(Items[[#This Row],[ID]]="","",COUNTIFS(Log[ID],Items[[#This Row],[ID]],Log[Verb],"carry"))</f>
      </c>
      <c r="S390" s="17">
        <f>IF(Items[[#This Row],[ID]]="","",COUNTIFS(Log[ID],Items[[#This Row],[ID]],Log[Verb],"punt"))</f>
      </c>
      <c r="T390" s="11">
        <f>IF(Items[[#This Row],[State]]&lt;&gt;"DONE","",IFERROR(LOOKUP(2,1/((Log[ID]=Items[[#This Row],[ID]])*(Log[Verb]="done")),Log[Date]),""))</f>
      </c>
      <c r="U390" s="17">
        <f>IF(Items[[#This Row],[ID]]="","",IF(AND(Items[[#This Row],[Sprint]]=CurSprint,OR(Items[[#This Row],[State]]="OPEN",Items[[#This Row],[State]]="WAIT",Items[[#This Row],[State]]="HOLD",Items[[#This Row],[State]]="DONE")),1,0))</f>
      </c>
      <c r="V390" s="17">
        <f>IF(OR(Items[[#This Row],[ID]]="",Items[[#This Row],[Added]]=""),"",AsOf-Items[[#This Row],[Added]])</f>
      </c>
      <c r="W390" s="17">
        <f>IF(Items[[#This Row],[In sprint]]=1,(IF(Items[[#This Row],[Prio]]="",9,N(Items[[#This Row],[Prio]]))*10+(IF(Items[[#This Row],[State]]="DONE",1,0)))*100000+ROW(),"")</f>
      </c>
      <c r="X39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90" s="17">
        <f>IF(AND(Items[[#This Row],[State]]="DONE",N(Items[[#This Row],[Done on]])&gt;AsOf-7),(200000-N(Items[[#This Row],[Done on]]))*100000+ROW(),"")</f>
      </c>
    </row>
    <row r="391">
      <c r="A391" t="s">
        <v>550</v>
      </c>
      <c r="B391" t="s">
        <v>1611</v>
      </c>
      <c r="C391" t="s">
        <v>1107</v>
      </c>
      <c r="D391" t="s">
        <v>1108</v>
      </c>
      <c r="E391" t="s">
        <v>1120</v>
      </c>
      <c r="F391" t="s">
        <v>1272</v>
      </c>
      <c r="G391">
        <v>3</v>
      </c>
      <c r="H391">
        <v>2</v>
      </c>
      <c r="I391" s="11">
        <v>46147</v>
      </c>
      <c r="J391" s="17">
        <f>IF(Items[[#This Row],[ID]]="","",IFERROR(VALUE(LOOKUP(2,1/((Log[ID]=Items[[#This Row],[ID]])*(Log[Verb]="est")),Log[Arg])),N(Items[[#This Row],[Points]])))</f>
      </c>
      <c r="K391" s="17">
        <f>IF(Items[[#This Row],[ID]]="","",IFERROR(LOOKUP(2,1/((Log[ID]=Items[[#This Row],[ID]])*(Log[Verb]="pass")),Log[Arg])&amp;"",Items[[#This Row],[Team]]&amp;""))</f>
      </c>
      <c r="L391" s="17">
        <f>IF(Items[[#This Row],[ID]]="","",IFERROR(LOOKUP(2,1/((Log[ID]=Items[[#This Row],[ID]])*(Log[Into]&lt;&gt;"")),Log[Into]),""))</f>
      </c>
      <c r="M391" s="17">
        <f>IF(Items[[#This Row],[ID]]="","",IF(IFERROR(LOOKUP(2,1/((Log[ID]=Items[[#This Row],[ID]])*(Log[Blk]&lt;&gt;"")),Log[Blk]),0)=1,"Y",""))</f>
      </c>
      <c r="N391" s="17">
        <f>IF(Items[[#This Row],[ID]]="","",SUBSTITUTE(IFERROR(LOOKUP(2,1/((Log[ID]=Items[[#This Row],[ID]])*(Log[State]&lt;&gt;"")),Log[State]),"TODO"),"OPEN",IF(Items[[#This Row],[Blocked]]="Y","WAIT","OPEN")))</f>
      </c>
      <c r="O39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91" s="17">
        <f>IF(Items[[#This Row],[State]]&lt;&gt;"WAIT","",AsOf-Items[[#This Row],[Blocked since]])</f>
      </c>
      <c r="Q391" s="17">
        <f>IF(Items[[#This Row],[State]]&lt;&gt;"WAIT","",IFERROR(LOOKUP(2,1/((Log[ID]=Items[[#This Row],[ID]])*(Log[Verb]="block")),Log[Note])&amp;"",""))</f>
      </c>
      <c r="R391" s="17">
        <f>IF(Items[[#This Row],[ID]]="","",COUNTIFS(Log[ID],Items[[#This Row],[ID]],Log[Verb],"carry"))</f>
      </c>
      <c r="S391" s="17">
        <f>IF(Items[[#This Row],[ID]]="","",COUNTIFS(Log[ID],Items[[#This Row],[ID]],Log[Verb],"punt"))</f>
      </c>
      <c r="T391" s="11">
        <f>IF(Items[[#This Row],[State]]&lt;&gt;"DONE","",IFERROR(LOOKUP(2,1/((Log[ID]=Items[[#This Row],[ID]])*(Log[Verb]="done")),Log[Date]),""))</f>
      </c>
      <c r="U391" s="17">
        <f>IF(Items[[#This Row],[ID]]="","",IF(AND(Items[[#This Row],[Sprint]]=CurSprint,OR(Items[[#This Row],[State]]="OPEN",Items[[#This Row],[State]]="WAIT",Items[[#This Row],[State]]="HOLD",Items[[#This Row],[State]]="DONE")),1,0))</f>
      </c>
      <c r="V391" s="17">
        <f>IF(OR(Items[[#This Row],[ID]]="",Items[[#This Row],[Added]]=""),"",AsOf-Items[[#This Row],[Added]])</f>
      </c>
      <c r="W391" s="17">
        <f>IF(Items[[#This Row],[In sprint]]=1,(IF(Items[[#This Row],[Prio]]="",9,N(Items[[#This Row],[Prio]]))*10+(IF(Items[[#This Row],[State]]="DONE",1,0)))*100000+ROW(),"")</f>
      </c>
      <c r="X39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91" s="17">
        <f>IF(AND(Items[[#This Row],[State]]="DONE",N(Items[[#This Row],[Done on]])&gt;AsOf-7),(200000-N(Items[[#This Row],[Done on]]))*100000+ROW(),"")</f>
      </c>
    </row>
    <row r="392">
      <c r="A392" t="s">
        <v>596</v>
      </c>
      <c r="B392" t="s">
        <v>1612</v>
      </c>
      <c r="C392" t="s">
        <v>1115</v>
      </c>
      <c r="D392" t="s">
        <v>1119</v>
      </c>
      <c r="E392" t="s">
        <v>1120</v>
      </c>
      <c r="F392" t="s">
        <v>1121</v>
      </c>
      <c r="G392">
        <v>8</v>
      </c>
      <c r="H392">
        <v>3</v>
      </c>
      <c r="I392" s="11">
        <v>46147</v>
      </c>
      <c r="J392" s="17">
        <f>IF(Items[[#This Row],[ID]]="","",IFERROR(VALUE(LOOKUP(2,1/((Log[ID]=Items[[#This Row],[ID]])*(Log[Verb]="est")),Log[Arg])),N(Items[[#This Row],[Points]])))</f>
      </c>
      <c r="K392" s="17">
        <f>IF(Items[[#This Row],[ID]]="","",IFERROR(LOOKUP(2,1/((Log[ID]=Items[[#This Row],[ID]])*(Log[Verb]="pass")),Log[Arg])&amp;"",Items[[#This Row],[Team]]&amp;""))</f>
      </c>
      <c r="L392" s="17">
        <f>IF(Items[[#This Row],[ID]]="","",IFERROR(LOOKUP(2,1/((Log[ID]=Items[[#This Row],[ID]])*(Log[Into]&lt;&gt;"")),Log[Into]),""))</f>
      </c>
      <c r="M392" s="17">
        <f>IF(Items[[#This Row],[ID]]="","",IF(IFERROR(LOOKUP(2,1/((Log[ID]=Items[[#This Row],[ID]])*(Log[Blk]&lt;&gt;"")),Log[Blk]),0)=1,"Y",""))</f>
      </c>
      <c r="N392" s="17">
        <f>IF(Items[[#This Row],[ID]]="","",SUBSTITUTE(IFERROR(LOOKUP(2,1/((Log[ID]=Items[[#This Row],[ID]])*(Log[State]&lt;&gt;"")),Log[State]),"TODO"),"OPEN",IF(Items[[#This Row],[Blocked]]="Y","WAIT","OPEN")))</f>
      </c>
      <c r="O39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92" s="17">
        <f>IF(Items[[#This Row],[State]]&lt;&gt;"WAIT","",AsOf-Items[[#This Row],[Blocked since]])</f>
      </c>
      <c r="Q392" s="17">
        <f>IF(Items[[#This Row],[State]]&lt;&gt;"WAIT","",IFERROR(LOOKUP(2,1/((Log[ID]=Items[[#This Row],[ID]])*(Log[Verb]="block")),Log[Note])&amp;"",""))</f>
      </c>
      <c r="R392" s="17">
        <f>IF(Items[[#This Row],[ID]]="","",COUNTIFS(Log[ID],Items[[#This Row],[ID]],Log[Verb],"carry"))</f>
      </c>
      <c r="S392" s="17">
        <f>IF(Items[[#This Row],[ID]]="","",COUNTIFS(Log[ID],Items[[#This Row],[ID]],Log[Verb],"punt"))</f>
      </c>
      <c r="T392" s="11">
        <f>IF(Items[[#This Row],[State]]&lt;&gt;"DONE","",IFERROR(LOOKUP(2,1/((Log[ID]=Items[[#This Row],[ID]])*(Log[Verb]="done")),Log[Date]),""))</f>
      </c>
      <c r="U392" s="17">
        <f>IF(Items[[#This Row],[ID]]="","",IF(AND(Items[[#This Row],[Sprint]]=CurSprint,OR(Items[[#This Row],[State]]="OPEN",Items[[#This Row],[State]]="WAIT",Items[[#This Row],[State]]="HOLD",Items[[#This Row],[State]]="DONE")),1,0))</f>
      </c>
      <c r="V392" s="17">
        <f>IF(OR(Items[[#This Row],[ID]]="",Items[[#This Row],[Added]]=""),"",AsOf-Items[[#This Row],[Added]])</f>
      </c>
      <c r="W392" s="17">
        <f>IF(Items[[#This Row],[In sprint]]=1,(IF(Items[[#This Row],[Prio]]="",9,N(Items[[#This Row],[Prio]]))*10+(IF(Items[[#This Row],[State]]="DONE",1,0)))*100000+ROW(),"")</f>
      </c>
      <c r="X39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92" s="17">
        <f>IF(AND(Items[[#This Row],[State]]="DONE",N(Items[[#This Row],[Done on]])&gt;AsOf-7),(200000-N(Items[[#This Row],[Done on]]))*100000+ROW(),"")</f>
      </c>
    </row>
    <row r="393">
      <c r="A393" t="s">
        <v>551</v>
      </c>
      <c r="B393" t="s">
        <v>1613</v>
      </c>
      <c r="C393" t="s">
        <v>1107</v>
      </c>
      <c r="D393" t="s">
        <v>1108</v>
      </c>
      <c r="E393" t="s">
        <v>1124</v>
      </c>
      <c r="F393" t="s">
        <v>1283</v>
      </c>
      <c r="G393">
        <v>2</v>
      </c>
      <c r="H393">
        <v>2</v>
      </c>
      <c r="I393" s="11">
        <v>46147</v>
      </c>
      <c r="J393" s="17">
        <f>IF(Items[[#This Row],[ID]]="","",IFERROR(VALUE(LOOKUP(2,1/((Log[ID]=Items[[#This Row],[ID]])*(Log[Verb]="est")),Log[Arg])),N(Items[[#This Row],[Points]])))</f>
      </c>
      <c r="K393" s="17">
        <f>IF(Items[[#This Row],[ID]]="","",IFERROR(LOOKUP(2,1/((Log[ID]=Items[[#This Row],[ID]])*(Log[Verb]="pass")),Log[Arg])&amp;"",Items[[#This Row],[Team]]&amp;""))</f>
      </c>
      <c r="L393" s="17">
        <f>IF(Items[[#This Row],[ID]]="","",IFERROR(LOOKUP(2,1/((Log[ID]=Items[[#This Row],[ID]])*(Log[Into]&lt;&gt;"")),Log[Into]),""))</f>
      </c>
      <c r="M393" s="17">
        <f>IF(Items[[#This Row],[ID]]="","",IF(IFERROR(LOOKUP(2,1/((Log[ID]=Items[[#This Row],[ID]])*(Log[Blk]&lt;&gt;"")),Log[Blk]),0)=1,"Y",""))</f>
      </c>
      <c r="N393" s="17">
        <f>IF(Items[[#This Row],[ID]]="","",SUBSTITUTE(IFERROR(LOOKUP(2,1/((Log[ID]=Items[[#This Row],[ID]])*(Log[State]&lt;&gt;"")),Log[State]),"TODO"),"OPEN",IF(Items[[#This Row],[Blocked]]="Y","WAIT","OPEN")))</f>
      </c>
      <c r="O39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93" s="17">
        <f>IF(Items[[#This Row],[State]]&lt;&gt;"WAIT","",AsOf-Items[[#This Row],[Blocked since]])</f>
      </c>
      <c r="Q393" s="17">
        <f>IF(Items[[#This Row],[State]]&lt;&gt;"WAIT","",IFERROR(LOOKUP(2,1/((Log[ID]=Items[[#This Row],[ID]])*(Log[Verb]="block")),Log[Note])&amp;"",""))</f>
      </c>
      <c r="R393" s="17">
        <f>IF(Items[[#This Row],[ID]]="","",COUNTIFS(Log[ID],Items[[#This Row],[ID]],Log[Verb],"carry"))</f>
      </c>
      <c r="S393" s="17">
        <f>IF(Items[[#This Row],[ID]]="","",COUNTIFS(Log[ID],Items[[#This Row],[ID]],Log[Verb],"punt"))</f>
      </c>
      <c r="T393" s="11">
        <f>IF(Items[[#This Row],[State]]&lt;&gt;"DONE","",IFERROR(LOOKUP(2,1/((Log[ID]=Items[[#This Row],[ID]])*(Log[Verb]="done")),Log[Date]),""))</f>
      </c>
      <c r="U393" s="17">
        <f>IF(Items[[#This Row],[ID]]="","",IF(AND(Items[[#This Row],[Sprint]]=CurSprint,OR(Items[[#This Row],[State]]="OPEN",Items[[#This Row],[State]]="WAIT",Items[[#This Row],[State]]="HOLD",Items[[#This Row],[State]]="DONE")),1,0))</f>
      </c>
      <c r="V393" s="17">
        <f>IF(OR(Items[[#This Row],[ID]]="",Items[[#This Row],[Added]]=""),"",AsOf-Items[[#This Row],[Added]])</f>
      </c>
      <c r="W393" s="17">
        <f>IF(Items[[#This Row],[In sprint]]=1,(IF(Items[[#This Row],[Prio]]="",9,N(Items[[#This Row],[Prio]]))*10+(IF(Items[[#This Row],[State]]="DONE",1,0)))*100000+ROW(),"")</f>
      </c>
      <c r="X39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93" s="17">
        <f>IF(AND(Items[[#This Row],[State]]="DONE",N(Items[[#This Row],[Done on]])&gt;AsOf-7),(200000-N(Items[[#This Row],[Done on]]))*100000+ROW(),"")</f>
      </c>
    </row>
    <row r="394">
      <c r="A394" t="s">
        <v>552</v>
      </c>
      <c r="B394" t="s">
        <v>1614</v>
      </c>
      <c r="C394" t="s">
        <v>1115</v>
      </c>
      <c r="D394" t="s">
        <v>1116</v>
      </c>
      <c r="E394" t="s">
        <v>1124</v>
      </c>
      <c r="F394" t="s">
        <v>1157</v>
      </c>
      <c r="G394">
        <v>3</v>
      </c>
      <c r="H394">
        <v>2</v>
      </c>
      <c r="I394" s="11">
        <v>46147</v>
      </c>
      <c r="J394" s="17">
        <f>IF(Items[[#This Row],[ID]]="","",IFERROR(VALUE(LOOKUP(2,1/((Log[ID]=Items[[#This Row],[ID]])*(Log[Verb]="est")),Log[Arg])),N(Items[[#This Row],[Points]])))</f>
      </c>
      <c r="K394" s="17">
        <f>IF(Items[[#This Row],[ID]]="","",IFERROR(LOOKUP(2,1/((Log[ID]=Items[[#This Row],[ID]])*(Log[Verb]="pass")),Log[Arg])&amp;"",Items[[#This Row],[Team]]&amp;""))</f>
      </c>
      <c r="L394" s="17">
        <f>IF(Items[[#This Row],[ID]]="","",IFERROR(LOOKUP(2,1/((Log[ID]=Items[[#This Row],[ID]])*(Log[Into]&lt;&gt;"")),Log[Into]),""))</f>
      </c>
      <c r="M394" s="17">
        <f>IF(Items[[#This Row],[ID]]="","",IF(IFERROR(LOOKUP(2,1/((Log[ID]=Items[[#This Row],[ID]])*(Log[Blk]&lt;&gt;"")),Log[Blk]),0)=1,"Y",""))</f>
      </c>
      <c r="N394" s="17">
        <f>IF(Items[[#This Row],[ID]]="","",SUBSTITUTE(IFERROR(LOOKUP(2,1/((Log[ID]=Items[[#This Row],[ID]])*(Log[State]&lt;&gt;"")),Log[State]),"TODO"),"OPEN",IF(Items[[#This Row],[Blocked]]="Y","WAIT","OPEN")))</f>
      </c>
      <c r="O39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94" s="17">
        <f>IF(Items[[#This Row],[State]]&lt;&gt;"WAIT","",AsOf-Items[[#This Row],[Blocked since]])</f>
      </c>
      <c r="Q394" s="17">
        <f>IF(Items[[#This Row],[State]]&lt;&gt;"WAIT","",IFERROR(LOOKUP(2,1/((Log[ID]=Items[[#This Row],[ID]])*(Log[Verb]="block")),Log[Note])&amp;"",""))</f>
      </c>
      <c r="R394" s="17">
        <f>IF(Items[[#This Row],[ID]]="","",COUNTIFS(Log[ID],Items[[#This Row],[ID]],Log[Verb],"carry"))</f>
      </c>
      <c r="S394" s="17">
        <f>IF(Items[[#This Row],[ID]]="","",COUNTIFS(Log[ID],Items[[#This Row],[ID]],Log[Verb],"punt"))</f>
      </c>
      <c r="T394" s="11">
        <f>IF(Items[[#This Row],[State]]&lt;&gt;"DONE","",IFERROR(LOOKUP(2,1/((Log[ID]=Items[[#This Row],[ID]])*(Log[Verb]="done")),Log[Date]),""))</f>
      </c>
      <c r="U394" s="17">
        <f>IF(Items[[#This Row],[ID]]="","",IF(AND(Items[[#This Row],[Sprint]]=CurSprint,OR(Items[[#This Row],[State]]="OPEN",Items[[#This Row],[State]]="WAIT",Items[[#This Row],[State]]="HOLD",Items[[#This Row],[State]]="DONE")),1,0))</f>
      </c>
      <c r="V394" s="17">
        <f>IF(OR(Items[[#This Row],[ID]]="",Items[[#This Row],[Added]]=""),"",AsOf-Items[[#This Row],[Added]])</f>
      </c>
      <c r="W394" s="17">
        <f>IF(Items[[#This Row],[In sprint]]=1,(IF(Items[[#This Row],[Prio]]="",9,N(Items[[#This Row],[Prio]]))*10+(IF(Items[[#This Row],[State]]="DONE",1,0)))*100000+ROW(),"")</f>
      </c>
      <c r="X39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94" s="17">
        <f>IF(AND(Items[[#This Row],[State]]="DONE",N(Items[[#This Row],[Done on]])&gt;AsOf-7),(200000-N(Items[[#This Row],[Done on]]))*100000+ROW(),"")</f>
      </c>
    </row>
    <row r="395">
      <c r="A395" t="s">
        <v>553</v>
      </c>
      <c r="B395" t="s">
        <v>1615</v>
      </c>
      <c r="C395" t="s">
        <v>1107</v>
      </c>
      <c r="D395" t="s">
        <v>1108</v>
      </c>
      <c r="E395" t="s">
        <v>1124</v>
      </c>
      <c r="F395" t="s">
        <v>1155</v>
      </c>
      <c r="G395">
        <v>2</v>
      </c>
      <c r="H395">
        <v>3</v>
      </c>
      <c r="I395" s="11">
        <v>46147</v>
      </c>
      <c r="J395" s="17">
        <f>IF(Items[[#This Row],[ID]]="","",IFERROR(VALUE(LOOKUP(2,1/((Log[ID]=Items[[#This Row],[ID]])*(Log[Verb]="est")),Log[Arg])),N(Items[[#This Row],[Points]])))</f>
      </c>
      <c r="K395" s="17">
        <f>IF(Items[[#This Row],[ID]]="","",IFERROR(LOOKUP(2,1/((Log[ID]=Items[[#This Row],[ID]])*(Log[Verb]="pass")),Log[Arg])&amp;"",Items[[#This Row],[Team]]&amp;""))</f>
      </c>
      <c r="L395" s="17">
        <f>IF(Items[[#This Row],[ID]]="","",IFERROR(LOOKUP(2,1/((Log[ID]=Items[[#This Row],[ID]])*(Log[Into]&lt;&gt;"")),Log[Into]),""))</f>
      </c>
      <c r="M395" s="17">
        <f>IF(Items[[#This Row],[ID]]="","",IF(IFERROR(LOOKUP(2,1/((Log[ID]=Items[[#This Row],[ID]])*(Log[Blk]&lt;&gt;"")),Log[Blk]),0)=1,"Y",""))</f>
      </c>
      <c r="N395" s="17">
        <f>IF(Items[[#This Row],[ID]]="","",SUBSTITUTE(IFERROR(LOOKUP(2,1/((Log[ID]=Items[[#This Row],[ID]])*(Log[State]&lt;&gt;"")),Log[State]),"TODO"),"OPEN",IF(Items[[#This Row],[Blocked]]="Y","WAIT","OPEN")))</f>
      </c>
      <c r="O39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95" s="17">
        <f>IF(Items[[#This Row],[State]]&lt;&gt;"WAIT","",AsOf-Items[[#This Row],[Blocked since]])</f>
      </c>
      <c r="Q395" s="17">
        <f>IF(Items[[#This Row],[State]]&lt;&gt;"WAIT","",IFERROR(LOOKUP(2,1/((Log[ID]=Items[[#This Row],[ID]])*(Log[Verb]="block")),Log[Note])&amp;"",""))</f>
      </c>
      <c r="R395" s="17">
        <f>IF(Items[[#This Row],[ID]]="","",COUNTIFS(Log[ID],Items[[#This Row],[ID]],Log[Verb],"carry"))</f>
      </c>
      <c r="S395" s="17">
        <f>IF(Items[[#This Row],[ID]]="","",COUNTIFS(Log[ID],Items[[#This Row],[ID]],Log[Verb],"punt"))</f>
      </c>
      <c r="T395" s="11">
        <f>IF(Items[[#This Row],[State]]&lt;&gt;"DONE","",IFERROR(LOOKUP(2,1/((Log[ID]=Items[[#This Row],[ID]])*(Log[Verb]="done")),Log[Date]),""))</f>
      </c>
      <c r="U395" s="17">
        <f>IF(Items[[#This Row],[ID]]="","",IF(AND(Items[[#This Row],[Sprint]]=CurSprint,OR(Items[[#This Row],[State]]="OPEN",Items[[#This Row],[State]]="WAIT",Items[[#This Row],[State]]="HOLD",Items[[#This Row],[State]]="DONE")),1,0))</f>
      </c>
      <c r="V395" s="17">
        <f>IF(OR(Items[[#This Row],[ID]]="",Items[[#This Row],[Added]]=""),"",AsOf-Items[[#This Row],[Added]])</f>
      </c>
      <c r="W395" s="17">
        <f>IF(Items[[#This Row],[In sprint]]=1,(IF(Items[[#This Row],[Prio]]="",9,N(Items[[#This Row],[Prio]]))*10+(IF(Items[[#This Row],[State]]="DONE",1,0)))*100000+ROW(),"")</f>
      </c>
      <c r="X39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95" s="17">
        <f>IF(AND(Items[[#This Row],[State]]="DONE",N(Items[[#This Row],[Done on]])&gt;AsOf-7),(200000-N(Items[[#This Row],[Done on]]))*100000+ROW(),"")</f>
      </c>
    </row>
    <row r="396">
      <c r="A396" t="s">
        <v>554</v>
      </c>
      <c r="B396" t="s">
        <v>1616</v>
      </c>
      <c r="C396" t="s">
        <v>1107</v>
      </c>
      <c r="D396" t="s">
        <v>1127</v>
      </c>
      <c r="E396" t="s">
        <v>1124</v>
      </c>
      <c r="F396" t="s">
        <v>1125</v>
      </c>
      <c r="G396">
        <v>3</v>
      </c>
      <c r="H396">
        <v>1</v>
      </c>
      <c r="I396" s="11">
        <v>46147</v>
      </c>
      <c r="J396" s="17">
        <f>IF(Items[[#This Row],[ID]]="","",IFERROR(VALUE(LOOKUP(2,1/((Log[ID]=Items[[#This Row],[ID]])*(Log[Verb]="est")),Log[Arg])),N(Items[[#This Row],[Points]])))</f>
      </c>
      <c r="K396" s="17">
        <f>IF(Items[[#This Row],[ID]]="","",IFERROR(LOOKUP(2,1/((Log[ID]=Items[[#This Row],[ID]])*(Log[Verb]="pass")),Log[Arg])&amp;"",Items[[#This Row],[Team]]&amp;""))</f>
      </c>
      <c r="L396" s="17">
        <f>IF(Items[[#This Row],[ID]]="","",IFERROR(LOOKUP(2,1/((Log[ID]=Items[[#This Row],[ID]])*(Log[Into]&lt;&gt;"")),Log[Into]),""))</f>
      </c>
      <c r="M396" s="17">
        <f>IF(Items[[#This Row],[ID]]="","",IF(IFERROR(LOOKUP(2,1/((Log[ID]=Items[[#This Row],[ID]])*(Log[Blk]&lt;&gt;"")),Log[Blk]),0)=1,"Y",""))</f>
      </c>
      <c r="N396" s="17">
        <f>IF(Items[[#This Row],[ID]]="","",SUBSTITUTE(IFERROR(LOOKUP(2,1/((Log[ID]=Items[[#This Row],[ID]])*(Log[State]&lt;&gt;"")),Log[State]),"TODO"),"OPEN",IF(Items[[#This Row],[Blocked]]="Y","WAIT","OPEN")))</f>
      </c>
      <c r="O39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96" s="17">
        <f>IF(Items[[#This Row],[State]]&lt;&gt;"WAIT","",AsOf-Items[[#This Row],[Blocked since]])</f>
      </c>
      <c r="Q396" s="17">
        <f>IF(Items[[#This Row],[State]]&lt;&gt;"WAIT","",IFERROR(LOOKUP(2,1/((Log[ID]=Items[[#This Row],[ID]])*(Log[Verb]="block")),Log[Note])&amp;"",""))</f>
      </c>
      <c r="R396" s="17">
        <f>IF(Items[[#This Row],[ID]]="","",COUNTIFS(Log[ID],Items[[#This Row],[ID]],Log[Verb],"carry"))</f>
      </c>
      <c r="S396" s="17">
        <f>IF(Items[[#This Row],[ID]]="","",COUNTIFS(Log[ID],Items[[#This Row],[ID]],Log[Verb],"punt"))</f>
      </c>
      <c r="T396" s="11">
        <f>IF(Items[[#This Row],[State]]&lt;&gt;"DONE","",IFERROR(LOOKUP(2,1/((Log[ID]=Items[[#This Row],[ID]])*(Log[Verb]="done")),Log[Date]),""))</f>
      </c>
      <c r="U396" s="17">
        <f>IF(Items[[#This Row],[ID]]="","",IF(AND(Items[[#This Row],[Sprint]]=CurSprint,OR(Items[[#This Row],[State]]="OPEN",Items[[#This Row],[State]]="WAIT",Items[[#This Row],[State]]="HOLD",Items[[#This Row],[State]]="DONE")),1,0))</f>
      </c>
      <c r="V396" s="17">
        <f>IF(OR(Items[[#This Row],[ID]]="",Items[[#This Row],[Added]]=""),"",AsOf-Items[[#This Row],[Added]])</f>
      </c>
      <c r="W396" s="17">
        <f>IF(Items[[#This Row],[In sprint]]=1,(IF(Items[[#This Row],[Prio]]="",9,N(Items[[#This Row],[Prio]]))*10+(IF(Items[[#This Row],[State]]="DONE",1,0)))*100000+ROW(),"")</f>
      </c>
      <c r="X39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96" s="17">
        <f>IF(AND(Items[[#This Row],[State]]="DONE",N(Items[[#This Row],[Done on]])&gt;AsOf-7),(200000-N(Items[[#This Row],[Done on]]))*100000+ROW(),"")</f>
      </c>
    </row>
    <row r="397">
      <c r="A397" t="s">
        <v>602</v>
      </c>
      <c r="B397" t="s">
        <v>1617</v>
      </c>
      <c r="C397" t="s">
        <v>1115</v>
      </c>
      <c r="D397" t="s">
        <v>1119</v>
      </c>
      <c r="E397" t="s">
        <v>1124</v>
      </c>
      <c r="F397" t="s">
        <v>1344</v>
      </c>
      <c r="G397">
        <v>5</v>
      </c>
      <c r="H397">
        <v>1</v>
      </c>
      <c r="I397" s="11">
        <v>46147</v>
      </c>
      <c r="J397" s="17">
        <f>IF(Items[[#This Row],[ID]]="","",IFERROR(VALUE(LOOKUP(2,1/((Log[ID]=Items[[#This Row],[ID]])*(Log[Verb]="est")),Log[Arg])),N(Items[[#This Row],[Points]])))</f>
      </c>
      <c r="K397" s="17">
        <f>IF(Items[[#This Row],[ID]]="","",IFERROR(LOOKUP(2,1/((Log[ID]=Items[[#This Row],[ID]])*(Log[Verb]="pass")),Log[Arg])&amp;"",Items[[#This Row],[Team]]&amp;""))</f>
      </c>
      <c r="L397" s="17">
        <f>IF(Items[[#This Row],[ID]]="","",IFERROR(LOOKUP(2,1/((Log[ID]=Items[[#This Row],[ID]])*(Log[Into]&lt;&gt;"")),Log[Into]),""))</f>
      </c>
      <c r="M397" s="17">
        <f>IF(Items[[#This Row],[ID]]="","",IF(IFERROR(LOOKUP(2,1/((Log[ID]=Items[[#This Row],[ID]])*(Log[Blk]&lt;&gt;"")),Log[Blk]),0)=1,"Y",""))</f>
      </c>
      <c r="N397" s="17">
        <f>IF(Items[[#This Row],[ID]]="","",SUBSTITUTE(IFERROR(LOOKUP(2,1/((Log[ID]=Items[[#This Row],[ID]])*(Log[State]&lt;&gt;"")),Log[State]),"TODO"),"OPEN",IF(Items[[#This Row],[Blocked]]="Y","WAIT","OPEN")))</f>
      </c>
      <c r="O39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97" s="17">
        <f>IF(Items[[#This Row],[State]]&lt;&gt;"WAIT","",AsOf-Items[[#This Row],[Blocked since]])</f>
      </c>
      <c r="Q397" s="17">
        <f>IF(Items[[#This Row],[State]]&lt;&gt;"WAIT","",IFERROR(LOOKUP(2,1/((Log[ID]=Items[[#This Row],[ID]])*(Log[Verb]="block")),Log[Note])&amp;"",""))</f>
      </c>
      <c r="R397" s="17">
        <f>IF(Items[[#This Row],[ID]]="","",COUNTIFS(Log[ID],Items[[#This Row],[ID]],Log[Verb],"carry"))</f>
      </c>
      <c r="S397" s="17">
        <f>IF(Items[[#This Row],[ID]]="","",COUNTIFS(Log[ID],Items[[#This Row],[ID]],Log[Verb],"punt"))</f>
      </c>
      <c r="T397" s="11">
        <f>IF(Items[[#This Row],[State]]&lt;&gt;"DONE","",IFERROR(LOOKUP(2,1/((Log[ID]=Items[[#This Row],[ID]])*(Log[Verb]="done")),Log[Date]),""))</f>
      </c>
      <c r="U397" s="17">
        <f>IF(Items[[#This Row],[ID]]="","",IF(AND(Items[[#This Row],[Sprint]]=CurSprint,OR(Items[[#This Row],[State]]="OPEN",Items[[#This Row],[State]]="WAIT",Items[[#This Row],[State]]="HOLD",Items[[#This Row],[State]]="DONE")),1,0))</f>
      </c>
      <c r="V397" s="17">
        <f>IF(OR(Items[[#This Row],[ID]]="",Items[[#This Row],[Added]]=""),"",AsOf-Items[[#This Row],[Added]])</f>
      </c>
      <c r="W397" s="17">
        <f>IF(Items[[#This Row],[In sprint]]=1,(IF(Items[[#This Row],[Prio]]="",9,N(Items[[#This Row],[Prio]]))*10+(IF(Items[[#This Row],[State]]="DONE",1,0)))*100000+ROW(),"")</f>
      </c>
      <c r="X39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97" s="17">
        <f>IF(AND(Items[[#This Row],[State]]="DONE",N(Items[[#This Row],[Done on]])&gt;AsOf-7),(200000-N(Items[[#This Row],[Done on]]))*100000+ROW(),"")</f>
      </c>
    </row>
    <row r="398">
      <c r="A398" t="s">
        <v>603</v>
      </c>
      <c r="B398" t="s">
        <v>1618</v>
      </c>
      <c r="C398" t="s">
        <v>1107</v>
      </c>
      <c r="D398" t="s">
        <v>1123</v>
      </c>
      <c r="E398" t="s">
        <v>1124</v>
      </c>
      <c r="F398" t="s">
        <v>1200</v>
      </c>
      <c r="G398">
        <v>5</v>
      </c>
      <c r="H398">
        <v>3</v>
      </c>
      <c r="I398" s="11">
        <v>46147</v>
      </c>
      <c r="J398" s="17">
        <f>IF(Items[[#This Row],[ID]]="","",IFERROR(VALUE(LOOKUP(2,1/((Log[ID]=Items[[#This Row],[ID]])*(Log[Verb]="est")),Log[Arg])),N(Items[[#This Row],[Points]])))</f>
      </c>
      <c r="K398" s="17">
        <f>IF(Items[[#This Row],[ID]]="","",IFERROR(LOOKUP(2,1/((Log[ID]=Items[[#This Row],[ID]])*(Log[Verb]="pass")),Log[Arg])&amp;"",Items[[#This Row],[Team]]&amp;""))</f>
      </c>
      <c r="L398" s="17">
        <f>IF(Items[[#This Row],[ID]]="","",IFERROR(LOOKUP(2,1/((Log[ID]=Items[[#This Row],[ID]])*(Log[Into]&lt;&gt;"")),Log[Into]),""))</f>
      </c>
      <c r="M398" s="17">
        <f>IF(Items[[#This Row],[ID]]="","",IF(IFERROR(LOOKUP(2,1/((Log[ID]=Items[[#This Row],[ID]])*(Log[Blk]&lt;&gt;"")),Log[Blk]),0)=1,"Y",""))</f>
      </c>
      <c r="N398" s="17">
        <f>IF(Items[[#This Row],[ID]]="","",SUBSTITUTE(IFERROR(LOOKUP(2,1/((Log[ID]=Items[[#This Row],[ID]])*(Log[State]&lt;&gt;"")),Log[State]),"TODO"),"OPEN",IF(Items[[#This Row],[Blocked]]="Y","WAIT","OPEN")))</f>
      </c>
      <c r="O39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98" s="17">
        <f>IF(Items[[#This Row],[State]]&lt;&gt;"WAIT","",AsOf-Items[[#This Row],[Blocked since]])</f>
      </c>
      <c r="Q398" s="17">
        <f>IF(Items[[#This Row],[State]]&lt;&gt;"WAIT","",IFERROR(LOOKUP(2,1/((Log[ID]=Items[[#This Row],[ID]])*(Log[Verb]="block")),Log[Note])&amp;"",""))</f>
      </c>
      <c r="R398" s="17">
        <f>IF(Items[[#This Row],[ID]]="","",COUNTIFS(Log[ID],Items[[#This Row],[ID]],Log[Verb],"carry"))</f>
      </c>
      <c r="S398" s="17">
        <f>IF(Items[[#This Row],[ID]]="","",COUNTIFS(Log[ID],Items[[#This Row],[ID]],Log[Verb],"punt"))</f>
      </c>
      <c r="T398" s="11">
        <f>IF(Items[[#This Row],[State]]&lt;&gt;"DONE","",IFERROR(LOOKUP(2,1/((Log[ID]=Items[[#This Row],[ID]])*(Log[Verb]="done")),Log[Date]),""))</f>
      </c>
      <c r="U398" s="17">
        <f>IF(Items[[#This Row],[ID]]="","",IF(AND(Items[[#This Row],[Sprint]]=CurSprint,OR(Items[[#This Row],[State]]="OPEN",Items[[#This Row],[State]]="WAIT",Items[[#This Row],[State]]="HOLD",Items[[#This Row],[State]]="DONE")),1,0))</f>
      </c>
      <c r="V398" s="17">
        <f>IF(OR(Items[[#This Row],[ID]]="",Items[[#This Row],[Added]]=""),"",AsOf-Items[[#This Row],[Added]])</f>
      </c>
      <c r="W398" s="17">
        <f>IF(Items[[#This Row],[In sprint]]=1,(IF(Items[[#This Row],[Prio]]="",9,N(Items[[#This Row],[Prio]]))*10+(IF(Items[[#This Row],[State]]="DONE",1,0)))*100000+ROW(),"")</f>
      </c>
      <c r="X39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98" s="17">
        <f>IF(AND(Items[[#This Row],[State]]="DONE",N(Items[[#This Row],[Done on]])&gt;AsOf-7),(200000-N(Items[[#This Row],[Done on]]))*100000+ROW(),"")</f>
      </c>
    </row>
    <row r="399">
      <c r="A399" t="s">
        <v>604</v>
      </c>
      <c r="B399" t="s">
        <v>1619</v>
      </c>
      <c r="C399" t="s">
        <v>1115</v>
      </c>
      <c r="D399" t="s">
        <v>1116</v>
      </c>
      <c r="E399" t="s">
        <v>1124</v>
      </c>
      <c r="F399" t="s">
        <v>1198</v>
      </c>
      <c r="G399">
        <v>5</v>
      </c>
      <c r="H399">
        <v>2</v>
      </c>
      <c r="I399" s="11">
        <v>46147</v>
      </c>
      <c r="J399" s="17">
        <f>IF(Items[[#This Row],[ID]]="","",IFERROR(VALUE(LOOKUP(2,1/((Log[ID]=Items[[#This Row],[ID]])*(Log[Verb]="est")),Log[Arg])),N(Items[[#This Row],[Points]])))</f>
      </c>
      <c r="K399" s="17">
        <f>IF(Items[[#This Row],[ID]]="","",IFERROR(LOOKUP(2,1/((Log[ID]=Items[[#This Row],[ID]])*(Log[Verb]="pass")),Log[Arg])&amp;"",Items[[#This Row],[Team]]&amp;""))</f>
      </c>
      <c r="L399" s="17">
        <f>IF(Items[[#This Row],[ID]]="","",IFERROR(LOOKUP(2,1/((Log[ID]=Items[[#This Row],[ID]])*(Log[Into]&lt;&gt;"")),Log[Into]),""))</f>
      </c>
      <c r="M399" s="17">
        <f>IF(Items[[#This Row],[ID]]="","",IF(IFERROR(LOOKUP(2,1/((Log[ID]=Items[[#This Row],[ID]])*(Log[Blk]&lt;&gt;"")),Log[Blk]),0)=1,"Y",""))</f>
      </c>
      <c r="N399" s="17">
        <f>IF(Items[[#This Row],[ID]]="","",SUBSTITUTE(IFERROR(LOOKUP(2,1/((Log[ID]=Items[[#This Row],[ID]])*(Log[State]&lt;&gt;"")),Log[State]),"TODO"),"OPEN",IF(Items[[#This Row],[Blocked]]="Y","WAIT","OPEN")))</f>
      </c>
      <c r="O39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99" s="17">
        <f>IF(Items[[#This Row],[State]]&lt;&gt;"WAIT","",AsOf-Items[[#This Row],[Blocked since]])</f>
      </c>
      <c r="Q399" s="17">
        <f>IF(Items[[#This Row],[State]]&lt;&gt;"WAIT","",IFERROR(LOOKUP(2,1/((Log[ID]=Items[[#This Row],[ID]])*(Log[Verb]="block")),Log[Note])&amp;"",""))</f>
      </c>
      <c r="R399" s="17">
        <f>IF(Items[[#This Row],[ID]]="","",COUNTIFS(Log[ID],Items[[#This Row],[ID]],Log[Verb],"carry"))</f>
      </c>
      <c r="S399" s="17">
        <f>IF(Items[[#This Row],[ID]]="","",COUNTIFS(Log[ID],Items[[#This Row],[ID]],Log[Verb],"punt"))</f>
      </c>
      <c r="T399" s="11">
        <f>IF(Items[[#This Row],[State]]&lt;&gt;"DONE","",IFERROR(LOOKUP(2,1/((Log[ID]=Items[[#This Row],[ID]])*(Log[Verb]="done")),Log[Date]),""))</f>
      </c>
      <c r="U399" s="17">
        <f>IF(Items[[#This Row],[ID]]="","",IF(AND(Items[[#This Row],[Sprint]]=CurSprint,OR(Items[[#This Row],[State]]="OPEN",Items[[#This Row],[State]]="WAIT",Items[[#This Row],[State]]="HOLD",Items[[#This Row],[State]]="DONE")),1,0))</f>
      </c>
      <c r="V399" s="17">
        <f>IF(OR(Items[[#This Row],[ID]]="",Items[[#This Row],[Added]]=""),"",AsOf-Items[[#This Row],[Added]])</f>
      </c>
      <c r="W399" s="17">
        <f>IF(Items[[#This Row],[In sprint]]=1,(IF(Items[[#This Row],[Prio]]="",9,N(Items[[#This Row],[Prio]]))*10+(IF(Items[[#This Row],[State]]="DONE",1,0)))*100000+ROW(),"")</f>
      </c>
      <c r="X39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99" s="17">
        <f>IF(AND(Items[[#This Row],[State]]="DONE",N(Items[[#This Row],[Done on]])&gt;AsOf-7),(200000-N(Items[[#This Row],[Done on]]))*100000+ROW(),"")</f>
      </c>
    </row>
    <row r="400">
      <c r="A400" t="s">
        <v>557</v>
      </c>
      <c r="B400" t="s">
        <v>1620</v>
      </c>
      <c r="C400" t="s">
        <v>1107</v>
      </c>
      <c r="D400" t="s">
        <v>1108</v>
      </c>
      <c r="E400" t="s">
        <v>1159</v>
      </c>
      <c r="F400" t="s">
        <v>1285</v>
      </c>
      <c r="G400">
        <v>8</v>
      </c>
      <c r="H400">
        <v>2</v>
      </c>
      <c r="I400" s="11">
        <v>46147</v>
      </c>
      <c r="J400" s="17">
        <f>IF(Items[[#This Row],[ID]]="","",IFERROR(VALUE(LOOKUP(2,1/((Log[ID]=Items[[#This Row],[ID]])*(Log[Verb]="est")),Log[Arg])),N(Items[[#This Row],[Points]])))</f>
      </c>
      <c r="K400" s="17">
        <f>IF(Items[[#This Row],[ID]]="","",IFERROR(LOOKUP(2,1/((Log[ID]=Items[[#This Row],[ID]])*(Log[Verb]="pass")),Log[Arg])&amp;"",Items[[#This Row],[Team]]&amp;""))</f>
      </c>
      <c r="L400" s="17">
        <f>IF(Items[[#This Row],[ID]]="","",IFERROR(LOOKUP(2,1/((Log[ID]=Items[[#This Row],[ID]])*(Log[Into]&lt;&gt;"")),Log[Into]),""))</f>
      </c>
      <c r="M400" s="17">
        <f>IF(Items[[#This Row],[ID]]="","",IF(IFERROR(LOOKUP(2,1/((Log[ID]=Items[[#This Row],[ID]])*(Log[Blk]&lt;&gt;"")),Log[Blk]),0)=1,"Y",""))</f>
      </c>
      <c r="N400" s="17">
        <f>IF(Items[[#This Row],[ID]]="","",SUBSTITUTE(IFERROR(LOOKUP(2,1/((Log[ID]=Items[[#This Row],[ID]])*(Log[State]&lt;&gt;"")),Log[State]),"TODO"),"OPEN",IF(Items[[#This Row],[Blocked]]="Y","WAIT","OPEN")))</f>
      </c>
      <c r="O40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00" s="17">
        <f>IF(Items[[#This Row],[State]]&lt;&gt;"WAIT","",AsOf-Items[[#This Row],[Blocked since]])</f>
      </c>
      <c r="Q400" s="17">
        <f>IF(Items[[#This Row],[State]]&lt;&gt;"WAIT","",IFERROR(LOOKUP(2,1/((Log[ID]=Items[[#This Row],[ID]])*(Log[Verb]="block")),Log[Note])&amp;"",""))</f>
      </c>
      <c r="R400" s="17">
        <f>IF(Items[[#This Row],[ID]]="","",COUNTIFS(Log[ID],Items[[#This Row],[ID]],Log[Verb],"carry"))</f>
      </c>
      <c r="S400" s="17">
        <f>IF(Items[[#This Row],[ID]]="","",COUNTIFS(Log[ID],Items[[#This Row],[ID]],Log[Verb],"punt"))</f>
      </c>
      <c r="T400" s="11">
        <f>IF(Items[[#This Row],[State]]&lt;&gt;"DONE","",IFERROR(LOOKUP(2,1/((Log[ID]=Items[[#This Row],[ID]])*(Log[Verb]="done")),Log[Date]),""))</f>
      </c>
      <c r="U400" s="17">
        <f>IF(Items[[#This Row],[ID]]="","",IF(AND(Items[[#This Row],[Sprint]]=CurSprint,OR(Items[[#This Row],[State]]="OPEN",Items[[#This Row],[State]]="WAIT",Items[[#This Row],[State]]="HOLD",Items[[#This Row],[State]]="DONE")),1,0))</f>
      </c>
      <c r="V400" s="17">
        <f>IF(OR(Items[[#This Row],[ID]]="",Items[[#This Row],[Added]]=""),"",AsOf-Items[[#This Row],[Added]])</f>
      </c>
      <c r="W400" s="17">
        <f>IF(Items[[#This Row],[In sprint]]=1,(IF(Items[[#This Row],[Prio]]="",9,N(Items[[#This Row],[Prio]]))*10+(IF(Items[[#This Row],[State]]="DONE",1,0)))*100000+ROW(),"")</f>
      </c>
      <c r="X40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00" s="17">
        <f>IF(AND(Items[[#This Row],[State]]="DONE",N(Items[[#This Row],[Done on]])&gt;AsOf-7),(200000-N(Items[[#This Row],[Done on]]))*100000+ROW(),"")</f>
      </c>
    </row>
    <row r="401">
      <c r="A401" t="s">
        <v>558</v>
      </c>
      <c r="B401" t="s">
        <v>1621</v>
      </c>
      <c r="C401" t="s">
        <v>1107</v>
      </c>
      <c r="D401" t="s">
        <v>1127</v>
      </c>
      <c r="E401" t="s">
        <v>1159</v>
      </c>
      <c r="F401" t="s">
        <v>1213</v>
      </c>
      <c r="G401">
        <v>2</v>
      </c>
      <c r="H401">
        <v>3</v>
      </c>
      <c r="I401" s="11">
        <v>46147</v>
      </c>
      <c r="J401" s="17">
        <f>IF(Items[[#This Row],[ID]]="","",IFERROR(VALUE(LOOKUP(2,1/((Log[ID]=Items[[#This Row],[ID]])*(Log[Verb]="est")),Log[Arg])),N(Items[[#This Row],[Points]])))</f>
      </c>
      <c r="K401" s="17">
        <f>IF(Items[[#This Row],[ID]]="","",IFERROR(LOOKUP(2,1/((Log[ID]=Items[[#This Row],[ID]])*(Log[Verb]="pass")),Log[Arg])&amp;"",Items[[#This Row],[Team]]&amp;""))</f>
      </c>
      <c r="L401" s="17">
        <f>IF(Items[[#This Row],[ID]]="","",IFERROR(LOOKUP(2,1/((Log[ID]=Items[[#This Row],[ID]])*(Log[Into]&lt;&gt;"")),Log[Into]),""))</f>
      </c>
      <c r="M401" s="17">
        <f>IF(Items[[#This Row],[ID]]="","",IF(IFERROR(LOOKUP(2,1/((Log[ID]=Items[[#This Row],[ID]])*(Log[Blk]&lt;&gt;"")),Log[Blk]),0)=1,"Y",""))</f>
      </c>
      <c r="N401" s="17">
        <f>IF(Items[[#This Row],[ID]]="","",SUBSTITUTE(IFERROR(LOOKUP(2,1/((Log[ID]=Items[[#This Row],[ID]])*(Log[State]&lt;&gt;"")),Log[State]),"TODO"),"OPEN",IF(Items[[#This Row],[Blocked]]="Y","WAIT","OPEN")))</f>
      </c>
      <c r="O40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01" s="17">
        <f>IF(Items[[#This Row],[State]]&lt;&gt;"WAIT","",AsOf-Items[[#This Row],[Blocked since]])</f>
      </c>
      <c r="Q401" s="17">
        <f>IF(Items[[#This Row],[State]]&lt;&gt;"WAIT","",IFERROR(LOOKUP(2,1/((Log[ID]=Items[[#This Row],[ID]])*(Log[Verb]="block")),Log[Note])&amp;"",""))</f>
      </c>
      <c r="R401" s="17">
        <f>IF(Items[[#This Row],[ID]]="","",COUNTIFS(Log[ID],Items[[#This Row],[ID]],Log[Verb],"carry"))</f>
      </c>
      <c r="S401" s="17">
        <f>IF(Items[[#This Row],[ID]]="","",COUNTIFS(Log[ID],Items[[#This Row],[ID]],Log[Verb],"punt"))</f>
      </c>
      <c r="T401" s="11">
        <f>IF(Items[[#This Row],[State]]&lt;&gt;"DONE","",IFERROR(LOOKUP(2,1/((Log[ID]=Items[[#This Row],[ID]])*(Log[Verb]="done")),Log[Date]),""))</f>
      </c>
      <c r="U401" s="17">
        <f>IF(Items[[#This Row],[ID]]="","",IF(AND(Items[[#This Row],[Sprint]]=CurSprint,OR(Items[[#This Row],[State]]="OPEN",Items[[#This Row],[State]]="WAIT",Items[[#This Row],[State]]="HOLD",Items[[#This Row],[State]]="DONE")),1,0))</f>
      </c>
      <c r="V401" s="17">
        <f>IF(OR(Items[[#This Row],[ID]]="",Items[[#This Row],[Added]]=""),"",AsOf-Items[[#This Row],[Added]])</f>
      </c>
      <c r="W401" s="17">
        <f>IF(Items[[#This Row],[In sprint]]=1,(IF(Items[[#This Row],[Prio]]="",9,N(Items[[#This Row],[Prio]]))*10+(IF(Items[[#This Row],[State]]="DONE",1,0)))*100000+ROW(),"")</f>
      </c>
      <c r="X40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01" s="17">
        <f>IF(AND(Items[[#This Row],[State]]="DONE",N(Items[[#This Row],[Done on]])&gt;AsOf-7),(200000-N(Items[[#This Row],[Done on]]))*100000+ROW(),"")</f>
      </c>
    </row>
    <row r="402">
      <c r="A402" t="s">
        <v>559</v>
      </c>
      <c r="B402" t="s">
        <v>1622</v>
      </c>
      <c r="C402" t="s">
        <v>1115</v>
      </c>
      <c r="D402" t="s">
        <v>1116</v>
      </c>
      <c r="E402" t="s">
        <v>1159</v>
      </c>
      <c r="F402" t="s">
        <v>1285</v>
      </c>
      <c r="G402">
        <v>3</v>
      </c>
      <c r="H402">
        <v>1</v>
      </c>
      <c r="I402" s="11">
        <v>46147</v>
      </c>
      <c r="J402" s="17">
        <f>IF(Items[[#This Row],[ID]]="","",IFERROR(VALUE(LOOKUP(2,1/((Log[ID]=Items[[#This Row],[ID]])*(Log[Verb]="est")),Log[Arg])),N(Items[[#This Row],[Points]])))</f>
      </c>
      <c r="K402" s="17">
        <f>IF(Items[[#This Row],[ID]]="","",IFERROR(LOOKUP(2,1/((Log[ID]=Items[[#This Row],[ID]])*(Log[Verb]="pass")),Log[Arg])&amp;"",Items[[#This Row],[Team]]&amp;""))</f>
      </c>
      <c r="L402" s="17">
        <f>IF(Items[[#This Row],[ID]]="","",IFERROR(LOOKUP(2,1/((Log[ID]=Items[[#This Row],[ID]])*(Log[Into]&lt;&gt;"")),Log[Into]),""))</f>
      </c>
      <c r="M402" s="17">
        <f>IF(Items[[#This Row],[ID]]="","",IF(IFERROR(LOOKUP(2,1/((Log[ID]=Items[[#This Row],[ID]])*(Log[Blk]&lt;&gt;"")),Log[Blk]),0)=1,"Y",""))</f>
      </c>
      <c r="N402" s="17">
        <f>IF(Items[[#This Row],[ID]]="","",SUBSTITUTE(IFERROR(LOOKUP(2,1/((Log[ID]=Items[[#This Row],[ID]])*(Log[State]&lt;&gt;"")),Log[State]),"TODO"),"OPEN",IF(Items[[#This Row],[Blocked]]="Y","WAIT","OPEN")))</f>
      </c>
      <c r="O40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02" s="17">
        <f>IF(Items[[#This Row],[State]]&lt;&gt;"WAIT","",AsOf-Items[[#This Row],[Blocked since]])</f>
      </c>
      <c r="Q402" s="17">
        <f>IF(Items[[#This Row],[State]]&lt;&gt;"WAIT","",IFERROR(LOOKUP(2,1/((Log[ID]=Items[[#This Row],[ID]])*(Log[Verb]="block")),Log[Note])&amp;"",""))</f>
      </c>
      <c r="R402" s="17">
        <f>IF(Items[[#This Row],[ID]]="","",COUNTIFS(Log[ID],Items[[#This Row],[ID]],Log[Verb],"carry"))</f>
      </c>
      <c r="S402" s="17">
        <f>IF(Items[[#This Row],[ID]]="","",COUNTIFS(Log[ID],Items[[#This Row],[ID]],Log[Verb],"punt"))</f>
      </c>
      <c r="T402" s="11">
        <f>IF(Items[[#This Row],[State]]&lt;&gt;"DONE","",IFERROR(LOOKUP(2,1/((Log[ID]=Items[[#This Row],[ID]])*(Log[Verb]="done")),Log[Date]),""))</f>
      </c>
      <c r="U402" s="17">
        <f>IF(Items[[#This Row],[ID]]="","",IF(AND(Items[[#This Row],[Sprint]]=CurSprint,OR(Items[[#This Row],[State]]="OPEN",Items[[#This Row],[State]]="WAIT",Items[[#This Row],[State]]="HOLD",Items[[#This Row],[State]]="DONE")),1,0))</f>
      </c>
      <c r="V402" s="17">
        <f>IF(OR(Items[[#This Row],[ID]]="",Items[[#This Row],[Added]]=""),"",AsOf-Items[[#This Row],[Added]])</f>
      </c>
      <c r="W402" s="17">
        <f>IF(Items[[#This Row],[In sprint]]=1,(IF(Items[[#This Row],[Prio]]="",9,N(Items[[#This Row],[Prio]]))*10+(IF(Items[[#This Row],[State]]="DONE",1,0)))*100000+ROW(),"")</f>
      </c>
      <c r="X40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02" s="17">
        <f>IF(AND(Items[[#This Row],[State]]="DONE",N(Items[[#This Row],[Done on]])&gt;AsOf-7),(200000-N(Items[[#This Row],[Done on]]))*100000+ROW(),"")</f>
      </c>
    </row>
    <row r="403">
      <c r="A403" t="s">
        <v>560</v>
      </c>
      <c r="B403" t="s">
        <v>1623</v>
      </c>
      <c r="C403" t="s">
        <v>1115</v>
      </c>
      <c r="D403" t="s">
        <v>1119</v>
      </c>
      <c r="E403" t="s">
        <v>1159</v>
      </c>
      <c r="F403" t="s">
        <v>1355</v>
      </c>
      <c r="G403">
        <v>5</v>
      </c>
      <c r="H403">
        <v>3</v>
      </c>
      <c r="I403" s="11">
        <v>46147</v>
      </c>
      <c r="J403" s="17">
        <f>IF(Items[[#This Row],[ID]]="","",IFERROR(VALUE(LOOKUP(2,1/((Log[ID]=Items[[#This Row],[ID]])*(Log[Verb]="est")),Log[Arg])),N(Items[[#This Row],[Points]])))</f>
      </c>
      <c r="K403" s="17">
        <f>IF(Items[[#This Row],[ID]]="","",IFERROR(LOOKUP(2,1/((Log[ID]=Items[[#This Row],[ID]])*(Log[Verb]="pass")),Log[Arg])&amp;"",Items[[#This Row],[Team]]&amp;""))</f>
      </c>
      <c r="L403" s="17">
        <f>IF(Items[[#This Row],[ID]]="","",IFERROR(LOOKUP(2,1/((Log[ID]=Items[[#This Row],[ID]])*(Log[Into]&lt;&gt;"")),Log[Into]),""))</f>
      </c>
      <c r="M403" s="17">
        <f>IF(Items[[#This Row],[ID]]="","",IF(IFERROR(LOOKUP(2,1/((Log[ID]=Items[[#This Row],[ID]])*(Log[Blk]&lt;&gt;"")),Log[Blk]),0)=1,"Y",""))</f>
      </c>
      <c r="N403" s="17">
        <f>IF(Items[[#This Row],[ID]]="","",SUBSTITUTE(IFERROR(LOOKUP(2,1/((Log[ID]=Items[[#This Row],[ID]])*(Log[State]&lt;&gt;"")),Log[State]),"TODO"),"OPEN",IF(Items[[#This Row],[Blocked]]="Y","WAIT","OPEN")))</f>
      </c>
      <c r="O40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03" s="17">
        <f>IF(Items[[#This Row],[State]]&lt;&gt;"WAIT","",AsOf-Items[[#This Row],[Blocked since]])</f>
      </c>
      <c r="Q403" s="17">
        <f>IF(Items[[#This Row],[State]]&lt;&gt;"WAIT","",IFERROR(LOOKUP(2,1/((Log[ID]=Items[[#This Row],[ID]])*(Log[Verb]="block")),Log[Note])&amp;"",""))</f>
      </c>
      <c r="R403" s="17">
        <f>IF(Items[[#This Row],[ID]]="","",COUNTIFS(Log[ID],Items[[#This Row],[ID]],Log[Verb],"carry"))</f>
      </c>
      <c r="S403" s="17">
        <f>IF(Items[[#This Row],[ID]]="","",COUNTIFS(Log[ID],Items[[#This Row],[ID]],Log[Verb],"punt"))</f>
      </c>
      <c r="T403" s="11">
        <f>IF(Items[[#This Row],[State]]&lt;&gt;"DONE","",IFERROR(LOOKUP(2,1/((Log[ID]=Items[[#This Row],[ID]])*(Log[Verb]="done")),Log[Date]),""))</f>
      </c>
      <c r="U403" s="17">
        <f>IF(Items[[#This Row],[ID]]="","",IF(AND(Items[[#This Row],[Sprint]]=CurSprint,OR(Items[[#This Row],[State]]="OPEN",Items[[#This Row],[State]]="WAIT",Items[[#This Row],[State]]="HOLD",Items[[#This Row],[State]]="DONE")),1,0))</f>
      </c>
      <c r="V403" s="17">
        <f>IF(OR(Items[[#This Row],[ID]]="",Items[[#This Row],[Added]]=""),"",AsOf-Items[[#This Row],[Added]])</f>
      </c>
      <c r="W403" s="17">
        <f>IF(Items[[#This Row],[In sprint]]=1,(IF(Items[[#This Row],[Prio]]="",9,N(Items[[#This Row],[Prio]]))*10+(IF(Items[[#This Row],[State]]="DONE",1,0)))*100000+ROW(),"")</f>
      </c>
      <c r="X40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03" s="17">
        <f>IF(AND(Items[[#This Row],[State]]="DONE",N(Items[[#This Row],[Done on]])&gt;AsOf-7),(200000-N(Items[[#This Row],[Done on]]))*100000+ROW(),"")</f>
      </c>
    </row>
    <row r="404">
      <c r="A404" t="s">
        <v>609</v>
      </c>
      <c r="B404" t="s">
        <v>1624</v>
      </c>
      <c r="C404" t="s">
        <v>1107</v>
      </c>
      <c r="D404" t="s">
        <v>1123</v>
      </c>
      <c r="E404" t="s">
        <v>1159</v>
      </c>
      <c r="F404" t="s">
        <v>1437</v>
      </c>
      <c r="G404">
        <v>5</v>
      </c>
      <c r="H404">
        <v>3</v>
      </c>
      <c r="I404" s="11">
        <v>46147</v>
      </c>
      <c r="J404" s="17">
        <f>IF(Items[[#This Row],[ID]]="","",IFERROR(VALUE(LOOKUP(2,1/((Log[ID]=Items[[#This Row],[ID]])*(Log[Verb]="est")),Log[Arg])),N(Items[[#This Row],[Points]])))</f>
      </c>
      <c r="K404" s="17">
        <f>IF(Items[[#This Row],[ID]]="","",IFERROR(LOOKUP(2,1/((Log[ID]=Items[[#This Row],[ID]])*(Log[Verb]="pass")),Log[Arg])&amp;"",Items[[#This Row],[Team]]&amp;""))</f>
      </c>
      <c r="L404" s="17">
        <f>IF(Items[[#This Row],[ID]]="","",IFERROR(LOOKUP(2,1/((Log[ID]=Items[[#This Row],[ID]])*(Log[Into]&lt;&gt;"")),Log[Into]),""))</f>
      </c>
      <c r="M404" s="17">
        <f>IF(Items[[#This Row],[ID]]="","",IF(IFERROR(LOOKUP(2,1/((Log[ID]=Items[[#This Row],[ID]])*(Log[Blk]&lt;&gt;"")),Log[Blk]),0)=1,"Y",""))</f>
      </c>
      <c r="N404" s="17">
        <f>IF(Items[[#This Row],[ID]]="","",SUBSTITUTE(IFERROR(LOOKUP(2,1/((Log[ID]=Items[[#This Row],[ID]])*(Log[State]&lt;&gt;"")),Log[State]),"TODO"),"OPEN",IF(Items[[#This Row],[Blocked]]="Y","WAIT","OPEN")))</f>
      </c>
      <c r="O40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04" s="17">
        <f>IF(Items[[#This Row],[State]]&lt;&gt;"WAIT","",AsOf-Items[[#This Row],[Blocked since]])</f>
      </c>
      <c r="Q404" s="17">
        <f>IF(Items[[#This Row],[State]]&lt;&gt;"WAIT","",IFERROR(LOOKUP(2,1/((Log[ID]=Items[[#This Row],[ID]])*(Log[Verb]="block")),Log[Note])&amp;"",""))</f>
      </c>
      <c r="R404" s="17">
        <f>IF(Items[[#This Row],[ID]]="","",COUNTIFS(Log[ID],Items[[#This Row],[ID]],Log[Verb],"carry"))</f>
      </c>
      <c r="S404" s="17">
        <f>IF(Items[[#This Row],[ID]]="","",COUNTIFS(Log[ID],Items[[#This Row],[ID]],Log[Verb],"punt"))</f>
      </c>
      <c r="T404" s="11">
        <f>IF(Items[[#This Row],[State]]&lt;&gt;"DONE","",IFERROR(LOOKUP(2,1/((Log[ID]=Items[[#This Row],[ID]])*(Log[Verb]="done")),Log[Date]),""))</f>
      </c>
      <c r="U404" s="17">
        <f>IF(Items[[#This Row],[ID]]="","",IF(AND(Items[[#This Row],[Sprint]]=CurSprint,OR(Items[[#This Row],[State]]="OPEN",Items[[#This Row],[State]]="WAIT",Items[[#This Row],[State]]="HOLD",Items[[#This Row],[State]]="DONE")),1,0))</f>
      </c>
      <c r="V404" s="17">
        <f>IF(OR(Items[[#This Row],[ID]]="",Items[[#This Row],[Added]]=""),"",AsOf-Items[[#This Row],[Added]])</f>
      </c>
      <c r="W404" s="17">
        <f>IF(Items[[#This Row],[In sprint]]=1,(IF(Items[[#This Row],[Prio]]="",9,N(Items[[#This Row],[Prio]]))*10+(IF(Items[[#This Row],[State]]="DONE",1,0)))*100000+ROW(),"")</f>
      </c>
      <c r="X40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04" s="17">
        <f>IF(AND(Items[[#This Row],[State]]="DONE",N(Items[[#This Row],[Done on]])&gt;AsOf-7),(200000-N(Items[[#This Row],[Done on]]))*100000+ROW(),"")</f>
      </c>
    </row>
    <row r="405">
      <c r="A405" t="s">
        <v>610</v>
      </c>
      <c r="B405" t="s">
        <v>1625</v>
      </c>
      <c r="C405" t="s">
        <v>1107</v>
      </c>
      <c r="D405" t="s">
        <v>1127</v>
      </c>
      <c r="E405" t="s">
        <v>1159</v>
      </c>
      <c r="F405" t="s">
        <v>1160</v>
      </c>
      <c r="G405">
        <v>3</v>
      </c>
      <c r="H405">
        <v>1</v>
      </c>
      <c r="I405" s="11">
        <v>46147</v>
      </c>
      <c r="J405" s="17">
        <f>IF(Items[[#This Row],[ID]]="","",IFERROR(VALUE(LOOKUP(2,1/((Log[ID]=Items[[#This Row],[ID]])*(Log[Verb]="est")),Log[Arg])),N(Items[[#This Row],[Points]])))</f>
      </c>
      <c r="K405" s="17">
        <f>IF(Items[[#This Row],[ID]]="","",IFERROR(LOOKUP(2,1/((Log[ID]=Items[[#This Row],[ID]])*(Log[Verb]="pass")),Log[Arg])&amp;"",Items[[#This Row],[Team]]&amp;""))</f>
      </c>
      <c r="L405" s="17">
        <f>IF(Items[[#This Row],[ID]]="","",IFERROR(LOOKUP(2,1/((Log[ID]=Items[[#This Row],[ID]])*(Log[Into]&lt;&gt;"")),Log[Into]),""))</f>
      </c>
      <c r="M405" s="17">
        <f>IF(Items[[#This Row],[ID]]="","",IF(IFERROR(LOOKUP(2,1/((Log[ID]=Items[[#This Row],[ID]])*(Log[Blk]&lt;&gt;"")),Log[Blk]),0)=1,"Y",""))</f>
      </c>
      <c r="N405" s="17">
        <f>IF(Items[[#This Row],[ID]]="","",SUBSTITUTE(IFERROR(LOOKUP(2,1/((Log[ID]=Items[[#This Row],[ID]])*(Log[State]&lt;&gt;"")),Log[State]),"TODO"),"OPEN",IF(Items[[#This Row],[Blocked]]="Y","WAIT","OPEN")))</f>
      </c>
      <c r="O40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05" s="17">
        <f>IF(Items[[#This Row],[State]]&lt;&gt;"WAIT","",AsOf-Items[[#This Row],[Blocked since]])</f>
      </c>
      <c r="Q405" s="17">
        <f>IF(Items[[#This Row],[State]]&lt;&gt;"WAIT","",IFERROR(LOOKUP(2,1/((Log[ID]=Items[[#This Row],[ID]])*(Log[Verb]="block")),Log[Note])&amp;"",""))</f>
      </c>
      <c r="R405" s="17">
        <f>IF(Items[[#This Row],[ID]]="","",COUNTIFS(Log[ID],Items[[#This Row],[ID]],Log[Verb],"carry"))</f>
      </c>
      <c r="S405" s="17">
        <f>IF(Items[[#This Row],[ID]]="","",COUNTIFS(Log[ID],Items[[#This Row],[ID]],Log[Verb],"punt"))</f>
      </c>
      <c r="T405" s="11">
        <f>IF(Items[[#This Row],[State]]&lt;&gt;"DONE","",IFERROR(LOOKUP(2,1/((Log[ID]=Items[[#This Row],[ID]])*(Log[Verb]="done")),Log[Date]),""))</f>
      </c>
      <c r="U405" s="17">
        <f>IF(Items[[#This Row],[ID]]="","",IF(AND(Items[[#This Row],[Sprint]]=CurSprint,OR(Items[[#This Row],[State]]="OPEN",Items[[#This Row],[State]]="WAIT",Items[[#This Row],[State]]="HOLD",Items[[#This Row],[State]]="DONE")),1,0))</f>
      </c>
      <c r="V405" s="17">
        <f>IF(OR(Items[[#This Row],[ID]]="",Items[[#This Row],[Added]]=""),"",AsOf-Items[[#This Row],[Added]])</f>
      </c>
      <c r="W405" s="17">
        <f>IF(Items[[#This Row],[In sprint]]=1,(IF(Items[[#This Row],[Prio]]="",9,N(Items[[#This Row],[Prio]]))*10+(IF(Items[[#This Row],[State]]="DONE",1,0)))*100000+ROW(),"")</f>
      </c>
      <c r="X40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05" s="17">
        <f>IF(AND(Items[[#This Row],[State]]="DONE",N(Items[[#This Row],[Done on]])&gt;AsOf-7),(200000-N(Items[[#This Row],[Done on]]))*100000+ROW(),"")</f>
      </c>
    </row>
    <row r="406">
      <c r="A406" t="s">
        <v>611</v>
      </c>
      <c r="B406" t="s">
        <v>1626</v>
      </c>
      <c r="C406" t="s">
        <v>1107</v>
      </c>
      <c r="D406" t="s">
        <v>1108</v>
      </c>
      <c r="E406" t="s">
        <v>1159</v>
      </c>
      <c r="F406" t="s">
        <v>1437</v>
      </c>
      <c r="G406">
        <v>3</v>
      </c>
      <c r="H406">
        <v>2</v>
      </c>
      <c r="I406" s="11">
        <v>46147</v>
      </c>
      <c r="J406" s="17">
        <f>IF(Items[[#This Row],[ID]]="","",IFERROR(VALUE(LOOKUP(2,1/((Log[ID]=Items[[#This Row],[ID]])*(Log[Verb]="est")),Log[Arg])),N(Items[[#This Row],[Points]])))</f>
      </c>
      <c r="K406" s="17">
        <f>IF(Items[[#This Row],[ID]]="","",IFERROR(LOOKUP(2,1/((Log[ID]=Items[[#This Row],[ID]])*(Log[Verb]="pass")),Log[Arg])&amp;"",Items[[#This Row],[Team]]&amp;""))</f>
      </c>
      <c r="L406" s="17">
        <f>IF(Items[[#This Row],[ID]]="","",IFERROR(LOOKUP(2,1/((Log[ID]=Items[[#This Row],[ID]])*(Log[Into]&lt;&gt;"")),Log[Into]),""))</f>
      </c>
      <c r="M406" s="17">
        <f>IF(Items[[#This Row],[ID]]="","",IF(IFERROR(LOOKUP(2,1/((Log[ID]=Items[[#This Row],[ID]])*(Log[Blk]&lt;&gt;"")),Log[Blk]),0)=1,"Y",""))</f>
      </c>
      <c r="N406" s="17">
        <f>IF(Items[[#This Row],[ID]]="","",SUBSTITUTE(IFERROR(LOOKUP(2,1/((Log[ID]=Items[[#This Row],[ID]])*(Log[State]&lt;&gt;"")),Log[State]),"TODO"),"OPEN",IF(Items[[#This Row],[Blocked]]="Y","WAIT","OPEN")))</f>
      </c>
      <c r="O40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06" s="17">
        <f>IF(Items[[#This Row],[State]]&lt;&gt;"WAIT","",AsOf-Items[[#This Row],[Blocked since]])</f>
      </c>
      <c r="Q406" s="17">
        <f>IF(Items[[#This Row],[State]]&lt;&gt;"WAIT","",IFERROR(LOOKUP(2,1/((Log[ID]=Items[[#This Row],[ID]])*(Log[Verb]="block")),Log[Note])&amp;"",""))</f>
      </c>
      <c r="R406" s="17">
        <f>IF(Items[[#This Row],[ID]]="","",COUNTIFS(Log[ID],Items[[#This Row],[ID]],Log[Verb],"carry"))</f>
      </c>
      <c r="S406" s="17">
        <f>IF(Items[[#This Row],[ID]]="","",COUNTIFS(Log[ID],Items[[#This Row],[ID]],Log[Verb],"punt"))</f>
      </c>
      <c r="T406" s="11">
        <f>IF(Items[[#This Row],[State]]&lt;&gt;"DONE","",IFERROR(LOOKUP(2,1/((Log[ID]=Items[[#This Row],[ID]])*(Log[Verb]="done")),Log[Date]),""))</f>
      </c>
      <c r="U406" s="17">
        <f>IF(Items[[#This Row],[ID]]="","",IF(AND(Items[[#This Row],[Sprint]]=CurSprint,OR(Items[[#This Row],[State]]="OPEN",Items[[#This Row],[State]]="WAIT",Items[[#This Row],[State]]="HOLD",Items[[#This Row],[State]]="DONE")),1,0))</f>
      </c>
      <c r="V406" s="17">
        <f>IF(OR(Items[[#This Row],[ID]]="",Items[[#This Row],[Added]]=""),"",AsOf-Items[[#This Row],[Added]])</f>
      </c>
      <c r="W406" s="17">
        <f>IF(Items[[#This Row],[In sprint]]=1,(IF(Items[[#This Row],[Prio]]="",9,N(Items[[#This Row],[Prio]]))*10+(IF(Items[[#This Row],[State]]="DONE",1,0)))*100000+ROW(),"")</f>
      </c>
      <c r="X40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06" s="17">
        <f>IF(AND(Items[[#This Row],[State]]="DONE",N(Items[[#This Row],[Done on]])&gt;AsOf-7),(200000-N(Items[[#This Row],[Done on]]))*100000+ROW(),"")</f>
      </c>
    </row>
    <row r="407">
      <c r="A407" t="s">
        <v>564</v>
      </c>
      <c r="B407" t="s">
        <v>1627</v>
      </c>
      <c r="C407" t="s">
        <v>1107</v>
      </c>
      <c r="D407" t="s">
        <v>1123</v>
      </c>
      <c r="E407" t="s">
        <v>1128</v>
      </c>
      <c r="F407" t="s">
        <v>1217</v>
      </c>
      <c r="G407">
        <v>5</v>
      </c>
      <c r="H407">
        <v>1</v>
      </c>
      <c r="I407" s="11">
        <v>46147</v>
      </c>
      <c r="J407" s="17">
        <f>IF(Items[[#This Row],[ID]]="","",IFERROR(VALUE(LOOKUP(2,1/((Log[ID]=Items[[#This Row],[ID]])*(Log[Verb]="est")),Log[Arg])),N(Items[[#This Row],[Points]])))</f>
      </c>
      <c r="K407" s="17">
        <f>IF(Items[[#This Row],[ID]]="","",IFERROR(LOOKUP(2,1/((Log[ID]=Items[[#This Row],[ID]])*(Log[Verb]="pass")),Log[Arg])&amp;"",Items[[#This Row],[Team]]&amp;""))</f>
      </c>
      <c r="L407" s="17">
        <f>IF(Items[[#This Row],[ID]]="","",IFERROR(LOOKUP(2,1/((Log[ID]=Items[[#This Row],[ID]])*(Log[Into]&lt;&gt;"")),Log[Into]),""))</f>
      </c>
      <c r="M407" s="17">
        <f>IF(Items[[#This Row],[ID]]="","",IF(IFERROR(LOOKUP(2,1/((Log[ID]=Items[[#This Row],[ID]])*(Log[Blk]&lt;&gt;"")),Log[Blk]),0)=1,"Y",""))</f>
      </c>
      <c r="N407" s="17">
        <f>IF(Items[[#This Row],[ID]]="","",SUBSTITUTE(IFERROR(LOOKUP(2,1/((Log[ID]=Items[[#This Row],[ID]])*(Log[State]&lt;&gt;"")),Log[State]),"TODO"),"OPEN",IF(Items[[#This Row],[Blocked]]="Y","WAIT","OPEN")))</f>
      </c>
      <c r="O40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07" s="17">
        <f>IF(Items[[#This Row],[State]]&lt;&gt;"WAIT","",AsOf-Items[[#This Row],[Blocked since]])</f>
      </c>
      <c r="Q407" s="17">
        <f>IF(Items[[#This Row],[State]]&lt;&gt;"WAIT","",IFERROR(LOOKUP(2,1/((Log[ID]=Items[[#This Row],[ID]])*(Log[Verb]="block")),Log[Note])&amp;"",""))</f>
      </c>
      <c r="R407" s="17">
        <f>IF(Items[[#This Row],[ID]]="","",COUNTIFS(Log[ID],Items[[#This Row],[ID]],Log[Verb],"carry"))</f>
      </c>
      <c r="S407" s="17">
        <f>IF(Items[[#This Row],[ID]]="","",COUNTIFS(Log[ID],Items[[#This Row],[ID]],Log[Verb],"punt"))</f>
      </c>
      <c r="T407" s="11">
        <f>IF(Items[[#This Row],[State]]&lt;&gt;"DONE","",IFERROR(LOOKUP(2,1/((Log[ID]=Items[[#This Row],[ID]])*(Log[Verb]="done")),Log[Date]),""))</f>
      </c>
      <c r="U407" s="17">
        <f>IF(Items[[#This Row],[ID]]="","",IF(AND(Items[[#This Row],[Sprint]]=CurSprint,OR(Items[[#This Row],[State]]="OPEN",Items[[#This Row],[State]]="WAIT",Items[[#This Row],[State]]="HOLD",Items[[#This Row],[State]]="DONE")),1,0))</f>
      </c>
      <c r="V407" s="17">
        <f>IF(OR(Items[[#This Row],[ID]]="",Items[[#This Row],[Added]]=""),"",AsOf-Items[[#This Row],[Added]])</f>
      </c>
      <c r="W407" s="17">
        <f>IF(Items[[#This Row],[In sprint]]=1,(IF(Items[[#This Row],[Prio]]="",9,N(Items[[#This Row],[Prio]]))*10+(IF(Items[[#This Row],[State]]="DONE",1,0)))*100000+ROW(),"")</f>
      </c>
      <c r="X40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07" s="17">
        <f>IF(AND(Items[[#This Row],[State]]="DONE",N(Items[[#This Row],[Done on]])&gt;AsOf-7),(200000-N(Items[[#This Row],[Done on]]))*100000+ROW(),"")</f>
      </c>
    </row>
    <row r="408">
      <c r="A408" t="s">
        <v>515</v>
      </c>
      <c r="B408" t="s">
        <v>1628</v>
      </c>
      <c r="C408" t="s">
        <v>1115</v>
      </c>
      <c r="D408" t="s">
        <v>1116</v>
      </c>
      <c r="E408" t="s">
        <v>1128</v>
      </c>
      <c r="F408" t="s">
        <v>1129</v>
      </c>
      <c r="G408">
        <v>3</v>
      </c>
      <c r="H408">
        <v>3</v>
      </c>
      <c r="I408" s="11">
        <v>46147</v>
      </c>
      <c r="J408" s="17">
        <f>IF(Items[[#This Row],[ID]]="","",IFERROR(VALUE(LOOKUP(2,1/((Log[ID]=Items[[#This Row],[ID]])*(Log[Verb]="est")),Log[Arg])),N(Items[[#This Row],[Points]])))</f>
      </c>
      <c r="K408" s="17">
        <f>IF(Items[[#This Row],[ID]]="","",IFERROR(LOOKUP(2,1/((Log[ID]=Items[[#This Row],[ID]])*(Log[Verb]="pass")),Log[Arg])&amp;"",Items[[#This Row],[Team]]&amp;""))</f>
      </c>
      <c r="L408" s="17">
        <f>IF(Items[[#This Row],[ID]]="","",IFERROR(LOOKUP(2,1/((Log[ID]=Items[[#This Row],[ID]])*(Log[Into]&lt;&gt;"")),Log[Into]),""))</f>
      </c>
      <c r="M408" s="17">
        <f>IF(Items[[#This Row],[ID]]="","",IF(IFERROR(LOOKUP(2,1/((Log[ID]=Items[[#This Row],[ID]])*(Log[Blk]&lt;&gt;"")),Log[Blk]),0)=1,"Y",""))</f>
      </c>
      <c r="N408" s="17">
        <f>IF(Items[[#This Row],[ID]]="","",SUBSTITUTE(IFERROR(LOOKUP(2,1/((Log[ID]=Items[[#This Row],[ID]])*(Log[State]&lt;&gt;"")),Log[State]),"TODO"),"OPEN",IF(Items[[#This Row],[Blocked]]="Y","WAIT","OPEN")))</f>
      </c>
      <c r="O40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08" s="17">
        <f>IF(Items[[#This Row],[State]]&lt;&gt;"WAIT","",AsOf-Items[[#This Row],[Blocked since]])</f>
      </c>
      <c r="Q408" s="17">
        <f>IF(Items[[#This Row],[State]]&lt;&gt;"WAIT","",IFERROR(LOOKUP(2,1/((Log[ID]=Items[[#This Row],[ID]])*(Log[Verb]="block")),Log[Note])&amp;"",""))</f>
      </c>
      <c r="R408" s="17">
        <f>IF(Items[[#This Row],[ID]]="","",COUNTIFS(Log[ID],Items[[#This Row],[ID]],Log[Verb],"carry"))</f>
      </c>
      <c r="S408" s="17">
        <f>IF(Items[[#This Row],[ID]]="","",COUNTIFS(Log[ID],Items[[#This Row],[ID]],Log[Verb],"punt"))</f>
      </c>
      <c r="T408" s="11">
        <f>IF(Items[[#This Row],[State]]&lt;&gt;"DONE","",IFERROR(LOOKUP(2,1/((Log[ID]=Items[[#This Row],[ID]])*(Log[Verb]="done")),Log[Date]),""))</f>
      </c>
      <c r="U408" s="17">
        <f>IF(Items[[#This Row],[ID]]="","",IF(AND(Items[[#This Row],[Sprint]]=CurSprint,OR(Items[[#This Row],[State]]="OPEN",Items[[#This Row],[State]]="WAIT",Items[[#This Row],[State]]="HOLD",Items[[#This Row],[State]]="DONE")),1,0))</f>
      </c>
      <c r="V408" s="17">
        <f>IF(OR(Items[[#This Row],[ID]]="",Items[[#This Row],[Added]]=""),"",AsOf-Items[[#This Row],[Added]])</f>
      </c>
      <c r="W408" s="17">
        <f>IF(Items[[#This Row],[In sprint]]=1,(IF(Items[[#This Row],[Prio]]="",9,N(Items[[#This Row],[Prio]]))*10+(IF(Items[[#This Row],[State]]="DONE",1,0)))*100000+ROW(),"")</f>
      </c>
      <c r="X40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08" s="17">
        <f>IF(AND(Items[[#This Row],[State]]="DONE",N(Items[[#This Row],[Done on]])&gt;AsOf-7),(200000-N(Items[[#This Row],[Done on]]))*100000+ROW(),"")</f>
      </c>
    </row>
    <row r="409">
      <c r="A409" t="s">
        <v>565</v>
      </c>
      <c r="B409" t="s">
        <v>1629</v>
      </c>
      <c r="C409" t="s">
        <v>1107</v>
      </c>
      <c r="D409" t="s">
        <v>1108</v>
      </c>
      <c r="E409" t="s">
        <v>1128</v>
      </c>
      <c r="F409" t="s">
        <v>1292</v>
      </c>
      <c r="G409">
        <v>2</v>
      </c>
      <c r="H409">
        <v>1</v>
      </c>
      <c r="I409" s="11">
        <v>46147</v>
      </c>
      <c r="J409" s="17">
        <f>IF(Items[[#This Row],[ID]]="","",IFERROR(VALUE(LOOKUP(2,1/((Log[ID]=Items[[#This Row],[ID]])*(Log[Verb]="est")),Log[Arg])),N(Items[[#This Row],[Points]])))</f>
      </c>
      <c r="K409" s="17">
        <f>IF(Items[[#This Row],[ID]]="","",IFERROR(LOOKUP(2,1/((Log[ID]=Items[[#This Row],[ID]])*(Log[Verb]="pass")),Log[Arg])&amp;"",Items[[#This Row],[Team]]&amp;""))</f>
      </c>
      <c r="L409" s="17">
        <f>IF(Items[[#This Row],[ID]]="","",IFERROR(LOOKUP(2,1/((Log[ID]=Items[[#This Row],[ID]])*(Log[Into]&lt;&gt;"")),Log[Into]),""))</f>
      </c>
      <c r="M409" s="17">
        <f>IF(Items[[#This Row],[ID]]="","",IF(IFERROR(LOOKUP(2,1/((Log[ID]=Items[[#This Row],[ID]])*(Log[Blk]&lt;&gt;"")),Log[Blk]),0)=1,"Y",""))</f>
      </c>
      <c r="N409" s="17">
        <f>IF(Items[[#This Row],[ID]]="","",SUBSTITUTE(IFERROR(LOOKUP(2,1/((Log[ID]=Items[[#This Row],[ID]])*(Log[State]&lt;&gt;"")),Log[State]),"TODO"),"OPEN",IF(Items[[#This Row],[Blocked]]="Y","WAIT","OPEN")))</f>
      </c>
      <c r="O40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09" s="17">
        <f>IF(Items[[#This Row],[State]]&lt;&gt;"WAIT","",AsOf-Items[[#This Row],[Blocked since]])</f>
      </c>
      <c r="Q409" s="17">
        <f>IF(Items[[#This Row],[State]]&lt;&gt;"WAIT","",IFERROR(LOOKUP(2,1/((Log[ID]=Items[[#This Row],[ID]])*(Log[Verb]="block")),Log[Note])&amp;"",""))</f>
      </c>
      <c r="R409" s="17">
        <f>IF(Items[[#This Row],[ID]]="","",COUNTIFS(Log[ID],Items[[#This Row],[ID]],Log[Verb],"carry"))</f>
      </c>
      <c r="S409" s="17">
        <f>IF(Items[[#This Row],[ID]]="","",COUNTIFS(Log[ID],Items[[#This Row],[ID]],Log[Verb],"punt"))</f>
      </c>
      <c r="T409" s="11">
        <f>IF(Items[[#This Row],[State]]&lt;&gt;"DONE","",IFERROR(LOOKUP(2,1/((Log[ID]=Items[[#This Row],[ID]])*(Log[Verb]="done")),Log[Date]),""))</f>
      </c>
      <c r="U409" s="17">
        <f>IF(Items[[#This Row],[ID]]="","",IF(AND(Items[[#This Row],[Sprint]]=CurSprint,OR(Items[[#This Row],[State]]="OPEN",Items[[#This Row],[State]]="WAIT",Items[[#This Row],[State]]="HOLD",Items[[#This Row],[State]]="DONE")),1,0))</f>
      </c>
      <c r="V409" s="17">
        <f>IF(OR(Items[[#This Row],[ID]]="",Items[[#This Row],[Added]]=""),"",AsOf-Items[[#This Row],[Added]])</f>
      </c>
      <c r="W409" s="17">
        <f>IF(Items[[#This Row],[In sprint]]=1,(IF(Items[[#This Row],[Prio]]="",9,N(Items[[#This Row],[Prio]]))*10+(IF(Items[[#This Row],[State]]="DONE",1,0)))*100000+ROW(),"")</f>
      </c>
      <c r="X40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09" s="17">
        <f>IF(AND(Items[[#This Row],[State]]="DONE",N(Items[[#This Row],[Done on]])&gt;AsOf-7),(200000-N(Items[[#This Row],[Done on]]))*100000+ROW(),"")</f>
      </c>
    </row>
    <row r="410">
      <c r="A410" t="s">
        <v>617</v>
      </c>
      <c r="B410" t="s">
        <v>1630</v>
      </c>
      <c r="C410" t="s">
        <v>1107</v>
      </c>
      <c r="D410" t="s">
        <v>1127</v>
      </c>
      <c r="E410" t="s">
        <v>1128</v>
      </c>
      <c r="F410" t="s">
        <v>1294</v>
      </c>
      <c r="G410">
        <v>8</v>
      </c>
      <c r="H410">
        <v>1</v>
      </c>
      <c r="I410" s="11">
        <v>46147</v>
      </c>
      <c r="J410" s="17">
        <f>IF(Items[[#This Row],[ID]]="","",IFERROR(VALUE(LOOKUP(2,1/((Log[ID]=Items[[#This Row],[ID]])*(Log[Verb]="est")),Log[Arg])),N(Items[[#This Row],[Points]])))</f>
      </c>
      <c r="K410" s="17">
        <f>IF(Items[[#This Row],[ID]]="","",IFERROR(LOOKUP(2,1/((Log[ID]=Items[[#This Row],[ID]])*(Log[Verb]="pass")),Log[Arg])&amp;"",Items[[#This Row],[Team]]&amp;""))</f>
      </c>
      <c r="L410" s="17">
        <f>IF(Items[[#This Row],[ID]]="","",IFERROR(LOOKUP(2,1/((Log[ID]=Items[[#This Row],[ID]])*(Log[Into]&lt;&gt;"")),Log[Into]),""))</f>
      </c>
      <c r="M410" s="17">
        <f>IF(Items[[#This Row],[ID]]="","",IF(IFERROR(LOOKUP(2,1/((Log[ID]=Items[[#This Row],[ID]])*(Log[Blk]&lt;&gt;"")),Log[Blk]),0)=1,"Y",""))</f>
      </c>
      <c r="N410" s="17">
        <f>IF(Items[[#This Row],[ID]]="","",SUBSTITUTE(IFERROR(LOOKUP(2,1/((Log[ID]=Items[[#This Row],[ID]])*(Log[State]&lt;&gt;"")),Log[State]),"TODO"),"OPEN",IF(Items[[#This Row],[Blocked]]="Y","WAIT","OPEN")))</f>
      </c>
      <c r="O41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10" s="17">
        <f>IF(Items[[#This Row],[State]]&lt;&gt;"WAIT","",AsOf-Items[[#This Row],[Blocked since]])</f>
      </c>
      <c r="Q410" s="17">
        <f>IF(Items[[#This Row],[State]]&lt;&gt;"WAIT","",IFERROR(LOOKUP(2,1/((Log[ID]=Items[[#This Row],[ID]])*(Log[Verb]="block")),Log[Note])&amp;"",""))</f>
      </c>
      <c r="R410" s="17">
        <f>IF(Items[[#This Row],[ID]]="","",COUNTIFS(Log[ID],Items[[#This Row],[ID]],Log[Verb],"carry"))</f>
      </c>
      <c r="S410" s="17">
        <f>IF(Items[[#This Row],[ID]]="","",COUNTIFS(Log[ID],Items[[#This Row],[ID]],Log[Verb],"punt"))</f>
      </c>
      <c r="T410" s="11">
        <f>IF(Items[[#This Row],[State]]&lt;&gt;"DONE","",IFERROR(LOOKUP(2,1/((Log[ID]=Items[[#This Row],[ID]])*(Log[Verb]="done")),Log[Date]),""))</f>
      </c>
      <c r="U410" s="17">
        <f>IF(Items[[#This Row],[ID]]="","",IF(AND(Items[[#This Row],[Sprint]]=CurSprint,OR(Items[[#This Row],[State]]="OPEN",Items[[#This Row],[State]]="WAIT",Items[[#This Row],[State]]="HOLD",Items[[#This Row],[State]]="DONE")),1,0))</f>
      </c>
      <c r="V410" s="17">
        <f>IF(OR(Items[[#This Row],[ID]]="",Items[[#This Row],[Added]]=""),"",AsOf-Items[[#This Row],[Added]])</f>
      </c>
      <c r="W410" s="17">
        <f>IF(Items[[#This Row],[In sprint]]=1,(IF(Items[[#This Row],[Prio]]="",9,N(Items[[#This Row],[Prio]]))*10+(IF(Items[[#This Row],[State]]="DONE",1,0)))*100000+ROW(),"")</f>
      </c>
      <c r="X41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10" s="17">
        <f>IF(AND(Items[[#This Row],[State]]="DONE",N(Items[[#This Row],[Done on]])&gt;AsOf-7),(200000-N(Items[[#This Row],[Done on]]))*100000+ROW(),"")</f>
      </c>
    </row>
    <row r="411">
      <c r="A411" t="s">
        <v>566</v>
      </c>
      <c r="B411" t="s">
        <v>1631</v>
      </c>
      <c r="C411" t="s">
        <v>1115</v>
      </c>
      <c r="D411" t="s">
        <v>1116</v>
      </c>
      <c r="E411" t="s">
        <v>1128</v>
      </c>
      <c r="F411" t="s">
        <v>1292</v>
      </c>
      <c r="G411">
        <v>2</v>
      </c>
      <c r="H411">
        <v>1</v>
      </c>
      <c r="I411" s="11">
        <v>46147</v>
      </c>
      <c r="J411" s="17">
        <f>IF(Items[[#This Row],[ID]]="","",IFERROR(VALUE(LOOKUP(2,1/((Log[ID]=Items[[#This Row],[ID]])*(Log[Verb]="est")),Log[Arg])),N(Items[[#This Row],[Points]])))</f>
      </c>
      <c r="K411" s="17">
        <f>IF(Items[[#This Row],[ID]]="","",IFERROR(LOOKUP(2,1/((Log[ID]=Items[[#This Row],[ID]])*(Log[Verb]="pass")),Log[Arg])&amp;"",Items[[#This Row],[Team]]&amp;""))</f>
      </c>
      <c r="L411" s="17">
        <f>IF(Items[[#This Row],[ID]]="","",IFERROR(LOOKUP(2,1/((Log[ID]=Items[[#This Row],[ID]])*(Log[Into]&lt;&gt;"")),Log[Into]),""))</f>
      </c>
      <c r="M411" s="17">
        <f>IF(Items[[#This Row],[ID]]="","",IF(IFERROR(LOOKUP(2,1/((Log[ID]=Items[[#This Row],[ID]])*(Log[Blk]&lt;&gt;"")),Log[Blk]),0)=1,"Y",""))</f>
      </c>
      <c r="N411" s="17">
        <f>IF(Items[[#This Row],[ID]]="","",SUBSTITUTE(IFERROR(LOOKUP(2,1/((Log[ID]=Items[[#This Row],[ID]])*(Log[State]&lt;&gt;"")),Log[State]),"TODO"),"OPEN",IF(Items[[#This Row],[Blocked]]="Y","WAIT","OPEN")))</f>
      </c>
      <c r="O41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11" s="17">
        <f>IF(Items[[#This Row],[State]]&lt;&gt;"WAIT","",AsOf-Items[[#This Row],[Blocked since]])</f>
      </c>
      <c r="Q411" s="17">
        <f>IF(Items[[#This Row],[State]]&lt;&gt;"WAIT","",IFERROR(LOOKUP(2,1/((Log[ID]=Items[[#This Row],[ID]])*(Log[Verb]="block")),Log[Note])&amp;"",""))</f>
      </c>
      <c r="R411" s="17">
        <f>IF(Items[[#This Row],[ID]]="","",COUNTIFS(Log[ID],Items[[#This Row],[ID]],Log[Verb],"carry"))</f>
      </c>
      <c r="S411" s="17">
        <f>IF(Items[[#This Row],[ID]]="","",COUNTIFS(Log[ID],Items[[#This Row],[ID]],Log[Verb],"punt"))</f>
      </c>
      <c r="T411" s="11">
        <f>IF(Items[[#This Row],[State]]&lt;&gt;"DONE","",IFERROR(LOOKUP(2,1/((Log[ID]=Items[[#This Row],[ID]])*(Log[Verb]="done")),Log[Date]),""))</f>
      </c>
      <c r="U411" s="17">
        <f>IF(Items[[#This Row],[ID]]="","",IF(AND(Items[[#This Row],[Sprint]]=CurSprint,OR(Items[[#This Row],[State]]="OPEN",Items[[#This Row],[State]]="WAIT",Items[[#This Row],[State]]="HOLD",Items[[#This Row],[State]]="DONE")),1,0))</f>
      </c>
      <c r="V411" s="17">
        <f>IF(OR(Items[[#This Row],[ID]]="",Items[[#This Row],[Added]]=""),"",AsOf-Items[[#This Row],[Added]])</f>
      </c>
      <c r="W411" s="17">
        <f>IF(Items[[#This Row],[In sprint]]=1,(IF(Items[[#This Row],[Prio]]="",9,N(Items[[#This Row],[Prio]]))*10+(IF(Items[[#This Row],[State]]="DONE",1,0)))*100000+ROW(),"")</f>
      </c>
      <c r="X41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11" s="17">
        <f>IF(AND(Items[[#This Row],[State]]="DONE",N(Items[[#This Row],[Done on]])&gt;AsOf-7),(200000-N(Items[[#This Row],[Done on]]))*100000+ROW(),"")</f>
      </c>
    </row>
    <row r="412">
      <c r="A412" t="s">
        <v>567</v>
      </c>
      <c r="B412" t="s">
        <v>1632</v>
      </c>
      <c r="C412" t="s">
        <v>1107</v>
      </c>
      <c r="D412" t="s">
        <v>1127</v>
      </c>
      <c r="E412" t="s">
        <v>1128</v>
      </c>
      <c r="F412" t="s">
        <v>1296</v>
      </c>
      <c r="G412">
        <v>2</v>
      </c>
      <c r="H412">
        <v>3</v>
      </c>
      <c r="I412" s="11">
        <v>46147</v>
      </c>
      <c r="J412" s="17">
        <f>IF(Items[[#This Row],[ID]]="","",IFERROR(VALUE(LOOKUP(2,1/((Log[ID]=Items[[#This Row],[ID]])*(Log[Verb]="est")),Log[Arg])),N(Items[[#This Row],[Points]])))</f>
      </c>
      <c r="K412" s="17">
        <f>IF(Items[[#This Row],[ID]]="","",IFERROR(LOOKUP(2,1/((Log[ID]=Items[[#This Row],[ID]])*(Log[Verb]="pass")),Log[Arg])&amp;"",Items[[#This Row],[Team]]&amp;""))</f>
      </c>
      <c r="L412" s="17">
        <f>IF(Items[[#This Row],[ID]]="","",IFERROR(LOOKUP(2,1/((Log[ID]=Items[[#This Row],[ID]])*(Log[Into]&lt;&gt;"")),Log[Into]),""))</f>
      </c>
      <c r="M412" s="17">
        <f>IF(Items[[#This Row],[ID]]="","",IF(IFERROR(LOOKUP(2,1/((Log[ID]=Items[[#This Row],[ID]])*(Log[Blk]&lt;&gt;"")),Log[Blk]),0)=1,"Y",""))</f>
      </c>
      <c r="N412" s="17">
        <f>IF(Items[[#This Row],[ID]]="","",SUBSTITUTE(IFERROR(LOOKUP(2,1/((Log[ID]=Items[[#This Row],[ID]])*(Log[State]&lt;&gt;"")),Log[State]),"TODO"),"OPEN",IF(Items[[#This Row],[Blocked]]="Y","WAIT","OPEN")))</f>
      </c>
      <c r="O41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12" s="17">
        <f>IF(Items[[#This Row],[State]]&lt;&gt;"WAIT","",AsOf-Items[[#This Row],[Blocked since]])</f>
      </c>
      <c r="Q412" s="17">
        <f>IF(Items[[#This Row],[State]]&lt;&gt;"WAIT","",IFERROR(LOOKUP(2,1/((Log[ID]=Items[[#This Row],[ID]])*(Log[Verb]="block")),Log[Note])&amp;"",""))</f>
      </c>
      <c r="R412" s="17">
        <f>IF(Items[[#This Row],[ID]]="","",COUNTIFS(Log[ID],Items[[#This Row],[ID]],Log[Verb],"carry"))</f>
      </c>
      <c r="S412" s="17">
        <f>IF(Items[[#This Row],[ID]]="","",COUNTIFS(Log[ID],Items[[#This Row],[ID]],Log[Verb],"punt"))</f>
      </c>
      <c r="T412" s="11">
        <f>IF(Items[[#This Row],[State]]&lt;&gt;"DONE","",IFERROR(LOOKUP(2,1/((Log[ID]=Items[[#This Row],[ID]])*(Log[Verb]="done")),Log[Date]),""))</f>
      </c>
      <c r="U412" s="17">
        <f>IF(Items[[#This Row],[ID]]="","",IF(AND(Items[[#This Row],[Sprint]]=CurSprint,OR(Items[[#This Row],[State]]="OPEN",Items[[#This Row],[State]]="WAIT",Items[[#This Row],[State]]="HOLD",Items[[#This Row],[State]]="DONE")),1,0))</f>
      </c>
      <c r="V412" s="17">
        <f>IF(OR(Items[[#This Row],[ID]]="",Items[[#This Row],[Added]]=""),"",AsOf-Items[[#This Row],[Added]])</f>
      </c>
      <c r="W412" s="17">
        <f>IF(Items[[#This Row],[In sprint]]=1,(IF(Items[[#This Row],[Prio]]="",9,N(Items[[#This Row],[Prio]]))*10+(IF(Items[[#This Row],[State]]="DONE",1,0)))*100000+ROW(),"")</f>
      </c>
      <c r="X41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12" s="17">
        <f>IF(AND(Items[[#This Row],[State]]="DONE",N(Items[[#This Row],[Done on]])&gt;AsOf-7),(200000-N(Items[[#This Row],[Done on]]))*100000+ROW(),"")</f>
      </c>
    </row>
    <row r="413">
      <c r="A413" t="s">
        <v>568</v>
      </c>
      <c r="B413" t="s">
        <v>1633</v>
      </c>
      <c r="C413" t="s">
        <v>1115</v>
      </c>
      <c r="D413" t="s">
        <v>1116</v>
      </c>
      <c r="E413" t="s">
        <v>1109</v>
      </c>
      <c r="F413" t="s">
        <v>1222</v>
      </c>
      <c r="G413">
        <v>8</v>
      </c>
      <c r="H413">
        <v>3</v>
      </c>
      <c r="I413" s="11">
        <v>46147</v>
      </c>
      <c r="J413" s="17">
        <f>IF(Items[[#This Row],[ID]]="","",IFERROR(VALUE(LOOKUP(2,1/((Log[ID]=Items[[#This Row],[ID]])*(Log[Verb]="est")),Log[Arg])),N(Items[[#This Row],[Points]])))</f>
      </c>
      <c r="K413" s="17">
        <f>IF(Items[[#This Row],[ID]]="","",IFERROR(LOOKUP(2,1/((Log[ID]=Items[[#This Row],[ID]])*(Log[Verb]="pass")),Log[Arg])&amp;"",Items[[#This Row],[Team]]&amp;""))</f>
      </c>
      <c r="L413" s="17">
        <f>IF(Items[[#This Row],[ID]]="","",IFERROR(LOOKUP(2,1/((Log[ID]=Items[[#This Row],[ID]])*(Log[Into]&lt;&gt;"")),Log[Into]),""))</f>
      </c>
      <c r="M413" s="17">
        <f>IF(Items[[#This Row],[ID]]="","",IF(IFERROR(LOOKUP(2,1/((Log[ID]=Items[[#This Row],[ID]])*(Log[Blk]&lt;&gt;"")),Log[Blk]),0)=1,"Y",""))</f>
      </c>
      <c r="N413" s="17">
        <f>IF(Items[[#This Row],[ID]]="","",SUBSTITUTE(IFERROR(LOOKUP(2,1/((Log[ID]=Items[[#This Row],[ID]])*(Log[State]&lt;&gt;"")),Log[State]),"TODO"),"OPEN",IF(Items[[#This Row],[Blocked]]="Y","WAIT","OPEN")))</f>
      </c>
      <c r="O41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13" s="17">
        <f>IF(Items[[#This Row],[State]]&lt;&gt;"WAIT","",AsOf-Items[[#This Row],[Blocked since]])</f>
      </c>
      <c r="Q413" s="17">
        <f>IF(Items[[#This Row],[State]]&lt;&gt;"WAIT","",IFERROR(LOOKUP(2,1/((Log[ID]=Items[[#This Row],[ID]])*(Log[Verb]="block")),Log[Note])&amp;"",""))</f>
      </c>
      <c r="R413" s="17">
        <f>IF(Items[[#This Row],[ID]]="","",COUNTIFS(Log[ID],Items[[#This Row],[ID]],Log[Verb],"carry"))</f>
      </c>
      <c r="S413" s="17">
        <f>IF(Items[[#This Row],[ID]]="","",COUNTIFS(Log[ID],Items[[#This Row],[ID]],Log[Verb],"punt"))</f>
      </c>
      <c r="T413" s="11">
        <f>IF(Items[[#This Row],[State]]&lt;&gt;"DONE","",IFERROR(LOOKUP(2,1/((Log[ID]=Items[[#This Row],[ID]])*(Log[Verb]="done")),Log[Date]),""))</f>
      </c>
      <c r="U413" s="17">
        <f>IF(Items[[#This Row],[ID]]="","",IF(AND(Items[[#This Row],[Sprint]]=CurSprint,OR(Items[[#This Row],[State]]="OPEN",Items[[#This Row],[State]]="WAIT",Items[[#This Row],[State]]="HOLD",Items[[#This Row],[State]]="DONE")),1,0))</f>
      </c>
      <c r="V413" s="17">
        <f>IF(OR(Items[[#This Row],[ID]]="",Items[[#This Row],[Added]]=""),"",AsOf-Items[[#This Row],[Added]])</f>
      </c>
      <c r="W413" s="17">
        <f>IF(Items[[#This Row],[In sprint]]=1,(IF(Items[[#This Row],[Prio]]="",9,N(Items[[#This Row],[Prio]]))*10+(IF(Items[[#This Row],[State]]="DONE",1,0)))*100000+ROW(),"")</f>
      </c>
      <c r="X41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13" s="17">
        <f>IF(AND(Items[[#This Row],[State]]="DONE",N(Items[[#This Row],[Done on]])&gt;AsOf-7),(200000-N(Items[[#This Row],[Done on]]))*100000+ROW(),"")</f>
      </c>
    </row>
    <row r="414">
      <c r="A414" t="s">
        <v>569</v>
      </c>
      <c r="B414" t="s">
        <v>1634</v>
      </c>
      <c r="C414" t="s">
        <v>1107</v>
      </c>
      <c r="D414" t="s">
        <v>1127</v>
      </c>
      <c r="E414" t="s">
        <v>1109</v>
      </c>
      <c r="F414" t="s">
        <v>1300</v>
      </c>
      <c r="G414">
        <v>5</v>
      </c>
      <c r="H414">
        <v>3</v>
      </c>
      <c r="I414" s="11">
        <v>46147</v>
      </c>
      <c r="J414" s="17">
        <f>IF(Items[[#This Row],[ID]]="","",IFERROR(VALUE(LOOKUP(2,1/((Log[ID]=Items[[#This Row],[ID]])*(Log[Verb]="est")),Log[Arg])),N(Items[[#This Row],[Points]])))</f>
      </c>
      <c r="K414" s="17">
        <f>IF(Items[[#This Row],[ID]]="","",IFERROR(LOOKUP(2,1/((Log[ID]=Items[[#This Row],[ID]])*(Log[Verb]="pass")),Log[Arg])&amp;"",Items[[#This Row],[Team]]&amp;""))</f>
      </c>
      <c r="L414" s="17">
        <f>IF(Items[[#This Row],[ID]]="","",IFERROR(LOOKUP(2,1/((Log[ID]=Items[[#This Row],[ID]])*(Log[Into]&lt;&gt;"")),Log[Into]),""))</f>
      </c>
      <c r="M414" s="17">
        <f>IF(Items[[#This Row],[ID]]="","",IF(IFERROR(LOOKUP(2,1/((Log[ID]=Items[[#This Row],[ID]])*(Log[Blk]&lt;&gt;"")),Log[Blk]),0)=1,"Y",""))</f>
      </c>
      <c r="N414" s="17">
        <f>IF(Items[[#This Row],[ID]]="","",SUBSTITUTE(IFERROR(LOOKUP(2,1/((Log[ID]=Items[[#This Row],[ID]])*(Log[State]&lt;&gt;"")),Log[State]),"TODO"),"OPEN",IF(Items[[#This Row],[Blocked]]="Y","WAIT","OPEN")))</f>
      </c>
      <c r="O41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14" s="17">
        <f>IF(Items[[#This Row],[State]]&lt;&gt;"WAIT","",AsOf-Items[[#This Row],[Blocked since]])</f>
      </c>
      <c r="Q414" s="17">
        <f>IF(Items[[#This Row],[State]]&lt;&gt;"WAIT","",IFERROR(LOOKUP(2,1/((Log[ID]=Items[[#This Row],[ID]])*(Log[Verb]="block")),Log[Note])&amp;"",""))</f>
      </c>
      <c r="R414" s="17">
        <f>IF(Items[[#This Row],[ID]]="","",COUNTIFS(Log[ID],Items[[#This Row],[ID]],Log[Verb],"carry"))</f>
      </c>
      <c r="S414" s="17">
        <f>IF(Items[[#This Row],[ID]]="","",COUNTIFS(Log[ID],Items[[#This Row],[ID]],Log[Verb],"punt"))</f>
      </c>
      <c r="T414" s="11">
        <f>IF(Items[[#This Row],[State]]&lt;&gt;"DONE","",IFERROR(LOOKUP(2,1/((Log[ID]=Items[[#This Row],[ID]])*(Log[Verb]="done")),Log[Date]),""))</f>
      </c>
      <c r="U414" s="17">
        <f>IF(Items[[#This Row],[ID]]="","",IF(AND(Items[[#This Row],[Sprint]]=CurSprint,OR(Items[[#This Row],[State]]="OPEN",Items[[#This Row],[State]]="WAIT",Items[[#This Row],[State]]="HOLD",Items[[#This Row],[State]]="DONE")),1,0))</f>
      </c>
      <c r="V414" s="17">
        <f>IF(OR(Items[[#This Row],[ID]]="",Items[[#This Row],[Added]]=""),"",AsOf-Items[[#This Row],[Added]])</f>
      </c>
      <c r="W414" s="17">
        <f>IF(Items[[#This Row],[In sprint]]=1,(IF(Items[[#This Row],[Prio]]="",9,N(Items[[#This Row],[Prio]]))*10+(IF(Items[[#This Row],[State]]="DONE",1,0)))*100000+ROW(),"")</f>
      </c>
      <c r="X41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14" s="17">
        <f>IF(AND(Items[[#This Row],[State]]="DONE",N(Items[[#This Row],[Done on]])&gt;AsOf-7),(200000-N(Items[[#This Row],[Done on]]))*100000+ROW(),"")</f>
      </c>
    </row>
    <row r="415">
      <c r="A415" t="s">
        <v>570</v>
      </c>
      <c r="B415" t="s">
        <v>1635</v>
      </c>
      <c r="C415" t="s">
        <v>1107</v>
      </c>
      <c r="D415" t="s">
        <v>1108</v>
      </c>
      <c r="E415" t="s">
        <v>1109</v>
      </c>
      <c r="F415" t="s">
        <v>1110</v>
      </c>
      <c r="G415">
        <v>8</v>
      </c>
      <c r="H415">
        <v>2</v>
      </c>
      <c r="I415" s="11">
        <v>46147</v>
      </c>
      <c r="J415" s="17">
        <f>IF(Items[[#This Row],[ID]]="","",IFERROR(VALUE(LOOKUP(2,1/((Log[ID]=Items[[#This Row],[ID]])*(Log[Verb]="est")),Log[Arg])),N(Items[[#This Row],[Points]])))</f>
      </c>
      <c r="K415" s="17">
        <f>IF(Items[[#This Row],[ID]]="","",IFERROR(LOOKUP(2,1/((Log[ID]=Items[[#This Row],[ID]])*(Log[Verb]="pass")),Log[Arg])&amp;"",Items[[#This Row],[Team]]&amp;""))</f>
      </c>
      <c r="L415" s="17">
        <f>IF(Items[[#This Row],[ID]]="","",IFERROR(LOOKUP(2,1/((Log[ID]=Items[[#This Row],[ID]])*(Log[Into]&lt;&gt;"")),Log[Into]),""))</f>
      </c>
      <c r="M415" s="17">
        <f>IF(Items[[#This Row],[ID]]="","",IF(IFERROR(LOOKUP(2,1/((Log[ID]=Items[[#This Row],[ID]])*(Log[Blk]&lt;&gt;"")),Log[Blk]),0)=1,"Y",""))</f>
      </c>
      <c r="N415" s="17">
        <f>IF(Items[[#This Row],[ID]]="","",SUBSTITUTE(IFERROR(LOOKUP(2,1/((Log[ID]=Items[[#This Row],[ID]])*(Log[State]&lt;&gt;"")),Log[State]),"TODO"),"OPEN",IF(Items[[#This Row],[Blocked]]="Y","WAIT","OPEN")))</f>
      </c>
      <c r="O41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15" s="17">
        <f>IF(Items[[#This Row],[State]]&lt;&gt;"WAIT","",AsOf-Items[[#This Row],[Blocked since]])</f>
      </c>
      <c r="Q415" s="17">
        <f>IF(Items[[#This Row],[State]]&lt;&gt;"WAIT","",IFERROR(LOOKUP(2,1/((Log[ID]=Items[[#This Row],[ID]])*(Log[Verb]="block")),Log[Note])&amp;"",""))</f>
      </c>
      <c r="R415" s="17">
        <f>IF(Items[[#This Row],[ID]]="","",COUNTIFS(Log[ID],Items[[#This Row],[ID]],Log[Verb],"carry"))</f>
      </c>
      <c r="S415" s="17">
        <f>IF(Items[[#This Row],[ID]]="","",COUNTIFS(Log[ID],Items[[#This Row],[ID]],Log[Verb],"punt"))</f>
      </c>
      <c r="T415" s="11">
        <f>IF(Items[[#This Row],[State]]&lt;&gt;"DONE","",IFERROR(LOOKUP(2,1/((Log[ID]=Items[[#This Row],[ID]])*(Log[Verb]="done")),Log[Date]),""))</f>
      </c>
      <c r="U415" s="17">
        <f>IF(Items[[#This Row],[ID]]="","",IF(AND(Items[[#This Row],[Sprint]]=CurSprint,OR(Items[[#This Row],[State]]="OPEN",Items[[#This Row],[State]]="WAIT",Items[[#This Row],[State]]="HOLD",Items[[#This Row],[State]]="DONE")),1,0))</f>
      </c>
      <c r="V415" s="17">
        <f>IF(OR(Items[[#This Row],[ID]]="",Items[[#This Row],[Added]]=""),"",AsOf-Items[[#This Row],[Added]])</f>
      </c>
      <c r="W415" s="17">
        <f>IF(Items[[#This Row],[In sprint]]=1,(IF(Items[[#This Row],[Prio]]="",9,N(Items[[#This Row],[Prio]]))*10+(IF(Items[[#This Row],[State]]="DONE",1,0)))*100000+ROW(),"")</f>
      </c>
      <c r="X41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15" s="17">
        <f>IF(AND(Items[[#This Row],[State]]="DONE",N(Items[[#This Row],[Done on]])&gt;AsOf-7),(200000-N(Items[[#This Row],[Done on]]))*100000+ROW(),"")</f>
      </c>
    </row>
    <row r="416">
      <c r="A416" t="s">
        <v>573</v>
      </c>
      <c r="B416" t="s">
        <v>1636</v>
      </c>
      <c r="C416" t="s">
        <v>1107</v>
      </c>
      <c r="D416" t="s">
        <v>1108</v>
      </c>
      <c r="E416" t="s">
        <v>1131</v>
      </c>
      <c r="F416" t="s">
        <v>1382</v>
      </c>
      <c r="G416">
        <v>3</v>
      </c>
      <c r="H416">
        <v>1</v>
      </c>
      <c r="I416" s="11">
        <v>46147</v>
      </c>
      <c r="J416" s="17">
        <f>IF(Items[[#This Row],[ID]]="","",IFERROR(VALUE(LOOKUP(2,1/((Log[ID]=Items[[#This Row],[ID]])*(Log[Verb]="est")),Log[Arg])),N(Items[[#This Row],[Points]])))</f>
      </c>
      <c r="K416" s="17">
        <f>IF(Items[[#This Row],[ID]]="","",IFERROR(LOOKUP(2,1/((Log[ID]=Items[[#This Row],[ID]])*(Log[Verb]="pass")),Log[Arg])&amp;"",Items[[#This Row],[Team]]&amp;""))</f>
      </c>
      <c r="L416" s="17">
        <f>IF(Items[[#This Row],[ID]]="","",IFERROR(LOOKUP(2,1/((Log[ID]=Items[[#This Row],[ID]])*(Log[Into]&lt;&gt;"")),Log[Into]),""))</f>
      </c>
      <c r="M416" s="17">
        <f>IF(Items[[#This Row],[ID]]="","",IF(IFERROR(LOOKUP(2,1/((Log[ID]=Items[[#This Row],[ID]])*(Log[Blk]&lt;&gt;"")),Log[Blk]),0)=1,"Y",""))</f>
      </c>
      <c r="N416" s="17">
        <f>IF(Items[[#This Row],[ID]]="","",SUBSTITUTE(IFERROR(LOOKUP(2,1/((Log[ID]=Items[[#This Row],[ID]])*(Log[State]&lt;&gt;"")),Log[State]),"TODO"),"OPEN",IF(Items[[#This Row],[Blocked]]="Y","WAIT","OPEN")))</f>
      </c>
      <c r="O41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16" s="17">
        <f>IF(Items[[#This Row],[State]]&lt;&gt;"WAIT","",AsOf-Items[[#This Row],[Blocked since]])</f>
      </c>
      <c r="Q416" s="17">
        <f>IF(Items[[#This Row],[State]]&lt;&gt;"WAIT","",IFERROR(LOOKUP(2,1/((Log[ID]=Items[[#This Row],[ID]])*(Log[Verb]="block")),Log[Note])&amp;"",""))</f>
      </c>
      <c r="R416" s="17">
        <f>IF(Items[[#This Row],[ID]]="","",COUNTIFS(Log[ID],Items[[#This Row],[ID]],Log[Verb],"carry"))</f>
      </c>
      <c r="S416" s="17">
        <f>IF(Items[[#This Row],[ID]]="","",COUNTIFS(Log[ID],Items[[#This Row],[ID]],Log[Verb],"punt"))</f>
      </c>
      <c r="T416" s="11">
        <f>IF(Items[[#This Row],[State]]&lt;&gt;"DONE","",IFERROR(LOOKUP(2,1/((Log[ID]=Items[[#This Row],[ID]])*(Log[Verb]="done")),Log[Date]),""))</f>
      </c>
      <c r="U416" s="17">
        <f>IF(Items[[#This Row],[ID]]="","",IF(AND(Items[[#This Row],[Sprint]]=CurSprint,OR(Items[[#This Row],[State]]="OPEN",Items[[#This Row],[State]]="WAIT",Items[[#This Row],[State]]="HOLD",Items[[#This Row],[State]]="DONE")),1,0))</f>
      </c>
      <c r="V416" s="17">
        <f>IF(OR(Items[[#This Row],[ID]]="",Items[[#This Row],[Added]]=""),"",AsOf-Items[[#This Row],[Added]])</f>
      </c>
      <c r="W416" s="17">
        <f>IF(Items[[#This Row],[In sprint]]=1,(IF(Items[[#This Row],[Prio]]="",9,N(Items[[#This Row],[Prio]]))*10+(IF(Items[[#This Row],[State]]="DONE",1,0)))*100000+ROW(),"")</f>
      </c>
      <c r="X41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16" s="17">
        <f>IF(AND(Items[[#This Row],[State]]="DONE",N(Items[[#This Row],[Done on]])&gt;AsOf-7),(200000-N(Items[[#This Row],[Done on]]))*100000+ROW(),"")</f>
      </c>
    </row>
    <row r="417">
      <c r="A417" t="s">
        <v>574</v>
      </c>
      <c r="B417" t="s">
        <v>1637</v>
      </c>
      <c r="C417" t="s">
        <v>1115</v>
      </c>
      <c r="D417" t="s">
        <v>1119</v>
      </c>
      <c r="E417" t="s">
        <v>1131</v>
      </c>
      <c r="F417" t="s">
        <v>1384</v>
      </c>
      <c r="G417">
        <v>5</v>
      </c>
      <c r="H417">
        <v>2</v>
      </c>
      <c r="I417" s="11">
        <v>46147</v>
      </c>
      <c r="J417" s="17">
        <f>IF(Items[[#This Row],[ID]]="","",IFERROR(VALUE(LOOKUP(2,1/((Log[ID]=Items[[#This Row],[ID]])*(Log[Verb]="est")),Log[Arg])),N(Items[[#This Row],[Points]])))</f>
      </c>
      <c r="K417" s="17">
        <f>IF(Items[[#This Row],[ID]]="","",IFERROR(LOOKUP(2,1/((Log[ID]=Items[[#This Row],[ID]])*(Log[Verb]="pass")),Log[Arg])&amp;"",Items[[#This Row],[Team]]&amp;""))</f>
      </c>
      <c r="L417" s="17">
        <f>IF(Items[[#This Row],[ID]]="","",IFERROR(LOOKUP(2,1/((Log[ID]=Items[[#This Row],[ID]])*(Log[Into]&lt;&gt;"")),Log[Into]),""))</f>
      </c>
      <c r="M417" s="17">
        <f>IF(Items[[#This Row],[ID]]="","",IF(IFERROR(LOOKUP(2,1/((Log[ID]=Items[[#This Row],[ID]])*(Log[Blk]&lt;&gt;"")),Log[Blk]),0)=1,"Y",""))</f>
      </c>
      <c r="N417" s="17">
        <f>IF(Items[[#This Row],[ID]]="","",SUBSTITUTE(IFERROR(LOOKUP(2,1/((Log[ID]=Items[[#This Row],[ID]])*(Log[State]&lt;&gt;"")),Log[State]),"TODO"),"OPEN",IF(Items[[#This Row],[Blocked]]="Y","WAIT","OPEN")))</f>
      </c>
      <c r="O41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17" s="17">
        <f>IF(Items[[#This Row],[State]]&lt;&gt;"WAIT","",AsOf-Items[[#This Row],[Blocked since]])</f>
      </c>
      <c r="Q417" s="17">
        <f>IF(Items[[#This Row],[State]]&lt;&gt;"WAIT","",IFERROR(LOOKUP(2,1/((Log[ID]=Items[[#This Row],[ID]])*(Log[Verb]="block")),Log[Note])&amp;"",""))</f>
      </c>
      <c r="R417" s="17">
        <f>IF(Items[[#This Row],[ID]]="","",COUNTIFS(Log[ID],Items[[#This Row],[ID]],Log[Verb],"carry"))</f>
      </c>
      <c r="S417" s="17">
        <f>IF(Items[[#This Row],[ID]]="","",COUNTIFS(Log[ID],Items[[#This Row],[ID]],Log[Verb],"punt"))</f>
      </c>
      <c r="T417" s="11">
        <f>IF(Items[[#This Row],[State]]&lt;&gt;"DONE","",IFERROR(LOOKUP(2,1/((Log[ID]=Items[[#This Row],[ID]])*(Log[Verb]="done")),Log[Date]),""))</f>
      </c>
      <c r="U417" s="17">
        <f>IF(Items[[#This Row],[ID]]="","",IF(AND(Items[[#This Row],[Sprint]]=CurSprint,OR(Items[[#This Row],[State]]="OPEN",Items[[#This Row],[State]]="WAIT",Items[[#This Row],[State]]="HOLD",Items[[#This Row],[State]]="DONE")),1,0))</f>
      </c>
      <c r="V417" s="17">
        <f>IF(OR(Items[[#This Row],[ID]]="",Items[[#This Row],[Added]]=""),"",AsOf-Items[[#This Row],[Added]])</f>
      </c>
      <c r="W417" s="17">
        <f>IF(Items[[#This Row],[In sprint]]=1,(IF(Items[[#This Row],[Prio]]="",9,N(Items[[#This Row],[Prio]]))*10+(IF(Items[[#This Row],[State]]="DONE",1,0)))*100000+ROW(),"")</f>
      </c>
      <c r="X41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17" s="17">
        <f>IF(AND(Items[[#This Row],[State]]="DONE",N(Items[[#This Row],[Done on]])&gt;AsOf-7),(200000-N(Items[[#This Row],[Done on]]))*100000+ROW(),"")</f>
      </c>
    </row>
    <row r="418">
      <c r="A418" t="s">
        <v>575</v>
      </c>
      <c r="B418" t="s">
        <v>1638</v>
      </c>
      <c r="C418" t="s">
        <v>1107</v>
      </c>
      <c r="D418" t="s">
        <v>1108</v>
      </c>
      <c r="E418" t="s">
        <v>1131</v>
      </c>
      <c r="F418" t="s">
        <v>1307</v>
      </c>
      <c r="G418">
        <v>2</v>
      </c>
      <c r="H418">
        <v>2</v>
      </c>
      <c r="I418" s="11">
        <v>46147</v>
      </c>
      <c r="J418" s="17">
        <f>IF(Items[[#This Row],[ID]]="","",IFERROR(VALUE(LOOKUP(2,1/((Log[ID]=Items[[#This Row],[ID]])*(Log[Verb]="est")),Log[Arg])),N(Items[[#This Row],[Points]])))</f>
      </c>
      <c r="K418" s="17">
        <f>IF(Items[[#This Row],[ID]]="","",IFERROR(LOOKUP(2,1/((Log[ID]=Items[[#This Row],[ID]])*(Log[Verb]="pass")),Log[Arg])&amp;"",Items[[#This Row],[Team]]&amp;""))</f>
      </c>
      <c r="L418" s="17">
        <f>IF(Items[[#This Row],[ID]]="","",IFERROR(LOOKUP(2,1/((Log[ID]=Items[[#This Row],[ID]])*(Log[Into]&lt;&gt;"")),Log[Into]),""))</f>
      </c>
      <c r="M418" s="17">
        <f>IF(Items[[#This Row],[ID]]="","",IF(IFERROR(LOOKUP(2,1/((Log[ID]=Items[[#This Row],[ID]])*(Log[Blk]&lt;&gt;"")),Log[Blk]),0)=1,"Y",""))</f>
      </c>
      <c r="N418" s="17">
        <f>IF(Items[[#This Row],[ID]]="","",SUBSTITUTE(IFERROR(LOOKUP(2,1/((Log[ID]=Items[[#This Row],[ID]])*(Log[State]&lt;&gt;"")),Log[State]),"TODO"),"OPEN",IF(Items[[#This Row],[Blocked]]="Y","WAIT","OPEN")))</f>
      </c>
      <c r="O41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18" s="17">
        <f>IF(Items[[#This Row],[State]]&lt;&gt;"WAIT","",AsOf-Items[[#This Row],[Blocked since]])</f>
      </c>
      <c r="Q418" s="17">
        <f>IF(Items[[#This Row],[State]]&lt;&gt;"WAIT","",IFERROR(LOOKUP(2,1/((Log[ID]=Items[[#This Row],[ID]])*(Log[Verb]="block")),Log[Note])&amp;"",""))</f>
      </c>
      <c r="R418" s="17">
        <f>IF(Items[[#This Row],[ID]]="","",COUNTIFS(Log[ID],Items[[#This Row],[ID]],Log[Verb],"carry"))</f>
      </c>
      <c r="S418" s="17">
        <f>IF(Items[[#This Row],[ID]]="","",COUNTIFS(Log[ID],Items[[#This Row],[ID]],Log[Verb],"punt"))</f>
      </c>
      <c r="T418" s="11">
        <f>IF(Items[[#This Row],[State]]&lt;&gt;"DONE","",IFERROR(LOOKUP(2,1/((Log[ID]=Items[[#This Row],[ID]])*(Log[Verb]="done")),Log[Date]),""))</f>
      </c>
      <c r="U418" s="17">
        <f>IF(Items[[#This Row],[ID]]="","",IF(AND(Items[[#This Row],[Sprint]]=CurSprint,OR(Items[[#This Row],[State]]="OPEN",Items[[#This Row],[State]]="WAIT",Items[[#This Row],[State]]="HOLD",Items[[#This Row],[State]]="DONE")),1,0))</f>
      </c>
      <c r="V418" s="17">
        <f>IF(OR(Items[[#This Row],[ID]]="",Items[[#This Row],[Added]]=""),"",AsOf-Items[[#This Row],[Added]])</f>
      </c>
      <c r="W418" s="17">
        <f>IF(Items[[#This Row],[In sprint]]=1,(IF(Items[[#This Row],[Prio]]="",9,N(Items[[#This Row],[Prio]]))*10+(IF(Items[[#This Row],[State]]="DONE",1,0)))*100000+ROW(),"")</f>
      </c>
      <c r="X41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18" s="17">
        <f>IF(AND(Items[[#This Row],[State]]="DONE",N(Items[[#This Row],[Done on]])&gt;AsOf-7),(200000-N(Items[[#This Row],[Done on]]))*100000+ROW(),"")</f>
      </c>
    </row>
    <row r="419">
      <c r="A419" t="s">
        <v>576</v>
      </c>
      <c r="B419" t="s">
        <v>1639</v>
      </c>
      <c r="C419" t="s">
        <v>1107</v>
      </c>
      <c r="D419" t="s">
        <v>1108</v>
      </c>
      <c r="E419" t="s">
        <v>1131</v>
      </c>
      <c r="F419" t="s">
        <v>1231</v>
      </c>
      <c r="G419">
        <v>8</v>
      </c>
      <c r="H419">
        <v>3</v>
      </c>
      <c r="I419" s="11">
        <v>46147</v>
      </c>
      <c r="J419" s="17">
        <f>IF(Items[[#This Row],[ID]]="","",IFERROR(VALUE(LOOKUP(2,1/((Log[ID]=Items[[#This Row],[ID]])*(Log[Verb]="est")),Log[Arg])),N(Items[[#This Row],[Points]])))</f>
      </c>
      <c r="K419" s="17">
        <f>IF(Items[[#This Row],[ID]]="","",IFERROR(LOOKUP(2,1/((Log[ID]=Items[[#This Row],[ID]])*(Log[Verb]="pass")),Log[Arg])&amp;"",Items[[#This Row],[Team]]&amp;""))</f>
      </c>
      <c r="L419" s="17">
        <f>IF(Items[[#This Row],[ID]]="","",IFERROR(LOOKUP(2,1/((Log[ID]=Items[[#This Row],[ID]])*(Log[Into]&lt;&gt;"")),Log[Into]),""))</f>
      </c>
      <c r="M419" s="17">
        <f>IF(Items[[#This Row],[ID]]="","",IF(IFERROR(LOOKUP(2,1/((Log[ID]=Items[[#This Row],[ID]])*(Log[Blk]&lt;&gt;"")),Log[Blk]),0)=1,"Y",""))</f>
      </c>
      <c r="N419" s="17">
        <f>IF(Items[[#This Row],[ID]]="","",SUBSTITUTE(IFERROR(LOOKUP(2,1/((Log[ID]=Items[[#This Row],[ID]])*(Log[State]&lt;&gt;"")),Log[State]),"TODO"),"OPEN",IF(Items[[#This Row],[Blocked]]="Y","WAIT","OPEN")))</f>
      </c>
      <c r="O41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19" s="17">
        <f>IF(Items[[#This Row],[State]]&lt;&gt;"WAIT","",AsOf-Items[[#This Row],[Blocked since]])</f>
      </c>
      <c r="Q419" s="17">
        <f>IF(Items[[#This Row],[State]]&lt;&gt;"WAIT","",IFERROR(LOOKUP(2,1/((Log[ID]=Items[[#This Row],[ID]])*(Log[Verb]="block")),Log[Note])&amp;"",""))</f>
      </c>
      <c r="R419" s="17">
        <f>IF(Items[[#This Row],[ID]]="","",COUNTIFS(Log[ID],Items[[#This Row],[ID]],Log[Verb],"carry"))</f>
      </c>
      <c r="S419" s="17">
        <f>IF(Items[[#This Row],[ID]]="","",COUNTIFS(Log[ID],Items[[#This Row],[ID]],Log[Verb],"punt"))</f>
      </c>
      <c r="T419" s="11">
        <f>IF(Items[[#This Row],[State]]&lt;&gt;"DONE","",IFERROR(LOOKUP(2,1/((Log[ID]=Items[[#This Row],[ID]])*(Log[Verb]="done")),Log[Date]),""))</f>
      </c>
      <c r="U419" s="17">
        <f>IF(Items[[#This Row],[ID]]="","",IF(AND(Items[[#This Row],[Sprint]]=CurSprint,OR(Items[[#This Row],[State]]="OPEN",Items[[#This Row],[State]]="WAIT",Items[[#This Row],[State]]="HOLD",Items[[#This Row],[State]]="DONE")),1,0))</f>
      </c>
      <c r="V419" s="17">
        <f>IF(OR(Items[[#This Row],[ID]]="",Items[[#This Row],[Added]]=""),"",AsOf-Items[[#This Row],[Added]])</f>
      </c>
      <c r="W419" s="17">
        <f>IF(Items[[#This Row],[In sprint]]=1,(IF(Items[[#This Row],[Prio]]="",9,N(Items[[#This Row],[Prio]]))*10+(IF(Items[[#This Row],[State]]="DONE",1,0)))*100000+ROW(),"")</f>
      </c>
      <c r="X41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19" s="17">
        <f>IF(AND(Items[[#This Row],[State]]="DONE",N(Items[[#This Row],[Done on]])&gt;AsOf-7),(200000-N(Items[[#This Row],[Done on]]))*100000+ROW(),"")</f>
      </c>
    </row>
    <row r="420">
      <c r="A420" t="s">
        <v>577</v>
      </c>
      <c r="B420" t="s">
        <v>1640</v>
      </c>
      <c r="C420" t="s">
        <v>1107</v>
      </c>
      <c r="D420" t="s">
        <v>1127</v>
      </c>
      <c r="E420" t="s">
        <v>1131</v>
      </c>
      <c r="F420" t="s">
        <v>1132</v>
      </c>
      <c r="G420">
        <v>2</v>
      </c>
      <c r="H420">
        <v>3</v>
      </c>
      <c r="I420" s="11">
        <v>46147</v>
      </c>
      <c r="J420" s="17">
        <f>IF(Items[[#This Row],[ID]]="","",IFERROR(VALUE(LOOKUP(2,1/((Log[ID]=Items[[#This Row],[ID]])*(Log[Verb]="est")),Log[Arg])),N(Items[[#This Row],[Points]])))</f>
      </c>
      <c r="K420" s="17">
        <f>IF(Items[[#This Row],[ID]]="","",IFERROR(LOOKUP(2,1/((Log[ID]=Items[[#This Row],[ID]])*(Log[Verb]="pass")),Log[Arg])&amp;"",Items[[#This Row],[Team]]&amp;""))</f>
      </c>
      <c r="L420" s="17">
        <f>IF(Items[[#This Row],[ID]]="","",IFERROR(LOOKUP(2,1/((Log[ID]=Items[[#This Row],[ID]])*(Log[Into]&lt;&gt;"")),Log[Into]),""))</f>
      </c>
      <c r="M420" s="17">
        <f>IF(Items[[#This Row],[ID]]="","",IF(IFERROR(LOOKUP(2,1/((Log[ID]=Items[[#This Row],[ID]])*(Log[Blk]&lt;&gt;"")),Log[Blk]),0)=1,"Y",""))</f>
      </c>
      <c r="N420" s="17">
        <f>IF(Items[[#This Row],[ID]]="","",SUBSTITUTE(IFERROR(LOOKUP(2,1/((Log[ID]=Items[[#This Row],[ID]])*(Log[State]&lt;&gt;"")),Log[State]),"TODO"),"OPEN",IF(Items[[#This Row],[Blocked]]="Y","WAIT","OPEN")))</f>
      </c>
      <c r="O42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20" s="17">
        <f>IF(Items[[#This Row],[State]]&lt;&gt;"WAIT","",AsOf-Items[[#This Row],[Blocked since]])</f>
      </c>
      <c r="Q420" s="17">
        <f>IF(Items[[#This Row],[State]]&lt;&gt;"WAIT","",IFERROR(LOOKUP(2,1/((Log[ID]=Items[[#This Row],[ID]])*(Log[Verb]="block")),Log[Note])&amp;"",""))</f>
      </c>
      <c r="R420" s="17">
        <f>IF(Items[[#This Row],[ID]]="","",COUNTIFS(Log[ID],Items[[#This Row],[ID]],Log[Verb],"carry"))</f>
      </c>
      <c r="S420" s="17">
        <f>IF(Items[[#This Row],[ID]]="","",COUNTIFS(Log[ID],Items[[#This Row],[ID]],Log[Verb],"punt"))</f>
      </c>
      <c r="T420" s="11">
        <f>IF(Items[[#This Row],[State]]&lt;&gt;"DONE","",IFERROR(LOOKUP(2,1/((Log[ID]=Items[[#This Row],[ID]])*(Log[Verb]="done")),Log[Date]),""))</f>
      </c>
      <c r="U420" s="17">
        <f>IF(Items[[#This Row],[ID]]="","",IF(AND(Items[[#This Row],[Sprint]]=CurSprint,OR(Items[[#This Row],[State]]="OPEN",Items[[#This Row],[State]]="WAIT",Items[[#This Row],[State]]="HOLD",Items[[#This Row],[State]]="DONE")),1,0))</f>
      </c>
      <c r="V420" s="17">
        <f>IF(OR(Items[[#This Row],[ID]]="",Items[[#This Row],[Added]]=""),"",AsOf-Items[[#This Row],[Added]])</f>
      </c>
      <c r="W420" s="17">
        <f>IF(Items[[#This Row],[In sprint]]=1,(IF(Items[[#This Row],[Prio]]="",9,N(Items[[#This Row],[Prio]]))*10+(IF(Items[[#This Row],[State]]="DONE",1,0)))*100000+ROW(),"")</f>
      </c>
      <c r="X42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20" s="17">
        <f>IF(AND(Items[[#This Row],[State]]="DONE",N(Items[[#This Row],[Done on]])&gt;AsOf-7),(200000-N(Items[[#This Row],[Done on]]))*100000+ROW(),"")</f>
      </c>
    </row>
    <row r="421">
      <c r="A421" t="s">
        <v>578</v>
      </c>
      <c r="B421" t="s">
        <v>1641</v>
      </c>
      <c r="C421" t="s">
        <v>1107</v>
      </c>
      <c r="D421" t="s">
        <v>1123</v>
      </c>
      <c r="E421" t="s">
        <v>1131</v>
      </c>
      <c r="F421" t="s">
        <v>1309</v>
      </c>
      <c r="G421">
        <v>8</v>
      </c>
      <c r="H421">
        <v>1</v>
      </c>
      <c r="I421" s="11">
        <v>46147</v>
      </c>
      <c r="J421" s="17">
        <f>IF(Items[[#This Row],[ID]]="","",IFERROR(VALUE(LOOKUP(2,1/((Log[ID]=Items[[#This Row],[ID]])*(Log[Verb]="est")),Log[Arg])),N(Items[[#This Row],[Points]])))</f>
      </c>
      <c r="K421" s="17">
        <f>IF(Items[[#This Row],[ID]]="","",IFERROR(LOOKUP(2,1/((Log[ID]=Items[[#This Row],[ID]])*(Log[Verb]="pass")),Log[Arg])&amp;"",Items[[#This Row],[Team]]&amp;""))</f>
      </c>
      <c r="L421" s="17">
        <f>IF(Items[[#This Row],[ID]]="","",IFERROR(LOOKUP(2,1/((Log[ID]=Items[[#This Row],[ID]])*(Log[Into]&lt;&gt;"")),Log[Into]),""))</f>
      </c>
      <c r="M421" s="17">
        <f>IF(Items[[#This Row],[ID]]="","",IF(IFERROR(LOOKUP(2,1/((Log[ID]=Items[[#This Row],[ID]])*(Log[Blk]&lt;&gt;"")),Log[Blk]),0)=1,"Y",""))</f>
      </c>
      <c r="N421" s="17">
        <f>IF(Items[[#This Row],[ID]]="","",SUBSTITUTE(IFERROR(LOOKUP(2,1/((Log[ID]=Items[[#This Row],[ID]])*(Log[State]&lt;&gt;"")),Log[State]),"TODO"),"OPEN",IF(Items[[#This Row],[Blocked]]="Y","WAIT","OPEN")))</f>
      </c>
      <c r="O42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21" s="17">
        <f>IF(Items[[#This Row],[State]]&lt;&gt;"WAIT","",AsOf-Items[[#This Row],[Blocked since]])</f>
      </c>
      <c r="Q421" s="17">
        <f>IF(Items[[#This Row],[State]]&lt;&gt;"WAIT","",IFERROR(LOOKUP(2,1/((Log[ID]=Items[[#This Row],[ID]])*(Log[Verb]="block")),Log[Note])&amp;"",""))</f>
      </c>
      <c r="R421" s="17">
        <f>IF(Items[[#This Row],[ID]]="","",COUNTIFS(Log[ID],Items[[#This Row],[ID]],Log[Verb],"carry"))</f>
      </c>
      <c r="S421" s="17">
        <f>IF(Items[[#This Row],[ID]]="","",COUNTIFS(Log[ID],Items[[#This Row],[ID]],Log[Verb],"punt"))</f>
      </c>
      <c r="T421" s="11">
        <f>IF(Items[[#This Row],[State]]&lt;&gt;"DONE","",IFERROR(LOOKUP(2,1/((Log[ID]=Items[[#This Row],[ID]])*(Log[Verb]="done")),Log[Date]),""))</f>
      </c>
      <c r="U421" s="17">
        <f>IF(Items[[#This Row],[ID]]="","",IF(AND(Items[[#This Row],[Sprint]]=CurSprint,OR(Items[[#This Row],[State]]="OPEN",Items[[#This Row],[State]]="WAIT",Items[[#This Row],[State]]="HOLD",Items[[#This Row],[State]]="DONE")),1,0))</f>
      </c>
      <c r="V421" s="17">
        <f>IF(OR(Items[[#This Row],[ID]]="",Items[[#This Row],[Added]]=""),"",AsOf-Items[[#This Row],[Added]])</f>
      </c>
      <c r="W421" s="17">
        <f>IF(Items[[#This Row],[In sprint]]=1,(IF(Items[[#This Row],[Prio]]="",9,N(Items[[#This Row],[Prio]]))*10+(IF(Items[[#This Row],[State]]="DONE",1,0)))*100000+ROW(),"")</f>
      </c>
      <c r="X42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21" s="17">
        <f>IF(AND(Items[[#This Row],[State]]="DONE",N(Items[[#This Row],[Done on]])&gt;AsOf-7),(200000-N(Items[[#This Row],[Done on]]))*100000+ROW(),"")</f>
      </c>
    </row>
    <row r="422">
      <c r="A422" t="s">
        <v>639</v>
      </c>
      <c r="B422" t="s">
        <v>1642</v>
      </c>
      <c r="C422" t="s">
        <v>1107</v>
      </c>
      <c r="D422" t="s">
        <v>1123</v>
      </c>
      <c r="E422" t="s">
        <v>1134</v>
      </c>
      <c r="F422" t="s">
        <v>1171</v>
      </c>
      <c r="G422">
        <v>5</v>
      </c>
      <c r="H422">
        <v>3</v>
      </c>
      <c r="I422" s="11">
        <v>46147</v>
      </c>
      <c r="J422" s="17">
        <f>IF(Items[[#This Row],[ID]]="","",IFERROR(VALUE(LOOKUP(2,1/((Log[ID]=Items[[#This Row],[ID]])*(Log[Verb]="est")),Log[Arg])),N(Items[[#This Row],[Points]])))</f>
      </c>
      <c r="K422" s="17">
        <f>IF(Items[[#This Row],[ID]]="","",IFERROR(LOOKUP(2,1/((Log[ID]=Items[[#This Row],[ID]])*(Log[Verb]="pass")),Log[Arg])&amp;"",Items[[#This Row],[Team]]&amp;""))</f>
      </c>
      <c r="L422" s="17">
        <f>IF(Items[[#This Row],[ID]]="","",IFERROR(LOOKUP(2,1/((Log[ID]=Items[[#This Row],[ID]])*(Log[Into]&lt;&gt;"")),Log[Into]),""))</f>
      </c>
      <c r="M422" s="17">
        <f>IF(Items[[#This Row],[ID]]="","",IF(IFERROR(LOOKUP(2,1/((Log[ID]=Items[[#This Row],[ID]])*(Log[Blk]&lt;&gt;"")),Log[Blk]),0)=1,"Y",""))</f>
      </c>
      <c r="N422" s="17">
        <f>IF(Items[[#This Row],[ID]]="","",SUBSTITUTE(IFERROR(LOOKUP(2,1/((Log[ID]=Items[[#This Row],[ID]])*(Log[State]&lt;&gt;"")),Log[State]),"TODO"),"OPEN",IF(Items[[#This Row],[Blocked]]="Y","WAIT","OPEN")))</f>
      </c>
      <c r="O42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22" s="17">
        <f>IF(Items[[#This Row],[State]]&lt;&gt;"WAIT","",AsOf-Items[[#This Row],[Blocked since]])</f>
      </c>
      <c r="Q422" s="17">
        <f>IF(Items[[#This Row],[State]]&lt;&gt;"WAIT","",IFERROR(LOOKUP(2,1/((Log[ID]=Items[[#This Row],[ID]])*(Log[Verb]="block")),Log[Note])&amp;"",""))</f>
      </c>
      <c r="R422" s="17">
        <f>IF(Items[[#This Row],[ID]]="","",COUNTIFS(Log[ID],Items[[#This Row],[ID]],Log[Verb],"carry"))</f>
      </c>
      <c r="S422" s="17">
        <f>IF(Items[[#This Row],[ID]]="","",COUNTIFS(Log[ID],Items[[#This Row],[ID]],Log[Verb],"punt"))</f>
      </c>
      <c r="T422" s="11">
        <f>IF(Items[[#This Row],[State]]&lt;&gt;"DONE","",IFERROR(LOOKUP(2,1/((Log[ID]=Items[[#This Row],[ID]])*(Log[Verb]="done")),Log[Date]),""))</f>
      </c>
      <c r="U422" s="17">
        <f>IF(Items[[#This Row],[ID]]="","",IF(AND(Items[[#This Row],[Sprint]]=CurSprint,OR(Items[[#This Row],[State]]="OPEN",Items[[#This Row],[State]]="WAIT",Items[[#This Row],[State]]="HOLD",Items[[#This Row],[State]]="DONE")),1,0))</f>
      </c>
      <c r="V422" s="17">
        <f>IF(OR(Items[[#This Row],[ID]]="",Items[[#This Row],[Added]]=""),"",AsOf-Items[[#This Row],[Added]])</f>
      </c>
      <c r="W422" s="17">
        <f>IF(Items[[#This Row],[In sprint]]=1,(IF(Items[[#This Row],[Prio]]="",9,N(Items[[#This Row],[Prio]]))*10+(IF(Items[[#This Row],[State]]="DONE",1,0)))*100000+ROW(),"")</f>
      </c>
      <c r="X42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22" s="17">
        <f>IF(AND(Items[[#This Row],[State]]="DONE",N(Items[[#This Row],[Done on]])&gt;AsOf-7),(200000-N(Items[[#This Row],[Done on]]))*100000+ROW(),"")</f>
      </c>
    </row>
    <row r="423">
      <c r="A423" t="s">
        <v>640</v>
      </c>
      <c r="B423" t="s">
        <v>1643</v>
      </c>
      <c r="C423" t="s">
        <v>1107</v>
      </c>
      <c r="D423" t="s">
        <v>1127</v>
      </c>
      <c r="E423" t="s">
        <v>1134</v>
      </c>
      <c r="F423" t="s">
        <v>1135</v>
      </c>
      <c r="G423">
        <v>5</v>
      </c>
      <c r="H423">
        <v>3</v>
      </c>
      <c r="I423" s="11">
        <v>46147</v>
      </c>
      <c r="J423" s="17">
        <f>IF(Items[[#This Row],[ID]]="","",IFERROR(VALUE(LOOKUP(2,1/((Log[ID]=Items[[#This Row],[ID]])*(Log[Verb]="est")),Log[Arg])),N(Items[[#This Row],[Points]])))</f>
      </c>
      <c r="K423" s="17">
        <f>IF(Items[[#This Row],[ID]]="","",IFERROR(LOOKUP(2,1/((Log[ID]=Items[[#This Row],[ID]])*(Log[Verb]="pass")),Log[Arg])&amp;"",Items[[#This Row],[Team]]&amp;""))</f>
      </c>
      <c r="L423" s="17">
        <f>IF(Items[[#This Row],[ID]]="","",IFERROR(LOOKUP(2,1/((Log[ID]=Items[[#This Row],[ID]])*(Log[Into]&lt;&gt;"")),Log[Into]),""))</f>
      </c>
      <c r="M423" s="17">
        <f>IF(Items[[#This Row],[ID]]="","",IF(IFERROR(LOOKUP(2,1/((Log[ID]=Items[[#This Row],[ID]])*(Log[Blk]&lt;&gt;"")),Log[Blk]),0)=1,"Y",""))</f>
      </c>
      <c r="N423" s="17">
        <f>IF(Items[[#This Row],[ID]]="","",SUBSTITUTE(IFERROR(LOOKUP(2,1/((Log[ID]=Items[[#This Row],[ID]])*(Log[State]&lt;&gt;"")),Log[State]),"TODO"),"OPEN",IF(Items[[#This Row],[Blocked]]="Y","WAIT","OPEN")))</f>
      </c>
      <c r="O42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23" s="17">
        <f>IF(Items[[#This Row],[State]]&lt;&gt;"WAIT","",AsOf-Items[[#This Row],[Blocked since]])</f>
      </c>
      <c r="Q423" s="17">
        <f>IF(Items[[#This Row],[State]]&lt;&gt;"WAIT","",IFERROR(LOOKUP(2,1/((Log[ID]=Items[[#This Row],[ID]])*(Log[Verb]="block")),Log[Note])&amp;"",""))</f>
      </c>
      <c r="R423" s="17">
        <f>IF(Items[[#This Row],[ID]]="","",COUNTIFS(Log[ID],Items[[#This Row],[ID]],Log[Verb],"carry"))</f>
      </c>
      <c r="S423" s="17">
        <f>IF(Items[[#This Row],[ID]]="","",COUNTIFS(Log[ID],Items[[#This Row],[ID]],Log[Verb],"punt"))</f>
      </c>
      <c r="T423" s="11">
        <f>IF(Items[[#This Row],[State]]&lt;&gt;"DONE","",IFERROR(LOOKUP(2,1/((Log[ID]=Items[[#This Row],[ID]])*(Log[Verb]="done")),Log[Date]),""))</f>
      </c>
      <c r="U423" s="17">
        <f>IF(Items[[#This Row],[ID]]="","",IF(AND(Items[[#This Row],[Sprint]]=CurSprint,OR(Items[[#This Row],[State]]="OPEN",Items[[#This Row],[State]]="WAIT",Items[[#This Row],[State]]="HOLD",Items[[#This Row],[State]]="DONE")),1,0))</f>
      </c>
      <c r="V423" s="17">
        <f>IF(OR(Items[[#This Row],[ID]]="",Items[[#This Row],[Added]]=""),"",AsOf-Items[[#This Row],[Added]])</f>
      </c>
      <c r="W423" s="17">
        <f>IF(Items[[#This Row],[In sprint]]=1,(IF(Items[[#This Row],[Prio]]="",9,N(Items[[#This Row],[Prio]]))*10+(IF(Items[[#This Row],[State]]="DONE",1,0)))*100000+ROW(),"")</f>
      </c>
      <c r="X42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23" s="17">
        <f>IF(AND(Items[[#This Row],[State]]="DONE",N(Items[[#This Row],[Done on]])&gt;AsOf-7),(200000-N(Items[[#This Row],[Done on]]))*100000+ROW(),"")</f>
      </c>
    </row>
    <row r="424">
      <c r="A424" t="s">
        <v>530</v>
      </c>
      <c r="B424" t="s">
        <v>1644</v>
      </c>
      <c r="C424" t="s">
        <v>1107</v>
      </c>
      <c r="D424" t="s">
        <v>1108</v>
      </c>
      <c r="E424" t="s">
        <v>1134</v>
      </c>
      <c r="F424" t="s">
        <v>1528</v>
      </c>
      <c r="G424">
        <v>2</v>
      </c>
      <c r="H424">
        <v>2</v>
      </c>
      <c r="I424" s="11">
        <v>46147</v>
      </c>
      <c r="J424" s="17">
        <f>IF(Items[[#This Row],[ID]]="","",IFERROR(VALUE(LOOKUP(2,1/((Log[ID]=Items[[#This Row],[ID]])*(Log[Verb]="est")),Log[Arg])),N(Items[[#This Row],[Points]])))</f>
      </c>
      <c r="K424" s="17">
        <f>IF(Items[[#This Row],[ID]]="","",IFERROR(LOOKUP(2,1/((Log[ID]=Items[[#This Row],[ID]])*(Log[Verb]="pass")),Log[Arg])&amp;"",Items[[#This Row],[Team]]&amp;""))</f>
      </c>
      <c r="L424" s="17">
        <f>IF(Items[[#This Row],[ID]]="","",IFERROR(LOOKUP(2,1/((Log[ID]=Items[[#This Row],[ID]])*(Log[Into]&lt;&gt;"")),Log[Into]),""))</f>
      </c>
      <c r="M424" s="17">
        <f>IF(Items[[#This Row],[ID]]="","",IF(IFERROR(LOOKUP(2,1/((Log[ID]=Items[[#This Row],[ID]])*(Log[Blk]&lt;&gt;"")),Log[Blk]),0)=1,"Y",""))</f>
      </c>
      <c r="N424" s="17">
        <f>IF(Items[[#This Row],[ID]]="","",SUBSTITUTE(IFERROR(LOOKUP(2,1/((Log[ID]=Items[[#This Row],[ID]])*(Log[State]&lt;&gt;"")),Log[State]),"TODO"),"OPEN",IF(Items[[#This Row],[Blocked]]="Y","WAIT","OPEN")))</f>
      </c>
      <c r="O42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24" s="17">
        <f>IF(Items[[#This Row],[State]]&lt;&gt;"WAIT","",AsOf-Items[[#This Row],[Blocked since]])</f>
      </c>
      <c r="Q424" s="17">
        <f>IF(Items[[#This Row],[State]]&lt;&gt;"WAIT","",IFERROR(LOOKUP(2,1/((Log[ID]=Items[[#This Row],[ID]])*(Log[Verb]="block")),Log[Note])&amp;"",""))</f>
      </c>
      <c r="R424" s="17">
        <f>IF(Items[[#This Row],[ID]]="","",COUNTIFS(Log[ID],Items[[#This Row],[ID]],Log[Verb],"carry"))</f>
      </c>
      <c r="S424" s="17">
        <f>IF(Items[[#This Row],[ID]]="","",COUNTIFS(Log[ID],Items[[#This Row],[ID]],Log[Verb],"punt"))</f>
      </c>
      <c r="T424" s="11">
        <f>IF(Items[[#This Row],[State]]&lt;&gt;"DONE","",IFERROR(LOOKUP(2,1/((Log[ID]=Items[[#This Row],[ID]])*(Log[Verb]="done")),Log[Date]),""))</f>
      </c>
      <c r="U424" s="17">
        <f>IF(Items[[#This Row],[ID]]="","",IF(AND(Items[[#This Row],[Sprint]]=CurSprint,OR(Items[[#This Row],[State]]="OPEN",Items[[#This Row],[State]]="WAIT",Items[[#This Row],[State]]="HOLD",Items[[#This Row],[State]]="DONE")),1,0))</f>
      </c>
      <c r="V424" s="17">
        <f>IF(OR(Items[[#This Row],[ID]]="",Items[[#This Row],[Added]]=""),"",AsOf-Items[[#This Row],[Added]])</f>
      </c>
      <c r="W424" s="17">
        <f>IF(Items[[#This Row],[In sprint]]=1,(IF(Items[[#This Row],[Prio]]="",9,N(Items[[#This Row],[Prio]]))*10+(IF(Items[[#This Row],[State]]="DONE",1,0)))*100000+ROW(),"")</f>
      </c>
      <c r="X42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24" s="17">
        <f>IF(AND(Items[[#This Row],[State]]="DONE",N(Items[[#This Row],[Done on]])&gt;AsOf-7),(200000-N(Items[[#This Row],[Done on]]))*100000+ROW(),"")</f>
      </c>
    </row>
    <row r="425">
      <c r="A425" t="s">
        <v>641</v>
      </c>
      <c r="B425" t="s">
        <v>1645</v>
      </c>
      <c r="C425" t="s">
        <v>1115</v>
      </c>
      <c r="D425" t="s">
        <v>1116</v>
      </c>
      <c r="E425" t="s">
        <v>1134</v>
      </c>
      <c r="F425" t="s">
        <v>1242</v>
      </c>
      <c r="G425">
        <v>2</v>
      </c>
      <c r="H425">
        <v>3</v>
      </c>
      <c r="I425" s="11">
        <v>46147</v>
      </c>
      <c r="J425" s="17">
        <f>IF(Items[[#This Row],[ID]]="","",IFERROR(VALUE(LOOKUP(2,1/((Log[ID]=Items[[#This Row],[ID]])*(Log[Verb]="est")),Log[Arg])),N(Items[[#This Row],[Points]])))</f>
      </c>
      <c r="K425" s="17">
        <f>IF(Items[[#This Row],[ID]]="","",IFERROR(LOOKUP(2,1/((Log[ID]=Items[[#This Row],[ID]])*(Log[Verb]="pass")),Log[Arg])&amp;"",Items[[#This Row],[Team]]&amp;""))</f>
      </c>
      <c r="L425" s="17">
        <f>IF(Items[[#This Row],[ID]]="","",IFERROR(LOOKUP(2,1/((Log[ID]=Items[[#This Row],[ID]])*(Log[Into]&lt;&gt;"")),Log[Into]),""))</f>
      </c>
      <c r="M425" s="17">
        <f>IF(Items[[#This Row],[ID]]="","",IF(IFERROR(LOOKUP(2,1/((Log[ID]=Items[[#This Row],[ID]])*(Log[Blk]&lt;&gt;"")),Log[Blk]),0)=1,"Y",""))</f>
      </c>
      <c r="N425" s="17">
        <f>IF(Items[[#This Row],[ID]]="","",SUBSTITUTE(IFERROR(LOOKUP(2,1/((Log[ID]=Items[[#This Row],[ID]])*(Log[State]&lt;&gt;"")),Log[State]),"TODO"),"OPEN",IF(Items[[#This Row],[Blocked]]="Y","WAIT","OPEN")))</f>
      </c>
      <c r="O42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25" s="17">
        <f>IF(Items[[#This Row],[State]]&lt;&gt;"WAIT","",AsOf-Items[[#This Row],[Blocked since]])</f>
      </c>
      <c r="Q425" s="17">
        <f>IF(Items[[#This Row],[State]]&lt;&gt;"WAIT","",IFERROR(LOOKUP(2,1/((Log[ID]=Items[[#This Row],[ID]])*(Log[Verb]="block")),Log[Note])&amp;"",""))</f>
      </c>
      <c r="R425" s="17">
        <f>IF(Items[[#This Row],[ID]]="","",COUNTIFS(Log[ID],Items[[#This Row],[ID]],Log[Verb],"carry"))</f>
      </c>
      <c r="S425" s="17">
        <f>IF(Items[[#This Row],[ID]]="","",COUNTIFS(Log[ID],Items[[#This Row],[ID]],Log[Verb],"punt"))</f>
      </c>
      <c r="T425" s="11">
        <f>IF(Items[[#This Row],[State]]&lt;&gt;"DONE","",IFERROR(LOOKUP(2,1/((Log[ID]=Items[[#This Row],[ID]])*(Log[Verb]="done")),Log[Date]),""))</f>
      </c>
      <c r="U425" s="17">
        <f>IF(Items[[#This Row],[ID]]="","",IF(AND(Items[[#This Row],[Sprint]]=CurSprint,OR(Items[[#This Row],[State]]="OPEN",Items[[#This Row],[State]]="WAIT",Items[[#This Row],[State]]="HOLD",Items[[#This Row],[State]]="DONE")),1,0))</f>
      </c>
      <c r="V425" s="17">
        <f>IF(OR(Items[[#This Row],[ID]]="",Items[[#This Row],[Added]]=""),"",AsOf-Items[[#This Row],[Added]])</f>
      </c>
      <c r="W425" s="17">
        <f>IF(Items[[#This Row],[In sprint]]=1,(IF(Items[[#This Row],[Prio]]="",9,N(Items[[#This Row],[Prio]]))*10+(IF(Items[[#This Row],[State]]="DONE",1,0)))*100000+ROW(),"")</f>
      </c>
      <c r="X42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25" s="17">
        <f>IF(AND(Items[[#This Row],[State]]="DONE",N(Items[[#This Row],[Done on]])&gt;AsOf-7),(200000-N(Items[[#This Row],[Done on]]))*100000+ROW(),"")</f>
      </c>
    </row>
    <row r="426">
      <c r="A426" t="s">
        <v>642</v>
      </c>
      <c r="B426" t="s">
        <v>1646</v>
      </c>
      <c r="C426" t="s">
        <v>1115</v>
      </c>
      <c r="D426" t="s">
        <v>1116</v>
      </c>
      <c r="E426" t="s">
        <v>1134</v>
      </c>
      <c r="F426" t="s">
        <v>1387</v>
      </c>
      <c r="G426">
        <v>2</v>
      </c>
      <c r="H426">
        <v>3</v>
      </c>
      <c r="I426" s="11">
        <v>46147</v>
      </c>
      <c r="J426" s="17">
        <f>IF(Items[[#This Row],[ID]]="","",IFERROR(VALUE(LOOKUP(2,1/((Log[ID]=Items[[#This Row],[ID]])*(Log[Verb]="est")),Log[Arg])),N(Items[[#This Row],[Points]])))</f>
      </c>
      <c r="K426" s="17">
        <f>IF(Items[[#This Row],[ID]]="","",IFERROR(LOOKUP(2,1/((Log[ID]=Items[[#This Row],[ID]])*(Log[Verb]="pass")),Log[Arg])&amp;"",Items[[#This Row],[Team]]&amp;""))</f>
      </c>
      <c r="L426" s="17">
        <f>IF(Items[[#This Row],[ID]]="","",IFERROR(LOOKUP(2,1/((Log[ID]=Items[[#This Row],[ID]])*(Log[Into]&lt;&gt;"")),Log[Into]),""))</f>
      </c>
      <c r="M426" s="17">
        <f>IF(Items[[#This Row],[ID]]="","",IF(IFERROR(LOOKUP(2,1/((Log[ID]=Items[[#This Row],[ID]])*(Log[Blk]&lt;&gt;"")),Log[Blk]),0)=1,"Y",""))</f>
      </c>
      <c r="N426" s="17">
        <f>IF(Items[[#This Row],[ID]]="","",SUBSTITUTE(IFERROR(LOOKUP(2,1/((Log[ID]=Items[[#This Row],[ID]])*(Log[State]&lt;&gt;"")),Log[State]),"TODO"),"OPEN",IF(Items[[#This Row],[Blocked]]="Y","WAIT","OPEN")))</f>
      </c>
      <c r="O42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26" s="17">
        <f>IF(Items[[#This Row],[State]]&lt;&gt;"WAIT","",AsOf-Items[[#This Row],[Blocked since]])</f>
      </c>
      <c r="Q426" s="17">
        <f>IF(Items[[#This Row],[State]]&lt;&gt;"WAIT","",IFERROR(LOOKUP(2,1/((Log[ID]=Items[[#This Row],[ID]])*(Log[Verb]="block")),Log[Note])&amp;"",""))</f>
      </c>
      <c r="R426" s="17">
        <f>IF(Items[[#This Row],[ID]]="","",COUNTIFS(Log[ID],Items[[#This Row],[ID]],Log[Verb],"carry"))</f>
      </c>
      <c r="S426" s="17">
        <f>IF(Items[[#This Row],[ID]]="","",COUNTIFS(Log[ID],Items[[#This Row],[ID]],Log[Verb],"punt"))</f>
      </c>
      <c r="T426" s="11">
        <f>IF(Items[[#This Row],[State]]&lt;&gt;"DONE","",IFERROR(LOOKUP(2,1/((Log[ID]=Items[[#This Row],[ID]])*(Log[Verb]="done")),Log[Date]),""))</f>
      </c>
      <c r="U426" s="17">
        <f>IF(Items[[#This Row],[ID]]="","",IF(AND(Items[[#This Row],[Sprint]]=CurSprint,OR(Items[[#This Row],[State]]="OPEN",Items[[#This Row],[State]]="WAIT",Items[[#This Row],[State]]="HOLD",Items[[#This Row],[State]]="DONE")),1,0))</f>
      </c>
      <c r="V426" s="17">
        <f>IF(OR(Items[[#This Row],[ID]]="",Items[[#This Row],[Added]]=""),"",AsOf-Items[[#This Row],[Added]])</f>
      </c>
      <c r="W426" s="17">
        <f>IF(Items[[#This Row],[In sprint]]=1,(IF(Items[[#This Row],[Prio]]="",9,N(Items[[#This Row],[Prio]]))*10+(IF(Items[[#This Row],[State]]="DONE",1,0)))*100000+ROW(),"")</f>
      </c>
      <c r="X42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26" s="17">
        <f>IF(AND(Items[[#This Row],[State]]="DONE",N(Items[[#This Row],[Done on]])&gt;AsOf-7),(200000-N(Items[[#This Row],[Done on]]))*100000+ROW(),"")</f>
      </c>
    </row>
    <row r="427">
      <c r="A427" t="s">
        <v>586</v>
      </c>
      <c r="B427" t="s">
        <v>1647</v>
      </c>
      <c r="C427" t="s">
        <v>1115</v>
      </c>
      <c r="D427" t="s">
        <v>1119</v>
      </c>
      <c r="E427" t="s">
        <v>1139</v>
      </c>
      <c r="F427" t="s">
        <v>1395</v>
      </c>
      <c r="G427">
        <v>8</v>
      </c>
      <c r="H427">
        <v>2</v>
      </c>
      <c r="I427" s="11">
        <v>46147</v>
      </c>
      <c r="J427" s="17">
        <f>IF(Items[[#This Row],[ID]]="","",IFERROR(VALUE(LOOKUP(2,1/((Log[ID]=Items[[#This Row],[ID]])*(Log[Verb]="est")),Log[Arg])),N(Items[[#This Row],[Points]])))</f>
      </c>
      <c r="K427" s="17">
        <f>IF(Items[[#This Row],[ID]]="","",IFERROR(LOOKUP(2,1/((Log[ID]=Items[[#This Row],[ID]])*(Log[Verb]="pass")),Log[Arg])&amp;"",Items[[#This Row],[Team]]&amp;""))</f>
      </c>
      <c r="L427" s="17">
        <f>IF(Items[[#This Row],[ID]]="","",IFERROR(LOOKUP(2,1/((Log[ID]=Items[[#This Row],[ID]])*(Log[Into]&lt;&gt;"")),Log[Into]),""))</f>
      </c>
      <c r="M427" s="17">
        <f>IF(Items[[#This Row],[ID]]="","",IF(IFERROR(LOOKUP(2,1/((Log[ID]=Items[[#This Row],[ID]])*(Log[Blk]&lt;&gt;"")),Log[Blk]),0)=1,"Y",""))</f>
      </c>
      <c r="N427" s="17">
        <f>IF(Items[[#This Row],[ID]]="","",SUBSTITUTE(IFERROR(LOOKUP(2,1/((Log[ID]=Items[[#This Row],[ID]])*(Log[State]&lt;&gt;"")),Log[State]),"TODO"),"OPEN",IF(Items[[#This Row],[Blocked]]="Y","WAIT","OPEN")))</f>
      </c>
      <c r="O42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27" s="17">
        <f>IF(Items[[#This Row],[State]]&lt;&gt;"WAIT","",AsOf-Items[[#This Row],[Blocked since]])</f>
      </c>
      <c r="Q427" s="17">
        <f>IF(Items[[#This Row],[State]]&lt;&gt;"WAIT","",IFERROR(LOOKUP(2,1/((Log[ID]=Items[[#This Row],[ID]])*(Log[Verb]="block")),Log[Note])&amp;"",""))</f>
      </c>
      <c r="R427" s="17">
        <f>IF(Items[[#This Row],[ID]]="","",COUNTIFS(Log[ID],Items[[#This Row],[ID]],Log[Verb],"carry"))</f>
      </c>
      <c r="S427" s="17">
        <f>IF(Items[[#This Row],[ID]]="","",COUNTIFS(Log[ID],Items[[#This Row],[ID]],Log[Verb],"punt"))</f>
      </c>
      <c r="T427" s="11">
        <f>IF(Items[[#This Row],[State]]&lt;&gt;"DONE","",IFERROR(LOOKUP(2,1/((Log[ID]=Items[[#This Row],[ID]])*(Log[Verb]="done")),Log[Date]),""))</f>
      </c>
      <c r="U427" s="17">
        <f>IF(Items[[#This Row],[ID]]="","",IF(AND(Items[[#This Row],[Sprint]]=CurSprint,OR(Items[[#This Row],[State]]="OPEN",Items[[#This Row],[State]]="WAIT",Items[[#This Row],[State]]="HOLD",Items[[#This Row],[State]]="DONE")),1,0))</f>
      </c>
      <c r="V427" s="17">
        <f>IF(OR(Items[[#This Row],[ID]]="",Items[[#This Row],[Added]]=""),"",AsOf-Items[[#This Row],[Added]])</f>
      </c>
      <c r="W427" s="17">
        <f>IF(Items[[#This Row],[In sprint]]=1,(IF(Items[[#This Row],[Prio]]="",9,N(Items[[#This Row],[Prio]]))*10+(IF(Items[[#This Row],[State]]="DONE",1,0)))*100000+ROW(),"")</f>
      </c>
      <c r="X42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27" s="17">
        <f>IF(AND(Items[[#This Row],[State]]="DONE",N(Items[[#This Row],[Done on]])&gt;AsOf-7),(200000-N(Items[[#This Row],[Done on]]))*100000+ROW(),"")</f>
      </c>
    </row>
    <row r="428">
      <c r="A428" t="s">
        <v>587</v>
      </c>
      <c r="B428" t="s">
        <v>1648</v>
      </c>
      <c r="C428" t="s">
        <v>1115</v>
      </c>
      <c r="D428" t="s">
        <v>1116</v>
      </c>
      <c r="E428" t="s">
        <v>1139</v>
      </c>
      <c r="F428" t="s">
        <v>1586</v>
      </c>
      <c r="G428">
        <v>8</v>
      </c>
      <c r="H428">
        <v>2</v>
      </c>
      <c r="I428" s="11">
        <v>46147</v>
      </c>
      <c r="J428" s="17">
        <f>IF(Items[[#This Row],[ID]]="","",IFERROR(VALUE(LOOKUP(2,1/((Log[ID]=Items[[#This Row],[ID]])*(Log[Verb]="est")),Log[Arg])),N(Items[[#This Row],[Points]])))</f>
      </c>
      <c r="K428" s="17">
        <f>IF(Items[[#This Row],[ID]]="","",IFERROR(LOOKUP(2,1/((Log[ID]=Items[[#This Row],[ID]])*(Log[Verb]="pass")),Log[Arg])&amp;"",Items[[#This Row],[Team]]&amp;""))</f>
      </c>
      <c r="L428" s="17">
        <f>IF(Items[[#This Row],[ID]]="","",IFERROR(LOOKUP(2,1/((Log[ID]=Items[[#This Row],[ID]])*(Log[Into]&lt;&gt;"")),Log[Into]),""))</f>
      </c>
      <c r="M428" s="17">
        <f>IF(Items[[#This Row],[ID]]="","",IF(IFERROR(LOOKUP(2,1/((Log[ID]=Items[[#This Row],[ID]])*(Log[Blk]&lt;&gt;"")),Log[Blk]),0)=1,"Y",""))</f>
      </c>
      <c r="N428" s="17">
        <f>IF(Items[[#This Row],[ID]]="","",SUBSTITUTE(IFERROR(LOOKUP(2,1/((Log[ID]=Items[[#This Row],[ID]])*(Log[State]&lt;&gt;"")),Log[State]),"TODO"),"OPEN",IF(Items[[#This Row],[Blocked]]="Y","WAIT","OPEN")))</f>
      </c>
      <c r="O42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28" s="17">
        <f>IF(Items[[#This Row],[State]]&lt;&gt;"WAIT","",AsOf-Items[[#This Row],[Blocked since]])</f>
      </c>
      <c r="Q428" s="17">
        <f>IF(Items[[#This Row],[State]]&lt;&gt;"WAIT","",IFERROR(LOOKUP(2,1/((Log[ID]=Items[[#This Row],[ID]])*(Log[Verb]="block")),Log[Note])&amp;"",""))</f>
      </c>
      <c r="R428" s="17">
        <f>IF(Items[[#This Row],[ID]]="","",COUNTIFS(Log[ID],Items[[#This Row],[ID]],Log[Verb],"carry"))</f>
      </c>
      <c r="S428" s="17">
        <f>IF(Items[[#This Row],[ID]]="","",COUNTIFS(Log[ID],Items[[#This Row],[ID]],Log[Verb],"punt"))</f>
      </c>
      <c r="T428" s="11">
        <f>IF(Items[[#This Row],[State]]&lt;&gt;"DONE","",IFERROR(LOOKUP(2,1/((Log[ID]=Items[[#This Row],[ID]])*(Log[Verb]="done")),Log[Date]),""))</f>
      </c>
      <c r="U428" s="17">
        <f>IF(Items[[#This Row],[ID]]="","",IF(AND(Items[[#This Row],[Sprint]]=CurSprint,OR(Items[[#This Row],[State]]="OPEN",Items[[#This Row],[State]]="WAIT",Items[[#This Row],[State]]="HOLD",Items[[#This Row],[State]]="DONE")),1,0))</f>
      </c>
      <c r="V428" s="17">
        <f>IF(OR(Items[[#This Row],[ID]]="",Items[[#This Row],[Added]]=""),"",AsOf-Items[[#This Row],[Added]])</f>
      </c>
      <c r="W428" s="17">
        <f>IF(Items[[#This Row],[In sprint]]=1,(IF(Items[[#This Row],[Prio]]="",9,N(Items[[#This Row],[Prio]]))*10+(IF(Items[[#This Row],[State]]="DONE",1,0)))*100000+ROW(),"")</f>
      </c>
      <c r="X42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28" s="17">
        <f>IF(AND(Items[[#This Row],[State]]="DONE",N(Items[[#This Row],[Done on]])&gt;AsOf-7),(200000-N(Items[[#This Row],[Done on]]))*100000+ROW(),"")</f>
      </c>
    </row>
    <row r="429">
      <c r="A429" t="s">
        <v>644</v>
      </c>
      <c r="B429" t="s">
        <v>1649</v>
      </c>
      <c r="C429" t="s">
        <v>1107</v>
      </c>
      <c r="D429" t="s">
        <v>1123</v>
      </c>
      <c r="E429" t="s">
        <v>1139</v>
      </c>
      <c r="F429" t="s">
        <v>1249</v>
      </c>
      <c r="G429">
        <v>3</v>
      </c>
      <c r="H429">
        <v>3</v>
      </c>
      <c r="I429" s="11">
        <v>46147</v>
      </c>
      <c r="J429" s="17">
        <f>IF(Items[[#This Row],[ID]]="","",IFERROR(VALUE(LOOKUP(2,1/((Log[ID]=Items[[#This Row],[ID]])*(Log[Verb]="est")),Log[Arg])),N(Items[[#This Row],[Points]])))</f>
      </c>
      <c r="K429" s="17">
        <f>IF(Items[[#This Row],[ID]]="","",IFERROR(LOOKUP(2,1/((Log[ID]=Items[[#This Row],[ID]])*(Log[Verb]="pass")),Log[Arg])&amp;"",Items[[#This Row],[Team]]&amp;""))</f>
      </c>
      <c r="L429" s="17">
        <f>IF(Items[[#This Row],[ID]]="","",IFERROR(LOOKUP(2,1/((Log[ID]=Items[[#This Row],[ID]])*(Log[Into]&lt;&gt;"")),Log[Into]),""))</f>
      </c>
      <c r="M429" s="17">
        <f>IF(Items[[#This Row],[ID]]="","",IF(IFERROR(LOOKUP(2,1/((Log[ID]=Items[[#This Row],[ID]])*(Log[Blk]&lt;&gt;"")),Log[Blk]),0)=1,"Y",""))</f>
      </c>
      <c r="N429" s="17">
        <f>IF(Items[[#This Row],[ID]]="","",SUBSTITUTE(IFERROR(LOOKUP(2,1/((Log[ID]=Items[[#This Row],[ID]])*(Log[State]&lt;&gt;"")),Log[State]),"TODO"),"OPEN",IF(Items[[#This Row],[Blocked]]="Y","WAIT","OPEN")))</f>
      </c>
      <c r="O42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29" s="17">
        <f>IF(Items[[#This Row],[State]]&lt;&gt;"WAIT","",AsOf-Items[[#This Row],[Blocked since]])</f>
      </c>
      <c r="Q429" s="17">
        <f>IF(Items[[#This Row],[State]]&lt;&gt;"WAIT","",IFERROR(LOOKUP(2,1/((Log[ID]=Items[[#This Row],[ID]])*(Log[Verb]="block")),Log[Note])&amp;"",""))</f>
      </c>
      <c r="R429" s="17">
        <f>IF(Items[[#This Row],[ID]]="","",COUNTIFS(Log[ID],Items[[#This Row],[ID]],Log[Verb],"carry"))</f>
      </c>
      <c r="S429" s="17">
        <f>IF(Items[[#This Row],[ID]]="","",COUNTIFS(Log[ID],Items[[#This Row],[ID]],Log[Verb],"punt"))</f>
      </c>
      <c r="T429" s="11">
        <f>IF(Items[[#This Row],[State]]&lt;&gt;"DONE","",IFERROR(LOOKUP(2,1/((Log[ID]=Items[[#This Row],[ID]])*(Log[Verb]="done")),Log[Date]),""))</f>
      </c>
      <c r="U429" s="17">
        <f>IF(Items[[#This Row],[ID]]="","",IF(AND(Items[[#This Row],[Sprint]]=CurSprint,OR(Items[[#This Row],[State]]="OPEN",Items[[#This Row],[State]]="WAIT",Items[[#This Row],[State]]="HOLD",Items[[#This Row],[State]]="DONE")),1,0))</f>
      </c>
      <c r="V429" s="17">
        <f>IF(OR(Items[[#This Row],[ID]]="",Items[[#This Row],[Added]]=""),"",AsOf-Items[[#This Row],[Added]])</f>
      </c>
      <c r="W429" s="17">
        <f>IF(Items[[#This Row],[In sprint]]=1,(IF(Items[[#This Row],[Prio]]="",9,N(Items[[#This Row],[Prio]]))*10+(IF(Items[[#This Row],[State]]="DONE",1,0)))*100000+ROW(),"")</f>
      </c>
      <c r="X42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29" s="17">
        <f>IF(AND(Items[[#This Row],[State]]="DONE",N(Items[[#This Row],[Done on]])&gt;AsOf-7),(200000-N(Items[[#This Row],[Done on]]))*100000+ROW(),"")</f>
      </c>
    </row>
    <row r="430">
      <c r="A430" t="s">
        <v>645</v>
      </c>
      <c r="B430" t="s">
        <v>1650</v>
      </c>
      <c r="C430" t="s">
        <v>1115</v>
      </c>
      <c r="D430" t="s">
        <v>1119</v>
      </c>
      <c r="E430" t="s">
        <v>1139</v>
      </c>
      <c r="F430" t="s">
        <v>1586</v>
      </c>
      <c r="G430">
        <v>3</v>
      </c>
      <c r="H430">
        <v>2</v>
      </c>
      <c r="I430" s="11">
        <v>46147</v>
      </c>
      <c r="J430" s="17">
        <f>IF(Items[[#This Row],[ID]]="","",IFERROR(VALUE(LOOKUP(2,1/((Log[ID]=Items[[#This Row],[ID]])*(Log[Verb]="est")),Log[Arg])),N(Items[[#This Row],[Points]])))</f>
      </c>
      <c r="K430" s="17">
        <f>IF(Items[[#This Row],[ID]]="","",IFERROR(LOOKUP(2,1/((Log[ID]=Items[[#This Row],[ID]])*(Log[Verb]="pass")),Log[Arg])&amp;"",Items[[#This Row],[Team]]&amp;""))</f>
      </c>
      <c r="L430" s="17">
        <f>IF(Items[[#This Row],[ID]]="","",IFERROR(LOOKUP(2,1/((Log[ID]=Items[[#This Row],[ID]])*(Log[Into]&lt;&gt;"")),Log[Into]),""))</f>
      </c>
      <c r="M430" s="17">
        <f>IF(Items[[#This Row],[ID]]="","",IF(IFERROR(LOOKUP(2,1/((Log[ID]=Items[[#This Row],[ID]])*(Log[Blk]&lt;&gt;"")),Log[Blk]),0)=1,"Y",""))</f>
      </c>
      <c r="N430" s="17">
        <f>IF(Items[[#This Row],[ID]]="","",SUBSTITUTE(IFERROR(LOOKUP(2,1/((Log[ID]=Items[[#This Row],[ID]])*(Log[State]&lt;&gt;"")),Log[State]),"TODO"),"OPEN",IF(Items[[#This Row],[Blocked]]="Y","WAIT","OPEN")))</f>
      </c>
      <c r="O43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30" s="17">
        <f>IF(Items[[#This Row],[State]]&lt;&gt;"WAIT","",AsOf-Items[[#This Row],[Blocked since]])</f>
      </c>
      <c r="Q430" s="17">
        <f>IF(Items[[#This Row],[State]]&lt;&gt;"WAIT","",IFERROR(LOOKUP(2,1/((Log[ID]=Items[[#This Row],[ID]])*(Log[Verb]="block")),Log[Note])&amp;"",""))</f>
      </c>
      <c r="R430" s="17">
        <f>IF(Items[[#This Row],[ID]]="","",COUNTIFS(Log[ID],Items[[#This Row],[ID]],Log[Verb],"carry"))</f>
      </c>
      <c r="S430" s="17">
        <f>IF(Items[[#This Row],[ID]]="","",COUNTIFS(Log[ID],Items[[#This Row],[ID]],Log[Verb],"punt"))</f>
      </c>
      <c r="T430" s="11">
        <f>IF(Items[[#This Row],[State]]&lt;&gt;"DONE","",IFERROR(LOOKUP(2,1/((Log[ID]=Items[[#This Row],[ID]])*(Log[Verb]="done")),Log[Date]),""))</f>
      </c>
      <c r="U430" s="17">
        <f>IF(Items[[#This Row],[ID]]="","",IF(AND(Items[[#This Row],[Sprint]]=CurSprint,OR(Items[[#This Row],[State]]="OPEN",Items[[#This Row],[State]]="WAIT",Items[[#This Row],[State]]="HOLD",Items[[#This Row],[State]]="DONE")),1,0))</f>
      </c>
      <c r="V430" s="17">
        <f>IF(OR(Items[[#This Row],[ID]]="",Items[[#This Row],[Added]]=""),"",AsOf-Items[[#This Row],[Added]])</f>
      </c>
      <c r="W430" s="17">
        <f>IF(Items[[#This Row],[In sprint]]=1,(IF(Items[[#This Row],[Prio]]="",9,N(Items[[#This Row],[Prio]]))*10+(IF(Items[[#This Row],[State]]="DONE",1,0)))*100000+ROW(),"")</f>
      </c>
      <c r="X43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30" s="17">
        <f>IF(AND(Items[[#This Row],[State]]="DONE",N(Items[[#This Row],[Done on]])&gt;AsOf-7),(200000-N(Items[[#This Row],[Done on]]))*100000+ROW(),"")</f>
      </c>
    </row>
    <row r="431">
      <c r="A431" t="s">
        <v>536</v>
      </c>
      <c r="B431" t="s">
        <v>1651</v>
      </c>
      <c r="C431" t="s">
        <v>1107</v>
      </c>
      <c r="D431" t="s">
        <v>1123</v>
      </c>
      <c r="E431" t="s">
        <v>1139</v>
      </c>
      <c r="F431" t="s">
        <v>1175</v>
      </c>
      <c r="G431">
        <v>2</v>
      </c>
      <c r="H431">
        <v>3</v>
      </c>
      <c r="I431" s="11">
        <v>46147</v>
      </c>
      <c r="J431" s="17">
        <f>IF(Items[[#This Row],[ID]]="","",IFERROR(VALUE(LOOKUP(2,1/((Log[ID]=Items[[#This Row],[ID]])*(Log[Verb]="est")),Log[Arg])),N(Items[[#This Row],[Points]])))</f>
      </c>
      <c r="K431" s="17">
        <f>IF(Items[[#This Row],[ID]]="","",IFERROR(LOOKUP(2,1/((Log[ID]=Items[[#This Row],[ID]])*(Log[Verb]="pass")),Log[Arg])&amp;"",Items[[#This Row],[Team]]&amp;""))</f>
      </c>
      <c r="L431" s="17">
        <f>IF(Items[[#This Row],[ID]]="","",IFERROR(LOOKUP(2,1/((Log[ID]=Items[[#This Row],[ID]])*(Log[Into]&lt;&gt;"")),Log[Into]),""))</f>
      </c>
      <c r="M431" s="17">
        <f>IF(Items[[#This Row],[ID]]="","",IF(IFERROR(LOOKUP(2,1/((Log[ID]=Items[[#This Row],[ID]])*(Log[Blk]&lt;&gt;"")),Log[Blk]),0)=1,"Y",""))</f>
      </c>
      <c r="N431" s="17">
        <f>IF(Items[[#This Row],[ID]]="","",SUBSTITUTE(IFERROR(LOOKUP(2,1/((Log[ID]=Items[[#This Row],[ID]])*(Log[State]&lt;&gt;"")),Log[State]),"TODO"),"OPEN",IF(Items[[#This Row],[Blocked]]="Y","WAIT","OPEN")))</f>
      </c>
      <c r="O43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31" s="17">
        <f>IF(Items[[#This Row],[State]]&lt;&gt;"WAIT","",AsOf-Items[[#This Row],[Blocked since]])</f>
      </c>
      <c r="Q431" s="17">
        <f>IF(Items[[#This Row],[State]]&lt;&gt;"WAIT","",IFERROR(LOOKUP(2,1/((Log[ID]=Items[[#This Row],[ID]])*(Log[Verb]="block")),Log[Note])&amp;"",""))</f>
      </c>
      <c r="R431" s="17">
        <f>IF(Items[[#This Row],[ID]]="","",COUNTIFS(Log[ID],Items[[#This Row],[ID]],Log[Verb],"carry"))</f>
      </c>
      <c r="S431" s="17">
        <f>IF(Items[[#This Row],[ID]]="","",COUNTIFS(Log[ID],Items[[#This Row],[ID]],Log[Verb],"punt"))</f>
      </c>
      <c r="T431" s="11">
        <f>IF(Items[[#This Row],[State]]&lt;&gt;"DONE","",IFERROR(LOOKUP(2,1/((Log[ID]=Items[[#This Row],[ID]])*(Log[Verb]="done")),Log[Date]),""))</f>
      </c>
      <c r="U431" s="17">
        <f>IF(Items[[#This Row],[ID]]="","",IF(AND(Items[[#This Row],[Sprint]]=CurSprint,OR(Items[[#This Row],[State]]="OPEN",Items[[#This Row],[State]]="WAIT",Items[[#This Row],[State]]="HOLD",Items[[#This Row],[State]]="DONE")),1,0))</f>
      </c>
      <c r="V431" s="17">
        <f>IF(OR(Items[[#This Row],[ID]]="",Items[[#This Row],[Added]]=""),"",AsOf-Items[[#This Row],[Added]])</f>
      </c>
      <c r="W431" s="17">
        <f>IF(Items[[#This Row],[In sprint]]=1,(IF(Items[[#This Row],[Prio]]="",9,N(Items[[#This Row],[Prio]]))*10+(IF(Items[[#This Row],[State]]="DONE",1,0)))*100000+ROW(),"")</f>
      </c>
      <c r="X43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31" s="17">
        <f>IF(AND(Items[[#This Row],[State]]="DONE",N(Items[[#This Row],[Done on]])&gt;AsOf-7),(200000-N(Items[[#This Row],[Done on]]))*100000+ROW(),"")</f>
      </c>
    </row>
    <row r="432">
      <c r="A432" t="s">
        <v>588</v>
      </c>
      <c r="B432" t="s">
        <v>1652</v>
      </c>
      <c r="C432" t="s">
        <v>1115</v>
      </c>
      <c r="D432" t="s">
        <v>1116</v>
      </c>
      <c r="E432" t="s">
        <v>1177</v>
      </c>
      <c r="F432" t="s">
        <v>1180</v>
      </c>
      <c r="G432">
        <v>8</v>
      </c>
      <c r="H432">
        <v>3</v>
      </c>
      <c r="I432" s="11">
        <v>46147</v>
      </c>
      <c r="J432" s="17">
        <f>IF(Items[[#This Row],[ID]]="","",IFERROR(VALUE(LOOKUP(2,1/((Log[ID]=Items[[#This Row],[ID]])*(Log[Verb]="est")),Log[Arg])),N(Items[[#This Row],[Points]])))</f>
      </c>
      <c r="K432" s="17">
        <f>IF(Items[[#This Row],[ID]]="","",IFERROR(LOOKUP(2,1/((Log[ID]=Items[[#This Row],[ID]])*(Log[Verb]="pass")),Log[Arg])&amp;"",Items[[#This Row],[Team]]&amp;""))</f>
      </c>
      <c r="L432" s="17">
        <f>IF(Items[[#This Row],[ID]]="","",IFERROR(LOOKUP(2,1/((Log[ID]=Items[[#This Row],[ID]])*(Log[Into]&lt;&gt;"")),Log[Into]),""))</f>
      </c>
      <c r="M432" s="17">
        <f>IF(Items[[#This Row],[ID]]="","",IF(IFERROR(LOOKUP(2,1/((Log[ID]=Items[[#This Row],[ID]])*(Log[Blk]&lt;&gt;"")),Log[Blk]),0)=1,"Y",""))</f>
      </c>
      <c r="N432" s="17">
        <f>IF(Items[[#This Row],[ID]]="","",SUBSTITUTE(IFERROR(LOOKUP(2,1/((Log[ID]=Items[[#This Row],[ID]])*(Log[State]&lt;&gt;"")),Log[State]),"TODO"),"OPEN",IF(Items[[#This Row],[Blocked]]="Y","WAIT","OPEN")))</f>
      </c>
      <c r="O43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32" s="17">
        <f>IF(Items[[#This Row],[State]]&lt;&gt;"WAIT","",AsOf-Items[[#This Row],[Blocked since]])</f>
      </c>
      <c r="Q432" s="17">
        <f>IF(Items[[#This Row],[State]]&lt;&gt;"WAIT","",IFERROR(LOOKUP(2,1/((Log[ID]=Items[[#This Row],[ID]])*(Log[Verb]="block")),Log[Note])&amp;"",""))</f>
      </c>
      <c r="R432" s="17">
        <f>IF(Items[[#This Row],[ID]]="","",COUNTIFS(Log[ID],Items[[#This Row],[ID]],Log[Verb],"carry"))</f>
      </c>
      <c r="S432" s="17">
        <f>IF(Items[[#This Row],[ID]]="","",COUNTIFS(Log[ID],Items[[#This Row],[ID]],Log[Verb],"punt"))</f>
      </c>
      <c r="T432" s="11">
        <f>IF(Items[[#This Row],[State]]&lt;&gt;"DONE","",IFERROR(LOOKUP(2,1/((Log[ID]=Items[[#This Row],[ID]])*(Log[Verb]="done")),Log[Date]),""))</f>
      </c>
      <c r="U432" s="17">
        <f>IF(Items[[#This Row],[ID]]="","",IF(AND(Items[[#This Row],[Sprint]]=CurSprint,OR(Items[[#This Row],[State]]="OPEN",Items[[#This Row],[State]]="WAIT",Items[[#This Row],[State]]="HOLD",Items[[#This Row],[State]]="DONE")),1,0))</f>
      </c>
      <c r="V432" s="17">
        <f>IF(OR(Items[[#This Row],[ID]]="",Items[[#This Row],[Added]]=""),"",AsOf-Items[[#This Row],[Added]])</f>
      </c>
      <c r="W432" s="17">
        <f>IF(Items[[#This Row],[In sprint]]=1,(IF(Items[[#This Row],[Prio]]="",9,N(Items[[#This Row],[Prio]]))*10+(IF(Items[[#This Row],[State]]="DONE",1,0)))*100000+ROW(),"")</f>
      </c>
      <c r="X43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32" s="17">
        <f>IF(AND(Items[[#This Row],[State]]="DONE",N(Items[[#This Row],[Done on]])&gt;AsOf-7),(200000-N(Items[[#This Row],[Done on]]))*100000+ROW(),"")</f>
      </c>
    </row>
    <row r="433">
      <c r="A433" t="s">
        <v>589</v>
      </c>
      <c r="B433" t="s">
        <v>1653</v>
      </c>
      <c r="C433" t="s">
        <v>1115</v>
      </c>
      <c r="D433" t="s">
        <v>1119</v>
      </c>
      <c r="E433" t="s">
        <v>1177</v>
      </c>
      <c r="F433" t="s">
        <v>1182</v>
      </c>
      <c r="G433">
        <v>8</v>
      </c>
      <c r="H433">
        <v>2</v>
      </c>
      <c r="I433" s="11">
        <v>46147</v>
      </c>
      <c r="J433" s="17">
        <f>IF(Items[[#This Row],[ID]]="","",IFERROR(VALUE(LOOKUP(2,1/((Log[ID]=Items[[#This Row],[ID]])*(Log[Verb]="est")),Log[Arg])),N(Items[[#This Row],[Points]])))</f>
      </c>
      <c r="K433" s="17">
        <f>IF(Items[[#This Row],[ID]]="","",IFERROR(LOOKUP(2,1/((Log[ID]=Items[[#This Row],[ID]])*(Log[Verb]="pass")),Log[Arg])&amp;"",Items[[#This Row],[Team]]&amp;""))</f>
      </c>
      <c r="L433" s="17">
        <f>IF(Items[[#This Row],[ID]]="","",IFERROR(LOOKUP(2,1/((Log[ID]=Items[[#This Row],[ID]])*(Log[Into]&lt;&gt;"")),Log[Into]),""))</f>
      </c>
      <c r="M433" s="17">
        <f>IF(Items[[#This Row],[ID]]="","",IF(IFERROR(LOOKUP(2,1/((Log[ID]=Items[[#This Row],[ID]])*(Log[Blk]&lt;&gt;"")),Log[Blk]),0)=1,"Y",""))</f>
      </c>
      <c r="N433" s="17">
        <f>IF(Items[[#This Row],[ID]]="","",SUBSTITUTE(IFERROR(LOOKUP(2,1/((Log[ID]=Items[[#This Row],[ID]])*(Log[State]&lt;&gt;"")),Log[State]),"TODO"),"OPEN",IF(Items[[#This Row],[Blocked]]="Y","WAIT","OPEN")))</f>
      </c>
      <c r="O43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33" s="17">
        <f>IF(Items[[#This Row],[State]]&lt;&gt;"WAIT","",AsOf-Items[[#This Row],[Blocked since]])</f>
      </c>
      <c r="Q433" s="17">
        <f>IF(Items[[#This Row],[State]]&lt;&gt;"WAIT","",IFERROR(LOOKUP(2,1/((Log[ID]=Items[[#This Row],[ID]])*(Log[Verb]="block")),Log[Note])&amp;"",""))</f>
      </c>
      <c r="R433" s="17">
        <f>IF(Items[[#This Row],[ID]]="","",COUNTIFS(Log[ID],Items[[#This Row],[ID]],Log[Verb],"carry"))</f>
      </c>
      <c r="S433" s="17">
        <f>IF(Items[[#This Row],[ID]]="","",COUNTIFS(Log[ID],Items[[#This Row],[ID]],Log[Verb],"punt"))</f>
      </c>
      <c r="T433" s="11">
        <f>IF(Items[[#This Row],[State]]&lt;&gt;"DONE","",IFERROR(LOOKUP(2,1/((Log[ID]=Items[[#This Row],[ID]])*(Log[Verb]="done")),Log[Date]),""))</f>
      </c>
      <c r="U433" s="17">
        <f>IF(Items[[#This Row],[ID]]="","",IF(AND(Items[[#This Row],[Sprint]]=CurSprint,OR(Items[[#This Row],[State]]="OPEN",Items[[#This Row],[State]]="WAIT",Items[[#This Row],[State]]="HOLD",Items[[#This Row],[State]]="DONE")),1,0))</f>
      </c>
      <c r="V433" s="17">
        <f>IF(OR(Items[[#This Row],[ID]]="",Items[[#This Row],[Added]]=""),"",AsOf-Items[[#This Row],[Added]])</f>
      </c>
      <c r="W433" s="17">
        <f>IF(Items[[#This Row],[In sprint]]=1,(IF(Items[[#This Row],[Prio]]="",9,N(Items[[#This Row],[Prio]]))*10+(IF(Items[[#This Row],[State]]="DONE",1,0)))*100000+ROW(),"")</f>
      </c>
      <c r="X43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33" s="17">
        <f>IF(AND(Items[[#This Row],[State]]="DONE",N(Items[[#This Row],[Done on]])&gt;AsOf-7),(200000-N(Items[[#This Row],[Done on]]))*100000+ROW(),"")</f>
      </c>
    </row>
    <row r="434">
      <c r="A434" t="s">
        <v>541</v>
      </c>
      <c r="B434" t="s">
        <v>1654</v>
      </c>
      <c r="C434" t="s">
        <v>1115</v>
      </c>
      <c r="D434" t="s">
        <v>1119</v>
      </c>
      <c r="E434" t="s">
        <v>1177</v>
      </c>
      <c r="F434" t="s">
        <v>1327</v>
      </c>
      <c r="G434">
        <v>2</v>
      </c>
      <c r="H434">
        <v>1</v>
      </c>
      <c r="I434" s="11">
        <v>46147</v>
      </c>
      <c r="J434" s="17">
        <f>IF(Items[[#This Row],[ID]]="","",IFERROR(VALUE(LOOKUP(2,1/((Log[ID]=Items[[#This Row],[ID]])*(Log[Verb]="est")),Log[Arg])),N(Items[[#This Row],[Points]])))</f>
      </c>
      <c r="K434" s="17">
        <f>IF(Items[[#This Row],[ID]]="","",IFERROR(LOOKUP(2,1/((Log[ID]=Items[[#This Row],[ID]])*(Log[Verb]="pass")),Log[Arg])&amp;"",Items[[#This Row],[Team]]&amp;""))</f>
      </c>
      <c r="L434" s="17">
        <f>IF(Items[[#This Row],[ID]]="","",IFERROR(LOOKUP(2,1/((Log[ID]=Items[[#This Row],[ID]])*(Log[Into]&lt;&gt;"")),Log[Into]),""))</f>
      </c>
      <c r="M434" s="17">
        <f>IF(Items[[#This Row],[ID]]="","",IF(IFERROR(LOOKUP(2,1/((Log[ID]=Items[[#This Row],[ID]])*(Log[Blk]&lt;&gt;"")),Log[Blk]),0)=1,"Y",""))</f>
      </c>
      <c r="N434" s="17">
        <f>IF(Items[[#This Row],[ID]]="","",SUBSTITUTE(IFERROR(LOOKUP(2,1/((Log[ID]=Items[[#This Row],[ID]])*(Log[State]&lt;&gt;"")),Log[State]),"TODO"),"OPEN",IF(Items[[#This Row],[Blocked]]="Y","WAIT","OPEN")))</f>
      </c>
      <c r="O43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34" s="17">
        <f>IF(Items[[#This Row],[State]]&lt;&gt;"WAIT","",AsOf-Items[[#This Row],[Blocked since]])</f>
      </c>
      <c r="Q434" s="17">
        <f>IF(Items[[#This Row],[State]]&lt;&gt;"WAIT","",IFERROR(LOOKUP(2,1/((Log[ID]=Items[[#This Row],[ID]])*(Log[Verb]="block")),Log[Note])&amp;"",""))</f>
      </c>
      <c r="R434" s="17">
        <f>IF(Items[[#This Row],[ID]]="","",COUNTIFS(Log[ID],Items[[#This Row],[ID]],Log[Verb],"carry"))</f>
      </c>
      <c r="S434" s="17">
        <f>IF(Items[[#This Row],[ID]]="","",COUNTIFS(Log[ID],Items[[#This Row],[ID]],Log[Verb],"punt"))</f>
      </c>
      <c r="T434" s="11">
        <f>IF(Items[[#This Row],[State]]&lt;&gt;"DONE","",IFERROR(LOOKUP(2,1/((Log[ID]=Items[[#This Row],[ID]])*(Log[Verb]="done")),Log[Date]),""))</f>
      </c>
      <c r="U434" s="17">
        <f>IF(Items[[#This Row],[ID]]="","",IF(AND(Items[[#This Row],[Sprint]]=CurSprint,OR(Items[[#This Row],[State]]="OPEN",Items[[#This Row],[State]]="WAIT",Items[[#This Row],[State]]="HOLD",Items[[#This Row],[State]]="DONE")),1,0))</f>
      </c>
      <c r="V434" s="17">
        <f>IF(OR(Items[[#This Row],[ID]]="",Items[[#This Row],[Added]]=""),"",AsOf-Items[[#This Row],[Added]])</f>
      </c>
      <c r="W434" s="17">
        <f>IF(Items[[#This Row],[In sprint]]=1,(IF(Items[[#This Row],[Prio]]="",9,N(Items[[#This Row],[Prio]]))*10+(IF(Items[[#This Row],[State]]="DONE",1,0)))*100000+ROW(),"")</f>
      </c>
      <c r="X43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34" s="17">
        <f>IF(AND(Items[[#This Row],[State]]="DONE",N(Items[[#This Row],[Done on]])&gt;AsOf-7),(200000-N(Items[[#This Row],[Done on]]))*100000+ROW(),"")</f>
      </c>
    </row>
    <row r="435">
      <c r="A435" t="s">
        <v>542</v>
      </c>
      <c r="B435" t="s">
        <v>1655</v>
      </c>
      <c r="C435" t="s">
        <v>1107</v>
      </c>
      <c r="D435" t="s">
        <v>1127</v>
      </c>
      <c r="E435" t="s">
        <v>1177</v>
      </c>
      <c r="F435" t="s">
        <v>1178</v>
      </c>
      <c r="G435">
        <v>3</v>
      </c>
      <c r="H435">
        <v>3</v>
      </c>
      <c r="I435" s="11">
        <v>46147</v>
      </c>
      <c r="J435" s="17">
        <f>IF(Items[[#This Row],[ID]]="","",IFERROR(VALUE(LOOKUP(2,1/((Log[ID]=Items[[#This Row],[ID]])*(Log[Verb]="est")),Log[Arg])),N(Items[[#This Row],[Points]])))</f>
      </c>
      <c r="K435" s="17">
        <f>IF(Items[[#This Row],[ID]]="","",IFERROR(LOOKUP(2,1/((Log[ID]=Items[[#This Row],[ID]])*(Log[Verb]="pass")),Log[Arg])&amp;"",Items[[#This Row],[Team]]&amp;""))</f>
      </c>
      <c r="L435" s="17">
        <f>IF(Items[[#This Row],[ID]]="","",IFERROR(LOOKUP(2,1/((Log[ID]=Items[[#This Row],[ID]])*(Log[Into]&lt;&gt;"")),Log[Into]),""))</f>
      </c>
      <c r="M435" s="17">
        <f>IF(Items[[#This Row],[ID]]="","",IF(IFERROR(LOOKUP(2,1/((Log[ID]=Items[[#This Row],[ID]])*(Log[Blk]&lt;&gt;"")),Log[Blk]),0)=1,"Y",""))</f>
      </c>
      <c r="N435" s="17">
        <f>IF(Items[[#This Row],[ID]]="","",SUBSTITUTE(IFERROR(LOOKUP(2,1/((Log[ID]=Items[[#This Row],[ID]])*(Log[State]&lt;&gt;"")),Log[State]),"TODO"),"OPEN",IF(Items[[#This Row],[Blocked]]="Y","WAIT","OPEN")))</f>
      </c>
      <c r="O43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35" s="17">
        <f>IF(Items[[#This Row],[State]]&lt;&gt;"WAIT","",AsOf-Items[[#This Row],[Blocked since]])</f>
      </c>
      <c r="Q435" s="17">
        <f>IF(Items[[#This Row],[State]]&lt;&gt;"WAIT","",IFERROR(LOOKUP(2,1/((Log[ID]=Items[[#This Row],[ID]])*(Log[Verb]="block")),Log[Note])&amp;"",""))</f>
      </c>
      <c r="R435" s="17">
        <f>IF(Items[[#This Row],[ID]]="","",COUNTIFS(Log[ID],Items[[#This Row],[ID]],Log[Verb],"carry"))</f>
      </c>
      <c r="S435" s="17">
        <f>IF(Items[[#This Row],[ID]]="","",COUNTIFS(Log[ID],Items[[#This Row],[ID]],Log[Verb],"punt"))</f>
      </c>
      <c r="T435" s="11">
        <f>IF(Items[[#This Row],[State]]&lt;&gt;"DONE","",IFERROR(LOOKUP(2,1/((Log[ID]=Items[[#This Row],[ID]])*(Log[Verb]="done")),Log[Date]),""))</f>
      </c>
      <c r="U435" s="17">
        <f>IF(Items[[#This Row],[ID]]="","",IF(AND(Items[[#This Row],[Sprint]]=CurSprint,OR(Items[[#This Row],[State]]="OPEN",Items[[#This Row],[State]]="WAIT",Items[[#This Row],[State]]="HOLD",Items[[#This Row],[State]]="DONE")),1,0))</f>
      </c>
      <c r="V435" s="17">
        <f>IF(OR(Items[[#This Row],[ID]]="",Items[[#This Row],[Added]]=""),"",AsOf-Items[[#This Row],[Added]])</f>
      </c>
      <c r="W435" s="17">
        <f>IF(Items[[#This Row],[In sprint]]=1,(IF(Items[[#This Row],[Prio]]="",9,N(Items[[#This Row],[Prio]]))*10+(IF(Items[[#This Row],[State]]="DONE",1,0)))*100000+ROW(),"")</f>
      </c>
      <c r="X43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35" s="17">
        <f>IF(AND(Items[[#This Row],[State]]="DONE",N(Items[[#This Row],[Done on]])&gt;AsOf-7),(200000-N(Items[[#This Row],[Done on]]))*100000+ROW(),"")</f>
      </c>
    </row>
    <row r="436">
      <c r="A436" t="s">
        <v>590</v>
      </c>
      <c r="B436" t="s">
        <v>1656</v>
      </c>
      <c r="C436" t="s">
        <v>1107</v>
      </c>
      <c r="D436" t="s">
        <v>1123</v>
      </c>
      <c r="E436" t="s">
        <v>1177</v>
      </c>
      <c r="F436" t="s">
        <v>1327</v>
      </c>
      <c r="G436">
        <v>5</v>
      </c>
      <c r="H436">
        <v>3</v>
      </c>
      <c r="I436" s="11">
        <v>46147</v>
      </c>
      <c r="J436" s="17">
        <f>IF(Items[[#This Row],[ID]]="","",IFERROR(VALUE(LOOKUP(2,1/((Log[ID]=Items[[#This Row],[ID]])*(Log[Verb]="est")),Log[Arg])),N(Items[[#This Row],[Points]])))</f>
      </c>
      <c r="K436" s="17">
        <f>IF(Items[[#This Row],[ID]]="","",IFERROR(LOOKUP(2,1/((Log[ID]=Items[[#This Row],[ID]])*(Log[Verb]="pass")),Log[Arg])&amp;"",Items[[#This Row],[Team]]&amp;""))</f>
      </c>
      <c r="L436" s="17">
        <f>IF(Items[[#This Row],[ID]]="","",IFERROR(LOOKUP(2,1/((Log[ID]=Items[[#This Row],[ID]])*(Log[Into]&lt;&gt;"")),Log[Into]),""))</f>
      </c>
      <c r="M436" s="17">
        <f>IF(Items[[#This Row],[ID]]="","",IF(IFERROR(LOOKUP(2,1/((Log[ID]=Items[[#This Row],[ID]])*(Log[Blk]&lt;&gt;"")),Log[Blk]),0)=1,"Y",""))</f>
      </c>
      <c r="N436" s="17">
        <f>IF(Items[[#This Row],[ID]]="","",SUBSTITUTE(IFERROR(LOOKUP(2,1/((Log[ID]=Items[[#This Row],[ID]])*(Log[State]&lt;&gt;"")),Log[State]),"TODO"),"OPEN",IF(Items[[#This Row],[Blocked]]="Y","WAIT","OPEN")))</f>
      </c>
      <c r="O43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36" s="17">
        <f>IF(Items[[#This Row],[State]]&lt;&gt;"WAIT","",AsOf-Items[[#This Row],[Blocked since]])</f>
      </c>
      <c r="Q436" s="17">
        <f>IF(Items[[#This Row],[State]]&lt;&gt;"WAIT","",IFERROR(LOOKUP(2,1/((Log[ID]=Items[[#This Row],[ID]])*(Log[Verb]="block")),Log[Note])&amp;"",""))</f>
      </c>
      <c r="R436" s="17">
        <f>IF(Items[[#This Row],[ID]]="","",COUNTIFS(Log[ID],Items[[#This Row],[ID]],Log[Verb],"carry"))</f>
      </c>
      <c r="S436" s="17">
        <f>IF(Items[[#This Row],[ID]]="","",COUNTIFS(Log[ID],Items[[#This Row],[ID]],Log[Verb],"punt"))</f>
      </c>
      <c r="T436" s="11">
        <f>IF(Items[[#This Row],[State]]&lt;&gt;"DONE","",IFERROR(LOOKUP(2,1/((Log[ID]=Items[[#This Row],[ID]])*(Log[Verb]="done")),Log[Date]),""))</f>
      </c>
      <c r="U436" s="17">
        <f>IF(Items[[#This Row],[ID]]="","",IF(AND(Items[[#This Row],[Sprint]]=CurSprint,OR(Items[[#This Row],[State]]="OPEN",Items[[#This Row],[State]]="WAIT",Items[[#This Row],[State]]="HOLD",Items[[#This Row],[State]]="DONE")),1,0))</f>
      </c>
      <c r="V436" s="17">
        <f>IF(OR(Items[[#This Row],[ID]]="",Items[[#This Row],[Added]]=""),"",AsOf-Items[[#This Row],[Added]])</f>
      </c>
      <c r="W436" s="17">
        <f>IF(Items[[#This Row],[In sprint]]=1,(IF(Items[[#This Row],[Prio]]="",9,N(Items[[#This Row],[Prio]]))*10+(IF(Items[[#This Row],[State]]="DONE",1,0)))*100000+ROW(),"")</f>
      </c>
      <c r="X43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36" s="17">
        <f>IF(AND(Items[[#This Row],[State]]="DONE",N(Items[[#This Row],[Done on]])&gt;AsOf-7),(200000-N(Items[[#This Row],[Done on]]))*100000+ROW(),"")</f>
      </c>
    </row>
    <row r="437">
      <c r="A437" t="s">
        <v>591</v>
      </c>
      <c r="B437" t="s">
        <v>1657</v>
      </c>
      <c r="C437" t="s">
        <v>1107</v>
      </c>
      <c r="D437" t="s">
        <v>1127</v>
      </c>
      <c r="E437" t="s">
        <v>1177</v>
      </c>
      <c r="F437" t="s">
        <v>1178</v>
      </c>
      <c r="G437">
        <v>3</v>
      </c>
      <c r="H437">
        <v>1</v>
      </c>
      <c r="I437" s="11">
        <v>46147</v>
      </c>
      <c r="J437" s="17">
        <f>IF(Items[[#This Row],[ID]]="","",IFERROR(VALUE(LOOKUP(2,1/((Log[ID]=Items[[#This Row],[ID]])*(Log[Verb]="est")),Log[Arg])),N(Items[[#This Row],[Points]])))</f>
      </c>
      <c r="K437" s="17">
        <f>IF(Items[[#This Row],[ID]]="","",IFERROR(LOOKUP(2,1/((Log[ID]=Items[[#This Row],[ID]])*(Log[Verb]="pass")),Log[Arg])&amp;"",Items[[#This Row],[Team]]&amp;""))</f>
      </c>
      <c r="L437" s="17">
        <f>IF(Items[[#This Row],[ID]]="","",IFERROR(LOOKUP(2,1/((Log[ID]=Items[[#This Row],[ID]])*(Log[Into]&lt;&gt;"")),Log[Into]),""))</f>
      </c>
      <c r="M437" s="17">
        <f>IF(Items[[#This Row],[ID]]="","",IF(IFERROR(LOOKUP(2,1/((Log[ID]=Items[[#This Row],[ID]])*(Log[Blk]&lt;&gt;"")),Log[Blk]),0)=1,"Y",""))</f>
      </c>
      <c r="N437" s="17">
        <f>IF(Items[[#This Row],[ID]]="","",SUBSTITUTE(IFERROR(LOOKUP(2,1/((Log[ID]=Items[[#This Row],[ID]])*(Log[State]&lt;&gt;"")),Log[State]),"TODO"),"OPEN",IF(Items[[#This Row],[Blocked]]="Y","WAIT","OPEN")))</f>
      </c>
      <c r="O43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37" s="17">
        <f>IF(Items[[#This Row],[State]]&lt;&gt;"WAIT","",AsOf-Items[[#This Row],[Blocked since]])</f>
      </c>
      <c r="Q437" s="17">
        <f>IF(Items[[#This Row],[State]]&lt;&gt;"WAIT","",IFERROR(LOOKUP(2,1/((Log[ID]=Items[[#This Row],[ID]])*(Log[Verb]="block")),Log[Note])&amp;"",""))</f>
      </c>
      <c r="R437" s="17">
        <f>IF(Items[[#This Row],[ID]]="","",COUNTIFS(Log[ID],Items[[#This Row],[ID]],Log[Verb],"carry"))</f>
      </c>
      <c r="S437" s="17">
        <f>IF(Items[[#This Row],[ID]]="","",COUNTIFS(Log[ID],Items[[#This Row],[ID]],Log[Verb],"punt"))</f>
      </c>
      <c r="T437" s="11">
        <f>IF(Items[[#This Row],[State]]&lt;&gt;"DONE","",IFERROR(LOOKUP(2,1/((Log[ID]=Items[[#This Row],[ID]])*(Log[Verb]="done")),Log[Date]),""))</f>
      </c>
      <c r="U437" s="17">
        <f>IF(Items[[#This Row],[ID]]="","",IF(AND(Items[[#This Row],[Sprint]]=CurSprint,OR(Items[[#This Row],[State]]="OPEN",Items[[#This Row],[State]]="WAIT",Items[[#This Row],[State]]="HOLD",Items[[#This Row],[State]]="DONE")),1,0))</f>
      </c>
      <c r="V437" s="17">
        <f>IF(OR(Items[[#This Row],[ID]]="",Items[[#This Row],[Added]]=""),"",AsOf-Items[[#This Row],[Added]])</f>
      </c>
      <c r="W437" s="17">
        <f>IF(Items[[#This Row],[In sprint]]=1,(IF(Items[[#This Row],[Prio]]="",9,N(Items[[#This Row],[Prio]]))*10+(IF(Items[[#This Row],[State]]="DONE",1,0)))*100000+ROW(),"")</f>
      </c>
      <c r="X43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37" s="17">
        <f>IF(AND(Items[[#This Row],[State]]="DONE",N(Items[[#This Row],[Done on]])&gt;AsOf-7),(200000-N(Items[[#This Row],[Done on]]))*100000+ROW(),"")</f>
      </c>
    </row>
    <row r="438">
      <c r="A438" t="s">
        <v>648</v>
      </c>
      <c r="B438" t="s">
        <v>1658</v>
      </c>
      <c r="C438" t="s">
        <v>1107</v>
      </c>
      <c r="D438" t="s">
        <v>1127</v>
      </c>
      <c r="E438" t="s">
        <v>1177</v>
      </c>
      <c r="F438" t="s">
        <v>1407</v>
      </c>
      <c r="G438">
        <v>5</v>
      </c>
      <c r="H438">
        <v>2</v>
      </c>
      <c r="I438" s="11">
        <v>46147</v>
      </c>
      <c r="J438" s="17">
        <f>IF(Items[[#This Row],[ID]]="","",IFERROR(VALUE(LOOKUP(2,1/((Log[ID]=Items[[#This Row],[ID]])*(Log[Verb]="est")),Log[Arg])),N(Items[[#This Row],[Points]])))</f>
      </c>
      <c r="K438" s="17">
        <f>IF(Items[[#This Row],[ID]]="","",IFERROR(LOOKUP(2,1/((Log[ID]=Items[[#This Row],[ID]])*(Log[Verb]="pass")),Log[Arg])&amp;"",Items[[#This Row],[Team]]&amp;""))</f>
      </c>
      <c r="L438" s="17">
        <f>IF(Items[[#This Row],[ID]]="","",IFERROR(LOOKUP(2,1/((Log[ID]=Items[[#This Row],[ID]])*(Log[Into]&lt;&gt;"")),Log[Into]),""))</f>
      </c>
      <c r="M438" s="17">
        <f>IF(Items[[#This Row],[ID]]="","",IF(IFERROR(LOOKUP(2,1/((Log[ID]=Items[[#This Row],[ID]])*(Log[Blk]&lt;&gt;"")),Log[Blk]),0)=1,"Y",""))</f>
      </c>
      <c r="N438" s="17">
        <f>IF(Items[[#This Row],[ID]]="","",SUBSTITUTE(IFERROR(LOOKUP(2,1/((Log[ID]=Items[[#This Row],[ID]])*(Log[State]&lt;&gt;"")),Log[State]),"TODO"),"OPEN",IF(Items[[#This Row],[Blocked]]="Y","WAIT","OPEN")))</f>
      </c>
      <c r="O43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38" s="17">
        <f>IF(Items[[#This Row],[State]]&lt;&gt;"WAIT","",AsOf-Items[[#This Row],[Blocked since]])</f>
      </c>
      <c r="Q438" s="17">
        <f>IF(Items[[#This Row],[State]]&lt;&gt;"WAIT","",IFERROR(LOOKUP(2,1/((Log[ID]=Items[[#This Row],[ID]])*(Log[Verb]="block")),Log[Note])&amp;"",""))</f>
      </c>
      <c r="R438" s="17">
        <f>IF(Items[[#This Row],[ID]]="","",COUNTIFS(Log[ID],Items[[#This Row],[ID]],Log[Verb],"carry"))</f>
      </c>
      <c r="S438" s="17">
        <f>IF(Items[[#This Row],[ID]]="","",COUNTIFS(Log[ID],Items[[#This Row],[ID]],Log[Verb],"punt"))</f>
      </c>
      <c r="T438" s="11">
        <f>IF(Items[[#This Row],[State]]&lt;&gt;"DONE","",IFERROR(LOOKUP(2,1/((Log[ID]=Items[[#This Row],[ID]])*(Log[Verb]="done")),Log[Date]),""))</f>
      </c>
      <c r="U438" s="17">
        <f>IF(Items[[#This Row],[ID]]="","",IF(AND(Items[[#This Row],[Sprint]]=CurSprint,OR(Items[[#This Row],[State]]="OPEN",Items[[#This Row],[State]]="WAIT",Items[[#This Row],[State]]="HOLD",Items[[#This Row],[State]]="DONE")),1,0))</f>
      </c>
      <c r="V438" s="17">
        <f>IF(OR(Items[[#This Row],[ID]]="",Items[[#This Row],[Added]]=""),"",AsOf-Items[[#This Row],[Added]])</f>
      </c>
      <c r="W438" s="17">
        <f>IF(Items[[#This Row],[In sprint]]=1,(IF(Items[[#This Row],[Prio]]="",9,N(Items[[#This Row],[Prio]]))*10+(IF(Items[[#This Row],[State]]="DONE",1,0)))*100000+ROW(),"")</f>
      </c>
      <c r="X43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38" s="17">
        <f>IF(AND(Items[[#This Row],[State]]="DONE",N(Items[[#This Row],[Done on]])&gt;AsOf-7),(200000-N(Items[[#This Row],[Done on]]))*100000+ROW(),"")</f>
      </c>
    </row>
    <row r="439">
      <c r="A439" t="s">
        <v>594</v>
      </c>
      <c r="B439" t="s">
        <v>1659</v>
      </c>
      <c r="C439" t="s">
        <v>1115</v>
      </c>
      <c r="D439" t="s">
        <v>1119</v>
      </c>
      <c r="E439" t="s">
        <v>1112</v>
      </c>
      <c r="F439" t="s">
        <v>1147</v>
      </c>
      <c r="G439">
        <v>5</v>
      </c>
      <c r="H439">
        <v>3</v>
      </c>
      <c r="I439" s="11">
        <v>46161</v>
      </c>
      <c r="J439" s="17">
        <f>IF(Items[[#This Row],[ID]]="","",IFERROR(VALUE(LOOKUP(2,1/((Log[ID]=Items[[#This Row],[ID]])*(Log[Verb]="est")),Log[Arg])),N(Items[[#This Row],[Points]])))</f>
      </c>
      <c r="K439" s="17">
        <f>IF(Items[[#This Row],[ID]]="","",IFERROR(LOOKUP(2,1/((Log[ID]=Items[[#This Row],[ID]])*(Log[Verb]="pass")),Log[Arg])&amp;"",Items[[#This Row],[Team]]&amp;""))</f>
      </c>
      <c r="L439" s="17">
        <f>IF(Items[[#This Row],[ID]]="","",IFERROR(LOOKUP(2,1/((Log[ID]=Items[[#This Row],[ID]])*(Log[Into]&lt;&gt;"")),Log[Into]),""))</f>
      </c>
      <c r="M439" s="17">
        <f>IF(Items[[#This Row],[ID]]="","",IF(IFERROR(LOOKUP(2,1/((Log[ID]=Items[[#This Row],[ID]])*(Log[Blk]&lt;&gt;"")),Log[Blk]),0)=1,"Y",""))</f>
      </c>
      <c r="N439" s="17">
        <f>IF(Items[[#This Row],[ID]]="","",SUBSTITUTE(IFERROR(LOOKUP(2,1/((Log[ID]=Items[[#This Row],[ID]])*(Log[State]&lt;&gt;"")),Log[State]),"TODO"),"OPEN",IF(Items[[#This Row],[Blocked]]="Y","WAIT","OPEN")))</f>
      </c>
      <c r="O43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39" s="17">
        <f>IF(Items[[#This Row],[State]]&lt;&gt;"WAIT","",AsOf-Items[[#This Row],[Blocked since]])</f>
      </c>
      <c r="Q439" s="17">
        <f>IF(Items[[#This Row],[State]]&lt;&gt;"WAIT","",IFERROR(LOOKUP(2,1/((Log[ID]=Items[[#This Row],[ID]])*(Log[Verb]="block")),Log[Note])&amp;"",""))</f>
      </c>
      <c r="R439" s="17">
        <f>IF(Items[[#This Row],[ID]]="","",COUNTIFS(Log[ID],Items[[#This Row],[ID]],Log[Verb],"carry"))</f>
      </c>
      <c r="S439" s="17">
        <f>IF(Items[[#This Row],[ID]]="","",COUNTIFS(Log[ID],Items[[#This Row],[ID]],Log[Verb],"punt"))</f>
      </c>
      <c r="T439" s="11">
        <f>IF(Items[[#This Row],[State]]&lt;&gt;"DONE","",IFERROR(LOOKUP(2,1/((Log[ID]=Items[[#This Row],[ID]])*(Log[Verb]="done")),Log[Date]),""))</f>
      </c>
      <c r="U439" s="17">
        <f>IF(Items[[#This Row],[ID]]="","",IF(AND(Items[[#This Row],[Sprint]]=CurSprint,OR(Items[[#This Row],[State]]="OPEN",Items[[#This Row],[State]]="WAIT",Items[[#This Row],[State]]="HOLD",Items[[#This Row],[State]]="DONE")),1,0))</f>
      </c>
      <c r="V439" s="17">
        <f>IF(OR(Items[[#This Row],[ID]]="",Items[[#This Row],[Added]]=""),"",AsOf-Items[[#This Row],[Added]])</f>
      </c>
      <c r="W439" s="17">
        <f>IF(Items[[#This Row],[In sprint]]=1,(IF(Items[[#This Row],[Prio]]="",9,N(Items[[#This Row],[Prio]]))*10+(IF(Items[[#This Row],[State]]="DONE",1,0)))*100000+ROW(),"")</f>
      </c>
      <c r="X43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39" s="17">
        <f>IF(AND(Items[[#This Row],[State]]="DONE",N(Items[[#This Row],[Done on]])&gt;AsOf-7),(200000-N(Items[[#This Row],[Done on]]))*100000+ROW(),"")</f>
      </c>
    </row>
    <row r="440">
      <c r="A440" t="s">
        <v>595</v>
      </c>
      <c r="B440" t="s">
        <v>1660</v>
      </c>
      <c r="C440" t="s">
        <v>1107</v>
      </c>
      <c r="D440" t="s">
        <v>1123</v>
      </c>
      <c r="E440" t="s">
        <v>1112</v>
      </c>
      <c r="F440" t="s">
        <v>1412</v>
      </c>
      <c r="G440">
        <v>8</v>
      </c>
      <c r="H440">
        <v>2</v>
      </c>
      <c r="I440" s="11">
        <v>46161</v>
      </c>
      <c r="J440" s="17">
        <f>IF(Items[[#This Row],[ID]]="","",IFERROR(VALUE(LOOKUP(2,1/((Log[ID]=Items[[#This Row],[ID]])*(Log[Verb]="est")),Log[Arg])),N(Items[[#This Row],[Points]])))</f>
      </c>
      <c r="K440" s="17">
        <f>IF(Items[[#This Row],[ID]]="","",IFERROR(LOOKUP(2,1/((Log[ID]=Items[[#This Row],[ID]])*(Log[Verb]="pass")),Log[Arg])&amp;"",Items[[#This Row],[Team]]&amp;""))</f>
      </c>
      <c r="L440" s="17">
        <f>IF(Items[[#This Row],[ID]]="","",IFERROR(LOOKUP(2,1/((Log[ID]=Items[[#This Row],[ID]])*(Log[Into]&lt;&gt;"")),Log[Into]),""))</f>
      </c>
      <c r="M440" s="17">
        <f>IF(Items[[#This Row],[ID]]="","",IF(IFERROR(LOOKUP(2,1/((Log[ID]=Items[[#This Row],[ID]])*(Log[Blk]&lt;&gt;"")),Log[Blk]),0)=1,"Y",""))</f>
      </c>
      <c r="N440" s="17">
        <f>IF(Items[[#This Row],[ID]]="","",SUBSTITUTE(IFERROR(LOOKUP(2,1/((Log[ID]=Items[[#This Row],[ID]])*(Log[State]&lt;&gt;"")),Log[State]),"TODO"),"OPEN",IF(Items[[#This Row],[Blocked]]="Y","WAIT","OPEN")))</f>
      </c>
      <c r="O44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40" s="17">
        <f>IF(Items[[#This Row],[State]]&lt;&gt;"WAIT","",AsOf-Items[[#This Row],[Blocked since]])</f>
      </c>
      <c r="Q440" s="17">
        <f>IF(Items[[#This Row],[State]]&lt;&gt;"WAIT","",IFERROR(LOOKUP(2,1/((Log[ID]=Items[[#This Row],[ID]])*(Log[Verb]="block")),Log[Note])&amp;"",""))</f>
      </c>
      <c r="R440" s="17">
        <f>IF(Items[[#This Row],[ID]]="","",COUNTIFS(Log[ID],Items[[#This Row],[ID]],Log[Verb],"carry"))</f>
      </c>
      <c r="S440" s="17">
        <f>IF(Items[[#This Row],[ID]]="","",COUNTIFS(Log[ID],Items[[#This Row],[ID]],Log[Verb],"punt"))</f>
      </c>
      <c r="T440" s="11">
        <f>IF(Items[[#This Row],[State]]&lt;&gt;"DONE","",IFERROR(LOOKUP(2,1/((Log[ID]=Items[[#This Row],[ID]])*(Log[Verb]="done")),Log[Date]),""))</f>
      </c>
      <c r="U440" s="17">
        <f>IF(Items[[#This Row],[ID]]="","",IF(AND(Items[[#This Row],[Sprint]]=CurSprint,OR(Items[[#This Row],[State]]="OPEN",Items[[#This Row],[State]]="WAIT",Items[[#This Row],[State]]="HOLD",Items[[#This Row],[State]]="DONE")),1,0))</f>
      </c>
      <c r="V440" s="17">
        <f>IF(OR(Items[[#This Row],[ID]]="",Items[[#This Row],[Added]]=""),"",AsOf-Items[[#This Row],[Added]])</f>
      </c>
      <c r="W440" s="17">
        <f>IF(Items[[#This Row],[In sprint]]=1,(IF(Items[[#This Row],[Prio]]="",9,N(Items[[#This Row],[Prio]]))*10+(IF(Items[[#This Row],[State]]="DONE",1,0)))*100000+ROW(),"")</f>
      </c>
      <c r="X44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40" s="17">
        <f>IF(AND(Items[[#This Row],[State]]="DONE",N(Items[[#This Row],[Done on]])&gt;AsOf-7),(200000-N(Items[[#This Row],[Done on]]))*100000+ROW(),"")</f>
      </c>
    </row>
    <row r="441">
      <c r="A441" t="s">
        <v>655</v>
      </c>
      <c r="B441" t="s">
        <v>1661</v>
      </c>
      <c r="C441" t="s">
        <v>1107</v>
      </c>
      <c r="D441" t="s">
        <v>1123</v>
      </c>
      <c r="E441" t="s">
        <v>1112</v>
      </c>
      <c r="F441" t="s">
        <v>1142</v>
      </c>
      <c r="G441">
        <v>8</v>
      </c>
      <c r="H441">
        <v>1</v>
      </c>
      <c r="I441" s="11">
        <v>46161</v>
      </c>
      <c r="J441" s="17">
        <f>IF(Items[[#This Row],[ID]]="","",IFERROR(VALUE(LOOKUP(2,1/((Log[ID]=Items[[#This Row],[ID]])*(Log[Verb]="est")),Log[Arg])),N(Items[[#This Row],[Points]])))</f>
      </c>
      <c r="K441" s="17">
        <f>IF(Items[[#This Row],[ID]]="","",IFERROR(LOOKUP(2,1/((Log[ID]=Items[[#This Row],[ID]])*(Log[Verb]="pass")),Log[Arg])&amp;"",Items[[#This Row],[Team]]&amp;""))</f>
      </c>
      <c r="L441" s="17">
        <f>IF(Items[[#This Row],[ID]]="","",IFERROR(LOOKUP(2,1/((Log[ID]=Items[[#This Row],[ID]])*(Log[Into]&lt;&gt;"")),Log[Into]),""))</f>
      </c>
      <c r="M441" s="17">
        <f>IF(Items[[#This Row],[ID]]="","",IF(IFERROR(LOOKUP(2,1/((Log[ID]=Items[[#This Row],[ID]])*(Log[Blk]&lt;&gt;"")),Log[Blk]),0)=1,"Y",""))</f>
      </c>
      <c r="N441" s="17">
        <f>IF(Items[[#This Row],[ID]]="","",SUBSTITUTE(IFERROR(LOOKUP(2,1/((Log[ID]=Items[[#This Row],[ID]])*(Log[State]&lt;&gt;"")),Log[State]),"TODO"),"OPEN",IF(Items[[#This Row],[Blocked]]="Y","WAIT","OPEN")))</f>
      </c>
      <c r="O44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41" s="17">
        <f>IF(Items[[#This Row],[State]]&lt;&gt;"WAIT","",AsOf-Items[[#This Row],[Blocked since]])</f>
      </c>
      <c r="Q441" s="17">
        <f>IF(Items[[#This Row],[State]]&lt;&gt;"WAIT","",IFERROR(LOOKUP(2,1/((Log[ID]=Items[[#This Row],[ID]])*(Log[Verb]="block")),Log[Note])&amp;"",""))</f>
      </c>
      <c r="R441" s="17">
        <f>IF(Items[[#This Row],[ID]]="","",COUNTIFS(Log[ID],Items[[#This Row],[ID]],Log[Verb],"carry"))</f>
      </c>
      <c r="S441" s="17">
        <f>IF(Items[[#This Row],[ID]]="","",COUNTIFS(Log[ID],Items[[#This Row],[ID]],Log[Verb],"punt"))</f>
      </c>
      <c r="T441" s="11">
        <f>IF(Items[[#This Row],[State]]&lt;&gt;"DONE","",IFERROR(LOOKUP(2,1/((Log[ID]=Items[[#This Row],[ID]])*(Log[Verb]="done")),Log[Date]),""))</f>
      </c>
      <c r="U441" s="17">
        <f>IF(Items[[#This Row],[ID]]="","",IF(AND(Items[[#This Row],[Sprint]]=CurSprint,OR(Items[[#This Row],[State]]="OPEN",Items[[#This Row],[State]]="WAIT",Items[[#This Row],[State]]="HOLD",Items[[#This Row],[State]]="DONE")),1,0))</f>
      </c>
      <c r="V441" s="17">
        <f>IF(OR(Items[[#This Row],[ID]]="",Items[[#This Row],[Added]]=""),"",AsOf-Items[[#This Row],[Added]])</f>
      </c>
      <c r="W441" s="17">
        <f>IF(Items[[#This Row],[In sprint]]=1,(IF(Items[[#This Row],[Prio]]="",9,N(Items[[#This Row],[Prio]]))*10+(IF(Items[[#This Row],[State]]="DONE",1,0)))*100000+ROW(),"")</f>
      </c>
      <c r="X44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41" s="17">
        <f>IF(AND(Items[[#This Row],[State]]="DONE",N(Items[[#This Row],[Done on]])&gt;AsOf-7),(200000-N(Items[[#This Row],[Done on]]))*100000+ROW(),"")</f>
      </c>
    </row>
    <row r="442">
      <c r="A442" t="s">
        <v>597</v>
      </c>
      <c r="B442" t="s">
        <v>1662</v>
      </c>
      <c r="C442" t="s">
        <v>1107</v>
      </c>
      <c r="D442" t="s">
        <v>1127</v>
      </c>
      <c r="E442" t="s">
        <v>1120</v>
      </c>
      <c r="F442" t="s">
        <v>1421</v>
      </c>
      <c r="G442">
        <v>8</v>
      </c>
      <c r="H442">
        <v>3</v>
      </c>
      <c r="I442" s="11">
        <v>46161</v>
      </c>
      <c r="J442" s="17">
        <f>IF(Items[[#This Row],[ID]]="","",IFERROR(VALUE(LOOKUP(2,1/((Log[ID]=Items[[#This Row],[ID]])*(Log[Verb]="est")),Log[Arg])),N(Items[[#This Row],[Points]])))</f>
      </c>
      <c r="K442" s="17">
        <f>IF(Items[[#This Row],[ID]]="","",IFERROR(LOOKUP(2,1/((Log[ID]=Items[[#This Row],[ID]])*(Log[Verb]="pass")),Log[Arg])&amp;"",Items[[#This Row],[Team]]&amp;""))</f>
      </c>
      <c r="L442" s="17">
        <f>IF(Items[[#This Row],[ID]]="","",IFERROR(LOOKUP(2,1/((Log[ID]=Items[[#This Row],[ID]])*(Log[Into]&lt;&gt;"")),Log[Into]),""))</f>
      </c>
      <c r="M442" s="17">
        <f>IF(Items[[#This Row],[ID]]="","",IF(IFERROR(LOOKUP(2,1/((Log[ID]=Items[[#This Row],[ID]])*(Log[Blk]&lt;&gt;"")),Log[Blk]),0)=1,"Y",""))</f>
      </c>
      <c r="N442" s="17">
        <f>IF(Items[[#This Row],[ID]]="","",SUBSTITUTE(IFERROR(LOOKUP(2,1/((Log[ID]=Items[[#This Row],[ID]])*(Log[State]&lt;&gt;"")),Log[State]),"TODO"),"OPEN",IF(Items[[#This Row],[Blocked]]="Y","WAIT","OPEN")))</f>
      </c>
      <c r="O44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42" s="17">
        <f>IF(Items[[#This Row],[State]]&lt;&gt;"WAIT","",AsOf-Items[[#This Row],[Blocked since]])</f>
      </c>
      <c r="Q442" s="17">
        <f>IF(Items[[#This Row],[State]]&lt;&gt;"WAIT","",IFERROR(LOOKUP(2,1/((Log[ID]=Items[[#This Row],[ID]])*(Log[Verb]="block")),Log[Note])&amp;"",""))</f>
      </c>
      <c r="R442" s="17">
        <f>IF(Items[[#This Row],[ID]]="","",COUNTIFS(Log[ID],Items[[#This Row],[ID]],Log[Verb],"carry"))</f>
      </c>
      <c r="S442" s="17">
        <f>IF(Items[[#This Row],[ID]]="","",COUNTIFS(Log[ID],Items[[#This Row],[ID]],Log[Verb],"punt"))</f>
      </c>
      <c r="T442" s="11">
        <f>IF(Items[[#This Row],[State]]&lt;&gt;"DONE","",IFERROR(LOOKUP(2,1/((Log[ID]=Items[[#This Row],[ID]])*(Log[Verb]="done")),Log[Date]),""))</f>
      </c>
      <c r="U442" s="17">
        <f>IF(Items[[#This Row],[ID]]="","",IF(AND(Items[[#This Row],[Sprint]]=CurSprint,OR(Items[[#This Row],[State]]="OPEN",Items[[#This Row],[State]]="WAIT",Items[[#This Row],[State]]="HOLD",Items[[#This Row],[State]]="DONE")),1,0))</f>
      </c>
      <c r="V442" s="17">
        <f>IF(OR(Items[[#This Row],[ID]]="",Items[[#This Row],[Added]]=""),"",AsOf-Items[[#This Row],[Added]])</f>
      </c>
      <c r="W442" s="17">
        <f>IF(Items[[#This Row],[In sprint]]=1,(IF(Items[[#This Row],[Prio]]="",9,N(Items[[#This Row],[Prio]]))*10+(IF(Items[[#This Row],[State]]="DONE",1,0)))*100000+ROW(),"")</f>
      </c>
      <c r="X44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42" s="17">
        <f>IF(AND(Items[[#This Row],[State]]="DONE",N(Items[[#This Row],[Done on]])&gt;AsOf-7),(200000-N(Items[[#This Row],[Done on]]))*100000+ROW(),"")</f>
      </c>
    </row>
    <row r="443">
      <c r="A443" t="s">
        <v>598</v>
      </c>
      <c r="B443" t="s">
        <v>1663</v>
      </c>
      <c r="C443" t="s">
        <v>1107</v>
      </c>
      <c r="D443" t="s">
        <v>1123</v>
      </c>
      <c r="E443" t="s">
        <v>1120</v>
      </c>
      <c r="F443" t="s">
        <v>1342</v>
      </c>
      <c r="G443">
        <v>8</v>
      </c>
      <c r="H443">
        <v>3</v>
      </c>
      <c r="I443" s="11">
        <v>46161</v>
      </c>
      <c r="J443" s="17">
        <f>IF(Items[[#This Row],[ID]]="","",IFERROR(VALUE(LOOKUP(2,1/((Log[ID]=Items[[#This Row],[ID]])*(Log[Verb]="est")),Log[Arg])),N(Items[[#This Row],[Points]])))</f>
      </c>
      <c r="K443" s="17">
        <f>IF(Items[[#This Row],[ID]]="","",IFERROR(LOOKUP(2,1/((Log[ID]=Items[[#This Row],[ID]])*(Log[Verb]="pass")),Log[Arg])&amp;"",Items[[#This Row],[Team]]&amp;""))</f>
      </c>
      <c r="L443" s="17">
        <f>IF(Items[[#This Row],[ID]]="","",IFERROR(LOOKUP(2,1/((Log[ID]=Items[[#This Row],[ID]])*(Log[Into]&lt;&gt;"")),Log[Into]),""))</f>
      </c>
      <c r="M443" s="17">
        <f>IF(Items[[#This Row],[ID]]="","",IF(IFERROR(LOOKUP(2,1/((Log[ID]=Items[[#This Row],[ID]])*(Log[Blk]&lt;&gt;"")),Log[Blk]),0)=1,"Y",""))</f>
      </c>
      <c r="N443" s="17">
        <f>IF(Items[[#This Row],[ID]]="","",SUBSTITUTE(IFERROR(LOOKUP(2,1/((Log[ID]=Items[[#This Row],[ID]])*(Log[State]&lt;&gt;"")),Log[State]),"TODO"),"OPEN",IF(Items[[#This Row],[Blocked]]="Y","WAIT","OPEN")))</f>
      </c>
      <c r="O44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43" s="17">
        <f>IF(Items[[#This Row],[State]]&lt;&gt;"WAIT","",AsOf-Items[[#This Row],[Blocked since]])</f>
      </c>
      <c r="Q443" s="17">
        <f>IF(Items[[#This Row],[State]]&lt;&gt;"WAIT","",IFERROR(LOOKUP(2,1/((Log[ID]=Items[[#This Row],[ID]])*(Log[Verb]="block")),Log[Note])&amp;"",""))</f>
      </c>
      <c r="R443" s="17">
        <f>IF(Items[[#This Row],[ID]]="","",COUNTIFS(Log[ID],Items[[#This Row],[ID]],Log[Verb],"carry"))</f>
      </c>
      <c r="S443" s="17">
        <f>IF(Items[[#This Row],[ID]]="","",COUNTIFS(Log[ID],Items[[#This Row],[ID]],Log[Verb],"punt"))</f>
      </c>
      <c r="T443" s="11">
        <f>IF(Items[[#This Row],[State]]&lt;&gt;"DONE","",IFERROR(LOOKUP(2,1/((Log[ID]=Items[[#This Row],[ID]])*(Log[Verb]="done")),Log[Date]),""))</f>
      </c>
      <c r="U443" s="17">
        <f>IF(Items[[#This Row],[ID]]="","",IF(AND(Items[[#This Row],[Sprint]]=CurSprint,OR(Items[[#This Row],[State]]="OPEN",Items[[#This Row],[State]]="WAIT",Items[[#This Row],[State]]="HOLD",Items[[#This Row],[State]]="DONE")),1,0))</f>
      </c>
      <c r="V443" s="17">
        <f>IF(OR(Items[[#This Row],[ID]]="",Items[[#This Row],[Added]]=""),"",AsOf-Items[[#This Row],[Added]])</f>
      </c>
      <c r="W443" s="17">
        <f>IF(Items[[#This Row],[In sprint]]=1,(IF(Items[[#This Row],[Prio]]="",9,N(Items[[#This Row],[Prio]]))*10+(IF(Items[[#This Row],[State]]="DONE",1,0)))*100000+ROW(),"")</f>
      </c>
      <c r="X44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43" s="17">
        <f>IF(AND(Items[[#This Row],[State]]="DONE",N(Items[[#This Row],[Done on]])&gt;AsOf-7),(200000-N(Items[[#This Row],[Done on]]))*100000+ROW(),"")</f>
      </c>
    </row>
    <row r="444">
      <c r="A444" t="s">
        <v>599</v>
      </c>
      <c r="B444" t="s">
        <v>1664</v>
      </c>
      <c r="C444" t="s">
        <v>1115</v>
      </c>
      <c r="D444" t="s">
        <v>1119</v>
      </c>
      <c r="E444" t="s">
        <v>1120</v>
      </c>
      <c r="F444" t="s">
        <v>1339</v>
      </c>
      <c r="G444">
        <v>5</v>
      </c>
      <c r="H444">
        <v>1</v>
      </c>
      <c r="I444" s="11">
        <v>46161</v>
      </c>
      <c r="J444" s="17">
        <f>IF(Items[[#This Row],[ID]]="","",IFERROR(VALUE(LOOKUP(2,1/((Log[ID]=Items[[#This Row],[ID]])*(Log[Verb]="est")),Log[Arg])),N(Items[[#This Row],[Points]])))</f>
      </c>
      <c r="K444" s="17">
        <f>IF(Items[[#This Row],[ID]]="","",IFERROR(LOOKUP(2,1/((Log[ID]=Items[[#This Row],[ID]])*(Log[Verb]="pass")),Log[Arg])&amp;"",Items[[#This Row],[Team]]&amp;""))</f>
      </c>
      <c r="L444" s="17">
        <f>IF(Items[[#This Row],[ID]]="","",IFERROR(LOOKUP(2,1/((Log[ID]=Items[[#This Row],[ID]])*(Log[Into]&lt;&gt;"")),Log[Into]),""))</f>
      </c>
      <c r="M444" s="17">
        <f>IF(Items[[#This Row],[ID]]="","",IF(IFERROR(LOOKUP(2,1/((Log[ID]=Items[[#This Row],[ID]])*(Log[Blk]&lt;&gt;"")),Log[Blk]),0)=1,"Y",""))</f>
      </c>
      <c r="N444" s="17">
        <f>IF(Items[[#This Row],[ID]]="","",SUBSTITUTE(IFERROR(LOOKUP(2,1/((Log[ID]=Items[[#This Row],[ID]])*(Log[State]&lt;&gt;"")),Log[State]),"TODO"),"OPEN",IF(Items[[#This Row],[Blocked]]="Y","WAIT","OPEN")))</f>
      </c>
      <c r="O44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44" s="17">
        <f>IF(Items[[#This Row],[State]]&lt;&gt;"WAIT","",AsOf-Items[[#This Row],[Blocked since]])</f>
      </c>
      <c r="Q444" s="17">
        <f>IF(Items[[#This Row],[State]]&lt;&gt;"WAIT","",IFERROR(LOOKUP(2,1/((Log[ID]=Items[[#This Row],[ID]])*(Log[Verb]="block")),Log[Note])&amp;"",""))</f>
      </c>
      <c r="R444" s="17">
        <f>IF(Items[[#This Row],[ID]]="","",COUNTIFS(Log[ID],Items[[#This Row],[ID]],Log[Verb],"carry"))</f>
      </c>
      <c r="S444" s="17">
        <f>IF(Items[[#This Row],[ID]]="","",COUNTIFS(Log[ID],Items[[#This Row],[ID]],Log[Verb],"punt"))</f>
      </c>
      <c r="T444" s="11">
        <f>IF(Items[[#This Row],[State]]&lt;&gt;"DONE","",IFERROR(LOOKUP(2,1/((Log[ID]=Items[[#This Row],[ID]])*(Log[Verb]="done")),Log[Date]),""))</f>
      </c>
      <c r="U444" s="17">
        <f>IF(Items[[#This Row],[ID]]="","",IF(AND(Items[[#This Row],[Sprint]]=CurSprint,OR(Items[[#This Row],[State]]="OPEN",Items[[#This Row],[State]]="WAIT",Items[[#This Row],[State]]="HOLD",Items[[#This Row],[State]]="DONE")),1,0))</f>
      </c>
      <c r="V444" s="17">
        <f>IF(OR(Items[[#This Row],[ID]]="",Items[[#This Row],[Added]]=""),"",AsOf-Items[[#This Row],[Added]])</f>
      </c>
      <c r="W444" s="17">
        <f>IF(Items[[#This Row],[In sprint]]=1,(IF(Items[[#This Row],[Prio]]="",9,N(Items[[#This Row],[Prio]]))*10+(IF(Items[[#This Row],[State]]="DONE",1,0)))*100000+ROW(),"")</f>
      </c>
      <c r="X44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44" s="17">
        <f>IF(AND(Items[[#This Row],[State]]="DONE",N(Items[[#This Row],[Done on]])&gt;AsOf-7),(200000-N(Items[[#This Row],[Done on]]))*100000+ROW(),"")</f>
      </c>
    </row>
    <row r="445">
      <c r="A445" t="s">
        <v>605</v>
      </c>
      <c r="B445" t="s">
        <v>1665</v>
      </c>
      <c r="C445" t="s">
        <v>1115</v>
      </c>
      <c r="D445" t="s">
        <v>1119</v>
      </c>
      <c r="E445" t="s">
        <v>1124</v>
      </c>
      <c r="F445" t="s">
        <v>1666</v>
      </c>
      <c r="G445">
        <v>5</v>
      </c>
      <c r="H445">
        <v>3</v>
      </c>
      <c r="I445" s="11">
        <v>46161</v>
      </c>
      <c r="J445" s="17">
        <f>IF(Items[[#This Row],[ID]]="","",IFERROR(VALUE(LOOKUP(2,1/((Log[ID]=Items[[#This Row],[ID]])*(Log[Verb]="est")),Log[Arg])),N(Items[[#This Row],[Points]])))</f>
      </c>
      <c r="K445" s="17">
        <f>IF(Items[[#This Row],[ID]]="","",IFERROR(LOOKUP(2,1/((Log[ID]=Items[[#This Row],[ID]])*(Log[Verb]="pass")),Log[Arg])&amp;"",Items[[#This Row],[Team]]&amp;""))</f>
      </c>
      <c r="L445" s="17">
        <f>IF(Items[[#This Row],[ID]]="","",IFERROR(LOOKUP(2,1/((Log[ID]=Items[[#This Row],[ID]])*(Log[Into]&lt;&gt;"")),Log[Into]),""))</f>
      </c>
      <c r="M445" s="17">
        <f>IF(Items[[#This Row],[ID]]="","",IF(IFERROR(LOOKUP(2,1/((Log[ID]=Items[[#This Row],[ID]])*(Log[Blk]&lt;&gt;"")),Log[Blk]),0)=1,"Y",""))</f>
      </c>
      <c r="N445" s="17">
        <f>IF(Items[[#This Row],[ID]]="","",SUBSTITUTE(IFERROR(LOOKUP(2,1/((Log[ID]=Items[[#This Row],[ID]])*(Log[State]&lt;&gt;"")),Log[State]),"TODO"),"OPEN",IF(Items[[#This Row],[Blocked]]="Y","WAIT","OPEN")))</f>
      </c>
      <c r="O44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45" s="17">
        <f>IF(Items[[#This Row],[State]]&lt;&gt;"WAIT","",AsOf-Items[[#This Row],[Blocked since]])</f>
      </c>
      <c r="Q445" s="17">
        <f>IF(Items[[#This Row],[State]]&lt;&gt;"WAIT","",IFERROR(LOOKUP(2,1/((Log[ID]=Items[[#This Row],[ID]])*(Log[Verb]="block")),Log[Note])&amp;"",""))</f>
      </c>
      <c r="R445" s="17">
        <f>IF(Items[[#This Row],[ID]]="","",COUNTIFS(Log[ID],Items[[#This Row],[ID]],Log[Verb],"carry"))</f>
      </c>
      <c r="S445" s="17">
        <f>IF(Items[[#This Row],[ID]]="","",COUNTIFS(Log[ID],Items[[#This Row],[ID]],Log[Verb],"punt"))</f>
      </c>
      <c r="T445" s="11">
        <f>IF(Items[[#This Row],[State]]&lt;&gt;"DONE","",IFERROR(LOOKUP(2,1/((Log[ID]=Items[[#This Row],[ID]])*(Log[Verb]="done")),Log[Date]),""))</f>
      </c>
      <c r="U445" s="17">
        <f>IF(Items[[#This Row],[ID]]="","",IF(AND(Items[[#This Row],[Sprint]]=CurSprint,OR(Items[[#This Row],[State]]="OPEN",Items[[#This Row],[State]]="WAIT",Items[[#This Row],[State]]="HOLD",Items[[#This Row],[State]]="DONE")),1,0))</f>
      </c>
      <c r="V445" s="17">
        <f>IF(OR(Items[[#This Row],[ID]]="",Items[[#This Row],[Added]]=""),"",AsOf-Items[[#This Row],[Added]])</f>
      </c>
      <c r="W445" s="17">
        <f>IF(Items[[#This Row],[In sprint]]=1,(IF(Items[[#This Row],[Prio]]="",9,N(Items[[#This Row],[Prio]]))*10+(IF(Items[[#This Row],[State]]="DONE",1,0)))*100000+ROW(),"")</f>
      </c>
      <c r="X44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45" s="17">
        <f>IF(AND(Items[[#This Row],[State]]="DONE",N(Items[[#This Row],[Done on]])&gt;AsOf-7),(200000-N(Items[[#This Row],[Done on]]))*100000+ROW(),"")</f>
      </c>
    </row>
    <row r="446">
      <c r="A446" t="s">
        <v>606</v>
      </c>
      <c r="B446" t="s">
        <v>1667</v>
      </c>
      <c r="C446" t="s">
        <v>1115</v>
      </c>
      <c r="D446" t="s">
        <v>1119</v>
      </c>
      <c r="E446" t="s">
        <v>1124</v>
      </c>
      <c r="F446" t="s">
        <v>1344</v>
      </c>
      <c r="G446">
        <v>5</v>
      </c>
      <c r="H446">
        <v>1</v>
      </c>
      <c r="I446" s="11">
        <v>46161</v>
      </c>
      <c r="J446" s="17">
        <f>IF(Items[[#This Row],[ID]]="","",IFERROR(VALUE(LOOKUP(2,1/((Log[ID]=Items[[#This Row],[ID]])*(Log[Verb]="est")),Log[Arg])),N(Items[[#This Row],[Points]])))</f>
      </c>
      <c r="K446" s="17">
        <f>IF(Items[[#This Row],[ID]]="","",IFERROR(LOOKUP(2,1/((Log[ID]=Items[[#This Row],[ID]])*(Log[Verb]="pass")),Log[Arg])&amp;"",Items[[#This Row],[Team]]&amp;""))</f>
      </c>
      <c r="L446" s="17">
        <f>IF(Items[[#This Row],[ID]]="","",IFERROR(LOOKUP(2,1/((Log[ID]=Items[[#This Row],[ID]])*(Log[Into]&lt;&gt;"")),Log[Into]),""))</f>
      </c>
      <c r="M446" s="17">
        <f>IF(Items[[#This Row],[ID]]="","",IF(IFERROR(LOOKUP(2,1/((Log[ID]=Items[[#This Row],[ID]])*(Log[Blk]&lt;&gt;"")),Log[Blk]),0)=1,"Y",""))</f>
      </c>
      <c r="N446" s="17">
        <f>IF(Items[[#This Row],[ID]]="","",SUBSTITUTE(IFERROR(LOOKUP(2,1/((Log[ID]=Items[[#This Row],[ID]])*(Log[State]&lt;&gt;"")),Log[State]),"TODO"),"OPEN",IF(Items[[#This Row],[Blocked]]="Y","WAIT","OPEN")))</f>
      </c>
      <c r="O44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46" s="17">
        <f>IF(Items[[#This Row],[State]]&lt;&gt;"WAIT","",AsOf-Items[[#This Row],[Blocked since]])</f>
      </c>
      <c r="Q446" s="17">
        <f>IF(Items[[#This Row],[State]]&lt;&gt;"WAIT","",IFERROR(LOOKUP(2,1/((Log[ID]=Items[[#This Row],[ID]])*(Log[Verb]="block")),Log[Note])&amp;"",""))</f>
      </c>
      <c r="R446" s="17">
        <f>IF(Items[[#This Row],[ID]]="","",COUNTIFS(Log[ID],Items[[#This Row],[ID]],Log[Verb],"carry"))</f>
      </c>
      <c r="S446" s="17">
        <f>IF(Items[[#This Row],[ID]]="","",COUNTIFS(Log[ID],Items[[#This Row],[ID]],Log[Verb],"punt"))</f>
      </c>
      <c r="T446" s="11">
        <f>IF(Items[[#This Row],[State]]&lt;&gt;"DONE","",IFERROR(LOOKUP(2,1/((Log[ID]=Items[[#This Row],[ID]])*(Log[Verb]="done")),Log[Date]),""))</f>
      </c>
      <c r="U446" s="17">
        <f>IF(Items[[#This Row],[ID]]="","",IF(AND(Items[[#This Row],[Sprint]]=CurSprint,OR(Items[[#This Row],[State]]="OPEN",Items[[#This Row],[State]]="WAIT",Items[[#This Row],[State]]="HOLD",Items[[#This Row],[State]]="DONE")),1,0))</f>
      </c>
      <c r="V446" s="17">
        <f>IF(OR(Items[[#This Row],[ID]]="",Items[[#This Row],[Added]]=""),"",AsOf-Items[[#This Row],[Added]])</f>
      </c>
      <c r="W446" s="17">
        <f>IF(Items[[#This Row],[In sprint]]=1,(IF(Items[[#This Row],[Prio]]="",9,N(Items[[#This Row],[Prio]]))*10+(IF(Items[[#This Row],[State]]="DONE",1,0)))*100000+ROW(),"")</f>
      </c>
      <c r="X44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46" s="17">
        <f>IF(AND(Items[[#This Row],[State]]="DONE",N(Items[[#This Row],[Done on]])&gt;AsOf-7),(200000-N(Items[[#This Row],[Done on]]))*100000+ROW(),"")</f>
      </c>
    </row>
    <row r="447">
      <c r="A447" t="s">
        <v>607</v>
      </c>
      <c r="B447" t="s">
        <v>1668</v>
      </c>
      <c r="C447" t="s">
        <v>1115</v>
      </c>
      <c r="D447" t="s">
        <v>1116</v>
      </c>
      <c r="E447" t="s">
        <v>1124</v>
      </c>
      <c r="F447" t="s">
        <v>1344</v>
      </c>
      <c r="G447">
        <v>8</v>
      </c>
      <c r="H447">
        <v>3</v>
      </c>
      <c r="I447" s="11">
        <v>46161</v>
      </c>
      <c r="J447" s="17">
        <f>IF(Items[[#This Row],[ID]]="","",IFERROR(VALUE(LOOKUP(2,1/((Log[ID]=Items[[#This Row],[ID]])*(Log[Verb]="est")),Log[Arg])),N(Items[[#This Row],[Points]])))</f>
      </c>
      <c r="K447" s="17">
        <f>IF(Items[[#This Row],[ID]]="","",IFERROR(LOOKUP(2,1/((Log[ID]=Items[[#This Row],[ID]])*(Log[Verb]="pass")),Log[Arg])&amp;"",Items[[#This Row],[Team]]&amp;""))</f>
      </c>
      <c r="L447" s="17">
        <f>IF(Items[[#This Row],[ID]]="","",IFERROR(LOOKUP(2,1/((Log[ID]=Items[[#This Row],[ID]])*(Log[Into]&lt;&gt;"")),Log[Into]),""))</f>
      </c>
      <c r="M447" s="17">
        <f>IF(Items[[#This Row],[ID]]="","",IF(IFERROR(LOOKUP(2,1/((Log[ID]=Items[[#This Row],[ID]])*(Log[Blk]&lt;&gt;"")),Log[Blk]),0)=1,"Y",""))</f>
      </c>
      <c r="N447" s="17">
        <f>IF(Items[[#This Row],[ID]]="","",SUBSTITUTE(IFERROR(LOOKUP(2,1/((Log[ID]=Items[[#This Row],[ID]])*(Log[State]&lt;&gt;"")),Log[State]),"TODO"),"OPEN",IF(Items[[#This Row],[Blocked]]="Y","WAIT","OPEN")))</f>
      </c>
      <c r="O44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47" s="17">
        <f>IF(Items[[#This Row],[State]]&lt;&gt;"WAIT","",AsOf-Items[[#This Row],[Blocked since]])</f>
      </c>
      <c r="Q447" s="17">
        <f>IF(Items[[#This Row],[State]]&lt;&gt;"WAIT","",IFERROR(LOOKUP(2,1/((Log[ID]=Items[[#This Row],[ID]])*(Log[Verb]="block")),Log[Note])&amp;"",""))</f>
      </c>
      <c r="R447" s="17">
        <f>IF(Items[[#This Row],[ID]]="","",COUNTIFS(Log[ID],Items[[#This Row],[ID]],Log[Verb],"carry"))</f>
      </c>
      <c r="S447" s="17">
        <f>IF(Items[[#This Row],[ID]]="","",COUNTIFS(Log[ID],Items[[#This Row],[ID]],Log[Verb],"punt"))</f>
      </c>
      <c r="T447" s="11">
        <f>IF(Items[[#This Row],[State]]&lt;&gt;"DONE","",IFERROR(LOOKUP(2,1/((Log[ID]=Items[[#This Row],[ID]])*(Log[Verb]="done")),Log[Date]),""))</f>
      </c>
      <c r="U447" s="17">
        <f>IF(Items[[#This Row],[ID]]="","",IF(AND(Items[[#This Row],[Sprint]]=CurSprint,OR(Items[[#This Row],[State]]="OPEN",Items[[#This Row],[State]]="WAIT",Items[[#This Row],[State]]="HOLD",Items[[#This Row],[State]]="DONE")),1,0))</f>
      </c>
      <c r="V447" s="17">
        <f>IF(OR(Items[[#This Row],[ID]]="",Items[[#This Row],[Added]]=""),"",AsOf-Items[[#This Row],[Added]])</f>
      </c>
      <c r="W447" s="17">
        <f>IF(Items[[#This Row],[In sprint]]=1,(IF(Items[[#This Row],[Prio]]="",9,N(Items[[#This Row],[Prio]]))*10+(IF(Items[[#This Row],[State]]="DONE",1,0)))*100000+ROW(),"")</f>
      </c>
      <c r="X44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47" s="17">
        <f>IF(AND(Items[[#This Row],[State]]="DONE",N(Items[[#This Row],[Done on]])&gt;AsOf-7),(200000-N(Items[[#This Row],[Done on]]))*100000+ROW(),"")</f>
      </c>
    </row>
    <row r="448">
      <c r="A448" t="s">
        <v>665</v>
      </c>
      <c r="B448" t="s">
        <v>1669</v>
      </c>
      <c r="C448" t="s">
        <v>1107</v>
      </c>
      <c r="D448" t="s">
        <v>1123</v>
      </c>
      <c r="E448" t="s">
        <v>1124</v>
      </c>
      <c r="F448" t="s">
        <v>1283</v>
      </c>
      <c r="G448">
        <v>5</v>
      </c>
      <c r="H448">
        <v>2</v>
      </c>
      <c r="I448" s="11">
        <v>46161</v>
      </c>
      <c r="J448" s="17">
        <f>IF(Items[[#This Row],[ID]]="","",IFERROR(VALUE(LOOKUP(2,1/((Log[ID]=Items[[#This Row],[ID]])*(Log[Verb]="est")),Log[Arg])),N(Items[[#This Row],[Points]])))</f>
      </c>
      <c r="K448" s="17">
        <f>IF(Items[[#This Row],[ID]]="","",IFERROR(LOOKUP(2,1/((Log[ID]=Items[[#This Row],[ID]])*(Log[Verb]="pass")),Log[Arg])&amp;"",Items[[#This Row],[Team]]&amp;""))</f>
      </c>
      <c r="L448" s="17">
        <f>IF(Items[[#This Row],[ID]]="","",IFERROR(LOOKUP(2,1/((Log[ID]=Items[[#This Row],[ID]])*(Log[Into]&lt;&gt;"")),Log[Into]),""))</f>
      </c>
      <c r="M448" s="17">
        <f>IF(Items[[#This Row],[ID]]="","",IF(IFERROR(LOOKUP(2,1/((Log[ID]=Items[[#This Row],[ID]])*(Log[Blk]&lt;&gt;"")),Log[Blk]),0)=1,"Y",""))</f>
      </c>
      <c r="N448" s="17">
        <f>IF(Items[[#This Row],[ID]]="","",SUBSTITUTE(IFERROR(LOOKUP(2,1/((Log[ID]=Items[[#This Row],[ID]])*(Log[State]&lt;&gt;"")),Log[State]),"TODO"),"OPEN",IF(Items[[#This Row],[Blocked]]="Y","WAIT","OPEN")))</f>
      </c>
      <c r="O44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48" s="17">
        <f>IF(Items[[#This Row],[State]]&lt;&gt;"WAIT","",AsOf-Items[[#This Row],[Blocked since]])</f>
      </c>
      <c r="Q448" s="17">
        <f>IF(Items[[#This Row],[State]]&lt;&gt;"WAIT","",IFERROR(LOOKUP(2,1/((Log[ID]=Items[[#This Row],[ID]])*(Log[Verb]="block")),Log[Note])&amp;"",""))</f>
      </c>
      <c r="R448" s="17">
        <f>IF(Items[[#This Row],[ID]]="","",COUNTIFS(Log[ID],Items[[#This Row],[ID]],Log[Verb],"carry"))</f>
      </c>
      <c r="S448" s="17">
        <f>IF(Items[[#This Row],[ID]]="","",COUNTIFS(Log[ID],Items[[#This Row],[ID]],Log[Verb],"punt"))</f>
      </c>
      <c r="T448" s="11">
        <f>IF(Items[[#This Row],[State]]&lt;&gt;"DONE","",IFERROR(LOOKUP(2,1/((Log[ID]=Items[[#This Row],[ID]])*(Log[Verb]="done")),Log[Date]),""))</f>
      </c>
      <c r="U448" s="17">
        <f>IF(Items[[#This Row],[ID]]="","",IF(AND(Items[[#This Row],[Sprint]]=CurSprint,OR(Items[[#This Row],[State]]="OPEN",Items[[#This Row],[State]]="WAIT",Items[[#This Row],[State]]="HOLD",Items[[#This Row],[State]]="DONE")),1,0))</f>
      </c>
      <c r="V448" s="17">
        <f>IF(OR(Items[[#This Row],[ID]]="",Items[[#This Row],[Added]]=""),"",AsOf-Items[[#This Row],[Added]])</f>
      </c>
      <c r="W448" s="17">
        <f>IF(Items[[#This Row],[In sprint]]=1,(IF(Items[[#This Row],[Prio]]="",9,N(Items[[#This Row],[Prio]]))*10+(IF(Items[[#This Row],[State]]="DONE",1,0)))*100000+ROW(),"")</f>
      </c>
      <c r="X44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48" s="17">
        <f>IF(AND(Items[[#This Row],[State]]="DONE",N(Items[[#This Row],[Done on]])&gt;AsOf-7),(200000-N(Items[[#This Row],[Done on]]))*100000+ROW(),"")</f>
      </c>
    </row>
    <row r="449">
      <c r="A449" t="s">
        <v>555</v>
      </c>
      <c r="B449" t="s">
        <v>1670</v>
      </c>
      <c r="C449" t="s">
        <v>1115</v>
      </c>
      <c r="D449" t="s">
        <v>1119</v>
      </c>
      <c r="E449" t="s">
        <v>1124</v>
      </c>
      <c r="F449" t="s">
        <v>1125</v>
      </c>
      <c r="G449">
        <v>2</v>
      </c>
      <c r="H449">
        <v>3</v>
      </c>
      <c r="I449" s="11">
        <v>46161</v>
      </c>
      <c r="J449" s="17">
        <f>IF(Items[[#This Row],[ID]]="","",IFERROR(VALUE(LOOKUP(2,1/((Log[ID]=Items[[#This Row],[ID]])*(Log[Verb]="est")),Log[Arg])),N(Items[[#This Row],[Points]])))</f>
      </c>
      <c r="K449" s="17">
        <f>IF(Items[[#This Row],[ID]]="","",IFERROR(LOOKUP(2,1/((Log[ID]=Items[[#This Row],[ID]])*(Log[Verb]="pass")),Log[Arg])&amp;"",Items[[#This Row],[Team]]&amp;""))</f>
      </c>
      <c r="L449" s="17">
        <f>IF(Items[[#This Row],[ID]]="","",IFERROR(LOOKUP(2,1/((Log[ID]=Items[[#This Row],[ID]])*(Log[Into]&lt;&gt;"")),Log[Into]),""))</f>
      </c>
      <c r="M449" s="17">
        <f>IF(Items[[#This Row],[ID]]="","",IF(IFERROR(LOOKUP(2,1/((Log[ID]=Items[[#This Row],[ID]])*(Log[Blk]&lt;&gt;"")),Log[Blk]),0)=1,"Y",""))</f>
      </c>
      <c r="N449" s="17">
        <f>IF(Items[[#This Row],[ID]]="","",SUBSTITUTE(IFERROR(LOOKUP(2,1/((Log[ID]=Items[[#This Row],[ID]])*(Log[State]&lt;&gt;"")),Log[State]),"TODO"),"OPEN",IF(Items[[#This Row],[Blocked]]="Y","WAIT","OPEN")))</f>
      </c>
      <c r="O44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49" s="17">
        <f>IF(Items[[#This Row],[State]]&lt;&gt;"WAIT","",AsOf-Items[[#This Row],[Blocked since]])</f>
      </c>
      <c r="Q449" s="17">
        <f>IF(Items[[#This Row],[State]]&lt;&gt;"WAIT","",IFERROR(LOOKUP(2,1/((Log[ID]=Items[[#This Row],[ID]])*(Log[Verb]="block")),Log[Note])&amp;"",""))</f>
      </c>
      <c r="R449" s="17">
        <f>IF(Items[[#This Row],[ID]]="","",COUNTIFS(Log[ID],Items[[#This Row],[ID]],Log[Verb],"carry"))</f>
      </c>
      <c r="S449" s="17">
        <f>IF(Items[[#This Row],[ID]]="","",COUNTIFS(Log[ID],Items[[#This Row],[ID]],Log[Verb],"punt"))</f>
      </c>
      <c r="T449" s="11">
        <f>IF(Items[[#This Row],[State]]&lt;&gt;"DONE","",IFERROR(LOOKUP(2,1/((Log[ID]=Items[[#This Row],[ID]])*(Log[Verb]="done")),Log[Date]),""))</f>
      </c>
      <c r="U449" s="17">
        <f>IF(Items[[#This Row],[ID]]="","",IF(AND(Items[[#This Row],[Sprint]]=CurSprint,OR(Items[[#This Row],[State]]="OPEN",Items[[#This Row],[State]]="WAIT",Items[[#This Row],[State]]="HOLD",Items[[#This Row],[State]]="DONE")),1,0))</f>
      </c>
      <c r="V449" s="17">
        <f>IF(OR(Items[[#This Row],[ID]]="",Items[[#This Row],[Added]]=""),"",AsOf-Items[[#This Row],[Added]])</f>
      </c>
      <c r="W449" s="17">
        <f>IF(Items[[#This Row],[In sprint]]=1,(IF(Items[[#This Row],[Prio]]="",9,N(Items[[#This Row],[Prio]]))*10+(IF(Items[[#This Row],[State]]="DONE",1,0)))*100000+ROW(),"")</f>
      </c>
      <c r="X44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49" s="17">
        <f>IF(AND(Items[[#This Row],[State]]="DONE",N(Items[[#This Row],[Done on]])&gt;AsOf-7),(200000-N(Items[[#This Row],[Done on]]))*100000+ROW(),"")</f>
      </c>
    </row>
    <row r="450">
      <c r="A450" t="s">
        <v>556</v>
      </c>
      <c r="B450" t="s">
        <v>1671</v>
      </c>
      <c r="C450" t="s">
        <v>1107</v>
      </c>
      <c r="D450" t="s">
        <v>1123</v>
      </c>
      <c r="E450" t="s">
        <v>1124</v>
      </c>
      <c r="F450" t="s">
        <v>1203</v>
      </c>
      <c r="G450">
        <v>2</v>
      </c>
      <c r="H450">
        <v>2</v>
      </c>
      <c r="I450" s="11">
        <v>46161</v>
      </c>
      <c r="J450" s="17">
        <f>IF(Items[[#This Row],[ID]]="","",IFERROR(VALUE(LOOKUP(2,1/((Log[ID]=Items[[#This Row],[ID]])*(Log[Verb]="est")),Log[Arg])),N(Items[[#This Row],[Points]])))</f>
      </c>
      <c r="K450" s="17">
        <f>IF(Items[[#This Row],[ID]]="","",IFERROR(LOOKUP(2,1/((Log[ID]=Items[[#This Row],[ID]])*(Log[Verb]="pass")),Log[Arg])&amp;"",Items[[#This Row],[Team]]&amp;""))</f>
      </c>
      <c r="L450" s="17">
        <f>IF(Items[[#This Row],[ID]]="","",IFERROR(LOOKUP(2,1/((Log[ID]=Items[[#This Row],[ID]])*(Log[Into]&lt;&gt;"")),Log[Into]),""))</f>
      </c>
      <c r="M450" s="17">
        <f>IF(Items[[#This Row],[ID]]="","",IF(IFERROR(LOOKUP(2,1/((Log[ID]=Items[[#This Row],[ID]])*(Log[Blk]&lt;&gt;"")),Log[Blk]),0)=1,"Y",""))</f>
      </c>
      <c r="N450" s="17">
        <f>IF(Items[[#This Row],[ID]]="","",SUBSTITUTE(IFERROR(LOOKUP(2,1/((Log[ID]=Items[[#This Row],[ID]])*(Log[State]&lt;&gt;"")),Log[State]),"TODO"),"OPEN",IF(Items[[#This Row],[Blocked]]="Y","WAIT","OPEN")))</f>
      </c>
      <c r="O45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50" s="17">
        <f>IF(Items[[#This Row],[State]]&lt;&gt;"WAIT","",AsOf-Items[[#This Row],[Blocked since]])</f>
      </c>
      <c r="Q450" s="17">
        <f>IF(Items[[#This Row],[State]]&lt;&gt;"WAIT","",IFERROR(LOOKUP(2,1/((Log[ID]=Items[[#This Row],[ID]])*(Log[Verb]="block")),Log[Note])&amp;"",""))</f>
      </c>
      <c r="R450" s="17">
        <f>IF(Items[[#This Row],[ID]]="","",COUNTIFS(Log[ID],Items[[#This Row],[ID]],Log[Verb],"carry"))</f>
      </c>
      <c r="S450" s="17">
        <f>IF(Items[[#This Row],[ID]]="","",COUNTIFS(Log[ID],Items[[#This Row],[ID]],Log[Verb],"punt"))</f>
      </c>
      <c r="T450" s="11">
        <f>IF(Items[[#This Row],[State]]&lt;&gt;"DONE","",IFERROR(LOOKUP(2,1/((Log[ID]=Items[[#This Row],[ID]])*(Log[Verb]="done")),Log[Date]),""))</f>
      </c>
      <c r="U450" s="17">
        <f>IF(Items[[#This Row],[ID]]="","",IF(AND(Items[[#This Row],[Sprint]]=CurSprint,OR(Items[[#This Row],[State]]="OPEN",Items[[#This Row],[State]]="WAIT",Items[[#This Row],[State]]="HOLD",Items[[#This Row],[State]]="DONE")),1,0))</f>
      </c>
      <c r="V450" s="17">
        <f>IF(OR(Items[[#This Row],[ID]]="",Items[[#This Row],[Added]]=""),"",AsOf-Items[[#This Row],[Added]])</f>
      </c>
      <c r="W450" s="17">
        <f>IF(Items[[#This Row],[In sprint]]=1,(IF(Items[[#This Row],[Prio]]="",9,N(Items[[#This Row],[Prio]]))*10+(IF(Items[[#This Row],[State]]="DONE",1,0)))*100000+ROW(),"")</f>
      </c>
      <c r="X45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50" s="17">
        <f>IF(AND(Items[[#This Row],[State]]="DONE",N(Items[[#This Row],[Done on]])&gt;AsOf-7),(200000-N(Items[[#This Row],[Done on]]))*100000+ROW(),"")</f>
      </c>
    </row>
    <row r="451">
      <c r="A451" t="s">
        <v>666</v>
      </c>
      <c r="B451" t="s">
        <v>1672</v>
      </c>
      <c r="C451" t="s">
        <v>1107</v>
      </c>
      <c r="D451" t="s">
        <v>1127</v>
      </c>
      <c r="E451" t="s">
        <v>1124</v>
      </c>
      <c r="F451" t="s">
        <v>1157</v>
      </c>
      <c r="G451">
        <v>3</v>
      </c>
      <c r="H451">
        <v>1</v>
      </c>
      <c r="I451" s="11">
        <v>46161</v>
      </c>
      <c r="J451" s="17">
        <f>IF(Items[[#This Row],[ID]]="","",IFERROR(VALUE(LOOKUP(2,1/((Log[ID]=Items[[#This Row],[ID]])*(Log[Verb]="est")),Log[Arg])),N(Items[[#This Row],[Points]])))</f>
      </c>
      <c r="K451" s="17">
        <f>IF(Items[[#This Row],[ID]]="","",IFERROR(LOOKUP(2,1/((Log[ID]=Items[[#This Row],[ID]])*(Log[Verb]="pass")),Log[Arg])&amp;"",Items[[#This Row],[Team]]&amp;""))</f>
      </c>
      <c r="L451" s="17">
        <f>IF(Items[[#This Row],[ID]]="","",IFERROR(LOOKUP(2,1/((Log[ID]=Items[[#This Row],[ID]])*(Log[Into]&lt;&gt;"")),Log[Into]),""))</f>
      </c>
      <c r="M451" s="17">
        <f>IF(Items[[#This Row],[ID]]="","",IF(IFERROR(LOOKUP(2,1/((Log[ID]=Items[[#This Row],[ID]])*(Log[Blk]&lt;&gt;"")),Log[Blk]),0)=1,"Y",""))</f>
      </c>
      <c r="N451" s="17">
        <f>IF(Items[[#This Row],[ID]]="","",SUBSTITUTE(IFERROR(LOOKUP(2,1/((Log[ID]=Items[[#This Row],[ID]])*(Log[State]&lt;&gt;"")),Log[State]),"TODO"),"OPEN",IF(Items[[#This Row],[Blocked]]="Y","WAIT","OPEN")))</f>
      </c>
      <c r="O45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51" s="17">
        <f>IF(Items[[#This Row],[State]]&lt;&gt;"WAIT","",AsOf-Items[[#This Row],[Blocked since]])</f>
      </c>
      <c r="Q451" s="17">
        <f>IF(Items[[#This Row],[State]]&lt;&gt;"WAIT","",IFERROR(LOOKUP(2,1/((Log[ID]=Items[[#This Row],[ID]])*(Log[Verb]="block")),Log[Note])&amp;"",""))</f>
      </c>
      <c r="R451" s="17">
        <f>IF(Items[[#This Row],[ID]]="","",COUNTIFS(Log[ID],Items[[#This Row],[ID]],Log[Verb],"carry"))</f>
      </c>
      <c r="S451" s="17">
        <f>IF(Items[[#This Row],[ID]]="","",COUNTIFS(Log[ID],Items[[#This Row],[ID]],Log[Verb],"punt"))</f>
      </c>
      <c r="T451" s="11">
        <f>IF(Items[[#This Row],[State]]&lt;&gt;"DONE","",IFERROR(LOOKUP(2,1/((Log[ID]=Items[[#This Row],[ID]])*(Log[Verb]="done")),Log[Date]),""))</f>
      </c>
      <c r="U451" s="17">
        <f>IF(Items[[#This Row],[ID]]="","",IF(AND(Items[[#This Row],[Sprint]]=CurSprint,OR(Items[[#This Row],[State]]="OPEN",Items[[#This Row],[State]]="WAIT",Items[[#This Row],[State]]="HOLD",Items[[#This Row],[State]]="DONE")),1,0))</f>
      </c>
      <c r="V451" s="17">
        <f>IF(OR(Items[[#This Row],[ID]]="",Items[[#This Row],[Added]]=""),"",AsOf-Items[[#This Row],[Added]])</f>
      </c>
      <c r="W451" s="17">
        <f>IF(Items[[#This Row],[In sprint]]=1,(IF(Items[[#This Row],[Prio]]="",9,N(Items[[#This Row],[Prio]]))*10+(IF(Items[[#This Row],[State]]="DONE",1,0)))*100000+ROW(),"")</f>
      </c>
      <c r="X45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51" s="17">
        <f>IF(AND(Items[[#This Row],[State]]="DONE",N(Items[[#This Row],[Done on]])&gt;AsOf-7),(200000-N(Items[[#This Row],[Done on]]))*100000+ROW(),"")</f>
      </c>
    </row>
    <row r="452">
      <c r="A452" t="s">
        <v>608</v>
      </c>
      <c r="B452" t="s">
        <v>1673</v>
      </c>
      <c r="C452" t="s">
        <v>1115</v>
      </c>
      <c r="D452" t="s">
        <v>1116</v>
      </c>
      <c r="E452" t="s">
        <v>1124</v>
      </c>
      <c r="F452" t="s">
        <v>1198</v>
      </c>
      <c r="G452">
        <v>2</v>
      </c>
      <c r="H452">
        <v>1</v>
      </c>
      <c r="I452" s="11">
        <v>46161</v>
      </c>
      <c r="J452" s="17">
        <f>IF(Items[[#This Row],[ID]]="","",IFERROR(VALUE(LOOKUP(2,1/((Log[ID]=Items[[#This Row],[ID]])*(Log[Verb]="est")),Log[Arg])),N(Items[[#This Row],[Points]])))</f>
      </c>
      <c r="K452" s="17">
        <f>IF(Items[[#This Row],[ID]]="","",IFERROR(LOOKUP(2,1/((Log[ID]=Items[[#This Row],[ID]])*(Log[Verb]="pass")),Log[Arg])&amp;"",Items[[#This Row],[Team]]&amp;""))</f>
      </c>
      <c r="L452" s="17">
        <f>IF(Items[[#This Row],[ID]]="","",IFERROR(LOOKUP(2,1/((Log[ID]=Items[[#This Row],[ID]])*(Log[Into]&lt;&gt;"")),Log[Into]),""))</f>
      </c>
      <c r="M452" s="17">
        <f>IF(Items[[#This Row],[ID]]="","",IF(IFERROR(LOOKUP(2,1/((Log[ID]=Items[[#This Row],[ID]])*(Log[Blk]&lt;&gt;"")),Log[Blk]),0)=1,"Y",""))</f>
      </c>
      <c r="N452" s="17">
        <f>IF(Items[[#This Row],[ID]]="","",SUBSTITUTE(IFERROR(LOOKUP(2,1/((Log[ID]=Items[[#This Row],[ID]])*(Log[State]&lt;&gt;"")),Log[State]),"TODO"),"OPEN",IF(Items[[#This Row],[Blocked]]="Y","WAIT","OPEN")))</f>
      </c>
      <c r="O45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52" s="17">
        <f>IF(Items[[#This Row],[State]]&lt;&gt;"WAIT","",AsOf-Items[[#This Row],[Blocked since]])</f>
      </c>
      <c r="Q452" s="17">
        <f>IF(Items[[#This Row],[State]]&lt;&gt;"WAIT","",IFERROR(LOOKUP(2,1/((Log[ID]=Items[[#This Row],[ID]])*(Log[Verb]="block")),Log[Note])&amp;"",""))</f>
      </c>
      <c r="R452" s="17">
        <f>IF(Items[[#This Row],[ID]]="","",COUNTIFS(Log[ID],Items[[#This Row],[ID]],Log[Verb],"carry"))</f>
      </c>
      <c r="S452" s="17">
        <f>IF(Items[[#This Row],[ID]]="","",COUNTIFS(Log[ID],Items[[#This Row],[ID]],Log[Verb],"punt"))</f>
      </c>
      <c r="T452" s="11">
        <f>IF(Items[[#This Row],[State]]&lt;&gt;"DONE","",IFERROR(LOOKUP(2,1/((Log[ID]=Items[[#This Row],[ID]])*(Log[Verb]="done")),Log[Date]),""))</f>
      </c>
      <c r="U452" s="17">
        <f>IF(Items[[#This Row],[ID]]="","",IF(AND(Items[[#This Row],[Sprint]]=CurSprint,OR(Items[[#This Row],[State]]="OPEN",Items[[#This Row],[State]]="WAIT",Items[[#This Row],[State]]="HOLD",Items[[#This Row],[State]]="DONE")),1,0))</f>
      </c>
      <c r="V452" s="17">
        <f>IF(OR(Items[[#This Row],[ID]]="",Items[[#This Row],[Added]]=""),"",AsOf-Items[[#This Row],[Added]])</f>
      </c>
      <c r="W452" s="17">
        <f>IF(Items[[#This Row],[In sprint]]=1,(IF(Items[[#This Row],[Prio]]="",9,N(Items[[#This Row],[Prio]]))*10+(IF(Items[[#This Row],[State]]="DONE",1,0)))*100000+ROW(),"")</f>
      </c>
      <c r="X45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52" s="17">
        <f>IF(AND(Items[[#This Row],[State]]="DONE",N(Items[[#This Row],[Done on]])&gt;AsOf-7),(200000-N(Items[[#This Row],[Done on]]))*100000+ROW(),"")</f>
      </c>
    </row>
    <row r="453">
      <c r="A453" t="s">
        <v>612</v>
      </c>
      <c r="B453" t="s">
        <v>1674</v>
      </c>
      <c r="C453" t="s">
        <v>1115</v>
      </c>
      <c r="D453" t="s">
        <v>1119</v>
      </c>
      <c r="E453" t="s">
        <v>1159</v>
      </c>
      <c r="F453" t="s">
        <v>1207</v>
      </c>
      <c r="G453">
        <v>3</v>
      </c>
      <c r="H453">
        <v>2</v>
      </c>
      <c r="I453" s="11">
        <v>46161</v>
      </c>
      <c r="J453" s="17">
        <f>IF(Items[[#This Row],[ID]]="","",IFERROR(VALUE(LOOKUP(2,1/((Log[ID]=Items[[#This Row],[ID]])*(Log[Verb]="est")),Log[Arg])),N(Items[[#This Row],[Points]])))</f>
      </c>
      <c r="K453" s="17">
        <f>IF(Items[[#This Row],[ID]]="","",IFERROR(LOOKUP(2,1/((Log[ID]=Items[[#This Row],[ID]])*(Log[Verb]="pass")),Log[Arg])&amp;"",Items[[#This Row],[Team]]&amp;""))</f>
      </c>
      <c r="L453" s="17">
        <f>IF(Items[[#This Row],[ID]]="","",IFERROR(LOOKUP(2,1/((Log[ID]=Items[[#This Row],[ID]])*(Log[Into]&lt;&gt;"")),Log[Into]),""))</f>
      </c>
      <c r="M453" s="17">
        <f>IF(Items[[#This Row],[ID]]="","",IF(IFERROR(LOOKUP(2,1/((Log[ID]=Items[[#This Row],[ID]])*(Log[Blk]&lt;&gt;"")),Log[Blk]),0)=1,"Y",""))</f>
      </c>
      <c r="N453" s="17">
        <f>IF(Items[[#This Row],[ID]]="","",SUBSTITUTE(IFERROR(LOOKUP(2,1/((Log[ID]=Items[[#This Row],[ID]])*(Log[State]&lt;&gt;"")),Log[State]),"TODO"),"OPEN",IF(Items[[#This Row],[Blocked]]="Y","WAIT","OPEN")))</f>
      </c>
      <c r="O45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53" s="17">
        <f>IF(Items[[#This Row],[State]]&lt;&gt;"WAIT","",AsOf-Items[[#This Row],[Blocked since]])</f>
      </c>
      <c r="Q453" s="17">
        <f>IF(Items[[#This Row],[State]]&lt;&gt;"WAIT","",IFERROR(LOOKUP(2,1/((Log[ID]=Items[[#This Row],[ID]])*(Log[Verb]="block")),Log[Note])&amp;"",""))</f>
      </c>
      <c r="R453" s="17">
        <f>IF(Items[[#This Row],[ID]]="","",COUNTIFS(Log[ID],Items[[#This Row],[ID]],Log[Verb],"carry"))</f>
      </c>
      <c r="S453" s="17">
        <f>IF(Items[[#This Row],[ID]]="","",COUNTIFS(Log[ID],Items[[#This Row],[ID]],Log[Verb],"punt"))</f>
      </c>
      <c r="T453" s="11">
        <f>IF(Items[[#This Row],[State]]&lt;&gt;"DONE","",IFERROR(LOOKUP(2,1/((Log[ID]=Items[[#This Row],[ID]])*(Log[Verb]="done")),Log[Date]),""))</f>
      </c>
      <c r="U453" s="17">
        <f>IF(Items[[#This Row],[ID]]="","",IF(AND(Items[[#This Row],[Sprint]]=CurSprint,OR(Items[[#This Row],[State]]="OPEN",Items[[#This Row],[State]]="WAIT",Items[[#This Row],[State]]="HOLD",Items[[#This Row],[State]]="DONE")),1,0))</f>
      </c>
      <c r="V453" s="17">
        <f>IF(OR(Items[[#This Row],[ID]]="",Items[[#This Row],[Added]]=""),"",AsOf-Items[[#This Row],[Added]])</f>
      </c>
      <c r="W453" s="17">
        <f>IF(Items[[#This Row],[In sprint]]=1,(IF(Items[[#This Row],[Prio]]="",9,N(Items[[#This Row],[Prio]]))*10+(IF(Items[[#This Row],[State]]="DONE",1,0)))*100000+ROW(),"")</f>
      </c>
      <c r="X45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53" s="17">
        <f>IF(AND(Items[[#This Row],[State]]="DONE",N(Items[[#This Row],[Done on]])&gt;AsOf-7),(200000-N(Items[[#This Row],[Done on]]))*100000+ROW(),"")</f>
      </c>
    </row>
    <row r="454">
      <c r="A454" t="s">
        <v>613</v>
      </c>
      <c r="B454" t="s">
        <v>1675</v>
      </c>
      <c r="C454" t="s">
        <v>1115</v>
      </c>
      <c r="D454" t="s">
        <v>1119</v>
      </c>
      <c r="E454" t="s">
        <v>1159</v>
      </c>
      <c r="F454" t="s">
        <v>1439</v>
      </c>
      <c r="G454">
        <v>8</v>
      </c>
      <c r="H454">
        <v>3</v>
      </c>
      <c r="I454" s="11">
        <v>46161</v>
      </c>
      <c r="J454" s="17">
        <f>IF(Items[[#This Row],[ID]]="","",IFERROR(VALUE(LOOKUP(2,1/((Log[ID]=Items[[#This Row],[ID]])*(Log[Verb]="est")),Log[Arg])),N(Items[[#This Row],[Points]])))</f>
      </c>
      <c r="K454" s="17">
        <f>IF(Items[[#This Row],[ID]]="","",IFERROR(LOOKUP(2,1/((Log[ID]=Items[[#This Row],[ID]])*(Log[Verb]="pass")),Log[Arg])&amp;"",Items[[#This Row],[Team]]&amp;""))</f>
      </c>
      <c r="L454" s="17">
        <f>IF(Items[[#This Row],[ID]]="","",IFERROR(LOOKUP(2,1/((Log[ID]=Items[[#This Row],[ID]])*(Log[Into]&lt;&gt;"")),Log[Into]),""))</f>
      </c>
      <c r="M454" s="17">
        <f>IF(Items[[#This Row],[ID]]="","",IF(IFERROR(LOOKUP(2,1/((Log[ID]=Items[[#This Row],[ID]])*(Log[Blk]&lt;&gt;"")),Log[Blk]),0)=1,"Y",""))</f>
      </c>
      <c r="N454" s="17">
        <f>IF(Items[[#This Row],[ID]]="","",SUBSTITUTE(IFERROR(LOOKUP(2,1/((Log[ID]=Items[[#This Row],[ID]])*(Log[State]&lt;&gt;"")),Log[State]),"TODO"),"OPEN",IF(Items[[#This Row],[Blocked]]="Y","WAIT","OPEN")))</f>
      </c>
      <c r="O45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54" s="17">
        <f>IF(Items[[#This Row],[State]]&lt;&gt;"WAIT","",AsOf-Items[[#This Row],[Blocked since]])</f>
      </c>
      <c r="Q454" s="17">
        <f>IF(Items[[#This Row],[State]]&lt;&gt;"WAIT","",IFERROR(LOOKUP(2,1/((Log[ID]=Items[[#This Row],[ID]])*(Log[Verb]="block")),Log[Note])&amp;"",""))</f>
      </c>
      <c r="R454" s="17">
        <f>IF(Items[[#This Row],[ID]]="","",COUNTIFS(Log[ID],Items[[#This Row],[ID]],Log[Verb],"carry"))</f>
      </c>
      <c r="S454" s="17">
        <f>IF(Items[[#This Row],[ID]]="","",COUNTIFS(Log[ID],Items[[#This Row],[ID]],Log[Verb],"punt"))</f>
      </c>
      <c r="T454" s="11">
        <f>IF(Items[[#This Row],[State]]&lt;&gt;"DONE","",IFERROR(LOOKUP(2,1/((Log[ID]=Items[[#This Row],[ID]])*(Log[Verb]="done")),Log[Date]),""))</f>
      </c>
      <c r="U454" s="17">
        <f>IF(Items[[#This Row],[ID]]="","",IF(AND(Items[[#This Row],[Sprint]]=CurSprint,OR(Items[[#This Row],[State]]="OPEN",Items[[#This Row],[State]]="WAIT",Items[[#This Row],[State]]="HOLD",Items[[#This Row],[State]]="DONE")),1,0))</f>
      </c>
      <c r="V454" s="17">
        <f>IF(OR(Items[[#This Row],[ID]]="",Items[[#This Row],[Added]]=""),"",AsOf-Items[[#This Row],[Added]])</f>
      </c>
      <c r="W454" s="17">
        <f>IF(Items[[#This Row],[In sprint]]=1,(IF(Items[[#This Row],[Prio]]="",9,N(Items[[#This Row],[Prio]]))*10+(IF(Items[[#This Row],[State]]="DONE",1,0)))*100000+ROW(),"")</f>
      </c>
      <c r="X45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54" s="17">
        <f>IF(AND(Items[[#This Row],[State]]="DONE",N(Items[[#This Row],[Done on]])&gt;AsOf-7),(200000-N(Items[[#This Row],[Done on]]))*100000+ROW(),"")</f>
      </c>
    </row>
    <row r="455">
      <c r="A455" t="s">
        <v>561</v>
      </c>
      <c r="B455" t="s">
        <v>1676</v>
      </c>
      <c r="C455" t="s">
        <v>1115</v>
      </c>
      <c r="D455" t="s">
        <v>1116</v>
      </c>
      <c r="E455" t="s">
        <v>1159</v>
      </c>
      <c r="F455" t="s">
        <v>1437</v>
      </c>
      <c r="G455">
        <v>2</v>
      </c>
      <c r="H455">
        <v>2</v>
      </c>
      <c r="I455" s="11">
        <v>46161</v>
      </c>
      <c r="J455" s="17">
        <f>IF(Items[[#This Row],[ID]]="","",IFERROR(VALUE(LOOKUP(2,1/((Log[ID]=Items[[#This Row],[ID]])*(Log[Verb]="est")),Log[Arg])),N(Items[[#This Row],[Points]])))</f>
      </c>
      <c r="K455" s="17">
        <f>IF(Items[[#This Row],[ID]]="","",IFERROR(LOOKUP(2,1/((Log[ID]=Items[[#This Row],[ID]])*(Log[Verb]="pass")),Log[Arg])&amp;"",Items[[#This Row],[Team]]&amp;""))</f>
      </c>
      <c r="L455" s="17">
        <f>IF(Items[[#This Row],[ID]]="","",IFERROR(LOOKUP(2,1/((Log[ID]=Items[[#This Row],[ID]])*(Log[Into]&lt;&gt;"")),Log[Into]),""))</f>
      </c>
      <c r="M455" s="17">
        <f>IF(Items[[#This Row],[ID]]="","",IF(IFERROR(LOOKUP(2,1/((Log[ID]=Items[[#This Row],[ID]])*(Log[Blk]&lt;&gt;"")),Log[Blk]),0)=1,"Y",""))</f>
      </c>
      <c r="N455" s="17">
        <f>IF(Items[[#This Row],[ID]]="","",SUBSTITUTE(IFERROR(LOOKUP(2,1/((Log[ID]=Items[[#This Row],[ID]])*(Log[State]&lt;&gt;"")),Log[State]),"TODO"),"OPEN",IF(Items[[#This Row],[Blocked]]="Y","WAIT","OPEN")))</f>
      </c>
      <c r="O45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55" s="17">
        <f>IF(Items[[#This Row],[State]]&lt;&gt;"WAIT","",AsOf-Items[[#This Row],[Blocked since]])</f>
      </c>
      <c r="Q455" s="17">
        <f>IF(Items[[#This Row],[State]]&lt;&gt;"WAIT","",IFERROR(LOOKUP(2,1/((Log[ID]=Items[[#This Row],[ID]])*(Log[Verb]="block")),Log[Note])&amp;"",""))</f>
      </c>
      <c r="R455" s="17">
        <f>IF(Items[[#This Row],[ID]]="","",COUNTIFS(Log[ID],Items[[#This Row],[ID]],Log[Verb],"carry"))</f>
      </c>
      <c r="S455" s="17">
        <f>IF(Items[[#This Row],[ID]]="","",COUNTIFS(Log[ID],Items[[#This Row],[ID]],Log[Verb],"punt"))</f>
      </c>
      <c r="T455" s="11">
        <f>IF(Items[[#This Row],[State]]&lt;&gt;"DONE","",IFERROR(LOOKUP(2,1/((Log[ID]=Items[[#This Row],[ID]])*(Log[Verb]="done")),Log[Date]),""))</f>
      </c>
      <c r="U455" s="17">
        <f>IF(Items[[#This Row],[ID]]="","",IF(AND(Items[[#This Row],[Sprint]]=CurSprint,OR(Items[[#This Row],[State]]="OPEN",Items[[#This Row],[State]]="WAIT",Items[[#This Row],[State]]="HOLD",Items[[#This Row],[State]]="DONE")),1,0))</f>
      </c>
      <c r="V455" s="17">
        <f>IF(OR(Items[[#This Row],[ID]]="",Items[[#This Row],[Added]]=""),"",AsOf-Items[[#This Row],[Added]])</f>
      </c>
      <c r="W455" s="17">
        <f>IF(Items[[#This Row],[In sprint]]=1,(IF(Items[[#This Row],[Prio]]="",9,N(Items[[#This Row],[Prio]]))*10+(IF(Items[[#This Row],[State]]="DONE",1,0)))*100000+ROW(),"")</f>
      </c>
      <c r="X45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55" s="17">
        <f>IF(AND(Items[[#This Row],[State]]="DONE",N(Items[[#This Row],[Done on]])&gt;AsOf-7),(200000-N(Items[[#This Row],[Done on]]))*100000+ROW(),"")</f>
      </c>
    </row>
    <row r="456">
      <c r="A456" t="s">
        <v>614</v>
      </c>
      <c r="B456" t="s">
        <v>1677</v>
      </c>
      <c r="C456" t="s">
        <v>1115</v>
      </c>
      <c r="D456" t="s">
        <v>1116</v>
      </c>
      <c r="E456" t="s">
        <v>1159</v>
      </c>
      <c r="F456" t="s">
        <v>1285</v>
      </c>
      <c r="G456">
        <v>3</v>
      </c>
      <c r="H456">
        <v>1</v>
      </c>
      <c r="I456" s="11">
        <v>46161</v>
      </c>
      <c r="J456" s="17">
        <f>IF(Items[[#This Row],[ID]]="","",IFERROR(VALUE(LOOKUP(2,1/((Log[ID]=Items[[#This Row],[ID]])*(Log[Verb]="est")),Log[Arg])),N(Items[[#This Row],[Points]])))</f>
      </c>
      <c r="K456" s="17">
        <f>IF(Items[[#This Row],[ID]]="","",IFERROR(LOOKUP(2,1/((Log[ID]=Items[[#This Row],[ID]])*(Log[Verb]="pass")),Log[Arg])&amp;"",Items[[#This Row],[Team]]&amp;""))</f>
      </c>
      <c r="L456" s="17">
        <f>IF(Items[[#This Row],[ID]]="","",IFERROR(LOOKUP(2,1/((Log[ID]=Items[[#This Row],[ID]])*(Log[Into]&lt;&gt;"")),Log[Into]),""))</f>
      </c>
      <c r="M456" s="17">
        <f>IF(Items[[#This Row],[ID]]="","",IF(IFERROR(LOOKUP(2,1/((Log[ID]=Items[[#This Row],[ID]])*(Log[Blk]&lt;&gt;"")),Log[Blk]),0)=1,"Y",""))</f>
      </c>
      <c r="N456" s="17">
        <f>IF(Items[[#This Row],[ID]]="","",SUBSTITUTE(IFERROR(LOOKUP(2,1/((Log[ID]=Items[[#This Row],[ID]])*(Log[State]&lt;&gt;"")),Log[State]),"TODO"),"OPEN",IF(Items[[#This Row],[Blocked]]="Y","WAIT","OPEN")))</f>
      </c>
      <c r="O45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56" s="17">
        <f>IF(Items[[#This Row],[State]]&lt;&gt;"WAIT","",AsOf-Items[[#This Row],[Blocked since]])</f>
      </c>
      <c r="Q456" s="17">
        <f>IF(Items[[#This Row],[State]]&lt;&gt;"WAIT","",IFERROR(LOOKUP(2,1/((Log[ID]=Items[[#This Row],[ID]])*(Log[Verb]="block")),Log[Note])&amp;"",""))</f>
      </c>
      <c r="R456" s="17">
        <f>IF(Items[[#This Row],[ID]]="","",COUNTIFS(Log[ID],Items[[#This Row],[ID]],Log[Verb],"carry"))</f>
      </c>
      <c r="S456" s="17">
        <f>IF(Items[[#This Row],[ID]]="","",COUNTIFS(Log[ID],Items[[#This Row],[ID]],Log[Verb],"punt"))</f>
      </c>
      <c r="T456" s="11">
        <f>IF(Items[[#This Row],[State]]&lt;&gt;"DONE","",IFERROR(LOOKUP(2,1/((Log[ID]=Items[[#This Row],[ID]])*(Log[Verb]="done")),Log[Date]),""))</f>
      </c>
      <c r="U456" s="17">
        <f>IF(Items[[#This Row],[ID]]="","",IF(AND(Items[[#This Row],[Sprint]]=CurSprint,OR(Items[[#This Row],[State]]="OPEN",Items[[#This Row],[State]]="WAIT",Items[[#This Row],[State]]="HOLD",Items[[#This Row],[State]]="DONE")),1,0))</f>
      </c>
      <c r="V456" s="17">
        <f>IF(OR(Items[[#This Row],[ID]]="",Items[[#This Row],[Added]]=""),"",AsOf-Items[[#This Row],[Added]])</f>
      </c>
      <c r="W456" s="17">
        <f>IF(Items[[#This Row],[In sprint]]=1,(IF(Items[[#This Row],[Prio]]="",9,N(Items[[#This Row],[Prio]]))*10+(IF(Items[[#This Row],[State]]="DONE",1,0)))*100000+ROW(),"")</f>
      </c>
      <c r="X45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56" s="17">
        <f>IF(AND(Items[[#This Row],[State]]="DONE",N(Items[[#This Row],[Done on]])&gt;AsOf-7),(200000-N(Items[[#This Row],[Done on]]))*100000+ROW(),"")</f>
      </c>
    </row>
    <row r="457">
      <c r="A457" t="s">
        <v>672</v>
      </c>
      <c r="B457" t="s">
        <v>1678</v>
      </c>
      <c r="C457" t="s">
        <v>1107</v>
      </c>
      <c r="D457" t="s">
        <v>1123</v>
      </c>
      <c r="E457" t="s">
        <v>1159</v>
      </c>
      <c r="F457" t="s">
        <v>1213</v>
      </c>
      <c r="G457">
        <v>8</v>
      </c>
      <c r="H457">
        <v>1</v>
      </c>
      <c r="I457" s="11">
        <v>46161</v>
      </c>
      <c r="J457" s="17">
        <f>IF(Items[[#This Row],[ID]]="","",IFERROR(VALUE(LOOKUP(2,1/((Log[ID]=Items[[#This Row],[ID]])*(Log[Verb]="est")),Log[Arg])),N(Items[[#This Row],[Points]])))</f>
      </c>
      <c r="K457" s="17">
        <f>IF(Items[[#This Row],[ID]]="","",IFERROR(LOOKUP(2,1/((Log[ID]=Items[[#This Row],[ID]])*(Log[Verb]="pass")),Log[Arg])&amp;"",Items[[#This Row],[Team]]&amp;""))</f>
      </c>
      <c r="L457" s="17">
        <f>IF(Items[[#This Row],[ID]]="","",IFERROR(LOOKUP(2,1/((Log[ID]=Items[[#This Row],[ID]])*(Log[Into]&lt;&gt;"")),Log[Into]),""))</f>
      </c>
      <c r="M457" s="17">
        <f>IF(Items[[#This Row],[ID]]="","",IF(IFERROR(LOOKUP(2,1/((Log[ID]=Items[[#This Row],[ID]])*(Log[Blk]&lt;&gt;"")),Log[Blk]),0)=1,"Y",""))</f>
      </c>
      <c r="N457" s="17">
        <f>IF(Items[[#This Row],[ID]]="","",SUBSTITUTE(IFERROR(LOOKUP(2,1/((Log[ID]=Items[[#This Row],[ID]])*(Log[State]&lt;&gt;"")),Log[State]),"TODO"),"OPEN",IF(Items[[#This Row],[Blocked]]="Y","WAIT","OPEN")))</f>
      </c>
      <c r="O45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57" s="17">
        <f>IF(Items[[#This Row],[State]]&lt;&gt;"WAIT","",AsOf-Items[[#This Row],[Blocked since]])</f>
      </c>
      <c r="Q457" s="17">
        <f>IF(Items[[#This Row],[State]]&lt;&gt;"WAIT","",IFERROR(LOOKUP(2,1/((Log[ID]=Items[[#This Row],[ID]])*(Log[Verb]="block")),Log[Note])&amp;"",""))</f>
      </c>
      <c r="R457" s="17">
        <f>IF(Items[[#This Row],[ID]]="","",COUNTIFS(Log[ID],Items[[#This Row],[ID]],Log[Verb],"carry"))</f>
      </c>
      <c r="S457" s="17">
        <f>IF(Items[[#This Row],[ID]]="","",COUNTIFS(Log[ID],Items[[#This Row],[ID]],Log[Verb],"punt"))</f>
      </c>
      <c r="T457" s="11">
        <f>IF(Items[[#This Row],[State]]&lt;&gt;"DONE","",IFERROR(LOOKUP(2,1/((Log[ID]=Items[[#This Row],[ID]])*(Log[Verb]="done")),Log[Date]),""))</f>
      </c>
      <c r="U457" s="17">
        <f>IF(Items[[#This Row],[ID]]="","",IF(AND(Items[[#This Row],[Sprint]]=CurSprint,OR(Items[[#This Row],[State]]="OPEN",Items[[#This Row],[State]]="WAIT",Items[[#This Row],[State]]="HOLD",Items[[#This Row],[State]]="DONE")),1,0))</f>
      </c>
      <c r="V457" s="17">
        <f>IF(OR(Items[[#This Row],[ID]]="",Items[[#This Row],[Added]]=""),"",AsOf-Items[[#This Row],[Added]])</f>
      </c>
      <c r="W457" s="17">
        <f>IF(Items[[#This Row],[In sprint]]=1,(IF(Items[[#This Row],[Prio]]="",9,N(Items[[#This Row],[Prio]]))*10+(IF(Items[[#This Row],[State]]="DONE",1,0)))*100000+ROW(),"")</f>
      </c>
      <c r="X45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57" s="17">
        <f>IF(AND(Items[[#This Row],[State]]="DONE",N(Items[[#This Row],[Done on]])&gt;AsOf-7),(200000-N(Items[[#This Row],[Done on]]))*100000+ROW(),"")</f>
      </c>
    </row>
    <row r="458">
      <c r="A458" t="s">
        <v>618</v>
      </c>
      <c r="B458" t="s">
        <v>1679</v>
      </c>
      <c r="C458" t="s">
        <v>1107</v>
      </c>
      <c r="D458" t="s">
        <v>1127</v>
      </c>
      <c r="E458" t="s">
        <v>1128</v>
      </c>
      <c r="F458" t="s">
        <v>1451</v>
      </c>
      <c r="G458">
        <v>2</v>
      </c>
      <c r="H458">
        <v>1</v>
      </c>
      <c r="I458" s="11">
        <v>46161</v>
      </c>
      <c r="J458" s="17">
        <f>IF(Items[[#This Row],[ID]]="","",IFERROR(VALUE(LOOKUP(2,1/((Log[ID]=Items[[#This Row],[ID]])*(Log[Verb]="est")),Log[Arg])),N(Items[[#This Row],[Points]])))</f>
      </c>
      <c r="K458" s="17">
        <f>IF(Items[[#This Row],[ID]]="","",IFERROR(LOOKUP(2,1/((Log[ID]=Items[[#This Row],[ID]])*(Log[Verb]="pass")),Log[Arg])&amp;"",Items[[#This Row],[Team]]&amp;""))</f>
      </c>
      <c r="L458" s="17">
        <f>IF(Items[[#This Row],[ID]]="","",IFERROR(LOOKUP(2,1/((Log[ID]=Items[[#This Row],[ID]])*(Log[Into]&lt;&gt;"")),Log[Into]),""))</f>
      </c>
      <c r="M458" s="17">
        <f>IF(Items[[#This Row],[ID]]="","",IF(IFERROR(LOOKUP(2,1/((Log[ID]=Items[[#This Row],[ID]])*(Log[Blk]&lt;&gt;"")),Log[Blk]),0)=1,"Y",""))</f>
      </c>
      <c r="N458" s="17">
        <f>IF(Items[[#This Row],[ID]]="","",SUBSTITUTE(IFERROR(LOOKUP(2,1/((Log[ID]=Items[[#This Row],[ID]])*(Log[State]&lt;&gt;"")),Log[State]),"TODO"),"OPEN",IF(Items[[#This Row],[Blocked]]="Y","WAIT","OPEN")))</f>
      </c>
      <c r="O45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58" s="17">
        <f>IF(Items[[#This Row],[State]]&lt;&gt;"WAIT","",AsOf-Items[[#This Row],[Blocked since]])</f>
      </c>
      <c r="Q458" s="17">
        <f>IF(Items[[#This Row],[State]]&lt;&gt;"WAIT","",IFERROR(LOOKUP(2,1/((Log[ID]=Items[[#This Row],[ID]])*(Log[Verb]="block")),Log[Note])&amp;"",""))</f>
      </c>
      <c r="R458" s="17">
        <f>IF(Items[[#This Row],[ID]]="","",COUNTIFS(Log[ID],Items[[#This Row],[ID]],Log[Verb],"carry"))</f>
      </c>
      <c r="S458" s="17">
        <f>IF(Items[[#This Row],[ID]]="","",COUNTIFS(Log[ID],Items[[#This Row],[ID]],Log[Verb],"punt"))</f>
      </c>
      <c r="T458" s="11">
        <f>IF(Items[[#This Row],[State]]&lt;&gt;"DONE","",IFERROR(LOOKUP(2,1/((Log[ID]=Items[[#This Row],[ID]])*(Log[Verb]="done")),Log[Date]),""))</f>
      </c>
      <c r="U458" s="17">
        <f>IF(Items[[#This Row],[ID]]="","",IF(AND(Items[[#This Row],[Sprint]]=CurSprint,OR(Items[[#This Row],[State]]="OPEN",Items[[#This Row],[State]]="WAIT",Items[[#This Row],[State]]="HOLD",Items[[#This Row],[State]]="DONE")),1,0))</f>
      </c>
      <c r="V458" s="17">
        <f>IF(OR(Items[[#This Row],[ID]]="",Items[[#This Row],[Added]]=""),"",AsOf-Items[[#This Row],[Added]])</f>
      </c>
      <c r="W458" s="17">
        <f>IF(Items[[#This Row],[In sprint]]=1,(IF(Items[[#This Row],[Prio]]="",9,N(Items[[#This Row],[Prio]]))*10+(IF(Items[[#This Row],[State]]="DONE",1,0)))*100000+ROW(),"")</f>
      </c>
      <c r="X45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58" s="17">
        <f>IF(AND(Items[[#This Row],[State]]="DONE",N(Items[[#This Row],[Done on]])&gt;AsOf-7),(200000-N(Items[[#This Row],[Done on]]))*100000+ROW(),"")</f>
      </c>
    </row>
    <row r="459">
      <c r="A459" t="s">
        <v>619</v>
      </c>
      <c r="B459" t="s">
        <v>1680</v>
      </c>
      <c r="C459" t="s">
        <v>1115</v>
      </c>
      <c r="D459" t="s">
        <v>1119</v>
      </c>
      <c r="E459" t="s">
        <v>1128</v>
      </c>
      <c r="F459" t="s">
        <v>1162</v>
      </c>
      <c r="G459">
        <v>5</v>
      </c>
      <c r="H459">
        <v>1</v>
      </c>
      <c r="I459" s="11">
        <v>46161</v>
      </c>
      <c r="J459" s="17">
        <f>IF(Items[[#This Row],[ID]]="","",IFERROR(VALUE(LOOKUP(2,1/((Log[ID]=Items[[#This Row],[ID]])*(Log[Verb]="est")),Log[Arg])),N(Items[[#This Row],[Points]])))</f>
      </c>
      <c r="K459" s="17">
        <f>IF(Items[[#This Row],[ID]]="","",IFERROR(LOOKUP(2,1/((Log[ID]=Items[[#This Row],[ID]])*(Log[Verb]="pass")),Log[Arg])&amp;"",Items[[#This Row],[Team]]&amp;""))</f>
      </c>
      <c r="L459" s="17">
        <f>IF(Items[[#This Row],[ID]]="","",IFERROR(LOOKUP(2,1/((Log[ID]=Items[[#This Row],[ID]])*(Log[Into]&lt;&gt;"")),Log[Into]),""))</f>
      </c>
      <c r="M459" s="17">
        <f>IF(Items[[#This Row],[ID]]="","",IF(IFERROR(LOOKUP(2,1/((Log[ID]=Items[[#This Row],[ID]])*(Log[Blk]&lt;&gt;"")),Log[Blk]),0)=1,"Y",""))</f>
      </c>
      <c r="N459" s="17">
        <f>IF(Items[[#This Row],[ID]]="","",SUBSTITUTE(IFERROR(LOOKUP(2,1/((Log[ID]=Items[[#This Row],[ID]])*(Log[State]&lt;&gt;"")),Log[State]),"TODO"),"OPEN",IF(Items[[#This Row],[Blocked]]="Y","WAIT","OPEN")))</f>
      </c>
      <c r="O45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59" s="17">
        <f>IF(Items[[#This Row],[State]]&lt;&gt;"WAIT","",AsOf-Items[[#This Row],[Blocked since]])</f>
      </c>
      <c r="Q459" s="17">
        <f>IF(Items[[#This Row],[State]]&lt;&gt;"WAIT","",IFERROR(LOOKUP(2,1/((Log[ID]=Items[[#This Row],[ID]])*(Log[Verb]="block")),Log[Note])&amp;"",""))</f>
      </c>
      <c r="R459" s="17">
        <f>IF(Items[[#This Row],[ID]]="","",COUNTIFS(Log[ID],Items[[#This Row],[ID]],Log[Verb],"carry"))</f>
      </c>
      <c r="S459" s="17">
        <f>IF(Items[[#This Row],[ID]]="","",COUNTIFS(Log[ID],Items[[#This Row],[ID]],Log[Verb],"punt"))</f>
      </c>
      <c r="T459" s="11">
        <f>IF(Items[[#This Row],[State]]&lt;&gt;"DONE","",IFERROR(LOOKUP(2,1/((Log[ID]=Items[[#This Row],[ID]])*(Log[Verb]="done")),Log[Date]),""))</f>
      </c>
      <c r="U459" s="17">
        <f>IF(Items[[#This Row],[ID]]="","",IF(AND(Items[[#This Row],[Sprint]]=CurSprint,OR(Items[[#This Row],[State]]="OPEN",Items[[#This Row],[State]]="WAIT",Items[[#This Row],[State]]="HOLD",Items[[#This Row],[State]]="DONE")),1,0))</f>
      </c>
      <c r="V459" s="17">
        <f>IF(OR(Items[[#This Row],[ID]]="",Items[[#This Row],[Added]]=""),"",AsOf-Items[[#This Row],[Added]])</f>
      </c>
      <c r="W459" s="17">
        <f>IF(Items[[#This Row],[In sprint]]=1,(IF(Items[[#This Row],[Prio]]="",9,N(Items[[#This Row],[Prio]]))*10+(IF(Items[[#This Row],[State]]="DONE",1,0)))*100000+ROW(),"")</f>
      </c>
      <c r="X45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59" s="17">
        <f>IF(AND(Items[[#This Row],[State]]="DONE",N(Items[[#This Row],[Done on]])&gt;AsOf-7),(200000-N(Items[[#This Row],[Done on]]))*100000+ROW(),"")</f>
      </c>
    </row>
    <row r="460">
      <c r="A460" t="s">
        <v>620</v>
      </c>
      <c r="B460" t="s">
        <v>1681</v>
      </c>
      <c r="C460" t="s">
        <v>1107</v>
      </c>
      <c r="D460" t="s">
        <v>1123</v>
      </c>
      <c r="E460" t="s">
        <v>1128</v>
      </c>
      <c r="F460" t="s">
        <v>1164</v>
      </c>
      <c r="G460">
        <v>3</v>
      </c>
      <c r="H460">
        <v>2</v>
      </c>
      <c r="I460" s="11">
        <v>46161</v>
      </c>
      <c r="J460" s="17">
        <f>IF(Items[[#This Row],[ID]]="","",IFERROR(VALUE(LOOKUP(2,1/((Log[ID]=Items[[#This Row],[ID]])*(Log[Verb]="est")),Log[Arg])),N(Items[[#This Row],[Points]])))</f>
      </c>
      <c r="K460" s="17">
        <f>IF(Items[[#This Row],[ID]]="","",IFERROR(LOOKUP(2,1/((Log[ID]=Items[[#This Row],[ID]])*(Log[Verb]="pass")),Log[Arg])&amp;"",Items[[#This Row],[Team]]&amp;""))</f>
      </c>
      <c r="L460" s="17">
        <f>IF(Items[[#This Row],[ID]]="","",IFERROR(LOOKUP(2,1/((Log[ID]=Items[[#This Row],[ID]])*(Log[Into]&lt;&gt;"")),Log[Into]),""))</f>
      </c>
      <c r="M460" s="17">
        <f>IF(Items[[#This Row],[ID]]="","",IF(IFERROR(LOOKUP(2,1/((Log[ID]=Items[[#This Row],[ID]])*(Log[Blk]&lt;&gt;"")),Log[Blk]),0)=1,"Y",""))</f>
      </c>
      <c r="N460" s="17">
        <f>IF(Items[[#This Row],[ID]]="","",SUBSTITUTE(IFERROR(LOOKUP(2,1/((Log[ID]=Items[[#This Row],[ID]])*(Log[State]&lt;&gt;"")),Log[State]),"TODO"),"OPEN",IF(Items[[#This Row],[Blocked]]="Y","WAIT","OPEN")))</f>
      </c>
      <c r="O46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60" s="17">
        <f>IF(Items[[#This Row],[State]]&lt;&gt;"WAIT","",AsOf-Items[[#This Row],[Blocked since]])</f>
      </c>
      <c r="Q460" s="17">
        <f>IF(Items[[#This Row],[State]]&lt;&gt;"WAIT","",IFERROR(LOOKUP(2,1/((Log[ID]=Items[[#This Row],[ID]])*(Log[Verb]="block")),Log[Note])&amp;"",""))</f>
      </c>
      <c r="R460" s="17">
        <f>IF(Items[[#This Row],[ID]]="","",COUNTIFS(Log[ID],Items[[#This Row],[ID]],Log[Verb],"carry"))</f>
      </c>
      <c r="S460" s="17">
        <f>IF(Items[[#This Row],[ID]]="","",COUNTIFS(Log[ID],Items[[#This Row],[ID]],Log[Verb],"punt"))</f>
      </c>
      <c r="T460" s="11">
        <f>IF(Items[[#This Row],[State]]&lt;&gt;"DONE","",IFERROR(LOOKUP(2,1/((Log[ID]=Items[[#This Row],[ID]])*(Log[Verb]="done")),Log[Date]),""))</f>
      </c>
      <c r="U460" s="17">
        <f>IF(Items[[#This Row],[ID]]="","",IF(AND(Items[[#This Row],[Sprint]]=CurSprint,OR(Items[[#This Row],[State]]="OPEN",Items[[#This Row],[State]]="WAIT",Items[[#This Row],[State]]="HOLD",Items[[#This Row],[State]]="DONE")),1,0))</f>
      </c>
      <c r="V460" s="17">
        <f>IF(OR(Items[[#This Row],[ID]]="",Items[[#This Row],[Added]]=""),"",AsOf-Items[[#This Row],[Added]])</f>
      </c>
      <c r="W460" s="17">
        <f>IF(Items[[#This Row],[In sprint]]=1,(IF(Items[[#This Row],[Prio]]="",9,N(Items[[#This Row],[Prio]]))*10+(IF(Items[[#This Row],[State]]="DONE",1,0)))*100000+ROW(),"")</f>
      </c>
      <c r="X46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60" s="17">
        <f>IF(AND(Items[[#This Row],[State]]="DONE",N(Items[[#This Row],[Done on]])&gt;AsOf-7),(200000-N(Items[[#This Row],[Done on]]))*100000+ROW(),"")</f>
      </c>
    </row>
    <row r="461">
      <c r="A461" t="s">
        <v>621</v>
      </c>
      <c r="B461" t="s">
        <v>1682</v>
      </c>
      <c r="C461" t="s">
        <v>1107</v>
      </c>
      <c r="D461" t="s">
        <v>1123</v>
      </c>
      <c r="E461" t="s">
        <v>1128</v>
      </c>
      <c r="F461" t="s">
        <v>1162</v>
      </c>
      <c r="G461">
        <v>5</v>
      </c>
      <c r="H461">
        <v>1</v>
      </c>
      <c r="I461" s="11">
        <v>46161</v>
      </c>
      <c r="J461" s="17">
        <f>IF(Items[[#This Row],[ID]]="","",IFERROR(VALUE(LOOKUP(2,1/((Log[ID]=Items[[#This Row],[ID]])*(Log[Verb]="est")),Log[Arg])),N(Items[[#This Row],[Points]])))</f>
      </c>
      <c r="K461" s="17">
        <f>IF(Items[[#This Row],[ID]]="","",IFERROR(LOOKUP(2,1/((Log[ID]=Items[[#This Row],[ID]])*(Log[Verb]="pass")),Log[Arg])&amp;"",Items[[#This Row],[Team]]&amp;""))</f>
      </c>
      <c r="L461" s="17">
        <f>IF(Items[[#This Row],[ID]]="","",IFERROR(LOOKUP(2,1/((Log[ID]=Items[[#This Row],[ID]])*(Log[Into]&lt;&gt;"")),Log[Into]),""))</f>
      </c>
      <c r="M461" s="17">
        <f>IF(Items[[#This Row],[ID]]="","",IF(IFERROR(LOOKUP(2,1/((Log[ID]=Items[[#This Row],[ID]])*(Log[Blk]&lt;&gt;"")),Log[Blk]),0)=1,"Y",""))</f>
      </c>
      <c r="N461" s="17">
        <f>IF(Items[[#This Row],[ID]]="","",SUBSTITUTE(IFERROR(LOOKUP(2,1/((Log[ID]=Items[[#This Row],[ID]])*(Log[State]&lt;&gt;"")),Log[State]),"TODO"),"OPEN",IF(Items[[#This Row],[Blocked]]="Y","WAIT","OPEN")))</f>
      </c>
      <c r="O46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61" s="17">
        <f>IF(Items[[#This Row],[State]]&lt;&gt;"WAIT","",AsOf-Items[[#This Row],[Blocked since]])</f>
      </c>
      <c r="Q461" s="17">
        <f>IF(Items[[#This Row],[State]]&lt;&gt;"WAIT","",IFERROR(LOOKUP(2,1/((Log[ID]=Items[[#This Row],[ID]])*(Log[Verb]="block")),Log[Note])&amp;"",""))</f>
      </c>
      <c r="R461" s="17">
        <f>IF(Items[[#This Row],[ID]]="","",COUNTIFS(Log[ID],Items[[#This Row],[ID]],Log[Verb],"carry"))</f>
      </c>
      <c r="S461" s="17">
        <f>IF(Items[[#This Row],[ID]]="","",COUNTIFS(Log[ID],Items[[#This Row],[ID]],Log[Verb],"punt"))</f>
      </c>
      <c r="T461" s="11">
        <f>IF(Items[[#This Row],[State]]&lt;&gt;"DONE","",IFERROR(LOOKUP(2,1/((Log[ID]=Items[[#This Row],[ID]])*(Log[Verb]="done")),Log[Date]),""))</f>
      </c>
      <c r="U461" s="17">
        <f>IF(Items[[#This Row],[ID]]="","",IF(AND(Items[[#This Row],[Sprint]]=CurSprint,OR(Items[[#This Row],[State]]="OPEN",Items[[#This Row],[State]]="WAIT",Items[[#This Row],[State]]="HOLD",Items[[#This Row],[State]]="DONE")),1,0))</f>
      </c>
      <c r="V461" s="17">
        <f>IF(OR(Items[[#This Row],[ID]]="",Items[[#This Row],[Added]]=""),"",AsOf-Items[[#This Row],[Added]])</f>
      </c>
      <c r="W461" s="17">
        <f>IF(Items[[#This Row],[In sprint]]=1,(IF(Items[[#This Row],[Prio]]="",9,N(Items[[#This Row],[Prio]]))*10+(IF(Items[[#This Row],[State]]="DONE",1,0)))*100000+ROW(),"")</f>
      </c>
      <c r="X46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61" s="17">
        <f>IF(AND(Items[[#This Row],[State]]="DONE",N(Items[[#This Row],[Done on]])&gt;AsOf-7),(200000-N(Items[[#This Row],[Done on]]))*100000+ROW(),"")</f>
      </c>
    </row>
    <row r="462">
      <c r="A462" t="s">
        <v>622</v>
      </c>
      <c r="B462" t="s">
        <v>1683</v>
      </c>
      <c r="C462" t="s">
        <v>1107</v>
      </c>
      <c r="D462" t="s">
        <v>1123</v>
      </c>
      <c r="E462" t="s">
        <v>1128</v>
      </c>
      <c r="F462" t="s">
        <v>1294</v>
      </c>
      <c r="G462">
        <v>3</v>
      </c>
      <c r="H462">
        <v>2</v>
      </c>
      <c r="I462" s="11">
        <v>46161</v>
      </c>
      <c r="J462" s="17">
        <f>IF(Items[[#This Row],[ID]]="","",IFERROR(VALUE(LOOKUP(2,1/((Log[ID]=Items[[#This Row],[ID]])*(Log[Verb]="est")),Log[Arg])),N(Items[[#This Row],[Points]])))</f>
      </c>
      <c r="K462" s="17">
        <f>IF(Items[[#This Row],[ID]]="","",IFERROR(LOOKUP(2,1/((Log[ID]=Items[[#This Row],[ID]])*(Log[Verb]="pass")),Log[Arg])&amp;"",Items[[#This Row],[Team]]&amp;""))</f>
      </c>
      <c r="L462" s="17">
        <f>IF(Items[[#This Row],[ID]]="","",IFERROR(LOOKUP(2,1/((Log[ID]=Items[[#This Row],[ID]])*(Log[Into]&lt;&gt;"")),Log[Into]),""))</f>
      </c>
      <c r="M462" s="17">
        <f>IF(Items[[#This Row],[ID]]="","",IF(IFERROR(LOOKUP(2,1/((Log[ID]=Items[[#This Row],[ID]])*(Log[Blk]&lt;&gt;"")),Log[Blk]),0)=1,"Y",""))</f>
      </c>
      <c r="N462" s="17">
        <f>IF(Items[[#This Row],[ID]]="","",SUBSTITUTE(IFERROR(LOOKUP(2,1/((Log[ID]=Items[[#This Row],[ID]])*(Log[State]&lt;&gt;"")),Log[State]),"TODO"),"OPEN",IF(Items[[#This Row],[Blocked]]="Y","WAIT","OPEN")))</f>
      </c>
      <c r="O46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62" s="17">
        <f>IF(Items[[#This Row],[State]]&lt;&gt;"WAIT","",AsOf-Items[[#This Row],[Blocked since]])</f>
      </c>
      <c r="Q462" s="17">
        <f>IF(Items[[#This Row],[State]]&lt;&gt;"WAIT","",IFERROR(LOOKUP(2,1/((Log[ID]=Items[[#This Row],[ID]])*(Log[Verb]="block")),Log[Note])&amp;"",""))</f>
      </c>
      <c r="R462" s="17">
        <f>IF(Items[[#This Row],[ID]]="","",COUNTIFS(Log[ID],Items[[#This Row],[ID]],Log[Verb],"carry"))</f>
      </c>
      <c r="S462" s="17">
        <f>IF(Items[[#This Row],[ID]]="","",COUNTIFS(Log[ID],Items[[#This Row],[ID]],Log[Verb],"punt"))</f>
      </c>
      <c r="T462" s="11">
        <f>IF(Items[[#This Row],[State]]&lt;&gt;"DONE","",IFERROR(LOOKUP(2,1/((Log[ID]=Items[[#This Row],[ID]])*(Log[Verb]="done")),Log[Date]),""))</f>
      </c>
      <c r="U462" s="17">
        <f>IF(Items[[#This Row],[ID]]="","",IF(AND(Items[[#This Row],[Sprint]]=CurSprint,OR(Items[[#This Row],[State]]="OPEN",Items[[#This Row],[State]]="WAIT",Items[[#This Row],[State]]="HOLD",Items[[#This Row],[State]]="DONE")),1,0))</f>
      </c>
      <c r="V462" s="17">
        <f>IF(OR(Items[[#This Row],[ID]]="",Items[[#This Row],[Added]]=""),"",AsOf-Items[[#This Row],[Added]])</f>
      </c>
      <c r="W462" s="17">
        <f>IF(Items[[#This Row],[In sprint]]=1,(IF(Items[[#This Row],[Prio]]="",9,N(Items[[#This Row],[Prio]]))*10+(IF(Items[[#This Row],[State]]="DONE",1,0)))*100000+ROW(),"")</f>
      </c>
      <c r="X46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62" s="17">
        <f>IF(AND(Items[[#This Row],[State]]="DONE",N(Items[[#This Row],[Done on]])&gt;AsOf-7),(200000-N(Items[[#This Row],[Done on]]))*100000+ROW(),"")</f>
      </c>
    </row>
    <row r="463">
      <c r="A463" t="s">
        <v>571</v>
      </c>
      <c r="B463" t="s">
        <v>1684</v>
      </c>
      <c r="C463" t="s">
        <v>1107</v>
      </c>
      <c r="D463" t="s">
        <v>1123</v>
      </c>
      <c r="E463" t="s">
        <v>1109</v>
      </c>
      <c r="F463" t="s">
        <v>1220</v>
      </c>
      <c r="G463">
        <v>2</v>
      </c>
      <c r="H463">
        <v>3</v>
      </c>
      <c r="I463" s="11">
        <v>46161</v>
      </c>
      <c r="J463" s="17">
        <f>IF(Items[[#This Row],[ID]]="","",IFERROR(VALUE(LOOKUP(2,1/((Log[ID]=Items[[#This Row],[ID]])*(Log[Verb]="est")),Log[Arg])),N(Items[[#This Row],[Points]])))</f>
      </c>
      <c r="K463" s="17">
        <f>IF(Items[[#This Row],[ID]]="","",IFERROR(LOOKUP(2,1/((Log[ID]=Items[[#This Row],[ID]])*(Log[Verb]="pass")),Log[Arg])&amp;"",Items[[#This Row],[Team]]&amp;""))</f>
      </c>
      <c r="L463" s="17">
        <f>IF(Items[[#This Row],[ID]]="","",IFERROR(LOOKUP(2,1/((Log[ID]=Items[[#This Row],[ID]])*(Log[Into]&lt;&gt;"")),Log[Into]),""))</f>
      </c>
      <c r="M463" s="17">
        <f>IF(Items[[#This Row],[ID]]="","",IF(IFERROR(LOOKUP(2,1/((Log[ID]=Items[[#This Row],[ID]])*(Log[Blk]&lt;&gt;"")),Log[Blk]),0)=1,"Y",""))</f>
      </c>
      <c r="N463" s="17">
        <f>IF(Items[[#This Row],[ID]]="","",SUBSTITUTE(IFERROR(LOOKUP(2,1/((Log[ID]=Items[[#This Row],[ID]])*(Log[State]&lt;&gt;"")),Log[State]),"TODO"),"OPEN",IF(Items[[#This Row],[Blocked]]="Y","WAIT","OPEN")))</f>
      </c>
      <c r="O46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63" s="17">
        <f>IF(Items[[#This Row],[State]]&lt;&gt;"WAIT","",AsOf-Items[[#This Row],[Blocked since]])</f>
      </c>
      <c r="Q463" s="17">
        <f>IF(Items[[#This Row],[State]]&lt;&gt;"WAIT","",IFERROR(LOOKUP(2,1/((Log[ID]=Items[[#This Row],[ID]])*(Log[Verb]="block")),Log[Note])&amp;"",""))</f>
      </c>
      <c r="R463" s="17">
        <f>IF(Items[[#This Row],[ID]]="","",COUNTIFS(Log[ID],Items[[#This Row],[ID]],Log[Verb],"carry"))</f>
      </c>
      <c r="S463" s="17">
        <f>IF(Items[[#This Row],[ID]]="","",COUNTIFS(Log[ID],Items[[#This Row],[ID]],Log[Verb],"punt"))</f>
      </c>
      <c r="T463" s="11">
        <f>IF(Items[[#This Row],[State]]&lt;&gt;"DONE","",IFERROR(LOOKUP(2,1/((Log[ID]=Items[[#This Row],[ID]])*(Log[Verb]="done")),Log[Date]),""))</f>
      </c>
      <c r="U463" s="17">
        <f>IF(Items[[#This Row],[ID]]="","",IF(AND(Items[[#This Row],[Sprint]]=CurSprint,OR(Items[[#This Row],[State]]="OPEN",Items[[#This Row],[State]]="WAIT",Items[[#This Row],[State]]="HOLD",Items[[#This Row],[State]]="DONE")),1,0))</f>
      </c>
      <c r="V463" s="17">
        <f>IF(OR(Items[[#This Row],[ID]]="",Items[[#This Row],[Added]]=""),"",AsOf-Items[[#This Row],[Added]])</f>
      </c>
      <c r="W463" s="17">
        <f>IF(Items[[#This Row],[In sprint]]=1,(IF(Items[[#This Row],[Prio]]="",9,N(Items[[#This Row],[Prio]]))*10+(IF(Items[[#This Row],[State]]="DONE",1,0)))*100000+ROW(),"")</f>
      </c>
      <c r="X46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63" s="17">
        <f>IF(AND(Items[[#This Row],[State]]="DONE",N(Items[[#This Row],[Done on]])&gt;AsOf-7),(200000-N(Items[[#This Row],[Done on]]))*100000+ROW(),"")</f>
      </c>
    </row>
    <row r="464">
      <c r="A464" t="s">
        <v>626</v>
      </c>
      <c r="B464" t="s">
        <v>1685</v>
      </c>
      <c r="C464" t="s">
        <v>1107</v>
      </c>
      <c r="D464" t="s">
        <v>1127</v>
      </c>
      <c r="E464" t="s">
        <v>1109</v>
      </c>
      <c r="F464" t="s">
        <v>1227</v>
      </c>
      <c r="G464">
        <v>8</v>
      </c>
      <c r="H464">
        <v>2</v>
      </c>
      <c r="I464" s="11">
        <v>46161</v>
      </c>
      <c r="J464" s="17">
        <f>IF(Items[[#This Row],[ID]]="","",IFERROR(VALUE(LOOKUP(2,1/((Log[ID]=Items[[#This Row],[ID]])*(Log[Verb]="est")),Log[Arg])),N(Items[[#This Row],[Points]])))</f>
      </c>
      <c r="K464" s="17">
        <f>IF(Items[[#This Row],[ID]]="","",IFERROR(LOOKUP(2,1/((Log[ID]=Items[[#This Row],[ID]])*(Log[Verb]="pass")),Log[Arg])&amp;"",Items[[#This Row],[Team]]&amp;""))</f>
      </c>
      <c r="L464" s="17">
        <f>IF(Items[[#This Row],[ID]]="","",IFERROR(LOOKUP(2,1/((Log[ID]=Items[[#This Row],[ID]])*(Log[Into]&lt;&gt;"")),Log[Into]),""))</f>
      </c>
      <c r="M464" s="17">
        <f>IF(Items[[#This Row],[ID]]="","",IF(IFERROR(LOOKUP(2,1/((Log[ID]=Items[[#This Row],[ID]])*(Log[Blk]&lt;&gt;"")),Log[Blk]),0)=1,"Y",""))</f>
      </c>
      <c r="N464" s="17">
        <f>IF(Items[[#This Row],[ID]]="","",SUBSTITUTE(IFERROR(LOOKUP(2,1/((Log[ID]=Items[[#This Row],[ID]])*(Log[State]&lt;&gt;"")),Log[State]),"TODO"),"OPEN",IF(Items[[#This Row],[Blocked]]="Y","WAIT","OPEN")))</f>
      </c>
      <c r="O46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64" s="17">
        <f>IF(Items[[#This Row],[State]]&lt;&gt;"WAIT","",AsOf-Items[[#This Row],[Blocked since]])</f>
      </c>
      <c r="Q464" s="17">
        <f>IF(Items[[#This Row],[State]]&lt;&gt;"WAIT","",IFERROR(LOOKUP(2,1/((Log[ID]=Items[[#This Row],[ID]])*(Log[Verb]="block")),Log[Note])&amp;"",""))</f>
      </c>
      <c r="R464" s="17">
        <f>IF(Items[[#This Row],[ID]]="","",COUNTIFS(Log[ID],Items[[#This Row],[ID]],Log[Verb],"carry"))</f>
      </c>
      <c r="S464" s="17">
        <f>IF(Items[[#This Row],[ID]]="","",COUNTIFS(Log[ID],Items[[#This Row],[ID]],Log[Verb],"punt"))</f>
      </c>
      <c r="T464" s="11">
        <f>IF(Items[[#This Row],[State]]&lt;&gt;"DONE","",IFERROR(LOOKUP(2,1/((Log[ID]=Items[[#This Row],[ID]])*(Log[Verb]="done")),Log[Date]),""))</f>
      </c>
      <c r="U464" s="17">
        <f>IF(Items[[#This Row],[ID]]="","",IF(AND(Items[[#This Row],[Sprint]]=CurSprint,OR(Items[[#This Row],[State]]="OPEN",Items[[#This Row],[State]]="WAIT",Items[[#This Row],[State]]="HOLD",Items[[#This Row],[State]]="DONE")),1,0))</f>
      </c>
      <c r="V464" s="17">
        <f>IF(OR(Items[[#This Row],[ID]]="",Items[[#This Row],[Added]]=""),"",AsOf-Items[[#This Row],[Added]])</f>
      </c>
      <c r="W464" s="17">
        <f>IF(Items[[#This Row],[In sprint]]=1,(IF(Items[[#This Row],[Prio]]="",9,N(Items[[#This Row],[Prio]]))*10+(IF(Items[[#This Row],[State]]="DONE",1,0)))*100000+ROW(),"")</f>
      </c>
      <c r="X46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64" s="17">
        <f>IF(AND(Items[[#This Row],[State]]="DONE",N(Items[[#This Row],[Done on]])&gt;AsOf-7),(200000-N(Items[[#This Row],[Done on]]))*100000+ROW(),"")</f>
      </c>
    </row>
    <row r="465">
      <c r="A465" t="s">
        <v>627</v>
      </c>
      <c r="B465" t="s">
        <v>1686</v>
      </c>
      <c r="C465" t="s">
        <v>1115</v>
      </c>
      <c r="D465" t="s">
        <v>1116</v>
      </c>
      <c r="E465" t="s">
        <v>1109</v>
      </c>
      <c r="F465" t="s">
        <v>1302</v>
      </c>
      <c r="G465">
        <v>5</v>
      </c>
      <c r="H465">
        <v>1</v>
      </c>
      <c r="I465" s="11">
        <v>46161</v>
      </c>
      <c r="J465" s="17">
        <f>IF(Items[[#This Row],[ID]]="","",IFERROR(VALUE(LOOKUP(2,1/((Log[ID]=Items[[#This Row],[ID]])*(Log[Verb]="est")),Log[Arg])),N(Items[[#This Row],[Points]])))</f>
      </c>
      <c r="K465" s="17">
        <f>IF(Items[[#This Row],[ID]]="","",IFERROR(LOOKUP(2,1/((Log[ID]=Items[[#This Row],[ID]])*(Log[Verb]="pass")),Log[Arg])&amp;"",Items[[#This Row],[Team]]&amp;""))</f>
      </c>
      <c r="L465" s="17">
        <f>IF(Items[[#This Row],[ID]]="","",IFERROR(LOOKUP(2,1/((Log[ID]=Items[[#This Row],[ID]])*(Log[Into]&lt;&gt;"")),Log[Into]),""))</f>
      </c>
      <c r="M465" s="17">
        <f>IF(Items[[#This Row],[ID]]="","",IF(IFERROR(LOOKUP(2,1/((Log[ID]=Items[[#This Row],[ID]])*(Log[Blk]&lt;&gt;"")),Log[Blk]),0)=1,"Y",""))</f>
      </c>
      <c r="N465" s="17">
        <f>IF(Items[[#This Row],[ID]]="","",SUBSTITUTE(IFERROR(LOOKUP(2,1/((Log[ID]=Items[[#This Row],[ID]])*(Log[State]&lt;&gt;"")),Log[State]),"TODO"),"OPEN",IF(Items[[#This Row],[Blocked]]="Y","WAIT","OPEN")))</f>
      </c>
      <c r="O46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65" s="17">
        <f>IF(Items[[#This Row],[State]]&lt;&gt;"WAIT","",AsOf-Items[[#This Row],[Blocked since]])</f>
      </c>
      <c r="Q465" s="17">
        <f>IF(Items[[#This Row],[State]]&lt;&gt;"WAIT","",IFERROR(LOOKUP(2,1/((Log[ID]=Items[[#This Row],[ID]])*(Log[Verb]="block")),Log[Note])&amp;"",""))</f>
      </c>
      <c r="R465" s="17">
        <f>IF(Items[[#This Row],[ID]]="","",COUNTIFS(Log[ID],Items[[#This Row],[ID]],Log[Verb],"carry"))</f>
      </c>
      <c r="S465" s="17">
        <f>IF(Items[[#This Row],[ID]]="","",COUNTIFS(Log[ID],Items[[#This Row],[ID]],Log[Verb],"punt"))</f>
      </c>
      <c r="T465" s="11">
        <f>IF(Items[[#This Row],[State]]&lt;&gt;"DONE","",IFERROR(LOOKUP(2,1/((Log[ID]=Items[[#This Row],[ID]])*(Log[Verb]="done")),Log[Date]),""))</f>
      </c>
      <c r="U465" s="17">
        <f>IF(Items[[#This Row],[ID]]="","",IF(AND(Items[[#This Row],[Sprint]]=CurSprint,OR(Items[[#This Row],[State]]="OPEN",Items[[#This Row],[State]]="WAIT",Items[[#This Row],[State]]="HOLD",Items[[#This Row],[State]]="DONE")),1,0))</f>
      </c>
      <c r="V465" s="17">
        <f>IF(OR(Items[[#This Row],[ID]]="",Items[[#This Row],[Added]]=""),"",AsOf-Items[[#This Row],[Added]])</f>
      </c>
      <c r="W465" s="17">
        <f>IF(Items[[#This Row],[In sprint]]=1,(IF(Items[[#This Row],[Prio]]="",9,N(Items[[#This Row],[Prio]]))*10+(IF(Items[[#This Row],[State]]="DONE",1,0)))*100000+ROW(),"")</f>
      </c>
      <c r="X46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65" s="17">
        <f>IF(AND(Items[[#This Row],[State]]="DONE",N(Items[[#This Row],[Done on]])&gt;AsOf-7),(200000-N(Items[[#This Row],[Done on]]))*100000+ROW(),"")</f>
      </c>
    </row>
    <row r="466">
      <c r="A466" t="s">
        <v>628</v>
      </c>
      <c r="B466" t="s">
        <v>1687</v>
      </c>
      <c r="C466" t="s">
        <v>1107</v>
      </c>
      <c r="D466" t="s">
        <v>1127</v>
      </c>
      <c r="E466" t="s">
        <v>1109</v>
      </c>
      <c r="F466" t="s">
        <v>1220</v>
      </c>
      <c r="G466">
        <v>5</v>
      </c>
      <c r="H466">
        <v>2</v>
      </c>
      <c r="I466" s="11">
        <v>46161</v>
      </c>
      <c r="J466" s="17">
        <f>IF(Items[[#This Row],[ID]]="","",IFERROR(VALUE(LOOKUP(2,1/((Log[ID]=Items[[#This Row],[ID]])*(Log[Verb]="est")),Log[Arg])),N(Items[[#This Row],[Points]])))</f>
      </c>
      <c r="K466" s="17">
        <f>IF(Items[[#This Row],[ID]]="","",IFERROR(LOOKUP(2,1/((Log[ID]=Items[[#This Row],[ID]])*(Log[Verb]="pass")),Log[Arg])&amp;"",Items[[#This Row],[Team]]&amp;""))</f>
      </c>
      <c r="L466" s="17">
        <f>IF(Items[[#This Row],[ID]]="","",IFERROR(LOOKUP(2,1/((Log[ID]=Items[[#This Row],[ID]])*(Log[Into]&lt;&gt;"")),Log[Into]),""))</f>
      </c>
      <c r="M466" s="17">
        <f>IF(Items[[#This Row],[ID]]="","",IF(IFERROR(LOOKUP(2,1/((Log[ID]=Items[[#This Row],[ID]])*(Log[Blk]&lt;&gt;"")),Log[Blk]),0)=1,"Y",""))</f>
      </c>
      <c r="N466" s="17">
        <f>IF(Items[[#This Row],[ID]]="","",SUBSTITUTE(IFERROR(LOOKUP(2,1/((Log[ID]=Items[[#This Row],[ID]])*(Log[State]&lt;&gt;"")),Log[State]),"TODO"),"OPEN",IF(Items[[#This Row],[Blocked]]="Y","WAIT","OPEN")))</f>
      </c>
      <c r="O46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66" s="17">
        <f>IF(Items[[#This Row],[State]]&lt;&gt;"WAIT","",AsOf-Items[[#This Row],[Blocked since]])</f>
      </c>
      <c r="Q466" s="17">
        <f>IF(Items[[#This Row],[State]]&lt;&gt;"WAIT","",IFERROR(LOOKUP(2,1/((Log[ID]=Items[[#This Row],[ID]])*(Log[Verb]="block")),Log[Note])&amp;"",""))</f>
      </c>
      <c r="R466" s="17">
        <f>IF(Items[[#This Row],[ID]]="","",COUNTIFS(Log[ID],Items[[#This Row],[ID]],Log[Verb],"carry"))</f>
      </c>
      <c r="S466" s="17">
        <f>IF(Items[[#This Row],[ID]]="","",COUNTIFS(Log[ID],Items[[#This Row],[ID]],Log[Verb],"punt"))</f>
      </c>
      <c r="T466" s="11">
        <f>IF(Items[[#This Row],[State]]&lt;&gt;"DONE","",IFERROR(LOOKUP(2,1/((Log[ID]=Items[[#This Row],[ID]])*(Log[Verb]="done")),Log[Date]),""))</f>
      </c>
      <c r="U466" s="17">
        <f>IF(Items[[#This Row],[ID]]="","",IF(AND(Items[[#This Row],[Sprint]]=CurSprint,OR(Items[[#This Row],[State]]="OPEN",Items[[#This Row],[State]]="WAIT",Items[[#This Row],[State]]="HOLD",Items[[#This Row],[State]]="DONE")),1,0))</f>
      </c>
      <c r="V466" s="17">
        <f>IF(OR(Items[[#This Row],[ID]]="",Items[[#This Row],[Added]]=""),"",AsOf-Items[[#This Row],[Added]])</f>
      </c>
      <c r="W466" s="17">
        <f>IF(Items[[#This Row],[In sprint]]=1,(IF(Items[[#This Row],[Prio]]="",9,N(Items[[#This Row],[Prio]]))*10+(IF(Items[[#This Row],[State]]="DONE",1,0)))*100000+ROW(),"")</f>
      </c>
      <c r="X46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66" s="17">
        <f>IF(AND(Items[[#This Row],[State]]="DONE",N(Items[[#This Row],[Done on]])&gt;AsOf-7),(200000-N(Items[[#This Row],[Done on]]))*100000+ROW(),"")</f>
      </c>
    </row>
    <row r="467">
      <c r="A467" t="s">
        <v>572</v>
      </c>
      <c r="B467" t="s">
        <v>1688</v>
      </c>
      <c r="C467" t="s">
        <v>1115</v>
      </c>
      <c r="D467" t="s">
        <v>1119</v>
      </c>
      <c r="E467" t="s">
        <v>1109</v>
      </c>
      <c r="F467" t="s">
        <v>1372</v>
      </c>
      <c r="G467">
        <v>3</v>
      </c>
      <c r="H467">
        <v>2</v>
      </c>
      <c r="I467" s="11">
        <v>46161</v>
      </c>
      <c r="J467" s="17">
        <f>IF(Items[[#This Row],[ID]]="","",IFERROR(VALUE(LOOKUP(2,1/((Log[ID]=Items[[#This Row],[ID]])*(Log[Verb]="est")),Log[Arg])),N(Items[[#This Row],[Points]])))</f>
      </c>
      <c r="K467" s="17">
        <f>IF(Items[[#This Row],[ID]]="","",IFERROR(LOOKUP(2,1/((Log[ID]=Items[[#This Row],[ID]])*(Log[Verb]="pass")),Log[Arg])&amp;"",Items[[#This Row],[Team]]&amp;""))</f>
      </c>
      <c r="L467" s="17">
        <f>IF(Items[[#This Row],[ID]]="","",IFERROR(LOOKUP(2,1/((Log[ID]=Items[[#This Row],[ID]])*(Log[Into]&lt;&gt;"")),Log[Into]),""))</f>
      </c>
      <c r="M467" s="17">
        <f>IF(Items[[#This Row],[ID]]="","",IF(IFERROR(LOOKUP(2,1/((Log[ID]=Items[[#This Row],[ID]])*(Log[Blk]&lt;&gt;"")),Log[Blk]),0)=1,"Y",""))</f>
      </c>
      <c r="N467" s="17">
        <f>IF(Items[[#This Row],[ID]]="","",SUBSTITUTE(IFERROR(LOOKUP(2,1/((Log[ID]=Items[[#This Row],[ID]])*(Log[State]&lt;&gt;"")),Log[State]),"TODO"),"OPEN",IF(Items[[#This Row],[Blocked]]="Y","WAIT","OPEN")))</f>
      </c>
      <c r="O46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67" s="17">
        <f>IF(Items[[#This Row],[State]]&lt;&gt;"WAIT","",AsOf-Items[[#This Row],[Blocked since]])</f>
      </c>
      <c r="Q467" s="17">
        <f>IF(Items[[#This Row],[State]]&lt;&gt;"WAIT","",IFERROR(LOOKUP(2,1/((Log[ID]=Items[[#This Row],[ID]])*(Log[Verb]="block")),Log[Note])&amp;"",""))</f>
      </c>
      <c r="R467" s="17">
        <f>IF(Items[[#This Row],[ID]]="","",COUNTIFS(Log[ID],Items[[#This Row],[ID]],Log[Verb],"carry"))</f>
      </c>
      <c r="S467" s="17">
        <f>IF(Items[[#This Row],[ID]]="","",COUNTIFS(Log[ID],Items[[#This Row],[ID]],Log[Verb],"punt"))</f>
      </c>
      <c r="T467" s="11">
        <f>IF(Items[[#This Row],[State]]&lt;&gt;"DONE","",IFERROR(LOOKUP(2,1/((Log[ID]=Items[[#This Row],[ID]])*(Log[Verb]="done")),Log[Date]),""))</f>
      </c>
      <c r="U467" s="17">
        <f>IF(Items[[#This Row],[ID]]="","",IF(AND(Items[[#This Row],[Sprint]]=CurSprint,OR(Items[[#This Row],[State]]="OPEN",Items[[#This Row],[State]]="WAIT",Items[[#This Row],[State]]="HOLD",Items[[#This Row],[State]]="DONE")),1,0))</f>
      </c>
      <c r="V467" s="17">
        <f>IF(OR(Items[[#This Row],[ID]]="",Items[[#This Row],[Added]]=""),"",AsOf-Items[[#This Row],[Added]])</f>
      </c>
      <c r="W467" s="17">
        <f>IF(Items[[#This Row],[In sprint]]=1,(IF(Items[[#This Row],[Prio]]="",9,N(Items[[#This Row],[Prio]]))*10+(IF(Items[[#This Row],[State]]="DONE",1,0)))*100000+ROW(),"")</f>
      </c>
      <c r="X46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67" s="17">
        <f>IF(AND(Items[[#This Row],[State]]="DONE",N(Items[[#This Row],[Done on]])&gt;AsOf-7),(200000-N(Items[[#This Row],[Done on]]))*100000+ROW(),"")</f>
      </c>
    </row>
    <row r="468">
      <c r="A468" t="s">
        <v>629</v>
      </c>
      <c r="B468" t="s">
        <v>1689</v>
      </c>
      <c r="C468" t="s">
        <v>1107</v>
      </c>
      <c r="D468" t="s">
        <v>1123</v>
      </c>
      <c r="E468" t="s">
        <v>1109</v>
      </c>
      <c r="F468" t="s">
        <v>1110</v>
      </c>
      <c r="G468">
        <v>2</v>
      </c>
      <c r="H468">
        <v>3</v>
      </c>
      <c r="I468" s="11">
        <v>46161</v>
      </c>
      <c r="J468" s="17">
        <f>IF(Items[[#This Row],[ID]]="","",IFERROR(VALUE(LOOKUP(2,1/((Log[ID]=Items[[#This Row],[ID]])*(Log[Verb]="est")),Log[Arg])),N(Items[[#This Row],[Points]])))</f>
      </c>
      <c r="K468" s="17">
        <f>IF(Items[[#This Row],[ID]]="","",IFERROR(LOOKUP(2,1/((Log[ID]=Items[[#This Row],[ID]])*(Log[Verb]="pass")),Log[Arg])&amp;"",Items[[#This Row],[Team]]&amp;""))</f>
      </c>
      <c r="L468" s="17">
        <f>IF(Items[[#This Row],[ID]]="","",IFERROR(LOOKUP(2,1/((Log[ID]=Items[[#This Row],[ID]])*(Log[Into]&lt;&gt;"")),Log[Into]),""))</f>
      </c>
      <c r="M468" s="17">
        <f>IF(Items[[#This Row],[ID]]="","",IF(IFERROR(LOOKUP(2,1/((Log[ID]=Items[[#This Row],[ID]])*(Log[Blk]&lt;&gt;"")),Log[Blk]),0)=1,"Y",""))</f>
      </c>
      <c r="N468" s="17">
        <f>IF(Items[[#This Row],[ID]]="","",SUBSTITUTE(IFERROR(LOOKUP(2,1/((Log[ID]=Items[[#This Row],[ID]])*(Log[State]&lt;&gt;"")),Log[State]),"TODO"),"OPEN",IF(Items[[#This Row],[Blocked]]="Y","WAIT","OPEN")))</f>
      </c>
      <c r="O46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68" s="17">
        <f>IF(Items[[#This Row],[State]]&lt;&gt;"WAIT","",AsOf-Items[[#This Row],[Blocked since]])</f>
      </c>
      <c r="Q468" s="17">
        <f>IF(Items[[#This Row],[State]]&lt;&gt;"WAIT","",IFERROR(LOOKUP(2,1/((Log[ID]=Items[[#This Row],[ID]])*(Log[Verb]="block")),Log[Note])&amp;"",""))</f>
      </c>
      <c r="R468" s="17">
        <f>IF(Items[[#This Row],[ID]]="","",COUNTIFS(Log[ID],Items[[#This Row],[ID]],Log[Verb],"carry"))</f>
      </c>
      <c r="S468" s="17">
        <f>IF(Items[[#This Row],[ID]]="","",COUNTIFS(Log[ID],Items[[#This Row],[ID]],Log[Verb],"punt"))</f>
      </c>
      <c r="T468" s="11">
        <f>IF(Items[[#This Row],[State]]&lt;&gt;"DONE","",IFERROR(LOOKUP(2,1/((Log[ID]=Items[[#This Row],[ID]])*(Log[Verb]="done")),Log[Date]),""))</f>
      </c>
      <c r="U468" s="17">
        <f>IF(Items[[#This Row],[ID]]="","",IF(AND(Items[[#This Row],[Sprint]]=CurSprint,OR(Items[[#This Row],[State]]="OPEN",Items[[#This Row],[State]]="WAIT",Items[[#This Row],[State]]="HOLD",Items[[#This Row],[State]]="DONE")),1,0))</f>
      </c>
      <c r="V468" s="17">
        <f>IF(OR(Items[[#This Row],[ID]]="",Items[[#This Row],[Added]]=""),"",AsOf-Items[[#This Row],[Added]])</f>
      </c>
      <c r="W468" s="17">
        <f>IF(Items[[#This Row],[In sprint]]=1,(IF(Items[[#This Row],[Prio]]="",9,N(Items[[#This Row],[Prio]]))*10+(IF(Items[[#This Row],[State]]="DONE",1,0)))*100000+ROW(),"")</f>
      </c>
      <c r="X46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68" s="17">
        <f>IF(AND(Items[[#This Row],[State]]="DONE",N(Items[[#This Row],[Done on]])&gt;AsOf-7),(200000-N(Items[[#This Row],[Done on]]))*100000+ROW(),"")</f>
      </c>
    </row>
    <row r="469">
      <c r="A469" t="s">
        <v>630</v>
      </c>
      <c r="B469" t="s">
        <v>1690</v>
      </c>
      <c r="C469" t="s">
        <v>1107</v>
      </c>
      <c r="D469" t="s">
        <v>1123</v>
      </c>
      <c r="E469" t="s">
        <v>1109</v>
      </c>
      <c r="F469" t="s">
        <v>1220</v>
      </c>
      <c r="G469">
        <v>2</v>
      </c>
      <c r="H469">
        <v>2</v>
      </c>
      <c r="I469" s="11">
        <v>46161</v>
      </c>
      <c r="J469" s="17">
        <f>IF(Items[[#This Row],[ID]]="","",IFERROR(VALUE(LOOKUP(2,1/((Log[ID]=Items[[#This Row],[ID]])*(Log[Verb]="est")),Log[Arg])),N(Items[[#This Row],[Points]])))</f>
      </c>
      <c r="K469" s="17">
        <f>IF(Items[[#This Row],[ID]]="","",IFERROR(LOOKUP(2,1/((Log[ID]=Items[[#This Row],[ID]])*(Log[Verb]="pass")),Log[Arg])&amp;"",Items[[#This Row],[Team]]&amp;""))</f>
      </c>
      <c r="L469" s="17">
        <f>IF(Items[[#This Row],[ID]]="","",IFERROR(LOOKUP(2,1/((Log[ID]=Items[[#This Row],[ID]])*(Log[Into]&lt;&gt;"")),Log[Into]),""))</f>
      </c>
      <c r="M469" s="17">
        <f>IF(Items[[#This Row],[ID]]="","",IF(IFERROR(LOOKUP(2,1/((Log[ID]=Items[[#This Row],[ID]])*(Log[Blk]&lt;&gt;"")),Log[Blk]),0)=1,"Y",""))</f>
      </c>
      <c r="N469" s="17">
        <f>IF(Items[[#This Row],[ID]]="","",SUBSTITUTE(IFERROR(LOOKUP(2,1/((Log[ID]=Items[[#This Row],[ID]])*(Log[State]&lt;&gt;"")),Log[State]),"TODO"),"OPEN",IF(Items[[#This Row],[Blocked]]="Y","WAIT","OPEN")))</f>
      </c>
      <c r="O46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69" s="17">
        <f>IF(Items[[#This Row],[State]]&lt;&gt;"WAIT","",AsOf-Items[[#This Row],[Blocked since]])</f>
      </c>
      <c r="Q469" s="17">
        <f>IF(Items[[#This Row],[State]]&lt;&gt;"WAIT","",IFERROR(LOOKUP(2,1/((Log[ID]=Items[[#This Row],[ID]])*(Log[Verb]="block")),Log[Note])&amp;"",""))</f>
      </c>
      <c r="R469" s="17">
        <f>IF(Items[[#This Row],[ID]]="","",COUNTIFS(Log[ID],Items[[#This Row],[ID]],Log[Verb],"carry"))</f>
      </c>
      <c r="S469" s="17">
        <f>IF(Items[[#This Row],[ID]]="","",COUNTIFS(Log[ID],Items[[#This Row],[ID]],Log[Verb],"punt"))</f>
      </c>
      <c r="T469" s="11">
        <f>IF(Items[[#This Row],[State]]&lt;&gt;"DONE","",IFERROR(LOOKUP(2,1/((Log[ID]=Items[[#This Row],[ID]])*(Log[Verb]="done")),Log[Date]),""))</f>
      </c>
      <c r="U469" s="17">
        <f>IF(Items[[#This Row],[ID]]="","",IF(AND(Items[[#This Row],[Sprint]]=CurSprint,OR(Items[[#This Row],[State]]="OPEN",Items[[#This Row],[State]]="WAIT",Items[[#This Row],[State]]="HOLD",Items[[#This Row],[State]]="DONE")),1,0))</f>
      </c>
      <c r="V469" s="17">
        <f>IF(OR(Items[[#This Row],[ID]]="",Items[[#This Row],[Added]]=""),"",AsOf-Items[[#This Row],[Added]])</f>
      </c>
      <c r="W469" s="17">
        <f>IF(Items[[#This Row],[In sprint]]=1,(IF(Items[[#This Row],[Prio]]="",9,N(Items[[#This Row],[Prio]]))*10+(IF(Items[[#This Row],[State]]="DONE",1,0)))*100000+ROW(),"")</f>
      </c>
      <c r="X46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69" s="17">
        <f>IF(AND(Items[[#This Row],[State]]="DONE",N(Items[[#This Row],[Done on]])&gt;AsOf-7),(200000-N(Items[[#This Row],[Done on]]))*100000+ROW(),"")</f>
      </c>
    </row>
    <row r="470">
      <c r="A470" t="s">
        <v>631</v>
      </c>
      <c r="B470" t="s">
        <v>1691</v>
      </c>
      <c r="C470" t="s">
        <v>1107</v>
      </c>
      <c r="D470" t="s">
        <v>1127</v>
      </c>
      <c r="E470" t="s">
        <v>1109</v>
      </c>
      <c r="F470" t="s">
        <v>1222</v>
      </c>
      <c r="G470">
        <v>2</v>
      </c>
      <c r="H470">
        <v>1</v>
      </c>
      <c r="I470" s="11">
        <v>46161</v>
      </c>
      <c r="J470" s="17">
        <f>IF(Items[[#This Row],[ID]]="","",IFERROR(VALUE(LOOKUP(2,1/((Log[ID]=Items[[#This Row],[ID]])*(Log[Verb]="est")),Log[Arg])),N(Items[[#This Row],[Points]])))</f>
      </c>
      <c r="K470" s="17">
        <f>IF(Items[[#This Row],[ID]]="","",IFERROR(LOOKUP(2,1/((Log[ID]=Items[[#This Row],[ID]])*(Log[Verb]="pass")),Log[Arg])&amp;"",Items[[#This Row],[Team]]&amp;""))</f>
      </c>
      <c r="L470" s="17">
        <f>IF(Items[[#This Row],[ID]]="","",IFERROR(LOOKUP(2,1/((Log[ID]=Items[[#This Row],[ID]])*(Log[Into]&lt;&gt;"")),Log[Into]),""))</f>
      </c>
      <c r="M470" s="17">
        <f>IF(Items[[#This Row],[ID]]="","",IF(IFERROR(LOOKUP(2,1/((Log[ID]=Items[[#This Row],[ID]])*(Log[Blk]&lt;&gt;"")),Log[Blk]),0)=1,"Y",""))</f>
      </c>
      <c r="N470" s="17">
        <f>IF(Items[[#This Row],[ID]]="","",SUBSTITUTE(IFERROR(LOOKUP(2,1/((Log[ID]=Items[[#This Row],[ID]])*(Log[State]&lt;&gt;"")),Log[State]),"TODO"),"OPEN",IF(Items[[#This Row],[Blocked]]="Y","WAIT","OPEN")))</f>
      </c>
      <c r="O47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70" s="17">
        <f>IF(Items[[#This Row],[State]]&lt;&gt;"WAIT","",AsOf-Items[[#This Row],[Blocked since]])</f>
      </c>
      <c r="Q470" s="17">
        <f>IF(Items[[#This Row],[State]]&lt;&gt;"WAIT","",IFERROR(LOOKUP(2,1/((Log[ID]=Items[[#This Row],[ID]])*(Log[Verb]="block")),Log[Note])&amp;"",""))</f>
      </c>
      <c r="R470" s="17">
        <f>IF(Items[[#This Row],[ID]]="","",COUNTIFS(Log[ID],Items[[#This Row],[ID]],Log[Verb],"carry"))</f>
      </c>
      <c r="S470" s="17">
        <f>IF(Items[[#This Row],[ID]]="","",COUNTIFS(Log[ID],Items[[#This Row],[ID]],Log[Verb],"punt"))</f>
      </c>
      <c r="T470" s="11">
        <f>IF(Items[[#This Row],[State]]&lt;&gt;"DONE","",IFERROR(LOOKUP(2,1/((Log[ID]=Items[[#This Row],[ID]])*(Log[Verb]="done")),Log[Date]),""))</f>
      </c>
      <c r="U470" s="17">
        <f>IF(Items[[#This Row],[ID]]="","",IF(AND(Items[[#This Row],[Sprint]]=CurSprint,OR(Items[[#This Row],[State]]="OPEN",Items[[#This Row],[State]]="WAIT",Items[[#This Row],[State]]="HOLD",Items[[#This Row],[State]]="DONE")),1,0))</f>
      </c>
      <c r="V470" s="17">
        <f>IF(OR(Items[[#This Row],[ID]]="",Items[[#This Row],[Added]]=""),"",AsOf-Items[[#This Row],[Added]])</f>
      </c>
      <c r="W470" s="17">
        <f>IF(Items[[#This Row],[In sprint]]=1,(IF(Items[[#This Row],[Prio]]="",9,N(Items[[#This Row],[Prio]]))*10+(IF(Items[[#This Row],[State]]="DONE",1,0)))*100000+ROW(),"")</f>
      </c>
      <c r="X47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70" s="17">
        <f>IF(AND(Items[[#This Row],[State]]="DONE",N(Items[[#This Row],[Done on]])&gt;AsOf-7),(200000-N(Items[[#This Row],[Done on]]))*100000+ROW(),"")</f>
      </c>
    </row>
    <row r="471">
      <c r="A471" t="s">
        <v>682</v>
      </c>
      <c r="B471" t="s">
        <v>1692</v>
      </c>
      <c r="C471" t="s">
        <v>1107</v>
      </c>
      <c r="D471" t="s">
        <v>1108</v>
      </c>
      <c r="E471" t="s">
        <v>1109</v>
      </c>
      <c r="F471" t="s">
        <v>1372</v>
      </c>
      <c r="G471">
        <v>8</v>
      </c>
      <c r="H471">
        <v>1</v>
      </c>
      <c r="I471" s="11">
        <v>46161</v>
      </c>
      <c r="J471" s="17">
        <f>IF(Items[[#This Row],[ID]]="","",IFERROR(VALUE(LOOKUP(2,1/((Log[ID]=Items[[#This Row],[ID]])*(Log[Verb]="est")),Log[Arg])),N(Items[[#This Row],[Points]])))</f>
      </c>
      <c r="K471" s="17">
        <f>IF(Items[[#This Row],[ID]]="","",IFERROR(LOOKUP(2,1/((Log[ID]=Items[[#This Row],[ID]])*(Log[Verb]="pass")),Log[Arg])&amp;"",Items[[#This Row],[Team]]&amp;""))</f>
      </c>
      <c r="L471" s="17">
        <f>IF(Items[[#This Row],[ID]]="","",IFERROR(LOOKUP(2,1/((Log[ID]=Items[[#This Row],[ID]])*(Log[Into]&lt;&gt;"")),Log[Into]),""))</f>
      </c>
      <c r="M471" s="17">
        <f>IF(Items[[#This Row],[ID]]="","",IF(IFERROR(LOOKUP(2,1/((Log[ID]=Items[[#This Row],[ID]])*(Log[Blk]&lt;&gt;"")),Log[Blk]),0)=1,"Y",""))</f>
      </c>
      <c r="N471" s="17">
        <f>IF(Items[[#This Row],[ID]]="","",SUBSTITUTE(IFERROR(LOOKUP(2,1/((Log[ID]=Items[[#This Row],[ID]])*(Log[State]&lt;&gt;"")),Log[State]),"TODO"),"OPEN",IF(Items[[#This Row],[Blocked]]="Y","WAIT","OPEN")))</f>
      </c>
      <c r="O47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71" s="17">
        <f>IF(Items[[#This Row],[State]]&lt;&gt;"WAIT","",AsOf-Items[[#This Row],[Blocked since]])</f>
      </c>
      <c r="Q471" s="17">
        <f>IF(Items[[#This Row],[State]]&lt;&gt;"WAIT","",IFERROR(LOOKUP(2,1/((Log[ID]=Items[[#This Row],[ID]])*(Log[Verb]="block")),Log[Note])&amp;"",""))</f>
      </c>
      <c r="R471" s="17">
        <f>IF(Items[[#This Row],[ID]]="","",COUNTIFS(Log[ID],Items[[#This Row],[ID]],Log[Verb],"carry"))</f>
      </c>
      <c r="S471" s="17">
        <f>IF(Items[[#This Row],[ID]]="","",COUNTIFS(Log[ID],Items[[#This Row],[ID]],Log[Verb],"punt"))</f>
      </c>
      <c r="T471" s="11">
        <f>IF(Items[[#This Row],[State]]&lt;&gt;"DONE","",IFERROR(LOOKUP(2,1/((Log[ID]=Items[[#This Row],[ID]])*(Log[Verb]="done")),Log[Date]),""))</f>
      </c>
      <c r="U471" s="17">
        <f>IF(Items[[#This Row],[ID]]="","",IF(AND(Items[[#This Row],[Sprint]]=CurSprint,OR(Items[[#This Row],[State]]="OPEN",Items[[#This Row],[State]]="WAIT",Items[[#This Row],[State]]="HOLD",Items[[#This Row],[State]]="DONE")),1,0))</f>
      </c>
      <c r="V471" s="17">
        <f>IF(OR(Items[[#This Row],[ID]]="",Items[[#This Row],[Added]]=""),"",AsOf-Items[[#This Row],[Added]])</f>
      </c>
      <c r="W471" s="17">
        <f>IF(Items[[#This Row],[In sprint]]=1,(IF(Items[[#This Row],[Prio]]="",9,N(Items[[#This Row],[Prio]]))*10+(IF(Items[[#This Row],[State]]="DONE",1,0)))*100000+ROW(),"")</f>
      </c>
      <c r="X47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71" s="17">
        <f>IF(AND(Items[[#This Row],[State]]="DONE",N(Items[[#This Row],[Done on]])&gt;AsOf-7),(200000-N(Items[[#This Row],[Done on]]))*100000+ROW(),"")</f>
      </c>
    </row>
    <row r="472">
      <c r="A472" t="s">
        <v>632</v>
      </c>
      <c r="B472" t="s">
        <v>1693</v>
      </c>
      <c r="C472" t="s">
        <v>1115</v>
      </c>
      <c r="D472" t="s">
        <v>1116</v>
      </c>
      <c r="E472" t="s">
        <v>1131</v>
      </c>
      <c r="F472" t="s">
        <v>1168</v>
      </c>
      <c r="G472">
        <v>8</v>
      </c>
      <c r="H472">
        <v>2</v>
      </c>
      <c r="I472" s="11">
        <v>46161</v>
      </c>
      <c r="J472" s="17">
        <f>IF(Items[[#This Row],[ID]]="","",IFERROR(VALUE(LOOKUP(2,1/((Log[ID]=Items[[#This Row],[ID]])*(Log[Verb]="est")),Log[Arg])),N(Items[[#This Row],[Points]])))</f>
      </c>
      <c r="K472" s="17">
        <f>IF(Items[[#This Row],[ID]]="","",IFERROR(LOOKUP(2,1/((Log[ID]=Items[[#This Row],[ID]])*(Log[Verb]="pass")),Log[Arg])&amp;"",Items[[#This Row],[Team]]&amp;""))</f>
      </c>
      <c r="L472" s="17">
        <f>IF(Items[[#This Row],[ID]]="","",IFERROR(LOOKUP(2,1/((Log[ID]=Items[[#This Row],[ID]])*(Log[Into]&lt;&gt;"")),Log[Into]),""))</f>
      </c>
      <c r="M472" s="17">
        <f>IF(Items[[#This Row],[ID]]="","",IF(IFERROR(LOOKUP(2,1/((Log[ID]=Items[[#This Row],[ID]])*(Log[Blk]&lt;&gt;"")),Log[Blk]),0)=1,"Y",""))</f>
      </c>
      <c r="N472" s="17">
        <f>IF(Items[[#This Row],[ID]]="","",SUBSTITUTE(IFERROR(LOOKUP(2,1/((Log[ID]=Items[[#This Row],[ID]])*(Log[State]&lt;&gt;"")),Log[State]),"TODO"),"OPEN",IF(Items[[#This Row],[Blocked]]="Y","WAIT","OPEN")))</f>
      </c>
      <c r="O47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72" s="17">
        <f>IF(Items[[#This Row],[State]]&lt;&gt;"WAIT","",AsOf-Items[[#This Row],[Blocked since]])</f>
      </c>
      <c r="Q472" s="17">
        <f>IF(Items[[#This Row],[State]]&lt;&gt;"WAIT","",IFERROR(LOOKUP(2,1/((Log[ID]=Items[[#This Row],[ID]])*(Log[Verb]="block")),Log[Note])&amp;"",""))</f>
      </c>
      <c r="R472" s="17">
        <f>IF(Items[[#This Row],[ID]]="","",COUNTIFS(Log[ID],Items[[#This Row],[ID]],Log[Verb],"carry"))</f>
      </c>
      <c r="S472" s="17">
        <f>IF(Items[[#This Row],[ID]]="","",COUNTIFS(Log[ID],Items[[#This Row],[ID]],Log[Verb],"punt"))</f>
      </c>
      <c r="T472" s="11">
        <f>IF(Items[[#This Row],[State]]&lt;&gt;"DONE","",IFERROR(LOOKUP(2,1/((Log[ID]=Items[[#This Row],[ID]])*(Log[Verb]="done")),Log[Date]),""))</f>
      </c>
      <c r="U472" s="17">
        <f>IF(Items[[#This Row],[ID]]="","",IF(AND(Items[[#This Row],[Sprint]]=CurSprint,OR(Items[[#This Row],[State]]="OPEN",Items[[#This Row],[State]]="WAIT",Items[[#This Row],[State]]="HOLD",Items[[#This Row],[State]]="DONE")),1,0))</f>
      </c>
      <c r="V472" s="17">
        <f>IF(OR(Items[[#This Row],[ID]]="",Items[[#This Row],[Added]]=""),"",AsOf-Items[[#This Row],[Added]])</f>
      </c>
      <c r="W472" s="17">
        <f>IF(Items[[#This Row],[In sprint]]=1,(IF(Items[[#This Row],[Prio]]="",9,N(Items[[#This Row],[Prio]]))*10+(IF(Items[[#This Row],[State]]="DONE",1,0)))*100000+ROW(),"")</f>
      </c>
      <c r="X47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72" s="17">
        <f>IF(AND(Items[[#This Row],[State]]="DONE",N(Items[[#This Row],[Done on]])&gt;AsOf-7),(200000-N(Items[[#This Row],[Done on]]))*100000+ROW(),"")</f>
      </c>
    </row>
    <row r="473">
      <c r="A473" t="s">
        <v>579</v>
      </c>
      <c r="B473" t="s">
        <v>1694</v>
      </c>
      <c r="C473" t="s">
        <v>1107</v>
      </c>
      <c r="D473" t="s">
        <v>1127</v>
      </c>
      <c r="E473" t="s">
        <v>1131</v>
      </c>
      <c r="F473" t="s">
        <v>1577</v>
      </c>
      <c r="G473">
        <v>3</v>
      </c>
      <c r="H473">
        <v>2</v>
      </c>
      <c r="I473" s="11">
        <v>46161</v>
      </c>
      <c r="J473" s="17">
        <f>IF(Items[[#This Row],[ID]]="","",IFERROR(VALUE(LOOKUP(2,1/((Log[ID]=Items[[#This Row],[ID]])*(Log[Verb]="est")),Log[Arg])),N(Items[[#This Row],[Points]])))</f>
      </c>
      <c r="K473" s="17">
        <f>IF(Items[[#This Row],[ID]]="","",IFERROR(LOOKUP(2,1/((Log[ID]=Items[[#This Row],[ID]])*(Log[Verb]="pass")),Log[Arg])&amp;"",Items[[#This Row],[Team]]&amp;""))</f>
      </c>
      <c r="L473" s="17">
        <f>IF(Items[[#This Row],[ID]]="","",IFERROR(LOOKUP(2,1/((Log[ID]=Items[[#This Row],[ID]])*(Log[Into]&lt;&gt;"")),Log[Into]),""))</f>
      </c>
      <c r="M473" s="17">
        <f>IF(Items[[#This Row],[ID]]="","",IF(IFERROR(LOOKUP(2,1/((Log[ID]=Items[[#This Row],[ID]])*(Log[Blk]&lt;&gt;"")),Log[Blk]),0)=1,"Y",""))</f>
      </c>
      <c r="N473" s="17">
        <f>IF(Items[[#This Row],[ID]]="","",SUBSTITUTE(IFERROR(LOOKUP(2,1/((Log[ID]=Items[[#This Row],[ID]])*(Log[State]&lt;&gt;"")),Log[State]),"TODO"),"OPEN",IF(Items[[#This Row],[Blocked]]="Y","WAIT","OPEN")))</f>
      </c>
      <c r="O47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73" s="17">
        <f>IF(Items[[#This Row],[State]]&lt;&gt;"WAIT","",AsOf-Items[[#This Row],[Blocked since]])</f>
      </c>
      <c r="Q473" s="17">
        <f>IF(Items[[#This Row],[State]]&lt;&gt;"WAIT","",IFERROR(LOOKUP(2,1/((Log[ID]=Items[[#This Row],[ID]])*(Log[Verb]="block")),Log[Note])&amp;"",""))</f>
      </c>
      <c r="R473" s="17">
        <f>IF(Items[[#This Row],[ID]]="","",COUNTIFS(Log[ID],Items[[#This Row],[ID]],Log[Verb],"carry"))</f>
      </c>
      <c r="S473" s="17">
        <f>IF(Items[[#This Row],[ID]]="","",COUNTIFS(Log[ID],Items[[#This Row],[ID]],Log[Verb],"punt"))</f>
      </c>
      <c r="T473" s="11">
        <f>IF(Items[[#This Row],[State]]&lt;&gt;"DONE","",IFERROR(LOOKUP(2,1/((Log[ID]=Items[[#This Row],[ID]])*(Log[Verb]="done")),Log[Date]),""))</f>
      </c>
      <c r="U473" s="17">
        <f>IF(Items[[#This Row],[ID]]="","",IF(AND(Items[[#This Row],[Sprint]]=CurSprint,OR(Items[[#This Row],[State]]="OPEN",Items[[#This Row],[State]]="WAIT",Items[[#This Row],[State]]="HOLD",Items[[#This Row],[State]]="DONE")),1,0))</f>
      </c>
      <c r="V473" s="17">
        <f>IF(OR(Items[[#This Row],[ID]]="",Items[[#This Row],[Added]]=""),"",AsOf-Items[[#This Row],[Added]])</f>
      </c>
      <c r="W473" s="17">
        <f>IF(Items[[#This Row],[In sprint]]=1,(IF(Items[[#This Row],[Prio]]="",9,N(Items[[#This Row],[Prio]]))*10+(IF(Items[[#This Row],[State]]="DONE",1,0)))*100000+ROW(),"")</f>
      </c>
      <c r="X47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73" s="17">
        <f>IF(AND(Items[[#This Row],[State]]="DONE",N(Items[[#This Row],[Done on]])&gt;AsOf-7),(200000-N(Items[[#This Row],[Done on]]))*100000+ROW(),"")</f>
      </c>
    </row>
    <row r="474">
      <c r="A474" t="s">
        <v>580</v>
      </c>
      <c r="B474" t="s">
        <v>1695</v>
      </c>
      <c r="C474" t="s">
        <v>1115</v>
      </c>
      <c r="D474" t="s">
        <v>1116</v>
      </c>
      <c r="E474" t="s">
        <v>1131</v>
      </c>
      <c r="F474" t="s">
        <v>1384</v>
      </c>
      <c r="G474">
        <v>3</v>
      </c>
      <c r="H474">
        <v>3</v>
      </c>
      <c r="I474" s="11">
        <v>46161</v>
      </c>
      <c r="J474" s="17">
        <f>IF(Items[[#This Row],[ID]]="","",IFERROR(VALUE(LOOKUP(2,1/((Log[ID]=Items[[#This Row],[ID]])*(Log[Verb]="est")),Log[Arg])),N(Items[[#This Row],[Points]])))</f>
      </c>
      <c r="K474" s="17">
        <f>IF(Items[[#This Row],[ID]]="","",IFERROR(LOOKUP(2,1/((Log[ID]=Items[[#This Row],[ID]])*(Log[Verb]="pass")),Log[Arg])&amp;"",Items[[#This Row],[Team]]&amp;""))</f>
      </c>
      <c r="L474" s="17">
        <f>IF(Items[[#This Row],[ID]]="","",IFERROR(LOOKUP(2,1/((Log[ID]=Items[[#This Row],[ID]])*(Log[Into]&lt;&gt;"")),Log[Into]),""))</f>
      </c>
      <c r="M474" s="17">
        <f>IF(Items[[#This Row],[ID]]="","",IF(IFERROR(LOOKUP(2,1/((Log[ID]=Items[[#This Row],[ID]])*(Log[Blk]&lt;&gt;"")),Log[Blk]),0)=1,"Y",""))</f>
      </c>
      <c r="N474" s="17">
        <f>IF(Items[[#This Row],[ID]]="","",SUBSTITUTE(IFERROR(LOOKUP(2,1/((Log[ID]=Items[[#This Row],[ID]])*(Log[State]&lt;&gt;"")),Log[State]),"TODO"),"OPEN",IF(Items[[#This Row],[Blocked]]="Y","WAIT","OPEN")))</f>
      </c>
      <c r="O47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74" s="17">
        <f>IF(Items[[#This Row],[State]]&lt;&gt;"WAIT","",AsOf-Items[[#This Row],[Blocked since]])</f>
      </c>
      <c r="Q474" s="17">
        <f>IF(Items[[#This Row],[State]]&lt;&gt;"WAIT","",IFERROR(LOOKUP(2,1/((Log[ID]=Items[[#This Row],[ID]])*(Log[Verb]="block")),Log[Note])&amp;"",""))</f>
      </c>
      <c r="R474" s="17">
        <f>IF(Items[[#This Row],[ID]]="","",COUNTIFS(Log[ID],Items[[#This Row],[ID]],Log[Verb],"carry"))</f>
      </c>
      <c r="S474" s="17">
        <f>IF(Items[[#This Row],[ID]]="","",COUNTIFS(Log[ID],Items[[#This Row],[ID]],Log[Verb],"punt"))</f>
      </c>
      <c r="T474" s="11">
        <f>IF(Items[[#This Row],[State]]&lt;&gt;"DONE","",IFERROR(LOOKUP(2,1/((Log[ID]=Items[[#This Row],[ID]])*(Log[Verb]="done")),Log[Date]),""))</f>
      </c>
      <c r="U474" s="17">
        <f>IF(Items[[#This Row],[ID]]="","",IF(AND(Items[[#This Row],[Sprint]]=CurSprint,OR(Items[[#This Row],[State]]="OPEN",Items[[#This Row],[State]]="WAIT",Items[[#This Row],[State]]="HOLD",Items[[#This Row],[State]]="DONE")),1,0))</f>
      </c>
      <c r="V474" s="17">
        <f>IF(OR(Items[[#This Row],[ID]]="",Items[[#This Row],[Added]]=""),"",AsOf-Items[[#This Row],[Added]])</f>
      </c>
      <c r="W474" s="17">
        <f>IF(Items[[#This Row],[In sprint]]=1,(IF(Items[[#This Row],[Prio]]="",9,N(Items[[#This Row],[Prio]]))*10+(IF(Items[[#This Row],[State]]="DONE",1,0)))*100000+ROW(),"")</f>
      </c>
      <c r="X47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74" s="17">
        <f>IF(AND(Items[[#This Row],[State]]="DONE",N(Items[[#This Row],[Done on]])&gt;AsOf-7),(200000-N(Items[[#This Row],[Done on]]))*100000+ROW(),"")</f>
      </c>
    </row>
    <row r="475">
      <c r="A475" t="s">
        <v>633</v>
      </c>
      <c r="B475" t="s">
        <v>1696</v>
      </c>
      <c r="C475" t="s">
        <v>1107</v>
      </c>
      <c r="D475" t="s">
        <v>1127</v>
      </c>
      <c r="E475" t="s">
        <v>1131</v>
      </c>
      <c r="F475" t="s">
        <v>1132</v>
      </c>
      <c r="G475">
        <v>8</v>
      </c>
      <c r="H475">
        <v>3</v>
      </c>
      <c r="I475" s="11">
        <v>46161</v>
      </c>
      <c r="J475" s="17">
        <f>IF(Items[[#This Row],[ID]]="","",IFERROR(VALUE(LOOKUP(2,1/((Log[ID]=Items[[#This Row],[ID]])*(Log[Verb]="est")),Log[Arg])),N(Items[[#This Row],[Points]])))</f>
      </c>
      <c r="K475" s="17">
        <f>IF(Items[[#This Row],[ID]]="","",IFERROR(LOOKUP(2,1/((Log[ID]=Items[[#This Row],[ID]])*(Log[Verb]="pass")),Log[Arg])&amp;"",Items[[#This Row],[Team]]&amp;""))</f>
      </c>
      <c r="L475" s="17">
        <f>IF(Items[[#This Row],[ID]]="","",IFERROR(LOOKUP(2,1/((Log[ID]=Items[[#This Row],[ID]])*(Log[Into]&lt;&gt;"")),Log[Into]),""))</f>
      </c>
      <c r="M475" s="17">
        <f>IF(Items[[#This Row],[ID]]="","",IF(IFERROR(LOOKUP(2,1/((Log[ID]=Items[[#This Row],[ID]])*(Log[Blk]&lt;&gt;"")),Log[Blk]),0)=1,"Y",""))</f>
      </c>
      <c r="N475" s="17">
        <f>IF(Items[[#This Row],[ID]]="","",SUBSTITUTE(IFERROR(LOOKUP(2,1/((Log[ID]=Items[[#This Row],[ID]])*(Log[State]&lt;&gt;"")),Log[State]),"TODO"),"OPEN",IF(Items[[#This Row],[Blocked]]="Y","WAIT","OPEN")))</f>
      </c>
      <c r="O47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75" s="17">
        <f>IF(Items[[#This Row],[State]]&lt;&gt;"WAIT","",AsOf-Items[[#This Row],[Blocked since]])</f>
      </c>
      <c r="Q475" s="17">
        <f>IF(Items[[#This Row],[State]]&lt;&gt;"WAIT","",IFERROR(LOOKUP(2,1/((Log[ID]=Items[[#This Row],[ID]])*(Log[Verb]="block")),Log[Note])&amp;"",""))</f>
      </c>
      <c r="R475" s="17">
        <f>IF(Items[[#This Row],[ID]]="","",COUNTIFS(Log[ID],Items[[#This Row],[ID]],Log[Verb],"carry"))</f>
      </c>
      <c r="S475" s="17">
        <f>IF(Items[[#This Row],[ID]]="","",COUNTIFS(Log[ID],Items[[#This Row],[ID]],Log[Verb],"punt"))</f>
      </c>
      <c r="T475" s="11">
        <f>IF(Items[[#This Row],[State]]&lt;&gt;"DONE","",IFERROR(LOOKUP(2,1/((Log[ID]=Items[[#This Row],[ID]])*(Log[Verb]="done")),Log[Date]),""))</f>
      </c>
      <c r="U475" s="17">
        <f>IF(Items[[#This Row],[ID]]="","",IF(AND(Items[[#This Row],[Sprint]]=CurSprint,OR(Items[[#This Row],[State]]="OPEN",Items[[#This Row],[State]]="WAIT",Items[[#This Row],[State]]="HOLD",Items[[#This Row],[State]]="DONE")),1,0))</f>
      </c>
      <c r="V475" s="17">
        <f>IF(OR(Items[[#This Row],[ID]]="",Items[[#This Row],[Added]]=""),"",AsOf-Items[[#This Row],[Added]])</f>
      </c>
      <c r="W475" s="17">
        <f>IF(Items[[#This Row],[In sprint]]=1,(IF(Items[[#This Row],[Prio]]="",9,N(Items[[#This Row],[Prio]]))*10+(IF(Items[[#This Row],[State]]="DONE",1,0)))*100000+ROW(),"")</f>
      </c>
      <c r="X47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75" s="17">
        <f>IF(AND(Items[[#This Row],[State]]="DONE",N(Items[[#This Row],[Done on]])&gt;AsOf-7),(200000-N(Items[[#This Row],[Done on]]))*100000+ROW(),"")</f>
      </c>
    </row>
    <row r="476">
      <c r="A476" t="s">
        <v>634</v>
      </c>
      <c r="B476" t="s">
        <v>1697</v>
      </c>
      <c r="C476" t="s">
        <v>1107</v>
      </c>
      <c r="D476" t="s">
        <v>1123</v>
      </c>
      <c r="E476" t="s">
        <v>1131</v>
      </c>
      <c r="F476" t="s">
        <v>1233</v>
      </c>
      <c r="G476">
        <v>5</v>
      </c>
      <c r="H476">
        <v>3</v>
      </c>
      <c r="I476" s="11">
        <v>46161</v>
      </c>
      <c r="J476" s="17">
        <f>IF(Items[[#This Row],[ID]]="","",IFERROR(VALUE(LOOKUP(2,1/((Log[ID]=Items[[#This Row],[ID]])*(Log[Verb]="est")),Log[Arg])),N(Items[[#This Row],[Points]])))</f>
      </c>
      <c r="K476" s="17">
        <f>IF(Items[[#This Row],[ID]]="","",IFERROR(LOOKUP(2,1/((Log[ID]=Items[[#This Row],[ID]])*(Log[Verb]="pass")),Log[Arg])&amp;"",Items[[#This Row],[Team]]&amp;""))</f>
      </c>
      <c r="L476" s="17">
        <f>IF(Items[[#This Row],[ID]]="","",IFERROR(LOOKUP(2,1/((Log[ID]=Items[[#This Row],[ID]])*(Log[Into]&lt;&gt;"")),Log[Into]),""))</f>
      </c>
      <c r="M476" s="17">
        <f>IF(Items[[#This Row],[ID]]="","",IF(IFERROR(LOOKUP(2,1/((Log[ID]=Items[[#This Row],[ID]])*(Log[Blk]&lt;&gt;"")),Log[Blk]),0)=1,"Y",""))</f>
      </c>
      <c r="N476" s="17">
        <f>IF(Items[[#This Row],[ID]]="","",SUBSTITUTE(IFERROR(LOOKUP(2,1/((Log[ID]=Items[[#This Row],[ID]])*(Log[State]&lt;&gt;"")),Log[State]),"TODO"),"OPEN",IF(Items[[#This Row],[Blocked]]="Y","WAIT","OPEN")))</f>
      </c>
      <c r="O47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76" s="17">
        <f>IF(Items[[#This Row],[State]]&lt;&gt;"WAIT","",AsOf-Items[[#This Row],[Blocked since]])</f>
      </c>
      <c r="Q476" s="17">
        <f>IF(Items[[#This Row],[State]]&lt;&gt;"WAIT","",IFERROR(LOOKUP(2,1/((Log[ID]=Items[[#This Row],[ID]])*(Log[Verb]="block")),Log[Note])&amp;"",""))</f>
      </c>
      <c r="R476" s="17">
        <f>IF(Items[[#This Row],[ID]]="","",COUNTIFS(Log[ID],Items[[#This Row],[ID]],Log[Verb],"carry"))</f>
      </c>
      <c r="S476" s="17">
        <f>IF(Items[[#This Row],[ID]]="","",COUNTIFS(Log[ID],Items[[#This Row],[ID]],Log[Verb],"punt"))</f>
      </c>
      <c r="T476" s="11">
        <f>IF(Items[[#This Row],[State]]&lt;&gt;"DONE","",IFERROR(LOOKUP(2,1/((Log[ID]=Items[[#This Row],[ID]])*(Log[Verb]="done")),Log[Date]),""))</f>
      </c>
      <c r="U476" s="17">
        <f>IF(Items[[#This Row],[ID]]="","",IF(AND(Items[[#This Row],[Sprint]]=CurSprint,OR(Items[[#This Row],[State]]="OPEN",Items[[#This Row],[State]]="WAIT",Items[[#This Row],[State]]="HOLD",Items[[#This Row],[State]]="DONE")),1,0))</f>
      </c>
      <c r="V476" s="17">
        <f>IF(OR(Items[[#This Row],[ID]]="",Items[[#This Row],[Added]]=""),"",AsOf-Items[[#This Row],[Added]])</f>
      </c>
      <c r="W476" s="17">
        <f>IF(Items[[#This Row],[In sprint]]=1,(IF(Items[[#This Row],[Prio]]="",9,N(Items[[#This Row],[Prio]]))*10+(IF(Items[[#This Row],[State]]="DONE",1,0)))*100000+ROW(),"")</f>
      </c>
      <c r="X47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76" s="17">
        <f>IF(AND(Items[[#This Row],[State]]="DONE",N(Items[[#This Row],[Done on]])&gt;AsOf-7),(200000-N(Items[[#This Row],[Done on]]))*100000+ROW(),"")</f>
      </c>
    </row>
    <row r="477">
      <c r="A477" t="s">
        <v>689</v>
      </c>
      <c r="B477" t="s">
        <v>1698</v>
      </c>
      <c r="C477" t="s">
        <v>1115</v>
      </c>
      <c r="D477" t="s">
        <v>1116</v>
      </c>
      <c r="E477" t="s">
        <v>1134</v>
      </c>
      <c r="F477" t="s">
        <v>1528</v>
      </c>
      <c r="G477">
        <v>5</v>
      </c>
      <c r="H477">
        <v>2</v>
      </c>
      <c r="I477" s="11">
        <v>46161</v>
      </c>
      <c r="J477" s="17">
        <f>IF(Items[[#This Row],[ID]]="","",IFERROR(VALUE(LOOKUP(2,1/((Log[ID]=Items[[#This Row],[ID]])*(Log[Verb]="est")),Log[Arg])),N(Items[[#This Row],[Points]])))</f>
      </c>
      <c r="K477" s="17">
        <f>IF(Items[[#This Row],[ID]]="","",IFERROR(LOOKUP(2,1/((Log[ID]=Items[[#This Row],[ID]])*(Log[Verb]="pass")),Log[Arg])&amp;"",Items[[#This Row],[Team]]&amp;""))</f>
      </c>
      <c r="L477" s="17">
        <f>IF(Items[[#This Row],[ID]]="","",IFERROR(LOOKUP(2,1/((Log[ID]=Items[[#This Row],[ID]])*(Log[Into]&lt;&gt;"")),Log[Into]),""))</f>
      </c>
      <c r="M477" s="17">
        <f>IF(Items[[#This Row],[ID]]="","",IF(IFERROR(LOOKUP(2,1/((Log[ID]=Items[[#This Row],[ID]])*(Log[Blk]&lt;&gt;"")),Log[Blk]),0)=1,"Y",""))</f>
      </c>
      <c r="N477" s="17">
        <f>IF(Items[[#This Row],[ID]]="","",SUBSTITUTE(IFERROR(LOOKUP(2,1/((Log[ID]=Items[[#This Row],[ID]])*(Log[State]&lt;&gt;"")),Log[State]),"TODO"),"OPEN",IF(Items[[#This Row],[Blocked]]="Y","WAIT","OPEN")))</f>
      </c>
      <c r="O47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77" s="17">
        <f>IF(Items[[#This Row],[State]]&lt;&gt;"WAIT","",AsOf-Items[[#This Row],[Blocked since]])</f>
      </c>
      <c r="Q477" s="17">
        <f>IF(Items[[#This Row],[State]]&lt;&gt;"WAIT","",IFERROR(LOOKUP(2,1/((Log[ID]=Items[[#This Row],[ID]])*(Log[Verb]="block")),Log[Note])&amp;"",""))</f>
      </c>
      <c r="R477" s="17">
        <f>IF(Items[[#This Row],[ID]]="","",COUNTIFS(Log[ID],Items[[#This Row],[ID]],Log[Verb],"carry"))</f>
      </c>
      <c r="S477" s="17">
        <f>IF(Items[[#This Row],[ID]]="","",COUNTIFS(Log[ID],Items[[#This Row],[ID]],Log[Verb],"punt"))</f>
      </c>
      <c r="T477" s="11">
        <f>IF(Items[[#This Row],[State]]&lt;&gt;"DONE","",IFERROR(LOOKUP(2,1/((Log[ID]=Items[[#This Row],[ID]])*(Log[Verb]="done")),Log[Date]),""))</f>
      </c>
      <c r="U477" s="17">
        <f>IF(Items[[#This Row],[ID]]="","",IF(AND(Items[[#This Row],[Sprint]]=CurSprint,OR(Items[[#This Row],[State]]="OPEN",Items[[#This Row],[State]]="WAIT",Items[[#This Row],[State]]="HOLD",Items[[#This Row],[State]]="DONE")),1,0))</f>
      </c>
      <c r="V477" s="17">
        <f>IF(OR(Items[[#This Row],[ID]]="",Items[[#This Row],[Added]]=""),"",AsOf-Items[[#This Row],[Added]])</f>
      </c>
      <c r="W477" s="17">
        <f>IF(Items[[#This Row],[In sprint]]=1,(IF(Items[[#This Row],[Prio]]="",9,N(Items[[#This Row],[Prio]]))*10+(IF(Items[[#This Row],[State]]="DONE",1,0)))*100000+ROW(),"")</f>
      </c>
      <c r="X47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77" s="17">
        <f>IF(AND(Items[[#This Row],[State]]="DONE",N(Items[[#This Row],[Done on]])&gt;AsOf-7),(200000-N(Items[[#This Row],[Done on]]))*100000+ROW(),"")</f>
      </c>
    </row>
    <row r="478">
      <c r="A478" t="s">
        <v>690</v>
      </c>
      <c r="B478" t="s">
        <v>1699</v>
      </c>
      <c r="C478" t="s">
        <v>1107</v>
      </c>
      <c r="D478" t="s">
        <v>1127</v>
      </c>
      <c r="E478" t="s">
        <v>1134</v>
      </c>
      <c r="F478" t="s">
        <v>1137</v>
      </c>
      <c r="G478">
        <v>8</v>
      </c>
      <c r="H478">
        <v>2</v>
      </c>
      <c r="I478" s="11">
        <v>46161</v>
      </c>
      <c r="J478" s="17">
        <f>IF(Items[[#This Row],[ID]]="","",IFERROR(VALUE(LOOKUP(2,1/((Log[ID]=Items[[#This Row],[ID]])*(Log[Verb]="est")),Log[Arg])),N(Items[[#This Row],[Points]])))</f>
      </c>
      <c r="K478" s="17">
        <f>IF(Items[[#This Row],[ID]]="","",IFERROR(LOOKUP(2,1/((Log[ID]=Items[[#This Row],[ID]])*(Log[Verb]="pass")),Log[Arg])&amp;"",Items[[#This Row],[Team]]&amp;""))</f>
      </c>
      <c r="L478" s="17">
        <f>IF(Items[[#This Row],[ID]]="","",IFERROR(LOOKUP(2,1/((Log[ID]=Items[[#This Row],[ID]])*(Log[Into]&lt;&gt;"")),Log[Into]),""))</f>
      </c>
      <c r="M478" s="17">
        <f>IF(Items[[#This Row],[ID]]="","",IF(IFERROR(LOOKUP(2,1/((Log[ID]=Items[[#This Row],[ID]])*(Log[Blk]&lt;&gt;"")),Log[Blk]),0)=1,"Y",""))</f>
      </c>
      <c r="N478" s="17">
        <f>IF(Items[[#This Row],[ID]]="","",SUBSTITUTE(IFERROR(LOOKUP(2,1/((Log[ID]=Items[[#This Row],[ID]])*(Log[State]&lt;&gt;"")),Log[State]),"TODO"),"OPEN",IF(Items[[#This Row],[Blocked]]="Y","WAIT","OPEN")))</f>
      </c>
      <c r="O47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78" s="17">
        <f>IF(Items[[#This Row],[State]]&lt;&gt;"WAIT","",AsOf-Items[[#This Row],[Blocked since]])</f>
      </c>
      <c r="Q478" s="17">
        <f>IF(Items[[#This Row],[State]]&lt;&gt;"WAIT","",IFERROR(LOOKUP(2,1/((Log[ID]=Items[[#This Row],[ID]])*(Log[Verb]="block")),Log[Note])&amp;"",""))</f>
      </c>
      <c r="R478" s="17">
        <f>IF(Items[[#This Row],[ID]]="","",COUNTIFS(Log[ID],Items[[#This Row],[ID]],Log[Verb],"carry"))</f>
      </c>
      <c r="S478" s="17">
        <f>IF(Items[[#This Row],[ID]]="","",COUNTIFS(Log[ID],Items[[#This Row],[ID]],Log[Verb],"punt"))</f>
      </c>
      <c r="T478" s="11">
        <f>IF(Items[[#This Row],[State]]&lt;&gt;"DONE","",IFERROR(LOOKUP(2,1/((Log[ID]=Items[[#This Row],[ID]])*(Log[Verb]="done")),Log[Date]),""))</f>
      </c>
      <c r="U478" s="17">
        <f>IF(Items[[#This Row],[ID]]="","",IF(AND(Items[[#This Row],[Sprint]]=CurSprint,OR(Items[[#This Row],[State]]="OPEN",Items[[#This Row],[State]]="WAIT",Items[[#This Row],[State]]="HOLD",Items[[#This Row],[State]]="DONE")),1,0))</f>
      </c>
      <c r="V478" s="17">
        <f>IF(OR(Items[[#This Row],[ID]]="",Items[[#This Row],[Added]]=""),"",AsOf-Items[[#This Row],[Added]])</f>
      </c>
      <c r="W478" s="17">
        <f>IF(Items[[#This Row],[In sprint]]=1,(IF(Items[[#This Row],[Prio]]="",9,N(Items[[#This Row],[Prio]]))*10+(IF(Items[[#This Row],[State]]="DONE",1,0)))*100000+ROW(),"")</f>
      </c>
      <c r="X47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78" s="17">
        <f>IF(AND(Items[[#This Row],[State]]="DONE",N(Items[[#This Row],[Done on]])&gt;AsOf-7),(200000-N(Items[[#This Row],[Done on]]))*100000+ROW(),"")</f>
      </c>
    </row>
    <row r="479">
      <c r="A479" t="s">
        <v>643</v>
      </c>
      <c r="B479" t="s">
        <v>1700</v>
      </c>
      <c r="C479" t="s">
        <v>1115</v>
      </c>
      <c r="D479" t="s">
        <v>1116</v>
      </c>
      <c r="E479" t="s">
        <v>1134</v>
      </c>
      <c r="F479" t="s">
        <v>1240</v>
      </c>
      <c r="G479">
        <v>2</v>
      </c>
      <c r="H479">
        <v>2</v>
      </c>
      <c r="I479" s="11">
        <v>46161</v>
      </c>
      <c r="J479" s="17">
        <f>IF(Items[[#This Row],[ID]]="","",IFERROR(VALUE(LOOKUP(2,1/((Log[ID]=Items[[#This Row],[ID]])*(Log[Verb]="est")),Log[Arg])),N(Items[[#This Row],[Points]])))</f>
      </c>
      <c r="K479" s="17">
        <f>IF(Items[[#This Row],[ID]]="","",IFERROR(LOOKUP(2,1/((Log[ID]=Items[[#This Row],[ID]])*(Log[Verb]="pass")),Log[Arg])&amp;"",Items[[#This Row],[Team]]&amp;""))</f>
      </c>
      <c r="L479" s="17">
        <f>IF(Items[[#This Row],[ID]]="","",IFERROR(LOOKUP(2,1/((Log[ID]=Items[[#This Row],[ID]])*(Log[Into]&lt;&gt;"")),Log[Into]),""))</f>
      </c>
      <c r="M479" s="17">
        <f>IF(Items[[#This Row],[ID]]="","",IF(IFERROR(LOOKUP(2,1/((Log[ID]=Items[[#This Row],[ID]])*(Log[Blk]&lt;&gt;"")),Log[Blk]),0)=1,"Y",""))</f>
      </c>
      <c r="N479" s="17">
        <f>IF(Items[[#This Row],[ID]]="","",SUBSTITUTE(IFERROR(LOOKUP(2,1/((Log[ID]=Items[[#This Row],[ID]])*(Log[State]&lt;&gt;"")),Log[State]),"TODO"),"OPEN",IF(Items[[#This Row],[Blocked]]="Y","WAIT","OPEN")))</f>
      </c>
      <c r="O47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79" s="17">
        <f>IF(Items[[#This Row],[State]]&lt;&gt;"WAIT","",AsOf-Items[[#This Row],[Blocked since]])</f>
      </c>
      <c r="Q479" s="17">
        <f>IF(Items[[#This Row],[State]]&lt;&gt;"WAIT","",IFERROR(LOOKUP(2,1/((Log[ID]=Items[[#This Row],[ID]])*(Log[Verb]="block")),Log[Note])&amp;"",""))</f>
      </c>
      <c r="R479" s="17">
        <f>IF(Items[[#This Row],[ID]]="","",COUNTIFS(Log[ID],Items[[#This Row],[ID]],Log[Verb],"carry"))</f>
      </c>
      <c r="S479" s="17">
        <f>IF(Items[[#This Row],[ID]]="","",COUNTIFS(Log[ID],Items[[#This Row],[ID]],Log[Verb],"punt"))</f>
      </c>
      <c r="T479" s="11">
        <f>IF(Items[[#This Row],[State]]&lt;&gt;"DONE","",IFERROR(LOOKUP(2,1/((Log[ID]=Items[[#This Row],[ID]])*(Log[Verb]="done")),Log[Date]),""))</f>
      </c>
      <c r="U479" s="17">
        <f>IF(Items[[#This Row],[ID]]="","",IF(AND(Items[[#This Row],[Sprint]]=CurSprint,OR(Items[[#This Row],[State]]="OPEN",Items[[#This Row],[State]]="WAIT",Items[[#This Row],[State]]="HOLD",Items[[#This Row],[State]]="DONE")),1,0))</f>
      </c>
      <c r="V479" s="17">
        <f>IF(OR(Items[[#This Row],[ID]]="",Items[[#This Row],[Added]]=""),"",AsOf-Items[[#This Row],[Added]])</f>
      </c>
      <c r="W479" s="17">
        <f>IF(Items[[#This Row],[In sprint]]=1,(IF(Items[[#This Row],[Prio]]="",9,N(Items[[#This Row],[Prio]]))*10+(IF(Items[[#This Row],[State]]="DONE",1,0)))*100000+ROW(),"")</f>
      </c>
      <c r="X47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79" s="17">
        <f>IF(AND(Items[[#This Row],[State]]="DONE",N(Items[[#This Row],[Done on]])&gt;AsOf-7),(200000-N(Items[[#This Row],[Done on]]))*100000+ROW(),"")</f>
      </c>
    </row>
    <row r="480">
      <c r="A480" t="s">
        <v>691</v>
      </c>
      <c r="B480" t="s">
        <v>1701</v>
      </c>
      <c r="C480" t="s">
        <v>1107</v>
      </c>
      <c r="D480" t="s">
        <v>1123</v>
      </c>
      <c r="E480" t="s">
        <v>1134</v>
      </c>
      <c r="F480" t="s">
        <v>1237</v>
      </c>
      <c r="G480">
        <v>8</v>
      </c>
      <c r="H480">
        <v>3</v>
      </c>
      <c r="I480" s="11">
        <v>46161</v>
      </c>
      <c r="J480" s="17">
        <f>IF(Items[[#This Row],[ID]]="","",IFERROR(VALUE(LOOKUP(2,1/((Log[ID]=Items[[#This Row],[ID]])*(Log[Verb]="est")),Log[Arg])),N(Items[[#This Row],[Points]])))</f>
      </c>
      <c r="K480" s="17">
        <f>IF(Items[[#This Row],[ID]]="","",IFERROR(LOOKUP(2,1/((Log[ID]=Items[[#This Row],[ID]])*(Log[Verb]="pass")),Log[Arg])&amp;"",Items[[#This Row],[Team]]&amp;""))</f>
      </c>
      <c r="L480" s="17">
        <f>IF(Items[[#This Row],[ID]]="","",IFERROR(LOOKUP(2,1/((Log[ID]=Items[[#This Row],[ID]])*(Log[Into]&lt;&gt;"")),Log[Into]),""))</f>
      </c>
      <c r="M480" s="17">
        <f>IF(Items[[#This Row],[ID]]="","",IF(IFERROR(LOOKUP(2,1/((Log[ID]=Items[[#This Row],[ID]])*(Log[Blk]&lt;&gt;"")),Log[Blk]),0)=1,"Y",""))</f>
      </c>
      <c r="N480" s="17">
        <f>IF(Items[[#This Row],[ID]]="","",SUBSTITUTE(IFERROR(LOOKUP(2,1/((Log[ID]=Items[[#This Row],[ID]])*(Log[State]&lt;&gt;"")),Log[State]),"TODO"),"OPEN",IF(Items[[#This Row],[Blocked]]="Y","WAIT","OPEN")))</f>
      </c>
      <c r="O48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80" s="17">
        <f>IF(Items[[#This Row],[State]]&lt;&gt;"WAIT","",AsOf-Items[[#This Row],[Blocked since]])</f>
      </c>
      <c r="Q480" s="17">
        <f>IF(Items[[#This Row],[State]]&lt;&gt;"WAIT","",IFERROR(LOOKUP(2,1/((Log[ID]=Items[[#This Row],[ID]])*(Log[Verb]="block")),Log[Note])&amp;"",""))</f>
      </c>
      <c r="R480" s="17">
        <f>IF(Items[[#This Row],[ID]]="","",COUNTIFS(Log[ID],Items[[#This Row],[ID]],Log[Verb],"carry"))</f>
      </c>
      <c r="S480" s="17">
        <f>IF(Items[[#This Row],[ID]]="","",COUNTIFS(Log[ID],Items[[#This Row],[ID]],Log[Verb],"punt"))</f>
      </c>
      <c r="T480" s="11">
        <f>IF(Items[[#This Row],[State]]&lt;&gt;"DONE","",IFERROR(LOOKUP(2,1/((Log[ID]=Items[[#This Row],[ID]])*(Log[Verb]="done")),Log[Date]),""))</f>
      </c>
      <c r="U480" s="17">
        <f>IF(Items[[#This Row],[ID]]="","",IF(AND(Items[[#This Row],[Sprint]]=CurSprint,OR(Items[[#This Row],[State]]="OPEN",Items[[#This Row],[State]]="WAIT",Items[[#This Row],[State]]="HOLD",Items[[#This Row],[State]]="DONE")),1,0))</f>
      </c>
      <c r="V480" s="17">
        <f>IF(OR(Items[[#This Row],[ID]]="",Items[[#This Row],[Added]]=""),"",AsOf-Items[[#This Row],[Added]])</f>
      </c>
      <c r="W480" s="17">
        <f>IF(Items[[#This Row],[In sprint]]=1,(IF(Items[[#This Row],[Prio]]="",9,N(Items[[#This Row],[Prio]]))*10+(IF(Items[[#This Row],[State]]="DONE",1,0)))*100000+ROW(),"")</f>
      </c>
      <c r="X48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80" s="17">
        <f>IF(AND(Items[[#This Row],[State]]="DONE",N(Items[[#This Row],[Done on]])&gt;AsOf-7),(200000-N(Items[[#This Row],[Done on]]))*100000+ROW(),"")</f>
      </c>
    </row>
    <row r="481">
      <c r="A481" t="s">
        <v>646</v>
      </c>
      <c r="B481" t="s">
        <v>1702</v>
      </c>
      <c r="C481" t="s">
        <v>1107</v>
      </c>
      <c r="D481" t="s">
        <v>1108</v>
      </c>
      <c r="E481" t="s">
        <v>1139</v>
      </c>
      <c r="F481" t="s">
        <v>1398</v>
      </c>
      <c r="G481">
        <v>3</v>
      </c>
      <c r="H481">
        <v>3</v>
      </c>
      <c r="I481" s="11">
        <v>46161</v>
      </c>
      <c r="J481" s="17">
        <f>IF(Items[[#This Row],[ID]]="","",IFERROR(VALUE(LOOKUP(2,1/((Log[ID]=Items[[#This Row],[ID]])*(Log[Verb]="est")),Log[Arg])),N(Items[[#This Row],[Points]])))</f>
      </c>
      <c r="K481" s="17">
        <f>IF(Items[[#This Row],[ID]]="","",IFERROR(LOOKUP(2,1/((Log[ID]=Items[[#This Row],[ID]])*(Log[Verb]="pass")),Log[Arg])&amp;"",Items[[#This Row],[Team]]&amp;""))</f>
      </c>
      <c r="L481" s="17">
        <f>IF(Items[[#This Row],[ID]]="","",IFERROR(LOOKUP(2,1/((Log[ID]=Items[[#This Row],[ID]])*(Log[Into]&lt;&gt;"")),Log[Into]),""))</f>
      </c>
      <c r="M481" s="17">
        <f>IF(Items[[#This Row],[ID]]="","",IF(IFERROR(LOOKUP(2,1/((Log[ID]=Items[[#This Row],[ID]])*(Log[Blk]&lt;&gt;"")),Log[Blk]),0)=1,"Y",""))</f>
      </c>
      <c r="N481" s="17">
        <f>IF(Items[[#This Row],[ID]]="","",SUBSTITUTE(IFERROR(LOOKUP(2,1/((Log[ID]=Items[[#This Row],[ID]])*(Log[State]&lt;&gt;"")),Log[State]),"TODO"),"OPEN",IF(Items[[#This Row],[Blocked]]="Y","WAIT","OPEN")))</f>
      </c>
      <c r="O48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81" s="17">
        <f>IF(Items[[#This Row],[State]]&lt;&gt;"WAIT","",AsOf-Items[[#This Row],[Blocked since]])</f>
      </c>
      <c r="Q481" s="17">
        <f>IF(Items[[#This Row],[State]]&lt;&gt;"WAIT","",IFERROR(LOOKUP(2,1/((Log[ID]=Items[[#This Row],[ID]])*(Log[Verb]="block")),Log[Note])&amp;"",""))</f>
      </c>
      <c r="R481" s="17">
        <f>IF(Items[[#This Row],[ID]]="","",COUNTIFS(Log[ID],Items[[#This Row],[ID]],Log[Verb],"carry"))</f>
      </c>
      <c r="S481" s="17">
        <f>IF(Items[[#This Row],[ID]]="","",COUNTIFS(Log[ID],Items[[#This Row],[ID]],Log[Verb],"punt"))</f>
      </c>
      <c r="T481" s="11">
        <f>IF(Items[[#This Row],[State]]&lt;&gt;"DONE","",IFERROR(LOOKUP(2,1/((Log[ID]=Items[[#This Row],[ID]])*(Log[Verb]="done")),Log[Date]),""))</f>
      </c>
      <c r="U481" s="17">
        <f>IF(Items[[#This Row],[ID]]="","",IF(AND(Items[[#This Row],[Sprint]]=CurSprint,OR(Items[[#This Row],[State]]="OPEN",Items[[#This Row],[State]]="WAIT",Items[[#This Row],[State]]="HOLD",Items[[#This Row],[State]]="DONE")),1,0))</f>
      </c>
      <c r="V481" s="17">
        <f>IF(OR(Items[[#This Row],[ID]]="",Items[[#This Row],[Added]]=""),"",AsOf-Items[[#This Row],[Added]])</f>
      </c>
      <c r="W481" s="17">
        <f>IF(Items[[#This Row],[In sprint]]=1,(IF(Items[[#This Row],[Prio]]="",9,N(Items[[#This Row],[Prio]]))*10+(IF(Items[[#This Row],[State]]="DONE",1,0)))*100000+ROW(),"")</f>
      </c>
      <c r="X48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81" s="17">
        <f>IF(AND(Items[[#This Row],[State]]="DONE",N(Items[[#This Row],[Done on]])&gt;AsOf-7),(200000-N(Items[[#This Row],[Done on]]))*100000+ROW(),"")</f>
      </c>
    </row>
    <row r="482">
      <c r="A482" t="s">
        <v>647</v>
      </c>
      <c r="B482" t="s">
        <v>1703</v>
      </c>
      <c r="C482" t="s">
        <v>1115</v>
      </c>
      <c r="D482" t="s">
        <v>1119</v>
      </c>
      <c r="E482" t="s">
        <v>1139</v>
      </c>
      <c r="F482" t="s">
        <v>1251</v>
      </c>
      <c r="G482">
        <v>5</v>
      </c>
      <c r="H482">
        <v>3</v>
      </c>
      <c r="I482" s="11">
        <v>46161</v>
      </c>
      <c r="J482" s="17">
        <f>IF(Items[[#This Row],[ID]]="","",IFERROR(VALUE(LOOKUP(2,1/((Log[ID]=Items[[#This Row],[ID]])*(Log[Verb]="est")),Log[Arg])),N(Items[[#This Row],[Points]])))</f>
      </c>
      <c r="K482" s="17">
        <f>IF(Items[[#This Row],[ID]]="","",IFERROR(LOOKUP(2,1/((Log[ID]=Items[[#This Row],[ID]])*(Log[Verb]="pass")),Log[Arg])&amp;"",Items[[#This Row],[Team]]&amp;""))</f>
      </c>
      <c r="L482" s="17">
        <f>IF(Items[[#This Row],[ID]]="","",IFERROR(LOOKUP(2,1/((Log[ID]=Items[[#This Row],[ID]])*(Log[Into]&lt;&gt;"")),Log[Into]),""))</f>
      </c>
      <c r="M482" s="17">
        <f>IF(Items[[#This Row],[ID]]="","",IF(IFERROR(LOOKUP(2,1/((Log[ID]=Items[[#This Row],[ID]])*(Log[Blk]&lt;&gt;"")),Log[Blk]),0)=1,"Y",""))</f>
      </c>
      <c r="N482" s="17">
        <f>IF(Items[[#This Row],[ID]]="","",SUBSTITUTE(IFERROR(LOOKUP(2,1/((Log[ID]=Items[[#This Row],[ID]])*(Log[State]&lt;&gt;"")),Log[State]),"TODO"),"OPEN",IF(Items[[#This Row],[Blocked]]="Y","WAIT","OPEN")))</f>
      </c>
      <c r="O48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82" s="17">
        <f>IF(Items[[#This Row],[State]]&lt;&gt;"WAIT","",AsOf-Items[[#This Row],[Blocked since]])</f>
      </c>
      <c r="Q482" s="17">
        <f>IF(Items[[#This Row],[State]]&lt;&gt;"WAIT","",IFERROR(LOOKUP(2,1/((Log[ID]=Items[[#This Row],[ID]])*(Log[Verb]="block")),Log[Note])&amp;"",""))</f>
      </c>
      <c r="R482" s="17">
        <f>IF(Items[[#This Row],[ID]]="","",COUNTIFS(Log[ID],Items[[#This Row],[ID]],Log[Verb],"carry"))</f>
      </c>
      <c r="S482" s="17">
        <f>IF(Items[[#This Row],[ID]]="","",COUNTIFS(Log[ID],Items[[#This Row],[ID]],Log[Verb],"punt"))</f>
      </c>
      <c r="T482" s="11">
        <f>IF(Items[[#This Row],[State]]&lt;&gt;"DONE","",IFERROR(LOOKUP(2,1/((Log[ID]=Items[[#This Row],[ID]])*(Log[Verb]="done")),Log[Date]),""))</f>
      </c>
      <c r="U482" s="17">
        <f>IF(Items[[#This Row],[ID]]="","",IF(AND(Items[[#This Row],[Sprint]]=CurSprint,OR(Items[[#This Row],[State]]="OPEN",Items[[#This Row],[State]]="WAIT",Items[[#This Row],[State]]="HOLD",Items[[#This Row],[State]]="DONE")),1,0))</f>
      </c>
      <c r="V482" s="17">
        <f>IF(OR(Items[[#This Row],[ID]]="",Items[[#This Row],[Added]]=""),"",AsOf-Items[[#This Row],[Added]])</f>
      </c>
      <c r="W482" s="17">
        <f>IF(Items[[#This Row],[In sprint]]=1,(IF(Items[[#This Row],[Prio]]="",9,N(Items[[#This Row],[Prio]]))*10+(IF(Items[[#This Row],[State]]="DONE",1,0)))*100000+ROW(),"")</f>
      </c>
      <c r="X48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82" s="17">
        <f>IF(AND(Items[[#This Row],[State]]="DONE",N(Items[[#This Row],[Done on]])&gt;AsOf-7),(200000-N(Items[[#This Row],[Done on]]))*100000+ROW(),"")</f>
      </c>
    </row>
    <row r="483">
      <c r="A483" t="s">
        <v>693</v>
      </c>
      <c r="B483" t="s">
        <v>1704</v>
      </c>
      <c r="C483" t="s">
        <v>1107</v>
      </c>
      <c r="D483" t="s">
        <v>1127</v>
      </c>
      <c r="E483" t="s">
        <v>1139</v>
      </c>
      <c r="F483" t="s">
        <v>1398</v>
      </c>
      <c r="G483">
        <v>3</v>
      </c>
      <c r="H483">
        <v>1</v>
      </c>
      <c r="I483" s="11">
        <v>46161</v>
      </c>
      <c r="J483" s="17">
        <f>IF(Items[[#This Row],[ID]]="","",IFERROR(VALUE(LOOKUP(2,1/((Log[ID]=Items[[#This Row],[ID]])*(Log[Verb]="est")),Log[Arg])),N(Items[[#This Row],[Points]])))</f>
      </c>
      <c r="K483" s="17">
        <f>IF(Items[[#This Row],[ID]]="","",IFERROR(LOOKUP(2,1/((Log[ID]=Items[[#This Row],[ID]])*(Log[Verb]="pass")),Log[Arg])&amp;"",Items[[#This Row],[Team]]&amp;""))</f>
      </c>
      <c r="L483" s="17">
        <f>IF(Items[[#This Row],[ID]]="","",IFERROR(LOOKUP(2,1/((Log[ID]=Items[[#This Row],[ID]])*(Log[Into]&lt;&gt;"")),Log[Into]),""))</f>
      </c>
      <c r="M483" s="17">
        <f>IF(Items[[#This Row],[ID]]="","",IF(IFERROR(LOOKUP(2,1/((Log[ID]=Items[[#This Row],[ID]])*(Log[Blk]&lt;&gt;"")),Log[Blk]),0)=1,"Y",""))</f>
      </c>
      <c r="N483" s="17">
        <f>IF(Items[[#This Row],[ID]]="","",SUBSTITUTE(IFERROR(LOOKUP(2,1/((Log[ID]=Items[[#This Row],[ID]])*(Log[State]&lt;&gt;"")),Log[State]),"TODO"),"OPEN",IF(Items[[#This Row],[Blocked]]="Y","WAIT","OPEN")))</f>
      </c>
      <c r="O48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83" s="17">
        <f>IF(Items[[#This Row],[State]]&lt;&gt;"WAIT","",AsOf-Items[[#This Row],[Blocked since]])</f>
      </c>
      <c r="Q483" s="17">
        <f>IF(Items[[#This Row],[State]]&lt;&gt;"WAIT","",IFERROR(LOOKUP(2,1/((Log[ID]=Items[[#This Row],[ID]])*(Log[Verb]="block")),Log[Note])&amp;"",""))</f>
      </c>
      <c r="R483" s="17">
        <f>IF(Items[[#This Row],[ID]]="","",COUNTIFS(Log[ID],Items[[#This Row],[ID]],Log[Verb],"carry"))</f>
      </c>
      <c r="S483" s="17">
        <f>IF(Items[[#This Row],[ID]]="","",COUNTIFS(Log[ID],Items[[#This Row],[ID]],Log[Verb],"punt"))</f>
      </c>
      <c r="T483" s="11">
        <f>IF(Items[[#This Row],[State]]&lt;&gt;"DONE","",IFERROR(LOOKUP(2,1/((Log[ID]=Items[[#This Row],[ID]])*(Log[Verb]="done")),Log[Date]),""))</f>
      </c>
      <c r="U483" s="17">
        <f>IF(Items[[#This Row],[ID]]="","",IF(AND(Items[[#This Row],[Sprint]]=CurSprint,OR(Items[[#This Row],[State]]="OPEN",Items[[#This Row],[State]]="WAIT",Items[[#This Row],[State]]="HOLD",Items[[#This Row],[State]]="DONE")),1,0))</f>
      </c>
      <c r="V483" s="17">
        <f>IF(OR(Items[[#This Row],[ID]]="",Items[[#This Row],[Added]]=""),"",AsOf-Items[[#This Row],[Added]])</f>
      </c>
      <c r="W483" s="17">
        <f>IF(Items[[#This Row],[In sprint]]=1,(IF(Items[[#This Row],[Prio]]="",9,N(Items[[#This Row],[Prio]]))*10+(IF(Items[[#This Row],[State]]="DONE",1,0)))*100000+ROW(),"")</f>
      </c>
      <c r="X48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83" s="17">
        <f>IF(AND(Items[[#This Row],[State]]="DONE",N(Items[[#This Row],[Done on]])&gt;AsOf-7),(200000-N(Items[[#This Row],[Done on]]))*100000+ROW(),"")</f>
      </c>
    </row>
    <row r="484">
      <c r="A484" t="s">
        <v>694</v>
      </c>
      <c r="B484" t="s">
        <v>1705</v>
      </c>
      <c r="C484" t="s">
        <v>1115</v>
      </c>
      <c r="D484" t="s">
        <v>1116</v>
      </c>
      <c r="E484" t="s">
        <v>1139</v>
      </c>
      <c r="F484" t="s">
        <v>1395</v>
      </c>
      <c r="G484">
        <v>5</v>
      </c>
      <c r="H484">
        <v>1</v>
      </c>
      <c r="I484" s="11">
        <v>46161</v>
      </c>
      <c r="J484" s="17">
        <f>IF(Items[[#This Row],[ID]]="","",IFERROR(VALUE(LOOKUP(2,1/((Log[ID]=Items[[#This Row],[ID]])*(Log[Verb]="est")),Log[Arg])),N(Items[[#This Row],[Points]])))</f>
      </c>
      <c r="K484" s="17">
        <f>IF(Items[[#This Row],[ID]]="","",IFERROR(LOOKUP(2,1/((Log[ID]=Items[[#This Row],[ID]])*(Log[Verb]="pass")),Log[Arg])&amp;"",Items[[#This Row],[Team]]&amp;""))</f>
      </c>
      <c r="L484" s="17">
        <f>IF(Items[[#This Row],[ID]]="","",IFERROR(LOOKUP(2,1/((Log[ID]=Items[[#This Row],[ID]])*(Log[Into]&lt;&gt;"")),Log[Into]),""))</f>
      </c>
      <c r="M484" s="17">
        <f>IF(Items[[#This Row],[ID]]="","",IF(IFERROR(LOOKUP(2,1/((Log[ID]=Items[[#This Row],[ID]])*(Log[Blk]&lt;&gt;"")),Log[Blk]),0)=1,"Y",""))</f>
      </c>
      <c r="N484" s="17">
        <f>IF(Items[[#This Row],[ID]]="","",SUBSTITUTE(IFERROR(LOOKUP(2,1/((Log[ID]=Items[[#This Row],[ID]])*(Log[State]&lt;&gt;"")),Log[State]),"TODO"),"OPEN",IF(Items[[#This Row],[Blocked]]="Y","WAIT","OPEN")))</f>
      </c>
      <c r="O48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84" s="17">
        <f>IF(Items[[#This Row],[State]]&lt;&gt;"WAIT","",AsOf-Items[[#This Row],[Blocked since]])</f>
      </c>
      <c r="Q484" s="17">
        <f>IF(Items[[#This Row],[State]]&lt;&gt;"WAIT","",IFERROR(LOOKUP(2,1/((Log[ID]=Items[[#This Row],[ID]])*(Log[Verb]="block")),Log[Note])&amp;"",""))</f>
      </c>
      <c r="R484" s="17">
        <f>IF(Items[[#This Row],[ID]]="","",COUNTIFS(Log[ID],Items[[#This Row],[ID]],Log[Verb],"carry"))</f>
      </c>
      <c r="S484" s="17">
        <f>IF(Items[[#This Row],[ID]]="","",COUNTIFS(Log[ID],Items[[#This Row],[ID]],Log[Verb],"punt"))</f>
      </c>
      <c r="T484" s="11">
        <f>IF(Items[[#This Row],[State]]&lt;&gt;"DONE","",IFERROR(LOOKUP(2,1/((Log[ID]=Items[[#This Row],[ID]])*(Log[Verb]="done")),Log[Date]),""))</f>
      </c>
      <c r="U484" s="17">
        <f>IF(Items[[#This Row],[ID]]="","",IF(AND(Items[[#This Row],[Sprint]]=CurSprint,OR(Items[[#This Row],[State]]="OPEN",Items[[#This Row],[State]]="WAIT",Items[[#This Row],[State]]="HOLD",Items[[#This Row],[State]]="DONE")),1,0))</f>
      </c>
      <c r="V484" s="17">
        <f>IF(OR(Items[[#This Row],[ID]]="",Items[[#This Row],[Added]]=""),"",AsOf-Items[[#This Row],[Added]])</f>
      </c>
      <c r="W484" s="17">
        <f>IF(Items[[#This Row],[In sprint]]=1,(IF(Items[[#This Row],[Prio]]="",9,N(Items[[#This Row],[Prio]]))*10+(IF(Items[[#This Row],[State]]="DONE",1,0)))*100000+ROW(),"")</f>
      </c>
      <c r="X48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84" s="17">
        <f>IF(AND(Items[[#This Row],[State]]="DONE",N(Items[[#This Row],[Done on]])&gt;AsOf-7),(200000-N(Items[[#This Row],[Done on]]))*100000+ROW(),"")</f>
      </c>
    </row>
    <row r="485">
      <c r="A485" t="s">
        <v>649</v>
      </c>
      <c r="B485" t="s">
        <v>1706</v>
      </c>
      <c r="C485" t="s">
        <v>1115</v>
      </c>
      <c r="D485" t="s">
        <v>1116</v>
      </c>
      <c r="E485" t="s">
        <v>1177</v>
      </c>
      <c r="F485" t="s">
        <v>1407</v>
      </c>
      <c r="G485">
        <v>5</v>
      </c>
      <c r="H485">
        <v>1</v>
      </c>
      <c r="I485" s="11">
        <v>46161</v>
      </c>
      <c r="J485" s="17">
        <f>IF(Items[[#This Row],[ID]]="","",IFERROR(VALUE(LOOKUP(2,1/((Log[ID]=Items[[#This Row],[ID]])*(Log[Verb]="est")),Log[Arg])),N(Items[[#This Row],[Points]])))</f>
      </c>
      <c r="K485" s="17">
        <f>IF(Items[[#This Row],[ID]]="","",IFERROR(LOOKUP(2,1/((Log[ID]=Items[[#This Row],[ID]])*(Log[Verb]="pass")),Log[Arg])&amp;"",Items[[#This Row],[Team]]&amp;""))</f>
      </c>
      <c r="L485" s="17">
        <f>IF(Items[[#This Row],[ID]]="","",IFERROR(LOOKUP(2,1/((Log[ID]=Items[[#This Row],[ID]])*(Log[Into]&lt;&gt;"")),Log[Into]),""))</f>
      </c>
      <c r="M485" s="17">
        <f>IF(Items[[#This Row],[ID]]="","",IF(IFERROR(LOOKUP(2,1/((Log[ID]=Items[[#This Row],[ID]])*(Log[Blk]&lt;&gt;"")),Log[Blk]),0)=1,"Y",""))</f>
      </c>
      <c r="N485" s="17">
        <f>IF(Items[[#This Row],[ID]]="","",SUBSTITUTE(IFERROR(LOOKUP(2,1/((Log[ID]=Items[[#This Row],[ID]])*(Log[State]&lt;&gt;"")),Log[State]),"TODO"),"OPEN",IF(Items[[#This Row],[Blocked]]="Y","WAIT","OPEN")))</f>
      </c>
      <c r="O48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85" s="17">
        <f>IF(Items[[#This Row],[State]]&lt;&gt;"WAIT","",AsOf-Items[[#This Row],[Blocked since]])</f>
      </c>
      <c r="Q485" s="17">
        <f>IF(Items[[#This Row],[State]]&lt;&gt;"WAIT","",IFERROR(LOOKUP(2,1/((Log[ID]=Items[[#This Row],[ID]])*(Log[Verb]="block")),Log[Note])&amp;"",""))</f>
      </c>
      <c r="R485" s="17">
        <f>IF(Items[[#This Row],[ID]]="","",COUNTIFS(Log[ID],Items[[#This Row],[ID]],Log[Verb],"carry"))</f>
      </c>
      <c r="S485" s="17">
        <f>IF(Items[[#This Row],[ID]]="","",COUNTIFS(Log[ID],Items[[#This Row],[ID]],Log[Verb],"punt"))</f>
      </c>
      <c r="T485" s="11">
        <f>IF(Items[[#This Row],[State]]&lt;&gt;"DONE","",IFERROR(LOOKUP(2,1/((Log[ID]=Items[[#This Row],[ID]])*(Log[Verb]="done")),Log[Date]),""))</f>
      </c>
      <c r="U485" s="17">
        <f>IF(Items[[#This Row],[ID]]="","",IF(AND(Items[[#This Row],[Sprint]]=CurSprint,OR(Items[[#This Row],[State]]="OPEN",Items[[#This Row],[State]]="WAIT",Items[[#This Row],[State]]="HOLD",Items[[#This Row],[State]]="DONE")),1,0))</f>
      </c>
      <c r="V485" s="17">
        <f>IF(OR(Items[[#This Row],[ID]]="",Items[[#This Row],[Added]]=""),"",AsOf-Items[[#This Row],[Added]])</f>
      </c>
      <c r="W485" s="17">
        <f>IF(Items[[#This Row],[In sprint]]=1,(IF(Items[[#This Row],[Prio]]="",9,N(Items[[#This Row],[Prio]]))*10+(IF(Items[[#This Row],[State]]="DONE",1,0)))*100000+ROW(),"")</f>
      </c>
      <c r="X48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85" s="17">
        <f>IF(AND(Items[[#This Row],[State]]="DONE",N(Items[[#This Row],[Done on]])&gt;AsOf-7),(200000-N(Items[[#This Row],[Done on]]))*100000+ROW(),"")</f>
      </c>
    </row>
    <row r="486">
      <c r="A486" t="s">
        <v>650</v>
      </c>
      <c r="B486" t="s">
        <v>1707</v>
      </c>
      <c r="C486" t="s">
        <v>1107</v>
      </c>
      <c r="D486" t="s">
        <v>1123</v>
      </c>
      <c r="E486" t="s">
        <v>1177</v>
      </c>
      <c r="F486" t="s">
        <v>1178</v>
      </c>
      <c r="G486">
        <v>5</v>
      </c>
      <c r="H486">
        <v>2</v>
      </c>
      <c r="I486" s="11">
        <v>46161</v>
      </c>
      <c r="J486" s="17">
        <f>IF(Items[[#This Row],[ID]]="","",IFERROR(VALUE(LOOKUP(2,1/((Log[ID]=Items[[#This Row],[ID]])*(Log[Verb]="est")),Log[Arg])),N(Items[[#This Row],[Points]])))</f>
      </c>
      <c r="K486" s="17">
        <f>IF(Items[[#This Row],[ID]]="","",IFERROR(LOOKUP(2,1/((Log[ID]=Items[[#This Row],[ID]])*(Log[Verb]="pass")),Log[Arg])&amp;"",Items[[#This Row],[Team]]&amp;""))</f>
      </c>
      <c r="L486" s="17">
        <f>IF(Items[[#This Row],[ID]]="","",IFERROR(LOOKUP(2,1/((Log[ID]=Items[[#This Row],[ID]])*(Log[Into]&lt;&gt;"")),Log[Into]),""))</f>
      </c>
      <c r="M486" s="17">
        <f>IF(Items[[#This Row],[ID]]="","",IF(IFERROR(LOOKUP(2,1/((Log[ID]=Items[[#This Row],[ID]])*(Log[Blk]&lt;&gt;"")),Log[Blk]),0)=1,"Y",""))</f>
      </c>
      <c r="N486" s="17">
        <f>IF(Items[[#This Row],[ID]]="","",SUBSTITUTE(IFERROR(LOOKUP(2,1/((Log[ID]=Items[[#This Row],[ID]])*(Log[State]&lt;&gt;"")),Log[State]),"TODO"),"OPEN",IF(Items[[#This Row],[Blocked]]="Y","WAIT","OPEN")))</f>
      </c>
      <c r="O48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86" s="17">
        <f>IF(Items[[#This Row],[State]]&lt;&gt;"WAIT","",AsOf-Items[[#This Row],[Blocked since]])</f>
      </c>
      <c r="Q486" s="17">
        <f>IF(Items[[#This Row],[State]]&lt;&gt;"WAIT","",IFERROR(LOOKUP(2,1/((Log[ID]=Items[[#This Row],[ID]])*(Log[Verb]="block")),Log[Note])&amp;"",""))</f>
      </c>
      <c r="R486" s="17">
        <f>IF(Items[[#This Row],[ID]]="","",COUNTIFS(Log[ID],Items[[#This Row],[ID]],Log[Verb],"carry"))</f>
      </c>
      <c r="S486" s="17">
        <f>IF(Items[[#This Row],[ID]]="","",COUNTIFS(Log[ID],Items[[#This Row],[ID]],Log[Verb],"punt"))</f>
      </c>
      <c r="T486" s="11">
        <f>IF(Items[[#This Row],[State]]&lt;&gt;"DONE","",IFERROR(LOOKUP(2,1/((Log[ID]=Items[[#This Row],[ID]])*(Log[Verb]="done")),Log[Date]),""))</f>
      </c>
      <c r="U486" s="17">
        <f>IF(Items[[#This Row],[ID]]="","",IF(AND(Items[[#This Row],[Sprint]]=CurSprint,OR(Items[[#This Row],[State]]="OPEN",Items[[#This Row],[State]]="WAIT",Items[[#This Row],[State]]="HOLD",Items[[#This Row],[State]]="DONE")),1,0))</f>
      </c>
      <c r="V486" s="17">
        <f>IF(OR(Items[[#This Row],[ID]]="",Items[[#This Row],[Added]]=""),"",AsOf-Items[[#This Row],[Added]])</f>
      </c>
      <c r="W486" s="17">
        <f>IF(Items[[#This Row],[In sprint]]=1,(IF(Items[[#This Row],[Prio]]="",9,N(Items[[#This Row],[Prio]]))*10+(IF(Items[[#This Row],[State]]="DONE",1,0)))*100000+ROW(),"")</f>
      </c>
      <c r="X48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86" s="17">
        <f>IF(AND(Items[[#This Row],[State]]="DONE",N(Items[[#This Row],[Done on]])&gt;AsOf-7),(200000-N(Items[[#This Row],[Done on]]))*100000+ROW(),"")</f>
      </c>
    </row>
    <row r="487">
      <c r="A487" t="s">
        <v>651</v>
      </c>
      <c r="B487" t="s">
        <v>1708</v>
      </c>
      <c r="C487" t="s">
        <v>1115</v>
      </c>
      <c r="D487" t="s">
        <v>1116</v>
      </c>
      <c r="E487" t="s">
        <v>1177</v>
      </c>
      <c r="F487" t="s">
        <v>1178</v>
      </c>
      <c r="G487">
        <v>5</v>
      </c>
      <c r="H487">
        <v>1</v>
      </c>
      <c r="I487" s="11">
        <v>46161</v>
      </c>
      <c r="J487" s="17">
        <f>IF(Items[[#This Row],[ID]]="","",IFERROR(VALUE(LOOKUP(2,1/((Log[ID]=Items[[#This Row],[ID]])*(Log[Verb]="est")),Log[Arg])),N(Items[[#This Row],[Points]])))</f>
      </c>
      <c r="K487" s="17">
        <f>IF(Items[[#This Row],[ID]]="","",IFERROR(LOOKUP(2,1/((Log[ID]=Items[[#This Row],[ID]])*(Log[Verb]="pass")),Log[Arg])&amp;"",Items[[#This Row],[Team]]&amp;""))</f>
      </c>
      <c r="L487" s="17">
        <f>IF(Items[[#This Row],[ID]]="","",IFERROR(LOOKUP(2,1/((Log[ID]=Items[[#This Row],[ID]])*(Log[Into]&lt;&gt;"")),Log[Into]),""))</f>
      </c>
      <c r="M487" s="17">
        <f>IF(Items[[#This Row],[ID]]="","",IF(IFERROR(LOOKUP(2,1/((Log[ID]=Items[[#This Row],[ID]])*(Log[Blk]&lt;&gt;"")),Log[Blk]),0)=1,"Y",""))</f>
      </c>
      <c r="N487" s="17">
        <f>IF(Items[[#This Row],[ID]]="","",SUBSTITUTE(IFERROR(LOOKUP(2,1/((Log[ID]=Items[[#This Row],[ID]])*(Log[State]&lt;&gt;"")),Log[State]),"TODO"),"OPEN",IF(Items[[#This Row],[Blocked]]="Y","WAIT","OPEN")))</f>
      </c>
      <c r="O48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87" s="17">
        <f>IF(Items[[#This Row],[State]]&lt;&gt;"WAIT","",AsOf-Items[[#This Row],[Blocked since]])</f>
      </c>
      <c r="Q487" s="17">
        <f>IF(Items[[#This Row],[State]]&lt;&gt;"WAIT","",IFERROR(LOOKUP(2,1/((Log[ID]=Items[[#This Row],[ID]])*(Log[Verb]="block")),Log[Note])&amp;"",""))</f>
      </c>
      <c r="R487" s="17">
        <f>IF(Items[[#This Row],[ID]]="","",COUNTIFS(Log[ID],Items[[#This Row],[ID]],Log[Verb],"carry"))</f>
      </c>
      <c r="S487" s="17">
        <f>IF(Items[[#This Row],[ID]]="","",COUNTIFS(Log[ID],Items[[#This Row],[ID]],Log[Verb],"punt"))</f>
      </c>
      <c r="T487" s="11">
        <f>IF(Items[[#This Row],[State]]&lt;&gt;"DONE","",IFERROR(LOOKUP(2,1/((Log[ID]=Items[[#This Row],[ID]])*(Log[Verb]="done")),Log[Date]),""))</f>
      </c>
      <c r="U487" s="17">
        <f>IF(Items[[#This Row],[ID]]="","",IF(AND(Items[[#This Row],[Sprint]]=CurSprint,OR(Items[[#This Row],[State]]="OPEN",Items[[#This Row],[State]]="WAIT",Items[[#This Row],[State]]="HOLD",Items[[#This Row],[State]]="DONE")),1,0))</f>
      </c>
      <c r="V487" s="17">
        <f>IF(OR(Items[[#This Row],[ID]]="",Items[[#This Row],[Added]]=""),"",AsOf-Items[[#This Row],[Added]])</f>
      </c>
      <c r="W487" s="17">
        <f>IF(Items[[#This Row],[In sprint]]=1,(IF(Items[[#This Row],[Prio]]="",9,N(Items[[#This Row],[Prio]]))*10+(IF(Items[[#This Row],[State]]="DONE",1,0)))*100000+ROW(),"")</f>
      </c>
      <c r="X48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87" s="17">
        <f>IF(AND(Items[[#This Row],[State]]="DONE",N(Items[[#This Row],[Done on]])&gt;AsOf-7),(200000-N(Items[[#This Row],[Done on]]))*100000+ROW(),"")</f>
      </c>
    </row>
    <row r="488">
      <c r="A488" t="s">
        <v>592</v>
      </c>
      <c r="B488" t="s">
        <v>1709</v>
      </c>
      <c r="C488" t="s">
        <v>1115</v>
      </c>
      <c r="D488" t="s">
        <v>1119</v>
      </c>
      <c r="E488" t="s">
        <v>1177</v>
      </c>
      <c r="F488" t="s">
        <v>1259</v>
      </c>
      <c r="G488">
        <v>3</v>
      </c>
      <c r="H488">
        <v>1</v>
      </c>
      <c r="I488" s="11">
        <v>46161</v>
      </c>
      <c r="J488" s="17">
        <f>IF(Items[[#This Row],[ID]]="","",IFERROR(VALUE(LOOKUP(2,1/((Log[ID]=Items[[#This Row],[ID]])*(Log[Verb]="est")),Log[Arg])),N(Items[[#This Row],[Points]])))</f>
      </c>
      <c r="K488" s="17">
        <f>IF(Items[[#This Row],[ID]]="","",IFERROR(LOOKUP(2,1/((Log[ID]=Items[[#This Row],[ID]])*(Log[Verb]="pass")),Log[Arg])&amp;"",Items[[#This Row],[Team]]&amp;""))</f>
      </c>
      <c r="L488" s="17">
        <f>IF(Items[[#This Row],[ID]]="","",IFERROR(LOOKUP(2,1/((Log[ID]=Items[[#This Row],[ID]])*(Log[Into]&lt;&gt;"")),Log[Into]),""))</f>
      </c>
      <c r="M488" s="17">
        <f>IF(Items[[#This Row],[ID]]="","",IF(IFERROR(LOOKUP(2,1/((Log[ID]=Items[[#This Row],[ID]])*(Log[Blk]&lt;&gt;"")),Log[Blk]),0)=1,"Y",""))</f>
      </c>
      <c r="N488" s="17">
        <f>IF(Items[[#This Row],[ID]]="","",SUBSTITUTE(IFERROR(LOOKUP(2,1/((Log[ID]=Items[[#This Row],[ID]])*(Log[State]&lt;&gt;"")),Log[State]),"TODO"),"OPEN",IF(Items[[#This Row],[Blocked]]="Y","WAIT","OPEN")))</f>
      </c>
      <c r="O48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88" s="17">
        <f>IF(Items[[#This Row],[State]]&lt;&gt;"WAIT","",AsOf-Items[[#This Row],[Blocked since]])</f>
      </c>
      <c r="Q488" s="17">
        <f>IF(Items[[#This Row],[State]]&lt;&gt;"WAIT","",IFERROR(LOOKUP(2,1/((Log[ID]=Items[[#This Row],[ID]])*(Log[Verb]="block")),Log[Note])&amp;"",""))</f>
      </c>
      <c r="R488" s="17">
        <f>IF(Items[[#This Row],[ID]]="","",COUNTIFS(Log[ID],Items[[#This Row],[ID]],Log[Verb],"carry"))</f>
      </c>
      <c r="S488" s="17">
        <f>IF(Items[[#This Row],[ID]]="","",COUNTIFS(Log[ID],Items[[#This Row],[ID]],Log[Verb],"punt"))</f>
      </c>
      <c r="T488" s="11">
        <f>IF(Items[[#This Row],[State]]&lt;&gt;"DONE","",IFERROR(LOOKUP(2,1/((Log[ID]=Items[[#This Row],[ID]])*(Log[Verb]="done")),Log[Date]),""))</f>
      </c>
      <c r="U488" s="17">
        <f>IF(Items[[#This Row],[ID]]="","",IF(AND(Items[[#This Row],[Sprint]]=CurSprint,OR(Items[[#This Row],[State]]="OPEN",Items[[#This Row],[State]]="WAIT",Items[[#This Row],[State]]="HOLD",Items[[#This Row],[State]]="DONE")),1,0))</f>
      </c>
      <c r="V488" s="17">
        <f>IF(OR(Items[[#This Row],[ID]]="",Items[[#This Row],[Added]]=""),"",AsOf-Items[[#This Row],[Added]])</f>
      </c>
      <c r="W488" s="17">
        <f>IF(Items[[#This Row],[In sprint]]=1,(IF(Items[[#This Row],[Prio]]="",9,N(Items[[#This Row],[Prio]]))*10+(IF(Items[[#This Row],[State]]="DONE",1,0)))*100000+ROW(),"")</f>
      </c>
      <c r="X48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88" s="17">
        <f>IF(AND(Items[[#This Row],[State]]="DONE",N(Items[[#This Row],[Done on]])&gt;AsOf-7),(200000-N(Items[[#This Row],[Done on]]))*100000+ROW(),"")</f>
      </c>
    </row>
    <row r="489">
      <c r="A489" t="s">
        <v>652</v>
      </c>
      <c r="B489" t="s">
        <v>1710</v>
      </c>
      <c r="C489" t="s">
        <v>1107</v>
      </c>
      <c r="D489" t="s">
        <v>1123</v>
      </c>
      <c r="E489" t="s">
        <v>1177</v>
      </c>
      <c r="F489" t="s">
        <v>1263</v>
      </c>
      <c r="G489">
        <v>2</v>
      </c>
      <c r="H489">
        <v>1</v>
      </c>
      <c r="I489" s="11">
        <v>46161</v>
      </c>
      <c r="J489" s="17">
        <f>IF(Items[[#This Row],[ID]]="","",IFERROR(VALUE(LOOKUP(2,1/((Log[ID]=Items[[#This Row],[ID]])*(Log[Verb]="est")),Log[Arg])),N(Items[[#This Row],[Points]])))</f>
      </c>
      <c r="K489" s="17">
        <f>IF(Items[[#This Row],[ID]]="","",IFERROR(LOOKUP(2,1/((Log[ID]=Items[[#This Row],[ID]])*(Log[Verb]="pass")),Log[Arg])&amp;"",Items[[#This Row],[Team]]&amp;""))</f>
      </c>
      <c r="L489" s="17">
        <f>IF(Items[[#This Row],[ID]]="","",IFERROR(LOOKUP(2,1/((Log[ID]=Items[[#This Row],[ID]])*(Log[Into]&lt;&gt;"")),Log[Into]),""))</f>
      </c>
      <c r="M489" s="17">
        <f>IF(Items[[#This Row],[ID]]="","",IF(IFERROR(LOOKUP(2,1/((Log[ID]=Items[[#This Row],[ID]])*(Log[Blk]&lt;&gt;"")),Log[Blk]),0)=1,"Y",""))</f>
      </c>
      <c r="N489" s="17">
        <f>IF(Items[[#This Row],[ID]]="","",SUBSTITUTE(IFERROR(LOOKUP(2,1/((Log[ID]=Items[[#This Row],[ID]])*(Log[State]&lt;&gt;"")),Log[State]),"TODO"),"OPEN",IF(Items[[#This Row],[Blocked]]="Y","WAIT","OPEN")))</f>
      </c>
      <c r="O48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89" s="17">
        <f>IF(Items[[#This Row],[State]]&lt;&gt;"WAIT","",AsOf-Items[[#This Row],[Blocked since]])</f>
      </c>
      <c r="Q489" s="17">
        <f>IF(Items[[#This Row],[State]]&lt;&gt;"WAIT","",IFERROR(LOOKUP(2,1/((Log[ID]=Items[[#This Row],[ID]])*(Log[Verb]="block")),Log[Note])&amp;"",""))</f>
      </c>
      <c r="R489" s="17">
        <f>IF(Items[[#This Row],[ID]]="","",COUNTIFS(Log[ID],Items[[#This Row],[ID]],Log[Verb],"carry"))</f>
      </c>
      <c r="S489" s="17">
        <f>IF(Items[[#This Row],[ID]]="","",COUNTIFS(Log[ID],Items[[#This Row],[ID]],Log[Verb],"punt"))</f>
      </c>
      <c r="T489" s="11">
        <f>IF(Items[[#This Row],[State]]&lt;&gt;"DONE","",IFERROR(LOOKUP(2,1/((Log[ID]=Items[[#This Row],[ID]])*(Log[Verb]="done")),Log[Date]),""))</f>
      </c>
      <c r="U489" s="17">
        <f>IF(Items[[#This Row],[ID]]="","",IF(AND(Items[[#This Row],[Sprint]]=CurSprint,OR(Items[[#This Row],[State]]="OPEN",Items[[#This Row],[State]]="WAIT",Items[[#This Row],[State]]="HOLD",Items[[#This Row],[State]]="DONE")),1,0))</f>
      </c>
      <c r="V489" s="17">
        <f>IF(OR(Items[[#This Row],[ID]]="",Items[[#This Row],[Added]]=""),"",AsOf-Items[[#This Row],[Added]])</f>
      </c>
      <c r="W489" s="17">
        <f>IF(Items[[#This Row],[In sprint]]=1,(IF(Items[[#This Row],[Prio]]="",9,N(Items[[#This Row],[Prio]]))*10+(IF(Items[[#This Row],[State]]="DONE",1,0)))*100000+ROW(),"")</f>
      </c>
      <c r="X48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89" s="17">
        <f>IF(AND(Items[[#This Row],[State]]="DONE",N(Items[[#This Row],[Done on]])&gt;AsOf-7),(200000-N(Items[[#This Row],[Done on]]))*100000+ROW(),"")</f>
      </c>
    </row>
    <row r="490">
      <c r="A490" t="s">
        <v>653</v>
      </c>
      <c r="B490" t="s">
        <v>1711</v>
      </c>
      <c r="C490" t="s">
        <v>1107</v>
      </c>
      <c r="D490" t="s">
        <v>1127</v>
      </c>
      <c r="E490" t="s">
        <v>1177</v>
      </c>
      <c r="F490" t="s">
        <v>1257</v>
      </c>
      <c r="G490">
        <v>3</v>
      </c>
      <c r="H490">
        <v>2</v>
      </c>
      <c r="I490" s="11">
        <v>46161</v>
      </c>
      <c r="J490" s="17">
        <f>IF(Items[[#This Row],[ID]]="","",IFERROR(VALUE(LOOKUP(2,1/((Log[ID]=Items[[#This Row],[ID]])*(Log[Verb]="est")),Log[Arg])),N(Items[[#This Row],[Points]])))</f>
      </c>
      <c r="K490" s="17">
        <f>IF(Items[[#This Row],[ID]]="","",IFERROR(LOOKUP(2,1/((Log[ID]=Items[[#This Row],[ID]])*(Log[Verb]="pass")),Log[Arg])&amp;"",Items[[#This Row],[Team]]&amp;""))</f>
      </c>
      <c r="L490" s="17">
        <f>IF(Items[[#This Row],[ID]]="","",IFERROR(LOOKUP(2,1/((Log[ID]=Items[[#This Row],[ID]])*(Log[Into]&lt;&gt;"")),Log[Into]),""))</f>
      </c>
      <c r="M490" s="17">
        <f>IF(Items[[#This Row],[ID]]="","",IF(IFERROR(LOOKUP(2,1/((Log[ID]=Items[[#This Row],[ID]])*(Log[Blk]&lt;&gt;"")),Log[Blk]),0)=1,"Y",""))</f>
      </c>
      <c r="N490" s="17">
        <f>IF(Items[[#This Row],[ID]]="","",SUBSTITUTE(IFERROR(LOOKUP(2,1/((Log[ID]=Items[[#This Row],[ID]])*(Log[State]&lt;&gt;"")),Log[State]),"TODO"),"OPEN",IF(Items[[#This Row],[Blocked]]="Y","WAIT","OPEN")))</f>
      </c>
      <c r="O49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90" s="17">
        <f>IF(Items[[#This Row],[State]]&lt;&gt;"WAIT","",AsOf-Items[[#This Row],[Blocked since]])</f>
      </c>
      <c r="Q490" s="17">
        <f>IF(Items[[#This Row],[State]]&lt;&gt;"WAIT","",IFERROR(LOOKUP(2,1/((Log[ID]=Items[[#This Row],[ID]])*(Log[Verb]="block")),Log[Note])&amp;"",""))</f>
      </c>
      <c r="R490" s="17">
        <f>IF(Items[[#This Row],[ID]]="","",COUNTIFS(Log[ID],Items[[#This Row],[ID]],Log[Verb],"carry"))</f>
      </c>
      <c r="S490" s="17">
        <f>IF(Items[[#This Row],[ID]]="","",COUNTIFS(Log[ID],Items[[#This Row],[ID]],Log[Verb],"punt"))</f>
      </c>
      <c r="T490" s="11">
        <f>IF(Items[[#This Row],[State]]&lt;&gt;"DONE","",IFERROR(LOOKUP(2,1/((Log[ID]=Items[[#This Row],[ID]])*(Log[Verb]="done")),Log[Date]),""))</f>
      </c>
      <c r="U490" s="17">
        <f>IF(Items[[#This Row],[ID]]="","",IF(AND(Items[[#This Row],[Sprint]]=CurSprint,OR(Items[[#This Row],[State]]="OPEN",Items[[#This Row],[State]]="WAIT",Items[[#This Row],[State]]="HOLD",Items[[#This Row],[State]]="DONE")),1,0))</f>
      </c>
      <c r="V490" s="17">
        <f>IF(OR(Items[[#This Row],[ID]]="",Items[[#This Row],[Added]]=""),"",AsOf-Items[[#This Row],[Added]])</f>
      </c>
      <c r="W490" s="17">
        <f>IF(Items[[#This Row],[In sprint]]=1,(IF(Items[[#This Row],[Prio]]="",9,N(Items[[#This Row],[Prio]]))*10+(IF(Items[[#This Row],[State]]="DONE",1,0)))*100000+ROW(),"")</f>
      </c>
      <c r="X49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90" s="17">
        <f>IF(AND(Items[[#This Row],[State]]="DONE",N(Items[[#This Row],[Done on]])&gt;AsOf-7),(200000-N(Items[[#This Row],[Done on]]))*100000+ROW(),"")</f>
      </c>
    </row>
    <row r="491">
      <c r="A491" t="s">
        <v>700</v>
      </c>
      <c r="B491" t="s">
        <v>1712</v>
      </c>
      <c r="C491" t="s">
        <v>1115</v>
      </c>
      <c r="D491" t="s">
        <v>1116</v>
      </c>
      <c r="E491" t="s">
        <v>1177</v>
      </c>
      <c r="F491" t="s">
        <v>1180</v>
      </c>
      <c r="G491">
        <v>8</v>
      </c>
      <c r="H491">
        <v>1</v>
      </c>
      <c r="I491" s="11">
        <v>46161</v>
      </c>
      <c r="J491" s="17">
        <f>IF(Items[[#This Row],[ID]]="","",IFERROR(VALUE(LOOKUP(2,1/((Log[ID]=Items[[#This Row],[ID]])*(Log[Verb]="est")),Log[Arg])),N(Items[[#This Row],[Points]])))</f>
      </c>
      <c r="K491" s="17">
        <f>IF(Items[[#This Row],[ID]]="","",IFERROR(LOOKUP(2,1/((Log[ID]=Items[[#This Row],[ID]])*(Log[Verb]="pass")),Log[Arg])&amp;"",Items[[#This Row],[Team]]&amp;""))</f>
      </c>
      <c r="L491" s="17">
        <f>IF(Items[[#This Row],[ID]]="","",IFERROR(LOOKUP(2,1/((Log[ID]=Items[[#This Row],[ID]])*(Log[Into]&lt;&gt;"")),Log[Into]),""))</f>
      </c>
      <c r="M491" s="17">
        <f>IF(Items[[#This Row],[ID]]="","",IF(IFERROR(LOOKUP(2,1/((Log[ID]=Items[[#This Row],[ID]])*(Log[Blk]&lt;&gt;"")),Log[Blk]),0)=1,"Y",""))</f>
      </c>
      <c r="N491" s="17">
        <f>IF(Items[[#This Row],[ID]]="","",SUBSTITUTE(IFERROR(LOOKUP(2,1/((Log[ID]=Items[[#This Row],[ID]])*(Log[State]&lt;&gt;"")),Log[State]),"TODO"),"OPEN",IF(Items[[#This Row],[Blocked]]="Y","WAIT","OPEN")))</f>
      </c>
      <c r="O49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91" s="17">
        <f>IF(Items[[#This Row],[State]]&lt;&gt;"WAIT","",AsOf-Items[[#This Row],[Blocked since]])</f>
      </c>
      <c r="Q491" s="17">
        <f>IF(Items[[#This Row],[State]]&lt;&gt;"WAIT","",IFERROR(LOOKUP(2,1/((Log[ID]=Items[[#This Row],[ID]])*(Log[Verb]="block")),Log[Note])&amp;"",""))</f>
      </c>
      <c r="R491" s="17">
        <f>IF(Items[[#This Row],[ID]]="","",COUNTIFS(Log[ID],Items[[#This Row],[ID]],Log[Verb],"carry"))</f>
      </c>
      <c r="S491" s="17">
        <f>IF(Items[[#This Row],[ID]]="","",COUNTIFS(Log[ID],Items[[#This Row],[ID]],Log[Verb],"punt"))</f>
      </c>
      <c r="T491" s="11">
        <f>IF(Items[[#This Row],[State]]&lt;&gt;"DONE","",IFERROR(LOOKUP(2,1/((Log[ID]=Items[[#This Row],[ID]])*(Log[Verb]="done")),Log[Date]),""))</f>
      </c>
      <c r="U491" s="17">
        <f>IF(Items[[#This Row],[ID]]="","",IF(AND(Items[[#This Row],[Sprint]]=CurSprint,OR(Items[[#This Row],[State]]="OPEN",Items[[#This Row],[State]]="WAIT",Items[[#This Row],[State]]="HOLD",Items[[#This Row],[State]]="DONE")),1,0))</f>
      </c>
      <c r="V491" s="17">
        <f>IF(OR(Items[[#This Row],[ID]]="",Items[[#This Row],[Added]]=""),"",AsOf-Items[[#This Row],[Added]])</f>
      </c>
      <c r="W491" s="17">
        <f>IF(Items[[#This Row],[In sprint]]=1,(IF(Items[[#This Row],[Prio]]="",9,N(Items[[#This Row],[Prio]]))*10+(IF(Items[[#This Row],[State]]="DONE",1,0)))*100000+ROW(),"")</f>
      </c>
      <c r="X49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91" s="17">
        <f>IF(AND(Items[[#This Row],[State]]="DONE",N(Items[[#This Row],[Done on]])&gt;AsOf-7),(200000-N(Items[[#This Row],[Done on]]))*100000+ROW(),"")</f>
      </c>
    </row>
    <row r="492">
      <c r="A492" t="s">
        <v>656</v>
      </c>
      <c r="B492" t="s">
        <v>1713</v>
      </c>
      <c r="C492" t="s">
        <v>1115</v>
      </c>
      <c r="D492" t="s">
        <v>1116</v>
      </c>
      <c r="E492" t="s">
        <v>1112</v>
      </c>
      <c r="F492" t="s">
        <v>1186</v>
      </c>
      <c r="G492">
        <v>8</v>
      </c>
      <c r="H492">
        <v>3</v>
      </c>
      <c r="I492" s="11">
        <v>46175</v>
      </c>
      <c r="J492" s="17">
        <f>IF(Items[[#This Row],[ID]]="","",IFERROR(VALUE(LOOKUP(2,1/((Log[ID]=Items[[#This Row],[ID]])*(Log[Verb]="est")),Log[Arg])),N(Items[[#This Row],[Points]])))</f>
      </c>
      <c r="K492" s="17">
        <f>IF(Items[[#This Row],[ID]]="","",IFERROR(LOOKUP(2,1/((Log[ID]=Items[[#This Row],[ID]])*(Log[Verb]="pass")),Log[Arg])&amp;"",Items[[#This Row],[Team]]&amp;""))</f>
      </c>
      <c r="L492" s="17">
        <f>IF(Items[[#This Row],[ID]]="","",IFERROR(LOOKUP(2,1/((Log[ID]=Items[[#This Row],[ID]])*(Log[Into]&lt;&gt;"")),Log[Into]),""))</f>
      </c>
      <c r="M492" s="17">
        <f>IF(Items[[#This Row],[ID]]="","",IF(IFERROR(LOOKUP(2,1/((Log[ID]=Items[[#This Row],[ID]])*(Log[Blk]&lt;&gt;"")),Log[Blk]),0)=1,"Y",""))</f>
      </c>
      <c r="N492" s="17">
        <f>IF(Items[[#This Row],[ID]]="","",SUBSTITUTE(IFERROR(LOOKUP(2,1/((Log[ID]=Items[[#This Row],[ID]])*(Log[State]&lt;&gt;"")),Log[State]),"TODO"),"OPEN",IF(Items[[#This Row],[Blocked]]="Y","WAIT","OPEN")))</f>
      </c>
      <c r="O49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92" s="17">
        <f>IF(Items[[#This Row],[State]]&lt;&gt;"WAIT","",AsOf-Items[[#This Row],[Blocked since]])</f>
      </c>
      <c r="Q492" s="17">
        <f>IF(Items[[#This Row],[State]]&lt;&gt;"WAIT","",IFERROR(LOOKUP(2,1/((Log[ID]=Items[[#This Row],[ID]])*(Log[Verb]="block")),Log[Note])&amp;"",""))</f>
      </c>
      <c r="R492" s="17">
        <f>IF(Items[[#This Row],[ID]]="","",COUNTIFS(Log[ID],Items[[#This Row],[ID]],Log[Verb],"carry"))</f>
      </c>
      <c r="S492" s="17">
        <f>IF(Items[[#This Row],[ID]]="","",COUNTIFS(Log[ID],Items[[#This Row],[ID]],Log[Verb],"punt"))</f>
      </c>
      <c r="T492" s="11">
        <f>IF(Items[[#This Row],[State]]&lt;&gt;"DONE","",IFERROR(LOOKUP(2,1/((Log[ID]=Items[[#This Row],[ID]])*(Log[Verb]="done")),Log[Date]),""))</f>
      </c>
      <c r="U492" s="17">
        <f>IF(Items[[#This Row],[ID]]="","",IF(AND(Items[[#This Row],[Sprint]]=CurSprint,OR(Items[[#This Row],[State]]="OPEN",Items[[#This Row],[State]]="WAIT",Items[[#This Row],[State]]="HOLD",Items[[#This Row],[State]]="DONE")),1,0))</f>
      </c>
      <c r="V492" s="17">
        <f>IF(OR(Items[[#This Row],[ID]]="",Items[[#This Row],[Added]]=""),"",AsOf-Items[[#This Row],[Added]])</f>
      </c>
      <c r="W492" s="17">
        <f>IF(Items[[#This Row],[In sprint]]=1,(IF(Items[[#This Row],[Prio]]="",9,N(Items[[#This Row],[Prio]]))*10+(IF(Items[[#This Row],[State]]="DONE",1,0)))*100000+ROW(),"")</f>
      </c>
      <c r="X49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92" s="17">
        <f>IF(AND(Items[[#This Row],[State]]="DONE",N(Items[[#This Row],[Done on]])&gt;AsOf-7),(200000-N(Items[[#This Row],[Done on]]))*100000+ROW(),"")</f>
      </c>
    </row>
    <row r="493">
      <c r="A493" t="s">
        <v>657</v>
      </c>
      <c r="B493" t="s">
        <v>1714</v>
      </c>
      <c r="C493" t="s">
        <v>1107</v>
      </c>
      <c r="D493" t="s">
        <v>1127</v>
      </c>
      <c r="E493" t="s">
        <v>1112</v>
      </c>
      <c r="F493" t="s">
        <v>1184</v>
      </c>
      <c r="G493">
        <v>2</v>
      </c>
      <c r="H493">
        <v>2</v>
      </c>
      <c r="I493" s="11">
        <v>46175</v>
      </c>
      <c r="J493" s="17">
        <f>IF(Items[[#This Row],[ID]]="","",IFERROR(VALUE(LOOKUP(2,1/((Log[ID]=Items[[#This Row],[ID]])*(Log[Verb]="est")),Log[Arg])),N(Items[[#This Row],[Points]])))</f>
      </c>
      <c r="K493" s="17">
        <f>IF(Items[[#This Row],[ID]]="","",IFERROR(LOOKUP(2,1/((Log[ID]=Items[[#This Row],[ID]])*(Log[Verb]="pass")),Log[Arg])&amp;"",Items[[#This Row],[Team]]&amp;""))</f>
      </c>
      <c r="L493" s="17">
        <f>IF(Items[[#This Row],[ID]]="","",IFERROR(LOOKUP(2,1/((Log[ID]=Items[[#This Row],[ID]])*(Log[Into]&lt;&gt;"")),Log[Into]),""))</f>
      </c>
      <c r="M493" s="17">
        <f>IF(Items[[#This Row],[ID]]="","",IF(IFERROR(LOOKUP(2,1/((Log[ID]=Items[[#This Row],[ID]])*(Log[Blk]&lt;&gt;"")),Log[Blk]),0)=1,"Y",""))</f>
      </c>
      <c r="N493" s="17">
        <f>IF(Items[[#This Row],[ID]]="","",SUBSTITUTE(IFERROR(LOOKUP(2,1/((Log[ID]=Items[[#This Row],[ID]])*(Log[State]&lt;&gt;"")),Log[State]),"TODO"),"OPEN",IF(Items[[#This Row],[Blocked]]="Y","WAIT","OPEN")))</f>
      </c>
      <c r="O49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93" s="17">
        <f>IF(Items[[#This Row],[State]]&lt;&gt;"WAIT","",AsOf-Items[[#This Row],[Blocked since]])</f>
      </c>
      <c r="Q493" s="17">
        <f>IF(Items[[#This Row],[State]]&lt;&gt;"WAIT","",IFERROR(LOOKUP(2,1/((Log[ID]=Items[[#This Row],[ID]])*(Log[Verb]="block")),Log[Note])&amp;"",""))</f>
      </c>
      <c r="R493" s="17">
        <f>IF(Items[[#This Row],[ID]]="","",COUNTIFS(Log[ID],Items[[#This Row],[ID]],Log[Verb],"carry"))</f>
      </c>
      <c r="S493" s="17">
        <f>IF(Items[[#This Row],[ID]]="","",COUNTIFS(Log[ID],Items[[#This Row],[ID]],Log[Verb],"punt"))</f>
      </c>
      <c r="T493" s="11">
        <f>IF(Items[[#This Row],[State]]&lt;&gt;"DONE","",IFERROR(LOOKUP(2,1/((Log[ID]=Items[[#This Row],[ID]])*(Log[Verb]="done")),Log[Date]),""))</f>
      </c>
      <c r="U493" s="17">
        <f>IF(Items[[#This Row],[ID]]="","",IF(AND(Items[[#This Row],[Sprint]]=CurSprint,OR(Items[[#This Row],[State]]="OPEN",Items[[#This Row],[State]]="WAIT",Items[[#This Row],[State]]="HOLD",Items[[#This Row],[State]]="DONE")),1,0))</f>
      </c>
      <c r="V493" s="17">
        <f>IF(OR(Items[[#This Row],[ID]]="",Items[[#This Row],[Added]]=""),"",AsOf-Items[[#This Row],[Added]])</f>
      </c>
      <c r="W493" s="17">
        <f>IF(Items[[#This Row],[In sprint]]=1,(IF(Items[[#This Row],[Prio]]="",9,N(Items[[#This Row],[Prio]]))*10+(IF(Items[[#This Row],[State]]="DONE",1,0)))*100000+ROW(),"")</f>
      </c>
      <c r="X49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93" s="17">
        <f>IF(AND(Items[[#This Row],[State]]="DONE",N(Items[[#This Row],[Done on]])&gt;AsOf-7),(200000-N(Items[[#This Row],[Done on]]))*100000+ROW(),"")</f>
      </c>
    </row>
    <row r="494">
      <c r="A494" t="s">
        <v>658</v>
      </c>
      <c r="B494" t="s">
        <v>1715</v>
      </c>
      <c r="C494" t="s">
        <v>1107</v>
      </c>
      <c r="D494" t="s">
        <v>1127</v>
      </c>
      <c r="E494" t="s">
        <v>1112</v>
      </c>
      <c r="F494" t="s">
        <v>1265</v>
      </c>
      <c r="G494">
        <v>5</v>
      </c>
      <c r="H494">
        <v>2</v>
      </c>
      <c r="I494" s="11">
        <v>46175</v>
      </c>
      <c r="J494" s="17">
        <f>IF(Items[[#This Row],[ID]]="","",IFERROR(VALUE(LOOKUP(2,1/((Log[ID]=Items[[#This Row],[ID]])*(Log[Verb]="est")),Log[Arg])),N(Items[[#This Row],[Points]])))</f>
      </c>
      <c r="K494" s="17">
        <f>IF(Items[[#This Row],[ID]]="","",IFERROR(LOOKUP(2,1/((Log[ID]=Items[[#This Row],[ID]])*(Log[Verb]="pass")),Log[Arg])&amp;"",Items[[#This Row],[Team]]&amp;""))</f>
      </c>
      <c r="L494" s="17">
        <f>IF(Items[[#This Row],[ID]]="","",IFERROR(LOOKUP(2,1/((Log[ID]=Items[[#This Row],[ID]])*(Log[Into]&lt;&gt;"")),Log[Into]),""))</f>
      </c>
      <c r="M494" s="17">
        <f>IF(Items[[#This Row],[ID]]="","",IF(IFERROR(LOOKUP(2,1/((Log[ID]=Items[[#This Row],[ID]])*(Log[Blk]&lt;&gt;"")),Log[Blk]),0)=1,"Y",""))</f>
      </c>
      <c r="N494" s="17">
        <f>IF(Items[[#This Row],[ID]]="","",SUBSTITUTE(IFERROR(LOOKUP(2,1/((Log[ID]=Items[[#This Row],[ID]])*(Log[State]&lt;&gt;"")),Log[State]),"TODO"),"OPEN",IF(Items[[#This Row],[Blocked]]="Y","WAIT","OPEN")))</f>
      </c>
      <c r="O49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94" s="17">
        <f>IF(Items[[#This Row],[State]]&lt;&gt;"WAIT","",AsOf-Items[[#This Row],[Blocked since]])</f>
      </c>
      <c r="Q494" s="17">
        <f>IF(Items[[#This Row],[State]]&lt;&gt;"WAIT","",IFERROR(LOOKUP(2,1/((Log[ID]=Items[[#This Row],[ID]])*(Log[Verb]="block")),Log[Note])&amp;"",""))</f>
      </c>
      <c r="R494" s="17">
        <f>IF(Items[[#This Row],[ID]]="","",COUNTIFS(Log[ID],Items[[#This Row],[ID]],Log[Verb],"carry"))</f>
      </c>
      <c r="S494" s="17">
        <f>IF(Items[[#This Row],[ID]]="","",COUNTIFS(Log[ID],Items[[#This Row],[ID]],Log[Verb],"punt"))</f>
      </c>
      <c r="T494" s="11">
        <f>IF(Items[[#This Row],[State]]&lt;&gt;"DONE","",IFERROR(LOOKUP(2,1/((Log[ID]=Items[[#This Row],[ID]])*(Log[Verb]="done")),Log[Date]),""))</f>
      </c>
      <c r="U494" s="17">
        <f>IF(Items[[#This Row],[ID]]="","",IF(AND(Items[[#This Row],[Sprint]]=CurSprint,OR(Items[[#This Row],[State]]="OPEN",Items[[#This Row],[State]]="WAIT",Items[[#This Row],[State]]="HOLD",Items[[#This Row],[State]]="DONE")),1,0))</f>
      </c>
      <c r="V494" s="17">
        <f>IF(OR(Items[[#This Row],[ID]]="",Items[[#This Row],[Added]]=""),"",AsOf-Items[[#This Row],[Added]])</f>
      </c>
      <c r="W494" s="17">
        <f>IF(Items[[#This Row],[In sprint]]=1,(IF(Items[[#This Row],[Prio]]="",9,N(Items[[#This Row],[Prio]]))*10+(IF(Items[[#This Row],[State]]="DONE",1,0)))*100000+ROW(),"")</f>
      </c>
      <c r="X49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94" s="17">
        <f>IF(AND(Items[[#This Row],[State]]="DONE",N(Items[[#This Row],[Done on]])&gt;AsOf-7),(200000-N(Items[[#This Row],[Done on]]))*100000+ROW(),"")</f>
      </c>
    </row>
    <row r="495">
      <c r="A495" t="s">
        <v>705</v>
      </c>
      <c r="B495" t="s">
        <v>1716</v>
      </c>
      <c r="C495" t="s">
        <v>1107</v>
      </c>
      <c r="D495" t="s">
        <v>1123</v>
      </c>
      <c r="E495" t="s">
        <v>1112</v>
      </c>
      <c r="F495" t="s">
        <v>1412</v>
      </c>
      <c r="G495">
        <v>3</v>
      </c>
      <c r="H495">
        <v>1</v>
      </c>
      <c r="I495" s="11">
        <v>46175</v>
      </c>
      <c r="J495" s="17">
        <f>IF(Items[[#This Row],[ID]]="","",IFERROR(VALUE(LOOKUP(2,1/((Log[ID]=Items[[#This Row],[ID]])*(Log[Verb]="est")),Log[Arg])),N(Items[[#This Row],[Points]])))</f>
      </c>
      <c r="K495" s="17">
        <f>IF(Items[[#This Row],[ID]]="","",IFERROR(LOOKUP(2,1/((Log[ID]=Items[[#This Row],[ID]])*(Log[Verb]="pass")),Log[Arg])&amp;"",Items[[#This Row],[Team]]&amp;""))</f>
      </c>
      <c r="L495" s="17">
        <f>IF(Items[[#This Row],[ID]]="","",IFERROR(LOOKUP(2,1/((Log[ID]=Items[[#This Row],[ID]])*(Log[Into]&lt;&gt;"")),Log[Into]),""))</f>
      </c>
      <c r="M495" s="17">
        <f>IF(Items[[#This Row],[ID]]="","",IF(IFERROR(LOOKUP(2,1/((Log[ID]=Items[[#This Row],[ID]])*(Log[Blk]&lt;&gt;"")),Log[Blk]),0)=1,"Y",""))</f>
      </c>
      <c r="N495" s="17">
        <f>IF(Items[[#This Row],[ID]]="","",SUBSTITUTE(IFERROR(LOOKUP(2,1/((Log[ID]=Items[[#This Row],[ID]])*(Log[State]&lt;&gt;"")),Log[State]),"TODO"),"OPEN",IF(Items[[#This Row],[Blocked]]="Y","WAIT","OPEN")))</f>
      </c>
      <c r="O49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95" s="17">
        <f>IF(Items[[#This Row],[State]]&lt;&gt;"WAIT","",AsOf-Items[[#This Row],[Blocked since]])</f>
      </c>
      <c r="Q495" s="17">
        <f>IF(Items[[#This Row],[State]]&lt;&gt;"WAIT","",IFERROR(LOOKUP(2,1/((Log[ID]=Items[[#This Row],[ID]])*(Log[Verb]="block")),Log[Note])&amp;"",""))</f>
      </c>
      <c r="R495" s="17">
        <f>IF(Items[[#This Row],[ID]]="","",COUNTIFS(Log[ID],Items[[#This Row],[ID]],Log[Verb],"carry"))</f>
      </c>
      <c r="S495" s="17">
        <f>IF(Items[[#This Row],[ID]]="","",COUNTIFS(Log[ID],Items[[#This Row],[ID]],Log[Verb],"punt"))</f>
      </c>
      <c r="T495" s="11">
        <f>IF(Items[[#This Row],[State]]&lt;&gt;"DONE","",IFERROR(LOOKUP(2,1/((Log[ID]=Items[[#This Row],[ID]])*(Log[Verb]="done")),Log[Date]),""))</f>
      </c>
      <c r="U495" s="17">
        <f>IF(Items[[#This Row],[ID]]="","",IF(AND(Items[[#This Row],[Sprint]]=CurSprint,OR(Items[[#This Row],[State]]="OPEN",Items[[#This Row],[State]]="WAIT",Items[[#This Row],[State]]="HOLD",Items[[#This Row],[State]]="DONE")),1,0))</f>
      </c>
      <c r="V495" s="17">
        <f>IF(OR(Items[[#This Row],[ID]]="",Items[[#This Row],[Added]]=""),"",AsOf-Items[[#This Row],[Added]])</f>
      </c>
      <c r="W495" s="17">
        <f>IF(Items[[#This Row],[In sprint]]=1,(IF(Items[[#This Row],[Prio]]="",9,N(Items[[#This Row],[Prio]]))*10+(IF(Items[[#This Row],[State]]="DONE",1,0)))*100000+ROW(),"")</f>
      </c>
      <c r="X49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95" s="17">
        <f>IF(AND(Items[[#This Row],[State]]="DONE",N(Items[[#This Row],[Done on]])&gt;AsOf-7),(200000-N(Items[[#This Row],[Done on]]))*100000+ROW(),"")</f>
      </c>
    </row>
    <row r="496">
      <c r="A496" t="s">
        <v>659</v>
      </c>
      <c r="B496" t="s">
        <v>1717</v>
      </c>
      <c r="C496" t="s">
        <v>1115</v>
      </c>
      <c r="D496" t="s">
        <v>1116</v>
      </c>
      <c r="E496" t="s">
        <v>1112</v>
      </c>
      <c r="F496" t="s">
        <v>1265</v>
      </c>
      <c r="G496">
        <v>2</v>
      </c>
      <c r="H496">
        <v>3</v>
      </c>
      <c r="I496" s="11">
        <v>46175</v>
      </c>
      <c r="J496" s="17">
        <f>IF(Items[[#This Row],[ID]]="","",IFERROR(VALUE(LOOKUP(2,1/((Log[ID]=Items[[#This Row],[ID]])*(Log[Verb]="est")),Log[Arg])),N(Items[[#This Row],[Points]])))</f>
      </c>
      <c r="K496" s="17">
        <f>IF(Items[[#This Row],[ID]]="","",IFERROR(LOOKUP(2,1/((Log[ID]=Items[[#This Row],[ID]])*(Log[Verb]="pass")),Log[Arg])&amp;"",Items[[#This Row],[Team]]&amp;""))</f>
      </c>
      <c r="L496" s="17">
        <f>IF(Items[[#This Row],[ID]]="","",IFERROR(LOOKUP(2,1/((Log[ID]=Items[[#This Row],[ID]])*(Log[Into]&lt;&gt;"")),Log[Into]),""))</f>
      </c>
      <c r="M496" s="17">
        <f>IF(Items[[#This Row],[ID]]="","",IF(IFERROR(LOOKUP(2,1/((Log[ID]=Items[[#This Row],[ID]])*(Log[Blk]&lt;&gt;"")),Log[Blk]),0)=1,"Y",""))</f>
      </c>
      <c r="N496" s="17">
        <f>IF(Items[[#This Row],[ID]]="","",SUBSTITUTE(IFERROR(LOOKUP(2,1/((Log[ID]=Items[[#This Row],[ID]])*(Log[State]&lt;&gt;"")),Log[State]),"TODO"),"OPEN",IF(Items[[#This Row],[Blocked]]="Y","WAIT","OPEN")))</f>
      </c>
      <c r="O49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96" s="17">
        <f>IF(Items[[#This Row],[State]]&lt;&gt;"WAIT","",AsOf-Items[[#This Row],[Blocked since]])</f>
      </c>
      <c r="Q496" s="17">
        <f>IF(Items[[#This Row],[State]]&lt;&gt;"WAIT","",IFERROR(LOOKUP(2,1/((Log[ID]=Items[[#This Row],[ID]])*(Log[Verb]="block")),Log[Note])&amp;"",""))</f>
      </c>
      <c r="R496" s="17">
        <f>IF(Items[[#This Row],[ID]]="","",COUNTIFS(Log[ID],Items[[#This Row],[ID]],Log[Verb],"carry"))</f>
      </c>
      <c r="S496" s="17">
        <f>IF(Items[[#This Row],[ID]]="","",COUNTIFS(Log[ID],Items[[#This Row],[ID]],Log[Verb],"punt"))</f>
      </c>
      <c r="T496" s="11">
        <f>IF(Items[[#This Row],[State]]&lt;&gt;"DONE","",IFERROR(LOOKUP(2,1/((Log[ID]=Items[[#This Row],[ID]])*(Log[Verb]="done")),Log[Date]),""))</f>
      </c>
      <c r="U496" s="17">
        <f>IF(Items[[#This Row],[ID]]="","",IF(AND(Items[[#This Row],[Sprint]]=CurSprint,OR(Items[[#This Row],[State]]="OPEN",Items[[#This Row],[State]]="WAIT",Items[[#This Row],[State]]="HOLD",Items[[#This Row],[State]]="DONE")),1,0))</f>
      </c>
      <c r="V496" s="17">
        <f>IF(OR(Items[[#This Row],[ID]]="",Items[[#This Row],[Added]]=""),"",AsOf-Items[[#This Row],[Added]])</f>
      </c>
      <c r="W496" s="17">
        <f>IF(Items[[#This Row],[In sprint]]=1,(IF(Items[[#This Row],[Prio]]="",9,N(Items[[#This Row],[Prio]]))*10+(IF(Items[[#This Row],[State]]="DONE",1,0)))*100000+ROW(),"")</f>
      </c>
      <c r="X49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96" s="17">
        <f>IF(AND(Items[[#This Row],[State]]="DONE",N(Items[[#This Row],[Done on]])&gt;AsOf-7),(200000-N(Items[[#This Row],[Done on]]))*100000+ROW(),"")</f>
      </c>
    </row>
    <row r="497">
      <c r="A497" t="s">
        <v>706</v>
      </c>
      <c r="B497" t="s">
        <v>1718</v>
      </c>
      <c r="C497" t="s">
        <v>1107</v>
      </c>
      <c r="D497" t="s">
        <v>1127</v>
      </c>
      <c r="E497" t="s">
        <v>1112</v>
      </c>
      <c r="F497" t="s">
        <v>1117</v>
      </c>
      <c r="G497">
        <v>2</v>
      </c>
      <c r="H497">
        <v>2</v>
      </c>
      <c r="I497" s="11">
        <v>46175</v>
      </c>
      <c r="J497" s="17">
        <f>IF(Items[[#This Row],[ID]]="","",IFERROR(VALUE(LOOKUP(2,1/((Log[ID]=Items[[#This Row],[ID]])*(Log[Verb]="est")),Log[Arg])),N(Items[[#This Row],[Points]])))</f>
      </c>
      <c r="K497" s="17">
        <f>IF(Items[[#This Row],[ID]]="","",IFERROR(LOOKUP(2,1/((Log[ID]=Items[[#This Row],[ID]])*(Log[Verb]="pass")),Log[Arg])&amp;"",Items[[#This Row],[Team]]&amp;""))</f>
      </c>
      <c r="L497" s="17">
        <f>IF(Items[[#This Row],[ID]]="","",IFERROR(LOOKUP(2,1/((Log[ID]=Items[[#This Row],[ID]])*(Log[Into]&lt;&gt;"")),Log[Into]),""))</f>
      </c>
      <c r="M497" s="17">
        <f>IF(Items[[#This Row],[ID]]="","",IF(IFERROR(LOOKUP(2,1/((Log[ID]=Items[[#This Row],[ID]])*(Log[Blk]&lt;&gt;"")),Log[Blk]),0)=1,"Y",""))</f>
      </c>
      <c r="N497" s="17">
        <f>IF(Items[[#This Row],[ID]]="","",SUBSTITUTE(IFERROR(LOOKUP(2,1/((Log[ID]=Items[[#This Row],[ID]])*(Log[State]&lt;&gt;"")),Log[State]),"TODO"),"OPEN",IF(Items[[#This Row],[Blocked]]="Y","WAIT","OPEN")))</f>
      </c>
      <c r="O49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97" s="17">
        <f>IF(Items[[#This Row],[State]]&lt;&gt;"WAIT","",AsOf-Items[[#This Row],[Blocked since]])</f>
      </c>
      <c r="Q497" s="17">
        <f>IF(Items[[#This Row],[State]]&lt;&gt;"WAIT","",IFERROR(LOOKUP(2,1/((Log[ID]=Items[[#This Row],[ID]])*(Log[Verb]="block")),Log[Note])&amp;"",""))</f>
      </c>
      <c r="R497" s="17">
        <f>IF(Items[[#This Row],[ID]]="","",COUNTIFS(Log[ID],Items[[#This Row],[ID]],Log[Verb],"carry"))</f>
      </c>
      <c r="S497" s="17">
        <f>IF(Items[[#This Row],[ID]]="","",COUNTIFS(Log[ID],Items[[#This Row],[ID]],Log[Verb],"punt"))</f>
      </c>
      <c r="T497" s="11">
        <f>IF(Items[[#This Row],[State]]&lt;&gt;"DONE","",IFERROR(LOOKUP(2,1/((Log[ID]=Items[[#This Row],[ID]])*(Log[Verb]="done")),Log[Date]),""))</f>
      </c>
      <c r="U497" s="17">
        <f>IF(Items[[#This Row],[ID]]="","",IF(AND(Items[[#This Row],[Sprint]]=CurSprint,OR(Items[[#This Row],[State]]="OPEN",Items[[#This Row],[State]]="WAIT",Items[[#This Row],[State]]="HOLD",Items[[#This Row],[State]]="DONE")),1,0))</f>
      </c>
      <c r="V497" s="17">
        <f>IF(OR(Items[[#This Row],[ID]]="",Items[[#This Row],[Added]]=""),"",AsOf-Items[[#This Row],[Added]])</f>
      </c>
      <c r="W497" s="17">
        <f>IF(Items[[#This Row],[In sprint]]=1,(IF(Items[[#This Row],[Prio]]="",9,N(Items[[#This Row],[Prio]]))*10+(IF(Items[[#This Row],[State]]="DONE",1,0)))*100000+ROW(),"")</f>
      </c>
      <c r="X49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97" s="17">
        <f>IF(AND(Items[[#This Row],[State]]="DONE",N(Items[[#This Row],[Done on]])&gt;AsOf-7),(200000-N(Items[[#This Row],[Done on]]))*100000+ROW(),"")</f>
      </c>
    </row>
    <row r="498">
      <c r="A498" t="s">
        <v>600</v>
      </c>
      <c r="B498" t="s">
        <v>1719</v>
      </c>
      <c r="C498" t="s">
        <v>1107</v>
      </c>
      <c r="D498" t="s">
        <v>1108</v>
      </c>
      <c r="E498" t="s">
        <v>1120</v>
      </c>
      <c r="F498" t="s">
        <v>1121</v>
      </c>
      <c r="G498">
        <v>2</v>
      </c>
      <c r="H498">
        <v>2</v>
      </c>
      <c r="I498" s="11">
        <v>46175</v>
      </c>
      <c r="J498" s="17">
        <f>IF(Items[[#This Row],[ID]]="","",IFERROR(VALUE(LOOKUP(2,1/((Log[ID]=Items[[#This Row],[ID]])*(Log[Verb]="est")),Log[Arg])),N(Items[[#This Row],[Points]])))</f>
      </c>
      <c r="K498" s="17">
        <f>IF(Items[[#This Row],[ID]]="","",IFERROR(LOOKUP(2,1/((Log[ID]=Items[[#This Row],[ID]])*(Log[Verb]="pass")),Log[Arg])&amp;"",Items[[#This Row],[Team]]&amp;""))</f>
      </c>
      <c r="L498" s="17">
        <f>IF(Items[[#This Row],[ID]]="","",IFERROR(LOOKUP(2,1/((Log[ID]=Items[[#This Row],[ID]])*(Log[Into]&lt;&gt;"")),Log[Into]),""))</f>
      </c>
      <c r="M498" s="17">
        <f>IF(Items[[#This Row],[ID]]="","",IF(IFERROR(LOOKUP(2,1/((Log[ID]=Items[[#This Row],[ID]])*(Log[Blk]&lt;&gt;"")),Log[Blk]),0)=1,"Y",""))</f>
      </c>
      <c r="N498" s="17">
        <f>IF(Items[[#This Row],[ID]]="","",SUBSTITUTE(IFERROR(LOOKUP(2,1/((Log[ID]=Items[[#This Row],[ID]])*(Log[State]&lt;&gt;"")),Log[State]),"TODO"),"OPEN",IF(Items[[#This Row],[Blocked]]="Y","WAIT","OPEN")))</f>
      </c>
      <c r="O49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98" s="17">
        <f>IF(Items[[#This Row],[State]]&lt;&gt;"WAIT","",AsOf-Items[[#This Row],[Blocked since]])</f>
      </c>
      <c r="Q498" s="17">
        <f>IF(Items[[#This Row],[State]]&lt;&gt;"WAIT","",IFERROR(LOOKUP(2,1/((Log[ID]=Items[[#This Row],[ID]])*(Log[Verb]="block")),Log[Note])&amp;"",""))</f>
      </c>
      <c r="R498" s="17">
        <f>IF(Items[[#This Row],[ID]]="","",COUNTIFS(Log[ID],Items[[#This Row],[ID]],Log[Verb],"carry"))</f>
      </c>
      <c r="S498" s="17">
        <f>IF(Items[[#This Row],[ID]]="","",COUNTIFS(Log[ID],Items[[#This Row],[ID]],Log[Verb],"punt"))</f>
      </c>
      <c r="T498" s="11">
        <f>IF(Items[[#This Row],[State]]&lt;&gt;"DONE","",IFERROR(LOOKUP(2,1/((Log[ID]=Items[[#This Row],[ID]])*(Log[Verb]="done")),Log[Date]),""))</f>
      </c>
      <c r="U498" s="17">
        <f>IF(Items[[#This Row],[ID]]="","",IF(AND(Items[[#This Row],[Sprint]]=CurSprint,OR(Items[[#This Row],[State]]="OPEN",Items[[#This Row],[State]]="WAIT",Items[[#This Row],[State]]="HOLD",Items[[#This Row],[State]]="DONE")),1,0))</f>
      </c>
      <c r="V498" s="17">
        <f>IF(OR(Items[[#This Row],[ID]]="",Items[[#This Row],[Added]]=""),"",AsOf-Items[[#This Row],[Added]])</f>
      </c>
      <c r="W498" s="17">
        <f>IF(Items[[#This Row],[In sprint]]=1,(IF(Items[[#This Row],[Prio]]="",9,N(Items[[#This Row],[Prio]]))*10+(IF(Items[[#This Row],[State]]="DONE",1,0)))*100000+ROW(),"")</f>
      </c>
      <c r="X49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98" s="17">
        <f>IF(AND(Items[[#This Row],[State]]="DONE",N(Items[[#This Row],[Done on]])&gt;AsOf-7),(200000-N(Items[[#This Row],[Done on]]))*100000+ROW(),"")</f>
      </c>
    </row>
    <row r="499">
      <c r="A499" t="s">
        <v>601</v>
      </c>
      <c r="B499" t="s">
        <v>1720</v>
      </c>
      <c r="C499" t="s">
        <v>1115</v>
      </c>
      <c r="D499" t="s">
        <v>1116</v>
      </c>
      <c r="E499" t="s">
        <v>1120</v>
      </c>
      <c r="F499" t="s">
        <v>1342</v>
      </c>
      <c r="G499">
        <v>3</v>
      </c>
      <c r="H499">
        <v>3</v>
      </c>
      <c r="I499" s="11">
        <v>46175</v>
      </c>
      <c r="J499" s="17">
        <f>IF(Items[[#This Row],[ID]]="","",IFERROR(VALUE(LOOKUP(2,1/((Log[ID]=Items[[#This Row],[ID]])*(Log[Verb]="est")),Log[Arg])),N(Items[[#This Row],[Points]])))</f>
      </c>
      <c r="K499" s="17">
        <f>IF(Items[[#This Row],[ID]]="","",IFERROR(LOOKUP(2,1/((Log[ID]=Items[[#This Row],[ID]])*(Log[Verb]="pass")),Log[Arg])&amp;"",Items[[#This Row],[Team]]&amp;""))</f>
      </c>
      <c r="L499" s="17">
        <f>IF(Items[[#This Row],[ID]]="","",IFERROR(LOOKUP(2,1/((Log[ID]=Items[[#This Row],[ID]])*(Log[Into]&lt;&gt;"")),Log[Into]),""))</f>
      </c>
      <c r="M499" s="17">
        <f>IF(Items[[#This Row],[ID]]="","",IF(IFERROR(LOOKUP(2,1/((Log[ID]=Items[[#This Row],[ID]])*(Log[Blk]&lt;&gt;"")),Log[Blk]),0)=1,"Y",""))</f>
      </c>
      <c r="N499" s="17">
        <f>IF(Items[[#This Row],[ID]]="","",SUBSTITUTE(IFERROR(LOOKUP(2,1/((Log[ID]=Items[[#This Row],[ID]])*(Log[State]&lt;&gt;"")),Log[State]),"TODO"),"OPEN",IF(Items[[#This Row],[Blocked]]="Y","WAIT","OPEN")))</f>
      </c>
      <c r="O49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99" s="17">
        <f>IF(Items[[#This Row],[State]]&lt;&gt;"WAIT","",AsOf-Items[[#This Row],[Blocked since]])</f>
      </c>
      <c r="Q499" s="17">
        <f>IF(Items[[#This Row],[State]]&lt;&gt;"WAIT","",IFERROR(LOOKUP(2,1/((Log[ID]=Items[[#This Row],[ID]])*(Log[Verb]="block")),Log[Note])&amp;"",""))</f>
      </c>
      <c r="R499" s="17">
        <f>IF(Items[[#This Row],[ID]]="","",COUNTIFS(Log[ID],Items[[#This Row],[ID]],Log[Verb],"carry"))</f>
      </c>
      <c r="S499" s="17">
        <f>IF(Items[[#This Row],[ID]]="","",COUNTIFS(Log[ID],Items[[#This Row],[ID]],Log[Verb],"punt"))</f>
      </c>
      <c r="T499" s="11">
        <f>IF(Items[[#This Row],[State]]&lt;&gt;"DONE","",IFERROR(LOOKUP(2,1/((Log[ID]=Items[[#This Row],[ID]])*(Log[Verb]="done")),Log[Date]),""))</f>
      </c>
      <c r="U499" s="17">
        <f>IF(Items[[#This Row],[ID]]="","",IF(AND(Items[[#This Row],[Sprint]]=CurSprint,OR(Items[[#This Row],[State]]="OPEN",Items[[#This Row],[State]]="WAIT",Items[[#This Row],[State]]="HOLD",Items[[#This Row],[State]]="DONE")),1,0))</f>
      </c>
      <c r="V499" s="17">
        <f>IF(OR(Items[[#This Row],[ID]]="",Items[[#This Row],[Added]]=""),"",AsOf-Items[[#This Row],[Added]])</f>
      </c>
      <c r="W499" s="17">
        <f>IF(Items[[#This Row],[In sprint]]=1,(IF(Items[[#This Row],[Prio]]="",9,N(Items[[#This Row],[Prio]]))*10+(IF(Items[[#This Row],[State]]="DONE",1,0)))*100000+ROW(),"")</f>
      </c>
      <c r="X49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99" s="17">
        <f>IF(AND(Items[[#This Row],[State]]="DONE",N(Items[[#This Row],[Done on]])&gt;AsOf-7),(200000-N(Items[[#This Row],[Done on]]))*100000+ROW(),"")</f>
      </c>
    </row>
    <row r="500">
      <c r="A500" t="s">
        <v>660</v>
      </c>
      <c r="B500" t="s">
        <v>1721</v>
      </c>
      <c r="C500" t="s">
        <v>1115</v>
      </c>
      <c r="D500" t="s">
        <v>1119</v>
      </c>
      <c r="E500" t="s">
        <v>1120</v>
      </c>
      <c r="F500" t="s">
        <v>1153</v>
      </c>
      <c r="G500">
        <v>3</v>
      </c>
      <c r="H500">
        <v>3</v>
      </c>
      <c r="I500" s="11">
        <v>46175</v>
      </c>
      <c r="J500" s="17">
        <f>IF(Items[[#This Row],[ID]]="","",IFERROR(VALUE(LOOKUP(2,1/((Log[ID]=Items[[#This Row],[ID]])*(Log[Verb]="est")),Log[Arg])),N(Items[[#This Row],[Points]])))</f>
      </c>
      <c r="K500" s="17">
        <f>IF(Items[[#This Row],[ID]]="","",IFERROR(LOOKUP(2,1/((Log[ID]=Items[[#This Row],[ID]])*(Log[Verb]="pass")),Log[Arg])&amp;"",Items[[#This Row],[Team]]&amp;""))</f>
      </c>
      <c r="L500" s="17">
        <f>IF(Items[[#This Row],[ID]]="","",IFERROR(LOOKUP(2,1/((Log[ID]=Items[[#This Row],[ID]])*(Log[Into]&lt;&gt;"")),Log[Into]),""))</f>
      </c>
      <c r="M500" s="17">
        <f>IF(Items[[#This Row],[ID]]="","",IF(IFERROR(LOOKUP(2,1/((Log[ID]=Items[[#This Row],[ID]])*(Log[Blk]&lt;&gt;"")),Log[Blk]),0)=1,"Y",""))</f>
      </c>
      <c r="N500" s="17">
        <f>IF(Items[[#This Row],[ID]]="","",SUBSTITUTE(IFERROR(LOOKUP(2,1/((Log[ID]=Items[[#This Row],[ID]])*(Log[State]&lt;&gt;"")),Log[State]),"TODO"),"OPEN",IF(Items[[#This Row],[Blocked]]="Y","WAIT","OPEN")))</f>
      </c>
      <c r="O50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00" s="17">
        <f>IF(Items[[#This Row],[State]]&lt;&gt;"WAIT","",AsOf-Items[[#This Row],[Blocked since]])</f>
      </c>
      <c r="Q500" s="17">
        <f>IF(Items[[#This Row],[State]]&lt;&gt;"WAIT","",IFERROR(LOOKUP(2,1/((Log[ID]=Items[[#This Row],[ID]])*(Log[Verb]="block")),Log[Note])&amp;"",""))</f>
      </c>
      <c r="R500" s="17">
        <f>IF(Items[[#This Row],[ID]]="","",COUNTIFS(Log[ID],Items[[#This Row],[ID]],Log[Verb],"carry"))</f>
      </c>
      <c r="S500" s="17">
        <f>IF(Items[[#This Row],[ID]]="","",COUNTIFS(Log[ID],Items[[#This Row],[ID]],Log[Verb],"punt"))</f>
      </c>
      <c r="T500" s="11">
        <f>IF(Items[[#This Row],[State]]&lt;&gt;"DONE","",IFERROR(LOOKUP(2,1/((Log[ID]=Items[[#This Row],[ID]])*(Log[Verb]="done")),Log[Date]),""))</f>
      </c>
      <c r="U500" s="17">
        <f>IF(Items[[#This Row],[ID]]="","",IF(AND(Items[[#This Row],[Sprint]]=CurSprint,OR(Items[[#This Row],[State]]="OPEN",Items[[#This Row],[State]]="WAIT",Items[[#This Row],[State]]="HOLD",Items[[#This Row],[State]]="DONE")),1,0))</f>
      </c>
      <c r="V500" s="17">
        <f>IF(OR(Items[[#This Row],[ID]]="",Items[[#This Row],[Added]]=""),"",AsOf-Items[[#This Row],[Added]])</f>
      </c>
      <c r="W500" s="17">
        <f>IF(Items[[#This Row],[In sprint]]=1,(IF(Items[[#This Row],[Prio]]="",9,N(Items[[#This Row],[Prio]]))*10+(IF(Items[[#This Row],[State]]="DONE",1,0)))*100000+ROW(),"")</f>
      </c>
      <c r="X50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00" s="17">
        <f>IF(AND(Items[[#This Row],[State]]="DONE",N(Items[[#This Row],[Done on]])&gt;AsOf-7),(200000-N(Items[[#This Row],[Done on]]))*100000+ROW(),"")</f>
      </c>
    </row>
    <row r="501">
      <c r="A501" t="s">
        <v>661</v>
      </c>
      <c r="B501" t="s">
        <v>1722</v>
      </c>
      <c r="C501" t="s">
        <v>1107</v>
      </c>
      <c r="D501" t="s">
        <v>1127</v>
      </c>
      <c r="E501" t="s">
        <v>1120</v>
      </c>
      <c r="F501" t="s">
        <v>1151</v>
      </c>
      <c r="G501">
        <v>2</v>
      </c>
      <c r="H501">
        <v>2</v>
      </c>
      <c r="I501" s="11">
        <v>46175</v>
      </c>
      <c r="J501" s="17">
        <f>IF(Items[[#This Row],[ID]]="","",IFERROR(VALUE(LOOKUP(2,1/((Log[ID]=Items[[#This Row],[ID]])*(Log[Verb]="est")),Log[Arg])),N(Items[[#This Row],[Points]])))</f>
      </c>
      <c r="K501" s="17">
        <f>IF(Items[[#This Row],[ID]]="","",IFERROR(LOOKUP(2,1/((Log[ID]=Items[[#This Row],[ID]])*(Log[Verb]="pass")),Log[Arg])&amp;"",Items[[#This Row],[Team]]&amp;""))</f>
      </c>
      <c r="L501" s="17">
        <f>IF(Items[[#This Row],[ID]]="","",IFERROR(LOOKUP(2,1/((Log[ID]=Items[[#This Row],[ID]])*(Log[Into]&lt;&gt;"")),Log[Into]),""))</f>
      </c>
      <c r="M501" s="17">
        <f>IF(Items[[#This Row],[ID]]="","",IF(IFERROR(LOOKUP(2,1/((Log[ID]=Items[[#This Row],[ID]])*(Log[Blk]&lt;&gt;"")),Log[Blk]),0)=1,"Y",""))</f>
      </c>
      <c r="N501" s="17">
        <f>IF(Items[[#This Row],[ID]]="","",SUBSTITUTE(IFERROR(LOOKUP(2,1/((Log[ID]=Items[[#This Row],[ID]])*(Log[State]&lt;&gt;"")),Log[State]),"TODO"),"OPEN",IF(Items[[#This Row],[Blocked]]="Y","WAIT","OPEN")))</f>
      </c>
      <c r="O50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01" s="17">
        <f>IF(Items[[#This Row],[State]]&lt;&gt;"WAIT","",AsOf-Items[[#This Row],[Blocked since]])</f>
      </c>
      <c r="Q501" s="17">
        <f>IF(Items[[#This Row],[State]]&lt;&gt;"WAIT","",IFERROR(LOOKUP(2,1/((Log[ID]=Items[[#This Row],[ID]])*(Log[Verb]="block")),Log[Note])&amp;"",""))</f>
      </c>
      <c r="R501" s="17">
        <f>IF(Items[[#This Row],[ID]]="","",COUNTIFS(Log[ID],Items[[#This Row],[ID]],Log[Verb],"carry"))</f>
      </c>
      <c r="S501" s="17">
        <f>IF(Items[[#This Row],[ID]]="","",COUNTIFS(Log[ID],Items[[#This Row],[ID]],Log[Verb],"punt"))</f>
      </c>
      <c r="T501" s="11">
        <f>IF(Items[[#This Row],[State]]&lt;&gt;"DONE","",IFERROR(LOOKUP(2,1/((Log[ID]=Items[[#This Row],[ID]])*(Log[Verb]="done")),Log[Date]),""))</f>
      </c>
      <c r="U501" s="17">
        <f>IF(Items[[#This Row],[ID]]="","",IF(AND(Items[[#This Row],[Sprint]]=CurSprint,OR(Items[[#This Row],[State]]="OPEN",Items[[#This Row],[State]]="WAIT",Items[[#This Row],[State]]="HOLD",Items[[#This Row],[State]]="DONE")),1,0))</f>
      </c>
      <c r="V501" s="17">
        <f>IF(OR(Items[[#This Row],[ID]]="",Items[[#This Row],[Added]]=""),"",AsOf-Items[[#This Row],[Added]])</f>
      </c>
      <c r="W501" s="17">
        <f>IF(Items[[#This Row],[In sprint]]=1,(IF(Items[[#This Row],[Prio]]="",9,N(Items[[#This Row],[Prio]]))*10+(IF(Items[[#This Row],[State]]="DONE",1,0)))*100000+ROW(),"")</f>
      </c>
      <c r="X50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01" s="17">
        <f>IF(AND(Items[[#This Row],[State]]="DONE",N(Items[[#This Row],[Done on]])&gt;AsOf-7),(200000-N(Items[[#This Row],[Done on]]))*100000+ROW(),"")</f>
      </c>
    </row>
    <row r="502">
      <c r="A502" t="s">
        <v>662</v>
      </c>
      <c r="B502" t="s">
        <v>1723</v>
      </c>
      <c r="C502" t="s">
        <v>1107</v>
      </c>
      <c r="D502" t="s">
        <v>1123</v>
      </c>
      <c r="E502" t="s">
        <v>1120</v>
      </c>
      <c r="F502" t="s">
        <v>1153</v>
      </c>
      <c r="G502">
        <v>5</v>
      </c>
      <c r="H502">
        <v>2</v>
      </c>
      <c r="I502" s="11">
        <v>46175</v>
      </c>
      <c r="J502" s="17">
        <f>IF(Items[[#This Row],[ID]]="","",IFERROR(VALUE(LOOKUP(2,1/((Log[ID]=Items[[#This Row],[ID]])*(Log[Verb]="est")),Log[Arg])),N(Items[[#This Row],[Points]])))</f>
      </c>
      <c r="K502" s="17">
        <f>IF(Items[[#This Row],[ID]]="","",IFERROR(LOOKUP(2,1/((Log[ID]=Items[[#This Row],[ID]])*(Log[Verb]="pass")),Log[Arg])&amp;"",Items[[#This Row],[Team]]&amp;""))</f>
      </c>
      <c r="L502" s="17">
        <f>IF(Items[[#This Row],[ID]]="","",IFERROR(LOOKUP(2,1/((Log[ID]=Items[[#This Row],[ID]])*(Log[Into]&lt;&gt;"")),Log[Into]),""))</f>
      </c>
      <c r="M502" s="17">
        <f>IF(Items[[#This Row],[ID]]="","",IF(IFERROR(LOOKUP(2,1/((Log[ID]=Items[[#This Row],[ID]])*(Log[Blk]&lt;&gt;"")),Log[Blk]),0)=1,"Y",""))</f>
      </c>
      <c r="N502" s="17">
        <f>IF(Items[[#This Row],[ID]]="","",SUBSTITUTE(IFERROR(LOOKUP(2,1/((Log[ID]=Items[[#This Row],[ID]])*(Log[State]&lt;&gt;"")),Log[State]),"TODO"),"OPEN",IF(Items[[#This Row],[Blocked]]="Y","WAIT","OPEN")))</f>
      </c>
      <c r="O50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02" s="17">
        <f>IF(Items[[#This Row],[State]]&lt;&gt;"WAIT","",AsOf-Items[[#This Row],[Blocked since]])</f>
      </c>
      <c r="Q502" s="17">
        <f>IF(Items[[#This Row],[State]]&lt;&gt;"WAIT","",IFERROR(LOOKUP(2,1/((Log[ID]=Items[[#This Row],[ID]])*(Log[Verb]="block")),Log[Note])&amp;"",""))</f>
      </c>
      <c r="R502" s="17">
        <f>IF(Items[[#This Row],[ID]]="","",COUNTIFS(Log[ID],Items[[#This Row],[ID]],Log[Verb],"carry"))</f>
      </c>
      <c r="S502" s="17">
        <f>IF(Items[[#This Row],[ID]]="","",COUNTIFS(Log[ID],Items[[#This Row],[ID]],Log[Verb],"punt"))</f>
      </c>
      <c r="T502" s="11">
        <f>IF(Items[[#This Row],[State]]&lt;&gt;"DONE","",IFERROR(LOOKUP(2,1/((Log[ID]=Items[[#This Row],[ID]])*(Log[Verb]="done")),Log[Date]),""))</f>
      </c>
      <c r="U502" s="17">
        <f>IF(Items[[#This Row],[ID]]="","",IF(AND(Items[[#This Row],[Sprint]]=CurSprint,OR(Items[[#This Row],[State]]="OPEN",Items[[#This Row],[State]]="WAIT",Items[[#This Row],[State]]="HOLD",Items[[#This Row],[State]]="DONE")),1,0))</f>
      </c>
      <c r="V502" s="17">
        <f>IF(OR(Items[[#This Row],[ID]]="",Items[[#This Row],[Added]]=""),"",AsOf-Items[[#This Row],[Added]])</f>
      </c>
      <c r="W502" s="17">
        <f>IF(Items[[#This Row],[In sprint]]=1,(IF(Items[[#This Row],[Prio]]="",9,N(Items[[#This Row],[Prio]]))*10+(IF(Items[[#This Row],[State]]="DONE",1,0)))*100000+ROW(),"")</f>
      </c>
      <c r="X50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02" s="17">
        <f>IF(AND(Items[[#This Row],[State]]="DONE",N(Items[[#This Row],[Done on]])&gt;AsOf-7),(200000-N(Items[[#This Row],[Done on]]))*100000+ROW(),"")</f>
      </c>
    </row>
    <row r="503">
      <c r="A503" t="s">
        <v>663</v>
      </c>
      <c r="B503" t="s">
        <v>1724</v>
      </c>
      <c r="C503" t="s">
        <v>1107</v>
      </c>
      <c r="D503" t="s">
        <v>1127</v>
      </c>
      <c r="E503" t="s">
        <v>1120</v>
      </c>
      <c r="F503" t="s">
        <v>1193</v>
      </c>
      <c r="G503">
        <v>8</v>
      </c>
      <c r="H503">
        <v>1</v>
      </c>
      <c r="I503" s="11">
        <v>46175</v>
      </c>
      <c r="J503" s="17">
        <f>IF(Items[[#This Row],[ID]]="","",IFERROR(VALUE(LOOKUP(2,1/((Log[ID]=Items[[#This Row],[ID]])*(Log[Verb]="est")),Log[Arg])),N(Items[[#This Row],[Points]])))</f>
      </c>
      <c r="K503" s="17">
        <f>IF(Items[[#This Row],[ID]]="","",IFERROR(LOOKUP(2,1/((Log[ID]=Items[[#This Row],[ID]])*(Log[Verb]="pass")),Log[Arg])&amp;"",Items[[#This Row],[Team]]&amp;""))</f>
      </c>
      <c r="L503" s="17">
        <f>IF(Items[[#This Row],[ID]]="","",IFERROR(LOOKUP(2,1/((Log[ID]=Items[[#This Row],[ID]])*(Log[Into]&lt;&gt;"")),Log[Into]),""))</f>
      </c>
      <c r="M503" s="17">
        <f>IF(Items[[#This Row],[ID]]="","",IF(IFERROR(LOOKUP(2,1/((Log[ID]=Items[[#This Row],[ID]])*(Log[Blk]&lt;&gt;"")),Log[Blk]),0)=1,"Y",""))</f>
      </c>
      <c r="N503" s="17">
        <f>IF(Items[[#This Row],[ID]]="","",SUBSTITUTE(IFERROR(LOOKUP(2,1/((Log[ID]=Items[[#This Row],[ID]])*(Log[State]&lt;&gt;"")),Log[State]),"TODO"),"OPEN",IF(Items[[#This Row],[Blocked]]="Y","WAIT","OPEN")))</f>
      </c>
      <c r="O50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03" s="17">
        <f>IF(Items[[#This Row],[State]]&lt;&gt;"WAIT","",AsOf-Items[[#This Row],[Blocked since]])</f>
      </c>
      <c r="Q503" s="17">
        <f>IF(Items[[#This Row],[State]]&lt;&gt;"WAIT","",IFERROR(LOOKUP(2,1/((Log[ID]=Items[[#This Row],[ID]])*(Log[Verb]="block")),Log[Note])&amp;"",""))</f>
      </c>
      <c r="R503" s="17">
        <f>IF(Items[[#This Row],[ID]]="","",COUNTIFS(Log[ID],Items[[#This Row],[ID]],Log[Verb],"carry"))</f>
      </c>
      <c r="S503" s="17">
        <f>IF(Items[[#This Row],[ID]]="","",COUNTIFS(Log[ID],Items[[#This Row],[ID]],Log[Verb],"punt"))</f>
      </c>
      <c r="T503" s="11">
        <f>IF(Items[[#This Row],[State]]&lt;&gt;"DONE","",IFERROR(LOOKUP(2,1/((Log[ID]=Items[[#This Row],[ID]])*(Log[Verb]="done")),Log[Date]),""))</f>
      </c>
      <c r="U503" s="17">
        <f>IF(Items[[#This Row],[ID]]="","",IF(AND(Items[[#This Row],[Sprint]]=CurSprint,OR(Items[[#This Row],[State]]="OPEN",Items[[#This Row],[State]]="WAIT",Items[[#This Row],[State]]="HOLD",Items[[#This Row],[State]]="DONE")),1,0))</f>
      </c>
      <c r="V503" s="17">
        <f>IF(OR(Items[[#This Row],[ID]]="",Items[[#This Row],[Added]]=""),"",AsOf-Items[[#This Row],[Added]])</f>
      </c>
      <c r="W503" s="17">
        <f>IF(Items[[#This Row],[In sprint]]=1,(IF(Items[[#This Row],[Prio]]="",9,N(Items[[#This Row],[Prio]]))*10+(IF(Items[[#This Row],[State]]="DONE",1,0)))*100000+ROW(),"")</f>
      </c>
      <c r="X50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03" s="17">
        <f>IF(AND(Items[[#This Row],[State]]="DONE",N(Items[[#This Row],[Done on]])&gt;AsOf-7),(200000-N(Items[[#This Row],[Done on]]))*100000+ROW(),"")</f>
      </c>
    </row>
    <row r="504">
      <c r="A504" t="s">
        <v>664</v>
      </c>
      <c r="B504" t="s">
        <v>1725</v>
      </c>
      <c r="C504" t="s">
        <v>1107</v>
      </c>
      <c r="D504" t="s">
        <v>1108</v>
      </c>
      <c r="E504" t="s">
        <v>1120</v>
      </c>
      <c r="F504" t="s">
        <v>1421</v>
      </c>
      <c r="G504">
        <v>8</v>
      </c>
      <c r="H504">
        <v>1</v>
      </c>
      <c r="I504" s="11">
        <v>46175</v>
      </c>
      <c r="J504" s="17">
        <f>IF(Items[[#This Row],[ID]]="","",IFERROR(VALUE(LOOKUP(2,1/((Log[ID]=Items[[#This Row],[ID]])*(Log[Verb]="est")),Log[Arg])),N(Items[[#This Row],[Points]])))</f>
      </c>
      <c r="K504" s="17">
        <f>IF(Items[[#This Row],[ID]]="","",IFERROR(LOOKUP(2,1/((Log[ID]=Items[[#This Row],[ID]])*(Log[Verb]="pass")),Log[Arg])&amp;"",Items[[#This Row],[Team]]&amp;""))</f>
      </c>
      <c r="L504" s="17">
        <f>IF(Items[[#This Row],[ID]]="","",IFERROR(LOOKUP(2,1/((Log[ID]=Items[[#This Row],[ID]])*(Log[Into]&lt;&gt;"")),Log[Into]),""))</f>
      </c>
      <c r="M504" s="17">
        <f>IF(Items[[#This Row],[ID]]="","",IF(IFERROR(LOOKUP(2,1/((Log[ID]=Items[[#This Row],[ID]])*(Log[Blk]&lt;&gt;"")),Log[Blk]),0)=1,"Y",""))</f>
      </c>
      <c r="N504" s="17">
        <f>IF(Items[[#This Row],[ID]]="","",SUBSTITUTE(IFERROR(LOOKUP(2,1/((Log[ID]=Items[[#This Row],[ID]])*(Log[State]&lt;&gt;"")),Log[State]),"TODO"),"OPEN",IF(Items[[#This Row],[Blocked]]="Y","WAIT","OPEN")))</f>
      </c>
      <c r="O50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04" s="17">
        <f>IF(Items[[#This Row],[State]]&lt;&gt;"WAIT","",AsOf-Items[[#This Row],[Blocked since]])</f>
      </c>
      <c r="Q504" s="17">
        <f>IF(Items[[#This Row],[State]]&lt;&gt;"WAIT","",IFERROR(LOOKUP(2,1/((Log[ID]=Items[[#This Row],[ID]])*(Log[Verb]="block")),Log[Note])&amp;"",""))</f>
      </c>
      <c r="R504" s="17">
        <f>IF(Items[[#This Row],[ID]]="","",COUNTIFS(Log[ID],Items[[#This Row],[ID]],Log[Verb],"carry"))</f>
      </c>
      <c r="S504" s="17">
        <f>IF(Items[[#This Row],[ID]]="","",COUNTIFS(Log[ID],Items[[#This Row],[ID]],Log[Verb],"punt"))</f>
      </c>
      <c r="T504" s="11">
        <f>IF(Items[[#This Row],[State]]&lt;&gt;"DONE","",IFERROR(LOOKUP(2,1/((Log[ID]=Items[[#This Row],[ID]])*(Log[Verb]="done")),Log[Date]),""))</f>
      </c>
      <c r="U504" s="17">
        <f>IF(Items[[#This Row],[ID]]="","",IF(AND(Items[[#This Row],[Sprint]]=CurSprint,OR(Items[[#This Row],[State]]="OPEN",Items[[#This Row],[State]]="WAIT",Items[[#This Row],[State]]="HOLD",Items[[#This Row],[State]]="DONE")),1,0))</f>
      </c>
      <c r="V504" s="17">
        <f>IF(OR(Items[[#This Row],[ID]]="",Items[[#This Row],[Added]]=""),"",AsOf-Items[[#This Row],[Added]])</f>
      </c>
      <c r="W504" s="17">
        <f>IF(Items[[#This Row],[In sprint]]=1,(IF(Items[[#This Row],[Prio]]="",9,N(Items[[#This Row],[Prio]]))*10+(IF(Items[[#This Row],[State]]="DONE",1,0)))*100000+ROW(),"")</f>
      </c>
      <c r="X50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04" s="17">
        <f>IF(AND(Items[[#This Row],[State]]="DONE",N(Items[[#This Row],[Done on]])&gt;AsOf-7),(200000-N(Items[[#This Row],[Done on]]))*100000+ROW(),"")</f>
      </c>
    </row>
    <row r="505">
      <c r="A505" t="s">
        <v>667</v>
      </c>
      <c r="B505" t="s">
        <v>1726</v>
      </c>
      <c r="C505" t="s">
        <v>1107</v>
      </c>
      <c r="D505" t="s">
        <v>1127</v>
      </c>
      <c r="E505" t="s">
        <v>1124</v>
      </c>
      <c r="F505" t="s">
        <v>1200</v>
      </c>
      <c r="G505">
        <v>2</v>
      </c>
      <c r="H505">
        <v>3</v>
      </c>
      <c r="I505" s="11">
        <v>46175</v>
      </c>
      <c r="J505" s="17">
        <f>IF(Items[[#This Row],[ID]]="","",IFERROR(VALUE(LOOKUP(2,1/((Log[ID]=Items[[#This Row],[ID]])*(Log[Verb]="est")),Log[Arg])),N(Items[[#This Row],[Points]])))</f>
      </c>
      <c r="K505" s="17">
        <f>IF(Items[[#This Row],[ID]]="","",IFERROR(LOOKUP(2,1/((Log[ID]=Items[[#This Row],[ID]])*(Log[Verb]="pass")),Log[Arg])&amp;"",Items[[#This Row],[Team]]&amp;""))</f>
      </c>
      <c r="L505" s="17">
        <f>IF(Items[[#This Row],[ID]]="","",IFERROR(LOOKUP(2,1/((Log[ID]=Items[[#This Row],[ID]])*(Log[Into]&lt;&gt;"")),Log[Into]),""))</f>
      </c>
      <c r="M505" s="17">
        <f>IF(Items[[#This Row],[ID]]="","",IF(IFERROR(LOOKUP(2,1/((Log[ID]=Items[[#This Row],[ID]])*(Log[Blk]&lt;&gt;"")),Log[Blk]),0)=1,"Y",""))</f>
      </c>
      <c r="N505" s="17">
        <f>IF(Items[[#This Row],[ID]]="","",SUBSTITUTE(IFERROR(LOOKUP(2,1/((Log[ID]=Items[[#This Row],[ID]])*(Log[State]&lt;&gt;"")),Log[State]),"TODO"),"OPEN",IF(Items[[#This Row],[Blocked]]="Y","WAIT","OPEN")))</f>
      </c>
      <c r="O50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05" s="17">
        <f>IF(Items[[#This Row],[State]]&lt;&gt;"WAIT","",AsOf-Items[[#This Row],[Blocked since]])</f>
      </c>
      <c r="Q505" s="17">
        <f>IF(Items[[#This Row],[State]]&lt;&gt;"WAIT","",IFERROR(LOOKUP(2,1/((Log[ID]=Items[[#This Row],[ID]])*(Log[Verb]="block")),Log[Note])&amp;"",""))</f>
      </c>
      <c r="R505" s="17">
        <f>IF(Items[[#This Row],[ID]]="","",COUNTIFS(Log[ID],Items[[#This Row],[ID]],Log[Verb],"carry"))</f>
      </c>
      <c r="S505" s="17">
        <f>IF(Items[[#This Row],[ID]]="","",COUNTIFS(Log[ID],Items[[#This Row],[ID]],Log[Verb],"punt"))</f>
      </c>
      <c r="T505" s="11">
        <f>IF(Items[[#This Row],[State]]&lt;&gt;"DONE","",IFERROR(LOOKUP(2,1/((Log[ID]=Items[[#This Row],[ID]])*(Log[Verb]="done")),Log[Date]),""))</f>
      </c>
      <c r="U505" s="17">
        <f>IF(Items[[#This Row],[ID]]="","",IF(AND(Items[[#This Row],[Sprint]]=CurSprint,OR(Items[[#This Row],[State]]="OPEN",Items[[#This Row],[State]]="WAIT",Items[[#This Row],[State]]="HOLD",Items[[#This Row],[State]]="DONE")),1,0))</f>
      </c>
      <c r="V505" s="17">
        <f>IF(OR(Items[[#This Row],[ID]]="",Items[[#This Row],[Added]]=""),"",AsOf-Items[[#This Row],[Added]])</f>
      </c>
      <c r="W505" s="17">
        <f>IF(Items[[#This Row],[In sprint]]=1,(IF(Items[[#This Row],[Prio]]="",9,N(Items[[#This Row],[Prio]]))*10+(IF(Items[[#This Row],[State]]="DONE",1,0)))*100000+ROW(),"")</f>
      </c>
      <c r="X50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05" s="17">
        <f>IF(AND(Items[[#This Row],[State]]="DONE",N(Items[[#This Row],[Done on]])&gt;AsOf-7),(200000-N(Items[[#This Row],[Done on]]))*100000+ROW(),"")</f>
      </c>
    </row>
    <row r="506">
      <c r="A506" t="s">
        <v>668</v>
      </c>
      <c r="B506" t="s">
        <v>1727</v>
      </c>
      <c r="C506" t="s">
        <v>1107</v>
      </c>
      <c r="D506" t="s">
        <v>1123</v>
      </c>
      <c r="E506" t="s">
        <v>1124</v>
      </c>
      <c r="F506" t="s">
        <v>1157</v>
      </c>
      <c r="G506">
        <v>2</v>
      </c>
      <c r="H506">
        <v>1</v>
      </c>
      <c r="I506" s="11">
        <v>46175</v>
      </c>
      <c r="J506" s="17">
        <f>IF(Items[[#This Row],[ID]]="","",IFERROR(VALUE(LOOKUP(2,1/((Log[ID]=Items[[#This Row],[ID]])*(Log[Verb]="est")),Log[Arg])),N(Items[[#This Row],[Points]])))</f>
      </c>
      <c r="K506" s="17">
        <f>IF(Items[[#This Row],[ID]]="","",IFERROR(LOOKUP(2,1/((Log[ID]=Items[[#This Row],[ID]])*(Log[Verb]="pass")),Log[Arg])&amp;"",Items[[#This Row],[Team]]&amp;""))</f>
      </c>
      <c r="L506" s="17">
        <f>IF(Items[[#This Row],[ID]]="","",IFERROR(LOOKUP(2,1/((Log[ID]=Items[[#This Row],[ID]])*(Log[Into]&lt;&gt;"")),Log[Into]),""))</f>
      </c>
      <c r="M506" s="17">
        <f>IF(Items[[#This Row],[ID]]="","",IF(IFERROR(LOOKUP(2,1/((Log[ID]=Items[[#This Row],[ID]])*(Log[Blk]&lt;&gt;"")),Log[Blk]),0)=1,"Y",""))</f>
      </c>
      <c r="N506" s="17">
        <f>IF(Items[[#This Row],[ID]]="","",SUBSTITUTE(IFERROR(LOOKUP(2,1/((Log[ID]=Items[[#This Row],[ID]])*(Log[State]&lt;&gt;"")),Log[State]),"TODO"),"OPEN",IF(Items[[#This Row],[Blocked]]="Y","WAIT","OPEN")))</f>
      </c>
      <c r="O50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06" s="17">
        <f>IF(Items[[#This Row],[State]]&lt;&gt;"WAIT","",AsOf-Items[[#This Row],[Blocked since]])</f>
      </c>
      <c r="Q506" s="17">
        <f>IF(Items[[#This Row],[State]]&lt;&gt;"WAIT","",IFERROR(LOOKUP(2,1/((Log[ID]=Items[[#This Row],[ID]])*(Log[Verb]="block")),Log[Note])&amp;"",""))</f>
      </c>
      <c r="R506" s="17">
        <f>IF(Items[[#This Row],[ID]]="","",COUNTIFS(Log[ID],Items[[#This Row],[ID]],Log[Verb],"carry"))</f>
      </c>
      <c r="S506" s="17">
        <f>IF(Items[[#This Row],[ID]]="","",COUNTIFS(Log[ID],Items[[#This Row],[ID]],Log[Verb],"punt"))</f>
      </c>
      <c r="T506" s="11">
        <f>IF(Items[[#This Row],[State]]&lt;&gt;"DONE","",IFERROR(LOOKUP(2,1/((Log[ID]=Items[[#This Row],[ID]])*(Log[Verb]="done")),Log[Date]),""))</f>
      </c>
      <c r="U506" s="17">
        <f>IF(Items[[#This Row],[ID]]="","",IF(AND(Items[[#This Row],[Sprint]]=CurSprint,OR(Items[[#This Row],[State]]="OPEN",Items[[#This Row],[State]]="WAIT",Items[[#This Row],[State]]="HOLD",Items[[#This Row],[State]]="DONE")),1,0))</f>
      </c>
      <c r="V506" s="17">
        <f>IF(OR(Items[[#This Row],[ID]]="",Items[[#This Row],[Added]]=""),"",AsOf-Items[[#This Row],[Added]])</f>
      </c>
      <c r="W506" s="17">
        <f>IF(Items[[#This Row],[In sprint]]=1,(IF(Items[[#This Row],[Prio]]="",9,N(Items[[#This Row],[Prio]]))*10+(IF(Items[[#This Row],[State]]="DONE",1,0)))*100000+ROW(),"")</f>
      </c>
      <c r="X50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06" s="17">
        <f>IF(AND(Items[[#This Row],[State]]="DONE",N(Items[[#This Row],[Done on]])&gt;AsOf-7),(200000-N(Items[[#This Row],[Done on]]))*100000+ROW(),"")</f>
      </c>
    </row>
    <row r="507">
      <c r="A507" t="s">
        <v>669</v>
      </c>
      <c r="B507" t="s">
        <v>1728</v>
      </c>
      <c r="C507" t="s">
        <v>1115</v>
      </c>
      <c r="D507" t="s">
        <v>1119</v>
      </c>
      <c r="E507" t="s">
        <v>1124</v>
      </c>
      <c r="F507" t="s">
        <v>1200</v>
      </c>
      <c r="G507">
        <v>8</v>
      </c>
      <c r="H507">
        <v>3</v>
      </c>
      <c r="I507" s="11">
        <v>46175</v>
      </c>
      <c r="J507" s="17">
        <f>IF(Items[[#This Row],[ID]]="","",IFERROR(VALUE(LOOKUP(2,1/((Log[ID]=Items[[#This Row],[ID]])*(Log[Verb]="est")),Log[Arg])),N(Items[[#This Row],[Points]])))</f>
      </c>
      <c r="K507" s="17">
        <f>IF(Items[[#This Row],[ID]]="","",IFERROR(LOOKUP(2,1/((Log[ID]=Items[[#This Row],[ID]])*(Log[Verb]="pass")),Log[Arg])&amp;"",Items[[#This Row],[Team]]&amp;""))</f>
      </c>
      <c r="L507" s="17">
        <f>IF(Items[[#This Row],[ID]]="","",IFERROR(LOOKUP(2,1/((Log[ID]=Items[[#This Row],[ID]])*(Log[Into]&lt;&gt;"")),Log[Into]),""))</f>
      </c>
      <c r="M507" s="17">
        <f>IF(Items[[#This Row],[ID]]="","",IF(IFERROR(LOOKUP(2,1/((Log[ID]=Items[[#This Row],[ID]])*(Log[Blk]&lt;&gt;"")),Log[Blk]),0)=1,"Y",""))</f>
      </c>
      <c r="N507" s="17">
        <f>IF(Items[[#This Row],[ID]]="","",SUBSTITUTE(IFERROR(LOOKUP(2,1/((Log[ID]=Items[[#This Row],[ID]])*(Log[State]&lt;&gt;"")),Log[State]),"TODO"),"OPEN",IF(Items[[#This Row],[Blocked]]="Y","WAIT","OPEN")))</f>
      </c>
      <c r="O50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07" s="17">
        <f>IF(Items[[#This Row],[State]]&lt;&gt;"WAIT","",AsOf-Items[[#This Row],[Blocked since]])</f>
      </c>
      <c r="Q507" s="17">
        <f>IF(Items[[#This Row],[State]]&lt;&gt;"WAIT","",IFERROR(LOOKUP(2,1/((Log[ID]=Items[[#This Row],[ID]])*(Log[Verb]="block")),Log[Note])&amp;"",""))</f>
      </c>
      <c r="R507" s="17">
        <f>IF(Items[[#This Row],[ID]]="","",COUNTIFS(Log[ID],Items[[#This Row],[ID]],Log[Verb],"carry"))</f>
      </c>
      <c r="S507" s="17">
        <f>IF(Items[[#This Row],[ID]]="","",COUNTIFS(Log[ID],Items[[#This Row],[ID]],Log[Verb],"punt"))</f>
      </c>
      <c r="T507" s="11">
        <f>IF(Items[[#This Row],[State]]&lt;&gt;"DONE","",IFERROR(LOOKUP(2,1/((Log[ID]=Items[[#This Row],[ID]])*(Log[Verb]="done")),Log[Date]),""))</f>
      </c>
      <c r="U507" s="17">
        <f>IF(Items[[#This Row],[ID]]="","",IF(AND(Items[[#This Row],[Sprint]]=CurSprint,OR(Items[[#This Row],[State]]="OPEN",Items[[#This Row],[State]]="WAIT",Items[[#This Row],[State]]="HOLD",Items[[#This Row],[State]]="DONE")),1,0))</f>
      </c>
      <c r="V507" s="17">
        <f>IF(OR(Items[[#This Row],[ID]]="",Items[[#This Row],[Added]]=""),"",AsOf-Items[[#This Row],[Added]])</f>
      </c>
      <c r="W507" s="17">
        <f>IF(Items[[#This Row],[In sprint]]=1,(IF(Items[[#This Row],[Prio]]="",9,N(Items[[#This Row],[Prio]]))*10+(IF(Items[[#This Row],[State]]="DONE",1,0)))*100000+ROW(),"")</f>
      </c>
      <c r="X50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07" s="17">
        <f>IF(AND(Items[[#This Row],[State]]="DONE",N(Items[[#This Row],[Done on]])&gt;AsOf-7),(200000-N(Items[[#This Row],[Done on]]))*100000+ROW(),"")</f>
      </c>
    </row>
    <row r="508">
      <c r="A508" t="s">
        <v>615</v>
      </c>
      <c r="B508" t="s">
        <v>1729</v>
      </c>
      <c r="C508" t="s">
        <v>1115</v>
      </c>
      <c r="D508" t="s">
        <v>1119</v>
      </c>
      <c r="E508" t="s">
        <v>1159</v>
      </c>
      <c r="F508" t="s">
        <v>1207</v>
      </c>
      <c r="G508">
        <v>3</v>
      </c>
      <c r="H508">
        <v>3</v>
      </c>
      <c r="I508" s="11">
        <v>46175</v>
      </c>
      <c r="J508" s="17">
        <f>IF(Items[[#This Row],[ID]]="","",IFERROR(VALUE(LOOKUP(2,1/((Log[ID]=Items[[#This Row],[ID]])*(Log[Verb]="est")),Log[Arg])),N(Items[[#This Row],[Points]])))</f>
      </c>
      <c r="K508" s="17">
        <f>IF(Items[[#This Row],[ID]]="","",IFERROR(LOOKUP(2,1/((Log[ID]=Items[[#This Row],[ID]])*(Log[Verb]="pass")),Log[Arg])&amp;"",Items[[#This Row],[Team]]&amp;""))</f>
      </c>
      <c r="L508" s="17">
        <f>IF(Items[[#This Row],[ID]]="","",IFERROR(LOOKUP(2,1/((Log[ID]=Items[[#This Row],[ID]])*(Log[Into]&lt;&gt;"")),Log[Into]),""))</f>
      </c>
      <c r="M508" s="17">
        <f>IF(Items[[#This Row],[ID]]="","",IF(IFERROR(LOOKUP(2,1/((Log[ID]=Items[[#This Row],[ID]])*(Log[Blk]&lt;&gt;"")),Log[Blk]),0)=1,"Y",""))</f>
      </c>
      <c r="N508" s="17">
        <f>IF(Items[[#This Row],[ID]]="","",SUBSTITUTE(IFERROR(LOOKUP(2,1/((Log[ID]=Items[[#This Row],[ID]])*(Log[State]&lt;&gt;"")),Log[State]),"TODO"),"OPEN",IF(Items[[#This Row],[Blocked]]="Y","WAIT","OPEN")))</f>
      </c>
      <c r="O50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08" s="17">
        <f>IF(Items[[#This Row],[State]]&lt;&gt;"WAIT","",AsOf-Items[[#This Row],[Blocked since]])</f>
      </c>
      <c r="Q508" s="17">
        <f>IF(Items[[#This Row],[State]]&lt;&gt;"WAIT","",IFERROR(LOOKUP(2,1/((Log[ID]=Items[[#This Row],[ID]])*(Log[Verb]="block")),Log[Note])&amp;"",""))</f>
      </c>
      <c r="R508" s="17">
        <f>IF(Items[[#This Row],[ID]]="","",COUNTIFS(Log[ID],Items[[#This Row],[ID]],Log[Verb],"carry"))</f>
      </c>
      <c r="S508" s="17">
        <f>IF(Items[[#This Row],[ID]]="","",COUNTIFS(Log[ID],Items[[#This Row],[ID]],Log[Verb],"punt"))</f>
      </c>
      <c r="T508" s="11">
        <f>IF(Items[[#This Row],[State]]&lt;&gt;"DONE","",IFERROR(LOOKUP(2,1/((Log[ID]=Items[[#This Row],[ID]])*(Log[Verb]="done")),Log[Date]),""))</f>
      </c>
      <c r="U508" s="17">
        <f>IF(Items[[#This Row],[ID]]="","",IF(AND(Items[[#This Row],[Sprint]]=CurSprint,OR(Items[[#This Row],[State]]="OPEN",Items[[#This Row],[State]]="WAIT",Items[[#This Row],[State]]="HOLD",Items[[#This Row],[State]]="DONE")),1,0))</f>
      </c>
      <c r="V508" s="17">
        <f>IF(OR(Items[[#This Row],[ID]]="",Items[[#This Row],[Added]]=""),"",AsOf-Items[[#This Row],[Added]])</f>
      </c>
      <c r="W508" s="17">
        <f>IF(Items[[#This Row],[In sprint]]=1,(IF(Items[[#This Row],[Prio]]="",9,N(Items[[#This Row],[Prio]]))*10+(IF(Items[[#This Row],[State]]="DONE",1,0)))*100000+ROW(),"")</f>
      </c>
      <c r="X50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08" s="17">
        <f>IF(AND(Items[[#This Row],[State]]="DONE",N(Items[[#This Row],[Done on]])&gt;AsOf-7),(200000-N(Items[[#This Row],[Done on]]))*100000+ROW(),"")</f>
      </c>
    </row>
    <row r="509">
      <c r="A509" t="s">
        <v>616</v>
      </c>
      <c r="B509" t="s">
        <v>1730</v>
      </c>
      <c r="C509" t="s">
        <v>1115</v>
      </c>
      <c r="D509" t="s">
        <v>1116</v>
      </c>
      <c r="E509" t="s">
        <v>1159</v>
      </c>
      <c r="F509" t="s">
        <v>1433</v>
      </c>
      <c r="G509">
        <v>2</v>
      </c>
      <c r="H509">
        <v>1</v>
      </c>
      <c r="I509" s="11">
        <v>46175</v>
      </c>
      <c r="J509" s="17">
        <f>IF(Items[[#This Row],[ID]]="","",IFERROR(VALUE(LOOKUP(2,1/((Log[ID]=Items[[#This Row],[ID]])*(Log[Verb]="est")),Log[Arg])),N(Items[[#This Row],[Points]])))</f>
      </c>
      <c r="K509" s="17">
        <f>IF(Items[[#This Row],[ID]]="","",IFERROR(LOOKUP(2,1/((Log[ID]=Items[[#This Row],[ID]])*(Log[Verb]="pass")),Log[Arg])&amp;"",Items[[#This Row],[Team]]&amp;""))</f>
      </c>
      <c r="L509" s="17">
        <f>IF(Items[[#This Row],[ID]]="","",IFERROR(LOOKUP(2,1/((Log[ID]=Items[[#This Row],[ID]])*(Log[Into]&lt;&gt;"")),Log[Into]),""))</f>
      </c>
      <c r="M509" s="17">
        <f>IF(Items[[#This Row],[ID]]="","",IF(IFERROR(LOOKUP(2,1/((Log[ID]=Items[[#This Row],[ID]])*(Log[Blk]&lt;&gt;"")),Log[Blk]),0)=1,"Y",""))</f>
      </c>
      <c r="N509" s="17">
        <f>IF(Items[[#This Row],[ID]]="","",SUBSTITUTE(IFERROR(LOOKUP(2,1/((Log[ID]=Items[[#This Row],[ID]])*(Log[State]&lt;&gt;"")),Log[State]),"TODO"),"OPEN",IF(Items[[#This Row],[Blocked]]="Y","WAIT","OPEN")))</f>
      </c>
      <c r="O50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09" s="17">
        <f>IF(Items[[#This Row],[State]]&lt;&gt;"WAIT","",AsOf-Items[[#This Row],[Blocked since]])</f>
      </c>
      <c r="Q509" s="17">
        <f>IF(Items[[#This Row],[State]]&lt;&gt;"WAIT","",IFERROR(LOOKUP(2,1/((Log[ID]=Items[[#This Row],[ID]])*(Log[Verb]="block")),Log[Note])&amp;"",""))</f>
      </c>
      <c r="R509" s="17">
        <f>IF(Items[[#This Row],[ID]]="","",COUNTIFS(Log[ID],Items[[#This Row],[ID]],Log[Verb],"carry"))</f>
      </c>
      <c r="S509" s="17">
        <f>IF(Items[[#This Row],[ID]]="","",COUNTIFS(Log[ID],Items[[#This Row],[ID]],Log[Verb],"punt"))</f>
      </c>
      <c r="T509" s="11">
        <f>IF(Items[[#This Row],[State]]&lt;&gt;"DONE","",IFERROR(LOOKUP(2,1/((Log[ID]=Items[[#This Row],[ID]])*(Log[Verb]="done")),Log[Date]),""))</f>
      </c>
      <c r="U509" s="17">
        <f>IF(Items[[#This Row],[ID]]="","",IF(AND(Items[[#This Row],[Sprint]]=CurSprint,OR(Items[[#This Row],[State]]="OPEN",Items[[#This Row],[State]]="WAIT",Items[[#This Row],[State]]="HOLD",Items[[#This Row],[State]]="DONE")),1,0))</f>
      </c>
      <c r="V509" s="17">
        <f>IF(OR(Items[[#This Row],[ID]]="",Items[[#This Row],[Added]]=""),"",AsOf-Items[[#This Row],[Added]])</f>
      </c>
      <c r="W509" s="17">
        <f>IF(Items[[#This Row],[In sprint]]=1,(IF(Items[[#This Row],[Prio]]="",9,N(Items[[#This Row],[Prio]]))*10+(IF(Items[[#This Row],[State]]="DONE",1,0)))*100000+ROW(),"")</f>
      </c>
      <c r="X50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09" s="17">
        <f>IF(AND(Items[[#This Row],[State]]="DONE",N(Items[[#This Row],[Done on]])&gt;AsOf-7),(200000-N(Items[[#This Row],[Done on]]))*100000+ROW(),"")</f>
      </c>
    </row>
    <row r="510">
      <c r="A510" t="s">
        <v>673</v>
      </c>
      <c r="B510" t="s">
        <v>1731</v>
      </c>
      <c r="C510" t="s">
        <v>1107</v>
      </c>
      <c r="D510" t="s">
        <v>1108</v>
      </c>
      <c r="E510" t="s">
        <v>1159</v>
      </c>
      <c r="F510" t="s">
        <v>1207</v>
      </c>
      <c r="G510">
        <v>8</v>
      </c>
      <c r="H510">
        <v>1</v>
      </c>
      <c r="I510" s="11">
        <v>46175</v>
      </c>
      <c r="J510" s="17">
        <f>IF(Items[[#This Row],[ID]]="","",IFERROR(VALUE(LOOKUP(2,1/((Log[ID]=Items[[#This Row],[ID]])*(Log[Verb]="est")),Log[Arg])),N(Items[[#This Row],[Points]])))</f>
      </c>
      <c r="K510" s="17">
        <f>IF(Items[[#This Row],[ID]]="","",IFERROR(LOOKUP(2,1/((Log[ID]=Items[[#This Row],[ID]])*(Log[Verb]="pass")),Log[Arg])&amp;"",Items[[#This Row],[Team]]&amp;""))</f>
      </c>
      <c r="L510" s="17">
        <f>IF(Items[[#This Row],[ID]]="","",IFERROR(LOOKUP(2,1/((Log[ID]=Items[[#This Row],[ID]])*(Log[Into]&lt;&gt;"")),Log[Into]),""))</f>
      </c>
      <c r="M510" s="17">
        <f>IF(Items[[#This Row],[ID]]="","",IF(IFERROR(LOOKUP(2,1/((Log[ID]=Items[[#This Row],[ID]])*(Log[Blk]&lt;&gt;"")),Log[Blk]),0)=1,"Y",""))</f>
      </c>
      <c r="N510" s="17">
        <f>IF(Items[[#This Row],[ID]]="","",SUBSTITUTE(IFERROR(LOOKUP(2,1/((Log[ID]=Items[[#This Row],[ID]])*(Log[State]&lt;&gt;"")),Log[State]),"TODO"),"OPEN",IF(Items[[#This Row],[Blocked]]="Y","WAIT","OPEN")))</f>
      </c>
      <c r="O51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10" s="17">
        <f>IF(Items[[#This Row],[State]]&lt;&gt;"WAIT","",AsOf-Items[[#This Row],[Blocked since]])</f>
      </c>
      <c r="Q510" s="17">
        <f>IF(Items[[#This Row],[State]]&lt;&gt;"WAIT","",IFERROR(LOOKUP(2,1/((Log[ID]=Items[[#This Row],[ID]])*(Log[Verb]="block")),Log[Note])&amp;"",""))</f>
      </c>
      <c r="R510" s="17">
        <f>IF(Items[[#This Row],[ID]]="","",COUNTIFS(Log[ID],Items[[#This Row],[ID]],Log[Verb],"carry"))</f>
      </c>
      <c r="S510" s="17">
        <f>IF(Items[[#This Row],[ID]]="","",COUNTIFS(Log[ID],Items[[#This Row],[ID]],Log[Verb],"punt"))</f>
      </c>
      <c r="T510" s="11">
        <f>IF(Items[[#This Row],[State]]&lt;&gt;"DONE","",IFERROR(LOOKUP(2,1/((Log[ID]=Items[[#This Row],[ID]])*(Log[Verb]="done")),Log[Date]),""))</f>
      </c>
      <c r="U510" s="17">
        <f>IF(Items[[#This Row],[ID]]="","",IF(AND(Items[[#This Row],[Sprint]]=CurSprint,OR(Items[[#This Row],[State]]="OPEN",Items[[#This Row],[State]]="WAIT",Items[[#This Row],[State]]="HOLD",Items[[#This Row],[State]]="DONE")),1,0))</f>
      </c>
      <c r="V510" s="17">
        <f>IF(OR(Items[[#This Row],[ID]]="",Items[[#This Row],[Added]]=""),"",AsOf-Items[[#This Row],[Added]])</f>
      </c>
      <c r="W510" s="17">
        <f>IF(Items[[#This Row],[In sprint]]=1,(IF(Items[[#This Row],[Prio]]="",9,N(Items[[#This Row],[Prio]]))*10+(IF(Items[[#This Row],[State]]="DONE",1,0)))*100000+ROW(),"")</f>
      </c>
      <c r="X51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10" s="17">
        <f>IF(AND(Items[[#This Row],[State]]="DONE",N(Items[[#This Row],[Done on]])&gt;AsOf-7),(200000-N(Items[[#This Row],[Done on]]))*100000+ROW(),"")</f>
      </c>
    </row>
    <row r="511">
      <c r="A511" t="s">
        <v>728</v>
      </c>
      <c r="B511" t="s">
        <v>1732</v>
      </c>
      <c r="C511" t="s">
        <v>1115</v>
      </c>
      <c r="D511" t="s">
        <v>1119</v>
      </c>
      <c r="E511" t="s">
        <v>1159</v>
      </c>
      <c r="F511" t="s">
        <v>1437</v>
      </c>
      <c r="G511">
        <v>8</v>
      </c>
      <c r="H511">
        <v>3</v>
      </c>
      <c r="I511" s="11">
        <v>46175</v>
      </c>
      <c r="J511" s="17">
        <f>IF(Items[[#This Row],[ID]]="","",IFERROR(VALUE(LOOKUP(2,1/((Log[ID]=Items[[#This Row],[ID]])*(Log[Verb]="est")),Log[Arg])),N(Items[[#This Row],[Points]])))</f>
      </c>
      <c r="K511" s="17">
        <f>IF(Items[[#This Row],[ID]]="","",IFERROR(LOOKUP(2,1/((Log[ID]=Items[[#This Row],[ID]])*(Log[Verb]="pass")),Log[Arg])&amp;"",Items[[#This Row],[Team]]&amp;""))</f>
      </c>
      <c r="L511" s="17">
        <f>IF(Items[[#This Row],[ID]]="","",IFERROR(LOOKUP(2,1/((Log[ID]=Items[[#This Row],[ID]])*(Log[Into]&lt;&gt;"")),Log[Into]),""))</f>
      </c>
      <c r="M511" s="17">
        <f>IF(Items[[#This Row],[ID]]="","",IF(IFERROR(LOOKUP(2,1/((Log[ID]=Items[[#This Row],[ID]])*(Log[Blk]&lt;&gt;"")),Log[Blk]),0)=1,"Y",""))</f>
      </c>
      <c r="N511" s="17">
        <f>IF(Items[[#This Row],[ID]]="","",SUBSTITUTE(IFERROR(LOOKUP(2,1/((Log[ID]=Items[[#This Row],[ID]])*(Log[State]&lt;&gt;"")),Log[State]),"TODO"),"OPEN",IF(Items[[#This Row],[Blocked]]="Y","WAIT","OPEN")))</f>
      </c>
      <c r="O51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11" s="17">
        <f>IF(Items[[#This Row],[State]]&lt;&gt;"WAIT","",AsOf-Items[[#This Row],[Blocked since]])</f>
      </c>
      <c r="Q511" s="17">
        <f>IF(Items[[#This Row],[State]]&lt;&gt;"WAIT","",IFERROR(LOOKUP(2,1/((Log[ID]=Items[[#This Row],[ID]])*(Log[Verb]="block")),Log[Note])&amp;"",""))</f>
      </c>
      <c r="R511" s="17">
        <f>IF(Items[[#This Row],[ID]]="","",COUNTIFS(Log[ID],Items[[#This Row],[ID]],Log[Verb],"carry"))</f>
      </c>
      <c r="S511" s="17">
        <f>IF(Items[[#This Row],[ID]]="","",COUNTIFS(Log[ID],Items[[#This Row],[ID]],Log[Verb],"punt"))</f>
      </c>
      <c r="T511" s="11">
        <f>IF(Items[[#This Row],[State]]&lt;&gt;"DONE","",IFERROR(LOOKUP(2,1/((Log[ID]=Items[[#This Row],[ID]])*(Log[Verb]="done")),Log[Date]),""))</f>
      </c>
      <c r="U511" s="17">
        <f>IF(Items[[#This Row],[ID]]="","",IF(AND(Items[[#This Row],[Sprint]]=CurSprint,OR(Items[[#This Row],[State]]="OPEN",Items[[#This Row],[State]]="WAIT",Items[[#This Row],[State]]="HOLD",Items[[#This Row],[State]]="DONE")),1,0))</f>
      </c>
      <c r="V511" s="17">
        <f>IF(OR(Items[[#This Row],[ID]]="",Items[[#This Row],[Added]]=""),"",AsOf-Items[[#This Row],[Added]])</f>
      </c>
      <c r="W511" s="17">
        <f>IF(Items[[#This Row],[In sprint]]=1,(IF(Items[[#This Row],[Prio]]="",9,N(Items[[#This Row],[Prio]]))*10+(IF(Items[[#This Row],[State]]="DONE",1,0)))*100000+ROW(),"")</f>
      </c>
      <c r="X51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11" s="17">
        <f>IF(AND(Items[[#This Row],[State]]="DONE",N(Items[[#This Row],[Done on]])&gt;AsOf-7),(200000-N(Items[[#This Row],[Done on]]))*100000+ROW(),"")</f>
      </c>
    </row>
    <row r="512">
      <c r="A512" t="s">
        <v>623</v>
      </c>
      <c r="B512" t="s">
        <v>1733</v>
      </c>
      <c r="C512" t="s">
        <v>1107</v>
      </c>
      <c r="D512" t="s">
        <v>1127</v>
      </c>
      <c r="E512" t="s">
        <v>1128</v>
      </c>
      <c r="F512" t="s">
        <v>1451</v>
      </c>
      <c r="G512">
        <v>3</v>
      </c>
      <c r="H512">
        <v>1</v>
      </c>
      <c r="I512" s="11">
        <v>46175</v>
      </c>
      <c r="J512" s="17">
        <f>IF(Items[[#This Row],[ID]]="","",IFERROR(VALUE(LOOKUP(2,1/((Log[ID]=Items[[#This Row],[ID]])*(Log[Verb]="est")),Log[Arg])),N(Items[[#This Row],[Points]])))</f>
      </c>
      <c r="K512" s="17">
        <f>IF(Items[[#This Row],[ID]]="","",IFERROR(LOOKUP(2,1/((Log[ID]=Items[[#This Row],[ID]])*(Log[Verb]="pass")),Log[Arg])&amp;"",Items[[#This Row],[Team]]&amp;""))</f>
      </c>
      <c r="L512" s="17">
        <f>IF(Items[[#This Row],[ID]]="","",IFERROR(LOOKUP(2,1/((Log[ID]=Items[[#This Row],[ID]])*(Log[Into]&lt;&gt;"")),Log[Into]),""))</f>
      </c>
      <c r="M512" s="17">
        <f>IF(Items[[#This Row],[ID]]="","",IF(IFERROR(LOOKUP(2,1/((Log[ID]=Items[[#This Row],[ID]])*(Log[Blk]&lt;&gt;"")),Log[Blk]),0)=1,"Y",""))</f>
      </c>
      <c r="N512" s="17">
        <f>IF(Items[[#This Row],[ID]]="","",SUBSTITUTE(IFERROR(LOOKUP(2,1/((Log[ID]=Items[[#This Row],[ID]])*(Log[State]&lt;&gt;"")),Log[State]),"TODO"),"OPEN",IF(Items[[#This Row],[Blocked]]="Y","WAIT","OPEN")))</f>
      </c>
      <c r="O51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12" s="17">
        <f>IF(Items[[#This Row],[State]]&lt;&gt;"WAIT","",AsOf-Items[[#This Row],[Blocked since]])</f>
      </c>
      <c r="Q512" s="17">
        <f>IF(Items[[#This Row],[State]]&lt;&gt;"WAIT","",IFERROR(LOOKUP(2,1/((Log[ID]=Items[[#This Row],[ID]])*(Log[Verb]="block")),Log[Note])&amp;"",""))</f>
      </c>
      <c r="R512" s="17">
        <f>IF(Items[[#This Row],[ID]]="","",COUNTIFS(Log[ID],Items[[#This Row],[ID]],Log[Verb],"carry"))</f>
      </c>
      <c r="S512" s="17">
        <f>IF(Items[[#This Row],[ID]]="","",COUNTIFS(Log[ID],Items[[#This Row],[ID]],Log[Verb],"punt"))</f>
      </c>
      <c r="T512" s="11">
        <f>IF(Items[[#This Row],[State]]&lt;&gt;"DONE","",IFERROR(LOOKUP(2,1/((Log[ID]=Items[[#This Row],[ID]])*(Log[Verb]="done")),Log[Date]),""))</f>
      </c>
      <c r="U512" s="17">
        <f>IF(Items[[#This Row],[ID]]="","",IF(AND(Items[[#This Row],[Sprint]]=CurSprint,OR(Items[[#This Row],[State]]="OPEN",Items[[#This Row],[State]]="WAIT",Items[[#This Row],[State]]="HOLD",Items[[#This Row],[State]]="DONE")),1,0))</f>
      </c>
      <c r="V512" s="17">
        <f>IF(OR(Items[[#This Row],[ID]]="",Items[[#This Row],[Added]]=""),"",AsOf-Items[[#This Row],[Added]])</f>
      </c>
      <c r="W512" s="17">
        <f>IF(Items[[#This Row],[In sprint]]=1,(IF(Items[[#This Row],[Prio]]="",9,N(Items[[#This Row],[Prio]]))*10+(IF(Items[[#This Row],[State]]="DONE",1,0)))*100000+ROW(),"")</f>
      </c>
      <c r="X51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12" s="17">
        <f>IF(AND(Items[[#This Row],[State]]="DONE",N(Items[[#This Row],[Done on]])&gt;AsOf-7),(200000-N(Items[[#This Row],[Done on]]))*100000+ROW(),"")</f>
      </c>
    </row>
    <row r="513">
      <c r="A513" t="s">
        <v>624</v>
      </c>
      <c r="B513" t="s">
        <v>1734</v>
      </c>
      <c r="C513" t="s">
        <v>1115</v>
      </c>
      <c r="D513" t="s">
        <v>1116</v>
      </c>
      <c r="E513" t="s">
        <v>1128</v>
      </c>
      <c r="F513" t="s">
        <v>1292</v>
      </c>
      <c r="G513">
        <v>3</v>
      </c>
      <c r="H513">
        <v>2</v>
      </c>
      <c r="I513" s="11">
        <v>46175</v>
      </c>
      <c r="J513" s="17">
        <f>IF(Items[[#This Row],[ID]]="","",IFERROR(VALUE(LOOKUP(2,1/((Log[ID]=Items[[#This Row],[ID]])*(Log[Verb]="est")),Log[Arg])),N(Items[[#This Row],[Points]])))</f>
      </c>
      <c r="K513" s="17">
        <f>IF(Items[[#This Row],[ID]]="","",IFERROR(LOOKUP(2,1/((Log[ID]=Items[[#This Row],[ID]])*(Log[Verb]="pass")),Log[Arg])&amp;"",Items[[#This Row],[Team]]&amp;""))</f>
      </c>
      <c r="L513" s="17">
        <f>IF(Items[[#This Row],[ID]]="","",IFERROR(LOOKUP(2,1/((Log[ID]=Items[[#This Row],[ID]])*(Log[Into]&lt;&gt;"")),Log[Into]),""))</f>
      </c>
      <c r="M513" s="17">
        <f>IF(Items[[#This Row],[ID]]="","",IF(IFERROR(LOOKUP(2,1/((Log[ID]=Items[[#This Row],[ID]])*(Log[Blk]&lt;&gt;"")),Log[Blk]),0)=1,"Y",""))</f>
      </c>
      <c r="N513" s="17">
        <f>IF(Items[[#This Row],[ID]]="","",SUBSTITUTE(IFERROR(LOOKUP(2,1/((Log[ID]=Items[[#This Row],[ID]])*(Log[State]&lt;&gt;"")),Log[State]),"TODO"),"OPEN",IF(Items[[#This Row],[Blocked]]="Y","WAIT","OPEN")))</f>
      </c>
      <c r="O51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13" s="17">
        <f>IF(Items[[#This Row],[State]]&lt;&gt;"WAIT","",AsOf-Items[[#This Row],[Blocked since]])</f>
      </c>
      <c r="Q513" s="17">
        <f>IF(Items[[#This Row],[State]]&lt;&gt;"WAIT","",IFERROR(LOOKUP(2,1/((Log[ID]=Items[[#This Row],[ID]])*(Log[Verb]="block")),Log[Note])&amp;"",""))</f>
      </c>
      <c r="R513" s="17">
        <f>IF(Items[[#This Row],[ID]]="","",COUNTIFS(Log[ID],Items[[#This Row],[ID]],Log[Verb],"carry"))</f>
      </c>
      <c r="S513" s="17">
        <f>IF(Items[[#This Row],[ID]]="","",COUNTIFS(Log[ID],Items[[#This Row],[ID]],Log[Verb],"punt"))</f>
      </c>
      <c r="T513" s="11">
        <f>IF(Items[[#This Row],[State]]&lt;&gt;"DONE","",IFERROR(LOOKUP(2,1/((Log[ID]=Items[[#This Row],[ID]])*(Log[Verb]="done")),Log[Date]),""))</f>
      </c>
      <c r="U513" s="17">
        <f>IF(Items[[#This Row],[ID]]="","",IF(AND(Items[[#This Row],[Sprint]]=CurSprint,OR(Items[[#This Row],[State]]="OPEN",Items[[#This Row],[State]]="WAIT",Items[[#This Row],[State]]="HOLD",Items[[#This Row],[State]]="DONE")),1,0))</f>
      </c>
      <c r="V513" s="17">
        <f>IF(OR(Items[[#This Row],[ID]]="",Items[[#This Row],[Added]]=""),"",AsOf-Items[[#This Row],[Added]])</f>
      </c>
      <c r="W513" s="17">
        <f>IF(Items[[#This Row],[In sprint]]=1,(IF(Items[[#This Row],[Prio]]="",9,N(Items[[#This Row],[Prio]]))*10+(IF(Items[[#This Row],[State]]="DONE",1,0)))*100000+ROW(),"")</f>
      </c>
      <c r="X51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13" s="17">
        <f>IF(AND(Items[[#This Row],[State]]="DONE",N(Items[[#This Row],[Done on]])&gt;AsOf-7),(200000-N(Items[[#This Row],[Done on]]))*100000+ROW(),"")</f>
      </c>
    </row>
    <row r="514">
      <c r="A514" t="s">
        <v>677</v>
      </c>
      <c r="B514" t="s">
        <v>1735</v>
      </c>
      <c r="C514" t="s">
        <v>1107</v>
      </c>
      <c r="D514" t="s">
        <v>1123</v>
      </c>
      <c r="E514" t="s">
        <v>1128</v>
      </c>
      <c r="F514" t="s">
        <v>1217</v>
      </c>
      <c r="G514">
        <v>8</v>
      </c>
      <c r="H514">
        <v>3</v>
      </c>
      <c r="I514" s="11">
        <v>46175</v>
      </c>
      <c r="J514" s="17">
        <f>IF(Items[[#This Row],[ID]]="","",IFERROR(VALUE(LOOKUP(2,1/((Log[ID]=Items[[#This Row],[ID]])*(Log[Verb]="est")),Log[Arg])),N(Items[[#This Row],[Points]])))</f>
      </c>
      <c r="K514" s="17">
        <f>IF(Items[[#This Row],[ID]]="","",IFERROR(LOOKUP(2,1/((Log[ID]=Items[[#This Row],[ID]])*(Log[Verb]="pass")),Log[Arg])&amp;"",Items[[#This Row],[Team]]&amp;""))</f>
      </c>
      <c r="L514" s="17">
        <f>IF(Items[[#This Row],[ID]]="","",IFERROR(LOOKUP(2,1/((Log[ID]=Items[[#This Row],[ID]])*(Log[Into]&lt;&gt;"")),Log[Into]),""))</f>
      </c>
      <c r="M514" s="17">
        <f>IF(Items[[#This Row],[ID]]="","",IF(IFERROR(LOOKUP(2,1/((Log[ID]=Items[[#This Row],[ID]])*(Log[Blk]&lt;&gt;"")),Log[Blk]),0)=1,"Y",""))</f>
      </c>
      <c r="N514" s="17">
        <f>IF(Items[[#This Row],[ID]]="","",SUBSTITUTE(IFERROR(LOOKUP(2,1/((Log[ID]=Items[[#This Row],[ID]])*(Log[State]&lt;&gt;"")),Log[State]),"TODO"),"OPEN",IF(Items[[#This Row],[Blocked]]="Y","WAIT","OPEN")))</f>
      </c>
      <c r="O51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14" s="17">
        <f>IF(Items[[#This Row],[State]]&lt;&gt;"WAIT","",AsOf-Items[[#This Row],[Blocked since]])</f>
      </c>
      <c r="Q514" s="17">
        <f>IF(Items[[#This Row],[State]]&lt;&gt;"WAIT","",IFERROR(LOOKUP(2,1/((Log[ID]=Items[[#This Row],[ID]])*(Log[Verb]="block")),Log[Note])&amp;"",""))</f>
      </c>
      <c r="R514" s="17">
        <f>IF(Items[[#This Row],[ID]]="","",COUNTIFS(Log[ID],Items[[#This Row],[ID]],Log[Verb],"carry"))</f>
      </c>
      <c r="S514" s="17">
        <f>IF(Items[[#This Row],[ID]]="","",COUNTIFS(Log[ID],Items[[#This Row],[ID]],Log[Verb],"punt"))</f>
      </c>
      <c r="T514" s="11">
        <f>IF(Items[[#This Row],[State]]&lt;&gt;"DONE","",IFERROR(LOOKUP(2,1/((Log[ID]=Items[[#This Row],[ID]])*(Log[Verb]="done")),Log[Date]),""))</f>
      </c>
      <c r="U514" s="17">
        <f>IF(Items[[#This Row],[ID]]="","",IF(AND(Items[[#This Row],[Sprint]]=CurSprint,OR(Items[[#This Row],[State]]="OPEN",Items[[#This Row],[State]]="WAIT",Items[[#This Row],[State]]="HOLD",Items[[#This Row],[State]]="DONE")),1,0))</f>
      </c>
      <c r="V514" s="17">
        <f>IF(OR(Items[[#This Row],[ID]]="",Items[[#This Row],[Added]]=""),"",AsOf-Items[[#This Row],[Added]])</f>
      </c>
      <c r="W514" s="17">
        <f>IF(Items[[#This Row],[In sprint]]=1,(IF(Items[[#This Row],[Prio]]="",9,N(Items[[#This Row],[Prio]]))*10+(IF(Items[[#This Row],[State]]="DONE",1,0)))*100000+ROW(),"")</f>
      </c>
      <c r="X51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14" s="17">
        <f>IF(AND(Items[[#This Row],[State]]="DONE",N(Items[[#This Row],[Done on]])&gt;AsOf-7),(200000-N(Items[[#This Row],[Done on]]))*100000+ROW(),"")</f>
      </c>
    </row>
    <row r="515">
      <c r="A515" t="s">
        <v>678</v>
      </c>
      <c r="B515" t="s">
        <v>1736</v>
      </c>
      <c r="C515" t="s">
        <v>1115</v>
      </c>
      <c r="D515" t="s">
        <v>1119</v>
      </c>
      <c r="E515" t="s">
        <v>1128</v>
      </c>
      <c r="F515" t="s">
        <v>1162</v>
      </c>
      <c r="G515">
        <v>5</v>
      </c>
      <c r="H515">
        <v>3</v>
      </c>
      <c r="I515" s="11">
        <v>46175</v>
      </c>
      <c r="J515" s="17">
        <f>IF(Items[[#This Row],[ID]]="","",IFERROR(VALUE(LOOKUP(2,1/((Log[ID]=Items[[#This Row],[ID]])*(Log[Verb]="est")),Log[Arg])),N(Items[[#This Row],[Points]])))</f>
      </c>
      <c r="K515" s="17">
        <f>IF(Items[[#This Row],[ID]]="","",IFERROR(LOOKUP(2,1/((Log[ID]=Items[[#This Row],[ID]])*(Log[Verb]="pass")),Log[Arg])&amp;"",Items[[#This Row],[Team]]&amp;""))</f>
      </c>
      <c r="L515" s="17">
        <f>IF(Items[[#This Row],[ID]]="","",IFERROR(LOOKUP(2,1/((Log[ID]=Items[[#This Row],[ID]])*(Log[Into]&lt;&gt;"")),Log[Into]),""))</f>
      </c>
      <c r="M515" s="17">
        <f>IF(Items[[#This Row],[ID]]="","",IF(IFERROR(LOOKUP(2,1/((Log[ID]=Items[[#This Row],[ID]])*(Log[Blk]&lt;&gt;"")),Log[Blk]),0)=1,"Y",""))</f>
      </c>
      <c r="N515" s="17">
        <f>IF(Items[[#This Row],[ID]]="","",SUBSTITUTE(IFERROR(LOOKUP(2,1/((Log[ID]=Items[[#This Row],[ID]])*(Log[State]&lt;&gt;"")),Log[State]),"TODO"),"OPEN",IF(Items[[#This Row],[Blocked]]="Y","WAIT","OPEN")))</f>
      </c>
      <c r="O51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15" s="17">
        <f>IF(Items[[#This Row],[State]]&lt;&gt;"WAIT","",AsOf-Items[[#This Row],[Blocked since]])</f>
      </c>
      <c r="Q515" s="17">
        <f>IF(Items[[#This Row],[State]]&lt;&gt;"WAIT","",IFERROR(LOOKUP(2,1/((Log[ID]=Items[[#This Row],[ID]])*(Log[Verb]="block")),Log[Note])&amp;"",""))</f>
      </c>
      <c r="R515" s="17">
        <f>IF(Items[[#This Row],[ID]]="","",COUNTIFS(Log[ID],Items[[#This Row],[ID]],Log[Verb],"carry"))</f>
      </c>
      <c r="S515" s="17">
        <f>IF(Items[[#This Row],[ID]]="","",COUNTIFS(Log[ID],Items[[#This Row],[ID]],Log[Verb],"punt"))</f>
      </c>
      <c r="T515" s="11">
        <f>IF(Items[[#This Row],[State]]&lt;&gt;"DONE","",IFERROR(LOOKUP(2,1/((Log[ID]=Items[[#This Row],[ID]])*(Log[Verb]="done")),Log[Date]),""))</f>
      </c>
      <c r="U515" s="17">
        <f>IF(Items[[#This Row],[ID]]="","",IF(AND(Items[[#This Row],[Sprint]]=CurSprint,OR(Items[[#This Row],[State]]="OPEN",Items[[#This Row],[State]]="WAIT",Items[[#This Row],[State]]="HOLD",Items[[#This Row],[State]]="DONE")),1,0))</f>
      </c>
      <c r="V515" s="17">
        <f>IF(OR(Items[[#This Row],[ID]]="",Items[[#This Row],[Added]]=""),"",AsOf-Items[[#This Row],[Added]])</f>
      </c>
      <c r="W515" s="17">
        <f>IF(Items[[#This Row],[In sprint]]=1,(IF(Items[[#This Row],[Prio]]="",9,N(Items[[#This Row],[Prio]]))*10+(IF(Items[[#This Row],[State]]="DONE",1,0)))*100000+ROW(),"")</f>
      </c>
      <c r="X51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15" s="17">
        <f>IF(AND(Items[[#This Row],[State]]="DONE",N(Items[[#This Row],[Done on]])&gt;AsOf-7),(200000-N(Items[[#This Row],[Done on]]))*100000+ROW(),"")</f>
      </c>
    </row>
    <row r="516">
      <c r="A516" t="s">
        <v>625</v>
      </c>
      <c r="B516" t="s">
        <v>1737</v>
      </c>
      <c r="C516" t="s">
        <v>1107</v>
      </c>
      <c r="D516" t="s">
        <v>1108</v>
      </c>
      <c r="E516" t="s">
        <v>1128</v>
      </c>
      <c r="F516" t="s">
        <v>1296</v>
      </c>
      <c r="G516">
        <v>2</v>
      </c>
      <c r="H516">
        <v>3</v>
      </c>
      <c r="I516" s="11">
        <v>46175</v>
      </c>
      <c r="J516" s="17">
        <f>IF(Items[[#This Row],[ID]]="","",IFERROR(VALUE(LOOKUP(2,1/((Log[ID]=Items[[#This Row],[ID]])*(Log[Verb]="est")),Log[Arg])),N(Items[[#This Row],[Points]])))</f>
      </c>
      <c r="K516" s="17">
        <f>IF(Items[[#This Row],[ID]]="","",IFERROR(LOOKUP(2,1/((Log[ID]=Items[[#This Row],[ID]])*(Log[Verb]="pass")),Log[Arg])&amp;"",Items[[#This Row],[Team]]&amp;""))</f>
      </c>
      <c r="L516" s="17">
        <f>IF(Items[[#This Row],[ID]]="","",IFERROR(LOOKUP(2,1/((Log[ID]=Items[[#This Row],[ID]])*(Log[Into]&lt;&gt;"")),Log[Into]),""))</f>
      </c>
      <c r="M516" s="17">
        <f>IF(Items[[#This Row],[ID]]="","",IF(IFERROR(LOOKUP(2,1/((Log[ID]=Items[[#This Row],[ID]])*(Log[Blk]&lt;&gt;"")),Log[Blk]),0)=1,"Y",""))</f>
      </c>
      <c r="N516" s="17">
        <f>IF(Items[[#This Row],[ID]]="","",SUBSTITUTE(IFERROR(LOOKUP(2,1/((Log[ID]=Items[[#This Row],[ID]])*(Log[State]&lt;&gt;"")),Log[State]),"TODO"),"OPEN",IF(Items[[#This Row],[Blocked]]="Y","WAIT","OPEN")))</f>
      </c>
      <c r="O51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16" s="17">
        <f>IF(Items[[#This Row],[State]]&lt;&gt;"WAIT","",AsOf-Items[[#This Row],[Blocked since]])</f>
      </c>
      <c r="Q516" s="17">
        <f>IF(Items[[#This Row],[State]]&lt;&gt;"WAIT","",IFERROR(LOOKUP(2,1/((Log[ID]=Items[[#This Row],[ID]])*(Log[Verb]="block")),Log[Note])&amp;"",""))</f>
      </c>
      <c r="R516" s="17">
        <f>IF(Items[[#This Row],[ID]]="","",COUNTIFS(Log[ID],Items[[#This Row],[ID]],Log[Verb],"carry"))</f>
      </c>
      <c r="S516" s="17">
        <f>IF(Items[[#This Row],[ID]]="","",COUNTIFS(Log[ID],Items[[#This Row],[ID]],Log[Verb],"punt"))</f>
      </c>
      <c r="T516" s="11">
        <f>IF(Items[[#This Row],[State]]&lt;&gt;"DONE","",IFERROR(LOOKUP(2,1/((Log[ID]=Items[[#This Row],[ID]])*(Log[Verb]="done")),Log[Date]),""))</f>
      </c>
      <c r="U516" s="17">
        <f>IF(Items[[#This Row],[ID]]="","",IF(AND(Items[[#This Row],[Sprint]]=CurSprint,OR(Items[[#This Row],[State]]="OPEN",Items[[#This Row],[State]]="WAIT",Items[[#This Row],[State]]="HOLD",Items[[#This Row],[State]]="DONE")),1,0))</f>
      </c>
      <c r="V516" s="17">
        <f>IF(OR(Items[[#This Row],[ID]]="",Items[[#This Row],[Added]]=""),"",AsOf-Items[[#This Row],[Added]])</f>
      </c>
      <c r="W516" s="17">
        <f>IF(Items[[#This Row],[In sprint]]=1,(IF(Items[[#This Row],[Prio]]="",9,N(Items[[#This Row],[Prio]]))*10+(IF(Items[[#This Row],[State]]="DONE",1,0)))*100000+ROW(),"")</f>
      </c>
      <c r="X51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16" s="17">
        <f>IF(AND(Items[[#This Row],[State]]="DONE",N(Items[[#This Row],[Done on]])&gt;AsOf-7),(200000-N(Items[[#This Row],[Done on]]))*100000+ROW(),"")</f>
      </c>
    </row>
    <row r="517">
      <c r="A517" t="s">
        <v>679</v>
      </c>
      <c r="B517" t="s">
        <v>1738</v>
      </c>
      <c r="C517" t="s">
        <v>1107</v>
      </c>
      <c r="D517" t="s">
        <v>1108</v>
      </c>
      <c r="E517" t="s">
        <v>1128</v>
      </c>
      <c r="F517" t="s">
        <v>1129</v>
      </c>
      <c r="G517">
        <v>8</v>
      </c>
      <c r="H517">
        <v>2</v>
      </c>
      <c r="I517" s="11">
        <v>46175</v>
      </c>
      <c r="J517" s="17">
        <f>IF(Items[[#This Row],[ID]]="","",IFERROR(VALUE(LOOKUP(2,1/((Log[ID]=Items[[#This Row],[ID]])*(Log[Verb]="est")),Log[Arg])),N(Items[[#This Row],[Points]])))</f>
      </c>
      <c r="K517" s="17">
        <f>IF(Items[[#This Row],[ID]]="","",IFERROR(LOOKUP(2,1/((Log[ID]=Items[[#This Row],[ID]])*(Log[Verb]="pass")),Log[Arg])&amp;"",Items[[#This Row],[Team]]&amp;""))</f>
      </c>
      <c r="L517" s="17">
        <f>IF(Items[[#This Row],[ID]]="","",IFERROR(LOOKUP(2,1/((Log[ID]=Items[[#This Row],[ID]])*(Log[Into]&lt;&gt;"")),Log[Into]),""))</f>
      </c>
      <c r="M517" s="17">
        <f>IF(Items[[#This Row],[ID]]="","",IF(IFERROR(LOOKUP(2,1/((Log[ID]=Items[[#This Row],[ID]])*(Log[Blk]&lt;&gt;"")),Log[Blk]),0)=1,"Y",""))</f>
      </c>
      <c r="N517" s="17">
        <f>IF(Items[[#This Row],[ID]]="","",SUBSTITUTE(IFERROR(LOOKUP(2,1/((Log[ID]=Items[[#This Row],[ID]])*(Log[State]&lt;&gt;"")),Log[State]),"TODO"),"OPEN",IF(Items[[#This Row],[Blocked]]="Y","WAIT","OPEN")))</f>
      </c>
      <c r="O51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17" s="17">
        <f>IF(Items[[#This Row],[State]]&lt;&gt;"WAIT","",AsOf-Items[[#This Row],[Blocked since]])</f>
      </c>
      <c r="Q517" s="17">
        <f>IF(Items[[#This Row],[State]]&lt;&gt;"WAIT","",IFERROR(LOOKUP(2,1/((Log[ID]=Items[[#This Row],[ID]])*(Log[Verb]="block")),Log[Note])&amp;"",""))</f>
      </c>
      <c r="R517" s="17">
        <f>IF(Items[[#This Row],[ID]]="","",COUNTIFS(Log[ID],Items[[#This Row],[ID]],Log[Verb],"carry"))</f>
      </c>
      <c r="S517" s="17">
        <f>IF(Items[[#This Row],[ID]]="","",COUNTIFS(Log[ID],Items[[#This Row],[ID]],Log[Verb],"punt"))</f>
      </c>
      <c r="T517" s="11">
        <f>IF(Items[[#This Row],[State]]&lt;&gt;"DONE","",IFERROR(LOOKUP(2,1/((Log[ID]=Items[[#This Row],[ID]])*(Log[Verb]="done")),Log[Date]),""))</f>
      </c>
      <c r="U517" s="17">
        <f>IF(Items[[#This Row],[ID]]="","",IF(AND(Items[[#This Row],[Sprint]]=CurSprint,OR(Items[[#This Row],[State]]="OPEN",Items[[#This Row],[State]]="WAIT",Items[[#This Row],[State]]="HOLD",Items[[#This Row],[State]]="DONE")),1,0))</f>
      </c>
      <c r="V517" s="17">
        <f>IF(OR(Items[[#This Row],[ID]]="",Items[[#This Row],[Added]]=""),"",AsOf-Items[[#This Row],[Added]])</f>
      </c>
      <c r="W517" s="17">
        <f>IF(Items[[#This Row],[In sprint]]=1,(IF(Items[[#This Row],[Prio]]="",9,N(Items[[#This Row],[Prio]]))*10+(IF(Items[[#This Row],[State]]="DONE",1,0)))*100000+ROW(),"")</f>
      </c>
      <c r="X51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17" s="17">
        <f>IF(AND(Items[[#This Row],[State]]="DONE",N(Items[[#This Row],[Done on]])&gt;AsOf-7),(200000-N(Items[[#This Row],[Done on]]))*100000+ROW(),"")</f>
      </c>
    </row>
    <row r="518">
      <c r="A518" t="s">
        <v>683</v>
      </c>
      <c r="B518" t="s">
        <v>1739</v>
      </c>
      <c r="C518" t="s">
        <v>1115</v>
      </c>
      <c r="D518" t="s">
        <v>1116</v>
      </c>
      <c r="E518" t="s">
        <v>1109</v>
      </c>
      <c r="F518" t="s">
        <v>1220</v>
      </c>
      <c r="G518">
        <v>5</v>
      </c>
      <c r="H518">
        <v>1</v>
      </c>
      <c r="I518" s="11">
        <v>46175</v>
      </c>
      <c r="J518" s="17">
        <f>IF(Items[[#This Row],[ID]]="","",IFERROR(VALUE(LOOKUP(2,1/((Log[ID]=Items[[#This Row],[ID]])*(Log[Verb]="est")),Log[Arg])),N(Items[[#This Row],[Points]])))</f>
      </c>
      <c r="K518" s="17">
        <f>IF(Items[[#This Row],[ID]]="","",IFERROR(LOOKUP(2,1/((Log[ID]=Items[[#This Row],[ID]])*(Log[Verb]="pass")),Log[Arg])&amp;"",Items[[#This Row],[Team]]&amp;""))</f>
      </c>
      <c r="L518" s="17">
        <f>IF(Items[[#This Row],[ID]]="","",IFERROR(LOOKUP(2,1/((Log[ID]=Items[[#This Row],[ID]])*(Log[Into]&lt;&gt;"")),Log[Into]),""))</f>
      </c>
      <c r="M518" s="17">
        <f>IF(Items[[#This Row],[ID]]="","",IF(IFERROR(LOOKUP(2,1/((Log[ID]=Items[[#This Row],[ID]])*(Log[Blk]&lt;&gt;"")),Log[Blk]),0)=1,"Y",""))</f>
      </c>
      <c r="N518" s="17">
        <f>IF(Items[[#This Row],[ID]]="","",SUBSTITUTE(IFERROR(LOOKUP(2,1/((Log[ID]=Items[[#This Row],[ID]])*(Log[State]&lt;&gt;"")),Log[State]),"TODO"),"OPEN",IF(Items[[#This Row],[Blocked]]="Y","WAIT","OPEN")))</f>
      </c>
      <c r="O51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18" s="17">
        <f>IF(Items[[#This Row],[State]]&lt;&gt;"WAIT","",AsOf-Items[[#This Row],[Blocked since]])</f>
      </c>
      <c r="Q518" s="17">
        <f>IF(Items[[#This Row],[State]]&lt;&gt;"WAIT","",IFERROR(LOOKUP(2,1/((Log[ID]=Items[[#This Row],[ID]])*(Log[Verb]="block")),Log[Note])&amp;"",""))</f>
      </c>
      <c r="R518" s="17">
        <f>IF(Items[[#This Row],[ID]]="","",COUNTIFS(Log[ID],Items[[#This Row],[ID]],Log[Verb],"carry"))</f>
      </c>
      <c r="S518" s="17">
        <f>IF(Items[[#This Row],[ID]]="","",COUNTIFS(Log[ID],Items[[#This Row],[ID]],Log[Verb],"punt"))</f>
      </c>
      <c r="T518" s="11">
        <f>IF(Items[[#This Row],[State]]&lt;&gt;"DONE","",IFERROR(LOOKUP(2,1/((Log[ID]=Items[[#This Row],[ID]])*(Log[Verb]="done")),Log[Date]),""))</f>
      </c>
      <c r="U518" s="17">
        <f>IF(Items[[#This Row],[ID]]="","",IF(AND(Items[[#This Row],[Sprint]]=CurSprint,OR(Items[[#This Row],[State]]="OPEN",Items[[#This Row],[State]]="WAIT",Items[[#This Row],[State]]="HOLD",Items[[#This Row],[State]]="DONE")),1,0))</f>
      </c>
      <c r="V518" s="17">
        <f>IF(OR(Items[[#This Row],[ID]]="",Items[[#This Row],[Added]]=""),"",AsOf-Items[[#This Row],[Added]])</f>
      </c>
      <c r="W518" s="17">
        <f>IF(Items[[#This Row],[In sprint]]=1,(IF(Items[[#This Row],[Prio]]="",9,N(Items[[#This Row],[Prio]]))*10+(IF(Items[[#This Row],[State]]="DONE",1,0)))*100000+ROW(),"")</f>
      </c>
      <c r="X51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18" s="17">
        <f>IF(AND(Items[[#This Row],[State]]="DONE",N(Items[[#This Row],[Done on]])&gt;AsOf-7),(200000-N(Items[[#This Row],[Done on]]))*100000+ROW(),"")</f>
      </c>
    </row>
    <row r="519">
      <c r="A519" t="s">
        <v>745</v>
      </c>
      <c r="B519" t="s">
        <v>1740</v>
      </c>
      <c r="C519" t="s">
        <v>1107</v>
      </c>
      <c r="D519" t="s">
        <v>1108</v>
      </c>
      <c r="E519" t="s">
        <v>1109</v>
      </c>
      <c r="F519" t="s">
        <v>1225</v>
      </c>
      <c r="G519">
        <v>5</v>
      </c>
      <c r="H519">
        <v>2</v>
      </c>
      <c r="I519" s="11">
        <v>46175</v>
      </c>
      <c r="J519" s="17">
        <f>IF(Items[[#This Row],[ID]]="","",IFERROR(VALUE(LOOKUP(2,1/((Log[ID]=Items[[#This Row],[ID]])*(Log[Verb]="est")),Log[Arg])),N(Items[[#This Row],[Points]])))</f>
      </c>
      <c r="K519" s="17">
        <f>IF(Items[[#This Row],[ID]]="","",IFERROR(LOOKUP(2,1/((Log[ID]=Items[[#This Row],[ID]])*(Log[Verb]="pass")),Log[Arg])&amp;"",Items[[#This Row],[Team]]&amp;""))</f>
      </c>
      <c r="L519" s="17">
        <f>IF(Items[[#This Row],[ID]]="","",IFERROR(LOOKUP(2,1/((Log[ID]=Items[[#This Row],[ID]])*(Log[Into]&lt;&gt;"")),Log[Into]),""))</f>
      </c>
      <c r="M519" s="17">
        <f>IF(Items[[#This Row],[ID]]="","",IF(IFERROR(LOOKUP(2,1/((Log[ID]=Items[[#This Row],[ID]])*(Log[Blk]&lt;&gt;"")),Log[Blk]),0)=1,"Y",""))</f>
      </c>
      <c r="N519" s="17">
        <f>IF(Items[[#This Row],[ID]]="","",SUBSTITUTE(IFERROR(LOOKUP(2,1/((Log[ID]=Items[[#This Row],[ID]])*(Log[State]&lt;&gt;"")),Log[State]),"TODO"),"OPEN",IF(Items[[#This Row],[Blocked]]="Y","WAIT","OPEN")))</f>
      </c>
      <c r="O51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19" s="17">
        <f>IF(Items[[#This Row],[State]]&lt;&gt;"WAIT","",AsOf-Items[[#This Row],[Blocked since]])</f>
      </c>
      <c r="Q519" s="17">
        <f>IF(Items[[#This Row],[State]]&lt;&gt;"WAIT","",IFERROR(LOOKUP(2,1/((Log[ID]=Items[[#This Row],[ID]])*(Log[Verb]="block")),Log[Note])&amp;"",""))</f>
      </c>
      <c r="R519" s="17">
        <f>IF(Items[[#This Row],[ID]]="","",COUNTIFS(Log[ID],Items[[#This Row],[ID]],Log[Verb],"carry"))</f>
      </c>
      <c r="S519" s="17">
        <f>IF(Items[[#This Row],[ID]]="","",COUNTIFS(Log[ID],Items[[#This Row],[ID]],Log[Verb],"punt"))</f>
      </c>
      <c r="T519" s="11">
        <f>IF(Items[[#This Row],[State]]&lt;&gt;"DONE","",IFERROR(LOOKUP(2,1/((Log[ID]=Items[[#This Row],[ID]])*(Log[Verb]="done")),Log[Date]),""))</f>
      </c>
      <c r="U519" s="17">
        <f>IF(Items[[#This Row],[ID]]="","",IF(AND(Items[[#This Row],[Sprint]]=CurSprint,OR(Items[[#This Row],[State]]="OPEN",Items[[#This Row],[State]]="WAIT",Items[[#This Row],[State]]="HOLD",Items[[#This Row],[State]]="DONE")),1,0))</f>
      </c>
      <c r="V519" s="17">
        <f>IF(OR(Items[[#This Row],[ID]]="",Items[[#This Row],[Added]]=""),"",AsOf-Items[[#This Row],[Added]])</f>
      </c>
      <c r="W519" s="17">
        <f>IF(Items[[#This Row],[In sprint]]=1,(IF(Items[[#This Row],[Prio]]="",9,N(Items[[#This Row],[Prio]]))*10+(IF(Items[[#This Row],[State]]="DONE",1,0)))*100000+ROW(),"")</f>
      </c>
      <c r="X51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19" s="17">
        <f>IF(AND(Items[[#This Row],[State]]="DONE",N(Items[[#This Row],[Done on]])&gt;AsOf-7),(200000-N(Items[[#This Row],[Done on]]))*100000+ROW(),"")</f>
      </c>
    </row>
    <row r="520">
      <c r="A520" t="s">
        <v>746</v>
      </c>
      <c r="B520" t="s">
        <v>1741</v>
      </c>
      <c r="C520" t="s">
        <v>1107</v>
      </c>
      <c r="D520" t="s">
        <v>1108</v>
      </c>
      <c r="E520" t="s">
        <v>1109</v>
      </c>
      <c r="F520" t="s">
        <v>1225</v>
      </c>
      <c r="G520">
        <v>5</v>
      </c>
      <c r="H520">
        <v>2</v>
      </c>
      <c r="I520" s="11">
        <v>46175</v>
      </c>
      <c r="J520" s="17">
        <f>IF(Items[[#This Row],[ID]]="","",IFERROR(VALUE(LOOKUP(2,1/((Log[ID]=Items[[#This Row],[ID]])*(Log[Verb]="est")),Log[Arg])),N(Items[[#This Row],[Points]])))</f>
      </c>
      <c r="K520" s="17">
        <f>IF(Items[[#This Row],[ID]]="","",IFERROR(LOOKUP(2,1/((Log[ID]=Items[[#This Row],[ID]])*(Log[Verb]="pass")),Log[Arg])&amp;"",Items[[#This Row],[Team]]&amp;""))</f>
      </c>
      <c r="L520" s="17">
        <f>IF(Items[[#This Row],[ID]]="","",IFERROR(LOOKUP(2,1/((Log[ID]=Items[[#This Row],[ID]])*(Log[Into]&lt;&gt;"")),Log[Into]),""))</f>
      </c>
      <c r="M520" s="17">
        <f>IF(Items[[#This Row],[ID]]="","",IF(IFERROR(LOOKUP(2,1/((Log[ID]=Items[[#This Row],[ID]])*(Log[Blk]&lt;&gt;"")),Log[Blk]),0)=1,"Y",""))</f>
      </c>
      <c r="N520" s="17">
        <f>IF(Items[[#This Row],[ID]]="","",SUBSTITUTE(IFERROR(LOOKUP(2,1/((Log[ID]=Items[[#This Row],[ID]])*(Log[State]&lt;&gt;"")),Log[State]),"TODO"),"OPEN",IF(Items[[#This Row],[Blocked]]="Y","WAIT","OPEN")))</f>
      </c>
      <c r="O52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20" s="17">
        <f>IF(Items[[#This Row],[State]]&lt;&gt;"WAIT","",AsOf-Items[[#This Row],[Blocked since]])</f>
      </c>
      <c r="Q520" s="17">
        <f>IF(Items[[#This Row],[State]]&lt;&gt;"WAIT","",IFERROR(LOOKUP(2,1/((Log[ID]=Items[[#This Row],[ID]])*(Log[Verb]="block")),Log[Note])&amp;"",""))</f>
      </c>
      <c r="R520" s="17">
        <f>IF(Items[[#This Row],[ID]]="","",COUNTIFS(Log[ID],Items[[#This Row],[ID]],Log[Verb],"carry"))</f>
      </c>
      <c r="S520" s="17">
        <f>IF(Items[[#This Row],[ID]]="","",COUNTIFS(Log[ID],Items[[#This Row],[ID]],Log[Verb],"punt"))</f>
      </c>
      <c r="T520" s="11">
        <f>IF(Items[[#This Row],[State]]&lt;&gt;"DONE","",IFERROR(LOOKUP(2,1/((Log[ID]=Items[[#This Row],[ID]])*(Log[Verb]="done")),Log[Date]),""))</f>
      </c>
      <c r="U520" s="17">
        <f>IF(Items[[#This Row],[ID]]="","",IF(AND(Items[[#This Row],[Sprint]]=CurSprint,OR(Items[[#This Row],[State]]="OPEN",Items[[#This Row],[State]]="WAIT",Items[[#This Row],[State]]="HOLD",Items[[#This Row],[State]]="DONE")),1,0))</f>
      </c>
      <c r="V520" s="17">
        <f>IF(OR(Items[[#This Row],[ID]]="",Items[[#This Row],[Added]]=""),"",AsOf-Items[[#This Row],[Added]])</f>
      </c>
      <c r="W520" s="17">
        <f>IF(Items[[#This Row],[In sprint]]=1,(IF(Items[[#This Row],[Prio]]="",9,N(Items[[#This Row],[Prio]]))*10+(IF(Items[[#This Row],[State]]="DONE",1,0)))*100000+ROW(),"")</f>
      </c>
      <c r="X52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20" s="17">
        <f>IF(AND(Items[[#This Row],[State]]="DONE",N(Items[[#This Row],[Done on]])&gt;AsOf-7),(200000-N(Items[[#This Row],[Done on]]))*100000+ROW(),"")</f>
      </c>
    </row>
    <row r="521">
      <c r="A521" t="s">
        <v>747</v>
      </c>
      <c r="B521" t="s">
        <v>1742</v>
      </c>
      <c r="C521" t="s">
        <v>1107</v>
      </c>
      <c r="D521" t="s">
        <v>1108</v>
      </c>
      <c r="E521" t="s">
        <v>1109</v>
      </c>
      <c r="F521" t="s">
        <v>1220</v>
      </c>
      <c r="G521">
        <v>5</v>
      </c>
      <c r="H521">
        <v>1</v>
      </c>
      <c r="I521" s="11">
        <v>46175</v>
      </c>
      <c r="J521" s="17">
        <f>IF(Items[[#This Row],[ID]]="","",IFERROR(VALUE(LOOKUP(2,1/((Log[ID]=Items[[#This Row],[ID]])*(Log[Verb]="est")),Log[Arg])),N(Items[[#This Row],[Points]])))</f>
      </c>
      <c r="K521" s="17">
        <f>IF(Items[[#This Row],[ID]]="","",IFERROR(LOOKUP(2,1/((Log[ID]=Items[[#This Row],[ID]])*(Log[Verb]="pass")),Log[Arg])&amp;"",Items[[#This Row],[Team]]&amp;""))</f>
      </c>
      <c r="L521" s="17">
        <f>IF(Items[[#This Row],[ID]]="","",IFERROR(LOOKUP(2,1/((Log[ID]=Items[[#This Row],[ID]])*(Log[Into]&lt;&gt;"")),Log[Into]),""))</f>
      </c>
      <c r="M521" s="17">
        <f>IF(Items[[#This Row],[ID]]="","",IF(IFERROR(LOOKUP(2,1/((Log[ID]=Items[[#This Row],[ID]])*(Log[Blk]&lt;&gt;"")),Log[Blk]),0)=1,"Y",""))</f>
      </c>
      <c r="N521" s="17">
        <f>IF(Items[[#This Row],[ID]]="","",SUBSTITUTE(IFERROR(LOOKUP(2,1/((Log[ID]=Items[[#This Row],[ID]])*(Log[State]&lt;&gt;"")),Log[State]),"TODO"),"OPEN",IF(Items[[#This Row],[Blocked]]="Y","WAIT","OPEN")))</f>
      </c>
      <c r="O52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21" s="17">
        <f>IF(Items[[#This Row],[State]]&lt;&gt;"WAIT","",AsOf-Items[[#This Row],[Blocked since]])</f>
      </c>
      <c r="Q521" s="17">
        <f>IF(Items[[#This Row],[State]]&lt;&gt;"WAIT","",IFERROR(LOOKUP(2,1/((Log[ID]=Items[[#This Row],[ID]])*(Log[Verb]="block")),Log[Note])&amp;"",""))</f>
      </c>
      <c r="R521" s="17">
        <f>IF(Items[[#This Row],[ID]]="","",COUNTIFS(Log[ID],Items[[#This Row],[ID]],Log[Verb],"carry"))</f>
      </c>
      <c r="S521" s="17">
        <f>IF(Items[[#This Row],[ID]]="","",COUNTIFS(Log[ID],Items[[#This Row],[ID]],Log[Verb],"punt"))</f>
      </c>
      <c r="T521" s="11">
        <f>IF(Items[[#This Row],[State]]&lt;&gt;"DONE","",IFERROR(LOOKUP(2,1/((Log[ID]=Items[[#This Row],[ID]])*(Log[Verb]="done")),Log[Date]),""))</f>
      </c>
      <c r="U521" s="17">
        <f>IF(Items[[#This Row],[ID]]="","",IF(AND(Items[[#This Row],[Sprint]]=CurSprint,OR(Items[[#This Row],[State]]="OPEN",Items[[#This Row],[State]]="WAIT",Items[[#This Row],[State]]="HOLD",Items[[#This Row],[State]]="DONE")),1,0))</f>
      </c>
      <c r="V521" s="17">
        <f>IF(OR(Items[[#This Row],[ID]]="",Items[[#This Row],[Added]]=""),"",AsOf-Items[[#This Row],[Added]])</f>
      </c>
      <c r="W521" s="17">
        <f>IF(Items[[#This Row],[In sprint]]=1,(IF(Items[[#This Row],[Prio]]="",9,N(Items[[#This Row],[Prio]]))*10+(IF(Items[[#This Row],[State]]="DONE",1,0)))*100000+ROW(),"")</f>
      </c>
      <c r="X52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21" s="17">
        <f>IF(AND(Items[[#This Row],[State]]="DONE",N(Items[[#This Row],[Done on]])&gt;AsOf-7),(200000-N(Items[[#This Row],[Done on]]))*100000+ROW(),"")</f>
      </c>
    </row>
    <row r="522">
      <c r="A522" t="s">
        <v>635</v>
      </c>
      <c r="B522" t="s">
        <v>1743</v>
      </c>
      <c r="C522" t="s">
        <v>1107</v>
      </c>
      <c r="D522" t="s">
        <v>1108</v>
      </c>
      <c r="E522" t="s">
        <v>1131</v>
      </c>
      <c r="F522" t="s">
        <v>1384</v>
      </c>
      <c r="G522">
        <v>3</v>
      </c>
      <c r="H522">
        <v>3</v>
      </c>
      <c r="I522" s="11">
        <v>46175</v>
      </c>
      <c r="J522" s="17">
        <f>IF(Items[[#This Row],[ID]]="","",IFERROR(VALUE(LOOKUP(2,1/((Log[ID]=Items[[#This Row],[ID]])*(Log[Verb]="est")),Log[Arg])),N(Items[[#This Row],[Points]])))</f>
      </c>
      <c r="K522" s="17">
        <f>IF(Items[[#This Row],[ID]]="","",IFERROR(LOOKUP(2,1/((Log[ID]=Items[[#This Row],[ID]])*(Log[Verb]="pass")),Log[Arg])&amp;"",Items[[#This Row],[Team]]&amp;""))</f>
      </c>
      <c r="L522" s="17">
        <f>IF(Items[[#This Row],[ID]]="","",IFERROR(LOOKUP(2,1/((Log[ID]=Items[[#This Row],[ID]])*(Log[Into]&lt;&gt;"")),Log[Into]),""))</f>
      </c>
      <c r="M522" s="17">
        <f>IF(Items[[#This Row],[ID]]="","",IF(IFERROR(LOOKUP(2,1/((Log[ID]=Items[[#This Row],[ID]])*(Log[Blk]&lt;&gt;"")),Log[Blk]),0)=1,"Y",""))</f>
      </c>
      <c r="N522" s="17">
        <f>IF(Items[[#This Row],[ID]]="","",SUBSTITUTE(IFERROR(LOOKUP(2,1/((Log[ID]=Items[[#This Row],[ID]])*(Log[State]&lt;&gt;"")),Log[State]),"TODO"),"OPEN",IF(Items[[#This Row],[Blocked]]="Y","WAIT","OPEN")))</f>
      </c>
      <c r="O52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22" s="17">
        <f>IF(Items[[#This Row],[State]]&lt;&gt;"WAIT","",AsOf-Items[[#This Row],[Blocked since]])</f>
      </c>
      <c r="Q522" s="17">
        <f>IF(Items[[#This Row],[State]]&lt;&gt;"WAIT","",IFERROR(LOOKUP(2,1/((Log[ID]=Items[[#This Row],[ID]])*(Log[Verb]="block")),Log[Note])&amp;"",""))</f>
      </c>
      <c r="R522" s="17">
        <f>IF(Items[[#This Row],[ID]]="","",COUNTIFS(Log[ID],Items[[#This Row],[ID]],Log[Verb],"carry"))</f>
      </c>
      <c r="S522" s="17">
        <f>IF(Items[[#This Row],[ID]]="","",COUNTIFS(Log[ID],Items[[#This Row],[ID]],Log[Verb],"punt"))</f>
      </c>
      <c r="T522" s="11">
        <f>IF(Items[[#This Row],[State]]&lt;&gt;"DONE","",IFERROR(LOOKUP(2,1/((Log[ID]=Items[[#This Row],[ID]])*(Log[Verb]="done")),Log[Date]),""))</f>
      </c>
      <c r="U522" s="17">
        <f>IF(Items[[#This Row],[ID]]="","",IF(AND(Items[[#This Row],[Sprint]]=CurSprint,OR(Items[[#This Row],[State]]="OPEN",Items[[#This Row],[State]]="WAIT",Items[[#This Row],[State]]="HOLD",Items[[#This Row],[State]]="DONE")),1,0))</f>
      </c>
      <c r="V522" s="17">
        <f>IF(OR(Items[[#This Row],[ID]]="",Items[[#This Row],[Added]]=""),"",AsOf-Items[[#This Row],[Added]])</f>
      </c>
      <c r="W522" s="17">
        <f>IF(Items[[#This Row],[In sprint]]=1,(IF(Items[[#This Row],[Prio]]="",9,N(Items[[#This Row],[Prio]]))*10+(IF(Items[[#This Row],[State]]="DONE",1,0)))*100000+ROW(),"")</f>
      </c>
      <c r="X52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22" s="17">
        <f>IF(AND(Items[[#This Row],[State]]="DONE",N(Items[[#This Row],[Done on]])&gt;AsOf-7),(200000-N(Items[[#This Row],[Done on]]))*100000+ROW(),"")</f>
      </c>
    </row>
    <row r="523">
      <c r="A523" t="s">
        <v>636</v>
      </c>
      <c r="B523" t="s">
        <v>1744</v>
      </c>
      <c r="C523" t="s">
        <v>1107</v>
      </c>
      <c r="D523" t="s">
        <v>1127</v>
      </c>
      <c r="E523" t="s">
        <v>1131</v>
      </c>
      <c r="F523" t="s">
        <v>1168</v>
      </c>
      <c r="G523">
        <v>5</v>
      </c>
      <c r="H523">
        <v>3</v>
      </c>
      <c r="I523" s="11">
        <v>46175</v>
      </c>
      <c r="J523" s="17">
        <f>IF(Items[[#This Row],[ID]]="","",IFERROR(VALUE(LOOKUP(2,1/((Log[ID]=Items[[#This Row],[ID]])*(Log[Verb]="est")),Log[Arg])),N(Items[[#This Row],[Points]])))</f>
      </c>
      <c r="K523" s="17">
        <f>IF(Items[[#This Row],[ID]]="","",IFERROR(LOOKUP(2,1/((Log[ID]=Items[[#This Row],[ID]])*(Log[Verb]="pass")),Log[Arg])&amp;"",Items[[#This Row],[Team]]&amp;""))</f>
      </c>
      <c r="L523" s="17">
        <f>IF(Items[[#This Row],[ID]]="","",IFERROR(LOOKUP(2,1/((Log[ID]=Items[[#This Row],[ID]])*(Log[Into]&lt;&gt;"")),Log[Into]),""))</f>
      </c>
      <c r="M523" s="17">
        <f>IF(Items[[#This Row],[ID]]="","",IF(IFERROR(LOOKUP(2,1/((Log[ID]=Items[[#This Row],[ID]])*(Log[Blk]&lt;&gt;"")),Log[Blk]),0)=1,"Y",""))</f>
      </c>
      <c r="N523" s="17">
        <f>IF(Items[[#This Row],[ID]]="","",SUBSTITUTE(IFERROR(LOOKUP(2,1/((Log[ID]=Items[[#This Row],[ID]])*(Log[State]&lt;&gt;"")),Log[State]),"TODO"),"OPEN",IF(Items[[#This Row],[Blocked]]="Y","WAIT","OPEN")))</f>
      </c>
      <c r="O52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23" s="17">
        <f>IF(Items[[#This Row],[State]]&lt;&gt;"WAIT","",AsOf-Items[[#This Row],[Blocked since]])</f>
      </c>
      <c r="Q523" s="17">
        <f>IF(Items[[#This Row],[State]]&lt;&gt;"WAIT","",IFERROR(LOOKUP(2,1/((Log[ID]=Items[[#This Row],[ID]])*(Log[Verb]="block")),Log[Note])&amp;"",""))</f>
      </c>
      <c r="R523" s="17">
        <f>IF(Items[[#This Row],[ID]]="","",COUNTIFS(Log[ID],Items[[#This Row],[ID]],Log[Verb],"carry"))</f>
      </c>
      <c r="S523" s="17">
        <f>IF(Items[[#This Row],[ID]]="","",COUNTIFS(Log[ID],Items[[#This Row],[ID]],Log[Verb],"punt"))</f>
      </c>
      <c r="T523" s="11">
        <f>IF(Items[[#This Row],[State]]&lt;&gt;"DONE","",IFERROR(LOOKUP(2,1/((Log[ID]=Items[[#This Row],[ID]])*(Log[Verb]="done")),Log[Date]),""))</f>
      </c>
      <c r="U523" s="17">
        <f>IF(Items[[#This Row],[ID]]="","",IF(AND(Items[[#This Row],[Sprint]]=CurSprint,OR(Items[[#This Row],[State]]="OPEN",Items[[#This Row],[State]]="WAIT",Items[[#This Row],[State]]="HOLD",Items[[#This Row],[State]]="DONE")),1,0))</f>
      </c>
      <c r="V523" s="17">
        <f>IF(OR(Items[[#This Row],[ID]]="",Items[[#This Row],[Added]]=""),"",AsOf-Items[[#This Row],[Added]])</f>
      </c>
      <c r="W523" s="17">
        <f>IF(Items[[#This Row],[In sprint]]=1,(IF(Items[[#This Row],[Prio]]="",9,N(Items[[#This Row],[Prio]]))*10+(IF(Items[[#This Row],[State]]="DONE",1,0)))*100000+ROW(),"")</f>
      </c>
      <c r="X52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23" s="17">
        <f>IF(AND(Items[[#This Row],[State]]="DONE",N(Items[[#This Row],[Done on]])&gt;AsOf-7),(200000-N(Items[[#This Row],[Done on]]))*100000+ROW(),"")</f>
      </c>
    </row>
    <row r="524">
      <c r="A524" t="s">
        <v>637</v>
      </c>
      <c r="B524" t="s">
        <v>1745</v>
      </c>
      <c r="C524" t="s">
        <v>1107</v>
      </c>
      <c r="D524" t="s">
        <v>1108</v>
      </c>
      <c r="E524" t="s">
        <v>1131</v>
      </c>
      <c r="F524" t="s">
        <v>1168</v>
      </c>
      <c r="G524">
        <v>2</v>
      </c>
      <c r="H524">
        <v>2</v>
      </c>
      <c r="I524" s="11">
        <v>46175</v>
      </c>
      <c r="J524" s="17">
        <f>IF(Items[[#This Row],[ID]]="","",IFERROR(VALUE(LOOKUP(2,1/((Log[ID]=Items[[#This Row],[ID]])*(Log[Verb]="est")),Log[Arg])),N(Items[[#This Row],[Points]])))</f>
      </c>
      <c r="K524" s="17">
        <f>IF(Items[[#This Row],[ID]]="","",IFERROR(LOOKUP(2,1/((Log[ID]=Items[[#This Row],[ID]])*(Log[Verb]="pass")),Log[Arg])&amp;"",Items[[#This Row],[Team]]&amp;""))</f>
      </c>
      <c r="L524" s="17">
        <f>IF(Items[[#This Row],[ID]]="","",IFERROR(LOOKUP(2,1/((Log[ID]=Items[[#This Row],[ID]])*(Log[Into]&lt;&gt;"")),Log[Into]),""))</f>
      </c>
      <c r="M524" s="17">
        <f>IF(Items[[#This Row],[ID]]="","",IF(IFERROR(LOOKUP(2,1/((Log[ID]=Items[[#This Row],[ID]])*(Log[Blk]&lt;&gt;"")),Log[Blk]),0)=1,"Y",""))</f>
      </c>
      <c r="N524" s="17">
        <f>IF(Items[[#This Row],[ID]]="","",SUBSTITUTE(IFERROR(LOOKUP(2,1/((Log[ID]=Items[[#This Row],[ID]])*(Log[State]&lt;&gt;"")),Log[State]),"TODO"),"OPEN",IF(Items[[#This Row],[Blocked]]="Y","WAIT","OPEN")))</f>
      </c>
      <c r="O52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24" s="17">
        <f>IF(Items[[#This Row],[State]]&lt;&gt;"WAIT","",AsOf-Items[[#This Row],[Blocked since]])</f>
      </c>
      <c r="Q524" s="17">
        <f>IF(Items[[#This Row],[State]]&lt;&gt;"WAIT","",IFERROR(LOOKUP(2,1/((Log[ID]=Items[[#This Row],[ID]])*(Log[Verb]="block")),Log[Note])&amp;"",""))</f>
      </c>
      <c r="R524" s="17">
        <f>IF(Items[[#This Row],[ID]]="","",COUNTIFS(Log[ID],Items[[#This Row],[ID]],Log[Verb],"carry"))</f>
      </c>
      <c r="S524" s="17">
        <f>IF(Items[[#This Row],[ID]]="","",COUNTIFS(Log[ID],Items[[#This Row],[ID]],Log[Verb],"punt"))</f>
      </c>
      <c r="T524" s="11">
        <f>IF(Items[[#This Row],[State]]&lt;&gt;"DONE","",IFERROR(LOOKUP(2,1/((Log[ID]=Items[[#This Row],[ID]])*(Log[Verb]="done")),Log[Date]),""))</f>
      </c>
      <c r="U524" s="17">
        <f>IF(Items[[#This Row],[ID]]="","",IF(AND(Items[[#This Row],[Sprint]]=CurSprint,OR(Items[[#This Row],[State]]="OPEN",Items[[#This Row],[State]]="WAIT",Items[[#This Row],[State]]="HOLD",Items[[#This Row],[State]]="DONE")),1,0))</f>
      </c>
      <c r="V524" s="17">
        <f>IF(OR(Items[[#This Row],[ID]]="",Items[[#This Row],[Added]]=""),"",AsOf-Items[[#This Row],[Added]])</f>
      </c>
      <c r="W524" s="17">
        <f>IF(Items[[#This Row],[In sprint]]=1,(IF(Items[[#This Row],[Prio]]="",9,N(Items[[#This Row],[Prio]]))*10+(IF(Items[[#This Row],[State]]="DONE",1,0)))*100000+ROW(),"")</f>
      </c>
      <c r="X52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24" s="17">
        <f>IF(AND(Items[[#This Row],[State]]="DONE",N(Items[[#This Row],[Done on]])&gt;AsOf-7),(200000-N(Items[[#This Row],[Done on]]))*100000+ROW(),"")</f>
      </c>
    </row>
    <row r="525">
      <c r="A525" t="s">
        <v>684</v>
      </c>
      <c r="B525" t="s">
        <v>1746</v>
      </c>
      <c r="C525" t="s">
        <v>1107</v>
      </c>
      <c r="D525" t="s">
        <v>1123</v>
      </c>
      <c r="E525" t="s">
        <v>1131</v>
      </c>
      <c r="F525" t="s">
        <v>1382</v>
      </c>
      <c r="G525">
        <v>8</v>
      </c>
      <c r="H525">
        <v>3</v>
      </c>
      <c r="I525" s="11">
        <v>46175</v>
      </c>
      <c r="J525" s="17">
        <f>IF(Items[[#This Row],[ID]]="","",IFERROR(VALUE(LOOKUP(2,1/((Log[ID]=Items[[#This Row],[ID]])*(Log[Verb]="est")),Log[Arg])),N(Items[[#This Row],[Points]])))</f>
      </c>
      <c r="K525" s="17">
        <f>IF(Items[[#This Row],[ID]]="","",IFERROR(LOOKUP(2,1/((Log[ID]=Items[[#This Row],[ID]])*(Log[Verb]="pass")),Log[Arg])&amp;"",Items[[#This Row],[Team]]&amp;""))</f>
      </c>
      <c r="L525" s="17">
        <f>IF(Items[[#This Row],[ID]]="","",IFERROR(LOOKUP(2,1/((Log[ID]=Items[[#This Row],[ID]])*(Log[Into]&lt;&gt;"")),Log[Into]),""))</f>
      </c>
      <c r="M525" s="17">
        <f>IF(Items[[#This Row],[ID]]="","",IF(IFERROR(LOOKUP(2,1/((Log[ID]=Items[[#This Row],[ID]])*(Log[Blk]&lt;&gt;"")),Log[Blk]),0)=1,"Y",""))</f>
      </c>
      <c r="N525" s="17">
        <f>IF(Items[[#This Row],[ID]]="","",SUBSTITUTE(IFERROR(LOOKUP(2,1/((Log[ID]=Items[[#This Row],[ID]])*(Log[State]&lt;&gt;"")),Log[State]),"TODO"),"OPEN",IF(Items[[#This Row],[Blocked]]="Y","WAIT","OPEN")))</f>
      </c>
      <c r="O52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25" s="17">
        <f>IF(Items[[#This Row],[State]]&lt;&gt;"WAIT","",AsOf-Items[[#This Row],[Blocked since]])</f>
      </c>
      <c r="Q525" s="17">
        <f>IF(Items[[#This Row],[State]]&lt;&gt;"WAIT","",IFERROR(LOOKUP(2,1/((Log[ID]=Items[[#This Row],[ID]])*(Log[Verb]="block")),Log[Note])&amp;"",""))</f>
      </c>
      <c r="R525" s="17">
        <f>IF(Items[[#This Row],[ID]]="","",COUNTIFS(Log[ID],Items[[#This Row],[ID]],Log[Verb],"carry"))</f>
      </c>
      <c r="S525" s="17">
        <f>IF(Items[[#This Row],[ID]]="","",COUNTIFS(Log[ID],Items[[#This Row],[ID]],Log[Verb],"punt"))</f>
      </c>
      <c r="T525" s="11">
        <f>IF(Items[[#This Row],[State]]&lt;&gt;"DONE","",IFERROR(LOOKUP(2,1/((Log[ID]=Items[[#This Row],[ID]])*(Log[Verb]="done")),Log[Date]),""))</f>
      </c>
      <c r="U525" s="17">
        <f>IF(Items[[#This Row],[ID]]="","",IF(AND(Items[[#This Row],[Sprint]]=CurSprint,OR(Items[[#This Row],[State]]="OPEN",Items[[#This Row],[State]]="WAIT",Items[[#This Row],[State]]="HOLD",Items[[#This Row],[State]]="DONE")),1,0))</f>
      </c>
      <c r="V525" s="17">
        <f>IF(OR(Items[[#This Row],[ID]]="",Items[[#This Row],[Added]]=""),"",AsOf-Items[[#This Row],[Added]])</f>
      </c>
      <c r="W525" s="17">
        <f>IF(Items[[#This Row],[In sprint]]=1,(IF(Items[[#This Row],[Prio]]="",9,N(Items[[#This Row],[Prio]]))*10+(IF(Items[[#This Row],[State]]="DONE",1,0)))*100000+ROW(),"")</f>
      </c>
      <c r="X52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25" s="17">
        <f>IF(AND(Items[[#This Row],[State]]="DONE",N(Items[[#This Row],[Done on]])&gt;AsOf-7),(200000-N(Items[[#This Row],[Done on]]))*100000+ROW(),"")</f>
      </c>
    </row>
    <row r="526">
      <c r="A526" t="s">
        <v>685</v>
      </c>
      <c r="B526" t="s">
        <v>1747</v>
      </c>
      <c r="C526" t="s">
        <v>1115</v>
      </c>
      <c r="D526" t="s">
        <v>1116</v>
      </c>
      <c r="E526" t="s">
        <v>1131</v>
      </c>
      <c r="F526" t="s">
        <v>1168</v>
      </c>
      <c r="G526">
        <v>8</v>
      </c>
      <c r="H526">
        <v>2</v>
      </c>
      <c r="I526" s="11">
        <v>46175</v>
      </c>
      <c r="J526" s="17">
        <f>IF(Items[[#This Row],[ID]]="","",IFERROR(VALUE(LOOKUP(2,1/((Log[ID]=Items[[#This Row],[ID]])*(Log[Verb]="est")),Log[Arg])),N(Items[[#This Row],[Points]])))</f>
      </c>
      <c r="K526" s="17">
        <f>IF(Items[[#This Row],[ID]]="","",IFERROR(LOOKUP(2,1/((Log[ID]=Items[[#This Row],[ID]])*(Log[Verb]="pass")),Log[Arg])&amp;"",Items[[#This Row],[Team]]&amp;""))</f>
      </c>
      <c r="L526" s="17">
        <f>IF(Items[[#This Row],[ID]]="","",IFERROR(LOOKUP(2,1/((Log[ID]=Items[[#This Row],[ID]])*(Log[Into]&lt;&gt;"")),Log[Into]),""))</f>
      </c>
      <c r="M526" s="17">
        <f>IF(Items[[#This Row],[ID]]="","",IF(IFERROR(LOOKUP(2,1/((Log[ID]=Items[[#This Row],[ID]])*(Log[Blk]&lt;&gt;"")),Log[Blk]),0)=1,"Y",""))</f>
      </c>
      <c r="N526" s="17">
        <f>IF(Items[[#This Row],[ID]]="","",SUBSTITUTE(IFERROR(LOOKUP(2,1/((Log[ID]=Items[[#This Row],[ID]])*(Log[State]&lt;&gt;"")),Log[State]),"TODO"),"OPEN",IF(Items[[#This Row],[Blocked]]="Y","WAIT","OPEN")))</f>
      </c>
      <c r="O52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26" s="17">
        <f>IF(Items[[#This Row],[State]]&lt;&gt;"WAIT","",AsOf-Items[[#This Row],[Blocked since]])</f>
      </c>
      <c r="Q526" s="17">
        <f>IF(Items[[#This Row],[State]]&lt;&gt;"WAIT","",IFERROR(LOOKUP(2,1/((Log[ID]=Items[[#This Row],[ID]])*(Log[Verb]="block")),Log[Note])&amp;"",""))</f>
      </c>
      <c r="R526" s="17">
        <f>IF(Items[[#This Row],[ID]]="","",COUNTIFS(Log[ID],Items[[#This Row],[ID]],Log[Verb],"carry"))</f>
      </c>
      <c r="S526" s="17">
        <f>IF(Items[[#This Row],[ID]]="","",COUNTIFS(Log[ID],Items[[#This Row],[ID]],Log[Verb],"punt"))</f>
      </c>
      <c r="T526" s="11">
        <f>IF(Items[[#This Row],[State]]&lt;&gt;"DONE","",IFERROR(LOOKUP(2,1/((Log[ID]=Items[[#This Row],[ID]])*(Log[Verb]="done")),Log[Date]),""))</f>
      </c>
      <c r="U526" s="17">
        <f>IF(Items[[#This Row],[ID]]="","",IF(AND(Items[[#This Row],[Sprint]]=CurSprint,OR(Items[[#This Row],[State]]="OPEN",Items[[#This Row],[State]]="WAIT",Items[[#This Row],[State]]="HOLD",Items[[#This Row],[State]]="DONE")),1,0))</f>
      </c>
      <c r="V526" s="17">
        <f>IF(OR(Items[[#This Row],[ID]]="",Items[[#This Row],[Added]]=""),"",AsOf-Items[[#This Row],[Added]])</f>
      </c>
      <c r="W526" s="17">
        <f>IF(Items[[#This Row],[In sprint]]=1,(IF(Items[[#This Row],[Prio]]="",9,N(Items[[#This Row],[Prio]]))*10+(IF(Items[[#This Row],[State]]="DONE",1,0)))*100000+ROW(),"")</f>
      </c>
      <c r="X52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26" s="17">
        <f>IF(AND(Items[[#This Row],[State]]="DONE",N(Items[[#This Row],[Done on]])&gt;AsOf-7),(200000-N(Items[[#This Row],[Done on]]))*100000+ROW(),"")</f>
      </c>
    </row>
    <row r="527">
      <c r="A527" t="s">
        <v>686</v>
      </c>
      <c r="B527" t="s">
        <v>1748</v>
      </c>
      <c r="C527" t="s">
        <v>1115</v>
      </c>
      <c r="D527" t="s">
        <v>1119</v>
      </c>
      <c r="E527" t="s">
        <v>1131</v>
      </c>
      <c r="F527" t="s">
        <v>1132</v>
      </c>
      <c r="G527">
        <v>3</v>
      </c>
      <c r="H527">
        <v>3</v>
      </c>
      <c r="I527" s="11">
        <v>46175</v>
      </c>
      <c r="J527" s="17">
        <f>IF(Items[[#This Row],[ID]]="","",IFERROR(VALUE(LOOKUP(2,1/((Log[ID]=Items[[#This Row],[ID]])*(Log[Verb]="est")),Log[Arg])),N(Items[[#This Row],[Points]])))</f>
      </c>
      <c r="K527" s="17">
        <f>IF(Items[[#This Row],[ID]]="","",IFERROR(LOOKUP(2,1/((Log[ID]=Items[[#This Row],[ID]])*(Log[Verb]="pass")),Log[Arg])&amp;"",Items[[#This Row],[Team]]&amp;""))</f>
      </c>
      <c r="L527" s="17">
        <f>IF(Items[[#This Row],[ID]]="","",IFERROR(LOOKUP(2,1/((Log[ID]=Items[[#This Row],[ID]])*(Log[Into]&lt;&gt;"")),Log[Into]),""))</f>
      </c>
      <c r="M527" s="17">
        <f>IF(Items[[#This Row],[ID]]="","",IF(IFERROR(LOOKUP(2,1/((Log[ID]=Items[[#This Row],[ID]])*(Log[Blk]&lt;&gt;"")),Log[Blk]),0)=1,"Y",""))</f>
      </c>
      <c r="N527" s="17">
        <f>IF(Items[[#This Row],[ID]]="","",SUBSTITUTE(IFERROR(LOOKUP(2,1/((Log[ID]=Items[[#This Row],[ID]])*(Log[State]&lt;&gt;"")),Log[State]),"TODO"),"OPEN",IF(Items[[#This Row],[Blocked]]="Y","WAIT","OPEN")))</f>
      </c>
      <c r="O52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27" s="17">
        <f>IF(Items[[#This Row],[State]]&lt;&gt;"WAIT","",AsOf-Items[[#This Row],[Blocked since]])</f>
      </c>
      <c r="Q527" s="17">
        <f>IF(Items[[#This Row],[State]]&lt;&gt;"WAIT","",IFERROR(LOOKUP(2,1/((Log[ID]=Items[[#This Row],[ID]])*(Log[Verb]="block")),Log[Note])&amp;"",""))</f>
      </c>
      <c r="R527" s="17">
        <f>IF(Items[[#This Row],[ID]]="","",COUNTIFS(Log[ID],Items[[#This Row],[ID]],Log[Verb],"carry"))</f>
      </c>
      <c r="S527" s="17">
        <f>IF(Items[[#This Row],[ID]]="","",COUNTIFS(Log[ID],Items[[#This Row],[ID]],Log[Verb],"punt"))</f>
      </c>
      <c r="T527" s="11">
        <f>IF(Items[[#This Row],[State]]&lt;&gt;"DONE","",IFERROR(LOOKUP(2,1/((Log[ID]=Items[[#This Row],[ID]])*(Log[Verb]="done")),Log[Date]),""))</f>
      </c>
      <c r="U527" s="17">
        <f>IF(Items[[#This Row],[ID]]="","",IF(AND(Items[[#This Row],[Sprint]]=CurSprint,OR(Items[[#This Row],[State]]="OPEN",Items[[#This Row],[State]]="WAIT",Items[[#This Row],[State]]="HOLD",Items[[#This Row],[State]]="DONE")),1,0))</f>
      </c>
      <c r="V527" s="17">
        <f>IF(OR(Items[[#This Row],[ID]]="",Items[[#This Row],[Added]]=""),"",AsOf-Items[[#This Row],[Added]])</f>
      </c>
      <c r="W527" s="17">
        <f>IF(Items[[#This Row],[In sprint]]=1,(IF(Items[[#This Row],[Prio]]="",9,N(Items[[#This Row],[Prio]]))*10+(IF(Items[[#This Row],[State]]="DONE",1,0)))*100000+ROW(),"")</f>
      </c>
      <c r="X52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27" s="17">
        <f>IF(AND(Items[[#This Row],[State]]="DONE",N(Items[[#This Row],[Done on]])&gt;AsOf-7),(200000-N(Items[[#This Row],[Done on]]))*100000+ROW(),"")</f>
      </c>
    </row>
    <row r="528">
      <c r="A528" t="s">
        <v>692</v>
      </c>
      <c r="B528" t="s">
        <v>1749</v>
      </c>
      <c r="C528" t="s">
        <v>1115</v>
      </c>
      <c r="D528" t="s">
        <v>1116</v>
      </c>
      <c r="E528" t="s">
        <v>1134</v>
      </c>
      <c r="F528" t="s">
        <v>1242</v>
      </c>
      <c r="G528">
        <v>3</v>
      </c>
      <c r="H528">
        <v>2</v>
      </c>
      <c r="I528" s="11">
        <v>46175</v>
      </c>
      <c r="J528" s="17">
        <f>IF(Items[[#This Row],[ID]]="","",IFERROR(VALUE(LOOKUP(2,1/((Log[ID]=Items[[#This Row],[ID]])*(Log[Verb]="est")),Log[Arg])),N(Items[[#This Row],[Points]])))</f>
      </c>
      <c r="K528" s="17">
        <f>IF(Items[[#This Row],[ID]]="","",IFERROR(LOOKUP(2,1/((Log[ID]=Items[[#This Row],[ID]])*(Log[Verb]="pass")),Log[Arg])&amp;"",Items[[#This Row],[Team]]&amp;""))</f>
      </c>
      <c r="L528" s="17">
        <f>IF(Items[[#This Row],[ID]]="","",IFERROR(LOOKUP(2,1/((Log[ID]=Items[[#This Row],[ID]])*(Log[Into]&lt;&gt;"")),Log[Into]),""))</f>
      </c>
      <c r="M528" s="17">
        <f>IF(Items[[#This Row],[ID]]="","",IF(IFERROR(LOOKUP(2,1/((Log[ID]=Items[[#This Row],[ID]])*(Log[Blk]&lt;&gt;"")),Log[Blk]),0)=1,"Y",""))</f>
      </c>
      <c r="N528" s="17">
        <f>IF(Items[[#This Row],[ID]]="","",SUBSTITUTE(IFERROR(LOOKUP(2,1/((Log[ID]=Items[[#This Row],[ID]])*(Log[State]&lt;&gt;"")),Log[State]),"TODO"),"OPEN",IF(Items[[#This Row],[Blocked]]="Y","WAIT","OPEN")))</f>
      </c>
      <c r="O52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28" s="17">
        <f>IF(Items[[#This Row],[State]]&lt;&gt;"WAIT","",AsOf-Items[[#This Row],[Blocked since]])</f>
      </c>
      <c r="Q528" s="17">
        <f>IF(Items[[#This Row],[State]]&lt;&gt;"WAIT","",IFERROR(LOOKUP(2,1/((Log[ID]=Items[[#This Row],[ID]])*(Log[Verb]="block")),Log[Note])&amp;"",""))</f>
      </c>
      <c r="R528" s="17">
        <f>IF(Items[[#This Row],[ID]]="","",COUNTIFS(Log[ID],Items[[#This Row],[ID]],Log[Verb],"carry"))</f>
      </c>
      <c r="S528" s="17">
        <f>IF(Items[[#This Row],[ID]]="","",COUNTIFS(Log[ID],Items[[#This Row],[ID]],Log[Verb],"punt"))</f>
      </c>
      <c r="T528" s="11">
        <f>IF(Items[[#This Row],[State]]&lt;&gt;"DONE","",IFERROR(LOOKUP(2,1/((Log[ID]=Items[[#This Row],[ID]])*(Log[Verb]="done")),Log[Date]),""))</f>
      </c>
      <c r="U528" s="17">
        <f>IF(Items[[#This Row],[ID]]="","",IF(AND(Items[[#This Row],[Sprint]]=CurSprint,OR(Items[[#This Row],[State]]="OPEN",Items[[#This Row],[State]]="WAIT",Items[[#This Row],[State]]="HOLD",Items[[#This Row],[State]]="DONE")),1,0))</f>
      </c>
      <c r="V528" s="17">
        <f>IF(OR(Items[[#This Row],[ID]]="",Items[[#This Row],[Added]]=""),"",AsOf-Items[[#This Row],[Added]])</f>
      </c>
      <c r="W528" s="17">
        <f>IF(Items[[#This Row],[In sprint]]=1,(IF(Items[[#This Row],[Prio]]="",9,N(Items[[#This Row],[Prio]]))*10+(IF(Items[[#This Row],[State]]="DONE",1,0)))*100000+ROW(),"")</f>
      </c>
      <c r="X52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28" s="17">
        <f>IF(AND(Items[[#This Row],[State]]="DONE",N(Items[[#This Row],[Done on]])&gt;AsOf-7),(200000-N(Items[[#This Row],[Done on]]))*100000+ROW(),"")</f>
      </c>
    </row>
    <row r="529">
      <c r="A529" t="s">
        <v>751</v>
      </c>
      <c r="B529" t="s">
        <v>1750</v>
      </c>
      <c r="C529" t="s">
        <v>1107</v>
      </c>
      <c r="D529" t="s">
        <v>1123</v>
      </c>
      <c r="E529" t="s">
        <v>1134</v>
      </c>
      <c r="F529" t="s">
        <v>1137</v>
      </c>
      <c r="G529">
        <v>5</v>
      </c>
      <c r="H529">
        <v>2</v>
      </c>
      <c r="I529" s="11">
        <v>46175</v>
      </c>
      <c r="J529" s="17">
        <f>IF(Items[[#This Row],[ID]]="","",IFERROR(VALUE(LOOKUP(2,1/((Log[ID]=Items[[#This Row],[ID]])*(Log[Verb]="est")),Log[Arg])),N(Items[[#This Row],[Points]])))</f>
      </c>
      <c r="K529" s="17">
        <f>IF(Items[[#This Row],[ID]]="","",IFERROR(LOOKUP(2,1/((Log[ID]=Items[[#This Row],[ID]])*(Log[Verb]="pass")),Log[Arg])&amp;"",Items[[#This Row],[Team]]&amp;""))</f>
      </c>
      <c r="L529" s="17">
        <f>IF(Items[[#This Row],[ID]]="","",IFERROR(LOOKUP(2,1/((Log[ID]=Items[[#This Row],[ID]])*(Log[Into]&lt;&gt;"")),Log[Into]),""))</f>
      </c>
      <c r="M529" s="17">
        <f>IF(Items[[#This Row],[ID]]="","",IF(IFERROR(LOOKUP(2,1/((Log[ID]=Items[[#This Row],[ID]])*(Log[Blk]&lt;&gt;"")),Log[Blk]),0)=1,"Y",""))</f>
      </c>
      <c r="N529" s="17">
        <f>IF(Items[[#This Row],[ID]]="","",SUBSTITUTE(IFERROR(LOOKUP(2,1/((Log[ID]=Items[[#This Row],[ID]])*(Log[State]&lt;&gt;"")),Log[State]),"TODO"),"OPEN",IF(Items[[#This Row],[Blocked]]="Y","WAIT","OPEN")))</f>
      </c>
      <c r="O52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29" s="17">
        <f>IF(Items[[#This Row],[State]]&lt;&gt;"WAIT","",AsOf-Items[[#This Row],[Blocked since]])</f>
      </c>
      <c r="Q529" s="17">
        <f>IF(Items[[#This Row],[State]]&lt;&gt;"WAIT","",IFERROR(LOOKUP(2,1/((Log[ID]=Items[[#This Row],[ID]])*(Log[Verb]="block")),Log[Note])&amp;"",""))</f>
      </c>
      <c r="R529" s="17">
        <f>IF(Items[[#This Row],[ID]]="","",COUNTIFS(Log[ID],Items[[#This Row],[ID]],Log[Verb],"carry"))</f>
      </c>
      <c r="S529" s="17">
        <f>IF(Items[[#This Row],[ID]]="","",COUNTIFS(Log[ID],Items[[#This Row],[ID]],Log[Verb],"punt"))</f>
      </c>
      <c r="T529" s="11">
        <f>IF(Items[[#This Row],[State]]&lt;&gt;"DONE","",IFERROR(LOOKUP(2,1/((Log[ID]=Items[[#This Row],[ID]])*(Log[Verb]="done")),Log[Date]),""))</f>
      </c>
      <c r="U529" s="17">
        <f>IF(Items[[#This Row],[ID]]="","",IF(AND(Items[[#This Row],[Sprint]]=CurSprint,OR(Items[[#This Row],[State]]="OPEN",Items[[#This Row],[State]]="WAIT",Items[[#This Row],[State]]="HOLD",Items[[#This Row],[State]]="DONE")),1,0))</f>
      </c>
      <c r="V529" s="17">
        <f>IF(OR(Items[[#This Row],[ID]]="",Items[[#This Row],[Added]]=""),"",AsOf-Items[[#This Row],[Added]])</f>
      </c>
      <c r="W529" s="17">
        <f>IF(Items[[#This Row],[In sprint]]=1,(IF(Items[[#This Row],[Prio]]="",9,N(Items[[#This Row],[Prio]]))*10+(IF(Items[[#This Row],[State]]="DONE",1,0)))*100000+ROW(),"")</f>
      </c>
      <c r="X52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29" s="17">
        <f>IF(AND(Items[[#This Row],[State]]="DONE",N(Items[[#This Row],[Done on]])&gt;AsOf-7),(200000-N(Items[[#This Row],[Done on]]))*100000+ROW(),"")</f>
      </c>
    </row>
    <row r="530">
      <c r="A530" t="s">
        <v>752</v>
      </c>
      <c r="B530" t="s">
        <v>1751</v>
      </c>
      <c r="C530" t="s">
        <v>1107</v>
      </c>
      <c r="D530" t="s">
        <v>1127</v>
      </c>
      <c r="E530" t="s">
        <v>1134</v>
      </c>
      <c r="F530" t="s">
        <v>1242</v>
      </c>
      <c r="G530">
        <v>8</v>
      </c>
      <c r="H530">
        <v>3</v>
      </c>
      <c r="I530" s="11">
        <v>46175</v>
      </c>
      <c r="J530" s="17">
        <f>IF(Items[[#This Row],[ID]]="","",IFERROR(VALUE(LOOKUP(2,1/((Log[ID]=Items[[#This Row],[ID]])*(Log[Verb]="est")),Log[Arg])),N(Items[[#This Row],[Points]])))</f>
      </c>
      <c r="K530" s="17">
        <f>IF(Items[[#This Row],[ID]]="","",IFERROR(LOOKUP(2,1/((Log[ID]=Items[[#This Row],[ID]])*(Log[Verb]="pass")),Log[Arg])&amp;"",Items[[#This Row],[Team]]&amp;""))</f>
      </c>
      <c r="L530" s="17">
        <f>IF(Items[[#This Row],[ID]]="","",IFERROR(LOOKUP(2,1/((Log[ID]=Items[[#This Row],[ID]])*(Log[Into]&lt;&gt;"")),Log[Into]),""))</f>
      </c>
      <c r="M530" s="17">
        <f>IF(Items[[#This Row],[ID]]="","",IF(IFERROR(LOOKUP(2,1/((Log[ID]=Items[[#This Row],[ID]])*(Log[Blk]&lt;&gt;"")),Log[Blk]),0)=1,"Y",""))</f>
      </c>
      <c r="N530" s="17">
        <f>IF(Items[[#This Row],[ID]]="","",SUBSTITUTE(IFERROR(LOOKUP(2,1/((Log[ID]=Items[[#This Row],[ID]])*(Log[State]&lt;&gt;"")),Log[State]),"TODO"),"OPEN",IF(Items[[#This Row],[Blocked]]="Y","WAIT","OPEN")))</f>
      </c>
      <c r="O53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30" s="17">
        <f>IF(Items[[#This Row],[State]]&lt;&gt;"WAIT","",AsOf-Items[[#This Row],[Blocked since]])</f>
      </c>
      <c r="Q530" s="17">
        <f>IF(Items[[#This Row],[State]]&lt;&gt;"WAIT","",IFERROR(LOOKUP(2,1/((Log[ID]=Items[[#This Row],[ID]])*(Log[Verb]="block")),Log[Note])&amp;"",""))</f>
      </c>
      <c r="R530" s="17">
        <f>IF(Items[[#This Row],[ID]]="","",COUNTIFS(Log[ID],Items[[#This Row],[ID]],Log[Verb],"carry"))</f>
      </c>
      <c r="S530" s="17">
        <f>IF(Items[[#This Row],[ID]]="","",COUNTIFS(Log[ID],Items[[#This Row],[ID]],Log[Verb],"punt"))</f>
      </c>
      <c r="T530" s="11">
        <f>IF(Items[[#This Row],[State]]&lt;&gt;"DONE","",IFERROR(LOOKUP(2,1/((Log[ID]=Items[[#This Row],[ID]])*(Log[Verb]="done")),Log[Date]),""))</f>
      </c>
      <c r="U530" s="17">
        <f>IF(Items[[#This Row],[ID]]="","",IF(AND(Items[[#This Row],[Sprint]]=CurSprint,OR(Items[[#This Row],[State]]="OPEN",Items[[#This Row],[State]]="WAIT",Items[[#This Row],[State]]="HOLD",Items[[#This Row],[State]]="DONE")),1,0))</f>
      </c>
      <c r="V530" s="17">
        <f>IF(OR(Items[[#This Row],[ID]]="",Items[[#This Row],[Added]]=""),"",AsOf-Items[[#This Row],[Added]])</f>
      </c>
      <c r="W530" s="17">
        <f>IF(Items[[#This Row],[In sprint]]=1,(IF(Items[[#This Row],[Prio]]="",9,N(Items[[#This Row],[Prio]]))*10+(IF(Items[[#This Row],[State]]="DONE",1,0)))*100000+ROW(),"")</f>
      </c>
      <c r="X53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30" s="17">
        <f>IF(AND(Items[[#This Row],[State]]="DONE",N(Items[[#This Row],[Done on]])&gt;AsOf-7),(200000-N(Items[[#This Row],[Done on]]))*100000+ROW(),"")</f>
      </c>
    </row>
    <row r="531">
      <c r="A531" t="s">
        <v>695</v>
      </c>
      <c r="B531" t="s">
        <v>1752</v>
      </c>
      <c r="C531" t="s">
        <v>1107</v>
      </c>
      <c r="D531" t="s">
        <v>1127</v>
      </c>
      <c r="E531" t="s">
        <v>1139</v>
      </c>
      <c r="F531" t="s">
        <v>1175</v>
      </c>
      <c r="G531">
        <v>3</v>
      </c>
      <c r="H531">
        <v>3</v>
      </c>
      <c r="I531" s="11">
        <v>46175</v>
      </c>
      <c r="J531" s="17">
        <f>IF(Items[[#This Row],[ID]]="","",IFERROR(VALUE(LOOKUP(2,1/((Log[ID]=Items[[#This Row],[ID]])*(Log[Verb]="est")),Log[Arg])),N(Items[[#This Row],[Points]])))</f>
      </c>
      <c r="K531" s="17">
        <f>IF(Items[[#This Row],[ID]]="","",IFERROR(LOOKUP(2,1/((Log[ID]=Items[[#This Row],[ID]])*(Log[Verb]="pass")),Log[Arg])&amp;"",Items[[#This Row],[Team]]&amp;""))</f>
      </c>
      <c r="L531" s="17">
        <f>IF(Items[[#This Row],[ID]]="","",IFERROR(LOOKUP(2,1/((Log[ID]=Items[[#This Row],[ID]])*(Log[Into]&lt;&gt;"")),Log[Into]),""))</f>
      </c>
      <c r="M531" s="17">
        <f>IF(Items[[#This Row],[ID]]="","",IF(IFERROR(LOOKUP(2,1/((Log[ID]=Items[[#This Row],[ID]])*(Log[Blk]&lt;&gt;"")),Log[Blk]),0)=1,"Y",""))</f>
      </c>
      <c r="N531" s="17">
        <f>IF(Items[[#This Row],[ID]]="","",SUBSTITUTE(IFERROR(LOOKUP(2,1/((Log[ID]=Items[[#This Row],[ID]])*(Log[State]&lt;&gt;"")),Log[State]),"TODO"),"OPEN",IF(Items[[#This Row],[Blocked]]="Y","WAIT","OPEN")))</f>
      </c>
      <c r="O53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31" s="17">
        <f>IF(Items[[#This Row],[State]]&lt;&gt;"WAIT","",AsOf-Items[[#This Row],[Blocked since]])</f>
      </c>
      <c r="Q531" s="17">
        <f>IF(Items[[#This Row],[State]]&lt;&gt;"WAIT","",IFERROR(LOOKUP(2,1/((Log[ID]=Items[[#This Row],[ID]])*(Log[Verb]="block")),Log[Note])&amp;"",""))</f>
      </c>
      <c r="R531" s="17">
        <f>IF(Items[[#This Row],[ID]]="","",COUNTIFS(Log[ID],Items[[#This Row],[ID]],Log[Verb],"carry"))</f>
      </c>
      <c r="S531" s="17">
        <f>IF(Items[[#This Row],[ID]]="","",COUNTIFS(Log[ID],Items[[#This Row],[ID]],Log[Verb],"punt"))</f>
      </c>
      <c r="T531" s="11">
        <f>IF(Items[[#This Row],[State]]&lt;&gt;"DONE","",IFERROR(LOOKUP(2,1/((Log[ID]=Items[[#This Row],[ID]])*(Log[Verb]="done")),Log[Date]),""))</f>
      </c>
      <c r="U531" s="17">
        <f>IF(Items[[#This Row],[ID]]="","",IF(AND(Items[[#This Row],[Sprint]]=CurSprint,OR(Items[[#This Row],[State]]="OPEN",Items[[#This Row],[State]]="WAIT",Items[[#This Row],[State]]="HOLD",Items[[#This Row],[State]]="DONE")),1,0))</f>
      </c>
      <c r="V531" s="17">
        <f>IF(OR(Items[[#This Row],[ID]]="",Items[[#This Row],[Added]]=""),"",AsOf-Items[[#This Row],[Added]])</f>
      </c>
      <c r="W531" s="17">
        <f>IF(Items[[#This Row],[In sprint]]=1,(IF(Items[[#This Row],[Prio]]="",9,N(Items[[#This Row],[Prio]]))*10+(IF(Items[[#This Row],[State]]="DONE",1,0)))*100000+ROW(),"")</f>
      </c>
      <c r="X53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31" s="17">
        <f>IF(AND(Items[[#This Row],[State]]="DONE",N(Items[[#This Row],[Done on]])&gt;AsOf-7),(200000-N(Items[[#This Row],[Done on]]))*100000+ROW(),"")</f>
      </c>
    </row>
    <row r="532">
      <c r="A532" t="s">
        <v>696</v>
      </c>
      <c r="B532" t="s">
        <v>1753</v>
      </c>
      <c r="C532" t="s">
        <v>1115</v>
      </c>
      <c r="D532" t="s">
        <v>1119</v>
      </c>
      <c r="E532" t="s">
        <v>1139</v>
      </c>
      <c r="F532" t="s">
        <v>1323</v>
      </c>
      <c r="G532">
        <v>8</v>
      </c>
      <c r="H532">
        <v>3</v>
      </c>
      <c r="I532" s="11">
        <v>46175</v>
      </c>
      <c r="J532" s="17">
        <f>IF(Items[[#This Row],[ID]]="","",IFERROR(VALUE(LOOKUP(2,1/((Log[ID]=Items[[#This Row],[ID]])*(Log[Verb]="est")),Log[Arg])),N(Items[[#This Row],[Points]])))</f>
      </c>
      <c r="K532" s="17">
        <f>IF(Items[[#This Row],[ID]]="","",IFERROR(LOOKUP(2,1/((Log[ID]=Items[[#This Row],[ID]])*(Log[Verb]="pass")),Log[Arg])&amp;"",Items[[#This Row],[Team]]&amp;""))</f>
      </c>
      <c r="L532" s="17">
        <f>IF(Items[[#This Row],[ID]]="","",IFERROR(LOOKUP(2,1/((Log[ID]=Items[[#This Row],[ID]])*(Log[Into]&lt;&gt;"")),Log[Into]),""))</f>
      </c>
      <c r="M532" s="17">
        <f>IF(Items[[#This Row],[ID]]="","",IF(IFERROR(LOOKUP(2,1/((Log[ID]=Items[[#This Row],[ID]])*(Log[Blk]&lt;&gt;"")),Log[Blk]),0)=1,"Y",""))</f>
      </c>
      <c r="N532" s="17">
        <f>IF(Items[[#This Row],[ID]]="","",SUBSTITUTE(IFERROR(LOOKUP(2,1/((Log[ID]=Items[[#This Row],[ID]])*(Log[State]&lt;&gt;"")),Log[State]),"TODO"),"OPEN",IF(Items[[#This Row],[Blocked]]="Y","WAIT","OPEN")))</f>
      </c>
      <c r="O53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32" s="17">
        <f>IF(Items[[#This Row],[State]]&lt;&gt;"WAIT","",AsOf-Items[[#This Row],[Blocked since]])</f>
      </c>
      <c r="Q532" s="17">
        <f>IF(Items[[#This Row],[State]]&lt;&gt;"WAIT","",IFERROR(LOOKUP(2,1/((Log[ID]=Items[[#This Row],[ID]])*(Log[Verb]="block")),Log[Note])&amp;"",""))</f>
      </c>
      <c r="R532" s="17">
        <f>IF(Items[[#This Row],[ID]]="","",COUNTIFS(Log[ID],Items[[#This Row],[ID]],Log[Verb],"carry"))</f>
      </c>
      <c r="S532" s="17">
        <f>IF(Items[[#This Row],[ID]]="","",COUNTIFS(Log[ID],Items[[#This Row],[ID]],Log[Verb],"punt"))</f>
      </c>
      <c r="T532" s="11">
        <f>IF(Items[[#This Row],[State]]&lt;&gt;"DONE","",IFERROR(LOOKUP(2,1/((Log[ID]=Items[[#This Row],[ID]])*(Log[Verb]="done")),Log[Date]),""))</f>
      </c>
      <c r="U532" s="17">
        <f>IF(Items[[#This Row],[ID]]="","",IF(AND(Items[[#This Row],[Sprint]]=CurSprint,OR(Items[[#This Row],[State]]="OPEN",Items[[#This Row],[State]]="WAIT",Items[[#This Row],[State]]="HOLD",Items[[#This Row],[State]]="DONE")),1,0))</f>
      </c>
      <c r="V532" s="17">
        <f>IF(OR(Items[[#This Row],[ID]]="",Items[[#This Row],[Added]]=""),"",AsOf-Items[[#This Row],[Added]])</f>
      </c>
      <c r="W532" s="17">
        <f>IF(Items[[#This Row],[In sprint]]=1,(IF(Items[[#This Row],[Prio]]="",9,N(Items[[#This Row],[Prio]]))*10+(IF(Items[[#This Row],[State]]="DONE",1,0)))*100000+ROW(),"")</f>
      </c>
      <c r="X53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32" s="17">
        <f>IF(AND(Items[[#This Row],[State]]="DONE",N(Items[[#This Row],[Done on]])&gt;AsOf-7),(200000-N(Items[[#This Row],[Done on]]))*100000+ROW(),"")</f>
      </c>
    </row>
    <row r="533">
      <c r="A533" t="s">
        <v>697</v>
      </c>
      <c r="B533" t="s">
        <v>1754</v>
      </c>
      <c r="C533" t="s">
        <v>1107</v>
      </c>
      <c r="D533" t="s">
        <v>1127</v>
      </c>
      <c r="E533" t="s">
        <v>1139</v>
      </c>
      <c r="F533" t="s">
        <v>1249</v>
      </c>
      <c r="G533">
        <v>2</v>
      </c>
      <c r="H533">
        <v>3</v>
      </c>
      <c r="I533" s="11">
        <v>46175</v>
      </c>
      <c r="J533" s="17">
        <f>IF(Items[[#This Row],[ID]]="","",IFERROR(VALUE(LOOKUP(2,1/((Log[ID]=Items[[#This Row],[ID]])*(Log[Verb]="est")),Log[Arg])),N(Items[[#This Row],[Points]])))</f>
      </c>
      <c r="K533" s="17">
        <f>IF(Items[[#This Row],[ID]]="","",IFERROR(LOOKUP(2,1/((Log[ID]=Items[[#This Row],[ID]])*(Log[Verb]="pass")),Log[Arg])&amp;"",Items[[#This Row],[Team]]&amp;""))</f>
      </c>
      <c r="L533" s="17">
        <f>IF(Items[[#This Row],[ID]]="","",IFERROR(LOOKUP(2,1/((Log[ID]=Items[[#This Row],[ID]])*(Log[Into]&lt;&gt;"")),Log[Into]),""))</f>
      </c>
      <c r="M533" s="17">
        <f>IF(Items[[#This Row],[ID]]="","",IF(IFERROR(LOOKUP(2,1/((Log[ID]=Items[[#This Row],[ID]])*(Log[Blk]&lt;&gt;"")),Log[Blk]),0)=1,"Y",""))</f>
      </c>
      <c r="N533" s="17">
        <f>IF(Items[[#This Row],[ID]]="","",SUBSTITUTE(IFERROR(LOOKUP(2,1/((Log[ID]=Items[[#This Row],[ID]])*(Log[State]&lt;&gt;"")),Log[State]),"TODO"),"OPEN",IF(Items[[#This Row],[Blocked]]="Y","WAIT","OPEN")))</f>
      </c>
      <c r="O53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33" s="17">
        <f>IF(Items[[#This Row],[State]]&lt;&gt;"WAIT","",AsOf-Items[[#This Row],[Blocked since]])</f>
      </c>
      <c r="Q533" s="17">
        <f>IF(Items[[#This Row],[State]]&lt;&gt;"WAIT","",IFERROR(LOOKUP(2,1/((Log[ID]=Items[[#This Row],[ID]])*(Log[Verb]="block")),Log[Note])&amp;"",""))</f>
      </c>
      <c r="R533" s="17">
        <f>IF(Items[[#This Row],[ID]]="","",COUNTIFS(Log[ID],Items[[#This Row],[ID]],Log[Verb],"carry"))</f>
      </c>
      <c r="S533" s="17">
        <f>IF(Items[[#This Row],[ID]]="","",COUNTIFS(Log[ID],Items[[#This Row],[ID]],Log[Verb],"punt"))</f>
      </c>
      <c r="T533" s="11">
        <f>IF(Items[[#This Row],[State]]&lt;&gt;"DONE","",IFERROR(LOOKUP(2,1/((Log[ID]=Items[[#This Row],[ID]])*(Log[Verb]="done")),Log[Date]),""))</f>
      </c>
      <c r="U533" s="17">
        <f>IF(Items[[#This Row],[ID]]="","",IF(AND(Items[[#This Row],[Sprint]]=CurSprint,OR(Items[[#This Row],[State]]="OPEN",Items[[#This Row],[State]]="WAIT",Items[[#This Row],[State]]="HOLD",Items[[#This Row],[State]]="DONE")),1,0))</f>
      </c>
      <c r="V533" s="17">
        <f>IF(OR(Items[[#This Row],[ID]]="",Items[[#This Row],[Added]]=""),"",AsOf-Items[[#This Row],[Added]])</f>
      </c>
      <c r="W533" s="17">
        <f>IF(Items[[#This Row],[In sprint]]=1,(IF(Items[[#This Row],[Prio]]="",9,N(Items[[#This Row],[Prio]]))*10+(IF(Items[[#This Row],[State]]="DONE",1,0)))*100000+ROW(),"")</f>
      </c>
      <c r="X53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33" s="17">
        <f>IF(AND(Items[[#This Row],[State]]="DONE",N(Items[[#This Row],[Done on]])&gt;AsOf-7),(200000-N(Items[[#This Row],[Done on]]))*100000+ROW(),"")</f>
      </c>
    </row>
    <row r="534">
      <c r="A534" t="s">
        <v>698</v>
      </c>
      <c r="B534" t="s">
        <v>1755</v>
      </c>
      <c r="C534" t="s">
        <v>1107</v>
      </c>
      <c r="D534" t="s">
        <v>1127</v>
      </c>
      <c r="E534" t="s">
        <v>1139</v>
      </c>
      <c r="F534" t="s">
        <v>1323</v>
      </c>
      <c r="G534">
        <v>8</v>
      </c>
      <c r="H534">
        <v>1</v>
      </c>
      <c r="I534" s="11">
        <v>46175</v>
      </c>
      <c r="J534" s="17">
        <f>IF(Items[[#This Row],[ID]]="","",IFERROR(VALUE(LOOKUP(2,1/((Log[ID]=Items[[#This Row],[ID]])*(Log[Verb]="est")),Log[Arg])),N(Items[[#This Row],[Points]])))</f>
      </c>
      <c r="K534" s="17">
        <f>IF(Items[[#This Row],[ID]]="","",IFERROR(LOOKUP(2,1/((Log[ID]=Items[[#This Row],[ID]])*(Log[Verb]="pass")),Log[Arg])&amp;"",Items[[#This Row],[Team]]&amp;""))</f>
      </c>
      <c r="L534" s="17">
        <f>IF(Items[[#This Row],[ID]]="","",IFERROR(LOOKUP(2,1/((Log[ID]=Items[[#This Row],[ID]])*(Log[Into]&lt;&gt;"")),Log[Into]),""))</f>
      </c>
      <c r="M534" s="17">
        <f>IF(Items[[#This Row],[ID]]="","",IF(IFERROR(LOOKUP(2,1/((Log[ID]=Items[[#This Row],[ID]])*(Log[Blk]&lt;&gt;"")),Log[Blk]),0)=1,"Y",""))</f>
      </c>
      <c r="N534" s="17">
        <f>IF(Items[[#This Row],[ID]]="","",SUBSTITUTE(IFERROR(LOOKUP(2,1/((Log[ID]=Items[[#This Row],[ID]])*(Log[State]&lt;&gt;"")),Log[State]),"TODO"),"OPEN",IF(Items[[#This Row],[Blocked]]="Y","WAIT","OPEN")))</f>
      </c>
      <c r="O53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34" s="17">
        <f>IF(Items[[#This Row],[State]]&lt;&gt;"WAIT","",AsOf-Items[[#This Row],[Blocked since]])</f>
      </c>
      <c r="Q534" s="17">
        <f>IF(Items[[#This Row],[State]]&lt;&gt;"WAIT","",IFERROR(LOOKUP(2,1/((Log[ID]=Items[[#This Row],[ID]])*(Log[Verb]="block")),Log[Note])&amp;"",""))</f>
      </c>
      <c r="R534" s="17">
        <f>IF(Items[[#This Row],[ID]]="","",COUNTIFS(Log[ID],Items[[#This Row],[ID]],Log[Verb],"carry"))</f>
      </c>
      <c r="S534" s="17">
        <f>IF(Items[[#This Row],[ID]]="","",COUNTIFS(Log[ID],Items[[#This Row],[ID]],Log[Verb],"punt"))</f>
      </c>
      <c r="T534" s="11">
        <f>IF(Items[[#This Row],[State]]&lt;&gt;"DONE","",IFERROR(LOOKUP(2,1/((Log[ID]=Items[[#This Row],[ID]])*(Log[Verb]="done")),Log[Date]),""))</f>
      </c>
      <c r="U534" s="17">
        <f>IF(Items[[#This Row],[ID]]="","",IF(AND(Items[[#This Row],[Sprint]]=CurSprint,OR(Items[[#This Row],[State]]="OPEN",Items[[#This Row],[State]]="WAIT",Items[[#This Row],[State]]="HOLD",Items[[#This Row],[State]]="DONE")),1,0))</f>
      </c>
      <c r="V534" s="17">
        <f>IF(OR(Items[[#This Row],[ID]]="",Items[[#This Row],[Added]]=""),"",AsOf-Items[[#This Row],[Added]])</f>
      </c>
      <c r="W534" s="17">
        <f>IF(Items[[#This Row],[In sprint]]=1,(IF(Items[[#This Row],[Prio]]="",9,N(Items[[#This Row],[Prio]]))*10+(IF(Items[[#This Row],[State]]="DONE",1,0)))*100000+ROW(),"")</f>
      </c>
      <c r="X53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34" s="17">
        <f>IF(AND(Items[[#This Row],[State]]="DONE",N(Items[[#This Row],[Done on]])&gt;AsOf-7),(200000-N(Items[[#This Row],[Done on]]))*100000+ROW(),"")</f>
      </c>
    </row>
    <row r="535">
      <c r="A535" t="s">
        <v>754</v>
      </c>
      <c r="B535" t="s">
        <v>1756</v>
      </c>
      <c r="C535" t="s">
        <v>1107</v>
      </c>
      <c r="D535" t="s">
        <v>1108</v>
      </c>
      <c r="E535" t="s">
        <v>1139</v>
      </c>
      <c r="F535" t="s">
        <v>1175</v>
      </c>
      <c r="G535">
        <v>8</v>
      </c>
      <c r="H535">
        <v>1</v>
      </c>
      <c r="I535" s="11">
        <v>46175</v>
      </c>
      <c r="J535" s="17">
        <f>IF(Items[[#This Row],[ID]]="","",IFERROR(VALUE(LOOKUP(2,1/((Log[ID]=Items[[#This Row],[ID]])*(Log[Verb]="est")),Log[Arg])),N(Items[[#This Row],[Points]])))</f>
      </c>
      <c r="K535" s="17">
        <f>IF(Items[[#This Row],[ID]]="","",IFERROR(LOOKUP(2,1/((Log[ID]=Items[[#This Row],[ID]])*(Log[Verb]="pass")),Log[Arg])&amp;"",Items[[#This Row],[Team]]&amp;""))</f>
      </c>
      <c r="L535" s="17">
        <f>IF(Items[[#This Row],[ID]]="","",IFERROR(LOOKUP(2,1/((Log[ID]=Items[[#This Row],[ID]])*(Log[Into]&lt;&gt;"")),Log[Into]),""))</f>
      </c>
      <c r="M535" s="17">
        <f>IF(Items[[#This Row],[ID]]="","",IF(IFERROR(LOOKUP(2,1/((Log[ID]=Items[[#This Row],[ID]])*(Log[Blk]&lt;&gt;"")),Log[Blk]),0)=1,"Y",""))</f>
      </c>
      <c r="N535" s="17">
        <f>IF(Items[[#This Row],[ID]]="","",SUBSTITUTE(IFERROR(LOOKUP(2,1/((Log[ID]=Items[[#This Row],[ID]])*(Log[State]&lt;&gt;"")),Log[State]),"TODO"),"OPEN",IF(Items[[#This Row],[Blocked]]="Y","WAIT","OPEN")))</f>
      </c>
      <c r="O53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35" s="17">
        <f>IF(Items[[#This Row],[State]]&lt;&gt;"WAIT","",AsOf-Items[[#This Row],[Blocked since]])</f>
      </c>
      <c r="Q535" s="17">
        <f>IF(Items[[#This Row],[State]]&lt;&gt;"WAIT","",IFERROR(LOOKUP(2,1/((Log[ID]=Items[[#This Row],[ID]])*(Log[Verb]="block")),Log[Note])&amp;"",""))</f>
      </c>
      <c r="R535" s="17">
        <f>IF(Items[[#This Row],[ID]]="","",COUNTIFS(Log[ID],Items[[#This Row],[ID]],Log[Verb],"carry"))</f>
      </c>
      <c r="S535" s="17">
        <f>IF(Items[[#This Row],[ID]]="","",COUNTIFS(Log[ID],Items[[#This Row],[ID]],Log[Verb],"punt"))</f>
      </c>
      <c r="T535" s="11">
        <f>IF(Items[[#This Row],[State]]&lt;&gt;"DONE","",IFERROR(LOOKUP(2,1/((Log[ID]=Items[[#This Row],[ID]])*(Log[Verb]="done")),Log[Date]),""))</f>
      </c>
      <c r="U535" s="17">
        <f>IF(Items[[#This Row],[ID]]="","",IF(AND(Items[[#This Row],[Sprint]]=CurSprint,OR(Items[[#This Row],[State]]="OPEN",Items[[#This Row],[State]]="WAIT",Items[[#This Row],[State]]="HOLD",Items[[#This Row],[State]]="DONE")),1,0))</f>
      </c>
      <c r="V535" s="17">
        <f>IF(OR(Items[[#This Row],[ID]]="",Items[[#This Row],[Added]]=""),"",AsOf-Items[[#This Row],[Added]])</f>
      </c>
      <c r="W535" s="17">
        <f>IF(Items[[#This Row],[In sprint]]=1,(IF(Items[[#This Row],[Prio]]="",9,N(Items[[#This Row],[Prio]]))*10+(IF(Items[[#This Row],[State]]="DONE",1,0)))*100000+ROW(),"")</f>
      </c>
      <c r="X53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35" s="17">
        <f>IF(AND(Items[[#This Row],[State]]="DONE",N(Items[[#This Row],[Done on]])&gt;AsOf-7),(200000-N(Items[[#This Row],[Done on]]))*100000+ROW(),"")</f>
      </c>
    </row>
    <row r="536">
      <c r="A536" t="s">
        <v>701</v>
      </c>
      <c r="B536" t="s">
        <v>1757</v>
      </c>
      <c r="C536" t="s">
        <v>1107</v>
      </c>
      <c r="D536" t="s">
        <v>1108</v>
      </c>
      <c r="E536" t="s">
        <v>1177</v>
      </c>
      <c r="F536" t="s">
        <v>1257</v>
      </c>
      <c r="G536">
        <v>5</v>
      </c>
      <c r="H536">
        <v>3</v>
      </c>
      <c r="I536" s="11">
        <v>46175</v>
      </c>
      <c r="J536" s="17">
        <f>IF(Items[[#This Row],[ID]]="","",IFERROR(VALUE(LOOKUP(2,1/((Log[ID]=Items[[#This Row],[ID]])*(Log[Verb]="est")),Log[Arg])),N(Items[[#This Row],[Points]])))</f>
      </c>
      <c r="K536" s="17">
        <f>IF(Items[[#This Row],[ID]]="","",IFERROR(LOOKUP(2,1/((Log[ID]=Items[[#This Row],[ID]])*(Log[Verb]="pass")),Log[Arg])&amp;"",Items[[#This Row],[Team]]&amp;""))</f>
      </c>
      <c r="L536" s="17">
        <f>IF(Items[[#This Row],[ID]]="","",IFERROR(LOOKUP(2,1/((Log[ID]=Items[[#This Row],[ID]])*(Log[Into]&lt;&gt;"")),Log[Into]),""))</f>
      </c>
      <c r="M536" s="17">
        <f>IF(Items[[#This Row],[ID]]="","",IF(IFERROR(LOOKUP(2,1/((Log[ID]=Items[[#This Row],[ID]])*(Log[Blk]&lt;&gt;"")),Log[Blk]),0)=1,"Y",""))</f>
      </c>
      <c r="N536" s="17">
        <f>IF(Items[[#This Row],[ID]]="","",SUBSTITUTE(IFERROR(LOOKUP(2,1/((Log[ID]=Items[[#This Row],[ID]])*(Log[State]&lt;&gt;"")),Log[State]),"TODO"),"OPEN",IF(Items[[#This Row],[Blocked]]="Y","WAIT","OPEN")))</f>
      </c>
      <c r="O53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36" s="17">
        <f>IF(Items[[#This Row],[State]]&lt;&gt;"WAIT","",AsOf-Items[[#This Row],[Blocked since]])</f>
      </c>
      <c r="Q536" s="17">
        <f>IF(Items[[#This Row],[State]]&lt;&gt;"WAIT","",IFERROR(LOOKUP(2,1/((Log[ID]=Items[[#This Row],[ID]])*(Log[Verb]="block")),Log[Note])&amp;"",""))</f>
      </c>
      <c r="R536" s="17">
        <f>IF(Items[[#This Row],[ID]]="","",COUNTIFS(Log[ID],Items[[#This Row],[ID]],Log[Verb],"carry"))</f>
      </c>
      <c r="S536" s="17">
        <f>IF(Items[[#This Row],[ID]]="","",COUNTIFS(Log[ID],Items[[#This Row],[ID]],Log[Verb],"punt"))</f>
      </c>
      <c r="T536" s="11">
        <f>IF(Items[[#This Row],[State]]&lt;&gt;"DONE","",IFERROR(LOOKUP(2,1/((Log[ID]=Items[[#This Row],[ID]])*(Log[Verb]="done")),Log[Date]),""))</f>
      </c>
      <c r="U536" s="17">
        <f>IF(Items[[#This Row],[ID]]="","",IF(AND(Items[[#This Row],[Sprint]]=CurSprint,OR(Items[[#This Row],[State]]="OPEN",Items[[#This Row],[State]]="WAIT",Items[[#This Row],[State]]="HOLD",Items[[#This Row],[State]]="DONE")),1,0))</f>
      </c>
      <c r="V536" s="17">
        <f>IF(OR(Items[[#This Row],[ID]]="",Items[[#This Row],[Added]]=""),"",AsOf-Items[[#This Row],[Added]])</f>
      </c>
      <c r="W536" s="17">
        <f>IF(Items[[#This Row],[In sprint]]=1,(IF(Items[[#This Row],[Prio]]="",9,N(Items[[#This Row],[Prio]]))*10+(IF(Items[[#This Row],[State]]="DONE",1,0)))*100000+ROW(),"")</f>
      </c>
      <c r="X53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36" s="17">
        <f>IF(AND(Items[[#This Row],[State]]="DONE",N(Items[[#This Row],[Done on]])&gt;AsOf-7),(200000-N(Items[[#This Row],[Done on]]))*100000+ROW(),"")</f>
      </c>
    </row>
    <row r="537">
      <c r="A537" t="s">
        <v>654</v>
      </c>
      <c r="B537" t="s">
        <v>1758</v>
      </c>
      <c r="C537" t="s">
        <v>1115</v>
      </c>
      <c r="D537" t="s">
        <v>1119</v>
      </c>
      <c r="E537" t="s">
        <v>1177</v>
      </c>
      <c r="F537" t="s">
        <v>1257</v>
      </c>
      <c r="G537">
        <v>3</v>
      </c>
      <c r="H537">
        <v>3</v>
      </c>
      <c r="I537" s="11">
        <v>46175</v>
      </c>
      <c r="J537" s="17">
        <f>IF(Items[[#This Row],[ID]]="","",IFERROR(VALUE(LOOKUP(2,1/((Log[ID]=Items[[#This Row],[ID]])*(Log[Verb]="est")),Log[Arg])),N(Items[[#This Row],[Points]])))</f>
      </c>
      <c r="K537" s="17">
        <f>IF(Items[[#This Row],[ID]]="","",IFERROR(LOOKUP(2,1/((Log[ID]=Items[[#This Row],[ID]])*(Log[Verb]="pass")),Log[Arg])&amp;"",Items[[#This Row],[Team]]&amp;""))</f>
      </c>
      <c r="L537" s="17">
        <f>IF(Items[[#This Row],[ID]]="","",IFERROR(LOOKUP(2,1/((Log[ID]=Items[[#This Row],[ID]])*(Log[Into]&lt;&gt;"")),Log[Into]),""))</f>
      </c>
      <c r="M537" s="17">
        <f>IF(Items[[#This Row],[ID]]="","",IF(IFERROR(LOOKUP(2,1/((Log[ID]=Items[[#This Row],[ID]])*(Log[Blk]&lt;&gt;"")),Log[Blk]),0)=1,"Y",""))</f>
      </c>
      <c r="N537" s="17">
        <f>IF(Items[[#This Row],[ID]]="","",SUBSTITUTE(IFERROR(LOOKUP(2,1/((Log[ID]=Items[[#This Row],[ID]])*(Log[State]&lt;&gt;"")),Log[State]),"TODO"),"OPEN",IF(Items[[#This Row],[Blocked]]="Y","WAIT","OPEN")))</f>
      </c>
      <c r="O53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37" s="17">
        <f>IF(Items[[#This Row],[State]]&lt;&gt;"WAIT","",AsOf-Items[[#This Row],[Blocked since]])</f>
      </c>
      <c r="Q537" s="17">
        <f>IF(Items[[#This Row],[State]]&lt;&gt;"WAIT","",IFERROR(LOOKUP(2,1/((Log[ID]=Items[[#This Row],[ID]])*(Log[Verb]="block")),Log[Note])&amp;"",""))</f>
      </c>
      <c r="R537" s="17">
        <f>IF(Items[[#This Row],[ID]]="","",COUNTIFS(Log[ID],Items[[#This Row],[ID]],Log[Verb],"carry"))</f>
      </c>
      <c r="S537" s="17">
        <f>IF(Items[[#This Row],[ID]]="","",COUNTIFS(Log[ID],Items[[#This Row],[ID]],Log[Verb],"punt"))</f>
      </c>
      <c r="T537" s="11">
        <f>IF(Items[[#This Row],[State]]&lt;&gt;"DONE","",IFERROR(LOOKUP(2,1/((Log[ID]=Items[[#This Row],[ID]])*(Log[Verb]="done")),Log[Date]),""))</f>
      </c>
      <c r="U537" s="17">
        <f>IF(Items[[#This Row],[ID]]="","",IF(AND(Items[[#This Row],[Sprint]]=CurSprint,OR(Items[[#This Row],[State]]="OPEN",Items[[#This Row],[State]]="WAIT",Items[[#This Row],[State]]="HOLD",Items[[#This Row],[State]]="DONE")),1,0))</f>
      </c>
      <c r="V537" s="17">
        <f>IF(OR(Items[[#This Row],[ID]]="",Items[[#This Row],[Added]]=""),"",AsOf-Items[[#This Row],[Added]])</f>
      </c>
      <c r="W537" s="17">
        <f>IF(Items[[#This Row],[In sprint]]=1,(IF(Items[[#This Row],[Prio]]="",9,N(Items[[#This Row],[Prio]]))*10+(IF(Items[[#This Row],[State]]="DONE",1,0)))*100000+ROW(),"")</f>
      </c>
      <c r="X53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37" s="17">
        <f>IF(AND(Items[[#This Row],[State]]="DONE",N(Items[[#This Row],[Done on]])&gt;AsOf-7),(200000-N(Items[[#This Row],[Done on]]))*100000+ROW(),"")</f>
      </c>
    </row>
    <row r="538">
      <c r="A538" t="s">
        <v>702</v>
      </c>
      <c r="B538" t="s">
        <v>1759</v>
      </c>
      <c r="C538" t="s">
        <v>1107</v>
      </c>
      <c r="D538" t="s">
        <v>1108</v>
      </c>
      <c r="E538" t="s">
        <v>1177</v>
      </c>
      <c r="F538" t="s">
        <v>1407</v>
      </c>
      <c r="G538">
        <v>3</v>
      </c>
      <c r="H538">
        <v>2</v>
      </c>
      <c r="I538" s="11">
        <v>46175</v>
      </c>
      <c r="J538" s="17">
        <f>IF(Items[[#This Row],[ID]]="","",IFERROR(VALUE(LOOKUP(2,1/((Log[ID]=Items[[#This Row],[ID]])*(Log[Verb]="est")),Log[Arg])),N(Items[[#This Row],[Points]])))</f>
      </c>
      <c r="K538" s="17">
        <f>IF(Items[[#This Row],[ID]]="","",IFERROR(LOOKUP(2,1/((Log[ID]=Items[[#This Row],[ID]])*(Log[Verb]="pass")),Log[Arg])&amp;"",Items[[#This Row],[Team]]&amp;""))</f>
      </c>
      <c r="L538" s="17">
        <f>IF(Items[[#This Row],[ID]]="","",IFERROR(LOOKUP(2,1/((Log[ID]=Items[[#This Row],[ID]])*(Log[Into]&lt;&gt;"")),Log[Into]),""))</f>
      </c>
      <c r="M538" s="17">
        <f>IF(Items[[#This Row],[ID]]="","",IF(IFERROR(LOOKUP(2,1/((Log[ID]=Items[[#This Row],[ID]])*(Log[Blk]&lt;&gt;"")),Log[Blk]),0)=1,"Y",""))</f>
      </c>
      <c r="N538" s="17">
        <f>IF(Items[[#This Row],[ID]]="","",SUBSTITUTE(IFERROR(LOOKUP(2,1/((Log[ID]=Items[[#This Row],[ID]])*(Log[State]&lt;&gt;"")),Log[State]),"TODO"),"OPEN",IF(Items[[#This Row],[Blocked]]="Y","WAIT","OPEN")))</f>
      </c>
      <c r="O53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38" s="17">
        <f>IF(Items[[#This Row],[State]]&lt;&gt;"WAIT","",AsOf-Items[[#This Row],[Blocked since]])</f>
      </c>
      <c r="Q538" s="17">
        <f>IF(Items[[#This Row],[State]]&lt;&gt;"WAIT","",IFERROR(LOOKUP(2,1/((Log[ID]=Items[[#This Row],[ID]])*(Log[Verb]="block")),Log[Note])&amp;"",""))</f>
      </c>
      <c r="R538" s="17">
        <f>IF(Items[[#This Row],[ID]]="","",COUNTIFS(Log[ID],Items[[#This Row],[ID]],Log[Verb],"carry"))</f>
      </c>
      <c r="S538" s="17">
        <f>IF(Items[[#This Row],[ID]]="","",COUNTIFS(Log[ID],Items[[#This Row],[ID]],Log[Verb],"punt"))</f>
      </c>
      <c r="T538" s="11">
        <f>IF(Items[[#This Row],[State]]&lt;&gt;"DONE","",IFERROR(LOOKUP(2,1/((Log[ID]=Items[[#This Row],[ID]])*(Log[Verb]="done")),Log[Date]),""))</f>
      </c>
      <c r="U538" s="17">
        <f>IF(Items[[#This Row],[ID]]="","",IF(AND(Items[[#This Row],[Sprint]]=CurSprint,OR(Items[[#This Row],[State]]="OPEN",Items[[#This Row],[State]]="WAIT",Items[[#This Row],[State]]="HOLD",Items[[#This Row],[State]]="DONE")),1,0))</f>
      </c>
      <c r="V538" s="17">
        <f>IF(OR(Items[[#This Row],[ID]]="",Items[[#This Row],[Added]]=""),"",AsOf-Items[[#This Row],[Added]])</f>
      </c>
      <c r="W538" s="17">
        <f>IF(Items[[#This Row],[In sprint]]=1,(IF(Items[[#This Row],[Prio]]="",9,N(Items[[#This Row],[Prio]]))*10+(IF(Items[[#This Row],[State]]="DONE",1,0)))*100000+ROW(),"")</f>
      </c>
      <c r="X53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38" s="17">
        <f>IF(AND(Items[[#This Row],[State]]="DONE",N(Items[[#This Row],[Done on]])&gt;AsOf-7),(200000-N(Items[[#This Row],[Done on]]))*100000+ROW(),"")</f>
      </c>
    </row>
    <row r="539">
      <c r="A539" t="s">
        <v>703</v>
      </c>
      <c r="B539" t="s">
        <v>1760</v>
      </c>
      <c r="C539" t="s">
        <v>1107</v>
      </c>
      <c r="D539" t="s">
        <v>1123</v>
      </c>
      <c r="E539" t="s">
        <v>1177</v>
      </c>
      <c r="F539" t="s">
        <v>1400</v>
      </c>
      <c r="G539">
        <v>5</v>
      </c>
      <c r="H539">
        <v>1</v>
      </c>
      <c r="I539" s="11">
        <v>46175</v>
      </c>
      <c r="J539" s="17">
        <f>IF(Items[[#This Row],[ID]]="","",IFERROR(VALUE(LOOKUP(2,1/((Log[ID]=Items[[#This Row],[ID]])*(Log[Verb]="est")),Log[Arg])),N(Items[[#This Row],[Points]])))</f>
      </c>
      <c r="K539" s="17">
        <f>IF(Items[[#This Row],[ID]]="","",IFERROR(LOOKUP(2,1/((Log[ID]=Items[[#This Row],[ID]])*(Log[Verb]="pass")),Log[Arg])&amp;"",Items[[#This Row],[Team]]&amp;""))</f>
      </c>
      <c r="L539" s="17">
        <f>IF(Items[[#This Row],[ID]]="","",IFERROR(LOOKUP(2,1/((Log[ID]=Items[[#This Row],[ID]])*(Log[Into]&lt;&gt;"")),Log[Into]),""))</f>
      </c>
      <c r="M539" s="17">
        <f>IF(Items[[#This Row],[ID]]="","",IF(IFERROR(LOOKUP(2,1/((Log[ID]=Items[[#This Row],[ID]])*(Log[Blk]&lt;&gt;"")),Log[Blk]),0)=1,"Y",""))</f>
      </c>
      <c r="N539" s="17">
        <f>IF(Items[[#This Row],[ID]]="","",SUBSTITUTE(IFERROR(LOOKUP(2,1/((Log[ID]=Items[[#This Row],[ID]])*(Log[State]&lt;&gt;"")),Log[State]),"TODO"),"OPEN",IF(Items[[#This Row],[Blocked]]="Y","WAIT","OPEN")))</f>
      </c>
      <c r="O53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39" s="17">
        <f>IF(Items[[#This Row],[State]]&lt;&gt;"WAIT","",AsOf-Items[[#This Row],[Blocked since]])</f>
      </c>
      <c r="Q539" s="17">
        <f>IF(Items[[#This Row],[State]]&lt;&gt;"WAIT","",IFERROR(LOOKUP(2,1/((Log[ID]=Items[[#This Row],[ID]])*(Log[Verb]="block")),Log[Note])&amp;"",""))</f>
      </c>
      <c r="R539" s="17">
        <f>IF(Items[[#This Row],[ID]]="","",COUNTIFS(Log[ID],Items[[#This Row],[ID]],Log[Verb],"carry"))</f>
      </c>
      <c r="S539" s="17">
        <f>IF(Items[[#This Row],[ID]]="","",COUNTIFS(Log[ID],Items[[#This Row],[ID]],Log[Verb],"punt"))</f>
      </c>
      <c r="T539" s="11">
        <f>IF(Items[[#This Row],[State]]&lt;&gt;"DONE","",IFERROR(LOOKUP(2,1/((Log[ID]=Items[[#This Row],[ID]])*(Log[Verb]="done")),Log[Date]),""))</f>
      </c>
      <c r="U539" s="17">
        <f>IF(Items[[#This Row],[ID]]="","",IF(AND(Items[[#This Row],[Sprint]]=CurSprint,OR(Items[[#This Row],[State]]="OPEN",Items[[#This Row],[State]]="WAIT",Items[[#This Row],[State]]="HOLD",Items[[#This Row],[State]]="DONE")),1,0))</f>
      </c>
      <c r="V539" s="17">
        <f>IF(OR(Items[[#This Row],[ID]]="",Items[[#This Row],[Added]]=""),"",AsOf-Items[[#This Row],[Added]])</f>
      </c>
      <c r="W539" s="17">
        <f>IF(Items[[#This Row],[In sprint]]=1,(IF(Items[[#This Row],[Prio]]="",9,N(Items[[#This Row],[Prio]]))*10+(IF(Items[[#This Row],[State]]="DONE",1,0)))*100000+ROW(),"")</f>
      </c>
      <c r="X53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39" s="17">
        <f>IF(AND(Items[[#This Row],[State]]="DONE",N(Items[[#This Row],[Done on]])&gt;AsOf-7),(200000-N(Items[[#This Row],[Done on]]))*100000+ROW(),"")</f>
      </c>
    </row>
    <row r="540">
      <c r="A540" t="s">
        <v>757</v>
      </c>
      <c r="B540" t="s">
        <v>1761</v>
      </c>
      <c r="C540" t="s">
        <v>1115</v>
      </c>
      <c r="D540" t="s">
        <v>1119</v>
      </c>
      <c r="E540" t="s">
        <v>1177</v>
      </c>
      <c r="F540" t="s">
        <v>1178</v>
      </c>
      <c r="G540">
        <v>8</v>
      </c>
      <c r="H540">
        <v>2</v>
      </c>
      <c r="I540" s="11">
        <v>46175</v>
      </c>
      <c r="J540" s="17">
        <f>IF(Items[[#This Row],[ID]]="","",IFERROR(VALUE(LOOKUP(2,1/((Log[ID]=Items[[#This Row],[ID]])*(Log[Verb]="est")),Log[Arg])),N(Items[[#This Row],[Points]])))</f>
      </c>
      <c r="K540" s="17">
        <f>IF(Items[[#This Row],[ID]]="","",IFERROR(LOOKUP(2,1/((Log[ID]=Items[[#This Row],[ID]])*(Log[Verb]="pass")),Log[Arg])&amp;"",Items[[#This Row],[Team]]&amp;""))</f>
      </c>
      <c r="L540" s="17">
        <f>IF(Items[[#This Row],[ID]]="","",IFERROR(LOOKUP(2,1/((Log[ID]=Items[[#This Row],[ID]])*(Log[Into]&lt;&gt;"")),Log[Into]),""))</f>
      </c>
      <c r="M540" s="17">
        <f>IF(Items[[#This Row],[ID]]="","",IF(IFERROR(LOOKUP(2,1/((Log[ID]=Items[[#This Row],[ID]])*(Log[Blk]&lt;&gt;"")),Log[Blk]),0)=1,"Y",""))</f>
      </c>
      <c r="N540" s="17">
        <f>IF(Items[[#This Row],[ID]]="","",SUBSTITUTE(IFERROR(LOOKUP(2,1/((Log[ID]=Items[[#This Row],[ID]])*(Log[State]&lt;&gt;"")),Log[State]),"TODO"),"OPEN",IF(Items[[#This Row],[Blocked]]="Y","WAIT","OPEN")))</f>
      </c>
      <c r="O54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40" s="17">
        <f>IF(Items[[#This Row],[State]]&lt;&gt;"WAIT","",AsOf-Items[[#This Row],[Blocked since]])</f>
      </c>
      <c r="Q540" s="17">
        <f>IF(Items[[#This Row],[State]]&lt;&gt;"WAIT","",IFERROR(LOOKUP(2,1/((Log[ID]=Items[[#This Row],[ID]])*(Log[Verb]="block")),Log[Note])&amp;"",""))</f>
      </c>
      <c r="R540" s="17">
        <f>IF(Items[[#This Row],[ID]]="","",COUNTIFS(Log[ID],Items[[#This Row],[ID]],Log[Verb],"carry"))</f>
      </c>
      <c r="S540" s="17">
        <f>IF(Items[[#This Row],[ID]]="","",COUNTIFS(Log[ID],Items[[#This Row],[ID]],Log[Verb],"punt"))</f>
      </c>
      <c r="T540" s="11">
        <f>IF(Items[[#This Row],[State]]&lt;&gt;"DONE","",IFERROR(LOOKUP(2,1/((Log[ID]=Items[[#This Row],[ID]])*(Log[Verb]="done")),Log[Date]),""))</f>
      </c>
      <c r="U540" s="17">
        <f>IF(Items[[#This Row],[ID]]="","",IF(AND(Items[[#This Row],[Sprint]]=CurSprint,OR(Items[[#This Row],[State]]="OPEN",Items[[#This Row],[State]]="WAIT",Items[[#This Row],[State]]="HOLD",Items[[#This Row],[State]]="DONE")),1,0))</f>
      </c>
      <c r="V540" s="17">
        <f>IF(OR(Items[[#This Row],[ID]]="",Items[[#This Row],[Added]]=""),"",AsOf-Items[[#This Row],[Added]])</f>
      </c>
      <c r="W540" s="17">
        <f>IF(Items[[#This Row],[In sprint]]=1,(IF(Items[[#This Row],[Prio]]="",9,N(Items[[#This Row],[Prio]]))*10+(IF(Items[[#This Row],[State]]="DONE",1,0)))*100000+ROW(),"")</f>
      </c>
      <c r="X54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40" s="17">
        <f>IF(AND(Items[[#This Row],[State]]="DONE",N(Items[[#This Row],[Done on]])&gt;AsOf-7),(200000-N(Items[[#This Row],[Done on]]))*100000+ROW(),"")</f>
      </c>
    </row>
    <row r="541">
      <c r="A541" t="s">
        <v>707</v>
      </c>
      <c r="B541" t="s">
        <v>1762</v>
      </c>
      <c r="C541" t="s">
        <v>1115</v>
      </c>
      <c r="D541" t="s">
        <v>1119</v>
      </c>
      <c r="E541" t="s">
        <v>1112</v>
      </c>
      <c r="F541" t="s">
        <v>1149</v>
      </c>
      <c r="G541">
        <v>2</v>
      </c>
      <c r="H541">
        <v>2</v>
      </c>
      <c r="I541" s="11">
        <v>46189</v>
      </c>
      <c r="J541" s="17">
        <f>IF(Items[[#This Row],[ID]]="","",IFERROR(VALUE(LOOKUP(2,1/((Log[ID]=Items[[#This Row],[ID]])*(Log[Verb]="est")),Log[Arg])),N(Items[[#This Row],[Points]])))</f>
      </c>
      <c r="K541" s="17">
        <f>IF(Items[[#This Row],[ID]]="","",IFERROR(LOOKUP(2,1/((Log[ID]=Items[[#This Row],[ID]])*(Log[Verb]="pass")),Log[Arg])&amp;"",Items[[#This Row],[Team]]&amp;""))</f>
      </c>
      <c r="L541" s="17">
        <f>IF(Items[[#This Row],[ID]]="","",IFERROR(LOOKUP(2,1/((Log[ID]=Items[[#This Row],[ID]])*(Log[Into]&lt;&gt;"")),Log[Into]),""))</f>
      </c>
      <c r="M541" s="17">
        <f>IF(Items[[#This Row],[ID]]="","",IF(IFERROR(LOOKUP(2,1/((Log[ID]=Items[[#This Row],[ID]])*(Log[Blk]&lt;&gt;"")),Log[Blk]),0)=1,"Y",""))</f>
      </c>
      <c r="N541" s="17">
        <f>IF(Items[[#This Row],[ID]]="","",SUBSTITUTE(IFERROR(LOOKUP(2,1/((Log[ID]=Items[[#This Row],[ID]])*(Log[State]&lt;&gt;"")),Log[State]),"TODO"),"OPEN",IF(Items[[#This Row],[Blocked]]="Y","WAIT","OPEN")))</f>
      </c>
      <c r="O54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41" s="17">
        <f>IF(Items[[#This Row],[State]]&lt;&gt;"WAIT","",AsOf-Items[[#This Row],[Blocked since]])</f>
      </c>
      <c r="Q541" s="17">
        <f>IF(Items[[#This Row],[State]]&lt;&gt;"WAIT","",IFERROR(LOOKUP(2,1/((Log[ID]=Items[[#This Row],[ID]])*(Log[Verb]="block")),Log[Note])&amp;"",""))</f>
      </c>
      <c r="R541" s="17">
        <f>IF(Items[[#This Row],[ID]]="","",COUNTIFS(Log[ID],Items[[#This Row],[ID]],Log[Verb],"carry"))</f>
      </c>
      <c r="S541" s="17">
        <f>IF(Items[[#This Row],[ID]]="","",COUNTIFS(Log[ID],Items[[#This Row],[ID]],Log[Verb],"punt"))</f>
      </c>
      <c r="T541" s="11">
        <f>IF(Items[[#This Row],[State]]&lt;&gt;"DONE","",IFERROR(LOOKUP(2,1/((Log[ID]=Items[[#This Row],[ID]])*(Log[Verb]="done")),Log[Date]),""))</f>
      </c>
      <c r="U541" s="17">
        <f>IF(Items[[#This Row],[ID]]="","",IF(AND(Items[[#This Row],[Sprint]]=CurSprint,OR(Items[[#This Row],[State]]="OPEN",Items[[#This Row],[State]]="WAIT",Items[[#This Row],[State]]="HOLD",Items[[#This Row],[State]]="DONE")),1,0))</f>
      </c>
      <c r="V541" s="17">
        <f>IF(OR(Items[[#This Row],[ID]]="",Items[[#This Row],[Added]]=""),"",AsOf-Items[[#This Row],[Added]])</f>
      </c>
      <c r="W541" s="17">
        <f>IF(Items[[#This Row],[In sprint]]=1,(IF(Items[[#This Row],[Prio]]="",9,N(Items[[#This Row],[Prio]]))*10+(IF(Items[[#This Row],[State]]="DONE",1,0)))*100000+ROW(),"")</f>
      </c>
      <c r="X54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41" s="17">
        <f>IF(AND(Items[[#This Row],[State]]="DONE",N(Items[[#This Row],[Done on]])&gt;AsOf-7),(200000-N(Items[[#This Row],[Done on]]))*100000+ROW(),"")</f>
      </c>
    </row>
    <row r="542">
      <c r="A542" t="s">
        <v>708</v>
      </c>
      <c r="B542" t="s">
        <v>1763</v>
      </c>
      <c r="C542" t="s">
        <v>1115</v>
      </c>
      <c r="D542" t="s">
        <v>1116</v>
      </c>
      <c r="E542" t="s">
        <v>1112</v>
      </c>
      <c r="F542" t="s">
        <v>1412</v>
      </c>
      <c r="G542">
        <v>8</v>
      </c>
      <c r="H542">
        <v>3</v>
      </c>
      <c r="I542" s="11">
        <v>46189</v>
      </c>
      <c r="J542" s="17">
        <f>IF(Items[[#This Row],[ID]]="","",IFERROR(VALUE(LOOKUP(2,1/((Log[ID]=Items[[#This Row],[ID]])*(Log[Verb]="est")),Log[Arg])),N(Items[[#This Row],[Points]])))</f>
      </c>
      <c r="K542" s="17">
        <f>IF(Items[[#This Row],[ID]]="","",IFERROR(LOOKUP(2,1/((Log[ID]=Items[[#This Row],[ID]])*(Log[Verb]="pass")),Log[Arg])&amp;"",Items[[#This Row],[Team]]&amp;""))</f>
      </c>
      <c r="L542" s="17">
        <f>IF(Items[[#This Row],[ID]]="","",IFERROR(LOOKUP(2,1/((Log[ID]=Items[[#This Row],[ID]])*(Log[Into]&lt;&gt;"")),Log[Into]),""))</f>
      </c>
      <c r="M542" s="17">
        <f>IF(Items[[#This Row],[ID]]="","",IF(IFERROR(LOOKUP(2,1/((Log[ID]=Items[[#This Row],[ID]])*(Log[Blk]&lt;&gt;"")),Log[Blk]),0)=1,"Y",""))</f>
      </c>
      <c r="N542" s="17">
        <f>IF(Items[[#This Row],[ID]]="","",SUBSTITUTE(IFERROR(LOOKUP(2,1/((Log[ID]=Items[[#This Row],[ID]])*(Log[State]&lt;&gt;"")),Log[State]),"TODO"),"OPEN",IF(Items[[#This Row],[Blocked]]="Y","WAIT","OPEN")))</f>
      </c>
      <c r="O54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42" s="17">
        <f>IF(Items[[#This Row],[State]]&lt;&gt;"WAIT","",AsOf-Items[[#This Row],[Blocked since]])</f>
      </c>
      <c r="Q542" s="17">
        <f>IF(Items[[#This Row],[State]]&lt;&gt;"WAIT","",IFERROR(LOOKUP(2,1/((Log[ID]=Items[[#This Row],[ID]])*(Log[Verb]="block")),Log[Note])&amp;"",""))</f>
      </c>
      <c r="R542" s="17">
        <f>IF(Items[[#This Row],[ID]]="","",COUNTIFS(Log[ID],Items[[#This Row],[ID]],Log[Verb],"carry"))</f>
      </c>
      <c r="S542" s="17">
        <f>IF(Items[[#This Row],[ID]]="","",COUNTIFS(Log[ID],Items[[#This Row],[ID]],Log[Verb],"punt"))</f>
      </c>
      <c r="T542" s="11">
        <f>IF(Items[[#This Row],[State]]&lt;&gt;"DONE","",IFERROR(LOOKUP(2,1/((Log[ID]=Items[[#This Row],[ID]])*(Log[Verb]="done")),Log[Date]),""))</f>
      </c>
      <c r="U542" s="17">
        <f>IF(Items[[#This Row],[ID]]="","",IF(AND(Items[[#This Row],[Sprint]]=CurSprint,OR(Items[[#This Row],[State]]="OPEN",Items[[#This Row],[State]]="WAIT",Items[[#This Row],[State]]="HOLD",Items[[#This Row],[State]]="DONE")),1,0))</f>
      </c>
      <c r="V542" s="17">
        <f>IF(OR(Items[[#This Row],[ID]]="",Items[[#This Row],[Added]]=""),"",AsOf-Items[[#This Row],[Added]])</f>
      </c>
      <c r="W542" s="17">
        <f>IF(Items[[#This Row],[In sprint]]=1,(IF(Items[[#This Row],[Prio]]="",9,N(Items[[#This Row],[Prio]]))*10+(IF(Items[[#This Row],[State]]="DONE",1,0)))*100000+ROW(),"")</f>
      </c>
      <c r="X54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42" s="17">
        <f>IF(AND(Items[[#This Row],[State]]="DONE",N(Items[[#This Row],[Done on]])&gt;AsOf-7),(200000-N(Items[[#This Row],[Done on]]))*100000+ROW(),"")</f>
      </c>
    </row>
    <row r="543">
      <c r="A543" t="s">
        <v>709</v>
      </c>
      <c r="B543" t="s">
        <v>1764</v>
      </c>
      <c r="C543" t="s">
        <v>1107</v>
      </c>
      <c r="D543" t="s">
        <v>1108</v>
      </c>
      <c r="E543" t="s">
        <v>1112</v>
      </c>
      <c r="F543" t="s">
        <v>1412</v>
      </c>
      <c r="G543">
        <v>8</v>
      </c>
      <c r="H543">
        <v>2</v>
      </c>
      <c r="I543" s="11">
        <v>46189</v>
      </c>
      <c r="J543" s="17">
        <f>IF(Items[[#This Row],[ID]]="","",IFERROR(VALUE(LOOKUP(2,1/((Log[ID]=Items[[#This Row],[ID]])*(Log[Verb]="est")),Log[Arg])),N(Items[[#This Row],[Points]])))</f>
      </c>
      <c r="K543" s="17">
        <f>IF(Items[[#This Row],[ID]]="","",IFERROR(LOOKUP(2,1/((Log[ID]=Items[[#This Row],[ID]])*(Log[Verb]="pass")),Log[Arg])&amp;"",Items[[#This Row],[Team]]&amp;""))</f>
      </c>
      <c r="L543" s="17">
        <f>IF(Items[[#This Row],[ID]]="","",IFERROR(LOOKUP(2,1/((Log[ID]=Items[[#This Row],[ID]])*(Log[Into]&lt;&gt;"")),Log[Into]),""))</f>
      </c>
      <c r="M543" s="17">
        <f>IF(Items[[#This Row],[ID]]="","",IF(IFERROR(LOOKUP(2,1/((Log[ID]=Items[[#This Row],[ID]])*(Log[Blk]&lt;&gt;"")),Log[Blk]),0)=1,"Y",""))</f>
      </c>
      <c r="N543" s="17">
        <f>IF(Items[[#This Row],[ID]]="","",SUBSTITUTE(IFERROR(LOOKUP(2,1/((Log[ID]=Items[[#This Row],[ID]])*(Log[State]&lt;&gt;"")),Log[State]),"TODO"),"OPEN",IF(Items[[#This Row],[Blocked]]="Y","WAIT","OPEN")))</f>
      </c>
      <c r="O54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43" s="17">
        <f>IF(Items[[#This Row],[State]]&lt;&gt;"WAIT","",AsOf-Items[[#This Row],[Blocked since]])</f>
      </c>
      <c r="Q543" s="17">
        <f>IF(Items[[#This Row],[State]]&lt;&gt;"WAIT","",IFERROR(LOOKUP(2,1/((Log[ID]=Items[[#This Row],[ID]])*(Log[Verb]="block")),Log[Note])&amp;"",""))</f>
      </c>
      <c r="R543" s="17">
        <f>IF(Items[[#This Row],[ID]]="","",COUNTIFS(Log[ID],Items[[#This Row],[ID]],Log[Verb],"carry"))</f>
      </c>
      <c r="S543" s="17">
        <f>IF(Items[[#This Row],[ID]]="","",COUNTIFS(Log[ID],Items[[#This Row],[ID]],Log[Verb],"punt"))</f>
      </c>
      <c r="T543" s="11">
        <f>IF(Items[[#This Row],[State]]&lt;&gt;"DONE","",IFERROR(LOOKUP(2,1/((Log[ID]=Items[[#This Row],[ID]])*(Log[Verb]="done")),Log[Date]),""))</f>
      </c>
      <c r="U543" s="17">
        <f>IF(Items[[#This Row],[ID]]="","",IF(AND(Items[[#This Row],[Sprint]]=CurSprint,OR(Items[[#This Row],[State]]="OPEN",Items[[#This Row],[State]]="WAIT",Items[[#This Row],[State]]="HOLD",Items[[#This Row],[State]]="DONE")),1,0))</f>
      </c>
      <c r="V543" s="17">
        <f>IF(OR(Items[[#This Row],[ID]]="",Items[[#This Row],[Added]]=""),"",AsOf-Items[[#This Row],[Added]])</f>
      </c>
      <c r="W543" s="17">
        <f>IF(Items[[#This Row],[In sprint]]=1,(IF(Items[[#This Row],[Prio]]="",9,N(Items[[#This Row],[Prio]]))*10+(IF(Items[[#This Row],[State]]="DONE",1,0)))*100000+ROW(),"")</f>
      </c>
      <c r="X54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43" s="17">
        <f>IF(AND(Items[[#This Row],[State]]="DONE",N(Items[[#This Row],[Done on]])&gt;AsOf-7),(200000-N(Items[[#This Row],[Done on]]))*100000+ROW(),"")</f>
      </c>
    </row>
    <row r="544">
      <c r="A544" t="s">
        <v>710</v>
      </c>
      <c r="B544" t="s">
        <v>1765</v>
      </c>
      <c r="C544" t="s">
        <v>1107</v>
      </c>
      <c r="D544" t="s">
        <v>1108</v>
      </c>
      <c r="E544" t="s">
        <v>1112</v>
      </c>
      <c r="F544" t="s">
        <v>1142</v>
      </c>
      <c r="G544">
        <v>2</v>
      </c>
      <c r="H544">
        <v>1</v>
      </c>
      <c r="I544" s="11">
        <v>46189</v>
      </c>
      <c r="J544" s="17">
        <f>IF(Items[[#This Row],[ID]]="","",IFERROR(VALUE(LOOKUP(2,1/((Log[ID]=Items[[#This Row],[ID]])*(Log[Verb]="est")),Log[Arg])),N(Items[[#This Row],[Points]])))</f>
      </c>
      <c r="K544" s="17">
        <f>IF(Items[[#This Row],[ID]]="","",IFERROR(LOOKUP(2,1/((Log[ID]=Items[[#This Row],[ID]])*(Log[Verb]="pass")),Log[Arg])&amp;"",Items[[#This Row],[Team]]&amp;""))</f>
      </c>
      <c r="L544" s="17">
        <f>IF(Items[[#This Row],[ID]]="","",IFERROR(LOOKUP(2,1/((Log[ID]=Items[[#This Row],[ID]])*(Log[Into]&lt;&gt;"")),Log[Into]),""))</f>
      </c>
      <c r="M544" s="17">
        <f>IF(Items[[#This Row],[ID]]="","",IF(IFERROR(LOOKUP(2,1/((Log[ID]=Items[[#This Row],[ID]])*(Log[Blk]&lt;&gt;"")),Log[Blk]),0)=1,"Y",""))</f>
      </c>
      <c r="N544" s="17">
        <f>IF(Items[[#This Row],[ID]]="","",SUBSTITUTE(IFERROR(LOOKUP(2,1/((Log[ID]=Items[[#This Row],[ID]])*(Log[State]&lt;&gt;"")),Log[State]),"TODO"),"OPEN",IF(Items[[#This Row],[Blocked]]="Y","WAIT","OPEN")))</f>
      </c>
      <c r="O54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44" s="17">
        <f>IF(Items[[#This Row],[State]]&lt;&gt;"WAIT","",AsOf-Items[[#This Row],[Blocked since]])</f>
      </c>
      <c r="Q544" s="17">
        <f>IF(Items[[#This Row],[State]]&lt;&gt;"WAIT","",IFERROR(LOOKUP(2,1/((Log[ID]=Items[[#This Row],[ID]])*(Log[Verb]="block")),Log[Note])&amp;"",""))</f>
      </c>
      <c r="R544" s="17">
        <f>IF(Items[[#This Row],[ID]]="","",COUNTIFS(Log[ID],Items[[#This Row],[ID]],Log[Verb],"carry"))</f>
      </c>
      <c r="S544" s="17">
        <f>IF(Items[[#This Row],[ID]]="","",COUNTIFS(Log[ID],Items[[#This Row],[ID]],Log[Verb],"punt"))</f>
      </c>
      <c r="T544" s="11">
        <f>IF(Items[[#This Row],[State]]&lt;&gt;"DONE","",IFERROR(LOOKUP(2,1/((Log[ID]=Items[[#This Row],[ID]])*(Log[Verb]="done")),Log[Date]),""))</f>
      </c>
      <c r="U544" s="17">
        <f>IF(Items[[#This Row],[ID]]="","",IF(AND(Items[[#This Row],[Sprint]]=CurSprint,OR(Items[[#This Row],[State]]="OPEN",Items[[#This Row],[State]]="WAIT",Items[[#This Row],[State]]="HOLD",Items[[#This Row],[State]]="DONE")),1,0))</f>
      </c>
      <c r="V544" s="17">
        <f>IF(OR(Items[[#This Row],[ID]]="",Items[[#This Row],[Added]]=""),"",AsOf-Items[[#This Row],[Added]])</f>
      </c>
      <c r="W544" s="17">
        <f>IF(Items[[#This Row],[In sprint]]=1,(IF(Items[[#This Row],[Prio]]="",9,N(Items[[#This Row],[Prio]]))*10+(IF(Items[[#This Row],[State]]="DONE",1,0)))*100000+ROW(),"")</f>
      </c>
      <c r="X54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44" s="17">
        <f>IF(AND(Items[[#This Row],[State]]="DONE",N(Items[[#This Row],[Done on]])&gt;AsOf-7),(200000-N(Items[[#This Row],[Done on]]))*100000+ROW(),"")</f>
      </c>
    </row>
    <row r="545">
      <c r="A545" t="s">
        <v>715</v>
      </c>
      <c r="B545" t="s">
        <v>1766</v>
      </c>
      <c r="C545" t="s">
        <v>1107</v>
      </c>
      <c r="D545" t="s">
        <v>1127</v>
      </c>
      <c r="E545" t="s">
        <v>1120</v>
      </c>
      <c r="F545" t="s">
        <v>1121</v>
      </c>
      <c r="G545">
        <v>3</v>
      </c>
      <c r="H545">
        <v>3</v>
      </c>
      <c r="I545" s="11">
        <v>46189</v>
      </c>
      <c r="J545" s="17">
        <f>IF(Items[[#This Row],[ID]]="","",IFERROR(VALUE(LOOKUP(2,1/((Log[ID]=Items[[#This Row],[ID]])*(Log[Verb]="est")),Log[Arg])),N(Items[[#This Row],[Points]])))</f>
      </c>
      <c r="K545" s="17">
        <f>IF(Items[[#This Row],[ID]]="","",IFERROR(LOOKUP(2,1/((Log[ID]=Items[[#This Row],[ID]])*(Log[Verb]="pass")),Log[Arg])&amp;"",Items[[#This Row],[Team]]&amp;""))</f>
      </c>
      <c r="L545" s="17">
        <f>IF(Items[[#This Row],[ID]]="","",IFERROR(LOOKUP(2,1/((Log[ID]=Items[[#This Row],[ID]])*(Log[Into]&lt;&gt;"")),Log[Into]),""))</f>
      </c>
      <c r="M545" s="17">
        <f>IF(Items[[#This Row],[ID]]="","",IF(IFERROR(LOOKUP(2,1/((Log[ID]=Items[[#This Row],[ID]])*(Log[Blk]&lt;&gt;"")),Log[Blk]),0)=1,"Y",""))</f>
      </c>
      <c r="N545" s="17">
        <f>IF(Items[[#This Row],[ID]]="","",SUBSTITUTE(IFERROR(LOOKUP(2,1/((Log[ID]=Items[[#This Row],[ID]])*(Log[State]&lt;&gt;"")),Log[State]),"TODO"),"OPEN",IF(Items[[#This Row],[Blocked]]="Y","WAIT","OPEN")))</f>
      </c>
      <c r="O54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45" s="17">
        <f>IF(Items[[#This Row],[State]]&lt;&gt;"WAIT","",AsOf-Items[[#This Row],[Blocked since]])</f>
      </c>
      <c r="Q545" s="17">
        <f>IF(Items[[#This Row],[State]]&lt;&gt;"WAIT","",IFERROR(LOOKUP(2,1/((Log[ID]=Items[[#This Row],[ID]])*(Log[Verb]="block")),Log[Note])&amp;"",""))</f>
      </c>
      <c r="R545" s="17">
        <f>IF(Items[[#This Row],[ID]]="","",COUNTIFS(Log[ID],Items[[#This Row],[ID]],Log[Verb],"carry"))</f>
      </c>
      <c r="S545" s="17">
        <f>IF(Items[[#This Row],[ID]]="","",COUNTIFS(Log[ID],Items[[#This Row],[ID]],Log[Verb],"punt"))</f>
      </c>
      <c r="T545" s="11">
        <f>IF(Items[[#This Row],[State]]&lt;&gt;"DONE","",IFERROR(LOOKUP(2,1/((Log[ID]=Items[[#This Row],[ID]])*(Log[Verb]="done")),Log[Date]),""))</f>
      </c>
      <c r="U545" s="17">
        <f>IF(Items[[#This Row],[ID]]="","",IF(AND(Items[[#This Row],[Sprint]]=CurSprint,OR(Items[[#This Row],[State]]="OPEN",Items[[#This Row],[State]]="WAIT",Items[[#This Row],[State]]="HOLD",Items[[#This Row],[State]]="DONE")),1,0))</f>
      </c>
      <c r="V545" s="17">
        <f>IF(OR(Items[[#This Row],[ID]]="",Items[[#This Row],[Added]]=""),"",AsOf-Items[[#This Row],[Added]])</f>
      </c>
      <c r="W545" s="17">
        <f>IF(Items[[#This Row],[In sprint]]=1,(IF(Items[[#This Row],[Prio]]="",9,N(Items[[#This Row],[Prio]]))*10+(IF(Items[[#This Row],[State]]="DONE",1,0)))*100000+ROW(),"")</f>
      </c>
      <c r="X54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45" s="17">
        <f>IF(AND(Items[[#This Row],[State]]="DONE",N(Items[[#This Row],[Done on]])&gt;AsOf-7),(200000-N(Items[[#This Row],[Done on]]))*100000+ROW(),"")</f>
      </c>
    </row>
    <row r="546">
      <c r="A546" t="s">
        <v>716</v>
      </c>
      <c r="B546" t="s">
        <v>1767</v>
      </c>
      <c r="C546" t="s">
        <v>1107</v>
      </c>
      <c r="D546" t="s">
        <v>1108</v>
      </c>
      <c r="E546" t="s">
        <v>1120</v>
      </c>
      <c r="F546" t="s">
        <v>1151</v>
      </c>
      <c r="G546">
        <v>2</v>
      </c>
      <c r="H546">
        <v>3</v>
      </c>
      <c r="I546" s="11">
        <v>46189</v>
      </c>
      <c r="J546" s="17">
        <f>IF(Items[[#This Row],[ID]]="","",IFERROR(VALUE(LOOKUP(2,1/((Log[ID]=Items[[#This Row],[ID]])*(Log[Verb]="est")),Log[Arg])),N(Items[[#This Row],[Points]])))</f>
      </c>
      <c r="K546" s="17">
        <f>IF(Items[[#This Row],[ID]]="","",IFERROR(LOOKUP(2,1/((Log[ID]=Items[[#This Row],[ID]])*(Log[Verb]="pass")),Log[Arg])&amp;"",Items[[#This Row],[Team]]&amp;""))</f>
      </c>
      <c r="L546" s="17">
        <f>IF(Items[[#This Row],[ID]]="","",IFERROR(LOOKUP(2,1/((Log[ID]=Items[[#This Row],[ID]])*(Log[Into]&lt;&gt;"")),Log[Into]),""))</f>
      </c>
      <c r="M546" s="17">
        <f>IF(Items[[#This Row],[ID]]="","",IF(IFERROR(LOOKUP(2,1/((Log[ID]=Items[[#This Row],[ID]])*(Log[Blk]&lt;&gt;"")),Log[Blk]),0)=1,"Y",""))</f>
      </c>
      <c r="N546" s="17">
        <f>IF(Items[[#This Row],[ID]]="","",SUBSTITUTE(IFERROR(LOOKUP(2,1/((Log[ID]=Items[[#This Row],[ID]])*(Log[State]&lt;&gt;"")),Log[State]),"TODO"),"OPEN",IF(Items[[#This Row],[Blocked]]="Y","WAIT","OPEN")))</f>
      </c>
      <c r="O54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46" s="17">
        <f>IF(Items[[#This Row],[State]]&lt;&gt;"WAIT","",AsOf-Items[[#This Row],[Blocked since]])</f>
      </c>
      <c r="Q546" s="17">
        <f>IF(Items[[#This Row],[State]]&lt;&gt;"WAIT","",IFERROR(LOOKUP(2,1/((Log[ID]=Items[[#This Row],[ID]])*(Log[Verb]="block")),Log[Note])&amp;"",""))</f>
      </c>
      <c r="R546" s="17">
        <f>IF(Items[[#This Row],[ID]]="","",COUNTIFS(Log[ID],Items[[#This Row],[ID]],Log[Verb],"carry"))</f>
      </c>
      <c r="S546" s="17">
        <f>IF(Items[[#This Row],[ID]]="","",COUNTIFS(Log[ID],Items[[#This Row],[ID]],Log[Verb],"punt"))</f>
      </c>
      <c r="T546" s="11">
        <f>IF(Items[[#This Row],[State]]&lt;&gt;"DONE","",IFERROR(LOOKUP(2,1/((Log[ID]=Items[[#This Row],[ID]])*(Log[Verb]="done")),Log[Date]),""))</f>
      </c>
      <c r="U546" s="17">
        <f>IF(Items[[#This Row],[ID]]="","",IF(AND(Items[[#This Row],[Sprint]]=CurSprint,OR(Items[[#This Row],[State]]="OPEN",Items[[#This Row],[State]]="WAIT",Items[[#This Row],[State]]="HOLD",Items[[#This Row],[State]]="DONE")),1,0))</f>
      </c>
      <c r="V546" s="17">
        <f>IF(OR(Items[[#This Row],[ID]]="",Items[[#This Row],[Added]]=""),"",AsOf-Items[[#This Row],[Added]])</f>
      </c>
      <c r="W546" s="17">
        <f>IF(Items[[#This Row],[In sprint]]=1,(IF(Items[[#This Row],[Prio]]="",9,N(Items[[#This Row],[Prio]]))*10+(IF(Items[[#This Row],[State]]="DONE",1,0)))*100000+ROW(),"")</f>
      </c>
      <c r="X54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46" s="17">
        <f>IF(AND(Items[[#This Row],[State]]="DONE",N(Items[[#This Row],[Done on]])&gt;AsOf-7),(200000-N(Items[[#This Row],[Done on]]))*100000+ROW(),"")</f>
      </c>
    </row>
    <row r="547">
      <c r="A547" t="s">
        <v>717</v>
      </c>
      <c r="B547" t="s">
        <v>1768</v>
      </c>
      <c r="C547" t="s">
        <v>1115</v>
      </c>
      <c r="D547" t="s">
        <v>1119</v>
      </c>
      <c r="E547" t="s">
        <v>1120</v>
      </c>
      <c r="F547" t="s">
        <v>1342</v>
      </c>
      <c r="G547">
        <v>3</v>
      </c>
      <c r="H547">
        <v>3</v>
      </c>
      <c r="I547" s="11">
        <v>46189</v>
      </c>
      <c r="J547" s="17">
        <f>IF(Items[[#This Row],[ID]]="","",IFERROR(VALUE(LOOKUP(2,1/((Log[ID]=Items[[#This Row],[ID]])*(Log[Verb]="est")),Log[Arg])),N(Items[[#This Row],[Points]])))</f>
      </c>
      <c r="K547" s="17">
        <f>IF(Items[[#This Row],[ID]]="","",IFERROR(LOOKUP(2,1/((Log[ID]=Items[[#This Row],[ID]])*(Log[Verb]="pass")),Log[Arg])&amp;"",Items[[#This Row],[Team]]&amp;""))</f>
      </c>
      <c r="L547" s="17">
        <f>IF(Items[[#This Row],[ID]]="","",IFERROR(LOOKUP(2,1/((Log[ID]=Items[[#This Row],[ID]])*(Log[Into]&lt;&gt;"")),Log[Into]),""))</f>
      </c>
      <c r="M547" s="17">
        <f>IF(Items[[#This Row],[ID]]="","",IF(IFERROR(LOOKUP(2,1/((Log[ID]=Items[[#This Row],[ID]])*(Log[Blk]&lt;&gt;"")),Log[Blk]),0)=1,"Y",""))</f>
      </c>
      <c r="N547" s="17">
        <f>IF(Items[[#This Row],[ID]]="","",SUBSTITUTE(IFERROR(LOOKUP(2,1/((Log[ID]=Items[[#This Row],[ID]])*(Log[State]&lt;&gt;"")),Log[State]),"TODO"),"OPEN",IF(Items[[#This Row],[Blocked]]="Y","WAIT","OPEN")))</f>
      </c>
      <c r="O54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47" s="17">
        <f>IF(Items[[#This Row],[State]]&lt;&gt;"WAIT","",AsOf-Items[[#This Row],[Blocked since]])</f>
      </c>
      <c r="Q547" s="17">
        <f>IF(Items[[#This Row],[State]]&lt;&gt;"WAIT","",IFERROR(LOOKUP(2,1/((Log[ID]=Items[[#This Row],[ID]])*(Log[Verb]="block")),Log[Note])&amp;"",""))</f>
      </c>
      <c r="R547" s="17">
        <f>IF(Items[[#This Row],[ID]]="","",COUNTIFS(Log[ID],Items[[#This Row],[ID]],Log[Verb],"carry"))</f>
      </c>
      <c r="S547" s="17">
        <f>IF(Items[[#This Row],[ID]]="","",COUNTIFS(Log[ID],Items[[#This Row],[ID]],Log[Verb],"punt"))</f>
      </c>
      <c r="T547" s="11">
        <f>IF(Items[[#This Row],[State]]&lt;&gt;"DONE","",IFERROR(LOOKUP(2,1/((Log[ID]=Items[[#This Row],[ID]])*(Log[Verb]="done")),Log[Date]),""))</f>
      </c>
      <c r="U547" s="17">
        <f>IF(Items[[#This Row],[ID]]="","",IF(AND(Items[[#This Row],[Sprint]]=CurSprint,OR(Items[[#This Row],[State]]="OPEN",Items[[#This Row],[State]]="WAIT",Items[[#This Row],[State]]="HOLD",Items[[#This Row],[State]]="DONE")),1,0))</f>
      </c>
      <c r="V547" s="17">
        <f>IF(OR(Items[[#This Row],[ID]]="",Items[[#This Row],[Added]]=""),"",AsOf-Items[[#This Row],[Added]])</f>
      </c>
      <c r="W547" s="17">
        <f>IF(Items[[#This Row],[In sprint]]=1,(IF(Items[[#This Row],[Prio]]="",9,N(Items[[#This Row],[Prio]]))*10+(IF(Items[[#This Row],[State]]="DONE",1,0)))*100000+ROW(),"")</f>
      </c>
      <c r="X54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47" s="17">
        <f>IF(AND(Items[[#This Row],[State]]="DONE",N(Items[[#This Row],[Done on]])&gt;AsOf-7),(200000-N(Items[[#This Row],[Done on]]))*100000+ROW(),"")</f>
      </c>
    </row>
    <row r="548">
      <c r="A548" t="s">
        <v>718</v>
      </c>
      <c r="B548" t="s">
        <v>1769</v>
      </c>
      <c r="C548" t="s">
        <v>1107</v>
      </c>
      <c r="D548" t="s">
        <v>1123</v>
      </c>
      <c r="E548" t="s">
        <v>1120</v>
      </c>
      <c r="F548" t="s">
        <v>1153</v>
      </c>
      <c r="G548">
        <v>2</v>
      </c>
      <c r="H548">
        <v>1</v>
      </c>
      <c r="I548" s="11">
        <v>46189</v>
      </c>
      <c r="J548" s="17">
        <f>IF(Items[[#This Row],[ID]]="","",IFERROR(VALUE(LOOKUP(2,1/((Log[ID]=Items[[#This Row],[ID]])*(Log[Verb]="est")),Log[Arg])),N(Items[[#This Row],[Points]])))</f>
      </c>
      <c r="K548" s="17">
        <f>IF(Items[[#This Row],[ID]]="","",IFERROR(LOOKUP(2,1/((Log[ID]=Items[[#This Row],[ID]])*(Log[Verb]="pass")),Log[Arg])&amp;"",Items[[#This Row],[Team]]&amp;""))</f>
      </c>
      <c r="L548" s="17">
        <f>IF(Items[[#This Row],[ID]]="","",IFERROR(LOOKUP(2,1/((Log[ID]=Items[[#This Row],[ID]])*(Log[Into]&lt;&gt;"")),Log[Into]),""))</f>
      </c>
      <c r="M548" s="17">
        <f>IF(Items[[#This Row],[ID]]="","",IF(IFERROR(LOOKUP(2,1/((Log[ID]=Items[[#This Row],[ID]])*(Log[Blk]&lt;&gt;"")),Log[Blk]),0)=1,"Y",""))</f>
      </c>
      <c r="N548" s="17">
        <f>IF(Items[[#This Row],[ID]]="","",SUBSTITUTE(IFERROR(LOOKUP(2,1/((Log[ID]=Items[[#This Row],[ID]])*(Log[State]&lt;&gt;"")),Log[State]),"TODO"),"OPEN",IF(Items[[#This Row],[Blocked]]="Y","WAIT","OPEN")))</f>
      </c>
      <c r="O54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48" s="17">
        <f>IF(Items[[#This Row],[State]]&lt;&gt;"WAIT","",AsOf-Items[[#This Row],[Blocked since]])</f>
      </c>
      <c r="Q548" s="17">
        <f>IF(Items[[#This Row],[State]]&lt;&gt;"WAIT","",IFERROR(LOOKUP(2,1/((Log[ID]=Items[[#This Row],[ID]])*(Log[Verb]="block")),Log[Note])&amp;"",""))</f>
      </c>
      <c r="R548" s="17">
        <f>IF(Items[[#This Row],[ID]]="","",COUNTIFS(Log[ID],Items[[#This Row],[ID]],Log[Verb],"carry"))</f>
      </c>
      <c r="S548" s="17">
        <f>IF(Items[[#This Row],[ID]]="","",COUNTIFS(Log[ID],Items[[#This Row],[ID]],Log[Verb],"punt"))</f>
      </c>
      <c r="T548" s="11">
        <f>IF(Items[[#This Row],[State]]&lt;&gt;"DONE","",IFERROR(LOOKUP(2,1/((Log[ID]=Items[[#This Row],[ID]])*(Log[Verb]="done")),Log[Date]),""))</f>
      </c>
      <c r="U548" s="17">
        <f>IF(Items[[#This Row],[ID]]="","",IF(AND(Items[[#This Row],[Sprint]]=CurSprint,OR(Items[[#This Row],[State]]="OPEN",Items[[#This Row],[State]]="WAIT",Items[[#This Row],[State]]="HOLD",Items[[#This Row],[State]]="DONE")),1,0))</f>
      </c>
      <c r="V548" s="17">
        <f>IF(OR(Items[[#This Row],[ID]]="",Items[[#This Row],[Added]]=""),"",AsOf-Items[[#This Row],[Added]])</f>
      </c>
      <c r="W548" s="17">
        <f>IF(Items[[#This Row],[In sprint]]=1,(IF(Items[[#This Row],[Prio]]="",9,N(Items[[#This Row],[Prio]]))*10+(IF(Items[[#This Row],[State]]="DONE",1,0)))*100000+ROW(),"")</f>
      </c>
      <c r="X54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48" s="17">
        <f>IF(AND(Items[[#This Row],[State]]="DONE",N(Items[[#This Row],[Done on]])&gt;AsOf-7),(200000-N(Items[[#This Row],[Done on]]))*100000+ROW(),"")</f>
      </c>
    </row>
    <row r="549">
      <c r="A549" t="s">
        <v>719</v>
      </c>
      <c r="B549" t="s">
        <v>1770</v>
      </c>
      <c r="C549" t="s">
        <v>1107</v>
      </c>
      <c r="D549" t="s">
        <v>1123</v>
      </c>
      <c r="E549" t="s">
        <v>1120</v>
      </c>
      <c r="F549" t="s">
        <v>1421</v>
      </c>
      <c r="G549">
        <v>3</v>
      </c>
      <c r="H549">
        <v>1</v>
      </c>
      <c r="I549" s="11">
        <v>46189</v>
      </c>
      <c r="J549" s="17">
        <f>IF(Items[[#This Row],[ID]]="","",IFERROR(VALUE(LOOKUP(2,1/((Log[ID]=Items[[#This Row],[ID]])*(Log[Verb]="est")),Log[Arg])),N(Items[[#This Row],[Points]])))</f>
      </c>
      <c r="K549" s="17">
        <f>IF(Items[[#This Row],[ID]]="","",IFERROR(LOOKUP(2,1/((Log[ID]=Items[[#This Row],[ID]])*(Log[Verb]="pass")),Log[Arg])&amp;"",Items[[#This Row],[Team]]&amp;""))</f>
      </c>
      <c r="L549" s="17">
        <f>IF(Items[[#This Row],[ID]]="","",IFERROR(LOOKUP(2,1/((Log[ID]=Items[[#This Row],[ID]])*(Log[Into]&lt;&gt;"")),Log[Into]),""))</f>
      </c>
      <c r="M549" s="17">
        <f>IF(Items[[#This Row],[ID]]="","",IF(IFERROR(LOOKUP(2,1/((Log[ID]=Items[[#This Row],[ID]])*(Log[Blk]&lt;&gt;"")),Log[Blk]),0)=1,"Y",""))</f>
      </c>
      <c r="N549" s="17">
        <f>IF(Items[[#This Row],[ID]]="","",SUBSTITUTE(IFERROR(LOOKUP(2,1/((Log[ID]=Items[[#This Row],[ID]])*(Log[State]&lt;&gt;"")),Log[State]),"TODO"),"OPEN",IF(Items[[#This Row],[Blocked]]="Y","WAIT","OPEN")))</f>
      </c>
      <c r="O54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49" s="17">
        <f>IF(Items[[#This Row],[State]]&lt;&gt;"WAIT","",AsOf-Items[[#This Row],[Blocked since]])</f>
      </c>
      <c r="Q549" s="17">
        <f>IF(Items[[#This Row],[State]]&lt;&gt;"WAIT","",IFERROR(LOOKUP(2,1/((Log[ID]=Items[[#This Row],[ID]])*(Log[Verb]="block")),Log[Note])&amp;"",""))</f>
      </c>
      <c r="R549" s="17">
        <f>IF(Items[[#This Row],[ID]]="","",COUNTIFS(Log[ID],Items[[#This Row],[ID]],Log[Verb],"carry"))</f>
      </c>
      <c r="S549" s="17">
        <f>IF(Items[[#This Row],[ID]]="","",COUNTIFS(Log[ID],Items[[#This Row],[ID]],Log[Verb],"punt"))</f>
      </c>
      <c r="T549" s="11">
        <f>IF(Items[[#This Row],[State]]&lt;&gt;"DONE","",IFERROR(LOOKUP(2,1/((Log[ID]=Items[[#This Row],[ID]])*(Log[Verb]="done")),Log[Date]),""))</f>
      </c>
      <c r="U549" s="17">
        <f>IF(Items[[#This Row],[ID]]="","",IF(AND(Items[[#This Row],[Sprint]]=CurSprint,OR(Items[[#This Row],[State]]="OPEN",Items[[#This Row],[State]]="WAIT",Items[[#This Row],[State]]="HOLD",Items[[#This Row],[State]]="DONE")),1,0))</f>
      </c>
      <c r="V549" s="17">
        <f>IF(OR(Items[[#This Row],[ID]]="",Items[[#This Row],[Added]]=""),"",AsOf-Items[[#This Row],[Added]])</f>
      </c>
      <c r="W549" s="17">
        <f>IF(Items[[#This Row],[In sprint]]=1,(IF(Items[[#This Row],[Prio]]="",9,N(Items[[#This Row],[Prio]]))*10+(IF(Items[[#This Row],[State]]="DONE",1,0)))*100000+ROW(),"")</f>
      </c>
      <c r="X54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49" s="17">
        <f>IF(AND(Items[[#This Row],[State]]="DONE",N(Items[[#This Row],[Done on]])&gt;AsOf-7),(200000-N(Items[[#This Row],[Done on]]))*100000+ROW(),"")</f>
      </c>
    </row>
    <row r="550">
      <c r="A550" t="s">
        <v>720</v>
      </c>
      <c r="B550" t="s">
        <v>1771</v>
      </c>
      <c r="C550" t="s">
        <v>1115</v>
      </c>
      <c r="D550" t="s">
        <v>1116</v>
      </c>
      <c r="E550" t="s">
        <v>1120</v>
      </c>
      <c r="F550" t="s">
        <v>1421</v>
      </c>
      <c r="G550">
        <v>8</v>
      </c>
      <c r="H550">
        <v>3</v>
      </c>
      <c r="I550" s="11">
        <v>46189</v>
      </c>
      <c r="J550" s="17">
        <f>IF(Items[[#This Row],[ID]]="","",IFERROR(VALUE(LOOKUP(2,1/((Log[ID]=Items[[#This Row],[ID]])*(Log[Verb]="est")),Log[Arg])),N(Items[[#This Row],[Points]])))</f>
      </c>
      <c r="K550" s="17">
        <f>IF(Items[[#This Row],[ID]]="","",IFERROR(LOOKUP(2,1/((Log[ID]=Items[[#This Row],[ID]])*(Log[Verb]="pass")),Log[Arg])&amp;"",Items[[#This Row],[Team]]&amp;""))</f>
      </c>
      <c r="L550" s="17">
        <f>IF(Items[[#This Row],[ID]]="","",IFERROR(LOOKUP(2,1/((Log[ID]=Items[[#This Row],[ID]])*(Log[Into]&lt;&gt;"")),Log[Into]),""))</f>
      </c>
      <c r="M550" s="17">
        <f>IF(Items[[#This Row],[ID]]="","",IF(IFERROR(LOOKUP(2,1/((Log[ID]=Items[[#This Row],[ID]])*(Log[Blk]&lt;&gt;"")),Log[Blk]),0)=1,"Y",""))</f>
      </c>
      <c r="N550" s="17">
        <f>IF(Items[[#This Row],[ID]]="","",SUBSTITUTE(IFERROR(LOOKUP(2,1/((Log[ID]=Items[[#This Row],[ID]])*(Log[State]&lt;&gt;"")),Log[State]),"TODO"),"OPEN",IF(Items[[#This Row],[Blocked]]="Y","WAIT","OPEN")))</f>
      </c>
      <c r="O55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50" s="17">
        <f>IF(Items[[#This Row],[State]]&lt;&gt;"WAIT","",AsOf-Items[[#This Row],[Blocked since]])</f>
      </c>
      <c r="Q550" s="17">
        <f>IF(Items[[#This Row],[State]]&lt;&gt;"WAIT","",IFERROR(LOOKUP(2,1/((Log[ID]=Items[[#This Row],[ID]])*(Log[Verb]="block")),Log[Note])&amp;"",""))</f>
      </c>
      <c r="R550" s="17">
        <f>IF(Items[[#This Row],[ID]]="","",COUNTIFS(Log[ID],Items[[#This Row],[ID]],Log[Verb],"carry"))</f>
      </c>
      <c r="S550" s="17">
        <f>IF(Items[[#This Row],[ID]]="","",COUNTIFS(Log[ID],Items[[#This Row],[ID]],Log[Verb],"punt"))</f>
      </c>
      <c r="T550" s="11">
        <f>IF(Items[[#This Row],[State]]&lt;&gt;"DONE","",IFERROR(LOOKUP(2,1/((Log[ID]=Items[[#This Row],[ID]])*(Log[Verb]="done")),Log[Date]),""))</f>
      </c>
      <c r="U550" s="17">
        <f>IF(Items[[#This Row],[ID]]="","",IF(AND(Items[[#This Row],[Sprint]]=CurSprint,OR(Items[[#This Row],[State]]="OPEN",Items[[#This Row],[State]]="WAIT",Items[[#This Row],[State]]="HOLD",Items[[#This Row],[State]]="DONE")),1,0))</f>
      </c>
      <c r="V550" s="17">
        <f>IF(OR(Items[[#This Row],[ID]]="",Items[[#This Row],[Added]]=""),"",AsOf-Items[[#This Row],[Added]])</f>
      </c>
      <c r="W550" s="17">
        <f>IF(Items[[#This Row],[In sprint]]=1,(IF(Items[[#This Row],[Prio]]="",9,N(Items[[#This Row],[Prio]]))*10+(IF(Items[[#This Row],[State]]="DONE",1,0)))*100000+ROW(),"")</f>
      </c>
      <c r="X55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50" s="17">
        <f>IF(AND(Items[[#This Row],[State]]="DONE",N(Items[[#This Row],[Done on]])&gt;AsOf-7),(200000-N(Items[[#This Row],[Done on]]))*100000+ROW(),"")</f>
      </c>
    </row>
    <row r="551">
      <c r="A551" t="s">
        <v>766</v>
      </c>
      <c r="B551" t="s">
        <v>1772</v>
      </c>
      <c r="C551" t="s">
        <v>1107</v>
      </c>
      <c r="D551" t="s">
        <v>1127</v>
      </c>
      <c r="E551" t="s">
        <v>1120</v>
      </c>
      <c r="F551" t="s">
        <v>1342</v>
      </c>
      <c r="G551">
        <v>5</v>
      </c>
      <c r="H551">
        <v>2</v>
      </c>
      <c r="I551" s="11">
        <v>46189</v>
      </c>
      <c r="J551" s="17">
        <f>IF(Items[[#This Row],[ID]]="","",IFERROR(VALUE(LOOKUP(2,1/((Log[ID]=Items[[#This Row],[ID]])*(Log[Verb]="est")),Log[Arg])),N(Items[[#This Row],[Points]])))</f>
      </c>
      <c r="K551" s="17">
        <f>IF(Items[[#This Row],[ID]]="","",IFERROR(LOOKUP(2,1/((Log[ID]=Items[[#This Row],[ID]])*(Log[Verb]="pass")),Log[Arg])&amp;"",Items[[#This Row],[Team]]&amp;""))</f>
      </c>
      <c r="L551" s="17">
        <f>IF(Items[[#This Row],[ID]]="","",IFERROR(LOOKUP(2,1/((Log[ID]=Items[[#This Row],[ID]])*(Log[Into]&lt;&gt;"")),Log[Into]),""))</f>
      </c>
      <c r="M551" s="17">
        <f>IF(Items[[#This Row],[ID]]="","",IF(IFERROR(LOOKUP(2,1/((Log[ID]=Items[[#This Row],[ID]])*(Log[Blk]&lt;&gt;"")),Log[Blk]),0)=1,"Y",""))</f>
      </c>
      <c r="N551" s="17">
        <f>IF(Items[[#This Row],[ID]]="","",SUBSTITUTE(IFERROR(LOOKUP(2,1/((Log[ID]=Items[[#This Row],[ID]])*(Log[State]&lt;&gt;"")),Log[State]),"TODO"),"OPEN",IF(Items[[#This Row],[Blocked]]="Y","WAIT","OPEN")))</f>
      </c>
      <c r="O55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51" s="17">
        <f>IF(Items[[#This Row],[State]]&lt;&gt;"WAIT","",AsOf-Items[[#This Row],[Blocked since]])</f>
      </c>
      <c r="Q551" s="17">
        <f>IF(Items[[#This Row],[State]]&lt;&gt;"WAIT","",IFERROR(LOOKUP(2,1/((Log[ID]=Items[[#This Row],[ID]])*(Log[Verb]="block")),Log[Note])&amp;"",""))</f>
      </c>
      <c r="R551" s="17">
        <f>IF(Items[[#This Row],[ID]]="","",COUNTIFS(Log[ID],Items[[#This Row],[ID]],Log[Verb],"carry"))</f>
      </c>
      <c r="S551" s="17">
        <f>IF(Items[[#This Row],[ID]]="","",COUNTIFS(Log[ID],Items[[#This Row],[ID]],Log[Verb],"punt"))</f>
      </c>
      <c r="T551" s="11">
        <f>IF(Items[[#This Row],[State]]&lt;&gt;"DONE","",IFERROR(LOOKUP(2,1/((Log[ID]=Items[[#This Row],[ID]])*(Log[Verb]="done")),Log[Date]),""))</f>
      </c>
      <c r="U551" s="17">
        <f>IF(Items[[#This Row],[ID]]="","",IF(AND(Items[[#This Row],[Sprint]]=CurSprint,OR(Items[[#This Row],[State]]="OPEN",Items[[#This Row],[State]]="WAIT",Items[[#This Row],[State]]="HOLD",Items[[#This Row],[State]]="DONE")),1,0))</f>
      </c>
      <c r="V551" s="17">
        <f>IF(OR(Items[[#This Row],[ID]]="",Items[[#This Row],[Added]]=""),"",AsOf-Items[[#This Row],[Added]])</f>
      </c>
      <c r="W551" s="17">
        <f>IF(Items[[#This Row],[In sprint]]=1,(IF(Items[[#This Row],[Prio]]="",9,N(Items[[#This Row],[Prio]]))*10+(IF(Items[[#This Row],[State]]="DONE",1,0)))*100000+ROW(),"")</f>
      </c>
      <c r="X55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51" s="17">
        <f>IF(AND(Items[[#This Row],[State]]="DONE",N(Items[[#This Row],[Done on]])&gt;AsOf-7),(200000-N(Items[[#This Row],[Done on]]))*100000+ROW(),"")</f>
      </c>
    </row>
    <row r="552">
      <c r="A552" t="s">
        <v>767</v>
      </c>
      <c r="B552" t="s">
        <v>1773</v>
      </c>
      <c r="C552" t="s">
        <v>1107</v>
      </c>
      <c r="D552" t="s">
        <v>1123</v>
      </c>
      <c r="E552" t="s">
        <v>1120</v>
      </c>
      <c r="F552" t="s">
        <v>1269</v>
      </c>
      <c r="G552">
        <v>3</v>
      </c>
      <c r="H552">
        <v>1</v>
      </c>
      <c r="I552" s="11">
        <v>46189</v>
      </c>
      <c r="J552" s="17">
        <f>IF(Items[[#This Row],[ID]]="","",IFERROR(VALUE(LOOKUP(2,1/((Log[ID]=Items[[#This Row],[ID]])*(Log[Verb]="est")),Log[Arg])),N(Items[[#This Row],[Points]])))</f>
      </c>
      <c r="K552" s="17">
        <f>IF(Items[[#This Row],[ID]]="","",IFERROR(LOOKUP(2,1/((Log[ID]=Items[[#This Row],[ID]])*(Log[Verb]="pass")),Log[Arg])&amp;"",Items[[#This Row],[Team]]&amp;""))</f>
      </c>
      <c r="L552" s="17">
        <f>IF(Items[[#This Row],[ID]]="","",IFERROR(LOOKUP(2,1/((Log[ID]=Items[[#This Row],[ID]])*(Log[Into]&lt;&gt;"")),Log[Into]),""))</f>
      </c>
      <c r="M552" s="17">
        <f>IF(Items[[#This Row],[ID]]="","",IF(IFERROR(LOOKUP(2,1/((Log[ID]=Items[[#This Row],[ID]])*(Log[Blk]&lt;&gt;"")),Log[Blk]),0)=1,"Y",""))</f>
      </c>
      <c r="N552" s="17">
        <f>IF(Items[[#This Row],[ID]]="","",SUBSTITUTE(IFERROR(LOOKUP(2,1/((Log[ID]=Items[[#This Row],[ID]])*(Log[State]&lt;&gt;"")),Log[State]),"TODO"),"OPEN",IF(Items[[#This Row],[Blocked]]="Y","WAIT","OPEN")))</f>
      </c>
      <c r="O55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52" s="17">
        <f>IF(Items[[#This Row],[State]]&lt;&gt;"WAIT","",AsOf-Items[[#This Row],[Blocked since]])</f>
      </c>
      <c r="Q552" s="17">
        <f>IF(Items[[#This Row],[State]]&lt;&gt;"WAIT","",IFERROR(LOOKUP(2,1/((Log[ID]=Items[[#This Row],[ID]])*(Log[Verb]="block")),Log[Note])&amp;"",""))</f>
      </c>
      <c r="R552" s="17">
        <f>IF(Items[[#This Row],[ID]]="","",COUNTIFS(Log[ID],Items[[#This Row],[ID]],Log[Verb],"carry"))</f>
      </c>
      <c r="S552" s="17">
        <f>IF(Items[[#This Row],[ID]]="","",COUNTIFS(Log[ID],Items[[#This Row],[ID]],Log[Verb],"punt"))</f>
      </c>
      <c r="T552" s="11">
        <f>IF(Items[[#This Row],[State]]&lt;&gt;"DONE","",IFERROR(LOOKUP(2,1/((Log[ID]=Items[[#This Row],[ID]])*(Log[Verb]="done")),Log[Date]),""))</f>
      </c>
      <c r="U552" s="17">
        <f>IF(Items[[#This Row],[ID]]="","",IF(AND(Items[[#This Row],[Sprint]]=CurSprint,OR(Items[[#This Row],[State]]="OPEN",Items[[#This Row],[State]]="WAIT",Items[[#This Row],[State]]="HOLD",Items[[#This Row],[State]]="DONE")),1,0))</f>
      </c>
      <c r="V552" s="17">
        <f>IF(OR(Items[[#This Row],[ID]]="",Items[[#This Row],[Added]]=""),"",AsOf-Items[[#This Row],[Added]])</f>
      </c>
      <c r="W552" s="17">
        <f>IF(Items[[#This Row],[In sprint]]=1,(IF(Items[[#This Row],[Prio]]="",9,N(Items[[#This Row],[Prio]]))*10+(IF(Items[[#This Row],[State]]="DONE",1,0)))*100000+ROW(),"")</f>
      </c>
      <c r="X55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52" s="17">
        <f>IF(AND(Items[[#This Row],[State]]="DONE",N(Items[[#This Row],[Done on]])&gt;AsOf-7),(200000-N(Items[[#This Row],[Done on]]))*100000+ROW(),"")</f>
      </c>
    </row>
    <row r="553">
      <c r="A553" t="s">
        <v>768</v>
      </c>
      <c r="B553" t="s">
        <v>1774</v>
      </c>
      <c r="C553" t="s">
        <v>1115</v>
      </c>
      <c r="D553" t="s">
        <v>1119</v>
      </c>
      <c r="E553" t="s">
        <v>1120</v>
      </c>
      <c r="F553" t="s">
        <v>1121</v>
      </c>
      <c r="G553">
        <v>5</v>
      </c>
      <c r="H553">
        <v>3</v>
      </c>
      <c r="I553" s="11">
        <v>46189</v>
      </c>
      <c r="J553" s="17">
        <f>IF(Items[[#This Row],[ID]]="","",IFERROR(VALUE(LOOKUP(2,1/((Log[ID]=Items[[#This Row],[ID]])*(Log[Verb]="est")),Log[Arg])),N(Items[[#This Row],[Points]])))</f>
      </c>
      <c r="K553" s="17">
        <f>IF(Items[[#This Row],[ID]]="","",IFERROR(LOOKUP(2,1/((Log[ID]=Items[[#This Row],[ID]])*(Log[Verb]="pass")),Log[Arg])&amp;"",Items[[#This Row],[Team]]&amp;""))</f>
      </c>
      <c r="L553" s="17">
        <f>IF(Items[[#This Row],[ID]]="","",IFERROR(LOOKUP(2,1/((Log[ID]=Items[[#This Row],[ID]])*(Log[Into]&lt;&gt;"")),Log[Into]),""))</f>
      </c>
      <c r="M553" s="17">
        <f>IF(Items[[#This Row],[ID]]="","",IF(IFERROR(LOOKUP(2,1/((Log[ID]=Items[[#This Row],[ID]])*(Log[Blk]&lt;&gt;"")),Log[Blk]),0)=1,"Y",""))</f>
      </c>
      <c r="N553" s="17">
        <f>IF(Items[[#This Row],[ID]]="","",SUBSTITUTE(IFERROR(LOOKUP(2,1/((Log[ID]=Items[[#This Row],[ID]])*(Log[State]&lt;&gt;"")),Log[State]),"TODO"),"OPEN",IF(Items[[#This Row],[Blocked]]="Y","WAIT","OPEN")))</f>
      </c>
      <c r="O55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53" s="17">
        <f>IF(Items[[#This Row],[State]]&lt;&gt;"WAIT","",AsOf-Items[[#This Row],[Blocked since]])</f>
      </c>
      <c r="Q553" s="17">
        <f>IF(Items[[#This Row],[State]]&lt;&gt;"WAIT","",IFERROR(LOOKUP(2,1/((Log[ID]=Items[[#This Row],[ID]])*(Log[Verb]="block")),Log[Note])&amp;"",""))</f>
      </c>
      <c r="R553" s="17">
        <f>IF(Items[[#This Row],[ID]]="","",COUNTIFS(Log[ID],Items[[#This Row],[ID]],Log[Verb],"carry"))</f>
      </c>
      <c r="S553" s="17">
        <f>IF(Items[[#This Row],[ID]]="","",COUNTIFS(Log[ID],Items[[#This Row],[ID]],Log[Verb],"punt"))</f>
      </c>
      <c r="T553" s="11">
        <f>IF(Items[[#This Row],[State]]&lt;&gt;"DONE","",IFERROR(LOOKUP(2,1/((Log[ID]=Items[[#This Row],[ID]])*(Log[Verb]="done")),Log[Date]),""))</f>
      </c>
      <c r="U553" s="17">
        <f>IF(Items[[#This Row],[ID]]="","",IF(AND(Items[[#This Row],[Sprint]]=CurSprint,OR(Items[[#This Row],[State]]="OPEN",Items[[#This Row],[State]]="WAIT",Items[[#This Row],[State]]="HOLD",Items[[#This Row],[State]]="DONE")),1,0))</f>
      </c>
      <c r="V553" s="17">
        <f>IF(OR(Items[[#This Row],[ID]]="",Items[[#This Row],[Added]]=""),"",AsOf-Items[[#This Row],[Added]])</f>
      </c>
      <c r="W553" s="17">
        <f>IF(Items[[#This Row],[In sprint]]=1,(IF(Items[[#This Row],[Prio]]="",9,N(Items[[#This Row],[Prio]]))*10+(IF(Items[[#This Row],[State]]="DONE",1,0)))*100000+ROW(),"")</f>
      </c>
      <c r="X55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53" s="17">
        <f>IF(AND(Items[[#This Row],[State]]="DONE",N(Items[[#This Row],[Done on]])&gt;AsOf-7),(200000-N(Items[[#This Row],[Done on]]))*100000+ROW(),"")</f>
      </c>
    </row>
    <row r="554">
      <c r="A554" t="s">
        <v>670</v>
      </c>
      <c r="B554" t="s">
        <v>1775</v>
      </c>
      <c r="C554" t="s">
        <v>1107</v>
      </c>
      <c r="D554" t="s">
        <v>1127</v>
      </c>
      <c r="E554" t="s">
        <v>1124</v>
      </c>
      <c r="F554" t="s">
        <v>1200</v>
      </c>
      <c r="G554">
        <v>5</v>
      </c>
      <c r="H554">
        <v>2</v>
      </c>
      <c r="I554" s="11">
        <v>46189</v>
      </c>
      <c r="J554" s="17">
        <f>IF(Items[[#This Row],[ID]]="","",IFERROR(VALUE(LOOKUP(2,1/((Log[ID]=Items[[#This Row],[ID]])*(Log[Verb]="est")),Log[Arg])),N(Items[[#This Row],[Points]])))</f>
      </c>
      <c r="K554" s="17">
        <f>IF(Items[[#This Row],[ID]]="","",IFERROR(LOOKUP(2,1/((Log[ID]=Items[[#This Row],[ID]])*(Log[Verb]="pass")),Log[Arg])&amp;"",Items[[#This Row],[Team]]&amp;""))</f>
      </c>
      <c r="L554" s="17">
        <f>IF(Items[[#This Row],[ID]]="","",IFERROR(LOOKUP(2,1/((Log[ID]=Items[[#This Row],[ID]])*(Log[Into]&lt;&gt;"")),Log[Into]),""))</f>
      </c>
      <c r="M554" s="17">
        <f>IF(Items[[#This Row],[ID]]="","",IF(IFERROR(LOOKUP(2,1/((Log[ID]=Items[[#This Row],[ID]])*(Log[Blk]&lt;&gt;"")),Log[Blk]),0)=1,"Y",""))</f>
      </c>
      <c r="N554" s="17">
        <f>IF(Items[[#This Row],[ID]]="","",SUBSTITUTE(IFERROR(LOOKUP(2,1/((Log[ID]=Items[[#This Row],[ID]])*(Log[State]&lt;&gt;"")),Log[State]),"TODO"),"OPEN",IF(Items[[#This Row],[Blocked]]="Y","WAIT","OPEN")))</f>
      </c>
      <c r="O55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54" s="17">
        <f>IF(Items[[#This Row],[State]]&lt;&gt;"WAIT","",AsOf-Items[[#This Row],[Blocked since]])</f>
      </c>
      <c r="Q554" s="17">
        <f>IF(Items[[#This Row],[State]]&lt;&gt;"WAIT","",IFERROR(LOOKUP(2,1/((Log[ID]=Items[[#This Row],[ID]])*(Log[Verb]="block")),Log[Note])&amp;"",""))</f>
      </c>
      <c r="R554" s="17">
        <f>IF(Items[[#This Row],[ID]]="","",COUNTIFS(Log[ID],Items[[#This Row],[ID]],Log[Verb],"carry"))</f>
      </c>
      <c r="S554" s="17">
        <f>IF(Items[[#This Row],[ID]]="","",COUNTIFS(Log[ID],Items[[#This Row],[ID]],Log[Verb],"punt"))</f>
      </c>
      <c r="T554" s="11">
        <f>IF(Items[[#This Row],[State]]&lt;&gt;"DONE","",IFERROR(LOOKUP(2,1/((Log[ID]=Items[[#This Row],[ID]])*(Log[Verb]="done")),Log[Date]),""))</f>
      </c>
      <c r="U554" s="17">
        <f>IF(Items[[#This Row],[ID]]="","",IF(AND(Items[[#This Row],[Sprint]]=CurSprint,OR(Items[[#This Row],[State]]="OPEN",Items[[#This Row],[State]]="WAIT",Items[[#This Row],[State]]="HOLD",Items[[#This Row],[State]]="DONE")),1,0))</f>
      </c>
      <c r="V554" s="17">
        <f>IF(OR(Items[[#This Row],[ID]]="",Items[[#This Row],[Added]]=""),"",AsOf-Items[[#This Row],[Added]])</f>
      </c>
      <c r="W554" s="17">
        <f>IF(Items[[#This Row],[In sprint]]=1,(IF(Items[[#This Row],[Prio]]="",9,N(Items[[#This Row],[Prio]]))*10+(IF(Items[[#This Row],[State]]="DONE",1,0)))*100000+ROW(),"")</f>
      </c>
      <c r="X55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54" s="17">
        <f>IF(AND(Items[[#This Row],[State]]="DONE",N(Items[[#This Row],[Done on]])&gt;AsOf-7),(200000-N(Items[[#This Row],[Done on]]))*100000+ROW(),"")</f>
      </c>
    </row>
    <row r="555">
      <c r="A555" t="s">
        <v>671</v>
      </c>
      <c r="B555" t="s">
        <v>1776</v>
      </c>
      <c r="C555" t="s">
        <v>1107</v>
      </c>
      <c r="D555" t="s">
        <v>1127</v>
      </c>
      <c r="E555" t="s">
        <v>1124</v>
      </c>
      <c r="F555" t="s">
        <v>1283</v>
      </c>
      <c r="G555">
        <v>5</v>
      </c>
      <c r="H555">
        <v>3</v>
      </c>
      <c r="I555" s="11">
        <v>46189</v>
      </c>
      <c r="J555" s="17">
        <f>IF(Items[[#This Row],[ID]]="","",IFERROR(VALUE(LOOKUP(2,1/((Log[ID]=Items[[#This Row],[ID]])*(Log[Verb]="est")),Log[Arg])),N(Items[[#This Row],[Points]])))</f>
      </c>
      <c r="K555" s="17">
        <f>IF(Items[[#This Row],[ID]]="","",IFERROR(LOOKUP(2,1/((Log[ID]=Items[[#This Row],[ID]])*(Log[Verb]="pass")),Log[Arg])&amp;"",Items[[#This Row],[Team]]&amp;""))</f>
      </c>
      <c r="L555" s="17">
        <f>IF(Items[[#This Row],[ID]]="","",IFERROR(LOOKUP(2,1/((Log[ID]=Items[[#This Row],[ID]])*(Log[Into]&lt;&gt;"")),Log[Into]),""))</f>
      </c>
      <c r="M555" s="17">
        <f>IF(Items[[#This Row],[ID]]="","",IF(IFERROR(LOOKUP(2,1/((Log[ID]=Items[[#This Row],[ID]])*(Log[Blk]&lt;&gt;"")),Log[Blk]),0)=1,"Y",""))</f>
      </c>
      <c r="N555" s="17">
        <f>IF(Items[[#This Row],[ID]]="","",SUBSTITUTE(IFERROR(LOOKUP(2,1/((Log[ID]=Items[[#This Row],[ID]])*(Log[State]&lt;&gt;"")),Log[State]),"TODO"),"OPEN",IF(Items[[#This Row],[Blocked]]="Y","WAIT","OPEN")))</f>
      </c>
      <c r="O55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55" s="17">
        <f>IF(Items[[#This Row],[State]]&lt;&gt;"WAIT","",AsOf-Items[[#This Row],[Blocked since]])</f>
      </c>
      <c r="Q555" s="17">
        <f>IF(Items[[#This Row],[State]]&lt;&gt;"WAIT","",IFERROR(LOOKUP(2,1/((Log[ID]=Items[[#This Row],[ID]])*(Log[Verb]="block")),Log[Note])&amp;"",""))</f>
      </c>
      <c r="R555" s="17">
        <f>IF(Items[[#This Row],[ID]]="","",COUNTIFS(Log[ID],Items[[#This Row],[ID]],Log[Verb],"carry"))</f>
      </c>
      <c r="S555" s="17">
        <f>IF(Items[[#This Row],[ID]]="","",COUNTIFS(Log[ID],Items[[#This Row],[ID]],Log[Verb],"punt"))</f>
      </c>
      <c r="T555" s="11">
        <f>IF(Items[[#This Row],[State]]&lt;&gt;"DONE","",IFERROR(LOOKUP(2,1/((Log[ID]=Items[[#This Row],[ID]])*(Log[Verb]="done")),Log[Date]),""))</f>
      </c>
      <c r="U555" s="17">
        <f>IF(Items[[#This Row],[ID]]="","",IF(AND(Items[[#This Row],[Sprint]]=CurSprint,OR(Items[[#This Row],[State]]="OPEN",Items[[#This Row],[State]]="WAIT",Items[[#This Row],[State]]="HOLD",Items[[#This Row],[State]]="DONE")),1,0))</f>
      </c>
      <c r="V555" s="17">
        <f>IF(OR(Items[[#This Row],[ID]]="",Items[[#This Row],[Added]]=""),"",AsOf-Items[[#This Row],[Added]])</f>
      </c>
      <c r="W555" s="17">
        <f>IF(Items[[#This Row],[In sprint]]=1,(IF(Items[[#This Row],[Prio]]="",9,N(Items[[#This Row],[Prio]]))*10+(IF(Items[[#This Row],[State]]="DONE",1,0)))*100000+ROW(),"")</f>
      </c>
      <c r="X55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55" s="17">
        <f>IF(AND(Items[[#This Row],[State]]="DONE",N(Items[[#This Row],[Done on]])&gt;AsOf-7),(200000-N(Items[[#This Row],[Done on]]))*100000+ROW(),"")</f>
      </c>
    </row>
    <row r="556">
      <c r="A556" t="s">
        <v>721</v>
      </c>
      <c r="B556" t="s">
        <v>1777</v>
      </c>
      <c r="C556" t="s">
        <v>1107</v>
      </c>
      <c r="D556" t="s">
        <v>1123</v>
      </c>
      <c r="E556" t="s">
        <v>1124</v>
      </c>
      <c r="F556" t="s">
        <v>1155</v>
      </c>
      <c r="G556">
        <v>5</v>
      </c>
      <c r="H556">
        <v>2</v>
      </c>
      <c r="I556" s="11">
        <v>46189</v>
      </c>
      <c r="J556" s="17">
        <f>IF(Items[[#This Row],[ID]]="","",IFERROR(VALUE(LOOKUP(2,1/((Log[ID]=Items[[#This Row],[ID]])*(Log[Verb]="est")),Log[Arg])),N(Items[[#This Row],[Points]])))</f>
      </c>
      <c r="K556" s="17">
        <f>IF(Items[[#This Row],[ID]]="","",IFERROR(LOOKUP(2,1/((Log[ID]=Items[[#This Row],[ID]])*(Log[Verb]="pass")),Log[Arg])&amp;"",Items[[#This Row],[Team]]&amp;""))</f>
      </c>
      <c r="L556" s="17">
        <f>IF(Items[[#This Row],[ID]]="","",IFERROR(LOOKUP(2,1/((Log[ID]=Items[[#This Row],[ID]])*(Log[Into]&lt;&gt;"")),Log[Into]),""))</f>
      </c>
      <c r="M556" s="17">
        <f>IF(Items[[#This Row],[ID]]="","",IF(IFERROR(LOOKUP(2,1/((Log[ID]=Items[[#This Row],[ID]])*(Log[Blk]&lt;&gt;"")),Log[Blk]),0)=1,"Y",""))</f>
      </c>
      <c r="N556" s="17">
        <f>IF(Items[[#This Row],[ID]]="","",SUBSTITUTE(IFERROR(LOOKUP(2,1/((Log[ID]=Items[[#This Row],[ID]])*(Log[State]&lt;&gt;"")),Log[State]),"TODO"),"OPEN",IF(Items[[#This Row],[Blocked]]="Y","WAIT","OPEN")))</f>
      </c>
      <c r="O55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56" s="17">
        <f>IF(Items[[#This Row],[State]]&lt;&gt;"WAIT","",AsOf-Items[[#This Row],[Blocked since]])</f>
      </c>
      <c r="Q556" s="17">
        <f>IF(Items[[#This Row],[State]]&lt;&gt;"WAIT","",IFERROR(LOOKUP(2,1/((Log[ID]=Items[[#This Row],[ID]])*(Log[Verb]="block")),Log[Note])&amp;"",""))</f>
      </c>
      <c r="R556" s="17">
        <f>IF(Items[[#This Row],[ID]]="","",COUNTIFS(Log[ID],Items[[#This Row],[ID]],Log[Verb],"carry"))</f>
      </c>
      <c r="S556" s="17">
        <f>IF(Items[[#This Row],[ID]]="","",COUNTIFS(Log[ID],Items[[#This Row],[ID]],Log[Verb],"punt"))</f>
      </c>
      <c r="T556" s="11">
        <f>IF(Items[[#This Row],[State]]&lt;&gt;"DONE","",IFERROR(LOOKUP(2,1/((Log[ID]=Items[[#This Row],[ID]])*(Log[Verb]="done")),Log[Date]),""))</f>
      </c>
      <c r="U556" s="17">
        <f>IF(Items[[#This Row],[ID]]="","",IF(AND(Items[[#This Row],[Sprint]]=CurSprint,OR(Items[[#This Row],[State]]="OPEN",Items[[#This Row],[State]]="WAIT",Items[[#This Row],[State]]="HOLD",Items[[#This Row],[State]]="DONE")),1,0))</f>
      </c>
      <c r="V556" s="17">
        <f>IF(OR(Items[[#This Row],[ID]]="",Items[[#This Row],[Added]]=""),"",AsOf-Items[[#This Row],[Added]])</f>
      </c>
      <c r="W556" s="17">
        <f>IF(Items[[#This Row],[In sprint]]=1,(IF(Items[[#This Row],[Prio]]="",9,N(Items[[#This Row],[Prio]]))*10+(IF(Items[[#This Row],[State]]="DONE",1,0)))*100000+ROW(),"")</f>
      </c>
      <c r="X55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56" s="17">
        <f>IF(AND(Items[[#This Row],[State]]="DONE",N(Items[[#This Row],[Done on]])&gt;AsOf-7),(200000-N(Items[[#This Row],[Done on]]))*100000+ROW(),"")</f>
      </c>
    </row>
    <row r="557">
      <c r="A557" t="s">
        <v>722</v>
      </c>
      <c r="B557" t="s">
        <v>1778</v>
      </c>
      <c r="C557" t="s">
        <v>1115</v>
      </c>
      <c r="D557" t="s">
        <v>1116</v>
      </c>
      <c r="E557" t="s">
        <v>1124</v>
      </c>
      <c r="F557" t="s">
        <v>1157</v>
      </c>
      <c r="G557">
        <v>2</v>
      </c>
      <c r="H557">
        <v>3</v>
      </c>
      <c r="I557" s="11">
        <v>46189</v>
      </c>
      <c r="J557" s="17">
        <f>IF(Items[[#This Row],[ID]]="","",IFERROR(VALUE(LOOKUP(2,1/((Log[ID]=Items[[#This Row],[ID]])*(Log[Verb]="est")),Log[Arg])),N(Items[[#This Row],[Points]])))</f>
      </c>
      <c r="K557" s="17">
        <f>IF(Items[[#This Row],[ID]]="","",IFERROR(LOOKUP(2,1/((Log[ID]=Items[[#This Row],[ID]])*(Log[Verb]="pass")),Log[Arg])&amp;"",Items[[#This Row],[Team]]&amp;""))</f>
      </c>
      <c r="L557" s="17">
        <f>IF(Items[[#This Row],[ID]]="","",IFERROR(LOOKUP(2,1/((Log[ID]=Items[[#This Row],[ID]])*(Log[Into]&lt;&gt;"")),Log[Into]),""))</f>
      </c>
      <c r="M557" s="17">
        <f>IF(Items[[#This Row],[ID]]="","",IF(IFERROR(LOOKUP(2,1/((Log[ID]=Items[[#This Row],[ID]])*(Log[Blk]&lt;&gt;"")),Log[Blk]),0)=1,"Y",""))</f>
      </c>
      <c r="N557" s="17">
        <f>IF(Items[[#This Row],[ID]]="","",SUBSTITUTE(IFERROR(LOOKUP(2,1/((Log[ID]=Items[[#This Row],[ID]])*(Log[State]&lt;&gt;"")),Log[State]),"TODO"),"OPEN",IF(Items[[#This Row],[Blocked]]="Y","WAIT","OPEN")))</f>
      </c>
      <c r="O55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57" s="17">
        <f>IF(Items[[#This Row],[State]]&lt;&gt;"WAIT","",AsOf-Items[[#This Row],[Blocked since]])</f>
      </c>
      <c r="Q557" s="17">
        <f>IF(Items[[#This Row],[State]]&lt;&gt;"WAIT","",IFERROR(LOOKUP(2,1/((Log[ID]=Items[[#This Row],[ID]])*(Log[Verb]="block")),Log[Note])&amp;"",""))</f>
      </c>
      <c r="R557" s="17">
        <f>IF(Items[[#This Row],[ID]]="","",COUNTIFS(Log[ID],Items[[#This Row],[ID]],Log[Verb],"carry"))</f>
      </c>
      <c r="S557" s="17">
        <f>IF(Items[[#This Row],[ID]]="","",COUNTIFS(Log[ID],Items[[#This Row],[ID]],Log[Verb],"punt"))</f>
      </c>
      <c r="T557" s="11">
        <f>IF(Items[[#This Row],[State]]&lt;&gt;"DONE","",IFERROR(LOOKUP(2,1/((Log[ID]=Items[[#This Row],[ID]])*(Log[Verb]="done")),Log[Date]),""))</f>
      </c>
      <c r="U557" s="17">
        <f>IF(Items[[#This Row],[ID]]="","",IF(AND(Items[[#This Row],[Sprint]]=CurSprint,OR(Items[[#This Row],[State]]="OPEN",Items[[#This Row],[State]]="WAIT",Items[[#This Row],[State]]="HOLD",Items[[#This Row],[State]]="DONE")),1,0))</f>
      </c>
      <c r="V557" s="17">
        <f>IF(OR(Items[[#This Row],[ID]]="",Items[[#This Row],[Added]]=""),"",AsOf-Items[[#This Row],[Added]])</f>
      </c>
      <c r="W557" s="17">
        <f>IF(Items[[#This Row],[In sprint]]=1,(IF(Items[[#This Row],[Prio]]="",9,N(Items[[#This Row],[Prio]]))*10+(IF(Items[[#This Row],[State]]="DONE",1,0)))*100000+ROW(),"")</f>
      </c>
      <c r="X55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57" s="17">
        <f>IF(AND(Items[[#This Row],[State]]="DONE",N(Items[[#This Row],[Done on]])&gt;AsOf-7),(200000-N(Items[[#This Row],[Done on]]))*100000+ROW(),"")</f>
      </c>
    </row>
    <row r="558">
      <c r="A558" t="s">
        <v>723</v>
      </c>
      <c r="B558" t="s">
        <v>1779</v>
      </c>
      <c r="C558" t="s">
        <v>1107</v>
      </c>
      <c r="D558" t="s">
        <v>1108</v>
      </c>
      <c r="E558" t="s">
        <v>1124</v>
      </c>
      <c r="F558" t="s">
        <v>1200</v>
      </c>
      <c r="G558">
        <v>3</v>
      </c>
      <c r="H558">
        <v>1</v>
      </c>
      <c r="I558" s="11">
        <v>46189</v>
      </c>
      <c r="J558" s="17">
        <f>IF(Items[[#This Row],[ID]]="","",IFERROR(VALUE(LOOKUP(2,1/((Log[ID]=Items[[#This Row],[ID]])*(Log[Verb]="est")),Log[Arg])),N(Items[[#This Row],[Points]])))</f>
      </c>
      <c r="K558" s="17">
        <f>IF(Items[[#This Row],[ID]]="","",IFERROR(LOOKUP(2,1/((Log[ID]=Items[[#This Row],[ID]])*(Log[Verb]="pass")),Log[Arg])&amp;"",Items[[#This Row],[Team]]&amp;""))</f>
      </c>
      <c r="L558" s="17">
        <f>IF(Items[[#This Row],[ID]]="","",IFERROR(LOOKUP(2,1/((Log[ID]=Items[[#This Row],[ID]])*(Log[Into]&lt;&gt;"")),Log[Into]),""))</f>
      </c>
      <c r="M558" s="17">
        <f>IF(Items[[#This Row],[ID]]="","",IF(IFERROR(LOOKUP(2,1/((Log[ID]=Items[[#This Row],[ID]])*(Log[Blk]&lt;&gt;"")),Log[Blk]),0)=1,"Y",""))</f>
      </c>
      <c r="N558" s="17">
        <f>IF(Items[[#This Row],[ID]]="","",SUBSTITUTE(IFERROR(LOOKUP(2,1/((Log[ID]=Items[[#This Row],[ID]])*(Log[State]&lt;&gt;"")),Log[State]),"TODO"),"OPEN",IF(Items[[#This Row],[Blocked]]="Y","WAIT","OPEN")))</f>
      </c>
      <c r="O55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58" s="17">
        <f>IF(Items[[#This Row],[State]]&lt;&gt;"WAIT","",AsOf-Items[[#This Row],[Blocked since]])</f>
      </c>
      <c r="Q558" s="17">
        <f>IF(Items[[#This Row],[State]]&lt;&gt;"WAIT","",IFERROR(LOOKUP(2,1/((Log[ID]=Items[[#This Row],[ID]])*(Log[Verb]="block")),Log[Note])&amp;"",""))</f>
      </c>
      <c r="R558" s="17">
        <f>IF(Items[[#This Row],[ID]]="","",COUNTIFS(Log[ID],Items[[#This Row],[ID]],Log[Verb],"carry"))</f>
      </c>
      <c r="S558" s="17">
        <f>IF(Items[[#This Row],[ID]]="","",COUNTIFS(Log[ID],Items[[#This Row],[ID]],Log[Verb],"punt"))</f>
      </c>
      <c r="T558" s="11">
        <f>IF(Items[[#This Row],[State]]&lt;&gt;"DONE","",IFERROR(LOOKUP(2,1/((Log[ID]=Items[[#This Row],[ID]])*(Log[Verb]="done")),Log[Date]),""))</f>
      </c>
      <c r="U558" s="17">
        <f>IF(Items[[#This Row],[ID]]="","",IF(AND(Items[[#This Row],[Sprint]]=CurSprint,OR(Items[[#This Row],[State]]="OPEN",Items[[#This Row],[State]]="WAIT",Items[[#This Row],[State]]="HOLD",Items[[#This Row],[State]]="DONE")),1,0))</f>
      </c>
      <c r="V558" s="17">
        <f>IF(OR(Items[[#This Row],[ID]]="",Items[[#This Row],[Added]]=""),"",AsOf-Items[[#This Row],[Added]])</f>
      </c>
      <c r="W558" s="17">
        <f>IF(Items[[#This Row],[In sprint]]=1,(IF(Items[[#This Row],[Prio]]="",9,N(Items[[#This Row],[Prio]]))*10+(IF(Items[[#This Row],[State]]="DONE",1,0)))*100000+ROW(),"")</f>
      </c>
      <c r="X55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58" s="17">
        <f>IF(AND(Items[[#This Row],[State]]="DONE",N(Items[[#This Row],[Done on]])&gt;AsOf-7),(200000-N(Items[[#This Row],[Done on]]))*100000+ROW(),"")</f>
      </c>
    </row>
    <row r="559">
      <c r="A559" t="s">
        <v>724</v>
      </c>
      <c r="B559" t="s">
        <v>1780</v>
      </c>
      <c r="C559" t="s">
        <v>1115</v>
      </c>
      <c r="D559" t="s">
        <v>1119</v>
      </c>
      <c r="E559" t="s">
        <v>1124</v>
      </c>
      <c r="F559" t="s">
        <v>1280</v>
      </c>
      <c r="G559">
        <v>8</v>
      </c>
      <c r="H559">
        <v>1</v>
      </c>
      <c r="I559" s="11">
        <v>46189</v>
      </c>
      <c r="J559" s="17">
        <f>IF(Items[[#This Row],[ID]]="","",IFERROR(VALUE(LOOKUP(2,1/((Log[ID]=Items[[#This Row],[ID]])*(Log[Verb]="est")),Log[Arg])),N(Items[[#This Row],[Points]])))</f>
      </c>
      <c r="K559" s="17">
        <f>IF(Items[[#This Row],[ID]]="","",IFERROR(LOOKUP(2,1/((Log[ID]=Items[[#This Row],[ID]])*(Log[Verb]="pass")),Log[Arg])&amp;"",Items[[#This Row],[Team]]&amp;""))</f>
      </c>
      <c r="L559" s="17">
        <f>IF(Items[[#This Row],[ID]]="","",IFERROR(LOOKUP(2,1/((Log[ID]=Items[[#This Row],[ID]])*(Log[Into]&lt;&gt;"")),Log[Into]),""))</f>
      </c>
      <c r="M559" s="17">
        <f>IF(Items[[#This Row],[ID]]="","",IF(IFERROR(LOOKUP(2,1/((Log[ID]=Items[[#This Row],[ID]])*(Log[Blk]&lt;&gt;"")),Log[Blk]),0)=1,"Y",""))</f>
      </c>
      <c r="N559" s="17">
        <f>IF(Items[[#This Row],[ID]]="","",SUBSTITUTE(IFERROR(LOOKUP(2,1/((Log[ID]=Items[[#This Row],[ID]])*(Log[State]&lt;&gt;"")),Log[State]),"TODO"),"OPEN",IF(Items[[#This Row],[Blocked]]="Y","WAIT","OPEN")))</f>
      </c>
      <c r="O55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59" s="17">
        <f>IF(Items[[#This Row],[State]]&lt;&gt;"WAIT","",AsOf-Items[[#This Row],[Blocked since]])</f>
      </c>
      <c r="Q559" s="17">
        <f>IF(Items[[#This Row],[State]]&lt;&gt;"WAIT","",IFERROR(LOOKUP(2,1/((Log[ID]=Items[[#This Row],[ID]])*(Log[Verb]="block")),Log[Note])&amp;"",""))</f>
      </c>
      <c r="R559" s="17">
        <f>IF(Items[[#This Row],[ID]]="","",COUNTIFS(Log[ID],Items[[#This Row],[ID]],Log[Verb],"carry"))</f>
      </c>
      <c r="S559" s="17">
        <f>IF(Items[[#This Row],[ID]]="","",COUNTIFS(Log[ID],Items[[#This Row],[ID]],Log[Verb],"punt"))</f>
      </c>
      <c r="T559" s="11">
        <f>IF(Items[[#This Row],[State]]&lt;&gt;"DONE","",IFERROR(LOOKUP(2,1/((Log[ID]=Items[[#This Row],[ID]])*(Log[Verb]="done")),Log[Date]),""))</f>
      </c>
      <c r="U559" s="17">
        <f>IF(Items[[#This Row],[ID]]="","",IF(AND(Items[[#This Row],[Sprint]]=CurSprint,OR(Items[[#This Row],[State]]="OPEN",Items[[#This Row],[State]]="WAIT",Items[[#This Row],[State]]="HOLD",Items[[#This Row],[State]]="DONE")),1,0))</f>
      </c>
      <c r="V559" s="17">
        <f>IF(OR(Items[[#This Row],[ID]]="",Items[[#This Row],[Added]]=""),"",AsOf-Items[[#This Row],[Added]])</f>
      </c>
      <c r="W559" s="17">
        <f>IF(Items[[#This Row],[In sprint]]=1,(IF(Items[[#This Row],[Prio]]="",9,N(Items[[#This Row],[Prio]]))*10+(IF(Items[[#This Row],[State]]="DONE",1,0)))*100000+ROW(),"")</f>
      </c>
      <c r="X55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59" s="17">
        <f>IF(AND(Items[[#This Row],[State]]="DONE",N(Items[[#This Row],[Done on]])&gt;AsOf-7),(200000-N(Items[[#This Row],[Done on]]))*100000+ROW(),"")</f>
      </c>
    </row>
    <row r="560">
      <c r="A560" t="s">
        <v>725</v>
      </c>
      <c r="B560" t="s">
        <v>1781</v>
      </c>
      <c r="C560" t="s">
        <v>1107</v>
      </c>
      <c r="D560" t="s">
        <v>1123</v>
      </c>
      <c r="E560" t="s">
        <v>1124</v>
      </c>
      <c r="F560" t="s">
        <v>1666</v>
      </c>
      <c r="G560">
        <v>5</v>
      </c>
      <c r="H560">
        <v>3</v>
      </c>
      <c r="I560" s="11">
        <v>46189</v>
      </c>
      <c r="J560" s="17">
        <f>IF(Items[[#This Row],[ID]]="","",IFERROR(VALUE(LOOKUP(2,1/((Log[ID]=Items[[#This Row],[ID]])*(Log[Verb]="est")),Log[Arg])),N(Items[[#This Row],[Points]])))</f>
      </c>
      <c r="K560" s="17">
        <f>IF(Items[[#This Row],[ID]]="","",IFERROR(LOOKUP(2,1/((Log[ID]=Items[[#This Row],[ID]])*(Log[Verb]="pass")),Log[Arg])&amp;"",Items[[#This Row],[Team]]&amp;""))</f>
      </c>
      <c r="L560" s="17">
        <f>IF(Items[[#This Row],[ID]]="","",IFERROR(LOOKUP(2,1/((Log[ID]=Items[[#This Row],[ID]])*(Log[Into]&lt;&gt;"")),Log[Into]),""))</f>
      </c>
      <c r="M560" s="17">
        <f>IF(Items[[#This Row],[ID]]="","",IF(IFERROR(LOOKUP(2,1/((Log[ID]=Items[[#This Row],[ID]])*(Log[Blk]&lt;&gt;"")),Log[Blk]),0)=1,"Y",""))</f>
      </c>
      <c r="N560" s="17">
        <f>IF(Items[[#This Row],[ID]]="","",SUBSTITUTE(IFERROR(LOOKUP(2,1/((Log[ID]=Items[[#This Row],[ID]])*(Log[State]&lt;&gt;"")),Log[State]),"TODO"),"OPEN",IF(Items[[#This Row],[Blocked]]="Y","WAIT","OPEN")))</f>
      </c>
      <c r="O56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60" s="17">
        <f>IF(Items[[#This Row],[State]]&lt;&gt;"WAIT","",AsOf-Items[[#This Row],[Blocked since]])</f>
      </c>
      <c r="Q560" s="17">
        <f>IF(Items[[#This Row],[State]]&lt;&gt;"WAIT","",IFERROR(LOOKUP(2,1/((Log[ID]=Items[[#This Row],[ID]])*(Log[Verb]="block")),Log[Note])&amp;"",""))</f>
      </c>
      <c r="R560" s="17">
        <f>IF(Items[[#This Row],[ID]]="","",COUNTIFS(Log[ID],Items[[#This Row],[ID]],Log[Verb],"carry"))</f>
      </c>
      <c r="S560" s="17">
        <f>IF(Items[[#This Row],[ID]]="","",COUNTIFS(Log[ID],Items[[#This Row],[ID]],Log[Verb],"punt"))</f>
      </c>
      <c r="T560" s="11">
        <f>IF(Items[[#This Row],[State]]&lt;&gt;"DONE","",IFERROR(LOOKUP(2,1/((Log[ID]=Items[[#This Row],[ID]])*(Log[Verb]="done")),Log[Date]),""))</f>
      </c>
      <c r="U560" s="17">
        <f>IF(Items[[#This Row],[ID]]="","",IF(AND(Items[[#This Row],[Sprint]]=CurSprint,OR(Items[[#This Row],[State]]="OPEN",Items[[#This Row],[State]]="WAIT",Items[[#This Row],[State]]="HOLD",Items[[#This Row],[State]]="DONE")),1,0))</f>
      </c>
      <c r="V560" s="17">
        <f>IF(OR(Items[[#This Row],[ID]]="",Items[[#This Row],[Added]]=""),"",AsOf-Items[[#This Row],[Added]])</f>
      </c>
      <c r="W560" s="17">
        <f>IF(Items[[#This Row],[In sprint]]=1,(IF(Items[[#This Row],[Prio]]="",9,N(Items[[#This Row],[Prio]]))*10+(IF(Items[[#This Row],[State]]="DONE",1,0)))*100000+ROW(),"")</f>
      </c>
      <c r="X56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60" s="17">
        <f>IF(AND(Items[[#This Row],[State]]="DONE",N(Items[[#This Row],[Done on]])&gt;AsOf-7),(200000-N(Items[[#This Row],[Done on]]))*100000+ROW(),"")</f>
      </c>
    </row>
    <row r="561">
      <c r="A561" t="s">
        <v>674</v>
      </c>
      <c r="B561" t="s">
        <v>1782</v>
      </c>
      <c r="C561" t="s">
        <v>1107</v>
      </c>
      <c r="D561" t="s">
        <v>1108</v>
      </c>
      <c r="E561" t="s">
        <v>1159</v>
      </c>
      <c r="F561" t="s">
        <v>1358</v>
      </c>
      <c r="G561">
        <v>3</v>
      </c>
      <c r="H561">
        <v>3</v>
      </c>
      <c r="I561" s="11">
        <v>46189</v>
      </c>
      <c r="J561" s="17">
        <f>IF(Items[[#This Row],[ID]]="","",IFERROR(VALUE(LOOKUP(2,1/((Log[ID]=Items[[#This Row],[ID]])*(Log[Verb]="est")),Log[Arg])),N(Items[[#This Row],[Points]])))</f>
      </c>
      <c r="K561" s="17">
        <f>IF(Items[[#This Row],[ID]]="","",IFERROR(LOOKUP(2,1/((Log[ID]=Items[[#This Row],[ID]])*(Log[Verb]="pass")),Log[Arg])&amp;"",Items[[#This Row],[Team]]&amp;""))</f>
      </c>
      <c r="L561" s="17">
        <f>IF(Items[[#This Row],[ID]]="","",IFERROR(LOOKUP(2,1/((Log[ID]=Items[[#This Row],[ID]])*(Log[Into]&lt;&gt;"")),Log[Into]),""))</f>
      </c>
      <c r="M561" s="17">
        <f>IF(Items[[#This Row],[ID]]="","",IF(IFERROR(LOOKUP(2,1/((Log[ID]=Items[[#This Row],[ID]])*(Log[Blk]&lt;&gt;"")),Log[Blk]),0)=1,"Y",""))</f>
      </c>
      <c r="N561" s="17">
        <f>IF(Items[[#This Row],[ID]]="","",SUBSTITUTE(IFERROR(LOOKUP(2,1/((Log[ID]=Items[[#This Row],[ID]])*(Log[State]&lt;&gt;"")),Log[State]),"TODO"),"OPEN",IF(Items[[#This Row],[Blocked]]="Y","WAIT","OPEN")))</f>
      </c>
      <c r="O56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61" s="17">
        <f>IF(Items[[#This Row],[State]]&lt;&gt;"WAIT","",AsOf-Items[[#This Row],[Blocked since]])</f>
      </c>
      <c r="Q561" s="17">
        <f>IF(Items[[#This Row],[State]]&lt;&gt;"WAIT","",IFERROR(LOOKUP(2,1/((Log[ID]=Items[[#This Row],[ID]])*(Log[Verb]="block")),Log[Note])&amp;"",""))</f>
      </c>
      <c r="R561" s="17">
        <f>IF(Items[[#This Row],[ID]]="","",COUNTIFS(Log[ID],Items[[#This Row],[ID]],Log[Verb],"carry"))</f>
      </c>
      <c r="S561" s="17">
        <f>IF(Items[[#This Row],[ID]]="","",COUNTIFS(Log[ID],Items[[#This Row],[ID]],Log[Verb],"punt"))</f>
      </c>
      <c r="T561" s="11">
        <f>IF(Items[[#This Row],[State]]&lt;&gt;"DONE","",IFERROR(LOOKUP(2,1/((Log[ID]=Items[[#This Row],[ID]])*(Log[Verb]="done")),Log[Date]),""))</f>
      </c>
      <c r="U561" s="17">
        <f>IF(Items[[#This Row],[ID]]="","",IF(AND(Items[[#This Row],[Sprint]]=CurSprint,OR(Items[[#This Row],[State]]="OPEN",Items[[#This Row],[State]]="WAIT",Items[[#This Row],[State]]="HOLD",Items[[#This Row],[State]]="DONE")),1,0))</f>
      </c>
      <c r="V561" s="17">
        <f>IF(OR(Items[[#This Row],[ID]]="",Items[[#This Row],[Added]]=""),"",AsOf-Items[[#This Row],[Added]])</f>
      </c>
      <c r="W561" s="17">
        <f>IF(Items[[#This Row],[In sprint]]=1,(IF(Items[[#This Row],[Prio]]="",9,N(Items[[#This Row],[Prio]]))*10+(IF(Items[[#This Row],[State]]="DONE",1,0)))*100000+ROW(),"")</f>
      </c>
      <c r="X56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61" s="17">
        <f>IF(AND(Items[[#This Row],[State]]="DONE",N(Items[[#This Row],[Done on]])&gt;AsOf-7),(200000-N(Items[[#This Row],[Done on]]))*100000+ROW(),"")</f>
      </c>
    </row>
    <row r="562">
      <c r="A562" t="s">
        <v>729</v>
      </c>
      <c r="B562" t="s">
        <v>1783</v>
      </c>
      <c r="C562" t="s">
        <v>1107</v>
      </c>
      <c r="D562" t="s">
        <v>1108</v>
      </c>
      <c r="E562" t="s">
        <v>1159</v>
      </c>
      <c r="F562" t="s">
        <v>1285</v>
      </c>
      <c r="G562">
        <v>5</v>
      </c>
      <c r="H562">
        <v>1</v>
      </c>
      <c r="I562" s="11">
        <v>46189</v>
      </c>
      <c r="J562" s="17">
        <f>IF(Items[[#This Row],[ID]]="","",IFERROR(VALUE(LOOKUP(2,1/((Log[ID]=Items[[#This Row],[ID]])*(Log[Verb]="est")),Log[Arg])),N(Items[[#This Row],[Points]])))</f>
      </c>
      <c r="K562" s="17">
        <f>IF(Items[[#This Row],[ID]]="","",IFERROR(LOOKUP(2,1/((Log[ID]=Items[[#This Row],[ID]])*(Log[Verb]="pass")),Log[Arg])&amp;"",Items[[#This Row],[Team]]&amp;""))</f>
      </c>
      <c r="L562" s="17">
        <f>IF(Items[[#This Row],[ID]]="","",IFERROR(LOOKUP(2,1/((Log[ID]=Items[[#This Row],[ID]])*(Log[Into]&lt;&gt;"")),Log[Into]),""))</f>
      </c>
      <c r="M562" s="17">
        <f>IF(Items[[#This Row],[ID]]="","",IF(IFERROR(LOOKUP(2,1/((Log[ID]=Items[[#This Row],[ID]])*(Log[Blk]&lt;&gt;"")),Log[Blk]),0)=1,"Y",""))</f>
      </c>
      <c r="N562" s="17">
        <f>IF(Items[[#This Row],[ID]]="","",SUBSTITUTE(IFERROR(LOOKUP(2,1/((Log[ID]=Items[[#This Row],[ID]])*(Log[State]&lt;&gt;"")),Log[State]),"TODO"),"OPEN",IF(Items[[#This Row],[Blocked]]="Y","WAIT","OPEN")))</f>
      </c>
      <c r="O56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62" s="17">
        <f>IF(Items[[#This Row],[State]]&lt;&gt;"WAIT","",AsOf-Items[[#This Row],[Blocked since]])</f>
      </c>
      <c r="Q562" s="17">
        <f>IF(Items[[#This Row],[State]]&lt;&gt;"WAIT","",IFERROR(LOOKUP(2,1/((Log[ID]=Items[[#This Row],[ID]])*(Log[Verb]="block")),Log[Note])&amp;"",""))</f>
      </c>
      <c r="R562" s="17">
        <f>IF(Items[[#This Row],[ID]]="","",COUNTIFS(Log[ID],Items[[#This Row],[ID]],Log[Verb],"carry"))</f>
      </c>
      <c r="S562" s="17">
        <f>IF(Items[[#This Row],[ID]]="","",COUNTIFS(Log[ID],Items[[#This Row],[ID]],Log[Verb],"punt"))</f>
      </c>
      <c r="T562" s="11">
        <f>IF(Items[[#This Row],[State]]&lt;&gt;"DONE","",IFERROR(LOOKUP(2,1/((Log[ID]=Items[[#This Row],[ID]])*(Log[Verb]="done")),Log[Date]),""))</f>
      </c>
      <c r="U562" s="17">
        <f>IF(Items[[#This Row],[ID]]="","",IF(AND(Items[[#This Row],[Sprint]]=CurSprint,OR(Items[[#This Row],[State]]="OPEN",Items[[#This Row],[State]]="WAIT",Items[[#This Row],[State]]="HOLD",Items[[#This Row],[State]]="DONE")),1,0))</f>
      </c>
      <c r="V562" s="17">
        <f>IF(OR(Items[[#This Row],[ID]]="",Items[[#This Row],[Added]]=""),"",AsOf-Items[[#This Row],[Added]])</f>
      </c>
      <c r="W562" s="17">
        <f>IF(Items[[#This Row],[In sprint]]=1,(IF(Items[[#This Row],[Prio]]="",9,N(Items[[#This Row],[Prio]]))*10+(IF(Items[[#This Row],[State]]="DONE",1,0)))*100000+ROW(),"")</f>
      </c>
      <c r="X56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62" s="17">
        <f>IF(AND(Items[[#This Row],[State]]="DONE",N(Items[[#This Row],[Done on]])&gt;AsOf-7),(200000-N(Items[[#This Row],[Done on]]))*100000+ROW(),"")</f>
      </c>
    </row>
    <row r="563">
      <c r="A563" t="s">
        <v>675</v>
      </c>
      <c r="B563" t="s">
        <v>1784</v>
      </c>
      <c r="C563" t="s">
        <v>1115</v>
      </c>
      <c r="D563" t="s">
        <v>1119</v>
      </c>
      <c r="E563" t="s">
        <v>1159</v>
      </c>
      <c r="F563" t="s">
        <v>1160</v>
      </c>
      <c r="G563">
        <v>2</v>
      </c>
      <c r="H563">
        <v>3</v>
      </c>
      <c r="I563" s="11">
        <v>46189</v>
      </c>
      <c r="J563" s="17">
        <f>IF(Items[[#This Row],[ID]]="","",IFERROR(VALUE(LOOKUP(2,1/((Log[ID]=Items[[#This Row],[ID]])*(Log[Verb]="est")),Log[Arg])),N(Items[[#This Row],[Points]])))</f>
      </c>
      <c r="K563" s="17">
        <f>IF(Items[[#This Row],[ID]]="","",IFERROR(LOOKUP(2,1/((Log[ID]=Items[[#This Row],[ID]])*(Log[Verb]="pass")),Log[Arg])&amp;"",Items[[#This Row],[Team]]&amp;""))</f>
      </c>
      <c r="L563" s="17">
        <f>IF(Items[[#This Row],[ID]]="","",IFERROR(LOOKUP(2,1/((Log[ID]=Items[[#This Row],[ID]])*(Log[Into]&lt;&gt;"")),Log[Into]),""))</f>
      </c>
      <c r="M563" s="17">
        <f>IF(Items[[#This Row],[ID]]="","",IF(IFERROR(LOOKUP(2,1/((Log[ID]=Items[[#This Row],[ID]])*(Log[Blk]&lt;&gt;"")),Log[Blk]),0)=1,"Y",""))</f>
      </c>
      <c r="N563" s="17">
        <f>IF(Items[[#This Row],[ID]]="","",SUBSTITUTE(IFERROR(LOOKUP(2,1/((Log[ID]=Items[[#This Row],[ID]])*(Log[State]&lt;&gt;"")),Log[State]),"TODO"),"OPEN",IF(Items[[#This Row],[Blocked]]="Y","WAIT","OPEN")))</f>
      </c>
      <c r="O56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63" s="17">
        <f>IF(Items[[#This Row],[State]]&lt;&gt;"WAIT","",AsOf-Items[[#This Row],[Blocked since]])</f>
      </c>
      <c r="Q563" s="17">
        <f>IF(Items[[#This Row],[State]]&lt;&gt;"WAIT","",IFERROR(LOOKUP(2,1/((Log[ID]=Items[[#This Row],[ID]])*(Log[Verb]="block")),Log[Note])&amp;"",""))</f>
      </c>
      <c r="R563" s="17">
        <f>IF(Items[[#This Row],[ID]]="","",COUNTIFS(Log[ID],Items[[#This Row],[ID]],Log[Verb],"carry"))</f>
      </c>
      <c r="S563" s="17">
        <f>IF(Items[[#This Row],[ID]]="","",COUNTIFS(Log[ID],Items[[#This Row],[ID]],Log[Verb],"punt"))</f>
      </c>
      <c r="T563" s="11">
        <f>IF(Items[[#This Row],[State]]&lt;&gt;"DONE","",IFERROR(LOOKUP(2,1/((Log[ID]=Items[[#This Row],[ID]])*(Log[Verb]="done")),Log[Date]),""))</f>
      </c>
      <c r="U563" s="17">
        <f>IF(Items[[#This Row],[ID]]="","",IF(AND(Items[[#This Row],[Sprint]]=CurSprint,OR(Items[[#This Row],[State]]="OPEN",Items[[#This Row],[State]]="WAIT",Items[[#This Row],[State]]="HOLD",Items[[#This Row],[State]]="DONE")),1,0))</f>
      </c>
      <c r="V563" s="17">
        <f>IF(OR(Items[[#This Row],[ID]]="",Items[[#This Row],[Added]]=""),"",AsOf-Items[[#This Row],[Added]])</f>
      </c>
      <c r="W563" s="17">
        <f>IF(Items[[#This Row],[In sprint]]=1,(IF(Items[[#This Row],[Prio]]="",9,N(Items[[#This Row],[Prio]]))*10+(IF(Items[[#This Row],[State]]="DONE",1,0)))*100000+ROW(),"")</f>
      </c>
      <c r="X56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63" s="17">
        <f>IF(AND(Items[[#This Row],[State]]="DONE",N(Items[[#This Row],[Done on]])&gt;AsOf-7),(200000-N(Items[[#This Row],[Done on]]))*100000+ROW(),"")</f>
      </c>
    </row>
    <row r="564">
      <c r="A564" t="s">
        <v>676</v>
      </c>
      <c r="B564" t="s">
        <v>1785</v>
      </c>
      <c r="C564" t="s">
        <v>1107</v>
      </c>
      <c r="D564" t="s">
        <v>1123</v>
      </c>
      <c r="E564" t="s">
        <v>1159</v>
      </c>
      <c r="F564" t="s">
        <v>1355</v>
      </c>
      <c r="G564">
        <v>2</v>
      </c>
      <c r="H564">
        <v>2</v>
      </c>
      <c r="I564" s="11">
        <v>46189</v>
      </c>
      <c r="J564" s="17">
        <f>IF(Items[[#This Row],[ID]]="","",IFERROR(VALUE(LOOKUP(2,1/((Log[ID]=Items[[#This Row],[ID]])*(Log[Verb]="est")),Log[Arg])),N(Items[[#This Row],[Points]])))</f>
      </c>
      <c r="K564" s="17">
        <f>IF(Items[[#This Row],[ID]]="","",IFERROR(LOOKUP(2,1/((Log[ID]=Items[[#This Row],[ID]])*(Log[Verb]="pass")),Log[Arg])&amp;"",Items[[#This Row],[Team]]&amp;""))</f>
      </c>
      <c r="L564" s="17">
        <f>IF(Items[[#This Row],[ID]]="","",IFERROR(LOOKUP(2,1/((Log[ID]=Items[[#This Row],[ID]])*(Log[Into]&lt;&gt;"")),Log[Into]),""))</f>
      </c>
      <c r="M564" s="17">
        <f>IF(Items[[#This Row],[ID]]="","",IF(IFERROR(LOOKUP(2,1/((Log[ID]=Items[[#This Row],[ID]])*(Log[Blk]&lt;&gt;"")),Log[Blk]),0)=1,"Y",""))</f>
      </c>
      <c r="N564" s="17">
        <f>IF(Items[[#This Row],[ID]]="","",SUBSTITUTE(IFERROR(LOOKUP(2,1/((Log[ID]=Items[[#This Row],[ID]])*(Log[State]&lt;&gt;"")),Log[State]),"TODO"),"OPEN",IF(Items[[#This Row],[Blocked]]="Y","WAIT","OPEN")))</f>
      </c>
      <c r="O56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64" s="17">
        <f>IF(Items[[#This Row],[State]]&lt;&gt;"WAIT","",AsOf-Items[[#This Row],[Blocked since]])</f>
      </c>
      <c r="Q564" s="17">
        <f>IF(Items[[#This Row],[State]]&lt;&gt;"WAIT","",IFERROR(LOOKUP(2,1/((Log[ID]=Items[[#This Row],[ID]])*(Log[Verb]="block")),Log[Note])&amp;"",""))</f>
      </c>
      <c r="R564" s="17">
        <f>IF(Items[[#This Row],[ID]]="","",COUNTIFS(Log[ID],Items[[#This Row],[ID]],Log[Verb],"carry"))</f>
      </c>
      <c r="S564" s="17">
        <f>IF(Items[[#This Row],[ID]]="","",COUNTIFS(Log[ID],Items[[#This Row],[ID]],Log[Verb],"punt"))</f>
      </c>
      <c r="T564" s="11">
        <f>IF(Items[[#This Row],[State]]&lt;&gt;"DONE","",IFERROR(LOOKUP(2,1/((Log[ID]=Items[[#This Row],[ID]])*(Log[Verb]="done")),Log[Date]),""))</f>
      </c>
      <c r="U564" s="17">
        <f>IF(Items[[#This Row],[ID]]="","",IF(AND(Items[[#This Row],[Sprint]]=CurSprint,OR(Items[[#This Row],[State]]="OPEN",Items[[#This Row],[State]]="WAIT",Items[[#This Row],[State]]="HOLD",Items[[#This Row],[State]]="DONE")),1,0))</f>
      </c>
      <c r="V564" s="17">
        <f>IF(OR(Items[[#This Row],[ID]]="",Items[[#This Row],[Added]]=""),"",AsOf-Items[[#This Row],[Added]])</f>
      </c>
      <c r="W564" s="17">
        <f>IF(Items[[#This Row],[In sprint]]=1,(IF(Items[[#This Row],[Prio]]="",9,N(Items[[#This Row],[Prio]]))*10+(IF(Items[[#This Row],[State]]="DONE",1,0)))*100000+ROW(),"")</f>
      </c>
      <c r="X56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64" s="17">
        <f>IF(AND(Items[[#This Row],[State]]="DONE",N(Items[[#This Row],[Done on]])&gt;AsOf-7),(200000-N(Items[[#This Row],[Done on]]))*100000+ROW(),"")</f>
      </c>
    </row>
    <row r="565">
      <c r="A565" t="s">
        <v>730</v>
      </c>
      <c r="B565" t="s">
        <v>1786</v>
      </c>
      <c r="C565" t="s">
        <v>1107</v>
      </c>
      <c r="D565" t="s">
        <v>1127</v>
      </c>
      <c r="E565" t="s">
        <v>1159</v>
      </c>
      <c r="F565" t="s">
        <v>1207</v>
      </c>
      <c r="G565">
        <v>3</v>
      </c>
      <c r="H565">
        <v>2</v>
      </c>
      <c r="I565" s="11">
        <v>46189</v>
      </c>
      <c r="J565" s="17">
        <f>IF(Items[[#This Row],[ID]]="","",IFERROR(VALUE(LOOKUP(2,1/((Log[ID]=Items[[#This Row],[ID]])*(Log[Verb]="est")),Log[Arg])),N(Items[[#This Row],[Points]])))</f>
      </c>
      <c r="K565" s="17">
        <f>IF(Items[[#This Row],[ID]]="","",IFERROR(LOOKUP(2,1/((Log[ID]=Items[[#This Row],[ID]])*(Log[Verb]="pass")),Log[Arg])&amp;"",Items[[#This Row],[Team]]&amp;""))</f>
      </c>
      <c r="L565" s="17">
        <f>IF(Items[[#This Row],[ID]]="","",IFERROR(LOOKUP(2,1/((Log[ID]=Items[[#This Row],[ID]])*(Log[Into]&lt;&gt;"")),Log[Into]),""))</f>
      </c>
      <c r="M565" s="17">
        <f>IF(Items[[#This Row],[ID]]="","",IF(IFERROR(LOOKUP(2,1/((Log[ID]=Items[[#This Row],[ID]])*(Log[Blk]&lt;&gt;"")),Log[Blk]),0)=1,"Y",""))</f>
      </c>
      <c r="N565" s="17">
        <f>IF(Items[[#This Row],[ID]]="","",SUBSTITUTE(IFERROR(LOOKUP(2,1/((Log[ID]=Items[[#This Row],[ID]])*(Log[State]&lt;&gt;"")),Log[State]),"TODO"),"OPEN",IF(Items[[#This Row],[Blocked]]="Y","WAIT","OPEN")))</f>
      </c>
      <c r="O56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65" s="17">
        <f>IF(Items[[#This Row],[State]]&lt;&gt;"WAIT","",AsOf-Items[[#This Row],[Blocked since]])</f>
      </c>
      <c r="Q565" s="17">
        <f>IF(Items[[#This Row],[State]]&lt;&gt;"WAIT","",IFERROR(LOOKUP(2,1/((Log[ID]=Items[[#This Row],[ID]])*(Log[Verb]="block")),Log[Note])&amp;"",""))</f>
      </c>
      <c r="R565" s="17">
        <f>IF(Items[[#This Row],[ID]]="","",COUNTIFS(Log[ID],Items[[#This Row],[ID]],Log[Verb],"carry"))</f>
      </c>
      <c r="S565" s="17">
        <f>IF(Items[[#This Row],[ID]]="","",COUNTIFS(Log[ID],Items[[#This Row],[ID]],Log[Verb],"punt"))</f>
      </c>
      <c r="T565" s="11">
        <f>IF(Items[[#This Row],[State]]&lt;&gt;"DONE","",IFERROR(LOOKUP(2,1/((Log[ID]=Items[[#This Row],[ID]])*(Log[Verb]="done")),Log[Date]),""))</f>
      </c>
      <c r="U565" s="17">
        <f>IF(Items[[#This Row],[ID]]="","",IF(AND(Items[[#This Row],[Sprint]]=CurSprint,OR(Items[[#This Row],[State]]="OPEN",Items[[#This Row],[State]]="WAIT",Items[[#This Row],[State]]="HOLD",Items[[#This Row],[State]]="DONE")),1,0))</f>
      </c>
      <c r="V565" s="17">
        <f>IF(OR(Items[[#This Row],[ID]]="",Items[[#This Row],[Added]]=""),"",AsOf-Items[[#This Row],[Added]])</f>
      </c>
      <c r="W565" s="17">
        <f>IF(Items[[#This Row],[In sprint]]=1,(IF(Items[[#This Row],[Prio]]="",9,N(Items[[#This Row],[Prio]]))*10+(IF(Items[[#This Row],[State]]="DONE",1,0)))*100000+ROW(),"")</f>
      </c>
      <c r="X56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65" s="17">
        <f>IF(AND(Items[[#This Row],[State]]="DONE",N(Items[[#This Row],[Done on]])&gt;AsOf-7),(200000-N(Items[[#This Row],[Done on]]))*100000+ROW(),"")</f>
      </c>
    </row>
    <row r="566">
      <c r="A566" t="s">
        <v>731</v>
      </c>
      <c r="B566" t="s">
        <v>1787</v>
      </c>
      <c r="C566" t="s">
        <v>1107</v>
      </c>
      <c r="D566" t="s">
        <v>1123</v>
      </c>
      <c r="E566" t="s">
        <v>1159</v>
      </c>
      <c r="F566" t="s">
        <v>1207</v>
      </c>
      <c r="G566">
        <v>8</v>
      </c>
      <c r="H566">
        <v>1</v>
      </c>
      <c r="I566" s="11">
        <v>46189</v>
      </c>
      <c r="J566" s="17">
        <f>IF(Items[[#This Row],[ID]]="","",IFERROR(VALUE(LOOKUP(2,1/((Log[ID]=Items[[#This Row],[ID]])*(Log[Verb]="est")),Log[Arg])),N(Items[[#This Row],[Points]])))</f>
      </c>
      <c r="K566" s="17">
        <f>IF(Items[[#This Row],[ID]]="","",IFERROR(LOOKUP(2,1/((Log[ID]=Items[[#This Row],[ID]])*(Log[Verb]="pass")),Log[Arg])&amp;"",Items[[#This Row],[Team]]&amp;""))</f>
      </c>
      <c r="L566" s="17">
        <f>IF(Items[[#This Row],[ID]]="","",IFERROR(LOOKUP(2,1/((Log[ID]=Items[[#This Row],[ID]])*(Log[Into]&lt;&gt;"")),Log[Into]),""))</f>
      </c>
      <c r="M566" s="17">
        <f>IF(Items[[#This Row],[ID]]="","",IF(IFERROR(LOOKUP(2,1/((Log[ID]=Items[[#This Row],[ID]])*(Log[Blk]&lt;&gt;"")),Log[Blk]),0)=1,"Y",""))</f>
      </c>
      <c r="N566" s="17">
        <f>IF(Items[[#This Row],[ID]]="","",SUBSTITUTE(IFERROR(LOOKUP(2,1/((Log[ID]=Items[[#This Row],[ID]])*(Log[State]&lt;&gt;"")),Log[State]),"TODO"),"OPEN",IF(Items[[#This Row],[Blocked]]="Y","WAIT","OPEN")))</f>
      </c>
      <c r="O56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66" s="17">
        <f>IF(Items[[#This Row],[State]]&lt;&gt;"WAIT","",AsOf-Items[[#This Row],[Blocked since]])</f>
      </c>
      <c r="Q566" s="17">
        <f>IF(Items[[#This Row],[State]]&lt;&gt;"WAIT","",IFERROR(LOOKUP(2,1/((Log[ID]=Items[[#This Row],[ID]])*(Log[Verb]="block")),Log[Note])&amp;"",""))</f>
      </c>
      <c r="R566" s="17">
        <f>IF(Items[[#This Row],[ID]]="","",COUNTIFS(Log[ID],Items[[#This Row],[ID]],Log[Verb],"carry"))</f>
      </c>
      <c r="S566" s="17">
        <f>IF(Items[[#This Row],[ID]]="","",COUNTIFS(Log[ID],Items[[#This Row],[ID]],Log[Verb],"punt"))</f>
      </c>
      <c r="T566" s="11">
        <f>IF(Items[[#This Row],[State]]&lt;&gt;"DONE","",IFERROR(LOOKUP(2,1/((Log[ID]=Items[[#This Row],[ID]])*(Log[Verb]="done")),Log[Date]),""))</f>
      </c>
      <c r="U566" s="17">
        <f>IF(Items[[#This Row],[ID]]="","",IF(AND(Items[[#This Row],[Sprint]]=CurSprint,OR(Items[[#This Row],[State]]="OPEN",Items[[#This Row],[State]]="WAIT",Items[[#This Row],[State]]="HOLD",Items[[#This Row],[State]]="DONE")),1,0))</f>
      </c>
      <c r="V566" s="17">
        <f>IF(OR(Items[[#This Row],[ID]]="",Items[[#This Row],[Added]]=""),"",AsOf-Items[[#This Row],[Added]])</f>
      </c>
      <c r="W566" s="17">
        <f>IF(Items[[#This Row],[In sprint]]=1,(IF(Items[[#This Row],[Prio]]="",9,N(Items[[#This Row],[Prio]]))*10+(IF(Items[[#This Row],[State]]="DONE",1,0)))*100000+ROW(),"")</f>
      </c>
      <c r="X56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66" s="17">
        <f>IF(AND(Items[[#This Row],[State]]="DONE",N(Items[[#This Row],[Done on]])&gt;AsOf-7),(200000-N(Items[[#This Row],[Done on]]))*100000+ROW(),"")</f>
      </c>
    </row>
    <row r="567">
      <c r="A567" t="s">
        <v>732</v>
      </c>
      <c r="B567" t="s">
        <v>1788</v>
      </c>
      <c r="C567" t="s">
        <v>1115</v>
      </c>
      <c r="D567" t="s">
        <v>1116</v>
      </c>
      <c r="E567" t="s">
        <v>1159</v>
      </c>
      <c r="F567" t="s">
        <v>1439</v>
      </c>
      <c r="G567">
        <v>8</v>
      </c>
      <c r="H567">
        <v>2</v>
      </c>
      <c r="I567" s="11">
        <v>46189</v>
      </c>
      <c r="J567" s="17">
        <f>IF(Items[[#This Row],[ID]]="","",IFERROR(VALUE(LOOKUP(2,1/((Log[ID]=Items[[#This Row],[ID]])*(Log[Verb]="est")),Log[Arg])),N(Items[[#This Row],[Points]])))</f>
      </c>
      <c r="K567" s="17">
        <f>IF(Items[[#This Row],[ID]]="","",IFERROR(LOOKUP(2,1/((Log[ID]=Items[[#This Row],[ID]])*(Log[Verb]="pass")),Log[Arg])&amp;"",Items[[#This Row],[Team]]&amp;""))</f>
      </c>
      <c r="L567" s="17">
        <f>IF(Items[[#This Row],[ID]]="","",IFERROR(LOOKUP(2,1/((Log[ID]=Items[[#This Row],[ID]])*(Log[Into]&lt;&gt;"")),Log[Into]),""))</f>
      </c>
      <c r="M567" s="17">
        <f>IF(Items[[#This Row],[ID]]="","",IF(IFERROR(LOOKUP(2,1/((Log[ID]=Items[[#This Row],[ID]])*(Log[Blk]&lt;&gt;"")),Log[Blk]),0)=1,"Y",""))</f>
      </c>
      <c r="N567" s="17">
        <f>IF(Items[[#This Row],[ID]]="","",SUBSTITUTE(IFERROR(LOOKUP(2,1/((Log[ID]=Items[[#This Row],[ID]])*(Log[State]&lt;&gt;"")),Log[State]),"TODO"),"OPEN",IF(Items[[#This Row],[Blocked]]="Y","WAIT","OPEN")))</f>
      </c>
      <c r="O56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67" s="17">
        <f>IF(Items[[#This Row],[State]]&lt;&gt;"WAIT","",AsOf-Items[[#This Row],[Blocked since]])</f>
      </c>
      <c r="Q567" s="17">
        <f>IF(Items[[#This Row],[State]]&lt;&gt;"WAIT","",IFERROR(LOOKUP(2,1/((Log[ID]=Items[[#This Row],[ID]])*(Log[Verb]="block")),Log[Note])&amp;"",""))</f>
      </c>
      <c r="R567" s="17">
        <f>IF(Items[[#This Row],[ID]]="","",COUNTIFS(Log[ID],Items[[#This Row],[ID]],Log[Verb],"carry"))</f>
      </c>
      <c r="S567" s="17">
        <f>IF(Items[[#This Row],[ID]]="","",COUNTIFS(Log[ID],Items[[#This Row],[ID]],Log[Verb],"punt"))</f>
      </c>
      <c r="T567" s="11">
        <f>IF(Items[[#This Row],[State]]&lt;&gt;"DONE","",IFERROR(LOOKUP(2,1/((Log[ID]=Items[[#This Row],[ID]])*(Log[Verb]="done")),Log[Date]),""))</f>
      </c>
      <c r="U567" s="17">
        <f>IF(Items[[#This Row],[ID]]="","",IF(AND(Items[[#This Row],[Sprint]]=CurSprint,OR(Items[[#This Row],[State]]="OPEN",Items[[#This Row],[State]]="WAIT",Items[[#This Row],[State]]="HOLD",Items[[#This Row],[State]]="DONE")),1,0))</f>
      </c>
      <c r="V567" s="17">
        <f>IF(OR(Items[[#This Row],[ID]]="",Items[[#This Row],[Added]]=""),"",AsOf-Items[[#This Row],[Added]])</f>
      </c>
      <c r="W567" s="17">
        <f>IF(Items[[#This Row],[In sprint]]=1,(IF(Items[[#This Row],[Prio]]="",9,N(Items[[#This Row],[Prio]]))*10+(IF(Items[[#This Row],[State]]="DONE",1,0)))*100000+ROW(),"")</f>
      </c>
      <c r="X56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67" s="17">
        <f>IF(AND(Items[[#This Row],[State]]="DONE",N(Items[[#This Row],[Done on]])&gt;AsOf-7),(200000-N(Items[[#This Row],[Done on]]))*100000+ROW(),"")</f>
      </c>
    </row>
    <row r="568">
      <c r="A568" t="s">
        <v>775</v>
      </c>
      <c r="B568" t="s">
        <v>1789</v>
      </c>
      <c r="C568" t="s">
        <v>1115</v>
      </c>
      <c r="D568" t="s">
        <v>1119</v>
      </c>
      <c r="E568" t="s">
        <v>1159</v>
      </c>
      <c r="F568" t="s">
        <v>1160</v>
      </c>
      <c r="G568">
        <v>8</v>
      </c>
      <c r="H568">
        <v>1</v>
      </c>
      <c r="I568" s="11">
        <v>46189</v>
      </c>
      <c r="J568" s="17">
        <f>IF(Items[[#This Row],[ID]]="","",IFERROR(VALUE(LOOKUP(2,1/((Log[ID]=Items[[#This Row],[ID]])*(Log[Verb]="est")),Log[Arg])),N(Items[[#This Row],[Points]])))</f>
      </c>
      <c r="K568" s="17">
        <f>IF(Items[[#This Row],[ID]]="","",IFERROR(LOOKUP(2,1/((Log[ID]=Items[[#This Row],[ID]])*(Log[Verb]="pass")),Log[Arg])&amp;"",Items[[#This Row],[Team]]&amp;""))</f>
      </c>
      <c r="L568" s="17">
        <f>IF(Items[[#This Row],[ID]]="","",IFERROR(LOOKUP(2,1/((Log[ID]=Items[[#This Row],[ID]])*(Log[Into]&lt;&gt;"")),Log[Into]),""))</f>
      </c>
      <c r="M568" s="17">
        <f>IF(Items[[#This Row],[ID]]="","",IF(IFERROR(LOOKUP(2,1/((Log[ID]=Items[[#This Row],[ID]])*(Log[Blk]&lt;&gt;"")),Log[Blk]),0)=1,"Y",""))</f>
      </c>
      <c r="N568" s="17">
        <f>IF(Items[[#This Row],[ID]]="","",SUBSTITUTE(IFERROR(LOOKUP(2,1/((Log[ID]=Items[[#This Row],[ID]])*(Log[State]&lt;&gt;"")),Log[State]),"TODO"),"OPEN",IF(Items[[#This Row],[Blocked]]="Y","WAIT","OPEN")))</f>
      </c>
      <c r="O56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68" s="17">
        <f>IF(Items[[#This Row],[State]]&lt;&gt;"WAIT","",AsOf-Items[[#This Row],[Blocked since]])</f>
      </c>
      <c r="Q568" s="17">
        <f>IF(Items[[#This Row],[State]]&lt;&gt;"WAIT","",IFERROR(LOOKUP(2,1/((Log[ID]=Items[[#This Row],[ID]])*(Log[Verb]="block")),Log[Note])&amp;"",""))</f>
      </c>
      <c r="R568" s="17">
        <f>IF(Items[[#This Row],[ID]]="","",COUNTIFS(Log[ID],Items[[#This Row],[ID]],Log[Verb],"carry"))</f>
      </c>
      <c r="S568" s="17">
        <f>IF(Items[[#This Row],[ID]]="","",COUNTIFS(Log[ID],Items[[#This Row],[ID]],Log[Verb],"punt"))</f>
      </c>
      <c r="T568" s="11">
        <f>IF(Items[[#This Row],[State]]&lt;&gt;"DONE","",IFERROR(LOOKUP(2,1/((Log[ID]=Items[[#This Row],[ID]])*(Log[Verb]="done")),Log[Date]),""))</f>
      </c>
      <c r="U568" s="17">
        <f>IF(Items[[#This Row],[ID]]="","",IF(AND(Items[[#This Row],[Sprint]]=CurSprint,OR(Items[[#This Row],[State]]="OPEN",Items[[#This Row],[State]]="WAIT",Items[[#This Row],[State]]="HOLD",Items[[#This Row],[State]]="DONE")),1,0))</f>
      </c>
      <c r="V568" s="17">
        <f>IF(OR(Items[[#This Row],[ID]]="",Items[[#This Row],[Added]]=""),"",AsOf-Items[[#This Row],[Added]])</f>
      </c>
      <c r="W568" s="17">
        <f>IF(Items[[#This Row],[In sprint]]=1,(IF(Items[[#This Row],[Prio]]="",9,N(Items[[#This Row],[Prio]]))*10+(IF(Items[[#This Row],[State]]="DONE",1,0)))*100000+ROW(),"")</f>
      </c>
      <c r="X56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68" s="17">
        <f>IF(AND(Items[[#This Row],[State]]="DONE",N(Items[[#This Row],[Done on]])&gt;AsOf-7),(200000-N(Items[[#This Row],[Done on]]))*100000+ROW(),"")</f>
      </c>
    </row>
    <row r="569">
      <c r="A569" t="s">
        <v>680</v>
      </c>
      <c r="B569" t="s">
        <v>1790</v>
      </c>
      <c r="C569" t="s">
        <v>1115</v>
      </c>
      <c r="D569" t="s">
        <v>1116</v>
      </c>
      <c r="E569" t="s">
        <v>1128</v>
      </c>
      <c r="F569" t="s">
        <v>1292</v>
      </c>
      <c r="G569">
        <v>5</v>
      </c>
      <c r="H569">
        <v>2</v>
      </c>
      <c r="I569" s="11">
        <v>46189</v>
      </c>
      <c r="J569" s="17">
        <f>IF(Items[[#This Row],[ID]]="","",IFERROR(VALUE(LOOKUP(2,1/((Log[ID]=Items[[#This Row],[ID]])*(Log[Verb]="est")),Log[Arg])),N(Items[[#This Row],[Points]])))</f>
      </c>
      <c r="K569" s="17">
        <f>IF(Items[[#This Row],[ID]]="","",IFERROR(LOOKUP(2,1/((Log[ID]=Items[[#This Row],[ID]])*(Log[Verb]="pass")),Log[Arg])&amp;"",Items[[#This Row],[Team]]&amp;""))</f>
      </c>
      <c r="L569" s="17">
        <f>IF(Items[[#This Row],[ID]]="","",IFERROR(LOOKUP(2,1/((Log[ID]=Items[[#This Row],[ID]])*(Log[Into]&lt;&gt;"")),Log[Into]),""))</f>
      </c>
      <c r="M569" s="17">
        <f>IF(Items[[#This Row],[ID]]="","",IF(IFERROR(LOOKUP(2,1/((Log[ID]=Items[[#This Row],[ID]])*(Log[Blk]&lt;&gt;"")),Log[Blk]),0)=1,"Y",""))</f>
      </c>
      <c r="N569" s="17">
        <f>IF(Items[[#This Row],[ID]]="","",SUBSTITUTE(IFERROR(LOOKUP(2,1/((Log[ID]=Items[[#This Row],[ID]])*(Log[State]&lt;&gt;"")),Log[State]),"TODO"),"OPEN",IF(Items[[#This Row],[Blocked]]="Y","WAIT","OPEN")))</f>
      </c>
      <c r="O56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69" s="17">
        <f>IF(Items[[#This Row],[State]]&lt;&gt;"WAIT","",AsOf-Items[[#This Row],[Blocked since]])</f>
      </c>
      <c r="Q569" s="17">
        <f>IF(Items[[#This Row],[State]]&lt;&gt;"WAIT","",IFERROR(LOOKUP(2,1/((Log[ID]=Items[[#This Row],[ID]])*(Log[Verb]="block")),Log[Note])&amp;"",""))</f>
      </c>
      <c r="R569" s="17">
        <f>IF(Items[[#This Row],[ID]]="","",COUNTIFS(Log[ID],Items[[#This Row],[ID]],Log[Verb],"carry"))</f>
      </c>
      <c r="S569" s="17">
        <f>IF(Items[[#This Row],[ID]]="","",COUNTIFS(Log[ID],Items[[#This Row],[ID]],Log[Verb],"punt"))</f>
      </c>
      <c r="T569" s="11">
        <f>IF(Items[[#This Row],[State]]&lt;&gt;"DONE","",IFERROR(LOOKUP(2,1/((Log[ID]=Items[[#This Row],[ID]])*(Log[Verb]="done")),Log[Date]),""))</f>
      </c>
      <c r="U569" s="17">
        <f>IF(Items[[#This Row],[ID]]="","",IF(AND(Items[[#This Row],[Sprint]]=CurSprint,OR(Items[[#This Row],[State]]="OPEN",Items[[#This Row],[State]]="WAIT",Items[[#This Row],[State]]="HOLD",Items[[#This Row],[State]]="DONE")),1,0))</f>
      </c>
      <c r="V569" s="17">
        <f>IF(OR(Items[[#This Row],[ID]]="",Items[[#This Row],[Added]]=""),"",AsOf-Items[[#This Row],[Added]])</f>
      </c>
      <c r="W569" s="17">
        <f>IF(Items[[#This Row],[In sprint]]=1,(IF(Items[[#This Row],[Prio]]="",9,N(Items[[#This Row],[Prio]]))*10+(IF(Items[[#This Row],[State]]="DONE",1,0)))*100000+ROW(),"")</f>
      </c>
      <c r="X56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69" s="17">
        <f>IF(AND(Items[[#This Row],[State]]="DONE",N(Items[[#This Row],[Done on]])&gt;AsOf-7),(200000-N(Items[[#This Row],[Done on]]))*100000+ROW(),"")</f>
      </c>
    </row>
    <row r="570">
      <c r="A570" t="s">
        <v>681</v>
      </c>
      <c r="B570" t="s">
        <v>1791</v>
      </c>
      <c r="C570" t="s">
        <v>1107</v>
      </c>
      <c r="D570" t="s">
        <v>1108</v>
      </c>
      <c r="E570" t="s">
        <v>1128</v>
      </c>
      <c r="F570" t="s">
        <v>1292</v>
      </c>
      <c r="G570">
        <v>2</v>
      </c>
      <c r="H570">
        <v>3</v>
      </c>
      <c r="I570" s="11">
        <v>46189</v>
      </c>
      <c r="J570" s="17">
        <f>IF(Items[[#This Row],[ID]]="","",IFERROR(VALUE(LOOKUP(2,1/((Log[ID]=Items[[#This Row],[ID]])*(Log[Verb]="est")),Log[Arg])),N(Items[[#This Row],[Points]])))</f>
      </c>
      <c r="K570" s="17">
        <f>IF(Items[[#This Row],[ID]]="","",IFERROR(LOOKUP(2,1/((Log[ID]=Items[[#This Row],[ID]])*(Log[Verb]="pass")),Log[Arg])&amp;"",Items[[#This Row],[Team]]&amp;""))</f>
      </c>
      <c r="L570" s="17">
        <f>IF(Items[[#This Row],[ID]]="","",IFERROR(LOOKUP(2,1/((Log[ID]=Items[[#This Row],[ID]])*(Log[Into]&lt;&gt;"")),Log[Into]),""))</f>
      </c>
      <c r="M570" s="17">
        <f>IF(Items[[#This Row],[ID]]="","",IF(IFERROR(LOOKUP(2,1/((Log[ID]=Items[[#This Row],[ID]])*(Log[Blk]&lt;&gt;"")),Log[Blk]),0)=1,"Y",""))</f>
      </c>
      <c r="N570" s="17">
        <f>IF(Items[[#This Row],[ID]]="","",SUBSTITUTE(IFERROR(LOOKUP(2,1/((Log[ID]=Items[[#This Row],[ID]])*(Log[State]&lt;&gt;"")),Log[State]),"TODO"),"OPEN",IF(Items[[#This Row],[Blocked]]="Y","WAIT","OPEN")))</f>
      </c>
      <c r="O57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70" s="17">
        <f>IF(Items[[#This Row],[State]]&lt;&gt;"WAIT","",AsOf-Items[[#This Row],[Blocked since]])</f>
      </c>
      <c r="Q570" s="17">
        <f>IF(Items[[#This Row],[State]]&lt;&gt;"WAIT","",IFERROR(LOOKUP(2,1/((Log[ID]=Items[[#This Row],[ID]])*(Log[Verb]="block")),Log[Note])&amp;"",""))</f>
      </c>
      <c r="R570" s="17">
        <f>IF(Items[[#This Row],[ID]]="","",COUNTIFS(Log[ID],Items[[#This Row],[ID]],Log[Verb],"carry"))</f>
      </c>
      <c r="S570" s="17">
        <f>IF(Items[[#This Row],[ID]]="","",COUNTIFS(Log[ID],Items[[#This Row],[ID]],Log[Verb],"punt"))</f>
      </c>
      <c r="T570" s="11">
        <f>IF(Items[[#This Row],[State]]&lt;&gt;"DONE","",IFERROR(LOOKUP(2,1/((Log[ID]=Items[[#This Row],[ID]])*(Log[Verb]="done")),Log[Date]),""))</f>
      </c>
      <c r="U570" s="17">
        <f>IF(Items[[#This Row],[ID]]="","",IF(AND(Items[[#This Row],[Sprint]]=CurSprint,OR(Items[[#This Row],[State]]="OPEN",Items[[#This Row],[State]]="WAIT",Items[[#This Row],[State]]="HOLD",Items[[#This Row],[State]]="DONE")),1,0))</f>
      </c>
      <c r="V570" s="17">
        <f>IF(OR(Items[[#This Row],[ID]]="",Items[[#This Row],[Added]]=""),"",AsOf-Items[[#This Row],[Added]])</f>
      </c>
      <c r="W570" s="17">
        <f>IF(Items[[#This Row],[In sprint]]=1,(IF(Items[[#This Row],[Prio]]="",9,N(Items[[#This Row],[Prio]]))*10+(IF(Items[[#This Row],[State]]="DONE",1,0)))*100000+ROW(),"")</f>
      </c>
      <c r="X57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70" s="17">
        <f>IF(AND(Items[[#This Row],[State]]="DONE",N(Items[[#This Row],[Done on]])&gt;AsOf-7),(200000-N(Items[[#This Row],[Done on]]))*100000+ROW(),"")</f>
      </c>
    </row>
    <row r="571">
      <c r="A571" t="s">
        <v>734</v>
      </c>
      <c r="B571" t="s">
        <v>1792</v>
      </c>
      <c r="C571" t="s">
        <v>1107</v>
      </c>
      <c r="D571" t="s">
        <v>1127</v>
      </c>
      <c r="E571" t="s">
        <v>1128</v>
      </c>
      <c r="F571" t="s">
        <v>1162</v>
      </c>
      <c r="G571">
        <v>3</v>
      </c>
      <c r="H571">
        <v>2</v>
      </c>
      <c r="I571" s="11">
        <v>46189</v>
      </c>
      <c r="J571" s="17">
        <f>IF(Items[[#This Row],[ID]]="","",IFERROR(VALUE(LOOKUP(2,1/((Log[ID]=Items[[#This Row],[ID]])*(Log[Verb]="est")),Log[Arg])),N(Items[[#This Row],[Points]])))</f>
      </c>
      <c r="K571" s="17">
        <f>IF(Items[[#This Row],[ID]]="","",IFERROR(LOOKUP(2,1/((Log[ID]=Items[[#This Row],[ID]])*(Log[Verb]="pass")),Log[Arg])&amp;"",Items[[#This Row],[Team]]&amp;""))</f>
      </c>
      <c r="L571" s="17">
        <f>IF(Items[[#This Row],[ID]]="","",IFERROR(LOOKUP(2,1/((Log[ID]=Items[[#This Row],[ID]])*(Log[Into]&lt;&gt;"")),Log[Into]),""))</f>
      </c>
      <c r="M571" s="17">
        <f>IF(Items[[#This Row],[ID]]="","",IF(IFERROR(LOOKUP(2,1/((Log[ID]=Items[[#This Row],[ID]])*(Log[Blk]&lt;&gt;"")),Log[Blk]),0)=1,"Y",""))</f>
      </c>
      <c r="N571" s="17">
        <f>IF(Items[[#This Row],[ID]]="","",SUBSTITUTE(IFERROR(LOOKUP(2,1/((Log[ID]=Items[[#This Row],[ID]])*(Log[State]&lt;&gt;"")),Log[State]),"TODO"),"OPEN",IF(Items[[#This Row],[Blocked]]="Y","WAIT","OPEN")))</f>
      </c>
      <c r="O57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71" s="17">
        <f>IF(Items[[#This Row],[State]]&lt;&gt;"WAIT","",AsOf-Items[[#This Row],[Blocked since]])</f>
      </c>
      <c r="Q571" s="17">
        <f>IF(Items[[#This Row],[State]]&lt;&gt;"WAIT","",IFERROR(LOOKUP(2,1/((Log[ID]=Items[[#This Row],[ID]])*(Log[Verb]="block")),Log[Note])&amp;"",""))</f>
      </c>
      <c r="R571" s="17">
        <f>IF(Items[[#This Row],[ID]]="","",COUNTIFS(Log[ID],Items[[#This Row],[ID]],Log[Verb],"carry"))</f>
      </c>
      <c r="S571" s="17">
        <f>IF(Items[[#This Row],[ID]]="","",COUNTIFS(Log[ID],Items[[#This Row],[ID]],Log[Verb],"punt"))</f>
      </c>
      <c r="T571" s="11">
        <f>IF(Items[[#This Row],[State]]&lt;&gt;"DONE","",IFERROR(LOOKUP(2,1/((Log[ID]=Items[[#This Row],[ID]])*(Log[Verb]="done")),Log[Date]),""))</f>
      </c>
      <c r="U571" s="17">
        <f>IF(Items[[#This Row],[ID]]="","",IF(AND(Items[[#This Row],[Sprint]]=CurSprint,OR(Items[[#This Row],[State]]="OPEN",Items[[#This Row],[State]]="WAIT",Items[[#This Row],[State]]="HOLD",Items[[#This Row],[State]]="DONE")),1,0))</f>
      </c>
      <c r="V571" s="17">
        <f>IF(OR(Items[[#This Row],[ID]]="",Items[[#This Row],[Added]]=""),"",AsOf-Items[[#This Row],[Added]])</f>
      </c>
      <c r="W571" s="17">
        <f>IF(Items[[#This Row],[In sprint]]=1,(IF(Items[[#This Row],[Prio]]="",9,N(Items[[#This Row],[Prio]]))*10+(IF(Items[[#This Row],[State]]="DONE",1,0)))*100000+ROW(),"")</f>
      </c>
      <c r="X57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71" s="17">
        <f>IF(AND(Items[[#This Row],[State]]="DONE",N(Items[[#This Row],[Done on]])&gt;AsOf-7),(200000-N(Items[[#This Row],[Done on]]))*100000+ROW(),"")</f>
      </c>
    </row>
    <row r="572">
      <c r="A572" t="s">
        <v>735</v>
      </c>
      <c r="B572" t="s">
        <v>1793</v>
      </c>
      <c r="C572" t="s">
        <v>1107</v>
      </c>
      <c r="D572" t="s">
        <v>1123</v>
      </c>
      <c r="E572" t="s">
        <v>1128</v>
      </c>
      <c r="F572" t="s">
        <v>1296</v>
      </c>
      <c r="G572">
        <v>3</v>
      </c>
      <c r="H572">
        <v>3</v>
      </c>
      <c r="I572" s="11">
        <v>46189</v>
      </c>
      <c r="J572" s="17">
        <f>IF(Items[[#This Row],[ID]]="","",IFERROR(VALUE(LOOKUP(2,1/((Log[ID]=Items[[#This Row],[ID]])*(Log[Verb]="est")),Log[Arg])),N(Items[[#This Row],[Points]])))</f>
      </c>
      <c r="K572" s="17">
        <f>IF(Items[[#This Row],[ID]]="","",IFERROR(LOOKUP(2,1/((Log[ID]=Items[[#This Row],[ID]])*(Log[Verb]="pass")),Log[Arg])&amp;"",Items[[#This Row],[Team]]&amp;""))</f>
      </c>
      <c r="L572" s="17">
        <f>IF(Items[[#This Row],[ID]]="","",IFERROR(LOOKUP(2,1/((Log[ID]=Items[[#This Row],[ID]])*(Log[Into]&lt;&gt;"")),Log[Into]),""))</f>
      </c>
      <c r="M572" s="17">
        <f>IF(Items[[#This Row],[ID]]="","",IF(IFERROR(LOOKUP(2,1/((Log[ID]=Items[[#This Row],[ID]])*(Log[Blk]&lt;&gt;"")),Log[Blk]),0)=1,"Y",""))</f>
      </c>
      <c r="N572" s="17">
        <f>IF(Items[[#This Row],[ID]]="","",SUBSTITUTE(IFERROR(LOOKUP(2,1/((Log[ID]=Items[[#This Row],[ID]])*(Log[State]&lt;&gt;"")),Log[State]),"TODO"),"OPEN",IF(Items[[#This Row],[Blocked]]="Y","WAIT","OPEN")))</f>
      </c>
      <c r="O57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72" s="17">
        <f>IF(Items[[#This Row],[State]]&lt;&gt;"WAIT","",AsOf-Items[[#This Row],[Blocked since]])</f>
      </c>
      <c r="Q572" s="17">
        <f>IF(Items[[#This Row],[State]]&lt;&gt;"WAIT","",IFERROR(LOOKUP(2,1/((Log[ID]=Items[[#This Row],[ID]])*(Log[Verb]="block")),Log[Note])&amp;"",""))</f>
      </c>
      <c r="R572" s="17">
        <f>IF(Items[[#This Row],[ID]]="","",COUNTIFS(Log[ID],Items[[#This Row],[ID]],Log[Verb],"carry"))</f>
      </c>
      <c r="S572" s="17">
        <f>IF(Items[[#This Row],[ID]]="","",COUNTIFS(Log[ID],Items[[#This Row],[ID]],Log[Verb],"punt"))</f>
      </c>
      <c r="T572" s="11">
        <f>IF(Items[[#This Row],[State]]&lt;&gt;"DONE","",IFERROR(LOOKUP(2,1/((Log[ID]=Items[[#This Row],[ID]])*(Log[Verb]="done")),Log[Date]),""))</f>
      </c>
      <c r="U572" s="17">
        <f>IF(Items[[#This Row],[ID]]="","",IF(AND(Items[[#This Row],[Sprint]]=CurSprint,OR(Items[[#This Row],[State]]="OPEN",Items[[#This Row],[State]]="WAIT",Items[[#This Row],[State]]="HOLD",Items[[#This Row],[State]]="DONE")),1,0))</f>
      </c>
      <c r="V572" s="17">
        <f>IF(OR(Items[[#This Row],[ID]]="",Items[[#This Row],[Added]]=""),"",AsOf-Items[[#This Row],[Added]])</f>
      </c>
      <c r="W572" s="17">
        <f>IF(Items[[#This Row],[In sprint]]=1,(IF(Items[[#This Row],[Prio]]="",9,N(Items[[#This Row],[Prio]]))*10+(IF(Items[[#This Row],[State]]="DONE",1,0)))*100000+ROW(),"")</f>
      </c>
      <c r="X57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72" s="17">
        <f>IF(AND(Items[[#This Row],[State]]="DONE",N(Items[[#This Row],[Done on]])&gt;AsOf-7),(200000-N(Items[[#This Row],[Done on]]))*100000+ROW(),"")</f>
      </c>
    </row>
    <row r="573">
      <c r="A573" t="s">
        <v>736</v>
      </c>
      <c r="B573" t="s">
        <v>1794</v>
      </c>
      <c r="C573" t="s">
        <v>1115</v>
      </c>
      <c r="D573" t="s">
        <v>1119</v>
      </c>
      <c r="E573" t="s">
        <v>1128</v>
      </c>
      <c r="F573" t="s">
        <v>1162</v>
      </c>
      <c r="G573">
        <v>5</v>
      </c>
      <c r="H573">
        <v>1</v>
      </c>
      <c r="I573" s="11">
        <v>46189</v>
      </c>
      <c r="J573" s="17">
        <f>IF(Items[[#This Row],[ID]]="","",IFERROR(VALUE(LOOKUP(2,1/((Log[ID]=Items[[#This Row],[ID]])*(Log[Verb]="est")),Log[Arg])),N(Items[[#This Row],[Points]])))</f>
      </c>
      <c r="K573" s="17">
        <f>IF(Items[[#This Row],[ID]]="","",IFERROR(LOOKUP(2,1/((Log[ID]=Items[[#This Row],[ID]])*(Log[Verb]="pass")),Log[Arg])&amp;"",Items[[#This Row],[Team]]&amp;""))</f>
      </c>
      <c r="L573" s="17">
        <f>IF(Items[[#This Row],[ID]]="","",IFERROR(LOOKUP(2,1/((Log[ID]=Items[[#This Row],[ID]])*(Log[Into]&lt;&gt;"")),Log[Into]),""))</f>
      </c>
      <c r="M573" s="17">
        <f>IF(Items[[#This Row],[ID]]="","",IF(IFERROR(LOOKUP(2,1/((Log[ID]=Items[[#This Row],[ID]])*(Log[Blk]&lt;&gt;"")),Log[Blk]),0)=1,"Y",""))</f>
      </c>
      <c r="N573" s="17">
        <f>IF(Items[[#This Row],[ID]]="","",SUBSTITUTE(IFERROR(LOOKUP(2,1/((Log[ID]=Items[[#This Row],[ID]])*(Log[State]&lt;&gt;"")),Log[State]),"TODO"),"OPEN",IF(Items[[#This Row],[Blocked]]="Y","WAIT","OPEN")))</f>
      </c>
      <c r="O57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73" s="17">
        <f>IF(Items[[#This Row],[State]]&lt;&gt;"WAIT","",AsOf-Items[[#This Row],[Blocked since]])</f>
      </c>
      <c r="Q573" s="17">
        <f>IF(Items[[#This Row],[State]]&lt;&gt;"WAIT","",IFERROR(LOOKUP(2,1/((Log[ID]=Items[[#This Row],[ID]])*(Log[Verb]="block")),Log[Note])&amp;"",""))</f>
      </c>
      <c r="R573" s="17">
        <f>IF(Items[[#This Row],[ID]]="","",COUNTIFS(Log[ID],Items[[#This Row],[ID]],Log[Verb],"carry"))</f>
      </c>
      <c r="S573" s="17">
        <f>IF(Items[[#This Row],[ID]]="","",COUNTIFS(Log[ID],Items[[#This Row],[ID]],Log[Verb],"punt"))</f>
      </c>
      <c r="T573" s="11">
        <f>IF(Items[[#This Row],[State]]&lt;&gt;"DONE","",IFERROR(LOOKUP(2,1/((Log[ID]=Items[[#This Row],[ID]])*(Log[Verb]="done")),Log[Date]),""))</f>
      </c>
      <c r="U573" s="17">
        <f>IF(Items[[#This Row],[ID]]="","",IF(AND(Items[[#This Row],[Sprint]]=CurSprint,OR(Items[[#This Row],[State]]="OPEN",Items[[#This Row],[State]]="WAIT",Items[[#This Row],[State]]="HOLD",Items[[#This Row],[State]]="DONE")),1,0))</f>
      </c>
      <c r="V573" s="17">
        <f>IF(OR(Items[[#This Row],[ID]]="",Items[[#This Row],[Added]]=""),"",AsOf-Items[[#This Row],[Added]])</f>
      </c>
      <c r="W573" s="17">
        <f>IF(Items[[#This Row],[In sprint]]=1,(IF(Items[[#This Row],[Prio]]="",9,N(Items[[#This Row],[Prio]]))*10+(IF(Items[[#This Row],[State]]="DONE",1,0)))*100000+ROW(),"")</f>
      </c>
      <c r="X57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73" s="17">
        <f>IF(AND(Items[[#This Row],[State]]="DONE",N(Items[[#This Row],[Done on]])&gt;AsOf-7),(200000-N(Items[[#This Row],[Done on]]))*100000+ROW(),"")</f>
      </c>
    </row>
    <row r="574">
      <c r="A574" t="s">
        <v>737</v>
      </c>
      <c r="B574" t="s">
        <v>1795</v>
      </c>
      <c r="C574" t="s">
        <v>1115</v>
      </c>
      <c r="D574" t="s">
        <v>1119</v>
      </c>
      <c r="E574" t="s">
        <v>1128</v>
      </c>
      <c r="F574" t="s">
        <v>1162</v>
      </c>
      <c r="G574">
        <v>2</v>
      </c>
      <c r="H574">
        <v>2</v>
      </c>
      <c r="I574" s="11">
        <v>46189</v>
      </c>
      <c r="J574" s="17">
        <f>IF(Items[[#This Row],[ID]]="","",IFERROR(VALUE(LOOKUP(2,1/((Log[ID]=Items[[#This Row],[ID]])*(Log[Verb]="est")),Log[Arg])),N(Items[[#This Row],[Points]])))</f>
      </c>
      <c r="K574" s="17">
        <f>IF(Items[[#This Row],[ID]]="","",IFERROR(LOOKUP(2,1/((Log[ID]=Items[[#This Row],[ID]])*(Log[Verb]="pass")),Log[Arg])&amp;"",Items[[#This Row],[Team]]&amp;""))</f>
      </c>
      <c r="L574" s="17">
        <f>IF(Items[[#This Row],[ID]]="","",IFERROR(LOOKUP(2,1/((Log[ID]=Items[[#This Row],[ID]])*(Log[Into]&lt;&gt;"")),Log[Into]),""))</f>
      </c>
      <c r="M574" s="17">
        <f>IF(Items[[#This Row],[ID]]="","",IF(IFERROR(LOOKUP(2,1/((Log[ID]=Items[[#This Row],[ID]])*(Log[Blk]&lt;&gt;"")),Log[Blk]),0)=1,"Y",""))</f>
      </c>
      <c r="N574" s="17">
        <f>IF(Items[[#This Row],[ID]]="","",SUBSTITUTE(IFERROR(LOOKUP(2,1/((Log[ID]=Items[[#This Row],[ID]])*(Log[State]&lt;&gt;"")),Log[State]),"TODO"),"OPEN",IF(Items[[#This Row],[Blocked]]="Y","WAIT","OPEN")))</f>
      </c>
      <c r="O57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74" s="17">
        <f>IF(Items[[#This Row],[State]]&lt;&gt;"WAIT","",AsOf-Items[[#This Row],[Blocked since]])</f>
      </c>
      <c r="Q574" s="17">
        <f>IF(Items[[#This Row],[State]]&lt;&gt;"WAIT","",IFERROR(LOOKUP(2,1/((Log[ID]=Items[[#This Row],[ID]])*(Log[Verb]="block")),Log[Note])&amp;"",""))</f>
      </c>
      <c r="R574" s="17">
        <f>IF(Items[[#This Row],[ID]]="","",COUNTIFS(Log[ID],Items[[#This Row],[ID]],Log[Verb],"carry"))</f>
      </c>
      <c r="S574" s="17">
        <f>IF(Items[[#This Row],[ID]]="","",COUNTIFS(Log[ID],Items[[#This Row],[ID]],Log[Verb],"punt"))</f>
      </c>
      <c r="T574" s="11">
        <f>IF(Items[[#This Row],[State]]&lt;&gt;"DONE","",IFERROR(LOOKUP(2,1/((Log[ID]=Items[[#This Row],[ID]])*(Log[Verb]="done")),Log[Date]),""))</f>
      </c>
      <c r="U574" s="17">
        <f>IF(Items[[#This Row],[ID]]="","",IF(AND(Items[[#This Row],[Sprint]]=CurSprint,OR(Items[[#This Row],[State]]="OPEN",Items[[#This Row],[State]]="WAIT",Items[[#This Row],[State]]="HOLD",Items[[#This Row],[State]]="DONE")),1,0))</f>
      </c>
      <c r="V574" s="17">
        <f>IF(OR(Items[[#This Row],[ID]]="",Items[[#This Row],[Added]]=""),"",AsOf-Items[[#This Row],[Added]])</f>
      </c>
      <c r="W574" s="17">
        <f>IF(Items[[#This Row],[In sprint]]=1,(IF(Items[[#This Row],[Prio]]="",9,N(Items[[#This Row],[Prio]]))*10+(IF(Items[[#This Row],[State]]="DONE",1,0)))*100000+ROW(),"")</f>
      </c>
      <c r="X57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74" s="17">
        <f>IF(AND(Items[[#This Row],[State]]="DONE",N(Items[[#This Row],[Done on]])&gt;AsOf-7),(200000-N(Items[[#This Row],[Done on]]))*100000+ROW(),"")</f>
      </c>
    </row>
    <row r="575">
      <c r="A575" t="s">
        <v>738</v>
      </c>
      <c r="B575" t="s">
        <v>1796</v>
      </c>
      <c r="C575" t="s">
        <v>1107</v>
      </c>
      <c r="D575" t="s">
        <v>1127</v>
      </c>
      <c r="E575" t="s">
        <v>1128</v>
      </c>
      <c r="F575" t="s">
        <v>1296</v>
      </c>
      <c r="G575">
        <v>3</v>
      </c>
      <c r="H575">
        <v>3</v>
      </c>
      <c r="I575" s="11">
        <v>46189</v>
      </c>
      <c r="J575" s="17">
        <f>IF(Items[[#This Row],[ID]]="","",IFERROR(VALUE(LOOKUP(2,1/((Log[ID]=Items[[#This Row],[ID]])*(Log[Verb]="est")),Log[Arg])),N(Items[[#This Row],[Points]])))</f>
      </c>
      <c r="K575" s="17">
        <f>IF(Items[[#This Row],[ID]]="","",IFERROR(LOOKUP(2,1/((Log[ID]=Items[[#This Row],[ID]])*(Log[Verb]="pass")),Log[Arg])&amp;"",Items[[#This Row],[Team]]&amp;""))</f>
      </c>
      <c r="L575" s="17">
        <f>IF(Items[[#This Row],[ID]]="","",IFERROR(LOOKUP(2,1/((Log[ID]=Items[[#This Row],[ID]])*(Log[Into]&lt;&gt;"")),Log[Into]),""))</f>
      </c>
      <c r="M575" s="17">
        <f>IF(Items[[#This Row],[ID]]="","",IF(IFERROR(LOOKUP(2,1/((Log[ID]=Items[[#This Row],[ID]])*(Log[Blk]&lt;&gt;"")),Log[Blk]),0)=1,"Y",""))</f>
      </c>
      <c r="N575" s="17">
        <f>IF(Items[[#This Row],[ID]]="","",SUBSTITUTE(IFERROR(LOOKUP(2,1/((Log[ID]=Items[[#This Row],[ID]])*(Log[State]&lt;&gt;"")),Log[State]),"TODO"),"OPEN",IF(Items[[#This Row],[Blocked]]="Y","WAIT","OPEN")))</f>
      </c>
      <c r="O57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75" s="17">
        <f>IF(Items[[#This Row],[State]]&lt;&gt;"WAIT","",AsOf-Items[[#This Row],[Blocked since]])</f>
      </c>
      <c r="Q575" s="17">
        <f>IF(Items[[#This Row],[State]]&lt;&gt;"WAIT","",IFERROR(LOOKUP(2,1/((Log[ID]=Items[[#This Row],[ID]])*(Log[Verb]="block")),Log[Note])&amp;"",""))</f>
      </c>
      <c r="R575" s="17">
        <f>IF(Items[[#This Row],[ID]]="","",COUNTIFS(Log[ID],Items[[#This Row],[ID]],Log[Verb],"carry"))</f>
      </c>
      <c r="S575" s="17">
        <f>IF(Items[[#This Row],[ID]]="","",COUNTIFS(Log[ID],Items[[#This Row],[ID]],Log[Verb],"punt"))</f>
      </c>
      <c r="T575" s="11">
        <f>IF(Items[[#This Row],[State]]&lt;&gt;"DONE","",IFERROR(LOOKUP(2,1/((Log[ID]=Items[[#This Row],[ID]])*(Log[Verb]="done")),Log[Date]),""))</f>
      </c>
      <c r="U575" s="17">
        <f>IF(Items[[#This Row],[ID]]="","",IF(AND(Items[[#This Row],[Sprint]]=CurSprint,OR(Items[[#This Row],[State]]="OPEN",Items[[#This Row],[State]]="WAIT",Items[[#This Row],[State]]="HOLD",Items[[#This Row],[State]]="DONE")),1,0))</f>
      </c>
      <c r="V575" s="17">
        <f>IF(OR(Items[[#This Row],[ID]]="",Items[[#This Row],[Added]]=""),"",AsOf-Items[[#This Row],[Added]])</f>
      </c>
      <c r="W575" s="17">
        <f>IF(Items[[#This Row],[In sprint]]=1,(IF(Items[[#This Row],[Prio]]="",9,N(Items[[#This Row],[Prio]]))*10+(IF(Items[[#This Row],[State]]="DONE",1,0)))*100000+ROW(),"")</f>
      </c>
      <c r="X57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75" s="17">
        <f>IF(AND(Items[[#This Row],[State]]="DONE",N(Items[[#This Row],[Done on]])&gt;AsOf-7),(200000-N(Items[[#This Row],[Done on]]))*100000+ROW(),"")</f>
      </c>
    </row>
    <row r="576">
      <c r="A576" t="s">
        <v>739</v>
      </c>
      <c r="B576" t="s">
        <v>1797</v>
      </c>
      <c r="C576" t="s">
        <v>1107</v>
      </c>
      <c r="D576" t="s">
        <v>1108</v>
      </c>
      <c r="E576" t="s">
        <v>1128</v>
      </c>
      <c r="F576" t="s">
        <v>1360</v>
      </c>
      <c r="G576">
        <v>3</v>
      </c>
      <c r="H576">
        <v>3</v>
      </c>
      <c r="I576" s="11">
        <v>46189</v>
      </c>
      <c r="J576" s="17">
        <f>IF(Items[[#This Row],[ID]]="","",IFERROR(VALUE(LOOKUP(2,1/((Log[ID]=Items[[#This Row],[ID]])*(Log[Verb]="est")),Log[Arg])),N(Items[[#This Row],[Points]])))</f>
      </c>
      <c r="K576" s="17">
        <f>IF(Items[[#This Row],[ID]]="","",IFERROR(LOOKUP(2,1/((Log[ID]=Items[[#This Row],[ID]])*(Log[Verb]="pass")),Log[Arg])&amp;"",Items[[#This Row],[Team]]&amp;""))</f>
      </c>
      <c r="L576" s="17">
        <f>IF(Items[[#This Row],[ID]]="","",IFERROR(LOOKUP(2,1/((Log[ID]=Items[[#This Row],[ID]])*(Log[Into]&lt;&gt;"")),Log[Into]),""))</f>
      </c>
      <c r="M576" s="17">
        <f>IF(Items[[#This Row],[ID]]="","",IF(IFERROR(LOOKUP(2,1/((Log[ID]=Items[[#This Row],[ID]])*(Log[Blk]&lt;&gt;"")),Log[Blk]),0)=1,"Y",""))</f>
      </c>
      <c r="N576" s="17">
        <f>IF(Items[[#This Row],[ID]]="","",SUBSTITUTE(IFERROR(LOOKUP(2,1/((Log[ID]=Items[[#This Row],[ID]])*(Log[State]&lt;&gt;"")),Log[State]),"TODO"),"OPEN",IF(Items[[#This Row],[Blocked]]="Y","WAIT","OPEN")))</f>
      </c>
      <c r="O57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76" s="17">
        <f>IF(Items[[#This Row],[State]]&lt;&gt;"WAIT","",AsOf-Items[[#This Row],[Blocked since]])</f>
      </c>
      <c r="Q576" s="17">
        <f>IF(Items[[#This Row],[State]]&lt;&gt;"WAIT","",IFERROR(LOOKUP(2,1/((Log[ID]=Items[[#This Row],[ID]])*(Log[Verb]="block")),Log[Note])&amp;"",""))</f>
      </c>
      <c r="R576" s="17">
        <f>IF(Items[[#This Row],[ID]]="","",COUNTIFS(Log[ID],Items[[#This Row],[ID]],Log[Verb],"carry"))</f>
      </c>
      <c r="S576" s="17">
        <f>IF(Items[[#This Row],[ID]]="","",COUNTIFS(Log[ID],Items[[#This Row],[ID]],Log[Verb],"punt"))</f>
      </c>
      <c r="T576" s="11">
        <f>IF(Items[[#This Row],[State]]&lt;&gt;"DONE","",IFERROR(LOOKUP(2,1/((Log[ID]=Items[[#This Row],[ID]])*(Log[Verb]="done")),Log[Date]),""))</f>
      </c>
      <c r="U576" s="17">
        <f>IF(Items[[#This Row],[ID]]="","",IF(AND(Items[[#This Row],[Sprint]]=CurSprint,OR(Items[[#This Row],[State]]="OPEN",Items[[#This Row],[State]]="WAIT",Items[[#This Row],[State]]="HOLD",Items[[#This Row],[State]]="DONE")),1,0))</f>
      </c>
      <c r="V576" s="17">
        <f>IF(OR(Items[[#This Row],[ID]]="",Items[[#This Row],[Added]]=""),"",AsOf-Items[[#This Row],[Added]])</f>
      </c>
      <c r="W576" s="17">
        <f>IF(Items[[#This Row],[In sprint]]=1,(IF(Items[[#This Row],[Prio]]="",9,N(Items[[#This Row],[Prio]]))*10+(IF(Items[[#This Row],[State]]="DONE",1,0)))*100000+ROW(),"")</f>
      </c>
      <c r="X57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76" s="17">
        <f>IF(AND(Items[[#This Row],[State]]="DONE",N(Items[[#This Row],[Done on]])&gt;AsOf-7),(200000-N(Items[[#This Row],[Done on]]))*100000+ROW(),"")</f>
      </c>
    </row>
    <row r="577">
      <c r="A577" t="s">
        <v>740</v>
      </c>
      <c r="B577" t="s">
        <v>1798</v>
      </c>
      <c r="C577" t="s">
        <v>1115</v>
      </c>
      <c r="D577" t="s">
        <v>1119</v>
      </c>
      <c r="E577" t="s">
        <v>1128</v>
      </c>
      <c r="F577" t="s">
        <v>1292</v>
      </c>
      <c r="G577">
        <v>3</v>
      </c>
      <c r="H577">
        <v>3</v>
      </c>
      <c r="I577" s="11">
        <v>46189</v>
      </c>
      <c r="J577" s="17">
        <f>IF(Items[[#This Row],[ID]]="","",IFERROR(VALUE(LOOKUP(2,1/((Log[ID]=Items[[#This Row],[ID]])*(Log[Verb]="est")),Log[Arg])),N(Items[[#This Row],[Points]])))</f>
      </c>
      <c r="K577" s="17">
        <f>IF(Items[[#This Row],[ID]]="","",IFERROR(LOOKUP(2,1/((Log[ID]=Items[[#This Row],[ID]])*(Log[Verb]="pass")),Log[Arg])&amp;"",Items[[#This Row],[Team]]&amp;""))</f>
      </c>
      <c r="L577" s="17">
        <f>IF(Items[[#This Row],[ID]]="","",IFERROR(LOOKUP(2,1/((Log[ID]=Items[[#This Row],[ID]])*(Log[Into]&lt;&gt;"")),Log[Into]),""))</f>
      </c>
      <c r="M577" s="17">
        <f>IF(Items[[#This Row],[ID]]="","",IF(IFERROR(LOOKUP(2,1/((Log[ID]=Items[[#This Row],[ID]])*(Log[Blk]&lt;&gt;"")),Log[Blk]),0)=1,"Y",""))</f>
      </c>
      <c r="N577" s="17">
        <f>IF(Items[[#This Row],[ID]]="","",SUBSTITUTE(IFERROR(LOOKUP(2,1/((Log[ID]=Items[[#This Row],[ID]])*(Log[State]&lt;&gt;"")),Log[State]),"TODO"),"OPEN",IF(Items[[#This Row],[Blocked]]="Y","WAIT","OPEN")))</f>
      </c>
      <c r="O57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77" s="17">
        <f>IF(Items[[#This Row],[State]]&lt;&gt;"WAIT","",AsOf-Items[[#This Row],[Blocked since]])</f>
      </c>
      <c r="Q577" s="17">
        <f>IF(Items[[#This Row],[State]]&lt;&gt;"WAIT","",IFERROR(LOOKUP(2,1/((Log[ID]=Items[[#This Row],[ID]])*(Log[Verb]="block")),Log[Note])&amp;"",""))</f>
      </c>
      <c r="R577" s="17">
        <f>IF(Items[[#This Row],[ID]]="","",COUNTIFS(Log[ID],Items[[#This Row],[ID]],Log[Verb],"carry"))</f>
      </c>
      <c r="S577" s="17">
        <f>IF(Items[[#This Row],[ID]]="","",COUNTIFS(Log[ID],Items[[#This Row],[ID]],Log[Verb],"punt"))</f>
      </c>
      <c r="T577" s="11">
        <f>IF(Items[[#This Row],[State]]&lt;&gt;"DONE","",IFERROR(LOOKUP(2,1/((Log[ID]=Items[[#This Row],[ID]])*(Log[Verb]="done")),Log[Date]),""))</f>
      </c>
      <c r="U577" s="17">
        <f>IF(Items[[#This Row],[ID]]="","",IF(AND(Items[[#This Row],[Sprint]]=CurSprint,OR(Items[[#This Row],[State]]="OPEN",Items[[#This Row],[State]]="WAIT",Items[[#This Row],[State]]="HOLD",Items[[#This Row],[State]]="DONE")),1,0))</f>
      </c>
      <c r="V577" s="17">
        <f>IF(OR(Items[[#This Row],[ID]]="",Items[[#This Row],[Added]]=""),"",AsOf-Items[[#This Row],[Added]])</f>
      </c>
      <c r="W577" s="17">
        <f>IF(Items[[#This Row],[In sprint]]=1,(IF(Items[[#This Row],[Prio]]="",9,N(Items[[#This Row],[Prio]]))*10+(IF(Items[[#This Row],[State]]="DONE",1,0)))*100000+ROW(),"")</f>
      </c>
      <c r="X57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77" s="17">
        <f>IF(AND(Items[[#This Row],[State]]="DONE",N(Items[[#This Row],[Done on]])&gt;AsOf-7),(200000-N(Items[[#This Row],[Done on]]))*100000+ROW(),"")</f>
      </c>
    </row>
    <row r="578">
      <c r="A578" t="s">
        <v>741</v>
      </c>
      <c r="B578" t="s">
        <v>1799</v>
      </c>
      <c r="C578" t="s">
        <v>1115</v>
      </c>
      <c r="D578" t="s">
        <v>1119</v>
      </c>
      <c r="E578" t="s">
        <v>1128</v>
      </c>
      <c r="F578" t="s">
        <v>1294</v>
      </c>
      <c r="G578">
        <v>2</v>
      </c>
      <c r="H578">
        <v>2</v>
      </c>
      <c r="I578" s="11">
        <v>46189</v>
      </c>
      <c r="J578" s="17">
        <f>IF(Items[[#This Row],[ID]]="","",IFERROR(VALUE(LOOKUP(2,1/((Log[ID]=Items[[#This Row],[ID]])*(Log[Verb]="est")),Log[Arg])),N(Items[[#This Row],[Points]])))</f>
      </c>
      <c r="K578" s="17">
        <f>IF(Items[[#This Row],[ID]]="","",IFERROR(LOOKUP(2,1/((Log[ID]=Items[[#This Row],[ID]])*(Log[Verb]="pass")),Log[Arg])&amp;"",Items[[#This Row],[Team]]&amp;""))</f>
      </c>
      <c r="L578" s="17">
        <f>IF(Items[[#This Row],[ID]]="","",IFERROR(LOOKUP(2,1/((Log[ID]=Items[[#This Row],[ID]])*(Log[Into]&lt;&gt;"")),Log[Into]),""))</f>
      </c>
      <c r="M578" s="17">
        <f>IF(Items[[#This Row],[ID]]="","",IF(IFERROR(LOOKUP(2,1/((Log[ID]=Items[[#This Row],[ID]])*(Log[Blk]&lt;&gt;"")),Log[Blk]),0)=1,"Y",""))</f>
      </c>
      <c r="N578" s="17">
        <f>IF(Items[[#This Row],[ID]]="","",SUBSTITUTE(IFERROR(LOOKUP(2,1/((Log[ID]=Items[[#This Row],[ID]])*(Log[State]&lt;&gt;"")),Log[State]),"TODO"),"OPEN",IF(Items[[#This Row],[Blocked]]="Y","WAIT","OPEN")))</f>
      </c>
      <c r="O57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78" s="17">
        <f>IF(Items[[#This Row],[State]]&lt;&gt;"WAIT","",AsOf-Items[[#This Row],[Blocked since]])</f>
      </c>
      <c r="Q578" s="17">
        <f>IF(Items[[#This Row],[State]]&lt;&gt;"WAIT","",IFERROR(LOOKUP(2,1/((Log[ID]=Items[[#This Row],[ID]])*(Log[Verb]="block")),Log[Note])&amp;"",""))</f>
      </c>
      <c r="R578" s="17">
        <f>IF(Items[[#This Row],[ID]]="","",COUNTIFS(Log[ID],Items[[#This Row],[ID]],Log[Verb],"carry"))</f>
      </c>
      <c r="S578" s="17">
        <f>IF(Items[[#This Row],[ID]]="","",COUNTIFS(Log[ID],Items[[#This Row],[ID]],Log[Verb],"punt"))</f>
      </c>
      <c r="T578" s="11">
        <f>IF(Items[[#This Row],[State]]&lt;&gt;"DONE","",IFERROR(LOOKUP(2,1/((Log[ID]=Items[[#This Row],[ID]])*(Log[Verb]="done")),Log[Date]),""))</f>
      </c>
      <c r="U578" s="17">
        <f>IF(Items[[#This Row],[ID]]="","",IF(AND(Items[[#This Row],[Sprint]]=CurSprint,OR(Items[[#This Row],[State]]="OPEN",Items[[#This Row],[State]]="WAIT",Items[[#This Row],[State]]="HOLD",Items[[#This Row],[State]]="DONE")),1,0))</f>
      </c>
      <c r="V578" s="17">
        <f>IF(OR(Items[[#This Row],[ID]]="",Items[[#This Row],[Added]]=""),"",AsOf-Items[[#This Row],[Added]])</f>
      </c>
      <c r="W578" s="17">
        <f>IF(Items[[#This Row],[In sprint]]=1,(IF(Items[[#This Row],[Prio]]="",9,N(Items[[#This Row],[Prio]]))*10+(IF(Items[[#This Row],[State]]="DONE",1,0)))*100000+ROW(),"")</f>
      </c>
      <c r="X57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78" s="17">
        <f>IF(AND(Items[[#This Row],[State]]="DONE",N(Items[[#This Row],[Done on]])&gt;AsOf-7),(200000-N(Items[[#This Row],[Done on]]))*100000+ROW(),"")</f>
      </c>
    </row>
    <row r="579">
      <c r="A579" t="s">
        <v>742</v>
      </c>
      <c r="B579" t="s">
        <v>1800</v>
      </c>
      <c r="C579" t="s">
        <v>1107</v>
      </c>
      <c r="D579" t="s">
        <v>1127</v>
      </c>
      <c r="E579" t="s">
        <v>1128</v>
      </c>
      <c r="F579" t="s">
        <v>1129</v>
      </c>
      <c r="G579">
        <v>2</v>
      </c>
      <c r="H579">
        <v>3</v>
      </c>
      <c r="I579" s="11">
        <v>46189</v>
      </c>
      <c r="J579" s="17">
        <f>IF(Items[[#This Row],[ID]]="","",IFERROR(VALUE(LOOKUP(2,1/((Log[ID]=Items[[#This Row],[ID]])*(Log[Verb]="est")),Log[Arg])),N(Items[[#This Row],[Points]])))</f>
      </c>
      <c r="K579" s="17">
        <f>IF(Items[[#This Row],[ID]]="","",IFERROR(LOOKUP(2,1/((Log[ID]=Items[[#This Row],[ID]])*(Log[Verb]="pass")),Log[Arg])&amp;"",Items[[#This Row],[Team]]&amp;""))</f>
      </c>
      <c r="L579" s="17">
        <f>IF(Items[[#This Row],[ID]]="","",IFERROR(LOOKUP(2,1/((Log[ID]=Items[[#This Row],[ID]])*(Log[Into]&lt;&gt;"")),Log[Into]),""))</f>
      </c>
      <c r="M579" s="17">
        <f>IF(Items[[#This Row],[ID]]="","",IF(IFERROR(LOOKUP(2,1/((Log[ID]=Items[[#This Row],[ID]])*(Log[Blk]&lt;&gt;"")),Log[Blk]),0)=1,"Y",""))</f>
      </c>
      <c r="N579" s="17">
        <f>IF(Items[[#This Row],[ID]]="","",SUBSTITUTE(IFERROR(LOOKUP(2,1/((Log[ID]=Items[[#This Row],[ID]])*(Log[State]&lt;&gt;"")),Log[State]),"TODO"),"OPEN",IF(Items[[#This Row],[Blocked]]="Y","WAIT","OPEN")))</f>
      </c>
      <c r="O57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79" s="17">
        <f>IF(Items[[#This Row],[State]]&lt;&gt;"WAIT","",AsOf-Items[[#This Row],[Blocked since]])</f>
      </c>
      <c r="Q579" s="17">
        <f>IF(Items[[#This Row],[State]]&lt;&gt;"WAIT","",IFERROR(LOOKUP(2,1/((Log[ID]=Items[[#This Row],[ID]])*(Log[Verb]="block")),Log[Note])&amp;"",""))</f>
      </c>
      <c r="R579" s="17">
        <f>IF(Items[[#This Row],[ID]]="","",COUNTIFS(Log[ID],Items[[#This Row],[ID]],Log[Verb],"carry"))</f>
      </c>
      <c r="S579" s="17">
        <f>IF(Items[[#This Row],[ID]]="","",COUNTIFS(Log[ID],Items[[#This Row],[ID]],Log[Verb],"punt"))</f>
      </c>
      <c r="T579" s="11">
        <f>IF(Items[[#This Row],[State]]&lt;&gt;"DONE","",IFERROR(LOOKUP(2,1/((Log[ID]=Items[[#This Row],[ID]])*(Log[Verb]="done")),Log[Date]),""))</f>
      </c>
      <c r="U579" s="17">
        <f>IF(Items[[#This Row],[ID]]="","",IF(AND(Items[[#This Row],[Sprint]]=CurSprint,OR(Items[[#This Row],[State]]="OPEN",Items[[#This Row],[State]]="WAIT",Items[[#This Row],[State]]="HOLD",Items[[#This Row],[State]]="DONE")),1,0))</f>
      </c>
      <c r="V579" s="17">
        <f>IF(OR(Items[[#This Row],[ID]]="",Items[[#This Row],[Added]]=""),"",AsOf-Items[[#This Row],[Added]])</f>
      </c>
      <c r="W579" s="17">
        <f>IF(Items[[#This Row],[In sprint]]=1,(IF(Items[[#This Row],[Prio]]="",9,N(Items[[#This Row],[Prio]]))*10+(IF(Items[[#This Row],[State]]="DONE",1,0)))*100000+ROW(),"")</f>
      </c>
      <c r="X57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79" s="17">
        <f>IF(AND(Items[[#This Row],[State]]="DONE",N(Items[[#This Row],[Done on]])&gt;AsOf-7),(200000-N(Items[[#This Row],[Done on]]))*100000+ROW(),"")</f>
      </c>
    </row>
    <row r="580">
      <c r="A580" t="s">
        <v>743</v>
      </c>
      <c r="B580" t="s">
        <v>1801</v>
      </c>
      <c r="C580" t="s">
        <v>1107</v>
      </c>
      <c r="D580" t="s">
        <v>1108</v>
      </c>
      <c r="E580" t="s">
        <v>1128</v>
      </c>
      <c r="F580" t="s">
        <v>1366</v>
      </c>
      <c r="G580">
        <v>2</v>
      </c>
      <c r="H580">
        <v>3</v>
      </c>
      <c r="I580" s="11">
        <v>46189</v>
      </c>
      <c r="J580" s="17">
        <f>IF(Items[[#This Row],[ID]]="","",IFERROR(VALUE(LOOKUP(2,1/((Log[ID]=Items[[#This Row],[ID]])*(Log[Verb]="est")),Log[Arg])),N(Items[[#This Row],[Points]])))</f>
      </c>
      <c r="K580" s="17">
        <f>IF(Items[[#This Row],[ID]]="","",IFERROR(LOOKUP(2,1/((Log[ID]=Items[[#This Row],[ID]])*(Log[Verb]="pass")),Log[Arg])&amp;"",Items[[#This Row],[Team]]&amp;""))</f>
      </c>
      <c r="L580" s="17">
        <f>IF(Items[[#This Row],[ID]]="","",IFERROR(LOOKUP(2,1/((Log[ID]=Items[[#This Row],[ID]])*(Log[Into]&lt;&gt;"")),Log[Into]),""))</f>
      </c>
      <c r="M580" s="17">
        <f>IF(Items[[#This Row],[ID]]="","",IF(IFERROR(LOOKUP(2,1/((Log[ID]=Items[[#This Row],[ID]])*(Log[Blk]&lt;&gt;"")),Log[Blk]),0)=1,"Y",""))</f>
      </c>
      <c r="N580" s="17">
        <f>IF(Items[[#This Row],[ID]]="","",SUBSTITUTE(IFERROR(LOOKUP(2,1/((Log[ID]=Items[[#This Row],[ID]])*(Log[State]&lt;&gt;"")),Log[State]),"TODO"),"OPEN",IF(Items[[#This Row],[Blocked]]="Y","WAIT","OPEN")))</f>
      </c>
      <c r="O58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80" s="17">
        <f>IF(Items[[#This Row],[State]]&lt;&gt;"WAIT","",AsOf-Items[[#This Row],[Blocked since]])</f>
      </c>
      <c r="Q580" s="17">
        <f>IF(Items[[#This Row],[State]]&lt;&gt;"WAIT","",IFERROR(LOOKUP(2,1/((Log[ID]=Items[[#This Row],[ID]])*(Log[Verb]="block")),Log[Note])&amp;"",""))</f>
      </c>
      <c r="R580" s="17">
        <f>IF(Items[[#This Row],[ID]]="","",COUNTIFS(Log[ID],Items[[#This Row],[ID]],Log[Verb],"carry"))</f>
      </c>
      <c r="S580" s="17">
        <f>IF(Items[[#This Row],[ID]]="","",COUNTIFS(Log[ID],Items[[#This Row],[ID]],Log[Verb],"punt"))</f>
      </c>
      <c r="T580" s="11">
        <f>IF(Items[[#This Row],[State]]&lt;&gt;"DONE","",IFERROR(LOOKUP(2,1/((Log[ID]=Items[[#This Row],[ID]])*(Log[Verb]="done")),Log[Date]),""))</f>
      </c>
      <c r="U580" s="17">
        <f>IF(Items[[#This Row],[ID]]="","",IF(AND(Items[[#This Row],[Sprint]]=CurSprint,OR(Items[[#This Row],[State]]="OPEN",Items[[#This Row],[State]]="WAIT",Items[[#This Row],[State]]="HOLD",Items[[#This Row],[State]]="DONE")),1,0))</f>
      </c>
      <c r="V580" s="17">
        <f>IF(OR(Items[[#This Row],[ID]]="",Items[[#This Row],[Added]]=""),"",AsOf-Items[[#This Row],[Added]])</f>
      </c>
      <c r="W580" s="17">
        <f>IF(Items[[#This Row],[In sprint]]=1,(IF(Items[[#This Row],[Prio]]="",9,N(Items[[#This Row],[Prio]]))*10+(IF(Items[[#This Row],[State]]="DONE",1,0)))*100000+ROW(),"")</f>
      </c>
      <c r="X58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80" s="17">
        <f>IF(AND(Items[[#This Row],[State]]="DONE",N(Items[[#This Row],[Done on]])&gt;AsOf-7),(200000-N(Items[[#This Row],[Done on]]))*100000+ROW(),"")</f>
      </c>
    </row>
    <row r="581">
      <c r="A581" t="s">
        <v>748</v>
      </c>
      <c r="B581" t="s">
        <v>1802</v>
      </c>
      <c r="C581" t="s">
        <v>1107</v>
      </c>
      <c r="D581" t="s">
        <v>1108</v>
      </c>
      <c r="E581" t="s">
        <v>1109</v>
      </c>
      <c r="F581" t="s">
        <v>1300</v>
      </c>
      <c r="G581">
        <v>8</v>
      </c>
      <c r="H581">
        <v>2</v>
      </c>
      <c r="I581" s="11">
        <v>46189</v>
      </c>
      <c r="J581" s="17">
        <f>IF(Items[[#This Row],[ID]]="","",IFERROR(VALUE(LOOKUP(2,1/((Log[ID]=Items[[#This Row],[ID]])*(Log[Verb]="est")),Log[Arg])),N(Items[[#This Row],[Points]])))</f>
      </c>
      <c r="K581" s="17">
        <f>IF(Items[[#This Row],[ID]]="","",IFERROR(LOOKUP(2,1/((Log[ID]=Items[[#This Row],[ID]])*(Log[Verb]="pass")),Log[Arg])&amp;"",Items[[#This Row],[Team]]&amp;""))</f>
      </c>
      <c r="L581" s="17">
        <f>IF(Items[[#This Row],[ID]]="","",IFERROR(LOOKUP(2,1/((Log[ID]=Items[[#This Row],[ID]])*(Log[Into]&lt;&gt;"")),Log[Into]),""))</f>
      </c>
      <c r="M581" s="17">
        <f>IF(Items[[#This Row],[ID]]="","",IF(IFERROR(LOOKUP(2,1/((Log[ID]=Items[[#This Row],[ID]])*(Log[Blk]&lt;&gt;"")),Log[Blk]),0)=1,"Y",""))</f>
      </c>
      <c r="N581" s="17">
        <f>IF(Items[[#This Row],[ID]]="","",SUBSTITUTE(IFERROR(LOOKUP(2,1/((Log[ID]=Items[[#This Row],[ID]])*(Log[State]&lt;&gt;"")),Log[State]),"TODO"),"OPEN",IF(Items[[#This Row],[Blocked]]="Y","WAIT","OPEN")))</f>
      </c>
      <c r="O58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81" s="17">
        <f>IF(Items[[#This Row],[State]]&lt;&gt;"WAIT","",AsOf-Items[[#This Row],[Blocked since]])</f>
      </c>
      <c r="Q581" s="17">
        <f>IF(Items[[#This Row],[State]]&lt;&gt;"WAIT","",IFERROR(LOOKUP(2,1/((Log[ID]=Items[[#This Row],[ID]])*(Log[Verb]="block")),Log[Note])&amp;"",""))</f>
      </c>
      <c r="R581" s="17">
        <f>IF(Items[[#This Row],[ID]]="","",COUNTIFS(Log[ID],Items[[#This Row],[ID]],Log[Verb],"carry"))</f>
      </c>
      <c r="S581" s="17">
        <f>IF(Items[[#This Row],[ID]]="","",COUNTIFS(Log[ID],Items[[#This Row],[ID]],Log[Verb],"punt"))</f>
      </c>
      <c r="T581" s="11">
        <f>IF(Items[[#This Row],[State]]&lt;&gt;"DONE","",IFERROR(LOOKUP(2,1/((Log[ID]=Items[[#This Row],[ID]])*(Log[Verb]="done")),Log[Date]),""))</f>
      </c>
      <c r="U581" s="17">
        <f>IF(Items[[#This Row],[ID]]="","",IF(AND(Items[[#This Row],[Sprint]]=CurSprint,OR(Items[[#This Row],[State]]="OPEN",Items[[#This Row],[State]]="WAIT",Items[[#This Row],[State]]="HOLD",Items[[#This Row],[State]]="DONE")),1,0))</f>
      </c>
      <c r="V581" s="17">
        <f>IF(OR(Items[[#This Row],[ID]]="",Items[[#This Row],[Added]]=""),"",AsOf-Items[[#This Row],[Added]])</f>
      </c>
      <c r="W581" s="17">
        <f>IF(Items[[#This Row],[In sprint]]=1,(IF(Items[[#This Row],[Prio]]="",9,N(Items[[#This Row],[Prio]]))*10+(IF(Items[[#This Row],[State]]="DONE",1,0)))*100000+ROW(),"")</f>
      </c>
      <c r="X58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81" s="17">
        <f>IF(AND(Items[[#This Row],[State]]="DONE",N(Items[[#This Row],[Done on]])&gt;AsOf-7),(200000-N(Items[[#This Row],[Done on]]))*100000+ROW(),"")</f>
      </c>
    </row>
    <row r="582">
      <c r="A582" t="s">
        <v>749</v>
      </c>
      <c r="B582" t="s">
        <v>1803</v>
      </c>
      <c r="C582" t="s">
        <v>1115</v>
      </c>
      <c r="D582" t="s">
        <v>1116</v>
      </c>
      <c r="E582" t="s">
        <v>1109</v>
      </c>
      <c r="F582" t="s">
        <v>1227</v>
      </c>
      <c r="G582">
        <v>5</v>
      </c>
      <c r="H582">
        <v>2</v>
      </c>
      <c r="I582" s="11">
        <v>46189</v>
      </c>
      <c r="J582" s="17">
        <f>IF(Items[[#This Row],[ID]]="","",IFERROR(VALUE(LOOKUP(2,1/((Log[ID]=Items[[#This Row],[ID]])*(Log[Verb]="est")),Log[Arg])),N(Items[[#This Row],[Points]])))</f>
      </c>
      <c r="K582" s="17">
        <f>IF(Items[[#This Row],[ID]]="","",IFERROR(LOOKUP(2,1/((Log[ID]=Items[[#This Row],[ID]])*(Log[Verb]="pass")),Log[Arg])&amp;"",Items[[#This Row],[Team]]&amp;""))</f>
      </c>
      <c r="L582" s="17">
        <f>IF(Items[[#This Row],[ID]]="","",IFERROR(LOOKUP(2,1/((Log[ID]=Items[[#This Row],[ID]])*(Log[Into]&lt;&gt;"")),Log[Into]),""))</f>
      </c>
      <c r="M582" s="17">
        <f>IF(Items[[#This Row],[ID]]="","",IF(IFERROR(LOOKUP(2,1/((Log[ID]=Items[[#This Row],[ID]])*(Log[Blk]&lt;&gt;"")),Log[Blk]),0)=1,"Y",""))</f>
      </c>
      <c r="N582" s="17">
        <f>IF(Items[[#This Row],[ID]]="","",SUBSTITUTE(IFERROR(LOOKUP(2,1/((Log[ID]=Items[[#This Row],[ID]])*(Log[State]&lt;&gt;"")),Log[State]),"TODO"),"OPEN",IF(Items[[#This Row],[Blocked]]="Y","WAIT","OPEN")))</f>
      </c>
      <c r="O58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82" s="17">
        <f>IF(Items[[#This Row],[State]]&lt;&gt;"WAIT","",AsOf-Items[[#This Row],[Blocked since]])</f>
      </c>
      <c r="Q582" s="17">
        <f>IF(Items[[#This Row],[State]]&lt;&gt;"WAIT","",IFERROR(LOOKUP(2,1/((Log[ID]=Items[[#This Row],[ID]])*(Log[Verb]="block")),Log[Note])&amp;"",""))</f>
      </c>
      <c r="R582" s="17">
        <f>IF(Items[[#This Row],[ID]]="","",COUNTIFS(Log[ID],Items[[#This Row],[ID]],Log[Verb],"carry"))</f>
      </c>
      <c r="S582" s="17">
        <f>IF(Items[[#This Row],[ID]]="","",COUNTIFS(Log[ID],Items[[#This Row],[ID]],Log[Verb],"punt"))</f>
      </c>
      <c r="T582" s="11">
        <f>IF(Items[[#This Row],[State]]&lt;&gt;"DONE","",IFERROR(LOOKUP(2,1/((Log[ID]=Items[[#This Row],[ID]])*(Log[Verb]="done")),Log[Date]),""))</f>
      </c>
      <c r="U582" s="17">
        <f>IF(Items[[#This Row],[ID]]="","",IF(AND(Items[[#This Row],[Sprint]]=CurSprint,OR(Items[[#This Row],[State]]="OPEN",Items[[#This Row],[State]]="WAIT",Items[[#This Row],[State]]="HOLD",Items[[#This Row],[State]]="DONE")),1,0))</f>
      </c>
      <c r="V582" s="17">
        <f>IF(OR(Items[[#This Row],[ID]]="",Items[[#This Row],[Added]]=""),"",AsOf-Items[[#This Row],[Added]])</f>
      </c>
      <c r="W582" s="17">
        <f>IF(Items[[#This Row],[In sprint]]=1,(IF(Items[[#This Row],[Prio]]="",9,N(Items[[#This Row],[Prio]]))*10+(IF(Items[[#This Row],[State]]="DONE",1,0)))*100000+ROW(),"")</f>
      </c>
      <c r="X58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82" s="17">
        <f>IF(AND(Items[[#This Row],[State]]="DONE",N(Items[[#This Row],[Done on]])&gt;AsOf-7),(200000-N(Items[[#This Row],[Done on]]))*100000+ROW(),"")</f>
      </c>
    </row>
    <row r="583">
      <c r="A583" t="s">
        <v>786</v>
      </c>
      <c r="B583" t="s">
        <v>1804</v>
      </c>
      <c r="C583" t="s">
        <v>1107</v>
      </c>
      <c r="D583" t="s">
        <v>1108</v>
      </c>
      <c r="E583" t="s">
        <v>1109</v>
      </c>
      <c r="F583" t="s">
        <v>1225</v>
      </c>
      <c r="G583">
        <v>2</v>
      </c>
      <c r="H583">
        <v>3</v>
      </c>
      <c r="I583" s="11">
        <v>46189</v>
      </c>
      <c r="J583" s="17">
        <f>IF(Items[[#This Row],[ID]]="","",IFERROR(VALUE(LOOKUP(2,1/((Log[ID]=Items[[#This Row],[ID]])*(Log[Verb]="est")),Log[Arg])),N(Items[[#This Row],[Points]])))</f>
      </c>
      <c r="K583" s="17">
        <f>IF(Items[[#This Row],[ID]]="","",IFERROR(LOOKUP(2,1/((Log[ID]=Items[[#This Row],[ID]])*(Log[Verb]="pass")),Log[Arg])&amp;"",Items[[#This Row],[Team]]&amp;""))</f>
      </c>
      <c r="L583" s="17">
        <f>IF(Items[[#This Row],[ID]]="","",IFERROR(LOOKUP(2,1/((Log[ID]=Items[[#This Row],[ID]])*(Log[Into]&lt;&gt;"")),Log[Into]),""))</f>
      </c>
      <c r="M583" s="17">
        <f>IF(Items[[#This Row],[ID]]="","",IF(IFERROR(LOOKUP(2,1/((Log[ID]=Items[[#This Row],[ID]])*(Log[Blk]&lt;&gt;"")),Log[Blk]),0)=1,"Y",""))</f>
      </c>
      <c r="N583" s="17">
        <f>IF(Items[[#This Row],[ID]]="","",SUBSTITUTE(IFERROR(LOOKUP(2,1/((Log[ID]=Items[[#This Row],[ID]])*(Log[State]&lt;&gt;"")),Log[State]),"TODO"),"OPEN",IF(Items[[#This Row],[Blocked]]="Y","WAIT","OPEN")))</f>
      </c>
      <c r="O58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83" s="17">
        <f>IF(Items[[#This Row],[State]]&lt;&gt;"WAIT","",AsOf-Items[[#This Row],[Blocked since]])</f>
      </c>
      <c r="Q583" s="17">
        <f>IF(Items[[#This Row],[State]]&lt;&gt;"WAIT","",IFERROR(LOOKUP(2,1/((Log[ID]=Items[[#This Row],[ID]])*(Log[Verb]="block")),Log[Note])&amp;"",""))</f>
      </c>
      <c r="R583" s="17">
        <f>IF(Items[[#This Row],[ID]]="","",COUNTIFS(Log[ID],Items[[#This Row],[ID]],Log[Verb],"carry"))</f>
      </c>
      <c r="S583" s="17">
        <f>IF(Items[[#This Row],[ID]]="","",COUNTIFS(Log[ID],Items[[#This Row],[ID]],Log[Verb],"punt"))</f>
      </c>
      <c r="T583" s="11">
        <f>IF(Items[[#This Row],[State]]&lt;&gt;"DONE","",IFERROR(LOOKUP(2,1/((Log[ID]=Items[[#This Row],[ID]])*(Log[Verb]="done")),Log[Date]),""))</f>
      </c>
      <c r="U583" s="17">
        <f>IF(Items[[#This Row],[ID]]="","",IF(AND(Items[[#This Row],[Sprint]]=CurSprint,OR(Items[[#This Row],[State]]="OPEN",Items[[#This Row],[State]]="WAIT",Items[[#This Row],[State]]="HOLD",Items[[#This Row],[State]]="DONE")),1,0))</f>
      </c>
      <c r="V583" s="17">
        <f>IF(OR(Items[[#This Row],[ID]]="",Items[[#This Row],[Added]]=""),"",AsOf-Items[[#This Row],[Added]])</f>
      </c>
      <c r="W583" s="17">
        <f>IF(Items[[#This Row],[In sprint]]=1,(IF(Items[[#This Row],[Prio]]="",9,N(Items[[#This Row],[Prio]]))*10+(IF(Items[[#This Row],[State]]="DONE",1,0)))*100000+ROW(),"")</f>
      </c>
      <c r="X58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83" s="17">
        <f>IF(AND(Items[[#This Row],[State]]="DONE",N(Items[[#This Row],[Done on]])&gt;AsOf-7),(200000-N(Items[[#This Row],[Done on]]))*100000+ROW(),"")</f>
      </c>
    </row>
    <row r="584">
      <c r="A584" t="s">
        <v>787</v>
      </c>
      <c r="B584" t="s">
        <v>1805</v>
      </c>
      <c r="C584" t="s">
        <v>1107</v>
      </c>
      <c r="D584" t="s">
        <v>1108</v>
      </c>
      <c r="E584" t="s">
        <v>1109</v>
      </c>
      <c r="F584" t="s">
        <v>1300</v>
      </c>
      <c r="G584">
        <v>2</v>
      </c>
      <c r="H584">
        <v>1</v>
      </c>
      <c r="I584" s="11">
        <v>46189</v>
      </c>
      <c r="J584" s="17">
        <f>IF(Items[[#This Row],[ID]]="","",IFERROR(VALUE(LOOKUP(2,1/((Log[ID]=Items[[#This Row],[ID]])*(Log[Verb]="est")),Log[Arg])),N(Items[[#This Row],[Points]])))</f>
      </c>
      <c r="K584" s="17">
        <f>IF(Items[[#This Row],[ID]]="","",IFERROR(LOOKUP(2,1/((Log[ID]=Items[[#This Row],[ID]])*(Log[Verb]="pass")),Log[Arg])&amp;"",Items[[#This Row],[Team]]&amp;""))</f>
      </c>
      <c r="L584" s="17">
        <f>IF(Items[[#This Row],[ID]]="","",IFERROR(LOOKUP(2,1/((Log[ID]=Items[[#This Row],[ID]])*(Log[Into]&lt;&gt;"")),Log[Into]),""))</f>
      </c>
      <c r="M584" s="17">
        <f>IF(Items[[#This Row],[ID]]="","",IF(IFERROR(LOOKUP(2,1/((Log[ID]=Items[[#This Row],[ID]])*(Log[Blk]&lt;&gt;"")),Log[Blk]),0)=1,"Y",""))</f>
      </c>
      <c r="N584" s="17">
        <f>IF(Items[[#This Row],[ID]]="","",SUBSTITUTE(IFERROR(LOOKUP(2,1/((Log[ID]=Items[[#This Row],[ID]])*(Log[State]&lt;&gt;"")),Log[State]),"TODO"),"OPEN",IF(Items[[#This Row],[Blocked]]="Y","WAIT","OPEN")))</f>
      </c>
      <c r="O58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84" s="17">
        <f>IF(Items[[#This Row],[State]]&lt;&gt;"WAIT","",AsOf-Items[[#This Row],[Blocked since]])</f>
      </c>
      <c r="Q584" s="17">
        <f>IF(Items[[#This Row],[State]]&lt;&gt;"WAIT","",IFERROR(LOOKUP(2,1/((Log[ID]=Items[[#This Row],[ID]])*(Log[Verb]="block")),Log[Note])&amp;"",""))</f>
      </c>
      <c r="R584" s="17">
        <f>IF(Items[[#This Row],[ID]]="","",COUNTIFS(Log[ID],Items[[#This Row],[ID]],Log[Verb],"carry"))</f>
      </c>
      <c r="S584" s="17">
        <f>IF(Items[[#This Row],[ID]]="","",COUNTIFS(Log[ID],Items[[#This Row],[ID]],Log[Verb],"punt"))</f>
      </c>
      <c r="T584" s="11">
        <f>IF(Items[[#This Row],[State]]&lt;&gt;"DONE","",IFERROR(LOOKUP(2,1/((Log[ID]=Items[[#This Row],[ID]])*(Log[Verb]="done")),Log[Date]),""))</f>
      </c>
      <c r="U584" s="17">
        <f>IF(Items[[#This Row],[ID]]="","",IF(AND(Items[[#This Row],[Sprint]]=CurSprint,OR(Items[[#This Row],[State]]="OPEN",Items[[#This Row],[State]]="WAIT",Items[[#This Row],[State]]="HOLD",Items[[#This Row],[State]]="DONE")),1,0))</f>
      </c>
      <c r="V584" s="17">
        <f>IF(OR(Items[[#This Row],[ID]]="",Items[[#This Row],[Added]]=""),"",AsOf-Items[[#This Row],[Added]])</f>
      </c>
      <c r="W584" s="17">
        <f>IF(Items[[#This Row],[In sprint]]=1,(IF(Items[[#This Row],[Prio]]="",9,N(Items[[#This Row],[Prio]]))*10+(IF(Items[[#This Row],[State]]="DONE",1,0)))*100000+ROW(),"")</f>
      </c>
      <c r="X58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84" s="17">
        <f>IF(AND(Items[[#This Row],[State]]="DONE",N(Items[[#This Row],[Done on]])&gt;AsOf-7),(200000-N(Items[[#This Row],[Done on]]))*100000+ROW(),"")</f>
      </c>
    </row>
    <row r="585">
      <c r="A585" t="s">
        <v>788</v>
      </c>
      <c r="B585" t="s">
        <v>1806</v>
      </c>
      <c r="C585" t="s">
        <v>1115</v>
      </c>
      <c r="D585" t="s">
        <v>1116</v>
      </c>
      <c r="E585" t="s">
        <v>1109</v>
      </c>
      <c r="F585" t="s">
        <v>1370</v>
      </c>
      <c r="G585">
        <v>2</v>
      </c>
      <c r="H585">
        <v>3</v>
      </c>
      <c r="I585" s="11">
        <v>46189</v>
      </c>
      <c r="J585" s="17">
        <f>IF(Items[[#This Row],[ID]]="","",IFERROR(VALUE(LOOKUP(2,1/((Log[ID]=Items[[#This Row],[ID]])*(Log[Verb]="est")),Log[Arg])),N(Items[[#This Row],[Points]])))</f>
      </c>
      <c r="K585" s="17">
        <f>IF(Items[[#This Row],[ID]]="","",IFERROR(LOOKUP(2,1/((Log[ID]=Items[[#This Row],[ID]])*(Log[Verb]="pass")),Log[Arg])&amp;"",Items[[#This Row],[Team]]&amp;""))</f>
      </c>
      <c r="L585" s="17">
        <f>IF(Items[[#This Row],[ID]]="","",IFERROR(LOOKUP(2,1/((Log[ID]=Items[[#This Row],[ID]])*(Log[Into]&lt;&gt;"")),Log[Into]),""))</f>
      </c>
      <c r="M585" s="17">
        <f>IF(Items[[#This Row],[ID]]="","",IF(IFERROR(LOOKUP(2,1/((Log[ID]=Items[[#This Row],[ID]])*(Log[Blk]&lt;&gt;"")),Log[Blk]),0)=1,"Y",""))</f>
      </c>
      <c r="N585" s="17">
        <f>IF(Items[[#This Row],[ID]]="","",SUBSTITUTE(IFERROR(LOOKUP(2,1/((Log[ID]=Items[[#This Row],[ID]])*(Log[State]&lt;&gt;"")),Log[State]),"TODO"),"OPEN",IF(Items[[#This Row],[Blocked]]="Y","WAIT","OPEN")))</f>
      </c>
      <c r="O58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85" s="17">
        <f>IF(Items[[#This Row],[State]]&lt;&gt;"WAIT","",AsOf-Items[[#This Row],[Blocked since]])</f>
      </c>
      <c r="Q585" s="17">
        <f>IF(Items[[#This Row],[State]]&lt;&gt;"WAIT","",IFERROR(LOOKUP(2,1/((Log[ID]=Items[[#This Row],[ID]])*(Log[Verb]="block")),Log[Note])&amp;"",""))</f>
      </c>
      <c r="R585" s="17">
        <f>IF(Items[[#This Row],[ID]]="","",COUNTIFS(Log[ID],Items[[#This Row],[ID]],Log[Verb],"carry"))</f>
      </c>
      <c r="S585" s="17">
        <f>IF(Items[[#This Row],[ID]]="","",COUNTIFS(Log[ID],Items[[#This Row],[ID]],Log[Verb],"punt"))</f>
      </c>
      <c r="T585" s="11">
        <f>IF(Items[[#This Row],[State]]&lt;&gt;"DONE","",IFERROR(LOOKUP(2,1/((Log[ID]=Items[[#This Row],[ID]])*(Log[Verb]="done")),Log[Date]),""))</f>
      </c>
      <c r="U585" s="17">
        <f>IF(Items[[#This Row],[ID]]="","",IF(AND(Items[[#This Row],[Sprint]]=CurSprint,OR(Items[[#This Row],[State]]="OPEN",Items[[#This Row],[State]]="WAIT",Items[[#This Row],[State]]="HOLD",Items[[#This Row],[State]]="DONE")),1,0))</f>
      </c>
      <c r="V585" s="17">
        <f>IF(OR(Items[[#This Row],[ID]]="",Items[[#This Row],[Added]]=""),"",AsOf-Items[[#This Row],[Added]])</f>
      </c>
      <c r="W585" s="17">
        <f>IF(Items[[#This Row],[In sprint]]=1,(IF(Items[[#This Row],[Prio]]="",9,N(Items[[#This Row],[Prio]]))*10+(IF(Items[[#This Row],[State]]="DONE",1,0)))*100000+ROW(),"")</f>
      </c>
      <c r="X58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85" s="17">
        <f>IF(AND(Items[[#This Row],[State]]="DONE",N(Items[[#This Row],[Done on]])&gt;AsOf-7),(200000-N(Items[[#This Row],[Done on]]))*100000+ROW(),"")</f>
      </c>
    </row>
    <row r="586">
      <c r="A586" t="s">
        <v>789</v>
      </c>
      <c r="B586" t="s">
        <v>1807</v>
      </c>
      <c r="C586" t="s">
        <v>1115</v>
      </c>
      <c r="D586" t="s">
        <v>1116</v>
      </c>
      <c r="E586" t="s">
        <v>1109</v>
      </c>
      <c r="F586" t="s">
        <v>1220</v>
      </c>
      <c r="G586">
        <v>8</v>
      </c>
      <c r="H586">
        <v>3</v>
      </c>
      <c r="I586" s="11">
        <v>46189</v>
      </c>
      <c r="J586" s="17">
        <f>IF(Items[[#This Row],[ID]]="","",IFERROR(VALUE(LOOKUP(2,1/((Log[ID]=Items[[#This Row],[ID]])*(Log[Verb]="est")),Log[Arg])),N(Items[[#This Row],[Points]])))</f>
      </c>
      <c r="K586" s="17">
        <f>IF(Items[[#This Row],[ID]]="","",IFERROR(LOOKUP(2,1/((Log[ID]=Items[[#This Row],[ID]])*(Log[Verb]="pass")),Log[Arg])&amp;"",Items[[#This Row],[Team]]&amp;""))</f>
      </c>
      <c r="L586" s="17">
        <f>IF(Items[[#This Row],[ID]]="","",IFERROR(LOOKUP(2,1/((Log[ID]=Items[[#This Row],[ID]])*(Log[Into]&lt;&gt;"")),Log[Into]),""))</f>
      </c>
      <c r="M586" s="17">
        <f>IF(Items[[#This Row],[ID]]="","",IF(IFERROR(LOOKUP(2,1/((Log[ID]=Items[[#This Row],[ID]])*(Log[Blk]&lt;&gt;"")),Log[Blk]),0)=1,"Y",""))</f>
      </c>
      <c r="N586" s="17">
        <f>IF(Items[[#This Row],[ID]]="","",SUBSTITUTE(IFERROR(LOOKUP(2,1/((Log[ID]=Items[[#This Row],[ID]])*(Log[State]&lt;&gt;"")),Log[State]),"TODO"),"OPEN",IF(Items[[#This Row],[Blocked]]="Y","WAIT","OPEN")))</f>
      </c>
      <c r="O58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86" s="17">
        <f>IF(Items[[#This Row],[State]]&lt;&gt;"WAIT","",AsOf-Items[[#This Row],[Blocked since]])</f>
      </c>
      <c r="Q586" s="17">
        <f>IF(Items[[#This Row],[State]]&lt;&gt;"WAIT","",IFERROR(LOOKUP(2,1/((Log[ID]=Items[[#This Row],[ID]])*(Log[Verb]="block")),Log[Note])&amp;"",""))</f>
      </c>
      <c r="R586" s="17">
        <f>IF(Items[[#This Row],[ID]]="","",COUNTIFS(Log[ID],Items[[#This Row],[ID]],Log[Verb],"carry"))</f>
      </c>
      <c r="S586" s="17">
        <f>IF(Items[[#This Row],[ID]]="","",COUNTIFS(Log[ID],Items[[#This Row],[ID]],Log[Verb],"punt"))</f>
      </c>
      <c r="T586" s="11">
        <f>IF(Items[[#This Row],[State]]&lt;&gt;"DONE","",IFERROR(LOOKUP(2,1/((Log[ID]=Items[[#This Row],[ID]])*(Log[Verb]="done")),Log[Date]),""))</f>
      </c>
      <c r="U586" s="17">
        <f>IF(Items[[#This Row],[ID]]="","",IF(AND(Items[[#This Row],[Sprint]]=CurSprint,OR(Items[[#This Row],[State]]="OPEN",Items[[#This Row],[State]]="WAIT",Items[[#This Row],[State]]="HOLD",Items[[#This Row],[State]]="DONE")),1,0))</f>
      </c>
      <c r="V586" s="17">
        <f>IF(OR(Items[[#This Row],[ID]]="",Items[[#This Row],[Added]]=""),"",AsOf-Items[[#This Row],[Added]])</f>
      </c>
      <c r="W586" s="17">
        <f>IF(Items[[#This Row],[In sprint]]=1,(IF(Items[[#This Row],[Prio]]="",9,N(Items[[#This Row],[Prio]]))*10+(IF(Items[[#This Row],[State]]="DONE",1,0)))*100000+ROW(),"")</f>
      </c>
      <c r="X58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86" s="17">
        <f>IF(AND(Items[[#This Row],[State]]="DONE",N(Items[[#This Row],[Done on]])&gt;AsOf-7),(200000-N(Items[[#This Row],[Done on]]))*100000+ROW(),"")</f>
      </c>
    </row>
    <row r="587">
      <c r="A587" t="s">
        <v>687</v>
      </c>
      <c r="B587" t="s">
        <v>1808</v>
      </c>
      <c r="C587" t="s">
        <v>1115</v>
      </c>
      <c r="D587" t="s">
        <v>1119</v>
      </c>
      <c r="E587" t="s">
        <v>1131</v>
      </c>
      <c r="F587" t="s">
        <v>1384</v>
      </c>
      <c r="G587">
        <v>8</v>
      </c>
      <c r="H587">
        <v>1</v>
      </c>
      <c r="I587" s="11">
        <v>46189</v>
      </c>
      <c r="J587" s="17">
        <f>IF(Items[[#This Row],[ID]]="","",IFERROR(VALUE(LOOKUP(2,1/((Log[ID]=Items[[#This Row],[ID]])*(Log[Verb]="est")),Log[Arg])),N(Items[[#This Row],[Points]])))</f>
      </c>
      <c r="K587" s="17">
        <f>IF(Items[[#This Row],[ID]]="","",IFERROR(LOOKUP(2,1/((Log[ID]=Items[[#This Row],[ID]])*(Log[Verb]="pass")),Log[Arg])&amp;"",Items[[#This Row],[Team]]&amp;""))</f>
      </c>
      <c r="L587" s="17">
        <f>IF(Items[[#This Row],[ID]]="","",IFERROR(LOOKUP(2,1/((Log[ID]=Items[[#This Row],[ID]])*(Log[Into]&lt;&gt;"")),Log[Into]),""))</f>
      </c>
      <c r="M587" s="17">
        <f>IF(Items[[#This Row],[ID]]="","",IF(IFERROR(LOOKUP(2,1/((Log[ID]=Items[[#This Row],[ID]])*(Log[Blk]&lt;&gt;"")),Log[Blk]),0)=1,"Y",""))</f>
      </c>
      <c r="N587" s="17">
        <f>IF(Items[[#This Row],[ID]]="","",SUBSTITUTE(IFERROR(LOOKUP(2,1/((Log[ID]=Items[[#This Row],[ID]])*(Log[State]&lt;&gt;"")),Log[State]),"TODO"),"OPEN",IF(Items[[#This Row],[Blocked]]="Y","WAIT","OPEN")))</f>
      </c>
      <c r="O58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87" s="17">
        <f>IF(Items[[#This Row],[State]]&lt;&gt;"WAIT","",AsOf-Items[[#This Row],[Blocked since]])</f>
      </c>
      <c r="Q587" s="17">
        <f>IF(Items[[#This Row],[State]]&lt;&gt;"WAIT","",IFERROR(LOOKUP(2,1/((Log[ID]=Items[[#This Row],[ID]])*(Log[Verb]="block")),Log[Note])&amp;"",""))</f>
      </c>
      <c r="R587" s="17">
        <f>IF(Items[[#This Row],[ID]]="","",COUNTIFS(Log[ID],Items[[#This Row],[ID]],Log[Verb],"carry"))</f>
      </c>
      <c r="S587" s="17">
        <f>IF(Items[[#This Row],[ID]]="","",COUNTIFS(Log[ID],Items[[#This Row],[ID]],Log[Verb],"punt"))</f>
      </c>
      <c r="T587" s="11">
        <f>IF(Items[[#This Row],[State]]&lt;&gt;"DONE","",IFERROR(LOOKUP(2,1/((Log[ID]=Items[[#This Row],[ID]])*(Log[Verb]="done")),Log[Date]),""))</f>
      </c>
      <c r="U587" s="17">
        <f>IF(Items[[#This Row],[ID]]="","",IF(AND(Items[[#This Row],[Sprint]]=CurSprint,OR(Items[[#This Row],[State]]="OPEN",Items[[#This Row],[State]]="WAIT",Items[[#This Row],[State]]="HOLD",Items[[#This Row],[State]]="DONE")),1,0))</f>
      </c>
      <c r="V587" s="17">
        <f>IF(OR(Items[[#This Row],[ID]]="",Items[[#This Row],[Added]]=""),"",AsOf-Items[[#This Row],[Added]])</f>
      </c>
      <c r="W587" s="17">
        <f>IF(Items[[#This Row],[In sprint]]=1,(IF(Items[[#This Row],[Prio]]="",9,N(Items[[#This Row],[Prio]]))*10+(IF(Items[[#This Row],[State]]="DONE",1,0)))*100000+ROW(),"")</f>
      </c>
      <c r="X58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87" s="17">
        <f>IF(AND(Items[[#This Row],[State]]="DONE",N(Items[[#This Row],[Done on]])&gt;AsOf-7),(200000-N(Items[[#This Row],[Done on]]))*100000+ROW(),"")</f>
      </c>
    </row>
    <row r="588">
      <c r="A588" t="s">
        <v>750</v>
      </c>
      <c r="B588" t="s">
        <v>1809</v>
      </c>
      <c r="C588" t="s">
        <v>1115</v>
      </c>
      <c r="D588" t="s">
        <v>1116</v>
      </c>
      <c r="E588" t="s">
        <v>1131</v>
      </c>
      <c r="F588" t="s">
        <v>1168</v>
      </c>
      <c r="G588">
        <v>8</v>
      </c>
      <c r="H588">
        <v>2</v>
      </c>
      <c r="I588" s="11">
        <v>46189</v>
      </c>
      <c r="J588" s="17">
        <f>IF(Items[[#This Row],[ID]]="","",IFERROR(VALUE(LOOKUP(2,1/((Log[ID]=Items[[#This Row],[ID]])*(Log[Verb]="est")),Log[Arg])),N(Items[[#This Row],[Points]])))</f>
      </c>
      <c r="K588" s="17">
        <f>IF(Items[[#This Row],[ID]]="","",IFERROR(LOOKUP(2,1/((Log[ID]=Items[[#This Row],[ID]])*(Log[Verb]="pass")),Log[Arg])&amp;"",Items[[#This Row],[Team]]&amp;""))</f>
      </c>
      <c r="L588" s="17">
        <f>IF(Items[[#This Row],[ID]]="","",IFERROR(LOOKUP(2,1/((Log[ID]=Items[[#This Row],[ID]])*(Log[Into]&lt;&gt;"")),Log[Into]),""))</f>
      </c>
      <c r="M588" s="17">
        <f>IF(Items[[#This Row],[ID]]="","",IF(IFERROR(LOOKUP(2,1/((Log[ID]=Items[[#This Row],[ID]])*(Log[Blk]&lt;&gt;"")),Log[Blk]),0)=1,"Y",""))</f>
      </c>
      <c r="N588" s="17">
        <f>IF(Items[[#This Row],[ID]]="","",SUBSTITUTE(IFERROR(LOOKUP(2,1/((Log[ID]=Items[[#This Row],[ID]])*(Log[State]&lt;&gt;"")),Log[State]),"TODO"),"OPEN",IF(Items[[#This Row],[Blocked]]="Y","WAIT","OPEN")))</f>
      </c>
      <c r="O58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88" s="17">
        <f>IF(Items[[#This Row],[State]]&lt;&gt;"WAIT","",AsOf-Items[[#This Row],[Blocked since]])</f>
      </c>
      <c r="Q588" s="17">
        <f>IF(Items[[#This Row],[State]]&lt;&gt;"WAIT","",IFERROR(LOOKUP(2,1/((Log[ID]=Items[[#This Row],[ID]])*(Log[Verb]="block")),Log[Note])&amp;"",""))</f>
      </c>
      <c r="R588" s="17">
        <f>IF(Items[[#This Row],[ID]]="","",COUNTIFS(Log[ID],Items[[#This Row],[ID]],Log[Verb],"carry"))</f>
      </c>
      <c r="S588" s="17">
        <f>IF(Items[[#This Row],[ID]]="","",COUNTIFS(Log[ID],Items[[#This Row],[ID]],Log[Verb],"punt"))</f>
      </c>
      <c r="T588" s="11">
        <f>IF(Items[[#This Row],[State]]&lt;&gt;"DONE","",IFERROR(LOOKUP(2,1/((Log[ID]=Items[[#This Row],[ID]])*(Log[Verb]="done")),Log[Date]),""))</f>
      </c>
      <c r="U588" s="17">
        <f>IF(Items[[#This Row],[ID]]="","",IF(AND(Items[[#This Row],[Sprint]]=CurSprint,OR(Items[[#This Row],[State]]="OPEN",Items[[#This Row],[State]]="WAIT",Items[[#This Row],[State]]="HOLD",Items[[#This Row],[State]]="DONE")),1,0))</f>
      </c>
      <c r="V588" s="17">
        <f>IF(OR(Items[[#This Row],[ID]]="",Items[[#This Row],[Added]]=""),"",AsOf-Items[[#This Row],[Added]])</f>
      </c>
      <c r="W588" s="17">
        <f>IF(Items[[#This Row],[In sprint]]=1,(IF(Items[[#This Row],[Prio]]="",9,N(Items[[#This Row],[Prio]]))*10+(IF(Items[[#This Row],[State]]="DONE",1,0)))*100000+ROW(),"")</f>
      </c>
      <c r="X58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88" s="17">
        <f>IF(AND(Items[[#This Row],[State]]="DONE",N(Items[[#This Row],[Done on]])&gt;AsOf-7),(200000-N(Items[[#This Row],[Done on]]))*100000+ROW(),"")</f>
      </c>
    </row>
    <row r="589">
      <c r="A589" t="s">
        <v>688</v>
      </c>
      <c r="B589" t="s">
        <v>1810</v>
      </c>
      <c r="C589" t="s">
        <v>1107</v>
      </c>
      <c r="D589" t="s">
        <v>1108</v>
      </c>
      <c r="E589" t="s">
        <v>1131</v>
      </c>
      <c r="F589" t="s">
        <v>1168</v>
      </c>
      <c r="G589">
        <v>2</v>
      </c>
      <c r="H589">
        <v>1</v>
      </c>
      <c r="I589" s="11">
        <v>46189</v>
      </c>
      <c r="J589" s="17">
        <f>IF(Items[[#This Row],[ID]]="","",IFERROR(VALUE(LOOKUP(2,1/((Log[ID]=Items[[#This Row],[ID]])*(Log[Verb]="est")),Log[Arg])),N(Items[[#This Row],[Points]])))</f>
      </c>
      <c r="K589" s="17">
        <f>IF(Items[[#This Row],[ID]]="","",IFERROR(LOOKUP(2,1/((Log[ID]=Items[[#This Row],[ID]])*(Log[Verb]="pass")),Log[Arg])&amp;"",Items[[#This Row],[Team]]&amp;""))</f>
      </c>
      <c r="L589" s="17">
        <f>IF(Items[[#This Row],[ID]]="","",IFERROR(LOOKUP(2,1/((Log[ID]=Items[[#This Row],[ID]])*(Log[Into]&lt;&gt;"")),Log[Into]),""))</f>
      </c>
      <c r="M589" s="17">
        <f>IF(Items[[#This Row],[ID]]="","",IF(IFERROR(LOOKUP(2,1/((Log[ID]=Items[[#This Row],[ID]])*(Log[Blk]&lt;&gt;"")),Log[Blk]),0)=1,"Y",""))</f>
      </c>
      <c r="N589" s="17">
        <f>IF(Items[[#This Row],[ID]]="","",SUBSTITUTE(IFERROR(LOOKUP(2,1/((Log[ID]=Items[[#This Row],[ID]])*(Log[State]&lt;&gt;"")),Log[State]),"TODO"),"OPEN",IF(Items[[#This Row],[Blocked]]="Y","WAIT","OPEN")))</f>
      </c>
      <c r="O58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89" s="17">
        <f>IF(Items[[#This Row],[State]]&lt;&gt;"WAIT","",AsOf-Items[[#This Row],[Blocked since]])</f>
      </c>
      <c r="Q589" s="17">
        <f>IF(Items[[#This Row],[State]]&lt;&gt;"WAIT","",IFERROR(LOOKUP(2,1/((Log[ID]=Items[[#This Row],[ID]])*(Log[Verb]="block")),Log[Note])&amp;"",""))</f>
      </c>
      <c r="R589" s="17">
        <f>IF(Items[[#This Row],[ID]]="","",COUNTIFS(Log[ID],Items[[#This Row],[ID]],Log[Verb],"carry"))</f>
      </c>
      <c r="S589" s="17">
        <f>IF(Items[[#This Row],[ID]]="","",COUNTIFS(Log[ID],Items[[#This Row],[ID]],Log[Verb],"punt"))</f>
      </c>
      <c r="T589" s="11">
        <f>IF(Items[[#This Row],[State]]&lt;&gt;"DONE","",IFERROR(LOOKUP(2,1/((Log[ID]=Items[[#This Row],[ID]])*(Log[Verb]="done")),Log[Date]),""))</f>
      </c>
      <c r="U589" s="17">
        <f>IF(Items[[#This Row],[ID]]="","",IF(AND(Items[[#This Row],[Sprint]]=CurSprint,OR(Items[[#This Row],[State]]="OPEN",Items[[#This Row],[State]]="WAIT",Items[[#This Row],[State]]="HOLD",Items[[#This Row],[State]]="DONE")),1,0))</f>
      </c>
      <c r="V589" s="17">
        <f>IF(OR(Items[[#This Row],[ID]]="",Items[[#This Row],[Added]]=""),"",AsOf-Items[[#This Row],[Added]])</f>
      </c>
      <c r="W589" s="17">
        <f>IF(Items[[#This Row],[In sprint]]=1,(IF(Items[[#This Row],[Prio]]="",9,N(Items[[#This Row],[Prio]]))*10+(IF(Items[[#This Row],[State]]="DONE",1,0)))*100000+ROW(),"")</f>
      </c>
      <c r="X58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89" s="17">
        <f>IF(AND(Items[[#This Row],[State]]="DONE",N(Items[[#This Row],[Done on]])&gt;AsOf-7),(200000-N(Items[[#This Row],[Done on]]))*100000+ROW(),"")</f>
      </c>
    </row>
    <row r="590">
      <c r="A590" t="s">
        <v>793</v>
      </c>
      <c r="B590" t="s">
        <v>1811</v>
      </c>
      <c r="C590" t="s">
        <v>1115</v>
      </c>
      <c r="D590" t="s">
        <v>1116</v>
      </c>
      <c r="E590" t="s">
        <v>1131</v>
      </c>
      <c r="F590" t="s">
        <v>1166</v>
      </c>
      <c r="G590">
        <v>8</v>
      </c>
      <c r="H590">
        <v>2</v>
      </c>
      <c r="I590" s="11">
        <v>46189</v>
      </c>
      <c r="J590" s="17">
        <f>IF(Items[[#This Row],[ID]]="","",IFERROR(VALUE(LOOKUP(2,1/((Log[ID]=Items[[#This Row],[ID]])*(Log[Verb]="est")),Log[Arg])),N(Items[[#This Row],[Points]])))</f>
      </c>
      <c r="K590" s="17">
        <f>IF(Items[[#This Row],[ID]]="","",IFERROR(LOOKUP(2,1/((Log[ID]=Items[[#This Row],[ID]])*(Log[Verb]="pass")),Log[Arg])&amp;"",Items[[#This Row],[Team]]&amp;""))</f>
      </c>
      <c r="L590" s="17">
        <f>IF(Items[[#This Row],[ID]]="","",IFERROR(LOOKUP(2,1/((Log[ID]=Items[[#This Row],[ID]])*(Log[Into]&lt;&gt;"")),Log[Into]),""))</f>
      </c>
      <c r="M590" s="17">
        <f>IF(Items[[#This Row],[ID]]="","",IF(IFERROR(LOOKUP(2,1/((Log[ID]=Items[[#This Row],[ID]])*(Log[Blk]&lt;&gt;"")),Log[Blk]),0)=1,"Y",""))</f>
      </c>
      <c r="N590" s="17">
        <f>IF(Items[[#This Row],[ID]]="","",SUBSTITUTE(IFERROR(LOOKUP(2,1/((Log[ID]=Items[[#This Row],[ID]])*(Log[State]&lt;&gt;"")),Log[State]),"TODO"),"OPEN",IF(Items[[#This Row],[Blocked]]="Y","WAIT","OPEN")))</f>
      </c>
      <c r="O59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90" s="17">
        <f>IF(Items[[#This Row],[State]]&lt;&gt;"WAIT","",AsOf-Items[[#This Row],[Blocked since]])</f>
      </c>
      <c r="Q590" s="17">
        <f>IF(Items[[#This Row],[State]]&lt;&gt;"WAIT","",IFERROR(LOOKUP(2,1/((Log[ID]=Items[[#This Row],[ID]])*(Log[Verb]="block")),Log[Note])&amp;"",""))</f>
      </c>
      <c r="R590" s="17">
        <f>IF(Items[[#This Row],[ID]]="","",COUNTIFS(Log[ID],Items[[#This Row],[ID]],Log[Verb],"carry"))</f>
      </c>
      <c r="S590" s="17">
        <f>IF(Items[[#This Row],[ID]]="","",COUNTIFS(Log[ID],Items[[#This Row],[ID]],Log[Verb],"punt"))</f>
      </c>
      <c r="T590" s="11">
        <f>IF(Items[[#This Row],[State]]&lt;&gt;"DONE","",IFERROR(LOOKUP(2,1/((Log[ID]=Items[[#This Row],[ID]])*(Log[Verb]="done")),Log[Date]),""))</f>
      </c>
      <c r="U590" s="17">
        <f>IF(Items[[#This Row],[ID]]="","",IF(AND(Items[[#This Row],[Sprint]]=CurSprint,OR(Items[[#This Row],[State]]="OPEN",Items[[#This Row],[State]]="WAIT",Items[[#This Row],[State]]="HOLD",Items[[#This Row],[State]]="DONE")),1,0))</f>
      </c>
      <c r="V590" s="17">
        <f>IF(OR(Items[[#This Row],[ID]]="",Items[[#This Row],[Added]]=""),"",AsOf-Items[[#This Row],[Added]])</f>
      </c>
      <c r="W590" s="17">
        <f>IF(Items[[#This Row],[In sprint]]=1,(IF(Items[[#This Row],[Prio]]="",9,N(Items[[#This Row],[Prio]]))*10+(IF(Items[[#This Row],[State]]="DONE",1,0)))*100000+ROW(),"")</f>
      </c>
      <c r="X59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90" s="17">
        <f>IF(AND(Items[[#This Row],[State]]="DONE",N(Items[[#This Row],[Done on]])&gt;AsOf-7),(200000-N(Items[[#This Row],[Done on]]))*100000+ROW(),"")</f>
      </c>
    </row>
    <row r="591">
      <c r="A591" t="s">
        <v>794</v>
      </c>
      <c r="B591" t="s">
        <v>1812</v>
      </c>
      <c r="C591" t="s">
        <v>1115</v>
      </c>
      <c r="D591" t="s">
        <v>1119</v>
      </c>
      <c r="E591" t="s">
        <v>1131</v>
      </c>
      <c r="F591" t="s">
        <v>1384</v>
      </c>
      <c r="G591">
        <v>5</v>
      </c>
      <c r="H591">
        <v>3</v>
      </c>
      <c r="I591" s="11">
        <v>46189</v>
      </c>
      <c r="J591" s="17">
        <f>IF(Items[[#This Row],[ID]]="","",IFERROR(VALUE(LOOKUP(2,1/((Log[ID]=Items[[#This Row],[ID]])*(Log[Verb]="est")),Log[Arg])),N(Items[[#This Row],[Points]])))</f>
      </c>
      <c r="K591" s="17">
        <f>IF(Items[[#This Row],[ID]]="","",IFERROR(LOOKUP(2,1/((Log[ID]=Items[[#This Row],[ID]])*(Log[Verb]="pass")),Log[Arg])&amp;"",Items[[#This Row],[Team]]&amp;""))</f>
      </c>
      <c r="L591" s="17">
        <f>IF(Items[[#This Row],[ID]]="","",IFERROR(LOOKUP(2,1/((Log[ID]=Items[[#This Row],[ID]])*(Log[Into]&lt;&gt;"")),Log[Into]),""))</f>
      </c>
      <c r="M591" s="17">
        <f>IF(Items[[#This Row],[ID]]="","",IF(IFERROR(LOOKUP(2,1/((Log[ID]=Items[[#This Row],[ID]])*(Log[Blk]&lt;&gt;"")),Log[Blk]),0)=1,"Y",""))</f>
      </c>
      <c r="N591" s="17">
        <f>IF(Items[[#This Row],[ID]]="","",SUBSTITUTE(IFERROR(LOOKUP(2,1/((Log[ID]=Items[[#This Row],[ID]])*(Log[State]&lt;&gt;"")),Log[State]),"TODO"),"OPEN",IF(Items[[#This Row],[Blocked]]="Y","WAIT","OPEN")))</f>
      </c>
      <c r="O59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91" s="17">
        <f>IF(Items[[#This Row],[State]]&lt;&gt;"WAIT","",AsOf-Items[[#This Row],[Blocked since]])</f>
      </c>
      <c r="Q591" s="17">
        <f>IF(Items[[#This Row],[State]]&lt;&gt;"WAIT","",IFERROR(LOOKUP(2,1/((Log[ID]=Items[[#This Row],[ID]])*(Log[Verb]="block")),Log[Note])&amp;"",""))</f>
      </c>
      <c r="R591" s="17">
        <f>IF(Items[[#This Row],[ID]]="","",COUNTIFS(Log[ID],Items[[#This Row],[ID]],Log[Verb],"carry"))</f>
      </c>
      <c r="S591" s="17">
        <f>IF(Items[[#This Row],[ID]]="","",COUNTIFS(Log[ID],Items[[#This Row],[ID]],Log[Verb],"punt"))</f>
      </c>
      <c r="T591" s="11">
        <f>IF(Items[[#This Row],[State]]&lt;&gt;"DONE","",IFERROR(LOOKUP(2,1/((Log[ID]=Items[[#This Row],[ID]])*(Log[Verb]="done")),Log[Date]),""))</f>
      </c>
      <c r="U591" s="17">
        <f>IF(Items[[#This Row],[ID]]="","",IF(AND(Items[[#This Row],[Sprint]]=CurSprint,OR(Items[[#This Row],[State]]="OPEN",Items[[#This Row],[State]]="WAIT",Items[[#This Row],[State]]="HOLD",Items[[#This Row],[State]]="DONE")),1,0))</f>
      </c>
      <c r="V591" s="17">
        <f>IF(OR(Items[[#This Row],[ID]]="",Items[[#This Row],[Added]]=""),"",AsOf-Items[[#This Row],[Added]])</f>
      </c>
      <c r="W591" s="17">
        <f>IF(Items[[#This Row],[In sprint]]=1,(IF(Items[[#This Row],[Prio]]="",9,N(Items[[#This Row],[Prio]]))*10+(IF(Items[[#This Row],[State]]="DONE",1,0)))*100000+ROW(),"")</f>
      </c>
      <c r="X59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91" s="17">
        <f>IF(AND(Items[[#This Row],[State]]="DONE",N(Items[[#This Row],[Done on]])&gt;AsOf-7),(200000-N(Items[[#This Row],[Done on]]))*100000+ROW(),"")</f>
      </c>
    </row>
    <row r="592">
      <c r="A592" t="s">
        <v>865</v>
      </c>
      <c r="B592" t="s">
        <v>1813</v>
      </c>
      <c r="C592" t="s">
        <v>1115</v>
      </c>
      <c r="D592" t="s">
        <v>1119</v>
      </c>
      <c r="E592" t="s">
        <v>1131</v>
      </c>
      <c r="F592" t="s">
        <v>1132</v>
      </c>
      <c r="G592">
        <v>8</v>
      </c>
      <c r="H592">
        <v>3</v>
      </c>
      <c r="I592" s="11">
        <v>46189</v>
      </c>
      <c r="J592" s="17">
        <f>IF(Items[[#This Row],[ID]]="","",IFERROR(VALUE(LOOKUP(2,1/((Log[ID]=Items[[#This Row],[ID]])*(Log[Verb]="est")),Log[Arg])),N(Items[[#This Row],[Points]])))</f>
      </c>
      <c r="K592" s="17">
        <f>IF(Items[[#This Row],[ID]]="","",IFERROR(LOOKUP(2,1/((Log[ID]=Items[[#This Row],[ID]])*(Log[Verb]="pass")),Log[Arg])&amp;"",Items[[#This Row],[Team]]&amp;""))</f>
      </c>
      <c r="L592" s="17">
        <f>IF(Items[[#This Row],[ID]]="","",IFERROR(LOOKUP(2,1/((Log[ID]=Items[[#This Row],[ID]])*(Log[Into]&lt;&gt;"")),Log[Into]),""))</f>
      </c>
      <c r="M592" s="17">
        <f>IF(Items[[#This Row],[ID]]="","",IF(IFERROR(LOOKUP(2,1/((Log[ID]=Items[[#This Row],[ID]])*(Log[Blk]&lt;&gt;"")),Log[Blk]),0)=1,"Y",""))</f>
      </c>
      <c r="N592" s="17">
        <f>IF(Items[[#This Row],[ID]]="","",SUBSTITUTE(IFERROR(LOOKUP(2,1/((Log[ID]=Items[[#This Row],[ID]])*(Log[State]&lt;&gt;"")),Log[State]),"TODO"),"OPEN",IF(Items[[#This Row],[Blocked]]="Y","WAIT","OPEN")))</f>
      </c>
      <c r="O59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92" s="17">
        <f>IF(Items[[#This Row],[State]]&lt;&gt;"WAIT","",AsOf-Items[[#This Row],[Blocked since]])</f>
      </c>
      <c r="Q592" s="17">
        <f>IF(Items[[#This Row],[State]]&lt;&gt;"WAIT","",IFERROR(LOOKUP(2,1/((Log[ID]=Items[[#This Row],[ID]])*(Log[Verb]="block")),Log[Note])&amp;"",""))</f>
      </c>
      <c r="R592" s="17">
        <f>IF(Items[[#This Row],[ID]]="","",COUNTIFS(Log[ID],Items[[#This Row],[ID]],Log[Verb],"carry"))</f>
      </c>
      <c r="S592" s="17">
        <f>IF(Items[[#This Row],[ID]]="","",COUNTIFS(Log[ID],Items[[#This Row],[ID]],Log[Verb],"punt"))</f>
      </c>
      <c r="T592" s="11">
        <f>IF(Items[[#This Row],[State]]&lt;&gt;"DONE","",IFERROR(LOOKUP(2,1/((Log[ID]=Items[[#This Row],[ID]])*(Log[Verb]="done")),Log[Date]),""))</f>
      </c>
      <c r="U592" s="17">
        <f>IF(Items[[#This Row],[ID]]="","",IF(AND(Items[[#This Row],[Sprint]]=CurSprint,OR(Items[[#This Row],[State]]="OPEN",Items[[#This Row],[State]]="WAIT",Items[[#This Row],[State]]="HOLD",Items[[#This Row],[State]]="DONE")),1,0))</f>
      </c>
      <c r="V592" s="17">
        <f>IF(OR(Items[[#This Row],[ID]]="",Items[[#This Row],[Added]]=""),"",AsOf-Items[[#This Row],[Added]])</f>
      </c>
      <c r="W592" s="17">
        <f>IF(Items[[#This Row],[In sprint]]=1,(IF(Items[[#This Row],[Prio]]="",9,N(Items[[#This Row],[Prio]]))*10+(IF(Items[[#This Row],[State]]="DONE",1,0)))*100000+ROW(),"")</f>
      </c>
      <c r="X59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92" s="17">
        <f>IF(AND(Items[[#This Row],[State]]="DONE",N(Items[[#This Row],[Done on]])&gt;AsOf-7),(200000-N(Items[[#This Row],[Done on]]))*100000+ROW(),"")</f>
      </c>
    </row>
    <row r="593">
      <c r="A593" t="s">
        <v>753</v>
      </c>
      <c r="B593" t="s">
        <v>1814</v>
      </c>
      <c r="C593" t="s">
        <v>1115</v>
      </c>
      <c r="D593" t="s">
        <v>1119</v>
      </c>
      <c r="E593" t="s">
        <v>1134</v>
      </c>
      <c r="F593" t="s">
        <v>1387</v>
      </c>
      <c r="G593">
        <v>5</v>
      </c>
      <c r="H593">
        <v>2</v>
      </c>
      <c r="I593" s="11">
        <v>46189</v>
      </c>
      <c r="J593" s="17">
        <f>IF(Items[[#This Row],[ID]]="","",IFERROR(VALUE(LOOKUP(2,1/((Log[ID]=Items[[#This Row],[ID]])*(Log[Verb]="est")),Log[Arg])),N(Items[[#This Row],[Points]])))</f>
      </c>
      <c r="K593" s="17">
        <f>IF(Items[[#This Row],[ID]]="","",IFERROR(LOOKUP(2,1/((Log[ID]=Items[[#This Row],[ID]])*(Log[Verb]="pass")),Log[Arg])&amp;"",Items[[#This Row],[Team]]&amp;""))</f>
      </c>
      <c r="L593" s="17">
        <f>IF(Items[[#This Row],[ID]]="","",IFERROR(LOOKUP(2,1/((Log[ID]=Items[[#This Row],[ID]])*(Log[Into]&lt;&gt;"")),Log[Into]),""))</f>
      </c>
      <c r="M593" s="17">
        <f>IF(Items[[#This Row],[ID]]="","",IF(IFERROR(LOOKUP(2,1/((Log[ID]=Items[[#This Row],[ID]])*(Log[Blk]&lt;&gt;"")),Log[Blk]),0)=1,"Y",""))</f>
      </c>
      <c r="N593" s="17">
        <f>IF(Items[[#This Row],[ID]]="","",SUBSTITUTE(IFERROR(LOOKUP(2,1/((Log[ID]=Items[[#This Row],[ID]])*(Log[State]&lt;&gt;"")),Log[State]),"TODO"),"OPEN",IF(Items[[#This Row],[Blocked]]="Y","WAIT","OPEN")))</f>
      </c>
      <c r="O59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93" s="17">
        <f>IF(Items[[#This Row],[State]]&lt;&gt;"WAIT","",AsOf-Items[[#This Row],[Blocked since]])</f>
      </c>
      <c r="Q593" s="17">
        <f>IF(Items[[#This Row],[State]]&lt;&gt;"WAIT","",IFERROR(LOOKUP(2,1/((Log[ID]=Items[[#This Row],[ID]])*(Log[Verb]="block")),Log[Note])&amp;"",""))</f>
      </c>
      <c r="R593" s="17">
        <f>IF(Items[[#This Row],[ID]]="","",COUNTIFS(Log[ID],Items[[#This Row],[ID]],Log[Verb],"carry"))</f>
      </c>
      <c r="S593" s="17">
        <f>IF(Items[[#This Row],[ID]]="","",COUNTIFS(Log[ID],Items[[#This Row],[ID]],Log[Verb],"punt"))</f>
      </c>
      <c r="T593" s="11">
        <f>IF(Items[[#This Row],[State]]&lt;&gt;"DONE","",IFERROR(LOOKUP(2,1/((Log[ID]=Items[[#This Row],[ID]])*(Log[Verb]="done")),Log[Date]),""))</f>
      </c>
      <c r="U593" s="17">
        <f>IF(Items[[#This Row],[ID]]="","",IF(AND(Items[[#This Row],[Sprint]]=CurSprint,OR(Items[[#This Row],[State]]="OPEN",Items[[#This Row],[State]]="WAIT",Items[[#This Row],[State]]="HOLD",Items[[#This Row],[State]]="DONE")),1,0))</f>
      </c>
      <c r="V593" s="17">
        <f>IF(OR(Items[[#This Row],[ID]]="",Items[[#This Row],[Added]]=""),"",AsOf-Items[[#This Row],[Added]])</f>
      </c>
      <c r="W593" s="17">
        <f>IF(Items[[#This Row],[In sprint]]=1,(IF(Items[[#This Row],[Prio]]="",9,N(Items[[#This Row],[Prio]]))*10+(IF(Items[[#This Row],[State]]="DONE",1,0)))*100000+ROW(),"")</f>
      </c>
      <c r="X59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93" s="17">
        <f>IF(AND(Items[[#This Row],[State]]="DONE",N(Items[[#This Row],[Done on]])&gt;AsOf-7),(200000-N(Items[[#This Row],[Done on]]))*100000+ROW(),"")</f>
      </c>
    </row>
    <row r="594">
      <c r="A594" t="s">
        <v>797</v>
      </c>
      <c r="B594" t="s">
        <v>1815</v>
      </c>
      <c r="C594" t="s">
        <v>1107</v>
      </c>
      <c r="D594" t="s">
        <v>1127</v>
      </c>
      <c r="E594" t="s">
        <v>1134</v>
      </c>
      <c r="F594" t="s">
        <v>1171</v>
      </c>
      <c r="G594">
        <v>8</v>
      </c>
      <c r="H594">
        <v>2</v>
      </c>
      <c r="I594" s="11">
        <v>46189</v>
      </c>
      <c r="J594" s="17">
        <f>IF(Items[[#This Row],[ID]]="","",IFERROR(VALUE(LOOKUP(2,1/((Log[ID]=Items[[#This Row],[ID]])*(Log[Verb]="est")),Log[Arg])),N(Items[[#This Row],[Points]])))</f>
      </c>
      <c r="K594" s="17">
        <f>IF(Items[[#This Row],[ID]]="","",IFERROR(LOOKUP(2,1/((Log[ID]=Items[[#This Row],[ID]])*(Log[Verb]="pass")),Log[Arg])&amp;"",Items[[#This Row],[Team]]&amp;""))</f>
      </c>
      <c r="L594" s="17">
        <f>IF(Items[[#This Row],[ID]]="","",IFERROR(LOOKUP(2,1/((Log[ID]=Items[[#This Row],[ID]])*(Log[Into]&lt;&gt;"")),Log[Into]),""))</f>
      </c>
      <c r="M594" s="17">
        <f>IF(Items[[#This Row],[ID]]="","",IF(IFERROR(LOOKUP(2,1/((Log[ID]=Items[[#This Row],[ID]])*(Log[Blk]&lt;&gt;"")),Log[Blk]),0)=1,"Y",""))</f>
      </c>
      <c r="N594" s="17">
        <f>IF(Items[[#This Row],[ID]]="","",SUBSTITUTE(IFERROR(LOOKUP(2,1/((Log[ID]=Items[[#This Row],[ID]])*(Log[State]&lt;&gt;"")),Log[State]),"TODO"),"OPEN",IF(Items[[#This Row],[Blocked]]="Y","WAIT","OPEN")))</f>
      </c>
      <c r="O59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94" s="17">
        <f>IF(Items[[#This Row],[State]]&lt;&gt;"WAIT","",AsOf-Items[[#This Row],[Blocked since]])</f>
      </c>
      <c r="Q594" s="17">
        <f>IF(Items[[#This Row],[State]]&lt;&gt;"WAIT","",IFERROR(LOOKUP(2,1/((Log[ID]=Items[[#This Row],[ID]])*(Log[Verb]="block")),Log[Note])&amp;"",""))</f>
      </c>
      <c r="R594" s="17">
        <f>IF(Items[[#This Row],[ID]]="","",COUNTIFS(Log[ID],Items[[#This Row],[ID]],Log[Verb],"carry"))</f>
      </c>
      <c r="S594" s="17">
        <f>IF(Items[[#This Row],[ID]]="","",COUNTIFS(Log[ID],Items[[#This Row],[ID]],Log[Verb],"punt"))</f>
      </c>
      <c r="T594" s="11">
        <f>IF(Items[[#This Row],[State]]&lt;&gt;"DONE","",IFERROR(LOOKUP(2,1/((Log[ID]=Items[[#This Row],[ID]])*(Log[Verb]="done")),Log[Date]),""))</f>
      </c>
      <c r="U594" s="17">
        <f>IF(Items[[#This Row],[ID]]="","",IF(AND(Items[[#This Row],[Sprint]]=CurSprint,OR(Items[[#This Row],[State]]="OPEN",Items[[#This Row],[State]]="WAIT",Items[[#This Row],[State]]="HOLD",Items[[#This Row],[State]]="DONE")),1,0))</f>
      </c>
      <c r="V594" s="17">
        <f>IF(OR(Items[[#This Row],[ID]]="",Items[[#This Row],[Added]]=""),"",AsOf-Items[[#This Row],[Added]])</f>
      </c>
      <c r="W594" s="17">
        <f>IF(Items[[#This Row],[In sprint]]=1,(IF(Items[[#This Row],[Prio]]="",9,N(Items[[#This Row],[Prio]]))*10+(IF(Items[[#This Row],[State]]="DONE",1,0)))*100000+ROW(),"")</f>
      </c>
      <c r="X59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94" s="17">
        <f>IF(AND(Items[[#This Row],[State]]="DONE",N(Items[[#This Row],[Done on]])&gt;AsOf-7),(200000-N(Items[[#This Row],[Done on]]))*100000+ROW(),"")</f>
      </c>
    </row>
    <row r="595">
      <c r="A595" t="s">
        <v>798</v>
      </c>
      <c r="B595" t="s">
        <v>1816</v>
      </c>
      <c r="C595" t="s">
        <v>1107</v>
      </c>
      <c r="D595" t="s">
        <v>1127</v>
      </c>
      <c r="E595" t="s">
        <v>1134</v>
      </c>
      <c r="F595" t="s">
        <v>1317</v>
      </c>
      <c r="G595">
        <v>2</v>
      </c>
      <c r="H595">
        <v>2</v>
      </c>
      <c r="I595" s="11">
        <v>46189</v>
      </c>
      <c r="J595" s="17">
        <f>IF(Items[[#This Row],[ID]]="","",IFERROR(VALUE(LOOKUP(2,1/((Log[ID]=Items[[#This Row],[ID]])*(Log[Verb]="est")),Log[Arg])),N(Items[[#This Row],[Points]])))</f>
      </c>
      <c r="K595" s="17">
        <f>IF(Items[[#This Row],[ID]]="","",IFERROR(LOOKUP(2,1/((Log[ID]=Items[[#This Row],[ID]])*(Log[Verb]="pass")),Log[Arg])&amp;"",Items[[#This Row],[Team]]&amp;""))</f>
      </c>
      <c r="L595" s="17">
        <f>IF(Items[[#This Row],[ID]]="","",IFERROR(LOOKUP(2,1/((Log[ID]=Items[[#This Row],[ID]])*(Log[Into]&lt;&gt;"")),Log[Into]),""))</f>
      </c>
      <c r="M595" s="17">
        <f>IF(Items[[#This Row],[ID]]="","",IF(IFERROR(LOOKUP(2,1/((Log[ID]=Items[[#This Row],[ID]])*(Log[Blk]&lt;&gt;"")),Log[Blk]),0)=1,"Y",""))</f>
      </c>
      <c r="N595" s="17">
        <f>IF(Items[[#This Row],[ID]]="","",SUBSTITUTE(IFERROR(LOOKUP(2,1/((Log[ID]=Items[[#This Row],[ID]])*(Log[State]&lt;&gt;"")),Log[State]),"TODO"),"OPEN",IF(Items[[#This Row],[Blocked]]="Y","WAIT","OPEN")))</f>
      </c>
      <c r="O59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95" s="17">
        <f>IF(Items[[#This Row],[State]]&lt;&gt;"WAIT","",AsOf-Items[[#This Row],[Blocked since]])</f>
      </c>
      <c r="Q595" s="17">
        <f>IF(Items[[#This Row],[State]]&lt;&gt;"WAIT","",IFERROR(LOOKUP(2,1/((Log[ID]=Items[[#This Row],[ID]])*(Log[Verb]="block")),Log[Note])&amp;"",""))</f>
      </c>
      <c r="R595" s="17">
        <f>IF(Items[[#This Row],[ID]]="","",COUNTIFS(Log[ID],Items[[#This Row],[ID]],Log[Verb],"carry"))</f>
      </c>
      <c r="S595" s="17">
        <f>IF(Items[[#This Row],[ID]]="","",COUNTIFS(Log[ID],Items[[#This Row],[ID]],Log[Verb],"punt"))</f>
      </c>
      <c r="T595" s="11">
        <f>IF(Items[[#This Row],[State]]&lt;&gt;"DONE","",IFERROR(LOOKUP(2,1/((Log[ID]=Items[[#This Row],[ID]])*(Log[Verb]="done")),Log[Date]),""))</f>
      </c>
      <c r="U595" s="17">
        <f>IF(Items[[#This Row],[ID]]="","",IF(AND(Items[[#This Row],[Sprint]]=CurSprint,OR(Items[[#This Row],[State]]="OPEN",Items[[#This Row],[State]]="WAIT",Items[[#This Row],[State]]="HOLD",Items[[#This Row],[State]]="DONE")),1,0))</f>
      </c>
      <c r="V595" s="17">
        <f>IF(OR(Items[[#This Row],[ID]]="",Items[[#This Row],[Added]]=""),"",AsOf-Items[[#This Row],[Added]])</f>
      </c>
      <c r="W595" s="17">
        <f>IF(Items[[#This Row],[In sprint]]=1,(IF(Items[[#This Row],[Prio]]="",9,N(Items[[#This Row],[Prio]]))*10+(IF(Items[[#This Row],[State]]="DONE",1,0)))*100000+ROW(),"")</f>
      </c>
      <c r="X59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95" s="17">
        <f>IF(AND(Items[[#This Row],[State]]="DONE",N(Items[[#This Row],[Done on]])&gt;AsOf-7),(200000-N(Items[[#This Row],[Done on]]))*100000+ROW(),"")</f>
      </c>
    </row>
    <row r="596">
      <c r="A596" t="s">
        <v>799</v>
      </c>
      <c r="B596" t="s">
        <v>1817</v>
      </c>
      <c r="C596" t="s">
        <v>1107</v>
      </c>
      <c r="D596" t="s">
        <v>1123</v>
      </c>
      <c r="E596" t="s">
        <v>1134</v>
      </c>
      <c r="F596" t="s">
        <v>1135</v>
      </c>
      <c r="G596">
        <v>5</v>
      </c>
      <c r="H596">
        <v>3</v>
      </c>
      <c r="I596" s="11">
        <v>46189</v>
      </c>
      <c r="J596" s="17">
        <f>IF(Items[[#This Row],[ID]]="","",IFERROR(VALUE(LOOKUP(2,1/((Log[ID]=Items[[#This Row],[ID]])*(Log[Verb]="est")),Log[Arg])),N(Items[[#This Row],[Points]])))</f>
      </c>
      <c r="K596" s="17">
        <f>IF(Items[[#This Row],[ID]]="","",IFERROR(LOOKUP(2,1/((Log[ID]=Items[[#This Row],[ID]])*(Log[Verb]="pass")),Log[Arg])&amp;"",Items[[#This Row],[Team]]&amp;""))</f>
      </c>
      <c r="L596" s="17">
        <f>IF(Items[[#This Row],[ID]]="","",IFERROR(LOOKUP(2,1/((Log[ID]=Items[[#This Row],[ID]])*(Log[Into]&lt;&gt;"")),Log[Into]),""))</f>
      </c>
      <c r="M596" s="17">
        <f>IF(Items[[#This Row],[ID]]="","",IF(IFERROR(LOOKUP(2,1/((Log[ID]=Items[[#This Row],[ID]])*(Log[Blk]&lt;&gt;"")),Log[Blk]),0)=1,"Y",""))</f>
      </c>
      <c r="N596" s="17">
        <f>IF(Items[[#This Row],[ID]]="","",SUBSTITUTE(IFERROR(LOOKUP(2,1/((Log[ID]=Items[[#This Row],[ID]])*(Log[State]&lt;&gt;"")),Log[State]),"TODO"),"OPEN",IF(Items[[#This Row],[Blocked]]="Y","WAIT","OPEN")))</f>
      </c>
      <c r="O59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96" s="17">
        <f>IF(Items[[#This Row],[State]]&lt;&gt;"WAIT","",AsOf-Items[[#This Row],[Blocked since]])</f>
      </c>
      <c r="Q596" s="17">
        <f>IF(Items[[#This Row],[State]]&lt;&gt;"WAIT","",IFERROR(LOOKUP(2,1/((Log[ID]=Items[[#This Row],[ID]])*(Log[Verb]="block")),Log[Note])&amp;"",""))</f>
      </c>
      <c r="R596" s="17">
        <f>IF(Items[[#This Row],[ID]]="","",COUNTIFS(Log[ID],Items[[#This Row],[ID]],Log[Verb],"carry"))</f>
      </c>
      <c r="S596" s="17">
        <f>IF(Items[[#This Row],[ID]]="","",COUNTIFS(Log[ID],Items[[#This Row],[ID]],Log[Verb],"punt"))</f>
      </c>
      <c r="T596" s="11">
        <f>IF(Items[[#This Row],[State]]&lt;&gt;"DONE","",IFERROR(LOOKUP(2,1/((Log[ID]=Items[[#This Row],[ID]])*(Log[Verb]="done")),Log[Date]),""))</f>
      </c>
      <c r="U596" s="17">
        <f>IF(Items[[#This Row],[ID]]="","",IF(AND(Items[[#This Row],[Sprint]]=CurSprint,OR(Items[[#This Row],[State]]="OPEN",Items[[#This Row],[State]]="WAIT",Items[[#This Row],[State]]="HOLD",Items[[#This Row],[State]]="DONE")),1,0))</f>
      </c>
      <c r="V596" s="17">
        <f>IF(OR(Items[[#This Row],[ID]]="",Items[[#This Row],[Added]]=""),"",AsOf-Items[[#This Row],[Added]])</f>
      </c>
      <c r="W596" s="17">
        <f>IF(Items[[#This Row],[In sprint]]=1,(IF(Items[[#This Row],[Prio]]="",9,N(Items[[#This Row],[Prio]]))*10+(IF(Items[[#This Row],[State]]="DONE",1,0)))*100000+ROW(),"")</f>
      </c>
      <c r="X59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96" s="17">
        <f>IF(AND(Items[[#This Row],[State]]="DONE",N(Items[[#This Row],[Done on]])&gt;AsOf-7),(200000-N(Items[[#This Row],[Done on]]))*100000+ROW(),"")</f>
      </c>
    </row>
    <row r="597">
      <c r="A597" t="s">
        <v>755</v>
      </c>
      <c r="B597" t="s">
        <v>1818</v>
      </c>
      <c r="C597" t="s">
        <v>1115</v>
      </c>
      <c r="D597" t="s">
        <v>1119</v>
      </c>
      <c r="E597" t="s">
        <v>1139</v>
      </c>
      <c r="F597" t="s">
        <v>1398</v>
      </c>
      <c r="G597">
        <v>8</v>
      </c>
      <c r="H597">
        <v>2</v>
      </c>
      <c r="I597" s="11">
        <v>46189</v>
      </c>
      <c r="J597" s="17">
        <f>IF(Items[[#This Row],[ID]]="","",IFERROR(VALUE(LOOKUP(2,1/((Log[ID]=Items[[#This Row],[ID]])*(Log[Verb]="est")),Log[Arg])),N(Items[[#This Row],[Points]])))</f>
      </c>
      <c r="K597" s="17">
        <f>IF(Items[[#This Row],[ID]]="","",IFERROR(LOOKUP(2,1/((Log[ID]=Items[[#This Row],[ID]])*(Log[Verb]="pass")),Log[Arg])&amp;"",Items[[#This Row],[Team]]&amp;""))</f>
      </c>
      <c r="L597" s="17">
        <f>IF(Items[[#This Row],[ID]]="","",IFERROR(LOOKUP(2,1/((Log[ID]=Items[[#This Row],[ID]])*(Log[Into]&lt;&gt;"")),Log[Into]),""))</f>
      </c>
      <c r="M597" s="17">
        <f>IF(Items[[#This Row],[ID]]="","",IF(IFERROR(LOOKUP(2,1/((Log[ID]=Items[[#This Row],[ID]])*(Log[Blk]&lt;&gt;"")),Log[Blk]),0)=1,"Y",""))</f>
      </c>
      <c r="N597" s="17">
        <f>IF(Items[[#This Row],[ID]]="","",SUBSTITUTE(IFERROR(LOOKUP(2,1/((Log[ID]=Items[[#This Row],[ID]])*(Log[State]&lt;&gt;"")),Log[State]),"TODO"),"OPEN",IF(Items[[#This Row],[Blocked]]="Y","WAIT","OPEN")))</f>
      </c>
      <c r="O59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97" s="17">
        <f>IF(Items[[#This Row],[State]]&lt;&gt;"WAIT","",AsOf-Items[[#This Row],[Blocked since]])</f>
      </c>
      <c r="Q597" s="17">
        <f>IF(Items[[#This Row],[State]]&lt;&gt;"WAIT","",IFERROR(LOOKUP(2,1/((Log[ID]=Items[[#This Row],[ID]])*(Log[Verb]="block")),Log[Note])&amp;"",""))</f>
      </c>
      <c r="R597" s="17">
        <f>IF(Items[[#This Row],[ID]]="","",COUNTIFS(Log[ID],Items[[#This Row],[ID]],Log[Verb],"carry"))</f>
      </c>
      <c r="S597" s="17">
        <f>IF(Items[[#This Row],[ID]]="","",COUNTIFS(Log[ID],Items[[#This Row],[ID]],Log[Verb],"punt"))</f>
      </c>
      <c r="T597" s="11">
        <f>IF(Items[[#This Row],[State]]&lt;&gt;"DONE","",IFERROR(LOOKUP(2,1/((Log[ID]=Items[[#This Row],[ID]])*(Log[Verb]="done")),Log[Date]),""))</f>
      </c>
      <c r="U597" s="17">
        <f>IF(Items[[#This Row],[ID]]="","",IF(AND(Items[[#This Row],[Sprint]]=CurSprint,OR(Items[[#This Row],[State]]="OPEN",Items[[#This Row],[State]]="WAIT",Items[[#This Row],[State]]="HOLD",Items[[#This Row],[State]]="DONE")),1,0))</f>
      </c>
      <c r="V597" s="17">
        <f>IF(OR(Items[[#This Row],[ID]]="",Items[[#This Row],[Added]]=""),"",AsOf-Items[[#This Row],[Added]])</f>
      </c>
      <c r="W597" s="17">
        <f>IF(Items[[#This Row],[In sprint]]=1,(IF(Items[[#This Row],[Prio]]="",9,N(Items[[#This Row],[Prio]]))*10+(IF(Items[[#This Row],[State]]="DONE",1,0)))*100000+ROW(),"")</f>
      </c>
      <c r="X59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97" s="17">
        <f>IF(AND(Items[[#This Row],[State]]="DONE",N(Items[[#This Row],[Done on]])&gt;AsOf-7),(200000-N(Items[[#This Row],[Done on]]))*100000+ROW(),"")</f>
      </c>
    </row>
    <row r="598">
      <c r="A598" t="s">
        <v>699</v>
      </c>
      <c r="B598" t="s">
        <v>1819</v>
      </c>
      <c r="C598" t="s">
        <v>1107</v>
      </c>
      <c r="D598" t="s">
        <v>1108</v>
      </c>
      <c r="E598" t="s">
        <v>1139</v>
      </c>
      <c r="F598" t="s">
        <v>1175</v>
      </c>
      <c r="G598">
        <v>3</v>
      </c>
      <c r="H598">
        <v>3</v>
      </c>
      <c r="I598" s="11">
        <v>46189</v>
      </c>
      <c r="J598" s="17">
        <f>IF(Items[[#This Row],[ID]]="","",IFERROR(VALUE(LOOKUP(2,1/((Log[ID]=Items[[#This Row],[ID]])*(Log[Verb]="est")),Log[Arg])),N(Items[[#This Row],[Points]])))</f>
      </c>
      <c r="K598" s="17">
        <f>IF(Items[[#This Row],[ID]]="","",IFERROR(LOOKUP(2,1/((Log[ID]=Items[[#This Row],[ID]])*(Log[Verb]="pass")),Log[Arg])&amp;"",Items[[#This Row],[Team]]&amp;""))</f>
      </c>
      <c r="L598" s="17">
        <f>IF(Items[[#This Row],[ID]]="","",IFERROR(LOOKUP(2,1/((Log[ID]=Items[[#This Row],[ID]])*(Log[Into]&lt;&gt;"")),Log[Into]),""))</f>
      </c>
      <c r="M598" s="17">
        <f>IF(Items[[#This Row],[ID]]="","",IF(IFERROR(LOOKUP(2,1/((Log[ID]=Items[[#This Row],[ID]])*(Log[Blk]&lt;&gt;"")),Log[Blk]),0)=1,"Y",""))</f>
      </c>
      <c r="N598" s="17">
        <f>IF(Items[[#This Row],[ID]]="","",SUBSTITUTE(IFERROR(LOOKUP(2,1/((Log[ID]=Items[[#This Row],[ID]])*(Log[State]&lt;&gt;"")),Log[State]),"TODO"),"OPEN",IF(Items[[#This Row],[Blocked]]="Y","WAIT","OPEN")))</f>
      </c>
      <c r="O59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98" s="17">
        <f>IF(Items[[#This Row],[State]]&lt;&gt;"WAIT","",AsOf-Items[[#This Row],[Blocked since]])</f>
      </c>
      <c r="Q598" s="17">
        <f>IF(Items[[#This Row],[State]]&lt;&gt;"WAIT","",IFERROR(LOOKUP(2,1/((Log[ID]=Items[[#This Row],[ID]])*(Log[Verb]="block")),Log[Note])&amp;"",""))</f>
      </c>
      <c r="R598" s="17">
        <f>IF(Items[[#This Row],[ID]]="","",COUNTIFS(Log[ID],Items[[#This Row],[ID]],Log[Verb],"carry"))</f>
      </c>
      <c r="S598" s="17">
        <f>IF(Items[[#This Row],[ID]]="","",COUNTIFS(Log[ID],Items[[#This Row],[ID]],Log[Verb],"punt"))</f>
      </c>
      <c r="T598" s="11">
        <f>IF(Items[[#This Row],[State]]&lt;&gt;"DONE","",IFERROR(LOOKUP(2,1/((Log[ID]=Items[[#This Row],[ID]])*(Log[Verb]="done")),Log[Date]),""))</f>
      </c>
      <c r="U598" s="17">
        <f>IF(Items[[#This Row],[ID]]="","",IF(AND(Items[[#This Row],[Sprint]]=CurSprint,OR(Items[[#This Row],[State]]="OPEN",Items[[#This Row],[State]]="WAIT",Items[[#This Row],[State]]="HOLD",Items[[#This Row],[State]]="DONE")),1,0))</f>
      </c>
      <c r="V598" s="17">
        <f>IF(OR(Items[[#This Row],[ID]]="",Items[[#This Row],[Added]]=""),"",AsOf-Items[[#This Row],[Added]])</f>
      </c>
      <c r="W598" s="17">
        <f>IF(Items[[#This Row],[In sprint]]=1,(IF(Items[[#This Row],[Prio]]="",9,N(Items[[#This Row],[Prio]]))*10+(IF(Items[[#This Row],[State]]="DONE",1,0)))*100000+ROW(),"")</f>
      </c>
      <c r="X59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98" s="17">
        <f>IF(AND(Items[[#This Row],[State]]="DONE",N(Items[[#This Row],[Done on]])&gt;AsOf-7),(200000-N(Items[[#This Row],[Done on]]))*100000+ROW(),"")</f>
      </c>
    </row>
    <row r="599">
      <c r="A599" t="s">
        <v>756</v>
      </c>
      <c r="B599" t="s">
        <v>1820</v>
      </c>
      <c r="C599" t="s">
        <v>1107</v>
      </c>
      <c r="D599" t="s">
        <v>1127</v>
      </c>
      <c r="E599" t="s">
        <v>1139</v>
      </c>
      <c r="F599" t="s">
        <v>1249</v>
      </c>
      <c r="G599">
        <v>8</v>
      </c>
      <c r="H599">
        <v>1</v>
      </c>
      <c r="I599" s="11">
        <v>46189</v>
      </c>
      <c r="J599" s="17">
        <f>IF(Items[[#This Row],[ID]]="","",IFERROR(VALUE(LOOKUP(2,1/((Log[ID]=Items[[#This Row],[ID]])*(Log[Verb]="est")),Log[Arg])),N(Items[[#This Row],[Points]])))</f>
      </c>
      <c r="K599" s="17">
        <f>IF(Items[[#This Row],[ID]]="","",IFERROR(LOOKUP(2,1/((Log[ID]=Items[[#This Row],[ID]])*(Log[Verb]="pass")),Log[Arg])&amp;"",Items[[#This Row],[Team]]&amp;""))</f>
      </c>
      <c r="L599" s="17">
        <f>IF(Items[[#This Row],[ID]]="","",IFERROR(LOOKUP(2,1/((Log[ID]=Items[[#This Row],[ID]])*(Log[Into]&lt;&gt;"")),Log[Into]),""))</f>
      </c>
      <c r="M599" s="17">
        <f>IF(Items[[#This Row],[ID]]="","",IF(IFERROR(LOOKUP(2,1/((Log[ID]=Items[[#This Row],[ID]])*(Log[Blk]&lt;&gt;"")),Log[Blk]),0)=1,"Y",""))</f>
      </c>
      <c r="N599" s="17">
        <f>IF(Items[[#This Row],[ID]]="","",SUBSTITUTE(IFERROR(LOOKUP(2,1/((Log[ID]=Items[[#This Row],[ID]])*(Log[State]&lt;&gt;"")),Log[State]),"TODO"),"OPEN",IF(Items[[#This Row],[Blocked]]="Y","WAIT","OPEN")))</f>
      </c>
      <c r="O59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99" s="17">
        <f>IF(Items[[#This Row],[State]]&lt;&gt;"WAIT","",AsOf-Items[[#This Row],[Blocked since]])</f>
      </c>
      <c r="Q599" s="17">
        <f>IF(Items[[#This Row],[State]]&lt;&gt;"WAIT","",IFERROR(LOOKUP(2,1/((Log[ID]=Items[[#This Row],[ID]])*(Log[Verb]="block")),Log[Note])&amp;"",""))</f>
      </c>
      <c r="R599" s="17">
        <f>IF(Items[[#This Row],[ID]]="","",COUNTIFS(Log[ID],Items[[#This Row],[ID]],Log[Verb],"carry"))</f>
      </c>
      <c r="S599" s="17">
        <f>IF(Items[[#This Row],[ID]]="","",COUNTIFS(Log[ID],Items[[#This Row],[ID]],Log[Verb],"punt"))</f>
      </c>
      <c r="T599" s="11">
        <f>IF(Items[[#This Row],[State]]&lt;&gt;"DONE","",IFERROR(LOOKUP(2,1/((Log[ID]=Items[[#This Row],[ID]])*(Log[Verb]="done")),Log[Date]),""))</f>
      </c>
      <c r="U599" s="17">
        <f>IF(Items[[#This Row],[ID]]="","",IF(AND(Items[[#This Row],[Sprint]]=CurSprint,OR(Items[[#This Row],[State]]="OPEN",Items[[#This Row],[State]]="WAIT",Items[[#This Row],[State]]="HOLD",Items[[#This Row],[State]]="DONE")),1,0))</f>
      </c>
      <c r="V599" s="17">
        <f>IF(OR(Items[[#This Row],[ID]]="",Items[[#This Row],[Added]]=""),"",AsOf-Items[[#This Row],[Added]])</f>
      </c>
      <c r="W599" s="17">
        <f>IF(Items[[#This Row],[In sprint]]=1,(IF(Items[[#This Row],[Prio]]="",9,N(Items[[#This Row],[Prio]]))*10+(IF(Items[[#This Row],[State]]="DONE",1,0)))*100000+ROW(),"")</f>
      </c>
      <c r="X59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99" s="17">
        <f>IF(AND(Items[[#This Row],[State]]="DONE",N(Items[[#This Row],[Done on]])&gt;AsOf-7),(200000-N(Items[[#This Row],[Done on]]))*100000+ROW(),"")</f>
      </c>
    </row>
    <row r="600">
      <c r="A600" t="s">
        <v>758</v>
      </c>
      <c r="B600" t="s">
        <v>1821</v>
      </c>
      <c r="C600" t="s">
        <v>1107</v>
      </c>
      <c r="D600" t="s">
        <v>1123</v>
      </c>
      <c r="E600" t="s">
        <v>1177</v>
      </c>
      <c r="F600" t="s">
        <v>1263</v>
      </c>
      <c r="G600">
        <v>5</v>
      </c>
      <c r="H600">
        <v>1</v>
      </c>
      <c r="I600" s="11">
        <v>46189</v>
      </c>
      <c r="J600" s="17">
        <f>IF(Items[[#This Row],[ID]]="","",IFERROR(VALUE(LOOKUP(2,1/((Log[ID]=Items[[#This Row],[ID]])*(Log[Verb]="est")),Log[Arg])),N(Items[[#This Row],[Points]])))</f>
      </c>
      <c r="K600" s="17">
        <f>IF(Items[[#This Row],[ID]]="","",IFERROR(LOOKUP(2,1/((Log[ID]=Items[[#This Row],[ID]])*(Log[Verb]="pass")),Log[Arg])&amp;"",Items[[#This Row],[Team]]&amp;""))</f>
      </c>
      <c r="L600" s="17">
        <f>IF(Items[[#This Row],[ID]]="","",IFERROR(LOOKUP(2,1/((Log[ID]=Items[[#This Row],[ID]])*(Log[Into]&lt;&gt;"")),Log[Into]),""))</f>
      </c>
      <c r="M600" s="17">
        <f>IF(Items[[#This Row],[ID]]="","",IF(IFERROR(LOOKUP(2,1/((Log[ID]=Items[[#This Row],[ID]])*(Log[Blk]&lt;&gt;"")),Log[Blk]),0)=1,"Y",""))</f>
      </c>
      <c r="N600" s="17">
        <f>IF(Items[[#This Row],[ID]]="","",SUBSTITUTE(IFERROR(LOOKUP(2,1/((Log[ID]=Items[[#This Row],[ID]])*(Log[State]&lt;&gt;"")),Log[State]),"TODO"),"OPEN",IF(Items[[#This Row],[Blocked]]="Y","WAIT","OPEN")))</f>
      </c>
      <c r="O60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00" s="17">
        <f>IF(Items[[#This Row],[State]]&lt;&gt;"WAIT","",AsOf-Items[[#This Row],[Blocked since]])</f>
      </c>
      <c r="Q600" s="17">
        <f>IF(Items[[#This Row],[State]]&lt;&gt;"WAIT","",IFERROR(LOOKUP(2,1/((Log[ID]=Items[[#This Row],[ID]])*(Log[Verb]="block")),Log[Note])&amp;"",""))</f>
      </c>
      <c r="R600" s="17">
        <f>IF(Items[[#This Row],[ID]]="","",COUNTIFS(Log[ID],Items[[#This Row],[ID]],Log[Verb],"carry"))</f>
      </c>
      <c r="S600" s="17">
        <f>IF(Items[[#This Row],[ID]]="","",COUNTIFS(Log[ID],Items[[#This Row],[ID]],Log[Verb],"punt"))</f>
      </c>
      <c r="T600" s="11">
        <f>IF(Items[[#This Row],[State]]&lt;&gt;"DONE","",IFERROR(LOOKUP(2,1/((Log[ID]=Items[[#This Row],[ID]])*(Log[Verb]="done")),Log[Date]),""))</f>
      </c>
      <c r="U600" s="17">
        <f>IF(Items[[#This Row],[ID]]="","",IF(AND(Items[[#This Row],[Sprint]]=CurSprint,OR(Items[[#This Row],[State]]="OPEN",Items[[#This Row],[State]]="WAIT",Items[[#This Row],[State]]="HOLD",Items[[#This Row],[State]]="DONE")),1,0))</f>
      </c>
      <c r="V600" s="17">
        <f>IF(OR(Items[[#This Row],[ID]]="",Items[[#This Row],[Added]]=""),"",AsOf-Items[[#This Row],[Added]])</f>
      </c>
      <c r="W600" s="17">
        <f>IF(Items[[#This Row],[In sprint]]=1,(IF(Items[[#This Row],[Prio]]="",9,N(Items[[#This Row],[Prio]]))*10+(IF(Items[[#This Row],[State]]="DONE",1,0)))*100000+ROW(),"")</f>
      </c>
      <c r="X60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00" s="17">
        <f>IF(AND(Items[[#This Row],[State]]="DONE",N(Items[[#This Row],[Done on]])&gt;AsOf-7),(200000-N(Items[[#This Row],[Done on]]))*100000+ROW(),"")</f>
      </c>
    </row>
    <row r="601">
      <c r="A601" t="s">
        <v>810</v>
      </c>
      <c r="B601" t="s">
        <v>1822</v>
      </c>
      <c r="C601" t="s">
        <v>1107</v>
      </c>
      <c r="D601" t="s">
        <v>1108</v>
      </c>
      <c r="E601" t="s">
        <v>1177</v>
      </c>
      <c r="F601" t="s">
        <v>1182</v>
      </c>
      <c r="G601">
        <v>8</v>
      </c>
      <c r="H601">
        <v>2</v>
      </c>
      <c r="I601" s="11">
        <v>46189</v>
      </c>
      <c r="J601" s="17">
        <f>IF(Items[[#This Row],[ID]]="","",IFERROR(VALUE(LOOKUP(2,1/((Log[ID]=Items[[#This Row],[ID]])*(Log[Verb]="est")),Log[Arg])),N(Items[[#This Row],[Points]])))</f>
      </c>
      <c r="K601" s="17">
        <f>IF(Items[[#This Row],[ID]]="","",IFERROR(LOOKUP(2,1/((Log[ID]=Items[[#This Row],[ID]])*(Log[Verb]="pass")),Log[Arg])&amp;"",Items[[#This Row],[Team]]&amp;""))</f>
      </c>
      <c r="L601" s="17">
        <f>IF(Items[[#This Row],[ID]]="","",IFERROR(LOOKUP(2,1/((Log[ID]=Items[[#This Row],[ID]])*(Log[Into]&lt;&gt;"")),Log[Into]),""))</f>
      </c>
      <c r="M601" s="17">
        <f>IF(Items[[#This Row],[ID]]="","",IF(IFERROR(LOOKUP(2,1/((Log[ID]=Items[[#This Row],[ID]])*(Log[Blk]&lt;&gt;"")),Log[Blk]),0)=1,"Y",""))</f>
      </c>
      <c r="N601" s="17">
        <f>IF(Items[[#This Row],[ID]]="","",SUBSTITUTE(IFERROR(LOOKUP(2,1/((Log[ID]=Items[[#This Row],[ID]])*(Log[State]&lt;&gt;"")),Log[State]),"TODO"),"OPEN",IF(Items[[#This Row],[Blocked]]="Y","WAIT","OPEN")))</f>
      </c>
      <c r="O60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01" s="17">
        <f>IF(Items[[#This Row],[State]]&lt;&gt;"WAIT","",AsOf-Items[[#This Row],[Blocked since]])</f>
      </c>
      <c r="Q601" s="17">
        <f>IF(Items[[#This Row],[State]]&lt;&gt;"WAIT","",IFERROR(LOOKUP(2,1/((Log[ID]=Items[[#This Row],[ID]])*(Log[Verb]="block")),Log[Note])&amp;"",""))</f>
      </c>
      <c r="R601" s="17">
        <f>IF(Items[[#This Row],[ID]]="","",COUNTIFS(Log[ID],Items[[#This Row],[ID]],Log[Verb],"carry"))</f>
      </c>
      <c r="S601" s="17">
        <f>IF(Items[[#This Row],[ID]]="","",COUNTIFS(Log[ID],Items[[#This Row],[ID]],Log[Verb],"punt"))</f>
      </c>
      <c r="T601" s="11">
        <f>IF(Items[[#This Row],[State]]&lt;&gt;"DONE","",IFERROR(LOOKUP(2,1/((Log[ID]=Items[[#This Row],[ID]])*(Log[Verb]="done")),Log[Date]),""))</f>
      </c>
      <c r="U601" s="17">
        <f>IF(Items[[#This Row],[ID]]="","",IF(AND(Items[[#This Row],[Sprint]]=CurSprint,OR(Items[[#This Row],[State]]="OPEN",Items[[#This Row],[State]]="WAIT",Items[[#This Row],[State]]="HOLD",Items[[#This Row],[State]]="DONE")),1,0))</f>
      </c>
      <c r="V601" s="17">
        <f>IF(OR(Items[[#This Row],[ID]]="",Items[[#This Row],[Added]]=""),"",AsOf-Items[[#This Row],[Added]])</f>
      </c>
      <c r="W601" s="17">
        <f>IF(Items[[#This Row],[In sprint]]=1,(IF(Items[[#This Row],[Prio]]="",9,N(Items[[#This Row],[Prio]]))*10+(IF(Items[[#This Row],[State]]="DONE",1,0)))*100000+ROW(),"")</f>
      </c>
      <c r="X60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01" s="17">
        <f>IF(AND(Items[[#This Row],[State]]="DONE",N(Items[[#This Row],[Done on]])&gt;AsOf-7),(200000-N(Items[[#This Row],[Done on]]))*100000+ROW(),"")</f>
      </c>
    </row>
    <row r="602">
      <c r="A602" t="s">
        <v>704</v>
      </c>
      <c r="B602" t="s">
        <v>1823</v>
      </c>
      <c r="C602" t="s">
        <v>1107</v>
      </c>
      <c r="D602" t="s">
        <v>1123</v>
      </c>
      <c r="E602" t="s">
        <v>1177</v>
      </c>
      <c r="F602" t="s">
        <v>1180</v>
      </c>
      <c r="G602">
        <v>2</v>
      </c>
      <c r="H602">
        <v>2</v>
      </c>
      <c r="I602" s="11">
        <v>46189</v>
      </c>
      <c r="J602" s="17">
        <f>IF(Items[[#This Row],[ID]]="","",IFERROR(VALUE(LOOKUP(2,1/((Log[ID]=Items[[#This Row],[ID]])*(Log[Verb]="est")),Log[Arg])),N(Items[[#This Row],[Points]])))</f>
      </c>
      <c r="K602" s="17">
        <f>IF(Items[[#This Row],[ID]]="","",IFERROR(LOOKUP(2,1/((Log[ID]=Items[[#This Row],[ID]])*(Log[Verb]="pass")),Log[Arg])&amp;"",Items[[#This Row],[Team]]&amp;""))</f>
      </c>
      <c r="L602" s="17">
        <f>IF(Items[[#This Row],[ID]]="","",IFERROR(LOOKUP(2,1/((Log[ID]=Items[[#This Row],[ID]])*(Log[Into]&lt;&gt;"")),Log[Into]),""))</f>
      </c>
      <c r="M602" s="17">
        <f>IF(Items[[#This Row],[ID]]="","",IF(IFERROR(LOOKUP(2,1/((Log[ID]=Items[[#This Row],[ID]])*(Log[Blk]&lt;&gt;"")),Log[Blk]),0)=1,"Y",""))</f>
      </c>
      <c r="N602" s="17">
        <f>IF(Items[[#This Row],[ID]]="","",SUBSTITUTE(IFERROR(LOOKUP(2,1/((Log[ID]=Items[[#This Row],[ID]])*(Log[State]&lt;&gt;"")),Log[State]),"TODO"),"OPEN",IF(Items[[#This Row],[Blocked]]="Y","WAIT","OPEN")))</f>
      </c>
      <c r="O60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02" s="17">
        <f>IF(Items[[#This Row],[State]]&lt;&gt;"WAIT","",AsOf-Items[[#This Row],[Blocked since]])</f>
      </c>
      <c r="Q602" s="17">
        <f>IF(Items[[#This Row],[State]]&lt;&gt;"WAIT","",IFERROR(LOOKUP(2,1/((Log[ID]=Items[[#This Row],[ID]])*(Log[Verb]="block")),Log[Note])&amp;"",""))</f>
      </c>
      <c r="R602" s="17">
        <f>IF(Items[[#This Row],[ID]]="","",COUNTIFS(Log[ID],Items[[#This Row],[ID]],Log[Verb],"carry"))</f>
      </c>
      <c r="S602" s="17">
        <f>IF(Items[[#This Row],[ID]]="","",COUNTIFS(Log[ID],Items[[#This Row],[ID]],Log[Verb],"punt"))</f>
      </c>
      <c r="T602" s="11">
        <f>IF(Items[[#This Row],[State]]&lt;&gt;"DONE","",IFERROR(LOOKUP(2,1/((Log[ID]=Items[[#This Row],[ID]])*(Log[Verb]="done")),Log[Date]),""))</f>
      </c>
      <c r="U602" s="17">
        <f>IF(Items[[#This Row],[ID]]="","",IF(AND(Items[[#This Row],[Sprint]]=CurSprint,OR(Items[[#This Row],[State]]="OPEN",Items[[#This Row],[State]]="WAIT",Items[[#This Row],[State]]="HOLD",Items[[#This Row],[State]]="DONE")),1,0))</f>
      </c>
      <c r="V602" s="17">
        <f>IF(OR(Items[[#This Row],[ID]]="",Items[[#This Row],[Added]]=""),"",AsOf-Items[[#This Row],[Added]])</f>
      </c>
      <c r="W602" s="17">
        <f>IF(Items[[#This Row],[In sprint]]=1,(IF(Items[[#This Row],[Prio]]="",9,N(Items[[#This Row],[Prio]]))*10+(IF(Items[[#This Row],[State]]="DONE",1,0)))*100000+ROW(),"")</f>
      </c>
      <c r="X60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02" s="17">
        <f>IF(AND(Items[[#This Row],[State]]="DONE",N(Items[[#This Row],[Done on]])&gt;AsOf-7),(200000-N(Items[[#This Row],[Done on]]))*100000+ROW(),"")</f>
      </c>
    </row>
    <row r="603">
      <c r="A603" t="s">
        <v>811</v>
      </c>
      <c r="B603" t="s">
        <v>1824</v>
      </c>
      <c r="C603" t="s">
        <v>1107</v>
      </c>
      <c r="D603" t="s">
        <v>1123</v>
      </c>
      <c r="E603" t="s">
        <v>1177</v>
      </c>
      <c r="F603" t="s">
        <v>1257</v>
      </c>
      <c r="G603">
        <v>8</v>
      </c>
      <c r="H603">
        <v>1</v>
      </c>
      <c r="I603" s="11">
        <v>46189</v>
      </c>
      <c r="J603" s="17">
        <f>IF(Items[[#This Row],[ID]]="","",IFERROR(VALUE(LOOKUP(2,1/((Log[ID]=Items[[#This Row],[ID]])*(Log[Verb]="est")),Log[Arg])),N(Items[[#This Row],[Points]])))</f>
      </c>
      <c r="K603" s="17">
        <f>IF(Items[[#This Row],[ID]]="","",IFERROR(LOOKUP(2,1/((Log[ID]=Items[[#This Row],[ID]])*(Log[Verb]="pass")),Log[Arg])&amp;"",Items[[#This Row],[Team]]&amp;""))</f>
      </c>
      <c r="L603" s="17">
        <f>IF(Items[[#This Row],[ID]]="","",IFERROR(LOOKUP(2,1/((Log[ID]=Items[[#This Row],[ID]])*(Log[Into]&lt;&gt;"")),Log[Into]),""))</f>
      </c>
      <c r="M603" s="17">
        <f>IF(Items[[#This Row],[ID]]="","",IF(IFERROR(LOOKUP(2,1/((Log[ID]=Items[[#This Row],[ID]])*(Log[Blk]&lt;&gt;"")),Log[Blk]),0)=1,"Y",""))</f>
      </c>
      <c r="N603" s="17">
        <f>IF(Items[[#This Row],[ID]]="","",SUBSTITUTE(IFERROR(LOOKUP(2,1/((Log[ID]=Items[[#This Row],[ID]])*(Log[State]&lt;&gt;"")),Log[State]),"TODO"),"OPEN",IF(Items[[#This Row],[Blocked]]="Y","WAIT","OPEN")))</f>
      </c>
      <c r="O60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03" s="17">
        <f>IF(Items[[#This Row],[State]]&lt;&gt;"WAIT","",AsOf-Items[[#This Row],[Blocked since]])</f>
      </c>
      <c r="Q603" s="17">
        <f>IF(Items[[#This Row],[State]]&lt;&gt;"WAIT","",IFERROR(LOOKUP(2,1/((Log[ID]=Items[[#This Row],[ID]])*(Log[Verb]="block")),Log[Note])&amp;"",""))</f>
      </c>
      <c r="R603" s="17">
        <f>IF(Items[[#This Row],[ID]]="","",COUNTIFS(Log[ID],Items[[#This Row],[ID]],Log[Verb],"carry"))</f>
      </c>
      <c r="S603" s="17">
        <f>IF(Items[[#This Row],[ID]]="","",COUNTIFS(Log[ID],Items[[#This Row],[ID]],Log[Verb],"punt"))</f>
      </c>
      <c r="T603" s="11">
        <f>IF(Items[[#This Row],[State]]&lt;&gt;"DONE","",IFERROR(LOOKUP(2,1/((Log[ID]=Items[[#This Row],[ID]])*(Log[Verb]="done")),Log[Date]),""))</f>
      </c>
      <c r="U603" s="17">
        <f>IF(Items[[#This Row],[ID]]="","",IF(AND(Items[[#This Row],[Sprint]]=CurSprint,OR(Items[[#This Row],[State]]="OPEN",Items[[#This Row],[State]]="WAIT",Items[[#This Row],[State]]="HOLD",Items[[#This Row],[State]]="DONE")),1,0))</f>
      </c>
      <c r="V603" s="17">
        <f>IF(OR(Items[[#This Row],[ID]]="",Items[[#This Row],[Added]]=""),"",AsOf-Items[[#This Row],[Added]])</f>
      </c>
      <c r="W603" s="17">
        <f>IF(Items[[#This Row],[In sprint]]=1,(IF(Items[[#This Row],[Prio]]="",9,N(Items[[#This Row],[Prio]]))*10+(IF(Items[[#This Row],[State]]="DONE",1,0)))*100000+ROW(),"")</f>
      </c>
      <c r="X60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03" s="17">
        <f>IF(AND(Items[[#This Row],[State]]="DONE",N(Items[[#This Row],[Done on]])&gt;AsOf-7),(200000-N(Items[[#This Row],[Done on]]))*100000+ROW(),"")</f>
      </c>
    </row>
    <row r="604">
      <c r="A604" t="s">
        <v>759</v>
      </c>
      <c r="B604" t="s">
        <v>1825</v>
      </c>
      <c r="C604" t="s">
        <v>1115</v>
      </c>
      <c r="D604" t="s">
        <v>1116</v>
      </c>
      <c r="E604" t="s">
        <v>1177</v>
      </c>
      <c r="F604" t="s">
        <v>1259</v>
      </c>
      <c r="G604">
        <v>5</v>
      </c>
      <c r="H604">
        <v>2</v>
      </c>
      <c r="I604" s="11">
        <v>46189</v>
      </c>
      <c r="J604" s="17">
        <f>IF(Items[[#This Row],[ID]]="","",IFERROR(VALUE(LOOKUP(2,1/((Log[ID]=Items[[#This Row],[ID]])*(Log[Verb]="est")),Log[Arg])),N(Items[[#This Row],[Points]])))</f>
      </c>
      <c r="K604" s="17">
        <f>IF(Items[[#This Row],[ID]]="","",IFERROR(LOOKUP(2,1/((Log[ID]=Items[[#This Row],[ID]])*(Log[Verb]="pass")),Log[Arg])&amp;"",Items[[#This Row],[Team]]&amp;""))</f>
      </c>
      <c r="L604" s="17">
        <f>IF(Items[[#This Row],[ID]]="","",IFERROR(LOOKUP(2,1/((Log[ID]=Items[[#This Row],[ID]])*(Log[Into]&lt;&gt;"")),Log[Into]),""))</f>
      </c>
      <c r="M604" s="17">
        <f>IF(Items[[#This Row],[ID]]="","",IF(IFERROR(LOOKUP(2,1/((Log[ID]=Items[[#This Row],[ID]])*(Log[Blk]&lt;&gt;"")),Log[Blk]),0)=1,"Y",""))</f>
      </c>
      <c r="N604" s="17">
        <f>IF(Items[[#This Row],[ID]]="","",SUBSTITUTE(IFERROR(LOOKUP(2,1/((Log[ID]=Items[[#This Row],[ID]])*(Log[State]&lt;&gt;"")),Log[State]),"TODO"),"OPEN",IF(Items[[#This Row],[Blocked]]="Y","WAIT","OPEN")))</f>
      </c>
      <c r="O60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04" s="17">
        <f>IF(Items[[#This Row],[State]]&lt;&gt;"WAIT","",AsOf-Items[[#This Row],[Blocked since]])</f>
      </c>
      <c r="Q604" s="17">
        <f>IF(Items[[#This Row],[State]]&lt;&gt;"WAIT","",IFERROR(LOOKUP(2,1/((Log[ID]=Items[[#This Row],[ID]])*(Log[Verb]="block")),Log[Note])&amp;"",""))</f>
      </c>
      <c r="R604" s="17">
        <f>IF(Items[[#This Row],[ID]]="","",COUNTIFS(Log[ID],Items[[#This Row],[ID]],Log[Verb],"carry"))</f>
      </c>
      <c r="S604" s="17">
        <f>IF(Items[[#This Row],[ID]]="","",COUNTIFS(Log[ID],Items[[#This Row],[ID]],Log[Verb],"punt"))</f>
      </c>
      <c r="T604" s="11">
        <f>IF(Items[[#This Row],[State]]&lt;&gt;"DONE","",IFERROR(LOOKUP(2,1/((Log[ID]=Items[[#This Row],[ID]])*(Log[Verb]="done")),Log[Date]),""))</f>
      </c>
      <c r="U604" s="17">
        <f>IF(Items[[#This Row],[ID]]="","",IF(AND(Items[[#This Row],[Sprint]]=CurSprint,OR(Items[[#This Row],[State]]="OPEN",Items[[#This Row],[State]]="WAIT",Items[[#This Row],[State]]="HOLD",Items[[#This Row],[State]]="DONE")),1,0))</f>
      </c>
      <c r="V604" s="17">
        <f>IF(OR(Items[[#This Row],[ID]]="",Items[[#This Row],[Added]]=""),"",AsOf-Items[[#This Row],[Added]])</f>
      </c>
      <c r="W604" s="17">
        <f>IF(Items[[#This Row],[In sprint]]=1,(IF(Items[[#This Row],[Prio]]="",9,N(Items[[#This Row],[Prio]]))*10+(IF(Items[[#This Row],[State]]="DONE",1,0)))*100000+ROW(),"")</f>
      </c>
      <c r="X60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04" s="17">
        <f>IF(AND(Items[[#This Row],[State]]="DONE",N(Items[[#This Row],[Done on]])&gt;AsOf-7),(200000-N(Items[[#This Row],[Done on]]))*100000+ROW(),"")</f>
      </c>
    </row>
    <row r="605">
      <c r="A605" t="s">
        <v>711</v>
      </c>
      <c r="B605" t="s">
        <v>1826</v>
      </c>
      <c r="C605" t="s">
        <v>1115</v>
      </c>
      <c r="D605" t="s">
        <v>1116</v>
      </c>
      <c r="E605" t="s">
        <v>1112</v>
      </c>
      <c r="F605" t="s">
        <v>1186</v>
      </c>
      <c r="G605">
        <v>3</v>
      </c>
      <c r="H605">
        <v>1</v>
      </c>
      <c r="I605" s="11">
        <v>46203</v>
      </c>
      <c r="J605" s="17">
        <f>IF(Items[[#This Row],[ID]]="","",IFERROR(VALUE(LOOKUP(2,1/((Log[ID]=Items[[#This Row],[ID]])*(Log[Verb]="est")),Log[Arg])),N(Items[[#This Row],[Points]])))</f>
      </c>
      <c r="K605" s="17">
        <f>IF(Items[[#This Row],[ID]]="","",IFERROR(LOOKUP(2,1/((Log[ID]=Items[[#This Row],[ID]])*(Log[Verb]="pass")),Log[Arg])&amp;"",Items[[#This Row],[Team]]&amp;""))</f>
      </c>
      <c r="L605" s="17">
        <f>IF(Items[[#This Row],[ID]]="","",IFERROR(LOOKUP(2,1/((Log[ID]=Items[[#This Row],[ID]])*(Log[Into]&lt;&gt;"")),Log[Into]),""))</f>
      </c>
      <c r="M605" s="17">
        <f>IF(Items[[#This Row],[ID]]="","",IF(IFERROR(LOOKUP(2,1/((Log[ID]=Items[[#This Row],[ID]])*(Log[Blk]&lt;&gt;"")),Log[Blk]),0)=1,"Y",""))</f>
      </c>
      <c r="N605" s="17">
        <f>IF(Items[[#This Row],[ID]]="","",SUBSTITUTE(IFERROR(LOOKUP(2,1/((Log[ID]=Items[[#This Row],[ID]])*(Log[State]&lt;&gt;"")),Log[State]),"TODO"),"OPEN",IF(Items[[#This Row],[Blocked]]="Y","WAIT","OPEN")))</f>
      </c>
      <c r="O60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05" s="17">
        <f>IF(Items[[#This Row],[State]]&lt;&gt;"WAIT","",AsOf-Items[[#This Row],[Blocked since]])</f>
      </c>
      <c r="Q605" s="17">
        <f>IF(Items[[#This Row],[State]]&lt;&gt;"WAIT","",IFERROR(LOOKUP(2,1/((Log[ID]=Items[[#This Row],[ID]])*(Log[Verb]="block")),Log[Note])&amp;"",""))</f>
      </c>
      <c r="R605" s="17">
        <f>IF(Items[[#This Row],[ID]]="","",COUNTIFS(Log[ID],Items[[#This Row],[ID]],Log[Verb],"carry"))</f>
      </c>
      <c r="S605" s="17">
        <f>IF(Items[[#This Row],[ID]]="","",COUNTIFS(Log[ID],Items[[#This Row],[ID]],Log[Verb],"punt"))</f>
      </c>
      <c r="T605" s="11">
        <f>IF(Items[[#This Row],[State]]&lt;&gt;"DONE","",IFERROR(LOOKUP(2,1/((Log[ID]=Items[[#This Row],[ID]])*(Log[Verb]="done")),Log[Date]),""))</f>
      </c>
      <c r="U605" s="17">
        <f>IF(Items[[#This Row],[ID]]="","",IF(AND(Items[[#This Row],[Sprint]]=CurSprint,OR(Items[[#This Row],[State]]="OPEN",Items[[#This Row],[State]]="WAIT",Items[[#This Row],[State]]="HOLD",Items[[#This Row],[State]]="DONE")),1,0))</f>
      </c>
      <c r="V605" s="17">
        <f>IF(OR(Items[[#This Row],[ID]]="",Items[[#This Row],[Added]]=""),"",AsOf-Items[[#This Row],[Added]])</f>
      </c>
      <c r="W605" s="17">
        <f>IF(Items[[#This Row],[In sprint]]=1,(IF(Items[[#This Row],[Prio]]="",9,N(Items[[#This Row],[Prio]]))*10+(IF(Items[[#This Row],[State]]="DONE",1,0)))*100000+ROW(),"")</f>
      </c>
      <c r="X60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05" s="17">
        <f>IF(AND(Items[[#This Row],[State]]="DONE",N(Items[[#This Row],[Done on]])&gt;AsOf-7),(200000-N(Items[[#This Row],[Done on]]))*100000+ROW(),"")</f>
      </c>
    </row>
    <row r="606">
      <c r="A606" t="s">
        <v>712</v>
      </c>
      <c r="B606" t="s">
        <v>1827</v>
      </c>
      <c r="C606" t="s">
        <v>1115</v>
      </c>
      <c r="D606" t="s">
        <v>1119</v>
      </c>
      <c r="E606" t="s">
        <v>1112</v>
      </c>
      <c r="F606" t="s">
        <v>1142</v>
      </c>
      <c r="G606">
        <v>2</v>
      </c>
      <c r="H606">
        <v>3</v>
      </c>
      <c r="I606" s="11">
        <v>46203</v>
      </c>
      <c r="J606" s="17">
        <f>IF(Items[[#This Row],[ID]]="","",IFERROR(VALUE(LOOKUP(2,1/((Log[ID]=Items[[#This Row],[ID]])*(Log[Verb]="est")),Log[Arg])),N(Items[[#This Row],[Points]])))</f>
      </c>
      <c r="K606" s="17">
        <f>IF(Items[[#This Row],[ID]]="","",IFERROR(LOOKUP(2,1/((Log[ID]=Items[[#This Row],[ID]])*(Log[Verb]="pass")),Log[Arg])&amp;"",Items[[#This Row],[Team]]&amp;""))</f>
      </c>
      <c r="L606" s="17">
        <f>IF(Items[[#This Row],[ID]]="","",IFERROR(LOOKUP(2,1/((Log[ID]=Items[[#This Row],[ID]])*(Log[Into]&lt;&gt;"")),Log[Into]),""))</f>
      </c>
      <c r="M606" s="17">
        <f>IF(Items[[#This Row],[ID]]="","",IF(IFERROR(LOOKUP(2,1/((Log[ID]=Items[[#This Row],[ID]])*(Log[Blk]&lt;&gt;"")),Log[Blk]),0)=1,"Y",""))</f>
      </c>
      <c r="N606" s="17">
        <f>IF(Items[[#This Row],[ID]]="","",SUBSTITUTE(IFERROR(LOOKUP(2,1/((Log[ID]=Items[[#This Row],[ID]])*(Log[State]&lt;&gt;"")),Log[State]),"TODO"),"OPEN",IF(Items[[#This Row],[Blocked]]="Y","WAIT","OPEN")))</f>
      </c>
      <c r="O60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06" s="17">
        <f>IF(Items[[#This Row],[State]]&lt;&gt;"WAIT","",AsOf-Items[[#This Row],[Blocked since]])</f>
      </c>
      <c r="Q606" s="17">
        <f>IF(Items[[#This Row],[State]]&lt;&gt;"WAIT","",IFERROR(LOOKUP(2,1/((Log[ID]=Items[[#This Row],[ID]])*(Log[Verb]="block")),Log[Note])&amp;"",""))</f>
      </c>
      <c r="R606" s="17">
        <f>IF(Items[[#This Row],[ID]]="","",COUNTIFS(Log[ID],Items[[#This Row],[ID]],Log[Verb],"carry"))</f>
      </c>
      <c r="S606" s="17">
        <f>IF(Items[[#This Row],[ID]]="","",COUNTIFS(Log[ID],Items[[#This Row],[ID]],Log[Verb],"punt"))</f>
      </c>
      <c r="T606" s="11">
        <f>IF(Items[[#This Row],[State]]&lt;&gt;"DONE","",IFERROR(LOOKUP(2,1/((Log[ID]=Items[[#This Row],[ID]])*(Log[Verb]="done")),Log[Date]),""))</f>
      </c>
      <c r="U606" s="17">
        <f>IF(Items[[#This Row],[ID]]="","",IF(AND(Items[[#This Row],[Sprint]]=CurSprint,OR(Items[[#This Row],[State]]="OPEN",Items[[#This Row],[State]]="WAIT",Items[[#This Row],[State]]="HOLD",Items[[#This Row],[State]]="DONE")),1,0))</f>
      </c>
      <c r="V606" s="17">
        <f>IF(OR(Items[[#This Row],[ID]]="",Items[[#This Row],[Added]]=""),"",AsOf-Items[[#This Row],[Added]])</f>
      </c>
      <c r="W606" s="17">
        <f>IF(Items[[#This Row],[In sprint]]=1,(IF(Items[[#This Row],[Prio]]="",9,N(Items[[#This Row],[Prio]]))*10+(IF(Items[[#This Row],[State]]="DONE",1,0)))*100000+ROW(),"")</f>
      </c>
      <c r="X60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06" s="17">
        <f>IF(AND(Items[[#This Row],[State]]="DONE",N(Items[[#This Row],[Done on]])&gt;AsOf-7),(200000-N(Items[[#This Row],[Done on]]))*100000+ROW(),"")</f>
      </c>
    </row>
    <row r="607">
      <c r="A607" t="s">
        <v>713</v>
      </c>
      <c r="B607" t="s">
        <v>1828</v>
      </c>
      <c r="C607" t="s">
        <v>1107</v>
      </c>
      <c r="D607" t="s">
        <v>1108</v>
      </c>
      <c r="E607" t="s">
        <v>1112</v>
      </c>
      <c r="F607" t="s">
        <v>1144</v>
      </c>
      <c r="G607">
        <v>3</v>
      </c>
      <c r="H607">
        <v>2</v>
      </c>
      <c r="I607" s="11">
        <v>46203</v>
      </c>
      <c r="J607" s="17">
        <f>IF(Items[[#This Row],[ID]]="","",IFERROR(VALUE(LOOKUP(2,1/((Log[ID]=Items[[#This Row],[ID]])*(Log[Verb]="est")),Log[Arg])),N(Items[[#This Row],[Points]])))</f>
      </c>
      <c r="K607" s="17">
        <f>IF(Items[[#This Row],[ID]]="","",IFERROR(LOOKUP(2,1/((Log[ID]=Items[[#This Row],[ID]])*(Log[Verb]="pass")),Log[Arg])&amp;"",Items[[#This Row],[Team]]&amp;""))</f>
      </c>
      <c r="L607" s="17">
        <f>IF(Items[[#This Row],[ID]]="","",IFERROR(LOOKUP(2,1/((Log[ID]=Items[[#This Row],[ID]])*(Log[Into]&lt;&gt;"")),Log[Into]),""))</f>
      </c>
      <c r="M607" s="17">
        <f>IF(Items[[#This Row],[ID]]="","",IF(IFERROR(LOOKUP(2,1/((Log[ID]=Items[[#This Row],[ID]])*(Log[Blk]&lt;&gt;"")),Log[Blk]),0)=1,"Y",""))</f>
      </c>
      <c r="N607" s="17">
        <f>IF(Items[[#This Row],[ID]]="","",SUBSTITUTE(IFERROR(LOOKUP(2,1/((Log[ID]=Items[[#This Row],[ID]])*(Log[State]&lt;&gt;"")),Log[State]),"TODO"),"OPEN",IF(Items[[#This Row],[Blocked]]="Y","WAIT","OPEN")))</f>
      </c>
      <c r="O60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07" s="17">
        <f>IF(Items[[#This Row],[State]]&lt;&gt;"WAIT","",AsOf-Items[[#This Row],[Blocked since]])</f>
      </c>
      <c r="Q607" s="17">
        <f>IF(Items[[#This Row],[State]]&lt;&gt;"WAIT","",IFERROR(LOOKUP(2,1/((Log[ID]=Items[[#This Row],[ID]])*(Log[Verb]="block")),Log[Note])&amp;"",""))</f>
      </c>
      <c r="R607" s="17">
        <f>IF(Items[[#This Row],[ID]]="","",COUNTIFS(Log[ID],Items[[#This Row],[ID]],Log[Verb],"carry"))</f>
      </c>
      <c r="S607" s="17">
        <f>IF(Items[[#This Row],[ID]]="","",COUNTIFS(Log[ID],Items[[#This Row],[ID]],Log[Verb],"punt"))</f>
      </c>
      <c r="T607" s="11">
        <f>IF(Items[[#This Row],[State]]&lt;&gt;"DONE","",IFERROR(LOOKUP(2,1/((Log[ID]=Items[[#This Row],[ID]])*(Log[Verb]="done")),Log[Date]),""))</f>
      </c>
      <c r="U607" s="17">
        <f>IF(Items[[#This Row],[ID]]="","",IF(AND(Items[[#This Row],[Sprint]]=CurSprint,OR(Items[[#This Row],[State]]="OPEN",Items[[#This Row],[State]]="WAIT",Items[[#This Row],[State]]="HOLD",Items[[#This Row],[State]]="DONE")),1,0))</f>
      </c>
      <c r="V607" s="17">
        <f>IF(OR(Items[[#This Row],[ID]]="",Items[[#This Row],[Added]]=""),"",AsOf-Items[[#This Row],[Added]])</f>
      </c>
      <c r="W607" s="17">
        <f>IF(Items[[#This Row],[In sprint]]=1,(IF(Items[[#This Row],[Prio]]="",9,N(Items[[#This Row],[Prio]]))*10+(IF(Items[[#This Row],[State]]="DONE",1,0)))*100000+ROW(),"")</f>
      </c>
      <c r="X60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07" s="17">
        <f>IF(AND(Items[[#This Row],[State]]="DONE",N(Items[[#This Row],[Done on]])&gt;AsOf-7),(200000-N(Items[[#This Row],[Done on]]))*100000+ROW(),"")</f>
      </c>
    </row>
    <row r="608">
      <c r="A608" t="s">
        <v>760</v>
      </c>
      <c r="B608" t="s">
        <v>1829</v>
      </c>
      <c r="C608" t="s">
        <v>1107</v>
      </c>
      <c r="D608" t="s">
        <v>1108</v>
      </c>
      <c r="E608" t="s">
        <v>1112</v>
      </c>
      <c r="F608" t="s">
        <v>1142</v>
      </c>
      <c r="G608">
        <v>3</v>
      </c>
      <c r="H608">
        <v>2</v>
      </c>
      <c r="I608" s="11">
        <v>46203</v>
      </c>
      <c r="J608" s="17">
        <f>IF(Items[[#This Row],[ID]]="","",IFERROR(VALUE(LOOKUP(2,1/((Log[ID]=Items[[#This Row],[ID]])*(Log[Verb]="est")),Log[Arg])),N(Items[[#This Row],[Points]])))</f>
      </c>
      <c r="K608" s="17">
        <f>IF(Items[[#This Row],[ID]]="","",IFERROR(LOOKUP(2,1/((Log[ID]=Items[[#This Row],[ID]])*(Log[Verb]="pass")),Log[Arg])&amp;"",Items[[#This Row],[Team]]&amp;""))</f>
      </c>
      <c r="L608" s="17">
        <f>IF(Items[[#This Row],[ID]]="","",IFERROR(LOOKUP(2,1/((Log[ID]=Items[[#This Row],[ID]])*(Log[Into]&lt;&gt;"")),Log[Into]),""))</f>
      </c>
      <c r="M608" s="17">
        <f>IF(Items[[#This Row],[ID]]="","",IF(IFERROR(LOOKUP(2,1/((Log[ID]=Items[[#This Row],[ID]])*(Log[Blk]&lt;&gt;"")),Log[Blk]),0)=1,"Y",""))</f>
      </c>
      <c r="N608" s="17">
        <f>IF(Items[[#This Row],[ID]]="","",SUBSTITUTE(IFERROR(LOOKUP(2,1/((Log[ID]=Items[[#This Row],[ID]])*(Log[State]&lt;&gt;"")),Log[State]),"TODO"),"OPEN",IF(Items[[#This Row],[Blocked]]="Y","WAIT","OPEN")))</f>
      </c>
      <c r="O60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08" s="17">
        <f>IF(Items[[#This Row],[State]]&lt;&gt;"WAIT","",AsOf-Items[[#This Row],[Blocked since]])</f>
      </c>
      <c r="Q608" s="17">
        <f>IF(Items[[#This Row],[State]]&lt;&gt;"WAIT","",IFERROR(LOOKUP(2,1/((Log[ID]=Items[[#This Row],[ID]])*(Log[Verb]="block")),Log[Note])&amp;"",""))</f>
      </c>
      <c r="R608" s="17">
        <f>IF(Items[[#This Row],[ID]]="","",COUNTIFS(Log[ID],Items[[#This Row],[ID]],Log[Verb],"carry"))</f>
      </c>
      <c r="S608" s="17">
        <f>IF(Items[[#This Row],[ID]]="","",COUNTIFS(Log[ID],Items[[#This Row],[ID]],Log[Verb],"punt"))</f>
      </c>
      <c r="T608" s="11">
        <f>IF(Items[[#This Row],[State]]&lt;&gt;"DONE","",IFERROR(LOOKUP(2,1/((Log[ID]=Items[[#This Row],[ID]])*(Log[Verb]="done")),Log[Date]),""))</f>
      </c>
      <c r="U608" s="17">
        <f>IF(Items[[#This Row],[ID]]="","",IF(AND(Items[[#This Row],[Sprint]]=CurSprint,OR(Items[[#This Row],[State]]="OPEN",Items[[#This Row],[State]]="WAIT",Items[[#This Row],[State]]="HOLD",Items[[#This Row],[State]]="DONE")),1,0))</f>
      </c>
      <c r="V608" s="17">
        <f>IF(OR(Items[[#This Row],[ID]]="",Items[[#This Row],[Added]]=""),"",AsOf-Items[[#This Row],[Added]])</f>
      </c>
      <c r="W608" s="17">
        <f>IF(Items[[#This Row],[In sprint]]=1,(IF(Items[[#This Row],[Prio]]="",9,N(Items[[#This Row],[Prio]]))*10+(IF(Items[[#This Row],[State]]="DONE",1,0)))*100000+ROW(),"")</f>
      </c>
      <c r="X60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08" s="17">
        <f>IF(AND(Items[[#This Row],[State]]="DONE",N(Items[[#This Row],[Done on]])&gt;AsOf-7),(200000-N(Items[[#This Row],[Done on]]))*100000+ROW(),"")</f>
      </c>
    </row>
    <row r="609">
      <c r="A609" t="s">
        <v>761</v>
      </c>
      <c r="B609" t="s">
        <v>1830</v>
      </c>
      <c r="C609" t="s">
        <v>1115</v>
      </c>
      <c r="D609" t="s">
        <v>1119</v>
      </c>
      <c r="E609" t="s">
        <v>1112</v>
      </c>
      <c r="F609" t="s">
        <v>1265</v>
      </c>
      <c r="G609">
        <v>5</v>
      </c>
      <c r="H609">
        <v>2</v>
      </c>
      <c r="I609" s="11">
        <v>46203</v>
      </c>
      <c r="J609" s="17">
        <f>IF(Items[[#This Row],[ID]]="","",IFERROR(VALUE(LOOKUP(2,1/((Log[ID]=Items[[#This Row],[ID]])*(Log[Verb]="est")),Log[Arg])),N(Items[[#This Row],[Points]])))</f>
      </c>
      <c r="K609" s="17">
        <f>IF(Items[[#This Row],[ID]]="","",IFERROR(LOOKUP(2,1/((Log[ID]=Items[[#This Row],[ID]])*(Log[Verb]="pass")),Log[Arg])&amp;"",Items[[#This Row],[Team]]&amp;""))</f>
      </c>
      <c r="L609" s="17">
        <f>IF(Items[[#This Row],[ID]]="","",IFERROR(LOOKUP(2,1/((Log[ID]=Items[[#This Row],[ID]])*(Log[Into]&lt;&gt;"")),Log[Into]),""))</f>
      </c>
      <c r="M609" s="17">
        <f>IF(Items[[#This Row],[ID]]="","",IF(IFERROR(LOOKUP(2,1/((Log[ID]=Items[[#This Row],[ID]])*(Log[Blk]&lt;&gt;"")),Log[Blk]),0)=1,"Y",""))</f>
      </c>
      <c r="N609" s="17">
        <f>IF(Items[[#This Row],[ID]]="","",SUBSTITUTE(IFERROR(LOOKUP(2,1/((Log[ID]=Items[[#This Row],[ID]])*(Log[State]&lt;&gt;"")),Log[State]),"TODO"),"OPEN",IF(Items[[#This Row],[Blocked]]="Y","WAIT","OPEN")))</f>
      </c>
      <c r="O60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09" s="17">
        <f>IF(Items[[#This Row],[State]]&lt;&gt;"WAIT","",AsOf-Items[[#This Row],[Blocked since]])</f>
      </c>
      <c r="Q609" s="17">
        <f>IF(Items[[#This Row],[State]]&lt;&gt;"WAIT","",IFERROR(LOOKUP(2,1/((Log[ID]=Items[[#This Row],[ID]])*(Log[Verb]="block")),Log[Note])&amp;"",""))</f>
      </c>
      <c r="R609" s="17">
        <f>IF(Items[[#This Row],[ID]]="","",COUNTIFS(Log[ID],Items[[#This Row],[ID]],Log[Verb],"carry"))</f>
      </c>
      <c r="S609" s="17">
        <f>IF(Items[[#This Row],[ID]]="","",COUNTIFS(Log[ID],Items[[#This Row],[ID]],Log[Verb],"punt"))</f>
      </c>
      <c r="T609" s="11">
        <f>IF(Items[[#This Row],[State]]&lt;&gt;"DONE","",IFERROR(LOOKUP(2,1/((Log[ID]=Items[[#This Row],[ID]])*(Log[Verb]="done")),Log[Date]),""))</f>
      </c>
      <c r="U609" s="17">
        <f>IF(Items[[#This Row],[ID]]="","",IF(AND(Items[[#This Row],[Sprint]]=CurSprint,OR(Items[[#This Row],[State]]="OPEN",Items[[#This Row],[State]]="WAIT",Items[[#This Row],[State]]="HOLD",Items[[#This Row],[State]]="DONE")),1,0))</f>
      </c>
      <c r="V609" s="17">
        <f>IF(OR(Items[[#This Row],[ID]]="",Items[[#This Row],[Added]]=""),"",AsOf-Items[[#This Row],[Added]])</f>
      </c>
      <c r="W609" s="17">
        <f>IF(Items[[#This Row],[In sprint]]=1,(IF(Items[[#This Row],[Prio]]="",9,N(Items[[#This Row],[Prio]]))*10+(IF(Items[[#This Row],[State]]="DONE",1,0)))*100000+ROW(),"")</f>
      </c>
      <c r="X60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09" s="17">
        <f>IF(AND(Items[[#This Row],[State]]="DONE",N(Items[[#This Row],[Done on]])&gt;AsOf-7),(200000-N(Items[[#This Row],[Done on]]))*100000+ROW(),"")</f>
      </c>
    </row>
    <row r="610">
      <c r="A610" t="s">
        <v>762</v>
      </c>
      <c r="B610" t="s">
        <v>1831</v>
      </c>
      <c r="C610" t="s">
        <v>1107</v>
      </c>
      <c r="D610" t="s">
        <v>1108</v>
      </c>
      <c r="E610" t="s">
        <v>1112</v>
      </c>
      <c r="F610" t="s">
        <v>1184</v>
      </c>
      <c r="G610">
        <v>3</v>
      </c>
      <c r="H610">
        <v>1</v>
      </c>
      <c r="I610" s="11">
        <v>46203</v>
      </c>
      <c r="J610" s="17">
        <f>IF(Items[[#This Row],[ID]]="","",IFERROR(VALUE(LOOKUP(2,1/((Log[ID]=Items[[#This Row],[ID]])*(Log[Verb]="est")),Log[Arg])),N(Items[[#This Row],[Points]])))</f>
      </c>
      <c r="K610" s="17">
        <f>IF(Items[[#This Row],[ID]]="","",IFERROR(LOOKUP(2,1/((Log[ID]=Items[[#This Row],[ID]])*(Log[Verb]="pass")),Log[Arg])&amp;"",Items[[#This Row],[Team]]&amp;""))</f>
      </c>
      <c r="L610" s="17">
        <f>IF(Items[[#This Row],[ID]]="","",IFERROR(LOOKUP(2,1/((Log[ID]=Items[[#This Row],[ID]])*(Log[Into]&lt;&gt;"")),Log[Into]),""))</f>
      </c>
      <c r="M610" s="17">
        <f>IF(Items[[#This Row],[ID]]="","",IF(IFERROR(LOOKUP(2,1/((Log[ID]=Items[[#This Row],[ID]])*(Log[Blk]&lt;&gt;"")),Log[Blk]),0)=1,"Y",""))</f>
      </c>
      <c r="N610" s="17">
        <f>IF(Items[[#This Row],[ID]]="","",SUBSTITUTE(IFERROR(LOOKUP(2,1/((Log[ID]=Items[[#This Row],[ID]])*(Log[State]&lt;&gt;"")),Log[State]),"TODO"),"OPEN",IF(Items[[#This Row],[Blocked]]="Y","WAIT","OPEN")))</f>
      </c>
      <c r="O61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10" s="17">
        <f>IF(Items[[#This Row],[State]]&lt;&gt;"WAIT","",AsOf-Items[[#This Row],[Blocked since]])</f>
      </c>
      <c r="Q610" s="17">
        <f>IF(Items[[#This Row],[State]]&lt;&gt;"WAIT","",IFERROR(LOOKUP(2,1/((Log[ID]=Items[[#This Row],[ID]])*(Log[Verb]="block")),Log[Note])&amp;"",""))</f>
      </c>
      <c r="R610" s="17">
        <f>IF(Items[[#This Row],[ID]]="","",COUNTIFS(Log[ID],Items[[#This Row],[ID]],Log[Verb],"carry"))</f>
      </c>
      <c r="S610" s="17">
        <f>IF(Items[[#This Row],[ID]]="","",COUNTIFS(Log[ID],Items[[#This Row],[ID]],Log[Verb],"punt"))</f>
      </c>
      <c r="T610" s="11">
        <f>IF(Items[[#This Row],[State]]&lt;&gt;"DONE","",IFERROR(LOOKUP(2,1/((Log[ID]=Items[[#This Row],[ID]])*(Log[Verb]="done")),Log[Date]),""))</f>
      </c>
      <c r="U610" s="17">
        <f>IF(Items[[#This Row],[ID]]="","",IF(AND(Items[[#This Row],[Sprint]]=CurSprint,OR(Items[[#This Row],[State]]="OPEN",Items[[#This Row],[State]]="WAIT",Items[[#This Row],[State]]="HOLD",Items[[#This Row],[State]]="DONE")),1,0))</f>
      </c>
      <c r="V610" s="17">
        <f>IF(OR(Items[[#This Row],[ID]]="",Items[[#This Row],[Added]]=""),"",AsOf-Items[[#This Row],[Added]])</f>
      </c>
      <c r="W610" s="17">
        <f>IF(Items[[#This Row],[In sprint]]=1,(IF(Items[[#This Row],[Prio]]="",9,N(Items[[#This Row],[Prio]]))*10+(IF(Items[[#This Row],[State]]="DONE",1,0)))*100000+ROW(),"")</f>
      </c>
      <c r="X61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10" s="17">
        <f>IF(AND(Items[[#This Row],[State]]="DONE",N(Items[[#This Row],[Done on]])&gt;AsOf-7),(200000-N(Items[[#This Row],[Done on]]))*100000+ROW(),"")</f>
      </c>
    </row>
    <row r="611">
      <c r="A611" t="s">
        <v>763</v>
      </c>
      <c r="B611" t="s">
        <v>1832</v>
      </c>
      <c r="C611" t="s">
        <v>1115</v>
      </c>
      <c r="D611" t="s">
        <v>1116</v>
      </c>
      <c r="E611" t="s">
        <v>1112</v>
      </c>
      <c r="F611" t="s">
        <v>1147</v>
      </c>
      <c r="G611">
        <v>8</v>
      </c>
      <c r="H611">
        <v>1</v>
      </c>
      <c r="I611" s="11">
        <v>46203</v>
      </c>
      <c r="J611" s="17">
        <f>IF(Items[[#This Row],[ID]]="","",IFERROR(VALUE(LOOKUP(2,1/((Log[ID]=Items[[#This Row],[ID]])*(Log[Verb]="est")),Log[Arg])),N(Items[[#This Row],[Points]])))</f>
      </c>
      <c r="K611" s="17">
        <f>IF(Items[[#This Row],[ID]]="","",IFERROR(LOOKUP(2,1/((Log[ID]=Items[[#This Row],[ID]])*(Log[Verb]="pass")),Log[Arg])&amp;"",Items[[#This Row],[Team]]&amp;""))</f>
      </c>
      <c r="L611" s="17">
        <f>IF(Items[[#This Row],[ID]]="","",IFERROR(LOOKUP(2,1/((Log[ID]=Items[[#This Row],[ID]])*(Log[Into]&lt;&gt;"")),Log[Into]),""))</f>
      </c>
      <c r="M611" s="17">
        <f>IF(Items[[#This Row],[ID]]="","",IF(IFERROR(LOOKUP(2,1/((Log[ID]=Items[[#This Row],[ID]])*(Log[Blk]&lt;&gt;"")),Log[Blk]),0)=1,"Y",""))</f>
      </c>
      <c r="N611" s="17">
        <f>IF(Items[[#This Row],[ID]]="","",SUBSTITUTE(IFERROR(LOOKUP(2,1/((Log[ID]=Items[[#This Row],[ID]])*(Log[State]&lt;&gt;"")),Log[State]),"TODO"),"OPEN",IF(Items[[#This Row],[Blocked]]="Y","WAIT","OPEN")))</f>
      </c>
      <c r="O61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11" s="17">
        <f>IF(Items[[#This Row],[State]]&lt;&gt;"WAIT","",AsOf-Items[[#This Row],[Blocked since]])</f>
      </c>
      <c r="Q611" s="17">
        <f>IF(Items[[#This Row],[State]]&lt;&gt;"WAIT","",IFERROR(LOOKUP(2,1/((Log[ID]=Items[[#This Row],[ID]])*(Log[Verb]="block")),Log[Note])&amp;"",""))</f>
      </c>
      <c r="R611" s="17">
        <f>IF(Items[[#This Row],[ID]]="","",COUNTIFS(Log[ID],Items[[#This Row],[ID]],Log[Verb],"carry"))</f>
      </c>
      <c r="S611" s="17">
        <f>IF(Items[[#This Row],[ID]]="","",COUNTIFS(Log[ID],Items[[#This Row],[ID]],Log[Verb],"punt"))</f>
      </c>
      <c r="T611" s="11">
        <f>IF(Items[[#This Row],[State]]&lt;&gt;"DONE","",IFERROR(LOOKUP(2,1/((Log[ID]=Items[[#This Row],[ID]])*(Log[Verb]="done")),Log[Date]),""))</f>
      </c>
      <c r="U611" s="17">
        <f>IF(Items[[#This Row],[ID]]="","",IF(AND(Items[[#This Row],[Sprint]]=CurSprint,OR(Items[[#This Row],[State]]="OPEN",Items[[#This Row],[State]]="WAIT",Items[[#This Row],[State]]="HOLD",Items[[#This Row],[State]]="DONE")),1,0))</f>
      </c>
      <c r="V611" s="17">
        <f>IF(OR(Items[[#This Row],[ID]]="",Items[[#This Row],[Added]]=""),"",AsOf-Items[[#This Row],[Added]])</f>
      </c>
      <c r="W611" s="17">
        <f>IF(Items[[#This Row],[In sprint]]=1,(IF(Items[[#This Row],[Prio]]="",9,N(Items[[#This Row],[Prio]]))*10+(IF(Items[[#This Row],[State]]="DONE",1,0)))*100000+ROW(),"")</f>
      </c>
      <c r="X61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11" s="17">
        <f>IF(AND(Items[[#This Row],[State]]="DONE",N(Items[[#This Row],[Done on]])&gt;AsOf-7),(200000-N(Items[[#This Row],[Done on]]))*100000+ROW(),"")</f>
      </c>
    </row>
    <row r="612">
      <c r="A612" t="s">
        <v>714</v>
      </c>
      <c r="B612" t="s">
        <v>1833</v>
      </c>
      <c r="C612" t="s">
        <v>1115</v>
      </c>
      <c r="D612" t="s">
        <v>1116</v>
      </c>
      <c r="E612" t="s">
        <v>1112</v>
      </c>
      <c r="F612" t="s">
        <v>1117</v>
      </c>
      <c r="G612">
        <v>2</v>
      </c>
      <c r="H612">
        <v>3</v>
      </c>
      <c r="I612" s="11">
        <v>46203</v>
      </c>
      <c r="J612" s="17">
        <f>IF(Items[[#This Row],[ID]]="","",IFERROR(VALUE(LOOKUP(2,1/((Log[ID]=Items[[#This Row],[ID]])*(Log[Verb]="est")),Log[Arg])),N(Items[[#This Row],[Points]])))</f>
      </c>
      <c r="K612" s="17">
        <f>IF(Items[[#This Row],[ID]]="","",IFERROR(LOOKUP(2,1/((Log[ID]=Items[[#This Row],[ID]])*(Log[Verb]="pass")),Log[Arg])&amp;"",Items[[#This Row],[Team]]&amp;""))</f>
      </c>
      <c r="L612" s="17">
        <f>IF(Items[[#This Row],[ID]]="","",IFERROR(LOOKUP(2,1/((Log[ID]=Items[[#This Row],[ID]])*(Log[Into]&lt;&gt;"")),Log[Into]),""))</f>
      </c>
      <c r="M612" s="17">
        <f>IF(Items[[#This Row],[ID]]="","",IF(IFERROR(LOOKUP(2,1/((Log[ID]=Items[[#This Row],[ID]])*(Log[Blk]&lt;&gt;"")),Log[Blk]),0)=1,"Y",""))</f>
      </c>
      <c r="N612" s="17">
        <f>IF(Items[[#This Row],[ID]]="","",SUBSTITUTE(IFERROR(LOOKUP(2,1/((Log[ID]=Items[[#This Row],[ID]])*(Log[State]&lt;&gt;"")),Log[State]),"TODO"),"OPEN",IF(Items[[#This Row],[Blocked]]="Y","WAIT","OPEN")))</f>
      </c>
      <c r="O61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12" s="17">
        <f>IF(Items[[#This Row],[State]]&lt;&gt;"WAIT","",AsOf-Items[[#This Row],[Blocked since]])</f>
      </c>
      <c r="Q612" s="17">
        <f>IF(Items[[#This Row],[State]]&lt;&gt;"WAIT","",IFERROR(LOOKUP(2,1/((Log[ID]=Items[[#This Row],[ID]])*(Log[Verb]="block")),Log[Note])&amp;"",""))</f>
      </c>
      <c r="R612" s="17">
        <f>IF(Items[[#This Row],[ID]]="","",COUNTIFS(Log[ID],Items[[#This Row],[ID]],Log[Verb],"carry"))</f>
      </c>
      <c r="S612" s="17">
        <f>IF(Items[[#This Row],[ID]]="","",COUNTIFS(Log[ID],Items[[#This Row],[ID]],Log[Verb],"punt"))</f>
      </c>
      <c r="T612" s="11">
        <f>IF(Items[[#This Row],[State]]&lt;&gt;"DONE","",IFERROR(LOOKUP(2,1/((Log[ID]=Items[[#This Row],[ID]])*(Log[Verb]="done")),Log[Date]),""))</f>
      </c>
      <c r="U612" s="17">
        <f>IF(Items[[#This Row],[ID]]="","",IF(AND(Items[[#This Row],[Sprint]]=CurSprint,OR(Items[[#This Row],[State]]="OPEN",Items[[#This Row],[State]]="WAIT",Items[[#This Row],[State]]="HOLD",Items[[#This Row],[State]]="DONE")),1,0))</f>
      </c>
      <c r="V612" s="17">
        <f>IF(OR(Items[[#This Row],[ID]]="",Items[[#This Row],[Added]]=""),"",AsOf-Items[[#This Row],[Added]])</f>
      </c>
      <c r="W612" s="17">
        <f>IF(Items[[#This Row],[In sprint]]=1,(IF(Items[[#This Row],[Prio]]="",9,N(Items[[#This Row],[Prio]]))*10+(IF(Items[[#This Row],[State]]="DONE",1,0)))*100000+ROW(),"")</f>
      </c>
      <c r="X61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12" s="17">
        <f>IF(AND(Items[[#This Row],[State]]="DONE",N(Items[[#This Row],[Done on]])&gt;AsOf-7),(200000-N(Items[[#This Row],[Done on]]))*100000+ROW(),"")</f>
      </c>
    </row>
    <row r="613">
      <c r="A613" t="s">
        <v>826</v>
      </c>
      <c r="B613" t="s">
        <v>1834</v>
      </c>
      <c r="C613" t="s">
        <v>1107</v>
      </c>
      <c r="D613" t="s">
        <v>1123</v>
      </c>
      <c r="E613" t="s">
        <v>1120</v>
      </c>
      <c r="F613" t="s">
        <v>1269</v>
      </c>
      <c r="G613">
        <v>3</v>
      </c>
      <c r="H613">
        <v>1</v>
      </c>
      <c r="I613" s="11">
        <v>46203</v>
      </c>
      <c r="J613" s="17">
        <f>IF(Items[[#This Row],[ID]]="","",IFERROR(VALUE(LOOKUP(2,1/((Log[ID]=Items[[#This Row],[ID]])*(Log[Verb]="est")),Log[Arg])),N(Items[[#This Row],[Points]])))</f>
      </c>
      <c r="K613" s="17">
        <f>IF(Items[[#This Row],[ID]]="","",IFERROR(LOOKUP(2,1/((Log[ID]=Items[[#This Row],[ID]])*(Log[Verb]="pass")),Log[Arg])&amp;"",Items[[#This Row],[Team]]&amp;""))</f>
      </c>
      <c r="L613" s="17">
        <f>IF(Items[[#This Row],[ID]]="","",IFERROR(LOOKUP(2,1/((Log[ID]=Items[[#This Row],[ID]])*(Log[Into]&lt;&gt;"")),Log[Into]),""))</f>
      </c>
      <c r="M613" s="17">
        <f>IF(Items[[#This Row],[ID]]="","",IF(IFERROR(LOOKUP(2,1/((Log[ID]=Items[[#This Row],[ID]])*(Log[Blk]&lt;&gt;"")),Log[Blk]),0)=1,"Y",""))</f>
      </c>
      <c r="N613" s="17">
        <f>IF(Items[[#This Row],[ID]]="","",SUBSTITUTE(IFERROR(LOOKUP(2,1/((Log[ID]=Items[[#This Row],[ID]])*(Log[State]&lt;&gt;"")),Log[State]),"TODO"),"OPEN",IF(Items[[#This Row],[Blocked]]="Y","WAIT","OPEN")))</f>
      </c>
      <c r="O61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13" s="17">
        <f>IF(Items[[#This Row],[State]]&lt;&gt;"WAIT","",AsOf-Items[[#This Row],[Blocked since]])</f>
      </c>
      <c r="Q613" s="17">
        <f>IF(Items[[#This Row],[State]]&lt;&gt;"WAIT","",IFERROR(LOOKUP(2,1/((Log[ID]=Items[[#This Row],[ID]])*(Log[Verb]="block")),Log[Note])&amp;"",""))</f>
      </c>
      <c r="R613" s="17">
        <f>IF(Items[[#This Row],[ID]]="","",COUNTIFS(Log[ID],Items[[#This Row],[ID]],Log[Verb],"carry"))</f>
      </c>
      <c r="S613" s="17">
        <f>IF(Items[[#This Row],[ID]]="","",COUNTIFS(Log[ID],Items[[#This Row],[ID]],Log[Verb],"punt"))</f>
      </c>
      <c r="T613" s="11">
        <f>IF(Items[[#This Row],[State]]&lt;&gt;"DONE","",IFERROR(LOOKUP(2,1/((Log[ID]=Items[[#This Row],[ID]])*(Log[Verb]="done")),Log[Date]),""))</f>
      </c>
      <c r="U613" s="17">
        <f>IF(Items[[#This Row],[ID]]="","",IF(AND(Items[[#This Row],[Sprint]]=CurSprint,OR(Items[[#This Row],[State]]="OPEN",Items[[#This Row],[State]]="WAIT",Items[[#This Row],[State]]="HOLD",Items[[#This Row],[State]]="DONE")),1,0))</f>
      </c>
      <c r="V613" s="17">
        <f>IF(OR(Items[[#This Row],[ID]]="",Items[[#This Row],[Added]]=""),"",AsOf-Items[[#This Row],[Added]])</f>
      </c>
      <c r="W613" s="17">
        <f>IF(Items[[#This Row],[In sprint]]=1,(IF(Items[[#This Row],[Prio]]="",9,N(Items[[#This Row],[Prio]]))*10+(IF(Items[[#This Row],[State]]="DONE",1,0)))*100000+ROW(),"")</f>
      </c>
      <c r="X61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13" s="17">
        <f>IF(AND(Items[[#This Row],[State]]="DONE",N(Items[[#This Row],[Done on]])&gt;AsOf-7),(200000-N(Items[[#This Row],[Done on]]))*100000+ROW(),"")</f>
      </c>
    </row>
    <row r="614">
      <c r="A614" t="s">
        <v>769</v>
      </c>
      <c r="B614" t="s">
        <v>1835</v>
      </c>
      <c r="C614" t="s">
        <v>1107</v>
      </c>
      <c r="D614" t="s">
        <v>1108</v>
      </c>
      <c r="E614" t="s">
        <v>1120</v>
      </c>
      <c r="F614" t="s">
        <v>1191</v>
      </c>
      <c r="G614">
        <v>2</v>
      </c>
      <c r="H614">
        <v>3</v>
      </c>
      <c r="I614" s="11">
        <v>46203</v>
      </c>
      <c r="J614" s="17">
        <f>IF(Items[[#This Row],[ID]]="","",IFERROR(VALUE(LOOKUP(2,1/((Log[ID]=Items[[#This Row],[ID]])*(Log[Verb]="est")),Log[Arg])),N(Items[[#This Row],[Points]])))</f>
      </c>
      <c r="K614" s="17">
        <f>IF(Items[[#This Row],[ID]]="","",IFERROR(LOOKUP(2,1/((Log[ID]=Items[[#This Row],[ID]])*(Log[Verb]="pass")),Log[Arg])&amp;"",Items[[#This Row],[Team]]&amp;""))</f>
      </c>
      <c r="L614" s="17">
        <f>IF(Items[[#This Row],[ID]]="","",IFERROR(LOOKUP(2,1/((Log[ID]=Items[[#This Row],[ID]])*(Log[Into]&lt;&gt;"")),Log[Into]),""))</f>
      </c>
      <c r="M614" s="17">
        <f>IF(Items[[#This Row],[ID]]="","",IF(IFERROR(LOOKUP(2,1/((Log[ID]=Items[[#This Row],[ID]])*(Log[Blk]&lt;&gt;"")),Log[Blk]),0)=1,"Y",""))</f>
      </c>
      <c r="N614" s="17">
        <f>IF(Items[[#This Row],[ID]]="","",SUBSTITUTE(IFERROR(LOOKUP(2,1/((Log[ID]=Items[[#This Row],[ID]])*(Log[State]&lt;&gt;"")),Log[State]),"TODO"),"OPEN",IF(Items[[#This Row],[Blocked]]="Y","WAIT","OPEN")))</f>
      </c>
      <c r="O61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14" s="17">
        <f>IF(Items[[#This Row],[State]]&lt;&gt;"WAIT","",AsOf-Items[[#This Row],[Blocked since]])</f>
      </c>
      <c r="Q614" s="17">
        <f>IF(Items[[#This Row],[State]]&lt;&gt;"WAIT","",IFERROR(LOOKUP(2,1/((Log[ID]=Items[[#This Row],[ID]])*(Log[Verb]="block")),Log[Note])&amp;"",""))</f>
      </c>
      <c r="R614" s="17">
        <f>IF(Items[[#This Row],[ID]]="","",COUNTIFS(Log[ID],Items[[#This Row],[ID]],Log[Verb],"carry"))</f>
      </c>
      <c r="S614" s="17">
        <f>IF(Items[[#This Row],[ID]]="","",COUNTIFS(Log[ID],Items[[#This Row],[ID]],Log[Verb],"punt"))</f>
      </c>
      <c r="T614" s="11">
        <f>IF(Items[[#This Row],[State]]&lt;&gt;"DONE","",IFERROR(LOOKUP(2,1/((Log[ID]=Items[[#This Row],[ID]])*(Log[Verb]="done")),Log[Date]),""))</f>
      </c>
      <c r="U614" s="17">
        <f>IF(Items[[#This Row],[ID]]="","",IF(AND(Items[[#This Row],[Sprint]]=CurSprint,OR(Items[[#This Row],[State]]="OPEN",Items[[#This Row],[State]]="WAIT",Items[[#This Row],[State]]="HOLD",Items[[#This Row],[State]]="DONE")),1,0))</f>
      </c>
      <c r="V614" s="17">
        <f>IF(OR(Items[[#This Row],[ID]]="",Items[[#This Row],[Added]]=""),"",AsOf-Items[[#This Row],[Added]])</f>
      </c>
      <c r="W614" s="17">
        <f>IF(Items[[#This Row],[In sprint]]=1,(IF(Items[[#This Row],[Prio]]="",9,N(Items[[#This Row],[Prio]]))*10+(IF(Items[[#This Row],[State]]="DONE",1,0)))*100000+ROW(),"")</f>
      </c>
      <c r="X61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14" s="17">
        <f>IF(AND(Items[[#This Row],[State]]="DONE",N(Items[[#This Row],[Done on]])&gt;AsOf-7),(200000-N(Items[[#This Row],[Done on]]))*100000+ROW(),"")</f>
      </c>
    </row>
    <row r="615">
      <c r="A615" t="s">
        <v>827</v>
      </c>
      <c r="B615" t="s">
        <v>1836</v>
      </c>
      <c r="C615" t="s">
        <v>1107</v>
      </c>
      <c r="D615" t="s">
        <v>1108</v>
      </c>
      <c r="E615" t="s">
        <v>1120</v>
      </c>
      <c r="F615" t="s">
        <v>1153</v>
      </c>
      <c r="G615">
        <v>2</v>
      </c>
      <c r="H615">
        <v>3</v>
      </c>
      <c r="I615" s="11">
        <v>46203</v>
      </c>
      <c r="J615" s="17">
        <f>IF(Items[[#This Row],[ID]]="","",IFERROR(VALUE(LOOKUP(2,1/((Log[ID]=Items[[#This Row],[ID]])*(Log[Verb]="est")),Log[Arg])),N(Items[[#This Row],[Points]])))</f>
      </c>
      <c r="K615" s="17">
        <f>IF(Items[[#This Row],[ID]]="","",IFERROR(LOOKUP(2,1/((Log[ID]=Items[[#This Row],[ID]])*(Log[Verb]="pass")),Log[Arg])&amp;"",Items[[#This Row],[Team]]&amp;""))</f>
      </c>
      <c r="L615" s="17">
        <f>IF(Items[[#This Row],[ID]]="","",IFERROR(LOOKUP(2,1/((Log[ID]=Items[[#This Row],[ID]])*(Log[Into]&lt;&gt;"")),Log[Into]),""))</f>
      </c>
      <c r="M615" s="17">
        <f>IF(Items[[#This Row],[ID]]="","",IF(IFERROR(LOOKUP(2,1/((Log[ID]=Items[[#This Row],[ID]])*(Log[Blk]&lt;&gt;"")),Log[Blk]),0)=1,"Y",""))</f>
      </c>
      <c r="N615" s="17">
        <f>IF(Items[[#This Row],[ID]]="","",SUBSTITUTE(IFERROR(LOOKUP(2,1/((Log[ID]=Items[[#This Row],[ID]])*(Log[State]&lt;&gt;"")),Log[State]),"TODO"),"OPEN",IF(Items[[#This Row],[Blocked]]="Y","WAIT","OPEN")))</f>
      </c>
      <c r="O61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15" s="17">
        <f>IF(Items[[#This Row],[State]]&lt;&gt;"WAIT","",AsOf-Items[[#This Row],[Blocked since]])</f>
      </c>
      <c r="Q615" s="17">
        <f>IF(Items[[#This Row],[State]]&lt;&gt;"WAIT","",IFERROR(LOOKUP(2,1/((Log[ID]=Items[[#This Row],[ID]])*(Log[Verb]="block")),Log[Note])&amp;"",""))</f>
      </c>
      <c r="R615" s="17">
        <f>IF(Items[[#This Row],[ID]]="","",COUNTIFS(Log[ID],Items[[#This Row],[ID]],Log[Verb],"carry"))</f>
      </c>
      <c r="S615" s="17">
        <f>IF(Items[[#This Row],[ID]]="","",COUNTIFS(Log[ID],Items[[#This Row],[ID]],Log[Verb],"punt"))</f>
      </c>
      <c r="T615" s="11">
        <f>IF(Items[[#This Row],[State]]&lt;&gt;"DONE","",IFERROR(LOOKUP(2,1/((Log[ID]=Items[[#This Row],[ID]])*(Log[Verb]="done")),Log[Date]),""))</f>
      </c>
      <c r="U615" s="17">
        <f>IF(Items[[#This Row],[ID]]="","",IF(AND(Items[[#This Row],[Sprint]]=CurSprint,OR(Items[[#This Row],[State]]="OPEN",Items[[#This Row],[State]]="WAIT",Items[[#This Row],[State]]="HOLD",Items[[#This Row],[State]]="DONE")),1,0))</f>
      </c>
      <c r="V615" s="17">
        <f>IF(OR(Items[[#This Row],[ID]]="",Items[[#This Row],[Added]]=""),"",AsOf-Items[[#This Row],[Added]])</f>
      </c>
      <c r="W615" s="17">
        <f>IF(Items[[#This Row],[In sprint]]=1,(IF(Items[[#This Row],[Prio]]="",9,N(Items[[#This Row],[Prio]]))*10+(IF(Items[[#This Row],[State]]="DONE",1,0)))*100000+ROW(),"")</f>
      </c>
      <c r="X61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15" s="17">
        <f>IF(AND(Items[[#This Row],[State]]="DONE",N(Items[[#This Row],[Done on]])&gt;AsOf-7),(200000-N(Items[[#This Row],[Done on]]))*100000+ROW(),"")</f>
      </c>
    </row>
    <row r="616">
      <c r="A616" t="s">
        <v>828</v>
      </c>
      <c r="B616" t="s">
        <v>1837</v>
      </c>
      <c r="C616" t="s">
        <v>1115</v>
      </c>
      <c r="D616" t="s">
        <v>1116</v>
      </c>
      <c r="E616" t="s">
        <v>1120</v>
      </c>
      <c r="F616" t="s">
        <v>1272</v>
      </c>
      <c r="G616">
        <v>2</v>
      </c>
      <c r="H616">
        <v>1</v>
      </c>
      <c r="I616" s="11">
        <v>46203</v>
      </c>
      <c r="J616" s="17">
        <f>IF(Items[[#This Row],[ID]]="","",IFERROR(VALUE(LOOKUP(2,1/((Log[ID]=Items[[#This Row],[ID]])*(Log[Verb]="est")),Log[Arg])),N(Items[[#This Row],[Points]])))</f>
      </c>
      <c r="K616" s="17">
        <f>IF(Items[[#This Row],[ID]]="","",IFERROR(LOOKUP(2,1/((Log[ID]=Items[[#This Row],[ID]])*(Log[Verb]="pass")),Log[Arg])&amp;"",Items[[#This Row],[Team]]&amp;""))</f>
      </c>
      <c r="L616" s="17">
        <f>IF(Items[[#This Row],[ID]]="","",IFERROR(LOOKUP(2,1/((Log[ID]=Items[[#This Row],[ID]])*(Log[Into]&lt;&gt;"")),Log[Into]),""))</f>
      </c>
      <c r="M616" s="17">
        <f>IF(Items[[#This Row],[ID]]="","",IF(IFERROR(LOOKUP(2,1/((Log[ID]=Items[[#This Row],[ID]])*(Log[Blk]&lt;&gt;"")),Log[Blk]),0)=1,"Y",""))</f>
      </c>
      <c r="N616" s="17">
        <f>IF(Items[[#This Row],[ID]]="","",SUBSTITUTE(IFERROR(LOOKUP(2,1/((Log[ID]=Items[[#This Row],[ID]])*(Log[State]&lt;&gt;"")),Log[State]),"TODO"),"OPEN",IF(Items[[#This Row],[Blocked]]="Y","WAIT","OPEN")))</f>
      </c>
      <c r="O61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16" s="17">
        <f>IF(Items[[#This Row],[State]]&lt;&gt;"WAIT","",AsOf-Items[[#This Row],[Blocked since]])</f>
      </c>
      <c r="Q616" s="17">
        <f>IF(Items[[#This Row],[State]]&lt;&gt;"WAIT","",IFERROR(LOOKUP(2,1/((Log[ID]=Items[[#This Row],[ID]])*(Log[Verb]="block")),Log[Note])&amp;"",""))</f>
      </c>
      <c r="R616" s="17">
        <f>IF(Items[[#This Row],[ID]]="","",COUNTIFS(Log[ID],Items[[#This Row],[ID]],Log[Verb],"carry"))</f>
      </c>
      <c r="S616" s="17">
        <f>IF(Items[[#This Row],[ID]]="","",COUNTIFS(Log[ID],Items[[#This Row],[ID]],Log[Verb],"punt"))</f>
      </c>
      <c r="T616" s="11">
        <f>IF(Items[[#This Row],[State]]&lt;&gt;"DONE","",IFERROR(LOOKUP(2,1/((Log[ID]=Items[[#This Row],[ID]])*(Log[Verb]="done")),Log[Date]),""))</f>
      </c>
      <c r="U616" s="17">
        <f>IF(Items[[#This Row],[ID]]="","",IF(AND(Items[[#This Row],[Sprint]]=CurSprint,OR(Items[[#This Row],[State]]="OPEN",Items[[#This Row],[State]]="WAIT",Items[[#This Row],[State]]="HOLD",Items[[#This Row],[State]]="DONE")),1,0))</f>
      </c>
      <c r="V616" s="17">
        <f>IF(OR(Items[[#This Row],[ID]]="",Items[[#This Row],[Added]]=""),"",AsOf-Items[[#This Row],[Added]])</f>
      </c>
      <c r="W616" s="17">
        <f>IF(Items[[#This Row],[In sprint]]=1,(IF(Items[[#This Row],[Prio]]="",9,N(Items[[#This Row],[Prio]]))*10+(IF(Items[[#This Row],[State]]="DONE",1,0)))*100000+ROW(),"")</f>
      </c>
      <c r="X61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16" s="17">
        <f>IF(AND(Items[[#This Row],[State]]="DONE",N(Items[[#This Row],[Done on]])&gt;AsOf-7),(200000-N(Items[[#This Row],[Done on]]))*100000+ROW(),"")</f>
      </c>
    </row>
    <row r="617">
      <c r="A617" t="s">
        <v>829</v>
      </c>
      <c r="B617" t="s">
        <v>1838</v>
      </c>
      <c r="C617" t="s">
        <v>1107</v>
      </c>
      <c r="D617" t="s">
        <v>1127</v>
      </c>
      <c r="E617" t="s">
        <v>1120</v>
      </c>
      <c r="F617" t="s">
        <v>1269</v>
      </c>
      <c r="G617">
        <v>8</v>
      </c>
      <c r="H617">
        <v>2</v>
      </c>
      <c r="I617" s="11">
        <v>46203</v>
      </c>
      <c r="J617" s="17">
        <f>IF(Items[[#This Row],[ID]]="","",IFERROR(VALUE(LOOKUP(2,1/((Log[ID]=Items[[#This Row],[ID]])*(Log[Verb]="est")),Log[Arg])),N(Items[[#This Row],[Points]])))</f>
      </c>
      <c r="K617" s="17">
        <f>IF(Items[[#This Row],[ID]]="","",IFERROR(LOOKUP(2,1/((Log[ID]=Items[[#This Row],[ID]])*(Log[Verb]="pass")),Log[Arg])&amp;"",Items[[#This Row],[Team]]&amp;""))</f>
      </c>
      <c r="L617" s="17">
        <f>IF(Items[[#This Row],[ID]]="","",IFERROR(LOOKUP(2,1/((Log[ID]=Items[[#This Row],[ID]])*(Log[Into]&lt;&gt;"")),Log[Into]),""))</f>
      </c>
      <c r="M617" s="17">
        <f>IF(Items[[#This Row],[ID]]="","",IF(IFERROR(LOOKUP(2,1/((Log[ID]=Items[[#This Row],[ID]])*(Log[Blk]&lt;&gt;"")),Log[Blk]),0)=1,"Y",""))</f>
      </c>
      <c r="N617" s="17">
        <f>IF(Items[[#This Row],[ID]]="","",SUBSTITUTE(IFERROR(LOOKUP(2,1/((Log[ID]=Items[[#This Row],[ID]])*(Log[State]&lt;&gt;"")),Log[State]),"TODO"),"OPEN",IF(Items[[#This Row],[Blocked]]="Y","WAIT","OPEN")))</f>
      </c>
      <c r="O61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17" s="17">
        <f>IF(Items[[#This Row],[State]]&lt;&gt;"WAIT","",AsOf-Items[[#This Row],[Blocked since]])</f>
      </c>
      <c r="Q617" s="17">
        <f>IF(Items[[#This Row],[State]]&lt;&gt;"WAIT","",IFERROR(LOOKUP(2,1/((Log[ID]=Items[[#This Row],[ID]])*(Log[Verb]="block")),Log[Note])&amp;"",""))</f>
      </c>
      <c r="R617" s="17">
        <f>IF(Items[[#This Row],[ID]]="","",COUNTIFS(Log[ID],Items[[#This Row],[ID]],Log[Verb],"carry"))</f>
      </c>
      <c r="S617" s="17">
        <f>IF(Items[[#This Row],[ID]]="","",COUNTIFS(Log[ID],Items[[#This Row],[ID]],Log[Verb],"punt"))</f>
      </c>
      <c r="T617" s="11">
        <f>IF(Items[[#This Row],[State]]&lt;&gt;"DONE","",IFERROR(LOOKUP(2,1/((Log[ID]=Items[[#This Row],[ID]])*(Log[Verb]="done")),Log[Date]),""))</f>
      </c>
      <c r="U617" s="17">
        <f>IF(Items[[#This Row],[ID]]="","",IF(AND(Items[[#This Row],[Sprint]]=CurSprint,OR(Items[[#This Row],[State]]="OPEN",Items[[#This Row],[State]]="WAIT",Items[[#This Row],[State]]="HOLD",Items[[#This Row],[State]]="DONE")),1,0))</f>
      </c>
      <c r="V617" s="17">
        <f>IF(OR(Items[[#This Row],[ID]]="",Items[[#This Row],[Added]]=""),"",AsOf-Items[[#This Row],[Added]])</f>
      </c>
      <c r="W617" s="17">
        <f>IF(Items[[#This Row],[In sprint]]=1,(IF(Items[[#This Row],[Prio]]="",9,N(Items[[#This Row],[Prio]]))*10+(IF(Items[[#This Row],[State]]="DONE",1,0)))*100000+ROW(),"")</f>
      </c>
      <c r="X61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17" s="17">
        <f>IF(AND(Items[[#This Row],[State]]="DONE",N(Items[[#This Row],[Done on]])&gt;AsOf-7),(200000-N(Items[[#This Row],[Done on]]))*100000+ROW(),"")</f>
      </c>
    </row>
    <row r="618">
      <c r="A618" t="s">
        <v>830</v>
      </c>
      <c r="B618" t="s">
        <v>1839</v>
      </c>
      <c r="C618" t="s">
        <v>1115</v>
      </c>
      <c r="D618" t="s">
        <v>1119</v>
      </c>
      <c r="E618" t="s">
        <v>1120</v>
      </c>
      <c r="F618" t="s">
        <v>1191</v>
      </c>
      <c r="G618">
        <v>3</v>
      </c>
      <c r="H618">
        <v>1</v>
      </c>
      <c r="I618" s="11">
        <v>46203</v>
      </c>
      <c r="J618" s="17">
        <f>IF(Items[[#This Row],[ID]]="","",IFERROR(VALUE(LOOKUP(2,1/((Log[ID]=Items[[#This Row],[ID]])*(Log[Verb]="est")),Log[Arg])),N(Items[[#This Row],[Points]])))</f>
      </c>
      <c r="K618" s="17">
        <f>IF(Items[[#This Row],[ID]]="","",IFERROR(LOOKUP(2,1/((Log[ID]=Items[[#This Row],[ID]])*(Log[Verb]="pass")),Log[Arg])&amp;"",Items[[#This Row],[Team]]&amp;""))</f>
      </c>
      <c r="L618" s="17">
        <f>IF(Items[[#This Row],[ID]]="","",IFERROR(LOOKUP(2,1/((Log[ID]=Items[[#This Row],[ID]])*(Log[Into]&lt;&gt;"")),Log[Into]),""))</f>
      </c>
      <c r="M618" s="17">
        <f>IF(Items[[#This Row],[ID]]="","",IF(IFERROR(LOOKUP(2,1/((Log[ID]=Items[[#This Row],[ID]])*(Log[Blk]&lt;&gt;"")),Log[Blk]),0)=1,"Y",""))</f>
      </c>
      <c r="N618" s="17">
        <f>IF(Items[[#This Row],[ID]]="","",SUBSTITUTE(IFERROR(LOOKUP(2,1/((Log[ID]=Items[[#This Row],[ID]])*(Log[State]&lt;&gt;"")),Log[State]),"TODO"),"OPEN",IF(Items[[#This Row],[Blocked]]="Y","WAIT","OPEN")))</f>
      </c>
      <c r="O61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18" s="17">
        <f>IF(Items[[#This Row],[State]]&lt;&gt;"WAIT","",AsOf-Items[[#This Row],[Blocked since]])</f>
      </c>
      <c r="Q618" s="17">
        <f>IF(Items[[#This Row],[State]]&lt;&gt;"WAIT","",IFERROR(LOOKUP(2,1/((Log[ID]=Items[[#This Row],[ID]])*(Log[Verb]="block")),Log[Note])&amp;"",""))</f>
      </c>
      <c r="R618" s="17">
        <f>IF(Items[[#This Row],[ID]]="","",COUNTIFS(Log[ID],Items[[#This Row],[ID]],Log[Verb],"carry"))</f>
      </c>
      <c r="S618" s="17">
        <f>IF(Items[[#This Row],[ID]]="","",COUNTIFS(Log[ID],Items[[#This Row],[ID]],Log[Verb],"punt"))</f>
      </c>
      <c r="T618" s="11">
        <f>IF(Items[[#This Row],[State]]&lt;&gt;"DONE","",IFERROR(LOOKUP(2,1/((Log[ID]=Items[[#This Row],[ID]])*(Log[Verb]="done")),Log[Date]),""))</f>
      </c>
      <c r="U618" s="17">
        <f>IF(Items[[#This Row],[ID]]="","",IF(AND(Items[[#This Row],[Sprint]]=CurSprint,OR(Items[[#This Row],[State]]="OPEN",Items[[#This Row],[State]]="WAIT",Items[[#This Row],[State]]="HOLD",Items[[#This Row],[State]]="DONE")),1,0))</f>
      </c>
      <c r="V618" s="17">
        <f>IF(OR(Items[[#This Row],[ID]]="",Items[[#This Row],[Added]]=""),"",AsOf-Items[[#This Row],[Added]])</f>
      </c>
      <c r="W618" s="17">
        <f>IF(Items[[#This Row],[In sprint]]=1,(IF(Items[[#This Row],[Prio]]="",9,N(Items[[#This Row],[Prio]]))*10+(IF(Items[[#This Row],[State]]="DONE",1,0)))*100000+ROW(),"")</f>
      </c>
      <c r="X61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18" s="17">
        <f>IF(AND(Items[[#This Row],[State]]="DONE",N(Items[[#This Row],[Done on]])&gt;AsOf-7),(200000-N(Items[[#This Row],[Done on]]))*100000+ROW(),"")</f>
      </c>
    </row>
    <row r="619">
      <c r="A619" t="s">
        <v>831</v>
      </c>
      <c r="B619" t="s">
        <v>1840</v>
      </c>
      <c r="C619" t="s">
        <v>1107</v>
      </c>
      <c r="D619" t="s">
        <v>1108</v>
      </c>
      <c r="E619" t="s">
        <v>1120</v>
      </c>
      <c r="F619" t="s">
        <v>1193</v>
      </c>
      <c r="G619">
        <v>3</v>
      </c>
      <c r="H619">
        <v>2</v>
      </c>
      <c r="I619" s="11">
        <v>46203</v>
      </c>
      <c r="J619" s="17">
        <f>IF(Items[[#This Row],[ID]]="","",IFERROR(VALUE(LOOKUP(2,1/((Log[ID]=Items[[#This Row],[ID]])*(Log[Verb]="est")),Log[Arg])),N(Items[[#This Row],[Points]])))</f>
      </c>
      <c r="K619" s="17">
        <f>IF(Items[[#This Row],[ID]]="","",IFERROR(LOOKUP(2,1/((Log[ID]=Items[[#This Row],[ID]])*(Log[Verb]="pass")),Log[Arg])&amp;"",Items[[#This Row],[Team]]&amp;""))</f>
      </c>
      <c r="L619" s="17">
        <f>IF(Items[[#This Row],[ID]]="","",IFERROR(LOOKUP(2,1/((Log[ID]=Items[[#This Row],[ID]])*(Log[Into]&lt;&gt;"")),Log[Into]),""))</f>
      </c>
      <c r="M619" s="17">
        <f>IF(Items[[#This Row],[ID]]="","",IF(IFERROR(LOOKUP(2,1/((Log[ID]=Items[[#This Row],[ID]])*(Log[Blk]&lt;&gt;"")),Log[Blk]),0)=1,"Y",""))</f>
      </c>
      <c r="N619" s="17">
        <f>IF(Items[[#This Row],[ID]]="","",SUBSTITUTE(IFERROR(LOOKUP(2,1/((Log[ID]=Items[[#This Row],[ID]])*(Log[State]&lt;&gt;"")),Log[State]),"TODO"),"OPEN",IF(Items[[#This Row],[Blocked]]="Y","WAIT","OPEN")))</f>
      </c>
      <c r="O61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19" s="17">
        <f>IF(Items[[#This Row],[State]]&lt;&gt;"WAIT","",AsOf-Items[[#This Row],[Blocked since]])</f>
      </c>
      <c r="Q619" s="17">
        <f>IF(Items[[#This Row],[State]]&lt;&gt;"WAIT","",IFERROR(LOOKUP(2,1/((Log[ID]=Items[[#This Row],[ID]])*(Log[Verb]="block")),Log[Note])&amp;"",""))</f>
      </c>
      <c r="R619" s="17">
        <f>IF(Items[[#This Row],[ID]]="","",COUNTIFS(Log[ID],Items[[#This Row],[ID]],Log[Verb],"carry"))</f>
      </c>
      <c r="S619" s="17">
        <f>IF(Items[[#This Row],[ID]]="","",COUNTIFS(Log[ID],Items[[#This Row],[ID]],Log[Verb],"punt"))</f>
      </c>
      <c r="T619" s="11">
        <f>IF(Items[[#This Row],[State]]&lt;&gt;"DONE","",IFERROR(LOOKUP(2,1/((Log[ID]=Items[[#This Row],[ID]])*(Log[Verb]="done")),Log[Date]),""))</f>
      </c>
      <c r="U619" s="17">
        <f>IF(Items[[#This Row],[ID]]="","",IF(AND(Items[[#This Row],[Sprint]]=CurSprint,OR(Items[[#This Row],[State]]="OPEN",Items[[#This Row],[State]]="WAIT",Items[[#This Row],[State]]="HOLD",Items[[#This Row],[State]]="DONE")),1,0))</f>
      </c>
      <c r="V619" s="17">
        <f>IF(OR(Items[[#This Row],[ID]]="",Items[[#This Row],[Added]]=""),"",AsOf-Items[[#This Row],[Added]])</f>
      </c>
      <c r="W619" s="17">
        <f>IF(Items[[#This Row],[In sprint]]=1,(IF(Items[[#This Row],[Prio]]="",9,N(Items[[#This Row],[Prio]]))*10+(IF(Items[[#This Row],[State]]="DONE",1,0)))*100000+ROW(),"")</f>
      </c>
      <c r="X61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19" s="17">
        <f>IF(AND(Items[[#This Row],[State]]="DONE",N(Items[[#This Row],[Done on]])&gt;AsOf-7),(200000-N(Items[[#This Row],[Done on]]))*100000+ROW(),"")</f>
      </c>
    </row>
    <row r="620">
      <c r="A620" t="s">
        <v>726</v>
      </c>
      <c r="B620" t="s">
        <v>1841</v>
      </c>
      <c r="C620" t="s">
        <v>1107</v>
      </c>
      <c r="D620" t="s">
        <v>1108</v>
      </c>
      <c r="E620" t="s">
        <v>1124</v>
      </c>
      <c r="F620" t="s">
        <v>1157</v>
      </c>
      <c r="G620">
        <v>5</v>
      </c>
      <c r="H620">
        <v>1</v>
      </c>
      <c r="I620" s="11">
        <v>46203</v>
      </c>
      <c r="J620" s="17">
        <f>IF(Items[[#This Row],[ID]]="","",IFERROR(VALUE(LOOKUP(2,1/((Log[ID]=Items[[#This Row],[ID]])*(Log[Verb]="est")),Log[Arg])),N(Items[[#This Row],[Points]])))</f>
      </c>
      <c r="K620" s="17">
        <f>IF(Items[[#This Row],[ID]]="","",IFERROR(LOOKUP(2,1/((Log[ID]=Items[[#This Row],[ID]])*(Log[Verb]="pass")),Log[Arg])&amp;"",Items[[#This Row],[Team]]&amp;""))</f>
      </c>
      <c r="L620" s="17">
        <f>IF(Items[[#This Row],[ID]]="","",IFERROR(LOOKUP(2,1/((Log[ID]=Items[[#This Row],[ID]])*(Log[Into]&lt;&gt;"")),Log[Into]),""))</f>
      </c>
      <c r="M620" s="17">
        <f>IF(Items[[#This Row],[ID]]="","",IF(IFERROR(LOOKUP(2,1/((Log[ID]=Items[[#This Row],[ID]])*(Log[Blk]&lt;&gt;"")),Log[Blk]),0)=1,"Y",""))</f>
      </c>
      <c r="N620" s="17">
        <f>IF(Items[[#This Row],[ID]]="","",SUBSTITUTE(IFERROR(LOOKUP(2,1/((Log[ID]=Items[[#This Row],[ID]])*(Log[State]&lt;&gt;"")),Log[State]),"TODO"),"OPEN",IF(Items[[#This Row],[Blocked]]="Y","WAIT","OPEN")))</f>
      </c>
      <c r="O62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20" s="17">
        <f>IF(Items[[#This Row],[State]]&lt;&gt;"WAIT","",AsOf-Items[[#This Row],[Blocked since]])</f>
      </c>
      <c r="Q620" s="17">
        <f>IF(Items[[#This Row],[State]]&lt;&gt;"WAIT","",IFERROR(LOOKUP(2,1/((Log[ID]=Items[[#This Row],[ID]])*(Log[Verb]="block")),Log[Note])&amp;"",""))</f>
      </c>
      <c r="R620" s="17">
        <f>IF(Items[[#This Row],[ID]]="","",COUNTIFS(Log[ID],Items[[#This Row],[ID]],Log[Verb],"carry"))</f>
      </c>
      <c r="S620" s="17">
        <f>IF(Items[[#This Row],[ID]]="","",COUNTIFS(Log[ID],Items[[#This Row],[ID]],Log[Verb],"punt"))</f>
      </c>
      <c r="T620" s="11">
        <f>IF(Items[[#This Row],[State]]&lt;&gt;"DONE","",IFERROR(LOOKUP(2,1/((Log[ID]=Items[[#This Row],[ID]])*(Log[Verb]="done")),Log[Date]),""))</f>
      </c>
      <c r="U620" s="17">
        <f>IF(Items[[#This Row],[ID]]="","",IF(AND(Items[[#This Row],[Sprint]]=CurSprint,OR(Items[[#This Row],[State]]="OPEN",Items[[#This Row],[State]]="WAIT",Items[[#This Row],[State]]="HOLD",Items[[#This Row],[State]]="DONE")),1,0))</f>
      </c>
      <c r="V620" s="17">
        <f>IF(OR(Items[[#This Row],[ID]]="",Items[[#This Row],[Added]]=""),"",AsOf-Items[[#This Row],[Added]])</f>
      </c>
      <c r="W620" s="17">
        <f>IF(Items[[#This Row],[In sprint]]=1,(IF(Items[[#This Row],[Prio]]="",9,N(Items[[#This Row],[Prio]]))*10+(IF(Items[[#This Row],[State]]="DONE",1,0)))*100000+ROW(),"")</f>
      </c>
      <c r="X62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20" s="17">
        <f>IF(AND(Items[[#This Row],[State]]="DONE",N(Items[[#This Row],[Done on]])&gt;AsOf-7),(200000-N(Items[[#This Row],[Done on]]))*100000+ROW(),"")</f>
      </c>
    </row>
    <row r="621">
      <c r="A621" t="s">
        <v>727</v>
      </c>
      <c r="B621" t="s">
        <v>1842</v>
      </c>
      <c r="C621" t="s">
        <v>1107</v>
      </c>
      <c r="D621" t="s">
        <v>1108</v>
      </c>
      <c r="E621" t="s">
        <v>1124</v>
      </c>
      <c r="F621" t="s">
        <v>1125</v>
      </c>
      <c r="G621">
        <v>2</v>
      </c>
      <c r="H621">
        <v>1</v>
      </c>
      <c r="I621" s="11">
        <v>46203</v>
      </c>
      <c r="J621" s="17">
        <f>IF(Items[[#This Row],[ID]]="","",IFERROR(VALUE(LOOKUP(2,1/((Log[ID]=Items[[#This Row],[ID]])*(Log[Verb]="est")),Log[Arg])),N(Items[[#This Row],[Points]])))</f>
      </c>
      <c r="K621" s="17">
        <f>IF(Items[[#This Row],[ID]]="","",IFERROR(LOOKUP(2,1/((Log[ID]=Items[[#This Row],[ID]])*(Log[Verb]="pass")),Log[Arg])&amp;"",Items[[#This Row],[Team]]&amp;""))</f>
      </c>
      <c r="L621" s="17">
        <f>IF(Items[[#This Row],[ID]]="","",IFERROR(LOOKUP(2,1/((Log[ID]=Items[[#This Row],[ID]])*(Log[Into]&lt;&gt;"")),Log[Into]),""))</f>
      </c>
      <c r="M621" s="17">
        <f>IF(Items[[#This Row],[ID]]="","",IF(IFERROR(LOOKUP(2,1/((Log[ID]=Items[[#This Row],[ID]])*(Log[Blk]&lt;&gt;"")),Log[Blk]),0)=1,"Y",""))</f>
      </c>
      <c r="N621" s="17">
        <f>IF(Items[[#This Row],[ID]]="","",SUBSTITUTE(IFERROR(LOOKUP(2,1/((Log[ID]=Items[[#This Row],[ID]])*(Log[State]&lt;&gt;"")),Log[State]),"TODO"),"OPEN",IF(Items[[#This Row],[Blocked]]="Y","WAIT","OPEN")))</f>
      </c>
      <c r="O62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21" s="17">
        <f>IF(Items[[#This Row],[State]]&lt;&gt;"WAIT","",AsOf-Items[[#This Row],[Blocked since]])</f>
      </c>
      <c r="Q621" s="17">
        <f>IF(Items[[#This Row],[State]]&lt;&gt;"WAIT","",IFERROR(LOOKUP(2,1/((Log[ID]=Items[[#This Row],[ID]])*(Log[Verb]="block")),Log[Note])&amp;"",""))</f>
      </c>
      <c r="R621" s="17">
        <f>IF(Items[[#This Row],[ID]]="","",COUNTIFS(Log[ID],Items[[#This Row],[ID]],Log[Verb],"carry"))</f>
      </c>
      <c r="S621" s="17">
        <f>IF(Items[[#This Row],[ID]]="","",COUNTIFS(Log[ID],Items[[#This Row],[ID]],Log[Verb],"punt"))</f>
      </c>
      <c r="T621" s="11">
        <f>IF(Items[[#This Row],[State]]&lt;&gt;"DONE","",IFERROR(LOOKUP(2,1/((Log[ID]=Items[[#This Row],[ID]])*(Log[Verb]="done")),Log[Date]),""))</f>
      </c>
      <c r="U621" s="17">
        <f>IF(Items[[#This Row],[ID]]="","",IF(AND(Items[[#This Row],[Sprint]]=CurSprint,OR(Items[[#This Row],[State]]="OPEN",Items[[#This Row],[State]]="WAIT",Items[[#This Row],[State]]="HOLD",Items[[#This Row],[State]]="DONE")),1,0))</f>
      </c>
      <c r="V621" s="17">
        <f>IF(OR(Items[[#This Row],[ID]]="",Items[[#This Row],[Added]]=""),"",AsOf-Items[[#This Row],[Added]])</f>
      </c>
      <c r="W621" s="17">
        <f>IF(Items[[#This Row],[In sprint]]=1,(IF(Items[[#This Row],[Prio]]="",9,N(Items[[#This Row],[Prio]]))*10+(IF(Items[[#This Row],[State]]="DONE",1,0)))*100000+ROW(),"")</f>
      </c>
      <c r="X62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21" s="17">
        <f>IF(AND(Items[[#This Row],[State]]="DONE",N(Items[[#This Row],[Done on]])&gt;AsOf-7),(200000-N(Items[[#This Row],[Done on]]))*100000+ROW(),"")</f>
      </c>
    </row>
    <row r="622">
      <c r="A622" t="s">
        <v>770</v>
      </c>
      <c r="B622" t="s">
        <v>1843</v>
      </c>
      <c r="C622" t="s">
        <v>1107</v>
      </c>
      <c r="D622" t="s">
        <v>1123</v>
      </c>
      <c r="E622" t="s">
        <v>1124</v>
      </c>
      <c r="F622" t="s">
        <v>1283</v>
      </c>
      <c r="G622">
        <v>5</v>
      </c>
      <c r="H622">
        <v>3</v>
      </c>
      <c r="I622" s="11">
        <v>46203</v>
      </c>
      <c r="J622" s="17">
        <f>IF(Items[[#This Row],[ID]]="","",IFERROR(VALUE(LOOKUP(2,1/((Log[ID]=Items[[#This Row],[ID]])*(Log[Verb]="est")),Log[Arg])),N(Items[[#This Row],[Points]])))</f>
      </c>
      <c r="K622" s="17">
        <f>IF(Items[[#This Row],[ID]]="","",IFERROR(LOOKUP(2,1/((Log[ID]=Items[[#This Row],[ID]])*(Log[Verb]="pass")),Log[Arg])&amp;"",Items[[#This Row],[Team]]&amp;""))</f>
      </c>
      <c r="L622" s="17">
        <f>IF(Items[[#This Row],[ID]]="","",IFERROR(LOOKUP(2,1/((Log[ID]=Items[[#This Row],[ID]])*(Log[Into]&lt;&gt;"")),Log[Into]),""))</f>
      </c>
      <c r="M622" s="17">
        <f>IF(Items[[#This Row],[ID]]="","",IF(IFERROR(LOOKUP(2,1/((Log[ID]=Items[[#This Row],[ID]])*(Log[Blk]&lt;&gt;"")),Log[Blk]),0)=1,"Y",""))</f>
      </c>
      <c r="N622" s="17">
        <f>IF(Items[[#This Row],[ID]]="","",SUBSTITUTE(IFERROR(LOOKUP(2,1/((Log[ID]=Items[[#This Row],[ID]])*(Log[State]&lt;&gt;"")),Log[State]),"TODO"),"OPEN",IF(Items[[#This Row],[Blocked]]="Y","WAIT","OPEN")))</f>
      </c>
      <c r="O62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22" s="17">
        <f>IF(Items[[#This Row],[State]]&lt;&gt;"WAIT","",AsOf-Items[[#This Row],[Blocked since]])</f>
      </c>
      <c r="Q622" s="17">
        <f>IF(Items[[#This Row],[State]]&lt;&gt;"WAIT","",IFERROR(LOOKUP(2,1/((Log[ID]=Items[[#This Row],[ID]])*(Log[Verb]="block")),Log[Note])&amp;"",""))</f>
      </c>
      <c r="R622" s="17">
        <f>IF(Items[[#This Row],[ID]]="","",COUNTIFS(Log[ID],Items[[#This Row],[ID]],Log[Verb],"carry"))</f>
      </c>
      <c r="S622" s="17">
        <f>IF(Items[[#This Row],[ID]]="","",COUNTIFS(Log[ID],Items[[#This Row],[ID]],Log[Verb],"punt"))</f>
      </c>
      <c r="T622" s="11">
        <f>IF(Items[[#This Row],[State]]&lt;&gt;"DONE","",IFERROR(LOOKUP(2,1/((Log[ID]=Items[[#This Row],[ID]])*(Log[Verb]="done")),Log[Date]),""))</f>
      </c>
      <c r="U622" s="17">
        <f>IF(Items[[#This Row],[ID]]="","",IF(AND(Items[[#This Row],[Sprint]]=CurSprint,OR(Items[[#This Row],[State]]="OPEN",Items[[#This Row],[State]]="WAIT",Items[[#This Row],[State]]="HOLD",Items[[#This Row],[State]]="DONE")),1,0))</f>
      </c>
      <c r="V622" s="17">
        <f>IF(OR(Items[[#This Row],[ID]]="",Items[[#This Row],[Added]]=""),"",AsOf-Items[[#This Row],[Added]])</f>
      </c>
      <c r="W622" s="17">
        <f>IF(Items[[#This Row],[In sprint]]=1,(IF(Items[[#This Row],[Prio]]="",9,N(Items[[#This Row],[Prio]]))*10+(IF(Items[[#This Row],[State]]="DONE",1,0)))*100000+ROW(),"")</f>
      </c>
      <c r="X62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22" s="17">
        <f>IF(AND(Items[[#This Row],[State]]="DONE",N(Items[[#This Row],[Done on]])&gt;AsOf-7),(200000-N(Items[[#This Row],[Done on]]))*100000+ROW(),"")</f>
      </c>
    </row>
    <row r="623">
      <c r="A623" t="s">
        <v>771</v>
      </c>
      <c r="B623" t="s">
        <v>1844</v>
      </c>
      <c r="C623" t="s">
        <v>1107</v>
      </c>
      <c r="D623" t="s">
        <v>1108</v>
      </c>
      <c r="E623" t="s">
        <v>1124</v>
      </c>
      <c r="F623" t="s">
        <v>1155</v>
      </c>
      <c r="G623">
        <v>5</v>
      </c>
      <c r="H623">
        <v>2</v>
      </c>
      <c r="I623" s="11">
        <v>46203</v>
      </c>
      <c r="J623" s="17">
        <f>IF(Items[[#This Row],[ID]]="","",IFERROR(VALUE(LOOKUP(2,1/((Log[ID]=Items[[#This Row],[ID]])*(Log[Verb]="est")),Log[Arg])),N(Items[[#This Row],[Points]])))</f>
      </c>
      <c r="K623" s="17">
        <f>IF(Items[[#This Row],[ID]]="","",IFERROR(LOOKUP(2,1/((Log[ID]=Items[[#This Row],[ID]])*(Log[Verb]="pass")),Log[Arg])&amp;"",Items[[#This Row],[Team]]&amp;""))</f>
      </c>
      <c r="L623" s="17">
        <f>IF(Items[[#This Row],[ID]]="","",IFERROR(LOOKUP(2,1/((Log[ID]=Items[[#This Row],[ID]])*(Log[Into]&lt;&gt;"")),Log[Into]),""))</f>
      </c>
      <c r="M623" s="17">
        <f>IF(Items[[#This Row],[ID]]="","",IF(IFERROR(LOOKUP(2,1/((Log[ID]=Items[[#This Row],[ID]])*(Log[Blk]&lt;&gt;"")),Log[Blk]),0)=1,"Y",""))</f>
      </c>
      <c r="N623" s="17">
        <f>IF(Items[[#This Row],[ID]]="","",SUBSTITUTE(IFERROR(LOOKUP(2,1/((Log[ID]=Items[[#This Row],[ID]])*(Log[State]&lt;&gt;"")),Log[State]),"TODO"),"OPEN",IF(Items[[#This Row],[Blocked]]="Y","WAIT","OPEN")))</f>
      </c>
      <c r="O62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23" s="17">
        <f>IF(Items[[#This Row],[State]]&lt;&gt;"WAIT","",AsOf-Items[[#This Row],[Blocked since]])</f>
      </c>
      <c r="Q623" s="17">
        <f>IF(Items[[#This Row],[State]]&lt;&gt;"WAIT","",IFERROR(LOOKUP(2,1/((Log[ID]=Items[[#This Row],[ID]])*(Log[Verb]="block")),Log[Note])&amp;"",""))</f>
      </c>
      <c r="R623" s="17">
        <f>IF(Items[[#This Row],[ID]]="","",COUNTIFS(Log[ID],Items[[#This Row],[ID]],Log[Verb],"carry"))</f>
      </c>
      <c r="S623" s="17">
        <f>IF(Items[[#This Row],[ID]]="","",COUNTIFS(Log[ID],Items[[#This Row],[ID]],Log[Verb],"punt"))</f>
      </c>
      <c r="T623" s="11">
        <f>IF(Items[[#This Row],[State]]&lt;&gt;"DONE","",IFERROR(LOOKUP(2,1/((Log[ID]=Items[[#This Row],[ID]])*(Log[Verb]="done")),Log[Date]),""))</f>
      </c>
      <c r="U623" s="17">
        <f>IF(Items[[#This Row],[ID]]="","",IF(AND(Items[[#This Row],[Sprint]]=CurSprint,OR(Items[[#This Row],[State]]="OPEN",Items[[#This Row],[State]]="WAIT",Items[[#This Row],[State]]="HOLD",Items[[#This Row],[State]]="DONE")),1,0))</f>
      </c>
      <c r="V623" s="17">
        <f>IF(OR(Items[[#This Row],[ID]]="",Items[[#This Row],[Added]]=""),"",AsOf-Items[[#This Row],[Added]])</f>
      </c>
      <c r="W623" s="17">
        <f>IF(Items[[#This Row],[In sprint]]=1,(IF(Items[[#This Row],[Prio]]="",9,N(Items[[#This Row],[Prio]]))*10+(IF(Items[[#This Row],[State]]="DONE",1,0)))*100000+ROW(),"")</f>
      </c>
      <c r="X62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23" s="17">
        <f>IF(AND(Items[[#This Row],[State]]="DONE",N(Items[[#This Row],[Done on]])&gt;AsOf-7),(200000-N(Items[[#This Row],[Done on]]))*100000+ROW(),"")</f>
      </c>
    </row>
    <row r="624">
      <c r="A624" t="s">
        <v>772</v>
      </c>
      <c r="B624" t="s">
        <v>1845</v>
      </c>
      <c r="C624" t="s">
        <v>1115</v>
      </c>
      <c r="D624" t="s">
        <v>1116</v>
      </c>
      <c r="E624" t="s">
        <v>1124</v>
      </c>
      <c r="F624" t="s">
        <v>1283</v>
      </c>
      <c r="G624">
        <v>8</v>
      </c>
      <c r="H624">
        <v>3</v>
      </c>
      <c r="I624" s="11">
        <v>46203</v>
      </c>
      <c r="J624" s="17">
        <f>IF(Items[[#This Row],[ID]]="","",IFERROR(VALUE(LOOKUP(2,1/((Log[ID]=Items[[#This Row],[ID]])*(Log[Verb]="est")),Log[Arg])),N(Items[[#This Row],[Points]])))</f>
      </c>
      <c r="K624" s="17">
        <f>IF(Items[[#This Row],[ID]]="","",IFERROR(LOOKUP(2,1/((Log[ID]=Items[[#This Row],[ID]])*(Log[Verb]="pass")),Log[Arg])&amp;"",Items[[#This Row],[Team]]&amp;""))</f>
      </c>
      <c r="L624" s="17">
        <f>IF(Items[[#This Row],[ID]]="","",IFERROR(LOOKUP(2,1/((Log[ID]=Items[[#This Row],[ID]])*(Log[Into]&lt;&gt;"")),Log[Into]),""))</f>
      </c>
      <c r="M624" s="17">
        <f>IF(Items[[#This Row],[ID]]="","",IF(IFERROR(LOOKUP(2,1/((Log[ID]=Items[[#This Row],[ID]])*(Log[Blk]&lt;&gt;"")),Log[Blk]),0)=1,"Y",""))</f>
      </c>
      <c r="N624" s="17">
        <f>IF(Items[[#This Row],[ID]]="","",SUBSTITUTE(IFERROR(LOOKUP(2,1/((Log[ID]=Items[[#This Row],[ID]])*(Log[State]&lt;&gt;"")),Log[State]),"TODO"),"OPEN",IF(Items[[#This Row],[Blocked]]="Y","WAIT","OPEN")))</f>
      </c>
      <c r="O62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24" s="17">
        <f>IF(Items[[#This Row],[State]]&lt;&gt;"WAIT","",AsOf-Items[[#This Row],[Blocked since]])</f>
      </c>
      <c r="Q624" s="17">
        <f>IF(Items[[#This Row],[State]]&lt;&gt;"WAIT","",IFERROR(LOOKUP(2,1/((Log[ID]=Items[[#This Row],[ID]])*(Log[Verb]="block")),Log[Note])&amp;"",""))</f>
      </c>
      <c r="R624" s="17">
        <f>IF(Items[[#This Row],[ID]]="","",COUNTIFS(Log[ID],Items[[#This Row],[ID]],Log[Verb],"carry"))</f>
      </c>
      <c r="S624" s="17">
        <f>IF(Items[[#This Row],[ID]]="","",COUNTIFS(Log[ID],Items[[#This Row],[ID]],Log[Verb],"punt"))</f>
      </c>
      <c r="T624" s="11">
        <f>IF(Items[[#This Row],[State]]&lt;&gt;"DONE","",IFERROR(LOOKUP(2,1/((Log[ID]=Items[[#This Row],[ID]])*(Log[Verb]="done")),Log[Date]),""))</f>
      </c>
      <c r="U624" s="17">
        <f>IF(Items[[#This Row],[ID]]="","",IF(AND(Items[[#This Row],[Sprint]]=CurSprint,OR(Items[[#This Row],[State]]="OPEN",Items[[#This Row],[State]]="WAIT",Items[[#This Row],[State]]="HOLD",Items[[#This Row],[State]]="DONE")),1,0))</f>
      </c>
      <c r="V624" s="17">
        <f>IF(OR(Items[[#This Row],[ID]]="",Items[[#This Row],[Added]]=""),"",AsOf-Items[[#This Row],[Added]])</f>
      </c>
      <c r="W624" s="17">
        <f>IF(Items[[#This Row],[In sprint]]=1,(IF(Items[[#This Row],[Prio]]="",9,N(Items[[#This Row],[Prio]]))*10+(IF(Items[[#This Row],[State]]="DONE",1,0)))*100000+ROW(),"")</f>
      </c>
      <c r="X62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24" s="17">
        <f>IF(AND(Items[[#This Row],[State]]="DONE",N(Items[[#This Row],[Done on]])&gt;AsOf-7),(200000-N(Items[[#This Row],[Done on]]))*100000+ROW(),"")</f>
      </c>
    </row>
    <row r="625">
      <c r="A625" t="s">
        <v>773</v>
      </c>
      <c r="B625" t="s">
        <v>1846</v>
      </c>
      <c r="C625" t="s">
        <v>1107</v>
      </c>
      <c r="D625" t="s">
        <v>1127</v>
      </c>
      <c r="E625" t="s">
        <v>1124</v>
      </c>
      <c r="F625" t="s">
        <v>1280</v>
      </c>
      <c r="G625">
        <v>5</v>
      </c>
      <c r="H625">
        <v>3</v>
      </c>
      <c r="I625" s="11">
        <v>46203</v>
      </c>
      <c r="J625" s="17">
        <f>IF(Items[[#This Row],[ID]]="","",IFERROR(VALUE(LOOKUP(2,1/((Log[ID]=Items[[#This Row],[ID]])*(Log[Verb]="est")),Log[Arg])),N(Items[[#This Row],[Points]])))</f>
      </c>
      <c r="K625" s="17">
        <f>IF(Items[[#This Row],[ID]]="","",IFERROR(LOOKUP(2,1/((Log[ID]=Items[[#This Row],[ID]])*(Log[Verb]="pass")),Log[Arg])&amp;"",Items[[#This Row],[Team]]&amp;""))</f>
      </c>
      <c r="L625" s="17">
        <f>IF(Items[[#This Row],[ID]]="","",IFERROR(LOOKUP(2,1/((Log[ID]=Items[[#This Row],[ID]])*(Log[Into]&lt;&gt;"")),Log[Into]),""))</f>
      </c>
      <c r="M625" s="17">
        <f>IF(Items[[#This Row],[ID]]="","",IF(IFERROR(LOOKUP(2,1/((Log[ID]=Items[[#This Row],[ID]])*(Log[Blk]&lt;&gt;"")),Log[Blk]),0)=1,"Y",""))</f>
      </c>
      <c r="N625" s="17">
        <f>IF(Items[[#This Row],[ID]]="","",SUBSTITUTE(IFERROR(LOOKUP(2,1/((Log[ID]=Items[[#This Row],[ID]])*(Log[State]&lt;&gt;"")),Log[State]),"TODO"),"OPEN",IF(Items[[#This Row],[Blocked]]="Y","WAIT","OPEN")))</f>
      </c>
      <c r="O62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25" s="17">
        <f>IF(Items[[#This Row],[State]]&lt;&gt;"WAIT","",AsOf-Items[[#This Row],[Blocked since]])</f>
      </c>
      <c r="Q625" s="17">
        <f>IF(Items[[#This Row],[State]]&lt;&gt;"WAIT","",IFERROR(LOOKUP(2,1/((Log[ID]=Items[[#This Row],[ID]])*(Log[Verb]="block")),Log[Note])&amp;"",""))</f>
      </c>
      <c r="R625" s="17">
        <f>IF(Items[[#This Row],[ID]]="","",COUNTIFS(Log[ID],Items[[#This Row],[ID]],Log[Verb],"carry"))</f>
      </c>
      <c r="S625" s="17">
        <f>IF(Items[[#This Row],[ID]]="","",COUNTIFS(Log[ID],Items[[#This Row],[ID]],Log[Verb],"punt"))</f>
      </c>
      <c r="T625" s="11">
        <f>IF(Items[[#This Row],[State]]&lt;&gt;"DONE","",IFERROR(LOOKUP(2,1/((Log[ID]=Items[[#This Row],[ID]])*(Log[Verb]="done")),Log[Date]),""))</f>
      </c>
      <c r="U625" s="17">
        <f>IF(Items[[#This Row],[ID]]="","",IF(AND(Items[[#This Row],[Sprint]]=CurSprint,OR(Items[[#This Row],[State]]="OPEN",Items[[#This Row],[State]]="WAIT",Items[[#This Row],[State]]="HOLD",Items[[#This Row],[State]]="DONE")),1,0))</f>
      </c>
      <c r="V625" s="17">
        <f>IF(OR(Items[[#This Row],[ID]]="",Items[[#This Row],[Added]]=""),"",AsOf-Items[[#This Row],[Added]])</f>
      </c>
      <c r="W625" s="17">
        <f>IF(Items[[#This Row],[In sprint]]=1,(IF(Items[[#This Row],[Prio]]="",9,N(Items[[#This Row],[Prio]]))*10+(IF(Items[[#This Row],[State]]="DONE",1,0)))*100000+ROW(),"")</f>
      </c>
      <c r="X62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25" s="17">
        <f>IF(AND(Items[[#This Row],[State]]="DONE",N(Items[[#This Row],[Done on]])&gt;AsOf-7),(200000-N(Items[[#This Row],[Done on]]))*100000+ROW(),"")</f>
      </c>
    </row>
    <row r="626">
      <c r="A626" t="s">
        <v>776</v>
      </c>
      <c r="B626" t="s">
        <v>1847</v>
      </c>
      <c r="C626" t="s">
        <v>1115</v>
      </c>
      <c r="D626" t="s">
        <v>1119</v>
      </c>
      <c r="E626" t="s">
        <v>1159</v>
      </c>
      <c r="F626" t="s">
        <v>1211</v>
      </c>
      <c r="G626">
        <v>8</v>
      </c>
      <c r="H626">
        <v>3</v>
      </c>
      <c r="I626" s="11">
        <v>46203</v>
      </c>
      <c r="J626" s="17">
        <f>IF(Items[[#This Row],[ID]]="","",IFERROR(VALUE(LOOKUP(2,1/((Log[ID]=Items[[#This Row],[ID]])*(Log[Verb]="est")),Log[Arg])),N(Items[[#This Row],[Points]])))</f>
      </c>
      <c r="K626" s="17">
        <f>IF(Items[[#This Row],[ID]]="","",IFERROR(LOOKUP(2,1/((Log[ID]=Items[[#This Row],[ID]])*(Log[Verb]="pass")),Log[Arg])&amp;"",Items[[#This Row],[Team]]&amp;""))</f>
      </c>
      <c r="L626" s="17">
        <f>IF(Items[[#This Row],[ID]]="","",IFERROR(LOOKUP(2,1/((Log[ID]=Items[[#This Row],[ID]])*(Log[Into]&lt;&gt;"")),Log[Into]),""))</f>
      </c>
      <c r="M626" s="17">
        <f>IF(Items[[#This Row],[ID]]="","",IF(IFERROR(LOOKUP(2,1/((Log[ID]=Items[[#This Row],[ID]])*(Log[Blk]&lt;&gt;"")),Log[Blk]),0)=1,"Y",""))</f>
      </c>
      <c r="N626" s="17">
        <f>IF(Items[[#This Row],[ID]]="","",SUBSTITUTE(IFERROR(LOOKUP(2,1/((Log[ID]=Items[[#This Row],[ID]])*(Log[State]&lt;&gt;"")),Log[State]),"TODO"),"OPEN",IF(Items[[#This Row],[Blocked]]="Y","WAIT","OPEN")))</f>
      </c>
      <c r="O62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26" s="17">
        <f>IF(Items[[#This Row],[State]]&lt;&gt;"WAIT","",AsOf-Items[[#This Row],[Blocked since]])</f>
      </c>
      <c r="Q626" s="17">
        <f>IF(Items[[#This Row],[State]]&lt;&gt;"WAIT","",IFERROR(LOOKUP(2,1/((Log[ID]=Items[[#This Row],[ID]])*(Log[Verb]="block")),Log[Note])&amp;"",""))</f>
      </c>
      <c r="R626" s="17">
        <f>IF(Items[[#This Row],[ID]]="","",COUNTIFS(Log[ID],Items[[#This Row],[ID]],Log[Verb],"carry"))</f>
      </c>
      <c r="S626" s="17">
        <f>IF(Items[[#This Row],[ID]]="","",COUNTIFS(Log[ID],Items[[#This Row],[ID]],Log[Verb],"punt"))</f>
      </c>
      <c r="T626" s="11">
        <f>IF(Items[[#This Row],[State]]&lt;&gt;"DONE","",IFERROR(LOOKUP(2,1/((Log[ID]=Items[[#This Row],[ID]])*(Log[Verb]="done")),Log[Date]),""))</f>
      </c>
      <c r="U626" s="17">
        <f>IF(Items[[#This Row],[ID]]="","",IF(AND(Items[[#This Row],[Sprint]]=CurSprint,OR(Items[[#This Row],[State]]="OPEN",Items[[#This Row],[State]]="WAIT",Items[[#This Row],[State]]="HOLD",Items[[#This Row],[State]]="DONE")),1,0))</f>
      </c>
      <c r="V626" s="17">
        <f>IF(OR(Items[[#This Row],[ID]]="",Items[[#This Row],[Added]]=""),"",AsOf-Items[[#This Row],[Added]])</f>
      </c>
      <c r="W626" s="17">
        <f>IF(Items[[#This Row],[In sprint]]=1,(IF(Items[[#This Row],[Prio]]="",9,N(Items[[#This Row],[Prio]]))*10+(IF(Items[[#This Row],[State]]="DONE",1,0)))*100000+ROW(),"")</f>
      </c>
      <c r="X62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26" s="17">
        <f>IF(AND(Items[[#This Row],[State]]="DONE",N(Items[[#This Row],[Done on]])&gt;AsOf-7),(200000-N(Items[[#This Row],[Done on]]))*100000+ROW(),"")</f>
      </c>
    </row>
    <row r="627">
      <c r="A627" t="s">
        <v>733</v>
      </c>
      <c r="B627" t="s">
        <v>1848</v>
      </c>
      <c r="C627" t="s">
        <v>1115</v>
      </c>
      <c r="D627" t="s">
        <v>1119</v>
      </c>
      <c r="E627" t="s">
        <v>1159</v>
      </c>
      <c r="F627" t="s">
        <v>1437</v>
      </c>
      <c r="G627">
        <v>3</v>
      </c>
      <c r="H627">
        <v>2</v>
      </c>
      <c r="I627" s="11">
        <v>46203</v>
      </c>
      <c r="J627" s="17">
        <f>IF(Items[[#This Row],[ID]]="","",IFERROR(VALUE(LOOKUP(2,1/((Log[ID]=Items[[#This Row],[ID]])*(Log[Verb]="est")),Log[Arg])),N(Items[[#This Row],[Points]])))</f>
      </c>
      <c r="K627" s="17">
        <f>IF(Items[[#This Row],[ID]]="","",IFERROR(LOOKUP(2,1/((Log[ID]=Items[[#This Row],[ID]])*(Log[Verb]="pass")),Log[Arg])&amp;"",Items[[#This Row],[Team]]&amp;""))</f>
      </c>
      <c r="L627" s="17">
        <f>IF(Items[[#This Row],[ID]]="","",IFERROR(LOOKUP(2,1/((Log[ID]=Items[[#This Row],[ID]])*(Log[Into]&lt;&gt;"")),Log[Into]),""))</f>
      </c>
      <c r="M627" s="17">
        <f>IF(Items[[#This Row],[ID]]="","",IF(IFERROR(LOOKUP(2,1/((Log[ID]=Items[[#This Row],[ID]])*(Log[Blk]&lt;&gt;"")),Log[Blk]),0)=1,"Y",""))</f>
      </c>
      <c r="N627" s="17">
        <f>IF(Items[[#This Row],[ID]]="","",SUBSTITUTE(IFERROR(LOOKUP(2,1/((Log[ID]=Items[[#This Row],[ID]])*(Log[State]&lt;&gt;"")),Log[State]),"TODO"),"OPEN",IF(Items[[#This Row],[Blocked]]="Y","WAIT","OPEN")))</f>
      </c>
      <c r="O62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27" s="17">
        <f>IF(Items[[#This Row],[State]]&lt;&gt;"WAIT","",AsOf-Items[[#This Row],[Blocked since]])</f>
      </c>
      <c r="Q627" s="17">
        <f>IF(Items[[#This Row],[State]]&lt;&gt;"WAIT","",IFERROR(LOOKUP(2,1/((Log[ID]=Items[[#This Row],[ID]])*(Log[Verb]="block")),Log[Note])&amp;"",""))</f>
      </c>
      <c r="R627" s="17">
        <f>IF(Items[[#This Row],[ID]]="","",COUNTIFS(Log[ID],Items[[#This Row],[ID]],Log[Verb],"carry"))</f>
      </c>
      <c r="S627" s="17">
        <f>IF(Items[[#This Row],[ID]]="","",COUNTIFS(Log[ID],Items[[#This Row],[ID]],Log[Verb],"punt"))</f>
      </c>
      <c r="T627" s="11">
        <f>IF(Items[[#This Row],[State]]&lt;&gt;"DONE","",IFERROR(LOOKUP(2,1/((Log[ID]=Items[[#This Row],[ID]])*(Log[Verb]="done")),Log[Date]),""))</f>
      </c>
      <c r="U627" s="17">
        <f>IF(Items[[#This Row],[ID]]="","",IF(AND(Items[[#This Row],[Sprint]]=CurSprint,OR(Items[[#This Row],[State]]="OPEN",Items[[#This Row],[State]]="WAIT",Items[[#This Row],[State]]="HOLD",Items[[#This Row],[State]]="DONE")),1,0))</f>
      </c>
      <c r="V627" s="17">
        <f>IF(OR(Items[[#This Row],[ID]]="",Items[[#This Row],[Added]]=""),"",AsOf-Items[[#This Row],[Added]])</f>
      </c>
      <c r="W627" s="17">
        <f>IF(Items[[#This Row],[In sprint]]=1,(IF(Items[[#This Row],[Prio]]="",9,N(Items[[#This Row],[Prio]]))*10+(IF(Items[[#This Row],[State]]="DONE",1,0)))*100000+ROW(),"")</f>
      </c>
      <c r="X62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27" s="17">
        <f>IF(AND(Items[[#This Row],[State]]="DONE",N(Items[[#This Row],[Done on]])&gt;AsOf-7),(200000-N(Items[[#This Row],[Done on]]))*100000+ROW(),"")</f>
      </c>
    </row>
    <row r="628">
      <c r="A628" t="s">
        <v>777</v>
      </c>
      <c r="B628" t="s">
        <v>1849</v>
      </c>
      <c r="C628" t="s">
        <v>1107</v>
      </c>
      <c r="D628" t="s">
        <v>1123</v>
      </c>
      <c r="E628" t="s">
        <v>1159</v>
      </c>
      <c r="F628" t="s">
        <v>1433</v>
      </c>
      <c r="G628">
        <v>2</v>
      </c>
      <c r="H628">
        <v>3</v>
      </c>
      <c r="I628" s="11">
        <v>46203</v>
      </c>
      <c r="J628" s="17">
        <f>IF(Items[[#This Row],[ID]]="","",IFERROR(VALUE(LOOKUP(2,1/((Log[ID]=Items[[#This Row],[ID]])*(Log[Verb]="est")),Log[Arg])),N(Items[[#This Row],[Points]])))</f>
      </c>
      <c r="K628" s="17">
        <f>IF(Items[[#This Row],[ID]]="","",IFERROR(LOOKUP(2,1/((Log[ID]=Items[[#This Row],[ID]])*(Log[Verb]="pass")),Log[Arg])&amp;"",Items[[#This Row],[Team]]&amp;""))</f>
      </c>
      <c r="L628" s="17">
        <f>IF(Items[[#This Row],[ID]]="","",IFERROR(LOOKUP(2,1/((Log[ID]=Items[[#This Row],[ID]])*(Log[Into]&lt;&gt;"")),Log[Into]),""))</f>
      </c>
      <c r="M628" s="17">
        <f>IF(Items[[#This Row],[ID]]="","",IF(IFERROR(LOOKUP(2,1/((Log[ID]=Items[[#This Row],[ID]])*(Log[Blk]&lt;&gt;"")),Log[Blk]),0)=1,"Y",""))</f>
      </c>
      <c r="N628" s="17">
        <f>IF(Items[[#This Row],[ID]]="","",SUBSTITUTE(IFERROR(LOOKUP(2,1/((Log[ID]=Items[[#This Row],[ID]])*(Log[State]&lt;&gt;"")),Log[State]),"TODO"),"OPEN",IF(Items[[#This Row],[Blocked]]="Y","WAIT","OPEN")))</f>
      </c>
      <c r="O62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28" s="17">
        <f>IF(Items[[#This Row],[State]]&lt;&gt;"WAIT","",AsOf-Items[[#This Row],[Blocked since]])</f>
      </c>
      <c r="Q628" s="17">
        <f>IF(Items[[#This Row],[State]]&lt;&gt;"WAIT","",IFERROR(LOOKUP(2,1/((Log[ID]=Items[[#This Row],[ID]])*(Log[Verb]="block")),Log[Note])&amp;"",""))</f>
      </c>
      <c r="R628" s="17">
        <f>IF(Items[[#This Row],[ID]]="","",COUNTIFS(Log[ID],Items[[#This Row],[ID]],Log[Verb],"carry"))</f>
      </c>
      <c r="S628" s="17">
        <f>IF(Items[[#This Row],[ID]]="","",COUNTIFS(Log[ID],Items[[#This Row],[ID]],Log[Verb],"punt"))</f>
      </c>
      <c r="T628" s="11">
        <f>IF(Items[[#This Row],[State]]&lt;&gt;"DONE","",IFERROR(LOOKUP(2,1/((Log[ID]=Items[[#This Row],[ID]])*(Log[Verb]="done")),Log[Date]),""))</f>
      </c>
      <c r="U628" s="17">
        <f>IF(Items[[#This Row],[ID]]="","",IF(AND(Items[[#This Row],[Sprint]]=CurSprint,OR(Items[[#This Row],[State]]="OPEN",Items[[#This Row],[State]]="WAIT",Items[[#This Row],[State]]="HOLD",Items[[#This Row],[State]]="DONE")),1,0))</f>
      </c>
      <c r="V628" s="17">
        <f>IF(OR(Items[[#This Row],[ID]]="",Items[[#This Row],[Added]]=""),"",AsOf-Items[[#This Row],[Added]])</f>
      </c>
      <c r="W628" s="17">
        <f>IF(Items[[#This Row],[In sprint]]=1,(IF(Items[[#This Row],[Prio]]="",9,N(Items[[#This Row],[Prio]]))*10+(IF(Items[[#This Row],[State]]="DONE",1,0)))*100000+ROW(),"")</f>
      </c>
      <c r="X62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28" s="17">
        <f>IF(AND(Items[[#This Row],[State]]="DONE",N(Items[[#This Row],[Done on]])&gt;AsOf-7),(200000-N(Items[[#This Row],[Done on]]))*100000+ROW(),"")</f>
      </c>
    </row>
    <row r="629">
      <c r="A629" t="s">
        <v>778</v>
      </c>
      <c r="B629" t="s">
        <v>1850</v>
      </c>
      <c r="C629" t="s">
        <v>1107</v>
      </c>
      <c r="D629" t="s">
        <v>1123</v>
      </c>
      <c r="E629" t="s">
        <v>1159</v>
      </c>
      <c r="F629" t="s">
        <v>1439</v>
      </c>
      <c r="G629">
        <v>2</v>
      </c>
      <c r="H629">
        <v>2</v>
      </c>
      <c r="I629" s="11">
        <v>46203</v>
      </c>
      <c r="J629" s="17">
        <f>IF(Items[[#This Row],[ID]]="","",IFERROR(VALUE(LOOKUP(2,1/((Log[ID]=Items[[#This Row],[ID]])*(Log[Verb]="est")),Log[Arg])),N(Items[[#This Row],[Points]])))</f>
      </c>
      <c r="K629" s="17">
        <f>IF(Items[[#This Row],[ID]]="","",IFERROR(LOOKUP(2,1/((Log[ID]=Items[[#This Row],[ID]])*(Log[Verb]="pass")),Log[Arg])&amp;"",Items[[#This Row],[Team]]&amp;""))</f>
      </c>
      <c r="L629" s="17">
        <f>IF(Items[[#This Row],[ID]]="","",IFERROR(LOOKUP(2,1/((Log[ID]=Items[[#This Row],[ID]])*(Log[Into]&lt;&gt;"")),Log[Into]),""))</f>
      </c>
      <c r="M629" s="17">
        <f>IF(Items[[#This Row],[ID]]="","",IF(IFERROR(LOOKUP(2,1/((Log[ID]=Items[[#This Row],[ID]])*(Log[Blk]&lt;&gt;"")),Log[Blk]),0)=1,"Y",""))</f>
      </c>
      <c r="N629" s="17">
        <f>IF(Items[[#This Row],[ID]]="","",SUBSTITUTE(IFERROR(LOOKUP(2,1/((Log[ID]=Items[[#This Row],[ID]])*(Log[State]&lt;&gt;"")),Log[State]),"TODO"),"OPEN",IF(Items[[#This Row],[Blocked]]="Y","WAIT","OPEN")))</f>
      </c>
      <c r="O62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29" s="17">
        <f>IF(Items[[#This Row],[State]]&lt;&gt;"WAIT","",AsOf-Items[[#This Row],[Blocked since]])</f>
      </c>
      <c r="Q629" s="17">
        <f>IF(Items[[#This Row],[State]]&lt;&gt;"WAIT","",IFERROR(LOOKUP(2,1/((Log[ID]=Items[[#This Row],[ID]])*(Log[Verb]="block")),Log[Note])&amp;"",""))</f>
      </c>
      <c r="R629" s="17">
        <f>IF(Items[[#This Row],[ID]]="","",COUNTIFS(Log[ID],Items[[#This Row],[ID]],Log[Verb],"carry"))</f>
      </c>
      <c r="S629" s="17">
        <f>IF(Items[[#This Row],[ID]]="","",COUNTIFS(Log[ID],Items[[#This Row],[ID]],Log[Verb],"punt"))</f>
      </c>
      <c r="T629" s="11">
        <f>IF(Items[[#This Row],[State]]&lt;&gt;"DONE","",IFERROR(LOOKUP(2,1/((Log[ID]=Items[[#This Row],[ID]])*(Log[Verb]="done")),Log[Date]),""))</f>
      </c>
      <c r="U629" s="17">
        <f>IF(Items[[#This Row],[ID]]="","",IF(AND(Items[[#This Row],[Sprint]]=CurSprint,OR(Items[[#This Row],[State]]="OPEN",Items[[#This Row],[State]]="WAIT",Items[[#This Row],[State]]="HOLD",Items[[#This Row],[State]]="DONE")),1,0))</f>
      </c>
      <c r="V629" s="17">
        <f>IF(OR(Items[[#This Row],[ID]]="",Items[[#This Row],[Added]]=""),"",AsOf-Items[[#This Row],[Added]])</f>
      </c>
      <c r="W629" s="17">
        <f>IF(Items[[#This Row],[In sprint]]=1,(IF(Items[[#This Row],[Prio]]="",9,N(Items[[#This Row],[Prio]]))*10+(IF(Items[[#This Row],[State]]="DONE",1,0)))*100000+ROW(),"")</f>
      </c>
      <c r="X62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29" s="17">
        <f>IF(AND(Items[[#This Row],[State]]="DONE",N(Items[[#This Row],[Done on]])&gt;AsOf-7),(200000-N(Items[[#This Row],[Done on]]))*100000+ROW(),"")</f>
      </c>
    </row>
    <row r="630">
      <c r="A630" t="s">
        <v>744</v>
      </c>
      <c r="B630" t="s">
        <v>1851</v>
      </c>
      <c r="C630" t="s">
        <v>1115</v>
      </c>
      <c r="D630" t="s">
        <v>1116</v>
      </c>
      <c r="E630" t="s">
        <v>1128</v>
      </c>
      <c r="F630" t="s">
        <v>1217</v>
      </c>
      <c r="G630">
        <v>3</v>
      </c>
      <c r="H630">
        <v>2</v>
      </c>
      <c r="I630" s="11">
        <v>46203</v>
      </c>
      <c r="J630" s="17">
        <f>IF(Items[[#This Row],[ID]]="","",IFERROR(VALUE(LOOKUP(2,1/((Log[ID]=Items[[#This Row],[ID]])*(Log[Verb]="est")),Log[Arg])),N(Items[[#This Row],[Points]])))</f>
      </c>
      <c r="K630" s="17">
        <f>IF(Items[[#This Row],[ID]]="","",IFERROR(LOOKUP(2,1/((Log[ID]=Items[[#This Row],[ID]])*(Log[Verb]="pass")),Log[Arg])&amp;"",Items[[#This Row],[Team]]&amp;""))</f>
      </c>
      <c r="L630" s="17">
        <f>IF(Items[[#This Row],[ID]]="","",IFERROR(LOOKUP(2,1/((Log[ID]=Items[[#This Row],[ID]])*(Log[Into]&lt;&gt;"")),Log[Into]),""))</f>
      </c>
      <c r="M630" s="17">
        <f>IF(Items[[#This Row],[ID]]="","",IF(IFERROR(LOOKUP(2,1/((Log[ID]=Items[[#This Row],[ID]])*(Log[Blk]&lt;&gt;"")),Log[Blk]),0)=1,"Y",""))</f>
      </c>
      <c r="N630" s="17">
        <f>IF(Items[[#This Row],[ID]]="","",SUBSTITUTE(IFERROR(LOOKUP(2,1/((Log[ID]=Items[[#This Row],[ID]])*(Log[State]&lt;&gt;"")),Log[State]),"TODO"),"OPEN",IF(Items[[#This Row],[Blocked]]="Y","WAIT","OPEN")))</f>
      </c>
      <c r="O63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30" s="17">
        <f>IF(Items[[#This Row],[State]]&lt;&gt;"WAIT","",AsOf-Items[[#This Row],[Blocked since]])</f>
      </c>
      <c r="Q630" s="17">
        <f>IF(Items[[#This Row],[State]]&lt;&gt;"WAIT","",IFERROR(LOOKUP(2,1/((Log[ID]=Items[[#This Row],[ID]])*(Log[Verb]="block")),Log[Note])&amp;"",""))</f>
      </c>
      <c r="R630" s="17">
        <f>IF(Items[[#This Row],[ID]]="","",COUNTIFS(Log[ID],Items[[#This Row],[ID]],Log[Verb],"carry"))</f>
      </c>
      <c r="S630" s="17">
        <f>IF(Items[[#This Row],[ID]]="","",COUNTIFS(Log[ID],Items[[#This Row],[ID]],Log[Verb],"punt"))</f>
      </c>
      <c r="T630" s="11">
        <f>IF(Items[[#This Row],[State]]&lt;&gt;"DONE","",IFERROR(LOOKUP(2,1/((Log[ID]=Items[[#This Row],[ID]])*(Log[Verb]="done")),Log[Date]),""))</f>
      </c>
      <c r="U630" s="17">
        <f>IF(Items[[#This Row],[ID]]="","",IF(AND(Items[[#This Row],[Sprint]]=CurSprint,OR(Items[[#This Row],[State]]="OPEN",Items[[#This Row],[State]]="WAIT",Items[[#This Row],[State]]="HOLD",Items[[#This Row],[State]]="DONE")),1,0))</f>
      </c>
      <c r="V630" s="17">
        <f>IF(OR(Items[[#This Row],[ID]]="",Items[[#This Row],[Added]]=""),"",AsOf-Items[[#This Row],[Added]])</f>
      </c>
      <c r="W630" s="17">
        <f>IF(Items[[#This Row],[In sprint]]=1,(IF(Items[[#This Row],[Prio]]="",9,N(Items[[#This Row],[Prio]]))*10+(IF(Items[[#This Row],[State]]="DONE",1,0)))*100000+ROW(),"")</f>
      </c>
      <c r="X63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30" s="17">
        <f>IF(AND(Items[[#This Row],[State]]="DONE",N(Items[[#This Row],[Done on]])&gt;AsOf-7),(200000-N(Items[[#This Row],[Done on]]))*100000+ROW(),"")</f>
      </c>
    </row>
    <row r="631">
      <c r="A631" t="s">
        <v>781</v>
      </c>
      <c r="B631" t="s">
        <v>1852</v>
      </c>
      <c r="C631" t="s">
        <v>1115</v>
      </c>
      <c r="D631" t="s">
        <v>1116</v>
      </c>
      <c r="E631" t="s">
        <v>1128</v>
      </c>
      <c r="F631" t="s">
        <v>1296</v>
      </c>
      <c r="G631">
        <v>5</v>
      </c>
      <c r="H631">
        <v>2</v>
      </c>
      <c r="I631" s="11">
        <v>46203</v>
      </c>
      <c r="J631" s="17">
        <f>IF(Items[[#This Row],[ID]]="","",IFERROR(VALUE(LOOKUP(2,1/((Log[ID]=Items[[#This Row],[ID]])*(Log[Verb]="est")),Log[Arg])),N(Items[[#This Row],[Points]])))</f>
      </c>
      <c r="K631" s="17">
        <f>IF(Items[[#This Row],[ID]]="","",IFERROR(LOOKUP(2,1/((Log[ID]=Items[[#This Row],[ID]])*(Log[Verb]="pass")),Log[Arg])&amp;"",Items[[#This Row],[Team]]&amp;""))</f>
      </c>
      <c r="L631" s="17">
        <f>IF(Items[[#This Row],[ID]]="","",IFERROR(LOOKUP(2,1/((Log[ID]=Items[[#This Row],[ID]])*(Log[Into]&lt;&gt;"")),Log[Into]),""))</f>
      </c>
      <c r="M631" s="17">
        <f>IF(Items[[#This Row],[ID]]="","",IF(IFERROR(LOOKUP(2,1/((Log[ID]=Items[[#This Row],[ID]])*(Log[Blk]&lt;&gt;"")),Log[Blk]),0)=1,"Y",""))</f>
      </c>
      <c r="N631" s="17">
        <f>IF(Items[[#This Row],[ID]]="","",SUBSTITUTE(IFERROR(LOOKUP(2,1/((Log[ID]=Items[[#This Row],[ID]])*(Log[State]&lt;&gt;"")),Log[State]),"TODO"),"OPEN",IF(Items[[#This Row],[Blocked]]="Y","WAIT","OPEN")))</f>
      </c>
      <c r="O63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31" s="17">
        <f>IF(Items[[#This Row],[State]]&lt;&gt;"WAIT","",AsOf-Items[[#This Row],[Blocked since]])</f>
      </c>
      <c r="Q631" s="17">
        <f>IF(Items[[#This Row],[State]]&lt;&gt;"WAIT","",IFERROR(LOOKUP(2,1/((Log[ID]=Items[[#This Row],[ID]])*(Log[Verb]="block")),Log[Note])&amp;"",""))</f>
      </c>
      <c r="R631" s="17">
        <f>IF(Items[[#This Row],[ID]]="","",COUNTIFS(Log[ID],Items[[#This Row],[ID]],Log[Verb],"carry"))</f>
      </c>
      <c r="S631" s="17">
        <f>IF(Items[[#This Row],[ID]]="","",COUNTIFS(Log[ID],Items[[#This Row],[ID]],Log[Verb],"punt"))</f>
      </c>
      <c r="T631" s="11">
        <f>IF(Items[[#This Row],[State]]&lt;&gt;"DONE","",IFERROR(LOOKUP(2,1/((Log[ID]=Items[[#This Row],[ID]])*(Log[Verb]="done")),Log[Date]),""))</f>
      </c>
      <c r="U631" s="17">
        <f>IF(Items[[#This Row],[ID]]="","",IF(AND(Items[[#This Row],[Sprint]]=CurSprint,OR(Items[[#This Row],[State]]="OPEN",Items[[#This Row],[State]]="WAIT",Items[[#This Row],[State]]="HOLD",Items[[#This Row],[State]]="DONE")),1,0))</f>
      </c>
      <c r="V631" s="17">
        <f>IF(OR(Items[[#This Row],[ID]]="",Items[[#This Row],[Added]]=""),"",AsOf-Items[[#This Row],[Added]])</f>
      </c>
      <c r="W631" s="17">
        <f>IF(Items[[#This Row],[In sprint]]=1,(IF(Items[[#This Row],[Prio]]="",9,N(Items[[#This Row],[Prio]]))*10+(IF(Items[[#This Row],[State]]="DONE",1,0)))*100000+ROW(),"")</f>
      </c>
      <c r="X63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31" s="17">
        <f>IF(AND(Items[[#This Row],[State]]="DONE",N(Items[[#This Row],[Done on]])&gt;AsOf-7),(200000-N(Items[[#This Row],[Done on]]))*100000+ROW(),"")</f>
      </c>
    </row>
    <row r="632">
      <c r="A632" t="s">
        <v>782</v>
      </c>
      <c r="B632" t="s">
        <v>1853</v>
      </c>
      <c r="C632" t="s">
        <v>1107</v>
      </c>
      <c r="D632" t="s">
        <v>1123</v>
      </c>
      <c r="E632" t="s">
        <v>1128</v>
      </c>
      <c r="F632" t="s">
        <v>1292</v>
      </c>
      <c r="G632">
        <v>3</v>
      </c>
      <c r="H632">
        <v>1</v>
      </c>
      <c r="I632" s="11">
        <v>46203</v>
      </c>
      <c r="J632" s="17">
        <f>IF(Items[[#This Row],[ID]]="","",IFERROR(VALUE(LOOKUP(2,1/((Log[ID]=Items[[#This Row],[ID]])*(Log[Verb]="est")),Log[Arg])),N(Items[[#This Row],[Points]])))</f>
      </c>
      <c r="K632" s="17">
        <f>IF(Items[[#This Row],[ID]]="","",IFERROR(LOOKUP(2,1/((Log[ID]=Items[[#This Row],[ID]])*(Log[Verb]="pass")),Log[Arg])&amp;"",Items[[#This Row],[Team]]&amp;""))</f>
      </c>
      <c r="L632" s="17">
        <f>IF(Items[[#This Row],[ID]]="","",IFERROR(LOOKUP(2,1/((Log[ID]=Items[[#This Row],[ID]])*(Log[Into]&lt;&gt;"")),Log[Into]),""))</f>
      </c>
      <c r="M632" s="17">
        <f>IF(Items[[#This Row],[ID]]="","",IF(IFERROR(LOOKUP(2,1/((Log[ID]=Items[[#This Row],[ID]])*(Log[Blk]&lt;&gt;"")),Log[Blk]),0)=1,"Y",""))</f>
      </c>
      <c r="N632" s="17">
        <f>IF(Items[[#This Row],[ID]]="","",SUBSTITUTE(IFERROR(LOOKUP(2,1/((Log[ID]=Items[[#This Row],[ID]])*(Log[State]&lt;&gt;"")),Log[State]),"TODO"),"OPEN",IF(Items[[#This Row],[Blocked]]="Y","WAIT","OPEN")))</f>
      </c>
      <c r="O63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32" s="17">
        <f>IF(Items[[#This Row],[State]]&lt;&gt;"WAIT","",AsOf-Items[[#This Row],[Blocked since]])</f>
      </c>
      <c r="Q632" s="17">
        <f>IF(Items[[#This Row],[State]]&lt;&gt;"WAIT","",IFERROR(LOOKUP(2,1/((Log[ID]=Items[[#This Row],[ID]])*(Log[Verb]="block")),Log[Note])&amp;"",""))</f>
      </c>
      <c r="R632" s="17">
        <f>IF(Items[[#This Row],[ID]]="","",COUNTIFS(Log[ID],Items[[#This Row],[ID]],Log[Verb],"carry"))</f>
      </c>
      <c r="S632" s="17">
        <f>IF(Items[[#This Row],[ID]]="","",COUNTIFS(Log[ID],Items[[#This Row],[ID]],Log[Verb],"punt"))</f>
      </c>
      <c r="T632" s="11">
        <f>IF(Items[[#This Row],[State]]&lt;&gt;"DONE","",IFERROR(LOOKUP(2,1/((Log[ID]=Items[[#This Row],[ID]])*(Log[Verb]="done")),Log[Date]),""))</f>
      </c>
      <c r="U632" s="17">
        <f>IF(Items[[#This Row],[ID]]="","",IF(AND(Items[[#This Row],[Sprint]]=CurSprint,OR(Items[[#This Row],[State]]="OPEN",Items[[#This Row],[State]]="WAIT",Items[[#This Row],[State]]="HOLD",Items[[#This Row],[State]]="DONE")),1,0))</f>
      </c>
      <c r="V632" s="17">
        <f>IF(OR(Items[[#This Row],[ID]]="",Items[[#This Row],[Added]]=""),"",AsOf-Items[[#This Row],[Added]])</f>
      </c>
      <c r="W632" s="17">
        <f>IF(Items[[#This Row],[In sprint]]=1,(IF(Items[[#This Row],[Prio]]="",9,N(Items[[#This Row],[Prio]]))*10+(IF(Items[[#This Row],[State]]="DONE",1,0)))*100000+ROW(),"")</f>
      </c>
      <c r="X63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32" s="17">
        <f>IF(AND(Items[[#This Row],[State]]="DONE",N(Items[[#This Row],[Done on]])&gt;AsOf-7),(200000-N(Items[[#This Row],[Done on]]))*100000+ROW(),"")</f>
      </c>
    </row>
    <row r="633">
      <c r="A633" t="s">
        <v>783</v>
      </c>
      <c r="B633" t="s">
        <v>1854</v>
      </c>
      <c r="C633" t="s">
        <v>1107</v>
      </c>
      <c r="D633" t="s">
        <v>1123</v>
      </c>
      <c r="E633" t="s">
        <v>1128</v>
      </c>
      <c r="F633" t="s">
        <v>1162</v>
      </c>
      <c r="G633">
        <v>5</v>
      </c>
      <c r="H633">
        <v>3</v>
      </c>
      <c r="I633" s="11">
        <v>46203</v>
      </c>
      <c r="J633" s="17">
        <f>IF(Items[[#This Row],[ID]]="","",IFERROR(VALUE(LOOKUP(2,1/((Log[ID]=Items[[#This Row],[ID]])*(Log[Verb]="est")),Log[Arg])),N(Items[[#This Row],[Points]])))</f>
      </c>
      <c r="K633" s="17">
        <f>IF(Items[[#This Row],[ID]]="","",IFERROR(LOOKUP(2,1/((Log[ID]=Items[[#This Row],[ID]])*(Log[Verb]="pass")),Log[Arg])&amp;"",Items[[#This Row],[Team]]&amp;""))</f>
      </c>
      <c r="L633" s="17">
        <f>IF(Items[[#This Row],[ID]]="","",IFERROR(LOOKUP(2,1/((Log[ID]=Items[[#This Row],[ID]])*(Log[Into]&lt;&gt;"")),Log[Into]),""))</f>
      </c>
      <c r="M633" s="17">
        <f>IF(Items[[#This Row],[ID]]="","",IF(IFERROR(LOOKUP(2,1/((Log[ID]=Items[[#This Row],[ID]])*(Log[Blk]&lt;&gt;"")),Log[Blk]),0)=1,"Y",""))</f>
      </c>
      <c r="N633" s="17">
        <f>IF(Items[[#This Row],[ID]]="","",SUBSTITUTE(IFERROR(LOOKUP(2,1/((Log[ID]=Items[[#This Row],[ID]])*(Log[State]&lt;&gt;"")),Log[State]),"TODO"),"OPEN",IF(Items[[#This Row],[Blocked]]="Y","WAIT","OPEN")))</f>
      </c>
      <c r="O63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33" s="17">
        <f>IF(Items[[#This Row],[State]]&lt;&gt;"WAIT","",AsOf-Items[[#This Row],[Blocked since]])</f>
      </c>
      <c r="Q633" s="17">
        <f>IF(Items[[#This Row],[State]]&lt;&gt;"WAIT","",IFERROR(LOOKUP(2,1/((Log[ID]=Items[[#This Row],[ID]])*(Log[Verb]="block")),Log[Note])&amp;"",""))</f>
      </c>
      <c r="R633" s="17">
        <f>IF(Items[[#This Row],[ID]]="","",COUNTIFS(Log[ID],Items[[#This Row],[ID]],Log[Verb],"carry"))</f>
      </c>
      <c r="S633" s="17">
        <f>IF(Items[[#This Row],[ID]]="","",COUNTIFS(Log[ID],Items[[#This Row],[ID]],Log[Verb],"punt"))</f>
      </c>
      <c r="T633" s="11">
        <f>IF(Items[[#This Row],[State]]&lt;&gt;"DONE","",IFERROR(LOOKUP(2,1/((Log[ID]=Items[[#This Row],[ID]])*(Log[Verb]="done")),Log[Date]),""))</f>
      </c>
      <c r="U633" s="17">
        <f>IF(Items[[#This Row],[ID]]="","",IF(AND(Items[[#This Row],[Sprint]]=CurSprint,OR(Items[[#This Row],[State]]="OPEN",Items[[#This Row],[State]]="WAIT",Items[[#This Row],[State]]="HOLD",Items[[#This Row],[State]]="DONE")),1,0))</f>
      </c>
      <c r="V633" s="17">
        <f>IF(OR(Items[[#This Row],[ID]]="",Items[[#This Row],[Added]]=""),"",AsOf-Items[[#This Row],[Added]])</f>
      </c>
      <c r="W633" s="17">
        <f>IF(Items[[#This Row],[In sprint]]=1,(IF(Items[[#This Row],[Prio]]="",9,N(Items[[#This Row],[Prio]]))*10+(IF(Items[[#This Row],[State]]="DONE",1,0)))*100000+ROW(),"")</f>
      </c>
      <c r="X63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33" s="17">
        <f>IF(AND(Items[[#This Row],[State]]="DONE",N(Items[[#This Row],[Done on]])&gt;AsOf-7),(200000-N(Items[[#This Row],[Done on]]))*100000+ROW(),"")</f>
      </c>
    </row>
    <row r="634">
      <c r="A634" t="s">
        <v>784</v>
      </c>
      <c r="B634" t="s">
        <v>1855</v>
      </c>
      <c r="C634" t="s">
        <v>1115</v>
      </c>
      <c r="D634" t="s">
        <v>1116</v>
      </c>
      <c r="E634" t="s">
        <v>1128</v>
      </c>
      <c r="F634" t="s">
        <v>1164</v>
      </c>
      <c r="G634">
        <v>8</v>
      </c>
      <c r="H634">
        <v>1</v>
      </c>
      <c r="I634" s="11">
        <v>46203</v>
      </c>
      <c r="J634" s="17">
        <f>IF(Items[[#This Row],[ID]]="","",IFERROR(VALUE(LOOKUP(2,1/((Log[ID]=Items[[#This Row],[ID]])*(Log[Verb]="est")),Log[Arg])),N(Items[[#This Row],[Points]])))</f>
      </c>
      <c r="K634" s="17">
        <f>IF(Items[[#This Row],[ID]]="","",IFERROR(LOOKUP(2,1/((Log[ID]=Items[[#This Row],[ID]])*(Log[Verb]="pass")),Log[Arg])&amp;"",Items[[#This Row],[Team]]&amp;""))</f>
      </c>
      <c r="L634" s="17">
        <f>IF(Items[[#This Row],[ID]]="","",IFERROR(LOOKUP(2,1/((Log[ID]=Items[[#This Row],[ID]])*(Log[Into]&lt;&gt;"")),Log[Into]),""))</f>
      </c>
      <c r="M634" s="17">
        <f>IF(Items[[#This Row],[ID]]="","",IF(IFERROR(LOOKUP(2,1/((Log[ID]=Items[[#This Row],[ID]])*(Log[Blk]&lt;&gt;"")),Log[Blk]),0)=1,"Y",""))</f>
      </c>
      <c r="N634" s="17">
        <f>IF(Items[[#This Row],[ID]]="","",SUBSTITUTE(IFERROR(LOOKUP(2,1/((Log[ID]=Items[[#This Row],[ID]])*(Log[State]&lt;&gt;"")),Log[State]),"TODO"),"OPEN",IF(Items[[#This Row],[Blocked]]="Y","WAIT","OPEN")))</f>
      </c>
      <c r="O63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34" s="17">
        <f>IF(Items[[#This Row],[State]]&lt;&gt;"WAIT","",AsOf-Items[[#This Row],[Blocked since]])</f>
      </c>
      <c r="Q634" s="17">
        <f>IF(Items[[#This Row],[State]]&lt;&gt;"WAIT","",IFERROR(LOOKUP(2,1/((Log[ID]=Items[[#This Row],[ID]])*(Log[Verb]="block")),Log[Note])&amp;"",""))</f>
      </c>
      <c r="R634" s="17">
        <f>IF(Items[[#This Row],[ID]]="","",COUNTIFS(Log[ID],Items[[#This Row],[ID]],Log[Verb],"carry"))</f>
      </c>
      <c r="S634" s="17">
        <f>IF(Items[[#This Row],[ID]]="","",COUNTIFS(Log[ID],Items[[#This Row],[ID]],Log[Verb],"punt"))</f>
      </c>
      <c r="T634" s="11">
        <f>IF(Items[[#This Row],[State]]&lt;&gt;"DONE","",IFERROR(LOOKUP(2,1/((Log[ID]=Items[[#This Row],[ID]])*(Log[Verb]="done")),Log[Date]),""))</f>
      </c>
      <c r="U634" s="17">
        <f>IF(Items[[#This Row],[ID]]="","",IF(AND(Items[[#This Row],[Sprint]]=CurSprint,OR(Items[[#This Row],[State]]="OPEN",Items[[#This Row],[State]]="WAIT",Items[[#This Row],[State]]="HOLD",Items[[#This Row],[State]]="DONE")),1,0))</f>
      </c>
      <c r="V634" s="17">
        <f>IF(OR(Items[[#This Row],[ID]]="",Items[[#This Row],[Added]]=""),"",AsOf-Items[[#This Row],[Added]])</f>
      </c>
      <c r="W634" s="17">
        <f>IF(Items[[#This Row],[In sprint]]=1,(IF(Items[[#This Row],[Prio]]="",9,N(Items[[#This Row],[Prio]]))*10+(IF(Items[[#This Row],[State]]="DONE",1,0)))*100000+ROW(),"")</f>
      </c>
      <c r="X63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34" s="17">
        <f>IF(AND(Items[[#This Row],[State]]="DONE",N(Items[[#This Row],[Done on]])&gt;AsOf-7),(200000-N(Items[[#This Row],[Done on]]))*100000+ROW(),"")</f>
      </c>
    </row>
    <row r="635">
      <c r="A635" t="s">
        <v>785</v>
      </c>
      <c r="B635" t="s">
        <v>1856</v>
      </c>
      <c r="C635" t="s">
        <v>1107</v>
      </c>
      <c r="D635" t="s">
        <v>1108</v>
      </c>
      <c r="E635" t="s">
        <v>1128</v>
      </c>
      <c r="F635" t="s">
        <v>1164</v>
      </c>
      <c r="G635">
        <v>8</v>
      </c>
      <c r="H635">
        <v>3</v>
      </c>
      <c r="I635" s="11">
        <v>46203</v>
      </c>
      <c r="J635" s="17">
        <f>IF(Items[[#This Row],[ID]]="","",IFERROR(VALUE(LOOKUP(2,1/((Log[ID]=Items[[#This Row],[ID]])*(Log[Verb]="est")),Log[Arg])),N(Items[[#This Row],[Points]])))</f>
      </c>
      <c r="K635" s="17">
        <f>IF(Items[[#This Row],[ID]]="","",IFERROR(LOOKUP(2,1/((Log[ID]=Items[[#This Row],[ID]])*(Log[Verb]="pass")),Log[Arg])&amp;"",Items[[#This Row],[Team]]&amp;""))</f>
      </c>
      <c r="L635" s="17">
        <f>IF(Items[[#This Row],[ID]]="","",IFERROR(LOOKUP(2,1/((Log[ID]=Items[[#This Row],[ID]])*(Log[Into]&lt;&gt;"")),Log[Into]),""))</f>
      </c>
      <c r="M635" s="17">
        <f>IF(Items[[#This Row],[ID]]="","",IF(IFERROR(LOOKUP(2,1/((Log[ID]=Items[[#This Row],[ID]])*(Log[Blk]&lt;&gt;"")),Log[Blk]),0)=1,"Y",""))</f>
      </c>
      <c r="N635" s="17">
        <f>IF(Items[[#This Row],[ID]]="","",SUBSTITUTE(IFERROR(LOOKUP(2,1/((Log[ID]=Items[[#This Row],[ID]])*(Log[State]&lt;&gt;"")),Log[State]),"TODO"),"OPEN",IF(Items[[#This Row],[Blocked]]="Y","WAIT","OPEN")))</f>
      </c>
      <c r="O63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35" s="17">
        <f>IF(Items[[#This Row],[State]]&lt;&gt;"WAIT","",AsOf-Items[[#This Row],[Blocked since]])</f>
      </c>
      <c r="Q635" s="17">
        <f>IF(Items[[#This Row],[State]]&lt;&gt;"WAIT","",IFERROR(LOOKUP(2,1/((Log[ID]=Items[[#This Row],[ID]])*(Log[Verb]="block")),Log[Note])&amp;"",""))</f>
      </c>
      <c r="R635" s="17">
        <f>IF(Items[[#This Row],[ID]]="","",COUNTIFS(Log[ID],Items[[#This Row],[ID]],Log[Verb],"carry"))</f>
      </c>
      <c r="S635" s="17">
        <f>IF(Items[[#This Row],[ID]]="","",COUNTIFS(Log[ID],Items[[#This Row],[ID]],Log[Verb],"punt"))</f>
      </c>
      <c r="T635" s="11">
        <f>IF(Items[[#This Row],[State]]&lt;&gt;"DONE","",IFERROR(LOOKUP(2,1/((Log[ID]=Items[[#This Row],[ID]])*(Log[Verb]="done")),Log[Date]),""))</f>
      </c>
      <c r="U635" s="17">
        <f>IF(Items[[#This Row],[ID]]="","",IF(AND(Items[[#This Row],[Sprint]]=CurSprint,OR(Items[[#This Row],[State]]="OPEN",Items[[#This Row],[State]]="WAIT",Items[[#This Row],[State]]="HOLD",Items[[#This Row],[State]]="DONE")),1,0))</f>
      </c>
      <c r="V635" s="17">
        <f>IF(OR(Items[[#This Row],[ID]]="",Items[[#This Row],[Added]]=""),"",AsOf-Items[[#This Row],[Added]])</f>
      </c>
      <c r="W635" s="17">
        <f>IF(Items[[#This Row],[In sprint]]=1,(IF(Items[[#This Row],[Prio]]="",9,N(Items[[#This Row],[Prio]]))*10+(IF(Items[[#This Row],[State]]="DONE",1,0)))*100000+ROW(),"")</f>
      </c>
      <c r="X63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35" s="17">
        <f>IF(AND(Items[[#This Row],[State]]="DONE",N(Items[[#This Row],[Done on]])&gt;AsOf-7),(200000-N(Items[[#This Row],[Done on]]))*100000+ROW(),"")</f>
      </c>
    </row>
    <row r="636">
      <c r="A636" t="s">
        <v>790</v>
      </c>
      <c r="B636" t="s">
        <v>1857</v>
      </c>
      <c r="C636" t="s">
        <v>1115</v>
      </c>
      <c r="D636" t="s">
        <v>1116</v>
      </c>
      <c r="E636" t="s">
        <v>1109</v>
      </c>
      <c r="F636" t="s">
        <v>1225</v>
      </c>
      <c r="G636">
        <v>2</v>
      </c>
      <c r="H636">
        <v>2</v>
      </c>
      <c r="I636" s="11">
        <v>46203</v>
      </c>
      <c r="J636" s="17">
        <f>IF(Items[[#This Row],[ID]]="","",IFERROR(VALUE(LOOKUP(2,1/((Log[ID]=Items[[#This Row],[ID]])*(Log[Verb]="est")),Log[Arg])),N(Items[[#This Row],[Points]])))</f>
      </c>
      <c r="K636" s="17">
        <f>IF(Items[[#This Row],[ID]]="","",IFERROR(LOOKUP(2,1/((Log[ID]=Items[[#This Row],[ID]])*(Log[Verb]="pass")),Log[Arg])&amp;"",Items[[#This Row],[Team]]&amp;""))</f>
      </c>
      <c r="L636" s="17">
        <f>IF(Items[[#This Row],[ID]]="","",IFERROR(LOOKUP(2,1/((Log[ID]=Items[[#This Row],[ID]])*(Log[Into]&lt;&gt;"")),Log[Into]),""))</f>
      </c>
      <c r="M636" s="17">
        <f>IF(Items[[#This Row],[ID]]="","",IF(IFERROR(LOOKUP(2,1/((Log[ID]=Items[[#This Row],[ID]])*(Log[Blk]&lt;&gt;"")),Log[Blk]),0)=1,"Y",""))</f>
      </c>
      <c r="N636" s="17">
        <f>IF(Items[[#This Row],[ID]]="","",SUBSTITUTE(IFERROR(LOOKUP(2,1/((Log[ID]=Items[[#This Row],[ID]])*(Log[State]&lt;&gt;"")),Log[State]),"TODO"),"OPEN",IF(Items[[#This Row],[Blocked]]="Y","WAIT","OPEN")))</f>
      </c>
      <c r="O63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36" s="17">
        <f>IF(Items[[#This Row],[State]]&lt;&gt;"WAIT","",AsOf-Items[[#This Row],[Blocked since]])</f>
      </c>
      <c r="Q636" s="17">
        <f>IF(Items[[#This Row],[State]]&lt;&gt;"WAIT","",IFERROR(LOOKUP(2,1/((Log[ID]=Items[[#This Row],[ID]])*(Log[Verb]="block")),Log[Note])&amp;"",""))</f>
      </c>
      <c r="R636" s="17">
        <f>IF(Items[[#This Row],[ID]]="","",COUNTIFS(Log[ID],Items[[#This Row],[ID]],Log[Verb],"carry"))</f>
      </c>
      <c r="S636" s="17">
        <f>IF(Items[[#This Row],[ID]]="","",COUNTIFS(Log[ID],Items[[#This Row],[ID]],Log[Verb],"punt"))</f>
      </c>
      <c r="T636" s="11">
        <f>IF(Items[[#This Row],[State]]&lt;&gt;"DONE","",IFERROR(LOOKUP(2,1/((Log[ID]=Items[[#This Row],[ID]])*(Log[Verb]="done")),Log[Date]),""))</f>
      </c>
      <c r="U636" s="17">
        <f>IF(Items[[#This Row],[ID]]="","",IF(AND(Items[[#This Row],[Sprint]]=CurSprint,OR(Items[[#This Row],[State]]="OPEN",Items[[#This Row],[State]]="WAIT",Items[[#This Row],[State]]="HOLD",Items[[#This Row],[State]]="DONE")),1,0))</f>
      </c>
      <c r="V636" s="17">
        <f>IF(OR(Items[[#This Row],[ID]]="",Items[[#This Row],[Added]]=""),"",AsOf-Items[[#This Row],[Added]])</f>
      </c>
      <c r="W636" s="17">
        <f>IF(Items[[#This Row],[In sprint]]=1,(IF(Items[[#This Row],[Prio]]="",9,N(Items[[#This Row],[Prio]]))*10+(IF(Items[[#This Row],[State]]="DONE",1,0)))*100000+ROW(),"")</f>
      </c>
      <c r="X63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36" s="17">
        <f>IF(AND(Items[[#This Row],[State]]="DONE",N(Items[[#This Row],[Done on]])&gt;AsOf-7),(200000-N(Items[[#This Row],[Done on]]))*100000+ROW(),"")</f>
      </c>
    </row>
    <row r="637">
      <c r="A637" t="s">
        <v>791</v>
      </c>
      <c r="B637" t="s">
        <v>1858</v>
      </c>
      <c r="C637" t="s">
        <v>1115</v>
      </c>
      <c r="D637" t="s">
        <v>1119</v>
      </c>
      <c r="E637" t="s">
        <v>1109</v>
      </c>
      <c r="F637" t="s">
        <v>1370</v>
      </c>
      <c r="G637">
        <v>2</v>
      </c>
      <c r="H637">
        <v>2</v>
      </c>
      <c r="I637" s="11">
        <v>46203</v>
      </c>
      <c r="J637" s="17">
        <f>IF(Items[[#This Row],[ID]]="","",IFERROR(VALUE(LOOKUP(2,1/((Log[ID]=Items[[#This Row],[ID]])*(Log[Verb]="est")),Log[Arg])),N(Items[[#This Row],[Points]])))</f>
      </c>
      <c r="K637" s="17">
        <f>IF(Items[[#This Row],[ID]]="","",IFERROR(LOOKUP(2,1/((Log[ID]=Items[[#This Row],[ID]])*(Log[Verb]="pass")),Log[Arg])&amp;"",Items[[#This Row],[Team]]&amp;""))</f>
      </c>
      <c r="L637" s="17">
        <f>IF(Items[[#This Row],[ID]]="","",IFERROR(LOOKUP(2,1/((Log[ID]=Items[[#This Row],[ID]])*(Log[Into]&lt;&gt;"")),Log[Into]),""))</f>
      </c>
      <c r="M637" s="17">
        <f>IF(Items[[#This Row],[ID]]="","",IF(IFERROR(LOOKUP(2,1/((Log[ID]=Items[[#This Row],[ID]])*(Log[Blk]&lt;&gt;"")),Log[Blk]),0)=1,"Y",""))</f>
      </c>
      <c r="N637" s="17">
        <f>IF(Items[[#This Row],[ID]]="","",SUBSTITUTE(IFERROR(LOOKUP(2,1/((Log[ID]=Items[[#This Row],[ID]])*(Log[State]&lt;&gt;"")),Log[State]),"TODO"),"OPEN",IF(Items[[#This Row],[Blocked]]="Y","WAIT","OPEN")))</f>
      </c>
      <c r="O63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37" s="17">
        <f>IF(Items[[#This Row],[State]]&lt;&gt;"WAIT","",AsOf-Items[[#This Row],[Blocked since]])</f>
      </c>
      <c r="Q637" s="17">
        <f>IF(Items[[#This Row],[State]]&lt;&gt;"WAIT","",IFERROR(LOOKUP(2,1/((Log[ID]=Items[[#This Row],[ID]])*(Log[Verb]="block")),Log[Note])&amp;"",""))</f>
      </c>
      <c r="R637" s="17">
        <f>IF(Items[[#This Row],[ID]]="","",COUNTIFS(Log[ID],Items[[#This Row],[ID]],Log[Verb],"carry"))</f>
      </c>
      <c r="S637" s="17">
        <f>IF(Items[[#This Row],[ID]]="","",COUNTIFS(Log[ID],Items[[#This Row],[ID]],Log[Verb],"punt"))</f>
      </c>
      <c r="T637" s="11">
        <f>IF(Items[[#This Row],[State]]&lt;&gt;"DONE","",IFERROR(LOOKUP(2,1/((Log[ID]=Items[[#This Row],[ID]])*(Log[Verb]="done")),Log[Date]),""))</f>
      </c>
      <c r="U637" s="17">
        <f>IF(Items[[#This Row],[ID]]="","",IF(AND(Items[[#This Row],[Sprint]]=CurSprint,OR(Items[[#This Row],[State]]="OPEN",Items[[#This Row],[State]]="WAIT",Items[[#This Row],[State]]="HOLD",Items[[#This Row],[State]]="DONE")),1,0))</f>
      </c>
      <c r="V637" s="17">
        <f>IF(OR(Items[[#This Row],[ID]]="",Items[[#This Row],[Added]]=""),"",AsOf-Items[[#This Row],[Added]])</f>
      </c>
      <c r="W637" s="17">
        <f>IF(Items[[#This Row],[In sprint]]=1,(IF(Items[[#This Row],[Prio]]="",9,N(Items[[#This Row],[Prio]]))*10+(IF(Items[[#This Row],[State]]="DONE",1,0)))*100000+ROW(),"")</f>
      </c>
      <c r="X63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37" s="17">
        <f>IF(AND(Items[[#This Row],[State]]="DONE",N(Items[[#This Row],[Done on]])&gt;AsOf-7),(200000-N(Items[[#This Row],[Done on]]))*100000+ROW(),"")</f>
      </c>
    </row>
    <row r="638">
      <c r="A638" t="s">
        <v>792</v>
      </c>
      <c r="B638" t="s">
        <v>1859</v>
      </c>
      <c r="C638" t="s">
        <v>1115</v>
      </c>
      <c r="D638" t="s">
        <v>1119</v>
      </c>
      <c r="E638" t="s">
        <v>1109</v>
      </c>
      <c r="F638" t="s">
        <v>1222</v>
      </c>
      <c r="G638">
        <v>2</v>
      </c>
      <c r="H638">
        <v>2</v>
      </c>
      <c r="I638" s="11">
        <v>46203</v>
      </c>
      <c r="J638" s="17">
        <f>IF(Items[[#This Row],[ID]]="","",IFERROR(VALUE(LOOKUP(2,1/((Log[ID]=Items[[#This Row],[ID]])*(Log[Verb]="est")),Log[Arg])),N(Items[[#This Row],[Points]])))</f>
      </c>
      <c r="K638" s="17">
        <f>IF(Items[[#This Row],[ID]]="","",IFERROR(LOOKUP(2,1/((Log[ID]=Items[[#This Row],[ID]])*(Log[Verb]="pass")),Log[Arg])&amp;"",Items[[#This Row],[Team]]&amp;""))</f>
      </c>
      <c r="L638" s="17">
        <f>IF(Items[[#This Row],[ID]]="","",IFERROR(LOOKUP(2,1/((Log[ID]=Items[[#This Row],[ID]])*(Log[Into]&lt;&gt;"")),Log[Into]),""))</f>
      </c>
      <c r="M638" s="17">
        <f>IF(Items[[#This Row],[ID]]="","",IF(IFERROR(LOOKUP(2,1/((Log[ID]=Items[[#This Row],[ID]])*(Log[Blk]&lt;&gt;"")),Log[Blk]),0)=1,"Y",""))</f>
      </c>
      <c r="N638" s="17">
        <f>IF(Items[[#This Row],[ID]]="","",SUBSTITUTE(IFERROR(LOOKUP(2,1/((Log[ID]=Items[[#This Row],[ID]])*(Log[State]&lt;&gt;"")),Log[State]),"TODO"),"OPEN",IF(Items[[#This Row],[Blocked]]="Y","WAIT","OPEN")))</f>
      </c>
      <c r="O63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38" s="17">
        <f>IF(Items[[#This Row],[State]]&lt;&gt;"WAIT","",AsOf-Items[[#This Row],[Blocked since]])</f>
      </c>
      <c r="Q638" s="17">
        <f>IF(Items[[#This Row],[State]]&lt;&gt;"WAIT","",IFERROR(LOOKUP(2,1/((Log[ID]=Items[[#This Row],[ID]])*(Log[Verb]="block")),Log[Note])&amp;"",""))</f>
      </c>
      <c r="R638" s="17">
        <f>IF(Items[[#This Row],[ID]]="","",COUNTIFS(Log[ID],Items[[#This Row],[ID]],Log[Verb],"carry"))</f>
      </c>
      <c r="S638" s="17">
        <f>IF(Items[[#This Row],[ID]]="","",COUNTIFS(Log[ID],Items[[#This Row],[ID]],Log[Verb],"punt"))</f>
      </c>
      <c r="T638" s="11">
        <f>IF(Items[[#This Row],[State]]&lt;&gt;"DONE","",IFERROR(LOOKUP(2,1/((Log[ID]=Items[[#This Row],[ID]])*(Log[Verb]="done")),Log[Date]),""))</f>
      </c>
      <c r="U638" s="17">
        <f>IF(Items[[#This Row],[ID]]="","",IF(AND(Items[[#This Row],[Sprint]]=CurSprint,OR(Items[[#This Row],[State]]="OPEN",Items[[#This Row],[State]]="WAIT",Items[[#This Row],[State]]="HOLD",Items[[#This Row],[State]]="DONE")),1,0))</f>
      </c>
      <c r="V638" s="17">
        <f>IF(OR(Items[[#This Row],[ID]]="",Items[[#This Row],[Added]]=""),"",AsOf-Items[[#This Row],[Added]])</f>
      </c>
      <c r="W638" s="17">
        <f>IF(Items[[#This Row],[In sprint]]=1,(IF(Items[[#This Row],[Prio]]="",9,N(Items[[#This Row],[Prio]]))*10+(IF(Items[[#This Row],[State]]="DONE",1,0)))*100000+ROW(),"")</f>
      </c>
      <c r="X63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38" s="17">
        <f>IF(AND(Items[[#This Row],[State]]="DONE",N(Items[[#This Row],[Done on]])&gt;AsOf-7),(200000-N(Items[[#This Row],[Done on]]))*100000+ROW(),"")</f>
      </c>
    </row>
    <row r="639">
      <c r="A639" t="s">
        <v>858</v>
      </c>
      <c r="B639" t="s">
        <v>1860</v>
      </c>
      <c r="C639" t="s">
        <v>1115</v>
      </c>
      <c r="D639" t="s">
        <v>1119</v>
      </c>
      <c r="E639" t="s">
        <v>1109</v>
      </c>
      <c r="F639" t="s">
        <v>1370</v>
      </c>
      <c r="G639">
        <v>3</v>
      </c>
      <c r="H639">
        <v>1</v>
      </c>
      <c r="I639" s="11">
        <v>46203</v>
      </c>
      <c r="J639" s="17">
        <f>IF(Items[[#This Row],[ID]]="","",IFERROR(VALUE(LOOKUP(2,1/((Log[ID]=Items[[#This Row],[ID]])*(Log[Verb]="est")),Log[Arg])),N(Items[[#This Row],[Points]])))</f>
      </c>
      <c r="K639" s="17">
        <f>IF(Items[[#This Row],[ID]]="","",IFERROR(LOOKUP(2,1/((Log[ID]=Items[[#This Row],[ID]])*(Log[Verb]="pass")),Log[Arg])&amp;"",Items[[#This Row],[Team]]&amp;""))</f>
      </c>
      <c r="L639" s="17">
        <f>IF(Items[[#This Row],[ID]]="","",IFERROR(LOOKUP(2,1/((Log[ID]=Items[[#This Row],[ID]])*(Log[Into]&lt;&gt;"")),Log[Into]),""))</f>
      </c>
      <c r="M639" s="17">
        <f>IF(Items[[#This Row],[ID]]="","",IF(IFERROR(LOOKUP(2,1/((Log[ID]=Items[[#This Row],[ID]])*(Log[Blk]&lt;&gt;"")),Log[Blk]),0)=1,"Y",""))</f>
      </c>
      <c r="N639" s="17">
        <f>IF(Items[[#This Row],[ID]]="","",SUBSTITUTE(IFERROR(LOOKUP(2,1/((Log[ID]=Items[[#This Row],[ID]])*(Log[State]&lt;&gt;"")),Log[State]),"TODO"),"OPEN",IF(Items[[#This Row],[Blocked]]="Y","WAIT","OPEN")))</f>
      </c>
      <c r="O63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39" s="17">
        <f>IF(Items[[#This Row],[State]]&lt;&gt;"WAIT","",AsOf-Items[[#This Row],[Blocked since]])</f>
      </c>
      <c r="Q639" s="17">
        <f>IF(Items[[#This Row],[State]]&lt;&gt;"WAIT","",IFERROR(LOOKUP(2,1/((Log[ID]=Items[[#This Row],[ID]])*(Log[Verb]="block")),Log[Note])&amp;"",""))</f>
      </c>
      <c r="R639" s="17">
        <f>IF(Items[[#This Row],[ID]]="","",COUNTIFS(Log[ID],Items[[#This Row],[ID]],Log[Verb],"carry"))</f>
      </c>
      <c r="S639" s="17">
        <f>IF(Items[[#This Row],[ID]]="","",COUNTIFS(Log[ID],Items[[#This Row],[ID]],Log[Verb],"punt"))</f>
      </c>
      <c r="T639" s="11">
        <f>IF(Items[[#This Row],[State]]&lt;&gt;"DONE","",IFERROR(LOOKUP(2,1/((Log[ID]=Items[[#This Row],[ID]])*(Log[Verb]="done")),Log[Date]),""))</f>
      </c>
      <c r="U639" s="17">
        <f>IF(Items[[#This Row],[ID]]="","",IF(AND(Items[[#This Row],[Sprint]]=CurSprint,OR(Items[[#This Row],[State]]="OPEN",Items[[#This Row],[State]]="WAIT",Items[[#This Row],[State]]="HOLD",Items[[#This Row],[State]]="DONE")),1,0))</f>
      </c>
      <c r="V639" s="17">
        <f>IF(OR(Items[[#This Row],[ID]]="",Items[[#This Row],[Added]]=""),"",AsOf-Items[[#This Row],[Added]])</f>
      </c>
      <c r="W639" s="17">
        <f>IF(Items[[#This Row],[In sprint]]=1,(IF(Items[[#This Row],[Prio]]="",9,N(Items[[#This Row],[Prio]]))*10+(IF(Items[[#This Row],[State]]="DONE",1,0)))*100000+ROW(),"")</f>
      </c>
      <c r="X63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39" s="17">
        <f>IF(AND(Items[[#This Row],[State]]="DONE",N(Items[[#This Row],[Done on]])&gt;AsOf-7),(200000-N(Items[[#This Row],[Done on]]))*100000+ROW(),"")</f>
      </c>
    </row>
    <row r="640">
      <c r="A640" t="s">
        <v>795</v>
      </c>
      <c r="B640" t="s">
        <v>1861</v>
      </c>
      <c r="C640" t="s">
        <v>1107</v>
      </c>
      <c r="D640" t="s">
        <v>1127</v>
      </c>
      <c r="E640" t="s">
        <v>1131</v>
      </c>
      <c r="F640" t="s">
        <v>1307</v>
      </c>
      <c r="G640">
        <v>3</v>
      </c>
      <c r="H640">
        <v>3</v>
      </c>
      <c r="I640" s="11">
        <v>46203</v>
      </c>
      <c r="J640" s="17">
        <f>IF(Items[[#This Row],[ID]]="","",IFERROR(VALUE(LOOKUP(2,1/((Log[ID]=Items[[#This Row],[ID]])*(Log[Verb]="est")),Log[Arg])),N(Items[[#This Row],[Points]])))</f>
      </c>
      <c r="K640" s="17">
        <f>IF(Items[[#This Row],[ID]]="","",IFERROR(LOOKUP(2,1/((Log[ID]=Items[[#This Row],[ID]])*(Log[Verb]="pass")),Log[Arg])&amp;"",Items[[#This Row],[Team]]&amp;""))</f>
      </c>
      <c r="L640" s="17">
        <f>IF(Items[[#This Row],[ID]]="","",IFERROR(LOOKUP(2,1/((Log[ID]=Items[[#This Row],[ID]])*(Log[Into]&lt;&gt;"")),Log[Into]),""))</f>
      </c>
      <c r="M640" s="17">
        <f>IF(Items[[#This Row],[ID]]="","",IF(IFERROR(LOOKUP(2,1/((Log[ID]=Items[[#This Row],[ID]])*(Log[Blk]&lt;&gt;"")),Log[Blk]),0)=1,"Y",""))</f>
      </c>
      <c r="N640" s="17">
        <f>IF(Items[[#This Row],[ID]]="","",SUBSTITUTE(IFERROR(LOOKUP(2,1/((Log[ID]=Items[[#This Row],[ID]])*(Log[State]&lt;&gt;"")),Log[State]),"TODO"),"OPEN",IF(Items[[#This Row],[Blocked]]="Y","WAIT","OPEN")))</f>
      </c>
      <c r="O64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40" s="17">
        <f>IF(Items[[#This Row],[State]]&lt;&gt;"WAIT","",AsOf-Items[[#This Row],[Blocked since]])</f>
      </c>
      <c r="Q640" s="17">
        <f>IF(Items[[#This Row],[State]]&lt;&gt;"WAIT","",IFERROR(LOOKUP(2,1/((Log[ID]=Items[[#This Row],[ID]])*(Log[Verb]="block")),Log[Note])&amp;"",""))</f>
      </c>
      <c r="R640" s="17">
        <f>IF(Items[[#This Row],[ID]]="","",COUNTIFS(Log[ID],Items[[#This Row],[ID]],Log[Verb],"carry"))</f>
      </c>
      <c r="S640" s="17">
        <f>IF(Items[[#This Row],[ID]]="","",COUNTIFS(Log[ID],Items[[#This Row],[ID]],Log[Verb],"punt"))</f>
      </c>
      <c r="T640" s="11">
        <f>IF(Items[[#This Row],[State]]&lt;&gt;"DONE","",IFERROR(LOOKUP(2,1/((Log[ID]=Items[[#This Row],[ID]])*(Log[Verb]="done")),Log[Date]),""))</f>
      </c>
      <c r="U640" s="17">
        <f>IF(Items[[#This Row],[ID]]="","",IF(AND(Items[[#This Row],[Sprint]]=CurSprint,OR(Items[[#This Row],[State]]="OPEN",Items[[#This Row],[State]]="WAIT",Items[[#This Row],[State]]="HOLD",Items[[#This Row],[State]]="DONE")),1,0))</f>
      </c>
      <c r="V640" s="17">
        <f>IF(OR(Items[[#This Row],[ID]]="",Items[[#This Row],[Added]]=""),"",AsOf-Items[[#This Row],[Added]])</f>
      </c>
      <c r="W640" s="17">
        <f>IF(Items[[#This Row],[In sprint]]=1,(IF(Items[[#This Row],[Prio]]="",9,N(Items[[#This Row],[Prio]]))*10+(IF(Items[[#This Row],[State]]="DONE",1,0)))*100000+ROW(),"")</f>
      </c>
      <c r="X64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40" s="17">
        <f>IF(AND(Items[[#This Row],[State]]="DONE",N(Items[[#This Row],[Done on]])&gt;AsOf-7),(200000-N(Items[[#This Row],[Done on]]))*100000+ROW(),"")</f>
      </c>
    </row>
    <row r="641">
      <c r="A641" t="s">
        <v>796</v>
      </c>
      <c r="B641" t="s">
        <v>1862</v>
      </c>
      <c r="C641" t="s">
        <v>1115</v>
      </c>
      <c r="D641" t="s">
        <v>1119</v>
      </c>
      <c r="E641" t="s">
        <v>1131</v>
      </c>
      <c r="F641" t="s">
        <v>1384</v>
      </c>
      <c r="G641">
        <v>3</v>
      </c>
      <c r="H641">
        <v>3</v>
      </c>
      <c r="I641" s="11">
        <v>46203</v>
      </c>
      <c r="J641" s="17">
        <f>IF(Items[[#This Row],[ID]]="","",IFERROR(VALUE(LOOKUP(2,1/((Log[ID]=Items[[#This Row],[ID]])*(Log[Verb]="est")),Log[Arg])),N(Items[[#This Row],[Points]])))</f>
      </c>
      <c r="K641" s="17">
        <f>IF(Items[[#This Row],[ID]]="","",IFERROR(LOOKUP(2,1/((Log[ID]=Items[[#This Row],[ID]])*(Log[Verb]="pass")),Log[Arg])&amp;"",Items[[#This Row],[Team]]&amp;""))</f>
      </c>
      <c r="L641" s="17">
        <f>IF(Items[[#This Row],[ID]]="","",IFERROR(LOOKUP(2,1/((Log[ID]=Items[[#This Row],[ID]])*(Log[Into]&lt;&gt;"")),Log[Into]),""))</f>
      </c>
      <c r="M641" s="17">
        <f>IF(Items[[#This Row],[ID]]="","",IF(IFERROR(LOOKUP(2,1/((Log[ID]=Items[[#This Row],[ID]])*(Log[Blk]&lt;&gt;"")),Log[Blk]),0)=1,"Y",""))</f>
      </c>
      <c r="N641" s="17">
        <f>IF(Items[[#This Row],[ID]]="","",SUBSTITUTE(IFERROR(LOOKUP(2,1/((Log[ID]=Items[[#This Row],[ID]])*(Log[State]&lt;&gt;"")),Log[State]),"TODO"),"OPEN",IF(Items[[#This Row],[Blocked]]="Y","WAIT","OPEN")))</f>
      </c>
      <c r="O64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41" s="17">
        <f>IF(Items[[#This Row],[State]]&lt;&gt;"WAIT","",AsOf-Items[[#This Row],[Blocked since]])</f>
      </c>
      <c r="Q641" s="17">
        <f>IF(Items[[#This Row],[State]]&lt;&gt;"WAIT","",IFERROR(LOOKUP(2,1/((Log[ID]=Items[[#This Row],[ID]])*(Log[Verb]="block")),Log[Note])&amp;"",""))</f>
      </c>
      <c r="R641" s="17">
        <f>IF(Items[[#This Row],[ID]]="","",COUNTIFS(Log[ID],Items[[#This Row],[ID]],Log[Verb],"carry"))</f>
      </c>
      <c r="S641" s="17">
        <f>IF(Items[[#This Row],[ID]]="","",COUNTIFS(Log[ID],Items[[#This Row],[ID]],Log[Verb],"punt"))</f>
      </c>
      <c r="T641" s="11">
        <f>IF(Items[[#This Row],[State]]&lt;&gt;"DONE","",IFERROR(LOOKUP(2,1/((Log[ID]=Items[[#This Row],[ID]])*(Log[Verb]="done")),Log[Date]),""))</f>
      </c>
      <c r="U641" s="17">
        <f>IF(Items[[#This Row],[ID]]="","",IF(AND(Items[[#This Row],[Sprint]]=CurSprint,OR(Items[[#This Row],[State]]="OPEN",Items[[#This Row],[State]]="WAIT",Items[[#This Row],[State]]="HOLD",Items[[#This Row],[State]]="DONE")),1,0))</f>
      </c>
      <c r="V641" s="17">
        <f>IF(OR(Items[[#This Row],[ID]]="",Items[[#This Row],[Added]]=""),"",AsOf-Items[[#This Row],[Added]])</f>
      </c>
      <c r="W641" s="17">
        <f>IF(Items[[#This Row],[In sprint]]=1,(IF(Items[[#This Row],[Prio]]="",9,N(Items[[#This Row],[Prio]]))*10+(IF(Items[[#This Row],[State]]="DONE",1,0)))*100000+ROW(),"")</f>
      </c>
      <c r="X64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41" s="17">
        <f>IF(AND(Items[[#This Row],[State]]="DONE",N(Items[[#This Row],[Done on]])&gt;AsOf-7),(200000-N(Items[[#This Row],[Done on]]))*100000+ROW(),"")</f>
      </c>
    </row>
    <row r="642">
      <c r="A642" t="s">
        <v>866</v>
      </c>
      <c r="B642" t="s">
        <v>1863</v>
      </c>
      <c r="C642" t="s">
        <v>1115</v>
      </c>
      <c r="D642" t="s">
        <v>1116</v>
      </c>
      <c r="E642" t="s">
        <v>1131</v>
      </c>
      <c r="F642" t="s">
        <v>1384</v>
      </c>
      <c r="G642">
        <v>5</v>
      </c>
      <c r="H642">
        <v>3</v>
      </c>
      <c r="I642" s="11">
        <v>46203</v>
      </c>
      <c r="J642" s="17">
        <f>IF(Items[[#This Row],[ID]]="","",IFERROR(VALUE(LOOKUP(2,1/((Log[ID]=Items[[#This Row],[ID]])*(Log[Verb]="est")),Log[Arg])),N(Items[[#This Row],[Points]])))</f>
      </c>
      <c r="K642" s="17">
        <f>IF(Items[[#This Row],[ID]]="","",IFERROR(LOOKUP(2,1/((Log[ID]=Items[[#This Row],[ID]])*(Log[Verb]="pass")),Log[Arg])&amp;"",Items[[#This Row],[Team]]&amp;""))</f>
      </c>
      <c r="L642" s="17">
        <f>IF(Items[[#This Row],[ID]]="","",IFERROR(LOOKUP(2,1/((Log[ID]=Items[[#This Row],[ID]])*(Log[Into]&lt;&gt;"")),Log[Into]),""))</f>
      </c>
      <c r="M642" s="17">
        <f>IF(Items[[#This Row],[ID]]="","",IF(IFERROR(LOOKUP(2,1/((Log[ID]=Items[[#This Row],[ID]])*(Log[Blk]&lt;&gt;"")),Log[Blk]),0)=1,"Y",""))</f>
      </c>
      <c r="N642" s="17">
        <f>IF(Items[[#This Row],[ID]]="","",SUBSTITUTE(IFERROR(LOOKUP(2,1/((Log[ID]=Items[[#This Row],[ID]])*(Log[State]&lt;&gt;"")),Log[State]),"TODO"),"OPEN",IF(Items[[#This Row],[Blocked]]="Y","WAIT","OPEN")))</f>
      </c>
      <c r="O64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42" s="17">
        <f>IF(Items[[#This Row],[State]]&lt;&gt;"WAIT","",AsOf-Items[[#This Row],[Blocked since]])</f>
      </c>
      <c r="Q642" s="17">
        <f>IF(Items[[#This Row],[State]]&lt;&gt;"WAIT","",IFERROR(LOOKUP(2,1/((Log[ID]=Items[[#This Row],[ID]])*(Log[Verb]="block")),Log[Note])&amp;"",""))</f>
      </c>
      <c r="R642" s="17">
        <f>IF(Items[[#This Row],[ID]]="","",COUNTIFS(Log[ID],Items[[#This Row],[ID]],Log[Verb],"carry"))</f>
      </c>
      <c r="S642" s="17">
        <f>IF(Items[[#This Row],[ID]]="","",COUNTIFS(Log[ID],Items[[#This Row],[ID]],Log[Verb],"punt"))</f>
      </c>
      <c r="T642" s="11">
        <f>IF(Items[[#This Row],[State]]&lt;&gt;"DONE","",IFERROR(LOOKUP(2,1/((Log[ID]=Items[[#This Row],[ID]])*(Log[Verb]="done")),Log[Date]),""))</f>
      </c>
      <c r="U642" s="17">
        <f>IF(Items[[#This Row],[ID]]="","",IF(AND(Items[[#This Row],[Sprint]]=CurSprint,OR(Items[[#This Row],[State]]="OPEN",Items[[#This Row],[State]]="WAIT",Items[[#This Row],[State]]="HOLD",Items[[#This Row],[State]]="DONE")),1,0))</f>
      </c>
      <c r="V642" s="17">
        <f>IF(OR(Items[[#This Row],[ID]]="",Items[[#This Row],[Added]]=""),"",AsOf-Items[[#This Row],[Added]])</f>
      </c>
      <c r="W642" s="17">
        <f>IF(Items[[#This Row],[In sprint]]=1,(IF(Items[[#This Row],[Prio]]="",9,N(Items[[#This Row],[Prio]]))*10+(IF(Items[[#This Row],[State]]="DONE",1,0)))*100000+ROW(),"")</f>
      </c>
      <c r="X64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42" s="17">
        <f>IF(AND(Items[[#This Row],[State]]="DONE",N(Items[[#This Row],[Done on]])&gt;AsOf-7),(200000-N(Items[[#This Row],[Done on]]))*100000+ROW(),"")</f>
      </c>
    </row>
    <row r="643">
      <c r="A643" t="s">
        <v>867</v>
      </c>
      <c r="B643" t="s">
        <v>1864</v>
      </c>
      <c r="C643" t="s">
        <v>1107</v>
      </c>
      <c r="D643" t="s">
        <v>1127</v>
      </c>
      <c r="E643" t="s">
        <v>1131</v>
      </c>
      <c r="F643" t="s">
        <v>1166</v>
      </c>
      <c r="G643">
        <v>8</v>
      </c>
      <c r="H643">
        <v>2</v>
      </c>
      <c r="I643" s="11">
        <v>46203</v>
      </c>
      <c r="J643" s="17">
        <f>IF(Items[[#This Row],[ID]]="","",IFERROR(VALUE(LOOKUP(2,1/((Log[ID]=Items[[#This Row],[ID]])*(Log[Verb]="est")),Log[Arg])),N(Items[[#This Row],[Points]])))</f>
      </c>
      <c r="K643" s="17">
        <f>IF(Items[[#This Row],[ID]]="","",IFERROR(LOOKUP(2,1/((Log[ID]=Items[[#This Row],[ID]])*(Log[Verb]="pass")),Log[Arg])&amp;"",Items[[#This Row],[Team]]&amp;""))</f>
      </c>
      <c r="L643" s="17">
        <f>IF(Items[[#This Row],[ID]]="","",IFERROR(LOOKUP(2,1/((Log[ID]=Items[[#This Row],[ID]])*(Log[Into]&lt;&gt;"")),Log[Into]),""))</f>
      </c>
      <c r="M643" s="17">
        <f>IF(Items[[#This Row],[ID]]="","",IF(IFERROR(LOOKUP(2,1/((Log[ID]=Items[[#This Row],[ID]])*(Log[Blk]&lt;&gt;"")),Log[Blk]),0)=1,"Y",""))</f>
      </c>
      <c r="N643" s="17">
        <f>IF(Items[[#This Row],[ID]]="","",SUBSTITUTE(IFERROR(LOOKUP(2,1/((Log[ID]=Items[[#This Row],[ID]])*(Log[State]&lt;&gt;"")),Log[State]),"TODO"),"OPEN",IF(Items[[#This Row],[Blocked]]="Y","WAIT","OPEN")))</f>
      </c>
      <c r="O64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43" s="17">
        <f>IF(Items[[#This Row],[State]]&lt;&gt;"WAIT","",AsOf-Items[[#This Row],[Blocked since]])</f>
      </c>
      <c r="Q643" s="17">
        <f>IF(Items[[#This Row],[State]]&lt;&gt;"WAIT","",IFERROR(LOOKUP(2,1/((Log[ID]=Items[[#This Row],[ID]])*(Log[Verb]="block")),Log[Note])&amp;"",""))</f>
      </c>
      <c r="R643" s="17">
        <f>IF(Items[[#This Row],[ID]]="","",COUNTIFS(Log[ID],Items[[#This Row],[ID]],Log[Verb],"carry"))</f>
      </c>
      <c r="S643" s="17">
        <f>IF(Items[[#This Row],[ID]]="","",COUNTIFS(Log[ID],Items[[#This Row],[ID]],Log[Verb],"punt"))</f>
      </c>
      <c r="T643" s="11">
        <f>IF(Items[[#This Row],[State]]&lt;&gt;"DONE","",IFERROR(LOOKUP(2,1/((Log[ID]=Items[[#This Row],[ID]])*(Log[Verb]="done")),Log[Date]),""))</f>
      </c>
      <c r="U643" s="17">
        <f>IF(Items[[#This Row],[ID]]="","",IF(AND(Items[[#This Row],[Sprint]]=CurSprint,OR(Items[[#This Row],[State]]="OPEN",Items[[#This Row],[State]]="WAIT",Items[[#This Row],[State]]="HOLD",Items[[#This Row],[State]]="DONE")),1,0))</f>
      </c>
      <c r="V643" s="17">
        <f>IF(OR(Items[[#This Row],[ID]]="",Items[[#This Row],[Added]]=""),"",AsOf-Items[[#This Row],[Added]])</f>
      </c>
      <c r="W643" s="17">
        <f>IF(Items[[#This Row],[In sprint]]=1,(IF(Items[[#This Row],[Prio]]="",9,N(Items[[#This Row],[Prio]]))*10+(IF(Items[[#This Row],[State]]="DONE",1,0)))*100000+ROW(),"")</f>
      </c>
      <c r="X64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43" s="17">
        <f>IF(AND(Items[[#This Row],[State]]="DONE",N(Items[[#This Row],[Done on]])&gt;AsOf-7),(200000-N(Items[[#This Row],[Done on]]))*100000+ROW(),"")</f>
      </c>
    </row>
    <row r="644">
      <c r="A644" t="s">
        <v>868</v>
      </c>
      <c r="B644" t="s">
        <v>1865</v>
      </c>
      <c r="C644" t="s">
        <v>1107</v>
      </c>
      <c r="D644" t="s">
        <v>1108</v>
      </c>
      <c r="E644" t="s">
        <v>1131</v>
      </c>
      <c r="F644" t="s">
        <v>1384</v>
      </c>
      <c r="G644">
        <v>2</v>
      </c>
      <c r="H644">
        <v>1</v>
      </c>
      <c r="I644" s="11">
        <v>46203</v>
      </c>
      <c r="J644" s="17">
        <f>IF(Items[[#This Row],[ID]]="","",IFERROR(VALUE(LOOKUP(2,1/((Log[ID]=Items[[#This Row],[ID]])*(Log[Verb]="est")),Log[Arg])),N(Items[[#This Row],[Points]])))</f>
      </c>
      <c r="K644" s="17">
        <f>IF(Items[[#This Row],[ID]]="","",IFERROR(LOOKUP(2,1/((Log[ID]=Items[[#This Row],[ID]])*(Log[Verb]="pass")),Log[Arg])&amp;"",Items[[#This Row],[Team]]&amp;""))</f>
      </c>
      <c r="L644" s="17">
        <f>IF(Items[[#This Row],[ID]]="","",IFERROR(LOOKUP(2,1/((Log[ID]=Items[[#This Row],[ID]])*(Log[Into]&lt;&gt;"")),Log[Into]),""))</f>
      </c>
      <c r="M644" s="17">
        <f>IF(Items[[#This Row],[ID]]="","",IF(IFERROR(LOOKUP(2,1/((Log[ID]=Items[[#This Row],[ID]])*(Log[Blk]&lt;&gt;"")),Log[Blk]),0)=1,"Y",""))</f>
      </c>
      <c r="N644" s="17">
        <f>IF(Items[[#This Row],[ID]]="","",SUBSTITUTE(IFERROR(LOOKUP(2,1/((Log[ID]=Items[[#This Row],[ID]])*(Log[State]&lt;&gt;"")),Log[State]),"TODO"),"OPEN",IF(Items[[#This Row],[Blocked]]="Y","WAIT","OPEN")))</f>
      </c>
      <c r="O64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44" s="17">
        <f>IF(Items[[#This Row],[State]]&lt;&gt;"WAIT","",AsOf-Items[[#This Row],[Blocked since]])</f>
      </c>
      <c r="Q644" s="17">
        <f>IF(Items[[#This Row],[State]]&lt;&gt;"WAIT","",IFERROR(LOOKUP(2,1/((Log[ID]=Items[[#This Row],[ID]])*(Log[Verb]="block")),Log[Note])&amp;"",""))</f>
      </c>
      <c r="R644" s="17">
        <f>IF(Items[[#This Row],[ID]]="","",COUNTIFS(Log[ID],Items[[#This Row],[ID]],Log[Verb],"carry"))</f>
      </c>
      <c r="S644" s="17">
        <f>IF(Items[[#This Row],[ID]]="","",COUNTIFS(Log[ID],Items[[#This Row],[ID]],Log[Verb],"punt"))</f>
      </c>
      <c r="T644" s="11">
        <f>IF(Items[[#This Row],[State]]&lt;&gt;"DONE","",IFERROR(LOOKUP(2,1/((Log[ID]=Items[[#This Row],[ID]])*(Log[Verb]="done")),Log[Date]),""))</f>
      </c>
      <c r="U644" s="17">
        <f>IF(Items[[#This Row],[ID]]="","",IF(AND(Items[[#This Row],[Sprint]]=CurSprint,OR(Items[[#This Row],[State]]="OPEN",Items[[#This Row],[State]]="WAIT",Items[[#This Row],[State]]="HOLD",Items[[#This Row],[State]]="DONE")),1,0))</f>
      </c>
      <c r="V644" s="17">
        <f>IF(OR(Items[[#This Row],[ID]]="",Items[[#This Row],[Added]]=""),"",AsOf-Items[[#This Row],[Added]])</f>
      </c>
      <c r="W644" s="17">
        <f>IF(Items[[#This Row],[In sprint]]=1,(IF(Items[[#This Row],[Prio]]="",9,N(Items[[#This Row],[Prio]]))*10+(IF(Items[[#This Row],[State]]="DONE",1,0)))*100000+ROW(),"")</f>
      </c>
      <c r="X64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44" s="17">
        <f>IF(AND(Items[[#This Row],[State]]="DONE",N(Items[[#This Row],[Done on]])&gt;AsOf-7),(200000-N(Items[[#This Row],[Done on]]))*100000+ROW(),"")</f>
      </c>
    </row>
    <row r="645">
      <c r="A645" t="s">
        <v>800</v>
      </c>
      <c r="B645" t="s">
        <v>1866</v>
      </c>
      <c r="C645" t="s">
        <v>1115</v>
      </c>
      <c r="D645" t="s">
        <v>1116</v>
      </c>
      <c r="E645" t="s">
        <v>1134</v>
      </c>
      <c r="F645" t="s">
        <v>1237</v>
      </c>
      <c r="G645">
        <v>5</v>
      </c>
      <c r="H645">
        <v>1</v>
      </c>
      <c r="I645" s="11">
        <v>46203</v>
      </c>
      <c r="J645" s="17">
        <f>IF(Items[[#This Row],[ID]]="","",IFERROR(VALUE(LOOKUP(2,1/((Log[ID]=Items[[#This Row],[ID]])*(Log[Verb]="est")),Log[Arg])),N(Items[[#This Row],[Points]])))</f>
      </c>
      <c r="K645" s="17">
        <f>IF(Items[[#This Row],[ID]]="","",IFERROR(LOOKUP(2,1/((Log[ID]=Items[[#This Row],[ID]])*(Log[Verb]="pass")),Log[Arg])&amp;"",Items[[#This Row],[Team]]&amp;""))</f>
      </c>
      <c r="L645" s="17">
        <f>IF(Items[[#This Row],[ID]]="","",IFERROR(LOOKUP(2,1/((Log[ID]=Items[[#This Row],[ID]])*(Log[Into]&lt;&gt;"")),Log[Into]),""))</f>
      </c>
      <c r="M645" s="17">
        <f>IF(Items[[#This Row],[ID]]="","",IF(IFERROR(LOOKUP(2,1/((Log[ID]=Items[[#This Row],[ID]])*(Log[Blk]&lt;&gt;"")),Log[Blk]),0)=1,"Y",""))</f>
      </c>
      <c r="N645" s="17">
        <f>IF(Items[[#This Row],[ID]]="","",SUBSTITUTE(IFERROR(LOOKUP(2,1/((Log[ID]=Items[[#This Row],[ID]])*(Log[State]&lt;&gt;"")),Log[State]),"TODO"),"OPEN",IF(Items[[#This Row],[Blocked]]="Y","WAIT","OPEN")))</f>
      </c>
      <c r="O64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45" s="17">
        <f>IF(Items[[#This Row],[State]]&lt;&gt;"WAIT","",AsOf-Items[[#This Row],[Blocked since]])</f>
      </c>
      <c r="Q645" s="17">
        <f>IF(Items[[#This Row],[State]]&lt;&gt;"WAIT","",IFERROR(LOOKUP(2,1/((Log[ID]=Items[[#This Row],[ID]])*(Log[Verb]="block")),Log[Note])&amp;"",""))</f>
      </c>
      <c r="R645" s="17">
        <f>IF(Items[[#This Row],[ID]]="","",COUNTIFS(Log[ID],Items[[#This Row],[ID]],Log[Verb],"carry"))</f>
      </c>
      <c r="S645" s="17">
        <f>IF(Items[[#This Row],[ID]]="","",COUNTIFS(Log[ID],Items[[#This Row],[ID]],Log[Verb],"punt"))</f>
      </c>
      <c r="T645" s="11">
        <f>IF(Items[[#This Row],[State]]&lt;&gt;"DONE","",IFERROR(LOOKUP(2,1/((Log[ID]=Items[[#This Row],[ID]])*(Log[Verb]="done")),Log[Date]),""))</f>
      </c>
      <c r="U645" s="17">
        <f>IF(Items[[#This Row],[ID]]="","",IF(AND(Items[[#This Row],[Sprint]]=CurSprint,OR(Items[[#This Row],[State]]="OPEN",Items[[#This Row],[State]]="WAIT",Items[[#This Row],[State]]="HOLD",Items[[#This Row],[State]]="DONE")),1,0))</f>
      </c>
      <c r="V645" s="17">
        <f>IF(OR(Items[[#This Row],[ID]]="",Items[[#This Row],[Added]]=""),"",AsOf-Items[[#This Row],[Added]])</f>
      </c>
      <c r="W645" s="17">
        <f>IF(Items[[#This Row],[In sprint]]=1,(IF(Items[[#This Row],[Prio]]="",9,N(Items[[#This Row],[Prio]]))*10+(IF(Items[[#This Row],[State]]="DONE",1,0)))*100000+ROW(),"")</f>
      </c>
      <c r="X64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45" s="17">
        <f>IF(AND(Items[[#This Row],[State]]="DONE",N(Items[[#This Row],[Done on]])&gt;AsOf-7),(200000-N(Items[[#This Row],[Done on]]))*100000+ROW(),"")</f>
      </c>
    </row>
    <row r="646">
      <c r="A646" t="s">
        <v>801</v>
      </c>
      <c r="B646" t="s">
        <v>1867</v>
      </c>
      <c r="C646" t="s">
        <v>1107</v>
      </c>
      <c r="D646" t="s">
        <v>1108</v>
      </c>
      <c r="E646" t="s">
        <v>1134</v>
      </c>
      <c r="F646" t="s">
        <v>1171</v>
      </c>
      <c r="G646">
        <v>8</v>
      </c>
      <c r="H646">
        <v>1</v>
      </c>
      <c r="I646" s="11">
        <v>46203</v>
      </c>
      <c r="J646" s="17">
        <f>IF(Items[[#This Row],[ID]]="","",IFERROR(VALUE(LOOKUP(2,1/((Log[ID]=Items[[#This Row],[ID]])*(Log[Verb]="est")),Log[Arg])),N(Items[[#This Row],[Points]])))</f>
      </c>
      <c r="K646" s="17">
        <f>IF(Items[[#This Row],[ID]]="","",IFERROR(LOOKUP(2,1/((Log[ID]=Items[[#This Row],[ID]])*(Log[Verb]="pass")),Log[Arg])&amp;"",Items[[#This Row],[Team]]&amp;""))</f>
      </c>
      <c r="L646" s="17">
        <f>IF(Items[[#This Row],[ID]]="","",IFERROR(LOOKUP(2,1/((Log[ID]=Items[[#This Row],[ID]])*(Log[Into]&lt;&gt;"")),Log[Into]),""))</f>
      </c>
      <c r="M646" s="17">
        <f>IF(Items[[#This Row],[ID]]="","",IF(IFERROR(LOOKUP(2,1/((Log[ID]=Items[[#This Row],[ID]])*(Log[Blk]&lt;&gt;"")),Log[Blk]),0)=1,"Y",""))</f>
      </c>
      <c r="N646" s="17">
        <f>IF(Items[[#This Row],[ID]]="","",SUBSTITUTE(IFERROR(LOOKUP(2,1/((Log[ID]=Items[[#This Row],[ID]])*(Log[State]&lt;&gt;"")),Log[State]),"TODO"),"OPEN",IF(Items[[#This Row],[Blocked]]="Y","WAIT","OPEN")))</f>
      </c>
      <c r="O64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46" s="17">
        <f>IF(Items[[#This Row],[State]]&lt;&gt;"WAIT","",AsOf-Items[[#This Row],[Blocked since]])</f>
      </c>
      <c r="Q646" s="17">
        <f>IF(Items[[#This Row],[State]]&lt;&gt;"WAIT","",IFERROR(LOOKUP(2,1/((Log[ID]=Items[[#This Row],[ID]])*(Log[Verb]="block")),Log[Note])&amp;"",""))</f>
      </c>
      <c r="R646" s="17">
        <f>IF(Items[[#This Row],[ID]]="","",COUNTIFS(Log[ID],Items[[#This Row],[ID]],Log[Verb],"carry"))</f>
      </c>
      <c r="S646" s="17">
        <f>IF(Items[[#This Row],[ID]]="","",COUNTIFS(Log[ID],Items[[#This Row],[ID]],Log[Verb],"punt"))</f>
      </c>
      <c r="T646" s="11">
        <f>IF(Items[[#This Row],[State]]&lt;&gt;"DONE","",IFERROR(LOOKUP(2,1/((Log[ID]=Items[[#This Row],[ID]])*(Log[Verb]="done")),Log[Date]),""))</f>
      </c>
      <c r="U646" s="17">
        <f>IF(Items[[#This Row],[ID]]="","",IF(AND(Items[[#This Row],[Sprint]]=CurSprint,OR(Items[[#This Row],[State]]="OPEN",Items[[#This Row],[State]]="WAIT",Items[[#This Row],[State]]="HOLD",Items[[#This Row],[State]]="DONE")),1,0))</f>
      </c>
      <c r="V646" s="17">
        <f>IF(OR(Items[[#This Row],[ID]]="",Items[[#This Row],[Added]]=""),"",AsOf-Items[[#This Row],[Added]])</f>
      </c>
      <c r="W646" s="17">
        <f>IF(Items[[#This Row],[In sprint]]=1,(IF(Items[[#This Row],[Prio]]="",9,N(Items[[#This Row],[Prio]]))*10+(IF(Items[[#This Row],[State]]="DONE",1,0)))*100000+ROW(),"")</f>
      </c>
      <c r="X64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46" s="17">
        <f>IF(AND(Items[[#This Row],[State]]="DONE",N(Items[[#This Row],[Done on]])&gt;AsOf-7),(200000-N(Items[[#This Row],[Done on]]))*100000+ROW(),"")</f>
      </c>
    </row>
    <row r="647">
      <c r="A647" t="s">
        <v>872</v>
      </c>
      <c r="B647" t="s">
        <v>1868</v>
      </c>
      <c r="C647" t="s">
        <v>1115</v>
      </c>
      <c r="D647" t="s">
        <v>1116</v>
      </c>
      <c r="E647" t="s">
        <v>1134</v>
      </c>
      <c r="F647" t="s">
        <v>1528</v>
      </c>
      <c r="G647">
        <v>8</v>
      </c>
      <c r="H647">
        <v>3</v>
      </c>
      <c r="I647" s="11">
        <v>46203</v>
      </c>
      <c r="J647" s="17">
        <f>IF(Items[[#This Row],[ID]]="","",IFERROR(VALUE(LOOKUP(2,1/((Log[ID]=Items[[#This Row],[ID]])*(Log[Verb]="est")),Log[Arg])),N(Items[[#This Row],[Points]])))</f>
      </c>
      <c r="K647" s="17">
        <f>IF(Items[[#This Row],[ID]]="","",IFERROR(LOOKUP(2,1/((Log[ID]=Items[[#This Row],[ID]])*(Log[Verb]="pass")),Log[Arg])&amp;"",Items[[#This Row],[Team]]&amp;""))</f>
      </c>
      <c r="L647" s="17">
        <f>IF(Items[[#This Row],[ID]]="","",IFERROR(LOOKUP(2,1/((Log[ID]=Items[[#This Row],[ID]])*(Log[Into]&lt;&gt;"")),Log[Into]),""))</f>
      </c>
      <c r="M647" s="17">
        <f>IF(Items[[#This Row],[ID]]="","",IF(IFERROR(LOOKUP(2,1/((Log[ID]=Items[[#This Row],[ID]])*(Log[Blk]&lt;&gt;"")),Log[Blk]),0)=1,"Y",""))</f>
      </c>
      <c r="N647" s="17">
        <f>IF(Items[[#This Row],[ID]]="","",SUBSTITUTE(IFERROR(LOOKUP(2,1/((Log[ID]=Items[[#This Row],[ID]])*(Log[State]&lt;&gt;"")),Log[State]),"TODO"),"OPEN",IF(Items[[#This Row],[Blocked]]="Y","WAIT","OPEN")))</f>
      </c>
      <c r="O64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47" s="17">
        <f>IF(Items[[#This Row],[State]]&lt;&gt;"WAIT","",AsOf-Items[[#This Row],[Blocked since]])</f>
      </c>
      <c r="Q647" s="17">
        <f>IF(Items[[#This Row],[State]]&lt;&gt;"WAIT","",IFERROR(LOOKUP(2,1/((Log[ID]=Items[[#This Row],[ID]])*(Log[Verb]="block")),Log[Note])&amp;"",""))</f>
      </c>
      <c r="R647" s="17">
        <f>IF(Items[[#This Row],[ID]]="","",COUNTIFS(Log[ID],Items[[#This Row],[ID]],Log[Verb],"carry"))</f>
      </c>
      <c r="S647" s="17">
        <f>IF(Items[[#This Row],[ID]]="","",COUNTIFS(Log[ID],Items[[#This Row],[ID]],Log[Verb],"punt"))</f>
      </c>
      <c r="T647" s="11">
        <f>IF(Items[[#This Row],[State]]&lt;&gt;"DONE","",IFERROR(LOOKUP(2,1/((Log[ID]=Items[[#This Row],[ID]])*(Log[Verb]="done")),Log[Date]),""))</f>
      </c>
      <c r="U647" s="17">
        <f>IF(Items[[#This Row],[ID]]="","",IF(AND(Items[[#This Row],[Sprint]]=CurSprint,OR(Items[[#This Row],[State]]="OPEN",Items[[#This Row],[State]]="WAIT",Items[[#This Row],[State]]="HOLD",Items[[#This Row],[State]]="DONE")),1,0))</f>
      </c>
      <c r="V647" s="17">
        <f>IF(OR(Items[[#This Row],[ID]]="",Items[[#This Row],[Added]]=""),"",AsOf-Items[[#This Row],[Added]])</f>
      </c>
      <c r="W647" s="17">
        <f>IF(Items[[#This Row],[In sprint]]=1,(IF(Items[[#This Row],[Prio]]="",9,N(Items[[#This Row],[Prio]]))*10+(IF(Items[[#This Row],[State]]="DONE",1,0)))*100000+ROW(),"")</f>
      </c>
      <c r="X64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47" s="17">
        <f>IF(AND(Items[[#This Row],[State]]="DONE",N(Items[[#This Row],[Done on]])&gt;AsOf-7),(200000-N(Items[[#This Row],[Done on]]))*100000+ROW(),"")</f>
      </c>
    </row>
    <row r="648">
      <c r="A648" t="s">
        <v>804</v>
      </c>
      <c r="B648" t="s">
        <v>1869</v>
      </c>
      <c r="C648" t="s">
        <v>1107</v>
      </c>
      <c r="D648" t="s">
        <v>1123</v>
      </c>
      <c r="E648" t="s">
        <v>1139</v>
      </c>
      <c r="F648" t="s">
        <v>1398</v>
      </c>
      <c r="G648">
        <v>3</v>
      </c>
      <c r="H648">
        <v>2</v>
      </c>
      <c r="I648" s="11">
        <v>46203</v>
      </c>
      <c r="J648" s="17">
        <f>IF(Items[[#This Row],[ID]]="","",IFERROR(VALUE(LOOKUP(2,1/((Log[ID]=Items[[#This Row],[ID]])*(Log[Verb]="est")),Log[Arg])),N(Items[[#This Row],[Points]])))</f>
      </c>
      <c r="K648" s="17">
        <f>IF(Items[[#This Row],[ID]]="","",IFERROR(LOOKUP(2,1/((Log[ID]=Items[[#This Row],[ID]])*(Log[Verb]="pass")),Log[Arg])&amp;"",Items[[#This Row],[Team]]&amp;""))</f>
      </c>
      <c r="L648" s="17">
        <f>IF(Items[[#This Row],[ID]]="","",IFERROR(LOOKUP(2,1/((Log[ID]=Items[[#This Row],[ID]])*(Log[Into]&lt;&gt;"")),Log[Into]),""))</f>
      </c>
      <c r="M648" s="17">
        <f>IF(Items[[#This Row],[ID]]="","",IF(IFERROR(LOOKUP(2,1/((Log[ID]=Items[[#This Row],[ID]])*(Log[Blk]&lt;&gt;"")),Log[Blk]),0)=1,"Y",""))</f>
      </c>
      <c r="N648" s="17">
        <f>IF(Items[[#This Row],[ID]]="","",SUBSTITUTE(IFERROR(LOOKUP(2,1/((Log[ID]=Items[[#This Row],[ID]])*(Log[State]&lt;&gt;"")),Log[State]),"TODO"),"OPEN",IF(Items[[#This Row],[Blocked]]="Y","WAIT","OPEN")))</f>
      </c>
      <c r="O64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48" s="17">
        <f>IF(Items[[#This Row],[State]]&lt;&gt;"WAIT","",AsOf-Items[[#This Row],[Blocked since]])</f>
      </c>
      <c r="Q648" s="17">
        <f>IF(Items[[#This Row],[State]]&lt;&gt;"WAIT","",IFERROR(LOOKUP(2,1/((Log[ID]=Items[[#This Row],[ID]])*(Log[Verb]="block")),Log[Note])&amp;"",""))</f>
      </c>
      <c r="R648" s="17">
        <f>IF(Items[[#This Row],[ID]]="","",COUNTIFS(Log[ID],Items[[#This Row],[ID]],Log[Verb],"carry"))</f>
      </c>
      <c r="S648" s="17">
        <f>IF(Items[[#This Row],[ID]]="","",COUNTIFS(Log[ID],Items[[#This Row],[ID]],Log[Verb],"punt"))</f>
      </c>
      <c r="T648" s="11">
        <f>IF(Items[[#This Row],[State]]&lt;&gt;"DONE","",IFERROR(LOOKUP(2,1/((Log[ID]=Items[[#This Row],[ID]])*(Log[Verb]="done")),Log[Date]),""))</f>
      </c>
      <c r="U648" s="17">
        <f>IF(Items[[#This Row],[ID]]="","",IF(AND(Items[[#This Row],[Sprint]]=CurSprint,OR(Items[[#This Row],[State]]="OPEN",Items[[#This Row],[State]]="WAIT",Items[[#This Row],[State]]="HOLD",Items[[#This Row],[State]]="DONE")),1,0))</f>
      </c>
      <c r="V648" s="17">
        <f>IF(OR(Items[[#This Row],[ID]]="",Items[[#This Row],[Added]]=""),"",AsOf-Items[[#This Row],[Added]])</f>
      </c>
      <c r="W648" s="17">
        <f>IF(Items[[#This Row],[In sprint]]=1,(IF(Items[[#This Row],[Prio]]="",9,N(Items[[#This Row],[Prio]]))*10+(IF(Items[[#This Row],[State]]="DONE",1,0)))*100000+ROW(),"")</f>
      </c>
      <c r="X64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48" s="17">
        <f>IF(AND(Items[[#This Row],[State]]="DONE",N(Items[[#This Row],[Done on]])&gt;AsOf-7),(200000-N(Items[[#This Row],[Done on]]))*100000+ROW(),"")</f>
      </c>
    </row>
    <row r="649">
      <c r="A649" t="s">
        <v>805</v>
      </c>
      <c r="B649" t="s">
        <v>1870</v>
      </c>
      <c r="C649" t="s">
        <v>1115</v>
      </c>
      <c r="D649" t="s">
        <v>1116</v>
      </c>
      <c r="E649" t="s">
        <v>1139</v>
      </c>
      <c r="F649" t="s">
        <v>1586</v>
      </c>
      <c r="G649">
        <v>5</v>
      </c>
      <c r="H649">
        <v>2</v>
      </c>
      <c r="I649" s="11">
        <v>46203</v>
      </c>
      <c r="J649" s="17">
        <f>IF(Items[[#This Row],[ID]]="","",IFERROR(VALUE(LOOKUP(2,1/((Log[ID]=Items[[#This Row],[ID]])*(Log[Verb]="est")),Log[Arg])),N(Items[[#This Row],[Points]])))</f>
      </c>
      <c r="K649" s="17">
        <f>IF(Items[[#This Row],[ID]]="","",IFERROR(LOOKUP(2,1/((Log[ID]=Items[[#This Row],[ID]])*(Log[Verb]="pass")),Log[Arg])&amp;"",Items[[#This Row],[Team]]&amp;""))</f>
      </c>
      <c r="L649" s="17">
        <f>IF(Items[[#This Row],[ID]]="","",IFERROR(LOOKUP(2,1/((Log[ID]=Items[[#This Row],[ID]])*(Log[Into]&lt;&gt;"")),Log[Into]),""))</f>
      </c>
      <c r="M649" s="17">
        <f>IF(Items[[#This Row],[ID]]="","",IF(IFERROR(LOOKUP(2,1/((Log[ID]=Items[[#This Row],[ID]])*(Log[Blk]&lt;&gt;"")),Log[Blk]),0)=1,"Y",""))</f>
      </c>
      <c r="N649" s="17">
        <f>IF(Items[[#This Row],[ID]]="","",SUBSTITUTE(IFERROR(LOOKUP(2,1/((Log[ID]=Items[[#This Row],[ID]])*(Log[State]&lt;&gt;"")),Log[State]),"TODO"),"OPEN",IF(Items[[#This Row],[Blocked]]="Y","WAIT","OPEN")))</f>
      </c>
      <c r="O64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49" s="17">
        <f>IF(Items[[#This Row],[State]]&lt;&gt;"WAIT","",AsOf-Items[[#This Row],[Blocked since]])</f>
      </c>
      <c r="Q649" s="17">
        <f>IF(Items[[#This Row],[State]]&lt;&gt;"WAIT","",IFERROR(LOOKUP(2,1/((Log[ID]=Items[[#This Row],[ID]])*(Log[Verb]="block")),Log[Note])&amp;"",""))</f>
      </c>
      <c r="R649" s="17">
        <f>IF(Items[[#This Row],[ID]]="","",COUNTIFS(Log[ID],Items[[#This Row],[ID]],Log[Verb],"carry"))</f>
      </c>
      <c r="S649" s="17">
        <f>IF(Items[[#This Row],[ID]]="","",COUNTIFS(Log[ID],Items[[#This Row],[ID]],Log[Verb],"punt"))</f>
      </c>
      <c r="T649" s="11">
        <f>IF(Items[[#This Row],[State]]&lt;&gt;"DONE","",IFERROR(LOOKUP(2,1/((Log[ID]=Items[[#This Row],[ID]])*(Log[Verb]="done")),Log[Date]),""))</f>
      </c>
      <c r="U649" s="17">
        <f>IF(Items[[#This Row],[ID]]="","",IF(AND(Items[[#This Row],[Sprint]]=CurSprint,OR(Items[[#This Row],[State]]="OPEN",Items[[#This Row],[State]]="WAIT",Items[[#This Row],[State]]="HOLD",Items[[#This Row],[State]]="DONE")),1,0))</f>
      </c>
      <c r="V649" s="17">
        <f>IF(OR(Items[[#This Row],[ID]]="",Items[[#This Row],[Added]]=""),"",AsOf-Items[[#This Row],[Added]])</f>
      </c>
      <c r="W649" s="17">
        <f>IF(Items[[#This Row],[In sprint]]=1,(IF(Items[[#This Row],[Prio]]="",9,N(Items[[#This Row],[Prio]]))*10+(IF(Items[[#This Row],[State]]="DONE",1,0)))*100000+ROW(),"")</f>
      </c>
      <c r="X64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49" s="17">
        <f>IF(AND(Items[[#This Row],[State]]="DONE",N(Items[[#This Row],[Done on]])&gt;AsOf-7),(200000-N(Items[[#This Row],[Done on]]))*100000+ROW(),"")</f>
      </c>
    </row>
    <row r="650">
      <c r="A650" t="s">
        <v>806</v>
      </c>
      <c r="B650" t="s">
        <v>1871</v>
      </c>
      <c r="C650" t="s">
        <v>1107</v>
      </c>
      <c r="D650" t="s">
        <v>1108</v>
      </c>
      <c r="E650" t="s">
        <v>1139</v>
      </c>
      <c r="F650" t="s">
        <v>1249</v>
      </c>
      <c r="G650">
        <v>5</v>
      </c>
      <c r="H650">
        <v>1</v>
      </c>
      <c r="I650" s="11">
        <v>46203</v>
      </c>
      <c r="J650" s="17">
        <f>IF(Items[[#This Row],[ID]]="","",IFERROR(VALUE(LOOKUP(2,1/((Log[ID]=Items[[#This Row],[ID]])*(Log[Verb]="est")),Log[Arg])),N(Items[[#This Row],[Points]])))</f>
      </c>
      <c r="K650" s="17">
        <f>IF(Items[[#This Row],[ID]]="","",IFERROR(LOOKUP(2,1/((Log[ID]=Items[[#This Row],[ID]])*(Log[Verb]="pass")),Log[Arg])&amp;"",Items[[#This Row],[Team]]&amp;""))</f>
      </c>
      <c r="L650" s="17">
        <f>IF(Items[[#This Row],[ID]]="","",IFERROR(LOOKUP(2,1/((Log[ID]=Items[[#This Row],[ID]])*(Log[Into]&lt;&gt;"")),Log[Into]),""))</f>
      </c>
      <c r="M650" s="17">
        <f>IF(Items[[#This Row],[ID]]="","",IF(IFERROR(LOOKUP(2,1/((Log[ID]=Items[[#This Row],[ID]])*(Log[Blk]&lt;&gt;"")),Log[Blk]),0)=1,"Y",""))</f>
      </c>
      <c r="N650" s="17">
        <f>IF(Items[[#This Row],[ID]]="","",SUBSTITUTE(IFERROR(LOOKUP(2,1/((Log[ID]=Items[[#This Row],[ID]])*(Log[State]&lt;&gt;"")),Log[State]),"TODO"),"OPEN",IF(Items[[#This Row],[Blocked]]="Y","WAIT","OPEN")))</f>
      </c>
      <c r="O65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50" s="17">
        <f>IF(Items[[#This Row],[State]]&lt;&gt;"WAIT","",AsOf-Items[[#This Row],[Blocked since]])</f>
      </c>
      <c r="Q650" s="17">
        <f>IF(Items[[#This Row],[State]]&lt;&gt;"WAIT","",IFERROR(LOOKUP(2,1/((Log[ID]=Items[[#This Row],[ID]])*(Log[Verb]="block")),Log[Note])&amp;"",""))</f>
      </c>
      <c r="R650" s="17">
        <f>IF(Items[[#This Row],[ID]]="","",COUNTIFS(Log[ID],Items[[#This Row],[ID]],Log[Verb],"carry"))</f>
      </c>
      <c r="S650" s="17">
        <f>IF(Items[[#This Row],[ID]]="","",COUNTIFS(Log[ID],Items[[#This Row],[ID]],Log[Verb],"punt"))</f>
      </c>
      <c r="T650" s="11">
        <f>IF(Items[[#This Row],[State]]&lt;&gt;"DONE","",IFERROR(LOOKUP(2,1/((Log[ID]=Items[[#This Row],[ID]])*(Log[Verb]="done")),Log[Date]),""))</f>
      </c>
      <c r="U650" s="17">
        <f>IF(Items[[#This Row],[ID]]="","",IF(AND(Items[[#This Row],[Sprint]]=CurSprint,OR(Items[[#This Row],[State]]="OPEN",Items[[#This Row],[State]]="WAIT",Items[[#This Row],[State]]="HOLD",Items[[#This Row],[State]]="DONE")),1,0))</f>
      </c>
      <c r="V650" s="17">
        <f>IF(OR(Items[[#This Row],[ID]]="",Items[[#This Row],[Added]]=""),"",AsOf-Items[[#This Row],[Added]])</f>
      </c>
      <c r="W650" s="17">
        <f>IF(Items[[#This Row],[In sprint]]=1,(IF(Items[[#This Row],[Prio]]="",9,N(Items[[#This Row],[Prio]]))*10+(IF(Items[[#This Row],[State]]="DONE",1,0)))*100000+ROW(),"")</f>
      </c>
      <c r="X65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50" s="17">
        <f>IF(AND(Items[[#This Row],[State]]="DONE",N(Items[[#This Row],[Done on]])&gt;AsOf-7),(200000-N(Items[[#This Row],[Done on]]))*100000+ROW(),"")</f>
      </c>
    </row>
    <row r="651">
      <c r="A651" t="s">
        <v>807</v>
      </c>
      <c r="B651" t="s">
        <v>1872</v>
      </c>
      <c r="C651" t="s">
        <v>1115</v>
      </c>
      <c r="D651" t="s">
        <v>1119</v>
      </c>
      <c r="E651" t="s">
        <v>1139</v>
      </c>
      <c r="F651" t="s">
        <v>1586</v>
      </c>
      <c r="G651">
        <v>5</v>
      </c>
      <c r="H651">
        <v>3</v>
      </c>
      <c r="I651" s="11">
        <v>46203</v>
      </c>
      <c r="J651" s="17">
        <f>IF(Items[[#This Row],[ID]]="","",IFERROR(VALUE(LOOKUP(2,1/((Log[ID]=Items[[#This Row],[ID]])*(Log[Verb]="est")),Log[Arg])),N(Items[[#This Row],[Points]])))</f>
      </c>
      <c r="K651" s="17">
        <f>IF(Items[[#This Row],[ID]]="","",IFERROR(LOOKUP(2,1/((Log[ID]=Items[[#This Row],[ID]])*(Log[Verb]="pass")),Log[Arg])&amp;"",Items[[#This Row],[Team]]&amp;""))</f>
      </c>
      <c r="L651" s="17">
        <f>IF(Items[[#This Row],[ID]]="","",IFERROR(LOOKUP(2,1/((Log[ID]=Items[[#This Row],[ID]])*(Log[Into]&lt;&gt;"")),Log[Into]),""))</f>
      </c>
      <c r="M651" s="17">
        <f>IF(Items[[#This Row],[ID]]="","",IF(IFERROR(LOOKUP(2,1/((Log[ID]=Items[[#This Row],[ID]])*(Log[Blk]&lt;&gt;"")),Log[Blk]),0)=1,"Y",""))</f>
      </c>
      <c r="N651" s="17">
        <f>IF(Items[[#This Row],[ID]]="","",SUBSTITUTE(IFERROR(LOOKUP(2,1/((Log[ID]=Items[[#This Row],[ID]])*(Log[State]&lt;&gt;"")),Log[State]),"TODO"),"OPEN",IF(Items[[#This Row],[Blocked]]="Y","WAIT","OPEN")))</f>
      </c>
      <c r="O65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51" s="17">
        <f>IF(Items[[#This Row],[State]]&lt;&gt;"WAIT","",AsOf-Items[[#This Row],[Blocked since]])</f>
      </c>
      <c r="Q651" s="17">
        <f>IF(Items[[#This Row],[State]]&lt;&gt;"WAIT","",IFERROR(LOOKUP(2,1/((Log[ID]=Items[[#This Row],[ID]])*(Log[Verb]="block")),Log[Note])&amp;"",""))</f>
      </c>
      <c r="R651" s="17">
        <f>IF(Items[[#This Row],[ID]]="","",COUNTIFS(Log[ID],Items[[#This Row],[ID]],Log[Verb],"carry"))</f>
      </c>
      <c r="S651" s="17">
        <f>IF(Items[[#This Row],[ID]]="","",COUNTIFS(Log[ID],Items[[#This Row],[ID]],Log[Verb],"punt"))</f>
      </c>
      <c r="T651" s="11">
        <f>IF(Items[[#This Row],[State]]&lt;&gt;"DONE","",IFERROR(LOOKUP(2,1/((Log[ID]=Items[[#This Row],[ID]])*(Log[Verb]="done")),Log[Date]),""))</f>
      </c>
      <c r="U651" s="17">
        <f>IF(Items[[#This Row],[ID]]="","",IF(AND(Items[[#This Row],[Sprint]]=CurSprint,OR(Items[[#This Row],[State]]="OPEN",Items[[#This Row],[State]]="WAIT",Items[[#This Row],[State]]="HOLD",Items[[#This Row],[State]]="DONE")),1,0))</f>
      </c>
      <c r="V651" s="17">
        <f>IF(OR(Items[[#This Row],[ID]]="",Items[[#This Row],[Added]]=""),"",AsOf-Items[[#This Row],[Added]])</f>
      </c>
      <c r="W651" s="17">
        <f>IF(Items[[#This Row],[In sprint]]=1,(IF(Items[[#This Row],[Prio]]="",9,N(Items[[#This Row],[Prio]]))*10+(IF(Items[[#This Row],[State]]="DONE",1,0)))*100000+ROW(),"")</f>
      </c>
      <c r="X65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51" s="17">
        <f>IF(AND(Items[[#This Row],[State]]="DONE",N(Items[[#This Row],[Done on]])&gt;AsOf-7),(200000-N(Items[[#This Row],[Done on]]))*100000+ROW(),"")</f>
      </c>
    </row>
    <row r="652">
      <c r="A652" t="s">
        <v>808</v>
      </c>
      <c r="B652" t="s">
        <v>1873</v>
      </c>
      <c r="C652" t="s">
        <v>1107</v>
      </c>
      <c r="D652" t="s">
        <v>1108</v>
      </c>
      <c r="E652" t="s">
        <v>1139</v>
      </c>
      <c r="F652" t="s">
        <v>1319</v>
      </c>
      <c r="G652">
        <v>5</v>
      </c>
      <c r="H652">
        <v>3</v>
      </c>
      <c r="I652" s="11">
        <v>46203</v>
      </c>
      <c r="J652" s="17">
        <f>IF(Items[[#This Row],[ID]]="","",IFERROR(VALUE(LOOKUP(2,1/((Log[ID]=Items[[#This Row],[ID]])*(Log[Verb]="est")),Log[Arg])),N(Items[[#This Row],[Points]])))</f>
      </c>
      <c r="K652" s="17">
        <f>IF(Items[[#This Row],[ID]]="","",IFERROR(LOOKUP(2,1/((Log[ID]=Items[[#This Row],[ID]])*(Log[Verb]="pass")),Log[Arg])&amp;"",Items[[#This Row],[Team]]&amp;""))</f>
      </c>
      <c r="L652" s="17">
        <f>IF(Items[[#This Row],[ID]]="","",IFERROR(LOOKUP(2,1/((Log[ID]=Items[[#This Row],[ID]])*(Log[Into]&lt;&gt;"")),Log[Into]),""))</f>
      </c>
      <c r="M652" s="17">
        <f>IF(Items[[#This Row],[ID]]="","",IF(IFERROR(LOOKUP(2,1/((Log[ID]=Items[[#This Row],[ID]])*(Log[Blk]&lt;&gt;"")),Log[Blk]),0)=1,"Y",""))</f>
      </c>
      <c r="N652" s="17">
        <f>IF(Items[[#This Row],[ID]]="","",SUBSTITUTE(IFERROR(LOOKUP(2,1/((Log[ID]=Items[[#This Row],[ID]])*(Log[State]&lt;&gt;"")),Log[State]),"TODO"),"OPEN",IF(Items[[#This Row],[Blocked]]="Y","WAIT","OPEN")))</f>
      </c>
      <c r="O65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52" s="17">
        <f>IF(Items[[#This Row],[State]]&lt;&gt;"WAIT","",AsOf-Items[[#This Row],[Blocked since]])</f>
      </c>
      <c r="Q652" s="17">
        <f>IF(Items[[#This Row],[State]]&lt;&gt;"WAIT","",IFERROR(LOOKUP(2,1/((Log[ID]=Items[[#This Row],[ID]])*(Log[Verb]="block")),Log[Note])&amp;"",""))</f>
      </c>
      <c r="R652" s="17">
        <f>IF(Items[[#This Row],[ID]]="","",COUNTIFS(Log[ID],Items[[#This Row],[ID]],Log[Verb],"carry"))</f>
      </c>
      <c r="S652" s="17">
        <f>IF(Items[[#This Row],[ID]]="","",COUNTIFS(Log[ID],Items[[#This Row],[ID]],Log[Verb],"punt"))</f>
      </c>
      <c r="T652" s="11">
        <f>IF(Items[[#This Row],[State]]&lt;&gt;"DONE","",IFERROR(LOOKUP(2,1/((Log[ID]=Items[[#This Row],[ID]])*(Log[Verb]="done")),Log[Date]),""))</f>
      </c>
      <c r="U652" s="17">
        <f>IF(Items[[#This Row],[ID]]="","",IF(AND(Items[[#This Row],[Sprint]]=CurSprint,OR(Items[[#This Row],[State]]="OPEN",Items[[#This Row],[State]]="WAIT",Items[[#This Row],[State]]="HOLD",Items[[#This Row],[State]]="DONE")),1,0))</f>
      </c>
      <c r="V652" s="17">
        <f>IF(OR(Items[[#This Row],[ID]]="",Items[[#This Row],[Added]]=""),"",AsOf-Items[[#This Row],[Added]])</f>
      </c>
      <c r="W652" s="17">
        <f>IF(Items[[#This Row],[In sprint]]=1,(IF(Items[[#This Row],[Prio]]="",9,N(Items[[#This Row],[Prio]]))*10+(IF(Items[[#This Row],[State]]="DONE",1,0)))*100000+ROW(),"")</f>
      </c>
      <c r="X65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52" s="17">
        <f>IF(AND(Items[[#This Row],[State]]="DONE",N(Items[[#This Row],[Done on]])&gt;AsOf-7),(200000-N(Items[[#This Row],[Done on]]))*100000+ROW(),"")</f>
      </c>
    </row>
    <row r="653">
      <c r="A653" t="s">
        <v>879</v>
      </c>
      <c r="B653" t="s">
        <v>1874</v>
      </c>
      <c r="C653" t="s">
        <v>1107</v>
      </c>
      <c r="D653" t="s">
        <v>1123</v>
      </c>
      <c r="E653" t="s">
        <v>1139</v>
      </c>
      <c r="F653" t="s">
        <v>1323</v>
      </c>
      <c r="G653">
        <v>8</v>
      </c>
      <c r="H653">
        <v>1</v>
      </c>
      <c r="I653" s="11">
        <v>46203</v>
      </c>
      <c r="J653" s="17">
        <f>IF(Items[[#This Row],[ID]]="","",IFERROR(VALUE(LOOKUP(2,1/((Log[ID]=Items[[#This Row],[ID]])*(Log[Verb]="est")),Log[Arg])),N(Items[[#This Row],[Points]])))</f>
      </c>
      <c r="K653" s="17">
        <f>IF(Items[[#This Row],[ID]]="","",IFERROR(LOOKUP(2,1/((Log[ID]=Items[[#This Row],[ID]])*(Log[Verb]="pass")),Log[Arg])&amp;"",Items[[#This Row],[Team]]&amp;""))</f>
      </c>
      <c r="L653" s="17">
        <f>IF(Items[[#This Row],[ID]]="","",IFERROR(LOOKUP(2,1/((Log[ID]=Items[[#This Row],[ID]])*(Log[Into]&lt;&gt;"")),Log[Into]),""))</f>
      </c>
      <c r="M653" s="17">
        <f>IF(Items[[#This Row],[ID]]="","",IF(IFERROR(LOOKUP(2,1/((Log[ID]=Items[[#This Row],[ID]])*(Log[Blk]&lt;&gt;"")),Log[Blk]),0)=1,"Y",""))</f>
      </c>
      <c r="N653" s="17">
        <f>IF(Items[[#This Row],[ID]]="","",SUBSTITUTE(IFERROR(LOOKUP(2,1/((Log[ID]=Items[[#This Row],[ID]])*(Log[State]&lt;&gt;"")),Log[State]),"TODO"),"OPEN",IF(Items[[#This Row],[Blocked]]="Y","WAIT","OPEN")))</f>
      </c>
      <c r="O65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53" s="17">
        <f>IF(Items[[#This Row],[State]]&lt;&gt;"WAIT","",AsOf-Items[[#This Row],[Blocked since]])</f>
      </c>
      <c r="Q653" s="17">
        <f>IF(Items[[#This Row],[State]]&lt;&gt;"WAIT","",IFERROR(LOOKUP(2,1/((Log[ID]=Items[[#This Row],[ID]])*(Log[Verb]="block")),Log[Note])&amp;"",""))</f>
      </c>
      <c r="R653" s="17">
        <f>IF(Items[[#This Row],[ID]]="","",COUNTIFS(Log[ID],Items[[#This Row],[ID]],Log[Verb],"carry"))</f>
      </c>
      <c r="S653" s="17">
        <f>IF(Items[[#This Row],[ID]]="","",COUNTIFS(Log[ID],Items[[#This Row],[ID]],Log[Verb],"punt"))</f>
      </c>
      <c r="T653" s="11">
        <f>IF(Items[[#This Row],[State]]&lt;&gt;"DONE","",IFERROR(LOOKUP(2,1/((Log[ID]=Items[[#This Row],[ID]])*(Log[Verb]="done")),Log[Date]),""))</f>
      </c>
      <c r="U653" s="17">
        <f>IF(Items[[#This Row],[ID]]="","",IF(AND(Items[[#This Row],[Sprint]]=CurSprint,OR(Items[[#This Row],[State]]="OPEN",Items[[#This Row],[State]]="WAIT",Items[[#This Row],[State]]="HOLD",Items[[#This Row],[State]]="DONE")),1,0))</f>
      </c>
      <c r="V653" s="17">
        <f>IF(OR(Items[[#This Row],[ID]]="",Items[[#This Row],[Added]]=""),"",AsOf-Items[[#This Row],[Added]])</f>
      </c>
      <c r="W653" s="17">
        <f>IF(Items[[#This Row],[In sprint]]=1,(IF(Items[[#This Row],[Prio]]="",9,N(Items[[#This Row],[Prio]]))*10+(IF(Items[[#This Row],[State]]="DONE",1,0)))*100000+ROW(),"")</f>
      </c>
      <c r="X65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53" s="17">
        <f>IF(AND(Items[[#This Row],[State]]="DONE",N(Items[[#This Row],[Done on]])&gt;AsOf-7),(200000-N(Items[[#This Row],[Done on]]))*100000+ROW(),"")</f>
      </c>
    </row>
    <row r="654">
      <c r="A654" t="s">
        <v>812</v>
      </c>
      <c r="B654" t="s">
        <v>1875</v>
      </c>
      <c r="C654" t="s">
        <v>1115</v>
      </c>
      <c r="D654" t="s">
        <v>1116</v>
      </c>
      <c r="E654" t="s">
        <v>1177</v>
      </c>
      <c r="F654" t="s">
        <v>1180</v>
      </c>
      <c r="G654">
        <v>2</v>
      </c>
      <c r="H654">
        <v>3</v>
      </c>
      <c r="I654" s="11">
        <v>46203</v>
      </c>
      <c r="J654" s="17">
        <f>IF(Items[[#This Row],[ID]]="","",IFERROR(VALUE(LOOKUP(2,1/((Log[ID]=Items[[#This Row],[ID]])*(Log[Verb]="est")),Log[Arg])),N(Items[[#This Row],[Points]])))</f>
      </c>
      <c r="K654" s="17">
        <f>IF(Items[[#This Row],[ID]]="","",IFERROR(LOOKUP(2,1/((Log[ID]=Items[[#This Row],[ID]])*(Log[Verb]="pass")),Log[Arg])&amp;"",Items[[#This Row],[Team]]&amp;""))</f>
      </c>
      <c r="L654" s="17">
        <f>IF(Items[[#This Row],[ID]]="","",IFERROR(LOOKUP(2,1/((Log[ID]=Items[[#This Row],[ID]])*(Log[Into]&lt;&gt;"")),Log[Into]),""))</f>
      </c>
      <c r="M654" s="17">
        <f>IF(Items[[#This Row],[ID]]="","",IF(IFERROR(LOOKUP(2,1/((Log[ID]=Items[[#This Row],[ID]])*(Log[Blk]&lt;&gt;"")),Log[Blk]),0)=1,"Y",""))</f>
      </c>
      <c r="N654" s="17">
        <f>IF(Items[[#This Row],[ID]]="","",SUBSTITUTE(IFERROR(LOOKUP(2,1/((Log[ID]=Items[[#This Row],[ID]])*(Log[State]&lt;&gt;"")),Log[State]),"TODO"),"OPEN",IF(Items[[#This Row],[Blocked]]="Y","WAIT","OPEN")))</f>
      </c>
      <c r="O65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54" s="17">
        <f>IF(Items[[#This Row],[State]]&lt;&gt;"WAIT","",AsOf-Items[[#This Row],[Blocked since]])</f>
      </c>
      <c r="Q654" s="17">
        <f>IF(Items[[#This Row],[State]]&lt;&gt;"WAIT","",IFERROR(LOOKUP(2,1/((Log[ID]=Items[[#This Row],[ID]])*(Log[Verb]="block")),Log[Note])&amp;"",""))</f>
      </c>
      <c r="R654" s="17">
        <f>IF(Items[[#This Row],[ID]]="","",COUNTIFS(Log[ID],Items[[#This Row],[ID]],Log[Verb],"carry"))</f>
      </c>
      <c r="S654" s="17">
        <f>IF(Items[[#This Row],[ID]]="","",COUNTIFS(Log[ID],Items[[#This Row],[ID]],Log[Verb],"punt"))</f>
      </c>
      <c r="T654" s="11">
        <f>IF(Items[[#This Row],[State]]&lt;&gt;"DONE","",IFERROR(LOOKUP(2,1/((Log[ID]=Items[[#This Row],[ID]])*(Log[Verb]="done")),Log[Date]),""))</f>
      </c>
      <c r="U654" s="17">
        <f>IF(Items[[#This Row],[ID]]="","",IF(AND(Items[[#This Row],[Sprint]]=CurSprint,OR(Items[[#This Row],[State]]="OPEN",Items[[#This Row],[State]]="WAIT",Items[[#This Row],[State]]="HOLD",Items[[#This Row],[State]]="DONE")),1,0))</f>
      </c>
      <c r="V654" s="17">
        <f>IF(OR(Items[[#This Row],[ID]]="",Items[[#This Row],[Added]]=""),"",AsOf-Items[[#This Row],[Added]])</f>
      </c>
      <c r="W654" s="17">
        <f>IF(Items[[#This Row],[In sprint]]=1,(IF(Items[[#This Row],[Prio]]="",9,N(Items[[#This Row],[Prio]]))*10+(IF(Items[[#This Row],[State]]="DONE",1,0)))*100000+ROW(),"")</f>
      </c>
      <c r="X65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54" s="17">
        <f>IF(AND(Items[[#This Row],[State]]="DONE",N(Items[[#This Row],[Done on]])&gt;AsOf-7),(200000-N(Items[[#This Row],[Done on]]))*100000+ROW(),"")</f>
      </c>
    </row>
    <row r="655">
      <c r="A655" t="s">
        <v>813</v>
      </c>
      <c r="B655" t="s">
        <v>1876</v>
      </c>
      <c r="C655" t="s">
        <v>1107</v>
      </c>
      <c r="D655" t="s">
        <v>1108</v>
      </c>
      <c r="E655" t="s">
        <v>1177</v>
      </c>
      <c r="F655" t="s">
        <v>1180</v>
      </c>
      <c r="G655">
        <v>5</v>
      </c>
      <c r="H655">
        <v>3</v>
      </c>
      <c r="I655" s="11">
        <v>46203</v>
      </c>
      <c r="J655" s="17">
        <f>IF(Items[[#This Row],[ID]]="","",IFERROR(VALUE(LOOKUP(2,1/((Log[ID]=Items[[#This Row],[ID]])*(Log[Verb]="est")),Log[Arg])),N(Items[[#This Row],[Points]])))</f>
      </c>
      <c r="K655" s="17">
        <f>IF(Items[[#This Row],[ID]]="","",IFERROR(LOOKUP(2,1/((Log[ID]=Items[[#This Row],[ID]])*(Log[Verb]="pass")),Log[Arg])&amp;"",Items[[#This Row],[Team]]&amp;""))</f>
      </c>
      <c r="L655" s="17">
        <f>IF(Items[[#This Row],[ID]]="","",IFERROR(LOOKUP(2,1/((Log[ID]=Items[[#This Row],[ID]])*(Log[Into]&lt;&gt;"")),Log[Into]),""))</f>
      </c>
      <c r="M655" s="17">
        <f>IF(Items[[#This Row],[ID]]="","",IF(IFERROR(LOOKUP(2,1/((Log[ID]=Items[[#This Row],[ID]])*(Log[Blk]&lt;&gt;"")),Log[Blk]),0)=1,"Y",""))</f>
      </c>
      <c r="N655" s="17">
        <f>IF(Items[[#This Row],[ID]]="","",SUBSTITUTE(IFERROR(LOOKUP(2,1/((Log[ID]=Items[[#This Row],[ID]])*(Log[State]&lt;&gt;"")),Log[State]),"TODO"),"OPEN",IF(Items[[#This Row],[Blocked]]="Y","WAIT","OPEN")))</f>
      </c>
      <c r="O65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55" s="17">
        <f>IF(Items[[#This Row],[State]]&lt;&gt;"WAIT","",AsOf-Items[[#This Row],[Blocked since]])</f>
      </c>
      <c r="Q655" s="17">
        <f>IF(Items[[#This Row],[State]]&lt;&gt;"WAIT","",IFERROR(LOOKUP(2,1/((Log[ID]=Items[[#This Row],[ID]])*(Log[Verb]="block")),Log[Note])&amp;"",""))</f>
      </c>
      <c r="R655" s="17">
        <f>IF(Items[[#This Row],[ID]]="","",COUNTIFS(Log[ID],Items[[#This Row],[ID]],Log[Verb],"carry"))</f>
      </c>
      <c r="S655" s="17">
        <f>IF(Items[[#This Row],[ID]]="","",COUNTIFS(Log[ID],Items[[#This Row],[ID]],Log[Verb],"punt"))</f>
      </c>
      <c r="T655" s="11">
        <f>IF(Items[[#This Row],[State]]&lt;&gt;"DONE","",IFERROR(LOOKUP(2,1/((Log[ID]=Items[[#This Row],[ID]])*(Log[Verb]="done")),Log[Date]),""))</f>
      </c>
      <c r="U655" s="17">
        <f>IF(Items[[#This Row],[ID]]="","",IF(AND(Items[[#This Row],[Sprint]]=CurSprint,OR(Items[[#This Row],[State]]="OPEN",Items[[#This Row],[State]]="WAIT",Items[[#This Row],[State]]="HOLD",Items[[#This Row],[State]]="DONE")),1,0))</f>
      </c>
      <c r="V655" s="17">
        <f>IF(OR(Items[[#This Row],[ID]]="",Items[[#This Row],[Added]]=""),"",AsOf-Items[[#This Row],[Added]])</f>
      </c>
      <c r="W655" s="17">
        <f>IF(Items[[#This Row],[In sprint]]=1,(IF(Items[[#This Row],[Prio]]="",9,N(Items[[#This Row],[Prio]]))*10+(IF(Items[[#This Row],[State]]="DONE",1,0)))*100000+ROW(),"")</f>
      </c>
      <c r="X65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55" s="17">
        <f>IF(AND(Items[[#This Row],[State]]="DONE",N(Items[[#This Row],[Done on]])&gt;AsOf-7),(200000-N(Items[[#This Row],[Done on]]))*100000+ROW(),"")</f>
      </c>
    </row>
    <row r="656">
      <c r="A656" t="s">
        <v>814</v>
      </c>
      <c r="B656" t="s">
        <v>1877</v>
      </c>
      <c r="C656" t="s">
        <v>1107</v>
      </c>
      <c r="D656" t="s">
        <v>1123</v>
      </c>
      <c r="E656" t="s">
        <v>1177</v>
      </c>
      <c r="F656" t="s">
        <v>1327</v>
      </c>
      <c r="G656">
        <v>8</v>
      </c>
      <c r="H656">
        <v>1</v>
      </c>
      <c r="I656" s="11">
        <v>46203</v>
      </c>
      <c r="J656" s="17">
        <f>IF(Items[[#This Row],[ID]]="","",IFERROR(VALUE(LOOKUP(2,1/((Log[ID]=Items[[#This Row],[ID]])*(Log[Verb]="est")),Log[Arg])),N(Items[[#This Row],[Points]])))</f>
      </c>
      <c r="K656" s="17">
        <f>IF(Items[[#This Row],[ID]]="","",IFERROR(LOOKUP(2,1/((Log[ID]=Items[[#This Row],[ID]])*(Log[Verb]="pass")),Log[Arg])&amp;"",Items[[#This Row],[Team]]&amp;""))</f>
      </c>
      <c r="L656" s="17">
        <f>IF(Items[[#This Row],[ID]]="","",IFERROR(LOOKUP(2,1/((Log[ID]=Items[[#This Row],[ID]])*(Log[Into]&lt;&gt;"")),Log[Into]),""))</f>
      </c>
      <c r="M656" s="17">
        <f>IF(Items[[#This Row],[ID]]="","",IF(IFERROR(LOOKUP(2,1/((Log[ID]=Items[[#This Row],[ID]])*(Log[Blk]&lt;&gt;"")),Log[Blk]),0)=1,"Y",""))</f>
      </c>
      <c r="N656" s="17">
        <f>IF(Items[[#This Row],[ID]]="","",SUBSTITUTE(IFERROR(LOOKUP(2,1/((Log[ID]=Items[[#This Row],[ID]])*(Log[State]&lt;&gt;"")),Log[State]),"TODO"),"OPEN",IF(Items[[#This Row],[Blocked]]="Y","WAIT","OPEN")))</f>
      </c>
      <c r="O65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56" s="17">
        <f>IF(Items[[#This Row],[State]]&lt;&gt;"WAIT","",AsOf-Items[[#This Row],[Blocked since]])</f>
      </c>
      <c r="Q656" s="17">
        <f>IF(Items[[#This Row],[State]]&lt;&gt;"WAIT","",IFERROR(LOOKUP(2,1/((Log[ID]=Items[[#This Row],[ID]])*(Log[Verb]="block")),Log[Note])&amp;"",""))</f>
      </c>
      <c r="R656" s="17">
        <f>IF(Items[[#This Row],[ID]]="","",COUNTIFS(Log[ID],Items[[#This Row],[ID]],Log[Verb],"carry"))</f>
      </c>
      <c r="S656" s="17">
        <f>IF(Items[[#This Row],[ID]]="","",COUNTIFS(Log[ID],Items[[#This Row],[ID]],Log[Verb],"punt"))</f>
      </c>
      <c r="T656" s="11">
        <f>IF(Items[[#This Row],[State]]&lt;&gt;"DONE","",IFERROR(LOOKUP(2,1/((Log[ID]=Items[[#This Row],[ID]])*(Log[Verb]="done")),Log[Date]),""))</f>
      </c>
      <c r="U656" s="17">
        <f>IF(Items[[#This Row],[ID]]="","",IF(AND(Items[[#This Row],[Sprint]]=CurSprint,OR(Items[[#This Row],[State]]="OPEN",Items[[#This Row],[State]]="WAIT",Items[[#This Row],[State]]="HOLD",Items[[#This Row],[State]]="DONE")),1,0))</f>
      </c>
      <c r="V656" s="17">
        <f>IF(OR(Items[[#This Row],[ID]]="",Items[[#This Row],[Added]]=""),"",AsOf-Items[[#This Row],[Added]])</f>
      </c>
      <c r="W656" s="17">
        <f>IF(Items[[#This Row],[In sprint]]=1,(IF(Items[[#This Row],[Prio]]="",9,N(Items[[#This Row],[Prio]]))*10+(IF(Items[[#This Row],[State]]="DONE",1,0)))*100000+ROW(),"")</f>
      </c>
      <c r="X65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56" s="17">
        <f>IF(AND(Items[[#This Row],[State]]="DONE",N(Items[[#This Row],[Done on]])&gt;AsOf-7),(200000-N(Items[[#This Row],[Done on]]))*100000+ROW(),"")</f>
      </c>
    </row>
    <row r="657">
      <c r="A657" t="s">
        <v>815</v>
      </c>
      <c r="B657" t="s">
        <v>1878</v>
      </c>
      <c r="C657" t="s">
        <v>1107</v>
      </c>
      <c r="D657" t="s">
        <v>1123</v>
      </c>
      <c r="E657" t="s">
        <v>1177</v>
      </c>
      <c r="F657" t="s">
        <v>1407</v>
      </c>
      <c r="G657">
        <v>2</v>
      </c>
      <c r="H657">
        <v>3</v>
      </c>
      <c r="I657" s="11">
        <v>46203</v>
      </c>
      <c r="J657" s="17">
        <f>IF(Items[[#This Row],[ID]]="","",IFERROR(VALUE(LOOKUP(2,1/((Log[ID]=Items[[#This Row],[ID]])*(Log[Verb]="est")),Log[Arg])),N(Items[[#This Row],[Points]])))</f>
      </c>
      <c r="K657" s="17">
        <f>IF(Items[[#This Row],[ID]]="","",IFERROR(LOOKUP(2,1/((Log[ID]=Items[[#This Row],[ID]])*(Log[Verb]="pass")),Log[Arg])&amp;"",Items[[#This Row],[Team]]&amp;""))</f>
      </c>
      <c r="L657" s="17">
        <f>IF(Items[[#This Row],[ID]]="","",IFERROR(LOOKUP(2,1/((Log[ID]=Items[[#This Row],[ID]])*(Log[Into]&lt;&gt;"")),Log[Into]),""))</f>
      </c>
      <c r="M657" s="17">
        <f>IF(Items[[#This Row],[ID]]="","",IF(IFERROR(LOOKUP(2,1/((Log[ID]=Items[[#This Row],[ID]])*(Log[Blk]&lt;&gt;"")),Log[Blk]),0)=1,"Y",""))</f>
      </c>
      <c r="N657" s="17">
        <f>IF(Items[[#This Row],[ID]]="","",SUBSTITUTE(IFERROR(LOOKUP(2,1/((Log[ID]=Items[[#This Row],[ID]])*(Log[State]&lt;&gt;"")),Log[State]),"TODO"),"OPEN",IF(Items[[#This Row],[Blocked]]="Y","WAIT","OPEN")))</f>
      </c>
      <c r="O65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57" s="17">
        <f>IF(Items[[#This Row],[State]]&lt;&gt;"WAIT","",AsOf-Items[[#This Row],[Blocked since]])</f>
      </c>
      <c r="Q657" s="17">
        <f>IF(Items[[#This Row],[State]]&lt;&gt;"WAIT","",IFERROR(LOOKUP(2,1/((Log[ID]=Items[[#This Row],[ID]])*(Log[Verb]="block")),Log[Note])&amp;"",""))</f>
      </c>
      <c r="R657" s="17">
        <f>IF(Items[[#This Row],[ID]]="","",COUNTIFS(Log[ID],Items[[#This Row],[ID]],Log[Verb],"carry"))</f>
      </c>
      <c r="S657" s="17">
        <f>IF(Items[[#This Row],[ID]]="","",COUNTIFS(Log[ID],Items[[#This Row],[ID]],Log[Verb],"punt"))</f>
      </c>
      <c r="T657" s="11">
        <f>IF(Items[[#This Row],[State]]&lt;&gt;"DONE","",IFERROR(LOOKUP(2,1/((Log[ID]=Items[[#This Row],[ID]])*(Log[Verb]="done")),Log[Date]),""))</f>
      </c>
      <c r="U657" s="17">
        <f>IF(Items[[#This Row],[ID]]="","",IF(AND(Items[[#This Row],[Sprint]]=CurSprint,OR(Items[[#This Row],[State]]="OPEN",Items[[#This Row],[State]]="WAIT",Items[[#This Row],[State]]="HOLD",Items[[#This Row],[State]]="DONE")),1,0))</f>
      </c>
      <c r="V657" s="17">
        <f>IF(OR(Items[[#This Row],[ID]]="",Items[[#This Row],[Added]]=""),"",AsOf-Items[[#This Row],[Added]])</f>
      </c>
      <c r="W657" s="17">
        <f>IF(Items[[#This Row],[In sprint]]=1,(IF(Items[[#This Row],[Prio]]="",9,N(Items[[#This Row],[Prio]]))*10+(IF(Items[[#This Row],[State]]="DONE",1,0)))*100000+ROW(),"")</f>
      </c>
      <c r="X65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57" s="17">
        <f>IF(AND(Items[[#This Row],[State]]="DONE",N(Items[[#This Row],[Done on]])&gt;AsOf-7),(200000-N(Items[[#This Row],[Done on]]))*100000+ROW(),"")</f>
      </c>
    </row>
    <row r="658">
      <c r="A658" t="s">
        <v>883</v>
      </c>
      <c r="B658" t="s">
        <v>1879</v>
      </c>
      <c r="C658" t="s">
        <v>1107</v>
      </c>
      <c r="D658" t="s">
        <v>1108</v>
      </c>
      <c r="E658" t="s">
        <v>1177</v>
      </c>
      <c r="F658" t="s">
        <v>1327</v>
      </c>
      <c r="G658">
        <v>8</v>
      </c>
      <c r="H658">
        <v>3</v>
      </c>
      <c r="I658" s="11">
        <v>46203</v>
      </c>
      <c r="J658" s="17">
        <f>IF(Items[[#This Row],[ID]]="","",IFERROR(VALUE(LOOKUP(2,1/((Log[ID]=Items[[#This Row],[ID]])*(Log[Verb]="est")),Log[Arg])),N(Items[[#This Row],[Points]])))</f>
      </c>
      <c r="K658" s="17">
        <f>IF(Items[[#This Row],[ID]]="","",IFERROR(LOOKUP(2,1/((Log[ID]=Items[[#This Row],[ID]])*(Log[Verb]="pass")),Log[Arg])&amp;"",Items[[#This Row],[Team]]&amp;""))</f>
      </c>
      <c r="L658" s="17">
        <f>IF(Items[[#This Row],[ID]]="","",IFERROR(LOOKUP(2,1/((Log[ID]=Items[[#This Row],[ID]])*(Log[Into]&lt;&gt;"")),Log[Into]),""))</f>
      </c>
      <c r="M658" s="17">
        <f>IF(Items[[#This Row],[ID]]="","",IF(IFERROR(LOOKUP(2,1/((Log[ID]=Items[[#This Row],[ID]])*(Log[Blk]&lt;&gt;"")),Log[Blk]),0)=1,"Y",""))</f>
      </c>
      <c r="N658" s="17">
        <f>IF(Items[[#This Row],[ID]]="","",SUBSTITUTE(IFERROR(LOOKUP(2,1/((Log[ID]=Items[[#This Row],[ID]])*(Log[State]&lt;&gt;"")),Log[State]),"TODO"),"OPEN",IF(Items[[#This Row],[Blocked]]="Y","WAIT","OPEN")))</f>
      </c>
      <c r="O65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58" s="17">
        <f>IF(Items[[#This Row],[State]]&lt;&gt;"WAIT","",AsOf-Items[[#This Row],[Blocked since]])</f>
      </c>
      <c r="Q658" s="17">
        <f>IF(Items[[#This Row],[State]]&lt;&gt;"WAIT","",IFERROR(LOOKUP(2,1/((Log[ID]=Items[[#This Row],[ID]])*(Log[Verb]="block")),Log[Note])&amp;"",""))</f>
      </c>
      <c r="R658" s="17">
        <f>IF(Items[[#This Row],[ID]]="","",COUNTIFS(Log[ID],Items[[#This Row],[ID]],Log[Verb],"carry"))</f>
      </c>
      <c r="S658" s="17">
        <f>IF(Items[[#This Row],[ID]]="","",COUNTIFS(Log[ID],Items[[#This Row],[ID]],Log[Verb],"punt"))</f>
      </c>
      <c r="T658" s="11">
        <f>IF(Items[[#This Row],[State]]&lt;&gt;"DONE","",IFERROR(LOOKUP(2,1/((Log[ID]=Items[[#This Row],[ID]])*(Log[Verb]="done")),Log[Date]),""))</f>
      </c>
      <c r="U658" s="17">
        <f>IF(Items[[#This Row],[ID]]="","",IF(AND(Items[[#This Row],[Sprint]]=CurSprint,OR(Items[[#This Row],[State]]="OPEN",Items[[#This Row],[State]]="WAIT",Items[[#This Row],[State]]="HOLD",Items[[#This Row],[State]]="DONE")),1,0))</f>
      </c>
      <c r="V658" s="17">
        <f>IF(OR(Items[[#This Row],[ID]]="",Items[[#This Row],[Added]]=""),"",AsOf-Items[[#This Row],[Added]])</f>
      </c>
      <c r="W658" s="17">
        <f>IF(Items[[#This Row],[In sprint]]=1,(IF(Items[[#This Row],[Prio]]="",9,N(Items[[#This Row],[Prio]]))*10+(IF(Items[[#This Row],[State]]="DONE",1,0)))*100000+ROW(),"")</f>
      </c>
      <c r="X65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58" s="17">
        <f>IF(AND(Items[[#This Row],[State]]="DONE",N(Items[[#This Row],[Done on]])&gt;AsOf-7),(200000-N(Items[[#This Row],[Done on]]))*100000+ROW(),"")</f>
      </c>
    </row>
    <row r="659">
      <c r="A659" t="s">
        <v>764</v>
      </c>
      <c r="B659" t="s">
        <v>1880</v>
      </c>
      <c r="C659" t="s">
        <v>1107</v>
      </c>
      <c r="D659" t="s">
        <v>1108</v>
      </c>
      <c r="E659" t="s">
        <v>1112</v>
      </c>
      <c r="F659" t="s">
        <v>1149</v>
      </c>
      <c r="G659">
        <v>3</v>
      </c>
      <c r="H659">
        <v>1</v>
      </c>
      <c r="I659" s="11">
        <v>46217</v>
      </c>
      <c r="J659" s="17">
        <f>IF(Items[[#This Row],[ID]]="","",IFERROR(VALUE(LOOKUP(2,1/((Log[ID]=Items[[#This Row],[ID]])*(Log[Verb]="est")),Log[Arg])),N(Items[[#This Row],[Points]])))</f>
      </c>
      <c r="K659" s="17">
        <f>IF(Items[[#This Row],[ID]]="","",IFERROR(LOOKUP(2,1/((Log[ID]=Items[[#This Row],[ID]])*(Log[Verb]="pass")),Log[Arg])&amp;"",Items[[#This Row],[Team]]&amp;""))</f>
      </c>
      <c r="L659" s="17">
        <f>IF(Items[[#This Row],[ID]]="","",IFERROR(LOOKUP(2,1/((Log[ID]=Items[[#This Row],[ID]])*(Log[Into]&lt;&gt;"")),Log[Into]),""))</f>
      </c>
      <c r="M659" s="17">
        <f>IF(Items[[#This Row],[ID]]="","",IF(IFERROR(LOOKUP(2,1/((Log[ID]=Items[[#This Row],[ID]])*(Log[Blk]&lt;&gt;"")),Log[Blk]),0)=1,"Y",""))</f>
      </c>
      <c r="N659" s="17">
        <f>IF(Items[[#This Row],[ID]]="","",SUBSTITUTE(IFERROR(LOOKUP(2,1/((Log[ID]=Items[[#This Row],[ID]])*(Log[State]&lt;&gt;"")),Log[State]),"TODO"),"OPEN",IF(Items[[#This Row],[Blocked]]="Y","WAIT","OPEN")))</f>
      </c>
      <c r="O65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59" s="17">
        <f>IF(Items[[#This Row],[State]]&lt;&gt;"WAIT","",AsOf-Items[[#This Row],[Blocked since]])</f>
      </c>
      <c r="Q659" s="17">
        <f>IF(Items[[#This Row],[State]]&lt;&gt;"WAIT","",IFERROR(LOOKUP(2,1/((Log[ID]=Items[[#This Row],[ID]])*(Log[Verb]="block")),Log[Note])&amp;"",""))</f>
      </c>
      <c r="R659" s="17">
        <f>IF(Items[[#This Row],[ID]]="","",COUNTIFS(Log[ID],Items[[#This Row],[ID]],Log[Verb],"carry"))</f>
      </c>
      <c r="S659" s="17">
        <f>IF(Items[[#This Row],[ID]]="","",COUNTIFS(Log[ID],Items[[#This Row],[ID]],Log[Verb],"punt"))</f>
      </c>
      <c r="T659" s="11">
        <f>IF(Items[[#This Row],[State]]&lt;&gt;"DONE","",IFERROR(LOOKUP(2,1/((Log[ID]=Items[[#This Row],[ID]])*(Log[Verb]="done")),Log[Date]),""))</f>
      </c>
      <c r="U659" s="17">
        <f>IF(Items[[#This Row],[ID]]="","",IF(AND(Items[[#This Row],[Sprint]]=CurSprint,OR(Items[[#This Row],[State]]="OPEN",Items[[#This Row],[State]]="WAIT",Items[[#This Row],[State]]="HOLD",Items[[#This Row],[State]]="DONE")),1,0))</f>
      </c>
      <c r="V659" s="17">
        <f>IF(OR(Items[[#This Row],[ID]]="",Items[[#This Row],[Added]]=""),"",AsOf-Items[[#This Row],[Added]])</f>
      </c>
      <c r="W659" s="17">
        <f>IF(Items[[#This Row],[In sprint]]=1,(IF(Items[[#This Row],[Prio]]="",9,N(Items[[#This Row],[Prio]]))*10+(IF(Items[[#This Row],[State]]="DONE",1,0)))*100000+ROW(),"")</f>
      </c>
      <c r="X65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59" s="17">
        <f>IF(AND(Items[[#This Row],[State]]="DONE",N(Items[[#This Row],[Done on]])&gt;AsOf-7),(200000-N(Items[[#This Row],[Done on]]))*100000+ROW(),"")</f>
      </c>
    </row>
    <row r="660">
      <c r="A660" t="s">
        <v>765</v>
      </c>
      <c r="B660" t="s">
        <v>1881</v>
      </c>
      <c r="C660" t="s">
        <v>1107</v>
      </c>
      <c r="D660" t="s">
        <v>1108</v>
      </c>
      <c r="E660" t="s">
        <v>1112</v>
      </c>
      <c r="F660" t="s">
        <v>1265</v>
      </c>
      <c r="G660">
        <v>5</v>
      </c>
      <c r="H660">
        <v>3</v>
      </c>
      <c r="I660" s="11">
        <v>46217</v>
      </c>
      <c r="J660" s="17">
        <f>IF(Items[[#This Row],[ID]]="","",IFERROR(VALUE(LOOKUP(2,1/((Log[ID]=Items[[#This Row],[ID]])*(Log[Verb]="est")),Log[Arg])),N(Items[[#This Row],[Points]])))</f>
      </c>
      <c r="K660" s="17">
        <f>IF(Items[[#This Row],[ID]]="","",IFERROR(LOOKUP(2,1/((Log[ID]=Items[[#This Row],[ID]])*(Log[Verb]="pass")),Log[Arg])&amp;"",Items[[#This Row],[Team]]&amp;""))</f>
      </c>
      <c r="L660" s="17">
        <f>IF(Items[[#This Row],[ID]]="","",IFERROR(LOOKUP(2,1/((Log[ID]=Items[[#This Row],[ID]])*(Log[Into]&lt;&gt;"")),Log[Into]),""))</f>
      </c>
      <c r="M660" s="17">
        <f>IF(Items[[#This Row],[ID]]="","",IF(IFERROR(LOOKUP(2,1/((Log[ID]=Items[[#This Row],[ID]])*(Log[Blk]&lt;&gt;"")),Log[Blk]),0)=1,"Y",""))</f>
      </c>
      <c r="N660" s="17">
        <f>IF(Items[[#This Row],[ID]]="","",SUBSTITUTE(IFERROR(LOOKUP(2,1/((Log[ID]=Items[[#This Row],[ID]])*(Log[State]&lt;&gt;"")),Log[State]),"TODO"),"OPEN",IF(Items[[#This Row],[Blocked]]="Y","WAIT","OPEN")))</f>
      </c>
      <c r="O66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60" s="17">
        <f>IF(Items[[#This Row],[State]]&lt;&gt;"WAIT","",AsOf-Items[[#This Row],[Blocked since]])</f>
      </c>
      <c r="Q660" s="17">
        <f>IF(Items[[#This Row],[State]]&lt;&gt;"WAIT","",IFERROR(LOOKUP(2,1/((Log[ID]=Items[[#This Row],[ID]])*(Log[Verb]="block")),Log[Note])&amp;"",""))</f>
      </c>
      <c r="R660" s="17">
        <f>IF(Items[[#This Row],[ID]]="","",COUNTIFS(Log[ID],Items[[#This Row],[ID]],Log[Verb],"carry"))</f>
      </c>
      <c r="S660" s="17">
        <f>IF(Items[[#This Row],[ID]]="","",COUNTIFS(Log[ID],Items[[#This Row],[ID]],Log[Verb],"punt"))</f>
      </c>
      <c r="T660" s="11">
        <f>IF(Items[[#This Row],[State]]&lt;&gt;"DONE","",IFERROR(LOOKUP(2,1/((Log[ID]=Items[[#This Row],[ID]])*(Log[Verb]="done")),Log[Date]),""))</f>
      </c>
      <c r="U660" s="17">
        <f>IF(Items[[#This Row],[ID]]="","",IF(AND(Items[[#This Row],[Sprint]]=CurSprint,OR(Items[[#This Row],[State]]="OPEN",Items[[#This Row],[State]]="WAIT",Items[[#This Row],[State]]="HOLD",Items[[#This Row],[State]]="DONE")),1,0))</f>
      </c>
      <c r="V660" s="17">
        <f>IF(OR(Items[[#This Row],[ID]]="",Items[[#This Row],[Added]]=""),"",AsOf-Items[[#This Row],[Added]])</f>
      </c>
      <c r="W660" s="17">
        <f>IF(Items[[#This Row],[In sprint]]=1,(IF(Items[[#This Row],[Prio]]="",9,N(Items[[#This Row],[Prio]]))*10+(IF(Items[[#This Row],[State]]="DONE",1,0)))*100000+ROW(),"")</f>
      </c>
      <c r="X66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60" s="17">
        <f>IF(AND(Items[[#This Row],[State]]="DONE",N(Items[[#This Row],[Done on]])&gt;AsOf-7),(200000-N(Items[[#This Row],[Done on]]))*100000+ROW(),"")</f>
      </c>
    </row>
    <row r="661">
      <c r="A661" t="s">
        <v>817</v>
      </c>
      <c r="B661" t="s">
        <v>1882</v>
      </c>
      <c r="C661" t="s">
        <v>1107</v>
      </c>
      <c r="D661" t="s">
        <v>1123</v>
      </c>
      <c r="E661" t="s">
        <v>1112</v>
      </c>
      <c r="F661" t="s">
        <v>1184</v>
      </c>
      <c r="G661">
        <v>2</v>
      </c>
      <c r="H661">
        <v>2</v>
      </c>
      <c r="I661" s="11">
        <v>46217</v>
      </c>
      <c r="J661" s="17">
        <f>IF(Items[[#This Row],[ID]]="","",IFERROR(VALUE(LOOKUP(2,1/((Log[ID]=Items[[#This Row],[ID]])*(Log[Verb]="est")),Log[Arg])),N(Items[[#This Row],[Points]])))</f>
      </c>
      <c r="K661" s="17">
        <f>IF(Items[[#This Row],[ID]]="","",IFERROR(LOOKUP(2,1/((Log[ID]=Items[[#This Row],[ID]])*(Log[Verb]="pass")),Log[Arg])&amp;"",Items[[#This Row],[Team]]&amp;""))</f>
      </c>
      <c r="L661" s="17">
        <f>IF(Items[[#This Row],[ID]]="","",IFERROR(LOOKUP(2,1/((Log[ID]=Items[[#This Row],[ID]])*(Log[Into]&lt;&gt;"")),Log[Into]),""))</f>
      </c>
      <c r="M661" s="17">
        <f>IF(Items[[#This Row],[ID]]="","",IF(IFERROR(LOOKUP(2,1/((Log[ID]=Items[[#This Row],[ID]])*(Log[Blk]&lt;&gt;"")),Log[Blk]),0)=1,"Y",""))</f>
      </c>
      <c r="N661" s="17">
        <f>IF(Items[[#This Row],[ID]]="","",SUBSTITUTE(IFERROR(LOOKUP(2,1/((Log[ID]=Items[[#This Row],[ID]])*(Log[State]&lt;&gt;"")),Log[State]),"TODO"),"OPEN",IF(Items[[#This Row],[Blocked]]="Y","WAIT","OPEN")))</f>
      </c>
      <c r="O66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61" s="17">
        <f>IF(Items[[#This Row],[State]]&lt;&gt;"WAIT","",AsOf-Items[[#This Row],[Blocked since]])</f>
      </c>
      <c r="Q661" s="17">
        <f>IF(Items[[#This Row],[State]]&lt;&gt;"WAIT","",IFERROR(LOOKUP(2,1/((Log[ID]=Items[[#This Row],[ID]])*(Log[Verb]="block")),Log[Note])&amp;"",""))</f>
      </c>
      <c r="R661" s="17">
        <f>IF(Items[[#This Row],[ID]]="","",COUNTIFS(Log[ID],Items[[#This Row],[ID]],Log[Verb],"carry"))</f>
      </c>
      <c r="S661" s="17">
        <f>IF(Items[[#This Row],[ID]]="","",COUNTIFS(Log[ID],Items[[#This Row],[ID]],Log[Verb],"punt"))</f>
      </c>
      <c r="T661" s="11">
        <f>IF(Items[[#This Row],[State]]&lt;&gt;"DONE","",IFERROR(LOOKUP(2,1/((Log[ID]=Items[[#This Row],[ID]])*(Log[Verb]="done")),Log[Date]),""))</f>
      </c>
      <c r="U661" s="17">
        <f>IF(Items[[#This Row],[ID]]="","",IF(AND(Items[[#This Row],[Sprint]]=CurSprint,OR(Items[[#This Row],[State]]="OPEN",Items[[#This Row],[State]]="WAIT",Items[[#This Row],[State]]="HOLD",Items[[#This Row],[State]]="DONE")),1,0))</f>
      </c>
      <c r="V661" s="17">
        <f>IF(OR(Items[[#This Row],[ID]]="",Items[[#This Row],[Added]]=""),"",AsOf-Items[[#This Row],[Added]])</f>
      </c>
      <c r="W661" s="17">
        <f>IF(Items[[#This Row],[In sprint]]=1,(IF(Items[[#This Row],[Prio]]="",9,N(Items[[#This Row],[Prio]]))*10+(IF(Items[[#This Row],[State]]="DONE",1,0)))*100000+ROW(),"")</f>
      </c>
      <c r="X66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61" s="17">
        <f>IF(AND(Items[[#This Row],[State]]="DONE",N(Items[[#This Row],[Done on]])&gt;AsOf-7),(200000-N(Items[[#This Row],[Done on]]))*100000+ROW(),"")</f>
      </c>
    </row>
    <row r="662">
      <c r="A662" t="s">
        <v>818</v>
      </c>
      <c r="B662" t="s">
        <v>1883</v>
      </c>
      <c r="C662" t="s">
        <v>1115</v>
      </c>
      <c r="D662" t="s">
        <v>1116</v>
      </c>
      <c r="E662" t="s">
        <v>1112</v>
      </c>
      <c r="F662" t="s">
        <v>1147</v>
      </c>
      <c r="G662">
        <v>8</v>
      </c>
      <c r="H662">
        <v>1</v>
      </c>
      <c r="I662" s="11">
        <v>46217</v>
      </c>
      <c r="J662" s="17">
        <f>IF(Items[[#This Row],[ID]]="","",IFERROR(VALUE(LOOKUP(2,1/((Log[ID]=Items[[#This Row],[ID]])*(Log[Verb]="est")),Log[Arg])),N(Items[[#This Row],[Points]])))</f>
      </c>
      <c r="K662" s="17">
        <f>IF(Items[[#This Row],[ID]]="","",IFERROR(LOOKUP(2,1/((Log[ID]=Items[[#This Row],[ID]])*(Log[Verb]="pass")),Log[Arg])&amp;"",Items[[#This Row],[Team]]&amp;""))</f>
      </c>
      <c r="L662" s="17">
        <f>IF(Items[[#This Row],[ID]]="","",IFERROR(LOOKUP(2,1/((Log[ID]=Items[[#This Row],[ID]])*(Log[Into]&lt;&gt;"")),Log[Into]),""))</f>
      </c>
      <c r="M662" s="17">
        <f>IF(Items[[#This Row],[ID]]="","",IF(IFERROR(LOOKUP(2,1/((Log[ID]=Items[[#This Row],[ID]])*(Log[Blk]&lt;&gt;"")),Log[Blk]),0)=1,"Y",""))</f>
      </c>
      <c r="N662" s="17">
        <f>IF(Items[[#This Row],[ID]]="","",SUBSTITUTE(IFERROR(LOOKUP(2,1/((Log[ID]=Items[[#This Row],[ID]])*(Log[State]&lt;&gt;"")),Log[State]),"TODO"),"OPEN",IF(Items[[#This Row],[Blocked]]="Y","WAIT","OPEN")))</f>
      </c>
      <c r="O66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62" s="17">
        <f>IF(Items[[#This Row],[State]]&lt;&gt;"WAIT","",AsOf-Items[[#This Row],[Blocked since]])</f>
      </c>
      <c r="Q662" s="17">
        <f>IF(Items[[#This Row],[State]]&lt;&gt;"WAIT","",IFERROR(LOOKUP(2,1/((Log[ID]=Items[[#This Row],[ID]])*(Log[Verb]="block")),Log[Note])&amp;"",""))</f>
      </c>
      <c r="R662" s="17">
        <f>IF(Items[[#This Row],[ID]]="","",COUNTIFS(Log[ID],Items[[#This Row],[ID]],Log[Verb],"carry"))</f>
      </c>
      <c r="S662" s="17">
        <f>IF(Items[[#This Row],[ID]]="","",COUNTIFS(Log[ID],Items[[#This Row],[ID]],Log[Verb],"punt"))</f>
      </c>
      <c r="T662" s="11">
        <f>IF(Items[[#This Row],[State]]&lt;&gt;"DONE","",IFERROR(LOOKUP(2,1/((Log[ID]=Items[[#This Row],[ID]])*(Log[Verb]="done")),Log[Date]),""))</f>
      </c>
      <c r="U662" s="17">
        <f>IF(Items[[#This Row],[ID]]="","",IF(AND(Items[[#This Row],[Sprint]]=CurSprint,OR(Items[[#This Row],[State]]="OPEN",Items[[#This Row],[State]]="WAIT",Items[[#This Row],[State]]="HOLD",Items[[#This Row],[State]]="DONE")),1,0))</f>
      </c>
      <c r="V662" s="17">
        <f>IF(OR(Items[[#This Row],[ID]]="",Items[[#This Row],[Added]]=""),"",AsOf-Items[[#This Row],[Added]])</f>
      </c>
      <c r="W662" s="17">
        <f>IF(Items[[#This Row],[In sprint]]=1,(IF(Items[[#This Row],[Prio]]="",9,N(Items[[#This Row],[Prio]]))*10+(IF(Items[[#This Row],[State]]="DONE",1,0)))*100000+ROW(),"")</f>
      </c>
      <c r="X66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62" s="17">
        <f>IF(AND(Items[[#This Row],[State]]="DONE",N(Items[[#This Row],[Done on]])&gt;AsOf-7),(200000-N(Items[[#This Row],[Done on]]))*100000+ROW(),"")</f>
      </c>
    </row>
    <row r="663">
      <c r="A663" t="s">
        <v>819</v>
      </c>
      <c r="B663" t="s">
        <v>1884</v>
      </c>
      <c r="C663" t="s">
        <v>1107</v>
      </c>
      <c r="D663" t="s">
        <v>1108</v>
      </c>
      <c r="E663" t="s">
        <v>1112</v>
      </c>
      <c r="F663" t="s">
        <v>1117</v>
      </c>
      <c r="G663">
        <v>2</v>
      </c>
      <c r="H663">
        <v>1</v>
      </c>
      <c r="I663" s="11">
        <v>46217</v>
      </c>
      <c r="J663" s="17">
        <f>IF(Items[[#This Row],[ID]]="","",IFERROR(VALUE(LOOKUP(2,1/((Log[ID]=Items[[#This Row],[ID]])*(Log[Verb]="est")),Log[Arg])),N(Items[[#This Row],[Points]])))</f>
      </c>
      <c r="K663" s="17">
        <f>IF(Items[[#This Row],[ID]]="","",IFERROR(LOOKUP(2,1/((Log[ID]=Items[[#This Row],[ID]])*(Log[Verb]="pass")),Log[Arg])&amp;"",Items[[#This Row],[Team]]&amp;""))</f>
      </c>
      <c r="L663" s="17">
        <f>IF(Items[[#This Row],[ID]]="","",IFERROR(LOOKUP(2,1/((Log[ID]=Items[[#This Row],[ID]])*(Log[Into]&lt;&gt;"")),Log[Into]),""))</f>
      </c>
      <c r="M663" s="17">
        <f>IF(Items[[#This Row],[ID]]="","",IF(IFERROR(LOOKUP(2,1/((Log[ID]=Items[[#This Row],[ID]])*(Log[Blk]&lt;&gt;"")),Log[Blk]),0)=1,"Y",""))</f>
      </c>
      <c r="N663" s="17">
        <f>IF(Items[[#This Row],[ID]]="","",SUBSTITUTE(IFERROR(LOOKUP(2,1/((Log[ID]=Items[[#This Row],[ID]])*(Log[State]&lt;&gt;"")),Log[State]),"TODO"),"OPEN",IF(Items[[#This Row],[Blocked]]="Y","WAIT","OPEN")))</f>
      </c>
      <c r="O66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63" s="17">
        <f>IF(Items[[#This Row],[State]]&lt;&gt;"WAIT","",AsOf-Items[[#This Row],[Blocked since]])</f>
      </c>
      <c r="Q663" s="17">
        <f>IF(Items[[#This Row],[State]]&lt;&gt;"WAIT","",IFERROR(LOOKUP(2,1/((Log[ID]=Items[[#This Row],[ID]])*(Log[Verb]="block")),Log[Note])&amp;"",""))</f>
      </c>
      <c r="R663" s="17">
        <f>IF(Items[[#This Row],[ID]]="","",COUNTIFS(Log[ID],Items[[#This Row],[ID]],Log[Verb],"carry"))</f>
      </c>
      <c r="S663" s="17">
        <f>IF(Items[[#This Row],[ID]]="","",COUNTIFS(Log[ID],Items[[#This Row],[ID]],Log[Verb],"punt"))</f>
      </c>
      <c r="T663" s="11">
        <f>IF(Items[[#This Row],[State]]&lt;&gt;"DONE","",IFERROR(LOOKUP(2,1/((Log[ID]=Items[[#This Row],[ID]])*(Log[Verb]="done")),Log[Date]),""))</f>
      </c>
      <c r="U663" s="17">
        <f>IF(Items[[#This Row],[ID]]="","",IF(AND(Items[[#This Row],[Sprint]]=CurSprint,OR(Items[[#This Row],[State]]="OPEN",Items[[#This Row],[State]]="WAIT",Items[[#This Row],[State]]="HOLD",Items[[#This Row],[State]]="DONE")),1,0))</f>
      </c>
      <c r="V663" s="17">
        <f>IF(OR(Items[[#This Row],[ID]]="",Items[[#This Row],[Added]]=""),"",AsOf-Items[[#This Row],[Added]])</f>
      </c>
      <c r="W663" s="17">
        <f>IF(Items[[#This Row],[In sprint]]=1,(IF(Items[[#This Row],[Prio]]="",9,N(Items[[#This Row],[Prio]]))*10+(IF(Items[[#This Row],[State]]="DONE",1,0)))*100000+ROW(),"")</f>
      </c>
      <c r="X66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63" s="17">
        <f>IF(AND(Items[[#This Row],[State]]="DONE",N(Items[[#This Row],[Done on]])&gt;AsOf-7),(200000-N(Items[[#This Row],[Done on]]))*100000+ROW(),"")</f>
      </c>
    </row>
    <row r="664">
      <c r="A664" t="s">
        <v>820</v>
      </c>
      <c r="B664" t="s">
        <v>1885</v>
      </c>
      <c r="C664" t="s">
        <v>1107</v>
      </c>
      <c r="D664" t="s">
        <v>1108</v>
      </c>
      <c r="E664" t="s">
        <v>1112</v>
      </c>
      <c r="F664" t="s">
        <v>1142</v>
      </c>
      <c r="G664">
        <v>5</v>
      </c>
      <c r="H664">
        <v>3</v>
      </c>
      <c r="I664" s="11">
        <v>46217</v>
      </c>
      <c r="J664" s="17">
        <f>IF(Items[[#This Row],[ID]]="","",IFERROR(VALUE(LOOKUP(2,1/((Log[ID]=Items[[#This Row],[ID]])*(Log[Verb]="est")),Log[Arg])),N(Items[[#This Row],[Points]])))</f>
      </c>
      <c r="K664" s="17">
        <f>IF(Items[[#This Row],[ID]]="","",IFERROR(LOOKUP(2,1/((Log[ID]=Items[[#This Row],[ID]])*(Log[Verb]="pass")),Log[Arg])&amp;"",Items[[#This Row],[Team]]&amp;""))</f>
      </c>
      <c r="L664" s="17">
        <f>IF(Items[[#This Row],[ID]]="","",IFERROR(LOOKUP(2,1/((Log[ID]=Items[[#This Row],[ID]])*(Log[Into]&lt;&gt;"")),Log[Into]),""))</f>
      </c>
      <c r="M664" s="17">
        <f>IF(Items[[#This Row],[ID]]="","",IF(IFERROR(LOOKUP(2,1/((Log[ID]=Items[[#This Row],[ID]])*(Log[Blk]&lt;&gt;"")),Log[Blk]),0)=1,"Y",""))</f>
      </c>
      <c r="N664" s="17">
        <f>IF(Items[[#This Row],[ID]]="","",SUBSTITUTE(IFERROR(LOOKUP(2,1/((Log[ID]=Items[[#This Row],[ID]])*(Log[State]&lt;&gt;"")),Log[State]),"TODO"),"OPEN",IF(Items[[#This Row],[Blocked]]="Y","WAIT","OPEN")))</f>
      </c>
      <c r="O66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64" s="17">
        <f>IF(Items[[#This Row],[State]]&lt;&gt;"WAIT","",AsOf-Items[[#This Row],[Blocked since]])</f>
      </c>
      <c r="Q664" s="17">
        <f>IF(Items[[#This Row],[State]]&lt;&gt;"WAIT","",IFERROR(LOOKUP(2,1/((Log[ID]=Items[[#This Row],[ID]])*(Log[Verb]="block")),Log[Note])&amp;"",""))</f>
      </c>
      <c r="R664" s="17">
        <f>IF(Items[[#This Row],[ID]]="","",COUNTIFS(Log[ID],Items[[#This Row],[ID]],Log[Verb],"carry"))</f>
      </c>
      <c r="S664" s="17">
        <f>IF(Items[[#This Row],[ID]]="","",COUNTIFS(Log[ID],Items[[#This Row],[ID]],Log[Verb],"punt"))</f>
      </c>
      <c r="T664" s="11">
        <f>IF(Items[[#This Row],[State]]&lt;&gt;"DONE","",IFERROR(LOOKUP(2,1/((Log[ID]=Items[[#This Row],[ID]])*(Log[Verb]="done")),Log[Date]),""))</f>
      </c>
      <c r="U664" s="17">
        <f>IF(Items[[#This Row],[ID]]="","",IF(AND(Items[[#This Row],[Sprint]]=CurSprint,OR(Items[[#This Row],[State]]="OPEN",Items[[#This Row],[State]]="WAIT",Items[[#This Row],[State]]="HOLD",Items[[#This Row],[State]]="DONE")),1,0))</f>
      </c>
      <c r="V664" s="17">
        <f>IF(OR(Items[[#This Row],[ID]]="",Items[[#This Row],[Added]]=""),"",AsOf-Items[[#This Row],[Added]])</f>
      </c>
      <c r="W664" s="17">
        <f>IF(Items[[#This Row],[In sprint]]=1,(IF(Items[[#This Row],[Prio]]="",9,N(Items[[#This Row],[Prio]]))*10+(IF(Items[[#This Row],[State]]="DONE",1,0)))*100000+ROW(),"")</f>
      </c>
      <c r="X66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64" s="17">
        <f>IF(AND(Items[[#This Row],[State]]="DONE",N(Items[[#This Row],[Done on]])&gt;AsOf-7),(200000-N(Items[[#This Row],[Done on]]))*100000+ROW(),"")</f>
      </c>
    </row>
    <row r="665">
      <c r="A665" t="s">
        <v>821</v>
      </c>
      <c r="B665" t="s">
        <v>1886</v>
      </c>
      <c r="C665" t="s">
        <v>1107</v>
      </c>
      <c r="D665" t="s">
        <v>1108</v>
      </c>
      <c r="E665" t="s">
        <v>1112</v>
      </c>
      <c r="F665" t="s">
        <v>1142</v>
      </c>
      <c r="G665">
        <v>2</v>
      </c>
      <c r="H665">
        <v>3</v>
      </c>
      <c r="I665" s="11">
        <v>46217</v>
      </c>
      <c r="J665" s="17">
        <f>IF(Items[[#This Row],[ID]]="","",IFERROR(VALUE(LOOKUP(2,1/((Log[ID]=Items[[#This Row],[ID]])*(Log[Verb]="est")),Log[Arg])),N(Items[[#This Row],[Points]])))</f>
      </c>
      <c r="K665" s="17">
        <f>IF(Items[[#This Row],[ID]]="","",IFERROR(LOOKUP(2,1/((Log[ID]=Items[[#This Row],[ID]])*(Log[Verb]="pass")),Log[Arg])&amp;"",Items[[#This Row],[Team]]&amp;""))</f>
      </c>
      <c r="L665" s="17">
        <f>IF(Items[[#This Row],[ID]]="","",IFERROR(LOOKUP(2,1/((Log[ID]=Items[[#This Row],[ID]])*(Log[Into]&lt;&gt;"")),Log[Into]),""))</f>
      </c>
      <c r="M665" s="17">
        <f>IF(Items[[#This Row],[ID]]="","",IF(IFERROR(LOOKUP(2,1/((Log[ID]=Items[[#This Row],[ID]])*(Log[Blk]&lt;&gt;"")),Log[Blk]),0)=1,"Y",""))</f>
      </c>
      <c r="N665" s="17">
        <f>IF(Items[[#This Row],[ID]]="","",SUBSTITUTE(IFERROR(LOOKUP(2,1/((Log[ID]=Items[[#This Row],[ID]])*(Log[State]&lt;&gt;"")),Log[State]),"TODO"),"OPEN",IF(Items[[#This Row],[Blocked]]="Y","WAIT","OPEN")))</f>
      </c>
      <c r="O66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65" s="17">
        <f>IF(Items[[#This Row],[State]]&lt;&gt;"WAIT","",AsOf-Items[[#This Row],[Blocked since]])</f>
      </c>
      <c r="Q665" s="17">
        <f>IF(Items[[#This Row],[State]]&lt;&gt;"WAIT","",IFERROR(LOOKUP(2,1/((Log[ID]=Items[[#This Row],[ID]])*(Log[Verb]="block")),Log[Note])&amp;"",""))</f>
      </c>
      <c r="R665" s="17">
        <f>IF(Items[[#This Row],[ID]]="","",COUNTIFS(Log[ID],Items[[#This Row],[ID]],Log[Verb],"carry"))</f>
      </c>
      <c r="S665" s="17">
        <f>IF(Items[[#This Row],[ID]]="","",COUNTIFS(Log[ID],Items[[#This Row],[ID]],Log[Verb],"punt"))</f>
      </c>
      <c r="T665" s="11">
        <f>IF(Items[[#This Row],[State]]&lt;&gt;"DONE","",IFERROR(LOOKUP(2,1/((Log[ID]=Items[[#This Row],[ID]])*(Log[Verb]="done")),Log[Date]),""))</f>
      </c>
      <c r="U665" s="17">
        <f>IF(Items[[#This Row],[ID]]="","",IF(AND(Items[[#This Row],[Sprint]]=CurSprint,OR(Items[[#This Row],[State]]="OPEN",Items[[#This Row],[State]]="WAIT",Items[[#This Row],[State]]="HOLD",Items[[#This Row],[State]]="DONE")),1,0))</f>
      </c>
      <c r="V665" s="17">
        <f>IF(OR(Items[[#This Row],[ID]]="",Items[[#This Row],[Added]]=""),"",AsOf-Items[[#This Row],[Added]])</f>
      </c>
      <c r="W665" s="17">
        <f>IF(Items[[#This Row],[In sprint]]=1,(IF(Items[[#This Row],[Prio]]="",9,N(Items[[#This Row],[Prio]]))*10+(IF(Items[[#This Row],[State]]="DONE",1,0)))*100000+ROW(),"")</f>
      </c>
      <c r="X66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65" s="17">
        <f>IF(AND(Items[[#This Row],[State]]="DONE",N(Items[[#This Row],[Done on]])&gt;AsOf-7),(200000-N(Items[[#This Row],[Done on]]))*100000+ROW(),"")</f>
      </c>
    </row>
    <row r="666">
      <c r="A666" t="s">
        <v>822</v>
      </c>
      <c r="B666" t="s">
        <v>1887</v>
      </c>
      <c r="C666" t="s">
        <v>1115</v>
      </c>
      <c r="D666" t="s">
        <v>1119</v>
      </c>
      <c r="E666" t="s">
        <v>1112</v>
      </c>
      <c r="F666" t="s">
        <v>1113</v>
      </c>
      <c r="G666">
        <v>5</v>
      </c>
      <c r="H666">
        <v>2</v>
      </c>
      <c r="I666" s="11">
        <v>46217</v>
      </c>
      <c r="J666" s="17">
        <f>IF(Items[[#This Row],[ID]]="","",IFERROR(VALUE(LOOKUP(2,1/((Log[ID]=Items[[#This Row],[ID]])*(Log[Verb]="est")),Log[Arg])),N(Items[[#This Row],[Points]])))</f>
      </c>
      <c r="K666" s="17">
        <f>IF(Items[[#This Row],[ID]]="","",IFERROR(LOOKUP(2,1/((Log[ID]=Items[[#This Row],[ID]])*(Log[Verb]="pass")),Log[Arg])&amp;"",Items[[#This Row],[Team]]&amp;""))</f>
      </c>
      <c r="L666" s="17">
        <f>IF(Items[[#This Row],[ID]]="","",IFERROR(LOOKUP(2,1/((Log[ID]=Items[[#This Row],[ID]])*(Log[Into]&lt;&gt;"")),Log[Into]),""))</f>
      </c>
      <c r="M666" s="17">
        <f>IF(Items[[#This Row],[ID]]="","",IF(IFERROR(LOOKUP(2,1/((Log[ID]=Items[[#This Row],[ID]])*(Log[Blk]&lt;&gt;"")),Log[Blk]),0)=1,"Y",""))</f>
      </c>
      <c r="N666" s="17">
        <f>IF(Items[[#This Row],[ID]]="","",SUBSTITUTE(IFERROR(LOOKUP(2,1/((Log[ID]=Items[[#This Row],[ID]])*(Log[State]&lt;&gt;"")),Log[State]),"TODO"),"OPEN",IF(Items[[#This Row],[Blocked]]="Y","WAIT","OPEN")))</f>
      </c>
      <c r="O66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66" s="17">
        <f>IF(Items[[#This Row],[State]]&lt;&gt;"WAIT","",AsOf-Items[[#This Row],[Blocked since]])</f>
      </c>
      <c r="Q666" s="17">
        <f>IF(Items[[#This Row],[State]]&lt;&gt;"WAIT","",IFERROR(LOOKUP(2,1/((Log[ID]=Items[[#This Row],[ID]])*(Log[Verb]="block")),Log[Note])&amp;"",""))</f>
      </c>
      <c r="R666" s="17">
        <f>IF(Items[[#This Row],[ID]]="","",COUNTIFS(Log[ID],Items[[#This Row],[ID]],Log[Verb],"carry"))</f>
      </c>
      <c r="S666" s="17">
        <f>IF(Items[[#This Row],[ID]]="","",COUNTIFS(Log[ID],Items[[#This Row],[ID]],Log[Verb],"punt"))</f>
      </c>
      <c r="T666" s="11">
        <f>IF(Items[[#This Row],[State]]&lt;&gt;"DONE","",IFERROR(LOOKUP(2,1/((Log[ID]=Items[[#This Row],[ID]])*(Log[Verb]="done")),Log[Date]),""))</f>
      </c>
      <c r="U666" s="17">
        <f>IF(Items[[#This Row],[ID]]="","",IF(AND(Items[[#This Row],[Sprint]]=CurSprint,OR(Items[[#This Row],[State]]="OPEN",Items[[#This Row],[State]]="WAIT",Items[[#This Row],[State]]="HOLD",Items[[#This Row],[State]]="DONE")),1,0))</f>
      </c>
      <c r="V666" s="17">
        <f>IF(OR(Items[[#This Row],[ID]]="",Items[[#This Row],[Added]]=""),"",AsOf-Items[[#This Row],[Added]])</f>
      </c>
      <c r="W666" s="17">
        <f>IF(Items[[#This Row],[In sprint]]=1,(IF(Items[[#This Row],[Prio]]="",9,N(Items[[#This Row],[Prio]]))*10+(IF(Items[[#This Row],[State]]="DONE",1,0)))*100000+ROW(),"")</f>
      </c>
      <c r="X66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66" s="17">
        <f>IF(AND(Items[[#This Row],[State]]="DONE",N(Items[[#This Row],[Done on]])&gt;AsOf-7),(200000-N(Items[[#This Row],[Done on]]))*100000+ROW(),"")</f>
      </c>
    </row>
    <row r="667">
      <c r="A667" t="s">
        <v>823</v>
      </c>
      <c r="B667" t="s">
        <v>1888</v>
      </c>
      <c r="C667" t="s">
        <v>1107</v>
      </c>
      <c r="D667" t="s">
        <v>1123</v>
      </c>
      <c r="E667" t="s">
        <v>1112</v>
      </c>
      <c r="F667" t="s">
        <v>1412</v>
      </c>
      <c r="G667">
        <v>8</v>
      </c>
      <c r="H667">
        <v>1</v>
      </c>
      <c r="I667" s="11">
        <v>46217</v>
      </c>
      <c r="J667" s="17">
        <f>IF(Items[[#This Row],[ID]]="","",IFERROR(VALUE(LOOKUP(2,1/((Log[ID]=Items[[#This Row],[ID]])*(Log[Verb]="est")),Log[Arg])),N(Items[[#This Row],[Points]])))</f>
      </c>
      <c r="K667" s="17">
        <f>IF(Items[[#This Row],[ID]]="","",IFERROR(LOOKUP(2,1/((Log[ID]=Items[[#This Row],[ID]])*(Log[Verb]="pass")),Log[Arg])&amp;"",Items[[#This Row],[Team]]&amp;""))</f>
      </c>
      <c r="L667" s="17">
        <f>IF(Items[[#This Row],[ID]]="","",IFERROR(LOOKUP(2,1/((Log[ID]=Items[[#This Row],[ID]])*(Log[Into]&lt;&gt;"")),Log[Into]),""))</f>
      </c>
      <c r="M667" s="17">
        <f>IF(Items[[#This Row],[ID]]="","",IF(IFERROR(LOOKUP(2,1/((Log[ID]=Items[[#This Row],[ID]])*(Log[Blk]&lt;&gt;"")),Log[Blk]),0)=1,"Y",""))</f>
      </c>
      <c r="N667" s="17">
        <f>IF(Items[[#This Row],[ID]]="","",SUBSTITUTE(IFERROR(LOOKUP(2,1/((Log[ID]=Items[[#This Row],[ID]])*(Log[State]&lt;&gt;"")),Log[State]),"TODO"),"OPEN",IF(Items[[#This Row],[Blocked]]="Y","WAIT","OPEN")))</f>
      </c>
      <c r="O66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67" s="17">
        <f>IF(Items[[#This Row],[State]]&lt;&gt;"WAIT","",AsOf-Items[[#This Row],[Blocked since]])</f>
      </c>
      <c r="Q667" s="17">
        <f>IF(Items[[#This Row],[State]]&lt;&gt;"WAIT","",IFERROR(LOOKUP(2,1/((Log[ID]=Items[[#This Row],[ID]])*(Log[Verb]="block")),Log[Note])&amp;"",""))</f>
      </c>
      <c r="R667" s="17">
        <f>IF(Items[[#This Row],[ID]]="","",COUNTIFS(Log[ID],Items[[#This Row],[ID]],Log[Verb],"carry"))</f>
      </c>
      <c r="S667" s="17">
        <f>IF(Items[[#This Row],[ID]]="","",COUNTIFS(Log[ID],Items[[#This Row],[ID]],Log[Verb],"punt"))</f>
      </c>
      <c r="T667" s="11">
        <f>IF(Items[[#This Row],[State]]&lt;&gt;"DONE","",IFERROR(LOOKUP(2,1/((Log[ID]=Items[[#This Row],[ID]])*(Log[Verb]="done")),Log[Date]),""))</f>
      </c>
      <c r="U667" s="17">
        <f>IF(Items[[#This Row],[ID]]="","",IF(AND(Items[[#This Row],[Sprint]]=CurSprint,OR(Items[[#This Row],[State]]="OPEN",Items[[#This Row],[State]]="WAIT",Items[[#This Row],[State]]="HOLD",Items[[#This Row],[State]]="DONE")),1,0))</f>
      </c>
      <c r="V667" s="17">
        <f>IF(OR(Items[[#This Row],[ID]]="",Items[[#This Row],[Added]]=""),"",AsOf-Items[[#This Row],[Added]])</f>
      </c>
      <c r="W667" s="17">
        <f>IF(Items[[#This Row],[In sprint]]=1,(IF(Items[[#This Row],[Prio]]="",9,N(Items[[#This Row],[Prio]]))*10+(IF(Items[[#This Row],[State]]="DONE",1,0)))*100000+ROW(),"")</f>
      </c>
      <c r="X66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67" s="17">
        <f>IF(AND(Items[[#This Row],[State]]="DONE",N(Items[[#This Row],[Done on]])&gt;AsOf-7),(200000-N(Items[[#This Row],[Done on]]))*100000+ROW(),"")</f>
      </c>
    </row>
    <row r="668">
      <c r="A668" t="s">
        <v>832</v>
      </c>
      <c r="B668" t="s">
        <v>1889</v>
      </c>
      <c r="C668" t="s">
        <v>1115</v>
      </c>
      <c r="D668" t="s">
        <v>1119</v>
      </c>
      <c r="E668" t="s">
        <v>1120</v>
      </c>
      <c r="F668" t="s">
        <v>1121</v>
      </c>
      <c r="G668">
        <v>3</v>
      </c>
      <c r="H668">
        <v>1</v>
      </c>
      <c r="I668" s="11">
        <v>46217</v>
      </c>
      <c r="J668" s="17">
        <f>IF(Items[[#This Row],[ID]]="","",IFERROR(VALUE(LOOKUP(2,1/((Log[ID]=Items[[#This Row],[ID]])*(Log[Verb]="est")),Log[Arg])),N(Items[[#This Row],[Points]])))</f>
      </c>
      <c r="K668" s="17">
        <f>IF(Items[[#This Row],[ID]]="","",IFERROR(LOOKUP(2,1/((Log[ID]=Items[[#This Row],[ID]])*(Log[Verb]="pass")),Log[Arg])&amp;"",Items[[#This Row],[Team]]&amp;""))</f>
      </c>
      <c r="L668" s="17">
        <f>IF(Items[[#This Row],[ID]]="","",IFERROR(LOOKUP(2,1/((Log[ID]=Items[[#This Row],[ID]])*(Log[Into]&lt;&gt;"")),Log[Into]),""))</f>
      </c>
      <c r="M668" s="17">
        <f>IF(Items[[#This Row],[ID]]="","",IF(IFERROR(LOOKUP(2,1/((Log[ID]=Items[[#This Row],[ID]])*(Log[Blk]&lt;&gt;"")),Log[Blk]),0)=1,"Y",""))</f>
      </c>
      <c r="N668" s="17">
        <f>IF(Items[[#This Row],[ID]]="","",SUBSTITUTE(IFERROR(LOOKUP(2,1/((Log[ID]=Items[[#This Row],[ID]])*(Log[State]&lt;&gt;"")),Log[State]),"TODO"),"OPEN",IF(Items[[#This Row],[Blocked]]="Y","WAIT","OPEN")))</f>
      </c>
      <c r="O66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68" s="17">
        <f>IF(Items[[#This Row],[State]]&lt;&gt;"WAIT","",AsOf-Items[[#This Row],[Blocked since]])</f>
      </c>
      <c r="Q668" s="17">
        <f>IF(Items[[#This Row],[State]]&lt;&gt;"WAIT","",IFERROR(LOOKUP(2,1/((Log[ID]=Items[[#This Row],[ID]])*(Log[Verb]="block")),Log[Note])&amp;"",""))</f>
      </c>
      <c r="R668" s="17">
        <f>IF(Items[[#This Row],[ID]]="","",COUNTIFS(Log[ID],Items[[#This Row],[ID]],Log[Verb],"carry"))</f>
      </c>
      <c r="S668" s="17">
        <f>IF(Items[[#This Row],[ID]]="","",COUNTIFS(Log[ID],Items[[#This Row],[ID]],Log[Verb],"punt"))</f>
      </c>
      <c r="T668" s="11">
        <f>IF(Items[[#This Row],[State]]&lt;&gt;"DONE","",IFERROR(LOOKUP(2,1/((Log[ID]=Items[[#This Row],[ID]])*(Log[Verb]="done")),Log[Date]),""))</f>
      </c>
      <c r="U668" s="17">
        <f>IF(Items[[#This Row],[ID]]="","",IF(AND(Items[[#This Row],[Sprint]]=CurSprint,OR(Items[[#This Row],[State]]="OPEN",Items[[#This Row],[State]]="WAIT",Items[[#This Row],[State]]="HOLD",Items[[#This Row],[State]]="DONE")),1,0))</f>
      </c>
      <c r="V668" s="17">
        <f>IF(OR(Items[[#This Row],[ID]]="",Items[[#This Row],[Added]]=""),"",AsOf-Items[[#This Row],[Added]])</f>
      </c>
      <c r="W668" s="17">
        <f>IF(Items[[#This Row],[In sprint]]=1,(IF(Items[[#This Row],[Prio]]="",9,N(Items[[#This Row],[Prio]]))*10+(IF(Items[[#This Row],[State]]="DONE",1,0)))*100000+ROW(),"")</f>
      </c>
      <c r="X66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68" s="17">
        <f>IF(AND(Items[[#This Row],[State]]="DONE",N(Items[[#This Row],[Done on]])&gt;AsOf-7),(200000-N(Items[[#This Row],[Done on]]))*100000+ROW(),"")</f>
      </c>
    </row>
    <row r="669">
      <c r="A669" t="s">
        <v>833</v>
      </c>
      <c r="B669" t="s">
        <v>1890</v>
      </c>
      <c r="C669" t="s">
        <v>1115</v>
      </c>
      <c r="D669" t="s">
        <v>1119</v>
      </c>
      <c r="E669" t="s">
        <v>1120</v>
      </c>
      <c r="F669" t="s">
        <v>1151</v>
      </c>
      <c r="G669">
        <v>3</v>
      </c>
      <c r="H669">
        <v>1</v>
      </c>
      <c r="I669" s="11">
        <v>46217</v>
      </c>
      <c r="J669" s="17">
        <f>IF(Items[[#This Row],[ID]]="","",IFERROR(VALUE(LOOKUP(2,1/((Log[ID]=Items[[#This Row],[ID]])*(Log[Verb]="est")),Log[Arg])),N(Items[[#This Row],[Points]])))</f>
      </c>
      <c r="K669" s="17">
        <f>IF(Items[[#This Row],[ID]]="","",IFERROR(LOOKUP(2,1/((Log[ID]=Items[[#This Row],[ID]])*(Log[Verb]="pass")),Log[Arg])&amp;"",Items[[#This Row],[Team]]&amp;""))</f>
      </c>
      <c r="L669" s="17">
        <f>IF(Items[[#This Row],[ID]]="","",IFERROR(LOOKUP(2,1/((Log[ID]=Items[[#This Row],[ID]])*(Log[Into]&lt;&gt;"")),Log[Into]),""))</f>
      </c>
      <c r="M669" s="17">
        <f>IF(Items[[#This Row],[ID]]="","",IF(IFERROR(LOOKUP(2,1/((Log[ID]=Items[[#This Row],[ID]])*(Log[Blk]&lt;&gt;"")),Log[Blk]),0)=1,"Y",""))</f>
      </c>
      <c r="N669" s="17">
        <f>IF(Items[[#This Row],[ID]]="","",SUBSTITUTE(IFERROR(LOOKUP(2,1/((Log[ID]=Items[[#This Row],[ID]])*(Log[State]&lt;&gt;"")),Log[State]),"TODO"),"OPEN",IF(Items[[#This Row],[Blocked]]="Y","WAIT","OPEN")))</f>
      </c>
      <c r="O66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69" s="17">
        <f>IF(Items[[#This Row],[State]]&lt;&gt;"WAIT","",AsOf-Items[[#This Row],[Blocked since]])</f>
      </c>
      <c r="Q669" s="17">
        <f>IF(Items[[#This Row],[State]]&lt;&gt;"WAIT","",IFERROR(LOOKUP(2,1/((Log[ID]=Items[[#This Row],[ID]])*(Log[Verb]="block")),Log[Note])&amp;"",""))</f>
      </c>
      <c r="R669" s="17">
        <f>IF(Items[[#This Row],[ID]]="","",COUNTIFS(Log[ID],Items[[#This Row],[ID]],Log[Verb],"carry"))</f>
      </c>
      <c r="S669" s="17">
        <f>IF(Items[[#This Row],[ID]]="","",COUNTIFS(Log[ID],Items[[#This Row],[ID]],Log[Verb],"punt"))</f>
      </c>
      <c r="T669" s="11">
        <f>IF(Items[[#This Row],[State]]&lt;&gt;"DONE","",IFERROR(LOOKUP(2,1/((Log[ID]=Items[[#This Row],[ID]])*(Log[Verb]="done")),Log[Date]),""))</f>
      </c>
      <c r="U669" s="17">
        <f>IF(Items[[#This Row],[ID]]="","",IF(AND(Items[[#This Row],[Sprint]]=CurSprint,OR(Items[[#This Row],[State]]="OPEN",Items[[#This Row],[State]]="WAIT",Items[[#This Row],[State]]="HOLD",Items[[#This Row],[State]]="DONE")),1,0))</f>
      </c>
      <c r="V669" s="17">
        <f>IF(OR(Items[[#This Row],[ID]]="",Items[[#This Row],[Added]]=""),"",AsOf-Items[[#This Row],[Added]])</f>
      </c>
      <c r="W669" s="17">
        <f>IF(Items[[#This Row],[In sprint]]=1,(IF(Items[[#This Row],[Prio]]="",9,N(Items[[#This Row],[Prio]]))*10+(IF(Items[[#This Row],[State]]="DONE",1,0)))*100000+ROW(),"")</f>
      </c>
      <c r="X66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69" s="17">
        <f>IF(AND(Items[[#This Row],[State]]="DONE",N(Items[[#This Row],[Done on]])&gt;AsOf-7),(200000-N(Items[[#This Row],[Done on]]))*100000+ROW(),"")</f>
      </c>
    </row>
    <row r="670">
      <c r="A670" t="s">
        <v>834</v>
      </c>
      <c r="B670" t="s">
        <v>1891</v>
      </c>
      <c r="C670" t="s">
        <v>1107</v>
      </c>
      <c r="D670" t="s">
        <v>1108</v>
      </c>
      <c r="E670" t="s">
        <v>1120</v>
      </c>
      <c r="F670" t="s">
        <v>1153</v>
      </c>
      <c r="G670">
        <v>5</v>
      </c>
      <c r="H670">
        <v>1</v>
      </c>
      <c r="I670" s="11">
        <v>46217</v>
      </c>
      <c r="J670" s="17">
        <f>IF(Items[[#This Row],[ID]]="","",IFERROR(VALUE(LOOKUP(2,1/((Log[ID]=Items[[#This Row],[ID]])*(Log[Verb]="est")),Log[Arg])),N(Items[[#This Row],[Points]])))</f>
      </c>
      <c r="K670" s="17">
        <f>IF(Items[[#This Row],[ID]]="","",IFERROR(LOOKUP(2,1/((Log[ID]=Items[[#This Row],[ID]])*(Log[Verb]="pass")),Log[Arg])&amp;"",Items[[#This Row],[Team]]&amp;""))</f>
      </c>
      <c r="L670" s="17">
        <f>IF(Items[[#This Row],[ID]]="","",IFERROR(LOOKUP(2,1/((Log[ID]=Items[[#This Row],[ID]])*(Log[Into]&lt;&gt;"")),Log[Into]),""))</f>
      </c>
      <c r="M670" s="17">
        <f>IF(Items[[#This Row],[ID]]="","",IF(IFERROR(LOOKUP(2,1/((Log[ID]=Items[[#This Row],[ID]])*(Log[Blk]&lt;&gt;"")),Log[Blk]),0)=1,"Y",""))</f>
      </c>
      <c r="N670" s="17">
        <f>IF(Items[[#This Row],[ID]]="","",SUBSTITUTE(IFERROR(LOOKUP(2,1/((Log[ID]=Items[[#This Row],[ID]])*(Log[State]&lt;&gt;"")),Log[State]),"TODO"),"OPEN",IF(Items[[#This Row],[Blocked]]="Y","WAIT","OPEN")))</f>
      </c>
      <c r="O67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70" s="17">
        <f>IF(Items[[#This Row],[State]]&lt;&gt;"WAIT","",AsOf-Items[[#This Row],[Blocked since]])</f>
      </c>
      <c r="Q670" s="17">
        <f>IF(Items[[#This Row],[State]]&lt;&gt;"WAIT","",IFERROR(LOOKUP(2,1/((Log[ID]=Items[[#This Row],[ID]])*(Log[Verb]="block")),Log[Note])&amp;"",""))</f>
      </c>
      <c r="R670" s="17">
        <f>IF(Items[[#This Row],[ID]]="","",COUNTIFS(Log[ID],Items[[#This Row],[ID]],Log[Verb],"carry"))</f>
      </c>
      <c r="S670" s="17">
        <f>IF(Items[[#This Row],[ID]]="","",COUNTIFS(Log[ID],Items[[#This Row],[ID]],Log[Verb],"punt"))</f>
      </c>
      <c r="T670" s="11">
        <f>IF(Items[[#This Row],[State]]&lt;&gt;"DONE","",IFERROR(LOOKUP(2,1/((Log[ID]=Items[[#This Row],[ID]])*(Log[Verb]="done")),Log[Date]),""))</f>
      </c>
      <c r="U670" s="17">
        <f>IF(Items[[#This Row],[ID]]="","",IF(AND(Items[[#This Row],[Sprint]]=CurSprint,OR(Items[[#This Row],[State]]="OPEN",Items[[#This Row],[State]]="WAIT",Items[[#This Row],[State]]="HOLD",Items[[#This Row],[State]]="DONE")),1,0))</f>
      </c>
      <c r="V670" s="17">
        <f>IF(OR(Items[[#This Row],[ID]]="",Items[[#This Row],[Added]]=""),"",AsOf-Items[[#This Row],[Added]])</f>
      </c>
      <c r="W670" s="17">
        <f>IF(Items[[#This Row],[In sprint]]=1,(IF(Items[[#This Row],[Prio]]="",9,N(Items[[#This Row],[Prio]]))*10+(IF(Items[[#This Row],[State]]="DONE",1,0)))*100000+ROW(),"")</f>
      </c>
      <c r="X67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70" s="17">
        <f>IF(AND(Items[[#This Row],[State]]="DONE",N(Items[[#This Row],[Done on]])&gt;AsOf-7),(200000-N(Items[[#This Row],[Done on]]))*100000+ROW(),"")</f>
      </c>
    </row>
    <row r="671">
      <c r="A671" t="s">
        <v>897</v>
      </c>
      <c r="B671" t="s">
        <v>1892</v>
      </c>
      <c r="C671" t="s">
        <v>1115</v>
      </c>
      <c r="D671" t="s">
        <v>1116</v>
      </c>
      <c r="E671" t="s">
        <v>1120</v>
      </c>
      <c r="F671" t="s">
        <v>1191</v>
      </c>
      <c r="G671">
        <v>8</v>
      </c>
      <c r="H671">
        <v>1</v>
      </c>
      <c r="I671" s="11">
        <v>46217</v>
      </c>
      <c r="J671" s="17">
        <f>IF(Items[[#This Row],[ID]]="","",IFERROR(VALUE(LOOKUP(2,1/((Log[ID]=Items[[#This Row],[ID]])*(Log[Verb]="est")),Log[Arg])),N(Items[[#This Row],[Points]])))</f>
      </c>
      <c r="K671" s="17">
        <f>IF(Items[[#This Row],[ID]]="","",IFERROR(LOOKUP(2,1/((Log[ID]=Items[[#This Row],[ID]])*(Log[Verb]="pass")),Log[Arg])&amp;"",Items[[#This Row],[Team]]&amp;""))</f>
      </c>
      <c r="L671" s="17">
        <f>IF(Items[[#This Row],[ID]]="","",IFERROR(LOOKUP(2,1/((Log[ID]=Items[[#This Row],[ID]])*(Log[Into]&lt;&gt;"")),Log[Into]),""))</f>
      </c>
      <c r="M671" s="17">
        <f>IF(Items[[#This Row],[ID]]="","",IF(IFERROR(LOOKUP(2,1/((Log[ID]=Items[[#This Row],[ID]])*(Log[Blk]&lt;&gt;"")),Log[Blk]),0)=1,"Y",""))</f>
      </c>
      <c r="N671" s="17">
        <f>IF(Items[[#This Row],[ID]]="","",SUBSTITUTE(IFERROR(LOOKUP(2,1/((Log[ID]=Items[[#This Row],[ID]])*(Log[State]&lt;&gt;"")),Log[State]),"TODO"),"OPEN",IF(Items[[#This Row],[Blocked]]="Y","WAIT","OPEN")))</f>
      </c>
      <c r="O67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71" s="17">
        <f>IF(Items[[#This Row],[State]]&lt;&gt;"WAIT","",AsOf-Items[[#This Row],[Blocked since]])</f>
      </c>
      <c r="Q671" s="17">
        <f>IF(Items[[#This Row],[State]]&lt;&gt;"WAIT","",IFERROR(LOOKUP(2,1/((Log[ID]=Items[[#This Row],[ID]])*(Log[Verb]="block")),Log[Note])&amp;"",""))</f>
      </c>
      <c r="R671" s="17">
        <f>IF(Items[[#This Row],[ID]]="","",COUNTIFS(Log[ID],Items[[#This Row],[ID]],Log[Verb],"carry"))</f>
      </c>
      <c r="S671" s="17">
        <f>IF(Items[[#This Row],[ID]]="","",COUNTIFS(Log[ID],Items[[#This Row],[ID]],Log[Verb],"punt"))</f>
      </c>
      <c r="T671" s="11">
        <f>IF(Items[[#This Row],[State]]&lt;&gt;"DONE","",IFERROR(LOOKUP(2,1/((Log[ID]=Items[[#This Row],[ID]])*(Log[Verb]="done")),Log[Date]),""))</f>
      </c>
      <c r="U671" s="17">
        <f>IF(Items[[#This Row],[ID]]="","",IF(AND(Items[[#This Row],[Sprint]]=CurSprint,OR(Items[[#This Row],[State]]="OPEN",Items[[#This Row],[State]]="WAIT",Items[[#This Row],[State]]="HOLD",Items[[#This Row],[State]]="DONE")),1,0))</f>
      </c>
      <c r="V671" s="17">
        <f>IF(OR(Items[[#This Row],[ID]]="",Items[[#This Row],[Added]]=""),"",AsOf-Items[[#This Row],[Added]])</f>
      </c>
      <c r="W671" s="17">
        <f>IF(Items[[#This Row],[In sprint]]=1,(IF(Items[[#This Row],[Prio]]="",9,N(Items[[#This Row],[Prio]]))*10+(IF(Items[[#This Row],[State]]="DONE",1,0)))*100000+ROW(),"")</f>
      </c>
      <c r="X67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71" s="17">
        <f>IF(AND(Items[[#This Row],[State]]="DONE",N(Items[[#This Row],[Done on]])&gt;AsOf-7),(200000-N(Items[[#This Row],[Done on]]))*100000+ROW(),"")</f>
      </c>
    </row>
    <row r="672">
      <c r="A672" t="s">
        <v>836</v>
      </c>
      <c r="B672" t="s">
        <v>1893</v>
      </c>
      <c r="C672" t="s">
        <v>1115</v>
      </c>
      <c r="D672" t="s">
        <v>1116</v>
      </c>
      <c r="E672" t="s">
        <v>1124</v>
      </c>
      <c r="F672" t="s">
        <v>1157</v>
      </c>
      <c r="G672">
        <v>8</v>
      </c>
      <c r="H672">
        <v>1</v>
      </c>
      <c r="I672" s="11">
        <v>46217</v>
      </c>
      <c r="J672" s="17">
        <f>IF(Items[[#This Row],[ID]]="","",IFERROR(VALUE(LOOKUP(2,1/((Log[ID]=Items[[#This Row],[ID]])*(Log[Verb]="est")),Log[Arg])),N(Items[[#This Row],[Points]])))</f>
      </c>
      <c r="K672" s="17">
        <f>IF(Items[[#This Row],[ID]]="","",IFERROR(LOOKUP(2,1/((Log[ID]=Items[[#This Row],[ID]])*(Log[Verb]="pass")),Log[Arg])&amp;"",Items[[#This Row],[Team]]&amp;""))</f>
      </c>
      <c r="L672" s="17">
        <f>IF(Items[[#This Row],[ID]]="","",IFERROR(LOOKUP(2,1/((Log[ID]=Items[[#This Row],[ID]])*(Log[Into]&lt;&gt;"")),Log[Into]),""))</f>
      </c>
      <c r="M672" s="17">
        <f>IF(Items[[#This Row],[ID]]="","",IF(IFERROR(LOOKUP(2,1/((Log[ID]=Items[[#This Row],[ID]])*(Log[Blk]&lt;&gt;"")),Log[Blk]),0)=1,"Y",""))</f>
      </c>
      <c r="N672" s="17">
        <f>IF(Items[[#This Row],[ID]]="","",SUBSTITUTE(IFERROR(LOOKUP(2,1/((Log[ID]=Items[[#This Row],[ID]])*(Log[State]&lt;&gt;"")),Log[State]),"TODO"),"OPEN",IF(Items[[#This Row],[Blocked]]="Y","WAIT","OPEN")))</f>
      </c>
      <c r="O67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72" s="17">
        <f>IF(Items[[#This Row],[State]]&lt;&gt;"WAIT","",AsOf-Items[[#This Row],[Blocked since]])</f>
      </c>
      <c r="Q672" s="17">
        <f>IF(Items[[#This Row],[State]]&lt;&gt;"WAIT","",IFERROR(LOOKUP(2,1/((Log[ID]=Items[[#This Row],[ID]])*(Log[Verb]="block")),Log[Note])&amp;"",""))</f>
      </c>
      <c r="R672" s="17">
        <f>IF(Items[[#This Row],[ID]]="","",COUNTIFS(Log[ID],Items[[#This Row],[ID]],Log[Verb],"carry"))</f>
      </c>
      <c r="S672" s="17">
        <f>IF(Items[[#This Row],[ID]]="","",COUNTIFS(Log[ID],Items[[#This Row],[ID]],Log[Verb],"punt"))</f>
      </c>
      <c r="T672" s="11">
        <f>IF(Items[[#This Row],[State]]&lt;&gt;"DONE","",IFERROR(LOOKUP(2,1/((Log[ID]=Items[[#This Row],[ID]])*(Log[Verb]="done")),Log[Date]),""))</f>
      </c>
      <c r="U672" s="17">
        <f>IF(Items[[#This Row],[ID]]="","",IF(AND(Items[[#This Row],[Sprint]]=CurSprint,OR(Items[[#This Row],[State]]="OPEN",Items[[#This Row],[State]]="WAIT",Items[[#This Row],[State]]="HOLD",Items[[#This Row],[State]]="DONE")),1,0))</f>
      </c>
      <c r="V672" s="17">
        <f>IF(OR(Items[[#This Row],[ID]]="",Items[[#This Row],[Added]]=""),"",AsOf-Items[[#This Row],[Added]])</f>
      </c>
      <c r="W672" s="17">
        <f>IF(Items[[#This Row],[In sprint]]=1,(IF(Items[[#This Row],[Prio]]="",9,N(Items[[#This Row],[Prio]]))*10+(IF(Items[[#This Row],[State]]="DONE",1,0)))*100000+ROW(),"")</f>
      </c>
      <c r="X67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72" s="17">
        <f>IF(AND(Items[[#This Row],[State]]="DONE",N(Items[[#This Row],[Done on]])&gt;AsOf-7),(200000-N(Items[[#This Row],[Done on]]))*100000+ROW(),"")</f>
      </c>
    </row>
    <row r="673">
      <c r="A673" t="s">
        <v>774</v>
      </c>
      <c r="B673" t="s">
        <v>1894</v>
      </c>
      <c r="C673" t="s">
        <v>1115</v>
      </c>
      <c r="D673" t="s">
        <v>1116</v>
      </c>
      <c r="E673" t="s">
        <v>1124</v>
      </c>
      <c r="F673" t="s">
        <v>1344</v>
      </c>
      <c r="G673">
        <v>2</v>
      </c>
      <c r="H673">
        <v>3</v>
      </c>
      <c r="I673" s="11">
        <v>46217</v>
      </c>
      <c r="J673" s="17">
        <f>IF(Items[[#This Row],[ID]]="","",IFERROR(VALUE(LOOKUP(2,1/((Log[ID]=Items[[#This Row],[ID]])*(Log[Verb]="est")),Log[Arg])),N(Items[[#This Row],[Points]])))</f>
      </c>
      <c r="K673" s="17">
        <f>IF(Items[[#This Row],[ID]]="","",IFERROR(LOOKUP(2,1/((Log[ID]=Items[[#This Row],[ID]])*(Log[Verb]="pass")),Log[Arg])&amp;"",Items[[#This Row],[Team]]&amp;""))</f>
      </c>
      <c r="L673" s="17">
        <f>IF(Items[[#This Row],[ID]]="","",IFERROR(LOOKUP(2,1/((Log[ID]=Items[[#This Row],[ID]])*(Log[Into]&lt;&gt;"")),Log[Into]),""))</f>
      </c>
      <c r="M673" s="17">
        <f>IF(Items[[#This Row],[ID]]="","",IF(IFERROR(LOOKUP(2,1/((Log[ID]=Items[[#This Row],[ID]])*(Log[Blk]&lt;&gt;"")),Log[Blk]),0)=1,"Y",""))</f>
      </c>
      <c r="N673" s="17">
        <f>IF(Items[[#This Row],[ID]]="","",SUBSTITUTE(IFERROR(LOOKUP(2,1/((Log[ID]=Items[[#This Row],[ID]])*(Log[State]&lt;&gt;"")),Log[State]),"TODO"),"OPEN",IF(Items[[#This Row],[Blocked]]="Y","WAIT","OPEN")))</f>
      </c>
      <c r="O67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73" s="17">
        <f>IF(Items[[#This Row],[State]]&lt;&gt;"WAIT","",AsOf-Items[[#This Row],[Blocked since]])</f>
      </c>
      <c r="Q673" s="17">
        <f>IF(Items[[#This Row],[State]]&lt;&gt;"WAIT","",IFERROR(LOOKUP(2,1/((Log[ID]=Items[[#This Row],[ID]])*(Log[Verb]="block")),Log[Note])&amp;"",""))</f>
      </c>
      <c r="R673" s="17">
        <f>IF(Items[[#This Row],[ID]]="","",COUNTIFS(Log[ID],Items[[#This Row],[ID]],Log[Verb],"carry"))</f>
      </c>
      <c r="S673" s="17">
        <f>IF(Items[[#This Row],[ID]]="","",COUNTIFS(Log[ID],Items[[#This Row],[ID]],Log[Verb],"punt"))</f>
      </c>
      <c r="T673" s="11">
        <f>IF(Items[[#This Row],[State]]&lt;&gt;"DONE","",IFERROR(LOOKUP(2,1/((Log[ID]=Items[[#This Row],[ID]])*(Log[Verb]="done")),Log[Date]),""))</f>
      </c>
      <c r="U673" s="17">
        <f>IF(Items[[#This Row],[ID]]="","",IF(AND(Items[[#This Row],[Sprint]]=CurSprint,OR(Items[[#This Row],[State]]="OPEN",Items[[#This Row],[State]]="WAIT",Items[[#This Row],[State]]="HOLD",Items[[#This Row],[State]]="DONE")),1,0))</f>
      </c>
      <c r="V673" s="17">
        <f>IF(OR(Items[[#This Row],[ID]]="",Items[[#This Row],[Added]]=""),"",AsOf-Items[[#This Row],[Added]])</f>
      </c>
      <c r="W673" s="17">
        <f>IF(Items[[#This Row],[In sprint]]=1,(IF(Items[[#This Row],[Prio]]="",9,N(Items[[#This Row],[Prio]]))*10+(IF(Items[[#This Row],[State]]="DONE",1,0)))*100000+ROW(),"")</f>
      </c>
      <c r="X67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73" s="17">
        <f>IF(AND(Items[[#This Row],[State]]="DONE",N(Items[[#This Row],[Done on]])&gt;AsOf-7),(200000-N(Items[[#This Row],[Done on]]))*100000+ROW(),"")</f>
      </c>
    </row>
    <row r="674">
      <c r="A674" t="s">
        <v>837</v>
      </c>
      <c r="B674" t="s">
        <v>1895</v>
      </c>
      <c r="C674" t="s">
        <v>1115</v>
      </c>
      <c r="D674" t="s">
        <v>1116</v>
      </c>
      <c r="E674" t="s">
        <v>1124</v>
      </c>
      <c r="F674" t="s">
        <v>1666</v>
      </c>
      <c r="G674">
        <v>3</v>
      </c>
      <c r="H674">
        <v>3</v>
      </c>
      <c r="I674" s="11">
        <v>46217</v>
      </c>
      <c r="J674" s="17">
        <f>IF(Items[[#This Row],[ID]]="","",IFERROR(VALUE(LOOKUP(2,1/((Log[ID]=Items[[#This Row],[ID]])*(Log[Verb]="est")),Log[Arg])),N(Items[[#This Row],[Points]])))</f>
      </c>
      <c r="K674" s="17">
        <f>IF(Items[[#This Row],[ID]]="","",IFERROR(LOOKUP(2,1/((Log[ID]=Items[[#This Row],[ID]])*(Log[Verb]="pass")),Log[Arg])&amp;"",Items[[#This Row],[Team]]&amp;""))</f>
      </c>
      <c r="L674" s="17">
        <f>IF(Items[[#This Row],[ID]]="","",IFERROR(LOOKUP(2,1/((Log[ID]=Items[[#This Row],[ID]])*(Log[Into]&lt;&gt;"")),Log[Into]),""))</f>
      </c>
      <c r="M674" s="17">
        <f>IF(Items[[#This Row],[ID]]="","",IF(IFERROR(LOOKUP(2,1/((Log[ID]=Items[[#This Row],[ID]])*(Log[Blk]&lt;&gt;"")),Log[Blk]),0)=1,"Y",""))</f>
      </c>
      <c r="N674" s="17">
        <f>IF(Items[[#This Row],[ID]]="","",SUBSTITUTE(IFERROR(LOOKUP(2,1/((Log[ID]=Items[[#This Row],[ID]])*(Log[State]&lt;&gt;"")),Log[State]),"TODO"),"OPEN",IF(Items[[#This Row],[Blocked]]="Y","WAIT","OPEN")))</f>
      </c>
      <c r="O67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74" s="17">
        <f>IF(Items[[#This Row],[State]]&lt;&gt;"WAIT","",AsOf-Items[[#This Row],[Blocked since]])</f>
      </c>
      <c r="Q674" s="17">
        <f>IF(Items[[#This Row],[State]]&lt;&gt;"WAIT","",IFERROR(LOOKUP(2,1/((Log[ID]=Items[[#This Row],[ID]])*(Log[Verb]="block")),Log[Note])&amp;"",""))</f>
      </c>
      <c r="R674" s="17">
        <f>IF(Items[[#This Row],[ID]]="","",COUNTIFS(Log[ID],Items[[#This Row],[ID]],Log[Verb],"carry"))</f>
      </c>
      <c r="S674" s="17">
        <f>IF(Items[[#This Row],[ID]]="","",COUNTIFS(Log[ID],Items[[#This Row],[ID]],Log[Verb],"punt"))</f>
      </c>
      <c r="T674" s="11">
        <f>IF(Items[[#This Row],[State]]&lt;&gt;"DONE","",IFERROR(LOOKUP(2,1/((Log[ID]=Items[[#This Row],[ID]])*(Log[Verb]="done")),Log[Date]),""))</f>
      </c>
      <c r="U674" s="17">
        <f>IF(Items[[#This Row],[ID]]="","",IF(AND(Items[[#This Row],[Sprint]]=CurSprint,OR(Items[[#This Row],[State]]="OPEN",Items[[#This Row],[State]]="WAIT",Items[[#This Row],[State]]="HOLD",Items[[#This Row],[State]]="DONE")),1,0))</f>
      </c>
      <c r="V674" s="17">
        <f>IF(OR(Items[[#This Row],[ID]]="",Items[[#This Row],[Added]]=""),"",AsOf-Items[[#This Row],[Added]])</f>
      </c>
      <c r="W674" s="17">
        <f>IF(Items[[#This Row],[In sprint]]=1,(IF(Items[[#This Row],[Prio]]="",9,N(Items[[#This Row],[Prio]]))*10+(IF(Items[[#This Row],[State]]="DONE",1,0)))*100000+ROW(),"")</f>
      </c>
      <c r="X67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74" s="17">
        <f>IF(AND(Items[[#This Row],[State]]="DONE",N(Items[[#This Row],[Done on]])&gt;AsOf-7),(200000-N(Items[[#This Row],[Done on]]))*100000+ROW(),"")</f>
      </c>
    </row>
    <row r="675">
      <c r="A675" t="s">
        <v>838</v>
      </c>
      <c r="B675" t="s">
        <v>1896</v>
      </c>
      <c r="C675" t="s">
        <v>1115</v>
      </c>
      <c r="D675" t="s">
        <v>1116</v>
      </c>
      <c r="E675" t="s">
        <v>1124</v>
      </c>
      <c r="F675" t="s">
        <v>1198</v>
      </c>
      <c r="G675">
        <v>5</v>
      </c>
      <c r="H675">
        <v>3</v>
      </c>
      <c r="I675" s="11">
        <v>46217</v>
      </c>
      <c r="J675" s="17">
        <f>IF(Items[[#This Row],[ID]]="","",IFERROR(VALUE(LOOKUP(2,1/((Log[ID]=Items[[#This Row],[ID]])*(Log[Verb]="est")),Log[Arg])),N(Items[[#This Row],[Points]])))</f>
      </c>
      <c r="K675" s="17">
        <f>IF(Items[[#This Row],[ID]]="","",IFERROR(LOOKUP(2,1/((Log[ID]=Items[[#This Row],[ID]])*(Log[Verb]="pass")),Log[Arg])&amp;"",Items[[#This Row],[Team]]&amp;""))</f>
      </c>
      <c r="L675" s="17">
        <f>IF(Items[[#This Row],[ID]]="","",IFERROR(LOOKUP(2,1/((Log[ID]=Items[[#This Row],[ID]])*(Log[Into]&lt;&gt;"")),Log[Into]),""))</f>
      </c>
      <c r="M675" s="17">
        <f>IF(Items[[#This Row],[ID]]="","",IF(IFERROR(LOOKUP(2,1/((Log[ID]=Items[[#This Row],[ID]])*(Log[Blk]&lt;&gt;"")),Log[Blk]),0)=1,"Y",""))</f>
      </c>
      <c r="N675" s="17">
        <f>IF(Items[[#This Row],[ID]]="","",SUBSTITUTE(IFERROR(LOOKUP(2,1/((Log[ID]=Items[[#This Row],[ID]])*(Log[State]&lt;&gt;"")),Log[State]),"TODO"),"OPEN",IF(Items[[#This Row],[Blocked]]="Y","WAIT","OPEN")))</f>
      </c>
      <c r="O67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75" s="17">
        <f>IF(Items[[#This Row],[State]]&lt;&gt;"WAIT","",AsOf-Items[[#This Row],[Blocked since]])</f>
      </c>
      <c r="Q675" s="17">
        <f>IF(Items[[#This Row],[State]]&lt;&gt;"WAIT","",IFERROR(LOOKUP(2,1/((Log[ID]=Items[[#This Row],[ID]])*(Log[Verb]="block")),Log[Note])&amp;"",""))</f>
      </c>
      <c r="R675" s="17">
        <f>IF(Items[[#This Row],[ID]]="","",COUNTIFS(Log[ID],Items[[#This Row],[ID]],Log[Verb],"carry"))</f>
      </c>
      <c r="S675" s="17">
        <f>IF(Items[[#This Row],[ID]]="","",COUNTIFS(Log[ID],Items[[#This Row],[ID]],Log[Verb],"punt"))</f>
      </c>
      <c r="T675" s="11">
        <f>IF(Items[[#This Row],[State]]&lt;&gt;"DONE","",IFERROR(LOOKUP(2,1/((Log[ID]=Items[[#This Row],[ID]])*(Log[Verb]="done")),Log[Date]),""))</f>
      </c>
      <c r="U675" s="17">
        <f>IF(Items[[#This Row],[ID]]="","",IF(AND(Items[[#This Row],[Sprint]]=CurSprint,OR(Items[[#This Row],[State]]="OPEN",Items[[#This Row],[State]]="WAIT",Items[[#This Row],[State]]="HOLD",Items[[#This Row],[State]]="DONE")),1,0))</f>
      </c>
      <c r="V675" s="17">
        <f>IF(OR(Items[[#This Row],[ID]]="",Items[[#This Row],[Added]]=""),"",AsOf-Items[[#This Row],[Added]])</f>
      </c>
      <c r="W675" s="17">
        <f>IF(Items[[#This Row],[In sprint]]=1,(IF(Items[[#This Row],[Prio]]="",9,N(Items[[#This Row],[Prio]]))*10+(IF(Items[[#This Row],[State]]="DONE",1,0)))*100000+ROW(),"")</f>
      </c>
      <c r="X67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75" s="17">
        <f>IF(AND(Items[[#This Row],[State]]="DONE",N(Items[[#This Row],[Done on]])&gt;AsOf-7),(200000-N(Items[[#This Row],[Done on]]))*100000+ROW(),"")</f>
      </c>
    </row>
    <row r="676">
      <c r="A676" t="s">
        <v>839</v>
      </c>
      <c r="B676" t="s">
        <v>1897</v>
      </c>
      <c r="C676" t="s">
        <v>1107</v>
      </c>
      <c r="D676" t="s">
        <v>1123</v>
      </c>
      <c r="E676" t="s">
        <v>1124</v>
      </c>
      <c r="F676" t="s">
        <v>1666</v>
      </c>
      <c r="G676">
        <v>2</v>
      </c>
      <c r="H676">
        <v>1</v>
      </c>
      <c r="I676" s="11">
        <v>46217</v>
      </c>
      <c r="J676" s="17">
        <f>IF(Items[[#This Row],[ID]]="","",IFERROR(VALUE(LOOKUP(2,1/((Log[ID]=Items[[#This Row],[ID]])*(Log[Verb]="est")),Log[Arg])),N(Items[[#This Row],[Points]])))</f>
      </c>
      <c r="K676" s="17">
        <f>IF(Items[[#This Row],[ID]]="","",IFERROR(LOOKUP(2,1/((Log[ID]=Items[[#This Row],[ID]])*(Log[Verb]="pass")),Log[Arg])&amp;"",Items[[#This Row],[Team]]&amp;""))</f>
      </c>
      <c r="L676" s="17">
        <f>IF(Items[[#This Row],[ID]]="","",IFERROR(LOOKUP(2,1/((Log[ID]=Items[[#This Row],[ID]])*(Log[Into]&lt;&gt;"")),Log[Into]),""))</f>
      </c>
      <c r="M676" s="17">
        <f>IF(Items[[#This Row],[ID]]="","",IF(IFERROR(LOOKUP(2,1/((Log[ID]=Items[[#This Row],[ID]])*(Log[Blk]&lt;&gt;"")),Log[Blk]),0)=1,"Y",""))</f>
      </c>
      <c r="N676" s="17">
        <f>IF(Items[[#This Row],[ID]]="","",SUBSTITUTE(IFERROR(LOOKUP(2,1/((Log[ID]=Items[[#This Row],[ID]])*(Log[State]&lt;&gt;"")),Log[State]),"TODO"),"OPEN",IF(Items[[#This Row],[Blocked]]="Y","WAIT","OPEN")))</f>
      </c>
      <c r="O67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76" s="17">
        <f>IF(Items[[#This Row],[State]]&lt;&gt;"WAIT","",AsOf-Items[[#This Row],[Blocked since]])</f>
      </c>
      <c r="Q676" s="17">
        <f>IF(Items[[#This Row],[State]]&lt;&gt;"WAIT","",IFERROR(LOOKUP(2,1/((Log[ID]=Items[[#This Row],[ID]])*(Log[Verb]="block")),Log[Note])&amp;"",""))</f>
      </c>
      <c r="R676" s="17">
        <f>IF(Items[[#This Row],[ID]]="","",COUNTIFS(Log[ID],Items[[#This Row],[ID]],Log[Verb],"carry"))</f>
      </c>
      <c r="S676" s="17">
        <f>IF(Items[[#This Row],[ID]]="","",COUNTIFS(Log[ID],Items[[#This Row],[ID]],Log[Verb],"punt"))</f>
      </c>
      <c r="T676" s="11">
        <f>IF(Items[[#This Row],[State]]&lt;&gt;"DONE","",IFERROR(LOOKUP(2,1/((Log[ID]=Items[[#This Row],[ID]])*(Log[Verb]="done")),Log[Date]),""))</f>
      </c>
      <c r="U676" s="17">
        <f>IF(Items[[#This Row],[ID]]="","",IF(AND(Items[[#This Row],[Sprint]]=CurSprint,OR(Items[[#This Row],[State]]="OPEN",Items[[#This Row],[State]]="WAIT",Items[[#This Row],[State]]="HOLD",Items[[#This Row],[State]]="DONE")),1,0))</f>
      </c>
      <c r="V676" s="17">
        <f>IF(OR(Items[[#This Row],[ID]]="",Items[[#This Row],[Added]]=""),"",AsOf-Items[[#This Row],[Added]])</f>
      </c>
      <c r="W676" s="17">
        <f>IF(Items[[#This Row],[In sprint]]=1,(IF(Items[[#This Row],[Prio]]="",9,N(Items[[#This Row],[Prio]]))*10+(IF(Items[[#This Row],[State]]="DONE",1,0)))*100000+ROW(),"")</f>
      </c>
      <c r="X67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76" s="17">
        <f>IF(AND(Items[[#This Row],[State]]="DONE",N(Items[[#This Row],[Done on]])&gt;AsOf-7),(200000-N(Items[[#This Row],[Done on]]))*100000+ROW(),"")</f>
      </c>
    </row>
    <row r="677">
      <c r="A677" t="s">
        <v>840</v>
      </c>
      <c r="B677" t="s">
        <v>1898</v>
      </c>
      <c r="C677" t="s">
        <v>1107</v>
      </c>
      <c r="D677" t="s">
        <v>1127</v>
      </c>
      <c r="E677" t="s">
        <v>1124</v>
      </c>
      <c r="F677" t="s">
        <v>1666</v>
      </c>
      <c r="G677">
        <v>3</v>
      </c>
      <c r="H677">
        <v>1</v>
      </c>
      <c r="I677" s="11">
        <v>46217</v>
      </c>
      <c r="J677" s="17">
        <f>IF(Items[[#This Row],[ID]]="","",IFERROR(VALUE(LOOKUP(2,1/((Log[ID]=Items[[#This Row],[ID]])*(Log[Verb]="est")),Log[Arg])),N(Items[[#This Row],[Points]])))</f>
      </c>
      <c r="K677" s="17">
        <f>IF(Items[[#This Row],[ID]]="","",IFERROR(LOOKUP(2,1/((Log[ID]=Items[[#This Row],[ID]])*(Log[Verb]="pass")),Log[Arg])&amp;"",Items[[#This Row],[Team]]&amp;""))</f>
      </c>
      <c r="L677" s="17">
        <f>IF(Items[[#This Row],[ID]]="","",IFERROR(LOOKUP(2,1/((Log[ID]=Items[[#This Row],[ID]])*(Log[Into]&lt;&gt;"")),Log[Into]),""))</f>
      </c>
      <c r="M677" s="17">
        <f>IF(Items[[#This Row],[ID]]="","",IF(IFERROR(LOOKUP(2,1/((Log[ID]=Items[[#This Row],[ID]])*(Log[Blk]&lt;&gt;"")),Log[Blk]),0)=1,"Y",""))</f>
      </c>
      <c r="N677" s="17">
        <f>IF(Items[[#This Row],[ID]]="","",SUBSTITUTE(IFERROR(LOOKUP(2,1/((Log[ID]=Items[[#This Row],[ID]])*(Log[State]&lt;&gt;"")),Log[State]),"TODO"),"OPEN",IF(Items[[#This Row],[Blocked]]="Y","WAIT","OPEN")))</f>
      </c>
      <c r="O67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77" s="17">
        <f>IF(Items[[#This Row],[State]]&lt;&gt;"WAIT","",AsOf-Items[[#This Row],[Blocked since]])</f>
      </c>
      <c r="Q677" s="17">
        <f>IF(Items[[#This Row],[State]]&lt;&gt;"WAIT","",IFERROR(LOOKUP(2,1/((Log[ID]=Items[[#This Row],[ID]])*(Log[Verb]="block")),Log[Note])&amp;"",""))</f>
      </c>
      <c r="R677" s="17">
        <f>IF(Items[[#This Row],[ID]]="","",COUNTIFS(Log[ID],Items[[#This Row],[ID]],Log[Verb],"carry"))</f>
      </c>
      <c r="S677" s="17">
        <f>IF(Items[[#This Row],[ID]]="","",COUNTIFS(Log[ID],Items[[#This Row],[ID]],Log[Verb],"punt"))</f>
      </c>
      <c r="T677" s="11">
        <f>IF(Items[[#This Row],[State]]&lt;&gt;"DONE","",IFERROR(LOOKUP(2,1/((Log[ID]=Items[[#This Row],[ID]])*(Log[Verb]="done")),Log[Date]),""))</f>
      </c>
      <c r="U677" s="17">
        <f>IF(Items[[#This Row],[ID]]="","",IF(AND(Items[[#This Row],[Sprint]]=CurSprint,OR(Items[[#This Row],[State]]="OPEN",Items[[#This Row],[State]]="WAIT",Items[[#This Row],[State]]="HOLD",Items[[#This Row],[State]]="DONE")),1,0))</f>
      </c>
      <c r="V677" s="17">
        <f>IF(OR(Items[[#This Row],[ID]]="",Items[[#This Row],[Added]]=""),"",AsOf-Items[[#This Row],[Added]])</f>
      </c>
      <c r="W677" s="17">
        <f>IF(Items[[#This Row],[In sprint]]=1,(IF(Items[[#This Row],[Prio]]="",9,N(Items[[#This Row],[Prio]]))*10+(IF(Items[[#This Row],[State]]="DONE",1,0)))*100000+ROW(),"")</f>
      </c>
      <c r="X67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77" s="17">
        <f>IF(AND(Items[[#This Row],[State]]="DONE",N(Items[[#This Row],[Done on]])&gt;AsOf-7),(200000-N(Items[[#This Row],[Done on]]))*100000+ROW(),"")</f>
      </c>
    </row>
    <row r="678">
      <c r="A678" t="s">
        <v>841</v>
      </c>
      <c r="B678" t="s">
        <v>1899</v>
      </c>
      <c r="C678" t="s">
        <v>1107</v>
      </c>
      <c r="D678" t="s">
        <v>1123</v>
      </c>
      <c r="E678" t="s">
        <v>1124</v>
      </c>
      <c r="F678" t="s">
        <v>1157</v>
      </c>
      <c r="G678">
        <v>3</v>
      </c>
      <c r="H678">
        <v>3</v>
      </c>
      <c r="I678" s="11">
        <v>46217</v>
      </c>
      <c r="J678" s="17">
        <f>IF(Items[[#This Row],[ID]]="","",IFERROR(VALUE(LOOKUP(2,1/((Log[ID]=Items[[#This Row],[ID]])*(Log[Verb]="est")),Log[Arg])),N(Items[[#This Row],[Points]])))</f>
      </c>
      <c r="K678" s="17">
        <f>IF(Items[[#This Row],[ID]]="","",IFERROR(LOOKUP(2,1/((Log[ID]=Items[[#This Row],[ID]])*(Log[Verb]="pass")),Log[Arg])&amp;"",Items[[#This Row],[Team]]&amp;""))</f>
      </c>
      <c r="L678" s="17">
        <f>IF(Items[[#This Row],[ID]]="","",IFERROR(LOOKUP(2,1/((Log[ID]=Items[[#This Row],[ID]])*(Log[Into]&lt;&gt;"")),Log[Into]),""))</f>
      </c>
      <c r="M678" s="17">
        <f>IF(Items[[#This Row],[ID]]="","",IF(IFERROR(LOOKUP(2,1/((Log[ID]=Items[[#This Row],[ID]])*(Log[Blk]&lt;&gt;"")),Log[Blk]),0)=1,"Y",""))</f>
      </c>
      <c r="N678" s="17">
        <f>IF(Items[[#This Row],[ID]]="","",SUBSTITUTE(IFERROR(LOOKUP(2,1/((Log[ID]=Items[[#This Row],[ID]])*(Log[State]&lt;&gt;"")),Log[State]),"TODO"),"OPEN",IF(Items[[#This Row],[Blocked]]="Y","WAIT","OPEN")))</f>
      </c>
      <c r="O67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78" s="17">
        <f>IF(Items[[#This Row],[State]]&lt;&gt;"WAIT","",AsOf-Items[[#This Row],[Blocked since]])</f>
      </c>
      <c r="Q678" s="17">
        <f>IF(Items[[#This Row],[State]]&lt;&gt;"WAIT","",IFERROR(LOOKUP(2,1/((Log[ID]=Items[[#This Row],[ID]])*(Log[Verb]="block")),Log[Note])&amp;"",""))</f>
      </c>
      <c r="R678" s="17">
        <f>IF(Items[[#This Row],[ID]]="","",COUNTIFS(Log[ID],Items[[#This Row],[ID]],Log[Verb],"carry"))</f>
      </c>
      <c r="S678" s="17">
        <f>IF(Items[[#This Row],[ID]]="","",COUNTIFS(Log[ID],Items[[#This Row],[ID]],Log[Verb],"punt"))</f>
      </c>
      <c r="T678" s="11">
        <f>IF(Items[[#This Row],[State]]&lt;&gt;"DONE","",IFERROR(LOOKUP(2,1/((Log[ID]=Items[[#This Row],[ID]])*(Log[Verb]="done")),Log[Date]),""))</f>
      </c>
      <c r="U678" s="17">
        <f>IF(Items[[#This Row],[ID]]="","",IF(AND(Items[[#This Row],[Sprint]]=CurSprint,OR(Items[[#This Row],[State]]="OPEN",Items[[#This Row],[State]]="WAIT",Items[[#This Row],[State]]="HOLD",Items[[#This Row],[State]]="DONE")),1,0))</f>
      </c>
      <c r="V678" s="17">
        <f>IF(OR(Items[[#This Row],[ID]]="",Items[[#This Row],[Added]]=""),"",AsOf-Items[[#This Row],[Added]])</f>
      </c>
      <c r="W678" s="17">
        <f>IF(Items[[#This Row],[In sprint]]=1,(IF(Items[[#This Row],[Prio]]="",9,N(Items[[#This Row],[Prio]]))*10+(IF(Items[[#This Row],[State]]="DONE",1,0)))*100000+ROW(),"")</f>
      </c>
      <c r="X67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78" s="17">
        <f>IF(AND(Items[[#This Row],[State]]="DONE",N(Items[[#This Row],[Done on]])&gt;AsOf-7),(200000-N(Items[[#This Row],[Done on]]))*100000+ROW(),"")</f>
      </c>
    </row>
    <row r="679">
      <c r="A679" t="s">
        <v>842</v>
      </c>
      <c r="B679" t="s">
        <v>1900</v>
      </c>
      <c r="C679" t="s">
        <v>1115</v>
      </c>
      <c r="D679" t="s">
        <v>1119</v>
      </c>
      <c r="E679" t="s">
        <v>1124</v>
      </c>
      <c r="F679" t="s">
        <v>1198</v>
      </c>
      <c r="G679">
        <v>2</v>
      </c>
      <c r="H679">
        <v>2</v>
      </c>
      <c r="I679" s="11">
        <v>46217</v>
      </c>
      <c r="J679" s="17">
        <f>IF(Items[[#This Row],[ID]]="","",IFERROR(VALUE(LOOKUP(2,1/((Log[ID]=Items[[#This Row],[ID]])*(Log[Verb]="est")),Log[Arg])),N(Items[[#This Row],[Points]])))</f>
      </c>
      <c r="K679" s="17">
        <f>IF(Items[[#This Row],[ID]]="","",IFERROR(LOOKUP(2,1/((Log[ID]=Items[[#This Row],[ID]])*(Log[Verb]="pass")),Log[Arg])&amp;"",Items[[#This Row],[Team]]&amp;""))</f>
      </c>
      <c r="L679" s="17">
        <f>IF(Items[[#This Row],[ID]]="","",IFERROR(LOOKUP(2,1/((Log[ID]=Items[[#This Row],[ID]])*(Log[Into]&lt;&gt;"")),Log[Into]),""))</f>
      </c>
      <c r="M679" s="17">
        <f>IF(Items[[#This Row],[ID]]="","",IF(IFERROR(LOOKUP(2,1/((Log[ID]=Items[[#This Row],[ID]])*(Log[Blk]&lt;&gt;"")),Log[Blk]),0)=1,"Y",""))</f>
      </c>
      <c r="N679" s="17">
        <f>IF(Items[[#This Row],[ID]]="","",SUBSTITUTE(IFERROR(LOOKUP(2,1/((Log[ID]=Items[[#This Row],[ID]])*(Log[State]&lt;&gt;"")),Log[State]),"TODO"),"OPEN",IF(Items[[#This Row],[Blocked]]="Y","WAIT","OPEN")))</f>
      </c>
      <c r="O67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79" s="17">
        <f>IF(Items[[#This Row],[State]]&lt;&gt;"WAIT","",AsOf-Items[[#This Row],[Blocked since]])</f>
      </c>
      <c r="Q679" s="17">
        <f>IF(Items[[#This Row],[State]]&lt;&gt;"WAIT","",IFERROR(LOOKUP(2,1/((Log[ID]=Items[[#This Row],[ID]])*(Log[Verb]="block")),Log[Note])&amp;"",""))</f>
      </c>
      <c r="R679" s="17">
        <f>IF(Items[[#This Row],[ID]]="","",COUNTIFS(Log[ID],Items[[#This Row],[ID]],Log[Verb],"carry"))</f>
      </c>
      <c r="S679" s="17">
        <f>IF(Items[[#This Row],[ID]]="","",COUNTIFS(Log[ID],Items[[#This Row],[ID]],Log[Verb],"punt"))</f>
      </c>
      <c r="T679" s="11">
        <f>IF(Items[[#This Row],[State]]&lt;&gt;"DONE","",IFERROR(LOOKUP(2,1/((Log[ID]=Items[[#This Row],[ID]])*(Log[Verb]="done")),Log[Date]),""))</f>
      </c>
      <c r="U679" s="17">
        <f>IF(Items[[#This Row],[ID]]="","",IF(AND(Items[[#This Row],[Sprint]]=CurSprint,OR(Items[[#This Row],[State]]="OPEN",Items[[#This Row],[State]]="WAIT",Items[[#This Row],[State]]="HOLD",Items[[#This Row],[State]]="DONE")),1,0))</f>
      </c>
      <c r="V679" s="17">
        <f>IF(OR(Items[[#This Row],[ID]]="",Items[[#This Row],[Added]]=""),"",AsOf-Items[[#This Row],[Added]])</f>
      </c>
      <c r="W679" s="17">
        <f>IF(Items[[#This Row],[In sprint]]=1,(IF(Items[[#This Row],[Prio]]="",9,N(Items[[#This Row],[Prio]]))*10+(IF(Items[[#This Row],[State]]="DONE",1,0)))*100000+ROW(),"")</f>
      </c>
      <c r="X67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79" s="17">
        <f>IF(AND(Items[[#This Row],[State]]="DONE",N(Items[[#This Row],[Done on]])&gt;AsOf-7),(200000-N(Items[[#This Row],[Done on]]))*100000+ROW(),"")</f>
      </c>
    </row>
    <row r="680">
      <c r="A680" t="s">
        <v>902</v>
      </c>
      <c r="B680" t="s">
        <v>1901</v>
      </c>
      <c r="C680" t="s">
        <v>1107</v>
      </c>
      <c r="D680" t="s">
        <v>1108</v>
      </c>
      <c r="E680" t="s">
        <v>1124</v>
      </c>
      <c r="F680" t="s">
        <v>1203</v>
      </c>
      <c r="G680">
        <v>8</v>
      </c>
      <c r="H680">
        <v>3</v>
      </c>
      <c r="I680" s="11">
        <v>46217</v>
      </c>
      <c r="J680" s="17">
        <f>IF(Items[[#This Row],[ID]]="","",IFERROR(VALUE(LOOKUP(2,1/((Log[ID]=Items[[#This Row],[ID]])*(Log[Verb]="est")),Log[Arg])),N(Items[[#This Row],[Points]])))</f>
      </c>
      <c r="K680" s="17">
        <f>IF(Items[[#This Row],[ID]]="","",IFERROR(LOOKUP(2,1/((Log[ID]=Items[[#This Row],[ID]])*(Log[Verb]="pass")),Log[Arg])&amp;"",Items[[#This Row],[Team]]&amp;""))</f>
      </c>
      <c r="L680" s="17">
        <f>IF(Items[[#This Row],[ID]]="","",IFERROR(LOOKUP(2,1/((Log[ID]=Items[[#This Row],[ID]])*(Log[Into]&lt;&gt;"")),Log[Into]),""))</f>
      </c>
      <c r="M680" s="17">
        <f>IF(Items[[#This Row],[ID]]="","",IF(IFERROR(LOOKUP(2,1/((Log[ID]=Items[[#This Row],[ID]])*(Log[Blk]&lt;&gt;"")),Log[Blk]),0)=1,"Y",""))</f>
      </c>
      <c r="N680" s="17">
        <f>IF(Items[[#This Row],[ID]]="","",SUBSTITUTE(IFERROR(LOOKUP(2,1/((Log[ID]=Items[[#This Row],[ID]])*(Log[State]&lt;&gt;"")),Log[State]),"TODO"),"OPEN",IF(Items[[#This Row],[Blocked]]="Y","WAIT","OPEN")))</f>
      </c>
      <c r="O68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80" s="17">
        <f>IF(Items[[#This Row],[State]]&lt;&gt;"WAIT","",AsOf-Items[[#This Row],[Blocked since]])</f>
      </c>
      <c r="Q680" s="17">
        <f>IF(Items[[#This Row],[State]]&lt;&gt;"WAIT","",IFERROR(LOOKUP(2,1/((Log[ID]=Items[[#This Row],[ID]])*(Log[Verb]="block")),Log[Note])&amp;"",""))</f>
      </c>
      <c r="R680" s="17">
        <f>IF(Items[[#This Row],[ID]]="","",COUNTIFS(Log[ID],Items[[#This Row],[ID]],Log[Verb],"carry"))</f>
      </c>
      <c r="S680" s="17">
        <f>IF(Items[[#This Row],[ID]]="","",COUNTIFS(Log[ID],Items[[#This Row],[ID]],Log[Verb],"punt"))</f>
      </c>
      <c r="T680" s="11">
        <f>IF(Items[[#This Row],[State]]&lt;&gt;"DONE","",IFERROR(LOOKUP(2,1/((Log[ID]=Items[[#This Row],[ID]])*(Log[Verb]="done")),Log[Date]),""))</f>
      </c>
      <c r="U680" s="17">
        <f>IF(Items[[#This Row],[ID]]="","",IF(AND(Items[[#This Row],[Sprint]]=CurSprint,OR(Items[[#This Row],[State]]="OPEN",Items[[#This Row],[State]]="WAIT",Items[[#This Row],[State]]="HOLD",Items[[#This Row],[State]]="DONE")),1,0))</f>
      </c>
      <c r="V680" s="17">
        <f>IF(OR(Items[[#This Row],[ID]]="",Items[[#This Row],[Added]]=""),"",AsOf-Items[[#This Row],[Added]])</f>
      </c>
      <c r="W680" s="17">
        <f>IF(Items[[#This Row],[In sprint]]=1,(IF(Items[[#This Row],[Prio]]="",9,N(Items[[#This Row],[Prio]]))*10+(IF(Items[[#This Row],[State]]="DONE",1,0)))*100000+ROW(),"")</f>
      </c>
      <c r="X68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80" s="17">
        <f>IF(AND(Items[[#This Row],[State]]="DONE",N(Items[[#This Row],[Done on]])&gt;AsOf-7),(200000-N(Items[[#This Row],[Done on]]))*100000+ROW(),"")</f>
      </c>
    </row>
    <row r="681">
      <c r="A681" t="s">
        <v>843</v>
      </c>
      <c r="B681" t="s">
        <v>1902</v>
      </c>
      <c r="C681" t="s">
        <v>1107</v>
      </c>
      <c r="D681" t="s">
        <v>1123</v>
      </c>
      <c r="E681" t="s">
        <v>1159</v>
      </c>
      <c r="F681" t="s">
        <v>1207</v>
      </c>
      <c r="G681">
        <v>8</v>
      </c>
      <c r="H681">
        <v>2</v>
      </c>
      <c r="I681" s="11">
        <v>46217</v>
      </c>
      <c r="J681" s="17">
        <f>IF(Items[[#This Row],[ID]]="","",IFERROR(VALUE(LOOKUP(2,1/((Log[ID]=Items[[#This Row],[ID]])*(Log[Verb]="est")),Log[Arg])),N(Items[[#This Row],[Points]])))</f>
      </c>
      <c r="K681" s="17">
        <f>IF(Items[[#This Row],[ID]]="","",IFERROR(LOOKUP(2,1/((Log[ID]=Items[[#This Row],[ID]])*(Log[Verb]="pass")),Log[Arg])&amp;"",Items[[#This Row],[Team]]&amp;""))</f>
      </c>
      <c r="L681" s="17">
        <f>IF(Items[[#This Row],[ID]]="","",IFERROR(LOOKUP(2,1/((Log[ID]=Items[[#This Row],[ID]])*(Log[Into]&lt;&gt;"")),Log[Into]),""))</f>
      </c>
      <c r="M681" s="17">
        <f>IF(Items[[#This Row],[ID]]="","",IF(IFERROR(LOOKUP(2,1/((Log[ID]=Items[[#This Row],[ID]])*(Log[Blk]&lt;&gt;"")),Log[Blk]),0)=1,"Y",""))</f>
      </c>
      <c r="N681" s="17">
        <f>IF(Items[[#This Row],[ID]]="","",SUBSTITUTE(IFERROR(LOOKUP(2,1/((Log[ID]=Items[[#This Row],[ID]])*(Log[State]&lt;&gt;"")),Log[State]),"TODO"),"OPEN",IF(Items[[#This Row],[Blocked]]="Y","WAIT","OPEN")))</f>
      </c>
      <c r="O68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81" s="17">
        <f>IF(Items[[#This Row],[State]]&lt;&gt;"WAIT","",AsOf-Items[[#This Row],[Blocked since]])</f>
      </c>
      <c r="Q681" s="17">
        <f>IF(Items[[#This Row],[State]]&lt;&gt;"WAIT","",IFERROR(LOOKUP(2,1/((Log[ID]=Items[[#This Row],[ID]])*(Log[Verb]="block")),Log[Note])&amp;"",""))</f>
      </c>
      <c r="R681" s="17">
        <f>IF(Items[[#This Row],[ID]]="","",COUNTIFS(Log[ID],Items[[#This Row],[ID]],Log[Verb],"carry"))</f>
      </c>
      <c r="S681" s="17">
        <f>IF(Items[[#This Row],[ID]]="","",COUNTIFS(Log[ID],Items[[#This Row],[ID]],Log[Verb],"punt"))</f>
      </c>
      <c r="T681" s="11">
        <f>IF(Items[[#This Row],[State]]&lt;&gt;"DONE","",IFERROR(LOOKUP(2,1/((Log[ID]=Items[[#This Row],[ID]])*(Log[Verb]="done")),Log[Date]),""))</f>
      </c>
      <c r="U681" s="17">
        <f>IF(Items[[#This Row],[ID]]="","",IF(AND(Items[[#This Row],[Sprint]]=CurSprint,OR(Items[[#This Row],[State]]="OPEN",Items[[#This Row],[State]]="WAIT",Items[[#This Row],[State]]="HOLD",Items[[#This Row],[State]]="DONE")),1,0))</f>
      </c>
      <c r="V681" s="17">
        <f>IF(OR(Items[[#This Row],[ID]]="",Items[[#This Row],[Added]]=""),"",AsOf-Items[[#This Row],[Added]])</f>
      </c>
      <c r="W681" s="17">
        <f>IF(Items[[#This Row],[In sprint]]=1,(IF(Items[[#This Row],[Prio]]="",9,N(Items[[#This Row],[Prio]]))*10+(IF(Items[[#This Row],[State]]="DONE",1,0)))*100000+ROW(),"")</f>
      </c>
      <c r="X68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81" s="17">
        <f>IF(AND(Items[[#This Row],[State]]="DONE",N(Items[[#This Row],[Done on]])&gt;AsOf-7),(200000-N(Items[[#This Row],[Done on]]))*100000+ROW(),"")</f>
      </c>
    </row>
    <row r="682">
      <c r="A682" t="s">
        <v>779</v>
      </c>
      <c r="B682" t="s">
        <v>1903</v>
      </c>
      <c r="C682" t="s">
        <v>1107</v>
      </c>
      <c r="D682" t="s">
        <v>1123</v>
      </c>
      <c r="E682" t="s">
        <v>1159</v>
      </c>
      <c r="F682" t="s">
        <v>1358</v>
      </c>
      <c r="G682">
        <v>2</v>
      </c>
      <c r="H682">
        <v>2</v>
      </c>
      <c r="I682" s="11">
        <v>46217</v>
      </c>
      <c r="J682" s="17">
        <f>IF(Items[[#This Row],[ID]]="","",IFERROR(VALUE(LOOKUP(2,1/((Log[ID]=Items[[#This Row],[ID]])*(Log[Verb]="est")),Log[Arg])),N(Items[[#This Row],[Points]])))</f>
      </c>
      <c r="K682" s="17">
        <f>IF(Items[[#This Row],[ID]]="","",IFERROR(LOOKUP(2,1/((Log[ID]=Items[[#This Row],[ID]])*(Log[Verb]="pass")),Log[Arg])&amp;"",Items[[#This Row],[Team]]&amp;""))</f>
      </c>
      <c r="L682" s="17">
        <f>IF(Items[[#This Row],[ID]]="","",IFERROR(LOOKUP(2,1/((Log[ID]=Items[[#This Row],[ID]])*(Log[Into]&lt;&gt;"")),Log[Into]),""))</f>
      </c>
      <c r="M682" s="17">
        <f>IF(Items[[#This Row],[ID]]="","",IF(IFERROR(LOOKUP(2,1/((Log[ID]=Items[[#This Row],[ID]])*(Log[Blk]&lt;&gt;"")),Log[Blk]),0)=1,"Y",""))</f>
      </c>
      <c r="N682" s="17">
        <f>IF(Items[[#This Row],[ID]]="","",SUBSTITUTE(IFERROR(LOOKUP(2,1/((Log[ID]=Items[[#This Row],[ID]])*(Log[State]&lt;&gt;"")),Log[State]),"TODO"),"OPEN",IF(Items[[#This Row],[Blocked]]="Y","WAIT","OPEN")))</f>
      </c>
      <c r="O68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82" s="17">
        <f>IF(Items[[#This Row],[State]]&lt;&gt;"WAIT","",AsOf-Items[[#This Row],[Blocked since]])</f>
      </c>
      <c r="Q682" s="17">
        <f>IF(Items[[#This Row],[State]]&lt;&gt;"WAIT","",IFERROR(LOOKUP(2,1/((Log[ID]=Items[[#This Row],[ID]])*(Log[Verb]="block")),Log[Note])&amp;"",""))</f>
      </c>
      <c r="R682" s="17">
        <f>IF(Items[[#This Row],[ID]]="","",COUNTIFS(Log[ID],Items[[#This Row],[ID]],Log[Verb],"carry"))</f>
      </c>
      <c r="S682" s="17">
        <f>IF(Items[[#This Row],[ID]]="","",COUNTIFS(Log[ID],Items[[#This Row],[ID]],Log[Verb],"punt"))</f>
      </c>
      <c r="T682" s="11">
        <f>IF(Items[[#This Row],[State]]&lt;&gt;"DONE","",IFERROR(LOOKUP(2,1/((Log[ID]=Items[[#This Row],[ID]])*(Log[Verb]="done")),Log[Date]),""))</f>
      </c>
      <c r="U682" s="17">
        <f>IF(Items[[#This Row],[ID]]="","",IF(AND(Items[[#This Row],[Sprint]]=CurSprint,OR(Items[[#This Row],[State]]="OPEN",Items[[#This Row],[State]]="WAIT",Items[[#This Row],[State]]="HOLD",Items[[#This Row],[State]]="DONE")),1,0))</f>
      </c>
      <c r="V682" s="17">
        <f>IF(OR(Items[[#This Row],[ID]]="",Items[[#This Row],[Added]]=""),"",AsOf-Items[[#This Row],[Added]])</f>
      </c>
      <c r="W682" s="17">
        <f>IF(Items[[#This Row],[In sprint]]=1,(IF(Items[[#This Row],[Prio]]="",9,N(Items[[#This Row],[Prio]]))*10+(IF(Items[[#This Row],[State]]="DONE",1,0)))*100000+ROW(),"")</f>
      </c>
      <c r="X68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82" s="17">
        <f>IF(AND(Items[[#This Row],[State]]="DONE",N(Items[[#This Row],[Done on]])&gt;AsOf-7),(200000-N(Items[[#This Row],[Done on]]))*100000+ROW(),"")</f>
      </c>
    </row>
    <row r="683">
      <c r="A683" t="s">
        <v>780</v>
      </c>
      <c r="B683" t="s">
        <v>1904</v>
      </c>
      <c r="C683" t="s">
        <v>1107</v>
      </c>
      <c r="D683" t="s">
        <v>1123</v>
      </c>
      <c r="E683" t="s">
        <v>1159</v>
      </c>
      <c r="F683" t="s">
        <v>1437</v>
      </c>
      <c r="G683">
        <v>5</v>
      </c>
      <c r="H683">
        <v>3</v>
      </c>
      <c r="I683" s="11">
        <v>46217</v>
      </c>
      <c r="J683" s="17">
        <f>IF(Items[[#This Row],[ID]]="","",IFERROR(VALUE(LOOKUP(2,1/((Log[ID]=Items[[#This Row],[ID]])*(Log[Verb]="est")),Log[Arg])),N(Items[[#This Row],[Points]])))</f>
      </c>
      <c r="K683" s="17">
        <f>IF(Items[[#This Row],[ID]]="","",IFERROR(LOOKUP(2,1/((Log[ID]=Items[[#This Row],[ID]])*(Log[Verb]="pass")),Log[Arg])&amp;"",Items[[#This Row],[Team]]&amp;""))</f>
      </c>
      <c r="L683" s="17">
        <f>IF(Items[[#This Row],[ID]]="","",IFERROR(LOOKUP(2,1/((Log[ID]=Items[[#This Row],[ID]])*(Log[Into]&lt;&gt;"")),Log[Into]),""))</f>
      </c>
      <c r="M683" s="17">
        <f>IF(Items[[#This Row],[ID]]="","",IF(IFERROR(LOOKUP(2,1/((Log[ID]=Items[[#This Row],[ID]])*(Log[Blk]&lt;&gt;"")),Log[Blk]),0)=1,"Y",""))</f>
      </c>
      <c r="N683" s="17">
        <f>IF(Items[[#This Row],[ID]]="","",SUBSTITUTE(IFERROR(LOOKUP(2,1/((Log[ID]=Items[[#This Row],[ID]])*(Log[State]&lt;&gt;"")),Log[State]),"TODO"),"OPEN",IF(Items[[#This Row],[Blocked]]="Y","WAIT","OPEN")))</f>
      </c>
      <c r="O68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83" s="17">
        <f>IF(Items[[#This Row],[State]]&lt;&gt;"WAIT","",AsOf-Items[[#This Row],[Blocked since]])</f>
      </c>
      <c r="Q683" s="17">
        <f>IF(Items[[#This Row],[State]]&lt;&gt;"WAIT","",IFERROR(LOOKUP(2,1/((Log[ID]=Items[[#This Row],[ID]])*(Log[Verb]="block")),Log[Note])&amp;"",""))</f>
      </c>
      <c r="R683" s="17">
        <f>IF(Items[[#This Row],[ID]]="","",COUNTIFS(Log[ID],Items[[#This Row],[ID]],Log[Verb],"carry"))</f>
      </c>
      <c r="S683" s="17">
        <f>IF(Items[[#This Row],[ID]]="","",COUNTIFS(Log[ID],Items[[#This Row],[ID]],Log[Verb],"punt"))</f>
      </c>
      <c r="T683" s="11">
        <f>IF(Items[[#This Row],[State]]&lt;&gt;"DONE","",IFERROR(LOOKUP(2,1/((Log[ID]=Items[[#This Row],[ID]])*(Log[Verb]="done")),Log[Date]),""))</f>
      </c>
      <c r="U683" s="17">
        <f>IF(Items[[#This Row],[ID]]="","",IF(AND(Items[[#This Row],[Sprint]]=CurSprint,OR(Items[[#This Row],[State]]="OPEN",Items[[#This Row],[State]]="WAIT",Items[[#This Row],[State]]="HOLD",Items[[#This Row],[State]]="DONE")),1,0))</f>
      </c>
      <c r="V683" s="17">
        <f>IF(OR(Items[[#This Row],[ID]]="",Items[[#This Row],[Added]]=""),"",AsOf-Items[[#This Row],[Added]])</f>
      </c>
      <c r="W683" s="17">
        <f>IF(Items[[#This Row],[In sprint]]=1,(IF(Items[[#This Row],[Prio]]="",9,N(Items[[#This Row],[Prio]]))*10+(IF(Items[[#This Row],[State]]="DONE",1,0)))*100000+ROW(),"")</f>
      </c>
      <c r="X68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83" s="17">
        <f>IF(AND(Items[[#This Row],[State]]="DONE",N(Items[[#This Row],[Done on]])&gt;AsOf-7),(200000-N(Items[[#This Row],[Done on]]))*100000+ROW(),"")</f>
      </c>
    </row>
    <row r="684">
      <c r="A684" t="s">
        <v>844</v>
      </c>
      <c r="B684" t="s">
        <v>1905</v>
      </c>
      <c r="C684" t="s">
        <v>1107</v>
      </c>
      <c r="D684" t="s">
        <v>1127</v>
      </c>
      <c r="E684" t="s">
        <v>1159</v>
      </c>
      <c r="F684" t="s">
        <v>1433</v>
      </c>
      <c r="G684">
        <v>2</v>
      </c>
      <c r="H684">
        <v>1</v>
      </c>
      <c r="I684" s="11">
        <v>46217</v>
      </c>
      <c r="J684" s="17">
        <f>IF(Items[[#This Row],[ID]]="","",IFERROR(VALUE(LOOKUP(2,1/((Log[ID]=Items[[#This Row],[ID]])*(Log[Verb]="est")),Log[Arg])),N(Items[[#This Row],[Points]])))</f>
      </c>
      <c r="K684" s="17">
        <f>IF(Items[[#This Row],[ID]]="","",IFERROR(LOOKUP(2,1/((Log[ID]=Items[[#This Row],[ID]])*(Log[Verb]="pass")),Log[Arg])&amp;"",Items[[#This Row],[Team]]&amp;""))</f>
      </c>
      <c r="L684" s="17">
        <f>IF(Items[[#This Row],[ID]]="","",IFERROR(LOOKUP(2,1/((Log[ID]=Items[[#This Row],[ID]])*(Log[Into]&lt;&gt;"")),Log[Into]),""))</f>
      </c>
      <c r="M684" s="17">
        <f>IF(Items[[#This Row],[ID]]="","",IF(IFERROR(LOOKUP(2,1/((Log[ID]=Items[[#This Row],[ID]])*(Log[Blk]&lt;&gt;"")),Log[Blk]),0)=1,"Y",""))</f>
      </c>
      <c r="N684" s="17">
        <f>IF(Items[[#This Row],[ID]]="","",SUBSTITUTE(IFERROR(LOOKUP(2,1/((Log[ID]=Items[[#This Row],[ID]])*(Log[State]&lt;&gt;"")),Log[State]),"TODO"),"OPEN",IF(Items[[#This Row],[Blocked]]="Y","WAIT","OPEN")))</f>
      </c>
      <c r="O68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84" s="17">
        <f>IF(Items[[#This Row],[State]]&lt;&gt;"WAIT","",AsOf-Items[[#This Row],[Blocked since]])</f>
      </c>
      <c r="Q684" s="17">
        <f>IF(Items[[#This Row],[State]]&lt;&gt;"WAIT","",IFERROR(LOOKUP(2,1/((Log[ID]=Items[[#This Row],[ID]])*(Log[Verb]="block")),Log[Note])&amp;"",""))</f>
      </c>
      <c r="R684" s="17">
        <f>IF(Items[[#This Row],[ID]]="","",COUNTIFS(Log[ID],Items[[#This Row],[ID]],Log[Verb],"carry"))</f>
      </c>
      <c r="S684" s="17">
        <f>IF(Items[[#This Row],[ID]]="","",COUNTIFS(Log[ID],Items[[#This Row],[ID]],Log[Verb],"punt"))</f>
      </c>
      <c r="T684" s="11">
        <f>IF(Items[[#This Row],[State]]&lt;&gt;"DONE","",IFERROR(LOOKUP(2,1/((Log[ID]=Items[[#This Row],[ID]])*(Log[Verb]="done")),Log[Date]),""))</f>
      </c>
      <c r="U684" s="17">
        <f>IF(Items[[#This Row],[ID]]="","",IF(AND(Items[[#This Row],[Sprint]]=CurSprint,OR(Items[[#This Row],[State]]="OPEN",Items[[#This Row],[State]]="WAIT",Items[[#This Row],[State]]="HOLD",Items[[#This Row],[State]]="DONE")),1,0))</f>
      </c>
      <c r="V684" s="17">
        <f>IF(OR(Items[[#This Row],[ID]]="",Items[[#This Row],[Added]]=""),"",AsOf-Items[[#This Row],[Added]])</f>
      </c>
      <c r="W684" s="17">
        <f>IF(Items[[#This Row],[In sprint]]=1,(IF(Items[[#This Row],[Prio]]="",9,N(Items[[#This Row],[Prio]]))*10+(IF(Items[[#This Row],[State]]="DONE",1,0)))*100000+ROW(),"")</f>
      </c>
      <c r="X68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84" s="17">
        <f>IF(AND(Items[[#This Row],[State]]="DONE",N(Items[[#This Row],[Done on]])&gt;AsOf-7),(200000-N(Items[[#This Row],[Done on]]))*100000+ROW(),"")</f>
      </c>
    </row>
    <row r="685">
      <c r="A685" t="s">
        <v>845</v>
      </c>
      <c r="B685" t="s">
        <v>1906</v>
      </c>
      <c r="C685" t="s">
        <v>1107</v>
      </c>
      <c r="D685" t="s">
        <v>1123</v>
      </c>
      <c r="E685" t="s">
        <v>1159</v>
      </c>
      <c r="F685" t="s">
        <v>1211</v>
      </c>
      <c r="G685">
        <v>8</v>
      </c>
      <c r="H685">
        <v>3</v>
      </c>
      <c r="I685" s="11">
        <v>46217</v>
      </c>
      <c r="J685" s="17">
        <f>IF(Items[[#This Row],[ID]]="","",IFERROR(VALUE(LOOKUP(2,1/((Log[ID]=Items[[#This Row],[ID]])*(Log[Verb]="est")),Log[Arg])),N(Items[[#This Row],[Points]])))</f>
      </c>
      <c r="K685" s="17">
        <f>IF(Items[[#This Row],[ID]]="","",IFERROR(LOOKUP(2,1/((Log[ID]=Items[[#This Row],[ID]])*(Log[Verb]="pass")),Log[Arg])&amp;"",Items[[#This Row],[Team]]&amp;""))</f>
      </c>
      <c r="L685" s="17">
        <f>IF(Items[[#This Row],[ID]]="","",IFERROR(LOOKUP(2,1/((Log[ID]=Items[[#This Row],[ID]])*(Log[Into]&lt;&gt;"")),Log[Into]),""))</f>
      </c>
      <c r="M685" s="17">
        <f>IF(Items[[#This Row],[ID]]="","",IF(IFERROR(LOOKUP(2,1/((Log[ID]=Items[[#This Row],[ID]])*(Log[Blk]&lt;&gt;"")),Log[Blk]),0)=1,"Y",""))</f>
      </c>
      <c r="N685" s="17">
        <f>IF(Items[[#This Row],[ID]]="","",SUBSTITUTE(IFERROR(LOOKUP(2,1/((Log[ID]=Items[[#This Row],[ID]])*(Log[State]&lt;&gt;"")),Log[State]),"TODO"),"OPEN",IF(Items[[#This Row],[Blocked]]="Y","WAIT","OPEN")))</f>
      </c>
      <c r="O68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85" s="17">
        <f>IF(Items[[#This Row],[State]]&lt;&gt;"WAIT","",AsOf-Items[[#This Row],[Blocked since]])</f>
      </c>
      <c r="Q685" s="17">
        <f>IF(Items[[#This Row],[State]]&lt;&gt;"WAIT","",IFERROR(LOOKUP(2,1/((Log[ID]=Items[[#This Row],[ID]])*(Log[Verb]="block")),Log[Note])&amp;"",""))</f>
      </c>
      <c r="R685" s="17">
        <f>IF(Items[[#This Row],[ID]]="","",COUNTIFS(Log[ID],Items[[#This Row],[ID]],Log[Verb],"carry"))</f>
      </c>
      <c r="S685" s="17">
        <f>IF(Items[[#This Row],[ID]]="","",COUNTIFS(Log[ID],Items[[#This Row],[ID]],Log[Verb],"punt"))</f>
      </c>
      <c r="T685" s="11">
        <f>IF(Items[[#This Row],[State]]&lt;&gt;"DONE","",IFERROR(LOOKUP(2,1/((Log[ID]=Items[[#This Row],[ID]])*(Log[Verb]="done")),Log[Date]),""))</f>
      </c>
      <c r="U685" s="17">
        <f>IF(Items[[#This Row],[ID]]="","",IF(AND(Items[[#This Row],[Sprint]]=CurSprint,OR(Items[[#This Row],[State]]="OPEN",Items[[#This Row],[State]]="WAIT",Items[[#This Row],[State]]="HOLD",Items[[#This Row],[State]]="DONE")),1,0))</f>
      </c>
      <c r="V685" s="17">
        <f>IF(OR(Items[[#This Row],[ID]]="",Items[[#This Row],[Added]]=""),"",AsOf-Items[[#This Row],[Added]])</f>
      </c>
      <c r="W685" s="17">
        <f>IF(Items[[#This Row],[In sprint]]=1,(IF(Items[[#This Row],[Prio]]="",9,N(Items[[#This Row],[Prio]]))*10+(IF(Items[[#This Row],[State]]="DONE",1,0)))*100000+ROW(),"")</f>
      </c>
      <c r="X68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85" s="17">
        <f>IF(AND(Items[[#This Row],[State]]="DONE",N(Items[[#This Row],[Done on]])&gt;AsOf-7),(200000-N(Items[[#This Row],[Done on]]))*100000+ROW(),"")</f>
      </c>
    </row>
    <row r="686">
      <c r="A686" t="s">
        <v>846</v>
      </c>
      <c r="B686" t="s">
        <v>1907</v>
      </c>
      <c r="C686" t="s">
        <v>1107</v>
      </c>
      <c r="D686" t="s">
        <v>1123</v>
      </c>
      <c r="E686" t="s">
        <v>1159</v>
      </c>
      <c r="F686" t="s">
        <v>1355</v>
      </c>
      <c r="G686">
        <v>8</v>
      </c>
      <c r="H686">
        <v>3</v>
      </c>
      <c r="I686" s="11">
        <v>46217</v>
      </c>
      <c r="J686" s="17">
        <f>IF(Items[[#This Row],[ID]]="","",IFERROR(VALUE(LOOKUP(2,1/((Log[ID]=Items[[#This Row],[ID]])*(Log[Verb]="est")),Log[Arg])),N(Items[[#This Row],[Points]])))</f>
      </c>
      <c r="K686" s="17">
        <f>IF(Items[[#This Row],[ID]]="","",IFERROR(LOOKUP(2,1/((Log[ID]=Items[[#This Row],[ID]])*(Log[Verb]="pass")),Log[Arg])&amp;"",Items[[#This Row],[Team]]&amp;""))</f>
      </c>
      <c r="L686" s="17">
        <f>IF(Items[[#This Row],[ID]]="","",IFERROR(LOOKUP(2,1/((Log[ID]=Items[[#This Row],[ID]])*(Log[Into]&lt;&gt;"")),Log[Into]),""))</f>
      </c>
      <c r="M686" s="17">
        <f>IF(Items[[#This Row],[ID]]="","",IF(IFERROR(LOOKUP(2,1/((Log[ID]=Items[[#This Row],[ID]])*(Log[Blk]&lt;&gt;"")),Log[Blk]),0)=1,"Y",""))</f>
      </c>
      <c r="N686" s="17">
        <f>IF(Items[[#This Row],[ID]]="","",SUBSTITUTE(IFERROR(LOOKUP(2,1/((Log[ID]=Items[[#This Row],[ID]])*(Log[State]&lt;&gt;"")),Log[State]),"TODO"),"OPEN",IF(Items[[#This Row],[Blocked]]="Y","WAIT","OPEN")))</f>
      </c>
      <c r="O68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86" s="17">
        <f>IF(Items[[#This Row],[State]]&lt;&gt;"WAIT","",AsOf-Items[[#This Row],[Blocked since]])</f>
      </c>
      <c r="Q686" s="17">
        <f>IF(Items[[#This Row],[State]]&lt;&gt;"WAIT","",IFERROR(LOOKUP(2,1/((Log[ID]=Items[[#This Row],[ID]])*(Log[Verb]="block")),Log[Note])&amp;"",""))</f>
      </c>
      <c r="R686" s="17">
        <f>IF(Items[[#This Row],[ID]]="","",COUNTIFS(Log[ID],Items[[#This Row],[ID]],Log[Verb],"carry"))</f>
      </c>
      <c r="S686" s="17">
        <f>IF(Items[[#This Row],[ID]]="","",COUNTIFS(Log[ID],Items[[#This Row],[ID]],Log[Verb],"punt"))</f>
      </c>
      <c r="T686" s="11">
        <f>IF(Items[[#This Row],[State]]&lt;&gt;"DONE","",IFERROR(LOOKUP(2,1/((Log[ID]=Items[[#This Row],[ID]])*(Log[Verb]="done")),Log[Date]),""))</f>
      </c>
      <c r="U686" s="17">
        <f>IF(Items[[#This Row],[ID]]="","",IF(AND(Items[[#This Row],[Sprint]]=CurSprint,OR(Items[[#This Row],[State]]="OPEN",Items[[#This Row],[State]]="WAIT",Items[[#This Row],[State]]="HOLD",Items[[#This Row],[State]]="DONE")),1,0))</f>
      </c>
      <c r="V686" s="17">
        <f>IF(OR(Items[[#This Row],[ID]]="",Items[[#This Row],[Added]]=""),"",AsOf-Items[[#This Row],[Added]])</f>
      </c>
      <c r="W686" s="17">
        <f>IF(Items[[#This Row],[In sprint]]=1,(IF(Items[[#This Row],[Prio]]="",9,N(Items[[#This Row],[Prio]]))*10+(IF(Items[[#This Row],[State]]="DONE",1,0)))*100000+ROW(),"")</f>
      </c>
      <c r="X68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86" s="17">
        <f>IF(AND(Items[[#This Row],[State]]="DONE",N(Items[[#This Row],[Done on]])&gt;AsOf-7),(200000-N(Items[[#This Row],[Done on]]))*100000+ROW(),"")</f>
      </c>
    </row>
    <row r="687">
      <c r="A687" t="s">
        <v>849</v>
      </c>
      <c r="B687" t="s">
        <v>1908</v>
      </c>
      <c r="C687" t="s">
        <v>1107</v>
      </c>
      <c r="D687" t="s">
        <v>1108</v>
      </c>
      <c r="E687" t="s">
        <v>1128</v>
      </c>
      <c r="F687" t="s">
        <v>1292</v>
      </c>
      <c r="G687">
        <v>8</v>
      </c>
      <c r="H687">
        <v>3</v>
      </c>
      <c r="I687" s="11">
        <v>46217</v>
      </c>
      <c r="J687" s="17">
        <f>IF(Items[[#This Row],[ID]]="","",IFERROR(VALUE(LOOKUP(2,1/((Log[ID]=Items[[#This Row],[ID]])*(Log[Verb]="est")),Log[Arg])),N(Items[[#This Row],[Points]])))</f>
      </c>
      <c r="K687" s="17">
        <f>IF(Items[[#This Row],[ID]]="","",IFERROR(LOOKUP(2,1/((Log[ID]=Items[[#This Row],[ID]])*(Log[Verb]="pass")),Log[Arg])&amp;"",Items[[#This Row],[Team]]&amp;""))</f>
      </c>
      <c r="L687" s="17">
        <f>IF(Items[[#This Row],[ID]]="","",IFERROR(LOOKUP(2,1/((Log[ID]=Items[[#This Row],[ID]])*(Log[Into]&lt;&gt;"")),Log[Into]),""))</f>
      </c>
      <c r="M687" s="17">
        <f>IF(Items[[#This Row],[ID]]="","",IF(IFERROR(LOOKUP(2,1/((Log[ID]=Items[[#This Row],[ID]])*(Log[Blk]&lt;&gt;"")),Log[Blk]),0)=1,"Y",""))</f>
      </c>
      <c r="N687" s="17">
        <f>IF(Items[[#This Row],[ID]]="","",SUBSTITUTE(IFERROR(LOOKUP(2,1/((Log[ID]=Items[[#This Row],[ID]])*(Log[State]&lt;&gt;"")),Log[State]),"TODO"),"OPEN",IF(Items[[#This Row],[Blocked]]="Y","WAIT","OPEN")))</f>
      </c>
      <c r="O68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87" s="17">
        <f>IF(Items[[#This Row],[State]]&lt;&gt;"WAIT","",AsOf-Items[[#This Row],[Blocked since]])</f>
      </c>
      <c r="Q687" s="17">
        <f>IF(Items[[#This Row],[State]]&lt;&gt;"WAIT","",IFERROR(LOOKUP(2,1/((Log[ID]=Items[[#This Row],[ID]])*(Log[Verb]="block")),Log[Note])&amp;"",""))</f>
      </c>
      <c r="R687" s="17">
        <f>IF(Items[[#This Row],[ID]]="","",COUNTIFS(Log[ID],Items[[#This Row],[ID]],Log[Verb],"carry"))</f>
      </c>
      <c r="S687" s="17">
        <f>IF(Items[[#This Row],[ID]]="","",COUNTIFS(Log[ID],Items[[#This Row],[ID]],Log[Verb],"punt"))</f>
      </c>
      <c r="T687" s="11">
        <f>IF(Items[[#This Row],[State]]&lt;&gt;"DONE","",IFERROR(LOOKUP(2,1/((Log[ID]=Items[[#This Row],[ID]])*(Log[Verb]="done")),Log[Date]),""))</f>
      </c>
      <c r="U687" s="17">
        <f>IF(Items[[#This Row],[ID]]="","",IF(AND(Items[[#This Row],[Sprint]]=CurSprint,OR(Items[[#This Row],[State]]="OPEN",Items[[#This Row],[State]]="WAIT",Items[[#This Row],[State]]="HOLD",Items[[#This Row],[State]]="DONE")),1,0))</f>
      </c>
      <c r="V687" s="17">
        <f>IF(OR(Items[[#This Row],[ID]]="",Items[[#This Row],[Added]]=""),"",AsOf-Items[[#This Row],[Added]])</f>
      </c>
      <c r="W687" s="17">
        <f>IF(Items[[#This Row],[In sprint]]=1,(IF(Items[[#This Row],[Prio]]="",9,N(Items[[#This Row],[Prio]]))*10+(IF(Items[[#This Row],[State]]="DONE",1,0)))*100000+ROW(),"")</f>
      </c>
      <c r="X68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87" s="17">
        <f>IF(AND(Items[[#This Row],[State]]="DONE",N(Items[[#This Row],[Done on]])&gt;AsOf-7),(200000-N(Items[[#This Row],[Done on]]))*100000+ROW(),"")</f>
      </c>
    </row>
    <row r="688">
      <c r="A688" t="s">
        <v>850</v>
      </c>
      <c r="B688" t="s">
        <v>1909</v>
      </c>
      <c r="C688" t="s">
        <v>1107</v>
      </c>
      <c r="D688" t="s">
        <v>1123</v>
      </c>
      <c r="E688" t="s">
        <v>1128</v>
      </c>
      <c r="F688" t="s">
        <v>1217</v>
      </c>
      <c r="G688">
        <v>3</v>
      </c>
      <c r="H688">
        <v>3</v>
      </c>
      <c r="I688" s="11">
        <v>46217</v>
      </c>
      <c r="J688" s="17">
        <f>IF(Items[[#This Row],[ID]]="","",IFERROR(VALUE(LOOKUP(2,1/((Log[ID]=Items[[#This Row],[ID]])*(Log[Verb]="est")),Log[Arg])),N(Items[[#This Row],[Points]])))</f>
      </c>
      <c r="K688" s="17">
        <f>IF(Items[[#This Row],[ID]]="","",IFERROR(LOOKUP(2,1/((Log[ID]=Items[[#This Row],[ID]])*(Log[Verb]="pass")),Log[Arg])&amp;"",Items[[#This Row],[Team]]&amp;""))</f>
      </c>
      <c r="L688" s="17">
        <f>IF(Items[[#This Row],[ID]]="","",IFERROR(LOOKUP(2,1/((Log[ID]=Items[[#This Row],[ID]])*(Log[Into]&lt;&gt;"")),Log[Into]),""))</f>
      </c>
      <c r="M688" s="17">
        <f>IF(Items[[#This Row],[ID]]="","",IF(IFERROR(LOOKUP(2,1/((Log[ID]=Items[[#This Row],[ID]])*(Log[Blk]&lt;&gt;"")),Log[Blk]),0)=1,"Y",""))</f>
      </c>
      <c r="N688" s="17">
        <f>IF(Items[[#This Row],[ID]]="","",SUBSTITUTE(IFERROR(LOOKUP(2,1/((Log[ID]=Items[[#This Row],[ID]])*(Log[State]&lt;&gt;"")),Log[State]),"TODO"),"OPEN",IF(Items[[#This Row],[Blocked]]="Y","WAIT","OPEN")))</f>
      </c>
      <c r="O68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88" s="17">
        <f>IF(Items[[#This Row],[State]]&lt;&gt;"WAIT","",AsOf-Items[[#This Row],[Blocked since]])</f>
      </c>
      <c r="Q688" s="17">
        <f>IF(Items[[#This Row],[State]]&lt;&gt;"WAIT","",IFERROR(LOOKUP(2,1/((Log[ID]=Items[[#This Row],[ID]])*(Log[Verb]="block")),Log[Note])&amp;"",""))</f>
      </c>
      <c r="R688" s="17">
        <f>IF(Items[[#This Row],[ID]]="","",COUNTIFS(Log[ID],Items[[#This Row],[ID]],Log[Verb],"carry"))</f>
      </c>
      <c r="S688" s="17">
        <f>IF(Items[[#This Row],[ID]]="","",COUNTIFS(Log[ID],Items[[#This Row],[ID]],Log[Verb],"punt"))</f>
      </c>
      <c r="T688" s="11">
        <f>IF(Items[[#This Row],[State]]&lt;&gt;"DONE","",IFERROR(LOOKUP(2,1/((Log[ID]=Items[[#This Row],[ID]])*(Log[Verb]="done")),Log[Date]),""))</f>
      </c>
      <c r="U688" s="17">
        <f>IF(Items[[#This Row],[ID]]="","",IF(AND(Items[[#This Row],[Sprint]]=CurSprint,OR(Items[[#This Row],[State]]="OPEN",Items[[#This Row],[State]]="WAIT",Items[[#This Row],[State]]="HOLD",Items[[#This Row],[State]]="DONE")),1,0))</f>
      </c>
      <c r="V688" s="17">
        <f>IF(OR(Items[[#This Row],[ID]]="",Items[[#This Row],[Added]]=""),"",AsOf-Items[[#This Row],[Added]])</f>
      </c>
      <c r="W688" s="17">
        <f>IF(Items[[#This Row],[In sprint]]=1,(IF(Items[[#This Row],[Prio]]="",9,N(Items[[#This Row],[Prio]]))*10+(IF(Items[[#This Row],[State]]="DONE",1,0)))*100000+ROW(),"")</f>
      </c>
      <c r="X68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88" s="17">
        <f>IF(AND(Items[[#This Row],[State]]="DONE",N(Items[[#This Row],[Done on]])&gt;AsOf-7),(200000-N(Items[[#This Row],[Done on]]))*100000+ROW(),"")</f>
      </c>
    </row>
    <row r="689">
      <c r="A689" t="s">
        <v>851</v>
      </c>
      <c r="B689" t="s">
        <v>1910</v>
      </c>
      <c r="C689" t="s">
        <v>1107</v>
      </c>
      <c r="D689" t="s">
        <v>1127</v>
      </c>
      <c r="E689" t="s">
        <v>1128</v>
      </c>
      <c r="F689" t="s">
        <v>1292</v>
      </c>
      <c r="G689">
        <v>3</v>
      </c>
      <c r="H689">
        <v>3</v>
      </c>
      <c r="I689" s="11">
        <v>46217</v>
      </c>
      <c r="J689" s="17">
        <f>IF(Items[[#This Row],[ID]]="","",IFERROR(VALUE(LOOKUP(2,1/((Log[ID]=Items[[#This Row],[ID]])*(Log[Verb]="est")),Log[Arg])),N(Items[[#This Row],[Points]])))</f>
      </c>
      <c r="K689" s="17">
        <f>IF(Items[[#This Row],[ID]]="","",IFERROR(LOOKUP(2,1/((Log[ID]=Items[[#This Row],[ID]])*(Log[Verb]="pass")),Log[Arg])&amp;"",Items[[#This Row],[Team]]&amp;""))</f>
      </c>
      <c r="L689" s="17">
        <f>IF(Items[[#This Row],[ID]]="","",IFERROR(LOOKUP(2,1/((Log[ID]=Items[[#This Row],[ID]])*(Log[Into]&lt;&gt;"")),Log[Into]),""))</f>
      </c>
      <c r="M689" s="17">
        <f>IF(Items[[#This Row],[ID]]="","",IF(IFERROR(LOOKUP(2,1/((Log[ID]=Items[[#This Row],[ID]])*(Log[Blk]&lt;&gt;"")),Log[Blk]),0)=1,"Y",""))</f>
      </c>
      <c r="N689" s="17">
        <f>IF(Items[[#This Row],[ID]]="","",SUBSTITUTE(IFERROR(LOOKUP(2,1/((Log[ID]=Items[[#This Row],[ID]])*(Log[State]&lt;&gt;"")),Log[State]),"TODO"),"OPEN",IF(Items[[#This Row],[Blocked]]="Y","WAIT","OPEN")))</f>
      </c>
      <c r="O68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89" s="17">
        <f>IF(Items[[#This Row],[State]]&lt;&gt;"WAIT","",AsOf-Items[[#This Row],[Blocked since]])</f>
      </c>
      <c r="Q689" s="17">
        <f>IF(Items[[#This Row],[State]]&lt;&gt;"WAIT","",IFERROR(LOOKUP(2,1/((Log[ID]=Items[[#This Row],[ID]])*(Log[Verb]="block")),Log[Note])&amp;"",""))</f>
      </c>
      <c r="R689" s="17">
        <f>IF(Items[[#This Row],[ID]]="","",COUNTIFS(Log[ID],Items[[#This Row],[ID]],Log[Verb],"carry"))</f>
      </c>
      <c r="S689" s="17">
        <f>IF(Items[[#This Row],[ID]]="","",COUNTIFS(Log[ID],Items[[#This Row],[ID]],Log[Verb],"punt"))</f>
      </c>
      <c r="T689" s="11">
        <f>IF(Items[[#This Row],[State]]&lt;&gt;"DONE","",IFERROR(LOOKUP(2,1/((Log[ID]=Items[[#This Row],[ID]])*(Log[Verb]="done")),Log[Date]),""))</f>
      </c>
      <c r="U689" s="17">
        <f>IF(Items[[#This Row],[ID]]="","",IF(AND(Items[[#This Row],[Sprint]]=CurSprint,OR(Items[[#This Row],[State]]="OPEN",Items[[#This Row],[State]]="WAIT",Items[[#This Row],[State]]="HOLD",Items[[#This Row],[State]]="DONE")),1,0))</f>
      </c>
      <c r="V689" s="17">
        <f>IF(OR(Items[[#This Row],[ID]]="",Items[[#This Row],[Added]]=""),"",AsOf-Items[[#This Row],[Added]])</f>
      </c>
      <c r="W689" s="17">
        <f>IF(Items[[#This Row],[In sprint]]=1,(IF(Items[[#This Row],[Prio]]="",9,N(Items[[#This Row],[Prio]]))*10+(IF(Items[[#This Row],[State]]="DONE",1,0)))*100000+ROW(),"")</f>
      </c>
      <c r="X68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89" s="17">
        <f>IF(AND(Items[[#This Row],[State]]="DONE",N(Items[[#This Row],[Done on]])&gt;AsOf-7),(200000-N(Items[[#This Row],[Done on]]))*100000+ROW(),"")</f>
      </c>
    </row>
    <row r="690">
      <c r="A690" t="s">
        <v>852</v>
      </c>
      <c r="B690" t="s">
        <v>1911</v>
      </c>
      <c r="C690" t="s">
        <v>1115</v>
      </c>
      <c r="D690" t="s">
        <v>1116</v>
      </c>
      <c r="E690" t="s">
        <v>1128</v>
      </c>
      <c r="F690" t="s">
        <v>1360</v>
      </c>
      <c r="G690">
        <v>2</v>
      </c>
      <c r="H690">
        <v>3</v>
      </c>
      <c r="I690" s="11">
        <v>46217</v>
      </c>
      <c r="J690" s="17">
        <f>IF(Items[[#This Row],[ID]]="","",IFERROR(VALUE(LOOKUP(2,1/((Log[ID]=Items[[#This Row],[ID]])*(Log[Verb]="est")),Log[Arg])),N(Items[[#This Row],[Points]])))</f>
      </c>
      <c r="K690" s="17">
        <f>IF(Items[[#This Row],[ID]]="","",IFERROR(LOOKUP(2,1/((Log[ID]=Items[[#This Row],[ID]])*(Log[Verb]="pass")),Log[Arg])&amp;"",Items[[#This Row],[Team]]&amp;""))</f>
      </c>
      <c r="L690" s="17">
        <f>IF(Items[[#This Row],[ID]]="","",IFERROR(LOOKUP(2,1/((Log[ID]=Items[[#This Row],[ID]])*(Log[Into]&lt;&gt;"")),Log[Into]),""))</f>
      </c>
      <c r="M690" s="17">
        <f>IF(Items[[#This Row],[ID]]="","",IF(IFERROR(LOOKUP(2,1/((Log[ID]=Items[[#This Row],[ID]])*(Log[Blk]&lt;&gt;"")),Log[Blk]),0)=1,"Y",""))</f>
      </c>
      <c r="N690" s="17">
        <f>IF(Items[[#This Row],[ID]]="","",SUBSTITUTE(IFERROR(LOOKUP(2,1/((Log[ID]=Items[[#This Row],[ID]])*(Log[State]&lt;&gt;"")),Log[State]),"TODO"),"OPEN",IF(Items[[#This Row],[Blocked]]="Y","WAIT","OPEN")))</f>
      </c>
      <c r="O69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90" s="17">
        <f>IF(Items[[#This Row],[State]]&lt;&gt;"WAIT","",AsOf-Items[[#This Row],[Blocked since]])</f>
      </c>
      <c r="Q690" s="17">
        <f>IF(Items[[#This Row],[State]]&lt;&gt;"WAIT","",IFERROR(LOOKUP(2,1/((Log[ID]=Items[[#This Row],[ID]])*(Log[Verb]="block")),Log[Note])&amp;"",""))</f>
      </c>
      <c r="R690" s="17">
        <f>IF(Items[[#This Row],[ID]]="","",COUNTIFS(Log[ID],Items[[#This Row],[ID]],Log[Verb],"carry"))</f>
      </c>
      <c r="S690" s="17">
        <f>IF(Items[[#This Row],[ID]]="","",COUNTIFS(Log[ID],Items[[#This Row],[ID]],Log[Verb],"punt"))</f>
      </c>
      <c r="T690" s="11">
        <f>IF(Items[[#This Row],[State]]&lt;&gt;"DONE","",IFERROR(LOOKUP(2,1/((Log[ID]=Items[[#This Row],[ID]])*(Log[Verb]="done")),Log[Date]),""))</f>
      </c>
      <c r="U690" s="17">
        <f>IF(Items[[#This Row],[ID]]="","",IF(AND(Items[[#This Row],[Sprint]]=CurSprint,OR(Items[[#This Row],[State]]="OPEN",Items[[#This Row],[State]]="WAIT",Items[[#This Row],[State]]="HOLD",Items[[#This Row],[State]]="DONE")),1,0))</f>
      </c>
      <c r="V690" s="17">
        <f>IF(OR(Items[[#This Row],[ID]]="",Items[[#This Row],[Added]]=""),"",AsOf-Items[[#This Row],[Added]])</f>
      </c>
      <c r="W690" s="17">
        <f>IF(Items[[#This Row],[In sprint]]=1,(IF(Items[[#This Row],[Prio]]="",9,N(Items[[#This Row],[Prio]]))*10+(IF(Items[[#This Row],[State]]="DONE",1,0)))*100000+ROW(),"")</f>
      </c>
      <c r="X69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90" s="17">
        <f>IF(AND(Items[[#This Row],[State]]="DONE",N(Items[[#This Row],[Done on]])&gt;AsOf-7),(200000-N(Items[[#This Row],[Done on]]))*100000+ROW(),"")</f>
      </c>
    </row>
    <row r="691">
      <c r="A691" t="s">
        <v>853</v>
      </c>
      <c r="B691" t="s">
        <v>1912</v>
      </c>
      <c r="C691" t="s">
        <v>1107</v>
      </c>
      <c r="D691" t="s">
        <v>1108</v>
      </c>
      <c r="E691" t="s">
        <v>1128</v>
      </c>
      <c r="F691" t="s">
        <v>1296</v>
      </c>
      <c r="G691">
        <v>3</v>
      </c>
      <c r="H691">
        <v>3</v>
      </c>
      <c r="I691" s="11">
        <v>46217</v>
      </c>
      <c r="J691" s="17">
        <f>IF(Items[[#This Row],[ID]]="","",IFERROR(VALUE(LOOKUP(2,1/((Log[ID]=Items[[#This Row],[ID]])*(Log[Verb]="est")),Log[Arg])),N(Items[[#This Row],[Points]])))</f>
      </c>
      <c r="K691" s="17">
        <f>IF(Items[[#This Row],[ID]]="","",IFERROR(LOOKUP(2,1/((Log[ID]=Items[[#This Row],[ID]])*(Log[Verb]="pass")),Log[Arg])&amp;"",Items[[#This Row],[Team]]&amp;""))</f>
      </c>
      <c r="L691" s="17">
        <f>IF(Items[[#This Row],[ID]]="","",IFERROR(LOOKUP(2,1/((Log[ID]=Items[[#This Row],[ID]])*(Log[Into]&lt;&gt;"")),Log[Into]),""))</f>
      </c>
      <c r="M691" s="17">
        <f>IF(Items[[#This Row],[ID]]="","",IF(IFERROR(LOOKUP(2,1/((Log[ID]=Items[[#This Row],[ID]])*(Log[Blk]&lt;&gt;"")),Log[Blk]),0)=1,"Y",""))</f>
      </c>
      <c r="N691" s="17">
        <f>IF(Items[[#This Row],[ID]]="","",SUBSTITUTE(IFERROR(LOOKUP(2,1/((Log[ID]=Items[[#This Row],[ID]])*(Log[State]&lt;&gt;"")),Log[State]),"TODO"),"OPEN",IF(Items[[#This Row],[Blocked]]="Y","WAIT","OPEN")))</f>
      </c>
      <c r="O69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91" s="17">
        <f>IF(Items[[#This Row],[State]]&lt;&gt;"WAIT","",AsOf-Items[[#This Row],[Blocked since]])</f>
      </c>
      <c r="Q691" s="17">
        <f>IF(Items[[#This Row],[State]]&lt;&gt;"WAIT","",IFERROR(LOOKUP(2,1/((Log[ID]=Items[[#This Row],[ID]])*(Log[Verb]="block")),Log[Note])&amp;"",""))</f>
      </c>
      <c r="R691" s="17">
        <f>IF(Items[[#This Row],[ID]]="","",COUNTIFS(Log[ID],Items[[#This Row],[ID]],Log[Verb],"carry"))</f>
      </c>
      <c r="S691" s="17">
        <f>IF(Items[[#This Row],[ID]]="","",COUNTIFS(Log[ID],Items[[#This Row],[ID]],Log[Verb],"punt"))</f>
      </c>
      <c r="T691" s="11">
        <f>IF(Items[[#This Row],[State]]&lt;&gt;"DONE","",IFERROR(LOOKUP(2,1/((Log[ID]=Items[[#This Row],[ID]])*(Log[Verb]="done")),Log[Date]),""))</f>
      </c>
      <c r="U691" s="17">
        <f>IF(Items[[#This Row],[ID]]="","",IF(AND(Items[[#This Row],[Sprint]]=CurSprint,OR(Items[[#This Row],[State]]="OPEN",Items[[#This Row],[State]]="WAIT",Items[[#This Row],[State]]="HOLD",Items[[#This Row],[State]]="DONE")),1,0))</f>
      </c>
      <c r="V691" s="17">
        <f>IF(OR(Items[[#This Row],[ID]]="",Items[[#This Row],[Added]]=""),"",AsOf-Items[[#This Row],[Added]])</f>
      </c>
      <c r="W691" s="17">
        <f>IF(Items[[#This Row],[In sprint]]=1,(IF(Items[[#This Row],[Prio]]="",9,N(Items[[#This Row],[Prio]]))*10+(IF(Items[[#This Row],[State]]="DONE",1,0)))*100000+ROW(),"")</f>
      </c>
      <c r="X69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91" s="17">
        <f>IF(AND(Items[[#This Row],[State]]="DONE",N(Items[[#This Row],[Done on]])&gt;AsOf-7),(200000-N(Items[[#This Row],[Done on]]))*100000+ROW(),"")</f>
      </c>
    </row>
    <row r="692">
      <c r="A692" t="s">
        <v>854</v>
      </c>
      <c r="B692" t="s">
        <v>1913</v>
      </c>
      <c r="C692" t="s">
        <v>1107</v>
      </c>
      <c r="D692" t="s">
        <v>1127</v>
      </c>
      <c r="E692" t="s">
        <v>1128</v>
      </c>
      <c r="F692" t="s">
        <v>1129</v>
      </c>
      <c r="G692">
        <v>2</v>
      </c>
      <c r="H692">
        <v>1</v>
      </c>
      <c r="I692" s="11">
        <v>46217</v>
      </c>
      <c r="J692" s="17">
        <f>IF(Items[[#This Row],[ID]]="","",IFERROR(VALUE(LOOKUP(2,1/((Log[ID]=Items[[#This Row],[ID]])*(Log[Verb]="est")),Log[Arg])),N(Items[[#This Row],[Points]])))</f>
      </c>
      <c r="K692" s="17">
        <f>IF(Items[[#This Row],[ID]]="","",IFERROR(LOOKUP(2,1/((Log[ID]=Items[[#This Row],[ID]])*(Log[Verb]="pass")),Log[Arg])&amp;"",Items[[#This Row],[Team]]&amp;""))</f>
      </c>
      <c r="L692" s="17">
        <f>IF(Items[[#This Row],[ID]]="","",IFERROR(LOOKUP(2,1/((Log[ID]=Items[[#This Row],[ID]])*(Log[Into]&lt;&gt;"")),Log[Into]),""))</f>
      </c>
      <c r="M692" s="17">
        <f>IF(Items[[#This Row],[ID]]="","",IF(IFERROR(LOOKUP(2,1/((Log[ID]=Items[[#This Row],[ID]])*(Log[Blk]&lt;&gt;"")),Log[Blk]),0)=1,"Y",""))</f>
      </c>
      <c r="N692" s="17">
        <f>IF(Items[[#This Row],[ID]]="","",SUBSTITUTE(IFERROR(LOOKUP(2,1/((Log[ID]=Items[[#This Row],[ID]])*(Log[State]&lt;&gt;"")),Log[State]),"TODO"),"OPEN",IF(Items[[#This Row],[Blocked]]="Y","WAIT","OPEN")))</f>
      </c>
      <c r="O69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92" s="17">
        <f>IF(Items[[#This Row],[State]]&lt;&gt;"WAIT","",AsOf-Items[[#This Row],[Blocked since]])</f>
      </c>
      <c r="Q692" s="17">
        <f>IF(Items[[#This Row],[State]]&lt;&gt;"WAIT","",IFERROR(LOOKUP(2,1/((Log[ID]=Items[[#This Row],[ID]])*(Log[Verb]="block")),Log[Note])&amp;"",""))</f>
      </c>
      <c r="R692" s="17">
        <f>IF(Items[[#This Row],[ID]]="","",COUNTIFS(Log[ID],Items[[#This Row],[ID]],Log[Verb],"carry"))</f>
      </c>
      <c r="S692" s="17">
        <f>IF(Items[[#This Row],[ID]]="","",COUNTIFS(Log[ID],Items[[#This Row],[ID]],Log[Verb],"punt"))</f>
      </c>
      <c r="T692" s="11">
        <f>IF(Items[[#This Row],[State]]&lt;&gt;"DONE","",IFERROR(LOOKUP(2,1/((Log[ID]=Items[[#This Row],[ID]])*(Log[Verb]="done")),Log[Date]),""))</f>
      </c>
      <c r="U692" s="17">
        <f>IF(Items[[#This Row],[ID]]="","",IF(AND(Items[[#This Row],[Sprint]]=CurSprint,OR(Items[[#This Row],[State]]="OPEN",Items[[#This Row],[State]]="WAIT",Items[[#This Row],[State]]="HOLD",Items[[#This Row],[State]]="DONE")),1,0))</f>
      </c>
      <c r="V692" s="17">
        <f>IF(OR(Items[[#This Row],[ID]]="",Items[[#This Row],[Added]]=""),"",AsOf-Items[[#This Row],[Added]])</f>
      </c>
      <c r="W692" s="17">
        <f>IF(Items[[#This Row],[In sprint]]=1,(IF(Items[[#This Row],[Prio]]="",9,N(Items[[#This Row],[Prio]]))*10+(IF(Items[[#This Row],[State]]="DONE",1,0)))*100000+ROW(),"")</f>
      </c>
      <c r="X69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92" s="17">
        <f>IF(AND(Items[[#This Row],[State]]="DONE",N(Items[[#This Row],[Done on]])&gt;AsOf-7),(200000-N(Items[[#This Row],[Done on]]))*100000+ROW(),"")</f>
      </c>
    </row>
    <row r="693">
      <c r="A693" t="s">
        <v>855</v>
      </c>
      <c r="B693" t="s">
        <v>1914</v>
      </c>
      <c r="C693" t="s">
        <v>1115</v>
      </c>
      <c r="D693" t="s">
        <v>1119</v>
      </c>
      <c r="E693" t="s">
        <v>1128</v>
      </c>
      <c r="F693" t="s">
        <v>1366</v>
      </c>
      <c r="G693">
        <v>8</v>
      </c>
      <c r="H693">
        <v>3</v>
      </c>
      <c r="I693" s="11">
        <v>46217</v>
      </c>
      <c r="J693" s="17">
        <f>IF(Items[[#This Row],[ID]]="","",IFERROR(VALUE(LOOKUP(2,1/((Log[ID]=Items[[#This Row],[ID]])*(Log[Verb]="est")),Log[Arg])),N(Items[[#This Row],[Points]])))</f>
      </c>
      <c r="K693" s="17">
        <f>IF(Items[[#This Row],[ID]]="","",IFERROR(LOOKUP(2,1/((Log[ID]=Items[[#This Row],[ID]])*(Log[Verb]="pass")),Log[Arg])&amp;"",Items[[#This Row],[Team]]&amp;""))</f>
      </c>
      <c r="L693" s="17">
        <f>IF(Items[[#This Row],[ID]]="","",IFERROR(LOOKUP(2,1/((Log[ID]=Items[[#This Row],[ID]])*(Log[Into]&lt;&gt;"")),Log[Into]),""))</f>
      </c>
      <c r="M693" s="17">
        <f>IF(Items[[#This Row],[ID]]="","",IF(IFERROR(LOOKUP(2,1/((Log[ID]=Items[[#This Row],[ID]])*(Log[Blk]&lt;&gt;"")),Log[Blk]),0)=1,"Y",""))</f>
      </c>
      <c r="N693" s="17">
        <f>IF(Items[[#This Row],[ID]]="","",SUBSTITUTE(IFERROR(LOOKUP(2,1/((Log[ID]=Items[[#This Row],[ID]])*(Log[State]&lt;&gt;"")),Log[State]),"TODO"),"OPEN",IF(Items[[#This Row],[Blocked]]="Y","WAIT","OPEN")))</f>
      </c>
      <c r="O69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93" s="17">
        <f>IF(Items[[#This Row],[State]]&lt;&gt;"WAIT","",AsOf-Items[[#This Row],[Blocked since]])</f>
      </c>
      <c r="Q693" s="17">
        <f>IF(Items[[#This Row],[State]]&lt;&gt;"WAIT","",IFERROR(LOOKUP(2,1/((Log[ID]=Items[[#This Row],[ID]])*(Log[Verb]="block")),Log[Note])&amp;"",""))</f>
      </c>
      <c r="R693" s="17">
        <f>IF(Items[[#This Row],[ID]]="","",COUNTIFS(Log[ID],Items[[#This Row],[ID]],Log[Verb],"carry"))</f>
      </c>
      <c r="S693" s="17">
        <f>IF(Items[[#This Row],[ID]]="","",COUNTIFS(Log[ID],Items[[#This Row],[ID]],Log[Verb],"punt"))</f>
      </c>
      <c r="T693" s="11">
        <f>IF(Items[[#This Row],[State]]&lt;&gt;"DONE","",IFERROR(LOOKUP(2,1/((Log[ID]=Items[[#This Row],[ID]])*(Log[Verb]="done")),Log[Date]),""))</f>
      </c>
      <c r="U693" s="17">
        <f>IF(Items[[#This Row],[ID]]="","",IF(AND(Items[[#This Row],[Sprint]]=CurSprint,OR(Items[[#This Row],[State]]="OPEN",Items[[#This Row],[State]]="WAIT",Items[[#This Row],[State]]="HOLD",Items[[#This Row],[State]]="DONE")),1,0))</f>
      </c>
      <c r="V693" s="17">
        <f>IF(OR(Items[[#This Row],[ID]]="",Items[[#This Row],[Added]]=""),"",AsOf-Items[[#This Row],[Added]])</f>
      </c>
      <c r="W693" s="17">
        <f>IF(Items[[#This Row],[In sprint]]=1,(IF(Items[[#This Row],[Prio]]="",9,N(Items[[#This Row],[Prio]]))*10+(IF(Items[[#This Row],[State]]="DONE",1,0)))*100000+ROW(),"")</f>
      </c>
      <c r="X69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93" s="17">
        <f>IF(AND(Items[[#This Row],[State]]="DONE",N(Items[[#This Row],[Done on]])&gt;AsOf-7),(200000-N(Items[[#This Row],[Done on]]))*100000+ROW(),"")</f>
      </c>
    </row>
    <row r="694">
      <c r="A694" t="s">
        <v>859</v>
      </c>
      <c r="B694" t="s">
        <v>1915</v>
      </c>
      <c r="C694" t="s">
        <v>1107</v>
      </c>
      <c r="D694" t="s">
        <v>1127</v>
      </c>
      <c r="E694" t="s">
        <v>1109</v>
      </c>
      <c r="F694" t="s">
        <v>1227</v>
      </c>
      <c r="G694">
        <v>3</v>
      </c>
      <c r="H694">
        <v>3</v>
      </c>
      <c r="I694" s="11">
        <v>46217</v>
      </c>
      <c r="J694" s="17">
        <f>IF(Items[[#This Row],[ID]]="","",IFERROR(VALUE(LOOKUP(2,1/((Log[ID]=Items[[#This Row],[ID]])*(Log[Verb]="est")),Log[Arg])),N(Items[[#This Row],[Points]])))</f>
      </c>
      <c r="K694" s="17">
        <f>IF(Items[[#This Row],[ID]]="","",IFERROR(LOOKUP(2,1/((Log[ID]=Items[[#This Row],[ID]])*(Log[Verb]="pass")),Log[Arg])&amp;"",Items[[#This Row],[Team]]&amp;""))</f>
      </c>
      <c r="L694" s="17">
        <f>IF(Items[[#This Row],[ID]]="","",IFERROR(LOOKUP(2,1/((Log[ID]=Items[[#This Row],[ID]])*(Log[Into]&lt;&gt;"")),Log[Into]),""))</f>
      </c>
      <c r="M694" s="17">
        <f>IF(Items[[#This Row],[ID]]="","",IF(IFERROR(LOOKUP(2,1/((Log[ID]=Items[[#This Row],[ID]])*(Log[Blk]&lt;&gt;"")),Log[Blk]),0)=1,"Y",""))</f>
      </c>
      <c r="N694" s="17">
        <f>IF(Items[[#This Row],[ID]]="","",SUBSTITUTE(IFERROR(LOOKUP(2,1/((Log[ID]=Items[[#This Row],[ID]])*(Log[State]&lt;&gt;"")),Log[State]),"TODO"),"OPEN",IF(Items[[#This Row],[Blocked]]="Y","WAIT","OPEN")))</f>
      </c>
      <c r="O69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94" s="17">
        <f>IF(Items[[#This Row],[State]]&lt;&gt;"WAIT","",AsOf-Items[[#This Row],[Blocked since]])</f>
      </c>
      <c r="Q694" s="17">
        <f>IF(Items[[#This Row],[State]]&lt;&gt;"WAIT","",IFERROR(LOOKUP(2,1/((Log[ID]=Items[[#This Row],[ID]])*(Log[Verb]="block")),Log[Note])&amp;"",""))</f>
      </c>
      <c r="R694" s="17">
        <f>IF(Items[[#This Row],[ID]]="","",COUNTIFS(Log[ID],Items[[#This Row],[ID]],Log[Verb],"carry"))</f>
      </c>
      <c r="S694" s="17">
        <f>IF(Items[[#This Row],[ID]]="","",COUNTIFS(Log[ID],Items[[#This Row],[ID]],Log[Verb],"punt"))</f>
      </c>
      <c r="T694" s="11">
        <f>IF(Items[[#This Row],[State]]&lt;&gt;"DONE","",IFERROR(LOOKUP(2,1/((Log[ID]=Items[[#This Row],[ID]])*(Log[Verb]="done")),Log[Date]),""))</f>
      </c>
      <c r="U694" s="17">
        <f>IF(Items[[#This Row],[ID]]="","",IF(AND(Items[[#This Row],[Sprint]]=CurSprint,OR(Items[[#This Row],[State]]="OPEN",Items[[#This Row],[State]]="WAIT",Items[[#This Row],[State]]="HOLD",Items[[#This Row],[State]]="DONE")),1,0))</f>
      </c>
      <c r="V694" s="17">
        <f>IF(OR(Items[[#This Row],[ID]]="",Items[[#This Row],[Added]]=""),"",AsOf-Items[[#This Row],[Added]])</f>
      </c>
      <c r="W694" s="17">
        <f>IF(Items[[#This Row],[In sprint]]=1,(IF(Items[[#This Row],[Prio]]="",9,N(Items[[#This Row],[Prio]]))*10+(IF(Items[[#This Row],[State]]="DONE",1,0)))*100000+ROW(),"")</f>
      </c>
      <c r="X69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94" s="17">
        <f>IF(AND(Items[[#This Row],[State]]="DONE",N(Items[[#This Row],[Done on]])&gt;AsOf-7),(200000-N(Items[[#This Row],[Done on]]))*100000+ROW(),"")</f>
      </c>
    </row>
    <row r="695">
      <c r="A695" t="s">
        <v>860</v>
      </c>
      <c r="B695" t="s">
        <v>1916</v>
      </c>
      <c r="C695" t="s">
        <v>1115</v>
      </c>
      <c r="D695" t="s">
        <v>1116</v>
      </c>
      <c r="E695" t="s">
        <v>1109</v>
      </c>
      <c r="F695" t="s">
        <v>1370</v>
      </c>
      <c r="G695">
        <v>8</v>
      </c>
      <c r="H695">
        <v>1</v>
      </c>
      <c r="I695" s="11">
        <v>46217</v>
      </c>
      <c r="J695" s="17">
        <f>IF(Items[[#This Row],[ID]]="","",IFERROR(VALUE(LOOKUP(2,1/((Log[ID]=Items[[#This Row],[ID]])*(Log[Verb]="est")),Log[Arg])),N(Items[[#This Row],[Points]])))</f>
      </c>
      <c r="K695" s="17">
        <f>IF(Items[[#This Row],[ID]]="","",IFERROR(LOOKUP(2,1/((Log[ID]=Items[[#This Row],[ID]])*(Log[Verb]="pass")),Log[Arg])&amp;"",Items[[#This Row],[Team]]&amp;""))</f>
      </c>
      <c r="L695" s="17">
        <f>IF(Items[[#This Row],[ID]]="","",IFERROR(LOOKUP(2,1/((Log[ID]=Items[[#This Row],[ID]])*(Log[Into]&lt;&gt;"")),Log[Into]),""))</f>
      </c>
      <c r="M695" s="17">
        <f>IF(Items[[#This Row],[ID]]="","",IF(IFERROR(LOOKUP(2,1/((Log[ID]=Items[[#This Row],[ID]])*(Log[Blk]&lt;&gt;"")),Log[Blk]),0)=1,"Y",""))</f>
      </c>
      <c r="N695" s="17">
        <f>IF(Items[[#This Row],[ID]]="","",SUBSTITUTE(IFERROR(LOOKUP(2,1/((Log[ID]=Items[[#This Row],[ID]])*(Log[State]&lt;&gt;"")),Log[State]),"TODO"),"OPEN",IF(Items[[#This Row],[Blocked]]="Y","WAIT","OPEN")))</f>
      </c>
      <c r="O69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95" s="17">
        <f>IF(Items[[#This Row],[State]]&lt;&gt;"WAIT","",AsOf-Items[[#This Row],[Blocked since]])</f>
      </c>
      <c r="Q695" s="17">
        <f>IF(Items[[#This Row],[State]]&lt;&gt;"WAIT","",IFERROR(LOOKUP(2,1/((Log[ID]=Items[[#This Row],[ID]])*(Log[Verb]="block")),Log[Note])&amp;"",""))</f>
      </c>
      <c r="R695" s="17">
        <f>IF(Items[[#This Row],[ID]]="","",COUNTIFS(Log[ID],Items[[#This Row],[ID]],Log[Verb],"carry"))</f>
      </c>
      <c r="S695" s="17">
        <f>IF(Items[[#This Row],[ID]]="","",COUNTIFS(Log[ID],Items[[#This Row],[ID]],Log[Verb],"punt"))</f>
      </c>
      <c r="T695" s="11">
        <f>IF(Items[[#This Row],[State]]&lt;&gt;"DONE","",IFERROR(LOOKUP(2,1/((Log[ID]=Items[[#This Row],[ID]])*(Log[Verb]="done")),Log[Date]),""))</f>
      </c>
      <c r="U695" s="17">
        <f>IF(Items[[#This Row],[ID]]="","",IF(AND(Items[[#This Row],[Sprint]]=CurSprint,OR(Items[[#This Row],[State]]="OPEN",Items[[#This Row],[State]]="WAIT",Items[[#This Row],[State]]="HOLD",Items[[#This Row],[State]]="DONE")),1,0))</f>
      </c>
      <c r="V695" s="17">
        <f>IF(OR(Items[[#This Row],[ID]]="",Items[[#This Row],[Added]]=""),"",AsOf-Items[[#This Row],[Added]])</f>
      </c>
      <c r="W695" s="17">
        <f>IF(Items[[#This Row],[In sprint]]=1,(IF(Items[[#This Row],[Prio]]="",9,N(Items[[#This Row],[Prio]]))*10+(IF(Items[[#This Row],[State]]="DONE",1,0)))*100000+ROW(),"")</f>
      </c>
      <c r="X69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95" s="17">
        <f>IF(AND(Items[[#This Row],[State]]="DONE",N(Items[[#This Row],[Done on]])&gt;AsOf-7),(200000-N(Items[[#This Row],[Done on]]))*100000+ROW(),"")</f>
      </c>
    </row>
    <row r="696">
      <c r="A696" t="s">
        <v>861</v>
      </c>
      <c r="B696" t="s">
        <v>1917</v>
      </c>
      <c r="C696" t="s">
        <v>1115</v>
      </c>
      <c r="D696" t="s">
        <v>1119</v>
      </c>
      <c r="E696" t="s">
        <v>1109</v>
      </c>
      <c r="F696" t="s">
        <v>1222</v>
      </c>
      <c r="G696">
        <v>8</v>
      </c>
      <c r="H696">
        <v>1</v>
      </c>
      <c r="I696" s="11">
        <v>46217</v>
      </c>
      <c r="J696" s="17">
        <f>IF(Items[[#This Row],[ID]]="","",IFERROR(VALUE(LOOKUP(2,1/((Log[ID]=Items[[#This Row],[ID]])*(Log[Verb]="est")),Log[Arg])),N(Items[[#This Row],[Points]])))</f>
      </c>
      <c r="K696" s="17">
        <f>IF(Items[[#This Row],[ID]]="","",IFERROR(LOOKUP(2,1/((Log[ID]=Items[[#This Row],[ID]])*(Log[Verb]="pass")),Log[Arg])&amp;"",Items[[#This Row],[Team]]&amp;""))</f>
      </c>
      <c r="L696" s="17">
        <f>IF(Items[[#This Row],[ID]]="","",IFERROR(LOOKUP(2,1/((Log[ID]=Items[[#This Row],[ID]])*(Log[Into]&lt;&gt;"")),Log[Into]),""))</f>
      </c>
      <c r="M696" s="17">
        <f>IF(Items[[#This Row],[ID]]="","",IF(IFERROR(LOOKUP(2,1/((Log[ID]=Items[[#This Row],[ID]])*(Log[Blk]&lt;&gt;"")),Log[Blk]),0)=1,"Y",""))</f>
      </c>
      <c r="N696" s="17">
        <f>IF(Items[[#This Row],[ID]]="","",SUBSTITUTE(IFERROR(LOOKUP(2,1/((Log[ID]=Items[[#This Row],[ID]])*(Log[State]&lt;&gt;"")),Log[State]),"TODO"),"OPEN",IF(Items[[#This Row],[Blocked]]="Y","WAIT","OPEN")))</f>
      </c>
      <c r="O69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96" s="17">
        <f>IF(Items[[#This Row],[State]]&lt;&gt;"WAIT","",AsOf-Items[[#This Row],[Blocked since]])</f>
      </c>
      <c r="Q696" s="17">
        <f>IF(Items[[#This Row],[State]]&lt;&gt;"WAIT","",IFERROR(LOOKUP(2,1/((Log[ID]=Items[[#This Row],[ID]])*(Log[Verb]="block")),Log[Note])&amp;"",""))</f>
      </c>
      <c r="R696" s="17">
        <f>IF(Items[[#This Row],[ID]]="","",COUNTIFS(Log[ID],Items[[#This Row],[ID]],Log[Verb],"carry"))</f>
      </c>
      <c r="S696" s="17">
        <f>IF(Items[[#This Row],[ID]]="","",COUNTIFS(Log[ID],Items[[#This Row],[ID]],Log[Verb],"punt"))</f>
      </c>
      <c r="T696" s="11">
        <f>IF(Items[[#This Row],[State]]&lt;&gt;"DONE","",IFERROR(LOOKUP(2,1/((Log[ID]=Items[[#This Row],[ID]])*(Log[Verb]="done")),Log[Date]),""))</f>
      </c>
      <c r="U696" s="17">
        <f>IF(Items[[#This Row],[ID]]="","",IF(AND(Items[[#This Row],[Sprint]]=CurSprint,OR(Items[[#This Row],[State]]="OPEN",Items[[#This Row],[State]]="WAIT",Items[[#This Row],[State]]="HOLD",Items[[#This Row],[State]]="DONE")),1,0))</f>
      </c>
      <c r="V696" s="17">
        <f>IF(OR(Items[[#This Row],[ID]]="",Items[[#This Row],[Added]]=""),"",AsOf-Items[[#This Row],[Added]])</f>
      </c>
      <c r="W696" s="17">
        <f>IF(Items[[#This Row],[In sprint]]=1,(IF(Items[[#This Row],[Prio]]="",9,N(Items[[#This Row],[Prio]]))*10+(IF(Items[[#This Row],[State]]="DONE",1,0)))*100000+ROW(),"")</f>
      </c>
      <c r="X69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96" s="17">
        <f>IF(AND(Items[[#This Row],[State]]="DONE",N(Items[[#This Row],[Done on]])&gt;AsOf-7),(200000-N(Items[[#This Row],[Done on]]))*100000+ROW(),"")</f>
      </c>
    </row>
    <row r="697">
      <c r="A697" t="s">
        <v>862</v>
      </c>
      <c r="B697" t="s">
        <v>1918</v>
      </c>
      <c r="C697" t="s">
        <v>1107</v>
      </c>
      <c r="D697" t="s">
        <v>1123</v>
      </c>
      <c r="E697" t="s">
        <v>1109</v>
      </c>
      <c r="F697" t="s">
        <v>1220</v>
      </c>
      <c r="G697">
        <v>5</v>
      </c>
      <c r="H697">
        <v>2</v>
      </c>
      <c r="I697" s="11">
        <v>46217</v>
      </c>
      <c r="J697" s="17">
        <f>IF(Items[[#This Row],[ID]]="","",IFERROR(VALUE(LOOKUP(2,1/((Log[ID]=Items[[#This Row],[ID]])*(Log[Verb]="est")),Log[Arg])),N(Items[[#This Row],[Points]])))</f>
      </c>
      <c r="K697" s="17">
        <f>IF(Items[[#This Row],[ID]]="","",IFERROR(LOOKUP(2,1/((Log[ID]=Items[[#This Row],[ID]])*(Log[Verb]="pass")),Log[Arg])&amp;"",Items[[#This Row],[Team]]&amp;""))</f>
      </c>
      <c r="L697" s="17">
        <f>IF(Items[[#This Row],[ID]]="","",IFERROR(LOOKUP(2,1/((Log[ID]=Items[[#This Row],[ID]])*(Log[Into]&lt;&gt;"")),Log[Into]),""))</f>
      </c>
      <c r="M697" s="17">
        <f>IF(Items[[#This Row],[ID]]="","",IF(IFERROR(LOOKUP(2,1/((Log[ID]=Items[[#This Row],[ID]])*(Log[Blk]&lt;&gt;"")),Log[Blk]),0)=1,"Y",""))</f>
      </c>
      <c r="N697" s="17">
        <f>IF(Items[[#This Row],[ID]]="","",SUBSTITUTE(IFERROR(LOOKUP(2,1/((Log[ID]=Items[[#This Row],[ID]])*(Log[State]&lt;&gt;"")),Log[State]),"TODO"),"OPEN",IF(Items[[#This Row],[Blocked]]="Y","WAIT","OPEN")))</f>
      </c>
      <c r="O69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97" s="17">
        <f>IF(Items[[#This Row],[State]]&lt;&gt;"WAIT","",AsOf-Items[[#This Row],[Blocked since]])</f>
      </c>
      <c r="Q697" s="17">
        <f>IF(Items[[#This Row],[State]]&lt;&gt;"WAIT","",IFERROR(LOOKUP(2,1/((Log[ID]=Items[[#This Row],[ID]])*(Log[Verb]="block")),Log[Note])&amp;"",""))</f>
      </c>
      <c r="R697" s="17">
        <f>IF(Items[[#This Row],[ID]]="","",COUNTIFS(Log[ID],Items[[#This Row],[ID]],Log[Verb],"carry"))</f>
      </c>
      <c r="S697" s="17">
        <f>IF(Items[[#This Row],[ID]]="","",COUNTIFS(Log[ID],Items[[#This Row],[ID]],Log[Verb],"punt"))</f>
      </c>
      <c r="T697" s="11">
        <f>IF(Items[[#This Row],[State]]&lt;&gt;"DONE","",IFERROR(LOOKUP(2,1/((Log[ID]=Items[[#This Row],[ID]])*(Log[Verb]="done")),Log[Date]),""))</f>
      </c>
      <c r="U697" s="17">
        <f>IF(Items[[#This Row],[ID]]="","",IF(AND(Items[[#This Row],[Sprint]]=CurSprint,OR(Items[[#This Row],[State]]="OPEN",Items[[#This Row],[State]]="WAIT",Items[[#This Row],[State]]="HOLD",Items[[#This Row],[State]]="DONE")),1,0))</f>
      </c>
      <c r="V697" s="17">
        <f>IF(OR(Items[[#This Row],[ID]]="",Items[[#This Row],[Added]]=""),"",AsOf-Items[[#This Row],[Added]])</f>
      </c>
      <c r="W697" s="17">
        <f>IF(Items[[#This Row],[In sprint]]=1,(IF(Items[[#This Row],[Prio]]="",9,N(Items[[#This Row],[Prio]]))*10+(IF(Items[[#This Row],[State]]="DONE",1,0)))*100000+ROW(),"")</f>
      </c>
      <c r="X69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97" s="17">
        <f>IF(AND(Items[[#This Row],[State]]="DONE",N(Items[[#This Row],[Done on]])&gt;AsOf-7),(200000-N(Items[[#This Row],[Done on]]))*100000+ROW(),"")</f>
      </c>
    </row>
    <row r="698">
      <c r="A698" t="s">
        <v>863</v>
      </c>
      <c r="B698" t="s">
        <v>1919</v>
      </c>
      <c r="C698" t="s">
        <v>1115</v>
      </c>
      <c r="D698" t="s">
        <v>1116</v>
      </c>
      <c r="E698" t="s">
        <v>1109</v>
      </c>
      <c r="F698" t="s">
        <v>1302</v>
      </c>
      <c r="G698">
        <v>2</v>
      </c>
      <c r="H698">
        <v>1</v>
      </c>
      <c r="I698" s="11">
        <v>46217</v>
      </c>
      <c r="J698" s="17">
        <f>IF(Items[[#This Row],[ID]]="","",IFERROR(VALUE(LOOKUP(2,1/((Log[ID]=Items[[#This Row],[ID]])*(Log[Verb]="est")),Log[Arg])),N(Items[[#This Row],[Points]])))</f>
      </c>
      <c r="K698" s="17">
        <f>IF(Items[[#This Row],[ID]]="","",IFERROR(LOOKUP(2,1/((Log[ID]=Items[[#This Row],[ID]])*(Log[Verb]="pass")),Log[Arg])&amp;"",Items[[#This Row],[Team]]&amp;""))</f>
      </c>
      <c r="L698" s="17">
        <f>IF(Items[[#This Row],[ID]]="","",IFERROR(LOOKUP(2,1/((Log[ID]=Items[[#This Row],[ID]])*(Log[Into]&lt;&gt;"")),Log[Into]),""))</f>
      </c>
      <c r="M698" s="17">
        <f>IF(Items[[#This Row],[ID]]="","",IF(IFERROR(LOOKUP(2,1/((Log[ID]=Items[[#This Row],[ID]])*(Log[Blk]&lt;&gt;"")),Log[Blk]),0)=1,"Y",""))</f>
      </c>
      <c r="N698" s="17">
        <f>IF(Items[[#This Row],[ID]]="","",SUBSTITUTE(IFERROR(LOOKUP(2,1/((Log[ID]=Items[[#This Row],[ID]])*(Log[State]&lt;&gt;"")),Log[State]),"TODO"),"OPEN",IF(Items[[#This Row],[Blocked]]="Y","WAIT","OPEN")))</f>
      </c>
      <c r="O69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98" s="17">
        <f>IF(Items[[#This Row],[State]]&lt;&gt;"WAIT","",AsOf-Items[[#This Row],[Blocked since]])</f>
      </c>
      <c r="Q698" s="17">
        <f>IF(Items[[#This Row],[State]]&lt;&gt;"WAIT","",IFERROR(LOOKUP(2,1/((Log[ID]=Items[[#This Row],[ID]])*(Log[Verb]="block")),Log[Note])&amp;"",""))</f>
      </c>
      <c r="R698" s="17">
        <f>IF(Items[[#This Row],[ID]]="","",COUNTIFS(Log[ID],Items[[#This Row],[ID]],Log[Verb],"carry"))</f>
      </c>
      <c r="S698" s="17">
        <f>IF(Items[[#This Row],[ID]]="","",COUNTIFS(Log[ID],Items[[#This Row],[ID]],Log[Verb],"punt"))</f>
      </c>
      <c r="T698" s="11">
        <f>IF(Items[[#This Row],[State]]&lt;&gt;"DONE","",IFERROR(LOOKUP(2,1/((Log[ID]=Items[[#This Row],[ID]])*(Log[Verb]="done")),Log[Date]),""))</f>
      </c>
      <c r="U698" s="17">
        <f>IF(Items[[#This Row],[ID]]="","",IF(AND(Items[[#This Row],[Sprint]]=CurSprint,OR(Items[[#This Row],[State]]="OPEN",Items[[#This Row],[State]]="WAIT",Items[[#This Row],[State]]="HOLD",Items[[#This Row],[State]]="DONE")),1,0))</f>
      </c>
      <c r="V698" s="17">
        <f>IF(OR(Items[[#This Row],[ID]]="",Items[[#This Row],[Added]]=""),"",AsOf-Items[[#This Row],[Added]])</f>
      </c>
      <c r="W698" s="17">
        <f>IF(Items[[#This Row],[In sprint]]=1,(IF(Items[[#This Row],[Prio]]="",9,N(Items[[#This Row],[Prio]]))*10+(IF(Items[[#This Row],[State]]="DONE",1,0)))*100000+ROW(),"")</f>
      </c>
      <c r="X69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98" s="17">
        <f>IF(AND(Items[[#This Row],[State]]="DONE",N(Items[[#This Row],[Done on]])&gt;AsOf-7),(200000-N(Items[[#This Row],[Done on]]))*100000+ROW(),"")</f>
      </c>
    </row>
    <row r="699">
      <c r="A699" t="s">
        <v>922</v>
      </c>
      <c r="B699" t="s">
        <v>1920</v>
      </c>
      <c r="C699" t="s">
        <v>1107</v>
      </c>
      <c r="D699" t="s">
        <v>1127</v>
      </c>
      <c r="E699" t="s">
        <v>1109</v>
      </c>
      <c r="F699" t="s">
        <v>1511</v>
      </c>
      <c r="G699">
        <v>8</v>
      </c>
      <c r="H699">
        <v>2</v>
      </c>
      <c r="I699" s="11">
        <v>46217</v>
      </c>
      <c r="J699" s="17">
        <f>IF(Items[[#This Row],[ID]]="","",IFERROR(VALUE(LOOKUP(2,1/((Log[ID]=Items[[#This Row],[ID]])*(Log[Verb]="est")),Log[Arg])),N(Items[[#This Row],[Points]])))</f>
      </c>
      <c r="K699" s="17">
        <f>IF(Items[[#This Row],[ID]]="","",IFERROR(LOOKUP(2,1/((Log[ID]=Items[[#This Row],[ID]])*(Log[Verb]="pass")),Log[Arg])&amp;"",Items[[#This Row],[Team]]&amp;""))</f>
      </c>
      <c r="L699" s="17">
        <f>IF(Items[[#This Row],[ID]]="","",IFERROR(LOOKUP(2,1/((Log[ID]=Items[[#This Row],[ID]])*(Log[Into]&lt;&gt;"")),Log[Into]),""))</f>
      </c>
      <c r="M699" s="17">
        <f>IF(Items[[#This Row],[ID]]="","",IF(IFERROR(LOOKUP(2,1/((Log[ID]=Items[[#This Row],[ID]])*(Log[Blk]&lt;&gt;"")),Log[Blk]),0)=1,"Y",""))</f>
      </c>
      <c r="N699" s="17">
        <f>IF(Items[[#This Row],[ID]]="","",SUBSTITUTE(IFERROR(LOOKUP(2,1/((Log[ID]=Items[[#This Row],[ID]])*(Log[State]&lt;&gt;"")),Log[State]),"TODO"),"OPEN",IF(Items[[#This Row],[Blocked]]="Y","WAIT","OPEN")))</f>
      </c>
      <c r="O69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99" s="17">
        <f>IF(Items[[#This Row],[State]]&lt;&gt;"WAIT","",AsOf-Items[[#This Row],[Blocked since]])</f>
      </c>
      <c r="Q699" s="17">
        <f>IF(Items[[#This Row],[State]]&lt;&gt;"WAIT","",IFERROR(LOOKUP(2,1/((Log[ID]=Items[[#This Row],[ID]])*(Log[Verb]="block")),Log[Note])&amp;"",""))</f>
      </c>
      <c r="R699" s="17">
        <f>IF(Items[[#This Row],[ID]]="","",COUNTIFS(Log[ID],Items[[#This Row],[ID]],Log[Verb],"carry"))</f>
      </c>
      <c r="S699" s="17">
        <f>IF(Items[[#This Row],[ID]]="","",COUNTIFS(Log[ID],Items[[#This Row],[ID]],Log[Verb],"punt"))</f>
      </c>
      <c r="T699" s="11">
        <f>IF(Items[[#This Row],[State]]&lt;&gt;"DONE","",IFERROR(LOOKUP(2,1/((Log[ID]=Items[[#This Row],[ID]])*(Log[Verb]="done")),Log[Date]),""))</f>
      </c>
      <c r="U699" s="17">
        <f>IF(Items[[#This Row],[ID]]="","",IF(AND(Items[[#This Row],[Sprint]]=CurSprint,OR(Items[[#This Row],[State]]="OPEN",Items[[#This Row],[State]]="WAIT",Items[[#This Row],[State]]="HOLD",Items[[#This Row],[State]]="DONE")),1,0))</f>
      </c>
      <c r="V699" s="17">
        <f>IF(OR(Items[[#This Row],[ID]]="",Items[[#This Row],[Added]]=""),"",AsOf-Items[[#This Row],[Added]])</f>
      </c>
      <c r="W699" s="17">
        <f>IF(Items[[#This Row],[In sprint]]=1,(IF(Items[[#This Row],[Prio]]="",9,N(Items[[#This Row],[Prio]]))*10+(IF(Items[[#This Row],[State]]="DONE",1,0)))*100000+ROW(),"")</f>
      </c>
      <c r="X69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99" s="17">
        <f>IF(AND(Items[[#This Row],[State]]="DONE",N(Items[[#This Row],[Done on]])&gt;AsOf-7),(200000-N(Items[[#This Row],[Done on]]))*100000+ROW(),"")</f>
      </c>
    </row>
    <row r="700">
      <c r="A700" t="s">
        <v>869</v>
      </c>
      <c r="B700" t="s">
        <v>1921</v>
      </c>
      <c r="C700" t="s">
        <v>1115</v>
      </c>
      <c r="D700" t="s">
        <v>1116</v>
      </c>
      <c r="E700" t="s">
        <v>1131</v>
      </c>
      <c r="F700" t="s">
        <v>1577</v>
      </c>
      <c r="G700">
        <v>2</v>
      </c>
      <c r="H700">
        <v>3</v>
      </c>
      <c r="I700" s="11">
        <v>46217</v>
      </c>
      <c r="J700" s="17">
        <f>IF(Items[[#This Row],[ID]]="","",IFERROR(VALUE(LOOKUP(2,1/((Log[ID]=Items[[#This Row],[ID]])*(Log[Verb]="est")),Log[Arg])),N(Items[[#This Row],[Points]])))</f>
      </c>
      <c r="K700" s="17">
        <f>IF(Items[[#This Row],[ID]]="","",IFERROR(LOOKUP(2,1/((Log[ID]=Items[[#This Row],[ID]])*(Log[Verb]="pass")),Log[Arg])&amp;"",Items[[#This Row],[Team]]&amp;""))</f>
      </c>
      <c r="L700" s="17">
        <f>IF(Items[[#This Row],[ID]]="","",IFERROR(LOOKUP(2,1/((Log[ID]=Items[[#This Row],[ID]])*(Log[Into]&lt;&gt;"")),Log[Into]),""))</f>
      </c>
      <c r="M700" s="17">
        <f>IF(Items[[#This Row],[ID]]="","",IF(IFERROR(LOOKUP(2,1/((Log[ID]=Items[[#This Row],[ID]])*(Log[Blk]&lt;&gt;"")),Log[Blk]),0)=1,"Y",""))</f>
      </c>
      <c r="N700" s="17">
        <f>IF(Items[[#This Row],[ID]]="","",SUBSTITUTE(IFERROR(LOOKUP(2,1/((Log[ID]=Items[[#This Row],[ID]])*(Log[State]&lt;&gt;"")),Log[State]),"TODO"),"OPEN",IF(Items[[#This Row],[Blocked]]="Y","WAIT","OPEN")))</f>
      </c>
      <c r="O70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00" s="17">
        <f>IF(Items[[#This Row],[State]]&lt;&gt;"WAIT","",AsOf-Items[[#This Row],[Blocked since]])</f>
      </c>
      <c r="Q700" s="17">
        <f>IF(Items[[#This Row],[State]]&lt;&gt;"WAIT","",IFERROR(LOOKUP(2,1/((Log[ID]=Items[[#This Row],[ID]])*(Log[Verb]="block")),Log[Note])&amp;"",""))</f>
      </c>
      <c r="R700" s="17">
        <f>IF(Items[[#This Row],[ID]]="","",COUNTIFS(Log[ID],Items[[#This Row],[ID]],Log[Verb],"carry"))</f>
      </c>
      <c r="S700" s="17">
        <f>IF(Items[[#This Row],[ID]]="","",COUNTIFS(Log[ID],Items[[#This Row],[ID]],Log[Verb],"punt"))</f>
      </c>
      <c r="T700" s="11">
        <f>IF(Items[[#This Row],[State]]&lt;&gt;"DONE","",IFERROR(LOOKUP(2,1/((Log[ID]=Items[[#This Row],[ID]])*(Log[Verb]="done")),Log[Date]),""))</f>
      </c>
      <c r="U700" s="17">
        <f>IF(Items[[#This Row],[ID]]="","",IF(AND(Items[[#This Row],[Sprint]]=CurSprint,OR(Items[[#This Row],[State]]="OPEN",Items[[#This Row],[State]]="WAIT",Items[[#This Row],[State]]="HOLD",Items[[#This Row],[State]]="DONE")),1,0))</f>
      </c>
      <c r="V700" s="17">
        <f>IF(OR(Items[[#This Row],[ID]]="",Items[[#This Row],[Added]]=""),"",AsOf-Items[[#This Row],[Added]])</f>
      </c>
      <c r="W700" s="17">
        <f>IF(Items[[#This Row],[In sprint]]=1,(IF(Items[[#This Row],[Prio]]="",9,N(Items[[#This Row],[Prio]]))*10+(IF(Items[[#This Row],[State]]="DONE",1,0)))*100000+ROW(),"")</f>
      </c>
      <c r="X70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00" s="17">
        <f>IF(AND(Items[[#This Row],[State]]="DONE",N(Items[[#This Row],[Done on]])&gt;AsOf-7),(200000-N(Items[[#This Row],[Done on]]))*100000+ROW(),"")</f>
      </c>
    </row>
    <row r="701">
      <c r="A701" t="s">
        <v>870</v>
      </c>
      <c r="B701" t="s">
        <v>1922</v>
      </c>
      <c r="C701" t="s">
        <v>1107</v>
      </c>
      <c r="D701" t="s">
        <v>1127</v>
      </c>
      <c r="E701" t="s">
        <v>1131</v>
      </c>
      <c r="F701" t="s">
        <v>1577</v>
      </c>
      <c r="G701">
        <v>3</v>
      </c>
      <c r="H701">
        <v>3</v>
      </c>
      <c r="I701" s="11">
        <v>46217</v>
      </c>
      <c r="J701" s="17">
        <f>IF(Items[[#This Row],[ID]]="","",IFERROR(VALUE(LOOKUP(2,1/((Log[ID]=Items[[#This Row],[ID]])*(Log[Verb]="est")),Log[Arg])),N(Items[[#This Row],[Points]])))</f>
      </c>
      <c r="K701" s="17">
        <f>IF(Items[[#This Row],[ID]]="","",IFERROR(LOOKUP(2,1/((Log[ID]=Items[[#This Row],[ID]])*(Log[Verb]="pass")),Log[Arg])&amp;"",Items[[#This Row],[Team]]&amp;""))</f>
      </c>
      <c r="L701" s="17">
        <f>IF(Items[[#This Row],[ID]]="","",IFERROR(LOOKUP(2,1/((Log[ID]=Items[[#This Row],[ID]])*(Log[Into]&lt;&gt;"")),Log[Into]),""))</f>
      </c>
      <c r="M701" s="17">
        <f>IF(Items[[#This Row],[ID]]="","",IF(IFERROR(LOOKUP(2,1/((Log[ID]=Items[[#This Row],[ID]])*(Log[Blk]&lt;&gt;"")),Log[Blk]),0)=1,"Y",""))</f>
      </c>
      <c r="N701" s="17">
        <f>IF(Items[[#This Row],[ID]]="","",SUBSTITUTE(IFERROR(LOOKUP(2,1/((Log[ID]=Items[[#This Row],[ID]])*(Log[State]&lt;&gt;"")),Log[State]),"TODO"),"OPEN",IF(Items[[#This Row],[Blocked]]="Y","WAIT","OPEN")))</f>
      </c>
      <c r="O70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01" s="17">
        <f>IF(Items[[#This Row],[State]]&lt;&gt;"WAIT","",AsOf-Items[[#This Row],[Blocked since]])</f>
      </c>
      <c r="Q701" s="17">
        <f>IF(Items[[#This Row],[State]]&lt;&gt;"WAIT","",IFERROR(LOOKUP(2,1/((Log[ID]=Items[[#This Row],[ID]])*(Log[Verb]="block")),Log[Note])&amp;"",""))</f>
      </c>
      <c r="R701" s="17">
        <f>IF(Items[[#This Row],[ID]]="","",COUNTIFS(Log[ID],Items[[#This Row],[ID]],Log[Verb],"carry"))</f>
      </c>
      <c r="S701" s="17">
        <f>IF(Items[[#This Row],[ID]]="","",COUNTIFS(Log[ID],Items[[#This Row],[ID]],Log[Verb],"punt"))</f>
      </c>
      <c r="T701" s="11">
        <f>IF(Items[[#This Row],[State]]&lt;&gt;"DONE","",IFERROR(LOOKUP(2,1/((Log[ID]=Items[[#This Row],[ID]])*(Log[Verb]="done")),Log[Date]),""))</f>
      </c>
      <c r="U701" s="17">
        <f>IF(Items[[#This Row],[ID]]="","",IF(AND(Items[[#This Row],[Sprint]]=CurSprint,OR(Items[[#This Row],[State]]="OPEN",Items[[#This Row],[State]]="WAIT",Items[[#This Row],[State]]="HOLD",Items[[#This Row],[State]]="DONE")),1,0))</f>
      </c>
      <c r="V701" s="17">
        <f>IF(OR(Items[[#This Row],[ID]]="",Items[[#This Row],[Added]]=""),"",AsOf-Items[[#This Row],[Added]])</f>
      </c>
      <c r="W701" s="17">
        <f>IF(Items[[#This Row],[In sprint]]=1,(IF(Items[[#This Row],[Prio]]="",9,N(Items[[#This Row],[Prio]]))*10+(IF(Items[[#This Row],[State]]="DONE",1,0)))*100000+ROW(),"")</f>
      </c>
      <c r="X70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01" s="17">
        <f>IF(AND(Items[[#This Row],[State]]="DONE",N(Items[[#This Row],[Done on]])&gt;AsOf-7),(200000-N(Items[[#This Row],[Done on]]))*100000+ROW(),"")</f>
      </c>
    </row>
    <row r="702">
      <c r="A702" t="s">
        <v>871</v>
      </c>
      <c r="B702" t="s">
        <v>1923</v>
      </c>
      <c r="C702" t="s">
        <v>1107</v>
      </c>
      <c r="D702" t="s">
        <v>1127</v>
      </c>
      <c r="E702" t="s">
        <v>1131</v>
      </c>
      <c r="F702" t="s">
        <v>1231</v>
      </c>
      <c r="G702">
        <v>8</v>
      </c>
      <c r="H702">
        <v>3</v>
      </c>
      <c r="I702" s="11">
        <v>46217</v>
      </c>
      <c r="J702" s="17">
        <f>IF(Items[[#This Row],[ID]]="","",IFERROR(VALUE(LOOKUP(2,1/((Log[ID]=Items[[#This Row],[ID]])*(Log[Verb]="est")),Log[Arg])),N(Items[[#This Row],[Points]])))</f>
      </c>
      <c r="K702" s="17">
        <f>IF(Items[[#This Row],[ID]]="","",IFERROR(LOOKUP(2,1/((Log[ID]=Items[[#This Row],[ID]])*(Log[Verb]="pass")),Log[Arg])&amp;"",Items[[#This Row],[Team]]&amp;""))</f>
      </c>
      <c r="L702" s="17">
        <f>IF(Items[[#This Row],[ID]]="","",IFERROR(LOOKUP(2,1/((Log[ID]=Items[[#This Row],[ID]])*(Log[Into]&lt;&gt;"")),Log[Into]),""))</f>
      </c>
      <c r="M702" s="17">
        <f>IF(Items[[#This Row],[ID]]="","",IF(IFERROR(LOOKUP(2,1/((Log[ID]=Items[[#This Row],[ID]])*(Log[Blk]&lt;&gt;"")),Log[Blk]),0)=1,"Y",""))</f>
      </c>
      <c r="N702" s="17">
        <f>IF(Items[[#This Row],[ID]]="","",SUBSTITUTE(IFERROR(LOOKUP(2,1/((Log[ID]=Items[[#This Row],[ID]])*(Log[State]&lt;&gt;"")),Log[State]),"TODO"),"OPEN",IF(Items[[#This Row],[Blocked]]="Y","WAIT","OPEN")))</f>
      </c>
      <c r="O70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02" s="17">
        <f>IF(Items[[#This Row],[State]]&lt;&gt;"WAIT","",AsOf-Items[[#This Row],[Blocked since]])</f>
      </c>
      <c r="Q702" s="17">
        <f>IF(Items[[#This Row],[State]]&lt;&gt;"WAIT","",IFERROR(LOOKUP(2,1/((Log[ID]=Items[[#This Row],[ID]])*(Log[Verb]="block")),Log[Note])&amp;"",""))</f>
      </c>
      <c r="R702" s="17">
        <f>IF(Items[[#This Row],[ID]]="","",COUNTIFS(Log[ID],Items[[#This Row],[ID]],Log[Verb],"carry"))</f>
      </c>
      <c r="S702" s="17">
        <f>IF(Items[[#This Row],[ID]]="","",COUNTIFS(Log[ID],Items[[#This Row],[ID]],Log[Verb],"punt"))</f>
      </c>
      <c r="T702" s="11">
        <f>IF(Items[[#This Row],[State]]&lt;&gt;"DONE","",IFERROR(LOOKUP(2,1/((Log[ID]=Items[[#This Row],[ID]])*(Log[Verb]="done")),Log[Date]),""))</f>
      </c>
      <c r="U702" s="17">
        <f>IF(Items[[#This Row],[ID]]="","",IF(AND(Items[[#This Row],[Sprint]]=CurSprint,OR(Items[[#This Row],[State]]="OPEN",Items[[#This Row],[State]]="WAIT",Items[[#This Row],[State]]="HOLD",Items[[#This Row],[State]]="DONE")),1,0))</f>
      </c>
      <c r="V702" s="17">
        <f>IF(OR(Items[[#This Row],[ID]]="",Items[[#This Row],[Added]]=""),"",AsOf-Items[[#This Row],[Added]])</f>
      </c>
      <c r="W702" s="17">
        <f>IF(Items[[#This Row],[In sprint]]=1,(IF(Items[[#This Row],[Prio]]="",9,N(Items[[#This Row],[Prio]]))*10+(IF(Items[[#This Row],[State]]="DONE",1,0)))*100000+ROW(),"")</f>
      </c>
      <c r="X70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02" s="17">
        <f>IF(AND(Items[[#This Row],[State]]="DONE",N(Items[[#This Row],[Done on]])&gt;AsOf-7),(200000-N(Items[[#This Row],[Done on]]))*100000+ROW(),"")</f>
      </c>
    </row>
    <row r="703">
      <c r="A703" t="s">
        <v>802</v>
      </c>
      <c r="B703" t="s">
        <v>1924</v>
      </c>
      <c r="C703" t="s">
        <v>1107</v>
      </c>
      <c r="D703" t="s">
        <v>1108</v>
      </c>
      <c r="E703" t="s">
        <v>1134</v>
      </c>
      <c r="F703" t="s">
        <v>1237</v>
      </c>
      <c r="G703">
        <v>2</v>
      </c>
      <c r="H703">
        <v>3</v>
      </c>
      <c r="I703" s="11">
        <v>46217</v>
      </c>
      <c r="J703" s="17">
        <f>IF(Items[[#This Row],[ID]]="","",IFERROR(VALUE(LOOKUP(2,1/((Log[ID]=Items[[#This Row],[ID]])*(Log[Verb]="est")),Log[Arg])),N(Items[[#This Row],[Points]])))</f>
      </c>
      <c r="K703" s="17">
        <f>IF(Items[[#This Row],[ID]]="","",IFERROR(LOOKUP(2,1/((Log[ID]=Items[[#This Row],[ID]])*(Log[Verb]="pass")),Log[Arg])&amp;"",Items[[#This Row],[Team]]&amp;""))</f>
      </c>
      <c r="L703" s="17">
        <f>IF(Items[[#This Row],[ID]]="","",IFERROR(LOOKUP(2,1/((Log[ID]=Items[[#This Row],[ID]])*(Log[Into]&lt;&gt;"")),Log[Into]),""))</f>
      </c>
      <c r="M703" s="17">
        <f>IF(Items[[#This Row],[ID]]="","",IF(IFERROR(LOOKUP(2,1/((Log[ID]=Items[[#This Row],[ID]])*(Log[Blk]&lt;&gt;"")),Log[Blk]),0)=1,"Y",""))</f>
      </c>
      <c r="N703" s="17">
        <f>IF(Items[[#This Row],[ID]]="","",SUBSTITUTE(IFERROR(LOOKUP(2,1/((Log[ID]=Items[[#This Row],[ID]])*(Log[State]&lt;&gt;"")),Log[State]),"TODO"),"OPEN",IF(Items[[#This Row],[Blocked]]="Y","WAIT","OPEN")))</f>
      </c>
      <c r="O70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03" s="17">
        <f>IF(Items[[#This Row],[State]]&lt;&gt;"WAIT","",AsOf-Items[[#This Row],[Blocked since]])</f>
      </c>
      <c r="Q703" s="17">
        <f>IF(Items[[#This Row],[State]]&lt;&gt;"WAIT","",IFERROR(LOOKUP(2,1/((Log[ID]=Items[[#This Row],[ID]])*(Log[Verb]="block")),Log[Note])&amp;"",""))</f>
      </c>
      <c r="R703" s="17">
        <f>IF(Items[[#This Row],[ID]]="","",COUNTIFS(Log[ID],Items[[#This Row],[ID]],Log[Verb],"carry"))</f>
      </c>
      <c r="S703" s="17">
        <f>IF(Items[[#This Row],[ID]]="","",COUNTIFS(Log[ID],Items[[#This Row],[ID]],Log[Verb],"punt"))</f>
      </c>
      <c r="T703" s="11">
        <f>IF(Items[[#This Row],[State]]&lt;&gt;"DONE","",IFERROR(LOOKUP(2,1/((Log[ID]=Items[[#This Row],[ID]])*(Log[Verb]="done")),Log[Date]),""))</f>
      </c>
      <c r="U703" s="17">
        <f>IF(Items[[#This Row],[ID]]="","",IF(AND(Items[[#This Row],[Sprint]]=CurSprint,OR(Items[[#This Row],[State]]="OPEN",Items[[#This Row],[State]]="WAIT",Items[[#This Row],[State]]="HOLD",Items[[#This Row],[State]]="DONE")),1,0))</f>
      </c>
      <c r="V703" s="17">
        <f>IF(OR(Items[[#This Row],[ID]]="",Items[[#This Row],[Added]]=""),"",AsOf-Items[[#This Row],[Added]])</f>
      </c>
      <c r="W703" s="17">
        <f>IF(Items[[#This Row],[In sprint]]=1,(IF(Items[[#This Row],[Prio]]="",9,N(Items[[#This Row],[Prio]]))*10+(IF(Items[[#This Row],[State]]="DONE",1,0)))*100000+ROW(),"")</f>
      </c>
      <c r="X70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03" s="17">
        <f>IF(AND(Items[[#This Row],[State]]="DONE",N(Items[[#This Row],[Done on]])&gt;AsOf-7),(200000-N(Items[[#This Row],[Done on]]))*100000+ROW(),"")</f>
      </c>
    </row>
    <row r="704">
      <c r="A704" t="s">
        <v>873</v>
      </c>
      <c r="B704" t="s">
        <v>1925</v>
      </c>
      <c r="C704" t="s">
        <v>1107</v>
      </c>
      <c r="D704" t="s">
        <v>1108</v>
      </c>
      <c r="E704" t="s">
        <v>1134</v>
      </c>
      <c r="F704" t="s">
        <v>1240</v>
      </c>
      <c r="G704">
        <v>3</v>
      </c>
      <c r="H704">
        <v>1</v>
      </c>
      <c r="I704" s="11">
        <v>46217</v>
      </c>
      <c r="J704" s="17">
        <f>IF(Items[[#This Row],[ID]]="","",IFERROR(VALUE(LOOKUP(2,1/((Log[ID]=Items[[#This Row],[ID]])*(Log[Verb]="est")),Log[Arg])),N(Items[[#This Row],[Points]])))</f>
      </c>
      <c r="K704" s="17">
        <f>IF(Items[[#This Row],[ID]]="","",IFERROR(LOOKUP(2,1/((Log[ID]=Items[[#This Row],[ID]])*(Log[Verb]="pass")),Log[Arg])&amp;"",Items[[#This Row],[Team]]&amp;""))</f>
      </c>
      <c r="L704" s="17">
        <f>IF(Items[[#This Row],[ID]]="","",IFERROR(LOOKUP(2,1/((Log[ID]=Items[[#This Row],[ID]])*(Log[Into]&lt;&gt;"")),Log[Into]),""))</f>
      </c>
      <c r="M704" s="17">
        <f>IF(Items[[#This Row],[ID]]="","",IF(IFERROR(LOOKUP(2,1/((Log[ID]=Items[[#This Row],[ID]])*(Log[Blk]&lt;&gt;"")),Log[Blk]),0)=1,"Y",""))</f>
      </c>
      <c r="N704" s="17">
        <f>IF(Items[[#This Row],[ID]]="","",SUBSTITUTE(IFERROR(LOOKUP(2,1/((Log[ID]=Items[[#This Row],[ID]])*(Log[State]&lt;&gt;"")),Log[State]),"TODO"),"OPEN",IF(Items[[#This Row],[Blocked]]="Y","WAIT","OPEN")))</f>
      </c>
      <c r="O70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04" s="17">
        <f>IF(Items[[#This Row],[State]]&lt;&gt;"WAIT","",AsOf-Items[[#This Row],[Blocked since]])</f>
      </c>
      <c r="Q704" s="17">
        <f>IF(Items[[#This Row],[State]]&lt;&gt;"WAIT","",IFERROR(LOOKUP(2,1/((Log[ID]=Items[[#This Row],[ID]])*(Log[Verb]="block")),Log[Note])&amp;"",""))</f>
      </c>
      <c r="R704" s="17">
        <f>IF(Items[[#This Row],[ID]]="","",COUNTIFS(Log[ID],Items[[#This Row],[ID]],Log[Verb],"carry"))</f>
      </c>
      <c r="S704" s="17">
        <f>IF(Items[[#This Row],[ID]]="","",COUNTIFS(Log[ID],Items[[#This Row],[ID]],Log[Verb],"punt"))</f>
      </c>
      <c r="T704" s="11">
        <f>IF(Items[[#This Row],[State]]&lt;&gt;"DONE","",IFERROR(LOOKUP(2,1/((Log[ID]=Items[[#This Row],[ID]])*(Log[Verb]="done")),Log[Date]),""))</f>
      </c>
      <c r="U704" s="17">
        <f>IF(Items[[#This Row],[ID]]="","",IF(AND(Items[[#This Row],[Sprint]]=CurSprint,OR(Items[[#This Row],[State]]="OPEN",Items[[#This Row],[State]]="WAIT",Items[[#This Row],[State]]="HOLD",Items[[#This Row],[State]]="DONE")),1,0))</f>
      </c>
      <c r="V704" s="17">
        <f>IF(OR(Items[[#This Row],[ID]]="",Items[[#This Row],[Added]]=""),"",AsOf-Items[[#This Row],[Added]])</f>
      </c>
      <c r="W704" s="17">
        <f>IF(Items[[#This Row],[In sprint]]=1,(IF(Items[[#This Row],[Prio]]="",9,N(Items[[#This Row],[Prio]]))*10+(IF(Items[[#This Row],[State]]="DONE",1,0)))*100000+ROW(),"")</f>
      </c>
      <c r="X70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04" s="17">
        <f>IF(AND(Items[[#This Row],[State]]="DONE",N(Items[[#This Row],[Done on]])&gt;AsOf-7),(200000-N(Items[[#This Row],[Done on]]))*100000+ROW(),"")</f>
      </c>
    </row>
    <row r="705">
      <c r="A705" t="s">
        <v>874</v>
      </c>
      <c r="B705" t="s">
        <v>1926</v>
      </c>
      <c r="C705" t="s">
        <v>1107</v>
      </c>
      <c r="D705" t="s">
        <v>1108</v>
      </c>
      <c r="E705" t="s">
        <v>1134</v>
      </c>
      <c r="F705" t="s">
        <v>1171</v>
      </c>
      <c r="G705">
        <v>5</v>
      </c>
      <c r="H705">
        <v>2</v>
      </c>
      <c r="I705" s="11">
        <v>46217</v>
      </c>
      <c r="J705" s="17">
        <f>IF(Items[[#This Row],[ID]]="","",IFERROR(VALUE(LOOKUP(2,1/((Log[ID]=Items[[#This Row],[ID]])*(Log[Verb]="est")),Log[Arg])),N(Items[[#This Row],[Points]])))</f>
      </c>
      <c r="K705" s="17">
        <f>IF(Items[[#This Row],[ID]]="","",IFERROR(LOOKUP(2,1/((Log[ID]=Items[[#This Row],[ID]])*(Log[Verb]="pass")),Log[Arg])&amp;"",Items[[#This Row],[Team]]&amp;""))</f>
      </c>
      <c r="L705" s="17">
        <f>IF(Items[[#This Row],[ID]]="","",IFERROR(LOOKUP(2,1/((Log[ID]=Items[[#This Row],[ID]])*(Log[Into]&lt;&gt;"")),Log[Into]),""))</f>
      </c>
      <c r="M705" s="17">
        <f>IF(Items[[#This Row],[ID]]="","",IF(IFERROR(LOOKUP(2,1/((Log[ID]=Items[[#This Row],[ID]])*(Log[Blk]&lt;&gt;"")),Log[Blk]),0)=1,"Y",""))</f>
      </c>
      <c r="N705" s="17">
        <f>IF(Items[[#This Row],[ID]]="","",SUBSTITUTE(IFERROR(LOOKUP(2,1/((Log[ID]=Items[[#This Row],[ID]])*(Log[State]&lt;&gt;"")),Log[State]),"TODO"),"OPEN",IF(Items[[#This Row],[Blocked]]="Y","WAIT","OPEN")))</f>
      </c>
      <c r="O70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05" s="17">
        <f>IF(Items[[#This Row],[State]]&lt;&gt;"WAIT","",AsOf-Items[[#This Row],[Blocked since]])</f>
      </c>
      <c r="Q705" s="17">
        <f>IF(Items[[#This Row],[State]]&lt;&gt;"WAIT","",IFERROR(LOOKUP(2,1/((Log[ID]=Items[[#This Row],[ID]])*(Log[Verb]="block")),Log[Note])&amp;"",""))</f>
      </c>
      <c r="R705" s="17">
        <f>IF(Items[[#This Row],[ID]]="","",COUNTIFS(Log[ID],Items[[#This Row],[ID]],Log[Verb],"carry"))</f>
      </c>
      <c r="S705" s="17">
        <f>IF(Items[[#This Row],[ID]]="","",COUNTIFS(Log[ID],Items[[#This Row],[ID]],Log[Verb],"punt"))</f>
      </c>
      <c r="T705" s="11">
        <f>IF(Items[[#This Row],[State]]&lt;&gt;"DONE","",IFERROR(LOOKUP(2,1/((Log[ID]=Items[[#This Row],[ID]])*(Log[Verb]="done")),Log[Date]),""))</f>
      </c>
      <c r="U705" s="17">
        <f>IF(Items[[#This Row],[ID]]="","",IF(AND(Items[[#This Row],[Sprint]]=CurSprint,OR(Items[[#This Row],[State]]="OPEN",Items[[#This Row],[State]]="WAIT",Items[[#This Row],[State]]="HOLD",Items[[#This Row],[State]]="DONE")),1,0))</f>
      </c>
      <c r="V705" s="17">
        <f>IF(OR(Items[[#This Row],[ID]]="",Items[[#This Row],[Added]]=""),"",AsOf-Items[[#This Row],[Added]])</f>
      </c>
      <c r="W705" s="17">
        <f>IF(Items[[#This Row],[In sprint]]=1,(IF(Items[[#This Row],[Prio]]="",9,N(Items[[#This Row],[Prio]]))*10+(IF(Items[[#This Row],[State]]="DONE",1,0)))*100000+ROW(),"")</f>
      </c>
      <c r="X70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05" s="17">
        <f>IF(AND(Items[[#This Row],[State]]="DONE",N(Items[[#This Row],[Done on]])&gt;AsOf-7),(200000-N(Items[[#This Row],[Done on]]))*100000+ROW(),"")</f>
      </c>
    </row>
    <row r="706">
      <c r="A706" t="s">
        <v>803</v>
      </c>
      <c r="B706" t="s">
        <v>1927</v>
      </c>
      <c r="C706" t="s">
        <v>1115</v>
      </c>
      <c r="D706" t="s">
        <v>1116</v>
      </c>
      <c r="E706" t="s">
        <v>1134</v>
      </c>
      <c r="F706" t="s">
        <v>1242</v>
      </c>
      <c r="G706">
        <v>2</v>
      </c>
      <c r="H706">
        <v>1</v>
      </c>
      <c r="I706" s="11">
        <v>46217</v>
      </c>
      <c r="J706" s="17">
        <f>IF(Items[[#This Row],[ID]]="","",IFERROR(VALUE(LOOKUP(2,1/((Log[ID]=Items[[#This Row],[ID]])*(Log[Verb]="est")),Log[Arg])),N(Items[[#This Row],[Points]])))</f>
      </c>
      <c r="K706" s="17">
        <f>IF(Items[[#This Row],[ID]]="","",IFERROR(LOOKUP(2,1/((Log[ID]=Items[[#This Row],[ID]])*(Log[Verb]="pass")),Log[Arg])&amp;"",Items[[#This Row],[Team]]&amp;""))</f>
      </c>
      <c r="L706" s="17">
        <f>IF(Items[[#This Row],[ID]]="","",IFERROR(LOOKUP(2,1/((Log[ID]=Items[[#This Row],[ID]])*(Log[Into]&lt;&gt;"")),Log[Into]),""))</f>
      </c>
      <c r="M706" s="17">
        <f>IF(Items[[#This Row],[ID]]="","",IF(IFERROR(LOOKUP(2,1/((Log[ID]=Items[[#This Row],[ID]])*(Log[Blk]&lt;&gt;"")),Log[Blk]),0)=1,"Y",""))</f>
      </c>
      <c r="N706" s="17">
        <f>IF(Items[[#This Row],[ID]]="","",SUBSTITUTE(IFERROR(LOOKUP(2,1/((Log[ID]=Items[[#This Row],[ID]])*(Log[State]&lt;&gt;"")),Log[State]),"TODO"),"OPEN",IF(Items[[#This Row],[Blocked]]="Y","WAIT","OPEN")))</f>
      </c>
      <c r="O70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06" s="17">
        <f>IF(Items[[#This Row],[State]]&lt;&gt;"WAIT","",AsOf-Items[[#This Row],[Blocked since]])</f>
      </c>
      <c r="Q706" s="17">
        <f>IF(Items[[#This Row],[State]]&lt;&gt;"WAIT","",IFERROR(LOOKUP(2,1/((Log[ID]=Items[[#This Row],[ID]])*(Log[Verb]="block")),Log[Note])&amp;"",""))</f>
      </c>
      <c r="R706" s="17">
        <f>IF(Items[[#This Row],[ID]]="","",COUNTIFS(Log[ID],Items[[#This Row],[ID]],Log[Verb],"carry"))</f>
      </c>
      <c r="S706" s="17">
        <f>IF(Items[[#This Row],[ID]]="","",COUNTIFS(Log[ID],Items[[#This Row],[ID]],Log[Verb],"punt"))</f>
      </c>
      <c r="T706" s="11">
        <f>IF(Items[[#This Row],[State]]&lt;&gt;"DONE","",IFERROR(LOOKUP(2,1/((Log[ID]=Items[[#This Row],[ID]])*(Log[Verb]="done")),Log[Date]),""))</f>
      </c>
      <c r="U706" s="17">
        <f>IF(Items[[#This Row],[ID]]="","",IF(AND(Items[[#This Row],[Sprint]]=CurSprint,OR(Items[[#This Row],[State]]="OPEN",Items[[#This Row],[State]]="WAIT",Items[[#This Row],[State]]="HOLD",Items[[#This Row],[State]]="DONE")),1,0))</f>
      </c>
      <c r="V706" s="17">
        <f>IF(OR(Items[[#This Row],[ID]]="",Items[[#This Row],[Added]]=""),"",AsOf-Items[[#This Row],[Added]])</f>
      </c>
      <c r="W706" s="17">
        <f>IF(Items[[#This Row],[In sprint]]=1,(IF(Items[[#This Row],[Prio]]="",9,N(Items[[#This Row],[Prio]]))*10+(IF(Items[[#This Row],[State]]="DONE",1,0)))*100000+ROW(),"")</f>
      </c>
      <c r="X70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06" s="17">
        <f>IF(AND(Items[[#This Row],[State]]="DONE",N(Items[[#This Row],[Done on]])&gt;AsOf-7),(200000-N(Items[[#This Row],[Done on]]))*100000+ROW(),"")</f>
      </c>
    </row>
    <row r="707">
      <c r="A707" t="s">
        <v>875</v>
      </c>
      <c r="B707" t="s">
        <v>1928</v>
      </c>
      <c r="C707" t="s">
        <v>1115</v>
      </c>
      <c r="D707" t="s">
        <v>1116</v>
      </c>
      <c r="E707" t="s">
        <v>1134</v>
      </c>
      <c r="F707" t="s">
        <v>1135</v>
      </c>
      <c r="G707">
        <v>2</v>
      </c>
      <c r="H707">
        <v>2</v>
      </c>
      <c r="I707" s="11">
        <v>46217</v>
      </c>
      <c r="J707" s="17">
        <f>IF(Items[[#This Row],[ID]]="","",IFERROR(VALUE(LOOKUP(2,1/((Log[ID]=Items[[#This Row],[ID]])*(Log[Verb]="est")),Log[Arg])),N(Items[[#This Row],[Points]])))</f>
      </c>
      <c r="K707" s="17">
        <f>IF(Items[[#This Row],[ID]]="","",IFERROR(LOOKUP(2,1/((Log[ID]=Items[[#This Row],[ID]])*(Log[Verb]="pass")),Log[Arg])&amp;"",Items[[#This Row],[Team]]&amp;""))</f>
      </c>
      <c r="L707" s="17">
        <f>IF(Items[[#This Row],[ID]]="","",IFERROR(LOOKUP(2,1/((Log[ID]=Items[[#This Row],[ID]])*(Log[Into]&lt;&gt;"")),Log[Into]),""))</f>
      </c>
      <c r="M707" s="17">
        <f>IF(Items[[#This Row],[ID]]="","",IF(IFERROR(LOOKUP(2,1/((Log[ID]=Items[[#This Row],[ID]])*(Log[Blk]&lt;&gt;"")),Log[Blk]),0)=1,"Y",""))</f>
      </c>
      <c r="N707" s="17">
        <f>IF(Items[[#This Row],[ID]]="","",SUBSTITUTE(IFERROR(LOOKUP(2,1/((Log[ID]=Items[[#This Row],[ID]])*(Log[State]&lt;&gt;"")),Log[State]),"TODO"),"OPEN",IF(Items[[#This Row],[Blocked]]="Y","WAIT","OPEN")))</f>
      </c>
      <c r="O70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07" s="17">
        <f>IF(Items[[#This Row],[State]]&lt;&gt;"WAIT","",AsOf-Items[[#This Row],[Blocked since]])</f>
      </c>
      <c r="Q707" s="17">
        <f>IF(Items[[#This Row],[State]]&lt;&gt;"WAIT","",IFERROR(LOOKUP(2,1/((Log[ID]=Items[[#This Row],[ID]])*(Log[Verb]="block")),Log[Note])&amp;"",""))</f>
      </c>
      <c r="R707" s="17">
        <f>IF(Items[[#This Row],[ID]]="","",COUNTIFS(Log[ID],Items[[#This Row],[ID]],Log[Verb],"carry"))</f>
      </c>
      <c r="S707" s="17">
        <f>IF(Items[[#This Row],[ID]]="","",COUNTIFS(Log[ID],Items[[#This Row],[ID]],Log[Verb],"punt"))</f>
      </c>
      <c r="T707" s="11">
        <f>IF(Items[[#This Row],[State]]&lt;&gt;"DONE","",IFERROR(LOOKUP(2,1/((Log[ID]=Items[[#This Row],[ID]])*(Log[Verb]="done")),Log[Date]),""))</f>
      </c>
      <c r="U707" s="17">
        <f>IF(Items[[#This Row],[ID]]="","",IF(AND(Items[[#This Row],[Sprint]]=CurSprint,OR(Items[[#This Row],[State]]="OPEN",Items[[#This Row],[State]]="WAIT",Items[[#This Row],[State]]="HOLD",Items[[#This Row],[State]]="DONE")),1,0))</f>
      </c>
      <c r="V707" s="17">
        <f>IF(OR(Items[[#This Row],[ID]]="",Items[[#This Row],[Added]]=""),"",AsOf-Items[[#This Row],[Added]])</f>
      </c>
      <c r="W707" s="17">
        <f>IF(Items[[#This Row],[In sprint]]=1,(IF(Items[[#This Row],[Prio]]="",9,N(Items[[#This Row],[Prio]]))*10+(IF(Items[[#This Row],[State]]="DONE",1,0)))*100000+ROW(),"")</f>
      </c>
      <c r="X70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07" s="17">
        <f>IF(AND(Items[[#This Row],[State]]="DONE",N(Items[[#This Row],[Done on]])&gt;AsOf-7),(200000-N(Items[[#This Row],[Done on]]))*100000+ROW(),"")</f>
      </c>
    </row>
    <row r="708">
      <c r="A708" t="s">
        <v>876</v>
      </c>
      <c r="B708" t="s">
        <v>1929</v>
      </c>
      <c r="C708" t="s">
        <v>1107</v>
      </c>
      <c r="D708" t="s">
        <v>1127</v>
      </c>
      <c r="E708" t="s">
        <v>1134</v>
      </c>
      <c r="F708" t="s">
        <v>1135</v>
      </c>
      <c r="G708">
        <v>5</v>
      </c>
      <c r="H708">
        <v>1</v>
      </c>
      <c r="I708" s="11">
        <v>46217</v>
      </c>
      <c r="J708" s="17">
        <f>IF(Items[[#This Row],[ID]]="","",IFERROR(VALUE(LOOKUP(2,1/((Log[ID]=Items[[#This Row],[ID]])*(Log[Verb]="est")),Log[Arg])),N(Items[[#This Row],[Points]])))</f>
      </c>
      <c r="K708" s="17">
        <f>IF(Items[[#This Row],[ID]]="","",IFERROR(LOOKUP(2,1/((Log[ID]=Items[[#This Row],[ID]])*(Log[Verb]="pass")),Log[Arg])&amp;"",Items[[#This Row],[Team]]&amp;""))</f>
      </c>
      <c r="L708" s="17">
        <f>IF(Items[[#This Row],[ID]]="","",IFERROR(LOOKUP(2,1/((Log[ID]=Items[[#This Row],[ID]])*(Log[Into]&lt;&gt;"")),Log[Into]),""))</f>
      </c>
      <c r="M708" s="17">
        <f>IF(Items[[#This Row],[ID]]="","",IF(IFERROR(LOOKUP(2,1/((Log[ID]=Items[[#This Row],[ID]])*(Log[Blk]&lt;&gt;"")),Log[Blk]),0)=1,"Y",""))</f>
      </c>
      <c r="N708" s="17">
        <f>IF(Items[[#This Row],[ID]]="","",SUBSTITUTE(IFERROR(LOOKUP(2,1/((Log[ID]=Items[[#This Row],[ID]])*(Log[State]&lt;&gt;"")),Log[State]),"TODO"),"OPEN",IF(Items[[#This Row],[Blocked]]="Y","WAIT","OPEN")))</f>
      </c>
      <c r="O70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08" s="17">
        <f>IF(Items[[#This Row],[State]]&lt;&gt;"WAIT","",AsOf-Items[[#This Row],[Blocked since]])</f>
      </c>
      <c r="Q708" s="17">
        <f>IF(Items[[#This Row],[State]]&lt;&gt;"WAIT","",IFERROR(LOOKUP(2,1/((Log[ID]=Items[[#This Row],[ID]])*(Log[Verb]="block")),Log[Note])&amp;"",""))</f>
      </c>
      <c r="R708" s="17">
        <f>IF(Items[[#This Row],[ID]]="","",COUNTIFS(Log[ID],Items[[#This Row],[ID]],Log[Verb],"carry"))</f>
      </c>
      <c r="S708" s="17">
        <f>IF(Items[[#This Row],[ID]]="","",COUNTIFS(Log[ID],Items[[#This Row],[ID]],Log[Verb],"punt"))</f>
      </c>
      <c r="T708" s="11">
        <f>IF(Items[[#This Row],[State]]&lt;&gt;"DONE","",IFERROR(LOOKUP(2,1/((Log[ID]=Items[[#This Row],[ID]])*(Log[Verb]="done")),Log[Date]),""))</f>
      </c>
      <c r="U708" s="17">
        <f>IF(Items[[#This Row],[ID]]="","",IF(AND(Items[[#This Row],[Sprint]]=CurSprint,OR(Items[[#This Row],[State]]="OPEN",Items[[#This Row],[State]]="WAIT",Items[[#This Row],[State]]="HOLD",Items[[#This Row],[State]]="DONE")),1,0))</f>
      </c>
      <c r="V708" s="17">
        <f>IF(OR(Items[[#This Row],[ID]]="",Items[[#This Row],[Added]]=""),"",AsOf-Items[[#This Row],[Added]])</f>
      </c>
      <c r="W708" s="17">
        <f>IF(Items[[#This Row],[In sprint]]=1,(IF(Items[[#This Row],[Prio]]="",9,N(Items[[#This Row],[Prio]]))*10+(IF(Items[[#This Row],[State]]="DONE",1,0)))*100000+ROW(),"")</f>
      </c>
      <c r="X70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08" s="17">
        <f>IF(AND(Items[[#This Row],[State]]="DONE",N(Items[[#This Row],[Done on]])&gt;AsOf-7),(200000-N(Items[[#This Row],[Done on]]))*100000+ROW(),"")</f>
      </c>
    </row>
    <row r="709">
      <c r="A709" t="s">
        <v>877</v>
      </c>
      <c r="B709" t="s">
        <v>1930</v>
      </c>
      <c r="C709" t="s">
        <v>1107</v>
      </c>
      <c r="D709" t="s">
        <v>1108</v>
      </c>
      <c r="E709" t="s">
        <v>1134</v>
      </c>
      <c r="F709" t="s">
        <v>1528</v>
      </c>
      <c r="G709">
        <v>8</v>
      </c>
      <c r="H709">
        <v>3</v>
      </c>
      <c r="I709" s="11">
        <v>46217</v>
      </c>
      <c r="J709" s="17">
        <f>IF(Items[[#This Row],[ID]]="","",IFERROR(VALUE(LOOKUP(2,1/((Log[ID]=Items[[#This Row],[ID]])*(Log[Verb]="est")),Log[Arg])),N(Items[[#This Row],[Points]])))</f>
      </c>
      <c r="K709" s="17">
        <f>IF(Items[[#This Row],[ID]]="","",IFERROR(LOOKUP(2,1/((Log[ID]=Items[[#This Row],[ID]])*(Log[Verb]="pass")),Log[Arg])&amp;"",Items[[#This Row],[Team]]&amp;""))</f>
      </c>
      <c r="L709" s="17">
        <f>IF(Items[[#This Row],[ID]]="","",IFERROR(LOOKUP(2,1/((Log[ID]=Items[[#This Row],[ID]])*(Log[Into]&lt;&gt;"")),Log[Into]),""))</f>
      </c>
      <c r="M709" s="17">
        <f>IF(Items[[#This Row],[ID]]="","",IF(IFERROR(LOOKUP(2,1/((Log[ID]=Items[[#This Row],[ID]])*(Log[Blk]&lt;&gt;"")),Log[Blk]),0)=1,"Y",""))</f>
      </c>
      <c r="N709" s="17">
        <f>IF(Items[[#This Row],[ID]]="","",SUBSTITUTE(IFERROR(LOOKUP(2,1/((Log[ID]=Items[[#This Row],[ID]])*(Log[State]&lt;&gt;"")),Log[State]),"TODO"),"OPEN",IF(Items[[#This Row],[Blocked]]="Y","WAIT","OPEN")))</f>
      </c>
      <c r="O70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09" s="17">
        <f>IF(Items[[#This Row],[State]]&lt;&gt;"WAIT","",AsOf-Items[[#This Row],[Blocked since]])</f>
      </c>
      <c r="Q709" s="17">
        <f>IF(Items[[#This Row],[State]]&lt;&gt;"WAIT","",IFERROR(LOOKUP(2,1/((Log[ID]=Items[[#This Row],[ID]])*(Log[Verb]="block")),Log[Note])&amp;"",""))</f>
      </c>
      <c r="R709" s="17">
        <f>IF(Items[[#This Row],[ID]]="","",COUNTIFS(Log[ID],Items[[#This Row],[ID]],Log[Verb],"carry"))</f>
      </c>
      <c r="S709" s="17">
        <f>IF(Items[[#This Row],[ID]]="","",COUNTIFS(Log[ID],Items[[#This Row],[ID]],Log[Verb],"punt"))</f>
      </c>
      <c r="T709" s="11">
        <f>IF(Items[[#This Row],[State]]&lt;&gt;"DONE","",IFERROR(LOOKUP(2,1/((Log[ID]=Items[[#This Row],[ID]])*(Log[Verb]="done")),Log[Date]),""))</f>
      </c>
      <c r="U709" s="17">
        <f>IF(Items[[#This Row],[ID]]="","",IF(AND(Items[[#This Row],[Sprint]]=CurSprint,OR(Items[[#This Row],[State]]="OPEN",Items[[#This Row],[State]]="WAIT",Items[[#This Row],[State]]="HOLD",Items[[#This Row],[State]]="DONE")),1,0))</f>
      </c>
      <c r="V709" s="17">
        <f>IF(OR(Items[[#This Row],[ID]]="",Items[[#This Row],[Added]]=""),"",AsOf-Items[[#This Row],[Added]])</f>
      </c>
      <c r="W709" s="17">
        <f>IF(Items[[#This Row],[In sprint]]=1,(IF(Items[[#This Row],[Prio]]="",9,N(Items[[#This Row],[Prio]]))*10+(IF(Items[[#This Row],[State]]="DONE",1,0)))*100000+ROW(),"")</f>
      </c>
      <c r="X70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09" s="17">
        <f>IF(AND(Items[[#This Row],[State]]="DONE",N(Items[[#This Row],[Done on]])&gt;AsOf-7),(200000-N(Items[[#This Row],[Done on]]))*100000+ROW(),"")</f>
      </c>
    </row>
    <row r="710">
      <c r="A710" t="s">
        <v>880</v>
      </c>
      <c r="B710" t="s">
        <v>1931</v>
      </c>
      <c r="C710" t="s">
        <v>1107</v>
      </c>
      <c r="D710" t="s">
        <v>1127</v>
      </c>
      <c r="E710" t="s">
        <v>1139</v>
      </c>
      <c r="F710" t="s">
        <v>1586</v>
      </c>
      <c r="G710">
        <v>8</v>
      </c>
      <c r="H710">
        <v>3</v>
      </c>
      <c r="I710" s="11">
        <v>46217</v>
      </c>
      <c r="J710" s="17">
        <f>IF(Items[[#This Row],[ID]]="","",IFERROR(VALUE(LOOKUP(2,1/((Log[ID]=Items[[#This Row],[ID]])*(Log[Verb]="est")),Log[Arg])),N(Items[[#This Row],[Points]])))</f>
      </c>
      <c r="K710" s="17">
        <f>IF(Items[[#This Row],[ID]]="","",IFERROR(LOOKUP(2,1/((Log[ID]=Items[[#This Row],[ID]])*(Log[Verb]="pass")),Log[Arg])&amp;"",Items[[#This Row],[Team]]&amp;""))</f>
      </c>
      <c r="L710" s="17">
        <f>IF(Items[[#This Row],[ID]]="","",IFERROR(LOOKUP(2,1/((Log[ID]=Items[[#This Row],[ID]])*(Log[Into]&lt;&gt;"")),Log[Into]),""))</f>
      </c>
      <c r="M710" s="17">
        <f>IF(Items[[#This Row],[ID]]="","",IF(IFERROR(LOOKUP(2,1/((Log[ID]=Items[[#This Row],[ID]])*(Log[Blk]&lt;&gt;"")),Log[Blk]),0)=1,"Y",""))</f>
      </c>
      <c r="N710" s="17">
        <f>IF(Items[[#This Row],[ID]]="","",SUBSTITUTE(IFERROR(LOOKUP(2,1/((Log[ID]=Items[[#This Row],[ID]])*(Log[State]&lt;&gt;"")),Log[State]),"TODO"),"OPEN",IF(Items[[#This Row],[Blocked]]="Y","WAIT","OPEN")))</f>
      </c>
      <c r="O71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10" s="17">
        <f>IF(Items[[#This Row],[State]]&lt;&gt;"WAIT","",AsOf-Items[[#This Row],[Blocked since]])</f>
      </c>
      <c r="Q710" s="17">
        <f>IF(Items[[#This Row],[State]]&lt;&gt;"WAIT","",IFERROR(LOOKUP(2,1/((Log[ID]=Items[[#This Row],[ID]])*(Log[Verb]="block")),Log[Note])&amp;"",""))</f>
      </c>
      <c r="R710" s="17">
        <f>IF(Items[[#This Row],[ID]]="","",COUNTIFS(Log[ID],Items[[#This Row],[ID]],Log[Verb],"carry"))</f>
      </c>
      <c r="S710" s="17">
        <f>IF(Items[[#This Row],[ID]]="","",COUNTIFS(Log[ID],Items[[#This Row],[ID]],Log[Verb],"punt"))</f>
      </c>
      <c r="T710" s="11">
        <f>IF(Items[[#This Row],[State]]&lt;&gt;"DONE","",IFERROR(LOOKUP(2,1/((Log[ID]=Items[[#This Row],[ID]])*(Log[Verb]="done")),Log[Date]),""))</f>
      </c>
      <c r="U710" s="17">
        <f>IF(Items[[#This Row],[ID]]="","",IF(AND(Items[[#This Row],[Sprint]]=CurSprint,OR(Items[[#This Row],[State]]="OPEN",Items[[#This Row],[State]]="WAIT",Items[[#This Row],[State]]="HOLD",Items[[#This Row],[State]]="DONE")),1,0))</f>
      </c>
      <c r="V710" s="17">
        <f>IF(OR(Items[[#This Row],[ID]]="",Items[[#This Row],[Added]]=""),"",AsOf-Items[[#This Row],[Added]])</f>
      </c>
      <c r="W710" s="17">
        <f>IF(Items[[#This Row],[In sprint]]=1,(IF(Items[[#This Row],[Prio]]="",9,N(Items[[#This Row],[Prio]]))*10+(IF(Items[[#This Row],[State]]="DONE",1,0)))*100000+ROW(),"")</f>
      </c>
      <c r="X71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10" s="17">
        <f>IF(AND(Items[[#This Row],[State]]="DONE",N(Items[[#This Row],[Done on]])&gt;AsOf-7),(200000-N(Items[[#This Row],[Done on]]))*100000+ROW(),"")</f>
      </c>
    </row>
    <row r="711">
      <c r="A711" t="s">
        <v>809</v>
      </c>
      <c r="B711" t="s">
        <v>1932</v>
      </c>
      <c r="C711" t="s">
        <v>1107</v>
      </c>
      <c r="D711" t="s">
        <v>1127</v>
      </c>
      <c r="E711" t="s">
        <v>1139</v>
      </c>
      <c r="F711" t="s">
        <v>1175</v>
      </c>
      <c r="G711">
        <v>3</v>
      </c>
      <c r="H711">
        <v>2</v>
      </c>
      <c r="I711" s="11">
        <v>46217</v>
      </c>
      <c r="J711" s="17">
        <f>IF(Items[[#This Row],[ID]]="","",IFERROR(VALUE(LOOKUP(2,1/((Log[ID]=Items[[#This Row],[ID]])*(Log[Verb]="est")),Log[Arg])),N(Items[[#This Row],[Points]])))</f>
      </c>
      <c r="K711" s="17">
        <f>IF(Items[[#This Row],[ID]]="","",IFERROR(LOOKUP(2,1/((Log[ID]=Items[[#This Row],[ID]])*(Log[Verb]="pass")),Log[Arg])&amp;"",Items[[#This Row],[Team]]&amp;""))</f>
      </c>
      <c r="L711" s="17">
        <f>IF(Items[[#This Row],[ID]]="","",IFERROR(LOOKUP(2,1/((Log[ID]=Items[[#This Row],[ID]])*(Log[Into]&lt;&gt;"")),Log[Into]),""))</f>
      </c>
      <c r="M711" s="17">
        <f>IF(Items[[#This Row],[ID]]="","",IF(IFERROR(LOOKUP(2,1/((Log[ID]=Items[[#This Row],[ID]])*(Log[Blk]&lt;&gt;"")),Log[Blk]),0)=1,"Y",""))</f>
      </c>
      <c r="N711" s="17">
        <f>IF(Items[[#This Row],[ID]]="","",SUBSTITUTE(IFERROR(LOOKUP(2,1/((Log[ID]=Items[[#This Row],[ID]])*(Log[State]&lt;&gt;"")),Log[State]),"TODO"),"OPEN",IF(Items[[#This Row],[Blocked]]="Y","WAIT","OPEN")))</f>
      </c>
      <c r="O71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11" s="17">
        <f>IF(Items[[#This Row],[State]]&lt;&gt;"WAIT","",AsOf-Items[[#This Row],[Blocked since]])</f>
      </c>
      <c r="Q711" s="17">
        <f>IF(Items[[#This Row],[State]]&lt;&gt;"WAIT","",IFERROR(LOOKUP(2,1/((Log[ID]=Items[[#This Row],[ID]])*(Log[Verb]="block")),Log[Note])&amp;"",""))</f>
      </c>
      <c r="R711" s="17">
        <f>IF(Items[[#This Row],[ID]]="","",COUNTIFS(Log[ID],Items[[#This Row],[ID]],Log[Verb],"carry"))</f>
      </c>
      <c r="S711" s="17">
        <f>IF(Items[[#This Row],[ID]]="","",COUNTIFS(Log[ID],Items[[#This Row],[ID]],Log[Verb],"punt"))</f>
      </c>
      <c r="T711" s="11">
        <f>IF(Items[[#This Row],[State]]&lt;&gt;"DONE","",IFERROR(LOOKUP(2,1/((Log[ID]=Items[[#This Row],[ID]])*(Log[Verb]="done")),Log[Date]),""))</f>
      </c>
      <c r="U711" s="17">
        <f>IF(Items[[#This Row],[ID]]="","",IF(AND(Items[[#This Row],[Sprint]]=CurSprint,OR(Items[[#This Row],[State]]="OPEN",Items[[#This Row],[State]]="WAIT",Items[[#This Row],[State]]="HOLD",Items[[#This Row],[State]]="DONE")),1,0))</f>
      </c>
      <c r="V711" s="17">
        <f>IF(OR(Items[[#This Row],[ID]]="",Items[[#This Row],[Added]]=""),"",AsOf-Items[[#This Row],[Added]])</f>
      </c>
      <c r="W711" s="17">
        <f>IF(Items[[#This Row],[In sprint]]=1,(IF(Items[[#This Row],[Prio]]="",9,N(Items[[#This Row],[Prio]]))*10+(IF(Items[[#This Row],[State]]="DONE",1,0)))*100000+ROW(),"")</f>
      </c>
      <c r="X71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11" s="17">
        <f>IF(AND(Items[[#This Row],[State]]="DONE",N(Items[[#This Row],[Done on]])&gt;AsOf-7),(200000-N(Items[[#This Row],[Done on]]))*100000+ROW(),"")</f>
      </c>
    </row>
    <row r="712">
      <c r="A712" t="s">
        <v>881</v>
      </c>
      <c r="B712" t="s">
        <v>1933</v>
      </c>
      <c r="C712" t="s">
        <v>1107</v>
      </c>
      <c r="D712" t="s">
        <v>1123</v>
      </c>
      <c r="E712" t="s">
        <v>1139</v>
      </c>
      <c r="F712" t="s">
        <v>1398</v>
      </c>
      <c r="G712">
        <v>8</v>
      </c>
      <c r="H712">
        <v>3</v>
      </c>
      <c r="I712" s="11">
        <v>46217</v>
      </c>
      <c r="J712" s="17">
        <f>IF(Items[[#This Row],[ID]]="","",IFERROR(VALUE(LOOKUP(2,1/((Log[ID]=Items[[#This Row],[ID]])*(Log[Verb]="est")),Log[Arg])),N(Items[[#This Row],[Points]])))</f>
      </c>
      <c r="K712" s="17">
        <f>IF(Items[[#This Row],[ID]]="","",IFERROR(LOOKUP(2,1/((Log[ID]=Items[[#This Row],[ID]])*(Log[Verb]="pass")),Log[Arg])&amp;"",Items[[#This Row],[Team]]&amp;""))</f>
      </c>
      <c r="L712" s="17">
        <f>IF(Items[[#This Row],[ID]]="","",IFERROR(LOOKUP(2,1/((Log[ID]=Items[[#This Row],[ID]])*(Log[Into]&lt;&gt;"")),Log[Into]),""))</f>
      </c>
      <c r="M712" s="17">
        <f>IF(Items[[#This Row],[ID]]="","",IF(IFERROR(LOOKUP(2,1/((Log[ID]=Items[[#This Row],[ID]])*(Log[Blk]&lt;&gt;"")),Log[Blk]),0)=1,"Y",""))</f>
      </c>
      <c r="N712" s="17">
        <f>IF(Items[[#This Row],[ID]]="","",SUBSTITUTE(IFERROR(LOOKUP(2,1/((Log[ID]=Items[[#This Row],[ID]])*(Log[State]&lt;&gt;"")),Log[State]),"TODO"),"OPEN",IF(Items[[#This Row],[Blocked]]="Y","WAIT","OPEN")))</f>
      </c>
      <c r="O71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12" s="17">
        <f>IF(Items[[#This Row],[State]]&lt;&gt;"WAIT","",AsOf-Items[[#This Row],[Blocked since]])</f>
      </c>
      <c r="Q712" s="17">
        <f>IF(Items[[#This Row],[State]]&lt;&gt;"WAIT","",IFERROR(LOOKUP(2,1/((Log[ID]=Items[[#This Row],[ID]])*(Log[Verb]="block")),Log[Note])&amp;"",""))</f>
      </c>
      <c r="R712" s="17">
        <f>IF(Items[[#This Row],[ID]]="","",COUNTIFS(Log[ID],Items[[#This Row],[ID]],Log[Verb],"carry"))</f>
      </c>
      <c r="S712" s="17">
        <f>IF(Items[[#This Row],[ID]]="","",COUNTIFS(Log[ID],Items[[#This Row],[ID]],Log[Verb],"punt"))</f>
      </c>
      <c r="T712" s="11">
        <f>IF(Items[[#This Row],[State]]&lt;&gt;"DONE","",IFERROR(LOOKUP(2,1/((Log[ID]=Items[[#This Row],[ID]])*(Log[Verb]="done")),Log[Date]),""))</f>
      </c>
      <c r="U712" s="17">
        <f>IF(Items[[#This Row],[ID]]="","",IF(AND(Items[[#This Row],[Sprint]]=CurSprint,OR(Items[[#This Row],[State]]="OPEN",Items[[#This Row],[State]]="WAIT",Items[[#This Row],[State]]="HOLD",Items[[#This Row],[State]]="DONE")),1,0))</f>
      </c>
      <c r="V712" s="17">
        <f>IF(OR(Items[[#This Row],[ID]]="",Items[[#This Row],[Added]]=""),"",AsOf-Items[[#This Row],[Added]])</f>
      </c>
      <c r="W712" s="17">
        <f>IF(Items[[#This Row],[In sprint]]=1,(IF(Items[[#This Row],[Prio]]="",9,N(Items[[#This Row],[Prio]]))*10+(IF(Items[[#This Row],[State]]="DONE",1,0)))*100000+ROW(),"")</f>
      </c>
      <c r="X71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12" s="17">
        <f>IF(AND(Items[[#This Row],[State]]="DONE",N(Items[[#This Row],[Done on]])&gt;AsOf-7),(200000-N(Items[[#This Row],[Done on]]))*100000+ROW(),"")</f>
      </c>
    </row>
    <row r="713">
      <c r="A713" t="s">
        <v>882</v>
      </c>
      <c r="B713" t="s">
        <v>1934</v>
      </c>
      <c r="C713" t="s">
        <v>1107</v>
      </c>
      <c r="D713" t="s">
        <v>1127</v>
      </c>
      <c r="E713" t="s">
        <v>1139</v>
      </c>
      <c r="F713" t="s">
        <v>1395</v>
      </c>
      <c r="G713">
        <v>5</v>
      </c>
      <c r="H713">
        <v>3</v>
      </c>
      <c r="I713" s="11">
        <v>46217</v>
      </c>
      <c r="J713" s="17">
        <f>IF(Items[[#This Row],[ID]]="","",IFERROR(VALUE(LOOKUP(2,1/((Log[ID]=Items[[#This Row],[ID]])*(Log[Verb]="est")),Log[Arg])),N(Items[[#This Row],[Points]])))</f>
      </c>
      <c r="K713" s="17">
        <f>IF(Items[[#This Row],[ID]]="","",IFERROR(LOOKUP(2,1/((Log[ID]=Items[[#This Row],[ID]])*(Log[Verb]="pass")),Log[Arg])&amp;"",Items[[#This Row],[Team]]&amp;""))</f>
      </c>
      <c r="L713" s="17">
        <f>IF(Items[[#This Row],[ID]]="","",IFERROR(LOOKUP(2,1/((Log[ID]=Items[[#This Row],[ID]])*(Log[Into]&lt;&gt;"")),Log[Into]),""))</f>
      </c>
      <c r="M713" s="17">
        <f>IF(Items[[#This Row],[ID]]="","",IF(IFERROR(LOOKUP(2,1/((Log[ID]=Items[[#This Row],[ID]])*(Log[Blk]&lt;&gt;"")),Log[Blk]),0)=1,"Y",""))</f>
      </c>
      <c r="N713" s="17">
        <f>IF(Items[[#This Row],[ID]]="","",SUBSTITUTE(IFERROR(LOOKUP(2,1/((Log[ID]=Items[[#This Row],[ID]])*(Log[State]&lt;&gt;"")),Log[State]),"TODO"),"OPEN",IF(Items[[#This Row],[Blocked]]="Y","WAIT","OPEN")))</f>
      </c>
      <c r="O71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13" s="17">
        <f>IF(Items[[#This Row],[State]]&lt;&gt;"WAIT","",AsOf-Items[[#This Row],[Blocked since]])</f>
      </c>
      <c r="Q713" s="17">
        <f>IF(Items[[#This Row],[State]]&lt;&gt;"WAIT","",IFERROR(LOOKUP(2,1/((Log[ID]=Items[[#This Row],[ID]])*(Log[Verb]="block")),Log[Note])&amp;"",""))</f>
      </c>
      <c r="R713" s="17">
        <f>IF(Items[[#This Row],[ID]]="","",COUNTIFS(Log[ID],Items[[#This Row],[ID]],Log[Verb],"carry"))</f>
      </c>
      <c r="S713" s="17">
        <f>IF(Items[[#This Row],[ID]]="","",COUNTIFS(Log[ID],Items[[#This Row],[ID]],Log[Verb],"punt"))</f>
      </c>
      <c r="T713" s="11">
        <f>IF(Items[[#This Row],[State]]&lt;&gt;"DONE","",IFERROR(LOOKUP(2,1/((Log[ID]=Items[[#This Row],[ID]])*(Log[Verb]="done")),Log[Date]),""))</f>
      </c>
      <c r="U713" s="17">
        <f>IF(Items[[#This Row],[ID]]="","",IF(AND(Items[[#This Row],[Sprint]]=CurSprint,OR(Items[[#This Row],[State]]="OPEN",Items[[#This Row],[State]]="WAIT",Items[[#This Row],[State]]="HOLD",Items[[#This Row],[State]]="DONE")),1,0))</f>
      </c>
      <c r="V713" s="17">
        <f>IF(OR(Items[[#This Row],[ID]]="",Items[[#This Row],[Added]]=""),"",AsOf-Items[[#This Row],[Added]])</f>
      </c>
      <c r="W713" s="17">
        <f>IF(Items[[#This Row],[In sprint]]=1,(IF(Items[[#This Row],[Prio]]="",9,N(Items[[#This Row],[Prio]]))*10+(IF(Items[[#This Row],[State]]="DONE",1,0)))*100000+ROW(),"")</f>
      </c>
      <c r="X71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13" s="17">
        <f>IF(AND(Items[[#This Row],[State]]="DONE",N(Items[[#This Row],[Done on]])&gt;AsOf-7),(200000-N(Items[[#This Row],[Done on]]))*100000+ROW(),"")</f>
      </c>
    </row>
    <row r="714">
      <c r="A714" t="s">
        <v>939</v>
      </c>
      <c r="B714" t="s">
        <v>1935</v>
      </c>
      <c r="C714" t="s">
        <v>1107</v>
      </c>
      <c r="D714" t="s">
        <v>1123</v>
      </c>
      <c r="E714" t="s">
        <v>1139</v>
      </c>
      <c r="F714" t="s">
        <v>1247</v>
      </c>
      <c r="G714">
        <v>5</v>
      </c>
      <c r="H714">
        <v>1</v>
      </c>
      <c r="I714" s="11">
        <v>46217</v>
      </c>
      <c r="J714" s="17">
        <f>IF(Items[[#This Row],[ID]]="","",IFERROR(VALUE(LOOKUP(2,1/((Log[ID]=Items[[#This Row],[ID]])*(Log[Verb]="est")),Log[Arg])),N(Items[[#This Row],[Points]])))</f>
      </c>
      <c r="K714" s="17">
        <f>IF(Items[[#This Row],[ID]]="","",IFERROR(LOOKUP(2,1/((Log[ID]=Items[[#This Row],[ID]])*(Log[Verb]="pass")),Log[Arg])&amp;"",Items[[#This Row],[Team]]&amp;""))</f>
      </c>
      <c r="L714" s="17">
        <f>IF(Items[[#This Row],[ID]]="","",IFERROR(LOOKUP(2,1/((Log[ID]=Items[[#This Row],[ID]])*(Log[Into]&lt;&gt;"")),Log[Into]),""))</f>
      </c>
      <c r="M714" s="17">
        <f>IF(Items[[#This Row],[ID]]="","",IF(IFERROR(LOOKUP(2,1/((Log[ID]=Items[[#This Row],[ID]])*(Log[Blk]&lt;&gt;"")),Log[Blk]),0)=1,"Y",""))</f>
      </c>
      <c r="N714" s="17">
        <f>IF(Items[[#This Row],[ID]]="","",SUBSTITUTE(IFERROR(LOOKUP(2,1/((Log[ID]=Items[[#This Row],[ID]])*(Log[State]&lt;&gt;"")),Log[State]),"TODO"),"OPEN",IF(Items[[#This Row],[Blocked]]="Y","WAIT","OPEN")))</f>
      </c>
      <c r="O71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14" s="17">
        <f>IF(Items[[#This Row],[State]]&lt;&gt;"WAIT","",AsOf-Items[[#This Row],[Blocked since]])</f>
      </c>
      <c r="Q714" s="17">
        <f>IF(Items[[#This Row],[State]]&lt;&gt;"WAIT","",IFERROR(LOOKUP(2,1/((Log[ID]=Items[[#This Row],[ID]])*(Log[Verb]="block")),Log[Note])&amp;"",""))</f>
      </c>
      <c r="R714" s="17">
        <f>IF(Items[[#This Row],[ID]]="","",COUNTIFS(Log[ID],Items[[#This Row],[ID]],Log[Verb],"carry"))</f>
      </c>
      <c r="S714" s="17">
        <f>IF(Items[[#This Row],[ID]]="","",COUNTIFS(Log[ID],Items[[#This Row],[ID]],Log[Verb],"punt"))</f>
      </c>
      <c r="T714" s="11">
        <f>IF(Items[[#This Row],[State]]&lt;&gt;"DONE","",IFERROR(LOOKUP(2,1/((Log[ID]=Items[[#This Row],[ID]])*(Log[Verb]="done")),Log[Date]),""))</f>
      </c>
      <c r="U714" s="17">
        <f>IF(Items[[#This Row],[ID]]="","",IF(AND(Items[[#This Row],[Sprint]]=CurSprint,OR(Items[[#This Row],[State]]="OPEN",Items[[#This Row],[State]]="WAIT",Items[[#This Row],[State]]="HOLD",Items[[#This Row],[State]]="DONE")),1,0))</f>
      </c>
      <c r="V714" s="17">
        <f>IF(OR(Items[[#This Row],[ID]]="",Items[[#This Row],[Added]]=""),"",AsOf-Items[[#This Row],[Added]])</f>
      </c>
      <c r="W714" s="17">
        <f>IF(Items[[#This Row],[In sprint]]=1,(IF(Items[[#This Row],[Prio]]="",9,N(Items[[#This Row],[Prio]]))*10+(IF(Items[[#This Row],[State]]="DONE",1,0)))*100000+ROW(),"")</f>
      </c>
      <c r="X71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14" s="17">
        <f>IF(AND(Items[[#This Row],[State]]="DONE",N(Items[[#This Row],[Done on]])&gt;AsOf-7),(200000-N(Items[[#This Row],[Done on]]))*100000+ROW(),"")</f>
      </c>
    </row>
    <row r="715">
      <c r="A715" t="s">
        <v>816</v>
      </c>
      <c r="B715" t="s">
        <v>1936</v>
      </c>
      <c r="C715" t="s">
        <v>1115</v>
      </c>
      <c r="D715" t="s">
        <v>1119</v>
      </c>
      <c r="E715" t="s">
        <v>1177</v>
      </c>
      <c r="F715" t="s">
        <v>1259</v>
      </c>
      <c r="G715">
        <v>2</v>
      </c>
      <c r="H715">
        <v>1</v>
      </c>
      <c r="I715" s="11">
        <v>46217</v>
      </c>
      <c r="J715" s="17">
        <f>IF(Items[[#This Row],[ID]]="","",IFERROR(VALUE(LOOKUP(2,1/((Log[ID]=Items[[#This Row],[ID]])*(Log[Verb]="est")),Log[Arg])),N(Items[[#This Row],[Points]])))</f>
      </c>
      <c r="K715" s="17">
        <f>IF(Items[[#This Row],[ID]]="","",IFERROR(LOOKUP(2,1/((Log[ID]=Items[[#This Row],[ID]])*(Log[Verb]="pass")),Log[Arg])&amp;"",Items[[#This Row],[Team]]&amp;""))</f>
      </c>
      <c r="L715" s="17">
        <f>IF(Items[[#This Row],[ID]]="","",IFERROR(LOOKUP(2,1/((Log[ID]=Items[[#This Row],[ID]])*(Log[Into]&lt;&gt;"")),Log[Into]),""))</f>
      </c>
      <c r="M715" s="17">
        <f>IF(Items[[#This Row],[ID]]="","",IF(IFERROR(LOOKUP(2,1/((Log[ID]=Items[[#This Row],[ID]])*(Log[Blk]&lt;&gt;"")),Log[Blk]),0)=1,"Y",""))</f>
      </c>
      <c r="N715" s="17">
        <f>IF(Items[[#This Row],[ID]]="","",SUBSTITUTE(IFERROR(LOOKUP(2,1/((Log[ID]=Items[[#This Row],[ID]])*(Log[State]&lt;&gt;"")),Log[State]),"TODO"),"OPEN",IF(Items[[#This Row],[Blocked]]="Y","WAIT","OPEN")))</f>
      </c>
      <c r="O71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15" s="17">
        <f>IF(Items[[#This Row],[State]]&lt;&gt;"WAIT","",AsOf-Items[[#This Row],[Blocked since]])</f>
      </c>
      <c r="Q715" s="17">
        <f>IF(Items[[#This Row],[State]]&lt;&gt;"WAIT","",IFERROR(LOOKUP(2,1/((Log[ID]=Items[[#This Row],[ID]])*(Log[Verb]="block")),Log[Note])&amp;"",""))</f>
      </c>
      <c r="R715" s="17">
        <f>IF(Items[[#This Row],[ID]]="","",COUNTIFS(Log[ID],Items[[#This Row],[ID]],Log[Verb],"carry"))</f>
      </c>
      <c r="S715" s="17">
        <f>IF(Items[[#This Row],[ID]]="","",COUNTIFS(Log[ID],Items[[#This Row],[ID]],Log[Verb],"punt"))</f>
      </c>
      <c r="T715" s="11">
        <f>IF(Items[[#This Row],[State]]&lt;&gt;"DONE","",IFERROR(LOOKUP(2,1/((Log[ID]=Items[[#This Row],[ID]])*(Log[Verb]="done")),Log[Date]),""))</f>
      </c>
      <c r="U715" s="17">
        <f>IF(Items[[#This Row],[ID]]="","",IF(AND(Items[[#This Row],[Sprint]]=CurSprint,OR(Items[[#This Row],[State]]="OPEN",Items[[#This Row],[State]]="WAIT",Items[[#This Row],[State]]="HOLD",Items[[#This Row],[State]]="DONE")),1,0))</f>
      </c>
      <c r="V715" s="17">
        <f>IF(OR(Items[[#This Row],[ID]]="",Items[[#This Row],[Added]]=""),"",AsOf-Items[[#This Row],[Added]])</f>
      </c>
      <c r="W715" s="17">
        <f>IF(Items[[#This Row],[In sprint]]=1,(IF(Items[[#This Row],[Prio]]="",9,N(Items[[#This Row],[Prio]]))*10+(IF(Items[[#This Row],[State]]="DONE",1,0)))*100000+ROW(),"")</f>
      </c>
      <c r="X71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15" s="17">
        <f>IF(AND(Items[[#This Row],[State]]="DONE",N(Items[[#This Row],[Done on]])&gt;AsOf-7),(200000-N(Items[[#This Row],[Done on]]))*100000+ROW(),"")</f>
      </c>
    </row>
    <row r="716">
      <c r="A716" t="s">
        <v>884</v>
      </c>
      <c r="B716" t="s">
        <v>1937</v>
      </c>
      <c r="C716" t="s">
        <v>1115</v>
      </c>
      <c r="D716" t="s">
        <v>1116</v>
      </c>
      <c r="E716" t="s">
        <v>1177</v>
      </c>
      <c r="F716" t="s">
        <v>1178</v>
      </c>
      <c r="G716">
        <v>3</v>
      </c>
      <c r="H716">
        <v>3</v>
      </c>
      <c r="I716" s="11">
        <v>46217</v>
      </c>
      <c r="J716" s="17">
        <f>IF(Items[[#This Row],[ID]]="","",IFERROR(VALUE(LOOKUP(2,1/((Log[ID]=Items[[#This Row],[ID]])*(Log[Verb]="est")),Log[Arg])),N(Items[[#This Row],[Points]])))</f>
      </c>
      <c r="K716" s="17">
        <f>IF(Items[[#This Row],[ID]]="","",IFERROR(LOOKUP(2,1/((Log[ID]=Items[[#This Row],[ID]])*(Log[Verb]="pass")),Log[Arg])&amp;"",Items[[#This Row],[Team]]&amp;""))</f>
      </c>
      <c r="L716" s="17">
        <f>IF(Items[[#This Row],[ID]]="","",IFERROR(LOOKUP(2,1/((Log[ID]=Items[[#This Row],[ID]])*(Log[Into]&lt;&gt;"")),Log[Into]),""))</f>
      </c>
      <c r="M716" s="17">
        <f>IF(Items[[#This Row],[ID]]="","",IF(IFERROR(LOOKUP(2,1/((Log[ID]=Items[[#This Row],[ID]])*(Log[Blk]&lt;&gt;"")),Log[Blk]),0)=1,"Y",""))</f>
      </c>
      <c r="N716" s="17">
        <f>IF(Items[[#This Row],[ID]]="","",SUBSTITUTE(IFERROR(LOOKUP(2,1/((Log[ID]=Items[[#This Row],[ID]])*(Log[State]&lt;&gt;"")),Log[State]),"TODO"),"OPEN",IF(Items[[#This Row],[Blocked]]="Y","WAIT","OPEN")))</f>
      </c>
      <c r="O71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16" s="17">
        <f>IF(Items[[#This Row],[State]]&lt;&gt;"WAIT","",AsOf-Items[[#This Row],[Blocked since]])</f>
      </c>
      <c r="Q716" s="17">
        <f>IF(Items[[#This Row],[State]]&lt;&gt;"WAIT","",IFERROR(LOOKUP(2,1/((Log[ID]=Items[[#This Row],[ID]])*(Log[Verb]="block")),Log[Note])&amp;"",""))</f>
      </c>
      <c r="R716" s="17">
        <f>IF(Items[[#This Row],[ID]]="","",COUNTIFS(Log[ID],Items[[#This Row],[ID]],Log[Verb],"carry"))</f>
      </c>
      <c r="S716" s="17">
        <f>IF(Items[[#This Row],[ID]]="","",COUNTIFS(Log[ID],Items[[#This Row],[ID]],Log[Verb],"punt"))</f>
      </c>
      <c r="T716" s="11">
        <f>IF(Items[[#This Row],[State]]&lt;&gt;"DONE","",IFERROR(LOOKUP(2,1/((Log[ID]=Items[[#This Row],[ID]])*(Log[Verb]="done")),Log[Date]),""))</f>
      </c>
      <c r="U716" s="17">
        <f>IF(Items[[#This Row],[ID]]="","",IF(AND(Items[[#This Row],[Sprint]]=CurSprint,OR(Items[[#This Row],[State]]="OPEN",Items[[#This Row],[State]]="WAIT",Items[[#This Row],[State]]="HOLD",Items[[#This Row],[State]]="DONE")),1,0))</f>
      </c>
      <c r="V716" s="17">
        <f>IF(OR(Items[[#This Row],[ID]]="",Items[[#This Row],[Added]]=""),"",AsOf-Items[[#This Row],[Added]])</f>
      </c>
      <c r="W716" s="17">
        <f>IF(Items[[#This Row],[In sprint]]=1,(IF(Items[[#This Row],[Prio]]="",9,N(Items[[#This Row],[Prio]]))*10+(IF(Items[[#This Row],[State]]="DONE",1,0)))*100000+ROW(),"")</f>
      </c>
      <c r="X71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16" s="17">
        <f>IF(AND(Items[[#This Row],[State]]="DONE",N(Items[[#This Row],[Done on]])&gt;AsOf-7),(200000-N(Items[[#This Row],[Done on]]))*100000+ROW(),"")</f>
      </c>
    </row>
    <row r="717">
      <c r="A717" t="s">
        <v>885</v>
      </c>
      <c r="B717" t="s">
        <v>1938</v>
      </c>
      <c r="C717" t="s">
        <v>1107</v>
      </c>
      <c r="D717" t="s">
        <v>1108</v>
      </c>
      <c r="E717" t="s">
        <v>1177</v>
      </c>
      <c r="F717" t="s">
        <v>1261</v>
      </c>
      <c r="G717">
        <v>5</v>
      </c>
      <c r="H717">
        <v>2</v>
      </c>
      <c r="I717" s="11">
        <v>46217</v>
      </c>
      <c r="J717" s="17">
        <f>IF(Items[[#This Row],[ID]]="","",IFERROR(VALUE(LOOKUP(2,1/((Log[ID]=Items[[#This Row],[ID]])*(Log[Verb]="est")),Log[Arg])),N(Items[[#This Row],[Points]])))</f>
      </c>
      <c r="K717" s="17">
        <f>IF(Items[[#This Row],[ID]]="","",IFERROR(LOOKUP(2,1/((Log[ID]=Items[[#This Row],[ID]])*(Log[Verb]="pass")),Log[Arg])&amp;"",Items[[#This Row],[Team]]&amp;""))</f>
      </c>
      <c r="L717" s="17">
        <f>IF(Items[[#This Row],[ID]]="","",IFERROR(LOOKUP(2,1/((Log[ID]=Items[[#This Row],[ID]])*(Log[Into]&lt;&gt;"")),Log[Into]),""))</f>
      </c>
      <c r="M717" s="17">
        <f>IF(Items[[#This Row],[ID]]="","",IF(IFERROR(LOOKUP(2,1/((Log[ID]=Items[[#This Row],[ID]])*(Log[Blk]&lt;&gt;"")),Log[Blk]),0)=1,"Y",""))</f>
      </c>
      <c r="N717" s="17">
        <f>IF(Items[[#This Row],[ID]]="","",SUBSTITUTE(IFERROR(LOOKUP(2,1/((Log[ID]=Items[[#This Row],[ID]])*(Log[State]&lt;&gt;"")),Log[State]),"TODO"),"OPEN",IF(Items[[#This Row],[Blocked]]="Y","WAIT","OPEN")))</f>
      </c>
      <c r="O71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17" s="17">
        <f>IF(Items[[#This Row],[State]]&lt;&gt;"WAIT","",AsOf-Items[[#This Row],[Blocked since]])</f>
      </c>
      <c r="Q717" s="17">
        <f>IF(Items[[#This Row],[State]]&lt;&gt;"WAIT","",IFERROR(LOOKUP(2,1/((Log[ID]=Items[[#This Row],[ID]])*(Log[Verb]="block")),Log[Note])&amp;"",""))</f>
      </c>
      <c r="R717" s="17">
        <f>IF(Items[[#This Row],[ID]]="","",COUNTIFS(Log[ID],Items[[#This Row],[ID]],Log[Verb],"carry"))</f>
      </c>
      <c r="S717" s="17">
        <f>IF(Items[[#This Row],[ID]]="","",COUNTIFS(Log[ID],Items[[#This Row],[ID]],Log[Verb],"punt"))</f>
      </c>
      <c r="T717" s="11">
        <f>IF(Items[[#This Row],[State]]&lt;&gt;"DONE","",IFERROR(LOOKUP(2,1/((Log[ID]=Items[[#This Row],[ID]])*(Log[Verb]="done")),Log[Date]),""))</f>
      </c>
      <c r="U717" s="17">
        <f>IF(Items[[#This Row],[ID]]="","",IF(AND(Items[[#This Row],[Sprint]]=CurSprint,OR(Items[[#This Row],[State]]="OPEN",Items[[#This Row],[State]]="WAIT",Items[[#This Row],[State]]="HOLD",Items[[#This Row],[State]]="DONE")),1,0))</f>
      </c>
      <c r="V717" s="17">
        <f>IF(OR(Items[[#This Row],[ID]]="",Items[[#This Row],[Added]]=""),"",AsOf-Items[[#This Row],[Added]])</f>
      </c>
      <c r="W717" s="17">
        <f>IF(Items[[#This Row],[In sprint]]=1,(IF(Items[[#This Row],[Prio]]="",9,N(Items[[#This Row],[Prio]]))*10+(IF(Items[[#This Row],[State]]="DONE",1,0)))*100000+ROW(),"")</f>
      </c>
      <c r="X71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17" s="17">
        <f>IF(AND(Items[[#This Row],[State]]="DONE",N(Items[[#This Row],[Done on]])&gt;AsOf-7),(200000-N(Items[[#This Row],[Done on]]))*100000+ROW(),"")</f>
      </c>
    </row>
    <row r="718">
      <c r="A718" t="s">
        <v>886</v>
      </c>
      <c r="B718" t="s">
        <v>1939</v>
      </c>
      <c r="C718" t="s">
        <v>1115</v>
      </c>
      <c r="D718" t="s">
        <v>1116</v>
      </c>
      <c r="E718" t="s">
        <v>1177</v>
      </c>
      <c r="F718" t="s">
        <v>1259</v>
      </c>
      <c r="G718">
        <v>5</v>
      </c>
      <c r="H718">
        <v>2</v>
      </c>
      <c r="I718" s="11">
        <v>46217</v>
      </c>
      <c r="J718" s="17">
        <f>IF(Items[[#This Row],[ID]]="","",IFERROR(VALUE(LOOKUP(2,1/((Log[ID]=Items[[#This Row],[ID]])*(Log[Verb]="est")),Log[Arg])),N(Items[[#This Row],[Points]])))</f>
      </c>
      <c r="K718" s="17">
        <f>IF(Items[[#This Row],[ID]]="","",IFERROR(LOOKUP(2,1/((Log[ID]=Items[[#This Row],[ID]])*(Log[Verb]="pass")),Log[Arg])&amp;"",Items[[#This Row],[Team]]&amp;""))</f>
      </c>
      <c r="L718" s="17">
        <f>IF(Items[[#This Row],[ID]]="","",IFERROR(LOOKUP(2,1/((Log[ID]=Items[[#This Row],[ID]])*(Log[Into]&lt;&gt;"")),Log[Into]),""))</f>
      </c>
      <c r="M718" s="17">
        <f>IF(Items[[#This Row],[ID]]="","",IF(IFERROR(LOOKUP(2,1/((Log[ID]=Items[[#This Row],[ID]])*(Log[Blk]&lt;&gt;"")),Log[Blk]),0)=1,"Y",""))</f>
      </c>
      <c r="N718" s="17">
        <f>IF(Items[[#This Row],[ID]]="","",SUBSTITUTE(IFERROR(LOOKUP(2,1/((Log[ID]=Items[[#This Row],[ID]])*(Log[State]&lt;&gt;"")),Log[State]),"TODO"),"OPEN",IF(Items[[#This Row],[Blocked]]="Y","WAIT","OPEN")))</f>
      </c>
      <c r="O71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18" s="17">
        <f>IF(Items[[#This Row],[State]]&lt;&gt;"WAIT","",AsOf-Items[[#This Row],[Blocked since]])</f>
      </c>
      <c r="Q718" s="17">
        <f>IF(Items[[#This Row],[State]]&lt;&gt;"WAIT","",IFERROR(LOOKUP(2,1/((Log[ID]=Items[[#This Row],[ID]])*(Log[Verb]="block")),Log[Note])&amp;"",""))</f>
      </c>
      <c r="R718" s="17">
        <f>IF(Items[[#This Row],[ID]]="","",COUNTIFS(Log[ID],Items[[#This Row],[ID]],Log[Verb],"carry"))</f>
      </c>
      <c r="S718" s="17">
        <f>IF(Items[[#This Row],[ID]]="","",COUNTIFS(Log[ID],Items[[#This Row],[ID]],Log[Verb],"punt"))</f>
      </c>
      <c r="T718" s="11">
        <f>IF(Items[[#This Row],[State]]&lt;&gt;"DONE","",IFERROR(LOOKUP(2,1/((Log[ID]=Items[[#This Row],[ID]])*(Log[Verb]="done")),Log[Date]),""))</f>
      </c>
      <c r="U718" s="17">
        <f>IF(Items[[#This Row],[ID]]="","",IF(AND(Items[[#This Row],[Sprint]]=CurSprint,OR(Items[[#This Row],[State]]="OPEN",Items[[#This Row],[State]]="WAIT",Items[[#This Row],[State]]="HOLD",Items[[#This Row],[State]]="DONE")),1,0))</f>
      </c>
      <c r="V718" s="17">
        <f>IF(OR(Items[[#This Row],[ID]]="",Items[[#This Row],[Added]]=""),"",AsOf-Items[[#This Row],[Added]])</f>
      </c>
      <c r="W718" s="17">
        <f>IF(Items[[#This Row],[In sprint]]=1,(IF(Items[[#This Row],[Prio]]="",9,N(Items[[#This Row],[Prio]]))*10+(IF(Items[[#This Row],[State]]="DONE",1,0)))*100000+ROW(),"")</f>
      </c>
      <c r="X71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18" s="17">
        <f>IF(AND(Items[[#This Row],[State]]="DONE",N(Items[[#This Row],[Done on]])&gt;AsOf-7),(200000-N(Items[[#This Row],[Done on]]))*100000+ROW(),"")</f>
      </c>
    </row>
    <row r="719">
      <c r="A719" t="s">
        <v>824</v>
      </c>
      <c r="B719" t="s">
        <v>1940</v>
      </c>
      <c r="C719" t="s">
        <v>1107</v>
      </c>
      <c r="D719" t="s">
        <v>1108</v>
      </c>
      <c r="E719" t="s">
        <v>1112</v>
      </c>
      <c r="F719" t="s">
        <v>1265</v>
      </c>
      <c r="G719">
        <v>3</v>
      </c>
      <c r="H719">
        <v>2</v>
      </c>
      <c r="I719" s="11">
        <v>46231</v>
      </c>
      <c r="J719" s="17">
        <f>IF(Items[[#This Row],[ID]]="","",IFERROR(VALUE(LOOKUP(2,1/((Log[ID]=Items[[#This Row],[ID]])*(Log[Verb]="est")),Log[Arg])),N(Items[[#This Row],[Points]])))</f>
      </c>
      <c r="K719" s="17">
        <f>IF(Items[[#This Row],[ID]]="","",IFERROR(LOOKUP(2,1/((Log[ID]=Items[[#This Row],[ID]])*(Log[Verb]="pass")),Log[Arg])&amp;"",Items[[#This Row],[Team]]&amp;""))</f>
      </c>
      <c r="L719" s="17">
        <f>IF(Items[[#This Row],[ID]]="","",IFERROR(LOOKUP(2,1/((Log[ID]=Items[[#This Row],[ID]])*(Log[Into]&lt;&gt;"")),Log[Into]),""))</f>
      </c>
      <c r="M719" s="17">
        <f>IF(Items[[#This Row],[ID]]="","",IF(IFERROR(LOOKUP(2,1/((Log[ID]=Items[[#This Row],[ID]])*(Log[Blk]&lt;&gt;"")),Log[Blk]),0)=1,"Y",""))</f>
      </c>
      <c r="N719" s="17">
        <f>IF(Items[[#This Row],[ID]]="","",SUBSTITUTE(IFERROR(LOOKUP(2,1/((Log[ID]=Items[[#This Row],[ID]])*(Log[State]&lt;&gt;"")),Log[State]),"TODO"),"OPEN",IF(Items[[#This Row],[Blocked]]="Y","WAIT","OPEN")))</f>
      </c>
      <c r="O71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19" s="17">
        <f>IF(Items[[#This Row],[State]]&lt;&gt;"WAIT","",AsOf-Items[[#This Row],[Blocked since]])</f>
      </c>
      <c r="Q719" s="17">
        <f>IF(Items[[#This Row],[State]]&lt;&gt;"WAIT","",IFERROR(LOOKUP(2,1/((Log[ID]=Items[[#This Row],[ID]])*(Log[Verb]="block")),Log[Note])&amp;"",""))</f>
      </c>
      <c r="R719" s="17">
        <f>IF(Items[[#This Row],[ID]]="","",COUNTIFS(Log[ID],Items[[#This Row],[ID]],Log[Verb],"carry"))</f>
      </c>
      <c r="S719" s="17">
        <f>IF(Items[[#This Row],[ID]]="","",COUNTIFS(Log[ID],Items[[#This Row],[ID]],Log[Verb],"punt"))</f>
      </c>
      <c r="T719" s="11">
        <f>IF(Items[[#This Row],[State]]&lt;&gt;"DONE","",IFERROR(LOOKUP(2,1/((Log[ID]=Items[[#This Row],[ID]])*(Log[Verb]="done")),Log[Date]),""))</f>
      </c>
      <c r="U719" s="17">
        <f>IF(Items[[#This Row],[ID]]="","",IF(AND(Items[[#This Row],[Sprint]]=CurSprint,OR(Items[[#This Row],[State]]="OPEN",Items[[#This Row],[State]]="WAIT",Items[[#This Row],[State]]="HOLD",Items[[#This Row],[State]]="DONE")),1,0))</f>
      </c>
      <c r="V719" s="17">
        <f>IF(OR(Items[[#This Row],[ID]]="",Items[[#This Row],[Added]]=""),"",AsOf-Items[[#This Row],[Added]])</f>
      </c>
      <c r="W719" s="17">
        <f>IF(Items[[#This Row],[In sprint]]=1,(IF(Items[[#This Row],[Prio]]="",9,N(Items[[#This Row],[Prio]]))*10+(IF(Items[[#This Row],[State]]="DONE",1,0)))*100000+ROW(),"")</f>
      </c>
      <c r="X71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19" s="17">
        <f>IF(AND(Items[[#This Row],[State]]="DONE",N(Items[[#This Row],[Done on]])&gt;AsOf-7),(200000-N(Items[[#This Row],[Done on]]))*100000+ROW(),"")</f>
      </c>
    </row>
    <row r="720">
      <c r="A720" t="s">
        <v>890</v>
      </c>
      <c r="B720" t="s">
        <v>1941</v>
      </c>
      <c r="C720" t="s">
        <v>1115</v>
      </c>
      <c r="D720" t="s">
        <v>1116</v>
      </c>
      <c r="E720" t="s">
        <v>1112</v>
      </c>
      <c r="F720" t="s">
        <v>1144</v>
      </c>
      <c r="G720">
        <v>8</v>
      </c>
      <c r="H720">
        <v>1</v>
      </c>
      <c r="I720" s="11">
        <v>46231</v>
      </c>
      <c r="J720" s="17">
        <f>IF(Items[[#This Row],[ID]]="","",IFERROR(VALUE(LOOKUP(2,1/((Log[ID]=Items[[#This Row],[ID]])*(Log[Verb]="est")),Log[Arg])),N(Items[[#This Row],[Points]])))</f>
      </c>
      <c r="K720" s="17">
        <f>IF(Items[[#This Row],[ID]]="","",IFERROR(LOOKUP(2,1/((Log[ID]=Items[[#This Row],[ID]])*(Log[Verb]="pass")),Log[Arg])&amp;"",Items[[#This Row],[Team]]&amp;""))</f>
      </c>
      <c r="L720" s="17">
        <f>IF(Items[[#This Row],[ID]]="","",IFERROR(LOOKUP(2,1/((Log[ID]=Items[[#This Row],[ID]])*(Log[Into]&lt;&gt;"")),Log[Into]),""))</f>
      </c>
      <c r="M720" s="17">
        <f>IF(Items[[#This Row],[ID]]="","",IF(IFERROR(LOOKUP(2,1/((Log[ID]=Items[[#This Row],[ID]])*(Log[Blk]&lt;&gt;"")),Log[Blk]),0)=1,"Y",""))</f>
      </c>
      <c r="N720" s="17">
        <f>IF(Items[[#This Row],[ID]]="","",SUBSTITUTE(IFERROR(LOOKUP(2,1/((Log[ID]=Items[[#This Row],[ID]])*(Log[State]&lt;&gt;"")),Log[State]),"TODO"),"OPEN",IF(Items[[#This Row],[Blocked]]="Y","WAIT","OPEN")))</f>
      </c>
      <c r="O72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20" s="17">
        <f>IF(Items[[#This Row],[State]]&lt;&gt;"WAIT","",AsOf-Items[[#This Row],[Blocked since]])</f>
      </c>
      <c r="Q720" s="17">
        <f>IF(Items[[#This Row],[State]]&lt;&gt;"WAIT","",IFERROR(LOOKUP(2,1/((Log[ID]=Items[[#This Row],[ID]])*(Log[Verb]="block")),Log[Note])&amp;"",""))</f>
      </c>
      <c r="R720" s="17">
        <f>IF(Items[[#This Row],[ID]]="","",COUNTIFS(Log[ID],Items[[#This Row],[ID]],Log[Verb],"carry"))</f>
      </c>
      <c r="S720" s="17">
        <f>IF(Items[[#This Row],[ID]]="","",COUNTIFS(Log[ID],Items[[#This Row],[ID]],Log[Verb],"punt"))</f>
      </c>
      <c r="T720" s="11">
        <f>IF(Items[[#This Row],[State]]&lt;&gt;"DONE","",IFERROR(LOOKUP(2,1/((Log[ID]=Items[[#This Row],[ID]])*(Log[Verb]="done")),Log[Date]),""))</f>
      </c>
      <c r="U720" s="17">
        <f>IF(Items[[#This Row],[ID]]="","",IF(AND(Items[[#This Row],[Sprint]]=CurSprint,OR(Items[[#This Row],[State]]="OPEN",Items[[#This Row],[State]]="WAIT",Items[[#This Row],[State]]="HOLD",Items[[#This Row],[State]]="DONE")),1,0))</f>
      </c>
      <c r="V720" s="17">
        <f>IF(OR(Items[[#This Row],[ID]]="",Items[[#This Row],[Added]]=""),"",AsOf-Items[[#This Row],[Added]])</f>
      </c>
      <c r="W720" s="17">
        <f>IF(Items[[#This Row],[In sprint]]=1,(IF(Items[[#This Row],[Prio]]="",9,N(Items[[#This Row],[Prio]]))*10+(IF(Items[[#This Row],[State]]="DONE",1,0)))*100000+ROW(),"")</f>
      </c>
      <c r="X72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20" s="17">
        <f>IF(AND(Items[[#This Row],[State]]="DONE",N(Items[[#This Row],[Done on]])&gt;AsOf-7),(200000-N(Items[[#This Row],[Done on]]))*100000+ROW(),"")</f>
      </c>
    </row>
    <row r="721">
      <c r="A721" t="s">
        <v>825</v>
      </c>
      <c r="B721" t="s">
        <v>1942</v>
      </c>
      <c r="C721" t="s">
        <v>1107</v>
      </c>
      <c r="D721" t="s">
        <v>1127</v>
      </c>
      <c r="E721" t="s">
        <v>1112</v>
      </c>
      <c r="F721" t="s">
        <v>1117</v>
      </c>
      <c r="G721">
        <v>2</v>
      </c>
      <c r="H721">
        <v>2</v>
      </c>
      <c r="I721" s="11">
        <v>46231</v>
      </c>
      <c r="J721" s="17">
        <f>IF(Items[[#This Row],[ID]]="","",IFERROR(VALUE(LOOKUP(2,1/((Log[ID]=Items[[#This Row],[ID]])*(Log[Verb]="est")),Log[Arg])),N(Items[[#This Row],[Points]])))</f>
      </c>
      <c r="K721" s="17">
        <f>IF(Items[[#This Row],[ID]]="","",IFERROR(LOOKUP(2,1/((Log[ID]=Items[[#This Row],[ID]])*(Log[Verb]="pass")),Log[Arg])&amp;"",Items[[#This Row],[Team]]&amp;""))</f>
      </c>
      <c r="L721" s="17">
        <f>IF(Items[[#This Row],[ID]]="","",IFERROR(LOOKUP(2,1/((Log[ID]=Items[[#This Row],[ID]])*(Log[Into]&lt;&gt;"")),Log[Into]),""))</f>
      </c>
      <c r="M721" s="17">
        <f>IF(Items[[#This Row],[ID]]="","",IF(IFERROR(LOOKUP(2,1/((Log[ID]=Items[[#This Row],[ID]])*(Log[Blk]&lt;&gt;"")),Log[Blk]),0)=1,"Y",""))</f>
      </c>
      <c r="N721" s="17">
        <f>IF(Items[[#This Row],[ID]]="","",SUBSTITUTE(IFERROR(LOOKUP(2,1/((Log[ID]=Items[[#This Row],[ID]])*(Log[State]&lt;&gt;"")),Log[State]),"TODO"),"OPEN",IF(Items[[#This Row],[Blocked]]="Y","WAIT","OPEN")))</f>
      </c>
      <c r="O72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21" s="17">
        <f>IF(Items[[#This Row],[State]]&lt;&gt;"WAIT","",AsOf-Items[[#This Row],[Blocked since]])</f>
      </c>
      <c r="Q721" s="17">
        <f>IF(Items[[#This Row],[State]]&lt;&gt;"WAIT","",IFERROR(LOOKUP(2,1/((Log[ID]=Items[[#This Row],[ID]])*(Log[Verb]="block")),Log[Note])&amp;"",""))</f>
      </c>
      <c r="R721" s="17">
        <f>IF(Items[[#This Row],[ID]]="","",COUNTIFS(Log[ID],Items[[#This Row],[ID]],Log[Verb],"carry"))</f>
      </c>
      <c r="S721" s="17">
        <f>IF(Items[[#This Row],[ID]]="","",COUNTIFS(Log[ID],Items[[#This Row],[ID]],Log[Verb],"punt"))</f>
      </c>
      <c r="T721" s="11">
        <f>IF(Items[[#This Row],[State]]&lt;&gt;"DONE","",IFERROR(LOOKUP(2,1/((Log[ID]=Items[[#This Row],[ID]])*(Log[Verb]="done")),Log[Date]),""))</f>
      </c>
      <c r="U721" s="17">
        <f>IF(Items[[#This Row],[ID]]="","",IF(AND(Items[[#This Row],[Sprint]]=CurSprint,OR(Items[[#This Row],[State]]="OPEN",Items[[#This Row],[State]]="WAIT",Items[[#This Row],[State]]="HOLD",Items[[#This Row],[State]]="DONE")),1,0))</f>
      </c>
      <c r="V721" s="17">
        <f>IF(OR(Items[[#This Row],[ID]]="",Items[[#This Row],[Added]]=""),"",AsOf-Items[[#This Row],[Added]])</f>
      </c>
      <c r="W721" s="17">
        <f>IF(Items[[#This Row],[In sprint]]=1,(IF(Items[[#This Row],[Prio]]="",9,N(Items[[#This Row],[Prio]]))*10+(IF(Items[[#This Row],[State]]="DONE",1,0)))*100000+ROW(),"")</f>
      </c>
      <c r="X72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21" s="17">
        <f>IF(AND(Items[[#This Row],[State]]="DONE",N(Items[[#This Row],[Done on]])&gt;AsOf-7),(200000-N(Items[[#This Row],[Done on]]))*100000+ROW(),"")</f>
      </c>
    </row>
    <row r="722">
      <c r="A722" t="s">
        <v>891</v>
      </c>
      <c r="B722" t="s">
        <v>1943</v>
      </c>
      <c r="C722" t="s">
        <v>1115</v>
      </c>
      <c r="D722" t="s">
        <v>1116</v>
      </c>
      <c r="E722" t="s">
        <v>1112</v>
      </c>
      <c r="F722" t="s">
        <v>1144</v>
      </c>
      <c r="G722">
        <v>5</v>
      </c>
      <c r="H722">
        <v>3</v>
      </c>
      <c r="I722" s="11">
        <v>46231</v>
      </c>
      <c r="J722" s="17">
        <f>IF(Items[[#This Row],[ID]]="","",IFERROR(VALUE(LOOKUP(2,1/((Log[ID]=Items[[#This Row],[ID]])*(Log[Verb]="est")),Log[Arg])),N(Items[[#This Row],[Points]])))</f>
      </c>
      <c r="K722" s="17">
        <f>IF(Items[[#This Row],[ID]]="","",IFERROR(LOOKUP(2,1/((Log[ID]=Items[[#This Row],[ID]])*(Log[Verb]="pass")),Log[Arg])&amp;"",Items[[#This Row],[Team]]&amp;""))</f>
      </c>
      <c r="L722" s="17">
        <f>IF(Items[[#This Row],[ID]]="","",IFERROR(LOOKUP(2,1/((Log[ID]=Items[[#This Row],[ID]])*(Log[Into]&lt;&gt;"")),Log[Into]),""))</f>
      </c>
      <c r="M722" s="17">
        <f>IF(Items[[#This Row],[ID]]="","",IF(IFERROR(LOOKUP(2,1/((Log[ID]=Items[[#This Row],[ID]])*(Log[Blk]&lt;&gt;"")),Log[Blk]),0)=1,"Y",""))</f>
      </c>
      <c r="N722" s="17">
        <f>IF(Items[[#This Row],[ID]]="","",SUBSTITUTE(IFERROR(LOOKUP(2,1/((Log[ID]=Items[[#This Row],[ID]])*(Log[State]&lt;&gt;"")),Log[State]),"TODO"),"OPEN",IF(Items[[#This Row],[Blocked]]="Y","WAIT","OPEN")))</f>
      </c>
      <c r="O72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22" s="17">
        <f>IF(Items[[#This Row],[State]]&lt;&gt;"WAIT","",AsOf-Items[[#This Row],[Blocked since]])</f>
      </c>
      <c r="Q722" s="17">
        <f>IF(Items[[#This Row],[State]]&lt;&gt;"WAIT","",IFERROR(LOOKUP(2,1/((Log[ID]=Items[[#This Row],[ID]])*(Log[Verb]="block")),Log[Note])&amp;"",""))</f>
      </c>
      <c r="R722" s="17">
        <f>IF(Items[[#This Row],[ID]]="","",COUNTIFS(Log[ID],Items[[#This Row],[ID]],Log[Verb],"carry"))</f>
      </c>
      <c r="S722" s="17">
        <f>IF(Items[[#This Row],[ID]]="","",COUNTIFS(Log[ID],Items[[#This Row],[ID]],Log[Verb],"punt"))</f>
      </c>
      <c r="T722" s="11">
        <f>IF(Items[[#This Row],[State]]&lt;&gt;"DONE","",IFERROR(LOOKUP(2,1/((Log[ID]=Items[[#This Row],[ID]])*(Log[Verb]="done")),Log[Date]),""))</f>
      </c>
      <c r="U722" s="17">
        <f>IF(Items[[#This Row],[ID]]="","",IF(AND(Items[[#This Row],[Sprint]]=CurSprint,OR(Items[[#This Row],[State]]="OPEN",Items[[#This Row],[State]]="WAIT",Items[[#This Row],[State]]="HOLD",Items[[#This Row],[State]]="DONE")),1,0))</f>
      </c>
      <c r="V722" s="17">
        <f>IF(OR(Items[[#This Row],[ID]]="",Items[[#This Row],[Added]]=""),"",AsOf-Items[[#This Row],[Added]])</f>
      </c>
      <c r="W722" s="17">
        <f>IF(Items[[#This Row],[In sprint]]=1,(IF(Items[[#This Row],[Prio]]="",9,N(Items[[#This Row],[Prio]]))*10+(IF(Items[[#This Row],[State]]="DONE",1,0)))*100000+ROW(),"")</f>
      </c>
      <c r="X72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22" s="17">
        <f>IF(AND(Items[[#This Row],[State]]="DONE",N(Items[[#This Row],[Done on]])&gt;AsOf-7),(200000-N(Items[[#This Row],[Done on]]))*100000+ROW(),"")</f>
      </c>
    </row>
    <row r="723">
      <c r="A723" t="s">
        <v>892</v>
      </c>
      <c r="B723" t="s">
        <v>1944</v>
      </c>
      <c r="C723" t="s">
        <v>1107</v>
      </c>
      <c r="D723" t="s">
        <v>1108</v>
      </c>
      <c r="E723" t="s">
        <v>1112</v>
      </c>
      <c r="F723" t="s">
        <v>1144</v>
      </c>
      <c r="G723">
        <v>8</v>
      </c>
      <c r="H723">
        <v>3</v>
      </c>
      <c r="I723" s="11">
        <v>46231</v>
      </c>
      <c r="J723" s="17">
        <f>IF(Items[[#This Row],[ID]]="","",IFERROR(VALUE(LOOKUP(2,1/((Log[ID]=Items[[#This Row],[ID]])*(Log[Verb]="est")),Log[Arg])),N(Items[[#This Row],[Points]])))</f>
      </c>
      <c r="K723" s="17">
        <f>IF(Items[[#This Row],[ID]]="","",IFERROR(LOOKUP(2,1/((Log[ID]=Items[[#This Row],[ID]])*(Log[Verb]="pass")),Log[Arg])&amp;"",Items[[#This Row],[Team]]&amp;""))</f>
      </c>
      <c r="L723" s="17">
        <f>IF(Items[[#This Row],[ID]]="","",IFERROR(LOOKUP(2,1/((Log[ID]=Items[[#This Row],[ID]])*(Log[Into]&lt;&gt;"")),Log[Into]),""))</f>
      </c>
      <c r="M723" s="17">
        <f>IF(Items[[#This Row],[ID]]="","",IF(IFERROR(LOOKUP(2,1/((Log[ID]=Items[[#This Row],[ID]])*(Log[Blk]&lt;&gt;"")),Log[Blk]),0)=1,"Y",""))</f>
      </c>
      <c r="N723" s="17">
        <f>IF(Items[[#This Row],[ID]]="","",SUBSTITUTE(IFERROR(LOOKUP(2,1/((Log[ID]=Items[[#This Row],[ID]])*(Log[State]&lt;&gt;"")),Log[State]),"TODO"),"OPEN",IF(Items[[#This Row],[Blocked]]="Y","WAIT","OPEN")))</f>
      </c>
      <c r="O72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23" s="17">
        <f>IF(Items[[#This Row],[State]]&lt;&gt;"WAIT","",AsOf-Items[[#This Row],[Blocked since]])</f>
      </c>
      <c r="Q723" s="17">
        <f>IF(Items[[#This Row],[State]]&lt;&gt;"WAIT","",IFERROR(LOOKUP(2,1/((Log[ID]=Items[[#This Row],[ID]])*(Log[Verb]="block")),Log[Note])&amp;"",""))</f>
      </c>
      <c r="R723" s="17">
        <f>IF(Items[[#This Row],[ID]]="","",COUNTIFS(Log[ID],Items[[#This Row],[ID]],Log[Verb],"carry"))</f>
      </c>
      <c r="S723" s="17">
        <f>IF(Items[[#This Row],[ID]]="","",COUNTIFS(Log[ID],Items[[#This Row],[ID]],Log[Verb],"punt"))</f>
      </c>
      <c r="T723" s="11">
        <f>IF(Items[[#This Row],[State]]&lt;&gt;"DONE","",IFERROR(LOOKUP(2,1/((Log[ID]=Items[[#This Row],[ID]])*(Log[Verb]="done")),Log[Date]),""))</f>
      </c>
      <c r="U723" s="17">
        <f>IF(Items[[#This Row],[ID]]="","",IF(AND(Items[[#This Row],[Sprint]]=CurSprint,OR(Items[[#This Row],[State]]="OPEN",Items[[#This Row],[State]]="WAIT",Items[[#This Row],[State]]="HOLD",Items[[#This Row],[State]]="DONE")),1,0))</f>
      </c>
      <c r="V723" s="17">
        <f>IF(OR(Items[[#This Row],[ID]]="",Items[[#This Row],[Added]]=""),"",AsOf-Items[[#This Row],[Added]])</f>
      </c>
      <c r="W723" s="17">
        <f>IF(Items[[#This Row],[In sprint]]=1,(IF(Items[[#This Row],[Prio]]="",9,N(Items[[#This Row],[Prio]]))*10+(IF(Items[[#This Row],[State]]="DONE",1,0)))*100000+ROW(),"")</f>
      </c>
      <c r="X72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23" s="17">
        <f>IF(AND(Items[[#This Row],[State]]="DONE",N(Items[[#This Row],[Done on]])&gt;AsOf-7),(200000-N(Items[[#This Row],[Done on]]))*100000+ROW(),"")</f>
      </c>
    </row>
    <row r="724">
      <c r="A724" t="s">
        <v>898</v>
      </c>
      <c r="B724" t="s">
        <v>1945</v>
      </c>
      <c r="C724" t="s">
        <v>1107</v>
      </c>
      <c r="D724" t="s">
        <v>1127</v>
      </c>
      <c r="E724" t="s">
        <v>1120</v>
      </c>
      <c r="F724" t="s">
        <v>1191</v>
      </c>
      <c r="G724">
        <v>8</v>
      </c>
      <c r="H724">
        <v>2</v>
      </c>
      <c r="I724" s="11">
        <v>46231</v>
      </c>
      <c r="J724" s="17">
        <f>IF(Items[[#This Row],[ID]]="","",IFERROR(VALUE(LOOKUP(2,1/((Log[ID]=Items[[#This Row],[ID]])*(Log[Verb]="est")),Log[Arg])),N(Items[[#This Row],[Points]])))</f>
      </c>
      <c r="K724" s="17">
        <f>IF(Items[[#This Row],[ID]]="","",IFERROR(LOOKUP(2,1/((Log[ID]=Items[[#This Row],[ID]])*(Log[Verb]="pass")),Log[Arg])&amp;"",Items[[#This Row],[Team]]&amp;""))</f>
      </c>
      <c r="L724" s="17">
        <f>IF(Items[[#This Row],[ID]]="","",IFERROR(LOOKUP(2,1/((Log[ID]=Items[[#This Row],[ID]])*(Log[Into]&lt;&gt;"")),Log[Into]),""))</f>
      </c>
      <c r="M724" s="17">
        <f>IF(Items[[#This Row],[ID]]="","",IF(IFERROR(LOOKUP(2,1/((Log[ID]=Items[[#This Row],[ID]])*(Log[Blk]&lt;&gt;"")),Log[Blk]),0)=1,"Y",""))</f>
      </c>
      <c r="N724" s="17">
        <f>IF(Items[[#This Row],[ID]]="","",SUBSTITUTE(IFERROR(LOOKUP(2,1/((Log[ID]=Items[[#This Row],[ID]])*(Log[State]&lt;&gt;"")),Log[State]),"TODO"),"OPEN",IF(Items[[#This Row],[Blocked]]="Y","WAIT","OPEN")))</f>
      </c>
      <c r="O72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24" s="17">
        <f>IF(Items[[#This Row],[State]]&lt;&gt;"WAIT","",AsOf-Items[[#This Row],[Blocked since]])</f>
      </c>
      <c r="Q724" s="17">
        <f>IF(Items[[#This Row],[State]]&lt;&gt;"WAIT","",IFERROR(LOOKUP(2,1/((Log[ID]=Items[[#This Row],[ID]])*(Log[Verb]="block")),Log[Note])&amp;"",""))</f>
      </c>
      <c r="R724" s="17">
        <f>IF(Items[[#This Row],[ID]]="","",COUNTIFS(Log[ID],Items[[#This Row],[ID]],Log[Verb],"carry"))</f>
      </c>
      <c r="S724" s="17">
        <f>IF(Items[[#This Row],[ID]]="","",COUNTIFS(Log[ID],Items[[#This Row],[ID]],Log[Verb],"punt"))</f>
      </c>
      <c r="T724" s="11">
        <f>IF(Items[[#This Row],[State]]&lt;&gt;"DONE","",IFERROR(LOOKUP(2,1/((Log[ID]=Items[[#This Row],[ID]])*(Log[Verb]="done")),Log[Date]),""))</f>
      </c>
      <c r="U724" s="17">
        <f>IF(Items[[#This Row],[ID]]="","",IF(AND(Items[[#This Row],[Sprint]]=CurSprint,OR(Items[[#This Row],[State]]="OPEN",Items[[#This Row],[State]]="WAIT",Items[[#This Row],[State]]="HOLD",Items[[#This Row],[State]]="DONE")),1,0))</f>
      </c>
      <c r="V724" s="17">
        <f>IF(OR(Items[[#This Row],[ID]]="",Items[[#This Row],[Added]]=""),"",AsOf-Items[[#This Row],[Added]])</f>
      </c>
      <c r="W724" s="17">
        <f>IF(Items[[#This Row],[In sprint]]=1,(IF(Items[[#This Row],[Prio]]="",9,N(Items[[#This Row],[Prio]]))*10+(IF(Items[[#This Row],[State]]="DONE",1,0)))*100000+ROW(),"")</f>
      </c>
      <c r="X72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24" s="17">
        <f>IF(AND(Items[[#This Row],[State]]="DONE",N(Items[[#This Row],[Done on]])&gt;AsOf-7),(200000-N(Items[[#This Row],[Done on]]))*100000+ROW(),"")</f>
      </c>
    </row>
    <row r="725">
      <c r="A725" t="s">
        <v>835</v>
      </c>
      <c r="B725" t="s">
        <v>1946</v>
      </c>
      <c r="C725" t="s">
        <v>1107</v>
      </c>
      <c r="D725" t="s">
        <v>1108</v>
      </c>
      <c r="E725" t="s">
        <v>1120</v>
      </c>
      <c r="F725" t="s">
        <v>1342</v>
      </c>
      <c r="G725">
        <v>3</v>
      </c>
      <c r="H725">
        <v>2</v>
      </c>
      <c r="I725" s="11">
        <v>46231</v>
      </c>
      <c r="J725" s="17">
        <f>IF(Items[[#This Row],[ID]]="","",IFERROR(VALUE(LOOKUP(2,1/((Log[ID]=Items[[#This Row],[ID]])*(Log[Verb]="est")),Log[Arg])),N(Items[[#This Row],[Points]])))</f>
      </c>
      <c r="K725" s="17">
        <f>IF(Items[[#This Row],[ID]]="","",IFERROR(LOOKUP(2,1/((Log[ID]=Items[[#This Row],[ID]])*(Log[Verb]="pass")),Log[Arg])&amp;"",Items[[#This Row],[Team]]&amp;""))</f>
      </c>
      <c r="L725" s="17">
        <f>IF(Items[[#This Row],[ID]]="","",IFERROR(LOOKUP(2,1/((Log[ID]=Items[[#This Row],[ID]])*(Log[Into]&lt;&gt;"")),Log[Into]),""))</f>
      </c>
      <c r="M725" s="17">
        <f>IF(Items[[#This Row],[ID]]="","",IF(IFERROR(LOOKUP(2,1/((Log[ID]=Items[[#This Row],[ID]])*(Log[Blk]&lt;&gt;"")),Log[Blk]),0)=1,"Y",""))</f>
      </c>
      <c r="N725" s="17">
        <f>IF(Items[[#This Row],[ID]]="","",SUBSTITUTE(IFERROR(LOOKUP(2,1/((Log[ID]=Items[[#This Row],[ID]])*(Log[State]&lt;&gt;"")),Log[State]),"TODO"),"OPEN",IF(Items[[#This Row],[Blocked]]="Y","WAIT","OPEN")))</f>
      </c>
      <c r="O72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25" s="17">
        <f>IF(Items[[#This Row],[State]]&lt;&gt;"WAIT","",AsOf-Items[[#This Row],[Blocked since]])</f>
      </c>
      <c r="Q725" s="17">
        <f>IF(Items[[#This Row],[State]]&lt;&gt;"WAIT","",IFERROR(LOOKUP(2,1/((Log[ID]=Items[[#This Row],[ID]])*(Log[Verb]="block")),Log[Note])&amp;"",""))</f>
      </c>
      <c r="R725" s="17">
        <f>IF(Items[[#This Row],[ID]]="","",COUNTIFS(Log[ID],Items[[#This Row],[ID]],Log[Verb],"carry"))</f>
      </c>
      <c r="S725" s="17">
        <f>IF(Items[[#This Row],[ID]]="","",COUNTIFS(Log[ID],Items[[#This Row],[ID]],Log[Verb],"punt"))</f>
      </c>
      <c r="T725" s="11">
        <f>IF(Items[[#This Row],[State]]&lt;&gt;"DONE","",IFERROR(LOOKUP(2,1/((Log[ID]=Items[[#This Row],[ID]])*(Log[Verb]="done")),Log[Date]),""))</f>
      </c>
      <c r="U725" s="17">
        <f>IF(Items[[#This Row],[ID]]="","",IF(AND(Items[[#This Row],[Sprint]]=CurSprint,OR(Items[[#This Row],[State]]="OPEN",Items[[#This Row],[State]]="WAIT",Items[[#This Row],[State]]="HOLD",Items[[#This Row],[State]]="DONE")),1,0))</f>
      </c>
      <c r="V725" s="17">
        <f>IF(OR(Items[[#This Row],[ID]]="",Items[[#This Row],[Added]]=""),"",AsOf-Items[[#This Row],[Added]])</f>
      </c>
      <c r="W725" s="17">
        <f>IF(Items[[#This Row],[In sprint]]=1,(IF(Items[[#This Row],[Prio]]="",9,N(Items[[#This Row],[Prio]]))*10+(IF(Items[[#This Row],[State]]="DONE",1,0)))*100000+ROW(),"")</f>
      </c>
      <c r="X72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25" s="17">
        <f>IF(AND(Items[[#This Row],[State]]="DONE",N(Items[[#This Row],[Done on]])&gt;AsOf-7),(200000-N(Items[[#This Row],[Done on]]))*100000+ROW(),"")</f>
      </c>
    </row>
    <row r="726">
      <c r="A726" t="s">
        <v>899</v>
      </c>
      <c r="B726" t="s">
        <v>1947</v>
      </c>
      <c r="C726" t="s">
        <v>1115</v>
      </c>
      <c r="D726" t="s">
        <v>1119</v>
      </c>
      <c r="E726" t="s">
        <v>1120</v>
      </c>
      <c r="F726" t="s">
        <v>1342</v>
      </c>
      <c r="G726">
        <v>5</v>
      </c>
      <c r="H726">
        <v>3</v>
      </c>
      <c r="I726" s="11">
        <v>46231</v>
      </c>
      <c r="J726" s="17">
        <f>IF(Items[[#This Row],[ID]]="","",IFERROR(VALUE(LOOKUP(2,1/((Log[ID]=Items[[#This Row],[ID]])*(Log[Verb]="est")),Log[Arg])),N(Items[[#This Row],[Points]])))</f>
      </c>
      <c r="K726" s="17">
        <f>IF(Items[[#This Row],[ID]]="","",IFERROR(LOOKUP(2,1/((Log[ID]=Items[[#This Row],[ID]])*(Log[Verb]="pass")),Log[Arg])&amp;"",Items[[#This Row],[Team]]&amp;""))</f>
      </c>
      <c r="L726" s="17">
        <f>IF(Items[[#This Row],[ID]]="","",IFERROR(LOOKUP(2,1/((Log[ID]=Items[[#This Row],[ID]])*(Log[Into]&lt;&gt;"")),Log[Into]),""))</f>
      </c>
      <c r="M726" s="17">
        <f>IF(Items[[#This Row],[ID]]="","",IF(IFERROR(LOOKUP(2,1/((Log[ID]=Items[[#This Row],[ID]])*(Log[Blk]&lt;&gt;"")),Log[Blk]),0)=1,"Y",""))</f>
      </c>
      <c r="N726" s="17">
        <f>IF(Items[[#This Row],[ID]]="","",SUBSTITUTE(IFERROR(LOOKUP(2,1/((Log[ID]=Items[[#This Row],[ID]])*(Log[State]&lt;&gt;"")),Log[State]),"TODO"),"OPEN",IF(Items[[#This Row],[Blocked]]="Y","WAIT","OPEN")))</f>
      </c>
      <c r="O72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26" s="17">
        <f>IF(Items[[#This Row],[State]]&lt;&gt;"WAIT","",AsOf-Items[[#This Row],[Blocked since]])</f>
      </c>
      <c r="Q726" s="17">
        <f>IF(Items[[#This Row],[State]]&lt;&gt;"WAIT","",IFERROR(LOOKUP(2,1/((Log[ID]=Items[[#This Row],[ID]])*(Log[Verb]="block")),Log[Note])&amp;"",""))</f>
      </c>
      <c r="R726" s="17">
        <f>IF(Items[[#This Row],[ID]]="","",COUNTIFS(Log[ID],Items[[#This Row],[ID]],Log[Verb],"carry"))</f>
      </c>
      <c r="S726" s="17">
        <f>IF(Items[[#This Row],[ID]]="","",COUNTIFS(Log[ID],Items[[#This Row],[ID]],Log[Verb],"punt"))</f>
      </c>
      <c r="T726" s="11">
        <f>IF(Items[[#This Row],[State]]&lt;&gt;"DONE","",IFERROR(LOOKUP(2,1/((Log[ID]=Items[[#This Row],[ID]])*(Log[Verb]="done")),Log[Date]),""))</f>
      </c>
      <c r="U726" s="17">
        <f>IF(Items[[#This Row],[ID]]="","",IF(AND(Items[[#This Row],[Sprint]]=CurSprint,OR(Items[[#This Row],[State]]="OPEN",Items[[#This Row],[State]]="WAIT",Items[[#This Row],[State]]="HOLD",Items[[#This Row],[State]]="DONE")),1,0))</f>
      </c>
      <c r="V726" s="17">
        <f>IF(OR(Items[[#This Row],[ID]]="",Items[[#This Row],[Added]]=""),"",AsOf-Items[[#This Row],[Added]])</f>
      </c>
      <c r="W726" s="17">
        <f>IF(Items[[#This Row],[In sprint]]=1,(IF(Items[[#This Row],[Prio]]="",9,N(Items[[#This Row],[Prio]]))*10+(IF(Items[[#This Row],[State]]="DONE",1,0)))*100000+ROW(),"")</f>
      </c>
      <c r="X72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26" s="17">
        <f>IF(AND(Items[[#This Row],[State]]="DONE",N(Items[[#This Row],[Done on]])&gt;AsOf-7),(200000-N(Items[[#This Row],[Done on]]))*100000+ROW(),"")</f>
      </c>
    </row>
    <row r="727">
      <c r="A727" t="s">
        <v>903</v>
      </c>
      <c r="B727" t="s">
        <v>1948</v>
      </c>
      <c r="C727" t="s">
        <v>1107</v>
      </c>
      <c r="D727" t="s">
        <v>1123</v>
      </c>
      <c r="E727" t="s">
        <v>1124</v>
      </c>
      <c r="F727" t="s">
        <v>1344</v>
      </c>
      <c r="G727">
        <v>8</v>
      </c>
      <c r="H727">
        <v>1</v>
      </c>
      <c r="I727" s="11">
        <v>46231</v>
      </c>
      <c r="J727" s="17">
        <f>IF(Items[[#This Row],[ID]]="","",IFERROR(VALUE(LOOKUP(2,1/((Log[ID]=Items[[#This Row],[ID]])*(Log[Verb]="est")),Log[Arg])),N(Items[[#This Row],[Points]])))</f>
      </c>
      <c r="K727" s="17">
        <f>IF(Items[[#This Row],[ID]]="","",IFERROR(LOOKUP(2,1/((Log[ID]=Items[[#This Row],[ID]])*(Log[Verb]="pass")),Log[Arg])&amp;"",Items[[#This Row],[Team]]&amp;""))</f>
      </c>
      <c r="L727" s="17">
        <f>IF(Items[[#This Row],[ID]]="","",IFERROR(LOOKUP(2,1/((Log[ID]=Items[[#This Row],[ID]])*(Log[Into]&lt;&gt;"")),Log[Into]),""))</f>
      </c>
      <c r="M727" s="17">
        <f>IF(Items[[#This Row],[ID]]="","",IF(IFERROR(LOOKUP(2,1/((Log[ID]=Items[[#This Row],[ID]])*(Log[Blk]&lt;&gt;"")),Log[Blk]),0)=1,"Y",""))</f>
      </c>
      <c r="N727" s="17">
        <f>IF(Items[[#This Row],[ID]]="","",SUBSTITUTE(IFERROR(LOOKUP(2,1/((Log[ID]=Items[[#This Row],[ID]])*(Log[State]&lt;&gt;"")),Log[State]),"TODO"),"OPEN",IF(Items[[#This Row],[Blocked]]="Y","WAIT","OPEN")))</f>
      </c>
      <c r="O72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27" s="17">
        <f>IF(Items[[#This Row],[State]]&lt;&gt;"WAIT","",AsOf-Items[[#This Row],[Blocked since]])</f>
      </c>
      <c r="Q727" s="17">
        <f>IF(Items[[#This Row],[State]]&lt;&gt;"WAIT","",IFERROR(LOOKUP(2,1/((Log[ID]=Items[[#This Row],[ID]])*(Log[Verb]="block")),Log[Note])&amp;"",""))</f>
      </c>
      <c r="R727" s="17">
        <f>IF(Items[[#This Row],[ID]]="","",COUNTIFS(Log[ID],Items[[#This Row],[ID]],Log[Verb],"carry"))</f>
      </c>
      <c r="S727" s="17">
        <f>IF(Items[[#This Row],[ID]]="","",COUNTIFS(Log[ID],Items[[#This Row],[ID]],Log[Verb],"punt"))</f>
      </c>
      <c r="T727" s="11">
        <f>IF(Items[[#This Row],[State]]&lt;&gt;"DONE","",IFERROR(LOOKUP(2,1/((Log[ID]=Items[[#This Row],[ID]])*(Log[Verb]="done")),Log[Date]),""))</f>
      </c>
      <c r="U727" s="17">
        <f>IF(Items[[#This Row],[ID]]="","",IF(AND(Items[[#This Row],[Sprint]]=CurSprint,OR(Items[[#This Row],[State]]="OPEN",Items[[#This Row],[State]]="WAIT",Items[[#This Row],[State]]="HOLD",Items[[#This Row],[State]]="DONE")),1,0))</f>
      </c>
      <c r="V727" s="17">
        <f>IF(OR(Items[[#This Row],[ID]]="",Items[[#This Row],[Added]]=""),"",AsOf-Items[[#This Row],[Added]])</f>
      </c>
      <c r="W727" s="17">
        <f>IF(Items[[#This Row],[In sprint]]=1,(IF(Items[[#This Row],[Prio]]="",9,N(Items[[#This Row],[Prio]]))*10+(IF(Items[[#This Row],[State]]="DONE",1,0)))*100000+ROW(),"")</f>
      </c>
      <c r="X72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27" s="17">
        <f>IF(AND(Items[[#This Row],[State]]="DONE",N(Items[[#This Row],[Done on]])&gt;AsOf-7),(200000-N(Items[[#This Row],[Done on]]))*100000+ROW(),"")</f>
      </c>
    </row>
    <row r="728">
      <c r="A728" t="s">
        <v>904</v>
      </c>
      <c r="B728" t="s">
        <v>1949</v>
      </c>
      <c r="C728" t="s">
        <v>1115</v>
      </c>
      <c r="D728" t="s">
        <v>1116</v>
      </c>
      <c r="E728" t="s">
        <v>1124</v>
      </c>
      <c r="F728" t="s">
        <v>1198</v>
      </c>
      <c r="G728">
        <v>8</v>
      </c>
      <c r="H728">
        <v>1</v>
      </c>
      <c r="I728" s="11">
        <v>46231</v>
      </c>
      <c r="J728" s="17">
        <f>IF(Items[[#This Row],[ID]]="","",IFERROR(VALUE(LOOKUP(2,1/((Log[ID]=Items[[#This Row],[ID]])*(Log[Verb]="est")),Log[Arg])),N(Items[[#This Row],[Points]])))</f>
      </c>
      <c r="K728" s="17">
        <f>IF(Items[[#This Row],[ID]]="","",IFERROR(LOOKUP(2,1/((Log[ID]=Items[[#This Row],[ID]])*(Log[Verb]="pass")),Log[Arg])&amp;"",Items[[#This Row],[Team]]&amp;""))</f>
      </c>
      <c r="L728" s="17">
        <f>IF(Items[[#This Row],[ID]]="","",IFERROR(LOOKUP(2,1/((Log[ID]=Items[[#This Row],[ID]])*(Log[Into]&lt;&gt;"")),Log[Into]),""))</f>
      </c>
      <c r="M728" s="17">
        <f>IF(Items[[#This Row],[ID]]="","",IF(IFERROR(LOOKUP(2,1/((Log[ID]=Items[[#This Row],[ID]])*(Log[Blk]&lt;&gt;"")),Log[Blk]),0)=1,"Y",""))</f>
      </c>
      <c r="N728" s="17">
        <f>IF(Items[[#This Row],[ID]]="","",SUBSTITUTE(IFERROR(LOOKUP(2,1/((Log[ID]=Items[[#This Row],[ID]])*(Log[State]&lt;&gt;"")),Log[State]),"TODO"),"OPEN",IF(Items[[#This Row],[Blocked]]="Y","WAIT","OPEN")))</f>
      </c>
      <c r="O72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28" s="17">
        <f>IF(Items[[#This Row],[State]]&lt;&gt;"WAIT","",AsOf-Items[[#This Row],[Blocked since]])</f>
      </c>
      <c r="Q728" s="17">
        <f>IF(Items[[#This Row],[State]]&lt;&gt;"WAIT","",IFERROR(LOOKUP(2,1/((Log[ID]=Items[[#This Row],[ID]])*(Log[Verb]="block")),Log[Note])&amp;"",""))</f>
      </c>
      <c r="R728" s="17">
        <f>IF(Items[[#This Row],[ID]]="","",COUNTIFS(Log[ID],Items[[#This Row],[ID]],Log[Verb],"carry"))</f>
      </c>
      <c r="S728" s="17">
        <f>IF(Items[[#This Row],[ID]]="","",COUNTIFS(Log[ID],Items[[#This Row],[ID]],Log[Verb],"punt"))</f>
      </c>
      <c r="T728" s="11">
        <f>IF(Items[[#This Row],[State]]&lt;&gt;"DONE","",IFERROR(LOOKUP(2,1/((Log[ID]=Items[[#This Row],[ID]])*(Log[Verb]="done")),Log[Date]),""))</f>
      </c>
      <c r="U728" s="17">
        <f>IF(Items[[#This Row],[ID]]="","",IF(AND(Items[[#This Row],[Sprint]]=CurSprint,OR(Items[[#This Row],[State]]="OPEN",Items[[#This Row],[State]]="WAIT",Items[[#This Row],[State]]="HOLD",Items[[#This Row],[State]]="DONE")),1,0))</f>
      </c>
      <c r="V728" s="17">
        <f>IF(OR(Items[[#This Row],[ID]]="",Items[[#This Row],[Added]]=""),"",AsOf-Items[[#This Row],[Added]])</f>
      </c>
      <c r="W728" s="17">
        <f>IF(Items[[#This Row],[In sprint]]=1,(IF(Items[[#This Row],[Prio]]="",9,N(Items[[#This Row],[Prio]]))*10+(IF(Items[[#This Row],[State]]="DONE",1,0)))*100000+ROW(),"")</f>
      </c>
      <c r="X72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28" s="17">
        <f>IF(AND(Items[[#This Row],[State]]="DONE",N(Items[[#This Row],[Done on]])&gt;AsOf-7),(200000-N(Items[[#This Row],[Done on]]))*100000+ROW(),"")</f>
      </c>
    </row>
    <row r="729">
      <c r="A729" t="s">
        <v>966</v>
      </c>
      <c r="B729" t="s">
        <v>1950</v>
      </c>
      <c r="C729" t="s">
        <v>1115</v>
      </c>
      <c r="D729" t="s">
        <v>1119</v>
      </c>
      <c r="E729" t="s">
        <v>1124</v>
      </c>
      <c r="F729" t="s">
        <v>1125</v>
      </c>
      <c r="G729">
        <v>5</v>
      </c>
      <c r="H729">
        <v>3</v>
      </c>
      <c r="I729" s="11">
        <v>46231</v>
      </c>
      <c r="J729" s="17">
        <f>IF(Items[[#This Row],[ID]]="","",IFERROR(VALUE(LOOKUP(2,1/((Log[ID]=Items[[#This Row],[ID]])*(Log[Verb]="est")),Log[Arg])),N(Items[[#This Row],[Points]])))</f>
      </c>
      <c r="K729" s="17">
        <f>IF(Items[[#This Row],[ID]]="","",IFERROR(LOOKUP(2,1/((Log[ID]=Items[[#This Row],[ID]])*(Log[Verb]="pass")),Log[Arg])&amp;"",Items[[#This Row],[Team]]&amp;""))</f>
      </c>
      <c r="L729" s="17">
        <f>IF(Items[[#This Row],[ID]]="","",IFERROR(LOOKUP(2,1/((Log[ID]=Items[[#This Row],[ID]])*(Log[Into]&lt;&gt;"")),Log[Into]),""))</f>
      </c>
      <c r="M729" s="17">
        <f>IF(Items[[#This Row],[ID]]="","",IF(IFERROR(LOOKUP(2,1/((Log[ID]=Items[[#This Row],[ID]])*(Log[Blk]&lt;&gt;"")),Log[Blk]),0)=1,"Y",""))</f>
      </c>
      <c r="N729" s="17">
        <f>IF(Items[[#This Row],[ID]]="","",SUBSTITUTE(IFERROR(LOOKUP(2,1/((Log[ID]=Items[[#This Row],[ID]])*(Log[State]&lt;&gt;"")),Log[State]),"TODO"),"OPEN",IF(Items[[#This Row],[Blocked]]="Y","WAIT","OPEN")))</f>
      </c>
      <c r="O72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29" s="17">
        <f>IF(Items[[#This Row],[State]]&lt;&gt;"WAIT","",AsOf-Items[[#This Row],[Blocked since]])</f>
      </c>
      <c r="Q729" s="17">
        <f>IF(Items[[#This Row],[State]]&lt;&gt;"WAIT","",IFERROR(LOOKUP(2,1/((Log[ID]=Items[[#This Row],[ID]])*(Log[Verb]="block")),Log[Note])&amp;"",""))</f>
      </c>
      <c r="R729" s="17">
        <f>IF(Items[[#This Row],[ID]]="","",COUNTIFS(Log[ID],Items[[#This Row],[ID]],Log[Verb],"carry"))</f>
      </c>
      <c r="S729" s="17">
        <f>IF(Items[[#This Row],[ID]]="","",COUNTIFS(Log[ID],Items[[#This Row],[ID]],Log[Verb],"punt"))</f>
      </c>
      <c r="T729" s="11">
        <f>IF(Items[[#This Row],[State]]&lt;&gt;"DONE","",IFERROR(LOOKUP(2,1/((Log[ID]=Items[[#This Row],[ID]])*(Log[Verb]="done")),Log[Date]),""))</f>
      </c>
      <c r="U729" s="17">
        <f>IF(Items[[#This Row],[ID]]="","",IF(AND(Items[[#This Row],[Sprint]]=CurSprint,OR(Items[[#This Row],[State]]="OPEN",Items[[#This Row],[State]]="WAIT",Items[[#This Row],[State]]="HOLD",Items[[#This Row],[State]]="DONE")),1,0))</f>
      </c>
      <c r="V729" s="17">
        <f>IF(OR(Items[[#This Row],[ID]]="",Items[[#This Row],[Added]]=""),"",AsOf-Items[[#This Row],[Added]])</f>
      </c>
      <c r="W729" s="17">
        <f>IF(Items[[#This Row],[In sprint]]=1,(IF(Items[[#This Row],[Prio]]="",9,N(Items[[#This Row],[Prio]]))*10+(IF(Items[[#This Row],[State]]="DONE",1,0)))*100000+ROW(),"")</f>
      </c>
      <c r="X72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29" s="17">
        <f>IF(AND(Items[[#This Row],[State]]="DONE",N(Items[[#This Row],[Done on]])&gt;AsOf-7),(200000-N(Items[[#This Row],[Done on]]))*100000+ROW(),"")</f>
      </c>
    </row>
    <row r="730">
      <c r="A730" t="s">
        <v>847</v>
      </c>
      <c r="B730" t="s">
        <v>1951</v>
      </c>
      <c r="C730" t="s">
        <v>1115</v>
      </c>
      <c r="D730" t="s">
        <v>1116</v>
      </c>
      <c r="E730" t="s">
        <v>1159</v>
      </c>
      <c r="F730" t="s">
        <v>1213</v>
      </c>
      <c r="G730">
        <v>8</v>
      </c>
      <c r="H730">
        <v>3</v>
      </c>
      <c r="I730" s="11">
        <v>46231</v>
      </c>
      <c r="J730" s="17">
        <f>IF(Items[[#This Row],[ID]]="","",IFERROR(VALUE(LOOKUP(2,1/((Log[ID]=Items[[#This Row],[ID]])*(Log[Verb]="est")),Log[Arg])),N(Items[[#This Row],[Points]])))</f>
      </c>
      <c r="K730" s="17">
        <f>IF(Items[[#This Row],[ID]]="","",IFERROR(LOOKUP(2,1/((Log[ID]=Items[[#This Row],[ID]])*(Log[Verb]="pass")),Log[Arg])&amp;"",Items[[#This Row],[Team]]&amp;""))</f>
      </c>
      <c r="L730" s="17">
        <f>IF(Items[[#This Row],[ID]]="","",IFERROR(LOOKUP(2,1/((Log[ID]=Items[[#This Row],[ID]])*(Log[Into]&lt;&gt;"")),Log[Into]),""))</f>
      </c>
      <c r="M730" s="17">
        <f>IF(Items[[#This Row],[ID]]="","",IF(IFERROR(LOOKUP(2,1/((Log[ID]=Items[[#This Row],[ID]])*(Log[Blk]&lt;&gt;"")),Log[Blk]),0)=1,"Y",""))</f>
      </c>
      <c r="N730" s="17">
        <f>IF(Items[[#This Row],[ID]]="","",SUBSTITUTE(IFERROR(LOOKUP(2,1/((Log[ID]=Items[[#This Row],[ID]])*(Log[State]&lt;&gt;"")),Log[State]),"TODO"),"OPEN",IF(Items[[#This Row],[Blocked]]="Y","WAIT","OPEN")))</f>
      </c>
      <c r="O73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30" s="17">
        <f>IF(Items[[#This Row],[State]]&lt;&gt;"WAIT","",AsOf-Items[[#This Row],[Blocked since]])</f>
      </c>
      <c r="Q730" s="17">
        <f>IF(Items[[#This Row],[State]]&lt;&gt;"WAIT","",IFERROR(LOOKUP(2,1/((Log[ID]=Items[[#This Row],[ID]])*(Log[Verb]="block")),Log[Note])&amp;"",""))</f>
      </c>
      <c r="R730" s="17">
        <f>IF(Items[[#This Row],[ID]]="","",COUNTIFS(Log[ID],Items[[#This Row],[ID]],Log[Verb],"carry"))</f>
      </c>
      <c r="S730" s="17">
        <f>IF(Items[[#This Row],[ID]]="","",COUNTIFS(Log[ID],Items[[#This Row],[ID]],Log[Verb],"punt"))</f>
      </c>
      <c r="T730" s="11">
        <f>IF(Items[[#This Row],[State]]&lt;&gt;"DONE","",IFERROR(LOOKUP(2,1/((Log[ID]=Items[[#This Row],[ID]])*(Log[Verb]="done")),Log[Date]),""))</f>
      </c>
      <c r="U730" s="17">
        <f>IF(Items[[#This Row],[ID]]="","",IF(AND(Items[[#This Row],[Sprint]]=CurSprint,OR(Items[[#This Row],[State]]="OPEN",Items[[#This Row],[State]]="WAIT",Items[[#This Row],[State]]="HOLD",Items[[#This Row],[State]]="DONE")),1,0))</f>
      </c>
      <c r="V730" s="17">
        <f>IF(OR(Items[[#This Row],[ID]]="",Items[[#This Row],[Added]]=""),"",AsOf-Items[[#This Row],[Added]])</f>
      </c>
      <c r="W730" s="17">
        <f>IF(Items[[#This Row],[In sprint]]=1,(IF(Items[[#This Row],[Prio]]="",9,N(Items[[#This Row],[Prio]]))*10+(IF(Items[[#This Row],[State]]="DONE",1,0)))*100000+ROW(),"")</f>
      </c>
      <c r="X73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30" s="17">
        <f>IF(AND(Items[[#This Row],[State]]="DONE",N(Items[[#This Row],[Done on]])&gt;AsOf-7),(200000-N(Items[[#This Row],[Done on]]))*100000+ROW(),"")</f>
      </c>
    </row>
    <row r="731">
      <c r="A731" t="s">
        <v>848</v>
      </c>
      <c r="B731" t="s">
        <v>1952</v>
      </c>
      <c r="C731" t="s">
        <v>1115</v>
      </c>
      <c r="D731" t="s">
        <v>1116</v>
      </c>
      <c r="E731" t="s">
        <v>1159</v>
      </c>
      <c r="F731" t="s">
        <v>1211</v>
      </c>
      <c r="G731">
        <v>2</v>
      </c>
      <c r="H731">
        <v>2</v>
      </c>
      <c r="I731" s="11">
        <v>46231</v>
      </c>
      <c r="J731" s="17">
        <f>IF(Items[[#This Row],[ID]]="","",IFERROR(VALUE(LOOKUP(2,1/((Log[ID]=Items[[#This Row],[ID]])*(Log[Verb]="est")),Log[Arg])),N(Items[[#This Row],[Points]])))</f>
      </c>
      <c r="K731" s="17">
        <f>IF(Items[[#This Row],[ID]]="","",IFERROR(LOOKUP(2,1/((Log[ID]=Items[[#This Row],[ID]])*(Log[Verb]="pass")),Log[Arg])&amp;"",Items[[#This Row],[Team]]&amp;""))</f>
      </c>
      <c r="L731" s="17">
        <f>IF(Items[[#This Row],[ID]]="","",IFERROR(LOOKUP(2,1/((Log[ID]=Items[[#This Row],[ID]])*(Log[Into]&lt;&gt;"")),Log[Into]),""))</f>
      </c>
      <c r="M731" s="17">
        <f>IF(Items[[#This Row],[ID]]="","",IF(IFERROR(LOOKUP(2,1/((Log[ID]=Items[[#This Row],[ID]])*(Log[Blk]&lt;&gt;"")),Log[Blk]),0)=1,"Y",""))</f>
      </c>
      <c r="N731" s="17">
        <f>IF(Items[[#This Row],[ID]]="","",SUBSTITUTE(IFERROR(LOOKUP(2,1/((Log[ID]=Items[[#This Row],[ID]])*(Log[State]&lt;&gt;"")),Log[State]),"TODO"),"OPEN",IF(Items[[#This Row],[Blocked]]="Y","WAIT","OPEN")))</f>
      </c>
      <c r="O73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31" s="17">
        <f>IF(Items[[#This Row],[State]]&lt;&gt;"WAIT","",AsOf-Items[[#This Row],[Blocked since]])</f>
      </c>
      <c r="Q731" s="17">
        <f>IF(Items[[#This Row],[State]]&lt;&gt;"WAIT","",IFERROR(LOOKUP(2,1/((Log[ID]=Items[[#This Row],[ID]])*(Log[Verb]="block")),Log[Note])&amp;"",""))</f>
      </c>
      <c r="R731" s="17">
        <f>IF(Items[[#This Row],[ID]]="","",COUNTIFS(Log[ID],Items[[#This Row],[ID]],Log[Verb],"carry"))</f>
      </c>
      <c r="S731" s="17">
        <f>IF(Items[[#This Row],[ID]]="","",COUNTIFS(Log[ID],Items[[#This Row],[ID]],Log[Verb],"punt"))</f>
      </c>
      <c r="T731" s="11">
        <f>IF(Items[[#This Row],[State]]&lt;&gt;"DONE","",IFERROR(LOOKUP(2,1/((Log[ID]=Items[[#This Row],[ID]])*(Log[Verb]="done")),Log[Date]),""))</f>
      </c>
      <c r="U731" s="17">
        <f>IF(Items[[#This Row],[ID]]="","",IF(AND(Items[[#This Row],[Sprint]]=CurSprint,OR(Items[[#This Row],[State]]="OPEN",Items[[#This Row],[State]]="WAIT",Items[[#This Row],[State]]="HOLD",Items[[#This Row],[State]]="DONE")),1,0))</f>
      </c>
      <c r="V731" s="17">
        <f>IF(OR(Items[[#This Row],[ID]]="",Items[[#This Row],[Added]]=""),"",AsOf-Items[[#This Row],[Added]])</f>
      </c>
      <c r="W731" s="17">
        <f>IF(Items[[#This Row],[In sprint]]=1,(IF(Items[[#This Row],[Prio]]="",9,N(Items[[#This Row],[Prio]]))*10+(IF(Items[[#This Row],[State]]="DONE",1,0)))*100000+ROW(),"")</f>
      </c>
      <c r="X73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31" s="17">
        <f>IF(AND(Items[[#This Row],[State]]="DONE",N(Items[[#This Row],[Done on]])&gt;AsOf-7),(200000-N(Items[[#This Row],[Done on]]))*100000+ROW(),"")</f>
      </c>
    </row>
    <row r="732">
      <c r="A732" t="s">
        <v>907</v>
      </c>
      <c r="B732" t="s">
        <v>1953</v>
      </c>
      <c r="C732" t="s">
        <v>1115</v>
      </c>
      <c r="D732" t="s">
        <v>1119</v>
      </c>
      <c r="E732" t="s">
        <v>1159</v>
      </c>
      <c r="F732" t="s">
        <v>1439</v>
      </c>
      <c r="G732">
        <v>5</v>
      </c>
      <c r="H732">
        <v>3</v>
      </c>
      <c r="I732" s="11">
        <v>46231</v>
      </c>
      <c r="J732" s="17">
        <f>IF(Items[[#This Row],[ID]]="","",IFERROR(VALUE(LOOKUP(2,1/((Log[ID]=Items[[#This Row],[ID]])*(Log[Verb]="est")),Log[Arg])),N(Items[[#This Row],[Points]])))</f>
      </c>
      <c r="K732" s="17">
        <f>IF(Items[[#This Row],[ID]]="","",IFERROR(LOOKUP(2,1/((Log[ID]=Items[[#This Row],[ID]])*(Log[Verb]="pass")),Log[Arg])&amp;"",Items[[#This Row],[Team]]&amp;""))</f>
      </c>
      <c r="L732" s="17">
        <f>IF(Items[[#This Row],[ID]]="","",IFERROR(LOOKUP(2,1/((Log[ID]=Items[[#This Row],[ID]])*(Log[Into]&lt;&gt;"")),Log[Into]),""))</f>
      </c>
      <c r="M732" s="17">
        <f>IF(Items[[#This Row],[ID]]="","",IF(IFERROR(LOOKUP(2,1/((Log[ID]=Items[[#This Row],[ID]])*(Log[Blk]&lt;&gt;"")),Log[Blk]),0)=1,"Y",""))</f>
      </c>
      <c r="N732" s="17">
        <f>IF(Items[[#This Row],[ID]]="","",SUBSTITUTE(IFERROR(LOOKUP(2,1/((Log[ID]=Items[[#This Row],[ID]])*(Log[State]&lt;&gt;"")),Log[State]),"TODO"),"OPEN",IF(Items[[#This Row],[Blocked]]="Y","WAIT","OPEN")))</f>
      </c>
      <c r="O73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32" s="17">
        <f>IF(Items[[#This Row],[State]]&lt;&gt;"WAIT","",AsOf-Items[[#This Row],[Blocked since]])</f>
      </c>
      <c r="Q732" s="17">
        <f>IF(Items[[#This Row],[State]]&lt;&gt;"WAIT","",IFERROR(LOOKUP(2,1/((Log[ID]=Items[[#This Row],[ID]])*(Log[Verb]="block")),Log[Note])&amp;"",""))</f>
      </c>
      <c r="R732" s="17">
        <f>IF(Items[[#This Row],[ID]]="","",COUNTIFS(Log[ID],Items[[#This Row],[ID]],Log[Verb],"carry"))</f>
      </c>
      <c r="S732" s="17">
        <f>IF(Items[[#This Row],[ID]]="","",COUNTIFS(Log[ID],Items[[#This Row],[ID]],Log[Verb],"punt"))</f>
      </c>
      <c r="T732" s="11">
        <f>IF(Items[[#This Row],[State]]&lt;&gt;"DONE","",IFERROR(LOOKUP(2,1/((Log[ID]=Items[[#This Row],[ID]])*(Log[Verb]="done")),Log[Date]),""))</f>
      </c>
      <c r="U732" s="17">
        <f>IF(Items[[#This Row],[ID]]="","",IF(AND(Items[[#This Row],[Sprint]]=CurSprint,OR(Items[[#This Row],[State]]="OPEN",Items[[#This Row],[State]]="WAIT",Items[[#This Row],[State]]="HOLD",Items[[#This Row],[State]]="DONE")),1,0))</f>
      </c>
      <c r="V732" s="17">
        <f>IF(OR(Items[[#This Row],[ID]]="",Items[[#This Row],[Added]]=""),"",AsOf-Items[[#This Row],[Added]])</f>
      </c>
      <c r="W732" s="17">
        <f>IF(Items[[#This Row],[In sprint]]=1,(IF(Items[[#This Row],[Prio]]="",9,N(Items[[#This Row],[Prio]]))*10+(IF(Items[[#This Row],[State]]="DONE",1,0)))*100000+ROW(),"")</f>
      </c>
      <c r="X73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32" s="17">
        <f>IF(AND(Items[[#This Row],[State]]="DONE",N(Items[[#This Row],[Done on]])&gt;AsOf-7),(200000-N(Items[[#This Row],[Done on]]))*100000+ROW(),"")</f>
      </c>
    </row>
    <row r="733">
      <c r="A733" t="s">
        <v>908</v>
      </c>
      <c r="B733" t="s">
        <v>1954</v>
      </c>
      <c r="C733" t="s">
        <v>1115</v>
      </c>
      <c r="D733" t="s">
        <v>1119</v>
      </c>
      <c r="E733" t="s">
        <v>1159</v>
      </c>
      <c r="F733" t="s">
        <v>1211</v>
      </c>
      <c r="G733">
        <v>5</v>
      </c>
      <c r="H733">
        <v>3</v>
      </c>
      <c r="I733" s="11">
        <v>46231</v>
      </c>
      <c r="J733" s="17">
        <f>IF(Items[[#This Row],[ID]]="","",IFERROR(VALUE(LOOKUP(2,1/((Log[ID]=Items[[#This Row],[ID]])*(Log[Verb]="est")),Log[Arg])),N(Items[[#This Row],[Points]])))</f>
      </c>
      <c r="K733" s="17">
        <f>IF(Items[[#This Row],[ID]]="","",IFERROR(LOOKUP(2,1/((Log[ID]=Items[[#This Row],[ID]])*(Log[Verb]="pass")),Log[Arg])&amp;"",Items[[#This Row],[Team]]&amp;""))</f>
      </c>
      <c r="L733" s="17">
        <f>IF(Items[[#This Row],[ID]]="","",IFERROR(LOOKUP(2,1/((Log[ID]=Items[[#This Row],[ID]])*(Log[Into]&lt;&gt;"")),Log[Into]),""))</f>
      </c>
      <c r="M733" s="17">
        <f>IF(Items[[#This Row],[ID]]="","",IF(IFERROR(LOOKUP(2,1/((Log[ID]=Items[[#This Row],[ID]])*(Log[Blk]&lt;&gt;"")),Log[Blk]),0)=1,"Y",""))</f>
      </c>
      <c r="N733" s="17">
        <f>IF(Items[[#This Row],[ID]]="","",SUBSTITUTE(IFERROR(LOOKUP(2,1/((Log[ID]=Items[[#This Row],[ID]])*(Log[State]&lt;&gt;"")),Log[State]),"TODO"),"OPEN",IF(Items[[#This Row],[Blocked]]="Y","WAIT","OPEN")))</f>
      </c>
      <c r="O73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33" s="17">
        <f>IF(Items[[#This Row],[State]]&lt;&gt;"WAIT","",AsOf-Items[[#This Row],[Blocked since]])</f>
      </c>
      <c r="Q733" s="17">
        <f>IF(Items[[#This Row],[State]]&lt;&gt;"WAIT","",IFERROR(LOOKUP(2,1/((Log[ID]=Items[[#This Row],[ID]])*(Log[Verb]="block")),Log[Note])&amp;"",""))</f>
      </c>
      <c r="R733" s="17">
        <f>IF(Items[[#This Row],[ID]]="","",COUNTIFS(Log[ID],Items[[#This Row],[ID]],Log[Verb],"carry"))</f>
      </c>
      <c r="S733" s="17">
        <f>IF(Items[[#This Row],[ID]]="","",COUNTIFS(Log[ID],Items[[#This Row],[ID]],Log[Verb],"punt"))</f>
      </c>
      <c r="T733" s="11">
        <f>IF(Items[[#This Row],[State]]&lt;&gt;"DONE","",IFERROR(LOOKUP(2,1/((Log[ID]=Items[[#This Row],[ID]])*(Log[Verb]="done")),Log[Date]),""))</f>
      </c>
      <c r="U733" s="17">
        <f>IF(Items[[#This Row],[ID]]="","",IF(AND(Items[[#This Row],[Sprint]]=CurSprint,OR(Items[[#This Row],[State]]="OPEN",Items[[#This Row],[State]]="WAIT",Items[[#This Row],[State]]="HOLD",Items[[#This Row],[State]]="DONE")),1,0))</f>
      </c>
      <c r="V733" s="17">
        <f>IF(OR(Items[[#This Row],[ID]]="",Items[[#This Row],[Added]]=""),"",AsOf-Items[[#This Row],[Added]])</f>
      </c>
      <c r="W733" s="17">
        <f>IF(Items[[#This Row],[In sprint]]=1,(IF(Items[[#This Row],[Prio]]="",9,N(Items[[#This Row],[Prio]]))*10+(IF(Items[[#This Row],[State]]="DONE",1,0)))*100000+ROW(),"")</f>
      </c>
      <c r="X73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33" s="17">
        <f>IF(AND(Items[[#This Row],[State]]="DONE",N(Items[[#This Row],[Done on]])&gt;AsOf-7),(200000-N(Items[[#This Row],[Done on]]))*100000+ROW(),"")</f>
      </c>
    </row>
    <row r="734">
      <c r="A734" t="s">
        <v>909</v>
      </c>
      <c r="B734" t="s">
        <v>1955</v>
      </c>
      <c r="C734" t="s">
        <v>1107</v>
      </c>
      <c r="D734" t="s">
        <v>1108</v>
      </c>
      <c r="E734" t="s">
        <v>1159</v>
      </c>
      <c r="F734" t="s">
        <v>1355</v>
      </c>
      <c r="G734">
        <v>2</v>
      </c>
      <c r="H734">
        <v>3</v>
      </c>
      <c r="I734" s="11">
        <v>46231</v>
      </c>
      <c r="J734" s="17">
        <f>IF(Items[[#This Row],[ID]]="","",IFERROR(VALUE(LOOKUP(2,1/((Log[ID]=Items[[#This Row],[ID]])*(Log[Verb]="est")),Log[Arg])),N(Items[[#This Row],[Points]])))</f>
      </c>
      <c r="K734" s="17">
        <f>IF(Items[[#This Row],[ID]]="","",IFERROR(LOOKUP(2,1/((Log[ID]=Items[[#This Row],[ID]])*(Log[Verb]="pass")),Log[Arg])&amp;"",Items[[#This Row],[Team]]&amp;""))</f>
      </c>
      <c r="L734" s="17">
        <f>IF(Items[[#This Row],[ID]]="","",IFERROR(LOOKUP(2,1/((Log[ID]=Items[[#This Row],[ID]])*(Log[Into]&lt;&gt;"")),Log[Into]),""))</f>
      </c>
      <c r="M734" s="17">
        <f>IF(Items[[#This Row],[ID]]="","",IF(IFERROR(LOOKUP(2,1/((Log[ID]=Items[[#This Row],[ID]])*(Log[Blk]&lt;&gt;"")),Log[Blk]),0)=1,"Y",""))</f>
      </c>
      <c r="N734" s="17">
        <f>IF(Items[[#This Row],[ID]]="","",SUBSTITUTE(IFERROR(LOOKUP(2,1/((Log[ID]=Items[[#This Row],[ID]])*(Log[State]&lt;&gt;"")),Log[State]),"TODO"),"OPEN",IF(Items[[#This Row],[Blocked]]="Y","WAIT","OPEN")))</f>
      </c>
      <c r="O73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34" s="17">
        <f>IF(Items[[#This Row],[State]]&lt;&gt;"WAIT","",AsOf-Items[[#This Row],[Blocked since]])</f>
      </c>
      <c r="Q734" s="17">
        <f>IF(Items[[#This Row],[State]]&lt;&gt;"WAIT","",IFERROR(LOOKUP(2,1/((Log[ID]=Items[[#This Row],[ID]])*(Log[Verb]="block")),Log[Note])&amp;"",""))</f>
      </c>
      <c r="R734" s="17">
        <f>IF(Items[[#This Row],[ID]]="","",COUNTIFS(Log[ID],Items[[#This Row],[ID]],Log[Verb],"carry"))</f>
      </c>
      <c r="S734" s="17">
        <f>IF(Items[[#This Row],[ID]]="","",COUNTIFS(Log[ID],Items[[#This Row],[ID]],Log[Verb],"punt"))</f>
      </c>
      <c r="T734" s="11">
        <f>IF(Items[[#This Row],[State]]&lt;&gt;"DONE","",IFERROR(LOOKUP(2,1/((Log[ID]=Items[[#This Row],[ID]])*(Log[Verb]="done")),Log[Date]),""))</f>
      </c>
      <c r="U734" s="17">
        <f>IF(Items[[#This Row],[ID]]="","",IF(AND(Items[[#This Row],[Sprint]]=CurSprint,OR(Items[[#This Row],[State]]="OPEN",Items[[#This Row],[State]]="WAIT",Items[[#This Row],[State]]="HOLD",Items[[#This Row],[State]]="DONE")),1,0))</f>
      </c>
      <c r="V734" s="17">
        <f>IF(OR(Items[[#This Row],[ID]]="",Items[[#This Row],[Added]]=""),"",AsOf-Items[[#This Row],[Added]])</f>
      </c>
      <c r="W734" s="17">
        <f>IF(Items[[#This Row],[In sprint]]=1,(IF(Items[[#This Row],[Prio]]="",9,N(Items[[#This Row],[Prio]]))*10+(IF(Items[[#This Row],[State]]="DONE",1,0)))*100000+ROW(),"")</f>
      </c>
      <c r="X73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34" s="17">
        <f>IF(AND(Items[[#This Row],[State]]="DONE",N(Items[[#This Row],[Done on]])&gt;AsOf-7),(200000-N(Items[[#This Row],[Done on]]))*100000+ROW(),"")</f>
      </c>
    </row>
    <row r="735">
      <c r="A735" t="s">
        <v>910</v>
      </c>
      <c r="B735" t="s">
        <v>1956</v>
      </c>
      <c r="C735" t="s">
        <v>1107</v>
      </c>
      <c r="D735" t="s">
        <v>1127</v>
      </c>
      <c r="E735" t="s">
        <v>1159</v>
      </c>
      <c r="F735" t="s">
        <v>1213</v>
      </c>
      <c r="G735">
        <v>5</v>
      </c>
      <c r="H735">
        <v>1</v>
      </c>
      <c r="I735" s="11">
        <v>46231</v>
      </c>
      <c r="J735" s="17">
        <f>IF(Items[[#This Row],[ID]]="","",IFERROR(VALUE(LOOKUP(2,1/((Log[ID]=Items[[#This Row],[ID]])*(Log[Verb]="est")),Log[Arg])),N(Items[[#This Row],[Points]])))</f>
      </c>
      <c r="K735" s="17">
        <f>IF(Items[[#This Row],[ID]]="","",IFERROR(LOOKUP(2,1/((Log[ID]=Items[[#This Row],[ID]])*(Log[Verb]="pass")),Log[Arg])&amp;"",Items[[#This Row],[Team]]&amp;""))</f>
      </c>
      <c r="L735" s="17">
        <f>IF(Items[[#This Row],[ID]]="","",IFERROR(LOOKUP(2,1/((Log[ID]=Items[[#This Row],[ID]])*(Log[Into]&lt;&gt;"")),Log[Into]),""))</f>
      </c>
      <c r="M735" s="17">
        <f>IF(Items[[#This Row],[ID]]="","",IF(IFERROR(LOOKUP(2,1/((Log[ID]=Items[[#This Row],[ID]])*(Log[Blk]&lt;&gt;"")),Log[Blk]),0)=1,"Y",""))</f>
      </c>
      <c r="N735" s="17">
        <f>IF(Items[[#This Row],[ID]]="","",SUBSTITUTE(IFERROR(LOOKUP(2,1/((Log[ID]=Items[[#This Row],[ID]])*(Log[State]&lt;&gt;"")),Log[State]),"TODO"),"OPEN",IF(Items[[#This Row],[Blocked]]="Y","WAIT","OPEN")))</f>
      </c>
      <c r="O73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35" s="17">
        <f>IF(Items[[#This Row],[State]]&lt;&gt;"WAIT","",AsOf-Items[[#This Row],[Blocked since]])</f>
      </c>
      <c r="Q735" s="17">
        <f>IF(Items[[#This Row],[State]]&lt;&gt;"WAIT","",IFERROR(LOOKUP(2,1/((Log[ID]=Items[[#This Row],[ID]])*(Log[Verb]="block")),Log[Note])&amp;"",""))</f>
      </c>
      <c r="R735" s="17">
        <f>IF(Items[[#This Row],[ID]]="","",COUNTIFS(Log[ID],Items[[#This Row],[ID]],Log[Verb],"carry"))</f>
      </c>
      <c r="S735" s="17">
        <f>IF(Items[[#This Row],[ID]]="","",COUNTIFS(Log[ID],Items[[#This Row],[ID]],Log[Verb],"punt"))</f>
      </c>
      <c r="T735" s="11">
        <f>IF(Items[[#This Row],[State]]&lt;&gt;"DONE","",IFERROR(LOOKUP(2,1/((Log[ID]=Items[[#This Row],[ID]])*(Log[Verb]="done")),Log[Date]),""))</f>
      </c>
      <c r="U735" s="17">
        <f>IF(Items[[#This Row],[ID]]="","",IF(AND(Items[[#This Row],[Sprint]]=CurSprint,OR(Items[[#This Row],[State]]="OPEN",Items[[#This Row],[State]]="WAIT",Items[[#This Row],[State]]="HOLD",Items[[#This Row],[State]]="DONE")),1,0))</f>
      </c>
      <c r="V735" s="17">
        <f>IF(OR(Items[[#This Row],[ID]]="",Items[[#This Row],[Added]]=""),"",AsOf-Items[[#This Row],[Added]])</f>
      </c>
      <c r="W735" s="17">
        <f>IF(Items[[#This Row],[In sprint]]=1,(IF(Items[[#This Row],[Prio]]="",9,N(Items[[#This Row],[Prio]]))*10+(IF(Items[[#This Row],[State]]="DONE",1,0)))*100000+ROW(),"")</f>
      </c>
      <c r="X73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35" s="17">
        <f>IF(AND(Items[[#This Row],[State]]="DONE",N(Items[[#This Row],[Done on]])&gt;AsOf-7),(200000-N(Items[[#This Row],[Done on]]))*100000+ROW(),"")</f>
      </c>
    </row>
    <row r="736">
      <c r="A736" t="s">
        <v>911</v>
      </c>
      <c r="B736" t="s">
        <v>1957</v>
      </c>
      <c r="C736" t="s">
        <v>1107</v>
      </c>
      <c r="D736" t="s">
        <v>1127</v>
      </c>
      <c r="E736" t="s">
        <v>1159</v>
      </c>
      <c r="F736" t="s">
        <v>1285</v>
      </c>
      <c r="G736">
        <v>3</v>
      </c>
      <c r="H736">
        <v>2</v>
      </c>
      <c r="I736" s="11">
        <v>46231</v>
      </c>
      <c r="J736" s="17">
        <f>IF(Items[[#This Row],[ID]]="","",IFERROR(VALUE(LOOKUP(2,1/((Log[ID]=Items[[#This Row],[ID]])*(Log[Verb]="est")),Log[Arg])),N(Items[[#This Row],[Points]])))</f>
      </c>
      <c r="K736" s="17">
        <f>IF(Items[[#This Row],[ID]]="","",IFERROR(LOOKUP(2,1/((Log[ID]=Items[[#This Row],[ID]])*(Log[Verb]="pass")),Log[Arg])&amp;"",Items[[#This Row],[Team]]&amp;""))</f>
      </c>
      <c r="L736" s="17">
        <f>IF(Items[[#This Row],[ID]]="","",IFERROR(LOOKUP(2,1/((Log[ID]=Items[[#This Row],[ID]])*(Log[Into]&lt;&gt;"")),Log[Into]),""))</f>
      </c>
      <c r="M736" s="17">
        <f>IF(Items[[#This Row],[ID]]="","",IF(IFERROR(LOOKUP(2,1/((Log[ID]=Items[[#This Row],[ID]])*(Log[Blk]&lt;&gt;"")),Log[Blk]),0)=1,"Y",""))</f>
      </c>
      <c r="N736" s="17">
        <f>IF(Items[[#This Row],[ID]]="","",SUBSTITUTE(IFERROR(LOOKUP(2,1/((Log[ID]=Items[[#This Row],[ID]])*(Log[State]&lt;&gt;"")),Log[State]),"TODO"),"OPEN",IF(Items[[#This Row],[Blocked]]="Y","WAIT","OPEN")))</f>
      </c>
      <c r="O73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36" s="17">
        <f>IF(Items[[#This Row],[State]]&lt;&gt;"WAIT","",AsOf-Items[[#This Row],[Blocked since]])</f>
      </c>
      <c r="Q736" s="17">
        <f>IF(Items[[#This Row],[State]]&lt;&gt;"WAIT","",IFERROR(LOOKUP(2,1/((Log[ID]=Items[[#This Row],[ID]])*(Log[Verb]="block")),Log[Note])&amp;"",""))</f>
      </c>
      <c r="R736" s="17">
        <f>IF(Items[[#This Row],[ID]]="","",COUNTIFS(Log[ID],Items[[#This Row],[ID]],Log[Verb],"carry"))</f>
      </c>
      <c r="S736" s="17">
        <f>IF(Items[[#This Row],[ID]]="","",COUNTIFS(Log[ID],Items[[#This Row],[ID]],Log[Verb],"punt"))</f>
      </c>
      <c r="T736" s="11">
        <f>IF(Items[[#This Row],[State]]&lt;&gt;"DONE","",IFERROR(LOOKUP(2,1/((Log[ID]=Items[[#This Row],[ID]])*(Log[Verb]="done")),Log[Date]),""))</f>
      </c>
      <c r="U736" s="17">
        <f>IF(Items[[#This Row],[ID]]="","",IF(AND(Items[[#This Row],[Sprint]]=CurSprint,OR(Items[[#This Row],[State]]="OPEN",Items[[#This Row],[State]]="WAIT",Items[[#This Row],[State]]="HOLD",Items[[#This Row],[State]]="DONE")),1,0))</f>
      </c>
      <c r="V736" s="17">
        <f>IF(OR(Items[[#This Row],[ID]]="",Items[[#This Row],[Added]]=""),"",AsOf-Items[[#This Row],[Added]])</f>
      </c>
      <c r="W736" s="17">
        <f>IF(Items[[#This Row],[In sprint]]=1,(IF(Items[[#This Row],[Prio]]="",9,N(Items[[#This Row],[Prio]]))*10+(IF(Items[[#This Row],[State]]="DONE",1,0)))*100000+ROW(),"")</f>
      </c>
      <c r="X73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36" s="17">
        <f>IF(AND(Items[[#This Row],[State]]="DONE",N(Items[[#This Row],[Done on]])&gt;AsOf-7),(200000-N(Items[[#This Row],[Done on]]))*100000+ROW(),"")</f>
      </c>
    </row>
    <row r="737">
      <c r="A737" t="s">
        <v>915</v>
      </c>
      <c r="B737" t="s">
        <v>1958</v>
      </c>
      <c r="C737" t="s">
        <v>1115</v>
      </c>
      <c r="D737" t="s">
        <v>1119</v>
      </c>
      <c r="E737" t="s">
        <v>1128</v>
      </c>
      <c r="F737" t="s">
        <v>1294</v>
      </c>
      <c r="G737">
        <v>8</v>
      </c>
      <c r="H737">
        <v>1</v>
      </c>
      <c r="I737" s="11">
        <v>46231</v>
      </c>
      <c r="J737" s="17">
        <f>IF(Items[[#This Row],[ID]]="","",IFERROR(VALUE(LOOKUP(2,1/((Log[ID]=Items[[#This Row],[ID]])*(Log[Verb]="est")),Log[Arg])),N(Items[[#This Row],[Points]])))</f>
      </c>
      <c r="K737" s="17">
        <f>IF(Items[[#This Row],[ID]]="","",IFERROR(LOOKUP(2,1/((Log[ID]=Items[[#This Row],[ID]])*(Log[Verb]="pass")),Log[Arg])&amp;"",Items[[#This Row],[Team]]&amp;""))</f>
      </c>
      <c r="L737" s="17">
        <f>IF(Items[[#This Row],[ID]]="","",IFERROR(LOOKUP(2,1/((Log[ID]=Items[[#This Row],[ID]])*(Log[Into]&lt;&gt;"")),Log[Into]),""))</f>
      </c>
      <c r="M737" s="17">
        <f>IF(Items[[#This Row],[ID]]="","",IF(IFERROR(LOOKUP(2,1/((Log[ID]=Items[[#This Row],[ID]])*(Log[Blk]&lt;&gt;"")),Log[Blk]),0)=1,"Y",""))</f>
      </c>
      <c r="N737" s="17">
        <f>IF(Items[[#This Row],[ID]]="","",SUBSTITUTE(IFERROR(LOOKUP(2,1/((Log[ID]=Items[[#This Row],[ID]])*(Log[State]&lt;&gt;"")),Log[State]),"TODO"),"OPEN",IF(Items[[#This Row],[Blocked]]="Y","WAIT","OPEN")))</f>
      </c>
      <c r="O73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37" s="17">
        <f>IF(Items[[#This Row],[State]]&lt;&gt;"WAIT","",AsOf-Items[[#This Row],[Blocked since]])</f>
      </c>
      <c r="Q737" s="17">
        <f>IF(Items[[#This Row],[State]]&lt;&gt;"WAIT","",IFERROR(LOOKUP(2,1/((Log[ID]=Items[[#This Row],[ID]])*(Log[Verb]="block")),Log[Note])&amp;"",""))</f>
      </c>
      <c r="R737" s="17">
        <f>IF(Items[[#This Row],[ID]]="","",COUNTIFS(Log[ID],Items[[#This Row],[ID]],Log[Verb],"carry"))</f>
      </c>
      <c r="S737" s="17">
        <f>IF(Items[[#This Row],[ID]]="","",COUNTIFS(Log[ID],Items[[#This Row],[ID]],Log[Verb],"punt"))</f>
      </c>
      <c r="T737" s="11">
        <f>IF(Items[[#This Row],[State]]&lt;&gt;"DONE","",IFERROR(LOOKUP(2,1/((Log[ID]=Items[[#This Row],[ID]])*(Log[Verb]="done")),Log[Date]),""))</f>
      </c>
      <c r="U737" s="17">
        <f>IF(Items[[#This Row],[ID]]="","",IF(AND(Items[[#This Row],[Sprint]]=CurSprint,OR(Items[[#This Row],[State]]="OPEN",Items[[#This Row],[State]]="WAIT",Items[[#This Row],[State]]="HOLD",Items[[#This Row],[State]]="DONE")),1,0))</f>
      </c>
      <c r="V737" s="17">
        <f>IF(OR(Items[[#This Row],[ID]]="",Items[[#This Row],[Added]]=""),"",AsOf-Items[[#This Row],[Added]])</f>
      </c>
      <c r="W737" s="17">
        <f>IF(Items[[#This Row],[In sprint]]=1,(IF(Items[[#This Row],[Prio]]="",9,N(Items[[#This Row],[Prio]]))*10+(IF(Items[[#This Row],[State]]="DONE",1,0)))*100000+ROW(),"")</f>
      </c>
      <c r="X73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37" s="17">
        <f>IF(AND(Items[[#This Row],[State]]="DONE",N(Items[[#This Row],[Done on]])&gt;AsOf-7),(200000-N(Items[[#This Row],[Done on]]))*100000+ROW(),"")</f>
      </c>
    </row>
    <row r="738">
      <c r="A738" t="s">
        <v>856</v>
      </c>
      <c r="B738" t="s">
        <v>1959</v>
      </c>
      <c r="C738" t="s">
        <v>1107</v>
      </c>
      <c r="D738" t="s">
        <v>1123</v>
      </c>
      <c r="E738" t="s">
        <v>1128</v>
      </c>
      <c r="F738" t="s">
        <v>1292</v>
      </c>
      <c r="G738">
        <v>3</v>
      </c>
      <c r="H738">
        <v>3</v>
      </c>
      <c r="I738" s="11">
        <v>46231</v>
      </c>
      <c r="J738" s="17">
        <f>IF(Items[[#This Row],[ID]]="","",IFERROR(VALUE(LOOKUP(2,1/((Log[ID]=Items[[#This Row],[ID]])*(Log[Verb]="est")),Log[Arg])),N(Items[[#This Row],[Points]])))</f>
      </c>
      <c r="K738" s="17">
        <f>IF(Items[[#This Row],[ID]]="","",IFERROR(LOOKUP(2,1/((Log[ID]=Items[[#This Row],[ID]])*(Log[Verb]="pass")),Log[Arg])&amp;"",Items[[#This Row],[Team]]&amp;""))</f>
      </c>
      <c r="L738" s="17">
        <f>IF(Items[[#This Row],[ID]]="","",IFERROR(LOOKUP(2,1/((Log[ID]=Items[[#This Row],[ID]])*(Log[Into]&lt;&gt;"")),Log[Into]),""))</f>
      </c>
      <c r="M738" s="17">
        <f>IF(Items[[#This Row],[ID]]="","",IF(IFERROR(LOOKUP(2,1/((Log[ID]=Items[[#This Row],[ID]])*(Log[Blk]&lt;&gt;"")),Log[Blk]),0)=1,"Y",""))</f>
      </c>
      <c r="N738" s="17">
        <f>IF(Items[[#This Row],[ID]]="","",SUBSTITUTE(IFERROR(LOOKUP(2,1/((Log[ID]=Items[[#This Row],[ID]])*(Log[State]&lt;&gt;"")),Log[State]),"TODO"),"OPEN",IF(Items[[#This Row],[Blocked]]="Y","WAIT","OPEN")))</f>
      </c>
      <c r="O73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38" s="17">
        <f>IF(Items[[#This Row],[State]]&lt;&gt;"WAIT","",AsOf-Items[[#This Row],[Blocked since]])</f>
      </c>
      <c r="Q738" s="17">
        <f>IF(Items[[#This Row],[State]]&lt;&gt;"WAIT","",IFERROR(LOOKUP(2,1/((Log[ID]=Items[[#This Row],[ID]])*(Log[Verb]="block")),Log[Note])&amp;"",""))</f>
      </c>
      <c r="R738" s="17">
        <f>IF(Items[[#This Row],[ID]]="","",COUNTIFS(Log[ID],Items[[#This Row],[ID]],Log[Verb],"carry"))</f>
      </c>
      <c r="S738" s="17">
        <f>IF(Items[[#This Row],[ID]]="","",COUNTIFS(Log[ID],Items[[#This Row],[ID]],Log[Verb],"punt"))</f>
      </c>
      <c r="T738" s="11">
        <f>IF(Items[[#This Row],[State]]&lt;&gt;"DONE","",IFERROR(LOOKUP(2,1/((Log[ID]=Items[[#This Row],[ID]])*(Log[Verb]="done")),Log[Date]),""))</f>
      </c>
      <c r="U738" s="17">
        <f>IF(Items[[#This Row],[ID]]="","",IF(AND(Items[[#This Row],[Sprint]]=CurSprint,OR(Items[[#This Row],[State]]="OPEN",Items[[#This Row],[State]]="WAIT",Items[[#This Row],[State]]="HOLD",Items[[#This Row],[State]]="DONE")),1,0))</f>
      </c>
      <c r="V738" s="17">
        <f>IF(OR(Items[[#This Row],[ID]]="",Items[[#This Row],[Added]]=""),"",AsOf-Items[[#This Row],[Added]])</f>
      </c>
      <c r="W738" s="17">
        <f>IF(Items[[#This Row],[In sprint]]=1,(IF(Items[[#This Row],[Prio]]="",9,N(Items[[#This Row],[Prio]]))*10+(IF(Items[[#This Row],[State]]="DONE",1,0)))*100000+ROW(),"")</f>
      </c>
      <c r="X73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38" s="17">
        <f>IF(AND(Items[[#This Row],[State]]="DONE",N(Items[[#This Row],[Done on]])&gt;AsOf-7),(200000-N(Items[[#This Row],[Done on]]))*100000+ROW(),"")</f>
      </c>
    </row>
    <row r="739">
      <c r="A739" t="s">
        <v>857</v>
      </c>
      <c r="B739" t="s">
        <v>1960</v>
      </c>
      <c r="C739" t="s">
        <v>1115</v>
      </c>
      <c r="D739" t="s">
        <v>1116</v>
      </c>
      <c r="E739" t="s">
        <v>1128</v>
      </c>
      <c r="F739" t="s">
        <v>1164</v>
      </c>
      <c r="G739">
        <v>2</v>
      </c>
      <c r="H739">
        <v>2</v>
      </c>
      <c r="I739" s="11">
        <v>46231</v>
      </c>
      <c r="J739" s="17">
        <f>IF(Items[[#This Row],[ID]]="","",IFERROR(VALUE(LOOKUP(2,1/((Log[ID]=Items[[#This Row],[ID]])*(Log[Verb]="est")),Log[Arg])),N(Items[[#This Row],[Points]])))</f>
      </c>
      <c r="K739" s="17">
        <f>IF(Items[[#This Row],[ID]]="","",IFERROR(LOOKUP(2,1/((Log[ID]=Items[[#This Row],[ID]])*(Log[Verb]="pass")),Log[Arg])&amp;"",Items[[#This Row],[Team]]&amp;""))</f>
      </c>
      <c r="L739" s="17">
        <f>IF(Items[[#This Row],[ID]]="","",IFERROR(LOOKUP(2,1/((Log[ID]=Items[[#This Row],[ID]])*(Log[Into]&lt;&gt;"")),Log[Into]),""))</f>
      </c>
      <c r="M739" s="17">
        <f>IF(Items[[#This Row],[ID]]="","",IF(IFERROR(LOOKUP(2,1/((Log[ID]=Items[[#This Row],[ID]])*(Log[Blk]&lt;&gt;"")),Log[Blk]),0)=1,"Y",""))</f>
      </c>
      <c r="N739" s="17">
        <f>IF(Items[[#This Row],[ID]]="","",SUBSTITUTE(IFERROR(LOOKUP(2,1/((Log[ID]=Items[[#This Row],[ID]])*(Log[State]&lt;&gt;"")),Log[State]),"TODO"),"OPEN",IF(Items[[#This Row],[Blocked]]="Y","WAIT","OPEN")))</f>
      </c>
      <c r="O73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39" s="17">
        <f>IF(Items[[#This Row],[State]]&lt;&gt;"WAIT","",AsOf-Items[[#This Row],[Blocked since]])</f>
      </c>
      <c r="Q739" s="17">
        <f>IF(Items[[#This Row],[State]]&lt;&gt;"WAIT","",IFERROR(LOOKUP(2,1/((Log[ID]=Items[[#This Row],[ID]])*(Log[Verb]="block")),Log[Note])&amp;"",""))</f>
      </c>
      <c r="R739" s="17">
        <f>IF(Items[[#This Row],[ID]]="","",COUNTIFS(Log[ID],Items[[#This Row],[ID]],Log[Verb],"carry"))</f>
      </c>
      <c r="S739" s="17">
        <f>IF(Items[[#This Row],[ID]]="","",COUNTIFS(Log[ID],Items[[#This Row],[ID]],Log[Verb],"punt"))</f>
      </c>
      <c r="T739" s="11">
        <f>IF(Items[[#This Row],[State]]&lt;&gt;"DONE","",IFERROR(LOOKUP(2,1/((Log[ID]=Items[[#This Row],[ID]])*(Log[Verb]="done")),Log[Date]),""))</f>
      </c>
      <c r="U739" s="17">
        <f>IF(Items[[#This Row],[ID]]="","",IF(AND(Items[[#This Row],[Sprint]]=CurSprint,OR(Items[[#This Row],[State]]="OPEN",Items[[#This Row],[State]]="WAIT",Items[[#This Row],[State]]="HOLD",Items[[#This Row],[State]]="DONE")),1,0))</f>
      </c>
      <c r="V739" s="17">
        <f>IF(OR(Items[[#This Row],[ID]]="",Items[[#This Row],[Added]]=""),"",AsOf-Items[[#This Row],[Added]])</f>
      </c>
      <c r="W739" s="17">
        <f>IF(Items[[#This Row],[In sprint]]=1,(IF(Items[[#This Row],[Prio]]="",9,N(Items[[#This Row],[Prio]]))*10+(IF(Items[[#This Row],[State]]="DONE",1,0)))*100000+ROW(),"")</f>
      </c>
      <c r="X73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39" s="17">
        <f>IF(AND(Items[[#This Row],[State]]="DONE",N(Items[[#This Row],[Done on]])&gt;AsOf-7),(200000-N(Items[[#This Row],[Done on]]))*100000+ROW(),"")</f>
      </c>
    </row>
    <row r="740">
      <c r="A740" t="s">
        <v>916</v>
      </c>
      <c r="B740" t="s">
        <v>1961</v>
      </c>
      <c r="C740" t="s">
        <v>1115</v>
      </c>
      <c r="D740" t="s">
        <v>1116</v>
      </c>
      <c r="E740" t="s">
        <v>1128</v>
      </c>
      <c r="F740" t="s">
        <v>1294</v>
      </c>
      <c r="G740">
        <v>2</v>
      </c>
      <c r="H740">
        <v>2</v>
      </c>
      <c r="I740" s="11">
        <v>46231</v>
      </c>
      <c r="J740" s="17">
        <f>IF(Items[[#This Row],[ID]]="","",IFERROR(VALUE(LOOKUP(2,1/((Log[ID]=Items[[#This Row],[ID]])*(Log[Verb]="est")),Log[Arg])),N(Items[[#This Row],[Points]])))</f>
      </c>
      <c r="K740" s="17">
        <f>IF(Items[[#This Row],[ID]]="","",IFERROR(LOOKUP(2,1/((Log[ID]=Items[[#This Row],[ID]])*(Log[Verb]="pass")),Log[Arg])&amp;"",Items[[#This Row],[Team]]&amp;""))</f>
      </c>
      <c r="L740" s="17">
        <f>IF(Items[[#This Row],[ID]]="","",IFERROR(LOOKUP(2,1/((Log[ID]=Items[[#This Row],[ID]])*(Log[Into]&lt;&gt;"")),Log[Into]),""))</f>
      </c>
      <c r="M740" s="17">
        <f>IF(Items[[#This Row],[ID]]="","",IF(IFERROR(LOOKUP(2,1/((Log[ID]=Items[[#This Row],[ID]])*(Log[Blk]&lt;&gt;"")),Log[Blk]),0)=1,"Y",""))</f>
      </c>
      <c r="N740" s="17">
        <f>IF(Items[[#This Row],[ID]]="","",SUBSTITUTE(IFERROR(LOOKUP(2,1/((Log[ID]=Items[[#This Row],[ID]])*(Log[State]&lt;&gt;"")),Log[State]),"TODO"),"OPEN",IF(Items[[#This Row],[Blocked]]="Y","WAIT","OPEN")))</f>
      </c>
      <c r="O74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40" s="17">
        <f>IF(Items[[#This Row],[State]]&lt;&gt;"WAIT","",AsOf-Items[[#This Row],[Blocked since]])</f>
      </c>
      <c r="Q740" s="17">
        <f>IF(Items[[#This Row],[State]]&lt;&gt;"WAIT","",IFERROR(LOOKUP(2,1/((Log[ID]=Items[[#This Row],[ID]])*(Log[Verb]="block")),Log[Note])&amp;"",""))</f>
      </c>
      <c r="R740" s="17">
        <f>IF(Items[[#This Row],[ID]]="","",COUNTIFS(Log[ID],Items[[#This Row],[ID]],Log[Verb],"carry"))</f>
      </c>
      <c r="S740" s="17">
        <f>IF(Items[[#This Row],[ID]]="","",COUNTIFS(Log[ID],Items[[#This Row],[ID]],Log[Verb],"punt"))</f>
      </c>
      <c r="T740" s="11">
        <f>IF(Items[[#This Row],[State]]&lt;&gt;"DONE","",IFERROR(LOOKUP(2,1/((Log[ID]=Items[[#This Row],[ID]])*(Log[Verb]="done")),Log[Date]),""))</f>
      </c>
      <c r="U740" s="17">
        <f>IF(Items[[#This Row],[ID]]="","",IF(AND(Items[[#This Row],[Sprint]]=CurSprint,OR(Items[[#This Row],[State]]="OPEN",Items[[#This Row],[State]]="WAIT",Items[[#This Row],[State]]="HOLD",Items[[#This Row],[State]]="DONE")),1,0))</f>
      </c>
      <c r="V740" s="17">
        <f>IF(OR(Items[[#This Row],[ID]]="",Items[[#This Row],[Added]]=""),"",AsOf-Items[[#This Row],[Added]])</f>
      </c>
      <c r="W740" s="17">
        <f>IF(Items[[#This Row],[In sprint]]=1,(IF(Items[[#This Row],[Prio]]="",9,N(Items[[#This Row],[Prio]]))*10+(IF(Items[[#This Row],[State]]="DONE",1,0)))*100000+ROW(),"")</f>
      </c>
      <c r="X74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40" s="17">
        <f>IF(AND(Items[[#This Row],[State]]="DONE",N(Items[[#This Row],[Done on]])&gt;AsOf-7),(200000-N(Items[[#This Row],[Done on]]))*100000+ROW(),"")</f>
      </c>
    </row>
    <row r="741">
      <c r="A741" t="s">
        <v>917</v>
      </c>
      <c r="B741" t="s">
        <v>1962</v>
      </c>
      <c r="C741" t="s">
        <v>1115</v>
      </c>
      <c r="D741" t="s">
        <v>1116</v>
      </c>
      <c r="E741" t="s">
        <v>1128</v>
      </c>
      <c r="F741" t="s">
        <v>1217</v>
      </c>
      <c r="G741">
        <v>2</v>
      </c>
      <c r="H741">
        <v>1</v>
      </c>
      <c r="I741" s="11">
        <v>46231</v>
      </c>
      <c r="J741" s="17">
        <f>IF(Items[[#This Row],[ID]]="","",IFERROR(VALUE(LOOKUP(2,1/((Log[ID]=Items[[#This Row],[ID]])*(Log[Verb]="est")),Log[Arg])),N(Items[[#This Row],[Points]])))</f>
      </c>
      <c r="K741" s="17">
        <f>IF(Items[[#This Row],[ID]]="","",IFERROR(LOOKUP(2,1/((Log[ID]=Items[[#This Row],[ID]])*(Log[Verb]="pass")),Log[Arg])&amp;"",Items[[#This Row],[Team]]&amp;""))</f>
      </c>
      <c r="L741" s="17">
        <f>IF(Items[[#This Row],[ID]]="","",IFERROR(LOOKUP(2,1/((Log[ID]=Items[[#This Row],[ID]])*(Log[Into]&lt;&gt;"")),Log[Into]),""))</f>
      </c>
      <c r="M741" s="17">
        <f>IF(Items[[#This Row],[ID]]="","",IF(IFERROR(LOOKUP(2,1/((Log[ID]=Items[[#This Row],[ID]])*(Log[Blk]&lt;&gt;"")),Log[Blk]),0)=1,"Y",""))</f>
      </c>
      <c r="N741" s="17">
        <f>IF(Items[[#This Row],[ID]]="","",SUBSTITUTE(IFERROR(LOOKUP(2,1/((Log[ID]=Items[[#This Row],[ID]])*(Log[State]&lt;&gt;"")),Log[State]),"TODO"),"OPEN",IF(Items[[#This Row],[Blocked]]="Y","WAIT","OPEN")))</f>
      </c>
      <c r="O74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41" s="17">
        <f>IF(Items[[#This Row],[State]]&lt;&gt;"WAIT","",AsOf-Items[[#This Row],[Blocked since]])</f>
      </c>
      <c r="Q741" s="17">
        <f>IF(Items[[#This Row],[State]]&lt;&gt;"WAIT","",IFERROR(LOOKUP(2,1/((Log[ID]=Items[[#This Row],[ID]])*(Log[Verb]="block")),Log[Note])&amp;"",""))</f>
      </c>
      <c r="R741" s="17">
        <f>IF(Items[[#This Row],[ID]]="","",COUNTIFS(Log[ID],Items[[#This Row],[ID]],Log[Verb],"carry"))</f>
      </c>
      <c r="S741" s="17">
        <f>IF(Items[[#This Row],[ID]]="","",COUNTIFS(Log[ID],Items[[#This Row],[ID]],Log[Verb],"punt"))</f>
      </c>
      <c r="T741" s="11">
        <f>IF(Items[[#This Row],[State]]&lt;&gt;"DONE","",IFERROR(LOOKUP(2,1/((Log[ID]=Items[[#This Row],[ID]])*(Log[Verb]="done")),Log[Date]),""))</f>
      </c>
      <c r="U741" s="17">
        <f>IF(Items[[#This Row],[ID]]="","",IF(AND(Items[[#This Row],[Sprint]]=CurSprint,OR(Items[[#This Row],[State]]="OPEN",Items[[#This Row],[State]]="WAIT",Items[[#This Row],[State]]="HOLD",Items[[#This Row],[State]]="DONE")),1,0))</f>
      </c>
      <c r="V741" s="17">
        <f>IF(OR(Items[[#This Row],[ID]]="",Items[[#This Row],[Added]]=""),"",AsOf-Items[[#This Row],[Added]])</f>
      </c>
      <c r="W741" s="17">
        <f>IF(Items[[#This Row],[In sprint]]=1,(IF(Items[[#This Row],[Prio]]="",9,N(Items[[#This Row],[Prio]]))*10+(IF(Items[[#This Row],[State]]="DONE",1,0)))*100000+ROW(),"")</f>
      </c>
      <c r="X74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41" s="17">
        <f>IF(AND(Items[[#This Row],[State]]="DONE",N(Items[[#This Row],[Done on]])&gt;AsOf-7),(200000-N(Items[[#This Row],[Done on]]))*100000+ROW(),"")</f>
      </c>
    </row>
    <row r="742">
      <c r="A742" t="s">
        <v>918</v>
      </c>
      <c r="B742" t="s">
        <v>1963</v>
      </c>
      <c r="C742" t="s">
        <v>1107</v>
      </c>
      <c r="D742" t="s">
        <v>1108</v>
      </c>
      <c r="E742" t="s">
        <v>1128</v>
      </c>
      <c r="F742" t="s">
        <v>1129</v>
      </c>
      <c r="G742">
        <v>8</v>
      </c>
      <c r="H742">
        <v>3</v>
      </c>
      <c r="I742" s="11">
        <v>46231</v>
      </c>
      <c r="J742" s="17">
        <f>IF(Items[[#This Row],[ID]]="","",IFERROR(VALUE(LOOKUP(2,1/((Log[ID]=Items[[#This Row],[ID]])*(Log[Verb]="est")),Log[Arg])),N(Items[[#This Row],[Points]])))</f>
      </c>
      <c r="K742" s="17">
        <f>IF(Items[[#This Row],[ID]]="","",IFERROR(LOOKUP(2,1/((Log[ID]=Items[[#This Row],[ID]])*(Log[Verb]="pass")),Log[Arg])&amp;"",Items[[#This Row],[Team]]&amp;""))</f>
      </c>
      <c r="L742" s="17">
        <f>IF(Items[[#This Row],[ID]]="","",IFERROR(LOOKUP(2,1/((Log[ID]=Items[[#This Row],[ID]])*(Log[Into]&lt;&gt;"")),Log[Into]),""))</f>
      </c>
      <c r="M742" s="17">
        <f>IF(Items[[#This Row],[ID]]="","",IF(IFERROR(LOOKUP(2,1/((Log[ID]=Items[[#This Row],[ID]])*(Log[Blk]&lt;&gt;"")),Log[Blk]),0)=1,"Y",""))</f>
      </c>
      <c r="N742" s="17">
        <f>IF(Items[[#This Row],[ID]]="","",SUBSTITUTE(IFERROR(LOOKUP(2,1/((Log[ID]=Items[[#This Row],[ID]])*(Log[State]&lt;&gt;"")),Log[State]),"TODO"),"OPEN",IF(Items[[#This Row],[Blocked]]="Y","WAIT","OPEN")))</f>
      </c>
      <c r="O74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42" s="17">
        <f>IF(Items[[#This Row],[State]]&lt;&gt;"WAIT","",AsOf-Items[[#This Row],[Blocked since]])</f>
      </c>
      <c r="Q742" s="17">
        <f>IF(Items[[#This Row],[State]]&lt;&gt;"WAIT","",IFERROR(LOOKUP(2,1/((Log[ID]=Items[[#This Row],[ID]])*(Log[Verb]="block")),Log[Note])&amp;"",""))</f>
      </c>
      <c r="R742" s="17">
        <f>IF(Items[[#This Row],[ID]]="","",COUNTIFS(Log[ID],Items[[#This Row],[ID]],Log[Verb],"carry"))</f>
      </c>
      <c r="S742" s="17">
        <f>IF(Items[[#This Row],[ID]]="","",COUNTIFS(Log[ID],Items[[#This Row],[ID]],Log[Verb],"punt"))</f>
      </c>
      <c r="T742" s="11">
        <f>IF(Items[[#This Row],[State]]&lt;&gt;"DONE","",IFERROR(LOOKUP(2,1/((Log[ID]=Items[[#This Row],[ID]])*(Log[Verb]="done")),Log[Date]),""))</f>
      </c>
      <c r="U742" s="17">
        <f>IF(Items[[#This Row],[ID]]="","",IF(AND(Items[[#This Row],[Sprint]]=CurSprint,OR(Items[[#This Row],[State]]="OPEN",Items[[#This Row],[State]]="WAIT",Items[[#This Row],[State]]="HOLD",Items[[#This Row],[State]]="DONE")),1,0))</f>
      </c>
      <c r="V742" s="17">
        <f>IF(OR(Items[[#This Row],[ID]]="",Items[[#This Row],[Added]]=""),"",AsOf-Items[[#This Row],[Added]])</f>
      </c>
      <c r="W742" s="17">
        <f>IF(Items[[#This Row],[In sprint]]=1,(IF(Items[[#This Row],[Prio]]="",9,N(Items[[#This Row],[Prio]]))*10+(IF(Items[[#This Row],[State]]="DONE",1,0)))*100000+ROW(),"")</f>
      </c>
      <c r="X74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42" s="17">
        <f>IF(AND(Items[[#This Row],[State]]="DONE",N(Items[[#This Row],[Done on]])&gt;AsOf-7),(200000-N(Items[[#This Row],[Done on]]))*100000+ROW(),"")</f>
      </c>
    </row>
    <row r="743">
      <c r="A743" t="s">
        <v>864</v>
      </c>
      <c r="B743" t="s">
        <v>1964</v>
      </c>
      <c r="C743" t="s">
        <v>1107</v>
      </c>
      <c r="D743" t="s">
        <v>1108</v>
      </c>
      <c r="E743" t="s">
        <v>1109</v>
      </c>
      <c r="F743" t="s">
        <v>1370</v>
      </c>
      <c r="G743">
        <v>2</v>
      </c>
      <c r="H743">
        <v>3</v>
      </c>
      <c r="I743" s="11">
        <v>46231</v>
      </c>
      <c r="J743" s="17">
        <f>IF(Items[[#This Row],[ID]]="","",IFERROR(VALUE(LOOKUP(2,1/((Log[ID]=Items[[#This Row],[ID]])*(Log[Verb]="est")),Log[Arg])),N(Items[[#This Row],[Points]])))</f>
      </c>
      <c r="K743" s="17">
        <f>IF(Items[[#This Row],[ID]]="","",IFERROR(LOOKUP(2,1/((Log[ID]=Items[[#This Row],[ID]])*(Log[Verb]="pass")),Log[Arg])&amp;"",Items[[#This Row],[Team]]&amp;""))</f>
      </c>
      <c r="L743" s="17">
        <f>IF(Items[[#This Row],[ID]]="","",IFERROR(LOOKUP(2,1/((Log[ID]=Items[[#This Row],[ID]])*(Log[Into]&lt;&gt;"")),Log[Into]),""))</f>
      </c>
      <c r="M743" s="17">
        <f>IF(Items[[#This Row],[ID]]="","",IF(IFERROR(LOOKUP(2,1/((Log[ID]=Items[[#This Row],[ID]])*(Log[Blk]&lt;&gt;"")),Log[Blk]),0)=1,"Y",""))</f>
      </c>
      <c r="N743" s="17">
        <f>IF(Items[[#This Row],[ID]]="","",SUBSTITUTE(IFERROR(LOOKUP(2,1/((Log[ID]=Items[[#This Row],[ID]])*(Log[State]&lt;&gt;"")),Log[State]),"TODO"),"OPEN",IF(Items[[#This Row],[Blocked]]="Y","WAIT","OPEN")))</f>
      </c>
      <c r="O74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43" s="17">
        <f>IF(Items[[#This Row],[State]]&lt;&gt;"WAIT","",AsOf-Items[[#This Row],[Blocked since]])</f>
      </c>
      <c r="Q743" s="17">
        <f>IF(Items[[#This Row],[State]]&lt;&gt;"WAIT","",IFERROR(LOOKUP(2,1/((Log[ID]=Items[[#This Row],[ID]])*(Log[Verb]="block")),Log[Note])&amp;"",""))</f>
      </c>
      <c r="R743" s="17">
        <f>IF(Items[[#This Row],[ID]]="","",COUNTIFS(Log[ID],Items[[#This Row],[ID]],Log[Verb],"carry"))</f>
      </c>
      <c r="S743" s="17">
        <f>IF(Items[[#This Row],[ID]]="","",COUNTIFS(Log[ID],Items[[#This Row],[ID]],Log[Verb],"punt"))</f>
      </c>
      <c r="T743" s="11">
        <f>IF(Items[[#This Row],[State]]&lt;&gt;"DONE","",IFERROR(LOOKUP(2,1/((Log[ID]=Items[[#This Row],[ID]])*(Log[Verb]="done")),Log[Date]),""))</f>
      </c>
      <c r="U743" s="17">
        <f>IF(Items[[#This Row],[ID]]="","",IF(AND(Items[[#This Row],[Sprint]]=CurSprint,OR(Items[[#This Row],[State]]="OPEN",Items[[#This Row],[State]]="WAIT",Items[[#This Row],[State]]="HOLD",Items[[#This Row],[State]]="DONE")),1,0))</f>
      </c>
      <c r="V743" s="17">
        <f>IF(OR(Items[[#This Row],[ID]]="",Items[[#This Row],[Added]]=""),"",AsOf-Items[[#This Row],[Added]])</f>
      </c>
      <c r="W743" s="17">
        <f>IF(Items[[#This Row],[In sprint]]=1,(IF(Items[[#This Row],[Prio]]="",9,N(Items[[#This Row],[Prio]]))*10+(IF(Items[[#This Row],[State]]="DONE",1,0)))*100000+ROW(),"")</f>
      </c>
      <c r="X74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43" s="17">
        <f>IF(AND(Items[[#This Row],[State]]="DONE",N(Items[[#This Row],[Done on]])&gt;AsOf-7),(200000-N(Items[[#This Row],[Done on]]))*100000+ROW(),"")</f>
      </c>
    </row>
    <row r="744">
      <c r="A744" t="s">
        <v>923</v>
      </c>
      <c r="B744" t="s">
        <v>1965</v>
      </c>
      <c r="C744" t="s">
        <v>1115</v>
      </c>
      <c r="D744" t="s">
        <v>1119</v>
      </c>
      <c r="E744" t="s">
        <v>1109</v>
      </c>
      <c r="F744" t="s">
        <v>1222</v>
      </c>
      <c r="G744">
        <v>8</v>
      </c>
      <c r="H744">
        <v>3</v>
      </c>
      <c r="I744" s="11">
        <v>46231</v>
      </c>
      <c r="J744" s="17">
        <f>IF(Items[[#This Row],[ID]]="","",IFERROR(VALUE(LOOKUP(2,1/((Log[ID]=Items[[#This Row],[ID]])*(Log[Verb]="est")),Log[Arg])),N(Items[[#This Row],[Points]])))</f>
      </c>
      <c r="K744" s="17">
        <f>IF(Items[[#This Row],[ID]]="","",IFERROR(LOOKUP(2,1/((Log[ID]=Items[[#This Row],[ID]])*(Log[Verb]="pass")),Log[Arg])&amp;"",Items[[#This Row],[Team]]&amp;""))</f>
      </c>
      <c r="L744" s="17">
        <f>IF(Items[[#This Row],[ID]]="","",IFERROR(LOOKUP(2,1/((Log[ID]=Items[[#This Row],[ID]])*(Log[Into]&lt;&gt;"")),Log[Into]),""))</f>
      </c>
      <c r="M744" s="17">
        <f>IF(Items[[#This Row],[ID]]="","",IF(IFERROR(LOOKUP(2,1/((Log[ID]=Items[[#This Row],[ID]])*(Log[Blk]&lt;&gt;"")),Log[Blk]),0)=1,"Y",""))</f>
      </c>
      <c r="N744" s="17">
        <f>IF(Items[[#This Row],[ID]]="","",SUBSTITUTE(IFERROR(LOOKUP(2,1/((Log[ID]=Items[[#This Row],[ID]])*(Log[State]&lt;&gt;"")),Log[State]),"TODO"),"OPEN",IF(Items[[#This Row],[Blocked]]="Y","WAIT","OPEN")))</f>
      </c>
      <c r="O74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44" s="17">
        <f>IF(Items[[#This Row],[State]]&lt;&gt;"WAIT","",AsOf-Items[[#This Row],[Blocked since]])</f>
      </c>
      <c r="Q744" s="17">
        <f>IF(Items[[#This Row],[State]]&lt;&gt;"WAIT","",IFERROR(LOOKUP(2,1/((Log[ID]=Items[[#This Row],[ID]])*(Log[Verb]="block")),Log[Note])&amp;"",""))</f>
      </c>
      <c r="R744" s="17">
        <f>IF(Items[[#This Row],[ID]]="","",COUNTIFS(Log[ID],Items[[#This Row],[ID]],Log[Verb],"carry"))</f>
      </c>
      <c r="S744" s="17">
        <f>IF(Items[[#This Row],[ID]]="","",COUNTIFS(Log[ID],Items[[#This Row],[ID]],Log[Verb],"punt"))</f>
      </c>
      <c r="T744" s="11">
        <f>IF(Items[[#This Row],[State]]&lt;&gt;"DONE","",IFERROR(LOOKUP(2,1/((Log[ID]=Items[[#This Row],[ID]])*(Log[Verb]="done")),Log[Date]),""))</f>
      </c>
      <c r="U744" s="17">
        <f>IF(Items[[#This Row],[ID]]="","",IF(AND(Items[[#This Row],[Sprint]]=CurSprint,OR(Items[[#This Row],[State]]="OPEN",Items[[#This Row],[State]]="WAIT",Items[[#This Row],[State]]="HOLD",Items[[#This Row],[State]]="DONE")),1,0))</f>
      </c>
      <c r="V744" s="17">
        <f>IF(OR(Items[[#This Row],[ID]]="",Items[[#This Row],[Added]]=""),"",AsOf-Items[[#This Row],[Added]])</f>
      </c>
      <c r="W744" s="17">
        <f>IF(Items[[#This Row],[In sprint]]=1,(IF(Items[[#This Row],[Prio]]="",9,N(Items[[#This Row],[Prio]]))*10+(IF(Items[[#This Row],[State]]="DONE",1,0)))*100000+ROW(),"")</f>
      </c>
      <c r="X74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44" s="17">
        <f>IF(AND(Items[[#This Row],[State]]="DONE",N(Items[[#This Row],[Done on]])&gt;AsOf-7),(200000-N(Items[[#This Row],[Done on]]))*100000+ROW(),"")</f>
      </c>
    </row>
    <row r="745">
      <c r="A745" t="s">
        <v>924</v>
      </c>
      <c r="B745" t="s">
        <v>1966</v>
      </c>
      <c r="C745" t="s">
        <v>1107</v>
      </c>
      <c r="D745" t="s">
        <v>1108</v>
      </c>
      <c r="E745" t="s">
        <v>1109</v>
      </c>
      <c r="F745" t="s">
        <v>1225</v>
      </c>
      <c r="G745">
        <v>3</v>
      </c>
      <c r="H745">
        <v>1</v>
      </c>
      <c r="I745" s="11">
        <v>46231</v>
      </c>
      <c r="J745" s="17">
        <f>IF(Items[[#This Row],[ID]]="","",IFERROR(VALUE(LOOKUP(2,1/((Log[ID]=Items[[#This Row],[ID]])*(Log[Verb]="est")),Log[Arg])),N(Items[[#This Row],[Points]])))</f>
      </c>
      <c r="K745" s="17">
        <f>IF(Items[[#This Row],[ID]]="","",IFERROR(LOOKUP(2,1/((Log[ID]=Items[[#This Row],[ID]])*(Log[Verb]="pass")),Log[Arg])&amp;"",Items[[#This Row],[Team]]&amp;""))</f>
      </c>
      <c r="L745" s="17">
        <f>IF(Items[[#This Row],[ID]]="","",IFERROR(LOOKUP(2,1/((Log[ID]=Items[[#This Row],[ID]])*(Log[Into]&lt;&gt;"")),Log[Into]),""))</f>
      </c>
      <c r="M745" s="17">
        <f>IF(Items[[#This Row],[ID]]="","",IF(IFERROR(LOOKUP(2,1/((Log[ID]=Items[[#This Row],[ID]])*(Log[Blk]&lt;&gt;"")),Log[Blk]),0)=1,"Y",""))</f>
      </c>
      <c r="N745" s="17">
        <f>IF(Items[[#This Row],[ID]]="","",SUBSTITUTE(IFERROR(LOOKUP(2,1/((Log[ID]=Items[[#This Row],[ID]])*(Log[State]&lt;&gt;"")),Log[State]),"TODO"),"OPEN",IF(Items[[#This Row],[Blocked]]="Y","WAIT","OPEN")))</f>
      </c>
      <c r="O74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45" s="17">
        <f>IF(Items[[#This Row],[State]]&lt;&gt;"WAIT","",AsOf-Items[[#This Row],[Blocked since]])</f>
      </c>
      <c r="Q745" s="17">
        <f>IF(Items[[#This Row],[State]]&lt;&gt;"WAIT","",IFERROR(LOOKUP(2,1/((Log[ID]=Items[[#This Row],[ID]])*(Log[Verb]="block")),Log[Note])&amp;"",""))</f>
      </c>
      <c r="R745" s="17">
        <f>IF(Items[[#This Row],[ID]]="","",COUNTIFS(Log[ID],Items[[#This Row],[ID]],Log[Verb],"carry"))</f>
      </c>
      <c r="S745" s="17">
        <f>IF(Items[[#This Row],[ID]]="","",COUNTIFS(Log[ID],Items[[#This Row],[ID]],Log[Verb],"punt"))</f>
      </c>
      <c r="T745" s="11">
        <f>IF(Items[[#This Row],[State]]&lt;&gt;"DONE","",IFERROR(LOOKUP(2,1/((Log[ID]=Items[[#This Row],[ID]])*(Log[Verb]="done")),Log[Date]),""))</f>
      </c>
      <c r="U745" s="17">
        <f>IF(Items[[#This Row],[ID]]="","",IF(AND(Items[[#This Row],[Sprint]]=CurSprint,OR(Items[[#This Row],[State]]="OPEN",Items[[#This Row],[State]]="WAIT",Items[[#This Row],[State]]="HOLD",Items[[#This Row],[State]]="DONE")),1,0))</f>
      </c>
      <c r="V745" s="17">
        <f>IF(OR(Items[[#This Row],[ID]]="",Items[[#This Row],[Added]]=""),"",AsOf-Items[[#This Row],[Added]])</f>
      </c>
      <c r="W745" s="17">
        <f>IF(Items[[#This Row],[In sprint]]=1,(IF(Items[[#This Row],[Prio]]="",9,N(Items[[#This Row],[Prio]]))*10+(IF(Items[[#This Row],[State]]="DONE",1,0)))*100000+ROW(),"")</f>
      </c>
      <c r="X74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45" s="17">
        <f>IF(AND(Items[[#This Row],[State]]="DONE",N(Items[[#This Row],[Done on]])&gt;AsOf-7),(200000-N(Items[[#This Row],[Done on]]))*100000+ROW(),"")</f>
      </c>
    </row>
    <row r="746">
      <c r="A746" t="s">
        <v>925</v>
      </c>
      <c r="B746" t="s">
        <v>1967</v>
      </c>
      <c r="C746" t="s">
        <v>1115</v>
      </c>
      <c r="D746" t="s">
        <v>1119</v>
      </c>
      <c r="E746" t="s">
        <v>1109</v>
      </c>
      <c r="F746" t="s">
        <v>1300</v>
      </c>
      <c r="G746">
        <v>8</v>
      </c>
      <c r="H746">
        <v>3</v>
      </c>
      <c r="I746" s="11">
        <v>46231</v>
      </c>
      <c r="J746" s="17">
        <f>IF(Items[[#This Row],[ID]]="","",IFERROR(VALUE(LOOKUP(2,1/((Log[ID]=Items[[#This Row],[ID]])*(Log[Verb]="est")),Log[Arg])),N(Items[[#This Row],[Points]])))</f>
      </c>
      <c r="K746" s="17">
        <f>IF(Items[[#This Row],[ID]]="","",IFERROR(LOOKUP(2,1/((Log[ID]=Items[[#This Row],[ID]])*(Log[Verb]="pass")),Log[Arg])&amp;"",Items[[#This Row],[Team]]&amp;""))</f>
      </c>
      <c r="L746" s="17">
        <f>IF(Items[[#This Row],[ID]]="","",IFERROR(LOOKUP(2,1/((Log[ID]=Items[[#This Row],[ID]])*(Log[Into]&lt;&gt;"")),Log[Into]),""))</f>
      </c>
      <c r="M746" s="17">
        <f>IF(Items[[#This Row],[ID]]="","",IF(IFERROR(LOOKUP(2,1/((Log[ID]=Items[[#This Row],[ID]])*(Log[Blk]&lt;&gt;"")),Log[Blk]),0)=1,"Y",""))</f>
      </c>
      <c r="N746" s="17">
        <f>IF(Items[[#This Row],[ID]]="","",SUBSTITUTE(IFERROR(LOOKUP(2,1/((Log[ID]=Items[[#This Row],[ID]])*(Log[State]&lt;&gt;"")),Log[State]),"TODO"),"OPEN",IF(Items[[#This Row],[Blocked]]="Y","WAIT","OPEN")))</f>
      </c>
      <c r="O74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46" s="17">
        <f>IF(Items[[#This Row],[State]]&lt;&gt;"WAIT","",AsOf-Items[[#This Row],[Blocked since]])</f>
      </c>
      <c r="Q746" s="17">
        <f>IF(Items[[#This Row],[State]]&lt;&gt;"WAIT","",IFERROR(LOOKUP(2,1/((Log[ID]=Items[[#This Row],[ID]])*(Log[Verb]="block")),Log[Note])&amp;"",""))</f>
      </c>
      <c r="R746" s="17">
        <f>IF(Items[[#This Row],[ID]]="","",COUNTIFS(Log[ID],Items[[#This Row],[ID]],Log[Verb],"carry"))</f>
      </c>
      <c r="S746" s="17">
        <f>IF(Items[[#This Row],[ID]]="","",COUNTIFS(Log[ID],Items[[#This Row],[ID]],Log[Verb],"punt"))</f>
      </c>
      <c r="T746" s="11">
        <f>IF(Items[[#This Row],[State]]&lt;&gt;"DONE","",IFERROR(LOOKUP(2,1/((Log[ID]=Items[[#This Row],[ID]])*(Log[Verb]="done")),Log[Date]),""))</f>
      </c>
      <c r="U746" s="17">
        <f>IF(Items[[#This Row],[ID]]="","",IF(AND(Items[[#This Row],[Sprint]]=CurSprint,OR(Items[[#This Row],[State]]="OPEN",Items[[#This Row],[State]]="WAIT",Items[[#This Row],[State]]="HOLD",Items[[#This Row],[State]]="DONE")),1,0))</f>
      </c>
      <c r="V746" s="17">
        <f>IF(OR(Items[[#This Row],[ID]]="",Items[[#This Row],[Added]]=""),"",AsOf-Items[[#This Row],[Added]])</f>
      </c>
      <c r="W746" s="17">
        <f>IF(Items[[#This Row],[In sprint]]=1,(IF(Items[[#This Row],[Prio]]="",9,N(Items[[#This Row],[Prio]]))*10+(IF(Items[[#This Row],[State]]="DONE",1,0)))*100000+ROW(),"")</f>
      </c>
      <c r="X74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46" s="17">
        <f>IF(AND(Items[[#This Row],[State]]="DONE",N(Items[[#This Row],[Done on]])&gt;AsOf-7),(200000-N(Items[[#This Row],[Done on]]))*100000+ROW(),"")</f>
      </c>
    </row>
    <row r="747">
      <c r="A747" t="s">
        <v>928</v>
      </c>
      <c r="B747" t="s">
        <v>1968</v>
      </c>
      <c r="C747" t="s">
        <v>1107</v>
      </c>
      <c r="D747" t="s">
        <v>1127</v>
      </c>
      <c r="E747" t="s">
        <v>1131</v>
      </c>
      <c r="F747" t="s">
        <v>1309</v>
      </c>
      <c r="G747">
        <v>5</v>
      </c>
      <c r="H747">
        <v>1</v>
      </c>
      <c r="I747" s="11">
        <v>46231</v>
      </c>
      <c r="J747" s="17">
        <f>IF(Items[[#This Row],[ID]]="","",IFERROR(VALUE(LOOKUP(2,1/((Log[ID]=Items[[#This Row],[ID]])*(Log[Verb]="est")),Log[Arg])),N(Items[[#This Row],[Points]])))</f>
      </c>
      <c r="K747" s="17">
        <f>IF(Items[[#This Row],[ID]]="","",IFERROR(LOOKUP(2,1/((Log[ID]=Items[[#This Row],[ID]])*(Log[Verb]="pass")),Log[Arg])&amp;"",Items[[#This Row],[Team]]&amp;""))</f>
      </c>
      <c r="L747" s="17">
        <f>IF(Items[[#This Row],[ID]]="","",IFERROR(LOOKUP(2,1/((Log[ID]=Items[[#This Row],[ID]])*(Log[Into]&lt;&gt;"")),Log[Into]),""))</f>
      </c>
      <c r="M747" s="17">
        <f>IF(Items[[#This Row],[ID]]="","",IF(IFERROR(LOOKUP(2,1/((Log[ID]=Items[[#This Row],[ID]])*(Log[Blk]&lt;&gt;"")),Log[Blk]),0)=1,"Y",""))</f>
      </c>
      <c r="N747" s="17">
        <f>IF(Items[[#This Row],[ID]]="","",SUBSTITUTE(IFERROR(LOOKUP(2,1/((Log[ID]=Items[[#This Row],[ID]])*(Log[State]&lt;&gt;"")),Log[State]),"TODO"),"OPEN",IF(Items[[#This Row],[Blocked]]="Y","WAIT","OPEN")))</f>
      </c>
      <c r="O74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47" s="17">
        <f>IF(Items[[#This Row],[State]]&lt;&gt;"WAIT","",AsOf-Items[[#This Row],[Blocked since]])</f>
      </c>
      <c r="Q747" s="17">
        <f>IF(Items[[#This Row],[State]]&lt;&gt;"WAIT","",IFERROR(LOOKUP(2,1/((Log[ID]=Items[[#This Row],[ID]])*(Log[Verb]="block")),Log[Note])&amp;"",""))</f>
      </c>
      <c r="R747" s="17">
        <f>IF(Items[[#This Row],[ID]]="","",COUNTIFS(Log[ID],Items[[#This Row],[ID]],Log[Verb],"carry"))</f>
      </c>
      <c r="S747" s="17">
        <f>IF(Items[[#This Row],[ID]]="","",COUNTIFS(Log[ID],Items[[#This Row],[ID]],Log[Verb],"punt"))</f>
      </c>
      <c r="T747" s="11">
        <f>IF(Items[[#This Row],[State]]&lt;&gt;"DONE","",IFERROR(LOOKUP(2,1/((Log[ID]=Items[[#This Row],[ID]])*(Log[Verb]="done")),Log[Date]),""))</f>
      </c>
      <c r="U747" s="17">
        <f>IF(Items[[#This Row],[ID]]="","",IF(AND(Items[[#This Row],[Sprint]]=CurSprint,OR(Items[[#This Row],[State]]="OPEN",Items[[#This Row],[State]]="WAIT",Items[[#This Row],[State]]="HOLD",Items[[#This Row],[State]]="DONE")),1,0))</f>
      </c>
      <c r="V747" s="17">
        <f>IF(OR(Items[[#This Row],[ID]]="",Items[[#This Row],[Added]]=""),"",AsOf-Items[[#This Row],[Added]])</f>
      </c>
      <c r="W747" s="17">
        <f>IF(Items[[#This Row],[In sprint]]=1,(IF(Items[[#This Row],[Prio]]="",9,N(Items[[#This Row],[Prio]]))*10+(IF(Items[[#This Row],[State]]="DONE",1,0)))*100000+ROW(),"")</f>
      </c>
      <c r="X74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47" s="17">
        <f>IF(AND(Items[[#This Row],[State]]="DONE",N(Items[[#This Row],[Done on]])&gt;AsOf-7),(200000-N(Items[[#This Row],[Done on]]))*100000+ROW(),"")</f>
      </c>
    </row>
    <row r="748">
      <c r="A748" t="s">
        <v>929</v>
      </c>
      <c r="B748" t="s">
        <v>1969</v>
      </c>
      <c r="C748" t="s">
        <v>1107</v>
      </c>
      <c r="D748" t="s">
        <v>1127</v>
      </c>
      <c r="E748" t="s">
        <v>1131</v>
      </c>
      <c r="F748" t="s">
        <v>1168</v>
      </c>
      <c r="G748">
        <v>8</v>
      </c>
      <c r="H748">
        <v>1</v>
      </c>
      <c r="I748" s="11">
        <v>46231</v>
      </c>
      <c r="J748" s="17">
        <f>IF(Items[[#This Row],[ID]]="","",IFERROR(VALUE(LOOKUP(2,1/((Log[ID]=Items[[#This Row],[ID]])*(Log[Verb]="est")),Log[Arg])),N(Items[[#This Row],[Points]])))</f>
      </c>
      <c r="K748" s="17">
        <f>IF(Items[[#This Row],[ID]]="","",IFERROR(LOOKUP(2,1/((Log[ID]=Items[[#This Row],[ID]])*(Log[Verb]="pass")),Log[Arg])&amp;"",Items[[#This Row],[Team]]&amp;""))</f>
      </c>
      <c r="L748" s="17">
        <f>IF(Items[[#This Row],[ID]]="","",IFERROR(LOOKUP(2,1/((Log[ID]=Items[[#This Row],[ID]])*(Log[Into]&lt;&gt;"")),Log[Into]),""))</f>
      </c>
      <c r="M748" s="17">
        <f>IF(Items[[#This Row],[ID]]="","",IF(IFERROR(LOOKUP(2,1/((Log[ID]=Items[[#This Row],[ID]])*(Log[Blk]&lt;&gt;"")),Log[Blk]),0)=1,"Y",""))</f>
      </c>
      <c r="N748" s="17">
        <f>IF(Items[[#This Row],[ID]]="","",SUBSTITUTE(IFERROR(LOOKUP(2,1/((Log[ID]=Items[[#This Row],[ID]])*(Log[State]&lt;&gt;"")),Log[State]),"TODO"),"OPEN",IF(Items[[#This Row],[Blocked]]="Y","WAIT","OPEN")))</f>
      </c>
      <c r="O74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48" s="17">
        <f>IF(Items[[#This Row],[State]]&lt;&gt;"WAIT","",AsOf-Items[[#This Row],[Blocked since]])</f>
      </c>
      <c r="Q748" s="17">
        <f>IF(Items[[#This Row],[State]]&lt;&gt;"WAIT","",IFERROR(LOOKUP(2,1/((Log[ID]=Items[[#This Row],[ID]])*(Log[Verb]="block")),Log[Note])&amp;"",""))</f>
      </c>
      <c r="R748" s="17">
        <f>IF(Items[[#This Row],[ID]]="","",COUNTIFS(Log[ID],Items[[#This Row],[ID]],Log[Verb],"carry"))</f>
      </c>
      <c r="S748" s="17">
        <f>IF(Items[[#This Row],[ID]]="","",COUNTIFS(Log[ID],Items[[#This Row],[ID]],Log[Verb],"punt"))</f>
      </c>
      <c r="T748" s="11">
        <f>IF(Items[[#This Row],[State]]&lt;&gt;"DONE","",IFERROR(LOOKUP(2,1/((Log[ID]=Items[[#This Row],[ID]])*(Log[Verb]="done")),Log[Date]),""))</f>
      </c>
      <c r="U748" s="17">
        <f>IF(Items[[#This Row],[ID]]="","",IF(AND(Items[[#This Row],[Sprint]]=CurSprint,OR(Items[[#This Row],[State]]="OPEN",Items[[#This Row],[State]]="WAIT",Items[[#This Row],[State]]="HOLD",Items[[#This Row],[State]]="DONE")),1,0))</f>
      </c>
      <c r="V748" s="17">
        <f>IF(OR(Items[[#This Row],[ID]]="",Items[[#This Row],[Added]]=""),"",AsOf-Items[[#This Row],[Added]])</f>
      </c>
      <c r="W748" s="17">
        <f>IF(Items[[#This Row],[In sprint]]=1,(IF(Items[[#This Row],[Prio]]="",9,N(Items[[#This Row],[Prio]]))*10+(IF(Items[[#This Row],[State]]="DONE",1,0)))*100000+ROW(),"")</f>
      </c>
      <c r="X74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48" s="17">
        <f>IF(AND(Items[[#This Row],[State]]="DONE",N(Items[[#This Row],[Done on]])&gt;AsOf-7),(200000-N(Items[[#This Row],[Done on]]))*100000+ROW(),"")</f>
      </c>
    </row>
    <row r="749">
      <c r="A749" t="s">
        <v>930</v>
      </c>
      <c r="B749" t="s">
        <v>1970</v>
      </c>
      <c r="C749" t="s">
        <v>1115</v>
      </c>
      <c r="D749" t="s">
        <v>1119</v>
      </c>
      <c r="E749" t="s">
        <v>1131</v>
      </c>
      <c r="F749" t="s">
        <v>1309</v>
      </c>
      <c r="G749">
        <v>2</v>
      </c>
      <c r="H749">
        <v>1</v>
      </c>
      <c r="I749" s="11">
        <v>46231</v>
      </c>
      <c r="J749" s="17">
        <f>IF(Items[[#This Row],[ID]]="","",IFERROR(VALUE(LOOKUP(2,1/((Log[ID]=Items[[#This Row],[ID]])*(Log[Verb]="est")),Log[Arg])),N(Items[[#This Row],[Points]])))</f>
      </c>
      <c r="K749" s="17">
        <f>IF(Items[[#This Row],[ID]]="","",IFERROR(LOOKUP(2,1/((Log[ID]=Items[[#This Row],[ID]])*(Log[Verb]="pass")),Log[Arg])&amp;"",Items[[#This Row],[Team]]&amp;""))</f>
      </c>
      <c r="L749" s="17">
        <f>IF(Items[[#This Row],[ID]]="","",IFERROR(LOOKUP(2,1/((Log[ID]=Items[[#This Row],[ID]])*(Log[Into]&lt;&gt;"")),Log[Into]),""))</f>
      </c>
      <c r="M749" s="17">
        <f>IF(Items[[#This Row],[ID]]="","",IF(IFERROR(LOOKUP(2,1/((Log[ID]=Items[[#This Row],[ID]])*(Log[Blk]&lt;&gt;"")),Log[Blk]),0)=1,"Y",""))</f>
      </c>
      <c r="N749" s="17">
        <f>IF(Items[[#This Row],[ID]]="","",SUBSTITUTE(IFERROR(LOOKUP(2,1/((Log[ID]=Items[[#This Row],[ID]])*(Log[State]&lt;&gt;"")),Log[State]),"TODO"),"OPEN",IF(Items[[#This Row],[Blocked]]="Y","WAIT","OPEN")))</f>
      </c>
      <c r="O74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49" s="17">
        <f>IF(Items[[#This Row],[State]]&lt;&gt;"WAIT","",AsOf-Items[[#This Row],[Blocked since]])</f>
      </c>
      <c r="Q749" s="17">
        <f>IF(Items[[#This Row],[State]]&lt;&gt;"WAIT","",IFERROR(LOOKUP(2,1/((Log[ID]=Items[[#This Row],[ID]])*(Log[Verb]="block")),Log[Note])&amp;"",""))</f>
      </c>
      <c r="R749" s="17">
        <f>IF(Items[[#This Row],[ID]]="","",COUNTIFS(Log[ID],Items[[#This Row],[ID]],Log[Verb],"carry"))</f>
      </c>
      <c r="S749" s="17">
        <f>IF(Items[[#This Row],[ID]]="","",COUNTIFS(Log[ID],Items[[#This Row],[ID]],Log[Verb],"punt"))</f>
      </c>
      <c r="T749" s="11">
        <f>IF(Items[[#This Row],[State]]&lt;&gt;"DONE","",IFERROR(LOOKUP(2,1/((Log[ID]=Items[[#This Row],[ID]])*(Log[Verb]="done")),Log[Date]),""))</f>
      </c>
      <c r="U749" s="17">
        <f>IF(Items[[#This Row],[ID]]="","",IF(AND(Items[[#This Row],[Sprint]]=CurSprint,OR(Items[[#This Row],[State]]="OPEN",Items[[#This Row],[State]]="WAIT",Items[[#This Row],[State]]="HOLD",Items[[#This Row],[State]]="DONE")),1,0))</f>
      </c>
      <c r="V749" s="17">
        <f>IF(OR(Items[[#This Row],[ID]]="",Items[[#This Row],[Added]]=""),"",AsOf-Items[[#This Row],[Added]])</f>
      </c>
      <c r="W749" s="17">
        <f>IF(Items[[#This Row],[In sprint]]=1,(IF(Items[[#This Row],[Prio]]="",9,N(Items[[#This Row],[Prio]]))*10+(IF(Items[[#This Row],[State]]="DONE",1,0)))*100000+ROW(),"")</f>
      </c>
      <c r="X74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49" s="17">
        <f>IF(AND(Items[[#This Row],[State]]="DONE",N(Items[[#This Row],[Done on]])&gt;AsOf-7),(200000-N(Items[[#This Row],[Done on]]))*100000+ROW(),"")</f>
      </c>
    </row>
    <row r="750">
      <c r="A750" t="s">
        <v>931</v>
      </c>
      <c r="B750" t="s">
        <v>1971</v>
      </c>
      <c r="C750" t="s">
        <v>1107</v>
      </c>
      <c r="D750" t="s">
        <v>1123</v>
      </c>
      <c r="E750" t="s">
        <v>1131</v>
      </c>
      <c r="F750" t="s">
        <v>1309</v>
      </c>
      <c r="G750">
        <v>8</v>
      </c>
      <c r="H750">
        <v>2</v>
      </c>
      <c r="I750" s="11">
        <v>46231</v>
      </c>
      <c r="J750" s="17">
        <f>IF(Items[[#This Row],[ID]]="","",IFERROR(VALUE(LOOKUP(2,1/((Log[ID]=Items[[#This Row],[ID]])*(Log[Verb]="est")),Log[Arg])),N(Items[[#This Row],[Points]])))</f>
      </c>
      <c r="K750" s="17">
        <f>IF(Items[[#This Row],[ID]]="","",IFERROR(LOOKUP(2,1/((Log[ID]=Items[[#This Row],[ID]])*(Log[Verb]="pass")),Log[Arg])&amp;"",Items[[#This Row],[Team]]&amp;""))</f>
      </c>
      <c r="L750" s="17">
        <f>IF(Items[[#This Row],[ID]]="","",IFERROR(LOOKUP(2,1/((Log[ID]=Items[[#This Row],[ID]])*(Log[Into]&lt;&gt;"")),Log[Into]),""))</f>
      </c>
      <c r="M750" s="17">
        <f>IF(Items[[#This Row],[ID]]="","",IF(IFERROR(LOOKUP(2,1/((Log[ID]=Items[[#This Row],[ID]])*(Log[Blk]&lt;&gt;"")),Log[Blk]),0)=1,"Y",""))</f>
      </c>
      <c r="N750" s="17">
        <f>IF(Items[[#This Row],[ID]]="","",SUBSTITUTE(IFERROR(LOOKUP(2,1/((Log[ID]=Items[[#This Row],[ID]])*(Log[State]&lt;&gt;"")),Log[State]),"TODO"),"OPEN",IF(Items[[#This Row],[Blocked]]="Y","WAIT","OPEN")))</f>
      </c>
      <c r="O75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50" s="17">
        <f>IF(Items[[#This Row],[State]]&lt;&gt;"WAIT","",AsOf-Items[[#This Row],[Blocked since]])</f>
      </c>
      <c r="Q750" s="17">
        <f>IF(Items[[#This Row],[State]]&lt;&gt;"WAIT","",IFERROR(LOOKUP(2,1/((Log[ID]=Items[[#This Row],[ID]])*(Log[Verb]="block")),Log[Note])&amp;"",""))</f>
      </c>
      <c r="R750" s="17">
        <f>IF(Items[[#This Row],[ID]]="","",COUNTIFS(Log[ID],Items[[#This Row],[ID]],Log[Verb],"carry"))</f>
      </c>
      <c r="S750" s="17">
        <f>IF(Items[[#This Row],[ID]]="","",COUNTIFS(Log[ID],Items[[#This Row],[ID]],Log[Verb],"punt"))</f>
      </c>
      <c r="T750" s="11">
        <f>IF(Items[[#This Row],[State]]&lt;&gt;"DONE","",IFERROR(LOOKUP(2,1/((Log[ID]=Items[[#This Row],[ID]])*(Log[Verb]="done")),Log[Date]),""))</f>
      </c>
      <c r="U750" s="17">
        <f>IF(Items[[#This Row],[ID]]="","",IF(AND(Items[[#This Row],[Sprint]]=CurSprint,OR(Items[[#This Row],[State]]="OPEN",Items[[#This Row],[State]]="WAIT",Items[[#This Row],[State]]="HOLD",Items[[#This Row],[State]]="DONE")),1,0))</f>
      </c>
      <c r="V750" s="17">
        <f>IF(OR(Items[[#This Row],[ID]]="",Items[[#This Row],[Added]]=""),"",AsOf-Items[[#This Row],[Added]])</f>
      </c>
      <c r="W750" s="17">
        <f>IF(Items[[#This Row],[In sprint]]=1,(IF(Items[[#This Row],[Prio]]="",9,N(Items[[#This Row],[Prio]]))*10+(IF(Items[[#This Row],[State]]="DONE",1,0)))*100000+ROW(),"")</f>
      </c>
      <c r="X75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50" s="17">
        <f>IF(AND(Items[[#This Row],[State]]="DONE",N(Items[[#This Row],[Done on]])&gt;AsOf-7),(200000-N(Items[[#This Row],[Done on]]))*100000+ROW(),"")</f>
      </c>
    </row>
    <row r="751">
      <c r="A751" t="s">
        <v>933</v>
      </c>
      <c r="B751" t="s">
        <v>1972</v>
      </c>
      <c r="C751" t="s">
        <v>1107</v>
      </c>
      <c r="D751" t="s">
        <v>1108</v>
      </c>
      <c r="E751" t="s">
        <v>1134</v>
      </c>
      <c r="F751" t="s">
        <v>1244</v>
      </c>
      <c r="G751">
        <v>8</v>
      </c>
      <c r="H751">
        <v>1</v>
      </c>
      <c r="I751" s="11">
        <v>46231</v>
      </c>
      <c r="J751" s="17">
        <f>IF(Items[[#This Row],[ID]]="","",IFERROR(VALUE(LOOKUP(2,1/((Log[ID]=Items[[#This Row],[ID]])*(Log[Verb]="est")),Log[Arg])),N(Items[[#This Row],[Points]])))</f>
      </c>
      <c r="K751" s="17">
        <f>IF(Items[[#This Row],[ID]]="","",IFERROR(LOOKUP(2,1/((Log[ID]=Items[[#This Row],[ID]])*(Log[Verb]="pass")),Log[Arg])&amp;"",Items[[#This Row],[Team]]&amp;""))</f>
      </c>
      <c r="L751" s="17">
        <f>IF(Items[[#This Row],[ID]]="","",IFERROR(LOOKUP(2,1/((Log[ID]=Items[[#This Row],[ID]])*(Log[Into]&lt;&gt;"")),Log[Into]),""))</f>
      </c>
      <c r="M751" s="17">
        <f>IF(Items[[#This Row],[ID]]="","",IF(IFERROR(LOOKUP(2,1/((Log[ID]=Items[[#This Row],[ID]])*(Log[Blk]&lt;&gt;"")),Log[Blk]),0)=1,"Y",""))</f>
      </c>
      <c r="N751" s="17">
        <f>IF(Items[[#This Row],[ID]]="","",SUBSTITUTE(IFERROR(LOOKUP(2,1/((Log[ID]=Items[[#This Row],[ID]])*(Log[State]&lt;&gt;"")),Log[State]),"TODO"),"OPEN",IF(Items[[#This Row],[Blocked]]="Y","WAIT","OPEN")))</f>
      </c>
      <c r="O75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51" s="17">
        <f>IF(Items[[#This Row],[State]]&lt;&gt;"WAIT","",AsOf-Items[[#This Row],[Blocked since]])</f>
      </c>
      <c r="Q751" s="17">
        <f>IF(Items[[#This Row],[State]]&lt;&gt;"WAIT","",IFERROR(LOOKUP(2,1/((Log[ID]=Items[[#This Row],[ID]])*(Log[Verb]="block")),Log[Note])&amp;"",""))</f>
      </c>
      <c r="R751" s="17">
        <f>IF(Items[[#This Row],[ID]]="","",COUNTIFS(Log[ID],Items[[#This Row],[ID]],Log[Verb],"carry"))</f>
      </c>
      <c r="S751" s="17">
        <f>IF(Items[[#This Row],[ID]]="","",COUNTIFS(Log[ID],Items[[#This Row],[ID]],Log[Verb],"punt"))</f>
      </c>
      <c r="T751" s="11">
        <f>IF(Items[[#This Row],[State]]&lt;&gt;"DONE","",IFERROR(LOOKUP(2,1/((Log[ID]=Items[[#This Row],[ID]])*(Log[Verb]="done")),Log[Date]),""))</f>
      </c>
      <c r="U751" s="17">
        <f>IF(Items[[#This Row],[ID]]="","",IF(AND(Items[[#This Row],[Sprint]]=CurSprint,OR(Items[[#This Row],[State]]="OPEN",Items[[#This Row],[State]]="WAIT",Items[[#This Row],[State]]="HOLD",Items[[#This Row],[State]]="DONE")),1,0))</f>
      </c>
      <c r="V751" s="17">
        <f>IF(OR(Items[[#This Row],[ID]]="",Items[[#This Row],[Added]]=""),"",AsOf-Items[[#This Row],[Added]])</f>
      </c>
      <c r="W751" s="17">
        <f>IF(Items[[#This Row],[In sprint]]=1,(IF(Items[[#This Row],[Prio]]="",9,N(Items[[#This Row],[Prio]]))*10+(IF(Items[[#This Row],[State]]="DONE",1,0)))*100000+ROW(),"")</f>
      </c>
      <c r="X75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51" s="17">
        <f>IF(AND(Items[[#This Row],[State]]="DONE",N(Items[[#This Row],[Done on]])&gt;AsOf-7),(200000-N(Items[[#This Row],[Done on]]))*100000+ROW(),"")</f>
      </c>
    </row>
    <row r="752">
      <c r="A752" t="s">
        <v>934</v>
      </c>
      <c r="B752" t="s">
        <v>1973</v>
      </c>
      <c r="C752" t="s">
        <v>1107</v>
      </c>
      <c r="D752" t="s">
        <v>1123</v>
      </c>
      <c r="E752" t="s">
        <v>1134</v>
      </c>
      <c r="F752" t="s">
        <v>1528</v>
      </c>
      <c r="G752">
        <v>8</v>
      </c>
      <c r="H752">
        <v>2</v>
      </c>
      <c r="I752" s="11">
        <v>46231</v>
      </c>
      <c r="J752" s="17">
        <f>IF(Items[[#This Row],[ID]]="","",IFERROR(VALUE(LOOKUP(2,1/((Log[ID]=Items[[#This Row],[ID]])*(Log[Verb]="est")),Log[Arg])),N(Items[[#This Row],[Points]])))</f>
      </c>
      <c r="K752" s="17">
        <f>IF(Items[[#This Row],[ID]]="","",IFERROR(LOOKUP(2,1/((Log[ID]=Items[[#This Row],[ID]])*(Log[Verb]="pass")),Log[Arg])&amp;"",Items[[#This Row],[Team]]&amp;""))</f>
      </c>
      <c r="L752" s="17">
        <f>IF(Items[[#This Row],[ID]]="","",IFERROR(LOOKUP(2,1/((Log[ID]=Items[[#This Row],[ID]])*(Log[Into]&lt;&gt;"")),Log[Into]),""))</f>
      </c>
      <c r="M752" s="17">
        <f>IF(Items[[#This Row],[ID]]="","",IF(IFERROR(LOOKUP(2,1/((Log[ID]=Items[[#This Row],[ID]])*(Log[Blk]&lt;&gt;"")),Log[Blk]),0)=1,"Y",""))</f>
      </c>
      <c r="N752" s="17">
        <f>IF(Items[[#This Row],[ID]]="","",SUBSTITUTE(IFERROR(LOOKUP(2,1/((Log[ID]=Items[[#This Row],[ID]])*(Log[State]&lt;&gt;"")),Log[State]),"TODO"),"OPEN",IF(Items[[#This Row],[Blocked]]="Y","WAIT","OPEN")))</f>
      </c>
      <c r="O75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52" s="17">
        <f>IF(Items[[#This Row],[State]]&lt;&gt;"WAIT","",AsOf-Items[[#This Row],[Blocked since]])</f>
      </c>
      <c r="Q752" s="17">
        <f>IF(Items[[#This Row],[State]]&lt;&gt;"WAIT","",IFERROR(LOOKUP(2,1/((Log[ID]=Items[[#This Row],[ID]])*(Log[Verb]="block")),Log[Note])&amp;"",""))</f>
      </c>
      <c r="R752" s="17">
        <f>IF(Items[[#This Row],[ID]]="","",COUNTIFS(Log[ID],Items[[#This Row],[ID]],Log[Verb],"carry"))</f>
      </c>
      <c r="S752" s="17">
        <f>IF(Items[[#This Row],[ID]]="","",COUNTIFS(Log[ID],Items[[#This Row],[ID]],Log[Verb],"punt"))</f>
      </c>
      <c r="T752" s="11">
        <f>IF(Items[[#This Row],[State]]&lt;&gt;"DONE","",IFERROR(LOOKUP(2,1/((Log[ID]=Items[[#This Row],[ID]])*(Log[Verb]="done")),Log[Date]),""))</f>
      </c>
      <c r="U752" s="17">
        <f>IF(Items[[#This Row],[ID]]="","",IF(AND(Items[[#This Row],[Sprint]]=CurSprint,OR(Items[[#This Row],[State]]="OPEN",Items[[#This Row],[State]]="WAIT",Items[[#This Row],[State]]="HOLD",Items[[#This Row],[State]]="DONE")),1,0))</f>
      </c>
      <c r="V752" s="17">
        <f>IF(OR(Items[[#This Row],[ID]]="",Items[[#This Row],[Added]]=""),"",AsOf-Items[[#This Row],[Added]])</f>
      </c>
      <c r="W752" s="17">
        <f>IF(Items[[#This Row],[In sprint]]=1,(IF(Items[[#This Row],[Prio]]="",9,N(Items[[#This Row],[Prio]]))*10+(IF(Items[[#This Row],[State]]="DONE",1,0)))*100000+ROW(),"")</f>
      </c>
      <c r="X75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52" s="17">
        <f>IF(AND(Items[[#This Row],[State]]="DONE",N(Items[[#This Row],[Done on]])&gt;AsOf-7),(200000-N(Items[[#This Row],[Done on]]))*100000+ROW(),"")</f>
      </c>
    </row>
    <row r="753">
      <c r="A753" t="s">
        <v>878</v>
      </c>
      <c r="B753" t="s">
        <v>1974</v>
      </c>
      <c r="C753" t="s">
        <v>1115</v>
      </c>
      <c r="D753" t="s">
        <v>1119</v>
      </c>
      <c r="E753" t="s">
        <v>1134</v>
      </c>
      <c r="F753" t="s">
        <v>1528</v>
      </c>
      <c r="G753">
        <v>2</v>
      </c>
      <c r="H753">
        <v>2</v>
      </c>
      <c r="I753" s="11">
        <v>46231</v>
      </c>
      <c r="J753" s="17">
        <f>IF(Items[[#This Row],[ID]]="","",IFERROR(VALUE(LOOKUP(2,1/((Log[ID]=Items[[#This Row],[ID]])*(Log[Verb]="est")),Log[Arg])),N(Items[[#This Row],[Points]])))</f>
      </c>
      <c r="K753" s="17">
        <f>IF(Items[[#This Row],[ID]]="","",IFERROR(LOOKUP(2,1/((Log[ID]=Items[[#This Row],[ID]])*(Log[Verb]="pass")),Log[Arg])&amp;"",Items[[#This Row],[Team]]&amp;""))</f>
      </c>
      <c r="L753" s="17">
        <f>IF(Items[[#This Row],[ID]]="","",IFERROR(LOOKUP(2,1/((Log[ID]=Items[[#This Row],[ID]])*(Log[Into]&lt;&gt;"")),Log[Into]),""))</f>
      </c>
      <c r="M753" s="17">
        <f>IF(Items[[#This Row],[ID]]="","",IF(IFERROR(LOOKUP(2,1/((Log[ID]=Items[[#This Row],[ID]])*(Log[Blk]&lt;&gt;"")),Log[Blk]),0)=1,"Y",""))</f>
      </c>
      <c r="N753" s="17">
        <f>IF(Items[[#This Row],[ID]]="","",SUBSTITUTE(IFERROR(LOOKUP(2,1/((Log[ID]=Items[[#This Row],[ID]])*(Log[State]&lt;&gt;"")),Log[State]),"TODO"),"OPEN",IF(Items[[#This Row],[Blocked]]="Y","WAIT","OPEN")))</f>
      </c>
      <c r="O75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53" s="17">
        <f>IF(Items[[#This Row],[State]]&lt;&gt;"WAIT","",AsOf-Items[[#This Row],[Blocked since]])</f>
      </c>
      <c r="Q753" s="17">
        <f>IF(Items[[#This Row],[State]]&lt;&gt;"WAIT","",IFERROR(LOOKUP(2,1/((Log[ID]=Items[[#This Row],[ID]])*(Log[Verb]="block")),Log[Note])&amp;"",""))</f>
      </c>
      <c r="R753" s="17">
        <f>IF(Items[[#This Row],[ID]]="","",COUNTIFS(Log[ID],Items[[#This Row],[ID]],Log[Verb],"carry"))</f>
      </c>
      <c r="S753" s="17">
        <f>IF(Items[[#This Row],[ID]]="","",COUNTIFS(Log[ID],Items[[#This Row],[ID]],Log[Verb],"punt"))</f>
      </c>
      <c r="T753" s="11">
        <f>IF(Items[[#This Row],[State]]&lt;&gt;"DONE","",IFERROR(LOOKUP(2,1/((Log[ID]=Items[[#This Row],[ID]])*(Log[Verb]="done")),Log[Date]),""))</f>
      </c>
      <c r="U753" s="17">
        <f>IF(Items[[#This Row],[ID]]="","",IF(AND(Items[[#This Row],[Sprint]]=CurSprint,OR(Items[[#This Row],[State]]="OPEN",Items[[#This Row],[State]]="WAIT",Items[[#This Row],[State]]="HOLD",Items[[#This Row],[State]]="DONE")),1,0))</f>
      </c>
      <c r="V753" s="17">
        <f>IF(OR(Items[[#This Row],[ID]]="",Items[[#This Row],[Added]]=""),"",AsOf-Items[[#This Row],[Added]])</f>
      </c>
      <c r="W753" s="17">
        <f>IF(Items[[#This Row],[In sprint]]=1,(IF(Items[[#This Row],[Prio]]="",9,N(Items[[#This Row],[Prio]]))*10+(IF(Items[[#This Row],[State]]="DONE",1,0)))*100000+ROW(),"")</f>
      </c>
      <c r="X75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53" s="17">
        <f>IF(AND(Items[[#This Row],[State]]="DONE",N(Items[[#This Row],[Done on]])&gt;AsOf-7),(200000-N(Items[[#This Row],[Done on]]))*100000+ROW(),"")</f>
      </c>
    </row>
    <row r="754">
      <c r="A754" t="s">
        <v>935</v>
      </c>
      <c r="B754" t="s">
        <v>1975</v>
      </c>
      <c r="C754" t="s">
        <v>1107</v>
      </c>
      <c r="D754" t="s">
        <v>1108</v>
      </c>
      <c r="E754" t="s">
        <v>1134</v>
      </c>
      <c r="F754" t="s">
        <v>1528</v>
      </c>
      <c r="G754">
        <v>3</v>
      </c>
      <c r="H754">
        <v>1</v>
      </c>
      <c r="I754" s="11">
        <v>46231</v>
      </c>
      <c r="J754" s="17">
        <f>IF(Items[[#This Row],[ID]]="","",IFERROR(VALUE(LOOKUP(2,1/((Log[ID]=Items[[#This Row],[ID]])*(Log[Verb]="est")),Log[Arg])),N(Items[[#This Row],[Points]])))</f>
      </c>
      <c r="K754" s="17">
        <f>IF(Items[[#This Row],[ID]]="","",IFERROR(LOOKUP(2,1/((Log[ID]=Items[[#This Row],[ID]])*(Log[Verb]="pass")),Log[Arg])&amp;"",Items[[#This Row],[Team]]&amp;""))</f>
      </c>
      <c r="L754" s="17">
        <f>IF(Items[[#This Row],[ID]]="","",IFERROR(LOOKUP(2,1/((Log[ID]=Items[[#This Row],[ID]])*(Log[Into]&lt;&gt;"")),Log[Into]),""))</f>
      </c>
      <c r="M754" s="17">
        <f>IF(Items[[#This Row],[ID]]="","",IF(IFERROR(LOOKUP(2,1/((Log[ID]=Items[[#This Row],[ID]])*(Log[Blk]&lt;&gt;"")),Log[Blk]),0)=1,"Y",""))</f>
      </c>
      <c r="N754" s="17">
        <f>IF(Items[[#This Row],[ID]]="","",SUBSTITUTE(IFERROR(LOOKUP(2,1/((Log[ID]=Items[[#This Row],[ID]])*(Log[State]&lt;&gt;"")),Log[State]),"TODO"),"OPEN",IF(Items[[#This Row],[Blocked]]="Y","WAIT","OPEN")))</f>
      </c>
      <c r="O75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54" s="17">
        <f>IF(Items[[#This Row],[State]]&lt;&gt;"WAIT","",AsOf-Items[[#This Row],[Blocked since]])</f>
      </c>
      <c r="Q754" s="17">
        <f>IF(Items[[#This Row],[State]]&lt;&gt;"WAIT","",IFERROR(LOOKUP(2,1/((Log[ID]=Items[[#This Row],[ID]])*(Log[Verb]="block")),Log[Note])&amp;"",""))</f>
      </c>
      <c r="R754" s="17">
        <f>IF(Items[[#This Row],[ID]]="","",COUNTIFS(Log[ID],Items[[#This Row],[ID]],Log[Verb],"carry"))</f>
      </c>
      <c r="S754" s="17">
        <f>IF(Items[[#This Row],[ID]]="","",COUNTIFS(Log[ID],Items[[#This Row],[ID]],Log[Verb],"punt"))</f>
      </c>
      <c r="T754" s="11">
        <f>IF(Items[[#This Row],[State]]&lt;&gt;"DONE","",IFERROR(LOOKUP(2,1/((Log[ID]=Items[[#This Row],[ID]])*(Log[Verb]="done")),Log[Date]),""))</f>
      </c>
      <c r="U754" s="17">
        <f>IF(Items[[#This Row],[ID]]="","",IF(AND(Items[[#This Row],[Sprint]]=CurSprint,OR(Items[[#This Row],[State]]="OPEN",Items[[#This Row],[State]]="WAIT",Items[[#This Row],[State]]="HOLD",Items[[#This Row],[State]]="DONE")),1,0))</f>
      </c>
      <c r="V754" s="17">
        <f>IF(OR(Items[[#This Row],[ID]]="",Items[[#This Row],[Added]]=""),"",AsOf-Items[[#This Row],[Added]])</f>
      </c>
      <c r="W754" s="17">
        <f>IF(Items[[#This Row],[In sprint]]=1,(IF(Items[[#This Row],[Prio]]="",9,N(Items[[#This Row],[Prio]]))*10+(IF(Items[[#This Row],[State]]="DONE",1,0)))*100000+ROW(),"")</f>
      </c>
      <c r="X75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54" s="17">
        <f>IF(AND(Items[[#This Row],[State]]="DONE",N(Items[[#This Row],[Done on]])&gt;AsOf-7),(200000-N(Items[[#This Row],[Done on]]))*100000+ROW(),"")</f>
      </c>
    </row>
    <row r="755">
      <c r="A755" t="s">
        <v>936</v>
      </c>
      <c r="B755" t="s">
        <v>1976</v>
      </c>
      <c r="C755" t="s">
        <v>1115</v>
      </c>
      <c r="D755" t="s">
        <v>1116</v>
      </c>
      <c r="E755" t="s">
        <v>1134</v>
      </c>
      <c r="F755" t="s">
        <v>1317</v>
      </c>
      <c r="G755">
        <v>3</v>
      </c>
      <c r="H755">
        <v>1</v>
      </c>
      <c r="I755" s="11">
        <v>46231</v>
      </c>
      <c r="J755" s="17">
        <f>IF(Items[[#This Row],[ID]]="","",IFERROR(VALUE(LOOKUP(2,1/((Log[ID]=Items[[#This Row],[ID]])*(Log[Verb]="est")),Log[Arg])),N(Items[[#This Row],[Points]])))</f>
      </c>
      <c r="K755" s="17">
        <f>IF(Items[[#This Row],[ID]]="","",IFERROR(LOOKUP(2,1/((Log[ID]=Items[[#This Row],[ID]])*(Log[Verb]="pass")),Log[Arg])&amp;"",Items[[#This Row],[Team]]&amp;""))</f>
      </c>
      <c r="L755" s="17">
        <f>IF(Items[[#This Row],[ID]]="","",IFERROR(LOOKUP(2,1/((Log[ID]=Items[[#This Row],[ID]])*(Log[Into]&lt;&gt;"")),Log[Into]),""))</f>
      </c>
      <c r="M755" s="17">
        <f>IF(Items[[#This Row],[ID]]="","",IF(IFERROR(LOOKUP(2,1/((Log[ID]=Items[[#This Row],[ID]])*(Log[Blk]&lt;&gt;"")),Log[Blk]),0)=1,"Y",""))</f>
      </c>
      <c r="N755" s="17">
        <f>IF(Items[[#This Row],[ID]]="","",SUBSTITUTE(IFERROR(LOOKUP(2,1/((Log[ID]=Items[[#This Row],[ID]])*(Log[State]&lt;&gt;"")),Log[State]),"TODO"),"OPEN",IF(Items[[#This Row],[Blocked]]="Y","WAIT","OPEN")))</f>
      </c>
      <c r="O75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55" s="17">
        <f>IF(Items[[#This Row],[State]]&lt;&gt;"WAIT","",AsOf-Items[[#This Row],[Blocked since]])</f>
      </c>
      <c r="Q755" s="17">
        <f>IF(Items[[#This Row],[State]]&lt;&gt;"WAIT","",IFERROR(LOOKUP(2,1/((Log[ID]=Items[[#This Row],[ID]])*(Log[Verb]="block")),Log[Note])&amp;"",""))</f>
      </c>
      <c r="R755" s="17">
        <f>IF(Items[[#This Row],[ID]]="","",COUNTIFS(Log[ID],Items[[#This Row],[ID]],Log[Verb],"carry"))</f>
      </c>
      <c r="S755" s="17">
        <f>IF(Items[[#This Row],[ID]]="","",COUNTIFS(Log[ID],Items[[#This Row],[ID]],Log[Verb],"punt"))</f>
      </c>
      <c r="T755" s="11">
        <f>IF(Items[[#This Row],[State]]&lt;&gt;"DONE","",IFERROR(LOOKUP(2,1/((Log[ID]=Items[[#This Row],[ID]])*(Log[Verb]="done")),Log[Date]),""))</f>
      </c>
      <c r="U755" s="17">
        <f>IF(Items[[#This Row],[ID]]="","",IF(AND(Items[[#This Row],[Sprint]]=CurSprint,OR(Items[[#This Row],[State]]="OPEN",Items[[#This Row],[State]]="WAIT",Items[[#This Row],[State]]="HOLD",Items[[#This Row],[State]]="DONE")),1,0))</f>
      </c>
      <c r="V755" s="17">
        <f>IF(OR(Items[[#This Row],[ID]]="",Items[[#This Row],[Added]]=""),"",AsOf-Items[[#This Row],[Added]])</f>
      </c>
      <c r="W755" s="17">
        <f>IF(Items[[#This Row],[In sprint]]=1,(IF(Items[[#This Row],[Prio]]="",9,N(Items[[#This Row],[Prio]]))*10+(IF(Items[[#This Row],[State]]="DONE",1,0)))*100000+ROW(),"")</f>
      </c>
      <c r="X75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55" s="17">
        <f>IF(AND(Items[[#This Row],[State]]="DONE",N(Items[[#This Row],[Done on]])&gt;AsOf-7),(200000-N(Items[[#This Row],[Done on]]))*100000+ROW(),"")</f>
      </c>
    </row>
    <row r="756">
      <c r="A756" t="s">
        <v>940</v>
      </c>
      <c r="B756" t="s">
        <v>1977</v>
      </c>
      <c r="C756" t="s">
        <v>1115</v>
      </c>
      <c r="D756" t="s">
        <v>1116</v>
      </c>
      <c r="E756" t="s">
        <v>1139</v>
      </c>
      <c r="F756" t="s">
        <v>1175</v>
      </c>
      <c r="G756">
        <v>8</v>
      </c>
      <c r="H756">
        <v>3</v>
      </c>
      <c r="I756" s="11">
        <v>46231</v>
      </c>
      <c r="J756" s="17">
        <f>IF(Items[[#This Row],[ID]]="","",IFERROR(VALUE(LOOKUP(2,1/((Log[ID]=Items[[#This Row],[ID]])*(Log[Verb]="est")),Log[Arg])),N(Items[[#This Row],[Points]])))</f>
      </c>
      <c r="K756" s="17">
        <f>IF(Items[[#This Row],[ID]]="","",IFERROR(LOOKUP(2,1/((Log[ID]=Items[[#This Row],[ID]])*(Log[Verb]="pass")),Log[Arg])&amp;"",Items[[#This Row],[Team]]&amp;""))</f>
      </c>
      <c r="L756" s="17">
        <f>IF(Items[[#This Row],[ID]]="","",IFERROR(LOOKUP(2,1/((Log[ID]=Items[[#This Row],[ID]])*(Log[Into]&lt;&gt;"")),Log[Into]),""))</f>
      </c>
      <c r="M756" s="17">
        <f>IF(Items[[#This Row],[ID]]="","",IF(IFERROR(LOOKUP(2,1/((Log[ID]=Items[[#This Row],[ID]])*(Log[Blk]&lt;&gt;"")),Log[Blk]),0)=1,"Y",""))</f>
      </c>
      <c r="N756" s="17">
        <f>IF(Items[[#This Row],[ID]]="","",SUBSTITUTE(IFERROR(LOOKUP(2,1/((Log[ID]=Items[[#This Row],[ID]])*(Log[State]&lt;&gt;"")),Log[State]),"TODO"),"OPEN",IF(Items[[#This Row],[Blocked]]="Y","WAIT","OPEN")))</f>
      </c>
      <c r="O75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56" s="17">
        <f>IF(Items[[#This Row],[State]]&lt;&gt;"WAIT","",AsOf-Items[[#This Row],[Blocked since]])</f>
      </c>
      <c r="Q756" s="17">
        <f>IF(Items[[#This Row],[State]]&lt;&gt;"WAIT","",IFERROR(LOOKUP(2,1/((Log[ID]=Items[[#This Row],[ID]])*(Log[Verb]="block")),Log[Note])&amp;"",""))</f>
      </c>
      <c r="R756" s="17">
        <f>IF(Items[[#This Row],[ID]]="","",COUNTIFS(Log[ID],Items[[#This Row],[ID]],Log[Verb],"carry"))</f>
      </c>
      <c r="S756" s="17">
        <f>IF(Items[[#This Row],[ID]]="","",COUNTIFS(Log[ID],Items[[#This Row],[ID]],Log[Verb],"punt"))</f>
      </c>
      <c r="T756" s="11">
        <f>IF(Items[[#This Row],[State]]&lt;&gt;"DONE","",IFERROR(LOOKUP(2,1/((Log[ID]=Items[[#This Row],[ID]])*(Log[Verb]="done")),Log[Date]),""))</f>
      </c>
      <c r="U756" s="17">
        <f>IF(Items[[#This Row],[ID]]="","",IF(AND(Items[[#This Row],[Sprint]]=CurSprint,OR(Items[[#This Row],[State]]="OPEN",Items[[#This Row],[State]]="WAIT",Items[[#This Row],[State]]="HOLD",Items[[#This Row],[State]]="DONE")),1,0))</f>
      </c>
      <c r="V756" s="17">
        <f>IF(OR(Items[[#This Row],[ID]]="",Items[[#This Row],[Added]]=""),"",AsOf-Items[[#This Row],[Added]])</f>
      </c>
      <c r="W756" s="17">
        <f>IF(Items[[#This Row],[In sprint]]=1,(IF(Items[[#This Row],[Prio]]="",9,N(Items[[#This Row],[Prio]]))*10+(IF(Items[[#This Row],[State]]="DONE",1,0)))*100000+ROW(),"")</f>
      </c>
      <c r="X75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56" s="17">
        <f>IF(AND(Items[[#This Row],[State]]="DONE",N(Items[[#This Row],[Done on]])&gt;AsOf-7),(200000-N(Items[[#This Row],[Done on]]))*100000+ROW(),"")</f>
      </c>
    </row>
    <row r="757">
      <c r="A757" t="s">
        <v>941</v>
      </c>
      <c r="B757" t="s">
        <v>1978</v>
      </c>
      <c r="C757" t="s">
        <v>1107</v>
      </c>
      <c r="D757" t="s">
        <v>1108</v>
      </c>
      <c r="E757" t="s">
        <v>1139</v>
      </c>
      <c r="F757" t="s">
        <v>1249</v>
      </c>
      <c r="G757">
        <v>5</v>
      </c>
      <c r="H757">
        <v>2</v>
      </c>
      <c r="I757" s="11">
        <v>46231</v>
      </c>
      <c r="J757" s="17">
        <f>IF(Items[[#This Row],[ID]]="","",IFERROR(VALUE(LOOKUP(2,1/((Log[ID]=Items[[#This Row],[ID]])*(Log[Verb]="est")),Log[Arg])),N(Items[[#This Row],[Points]])))</f>
      </c>
      <c r="K757" s="17">
        <f>IF(Items[[#This Row],[ID]]="","",IFERROR(LOOKUP(2,1/((Log[ID]=Items[[#This Row],[ID]])*(Log[Verb]="pass")),Log[Arg])&amp;"",Items[[#This Row],[Team]]&amp;""))</f>
      </c>
      <c r="L757" s="17">
        <f>IF(Items[[#This Row],[ID]]="","",IFERROR(LOOKUP(2,1/((Log[ID]=Items[[#This Row],[ID]])*(Log[Into]&lt;&gt;"")),Log[Into]),""))</f>
      </c>
      <c r="M757" s="17">
        <f>IF(Items[[#This Row],[ID]]="","",IF(IFERROR(LOOKUP(2,1/((Log[ID]=Items[[#This Row],[ID]])*(Log[Blk]&lt;&gt;"")),Log[Blk]),0)=1,"Y",""))</f>
      </c>
      <c r="N757" s="17">
        <f>IF(Items[[#This Row],[ID]]="","",SUBSTITUTE(IFERROR(LOOKUP(2,1/((Log[ID]=Items[[#This Row],[ID]])*(Log[State]&lt;&gt;"")),Log[State]),"TODO"),"OPEN",IF(Items[[#This Row],[Blocked]]="Y","WAIT","OPEN")))</f>
      </c>
      <c r="O75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57" s="17">
        <f>IF(Items[[#This Row],[State]]&lt;&gt;"WAIT","",AsOf-Items[[#This Row],[Blocked since]])</f>
      </c>
      <c r="Q757" s="17">
        <f>IF(Items[[#This Row],[State]]&lt;&gt;"WAIT","",IFERROR(LOOKUP(2,1/((Log[ID]=Items[[#This Row],[ID]])*(Log[Verb]="block")),Log[Note])&amp;"",""))</f>
      </c>
      <c r="R757" s="17">
        <f>IF(Items[[#This Row],[ID]]="","",COUNTIFS(Log[ID],Items[[#This Row],[ID]],Log[Verb],"carry"))</f>
      </c>
      <c r="S757" s="17">
        <f>IF(Items[[#This Row],[ID]]="","",COUNTIFS(Log[ID],Items[[#This Row],[ID]],Log[Verb],"punt"))</f>
      </c>
      <c r="T757" s="11">
        <f>IF(Items[[#This Row],[State]]&lt;&gt;"DONE","",IFERROR(LOOKUP(2,1/((Log[ID]=Items[[#This Row],[ID]])*(Log[Verb]="done")),Log[Date]),""))</f>
      </c>
      <c r="U757" s="17">
        <f>IF(Items[[#This Row],[ID]]="","",IF(AND(Items[[#This Row],[Sprint]]=CurSprint,OR(Items[[#This Row],[State]]="OPEN",Items[[#This Row],[State]]="WAIT",Items[[#This Row],[State]]="HOLD",Items[[#This Row],[State]]="DONE")),1,0))</f>
      </c>
      <c r="V757" s="17">
        <f>IF(OR(Items[[#This Row],[ID]]="",Items[[#This Row],[Added]]=""),"",AsOf-Items[[#This Row],[Added]])</f>
      </c>
      <c r="W757" s="17">
        <f>IF(Items[[#This Row],[In sprint]]=1,(IF(Items[[#This Row],[Prio]]="",9,N(Items[[#This Row],[Prio]]))*10+(IF(Items[[#This Row],[State]]="DONE",1,0)))*100000+ROW(),"")</f>
      </c>
      <c r="X75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57" s="17">
        <f>IF(AND(Items[[#This Row],[State]]="DONE",N(Items[[#This Row],[Done on]])&gt;AsOf-7),(200000-N(Items[[#This Row],[Done on]]))*100000+ROW(),"")</f>
      </c>
    </row>
    <row r="758">
      <c r="A758" t="s">
        <v>942</v>
      </c>
      <c r="B758" t="s">
        <v>1979</v>
      </c>
      <c r="C758" t="s">
        <v>1115</v>
      </c>
      <c r="D758" t="s">
        <v>1119</v>
      </c>
      <c r="E758" t="s">
        <v>1139</v>
      </c>
      <c r="F758" t="s">
        <v>1319</v>
      </c>
      <c r="G758">
        <v>2</v>
      </c>
      <c r="H758">
        <v>2</v>
      </c>
      <c r="I758" s="11">
        <v>46231</v>
      </c>
      <c r="J758" s="17">
        <f>IF(Items[[#This Row],[ID]]="","",IFERROR(VALUE(LOOKUP(2,1/((Log[ID]=Items[[#This Row],[ID]])*(Log[Verb]="est")),Log[Arg])),N(Items[[#This Row],[Points]])))</f>
      </c>
      <c r="K758" s="17">
        <f>IF(Items[[#This Row],[ID]]="","",IFERROR(LOOKUP(2,1/((Log[ID]=Items[[#This Row],[ID]])*(Log[Verb]="pass")),Log[Arg])&amp;"",Items[[#This Row],[Team]]&amp;""))</f>
      </c>
      <c r="L758" s="17">
        <f>IF(Items[[#This Row],[ID]]="","",IFERROR(LOOKUP(2,1/((Log[ID]=Items[[#This Row],[ID]])*(Log[Into]&lt;&gt;"")),Log[Into]),""))</f>
      </c>
      <c r="M758" s="17">
        <f>IF(Items[[#This Row],[ID]]="","",IF(IFERROR(LOOKUP(2,1/((Log[ID]=Items[[#This Row],[ID]])*(Log[Blk]&lt;&gt;"")),Log[Blk]),0)=1,"Y",""))</f>
      </c>
      <c r="N758" s="17">
        <f>IF(Items[[#This Row],[ID]]="","",SUBSTITUTE(IFERROR(LOOKUP(2,1/((Log[ID]=Items[[#This Row],[ID]])*(Log[State]&lt;&gt;"")),Log[State]),"TODO"),"OPEN",IF(Items[[#This Row],[Blocked]]="Y","WAIT","OPEN")))</f>
      </c>
      <c r="O75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58" s="17">
        <f>IF(Items[[#This Row],[State]]&lt;&gt;"WAIT","",AsOf-Items[[#This Row],[Blocked since]])</f>
      </c>
      <c r="Q758" s="17">
        <f>IF(Items[[#This Row],[State]]&lt;&gt;"WAIT","",IFERROR(LOOKUP(2,1/((Log[ID]=Items[[#This Row],[ID]])*(Log[Verb]="block")),Log[Note])&amp;"",""))</f>
      </c>
      <c r="R758" s="17">
        <f>IF(Items[[#This Row],[ID]]="","",COUNTIFS(Log[ID],Items[[#This Row],[ID]],Log[Verb],"carry"))</f>
      </c>
      <c r="S758" s="17">
        <f>IF(Items[[#This Row],[ID]]="","",COUNTIFS(Log[ID],Items[[#This Row],[ID]],Log[Verb],"punt"))</f>
      </c>
      <c r="T758" s="11">
        <f>IF(Items[[#This Row],[State]]&lt;&gt;"DONE","",IFERROR(LOOKUP(2,1/((Log[ID]=Items[[#This Row],[ID]])*(Log[Verb]="done")),Log[Date]),""))</f>
      </c>
      <c r="U758" s="17">
        <f>IF(Items[[#This Row],[ID]]="","",IF(AND(Items[[#This Row],[Sprint]]=CurSprint,OR(Items[[#This Row],[State]]="OPEN",Items[[#This Row],[State]]="WAIT",Items[[#This Row],[State]]="HOLD",Items[[#This Row],[State]]="DONE")),1,0))</f>
      </c>
      <c r="V758" s="17">
        <f>IF(OR(Items[[#This Row],[ID]]="",Items[[#This Row],[Added]]=""),"",AsOf-Items[[#This Row],[Added]])</f>
      </c>
      <c r="W758" s="17">
        <f>IF(Items[[#This Row],[In sprint]]=1,(IF(Items[[#This Row],[Prio]]="",9,N(Items[[#This Row],[Prio]]))*10+(IF(Items[[#This Row],[State]]="DONE",1,0)))*100000+ROW(),"")</f>
      </c>
      <c r="X75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58" s="17">
        <f>IF(AND(Items[[#This Row],[State]]="DONE",N(Items[[#This Row],[Done on]])&gt;AsOf-7),(200000-N(Items[[#This Row],[Done on]]))*100000+ROW(),"")</f>
      </c>
    </row>
    <row r="759">
      <c r="A759" t="s">
        <v>943</v>
      </c>
      <c r="B759" t="s">
        <v>1980</v>
      </c>
      <c r="C759" t="s">
        <v>1107</v>
      </c>
      <c r="D759" t="s">
        <v>1123</v>
      </c>
      <c r="E759" t="s">
        <v>1139</v>
      </c>
      <c r="F759" t="s">
        <v>1140</v>
      </c>
      <c r="G759">
        <v>5</v>
      </c>
      <c r="H759">
        <v>3</v>
      </c>
      <c r="I759" s="11">
        <v>46231</v>
      </c>
      <c r="J759" s="17">
        <f>IF(Items[[#This Row],[ID]]="","",IFERROR(VALUE(LOOKUP(2,1/((Log[ID]=Items[[#This Row],[ID]])*(Log[Verb]="est")),Log[Arg])),N(Items[[#This Row],[Points]])))</f>
      </c>
      <c r="K759" s="17">
        <f>IF(Items[[#This Row],[ID]]="","",IFERROR(LOOKUP(2,1/((Log[ID]=Items[[#This Row],[ID]])*(Log[Verb]="pass")),Log[Arg])&amp;"",Items[[#This Row],[Team]]&amp;""))</f>
      </c>
      <c r="L759" s="17">
        <f>IF(Items[[#This Row],[ID]]="","",IFERROR(LOOKUP(2,1/((Log[ID]=Items[[#This Row],[ID]])*(Log[Into]&lt;&gt;"")),Log[Into]),""))</f>
      </c>
      <c r="M759" s="17">
        <f>IF(Items[[#This Row],[ID]]="","",IF(IFERROR(LOOKUP(2,1/((Log[ID]=Items[[#This Row],[ID]])*(Log[Blk]&lt;&gt;"")),Log[Blk]),0)=1,"Y",""))</f>
      </c>
      <c r="N759" s="17">
        <f>IF(Items[[#This Row],[ID]]="","",SUBSTITUTE(IFERROR(LOOKUP(2,1/((Log[ID]=Items[[#This Row],[ID]])*(Log[State]&lt;&gt;"")),Log[State]),"TODO"),"OPEN",IF(Items[[#This Row],[Blocked]]="Y","WAIT","OPEN")))</f>
      </c>
      <c r="O75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59" s="17">
        <f>IF(Items[[#This Row],[State]]&lt;&gt;"WAIT","",AsOf-Items[[#This Row],[Blocked since]])</f>
      </c>
      <c r="Q759" s="17">
        <f>IF(Items[[#This Row],[State]]&lt;&gt;"WAIT","",IFERROR(LOOKUP(2,1/((Log[ID]=Items[[#This Row],[ID]])*(Log[Verb]="block")),Log[Note])&amp;"",""))</f>
      </c>
      <c r="R759" s="17">
        <f>IF(Items[[#This Row],[ID]]="","",COUNTIFS(Log[ID],Items[[#This Row],[ID]],Log[Verb],"carry"))</f>
      </c>
      <c r="S759" s="17">
        <f>IF(Items[[#This Row],[ID]]="","",COUNTIFS(Log[ID],Items[[#This Row],[ID]],Log[Verb],"punt"))</f>
      </c>
      <c r="T759" s="11">
        <f>IF(Items[[#This Row],[State]]&lt;&gt;"DONE","",IFERROR(LOOKUP(2,1/((Log[ID]=Items[[#This Row],[ID]])*(Log[Verb]="done")),Log[Date]),""))</f>
      </c>
      <c r="U759" s="17">
        <f>IF(Items[[#This Row],[ID]]="","",IF(AND(Items[[#This Row],[Sprint]]=CurSprint,OR(Items[[#This Row],[State]]="OPEN",Items[[#This Row],[State]]="WAIT",Items[[#This Row],[State]]="HOLD",Items[[#This Row],[State]]="DONE")),1,0))</f>
      </c>
      <c r="V759" s="17">
        <f>IF(OR(Items[[#This Row],[ID]]="",Items[[#This Row],[Added]]=""),"",AsOf-Items[[#This Row],[Added]])</f>
      </c>
      <c r="W759" s="17">
        <f>IF(Items[[#This Row],[In sprint]]=1,(IF(Items[[#This Row],[Prio]]="",9,N(Items[[#This Row],[Prio]]))*10+(IF(Items[[#This Row],[State]]="DONE",1,0)))*100000+ROW(),"")</f>
      </c>
      <c r="X75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59" s="17">
        <f>IF(AND(Items[[#This Row],[State]]="DONE",N(Items[[#This Row],[Done on]])&gt;AsOf-7),(200000-N(Items[[#This Row],[Done on]]))*100000+ROW(),"")</f>
      </c>
    </row>
    <row r="760">
      <c r="A760" t="s">
        <v>887</v>
      </c>
      <c r="B760" t="s">
        <v>1981</v>
      </c>
      <c r="C760" t="s">
        <v>1107</v>
      </c>
      <c r="D760" t="s">
        <v>1108</v>
      </c>
      <c r="E760" t="s">
        <v>1177</v>
      </c>
      <c r="F760" t="s">
        <v>1263</v>
      </c>
      <c r="G760">
        <v>5</v>
      </c>
      <c r="H760">
        <v>3</v>
      </c>
      <c r="I760" s="11">
        <v>46231</v>
      </c>
      <c r="J760" s="17">
        <f>IF(Items[[#This Row],[ID]]="","",IFERROR(VALUE(LOOKUP(2,1/((Log[ID]=Items[[#This Row],[ID]])*(Log[Verb]="est")),Log[Arg])),N(Items[[#This Row],[Points]])))</f>
      </c>
      <c r="K760" s="17">
        <f>IF(Items[[#This Row],[ID]]="","",IFERROR(LOOKUP(2,1/((Log[ID]=Items[[#This Row],[ID]])*(Log[Verb]="pass")),Log[Arg])&amp;"",Items[[#This Row],[Team]]&amp;""))</f>
      </c>
      <c r="L760" s="17">
        <f>IF(Items[[#This Row],[ID]]="","",IFERROR(LOOKUP(2,1/((Log[ID]=Items[[#This Row],[ID]])*(Log[Into]&lt;&gt;"")),Log[Into]),""))</f>
      </c>
      <c r="M760" s="17">
        <f>IF(Items[[#This Row],[ID]]="","",IF(IFERROR(LOOKUP(2,1/((Log[ID]=Items[[#This Row],[ID]])*(Log[Blk]&lt;&gt;"")),Log[Blk]),0)=1,"Y",""))</f>
      </c>
      <c r="N760" s="17">
        <f>IF(Items[[#This Row],[ID]]="","",SUBSTITUTE(IFERROR(LOOKUP(2,1/((Log[ID]=Items[[#This Row],[ID]])*(Log[State]&lt;&gt;"")),Log[State]),"TODO"),"OPEN",IF(Items[[#This Row],[Blocked]]="Y","WAIT","OPEN")))</f>
      </c>
      <c r="O76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60" s="17">
        <f>IF(Items[[#This Row],[State]]&lt;&gt;"WAIT","",AsOf-Items[[#This Row],[Blocked since]])</f>
      </c>
      <c r="Q760" s="17">
        <f>IF(Items[[#This Row],[State]]&lt;&gt;"WAIT","",IFERROR(LOOKUP(2,1/((Log[ID]=Items[[#This Row],[ID]])*(Log[Verb]="block")),Log[Note])&amp;"",""))</f>
      </c>
      <c r="R760" s="17">
        <f>IF(Items[[#This Row],[ID]]="","",COUNTIFS(Log[ID],Items[[#This Row],[ID]],Log[Verb],"carry"))</f>
      </c>
      <c r="S760" s="17">
        <f>IF(Items[[#This Row],[ID]]="","",COUNTIFS(Log[ID],Items[[#This Row],[ID]],Log[Verb],"punt"))</f>
      </c>
      <c r="T760" s="11">
        <f>IF(Items[[#This Row],[State]]&lt;&gt;"DONE","",IFERROR(LOOKUP(2,1/((Log[ID]=Items[[#This Row],[ID]])*(Log[Verb]="done")),Log[Date]),""))</f>
      </c>
      <c r="U760" s="17">
        <f>IF(Items[[#This Row],[ID]]="","",IF(AND(Items[[#This Row],[Sprint]]=CurSprint,OR(Items[[#This Row],[State]]="OPEN",Items[[#This Row],[State]]="WAIT",Items[[#This Row],[State]]="HOLD",Items[[#This Row],[State]]="DONE")),1,0))</f>
      </c>
      <c r="V760" s="17">
        <f>IF(OR(Items[[#This Row],[ID]]="",Items[[#This Row],[Added]]=""),"",AsOf-Items[[#This Row],[Added]])</f>
      </c>
      <c r="W760" s="17">
        <f>IF(Items[[#This Row],[In sprint]]=1,(IF(Items[[#This Row],[Prio]]="",9,N(Items[[#This Row],[Prio]]))*10+(IF(Items[[#This Row],[State]]="DONE",1,0)))*100000+ROW(),"")</f>
      </c>
      <c r="X76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60" s="17">
        <f>IF(AND(Items[[#This Row],[State]]="DONE",N(Items[[#This Row],[Done on]])&gt;AsOf-7),(200000-N(Items[[#This Row],[Done on]]))*100000+ROW(),"")</f>
      </c>
    </row>
    <row r="761">
      <c r="A761" t="s">
        <v>888</v>
      </c>
      <c r="B761" t="s">
        <v>1982</v>
      </c>
      <c r="C761" t="s">
        <v>1107</v>
      </c>
      <c r="D761" t="s">
        <v>1123</v>
      </c>
      <c r="E761" t="s">
        <v>1177</v>
      </c>
      <c r="F761" t="s">
        <v>1407</v>
      </c>
      <c r="G761">
        <v>8</v>
      </c>
      <c r="H761">
        <v>2</v>
      </c>
      <c r="I761" s="11">
        <v>46231</v>
      </c>
      <c r="J761" s="17">
        <f>IF(Items[[#This Row],[ID]]="","",IFERROR(VALUE(LOOKUP(2,1/((Log[ID]=Items[[#This Row],[ID]])*(Log[Verb]="est")),Log[Arg])),N(Items[[#This Row],[Points]])))</f>
      </c>
      <c r="K761" s="17">
        <f>IF(Items[[#This Row],[ID]]="","",IFERROR(LOOKUP(2,1/((Log[ID]=Items[[#This Row],[ID]])*(Log[Verb]="pass")),Log[Arg])&amp;"",Items[[#This Row],[Team]]&amp;""))</f>
      </c>
      <c r="L761" s="17">
        <f>IF(Items[[#This Row],[ID]]="","",IFERROR(LOOKUP(2,1/((Log[ID]=Items[[#This Row],[ID]])*(Log[Into]&lt;&gt;"")),Log[Into]),""))</f>
      </c>
      <c r="M761" s="17">
        <f>IF(Items[[#This Row],[ID]]="","",IF(IFERROR(LOOKUP(2,1/((Log[ID]=Items[[#This Row],[ID]])*(Log[Blk]&lt;&gt;"")),Log[Blk]),0)=1,"Y",""))</f>
      </c>
      <c r="N761" s="17">
        <f>IF(Items[[#This Row],[ID]]="","",SUBSTITUTE(IFERROR(LOOKUP(2,1/((Log[ID]=Items[[#This Row],[ID]])*(Log[State]&lt;&gt;"")),Log[State]),"TODO"),"OPEN",IF(Items[[#This Row],[Blocked]]="Y","WAIT","OPEN")))</f>
      </c>
      <c r="O76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61" s="17">
        <f>IF(Items[[#This Row],[State]]&lt;&gt;"WAIT","",AsOf-Items[[#This Row],[Blocked since]])</f>
      </c>
      <c r="Q761" s="17">
        <f>IF(Items[[#This Row],[State]]&lt;&gt;"WAIT","",IFERROR(LOOKUP(2,1/((Log[ID]=Items[[#This Row],[ID]])*(Log[Verb]="block")),Log[Note])&amp;"",""))</f>
      </c>
      <c r="R761" s="17">
        <f>IF(Items[[#This Row],[ID]]="","",COUNTIFS(Log[ID],Items[[#This Row],[ID]],Log[Verb],"carry"))</f>
      </c>
      <c r="S761" s="17">
        <f>IF(Items[[#This Row],[ID]]="","",COUNTIFS(Log[ID],Items[[#This Row],[ID]],Log[Verb],"punt"))</f>
      </c>
      <c r="T761" s="11">
        <f>IF(Items[[#This Row],[State]]&lt;&gt;"DONE","",IFERROR(LOOKUP(2,1/((Log[ID]=Items[[#This Row],[ID]])*(Log[Verb]="done")),Log[Date]),""))</f>
      </c>
      <c r="U761" s="17">
        <f>IF(Items[[#This Row],[ID]]="","",IF(AND(Items[[#This Row],[Sprint]]=CurSprint,OR(Items[[#This Row],[State]]="OPEN",Items[[#This Row],[State]]="WAIT",Items[[#This Row],[State]]="HOLD",Items[[#This Row],[State]]="DONE")),1,0))</f>
      </c>
      <c r="V761" s="17">
        <f>IF(OR(Items[[#This Row],[ID]]="",Items[[#This Row],[Added]]=""),"",AsOf-Items[[#This Row],[Added]])</f>
      </c>
      <c r="W761" s="17">
        <f>IF(Items[[#This Row],[In sprint]]=1,(IF(Items[[#This Row],[Prio]]="",9,N(Items[[#This Row],[Prio]]))*10+(IF(Items[[#This Row],[State]]="DONE",1,0)))*100000+ROW(),"")</f>
      </c>
      <c r="X76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61" s="17">
        <f>IF(AND(Items[[#This Row],[State]]="DONE",N(Items[[#This Row],[Done on]])&gt;AsOf-7),(200000-N(Items[[#This Row],[Done on]]))*100000+ROW(),"")</f>
      </c>
    </row>
    <row r="762">
      <c r="A762" t="s">
        <v>889</v>
      </c>
      <c r="B762" t="s">
        <v>1983</v>
      </c>
      <c r="C762" t="s">
        <v>1107</v>
      </c>
      <c r="D762" t="s">
        <v>1108</v>
      </c>
      <c r="E762" t="s">
        <v>1177</v>
      </c>
      <c r="F762" t="s">
        <v>1178</v>
      </c>
      <c r="G762">
        <v>3</v>
      </c>
      <c r="H762">
        <v>2</v>
      </c>
      <c r="I762" s="11">
        <v>46231</v>
      </c>
      <c r="J762" s="17">
        <f>IF(Items[[#This Row],[ID]]="","",IFERROR(VALUE(LOOKUP(2,1/((Log[ID]=Items[[#This Row],[ID]])*(Log[Verb]="est")),Log[Arg])),N(Items[[#This Row],[Points]])))</f>
      </c>
      <c r="K762" s="17">
        <f>IF(Items[[#This Row],[ID]]="","",IFERROR(LOOKUP(2,1/((Log[ID]=Items[[#This Row],[ID]])*(Log[Verb]="pass")),Log[Arg])&amp;"",Items[[#This Row],[Team]]&amp;""))</f>
      </c>
      <c r="L762" s="17">
        <f>IF(Items[[#This Row],[ID]]="","",IFERROR(LOOKUP(2,1/((Log[ID]=Items[[#This Row],[ID]])*(Log[Into]&lt;&gt;"")),Log[Into]),""))</f>
      </c>
      <c r="M762" s="17">
        <f>IF(Items[[#This Row],[ID]]="","",IF(IFERROR(LOOKUP(2,1/((Log[ID]=Items[[#This Row],[ID]])*(Log[Blk]&lt;&gt;"")),Log[Blk]),0)=1,"Y",""))</f>
      </c>
      <c r="N762" s="17">
        <f>IF(Items[[#This Row],[ID]]="","",SUBSTITUTE(IFERROR(LOOKUP(2,1/((Log[ID]=Items[[#This Row],[ID]])*(Log[State]&lt;&gt;"")),Log[State]),"TODO"),"OPEN",IF(Items[[#This Row],[Blocked]]="Y","WAIT","OPEN")))</f>
      </c>
      <c r="O76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62" s="17">
        <f>IF(Items[[#This Row],[State]]&lt;&gt;"WAIT","",AsOf-Items[[#This Row],[Blocked since]])</f>
      </c>
      <c r="Q762" s="17">
        <f>IF(Items[[#This Row],[State]]&lt;&gt;"WAIT","",IFERROR(LOOKUP(2,1/((Log[ID]=Items[[#This Row],[ID]])*(Log[Verb]="block")),Log[Note])&amp;"",""))</f>
      </c>
      <c r="R762" s="17">
        <f>IF(Items[[#This Row],[ID]]="","",COUNTIFS(Log[ID],Items[[#This Row],[ID]],Log[Verb],"carry"))</f>
      </c>
      <c r="S762" s="17">
        <f>IF(Items[[#This Row],[ID]]="","",COUNTIFS(Log[ID],Items[[#This Row],[ID]],Log[Verb],"punt"))</f>
      </c>
      <c r="T762" s="11">
        <f>IF(Items[[#This Row],[State]]&lt;&gt;"DONE","",IFERROR(LOOKUP(2,1/((Log[ID]=Items[[#This Row],[ID]])*(Log[Verb]="done")),Log[Date]),""))</f>
      </c>
      <c r="U762" s="17">
        <f>IF(Items[[#This Row],[ID]]="","",IF(AND(Items[[#This Row],[Sprint]]=CurSprint,OR(Items[[#This Row],[State]]="OPEN",Items[[#This Row],[State]]="WAIT",Items[[#This Row],[State]]="HOLD",Items[[#This Row],[State]]="DONE")),1,0))</f>
      </c>
      <c r="V762" s="17">
        <f>IF(OR(Items[[#This Row],[ID]]="",Items[[#This Row],[Added]]=""),"",AsOf-Items[[#This Row],[Added]])</f>
      </c>
      <c r="W762" s="17">
        <f>IF(Items[[#This Row],[In sprint]]=1,(IF(Items[[#This Row],[Prio]]="",9,N(Items[[#This Row],[Prio]]))*10+(IF(Items[[#This Row],[State]]="DONE",1,0)))*100000+ROW(),"")</f>
      </c>
      <c r="X76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62" s="17">
        <f>IF(AND(Items[[#This Row],[State]]="DONE",N(Items[[#This Row],[Done on]])&gt;AsOf-7),(200000-N(Items[[#This Row],[Done on]]))*100000+ROW(),"")</f>
      </c>
    </row>
    <row r="763">
      <c r="A763" t="s">
        <v>946</v>
      </c>
      <c r="B763" t="s">
        <v>1984</v>
      </c>
      <c r="C763" t="s">
        <v>1107</v>
      </c>
      <c r="D763" t="s">
        <v>1123</v>
      </c>
      <c r="E763" t="s">
        <v>1177</v>
      </c>
      <c r="F763" t="s">
        <v>1257</v>
      </c>
      <c r="G763">
        <v>3</v>
      </c>
      <c r="H763">
        <v>3</v>
      </c>
      <c r="I763" s="11">
        <v>46231</v>
      </c>
      <c r="J763" s="17">
        <f>IF(Items[[#This Row],[ID]]="","",IFERROR(VALUE(LOOKUP(2,1/((Log[ID]=Items[[#This Row],[ID]])*(Log[Verb]="est")),Log[Arg])),N(Items[[#This Row],[Points]])))</f>
      </c>
      <c r="K763" s="17">
        <f>IF(Items[[#This Row],[ID]]="","",IFERROR(LOOKUP(2,1/((Log[ID]=Items[[#This Row],[ID]])*(Log[Verb]="pass")),Log[Arg])&amp;"",Items[[#This Row],[Team]]&amp;""))</f>
      </c>
      <c r="L763" s="17">
        <f>IF(Items[[#This Row],[ID]]="","",IFERROR(LOOKUP(2,1/((Log[ID]=Items[[#This Row],[ID]])*(Log[Into]&lt;&gt;"")),Log[Into]),""))</f>
      </c>
      <c r="M763" s="17">
        <f>IF(Items[[#This Row],[ID]]="","",IF(IFERROR(LOOKUP(2,1/((Log[ID]=Items[[#This Row],[ID]])*(Log[Blk]&lt;&gt;"")),Log[Blk]),0)=1,"Y",""))</f>
      </c>
      <c r="N763" s="17">
        <f>IF(Items[[#This Row],[ID]]="","",SUBSTITUTE(IFERROR(LOOKUP(2,1/((Log[ID]=Items[[#This Row],[ID]])*(Log[State]&lt;&gt;"")),Log[State]),"TODO"),"OPEN",IF(Items[[#This Row],[Blocked]]="Y","WAIT","OPEN")))</f>
      </c>
      <c r="O76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63" s="17">
        <f>IF(Items[[#This Row],[State]]&lt;&gt;"WAIT","",AsOf-Items[[#This Row],[Blocked since]])</f>
      </c>
      <c r="Q763" s="17">
        <f>IF(Items[[#This Row],[State]]&lt;&gt;"WAIT","",IFERROR(LOOKUP(2,1/((Log[ID]=Items[[#This Row],[ID]])*(Log[Verb]="block")),Log[Note])&amp;"",""))</f>
      </c>
      <c r="R763" s="17">
        <f>IF(Items[[#This Row],[ID]]="","",COUNTIFS(Log[ID],Items[[#This Row],[ID]],Log[Verb],"carry"))</f>
      </c>
      <c r="S763" s="17">
        <f>IF(Items[[#This Row],[ID]]="","",COUNTIFS(Log[ID],Items[[#This Row],[ID]],Log[Verb],"punt"))</f>
      </c>
      <c r="T763" s="11">
        <f>IF(Items[[#This Row],[State]]&lt;&gt;"DONE","",IFERROR(LOOKUP(2,1/((Log[ID]=Items[[#This Row],[ID]])*(Log[Verb]="done")),Log[Date]),""))</f>
      </c>
      <c r="U763" s="17">
        <f>IF(Items[[#This Row],[ID]]="","",IF(AND(Items[[#This Row],[Sprint]]=CurSprint,OR(Items[[#This Row],[State]]="OPEN",Items[[#This Row],[State]]="WAIT",Items[[#This Row],[State]]="HOLD",Items[[#This Row],[State]]="DONE")),1,0))</f>
      </c>
      <c r="V763" s="17">
        <f>IF(OR(Items[[#This Row],[ID]]="",Items[[#This Row],[Added]]=""),"",AsOf-Items[[#This Row],[Added]])</f>
      </c>
      <c r="W763" s="17">
        <f>IF(Items[[#This Row],[In sprint]]=1,(IF(Items[[#This Row],[Prio]]="",9,N(Items[[#This Row],[Prio]]))*10+(IF(Items[[#This Row],[State]]="DONE",1,0)))*100000+ROW(),"")</f>
      </c>
      <c r="X76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63" s="17">
        <f>IF(AND(Items[[#This Row],[State]]="DONE",N(Items[[#This Row],[Done on]])&gt;AsOf-7),(200000-N(Items[[#This Row],[Done on]]))*100000+ROW(),"")</f>
      </c>
    </row>
    <row r="764">
      <c r="A764" t="s">
        <v>947</v>
      </c>
      <c r="B764" t="s">
        <v>1985</v>
      </c>
      <c r="C764" t="s">
        <v>1107</v>
      </c>
      <c r="D764" t="s">
        <v>1127</v>
      </c>
      <c r="E764" t="s">
        <v>1177</v>
      </c>
      <c r="F764" t="s">
        <v>1178</v>
      </c>
      <c r="G764">
        <v>5</v>
      </c>
      <c r="H764">
        <v>1</v>
      </c>
      <c r="I764" s="11">
        <v>46231</v>
      </c>
      <c r="J764" s="17">
        <f>IF(Items[[#This Row],[ID]]="","",IFERROR(VALUE(LOOKUP(2,1/((Log[ID]=Items[[#This Row],[ID]])*(Log[Verb]="est")),Log[Arg])),N(Items[[#This Row],[Points]])))</f>
      </c>
      <c r="K764" s="17">
        <f>IF(Items[[#This Row],[ID]]="","",IFERROR(LOOKUP(2,1/((Log[ID]=Items[[#This Row],[ID]])*(Log[Verb]="pass")),Log[Arg])&amp;"",Items[[#This Row],[Team]]&amp;""))</f>
      </c>
      <c r="L764" s="17">
        <f>IF(Items[[#This Row],[ID]]="","",IFERROR(LOOKUP(2,1/((Log[ID]=Items[[#This Row],[ID]])*(Log[Into]&lt;&gt;"")),Log[Into]),""))</f>
      </c>
      <c r="M764" s="17">
        <f>IF(Items[[#This Row],[ID]]="","",IF(IFERROR(LOOKUP(2,1/((Log[ID]=Items[[#This Row],[ID]])*(Log[Blk]&lt;&gt;"")),Log[Blk]),0)=1,"Y",""))</f>
      </c>
      <c r="N764" s="17">
        <f>IF(Items[[#This Row],[ID]]="","",SUBSTITUTE(IFERROR(LOOKUP(2,1/((Log[ID]=Items[[#This Row],[ID]])*(Log[State]&lt;&gt;"")),Log[State]),"TODO"),"OPEN",IF(Items[[#This Row],[Blocked]]="Y","WAIT","OPEN")))</f>
      </c>
      <c r="O76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64" s="17">
        <f>IF(Items[[#This Row],[State]]&lt;&gt;"WAIT","",AsOf-Items[[#This Row],[Blocked since]])</f>
      </c>
      <c r="Q764" s="17">
        <f>IF(Items[[#This Row],[State]]&lt;&gt;"WAIT","",IFERROR(LOOKUP(2,1/((Log[ID]=Items[[#This Row],[ID]])*(Log[Verb]="block")),Log[Note])&amp;"",""))</f>
      </c>
      <c r="R764" s="17">
        <f>IF(Items[[#This Row],[ID]]="","",COUNTIFS(Log[ID],Items[[#This Row],[ID]],Log[Verb],"carry"))</f>
      </c>
      <c r="S764" s="17">
        <f>IF(Items[[#This Row],[ID]]="","",COUNTIFS(Log[ID],Items[[#This Row],[ID]],Log[Verb],"punt"))</f>
      </c>
      <c r="T764" s="11">
        <f>IF(Items[[#This Row],[State]]&lt;&gt;"DONE","",IFERROR(LOOKUP(2,1/((Log[ID]=Items[[#This Row],[ID]])*(Log[Verb]="done")),Log[Date]),""))</f>
      </c>
      <c r="U764" s="17">
        <f>IF(Items[[#This Row],[ID]]="","",IF(AND(Items[[#This Row],[Sprint]]=CurSprint,OR(Items[[#This Row],[State]]="OPEN",Items[[#This Row],[State]]="WAIT",Items[[#This Row],[State]]="HOLD",Items[[#This Row],[State]]="DONE")),1,0))</f>
      </c>
      <c r="V764" s="17">
        <f>IF(OR(Items[[#This Row],[ID]]="",Items[[#This Row],[Added]]=""),"",AsOf-Items[[#This Row],[Added]])</f>
      </c>
      <c r="W764" s="17">
        <f>IF(Items[[#This Row],[In sprint]]=1,(IF(Items[[#This Row],[Prio]]="",9,N(Items[[#This Row],[Prio]]))*10+(IF(Items[[#This Row],[State]]="DONE",1,0)))*100000+ROW(),"")</f>
      </c>
      <c r="X76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64" s="17">
        <f>IF(AND(Items[[#This Row],[State]]="DONE",N(Items[[#This Row],[Done on]])&gt;AsOf-7),(200000-N(Items[[#This Row],[Done on]]))*100000+ROW(),"")</f>
      </c>
    </row>
    <row r="765">
      <c r="A765" t="s">
        <v>948</v>
      </c>
      <c r="B765" t="s">
        <v>1986</v>
      </c>
      <c r="C765" t="s">
        <v>1115</v>
      </c>
      <c r="D765" t="s">
        <v>1116</v>
      </c>
      <c r="E765" t="s">
        <v>1177</v>
      </c>
      <c r="F765" t="s">
        <v>1182</v>
      </c>
      <c r="G765">
        <v>3</v>
      </c>
      <c r="H765">
        <v>3</v>
      </c>
      <c r="I765" s="11">
        <v>46231</v>
      </c>
      <c r="J765" s="17">
        <f>IF(Items[[#This Row],[ID]]="","",IFERROR(VALUE(LOOKUP(2,1/((Log[ID]=Items[[#This Row],[ID]])*(Log[Verb]="est")),Log[Arg])),N(Items[[#This Row],[Points]])))</f>
      </c>
      <c r="K765" s="17">
        <f>IF(Items[[#This Row],[ID]]="","",IFERROR(LOOKUP(2,1/((Log[ID]=Items[[#This Row],[ID]])*(Log[Verb]="pass")),Log[Arg])&amp;"",Items[[#This Row],[Team]]&amp;""))</f>
      </c>
      <c r="L765" s="17">
        <f>IF(Items[[#This Row],[ID]]="","",IFERROR(LOOKUP(2,1/((Log[ID]=Items[[#This Row],[ID]])*(Log[Into]&lt;&gt;"")),Log[Into]),""))</f>
      </c>
      <c r="M765" s="17">
        <f>IF(Items[[#This Row],[ID]]="","",IF(IFERROR(LOOKUP(2,1/((Log[ID]=Items[[#This Row],[ID]])*(Log[Blk]&lt;&gt;"")),Log[Blk]),0)=1,"Y",""))</f>
      </c>
      <c r="N765" s="17">
        <f>IF(Items[[#This Row],[ID]]="","",SUBSTITUTE(IFERROR(LOOKUP(2,1/((Log[ID]=Items[[#This Row],[ID]])*(Log[State]&lt;&gt;"")),Log[State]),"TODO"),"OPEN",IF(Items[[#This Row],[Blocked]]="Y","WAIT","OPEN")))</f>
      </c>
      <c r="O76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65" s="17">
        <f>IF(Items[[#This Row],[State]]&lt;&gt;"WAIT","",AsOf-Items[[#This Row],[Blocked since]])</f>
      </c>
      <c r="Q765" s="17">
        <f>IF(Items[[#This Row],[State]]&lt;&gt;"WAIT","",IFERROR(LOOKUP(2,1/((Log[ID]=Items[[#This Row],[ID]])*(Log[Verb]="block")),Log[Note])&amp;"",""))</f>
      </c>
      <c r="R765" s="17">
        <f>IF(Items[[#This Row],[ID]]="","",COUNTIFS(Log[ID],Items[[#This Row],[ID]],Log[Verb],"carry"))</f>
      </c>
      <c r="S765" s="17">
        <f>IF(Items[[#This Row],[ID]]="","",COUNTIFS(Log[ID],Items[[#This Row],[ID]],Log[Verb],"punt"))</f>
      </c>
      <c r="T765" s="11">
        <f>IF(Items[[#This Row],[State]]&lt;&gt;"DONE","",IFERROR(LOOKUP(2,1/((Log[ID]=Items[[#This Row],[ID]])*(Log[Verb]="done")),Log[Date]),""))</f>
      </c>
      <c r="U765" s="17">
        <f>IF(Items[[#This Row],[ID]]="","",IF(AND(Items[[#This Row],[Sprint]]=CurSprint,OR(Items[[#This Row],[State]]="OPEN",Items[[#This Row],[State]]="WAIT",Items[[#This Row],[State]]="HOLD",Items[[#This Row],[State]]="DONE")),1,0))</f>
      </c>
      <c r="V765" s="17">
        <f>IF(OR(Items[[#This Row],[ID]]="",Items[[#This Row],[Added]]=""),"",AsOf-Items[[#This Row],[Added]])</f>
      </c>
      <c r="W765" s="17">
        <f>IF(Items[[#This Row],[In sprint]]=1,(IF(Items[[#This Row],[Prio]]="",9,N(Items[[#This Row],[Prio]]))*10+(IF(Items[[#This Row],[State]]="DONE",1,0)))*100000+ROW(),"")</f>
      </c>
      <c r="X76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65" s="17">
        <f>IF(AND(Items[[#This Row],[State]]="DONE",N(Items[[#This Row],[Done on]])&gt;AsOf-7),(200000-N(Items[[#This Row],[Done on]]))*100000+ROW(),"")</f>
      </c>
    </row>
    <row r="766">
      <c r="A766" t="s">
        <v>949</v>
      </c>
      <c r="B766" t="s">
        <v>1987</v>
      </c>
      <c r="C766" t="s">
        <v>1107</v>
      </c>
      <c r="D766" t="s">
        <v>1108</v>
      </c>
      <c r="E766" t="s">
        <v>1177</v>
      </c>
      <c r="F766" t="s">
        <v>1182</v>
      </c>
      <c r="G766">
        <v>3</v>
      </c>
      <c r="H766">
        <v>2</v>
      </c>
      <c r="I766" s="11">
        <v>46231</v>
      </c>
      <c r="J766" s="17">
        <f>IF(Items[[#This Row],[ID]]="","",IFERROR(VALUE(LOOKUP(2,1/((Log[ID]=Items[[#This Row],[ID]])*(Log[Verb]="est")),Log[Arg])),N(Items[[#This Row],[Points]])))</f>
      </c>
      <c r="K766" s="17">
        <f>IF(Items[[#This Row],[ID]]="","",IFERROR(LOOKUP(2,1/((Log[ID]=Items[[#This Row],[ID]])*(Log[Verb]="pass")),Log[Arg])&amp;"",Items[[#This Row],[Team]]&amp;""))</f>
      </c>
      <c r="L766" s="17">
        <f>IF(Items[[#This Row],[ID]]="","",IFERROR(LOOKUP(2,1/((Log[ID]=Items[[#This Row],[ID]])*(Log[Into]&lt;&gt;"")),Log[Into]),""))</f>
      </c>
      <c r="M766" s="17">
        <f>IF(Items[[#This Row],[ID]]="","",IF(IFERROR(LOOKUP(2,1/((Log[ID]=Items[[#This Row],[ID]])*(Log[Blk]&lt;&gt;"")),Log[Blk]),0)=1,"Y",""))</f>
      </c>
      <c r="N766" s="17">
        <f>IF(Items[[#This Row],[ID]]="","",SUBSTITUTE(IFERROR(LOOKUP(2,1/((Log[ID]=Items[[#This Row],[ID]])*(Log[State]&lt;&gt;"")),Log[State]),"TODO"),"OPEN",IF(Items[[#This Row],[Blocked]]="Y","WAIT","OPEN")))</f>
      </c>
      <c r="O76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66" s="17">
        <f>IF(Items[[#This Row],[State]]&lt;&gt;"WAIT","",AsOf-Items[[#This Row],[Blocked since]])</f>
      </c>
      <c r="Q766" s="17">
        <f>IF(Items[[#This Row],[State]]&lt;&gt;"WAIT","",IFERROR(LOOKUP(2,1/((Log[ID]=Items[[#This Row],[ID]])*(Log[Verb]="block")),Log[Note])&amp;"",""))</f>
      </c>
      <c r="R766" s="17">
        <f>IF(Items[[#This Row],[ID]]="","",COUNTIFS(Log[ID],Items[[#This Row],[ID]],Log[Verb],"carry"))</f>
      </c>
      <c r="S766" s="17">
        <f>IF(Items[[#This Row],[ID]]="","",COUNTIFS(Log[ID],Items[[#This Row],[ID]],Log[Verb],"punt"))</f>
      </c>
      <c r="T766" s="11">
        <f>IF(Items[[#This Row],[State]]&lt;&gt;"DONE","",IFERROR(LOOKUP(2,1/((Log[ID]=Items[[#This Row],[ID]])*(Log[Verb]="done")),Log[Date]),""))</f>
      </c>
      <c r="U766" s="17">
        <f>IF(Items[[#This Row],[ID]]="","",IF(AND(Items[[#This Row],[Sprint]]=CurSprint,OR(Items[[#This Row],[State]]="OPEN",Items[[#This Row],[State]]="WAIT",Items[[#This Row],[State]]="HOLD",Items[[#This Row],[State]]="DONE")),1,0))</f>
      </c>
      <c r="V766" s="17">
        <f>IF(OR(Items[[#This Row],[ID]]="",Items[[#This Row],[Added]]=""),"",AsOf-Items[[#This Row],[Added]])</f>
      </c>
      <c r="W766" s="17">
        <f>IF(Items[[#This Row],[In sprint]]=1,(IF(Items[[#This Row],[Prio]]="",9,N(Items[[#This Row],[Prio]]))*10+(IF(Items[[#This Row],[State]]="DONE",1,0)))*100000+ROW(),"")</f>
      </c>
      <c r="X76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66" s="17">
        <f>IF(AND(Items[[#This Row],[State]]="DONE",N(Items[[#This Row],[Done on]])&gt;AsOf-7),(200000-N(Items[[#This Row],[Done on]]))*100000+ROW(),"")</f>
      </c>
    </row>
    <row r="767">
      <c r="A767" t="s">
        <v>950</v>
      </c>
      <c r="B767" t="s">
        <v>1988</v>
      </c>
      <c r="C767" t="s">
        <v>1107</v>
      </c>
      <c r="D767" t="s">
        <v>1108</v>
      </c>
      <c r="E767" t="s">
        <v>1177</v>
      </c>
      <c r="F767" t="s">
        <v>1257</v>
      </c>
      <c r="G767">
        <v>2</v>
      </c>
      <c r="H767">
        <v>3</v>
      </c>
      <c r="I767" s="11">
        <v>46231</v>
      </c>
      <c r="J767" s="17">
        <f>IF(Items[[#This Row],[ID]]="","",IFERROR(VALUE(LOOKUP(2,1/((Log[ID]=Items[[#This Row],[ID]])*(Log[Verb]="est")),Log[Arg])),N(Items[[#This Row],[Points]])))</f>
      </c>
      <c r="K767" s="17">
        <f>IF(Items[[#This Row],[ID]]="","",IFERROR(LOOKUP(2,1/((Log[ID]=Items[[#This Row],[ID]])*(Log[Verb]="pass")),Log[Arg])&amp;"",Items[[#This Row],[Team]]&amp;""))</f>
      </c>
      <c r="L767" s="17">
        <f>IF(Items[[#This Row],[ID]]="","",IFERROR(LOOKUP(2,1/((Log[ID]=Items[[#This Row],[ID]])*(Log[Into]&lt;&gt;"")),Log[Into]),""))</f>
      </c>
      <c r="M767" s="17">
        <f>IF(Items[[#This Row],[ID]]="","",IF(IFERROR(LOOKUP(2,1/((Log[ID]=Items[[#This Row],[ID]])*(Log[Blk]&lt;&gt;"")),Log[Blk]),0)=1,"Y",""))</f>
      </c>
      <c r="N767" s="17">
        <f>IF(Items[[#This Row],[ID]]="","",SUBSTITUTE(IFERROR(LOOKUP(2,1/((Log[ID]=Items[[#This Row],[ID]])*(Log[State]&lt;&gt;"")),Log[State]),"TODO"),"OPEN",IF(Items[[#This Row],[Blocked]]="Y","WAIT","OPEN")))</f>
      </c>
      <c r="O76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67" s="17">
        <f>IF(Items[[#This Row],[State]]&lt;&gt;"WAIT","",AsOf-Items[[#This Row],[Blocked since]])</f>
      </c>
      <c r="Q767" s="17">
        <f>IF(Items[[#This Row],[State]]&lt;&gt;"WAIT","",IFERROR(LOOKUP(2,1/((Log[ID]=Items[[#This Row],[ID]])*(Log[Verb]="block")),Log[Note])&amp;"",""))</f>
      </c>
      <c r="R767" s="17">
        <f>IF(Items[[#This Row],[ID]]="","",COUNTIFS(Log[ID],Items[[#This Row],[ID]],Log[Verb],"carry"))</f>
      </c>
      <c r="S767" s="17">
        <f>IF(Items[[#This Row],[ID]]="","",COUNTIFS(Log[ID],Items[[#This Row],[ID]],Log[Verb],"punt"))</f>
      </c>
      <c r="T767" s="11">
        <f>IF(Items[[#This Row],[State]]&lt;&gt;"DONE","",IFERROR(LOOKUP(2,1/((Log[ID]=Items[[#This Row],[ID]])*(Log[Verb]="done")),Log[Date]),""))</f>
      </c>
      <c r="U767" s="17">
        <f>IF(Items[[#This Row],[ID]]="","",IF(AND(Items[[#This Row],[Sprint]]=CurSprint,OR(Items[[#This Row],[State]]="OPEN",Items[[#This Row],[State]]="WAIT",Items[[#This Row],[State]]="HOLD",Items[[#This Row],[State]]="DONE")),1,0))</f>
      </c>
      <c r="V767" s="17">
        <f>IF(OR(Items[[#This Row],[ID]]="",Items[[#This Row],[Added]]=""),"",AsOf-Items[[#This Row],[Added]])</f>
      </c>
      <c r="W767" s="17">
        <f>IF(Items[[#This Row],[In sprint]]=1,(IF(Items[[#This Row],[Prio]]="",9,N(Items[[#This Row],[Prio]]))*10+(IF(Items[[#This Row],[State]]="DONE",1,0)))*100000+ROW(),"")</f>
      </c>
      <c r="X76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67" s="17">
        <f>IF(AND(Items[[#This Row],[State]]="DONE",N(Items[[#This Row],[Done on]])&gt;AsOf-7),(200000-N(Items[[#This Row],[Done on]]))*100000+ROW(),"")</f>
      </c>
    </row>
    <row r="768">
      <c r="A768" t="s">
        <v>1009</v>
      </c>
      <c r="B768" t="s">
        <v>1989</v>
      </c>
      <c r="C768" t="s">
        <v>1107</v>
      </c>
      <c r="D768" t="s">
        <v>1123</v>
      </c>
      <c r="E768" t="s">
        <v>1177</v>
      </c>
      <c r="F768" t="s">
        <v>1259</v>
      </c>
      <c r="G768">
        <v>8</v>
      </c>
      <c r="H768">
        <v>3</v>
      </c>
      <c r="I768" s="11">
        <v>46231</v>
      </c>
      <c r="J768" s="17">
        <f>IF(Items[[#This Row],[ID]]="","",IFERROR(VALUE(LOOKUP(2,1/((Log[ID]=Items[[#This Row],[ID]])*(Log[Verb]="est")),Log[Arg])),N(Items[[#This Row],[Points]])))</f>
      </c>
      <c r="K768" s="17">
        <f>IF(Items[[#This Row],[ID]]="","",IFERROR(LOOKUP(2,1/((Log[ID]=Items[[#This Row],[ID]])*(Log[Verb]="pass")),Log[Arg])&amp;"",Items[[#This Row],[Team]]&amp;""))</f>
      </c>
      <c r="L768" s="17">
        <f>IF(Items[[#This Row],[ID]]="","",IFERROR(LOOKUP(2,1/((Log[ID]=Items[[#This Row],[ID]])*(Log[Into]&lt;&gt;"")),Log[Into]),""))</f>
      </c>
      <c r="M768" s="17">
        <f>IF(Items[[#This Row],[ID]]="","",IF(IFERROR(LOOKUP(2,1/((Log[ID]=Items[[#This Row],[ID]])*(Log[Blk]&lt;&gt;"")),Log[Blk]),0)=1,"Y",""))</f>
      </c>
      <c r="N768" s="17">
        <f>IF(Items[[#This Row],[ID]]="","",SUBSTITUTE(IFERROR(LOOKUP(2,1/((Log[ID]=Items[[#This Row],[ID]])*(Log[State]&lt;&gt;"")),Log[State]),"TODO"),"OPEN",IF(Items[[#This Row],[Blocked]]="Y","WAIT","OPEN")))</f>
      </c>
      <c r="O76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68" s="17">
        <f>IF(Items[[#This Row],[State]]&lt;&gt;"WAIT","",AsOf-Items[[#This Row],[Blocked since]])</f>
      </c>
      <c r="Q768" s="17">
        <f>IF(Items[[#This Row],[State]]&lt;&gt;"WAIT","",IFERROR(LOOKUP(2,1/((Log[ID]=Items[[#This Row],[ID]])*(Log[Verb]="block")),Log[Note])&amp;"",""))</f>
      </c>
      <c r="R768" s="17">
        <f>IF(Items[[#This Row],[ID]]="","",COUNTIFS(Log[ID],Items[[#This Row],[ID]],Log[Verb],"carry"))</f>
      </c>
      <c r="S768" s="17">
        <f>IF(Items[[#This Row],[ID]]="","",COUNTIFS(Log[ID],Items[[#This Row],[ID]],Log[Verb],"punt"))</f>
      </c>
      <c r="T768" s="11">
        <f>IF(Items[[#This Row],[State]]&lt;&gt;"DONE","",IFERROR(LOOKUP(2,1/((Log[ID]=Items[[#This Row],[ID]])*(Log[Verb]="done")),Log[Date]),""))</f>
      </c>
      <c r="U768" s="17">
        <f>IF(Items[[#This Row],[ID]]="","",IF(AND(Items[[#This Row],[Sprint]]=CurSprint,OR(Items[[#This Row],[State]]="OPEN",Items[[#This Row],[State]]="WAIT",Items[[#This Row],[State]]="HOLD",Items[[#This Row],[State]]="DONE")),1,0))</f>
      </c>
      <c r="V768" s="17">
        <f>IF(OR(Items[[#This Row],[ID]]="",Items[[#This Row],[Added]]=""),"",AsOf-Items[[#This Row],[Added]])</f>
      </c>
      <c r="W768" s="17">
        <f>IF(Items[[#This Row],[In sprint]]=1,(IF(Items[[#This Row],[Prio]]="",9,N(Items[[#This Row],[Prio]]))*10+(IF(Items[[#This Row],[State]]="DONE",1,0)))*100000+ROW(),"")</f>
      </c>
      <c r="X76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68" s="17">
        <f>IF(AND(Items[[#This Row],[State]]="DONE",N(Items[[#This Row],[Done on]])&gt;AsOf-7),(200000-N(Items[[#This Row],[Done on]]))*100000+ROW(),"")</f>
      </c>
    </row>
    <row r="769">
      <c r="A769" t="s">
        <v>893</v>
      </c>
      <c r="B769" t="s">
        <v>1990</v>
      </c>
      <c r="C769" t="s">
        <v>1115</v>
      </c>
      <c r="D769" t="s">
        <v>1116</v>
      </c>
      <c r="E769" t="s">
        <v>1112</v>
      </c>
      <c r="F769" t="s">
        <v>1265</v>
      </c>
      <c r="G769">
        <v>3</v>
      </c>
      <c r="H769">
        <v>2</v>
      </c>
      <c r="I769" s="11">
        <v>46245</v>
      </c>
      <c r="J769" s="17">
        <f>IF(Items[[#This Row],[ID]]="","",IFERROR(VALUE(LOOKUP(2,1/((Log[ID]=Items[[#This Row],[ID]])*(Log[Verb]="est")),Log[Arg])),N(Items[[#This Row],[Points]])))</f>
      </c>
      <c r="K769" s="17">
        <f>IF(Items[[#This Row],[ID]]="","",IFERROR(LOOKUP(2,1/((Log[ID]=Items[[#This Row],[ID]])*(Log[Verb]="pass")),Log[Arg])&amp;"",Items[[#This Row],[Team]]&amp;""))</f>
      </c>
      <c r="L769" s="17">
        <f>IF(Items[[#This Row],[ID]]="","",IFERROR(LOOKUP(2,1/((Log[ID]=Items[[#This Row],[ID]])*(Log[Into]&lt;&gt;"")),Log[Into]),""))</f>
      </c>
      <c r="M769" s="17">
        <f>IF(Items[[#This Row],[ID]]="","",IF(IFERROR(LOOKUP(2,1/((Log[ID]=Items[[#This Row],[ID]])*(Log[Blk]&lt;&gt;"")),Log[Blk]),0)=1,"Y",""))</f>
      </c>
      <c r="N769" s="17">
        <f>IF(Items[[#This Row],[ID]]="","",SUBSTITUTE(IFERROR(LOOKUP(2,1/((Log[ID]=Items[[#This Row],[ID]])*(Log[State]&lt;&gt;"")),Log[State]),"TODO"),"OPEN",IF(Items[[#This Row],[Blocked]]="Y","WAIT","OPEN")))</f>
      </c>
      <c r="O76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69" s="17">
        <f>IF(Items[[#This Row],[State]]&lt;&gt;"WAIT","",AsOf-Items[[#This Row],[Blocked since]])</f>
      </c>
      <c r="Q769" s="17">
        <f>IF(Items[[#This Row],[State]]&lt;&gt;"WAIT","",IFERROR(LOOKUP(2,1/((Log[ID]=Items[[#This Row],[ID]])*(Log[Verb]="block")),Log[Note])&amp;"",""))</f>
      </c>
      <c r="R769" s="17">
        <f>IF(Items[[#This Row],[ID]]="","",COUNTIFS(Log[ID],Items[[#This Row],[ID]],Log[Verb],"carry"))</f>
      </c>
      <c r="S769" s="17">
        <f>IF(Items[[#This Row],[ID]]="","",COUNTIFS(Log[ID],Items[[#This Row],[ID]],Log[Verb],"punt"))</f>
      </c>
      <c r="T769" s="11">
        <f>IF(Items[[#This Row],[State]]&lt;&gt;"DONE","",IFERROR(LOOKUP(2,1/((Log[ID]=Items[[#This Row],[ID]])*(Log[Verb]="done")),Log[Date]),""))</f>
      </c>
      <c r="U769" s="17">
        <f>IF(Items[[#This Row],[ID]]="","",IF(AND(Items[[#This Row],[Sprint]]=CurSprint,OR(Items[[#This Row],[State]]="OPEN",Items[[#This Row],[State]]="WAIT",Items[[#This Row],[State]]="HOLD",Items[[#This Row],[State]]="DONE")),1,0))</f>
      </c>
      <c r="V769" s="17">
        <f>IF(OR(Items[[#This Row],[ID]]="",Items[[#This Row],[Added]]=""),"",AsOf-Items[[#This Row],[Added]])</f>
      </c>
      <c r="W769" s="17">
        <f>IF(Items[[#This Row],[In sprint]]=1,(IF(Items[[#This Row],[Prio]]="",9,N(Items[[#This Row],[Prio]]))*10+(IF(Items[[#This Row],[State]]="DONE",1,0)))*100000+ROW(),"")</f>
      </c>
      <c r="X76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69" s="17">
        <f>IF(AND(Items[[#This Row],[State]]="DONE",N(Items[[#This Row],[Done on]])&gt;AsOf-7),(200000-N(Items[[#This Row],[Done on]]))*100000+ROW(),"")</f>
      </c>
    </row>
    <row r="770">
      <c r="A770" t="s">
        <v>894</v>
      </c>
      <c r="B770" t="s">
        <v>1991</v>
      </c>
      <c r="C770" t="s">
        <v>1115</v>
      </c>
      <c r="D770" t="s">
        <v>1116</v>
      </c>
      <c r="E770" t="s">
        <v>1112</v>
      </c>
      <c r="F770" t="s">
        <v>1184</v>
      </c>
      <c r="G770">
        <v>2</v>
      </c>
      <c r="H770">
        <v>2</v>
      </c>
      <c r="I770" s="11">
        <v>46245</v>
      </c>
      <c r="J770" s="17">
        <f>IF(Items[[#This Row],[ID]]="","",IFERROR(VALUE(LOOKUP(2,1/((Log[ID]=Items[[#This Row],[ID]])*(Log[Verb]="est")),Log[Arg])),N(Items[[#This Row],[Points]])))</f>
      </c>
      <c r="K770" s="17">
        <f>IF(Items[[#This Row],[ID]]="","",IFERROR(LOOKUP(2,1/((Log[ID]=Items[[#This Row],[ID]])*(Log[Verb]="pass")),Log[Arg])&amp;"",Items[[#This Row],[Team]]&amp;""))</f>
      </c>
      <c r="L770" s="17">
        <f>IF(Items[[#This Row],[ID]]="","",IFERROR(LOOKUP(2,1/((Log[ID]=Items[[#This Row],[ID]])*(Log[Into]&lt;&gt;"")),Log[Into]),""))</f>
      </c>
      <c r="M770" s="17">
        <f>IF(Items[[#This Row],[ID]]="","",IF(IFERROR(LOOKUP(2,1/((Log[ID]=Items[[#This Row],[ID]])*(Log[Blk]&lt;&gt;"")),Log[Blk]),0)=1,"Y",""))</f>
      </c>
      <c r="N770" s="17">
        <f>IF(Items[[#This Row],[ID]]="","",SUBSTITUTE(IFERROR(LOOKUP(2,1/((Log[ID]=Items[[#This Row],[ID]])*(Log[State]&lt;&gt;"")),Log[State]),"TODO"),"OPEN",IF(Items[[#This Row],[Blocked]]="Y","WAIT","OPEN")))</f>
      </c>
      <c r="O77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70" s="17">
        <f>IF(Items[[#This Row],[State]]&lt;&gt;"WAIT","",AsOf-Items[[#This Row],[Blocked since]])</f>
      </c>
      <c r="Q770" s="17">
        <f>IF(Items[[#This Row],[State]]&lt;&gt;"WAIT","",IFERROR(LOOKUP(2,1/((Log[ID]=Items[[#This Row],[ID]])*(Log[Verb]="block")),Log[Note])&amp;"",""))</f>
      </c>
      <c r="R770" s="17">
        <f>IF(Items[[#This Row],[ID]]="","",COUNTIFS(Log[ID],Items[[#This Row],[ID]],Log[Verb],"carry"))</f>
      </c>
      <c r="S770" s="17">
        <f>IF(Items[[#This Row],[ID]]="","",COUNTIFS(Log[ID],Items[[#This Row],[ID]],Log[Verb],"punt"))</f>
      </c>
      <c r="T770" s="11">
        <f>IF(Items[[#This Row],[State]]&lt;&gt;"DONE","",IFERROR(LOOKUP(2,1/((Log[ID]=Items[[#This Row],[ID]])*(Log[Verb]="done")),Log[Date]),""))</f>
      </c>
      <c r="U770" s="17">
        <f>IF(Items[[#This Row],[ID]]="","",IF(AND(Items[[#This Row],[Sprint]]=CurSprint,OR(Items[[#This Row],[State]]="OPEN",Items[[#This Row],[State]]="WAIT",Items[[#This Row],[State]]="HOLD",Items[[#This Row],[State]]="DONE")),1,0))</f>
      </c>
      <c r="V770" s="17">
        <f>IF(OR(Items[[#This Row],[ID]]="",Items[[#This Row],[Added]]=""),"",AsOf-Items[[#This Row],[Added]])</f>
      </c>
      <c r="W770" s="17">
        <f>IF(Items[[#This Row],[In sprint]]=1,(IF(Items[[#This Row],[Prio]]="",9,N(Items[[#This Row],[Prio]]))*10+(IF(Items[[#This Row],[State]]="DONE",1,0)))*100000+ROW(),"")</f>
      </c>
      <c r="X77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70" s="17">
        <f>IF(AND(Items[[#This Row],[State]]="DONE",N(Items[[#This Row],[Done on]])&gt;AsOf-7),(200000-N(Items[[#This Row],[Done on]]))*100000+ROW(),"")</f>
      </c>
    </row>
    <row r="771">
      <c r="A771" t="s">
        <v>895</v>
      </c>
      <c r="B771" t="s">
        <v>1992</v>
      </c>
      <c r="C771" t="s">
        <v>1107</v>
      </c>
      <c r="D771" t="s">
        <v>1127</v>
      </c>
      <c r="E771" t="s">
        <v>1112</v>
      </c>
      <c r="F771" t="s">
        <v>1149</v>
      </c>
      <c r="G771">
        <v>8</v>
      </c>
      <c r="H771">
        <v>2</v>
      </c>
      <c r="I771" s="11">
        <v>46245</v>
      </c>
      <c r="J771" s="17">
        <f>IF(Items[[#This Row],[ID]]="","",IFERROR(VALUE(LOOKUP(2,1/((Log[ID]=Items[[#This Row],[ID]])*(Log[Verb]="est")),Log[Arg])),N(Items[[#This Row],[Points]])))</f>
      </c>
      <c r="K771" s="17">
        <f>IF(Items[[#This Row],[ID]]="","",IFERROR(LOOKUP(2,1/((Log[ID]=Items[[#This Row],[ID]])*(Log[Verb]="pass")),Log[Arg])&amp;"",Items[[#This Row],[Team]]&amp;""))</f>
      </c>
      <c r="L771" s="17">
        <f>IF(Items[[#This Row],[ID]]="","",IFERROR(LOOKUP(2,1/((Log[ID]=Items[[#This Row],[ID]])*(Log[Into]&lt;&gt;"")),Log[Into]),""))</f>
      </c>
      <c r="M771" s="17">
        <f>IF(Items[[#This Row],[ID]]="","",IF(IFERROR(LOOKUP(2,1/((Log[ID]=Items[[#This Row],[ID]])*(Log[Blk]&lt;&gt;"")),Log[Blk]),0)=1,"Y",""))</f>
      </c>
      <c r="N771" s="17">
        <f>IF(Items[[#This Row],[ID]]="","",SUBSTITUTE(IFERROR(LOOKUP(2,1/((Log[ID]=Items[[#This Row],[ID]])*(Log[State]&lt;&gt;"")),Log[State]),"TODO"),"OPEN",IF(Items[[#This Row],[Blocked]]="Y","WAIT","OPEN")))</f>
      </c>
      <c r="O77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71" s="17">
        <f>IF(Items[[#This Row],[State]]&lt;&gt;"WAIT","",AsOf-Items[[#This Row],[Blocked since]])</f>
      </c>
      <c r="Q771" s="17">
        <f>IF(Items[[#This Row],[State]]&lt;&gt;"WAIT","",IFERROR(LOOKUP(2,1/((Log[ID]=Items[[#This Row],[ID]])*(Log[Verb]="block")),Log[Note])&amp;"",""))</f>
      </c>
      <c r="R771" s="17">
        <f>IF(Items[[#This Row],[ID]]="","",COUNTIFS(Log[ID],Items[[#This Row],[ID]],Log[Verb],"carry"))</f>
      </c>
      <c r="S771" s="17">
        <f>IF(Items[[#This Row],[ID]]="","",COUNTIFS(Log[ID],Items[[#This Row],[ID]],Log[Verb],"punt"))</f>
      </c>
      <c r="T771" s="11">
        <f>IF(Items[[#This Row],[State]]&lt;&gt;"DONE","",IFERROR(LOOKUP(2,1/((Log[ID]=Items[[#This Row],[ID]])*(Log[Verb]="done")),Log[Date]),""))</f>
      </c>
      <c r="U771" s="17">
        <f>IF(Items[[#This Row],[ID]]="","",IF(AND(Items[[#This Row],[Sprint]]=CurSprint,OR(Items[[#This Row],[State]]="OPEN",Items[[#This Row],[State]]="WAIT",Items[[#This Row],[State]]="HOLD",Items[[#This Row],[State]]="DONE")),1,0))</f>
      </c>
      <c r="V771" s="17">
        <f>IF(OR(Items[[#This Row],[ID]]="",Items[[#This Row],[Added]]=""),"",AsOf-Items[[#This Row],[Added]])</f>
      </c>
      <c r="W771" s="17">
        <f>IF(Items[[#This Row],[In sprint]]=1,(IF(Items[[#This Row],[Prio]]="",9,N(Items[[#This Row],[Prio]]))*10+(IF(Items[[#This Row],[State]]="DONE",1,0)))*100000+ROW(),"")</f>
      </c>
      <c r="X77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71" s="17">
        <f>IF(AND(Items[[#This Row],[State]]="DONE",N(Items[[#This Row],[Done on]])&gt;AsOf-7),(200000-N(Items[[#This Row],[Done on]]))*100000+ROW(),"")</f>
      </c>
    </row>
    <row r="772">
      <c r="A772" t="s">
        <v>896</v>
      </c>
      <c r="B772" t="s">
        <v>1993</v>
      </c>
      <c r="C772" t="s">
        <v>1115</v>
      </c>
      <c r="D772" t="s">
        <v>1116</v>
      </c>
      <c r="E772" t="s">
        <v>1112</v>
      </c>
      <c r="F772" t="s">
        <v>1113</v>
      </c>
      <c r="G772">
        <v>3</v>
      </c>
      <c r="H772">
        <v>3</v>
      </c>
      <c r="I772" s="11">
        <v>46245</v>
      </c>
      <c r="J772" s="17">
        <f>IF(Items[[#This Row],[ID]]="","",IFERROR(VALUE(LOOKUP(2,1/((Log[ID]=Items[[#This Row],[ID]])*(Log[Verb]="est")),Log[Arg])),N(Items[[#This Row],[Points]])))</f>
      </c>
      <c r="K772" s="17">
        <f>IF(Items[[#This Row],[ID]]="","",IFERROR(LOOKUP(2,1/((Log[ID]=Items[[#This Row],[ID]])*(Log[Verb]="pass")),Log[Arg])&amp;"",Items[[#This Row],[Team]]&amp;""))</f>
      </c>
      <c r="L772" s="17">
        <f>IF(Items[[#This Row],[ID]]="","",IFERROR(LOOKUP(2,1/((Log[ID]=Items[[#This Row],[ID]])*(Log[Into]&lt;&gt;"")),Log[Into]),""))</f>
      </c>
      <c r="M772" s="17">
        <f>IF(Items[[#This Row],[ID]]="","",IF(IFERROR(LOOKUP(2,1/((Log[ID]=Items[[#This Row],[ID]])*(Log[Blk]&lt;&gt;"")),Log[Blk]),0)=1,"Y",""))</f>
      </c>
      <c r="N772" s="17">
        <f>IF(Items[[#This Row],[ID]]="","",SUBSTITUTE(IFERROR(LOOKUP(2,1/((Log[ID]=Items[[#This Row],[ID]])*(Log[State]&lt;&gt;"")),Log[State]),"TODO"),"OPEN",IF(Items[[#This Row],[Blocked]]="Y","WAIT","OPEN")))</f>
      </c>
      <c r="O77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72" s="17">
        <f>IF(Items[[#This Row],[State]]&lt;&gt;"WAIT","",AsOf-Items[[#This Row],[Blocked since]])</f>
      </c>
      <c r="Q772" s="17">
        <f>IF(Items[[#This Row],[State]]&lt;&gt;"WAIT","",IFERROR(LOOKUP(2,1/((Log[ID]=Items[[#This Row],[ID]])*(Log[Verb]="block")),Log[Note])&amp;"",""))</f>
      </c>
      <c r="R772" s="17">
        <f>IF(Items[[#This Row],[ID]]="","",COUNTIFS(Log[ID],Items[[#This Row],[ID]],Log[Verb],"carry"))</f>
      </c>
      <c r="S772" s="17">
        <f>IF(Items[[#This Row],[ID]]="","",COUNTIFS(Log[ID],Items[[#This Row],[ID]],Log[Verb],"punt"))</f>
      </c>
      <c r="T772" s="11">
        <f>IF(Items[[#This Row],[State]]&lt;&gt;"DONE","",IFERROR(LOOKUP(2,1/((Log[ID]=Items[[#This Row],[ID]])*(Log[Verb]="done")),Log[Date]),""))</f>
      </c>
      <c r="U772" s="17">
        <f>IF(Items[[#This Row],[ID]]="","",IF(AND(Items[[#This Row],[Sprint]]=CurSprint,OR(Items[[#This Row],[State]]="OPEN",Items[[#This Row],[State]]="WAIT",Items[[#This Row],[State]]="HOLD",Items[[#This Row],[State]]="DONE")),1,0))</f>
      </c>
      <c r="V772" s="17">
        <f>IF(OR(Items[[#This Row],[ID]]="",Items[[#This Row],[Added]]=""),"",AsOf-Items[[#This Row],[Added]])</f>
      </c>
      <c r="W772" s="17">
        <f>IF(Items[[#This Row],[In sprint]]=1,(IF(Items[[#This Row],[Prio]]="",9,N(Items[[#This Row],[Prio]]))*10+(IF(Items[[#This Row],[State]]="DONE",1,0)))*100000+ROW(),"")</f>
      </c>
      <c r="X77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72" s="17">
        <f>IF(AND(Items[[#This Row],[State]]="DONE",N(Items[[#This Row],[Done on]])&gt;AsOf-7),(200000-N(Items[[#This Row],[Done on]]))*100000+ROW(),"")</f>
      </c>
    </row>
    <row r="773">
      <c r="A773" t="s">
        <v>953</v>
      </c>
      <c r="B773" t="s">
        <v>1994</v>
      </c>
      <c r="C773" t="s">
        <v>1107</v>
      </c>
      <c r="D773" t="s">
        <v>1123</v>
      </c>
      <c r="E773" t="s">
        <v>1112</v>
      </c>
      <c r="F773" t="s">
        <v>1147</v>
      </c>
      <c r="G773">
        <v>5</v>
      </c>
      <c r="H773">
        <v>2</v>
      </c>
      <c r="I773" s="11">
        <v>46245</v>
      </c>
      <c r="J773" s="17">
        <f>IF(Items[[#This Row],[ID]]="","",IFERROR(VALUE(LOOKUP(2,1/((Log[ID]=Items[[#This Row],[ID]])*(Log[Verb]="est")),Log[Arg])),N(Items[[#This Row],[Points]])))</f>
      </c>
      <c r="K773" s="17">
        <f>IF(Items[[#This Row],[ID]]="","",IFERROR(LOOKUP(2,1/((Log[ID]=Items[[#This Row],[ID]])*(Log[Verb]="pass")),Log[Arg])&amp;"",Items[[#This Row],[Team]]&amp;""))</f>
      </c>
      <c r="L773" s="17">
        <f>IF(Items[[#This Row],[ID]]="","",IFERROR(LOOKUP(2,1/((Log[ID]=Items[[#This Row],[ID]])*(Log[Into]&lt;&gt;"")),Log[Into]),""))</f>
      </c>
      <c r="M773" s="17">
        <f>IF(Items[[#This Row],[ID]]="","",IF(IFERROR(LOOKUP(2,1/((Log[ID]=Items[[#This Row],[ID]])*(Log[Blk]&lt;&gt;"")),Log[Blk]),0)=1,"Y",""))</f>
      </c>
      <c r="N773" s="17">
        <f>IF(Items[[#This Row],[ID]]="","",SUBSTITUTE(IFERROR(LOOKUP(2,1/((Log[ID]=Items[[#This Row],[ID]])*(Log[State]&lt;&gt;"")),Log[State]),"TODO"),"OPEN",IF(Items[[#This Row],[Blocked]]="Y","WAIT","OPEN")))</f>
      </c>
      <c r="O77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73" s="17">
        <f>IF(Items[[#This Row],[State]]&lt;&gt;"WAIT","",AsOf-Items[[#This Row],[Blocked since]])</f>
      </c>
      <c r="Q773" s="17">
        <f>IF(Items[[#This Row],[State]]&lt;&gt;"WAIT","",IFERROR(LOOKUP(2,1/((Log[ID]=Items[[#This Row],[ID]])*(Log[Verb]="block")),Log[Note])&amp;"",""))</f>
      </c>
      <c r="R773" s="17">
        <f>IF(Items[[#This Row],[ID]]="","",COUNTIFS(Log[ID],Items[[#This Row],[ID]],Log[Verb],"carry"))</f>
      </c>
      <c r="S773" s="17">
        <f>IF(Items[[#This Row],[ID]]="","",COUNTIFS(Log[ID],Items[[#This Row],[ID]],Log[Verb],"punt"))</f>
      </c>
      <c r="T773" s="11">
        <f>IF(Items[[#This Row],[State]]&lt;&gt;"DONE","",IFERROR(LOOKUP(2,1/((Log[ID]=Items[[#This Row],[ID]])*(Log[Verb]="done")),Log[Date]),""))</f>
      </c>
      <c r="U773" s="17">
        <f>IF(Items[[#This Row],[ID]]="","",IF(AND(Items[[#This Row],[Sprint]]=CurSprint,OR(Items[[#This Row],[State]]="OPEN",Items[[#This Row],[State]]="WAIT",Items[[#This Row],[State]]="HOLD",Items[[#This Row],[State]]="DONE")),1,0))</f>
      </c>
      <c r="V773" s="17">
        <f>IF(OR(Items[[#This Row],[ID]]="",Items[[#This Row],[Added]]=""),"",AsOf-Items[[#This Row],[Added]])</f>
      </c>
      <c r="W773" s="17">
        <f>IF(Items[[#This Row],[In sprint]]=1,(IF(Items[[#This Row],[Prio]]="",9,N(Items[[#This Row],[Prio]]))*10+(IF(Items[[#This Row],[State]]="DONE",1,0)))*100000+ROW(),"")</f>
      </c>
      <c r="X77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73" s="17">
        <f>IF(AND(Items[[#This Row],[State]]="DONE",N(Items[[#This Row],[Done on]])&gt;AsOf-7),(200000-N(Items[[#This Row],[Done on]]))*100000+ROW(),"")</f>
      </c>
    </row>
    <row r="774">
      <c r="A774" t="s">
        <v>954</v>
      </c>
      <c r="B774" t="s">
        <v>1995</v>
      </c>
      <c r="C774" t="s">
        <v>1107</v>
      </c>
      <c r="D774" t="s">
        <v>1108</v>
      </c>
      <c r="E774" t="s">
        <v>1112</v>
      </c>
      <c r="F774" t="s">
        <v>1412</v>
      </c>
      <c r="G774">
        <v>2</v>
      </c>
      <c r="H774">
        <v>3</v>
      </c>
      <c r="I774" s="11">
        <v>46245</v>
      </c>
      <c r="J774" s="17">
        <f>IF(Items[[#This Row],[ID]]="","",IFERROR(VALUE(LOOKUP(2,1/((Log[ID]=Items[[#This Row],[ID]])*(Log[Verb]="est")),Log[Arg])),N(Items[[#This Row],[Points]])))</f>
      </c>
      <c r="K774" s="17">
        <f>IF(Items[[#This Row],[ID]]="","",IFERROR(LOOKUP(2,1/((Log[ID]=Items[[#This Row],[ID]])*(Log[Verb]="pass")),Log[Arg])&amp;"",Items[[#This Row],[Team]]&amp;""))</f>
      </c>
      <c r="L774" s="17">
        <f>IF(Items[[#This Row],[ID]]="","",IFERROR(LOOKUP(2,1/((Log[ID]=Items[[#This Row],[ID]])*(Log[Into]&lt;&gt;"")),Log[Into]),""))</f>
      </c>
      <c r="M774" s="17">
        <f>IF(Items[[#This Row],[ID]]="","",IF(IFERROR(LOOKUP(2,1/((Log[ID]=Items[[#This Row],[ID]])*(Log[Blk]&lt;&gt;"")),Log[Blk]),0)=1,"Y",""))</f>
      </c>
      <c r="N774" s="17">
        <f>IF(Items[[#This Row],[ID]]="","",SUBSTITUTE(IFERROR(LOOKUP(2,1/((Log[ID]=Items[[#This Row],[ID]])*(Log[State]&lt;&gt;"")),Log[State]),"TODO"),"OPEN",IF(Items[[#This Row],[Blocked]]="Y","WAIT","OPEN")))</f>
      </c>
      <c r="O77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74" s="17">
        <f>IF(Items[[#This Row],[State]]&lt;&gt;"WAIT","",AsOf-Items[[#This Row],[Blocked since]])</f>
      </c>
      <c r="Q774" s="17">
        <f>IF(Items[[#This Row],[State]]&lt;&gt;"WAIT","",IFERROR(LOOKUP(2,1/((Log[ID]=Items[[#This Row],[ID]])*(Log[Verb]="block")),Log[Note])&amp;"",""))</f>
      </c>
      <c r="R774" s="17">
        <f>IF(Items[[#This Row],[ID]]="","",COUNTIFS(Log[ID],Items[[#This Row],[ID]],Log[Verb],"carry"))</f>
      </c>
      <c r="S774" s="17">
        <f>IF(Items[[#This Row],[ID]]="","",COUNTIFS(Log[ID],Items[[#This Row],[ID]],Log[Verb],"punt"))</f>
      </c>
      <c r="T774" s="11">
        <f>IF(Items[[#This Row],[State]]&lt;&gt;"DONE","",IFERROR(LOOKUP(2,1/((Log[ID]=Items[[#This Row],[ID]])*(Log[Verb]="done")),Log[Date]),""))</f>
      </c>
      <c r="U774" s="17">
        <f>IF(Items[[#This Row],[ID]]="","",IF(AND(Items[[#This Row],[Sprint]]=CurSprint,OR(Items[[#This Row],[State]]="OPEN",Items[[#This Row],[State]]="WAIT",Items[[#This Row],[State]]="HOLD",Items[[#This Row],[State]]="DONE")),1,0))</f>
      </c>
      <c r="V774" s="17">
        <f>IF(OR(Items[[#This Row],[ID]]="",Items[[#This Row],[Added]]=""),"",AsOf-Items[[#This Row],[Added]])</f>
      </c>
      <c r="W774" s="17">
        <f>IF(Items[[#This Row],[In sprint]]=1,(IF(Items[[#This Row],[Prio]]="",9,N(Items[[#This Row],[Prio]]))*10+(IF(Items[[#This Row],[State]]="DONE",1,0)))*100000+ROW(),"")</f>
      </c>
      <c r="X77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74" s="17">
        <f>IF(AND(Items[[#This Row],[State]]="DONE",N(Items[[#This Row],[Done on]])&gt;AsOf-7),(200000-N(Items[[#This Row],[Done on]]))*100000+ROW(),"")</f>
      </c>
    </row>
    <row r="775">
      <c r="A775" t="s">
        <v>955</v>
      </c>
      <c r="B775" t="s">
        <v>1996</v>
      </c>
      <c r="C775" t="s">
        <v>1107</v>
      </c>
      <c r="D775" t="s">
        <v>1127</v>
      </c>
      <c r="E775" t="s">
        <v>1112</v>
      </c>
      <c r="F775" t="s">
        <v>1412</v>
      </c>
      <c r="G775">
        <v>5</v>
      </c>
      <c r="H775">
        <v>2</v>
      </c>
      <c r="I775" s="11">
        <v>46245</v>
      </c>
      <c r="J775" s="17">
        <f>IF(Items[[#This Row],[ID]]="","",IFERROR(VALUE(LOOKUP(2,1/((Log[ID]=Items[[#This Row],[ID]])*(Log[Verb]="est")),Log[Arg])),N(Items[[#This Row],[Points]])))</f>
      </c>
      <c r="K775" s="17">
        <f>IF(Items[[#This Row],[ID]]="","",IFERROR(LOOKUP(2,1/((Log[ID]=Items[[#This Row],[ID]])*(Log[Verb]="pass")),Log[Arg])&amp;"",Items[[#This Row],[Team]]&amp;""))</f>
      </c>
      <c r="L775" s="17">
        <f>IF(Items[[#This Row],[ID]]="","",IFERROR(LOOKUP(2,1/((Log[ID]=Items[[#This Row],[ID]])*(Log[Into]&lt;&gt;"")),Log[Into]),""))</f>
      </c>
      <c r="M775" s="17">
        <f>IF(Items[[#This Row],[ID]]="","",IF(IFERROR(LOOKUP(2,1/((Log[ID]=Items[[#This Row],[ID]])*(Log[Blk]&lt;&gt;"")),Log[Blk]),0)=1,"Y",""))</f>
      </c>
      <c r="N775" s="17">
        <f>IF(Items[[#This Row],[ID]]="","",SUBSTITUTE(IFERROR(LOOKUP(2,1/((Log[ID]=Items[[#This Row],[ID]])*(Log[State]&lt;&gt;"")),Log[State]),"TODO"),"OPEN",IF(Items[[#This Row],[Blocked]]="Y","WAIT","OPEN")))</f>
      </c>
      <c r="O77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75" s="17">
        <f>IF(Items[[#This Row],[State]]&lt;&gt;"WAIT","",AsOf-Items[[#This Row],[Blocked since]])</f>
      </c>
      <c r="Q775" s="17">
        <f>IF(Items[[#This Row],[State]]&lt;&gt;"WAIT","",IFERROR(LOOKUP(2,1/((Log[ID]=Items[[#This Row],[ID]])*(Log[Verb]="block")),Log[Note])&amp;"",""))</f>
      </c>
      <c r="R775" s="17">
        <f>IF(Items[[#This Row],[ID]]="","",COUNTIFS(Log[ID],Items[[#This Row],[ID]],Log[Verb],"carry"))</f>
      </c>
      <c r="S775" s="17">
        <f>IF(Items[[#This Row],[ID]]="","",COUNTIFS(Log[ID],Items[[#This Row],[ID]],Log[Verb],"punt"))</f>
      </c>
      <c r="T775" s="11">
        <f>IF(Items[[#This Row],[State]]&lt;&gt;"DONE","",IFERROR(LOOKUP(2,1/((Log[ID]=Items[[#This Row],[ID]])*(Log[Verb]="done")),Log[Date]),""))</f>
      </c>
      <c r="U775" s="17">
        <f>IF(Items[[#This Row],[ID]]="","",IF(AND(Items[[#This Row],[Sprint]]=CurSprint,OR(Items[[#This Row],[State]]="OPEN",Items[[#This Row],[State]]="WAIT",Items[[#This Row],[State]]="HOLD",Items[[#This Row],[State]]="DONE")),1,0))</f>
      </c>
      <c r="V775" s="17">
        <f>IF(OR(Items[[#This Row],[ID]]="",Items[[#This Row],[Added]]=""),"",AsOf-Items[[#This Row],[Added]])</f>
      </c>
      <c r="W775" s="17">
        <f>IF(Items[[#This Row],[In sprint]]=1,(IF(Items[[#This Row],[Prio]]="",9,N(Items[[#This Row],[Prio]]))*10+(IF(Items[[#This Row],[State]]="DONE",1,0)))*100000+ROW(),"")</f>
      </c>
      <c r="X77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75" s="17">
        <f>IF(AND(Items[[#This Row],[State]]="DONE",N(Items[[#This Row],[Done on]])&gt;AsOf-7),(200000-N(Items[[#This Row],[Done on]]))*100000+ROW(),"")</f>
      </c>
    </row>
    <row r="776">
      <c r="A776" t="s">
        <v>956</v>
      </c>
      <c r="B776" t="s">
        <v>1997</v>
      </c>
      <c r="C776" t="s">
        <v>1115</v>
      </c>
      <c r="D776" t="s">
        <v>1116</v>
      </c>
      <c r="E776" t="s">
        <v>1112</v>
      </c>
      <c r="F776" t="s">
        <v>1147</v>
      </c>
      <c r="G776">
        <v>8</v>
      </c>
      <c r="H776">
        <v>3</v>
      </c>
      <c r="I776" s="11">
        <v>46245</v>
      </c>
      <c r="J776" s="17">
        <f>IF(Items[[#This Row],[ID]]="","",IFERROR(VALUE(LOOKUP(2,1/((Log[ID]=Items[[#This Row],[ID]])*(Log[Verb]="est")),Log[Arg])),N(Items[[#This Row],[Points]])))</f>
      </c>
      <c r="K776" s="17">
        <f>IF(Items[[#This Row],[ID]]="","",IFERROR(LOOKUP(2,1/((Log[ID]=Items[[#This Row],[ID]])*(Log[Verb]="pass")),Log[Arg])&amp;"",Items[[#This Row],[Team]]&amp;""))</f>
      </c>
      <c r="L776" s="17">
        <f>IF(Items[[#This Row],[ID]]="","",IFERROR(LOOKUP(2,1/((Log[ID]=Items[[#This Row],[ID]])*(Log[Into]&lt;&gt;"")),Log[Into]),""))</f>
      </c>
      <c r="M776" s="17">
        <f>IF(Items[[#This Row],[ID]]="","",IF(IFERROR(LOOKUP(2,1/((Log[ID]=Items[[#This Row],[ID]])*(Log[Blk]&lt;&gt;"")),Log[Blk]),0)=1,"Y",""))</f>
      </c>
      <c r="N776" s="17">
        <f>IF(Items[[#This Row],[ID]]="","",SUBSTITUTE(IFERROR(LOOKUP(2,1/((Log[ID]=Items[[#This Row],[ID]])*(Log[State]&lt;&gt;"")),Log[State]),"TODO"),"OPEN",IF(Items[[#This Row],[Blocked]]="Y","WAIT","OPEN")))</f>
      </c>
      <c r="O77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76" s="17">
        <f>IF(Items[[#This Row],[State]]&lt;&gt;"WAIT","",AsOf-Items[[#This Row],[Blocked since]])</f>
      </c>
      <c r="Q776" s="17">
        <f>IF(Items[[#This Row],[State]]&lt;&gt;"WAIT","",IFERROR(LOOKUP(2,1/((Log[ID]=Items[[#This Row],[ID]])*(Log[Verb]="block")),Log[Note])&amp;"",""))</f>
      </c>
      <c r="R776" s="17">
        <f>IF(Items[[#This Row],[ID]]="","",COUNTIFS(Log[ID],Items[[#This Row],[ID]],Log[Verb],"carry"))</f>
      </c>
      <c r="S776" s="17">
        <f>IF(Items[[#This Row],[ID]]="","",COUNTIFS(Log[ID],Items[[#This Row],[ID]],Log[Verb],"punt"))</f>
      </c>
      <c r="T776" s="11">
        <f>IF(Items[[#This Row],[State]]&lt;&gt;"DONE","",IFERROR(LOOKUP(2,1/((Log[ID]=Items[[#This Row],[ID]])*(Log[Verb]="done")),Log[Date]),""))</f>
      </c>
      <c r="U776" s="17">
        <f>IF(Items[[#This Row],[ID]]="","",IF(AND(Items[[#This Row],[Sprint]]=CurSprint,OR(Items[[#This Row],[State]]="OPEN",Items[[#This Row],[State]]="WAIT",Items[[#This Row],[State]]="HOLD",Items[[#This Row],[State]]="DONE")),1,0))</f>
      </c>
      <c r="V776" s="17">
        <f>IF(OR(Items[[#This Row],[ID]]="",Items[[#This Row],[Added]]=""),"",AsOf-Items[[#This Row],[Added]])</f>
      </c>
      <c r="W776" s="17">
        <f>IF(Items[[#This Row],[In sprint]]=1,(IF(Items[[#This Row],[Prio]]="",9,N(Items[[#This Row],[Prio]]))*10+(IF(Items[[#This Row],[State]]="DONE",1,0)))*100000+ROW(),"")</f>
      </c>
      <c r="X77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76" s="17">
        <f>IF(AND(Items[[#This Row],[State]]="DONE",N(Items[[#This Row],[Done on]])&gt;AsOf-7),(200000-N(Items[[#This Row],[Done on]]))*100000+ROW(),"")</f>
      </c>
    </row>
    <row r="777">
      <c r="A777" t="s">
        <v>900</v>
      </c>
      <c r="B777" t="s">
        <v>1998</v>
      </c>
      <c r="C777" t="s">
        <v>1115</v>
      </c>
      <c r="D777" t="s">
        <v>1116</v>
      </c>
      <c r="E777" t="s">
        <v>1120</v>
      </c>
      <c r="F777" t="s">
        <v>1269</v>
      </c>
      <c r="G777">
        <v>5</v>
      </c>
      <c r="H777">
        <v>1</v>
      </c>
      <c r="I777" s="11">
        <v>46245</v>
      </c>
      <c r="J777" s="17">
        <f>IF(Items[[#This Row],[ID]]="","",IFERROR(VALUE(LOOKUP(2,1/((Log[ID]=Items[[#This Row],[ID]])*(Log[Verb]="est")),Log[Arg])),N(Items[[#This Row],[Points]])))</f>
      </c>
      <c r="K777" s="17">
        <f>IF(Items[[#This Row],[ID]]="","",IFERROR(LOOKUP(2,1/((Log[ID]=Items[[#This Row],[ID]])*(Log[Verb]="pass")),Log[Arg])&amp;"",Items[[#This Row],[Team]]&amp;""))</f>
      </c>
      <c r="L777" s="17">
        <f>IF(Items[[#This Row],[ID]]="","",IFERROR(LOOKUP(2,1/((Log[ID]=Items[[#This Row],[ID]])*(Log[Into]&lt;&gt;"")),Log[Into]),""))</f>
      </c>
      <c r="M777" s="17">
        <f>IF(Items[[#This Row],[ID]]="","",IF(IFERROR(LOOKUP(2,1/((Log[ID]=Items[[#This Row],[ID]])*(Log[Blk]&lt;&gt;"")),Log[Blk]),0)=1,"Y",""))</f>
      </c>
      <c r="N777" s="17">
        <f>IF(Items[[#This Row],[ID]]="","",SUBSTITUTE(IFERROR(LOOKUP(2,1/((Log[ID]=Items[[#This Row],[ID]])*(Log[State]&lt;&gt;"")),Log[State]),"TODO"),"OPEN",IF(Items[[#This Row],[Blocked]]="Y","WAIT","OPEN")))</f>
      </c>
      <c r="O77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77" s="17">
        <f>IF(Items[[#This Row],[State]]&lt;&gt;"WAIT","",AsOf-Items[[#This Row],[Blocked since]])</f>
      </c>
      <c r="Q777" s="17">
        <f>IF(Items[[#This Row],[State]]&lt;&gt;"WAIT","",IFERROR(LOOKUP(2,1/((Log[ID]=Items[[#This Row],[ID]])*(Log[Verb]="block")),Log[Note])&amp;"",""))</f>
      </c>
      <c r="R777" s="17">
        <f>IF(Items[[#This Row],[ID]]="","",COUNTIFS(Log[ID],Items[[#This Row],[ID]],Log[Verb],"carry"))</f>
      </c>
      <c r="S777" s="17">
        <f>IF(Items[[#This Row],[ID]]="","",COUNTIFS(Log[ID],Items[[#This Row],[ID]],Log[Verb],"punt"))</f>
      </c>
      <c r="T777" s="11">
        <f>IF(Items[[#This Row],[State]]&lt;&gt;"DONE","",IFERROR(LOOKUP(2,1/((Log[ID]=Items[[#This Row],[ID]])*(Log[Verb]="done")),Log[Date]),""))</f>
      </c>
      <c r="U777" s="17">
        <f>IF(Items[[#This Row],[ID]]="","",IF(AND(Items[[#This Row],[Sprint]]=CurSprint,OR(Items[[#This Row],[State]]="OPEN",Items[[#This Row],[State]]="WAIT",Items[[#This Row],[State]]="HOLD",Items[[#This Row],[State]]="DONE")),1,0))</f>
      </c>
      <c r="V777" s="17">
        <f>IF(OR(Items[[#This Row],[ID]]="",Items[[#This Row],[Added]]=""),"",AsOf-Items[[#This Row],[Added]])</f>
      </c>
      <c r="W777" s="17">
        <f>IF(Items[[#This Row],[In sprint]]=1,(IF(Items[[#This Row],[Prio]]="",9,N(Items[[#This Row],[Prio]]))*10+(IF(Items[[#This Row],[State]]="DONE",1,0)))*100000+ROW(),"")</f>
      </c>
      <c r="X77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77" s="17">
        <f>IF(AND(Items[[#This Row],[State]]="DONE",N(Items[[#This Row],[Done on]])&gt;AsOf-7),(200000-N(Items[[#This Row],[Done on]]))*100000+ROW(),"")</f>
      </c>
    </row>
    <row r="778">
      <c r="A778" t="s">
        <v>901</v>
      </c>
      <c r="B778" t="s">
        <v>1999</v>
      </c>
      <c r="C778" t="s">
        <v>1107</v>
      </c>
      <c r="D778" t="s">
        <v>1127</v>
      </c>
      <c r="E778" t="s">
        <v>1120</v>
      </c>
      <c r="F778" t="s">
        <v>1421</v>
      </c>
      <c r="G778">
        <v>8</v>
      </c>
      <c r="H778">
        <v>1</v>
      </c>
      <c r="I778" s="11">
        <v>46245</v>
      </c>
      <c r="J778" s="17">
        <f>IF(Items[[#This Row],[ID]]="","",IFERROR(VALUE(LOOKUP(2,1/((Log[ID]=Items[[#This Row],[ID]])*(Log[Verb]="est")),Log[Arg])),N(Items[[#This Row],[Points]])))</f>
      </c>
      <c r="K778" s="17">
        <f>IF(Items[[#This Row],[ID]]="","",IFERROR(LOOKUP(2,1/((Log[ID]=Items[[#This Row],[ID]])*(Log[Verb]="pass")),Log[Arg])&amp;"",Items[[#This Row],[Team]]&amp;""))</f>
      </c>
      <c r="L778" s="17">
        <f>IF(Items[[#This Row],[ID]]="","",IFERROR(LOOKUP(2,1/((Log[ID]=Items[[#This Row],[ID]])*(Log[Into]&lt;&gt;"")),Log[Into]),""))</f>
      </c>
      <c r="M778" s="17">
        <f>IF(Items[[#This Row],[ID]]="","",IF(IFERROR(LOOKUP(2,1/((Log[ID]=Items[[#This Row],[ID]])*(Log[Blk]&lt;&gt;"")),Log[Blk]),0)=1,"Y",""))</f>
      </c>
      <c r="N778" s="17">
        <f>IF(Items[[#This Row],[ID]]="","",SUBSTITUTE(IFERROR(LOOKUP(2,1/((Log[ID]=Items[[#This Row],[ID]])*(Log[State]&lt;&gt;"")),Log[State]),"TODO"),"OPEN",IF(Items[[#This Row],[Blocked]]="Y","WAIT","OPEN")))</f>
      </c>
      <c r="O77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78" s="17">
        <f>IF(Items[[#This Row],[State]]&lt;&gt;"WAIT","",AsOf-Items[[#This Row],[Blocked since]])</f>
      </c>
      <c r="Q778" s="17">
        <f>IF(Items[[#This Row],[State]]&lt;&gt;"WAIT","",IFERROR(LOOKUP(2,1/((Log[ID]=Items[[#This Row],[ID]])*(Log[Verb]="block")),Log[Note])&amp;"",""))</f>
      </c>
      <c r="R778" s="17">
        <f>IF(Items[[#This Row],[ID]]="","",COUNTIFS(Log[ID],Items[[#This Row],[ID]],Log[Verb],"carry"))</f>
      </c>
      <c r="S778" s="17">
        <f>IF(Items[[#This Row],[ID]]="","",COUNTIFS(Log[ID],Items[[#This Row],[ID]],Log[Verb],"punt"))</f>
      </c>
      <c r="T778" s="11">
        <f>IF(Items[[#This Row],[State]]&lt;&gt;"DONE","",IFERROR(LOOKUP(2,1/((Log[ID]=Items[[#This Row],[ID]])*(Log[Verb]="done")),Log[Date]),""))</f>
      </c>
      <c r="U778" s="17">
        <f>IF(Items[[#This Row],[ID]]="","",IF(AND(Items[[#This Row],[Sprint]]=CurSprint,OR(Items[[#This Row],[State]]="OPEN",Items[[#This Row],[State]]="WAIT",Items[[#This Row],[State]]="HOLD",Items[[#This Row],[State]]="DONE")),1,0))</f>
      </c>
      <c r="V778" s="17">
        <f>IF(OR(Items[[#This Row],[ID]]="",Items[[#This Row],[Added]]=""),"",AsOf-Items[[#This Row],[Added]])</f>
      </c>
      <c r="W778" s="17">
        <f>IF(Items[[#This Row],[In sprint]]=1,(IF(Items[[#This Row],[Prio]]="",9,N(Items[[#This Row],[Prio]]))*10+(IF(Items[[#This Row],[State]]="DONE",1,0)))*100000+ROW(),"")</f>
      </c>
      <c r="X77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78" s="17">
        <f>IF(AND(Items[[#This Row],[State]]="DONE",N(Items[[#This Row],[Done on]])&gt;AsOf-7),(200000-N(Items[[#This Row],[Done on]]))*100000+ROW(),"")</f>
      </c>
    </row>
    <row r="779">
      <c r="A779" t="s">
        <v>960</v>
      </c>
      <c r="B779" t="s">
        <v>2000</v>
      </c>
      <c r="C779" t="s">
        <v>1115</v>
      </c>
      <c r="D779" t="s">
        <v>1116</v>
      </c>
      <c r="E779" t="s">
        <v>1120</v>
      </c>
      <c r="F779" t="s">
        <v>1193</v>
      </c>
      <c r="G779">
        <v>2</v>
      </c>
      <c r="H779">
        <v>3</v>
      </c>
      <c r="I779" s="11">
        <v>46245</v>
      </c>
      <c r="J779" s="17">
        <f>IF(Items[[#This Row],[ID]]="","",IFERROR(VALUE(LOOKUP(2,1/((Log[ID]=Items[[#This Row],[ID]])*(Log[Verb]="est")),Log[Arg])),N(Items[[#This Row],[Points]])))</f>
      </c>
      <c r="K779" s="17">
        <f>IF(Items[[#This Row],[ID]]="","",IFERROR(LOOKUP(2,1/((Log[ID]=Items[[#This Row],[ID]])*(Log[Verb]="pass")),Log[Arg])&amp;"",Items[[#This Row],[Team]]&amp;""))</f>
      </c>
      <c r="L779" s="17">
        <f>IF(Items[[#This Row],[ID]]="","",IFERROR(LOOKUP(2,1/((Log[ID]=Items[[#This Row],[ID]])*(Log[Into]&lt;&gt;"")),Log[Into]),""))</f>
      </c>
      <c r="M779" s="17">
        <f>IF(Items[[#This Row],[ID]]="","",IF(IFERROR(LOOKUP(2,1/((Log[ID]=Items[[#This Row],[ID]])*(Log[Blk]&lt;&gt;"")),Log[Blk]),0)=1,"Y",""))</f>
      </c>
      <c r="N779" s="17">
        <f>IF(Items[[#This Row],[ID]]="","",SUBSTITUTE(IFERROR(LOOKUP(2,1/((Log[ID]=Items[[#This Row],[ID]])*(Log[State]&lt;&gt;"")),Log[State]),"TODO"),"OPEN",IF(Items[[#This Row],[Blocked]]="Y","WAIT","OPEN")))</f>
      </c>
      <c r="O77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79" s="17">
        <f>IF(Items[[#This Row],[State]]&lt;&gt;"WAIT","",AsOf-Items[[#This Row],[Blocked since]])</f>
      </c>
      <c r="Q779" s="17">
        <f>IF(Items[[#This Row],[State]]&lt;&gt;"WAIT","",IFERROR(LOOKUP(2,1/((Log[ID]=Items[[#This Row],[ID]])*(Log[Verb]="block")),Log[Note])&amp;"",""))</f>
      </c>
      <c r="R779" s="17">
        <f>IF(Items[[#This Row],[ID]]="","",COUNTIFS(Log[ID],Items[[#This Row],[ID]],Log[Verb],"carry"))</f>
      </c>
      <c r="S779" s="17">
        <f>IF(Items[[#This Row],[ID]]="","",COUNTIFS(Log[ID],Items[[#This Row],[ID]],Log[Verb],"punt"))</f>
      </c>
      <c r="T779" s="11">
        <f>IF(Items[[#This Row],[State]]&lt;&gt;"DONE","",IFERROR(LOOKUP(2,1/((Log[ID]=Items[[#This Row],[ID]])*(Log[Verb]="done")),Log[Date]),""))</f>
      </c>
      <c r="U779" s="17">
        <f>IF(Items[[#This Row],[ID]]="","",IF(AND(Items[[#This Row],[Sprint]]=CurSprint,OR(Items[[#This Row],[State]]="OPEN",Items[[#This Row],[State]]="WAIT",Items[[#This Row],[State]]="HOLD",Items[[#This Row],[State]]="DONE")),1,0))</f>
      </c>
      <c r="V779" s="17">
        <f>IF(OR(Items[[#This Row],[ID]]="",Items[[#This Row],[Added]]=""),"",AsOf-Items[[#This Row],[Added]])</f>
      </c>
      <c r="W779" s="17">
        <f>IF(Items[[#This Row],[In sprint]]=1,(IF(Items[[#This Row],[Prio]]="",9,N(Items[[#This Row],[Prio]]))*10+(IF(Items[[#This Row],[State]]="DONE",1,0)))*100000+ROW(),"")</f>
      </c>
      <c r="X77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79" s="17">
        <f>IF(AND(Items[[#This Row],[State]]="DONE",N(Items[[#This Row],[Done on]])&gt;AsOf-7),(200000-N(Items[[#This Row],[Done on]]))*100000+ROW(),"")</f>
      </c>
    </row>
    <row r="780">
      <c r="A780" t="s">
        <v>961</v>
      </c>
      <c r="B780" t="s">
        <v>2001</v>
      </c>
      <c r="C780" t="s">
        <v>1115</v>
      </c>
      <c r="D780" t="s">
        <v>1116</v>
      </c>
      <c r="E780" t="s">
        <v>1120</v>
      </c>
      <c r="F780" t="s">
        <v>1191</v>
      </c>
      <c r="G780">
        <v>2</v>
      </c>
      <c r="H780">
        <v>1</v>
      </c>
      <c r="I780" s="11">
        <v>46245</v>
      </c>
      <c r="J780" s="17">
        <f>IF(Items[[#This Row],[ID]]="","",IFERROR(VALUE(LOOKUP(2,1/((Log[ID]=Items[[#This Row],[ID]])*(Log[Verb]="est")),Log[Arg])),N(Items[[#This Row],[Points]])))</f>
      </c>
      <c r="K780" s="17">
        <f>IF(Items[[#This Row],[ID]]="","",IFERROR(LOOKUP(2,1/((Log[ID]=Items[[#This Row],[ID]])*(Log[Verb]="pass")),Log[Arg])&amp;"",Items[[#This Row],[Team]]&amp;""))</f>
      </c>
      <c r="L780" s="17">
        <f>IF(Items[[#This Row],[ID]]="","",IFERROR(LOOKUP(2,1/((Log[ID]=Items[[#This Row],[ID]])*(Log[Into]&lt;&gt;"")),Log[Into]),""))</f>
      </c>
      <c r="M780" s="17">
        <f>IF(Items[[#This Row],[ID]]="","",IF(IFERROR(LOOKUP(2,1/((Log[ID]=Items[[#This Row],[ID]])*(Log[Blk]&lt;&gt;"")),Log[Blk]),0)=1,"Y",""))</f>
      </c>
      <c r="N780" s="17">
        <f>IF(Items[[#This Row],[ID]]="","",SUBSTITUTE(IFERROR(LOOKUP(2,1/((Log[ID]=Items[[#This Row],[ID]])*(Log[State]&lt;&gt;"")),Log[State]),"TODO"),"OPEN",IF(Items[[#This Row],[Blocked]]="Y","WAIT","OPEN")))</f>
      </c>
      <c r="O78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80" s="17">
        <f>IF(Items[[#This Row],[State]]&lt;&gt;"WAIT","",AsOf-Items[[#This Row],[Blocked since]])</f>
      </c>
      <c r="Q780" s="17">
        <f>IF(Items[[#This Row],[State]]&lt;&gt;"WAIT","",IFERROR(LOOKUP(2,1/((Log[ID]=Items[[#This Row],[ID]])*(Log[Verb]="block")),Log[Note])&amp;"",""))</f>
      </c>
      <c r="R780" s="17">
        <f>IF(Items[[#This Row],[ID]]="","",COUNTIFS(Log[ID],Items[[#This Row],[ID]],Log[Verb],"carry"))</f>
      </c>
      <c r="S780" s="17">
        <f>IF(Items[[#This Row],[ID]]="","",COUNTIFS(Log[ID],Items[[#This Row],[ID]],Log[Verb],"punt"))</f>
      </c>
      <c r="T780" s="11">
        <f>IF(Items[[#This Row],[State]]&lt;&gt;"DONE","",IFERROR(LOOKUP(2,1/((Log[ID]=Items[[#This Row],[ID]])*(Log[Verb]="done")),Log[Date]),""))</f>
      </c>
      <c r="U780" s="17">
        <f>IF(Items[[#This Row],[ID]]="","",IF(AND(Items[[#This Row],[Sprint]]=CurSprint,OR(Items[[#This Row],[State]]="OPEN",Items[[#This Row],[State]]="WAIT",Items[[#This Row],[State]]="HOLD",Items[[#This Row],[State]]="DONE")),1,0))</f>
      </c>
      <c r="V780" s="17">
        <f>IF(OR(Items[[#This Row],[ID]]="",Items[[#This Row],[Added]]=""),"",AsOf-Items[[#This Row],[Added]])</f>
      </c>
      <c r="W780" s="17">
        <f>IF(Items[[#This Row],[In sprint]]=1,(IF(Items[[#This Row],[Prio]]="",9,N(Items[[#This Row],[Prio]]))*10+(IF(Items[[#This Row],[State]]="DONE",1,0)))*100000+ROW(),"")</f>
      </c>
      <c r="X78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80" s="17">
        <f>IF(AND(Items[[#This Row],[State]]="DONE",N(Items[[#This Row],[Done on]])&gt;AsOf-7),(200000-N(Items[[#This Row],[Done on]]))*100000+ROW(),"")</f>
      </c>
    </row>
    <row r="781">
      <c r="A781" t="s">
        <v>962</v>
      </c>
      <c r="B781" t="s">
        <v>2002</v>
      </c>
      <c r="C781" t="s">
        <v>1115</v>
      </c>
      <c r="D781" t="s">
        <v>1119</v>
      </c>
      <c r="E781" t="s">
        <v>1120</v>
      </c>
      <c r="F781" t="s">
        <v>1339</v>
      </c>
      <c r="G781">
        <v>5</v>
      </c>
      <c r="H781">
        <v>3</v>
      </c>
      <c r="I781" s="11">
        <v>46245</v>
      </c>
      <c r="J781" s="17">
        <f>IF(Items[[#This Row],[ID]]="","",IFERROR(VALUE(LOOKUP(2,1/((Log[ID]=Items[[#This Row],[ID]])*(Log[Verb]="est")),Log[Arg])),N(Items[[#This Row],[Points]])))</f>
      </c>
      <c r="K781" s="17">
        <f>IF(Items[[#This Row],[ID]]="","",IFERROR(LOOKUP(2,1/((Log[ID]=Items[[#This Row],[ID]])*(Log[Verb]="pass")),Log[Arg])&amp;"",Items[[#This Row],[Team]]&amp;""))</f>
      </c>
      <c r="L781" s="17">
        <f>IF(Items[[#This Row],[ID]]="","",IFERROR(LOOKUP(2,1/((Log[ID]=Items[[#This Row],[ID]])*(Log[Into]&lt;&gt;"")),Log[Into]),""))</f>
      </c>
      <c r="M781" s="17">
        <f>IF(Items[[#This Row],[ID]]="","",IF(IFERROR(LOOKUP(2,1/((Log[ID]=Items[[#This Row],[ID]])*(Log[Blk]&lt;&gt;"")),Log[Blk]),0)=1,"Y",""))</f>
      </c>
      <c r="N781" s="17">
        <f>IF(Items[[#This Row],[ID]]="","",SUBSTITUTE(IFERROR(LOOKUP(2,1/((Log[ID]=Items[[#This Row],[ID]])*(Log[State]&lt;&gt;"")),Log[State]),"TODO"),"OPEN",IF(Items[[#This Row],[Blocked]]="Y","WAIT","OPEN")))</f>
      </c>
      <c r="O78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81" s="17">
        <f>IF(Items[[#This Row],[State]]&lt;&gt;"WAIT","",AsOf-Items[[#This Row],[Blocked since]])</f>
      </c>
      <c r="Q781" s="17">
        <f>IF(Items[[#This Row],[State]]&lt;&gt;"WAIT","",IFERROR(LOOKUP(2,1/((Log[ID]=Items[[#This Row],[ID]])*(Log[Verb]="block")),Log[Note])&amp;"",""))</f>
      </c>
      <c r="R781" s="17">
        <f>IF(Items[[#This Row],[ID]]="","",COUNTIFS(Log[ID],Items[[#This Row],[ID]],Log[Verb],"carry"))</f>
      </c>
      <c r="S781" s="17">
        <f>IF(Items[[#This Row],[ID]]="","",COUNTIFS(Log[ID],Items[[#This Row],[ID]],Log[Verb],"punt"))</f>
      </c>
      <c r="T781" s="11">
        <f>IF(Items[[#This Row],[State]]&lt;&gt;"DONE","",IFERROR(LOOKUP(2,1/((Log[ID]=Items[[#This Row],[ID]])*(Log[Verb]="done")),Log[Date]),""))</f>
      </c>
      <c r="U781" s="17">
        <f>IF(Items[[#This Row],[ID]]="","",IF(AND(Items[[#This Row],[Sprint]]=CurSprint,OR(Items[[#This Row],[State]]="OPEN",Items[[#This Row],[State]]="WAIT",Items[[#This Row],[State]]="HOLD",Items[[#This Row],[State]]="DONE")),1,0))</f>
      </c>
      <c r="V781" s="17">
        <f>IF(OR(Items[[#This Row],[ID]]="",Items[[#This Row],[Added]]=""),"",AsOf-Items[[#This Row],[Added]])</f>
      </c>
      <c r="W781" s="17">
        <f>IF(Items[[#This Row],[In sprint]]=1,(IF(Items[[#This Row],[Prio]]="",9,N(Items[[#This Row],[Prio]]))*10+(IF(Items[[#This Row],[State]]="DONE",1,0)))*100000+ROW(),"")</f>
      </c>
      <c r="X78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81" s="17">
        <f>IF(AND(Items[[#This Row],[State]]="DONE",N(Items[[#This Row],[Done on]])&gt;AsOf-7),(200000-N(Items[[#This Row],[Done on]]))*100000+ROW(),"")</f>
      </c>
    </row>
    <row r="782">
      <c r="A782" t="s">
        <v>963</v>
      </c>
      <c r="B782" t="s">
        <v>2003</v>
      </c>
      <c r="C782" t="s">
        <v>1107</v>
      </c>
      <c r="D782" t="s">
        <v>1108</v>
      </c>
      <c r="E782" t="s">
        <v>1120</v>
      </c>
      <c r="F782" t="s">
        <v>1272</v>
      </c>
      <c r="G782">
        <v>8</v>
      </c>
      <c r="H782">
        <v>3</v>
      </c>
      <c r="I782" s="11">
        <v>46245</v>
      </c>
      <c r="J782" s="17">
        <f>IF(Items[[#This Row],[ID]]="","",IFERROR(VALUE(LOOKUP(2,1/((Log[ID]=Items[[#This Row],[ID]])*(Log[Verb]="est")),Log[Arg])),N(Items[[#This Row],[Points]])))</f>
      </c>
      <c r="K782" s="17">
        <f>IF(Items[[#This Row],[ID]]="","",IFERROR(LOOKUP(2,1/((Log[ID]=Items[[#This Row],[ID]])*(Log[Verb]="pass")),Log[Arg])&amp;"",Items[[#This Row],[Team]]&amp;""))</f>
      </c>
      <c r="L782" s="17">
        <f>IF(Items[[#This Row],[ID]]="","",IFERROR(LOOKUP(2,1/((Log[ID]=Items[[#This Row],[ID]])*(Log[Into]&lt;&gt;"")),Log[Into]),""))</f>
      </c>
      <c r="M782" s="17">
        <f>IF(Items[[#This Row],[ID]]="","",IF(IFERROR(LOOKUP(2,1/((Log[ID]=Items[[#This Row],[ID]])*(Log[Blk]&lt;&gt;"")),Log[Blk]),0)=1,"Y",""))</f>
      </c>
      <c r="N782" s="17">
        <f>IF(Items[[#This Row],[ID]]="","",SUBSTITUTE(IFERROR(LOOKUP(2,1/((Log[ID]=Items[[#This Row],[ID]])*(Log[State]&lt;&gt;"")),Log[State]),"TODO"),"OPEN",IF(Items[[#This Row],[Blocked]]="Y","WAIT","OPEN")))</f>
      </c>
      <c r="O78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82" s="17">
        <f>IF(Items[[#This Row],[State]]&lt;&gt;"WAIT","",AsOf-Items[[#This Row],[Blocked since]])</f>
      </c>
      <c r="Q782" s="17">
        <f>IF(Items[[#This Row],[State]]&lt;&gt;"WAIT","",IFERROR(LOOKUP(2,1/((Log[ID]=Items[[#This Row],[ID]])*(Log[Verb]="block")),Log[Note])&amp;"",""))</f>
      </c>
      <c r="R782" s="17">
        <f>IF(Items[[#This Row],[ID]]="","",COUNTIFS(Log[ID],Items[[#This Row],[ID]],Log[Verb],"carry"))</f>
      </c>
      <c r="S782" s="17">
        <f>IF(Items[[#This Row],[ID]]="","",COUNTIFS(Log[ID],Items[[#This Row],[ID]],Log[Verb],"punt"))</f>
      </c>
      <c r="T782" s="11">
        <f>IF(Items[[#This Row],[State]]&lt;&gt;"DONE","",IFERROR(LOOKUP(2,1/((Log[ID]=Items[[#This Row],[ID]])*(Log[Verb]="done")),Log[Date]),""))</f>
      </c>
      <c r="U782" s="17">
        <f>IF(Items[[#This Row],[ID]]="","",IF(AND(Items[[#This Row],[Sprint]]=CurSprint,OR(Items[[#This Row],[State]]="OPEN",Items[[#This Row],[State]]="WAIT",Items[[#This Row],[State]]="HOLD",Items[[#This Row],[State]]="DONE")),1,0))</f>
      </c>
      <c r="V782" s="17">
        <f>IF(OR(Items[[#This Row],[ID]]="",Items[[#This Row],[Added]]=""),"",AsOf-Items[[#This Row],[Added]])</f>
      </c>
      <c r="W782" s="17">
        <f>IF(Items[[#This Row],[In sprint]]=1,(IF(Items[[#This Row],[Prio]]="",9,N(Items[[#This Row],[Prio]]))*10+(IF(Items[[#This Row],[State]]="DONE",1,0)))*100000+ROW(),"")</f>
      </c>
      <c r="X78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82" s="17">
        <f>IF(AND(Items[[#This Row],[State]]="DONE",N(Items[[#This Row],[Done on]])&gt;AsOf-7),(200000-N(Items[[#This Row],[Done on]]))*100000+ROW(),"")</f>
      </c>
    </row>
    <row r="783">
      <c r="A783" t="s">
        <v>1025</v>
      </c>
      <c r="B783" t="s">
        <v>2004</v>
      </c>
      <c r="C783" t="s">
        <v>1107</v>
      </c>
      <c r="D783" t="s">
        <v>1123</v>
      </c>
      <c r="E783" t="s">
        <v>1120</v>
      </c>
      <c r="F783" t="s">
        <v>1269</v>
      </c>
      <c r="G783">
        <v>8</v>
      </c>
      <c r="H783">
        <v>1</v>
      </c>
      <c r="I783" s="11">
        <v>46245</v>
      </c>
      <c r="J783" s="17">
        <f>IF(Items[[#This Row],[ID]]="","",IFERROR(VALUE(LOOKUP(2,1/((Log[ID]=Items[[#This Row],[ID]])*(Log[Verb]="est")),Log[Arg])),N(Items[[#This Row],[Points]])))</f>
      </c>
      <c r="K783" s="17">
        <f>IF(Items[[#This Row],[ID]]="","",IFERROR(LOOKUP(2,1/((Log[ID]=Items[[#This Row],[ID]])*(Log[Verb]="pass")),Log[Arg])&amp;"",Items[[#This Row],[Team]]&amp;""))</f>
      </c>
      <c r="L783" s="17">
        <f>IF(Items[[#This Row],[ID]]="","",IFERROR(LOOKUP(2,1/((Log[ID]=Items[[#This Row],[ID]])*(Log[Into]&lt;&gt;"")),Log[Into]),""))</f>
      </c>
      <c r="M783" s="17">
        <f>IF(Items[[#This Row],[ID]]="","",IF(IFERROR(LOOKUP(2,1/((Log[ID]=Items[[#This Row],[ID]])*(Log[Blk]&lt;&gt;"")),Log[Blk]),0)=1,"Y",""))</f>
      </c>
      <c r="N783" s="17">
        <f>IF(Items[[#This Row],[ID]]="","",SUBSTITUTE(IFERROR(LOOKUP(2,1/((Log[ID]=Items[[#This Row],[ID]])*(Log[State]&lt;&gt;"")),Log[State]),"TODO"),"OPEN",IF(Items[[#This Row],[Blocked]]="Y","WAIT","OPEN")))</f>
      </c>
      <c r="O78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83" s="17">
        <f>IF(Items[[#This Row],[State]]&lt;&gt;"WAIT","",AsOf-Items[[#This Row],[Blocked since]])</f>
      </c>
      <c r="Q783" s="17">
        <f>IF(Items[[#This Row],[State]]&lt;&gt;"WAIT","",IFERROR(LOOKUP(2,1/((Log[ID]=Items[[#This Row],[ID]])*(Log[Verb]="block")),Log[Note])&amp;"",""))</f>
      </c>
      <c r="R783" s="17">
        <f>IF(Items[[#This Row],[ID]]="","",COUNTIFS(Log[ID],Items[[#This Row],[ID]],Log[Verb],"carry"))</f>
      </c>
      <c r="S783" s="17">
        <f>IF(Items[[#This Row],[ID]]="","",COUNTIFS(Log[ID],Items[[#This Row],[ID]],Log[Verb],"punt"))</f>
      </c>
      <c r="T783" s="11">
        <f>IF(Items[[#This Row],[State]]&lt;&gt;"DONE","",IFERROR(LOOKUP(2,1/((Log[ID]=Items[[#This Row],[ID]])*(Log[Verb]="done")),Log[Date]),""))</f>
      </c>
      <c r="U783" s="17">
        <f>IF(Items[[#This Row],[ID]]="","",IF(AND(Items[[#This Row],[Sprint]]=CurSprint,OR(Items[[#This Row],[State]]="OPEN",Items[[#This Row],[State]]="WAIT",Items[[#This Row],[State]]="HOLD",Items[[#This Row],[State]]="DONE")),1,0))</f>
      </c>
      <c r="V783" s="17">
        <f>IF(OR(Items[[#This Row],[ID]]="",Items[[#This Row],[Added]]=""),"",AsOf-Items[[#This Row],[Added]])</f>
      </c>
      <c r="W783" s="17">
        <f>IF(Items[[#This Row],[In sprint]]=1,(IF(Items[[#This Row],[Prio]]="",9,N(Items[[#This Row],[Prio]]))*10+(IF(Items[[#This Row],[State]]="DONE",1,0)))*100000+ROW(),"")</f>
      </c>
      <c r="X78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83" s="17">
        <f>IF(AND(Items[[#This Row],[State]]="DONE",N(Items[[#This Row],[Done on]])&gt;AsOf-7),(200000-N(Items[[#This Row],[Done on]]))*100000+ROW(),"")</f>
      </c>
    </row>
    <row r="784">
      <c r="A784" t="s">
        <v>905</v>
      </c>
      <c r="B784" t="s">
        <v>2005</v>
      </c>
      <c r="C784" t="s">
        <v>1115</v>
      </c>
      <c r="D784" t="s">
        <v>1119</v>
      </c>
      <c r="E784" t="s">
        <v>1124</v>
      </c>
      <c r="F784" t="s">
        <v>1125</v>
      </c>
      <c r="G784">
        <v>2</v>
      </c>
      <c r="H784">
        <v>1</v>
      </c>
      <c r="I784" s="11">
        <v>46245</v>
      </c>
      <c r="J784" s="17">
        <f>IF(Items[[#This Row],[ID]]="","",IFERROR(VALUE(LOOKUP(2,1/((Log[ID]=Items[[#This Row],[ID]])*(Log[Verb]="est")),Log[Arg])),N(Items[[#This Row],[Points]])))</f>
      </c>
      <c r="K784" s="17">
        <f>IF(Items[[#This Row],[ID]]="","",IFERROR(LOOKUP(2,1/((Log[ID]=Items[[#This Row],[ID]])*(Log[Verb]="pass")),Log[Arg])&amp;"",Items[[#This Row],[Team]]&amp;""))</f>
      </c>
      <c r="L784" s="17">
        <f>IF(Items[[#This Row],[ID]]="","",IFERROR(LOOKUP(2,1/((Log[ID]=Items[[#This Row],[ID]])*(Log[Into]&lt;&gt;"")),Log[Into]),""))</f>
      </c>
      <c r="M784" s="17">
        <f>IF(Items[[#This Row],[ID]]="","",IF(IFERROR(LOOKUP(2,1/((Log[ID]=Items[[#This Row],[ID]])*(Log[Blk]&lt;&gt;"")),Log[Blk]),0)=1,"Y",""))</f>
      </c>
      <c r="N784" s="17">
        <f>IF(Items[[#This Row],[ID]]="","",SUBSTITUTE(IFERROR(LOOKUP(2,1/((Log[ID]=Items[[#This Row],[ID]])*(Log[State]&lt;&gt;"")),Log[State]),"TODO"),"OPEN",IF(Items[[#This Row],[Blocked]]="Y","WAIT","OPEN")))</f>
      </c>
      <c r="O78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84" s="17">
        <f>IF(Items[[#This Row],[State]]&lt;&gt;"WAIT","",AsOf-Items[[#This Row],[Blocked since]])</f>
      </c>
      <c r="Q784" s="17">
        <f>IF(Items[[#This Row],[State]]&lt;&gt;"WAIT","",IFERROR(LOOKUP(2,1/((Log[ID]=Items[[#This Row],[ID]])*(Log[Verb]="block")),Log[Note])&amp;"",""))</f>
      </c>
      <c r="R784" s="17">
        <f>IF(Items[[#This Row],[ID]]="","",COUNTIFS(Log[ID],Items[[#This Row],[ID]],Log[Verb],"carry"))</f>
      </c>
      <c r="S784" s="17">
        <f>IF(Items[[#This Row],[ID]]="","",COUNTIFS(Log[ID],Items[[#This Row],[ID]],Log[Verb],"punt"))</f>
      </c>
      <c r="T784" s="11">
        <f>IF(Items[[#This Row],[State]]&lt;&gt;"DONE","",IFERROR(LOOKUP(2,1/((Log[ID]=Items[[#This Row],[ID]])*(Log[Verb]="done")),Log[Date]),""))</f>
      </c>
      <c r="U784" s="17">
        <f>IF(Items[[#This Row],[ID]]="","",IF(AND(Items[[#This Row],[Sprint]]=CurSprint,OR(Items[[#This Row],[State]]="OPEN",Items[[#This Row],[State]]="WAIT",Items[[#This Row],[State]]="HOLD",Items[[#This Row],[State]]="DONE")),1,0))</f>
      </c>
      <c r="V784" s="17">
        <f>IF(OR(Items[[#This Row],[ID]]="",Items[[#This Row],[Added]]=""),"",AsOf-Items[[#This Row],[Added]])</f>
      </c>
      <c r="W784" s="17">
        <f>IF(Items[[#This Row],[In sprint]]=1,(IF(Items[[#This Row],[Prio]]="",9,N(Items[[#This Row],[Prio]]))*10+(IF(Items[[#This Row],[State]]="DONE",1,0)))*100000+ROW(),"")</f>
      </c>
      <c r="X78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84" s="17">
        <f>IF(AND(Items[[#This Row],[State]]="DONE",N(Items[[#This Row],[Done on]])&gt;AsOf-7),(200000-N(Items[[#This Row],[Done on]]))*100000+ROW(),"")</f>
      </c>
    </row>
    <row r="785">
      <c r="A785" t="s">
        <v>967</v>
      </c>
      <c r="B785" t="s">
        <v>2006</v>
      </c>
      <c r="C785" t="s">
        <v>1115</v>
      </c>
      <c r="D785" t="s">
        <v>1116</v>
      </c>
      <c r="E785" t="s">
        <v>1124</v>
      </c>
      <c r="F785" t="s">
        <v>1198</v>
      </c>
      <c r="G785">
        <v>3</v>
      </c>
      <c r="H785">
        <v>3</v>
      </c>
      <c r="I785" s="11">
        <v>46245</v>
      </c>
      <c r="J785" s="17">
        <f>IF(Items[[#This Row],[ID]]="","",IFERROR(VALUE(LOOKUP(2,1/((Log[ID]=Items[[#This Row],[ID]])*(Log[Verb]="est")),Log[Arg])),N(Items[[#This Row],[Points]])))</f>
      </c>
      <c r="K785" s="17">
        <f>IF(Items[[#This Row],[ID]]="","",IFERROR(LOOKUP(2,1/((Log[ID]=Items[[#This Row],[ID]])*(Log[Verb]="pass")),Log[Arg])&amp;"",Items[[#This Row],[Team]]&amp;""))</f>
      </c>
      <c r="L785" s="17">
        <f>IF(Items[[#This Row],[ID]]="","",IFERROR(LOOKUP(2,1/((Log[ID]=Items[[#This Row],[ID]])*(Log[Into]&lt;&gt;"")),Log[Into]),""))</f>
      </c>
      <c r="M785" s="17">
        <f>IF(Items[[#This Row],[ID]]="","",IF(IFERROR(LOOKUP(2,1/((Log[ID]=Items[[#This Row],[ID]])*(Log[Blk]&lt;&gt;"")),Log[Blk]),0)=1,"Y",""))</f>
      </c>
      <c r="N785" s="17">
        <f>IF(Items[[#This Row],[ID]]="","",SUBSTITUTE(IFERROR(LOOKUP(2,1/((Log[ID]=Items[[#This Row],[ID]])*(Log[State]&lt;&gt;"")),Log[State]),"TODO"),"OPEN",IF(Items[[#This Row],[Blocked]]="Y","WAIT","OPEN")))</f>
      </c>
      <c r="O78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85" s="17">
        <f>IF(Items[[#This Row],[State]]&lt;&gt;"WAIT","",AsOf-Items[[#This Row],[Blocked since]])</f>
      </c>
      <c r="Q785" s="17">
        <f>IF(Items[[#This Row],[State]]&lt;&gt;"WAIT","",IFERROR(LOOKUP(2,1/((Log[ID]=Items[[#This Row],[ID]])*(Log[Verb]="block")),Log[Note])&amp;"",""))</f>
      </c>
      <c r="R785" s="17">
        <f>IF(Items[[#This Row],[ID]]="","",COUNTIFS(Log[ID],Items[[#This Row],[ID]],Log[Verb],"carry"))</f>
      </c>
      <c r="S785" s="17">
        <f>IF(Items[[#This Row],[ID]]="","",COUNTIFS(Log[ID],Items[[#This Row],[ID]],Log[Verb],"punt"))</f>
      </c>
      <c r="T785" s="11">
        <f>IF(Items[[#This Row],[State]]&lt;&gt;"DONE","",IFERROR(LOOKUP(2,1/((Log[ID]=Items[[#This Row],[ID]])*(Log[Verb]="done")),Log[Date]),""))</f>
      </c>
      <c r="U785" s="17">
        <f>IF(Items[[#This Row],[ID]]="","",IF(AND(Items[[#This Row],[Sprint]]=CurSprint,OR(Items[[#This Row],[State]]="OPEN",Items[[#This Row],[State]]="WAIT",Items[[#This Row],[State]]="HOLD",Items[[#This Row],[State]]="DONE")),1,0))</f>
      </c>
      <c r="V785" s="17">
        <f>IF(OR(Items[[#This Row],[ID]]="",Items[[#This Row],[Added]]=""),"",AsOf-Items[[#This Row],[Added]])</f>
      </c>
      <c r="W785" s="17">
        <f>IF(Items[[#This Row],[In sprint]]=1,(IF(Items[[#This Row],[Prio]]="",9,N(Items[[#This Row],[Prio]]))*10+(IF(Items[[#This Row],[State]]="DONE",1,0)))*100000+ROW(),"")</f>
      </c>
      <c r="X78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85" s="17">
        <f>IF(AND(Items[[#This Row],[State]]="DONE",N(Items[[#This Row],[Done on]])&gt;AsOf-7),(200000-N(Items[[#This Row],[Done on]]))*100000+ROW(),"")</f>
      </c>
    </row>
    <row r="786">
      <c r="A786" t="s">
        <v>906</v>
      </c>
      <c r="B786" t="s">
        <v>2007</v>
      </c>
      <c r="C786" t="s">
        <v>1107</v>
      </c>
      <c r="D786" t="s">
        <v>1108</v>
      </c>
      <c r="E786" t="s">
        <v>1124</v>
      </c>
      <c r="F786" t="s">
        <v>1203</v>
      </c>
      <c r="G786">
        <v>2</v>
      </c>
      <c r="H786">
        <v>3</v>
      </c>
      <c r="I786" s="11">
        <v>46245</v>
      </c>
      <c r="J786" s="17">
        <f>IF(Items[[#This Row],[ID]]="","",IFERROR(VALUE(LOOKUP(2,1/((Log[ID]=Items[[#This Row],[ID]])*(Log[Verb]="est")),Log[Arg])),N(Items[[#This Row],[Points]])))</f>
      </c>
      <c r="K786" s="17">
        <f>IF(Items[[#This Row],[ID]]="","",IFERROR(LOOKUP(2,1/((Log[ID]=Items[[#This Row],[ID]])*(Log[Verb]="pass")),Log[Arg])&amp;"",Items[[#This Row],[Team]]&amp;""))</f>
      </c>
      <c r="L786" s="17">
        <f>IF(Items[[#This Row],[ID]]="","",IFERROR(LOOKUP(2,1/((Log[ID]=Items[[#This Row],[ID]])*(Log[Into]&lt;&gt;"")),Log[Into]),""))</f>
      </c>
      <c r="M786" s="17">
        <f>IF(Items[[#This Row],[ID]]="","",IF(IFERROR(LOOKUP(2,1/((Log[ID]=Items[[#This Row],[ID]])*(Log[Blk]&lt;&gt;"")),Log[Blk]),0)=1,"Y",""))</f>
      </c>
      <c r="N786" s="17">
        <f>IF(Items[[#This Row],[ID]]="","",SUBSTITUTE(IFERROR(LOOKUP(2,1/((Log[ID]=Items[[#This Row],[ID]])*(Log[State]&lt;&gt;"")),Log[State]),"TODO"),"OPEN",IF(Items[[#This Row],[Blocked]]="Y","WAIT","OPEN")))</f>
      </c>
      <c r="O78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86" s="17">
        <f>IF(Items[[#This Row],[State]]&lt;&gt;"WAIT","",AsOf-Items[[#This Row],[Blocked since]])</f>
      </c>
      <c r="Q786" s="17">
        <f>IF(Items[[#This Row],[State]]&lt;&gt;"WAIT","",IFERROR(LOOKUP(2,1/((Log[ID]=Items[[#This Row],[ID]])*(Log[Verb]="block")),Log[Note])&amp;"",""))</f>
      </c>
      <c r="R786" s="17">
        <f>IF(Items[[#This Row],[ID]]="","",COUNTIFS(Log[ID],Items[[#This Row],[ID]],Log[Verb],"carry"))</f>
      </c>
      <c r="S786" s="17">
        <f>IF(Items[[#This Row],[ID]]="","",COUNTIFS(Log[ID],Items[[#This Row],[ID]],Log[Verb],"punt"))</f>
      </c>
      <c r="T786" s="11">
        <f>IF(Items[[#This Row],[State]]&lt;&gt;"DONE","",IFERROR(LOOKUP(2,1/((Log[ID]=Items[[#This Row],[ID]])*(Log[Verb]="done")),Log[Date]),""))</f>
      </c>
      <c r="U786" s="17">
        <f>IF(Items[[#This Row],[ID]]="","",IF(AND(Items[[#This Row],[Sprint]]=CurSprint,OR(Items[[#This Row],[State]]="OPEN",Items[[#This Row],[State]]="WAIT",Items[[#This Row],[State]]="HOLD",Items[[#This Row],[State]]="DONE")),1,0))</f>
      </c>
      <c r="V786" s="17">
        <f>IF(OR(Items[[#This Row],[ID]]="",Items[[#This Row],[Added]]=""),"",AsOf-Items[[#This Row],[Added]])</f>
      </c>
      <c r="W786" s="17">
        <f>IF(Items[[#This Row],[In sprint]]=1,(IF(Items[[#This Row],[Prio]]="",9,N(Items[[#This Row],[Prio]]))*10+(IF(Items[[#This Row],[State]]="DONE",1,0)))*100000+ROW(),"")</f>
      </c>
      <c r="X78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86" s="17">
        <f>IF(AND(Items[[#This Row],[State]]="DONE",N(Items[[#This Row],[Done on]])&gt;AsOf-7),(200000-N(Items[[#This Row],[Done on]]))*100000+ROW(),"")</f>
      </c>
    </row>
    <row r="787">
      <c r="A787" t="s">
        <v>968</v>
      </c>
      <c r="B787" t="s">
        <v>2008</v>
      </c>
      <c r="C787" t="s">
        <v>1107</v>
      </c>
      <c r="D787" t="s">
        <v>1127</v>
      </c>
      <c r="E787" t="s">
        <v>1124</v>
      </c>
      <c r="F787" t="s">
        <v>1283</v>
      </c>
      <c r="G787">
        <v>8</v>
      </c>
      <c r="H787">
        <v>3</v>
      </c>
      <c r="I787" s="11">
        <v>46245</v>
      </c>
      <c r="J787" s="17">
        <f>IF(Items[[#This Row],[ID]]="","",IFERROR(VALUE(LOOKUP(2,1/((Log[ID]=Items[[#This Row],[ID]])*(Log[Verb]="est")),Log[Arg])),N(Items[[#This Row],[Points]])))</f>
      </c>
      <c r="K787" s="17">
        <f>IF(Items[[#This Row],[ID]]="","",IFERROR(LOOKUP(2,1/((Log[ID]=Items[[#This Row],[ID]])*(Log[Verb]="pass")),Log[Arg])&amp;"",Items[[#This Row],[Team]]&amp;""))</f>
      </c>
      <c r="L787" s="17">
        <f>IF(Items[[#This Row],[ID]]="","",IFERROR(LOOKUP(2,1/((Log[ID]=Items[[#This Row],[ID]])*(Log[Into]&lt;&gt;"")),Log[Into]),""))</f>
      </c>
      <c r="M787" s="17">
        <f>IF(Items[[#This Row],[ID]]="","",IF(IFERROR(LOOKUP(2,1/((Log[ID]=Items[[#This Row],[ID]])*(Log[Blk]&lt;&gt;"")),Log[Blk]),0)=1,"Y",""))</f>
      </c>
      <c r="N787" s="17">
        <f>IF(Items[[#This Row],[ID]]="","",SUBSTITUTE(IFERROR(LOOKUP(2,1/((Log[ID]=Items[[#This Row],[ID]])*(Log[State]&lt;&gt;"")),Log[State]),"TODO"),"OPEN",IF(Items[[#This Row],[Blocked]]="Y","WAIT","OPEN")))</f>
      </c>
      <c r="O78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87" s="17">
        <f>IF(Items[[#This Row],[State]]&lt;&gt;"WAIT","",AsOf-Items[[#This Row],[Blocked since]])</f>
      </c>
      <c r="Q787" s="17">
        <f>IF(Items[[#This Row],[State]]&lt;&gt;"WAIT","",IFERROR(LOOKUP(2,1/((Log[ID]=Items[[#This Row],[ID]])*(Log[Verb]="block")),Log[Note])&amp;"",""))</f>
      </c>
      <c r="R787" s="17">
        <f>IF(Items[[#This Row],[ID]]="","",COUNTIFS(Log[ID],Items[[#This Row],[ID]],Log[Verb],"carry"))</f>
      </c>
      <c r="S787" s="17">
        <f>IF(Items[[#This Row],[ID]]="","",COUNTIFS(Log[ID],Items[[#This Row],[ID]],Log[Verb],"punt"))</f>
      </c>
      <c r="T787" s="11">
        <f>IF(Items[[#This Row],[State]]&lt;&gt;"DONE","",IFERROR(LOOKUP(2,1/((Log[ID]=Items[[#This Row],[ID]])*(Log[Verb]="done")),Log[Date]),""))</f>
      </c>
      <c r="U787" s="17">
        <f>IF(Items[[#This Row],[ID]]="","",IF(AND(Items[[#This Row],[Sprint]]=CurSprint,OR(Items[[#This Row],[State]]="OPEN",Items[[#This Row],[State]]="WAIT",Items[[#This Row],[State]]="HOLD",Items[[#This Row],[State]]="DONE")),1,0))</f>
      </c>
      <c r="V787" s="17">
        <f>IF(OR(Items[[#This Row],[ID]]="",Items[[#This Row],[Added]]=""),"",AsOf-Items[[#This Row],[Added]])</f>
      </c>
      <c r="W787" s="17">
        <f>IF(Items[[#This Row],[In sprint]]=1,(IF(Items[[#This Row],[Prio]]="",9,N(Items[[#This Row],[Prio]]))*10+(IF(Items[[#This Row],[State]]="DONE",1,0)))*100000+ROW(),"")</f>
      </c>
      <c r="X78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87" s="17">
        <f>IF(AND(Items[[#This Row],[State]]="DONE",N(Items[[#This Row],[Done on]])&gt;AsOf-7),(200000-N(Items[[#This Row],[Done on]]))*100000+ROW(),"")</f>
      </c>
    </row>
    <row r="788">
      <c r="A788" t="s">
        <v>969</v>
      </c>
      <c r="B788" t="s">
        <v>2009</v>
      </c>
      <c r="C788" t="s">
        <v>1115</v>
      </c>
      <c r="D788" t="s">
        <v>1119</v>
      </c>
      <c r="E788" t="s">
        <v>1124</v>
      </c>
      <c r="F788" t="s">
        <v>1198</v>
      </c>
      <c r="G788">
        <v>3</v>
      </c>
      <c r="H788">
        <v>2</v>
      </c>
      <c r="I788" s="11">
        <v>46245</v>
      </c>
      <c r="J788" s="17">
        <f>IF(Items[[#This Row],[ID]]="","",IFERROR(VALUE(LOOKUP(2,1/((Log[ID]=Items[[#This Row],[ID]])*(Log[Verb]="est")),Log[Arg])),N(Items[[#This Row],[Points]])))</f>
      </c>
      <c r="K788" s="17">
        <f>IF(Items[[#This Row],[ID]]="","",IFERROR(LOOKUP(2,1/((Log[ID]=Items[[#This Row],[ID]])*(Log[Verb]="pass")),Log[Arg])&amp;"",Items[[#This Row],[Team]]&amp;""))</f>
      </c>
      <c r="L788" s="17">
        <f>IF(Items[[#This Row],[ID]]="","",IFERROR(LOOKUP(2,1/((Log[ID]=Items[[#This Row],[ID]])*(Log[Into]&lt;&gt;"")),Log[Into]),""))</f>
      </c>
      <c r="M788" s="17">
        <f>IF(Items[[#This Row],[ID]]="","",IF(IFERROR(LOOKUP(2,1/((Log[ID]=Items[[#This Row],[ID]])*(Log[Blk]&lt;&gt;"")),Log[Blk]),0)=1,"Y",""))</f>
      </c>
      <c r="N788" s="17">
        <f>IF(Items[[#This Row],[ID]]="","",SUBSTITUTE(IFERROR(LOOKUP(2,1/((Log[ID]=Items[[#This Row],[ID]])*(Log[State]&lt;&gt;"")),Log[State]),"TODO"),"OPEN",IF(Items[[#This Row],[Blocked]]="Y","WAIT","OPEN")))</f>
      </c>
      <c r="O78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88" s="17">
        <f>IF(Items[[#This Row],[State]]&lt;&gt;"WAIT","",AsOf-Items[[#This Row],[Blocked since]])</f>
      </c>
      <c r="Q788" s="17">
        <f>IF(Items[[#This Row],[State]]&lt;&gt;"WAIT","",IFERROR(LOOKUP(2,1/((Log[ID]=Items[[#This Row],[ID]])*(Log[Verb]="block")),Log[Note])&amp;"",""))</f>
      </c>
      <c r="R788" s="17">
        <f>IF(Items[[#This Row],[ID]]="","",COUNTIFS(Log[ID],Items[[#This Row],[ID]],Log[Verb],"carry"))</f>
      </c>
      <c r="S788" s="17">
        <f>IF(Items[[#This Row],[ID]]="","",COUNTIFS(Log[ID],Items[[#This Row],[ID]],Log[Verb],"punt"))</f>
      </c>
      <c r="T788" s="11">
        <f>IF(Items[[#This Row],[State]]&lt;&gt;"DONE","",IFERROR(LOOKUP(2,1/((Log[ID]=Items[[#This Row],[ID]])*(Log[Verb]="done")),Log[Date]),""))</f>
      </c>
      <c r="U788" s="17">
        <f>IF(Items[[#This Row],[ID]]="","",IF(AND(Items[[#This Row],[Sprint]]=CurSprint,OR(Items[[#This Row],[State]]="OPEN",Items[[#This Row],[State]]="WAIT",Items[[#This Row],[State]]="HOLD",Items[[#This Row],[State]]="DONE")),1,0))</f>
      </c>
      <c r="V788" s="17">
        <f>IF(OR(Items[[#This Row],[ID]]="",Items[[#This Row],[Added]]=""),"",AsOf-Items[[#This Row],[Added]])</f>
      </c>
      <c r="W788" s="17">
        <f>IF(Items[[#This Row],[In sprint]]=1,(IF(Items[[#This Row],[Prio]]="",9,N(Items[[#This Row],[Prio]]))*10+(IF(Items[[#This Row],[State]]="DONE",1,0)))*100000+ROW(),"")</f>
      </c>
      <c r="X78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88" s="17">
        <f>IF(AND(Items[[#This Row],[State]]="DONE",N(Items[[#This Row],[Done on]])&gt;AsOf-7),(200000-N(Items[[#This Row],[Done on]]))*100000+ROW(),"")</f>
      </c>
    </row>
    <row r="789">
      <c r="A789" t="s">
        <v>970</v>
      </c>
      <c r="B789" t="s">
        <v>2010</v>
      </c>
      <c r="C789" t="s">
        <v>1107</v>
      </c>
      <c r="D789" t="s">
        <v>1127</v>
      </c>
      <c r="E789" t="s">
        <v>1124</v>
      </c>
      <c r="F789" t="s">
        <v>1198</v>
      </c>
      <c r="G789">
        <v>3</v>
      </c>
      <c r="H789">
        <v>1</v>
      </c>
      <c r="I789" s="11">
        <v>46245</v>
      </c>
      <c r="J789" s="17">
        <f>IF(Items[[#This Row],[ID]]="","",IFERROR(VALUE(LOOKUP(2,1/((Log[ID]=Items[[#This Row],[ID]])*(Log[Verb]="est")),Log[Arg])),N(Items[[#This Row],[Points]])))</f>
      </c>
      <c r="K789" s="17">
        <f>IF(Items[[#This Row],[ID]]="","",IFERROR(LOOKUP(2,1/((Log[ID]=Items[[#This Row],[ID]])*(Log[Verb]="pass")),Log[Arg])&amp;"",Items[[#This Row],[Team]]&amp;""))</f>
      </c>
      <c r="L789" s="17">
        <f>IF(Items[[#This Row],[ID]]="","",IFERROR(LOOKUP(2,1/((Log[ID]=Items[[#This Row],[ID]])*(Log[Into]&lt;&gt;"")),Log[Into]),""))</f>
      </c>
      <c r="M789" s="17">
        <f>IF(Items[[#This Row],[ID]]="","",IF(IFERROR(LOOKUP(2,1/((Log[ID]=Items[[#This Row],[ID]])*(Log[Blk]&lt;&gt;"")),Log[Blk]),0)=1,"Y",""))</f>
      </c>
      <c r="N789" s="17">
        <f>IF(Items[[#This Row],[ID]]="","",SUBSTITUTE(IFERROR(LOOKUP(2,1/((Log[ID]=Items[[#This Row],[ID]])*(Log[State]&lt;&gt;"")),Log[State]),"TODO"),"OPEN",IF(Items[[#This Row],[Blocked]]="Y","WAIT","OPEN")))</f>
      </c>
      <c r="O78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89" s="17">
        <f>IF(Items[[#This Row],[State]]&lt;&gt;"WAIT","",AsOf-Items[[#This Row],[Blocked since]])</f>
      </c>
      <c r="Q789" s="17">
        <f>IF(Items[[#This Row],[State]]&lt;&gt;"WAIT","",IFERROR(LOOKUP(2,1/((Log[ID]=Items[[#This Row],[ID]])*(Log[Verb]="block")),Log[Note])&amp;"",""))</f>
      </c>
      <c r="R789" s="17">
        <f>IF(Items[[#This Row],[ID]]="","",COUNTIFS(Log[ID],Items[[#This Row],[ID]],Log[Verb],"carry"))</f>
      </c>
      <c r="S789" s="17">
        <f>IF(Items[[#This Row],[ID]]="","",COUNTIFS(Log[ID],Items[[#This Row],[ID]],Log[Verb],"punt"))</f>
      </c>
      <c r="T789" s="11">
        <f>IF(Items[[#This Row],[State]]&lt;&gt;"DONE","",IFERROR(LOOKUP(2,1/((Log[ID]=Items[[#This Row],[ID]])*(Log[Verb]="done")),Log[Date]),""))</f>
      </c>
      <c r="U789" s="17">
        <f>IF(Items[[#This Row],[ID]]="","",IF(AND(Items[[#This Row],[Sprint]]=CurSprint,OR(Items[[#This Row],[State]]="OPEN",Items[[#This Row],[State]]="WAIT",Items[[#This Row],[State]]="HOLD",Items[[#This Row],[State]]="DONE")),1,0))</f>
      </c>
      <c r="V789" s="17">
        <f>IF(OR(Items[[#This Row],[ID]]="",Items[[#This Row],[Added]]=""),"",AsOf-Items[[#This Row],[Added]])</f>
      </c>
      <c r="W789" s="17">
        <f>IF(Items[[#This Row],[In sprint]]=1,(IF(Items[[#This Row],[Prio]]="",9,N(Items[[#This Row],[Prio]]))*10+(IF(Items[[#This Row],[State]]="DONE",1,0)))*100000+ROW(),"")</f>
      </c>
      <c r="X78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89" s="17">
        <f>IF(AND(Items[[#This Row],[State]]="DONE",N(Items[[#This Row],[Done on]])&gt;AsOf-7),(200000-N(Items[[#This Row],[Done on]]))*100000+ROW(),"")</f>
      </c>
    </row>
    <row r="790">
      <c r="A790" t="s">
        <v>971</v>
      </c>
      <c r="B790" t="s">
        <v>2011</v>
      </c>
      <c r="C790" t="s">
        <v>1115</v>
      </c>
      <c r="D790" t="s">
        <v>1116</v>
      </c>
      <c r="E790" t="s">
        <v>1124</v>
      </c>
      <c r="F790" t="s">
        <v>1155</v>
      </c>
      <c r="G790">
        <v>8</v>
      </c>
      <c r="H790">
        <v>3</v>
      </c>
      <c r="I790" s="11">
        <v>46245</v>
      </c>
      <c r="J790" s="17">
        <f>IF(Items[[#This Row],[ID]]="","",IFERROR(VALUE(LOOKUP(2,1/((Log[ID]=Items[[#This Row],[ID]])*(Log[Verb]="est")),Log[Arg])),N(Items[[#This Row],[Points]])))</f>
      </c>
      <c r="K790" s="17">
        <f>IF(Items[[#This Row],[ID]]="","",IFERROR(LOOKUP(2,1/((Log[ID]=Items[[#This Row],[ID]])*(Log[Verb]="pass")),Log[Arg])&amp;"",Items[[#This Row],[Team]]&amp;""))</f>
      </c>
      <c r="L790" s="17">
        <f>IF(Items[[#This Row],[ID]]="","",IFERROR(LOOKUP(2,1/((Log[ID]=Items[[#This Row],[ID]])*(Log[Into]&lt;&gt;"")),Log[Into]),""))</f>
      </c>
      <c r="M790" s="17">
        <f>IF(Items[[#This Row],[ID]]="","",IF(IFERROR(LOOKUP(2,1/((Log[ID]=Items[[#This Row],[ID]])*(Log[Blk]&lt;&gt;"")),Log[Blk]),0)=1,"Y",""))</f>
      </c>
      <c r="N790" s="17">
        <f>IF(Items[[#This Row],[ID]]="","",SUBSTITUTE(IFERROR(LOOKUP(2,1/((Log[ID]=Items[[#This Row],[ID]])*(Log[State]&lt;&gt;"")),Log[State]),"TODO"),"OPEN",IF(Items[[#This Row],[Blocked]]="Y","WAIT","OPEN")))</f>
      </c>
      <c r="O79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90" s="17">
        <f>IF(Items[[#This Row],[State]]&lt;&gt;"WAIT","",AsOf-Items[[#This Row],[Blocked since]])</f>
      </c>
      <c r="Q790" s="17">
        <f>IF(Items[[#This Row],[State]]&lt;&gt;"WAIT","",IFERROR(LOOKUP(2,1/((Log[ID]=Items[[#This Row],[ID]])*(Log[Verb]="block")),Log[Note])&amp;"",""))</f>
      </c>
      <c r="R790" s="17">
        <f>IF(Items[[#This Row],[ID]]="","",COUNTIFS(Log[ID],Items[[#This Row],[ID]],Log[Verb],"carry"))</f>
      </c>
      <c r="S790" s="17">
        <f>IF(Items[[#This Row],[ID]]="","",COUNTIFS(Log[ID],Items[[#This Row],[ID]],Log[Verb],"punt"))</f>
      </c>
      <c r="T790" s="11">
        <f>IF(Items[[#This Row],[State]]&lt;&gt;"DONE","",IFERROR(LOOKUP(2,1/((Log[ID]=Items[[#This Row],[ID]])*(Log[Verb]="done")),Log[Date]),""))</f>
      </c>
      <c r="U790" s="17">
        <f>IF(Items[[#This Row],[ID]]="","",IF(AND(Items[[#This Row],[Sprint]]=CurSprint,OR(Items[[#This Row],[State]]="OPEN",Items[[#This Row],[State]]="WAIT",Items[[#This Row],[State]]="HOLD",Items[[#This Row],[State]]="DONE")),1,0))</f>
      </c>
      <c r="V790" s="17">
        <f>IF(OR(Items[[#This Row],[ID]]="",Items[[#This Row],[Added]]=""),"",AsOf-Items[[#This Row],[Added]])</f>
      </c>
      <c r="W790" s="17">
        <f>IF(Items[[#This Row],[In sprint]]=1,(IF(Items[[#This Row],[Prio]]="",9,N(Items[[#This Row],[Prio]]))*10+(IF(Items[[#This Row],[State]]="DONE",1,0)))*100000+ROW(),"")</f>
      </c>
      <c r="X79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90" s="17">
        <f>IF(AND(Items[[#This Row],[State]]="DONE",N(Items[[#This Row],[Done on]])&gt;AsOf-7),(200000-N(Items[[#This Row],[Done on]]))*100000+ROW(),"")</f>
      </c>
    </row>
    <row r="791">
      <c r="A791" t="s">
        <v>912</v>
      </c>
      <c r="B791" t="s">
        <v>2012</v>
      </c>
      <c r="C791" t="s">
        <v>1115</v>
      </c>
      <c r="D791" t="s">
        <v>1116</v>
      </c>
      <c r="E791" t="s">
        <v>1159</v>
      </c>
      <c r="F791" t="s">
        <v>1211</v>
      </c>
      <c r="G791">
        <v>8</v>
      </c>
      <c r="H791">
        <v>2</v>
      </c>
      <c r="I791" s="11">
        <v>46245</v>
      </c>
      <c r="J791" s="17">
        <f>IF(Items[[#This Row],[ID]]="","",IFERROR(VALUE(LOOKUP(2,1/((Log[ID]=Items[[#This Row],[ID]])*(Log[Verb]="est")),Log[Arg])),N(Items[[#This Row],[Points]])))</f>
      </c>
      <c r="K791" s="17">
        <f>IF(Items[[#This Row],[ID]]="","",IFERROR(LOOKUP(2,1/((Log[ID]=Items[[#This Row],[ID]])*(Log[Verb]="pass")),Log[Arg])&amp;"",Items[[#This Row],[Team]]&amp;""))</f>
      </c>
      <c r="L791" s="17">
        <f>IF(Items[[#This Row],[ID]]="","",IFERROR(LOOKUP(2,1/((Log[ID]=Items[[#This Row],[ID]])*(Log[Into]&lt;&gt;"")),Log[Into]),""))</f>
      </c>
      <c r="M791" s="17">
        <f>IF(Items[[#This Row],[ID]]="","",IF(IFERROR(LOOKUP(2,1/((Log[ID]=Items[[#This Row],[ID]])*(Log[Blk]&lt;&gt;"")),Log[Blk]),0)=1,"Y",""))</f>
      </c>
      <c r="N791" s="17">
        <f>IF(Items[[#This Row],[ID]]="","",SUBSTITUTE(IFERROR(LOOKUP(2,1/((Log[ID]=Items[[#This Row],[ID]])*(Log[State]&lt;&gt;"")),Log[State]),"TODO"),"OPEN",IF(Items[[#This Row],[Blocked]]="Y","WAIT","OPEN")))</f>
      </c>
      <c r="O79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91" s="17">
        <f>IF(Items[[#This Row],[State]]&lt;&gt;"WAIT","",AsOf-Items[[#This Row],[Blocked since]])</f>
      </c>
      <c r="Q791" s="17">
        <f>IF(Items[[#This Row],[State]]&lt;&gt;"WAIT","",IFERROR(LOOKUP(2,1/((Log[ID]=Items[[#This Row],[ID]])*(Log[Verb]="block")),Log[Note])&amp;"",""))</f>
      </c>
      <c r="R791" s="17">
        <f>IF(Items[[#This Row],[ID]]="","",COUNTIFS(Log[ID],Items[[#This Row],[ID]],Log[Verb],"carry"))</f>
      </c>
      <c r="S791" s="17">
        <f>IF(Items[[#This Row],[ID]]="","",COUNTIFS(Log[ID],Items[[#This Row],[ID]],Log[Verb],"punt"))</f>
      </c>
      <c r="T791" s="11">
        <f>IF(Items[[#This Row],[State]]&lt;&gt;"DONE","",IFERROR(LOOKUP(2,1/((Log[ID]=Items[[#This Row],[ID]])*(Log[Verb]="done")),Log[Date]),""))</f>
      </c>
      <c r="U791" s="17">
        <f>IF(Items[[#This Row],[ID]]="","",IF(AND(Items[[#This Row],[Sprint]]=CurSprint,OR(Items[[#This Row],[State]]="OPEN",Items[[#This Row],[State]]="WAIT",Items[[#This Row],[State]]="HOLD",Items[[#This Row],[State]]="DONE")),1,0))</f>
      </c>
      <c r="V791" s="17">
        <f>IF(OR(Items[[#This Row],[ID]]="",Items[[#This Row],[Added]]=""),"",AsOf-Items[[#This Row],[Added]])</f>
      </c>
      <c r="W791" s="17">
        <f>IF(Items[[#This Row],[In sprint]]=1,(IF(Items[[#This Row],[Prio]]="",9,N(Items[[#This Row],[Prio]]))*10+(IF(Items[[#This Row],[State]]="DONE",1,0)))*100000+ROW(),"")</f>
      </c>
      <c r="X79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91" s="17">
        <f>IF(AND(Items[[#This Row],[State]]="DONE",N(Items[[#This Row],[Done on]])&gt;AsOf-7),(200000-N(Items[[#This Row],[Done on]]))*100000+ROW(),"")</f>
      </c>
    </row>
    <row r="792">
      <c r="A792" t="s">
        <v>913</v>
      </c>
      <c r="B792" t="s">
        <v>2013</v>
      </c>
      <c r="C792" t="s">
        <v>1107</v>
      </c>
      <c r="D792" t="s">
        <v>1127</v>
      </c>
      <c r="E792" t="s">
        <v>1159</v>
      </c>
      <c r="F792" t="s">
        <v>1213</v>
      </c>
      <c r="G792">
        <v>8</v>
      </c>
      <c r="H792">
        <v>3</v>
      </c>
      <c r="I792" s="11">
        <v>46245</v>
      </c>
      <c r="J792" s="17">
        <f>IF(Items[[#This Row],[ID]]="","",IFERROR(VALUE(LOOKUP(2,1/((Log[ID]=Items[[#This Row],[ID]])*(Log[Verb]="est")),Log[Arg])),N(Items[[#This Row],[Points]])))</f>
      </c>
      <c r="K792" s="17">
        <f>IF(Items[[#This Row],[ID]]="","",IFERROR(LOOKUP(2,1/((Log[ID]=Items[[#This Row],[ID]])*(Log[Verb]="pass")),Log[Arg])&amp;"",Items[[#This Row],[Team]]&amp;""))</f>
      </c>
      <c r="L792" s="17">
        <f>IF(Items[[#This Row],[ID]]="","",IFERROR(LOOKUP(2,1/((Log[ID]=Items[[#This Row],[ID]])*(Log[Into]&lt;&gt;"")),Log[Into]),""))</f>
      </c>
      <c r="M792" s="17">
        <f>IF(Items[[#This Row],[ID]]="","",IF(IFERROR(LOOKUP(2,1/((Log[ID]=Items[[#This Row],[ID]])*(Log[Blk]&lt;&gt;"")),Log[Blk]),0)=1,"Y",""))</f>
      </c>
      <c r="N792" s="17">
        <f>IF(Items[[#This Row],[ID]]="","",SUBSTITUTE(IFERROR(LOOKUP(2,1/((Log[ID]=Items[[#This Row],[ID]])*(Log[State]&lt;&gt;"")),Log[State]),"TODO"),"OPEN",IF(Items[[#This Row],[Blocked]]="Y","WAIT","OPEN")))</f>
      </c>
      <c r="O79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92" s="17">
        <f>IF(Items[[#This Row],[State]]&lt;&gt;"WAIT","",AsOf-Items[[#This Row],[Blocked since]])</f>
      </c>
      <c r="Q792" s="17">
        <f>IF(Items[[#This Row],[State]]&lt;&gt;"WAIT","",IFERROR(LOOKUP(2,1/((Log[ID]=Items[[#This Row],[ID]])*(Log[Verb]="block")),Log[Note])&amp;"",""))</f>
      </c>
      <c r="R792" s="17">
        <f>IF(Items[[#This Row],[ID]]="","",COUNTIFS(Log[ID],Items[[#This Row],[ID]],Log[Verb],"carry"))</f>
      </c>
      <c r="S792" s="17">
        <f>IF(Items[[#This Row],[ID]]="","",COUNTIFS(Log[ID],Items[[#This Row],[ID]],Log[Verb],"punt"))</f>
      </c>
      <c r="T792" s="11">
        <f>IF(Items[[#This Row],[State]]&lt;&gt;"DONE","",IFERROR(LOOKUP(2,1/((Log[ID]=Items[[#This Row],[ID]])*(Log[Verb]="done")),Log[Date]),""))</f>
      </c>
      <c r="U792" s="17">
        <f>IF(Items[[#This Row],[ID]]="","",IF(AND(Items[[#This Row],[Sprint]]=CurSprint,OR(Items[[#This Row],[State]]="OPEN",Items[[#This Row],[State]]="WAIT",Items[[#This Row],[State]]="HOLD",Items[[#This Row],[State]]="DONE")),1,0))</f>
      </c>
      <c r="V792" s="17">
        <f>IF(OR(Items[[#This Row],[ID]]="",Items[[#This Row],[Added]]=""),"",AsOf-Items[[#This Row],[Added]])</f>
      </c>
      <c r="W792" s="17">
        <f>IF(Items[[#This Row],[In sprint]]=1,(IF(Items[[#This Row],[Prio]]="",9,N(Items[[#This Row],[Prio]]))*10+(IF(Items[[#This Row],[State]]="DONE",1,0)))*100000+ROW(),"")</f>
      </c>
      <c r="X79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92" s="17">
        <f>IF(AND(Items[[#This Row],[State]]="DONE",N(Items[[#This Row],[Done on]])&gt;AsOf-7),(200000-N(Items[[#This Row],[Done on]]))*100000+ROW(),"")</f>
      </c>
    </row>
    <row r="793">
      <c r="A793" t="s">
        <v>914</v>
      </c>
      <c r="B793" t="s">
        <v>2014</v>
      </c>
      <c r="C793" t="s">
        <v>1107</v>
      </c>
      <c r="D793" t="s">
        <v>1123</v>
      </c>
      <c r="E793" t="s">
        <v>1159</v>
      </c>
      <c r="F793" t="s">
        <v>1358</v>
      </c>
      <c r="G793">
        <v>2</v>
      </c>
      <c r="H793">
        <v>1</v>
      </c>
      <c r="I793" s="11">
        <v>46245</v>
      </c>
      <c r="J793" s="17">
        <f>IF(Items[[#This Row],[ID]]="","",IFERROR(VALUE(LOOKUP(2,1/((Log[ID]=Items[[#This Row],[ID]])*(Log[Verb]="est")),Log[Arg])),N(Items[[#This Row],[Points]])))</f>
      </c>
      <c r="K793" s="17">
        <f>IF(Items[[#This Row],[ID]]="","",IFERROR(LOOKUP(2,1/((Log[ID]=Items[[#This Row],[ID]])*(Log[Verb]="pass")),Log[Arg])&amp;"",Items[[#This Row],[Team]]&amp;""))</f>
      </c>
      <c r="L793" s="17">
        <f>IF(Items[[#This Row],[ID]]="","",IFERROR(LOOKUP(2,1/((Log[ID]=Items[[#This Row],[ID]])*(Log[Into]&lt;&gt;"")),Log[Into]),""))</f>
      </c>
      <c r="M793" s="17">
        <f>IF(Items[[#This Row],[ID]]="","",IF(IFERROR(LOOKUP(2,1/((Log[ID]=Items[[#This Row],[ID]])*(Log[Blk]&lt;&gt;"")),Log[Blk]),0)=1,"Y",""))</f>
      </c>
      <c r="N793" s="17">
        <f>IF(Items[[#This Row],[ID]]="","",SUBSTITUTE(IFERROR(LOOKUP(2,1/((Log[ID]=Items[[#This Row],[ID]])*(Log[State]&lt;&gt;"")),Log[State]),"TODO"),"OPEN",IF(Items[[#This Row],[Blocked]]="Y","WAIT","OPEN")))</f>
      </c>
      <c r="O79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93" s="17">
        <f>IF(Items[[#This Row],[State]]&lt;&gt;"WAIT","",AsOf-Items[[#This Row],[Blocked since]])</f>
      </c>
      <c r="Q793" s="17">
        <f>IF(Items[[#This Row],[State]]&lt;&gt;"WAIT","",IFERROR(LOOKUP(2,1/((Log[ID]=Items[[#This Row],[ID]])*(Log[Verb]="block")),Log[Note])&amp;"",""))</f>
      </c>
      <c r="R793" s="17">
        <f>IF(Items[[#This Row],[ID]]="","",COUNTIFS(Log[ID],Items[[#This Row],[ID]],Log[Verb],"carry"))</f>
      </c>
      <c r="S793" s="17">
        <f>IF(Items[[#This Row],[ID]]="","",COUNTIFS(Log[ID],Items[[#This Row],[ID]],Log[Verb],"punt"))</f>
      </c>
      <c r="T793" s="11">
        <f>IF(Items[[#This Row],[State]]&lt;&gt;"DONE","",IFERROR(LOOKUP(2,1/((Log[ID]=Items[[#This Row],[ID]])*(Log[Verb]="done")),Log[Date]),""))</f>
      </c>
      <c r="U793" s="17">
        <f>IF(Items[[#This Row],[ID]]="","",IF(AND(Items[[#This Row],[Sprint]]=CurSprint,OR(Items[[#This Row],[State]]="OPEN",Items[[#This Row],[State]]="WAIT",Items[[#This Row],[State]]="HOLD",Items[[#This Row],[State]]="DONE")),1,0))</f>
      </c>
      <c r="V793" s="17">
        <f>IF(OR(Items[[#This Row],[ID]]="",Items[[#This Row],[Added]]=""),"",AsOf-Items[[#This Row],[Added]])</f>
      </c>
      <c r="W793" s="17">
        <f>IF(Items[[#This Row],[In sprint]]=1,(IF(Items[[#This Row],[Prio]]="",9,N(Items[[#This Row],[Prio]]))*10+(IF(Items[[#This Row],[State]]="DONE",1,0)))*100000+ROW(),"")</f>
      </c>
      <c r="X79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93" s="17">
        <f>IF(AND(Items[[#This Row],[State]]="DONE",N(Items[[#This Row],[Done on]])&gt;AsOf-7),(200000-N(Items[[#This Row],[Done on]]))*100000+ROW(),"")</f>
      </c>
    </row>
    <row r="794">
      <c r="A794" t="s">
        <v>972</v>
      </c>
      <c r="B794" t="s">
        <v>2015</v>
      </c>
      <c r="C794" t="s">
        <v>1107</v>
      </c>
      <c r="D794" t="s">
        <v>1108</v>
      </c>
      <c r="E794" t="s">
        <v>1159</v>
      </c>
      <c r="F794" t="s">
        <v>1439</v>
      </c>
      <c r="G794">
        <v>8</v>
      </c>
      <c r="H794">
        <v>2</v>
      </c>
      <c r="I794" s="11">
        <v>46245</v>
      </c>
      <c r="J794" s="17">
        <f>IF(Items[[#This Row],[ID]]="","",IFERROR(VALUE(LOOKUP(2,1/((Log[ID]=Items[[#This Row],[ID]])*(Log[Verb]="est")),Log[Arg])),N(Items[[#This Row],[Points]])))</f>
      </c>
      <c r="K794" s="17">
        <f>IF(Items[[#This Row],[ID]]="","",IFERROR(LOOKUP(2,1/((Log[ID]=Items[[#This Row],[ID]])*(Log[Verb]="pass")),Log[Arg])&amp;"",Items[[#This Row],[Team]]&amp;""))</f>
      </c>
      <c r="L794" s="17">
        <f>IF(Items[[#This Row],[ID]]="","",IFERROR(LOOKUP(2,1/((Log[ID]=Items[[#This Row],[ID]])*(Log[Into]&lt;&gt;"")),Log[Into]),""))</f>
      </c>
      <c r="M794" s="17">
        <f>IF(Items[[#This Row],[ID]]="","",IF(IFERROR(LOOKUP(2,1/((Log[ID]=Items[[#This Row],[ID]])*(Log[Blk]&lt;&gt;"")),Log[Blk]),0)=1,"Y",""))</f>
      </c>
      <c r="N794" s="17">
        <f>IF(Items[[#This Row],[ID]]="","",SUBSTITUTE(IFERROR(LOOKUP(2,1/((Log[ID]=Items[[#This Row],[ID]])*(Log[State]&lt;&gt;"")),Log[State]),"TODO"),"OPEN",IF(Items[[#This Row],[Blocked]]="Y","WAIT","OPEN")))</f>
      </c>
      <c r="O79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94" s="17">
        <f>IF(Items[[#This Row],[State]]&lt;&gt;"WAIT","",AsOf-Items[[#This Row],[Blocked since]])</f>
      </c>
      <c r="Q794" s="17">
        <f>IF(Items[[#This Row],[State]]&lt;&gt;"WAIT","",IFERROR(LOOKUP(2,1/((Log[ID]=Items[[#This Row],[ID]])*(Log[Verb]="block")),Log[Note])&amp;"",""))</f>
      </c>
      <c r="R794" s="17">
        <f>IF(Items[[#This Row],[ID]]="","",COUNTIFS(Log[ID],Items[[#This Row],[ID]],Log[Verb],"carry"))</f>
      </c>
      <c r="S794" s="17">
        <f>IF(Items[[#This Row],[ID]]="","",COUNTIFS(Log[ID],Items[[#This Row],[ID]],Log[Verb],"punt"))</f>
      </c>
      <c r="T794" s="11">
        <f>IF(Items[[#This Row],[State]]&lt;&gt;"DONE","",IFERROR(LOOKUP(2,1/((Log[ID]=Items[[#This Row],[ID]])*(Log[Verb]="done")),Log[Date]),""))</f>
      </c>
      <c r="U794" s="17">
        <f>IF(Items[[#This Row],[ID]]="","",IF(AND(Items[[#This Row],[Sprint]]=CurSprint,OR(Items[[#This Row],[State]]="OPEN",Items[[#This Row],[State]]="WAIT",Items[[#This Row],[State]]="HOLD",Items[[#This Row],[State]]="DONE")),1,0))</f>
      </c>
      <c r="V794" s="17">
        <f>IF(OR(Items[[#This Row],[ID]]="",Items[[#This Row],[Added]]=""),"",AsOf-Items[[#This Row],[Added]])</f>
      </c>
      <c r="W794" s="17">
        <f>IF(Items[[#This Row],[In sprint]]=1,(IF(Items[[#This Row],[Prio]]="",9,N(Items[[#This Row],[Prio]]))*10+(IF(Items[[#This Row],[State]]="DONE",1,0)))*100000+ROW(),"")</f>
      </c>
      <c r="X79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94" s="17">
        <f>IF(AND(Items[[#This Row],[State]]="DONE",N(Items[[#This Row],[Done on]])&gt;AsOf-7),(200000-N(Items[[#This Row],[Done on]]))*100000+ROW(),"")</f>
      </c>
    </row>
    <row r="795">
      <c r="A795" t="s">
        <v>973</v>
      </c>
      <c r="B795" t="s">
        <v>2016</v>
      </c>
      <c r="C795" t="s">
        <v>1115</v>
      </c>
      <c r="D795" t="s">
        <v>1116</v>
      </c>
      <c r="E795" t="s">
        <v>1159</v>
      </c>
      <c r="F795" t="s">
        <v>1211</v>
      </c>
      <c r="G795">
        <v>8</v>
      </c>
      <c r="H795">
        <v>2</v>
      </c>
      <c r="I795" s="11">
        <v>46245</v>
      </c>
      <c r="J795" s="17">
        <f>IF(Items[[#This Row],[ID]]="","",IFERROR(VALUE(LOOKUP(2,1/((Log[ID]=Items[[#This Row],[ID]])*(Log[Verb]="est")),Log[Arg])),N(Items[[#This Row],[Points]])))</f>
      </c>
      <c r="K795" s="17">
        <f>IF(Items[[#This Row],[ID]]="","",IFERROR(LOOKUP(2,1/((Log[ID]=Items[[#This Row],[ID]])*(Log[Verb]="pass")),Log[Arg])&amp;"",Items[[#This Row],[Team]]&amp;""))</f>
      </c>
      <c r="L795" s="17">
        <f>IF(Items[[#This Row],[ID]]="","",IFERROR(LOOKUP(2,1/((Log[ID]=Items[[#This Row],[ID]])*(Log[Into]&lt;&gt;"")),Log[Into]),""))</f>
      </c>
      <c r="M795" s="17">
        <f>IF(Items[[#This Row],[ID]]="","",IF(IFERROR(LOOKUP(2,1/((Log[ID]=Items[[#This Row],[ID]])*(Log[Blk]&lt;&gt;"")),Log[Blk]),0)=1,"Y",""))</f>
      </c>
      <c r="N795" s="17">
        <f>IF(Items[[#This Row],[ID]]="","",SUBSTITUTE(IFERROR(LOOKUP(2,1/((Log[ID]=Items[[#This Row],[ID]])*(Log[State]&lt;&gt;"")),Log[State]),"TODO"),"OPEN",IF(Items[[#This Row],[Blocked]]="Y","WAIT","OPEN")))</f>
      </c>
      <c r="O79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95" s="17">
        <f>IF(Items[[#This Row],[State]]&lt;&gt;"WAIT","",AsOf-Items[[#This Row],[Blocked since]])</f>
      </c>
      <c r="Q795" s="17">
        <f>IF(Items[[#This Row],[State]]&lt;&gt;"WAIT","",IFERROR(LOOKUP(2,1/((Log[ID]=Items[[#This Row],[ID]])*(Log[Verb]="block")),Log[Note])&amp;"",""))</f>
      </c>
      <c r="R795" s="17">
        <f>IF(Items[[#This Row],[ID]]="","",COUNTIFS(Log[ID],Items[[#This Row],[ID]],Log[Verb],"carry"))</f>
      </c>
      <c r="S795" s="17">
        <f>IF(Items[[#This Row],[ID]]="","",COUNTIFS(Log[ID],Items[[#This Row],[ID]],Log[Verb],"punt"))</f>
      </c>
      <c r="T795" s="11">
        <f>IF(Items[[#This Row],[State]]&lt;&gt;"DONE","",IFERROR(LOOKUP(2,1/((Log[ID]=Items[[#This Row],[ID]])*(Log[Verb]="done")),Log[Date]),""))</f>
      </c>
      <c r="U795" s="17">
        <f>IF(Items[[#This Row],[ID]]="","",IF(AND(Items[[#This Row],[Sprint]]=CurSprint,OR(Items[[#This Row],[State]]="OPEN",Items[[#This Row],[State]]="WAIT",Items[[#This Row],[State]]="HOLD",Items[[#This Row],[State]]="DONE")),1,0))</f>
      </c>
      <c r="V795" s="17">
        <f>IF(OR(Items[[#This Row],[ID]]="",Items[[#This Row],[Added]]=""),"",AsOf-Items[[#This Row],[Added]])</f>
      </c>
      <c r="W795" s="17">
        <f>IF(Items[[#This Row],[In sprint]]=1,(IF(Items[[#This Row],[Prio]]="",9,N(Items[[#This Row],[Prio]]))*10+(IF(Items[[#This Row],[State]]="DONE",1,0)))*100000+ROW(),"")</f>
      </c>
      <c r="X79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95" s="17">
        <f>IF(AND(Items[[#This Row],[State]]="DONE",N(Items[[#This Row],[Done on]])&gt;AsOf-7),(200000-N(Items[[#This Row],[Done on]]))*100000+ROW(),"")</f>
      </c>
    </row>
    <row r="796">
      <c r="A796" t="s">
        <v>974</v>
      </c>
      <c r="B796" t="s">
        <v>2017</v>
      </c>
      <c r="C796" t="s">
        <v>1107</v>
      </c>
      <c r="D796" t="s">
        <v>1127</v>
      </c>
      <c r="E796" t="s">
        <v>1159</v>
      </c>
      <c r="F796" t="s">
        <v>1160</v>
      </c>
      <c r="G796">
        <v>3</v>
      </c>
      <c r="H796">
        <v>1</v>
      </c>
      <c r="I796" s="11">
        <v>46245</v>
      </c>
      <c r="J796" s="17">
        <f>IF(Items[[#This Row],[ID]]="","",IFERROR(VALUE(LOOKUP(2,1/((Log[ID]=Items[[#This Row],[ID]])*(Log[Verb]="est")),Log[Arg])),N(Items[[#This Row],[Points]])))</f>
      </c>
      <c r="K796" s="17">
        <f>IF(Items[[#This Row],[ID]]="","",IFERROR(LOOKUP(2,1/((Log[ID]=Items[[#This Row],[ID]])*(Log[Verb]="pass")),Log[Arg])&amp;"",Items[[#This Row],[Team]]&amp;""))</f>
      </c>
      <c r="L796" s="17">
        <f>IF(Items[[#This Row],[ID]]="","",IFERROR(LOOKUP(2,1/((Log[ID]=Items[[#This Row],[ID]])*(Log[Into]&lt;&gt;"")),Log[Into]),""))</f>
      </c>
      <c r="M796" s="17">
        <f>IF(Items[[#This Row],[ID]]="","",IF(IFERROR(LOOKUP(2,1/((Log[ID]=Items[[#This Row],[ID]])*(Log[Blk]&lt;&gt;"")),Log[Blk]),0)=1,"Y",""))</f>
      </c>
      <c r="N796" s="17">
        <f>IF(Items[[#This Row],[ID]]="","",SUBSTITUTE(IFERROR(LOOKUP(2,1/((Log[ID]=Items[[#This Row],[ID]])*(Log[State]&lt;&gt;"")),Log[State]),"TODO"),"OPEN",IF(Items[[#This Row],[Blocked]]="Y","WAIT","OPEN")))</f>
      </c>
      <c r="O79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96" s="17">
        <f>IF(Items[[#This Row],[State]]&lt;&gt;"WAIT","",AsOf-Items[[#This Row],[Blocked since]])</f>
      </c>
      <c r="Q796" s="17">
        <f>IF(Items[[#This Row],[State]]&lt;&gt;"WAIT","",IFERROR(LOOKUP(2,1/((Log[ID]=Items[[#This Row],[ID]])*(Log[Verb]="block")),Log[Note])&amp;"",""))</f>
      </c>
      <c r="R796" s="17">
        <f>IF(Items[[#This Row],[ID]]="","",COUNTIFS(Log[ID],Items[[#This Row],[ID]],Log[Verb],"carry"))</f>
      </c>
      <c r="S796" s="17">
        <f>IF(Items[[#This Row],[ID]]="","",COUNTIFS(Log[ID],Items[[#This Row],[ID]],Log[Verb],"punt"))</f>
      </c>
      <c r="T796" s="11">
        <f>IF(Items[[#This Row],[State]]&lt;&gt;"DONE","",IFERROR(LOOKUP(2,1/((Log[ID]=Items[[#This Row],[ID]])*(Log[Verb]="done")),Log[Date]),""))</f>
      </c>
      <c r="U796" s="17">
        <f>IF(Items[[#This Row],[ID]]="","",IF(AND(Items[[#This Row],[Sprint]]=CurSprint,OR(Items[[#This Row],[State]]="OPEN",Items[[#This Row],[State]]="WAIT",Items[[#This Row],[State]]="HOLD",Items[[#This Row],[State]]="DONE")),1,0))</f>
      </c>
      <c r="V796" s="17">
        <f>IF(OR(Items[[#This Row],[ID]]="",Items[[#This Row],[Added]]=""),"",AsOf-Items[[#This Row],[Added]])</f>
      </c>
      <c r="W796" s="17">
        <f>IF(Items[[#This Row],[In sprint]]=1,(IF(Items[[#This Row],[Prio]]="",9,N(Items[[#This Row],[Prio]]))*10+(IF(Items[[#This Row],[State]]="DONE",1,0)))*100000+ROW(),"")</f>
      </c>
      <c r="X79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96" s="17">
        <f>IF(AND(Items[[#This Row],[State]]="DONE",N(Items[[#This Row],[Done on]])&gt;AsOf-7),(200000-N(Items[[#This Row],[Done on]]))*100000+ROW(),"")</f>
      </c>
    </row>
    <row r="797">
      <c r="A797" t="s">
        <v>919</v>
      </c>
      <c r="B797" t="s">
        <v>2018</v>
      </c>
      <c r="C797" t="s">
        <v>1115</v>
      </c>
      <c r="D797" t="s">
        <v>1119</v>
      </c>
      <c r="E797" t="s">
        <v>1128</v>
      </c>
      <c r="F797" t="s">
        <v>1217</v>
      </c>
      <c r="G797">
        <v>8</v>
      </c>
      <c r="H797">
        <v>3</v>
      </c>
      <c r="I797" s="11">
        <v>46245</v>
      </c>
      <c r="J797" s="17">
        <f>IF(Items[[#This Row],[ID]]="","",IFERROR(VALUE(LOOKUP(2,1/((Log[ID]=Items[[#This Row],[ID]])*(Log[Verb]="est")),Log[Arg])),N(Items[[#This Row],[Points]])))</f>
      </c>
      <c r="K797" s="17">
        <f>IF(Items[[#This Row],[ID]]="","",IFERROR(LOOKUP(2,1/((Log[ID]=Items[[#This Row],[ID]])*(Log[Verb]="pass")),Log[Arg])&amp;"",Items[[#This Row],[Team]]&amp;""))</f>
      </c>
      <c r="L797" s="17">
        <f>IF(Items[[#This Row],[ID]]="","",IFERROR(LOOKUP(2,1/((Log[ID]=Items[[#This Row],[ID]])*(Log[Into]&lt;&gt;"")),Log[Into]),""))</f>
      </c>
      <c r="M797" s="17">
        <f>IF(Items[[#This Row],[ID]]="","",IF(IFERROR(LOOKUP(2,1/((Log[ID]=Items[[#This Row],[ID]])*(Log[Blk]&lt;&gt;"")),Log[Blk]),0)=1,"Y",""))</f>
      </c>
      <c r="N797" s="17">
        <f>IF(Items[[#This Row],[ID]]="","",SUBSTITUTE(IFERROR(LOOKUP(2,1/((Log[ID]=Items[[#This Row],[ID]])*(Log[State]&lt;&gt;"")),Log[State]),"TODO"),"OPEN",IF(Items[[#This Row],[Blocked]]="Y","WAIT","OPEN")))</f>
      </c>
      <c r="O79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97" s="17">
        <f>IF(Items[[#This Row],[State]]&lt;&gt;"WAIT","",AsOf-Items[[#This Row],[Blocked since]])</f>
      </c>
      <c r="Q797" s="17">
        <f>IF(Items[[#This Row],[State]]&lt;&gt;"WAIT","",IFERROR(LOOKUP(2,1/((Log[ID]=Items[[#This Row],[ID]])*(Log[Verb]="block")),Log[Note])&amp;"",""))</f>
      </c>
      <c r="R797" s="17">
        <f>IF(Items[[#This Row],[ID]]="","",COUNTIFS(Log[ID],Items[[#This Row],[ID]],Log[Verb],"carry"))</f>
      </c>
      <c r="S797" s="17">
        <f>IF(Items[[#This Row],[ID]]="","",COUNTIFS(Log[ID],Items[[#This Row],[ID]],Log[Verb],"punt"))</f>
      </c>
      <c r="T797" s="11">
        <f>IF(Items[[#This Row],[State]]&lt;&gt;"DONE","",IFERROR(LOOKUP(2,1/((Log[ID]=Items[[#This Row],[ID]])*(Log[Verb]="done")),Log[Date]),""))</f>
      </c>
      <c r="U797" s="17">
        <f>IF(Items[[#This Row],[ID]]="","",IF(AND(Items[[#This Row],[Sprint]]=CurSprint,OR(Items[[#This Row],[State]]="OPEN",Items[[#This Row],[State]]="WAIT",Items[[#This Row],[State]]="HOLD",Items[[#This Row],[State]]="DONE")),1,0))</f>
      </c>
      <c r="V797" s="17">
        <f>IF(OR(Items[[#This Row],[ID]]="",Items[[#This Row],[Added]]=""),"",AsOf-Items[[#This Row],[Added]])</f>
      </c>
      <c r="W797" s="17">
        <f>IF(Items[[#This Row],[In sprint]]=1,(IF(Items[[#This Row],[Prio]]="",9,N(Items[[#This Row],[Prio]]))*10+(IF(Items[[#This Row],[State]]="DONE",1,0)))*100000+ROW(),"")</f>
      </c>
      <c r="X79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97" s="17">
        <f>IF(AND(Items[[#This Row],[State]]="DONE",N(Items[[#This Row],[Done on]])&gt;AsOf-7),(200000-N(Items[[#This Row],[Done on]]))*100000+ROW(),"")</f>
      </c>
    </row>
    <row r="798">
      <c r="A798" t="s">
        <v>920</v>
      </c>
      <c r="B798" t="s">
        <v>2019</v>
      </c>
      <c r="C798" t="s">
        <v>1107</v>
      </c>
      <c r="D798" t="s">
        <v>1127</v>
      </c>
      <c r="E798" t="s">
        <v>1128</v>
      </c>
      <c r="F798" t="s">
        <v>1217</v>
      </c>
      <c r="G798">
        <v>3</v>
      </c>
      <c r="H798">
        <v>2</v>
      </c>
      <c r="I798" s="11">
        <v>46245</v>
      </c>
      <c r="J798" s="17">
        <f>IF(Items[[#This Row],[ID]]="","",IFERROR(VALUE(LOOKUP(2,1/((Log[ID]=Items[[#This Row],[ID]])*(Log[Verb]="est")),Log[Arg])),N(Items[[#This Row],[Points]])))</f>
      </c>
      <c r="K798" s="17">
        <f>IF(Items[[#This Row],[ID]]="","",IFERROR(LOOKUP(2,1/((Log[ID]=Items[[#This Row],[ID]])*(Log[Verb]="pass")),Log[Arg])&amp;"",Items[[#This Row],[Team]]&amp;""))</f>
      </c>
      <c r="L798" s="17">
        <f>IF(Items[[#This Row],[ID]]="","",IFERROR(LOOKUP(2,1/((Log[ID]=Items[[#This Row],[ID]])*(Log[Into]&lt;&gt;"")),Log[Into]),""))</f>
      </c>
      <c r="M798" s="17">
        <f>IF(Items[[#This Row],[ID]]="","",IF(IFERROR(LOOKUP(2,1/((Log[ID]=Items[[#This Row],[ID]])*(Log[Blk]&lt;&gt;"")),Log[Blk]),0)=1,"Y",""))</f>
      </c>
      <c r="N798" s="17">
        <f>IF(Items[[#This Row],[ID]]="","",SUBSTITUTE(IFERROR(LOOKUP(2,1/((Log[ID]=Items[[#This Row],[ID]])*(Log[State]&lt;&gt;"")),Log[State]),"TODO"),"OPEN",IF(Items[[#This Row],[Blocked]]="Y","WAIT","OPEN")))</f>
      </c>
      <c r="O79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98" s="17">
        <f>IF(Items[[#This Row],[State]]&lt;&gt;"WAIT","",AsOf-Items[[#This Row],[Blocked since]])</f>
      </c>
      <c r="Q798" s="17">
        <f>IF(Items[[#This Row],[State]]&lt;&gt;"WAIT","",IFERROR(LOOKUP(2,1/((Log[ID]=Items[[#This Row],[ID]])*(Log[Verb]="block")),Log[Note])&amp;"",""))</f>
      </c>
      <c r="R798" s="17">
        <f>IF(Items[[#This Row],[ID]]="","",COUNTIFS(Log[ID],Items[[#This Row],[ID]],Log[Verb],"carry"))</f>
      </c>
      <c r="S798" s="17">
        <f>IF(Items[[#This Row],[ID]]="","",COUNTIFS(Log[ID],Items[[#This Row],[ID]],Log[Verb],"punt"))</f>
      </c>
      <c r="T798" s="11">
        <f>IF(Items[[#This Row],[State]]&lt;&gt;"DONE","",IFERROR(LOOKUP(2,1/((Log[ID]=Items[[#This Row],[ID]])*(Log[Verb]="done")),Log[Date]),""))</f>
      </c>
      <c r="U798" s="17">
        <f>IF(Items[[#This Row],[ID]]="","",IF(AND(Items[[#This Row],[Sprint]]=CurSprint,OR(Items[[#This Row],[State]]="OPEN",Items[[#This Row],[State]]="WAIT",Items[[#This Row],[State]]="HOLD",Items[[#This Row],[State]]="DONE")),1,0))</f>
      </c>
      <c r="V798" s="17">
        <f>IF(OR(Items[[#This Row],[ID]]="",Items[[#This Row],[Added]]=""),"",AsOf-Items[[#This Row],[Added]])</f>
      </c>
      <c r="W798" s="17">
        <f>IF(Items[[#This Row],[In sprint]]=1,(IF(Items[[#This Row],[Prio]]="",9,N(Items[[#This Row],[Prio]]))*10+(IF(Items[[#This Row],[State]]="DONE",1,0)))*100000+ROW(),"")</f>
      </c>
      <c r="X79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98" s="17">
        <f>IF(AND(Items[[#This Row],[State]]="DONE",N(Items[[#This Row],[Done on]])&gt;AsOf-7),(200000-N(Items[[#This Row],[Done on]]))*100000+ROW(),"")</f>
      </c>
    </row>
    <row r="799">
      <c r="A799" t="s">
        <v>921</v>
      </c>
      <c r="B799" t="s">
        <v>2020</v>
      </c>
      <c r="C799" t="s">
        <v>1107</v>
      </c>
      <c r="D799" t="s">
        <v>1123</v>
      </c>
      <c r="E799" t="s">
        <v>1128</v>
      </c>
      <c r="F799" t="s">
        <v>1217</v>
      </c>
      <c r="G799">
        <v>2</v>
      </c>
      <c r="H799">
        <v>2</v>
      </c>
      <c r="I799" s="11">
        <v>46245</v>
      </c>
      <c r="J799" s="17">
        <f>IF(Items[[#This Row],[ID]]="","",IFERROR(VALUE(LOOKUP(2,1/((Log[ID]=Items[[#This Row],[ID]])*(Log[Verb]="est")),Log[Arg])),N(Items[[#This Row],[Points]])))</f>
      </c>
      <c r="K799" s="17">
        <f>IF(Items[[#This Row],[ID]]="","",IFERROR(LOOKUP(2,1/((Log[ID]=Items[[#This Row],[ID]])*(Log[Verb]="pass")),Log[Arg])&amp;"",Items[[#This Row],[Team]]&amp;""))</f>
      </c>
      <c r="L799" s="17">
        <f>IF(Items[[#This Row],[ID]]="","",IFERROR(LOOKUP(2,1/((Log[ID]=Items[[#This Row],[ID]])*(Log[Into]&lt;&gt;"")),Log[Into]),""))</f>
      </c>
      <c r="M799" s="17">
        <f>IF(Items[[#This Row],[ID]]="","",IF(IFERROR(LOOKUP(2,1/((Log[ID]=Items[[#This Row],[ID]])*(Log[Blk]&lt;&gt;"")),Log[Blk]),0)=1,"Y",""))</f>
      </c>
      <c r="N799" s="17">
        <f>IF(Items[[#This Row],[ID]]="","",SUBSTITUTE(IFERROR(LOOKUP(2,1/((Log[ID]=Items[[#This Row],[ID]])*(Log[State]&lt;&gt;"")),Log[State]),"TODO"),"OPEN",IF(Items[[#This Row],[Blocked]]="Y","WAIT","OPEN")))</f>
      </c>
      <c r="O79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99" s="17">
        <f>IF(Items[[#This Row],[State]]&lt;&gt;"WAIT","",AsOf-Items[[#This Row],[Blocked since]])</f>
      </c>
      <c r="Q799" s="17">
        <f>IF(Items[[#This Row],[State]]&lt;&gt;"WAIT","",IFERROR(LOOKUP(2,1/((Log[ID]=Items[[#This Row],[ID]])*(Log[Verb]="block")),Log[Note])&amp;"",""))</f>
      </c>
      <c r="R799" s="17">
        <f>IF(Items[[#This Row],[ID]]="","",COUNTIFS(Log[ID],Items[[#This Row],[ID]],Log[Verb],"carry"))</f>
      </c>
      <c r="S799" s="17">
        <f>IF(Items[[#This Row],[ID]]="","",COUNTIFS(Log[ID],Items[[#This Row],[ID]],Log[Verb],"punt"))</f>
      </c>
      <c r="T799" s="11">
        <f>IF(Items[[#This Row],[State]]&lt;&gt;"DONE","",IFERROR(LOOKUP(2,1/((Log[ID]=Items[[#This Row],[ID]])*(Log[Verb]="done")),Log[Date]),""))</f>
      </c>
      <c r="U799" s="17">
        <f>IF(Items[[#This Row],[ID]]="","",IF(AND(Items[[#This Row],[Sprint]]=CurSprint,OR(Items[[#This Row],[State]]="OPEN",Items[[#This Row],[State]]="WAIT",Items[[#This Row],[State]]="HOLD",Items[[#This Row],[State]]="DONE")),1,0))</f>
      </c>
      <c r="V799" s="17">
        <f>IF(OR(Items[[#This Row],[ID]]="",Items[[#This Row],[Added]]=""),"",AsOf-Items[[#This Row],[Added]])</f>
      </c>
      <c r="W799" s="17">
        <f>IF(Items[[#This Row],[In sprint]]=1,(IF(Items[[#This Row],[Prio]]="",9,N(Items[[#This Row],[Prio]]))*10+(IF(Items[[#This Row],[State]]="DONE",1,0)))*100000+ROW(),"")</f>
      </c>
      <c r="X79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99" s="17">
        <f>IF(AND(Items[[#This Row],[State]]="DONE",N(Items[[#This Row],[Done on]])&gt;AsOf-7),(200000-N(Items[[#This Row],[Done on]]))*100000+ROW(),"")</f>
      </c>
    </row>
    <row r="800">
      <c r="A800" t="s">
        <v>978</v>
      </c>
      <c r="B800" t="s">
        <v>2021</v>
      </c>
      <c r="C800" t="s">
        <v>1107</v>
      </c>
      <c r="D800" t="s">
        <v>1123</v>
      </c>
      <c r="E800" t="s">
        <v>1128</v>
      </c>
      <c r="F800" t="s">
        <v>1451</v>
      </c>
      <c r="G800">
        <v>8</v>
      </c>
      <c r="H800">
        <v>1</v>
      </c>
      <c r="I800" s="11">
        <v>46245</v>
      </c>
      <c r="J800" s="17">
        <f>IF(Items[[#This Row],[ID]]="","",IFERROR(VALUE(LOOKUP(2,1/((Log[ID]=Items[[#This Row],[ID]])*(Log[Verb]="est")),Log[Arg])),N(Items[[#This Row],[Points]])))</f>
      </c>
      <c r="K800" s="17">
        <f>IF(Items[[#This Row],[ID]]="","",IFERROR(LOOKUP(2,1/((Log[ID]=Items[[#This Row],[ID]])*(Log[Verb]="pass")),Log[Arg])&amp;"",Items[[#This Row],[Team]]&amp;""))</f>
      </c>
      <c r="L800" s="17">
        <f>IF(Items[[#This Row],[ID]]="","",IFERROR(LOOKUP(2,1/((Log[ID]=Items[[#This Row],[ID]])*(Log[Into]&lt;&gt;"")),Log[Into]),""))</f>
      </c>
      <c r="M800" s="17">
        <f>IF(Items[[#This Row],[ID]]="","",IF(IFERROR(LOOKUP(2,1/((Log[ID]=Items[[#This Row],[ID]])*(Log[Blk]&lt;&gt;"")),Log[Blk]),0)=1,"Y",""))</f>
      </c>
      <c r="N800" s="17">
        <f>IF(Items[[#This Row],[ID]]="","",SUBSTITUTE(IFERROR(LOOKUP(2,1/((Log[ID]=Items[[#This Row],[ID]])*(Log[State]&lt;&gt;"")),Log[State]),"TODO"),"OPEN",IF(Items[[#This Row],[Blocked]]="Y","WAIT","OPEN")))</f>
      </c>
      <c r="O80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00" s="17">
        <f>IF(Items[[#This Row],[State]]&lt;&gt;"WAIT","",AsOf-Items[[#This Row],[Blocked since]])</f>
      </c>
      <c r="Q800" s="17">
        <f>IF(Items[[#This Row],[State]]&lt;&gt;"WAIT","",IFERROR(LOOKUP(2,1/((Log[ID]=Items[[#This Row],[ID]])*(Log[Verb]="block")),Log[Note])&amp;"",""))</f>
      </c>
      <c r="R800" s="17">
        <f>IF(Items[[#This Row],[ID]]="","",COUNTIFS(Log[ID],Items[[#This Row],[ID]],Log[Verb],"carry"))</f>
      </c>
      <c r="S800" s="17">
        <f>IF(Items[[#This Row],[ID]]="","",COUNTIFS(Log[ID],Items[[#This Row],[ID]],Log[Verb],"punt"))</f>
      </c>
      <c r="T800" s="11">
        <f>IF(Items[[#This Row],[State]]&lt;&gt;"DONE","",IFERROR(LOOKUP(2,1/((Log[ID]=Items[[#This Row],[ID]])*(Log[Verb]="done")),Log[Date]),""))</f>
      </c>
      <c r="U800" s="17">
        <f>IF(Items[[#This Row],[ID]]="","",IF(AND(Items[[#This Row],[Sprint]]=CurSprint,OR(Items[[#This Row],[State]]="OPEN",Items[[#This Row],[State]]="WAIT",Items[[#This Row],[State]]="HOLD",Items[[#This Row],[State]]="DONE")),1,0))</f>
      </c>
      <c r="V800" s="17">
        <f>IF(OR(Items[[#This Row],[ID]]="",Items[[#This Row],[Added]]=""),"",AsOf-Items[[#This Row],[Added]])</f>
      </c>
      <c r="W800" s="17">
        <f>IF(Items[[#This Row],[In sprint]]=1,(IF(Items[[#This Row],[Prio]]="",9,N(Items[[#This Row],[Prio]]))*10+(IF(Items[[#This Row],[State]]="DONE",1,0)))*100000+ROW(),"")</f>
      </c>
      <c r="X80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00" s="17">
        <f>IF(AND(Items[[#This Row],[State]]="DONE",N(Items[[#This Row],[Done on]])&gt;AsOf-7),(200000-N(Items[[#This Row],[Done on]]))*100000+ROW(),"")</f>
      </c>
    </row>
    <row r="801">
      <c r="A801" t="s">
        <v>979</v>
      </c>
      <c r="B801" t="s">
        <v>2022</v>
      </c>
      <c r="C801" t="s">
        <v>1115</v>
      </c>
      <c r="D801" t="s">
        <v>1116</v>
      </c>
      <c r="E801" t="s">
        <v>1128</v>
      </c>
      <c r="F801" t="s">
        <v>1129</v>
      </c>
      <c r="G801">
        <v>5</v>
      </c>
      <c r="H801">
        <v>1</v>
      </c>
      <c r="I801" s="11">
        <v>46245</v>
      </c>
      <c r="J801" s="17">
        <f>IF(Items[[#This Row],[ID]]="","",IFERROR(VALUE(LOOKUP(2,1/((Log[ID]=Items[[#This Row],[ID]])*(Log[Verb]="est")),Log[Arg])),N(Items[[#This Row],[Points]])))</f>
      </c>
      <c r="K801" s="17">
        <f>IF(Items[[#This Row],[ID]]="","",IFERROR(LOOKUP(2,1/((Log[ID]=Items[[#This Row],[ID]])*(Log[Verb]="pass")),Log[Arg])&amp;"",Items[[#This Row],[Team]]&amp;""))</f>
      </c>
      <c r="L801" s="17">
        <f>IF(Items[[#This Row],[ID]]="","",IFERROR(LOOKUP(2,1/((Log[ID]=Items[[#This Row],[ID]])*(Log[Into]&lt;&gt;"")),Log[Into]),""))</f>
      </c>
      <c r="M801" s="17">
        <f>IF(Items[[#This Row],[ID]]="","",IF(IFERROR(LOOKUP(2,1/((Log[ID]=Items[[#This Row],[ID]])*(Log[Blk]&lt;&gt;"")),Log[Blk]),0)=1,"Y",""))</f>
      </c>
      <c r="N801" s="17">
        <f>IF(Items[[#This Row],[ID]]="","",SUBSTITUTE(IFERROR(LOOKUP(2,1/((Log[ID]=Items[[#This Row],[ID]])*(Log[State]&lt;&gt;"")),Log[State]),"TODO"),"OPEN",IF(Items[[#This Row],[Blocked]]="Y","WAIT","OPEN")))</f>
      </c>
      <c r="O80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01" s="17">
        <f>IF(Items[[#This Row],[State]]&lt;&gt;"WAIT","",AsOf-Items[[#This Row],[Blocked since]])</f>
      </c>
      <c r="Q801" s="17">
        <f>IF(Items[[#This Row],[State]]&lt;&gt;"WAIT","",IFERROR(LOOKUP(2,1/((Log[ID]=Items[[#This Row],[ID]])*(Log[Verb]="block")),Log[Note])&amp;"",""))</f>
      </c>
      <c r="R801" s="17">
        <f>IF(Items[[#This Row],[ID]]="","",COUNTIFS(Log[ID],Items[[#This Row],[ID]],Log[Verb],"carry"))</f>
      </c>
      <c r="S801" s="17">
        <f>IF(Items[[#This Row],[ID]]="","",COUNTIFS(Log[ID],Items[[#This Row],[ID]],Log[Verb],"punt"))</f>
      </c>
      <c r="T801" s="11">
        <f>IF(Items[[#This Row],[State]]&lt;&gt;"DONE","",IFERROR(LOOKUP(2,1/((Log[ID]=Items[[#This Row],[ID]])*(Log[Verb]="done")),Log[Date]),""))</f>
      </c>
      <c r="U801" s="17">
        <f>IF(Items[[#This Row],[ID]]="","",IF(AND(Items[[#This Row],[Sprint]]=CurSprint,OR(Items[[#This Row],[State]]="OPEN",Items[[#This Row],[State]]="WAIT",Items[[#This Row],[State]]="HOLD",Items[[#This Row],[State]]="DONE")),1,0))</f>
      </c>
      <c r="V801" s="17">
        <f>IF(OR(Items[[#This Row],[ID]]="",Items[[#This Row],[Added]]=""),"",AsOf-Items[[#This Row],[Added]])</f>
      </c>
      <c r="W801" s="17">
        <f>IF(Items[[#This Row],[In sprint]]=1,(IF(Items[[#This Row],[Prio]]="",9,N(Items[[#This Row],[Prio]]))*10+(IF(Items[[#This Row],[State]]="DONE",1,0)))*100000+ROW(),"")</f>
      </c>
      <c r="X80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01" s="17">
        <f>IF(AND(Items[[#This Row],[State]]="DONE",N(Items[[#This Row],[Done on]])&gt;AsOf-7),(200000-N(Items[[#This Row],[Done on]]))*100000+ROW(),"")</f>
      </c>
    </row>
    <row r="802">
      <c r="A802" t="s">
        <v>980</v>
      </c>
      <c r="B802" t="s">
        <v>2023</v>
      </c>
      <c r="C802" t="s">
        <v>1107</v>
      </c>
      <c r="D802" t="s">
        <v>1108</v>
      </c>
      <c r="E802" t="s">
        <v>1128</v>
      </c>
      <c r="F802" t="s">
        <v>1296</v>
      </c>
      <c r="G802">
        <v>5</v>
      </c>
      <c r="H802">
        <v>2</v>
      </c>
      <c r="I802" s="11">
        <v>46245</v>
      </c>
      <c r="J802" s="17">
        <f>IF(Items[[#This Row],[ID]]="","",IFERROR(VALUE(LOOKUP(2,1/((Log[ID]=Items[[#This Row],[ID]])*(Log[Verb]="est")),Log[Arg])),N(Items[[#This Row],[Points]])))</f>
      </c>
      <c r="K802" s="17">
        <f>IF(Items[[#This Row],[ID]]="","",IFERROR(LOOKUP(2,1/((Log[ID]=Items[[#This Row],[ID]])*(Log[Verb]="pass")),Log[Arg])&amp;"",Items[[#This Row],[Team]]&amp;""))</f>
      </c>
      <c r="L802" s="17">
        <f>IF(Items[[#This Row],[ID]]="","",IFERROR(LOOKUP(2,1/((Log[ID]=Items[[#This Row],[ID]])*(Log[Into]&lt;&gt;"")),Log[Into]),""))</f>
      </c>
      <c r="M802" s="17">
        <f>IF(Items[[#This Row],[ID]]="","",IF(IFERROR(LOOKUP(2,1/((Log[ID]=Items[[#This Row],[ID]])*(Log[Blk]&lt;&gt;"")),Log[Blk]),0)=1,"Y",""))</f>
      </c>
      <c r="N802" s="17">
        <f>IF(Items[[#This Row],[ID]]="","",SUBSTITUTE(IFERROR(LOOKUP(2,1/((Log[ID]=Items[[#This Row],[ID]])*(Log[State]&lt;&gt;"")),Log[State]),"TODO"),"OPEN",IF(Items[[#This Row],[Blocked]]="Y","WAIT","OPEN")))</f>
      </c>
      <c r="O80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02" s="17">
        <f>IF(Items[[#This Row],[State]]&lt;&gt;"WAIT","",AsOf-Items[[#This Row],[Blocked since]])</f>
      </c>
      <c r="Q802" s="17">
        <f>IF(Items[[#This Row],[State]]&lt;&gt;"WAIT","",IFERROR(LOOKUP(2,1/((Log[ID]=Items[[#This Row],[ID]])*(Log[Verb]="block")),Log[Note])&amp;"",""))</f>
      </c>
      <c r="R802" s="17">
        <f>IF(Items[[#This Row],[ID]]="","",COUNTIFS(Log[ID],Items[[#This Row],[ID]],Log[Verb],"carry"))</f>
      </c>
      <c r="S802" s="17">
        <f>IF(Items[[#This Row],[ID]]="","",COUNTIFS(Log[ID],Items[[#This Row],[ID]],Log[Verb],"punt"))</f>
      </c>
      <c r="T802" s="11">
        <f>IF(Items[[#This Row],[State]]&lt;&gt;"DONE","",IFERROR(LOOKUP(2,1/((Log[ID]=Items[[#This Row],[ID]])*(Log[Verb]="done")),Log[Date]),""))</f>
      </c>
      <c r="U802" s="17">
        <f>IF(Items[[#This Row],[ID]]="","",IF(AND(Items[[#This Row],[Sprint]]=CurSprint,OR(Items[[#This Row],[State]]="OPEN",Items[[#This Row],[State]]="WAIT",Items[[#This Row],[State]]="HOLD",Items[[#This Row],[State]]="DONE")),1,0))</f>
      </c>
      <c r="V802" s="17">
        <f>IF(OR(Items[[#This Row],[ID]]="",Items[[#This Row],[Added]]=""),"",AsOf-Items[[#This Row],[Added]])</f>
      </c>
      <c r="W802" s="17">
        <f>IF(Items[[#This Row],[In sprint]]=1,(IF(Items[[#This Row],[Prio]]="",9,N(Items[[#This Row],[Prio]]))*10+(IF(Items[[#This Row],[State]]="DONE",1,0)))*100000+ROW(),"")</f>
      </c>
      <c r="X80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02" s="17">
        <f>IF(AND(Items[[#This Row],[State]]="DONE",N(Items[[#This Row],[Done on]])&gt;AsOf-7),(200000-N(Items[[#This Row],[Done on]]))*100000+ROW(),"")</f>
      </c>
    </row>
    <row r="803">
      <c r="A803" t="s">
        <v>981</v>
      </c>
      <c r="B803" t="s">
        <v>2024</v>
      </c>
      <c r="C803" t="s">
        <v>1115</v>
      </c>
      <c r="D803" t="s">
        <v>1119</v>
      </c>
      <c r="E803" t="s">
        <v>1128</v>
      </c>
      <c r="F803" t="s">
        <v>1162</v>
      </c>
      <c r="G803">
        <v>2</v>
      </c>
      <c r="H803">
        <v>2</v>
      </c>
      <c r="I803" s="11">
        <v>46245</v>
      </c>
      <c r="J803" s="17">
        <f>IF(Items[[#This Row],[ID]]="","",IFERROR(VALUE(LOOKUP(2,1/((Log[ID]=Items[[#This Row],[ID]])*(Log[Verb]="est")),Log[Arg])),N(Items[[#This Row],[Points]])))</f>
      </c>
      <c r="K803" s="17">
        <f>IF(Items[[#This Row],[ID]]="","",IFERROR(LOOKUP(2,1/((Log[ID]=Items[[#This Row],[ID]])*(Log[Verb]="pass")),Log[Arg])&amp;"",Items[[#This Row],[Team]]&amp;""))</f>
      </c>
      <c r="L803" s="17">
        <f>IF(Items[[#This Row],[ID]]="","",IFERROR(LOOKUP(2,1/((Log[ID]=Items[[#This Row],[ID]])*(Log[Into]&lt;&gt;"")),Log[Into]),""))</f>
      </c>
      <c r="M803" s="17">
        <f>IF(Items[[#This Row],[ID]]="","",IF(IFERROR(LOOKUP(2,1/((Log[ID]=Items[[#This Row],[ID]])*(Log[Blk]&lt;&gt;"")),Log[Blk]),0)=1,"Y",""))</f>
      </c>
      <c r="N803" s="17">
        <f>IF(Items[[#This Row],[ID]]="","",SUBSTITUTE(IFERROR(LOOKUP(2,1/((Log[ID]=Items[[#This Row],[ID]])*(Log[State]&lt;&gt;"")),Log[State]),"TODO"),"OPEN",IF(Items[[#This Row],[Blocked]]="Y","WAIT","OPEN")))</f>
      </c>
      <c r="O80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03" s="17">
        <f>IF(Items[[#This Row],[State]]&lt;&gt;"WAIT","",AsOf-Items[[#This Row],[Blocked since]])</f>
      </c>
      <c r="Q803" s="17">
        <f>IF(Items[[#This Row],[State]]&lt;&gt;"WAIT","",IFERROR(LOOKUP(2,1/((Log[ID]=Items[[#This Row],[ID]])*(Log[Verb]="block")),Log[Note])&amp;"",""))</f>
      </c>
      <c r="R803" s="17">
        <f>IF(Items[[#This Row],[ID]]="","",COUNTIFS(Log[ID],Items[[#This Row],[ID]],Log[Verb],"carry"))</f>
      </c>
      <c r="S803" s="17">
        <f>IF(Items[[#This Row],[ID]]="","",COUNTIFS(Log[ID],Items[[#This Row],[ID]],Log[Verb],"punt"))</f>
      </c>
      <c r="T803" s="11">
        <f>IF(Items[[#This Row],[State]]&lt;&gt;"DONE","",IFERROR(LOOKUP(2,1/((Log[ID]=Items[[#This Row],[ID]])*(Log[Verb]="done")),Log[Date]),""))</f>
      </c>
      <c r="U803" s="17">
        <f>IF(Items[[#This Row],[ID]]="","",IF(AND(Items[[#This Row],[Sprint]]=CurSprint,OR(Items[[#This Row],[State]]="OPEN",Items[[#This Row],[State]]="WAIT",Items[[#This Row],[State]]="HOLD",Items[[#This Row],[State]]="DONE")),1,0))</f>
      </c>
      <c r="V803" s="17">
        <f>IF(OR(Items[[#This Row],[ID]]="",Items[[#This Row],[Added]]=""),"",AsOf-Items[[#This Row],[Added]])</f>
      </c>
      <c r="W803" s="17">
        <f>IF(Items[[#This Row],[In sprint]]=1,(IF(Items[[#This Row],[Prio]]="",9,N(Items[[#This Row],[Prio]]))*10+(IF(Items[[#This Row],[State]]="DONE",1,0)))*100000+ROW(),"")</f>
      </c>
      <c r="X80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03" s="17">
        <f>IF(AND(Items[[#This Row],[State]]="DONE",N(Items[[#This Row],[Done on]])&gt;AsOf-7),(200000-N(Items[[#This Row],[Done on]]))*100000+ROW(),"")</f>
      </c>
    </row>
    <row r="804">
      <c r="A804" t="s">
        <v>982</v>
      </c>
      <c r="B804" t="s">
        <v>2025</v>
      </c>
      <c r="C804" t="s">
        <v>1115</v>
      </c>
      <c r="D804" t="s">
        <v>1119</v>
      </c>
      <c r="E804" t="s">
        <v>1128</v>
      </c>
      <c r="F804" t="s">
        <v>1451</v>
      </c>
      <c r="G804">
        <v>5</v>
      </c>
      <c r="H804">
        <v>3</v>
      </c>
      <c r="I804" s="11">
        <v>46245</v>
      </c>
      <c r="J804" s="17">
        <f>IF(Items[[#This Row],[ID]]="","",IFERROR(VALUE(LOOKUP(2,1/((Log[ID]=Items[[#This Row],[ID]])*(Log[Verb]="est")),Log[Arg])),N(Items[[#This Row],[Points]])))</f>
      </c>
      <c r="K804" s="17">
        <f>IF(Items[[#This Row],[ID]]="","",IFERROR(LOOKUP(2,1/((Log[ID]=Items[[#This Row],[ID]])*(Log[Verb]="pass")),Log[Arg])&amp;"",Items[[#This Row],[Team]]&amp;""))</f>
      </c>
      <c r="L804" s="17">
        <f>IF(Items[[#This Row],[ID]]="","",IFERROR(LOOKUP(2,1/((Log[ID]=Items[[#This Row],[ID]])*(Log[Into]&lt;&gt;"")),Log[Into]),""))</f>
      </c>
      <c r="M804" s="17">
        <f>IF(Items[[#This Row],[ID]]="","",IF(IFERROR(LOOKUP(2,1/((Log[ID]=Items[[#This Row],[ID]])*(Log[Blk]&lt;&gt;"")),Log[Blk]),0)=1,"Y",""))</f>
      </c>
      <c r="N804" s="17">
        <f>IF(Items[[#This Row],[ID]]="","",SUBSTITUTE(IFERROR(LOOKUP(2,1/((Log[ID]=Items[[#This Row],[ID]])*(Log[State]&lt;&gt;"")),Log[State]),"TODO"),"OPEN",IF(Items[[#This Row],[Blocked]]="Y","WAIT","OPEN")))</f>
      </c>
      <c r="O80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04" s="17">
        <f>IF(Items[[#This Row],[State]]&lt;&gt;"WAIT","",AsOf-Items[[#This Row],[Blocked since]])</f>
      </c>
      <c r="Q804" s="17">
        <f>IF(Items[[#This Row],[State]]&lt;&gt;"WAIT","",IFERROR(LOOKUP(2,1/((Log[ID]=Items[[#This Row],[ID]])*(Log[Verb]="block")),Log[Note])&amp;"",""))</f>
      </c>
      <c r="R804" s="17">
        <f>IF(Items[[#This Row],[ID]]="","",COUNTIFS(Log[ID],Items[[#This Row],[ID]],Log[Verb],"carry"))</f>
      </c>
      <c r="S804" s="17">
        <f>IF(Items[[#This Row],[ID]]="","",COUNTIFS(Log[ID],Items[[#This Row],[ID]],Log[Verb],"punt"))</f>
      </c>
      <c r="T804" s="11">
        <f>IF(Items[[#This Row],[State]]&lt;&gt;"DONE","",IFERROR(LOOKUP(2,1/((Log[ID]=Items[[#This Row],[ID]])*(Log[Verb]="done")),Log[Date]),""))</f>
      </c>
      <c r="U804" s="17">
        <f>IF(Items[[#This Row],[ID]]="","",IF(AND(Items[[#This Row],[Sprint]]=CurSprint,OR(Items[[#This Row],[State]]="OPEN",Items[[#This Row],[State]]="WAIT",Items[[#This Row],[State]]="HOLD",Items[[#This Row],[State]]="DONE")),1,0))</f>
      </c>
      <c r="V804" s="17">
        <f>IF(OR(Items[[#This Row],[ID]]="",Items[[#This Row],[Added]]=""),"",AsOf-Items[[#This Row],[Added]])</f>
      </c>
      <c r="W804" s="17">
        <f>IF(Items[[#This Row],[In sprint]]=1,(IF(Items[[#This Row],[Prio]]="",9,N(Items[[#This Row],[Prio]]))*10+(IF(Items[[#This Row],[State]]="DONE",1,0)))*100000+ROW(),"")</f>
      </c>
      <c r="X80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04" s="17">
        <f>IF(AND(Items[[#This Row],[State]]="DONE",N(Items[[#This Row],[Done on]])&gt;AsOf-7),(200000-N(Items[[#This Row],[Done on]]))*100000+ROW(),"")</f>
      </c>
    </row>
    <row r="805">
      <c r="A805" t="s">
        <v>984</v>
      </c>
      <c r="B805" t="s">
        <v>2026</v>
      </c>
      <c r="C805" t="s">
        <v>1115</v>
      </c>
      <c r="D805" t="s">
        <v>1119</v>
      </c>
      <c r="E805" t="s">
        <v>1109</v>
      </c>
      <c r="F805" t="s">
        <v>1220</v>
      </c>
      <c r="G805">
        <v>8</v>
      </c>
      <c r="H805">
        <v>1</v>
      </c>
      <c r="I805" s="11">
        <v>46245</v>
      </c>
      <c r="J805" s="17">
        <f>IF(Items[[#This Row],[ID]]="","",IFERROR(VALUE(LOOKUP(2,1/((Log[ID]=Items[[#This Row],[ID]])*(Log[Verb]="est")),Log[Arg])),N(Items[[#This Row],[Points]])))</f>
      </c>
      <c r="K805" s="17">
        <f>IF(Items[[#This Row],[ID]]="","",IFERROR(LOOKUP(2,1/((Log[ID]=Items[[#This Row],[ID]])*(Log[Verb]="pass")),Log[Arg])&amp;"",Items[[#This Row],[Team]]&amp;""))</f>
      </c>
      <c r="L805" s="17">
        <f>IF(Items[[#This Row],[ID]]="","",IFERROR(LOOKUP(2,1/((Log[ID]=Items[[#This Row],[ID]])*(Log[Into]&lt;&gt;"")),Log[Into]),""))</f>
      </c>
      <c r="M805" s="17">
        <f>IF(Items[[#This Row],[ID]]="","",IF(IFERROR(LOOKUP(2,1/((Log[ID]=Items[[#This Row],[ID]])*(Log[Blk]&lt;&gt;"")),Log[Blk]),0)=1,"Y",""))</f>
      </c>
      <c r="N805" s="17">
        <f>IF(Items[[#This Row],[ID]]="","",SUBSTITUTE(IFERROR(LOOKUP(2,1/((Log[ID]=Items[[#This Row],[ID]])*(Log[State]&lt;&gt;"")),Log[State]),"TODO"),"OPEN",IF(Items[[#This Row],[Blocked]]="Y","WAIT","OPEN")))</f>
      </c>
      <c r="O80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05" s="17">
        <f>IF(Items[[#This Row],[State]]&lt;&gt;"WAIT","",AsOf-Items[[#This Row],[Blocked since]])</f>
      </c>
      <c r="Q805" s="17">
        <f>IF(Items[[#This Row],[State]]&lt;&gt;"WAIT","",IFERROR(LOOKUP(2,1/((Log[ID]=Items[[#This Row],[ID]])*(Log[Verb]="block")),Log[Note])&amp;"",""))</f>
      </c>
      <c r="R805" s="17">
        <f>IF(Items[[#This Row],[ID]]="","",COUNTIFS(Log[ID],Items[[#This Row],[ID]],Log[Verb],"carry"))</f>
      </c>
      <c r="S805" s="17">
        <f>IF(Items[[#This Row],[ID]]="","",COUNTIFS(Log[ID],Items[[#This Row],[ID]],Log[Verb],"punt"))</f>
      </c>
      <c r="T805" s="11">
        <f>IF(Items[[#This Row],[State]]&lt;&gt;"DONE","",IFERROR(LOOKUP(2,1/((Log[ID]=Items[[#This Row],[ID]])*(Log[Verb]="done")),Log[Date]),""))</f>
      </c>
      <c r="U805" s="17">
        <f>IF(Items[[#This Row],[ID]]="","",IF(AND(Items[[#This Row],[Sprint]]=CurSprint,OR(Items[[#This Row],[State]]="OPEN",Items[[#This Row],[State]]="WAIT",Items[[#This Row],[State]]="HOLD",Items[[#This Row],[State]]="DONE")),1,0))</f>
      </c>
      <c r="V805" s="17">
        <f>IF(OR(Items[[#This Row],[ID]]="",Items[[#This Row],[Added]]=""),"",AsOf-Items[[#This Row],[Added]])</f>
      </c>
      <c r="W805" s="17">
        <f>IF(Items[[#This Row],[In sprint]]=1,(IF(Items[[#This Row],[Prio]]="",9,N(Items[[#This Row],[Prio]]))*10+(IF(Items[[#This Row],[State]]="DONE",1,0)))*100000+ROW(),"")</f>
      </c>
      <c r="X80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05" s="17">
        <f>IF(AND(Items[[#This Row],[State]]="DONE",N(Items[[#This Row],[Done on]])&gt;AsOf-7),(200000-N(Items[[#This Row],[Done on]]))*100000+ROW(),"")</f>
      </c>
    </row>
    <row r="806">
      <c r="A806" t="s">
        <v>926</v>
      </c>
      <c r="B806" t="s">
        <v>2027</v>
      </c>
      <c r="C806" t="s">
        <v>1115</v>
      </c>
      <c r="D806" t="s">
        <v>1119</v>
      </c>
      <c r="E806" t="s">
        <v>1109</v>
      </c>
      <c r="F806" t="s">
        <v>1222</v>
      </c>
      <c r="G806">
        <v>2</v>
      </c>
      <c r="H806">
        <v>1</v>
      </c>
      <c r="I806" s="11">
        <v>46245</v>
      </c>
      <c r="J806" s="17">
        <f>IF(Items[[#This Row],[ID]]="","",IFERROR(VALUE(LOOKUP(2,1/((Log[ID]=Items[[#This Row],[ID]])*(Log[Verb]="est")),Log[Arg])),N(Items[[#This Row],[Points]])))</f>
      </c>
      <c r="K806" s="17">
        <f>IF(Items[[#This Row],[ID]]="","",IFERROR(LOOKUP(2,1/((Log[ID]=Items[[#This Row],[ID]])*(Log[Verb]="pass")),Log[Arg])&amp;"",Items[[#This Row],[Team]]&amp;""))</f>
      </c>
      <c r="L806" s="17">
        <f>IF(Items[[#This Row],[ID]]="","",IFERROR(LOOKUP(2,1/((Log[ID]=Items[[#This Row],[ID]])*(Log[Into]&lt;&gt;"")),Log[Into]),""))</f>
      </c>
      <c r="M806" s="17">
        <f>IF(Items[[#This Row],[ID]]="","",IF(IFERROR(LOOKUP(2,1/((Log[ID]=Items[[#This Row],[ID]])*(Log[Blk]&lt;&gt;"")),Log[Blk]),0)=1,"Y",""))</f>
      </c>
      <c r="N806" s="17">
        <f>IF(Items[[#This Row],[ID]]="","",SUBSTITUTE(IFERROR(LOOKUP(2,1/((Log[ID]=Items[[#This Row],[ID]])*(Log[State]&lt;&gt;"")),Log[State]),"TODO"),"OPEN",IF(Items[[#This Row],[Blocked]]="Y","WAIT","OPEN")))</f>
      </c>
      <c r="O80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06" s="17">
        <f>IF(Items[[#This Row],[State]]&lt;&gt;"WAIT","",AsOf-Items[[#This Row],[Blocked since]])</f>
      </c>
      <c r="Q806" s="17">
        <f>IF(Items[[#This Row],[State]]&lt;&gt;"WAIT","",IFERROR(LOOKUP(2,1/((Log[ID]=Items[[#This Row],[ID]])*(Log[Verb]="block")),Log[Note])&amp;"",""))</f>
      </c>
      <c r="R806" s="17">
        <f>IF(Items[[#This Row],[ID]]="","",COUNTIFS(Log[ID],Items[[#This Row],[ID]],Log[Verb],"carry"))</f>
      </c>
      <c r="S806" s="17">
        <f>IF(Items[[#This Row],[ID]]="","",COUNTIFS(Log[ID],Items[[#This Row],[ID]],Log[Verb],"punt"))</f>
      </c>
      <c r="T806" s="11">
        <f>IF(Items[[#This Row],[State]]&lt;&gt;"DONE","",IFERROR(LOOKUP(2,1/((Log[ID]=Items[[#This Row],[ID]])*(Log[Verb]="done")),Log[Date]),""))</f>
      </c>
      <c r="U806" s="17">
        <f>IF(Items[[#This Row],[ID]]="","",IF(AND(Items[[#This Row],[Sprint]]=CurSprint,OR(Items[[#This Row],[State]]="OPEN",Items[[#This Row],[State]]="WAIT",Items[[#This Row],[State]]="HOLD",Items[[#This Row],[State]]="DONE")),1,0))</f>
      </c>
      <c r="V806" s="17">
        <f>IF(OR(Items[[#This Row],[ID]]="",Items[[#This Row],[Added]]=""),"",AsOf-Items[[#This Row],[Added]])</f>
      </c>
      <c r="W806" s="17">
        <f>IF(Items[[#This Row],[In sprint]]=1,(IF(Items[[#This Row],[Prio]]="",9,N(Items[[#This Row],[Prio]]))*10+(IF(Items[[#This Row],[State]]="DONE",1,0)))*100000+ROW(),"")</f>
      </c>
      <c r="X80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06" s="17">
        <f>IF(AND(Items[[#This Row],[State]]="DONE",N(Items[[#This Row],[Done on]])&gt;AsOf-7),(200000-N(Items[[#This Row],[Done on]]))*100000+ROW(),"")</f>
      </c>
    </row>
    <row r="807">
      <c r="A807" t="s">
        <v>985</v>
      </c>
      <c r="B807" t="s">
        <v>2028</v>
      </c>
      <c r="C807" t="s">
        <v>1115</v>
      </c>
      <c r="D807" t="s">
        <v>1119</v>
      </c>
      <c r="E807" t="s">
        <v>1109</v>
      </c>
      <c r="F807" t="s">
        <v>1300</v>
      </c>
      <c r="G807">
        <v>8</v>
      </c>
      <c r="H807">
        <v>1</v>
      </c>
      <c r="I807" s="11">
        <v>46245</v>
      </c>
      <c r="J807" s="17">
        <f>IF(Items[[#This Row],[ID]]="","",IFERROR(VALUE(LOOKUP(2,1/((Log[ID]=Items[[#This Row],[ID]])*(Log[Verb]="est")),Log[Arg])),N(Items[[#This Row],[Points]])))</f>
      </c>
      <c r="K807" s="17">
        <f>IF(Items[[#This Row],[ID]]="","",IFERROR(LOOKUP(2,1/((Log[ID]=Items[[#This Row],[ID]])*(Log[Verb]="pass")),Log[Arg])&amp;"",Items[[#This Row],[Team]]&amp;""))</f>
      </c>
      <c r="L807" s="17">
        <f>IF(Items[[#This Row],[ID]]="","",IFERROR(LOOKUP(2,1/((Log[ID]=Items[[#This Row],[ID]])*(Log[Into]&lt;&gt;"")),Log[Into]),""))</f>
      </c>
      <c r="M807" s="17">
        <f>IF(Items[[#This Row],[ID]]="","",IF(IFERROR(LOOKUP(2,1/((Log[ID]=Items[[#This Row],[ID]])*(Log[Blk]&lt;&gt;"")),Log[Blk]),0)=1,"Y",""))</f>
      </c>
      <c r="N807" s="17">
        <f>IF(Items[[#This Row],[ID]]="","",SUBSTITUTE(IFERROR(LOOKUP(2,1/((Log[ID]=Items[[#This Row],[ID]])*(Log[State]&lt;&gt;"")),Log[State]),"TODO"),"OPEN",IF(Items[[#This Row],[Blocked]]="Y","WAIT","OPEN")))</f>
      </c>
      <c r="O80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07" s="17">
        <f>IF(Items[[#This Row],[State]]&lt;&gt;"WAIT","",AsOf-Items[[#This Row],[Blocked since]])</f>
      </c>
      <c r="Q807" s="17">
        <f>IF(Items[[#This Row],[State]]&lt;&gt;"WAIT","",IFERROR(LOOKUP(2,1/((Log[ID]=Items[[#This Row],[ID]])*(Log[Verb]="block")),Log[Note])&amp;"",""))</f>
      </c>
      <c r="R807" s="17">
        <f>IF(Items[[#This Row],[ID]]="","",COUNTIFS(Log[ID],Items[[#This Row],[ID]],Log[Verb],"carry"))</f>
      </c>
      <c r="S807" s="17">
        <f>IF(Items[[#This Row],[ID]]="","",COUNTIFS(Log[ID],Items[[#This Row],[ID]],Log[Verb],"punt"))</f>
      </c>
      <c r="T807" s="11">
        <f>IF(Items[[#This Row],[State]]&lt;&gt;"DONE","",IFERROR(LOOKUP(2,1/((Log[ID]=Items[[#This Row],[ID]])*(Log[Verb]="done")),Log[Date]),""))</f>
      </c>
      <c r="U807" s="17">
        <f>IF(Items[[#This Row],[ID]]="","",IF(AND(Items[[#This Row],[Sprint]]=CurSprint,OR(Items[[#This Row],[State]]="OPEN",Items[[#This Row],[State]]="WAIT",Items[[#This Row],[State]]="HOLD",Items[[#This Row],[State]]="DONE")),1,0))</f>
      </c>
      <c r="V807" s="17">
        <f>IF(OR(Items[[#This Row],[ID]]="",Items[[#This Row],[Added]]=""),"",AsOf-Items[[#This Row],[Added]])</f>
      </c>
      <c r="W807" s="17">
        <f>IF(Items[[#This Row],[In sprint]]=1,(IF(Items[[#This Row],[Prio]]="",9,N(Items[[#This Row],[Prio]]))*10+(IF(Items[[#This Row],[State]]="DONE",1,0)))*100000+ROW(),"")</f>
      </c>
      <c r="X80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07" s="17">
        <f>IF(AND(Items[[#This Row],[State]]="DONE",N(Items[[#This Row],[Done on]])&gt;AsOf-7),(200000-N(Items[[#This Row],[Done on]]))*100000+ROW(),"")</f>
      </c>
    </row>
    <row r="808">
      <c r="A808" t="s">
        <v>927</v>
      </c>
      <c r="B808" t="s">
        <v>2029</v>
      </c>
      <c r="C808" t="s">
        <v>1107</v>
      </c>
      <c r="D808" t="s">
        <v>1127</v>
      </c>
      <c r="E808" t="s">
        <v>1109</v>
      </c>
      <c r="F808" t="s">
        <v>1227</v>
      </c>
      <c r="G808">
        <v>2</v>
      </c>
      <c r="H808">
        <v>2</v>
      </c>
      <c r="I808" s="11">
        <v>46245</v>
      </c>
      <c r="J808" s="17">
        <f>IF(Items[[#This Row],[ID]]="","",IFERROR(VALUE(LOOKUP(2,1/((Log[ID]=Items[[#This Row],[ID]])*(Log[Verb]="est")),Log[Arg])),N(Items[[#This Row],[Points]])))</f>
      </c>
      <c r="K808" s="17">
        <f>IF(Items[[#This Row],[ID]]="","",IFERROR(LOOKUP(2,1/((Log[ID]=Items[[#This Row],[ID]])*(Log[Verb]="pass")),Log[Arg])&amp;"",Items[[#This Row],[Team]]&amp;""))</f>
      </c>
      <c r="L808" s="17">
        <f>IF(Items[[#This Row],[ID]]="","",IFERROR(LOOKUP(2,1/((Log[ID]=Items[[#This Row],[ID]])*(Log[Into]&lt;&gt;"")),Log[Into]),""))</f>
      </c>
      <c r="M808" s="17">
        <f>IF(Items[[#This Row],[ID]]="","",IF(IFERROR(LOOKUP(2,1/((Log[ID]=Items[[#This Row],[ID]])*(Log[Blk]&lt;&gt;"")),Log[Blk]),0)=1,"Y",""))</f>
      </c>
      <c r="N808" s="17">
        <f>IF(Items[[#This Row],[ID]]="","",SUBSTITUTE(IFERROR(LOOKUP(2,1/((Log[ID]=Items[[#This Row],[ID]])*(Log[State]&lt;&gt;"")),Log[State]),"TODO"),"OPEN",IF(Items[[#This Row],[Blocked]]="Y","WAIT","OPEN")))</f>
      </c>
      <c r="O80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08" s="17">
        <f>IF(Items[[#This Row],[State]]&lt;&gt;"WAIT","",AsOf-Items[[#This Row],[Blocked since]])</f>
      </c>
      <c r="Q808" s="17">
        <f>IF(Items[[#This Row],[State]]&lt;&gt;"WAIT","",IFERROR(LOOKUP(2,1/((Log[ID]=Items[[#This Row],[ID]])*(Log[Verb]="block")),Log[Note])&amp;"",""))</f>
      </c>
      <c r="R808" s="17">
        <f>IF(Items[[#This Row],[ID]]="","",COUNTIFS(Log[ID],Items[[#This Row],[ID]],Log[Verb],"carry"))</f>
      </c>
      <c r="S808" s="17">
        <f>IF(Items[[#This Row],[ID]]="","",COUNTIFS(Log[ID],Items[[#This Row],[ID]],Log[Verb],"punt"))</f>
      </c>
      <c r="T808" s="11">
        <f>IF(Items[[#This Row],[State]]&lt;&gt;"DONE","",IFERROR(LOOKUP(2,1/((Log[ID]=Items[[#This Row],[ID]])*(Log[Verb]="done")),Log[Date]),""))</f>
      </c>
      <c r="U808" s="17">
        <f>IF(Items[[#This Row],[ID]]="","",IF(AND(Items[[#This Row],[Sprint]]=CurSprint,OR(Items[[#This Row],[State]]="OPEN",Items[[#This Row],[State]]="WAIT",Items[[#This Row],[State]]="HOLD",Items[[#This Row],[State]]="DONE")),1,0))</f>
      </c>
      <c r="V808" s="17">
        <f>IF(OR(Items[[#This Row],[ID]]="",Items[[#This Row],[Added]]=""),"",AsOf-Items[[#This Row],[Added]])</f>
      </c>
      <c r="W808" s="17">
        <f>IF(Items[[#This Row],[In sprint]]=1,(IF(Items[[#This Row],[Prio]]="",9,N(Items[[#This Row],[Prio]]))*10+(IF(Items[[#This Row],[State]]="DONE",1,0)))*100000+ROW(),"")</f>
      </c>
      <c r="X80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08" s="17">
        <f>IF(AND(Items[[#This Row],[State]]="DONE",N(Items[[#This Row],[Done on]])&gt;AsOf-7),(200000-N(Items[[#This Row],[Done on]]))*100000+ROW(),"")</f>
      </c>
    </row>
    <row r="809">
      <c r="A809" t="s">
        <v>986</v>
      </c>
      <c r="B809" t="s">
        <v>2030</v>
      </c>
      <c r="C809" t="s">
        <v>1115</v>
      </c>
      <c r="D809" t="s">
        <v>1116</v>
      </c>
      <c r="E809" t="s">
        <v>1109</v>
      </c>
      <c r="F809" t="s">
        <v>1220</v>
      </c>
      <c r="G809">
        <v>8</v>
      </c>
      <c r="H809">
        <v>1</v>
      </c>
      <c r="I809" s="11">
        <v>46245</v>
      </c>
      <c r="J809" s="17">
        <f>IF(Items[[#This Row],[ID]]="","",IFERROR(VALUE(LOOKUP(2,1/((Log[ID]=Items[[#This Row],[ID]])*(Log[Verb]="est")),Log[Arg])),N(Items[[#This Row],[Points]])))</f>
      </c>
      <c r="K809" s="17">
        <f>IF(Items[[#This Row],[ID]]="","",IFERROR(LOOKUP(2,1/((Log[ID]=Items[[#This Row],[ID]])*(Log[Verb]="pass")),Log[Arg])&amp;"",Items[[#This Row],[Team]]&amp;""))</f>
      </c>
      <c r="L809" s="17">
        <f>IF(Items[[#This Row],[ID]]="","",IFERROR(LOOKUP(2,1/((Log[ID]=Items[[#This Row],[ID]])*(Log[Into]&lt;&gt;"")),Log[Into]),""))</f>
      </c>
      <c r="M809" s="17">
        <f>IF(Items[[#This Row],[ID]]="","",IF(IFERROR(LOOKUP(2,1/((Log[ID]=Items[[#This Row],[ID]])*(Log[Blk]&lt;&gt;"")),Log[Blk]),0)=1,"Y",""))</f>
      </c>
      <c r="N809" s="17">
        <f>IF(Items[[#This Row],[ID]]="","",SUBSTITUTE(IFERROR(LOOKUP(2,1/((Log[ID]=Items[[#This Row],[ID]])*(Log[State]&lt;&gt;"")),Log[State]),"TODO"),"OPEN",IF(Items[[#This Row],[Blocked]]="Y","WAIT","OPEN")))</f>
      </c>
      <c r="O80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09" s="17">
        <f>IF(Items[[#This Row],[State]]&lt;&gt;"WAIT","",AsOf-Items[[#This Row],[Blocked since]])</f>
      </c>
      <c r="Q809" s="17">
        <f>IF(Items[[#This Row],[State]]&lt;&gt;"WAIT","",IFERROR(LOOKUP(2,1/((Log[ID]=Items[[#This Row],[ID]])*(Log[Verb]="block")),Log[Note])&amp;"",""))</f>
      </c>
      <c r="R809" s="17">
        <f>IF(Items[[#This Row],[ID]]="","",COUNTIFS(Log[ID],Items[[#This Row],[ID]],Log[Verb],"carry"))</f>
      </c>
      <c r="S809" s="17">
        <f>IF(Items[[#This Row],[ID]]="","",COUNTIFS(Log[ID],Items[[#This Row],[ID]],Log[Verb],"punt"))</f>
      </c>
      <c r="T809" s="11">
        <f>IF(Items[[#This Row],[State]]&lt;&gt;"DONE","",IFERROR(LOOKUP(2,1/((Log[ID]=Items[[#This Row],[ID]])*(Log[Verb]="done")),Log[Date]),""))</f>
      </c>
      <c r="U809" s="17">
        <f>IF(Items[[#This Row],[ID]]="","",IF(AND(Items[[#This Row],[Sprint]]=CurSprint,OR(Items[[#This Row],[State]]="OPEN",Items[[#This Row],[State]]="WAIT",Items[[#This Row],[State]]="HOLD",Items[[#This Row],[State]]="DONE")),1,0))</f>
      </c>
      <c r="V809" s="17">
        <f>IF(OR(Items[[#This Row],[ID]]="",Items[[#This Row],[Added]]=""),"",AsOf-Items[[#This Row],[Added]])</f>
      </c>
      <c r="W809" s="17">
        <f>IF(Items[[#This Row],[In sprint]]=1,(IF(Items[[#This Row],[Prio]]="",9,N(Items[[#This Row],[Prio]]))*10+(IF(Items[[#This Row],[State]]="DONE",1,0)))*100000+ROW(),"")</f>
      </c>
      <c r="X80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09" s="17">
        <f>IF(AND(Items[[#This Row],[State]]="DONE",N(Items[[#This Row],[Done on]])&gt;AsOf-7),(200000-N(Items[[#This Row],[Done on]]))*100000+ROW(),"")</f>
      </c>
    </row>
    <row r="810">
      <c r="A810" t="s">
        <v>992</v>
      </c>
      <c r="B810" t="s">
        <v>2031</v>
      </c>
      <c r="C810" t="s">
        <v>1107</v>
      </c>
      <c r="D810" t="s">
        <v>1123</v>
      </c>
      <c r="E810" t="s">
        <v>1131</v>
      </c>
      <c r="F810" t="s">
        <v>1384</v>
      </c>
      <c r="G810">
        <v>8</v>
      </c>
      <c r="H810">
        <v>1</v>
      </c>
      <c r="I810" s="11">
        <v>46245</v>
      </c>
      <c r="J810" s="17">
        <f>IF(Items[[#This Row],[ID]]="","",IFERROR(VALUE(LOOKUP(2,1/((Log[ID]=Items[[#This Row],[ID]])*(Log[Verb]="est")),Log[Arg])),N(Items[[#This Row],[Points]])))</f>
      </c>
      <c r="K810" s="17">
        <f>IF(Items[[#This Row],[ID]]="","",IFERROR(LOOKUP(2,1/((Log[ID]=Items[[#This Row],[ID]])*(Log[Verb]="pass")),Log[Arg])&amp;"",Items[[#This Row],[Team]]&amp;""))</f>
      </c>
      <c r="L810" s="17">
        <f>IF(Items[[#This Row],[ID]]="","",IFERROR(LOOKUP(2,1/((Log[ID]=Items[[#This Row],[ID]])*(Log[Into]&lt;&gt;"")),Log[Into]),""))</f>
      </c>
      <c r="M810" s="17">
        <f>IF(Items[[#This Row],[ID]]="","",IF(IFERROR(LOOKUP(2,1/((Log[ID]=Items[[#This Row],[ID]])*(Log[Blk]&lt;&gt;"")),Log[Blk]),0)=1,"Y",""))</f>
      </c>
      <c r="N810" s="17">
        <f>IF(Items[[#This Row],[ID]]="","",SUBSTITUTE(IFERROR(LOOKUP(2,1/((Log[ID]=Items[[#This Row],[ID]])*(Log[State]&lt;&gt;"")),Log[State]),"TODO"),"OPEN",IF(Items[[#This Row],[Blocked]]="Y","WAIT","OPEN")))</f>
      </c>
      <c r="O81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10" s="17">
        <f>IF(Items[[#This Row],[State]]&lt;&gt;"WAIT","",AsOf-Items[[#This Row],[Blocked since]])</f>
      </c>
      <c r="Q810" s="17">
        <f>IF(Items[[#This Row],[State]]&lt;&gt;"WAIT","",IFERROR(LOOKUP(2,1/((Log[ID]=Items[[#This Row],[ID]])*(Log[Verb]="block")),Log[Note])&amp;"",""))</f>
      </c>
      <c r="R810" s="17">
        <f>IF(Items[[#This Row],[ID]]="","",COUNTIFS(Log[ID],Items[[#This Row],[ID]],Log[Verb],"carry"))</f>
      </c>
      <c r="S810" s="17">
        <f>IF(Items[[#This Row],[ID]]="","",COUNTIFS(Log[ID],Items[[#This Row],[ID]],Log[Verb],"punt"))</f>
      </c>
      <c r="T810" s="11">
        <f>IF(Items[[#This Row],[State]]&lt;&gt;"DONE","",IFERROR(LOOKUP(2,1/((Log[ID]=Items[[#This Row],[ID]])*(Log[Verb]="done")),Log[Date]),""))</f>
      </c>
      <c r="U810" s="17">
        <f>IF(Items[[#This Row],[ID]]="","",IF(AND(Items[[#This Row],[Sprint]]=CurSprint,OR(Items[[#This Row],[State]]="OPEN",Items[[#This Row],[State]]="WAIT",Items[[#This Row],[State]]="HOLD",Items[[#This Row],[State]]="DONE")),1,0))</f>
      </c>
      <c r="V810" s="17">
        <f>IF(OR(Items[[#This Row],[ID]]="",Items[[#This Row],[Added]]=""),"",AsOf-Items[[#This Row],[Added]])</f>
      </c>
      <c r="W810" s="17">
        <f>IF(Items[[#This Row],[In sprint]]=1,(IF(Items[[#This Row],[Prio]]="",9,N(Items[[#This Row],[Prio]]))*10+(IF(Items[[#This Row],[State]]="DONE",1,0)))*100000+ROW(),"")</f>
      </c>
      <c r="X81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10" s="17">
        <f>IF(AND(Items[[#This Row],[State]]="DONE",N(Items[[#This Row],[Done on]])&gt;AsOf-7),(200000-N(Items[[#This Row],[Done on]]))*100000+ROW(),"")</f>
      </c>
    </row>
    <row r="811">
      <c r="A811" t="s">
        <v>993</v>
      </c>
      <c r="B811" t="s">
        <v>2032</v>
      </c>
      <c r="C811" t="s">
        <v>1107</v>
      </c>
      <c r="D811" t="s">
        <v>1127</v>
      </c>
      <c r="E811" t="s">
        <v>1131</v>
      </c>
      <c r="F811" t="s">
        <v>1168</v>
      </c>
      <c r="G811">
        <v>5</v>
      </c>
      <c r="H811">
        <v>1</v>
      </c>
      <c r="I811" s="11">
        <v>46245</v>
      </c>
      <c r="J811" s="17">
        <f>IF(Items[[#This Row],[ID]]="","",IFERROR(VALUE(LOOKUP(2,1/((Log[ID]=Items[[#This Row],[ID]])*(Log[Verb]="est")),Log[Arg])),N(Items[[#This Row],[Points]])))</f>
      </c>
      <c r="K811" s="17">
        <f>IF(Items[[#This Row],[ID]]="","",IFERROR(LOOKUP(2,1/((Log[ID]=Items[[#This Row],[ID]])*(Log[Verb]="pass")),Log[Arg])&amp;"",Items[[#This Row],[Team]]&amp;""))</f>
      </c>
      <c r="L811" s="17">
        <f>IF(Items[[#This Row],[ID]]="","",IFERROR(LOOKUP(2,1/((Log[ID]=Items[[#This Row],[ID]])*(Log[Into]&lt;&gt;"")),Log[Into]),""))</f>
      </c>
      <c r="M811" s="17">
        <f>IF(Items[[#This Row],[ID]]="","",IF(IFERROR(LOOKUP(2,1/((Log[ID]=Items[[#This Row],[ID]])*(Log[Blk]&lt;&gt;"")),Log[Blk]),0)=1,"Y",""))</f>
      </c>
      <c r="N811" s="17">
        <f>IF(Items[[#This Row],[ID]]="","",SUBSTITUTE(IFERROR(LOOKUP(2,1/((Log[ID]=Items[[#This Row],[ID]])*(Log[State]&lt;&gt;"")),Log[State]),"TODO"),"OPEN",IF(Items[[#This Row],[Blocked]]="Y","WAIT","OPEN")))</f>
      </c>
      <c r="O81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11" s="17">
        <f>IF(Items[[#This Row],[State]]&lt;&gt;"WAIT","",AsOf-Items[[#This Row],[Blocked since]])</f>
      </c>
      <c r="Q811" s="17">
        <f>IF(Items[[#This Row],[State]]&lt;&gt;"WAIT","",IFERROR(LOOKUP(2,1/((Log[ID]=Items[[#This Row],[ID]])*(Log[Verb]="block")),Log[Note])&amp;"",""))</f>
      </c>
      <c r="R811" s="17">
        <f>IF(Items[[#This Row],[ID]]="","",COUNTIFS(Log[ID],Items[[#This Row],[ID]],Log[Verb],"carry"))</f>
      </c>
      <c r="S811" s="17">
        <f>IF(Items[[#This Row],[ID]]="","",COUNTIFS(Log[ID],Items[[#This Row],[ID]],Log[Verb],"punt"))</f>
      </c>
      <c r="T811" s="11">
        <f>IF(Items[[#This Row],[State]]&lt;&gt;"DONE","",IFERROR(LOOKUP(2,1/((Log[ID]=Items[[#This Row],[ID]])*(Log[Verb]="done")),Log[Date]),""))</f>
      </c>
      <c r="U811" s="17">
        <f>IF(Items[[#This Row],[ID]]="","",IF(AND(Items[[#This Row],[Sprint]]=CurSprint,OR(Items[[#This Row],[State]]="OPEN",Items[[#This Row],[State]]="WAIT",Items[[#This Row],[State]]="HOLD",Items[[#This Row],[State]]="DONE")),1,0))</f>
      </c>
      <c r="V811" s="17">
        <f>IF(OR(Items[[#This Row],[ID]]="",Items[[#This Row],[Added]]=""),"",AsOf-Items[[#This Row],[Added]])</f>
      </c>
      <c r="W811" s="17">
        <f>IF(Items[[#This Row],[In sprint]]=1,(IF(Items[[#This Row],[Prio]]="",9,N(Items[[#This Row],[Prio]]))*10+(IF(Items[[#This Row],[State]]="DONE",1,0)))*100000+ROW(),"")</f>
      </c>
      <c r="X81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11" s="17">
        <f>IF(AND(Items[[#This Row],[State]]="DONE",N(Items[[#This Row],[Done on]])&gt;AsOf-7),(200000-N(Items[[#This Row],[Done on]]))*100000+ROW(),"")</f>
      </c>
    </row>
    <row r="812">
      <c r="A812" t="s">
        <v>932</v>
      </c>
      <c r="B812" t="s">
        <v>2033</v>
      </c>
      <c r="C812" t="s">
        <v>1107</v>
      </c>
      <c r="D812" t="s">
        <v>1108</v>
      </c>
      <c r="E812" t="s">
        <v>1131</v>
      </c>
      <c r="F812" t="s">
        <v>1577</v>
      </c>
      <c r="G812">
        <v>3</v>
      </c>
      <c r="H812">
        <v>2</v>
      </c>
      <c r="I812" s="11">
        <v>46245</v>
      </c>
      <c r="J812" s="17">
        <f>IF(Items[[#This Row],[ID]]="","",IFERROR(VALUE(LOOKUP(2,1/((Log[ID]=Items[[#This Row],[ID]])*(Log[Verb]="est")),Log[Arg])),N(Items[[#This Row],[Points]])))</f>
      </c>
      <c r="K812" s="17">
        <f>IF(Items[[#This Row],[ID]]="","",IFERROR(LOOKUP(2,1/((Log[ID]=Items[[#This Row],[ID]])*(Log[Verb]="pass")),Log[Arg])&amp;"",Items[[#This Row],[Team]]&amp;""))</f>
      </c>
      <c r="L812" s="17">
        <f>IF(Items[[#This Row],[ID]]="","",IFERROR(LOOKUP(2,1/((Log[ID]=Items[[#This Row],[ID]])*(Log[Into]&lt;&gt;"")),Log[Into]),""))</f>
      </c>
      <c r="M812" s="17">
        <f>IF(Items[[#This Row],[ID]]="","",IF(IFERROR(LOOKUP(2,1/((Log[ID]=Items[[#This Row],[ID]])*(Log[Blk]&lt;&gt;"")),Log[Blk]),0)=1,"Y",""))</f>
      </c>
      <c r="N812" s="17">
        <f>IF(Items[[#This Row],[ID]]="","",SUBSTITUTE(IFERROR(LOOKUP(2,1/((Log[ID]=Items[[#This Row],[ID]])*(Log[State]&lt;&gt;"")),Log[State]),"TODO"),"OPEN",IF(Items[[#This Row],[Blocked]]="Y","WAIT","OPEN")))</f>
      </c>
      <c r="O81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12" s="17">
        <f>IF(Items[[#This Row],[State]]&lt;&gt;"WAIT","",AsOf-Items[[#This Row],[Blocked since]])</f>
      </c>
      <c r="Q812" s="17">
        <f>IF(Items[[#This Row],[State]]&lt;&gt;"WAIT","",IFERROR(LOOKUP(2,1/((Log[ID]=Items[[#This Row],[ID]])*(Log[Verb]="block")),Log[Note])&amp;"",""))</f>
      </c>
      <c r="R812" s="17">
        <f>IF(Items[[#This Row],[ID]]="","",COUNTIFS(Log[ID],Items[[#This Row],[ID]],Log[Verb],"carry"))</f>
      </c>
      <c r="S812" s="17">
        <f>IF(Items[[#This Row],[ID]]="","",COUNTIFS(Log[ID],Items[[#This Row],[ID]],Log[Verb],"punt"))</f>
      </c>
      <c r="T812" s="11">
        <f>IF(Items[[#This Row],[State]]&lt;&gt;"DONE","",IFERROR(LOOKUP(2,1/((Log[ID]=Items[[#This Row],[ID]])*(Log[Verb]="done")),Log[Date]),""))</f>
      </c>
      <c r="U812" s="17">
        <f>IF(Items[[#This Row],[ID]]="","",IF(AND(Items[[#This Row],[Sprint]]=CurSprint,OR(Items[[#This Row],[State]]="OPEN",Items[[#This Row],[State]]="WAIT",Items[[#This Row],[State]]="HOLD",Items[[#This Row],[State]]="DONE")),1,0))</f>
      </c>
      <c r="V812" s="17">
        <f>IF(OR(Items[[#This Row],[ID]]="",Items[[#This Row],[Added]]=""),"",AsOf-Items[[#This Row],[Added]])</f>
      </c>
      <c r="W812" s="17">
        <f>IF(Items[[#This Row],[In sprint]]=1,(IF(Items[[#This Row],[Prio]]="",9,N(Items[[#This Row],[Prio]]))*10+(IF(Items[[#This Row],[State]]="DONE",1,0)))*100000+ROW(),"")</f>
      </c>
      <c r="X81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12" s="17">
        <f>IF(AND(Items[[#This Row],[State]]="DONE",N(Items[[#This Row],[Done on]])&gt;AsOf-7),(200000-N(Items[[#This Row],[Done on]]))*100000+ROW(),"")</f>
      </c>
    </row>
    <row r="813">
      <c r="A813" t="s">
        <v>994</v>
      </c>
      <c r="B813" t="s">
        <v>2034</v>
      </c>
      <c r="C813" t="s">
        <v>1115</v>
      </c>
      <c r="D813" t="s">
        <v>1116</v>
      </c>
      <c r="E813" t="s">
        <v>1131</v>
      </c>
      <c r="F813" t="s">
        <v>1166</v>
      </c>
      <c r="G813">
        <v>5</v>
      </c>
      <c r="H813">
        <v>3</v>
      </c>
      <c r="I813" s="11">
        <v>46245</v>
      </c>
      <c r="J813" s="17">
        <f>IF(Items[[#This Row],[ID]]="","",IFERROR(VALUE(LOOKUP(2,1/((Log[ID]=Items[[#This Row],[ID]])*(Log[Verb]="est")),Log[Arg])),N(Items[[#This Row],[Points]])))</f>
      </c>
      <c r="K813" s="17">
        <f>IF(Items[[#This Row],[ID]]="","",IFERROR(LOOKUP(2,1/((Log[ID]=Items[[#This Row],[ID]])*(Log[Verb]="pass")),Log[Arg])&amp;"",Items[[#This Row],[Team]]&amp;""))</f>
      </c>
      <c r="L813" s="17">
        <f>IF(Items[[#This Row],[ID]]="","",IFERROR(LOOKUP(2,1/((Log[ID]=Items[[#This Row],[ID]])*(Log[Into]&lt;&gt;"")),Log[Into]),""))</f>
      </c>
      <c r="M813" s="17">
        <f>IF(Items[[#This Row],[ID]]="","",IF(IFERROR(LOOKUP(2,1/((Log[ID]=Items[[#This Row],[ID]])*(Log[Blk]&lt;&gt;"")),Log[Blk]),0)=1,"Y",""))</f>
      </c>
      <c r="N813" s="17">
        <f>IF(Items[[#This Row],[ID]]="","",SUBSTITUTE(IFERROR(LOOKUP(2,1/((Log[ID]=Items[[#This Row],[ID]])*(Log[State]&lt;&gt;"")),Log[State]),"TODO"),"OPEN",IF(Items[[#This Row],[Blocked]]="Y","WAIT","OPEN")))</f>
      </c>
      <c r="O81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13" s="17">
        <f>IF(Items[[#This Row],[State]]&lt;&gt;"WAIT","",AsOf-Items[[#This Row],[Blocked since]])</f>
      </c>
      <c r="Q813" s="17">
        <f>IF(Items[[#This Row],[State]]&lt;&gt;"WAIT","",IFERROR(LOOKUP(2,1/((Log[ID]=Items[[#This Row],[ID]])*(Log[Verb]="block")),Log[Note])&amp;"",""))</f>
      </c>
      <c r="R813" s="17">
        <f>IF(Items[[#This Row],[ID]]="","",COUNTIFS(Log[ID],Items[[#This Row],[ID]],Log[Verb],"carry"))</f>
      </c>
      <c r="S813" s="17">
        <f>IF(Items[[#This Row],[ID]]="","",COUNTIFS(Log[ID],Items[[#This Row],[ID]],Log[Verb],"punt"))</f>
      </c>
      <c r="T813" s="11">
        <f>IF(Items[[#This Row],[State]]&lt;&gt;"DONE","",IFERROR(LOOKUP(2,1/((Log[ID]=Items[[#This Row],[ID]])*(Log[Verb]="done")),Log[Date]),""))</f>
      </c>
      <c r="U813" s="17">
        <f>IF(Items[[#This Row],[ID]]="","",IF(AND(Items[[#This Row],[Sprint]]=CurSprint,OR(Items[[#This Row],[State]]="OPEN",Items[[#This Row],[State]]="WAIT",Items[[#This Row],[State]]="HOLD",Items[[#This Row],[State]]="DONE")),1,0))</f>
      </c>
      <c r="V813" s="17">
        <f>IF(OR(Items[[#This Row],[ID]]="",Items[[#This Row],[Added]]=""),"",AsOf-Items[[#This Row],[Added]])</f>
      </c>
      <c r="W813" s="17">
        <f>IF(Items[[#This Row],[In sprint]]=1,(IF(Items[[#This Row],[Prio]]="",9,N(Items[[#This Row],[Prio]]))*10+(IF(Items[[#This Row],[State]]="DONE",1,0)))*100000+ROW(),"")</f>
      </c>
      <c r="X81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13" s="17">
        <f>IF(AND(Items[[#This Row],[State]]="DONE",N(Items[[#This Row],[Done on]])&gt;AsOf-7),(200000-N(Items[[#This Row],[Done on]]))*100000+ROW(),"")</f>
      </c>
    </row>
    <row r="814">
      <c r="A814" t="s">
        <v>995</v>
      </c>
      <c r="B814" t="s">
        <v>2035</v>
      </c>
      <c r="C814" t="s">
        <v>1107</v>
      </c>
      <c r="D814" t="s">
        <v>1123</v>
      </c>
      <c r="E814" t="s">
        <v>1131</v>
      </c>
      <c r="F814" t="s">
        <v>1382</v>
      </c>
      <c r="G814">
        <v>5</v>
      </c>
      <c r="H814">
        <v>2</v>
      </c>
      <c r="I814" s="11">
        <v>46245</v>
      </c>
      <c r="J814" s="17">
        <f>IF(Items[[#This Row],[ID]]="","",IFERROR(VALUE(LOOKUP(2,1/((Log[ID]=Items[[#This Row],[ID]])*(Log[Verb]="est")),Log[Arg])),N(Items[[#This Row],[Points]])))</f>
      </c>
      <c r="K814" s="17">
        <f>IF(Items[[#This Row],[ID]]="","",IFERROR(LOOKUP(2,1/((Log[ID]=Items[[#This Row],[ID]])*(Log[Verb]="pass")),Log[Arg])&amp;"",Items[[#This Row],[Team]]&amp;""))</f>
      </c>
      <c r="L814" s="17">
        <f>IF(Items[[#This Row],[ID]]="","",IFERROR(LOOKUP(2,1/((Log[ID]=Items[[#This Row],[ID]])*(Log[Into]&lt;&gt;"")),Log[Into]),""))</f>
      </c>
      <c r="M814" s="17">
        <f>IF(Items[[#This Row],[ID]]="","",IF(IFERROR(LOOKUP(2,1/((Log[ID]=Items[[#This Row],[ID]])*(Log[Blk]&lt;&gt;"")),Log[Blk]),0)=1,"Y",""))</f>
      </c>
      <c r="N814" s="17">
        <f>IF(Items[[#This Row],[ID]]="","",SUBSTITUTE(IFERROR(LOOKUP(2,1/((Log[ID]=Items[[#This Row],[ID]])*(Log[State]&lt;&gt;"")),Log[State]),"TODO"),"OPEN",IF(Items[[#This Row],[Blocked]]="Y","WAIT","OPEN")))</f>
      </c>
      <c r="O81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14" s="17">
        <f>IF(Items[[#This Row],[State]]&lt;&gt;"WAIT","",AsOf-Items[[#This Row],[Blocked since]])</f>
      </c>
      <c r="Q814" s="17">
        <f>IF(Items[[#This Row],[State]]&lt;&gt;"WAIT","",IFERROR(LOOKUP(2,1/((Log[ID]=Items[[#This Row],[ID]])*(Log[Verb]="block")),Log[Note])&amp;"",""))</f>
      </c>
      <c r="R814" s="17">
        <f>IF(Items[[#This Row],[ID]]="","",COUNTIFS(Log[ID],Items[[#This Row],[ID]],Log[Verb],"carry"))</f>
      </c>
      <c r="S814" s="17">
        <f>IF(Items[[#This Row],[ID]]="","",COUNTIFS(Log[ID],Items[[#This Row],[ID]],Log[Verb],"punt"))</f>
      </c>
      <c r="T814" s="11">
        <f>IF(Items[[#This Row],[State]]&lt;&gt;"DONE","",IFERROR(LOOKUP(2,1/((Log[ID]=Items[[#This Row],[ID]])*(Log[Verb]="done")),Log[Date]),""))</f>
      </c>
      <c r="U814" s="17">
        <f>IF(Items[[#This Row],[ID]]="","",IF(AND(Items[[#This Row],[Sprint]]=CurSprint,OR(Items[[#This Row],[State]]="OPEN",Items[[#This Row],[State]]="WAIT",Items[[#This Row],[State]]="HOLD",Items[[#This Row],[State]]="DONE")),1,0))</f>
      </c>
      <c r="V814" s="17">
        <f>IF(OR(Items[[#This Row],[ID]]="",Items[[#This Row],[Added]]=""),"",AsOf-Items[[#This Row],[Added]])</f>
      </c>
      <c r="W814" s="17">
        <f>IF(Items[[#This Row],[In sprint]]=1,(IF(Items[[#This Row],[Prio]]="",9,N(Items[[#This Row],[Prio]]))*10+(IF(Items[[#This Row],[State]]="DONE",1,0)))*100000+ROW(),"")</f>
      </c>
      <c r="X81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14" s="17">
        <f>IF(AND(Items[[#This Row],[State]]="DONE",N(Items[[#This Row],[Done on]])&gt;AsOf-7),(200000-N(Items[[#This Row],[Done on]]))*100000+ROW(),"")</f>
      </c>
    </row>
    <row r="815">
      <c r="A815" t="s">
        <v>996</v>
      </c>
      <c r="B815" t="s">
        <v>2036</v>
      </c>
      <c r="C815" t="s">
        <v>1107</v>
      </c>
      <c r="D815" t="s">
        <v>1108</v>
      </c>
      <c r="E815" t="s">
        <v>1131</v>
      </c>
      <c r="F815" t="s">
        <v>1233</v>
      </c>
      <c r="G815">
        <v>3</v>
      </c>
      <c r="H815">
        <v>3</v>
      </c>
      <c r="I815" s="11">
        <v>46245</v>
      </c>
      <c r="J815" s="17">
        <f>IF(Items[[#This Row],[ID]]="","",IFERROR(VALUE(LOOKUP(2,1/((Log[ID]=Items[[#This Row],[ID]])*(Log[Verb]="est")),Log[Arg])),N(Items[[#This Row],[Points]])))</f>
      </c>
      <c r="K815" s="17">
        <f>IF(Items[[#This Row],[ID]]="","",IFERROR(LOOKUP(2,1/((Log[ID]=Items[[#This Row],[ID]])*(Log[Verb]="pass")),Log[Arg])&amp;"",Items[[#This Row],[Team]]&amp;""))</f>
      </c>
      <c r="L815" s="17">
        <f>IF(Items[[#This Row],[ID]]="","",IFERROR(LOOKUP(2,1/((Log[ID]=Items[[#This Row],[ID]])*(Log[Into]&lt;&gt;"")),Log[Into]),""))</f>
      </c>
      <c r="M815" s="17">
        <f>IF(Items[[#This Row],[ID]]="","",IF(IFERROR(LOOKUP(2,1/((Log[ID]=Items[[#This Row],[ID]])*(Log[Blk]&lt;&gt;"")),Log[Blk]),0)=1,"Y",""))</f>
      </c>
      <c r="N815" s="17">
        <f>IF(Items[[#This Row],[ID]]="","",SUBSTITUTE(IFERROR(LOOKUP(2,1/((Log[ID]=Items[[#This Row],[ID]])*(Log[State]&lt;&gt;"")),Log[State]),"TODO"),"OPEN",IF(Items[[#This Row],[Blocked]]="Y","WAIT","OPEN")))</f>
      </c>
      <c r="O81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15" s="17">
        <f>IF(Items[[#This Row],[State]]&lt;&gt;"WAIT","",AsOf-Items[[#This Row],[Blocked since]])</f>
      </c>
      <c r="Q815" s="17">
        <f>IF(Items[[#This Row],[State]]&lt;&gt;"WAIT","",IFERROR(LOOKUP(2,1/((Log[ID]=Items[[#This Row],[ID]])*(Log[Verb]="block")),Log[Note])&amp;"",""))</f>
      </c>
      <c r="R815" s="17">
        <f>IF(Items[[#This Row],[ID]]="","",COUNTIFS(Log[ID],Items[[#This Row],[ID]],Log[Verb],"carry"))</f>
      </c>
      <c r="S815" s="17">
        <f>IF(Items[[#This Row],[ID]]="","",COUNTIFS(Log[ID],Items[[#This Row],[ID]],Log[Verb],"punt"))</f>
      </c>
      <c r="T815" s="11">
        <f>IF(Items[[#This Row],[State]]&lt;&gt;"DONE","",IFERROR(LOOKUP(2,1/((Log[ID]=Items[[#This Row],[ID]])*(Log[Verb]="done")),Log[Date]),""))</f>
      </c>
      <c r="U815" s="17">
        <f>IF(Items[[#This Row],[ID]]="","",IF(AND(Items[[#This Row],[Sprint]]=CurSprint,OR(Items[[#This Row],[State]]="OPEN",Items[[#This Row],[State]]="WAIT",Items[[#This Row],[State]]="HOLD",Items[[#This Row],[State]]="DONE")),1,0))</f>
      </c>
      <c r="V815" s="17">
        <f>IF(OR(Items[[#This Row],[ID]]="",Items[[#This Row],[Added]]=""),"",AsOf-Items[[#This Row],[Added]])</f>
      </c>
      <c r="W815" s="17">
        <f>IF(Items[[#This Row],[In sprint]]=1,(IF(Items[[#This Row],[Prio]]="",9,N(Items[[#This Row],[Prio]]))*10+(IF(Items[[#This Row],[State]]="DONE",1,0)))*100000+ROW(),"")</f>
      </c>
      <c r="X81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15" s="17">
        <f>IF(AND(Items[[#This Row],[State]]="DONE",N(Items[[#This Row],[Done on]])&gt;AsOf-7),(200000-N(Items[[#This Row],[Done on]]))*100000+ROW(),"")</f>
      </c>
    </row>
    <row r="816">
      <c r="A816" t="s">
        <v>937</v>
      </c>
      <c r="B816" t="s">
        <v>2037</v>
      </c>
      <c r="C816" t="s">
        <v>1115</v>
      </c>
      <c r="D816" t="s">
        <v>1116</v>
      </c>
      <c r="E816" t="s">
        <v>1134</v>
      </c>
      <c r="F816" t="s">
        <v>1387</v>
      </c>
      <c r="G816">
        <v>2</v>
      </c>
      <c r="H816">
        <v>1</v>
      </c>
      <c r="I816" s="11">
        <v>46245</v>
      </c>
      <c r="J816" s="17">
        <f>IF(Items[[#This Row],[ID]]="","",IFERROR(VALUE(LOOKUP(2,1/((Log[ID]=Items[[#This Row],[ID]])*(Log[Verb]="est")),Log[Arg])),N(Items[[#This Row],[Points]])))</f>
      </c>
      <c r="K816" s="17">
        <f>IF(Items[[#This Row],[ID]]="","",IFERROR(LOOKUP(2,1/((Log[ID]=Items[[#This Row],[ID]])*(Log[Verb]="pass")),Log[Arg])&amp;"",Items[[#This Row],[Team]]&amp;""))</f>
      </c>
      <c r="L816" s="17">
        <f>IF(Items[[#This Row],[ID]]="","",IFERROR(LOOKUP(2,1/((Log[ID]=Items[[#This Row],[ID]])*(Log[Into]&lt;&gt;"")),Log[Into]),""))</f>
      </c>
      <c r="M816" s="17">
        <f>IF(Items[[#This Row],[ID]]="","",IF(IFERROR(LOOKUP(2,1/((Log[ID]=Items[[#This Row],[ID]])*(Log[Blk]&lt;&gt;"")),Log[Blk]),0)=1,"Y",""))</f>
      </c>
      <c r="N816" s="17">
        <f>IF(Items[[#This Row],[ID]]="","",SUBSTITUTE(IFERROR(LOOKUP(2,1/((Log[ID]=Items[[#This Row],[ID]])*(Log[State]&lt;&gt;"")),Log[State]),"TODO"),"OPEN",IF(Items[[#This Row],[Blocked]]="Y","WAIT","OPEN")))</f>
      </c>
      <c r="O81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16" s="17">
        <f>IF(Items[[#This Row],[State]]&lt;&gt;"WAIT","",AsOf-Items[[#This Row],[Blocked since]])</f>
      </c>
      <c r="Q816" s="17">
        <f>IF(Items[[#This Row],[State]]&lt;&gt;"WAIT","",IFERROR(LOOKUP(2,1/((Log[ID]=Items[[#This Row],[ID]])*(Log[Verb]="block")),Log[Note])&amp;"",""))</f>
      </c>
      <c r="R816" s="17">
        <f>IF(Items[[#This Row],[ID]]="","",COUNTIFS(Log[ID],Items[[#This Row],[ID]],Log[Verb],"carry"))</f>
      </c>
      <c r="S816" s="17">
        <f>IF(Items[[#This Row],[ID]]="","",COUNTIFS(Log[ID],Items[[#This Row],[ID]],Log[Verb],"punt"))</f>
      </c>
      <c r="T816" s="11">
        <f>IF(Items[[#This Row],[State]]&lt;&gt;"DONE","",IFERROR(LOOKUP(2,1/((Log[ID]=Items[[#This Row],[ID]])*(Log[Verb]="done")),Log[Date]),""))</f>
      </c>
      <c r="U816" s="17">
        <f>IF(Items[[#This Row],[ID]]="","",IF(AND(Items[[#This Row],[Sprint]]=CurSprint,OR(Items[[#This Row],[State]]="OPEN",Items[[#This Row],[State]]="WAIT",Items[[#This Row],[State]]="HOLD",Items[[#This Row],[State]]="DONE")),1,0))</f>
      </c>
      <c r="V816" s="17">
        <f>IF(OR(Items[[#This Row],[ID]]="",Items[[#This Row],[Added]]=""),"",AsOf-Items[[#This Row],[Added]])</f>
      </c>
      <c r="W816" s="17">
        <f>IF(Items[[#This Row],[In sprint]]=1,(IF(Items[[#This Row],[Prio]]="",9,N(Items[[#This Row],[Prio]]))*10+(IF(Items[[#This Row],[State]]="DONE",1,0)))*100000+ROW(),"")</f>
      </c>
      <c r="X81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16" s="17">
        <f>IF(AND(Items[[#This Row],[State]]="DONE",N(Items[[#This Row],[Done on]])&gt;AsOf-7),(200000-N(Items[[#This Row],[Done on]]))*100000+ROW(),"")</f>
      </c>
    </row>
    <row r="817">
      <c r="A817" t="s">
        <v>997</v>
      </c>
      <c r="B817" t="s">
        <v>2038</v>
      </c>
      <c r="C817" t="s">
        <v>1107</v>
      </c>
      <c r="D817" t="s">
        <v>1108</v>
      </c>
      <c r="E817" t="s">
        <v>1134</v>
      </c>
      <c r="F817" t="s">
        <v>1242</v>
      </c>
      <c r="G817">
        <v>8</v>
      </c>
      <c r="H817">
        <v>2</v>
      </c>
      <c r="I817" s="11">
        <v>46245</v>
      </c>
      <c r="J817" s="17">
        <f>IF(Items[[#This Row],[ID]]="","",IFERROR(VALUE(LOOKUP(2,1/((Log[ID]=Items[[#This Row],[ID]])*(Log[Verb]="est")),Log[Arg])),N(Items[[#This Row],[Points]])))</f>
      </c>
      <c r="K817" s="17">
        <f>IF(Items[[#This Row],[ID]]="","",IFERROR(LOOKUP(2,1/((Log[ID]=Items[[#This Row],[ID]])*(Log[Verb]="pass")),Log[Arg])&amp;"",Items[[#This Row],[Team]]&amp;""))</f>
      </c>
      <c r="L817" s="17">
        <f>IF(Items[[#This Row],[ID]]="","",IFERROR(LOOKUP(2,1/((Log[ID]=Items[[#This Row],[ID]])*(Log[Into]&lt;&gt;"")),Log[Into]),""))</f>
      </c>
      <c r="M817" s="17">
        <f>IF(Items[[#This Row],[ID]]="","",IF(IFERROR(LOOKUP(2,1/((Log[ID]=Items[[#This Row],[ID]])*(Log[Blk]&lt;&gt;"")),Log[Blk]),0)=1,"Y",""))</f>
      </c>
      <c r="N817" s="17">
        <f>IF(Items[[#This Row],[ID]]="","",SUBSTITUTE(IFERROR(LOOKUP(2,1/((Log[ID]=Items[[#This Row],[ID]])*(Log[State]&lt;&gt;"")),Log[State]),"TODO"),"OPEN",IF(Items[[#This Row],[Blocked]]="Y","WAIT","OPEN")))</f>
      </c>
      <c r="O81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17" s="17">
        <f>IF(Items[[#This Row],[State]]&lt;&gt;"WAIT","",AsOf-Items[[#This Row],[Blocked since]])</f>
      </c>
      <c r="Q817" s="17">
        <f>IF(Items[[#This Row],[State]]&lt;&gt;"WAIT","",IFERROR(LOOKUP(2,1/((Log[ID]=Items[[#This Row],[ID]])*(Log[Verb]="block")),Log[Note])&amp;"",""))</f>
      </c>
      <c r="R817" s="17">
        <f>IF(Items[[#This Row],[ID]]="","",COUNTIFS(Log[ID],Items[[#This Row],[ID]],Log[Verb],"carry"))</f>
      </c>
      <c r="S817" s="17">
        <f>IF(Items[[#This Row],[ID]]="","",COUNTIFS(Log[ID],Items[[#This Row],[ID]],Log[Verb],"punt"))</f>
      </c>
      <c r="T817" s="11">
        <f>IF(Items[[#This Row],[State]]&lt;&gt;"DONE","",IFERROR(LOOKUP(2,1/((Log[ID]=Items[[#This Row],[ID]])*(Log[Verb]="done")),Log[Date]),""))</f>
      </c>
      <c r="U817" s="17">
        <f>IF(Items[[#This Row],[ID]]="","",IF(AND(Items[[#This Row],[Sprint]]=CurSprint,OR(Items[[#This Row],[State]]="OPEN",Items[[#This Row],[State]]="WAIT",Items[[#This Row],[State]]="HOLD",Items[[#This Row],[State]]="DONE")),1,0))</f>
      </c>
      <c r="V817" s="17">
        <f>IF(OR(Items[[#This Row],[ID]]="",Items[[#This Row],[Added]]=""),"",AsOf-Items[[#This Row],[Added]])</f>
      </c>
      <c r="W817" s="17">
        <f>IF(Items[[#This Row],[In sprint]]=1,(IF(Items[[#This Row],[Prio]]="",9,N(Items[[#This Row],[Prio]]))*10+(IF(Items[[#This Row],[State]]="DONE",1,0)))*100000+ROW(),"")</f>
      </c>
      <c r="X81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17" s="17">
        <f>IF(AND(Items[[#This Row],[State]]="DONE",N(Items[[#This Row],[Done on]])&gt;AsOf-7),(200000-N(Items[[#This Row],[Done on]]))*100000+ROW(),"")</f>
      </c>
    </row>
    <row r="818">
      <c r="A818" t="s">
        <v>998</v>
      </c>
      <c r="B818" t="s">
        <v>2039</v>
      </c>
      <c r="C818" t="s">
        <v>1115</v>
      </c>
      <c r="D818" t="s">
        <v>1119</v>
      </c>
      <c r="E818" t="s">
        <v>1134</v>
      </c>
      <c r="F818" t="s">
        <v>1387</v>
      </c>
      <c r="G818">
        <v>8</v>
      </c>
      <c r="H818">
        <v>2</v>
      </c>
      <c r="I818" s="11">
        <v>46245</v>
      </c>
      <c r="J818" s="17">
        <f>IF(Items[[#This Row],[ID]]="","",IFERROR(VALUE(LOOKUP(2,1/((Log[ID]=Items[[#This Row],[ID]])*(Log[Verb]="est")),Log[Arg])),N(Items[[#This Row],[Points]])))</f>
      </c>
      <c r="K818" s="17">
        <f>IF(Items[[#This Row],[ID]]="","",IFERROR(LOOKUP(2,1/((Log[ID]=Items[[#This Row],[ID]])*(Log[Verb]="pass")),Log[Arg])&amp;"",Items[[#This Row],[Team]]&amp;""))</f>
      </c>
      <c r="L818" s="17">
        <f>IF(Items[[#This Row],[ID]]="","",IFERROR(LOOKUP(2,1/((Log[ID]=Items[[#This Row],[ID]])*(Log[Into]&lt;&gt;"")),Log[Into]),""))</f>
      </c>
      <c r="M818" s="17">
        <f>IF(Items[[#This Row],[ID]]="","",IF(IFERROR(LOOKUP(2,1/((Log[ID]=Items[[#This Row],[ID]])*(Log[Blk]&lt;&gt;"")),Log[Blk]),0)=1,"Y",""))</f>
      </c>
      <c r="N818" s="17">
        <f>IF(Items[[#This Row],[ID]]="","",SUBSTITUTE(IFERROR(LOOKUP(2,1/((Log[ID]=Items[[#This Row],[ID]])*(Log[State]&lt;&gt;"")),Log[State]),"TODO"),"OPEN",IF(Items[[#This Row],[Blocked]]="Y","WAIT","OPEN")))</f>
      </c>
      <c r="O81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18" s="17">
        <f>IF(Items[[#This Row],[State]]&lt;&gt;"WAIT","",AsOf-Items[[#This Row],[Blocked since]])</f>
      </c>
      <c r="Q818" s="17">
        <f>IF(Items[[#This Row],[State]]&lt;&gt;"WAIT","",IFERROR(LOOKUP(2,1/((Log[ID]=Items[[#This Row],[ID]])*(Log[Verb]="block")),Log[Note])&amp;"",""))</f>
      </c>
      <c r="R818" s="17">
        <f>IF(Items[[#This Row],[ID]]="","",COUNTIFS(Log[ID],Items[[#This Row],[ID]],Log[Verb],"carry"))</f>
      </c>
      <c r="S818" s="17">
        <f>IF(Items[[#This Row],[ID]]="","",COUNTIFS(Log[ID],Items[[#This Row],[ID]],Log[Verb],"punt"))</f>
      </c>
      <c r="T818" s="11">
        <f>IF(Items[[#This Row],[State]]&lt;&gt;"DONE","",IFERROR(LOOKUP(2,1/((Log[ID]=Items[[#This Row],[ID]])*(Log[Verb]="done")),Log[Date]),""))</f>
      </c>
      <c r="U818" s="17">
        <f>IF(Items[[#This Row],[ID]]="","",IF(AND(Items[[#This Row],[Sprint]]=CurSprint,OR(Items[[#This Row],[State]]="OPEN",Items[[#This Row],[State]]="WAIT",Items[[#This Row],[State]]="HOLD",Items[[#This Row],[State]]="DONE")),1,0))</f>
      </c>
      <c r="V818" s="17">
        <f>IF(OR(Items[[#This Row],[ID]]="",Items[[#This Row],[Added]]=""),"",AsOf-Items[[#This Row],[Added]])</f>
      </c>
      <c r="W818" s="17">
        <f>IF(Items[[#This Row],[In sprint]]=1,(IF(Items[[#This Row],[Prio]]="",9,N(Items[[#This Row],[Prio]]))*10+(IF(Items[[#This Row],[State]]="DONE",1,0)))*100000+ROW(),"")</f>
      </c>
      <c r="X81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18" s="17">
        <f>IF(AND(Items[[#This Row],[State]]="DONE",N(Items[[#This Row],[Done on]])&gt;AsOf-7),(200000-N(Items[[#This Row],[Done on]]))*100000+ROW(),"")</f>
      </c>
    </row>
    <row r="819">
      <c r="A819" t="s">
        <v>1065</v>
      </c>
      <c r="B819" t="s">
        <v>2040</v>
      </c>
      <c r="C819" t="s">
        <v>1115</v>
      </c>
      <c r="D819" t="s">
        <v>1119</v>
      </c>
      <c r="E819" t="s">
        <v>1134</v>
      </c>
      <c r="F819" t="s">
        <v>1137</v>
      </c>
      <c r="G819">
        <v>8</v>
      </c>
      <c r="H819">
        <v>1</v>
      </c>
      <c r="I819" s="11">
        <v>46245</v>
      </c>
      <c r="J819" s="17">
        <f>IF(Items[[#This Row],[ID]]="","",IFERROR(VALUE(LOOKUP(2,1/((Log[ID]=Items[[#This Row],[ID]])*(Log[Verb]="est")),Log[Arg])),N(Items[[#This Row],[Points]])))</f>
      </c>
      <c r="K819" s="17">
        <f>IF(Items[[#This Row],[ID]]="","",IFERROR(LOOKUP(2,1/((Log[ID]=Items[[#This Row],[ID]])*(Log[Verb]="pass")),Log[Arg])&amp;"",Items[[#This Row],[Team]]&amp;""))</f>
      </c>
      <c r="L819" s="17">
        <f>IF(Items[[#This Row],[ID]]="","",IFERROR(LOOKUP(2,1/((Log[ID]=Items[[#This Row],[ID]])*(Log[Into]&lt;&gt;"")),Log[Into]),""))</f>
      </c>
      <c r="M819" s="17">
        <f>IF(Items[[#This Row],[ID]]="","",IF(IFERROR(LOOKUP(2,1/((Log[ID]=Items[[#This Row],[ID]])*(Log[Blk]&lt;&gt;"")),Log[Blk]),0)=1,"Y",""))</f>
      </c>
      <c r="N819" s="17">
        <f>IF(Items[[#This Row],[ID]]="","",SUBSTITUTE(IFERROR(LOOKUP(2,1/((Log[ID]=Items[[#This Row],[ID]])*(Log[State]&lt;&gt;"")),Log[State]),"TODO"),"OPEN",IF(Items[[#This Row],[Blocked]]="Y","WAIT","OPEN")))</f>
      </c>
      <c r="O81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19" s="17">
        <f>IF(Items[[#This Row],[State]]&lt;&gt;"WAIT","",AsOf-Items[[#This Row],[Blocked since]])</f>
      </c>
      <c r="Q819" s="17">
        <f>IF(Items[[#This Row],[State]]&lt;&gt;"WAIT","",IFERROR(LOOKUP(2,1/((Log[ID]=Items[[#This Row],[ID]])*(Log[Verb]="block")),Log[Note])&amp;"",""))</f>
      </c>
      <c r="R819" s="17">
        <f>IF(Items[[#This Row],[ID]]="","",COUNTIFS(Log[ID],Items[[#This Row],[ID]],Log[Verb],"carry"))</f>
      </c>
      <c r="S819" s="17">
        <f>IF(Items[[#This Row],[ID]]="","",COUNTIFS(Log[ID],Items[[#This Row],[ID]],Log[Verb],"punt"))</f>
      </c>
      <c r="T819" s="11">
        <f>IF(Items[[#This Row],[State]]&lt;&gt;"DONE","",IFERROR(LOOKUP(2,1/((Log[ID]=Items[[#This Row],[ID]])*(Log[Verb]="done")),Log[Date]),""))</f>
      </c>
      <c r="U819" s="17">
        <f>IF(Items[[#This Row],[ID]]="","",IF(AND(Items[[#This Row],[Sprint]]=CurSprint,OR(Items[[#This Row],[State]]="OPEN",Items[[#This Row],[State]]="WAIT",Items[[#This Row],[State]]="HOLD",Items[[#This Row],[State]]="DONE")),1,0))</f>
      </c>
      <c r="V819" s="17">
        <f>IF(OR(Items[[#This Row],[ID]]="",Items[[#This Row],[Added]]=""),"",AsOf-Items[[#This Row],[Added]])</f>
      </c>
      <c r="W819" s="17">
        <f>IF(Items[[#This Row],[In sprint]]=1,(IF(Items[[#This Row],[Prio]]="",9,N(Items[[#This Row],[Prio]]))*10+(IF(Items[[#This Row],[State]]="DONE",1,0)))*100000+ROW(),"")</f>
      </c>
      <c r="X81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19" s="17">
        <f>IF(AND(Items[[#This Row],[State]]="DONE",N(Items[[#This Row],[Done on]])&gt;AsOf-7),(200000-N(Items[[#This Row],[Done on]]))*100000+ROW(),"")</f>
      </c>
    </row>
    <row r="820">
      <c r="A820" t="s">
        <v>938</v>
      </c>
      <c r="B820" t="s">
        <v>2041</v>
      </c>
      <c r="C820" t="s">
        <v>1107</v>
      </c>
      <c r="D820" t="s">
        <v>1123</v>
      </c>
      <c r="E820" t="s">
        <v>1134</v>
      </c>
      <c r="F820" t="s">
        <v>1242</v>
      </c>
      <c r="G820">
        <v>5</v>
      </c>
      <c r="H820">
        <v>3</v>
      </c>
      <c r="I820" s="11">
        <v>46245</v>
      </c>
      <c r="J820" s="17">
        <f>IF(Items[[#This Row],[ID]]="","",IFERROR(VALUE(LOOKUP(2,1/((Log[ID]=Items[[#This Row],[ID]])*(Log[Verb]="est")),Log[Arg])),N(Items[[#This Row],[Points]])))</f>
      </c>
      <c r="K820" s="17">
        <f>IF(Items[[#This Row],[ID]]="","",IFERROR(LOOKUP(2,1/((Log[ID]=Items[[#This Row],[ID]])*(Log[Verb]="pass")),Log[Arg])&amp;"",Items[[#This Row],[Team]]&amp;""))</f>
      </c>
      <c r="L820" s="17">
        <f>IF(Items[[#This Row],[ID]]="","",IFERROR(LOOKUP(2,1/((Log[ID]=Items[[#This Row],[ID]])*(Log[Into]&lt;&gt;"")),Log[Into]),""))</f>
      </c>
      <c r="M820" s="17">
        <f>IF(Items[[#This Row],[ID]]="","",IF(IFERROR(LOOKUP(2,1/((Log[ID]=Items[[#This Row],[ID]])*(Log[Blk]&lt;&gt;"")),Log[Blk]),0)=1,"Y",""))</f>
      </c>
      <c r="N820" s="17">
        <f>IF(Items[[#This Row],[ID]]="","",SUBSTITUTE(IFERROR(LOOKUP(2,1/((Log[ID]=Items[[#This Row],[ID]])*(Log[State]&lt;&gt;"")),Log[State]),"TODO"),"OPEN",IF(Items[[#This Row],[Blocked]]="Y","WAIT","OPEN")))</f>
      </c>
      <c r="O82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20" s="17">
        <f>IF(Items[[#This Row],[State]]&lt;&gt;"WAIT","",AsOf-Items[[#This Row],[Blocked since]])</f>
      </c>
      <c r="Q820" s="17">
        <f>IF(Items[[#This Row],[State]]&lt;&gt;"WAIT","",IFERROR(LOOKUP(2,1/((Log[ID]=Items[[#This Row],[ID]])*(Log[Verb]="block")),Log[Note])&amp;"",""))</f>
      </c>
      <c r="R820" s="17">
        <f>IF(Items[[#This Row],[ID]]="","",COUNTIFS(Log[ID],Items[[#This Row],[ID]],Log[Verb],"carry"))</f>
      </c>
      <c r="S820" s="17">
        <f>IF(Items[[#This Row],[ID]]="","",COUNTIFS(Log[ID],Items[[#This Row],[ID]],Log[Verb],"punt"))</f>
      </c>
      <c r="T820" s="11">
        <f>IF(Items[[#This Row],[State]]&lt;&gt;"DONE","",IFERROR(LOOKUP(2,1/((Log[ID]=Items[[#This Row],[ID]])*(Log[Verb]="done")),Log[Date]),""))</f>
      </c>
      <c r="U820" s="17">
        <f>IF(Items[[#This Row],[ID]]="","",IF(AND(Items[[#This Row],[Sprint]]=CurSprint,OR(Items[[#This Row],[State]]="OPEN",Items[[#This Row],[State]]="WAIT",Items[[#This Row],[State]]="HOLD",Items[[#This Row],[State]]="DONE")),1,0))</f>
      </c>
      <c r="V820" s="17">
        <f>IF(OR(Items[[#This Row],[ID]]="",Items[[#This Row],[Added]]=""),"",AsOf-Items[[#This Row],[Added]])</f>
      </c>
      <c r="W820" s="17">
        <f>IF(Items[[#This Row],[In sprint]]=1,(IF(Items[[#This Row],[Prio]]="",9,N(Items[[#This Row],[Prio]]))*10+(IF(Items[[#This Row],[State]]="DONE",1,0)))*100000+ROW(),"")</f>
      </c>
      <c r="X82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20" s="17">
        <f>IF(AND(Items[[#This Row],[State]]="DONE",N(Items[[#This Row],[Done on]])&gt;AsOf-7),(200000-N(Items[[#This Row],[Done on]]))*100000+ROW(),"")</f>
      </c>
    </row>
    <row r="821">
      <c r="A821" t="s">
        <v>999</v>
      </c>
      <c r="B821" t="s">
        <v>2042</v>
      </c>
      <c r="C821" t="s">
        <v>1107</v>
      </c>
      <c r="D821" t="s">
        <v>1123</v>
      </c>
      <c r="E821" t="s">
        <v>1134</v>
      </c>
      <c r="F821" t="s">
        <v>1237</v>
      </c>
      <c r="G821">
        <v>2</v>
      </c>
      <c r="H821">
        <v>1</v>
      </c>
      <c r="I821" s="11">
        <v>46245</v>
      </c>
      <c r="J821" s="17">
        <f>IF(Items[[#This Row],[ID]]="","",IFERROR(VALUE(LOOKUP(2,1/((Log[ID]=Items[[#This Row],[ID]])*(Log[Verb]="est")),Log[Arg])),N(Items[[#This Row],[Points]])))</f>
      </c>
      <c r="K821" s="17">
        <f>IF(Items[[#This Row],[ID]]="","",IFERROR(LOOKUP(2,1/((Log[ID]=Items[[#This Row],[ID]])*(Log[Verb]="pass")),Log[Arg])&amp;"",Items[[#This Row],[Team]]&amp;""))</f>
      </c>
      <c r="L821" s="17">
        <f>IF(Items[[#This Row],[ID]]="","",IFERROR(LOOKUP(2,1/((Log[ID]=Items[[#This Row],[ID]])*(Log[Into]&lt;&gt;"")),Log[Into]),""))</f>
      </c>
      <c r="M821" s="17">
        <f>IF(Items[[#This Row],[ID]]="","",IF(IFERROR(LOOKUP(2,1/((Log[ID]=Items[[#This Row],[ID]])*(Log[Blk]&lt;&gt;"")),Log[Blk]),0)=1,"Y",""))</f>
      </c>
      <c r="N821" s="17">
        <f>IF(Items[[#This Row],[ID]]="","",SUBSTITUTE(IFERROR(LOOKUP(2,1/((Log[ID]=Items[[#This Row],[ID]])*(Log[State]&lt;&gt;"")),Log[State]),"TODO"),"OPEN",IF(Items[[#This Row],[Blocked]]="Y","WAIT","OPEN")))</f>
      </c>
      <c r="O82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21" s="17">
        <f>IF(Items[[#This Row],[State]]&lt;&gt;"WAIT","",AsOf-Items[[#This Row],[Blocked since]])</f>
      </c>
      <c r="Q821" s="17">
        <f>IF(Items[[#This Row],[State]]&lt;&gt;"WAIT","",IFERROR(LOOKUP(2,1/((Log[ID]=Items[[#This Row],[ID]])*(Log[Verb]="block")),Log[Note])&amp;"",""))</f>
      </c>
      <c r="R821" s="17">
        <f>IF(Items[[#This Row],[ID]]="","",COUNTIFS(Log[ID],Items[[#This Row],[ID]],Log[Verb],"carry"))</f>
      </c>
      <c r="S821" s="17">
        <f>IF(Items[[#This Row],[ID]]="","",COUNTIFS(Log[ID],Items[[#This Row],[ID]],Log[Verb],"punt"))</f>
      </c>
      <c r="T821" s="11">
        <f>IF(Items[[#This Row],[State]]&lt;&gt;"DONE","",IFERROR(LOOKUP(2,1/((Log[ID]=Items[[#This Row],[ID]])*(Log[Verb]="done")),Log[Date]),""))</f>
      </c>
      <c r="U821" s="17">
        <f>IF(Items[[#This Row],[ID]]="","",IF(AND(Items[[#This Row],[Sprint]]=CurSprint,OR(Items[[#This Row],[State]]="OPEN",Items[[#This Row],[State]]="WAIT",Items[[#This Row],[State]]="HOLD",Items[[#This Row],[State]]="DONE")),1,0))</f>
      </c>
      <c r="V821" s="17">
        <f>IF(OR(Items[[#This Row],[ID]]="",Items[[#This Row],[Added]]=""),"",AsOf-Items[[#This Row],[Added]])</f>
      </c>
      <c r="W821" s="17">
        <f>IF(Items[[#This Row],[In sprint]]=1,(IF(Items[[#This Row],[Prio]]="",9,N(Items[[#This Row],[Prio]]))*10+(IF(Items[[#This Row],[State]]="DONE",1,0)))*100000+ROW(),"")</f>
      </c>
      <c r="X82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21" s="17">
        <f>IF(AND(Items[[#This Row],[State]]="DONE",N(Items[[#This Row],[Done on]])&gt;AsOf-7),(200000-N(Items[[#This Row],[Done on]]))*100000+ROW(),"")</f>
      </c>
    </row>
    <row r="822">
      <c r="A822" t="s">
        <v>1066</v>
      </c>
      <c r="B822" t="s">
        <v>2043</v>
      </c>
      <c r="C822" t="s">
        <v>1107</v>
      </c>
      <c r="D822" t="s">
        <v>1123</v>
      </c>
      <c r="E822" t="s">
        <v>1134</v>
      </c>
      <c r="F822" t="s">
        <v>1387</v>
      </c>
      <c r="G822">
        <v>5</v>
      </c>
      <c r="H822">
        <v>2</v>
      </c>
      <c r="I822" s="11">
        <v>46245</v>
      </c>
      <c r="J822" s="17">
        <f>IF(Items[[#This Row],[ID]]="","",IFERROR(VALUE(LOOKUP(2,1/((Log[ID]=Items[[#This Row],[ID]])*(Log[Verb]="est")),Log[Arg])),N(Items[[#This Row],[Points]])))</f>
      </c>
      <c r="K822" s="17">
        <f>IF(Items[[#This Row],[ID]]="","",IFERROR(LOOKUP(2,1/((Log[ID]=Items[[#This Row],[ID]])*(Log[Verb]="pass")),Log[Arg])&amp;"",Items[[#This Row],[Team]]&amp;""))</f>
      </c>
      <c r="L822" s="17">
        <f>IF(Items[[#This Row],[ID]]="","",IFERROR(LOOKUP(2,1/((Log[ID]=Items[[#This Row],[ID]])*(Log[Into]&lt;&gt;"")),Log[Into]),""))</f>
      </c>
      <c r="M822" s="17">
        <f>IF(Items[[#This Row],[ID]]="","",IF(IFERROR(LOOKUP(2,1/((Log[ID]=Items[[#This Row],[ID]])*(Log[Blk]&lt;&gt;"")),Log[Blk]),0)=1,"Y",""))</f>
      </c>
      <c r="N822" s="17">
        <f>IF(Items[[#This Row],[ID]]="","",SUBSTITUTE(IFERROR(LOOKUP(2,1/((Log[ID]=Items[[#This Row],[ID]])*(Log[State]&lt;&gt;"")),Log[State]),"TODO"),"OPEN",IF(Items[[#This Row],[Blocked]]="Y","WAIT","OPEN")))</f>
      </c>
      <c r="O82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22" s="17">
        <f>IF(Items[[#This Row],[State]]&lt;&gt;"WAIT","",AsOf-Items[[#This Row],[Blocked since]])</f>
      </c>
      <c r="Q822" s="17">
        <f>IF(Items[[#This Row],[State]]&lt;&gt;"WAIT","",IFERROR(LOOKUP(2,1/((Log[ID]=Items[[#This Row],[ID]])*(Log[Verb]="block")),Log[Note])&amp;"",""))</f>
      </c>
      <c r="R822" s="17">
        <f>IF(Items[[#This Row],[ID]]="","",COUNTIFS(Log[ID],Items[[#This Row],[ID]],Log[Verb],"carry"))</f>
      </c>
      <c r="S822" s="17">
        <f>IF(Items[[#This Row],[ID]]="","",COUNTIFS(Log[ID],Items[[#This Row],[ID]],Log[Verb],"punt"))</f>
      </c>
      <c r="T822" s="11">
        <f>IF(Items[[#This Row],[State]]&lt;&gt;"DONE","",IFERROR(LOOKUP(2,1/((Log[ID]=Items[[#This Row],[ID]])*(Log[Verb]="done")),Log[Date]),""))</f>
      </c>
      <c r="U822" s="17">
        <f>IF(Items[[#This Row],[ID]]="","",IF(AND(Items[[#This Row],[Sprint]]=CurSprint,OR(Items[[#This Row],[State]]="OPEN",Items[[#This Row],[State]]="WAIT",Items[[#This Row],[State]]="HOLD",Items[[#This Row],[State]]="DONE")),1,0))</f>
      </c>
      <c r="V822" s="17">
        <f>IF(OR(Items[[#This Row],[ID]]="",Items[[#This Row],[Added]]=""),"",AsOf-Items[[#This Row],[Added]])</f>
      </c>
      <c r="W822" s="17">
        <f>IF(Items[[#This Row],[In sprint]]=1,(IF(Items[[#This Row],[Prio]]="",9,N(Items[[#This Row],[Prio]]))*10+(IF(Items[[#This Row],[State]]="DONE",1,0)))*100000+ROW(),"")</f>
      </c>
      <c r="X82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22" s="17">
        <f>IF(AND(Items[[#This Row],[State]]="DONE",N(Items[[#This Row],[Done on]])&gt;AsOf-7),(200000-N(Items[[#This Row],[Done on]]))*100000+ROW(),"")</f>
      </c>
    </row>
    <row r="823">
      <c r="A823" t="s">
        <v>944</v>
      </c>
      <c r="B823" t="s">
        <v>2044</v>
      </c>
      <c r="C823" t="s">
        <v>1115</v>
      </c>
      <c r="D823" t="s">
        <v>1116</v>
      </c>
      <c r="E823" t="s">
        <v>1139</v>
      </c>
      <c r="F823" t="s">
        <v>1395</v>
      </c>
      <c r="G823">
        <v>2</v>
      </c>
      <c r="H823">
        <v>3</v>
      </c>
      <c r="I823" s="11">
        <v>46245</v>
      </c>
      <c r="J823" s="17">
        <f>IF(Items[[#This Row],[ID]]="","",IFERROR(VALUE(LOOKUP(2,1/((Log[ID]=Items[[#This Row],[ID]])*(Log[Verb]="est")),Log[Arg])),N(Items[[#This Row],[Points]])))</f>
      </c>
      <c r="K823" s="17">
        <f>IF(Items[[#This Row],[ID]]="","",IFERROR(LOOKUP(2,1/((Log[ID]=Items[[#This Row],[ID]])*(Log[Verb]="pass")),Log[Arg])&amp;"",Items[[#This Row],[Team]]&amp;""))</f>
      </c>
      <c r="L823" s="17">
        <f>IF(Items[[#This Row],[ID]]="","",IFERROR(LOOKUP(2,1/((Log[ID]=Items[[#This Row],[ID]])*(Log[Into]&lt;&gt;"")),Log[Into]),""))</f>
      </c>
      <c r="M823" s="17">
        <f>IF(Items[[#This Row],[ID]]="","",IF(IFERROR(LOOKUP(2,1/((Log[ID]=Items[[#This Row],[ID]])*(Log[Blk]&lt;&gt;"")),Log[Blk]),0)=1,"Y",""))</f>
      </c>
      <c r="N823" s="17">
        <f>IF(Items[[#This Row],[ID]]="","",SUBSTITUTE(IFERROR(LOOKUP(2,1/((Log[ID]=Items[[#This Row],[ID]])*(Log[State]&lt;&gt;"")),Log[State]),"TODO"),"OPEN",IF(Items[[#This Row],[Blocked]]="Y","WAIT","OPEN")))</f>
      </c>
      <c r="O82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23" s="17">
        <f>IF(Items[[#This Row],[State]]&lt;&gt;"WAIT","",AsOf-Items[[#This Row],[Blocked since]])</f>
      </c>
      <c r="Q823" s="17">
        <f>IF(Items[[#This Row],[State]]&lt;&gt;"WAIT","",IFERROR(LOOKUP(2,1/((Log[ID]=Items[[#This Row],[ID]])*(Log[Verb]="block")),Log[Note])&amp;"",""))</f>
      </c>
      <c r="R823" s="17">
        <f>IF(Items[[#This Row],[ID]]="","",COUNTIFS(Log[ID],Items[[#This Row],[ID]],Log[Verb],"carry"))</f>
      </c>
      <c r="S823" s="17">
        <f>IF(Items[[#This Row],[ID]]="","",COUNTIFS(Log[ID],Items[[#This Row],[ID]],Log[Verb],"punt"))</f>
      </c>
      <c r="T823" s="11">
        <f>IF(Items[[#This Row],[State]]&lt;&gt;"DONE","",IFERROR(LOOKUP(2,1/((Log[ID]=Items[[#This Row],[ID]])*(Log[Verb]="done")),Log[Date]),""))</f>
      </c>
      <c r="U823" s="17">
        <f>IF(Items[[#This Row],[ID]]="","",IF(AND(Items[[#This Row],[Sprint]]=CurSprint,OR(Items[[#This Row],[State]]="OPEN",Items[[#This Row],[State]]="WAIT",Items[[#This Row],[State]]="HOLD",Items[[#This Row],[State]]="DONE")),1,0))</f>
      </c>
      <c r="V823" s="17">
        <f>IF(OR(Items[[#This Row],[ID]]="",Items[[#This Row],[Added]]=""),"",AsOf-Items[[#This Row],[Added]])</f>
      </c>
      <c r="W823" s="17">
        <f>IF(Items[[#This Row],[In sprint]]=1,(IF(Items[[#This Row],[Prio]]="",9,N(Items[[#This Row],[Prio]]))*10+(IF(Items[[#This Row],[State]]="DONE",1,0)))*100000+ROW(),"")</f>
      </c>
      <c r="X82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23" s="17">
        <f>IF(AND(Items[[#This Row],[State]]="DONE",N(Items[[#This Row],[Done on]])&gt;AsOf-7),(200000-N(Items[[#This Row],[Done on]]))*100000+ROW(),"")</f>
      </c>
    </row>
    <row r="824">
      <c r="A824" t="s">
        <v>1001</v>
      </c>
      <c r="B824" t="s">
        <v>2045</v>
      </c>
      <c r="C824" t="s">
        <v>1115</v>
      </c>
      <c r="D824" t="s">
        <v>1119</v>
      </c>
      <c r="E824" t="s">
        <v>1139</v>
      </c>
      <c r="F824" t="s">
        <v>1175</v>
      </c>
      <c r="G824">
        <v>5</v>
      </c>
      <c r="H824">
        <v>2</v>
      </c>
      <c r="I824" s="11">
        <v>46245</v>
      </c>
      <c r="J824" s="17">
        <f>IF(Items[[#This Row],[ID]]="","",IFERROR(VALUE(LOOKUP(2,1/((Log[ID]=Items[[#This Row],[ID]])*(Log[Verb]="est")),Log[Arg])),N(Items[[#This Row],[Points]])))</f>
      </c>
      <c r="K824" s="17">
        <f>IF(Items[[#This Row],[ID]]="","",IFERROR(LOOKUP(2,1/((Log[ID]=Items[[#This Row],[ID]])*(Log[Verb]="pass")),Log[Arg])&amp;"",Items[[#This Row],[Team]]&amp;""))</f>
      </c>
      <c r="L824" s="17">
        <f>IF(Items[[#This Row],[ID]]="","",IFERROR(LOOKUP(2,1/((Log[ID]=Items[[#This Row],[ID]])*(Log[Into]&lt;&gt;"")),Log[Into]),""))</f>
      </c>
      <c r="M824" s="17">
        <f>IF(Items[[#This Row],[ID]]="","",IF(IFERROR(LOOKUP(2,1/((Log[ID]=Items[[#This Row],[ID]])*(Log[Blk]&lt;&gt;"")),Log[Blk]),0)=1,"Y",""))</f>
      </c>
      <c r="N824" s="17">
        <f>IF(Items[[#This Row],[ID]]="","",SUBSTITUTE(IFERROR(LOOKUP(2,1/((Log[ID]=Items[[#This Row],[ID]])*(Log[State]&lt;&gt;"")),Log[State]),"TODO"),"OPEN",IF(Items[[#This Row],[Blocked]]="Y","WAIT","OPEN")))</f>
      </c>
      <c r="O82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24" s="17">
        <f>IF(Items[[#This Row],[State]]&lt;&gt;"WAIT","",AsOf-Items[[#This Row],[Blocked since]])</f>
      </c>
      <c r="Q824" s="17">
        <f>IF(Items[[#This Row],[State]]&lt;&gt;"WAIT","",IFERROR(LOOKUP(2,1/((Log[ID]=Items[[#This Row],[ID]])*(Log[Verb]="block")),Log[Note])&amp;"",""))</f>
      </c>
      <c r="R824" s="17">
        <f>IF(Items[[#This Row],[ID]]="","",COUNTIFS(Log[ID],Items[[#This Row],[ID]],Log[Verb],"carry"))</f>
      </c>
      <c r="S824" s="17">
        <f>IF(Items[[#This Row],[ID]]="","",COUNTIFS(Log[ID],Items[[#This Row],[ID]],Log[Verb],"punt"))</f>
      </c>
      <c r="T824" s="11">
        <f>IF(Items[[#This Row],[State]]&lt;&gt;"DONE","",IFERROR(LOOKUP(2,1/((Log[ID]=Items[[#This Row],[ID]])*(Log[Verb]="done")),Log[Date]),""))</f>
      </c>
      <c r="U824" s="17">
        <f>IF(Items[[#This Row],[ID]]="","",IF(AND(Items[[#This Row],[Sprint]]=CurSprint,OR(Items[[#This Row],[State]]="OPEN",Items[[#This Row],[State]]="WAIT",Items[[#This Row],[State]]="HOLD",Items[[#This Row],[State]]="DONE")),1,0))</f>
      </c>
      <c r="V824" s="17">
        <f>IF(OR(Items[[#This Row],[ID]]="",Items[[#This Row],[Added]]=""),"",AsOf-Items[[#This Row],[Added]])</f>
      </c>
      <c r="W824" s="17">
        <f>IF(Items[[#This Row],[In sprint]]=1,(IF(Items[[#This Row],[Prio]]="",9,N(Items[[#This Row],[Prio]]))*10+(IF(Items[[#This Row],[State]]="DONE",1,0)))*100000+ROW(),"")</f>
      </c>
      <c r="X82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24" s="17">
        <f>IF(AND(Items[[#This Row],[State]]="DONE",N(Items[[#This Row],[Done on]])&gt;AsOf-7),(200000-N(Items[[#This Row],[Done on]]))*100000+ROW(),"")</f>
      </c>
    </row>
    <row r="825">
      <c r="A825" t="s">
        <v>945</v>
      </c>
      <c r="B825" t="s">
        <v>2046</v>
      </c>
      <c r="C825" t="s">
        <v>1107</v>
      </c>
      <c r="D825" t="s">
        <v>1127</v>
      </c>
      <c r="E825" t="s">
        <v>1139</v>
      </c>
      <c r="F825" t="s">
        <v>1251</v>
      </c>
      <c r="G825">
        <v>3</v>
      </c>
      <c r="H825">
        <v>1</v>
      </c>
      <c r="I825" s="11">
        <v>46245</v>
      </c>
      <c r="J825" s="17">
        <f>IF(Items[[#This Row],[ID]]="","",IFERROR(VALUE(LOOKUP(2,1/((Log[ID]=Items[[#This Row],[ID]])*(Log[Verb]="est")),Log[Arg])),N(Items[[#This Row],[Points]])))</f>
      </c>
      <c r="K825" s="17">
        <f>IF(Items[[#This Row],[ID]]="","",IFERROR(LOOKUP(2,1/((Log[ID]=Items[[#This Row],[ID]])*(Log[Verb]="pass")),Log[Arg])&amp;"",Items[[#This Row],[Team]]&amp;""))</f>
      </c>
      <c r="L825" s="17">
        <f>IF(Items[[#This Row],[ID]]="","",IFERROR(LOOKUP(2,1/((Log[ID]=Items[[#This Row],[ID]])*(Log[Into]&lt;&gt;"")),Log[Into]),""))</f>
      </c>
      <c r="M825" s="17">
        <f>IF(Items[[#This Row],[ID]]="","",IF(IFERROR(LOOKUP(2,1/((Log[ID]=Items[[#This Row],[ID]])*(Log[Blk]&lt;&gt;"")),Log[Blk]),0)=1,"Y",""))</f>
      </c>
      <c r="N825" s="17">
        <f>IF(Items[[#This Row],[ID]]="","",SUBSTITUTE(IFERROR(LOOKUP(2,1/((Log[ID]=Items[[#This Row],[ID]])*(Log[State]&lt;&gt;"")),Log[State]),"TODO"),"OPEN",IF(Items[[#This Row],[Blocked]]="Y","WAIT","OPEN")))</f>
      </c>
      <c r="O82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25" s="17">
        <f>IF(Items[[#This Row],[State]]&lt;&gt;"WAIT","",AsOf-Items[[#This Row],[Blocked since]])</f>
      </c>
      <c r="Q825" s="17">
        <f>IF(Items[[#This Row],[State]]&lt;&gt;"WAIT","",IFERROR(LOOKUP(2,1/((Log[ID]=Items[[#This Row],[ID]])*(Log[Verb]="block")),Log[Note])&amp;"",""))</f>
      </c>
      <c r="R825" s="17">
        <f>IF(Items[[#This Row],[ID]]="","",COUNTIFS(Log[ID],Items[[#This Row],[ID]],Log[Verb],"carry"))</f>
      </c>
      <c r="S825" s="17">
        <f>IF(Items[[#This Row],[ID]]="","",COUNTIFS(Log[ID],Items[[#This Row],[ID]],Log[Verb],"punt"))</f>
      </c>
      <c r="T825" s="11">
        <f>IF(Items[[#This Row],[State]]&lt;&gt;"DONE","",IFERROR(LOOKUP(2,1/((Log[ID]=Items[[#This Row],[ID]])*(Log[Verb]="done")),Log[Date]),""))</f>
      </c>
      <c r="U825" s="17">
        <f>IF(Items[[#This Row],[ID]]="","",IF(AND(Items[[#This Row],[Sprint]]=CurSprint,OR(Items[[#This Row],[State]]="OPEN",Items[[#This Row],[State]]="WAIT",Items[[#This Row],[State]]="HOLD",Items[[#This Row],[State]]="DONE")),1,0))</f>
      </c>
      <c r="V825" s="17">
        <f>IF(OR(Items[[#This Row],[ID]]="",Items[[#This Row],[Added]]=""),"",AsOf-Items[[#This Row],[Added]])</f>
      </c>
      <c r="W825" s="17">
        <f>IF(Items[[#This Row],[In sprint]]=1,(IF(Items[[#This Row],[Prio]]="",9,N(Items[[#This Row],[Prio]]))*10+(IF(Items[[#This Row],[State]]="DONE",1,0)))*100000+ROW(),"")</f>
      </c>
      <c r="X82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25" s="17">
        <f>IF(AND(Items[[#This Row],[State]]="DONE",N(Items[[#This Row],[Done on]])&gt;AsOf-7),(200000-N(Items[[#This Row],[Done on]]))*100000+ROW(),"")</f>
      </c>
    </row>
    <row r="826">
      <c r="A826" t="s">
        <v>1002</v>
      </c>
      <c r="B826" t="s">
        <v>2047</v>
      </c>
      <c r="C826" t="s">
        <v>1107</v>
      </c>
      <c r="D826" t="s">
        <v>1123</v>
      </c>
      <c r="E826" t="s">
        <v>1139</v>
      </c>
      <c r="F826" t="s">
        <v>1175</v>
      </c>
      <c r="G826">
        <v>3</v>
      </c>
      <c r="H826">
        <v>2</v>
      </c>
      <c r="I826" s="11">
        <v>46245</v>
      </c>
      <c r="J826" s="17">
        <f>IF(Items[[#This Row],[ID]]="","",IFERROR(VALUE(LOOKUP(2,1/((Log[ID]=Items[[#This Row],[ID]])*(Log[Verb]="est")),Log[Arg])),N(Items[[#This Row],[Points]])))</f>
      </c>
      <c r="K826" s="17">
        <f>IF(Items[[#This Row],[ID]]="","",IFERROR(LOOKUP(2,1/((Log[ID]=Items[[#This Row],[ID]])*(Log[Verb]="pass")),Log[Arg])&amp;"",Items[[#This Row],[Team]]&amp;""))</f>
      </c>
      <c r="L826" s="17">
        <f>IF(Items[[#This Row],[ID]]="","",IFERROR(LOOKUP(2,1/((Log[ID]=Items[[#This Row],[ID]])*(Log[Into]&lt;&gt;"")),Log[Into]),""))</f>
      </c>
      <c r="M826" s="17">
        <f>IF(Items[[#This Row],[ID]]="","",IF(IFERROR(LOOKUP(2,1/((Log[ID]=Items[[#This Row],[ID]])*(Log[Blk]&lt;&gt;"")),Log[Blk]),0)=1,"Y",""))</f>
      </c>
      <c r="N826" s="17">
        <f>IF(Items[[#This Row],[ID]]="","",SUBSTITUTE(IFERROR(LOOKUP(2,1/((Log[ID]=Items[[#This Row],[ID]])*(Log[State]&lt;&gt;"")),Log[State]),"TODO"),"OPEN",IF(Items[[#This Row],[Blocked]]="Y","WAIT","OPEN")))</f>
      </c>
      <c r="O82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26" s="17">
        <f>IF(Items[[#This Row],[State]]&lt;&gt;"WAIT","",AsOf-Items[[#This Row],[Blocked since]])</f>
      </c>
      <c r="Q826" s="17">
        <f>IF(Items[[#This Row],[State]]&lt;&gt;"WAIT","",IFERROR(LOOKUP(2,1/((Log[ID]=Items[[#This Row],[ID]])*(Log[Verb]="block")),Log[Note])&amp;"",""))</f>
      </c>
      <c r="R826" s="17">
        <f>IF(Items[[#This Row],[ID]]="","",COUNTIFS(Log[ID],Items[[#This Row],[ID]],Log[Verb],"carry"))</f>
      </c>
      <c r="S826" s="17">
        <f>IF(Items[[#This Row],[ID]]="","",COUNTIFS(Log[ID],Items[[#This Row],[ID]],Log[Verb],"punt"))</f>
      </c>
      <c r="T826" s="11">
        <f>IF(Items[[#This Row],[State]]&lt;&gt;"DONE","",IFERROR(LOOKUP(2,1/((Log[ID]=Items[[#This Row],[ID]])*(Log[Verb]="done")),Log[Date]),""))</f>
      </c>
      <c r="U826" s="17">
        <f>IF(Items[[#This Row],[ID]]="","",IF(AND(Items[[#This Row],[Sprint]]=CurSprint,OR(Items[[#This Row],[State]]="OPEN",Items[[#This Row],[State]]="WAIT",Items[[#This Row],[State]]="HOLD",Items[[#This Row],[State]]="DONE")),1,0))</f>
      </c>
      <c r="V826" s="17">
        <f>IF(OR(Items[[#This Row],[ID]]="",Items[[#This Row],[Added]]=""),"",AsOf-Items[[#This Row],[Added]])</f>
      </c>
      <c r="W826" s="17">
        <f>IF(Items[[#This Row],[In sprint]]=1,(IF(Items[[#This Row],[Prio]]="",9,N(Items[[#This Row],[Prio]]))*10+(IF(Items[[#This Row],[State]]="DONE",1,0)))*100000+ROW(),"")</f>
      </c>
      <c r="X82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26" s="17">
        <f>IF(AND(Items[[#This Row],[State]]="DONE",N(Items[[#This Row],[Done on]])&gt;AsOf-7),(200000-N(Items[[#This Row],[Done on]]))*100000+ROW(),"")</f>
      </c>
    </row>
    <row r="827">
      <c r="A827" t="s">
        <v>1003</v>
      </c>
      <c r="B827" t="s">
        <v>2048</v>
      </c>
      <c r="C827" t="s">
        <v>1107</v>
      </c>
      <c r="D827" t="s">
        <v>1123</v>
      </c>
      <c r="E827" t="s">
        <v>1139</v>
      </c>
      <c r="F827" t="s">
        <v>1140</v>
      </c>
      <c r="G827">
        <v>5</v>
      </c>
      <c r="H827">
        <v>1</v>
      </c>
      <c r="I827" s="11">
        <v>46245</v>
      </c>
      <c r="J827" s="17">
        <f>IF(Items[[#This Row],[ID]]="","",IFERROR(VALUE(LOOKUP(2,1/((Log[ID]=Items[[#This Row],[ID]])*(Log[Verb]="est")),Log[Arg])),N(Items[[#This Row],[Points]])))</f>
      </c>
      <c r="K827" s="17">
        <f>IF(Items[[#This Row],[ID]]="","",IFERROR(LOOKUP(2,1/((Log[ID]=Items[[#This Row],[ID]])*(Log[Verb]="pass")),Log[Arg])&amp;"",Items[[#This Row],[Team]]&amp;""))</f>
      </c>
      <c r="L827" s="17">
        <f>IF(Items[[#This Row],[ID]]="","",IFERROR(LOOKUP(2,1/((Log[ID]=Items[[#This Row],[ID]])*(Log[Into]&lt;&gt;"")),Log[Into]),""))</f>
      </c>
      <c r="M827" s="17">
        <f>IF(Items[[#This Row],[ID]]="","",IF(IFERROR(LOOKUP(2,1/((Log[ID]=Items[[#This Row],[ID]])*(Log[Blk]&lt;&gt;"")),Log[Blk]),0)=1,"Y",""))</f>
      </c>
      <c r="N827" s="17">
        <f>IF(Items[[#This Row],[ID]]="","",SUBSTITUTE(IFERROR(LOOKUP(2,1/((Log[ID]=Items[[#This Row],[ID]])*(Log[State]&lt;&gt;"")),Log[State]),"TODO"),"OPEN",IF(Items[[#This Row],[Blocked]]="Y","WAIT","OPEN")))</f>
      </c>
      <c r="O82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27" s="17">
        <f>IF(Items[[#This Row],[State]]&lt;&gt;"WAIT","",AsOf-Items[[#This Row],[Blocked since]])</f>
      </c>
      <c r="Q827" s="17">
        <f>IF(Items[[#This Row],[State]]&lt;&gt;"WAIT","",IFERROR(LOOKUP(2,1/((Log[ID]=Items[[#This Row],[ID]])*(Log[Verb]="block")),Log[Note])&amp;"",""))</f>
      </c>
      <c r="R827" s="17">
        <f>IF(Items[[#This Row],[ID]]="","",COUNTIFS(Log[ID],Items[[#This Row],[ID]],Log[Verb],"carry"))</f>
      </c>
      <c r="S827" s="17">
        <f>IF(Items[[#This Row],[ID]]="","",COUNTIFS(Log[ID],Items[[#This Row],[ID]],Log[Verb],"punt"))</f>
      </c>
      <c r="T827" s="11">
        <f>IF(Items[[#This Row],[State]]&lt;&gt;"DONE","",IFERROR(LOOKUP(2,1/((Log[ID]=Items[[#This Row],[ID]])*(Log[Verb]="done")),Log[Date]),""))</f>
      </c>
      <c r="U827" s="17">
        <f>IF(Items[[#This Row],[ID]]="","",IF(AND(Items[[#This Row],[Sprint]]=CurSprint,OR(Items[[#This Row],[State]]="OPEN",Items[[#This Row],[State]]="WAIT",Items[[#This Row],[State]]="HOLD",Items[[#This Row],[State]]="DONE")),1,0))</f>
      </c>
      <c r="V827" s="17">
        <f>IF(OR(Items[[#This Row],[ID]]="",Items[[#This Row],[Added]]=""),"",AsOf-Items[[#This Row],[Added]])</f>
      </c>
      <c r="W827" s="17">
        <f>IF(Items[[#This Row],[In sprint]]=1,(IF(Items[[#This Row],[Prio]]="",9,N(Items[[#This Row],[Prio]]))*10+(IF(Items[[#This Row],[State]]="DONE",1,0)))*100000+ROW(),"")</f>
      </c>
      <c r="X82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27" s="17">
        <f>IF(AND(Items[[#This Row],[State]]="DONE",N(Items[[#This Row],[Done on]])&gt;AsOf-7),(200000-N(Items[[#This Row],[Done on]]))*100000+ROW(),"")</f>
      </c>
    </row>
    <row r="828">
      <c r="A828" t="s">
        <v>1004</v>
      </c>
      <c r="B828" t="s">
        <v>2049</v>
      </c>
      <c r="C828" t="s">
        <v>1115</v>
      </c>
      <c r="D828" t="s">
        <v>1119</v>
      </c>
      <c r="E828" t="s">
        <v>1139</v>
      </c>
      <c r="F828" t="s">
        <v>1251</v>
      </c>
      <c r="G828">
        <v>5</v>
      </c>
      <c r="H828">
        <v>3</v>
      </c>
      <c r="I828" s="11">
        <v>46245</v>
      </c>
      <c r="J828" s="17">
        <f>IF(Items[[#This Row],[ID]]="","",IFERROR(VALUE(LOOKUP(2,1/((Log[ID]=Items[[#This Row],[ID]])*(Log[Verb]="est")),Log[Arg])),N(Items[[#This Row],[Points]])))</f>
      </c>
      <c r="K828" s="17">
        <f>IF(Items[[#This Row],[ID]]="","",IFERROR(LOOKUP(2,1/((Log[ID]=Items[[#This Row],[ID]])*(Log[Verb]="pass")),Log[Arg])&amp;"",Items[[#This Row],[Team]]&amp;""))</f>
      </c>
      <c r="L828" s="17">
        <f>IF(Items[[#This Row],[ID]]="","",IFERROR(LOOKUP(2,1/((Log[ID]=Items[[#This Row],[ID]])*(Log[Into]&lt;&gt;"")),Log[Into]),""))</f>
      </c>
      <c r="M828" s="17">
        <f>IF(Items[[#This Row],[ID]]="","",IF(IFERROR(LOOKUP(2,1/((Log[ID]=Items[[#This Row],[ID]])*(Log[Blk]&lt;&gt;"")),Log[Blk]),0)=1,"Y",""))</f>
      </c>
      <c r="N828" s="17">
        <f>IF(Items[[#This Row],[ID]]="","",SUBSTITUTE(IFERROR(LOOKUP(2,1/((Log[ID]=Items[[#This Row],[ID]])*(Log[State]&lt;&gt;"")),Log[State]),"TODO"),"OPEN",IF(Items[[#This Row],[Blocked]]="Y","WAIT","OPEN")))</f>
      </c>
      <c r="O82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28" s="17">
        <f>IF(Items[[#This Row],[State]]&lt;&gt;"WAIT","",AsOf-Items[[#This Row],[Blocked since]])</f>
      </c>
      <c r="Q828" s="17">
        <f>IF(Items[[#This Row],[State]]&lt;&gt;"WAIT","",IFERROR(LOOKUP(2,1/((Log[ID]=Items[[#This Row],[ID]])*(Log[Verb]="block")),Log[Note])&amp;"",""))</f>
      </c>
      <c r="R828" s="17">
        <f>IF(Items[[#This Row],[ID]]="","",COUNTIFS(Log[ID],Items[[#This Row],[ID]],Log[Verb],"carry"))</f>
      </c>
      <c r="S828" s="17">
        <f>IF(Items[[#This Row],[ID]]="","",COUNTIFS(Log[ID],Items[[#This Row],[ID]],Log[Verb],"punt"))</f>
      </c>
      <c r="T828" s="11">
        <f>IF(Items[[#This Row],[State]]&lt;&gt;"DONE","",IFERROR(LOOKUP(2,1/((Log[ID]=Items[[#This Row],[ID]])*(Log[Verb]="done")),Log[Date]),""))</f>
      </c>
      <c r="U828" s="17">
        <f>IF(Items[[#This Row],[ID]]="","",IF(AND(Items[[#This Row],[Sprint]]=CurSprint,OR(Items[[#This Row],[State]]="OPEN",Items[[#This Row],[State]]="WAIT",Items[[#This Row],[State]]="HOLD",Items[[#This Row],[State]]="DONE")),1,0))</f>
      </c>
      <c r="V828" s="17">
        <f>IF(OR(Items[[#This Row],[ID]]="",Items[[#This Row],[Added]]=""),"",AsOf-Items[[#This Row],[Added]])</f>
      </c>
      <c r="W828" s="17">
        <f>IF(Items[[#This Row],[In sprint]]=1,(IF(Items[[#This Row],[Prio]]="",9,N(Items[[#This Row],[Prio]]))*10+(IF(Items[[#This Row],[State]]="DONE",1,0)))*100000+ROW(),"")</f>
      </c>
      <c r="X82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28" s="17">
        <f>IF(AND(Items[[#This Row],[State]]="DONE",N(Items[[#This Row],[Done on]])&gt;AsOf-7),(200000-N(Items[[#This Row],[Done on]]))*100000+ROW(),"")</f>
      </c>
    </row>
    <row r="829">
      <c r="A829" t="s">
        <v>1005</v>
      </c>
      <c r="B829" t="s">
        <v>2050</v>
      </c>
      <c r="C829" t="s">
        <v>1107</v>
      </c>
      <c r="D829" t="s">
        <v>1127</v>
      </c>
      <c r="E829" t="s">
        <v>1139</v>
      </c>
      <c r="F829" t="s">
        <v>1586</v>
      </c>
      <c r="G829">
        <v>2</v>
      </c>
      <c r="H829">
        <v>1</v>
      </c>
      <c r="I829" s="11">
        <v>46245</v>
      </c>
      <c r="J829" s="17">
        <f>IF(Items[[#This Row],[ID]]="","",IFERROR(VALUE(LOOKUP(2,1/((Log[ID]=Items[[#This Row],[ID]])*(Log[Verb]="est")),Log[Arg])),N(Items[[#This Row],[Points]])))</f>
      </c>
      <c r="K829" s="17">
        <f>IF(Items[[#This Row],[ID]]="","",IFERROR(LOOKUP(2,1/((Log[ID]=Items[[#This Row],[ID]])*(Log[Verb]="pass")),Log[Arg])&amp;"",Items[[#This Row],[Team]]&amp;""))</f>
      </c>
      <c r="L829" s="17">
        <f>IF(Items[[#This Row],[ID]]="","",IFERROR(LOOKUP(2,1/((Log[ID]=Items[[#This Row],[ID]])*(Log[Into]&lt;&gt;"")),Log[Into]),""))</f>
      </c>
      <c r="M829" s="17">
        <f>IF(Items[[#This Row],[ID]]="","",IF(IFERROR(LOOKUP(2,1/((Log[ID]=Items[[#This Row],[ID]])*(Log[Blk]&lt;&gt;"")),Log[Blk]),0)=1,"Y",""))</f>
      </c>
      <c r="N829" s="17">
        <f>IF(Items[[#This Row],[ID]]="","",SUBSTITUTE(IFERROR(LOOKUP(2,1/((Log[ID]=Items[[#This Row],[ID]])*(Log[State]&lt;&gt;"")),Log[State]),"TODO"),"OPEN",IF(Items[[#This Row],[Blocked]]="Y","WAIT","OPEN")))</f>
      </c>
      <c r="O82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29" s="17">
        <f>IF(Items[[#This Row],[State]]&lt;&gt;"WAIT","",AsOf-Items[[#This Row],[Blocked since]])</f>
      </c>
      <c r="Q829" s="17">
        <f>IF(Items[[#This Row],[State]]&lt;&gt;"WAIT","",IFERROR(LOOKUP(2,1/((Log[ID]=Items[[#This Row],[ID]])*(Log[Verb]="block")),Log[Note])&amp;"",""))</f>
      </c>
      <c r="R829" s="17">
        <f>IF(Items[[#This Row],[ID]]="","",COUNTIFS(Log[ID],Items[[#This Row],[ID]],Log[Verb],"carry"))</f>
      </c>
      <c r="S829" s="17">
        <f>IF(Items[[#This Row],[ID]]="","",COUNTIFS(Log[ID],Items[[#This Row],[ID]],Log[Verb],"punt"))</f>
      </c>
      <c r="T829" s="11">
        <f>IF(Items[[#This Row],[State]]&lt;&gt;"DONE","",IFERROR(LOOKUP(2,1/((Log[ID]=Items[[#This Row],[ID]])*(Log[Verb]="done")),Log[Date]),""))</f>
      </c>
      <c r="U829" s="17">
        <f>IF(Items[[#This Row],[ID]]="","",IF(AND(Items[[#This Row],[Sprint]]=CurSprint,OR(Items[[#This Row],[State]]="OPEN",Items[[#This Row],[State]]="WAIT",Items[[#This Row],[State]]="HOLD",Items[[#This Row],[State]]="DONE")),1,0))</f>
      </c>
      <c r="V829" s="17">
        <f>IF(OR(Items[[#This Row],[ID]]="",Items[[#This Row],[Added]]=""),"",AsOf-Items[[#This Row],[Added]])</f>
      </c>
      <c r="W829" s="17">
        <f>IF(Items[[#This Row],[In sprint]]=1,(IF(Items[[#This Row],[Prio]]="",9,N(Items[[#This Row],[Prio]]))*10+(IF(Items[[#This Row],[State]]="DONE",1,0)))*100000+ROW(),"")</f>
      </c>
      <c r="X82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29" s="17">
        <f>IF(AND(Items[[#This Row],[State]]="DONE",N(Items[[#This Row],[Done on]])&gt;AsOf-7),(200000-N(Items[[#This Row],[Done on]]))*100000+ROW(),"")</f>
      </c>
    </row>
    <row r="830">
      <c r="A830" t="s">
        <v>1006</v>
      </c>
      <c r="B830" t="s">
        <v>2051</v>
      </c>
      <c r="C830" t="s">
        <v>1115</v>
      </c>
      <c r="D830" t="s">
        <v>1119</v>
      </c>
      <c r="E830" t="s">
        <v>1139</v>
      </c>
      <c r="F830" t="s">
        <v>1175</v>
      </c>
      <c r="G830">
        <v>5</v>
      </c>
      <c r="H830">
        <v>3</v>
      </c>
      <c r="I830" s="11">
        <v>46245</v>
      </c>
      <c r="J830" s="17">
        <f>IF(Items[[#This Row],[ID]]="","",IFERROR(VALUE(LOOKUP(2,1/((Log[ID]=Items[[#This Row],[ID]])*(Log[Verb]="est")),Log[Arg])),N(Items[[#This Row],[Points]])))</f>
      </c>
      <c r="K830" s="17">
        <f>IF(Items[[#This Row],[ID]]="","",IFERROR(LOOKUP(2,1/((Log[ID]=Items[[#This Row],[ID]])*(Log[Verb]="pass")),Log[Arg])&amp;"",Items[[#This Row],[Team]]&amp;""))</f>
      </c>
      <c r="L830" s="17">
        <f>IF(Items[[#This Row],[ID]]="","",IFERROR(LOOKUP(2,1/((Log[ID]=Items[[#This Row],[ID]])*(Log[Into]&lt;&gt;"")),Log[Into]),""))</f>
      </c>
      <c r="M830" s="17">
        <f>IF(Items[[#This Row],[ID]]="","",IF(IFERROR(LOOKUP(2,1/((Log[ID]=Items[[#This Row],[ID]])*(Log[Blk]&lt;&gt;"")),Log[Blk]),0)=1,"Y",""))</f>
      </c>
      <c r="N830" s="17">
        <f>IF(Items[[#This Row],[ID]]="","",SUBSTITUTE(IFERROR(LOOKUP(2,1/((Log[ID]=Items[[#This Row],[ID]])*(Log[State]&lt;&gt;"")),Log[State]),"TODO"),"OPEN",IF(Items[[#This Row],[Blocked]]="Y","WAIT","OPEN")))</f>
      </c>
      <c r="O83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30" s="17">
        <f>IF(Items[[#This Row],[State]]&lt;&gt;"WAIT","",AsOf-Items[[#This Row],[Blocked since]])</f>
      </c>
      <c r="Q830" s="17">
        <f>IF(Items[[#This Row],[State]]&lt;&gt;"WAIT","",IFERROR(LOOKUP(2,1/((Log[ID]=Items[[#This Row],[ID]])*(Log[Verb]="block")),Log[Note])&amp;"",""))</f>
      </c>
      <c r="R830" s="17">
        <f>IF(Items[[#This Row],[ID]]="","",COUNTIFS(Log[ID],Items[[#This Row],[ID]],Log[Verb],"carry"))</f>
      </c>
      <c r="S830" s="17">
        <f>IF(Items[[#This Row],[ID]]="","",COUNTIFS(Log[ID],Items[[#This Row],[ID]],Log[Verb],"punt"))</f>
      </c>
      <c r="T830" s="11">
        <f>IF(Items[[#This Row],[State]]&lt;&gt;"DONE","",IFERROR(LOOKUP(2,1/((Log[ID]=Items[[#This Row],[ID]])*(Log[Verb]="done")),Log[Date]),""))</f>
      </c>
      <c r="U830" s="17">
        <f>IF(Items[[#This Row],[ID]]="","",IF(AND(Items[[#This Row],[Sprint]]=CurSprint,OR(Items[[#This Row],[State]]="OPEN",Items[[#This Row],[State]]="WAIT",Items[[#This Row],[State]]="HOLD",Items[[#This Row],[State]]="DONE")),1,0))</f>
      </c>
      <c r="V830" s="17">
        <f>IF(OR(Items[[#This Row],[ID]]="",Items[[#This Row],[Added]]=""),"",AsOf-Items[[#This Row],[Added]])</f>
      </c>
      <c r="W830" s="17">
        <f>IF(Items[[#This Row],[In sprint]]=1,(IF(Items[[#This Row],[Prio]]="",9,N(Items[[#This Row],[Prio]]))*10+(IF(Items[[#This Row],[State]]="DONE",1,0)))*100000+ROW(),"")</f>
      </c>
      <c r="X83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30" s="17">
        <f>IF(AND(Items[[#This Row],[State]]="DONE",N(Items[[#This Row],[Done on]])&gt;AsOf-7),(200000-N(Items[[#This Row],[Done on]]))*100000+ROW(),"")</f>
      </c>
    </row>
    <row r="831">
      <c r="A831" t="s">
        <v>951</v>
      </c>
      <c r="B831" t="s">
        <v>2052</v>
      </c>
      <c r="C831" t="s">
        <v>1107</v>
      </c>
      <c r="D831" t="s">
        <v>1123</v>
      </c>
      <c r="E831" t="s">
        <v>1177</v>
      </c>
      <c r="F831" t="s">
        <v>1182</v>
      </c>
      <c r="G831">
        <v>2</v>
      </c>
      <c r="H831">
        <v>3</v>
      </c>
      <c r="I831" s="11">
        <v>46245</v>
      </c>
      <c r="J831" s="17">
        <f>IF(Items[[#This Row],[ID]]="","",IFERROR(VALUE(LOOKUP(2,1/((Log[ID]=Items[[#This Row],[ID]])*(Log[Verb]="est")),Log[Arg])),N(Items[[#This Row],[Points]])))</f>
      </c>
      <c r="K831" s="17">
        <f>IF(Items[[#This Row],[ID]]="","",IFERROR(LOOKUP(2,1/((Log[ID]=Items[[#This Row],[ID]])*(Log[Verb]="pass")),Log[Arg])&amp;"",Items[[#This Row],[Team]]&amp;""))</f>
      </c>
      <c r="L831" s="17">
        <f>IF(Items[[#This Row],[ID]]="","",IFERROR(LOOKUP(2,1/((Log[ID]=Items[[#This Row],[ID]])*(Log[Into]&lt;&gt;"")),Log[Into]),""))</f>
      </c>
      <c r="M831" s="17">
        <f>IF(Items[[#This Row],[ID]]="","",IF(IFERROR(LOOKUP(2,1/((Log[ID]=Items[[#This Row],[ID]])*(Log[Blk]&lt;&gt;"")),Log[Blk]),0)=1,"Y",""))</f>
      </c>
      <c r="N831" s="17">
        <f>IF(Items[[#This Row],[ID]]="","",SUBSTITUTE(IFERROR(LOOKUP(2,1/((Log[ID]=Items[[#This Row],[ID]])*(Log[State]&lt;&gt;"")),Log[State]),"TODO"),"OPEN",IF(Items[[#This Row],[Blocked]]="Y","WAIT","OPEN")))</f>
      </c>
      <c r="O83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31" s="17">
        <f>IF(Items[[#This Row],[State]]&lt;&gt;"WAIT","",AsOf-Items[[#This Row],[Blocked since]])</f>
      </c>
      <c r="Q831" s="17">
        <f>IF(Items[[#This Row],[State]]&lt;&gt;"WAIT","",IFERROR(LOOKUP(2,1/((Log[ID]=Items[[#This Row],[ID]])*(Log[Verb]="block")),Log[Note])&amp;"",""))</f>
      </c>
      <c r="R831" s="17">
        <f>IF(Items[[#This Row],[ID]]="","",COUNTIFS(Log[ID],Items[[#This Row],[ID]],Log[Verb],"carry"))</f>
      </c>
      <c r="S831" s="17">
        <f>IF(Items[[#This Row],[ID]]="","",COUNTIFS(Log[ID],Items[[#This Row],[ID]],Log[Verb],"punt"))</f>
      </c>
      <c r="T831" s="11">
        <f>IF(Items[[#This Row],[State]]&lt;&gt;"DONE","",IFERROR(LOOKUP(2,1/((Log[ID]=Items[[#This Row],[ID]])*(Log[Verb]="done")),Log[Date]),""))</f>
      </c>
      <c r="U831" s="17">
        <f>IF(Items[[#This Row],[ID]]="","",IF(AND(Items[[#This Row],[Sprint]]=CurSprint,OR(Items[[#This Row],[State]]="OPEN",Items[[#This Row],[State]]="WAIT",Items[[#This Row],[State]]="HOLD",Items[[#This Row],[State]]="DONE")),1,0))</f>
      </c>
      <c r="V831" s="17">
        <f>IF(OR(Items[[#This Row],[ID]]="",Items[[#This Row],[Added]]=""),"",AsOf-Items[[#This Row],[Added]])</f>
      </c>
      <c r="W831" s="17">
        <f>IF(Items[[#This Row],[In sprint]]=1,(IF(Items[[#This Row],[Prio]]="",9,N(Items[[#This Row],[Prio]]))*10+(IF(Items[[#This Row],[State]]="DONE",1,0)))*100000+ROW(),"")</f>
      </c>
      <c r="X83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31" s="17">
        <f>IF(AND(Items[[#This Row],[State]]="DONE",N(Items[[#This Row],[Done on]])&gt;AsOf-7),(200000-N(Items[[#This Row],[Done on]]))*100000+ROW(),"")</f>
      </c>
    </row>
    <row r="832">
      <c r="A832" t="s">
        <v>1010</v>
      </c>
      <c r="B832" t="s">
        <v>2053</v>
      </c>
      <c r="C832" t="s">
        <v>1107</v>
      </c>
      <c r="D832" t="s">
        <v>1108</v>
      </c>
      <c r="E832" t="s">
        <v>1177</v>
      </c>
      <c r="F832" t="s">
        <v>1400</v>
      </c>
      <c r="G832">
        <v>5</v>
      </c>
      <c r="H832">
        <v>3</v>
      </c>
      <c r="I832" s="11">
        <v>46245</v>
      </c>
      <c r="J832" s="17">
        <f>IF(Items[[#This Row],[ID]]="","",IFERROR(VALUE(LOOKUP(2,1/((Log[ID]=Items[[#This Row],[ID]])*(Log[Verb]="est")),Log[Arg])),N(Items[[#This Row],[Points]])))</f>
      </c>
      <c r="K832" s="17">
        <f>IF(Items[[#This Row],[ID]]="","",IFERROR(LOOKUP(2,1/((Log[ID]=Items[[#This Row],[ID]])*(Log[Verb]="pass")),Log[Arg])&amp;"",Items[[#This Row],[Team]]&amp;""))</f>
      </c>
      <c r="L832" s="17">
        <f>IF(Items[[#This Row],[ID]]="","",IFERROR(LOOKUP(2,1/((Log[ID]=Items[[#This Row],[ID]])*(Log[Into]&lt;&gt;"")),Log[Into]),""))</f>
      </c>
      <c r="M832" s="17">
        <f>IF(Items[[#This Row],[ID]]="","",IF(IFERROR(LOOKUP(2,1/((Log[ID]=Items[[#This Row],[ID]])*(Log[Blk]&lt;&gt;"")),Log[Blk]),0)=1,"Y",""))</f>
      </c>
      <c r="N832" s="17">
        <f>IF(Items[[#This Row],[ID]]="","",SUBSTITUTE(IFERROR(LOOKUP(2,1/((Log[ID]=Items[[#This Row],[ID]])*(Log[State]&lt;&gt;"")),Log[State]),"TODO"),"OPEN",IF(Items[[#This Row],[Blocked]]="Y","WAIT","OPEN")))</f>
      </c>
      <c r="O83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32" s="17">
        <f>IF(Items[[#This Row],[State]]&lt;&gt;"WAIT","",AsOf-Items[[#This Row],[Blocked since]])</f>
      </c>
      <c r="Q832" s="17">
        <f>IF(Items[[#This Row],[State]]&lt;&gt;"WAIT","",IFERROR(LOOKUP(2,1/((Log[ID]=Items[[#This Row],[ID]])*(Log[Verb]="block")),Log[Note])&amp;"",""))</f>
      </c>
      <c r="R832" s="17">
        <f>IF(Items[[#This Row],[ID]]="","",COUNTIFS(Log[ID],Items[[#This Row],[ID]],Log[Verb],"carry"))</f>
      </c>
      <c r="S832" s="17">
        <f>IF(Items[[#This Row],[ID]]="","",COUNTIFS(Log[ID],Items[[#This Row],[ID]],Log[Verb],"punt"))</f>
      </c>
      <c r="T832" s="11">
        <f>IF(Items[[#This Row],[State]]&lt;&gt;"DONE","",IFERROR(LOOKUP(2,1/((Log[ID]=Items[[#This Row],[ID]])*(Log[Verb]="done")),Log[Date]),""))</f>
      </c>
      <c r="U832" s="17">
        <f>IF(Items[[#This Row],[ID]]="","",IF(AND(Items[[#This Row],[Sprint]]=CurSprint,OR(Items[[#This Row],[State]]="OPEN",Items[[#This Row],[State]]="WAIT",Items[[#This Row],[State]]="HOLD",Items[[#This Row],[State]]="DONE")),1,0))</f>
      </c>
      <c r="V832" s="17">
        <f>IF(OR(Items[[#This Row],[ID]]="",Items[[#This Row],[Added]]=""),"",AsOf-Items[[#This Row],[Added]])</f>
      </c>
      <c r="W832" s="17">
        <f>IF(Items[[#This Row],[In sprint]]=1,(IF(Items[[#This Row],[Prio]]="",9,N(Items[[#This Row],[Prio]]))*10+(IF(Items[[#This Row],[State]]="DONE",1,0)))*100000+ROW(),"")</f>
      </c>
      <c r="X83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32" s="17">
        <f>IF(AND(Items[[#This Row],[State]]="DONE",N(Items[[#This Row],[Done on]])&gt;AsOf-7),(200000-N(Items[[#This Row],[Done on]]))*100000+ROW(),"")</f>
      </c>
    </row>
    <row r="833">
      <c r="A833" t="s">
        <v>952</v>
      </c>
      <c r="B833" t="s">
        <v>2054</v>
      </c>
      <c r="C833" t="s">
        <v>1107</v>
      </c>
      <c r="D833" t="s">
        <v>1127</v>
      </c>
      <c r="E833" t="s">
        <v>1177</v>
      </c>
      <c r="F833" t="s">
        <v>1327</v>
      </c>
      <c r="G833">
        <v>2</v>
      </c>
      <c r="H833">
        <v>3</v>
      </c>
      <c r="I833" s="11">
        <v>46245</v>
      </c>
      <c r="J833" s="17">
        <f>IF(Items[[#This Row],[ID]]="","",IFERROR(VALUE(LOOKUP(2,1/((Log[ID]=Items[[#This Row],[ID]])*(Log[Verb]="est")),Log[Arg])),N(Items[[#This Row],[Points]])))</f>
      </c>
      <c r="K833" s="17">
        <f>IF(Items[[#This Row],[ID]]="","",IFERROR(LOOKUP(2,1/((Log[ID]=Items[[#This Row],[ID]])*(Log[Verb]="pass")),Log[Arg])&amp;"",Items[[#This Row],[Team]]&amp;""))</f>
      </c>
      <c r="L833" s="17">
        <f>IF(Items[[#This Row],[ID]]="","",IFERROR(LOOKUP(2,1/((Log[ID]=Items[[#This Row],[ID]])*(Log[Into]&lt;&gt;"")),Log[Into]),""))</f>
      </c>
      <c r="M833" s="17">
        <f>IF(Items[[#This Row],[ID]]="","",IF(IFERROR(LOOKUP(2,1/((Log[ID]=Items[[#This Row],[ID]])*(Log[Blk]&lt;&gt;"")),Log[Blk]),0)=1,"Y",""))</f>
      </c>
      <c r="N833" s="17">
        <f>IF(Items[[#This Row],[ID]]="","",SUBSTITUTE(IFERROR(LOOKUP(2,1/((Log[ID]=Items[[#This Row],[ID]])*(Log[State]&lt;&gt;"")),Log[State]),"TODO"),"OPEN",IF(Items[[#This Row],[Blocked]]="Y","WAIT","OPEN")))</f>
      </c>
      <c r="O83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33" s="17">
        <f>IF(Items[[#This Row],[State]]&lt;&gt;"WAIT","",AsOf-Items[[#This Row],[Blocked since]])</f>
      </c>
      <c r="Q833" s="17">
        <f>IF(Items[[#This Row],[State]]&lt;&gt;"WAIT","",IFERROR(LOOKUP(2,1/((Log[ID]=Items[[#This Row],[ID]])*(Log[Verb]="block")),Log[Note])&amp;"",""))</f>
      </c>
      <c r="R833" s="17">
        <f>IF(Items[[#This Row],[ID]]="","",COUNTIFS(Log[ID],Items[[#This Row],[ID]],Log[Verb],"carry"))</f>
      </c>
      <c r="S833" s="17">
        <f>IF(Items[[#This Row],[ID]]="","",COUNTIFS(Log[ID],Items[[#This Row],[ID]],Log[Verb],"punt"))</f>
      </c>
      <c r="T833" s="11">
        <f>IF(Items[[#This Row],[State]]&lt;&gt;"DONE","",IFERROR(LOOKUP(2,1/((Log[ID]=Items[[#This Row],[ID]])*(Log[Verb]="done")),Log[Date]),""))</f>
      </c>
      <c r="U833" s="17">
        <f>IF(Items[[#This Row],[ID]]="","",IF(AND(Items[[#This Row],[Sprint]]=CurSprint,OR(Items[[#This Row],[State]]="OPEN",Items[[#This Row],[State]]="WAIT",Items[[#This Row],[State]]="HOLD",Items[[#This Row],[State]]="DONE")),1,0))</f>
      </c>
      <c r="V833" s="17">
        <f>IF(OR(Items[[#This Row],[ID]]="",Items[[#This Row],[Added]]=""),"",AsOf-Items[[#This Row],[Added]])</f>
      </c>
      <c r="W833" s="17">
        <f>IF(Items[[#This Row],[In sprint]]=1,(IF(Items[[#This Row],[Prio]]="",9,N(Items[[#This Row],[Prio]]))*10+(IF(Items[[#This Row],[State]]="DONE",1,0)))*100000+ROW(),"")</f>
      </c>
      <c r="X83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33" s="17">
        <f>IF(AND(Items[[#This Row],[State]]="DONE",N(Items[[#This Row],[Done on]])&gt;AsOf-7),(200000-N(Items[[#This Row],[Done on]]))*100000+ROW(),"")</f>
      </c>
    </row>
    <row r="834">
      <c r="A834" t="s">
        <v>1011</v>
      </c>
      <c r="B834" t="s">
        <v>2055</v>
      </c>
      <c r="C834" t="s">
        <v>1107</v>
      </c>
      <c r="D834" t="s">
        <v>1127</v>
      </c>
      <c r="E834" t="s">
        <v>1177</v>
      </c>
      <c r="F834" t="s">
        <v>1178</v>
      </c>
      <c r="G834">
        <v>2</v>
      </c>
      <c r="H834">
        <v>3</v>
      </c>
      <c r="I834" s="11">
        <v>46245</v>
      </c>
      <c r="J834" s="17">
        <f>IF(Items[[#This Row],[ID]]="","",IFERROR(VALUE(LOOKUP(2,1/((Log[ID]=Items[[#This Row],[ID]])*(Log[Verb]="est")),Log[Arg])),N(Items[[#This Row],[Points]])))</f>
      </c>
      <c r="K834" s="17">
        <f>IF(Items[[#This Row],[ID]]="","",IFERROR(LOOKUP(2,1/((Log[ID]=Items[[#This Row],[ID]])*(Log[Verb]="pass")),Log[Arg])&amp;"",Items[[#This Row],[Team]]&amp;""))</f>
      </c>
      <c r="L834" s="17">
        <f>IF(Items[[#This Row],[ID]]="","",IFERROR(LOOKUP(2,1/((Log[ID]=Items[[#This Row],[ID]])*(Log[Into]&lt;&gt;"")),Log[Into]),""))</f>
      </c>
      <c r="M834" s="17">
        <f>IF(Items[[#This Row],[ID]]="","",IF(IFERROR(LOOKUP(2,1/((Log[ID]=Items[[#This Row],[ID]])*(Log[Blk]&lt;&gt;"")),Log[Blk]),0)=1,"Y",""))</f>
      </c>
      <c r="N834" s="17">
        <f>IF(Items[[#This Row],[ID]]="","",SUBSTITUTE(IFERROR(LOOKUP(2,1/((Log[ID]=Items[[#This Row],[ID]])*(Log[State]&lt;&gt;"")),Log[State]),"TODO"),"OPEN",IF(Items[[#This Row],[Blocked]]="Y","WAIT","OPEN")))</f>
      </c>
      <c r="O83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34" s="17">
        <f>IF(Items[[#This Row],[State]]&lt;&gt;"WAIT","",AsOf-Items[[#This Row],[Blocked since]])</f>
      </c>
      <c r="Q834" s="17">
        <f>IF(Items[[#This Row],[State]]&lt;&gt;"WAIT","",IFERROR(LOOKUP(2,1/((Log[ID]=Items[[#This Row],[ID]])*(Log[Verb]="block")),Log[Note])&amp;"",""))</f>
      </c>
      <c r="R834" s="17">
        <f>IF(Items[[#This Row],[ID]]="","",COUNTIFS(Log[ID],Items[[#This Row],[ID]],Log[Verb],"carry"))</f>
      </c>
      <c r="S834" s="17">
        <f>IF(Items[[#This Row],[ID]]="","",COUNTIFS(Log[ID],Items[[#This Row],[ID]],Log[Verb],"punt"))</f>
      </c>
      <c r="T834" s="11">
        <f>IF(Items[[#This Row],[State]]&lt;&gt;"DONE","",IFERROR(LOOKUP(2,1/((Log[ID]=Items[[#This Row],[ID]])*(Log[Verb]="done")),Log[Date]),""))</f>
      </c>
      <c r="U834" s="17">
        <f>IF(Items[[#This Row],[ID]]="","",IF(AND(Items[[#This Row],[Sprint]]=CurSprint,OR(Items[[#This Row],[State]]="OPEN",Items[[#This Row],[State]]="WAIT",Items[[#This Row],[State]]="HOLD",Items[[#This Row],[State]]="DONE")),1,0))</f>
      </c>
      <c r="V834" s="17">
        <f>IF(OR(Items[[#This Row],[ID]]="",Items[[#This Row],[Added]]=""),"",AsOf-Items[[#This Row],[Added]])</f>
      </c>
      <c r="W834" s="17">
        <f>IF(Items[[#This Row],[In sprint]]=1,(IF(Items[[#This Row],[Prio]]="",9,N(Items[[#This Row],[Prio]]))*10+(IF(Items[[#This Row],[State]]="DONE",1,0)))*100000+ROW(),"")</f>
      </c>
      <c r="X83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34" s="17">
        <f>IF(AND(Items[[#This Row],[State]]="DONE",N(Items[[#This Row],[Done on]])&gt;AsOf-7),(200000-N(Items[[#This Row],[Done on]]))*100000+ROW(),"")</f>
      </c>
    </row>
    <row r="835">
      <c r="A835" t="s">
        <v>1012</v>
      </c>
      <c r="B835" t="s">
        <v>2056</v>
      </c>
      <c r="C835" t="s">
        <v>1107</v>
      </c>
      <c r="D835" t="s">
        <v>1123</v>
      </c>
      <c r="E835" t="s">
        <v>1177</v>
      </c>
      <c r="F835" t="s">
        <v>1259</v>
      </c>
      <c r="G835">
        <v>2</v>
      </c>
      <c r="H835">
        <v>1</v>
      </c>
      <c r="I835" s="11">
        <v>46245</v>
      </c>
      <c r="J835" s="17">
        <f>IF(Items[[#This Row],[ID]]="","",IFERROR(VALUE(LOOKUP(2,1/((Log[ID]=Items[[#This Row],[ID]])*(Log[Verb]="est")),Log[Arg])),N(Items[[#This Row],[Points]])))</f>
      </c>
      <c r="K835" s="17">
        <f>IF(Items[[#This Row],[ID]]="","",IFERROR(LOOKUP(2,1/((Log[ID]=Items[[#This Row],[ID]])*(Log[Verb]="pass")),Log[Arg])&amp;"",Items[[#This Row],[Team]]&amp;""))</f>
      </c>
      <c r="L835" s="17">
        <f>IF(Items[[#This Row],[ID]]="","",IFERROR(LOOKUP(2,1/((Log[ID]=Items[[#This Row],[ID]])*(Log[Into]&lt;&gt;"")),Log[Into]),""))</f>
      </c>
      <c r="M835" s="17">
        <f>IF(Items[[#This Row],[ID]]="","",IF(IFERROR(LOOKUP(2,1/((Log[ID]=Items[[#This Row],[ID]])*(Log[Blk]&lt;&gt;"")),Log[Blk]),0)=1,"Y",""))</f>
      </c>
      <c r="N835" s="17">
        <f>IF(Items[[#This Row],[ID]]="","",SUBSTITUTE(IFERROR(LOOKUP(2,1/((Log[ID]=Items[[#This Row],[ID]])*(Log[State]&lt;&gt;"")),Log[State]),"TODO"),"OPEN",IF(Items[[#This Row],[Blocked]]="Y","WAIT","OPEN")))</f>
      </c>
      <c r="O83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35" s="17">
        <f>IF(Items[[#This Row],[State]]&lt;&gt;"WAIT","",AsOf-Items[[#This Row],[Blocked since]])</f>
      </c>
      <c r="Q835" s="17">
        <f>IF(Items[[#This Row],[State]]&lt;&gt;"WAIT","",IFERROR(LOOKUP(2,1/((Log[ID]=Items[[#This Row],[ID]])*(Log[Verb]="block")),Log[Note])&amp;"",""))</f>
      </c>
      <c r="R835" s="17">
        <f>IF(Items[[#This Row],[ID]]="","",COUNTIFS(Log[ID],Items[[#This Row],[ID]],Log[Verb],"carry"))</f>
      </c>
      <c r="S835" s="17">
        <f>IF(Items[[#This Row],[ID]]="","",COUNTIFS(Log[ID],Items[[#This Row],[ID]],Log[Verb],"punt"))</f>
      </c>
      <c r="T835" s="11">
        <f>IF(Items[[#This Row],[State]]&lt;&gt;"DONE","",IFERROR(LOOKUP(2,1/((Log[ID]=Items[[#This Row],[ID]])*(Log[Verb]="done")),Log[Date]),""))</f>
      </c>
      <c r="U835" s="17">
        <f>IF(Items[[#This Row],[ID]]="","",IF(AND(Items[[#This Row],[Sprint]]=CurSprint,OR(Items[[#This Row],[State]]="OPEN",Items[[#This Row],[State]]="WAIT",Items[[#This Row],[State]]="HOLD",Items[[#This Row],[State]]="DONE")),1,0))</f>
      </c>
      <c r="V835" s="17">
        <f>IF(OR(Items[[#This Row],[ID]]="",Items[[#This Row],[Added]]=""),"",AsOf-Items[[#This Row],[Added]])</f>
      </c>
      <c r="W835" s="17">
        <f>IF(Items[[#This Row],[In sprint]]=1,(IF(Items[[#This Row],[Prio]]="",9,N(Items[[#This Row],[Prio]]))*10+(IF(Items[[#This Row],[State]]="DONE",1,0)))*100000+ROW(),"")</f>
      </c>
      <c r="X83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35" s="17">
        <f>IF(AND(Items[[#This Row],[State]]="DONE",N(Items[[#This Row],[Done on]])&gt;AsOf-7),(200000-N(Items[[#This Row],[Done on]]))*100000+ROW(),"")</f>
      </c>
    </row>
    <row r="836">
      <c r="A836" t="s">
        <v>1013</v>
      </c>
      <c r="B836" t="s">
        <v>2057</v>
      </c>
      <c r="C836" t="s">
        <v>1115</v>
      </c>
      <c r="D836" t="s">
        <v>1119</v>
      </c>
      <c r="E836" t="s">
        <v>1177</v>
      </c>
      <c r="F836" t="s">
        <v>1407</v>
      </c>
      <c r="G836">
        <v>3</v>
      </c>
      <c r="H836">
        <v>2</v>
      </c>
      <c r="I836" s="11">
        <v>46245</v>
      </c>
      <c r="J836" s="17">
        <f>IF(Items[[#This Row],[ID]]="","",IFERROR(VALUE(LOOKUP(2,1/((Log[ID]=Items[[#This Row],[ID]])*(Log[Verb]="est")),Log[Arg])),N(Items[[#This Row],[Points]])))</f>
      </c>
      <c r="K836" s="17">
        <f>IF(Items[[#This Row],[ID]]="","",IFERROR(LOOKUP(2,1/((Log[ID]=Items[[#This Row],[ID]])*(Log[Verb]="pass")),Log[Arg])&amp;"",Items[[#This Row],[Team]]&amp;""))</f>
      </c>
      <c r="L836" s="17">
        <f>IF(Items[[#This Row],[ID]]="","",IFERROR(LOOKUP(2,1/((Log[ID]=Items[[#This Row],[ID]])*(Log[Into]&lt;&gt;"")),Log[Into]),""))</f>
      </c>
      <c r="M836" s="17">
        <f>IF(Items[[#This Row],[ID]]="","",IF(IFERROR(LOOKUP(2,1/((Log[ID]=Items[[#This Row],[ID]])*(Log[Blk]&lt;&gt;"")),Log[Blk]),0)=1,"Y",""))</f>
      </c>
      <c r="N836" s="17">
        <f>IF(Items[[#This Row],[ID]]="","",SUBSTITUTE(IFERROR(LOOKUP(2,1/((Log[ID]=Items[[#This Row],[ID]])*(Log[State]&lt;&gt;"")),Log[State]),"TODO"),"OPEN",IF(Items[[#This Row],[Blocked]]="Y","WAIT","OPEN")))</f>
      </c>
      <c r="O83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36" s="17">
        <f>IF(Items[[#This Row],[State]]&lt;&gt;"WAIT","",AsOf-Items[[#This Row],[Blocked since]])</f>
      </c>
      <c r="Q836" s="17">
        <f>IF(Items[[#This Row],[State]]&lt;&gt;"WAIT","",IFERROR(LOOKUP(2,1/((Log[ID]=Items[[#This Row],[ID]])*(Log[Verb]="block")),Log[Note])&amp;"",""))</f>
      </c>
      <c r="R836" s="17">
        <f>IF(Items[[#This Row],[ID]]="","",COUNTIFS(Log[ID],Items[[#This Row],[ID]],Log[Verb],"carry"))</f>
      </c>
      <c r="S836" s="17">
        <f>IF(Items[[#This Row],[ID]]="","",COUNTIFS(Log[ID],Items[[#This Row],[ID]],Log[Verb],"punt"))</f>
      </c>
      <c r="T836" s="11">
        <f>IF(Items[[#This Row],[State]]&lt;&gt;"DONE","",IFERROR(LOOKUP(2,1/((Log[ID]=Items[[#This Row],[ID]])*(Log[Verb]="done")),Log[Date]),""))</f>
      </c>
      <c r="U836" s="17">
        <f>IF(Items[[#This Row],[ID]]="","",IF(AND(Items[[#This Row],[Sprint]]=CurSprint,OR(Items[[#This Row],[State]]="OPEN",Items[[#This Row],[State]]="WAIT",Items[[#This Row],[State]]="HOLD",Items[[#This Row],[State]]="DONE")),1,0))</f>
      </c>
      <c r="V836" s="17">
        <f>IF(OR(Items[[#This Row],[ID]]="",Items[[#This Row],[Added]]=""),"",AsOf-Items[[#This Row],[Added]])</f>
      </c>
      <c r="W836" s="17">
        <f>IF(Items[[#This Row],[In sprint]]=1,(IF(Items[[#This Row],[Prio]]="",9,N(Items[[#This Row],[Prio]]))*10+(IF(Items[[#This Row],[State]]="DONE",1,0)))*100000+ROW(),"")</f>
      </c>
      <c r="X83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36" s="17">
        <f>IF(AND(Items[[#This Row],[State]]="DONE",N(Items[[#This Row],[Done on]])&gt;AsOf-7),(200000-N(Items[[#This Row],[Done on]]))*100000+ROW(),"")</f>
      </c>
    </row>
    <row r="837">
      <c r="A837" t="s">
        <v>1014</v>
      </c>
      <c r="B837" t="s">
        <v>2058</v>
      </c>
      <c r="C837" t="s">
        <v>1115</v>
      </c>
      <c r="D837" t="s">
        <v>1119</v>
      </c>
      <c r="E837" t="s">
        <v>1177</v>
      </c>
      <c r="F837" t="s">
        <v>1257</v>
      </c>
      <c r="G837">
        <v>3</v>
      </c>
      <c r="H837">
        <v>1</v>
      </c>
      <c r="I837" s="11">
        <v>46245</v>
      </c>
      <c r="J837" s="17">
        <f>IF(Items[[#This Row],[ID]]="","",IFERROR(VALUE(LOOKUP(2,1/((Log[ID]=Items[[#This Row],[ID]])*(Log[Verb]="est")),Log[Arg])),N(Items[[#This Row],[Points]])))</f>
      </c>
      <c r="K837" s="17">
        <f>IF(Items[[#This Row],[ID]]="","",IFERROR(LOOKUP(2,1/((Log[ID]=Items[[#This Row],[ID]])*(Log[Verb]="pass")),Log[Arg])&amp;"",Items[[#This Row],[Team]]&amp;""))</f>
      </c>
      <c r="L837" s="17">
        <f>IF(Items[[#This Row],[ID]]="","",IFERROR(LOOKUP(2,1/((Log[ID]=Items[[#This Row],[ID]])*(Log[Into]&lt;&gt;"")),Log[Into]),""))</f>
      </c>
      <c r="M837" s="17">
        <f>IF(Items[[#This Row],[ID]]="","",IF(IFERROR(LOOKUP(2,1/((Log[ID]=Items[[#This Row],[ID]])*(Log[Blk]&lt;&gt;"")),Log[Blk]),0)=1,"Y",""))</f>
      </c>
      <c r="N837" s="17">
        <f>IF(Items[[#This Row],[ID]]="","",SUBSTITUTE(IFERROR(LOOKUP(2,1/((Log[ID]=Items[[#This Row],[ID]])*(Log[State]&lt;&gt;"")),Log[State]),"TODO"),"OPEN",IF(Items[[#This Row],[Blocked]]="Y","WAIT","OPEN")))</f>
      </c>
      <c r="O83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37" s="17">
        <f>IF(Items[[#This Row],[State]]&lt;&gt;"WAIT","",AsOf-Items[[#This Row],[Blocked since]])</f>
      </c>
      <c r="Q837" s="17">
        <f>IF(Items[[#This Row],[State]]&lt;&gt;"WAIT","",IFERROR(LOOKUP(2,1/((Log[ID]=Items[[#This Row],[ID]])*(Log[Verb]="block")),Log[Note])&amp;"",""))</f>
      </c>
      <c r="R837" s="17">
        <f>IF(Items[[#This Row],[ID]]="","",COUNTIFS(Log[ID],Items[[#This Row],[ID]],Log[Verb],"carry"))</f>
      </c>
      <c r="S837" s="17">
        <f>IF(Items[[#This Row],[ID]]="","",COUNTIFS(Log[ID],Items[[#This Row],[ID]],Log[Verb],"punt"))</f>
      </c>
      <c r="T837" s="11">
        <f>IF(Items[[#This Row],[State]]&lt;&gt;"DONE","",IFERROR(LOOKUP(2,1/((Log[ID]=Items[[#This Row],[ID]])*(Log[Verb]="done")),Log[Date]),""))</f>
      </c>
      <c r="U837" s="17">
        <f>IF(Items[[#This Row],[ID]]="","",IF(AND(Items[[#This Row],[Sprint]]=CurSprint,OR(Items[[#This Row],[State]]="OPEN",Items[[#This Row],[State]]="WAIT",Items[[#This Row],[State]]="HOLD",Items[[#This Row],[State]]="DONE")),1,0))</f>
      </c>
      <c r="V837" s="17">
        <f>IF(OR(Items[[#This Row],[ID]]="",Items[[#This Row],[Added]]=""),"",AsOf-Items[[#This Row],[Added]])</f>
      </c>
      <c r="W837" s="17">
        <f>IF(Items[[#This Row],[In sprint]]=1,(IF(Items[[#This Row],[Prio]]="",9,N(Items[[#This Row],[Prio]]))*10+(IF(Items[[#This Row],[State]]="DONE",1,0)))*100000+ROW(),"")</f>
      </c>
      <c r="X83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37" s="17">
        <f>IF(AND(Items[[#This Row],[State]]="DONE",N(Items[[#This Row],[Done on]])&gt;AsOf-7),(200000-N(Items[[#This Row],[Done on]]))*100000+ROW(),"")</f>
      </c>
    </row>
    <row r="838">
      <c r="A838" t="s">
        <v>1015</v>
      </c>
      <c r="B838" t="s">
        <v>2059</v>
      </c>
      <c r="C838" t="s">
        <v>1107</v>
      </c>
      <c r="D838" t="s">
        <v>1123</v>
      </c>
      <c r="E838" t="s">
        <v>1177</v>
      </c>
      <c r="F838" t="s">
        <v>1400</v>
      </c>
      <c r="G838">
        <v>3</v>
      </c>
      <c r="H838">
        <v>1</v>
      </c>
      <c r="I838" s="11">
        <v>46245</v>
      </c>
      <c r="J838" s="17">
        <f>IF(Items[[#This Row],[ID]]="","",IFERROR(VALUE(LOOKUP(2,1/((Log[ID]=Items[[#This Row],[ID]])*(Log[Verb]="est")),Log[Arg])),N(Items[[#This Row],[Points]])))</f>
      </c>
      <c r="K838" s="17">
        <f>IF(Items[[#This Row],[ID]]="","",IFERROR(LOOKUP(2,1/((Log[ID]=Items[[#This Row],[ID]])*(Log[Verb]="pass")),Log[Arg])&amp;"",Items[[#This Row],[Team]]&amp;""))</f>
      </c>
      <c r="L838" s="17">
        <f>IF(Items[[#This Row],[ID]]="","",IFERROR(LOOKUP(2,1/((Log[ID]=Items[[#This Row],[ID]])*(Log[Into]&lt;&gt;"")),Log[Into]),""))</f>
      </c>
      <c r="M838" s="17">
        <f>IF(Items[[#This Row],[ID]]="","",IF(IFERROR(LOOKUP(2,1/((Log[ID]=Items[[#This Row],[ID]])*(Log[Blk]&lt;&gt;"")),Log[Blk]),0)=1,"Y",""))</f>
      </c>
      <c r="N838" s="17">
        <f>IF(Items[[#This Row],[ID]]="","",SUBSTITUTE(IFERROR(LOOKUP(2,1/((Log[ID]=Items[[#This Row],[ID]])*(Log[State]&lt;&gt;"")),Log[State]),"TODO"),"OPEN",IF(Items[[#This Row],[Blocked]]="Y","WAIT","OPEN")))</f>
      </c>
      <c r="O83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38" s="17">
        <f>IF(Items[[#This Row],[State]]&lt;&gt;"WAIT","",AsOf-Items[[#This Row],[Blocked since]])</f>
      </c>
      <c r="Q838" s="17">
        <f>IF(Items[[#This Row],[State]]&lt;&gt;"WAIT","",IFERROR(LOOKUP(2,1/((Log[ID]=Items[[#This Row],[ID]])*(Log[Verb]="block")),Log[Note])&amp;"",""))</f>
      </c>
      <c r="R838" s="17">
        <f>IF(Items[[#This Row],[ID]]="","",COUNTIFS(Log[ID],Items[[#This Row],[ID]],Log[Verb],"carry"))</f>
      </c>
      <c r="S838" s="17">
        <f>IF(Items[[#This Row],[ID]]="","",COUNTIFS(Log[ID],Items[[#This Row],[ID]],Log[Verb],"punt"))</f>
      </c>
      <c r="T838" s="11">
        <f>IF(Items[[#This Row],[State]]&lt;&gt;"DONE","",IFERROR(LOOKUP(2,1/((Log[ID]=Items[[#This Row],[ID]])*(Log[Verb]="done")),Log[Date]),""))</f>
      </c>
      <c r="U838" s="17">
        <f>IF(Items[[#This Row],[ID]]="","",IF(AND(Items[[#This Row],[Sprint]]=CurSprint,OR(Items[[#This Row],[State]]="OPEN",Items[[#This Row],[State]]="WAIT",Items[[#This Row],[State]]="HOLD",Items[[#This Row],[State]]="DONE")),1,0))</f>
      </c>
      <c r="V838" s="17">
        <f>IF(OR(Items[[#This Row],[ID]]="",Items[[#This Row],[Added]]=""),"",AsOf-Items[[#This Row],[Added]])</f>
      </c>
      <c r="W838" s="17">
        <f>IF(Items[[#This Row],[In sprint]]=1,(IF(Items[[#This Row],[Prio]]="",9,N(Items[[#This Row],[Prio]]))*10+(IF(Items[[#This Row],[State]]="DONE",1,0)))*100000+ROW(),"")</f>
      </c>
      <c r="X83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38" s="17">
        <f>IF(AND(Items[[#This Row],[State]]="DONE",N(Items[[#This Row],[Done on]])&gt;AsOf-7),(200000-N(Items[[#This Row],[Done on]]))*100000+ROW(),"")</f>
      </c>
    </row>
    <row r="839">
      <c r="A839" t="s">
        <v>1081</v>
      </c>
      <c r="B839" t="s">
        <v>2060</v>
      </c>
      <c r="C839" t="s">
        <v>1107</v>
      </c>
      <c r="D839" t="s">
        <v>1123</v>
      </c>
      <c r="E839" t="s">
        <v>1177</v>
      </c>
      <c r="F839" t="s">
        <v>1400</v>
      </c>
      <c r="G839">
        <v>5</v>
      </c>
      <c r="H839">
        <v>1</v>
      </c>
      <c r="I839" s="11">
        <v>46245</v>
      </c>
      <c r="J839" s="17">
        <f>IF(Items[[#This Row],[ID]]="","",IFERROR(VALUE(LOOKUP(2,1/((Log[ID]=Items[[#This Row],[ID]])*(Log[Verb]="est")),Log[Arg])),N(Items[[#This Row],[Points]])))</f>
      </c>
      <c r="K839" s="17">
        <f>IF(Items[[#This Row],[ID]]="","",IFERROR(LOOKUP(2,1/((Log[ID]=Items[[#This Row],[ID]])*(Log[Verb]="pass")),Log[Arg])&amp;"",Items[[#This Row],[Team]]&amp;""))</f>
      </c>
      <c r="L839" s="17">
        <f>IF(Items[[#This Row],[ID]]="","",IFERROR(LOOKUP(2,1/((Log[ID]=Items[[#This Row],[ID]])*(Log[Into]&lt;&gt;"")),Log[Into]),""))</f>
      </c>
      <c r="M839" s="17">
        <f>IF(Items[[#This Row],[ID]]="","",IF(IFERROR(LOOKUP(2,1/((Log[ID]=Items[[#This Row],[ID]])*(Log[Blk]&lt;&gt;"")),Log[Blk]),0)=1,"Y",""))</f>
      </c>
      <c r="N839" s="17">
        <f>IF(Items[[#This Row],[ID]]="","",SUBSTITUTE(IFERROR(LOOKUP(2,1/((Log[ID]=Items[[#This Row],[ID]])*(Log[State]&lt;&gt;"")),Log[State]),"TODO"),"OPEN",IF(Items[[#This Row],[Blocked]]="Y","WAIT","OPEN")))</f>
      </c>
      <c r="O83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39" s="17">
        <f>IF(Items[[#This Row],[State]]&lt;&gt;"WAIT","",AsOf-Items[[#This Row],[Blocked since]])</f>
      </c>
      <c r="Q839" s="17">
        <f>IF(Items[[#This Row],[State]]&lt;&gt;"WAIT","",IFERROR(LOOKUP(2,1/((Log[ID]=Items[[#This Row],[ID]])*(Log[Verb]="block")),Log[Note])&amp;"",""))</f>
      </c>
      <c r="R839" s="17">
        <f>IF(Items[[#This Row],[ID]]="","",COUNTIFS(Log[ID],Items[[#This Row],[ID]],Log[Verb],"carry"))</f>
      </c>
      <c r="S839" s="17">
        <f>IF(Items[[#This Row],[ID]]="","",COUNTIFS(Log[ID],Items[[#This Row],[ID]],Log[Verb],"punt"))</f>
      </c>
      <c r="T839" s="11">
        <f>IF(Items[[#This Row],[State]]&lt;&gt;"DONE","",IFERROR(LOOKUP(2,1/((Log[ID]=Items[[#This Row],[ID]])*(Log[Verb]="done")),Log[Date]),""))</f>
      </c>
      <c r="U839" s="17">
        <f>IF(Items[[#This Row],[ID]]="","",IF(AND(Items[[#This Row],[Sprint]]=CurSprint,OR(Items[[#This Row],[State]]="OPEN",Items[[#This Row],[State]]="WAIT",Items[[#This Row],[State]]="HOLD",Items[[#This Row],[State]]="DONE")),1,0))</f>
      </c>
      <c r="V839" s="17">
        <f>IF(OR(Items[[#This Row],[ID]]="",Items[[#This Row],[Added]]=""),"",AsOf-Items[[#This Row],[Added]])</f>
      </c>
      <c r="W839" s="17">
        <f>IF(Items[[#This Row],[In sprint]]=1,(IF(Items[[#This Row],[Prio]]="",9,N(Items[[#This Row],[Prio]]))*10+(IF(Items[[#This Row],[State]]="DONE",1,0)))*100000+ROW(),"")</f>
      </c>
      <c r="X83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39" s="17">
        <f>IF(AND(Items[[#This Row],[State]]="DONE",N(Items[[#This Row],[Done on]])&gt;AsOf-7),(200000-N(Items[[#This Row],[Done on]]))*100000+ROW(),"")</f>
      </c>
    </row>
    <row r="840">
      <c r="A840" t="s">
        <v>957</v>
      </c>
      <c r="B840" t="s">
        <v>2061</v>
      </c>
      <c r="C840" t="s">
        <v>1115</v>
      </c>
      <c r="D840" t="s">
        <v>1116</v>
      </c>
      <c r="E840" t="s">
        <v>1112</v>
      </c>
      <c r="F840" t="s">
        <v>1144</v>
      </c>
      <c r="G840">
        <v>3</v>
      </c>
      <c r="H840">
        <v>2</v>
      </c>
      <c r="I840" s="11">
        <v>46259</v>
      </c>
      <c r="J840" s="17">
        <f>IF(Items[[#This Row],[ID]]="","",IFERROR(VALUE(LOOKUP(2,1/((Log[ID]=Items[[#This Row],[ID]])*(Log[Verb]="est")),Log[Arg])),N(Items[[#This Row],[Points]])))</f>
      </c>
      <c r="K840" s="17">
        <f>IF(Items[[#This Row],[ID]]="","",IFERROR(LOOKUP(2,1/((Log[ID]=Items[[#This Row],[ID]])*(Log[Verb]="pass")),Log[Arg])&amp;"",Items[[#This Row],[Team]]&amp;""))</f>
      </c>
      <c r="L840" s="17">
        <f>IF(Items[[#This Row],[ID]]="","",IFERROR(LOOKUP(2,1/((Log[ID]=Items[[#This Row],[ID]])*(Log[Into]&lt;&gt;"")),Log[Into]),""))</f>
      </c>
      <c r="M840" s="17">
        <f>IF(Items[[#This Row],[ID]]="","",IF(IFERROR(LOOKUP(2,1/((Log[ID]=Items[[#This Row],[ID]])*(Log[Blk]&lt;&gt;"")),Log[Blk]),0)=1,"Y",""))</f>
      </c>
      <c r="N840" s="17">
        <f>IF(Items[[#This Row],[ID]]="","",SUBSTITUTE(IFERROR(LOOKUP(2,1/((Log[ID]=Items[[#This Row],[ID]])*(Log[State]&lt;&gt;"")),Log[State]),"TODO"),"OPEN",IF(Items[[#This Row],[Blocked]]="Y","WAIT","OPEN")))</f>
      </c>
      <c r="O84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40" s="17">
        <f>IF(Items[[#This Row],[State]]&lt;&gt;"WAIT","",AsOf-Items[[#This Row],[Blocked since]])</f>
      </c>
      <c r="Q840" s="17">
        <f>IF(Items[[#This Row],[State]]&lt;&gt;"WAIT","",IFERROR(LOOKUP(2,1/((Log[ID]=Items[[#This Row],[ID]])*(Log[Verb]="block")),Log[Note])&amp;"",""))</f>
      </c>
      <c r="R840" s="17">
        <f>IF(Items[[#This Row],[ID]]="","",COUNTIFS(Log[ID],Items[[#This Row],[ID]],Log[Verb],"carry"))</f>
      </c>
      <c r="S840" s="17">
        <f>IF(Items[[#This Row],[ID]]="","",COUNTIFS(Log[ID],Items[[#This Row],[ID]],Log[Verb],"punt"))</f>
      </c>
      <c r="T840" s="11">
        <f>IF(Items[[#This Row],[State]]&lt;&gt;"DONE","",IFERROR(LOOKUP(2,1/((Log[ID]=Items[[#This Row],[ID]])*(Log[Verb]="done")),Log[Date]),""))</f>
      </c>
      <c r="U840" s="17">
        <f>IF(Items[[#This Row],[ID]]="","",IF(AND(Items[[#This Row],[Sprint]]=CurSprint,OR(Items[[#This Row],[State]]="OPEN",Items[[#This Row],[State]]="WAIT",Items[[#This Row],[State]]="HOLD",Items[[#This Row],[State]]="DONE")),1,0))</f>
      </c>
      <c r="V840" s="17">
        <f>IF(OR(Items[[#This Row],[ID]]="",Items[[#This Row],[Added]]=""),"",AsOf-Items[[#This Row],[Added]])</f>
      </c>
      <c r="W840" s="17">
        <f>IF(Items[[#This Row],[In sprint]]=1,(IF(Items[[#This Row],[Prio]]="",9,N(Items[[#This Row],[Prio]]))*10+(IF(Items[[#This Row],[State]]="DONE",1,0)))*100000+ROW(),"")</f>
      </c>
      <c r="X84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40" s="17">
        <f>IF(AND(Items[[#This Row],[State]]="DONE",N(Items[[#This Row],[Done on]])&gt;AsOf-7),(200000-N(Items[[#This Row],[Done on]]))*100000+ROW(),"")</f>
      </c>
    </row>
    <row r="841">
      <c r="A841" t="s">
        <v>958</v>
      </c>
      <c r="B841" t="s">
        <v>2062</v>
      </c>
      <c r="C841" t="s">
        <v>1115</v>
      </c>
      <c r="D841" t="s">
        <v>1119</v>
      </c>
      <c r="E841" t="s">
        <v>1112</v>
      </c>
      <c r="F841" t="s">
        <v>1149</v>
      </c>
      <c r="G841">
        <v>3</v>
      </c>
      <c r="H841">
        <v>1</v>
      </c>
      <c r="I841" s="11">
        <v>46259</v>
      </c>
      <c r="J841" s="17">
        <f>IF(Items[[#This Row],[ID]]="","",IFERROR(VALUE(LOOKUP(2,1/((Log[ID]=Items[[#This Row],[ID]])*(Log[Verb]="est")),Log[Arg])),N(Items[[#This Row],[Points]])))</f>
      </c>
      <c r="K841" s="17">
        <f>IF(Items[[#This Row],[ID]]="","",IFERROR(LOOKUP(2,1/((Log[ID]=Items[[#This Row],[ID]])*(Log[Verb]="pass")),Log[Arg])&amp;"",Items[[#This Row],[Team]]&amp;""))</f>
      </c>
      <c r="L841" s="17">
        <f>IF(Items[[#This Row],[ID]]="","",IFERROR(LOOKUP(2,1/((Log[ID]=Items[[#This Row],[ID]])*(Log[Into]&lt;&gt;"")),Log[Into]),""))</f>
      </c>
      <c r="M841" s="17">
        <f>IF(Items[[#This Row],[ID]]="","",IF(IFERROR(LOOKUP(2,1/((Log[ID]=Items[[#This Row],[ID]])*(Log[Blk]&lt;&gt;"")),Log[Blk]),0)=1,"Y",""))</f>
      </c>
      <c r="N841" s="17">
        <f>IF(Items[[#This Row],[ID]]="","",SUBSTITUTE(IFERROR(LOOKUP(2,1/((Log[ID]=Items[[#This Row],[ID]])*(Log[State]&lt;&gt;"")),Log[State]),"TODO"),"OPEN",IF(Items[[#This Row],[Blocked]]="Y","WAIT","OPEN")))</f>
      </c>
      <c r="O84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41" s="17">
        <f>IF(Items[[#This Row],[State]]&lt;&gt;"WAIT","",AsOf-Items[[#This Row],[Blocked since]])</f>
      </c>
      <c r="Q841" s="17">
        <f>IF(Items[[#This Row],[State]]&lt;&gt;"WAIT","",IFERROR(LOOKUP(2,1/((Log[ID]=Items[[#This Row],[ID]])*(Log[Verb]="block")),Log[Note])&amp;"",""))</f>
      </c>
      <c r="R841" s="17">
        <f>IF(Items[[#This Row],[ID]]="","",COUNTIFS(Log[ID],Items[[#This Row],[ID]],Log[Verb],"carry"))</f>
      </c>
      <c r="S841" s="17">
        <f>IF(Items[[#This Row],[ID]]="","",COUNTIFS(Log[ID],Items[[#This Row],[ID]],Log[Verb],"punt"))</f>
      </c>
      <c r="T841" s="11">
        <f>IF(Items[[#This Row],[State]]&lt;&gt;"DONE","",IFERROR(LOOKUP(2,1/((Log[ID]=Items[[#This Row],[ID]])*(Log[Verb]="done")),Log[Date]),""))</f>
      </c>
      <c r="U841" s="17">
        <f>IF(Items[[#This Row],[ID]]="","",IF(AND(Items[[#This Row],[Sprint]]=CurSprint,OR(Items[[#This Row],[State]]="OPEN",Items[[#This Row],[State]]="WAIT",Items[[#This Row],[State]]="HOLD",Items[[#This Row],[State]]="DONE")),1,0))</f>
      </c>
      <c r="V841" s="17">
        <f>IF(OR(Items[[#This Row],[ID]]="",Items[[#This Row],[Added]]=""),"",AsOf-Items[[#This Row],[Added]])</f>
      </c>
      <c r="W841" s="17">
        <f>IF(Items[[#This Row],[In sprint]]=1,(IF(Items[[#This Row],[Prio]]="",9,N(Items[[#This Row],[Prio]]))*10+(IF(Items[[#This Row],[State]]="DONE",1,0)))*100000+ROW(),"")</f>
      </c>
      <c r="X84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41" s="17">
        <f>IF(AND(Items[[#This Row],[State]]="DONE",N(Items[[#This Row],[Done on]])&gt;AsOf-7),(200000-N(Items[[#This Row],[Done on]]))*100000+ROW(),"")</f>
      </c>
    </row>
    <row r="842">
      <c r="A842" t="s">
        <v>959</v>
      </c>
      <c r="B842" t="s">
        <v>2063</v>
      </c>
      <c r="C842" t="s">
        <v>1107</v>
      </c>
      <c r="D842" t="s">
        <v>1127</v>
      </c>
      <c r="E842" t="s">
        <v>1112</v>
      </c>
      <c r="F842" t="s">
        <v>1117</v>
      </c>
      <c r="G842">
        <v>3</v>
      </c>
      <c r="H842">
        <v>1</v>
      </c>
      <c r="I842" s="11">
        <v>46259</v>
      </c>
      <c r="J842" s="17">
        <f>IF(Items[[#This Row],[ID]]="","",IFERROR(VALUE(LOOKUP(2,1/((Log[ID]=Items[[#This Row],[ID]])*(Log[Verb]="est")),Log[Arg])),N(Items[[#This Row],[Points]])))</f>
      </c>
      <c r="K842" s="17">
        <f>IF(Items[[#This Row],[ID]]="","",IFERROR(LOOKUP(2,1/((Log[ID]=Items[[#This Row],[ID]])*(Log[Verb]="pass")),Log[Arg])&amp;"",Items[[#This Row],[Team]]&amp;""))</f>
      </c>
      <c r="L842" s="17">
        <f>IF(Items[[#This Row],[ID]]="","",IFERROR(LOOKUP(2,1/((Log[ID]=Items[[#This Row],[ID]])*(Log[Into]&lt;&gt;"")),Log[Into]),""))</f>
      </c>
      <c r="M842" s="17">
        <f>IF(Items[[#This Row],[ID]]="","",IF(IFERROR(LOOKUP(2,1/((Log[ID]=Items[[#This Row],[ID]])*(Log[Blk]&lt;&gt;"")),Log[Blk]),0)=1,"Y",""))</f>
      </c>
      <c r="N842" s="17">
        <f>IF(Items[[#This Row],[ID]]="","",SUBSTITUTE(IFERROR(LOOKUP(2,1/((Log[ID]=Items[[#This Row],[ID]])*(Log[State]&lt;&gt;"")),Log[State]),"TODO"),"OPEN",IF(Items[[#This Row],[Blocked]]="Y","WAIT","OPEN")))</f>
      </c>
      <c r="O84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42" s="17">
        <f>IF(Items[[#This Row],[State]]&lt;&gt;"WAIT","",AsOf-Items[[#This Row],[Blocked since]])</f>
      </c>
      <c r="Q842" s="17">
        <f>IF(Items[[#This Row],[State]]&lt;&gt;"WAIT","",IFERROR(LOOKUP(2,1/((Log[ID]=Items[[#This Row],[ID]])*(Log[Verb]="block")),Log[Note])&amp;"",""))</f>
      </c>
      <c r="R842" s="17">
        <f>IF(Items[[#This Row],[ID]]="","",COUNTIFS(Log[ID],Items[[#This Row],[ID]],Log[Verb],"carry"))</f>
      </c>
      <c r="S842" s="17">
        <f>IF(Items[[#This Row],[ID]]="","",COUNTIFS(Log[ID],Items[[#This Row],[ID]],Log[Verb],"punt"))</f>
      </c>
      <c r="T842" s="11">
        <f>IF(Items[[#This Row],[State]]&lt;&gt;"DONE","",IFERROR(LOOKUP(2,1/((Log[ID]=Items[[#This Row],[ID]])*(Log[Verb]="done")),Log[Date]),""))</f>
      </c>
      <c r="U842" s="17">
        <f>IF(Items[[#This Row],[ID]]="","",IF(AND(Items[[#This Row],[Sprint]]=CurSprint,OR(Items[[#This Row],[State]]="OPEN",Items[[#This Row],[State]]="WAIT",Items[[#This Row],[State]]="HOLD",Items[[#This Row],[State]]="DONE")),1,0))</f>
      </c>
      <c r="V842" s="17">
        <f>IF(OR(Items[[#This Row],[ID]]="",Items[[#This Row],[Added]]=""),"",AsOf-Items[[#This Row],[Added]])</f>
      </c>
      <c r="W842" s="17">
        <f>IF(Items[[#This Row],[In sprint]]=1,(IF(Items[[#This Row],[Prio]]="",9,N(Items[[#This Row],[Prio]]))*10+(IF(Items[[#This Row],[State]]="DONE",1,0)))*100000+ROW(),"")</f>
      </c>
      <c r="X84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42" s="17">
        <f>IF(AND(Items[[#This Row],[State]]="DONE",N(Items[[#This Row],[Done on]])&gt;AsOf-7),(200000-N(Items[[#This Row],[Done on]]))*100000+ROW(),"")</f>
      </c>
    </row>
    <row r="843">
      <c r="A843" t="s">
        <v>1016</v>
      </c>
      <c r="B843" t="s">
        <v>2064</v>
      </c>
      <c r="C843" t="s">
        <v>1115</v>
      </c>
      <c r="D843" t="s">
        <v>1116</v>
      </c>
      <c r="E843" t="s">
        <v>1112</v>
      </c>
      <c r="F843" t="s">
        <v>1149</v>
      </c>
      <c r="G843">
        <v>2</v>
      </c>
      <c r="H843">
        <v>3</v>
      </c>
      <c r="I843" s="11">
        <v>46259</v>
      </c>
      <c r="J843" s="17">
        <f>IF(Items[[#This Row],[ID]]="","",IFERROR(VALUE(LOOKUP(2,1/((Log[ID]=Items[[#This Row],[ID]])*(Log[Verb]="est")),Log[Arg])),N(Items[[#This Row],[Points]])))</f>
      </c>
      <c r="K843" s="17">
        <f>IF(Items[[#This Row],[ID]]="","",IFERROR(LOOKUP(2,1/((Log[ID]=Items[[#This Row],[ID]])*(Log[Verb]="pass")),Log[Arg])&amp;"",Items[[#This Row],[Team]]&amp;""))</f>
      </c>
      <c r="L843" s="17">
        <f>IF(Items[[#This Row],[ID]]="","",IFERROR(LOOKUP(2,1/((Log[ID]=Items[[#This Row],[ID]])*(Log[Into]&lt;&gt;"")),Log[Into]),""))</f>
      </c>
      <c r="M843" s="17">
        <f>IF(Items[[#This Row],[ID]]="","",IF(IFERROR(LOOKUP(2,1/((Log[ID]=Items[[#This Row],[ID]])*(Log[Blk]&lt;&gt;"")),Log[Blk]),0)=1,"Y",""))</f>
      </c>
      <c r="N843" s="17">
        <f>IF(Items[[#This Row],[ID]]="","",SUBSTITUTE(IFERROR(LOOKUP(2,1/((Log[ID]=Items[[#This Row],[ID]])*(Log[State]&lt;&gt;"")),Log[State]),"TODO"),"OPEN",IF(Items[[#This Row],[Blocked]]="Y","WAIT","OPEN")))</f>
      </c>
      <c r="O84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43" s="17">
        <f>IF(Items[[#This Row],[State]]&lt;&gt;"WAIT","",AsOf-Items[[#This Row],[Blocked since]])</f>
      </c>
      <c r="Q843" s="17">
        <f>IF(Items[[#This Row],[State]]&lt;&gt;"WAIT","",IFERROR(LOOKUP(2,1/((Log[ID]=Items[[#This Row],[ID]])*(Log[Verb]="block")),Log[Note])&amp;"",""))</f>
      </c>
      <c r="R843" s="17">
        <f>IF(Items[[#This Row],[ID]]="","",COUNTIFS(Log[ID],Items[[#This Row],[ID]],Log[Verb],"carry"))</f>
      </c>
      <c r="S843" s="17">
        <f>IF(Items[[#This Row],[ID]]="","",COUNTIFS(Log[ID],Items[[#This Row],[ID]],Log[Verb],"punt"))</f>
      </c>
      <c r="T843" s="11">
        <f>IF(Items[[#This Row],[State]]&lt;&gt;"DONE","",IFERROR(LOOKUP(2,1/((Log[ID]=Items[[#This Row],[ID]])*(Log[Verb]="done")),Log[Date]),""))</f>
      </c>
      <c r="U843" s="17">
        <f>IF(Items[[#This Row],[ID]]="","",IF(AND(Items[[#This Row],[Sprint]]=CurSprint,OR(Items[[#This Row],[State]]="OPEN",Items[[#This Row],[State]]="WAIT",Items[[#This Row],[State]]="HOLD",Items[[#This Row],[State]]="DONE")),1,0))</f>
      </c>
      <c r="V843" s="17">
        <f>IF(OR(Items[[#This Row],[ID]]="",Items[[#This Row],[Added]]=""),"",AsOf-Items[[#This Row],[Added]])</f>
      </c>
      <c r="W843" s="17">
        <f>IF(Items[[#This Row],[In sprint]]=1,(IF(Items[[#This Row],[Prio]]="",9,N(Items[[#This Row],[Prio]]))*10+(IF(Items[[#This Row],[State]]="DONE",1,0)))*100000+ROW(),"")</f>
      </c>
      <c r="X84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43" s="17">
        <f>IF(AND(Items[[#This Row],[State]]="DONE",N(Items[[#This Row],[Done on]])&gt;AsOf-7),(200000-N(Items[[#This Row],[Done on]]))*100000+ROW(),"")</f>
      </c>
    </row>
    <row r="844">
      <c r="A844" t="s">
        <v>1017</v>
      </c>
      <c r="B844" t="s">
        <v>2065</v>
      </c>
      <c r="C844" t="s">
        <v>1107</v>
      </c>
      <c r="D844" t="s">
        <v>1127</v>
      </c>
      <c r="E844" t="s">
        <v>1112</v>
      </c>
      <c r="F844" t="s">
        <v>1117</v>
      </c>
      <c r="G844">
        <v>3</v>
      </c>
      <c r="H844">
        <v>3</v>
      </c>
      <c r="I844" s="11">
        <v>46259</v>
      </c>
      <c r="J844" s="17">
        <f>IF(Items[[#This Row],[ID]]="","",IFERROR(VALUE(LOOKUP(2,1/((Log[ID]=Items[[#This Row],[ID]])*(Log[Verb]="est")),Log[Arg])),N(Items[[#This Row],[Points]])))</f>
      </c>
      <c r="K844" s="17">
        <f>IF(Items[[#This Row],[ID]]="","",IFERROR(LOOKUP(2,1/((Log[ID]=Items[[#This Row],[ID]])*(Log[Verb]="pass")),Log[Arg])&amp;"",Items[[#This Row],[Team]]&amp;""))</f>
      </c>
      <c r="L844" s="17">
        <f>IF(Items[[#This Row],[ID]]="","",IFERROR(LOOKUP(2,1/((Log[ID]=Items[[#This Row],[ID]])*(Log[Into]&lt;&gt;"")),Log[Into]),""))</f>
      </c>
      <c r="M844" s="17">
        <f>IF(Items[[#This Row],[ID]]="","",IF(IFERROR(LOOKUP(2,1/((Log[ID]=Items[[#This Row],[ID]])*(Log[Blk]&lt;&gt;"")),Log[Blk]),0)=1,"Y",""))</f>
      </c>
      <c r="N844" s="17">
        <f>IF(Items[[#This Row],[ID]]="","",SUBSTITUTE(IFERROR(LOOKUP(2,1/((Log[ID]=Items[[#This Row],[ID]])*(Log[State]&lt;&gt;"")),Log[State]),"TODO"),"OPEN",IF(Items[[#This Row],[Blocked]]="Y","WAIT","OPEN")))</f>
      </c>
      <c r="O84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44" s="17">
        <f>IF(Items[[#This Row],[State]]&lt;&gt;"WAIT","",AsOf-Items[[#This Row],[Blocked since]])</f>
      </c>
      <c r="Q844" s="17">
        <f>IF(Items[[#This Row],[State]]&lt;&gt;"WAIT","",IFERROR(LOOKUP(2,1/((Log[ID]=Items[[#This Row],[ID]])*(Log[Verb]="block")),Log[Note])&amp;"",""))</f>
      </c>
      <c r="R844" s="17">
        <f>IF(Items[[#This Row],[ID]]="","",COUNTIFS(Log[ID],Items[[#This Row],[ID]],Log[Verb],"carry"))</f>
      </c>
      <c r="S844" s="17">
        <f>IF(Items[[#This Row],[ID]]="","",COUNTIFS(Log[ID],Items[[#This Row],[ID]],Log[Verb],"punt"))</f>
      </c>
      <c r="T844" s="11">
        <f>IF(Items[[#This Row],[State]]&lt;&gt;"DONE","",IFERROR(LOOKUP(2,1/((Log[ID]=Items[[#This Row],[ID]])*(Log[Verb]="done")),Log[Date]),""))</f>
      </c>
      <c r="U844" s="17">
        <f>IF(Items[[#This Row],[ID]]="","",IF(AND(Items[[#This Row],[Sprint]]=CurSprint,OR(Items[[#This Row],[State]]="OPEN",Items[[#This Row],[State]]="WAIT",Items[[#This Row],[State]]="HOLD",Items[[#This Row],[State]]="DONE")),1,0))</f>
      </c>
      <c r="V844" s="17">
        <f>IF(OR(Items[[#This Row],[ID]]="",Items[[#This Row],[Added]]=""),"",AsOf-Items[[#This Row],[Added]])</f>
      </c>
      <c r="W844" s="17">
        <f>IF(Items[[#This Row],[In sprint]]=1,(IF(Items[[#This Row],[Prio]]="",9,N(Items[[#This Row],[Prio]]))*10+(IF(Items[[#This Row],[State]]="DONE",1,0)))*100000+ROW(),"")</f>
      </c>
      <c r="X84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44" s="17">
        <f>IF(AND(Items[[#This Row],[State]]="DONE",N(Items[[#This Row],[Done on]])&gt;AsOf-7),(200000-N(Items[[#This Row],[Done on]]))*100000+ROW(),"")</f>
      </c>
    </row>
    <row r="845">
      <c r="A845" t="s">
        <v>1018</v>
      </c>
      <c r="B845" t="s">
        <v>2066</v>
      </c>
      <c r="C845" t="s">
        <v>1115</v>
      </c>
      <c r="D845" t="s">
        <v>1116</v>
      </c>
      <c r="E845" t="s">
        <v>1112</v>
      </c>
      <c r="F845" t="s">
        <v>1149</v>
      </c>
      <c r="G845">
        <v>2</v>
      </c>
      <c r="H845">
        <v>2</v>
      </c>
      <c r="I845" s="11">
        <v>46259</v>
      </c>
      <c r="J845" s="17">
        <f>IF(Items[[#This Row],[ID]]="","",IFERROR(VALUE(LOOKUP(2,1/((Log[ID]=Items[[#This Row],[ID]])*(Log[Verb]="est")),Log[Arg])),N(Items[[#This Row],[Points]])))</f>
      </c>
      <c r="K845" s="17">
        <f>IF(Items[[#This Row],[ID]]="","",IFERROR(LOOKUP(2,1/((Log[ID]=Items[[#This Row],[ID]])*(Log[Verb]="pass")),Log[Arg])&amp;"",Items[[#This Row],[Team]]&amp;""))</f>
      </c>
      <c r="L845" s="17">
        <f>IF(Items[[#This Row],[ID]]="","",IFERROR(LOOKUP(2,1/((Log[ID]=Items[[#This Row],[ID]])*(Log[Into]&lt;&gt;"")),Log[Into]),""))</f>
      </c>
      <c r="M845" s="17">
        <f>IF(Items[[#This Row],[ID]]="","",IF(IFERROR(LOOKUP(2,1/((Log[ID]=Items[[#This Row],[ID]])*(Log[Blk]&lt;&gt;"")),Log[Blk]),0)=1,"Y",""))</f>
      </c>
      <c r="N845" s="17">
        <f>IF(Items[[#This Row],[ID]]="","",SUBSTITUTE(IFERROR(LOOKUP(2,1/((Log[ID]=Items[[#This Row],[ID]])*(Log[State]&lt;&gt;"")),Log[State]),"TODO"),"OPEN",IF(Items[[#This Row],[Blocked]]="Y","WAIT","OPEN")))</f>
      </c>
      <c r="O84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45" s="17">
        <f>IF(Items[[#This Row],[State]]&lt;&gt;"WAIT","",AsOf-Items[[#This Row],[Blocked since]])</f>
      </c>
      <c r="Q845" s="17">
        <f>IF(Items[[#This Row],[State]]&lt;&gt;"WAIT","",IFERROR(LOOKUP(2,1/((Log[ID]=Items[[#This Row],[ID]])*(Log[Verb]="block")),Log[Note])&amp;"",""))</f>
      </c>
      <c r="R845" s="17">
        <f>IF(Items[[#This Row],[ID]]="","",COUNTIFS(Log[ID],Items[[#This Row],[ID]],Log[Verb],"carry"))</f>
      </c>
      <c r="S845" s="17">
        <f>IF(Items[[#This Row],[ID]]="","",COUNTIFS(Log[ID],Items[[#This Row],[ID]],Log[Verb],"punt"))</f>
      </c>
      <c r="T845" s="11">
        <f>IF(Items[[#This Row],[State]]&lt;&gt;"DONE","",IFERROR(LOOKUP(2,1/((Log[ID]=Items[[#This Row],[ID]])*(Log[Verb]="done")),Log[Date]),""))</f>
      </c>
      <c r="U845" s="17">
        <f>IF(Items[[#This Row],[ID]]="","",IF(AND(Items[[#This Row],[Sprint]]=CurSprint,OR(Items[[#This Row],[State]]="OPEN",Items[[#This Row],[State]]="WAIT",Items[[#This Row],[State]]="HOLD",Items[[#This Row],[State]]="DONE")),1,0))</f>
      </c>
      <c r="V845" s="17">
        <f>IF(OR(Items[[#This Row],[ID]]="",Items[[#This Row],[Added]]=""),"",AsOf-Items[[#This Row],[Added]])</f>
      </c>
      <c r="W845" s="17">
        <f>IF(Items[[#This Row],[In sprint]]=1,(IF(Items[[#This Row],[Prio]]="",9,N(Items[[#This Row],[Prio]]))*10+(IF(Items[[#This Row],[State]]="DONE",1,0)))*100000+ROW(),"")</f>
      </c>
      <c r="X84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45" s="17">
        <f>IF(AND(Items[[#This Row],[State]]="DONE",N(Items[[#This Row],[Done on]])&gt;AsOf-7),(200000-N(Items[[#This Row],[Done on]]))*100000+ROW(),"")</f>
      </c>
    </row>
    <row r="846">
      <c r="A846" t="s">
        <v>1019</v>
      </c>
      <c r="B846" t="s">
        <v>2067</v>
      </c>
      <c r="C846" t="s">
        <v>1107</v>
      </c>
      <c r="D846" t="s">
        <v>1108</v>
      </c>
      <c r="E846" t="s">
        <v>1112</v>
      </c>
      <c r="F846" t="s">
        <v>1142</v>
      </c>
      <c r="G846">
        <v>3</v>
      </c>
      <c r="H846">
        <v>1</v>
      </c>
      <c r="I846" s="11">
        <v>46259</v>
      </c>
      <c r="J846" s="17">
        <f>IF(Items[[#This Row],[ID]]="","",IFERROR(VALUE(LOOKUP(2,1/((Log[ID]=Items[[#This Row],[ID]])*(Log[Verb]="est")),Log[Arg])),N(Items[[#This Row],[Points]])))</f>
      </c>
      <c r="K846" s="17">
        <f>IF(Items[[#This Row],[ID]]="","",IFERROR(LOOKUP(2,1/((Log[ID]=Items[[#This Row],[ID]])*(Log[Verb]="pass")),Log[Arg])&amp;"",Items[[#This Row],[Team]]&amp;""))</f>
      </c>
      <c r="L846" s="17">
        <f>IF(Items[[#This Row],[ID]]="","",IFERROR(LOOKUP(2,1/((Log[ID]=Items[[#This Row],[ID]])*(Log[Into]&lt;&gt;"")),Log[Into]),""))</f>
      </c>
      <c r="M846" s="17">
        <f>IF(Items[[#This Row],[ID]]="","",IF(IFERROR(LOOKUP(2,1/((Log[ID]=Items[[#This Row],[ID]])*(Log[Blk]&lt;&gt;"")),Log[Blk]),0)=1,"Y",""))</f>
      </c>
      <c r="N846" s="17">
        <f>IF(Items[[#This Row],[ID]]="","",SUBSTITUTE(IFERROR(LOOKUP(2,1/((Log[ID]=Items[[#This Row],[ID]])*(Log[State]&lt;&gt;"")),Log[State]),"TODO"),"OPEN",IF(Items[[#This Row],[Blocked]]="Y","WAIT","OPEN")))</f>
      </c>
      <c r="O84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46" s="17">
        <f>IF(Items[[#This Row],[State]]&lt;&gt;"WAIT","",AsOf-Items[[#This Row],[Blocked since]])</f>
      </c>
      <c r="Q846" s="17">
        <f>IF(Items[[#This Row],[State]]&lt;&gt;"WAIT","",IFERROR(LOOKUP(2,1/((Log[ID]=Items[[#This Row],[ID]])*(Log[Verb]="block")),Log[Note])&amp;"",""))</f>
      </c>
      <c r="R846" s="17">
        <f>IF(Items[[#This Row],[ID]]="","",COUNTIFS(Log[ID],Items[[#This Row],[ID]],Log[Verb],"carry"))</f>
      </c>
      <c r="S846" s="17">
        <f>IF(Items[[#This Row],[ID]]="","",COUNTIFS(Log[ID],Items[[#This Row],[ID]],Log[Verb],"punt"))</f>
      </c>
      <c r="T846" s="11">
        <f>IF(Items[[#This Row],[State]]&lt;&gt;"DONE","",IFERROR(LOOKUP(2,1/((Log[ID]=Items[[#This Row],[ID]])*(Log[Verb]="done")),Log[Date]),""))</f>
      </c>
      <c r="U846" s="17">
        <f>IF(Items[[#This Row],[ID]]="","",IF(AND(Items[[#This Row],[Sprint]]=CurSprint,OR(Items[[#This Row],[State]]="OPEN",Items[[#This Row],[State]]="WAIT",Items[[#This Row],[State]]="HOLD",Items[[#This Row],[State]]="DONE")),1,0))</f>
      </c>
      <c r="V846" s="17">
        <f>IF(OR(Items[[#This Row],[ID]]="",Items[[#This Row],[Added]]=""),"",AsOf-Items[[#This Row],[Added]])</f>
      </c>
      <c r="W846" s="17">
        <f>IF(Items[[#This Row],[In sprint]]=1,(IF(Items[[#This Row],[Prio]]="",9,N(Items[[#This Row],[Prio]]))*10+(IF(Items[[#This Row],[State]]="DONE",1,0)))*100000+ROW(),"")</f>
      </c>
      <c r="X84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46" s="17">
        <f>IF(AND(Items[[#This Row],[State]]="DONE",N(Items[[#This Row],[Done on]])&gt;AsOf-7),(200000-N(Items[[#This Row],[Done on]]))*100000+ROW(),"")</f>
      </c>
    </row>
    <row r="847">
      <c r="A847" t="s">
        <v>1020</v>
      </c>
      <c r="B847" t="s">
        <v>2068</v>
      </c>
      <c r="C847" t="s">
        <v>1115</v>
      </c>
      <c r="D847" t="s">
        <v>1119</v>
      </c>
      <c r="E847" t="s">
        <v>1112</v>
      </c>
      <c r="F847" t="s">
        <v>1147</v>
      </c>
      <c r="G847">
        <v>3</v>
      </c>
      <c r="H847">
        <v>3</v>
      </c>
      <c r="I847" s="11">
        <v>46259</v>
      </c>
      <c r="J847" s="17">
        <f>IF(Items[[#This Row],[ID]]="","",IFERROR(VALUE(LOOKUP(2,1/((Log[ID]=Items[[#This Row],[ID]])*(Log[Verb]="est")),Log[Arg])),N(Items[[#This Row],[Points]])))</f>
      </c>
      <c r="K847" s="17">
        <f>IF(Items[[#This Row],[ID]]="","",IFERROR(LOOKUP(2,1/((Log[ID]=Items[[#This Row],[ID]])*(Log[Verb]="pass")),Log[Arg])&amp;"",Items[[#This Row],[Team]]&amp;""))</f>
      </c>
      <c r="L847" s="17">
        <f>IF(Items[[#This Row],[ID]]="","",IFERROR(LOOKUP(2,1/((Log[ID]=Items[[#This Row],[ID]])*(Log[Into]&lt;&gt;"")),Log[Into]),""))</f>
      </c>
      <c r="M847" s="17">
        <f>IF(Items[[#This Row],[ID]]="","",IF(IFERROR(LOOKUP(2,1/((Log[ID]=Items[[#This Row],[ID]])*(Log[Blk]&lt;&gt;"")),Log[Blk]),0)=1,"Y",""))</f>
      </c>
      <c r="N847" s="17">
        <f>IF(Items[[#This Row],[ID]]="","",SUBSTITUTE(IFERROR(LOOKUP(2,1/((Log[ID]=Items[[#This Row],[ID]])*(Log[State]&lt;&gt;"")),Log[State]),"TODO"),"OPEN",IF(Items[[#This Row],[Blocked]]="Y","WAIT","OPEN")))</f>
      </c>
      <c r="O84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47" s="17">
        <f>IF(Items[[#This Row],[State]]&lt;&gt;"WAIT","",AsOf-Items[[#This Row],[Blocked since]])</f>
      </c>
      <c r="Q847" s="17">
        <f>IF(Items[[#This Row],[State]]&lt;&gt;"WAIT","",IFERROR(LOOKUP(2,1/((Log[ID]=Items[[#This Row],[ID]])*(Log[Verb]="block")),Log[Note])&amp;"",""))</f>
      </c>
      <c r="R847" s="17">
        <f>IF(Items[[#This Row],[ID]]="","",COUNTIFS(Log[ID],Items[[#This Row],[ID]],Log[Verb],"carry"))</f>
      </c>
      <c r="S847" s="17">
        <f>IF(Items[[#This Row],[ID]]="","",COUNTIFS(Log[ID],Items[[#This Row],[ID]],Log[Verb],"punt"))</f>
      </c>
      <c r="T847" s="11">
        <f>IF(Items[[#This Row],[State]]&lt;&gt;"DONE","",IFERROR(LOOKUP(2,1/((Log[ID]=Items[[#This Row],[ID]])*(Log[Verb]="done")),Log[Date]),""))</f>
      </c>
      <c r="U847" s="17">
        <f>IF(Items[[#This Row],[ID]]="","",IF(AND(Items[[#This Row],[Sprint]]=CurSprint,OR(Items[[#This Row],[State]]="OPEN",Items[[#This Row],[State]]="WAIT",Items[[#This Row],[State]]="HOLD",Items[[#This Row],[State]]="DONE")),1,0))</f>
      </c>
      <c r="V847" s="17">
        <f>IF(OR(Items[[#This Row],[ID]]="",Items[[#This Row],[Added]]=""),"",AsOf-Items[[#This Row],[Added]])</f>
      </c>
      <c r="W847" s="17">
        <f>IF(Items[[#This Row],[In sprint]]=1,(IF(Items[[#This Row],[Prio]]="",9,N(Items[[#This Row],[Prio]]))*10+(IF(Items[[#This Row],[State]]="DONE",1,0)))*100000+ROW(),"")</f>
      </c>
      <c r="X84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47" s="17">
        <f>IF(AND(Items[[#This Row],[State]]="DONE",N(Items[[#This Row],[Done on]])&gt;AsOf-7),(200000-N(Items[[#This Row],[Done on]]))*100000+ROW(),"")</f>
      </c>
    </row>
    <row r="848">
      <c r="A848" t="s">
        <v>1021</v>
      </c>
      <c r="B848" t="s">
        <v>2069</v>
      </c>
      <c r="C848" t="s">
        <v>1115</v>
      </c>
      <c r="D848" t="s">
        <v>1116</v>
      </c>
      <c r="E848" t="s">
        <v>1112</v>
      </c>
      <c r="F848" t="s">
        <v>1113</v>
      </c>
      <c r="G848">
        <v>8</v>
      </c>
      <c r="H848">
        <v>2</v>
      </c>
      <c r="I848" s="11">
        <v>46259</v>
      </c>
      <c r="J848" s="17">
        <f>IF(Items[[#This Row],[ID]]="","",IFERROR(VALUE(LOOKUP(2,1/((Log[ID]=Items[[#This Row],[ID]])*(Log[Verb]="est")),Log[Arg])),N(Items[[#This Row],[Points]])))</f>
      </c>
      <c r="K848" s="17">
        <f>IF(Items[[#This Row],[ID]]="","",IFERROR(LOOKUP(2,1/((Log[ID]=Items[[#This Row],[ID]])*(Log[Verb]="pass")),Log[Arg])&amp;"",Items[[#This Row],[Team]]&amp;""))</f>
      </c>
      <c r="L848" s="17">
        <f>IF(Items[[#This Row],[ID]]="","",IFERROR(LOOKUP(2,1/((Log[ID]=Items[[#This Row],[ID]])*(Log[Into]&lt;&gt;"")),Log[Into]),""))</f>
      </c>
      <c r="M848" s="17">
        <f>IF(Items[[#This Row],[ID]]="","",IF(IFERROR(LOOKUP(2,1/((Log[ID]=Items[[#This Row],[ID]])*(Log[Blk]&lt;&gt;"")),Log[Blk]),0)=1,"Y",""))</f>
      </c>
      <c r="N848" s="17">
        <f>IF(Items[[#This Row],[ID]]="","",SUBSTITUTE(IFERROR(LOOKUP(2,1/((Log[ID]=Items[[#This Row],[ID]])*(Log[State]&lt;&gt;"")),Log[State]),"TODO"),"OPEN",IF(Items[[#This Row],[Blocked]]="Y","WAIT","OPEN")))</f>
      </c>
      <c r="O84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48" s="17">
        <f>IF(Items[[#This Row],[State]]&lt;&gt;"WAIT","",AsOf-Items[[#This Row],[Blocked since]])</f>
      </c>
      <c r="Q848" s="17">
        <f>IF(Items[[#This Row],[State]]&lt;&gt;"WAIT","",IFERROR(LOOKUP(2,1/((Log[ID]=Items[[#This Row],[ID]])*(Log[Verb]="block")),Log[Note])&amp;"",""))</f>
      </c>
      <c r="R848" s="17">
        <f>IF(Items[[#This Row],[ID]]="","",COUNTIFS(Log[ID],Items[[#This Row],[ID]],Log[Verb],"carry"))</f>
      </c>
      <c r="S848" s="17">
        <f>IF(Items[[#This Row],[ID]]="","",COUNTIFS(Log[ID],Items[[#This Row],[ID]],Log[Verb],"punt"))</f>
      </c>
      <c r="T848" s="11">
        <f>IF(Items[[#This Row],[State]]&lt;&gt;"DONE","",IFERROR(LOOKUP(2,1/((Log[ID]=Items[[#This Row],[ID]])*(Log[Verb]="done")),Log[Date]),""))</f>
      </c>
      <c r="U848" s="17">
        <f>IF(Items[[#This Row],[ID]]="","",IF(AND(Items[[#This Row],[Sprint]]=CurSprint,OR(Items[[#This Row],[State]]="OPEN",Items[[#This Row],[State]]="WAIT",Items[[#This Row],[State]]="HOLD",Items[[#This Row],[State]]="DONE")),1,0))</f>
      </c>
      <c r="V848" s="17">
        <f>IF(OR(Items[[#This Row],[ID]]="",Items[[#This Row],[Added]]=""),"",AsOf-Items[[#This Row],[Added]])</f>
      </c>
      <c r="W848" s="17">
        <f>IF(Items[[#This Row],[In sprint]]=1,(IF(Items[[#This Row],[Prio]]="",9,N(Items[[#This Row],[Prio]]))*10+(IF(Items[[#This Row],[State]]="DONE",1,0)))*100000+ROW(),"")</f>
      </c>
      <c r="X84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48" s="17">
        <f>IF(AND(Items[[#This Row],[State]]="DONE",N(Items[[#This Row],[Done on]])&gt;AsOf-7),(200000-N(Items[[#This Row],[Done on]]))*100000+ROW(),"")</f>
      </c>
    </row>
    <row r="849">
      <c r="A849" t="s">
        <v>1022</v>
      </c>
      <c r="B849" t="s">
        <v>2070</v>
      </c>
      <c r="C849" t="s">
        <v>1115</v>
      </c>
      <c r="D849" t="s">
        <v>1116</v>
      </c>
      <c r="E849" t="s">
        <v>1112</v>
      </c>
      <c r="F849" t="s">
        <v>1412</v>
      </c>
      <c r="G849">
        <v>5</v>
      </c>
      <c r="H849">
        <v>3</v>
      </c>
      <c r="I849" s="11">
        <v>46259</v>
      </c>
      <c r="J849" s="17">
        <f>IF(Items[[#This Row],[ID]]="","",IFERROR(VALUE(LOOKUP(2,1/((Log[ID]=Items[[#This Row],[ID]])*(Log[Verb]="est")),Log[Arg])),N(Items[[#This Row],[Points]])))</f>
      </c>
      <c r="K849" s="17">
        <f>IF(Items[[#This Row],[ID]]="","",IFERROR(LOOKUP(2,1/((Log[ID]=Items[[#This Row],[ID]])*(Log[Verb]="pass")),Log[Arg])&amp;"",Items[[#This Row],[Team]]&amp;""))</f>
      </c>
      <c r="L849" s="17">
        <f>IF(Items[[#This Row],[ID]]="","",IFERROR(LOOKUP(2,1/((Log[ID]=Items[[#This Row],[ID]])*(Log[Into]&lt;&gt;"")),Log[Into]),""))</f>
      </c>
      <c r="M849" s="17">
        <f>IF(Items[[#This Row],[ID]]="","",IF(IFERROR(LOOKUP(2,1/((Log[ID]=Items[[#This Row],[ID]])*(Log[Blk]&lt;&gt;"")),Log[Blk]),0)=1,"Y",""))</f>
      </c>
      <c r="N849" s="17">
        <f>IF(Items[[#This Row],[ID]]="","",SUBSTITUTE(IFERROR(LOOKUP(2,1/((Log[ID]=Items[[#This Row],[ID]])*(Log[State]&lt;&gt;"")),Log[State]),"TODO"),"OPEN",IF(Items[[#This Row],[Blocked]]="Y","WAIT","OPEN")))</f>
      </c>
      <c r="O84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49" s="17">
        <f>IF(Items[[#This Row],[State]]&lt;&gt;"WAIT","",AsOf-Items[[#This Row],[Blocked since]])</f>
      </c>
      <c r="Q849" s="17">
        <f>IF(Items[[#This Row],[State]]&lt;&gt;"WAIT","",IFERROR(LOOKUP(2,1/((Log[ID]=Items[[#This Row],[ID]])*(Log[Verb]="block")),Log[Note])&amp;"",""))</f>
      </c>
      <c r="R849" s="17">
        <f>IF(Items[[#This Row],[ID]]="","",COUNTIFS(Log[ID],Items[[#This Row],[ID]],Log[Verb],"carry"))</f>
      </c>
      <c r="S849" s="17">
        <f>IF(Items[[#This Row],[ID]]="","",COUNTIFS(Log[ID],Items[[#This Row],[ID]],Log[Verb],"punt"))</f>
      </c>
      <c r="T849" s="11">
        <f>IF(Items[[#This Row],[State]]&lt;&gt;"DONE","",IFERROR(LOOKUP(2,1/((Log[ID]=Items[[#This Row],[ID]])*(Log[Verb]="done")),Log[Date]),""))</f>
      </c>
      <c r="U849" s="17">
        <f>IF(Items[[#This Row],[ID]]="","",IF(AND(Items[[#This Row],[Sprint]]=CurSprint,OR(Items[[#This Row],[State]]="OPEN",Items[[#This Row],[State]]="WAIT",Items[[#This Row],[State]]="HOLD",Items[[#This Row],[State]]="DONE")),1,0))</f>
      </c>
      <c r="V849" s="17">
        <f>IF(OR(Items[[#This Row],[ID]]="",Items[[#This Row],[Added]]=""),"",AsOf-Items[[#This Row],[Added]])</f>
      </c>
      <c r="W849" s="17">
        <f>IF(Items[[#This Row],[In sprint]]=1,(IF(Items[[#This Row],[Prio]]="",9,N(Items[[#This Row],[Prio]]))*10+(IF(Items[[#This Row],[State]]="DONE",1,0)))*100000+ROW(),"")</f>
      </c>
      <c r="X84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49" s="17">
        <f>IF(AND(Items[[#This Row],[State]]="DONE",N(Items[[#This Row],[Done on]])&gt;AsOf-7),(200000-N(Items[[#This Row],[Done on]]))*100000+ROW(),"")</f>
      </c>
    </row>
    <row r="850">
      <c r="A850" t="s">
        <v>964</v>
      </c>
      <c r="B850" t="s">
        <v>2071</v>
      </c>
      <c r="C850" t="s">
        <v>1115</v>
      </c>
      <c r="D850" t="s">
        <v>1116</v>
      </c>
      <c r="E850" t="s">
        <v>1120</v>
      </c>
      <c r="F850" t="s">
        <v>1151</v>
      </c>
      <c r="G850">
        <v>2</v>
      </c>
      <c r="H850">
        <v>3</v>
      </c>
      <c r="I850" s="11">
        <v>46259</v>
      </c>
      <c r="J850" s="17">
        <f>IF(Items[[#This Row],[ID]]="","",IFERROR(VALUE(LOOKUP(2,1/((Log[ID]=Items[[#This Row],[ID]])*(Log[Verb]="est")),Log[Arg])),N(Items[[#This Row],[Points]])))</f>
      </c>
      <c r="K850" s="17">
        <f>IF(Items[[#This Row],[ID]]="","",IFERROR(LOOKUP(2,1/((Log[ID]=Items[[#This Row],[ID]])*(Log[Verb]="pass")),Log[Arg])&amp;"",Items[[#This Row],[Team]]&amp;""))</f>
      </c>
      <c r="L850" s="17">
        <f>IF(Items[[#This Row],[ID]]="","",IFERROR(LOOKUP(2,1/((Log[ID]=Items[[#This Row],[ID]])*(Log[Into]&lt;&gt;"")),Log[Into]),""))</f>
      </c>
      <c r="M850" s="17">
        <f>IF(Items[[#This Row],[ID]]="","",IF(IFERROR(LOOKUP(2,1/((Log[ID]=Items[[#This Row],[ID]])*(Log[Blk]&lt;&gt;"")),Log[Blk]),0)=1,"Y",""))</f>
      </c>
      <c r="N850" s="17">
        <f>IF(Items[[#This Row],[ID]]="","",SUBSTITUTE(IFERROR(LOOKUP(2,1/((Log[ID]=Items[[#This Row],[ID]])*(Log[State]&lt;&gt;"")),Log[State]),"TODO"),"OPEN",IF(Items[[#This Row],[Blocked]]="Y","WAIT","OPEN")))</f>
      </c>
      <c r="O85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50" s="17">
        <f>IF(Items[[#This Row],[State]]&lt;&gt;"WAIT","",AsOf-Items[[#This Row],[Blocked since]])</f>
      </c>
      <c r="Q850" s="17">
        <f>IF(Items[[#This Row],[State]]&lt;&gt;"WAIT","",IFERROR(LOOKUP(2,1/((Log[ID]=Items[[#This Row],[ID]])*(Log[Verb]="block")),Log[Note])&amp;"",""))</f>
      </c>
      <c r="R850" s="17">
        <f>IF(Items[[#This Row],[ID]]="","",COUNTIFS(Log[ID],Items[[#This Row],[ID]],Log[Verb],"carry"))</f>
      </c>
      <c r="S850" s="17">
        <f>IF(Items[[#This Row],[ID]]="","",COUNTIFS(Log[ID],Items[[#This Row],[ID]],Log[Verb],"punt"))</f>
      </c>
      <c r="T850" s="11">
        <f>IF(Items[[#This Row],[State]]&lt;&gt;"DONE","",IFERROR(LOOKUP(2,1/((Log[ID]=Items[[#This Row],[ID]])*(Log[Verb]="done")),Log[Date]),""))</f>
      </c>
      <c r="U850" s="17">
        <f>IF(Items[[#This Row],[ID]]="","",IF(AND(Items[[#This Row],[Sprint]]=CurSprint,OR(Items[[#This Row],[State]]="OPEN",Items[[#This Row],[State]]="WAIT",Items[[#This Row],[State]]="HOLD",Items[[#This Row],[State]]="DONE")),1,0))</f>
      </c>
      <c r="V850" s="17">
        <f>IF(OR(Items[[#This Row],[ID]]="",Items[[#This Row],[Added]]=""),"",AsOf-Items[[#This Row],[Added]])</f>
      </c>
      <c r="W850" s="17">
        <f>IF(Items[[#This Row],[In sprint]]=1,(IF(Items[[#This Row],[Prio]]="",9,N(Items[[#This Row],[Prio]]))*10+(IF(Items[[#This Row],[State]]="DONE",1,0)))*100000+ROW(),"")</f>
      </c>
      <c r="X85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50" s="17">
        <f>IF(AND(Items[[#This Row],[State]]="DONE",N(Items[[#This Row],[Done on]])&gt;AsOf-7),(200000-N(Items[[#This Row],[Done on]]))*100000+ROW(),"")</f>
      </c>
    </row>
    <row r="851">
      <c r="A851" t="s">
        <v>965</v>
      </c>
      <c r="B851" t="s">
        <v>2072</v>
      </c>
      <c r="C851" t="s">
        <v>1115</v>
      </c>
      <c r="D851" t="s">
        <v>1119</v>
      </c>
      <c r="E851" t="s">
        <v>1120</v>
      </c>
      <c r="F851" t="s">
        <v>1121</v>
      </c>
      <c r="G851">
        <v>3</v>
      </c>
      <c r="H851">
        <v>2</v>
      </c>
      <c r="I851" s="11">
        <v>46259</v>
      </c>
      <c r="J851" s="17">
        <f>IF(Items[[#This Row],[ID]]="","",IFERROR(VALUE(LOOKUP(2,1/((Log[ID]=Items[[#This Row],[ID]])*(Log[Verb]="est")),Log[Arg])),N(Items[[#This Row],[Points]])))</f>
      </c>
      <c r="K851" s="17">
        <f>IF(Items[[#This Row],[ID]]="","",IFERROR(LOOKUP(2,1/((Log[ID]=Items[[#This Row],[ID]])*(Log[Verb]="pass")),Log[Arg])&amp;"",Items[[#This Row],[Team]]&amp;""))</f>
      </c>
      <c r="L851" s="17">
        <f>IF(Items[[#This Row],[ID]]="","",IFERROR(LOOKUP(2,1/((Log[ID]=Items[[#This Row],[ID]])*(Log[Into]&lt;&gt;"")),Log[Into]),""))</f>
      </c>
      <c r="M851" s="17">
        <f>IF(Items[[#This Row],[ID]]="","",IF(IFERROR(LOOKUP(2,1/((Log[ID]=Items[[#This Row],[ID]])*(Log[Blk]&lt;&gt;"")),Log[Blk]),0)=1,"Y",""))</f>
      </c>
      <c r="N851" s="17">
        <f>IF(Items[[#This Row],[ID]]="","",SUBSTITUTE(IFERROR(LOOKUP(2,1/((Log[ID]=Items[[#This Row],[ID]])*(Log[State]&lt;&gt;"")),Log[State]),"TODO"),"OPEN",IF(Items[[#This Row],[Blocked]]="Y","WAIT","OPEN")))</f>
      </c>
      <c r="O85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51" s="17">
        <f>IF(Items[[#This Row],[State]]&lt;&gt;"WAIT","",AsOf-Items[[#This Row],[Blocked since]])</f>
      </c>
      <c r="Q851" s="17">
        <f>IF(Items[[#This Row],[State]]&lt;&gt;"WAIT","",IFERROR(LOOKUP(2,1/((Log[ID]=Items[[#This Row],[ID]])*(Log[Verb]="block")),Log[Note])&amp;"",""))</f>
      </c>
      <c r="R851" s="17">
        <f>IF(Items[[#This Row],[ID]]="","",COUNTIFS(Log[ID],Items[[#This Row],[ID]],Log[Verb],"carry"))</f>
      </c>
      <c r="S851" s="17">
        <f>IF(Items[[#This Row],[ID]]="","",COUNTIFS(Log[ID],Items[[#This Row],[ID]],Log[Verb],"punt"))</f>
      </c>
      <c r="T851" s="11">
        <f>IF(Items[[#This Row],[State]]&lt;&gt;"DONE","",IFERROR(LOOKUP(2,1/((Log[ID]=Items[[#This Row],[ID]])*(Log[Verb]="done")),Log[Date]),""))</f>
      </c>
      <c r="U851" s="17">
        <f>IF(Items[[#This Row],[ID]]="","",IF(AND(Items[[#This Row],[Sprint]]=CurSprint,OR(Items[[#This Row],[State]]="OPEN",Items[[#This Row],[State]]="WAIT",Items[[#This Row],[State]]="HOLD",Items[[#This Row],[State]]="DONE")),1,0))</f>
      </c>
      <c r="V851" s="17">
        <f>IF(OR(Items[[#This Row],[ID]]="",Items[[#This Row],[Added]]=""),"",AsOf-Items[[#This Row],[Added]])</f>
      </c>
      <c r="W851" s="17">
        <f>IF(Items[[#This Row],[In sprint]]=1,(IF(Items[[#This Row],[Prio]]="",9,N(Items[[#This Row],[Prio]]))*10+(IF(Items[[#This Row],[State]]="DONE",1,0)))*100000+ROW(),"")</f>
      </c>
      <c r="X85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51" s="17">
        <f>IF(AND(Items[[#This Row],[State]]="DONE",N(Items[[#This Row],[Done on]])&gt;AsOf-7),(200000-N(Items[[#This Row],[Done on]]))*100000+ROW(),"")</f>
      </c>
    </row>
    <row r="852">
      <c r="A852" t="s">
        <v>1026</v>
      </c>
      <c r="B852" t="s">
        <v>2073</v>
      </c>
      <c r="C852" t="s">
        <v>1115</v>
      </c>
      <c r="D852" t="s">
        <v>1116</v>
      </c>
      <c r="E852" t="s">
        <v>1120</v>
      </c>
      <c r="F852" t="s">
        <v>1121</v>
      </c>
      <c r="G852">
        <v>5</v>
      </c>
      <c r="H852">
        <v>2</v>
      </c>
      <c r="I852" s="11">
        <v>46259</v>
      </c>
      <c r="J852" s="17">
        <f>IF(Items[[#This Row],[ID]]="","",IFERROR(VALUE(LOOKUP(2,1/((Log[ID]=Items[[#This Row],[ID]])*(Log[Verb]="est")),Log[Arg])),N(Items[[#This Row],[Points]])))</f>
      </c>
      <c r="K852" s="17">
        <f>IF(Items[[#This Row],[ID]]="","",IFERROR(LOOKUP(2,1/((Log[ID]=Items[[#This Row],[ID]])*(Log[Verb]="pass")),Log[Arg])&amp;"",Items[[#This Row],[Team]]&amp;""))</f>
      </c>
      <c r="L852" s="17">
        <f>IF(Items[[#This Row],[ID]]="","",IFERROR(LOOKUP(2,1/((Log[ID]=Items[[#This Row],[ID]])*(Log[Into]&lt;&gt;"")),Log[Into]),""))</f>
      </c>
      <c r="M852" s="17">
        <f>IF(Items[[#This Row],[ID]]="","",IF(IFERROR(LOOKUP(2,1/((Log[ID]=Items[[#This Row],[ID]])*(Log[Blk]&lt;&gt;"")),Log[Blk]),0)=1,"Y",""))</f>
      </c>
      <c r="N852" s="17">
        <f>IF(Items[[#This Row],[ID]]="","",SUBSTITUTE(IFERROR(LOOKUP(2,1/((Log[ID]=Items[[#This Row],[ID]])*(Log[State]&lt;&gt;"")),Log[State]),"TODO"),"OPEN",IF(Items[[#This Row],[Blocked]]="Y","WAIT","OPEN")))</f>
      </c>
      <c r="O85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52" s="17">
        <f>IF(Items[[#This Row],[State]]&lt;&gt;"WAIT","",AsOf-Items[[#This Row],[Blocked since]])</f>
      </c>
      <c r="Q852" s="17">
        <f>IF(Items[[#This Row],[State]]&lt;&gt;"WAIT","",IFERROR(LOOKUP(2,1/((Log[ID]=Items[[#This Row],[ID]])*(Log[Verb]="block")),Log[Note])&amp;"",""))</f>
      </c>
      <c r="R852" s="17">
        <f>IF(Items[[#This Row],[ID]]="","",COUNTIFS(Log[ID],Items[[#This Row],[ID]],Log[Verb],"carry"))</f>
      </c>
      <c r="S852" s="17">
        <f>IF(Items[[#This Row],[ID]]="","",COUNTIFS(Log[ID],Items[[#This Row],[ID]],Log[Verb],"punt"))</f>
      </c>
      <c r="T852" s="11">
        <f>IF(Items[[#This Row],[State]]&lt;&gt;"DONE","",IFERROR(LOOKUP(2,1/((Log[ID]=Items[[#This Row],[ID]])*(Log[Verb]="done")),Log[Date]),""))</f>
      </c>
      <c r="U852" s="17">
        <f>IF(Items[[#This Row],[ID]]="","",IF(AND(Items[[#This Row],[Sprint]]=CurSprint,OR(Items[[#This Row],[State]]="OPEN",Items[[#This Row],[State]]="WAIT",Items[[#This Row],[State]]="HOLD",Items[[#This Row],[State]]="DONE")),1,0))</f>
      </c>
      <c r="V852" s="17">
        <f>IF(OR(Items[[#This Row],[ID]]="",Items[[#This Row],[Added]]=""),"",AsOf-Items[[#This Row],[Added]])</f>
      </c>
      <c r="W852" s="17">
        <f>IF(Items[[#This Row],[In sprint]]=1,(IF(Items[[#This Row],[Prio]]="",9,N(Items[[#This Row],[Prio]]))*10+(IF(Items[[#This Row],[State]]="DONE",1,0)))*100000+ROW(),"")</f>
      </c>
      <c r="X85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52" s="17">
        <f>IF(AND(Items[[#This Row],[State]]="DONE",N(Items[[#This Row],[Done on]])&gt;AsOf-7),(200000-N(Items[[#This Row],[Done on]]))*100000+ROW(),"")</f>
      </c>
    </row>
    <row r="853">
      <c r="A853" t="s">
        <v>1027</v>
      </c>
      <c r="B853" t="s">
        <v>2074</v>
      </c>
      <c r="C853" t="s">
        <v>1107</v>
      </c>
      <c r="D853" t="s">
        <v>1108</v>
      </c>
      <c r="E853" t="s">
        <v>1120</v>
      </c>
      <c r="F853" t="s">
        <v>1121</v>
      </c>
      <c r="G853">
        <v>2</v>
      </c>
      <c r="H853">
        <v>1</v>
      </c>
      <c r="I853" s="11">
        <v>46259</v>
      </c>
      <c r="J853" s="17">
        <f>IF(Items[[#This Row],[ID]]="","",IFERROR(VALUE(LOOKUP(2,1/((Log[ID]=Items[[#This Row],[ID]])*(Log[Verb]="est")),Log[Arg])),N(Items[[#This Row],[Points]])))</f>
      </c>
      <c r="K853" s="17">
        <f>IF(Items[[#This Row],[ID]]="","",IFERROR(LOOKUP(2,1/((Log[ID]=Items[[#This Row],[ID]])*(Log[Verb]="pass")),Log[Arg])&amp;"",Items[[#This Row],[Team]]&amp;""))</f>
      </c>
      <c r="L853" s="17">
        <f>IF(Items[[#This Row],[ID]]="","",IFERROR(LOOKUP(2,1/((Log[ID]=Items[[#This Row],[ID]])*(Log[Into]&lt;&gt;"")),Log[Into]),""))</f>
      </c>
      <c r="M853" s="17">
        <f>IF(Items[[#This Row],[ID]]="","",IF(IFERROR(LOOKUP(2,1/((Log[ID]=Items[[#This Row],[ID]])*(Log[Blk]&lt;&gt;"")),Log[Blk]),0)=1,"Y",""))</f>
      </c>
      <c r="N853" s="17">
        <f>IF(Items[[#This Row],[ID]]="","",SUBSTITUTE(IFERROR(LOOKUP(2,1/((Log[ID]=Items[[#This Row],[ID]])*(Log[State]&lt;&gt;"")),Log[State]),"TODO"),"OPEN",IF(Items[[#This Row],[Blocked]]="Y","WAIT","OPEN")))</f>
      </c>
      <c r="O85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53" s="17">
        <f>IF(Items[[#This Row],[State]]&lt;&gt;"WAIT","",AsOf-Items[[#This Row],[Blocked since]])</f>
      </c>
      <c r="Q853" s="17">
        <f>IF(Items[[#This Row],[State]]&lt;&gt;"WAIT","",IFERROR(LOOKUP(2,1/((Log[ID]=Items[[#This Row],[ID]])*(Log[Verb]="block")),Log[Note])&amp;"",""))</f>
      </c>
      <c r="R853" s="17">
        <f>IF(Items[[#This Row],[ID]]="","",COUNTIFS(Log[ID],Items[[#This Row],[ID]],Log[Verb],"carry"))</f>
      </c>
      <c r="S853" s="17">
        <f>IF(Items[[#This Row],[ID]]="","",COUNTIFS(Log[ID],Items[[#This Row],[ID]],Log[Verb],"punt"))</f>
      </c>
      <c r="T853" s="11">
        <f>IF(Items[[#This Row],[State]]&lt;&gt;"DONE","",IFERROR(LOOKUP(2,1/((Log[ID]=Items[[#This Row],[ID]])*(Log[Verb]="done")),Log[Date]),""))</f>
      </c>
      <c r="U853" s="17">
        <f>IF(Items[[#This Row],[ID]]="","",IF(AND(Items[[#This Row],[Sprint]]=CurSprint,OR(Items[[#This Row],[State]]="OPEN",Items[[#This Row],[State]]="WAIT",Items[[#This Row],[State]]="HOLD",Items[[#This Row],[State]]="DONE")),1,0))</f>
      </c>
      <c r="V853" s="17">
        <f>IF(OR(Items[[#This Row],[ID]]="",Items[[#This Row],[Added]]=""),"",AsOf-Items[[#This Row],[Added]])</f>
      </c>
      <c r="W853" s="17">
        <f>IF(Items[[#This Row],[In sprint]]=1,(IF(Items[[#This Row],[Prio]]="",9,N(Items[[#This Row],[Prio]]))*10+(IF(Items[[#This Row],[State]]="DONE",1,0)))*100000+ROW(),"")</f>
      </c>
      <c r="X85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53" s="17">
        <f>IF(AND(Items[[#This Row],[State]]="DONE",N(Items[[#This Row],[Done on]])&gt;AsOf-7),(200000-N(Items[[#This Row],[Done on]]))*100000+ROW(),"")</f>
      </c>
    </row>
    <row r="854">
      <c r="A854" t="s">
        <v>1028</v>
      </c>
      <c r="B854" t="s">
        <v>2075</v>
      </c>
      <c r="C854" t="s">
        <v>1107</v>
      </c>
      <c r="D854" t="s">
        <v>1108</v>
      </c>
      <c r="E854" t="s">
        <v>1120</v>
      </c>
      <c r="F854" t="s">
        <v>1339</v>
      </c>
      <c r="G854">
        <v>2</v>
      </c>
      <c r="H854">
        <v>3</v>
      </c>
      <c r="I854" s="11">
        <v>46259</v>
      </c>
      <c r="J854" s="17">
        <f>IF(Items[[#This Row],[ID]]="","",IFERROR(VALUE(LOOKUP(2,1/((Log[ID]=Items[[#This Row],[ID]])*(Log[Verb]="est")),Log[Arg])),N(Items[[#This Row],[Points]])))</f>
      </c>
      <c r="K854" s="17">
        <f>IF(Items[[#This Row],[ID]]="","",IFERROR(LOOKUP(2,1/((Log[ID]=Items[[#This Row],[ID]])*(Log[Verb]="pass")),Log[Arg])&amp;"",Items[[#This Row],[Team]]&amp;""))</f>
      </c>
      <c r="L854" s="17">
        <f>IF(Items[[#This Row],[ID]]="","",IFERROR(LOOKUP(2,1/((Log[ID]=Items[[#This Row],[ID]])*(Log[Into]&lt;&gt;"")),Log[Into]),""))</f>
      </c>
      <c r="M854" s="17">
        <f>IF(Items[[#This Row],[ID]]="","",IF(IFERROR(LOOKUP(2,1/((Log[ID]=Items[[#This Row],[ID]])*(Log[Blk]&lt;&gt;"")),Log[Blk]),0)=1,"Y",""))</f>
      </c>
      <c r="N854" s="17">
        <f>IF(Items[[#This Row],[ID]]="","",SUBSTITUTE(IFERROR(LOOKUP(2,1/((Log[ID]=Items[[#This Row],[ID]])*(Log[State]&lt;&gt;"")),Log[State]),"TODO"),"OPEN",IF(Items[[#This Row],[Blocked]]="Y","WAIT","OPEN")))</f>
      </c>
      <c r="O85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54" s="17">
        <f>IF(Items[[#This Row],[State]]&lt;&gt;"WAIT","",AsOf-Items[[#This Row],[Blocked since]])</f>
      </c>
      <c r="Q854" s="17">
        <f>IF(Items[[#This Row],[State]]&lt;&gt;"WAIT","",IFERROR(LOOKUP(2,1/((Log[ID]=Items[[#This Row],[ID]])*(Log[Verb]="block")),Log[Note])&amp;"",""))</f>
      </c>
      <c r="R854" s="17">
        <f>IF(Items[[#This Row],[ID]]="","",COUNTIFS(Log[ID],Items[[#This Row],[ID]],Log[Verb],"carry"))</f>
      </c>
      <c r="S854" s="17">
        <f>IF(Items[[#This Row],[ID]]="","",COUNTIFS(Log[ID],Items[[#This Row],[ID]],Log[Verb],"punt"))</f>
      </c>
      <c r="T854" s="11">
        <f>IF(Items[[#This Row],[State]]&lt;&gt;"DONE","",IFERROR(LOOKUP(2,1/((Log[ID]=Items[[#This Row],[ID]])*(Log[Verb]="done")),Log[Date]),""))</f>
      </c>
      <c r="U854" s="17">
        <f>IF(Items[[#This Row],[ID]]="","",IF(AND(Items[[#This Row],[Sprint]]=CurSprint,OR(Items[[#This Row],[State]]="OPEN",Items[[#This Row],[State]]="WAIT",Items[[#This Row],[State]]="HOLD",Items[[#This Row],[State]]="DONE")),1,0))</f>
      </c>
      <c r="V854" s="17">
        <f>IF(OR(Items[[#This Row],[ID]]="",Items[[#This Row],[Added]]=""),"",AsOf-Items[[#This Row],[Added]])</f>
      </c>
      <c r="W854" s="17">
        <f>IF(Items[[#This Row],[In sprint]]=1,(IF(Items[[#This Row],[Prio]]="",9,N(Items[[#This Row],[Prio]]))*10+(IF(Items[[#This Row],[State]]="DONE",1,0)))*100000+ROW(),"")</f>
      </c>
      <c r="X85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54" s="17">
        <f>IF(AND(Items[[#This Row],[State]]="DONE",N(Items[[#This Row],[Done on]])&gt;AsOf-7),(200000-N(Items[[#This Row],[Done on]]))*100000+ROW(),"")</f>
      </c>
    </row>
    <row r="855">
      <c r="A855" t="s">
        <v>1029</v>
      </c>
      <c r="B855" t="s">
        <v>2076</v>
      </c>
      <c r="C855" t="s">
        <v>1115</v>
      </c>
      <c r="D855" t="s">
        <v>1119</v>
      </c>
      <c r="E855" t="s">
        <v>1120</v>
      </c>
      <c r="F855" t="s">
        <v>1193</v>
      </c>
      <c r="G855">
        <v>5</v>
      </c>
      <c r="H855">
        <v>1</v>
      </c>
      <c r="I855" s="11">
        <v>46259</v>
      </c>
      <c r="J855" s="17">
        <f>IF(Items[[#This Row],[ID]]="","",IFERROR(VALUE(LOOKUP(2,1/((Log[ID]=Items[[#This Row],[ID]])*(Log[Verb]="est")),Log[Arg])),N(Items[[#This Row],[Points]])))</f>
      </c>
      <c r="K855" s="17">
        <f>IF(Items[[#This Row],[ID]]="","",IFERROR(LOOKUP(2,1/((Log[ID]=Items[[#This Row],[ID]])*(Log[Verb]="pass")),Log[Arg])&amp;"",Items[[#This Row],[Team]]&amp;""))</f>
      </c>
      <c r="L855" s="17">
        <f>IF(Items[[#This Row],[ID]]="","",IFERROR(LOOKUP(2,1/((Log[ID]=Items[[#This Row],[ID]])*(Log[Into]&lt;&gt;"")),Log[Into]),""))</f>
      </c>
      <c r="M855" s="17">
        <f>IF(Items[[#This Row],[ID]]="","",IF(IFERROR(LOOKUP(2,1/((Log[ID]=Items[[#This Row],[ID]])*(Log[Blk]&lt;&gt;"")),Log[Blk]),0)=1,"Y",""))</f>
      </c>
      <c r="N855" s="17">
        <f>IF(Items[[#This Row],[ID]]="","",SUBSTITUTE(IFERROR(LOOKUP(2,1/((Log[ID]=Items[[#This Row],[ID]])*(Log[State]&lt;&gt;"")),Log[State]),"TODO"),"OPEN",IF(Items[[#This Row],[Blocked]]="Y","WAIT","OPEN")))</f>
      </c>
      <c r="O85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55" s="17">
        <f>IF(Items[[#This Row],[State]]&lt;&gt;"WAIT","",AsOf-Items[[#This Row],[Blocked since]])</f>
      </c>
      <c r="Q855" s="17">
        <f>IF(Items[[#This Row],[State]]&lt;&gt;"WAIT","",IFERROR(LOOKUP(2,1/((Log[ID]=Items[[#This Row],[ID]])*(Log[Verb]="block")),Log[Note])&amp;"",""))</f>
      </c>
      <c r="R855" s="17">
        <f>IF(Items[[#This Row],[ID]]="","",COUNTIFS(Log[ID],Items[[#This Row],[ID]],Log[Verb],"carry"))</f>
      </c>
      <c r="S855" s="17">
        <f>IF(Items[[#This Row],[ID]]="","",COUNTIFS(Log[ID],Items[[#This Row],[ID]],Log[Verb],"punt"))</f>
      </c>
      <c r="T855" s="11">
        <f>IF(Items[[#This Row],[State]]&lt;&gt;"DONE","",IFERROR(LOOKUP(2,1/((Log[ID]=Items[[#This Row],[ID]])*(Log[Verb]="done")),Log[Date]),""))</f>
      </c>
      <c r="U855" s="17">
        <f>IF(Items[[#This Row],[ID]]="","",IF(AND(Items[[#This Row],[Sprint]]=CurSprint,OR(Items[[#This Row],[State]]="OPEN",Items[[#This Row],[State]]="WAIT",Items[[#This Row],[State]]="HOLD",Items[[#This Row],[State]]="DONE")),1,0))</f>
      </c>
      <c r="V855" s="17">
        <f>IF(OR(Items[[#This Row],[ID]]="",Items[[#This Row],[Added]]=""),"",AsOf-Items[[#This Row],[Added]])</f>
      </c>
      <c r="W855" s="17">
        <f>IF(Items[[#This Row],[In sprint]]=1,(IF(Items[[#This Row],[Prio]]="",9,N(Items[[#This Row],[Prio]]))*10+(IF(Items[[#This Row],[State]]="DONE",1,0)))*100000+ROW(),"")</f>
      </c>
      <c r="X85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55" s="17">
        <f>IF(AND(Items[[#This Row],[State]]="DONE",N(Items[[#This Row],[Done on]])&gt;AsOf-7),(200000-N(Items[[#This Row],[Done on]]))*100000+ROW(),"")</f>
      </c>
    </row>
    <row r="856">
      <c r="A856" t="s">
        <v>1030</v>
      </c>
      <c r="B856" t="s">
        <v>2077</v>
      </c>
      <c r="C856" t="s">
        <v>1107</v>
      </c>
      <c r="D856" t="s">
        <v>1108</v>
      </c>
      <c r="E856" t="s">
        <v>1120</v>
      </c>
      <c r="F856" t="s">
        <v>1153</v>
      </c>
      <c r="G856">
        <v>8</v>
      </c>
      <c r="H856">
        <v>3</v>
      </c>
      <c r="I856" s="11">
        <v>46259</v>
      </c>
      <c r="J856" s="17">
        <f>IF(Items[[#This Row],[ID]]="","",IFERROR(VALUE(LOOKUP(2,1/((Log[ID]=Items[[#This Row],[ID]])*(Log[Verb]="est")),Log[Arg])),N(Items[[#This Row],[Points]])))</f>
      </c>
      <c r="K856" s="17">
        <f>IF(Items[[#This Row],[ID]]="","",IFERROR(LOOKUP(2,1/((Log[ID]=Items[[#This Row],[ID]])*(Log[Verb]="pass")),Log[Arg])&amp;"",Items[[#This Row],[Team]]&amp;""))</f>
      </c>
      <c r="L856" s="17">
        <f>IF(Items[[#This Row],[ID]]="","",IFERROR(LOOKUP(2,1/((Log[ID]=Items[[#This Row],[ID]])*(Log[Into]&lt;&gt;"")),Log[Into]),""))</f>
      </c>
      <c r="M856" s="17">
        <f>IF(Items[[#This Row],[ID]]="","",IF(IFERROR(LOOKUP(2,1/((Log[ID]=Items[[#This Row],[ID]])*(Log[Blk]&lt;&gt;"")),Log[Blk]),0)=1,"Y",""))</f>
      </c>
      <c r="N856" s="17">
        <f>IF(Items[[#This Row],[ID]]="","",SUBSTITUTE(IFERROR(LOOKUP(2,1/((Log[ID]=Items[[#This Row],[ID]])*(Log[State]&lt;&gt;"")),Log[State]),"TODO"),"OPEN",IF(Items[[#This Row],[Blocked]]="Y","WAIT","OPEN")))</f>
      </c>
      <c r="O85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56" s="17">
        <f>IF(Items[[#This Row],[State]]&lt;&gt;"WAIT","",AsOf-Items[[#This Row],[Blocked since]])</f>
      </c>
      <c r="Q856" s="17">
        <f>IF(Items[[#This Row],[State]]&lt;&gt;"WAIT","",IFERROR(LOOKUP(2,1/((Log[ID]=Items[[#This Row],[ID]])*(Log[Verb]="block")),Log[Note])&amp;"",""))</f>
      </c>
      <c r="R856" s="17">
        <f>IF(Items[[#This Row],[ID]]="","",COUNTIFS(Log[ID],Items[[#This Row],[ID]],Log[Verb],"carry"))</f>
      </c>
      <c r="S856" s="17">
        <f>IF(Items[[#This Row],[ID]]="","",COUNTIFS(Log[ID],Items[[#This Row],[ID]],Log[Verb],"punt"))</f>
      </c>
      <c r="T856" s="11">
        <f>IF(Items[[#This Row],[State]]&lt;&gt;"DONE","",IFERROR(LOOKUP(2,1/((Log[ID]=Items[[#This Row],[ID]])*(Log[Verb]="done")),Log[Date]),""))</f>
      </c>
      <c r="U856" s="17">
        <f>IF(Items[[#This Row],[ID]]="","",IF(AND(Items[[#This Row],[Sprint]]=CurSprint,OR(Items[[#This Row],[State]]="OPEN",Items[[#This Row],[State]]="WAIT",Items[[#This Row],[State]]="HOLD",Items[[#This Row],[State]]="DONE")),1,0))</f>
      </c>
      <c r="V856" s="17">
        <f>IF(OR(Items[[#This Row],[ID]]="",Items[[#This Row],[Added]]=""),"",AsOf-Items[[#This Row],[Added]])</f>
      </c>
      <c r="W856" s="17">
        <f>IF(Items[[#This Row],[In sprint]]=1,(IF(Items[[#This Row],[Prio]]="",9,N(Items[[#This Row],[Prio]]))*10+(IF(Items[[#This Row],[State]]="DONE",1,0)))*100000+ROW(),"")</f>
      </c>
      <c r="X85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56" s="17">
        <f>IF(AND(Items[[#This Row],[State]]="DONE",N(Items[[#This Row],[Done on]])&gt;AsOf-7),(200000-N(Items[[#This Row],[Done on]]))*100000+ROW(),"")</f>
      </c>
    </row>
    <row r="857">
      <c r="A857" t="s">
        <v>2078</v>
      </c>
      <c r="B857" t="s">
        <v>2079</v>
      </c>
      <c r="C857" t="s">
        <v>1107</v>
      </c>
      <c r="D857" t="s">
        <v>1108</v>
      </c>
      <c r="E857" t="s">
        <v>1120</v>
      </c>
      <c r="F857" t="s">
        <v>1421</v>
      </c>
      <c r="G857">
        <v>8</v>
      </c>
      <c r="H857">
        <v>2</v>
      </c>
      <c r="I857" s="11">
        <v>46259</v>
      </c>
      <c r="J857" s="17">
        <f>IF(Items[[#This Row],[ID]]="","",IFERROR(VALUE(LOOKUP(2,1/((Log[ID]=Items[[#This Row],[ID]])*(Log[Verb]="est")),Log[Arg])),N(Items[[#This Row],[Points]])))</f>
      </c>
      <c r="K857" s="17">
        <f>IF(Items[[#This Row],[ID]]="","",IFERROR(LOOKUP(2,1/((Log[ID]=Items[[#This Row],[ID]])*(Log[Verb]="pass")),Log[Arg])&amp;"",Items[[#This Row],[Team]]&amp;""))</f>
      </c>
      <c r="L857" s="17">
        <f>IF(Items[[#This Row],[ID]]="","",IFERROR(LOOKUP(2,1/((Log[ID]=Items[[#This Row],[ID]])*(Log[Into]&lt;&gt;"")),Log[Into]),""))</f>
      </c>
      <c r="M857" s="17">
        <f>IF(Items[[#This Row],[ID]]="","",IF(IFERROR(LOOKUP(2,1/((Log[ID]=Items[[#This Row],[ID]])*(Log[Blk]&lt;&gt;"")),Log[Blk]),0)=1,"Y",""))</f>
      </c>
      <c r="N857" s="17">
        <f>IF(Items[[#This Row],[ID]]="","",SUBSTITUTE(IFERROR(LOOKUP(2,1/((Log[ID]=Items[[#This Row],[ID]])*(Log[State]&lt;&gt;"")),Log[State]),"TODO"),"OPEN",IF(Items[[#This Row],[Blocked]]="Y","WAIT","OPEN")))</f>
      </c>
      <c r="O85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57" s="17">
        <f>IF(Items[[#This Row],[State]]&lt;&gt;"WAIT","",AsOf-Items[[#This Row],[Blocked since]])</f>
      </c>
      <c r="Q857" s="17">
        <f>IF(Items[[#This Row],[State]]&lt;&gt;"WAIT","",IFERROR(LOOKUP(2,1/((Log[ID]=Items[[#This Row],[ID]])*(Log[Verb]="block")),Log[Note])&amp;"",""))</f>
      </c>
      <c r="R857" s="17">
        <f>IF(Items[[#This Row],[ID]]="","",COUNTIFS(Log[ID],Items[[#This Row],[ID]],Log[Verb],"carry"))</f>
      </c>
      <c r="S857" s="17">
        <f>IF(Items[[#This Row],[ID]]="","",COUNTIFS(Log[ID],Items[[#This Row],[ID]],Log[Verb],"punt"))</f>
      </c>
      <c r="T857" s="11">
        <f>IF(Items[[#This Row],[State]]&lt;&gt;"DONE","",IFERROR(LOOKUP(2,1/((Log[ID]=Items[[#This Row],[ID]])*(Log[Verb]="done")),Log[Date]),""))</f>
      </c>
      <c r="U857" s="17">
        <f>IF(Items[[#This Row],[ID]]="","",IF(AND(Items[[#This Row],[Sprint]]=CurSprint,OR(Items[[#This Row],[State]]="OPEN",Items[[#This Row],[State]]="WAIT",Items[[#This Row],[State]]="HOLD",Items[[#This Row],[State]]="DONE")),1,0))</f>
      </c>
      <c r="V857" s="17">
        <f>IF(OR(Items[[#This Row],[ID]]="",Items[[#This Row],[Added]]=""),"",AsOf-Items[[#This Row],[Added]])</f>
      </c>
      <c r="W857" s="17">
        <f>IF(Items[[#This Row],[In sprint]]=1,(IF(Items[[#This Row],[Prio]]="",9,N(Items[[#This Row],[Prio]]))*10+(IF(Items[[#This Row],[State]]="DONE",1,0)))*100000+ROW(),"")</f>
      </c>
      <c r="X85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57" s="17">
        <f>IF(AND(Items[[#This Row],[State]]="DONE",N(Items[[#This Row],[Done on]])&gt;AsOf-7),(200000-N(Items[[#This Row],[Done on]]))*100000+ROW(),"")</f>
      </c>
    </row>
    <row r="858">
      <c r="A858" t="s">
        <v>1032</v>
      </c>
      <c r="B858" t="s">
        <v>2080</v>
      </c>
      <c r="C858" t="s">
        <v>1107</v>
      </c>
      <c r="D858" t="s">
        <v>1108</v>
      </c>
      <c r="E858" t="s">
        <v>1124</v>
      </c>
      <c r="F858" t="s">
        <v>1200</v>
      </c>
      <c r="G858">
        <v>2</v>
      </c>
      <c r="H858">
        <v>1</v>
      </c>
      <c r="I858" s="11">
        <v>46259</v>
      </c>
      <c r="J858" s="17">
        <f>IF(Items[[#This Row],[ID]]="","",IFERROR(VALUE(LOOKUP(2,1/((Log[ID]=Items[[#This Row],[ID]])*(Log[Verb]="est")),Log[Arg])),N(Items[[#This Row],[Points]])))</f>
      </c>
      <c r="K858" s="17">
        <f>IF(Items[[#This Row],[ID]]="","",IFERROR(LOOKUP(2,1/((Log[ID]=Items[[#This Row],[ID]])*(Log[Verb]="pass")),Log[Arg])&amp;"",Items[[#This Row],[Team]]&amp;""))</f>
      </c>
      <c r="L858" s="17">
        <f>IF(Items[[#This Row],[ID]]="","",IFERROR(LOOKUP(2,1/((Log[ID]=Items[[#This Row],[ID]])*(Log[Into]&lt;&gt;"")),Log[Into]),""))</f>
      </c>
      <c r="M858" s="17">
        <f>IF(Items[[#This Row],[ID]]="","",IF(IFERROR(LOOKUP(2,1/((Log[ID]=Items[[#This Row],[ID]])*(Log[Blk]&lt;&gt;"")),Log[Blk]),0)=1,"Y",""))</f>
      </c>
      <c r="N858" s="17">
        <f>IF(Items[[#This Row],[ID]]="","",SUBSTITUTE(IFERROR(LOOKUP(2,1/((Log[ID]=Items[[#This Row],[ID]])*(Log[State]&lt;&gt;"")),Log[State]),"TODO"),"OPEN",IF(Items[[#This Row],[Blocked]]="Y","WAIT","OPEN")))</f>
      </c>
      <c r="O85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58" s="17">
        <f>IF(Items[[#This Row],[State]]&lt;&gt;"WAIT","",AsOf-Items[[#This Row],[Blocked since]])</f>
      </c>
      <c r="Q858" s="17">
        <f>IF(Items[[#This Row],[State]]&lt;&gt;"WAIT","",IFERROR(LOOKUP(2,1/((Log[ID]=Items[[#This Row],[ID]])*(Log[Verb]="block")),Log[Note])&amp;"",""))</f>
      </c>
      <c r="R858" s="17">
        <f>IF(Items[[#This Row],[ID]]="","",COUNTIFS(Log[ID],Items[[#This Row],[ID]],Log[Verb],"carry"))</f>
      </c>
      <c r="S858" s="17">
        <f>IF(Items[[#This Row],[ID]]="","",COUNTIFS(Log[ID],Items[[#This Row],[ID]],Log[Verb],"punt"))</f>
      </c>
      <c r="T858" s="11">
        <f>IF(Items[[#This Row],[State]]&lt;&gt;"DONE","",IFERROR(LOOKUP(2,1/((Log[ID]=Items[[#This Row],[ID]])*(Log[Verb]="done")),Log[Date]),""))</f>
      </c>
      <c r="U858" s="17">
        <f>IF(Items[[#This Row],[ID]]="","",IF(AND(Items[[#This Row],[Sprint]]=CurSprint,OR(Items[[#This Row],[State]]="OPEN",Items[[#This Row],[State]]="WAIT",Items[[#This Row],[State]]="HOLD",Items[[#This Row],[State]]="DONE")),1,0))</f>
      </c>
      <c r="V858" s="17">
        <f>IF(OR(Items[[#This Row],[ID]]="",Items[[#This Row],[Added]]=""),"",AsOf-Items[[#This Row],[Added]])</f>
      </c>
      <c r="W858" s="17">
        <f>IF(Items[[#This Row],[In sprint]]=1,(IF(Items[[#This Row],[Prio]]="",9,N(Items[[#This Row],[Prio]]))*10+(IF(Items[[#This Row],[State]]="DONE",1,0)))*100000+ROW(),"")</f>
      </c>
      <c r="X85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58" s="17">
        <f>IF(AND(Items[[#This Row],[State]]="DONE",N(Items[[#This Row],[Done on]])&gt;AsOf-7),(200000-N(Items[[#This Row],[Done on]]))*100000+ROW(),"")</f>
      </c>
    </row>
    <row r="859">
      <c r="A859" t="s">
        <v>1033</v>
      </c>
      <c r="B859" t="s">
        <v>2081</v>
      </c>
      <c r="C859" t="s">
        <v>1115</v>
      </c>
      <c r="D859" t="s">
        <v>1116</v>
      </c>
      <c r="E859" t="s">
        <v>1124</v>
      </c>
      <c r="F859" t="s">
        <v>1155</v>
      </c>
      <c r="G859">
        <v>2</v>
      </c>
      <c r="H859">
        <v>2</v>
      </c>
      <c r="I859" s="11">
        <v>46259</v>
      </c>
      <c r="J859" s="17">
        <f>IF(Items[[#This Row],[ID]]="","",IFERROR(VALUE(LOOKUP(2,1/((Log[ID]=Items[[#This Row],[ID]])*(Log[Verb]="est")),Log[Arg])),N(Items[[#This Row],[Points]])))</f>
      </c>
      <c r="K859" s="17">
        <f>IF(Items[[#This Row],[ID]]="","",IFERROR(LOOKUP(2,1/((Log[ID]=Items[[#This Row],[ID]])*(Log[Verb]="pass")),Log[Arg])&amp;"",Items[[#This Row],[Team]]&amp;""))</f>
      </c>
      <c r="L859" s="17">
        <f>IF(Items[[#This Row],[ID]]="","",IFERROR(LOOKUP(2,1/((Log[ID]=Items[[#This Row],[ID]])*(Log[Into]&lt;&gt;"")),Log[Into]),""))</f>
      </c>
      <c r="M859" s="17">
        <f>IF(Items[[#This Row],[ID]]="","",IF(IFERROR(LOOKUP(2,1/((Log[ID]=Items[[#This Row],[ID]])*(Log[Blk]&lt;&gt;"")),Log[Blk]),0)=1,"Y",""))</f>
      </c>
      <c r="N859" s="17">
        <f>IF(Items[[#This Row],[ID]]="","",SUBSTITUTE(IFERROR(LOOKUP(2,1/((Log[ID]=Items[[#This Row],[ID]])*(Log[State]&lt;&gt;"")),Log[State]),"TODO"),"OPEN",IF(Items[[#This Row],[Blocked]]="Y","WAIT","OPEN")))</f>
      </c>
      <c r="O85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59" s="17">
        <f>IF(Items[[#This Row],[State]]&lt;&gt;"WAIT","",AsOf-Items[[#This Row],[Blocked since]])</f>
      </c>
      <c r="Q859" s="17">
        <f>IF(Items[[#This Row],[State]]&lt;&gt;"WAIT","",IFERROR(LOOKUP(2,1/((Log[ID]=Items[[#This Row],[ID]])*(Log[Verb]="block")),Log[Note])&amp;"",""))</f>
      </c>
      <c r="R859" s="17">
        <f>IF(Items[[#This Row],[ID]]="","",COUNTIFS(Log[ID],Items[[#This Row],[ID]],Log[Verb],"carry"))</f>
      </c>
      <c r="S859" s="17">
        <f>IF(Items[[#This Row],[ID]]="","",COUNTIFS(Log[ID],Items[[#This Row],[ID]],Log[Verb],"punt"))</f>
      </c>
      <c r="T859" s="11">
        <f>IF(Items[[#This Row],[State]]&lt;&gt;"DONE","",IFERROR(LOOKUP(2,1/((Log[ID]=Items[[#This Row],[ID]])*(Log[Verb]="done")),Log[Date]),""))</f>
      </c>
      <c r="U859" s="17">
        <f>IF(Items[[#This Row],[ID]]="","",IF(AND(Items[[#This Row],[Sprint]]=CurSprint,OR(Items[[#This Row],[State]]="OPEN",Items[[#This Row],[State]]="WAIT",Items[[#This Row],[State]]="HOLD",Items[[#This Row],[State]]="DONE")),1,0))</f>
      </c>
      <c r="V859" s="17">
        <f>IF(OR(Items[[#This Row],[ID]]="",Items[[#This Row],[Added]]=""),"",AsOf-Items[[#This Row],[Added]])</f>
      </c>
      <c r="W859" s="17">
        <f>IF(Items[[#This Row],[In sprint]]=1,(IF(Items[[#This Row],[Prio]]="",9,N(Items[[#This Row],[Prio]]))*10+(IF(Items[[#This Row],[State]]="DONE",1,0)))*100000+ROW(),"")</f>
      </c>
      <c r="X85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59" s="17">
        <f>IF(AND(Items[[#This Row],[State]]="DONE",N(Items[[#This Row],[Done on]])&gt;AsOf-7),(200000-N(Items[[#This Row],[Done on]]))*100000+ROW(),"")</f>
      </c>
    </row>
    <row r="860">
      <c r="A860" t="s">
        <v>1034</v>
      </c>
      <c r="B860" t="s">
        <v>2082</v>
      </c>
      <c r="C860" t="s">
        <v>1115</v>
      </c>
      <c r="D860" t="s">
        <v>1116</v>
      </c>
      <c r="E860" t="s">
        <v>1124</v>
      </c>
      <c r="F860" t="s">
        <v>1283</v>
      </c>
      <c r="G860">
        <v>8</v>
      </c>
      <c r="H860">
        <v>2</v>
      </c>
      <c r="I860" s="11">
        <v>46259</v>
      </c>
      <c r="J860" s="17">
        <f>IF(Items[[#This Row],[ID]]="","",IFERROR(VALUE(LOOKUP(2,1/((Log[ID]=Items[[#This Row],[ID]])*(Log[Verb]="est")),Log[Arg])),N(Items[[#This Row],[Points]])))</f>
      </c>
      <c r="K860" s="17">
        <f>IF(Items[[#This Row],[ID]]="","",IFERROR(LOOKUP(2,1/((Log[ID]=Items[[#This Row],[ID]])*(Log[Verb]="pass")),Log[Arg])&amp;"",Items[[#This Row],[Team]]&amp;""))</f>
      </c>
      <c r="L860" s="17">
        <f>IF(Items[[#This Row],[ID]]="","",IFERROR(LOOKUP(2,1/((Log[ID]=Items[[#This Row],[ID]])*(Log[Into]&lt;&gt;"")),Log[Into]),""))</f>
      </c>
      <c r="M860" s="17">
        <f>IF(Items[[#This Row],[ID]]="","",IF(IFERROR(LOOKUP(2,1/((Log[ID]=Items[[#This Row],[ID]])*(Log[Blk]&lt;&gt;"")),Log[Blk]),0)=1,"Y",""))</f>
      </c>
      <c r="N860" s="17">
        <f>IF(Items[[#This Row],[ID]]="","",SUBSTITUTE(IFERROR(LOOKUP(2,1/((Log[ID]=Items[[#This Row],[ID]])*(Log[State]&lt;&gt;"")),Log[State]),"TODO"),"OPEN",IF(Items[[#This Row],[Blocked]]="Y","WAIT","OPEN")))</f>
      </c>
      <c r="O86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60" s="17">
        <f>IF(Items[[#This Row],[State]]&lt;&gt;"WAIT","",AsOf-Items[[#This Row],[Blocked since]])</f>
      </c>
      <c r="Q860" s="17">
        <f>IF(Items[[#This Row],[State]]&lt;&gt;"WAIT","",IFERROR(LOOKUP(2,1/((Log[ID]=Items[[#This Row],[ID]])*(Log[Verb]="block")),Log[Note])&amp;"",""))</f>
      </c>
      <c r="R860" s="17">
        <f>IF(Items[[#This Row],[ID]]="","",COUNTIFS(Log[ID],Items[[#This Row],[ID]],Log[Verb],"carry"))</f>
      </c>
      <c r="S860" s="17">
        <f>IF(Items[[#This Row],[ID]]="","",COUNTIFS(Log[ID],Items[[#This Row],[ID]],Log[Verb],"punt"))</f>
      </c>
      <c r="T860" s="11">
        <f>IF(Items[[#This Row],[State]]&lt;&gt;"DONE","",IFERROR(LOOKUP(2,1/((Log[ID]=Items[[#This Row],[ID]])*(Log[Verb]="done")),Log[Date]),""))</f>
      </c>
      <c r="U860" s="17">
        <f>IF(Items[[#This Row],[ID]]="","",IF(AND(Items[[#This Row],[Sprint]]=CurSprint,OR(Items[[#This Row],[State]]="OPEN",Items[[#This Row],[State]]="WAIT",Items[[#This Row],[State]]="HOLD",Items[[#This Row],[State]]="DONE")),1,0))</f>
      </c>
      <c r="V860" s="17">
        <f>IF(OR(Items[[#This Row],[ID]]="",Items[[#This Row],[Added]]=""),"",AsOf-Items[[#This Row],[Added]])</f>
      </c>
      <c r="W860" s="17">
        <f>IF(Items[[#This Row],[In sprint]]=1,(IF(Items[[#This Row],[Prio]]="",9,N(Items[[#This Row],[Prio]]))*10+(IF(Items[[#This Row],[State]]="DONE",1,0)))*100000+ROW(),"")</f>
      </c>
      <c r="X86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60" s="17">
        <f>IF(AND(Items[[#This Row],[State]]="DONE",N(Items[[#This Row],[Done on]])&gt;AsOf-7),(200000-N(Items[[#This Row],[Done on]]))*100000+ROW(),"")</f>
      </c>
    </row>
    <row r="861">
      <c r="A861" t="s">
        <v>1035</v>
      </c>
      <c r="B861" t="s">
        <v>2083</v>
      </c>
      <c r="C861" t="s">
        <v>1107</v>
      </c>
      <c r="D861" t="s">
        <v>1123</v>
      </c>
      <c r="E861" t="s">
        <v>1124</v>
      </c>
      <c r="F861" t="s">
        <v>1203</v>
      </c>
      <c r="G861">
        <v>8</v>
      </c>
      <c r="H861">
        <v>2</v>
      </c>
      <c r="I861" s="11">
        <v>46259</v>
      </c>
      <c r="J861" s="17">
        <f>IF(Items[[#This Row],[ID]]="","",IFERROR(VALUE(LOOKUP(2,1/((Log[ID]=Items[[#This Row],[ID]])*(Log[Verb]="est")),Log[Arg])),N(Items[[#This Row],[Points]])))</f>
      </c>
      <c r="K861" s="17">
        <f>IF(Items[[#This Row],[ID]]="","",IFERROR(LOOKUP(2,1/((Log[ID]=Items[[#This Row],[ID]])*(Log[Verb]="pass")),Log[Arg])&amp;"",Items[[#This Row],[Team]]&amp;""))</f>
      </c>
      <c r="L861" s="17">
        <f>IF(Items[[#This Row],[ID]]="","",IFERROR(LOOKUP(2,1/((Log[ID]=Items[[#This Row],[ID]])*(Log[Into]&lt;&gt;"")),Log[Into]),""))</f>
      </c>
      <c r="M861" s="17">
        <f>IF(Items[[#This Row],[ID]]="","",IF(IFERROR(LOOKUP(2,1/((Log[ID]=Items[[#This Row],[ID]])*(Log[Blk]&lt;&gt;"")),Log[Blk]),0)=1,"Y",""))</f>
      </c>
      <c r="N861" s="17">
        <f>IF(Items[[#This Row],[ID]]="","",SUBSTITUTE(IFERROR(LOOKUP(2,1/((Log[ID]=Items[[#This Row],[ID]])*(Log[State]&lt;&gt;"")),Log[State]),"TODO"),"OPEN",IF(Items[[#This Row],[Blocked]]="Y","WAIT","OPEN")))</f>
      </c>
      <c r="O86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61" s="17">
        <f>IF(Items[[#This Row],[State]]&lt;&gt;"WAIT","",AsOf-Items[[#This Row],[Blocked since]])</f>
      </c>
      <c r="Q861" s="17">
        <f>IF(Items[[#This Row],[State]]&lt;&gt;"WAIT","",IFERROR(LOOKUP(2,1/((Log[ID]=Items[[#This Row],[ID]])*(Log[Verb]="block")),Log[Note])&amp;"",""))</f>
      </c>
      <c r="R861" s="17">
        <f>IF(Items[[#This Row],[ID]]="","",COUNTIFS(Log[ID],Items[[#This Row],[ID]],Log[Verb],"carry"))</f>
      </c>
      <c r="S861" s="17">
        <f>IF(Items[[#This Row],[ID]]="","",COUNTIFS(Log[ID],Items[[#This Row],[ID]],Log[Verb],"punt"))</f>
      </c>
      <c r="T861" s="11">
        <f>IF(Items[[#This Row],[State]]&lt;&gt;"DONE","",IFERROR(LOOKUP(2,1/((Log[ID]=Items[[#This Row],[ID]])*(Log[Verb]="done")),Log[Date]),""))</f>
      </c>
      <c r="U861" s="17">
        <f>IF(Items[[#This Row],[ID]]="","",IF(AND(Items[[#This Row],[Sprint]]=CurSprint,OR(Items[[#This Row],[State]]="OPEN",Items[[#This Row],[State]]="WAIT",Items[[#This Row],[State]]="HOLD",Items[[#This Row],[State]]="DONE")),1,0))</f>
      </c>
      <c r="V861" s="17">
        <f>IF(OR(Items[[#This Row],[ID]]="",Items[[#This Row],[Added]]=""),"",AsOf-Items[[#This Row],[Added]])</f>
      </c>
      <c r="W861" s="17">
        <f>IF(Items[[#This Row],[In sprint]]=1,(IF(Items[[#This Row],[Prio]]="",9,N(Items[[#This Row],[Prio]]))*10+(IF(Items[[#This Row],[State]]="DONE",1,0)))*100000+ROW(),"")</f>
      </c>
      <c r="X86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61" s="17">
        <f>IF(AND(Items[[#This Row],[State]]="DONE",N(Items[[#This Row],[Done on]])&gt;AsOf-7),(200000-N(Items[[#This Row],[Done on]]))*100000+ROW(),"")</f>
      </c>
    </row>
    <row r="862">
      <c r="A862" t="s">
        <v>1036</v>
      </c>
      <c r="B862" t="s">
        <v>2084</v>
      </c>
      <c r="C862" t="s">
        <v>1107</v>
      </c>
      <c r="D862" t="s">
        <v>1123</v>
      </c>
      <c r="E862" t="s">
        <v>1124</v>
      </c>
      <c r="F862" t="s">
        <v>1344</v>
      </c>
      <c r="G862">
        <v>3</v>
      </c>
      <c r="H862">
        <v>1</v>
      </c>
      <c r="I862" s="11">
        <v>46259</v>
      </c>
      <c r="J862" s="17">
        <f>IF(Items[[#This Row],[ID]]="","",IFERROR(VALUE(LOOKUP(2,1/((Log[ID]=Items[[#This Row],[ID]])*(Log[Verb]="est")),Log[Arg])),N(Items[[#This Row],[Points]])))</f>
      </c>
      <c r="K862" s="17">
        <f>IF(Items[[#This Row],[ID]]="","",IFERROR(LOOKUP(2,1/((Log[ID]=Items[[#This Row],[ID]])*(Log[Verb]="pass")),Log[Arg])&amp;"",Items[[#This Row],[Team]]&amp;""))</f>
      </c>
      <c r="L862" s="17">
        <f>IF(Items[[#This Row],[ID]]="","",IFERROR(LOOKUP(2,1/((Log[ID]=Items[[#This Row],[ID]])*(Log[Into]&lt;&gt;"")),Log[Into]),""))</f>
      </c>
      <c r="M862" s="17">
        <f>IF(Items[[#This Row],[ID]]="","",IF(IFERROR(LOOKUP(2,1/((Log[ID]=Items[[#This Row],[ID]])*(Log[Blk]&lt;&gt;"")),Log[Blk]),0)=1,"Y",""))</f>
      </c>
      <c r="N862" s="17">
        <f>IF(Items[[#This Row],[ID]]="","",SUBSTITUTE(IFERROR(LOOKUP(2,1/((Log[ID]=Items[[#This Row],[ID]])*(Log[State]&lt;&gt;"")),Log[State]),"TODO"),"OPEN",IF(Items[[#This Row],[Blocked]]="Y","WAIT","OPEN")))</f>
      </c>
      <c r="O86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62" s="17">
        <f>IF(Items[[#This Row],[State]]&lt;&gt;"WAIT","",AsOf-Items[[#This Row],[Blocked since]])</f>
      </c>
      <c r="Q862" s="17">
        <f>IF(Items[[#This Row],[State]]&lt;&gt;"WAIT","",IFERROR(LOOKUP(2,1/((Log[ID]=Items[[#This Row],[ID]])*(Log[Verb]="block")),Log[Note])&amp;"",""))</f>
      </c>
      <c r="R862" s="17">
        <f>IF(Items[[#This Row],[ID]]="","",COUNTIFS(Log[ID],Items[[#This Row],[ID]],Log[Verb],"carry"))</f>
      </c>
      <c r="S862" s="17">
        <f>IF(Items[[#This Row],[ID]]="","",COUNTIFS(Log[ID],Items[[#This Row],[ID]],Log[Verb],"punt"))</f>
      </c>
      <c r="T862" s="11">
        <f>IF(Items[[#This Row],[State]]&lt;&gt;"DONE","",IFERROR(LOOKUP(2,1/((Log[ID]=Items[[#This Row],[ID]])*(Log[Verb]="done")),Log[Date]),""))</f>
      </c>
      <c r="U862" s="17">
        <f>IF(Items[[#This Row],[ID]]="","",IF(AND(Items[[#This Row],[Sprint]]=CurSprint,OR(Items[[#This Row],[State]]="OPEN",Items[[#This Row],[State]]="WAIT",Items[[#This Row],[State]]="HOLD",Items[[#This Row],[State]]="DONE")),1,0))</f>
      </c>
      <c r="V862" s="17">
        <f>IF(OR(Items[[#This Row],[ID]]="",Items[[#This Row],[Added]]=""),"",AsOf-Items[[#This Row],[Added]])</f>
      </c>
      <c r="W862" s="17">
        <f>IF(Items[[#This Row],[In sprint]]=1,(IF(Items[[#This Row],[Prio]]="",9,N(Items[[#This Row],[Prio]]))*10+(IF(Items[[#This Row],[State]]="DONE",1,0)))*100000+ROW(),"")</f>
      </c>
      <c r="X86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62" s="17">
        <f>IF(AND(Items[[#This Row],[State]]="DONE",N(Items[[#This Row],[Done on]])&gt;AsOf-7),(200000-N(Items[[#This Row],[Done on]]))*100000+ROW(),"")</f>
      </c>
    </row>
    <row r="863">
      <c r="A863" t="s">
        <v>1037</v>
      </c>
      <c r="B863" t="s">
        <v>2085</v>
      </c>
      <c r="C863" t="s">
        <v>1115</v>
      </c>
      <c r="D863" t="s">
        <v>1116</v>
      </c>
      <c r="E863" t="s">
        <v>1124</v>
      </c>
      <c r="F863" t="s">
        <v>1125</v>
      </c>
      <c r="G863">
        <v>5</v>
      </c>
      <c r="H863">
        <v>1</v>
      </c>
      <c r="I863" s="11">
        <v>46259</v>
      </c>
      <c r="J863" s="17">
        <f>IF(Items[[#This Row],[ID]]="","",IFERROR(VALUE(LOOKUP(2,1/((Log[ID]=Items[[#This Row],[ID]])*(Log[Verb]="est")),Log[Arg])),N(Items[[#This Row],[Points]])))</f>
      </c>
      <c r="K863" s="17">
        <f>IF(Items[[#This Row],[ID]]="","",IFERROR(LOOKUP(2,1/((Log[ID]=Items[[#This Row],[ID]])*(Log[Verb]="pass")),Log[Arg])&amp;"",Items[[#This Row],[Team]]&amp;""))</f>
      </c>
      <c r="L863" s="17">
        <f>IF(Items[[#This Row],[ID]]="","",IFERROR(LOOKUP(2,1/((Log[ID]=Items[[#This Row],[ID]])*(Log[Into]&lt;&gt;"")),Log[Into]),""))</f>
      </c>
      <c r="M863" s="17">
        <f>IF(Items[[#This Row],[ID]]="","",IF(IFERROR(LOOKUP(2,1/((Log[ID]=Items[[#This Row],[ID]])*(Log[Blk]&lt;&gt;"")),Log[Blk]),0)=1,"Y",""))</f>
      </c>
      <c r="N863" s="17">
        <f>IF(Items[[#This Row],[ID]]="","",SUBSTITUTE(IFERROR(LOOKUP(2,1/((Log[ID]=Items[[#This Row],[ID]])*(Log[State]&lt;&gt;"")),Log[State]),"TODO"),"OPEN",IF(Items[[#This Row],[Blocked]]="Y","WAIT","OPEN")))</f>
      </c>
      <c r="O86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63" s="17">
        <f>IF(Items[[#This Row],[State]]&lt;&gt;"WAIT","",AsOf-Items[[#This Row],[Blocked since]])</f>
      </c>
      <c r="Q863" s="17">
        <f>IF(Items[[#This Row],[State]]&lt;&gt;"WAIT","",IFERROR(LOOKUP(2,1/((Log[ID]=Items[[#This Row],[ID]])*(Log[Verb]="block")),Log[Note])&amp;"",""))</f>
      </c>
      <c r="R863" s="17">
        <f>IF(Items[[#This Row],[ID]]="","",COUNTIFS(Log[ID],Items[[#This Row],[ID]],Log[Verb],"carry"))</f>
      </c>
      <c r="S863" s="17">
        <f>IF(Items[[#This Row],[ID]]="","",COUNTIFS(Log[ID],Items[[#This Row],[ID]],Log[Verb],"punt"))</f>
      </c>
      <c r="T863" s="11">
        <f>IF(Items[[#This Row],[State]]&lt;&gt;"DONE","",IFERROR(LOOKUP(2,1/((Log[ID]=Items[[#This Row],[ID]])*(Log[Verb]="done")),Log[Date]),""))</f>
      </c>
      <c r="U863" s="17">
        <f>IF(Items[[#This Row],[ID]]="","",IF(AND(Items[[#This Row],[Sprint]]=CurSprint,OR(Items[[#This Row],[State]]="OPEN",Items[[#This Row],[State]]="WAIT",Items[[#This Row],[State]]="HOLD",Items[[#This Row],[State]]="DONE")),1,0))</f>
      </c>
      <c r="V863" s="17">
        <f>IF(OR(Items[[#This Row],[ID]]="",Items[[#This Row],[Added]]=""),"",AsOf-Items[[#This Row],[Added]])</f>
      </c>
      <c r="W863" s="17">
        <f>IF(Items[[#This Row],[In sprint]]=1,(IF(Items[[#This Row],[Prio]]="",9,N(Items[[#This Row],[Prio]]))*10+(IF(Items[[#This Row],[State]]="DONE",1,0)))*100000+ROW(),"")</f>
      </c>
      <c r="X86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63" s="17">
        <f>IF(AND(Items[[#This Row],[State]]="DONE",N(Items[[#This Row],[Done on]])&gt;AsOf-7),(200000-N(Items[[#This Row],[Done on]]))*100000+ROW(),"")</f>
      </c>
    </row>
    <row r="864">
      <c r="A864" t="s">
        <v>975</v>
      </c>
      <c r="B864" t="s">
        <v>2086</v>
      </c>
      <c r="C864" t="s">
        <v>1107</v>
      </c>
      <c r="D864" t="s">
        <v>1108</v>
      </c>
      <c r="E864" t="s">
        <v>1159</v>
      </c>
      <c r="F864" t="s">
        <v>1437</v>
      </c>
      <c r="G864">
        <v>5</v>
      </c>
      <c r="H864">
        <v>2</v>
      </c>
      <c r="I864" s="11">
        <v>46259</v>
      </c>
      <c r="J864" s="17">
        <f>IF(Items[[#This Row],[ID]]="","",IFERROR(VALUE(LOOKUP(2,1/((Log[ID]=Items[[#This Row],[ID]])*(Log[Verb]="est")),Log[Arg])),N(Items[[#This Row],[Points]])))</f>
      </c>
      <c r="K864" s="17">
        <f>IF(Items[[#This Row],[ID]]="","",IFERROR(LOOKUP(2,1/((Log[ID]=Items[[#This Row],[ID]])*(Log[Verb]="pass")),Log[Arg])&amp;"",Items[[#This Row],[Team]]&amp;""))</f>
      </c>
      <c r="L864" s="17">
        <f>IF(Items[[#This Row],[ID]]="","",IFERROR(LOOKUP(2,1/((Log[ID]=Items[[#This Row],[ID]])*(Log[Into]&lt;&gt;"")),Log[Into]),""))</f>
      </c>
      <c r="M864" s="17">
        <f>IF(Items[[#This Row],[ID]]="","",IF(IFERROR(LOOKUP(2,1/((Log[ID]=Items[[#This Row],[ID]])*(Log[Blk]&lt;&gt;"")),Log[Blk]),0)=1,"Y",""))</f>
      </c>
      <c r="N864" s="17">
        <f>IF(Items[[#This Row],[ID]]="","",SUBSTITUTE(IFERROR(LOOKUP(2,1/((Log[ID]=Items[[#This Row],[ID]])*(Log[State]&lt;&gt;"")),Log[State]),"TODO"),"OPEN",IF(Items[[#This Row],[Blocked]]="Y","WAIT","OPEN")))</f>
      </c>
      <c r="O86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64" s="17">
        <f>IF(Items[[#This Row],[State]]&lt;&gt;"WAIT","",AsOf-Items[[#This Row],[Blocked since]])</f>
      </c>
      <c r="Q864" s="17">
        <f>IF(Items[[#This Row],[State]]&lt;&gt;"WAIT","",IFERROR(LOOKUP(2,1/((Log[ID]=Items[[#This Row],[ID]])*(Log[Verb]="block")),Log[Note])&amp;"",""))</f>
      </c>
      <c r="R864" s="17">
        <f>IF(Items[[#This Row],[ID]]="","",COUNTIFS(Log[ID],Items[[#This Row],[ID]],Log[Verb],"carry"))</f>
      </c>
      <c r="S864" s="17">
        <f>IF(Items[[#This Row],[ID]]="","",COUNTIFS(Log[ID],Items[[#This Row],[ID]],Log[Verb],"punt"))</f>
      </c>
      <c r="T864" s="11">
        <f>IF(Items[[#This Row],[State]]&lt;&gt;"DONE","",IFERROR(LOOKUP(2,1/((Log[ID]=Items[[#This Row],[ID]])*(Log[Verb]="done")),Log[Date]),""))</f>
      </c>
      <c r="U864" s="17">
        <f>IF(Items[[#This Row],[ID]]="","",IF(AND(Items[[#This Row],[Sprint]]=CurSprint,OR(Items[[#This Row],[State]]="OPEN",Items[[#This Row],[State]]="WAIT",Items[[#This Row],[State]]="HOLD",Items[[#This Row],[State]]="DONE")),1,0))</f>
      </c>
      <c r="V864" s="17">
        <f>IF(OR(Items[[#This Row],[ID]]="",Items[[#This Row],[Added]]=""),"",AsOf-Items[[#This Row],[Added]])</f>
      </c>
      <c r="W864" s="17">
        <f>IF(Items[[#This Row],[In sprint]]=1,(IF(Items[[#This Row],[Prio]]="",9,N(Items[[#This Row],[Prio]]))*10+(IF(Items[[#This Row],[State]]="DONE",1,0)))*100000+ROW(),"")</f>
      </c>
      <c r="X86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64" s="17">
        <f>IF(AND(Items[[#This Row],[State]]="DONE",N(Items[[#This Row],[Done on]])&gt;AsOf-7),(200000-N(Items[[#This Row],[Done on]]))*100000+ROW(),"")</f>
      </c>
    </row>
    <row r="865">
      <c r="A865" t="s">
        <v>976</v>
      </c>
      <c r="B865" t="s">
        <v>2087</v>
      </c>
      <c r="C865" t="s">
        <v>1107</v>
      </c>
      <c r="D865" t="s">
        <v>1127</v>
      </c>
      <c r="E865" t="s">
        <v>1159</v>
      </c>
      <c r="F865" t="s">
        <v>1358</v>
      </c>
      <c r="G865">
        <v>2</v>
      </c>
      <c r="H865">
        <v>2</v>
      </c>
      <c r="I865" s="11">
        <v>46259</v>
      </c>
      <c r="J865" s="17">
        <f>IF(Items[[#This Row],[ID]]="","",IFERROR(VALUE(LOOKUP(2,1/((Log[ID]=Items[[#This Row],[ID]])*(Log[Verb]="est")),Log[Arg])),N(Items[[#This Row],[Points]])))</f>
      </c>
      <c r="K865" s="17">
        <f>IF(Items[[#This Row],[ID]]="","",IFERROR(LOOKUP(2,1/((Log[ID]=Items[[#This Row],[ID]])*(Log[Verb]="pass")),Log[Arg])&amp;"",Items[[#This Row],[Team]]&amp;""))</f>
      </c>
      <c r="L865" s="17">
        <f>IF(Items[[#This Row],[ID]]="","",IFERROR(LOOKUP(2,1/((Log[ID]=Items[[#This Row],[ID]])*(Log[Into]&lt;&gt;"")),Log[Into]),""))</f>
      </c>
      <c r="M865" s="17">
        <f>IF(Items[[#This Row],[ID]]="","",IF(IFERROR(LOOKUP(2,1/((Log[ID]=Items[[#This Row],[ID]])*(Log[Blk]&lt;&gt;"")),Log[Blk]),0)=1,"Y",""))</f>
      </c>
      <c r="N865" s="17">
        <f>IF(Items[[#This Row],[ID]]="","",SUBSTITUTE(IFERROR(LOOKUP(2,1/((Log[ID]=Items[[#This Row],[ID]])*(Log[State]&lt;&gt;"")),Log[State]),"TODO"),"OPEN",IF(Items[[#This Row],[Blocked]]="Y","WAIT","OPEN")))</f>
      </c>
      <c r="O86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65" s="17">
        <f>IF(Items[[#This Row],[State]]&lt;&gt;"WAIT","",AsOf-Items[[#This Row],[Blocked since]])</f>
      </c>
      <c r="Q865" s="17">
        <f>IF(Items[[#This Row],[State]]&lt;&gt;"WAIT","",IFERROR(LOOKUP(2,1/((Log[ID]=Items[[#This Row],[ID]])*(Log[Verb]="block")),Log[Note])&amp;"",""))</f>
      </c>
      <c r="R865" s="17">
        <f>IF(Items[[#This Row],[ID]]="","",COUNTIFS(Log[ID],Items[[#This Row],[ID]],Log[Verb],"carry"))</f>
      </c>
      <c r="S865" s="17">
        <f>IF(Items[[#This Row],[ID]]="","",COUNTIFS(Log[ID],Items[[#This Row],[ID]],Log[Verb],"punt"))</f>
      </c>
      <c r="T865" s="11">
        <f>IF(Items[[#This Row],[State]]&lt;&gt;"DONE","",IFERROR(LOOKUP(2,1/((Log[ID]=Items[[#This Row],[ID]])*(Log[Verb]="done")),Log[Date]),""))</f>
      </c>
      <c r="U865" s="17">
        <f>IF(Items[[#This Row],[ID]]="","",IF(AND(Items[[#This Row],[Sprint]]=CurSprint,OR(Items[[#This Row],[State]]="OPEN",Items[[#This Row],[State]]="WAIT",Items[[#This Row],[State]]="HOLD",Items[[#This Row],[State]]="DONE")),1,0))</f>
      </c>
      <c r="V865" s="17">
        <f>IF(OR(Items[[#This Row],[ID]]="",Items[[#This Row],[Added]]=""),"",AsOf-Items[[#This Row],[Added]])</f>
      </c>
      <c r="W865" s="17">
        <f>IF(Items[[#This Row],[In sprint]]=1,(IF(Items[[#This Row],[Prio]]="",9,N(Items[[#This Row],[Prio]]))*10+(IF(Items[[#This Row],[State]]="DONE",1,0)))*100000+ROW(),"")</f>
      </c>
      <c r="X86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65" s="17">
        <f>IF(AND(Items[[#This Row],[State]]="DONE",N(Items[[#This Row],[Done on]])&gt;AsOf-7),(200000-N(Items[[#This Row],[Done on]]))*100000+ROW(),"")</f>
      </c>
    </row>
    <row r="866">
      <c r="A866" t="s">
        <v>977</v>
      </c>
      <c r="B866" t="s">
        <v>2088</v>
      </c>
      <c r="C866" t="s">
        <v>1107</v>
      </c>
      <c r="D866" t="s">
        <v>1123</v>
      </c>
      <c r="E866" t="s">
        <v>1159</v>
      </c>
      <c r="F866" t="s">
        <v>1358</v>
      </c>
      <c r="G866">
        <v>8</v>
      </c>
      <c r="H866">
        <v>2</v>
      </c>
      <c r="I866" s="11">
        <v>46259</v>
      </c>
      <c r="J866" s="17">
        <f>IF(Items[[#This Row],[ID]]="","",IFERROR(VALUE(LOOKUP(2,1/((Log[ID]=Items[[#This Row],[ID]])*(Log[Verb]="est")),Log[Arg])),N(Items[[#This Row],[Points]])))</f>
      </c>
      <c r="K866" s="17">
        <f>IF(Items[[#This Row],[ID]]="","",IFERROR(LOOKUP(2,1/((Log[ID]=Items[[#This Row],[ID]])*(Log[Verb]="pass")),Log[Arg])&amp;"",Items[[#This Row],[Team]]&amp;""))</f>
      </c>
      <c r="L866" s="17">
        <f>IF(Items[[#This Row],[ID]]="","",IFERROR(LOOKUP(2,1/((Log[ID]=Items[[#This Row],[ID]])*(Log[Into]&lt;&gt;"")),Log[Into]),""))</f>
      </c>
      <c r="M866" s="17">
        <f>IF(Items[[#This Row],[ID]]="","",IF(IFERROR(LOOKUP(2,1/((Log[ID]=Items[[#This Row],[ID]])*(Log[Blk]&lt;&gt;"")),Log[Blk]),0)=1,"Y",""))</f>
      </c>
      <c r="N866" s="17">
        <f>IF(Items[[#This Row],[ID]]="","",SUBSTITUTE(IFERROR(LOOKUP(2,1/((Log[ID]=Items[[#This Row],[ID]])*(Log[State]&lt;&gt;"")),Log[State]),"TODO"),"OPEN",IF(Items[[#This Row],[Blocked]]="Y","WAIT","OPEN")))</f>
      </c>
      <c r="O86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66" s="17">
        <f>IF(Items[[#This Row],[State]]&lt;&gt;"WAIT","",AsOf-Items[[#This Row],[Blocked since]])</f>
      </c>
      <c r="Q866" s="17">
        <f>IF(Items[[#This Row],[State]]&lt;&gt;"WAIT","",IFERROR(LOOKUP(2,1/((Log[ID]=Items[[#This Row],[ID]])*(Log[Verb]="block")),Log[Note])&amp;"",""))</f>
      </c>
      <c r="R866" s="17">
        <f>IF(Items[[#This Row],[ID]]="","",COUNTIFS(Log[ID],Items[[#This Row],[ID]],Log[Verb],"carry"))</f>
      </c>
      <c r="S866" s="17">
        <f>IF(Items[[#This Row],[ID]]="","",COUNTIFS(Log[ID],Items[[#This Row],[ID]],Log[Verb],"punt"))</f>
      </c>
      <c r="T866" s="11">
        <f>IF(Items[[#This Row],[State]]&lt;&gt;"DONE","",IFERROR(LOOKUP(2,1/((Log[ID]=Items[[#This Row],[ID]])*(Log[Verb]="done")),Log[Date]),""))</f>
      </c>
      <c r="U866" s="17">
        <f>IF(Items[[#This Row],[ID]]="","",IF(AND(Items[[#This Row],[Sprint]]=CurSprint,OR(Items[[#This Row],[State]]="OPEN",Items[[#This Row],[State]]="WAIT",Items[[#This Row],[State]]="HOLD",Items[[#This Row],[State]]="DONE")),1,0))</f>
      </c>
      <c r="V866" s="17">
        <f>IF(OR(Items[[#This Row],[ID]]="",Items[[#This Row],[Added]]=""),"",AsOf-Items[[#This Row],[Added]])</f>
      </c>
      <c r="W866" s="17">
        <f>IF(Items[[#This Row],[In sprint]]=1,(IF(Items[[#This Row],[Prio]]="",9,N(Items[[#This Row],[Prio]]))*10+(IF(Items[[#This Row],[State]]="DONE",1,0)))*100000+ROW(),"")</f>
      </c>
      <c r="X86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66" s="17">
        <f>IF(AND(Items[[#This Row],[State]]="DONE",N(Items[[#This Row],[Done on]])&gt;AsOf-7),(200000-N(Items[[#This Row],[Done on]]))*100000+ROW(),"")</f>
      </c>
    </row>
    <row r="867">
      <c r="A867" t="s">
        <v>1040</v>
      </c>
      <c r="B867" t="s">
        <v>2089</v>
      </c>
      <c r="C867" t="s">
        <v>1115</v>
      </c>
      <c r="D867" t="s">
        <v>1119</v>
      </c>
      <c r="E867" t="s">
        <v>1159</v>
      </c>
      <c r="F867" t="s">
        <v>1160</v>
      </c>
      <c r="G867">
        <v>5</v>
      </c>
      <c r="H867">
        <v>1</v>
      </c>
      <c r="I867" s="11">
        <v>46259</v>
      </c>
      <c r="J867" s="17">
        <f>IF(Items[[#This Row],[ID]]="","",IFERROR(VALUE(LOOKUP(2,1/((Log[ID]=Items[[#This Row],[ID]])*(Log[Verb]="est")),Log[Arg])),N(Items[[#This Row],[Points]])))</f>
      </c>
      <c r="K867" s="17">
        <f>IF(Items[[#This Row],[ID]]="","",IFERROR(LOOKUP(2,1/((Log[ID]=Items[[#This Row],[ID]])*(Log[Verb]="pass")),Log[Arg])&amp;"",Items[[#This Row],[Team]]&amp;""))</f>
      </c>
      <c r="L867" s="17">
        <f>IF(Items[[#This Row],[ID]]="","",IFERROR(LOOKUP(2,1/((Log[ID]=Items[[#This Row],[ID]])*(Log[Into]&lt;&gt;"")),Log[Into]),""))</f>
      </c>
      <c r="M867" s="17">
        <f>IF(Items[[#This Row],[ID]]="","",IF(IFERROR(LOOKUP(2,1/((Log[ID]=Items[[#This Row],[ID]])*(Log[Blk]&lt;&gt;"")),Log[Blk]),0)=1,"Y",""))</f>
      </c>
      <c r="N867" s="17">
        <f>IF(Items[[#This Row],[ID]]="","",SUBSTITUTE(IFERROR(LOOKUP(2,1/((Log[ID]=Items[[#This Row],[ID]])*(Log[State]&lt;&gt;"")),Log[State]),"TODO"),"OPEN",IF(Items[[#This Row],[Blocked]]="Y","WAIT","OPEN")))</f>
      </c>
      <c r="O86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67" s="17">
        <f>IF(Items[[#This Row],[State]]&lt;&gt;"WAIT","",AsOf-Items[[#This Row],[Blocked since]])</f>
      </c>
      <c r="Q867" s="17">
        <f>IF(Items[[#This Row],[State]]&lt;&gt;"WAIT","",IFERROR(LOOKUP(2,1/((Log[ID]=Items[[#This Row],[ID]])*(Log[Verb]="block")),Log[Note])&amp;"",""))</f>
      </c>
      <c r="R867" s="17">
        <f>IF(Items[[#This Row],[ID]]="","",COUNTIFS(Log[ID],Items[[#This Row],[ID]],Log[Verb],"carry"))</f>
      </c>
      <c r="S867" s="17">
        <f>IF(Items[[#This Row],[ID]]="","",COUNTIFS(Log[ID],Items[[#This Row],[ID]],Log[Verb],"punt"))</f>
      </c>
      <c r="T867" s="11">
        <f>IF(Items[[#This Row],[State]]&lt;&gt;"DONE","",IFERROR(LOOKUP(2,1/((Log[ID]=Items[[#This Row],[ID]])*(Log[Verb]="done")),Log[Date]),""))</f>
      </c>
      <c r="U867" s="17">
        <f>IF(Items[[#This Row],[ID]]="","",IF(AND(Items[[#This Row],[Sprint]]=CurSprint,OR(Items[[#This Row],[State]]="OPEN",Items[[#This Row],[State]]="WAIT",Items[[#This Row],[State]]="HOLD",Items[[#This Row],[State]]="DONE")),1,0))</f>
      </c>
      <c r="V867" s="17">
        <f>IF(OR(Items[[#This Row],[ID]]="",Items[[#This Row],[Added]]=""),"",AsOf-Items[[#This Row],[Added]])</f>
      </c>
      <c r="W867" s="17">
        <f>IF(Items[[#This Row],[In sprint]]=1,(IF(Items[[#This Row],[Prio]]="",9,N(Items[[#This Row],[Prio]]))*10+(IF(Items[[#This Row],[State]]="DONE",1,0)))*100000+ROW(),"")</f>
      </c>
      <c r="X86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67" s="17">
        <f>IF(AND(Items[[#This Row],[State]]="DONE",N(Items[[#This Row],[Done on]])&gt;AsOf-7),(200000-N(Items[[#This Row],[Done on]]))*100000+ROW(),"")</f>
      </c>
    </row>
    <row r="868">
      <c r="A868" t="s">
        <v>1041</v>
      </c>
      <c r="B868" t="s">
        <v>2090</v>
      </c>
      <c r="C868" t="s">
        <v>1107</v>
      </c>
      <c r="D868" t="s">
        <v>1123</v>
      </c>
      <c r="E868" t="s">
        <v>1159</v>
      </c>
      <c r="F868" t="s">
        <v>1433</v>
      </c>
      <c r="G868">
        <v>8</v>
      </c>
      <c r="H868">
        <v>1</v>
      </c>
      <c r="I868" s="11">
        <v>46259</v>
      </c>
      <c r="J868" s="17">
        <f>IF(Items[[#This Row],[ID]]="","",IFERROR(VALUE(LOOKUP(2,1/((Log[ID]=Items[[#This Row],[ID]])*(Log[Verb]="est")),Log[Arg])),N(Items[[#This Row],[Points]])))</f>
      </c>
      <c r="K868" s="17">
        <f>IF(Items[[#This Row],[ID]]="","",IFERROR(LOOKUP(2,1/((Log[ID]=Items[[#This Row],[ID]])*(Log[Verb]="pass")),Log[Arg])&amp;"",Items[[#This Row],[Team]]&amp;""))</f>
      </c>
      <c r="L868" s="17">
        <f>IF(Items[[#This Row],[ID]]="","",IFERROR(LOOKUP(2,1/((Log[ID]=Items[[#This Row],[ID]])*(Log[Into]&lt;&gt;"")),Log[Into]),""))</f>
      </c>
      <c r="M868" s="17">
        <f>IF(Items[[#This Row],[ID]]="","",IF(IFERROR(LOOKUP(2,1/((Log[ID]=Items[[#This Row],[ID]])*(Log[Blk]&lt;&gt;"")),Log[Blk]),0)=1,"Y",""))</f>
      </c>
      <c r="N868" s="17">
        <f>IF(Items[[#This Row],[ID]]="","",SUBSTITUTE(IFERROR(LOOKUP(2,1/((Log[ID]=Items[[#This Row],[ID]])*(Log[State]&lt;&gt;"")),Log[State]),"TODO"),"OPEN",IF(Items[[#This Row],[Blocked]]="Y","WAIT","OPEN")))</f>
      </c>
      <c r="O86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68" s="17">
        <f>IF(Items[[#This Row],[State]]&lt;&gt;"WAIT","",AsOf-Items[[#This Row],[Blocked since]])</f>
      </c>
      <c r="Q868" s="17">
        <f>IF(Items[[#This Row],[State]]&lt;&gt;"WAIT","",IFERROR(LOOKUP(2,1/((Log[ID]=Items[[#This Row],[ID]])*(Log[Verb]="block")),Log[Note])&amp;"",""))</f>
      </c>
      <c r="R868" s="17">
        <f>IF(Items[[#This Row],[ID]]="","",COUNTIFS(Log[ID],Items[[#This Row],[ID]],Log[Verb],"carry"))</f>
      </c>
      <c r="S868" s="17">
        <f>IF(Items[[#This Row],[ID]]="","",COUNTIFS(Log[ID],Items[[#This Row],[ID]],Log[Verb],"punt"))</f>
      </c>
      <c r="T868" s="11">
        <f>IF(Items[[#This Row],[State]]&lt;&gt;"DONE","",IFERROR(LOOKUP(2,1/((Log[ID]=Items[[#This Row],[ID]])*(Log[Verb]="done")),Log[Date]),""))</f>
      </c>
      <c r="U868" s="17">
        <f>IF(Items[[#This Row],[ID]]="","",IF(AND(Items[[#This Row],[Sprint]]=CurSprint,OR(Items[[#This Row],[State]]="OPEN",Items[[#This Row],[State]]="WAIT",Items[[#This Row],[State]]="HOLD",Items[[#This Row],[State]]="DONE")),1,0))</f>
      </c>
      <c r="V868" s="17">
        <f>IF(OR(Items[[#This Row],[ID]]="",Items[[#This Row],[Added]]=""),"",AsOf-Items[[#This Row],[Added]])</f>
      </c>
      <c r="W868" s="17">
        <f>IF(Items[[#This Row],[In sprint]]=1,(IF(Items[[#This Row],[Prio]]="",9,N(Items[[#This Row],[Prio]]))*10+(IF(Items[[#This Row],[State]]="DONE",1,0)))*100000+ROW(),"")</f>
      </c>
      <c r="X86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68" s="17">
        <f>IF(AND(Items[[#This Row],[State]]="DONE",N(Items[[#This Row],[Done on]])&gt;AsOf-7),(200000-N(Items[[#This Row],[Done on]]))*100000+ROW(),"")</f>
      </c>
    </row>
    <row r="869">
      <c r="A869" t="s">
        <v>1042</v>
      </c>
      <c r="B869" t="s">
        <v>2091</v>
      </c>
      <c r="C869" t="s">
        <v>1107</v>
      </c>
      <c r="D869" t="s">
        <v>1108</v>
      </c>
      <c r="E869" t="s">
        <v>1159</v>
      </c>
      <c r="F869" t="s">
        <v>1211</v>
      </c>
      <c r="G869">
        <v>5</v>
      </c>
      <c r="H869">
        <v>1</v>
      </c>
      <c r="I869" s="11">
        <v>46259</v>
      </c>
      <c r="J869" s="17">
        <f>IF(Items[[#This Row],[ID]]="","",IFERROR(VALUE(LOOKUP(2,1/((Log[ID]=Items[[#This Row],[ID]])*(Log[Verb]="est")),Log[Arg])),N(Items[[#This Row],[Points]])))</f>
      </c>
      <c r="K869" s="17">
        <f>IF(Items[[#This Row],[ID]]="","",IFERROR(LOOKUP(2,1/((Log[ID]=Items[[#This Row],[ID]])*(Log[Verb]="pass")),Log[Arg])&amp;"",Items[[#This Row],[Team]]&amp;""))</f>
      </c>
      <c r="L869" s="17">
        <f>IF(Items[[#This Row],[ID]]="","",IFERROR(LOOKUP(2,1/((Log[ID]=Items[[#This Row],[ID]])*(Log[Into]&lt;&gt;"")),Log[Into]),""))</f>
      </c>
      <c r="M869" s="17">
        <f>IF(Items[[#This Row],[ID]]="","",IF(IFERROR(LOOKUP(2,1/((Log[ID]=Items[[#This Row],[ID]])*(Log[Blk]&lt;&gt;"")),Log[Blk]),0)=1,"Y",""))</f>
      </c>
      <c r="N869" s="17">
        <f>IF(Items[[#This Row],[ID]]="","",SUBSTITUTE(IFERROR(LOOKUP(2,1/((Log[ID]=Items[[#This Row],[ID]])*(Log[State]&lt;&gt;"")),Log[State]),"TODO"),"OPEN",IF(Items[[#This Row],[Blocked]]="Y","WAIT","OPEN")))</f>
      </c>
      <c r="O86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69" s="17">
        <f>IF(Items[[#This Row],[State]]&lt;&gt;"WAIT","",AsOf-Items[[#This Row],[Blocked since]])</f>
      </c>
      <c r="Q869" s="17">
        <f>IF(Items[[#This Row],[State]]&lt;&gt;"WAIT","",IFERROR(LOOKUP(2,1/((Log[ID]=Items[[#This Row],[ID]])*(Log[Verb]="block")),Log[Note])&amp;"",""))</f>
      </c>
      <c r="R869" s="17">
        <f>IF(Items[[#This Row],[ID]]="","",COUNTIFS(Log[ID],Items[[#This Row],[ID]],Log[Verb],"carry"))</f>
      </c>
      <c r="S869" s="17">
        <f>IF(Items[[#This Row],[ID]]="","",COUNTIFS(Log[ID],Items[[#This Row],[ID]],Log[Verb],"punt"))</f>
      </c>
      <c r="T869" s="11">
        <f>IF(Items[[#This Row],[State]]&lt;&gt;"DONE","",IFERROR(LOOKUP(2,1/((Log[ID]=Items[[#This Row],[ID]])*(Log[Verb]="done")),Log[Date]),""))</f>
      </c>
      <c r="U869" s="17">
        <f>IF(Items[[#This Row],[ID]]="","",IF(AND(Items[[#This Row],[Sprint]]=CurSprint,OR(Items[[#This Row],[State]]="OPEN",Items[[#This Row],[State]]="WAIT",Items[[#This Row],[State]]="HOLD",Items[[#This Row],[State]]="DONE")),1,0))</f>
      </c>
      <c r="V869" s="17">
        <f>IF(OR(Items[[#This Row],[ID]]="",Items[[#This Row],[Added]]=""),"",AsOf-Items[[#This Row],[Added]])</f>
      </c>
      <c r="W869" s="17">
        <f>IF(Items[[#This Row],[In sprint]]=1,(IF(Items[[#This Row],[Prio]]="",9,N(Items[[#This Row],[Prio]]))*10+(IF(Items[[#This Row],[State]]="DONE",1,0)))*100000+ROW(),"")</f>
      </c>
      <c r="X86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69" s="17">
        <f>IF(AND(Items[[#This Row],[State]]="DONE",N(Items[[#This Row],[Done on]])&gt;AsOf-7),(200000-N(Items[[#This Row],[Done on]]))*100000+ROW(),"")</f>
      </c>
    </row>
    <row r="870">
      <c r="A870" t="s">
        <v>1043</v>
      </c>
      <c r="B870" t="s">
        <v>2092</v>
      </c>
      <c r="C870" t="s">
        <v>1107</v>
      </c>
      <c r="D870" t="s">
        <v>1127</v>
      </c>
      <c r="E870" t="s">
        <v>1159</v>
      </c>
      <c r="F870" t="s">
        <v>1211</v>
      </c>
      <c r="G870">
        <v>5</v>
      </c>
      <c r="H870">
        <v>2</v>
      </c>
      <c r="I870" s="11">
        <v>46259</v>
      </c>
      <c r="J870" s="17">
        <f>IF(Items[[#This Row],[ID]]="","",IFERROR(VALUE(LOOKUP(2,1/((Log[ID]=Items[[#This Row],[ID]])*(Log[Verb]="est")),Log[Arg])),N(Items[[#This Row],[Points]])))</f>
      </c>
      <c r="K870" s="17">
        <f>IF(Items[[#This Row],[ID]]="","",IFERROR(LOOKUP(2,1/((Log[ID]=Items[[#This Row],[ID]])*(Log[Verb]="pass")),Log[Arg])&amp;"",Items[[#This Row],[Team]]&amp;""))</f>
      </c>
      <c r="L870" s="17">
        <f>IF(Items[[#This Row],[ID]]="","",IFERROR(LOOKUP(2,1/((Log[ID]=Items[[#This Row],[ID]])*(Log[Into]&lt;&gt;"")),Log[Into]),""))</f>
      </c>
      <c r="M870" s="17">
        <f>IF(Items[[#This Row],[ID]]="","",IF(IFERROR(LOOKUP(2,1/((Log[ID]=Items[[#This Row],[ID]])*(Log[Blk]&lt;&gt;"")),Log[Blk]),0)=1,"Y",""))</f>
      </c>
      <c r="N870" s="17">
        <f>IF(Items[[#This Row],[ID]]="","",SUBSTITUTE(IFERROR(LOOKUP(2,1/((Log[ID]=Items[[#This Row],[ID]])*(Log[State]&lt;&gt;"")),Log[State]),"TODO"),"OPEN",IF(Items[[#This Row],[Blocked]]="Y","WAIT","OPEN")))</f>
      </c>
      <c r="O87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70" s="17">
        <f>IF(Items[[#This Row],[State]]&lt;&gt;"WAIT","",AsOf-Items[[#This Row],[Blocked since]])</f>
      </c>
      <c r="Q870" s="17">
        <f>IF(Items[[#This Row],[State]]&lt;&gt;"WAIT","",IFERROR(LOOKUP(2,1/((Log[ID]=Items[[#This Row],[ID]])*(Log[Verb]="block")),Log[Note])&amp;"",""))</f>
      </c>
      <c r="R870" s="17">
        <f>IF(Items[[#This Row],[ID]]="","",COUNTIFS(Log[ID],Items[[#This Row],[ID]],Log[Verb],"carry"))</f>
      </c>
      <c r="S870" s="17">
        <f>IF(Items[[#This Row],[ID]]="","",COUNTIFS(Log[ID],Items[[#This Row],[ID]],Log[Verb],"punt"))</f>
      </c>
      <c r="T870" s="11">
        <f>IF(Items[[#This Row],[State]]&lt;&gt;"DONE","",IFERROR(LOOKUP(2,1/((Log[ID]=Items[[#This Row],[ID]])*(Log[Verb]="done")),Log[Date]),""))</f>
      </c>
      <c r="U870" s="17">
        <f>IF(Items[[#This Row],[ID]]="","",IF(AND(Items[[#This Row],[Sprint]]=CurSprint,OR(Items[[#This Row],[State]]="OPEN",Items[[#This Row],[State]]="WAIT",Items[[#This Row],[State]]="HOLD",Items[[#This Row],[State]]="DONE")),1,0))</f>
      </c>
      <c r="V870" s="17">
        <f>IF(OR(Items[[#This Row],[ID]]="",Items[[#This Row],[Added]]=""),"",AsOf-Items[[#This Row],[Added]])</f>
      </c>
      <c r="W870" s="17">
        <f>IF(Items[[#This Row],[In sprint]]=1,(IF(Items[[#This Row],[Prio]]="",9,N(Items[[#This Row],[Prio]]))*10+(IF(Items[[#This Row],[State]]="DONE",1,0)))*100000+ROW(),"")</f>
      </c>
      <c r="X87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70" s="17">
        <f>IF(AND(Items[[#This Row],[State]]="DONE",N(Items[[#This Row],[Done on]])&gt;AsOf-7),(200000-N(Items[[#This Row],[Done on]]))*100000+ROW(),"")</f>
      </c>
    </row>
    <row r="871">
      <c r="A871" t="s">
        <v>983</v>
      </c>
      <c r="B871" t="s">
        <v>2093</v>
      </c>
      <c r="C871" t="s">
        <v>1107</v>
      </c>
      <c r="D871" t="s">
        <v>1127</v>
      </c>
      <c r="E871" t="s">
        <v>1128</v>
      </c>
      <c r="F871" t="s">
        <v>1451</v>
      </c>
      <c r="G871">
        <v>3</v>
      </c>
      <c r="H871">
        <v>3</v>
      </c>
      <c r="I871" s="11">
        <v>46259</v>
      </c>
      <c r="J871" s="17">
        <f>IF(Items[[#This Row],[ID]]="","",IFERROR(VALUE(LOOKUP(2,1/((Log[ID]=Items[[#This Row],[ID]])*(Log[Verb]="est")),Log[Arg])),N(Items[[#This Row],[Points]])))</f>
      </c>
      <c r="K871" s="17">
        <f>IF(Items[[#This Row],[ID]]="","",IFERROR(LOOKUP(2,1/((Log[ID]=Items[[#This Row],[ID]])*(Log[Verb]="pass")),Log[Arg])&amp;"",Items[[#This Row],[Team]]&amp;""))</f>
      </c>
      <c r="L871" s="17">
        <f>IF(Items[[#This Row],[ID]]="","",IFERROR(LOOKUP(2,1/((Log[ID]=Items[[#This Row],[ID]])*(Log[Into]&lt;&gt;"")),Log[Into]),""))</f>
      </c>
      <c r="M871" s="17">
        <f>IF(Items[[#This Row],[ID]]="","",IF(IFERROR(LOOKUP(2,1/((Log[ID]=Items[[#This Row],[ID]])*(Log[Blk]&lt;&gt;"")),Log[Blk]),0)=1,"Y",""))</f>
      </c>
      <c r="N871" s="17">
        <f>IF(Items[[#This Row],[ID]]="","",SUBSTITUTE(IFERROR(LOOKUP(2,1/((Log[ID]=Items[[#This Row],[ID]])*(Log[State]&lt;&gt;"")),Log[State]),"TODO"),"OPEN",IF(Items[[#This Row],[Blocked]]="Y","WAIT","OPEN")))</f>
      </c>
      <c r="O87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71" s="17">
        <f>IF(Items[[#This Row],[State]]&lt;&gt;"WAIT","",AsOf-Items[[#This Row],[Blocked since]])</f>
      </c>
      <c r="Q871" s="17">
        <f>IF(Items[[#This Row],[State]]&lt;&gt;"WAIT","",IFERROR(LOOKUP(2,1/((Log[ID]=Items[[#This Row],[ID]])*(Log[Verb]="block")),Log[Note])&amp;"",""))</f>
      </c>
      <c r="R871" s="17">
        <f>IF(Items[[#This Row],[ID]]="","",COUNTIFS(Log[ID],Items[[#This Row],[ID]],Log[Verb],"carry"))</f>
      </c>
      <c r="S871" s="17">
        <f>IF(Items[[#This Row],[ID]]="","",COUNTIFS(Log[ID],Items[[#This Row],[ID]],Log[Verb],"punt"))</f>
      </c>
      <c r="T871" s="11">
        <f>IF(Items[[#This Row],[State]]&lt;&gt;"DONE","",IFERROR(LOOKUP(2,1/((Log[ID]=Items[[#This Row],[ID]])*(Log[Verb]="done")),Log[Date]),""))</f>
      </c>
      <c r="U871" s="17">
        <f>IF(Items[[#This Row],[ID]]="","",IF(AND(Items[[#This Row],[Sprint]]=CurSprint,OR(Items[[#This Row],[State]]="OPEN",Items[[#This Row],[State]]="WAIT",Items[[#This Row],[State]]="HOLD",Items[[#This Row],[State]]="DONE")),1,0))</f>
      </c>
      <c r="V871" s="17">
        <f>IF(OR(Items[[#This Row],[ID]]="",Items[[#This Row],[Added]]=""),"",AsOf-Items[[#This Row],[Added]])</f>
      </c>
      <c r="W871" s="17">
        <f>IF(Items[[#This Row],[In sprint]]=1,(IF(Items[[#This Row],[Prio]]="",9,N(Items[[#This Row],[Prio]]))*10+(IF(Items[[#This Row],[State]]="DONE",1,0)))*100000+ROW(),"")</f>
      </c>
      <c r="X87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71" s="17">
        <f>IF(AND(Items[[#This Row],[State]]="DONE",N(Items[[#This Row],[Done on]])&gt;AsOf-7),(200000-N(Items[[#This Row],[Done on]]))*100000+ROW(),"")</f>
      </c>
    </row>
    <row r="872">
      <c r="A872" t="s">
        <v>1045</v>
      </c>
      <c r="B872" t="s">
        <v>2094</v>
      </c>
      <c r="C872" t="s">
        <v>1107</v>
      </c>
      <c r="D872" t="s">
        <v>1108</v>
      </c>
      <c r="E872" t="s">
        <v>1128</v>
      </c>
      <c r="F872" t="s">
        <v>1296</v>
      </c>
      <c r="G872">
        <v>5</v>
      </c>
      <c r="H872">
        <v>2</v>
      </c>
      <c r="I872" s="11">
        <v>46259</v>
      </c>
      <c r="J872" s="17">
        <f>IF(Items[[#This Row],[ID]]="","",IFERROR(VALUE(LOOKUP(2,1/((Log[ID]=Items[[#This Row],[ID]])*(Log[Verb]="est")),Log[Arg])),N(Items[[#This Row],[Points]])))</f>
      </c>
      <c r="K872" s="17">
        <f>IF(Items[[#This Row],[ID]]="","",IFERROR(LOOKUP(2,1/((Log[ID]=Items[[#This Row],[ID]])*(Log[Verb]="pass")),Log[Arg])&amp;"",Items[[#This Row],[Team]]&amp;""))</f>
      </c>
      <c r="L872" s="17">
        <f>IF(Items[[#This Row],[ID]]="","",IFERROR(LOOKUP(2,1/((Log[ID]=Items[[#This Row],[ID]])*(Log[Into]&lt;&gt;"")),Log[Into]),""))</f>
      </c>
      <c r="M872" s="17">
        <f>IF(Items[[#This Row],[ID]]="","",IF(IFERROR(LOOKUP(2,1/((Log[ID]=Items[[#This Row],[ID]])*(Log[Blk]&lt;&gt;"")),Log[Blk]),0)=1,"Y",""))</f>
      </c>
      <c r="N872" s="17">
        <f>IF(Items[[#This Row],[ID]]="","",SUBSTITUTE(IFERROR(LOOKUP(2,1/((Log[ID]=Items[[#This Row],[ID]])*(Log[State]&lt;&gt;"")),Log[State]),"TODO"),"OPEN",IF(Items[[#This Row],[Blocked]]="Y","WAIT","OPEN")))</f>
      </c>
      <c r="O87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72" s="17">
        <f>IF(Items[[#This Row],[State]]&lt;&gt;"WAIT","",AsOf-Items[[#This Row],[Blocked since]])</f>
      </c>
      <c r="Q872" s="17">
        <f>IF(Items[[#This Row],[State]]&lt;&gt;"WAIT","",IFERROR(LOOKUP(2,1/((Log[ID]=Items[[#This Row],[ID]])*(Log[Verb]="block")),Log[Note])&amp;"",""))</f>
      </c>
      <c r="R872" s="17">
        <f>IF(Items[[#This Row],[ID]]="","",COUNTIFS(Log[ID],Items[[#This Row],[ID]],Log[Verb],"carry"))</f>
      </c>
      <c r="S872" s="17">
        <f>IF(Items[[#This Row],[ID]]="","",COUNTIFS(Log[ID],Items[[#This Row],[ID]],Log[Verb],"punt"))</f>
      </c>
      <c r="T872" s="11">
        <f>IF(Items[[#This Row],[State]]&lt;&gt;"DONE","",IFERROR(LOOKUP(2,1/((Log[ID]=Items[[#This Row],[ID]])*(Log[Verb]="done")),Log[Date]),""))</f>
      </c>
      <c r="U872" s="17">
        <f>IF(Items[[#This Row],[ID]]="","",IF(AND(Items[[#This Row],[Sprint]]=CurSprint,OR(Items[[#This Row],[State]]="OPEN",Items[[#This Row],[State]]="WAIT",Items[[#This Row],[State]]="HOLD",Items[[#This Row],[State]]="DONE")),1,0))</f>
      </c>
      <c r="V872" s="17">
        <f>IF(OR(Items[[#This Row],[ID]]="",Items[[#This Row],[Added]]=""),"",AsOf-Items[[#This Row],[Added]])</f>
      </c>
      <c r="W872" s="17">
        <f>IF(Items[[#This Row],[In sprint]]=1,(IF(Items[[#This Row],[Prio]]="",9,N(Items[[#This Row],[Prio]]))*10+(IF(Items[[#This Row],[State]]="DONE",1,0)))*100000+ROW(),"")</f>
      </c>
      <c r="X87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72" s="17">
        <f>IF(AND(Items[[#This Row],[State]]="DONE",N(Items[[#This Row],[Done on]])&gt;AsOf-7),(200000-N(Items[[#This Row],[Done on]]))*100000+ROW(),"")</f>
      </c>
    </row>
    <row r="873">
      <c r="A873" t="s">
        <v>1046</v>
      </c>
      <c r="B873" t="s">
        <v>2095</v>
      </c>
      <c r="C873" t="s">
        <v>1107</v>
      </c>
      <c r="D873" t="s">
        <v>1108</v>
      </c>
      <c r="E873" t="s">
        <v>1128</v>
      </c>
      <c r="F873" t="s">
        <v>1366</v>
      </c>
      <c r="G873">
        <v>3</v>
      </c>
      <c r="H873">
        <v>1</v>
      </c>
      <c r="I873" s="11">
        <v>46259</v>
      </c>
      <c r="J873" s="17">
        <f>IF(Items[[#This Row],[ID]]="","",IFERROR(VALUE(LOOKUP(2,1/((Log[ID]=Items[[#This Row],[ID]])*(Log[Verb]="est")),Log[Arg])),N(Items[[#This Row],[Points]])))</f>
      </c>
      <c r="K873" s="17">
        <f>IF(Items[[#This Row],[ID]]="","",IFERROR(LOOKUP(2,1/((Log[ID]=Items[[#This Row],[ID]])*(Log[Verb]="pass")),Log[Arg])&amp;"",Items[[#This Row],[Team]]&amp;""))</f>
      </c>
      <c r="L873" s="17">
        <f>IF(Items[[#This Row],[ID]]="","",IFERROR(LOOKUP(2,1/((Log[ID]=Items[[#This Row],[ID]])*(Log[Into]&lt;&gt;"")),Log[Into]),""))</f>
      </c>
      <c r="M873" s="17">
        <f>IF(Items[[#This Row],[ID]]="","",IF(IFERROR(LOOKUP(2,1/((Log[ID]=Items[[#This Row],[ID]])*(Log[Blk]&lt;&gt;"")),Log[Blk]),0)=1,"Y",""))</f>
      </c>
      <c r="N873" s="17">
        <f>IF(Items[[#This Row],[ID]]="","",SUBSTITUTE(IFERROR(LOOKUP(2,1/((Log[ID]=Items[[#This Row],[ID]])*(Log[State]&lt;&gt;"")),Log[State]),"TODO"),"OPEN",IF(Items[[#This Row],[Blocked]]="Y","WAIT","OPEN")))</f>
      </c>
      <c r="O87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73" s="17">
        <f>IF(Items[[#This Row],[State]]&lt;&gt;"WAIT","",AsOf-Items[[#This Row],[Blocked since]])</f>
      </c>
      <c r="Q873" s="17">
        <f>IF(Items[[#This Row],[State]]&lt;&gt;"WAIT","",IFERROR(LOOKUP(2,1/((Log[ID]=Items[[#This Row],[ID]])*(Log[Verb]="block")),Log[Note])&amp;"",""))</f>
      </c>
      <c r="R873" s="17">
        <f>IF(Items[[#This Row],[ID]]="","",COUNTIFS(Log[ID],Items[[#This Row],[ID]],Log[Verb],"carry"))</f>
      </c>
      <c r="S873" s="17">
        <f>IF(Items[[#This Row],[ID]]="","",COUNTIFS(Log[ID],Items[[#This Row],[ID]],Log[Verb],"punt"))</f>
      </c>
      <c r="T873" s="11">
        <f>IF(Items[[#This Row],[State]]&lt;&gt;"DONE","",IFERROR(LOOKUP(2,1/((Log[ID]=Items[[#This Row],[ID]])*(Log[Verb]="done")),Log[Date]),""))</f>
      </c>
      <c r="U873" s="17">
        <f>IF(Items[[#This Row],[ID]]="","",IF(AND(Items[[#This Row],[Sprint]]=CurSprint,OR(Items[[#This Row],[State]]="OPEN",Items[[#This Row],[State]]="WAIT",Items[[#This Row],[State]]="HOLD",Items[[#This Row],[State]]="DONE")),1,0))</f>
      </c>
      <c r="V873" s="17">
        <f>IF(OR(Items[[#This Row],[ID]]="",Items[[#This Row],[Added]]=""),"",AsOf-Items[[#This Row],[Added]])</f>
      </c>
      <c r="W873" s="17">
        <f>IF(Items[[#This Row],[In sprint]]=1,(IF(Items[[#This Row],[Prio]]="",9,N(Items[[#This Row],[Prio]]))*10+(IF(Items[[#This Row],[State]]="DONE",1,0)))*100000+ROW(),"")</f>
      </c>
      <c r="X87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73" s="17">
        <f>IF(AND(Items[[#This Row],[State]]="DONE",N(Items[[#This Row],[Done on]])&gt;AsOf-7),(200000-N(Items[[#This Row],[Done on]]))*100000+ROW(),"")</f>
      </c>
    </row>
    <row r="874">
      <c r="A874" t="s">
        <v>1047</v>
      </c>
      <c r="B874" t="s">
        <v>2096</v>
      </c>
      <c r="C874" t="s">
        <v>1115</v>
      </c>
      <c r="D874" t="s">
        <v>1116</v>
      </c>
      <c r="E874" t="s">
        <v>1128</v>
      </c>
      <c r="F874" t="s">
        <v>1360</v>
      </c>
      <c r="G874">
        <v>3</v>
      </c>
      <c r="H874">
        <v>3</v>
      </c>
      <c r="I874" s="11">
        <v>46259</v>
      </c>
      <c r="J874" s="17">
        <f>IF(Items[[#This Row],[ID]]="","",IFERROR(VALUE(LOOKUP(2,1/((Log[ID]=Items[[#This Row],[ID]])*(Log[Verb]="est")),Log[Arg])),N(Items[[#This Row],[Points]])))</f>
      </c>
      <c r="K874" s="17">
        <f>IF(Items[[#This Row],[ID]]="","",IFERROR(LOOKUP(2,1/((Log[ID]=Items[[#This Row],[ID]])*(Log[Verb]="pass")),Log[Arg])&amp;"",Items[[#This Row],[Team]]&amp;""))</f>
      </c>
      <c r="L874" s="17">
        <f>IF(Items[[#This Row],[ID]]="","",IFERROR(LOOKUP(2,1/((Log[ID]=Items[[#This Row],[ID]])*(Log[Into]&lt;&gt;"")),Log[Into]),""))</f>
      </c>
      <c r="M874" s="17">
        <f>IF(Items[[#This Row],[ID]]="","",IF(IFERROR(LOOKUP(2,1/((Log[ID]=Items[[#This Row],[ID]])*(Log[Blk]&lt;&gt;"")),Log[Blk]),0)=1,"Y",""))</f>
      </c>
      <c r="N874" s="17">
        <f>IF(Items[[#This Row],[ID]]="","",SUBSTITUTE(IFERROR(LOOKUP(2,1/((Log[ID]=Items[[#This Row],[ID]])*(Log[State]&lt;&gt;"")),Log[State]),"TODO"),"OPEN",IF(Items[[#This Row],[Blocked]]="Y","WAIT","OPEN")))</f>
      </c>
      <c r="O87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74" s="17">
        <f>IF(Items[[#This Row],[State]]&lt;&gt;"WAIT","",AsOf-Items[[#This Row],[Blocked since]])</f>
      </c>
      <c r="Q874" s="17">
        <f>IF(Items[[#This Row],[State]]&lt;&gt;"WAIT","",IFERROR(LOOKUP(2,1/((Log[ID]=Items[[#This Row],[ID]])*(Log[Verb]="block")),Log[Note])&amp;"",""))</f>
      </c>
      <c r="R874" s="17">
        <f>IF(Items[[#This Row],[ID]]="","",COUNTIFS(Log[ID],Items[[#This Row],[ID]],Log[Verb],"carry"))</f>
      </c>
      <c r="S874" s="17">
        <f>IF(Items[[#This Row],[ID]]="","",COUNTIFS(Log[ID],Items[[#This Row],[ID]],Log[Verb],"punt"))</f>
      </c>
      <c r="T874" s="11">
        <f>IF(Items[[#This Row],[State]]&lt;&gt;"DONE","",IFERROR(LOOKUP(2,1/((Log[ID]=Items[[#This Row],[ID]])*(Log[Verb]="done")),Log[Date]),""))</f>
      </c>
      <c r="U874" s="17">
        <f>IF(Items[[#This Row],[ID]]="","",IF(AND(Items[[#This Row],[Sprint]]=CurSprint,OR(Items[[#This Row],[State]]="OPEN",Items[[#This Row],[State]]="WAIT",Items[[#This Row],[State]]="HOLD",Items[[#This Row],[State]]="DONE")),1,0))</f>
      </c>
      <c r="V874" s="17">
        <f>IF(OR(Items[[#This Row],[ID]]="",Items[[#This Row],[Added]]=""),"",AsOf-Items[[#This Row],[Added]])</f>
      </c>
      <c r="W874" s="17">
        <f>IF(Items[[#This Row],[In sprint]]=1,(IF(Items[[#This Row],[Prio]]="",9,N(Items[[#This Row],[Prio]]))*10+(IF(Items[[#This Row],[State]]="DONE",1,0)))*100000+ROW(),"")</f>
      </c>
      <c r="X87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74" s="17">
        <f>IF(AND(Items[[#This Row],[State]]="DONE",N(Items[[#This Row],[Done on]])&gt;AsOf-7),(200000-N(Items[[#This Row],[Done on]]))*100000+ROW(),"")</f>
      </c>
    </row>
    <row r="875">
      <c r="A875" t="s">
        <v>1048</v>
      </c>
      <c r="B875" t="s">
        <v>2097</v>
      </c>
      <c r="C875" t="s">
        <v>1107</v>
      </c>
      <c r="D875" t="s">
        <v>1123</v>
      </c>
      <c r="E875" t="s">
        <v>1128</v>
      </c>
      <c r="F875" t="s">
        <v>1296</v>
      </c>
      <c r="G875">
        <v>2</v>
      </c>
      <c r="H875">
        <v>3</v>
      </c>
      <c r="I875" s="11">
        <v>46259</v>
      </c>
      <c r="J875" s="17">
        <f>IF(Items[[#This Row],[ID]]="","",IFERROR(VALUE(LOOKUP(2,1/((Log[ID]=Items[[#This Row],[ID]])*(Log[Verb]="est")),Log[Arg])),N(Items[[#This Row],[Points]])))</f>
      </c>
      <c r="K875" s="17">
        <f>IF(Items[[#This Row],[ID]]="","",IFERROR(LOOKUP(2,1/((Log[ID]=Items[[#This Row],[ID]])*(Log[Verb]="pass")),Log[Arg])&amp;"",Items[[#This Row],[Team]]&amp;""))</f>
      </c>
      <c r="L875" s="17">
        <f>IF(Items[[#This Row],[ID]]="","",IFERROR(LOOKUP(2,1/((Log[ID]=Items[[#This Row],[ID]])*(Log[Into]&lt;&gt;"")),Log[Into]),""))</f>
      </c>
      <c r="M875" s="17">
        <f>IF(Items[[#This Row],[ID]]="","",IF(IFERROR(LOOKUP(2,1/((Log[ID]=Items[[#This Row],[ID]])*(Log[Blk]&lt;&gt;"")),Log[Blk]),0)=1,"Y",""))</f>
      </c>
      <c r="N875" s="17">
        <f>IF(Items[[#This Row],[ID]]="","",SUBSTITUTE(IFERROR(LOOKUP(2,1/((Log[ID]=Items[[#This Row],[ID]])*(Log[State]&lt;&gt;"")),Log[State]),"TODO"),"OPEN",IF(Items[[#This Row],[Blocked]]="Y","WAIT","OPEN")))</f>
      </c>
      <c r="O87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75" s="17">
        <f>IF(Items[[#This Row],[State]]&lt;&gt;"WAIT","",AsOf-Items[[#This Row],[Blocked since]])</f>
      </c>
      <c r="Q875" s="17">
        <f>IF(Items[[#This Row],[State]]&lt;&gt;"WAIT","",IFERROR(LOOKUP(2,1/((Log[ID]=Items[[#This Row],[ID]])*(Log[Verb]="block")),Log[Note])&amp;"",""))</f>
      </c>
      <c r="R875" s="17">
        <f>IF(Items[[#This Row],[ID]]="","",COUNTIFS(Log[ID],Items[[#This Row],[ID]],Log[Verb],"carry"))</f>
      </c>
      <c r="S875" s="17">
        <f>IF(Items[[#This Row],[ID]]="","",COUNTIFS(Log[ID],Items[[#This Row],[ID]],Log[Verb],"punt"))</f>
      </c>
      <c r="T875" s="11">
        <f>IF(Items[[#This Row],[State]]&lt;&gt;"DONE","",IFERROR(LOOKUP(2,1/((Log[ID]=Items[[#This Row],[ID]])*(Log[Verb]="done")),Log[Date]),""))</f>
      </c>
      <c r="U875" s="17">
        <f>IF(Items[[#This Row],[ID]]="","",IF(AND(Items[[#This Row],[Sprint]]=CurSprint,OR(Items[[#This Row],[State]]="OPEN",Items[[#This Row],[State]]="WAIT",Items[[#This Row],[State]]="HOLD",Items[[#This Row],[State]]="DONE")),1,0))</f>
      </c>
      <c r="V875" s="17">
        <f>IF(OR(Items[[#This Row],[ID]]="",Items[[#This Row],[Added]]=""),"",AsOf-Items[[#This Row],[Added]])</f>
      </c>
      <c r="W875" s="17">
        <f>IF(Items[[#This Row],[In sprint]]=1,(IF(Items[[#This Row],[Prio]]="",9,N(Items[[#This Row],[Prio]]))*10+(IF(Items[[#This Row],[State]]="DONE",1,0)))*100000+ROW(),"")</f>
      </c>
      <c r="X87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75" s="17">
        <f>IF(AND(Items[[#This Row],[State]]="DONE",N(Items[[#This Row],[Done on]])&gt;AsOf-7),(200000-N(Items[[#This Row],[Done on]]))*100000+ROW(),"")</f>
      </c>
    </row>
    <row r="876">
      <c r="A876" t="s">
        <v>1049</v>
      </c>
      <c r="B876" t="s">
        <v>2098</v>
      </c>
      <c r="C876" t="s">
        <v>1107</v>
      </c>
      <c r="D876" t="s">
        <v>1123</v>
      </c>
      <c r="E876" t="s">
        <v>1128</v>
      </c>
      <c r="F876" t="s">
        <v>1162</v>
      </c>
      <c r="G876">
        <v>8</v>
      </c>
      <c r="H876">
        <v>3</v>
      </c>
      <c r="I876" s="11">
        <v>46259</v>
      </c>
      <c r="J876" s="17">
        <f>IF(Items[[#This Row],[ID]]="","",IFERROR(VALUE(LOOKUP(2,1/((Log[ID]=Items[[#This Row],[ID]])*(Log[Verb]="est")),Log[Arg])),N(Items[[#This Row],[Points]])))</f>
      </c>
      <c r="K876" s="17">
        <f>IF(Items[[#This Row],[ID]]="","",IFERROR(LOOKUP(2,1/((Log[ID]=Items[[#This Row],[ID]])*(Log[Verb]="pass")),Log[Arg])&amp;"",Items[[#This Row],[Team]]&amp;""))</f>
      </c>
      <c r="L876" s="17">
        <f>IF(Items[[#This Row],[ID]]="","",IFERROR(LOOKUP(2,1/((Log[ID]=Items[[#This Row],[ID]])*(Log[Into]&lt;&gt;"")),Log[Into]),""))</f>
      </c>
      <c r="M876" s="17">
        <f>IF(Items[[#This Row],[ID]]="","",IF(IFERROR(LOOKUP(2,1/((Log[ID]=Items[[#This Row],[ID]])*(Log[Blk]&lt;&gt;"")),Log[Blk]),0)=1,"Y",""))</f>
      </c>
      <c r="N876" s="17">
        <f>IF(Items[[#This Row],[ID]]="","",SUBSTITUTE(IFERROR(LOOKUP(2,1/((Log[ID]=Items[[#This Row],[ID]])*(Log[State]&lt;&gt;"")),Log[State]),"TODO"),"OPEN",IF(Items[[#This Row],[Blocked]]="Y","WAIT","OPEN")))</f>
      </c>
      <c r="O87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76" s="17">
        <f>IF(Items[[#This Row],[State]]&lt;&gt;"WAIT","",AsOf-Items[[#This Row],[Blocked since]])</f>
      </c>
      <c r="Q876" s="17">
        <f>IF(Items[[#This Row],[State]]&lt;&gt;"WAIT","",IFERROR(LOOKUP(2,1/((Log[ID]=Items[[#This Row],[ID]])*(Log[Verb]="block")),Log[Note])&amp;"",""))</f>
      </c>
      <c r="R876" s="17">
        <f>IF(Items[[#This Row],[ID]]="","",COUNTIFS(Log[ID],Items[[#This Row],[ID]],Log[Verb],"carry"))</f>
      </c>
      <c r="S876" s="17">
        <f>IF(Items[[#This Row],[ID]]="","",COUNTIFS(Log[ID],Items[[#This Row],[ID]],Log[Verb],"punt"))</f>
      </c>
      <c r="T876" s="11">
        <f>IF(Items[[#This Row],[State]]&lt;&gt;"DONE","",IFERROR(LOOKUP(2,1/((Log[ID]=Items[[#This Row],[ID]])*(Log[Verb]="done")),Log[Date]),""))</f>
      </c>
      <c r="U876" s="17">
        <f>IF(Items[[#This Row],[ID]]="","",IF(AND(Items[[#This Row],[Sprint]]=CurSprint,OR(Items[[#This Row],[State]]="OPEN",Items[[#This Row],[State]]="WAIT",Items[[#This Row],[State]]="HOLD",Items[[#This Row],[State]]="DONE")),1,0))</f>
      </c>
      <c r="V876" s="17">
        <f>IF(OR(Items[[#This Row],[ID]]="",Items[[#This Row],[Added]]=""),"",AsOf-Items[[#This Row],[Added]])</f>
      </c>
      <c r="W876" s="17">
        <f>IF(Items[[#This Row],[In sprint]]=1,(IF(Items[[#This Row],[Prio]]="",9,N(Items[[#This Row],[Prio]]))*10+(IF(Items[[#This Row],[State]]="DONE",1,0)))*100000+ROW(),"")</f>
      </c>
      <c r="X87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76" s="17">
        <f>IF(AND(Items[[#This Row],[State]]="DONE",N(Items[[#This Row],[Done on]])&gt;AsOf-7),(200000-N(Items[[#This Row],[Done on]]))*100000+ROW(),"")</f>
      </c>
    </row>
    <row r="877">
      <c r="A877" t="s">
        <v>1050</v>
      </c>
      <c r="B877" t="s">
        <v>2099</v>
      </c>
      <c r="C877" t="s">
        <v>1115</v>
      </c>
      <c r="D877" t="s">
        <v>1119</v>
      </c>
      <c r="E877" t="s">
        <v>1128</v>
      </c>
      <c r="F877" t="s">
        <v>1366</v>
      </c>
      <c r="G877">
        <v>3</v>
      </c>
      <c r="H877">
        <v>1</v>
      </c>
      <c r="I877" s="11">
        <v>46259</v>
      </c>
      <c r="J877" s="17">
        <f>IF(Items[[#This Row],[ID]]="","",IFERROR(VALUE(LOOKUP(2,1/((Log[ID]=Items[[#This Row],[ID]])*(Log[Verb]="est")),Log[Arg])),N(Items[[#This Row],[Points]])))</f>
      </c>
      <c r="K877" s="17">
        <f>IF(Items[[#This Row],[ID]]="","",IFERROR(LOOKUP(2,1/((Log[ID]=Items[[#This Row],[ID]])*(Log[Verb]="pass")),Log[Arg])&amp;"",Items[[#This Row],[Team]]&amp;""))</f>
      </c>
      <c r="L877" s="17">
        <f>IF(Items[[#This Row],[ID]]="","",IFERROR(LOOKUP(2,1/((Log[ID]=Items[[#This Row],[ID]])*(Log[Into]&lt;&gt;"")),Log[Into]),""))</f>
      </c>
      <c r="M877" s="17">
        <f>IF(Items[[#This Row],[ID]]="","",IF(IFERROR(LOOKUP(2,1/((Log[ID]=Items[[#This Row],[ID]])*(Log[Blk]&lt;&gt;"")),Log[Blk]),0)=1,"Y",""))</f>
      </c>
      <c r="N877" s="17">
        <f>IF(Items[[#This Row],[ID]]="","",SUBSTITUTE(IFERROR(LOOKUP(2,1/((Log[ID]=Items[[#This Row],[ID]])*(Log[State]&lt;&gt;"")),Log[State]),"TODO"),"OPEN",IF(Items[[#This Row],[Blocked]]="Y","WAIT","OPEN")))</f>
      </c>
      <c r="O87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77" s="17">
        <f>IF(Items[[#This Row],[State]]&lt;&gt;"WAIT","",AsOf-Items[[#This Row],[Blocked since]])</f>
      </c>
      <c r="Q877" s="17">
        <f>IF(Items[[#This Row],[State]]&lt;&gt;"WAIT","",IFERROR(LOOKUP(2,1/((Log[ID]=Items[[#This Row],[ID]])*(Log[Verb]="block")),Log[Note])&amp;"",""))</f>
      </c>
      <c r="R877" s="17">
        <f>IF(Items[[#This Row],[ID]]="","",COUNTIFS(Log[ID],Items[[#This Row],[ID]],Log[Verb],"carry"))</f>
      </c>
      <c r="S877" s="17">
        <f>IF(Items[[#This Row],[ID]]="","",COUNTIFS(Log[ID],Items[[#This Row],[ID]],Log[Verb],"punt"))</f>
      </c>
      <c r="T877" s="11">
        <f>IF(Items[[#This Row],[State]]&lt;&gt;"DONE","",IFERROR(LOOKUP(2,1/((Log[ID]=Items[[#This Row],[ID]])*(Log[Verb]="done")),Log[Date]),""))</f>
      </c>
      <c r="U877" s="17">
        <f>IF(Items[[#This Row],[ID]]="","",IF(AND(Items[[#This Row],[Sprint]]=CurSprint,OR(Items[[#This Row],[State]]="OPEN",Items[[#This Row],[State]]="WAIT",Items[[#This Row],[State]]="HOLD",Items[[#This Row],[State]]="DONE")),1,0))</f>
      </c>
      <c r="V877" s="17">
        <f>IF(OR(Items[[#This Row],[ID]]="",Items[[#This Row],[Added]]=""),"",AsOf-Items[[#This Row],[Added]])</f>
      </c>
      <c r="W877" s="17">
        <f>IF(Items[[#This Row],[In sprint]]=1,(IF(Items[[#This Row],[Prio]]="",9,N(Items[[#This Row],[Prio]]))*10+(IF(Items[[#This Row],[State]]="DONE",1,0)))*100000+ROW(),"")</f>
      </c>
      <c r="X87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77" s="17">
        <f>IF(AND(Items[[#This Row],[State]]="DONE",N(Items[[#This Row],[Done on]])&gt;AsOf-7),(200000-N(Items[[#This Row],[Done on]]))*100000+ROW(),"")</f>
      </c>
    </row>
    <row r="878">
      <c r="A878" t="s">
        <v>1051</v>
      </c>
      <c r="B878" t="s">
        <v>2100</v>
      </c>
      <c r="C878" t="s">
        <v>1107</v>
      </c>
      <c r="D878" t="s">
        <v>1108</v>
      </c>
      <c r="E878" t="s">
        <v>1128</v>
      </c>
      <c r="F878" t="s">
        <v>1366</v>
      </c>
      <c r="G878">
        <v>3</v>
      </c>
      <c r="H878">
        <v>2</v>
      </c>
      <c r="I878" s="11">
        <v>46259</v>
      </c>
      <c r="J878" s="17">
        <f>IF(Items[[#This Row],[ID]]="","",IFERROR(VALUE(LOOKUP(2,1/((Log[ID]=Items[[#This Row],[ID]])*(Log[Verb]="est")),Log[Arg])),N(Items[[#This Row],[Points]])))</f>
      </c>
      <c r="K878" s="17">
        <f>IF(Items[[#This Row],[ID]]="","",IFERROR(LOOKUP(2,1/((Log[ID]=Items[[#This Row],[ID]])*(Log[Verb]="pass")),Log[Arg])&amp;"",Items[[#This Row],[Team]]&amp;""))</f>
      </c>
      <c r="L878" s="17">
        <f>IF(Items[[#This Row],[ID]]="","",IFERROR(LOOKUP(2,1/((Log[ID]=Items[[#This Row],[ID]])*(Log[Into]&lt;&gt;"")),Log[Into]),""))</f>
      </c>
      <c r="M878" s="17">
        <f>IF(Items[[#This Row],[ID]]="","",IF(IFERROR(LOOKUP(2,1/((Log[ID]=Items[[#This Row],[ID]])*(Log[Blk]&lt;&gt;"")),Log[Blk]),0)=1,"Y",""))</f>
      </c>
      <c r="N878" s="17">
        <f>IF(Items[[#This Row],[ID]]="","",SUBSTITUTE(IFERROR(LOOKUP(2,1/((Log[ID]=Items[[#This Row],[ID]])*(Log[State]&lt;&gt;"")),Log[State]),"TODO"),"OPEN",IF(Items[[#This Row],[Blocked]]="Y","WAIT","OPEN")))</f>
      </c>
      <c r="O87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78" s="17">
        <f>IF(Items[[#This Row],[State]]&lt;&gt;"WAIT","",AsOf-Items[[#This Row],[Blocked since]])</f>
      </c>
      <c r="Q878" s="17">
        <f>IF(Items[[#This Row],[State]]&lt;&gt;"WAIT","",IFERROR(LOOKUP(2,1/((Log[ID]=Items[[#This Row],[ID]])*(Log[Verb]="block")),Log[Note])&amp;"",""))</f>
      </c>
      <c r="R878" s="17">
        <f>IF(Items[[#This Row],[ID]]="","",COUNTIFS(Log[ID],Items[[#This Row],[ID]],Log[Verb],"carry"))</f>
      </c>
      <c r="S878" s="17">
        <f>IF(Items[[#This Row],[ID]]="","",COUNTIFS(Log[ID],Items[[#This Row],[ID]],Log[Verb],"punt"))</f>
      </c>
      <c r="T878" s="11">
        <f>IF(Items[[#This Row],[State]]&lt;&gt;"DONE","",IFERROR(LOOKUP(2,1/((Log[ID]=Items[[#This Row],[ID]])*(Log[Verb]="done")),Log[Date]),""))</f>
      </c>
      <c r="U878" s="17">
        <f>IF(Items[[#This Row],[ID]]="","",IF(AND(Items[[#This Row],[Sprint]]=CurSprint,OR(Items[[#This Row],[State]]="OPEN",Items[[#This Row],[State]]="WAIT",Items[[#This Row],[State]]="HOLD",Items[[#This Row],[State]]="DONE")),1,0))</f>
      </c>
      <c r="V878" s="17">
        <f>IF(OR(Items[[#This Row],[ID]]="",Items[[#This Row],[Added]]=""),"",AsOf-Items[[#This Row],[Added]])</f>
      </c>
      <c r="W878" s="17">
        <f>IF(Items[[#This Row],[In sprint]]=1,(IF(Items[[#This Row],[Prio]]="",9,N(Items[[#This Row],[Prio]]))*10+(IF(Items[[#This Row],[State]]="DONE",1,0)))*100000+ROW(),"")</f>
      </c>
      <c r="X87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78" s="17">
        <f>IF(AND(Items[[#This Row],[State]]="DONE",N(Items[[#This Row],[Done on]])&gt;AsOf-7),(200000-N(Items[[#This Row],[Done on]]))*100000+ROW(),"")</f>
      </c>
    </row>
    <row r="879">
      <c r="A879" t="s">
        <v>1052</v>
      </c>
      <c r="B879" t="s">
        <v>2101</v>
      </c>
      <c r="C879" t="s">
        <v>1107</v>
      </c>
      <c r="D879" t="s">
        <v>1108</v>
      </c>
      <c r="E879" t="s">
        <v>1128</v>
      </c>
      <c r="F879" t="s">
        <v>1451</v>
      </c>
      <c r="G879">
        <v>3</v>
      </c>
      <c r="H879">
        <v>3</v>
      </c>
      <c r="I879" s="11">
        <v>46259</v>
      </c>
      <c r="J879" s="17">
        <f>IF(Items[[#This Row],[ID]]="","",IFERROR(VALUE(LOOKUP(2,1/((Log[ID]=Items[[#This Row],[ID]])*(Log[Verb]="est")),Log[Arg])),N(Items[[#This Row],[Points]])))</f>
      </c>
      <c r="K879" s="17">
        <f>IF(Items[[#This Row],[ID]]="","",IFERROR(LOOKUP(2,1/((Log[ID]=Items[[#This Row],[ID]])*(Log[Verb]="pass")),Log[Arg])&amp;"",Items[[#This Row],[Team]]&amp;""))</f>
      </c>
      <c r="L879" s="17">
        <f>IF(Items[[#This Row],[ID]]="","",IFERROR(LOOKUP(2,1/((Log[ID]=Items[[#This Row],[ID]])*(Log[Into]&lt;&gt;"")),Log[Into]),""))</f>
      </c>
      <c r="M879" s="17">
        <f>IF(Items[[#This Row],[ID]]="","",IF(IFERROR(LOOKUP(2,1/((Log[ID]=Items[[#This Row],[ID]])*(Log[Blk]&lt;&gt;"")),Log[Blk]),0)=1,"Y",""))</f>
      </c>
      <c r="N879" s="17">
        <f>IF(Items[[#This Row],[ID]]="","",SUBSTITUTE(IFERROR(LOOKUP(2,1/((Log[ID]=Items[[#This Row],[ID]])*(Log[State]&lt;&gt;"")),Log[State]),"TODO"),"OPEN",IF(Items[[#This Row],[Blocked]]="Y","WAIT","OPEN")))</f>
      </c>
      <c r="O87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79" s="17">
        <f>IF(Items[[#This Row],[State]]&lt;&gt;"WAIT","",AsOf-Items[[#This Row],[Blocked since]])</f>
      </c>
      <c r="Q879" s="17">
        <f>IF(Items[[#This Row],[State]]&lt;&gt;"WAIT","",IFERROR(LOOKUP(2,1/((Log[ID]=Items[[#This Row],[ID]])*(Log[Verb]="block")),Log[Note])&amp;"",""))</f>
      </c>
      <c r="R879" s="17">
        <f>IF(Items[[#This Row],[ID]]="","",COUNTIFS(Log[ID],Items[[#This Row],[ID]],Log[Verb],"carry"))</f>
      </c>
      <c r="S879" s="17">
        <f>IF(Items[[#This Row],[ID]]="","",COUNTIFS(Log[ID],Items[[#This Row],[ID]],Log[Verb],"punt"))</f>
      </c>
      <c r="T879" s="11">
        <f>IF(Items[[#This Row],[State]]&lt;&gt;"DONE","",IFERROR(LOOKUP(2,1/((Log[ID]=Items[[#This Row],[ID]])*(Log[Verb]="done")),Log[Date]),""))</f>
      </c>
      <c r="U879" s="17">
        <f>IF(Items[[#This Row],[ID]]="","",IF(AND(Items[[#This Row],[Sprint]]=CurSprint,OR(Items[[#This Row],[State]]="OPEN",Items[[#This Row],[State]]="WAIT",Items[[#This Row],[State]]="HOLD",Items[[#This Row],[State]]="DONE")),1,0))</f>
      </c>
      <c r="V879" s="17">
        <f>IF(OR(Items[[#This Row],[ID]]="",Items[[#This Row],[Added]]=""),"",AsOf-Items[[#This Row],[Added]])</f>
      </c>
      <c r="W879" s="17">
        <f>IF(Items[[#This Row],[In sprint]]=1,(IF(Items[[#This Row],[Prio]]="",9,N(Items[[#This Row],[Prio]]))*10+(IF(Items[[#This Row],[State]]="DONE",1,0)))*100000+ROW(),"")</f>
      </c>
      <c r="X87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79" s="17">
        <f>IF(AND(Items[[#This Row],[State]]="DONE",N(Items[[#This Row],[Done on]])&gt;AsOf-7),(200000-N(Items[[#This Row],[Done on]]))*100000+ROW(),"")</f>
      </c>
    </row>
    <row r="880">
      <c r="A880" t="s">
        <v>987</v>
      </c>
      <c r="B880" t="s">
        <v>2102</v>
      </c>
      <c r="C880" t="s">
        <v>1115</v>
      </c>
      <c r="D880" t="s">
        <v>1116</v>
      </c>
      <c r="E880" t="s">
        <v>1109</v>
      </c>
      <c r="F880" t="s">
        <v>1300</v>
      </c>
      <c r="G880">
        <v>2</v>
      </c>
      <c r="H880">
        <v>2</v>
      </c>
      <c r="I880" s="11">
        <v>46259</v>
      </c>
      <c r="J880" s="17">
        <f>IF(Items[[#This Row],[ID]]="","",IFERROR(VALUE(LOOKUP(2,1/((Log[ID]=Items[[#This Row],[ID]])*(Log[Verb]="est")),Log[Arg])),N(Items[[#This Row],[Points]])))</f>
      </c>
      <c r="K880" s="17">
        <f>IF(Items[[#This Row],[ID]]="","",IFERROR(LOOKUP(2,1/((Log[ID]=Items[[#This Row],[ID]])*(Log[Verb]="pass")),Log[Arg])&amp;"",Items[[#This Row],[Team]]&amp;""))</f>
      </c>
      <c r="L880" s="17">
        <f>IF(Items[[#This Row],[ID]]="","",IFERROR(LOOKUP(2,1/((Log[ID]=Items[[#This Row],[ID]])*(Log[Into]&lt;&gt;"")),Log[Into]),""))</f>
      </c>
      <c r="M880" s="17">
        <f>IF(Items[[#This Row],[ID]]="","",IF(IFERROR(LOOKUP(2,1/((Log[ID]=Items[[#This Row],[ID]])*(Log[Blk]&lt;&gt;"")),Log[Blk]),0)=1,"Y",""))</f>
      </c>
      <c r="N880" s="17">
        <f>IF(Items[[#This Row],[ID]]="","",SUBSTITUTE(IFERROR(LOOKUP(2,1/((Log[ID]=Items[[#This Row],[ID]])*(Log[State]&lt;&gt;"")),Log[State]),"TODO"),"OPEN",IF(Items[[#This Row],[Blocked]]="Y","WAIT","OPEN")))</f>
      </c>
      <c r="O88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80" s="17">
        <f>IF(Items[[#This Row],[State]]&lt;&gt;"WAIT","",AsOf-Items[[#This Row],[Blocked since]])</f>
      </c>
      <c r="Q880" s="17">
        <f>IF(Items[[#This Row],[State]]&lt;&gt;"WAIT","",IFERROR(LOOKUP(2,1/((Log[ID]=Items[[#This Row],[ID]])*(Log[Verb]="block")),Log[Note])&amp;"",""))</f>
      </c>
      <c r="R880" s="17">
        <f>IF(Items[[#This Row],[ID]]="","",COUNTIFS(Log[ID],Items[[#This Row],[ID]],Log[Verb],"carry"))</f>
      </c>
      <c r="S880" s="17">
        <f>IF(Items[[#This Row],[ID]]="","",COUNTIFS(Log[ID],Items[[#This Row],[ID]],Log[Verb],"punt"))</f>
      </c>
      <c r="T880" s="11">
        <f>IF(Items[[#This Row],[State]]&lt;&gt;"DONE","",IFERROR(LOOKUP(2,1/((Log[ID]=Items[[#This Row],[ID]])*(Log[Verb]="done")),Log[Date]),""))</f>
      </c>
      <c r="U880" s="17">
        <f>IF(Items[[#This Row],[ID]]="","",IF(AND(Items[[#This Row],[Sprint]]=CurSprint,OR(Items[[#This Row],[State]]="OPEN",Items[[#This Row],[State]]="WAIT",Items[[#This Row],[State]]="HOLD",Items[[#This Row],[State]]="DONE")),1,0))</f>
      </c>
      <c r="V880" s="17">
        <f>IF(OR(Items[[#This Row],[ID]]="",Items[[#This Row],[Added]]=""),"",AsOf-Items[[#This Row],[Added]])</f>
      </c>
      <c r="W880" s="17">
        <f>IF(Items[[#This Row],[In sprint]]=1,(IF(Items[[#This Row],[Prio]]="",9,N(Items[[#This Row],[Prio]]))*10+(IF(Items[[#This Row],[State]]="DONE",1,0)))*100000+ROW(),"")</f>
      </c>
      <c r="X88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80" s="17">
        <f>IF(AND(Items[[#This Row],[State]]="DONE",N(Items[[#This Row],[Done on]])&gt;AsOf-7),(200000-N(Items[[#This Row],[Done on]]))*100000+ROW(),"")</f>
      </c>
    </row>
    <row r="881">
      <c r="A881" t="s">
        <v>988</v>
      </c>
      <c r="B881" t="s">
        <v>2103</v>
      </c>
      <c r="C881" t="s">
        <v>1107</v>
      </c>
      <c r="D881" t="s">
        <v>1123</v>
      </c>
      <c r="E881" t="s">
        <v>1109</v>
      </c>
      <c r="F881" t="s">
        <v>1222</v>
      </c>
      <c r="G881">
        <v>2</v>
      </c>
      <c r="H881">
        <v>3</v>
      </c>
      <c r="I881" s="11">
        <v>46259</v>
      </c>
      <c r="J881" s="17">
        <f>IF(Items[[#This Row],[ID]]="","",IFERROR(VALUE(LOOKUP(2,1/((Log[ID]=Items[[#This Row],[ID]])*(Log[Verb]="est")),Log[Arg])),N(Items[[#This Row],[Points]])))</f>
      </c>
      <c r="K881" s="17">
        <f>IF(Items[[#This Row],[ID]]="","",IFERROR(LOOKUP(2,1/((Log[ID]=Items[[#This Row],[ID]])*(Log[Verb]="pass")),Log[Arg])&amp;"",Items[[#This Row],[Team]]&amp;""))</f>
      </c>
      <c r="L881" s="17">
        <f>IF(Items[[#This Row],[ID]]="","",IFERROR(LOOKUP(2,1/((Log[ID]=Items[[#This Row],[ID]])*(Log[Into]&lt;&gt;"")),Log[Into]),""))</f>
      </c>
      <c r="M881" s="17">
        <f>IF(Items[[#This Row],[ID]]="","",IF(IFERROR(LOOKUP(2,1/((Log[ID]=Items[[#This Row],[ID]])*(Log[Blk]&lt;&gt;"")),Log[Blk]),0)=1,"Y",""))</f>
      </c>
      <c r="N881" s="17">
        <f>IF(Items[[#This Row],[ID]]="","",SUBSTITUTE(IFERROR(LOOKUP(2,1/((Log[ID]=Items[[#This Row],[ID]])*(Log[State]&lt;&gt;"")),Log[State]),"TODO"),"OPEN",IF(Items[[#This Row],[Blocked]]="Y","WAIT","OPEN")))</f>
      </c>
      <c r="O88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81" s="17">
        <f>IF(Items[[#This Row],[State]]&lt;&gt;"WAIT","",AsOf-Items[[#This Row],[Blocked since]])</f>
      </c>
      <c r="Q881" s="17">
        <f>IF(Items[[#This Row],[State]]&lt;&gt;"WAIT","",IFERROR(LOOKUP(2,1/((Log[ID]=Items[[#This Row],[ID]])*(Log[Verb]="block")),Log[Note])&amp;"",""))</f>
      </c>
      <c r="R881" s="17">
        <f>IF(Items[[#This Row],[ID]]="","",COUNTIFS(Log[ID],Items[[#This Row],[ID]],Log[Verb],"carry"))</f>
      </c>
      <c r="S881" s="17">
        <f>IF(Items[[#This Row],[ID]]="","",COUNTIFS(Log[ID],Items[[#This Row],[ID]],Log[Verb],"punt"))</f>
      </c>
      <c r="T881" s="11">
        <f>IF(Items[[#This Row],[State]]&lt;&gt;"DONE","",IFERROR(LOOKUP(2,1/((Log[ID]=Items[[#This Row],[ID]])*(Log[Verb]="done")),Log[Date]),""))</f>
      </c>
      <c r="U881" s="17">
        <f>IF(Items[[#This Row],[ID]]="","",IF(AND(Items[[#This Row],[Sprint]]=CurSprint,OR(Items[[#This Row],[State]]="OPEN",Items[[#This Row],[State]]="WAIT",Items[[#This Row],[State]]="HOLD",Items[[#This Row],[State]]="DONE")),1,0))</f>
      </c>
      <c r="V881" s="17">
        <f>IF(OR(Items[[#This Row],[ID]]="",Items[[#This Row],[Added]]=""),"",AsOf-Items[[#This Row],[Added]])</f>
      </c>
      <c r="W881" s="17">
        <f>IF(Items[[#This Row],[In sprint]]=1,(IF(Items[[#This Row],[Prio]]="",9,N(Items[[#This Row],[Prio]]))*10+(IF(Items[[#This Row],[State]]="DONE",1,0)))*100000+ROW(),"")</f>
      </c>
      <c r="X88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81" s="17">
        <f>IF(AND(Items[[#This Row],[State]]="DONE",N(Items[[#This Row],[Done on]])&gt;AsOf-7),(200000-N(Items[[#This Row],[Done on]]))*100000+ROW(),"")</f>
      </c>
    </row>
    <row r="882">
      <c r="A882" t="s">
        <v>989</v>
      </c>
      <c r="B882" t="s">
        <v>2104</v>
      </c>
      <c r="C882" t="s">
        <v>1107</v>
      </c>
      <c r="D882" t="s">
        <v>1108</v>
      </c>
      <c r="E882" t="s">
        <v>1109</v>
      </c>
      <c r="F882" t="s">
        <v>1511</v>
      </c>
      <c r="G882">
        <v>2</v>
      </c>
      <c r="H882">
        <v>3</v>
      </c>
      <c r="I882" s="11">
        <v>46259</v>
      </c>
      <c r="J882" s="17">
        <f>IF(Items[[#This Row],[ID]]="","",IFERROR(VALUE(LOOKUP(2,1/((Log[ID]=Items[[#This Row],[ID]])*(Log[Verb]="est")),Log[Arg])),N(Items[[#This Row],[Points]])))</f>
      </c>
      <c r="K882" s="17">
        <f>IF(Items[[#This Row],[ID]]="","",IFERROR(LOOKUP(2,1/((Log[ID]=Items[[#This Row],[ID]])*(Log[Verb]="pass")),Log[Arg])&amp;"",Items[[#This Row],[Team]]&amp;""))</f>
      </c>
      <c r="L882" s="17">
        <f>IF(Items[[#This Row],[ID]]="","",IFERROR(LOOKUP(2,1/((Log[ID]=Items[[#This Row],[ID]])*(Log[Into]&lt;&gt;"")),Log[Into]),""))</f>
      </c>
      <c r="M882" s="17">
        <f>IF(Items[[#This Row],[ID]]="","",IF(IFERROR(LOOKUP(2,1/((Log[ID]=Items[[#This Row],[ID]])*(Log[Blk]&lt;&gt;"")),Log[Blk]),0)=1,"Y",""))</f>
      </c>
      <c r="N882" s="17">
        <f>IF(Items[[#This Row],[ID]]="","",SUBSTITUTE(IFERROR(LOOKUP(2,1/((Log[ID]=Items[[#This Row],[ID]])*(Log[State]&lt;&gt;"")),Log[State]),"TODO"),"OPEN",IF(Items[[#This Row],[Blocked]]="Y","WAIT","OPEN")))</f>
      </c>
      <c r="O88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82" s="17">
        <f>IF(Items[[#This Row],[State]]&lt;&gt;"WAIT","",AsOf-Items[[#This Row],[Blocked since]])</f>
      </c>
      <c r="Q882" s="17">
        <f>IF(Items[[#This Row],[State]]&lt;&gt;"WAIT","",IFERROR(LOOKUP(2,1/((Log[ID]=Items[[#This Row],[ID]])*(Log[Verb]="block")),Log[Note])&amp;"",""))</f>
      </c>
      <c r="R882" s="17">
        <f>IF(Items[[#This Row],[ID]]="","",COUNTIFS(Log[ID],Items[[#This Row],[ID]],Log[Verb],"carry"))</f>
      </c>
      <c r="S882" s="17">
        <f>IF(Items[[#This Row],[ID]]="","",COUNTIFS(Log[ID],Items[[#This Row],[ID]],Log[Verb],"punt"))</f>
      </c>
      <c r="T882" s="11">
        <f>IF(Items[[#This Row],[State]]&lt;&gt;"DONE","",IFERROR(LOOKUP(2,1/((Log[ID]=Items[[#This Row],[ID]])*(Log[Verb]="done")),Log[Date]),""))</f>
      </c>
      <c r="U882" s="17">
        <f>IF(Items[[#This Row],[ID]]="","",IF(AND(Items[[#This Row],[Sprint]]=CurSprint,OR(Items[[#This Row],[State]]="OPEN",Items[[#This Row],[State]]="WAIT",Items[[#This Row],[State]]="HOLD",Items[[#This Row],[State]]="DONE")),1,0))</f>
      </c>
      <c r="V882" s="17">
        <f>IF(OR(Items[[#This Row],[ID]]="",Items[[#This Row],[Added]]=""),"",AsOf-Items[[#This Row],[Added]])</f>
      </c>
      <c r="W882" s="17">
        <f>IF(Items[[#This Row],[In sprint]]=1,(IF(Items[[#This Row],[Prio]]="",9,N(Items[[#This Row],[Prio]]))*10+(IF(Items[[#This Row],[State]]="DONE",1,0)))*100000+ROW(),"")</f>
      </c>
      <c r="X88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82" s="17">
        <f>IF(AND(Items[[#This Row],[State]]="DONE",N(Items[[#This Row],[Done on]])&gt;AsOf-7),(200000-N(Items[[#This Row],[Done on]]))*100000+ROW(),"")</f>
      </c>
    </row>
    <row r="883">
      <c r="A883" t="s">
        <v>1054</v>
      </c>
      <c r="B883" t="s">
        <v>2105</v>
      </c>
      <c r="C883" t="s">
        <v>1115</v>
      </c>
      <c r="D883" t="s">
        <v>1116</v>
      </c>
      <c r="E883" t="s">
        <v>1109</v>
      </c>
      <c r="F883" t="s">
        <v>1370</v>
      </c>
      <c r="G883">
        <v>8</v>
      </c>
      <c r="H883">
        <v>2</v>
      </c>
      <c r="I883" s="11">
        <v>46259</v>
      </c>
      <c r="J883" s="17">
        <f>IF(Items[[#This Row],[ID]]="","",IFERROR(VALUE(LOOKUP(2,1/((Log[ID]=Items[[#This Row],[ID]])*(Log[Verb]="est")),Log[Arg])),N(Items[[#This Row],[Points]])))</f>
      </c>
      <c r="K883" s="17">
        <f>IF(Items[[#This Row],[ID]]="","",IFERROR(LOOKUP(2,1/((Log[ID]=Items[[#This Row],[ID]])*(Log[Verb]="pass")),Log[Arg])&amp;"",Items[[#This Row],[Team]]&amp;""))</f>
      </c>
      <c r="L883" s="17">
        <f>IF(Items[[#This Row],[ID]]="","",IFERROR(LOOKUP(2,1/((Log[ID]=Items[[#This Row],[ID]])*(Log[Into]&lt;&gt;"")),Log[Into]),""))</f>
      </c>
      <c r="M883" s="17">
        <f>IF(Items[[#This Row],[ID]]="","",IF(IFERROR(LOOKUP(2,1/((Log[ID]=Items[[#This Row],[ID]])*(Log[Blk]&lt;&gt;"")),Log[Blk]),0)=1,"Y",""))</f>
      </c>
      <c r="N883" s="17">
        <f>IF(Items[[#This Row],[ID]]="","",SUBSTITUTE(IFERROR(LOOKUP(2,1/((Log[ID]=Items[[#This Row],[ID]])*(Log[State]&lt;&gt;"")),Log[State]),"TODO"),"OPEN",IF(Items[[#This Row],[Blocked]]="Y","WAIT","OPEN")))</f>
      </c>
      <c r="O88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83" s="17">
        <f>IF(Items[[#This Row],[State]]&lt;&gt;"WAIT","",AsOf-Items[[#This Row],[Blocked since]])</f>
      </c>
      <c r="Q883" s="17">
        <f>IF(Items[[#This Row],[State]]&lt;&gt;"WAIT","",IFERROR(LOOKUP(2,1/((Log[ID]=Items[[#This Row],[ID]])*(Log[Verb]="block")),Log[Note])&amp;"",""))</f>
      </c>
      <c r="R883" s="17">
        <f>IF(Items[[#This Row],[ID]]="","",COUNTIFS(Log[ID],Items[[#This Row],[ID]],Log[Verb],"carry"))</f>
      </c>
      <c r="S883" s="17">
        <f>IF(Items[[#This Row],[ID]]="","",COUNTIFS(Log[ID],Items[[#This Row],[ID]],Log[Verb],"punt"))</f>
      </c>
      <c r="T883" s="11">
        <f>IF(Items[[#This Row],[State]]&lt;&gt;"DONE","",IFERROR(LOOKUP(2,1/((Log[ID]=Items[[#This Row],[ID]])*(Log[Verb]="done")),Log[Date]),""))</f>
      </c>
      <c r="U883" s="17">
        <f>IF(Items[[#This Row],[ID]]="","",IF(AND(Items[[#This Row],[Sprint]]=CurSprint,OR(Items[[#This Row],[State]]="OPEN",Items[[#This Row],[State]]="WAIT",Items[[#This Row],[State]]="HOLD",Items[[#This Row],[State]]="DONE")),1,0))</f>
      </c>
      <c r="V883" s="17">
        <f>IF(OR(Items[[#This Row],[ID]]="",Items[[#This Row],[Added]]=""),"",AsOf-Items[[#This Row],[Added]])</f>
      </c>
      <c r="W883" s="17">
        <f>IF(Items[[#This Row],[In sprint]]=1,(IF(Items[[#This Row],[Prio]]="",9,N(Items[[#This Row],[Prio]]))*10+(IF(Items[[#This Row],[State]]="DONE",1,0)))*100000+ROW(),"")</f>
      </c>
      <c r="X88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83" s="17">
        <f>IF(AND(Items[[#This Row],[State]]="DONE",N(Items[[#This Row],[Done on]])&gt;AsOf-7),(200000-N(Items[[#This Row],[Done on]]))*100000+ROW(),"")</f>
      </c>
    </row>
    <row r="884">
      <c r="A884" t="s">
        <v>990</v>
      </c>
      <c r="B884" t="s">
        <v>2106</v>
      </c>
      <c r="C884" t="s">
        <v>1107</v>
      </c>
      <c r="D884" t="s">
        <v>1108</v>
      </c>
      <c r="E884" t="s">
        <v>1109</v>
      </c>
      <c r="F884" t="s">
        <v>1220</v>
      </c>
      <c r="G884">
        <v>2</v>
      </c>
      <c r="H884">
        <v>1</v>
      </c>
      <c r="I884" s="11">
        <v>46259</v>
      </c>
      <c r="J884" s="17">
        <f>IF(Items[[#This Row],[ID]]="","",IFERROR(VALUE(LOOKUP(2,1/((Log[ID]=Items[[#This Row],[ID]])*(Log[Verb]="est")),Log[Arg])),N(Items[[#This Row],[Points]])))</f>
      </c>
      <c r="K884" s="17">
        <f>IF(Items[[#This Row],[ID]]="","",IFERROR(LOOKUP(2,1/((Log[ID]=Items[[#This Row],[ID]])*(Log[Verb]="pass")),Log[Arg])&amp;"",Items[[#This Row],[Team]]&amp;""))</f>
      </c>
      <c r="L884" s="17">
        <f>IF(Items[[#This Row],[ID]]="","",IFERROR(LOOKUP(2,1/((Log[ID]=Items[[#This Row],[ID]])*(Log[Into]&lt;&gt;"")),Log[Into]),""))</f>
      </c>
      <c r="M884" s="17">
        <f>IF(Items[[#This Row],[ID]]="","",IF(IFERROR(LOOKUP(2,1/((Log[ID]=Items[[#This Row],[ID]])*(Log[Blk]&lt;&gt;"")),Log[Blk]),0)=1,"Y",""))</f>
      </c>
      <c r="N884" s="17">
        <f>IF(Items[[#This Row],[ID]]="","",SUBSTITUTE(IFERROR(LOOKUP(2,1/((Log[ID]=Items[[#This Row],[ID]])*(Log[State]&lt;&gt;"")),Log[State]),"TODO"),"OPEN",IF(Items[[#This Row],[Blocked]]="Y","WAIT","OPEN")))</f>
      </c>
      <c r="O88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84" s="17">
        <f>IF(Items[[#This Row],[State]]&lt;&gt;"WAIT","",AsOf-Items[[#This Row],[Blocked since]])</f>
      </c>
      <c r="Q884" s="17">
        <f>IF(Items[[#This Row],[State]]&lt;&gt;"WAIT","",IFERROR(LOOKUP(2,1/((Log[ID]=Items[[#This Row],[ID]])*(Log[Verb]="block")),Log[Note])&amp;"",""))</f>
      </c>
      <c r="R884" s="17">
        <f>IF(Items[[#This Row],[ID]]="","",COUNTIFS(Log[ID],Items[[#This Row],[ID]],Log[Verb],"carry"))</f>
      </c>
      <c r="S884" s="17">
        <f>IF(Items[[#This Row],[ID]]="","",COUNTIFS(Log[ID],Items[[#This Row],[ID]],Log[Verb],"punt"))</f>
      </c>
      <c r="T884" s="11">
        <f>IF(Items[[#This Row],[State]]&lt;&gt;"DONE","",IFERROR(LOOKUP(2,1/((Log[ID]=Items[[#This Row],[ID]])*(Log[Verb]="done")),Log[Date]),""))</f>
      </c>
      <c r="U884" s="17">
        <f>IF(Items[[#This Row],[ID]]="","",IF(AND(Items[[#This Row],[Sprint]]=CurSprint,OR(Items[[#This Row],[State]]="OPEN",Items[[#This Row],[State]]="WAIT",Items[[#This Row],[State]]="HOLD",Items[[#This Row],[State]]="DONE")),1,0))</f>
      </c>
      <c r="V884" s="17">
        <f>IF(OR(Items[[#This Row],[ID]]="",Items[[#This Row],[Added]]=""),"",AsOf-Items[[#This Row],[Added]])</f>
      </c>
      <c r="W884" s="17">
        <f>IF(Items[[#This Row],[In sprint]]=1,(IF(Items[[#This Row],[Prio]]="",9,N(Items[[#This Row],[Prio]]))*10+(IF(Items[[#This Row],[State]]="DONE",1,0)))*100000+ROW(),"")</f>
      </c>
      <c r="X88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84" s="17">
        <f>IF(AND(Items[[#This Row],[State]]="DONE",N(Items[[#This Row],[Done on]])&gt;AsOf-7),(200000-N(Items[[#This Row],[Done on]]))*100000+ROW(),"")</f>
      </c>
    </row>
    <row r="885">
      <c r="A885" t="s">
        <v>991</v>
      </c>
      <c r="B885" t="s">
        <v>2107</v>
      </c>
      <c r="C885" t="s">
        <v>1115</v>
      </c>
      <c r="D885" t="s">
        <v>1119</v>
      </c>
      <c r="E885" t="s">
        <v>1109</v>
      </c>
      <c r="F885" t="s">
        <v>1300</v>
      </c>
      <c r="G885">
        <v>3</v>
      </c>
      <c r="H885">
        <v>2</v>
      </c>
      <c r="I885" s="11">
        <v>46259</v>
      </c>
      <c r="J885" s="17">
        <f>IF(Items[[#This Row],[ID]]="","",IFERROR(VALUE(LOOKUP(2,1/((Log[ID]=Items[[#This Row],[ID]])*(Log[Verb]="est")),Log[Arg])),N(Items[[#This Row],[Points]])))</f>
      </c>
      <c r="K885" s="17">
        <f>IF(Items[[#This Row],[ID]]="","",IFERROR(LOOKUP(2,1/((Log[ID]=Items[[#This Row],[ID]])*(Log[Verb]="pass")),Log[Arg])&amp;"",Items[[#This Row],[Team]]&amp;""))</f>
      </c>
      <c r="L885" s="17">
        <f>IF(Items[[#This Row],[ID]]="","",IFERROR(LOOKUP(2,1/((Log[ID]=Items[[#This Row],[ID]])*(Log[Into]&lt;&gt;"")),Log[Into]),""))</f>
      </c>
      <c r="M885" s="17">
        <f>IF(Items[[#This Row],[ID]]="","",IF(IFERROR(LOOKUP(2,1/((Log[ID]=Items[[#This Row],[ID]])*(Log[Blk]&lt;&gt;"")),Log[Blk]),0)=1,"Y",""))</f>
      </c>
      <c r="N885" s="17">
        <f>IF(Items[[#This Row],[ID]]="","",SUBSTITUTE(IFERROR(LOOKUP(2,1/((Log[ID]=Items[[#This Row],[ID]])*(Log[State]&lt;&gt;"")),Log[State]),"TODO"),"OPEN",IF(Items[[#This Row],[Blocked]]="Y","WAIT","OPEN")))</f>
      </c>
      <c r="O88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85" s="17">
        <f>IF(Items[[#This Row],[State]]&lt;&gt;"WAIT","",AsOf-Items[[#This Row],[Blocked since]])</f>
      </c>
      <c r="Q885" s="17">
        <f>IF(Items[[#This Row],[State]]&lt;&gt;"WAIT","",IFERROR(LOOKUP(2,1/((Log[ID]=Items[[#This Row],[ID]])*(Log[Verb]="block")),Log[Note])&amp;"",""))</f>
      </c>
      <c r="R885" s="17">
        <f>IF(Items[[#This Row],[ID]]="","",COUNTIFS(Log[ID],Items[[#This Row],[ID]],Log[Verb],"carry"))</f>
      </c>
      <c r="S885" s="17">
        <f>IF(Items[[#This Row],[ID]]="","",COUNTIFS(Log[ID],Items[[#This Row],[ID]],Log[Verb],"punt"))</f>
      </c>
      <c r="T885" s="11">
        <f>IF(Items[[#This Row],[State]]&lt;&gt;"DONE","",IFERROR(LOOKUP(2,1/((Log[ID]=Items[[#This Row],[ID]])*(Log[Verb]="done")),Log[Date]),""))</f>
      </c>
      <c r="U885" s="17">
        <f>IF(Items[[#This Row],[ID]]="","",IF(AND(Items[[#This Row],[Sprint]]=CurSprint,OR(Items[[#This Row],[State]]="OPEN",Items[[#This Row],[State]]="WAIT",Items[[#This Row],[State]]="HOLD",Items[[#This Row],[State]]="DONE")),1,0))</f>
      </c>
      <c r="V885" s="17">
        <f>IF(OR(Items[[#This Row],[ID]]="",Items[[#This Row],[Added]]=""),"",AsOf-Items[[#This Row],[Added]])</f>
      </c>
      <c r="W885" s="17">
        <f>IF(Items[[#This Row],[In sprint]]=1,(IF(Items[[#This Row],[Prio]]="",9,N(Items[[#This Row],[Prio]]))*10+(IF(Items[[#This Row],[State]]="DONE",1,0)))*100000+ROW(),"")</f>
      </c>
      <c r="X88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85" s="17">
        <f>IF(AND(Items[[#This Row],[State]]="DONE",N(Items[[#This Row],[Done on]])&gt;AsOf-7),(200000-N(Items[[#This Row],[Done on]]))*100000+ROW(),"")</f>
      </c>
    </row>
    <row r="886">
      <c r="A886" t="s">
        <v>1055</v>
      </c>
      <c r="B886" t="s">
        <v>2108</v>
      </c>
      <c r="C886" t="s">
        <v>1115</v>
      </c>
      <c r="D886" t="s">
        <v>1116</v>
      </c>
      <c r="E886" t="s">
        <v>1109</v>
      </c>
      <c r="F886" t="s">
        <v>1225</v>
      </c>
      <c r="G886">
        <v>2</v>
      </c>
      <c r="H886">
        <v>2</v>
      </c>
      <c r="I886" s="11">
        <v>46259</v>
      </c>
      <c r="J886" s="17">
        <f>IF(Items[[#This Row],[ID]]="","",IFERROR(VALUE(LOOKUP(2,1/((Log[ID]=Items[[#This Row],[ID]])*(Log[Verb]="est")),Log[Arg])),N(Items[[#This Row],[Points]])))</f>
      </c>
      <c r="K886" s="17">
        <f>IF(Items[[#This Row],[ID]]="","",IFERROR(LOOKUP(2,1/((Log[ID]=Items[[#This Row],[ID]])*(Log[Verb]="pass")),Log[Arg])&amp;"",Items[[#This Row],[Team]]&amp;""))</f>
      </c>
      <c r="L886" s="17">
        <f>IF(Items[[#This Row],[ID]]="","",IFERROR(LOOKUP(2,1/((Log[ID]=Items[[#This Row],[ID]])*(Log[Into]&lt;&gt;"")),Log[Into]),""))</f>
      </c>
      <c r="M886" s="17">
        <f>IF(Items[[#This Row],[ID]]="","",IF(IFERROR(LOOKUP(2,1/((Log[ID]=Items[[#This Row],[ID]])*(Log[Blk]&lt;&gt;"")),Log[Blk]),0)=1,"Y",""))</f>
      </c>
      <c r="N886" s="17">
        <f>IF(Items[[#This Row],[ID]]="","",SUBSTITUTE(IFERROR(LOOKUP(2,1/((Log[ID]=Items[[#This Row],[ID]])*(Log[State]&lt;&gt;"")),Log[State]),"TODO"),"OPEN",IF(Items[[#This Row],[Blocked]]="Y","WAIT","OPEN")))</f>
      </c>
      <c r="O88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86" s="17">
        <f>IF(Items[[#This Row],[State]]&lt;&gt;"WAIT","",AsOf-Items[[#This Row],[Blocked since]])</f>
      </c>
      <c r="Q886" s="17">
        <f>IF(Items[[#This Row],[State]]&lt;&gt;"WAIT","",IFERROR(LOOKUP(2,1/((Log[ID]=Items[[#This Row],[ID]])*(Log[Verb]="block")),Log[Note])&amp;"",""))</f>
      </c>
      <c r="R886" s="17">
        <f>IF(Items[[#This Row],[ID]]="","",COUNTIFS(Log[ID],Items[[#This Row],[ID]],Log[Verb],"carry"))</f>
      </c>
      <c r="S886" s="17">
        <f>IF(Items[[#This Row],[ID]]="","",COUNTIFS(Log[ID],Items[[#This Row],[ID]],Log[Verb],"punt"))</f>
      </c>
      <c r="T886" s="11">
        <f>IF(Items[[#This Row],[State]]&lt;&gt;"DONE","",IFERROR(LOOKUP(2,1/((Log[ID]=Items[[#This Row],[ID]])*(Log[Verb]="done")),Log[Date]),""))</f>
      </c>
      <c r="U886" s="17">
        <f>IF(Items[[#This Row],[ID]]="","",IF(AND(Items[[#This Row],[Sprint]]=CurSprint,OR(Items[[#This Row],[State]]="OPEN",Items[[#This Row],[State]]="WAIT",Items[[#This Row],[State]]="HOLD",Items[[#This Row],[State]]="DONE")),1,0))</f>
      </c>
      <c r="V886" s="17">
        <f>IF(OR(Items[[#This Row],[ID]]="",Items[[#This Row],[Added]]=""),"",AsOf-Items[[#This Row],[Added]])</f>
      </c>
      <c r="W886" s="17">
        <f>IF(Items[[#This Row],[In sprint]]=1,(IF(Items[[#This Row],[Prio]]="",9,N(Items[[#This Row],[Prio]]))*10+(IF(Items[[#This Row],[State]]="DONE",1,0)))*100000+ROW(),"")</f>
      </c>
      <c r="X88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86" s="17">
        <f>IF(AND(Items[[#This Row],[State]]="DONE",N(Items[[#This Row],[Done on]])&gt;AsOf-7),(200000-N(Items[[#This Row],[Done on]]))*100000+ROW(),"")</f>
      </c>
    </row>
    <row r="887">
      <c r="A887" t="s">
        <v>1056</v>
      </c>
      <c r="B887" t="s">
        <v>2109</v>
      </c>
      <c r="C887" t="s">
        <v>1107</v>
      </c>
      <c r="D887" t="s">
        <v>1108</v>
      </c>
      <c r="E887" t="s">
        <v>1109</v>
      </c>
      <c r="F887" t="s">
        <v>1370</v>
      </c>
      <c r="G887">
        <v>2</v>
      </c>
      <c r="H887">
        <v>2</v>
      </c>
      <c r="I887" s="11">
        <v>46259</v>
      </c>
      <c r="J887" s="17">
        <f>IF(Items[[#This Row],[ID]]="","",IFERROR(VALUE(LOOKUP(2,1/((Log[ID]=Items[[#This Row],[ID]])*(Log[Verb]="est")),Log[Arg])),N(Items[[#This Row],[Points]])))</f>
      </c>
      <c r="K887" s="17">
        <f>IF(Items[[#This Row],[ID]]="","",IFERROR(LOOKUP(2,1/((Log[ID]=Items[[#This Row],[ID]])*(Log[Verb]="pass")),Log[Arg])&amp;"",Items[[#This Row],[Team]]&amp;""))</f>
      </c>
      <c r="L887" s="17">
        <f>IF(Items[[#This Row],[ID]]="","",IFERROR(LOOKUP(2,1/((Log[ID]=Items[[#This Row],[ID]])*(Log[Into]&lt;&gt;"")),Log[Into]),""))</f>
      </c>
      <c r="M887" s="17">
        <f>IF(Items[[#This Row],[ID]]="","",IF(IFERROR(LOOKUP(2,1/((Log[ID]=Items[[#This Row],[ID]])*(Log[Blk]&lt;&gt;"")),Log[Blk]),0)=1,"Y",""))</f>
      </c>
      <c r="N887" s="17">
        <f>IF(Items[[#This Row],[ID]]="","",SUBSTITUTE(IFERROR(LOOKUP(2,1/((Log[ID]=Items[[#This Row],[ID]])*(Log[State]&lt;&gt;"")),Log[State]),"TODO"),"OPEN",IF(Items[[#This Row],[Blocked]]="Y","WAIT","OPEN")))</f>
      </c>
      <c r="O88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87" s="17">
        <f>IF(Items[[#This Row],[State]]&lt;&gt;"WAIT","",AsOf-Items[[#This Row],[Blocked since]])</f>
      </c>
      <c r="Q887" s="17">
        <f>IF(Items[[#This Row],[State]]&lt;&gt;"WAIT","",IFERROR(LOOKUP(2,1/((Log[ID]=Items[[#This Row],[ID]])*(Log[Verb]="block")),Log[Note])&amp;"",""))</f>
      </c>
      <c r="R887" s="17">
        <f>IF(Items[[#This Row],[ID]]="","",COUNTIFS(Log[ID],Items[[#This Row],[ID]],Log[Verb],"carry"))</f>
      </c>
      <c r="S887" s="17">
        <f>IF(Items[[#This Row],[ID]]="","",COUNTIFS(Log[ID],Items[[#This Row],[ID]],Log[Verb],"punt"))</f>
      </c>
      <c r="T887" s="11">
        <f>IF(Items[[#This Row],[State]]&lt;&gt;"DONE","",IFERROR(LOOKUP(2,1/((Log[ID]=Items[[#This Row],[ID]])*(Log[Verb]="done")),Log[Date]),""))</f>
      </c>
      <c r="U887" s="17">
        <f>IF(Items[[#This Row],[ID]]="","",IF(AND(Items[[#This Row],[Sprint]]=CurSprint,OR(Items[[#This Row],[State]]="OPEN",Items[[#This Row],[State]]="WAIT",Items[[#This Row],[State]]="HOLD",Items[[#This Row],[State]]="DONE")),1,0))</f>
      </c>
      <c r="V887" s="17">
        <f>IF(OR(Items[[#This Row],[ID]]="",Items[[#This Row],[Added]]=""),"",AsOf-Items[[#This Row],[Added]])</f>
      </c>
      <c r="W887" s="17">
        <f>IF(Items[[#This Row],[In sprint]]=1,(IF(Items[[#This Row],[Prio]]="",9,N(Items[[#This Row],[Prio]]))*10+(IF(Items[[#This Row],[State]]="DONE",1,0)))*100000+ROW(),"")</f>
      </c>
      <c r="X88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87" s="17">
        <f>IF(AND(Items[[#This Row],[State]]="DONE",N(Items[[#This Row],[Done on]])&gt;AsOf-7),(200000-N(Items[[#This Row],[Done on]]))*100000+ROW(),"")</f>
      </c>
    </row>
    <row r="888">
      <c r="A888" t="s">
        <v>1057</v>
      </c>
      <c r="B888" t="s">
        <v>2110</v>
      </c>
      <c r="C888" t="s">
        <v>1107</v>
      </c>
      <c r="D888" t="s">
        <v>1127</v>
      </c>
      <c r="E888" t="s">
        <v>1109</v>
      </c>
      <c r="F888" t="s">
        <v>1372</v>
      </c>
      <c r="G888">
        <v>5</v>
      </c>
      <c r="H888">
        <v>2</v>
      </c>
      <c r="I888" s="11">
        <v>46259</v>
      </c>
      <c r="J888" s="17">
        <f>IF(Items[[#This Row],[ID]]="","",IFERROR(VALUE(LOOKUP(2,1/((Log[ID]=Items[[#This Row],[ID]])*(Log[Verb]="est")),Log[Arg])),N(Items[[#This Row],[Points]])))</f>
      </c>
      <c r="K888" s="17">
        <f>IF(Items[[#This Row],[ID]]="","",IFERROR(LOOKUP(2,1/((Log[ID]=Items[[#This Row],[ID]])*(Log[Verb]="pass")),Log[Arg])&amp;"",Items[[#This Row],[Team]]&amp;""))</f>
      </c>
      <c r="L888" s="17">
        <f>IF(Items[[#This Row],[ID]]="","",IFERROR(LOOKUP(2,1/((Log[ID]=Items[[#This Row],[ID]])*(Log[Into]&lt;&gt;"")),Log[Into]),""))</f>
      </c>
      <c r="M888" s="17">
        <f>IF(Items[[#This Row],[ID]]="","",IF(IFERROR(LOOKUP(2,1/((Log[ID]=Items[[#This Row],[ID]])*(Log[Blk]&lt;&gt;"")),Log[Blk]),0)=1,"Y",""))</f>
      </c>
      <c r="N888" s="17">
        <f>IF(Items[[#This Row],[ID]]="","",SUBSTITUTE(IFERROR(LOOKUP(2,1/((Log[ID]=Items[[#This Row],[ID]])*(Log[State]&lt;&gt;"")),Log[State]),"TODO"),"OPEN",IF(Items[[#This Row],[Blocked]]="Y","WAIT","OPEN")))</f>
      </c>
      <c r="O88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88" s="17">
        <f>IF(Items[[#This Row],[State]]&lt;&gt;"WAIT","",AsOf-Items[[#This Row],[Blocked since]])</f>
      </c>
      <c r="Q888" s="17">
        <f>IF(Items[[#This Row],[State]]&lt;&gt;"WAIT","",IFERROR(LOOKUP(2,1/((Log[ID]=Items[[#This Row],[ID]])*(Log[Verb]="block")),Log[Note])&amp;"",""))</f>
      </c>
      <c r="R888" s="17">
        <f>IF(Items[[#This Row],[ID]]="","",COUNTIFS(Log[ID],Items[[#This Row],[ID]],Log[Verb],"carry"))</f>
      </c>
      <c r="S888" s="17">
        <f>IF(Items[[#This Row],[ID]]="","",COUNTIFS(Log[ID],Items[[#This Row],[ID]],Log[Verb],"punt"))</f>
      </c>
      <c r="T888" s="11">
        <f>IF(Items[[#This Row],[State]]&lt;&gt;"DONE","",IFERROR(LOOKUP(2,1/((Log[ID]=Items[[#This Row],[ID]])*(Log[Verb]="done")),Log[Date]),""))</f>
      </c>
      <c r="U888" s="17">
        <f>IF(Items[[#This Row],[ID]]="","",IF(AND(Items[[#This Row],[Sprint]]=CurSprint,OR(Items[[#This Row],[State]]="OPEN",Items[[#This Row],[State]]="WAIT",Items[[#This Row],[State]]="HOLD",Items[[#This Row],[State]]="DONE")),1,0))</f>
      </c>
      <c r="V888" s="17">
        <f>IF(OR(Items[[#This Row],[ID]]="",Items[[#This Row],[Added]]=""),"",AsOf-Items[[#This Row],[Added]])</f>
      </c>
      <c r="W888" s="17">
        <f>IF(Items[[#This Row],[In sprint]]=1,(IF(Items[[#This Row],[Prio]]="",9,N(Items[[#This Row],[Prio]]))*10+(IF(Items[[#This Row],[State]]="DONE",1,0)))*100000+ROW(),"")</f>
      </c>
      <c r="X88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88" s="17">
        <f>IF(AND(Items[[#This Row],[State]]="DONE",N(Items[[#This Row],[Done on]])&gt;AsOf-7),(200000-N(Items[[#This Row],[Done on]]))*100000+ROW(),"")</f>
      </c>
    </row>
    <row r="889">
      <c r="A889" t="s">
        <v>1058</v>
      </c>
      <c r="B889" t="s">
        <v>2111</v>
      </c>
      <c r="C889" t="s">
        <v>1115</v>
      </c>
      <c r="D889" t="s">
        <v>1116</v>
      </c>
      <c r="E889" t="s">
        <v>1109</v>
      </c>
      <c r="F889" t="s">
        <v>1110</v>
      </c>
      <c r="G889">
        <v>8</v>
      </c>
      <c r="H889">
        <v>1</v>
      </c>
      <c r="I889" s="11">
        <v>46259</v>
      </c>
      <c r="J889" s="17">
        <f>IF(Items[[#This Row],[ID]]="","",IFERROR(VALUE(LOOKUP(2,1/((Log[ID]=Items[[#This Row],[ID]])*(Log[Verb]="est")),Log[Arg])),N(Items[[#This Row],[Points]])))</f>
      </c>
      <c r="K889" s="17">
        <f>IF(Items[[#This Row],[ID]]="","",IFERROR(LOOKUP(2,1/((Log[ID]=Items[[#This Row],[ID]])*(Log[Verb]="pass")),Log[Arg])&amp;"",Items[[#This Row],[Team]]&amp;""))</f>
      </c>
      <c r="L889" s="17">
        <f>IF(Items[[#This Row],[ID]]="","",IFERROR(LOOKUP(2,1/((Log[ID]=Items[[#This Row],[ID]])*(Log[Into]&lt;&gt;"")),Log[Into]),""))</f>
      </c>
      <c r="M889" s="17">
        <f>IF(Items[[#This Row],[ID]]="","",IF(IFERROR(LOOKUP(2,1/((Log[ID]=Items[[#This Row],[ID]])*(Log[Blk]&lt;&gt;"")),Log[Blk]),0)=1,"Y",""))</f>
      </c>
      <c r="N889" s="17">
        <f>IF(Items[[#This Row],[ID]]="","",SUBSTITUTE(IFERROR(LOOKUP(2,1/((Log[ID]=Items[[#This Row],[ID]])*(Log[State]&lt;&gt;"")),Log[State]),"TODO"),"OPEN",IF(Items[[#This Row],[Blocked]]="Y","WAIT","OPEN")))</f>
      </c>
      <c r="O88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89" s="17">
        <f>IF(Items[[#This Row],[State]]&lt;&gt;"WAIT","",AsOf-Items[[#This Row],[Blocked since]])</f>
      </c>
      <c r="Q889" s="17">
        <f>IF(Items[[#This Row],[State]]&lt;&gt;"WAIT","",IFERROR(LOOKUP(2,1/((Log[ID]=Items[[#This Row],[ID]])*(Log[Verb]="block")),Log[Note])&amp;"",""))</f>
      </c>
      <c r="R889" s="17">
        <f>IF(Items[[#This Row],[ID]]="","",COUNTIFS(Log[ID],Items[[#This Row],[ID]],Log[Verb],"carry"))</f>
      </c>
      <c r="S889" s="17">
        <f>IF(Items[[#This Row],[ID]]="","",COUNTIFS(Log[ID],Items[[#This Row],[ID]],Log[Verb],"punt"))</f>
      </c>
      <c r="T889" s="11">
        <f>IF(Items[[#This Row],[State]]&lt;&gt;"DONE","",IFERROR(LOOKUP(2,1/((Log[ID]=Items[[#This Row],[ID]])*(Log[Verb]="done")),Log[Date]),""))</f>
      </c>
      <c r="U889" s="17">
        <f>IF(Items[[#This Row],[ID]]="","",IF(AND(Items[[#This Row],[Sprint]]=CurSprint,OR(Items[[#This Row],[State]]="OPEN",Items[[#This Row],[State]]="WAIT",Items[[#This Row],[State]]="HOLD",Items[[#This Row],[State]]="DONE")),1,0))</f>
      </c>
      <c r="V889" s="17">
        <f>IF(OR(Items[[#This Row],[ID]]="",Items[[#This Row],[Added]]=""),"",AsOf-Items[[#This Row],[Added]])</f>
      </c>
      <c r="W889" s="17">
        <f>IF(Items[[#This Row],[In sprint]]=1,(IF(Items[[#This Row],[Prio]]="",9,N(Items[[#This Row],[Prio]]))*10+(IF(Items[[#This Row],[State]]="DONE",1,0)))*100000+ROW(),"")</f>
      </c>
      <c r="X88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89" s="17">
        <f>IF(AND(Items[[#This Row],[State]]="DONE",N(Items[[#This Row],[Done on]])&gt;AsOf-7),(200000-N(Items[[#This Row],[Done on]]))*100000+ROW(),"")</f>
      </c>
    </row>
    <row r="890">
      <c r="A890" t="s">
        <v>1061</v>
      </c>
      <c r="B890" t="s">
        <v>2112</v>
      </c>
      <c r="C890" t="s">
        <v>1107</v>
      </c>
      <c r="D890" t="s">
        <v>1127</v>
      </c>
      <c r="E890" t="s">
        <v>1131</v>
      </c>
      <c r="F890" t="s">
        <v>1231</v>
      </c>
      <c r="G890">
        <v>3</v>
      </c>
      <c r="H890">
        <v>3</v>
      </c>
      <c r="I890" s="11">
        <v>46259</v>
      </c>
      <c r="J890" s="17">
        <f>IF(Items[[#This Row],[ID]]="","",IFERROR(VALUE(LOOKUP(2,1/((Log[ID]=Items[[#This Row],[ID]])*(Log[Verb]="est")),Log[Arg])),N(Items[[#This Row],[Points]])))</f>
      </c>
      <c r="K890" s="17">
        <f>IF(Items[[#This Row],[ID]]="","",IFERROR(LOOKUP(2,1/((Log[ID]=Items[[#This Row],[ID]])*(Log[Verb]="pass")),Log[Arg])&amp;"",Items[[#This Row],[Team]]&amp;""))</f>
      </c>
      <c r="L890" s="17">
        <f>IF(Items[[#This Row],[ID]]="","",IFERROR(LOOKUP(2,1/((Log[ID]=Items[[#This Row],[ID]])*(Log[Into]&lt;&gt;"")),Log[Into]),""))</f>
      </c>
      <c r="M890" s="17">
        <f>IF(Items[[#This Row],[ID]]="","",IF(IFERROR(LOOKUP(2,1/((Log[ID]=Items[[#This Row],[ID]])*(Log[Blk]&lt;&gt;"")),Log[Blk]),0)=1,"Y",""))</f>
      </c>
      <c r="N890" s="17">
        <f>IF(Items[[#This Row],[ID]]="","",SUBSTITUTE(IFERROR(LOOKUP(2,1/((Log[ID]=Items[[#This Row],[ID]])*(Log[State]&lt;&gt;"")),Log[State]),"TODO"),"OPEN",IF(Items[[#This Row],[Blocked]]="Y","WAIT","OPEN")))</f>
      </c>
      <c r="O89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90" s="17">
        <f>IF(Items[[#This Row],[State]]&lt;&gt;"WAIT","",AsOf-Items[[#This Row],[Blocked since]])</f>
      </c>
      <c r="Q890" s="17">
        <f>IF(Items[[#This Row],[State]]&lt;&gt;"WAIT","",IFERROR(LOOKUP(2,1/((Log[ID]=Items[[#This Row],[ID]])*(Log[Verb]="block")),Log[Note])&amp;"",""))</f>
      </c>
      <c r="R890" s="17">
        <f>IF(Items[[#This Row],[ID]]="","",COUNTIFS(Log[ID],Items[[#This Row],[ID]],Log[Verb],"carry"))</f>
      </c>
      <c r="S890" s="17">
        <f>IF(Items[[#This Row],[ID]]="","",COUNTIFS(Log[ID],Items[[#This Row],[ID]],Log[Verb],"punt"))</f>
      </c>
      <c r="T890" s="11">
        <f>IF(Items[[#This Row],[State]]&lt;&gt;"DONE","",IFERROR(LOOKUP(2,1/((Log[ID]=Items[[#This Row],[ID]])*(Log[Verb]="done")),Log[Date]),""))</f>
      </c>
      <c r="U890" s="17">
        <f>IF(Items[[#This Row],[ID]]="","",IF(AND(Items[[#This Row],[Sprint]]=CurSprint,OR(Items[[#This Row],[State]]="OPEN",Items[[#This Row],[State]]="WAIT",Items[[#This Row],[State]]="HOLD",Items[[#This Row],[State]]="DONE")),1,0))</f>
      </c>
      <c r="V890" s="17">
        <f>IF(OR(Items[[#This Row],[ID]]="",Items[[#This Row],[Added]]=""),"",AsOf-Items[[#This Row],[Added]])</f>
      </c>
      <c r="W890" s="17">
        <f>IF(Items[[#This Row],[In sprint]]=1,(IF(Items[[#This Row],[Prio]]="",9,N(Items[[#This Row],[Prio]]))*10+(IF(Items[[#This Row],[State]]="DONE",1,0)))*100000+ROW(),"")</f>
      </c>
      <c r="X89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90" s="17">
        <f>IF(AND(Items[[#This Row],[State]]="DONE",N(Items[[#This Row],[Done on]])&gt;AsOf-7),(200000-N(Items[[#This Row],[Done on]]))*100000+ROW(),"")</f>
      </c>
    </row>
    <row r="891">
      <c r="A891" t="s">
        <v>1062</v>
      </c>
      <c r="B891" t="s">
        <v>2113</v>
      </c>
      <c r="C891" t="s">
        <v>1115</v>
      </c>
      <c r="D891" t="s">
        <v>1119</v>
      </c>
      <c r="E891" t="s">
        <v>1131</v>
      </c>
      <c r="F891" t="s">
        <v>1231</v>
      </c>
      <c r="G891">
        <v>8</v>
      </c>
      <c r="H891">
        <v>1</v>
      </c>
      <c r="I891" s="11">
        <v>46259</v>
      </c>
      <c r="J891" s="17">
        <f>IF(Items[[#This Row],[ID]]="","",IFERROR(VALUE(LOOKUP(2,1/((Log[ID]=Items[[#This Row],[ID]])*(Log[Verb]="est")),Log[Arg])),N(Items[[#This Row],[Points]])))</f>
      </c>
      <c r="K891" s="17">
        <f>IF(Items[[#This Row],[ID]]="","",IFERROR(LOOKUP(2,1/((Log[ID]=Items[[#This Row],[ID]])*(Log[Verb]="pass")),Log[Arg])&amp;"",Items[[#This Row],[Team]]&amp;""))</f>
      </c>
      <c r="L891" s="17">
        <f>IF(Items[[#This Row],[ID]]="","",IFERROR(LOOKUP(2,1/((Log[ID]=Items[[#This Row],[ID]])*(Log[Into]&lt;&gt;"")),Log[Into]),""))</f>
      </c>
      <c r="M891" s="17">
        <f>IF(Items[[#This Row],[ID]]="","",IF(IFERROR(LOOKUP(2,1/((Log[ID]=Items[[#This Row],[ID]])*(Log[Blk]&lt;&gt;"")),Log[Blk]),0)=1,"Y",""))</f>
      </c>
      <c r="N891" s="17">
        <f>IF(Items[[#This Row],[ID]]="","",SUBSTITUTE(IFERROR(LOOKUP(2,1/((Log[ID]=Items[[#This Row],[ID]])*(Log[State]&lt;&gt;"")),Log[State]),"TODO"),"OPEN",IF(Items[[#This Row],[Blocked]]="Y","WAIT","OPEN")))</f>
      </c>
      <c r="O89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91" s="17">
        <f>IF(Items[[#This Row],[State]]&lt;&gt;"WAIT","",AsOf-Items[[#This Row],[Blocked since]])</f>
      </c>
      <c r="Q891" s="17">
        <f>IF(Items[[#This Row],[State]]&lt;&gt;"WAIT","",IFERROR(LOOKUP(2,1/((Log[ID]=Items[[#This Row],[ID]])*(Log[Verb]="block")),Log[Note])&amp;"",""))</f>
      </c>
      <c r="R891" s="17">
        <f>IF(Items[[#This Row],[ID]]="","",COUNTIFS(Log[ID],Items[[#This Row],[ID]],Log[Verb],"carry"))</f>
      </c>
      <c r="S891" s="17">
        <f>IF(Items[[#This Row],[ID]]="","",COUNTIFS(Log[ID],Items[[#This Row],[ID]],Log[Verb],"punt"))</f>
      </c>
      <c r="T891" s="11">
        <f>IF(Items[[#This Row],[State]]&lt;&gt;"DONE","",IFERROR(LOOKUP(2,1/((Log[ID]=Items[[#This Row],[ID]])*(Log[Verb]="done")),Log[Date]),""))</f>
      </c>
      <c r="U891" s="17">
        <f>IF(Items[[#This Row],[ID]]="","",IF(AND(Items[[#This Row],[Sprint]]=CurSprint,OR(Items[[#This Row],[State]]="OPEN",Items[[#This Row],[State]]="WAIT",Items[[#This Row],[State]]="HOLD",Items[[#This Row],[State]]="DONE")),1,0))</f>
      </c>
      <c r="V891" s="17">
        <f>IF(OR(Items[[#This Row],[ID]]="",Items[[#This Row],[Added]]=""),"",AsOf-Items[[#This Row],[Added]])</f>
      </c>
      <c r="W891" s="17">
        <f>IF(Items[[#This Row],[In sprint]]=1,(IF(Items[[#This Row],[Prio]]="",9,N(Items[[#This Row],[Prio]]))*10+(IF(Items[[#This Row],[State]]="DONE",1,0)))*100000+ROW(),"")</f>
      </c>
      <c r="X89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91" s="17">
        <f>IF(AND(Items[[#This Row],[State]]="DONE",N(Items[[#This Row],[Done on]])&gt;AsOf-7),(200000-N(Items[[#This Row],[Done on]]))*100000+ROW(),"")</f>
      </c>
    </row>
    <row r="892">
      <c r="A892" t="s">
        <v>1063</v>
      </c>
      <c r="B892" t="s">
        <v>2114</v>
      </c>
      <c r="C892" t="s">
        <v>1107</v>
      </c>
      <c r="D892" t="s">
        <v>1123</v>
      </c>
      <c r="E892" t="s">
        <v>1131</v>
      </c>
      <c r="F892" t="s">
        <v>1577</v>
      </c>
      <c r="G892">
        <v>8</v>
      </c>
      <c r="H892">
        <v>3</v>
      </c>
      <c r="I892" s="11">
        <v>46259</v>
      </c>
      <c r="J892" s="17">
        <f>IF(Items[[#This Row],[ID]]="","",IFERROR(VALUE(LOOKUP(2,1/((Log[ID]=Items[[#This Row],[ID]])*(Log[Verb]="est")),Log[Arg])),N(Items[[#This Row],[Points]])))</f>
      </c>
      <c r="K892" s="17">
        <f>IF(Items[[#This Row],[ID]]="","",IFERROR(LOOKUP(2,1/((Log[ID]=Items[[#This Row],[ID]])*(Log[Verb]="pass")),Log[Arg])&amp;"",Items[[#This Row],[Team]]&amp;""))</f>
      </c>
      <c r="L892" s="17">
        <f>IF(Items[[#This Row],[ID]]="","",IFERROR(LOOKUP(2,1/((Log[ID]=Items[[#This Row],[ID]])*(Log[Into]&lt;&gt;"")),Log[Into]),""))</f>
      </c>
      <c r="M892" s="17">
        <f>IF(Items[[#This Row],[ID]]="","",IF(IFERROR(LOOKUP(2,1/((Log[ID]=Items[[#This Row],[ID]])*(Log[Blk]&lt;&gt;"")),Log[Blk]),0)=1,"Y",""))</f>
      </c>
      <c r="N892" s="17">
        <f>IF(Items[[#This Row],[ID]]="","",SUBSTITUTE(IFERROR(LOOKUP(2,1/((Log[ID]=Items[[#This Row],[ID]])*(Log[State]&lt;&gt;"")),Log[State]),"TODO"),"OPEN",IF(Items[[#This Row],[Blocked]]="Y","WAIT","OPEN")))</f>
      </c>
      <c r="O89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92" s="17">
        <f>IF(Items[[#This Row],[State]]&lt;&gt;"WAIT","",AsOf-Items[[#This Row],[Blocked since]])</f>
      </c>
      <c r="Q892" s="17">
        <f>IF(Items[[#This Row],[State]]&lt;&gt;"WAIT","",IFERROR(LOOKUP(2,1/((Log[ID]=Items[[#This Row],[ID]])*(Log[Verb]="block")),Log[Note])&amp;"",""))</f>
      </c>
      <c r="R892" s="17">
        <f>IF(Items[[#This Row],[ID]]="","",COUNTIFS(Log[ID],Items[[#This Row],[ID]],Log[Verb],"carry"))</f>
      </c>
      <c r="S892" s="17">
        <f>IF(Items[[#This Row],[ID]]="","",COUNTIFS(Log[ID],Items[[#This Row],[ID]],Log[Verb],"punt"))</f>
      </c>
      <c r="T892" s="11">
        <f>IF(Items[[#This Row],[State]]&lt;&gt;"DONE","",IFERROR(LOOKUP(2,1/((Log[ID]=Items[[#This Row],[ID]])*(Log[Verb]="done")),Log[Date]),""))</f>
      </c>
      <c r="U892" s="17">
        <f>IF(Items[[#This Row],[ID]]="","",IF(AND(Items[[#This Row],[Sprint]]=CurSprint,OR(Items[[#This Row],[State]]="OPEN",Items[[#This Row],[State]]="WAIT",Items[[#This Row],[State]]="HOLD",Items[[#This Row],[State]]="DONE")),1,0))</f>
      </c>
      <c r="V892" s="17">
        <f>IF(OR(Items[[#This Row],[ID]]="",Items[[#This Row],[Added]]=""),"",AsOf-Items[[#This Row],[Added]])</f>
      </c>
      <c r="W892" s="17">
        <f>IF(Items[[#This Row],[In sprint]]=1,(IF(Items[[#This Row],[Prio]]="",9,N(Items[[#This Row],[Prio]]))*10+(IF(Items[[#This Row],[State]]="DONE",1,0)))*100000+ROW(),"")</f>
      </c>
      <c r="X89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92" s="17">
        <f>IF(AND(Items[[#This Row],[State]]="DONE",N(Items[[#This Row],[Done on]])&gt;AsOf-7),(200000-N(Items[[#This Row],[Done on]]))*100000+ROW(),"")</f>
      </c>
    </row>
    <row r="893">
      <c r="A893" t="s">
        <v>2115</v>
      </c>
      <c r="B893" t="s">
        <v>2116</v>
      </c>
      <c r="C893" t="s">
        <v>1115</v>
      </c>
      <c r="D893" t="s">
        <v>1116</v>
      </c>
      <c r="E893" t="s">
        <v>1131</v>
      </c>
      <c r="F893" t="s">
        <v>1168</v>
      </c>
      <c r="G893">
        <v>5</v>
      </c>
      <c r="H893">
        <v>2</v>
      </c>
      <c r="I893" s="11">
        <v>46259</v>
      </c>
      <c r="J893" s="17">
        <f>IF(Items[[#This Row],[ID]]="","",IFERROR(VALUE(LOOKUP(2,1/((Log[ID]=Items[[#This Row],[ID]])*(Log[Verb]="est")),Log[Arg])),N(Items[[#This Row],[Points]])))</f>
      </c>
      <c r="K893" s="17">
        <f>IF(Items[[#This Row],[ID]]="","",IFERROR(LOOKUP(2,1/((Log[ID]=Items[[#This Row],[ID]])*(Log[Verb]="pass")),Log[Arg])&amp;"",Items[[#This Row],[Team]]&amp;""))</f>
      </c>
      <c r="L893" s="17">
        <f>IF(Items[[#This Row],[ID]]="","",IFERROR(LOOKUP(2,1/((Log[ID]=Items[[#This Row],[ID]])*(Log[Into]&lt;&gt;"")),Log[Into]),""))</f>
      </c>
      <c r="M893" s="17">
        <f>IF(Items[[#This Row],[ID]]="","",IF(IFERROR(LOOKUP(2,1/((Log[ID]=Items[[#This Row],[ID]])*(Log[Blk]&lt;&gt;"")),Log[Blk]),0)=1,"Y",""))</f>
      </c>
      <c r="N893" s="17">
        <f>IF(Items[[#This Row],[ID]]="","",SUBSTITUTE(IFERROR(LOOKUP(2,1/((Log[ID]=Items[[#This Row],[ID]])*(Log[State]&lt;&gt;"")),Log[State]),"TODO"),"OPEN",IF(Items[[#This Row],[Blocked]]="Y","WAIT","OPEN")))</f>
      </c>
      <c r="O89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93" s="17">
        <f>IF(Items[[#This Row],[State]]&lt;&gt;"WAIT","",AsOf-Items[[#This Row],[Blocked since]])</f>
      </c>
      <c r="Q893" s="17">
        <f>IF(Items[[#This Row],[State]]&lt;&gt;"WAIT","",IFERROR(LOOKUP(2,1/((Log[ID]=Items[[#This Row],[ID]])*(Log[Verb]="block")),Log[Note])&amp;"",""))</f>
      </c>
      <c r="R893" s="17">
        <f>IF(Items[[#This Row],[ID]]="","",COUNTIFS(Log[ID],Items[[#This Row],[ID]],Log[Verb],"carry"))</f>
      </c>
      <c r="S893" s="17">
        <f>IF(Items[[#This Row],[ID]]="","",COUNTIFS(Log[ID],Items[[#This Row],[ID]],Log[Verb],"punt"))</f>
      </c>
      <c r="T893" s="11">
        <f>IF(Items[[#This Row],[State]]&lt;&gt;"DONE","",IFERROR(LOOKUP(2,1/((Log[ID]=Items[[#This Row],[ID]])*(Log[Verb]="done")),Log[Date]),""))</f>
      </c>
      <c r="U893" s="17">
        <f>IF(Items[[#This Row],[ID]]="","",IF(AND(Items[[#This Row],[Sprint]]=CurSprint,OR(Items[[#This Row],[State]]="OPEN",Items[[#This Row],[State]]="WAIT",Items[[#This Row],[State]]="HOLD",Items[[#This Row],[State]]="DONE")),1,0))</f>
      </c>
      <c r="V893" s="17">
        <f>IF(OR(Items[[#This Row],[ID]]="",Items[[#This Row],[Added]]=""),"",AsOf-Items[[#This Row],[Added]])</f>
      </c>
      <c r="W893" s="17">
        <f>IF(Items[[#This Row],[In sprint]]=1,(IF(Items[[#This Row],[Prio]]="",9,N(Items[[#This Row],[Prio]]))*10+(IF(Items[[#This Row],[State]]="DONE",1,0)))*100000+ROW(),"")</f>
      </c>
      <c r="X89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93" s="17">
        <f>IF(AND(Items[[#This Row],[State]]="DONE",N(Items[[#This Row],[Done on]])&gt;AsOf-7),(200000-N(Items[[#This Row],[Done on]]))*100000+ROW(),"")</f>
      </c>
    </row>
    <row r="894">
      <c r="A894" t="s">
        <v>2117</v>
      </c>
      <c r="B894" t="s">
        <v>2118</v>
      </c>
      <c r="C894" t="s">
        <v>1107</v>
      </c>
      <c r="D894" t="s">
        <v>1108</v>
      </c>
      <c r="E894" t="s">
        <v>1131</v>
      </c>
      <c r="F894" t="s">
        <v>1384</v>
      </c>
      <c r="G894">
        <v>5</v>
      </c>
      <c r="H894">
        <v>2</v>
      </c>
      <c r="I894" s="11">
        <v>46259</v>
      </c>
      <c r="J894" s="17">
        <f>IF(Items[[#This Row],[ID]]="","",IFERROR(VALUE(LOOKUP(2,1/((Log[ID]=Items[[#This Row],[ID]])*(Log[Verb]="est")),Log[Arg])),N(Items[[#This Row],[Points]])))</f>
      </c>
      <c r="K894" s="17">
        <f>IF(Items[[#This Row],[ID]]="","",IFERROR(LOOKUP(2,1/((Log[ID]=Items[[#This Row],[ID]])*(Log[Verb]="pass")),Log[Arg])&amp;"",Items[[#This Row],[Team]]&amp;""))</f>
      </c>
      <c r="L894" s="17">
        <f>IF(Items[[#This Row],[ID]]="","",IFERROR(LOOKUP(2,1/((Log[ID]=Items[[#This Row],[ID]])*(Log[Into]&lt;&gt;"")),Log[Into]),""))</f>
      </c>
      <c r="M894" s="17">
        <f>IF(Items[[#This Row],[ID]]="","",IF(IFERROR(LOOKUP(2,1/((Log[ID]=Items[[#This Row],[ID]])*(Log[Blk]&lt;&gt;"")),Log[Blk]),0)=1,"Y",""))</f>
      </c>
      <c r="N894" s="17">
        <f>IF(Items[[#This Row],[ID]]="","",SUBSTITUTE(IFERROR(LOOKUP(2,1/((Log[ID]=Items[[#This Row],[ID]])*(Log[State]&lt;&gt;"")),Log[State]),"TODO"),"OPEN",IF(Items[[#This Row],[Blocked]]="Y","WAIT","OPEN")))</f>
      </c>
      <c r="O89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94" s="17">
        <f>IF(Items[[#This Row],[State]]&lt;&gt;"WAIT","",AsOf-Items[[#This Row],[Blocked since]])</f>
      </c>
      <c r="Q894" s="17">
        <f>IF(Items[[#This Row],[State]]&lt;&gt;"WAIT","",IFERROR(LOOKUP(2,1/((Log[ID]=Items[[#This Row],[ID]])*(Log[Verb]="block")),Log[Note])&amp;"",""))</f>
      </c>
      <c r="R894" s="17">
        <f>IF(Items[[#This Row],[ID]]="","",COUNTIFS(Log[ID],Items[[#This Row],[ID]],Log[Verb],"carry"))</f>
      </c>
      <c r="S894" s="17">
        <f>IF(Items[[#This Row],[ID]]="","",COUNTIFS(Log[ID],Items[[#This Row],[ID]],Log[Verb],"punt"))</f>
      </c>
      <c r="T894" s="11">
        <f>IF(Items[[#This Row],[State]]&lt;&gt;"DONE","",IFERROR(LOOKUP(2,1/((Log[ID]=Items[[#This Row],[ID]])*(Log[Verb]="done")),Log[Date]),""))</f>
      </c>
      <c r="U894" s="17">
        <f>IF(Items[[#This Row],[ID]]="","",IF(AND(Items[[#This Row],[Sprint]]=CurSprint,OR(Items[[#This Row],[State]]="OPEN",Items[[#This Row],[State]]="WAIT",Items[[#This Row],[State]]="HOLD",Items[[#This Row],[State]]="DONE")),1,0))</f>
      </c>
      <c r="V894" s="17">
        <f>IF(OR(Items[[#This Row],[ID]]="",Items[[#This Row],[Added]]=""),"",AsOf-Items[[#This Row],[Added]])</f>
      </c>
      <c r="W894" s="17">
        <f>IF(Items[[#This Row],[In sprint]]=1,(IF(Items[[#This Row],[Prio]]="",9,N(Items[[#This Row],[Prio]]))*10+(IF(Items[[#This Row],[State]]="DONE",1,0)))*100000+ROW(),"")</f>
      </c>
      <c r="X89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94" s="17">
        <f>IF(AND(Items[[#This Row],[State]]="DONE",N(Items[[#This Row],[Done on]])&gt;AsOf-7),(200000-N(Items[[#This Row],[Done on]]))*100000+ROW(),"")</f>
      </c>
    </row>
    <row r="895">
      <c r="A895" t="s">
        <v>1067</v>
      </c>
      <c r="B895" t="s">
        <v>2119</v>
      </c>
      <c r="C895" t="s">
        <v>1107</v>
      </c>
      <c r="D895" t="s">
        <v>1127</v>
      </c>
      <c r="E895" t="s">
        <v>1134</v>
      </c>
      <c r="F895" t="s">
        <v>1137</v>
      </c>
      <c r="G895">
        <v>8</v>
      </c>
      <c r="H895">
        <v>3</v>
      </c>
      <c r="I895" s="11">
        <v>46259</v>
      </c>
      <c r="J895" s="17">
        <f>IF(Items[[#This Row],[ID]]="","",IFERROR(VALUE(LOOKUP(2,1/((Log[ID]=Items[[#This Row],[ID]])*(Log[Verb]="est")),Log[Arg])),N(Items[[#This Row],[Points]])))</f>
      </c>
      <c r="K895" s="17">
        <f>IF(Items[[#This Row],[ID]]="","",IFERROR(LOOKUP(2,1/((Log[ID]=Items[[#This Row],[ID]])*(Log[Verb]="pass")),Log[Arg])&amp;"",Items[[#This Row],[Team]]&amp;""))</f>
      </c>
      <c r="L895" s="17">
        <f>IF(Items[[#This Row],[ID]]="","",IFERROR(LOOKUP(2,1/((Log[ID]=Items[[#This Row],[ID]])*(Log[Into]&lt;&gt;"")),Log[Into]),""))</f>
      </c>
      <c r="M895" s="17">
        <f>IF(Items[[#This Row],[ID]]="","",IF(IFERROR(LOOKUP(2,1/((Log[ID]=Items[[#This Row],[ID]])*(Log[Blk]&lt;&gt;"")),Log[Blk]),0)=1,"Y",""))</f>
      </c>
      <c r="N895" s="17">
        <f>IF(Items[[#This Row],[ID]]="","",SUBSTITUTE(IFERROR(LOOKUP(2,1/((Log[ID]=Items[[#This Row],[ID]])*(Log[State]&lt;&gt;"")),Log[State]),"TODO"),"OPEN",IF(Items[[#This Row],[Blocked]]="Y","WAIT","OPEN")))</f>
      </c>
      <c r="O89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95" s="17">
        <f>IF(Items[[#This Row],[State]]&lt;&gt;"WAIT","",AsOf-Items[[#This Row],[Blocked since]])</f>
      </c>
      <c r="Q895" s="17">
        <f>IF(Items[[#This Row],[State]]&lt;&gt;"WAIT","",IFERROR(LOOKUP(2,1/((Log[ID]=Items[[#This Row],[ID]])*(Log[Verb]="block")),Log[Note])&amp;"",""))</f>
      </c>
      <c r="R895" s="17">
        <f>IF(Items[[#This Row],[ID]]="","",COUNTIFS(Log[ID],Items[[#This Row],[ID]],Log[Verb],"carry"))</f>
      </c>
      <c r="S895" s="17">
        <f>IF(Items[[#This Row],[ID]]="","",COUNTIFS(Log[ID],Items[[#This Row],[ID]],Log[Verb],"punt"))</f>
      </c>
      <c r="T895" s="11">
        <f>IF(Items[[#This Row],[State]]&lt;&gt;"DONE","",IFERROR(LOOKUP(2,1/((Log[ID]=Items[[#This Row],[ID]])*(Log[Verb]="done")),Log[Date]),""))</f>
      </c>
      <c r="U895" s="17">
        <f>IF(Items[[#This Row],[ID]]="","",IF(AND(Items[[#This Row],[Sprint]]=CurSprint,OR(Items[[#This Row],[State]]="OPEN",Items[[#This Row],[State]]="WAIT",Items[[#This Row],[State]]="HOLD",Items[[#This Row],[State]]="DONE")),1,0))</f>
      </c>
      <c r="V895" s="17">
        <f>IF(OR(Items[[#This Row],[ID]]="",Items[[#This Row],[Added]]=""),"",AsOf-Items[[#This Row],[Added]])</f>
      </c>
      <c r="W895" s="17">
        <f>IF(Items[[#This Row],[In sprint]]=1,(IF(Items[[#This Row],[Prio]]="",9,N(Items[[#This Row],[Prio]]))*10+(IF(Items[[#This Row],[State]]="DONE",1,0)))*100000+ROW(),"")</f>
      </c>
      <c r="X89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95" s="17">
        <f>IF(AND(Items[[#This Row],[State]]="DONE",N(Items[[#This Row],[Done on]])&gt;AsOf-7),(200000-N(Items[[#This Row],[Done on]]))*100000+ROW(),"")</f>
      </c>
    </row>
    <row r="896">
      <c r="A896" t="s">
        <v>1068</v>
      </c>
      <c r="B896" t="s">
        <v>2120</v>
      </c>
      <c r="C896" t="s">
        <v>1115</v>
      </c>
      <c r="D896" t="s">
        <v>1116</v>
      </c>
      <c r="E896" t="s">
        <v>1134</v>
      </c>
      <c r="F896" t="s">
        <v>1242</v>
      </c>
      <c r="G896">
        <v>8</v>
      </c>
      <c r="H896">
        <v>1</v>
      </c>
      <c r="I896" s="11">
        <v>46259</v>
      </c>
      <c r="J896" s="17">
        <f>IF(Items[[#This Row],[ID]]="","",IFERROR(VALUE(LOOKUP(2,1/((Log[ID]=Items[[#This Row],[ID]])*(Log[Verb]="est")),Log[Arg])),N(Items[[#This Row],[Points]])))</f>
      </c>
      <c r="K896" s="17">
        <f>IF(Items[[#This Row],[ID]]="","",IFERROR(LOOKUP(2,1/((Log[ID]=Items[[#This Row],[ID]])*(Log[Verb]="pass")),Log[Arg])&amp;"",Items[[#This Row],[Team]]&amp;""))</f>
      </c>
      <c r="L896" s="17">
        <f>IF(Items[[#This Row],[ID]]="","",IFERROR(LOOKUP(2,1/((Log[ID]=Items[[#This Row],[ID]])*(Log[Into]&lt;&gt;"")),Log[Into]),""))</f>
      </c>
      <c r="M896" s="17">
        <f>IF(Items[[#This Row],[ID]]="","",IF(IFERROR(LOOKUP(2,1/((Log[ID]=Items[[#This Row],[ID]])*(Log[Blk]&lt;&gt;"")),Log[Blk]),0)=1,"Y",""))</f>
      </c>
      <c r="N896" s="17">
        <f>IF(Items[[#This Row],[ID]]="","",SUBSTITUTE(IFERROR(LOOKUP(2,1/((Log[ID]=Items[[#This Row],[ID]])*(Log[State]&lt;&gt;"")),Log[State]),"TODO"),"OPEN",IF(Items[[#This Row],[Blocked]]="Y","WAIT","OPEN")))</f>
      </c>
      <c r="O89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96" s="17">
        <f>IF(Items[[#This Row],[State]]&lt;&gt;"WAIT","",AsOf-Items[[#This Row],[Blocked since]])</f>
      </c>
      <c r="Q896" s="17">
        <f>IF(Items[[#This Row],[State]]&lt;&gt;"WAIT","",IFERROR(LOOKUP(2,1/((Log[ID]=Items[[#This Row],[ID]])*(Log[Verb]="block")),Log[Note])&amp;"",""))</f>
      </c>
      <c r="R896" s="17">
        <f>IF(Items[[#This Row],[ID]]="","",COUNTIFS(Log[ID],Items[[#This Row],[ID]],Log[Verb],"carry"))</f>
      </c>
      <c r="S896" s="17">
        <f>IF(Items[[#This Row],[ID]]="","",COUNTIFS(Log[ID],Items[[#This Row],[ID]],Log[Verb],"punt"))</f>
      </c>
      <c r="T896" s="11">
        <f>IF(Items[[#This Row],[State]]&lt;&gt;"DONE","",IFERROR(LOOKUP(2,1/((Log[ID]=Items[[#This Row],[ID]])*(Log[Verb]="done")),Log[Date]),""))</f>
      </c>
      <c r="U896" s="17">
        <f>IF(Items[[#This Row],[ID]]="","",IF(AND(Items[[#This Row],[Sprint]]=CurSprint,OR(Items[[#This Row],[State]]="OPEN",Items[[#This Row],[State]]="WAIT",Items[[#This Row],[State]]="HOLD",Items[[#This Row],[State]]="DONE")),1,0))</f>
      </c>
      <c r="V896" s="17">
        <f>IF(OR(Items[[#This Row],[ID]]="",Items[[#This Row],[Added]]=""),"",AsOf-Items[[#This Row],[Added]])</f>
      </c>
      <c r="W896" s="17">
        <f>IF(Items[[#This Row],[In sprint]]=1,(IF(Items[[#This Row],[Prio]]="",9,N(Items[[#This Row],[Prio]]))*10+(IF(Items[[#This Row],[State]]="DONE",1,0)))*100000+ROW(),"")</f>
      </c>
      <c r="X89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96" s="17">
        <f>IF(AND(Items[[#This Row],[State]]="DONE",N(Items[[#This Row],[Done on]])&gt;AsOf-7),(200000-N(Items[[#This Row],[Done on]]))*100000+ROW(),"")</f>
      </c>
    </row>
    <row r="897">
      <c r="A897" t="s">
        <v>1069</v>
      </c>
      <c r="B897" t="s">
        <v>2121</v>
      </c>
      <c r="C897" t="s">
        <v>1107</v>
      </c>
      <c r="D897" t="s">
        <v>1127</v>
      </c>
      <c r="E897" t="s">
        <v>1134</v>
      </c>
      <c r="F897" t="s">
        <v>1137</v>
      </c>
      <c r="G897">
        <v>5</v>
      </c>
      <c r="H897">
        <v>3</v>
      </c>
      <c r="I897" s="11">
        <v>46259</v>
      </c>
      <c r="J897" s="17">
        <f>IF(Items[[#This Row],[ID]]="","",IFERROR(VALUE(LOOKUP(2,1/((Log[ID]=Items[[#This Row],[ID]])*(Log[Verb]="est")),Log[Arg])),N(Items[[#This Row],[Points]])))</f>
      </c>
      <c r="K897" s="17">
        <f>IF(Items[[#This Row],[ID]]="","",IFERROR(LOOKUP(2,1/((Log[ID]=Items[[#This Row],[ID]])*(Log[Verb]="pass")),Log[Arg])&amp;"",Items[[#This Row],[Team]]&amp;""))</f>
      </c>
      <c r="L897" s="17">
        <f>IF(Items[[#This Row],[ID]]="","",IFERROR(LOOKUP(2,1/((Log[ID]=Items[[#This Row],[ID]])*(Log[Into]&lt;&gt;"")),Log[Into]),""))</f>
      </c>
      <c r="M897" s="17">
        <f>IF(Items[[#This Row],[ID]]="","",IF(IFERROR(LOOKUP(2,1/((Log[ID]=Items[[#This Row],[ID]])*(Log[Blk]&lt;&gt;"")),Log[Blk]),0)=1,"Y",""))</f>
      </c>
      <c r="N897" s="17">
        <f>IF(Items[[#This Row],[ID]]="","",SUBSTITUTE(IFERROR(LOOKUP(2,1/((Log[ID]=Items[[#This Row],[ID]])*(Log[State]&lt;&gt;"")),Log[State]),"TODO"),"OPEN",IF(Items[[#This Row],[Blocked]]="Y","WAIT","OPEN")))</f>
      </c>
      <c r="O89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97" s="17">
        <f>IF(Items[[#This Row],[State]]&lt;&gt;"WAIT","",AsOf-Items[[#This Row],[Blocked since]])</f>
      </c>
      <c r="Q897" s="17">
        <f>IF(Items[[#This Row],[State]]&lt;&gt;"WAIT","",IFERROR(LOOKUP(2,1/((Log[ID]=Items[[#This Row],[ID]])*(Log[Verb]="block")),Log[Note])&amp;"",""))</f>
      </c>
      <c r="R897" s="17">
        <f>IF(Items[[#This Row],[ID]]="","",COUNTIFS(Log[ID],Items[[#This Row],[ID]],Log[Verb],"carry"))</f>
      </c>
      <c r="S897" s="17">
        <f>IF(Items[[#This Row],[ID]]="","",COUNTIFS(Log[ID],Items[[#This Row],[ID]],Log[Verb],"punt"))</f>
      </c>
      <c r="T897" s="11">
        <f>IF(Items[[#This Row],[State]]&lt;&gt;"DONE","",IFERROR(LOOKUP(2,1/((Log[ID]=Items[[#This Row],[ID]])*(Log[Verb]="done")),Log[Date]),""))</f>
      </c>
      <c r="U897" s="17">
        <f>IF(Items[[#This Row],[ID]]="","",IF(AND(Items[[#This Row],[Sprint]]=CurSprint,OR(Items[[#This Row],[State]]="OPEN",Items[[#This Row],[State]]="WAIT",Items[[#This Row],[State]]="HOLD",Items[[#This Row],[State]]="DONE")),1,0))</f>
      </c>
      <c r="V897" s="17">
        <f>IF(OR(Items[[#This Row],[ID]]="",Items[[#This Row],[Added]]=""),"",AsOf-Items[[#This Row],[Added]])</f>
      </c>
      <c r="W897" s="17">
        <f>IF(Items[[#This Row],[In sprint]]=1,(IF(Items[[#This Row],[Prio]]="",9,N(Items[[#This Row],[Prio]]))*10+(IF(Items[[#This Row],[State]]="DONE",1,0)))*100000+ROW(),"")</f>
      </c>
      <c r="X89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97" s="17">
        <f>IF(AND(Items[[#This Row],[State]]="DONE",N(Items[[#This Row],[Done on]])&gt;AsOf-7),(200000-N(Items[[#This Row],[Done on]]))*100000+ROW(),"")</f>
      </c>
    </row>
    <row r="898">
      <c r="A898" t="s">
        <v>1000</v>
      </c>
      <c r="B898" t="s">
        <v>2122</v>
      </c>
      <c r="C898" t="s">
        <v>1107</v>
      </c>
      <c r="D898" t="s">
        <v>1123</v>
      </c>
      <c r="E898" t="s">
        <v>1134</v>
      </c>
      <c r="F898" t="s">
        <v>1528</v>
      </c>
      <c r="G898">
        <v>2</v>
      </c>
      <c r="H898">
        <v>3</v>
      </c>
      <c r="I898" s="11">
        <v>46259</v>
      </c>
      <c r="J898" s="17">
        <f>IF(Items[[#This Row],[ID]]="","",IFERROR(VALUE(LOOKUP(2,1/((Log[ID]=Items[[#This Row],[ID]])*(Log[Verb]="est")),Log[Arg])),N(Items[[#This Row],[Points]])))</f>
      </c>
      <c r="K898" s="17">
        <f>IF(Items[[#This Row],[ID]]="","",IFERROR(LOOKUP(2,1/((Log[ID]=Items[[#This Row],[ID]])*(Log[Verb]="pass")),Log[Arg])&amp;"",Items[[#This Row],[Team]]&amp;""))</f>
      </c>
      <c r="L898" s="17">
        <f>IF(Items[[#This Row],[ID]]="","",IFERROR(LOOKUP(2,1/((Log[ID]=Items[[#This Row],[ID]])*(Log[Into]&lt;&gt;"")),Log[Into]),""))</f>
      </c>
      <c r="M898" s="17">
        <f>IF(Items[[#This Row],[ID]]="","",IF(IFERROR(LOOKUP(2,1/((Log[ID]=Items[[#This Row],[ID]])*(Log[Blk]&lt;&gt;"")),Log[Blk]),0)=1,"Y",""))</f>
      </c>
      <c r="N898" s="17">
        <f>IF(Items[[#This Row],[ID]]="","",SUBSTITUTE(IFERROR(LOOKUP(2,1/((Log[ID]=Items[[#This Row],[ID]])*(Log[State]&lt;&gt;"")),Log[State]),"TODO"),"OPEN",IF(Items[[#This Row],[Blocked]]="Y","WAIT","OPEN")))</f>
      </c>
      <c r="O89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98" s="17">
        <f>IF(Items[[#This Row],[State]]&lt;&gt;"WAIT","",AsOf-Items[[#This Row],[Blocked since]])</f>
      </c>
      <c r="Q898" s="17">
        <f>IF(Items[[#This Row],[State]]&lt;&gt;"WAIT","",IFERROR(LOOKUP(2,1/((Log[ID]=Items[[#This Row],[ID]])*(Log[Verb]="block")),Log[Note])&amp;"",""))</f>
      </c>
      <c r="R898" s="17">
        <f>IF(Items[[#This Row],[ID]]="","",COUNTIFS(Log[ID],Items[[#This Row],[ID]],Log[Verb],"carry"))</f>
      </c>
      <c r="S898" s="17">
        <f>IF(Items[[#This Row],[ID]]="","",COUNTIFS(Log[ID],Items[[#This Row],[ID]],Log[Verb],"punt"))</f>
      </c>
      <c r="T898" s="11">
        <f>IF(Items[[#This Row],[State]]&lt;&gt;"DONE","",IFERROR(LOOKUP(2,1/((Log[ID]=Items[[#This Row],[ID]])*(Log[Verb]="done")),Log[Date]),""))</f>
      </c>
      <c r="U898" s="17">
        <f>IF(Items[[#This Row],[ID]]="","",IF(AND(Items[[#This Row],[Sprint]]=CurSprint,OR(Items[[#This Row],[State]]="OPEN",Items[[#This Row],[State]]="WAIT",Items[[#This Row],[State]]="HOLD",Items[[#This Row],[State]]="DONE")),1,0))</f>
      </c>
      <c r="V898" s="17">
        <f>IF(OR(Items[[#This Row],[ID]]="",Items[[#This Row],[Added]]=""),"",AsOf-Items[[#This Row],[Added]])</f>
      </c>
      <c r="W898" s="17">
        <f>IF(Items[[#This Row],[In sprint]]=1,(IF(Items[[#This Row],[Prio]]="",9,N(Items[[#This Row],[Prio]]))*10+(IF(Items[[#This Row],[State]]="DONE",1,0)))*100000+ROW(),"")</f>
      </c>
      <c r="X89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98" s="17">
        <f>IF(AND(Items[[#This Row],[State]]="DONE",N(Items[[#This Row],[Done on]])&gt;AsOf-7),(200000-N(Items[[#This Row],[Done on]]))*100000+ROW(),"")</f>
      </c>
    </row>
    <row r="899">
      <c r="A899" t="s">
        <v>1007</v>
      </c>
      <c r="B899" t="s">
        <v>2123</v>
      </c>
      <c r="C899" t="s">
        <v>1115</v>
      </c>
      <c r="D899" t="s">
        <v>1116</v>
      </c>
      <c r="E899" t="s">
        <v>1139</v>
      </c>
      <c r="F899" t="s">
        <v>1398</v>
      </c>
      <c r="G899">
        <v>3</v>
      </c>
      <c r="H899">
        <v>2</v>
      </c>
      <c r="I899" s="11">
        <v>46259</v>
      </c>
      <c r="J899" s="17">
        <f>IF(Items[[#This Row],[ID]]="","",IFERROR(VALUE(LOOKUP(2,1/((Log[ID]=Items[[#This Row],[ID]])*(Log[Verb]="est")),Log[Arg])),N(Items[[#This Row],[Points]])))</f>
      </c>
      <c r="K899" s="17">
        <f>IF(Items[[#This Row],[ID]]="","",IFERROR(LOOKUP(2,1/((Log[ID]=Items[[#This Row],[ID]])*(Log[Verb]="pass")),Log[Arg])&amp;"",Items[[#This Row],[Team]]&amp;""))</f>
      </c>
      <c r="L899" s="17">
        <f>IF(Items[[#This Row],[ID]]="","",IFERROR(LOOKUP(2,1/((Log[ID]=Items[[#This Row],[ID]])*(Log[Into]&lt;&gt;"")),Log[Into]),""))</f>
      </c>
      <c r="M899" s="17">
        <f>IF(Items[[#This Row],[ID]]="","",IF(IFERROR(LOOKUP(2,1/((Log[ID]=Items[[#This Row],[ID]])*(Log[Blk]&lt;&gt;"")),Log[Blk]),0)=1,"Y",""))</f>
      </c>
      <c r="N899" s="17">
        <f>IF(Items[[#This Row],[ID]]="","",SUBSTITUTE(IFERROR(LOOKUP(2,1/((Log[ID]=Items[[#This Row],[ID]])*(Log[State]&lt;&gt;"")),Log[State]),"TODO"),"OPEN",IF(Items[[#This Row],[Blocked]]="Y","WAIT","OPEN")))</f>
      </c>
      <c r="O89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99" s="17">
        <f>IF(Items[[#This Row],[State]]&lt;&gt;"WAIT","",AsOf-Items[[#This Row],[Blocked since]])</f>
      </c>
      <c r="Q899" s="17">
        <f>IF(Items[[#This Row],[State]]&lt;&gt;"WAIT","",IFERROR(LOOKUP(2,1/((Log[ID]=Items[[#This Row],[ID]])*(Log[Verb]="block")),Log[Note])&amp;"",""))</f>
      </c>
      <c r="R899" s="17">
        <f>IF(Items[[#This Row],[ID]]="","",COUNTIFS(Log[ID],Items[[#This Row],[ID]],Log[Verb],"carry"))</f>
      </c>
      <c r="S899" s="17">
        <f>IF(Items[[#This Row],[ID]]="","",COUNTIFS(Log[ID],Items[[#This Row],[ID]],Log[Verb],"punt"))</f>
      </c>
      <c r="T899" s="11">
        <f>IF(Items[[#This Row],[State]]&lt;&gt;"DONE","",IFERROR(LOOKUP(2,1/((Log[ID]=Items[[#This Row],[ID]])*(Log[Verb]="done")),Log[Date]),""))</f>
      </c>
      <c r="U899" s="17">
        <f>IF(Items[[#This Row],[ID]]="","",IF(AND(Items[[#This Row],[Sprint]]=CurSprint,OR(Items[[#This Row],[State]]="OPEN",Items[[#This Row],[State]]="WAIT",Items[[#This Row],[State]]="HOLD",Items[[#This Row],[State]]="DONE")),1,0))</f>
      </c>
      <c r="V899" s="17">
        <f>IF(OR(Items[[#This Row],[ID]]="",Items[[#This Row],[Added]]=""),"",AsOf-Items[[#This Row],[Added]])</f>
      </c>
      <c r="W899" s="17">
        <f>IF(Items[[#This Row],[In sprint]]=1,(IF(Items[[#This Row],[Prio]]="",9,N(Items[[#This Row],[Prio]]))*10+(IF(Items[[#This Row],[State]]="DONE",1,0)))*100000+ROW(),"")</f>
      </c>
      <c r="X89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99" s="17">
        <f>IF(AND(Items[[#This Row],[State]]="DONE",N(Items[[#This Row],[Done on]])&gt;AsOf-7),(200000-N(Items[[#This Row],[Done on]]))*100000+ROW(),"")</f>
      </c>
    </row>
    <row r="900">
      <c r="A900" t="s">
        <v>1008</v>
      </c>
      <c r="B900" t="s">
        <v>2124</v>
      </c>
      <c r="C900" t="s">
        <v>1115</v>
      </c>
      <c r="D900" t="s">
        <v>1116</v>
      </c>
      <c r="E900" t="s">
        <v>1139</v>
      </c>
      <c r="F900" t="s">
        <v>1175</v>
      </c>
      <c r="G900">
        <v>8</v>
      </c>
      <c r="H900">
        <v>1</v>
      </c>
      <c r="I900" s="11">
        <v>46259</v>
      </c>
      <c r="J900" s="17">
        <f>IF(Items[[#This Row],[ID]]="","",IFERROR(VALUE(LOOKUP(2,1/((Log[ID]=Items[[#This Row],[ID]])*(Log[Verb]="est")),Log[Arg])),N(Items[[#This Row],[Points]])))</f>
      </c>
      <c r="K900" s="17">
        <f>IF(Items[[#This Row],[ID]]="","",IFERROR(LOOKUP(2,1/((Log[ID]=Items[[#This Row],[ID]])*(Log[Verb]="pass")),Log[Arg])&amp;"",Items[[#This Row],[Team]]&amp;""))</f>
      </c>
      <c r="L900" s="17">
        <f>IF(Items[[#This Row],[ID]]="","",IFERROR(LOOKUP(2,1/((Log[ID]=Items[[#This Row],[ID]])*(Log[Into]&lt;&gt;"")),Log[Into]),""))</f>
      </c>
      <c r="M900" s="17">
        <f>IF(Items[[#This Row],[ID]]="","",IF(IFERROR(LOOKUP(2,1/((Log[ID]=Items[[#This Row],[ID]])*(Log[Blk]&lt;&gt;"")),Log[Blk]),0)=1,"Y",""))</f>
      </c>
      <c r="N900" s="17">
        <f>IF(Items[[#This Row],[ID]]="","",SUBSTITUTE(IFERROR(LOOKUP(2,1/((Log[ID]=Items[[#This Row],[ID]])*(Log[State]&lt;&gt;"")),Log[State]),"TODO"),"OPEN",IF(Items[[#This Row],[Blocked]]="Y","WAIT","OPEN")))</f>
      </c>
      <c r="O90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00" s="17">
        <f>IF(Items[[#This Row],[State]]&lt;&gt;"WAIT","",AsOf-Items[[#This Row],[Blocked since]])</f>
      </c>
      <c r="Q900" s="17">
        <f>IF(Items[[#This Row],[State]]&lt;&gt;"WAIT","",IFERROR(LOOKUP(2,1/((Log[ID]=Items[[#This Row],[ID]])*(Log[Verb]="block")),Log[Note])&amp;"",""))</f>
      </c>
      <c r="R900" s="17">
        <f>IF(Items[[#This Row],[ID]]="","",COUNTIFS(Log[ID],Items[[#This Row],[ID]],Log[Verb],"carry"))</f>
      </c>
      <c r="S900" s="17">
        <f>IF(Items[[#This Row],[ID]]="","",COUNTIFS(Log[ID],Items[[#This Row],[ID]],Log[Verb],"punt"))</f>
      </c>
      <c r="T900" s="11">
        <f>IF(Items[[#This Row],[State]]&lt;&gt;"DONE","",IFERROR(LOOKUP(2,1/((Log[ID]=Items[[#This Row],[ID]])*(Log[Verb]="done")),Log[Date]),""))</f>
      </c>
      <c r="U900" s="17">
        <f>IF(Items[[#This Row],[ID]]="","",IF(AND(Items[[#This Row],[Sprint]]=CurSprint,OR(Items[[#This Row],[State]]="OPEN",Items[[#This Row],[State]]="WAIT",Items[[#This Row],[State]]="HOLD",Items[[#This Row],[State]]="DONE")),1,0))</f>
      </c>
      <c r="V900" s="17">
        <f>IF(OR(Items[[#This Row],[ID]]="",Items[[#This Row],[Added]]=""),"",AsOf-Items[[#This Row],[Added]])</f>
      </c>
      <c r="W900" s="17">
        <f>IF(Items[[#This Row],[In sprint]]=1,(IF(Items[[#This Row],[Prio]]="",9,N(Items[[#This Row],[Prio]]))*10+(IF(Items[[#This Row],[State]]="DONE",1,0)))*100000+ROW(),"")</f>
      </c>
      <c r="X90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00" s="17">
        <f>IF(AND(Items[[#This Row],[State]]="DONE",N(Items[[#This Row],[Done on]])&gt;AsOf-7),(200000-N(Items[[#This Row],[Done on]]))*100000+ROW(),"")</f>
      </c>
    </row>
    <row r="901">
      <c r="A901" t="s">
        <v>1070</v>
      </c>
      <c r="B901" t="s">
        <v>2125</v>
      </c>
      <c r="C901" t="s">
        <v>1107</v>
      </c>
      <c r="D901" t="s">
        <v>1127</v>
      </c>
      <c r="E901" t="s">
        <v>1139</v>
      </c>
      <c r="F901" t="s">
        <v>1175</v>
      </c>
      <c r="G901">
        <v>3</v>
      </c>
      <c r="H901">
        <v>1</v>
      </c>
      <c r="I901" s="11">
        <v>46259</v>
      </c>
      <c r="J901" s="17">
        <f>IF(Items[[#This Row],[ID]]="","",IFERROR(VALUE(LOOKUP(2,1/((Log[ID]=Items[[#This Row],[ID]])*(Log[Verb]="est")),Log[Arg])),N(Items[[#This Row],[Points]])))</f>
      </c>
      <c r="K901" s="17">
        <f>IF(Items[[#This Row],[ID]]="","",IFERROR(LOOKUP(2,1/((Log[ID]=Items[[#This Row],[ID]])*(Log[Verb]="pass")),Log[Arg])&amp;"",Items[[#This Row],[Team]]&amp;""))</f>
      </c>
      <c r="L901" s="17">
        <f>IF(Items[[#This Row],[ID]]="","",IFERROR(LOOKUP(2,1/((Log[ID]=Items[[#This Row],[ID]])*(Log[Into]&lt;&gt;"")),Log[Into]),""))</f>
      </c>
      <c r="M901" s="17">
        <f>IF(Items[[#This Row],[ID]]="","",IF(IFERROR(LOOKUP(2,1/((Log[ID]=Items[[#This Row],[ID]])*(Log[Blk]&lt;&gt;"")),Log[Blk]),0)=1,"Y",""))</f>
      </c>
      <c r="N901" s="17">
        <f>IF(Items[[#This Row],[ID]]="","",SUBSTITUTE(IFERROR(LOOKUP(2,1/((Log[ID]=Items[[#This Row],[ID]])*(Log[State]&lt;&gt;"")),Log[State]),"TODO"),"OPEN",IF(Items[[#This Row],[Blocked]]="Y","WAIT","OPEN")))</f>
      </c>
      <c r="O90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01" s="17">
        <f>IF(Items[[#This Row],[State]]&lt;&gt;"WAIT","",AsOf-Items[[#This Row],[Blocked since]])</f>
      </c>
      <c r="Q901" s="17">
        <f>IF(Items[[#This Row],[State]]&lt;&gt;"WAIT","",IFERROR(LOOKUP(2,1/((Log[ID]=Items[[#This Row],[ID]])*(Log[Verb]="block")),Log[Note])&amp;"",""))</f>
      </c>
      <c r="R901" s="17">
        <f>IF(Items[[#This Row],[ID]]="","",COUNTIFS(Log[ID],Items[[#This Row],[ID]],Log[Verb],"carry"))</f>
      </c>
      <c r="S901" s="17">
        <f>IF(Items[[#This Row],[ID]]="","",COUNTIFS(Log[ID],Items[[#This Row],[ID]],Log[Verb],"punt"))</f>
      </c>
      <c r="T901" s="11">
        <f>IF(Items[[#This Row],[State]]&lt;&gt;"DONE","",IFERROR(LOOKUP(2,1/((Log[ID]=Items[[#This Row],[ID]])*(Log[Verb]="done")),Log[Date]),""))</f>
      </c>
      <c r="U901" s="17">
        <f>IF(Items[[#This Row],[ID]]="","",IF(AND(Items[[#This Row],[Sprint]]=CurSprint,OR(Items[[#This Row],[State]]="OPEN",Items[[#This Row],[State]]="WAIT",Items[[#This Row],[State]]="HOLD",Items[[#This Row],[State]]="DONE")),1,0))</f>
      </c>
      <c r="V901" s="17">
        <f>IF(OR(Items[[#This Row],[ID]]="",Items[[#This Row],[Added]]=""),"",AsOf-Items[[#This Row],[Added]])</f>
      </c>
      <c r="W901" s="17">
        <f>IF(Items[[#This Row],[In sprint]]=1,(IF(Items[[#This Row],[Prio]]="",9,N(Items[[#This Row],[Prio]]))*10+(IF(Items[[#This Row],[State]]="DONE",1,0)))*100000+ROW(),"")</f>
      </c>
      <c r="X90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01" s="17">
        <f>IF(AND(Items[[#This Row],[State]]="DONE",N(Items[[#This Row],[Done on]])&gt;AsOf-7),(200000-N(Items[[#This Row],[Done on]]))*100000+ROW(),"")</f>
      </c>
    </row>
    <row r="902">
      <c r="A902" t="s">
        <v>1071</v>
      </c>
      <c r="B902" t="s">
        <v>2126</v>
      </c>
      <c r="C902" t="s">
        <v>1107</v>
      </c>
      <c r="D902" t="s">
        <v>1108</v>
      </c>
      <c r="E902" t="s">
        <v>1139</v>
      </c>
      <c r="F902" t="s">
        <v>1140</v>
      </c>
      <c r="G902">
        <v>2</v>
      </c>
      <c r="H902">
        <v>2</v>
      </c>
      <c r="I902" s="11">
        <v>46259</v>
      </c>
      <c r="J902" s="17">
        <f>IF(Items[[#This Row],[ID]]="","",IFERROR(VALUE(LOOKUP(2,1/((Log[ID]=Items[[#This Row],[ID]])*(Log[Verb]="est")),Log[Arg])),N(Items[[#This Row],[Points]])))</f>
      </c>
      <c r="K902" s="17">
        <f>IF(Items[[#This Row],[ID]]="","",IFERROR(LOOKUP(2,1/((Log[ID]=Items[[#This Row],[ID]])*(Log[Verb]="pass")),Log[Arg])&amp;"",Items[[#This Row],[Team]]&amp;""))</f>
      </c>
      <c r="L902" s="17">
        <f>IF(Items[[#This Row],[ID]]="","",IFERROR(LOOKUP(2,1/((Log[ID]=Items[[#This Row],[ID]])*(Log[Into]&lt;&gt;"")),Log[Into]),""))</f>
      </c>
      <c r="M902" s="17">
        <f>IF(Items[[#This Row],[ID]]="","",IF(IFERROR(LOOKUP(2,1/((Log[ID]=Items[[#This Row],[ID]])*(Log[Blk]&lt;&gt;"")),Log[Blk]),0)=1,"Y",""))</f>
      </c>
      <c r="N902" s="17">
        <f>IF(Items[[#This Row],[ID]]="","",SUBSTITUTE(IFERROR(LOOKUP(2,1/((Log[ID]=Items[[#This Row],[ID]])*(Log[State]&lt;&gt;"")),Log[State]),"TODO"),"OPEN",IF(Items[[#This Row],[Blocked]]="Y","WAIT","OPEN")))</f>
      </c>
      <c r="O90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02" s="17">
        <f>IF(Items[[#This Row],[State]]&lt;&gt;"WAIT","",AsOf-Items[[#This Row],[Blocked since]])</f>
      </c>
      <c r="Q902" s="17">
        <f>IF(Items[[#This Row],[State]]&lt;&gt;"WAIT","",IFERROR(LOOKUP(2,1/((Log[ID]=Items[[#This Row],[ID]])*(Log[Verb]="block")),Log[Note])&amp;"",""))</f>
      </c>
      <c r="R902" s="17">
        <f>IF(Items[[#This Row],[ID]]="","",COUNTIFS(Log[ID],Items[[#This Row],[ID]],Log[Verb],"carry"))</f>
      </c>
      <c r="S902" s="17">
        <f>IF(Items[[#This Row],[ID]]="","",COUNTIFS(Log[ID],Items[[#This Row],[ID]],Log[Verb],"punt"))</f>
      </c>
      <c r="T902" s="11">
        <f>IF(Items[[#This Row],[State]]&lt;&gt;"DONE","",IFERROR(LOOKUP(2,1/((Log[ID]=Items[[#This Row],[ID]])*(Log[Verb]="done")),Log[Date]),""))</f>
      </c>
      <c r="U902" s="17">
        <f>IF(Items[[#This Row],[ID]]="","",IF(AND(Items[[#This Row],[Sprint]]=CurSprint,OR(Items[[#This Row],[State]]="OPEN",Items[[#This Row],[State]]="WAIT",Items[[#This Row],[State]]="HOLD",Items[[#This Row],[State]]="DONE")),1,0))</f>
      </c>
      <c r="V902" s="17">
        <f>IF(OR(Items[[#This Row],[ID]]="",Items[[#This Row],[Added]]=""),"",AsOf-Items[[#This Row],[Added]])</f>
      </c>
      <c r="W902" s="17">
        <f>IF(Items[[#This Row],[In sprint]]=1,(IF(Items[[#This Row],[Prio]]="",9,N(Items[[#This Row],[Prio]]))*10+(IF(Items[[#This Row],[State]]="DONE",1,0)))*100000+ROW(),"")</f>
      </c>
      <c r="X90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02" s="17">
        <f>IF(AND(Items[[#This Row],[State]]="DONE",N(Items[[#This Row],[Done on]])&gt;AsOf-7),(200000-N(Items[[#This Row],[Done on]]))*100000+ROW(),"")</f>
      </c>
    </row>
    <row r="903">
      <c r="A903" t="s">
        <v>1072</v>
      </c>
      <c r="B903" t="s">
        <v>2127</v>
      </c>
      <c r="C903" t="s">
        <v>1115</v>
      </c>
      <c r="D903" t="s">
        <v>1119</v>
      </c>
      <c r="E903" t="s">
        <v>1139</v>
      </c>
      <c r="F903" t="s">
        <v>1249</v>
      </c>
      <c r="G903">
        <v>2</v>
      </c>
      <c r="H903">
        <v>3</v>
      </c>
      <c r="I903" s="11">
        <v>46259</v>
      </c>
      <c r="J903" s="17">
        <f>IF(Items[[#This Row],[ID]]="","",IFERROR(VALUE(LOOKUP(2,1/((Log[ID]=Items[[#This Row],[ID]])*(Log[Verb]="est")),Log[Arg])),N(Items[[#This Row],[Points]])))</f>
      </c>
      <c r="K903" s="17">
        <f>IF(Items[[#This Row],[ID]]="","",IFERROR(LOOKUP(2,1/((Log[ID]=Items[[#This Row],[ID]])*(Log[Verb]="pass")),Log[Arg])&amp;"",Items[[#This Row],[Team]]&amp;""))</f>
      </c>
      <c r="L903" s="17">
        <f>IF(Items[[#This Row],[ID]]="","",IFERROR(LOOKUP(2,1/((Log[ID]=Items[[#This Row],[ID]])*(Log[Into]&lt;&gt;"")),Log[Into]),""))</f>
      </c>
      <c r="M903" s="17">
        <f>IF(Items[[#This Row],[ID]]="","",IF(IFERROR(LOOKUP(2,1/((Log[ID]=Items[[#This Row],[ID]])*(Log[Blk]&lt;&gt;"")),Log[Blk]),0)=1,"Y",""))</f>
      </c>
      <c r="N903" s="17">
        <f>IF(Items[[#This Row],[ID]]="","",SUBSTITUTE(IFERROR(LOOKUP(2,1/((Log[ID]=Items[[#This Row],[ID]])*(Log[State]&lt;&gt;"")),Log[State]),"TODO"),"OPEN",IF(Items[[#This Row],[Blocked]]="Y","WAIT","OPEN")))</f>
      </c>
      <c r="O90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03" s="17">
        <f>IF(Items[[#This Row],[State]]&lt;&gt;"WAIT","",AsOf-Items[[#This Row],[Blocked since]])</f>
      </c>
      <c r="Q903" s="17">
        <f>IF(Items[[#This Row],[State]]&lt;&gt;"WAIT","",IFERROR(LOOKUP(2,1/((Log[ID]=Items[[#This Row],[ID]])*(Log[Verb]="block")),Log[Note])&amp;"",""))</f>
      </c>
      <c r="R903" s="17">
        <f>IF(Items[[#This Row],[ID]]="","",COUNTIFS(Log[ID],Items[[#This Row],[ID]],Log[Verb],"carry"))</f>
      </c>
      <c r="S903" s="17">
        <f>IF(Items[[#This Row],[ID]]="","",COUNTIFS(Log[ID],Items[[#This Row],[ID]],Log[Verb],"punt"))</f>
      </c>
      <c r="T903" s="11">
        <f>IF(Items[[#This Row],[State]]&lt;&gt;"DONE","",IFERROR(LOOKUP(2,1/((Log[ID]=Items[[#This Row],[ID]])*(Log[Verb]="done")),Log[Date]),""))</f>
      </c>
      <c r="U903" s="17">
        <f>IF(Items[[#This Row],[ID]]="","",IF(AND(Items[[#This Row],[Sprint]]=CurSprint,OR(Items[[#This Row],[State]]="OPEN",Items[[#This Row],[State]]="WAIT",Items[[#This Row],[State]]="HOLD",Items[[#This Row],[State]]="DONE")),1,0))</f>
      </c>
      <c r="V903" s="17">
        <f>IF(OR(Items[[#This Row],[ID]]="",Items[[#This Row],[Added]]=""),"",AsOf-Items[[#This Row],[Added]])</f>
      </c>
      <c r="W903" s="17">
        <f>IF(Items[[#This Row],[In sprint]]=1,(IF(Items[[#This Row],[Prio]]="",9,N(Items[[#This Row],[Prio]]))*10+(IF(Items[[#This Row],[State]]="DONE",1,0)))*100000+ROW(),"")</f>
      </c>
      <c r="X90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03" s="17">
        <f>IF(AND(Items[[#This Row],[State]]="DONE",N(Items[[#This Row],[Done on]])&gt;AsOf-7),(200000-N(Items[[#This Row],[Done on]]))*100000+ROW(),"")</f>
      </c>
    </row>
    <row r="904">
      <c r="A904" t="s">
        <v>1073</v>
      </c>
      <c r="B904" t="s">
        <v>2128</v>
      </c>
      <c r="C904" t="s">
        <v>1107</v>
      </c>
      <c r="D904" t="s">
        <v>1123</v>
      </c>
      <c r="E904" t="s">
        <v>1139</v>
      </c>
      <c r="F904" t="s">
        <v>1175</v>
      </c>
      <c r="G904">
        <v>2</v>
      </c>
      <c r="H904">
        <v>3</v>
      </c>
      <c r="I904" s="11">
        <v>46259</v>
      </c>
      <c r="J904" s="17">
        <f>IF(Items[[#This Row],[ID]]="","",IFERROR(VALUE(LOOKUP(2,1/((Log[ID]=Items[[#This Row],[ID]])*(Log[Verb]="est")),Log[Arg])),N(Items[[#This Row],[Points]])))</f>
      </c>
      <c r="K904" s="17">
        <f>IF(Items[[#This Row],[ID]]="","",IFERROR(LOOKUP(2,1/((Log[ID]=Items[[#This Row],[ID]])*(Log[Verb]="pass")),Log[Arg])&amp;"",Items[[#This Row],[Team]]&amp;""))</f>
      </c>
      <c r="L904" s="17">
        <f>IF(Items[[#This Row],[ID]]="","",IFERROR(LOOKUP(2,1/((Log[ID]=Items[[#This Row],[ID]])*(Log[Into]&lt;&gt;"")),Log[Into]),""))</f>
      </c>
      <c r="M904" s="17">
        <f>IF(Items[[#This Row],[ID]]="","",IF(IFERROR(LOOKUP(2,1/((Log[ID]=Items[[#This Row],[ID]])*(Log[Blk]&lt;&gt;"")),Log[Blk]),0)=1,"Y",""))</f>
      </c>
      <c r="N904" s="17">
        <f>IF(Items[[#This Row],[ID]]="","",SUBSTITUTE(IFERROR(LOOKUP(2,1/((Log[ID]=Items[[#This Row],[ID]])*(Log[State]&lt;&gt;"")),Log[State]),"TODO"),"OPEN",IF(Items[[#This Row],[Blocked]]="Y","WAIT","OPEN")))</f>
      </c>
      <c r="O90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04" s="17">
        <f>IF(Items[[#This Row],[State]]&lt;&gt;"WAIT","",AsOf-Items[[#This Row],[Blocked since]])</f>
      </c>
      <c r="Q904" s="17">
        <f>IF(Items[[#This Row],[State]]&lt;&gt;"WAIT","",IFERROR(LOOKUP(2,1/((Log[ID]=Items[[#This Row],[ID]])*(Log[Verb]="block")),Log[Note])&amp;"",""))</f>
      </c>
      <c r="R904" s="17">
        <f>IF(Items[[#This Row],[ID]]="","",COUNTIFS(Log[ID],Items[[#This Row],[ID]],Log[Verb],"carry"))</f>
      </c>
      <c r="S904" s="17">
        <f>IF(Items[[#This Row],[ID]]="","",COUNTIFS(Log[ID],Items[[#This Row],[ID]],Log[Verb],"punt"))</f>
      </c>
      <c r="T904" s="11">
        <f>IF(Items[[#This Row],[State]]&lt;&gt;"DONE","",IFERROR(LOOKUP(2,1/((Log[ID]=Items[[#This Row],[ID]])*(Log[Verb]="done")),Log[Date]),""))</f>
      </c>
      <c r="U904" s="17">
        <f>IF(Items[[#This Row],[ID]]="","",IF(AND(Items[[#This Row],[Sprint]]=CurSprint,OR(Items[[#This Row],[State]]="OPEN",Items[[#This Row],[State]]="WAIT",Items[[#This Row],[State]]="HOLD",Items[[#This Row],[State]]="DONE")),1,0))</f>
      </c>
      <c r="V904" s="17">
        <f>IF(OR(Items[[#This Row],[ID]]="",Items[[#This Row],[Added]]=""),"",AsOf-Items[[#This Row],[Added]])</f>
      </c>
      <c r="W904" s="17">
        <f>IF(Items[[#This Row],[In sprint]]=1,(IF(Items[[#This Row],[Prio]]="",9,N(Items[[#This Row],[Prio]]))*10+(IF(Items[[#This Row],[State]]="DONE",1,0)))*100000+ROW(),"")</f>
      </c>
      <c r="X90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04" s="17">
        <f>IF(AND(Items[[#This Row],[State]]="DONE",N(Items[[#This Row],[Done on]])&gt;AsOf-7),(200000-N(Items[[#This Row],[Done on]]))*100000+ROW(),"")</f>
      </c>
    </row>
    <row r="905">
      <c r="A905" t="s">
        <v>1074</v>
      </c>
      <c r="B905" t="s">
        <v>2129</v>
      </c>
      <c r="C905" t="s">
        <v>1115</v>
      </c>
      <c r="D905" t="s">
        <v>1116</v>
      </c>
      <c r="E905" t="s">
        <v>1139</v>
      </c>
      <c r="F905" t="s">
        <v>1395</v>
      </c>
      <c r="G905">
        <v>2</v>
      </c>
      <c r="H905">
        <v>2</v>
      </c>
      <c r="I905" s="11">
        <v>46259</v>
      </c>
      <c r="J905" s="17">
        <f>IF(Items[[#This Row],[ID]]="","",IFERROR(VALUE(LOOKUP(2,1/((Log[ID]=Items[[#This Row],[ID]])*(Log[Verb]="est")),Log[Arg])),N(Items[[#This Row],[Points]])))</f>
      </c>
      <c r="K905" s="17">
        <f>IF(Items[[#This Row],[ID]]="","",IFERROR(LOOKUP(2,1/((Log[ID]=Items[[#This Row],[ID]])*(Log[Verb]="pass")),Log[Arg])&amp;"",Items[[#This Row],[Team]]&amp;""))</f>
      </c>
      <c r="L905" s="17">
        <f>IF(Items[[#This Row],[ID]]="","",IFERROR(LOOKUP(2,1/((Log[ID]=Items[[#This Row],[ID]])*(Log[Into]&lt;&gt;"")),Log[Into]),""))</f>
      </c>
      <c r="M905" s="17">
        <f>IF(Items[[#This Row],[ID]]="","",IF(IFERROR(LOOKUP(2,1/((Log[ID]=Items[[#This Row],[ID]])*(Log[Blk]&lt;&gt;"")),Log[Blk]),0)=1,"Y",""))</f>
      </c>
      <c r="N905" s="17">
        <f>IF(Items[[#This Row],[ID]]="","",SUBSTITUTE(IFERROR(LOOKUP(2,1/((Log[ID]=Items[[#This Row],[ID]])*(Log[State]&lt;&gt;"")),Log[State]),"TODO"),"OPEN",IF(Items[[#This Row],[Blocked]]="Y","WAIT","OPEN")))</f>
      </c>
      <c r="O90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05" s="17">
        <f>IF(Items[[#This Row],[State]]&lt;&gt;"WAIT","",AsOf-Items[[#This Row],[Blocked since]])</f>
      </c>
      <c r="Q905" s="17">
        <f>IF(Items[[#This Row],[State]]&lt;&gt;"WAIT","",IFERROR(LOOKUP(2,1/((Log[ID]=Items[[#This Row],[ID]])*(Log[Verb]="block")),Log[Note])&amp;"",""))</f>
      </c>
      <c r="R905" s="17">
        <f>IF(Items[[#This Row],[ID]]="","",COUNTIFS(Log[ID],Items[[#This Row],[ID]],Log[Verb],"carry"))</f>
      </c>
      <c r="S905" s="17">
        <f>IF(Items[[#This Row],[ID]]="","",COUNTIFS(Log[ID],Items[[#This Row],[ID]],Log[Verb],"punt"))</f>
      </c>
      <c r="T905" s="11">
        <f>IF(Items[[#This Row],[State]]&lt;&gt;"DONE","",IFERROR(LOOKUP(2,1/((Log[ID]=Items[[#This Row],[ID]])*(Log[Verb]="done")),Log[Date]),""))</f>
      </c>
      <c r="U905" s="17">
        <f>IF(Items[[#This Row],[ID]]="","",IF(AND(Items[[#This Row],[Sprint]]=CurSprint,OR(Items[[#This Row],[State]]="OPEN",Items[[#This Row],[State]]="WAIT",Items[[#This Row],[State]]="HOLD",Items[[#This Row],[State]]="DONE")),1,0))</f>
      </c>
      <c r="V905" s="17">
        <f>IF(OR(Items[[#This Row],[ID]]="",Items[[#This Row],[Added]]=""),"",AsOf-Items[[#This Row],[Added]])</f>
      </c>
      <c r="W905" s="17">
        <f>IF(Items[[#This Row],[In sprint]]=1,(IF(Items[[#This Row],[Prio]]="",9,N(Items[[#This Row],[Prio]]))*10+(IF(Items[[#This Row],[State]]="DONE",1,0)))*100000+ROW(),"")</f>
      </c>
      <c r="X90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05" s="17">
        <f>IF(AND(Items[[#This Row],[State]]="DONE",N(Items[[#This Row],[Done on]])&gt;AsOf-7),(200000-N(Items[[#This Row],[Done on]]))*100000+ROW(),"")</f>
      </c>
    </row>
    <row r="906">
      <c r="A906" t="s">
        <v>1075</v>
      </c>
      <c r="B906" t="s">
        <v>2130</v>
      </c>
      <c r="C906" t="s">
        <v>1115</v>
      </c>
      <c r="D906" t="s">
        <v>1116</v>
      </c>
      <c r="E906" t="s">
        <v>1139</v>
      </c>
      <c r="F906" t="s">
        <v>1586</v>
      </c>
      <c r="G906">
        <v>2</v>
      </c>
      <c r="H906">
        <v>1</v>
      </c>
      <c r="I906" s="11">
        <v>46259</v>
      </c>
      <c r="J906" s="17">
        <f>IF(Items[[#This Row],[ID]]="","",IFERROR(VALUE(LOOKUP(2,1/((Log[ID]=Items[[#This Row],[ID]])*(Log[Verb]="est")),Log[Arg])),N(Items[[#This Row],[Points]])))</f>
      </c>
      <c r="K906" s="17">
        <f>IF(Items[[#This Row],[ID]]="","",IFERROR(LOOKUP(2,1/((Log[ID]=Items[[#This Row],[ID]])*(Log[Verb]="pass")),Log[Arg])&amp;"",Items[[#This Row],[Team]]&amp;""))</f>
      </c>
      <c r="L906" s="17">
        <f>IF(Items[[#This Row],[ID]]="","",IFERROR(LOOKUP(2,1/((Log[ID]=Items[[#This Row],[ID]])*(Log[Into]&lt;&gt;"")),Log[Into]),""))</f>
      </c>
      <c r="M906" s="17">
        <f>IF(Items[[#This Row],[ID]]="","",IF(IFERROR(LOOKUP(2,1/((Log[ID]=Items[[#This Row],[ID]])*(Log[Blk]&lt;&gt;"")),Log[Blk]),0)=1,"Y",""))</f>
      </c>
      <c r="N906" s="17">
        <f>IF(Items[[#This Row],[ID]]="","",SUBSTITUTE(IFERROR(LOOKUP(2,1/((Log[ID]=Items[[#This Row],[ID]])*(Log[State]&lt;&gt;"")),Log[State]),"TODO"),"OPEN",IF(Items[[#This Row],[Blocked]]="Y","WAIT","OPEN")))</f>
      </c>
      <c r="O90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06" s="17">
        <f>IF(Items[[#This Row],[State]]&lt;&gt;"WAIT","",AsOf-Items[[#This Row],[Blocked since]])</f>
      </c>
      <c r="Q906" s="17">
        <f>IF(Items[[#This Row],[State]]&lt;&gt;"WAIT","",IFERROR(LOOKUP(2,1/((Log[ID]=Items[[#This Row],[ID]])*(Log[Verb]="block")),Log[Note])&amp;"",""))</f>
      </c>
      <c r="R906" s="17">
        <f>IF(Items[[#This Row],[ID]]="","",COUNTIFS(Log[ID],Items[[#This Row],[ID]],Log[Verb],"carry"))</f>
      </c>
      <c r="S906" s="17">
        <f>IF(Items[[#This Row],[ID]]="","",COUNTIFS(Log[ID],Items[[#This Row],[ID]],Log[Verb],"punt"))</f>
      </c>
      <c r="T906" s="11">
        <f>IF(Items[[#This Row],[State]]&lt;&gt;"DONE","",IFERROR(LOOKUP(2,1/((Log[ID]=Items[[#This Row],[ID]])*(Log[Verb]="done")),Log[Date]),""))</f>
      </c>
      <c r="U906" s="17">
        <f>IF(Items[[#This Row],[ID]]="","",IF(AND(Items[[#This Row],[Sprint]]=CurSprint,OR(Items[[#This Row],[State]]="OPEN",Items[[#This Row],[State]]="WAIT",Items[[#This Row],[State]]="HOLD",Items[[#This Row],[State]]="DONE")),1,0))</f>
      </c>
      <c r="V906" s="17">
        <f>IF(OR(Items[[#This Row],[ID]]="",Items[[#This Row],[Added]]=""),"",AsOf-Items[[#This Row],[Added]])</f>
      </c>
      <c r="W906" s="17">
        <f>IF(Items[[#This Row],[In sprint]]=1,(IF(Items[[#This Row],[Prio]]="",9,N(Items[[#This Row],[Prio]]))*10+(IF(Items[[#This Row],[State]]="DONE",1,0)))*100000+ROW(),"")</f>
      </c>
      <c r="X90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06" s="17">
        <f>IF(AND(Items[[#This Row],[State]]="DONE",N(Items[[#This Row],[Done on]])&gt;AsOf-7),(200000-N(Items[[#This Row],[Done on]]))*100000+ROW(),"")</f>
      </c>
    </row>
    <row r="907">
      <c r="A907" t="s">
        <v>1076</v>
      </c>
      <c r="B907" t="s">
        <v>2131</v>
      </c>
      <c r="C907" t="s">
        <v>1107</v>
      </c>
      <c r="D907" t="s">
        <v>1123</v>
      </c>
      <c r="E907" t="s">
        <v>1139</v>
      </c>
      <c r="F907" t="s">
        <v>1140</v>
      </c>
      <c r="G907">
        <v>8</v>
      </c>
      <c r="H907">
        <v>2</v>
      </c>
      <c r="I907" s="11">
        <v>46259</v>
      </c>
      <c r="J907" s="17">
        <f>IF(Items[[#This Row],[ID]]="","",IFERROR(VALUE(LOOKUP(2,1/((Log[ID]=Items[[#This Row],[ID]])*(Log[Verb]="est")),Log[Arg])),N(Items[[#This Row],[Points]])))</f>
      </c>
      <c r="K907" s="17">
        <f>IF(Items[[#This Row],[ID]]="","",IFERROR(LOOKUP(2,1/((Log[ID]=Items[[#This Row],[ID]])*(Log[Verb]="pass")),Log[Arg])&amp;"",Items[[#This Row],[Team]]&amp;""))</f>
      </c>
      <c r="L907" s="17">
        <f>IF(Items[[#This Row],[ID]]="","",IFERROR(LOOKUP(2,1/((Log[ID]=Items[[#This Row],[ID]])*(Log[Into]&lt;&gt;"")),Log[Into]),""))</f>
      </c>
      <c r="M907" s="17">
        <f>IF(Items[[#This Row],[ID]]="","",IF(IFERROR(LOOKUP(2,1/((Log[ID]=Items[[#This Row],[ID]])*(Log[Blk]&lt;&gt;"")),Log[Blk]),0)=1,"Y",""))</f>
      </c>
      <c r="N907" s="17">
        <f>IF(Items[[#This Row],[ID]]="","",SUBSTITUTE(IFERROR(LOOKUP(2,1/((Log[ID]=Items[[#This Row],[ID]])*(Log[State]&lt;&gt;"")),Log[State]),"TODO"),"OPEN",IF(Items[[#This Row],[Blocked]]="Y","WAIT","OPEN")))</f>
      </c>
      <c r="O90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07" s="17">
        <f>IF(Items[[#This Row],[State]]&lt;&gt;"WAIT","",AsOf-Items[[#This Row],[Blocked since]])</f>
      </c>
      <c r="Q907" s="17">
        <f>IF(Items[[#This Row],[State]]&lt;&gt;"WAIT","",IFERROR(LOOKUP(2,1/((Log[ID]=Items[[#This Row],[ID]])*(Log[Verb]="block")),Log[Note])&amp;"",""))</f>
      </c>
      <c r="R907" s="17">
        <f>IF(Items[[#This Row],[ID]]="","",COUNTIFS(Log[ID],Items[[#This Row],[ID]],Log[Verb],"carry"))</f>
      </c>
      <c r="S907" s="17">
        <f>IF(Items[[#This Row],[ID]]="","",COUNTIFS(Log[ID],Items[[#This Row],[ID]],Log[Verb],"punt"))</f>
      </c>
      <c r="T907" s="11">
        <f>IF(Items[[#This Row],[State]]&lt;&gt;"DONE","",IFERROR(LOOKUP(2,1/((Log[ID]=Items[[#This Row],[ID]])*(Log[Verb]="done")),Log[Date]),""))</f>
      </c>
      <c r="U907" s="17">
        <f>IF(Items[[#This Row],[ID]]="","",IF(AND(Items[[#This Row],[Sprint]]=CurSprint,OR(Items[[#This Row],[State]]="OPEN",Items[[#This Row],[State]]="WAIT",Items[[#This Row],[State]]="HOLD",Items[[#This Row],[State]]="DONE")),1,0))</f>
      </c>
      <c r="V907" s="17">
        <f>IF(OR(Items[[#This Row],[ID]]="",Items[[#This Row],[Added]]=""),"",AsOf-Items[[#This Row],[Added]])</f>
      </c>
      <c r="W907" s="17">
        <f>IF(Items[[#This Row],[In sprint]]=1,(IF(Items[[#This Row],[Prio]]="",9,N(Items[[#This Row],[Prio]]))*10+(IF(Items[[#This Row],[State]]="DONE",1,0)))*100000+ROW(),"")</f>
      </c>
      <c r="X90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07" s="17">
        <f>IF(AND(Items[[#This Row],[State]]="DONE",N(Items[[#This Row],[Done on]])&gt;AsOf-7),(200000-N(Items[[#This Row],[Done on]]))*100000+ROW(),"")</f>
      </c>
    </row>
    <row r="908">
      <c r="A908" t="s">
        <v>1082</v>
      </c>
      <c r="B908" t="s">
        <v>2132</v>
      </c>
      <c r="C908" t="s">
        <v>1115</v>
      </c>
      <c r="D908" t="s">
        <v>1116</v>
      </c>
      <c r="E908" t="s">
        <v>1177</v>
      </c>
      <c r="F908" t="s">
        <v>1263</v>
      </c>
      <c r="G908">
        <v>8</v>
      </c>
      <c r="H908">
        <v>1</v>
      </c>
      <c r="I908" s="11">
        <v>46259</v>
      </c>
      <c r="J908" s="17">
        <f>IF(Items[[#This Row],[ID]]="","",IFERROR(VALUE(LOOKUP(2,1/((Log[ID]=Items[[#This Row],[ID]])*(Log[Verb]="est")),Log[Arg])),N(Items[[#This Row],[Points]])))</f>
      </c>
      <c r="K908" s="17">
        <f>IF(Items[[#This Row],[ID]]="","",IFERROR(LOOKUP(2,1/((Log[ID]=Items[[#This Row],[ID]])*(Log[Verb]="pass")),Log[Arg])&amp;"",Items[[#This Row],[Team]]&amp;""))</f>
      </c>
      <c r="L908" s="17">
        <f>IF(Items[[#This Row],[ID]]="","",IFERROR(LOOKUP(2,1/((Log[ID]=Items[[#This Row],[ID]])*(Log[Into]&lt;&gt;"")),Log[Into]),""))</f>
      </c>
      <c r="M908" s="17">
        <f>IF(Items[[#This Row],[ID]]="","",IF(IFERROR(LOOKUP(2,1/((Log[ID]=Items[[#This Row],[ID]])*(Log[Blk]&lt;&gt;"")),Log[Blk]),0)=1,"Y",""))</f>
      </c>
      <c r="N908" s="17">
        <f>IF(Items[[#This Row],[ID]]="","",SUBSTITUTE(IFERROR(LOOKUP(2,1/((Log[ID]=Items[[#This Row],[ID]])*(Log[State]&lt;&gt;"")),Log[State]),"TODO"),"OPEN",IF(Items[[#This Row],[Blocked]]="Y","WAIT","OPEN")))</f>
      </c>
      <c r="O90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08" s="17">
        <f>IF(Items[[#This Row],[State]]&lt;&gt;"WAIT","",AsOf-Items[[#This Row],[Blocked since]])</f>
      </c>
      <c r="Q908" s="17">
        <f>IF(Items[[#This Row],[State]]&lt;&gt;"WAIT","",IFERROR(LOOKUP(2,1/((Log[ID]=Items[[#This Row],[ID]])*(Log[Verb]="block")),Log[Note])&amp;"",""))</f>
      </c>
      <c r="R908" s="17">
        <f>IF(Items[[#This Row],[ID]]="","",COUNTIFS(Log[ID],Items[[#This Row],[ID]],Log[Verb],"carry"))</f>
      </c>
      <c r="S908" s="17">
        <f>IF(Items[[#This Row],[ID]]="","",COUNTIFS(Log[ID],Items[[#This Row],[ID]],Log[Verb],"punt"))</f>
      </c>
      <c r="T908" s="11">
        <f>IF(Items[[#This Row],[State]]&lt;&gt;"DONE","",IFERROR(LOOKUP(2,1/((Log[ID]=Items[[#This Row],[ID]])*(Log[Verb]="done")),Log[Date]),""))</f>
      </c>
      <c r="U908" s="17">
        <f>IF(Items[[#This Row],[ID]]="","",IF(AND(Items[[#This Row],[Sprint]]=CurSprint,OR(Items[[#This Row],[State]]="OPEN",Items[[#This Row],[State]]="WAIT",Items[[#This Row],[State]]="HOLD",Items[[#This Row],[State]]="DONE")),1,0))</f>
      </c>
      <c r="V908" s="17">
        <f>IF(OR(Items[[#This Row],[ID]]="",Items[[#This Row],[Added]]=""),"",AsOf-Items[[#This Row],[Added]])</f>
      </c>
      <c r="W908" s="17">
        <f>IF(Items[[#This Row],[In sprint]]=1,(IF(Items[[#This Row],[Prio]]="",9,N(Items[[#This Row],[Prio]]))*10+(IF(Items[[#This Row],[State]]="DONE",1,0)))*100000+ROW(),"")</f>
      </c>
      <c r="X90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08" s="17">
        <f>IF(AND(Items[[#This Row],[State]]="DONE",N(Items[[#This Row],[Done on]])&gt;AsOf-7),(200000-N(Items[[#This Row],[Done on]]))*100000+ROW(),"")</f>
      </c>
    </row>
    <row r="909">
      <c r="A909" t="s">
        <v>1083</v>
      </c>
      <c r="B909" t="s">
        <v>2133</v>
      </c>
      <c r="C909" t="s">
        <v>1115</v>
      </c>
      <c r="D909" t="s">
        <v>1119</v>
      </c>
      <c r="E909" t="s">
        <v>1177</v>
      </c>
      <c r="F909" t="s">
        <v>1407</v>
      </c>
      <c r="G909">
        <v>2</v>
      </c>
      <c r="H909">
        <v>2</v>
      </c>
      <c r="I909" s="11">
        <v>46259</v>
      </c>
      <c r="J909" s="17">
        <f>IF(Items[[#This Row],[ID]]="","",IFERROR(VALUE(LOOKUP(2,1/((Log[ID]=Items[[#This Row],[ID]])*(Log[Verb]="est")),Log[Arg])),N(Items[[#This Row],[Points]])))</f>
      </c>
      <c r="K909" s="17">
        <f>IF(Items[[#This Row],[ID]]="","",IFERROR(LOOKUP(2,1/((Log[ID]=Items[[#This Row],[ID]])*(Log[Verb]="pass")),Log[Arg])&amp;"",Items[[#This Row],[Team]]&amp;""))</f>
      </c>
      <c r="L909" s="17">
        <f>IF(Items[[#This Row],[ID]]="","",IFERROR(LOOKUP(2,1/((Log[ID]=Items[[#This Row],[ID]])*(Log[Into]&lt;&gt;"")),Log[Into]),""))</f>
      </c>
      <c r="M909" s="17">
        <f>IF(Items[[#This Row],[ID]]="","",IF(IFERROR(LOOKUP(2,1/((Log[ID]=Items[[#This Row],[ID]])*(Log[Blk]&lt;&gt;"")),Log[Blk]),0)=1,"Y",""))</f>
      </c>
      <c r="N909" s="17">
        <f>IF(Items[[#This Row],[ID]]="","",SUBSTITUTE(IFERROR(LOOKUP(2,1/((Log[ID]=Items[[#This Row],[ID]])*(Log[State]&lt;&gt;"")),Log[State]),"TODO"),"OPEN",IF(Items[[#This Row],[Blocked]]="Y","WAIT","OPEN")))</f>
      </c>
      <c r="O90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09" s="17">
        <f>IF(Items[[#This Row],[State]]&lt;&gt;"WAIT","",AsOf-Items[[#This Row],[Blocked since]])</f>
      </c>
      <c r="Q909" s="17">
        <f>IF(Items[[#This Row],[State]]&lt;&gt;"WAIT","",IFERROR(LOOKUP(2,1/((Log[ID]=Items[[#This Row],[ID]])*(Log[Verb]="block")),Log[Note])&amp;"",""))</f>
      </c>
      <c r="R909" s="17">
        <f>IF(Items[[#This Row],[ID]]="","",COUNTIFS(Log[ID],Items[[#This Row],[ID]],Log[Verb],"carry"))</f>
      </c>
      <c r="S909" s="17">
        <f>IF(Items[[#This Row],[ID]]="","",COUNTIFS(Log[ID],Items[[#This Row],[ID]],Log[Verb],"punt"))</f>
      </c>
      <c r="T909" s="11">
        <f>IF(Items[[#This Row],[State]]&lt;&gt;"DONE","",IFERROR(LOOKUP(2,1/((Log[ID]=Items[[#This Row],[ID]])*(Log[Verb]="done")),Log[Date]),""))</f>
      </c>
      <c r="U909" s="17">
        <f>IF(Items[[#This Row],[ID]]="","",IF(AND(Items[[#This Row],[Sprint]]=CurSprint,OR(Items[[#This Row],[State]]="OPEN",Items[[#This Row],[State]]="WAIT",Items[[#This Row],[State]]="HOLD",Items[[#This Row],[State]]="DONE")),1,0))</f>
      </c>
      <c r="V909" s="17">
        <f>IF(OR(Items[[#This Row],[ID]]="",Items[[#This Row],[Added]]=""),"",AsOf-Items[[#This Row],[Added]])</f>
      </c>
      <c r="W909" s="17">
        <f>IF(Items[[#This Row],[In sprint]]=1,(IF(Items[[#This Row],[Prio]]="",9,N(Items[[#This Row],[Prio]]))*10+(IF(Items[[#This Row],[State]]="DONE",1,0)))*100000+ROW(),"")</f>
      </c>
      <c r="X90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09" s="17">
        <f>IF(AND(Items[[#This Row],[State]]="DONE",N(Items[[#This Row],[Done on]])&gt;AsOf-7),(200000-N(Items[[#This Row],[Done on]]))*100000+ROW(),"")</f>
      </c>
    </row>
    <row r="910">
      <c r="A910" t="s">
        <v>1084</v>
      </c>
      <c r="B910" t="s">
        <v>2134</v>
      </c>
      <c r="C910" t="s">
        <v>1115</v>
      </c>
      <c r="D910" t="s">
        <v>1119</v>
      </c>
      <c r="E910" t="s">
        <v>1177</v>
      </c>
      <c r="F910" t="s">
        <v>1178</v>
      </c>
      <c r="G910">
        <v>2</v>
      </c>
      <c r="H910">
        <v>2</v>
      </c>
      <c r="I910" s="11">
        <v>46259</v>
      </c>
      <c r="J910" s="17">
        <f>IF(Items[[#This Row],[ID]]="","",IFERROR(VALUE(LOOKUP(2,1/((Log[ID]=Items[[#This Row],[ID]])*(Log[Verb]="est")),Log[Arg])),N(Items[[#This Row],[Points]])))</f>
      </c>
      <c r="K910" s="17">
        <f>IF(Items[[#This Row],[ID]]="","",IFERROR(LOOKUP(2,1/((Log[ID]=Items[[#This Row],[ID]])*(Log[Verb]="pass")),Log[Arg])&amp;"",Items[[#This Row],[Team]]&amp;""))</f>
      </c>
      <c r="L910" s="17">
        <f>IF(Items[[#This Row],[ID]]="","",IFERROR(LOOKUP(2,1/((Log[ID]=Items[[#This Row],[ID]])*(Log[Into]&lt;&gt;"")),Log[Into]),""))</f>
      </c>
      <c r="M910" s="17">
        <f>IF(Items[[#This Row],[ID]]="","",IF(IFERROR(LOOKUP(2,1/((Log[ID]=Items[[#This Row],[ID]])*(Log[Blk]&lt;&gt;"")),Log[Blk]),0)=1,"Y",""))</f>
      </c>
      <c r="N910" s="17">
        <f>IF(Items[[#This Row],[ID]]="","",SUBSTITUTE(IFERROR(LOOKUP(2,1/((Log[ID]=Items[[#This Row],[ID]])*(Log[State]&lt;&gt;"")),Log[State]),"TODO"),"OPEN",IF(Items[[#This Row],[Blocked]]="Y","WAIT","OPEN")))</f>
      </c>
      <c r="O91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10" s="17">
        <f>IF(Items[[#This Row],[State]]&lt;&gt;"WAIT","",AsOf-Items[[#This Row],[Blocked since]])</f>
      </c>
      <c r="Q910" s="17">
        <f>IF(Items[[#This Row],[State]]&lt;&gt;"WAIT","",IFERROR(LOOKUP(2,1/((Log[ID]=Items[[#This Row],[ID]])*(Log[Verb]="block")),Log[Note])&amp;"",""))</f>
      </c>
      <c r="R910" s="17">
        <f>IF(Items[[#This Row],[ID]]="","",COUNTIFS(Log[ID],Items[[#This Row],[ID]],Log[Verb],"carry"))</f>
      </c>
      <c r="S910" s="17">
        <f>IF(Items[[#This Row],[ID]]="","",COUNTIFS(Log[ID],Items[[#This Row],[ID]],Log[Verb],"punt"))</f>
      </c>
      <c r="T910" s="11">
        <f>IF(Items[[#This Row],[State]]&lt;&gt;"DONE","",IFERROR(LOOKUP(2,1/((Log[ID]=Items[[#This Row],[ID]])*(Log[Verb]="done")),Log[Date]),""))</f>
      </c>
      <c r="U910" s="17">
        <f>IF(Items[[#This Row],[ID]]="","",IF(AND(Items[[#This Row],[Sprint]]=CurSprint,OR(Items[[#This Row],[State]]="OPEN",Items[[#This Row],[State]]="WAIT",Items[[#This Row],[State]]="HOLD",Items[[#This Row],[State]]="DONE")),1,0))</f>
      </c>
      <c r="V910" s="17">
        <f>IF(OR(Items[[#This Row],[ID]]="",Items[[#This Row],[Added]]=""),"",AsOf-Items[[#This Row],[Added]])</f>
      </c>
      <c r="W910" s="17">
        <f>IF(Items[[#This Row],[In sprint]]=1,(IF(Items[[#This Row],[Prio]]="",9,N(Items[[#This Row],[Prio]]))*10+(IF(Items[[#This Row],[State]]="DONE",1,0)))*100000+ROW(),"")</f>
      </c>
      <c r="X91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10" s="17">
        <f>IF(AND(Items[[#This Row],[State]]="DONE",N(Items[[#This Row],[Done on]])&gt;AsOf-7),(200000-N(Items[[#This Row],[Done on]]))*100000+ROW(),"")</f>
      </c>
    </row>
    <row r="911">
      <c r="A911" t="s">
        <v>1085</v>
      </c>
      <c r="B911" t="s">
        <v>2135</v>
      </c>
      <c r="C911" t="s">
        <v>1107</v>
      </c>
      <c r="D911" t="s">
        <v>1127</v>
      </c>
      <c r="E911" t="s">
        <v>1177</v>
      </c>
      <c r="F911" t="s">
        <v>1400</v>
      </c>
      <c r="G911">
        <v>2</v>
      </c>
      <c r="H911">
        <v>2</v>
      </c>
      <c r="I911" s="11">
        <v>46259</v>
      </c>
      <c r="J911" s="17">
        <f>IF(Items[[#This Row],[ID]]="","",IFERROR(VALUE(LOOKUP(2,1/((Log[ID]=Items[[#This Row],[ID]])*(Log[Verb]="est")),Log[Arg])),N(Items[[#This Row],[Points]])))</f>
      </c>
      <c r="K911" s="17">
        <f>IF(Items[[#This Row],[ID]]="","",IFERROR(LOOKUP(2,1/((Log[ID]=Items[[#This Row],[ID]])*(Log[Verb]="pass")),Log[Arg])&amp;"",Items[[#This Row],[Team]]&amp;""))</f>
      </c>
      <c r="L911" s="17">
        <f>IF(Items[[#This Row],[ID]]="","",IFERROR(LOOKUP(2,1/((Log[ID]=Items[[#This Row],[ID]])*(Log[Into]&lt;&gt;"")),Log[Into]),""))</f>
      </c>
      <c r="M911" s="17">
        <f>IF(Items[[#This Row],[ID]]="","",IF(IFERROR(LOOKUP(2,1/((Log[ID]=Items[[#This Row],[ID]])*(Log[Blk]&lt;&gt;"")),Log[Blk]),0)=1,"Y",""))</f>
      </c>
      <c r="N911" s="17">
        <f>IF(Items[[#This Row],[ID]]="","",SUBSTITUTE(IFERROR(LOOKUP(2,1/((Log[ID]=Items[[#This Row],[ID]])*(Log[State]&lt;&gt;"")),Log[State]),"TODO"),"OPEN",IF(Items[[#This Row],[Blocked]]="Y","WAIT","OPEN")))</f>
      </c>
      <c r="O91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11" s="17">
        <f>IF(Items[[#This Row],[State]]&lt;&gt;"WAIT","",AsOf-Items[[#This Row],[Blocked since]])</f>
      </c>
      <c r="Q911" s="17">
        <f>IF(Items[[#This Row],[State]]&lt;&gt;"WAIT","",IFERROR(LOOKUP(2,1/((Log[ID]=Items[[#This Row],[ID]])*(Log[Verb]="block")),Log[Note])&amp;"",""))</f>
      </c>
      <c r="R911" s="17">
        <f>IF(Items[[#This Row],[ID]]="","",COUNTIFS(Log[ID],Items[[#This Row],[ID]],Log[Verb],"carry"))</f>
      </c>
      <c r="S911" s="17">
        <f>IF(Items[[#This Row],[ID]]="","",COUNTIFS(Log[ID],Items[[#This Row],[ID]],Log[Verb],"punt"))</f>
      </c>
      <c r="T911" s="11">
        <f>IF(Items[[#This Row],[State]]&lt;&gt;"DONE","",IFERROR(LOOKUP(2,1/((Log[ID]=Items[[#This Row],[ID]])*(Log[Verb]="done")),Log[Date]),""))</f>
      </c>
      <c r="U911" s="17">
        <f>IF(Items[[#This Row],[ID]]="","",IF(AND(Items[[#This Row],[Sprint]]=CurSprint,OR(Items[[#This Row],[State]]="OPEN",Items[[#This Row],[State]]="WAIT",Items[[#This Row],[State]]="HOLD",Items[[#This Row],[State]]="DONE")),1,0))</f>
      </c>
      <c r="V911" s="17">
        <f>IF(OR(Items[[#This Row],[ID]]="",Items[[#This Row],[Added]]=""),"",AsOf-Items[[#This Row],[Added]])</f>
      </c>
      <c r="W911" s="17">
        <f>IF(Items[[#This Row],[In sprint]]=1,(IF(Items[[#This Row],[Prio]]="",9,N(Items[[#This Row],[Prio]]))*10+(IF(Items[[#This Row],[State]]="DONE",1,0)))*100000+ROW(),"")</f>
      </c>
      <c r="X91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11" s="17">
        <f>IF(AND(Items[[#This Row],[State]]="DONE",N(Items[[#This Row],[Done on]])&gt;AsOf-7),(200000-N(Items[[#This Row],[Done on]]))*100000+ROW(),"")</f>
      </c>
    </row>
    <row r="912">
      <c r="A912" t="s">
        <v>1086</v>
      </c>
      <c r="B912" t="s">
        <v>2136</v>
      </c>
      <c r="C912" t="s">
        <v>1115</v>
      </c>
      <c r="D912" t="s">
        <v>1119</v>
      </c>
      <c r="E912" t="s">
        <v>1177</v>
      </c>
      <c r="F912" t="s">
        <v>1180</v>
      </c>
      <c r="G912">
        <v>5</v>
      </c>
      <c r="H912">
        <v>1</v>
      </c>
      <c r="I912" s="11">
        <v>46259</v>
      </c>
      <c r="J912" s="17">
        <f>IF(Items[[#This Row],[ID]]="","",IFERROR(VALUE(LOOKUP(2,1/((Log[ID]=Items[[#This Row],[ID]])*(Log[Verb]="est")),Log[Arg])),N(Items[[#This Row],[Points]])))</f>
      </c>
      <c r="K912" s="17">
        <f>IF(Items[[#This Row],[ID]]="","",IFERROR(LOOKUP(2,1/((Log[ID]=Items[[#This Row],[ID]])*(Log[Verb]="pass")),Log[Arg])&amp;"",Items[[#This Row],[Team]]&amp;""))</f>
      </c>
      <c r="L912" s="17">
        <f>IF(Items[[#This Row],[ID]]="","",IFERROR(LOOKUP(2,1/((Log[ID]=Items[[#This Row],[ID]])*(Log[Into]&lt;&gt;"")),Log[Into]),""))</f>
      </c>
      <c r="M912" s="17">
        <f>IF(Items[[#This Row],[ID]]="","",IF(IFERROR(LOOKUP(2,1/((Log[ID]=Items[[#This Row],[ID]])*(Log[Blk]&lt;&gt;"")),Log[Blk]),0)=1,"Y",""))</f>
      </c>
      <c r="N912" s="17">
        <f>IF(Items[[#This Row],[ID]]="","",SUBSTITUTE(IFERROR(LOOKUP(2,1/((Log[ID]=Items[[#This Row],[ID]])*(Log[State]&lt;&gt;"")),Log[State]),"TODO"),"OPEN",IF(Items[[#This Row],[Blocked]]="Y","WAIT","OPEN")))</f>
      </c>
      <c r="O91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12" s="17">
        <f>IF(Items[[#This Row],[State]]&lt;&gt;"WAIT","",AsOf-Items[[#This Row],[Blocked since]])</f>
      </c>
      <c r="Q912" s="17">
        <f>IF(Items[[#This Row],[State]]&lt;&gt;"WAIT","",IFERROR(LOOKUP(2,1/((Log[ID]=Items[[#This Row],[ID]])*(Log[Verb]="block")),Log[Note])&amp;"",""))</f>
      </c>
      <c r="R912" s="17">
        <f>IF(Items[[#This Row],[ID]]="","",COUNTIFS(Log[ID],Items[[#This Row],[ID]],Log[Verb],"carry"))</f>
      </c>
      <c r="S912" s="17">
        <f>IF(Items[[#This Row],[ID]]="","",COUNTIFS(Log[ID],Items[[#This Row],[ID]],Log[Verb],"punt"))</f>
      </c>
      <c r="T912" s="11">
        <f>IF(Items[[#This Row],[State]]&lt;&gt;"DONE","",IFERROR(LOOKUP(2,1/((Log[ID]=Items[[#This Row],[ID]])*(Log[Verb]="done")),Log[Date]),""))</f>
      </c>
      <c r="U912" s="17">
        <f>IF(Items[[#This Row],[ID]]="","",IF(AND(Items[[#This Row],[Sprint]]=CurSprint,OR(Items[[#This Row],[State]]="OPEN",Items[[#This Row],[State]]="WAIT",Items[[#This Row],[State]]="HOLD",Items[[#This Row],[State]]="DONE")),1,0))</f>
      </c>
      <c r="V912" s="17">
        <f>IF(OR(Items[[#This Row],[ID]]="",Items[[#This Row],[Added]]=""),"",AsOf-Items[[#This Row],[Added]])</f>
      </c>
      <c r="W912" s="17">
        <f>IF(Items[[#This Row],[In sprint]]=1,(IF(Items[[#This Row],[Prio]]="",9,N(Items[[#This Row],[Prio]]))*10+(IF(Items[[#This Row],[State]]="DONE",1,0)))*100000+ROW(),"")</f>
      </c>
      <c r="X91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12" s="17">
        <f>IF(AND(Items[[#This Row],[State]]="DONE",N(Items[[#This Row],[Done on]])&gt;AsOf-7),(200000-N(Items[[#This Row],[Done on]]))*100000+ROW(),"")</f>
      </c>
    </row>
    <row r="913">
      <c r="A913" t="s">
        <v>1087</v>
      </c>
      <c r="B913" t="s">
        <v>2137</v>
      </c>
      <c r="C913" t="s">
        <v>1107</v>
      </c>
      <c r="D913" t="s">
        <v>1123</v>
      </c>
      <c r="E913" t="s">
        <v>1177</v>
      </c>
      <c r="F913" t="s">
        <v>1327</v>
      </c>
      <c r="G913">
        <v>2</v>
      </c>
      <c r="H913">
        <v>3</v>
      </c>
      <c r="I913" s="11">
        <v>46259</v>
      </c>
      <c r="J913" s="17">
        <f>IF(Items[[#This Row],[ID]]="","",IFERROR(VALUE(LOOKUP(2,1/((Log[ID]=Items[[#This Row],[ID]])*(Log[Verb]="est")),Log[Arg])),N(Items[[#This Row],[Points]])))</f>
      </c>
      <c r="K913" s="17">
        <f>IF(Items[[#This Row],[ID]]="","",IFERROR(LOOKUP(2,1/((Log[ID]=Items[[#This Row],[ID]])*(Log[Verb]="pass")),Log[Arg])&amp;"",Items[[#This Row],[Team]]&amp;""))</f>
      </c>
      <c r="L913" s="17">
        <f>IF(Items[[#This Row],[ID]]="","",IFERROR(LOOKUP(2,1/((Log[ID]=Items[[#This Row],[ID]])*(Log[Into]&lt;&gt;"")),Log[Into]),""))</f>
      </c>
      <c r="M913" s="17">
        <f>IF(Items[[#This Row],[ID]]="","",IF(IFERROR(LOOKUP(2,1/((Log[ID]=Items[[#This Row],[ID]])*(Log[Blk]&lt;&gt;"")),Log[Blk]),0)=1,"Y",""))</f>
      </c>
      <c r="N913" s="17">
        <f>IF(Items[[#This Row],[ID]]="","",SUBSTITUTE(IFERROR(LOOKUP(2,1/((Log[ID]=Items[[#This Row],[ID]])*(Log[State]&lt;&gt;"")),Log[State]),"TODO"),"OPEN",IF(Items[[#This Row],[Blocked]]="Y","WAIT","OPEN")))</f>
      </c>
      <c r="O91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13" s="17">
        <f>IF(Items[[#This Row],[State]]&lt;&gt;"WAIT","",AsOf-Items[[#This Row],[Blocked since]])</f>
      </c>
      <c r="Q913" s="17">
        <f>IF(Items[[#This Row],[State]]&lt;&gt;"WAIT","",IFERROR(LOOKUP(2,1/((Log[ID]=Items[[#This Row],[ID]])*(Log[Verb]="block")),Log[Note])&amp;"",""))</f>
      </c>
      <c r="R913" s="17">
        <f>IF(Items[[#This Row],[ID]]="","",COUNTIFS(Log[ID],Items[[#This Row],[ID]],Log[Verb],"carry"))</f>
      </c>
      <c r="S913" s="17">
        <f>IF(Items[[#This Row],[ID]]="","",COUNTIFS(Log[ID],Items[[#This Row],[ID]],Log[Verb],"punt"))</f>
      </c>
      <c r="T913" s="11">
        <f>IF(Items[[#This Row],[State]]&lt;&gt;"DONE","",IFERROR(LOOKUP(2,1/((Log[ID]=Items[[#This Row],[ID]])*(Log[Verb]="done")),Log[Date]),""))</f>
      </c>
      <c r="U913" s="17">
        <f>IF(Items[[#This Row],[ID]]="","",IF(AND(Items[[#This Row],[Sprint]]=CurSprint,OR(Items[[#This Row],[State]]="OPEN",Items[[#This Row],[State]]="WAIT",Items[[#This Row],[State]]="HOLD",Items[[#This Row],[State]]="DONE")),1,0))</f>
      </c>
      <c r="V913" s="17">
        <f>IF(OR(Items[[#This Row],[ID]]="",Items[[#This Row],[Added]]=""),"",AsOf-Items[[#This Row],[Added]])</f>
      </c>
      <c r="W913" s="17">
        <f>IF(Items[[#This Row],[In sprint]]=1,(IF(Items[[#This Row],[Prio]]="",9,N(Items[[#This Row],[Prio]]))*10+(IF(Items[[#This Row],[State]]="DONE",1,0)))*100000+ROW(),"")</f>
      </c>
      <c r="X91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13" s="17">
        <f>IF(AND(Items[[#This Row],[State]]="DONE",N(Items[[#This Row],[Done on]])&gt;AsOf-7),(200000-N(Items[[#This Row],[Done on]]))*100000+ROW(),"")</f>
      </c>
    </row>
    <row r="914">
      <c r="A914" t="s">
        <v>1023</v>
      </c>
      <c r="B914" t="s">
        <v>2138</v>
      </c>
      <c r="C914" t="s">
        <v>1107</v>
      </c>
      <c r="D914" t="s">
        <v>1123</v>
      </c>
      <c r="E914" t="s">
        <v>1112</v>
      </c>
      <c r="F914" t="s">
        <v>1184</v>
      </c>
      <c r="G914">
        <v>5</v>
      </c>
      <c r="H914">
        <v>1</v>
      </c>
      <c r="I914" s="11">
        <v>46273</v>
      </c>
      <c r="J914" s="17">
        <f>IF(Items[[#This Row],[ID]]="","",IFERROR(VALUE(LOOKUP(2,1/((Log[ID]=Items[[#This Row],[ID]])*(Log[Verb]="est")),Log[Arg])),N(Items[[#This Row],[Points]])))</f>
      </c>
      <c r="K914" s="17">
        <f>IF(Items[[#This Row],[ID]]="","",IFERROR(LOOKUP(2,1/((Log[ID]=Items[[#This Row],[ID]])*(Log[Verb]="pass")),Log[Arg])&amp;"",Items[[#This Row],[Team]]&amp;""))</f>
      </c>
      <c r="L914" s="17">
        <f>IF(Items[[#This Row],[ID]]="","",IFERROR(LOOKUP(2,1/((Log[ID]=Items[[#This Row],[ID]])*(Log[Into]&lt;&gt;"")),Log[Into]),""))</f>
      </c>
      <c r="M914" s="17">
        <f>IF(Items[[#This Row],[ID]]="","",IF(IFERROR(LOOKUP(2,1/((Log[ID]=Items[[#This Row],[ID]])*(Log[Blk]&lt;&gt;"")),Log[Blk]),0)=1,"Y",""))</f>
      </c>
      <c r="N914" s="17">
        <f>IF(Items[[#This Row],[ID]]="","",SUBSTITUTE(IFERROR(LOOKUP(2,1/((Log[ID]=Items[[#This Row],[ID]])*(Log[State]&lt;&gt;"")),Log[State]),"TODO"),"OPEN",IF(Items[[#This Row],[Blocked]]="Y","WAIT","OPEN")))</f>
      </c>
      <c r="O91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14" s="17">
        <f>IF(Items[[#This Row],[State]]&lt;&gt;"WAIT","",AsOf-Items[[#This Row],[Blocked since]])</f>
      </c>
      <c r="Q914" s="17">
        <f>IF(Items[[#This Row],[State]]&lt;&gt;"WAIT","",IFERROR(LOOKUP(2,1/((Log[ID]=Items[[#This Row],[ID]])*(Log[Verb]="block")),Log[Note])&amp;"",""))</f>
      </c>
      <c r="R914" s="17">
        <f>IF(Items[[#This Row],[ID]]="","",COUNTIFS(Log[ID],Items[[#This Row],[ID]],Log[Verb],"carry"))</f>
      </c>
      <c r="S914" s="17">
        <f>IF(Items[[#This Row],[ID]]="","",COUNTIFS(Log[ID],Items[[#This Row],[ID]],Log[Verb],"punt"))</f>
      </c>
      <c r="T914" s="11">
        <f>IF(Items[[#This Row],[State]]&lt;&gt;"DONE","",IFERROR(LOOKUP(2,1/((Log[ID]=Items[[#This Row],[ID]])*(Log[Verb]="done")),Log[Date]),""))</f>
      </c>
      <c r="U914" s="17">
        <f>IF(Items[[#This Row],[ID]]="","",IF(AND(Items[[#This Row],[Sprint]]=CurSprint,OR(Items[[#This Row],[State]]="OPEN",Items[[#This Row],[State]]="WAIT",Items[[#This Row],[State]]="HOLD",Items[[#This Row],[State]]="DONE")),1,0))</f>
      </c>
      <c r="V914" s="17">
        <f>IF(OR(Items[[#This Row],[ID]]="",Items[[#This Row],[Added]]=""),"",AsOf-Items[[#This Row],[Added]])</f>
      </c>
      <c r="W914" s="17">
        <f>IF(Items[[#This Row],[In sprint]]=1,(IF(Items[[#This Row],[Prio]]="",9,N(Items[[#This Row],[Prio]]))*10+(IF(Items[[#This Row],[State]]="DONE",1,0)))*100000+ROW(),"")</f>
      </c>
      <c r="X91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14" s="17">
        <f>IF(AND(Items[[#This Row],[State]]="DONE",N(Items[[#This Row],[Done on]])&gt;AsOf-7),(200000-N(Items[[#This Row],[Done on]]))*100000+ROW(),"")</f>
      </c>
    </row>
    <row r="915">
      <c r="A915" t="s">
        <v>1024</v>
      </c>
      <c r="B915" t="s">
        <v>2139</v>
      </c>
      <c r="C915" t="s">
        <v>1107</v>
      </c>
      <c r="D915" t="s">
        <v>1108</v>
      </c>
      <c r="E915" t="s">
        <v>1112</v>
      </c>
      <c r="F915" t="s">
        <v>1117</v>
      </c>
      <c r="G915">
        <v>5</v>
      </c>
      <c r="H915">
        <v>1</v>
      </c>
      <c r="I915" s="11">
        <v>46273</v>
      </c>
      <c r="J915" s="17">
        <f>IF(Items[[#This Row],[ID]]="","",IFERROR(VALUE(LOOKUP(2,1/((Log[ID]=Items[[#This Row],[ID]])*(Log[Verb]="est")),Log[Arg])),N(Items[[#This Row],[Points]])))</f>
      </c>
      <c r="K915" s="17">
        <f>IF(Items[[#This Row],[ID]]="","",IFERROR(LOOKUP(2,1/((Log[ID]=Items[[#This Row],[ID]])*(Log[Verb]="pass")),Log[Arg])&amp;"",Items[[#This Row],[Team]]&amp;""))</f>
      </c>
      <c r="L915" s="17">
        <f>IF(Items[[#This Row],[ID]]="","",IFERROR(LOOKUP(2,1/((Log[ID]=Items[[#This Row],[ID]])*(Log[Into]&lt;&gt;"")),Log[Into]),""))</f>
      </c>
      <c r="M915" s="17">
        <f>IF(Items[[#This Row],[ID]]="","",IF(IFERROR(LOOKUP(2,1/((Log[ID]=Items[[#This Row],[ID]])*(Log[Blk]&lt;&gt;"")),Log[Blk]),0)=1,"Y",""))</f>
      </c>
      <c r="N915" s="17">
        <f>IF(Items[[#This Row],[ID]]="","",SUBSTITUTE(IFERROR(LOOKUP(2,1/((Log[ID]=Items[[#This Row],[ID]])*(Log[State]&lt;&gt;"")),Log[State]),"TODO"),"OPEN",IF(Items[[#This Row],[Blocked]]="Y","WAIT","OPEN")))</f>
      </c>
      <c r="O91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15" s="17">
        <f>IF(Items[[#This Row],[State]]&lt;&gt;"WAIT","",AsOf-Items[[#This Row],[Blocked since]])</f>
      </c>
      <c r="Q915" s="17">
        <f>IF(Items[[#This Row],[State]]&lt;&gt;"WAIT","",IFERROR(LOOKUP(2,1/((Log[ID]=Items[[#This Row],[ID]])*(Log[Verb]="block")),Log[Note])&amp;"",""))</f>
      </c>
      <c r="R915" s="17">
        <f>IF(Items[[#This Row],[ID]]="","",COUNTIFS(Log[ID],Items[[#This Row],[ID]],Log[Verb],"carry"))</f>
      </c>
      <c r="S915" s="17">
        <f>IF(Items[[#This Row],[ID]]="","",COUNTIFS(Log[ID],Items[[#This Row],[ID]],Log[Verb],"punt"))</f>
      </c>
      <c r="T915" s="11">
        <f>IF(Items[[#This Row],[State]]&lt;&gt;"DONE","",IFERROR(LOOKUP(2,1/((Log[ID]=Items[[#This Row],[ID]])*(Log[Verb]="done")),Log[Date]),""))</f>
      </c>
      <c r="U915" s="17">
        <f>IF(Items[[#This Row],[ID]]="","",IF(AND(Items[[#This Row],[Sprint]]=CurSprint,OR(Items[[#This Row],[State]]="OPEN",Items[[#This Row],[State]]="WAIT",Items[[#This Row],[State]]="HOLD",Items[[#This Row],[State]]="DONE")),1,0))</f>
      </c>
      <c r="V915" s="17">
        <f>IF(OR(Items[[#This Row],[ID]]="",Items[[#This Row],[Added]]=""),"",AsOf-Items[[#This Row],[Added]])</f>
      </c>
      <c r="W915" s="17">
        <f>IF(Items[[#This Row],[In sprint]]=1,(IF(Items[[#This Row],[Prio]]="",9,N(Items[[#This Row],[Prio]]))*10+(IF(Items[[#This Row],[State]]="DONE",1,0)))*100000+ROW(),"")</f>
      </c>
      <c r="X91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15" s="17">
        <f>IF(AND(Items[[#This Row],[State]]="DONE",N(Items[[#This Row],[Done on]])&gt;AsOf-7),(200000-N(Items[[#This Row],[Done on]]))*100000+ROW(),"")</f>
      </c>
    </row>
    <row r="916">
      <c r="A916" t="s">
        <v>2140</v>
      </c>
      <c r="B916" t="s">
        <v>2141</v>
      </c>
      <c r="C916" t="s">
        <v>1115</v>
      </c>
      <c r="D916" t="s">
        <v>1116</v>
      </c>
      <c r="E916" t="s">
        <v>1112</v>
      </c>
      <c r="F916" t="s">
        <v>1117</v>
      </c>
      <c r="G916">
        <v>2</v>
      </c>
      <c r="H916">
        <v>2</v>
      </c>
      <c r="I916" s="11">
        <v>46273</v>
      </c>
      <c r="J916" s="17">
        <f>IF(Items[[#This Row],[ID]]="","",IFERROR(VALUE(LOOKUP(2,1/((Log[ID]=Items[[#This Row],[ID]])*(Log[Verb]="est")),Log[Arg])),N(Items[[#This Row],[Points]])))</f>
      </c>
      <c r="K916" s="17">
        <f>IF(Items[[#This Row],[ID]]="","",IFERROR(LOOKUP(2,1/((Log[ID]=Items[[#This Row],[ID]])*(Log[Verb]="pass")),Log[Arg])&amp;"",Items[[#This Row],[Team]]&amp;""))</f>
      </c>
      <c r="L916" s="17">
        <f>IF(Items[[#This Row],[ID]]="","",IFERROR(LOOKUP(2,1/((Log[ID]=Items[[#This Row],[ID]])*(Log[Into]&lt;&gt;"")),Log[Into]),""))</f>
      </c>
      <c r="M916" s="17">
        <f>IF(Items[[#This Row],[ID]]="","",IF(IFERROR(LOOKUP(2,1/((Log[ID]=Items[[#This Row],[ID]])*(Log[Blk]&lt;&gt;"")),Log[Blk]),0)=1,"Y",""))</f>
      </c>
      <c r="N916" s="17">
        <f>IF(Items[[#This Row],[ID]]="","",SUBSTITUTE(IFERROR(LOOKUP(2,1/((Log[ID]=Items[[#This Row],[ID]])*(Log[State]&lt;&gt;"")),Log[State]),"TODO"),"OPEN",IF(Items[[#This Row],[Blocked]]="Y","WAIT","OPEN")))</f>
      </c>
      <c r="O91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16" s="17">
        <f>IF(Items[[#This Row],[State]]&lt;&gt;"WAIT","",AsOf-Items[[#This Row],[Blocked since]])</f>
      </c>
      <c r="Q916" s="17">
        <f>IF(Items[[#This Row],[State]]&lt;&gt;"WAIT","",IFERROR(LOOKUP(2,1/((Log[ID]=Items[[#This Row],[ID]])*(Log[Verb]="block")),Log[Note])&amp;"",""))</f>
      </c>
      <c r="R916" s="17">
        <f>IF(Items[[#This Row],[ID]]="","",COUNTIFS(Log[ID],Items[[#This Row],[ID]],Log[Verb],"carry"))</f>
      </c>
      <c r="S916" s="17">
        <f>IF(Items[[#This Row],[ID]]="","",COUNTIFS(Log[ID],Items[[#This Row],[ID]],Log[Verb],"punt"))</f>
      </c>
      <c r="T916" s="11">
        <f>IF(Items[[#This Row],[State]]&lt;&gt;"DONE","",IFERROR(LOOKUP(2,1/((Log[ID]=Items[[#This Row],[ID]])*(Log[Verb]="done")),Log[Date]),""))</f>
      </c>
      <c r="U916" s="17">
        <f>IF(Items[[#This Row],[ID]]="","",IF(AND(Items[[#This Row],[Sprint]]=CurSprint,OR(Items[[#This Row],[State]]="OPEN",Items[[#This Row],[State]]="WAIT",Items[[#This Row],[State]]="HOLD",Items[[#This Row],[State]]="DONE")),1,0))</f>
      </c>
      <c r="V916" s="17">
        <f>IF(OR(Items[[#This Row],[ID]]="",Items[[#This Row],[Added]]=""),"",AsOf-Items[[#This Row],[Added]])</f>
      </c>
      <c r="W916" s="17">
        <f>IF(Items[[#This Row],[In sprint]]=1,(IF(Items[[#This Row],[Prio]]="",9,N(Items[[#This Row],[Prio]]))*10+(IF(Items[[#This Row],[State]]="DONE",1,0)))*100000+ROW(),"")</f>
      </c>
      <c r="X91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16" s="17">
        <f>IF(AND(Items[[#This Row],[State]]="DONE",N(Items[[#This Row],[Done on]])&gt;AsOf-7),(200000-N(Items[[#This Row],[Done on]]))*100000+ROW(),"")</f>
      </c>
    </row>
    <row r="917">
      <c r="A917" t="s">
        <v>2142</v>
      </c>
      <c r="B917" t="s">
        <v>2143</v>
      </c>
      <c r="C917" t="s">
        <v>1107</v>
      </c>
      <c r="D917" t="s">
        <v>1127</v>
      </c>
      <c r="E917" t="s">
        <v>1112</v>
      </c>
      <c r="F917" t="s">
        <v>1186</v>
      </c>
      <c r="G917">
        <v>2</v>
      </c>
      <c r="H917">
        <v>1</v>
      </c>
      <c r="I917" s="11">
        <v>46273</v>
      </c>
      <c r="J917" s="17">
        <f>IF(Items[[#This Row],[ID]]="","",IFERROR(VALUE(LOOKUP(2,1/((Log[ID]=Items[[#This Row],[ID]])*(Log[Verb]="est")),Log[Arg])),N(Items[[#This Row],[Points]])))</f>
      </c>
      <c r="K917" s="17">
        <f>IF(Items[[#This Row],[ID]]="","",IFERROR(LOOKUP(2,1/((Log[ID]=Items[[#This Row],[ID]])*(Log[Verb]="pass")),Log[Arg])&amp;"",Items[[#This Row],[Team]]&amp;""))</f>
      </c>
      <c r="L917" s="17">
        <f>IF(Items[[#This Row],[ID]]="","",IFERROR(LOOKUP(2,1/((Log[ID]=Items[[#This Row],[ID]])*(Log[Into]&lt;&gt;"")),Log[Into]),""))</f>
      </c>
      <c r="M917" s="17">
        <f>IF(Items[[#This Row],[ID]]="","",IF(IFERROR(LOOKUP(2,1/((Log[ID]=Items[[#This Row],[ID]])*(Log[Blk]&lt;&gt;"")),Log[Blk]),0)=1,"Y",""))</f>
      </c>
      <c r="N917" s="17">
        <f>IF(Items[[#This Row],[ID]]="","",SUBSTITUTE(IFERROR(LOOKUP(2,1/((Log[ID]=Items[[#This Row],[ID]])*(Log[State]&lt;&gt;"")),Log[State]),"TODO"),"OPEN",IF(Items[[#This Row],[Blocked]]="Y","WAIT","OPEN")))</f>
      </c>
      <c r="O91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17" s="17">
        <f>IF(Items[[#This Row],[State]]&lt;&gt;"WAIT","",AsOf-Items[[#This Row],[Blocked since]])</f>
      </c>
      <c r="Q917" s="17">
        <f>IF(Items[[#This Row],[State]]&lt;&gt;"WAIT","",IFERROR(LOOKUP(2,1/((Log[ID]=Items[[#This Row],[ID]])*(Log[Verb]="block")),Log[Note])&amp;"",""))</f>
      </c>
      <c r="R917" s="17">
        <f>IF(Items[[#This Row],[ID]]="","",COUNTIFS(Log[ID],Items[[#This Row],[ID]],Log[Verb],"carry"))</f>
      </c>
      <c r="S917" s="17">
        <f>IF(Items[[#This Row],[ID]]="","",COUNTIFS(Log[ID],Items[[#This Row],[ID]],Log[Verb],"punt"))</f>
      </c>
      <c r="T917" s="11">
        <f>IF(Items[[#This Row],[State]]&lt;&gt;"DONE","",IFERROR(LOOKUP(2,1/((Log[ID]=Items[[#This Row],[ID]])*(Log[Verb]="done")),Log[Date]),""))</f>
      </c>
      <c r="U917" s="17">
        <f>IF(Items[[#This Row],[ID]]="","",IF(AND(Items[[#This Row],[Sprint]]=CurSprint,OR(Items[[#This Row],[State]]="OPEN",Items[[#This Row],[State]]="WAIT",Items[[#This Row],[State]]="HOLD",Items[[#This Row],[State]]="DONE")),1,0))</f>
      </c>
      <c r="V917" s="17">
        <f>IF(OR(Items[[#This Row],[ID]]="",Items[[#This Row],[Added]]=""),"",AsOf-Items[[#This Row],[Added]])</f>
      </c>
      <c r="W917" s="17">
        <f>IF(Items[[#This Row],[In sprint]]=1,(IF(Items[[#This Row],[Prio]]="",9,N(Items[[#This Row],[Prio]]))*10+(IF(Items[[#This Row],[State]]="DONE",1,0)))*100000+ROW(),"")</f>
      </c>
      <c r="X91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17" s="17">
        <f>IF(AND(Items[[#This Row],[State]]="DONE",N(Items[[#This Row],[Done on]])&gt;AsOf-7),(200000-N(Items[[#This Row],[Done on]]))*100000+ROW(),"")</f>
      </c>
    </row>
    <row r="918">
      <c r="A918" t="s">
        <v>2144</v>
      </c>
      <c r="B918" t="s">
        <v>2145</v>
      </c>
      <c r="C918" t="s">
        <v>1115</v>
      </c>
      <c r="D918" t="s">
        <v>1116</v>
      </c>
      <c r="E918" t="s">
        <v>1112</v>
      </c>
      <c r="F918" t="s">
        <v>1149</v>
      </c>
      <c r="G918">
        <v>2</v>
      </c>
      <c r="H918">
        <v>1</v>
      </c>
      <c r="I918" s="11">
        <v>46273</v>
      </c>
      <c r="J918" s="17">
        <f>IF(Items[[#This Row],[ID]]="","",IFERROR(VALUE(LOOKUP(2,1/((Log[ID]=Items[[#This Row],[ID]])*(Log[Verb]="est")),Log[Arg])),N(Items[[#This Row],[Points]])))</f>
      </c>
      <c r="K918" s="17">
        <f>IF(Items[[#This Row],[ID]]="","",IFERROR(LOOKUP(2,1/((Log[ID]=Items[[#This Row],[ID]])*(Log[Verb]="pass")),Log[Arg])&amp;"",Items[[#This Row],[Team]]&amp;""))</f>
      </c>
      <c r="L918" s="17">
        <f>IF(Items[[#This Row],[ID]]="","",IFERROR(LOOKUP(2,1/((Log[ID]=Items[[#This Row],[ID]])*(Log[Into]&lt;&gt;"")),Log[Into]),""))</f>
      </c>
      <c r="M918" s="17">
        <f>IF(Items[[#This Row],[ID]]="","",IF(IFERROR(LOOKUP(2,1/((Log[ID]=Items[[#This Row],[ID]])*(Log[Blk]&lt;&gt;"")),Log[Blk]),0)=1,"Y",""))</f>
      </c>
      <c r="N918" s="17">
        <f>IF(Items[[#This Row],[ID]]="","",SUBSTITUTE(IFERROR(LOOKUP(2,1/((Log[ID]=Items[[#This Row],[ID]])*(Log[State]&lt;&gt;"")),Log[State]),"TODO"),"OPEN",IF(Items[[#This Row],[Blocked]]="Y","WAIT","OPEN")))</f>
      </c>
      <c r="O91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18" s="17">
        <f>IF(Items[[#This Row],[State]]&lt;&gt;"WAIT","",AsOf-Items[[#This Row],[Blocked since]])</f>
      </c>
      <c r="Q918" s="17">
        <f>IF(Items[[#This Row],[State]]&lt;&gt;"WAIT","",IFERROR(LOOKUP(2,1/((Log[ID]=Items[[#This Row],[ID]])*(Log[Verb]="block")),Log[Note])&amp;"",""))</f>
      </c>
      <c r="R918" s="17">
        <f>IF(Items[[#This Row],[ID]]="","",COUNTIFS(Log[ID],Items[[#This Row],[ID]],Log[Verb],"carry"))</f>
      </c>
      <c r="S918" s="17">
        <f>IF(Items[[#This Row],[ID]]="","",COUNTIFS(Log[ID],Items[[#This Row],[ID]],Log[Verb],"punt"))</f>
      </c>
      <c r="T918" s="11">
        <f>IF(Items[[#This Row],[State]]&lt;&gt;"DONE","",IFERROR(LOOKUP(2,1/((Log[ID]=Items[[#This Row],[ID]])*(Log[Verb]="done")),Log[Date]),""))</f>
      </c>
      <c r="U918" s="17">
        <f>IF(Items[[#This Row],[ID]]="","",IF(AND(Items[[#This Row],[Sprint]]=CurSprint,OR(Items[[#This Row],[State]]="OPEN",Items[[#This Row],[State]]="WAIT",Items[[#This Row],[State]]="HOLD",Items[[#This Row],[State]]="DONE")),1,0))</f>
      </c>
      <c r="V918" s="17">
        <f>IF(OR(Items[[#This Row],[ID]]="",Items[[#This Row],[Added]]=""),"",AsOf-Items[[#This Row],[Added]])</f>
      </c>
      <c r="W918" s="17">
        <f>IF(Items[[#This Row],[In sprint]]=1,(IF(Items[[#This Row],[Prio]]="",9,N(Items[[#This Row],[Prio]]))*10+(IF(Items[[#This Row],[State]]="DONE",1,0)))*100000+ROW(),"")</f>
      </c>
      <c r="X91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18" s="17">
        <f>IF(AND(Items[[#This Row],[State]]="DONE",N(Items[[#This Row],[Done on]])&gt;AsOf-7),(200000-N(Items[[#This Row],[Done on]]))*100000+ROW(),"")</f>
      </c>
    </row>
    <row r="919">
      <c r="A919" t="s">
        <v>2146</v>
      </c>
      <c r="B919" t="s">
        <v>2147</v>
      </c>
      <c r="C919" t="s">
        <v>1107</v>
      </c>
      <c r="D919" t="s">
        <v>1108</v>
      </c>
      <c r="E919" t="s">
        <v>1112</v>
      </c>
      <c r="F919" t="s">
        <v>1117</v>
      </c>
      <c r="G919">
        <v>5</v>
      </c>
      <c r="H919">
        <v>3</v>
      </c>
      <c r="I919" s="11">
        <v>46273</v>
      </c>
      <c r="J919" s="17">
        <f>IF(Items[[#This Row],[ID]]="","",IFERROR(VALUE(LOOKUP(2,1/((Log[ID]=Items[[#This Row],[ID]])*(Log[Verb]="est")),Log[Arg])),N(Items[[#This Row],[Points]])))</f>
      </c>
      <c r="K919" s="17">
        <f>IF(Items[[#This Row],[ID]]="","",IFERROR(LOOKUP(2,1/((Log[ID]=Items[[#This Row],[ID]])*(Log[Verb]="pass")),Log[Arg])&amp;"",Items[[#This Row],[Team]]&amp;""))</f>
      </c>
      <c r="L919" s="17">
        <f>IF(Items[[#This Row],[ID]]="","",IFERROR(LOOKUP(2,1/((Log[ID]=Items[[#This Row],[ID]])*(Log[Into]&lt;&gt;"")),Log[Into]),""))</f>
      </c>
      <c r="M919" s="17">
        <f>IF(Items[[#This Row],[ID]]="","",IF(IFERROR(LOOKUP(2,1/((Log[ID]=Items[[#This Row],[ID]])*(Log[Blk]&lt;&gt;"")),Log[Blk]),0)=1,"Y",""))</f>
      </c>
      <c r="N919" s="17">
        <f>IF(Items[[#This Row],[ID]]="","",SUBSTITUTE(IFERROR(LOOKUP(2,1/((Log[ID]=Items[[#This Row],[ID]])*(Log[State]&lt;&gt;"")),Log[State]),"TODO"),"OPEN",IF(Items[[#This Row],[Blocked]]="Y","WAIT","OPEN")))</f>
      </c>
      <c r="O91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19" s="17">
        <f>IF(Items[[#This Row],[State]]&lt;&gt;"WAIT","",AsOf-Items[[#This Row],[Blocked since]])</f>
      </c>
      <c r="Q919" s="17">
        <f>IF(Items[[#This Row],[State]]&lt;&gt;"WAIT","",IFERROR(LOOKUP(2,1/((Log[ID]=Items[[#This Row],[ID]])*(Log[Verb]="block")),Log[Note])&amp;"",""))</f>
      </c>
      <c r="R919" s="17">
        <f>IF(Items[[#This Row],[ID]]="","",COUNTIFS(Log[ID],Items[[#This Row],[ID]],Log[Verb],"carry"))</f>
      </c>
      <c r="S919" s="17">
        <f>IF(Items[[#This Row],[ID]]="","",COUNTIFS(Log[ID],Items[[#This Row],[ID]],Log[Verb],"punt"))</f>
      </c>
      <c r="T919" s="11">
        <f>IF(Items[[#This Row],[State]]&lt;&gt;"DONE","",IFERROR(LOOKUP(2,1/((Log[ID]=Items[[#This Row],[ID]])*(Log[Verb]="done")),Log[Date]),""))</f>
      </c>
      <c r="U919" s="17">
        <f>IF(Items[[#This Row],[ID]]="","",IF(AND(Items[[#This Row],[Sprint]]=CurSprint,OR(Items[[#This Row],[State]]="OPEN",Items[[#This Row],[State]]="WAIT",Items[[#This Row],[State]]="HOLD",Items[[#This Row],[State]]="DONE")),1,0))</f>
      </c>
      <c r="V919" s="17">
        <f>IF(OR(Items[[#This Row],[ID]]="",Items[[#This Row],[Added]]=""),"",AsOf-Items[[#This Row],[Added]])</f>
      </c>
      <c r="W919" s="17">
        <f>IF(Items[[#This Row],[In sprint]]=1,(IF(Items[[#This Row],[Prio]]="",9,N(Items[[#This Row],[Prio]]))*10+(IF(Items[[#This Row],[State]]="DONE",1,0)))*100000+ROW(),"")</f>
      </c>
      <c r="X91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19" s="17">
        <f>IF(AND(Items[[#This Row],[State]]="DONE",N(Items[[#This Row],[Done on]])&gt;AsOf-7),(200000-N(Items[[#This Row],[Done on]]))*100000+ROW(),"")</f>
      </c>
    </row>
    <row r="920">
      <c r="A920" t="s">
        <v>2148</v>
      </c>
      <c r="B920" t="s">
        <v>2149</v>
      </c>
      <c r="C920" t="s">
        <v>1107</v>
      </c>
      <c r="D920" t="s">
        <v>1108</v>
      </c>
      <c r="E920" t="s">
        <v>1112</v>
      </c>
      <c r="F920" t="s">
        <v>1142</v>
      </c>
      <c r="G920">
        <v>8</v>
      </c>
      <c r="H920">
        <v>2</v>
      </c>
      <c r="I920" s="11">
        <v>46273</v>
      </c>
      <c r="J920" s="17">
        <f>IF(Items[[#This Row],[ID]]="","",IFERROR(VALUE(LOOKUP(2,1/((Log[ID]=Items[[#This Row],[ID]])*(Log[Verb]="est")),Log[Arg])),N(Items[[#This Row],[Points]])))</f>
      </c>
      <c r="K920" s="17">
        <f>IF(Items[[#This Row],[ID]]="","",IFERROR(LOOKUP(2,1/((Log[ID]=Items[[#This Row],[ID]])*(Log[Verb]="pass")),Log[Arg])&amp;"",Items[[#This Row],[Team]]&amp;""))</f>
      </c>
      <c r="L920" s="17">
        <f>IF(Items[[#This Row],[ID]]="","",IFERROR(LOOKUP(2,1/((Log[ID]=Items[[#This Row],[ID]])*(Log[Into]&lt;&gt;"")),Log[Into]),""))</f>
      </c>
      <c r="M920" s="17">
        <f>IF(Items[[#This Row],[ID]]="","",IF(IFERROR(LOOKUP(2,1/((Log[ID]=Items[[#This Row],[ID]])*(Log[Blk]&lt;&gt;"")),Log[Blk]),0)=1,"Y",""))</f>
      </c>
      <c r="N920" s="17">
        <f>IF(Items[[#This Row],[ID]]="","",SUBSTITUTE(IFERROR(LOOKUP(2,1/((Log[ID]=Items[[#This Row],[ID]])*(Log[State]&lt;&gt;"")),Log[State]),"TODO"),"OPEN",IF(Items[[#This Row],[Blocked]]="Y","WAIT","OPEN")))</f>
      </c>
      <c r="O92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20" s="17">
        <f>IF(Items[[#This Row],[State]]&lt;&gt;"WAIT","",AsOf-Items[[#This Row],[Blocked since]])</f>
      </c>
      <c r="Q920" s="17">
        <f>IF(Items[[#This Row],[State]]&lt;&gt;"WAIT","",IFERROR(LOOKUP(2,1/((Log[ID]=Items[[#This Row],[ID]])*(Log[Verb]="block")),Log[Note])&amp;"",""))</f>
      </c>
      <c r="R920" s="17">
        <f>IF(Items[[#This Row],[ID]]="","",COUNTIFS(Log[ID],Items[[#This Row],[ID]],Log[Verb],"carry"))</f>
      </c>
      <c r="S920" s="17">
        <f>IF(Items[[#This Row],[ID]]="","",COUNTIFS(Log[ID],Items[[#This Row],[ID]],Log[Verb],"punt"))</f>
      </c>
      <c r="T920" s="11">
        <f>IF(Items[[#This Row],[State]]&lt;&gt;"DONE","",IFERROR(LOOKUP(2,1/((Log[ID]=Items[[#This Row],[ID]])*(Log[Verb]="done")),Log[Date]),""))</f>
      </c>
      <c r="U920" s="17">
        <f>IF(Items[[#This Row],[ID]]="","",IF(AND(Items[[#This Row],[Sprint]]=CurSprint,OR(Items[[#This Row],[State]]="OPEN",Items[[#This Row],[State]]="WAIT",Items[[#This Row],[State]]="HOLD",Items[[#This Row],[State]]="DONE")),1,0))</f>
      </c>
      <c r="V920" s="17">
        <f>IF(OR(Items[[#This Row],[ID]]="",Items[[#This Row],[Added]]=""),"",AsOf-Items[[#This Row],[Added]])</f>
      </c>
      <c r="W920" s="17">
        <f>IF(Items[[#This Row],[In sprint]]=1,(IF(Items[[#This Row],[Prio]]="",9,N(Items[[#This Row],[Prio]]))*10+(IF(Items[[#This Row],[State]]="DONE",1,0)))*100000+ROW(),"")</f>
      </c>
      <c r="X92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20" s="17">
        <f>IF(AND(Items[[#This Row],[State]]="DONE",N(Items[[#This Row],[Done on]])&gt;AsOf-7),(200000-N(Items[[#This Row],[Done on]]))*100000+ROW(),"")</f>
      </c>
    </row>
    <row r="921">
      <c r="A921" t="s">
        <v>2150</v>
      </c>
      <c r="B921" t="s">
        <v>2151</v>
      </c>
      <c r="C921" t="s">
        <v>1115</v>
      </c>
      <c r="D921" t="s">
        <v>1116</v>
      </c>
      <c r="E921" t="s">
        <v>1112</v>
      </c>
      <c r="F921" t="s">
        <v>1144</v>
      </c>
      <c r="G921">
        <v>8</v>
      </c>
      <c r="H921">
        <v>1</v>
      </c>
      <c r="I921" s="11">
        <v>46273</v>
      </c>
      <c r="J921" s="17">
        <f>IF(Items[[#This Row],[ID]]="","",IFERROR(VALUE(LOOKUP(2,1/((Log[ID]=Items[[#This Row],[ID]])*(Log[Verb]="est")),Log[Arg])),N(Items[[#This Row],[Points]])))</f>
      </c>
      <c r="K921" s="17">
        <f>IF(Items[[#This Row],[ID]]="","",IFERROR(LOOKUP(2,1/((Log[ID]=Items[[#This Row],[ID]])*(Log[Verb]="pass")),Log[Arg])&amp;"",Items[[#This Row],[Team]]&amp;""))</f>
      </c>
      <c r="L921" s="17">
        <f>IF(Items[[#This Row],[ID]]="","",IFERROR(LOOKUP(2,1/((Log[ID]=Items[[#This Row],[ID]])*(Log[Into]&lt;&gt;"")),Log[Into]),""))</f>
      </c>
      <c r="M921" s="17">
        <f>IF(Items[[#This Row],[ID]]="","",IF(IFERROR(LOOKUP(2,1/((Log[ID]=Items[[#This Row],[ID]])*(Log[Blk]&lt;&gt;"")),Log[Blk]),0)=1,"Y",""))</f>
      </c>
      <c r="N921" s="17">
        <f>IF(Items[[#This Row],[ID]]="","",SUBSTITUTE(IFERROR(LOOKUP(2,1/((Log[ID]=Items[[#This Row],[ID]])*(Log[State]&lt;&gt;"")),Log[State]),"TODO"),"OPEN",IF(Items[[#This Row],[Blocked]]="Y","WAIT","OPEN")))</f>
      </c>
      <c r="O92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21" s="17">
        <f>IF(Items[[#This Row],[State]]&lt;&gt;"WAIT","",AsOf-Items[[#This Row],[Blocked since]])</f>
      </c>
      <c r="Q921" s="17">
        <f>IF(Items[[#This Row],[State]]&lt;&gt;"WAIT","",IFERROR(LOOKUP(2,1/((Log[ID]=Items[[#This Row],[ID]])*(Log[Verb]="block")),Log[Note])&amp;"",""))</f>
      </c>
      <c r="R921" s="17">
        <f>IF(Items[[#This Row],[ID]]="","",COUNTIFS(Log[ID],Items[[#This Row],[ID]],Log[Verb],"carry"))</f>
      </c>
      <c r="S921" s="17">
        <f>IF(Items[[#This Row],[ID]]="","",COUNTIFS(Log[ID],Items[[#This Row],[ID]],Log[Verb],"punt"))</f>
      </c>
      <c r="T921" s="11">
        <f>IF(Items[[#This Row],[State]]&lt;&gt;"DONE","",IFERROR(LOOKUP(2,1/((Log[ID]=Items[[#This Row],[ID]])*(Log[Verb]="done")),Log[Date]),""))</f>
      </c>
      <c r="U921" s="17">
        <f>IF(Items[[#This Row],[ID]]="","",IF(AND(Items[[#This Row],[Sprint]]=CurSprint,OR(Items[[#This Row],[State]]="OPEN",Items[[#This Row],[State]]="WAIT",Items[[#This Row],[State]]="HOLD",Items[[#This Row],[State]]="DONE")),1,0))</f>
      </c>
      <c r="V921" s="17">
        <f>IF(OR(Items[[#This Row],[ID]]="",Items[[#This Row],[Added]]=""),"",AsOf-Items[[#This Row],[Added]])</f>
      </c>
      <c r="W921" s="17">
        <f>IF(Items[[#This Row],[In sprint]]=1,(IF(Items[[#This Row],[Prio]]="",9,N(Items[[#This Row],[Prio]]))*10+(IF(Items[[#This Row],[State]]="DONE",1,0)))*100000+ROW(),"")</f>
      </c>
      <c r="X92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21" s="17">
        <f>IF(AND(Items[[#This Row],[State]]="DONE",N(Items[[#This Row],[Done on]])&gt;AsOf-7),(200000-N(Items[[#This Row],[Done on]]))*100000+ROW(),"")</f>
      </c>
    </row>
    <row r="922">
      <c r="A922" t="s">
        <v>1031</v>
      </c>
      <c r="B922" t="s">
        <v>2152</v>
      </c>
      <c r="C922" t="s">
        <v>1115</v>
      </c>
      <c r="D922" t="s">
        <v>1119</v>
      </c>
      <c r="E922" t="s">
        <v>1120</v>
      </c>
      <c r="F922" t="s">
        <v>1121</v>
      </c>
      <c r="G922">
        <v>2</v>
      </c>
      <c r="H922">
        <v>3</v>
      </c>
      <c r="I922" s="11">
        <v>46273</v>
      </c>
      <c r="J922" s="17">
        <f>IF(Items[[#This Row],[ID]]="","",IFERROR(VALUE(LOOKUP(2,1/((Log[ID]=Items[[#This Row],[ID]])*(Log[Verb]="est")),Log[Arg])),N(Items[[#This Row],[Points]])))</f>
      </c>
      <c r="K922" s="17">
        <f>IF(Items[[#This Row],[ID]]="","",IFERROR(LOOKUP(2,1/((Log[ID]=Items[[#This Row],[ID]])*(Log[Verb]="pass")),Log[Arg])&amp;"",Items[[#This Row],[Team]]&amp;""))</f>
      </c>
      <c r="L922" s="17">
        <f>IF(Items[[#This Row],[ID]]="","",IFERROR(LOOKUP(2,1/((Log[ID]=Items[[#This Row],[ID]])*(Log[Into]&lt;&gt;"")),Log[Into]),""))</f>
      </c>
      <c r="M922" s="17">
        <f>IF(Items[[#This Row],[ID]]="","",IF(IFERROR(LOOKUP(2,1/((Log[ID]=Items[[#This Row],[ID]])*(Log[Blk]&lt;&gt;"")),Log[Blk]),0)=1,"Y",""))</f>
      </c>
      <c r="N922" s="17">
        <f>IF(Items[[#This Row],[ID]]="","",SUBSTITUTE(IFERROR(LOOKUP(2,1/((Log[ID]=Items[[#This Row],[ID]])*(Log[State]&lt;&gt;"")),Log[State]),"TODO"),"OPEN",IF(Items[[#This Row],[Blocked]]="Y","WAIT","OPEN")))</f>
      </c>
      <c r="O92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22" s="17">
        <f>IF(Items[[#This Row],[State]]&lt;&gt;"WAIT","",AsOf-Items[[#This Row],[Blocked since]])</f>
      </c>
      <c r="Q922" s="17">
        <f>IF(Items[[#This Row],[State]]&lt;&gt;"WAIT","",IFERROR(LOOKUP(2,1/((Log[ID]=Items[[#This Row],[ID]])*(Log[Verb]="block")),Log[Note])&amp;"",""))</f>
      </c>
      <c r="R922" s="17">
        <f>IF(Items[[#This Row],[ID]]="","",COUNTIFS(Log[ID],Items[[#This Row],[ID]],Log[Verb],"carry"))</f>
      </c>
      <c r="S922" s="17">
        <f>IF(Items[[#This Row],[ID]]="","",COUNTIFS(Log[ID],Items[[#This Row],[ID]],Log[Verb],"punt"))</f>
      </c>
      <c r="T922" s="11">
        <f>IF(Items[[#This Row],[State]]&lt;&gt;"DONE","",IFERROR(LOOKUP(2,1/((Log[ID]=Items[[#This Row],[ID]])*(Log[Verb]="done")),Log[Date]),""))</f>
      </c>
      <c r="U922" s="17">
        <f>IF(Items[[#This Row],[ID]]="","",IF(AND(Items[[#This Row],[Sprint]]=CurSprint,OR(Items[[#This Row],[State]]="OPEN",Items[[#This Row],[State]]="WAIT",Items[[#This Row],[State]]="HOLD",Items[[#This Row],[State]]="DONE")),1,0))</f>
      </c>
      <c r="V922" s="17">
        <f>IF(OR(Items[[#This Row],[ID]]="",Items[[#This Row],[Added]]=""),"",AsOf-Items[[#This Row],[Added]])</f>
      </c>
      <c r="W922" s="17">
        <f>IF(Items[[#This Row],[In sprint]]=1,(IF(Items[[#This Row],[Prio]]="",9,N(Items[[#This Row],[Prio]]))*10+(IF(Items[[#This Row],[State]]="DONE",1,0)))*100000+ROW(),"")</f>
      </c>
      <c r="X92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22" s="17">
        <f>IF(AND(Items[[#This Row],[State]]="DONE",N(Items[[#This Row],[Done on]])&gt;AsOf-7),(200000-N(Items[[#This Row],[Done on]]))*100000+ROW(),"")</f>
      </c>
    </row>
    <row r="923">
      <c r="A923" t="s">
        <v>2153</v>
      </c>
      <c r="B923" t="s">
        <v>2154</v>
      </c>
      <c r="C923" t="s">
        <v>1107</v>
      </c>
      <c r="D923" t="s">
        <v>1108</v>
      </c>
      <c r="E923" t="s">
        <v>1120</v>
      </c>
      <c r="F923" t="s">
        <v>1272</v>
      </c>
      <c r="G923">
        <v>5</v>
      </c>
      <c r="H923">
        <v>2</v>
      </c>
      <c r="I923" s="11">
        <v>46273</v>
      </c>
      <c r="J923" s="17">
        <f>IF(Items[[#This Row],[ID]]="","",IFERROR(VALUE(LOOKUP(2,1/((Log[ID]=Items[[#This Row],[ID]])*(Log[Verb]="est")),Log[Arg])),N(Items[[#This Row],[Points]])))</f>
      </c>
      <c r="K923" s="17">
        <f>IF(Items[[#This Row],[ID]]="","",IFERROR(LOOKUP(2,1/((Log[ID]=Items[[#This Row],[ID]])*(Log[Verb]="pass")),Log[Arg])&amp;"",Items[[#This Row],[Team]]&amp;""))</f>
      </c>
      <c r="L923" s="17">
        <f>IF(Items[[#This Row],[ID]]="","",IFERROR(LOOKUP(2,1/((Log[ID]=Items[[#This Row],[ID]])*(Log[Into]&lt;&gt;"")),Log[Into]),""))</f>
      </c>
      <c r="M923" s="17">
        <f>IF(Items[[#This Row],[ID]]="","",IF(IFERROR(LOOKUP(2,1/((Log[ID]=Items[[#This Row],[ID]])*(Log[Blk]&lt;&gt;"")),Log[Blk]),0)=1,"Y",""))</f>
      </c>
      <c r="N923" s="17">
        <f>IF(Items[[#This Row],[ID]]="","",SUBSTITUTE(IFERROR(LOOKUP(2,1/((Log[ID]=Items[[#This Row],[ID]])*(Log[State]&lt;&gt;"")),Log[State]),"TODO"),"OPEN",IF(Items[[#This Row],[Blocked]]="Y","WAIT","OPEN")))</f>
      </c>
      <c r="O92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23" s="17">
        <f>IF(Items[[#This Row],[State]]&lt;&gt;"WAIT","",AsOf-Items[[#This Row],[Blocked since]])</f>
      </c>
      <c r="Q923" s="17">
        <f>IF(Items[[#This Row],[State]]&lt;&gt;"WAIT","",IFERROR(LOOKUP(2,1/((Log[ID]=Items[[#This Row],[ID]])*(Log[Verb]="block")),Log[Note])&amp;"",""))</f>
      </c>
      <c r="R923" s="17">
        <f>IF(Items[[#This Row],[ID]]="","",COUNTIFS(Log[ID],Items[[#This Row],[ID]],Log[Verb],"carry"))</f>
      </c>
      <c r="S923" s="17">
        <f>IF(Items[[#This Row],[ID]]="","",COUNTIFS(Log[ID],Items[[#This Row],[ID]],Log[Verb],"punt"))</f>
      </c>
      <c r="T923" s="11">
        <f>IF(Items[[#This Row],[State]]&lt;&gt;"DONE","",IFERROR(LOOKUP(2,1/((Log[ID]=Items[[#This Row],[ID]])*(Log[Verb]="done")),Log[Date]),""))</f>
      </c>
      <c r="U923" s="17">
        <f>IF(Items[[#This Row],[ID]]="","",IF(AND(Items[[#This Row],[Sprint]]=CurSprint,OR(Items[[#This Row],[State]]="OPEN",Items[[#This Row],[State]]="WAIT",Items[[#This Row],[State]]="HOLD",Items[[#This Row],[State]]="DONE")),1,0))</f>
      </c>
      <c r="V923" s="17">
        <f>IF(OR(Items[[#This Row],[ID]]="",Items[[#This Row],[Added]]=""),"",AsOf-Items[[#This Row],[Added]])</f>
      </c>
      <c r="W923" s="17">
        <f>IF(Items[[#This Row],[In sprint]]=1,(IF(Items[[#This Row],[Prio]]="",9,N(Items[[#This Row],[Prio]]))*10+(IF(Items[[#This Row],[State]]="DONE",1,0)))*100000+ROW(),"")</f>
      </c>
      <c r="X92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23" s="17">
        <f>IF(AND(Items[[#This Row],[State]]="DONE",N(Items[[#This Row],[Done on]])&gt;AsOf-7),(200000-N(Items[[#This Row],[Done on]]))*100000+ROW(),"")</f>
      </c>
    </row>
    <row r="924">
      <c r="A924" t="s">
        <v>2155</v>
      </c>
      <c r="B924" t="s">
        <v>2156</v>
      </c>
      <c r="C924" t="s">
        <v>1107</v>
      </c>
      <c r="D924" t="s">
        <v>1108</v>
      </c>
      <c r="E924" t="s">
        <v>1120</v>
      </c>
      <c r="F924" t="s">
        <v>1151</v>
      </c>
      <c r="G924">
        <v>3</v>
      </c>
      <c r="H924">
        <v>3</v>
      </c>
      <c r="I924" s="11">
        <v>46273</v>
      </c>
      <c r="J924" s="17">
        <f>IF(Items[[#This Row],[ID]]="","",IFERROR(VALUE(LOOKUP(2,1/((Log[ID]=Items[[#This Row],[ID]])*(Log[Verb]="est")),Log[Arg])),N(Items[[#This Row],[Points]])))</f>
      </c>
      <c r="K924" s="17">
        <f>IF(Items[[#This Row],[ID]]="","",IFERROR(LOOKUP(2,1/((Log[ID]=Items[[#This Row],[ID]])*(Log[Verb]="pass")),Log[Arg])&amp;"",Items[[#This Row],[Team]]&amp;""))</f>
      </c>
      <c r="L924" s="17">
        <f>IF(Items[[#This Row],[ID]]="","",IFERROR(LOOKUP(2,1/((Log[ID]=Items[[#This Row],[ID]])*(Log[Into]&lt;&gt;"")),Log[Into]),""))</f>
      </c>
      <c r="M924" s="17">
        <f>IF(Items[[#This Row],[ID]]="","",IF(IFERROR(LOOKUP(2,1/((Log[ID]=Items[[#This Row],[ID]])*(Log[Blk]&lt;&gt;"")),Log[Blk]),0)=1,"Y",""))</f>
      </c>
      <c r="N924" s="17">
        <f>IF(Items[[#This Row],[ID]]="","",SUBSTITUTE(IFERROR(LOOKUP(2,1/((Log[ID]=Items[[#This Row],[ID]])*(Log[State]&lt;&gt;"")),Log[State]),"TODO"),"OPEN",IF(Items[[#This Row],[Blocked]]="Y","WAIT","OPEN")))</f>
      </c>
      <c r="O92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24" s="17">
        <f>IF(Items[[#This Row],[State]]&lt;&gt;"WAIT","",AsOf-Items[[#This Row],[Blocked since]])</f>
      </c>
      <c r="Q924" s="17">
        <f>IF(Items[[#This Row],[State]]&lt;&gt;"WAIT","",IFERROR(LOOKUP(2,1/((Log[ID]=Items[[#This Row],[ID]])*(Log[Verb]="block")),Log[Note])&amp;"",""))</f>
      </c>
      <c r="R924" s="17">
        <f>IF(Items[[#This Row],[ID]]="","",COUNTIFS(Log[ID],Items[[#This Row],[ID]],Log[Verb],"carry"))</f>
      </c>
      <c r="S924" s="17">
        <f>IF(Items[[#This Row],[ID]]="","",COUNTIFS(Log[ID],Items[[#This Row],[ID]],Log[Verb],"punt"))</f>
      </c>
      <c r="T924" s="11">
        <f>IF(Items[[#This Row],[State]]&lt;&gt;"DONE","",IFERROR(LOOKUP(2,1/((Log[ID]=Items[[#This Row],[ID]])*(Log[Verb]="done")),Log[Date]),""))</f>
      </c>
      <c r="U924" s="17">
        <f>IF(Items[[#This Row],[ID]]="","",IF(AND(Items[[#This Row],[Sprint]]=CurSprint,OR(Items[[#This Row],[State]]="OPEN",Items[[#This Row],[State]]="WAIT",Items[[#This Row],[State]]="HOLD",Items[[#This Row],[State]]="DONE")),1,0))</f>
      </c>
      <c r="V924" s="17">
        <f>IF(OR(Items[[#This Row],[ID]]="",Items[[#This Row],[Added]]=""),"",AsOf-Items[[#This Row],[Added]])</f>
      </c>
      <c r="W924" s="17">
        <f>IF(Items[[#This Row],[In sprint]]=1,(IF(Items[[#This Row],[Prio]]="",9,N(Items[[#This Row],[Prio]]))*10+(IF(Items[[#This Row],[State]]="DONE",1,0)))*100000+ROW(),"")</f>
      </c>
      <c r="X92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24" s="17">
        <f>IF(AND(Items[[#This Row],[State]]="DONE",N(Items[[#This Row],[Done on]])&gt;AsOf-7),(200000-N(Items[[#This Row],[Done on]]))*100000+ROW(),"")</f>
      </c>
    </row>
    <row r="925">
      <c r="A925" t="s">
        <v>2157</v>
      </c>
      <c r="B925" t="s">
        <v>2158</v>
      </c>
      <c r="C925" t="s">
        <v>1115</v>
      </c>
      <c r="D925" t="s">
        <v>1119</v>
      </c>
      <c r="E925" t="s">
        <v>1120</v>
      </c>
      <c r="F925" t="s">
        <v>1121</v>
      </c>
      <c r="G925">
        <v>5</v>
      </c>
      <c r="H925">
        <v>1</v>
      </c>
      <c r="I925" s="11">
        <v>46273</v>
      </c>
      <c r="J925" s="17">
        <f>IF(Items[[#This Row],[ID]]="","",IFERROR(VALUE(LOOKUP(2,1/((Log[ID]=Items[[#This Row],[ID]])*(Log[Verb]="est")),Log[Arg])),N(Items[[#This Row],[Points]])))</f>
      </c>
      <c r="K925" s="17">
        <f>IF(Items[[#This Row],[ID]]="","",IFERROR(LOOKUP(2,1/((Log[ID]=Items[[#This Row],[ID]])*(Log[Verb]="pass")),Log[Arg])&amp;"",Items[[#This Row],[Team]]&amp;""))</f>
      </c>
      <c r="L925" s="17">
        <f>IF(Items[[#This Row],[ID]]="","",IFERROR(LOOKUP(2,1/((Log[ID]=Items[[#This Row],[ID]])*(Log[Into]&lt;&gt;"")),Log[Into]),""))</f>
      </c>
      <c r="M925" s="17">
        <f>IF(Items[[#This Row],[ID]]="","",IF(IFERROR(LOOKUP(2,1/((Log[ID]=Items[[#This Row],[ID]])*(Log[Blk]&lt;&gt;"")),Log[Blk]),0)=1,"Y",""))</f>
      </c>
      <c r="N925" s="17">
        <f>IF(Items[[#This Row],[ID]]="","",SUBSTITUTE(IFERROR(LOOKUP(2,1/((Log[ID]=Items[[#This Row],[ID]])*(Log[State]&lt;&gt;"")),Log[State]),"TODO"),"OPEN",IF(Items[[#This Row],[Blocked]]="Y","WAIT","OPEN")))</f>
      </c>
      <c r="O92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25" s="17">
        <f>IF(Items[[#This Row],[State]]&lt;&gt;"WAIT","",AsOf-Items[[#This Row],[Blocked since]])</f>
      </c>
      <c r="Q925" s="17">
        <f>IF(Items[[#This Row],[State]]&lt;&gt;"WAIT","",IFERROR(LOOKUP(2,1/((Log[ID]=Items[[#This Row],[ID]])*(Log[Verb]="block")),Log[Note])&amp;"",""))</f>
      </c>
      <c r="R925" s="17">
        <f>IF(Items[[#This Row],[ID]]="","",COUNTIFS(Log[ID],Items[[#This Row],[ID]],Log[Verb],"carry"))</f>
      </c>
      <c r="S925" s="17">
        <f>IF(Items[[#This Row],[ID]]="","",COUNTIFS(Log[ID],Items[[#This Row],[ID]],Log[Verb],"punt"))</f>
      </c>
      <c r="T925" s="11">
        <f>IF(Items[[#This Row],[State]]&lt;&gt;"DONE","",IFERROR(LOOKUP(2,1/((Log[ID]=Items[[#This Row],[ID]])*(Log[Verb]="done")),Log[Date]),""))</f>
      </c>
      <c r="U925" s="17">
        <f>IF(Items[[#This Row],[ID]]="","",IF(AND(Items[[#This Row],[Sprint]]=CurSprint,OR(Items[[#This Row],[State]]="OPEN",Items[[#This Row],[State]]="WAIT",Items[[#This Row],[State]]="HOLD",Items[[#This Row],[State]]="DONE")),1,0))</f>
      </c>
      <c r="V925" s="17">
        <f>IF(OR(Items[[#This Row],[ID]]="",Items[[#This Row],[Added]]=""),"",AsOf-Items[[#This Row],[Added]])</f>
      </c>
      <c r="W925" s="17">
        <f>IF(Items[[#This Row],[In sprint]]=1,(IF(Items[[#This Row],[Prio]]="",9,N(Items[[#This Row],[Prio]]))*10+(IF(Items[[#This Row],[State]]="DONE",1,0)))*100000+ROW(),"")</f>
      </c>
      <c r="X92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25" s="17">
        <f>IF(AND(Items[[#This Row],[State]]="DONE",N(Items[[#This Row],[Done on]])&gt;AsOf-7),(200000-N(Items[[#This Row],[Done on]]))*100000+ROW(),"")</f>
      </c>
    </row>
    <row r="926">
      <c r="A926" t="s">
        <v>2159</v>
      </c>
      <c r="B926" t="s">
        <v>2160</v>
      </c>
      <c r="C926" t="s">
        <v>1115</v>
      </c>
      <c r="D926" t="s">
        <v>1119</v>
      </c>
      <c r="E926" t="s">
        <v>1120</v>
      </c>
      <c r="F926" t="s">
        <v>1342</v>
      </c>
      <c r="G926">
        <v>5</v>
      </c>
      <c r="H926">
        <v>1</v>
      </c>
      <c r="I926" s="11">
        <v>46273</v>
      </c>
      <c r="J926" s="17">
        <f>IF(Items[[#This Row],[ID]]="","",IFERROR(VALUE(LOOKUP(2,1/((Log[ID]=Items[[#This Row],[ID]])*(Log[Verb]="est")),Log[Arg])),N(Items[[#This Row],[Points]])))</f>
      </c>
      <c r="K926" s="17">
        <f>IF(Items[[#This Row],[ID]]="","",IFERROR(LOOKUP(2,1/((Log[ID]=Items[[#This Row],[ID]])*(Log[Verb]="pass")),Log[Arg])&amp;"",Items[[#This Row],[Team]]&amp;""))</f>
      </c>
      <c r="L926" s="17">
        <f>IF(Items[[#This Row],[ID]]="","",IFERROR(LOOKUP(2,1/((Log[ID]=Items[[#This Row],[ID]])*(Log[Into]&lt;&gt;"")),Log[Into]),""))</f>
      </c>
      <c r="M926" s="17">
        <f>IF(Items[[#This Row],[ID]]="","",IF(IFERROR(LOOKUP(2,1/((Log[ID]=Items[[#This Row],[ID]])*(Log[Blk]&lt;&gt;"")),Log[Blk]),0)=1,"Y",""))</f>
      </c>
      <c r="N926" s="17">
        <f>IF(Items[[#This Row],[ID]]="","",SUBSTITUTE(IFERROR(LOOKUP(2,1/((Log[ID]=Items[[#This Row],[ID]])*(Log[State]&lt;&gt;"")),Log[State]),"TODO"),"OPEN",IF(Items[[#This Row],[Blocked]]="Y","WAIT","OPEN")))</f>
      </c>
      <c r="O92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26" s="17">
        <f>IF(Items[[#This Row],[State]]&lt;&gt;"WAIT","",AsOf-Items[[#This Row],[Blocked since]])</f>
      </c>
      <c r="Q926" s="17">
        <f>IF(Items[[#This Row],[State]]&lt;&gt;"WAIT","",IFERROR(LOOKUP(2,1/((Log[ID]=Items[[#This Row],[ID]])*(Log[Verb]="block")),Log[Note])&amp;"",""))</f>
      </c>
      <c r="R926" s="17">
        <f>IF(Items[[#This Row],[ID]]="","",COUNTIFS(Log[ID],Items[[#This Row],[ID]],Log[Verb],"carry"))</f>
      </c>
      <c r="S926" s="17">
        <f>IF(Items[[#This Row],[ID]]="","",COUNTIFS(Log[ID],Items[[#This Row],[ID]],Log[Verb],"punt"))</f>
      </c>
      <c r="T926" s="11">
        <f>IF(Items[[#This Row],[State]]&lt;&gt;"DONE","",IFERROR(LOOKUP(2,1/((Log[ID]=Items[[#This Row],[ID]])*(Log[Verb]="done")),Log[Date]),""))</f>
      </c>
      <c r="U926" s="17">
        <f>IF(Items[[#This Row],[ID]]="","",IF(AND(Items[[#This Row],[Sprint]]=CurSprint,OR(Items[[#This Row],[State]]="OPEN",Items[[#This Row],[State]]="WAIT",Items[[#This Row],[State]]="HOLD",Items[[#This Row],[State]]="DONE")),1,0))</f>
      </c>
      <c r="V926" s="17">
        <f>IF(OR(Items[[#This Row],[ID]]="",Items[[#This Row],[Added]]=""),"",AsOf-Items[[#This Row],[Added]])</f>
      </c>
      <c r="W926" s="17">
        <f>IF(Items[[#This Row],[In sprint]]=1,(IF(Items[[#This Row],[Prio]]="",9,N(Items[[#This Row],[Prio]]))*10+(IF(Items[[#This Row],[State]]="DONE",1,0)))*100000+ROW(),"")</f>
      </c>
      <c r="X92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26" s="17">
        <f>IF(AND(Items[[#This Row],[State]]="DONE",N(Items[[#This Row],[Done on]])&gt;AsOf-7),(200000-N(Items[[#This Row],[Done on]]))*100000+ROW(),"")</f>
      </c>
    </row>
    <row r="927">
      <c r="A927" t="s">
        <v>2161</v>
      </c>
      <c r="B927" t="s">
        <v>2162</v>
      </c>
      <c r="C927" t="s">
        <v>1107</v>
      </c>
      <c r="D927" t="s">
        <v>1127</v>
      </c>
      <c r="E927" t="s">
        <v>1124</v>
      </c>
      <c r="F927" t="s">
        <v>1198</v>
      </c>
      <c r="G927">
        <v>8</v>
      </c>
      <c r="H927">
        <v>1</v>
      </c>
      <c r="I927" s="11">
        <v>46273</v>
      </c>
      <c r="J927" s="17">
        <f>IF(Items[[#This Row],[ID]]="","",IFERROR(VALUE(LOOKUP(2,1/((Log[ID]=Items[[#This Row],[ID]])*(Log[Verb]="est")),Log[Arg])),N(Items[[#This Row],[Points]])))</f>
      </c>
      <c r="K927" s="17">
        <f>IF(Items[[#This Row],[ID]]="","",IFERROR(LOOKUP(2,1/((Log[ID]=Items[[#This Row],[ID]])*(Log[Verb]="pass")),Log[Arg])&amp;"",Items[[#This Row],[Team]]&amp;""))</f>
      </c>
      <c r="L927" s="17">
        <f>IF(Items[[#This Row],[ID]]="","",IFERROR(LOOKUP(2,1/((Log[ID]=Items[[#This Row],[ID]])*(Log[Into]&lt;&gt;"")),Log[Into]),""))</f>
      </c>
      <c r="M927" s="17">
        <f>IF(Items[[#This Row],[ID]]="","",IF(IFERROR(LOOKUP(2,1/((Log[ID]=Items[[#This Row],[ID]])*(Log[Blk]&lt;&gt;"")),Log[Blk]),0)=1,"Y",""))</f>
      </c>
      <c r="N927" s="17">
        <f>IF(Items[[#This Row],[ID]]="","",SUBSTITUTE(IFERROR(LOOKUP(2,1/((Log[ID]=Items[[#This Row],[ID]])*(Log[State]&lt;&gt;"")),Log[State]),"TODO"),"OPEN",IF(Items[[#This Row],[Blocked]]="Y","WAIT","OPEN")))</f>
      </c>
      <c r="O92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27" s="17">
        <f>IF(Items[[#This Row],[State]]&lt;&gt;"WAIT","",AsOf-Items[[#This Row],[Blocked since]])</f>
      </c>
      <c r="Q927" s="17">
        <f>IF(Items[[#This Row],[State]]&lt;&gt;"WAIT","",IFERROR(LOOKUP(2,1/((Log[ID]=Items[[#This Row],[ID]])*(Log[Verb]="block")),Log[Note])&amp;"",""))</f>
      </c>
      <c r="R927" s="17">
        <f>IF(Items[[#This Row],[ID]]="","",COUNTIFS(Log[ID],Items[[#This Row],[ID]],Log[Verb],"carry"))</f>
      </c>
      <c r="S927" s="17">
        <f>IF(Items[[#This Row],[ID]]="","",COUNTIFS(Log[ID],Items[[#This Row],[ID]],Log[Verb],"punt"))</f>
      </c>
      <c r="T927" s="11">
        <f>IF(Items[[#This Row],[State]]&lt;&gt;"DONE","",IFERROR(LOOKUP(2,1/((Log[ID]=Items[[#This Row],[ID]])*(Log[Verb]="done")),Log[Date]),""))</f>
      </c>
      <c r="U927" s="17">
        <f>IF(Items[[#This Row],[ID]]="","",IF(AND(Items[[#This Row],[Sprint]]=CurSprint,OR(Items[[#This Row],[State]]="OPEN",Items[[#This Row],[State]]="WAIT",Items[[#This Row],[State]]="HOLD",Items[[#This Row],[State]]="DONE")),1,0))</f>
      </c>
      <c r="V927" s="17">
        <f>IF(OR(Items[[#This Row],[ID]]="",Items[[#This Row],[Added]]=""),"",AsOf-Items[[#This Row],[Added]])</f>
      </c>
      <c r="W927" s="17">
        <f>IF(Items[[#This Row],[In sprint]]=1,(IF(Items[[#This Row],[Prio]]="",9,N(Items[[#This Row],[Prio]]))*10+(IF(Items[[#This Row],[State]]="DONE",1,0)))*100000+ROW(),"")</f>
      </c>
      <c r="X92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27" s="17">
        <f>IF(AND(Items[[#This Row],[State]]="DONE",N(Items[[#This Row],[Done on]])&gt;AsOf-7),(200000-N(Items[[#This Row],[Done on]]))*100000+ROW(),"")</f>
      </c>
    </row>
    <row r="928">
      <c r="A928" t="s">
        <v>1038</v>
      </c>
      <c r="B928" t="s">
        <v>2163</v>
      </c>
      <c r="C928" t="s">
        <v>1107</v>
      </c>
      <c r="D928" t="s">
        <v>1127</v>
      </c>
      <c r="E928" t="s">
        <v>1124</v>
      </c>
      <c r="F928" t="s">
        <v>1155</v>
      </c>
      <c r="G928">
        <v>2</v>
      </c>
      <c r="H928">
        <v>2</v>
      </c>
      <c r="I928" s="11">
        <v>46273</v>
      </c>
      <c r="J928" s="17">
        <f>IF(Items[[#This Row],[ID]]="","",IFERROR(VALUE(LOOKUP(2,1/((Log[ID]=Items[[#This Row],[ID]])*(Log[Verb]="est")),Log[Arg])),N(Items[[#This Row],[Points]])))</f>
      </c>
      <c r="K928" s="17">
        <f>IF(Items[[#This Row],[ID]]="","",IFERROR(LOOKUP(2,1/((Log[ID]=Items[[#This Row],[ID]])*(Log[Verb]="pass")),Log[Arg])&amp;"",Items[[#This Row],[Team]]&amp;""))</f>
      </c>
      <c r="L928" s="17">
        <f>IF(Items[[#This Row],[ID]]="","",IFERROR(LOOKUP(2,1/((Log[ID]=Items[[#This Row],[ID]])*(Log[Into]&lt;&gt;"")),Log[Into]),""))</f>
      </c>
      <c r="M928" s="17">
        <f>IF(Items[[#This Row],[ID]]="","",IF(IFERROR(LOOKUP(2,1/((Log[ID]=Items[[#This Row],[ID]])*(Log[Blk]&lt;&gt;"")),Log[Blk]),0)=1,"Y",""))</f>
      </c>
      <c r="N928" s="17">
        <f>IF(Items[[#This Row],[ID]]="","",SUBSTITUTE(IFERROR(LOOKUP(2,1/((Log[ID]=Items[[#This Row],[ID]])*(Log[State]&lt;&gt;"")),Log[State]),"TODO"),"OPEN",IF(Items[[#This Row],[Blocked]]="Y","WAIT","OPEN")))</f>
      </c>
      <c r="O92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28" s="17">
        <f>IF(Items[[#This Row],[State]]&lt;&gt;"WAIT","",AsOf-Items[[#This Row],[Blocked since]])</f>
      </c>
      <c r="Q928" s="17">
        <f>IF(Items[[#This Row],[State]]&lt;&gt;"WAIT","",IFERROR(LOOKUP(2,1/((Log[ID]=Items[[#This Row],[ID]])*(Log[Verb]="block")),Log[Note])&amp;"",""))</f>
      </c>
      <c r="R928" s="17">
        <f>IF(Items[[#This Row],[ID]]="","",COUNTIFS(Log[ID],Items[[#This Row],[ID]],Log[Verb],"carry"))</f>
      </c>
      <c r="S928" s="17">
        <f>IF(Items[[#This Row],[ID]]="","",COUNTIFS(Log[ID],Items[[#This Row],[ID]],Log[Verb],"punt"))</f>
      </c>
      <c r="T928" s="11">
        <f>IF(Items[[#This Row],[State]]&lt;&gt;"DONE","",IFERROR(LOOKUP(2,1/((Log[ID]=Items[[#This Row],[ID]])*(Log[Verb]="done")),Log[Date]),""))</f>
      </c>
      <c r="U928" s="17">
        <f>IF(Items[[#This Row],[ID]]="","",IF(AND(Items[[#This Row],[Sprint]]=CurSprint,OR(Items[[#This Row],[State]]="OPEN",Items[[#This Row],[State]]="WAIT",Items[[#This Row],[State]]="HOLD",Items[[#This Row],[State]]="DONE")),1,0))</f>
      </c>
      <c r="V928" s="17">
        <f>IF(OR(Items[[#This Row],[ID]]="",Items[[#This Row],[Added]]=""),"",AsOf-Items[[#This Row],[Added]])</f>
      </c>
      <c r="W928" s="17">
        <f>IF(Items[[#This Row],[In sprint]]=1,(IF(Items[[#This Row],[Prio]]="",9,N(Items[[#This Row],[Prio]]))*10+(IF(Items[[#This Row],[State]]="DONE",1,0)))*100000+ROW(),"")</f>
      </c>
      <c r="X92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28" s="17">
        <f>IF(AND(Items[[#This Row],[State]]="DONE",N(Items[[#This Row],[Done on]])&gt;AsOf-7),(200000-N(Items[[#This Row],[Done on]]))*100000+ROW(),"")</f>
      </c>
    </row>
    <row r="929">
      <c r="A929" t="s">
        <v>2164</v>
      </c>
      <c r="B929" t="s">
        <v>2165</v>
      </c>
      <c r="C929" t="s">
        <v>1115</v>
      </c>
      <c r="D929" t="s">
        <v>1116</v>
      </c>
      <c r="E929" t="s">
        <v>1124</v>
      </c>
      <c r="F929" t="s">
        <v>1200</v>
      </c>
      <c r="G929">
        <v>5</v>
      </c>
      <c r="H929">
        <v>1</v>
      </c>
      <c r="I929" s="11">
        <v>46273</v>
      </c>
      <c r="J929" s="17">
        <f>IF(Items[[#This Row],[ID]]="","",IFERROR(VALUE(LOOKUP(2,1/((Log[ID]=Items[[#This Row],[ID]])*(Log[Verb]="est")),Log[Arg])),N(Items[[#This Row],[Points]])))</f>
      </c>
      <c r="K929" s="17">
        <f>IF(Items[[#This Row],[ID]]="","",IFERROR(LOOKUP(2,1/((Log[ID]=Items[[#This Row],[ID]])*(Log[Verb]="pass")),Log[Arg])&amp;"",Items[[#This Row],[Team]]&amp;""))</f>
      </c>
      <c r="L929" s="17">
        <f>IF(Items[[#This Row],[ID]]="","",IFERROR(LOOKUP(2,1/((Log[ID]=Items[[#This Row],[ID]])*(Log[Into]&lt;&gt;"")),Log[Into]),""))</f>
      </c>
      <c r="M929" s="17">
        <f>IF(Items[[#This Row],[ID]]="","",IF(IFERROR(LOOKUP(2,1/((Log[ID]=Items[[#This Row],[ID]])*(Log[Blk]&lt;&gt;"")),Log[Blk]),0)=1,"Y",""))</f>
      </c>
      <c r="N929" s="17">
        <f>IF(Items[[#This Row],[ID]]="","",SUBSTITUTE(IFERROR(LOOKUP(2,1/((Log[ID]=Items[[#This Row],[ID]])*(Log[State]&lt;&gt;"")),Log[State]),"TODO"),"OPEN",IF(Items[[#This Row],[Blocked]]="Y","WAIT","OPEN")))</f>
      </c>
      <c r="O92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29" s="17">
        <f>IF(Items[[#This Row],[State]]&lt;&gt;"WAIT","",AsOf-Items[[#This Row],[Blocked since]])</f>
      </c>
      <c r="Q929" s="17">
        <f>IF(Items[[#This Row],[State]]&lt;&gt;"WAIT","",IFERROR(LOOKUP(2,1/((Log[ID]=Items[[#This Row],[ID]])*(Log[Verb]="block")),Log[Note])&amp;"",""))</f>
      </c>
      <c r="R929" s="17">
        <f>IF(Items[[#This Row],[ID]]="","",COUNTIFS(Log[ID],Items[[#This Row],[ID]],Log[Verb],"carry"))</f>
      </c>
      <c r="S929" s="17">
        <f>IF(Items[[#This Row],[ID]]="","",COUNTIFS(Log[ID],Items[[#This Row],[ID]],Log[Verb],"punt"))</f>
      </c>
      <c r="T929" s="11">
        <f>IF(Items[[#This Row],[State]]&lt;&gt;"DONE","",IFERROR(LOOKUP(2,1/((Log[ID]=Items[[#This Row],[ID]])*(Log[Verb]="done")),Log[Date]),""))</f>
      </c>
      <c r="U929" s="17">
        <f>IF(Items[[#This Row],[ID]]="","",IF(AND(Items[[#This Row],[Sprint]]=CurSprint,OR(Items[[#This Row],[State]]="OPEN",Items[[#This Row],[State]]="WAIT",Items[[#This Row],[State]]="HOLD",Items[[#This Row],[State]]="DONE")),1,0))</f>
      </c>
      <c r="V929" s="17">
        <f>IF(OR(Items[[#This Row],[ID]]="",Items[[#This Row],[Added]]=""),"",AsOf-Items[[#This Row],[Added]])</f>
      </c>
      <c r="W929" s="17">
        <f>IF(Items[[#This Row],[In sprint]]=1,(IF(Items[[#This Row],[Prio]]="",9,N(Items[[#This Row],[Prio]]))*10+(IF(Items[[#This Row],[State]]="DONE",1,0)))*100000+ROW(),"")</f>
      </c>
      <c r="X92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29" s="17">
        <f>IF(AND(Items[[#This Row],[State]]="DONE",N(Items[[#This Row],[Done on]])&gt;AsOf-7),(200000-N(Items[[#This Row],[Done on]]))*100000+ROW(),"")</f>
      </c>
    </row>
    <row r="930">
      <c r="A930" t="s">
        <v>1039</v>
      </c>
      <c r="B930" t="s">
        <v>2166</v>
      </c>
      <c r="C930" t="s">
        <v>1107</v>
      </c>
      <c r="D930" t="s">
        <v>1127</v>
      </c>
      <c r="E930" t="s">
        <v>1124</v>
      </c>
      <c r="F930" t="s">
        <v>1198</v>
      </c>
      <c r="G930">
        <v>2</v>
      </c>
      <c r="H930">
        <v>1</v>
      </c>
      <c r="I930" s="11">
        <v>46273</v>
      </c>
      <c r="J930" s="17">
        <f>IF(Items[[#This Row],[ID]]="","",IFERROR(VALUE(LOOKUP(2,1/((Log[ID]=Items[[#This Row],[ID]])*(Log[Verb]="est")),Log[Arg])),N(Items[[#This Row],[Points]])))</f>
      </c>
      <c r="K930" s="17">
        <f>IF(Items[[#This Row],[ID]]="","",IFERROR(LOOKUP(2,1/((Log[ID]=Items[[#This Row],[ID]])*(Log[Verb]="pass")),Log[Arg])&amp;"",Items[[#This Row],[Team]]&amp;""))</f>
      </c>
      <c r="L930" s="17">
        <f>IF(Items[[#This Row],[ID]]="","",IFERROR(LOOKUP(2,1/((Log[ID]=Items[[#This Row],[ID]])*(Log[Into]&lt;&gt;"")),Log[Into]),""))</f>
      </c>
      <c r="M930" s="17">
        <f>IF(Items[[#This Row],[ID]]="","",IF(IFERROR(LOOKUP(2,1/((Log[ID]=Items[[#This Row],[ID]])*(Log[Blk]&lt;&gt;"")),Log[Blk]),0)=1,"Y",""))</f>
      </c>
      <c r="N930" s="17">
        <f>IF(Items[[#This Row],[ID]]="","",SUBSTITUTE(IFERROR(LOOKUP(2,1/((Log[ID]=Items[[#This Row],[ID]])*(Log[State]&lt;&gt;"")),Log[State]),"TODO"),"OPEN",IF(Items[[#This Row],[Blocked]]="Y","WAIT","OPEN")))</f>
      </c>
      <c r="O93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30" s="17">
        <f>IF(Items[[#This Row],[State]]&lt;&gt;"WAIT","",AsOf-Items[[#This Row],[Blocked since]])</f>
      </c>
      <c r="Q930" s="17">
        <f>IF(Items[[#This Row],[State]]&lt;&gt;"WAIT","",IFERROR(LOOKUP(2,1/((Log[ID]=Items[[#This Row],[ID]])*(Log[Verb]="block")),Log[Note])&amp;"",""))</f>
      </c>
      <c r="R930" s="17">
        <f>IF(Items[[#This Row],[ID]]="","",COUNTIFS(Log[ID],Items[[#This Row],[ID]],Log[Verb],"carry"))</f>
      </c>
      <c r="S930" s="17">
        <f>IF(Items[[#This Row],[ID]]="","",COUNTIFS(Log[ID],Items[[#This Row],[ID]],Log[Verb],"punt"))</f>
      </c>
      <c r="T930" s="11">
        <f>IF(Items[[#This Row],[State]]&lt;&gt;"DONE","",IFERROR(LOOKUP(2,1/((Log[ID]=Items[[#This Row],[ID]])*(Log[Verb]="done")),Log[Date]),""))</f>
      </c>
      <c r="U930" s="17">
        <f>IF(Items[[#This Row],[ID]]="","",IF(AND(Items[[#This Row],[Sprint]]=CurSprint,OR(Items[[#This Row],[State]]="OPEN",Items[[#This Row],[State]]="WAIT",Items[[#This Row],[State]]="HOLD",Items[[#This Row],[State]]="DONE")),1,0))</f>
      </c>
      <c r="V930" s="17">
        <f>IF(OR(Items[[#This Row],[ID]]="",Items[[#This Row],[Added]]=""),"",AsOf-Items[[#This Row],[Added]])</f>
      </c>
      <c r="W930" s="17">
        <f>IF(Items[[#This Row],[In sprint]]=1,(IF(Items[[#This Row],[Prio]]="",9,N(Items[[#This Row],[Prio]]))*10+(IF(Items[[#This Row],[State]]="DONE",1,0)))*100000+ROW(),"")</f>
      </c>
      <c r="X93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30" s="17">
        <f>IF(AND(Items[[#This Row],[State]]="DONE",N(Items[[#This Row],[Done on]])&gt;AsOf-7),(200000-N(Items[[#This Row],[Done on]]))*100000+ROW(),"")</f>
      </c>
    </row>
    <row r="931">
      <c r="A931" t="s">
        <v>2167</v>
      </c>
      <c r="B931" t="s">
        <v>2168</v>
      </c>
      <c r="C931" t="s">
        <v>1115</v>
      </c>
      <c r="D931" t="s">
        <v>1119</v>
      </c>
      <c r="E931" t="s">
        <v>1124</v>
      </c>
      <c r="F931" t="s">
        <v>1125</v>
      </c>
      <c r="G931">
        <v>5</v>
      </c>
      <c r="H931">
        <v>3</v>
      </c>
      <c r="I931" s="11">
        <v>46273</v>
      </c>
      <c r="J931" s="17">
        <f>IF(Items[[#This Row],[ID]]="","",IFERROR(VALUE(LOOKUP(2,1/((Log[ID]=Items[[#This Row],[ID]])*(Log[Verb]="est")),Log[Arg])),N(Items[[#This Row],[Points]])))</f>
      </c>
      <c r="K931" s="17">
        <f>IF(Items[[#This Row],[ID]]="","",IFERROR(LOOKUP(2,1/((Log[ID]=Items[[#This Row],[ID]])*(Log[Verb]="pass")),Log[Arg])&amp;"",Items[[#This Row],[Team]]&amp;""))</f>
      </c>
      <c r="L931" s="17">
        <f>IF(Items[[#This Row],[ID]]="","",IFERROR(LOOKUP(2,1/((Log[ID]=Items[[#This Row],[ID]])*(Log[Into]&lt;&gt;"")),Log[Into]),""))</f>
      </c>
      <c r="M931" s="17">
        <f>IF(Items[[#This Row],[ID]]="","",IF(IFERROR(LOOKUP(2,1/((Log[ID]=Items[[#This Row],[ID]])*(Log[Blk]&lt;&gt;"")),Log[Blk]),0)=1,"Y",""))</f>
      </c>
      <c r="N931" s="17">
        <f>IF(Items[[#This Row],[ID]]="","",SUBSTITUTE(IFERROR(LOOKUP(2,1/((Log[ID]=Items[[#This Row],[ID]])*(Log[State]&lt;&gt;"")),Log[State]),"TODO"),"OPEN",IF(Items[[#This Row],[Blocked]]="Y","WAIT","OPEN")))</f>
      </c>
      <c r="O93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31" s="17">
        <f>IF(Items[[#This Row],[State]]&lt;&gt;"WAIT","",AsOf-Items[[#This Row],[Blocked since]])</f>
      </c>
      <c r="Q931" s="17">
        <f>IF(Items[[#This Row],[State]]&lt;&gt;"WAIT","",IFERROR(LOOKUP(2,1/((Log[ID]=Items[[#This Row],[ID]])*(Log[Verb]="block")),Log[Note])&amp;"",""))</f>
      </c>
      <c r="R931" s="17">
        <f>IF(Items[[#This Row],[ID]]="","",COUNTIFS(Log[ID],Items[[#This Row],[ID]],Log[Verb],"carry"))</f>
      </c>
      <c r="S931" s="17">
        <f>IF(Items[[#This Row],[ID]]="","",COUNTIFS(Log[ID],Items[[#This Row],[ID]],Log[Verb],"punt"))</f>
      </c>
      <c r="T931" s="11">
        <f>IF(Items[[#This Row],[State]]&lt;&gt;"DONE","",IFERROR(LOOKUP(2,1/((Log[ID]=Items[[#This Row],[ID]])*(Log[Verb]="done")),Log[Date]),""))</f>
      </c>
      <c r="U931" s="17">
        <f>IF(Items[[#This Row],[ID]]="","",IF(AND(Items[[#This Row],[Sprint]]=CurSprint,OR(Items[[#This Row],[State]]="OPEN",Items[[#This Row],[State]]="WAIT",Items[[#This Row],[State]]="HOLD",Items[[#This Row],[State]]="DONE")),1,0))</f>
      </c>
      <c r="V931" s="17">
        <f>IF(OR(Items[[#This Row],[ID]]="",Items[[#This Row],[Added]]=""),"",AsOf-Items[[#This Row],[Added]])</f>
      </c>
      <c r="W931" s="17">
        <f>IF(Items[[#This Row],[In sprint]]=1,(IF(Items[[#This Row],[Prio]]="",9,N(Items[[#This Row],[Prio]]))*10+(IF(Items[[#This Row],[State]]="DONE",1,0)))*100000+ROW(),"")</f>
      </c>
      <c r="X93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31" s="17">
        <f>IF(AND(Items[[#This Row],[State]]="DONE",N(Items[[#This Row],[Done on]])&gt;AsOf-7),(200000-N(Items[[#This Row],[Done on]]))*100000+ROW(),"")</f>
      </c>
    </row>
    <row r="932">
      <c r="A932" t="s">
        <v>2169</v>
      </c>
      <c r="B932" t="s">
        <v>2170</v>
      </c>
      <c r="C932" t="s">
        <v>1115</v>
      </c>
      <c r="D932" t="s">
        <v>1116</v>
      </c>
      <c r="E932" t="s">
        <v>1124</v>
      </c>
      <c r="F932" t="s">
        <v>1157</v>
      </c>
      <c r="G932">
        <v>3</v>
      </c>
      <c r="H932">
        <v>1</v>
      </c>
      <c r="I932" s="11">
        <v>46273</v>
      </c>
      <c r="J932" s="17">
        <f>IF(Items[[#This Row],[ID]]="","",IFERROR(VALUE(LOOKUP(2,1/((Log[ID]=Items[[#This Row],[ID]])*(Log[Verb]="est")),Log[Arg])),N(Items[[#This Row],[Points]])))</f>
      </c>
      <c r="K932" s="17">
        <f>IF(Items[[#This Row],[ID]]="","",IFERROR(LOOKUP(2,1/((Log[ID]=Items[[#This Row],[ID]])*(Log[Verb]="pass")),Log[Arg])&amp;"",Items[[#This Row],[Team]]&amp;""))</f>
      </c>
      <c r="L932" s="17">
        <f>IF(Items[[#This Row],[ID]]="","",IFERROR(LOOKUP(2,1/((Log[ID]=Items[[#This Row],[ID]])*(Log[Into]&lt;&gt;"")),Log[Into]),""))</f>
      </c>
      <c r="M932" s="17">
        <f>IF(Items[[#This Row],[ID]]="","",IF(IFERROR(LOOKUP(2,1/((Log[ID]=Items[[#This Row],[ID]])*(Log[Blk]&lt;&gt;"")),Log[Blk]),0)=1,"Y",""))</f>
      </c>
      <c r="N932" s="17">
        <f>IF(Items[[#This Row],[ID]]="","",SUBSTITUTE(IFERROR(LOOKUP(2,1/((Log[ID]=Items[[#This Row],[ID]])*(Log[State]&lt;&gt;"")),Log[State]),"TODO"),"OPEN",IF(Items[[#This Row],[Blocked]]="Y","WAIT","OPEN")))</f>
      </c>
      <c r="O93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32" s="17">
        <f>IF(Items[[#This Row],[State]]&lt;&gt;"WAIT","",AsOf-Items[[#This Row],[Blocked since]])</f>
      </c>
      <c r="Q932" s="17">
        <f>IF(Items[[#This Row],[State]]&lt;&gt;"WAIT","",IFERROR(LOOKUP(2,1/((Log[ID]=Items[[#This Row],[ID]])*(Log[Verb]="block")),Log[Note])&amp;"",""))</f>
      </c>
      <c r="R932" s="17">
        <f>IF(Items[[#This Row],[ID]]="","",COUNTIFS(Log[ID],Items[[#This Row],[ID]],Log[Verb],"carry"))</f>
      </c>
      <c r="S932" s="17">
        <f>IF(Items[[#This Row],[ID]]="","",COUNTIFS(Log[ID],Items[[#This Row],[ID]],Log[Verb],"punt"))</f>
      </c>
      <c r="T932" s="11">
        <f>IF(Items[[#This Row],[State]]&lt;&gt;"DONE","",IFERROR(LOOKUP(2,1/((Log[ID]=Items[[#This Row],[ID]])*(Log[Verb]="done")),Log[Date]),""))</f>
      </c>
      <c r="U932" s="17">
        <f>IF(Items[[#This Row],[ID]]="","",IF(AND(Items[[#This Row],[Sprint]]=CurSprint,OR(Items[[#This Row],[State]]="OPEN",Items[[#This Row],[State]]="WAIT",Items[[#This Row],[State]]="HOLD",Items[[#This Row],[State]]="DONE")),1,0))</f>
      </c>
      <c r="V932" s="17">
        <f>IF(OR(Items[[#This Row],[ID]]="",Items[[#This Row],[Added]]=""),"",AsOf-Items[[#This Row],[Added]])</f>
      </c>
      <c r="W932" s="17">
        <f>IF(Items[[#This Row],[In sprint]]=1,(IF(Items[[#This Row],[Prio]]="",9,N(Items[[#This Row],[Prio]]))*10+(IF(Items[[#This Row],[State]]="DONE",1,0)))*100000+ROW(),"")</f>
      </c>
      <c r="X93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32" s="17">
        <f>IF(AND(Items[[#This Row],[State]]="DONE",N(Items[[#This Row],[Done on]])&gt;AsOf-7),(200000-N(Items[[#This Row],[Done on]]))*100000+ROW(),"")</f>
      </c>
    </row>
    <row r="933">
      <c r="A933" t="s">
        <v>2171</v>
      </c>
      <c r="B933" t="s">
        <v>2172</v>
      </c>
      <c r="C933" t="s">
        <v>1107</v>
      </c>
      <c r="D933" t="s">
        <v>1123</v>
      </c>
      <c r="E933" t="s">
        <v>1124</v>
      </c>
      <c r="F933" t="s">
        <v>1280</v>
      </c>
      <c r="G933">
        <v>2</v>
      </c>
      <c r="H933">
        <v>2</v>
      </c>
      <c r="I933" s="11">
        <v>46273</v>
      </c>
      <c r="J933" s="17">
        <f>IF(Items[[#This Row],[ID]]="","",IFERROR(VALUE(LOOKUP(2,1/((Log[ID]=Items[[#This Row],[ID]])*(Log[Verb]="est")),Log[Arg])),N(Items[[#This Row],[Points]])))</f>
      </c>
      <c r="K933" s="17">
        <f>IF(Items[[#This Row],[ID]]="","",IFERROR(LOOKUP(2,1/((Log[ID]=Items[[#This Row],[ID]])*(Log[Verb]="pass")),Log[Arg])&amp;"",Items[[#This Row],[Team]]&amp;""))</f>
      </c>
      <c r="L933" s="17">
        <f>IF(Items[[#This Row],[ID]]="","",IFERROR(LOOKUP(2,1/((Log[ID]=Items[[#This Row],[ID]])*(Log[Into]&lt;&gt;"")),Log[Into]),""))</f>
      </c>
      <c r="M933" s="17">
        <f>IF(Items[[#This Row],[ID]]="","",IF(IFERROR(LOOKUP(2,1/((Log[ID]=Items[[#This Row],[ID]])*(Log[Blk]&lt;&gt;"")),Log[Blk]),0)=1,"Y",""))</f>
      </c>
      <c r="N933" s="17">
        <f>IF(Items[[#This Row],[ID]]="","",SUBSTITUTE(IFERROR(LOOKUP(2,1/((Log[ID]=Items[[#This Row],[ID]])*(Log[State]&lt;&gt;"")),Log[State]),"TODO"),"OPEN",IF(Items[[#This Row],[Blocked]]="Y","WAIT","OPEN")))</f>
      </c>
      <c r="O93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33" s="17">
        <f>IF(Items[[#This Row],[State]]&lt;&gt;"WAIT","",AsOf-Items[[#This Row],[Blocked since]])</f>
      </c>
      <c r="Q933" s="17">
        <f>IF(Items[[#This Row],[State]]&lt;&gt;"WAIT","",IFERROR(LOOKUP(2,1/((Log[ID]=Items[[#This Row],[ID]])*(Log[Verb]="block")),Log[Note])&amp;"",""))</f>
      </c>
      <c r="R933" s="17">
        <f>IF(Items[[#This Row],[ID]]="","",COUNTIFS(Log[ID],Items[[#This Row],[ID]],Log[Verb],"carry"))</f>
      </c>
      <c r="S933" s="17">
        <f>IF(Items[[#This Row],[ID]]="","",COUNTIFS(Log[ID],Items[[#This Row],[ID]],Log[Verb],"punt"))</f>
      </c>
      <c r="T933" s="11">
        <f>IF(Items[[#This Row],[State]]&lt;&gt;"DONE","",IFERROR(LOOKUP(2,1/((Log[ID]=Items[[#This Row],[ID]])*(Log[Verb]="done")),Log[Date]),""))</f>
      </c>
      <c r="U933" s="17">
        <f>IF(Items[[#This Row],[ID]]="","",IF(AND(Items[[#This Row],[Sprint]]=CurSprint,OR(Items[[#This Row],[State]]="OPEN",Items[[#This Row],[State]]="WAIT",Items[[#This Row],[State]]="HOLD",Items[[#This Row],[State]]="DONE")),1,0))</f>
      </c>
      <c r="V933" s="17">
        <f>IF(OR(Items[[#This Row],[ID]]="",Items[[#This Row],[Added]]=""),"",AsOf-Items[[#This Row],[Added]])</f>
      </c>
      <c r="W933" s="17">
        <f>IF(Items[[#This Row],[In sprint]]=1,(IF(Items[[#This Row],[Prio]]="",9,N(Items[[#This Row],[Prio]]))*10+(IF(Items[[#This Row],[State]]="DONE",1,0)))*100000+ROW(),"")</f>
      </c>
      <c r="X93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33" s="17">
        <f>IF(AND(Items[[#This Row],[State]]="DONE",N(Items[[#This Row],[Done on]])&gt;AsOf-7),(200000-N(Items[[#This Row],[Done on]]))*100000+ROW(),"")</f>
      </c>
    </row>
    <row r="934">
      <c r="A934" t="s">
        <v>2173</v>
      </c>
      <c r="B934" t="s">
        <v>2174</v>
      </c>
      <c r="C934" t="s">
        <v>1107</v>
      </c>
      <c r="D934" t="s">
        <v>1123</v>
      </c>
      <c r="E934" t="s">
        <v>1124</v>
      </c>
      <c r="F934" t="s">
        <v>1283</v>
      </c>
      <c r="G934">
        <v>5</v>
      </c>
      <c r="H934">
        <v>3</v>
      </c>
      <c r="I934" s="11">
        <v>46273</v>
      </c>
      <c r="J934" s="17">
        <f>IF(Items[[#This Row],[ID]]="","",IFERROR(VALUE(LOOKUP(2,1/((Log[ID]=Items[[#This Row],[ID]])*(Log[Verb]="est")),Log[Arg])),N(Items[[#This Row],[Points]])))</f>
      </c>
      <c r="K934" s="17">
        <f>IF(Items[[#This Row],[ID]]="","",IFERROR(LOOKUP(2,1/((Log[ID]=Items[[#This Row],[ID]])*(Log[Verb]="pass")),Log[Arg])&amp;"",Items[[#This Row],[Team]]&amp;""))</f>
      </c>
      <c r="L934" s="17">
        <f>IF(Items[[#This Row],[ID]]="","",IFERROR(LOOKUP(2,1/((Log[ID]=Items[[#This Row],[ID]])*(Log[Into]&lt;&gt;"")),Log[Into]),""))</f>
      </c>
      <c r="M934" s="17">
        <f>IF(Items[[#This Row],[ID]]="","",IF(IFERROR(LOOKUP(2,1/((Log[ID]=Items[[#This Row],[ID]])*(Log[Blk]&lt;&gt;"")),Log[Blk]),0)=1,"Y",""))</f>
      </c>
      <c r="N934" s="17">
        <f>IF(Items[[#This Row],[ID]]="","",SUBSTITUTE(IFERROR(LOOKUP(2,1/((Log[ID]=Items[[#This Row],[ID]])*(Log[State]&lt;&gt;"")),Log[State]),"TODO"),"OPEN",IF(Items[[#This Row],[Blocked]]="Y","WAIT","OPEN")))</f>
      </c>
      <c r="O93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34" s="17">
        <f>IF(Items[[#This Row],[State]]&lt;&gt;"WAIT","",AsOf-Items[[#This Row],[Blocked since]])</f>
      </c>
      <c r="Q934" s="17">
        <f>IF(Items[[#This Row],[State]]&lt;&gt;"WAIT","",IFERROR(LOOKUP(2,1/((Log[ID]=Items[[#This Row],[ID]])*(Log[Verb]="block")),Log[Note])&amp;"",""))</f>
      </c>
      <c r="R934" s="17">
        <f>IF(Items[[#This Row],[ID]]="","",COUNTIFS(Log[ID],Items[[#This Row],[ID]],Log[Verb],"carry"))</f>
      </c>
      <c r="S934" s="17">
        <f>IF(Items[[#This Row],[ID]]="","",COUNTIFS(Log[ID],Items[[#This Row],[ID]],Log[Verb],"punt"))</f>
      </c>
      <c r="T934" s="11">
        <f>IF(Items[[#This Row],[State]]&lt;&gt;"DONE","",IFERROR(LOOKUP(2,1/((Log[ID]=Items[[#This Row],[ID]])*(Log[Verb]="done")),Log[Date]),""))</f>
      </c>
      <c r="U934" s="17">
        <f>IF(Items[[#This Row],[ID]]="","",IF(AND(Items[[#This Row],[Sprint]]=CurSprint,OR(Items[[#This Row],[State]]="OPEN",Items[[#This Row],[State]]="WAIT",Items[[#This Row],[State]]="HOLD",Items[[#This Row],[State]]="DONE")),1,0))</f>
      </c>
      <c r="V934" s="17">
        <f>IF(OR(Items[[#This Row],[ID]]="",Items[[#This Row],[Added]]=""),"",AsOf-Items[[#This Row],[Added]])</f>
      </c>
      <c r="W934" s="17">
        <f>IF(Items[[#This Row],[In sprint]]=1,(IF(Items[[#This Row],[Prio]]="",9,N(Items[[#This Row],[Prio]]))*10+(IF(Items[[#This Row],[State]]="DONE",1,0)))*100000+ROW(),"")</f>
      </c>
      <c r="X93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34" s="17">
        <f>IF(AND(Items[[#This Row],[State]]="DONE",N(Items[[#This Row],[Done on]])&gt;AsOf-7),(200000-N(Items[[#This Row],[Done on]]))*100000+ROW(),"")</f>
      </c>
    </row>
    <row r="935">
      <c r="A935" t="s">
        <v>1044</v>
      </c>
      <c r="B935" t="s">
        <v>2175</v>
      </c>
      <c r="C935" t="s">
        <v>1115</v>
      </c>
      <c r="D935" t="s">
        <v>1116</v>
      </c>
      <c r="E935" t="s">
        <v>1159</v>
      </c>
      <c r="F935" t="s">
        <v>1213</v>
      </c>
      <c r="G935">
        <v>3</v>
      </c>
      <c r="H935">
        <v>3</v>
      </c>
      <c r="I935" s="11">
        <v>46273</v>
      </c>
      <c r="J935" s="17">
        <f>IF(Items[[#This Row],[ID]]="","",IFERROR(VALUE(LOOKUP(2,1/((Log[ID]=Items[[#This Row],[ID]])*(Log[Verb]="est")),Log[Arg])),N(Items[[#This Row],[Points]])))</f>
      </c>
      <c r="K935" s="17">
        <f>IF(Items[[#This Row],[ID]]="","",IFERROR(LOOKUP(2,1/((Log[ID]=Items[[#This Row],[ID]])*(Log[Verb]="pass")),Log[Arg])&amp;"",Items[[#This Row],[Team]]&amp;""))</f>
      </c>
      <c r="L935" s="17">
        <f>IF(Items[[#This Row],[ID]]="","",IFERROR(LOOKUP(2,1/((Log[ID]=Items[[#This Row],[ID]])*(Log[Into]&lt;&gt;"")),Log[Into]),""))</f>
      </c>
      <c r="M935" s="17">
        <f>IF(Items[[#This Row],[ID]]="","",IF(IFERROR(LOOKUP(2,1/((Log[ID]=Items[[#This Row],[ID]])*(Log[Blk]&lt;&gt;"")),Log[Blk]),0)=1,"Y",""))</f>
      </c>
      <c r="N935" s="17">
        <f>IF(Items[[#This Row],[ID]]="","",SUBSTITUTE(IFERROR(LOOKUP(2,1/((Log[ID]=Items[[#This Row],[ID]])*(Log[State]&lt;&gt;"")),Log[State]),"TODO"),"OPEN",IF(Items[[#This Row],[Blocked]]="Y","WAIT","OPEN")))</f>
      </c>
      <c r="O93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35" s="17">
        <f>IF(Items[[#This Row],[State]]&lt;&gt;"WAIT","",AsOf-Items[[#This Row],[Blocked since]])</f>
      </c>
      <c r="Q935" s="17">
        <f>IF(Items[[#This Row],[State]]&lt;&gt;"WAIT","",IFERROR(LOOKUP(2,1/((Log[ID]=Items[[#This Row],[ID]])*(Log[Verb]="block")),Log[Note])&amp;"",""))</f>
      </c>
      <c r="R935" s="17">
        <f>IF(Items[[#This Row],[ID]]="","",COUNTIFS(Log[ID],Items[[#This Row],[ID]],Log[Verb],"carry"))</f>
      </c>
      <c r="S935" s="17">
        <f>IF(Items[[#This Row],[ID]]="","",COUNTIFS(Log[ID],Items[[#This Row],[ID]],Log[Verb],"punt"))</f>
      </c>
      <c r="T935" s="11">
        <f>IF(Items[[#This Row],[State]]&lt;&gt;"DONE","",IFERROR(LOOKUP(2,1/((Log[ID]=Items[[#This Row],[ID]])*(Log[Verb]="done")),Log[Date]),""))</f>
      </c>
      <c r="U935" s="17">
        <f>IF(Items[[#This Row],[ID]]="","",IF(AND(Items[[#This Row],[Sprint]]=CurSprint,OR(Items[[#This Row],[State]]="OPEN",Items[[#This Row],[State]]="WAIT",Items[[#This Row],[State]]="HOLD",Items[[#This Row],[State]]="DONE")),1,0))</f>
      </c>
      <c r="V935" s="17">
        <f>IF(OR(Items[[#This Row],[ID]]="",Items[[#This Row],[Added]]=""),"",AsOf-Items[[#This Row],[Added]])</f>
      </c>
      <c r="W935" s="17">
        <f>IF(Items[[#This Row],[In sprint]]=1,(IF(Items[[#This Row],[Prio]]="",9,N(Items[[#This Row],[Prio]]))*10+(IF(Items[[#This Row],[State]]="DONE",1,0)))*100000+ROW(),"")</f>
      </c>
      <c r="X93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35" s="17">
        <f>IF(AND(Items[[#This Row],[State]]="DONE",N(Items[[#This Row],[Done on]])&gt;AsOf-7),(200000-N(Items[[#This Row],[Done on]]))*100000+ROW(),"")</f>
      </c>
    </row>
    <row r="936">
      <c r="A936" t="s">
        <v>2176</v>
      </c>
      <c r="B936" t="s">
        <v>2177</v>
      </c>
      <c r="C936" t="s">
        <v>1107</v>
      </c>
      <c r="D936" t="s">
        <v>1123</v>
      </c>
      <c r="E936" t="s">
        <v>1159</v>
      </c>
      <c r="F936" t="s">
        <v>1211</v>
      </c>
      <c r="G936">
        <v>5</v>
      </c>
      <c r="H936">
        <v>1</v>
      </c>
      <c r="I936" s="11">
        <v>46273</v>
      </c>
      <c r="J936" s="17">
        <f>IF(Items[[#This Row],[ID]]="","",IFERROR(VALUE(LOOKUP(2,1/((Log[ID]=Items[[#This Row],[ID]])*(Log[Verb]="est")),Log[Arg])),N(Items[[#This Row],[Points]])))</f>
      </c>
      <c r="K936" s="17">
        <f>IF(Items[[#This Row],[ID]]="","",IFERROR(LOOKUP(2,1/((Log[ID]=Items[[#This Row],[ID]])*(Log[Verb]="pass")),Log[Arg])&amp;"",Items[[#This Row],[Team]]&amp;""))</f>
      </c>
      <c r="L936" s="17">
        <f>IF(Items[[#This Row],[ID]]="","",IFERROR(LOOKUP(2,1/((Log[ID]=Items[[#This Row],[ID]])*(Log[Into]&lt;&gt;"")),Log[Into]),""))</f>
      </c>
      <c r="M936" s="17">
        <f>IF(Items[[#This Row],[ID]]="","",IF(IFERROR(LOOKUP(2,1/((Log[ID]=Items[[#This Row],[ID]])*(Log[Blk]&lt;&gt;"")),Log[Blk]),0)=1,"Y",""))</f>
      </c>
      <c r="N936" s="17">
        <f>IF(Items[[#This Row],[ID]]="","",SUBSTITUTE(IFERROR(LOOKUP(2,1/((Log[ID]=Items[[#This Row],[ID]])*(Log[State]&lt;&gt;"")),Log[State]),"TODO"),"OPEN",IF(Items[[#This Row],[Blocked]]="Y","WAIT","OPEN")))</f>
      </c>
      <c r="O93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36" s="17">
        <f>IF(Items[[#This Row],[State]]&lt;&gt;"WAIT","",AsOf-Items[[#This Row],[Blocked since]])</f>
      </c>
      <c r="Q936" s="17">
        <f>IF(Items[[#This Row],[State]]&lt;&gt;"WAIT","",IFERROR(LOOKUP(2,1/((Log[ID]=Items[[#This Row],[ID]])*(Log[Verb]="block")),Log[Note])&amp;"",""))</f>
      </c>
      <c r="R936" s="17">
        <f>IF(Items[[#This Row],[ID]]="","",COUNTIFS(Log[ID],Items[[#This Row],[ID]],Log[Verb],"carry"))</f>
      </c>
      <c r="S936" s="17">
        <f>IF(Items[[#This Row],[ID]]="","",COUNTIFS(Log[ID],Items[[#This Row],[ID]],Log[Verb],"punt"))</f>
      </c>
      <c r="T936" s="11">
        <f>IF(Items[[#This Row],[State]]&lt;&gt;"DONE","",IFERROR(LOOKUP(2,1/((Log[ID]=Items[[#This Row],[ID]])*(Log[Verb]="done")),Log[Date]),""))</f>
      </c>
      <c r="U936" s="17">
        <f>IF(Items[[#This Row],[ID]]="","",IF(AND(Items[[#This Row],[Sprint]]=CurSprint,OR(Items[[#This Row],[State]]="OPEN",Items[[#This Row],[State]]="WAIT",Items[[#This Row],[State]]="HOLD",Items[[#This Row],[State]]="DONE")),1,0))</f>
      </c>
      <c r="V936" s="17">
        <f>IF(OR(Items[[#This Row],[ID]]="",Items[[#This Row],[Added]]=""),"",AsOf-Items[[#This Row],[Added]])</f>
      </c>
      <c r="W936" s="17">
        <f>IF(Items[[#This Row],[In sprint]]=1,(IF(Items[[#This Row],[Prio]]="",9,N(Items[[#This Row],[Prio]]))*10+(IF(Items[[#This Row],[State]]="DONE",1,0)))*100000+ROW(),"")</f>
      </c>
      <c r="X93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36" s="17">
        <f>IF(AND(Items[[#This Row],[State]]="DONE",N(Items[[#This Row],[Done on]])&gt;AsOf-7),(200000-N(Items[[#This Row],[Done on]]))*100000+ROW(),"")</f>
      </c>
    </row>
    <row r="937">
      <c r="A937" t="s">
        <v>2178</v>
      </c>
      <c r="B937" t="s">
        <v>2179</v>
      </c>
      <c r="C937" t="s">
        <v>1107</v>
      </c>
      <c r="D937" t="s">
        <v>1108</v>
      </c>
      <c r="E937" t="s">
        <v>1159</v>
      </c>
      <c r="F937" t="s">
        <v>1439</v>
      </c>
      <c r="G937">
        <v>8</v>
      </c>
      <c r="H937">
        <v>3</v>
      </c>
      <c r="I937" s="11">
        <v>46273</v>
      </c>
      <c r="J937" s="17">
        <f>IF(Items[[#This Row],[ID]]="","",IFERROR(VALUE(LOOKUP(2,1/((Log[ID]=Items[[#This Row],[ID]])*(Log[Verb]="est")),Log[Arg])),N(Items[[#This Row],[Points]])))</f>
      </c>
      <c r="K937" s="17">
        <f>IF(Items[[#This Row],[ID]]="","",IFERROR(LOOKUP(2,1/((Log[ID]=Items[[#This Row],[ID]])*(Log[Verb]="pass")),Log[Arg])&amp;"",Items[[#This Row],[Team]]&amp;""))</f>
      </c>
      <c r="L937" s="17">
        <f>IF(Items[[#This Row],[ID]]="","",IFERROR(LOOKUP(2,1/((Log[ID]=Items[[#This Row],[ID]])*(Log[Into]&lt;&gt;"")),Log[Into]),""))</f>
      </c>
      <c r="M937" s="17">
        <f>IF(Items[[#This Row],[ID]]="","",IF(IFERROR(LOOKUP(2,1/((Log[ID]=Items[[#This Row],[ID]])*(Log[Blk]&lt;&gt;"")),Log[Blk]),0)=1,"Y",""))</f>
      </c>
      <c r="N937" s="17">
        <f>IF(Items[[#This Row],[ID]]="","",SUBSTITUTE(IFERROR(LOOKUP(2,1/((Log[ID]=Items[[#This Row],[ID]])*(Log[State]&lt;&gt;"")),Log[State]),"TODO"),"OPEN",IF(Items[[#This Row],[Blocked]]="Y","WAIT","OPEN")))</f>
      </c>
      <c r="O93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37" s="17">
        <f>IF(Items[[#This Row],[State]]&lt;&gt;"WAIT","",AsOf-Items[[#This Row],[Blocked since]])</f>
      </c>
      <c r="Q937" s="17">
        <f>IF(Items[[#This Row],[State]]&lt;&gt;"WAIT","",IFERROR(LOOKUP(2,1/((Log[ID]=Items[[#This Row],[ID]])*(Log[Verb]="block")),Log[Note])&amp;"",""))</f>
      </c>
      <c r="R937" s="17">
        <f>IF(Items[[#This Row],[ID]]="","",COUNTIFS(Log[ID],Items[[#This Row],[ID]],Log[Verb],"carry"))</f>
      </c>
      <c r="S937" s="17">
        <f>IF(Items[[#This Row],[ID]]="","",COUNTIFS(Log[ID],Items[[#This Row],[ID]],Log[Verb],"punt"))</f>
      </c>
      <c r="T937" s="11">
        <f>IF(Items[[#This Row],[State]]&lt;&gt;"DONE","",IFERROR(LOOKUP(2,1/((Log[ID]=Items[[#This Row],[ID]])*(Log[Verb]="done")),Log[Date]),""))</f>
      </c>
      <c r="U937" s="17">
        <f>IF(Items[[#This Row],[ID]]="","",IF(AND(Items[[#This Row],[Sprint]]=CurSprint,OR(Items[[#This Row],[State]]="OPEN",Items[[#This Row],[State]]="WAIT",Items[[#This Row],[State]]="HOLD",Items[[#This Row],[State]]="DONE")),1,0))</f>
      </c>
      <c r="V937" s="17">
        <f>IF(OR(Items[[#This Row],[ID]]="",Items[[#This Row],[Added]]=""),"",AsOf-Items[[#This Row],[Added]])</f>
      </c>
      <c r="W937" s="17">
        <f>IF(Items[[#This Row],[In sprint]]=1,(IF(Items[[#This Row],[Prio]]="",9,N(Items[[#This Row],[Prio]]))*10+(IF(Items[[#This Row],[State]]="DONE",1,0)))*100000+ROW(),"")</f>
      </c>
      <c r="X93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37" s="17">
        <f>IF(AND(Items[[#This Row],[State]]="DONE",N(Items[[#This Row],[Done on]])&gt;AsOf-7),(200000-N(Items[[#This Row],[Done on]]))*100000+ROW(),"")</f>
      </c>
    </row>
    <row r="938">
      <c r="A938" t="s">
        <v>2180</v>
      </c>
      <c r="B938" t="s">
        <v>2181</v>
      </c>
      <c r="C938" t="s">
        <v>1107</v>
      </c>
      <c r="D938" t="s">
        <v>1127</v>
      </c>
      <c r="E938" t="s">
        <v>1159</v>
      </c>
      <c r="F938" t="s">
        <v>1207</v>
      </c>
      <c r="G938">
        <v>8</v>
      </c>
      <c r="H938">
        <v>1</v>
      </c>
      <c r="I938" s="11">
        <v>46273</v>
      </c>
      <c r="J938" s="17">
        <f>IF(Items[[#This Row],[ID]]="","",IFERROR(VALUE(LOOKUP(2,1/((Log[ID]=Items[[#This Row],[ID]])*(Log[Verb]="est")),Log[Arg])),N(Items[[#This Row],[Points]])))</f>
      </c>
      <c r="K938" s="17">
        <f>IF(Items[[#This Row],[ID]]="","",IFERROR(LOOKUP(2,1/((Log[ID]=Items[[#This Row],[ID]])*(Log[Verb]="pass")),Log[Arg])&amp;"",Items[[#This Row],[Team]]&amp;""))</f>
      </c>
      <c r="L938" s="17">
        <f>IF(Items[[#This Row],[ID]]="","",IFERROR(LOOKUP(2,1/((Log[ID]=Items[[#This Row],[ID]])*(Log[Into]&lt;&gt;"")),Log[Into]),""))</f>
      </c>
      <c r="M938" s="17">
        <f>IF(Items[[#This Row],[ID]]="","",IF(IFERROR(LOOKUP(2,1/((Log[ID]=Items[[#This Row],[ID]])*(Log[Blk]&lt;&gt;"")),Log[Blk]),0)=1,"Y",""))</f>
      </c>
      <c r="N938" s="17">
        <f>IF(Items[[#This Row],[ID]]="","",SUBSTITUTE(IFERROR(LOOKUP(2,1/((Log[ID]=Items[[#This Row],[ID]])*(Log[State]&lt;&gt;"")),Log[State]),"TODO"),"OPEN",IF(Items[[#This Row],[Blocked]]="Y","WAIT","OPEN")))</f>
      </c>
      <c r="O93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38" s="17">
        <f>IF(Items[[#This Row],[State]]&lt;&gt;"WAIT","",AsOf-Items[[#This Row],[Blocked since]])</f>
      </c>
      <c r="Q938" s="17">
        <f>IF(Items[[#This Row],[State]]&lt;&gt;"WAIT","",IFERROR(LOOKUP(2,1/((Log[ID]=Items[[#This Row],[ID]])*(Log[Verb]="block")),Log[Note])&amp;"",""))</f>
      </c>
      <c r="R938" s="17">
        <f>IF(Items[[#This Row],[ID]]="","",COUNTIFS(Log[ID],Items[[#This Row],[ID]],Log[Verb],"carry"))</f>
      </c>
      <c r="S938" s="17">
        <f>IF(Items[[#This Row],[ID]]="","",COUNTIFS(Log[ID],Items[[#This Row],[ID]],Log[Verb],"punt"))</f>
      </c>
      <c r="T938" s="11">
        <f>IF(Items[[#This Row],[State]]&lt;&gt;"DONE","",IFERROR(LOOKUP(2,1/((Log[ID]=Items[[#This Row],[ID]])*(Log[Verb]="done")),Log[Date]),""))</f>
      </c>
      <c r="U938" s="17">
        <f>IF(Items[[#This Row],[ID]]="","",IF(AND(Items[[#This Row],[Sprint]]=CurSprint,OR(Items[[#This Row],[State]]="OPEN",Items[[#This Row],[State]]="WAIT",Items[[#This Row],[State]]="HOLD",Items[[#This Row],[State]]="DONE")),1,0))</f>
      </c>
      <c r="V938" s="17">
        <f>IF(OR(Items[[#This Row],[ID]]="",Items[[#This Row],[Added]]=""),"",AsOf-Items[[#This Row],[Added]])</f>
      </c>
      <c r="W938" s="17">
        <f>IF(Items[[#This Row],[In sprint]]=1,(IF(Items[[#This Row],[Prio]]="",9,N(Items[[#This Row],[Prio]]))*10+(IF(Items[[#This Row],[State]]="DONE",1,0)))*100000+ROW(),"")</f>
      </c>
      <c r="X93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38" s="17">
        <f>IF(AND(Items[[#This Row],[State]]="DONE",N(Items[[#This Row],[Done on]])&gt;AsOf-7),(200000-N(Items[[#This Row],[Done on]]))*100000+ROW(),"")</f>
      </c>
    </row>
    <row r="939">
      <c r="A939" t="s">
        <v>2182</v>
      </c>
      <c r="B939" t="s">
        <v>2183</v>
      </c>
      <c r="C939" t="s">
        <v>1115</v>
      </c>
      <c r="D939" t="s">
        <v>1119</v>
      </c>
      <c r="E939" t="s">
        <v>1159</v>
      </c>
      <c r="F939" t="s">
        <v>1355</v>
      </c>
      <c r="G939">
        <v>8</v>
      </c>
      <c r="H939">
        <v>2</v>
      </c>
      <c r="I939" s="11">
        <v>46273</v>
      </c>
      <c r="J939" s="17">
        <f>IF(Items[[#This Row],[ID]]="","",IFERROR(VALUE(LOOKUP(2,1/((Log[ID]=Items[[#This Row],[ID]])*(Log[Verb]="est")),Log[Arg])),N(Items[[#This Row],[Points]])))</f>
      </c>
      <c r="K939" s="17">
        <f>IF(Items[[#This Row],[ID]]="","",IFERROR(LOOKUP(2,1/((Log[ID]=Items[[#This Row],[ID]])*(Log[Verb]="pass")),Log[Arg])&amp;"",Items[[#This Row],[Team]]&amp;""))</f>
      </c>
      <c r="L939" s="17">
        <f>IF(Items[[#This Row],[ID]]="","",IFERROR(LOOKUP(2,1/((Log[ID]=Items[[#This Row],[ID]])*(Log[Into]&lt;&gt;"")),Log[Into]),""))</f>
      </c>
      <c r="M939" s="17">
        <f>IF(Items[[#This Row],[ID]]="","",IF(IFERROR(LOOKUP(2,1/((Log[ID]=Items[[#This Row],[ID]])*(Log[Blk]&lt;&gt;"")),Log[Blk]),0)=1,"Y",""))</f>
      </c>
      <c r="N939" s="17">
        <f>IF(Items[[#This Row],[ID]]="","",SUBSTITUTE(IFERROR(LOOKUP(2,1/((Log[ID]=Items[[#This Row],[ID]])*(Log[State]&lt;&gt;"")),Log[State]),"TODO"),"OPEN",IF(Items[[#This Row],[Blocked]]="Y","WAIT","OPEN")))</f>
      </c>
      <c r="O93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39" s="17">
        <f>IF(Items[[#This Row],[State]]&lt;&gt;"WAIT","",AsOf-Items[[#This Row],[Blocked since]])</f>
      </c>
      <c r="Q939" s="17">
        <f>IF(Items[[#This Row],[State]]&lt;&gt;"WAIT","",IFERROR(LOOKUP(2,1/((Log[ID]=Items[[#This Row],[ID]])*(Log[Verb]="block")),Log[Note])&amp;"",""))</f>
      </c>
      <c r="R939" s="17">
        <f>IF(Items[[#This Row],[ID]]="","",COUNTIFS(Log[ID],Items[[#This Row],[ID]],Log[Verb],"carry"))</f>
      </c>
      <c r="S939" s="17">
        <f>IF(Items[[#This Row],[ID]]="","",COUNTIFS(Log[ID],Items[[#This Row],[ID]],Log[Verb],"punt"))</f>
      </c>
      <c r="T939" s="11">
        <f>IF(Items[[#This Row],[State]]&lt;&gt;"DONE","",IFERROR(LOOKUP(2,1/((Log[ID]=Items[[#This Row],[ID]])*(Log[Verb]="done")),Log[Date]),""))</f>
      </c>
      <c r="U939" s="17">
        <f>IF(Items[[#This Row],[ID]]="","",IF(AND(Items[[#This Row],[Sprint]]=CurSprint,OR(Items[[#This Row],[State]]="OPEN",Items[[#This Row],[State]]="WAIT",Items[[#This Row],[State]]="HOLD",Items[[#This Row],[State]]="DONE")),1,0))</f>
      </c>
      <c r="V939" s="17">
        <f>IF(OR(Items[[#This Row],[ID]]="",Items[[#This Row],[Added]]=""),"",AsOf-Items[[#This Row],[Added]])</f>
      </c>
      <c r="W939" s="17">
        <f>IF(Items[[#This Row],[In sprint]]=1,(IF(Items[[#This Row],[Prio]]="",9,N(Items[[#This Row],[Prio]]))*10+(IF(Items[[#This Row],[State]]="DONE",1,0)))*100000+ROW(),"")</f>
      </c>
      <c r="X93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39" s="17">
        <f>IF(AND(Items[[#This Row],[State]]="DONE",N(Items[[#This Row],[Done on]])&gt;AsOf-7),(200000-N(Items[[#This Row],[Done on]]))*100000+ROW(),"")</f>
      </c>
    </row>
    <row r="940">
      <c r="A940" t="s">
        <v>2184</v>
      </c>
      <c r="B940" t="s">
        <v>2185</v>
      </c>
      <c r="C940" t="s">
        <v>1107</v>
      </c>
      <c r="D940" t="s">
        <v>1108</v>
      </c>
      <c r="E940" t="s">
        <v>1159</v>
      </c>
      <c r="F940" t="s">
        <v>1213</v>
      </c>
      <c r="G940">
        <v>8</v>
      </c>
      <c r="H940">
        <v>1</v>
      </c>
      <c r="I940" s="11">
        <v>46273</v>
      </c>
      <c r="J940" s="17">
        <f>IF(Items[[#This Row],[ID]]="","",IFERROR(VALUE(LOOKUP(2,1/((Log[ID]=Items[[#This Row],[ID]])*(Log[Verb]="est")),Log[Arg])),N(Items[[#This Row],[Points]])))</f>
      </c>
      <c r="K940" s="17">
        <f>IF(Items[[#This Row],[ID]]="","",IFERROR(LOOKUP(2,1/((Log[ID]=Items[[#This Row],[ID]])*(Log[Verb]="pass")),Log[Arg])&amp;"",Items[[#This Row],[Team]]&amp;""))</f>
      </c>
      <c r="L940" s="17">
        <f>IF(Items[[#This Row],[ID]]="","",IFERROR(LOOKUP(2,1/((Log[ID]=Items[[#This Row],[ID]])*(Log[Into]&lt;&gt;"")),Log[Into]),""))</f>
      </c>
      <c r="M940" s="17">
        <f>IF(Items[[#This Row],[ID]]="","",IF(IFERROR(LOOKUP(2,1/((Log[ID]=Items[[#This Row],[ID]])*(Log[Blk]&lt;&gt;"")),Log[Blk]),0)=1,"Y",""))</f>
      </c>
      <c r="N940" s="17">
        <f>IF(Items[[#This Row],[ID]]="","",SUBSTITUTE(IFERROR(LOOKUP(2,1/((Log[ID]=Items[[#This Row],[ID]])*(Log[State]&lt;&gt;"")),Log[State]),"TODO"),"OPEN",IF(Items[[#This Row],[Blocked]]="Y","WAIT","OPEN")))</f>
      </c>
      <c r="O94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40" s="17">
        <f>IF(Items[[#This Row],[State]]&lt;&gt;"WAIT","",AsOf-Items[[#This Row],[Blocked since]])</f>
      </c>
      <c r="Q940" s="17">
        <f>IF(Items[[#This Row],[State]]&lt;&gt;"WAIT","",IFERROR(LOOKUP(2,1/((Log[ID]=Items[[#This Row],[ID]])*(Log[Verb]="block")),Log[Note])&amp;"",""))</f>
      </c>
      <c r="R940" s="17">
        <f>IF(Items[[#This Row],[ID]]="","",COUNTIFS(Log[ID],Items[[#This Row],[ID]],Log[Verb],"carry"))</f>
      </c>
      <c r="S940" s="17">
        <f>IF(Items[[#This Row],[ID]]="","",COUNTIFS(Log[ID],Items[[#This Row],[ID]],Log[Verb],"punt"))</f>
      </c>
      <c r="T940" s="11">
        <f>IF(Items[[#This Row],[State]]&lt;&gt;"DONE","",IFERROR(LOOKUP(2,1/((Log[ID]=Items[[#This Row],[ID]])*(Log[Verb]="done")),Log[Date]),""))</f>
      </c>
      <c r="U940" s="17">
        <f>IF(Items[[#This Row],[ID]]="","",IF(AND(Items[[#This Row],[Sprint]]=CurSprint,OR(Items[[#This Row],[State]]="OPEN",Items[[#This Row],[State]]="WAIT",Items[[#This Row],[State]]="HOLD",Items[[#This Row],[State]]="DONE")),1,0))</f>
      </c>
      <c r="V940" s="17">
        <f>IF(OR(Items[[#This Row],[ID]]="",Items[[#This Row],[Added]]=""),"",AsOf-Items[[#This Row],[Added]])</f>
      </c>
      <c r="W940" s="17">
        <f>IF(Items[[#This Row],[In sprint]]=1,(IF(Items[[#This Row],[Prio]]="",9,N(Items[[#This Row],[Prio]]))*10+(IF(Items[[#This Row],[State]]="DONE",1,0)))*100000+ROW(),"")</f>
      </c>
      <c r="X94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40" s="17">
        <f>IF(AND(Items[[#This Row],[State]]="DONE",N(Items[[#This Row],[Done on]])&gt;AsOf-7),(200000-N(Items[[#This Row],[Done on]]))*100000+ROW(),"")</f>
      </c>
    </row>
    <row r="941">
      <c r="A941" t="s">
        <v>2186</v>
      </c>
      <c r="B941" t="s">
        <v>2187</v>
      </c>
      <c r="C941" t="s">
        <v>1107</v>
      </c>
      <c r="D941" t="s">
        <v>1127</v>
      </c>
      <c r="E941" t="s">
        <v>1128</v>
      </c>
      <c r="F941" t="s">
        <v>1366</v>
      </c>
      <c r="G941">
        <v>8</v>
      </c>
      <c r="H941">
        <v>3</v>
      </c>
      <c r="I941" s="11">
        <v>46273</v>
      </c>
      <c r="J941" s="17">
        <f>IF(Items[[#This Row],[ID]]="","",IFERROR(VALUE(LOOKUP(2,1/((Log[ID]=Items[[#This Row],[ID]])*(Log[Verb]="est")),Log[Arg])),N(Items[[#This Row],[Points]])))</f>
      </c>
      <c r="K941" s="17">
        <f>IF(Items[[#This Row],[ID]]="","",IFERROR(LOOKUP(2,1/((Log[ID]=Items[[#This Row],[ID]])*(Log[Verb]="pass")),Log[Arg])&amp;"",Items[[#This Row],[Team]]&amp;""))</f>
      </c>
      <c r="L941" s="17">
        <f>IF(Items[[#This Row],[ID]]="","",IFERROR(LOOKUP(2,1/((Log[ID]=Items[[#This Row],[ID]])*(Log[Into]&lt;&gt;"")),Log[Into]),""))</f>
      </c>
      <c r="M941" s="17">
        <f>IF(Items[[#This Row],[ID]]="","",IF(IFERROR(LOOKUP(2,1/((Log[ID]=Items[[#This Row],[ID]])*(Log[Blk]&lt;&gt;"")),Log[Blk]),0)=1,"Y",""))</f>
      </c>
      <c r="N941" s="17">
        <f>IF(Items[[#This Row],[ID]]="","",SUBSTITUTE(IFERROR(LOOKUP(2,1/((Log[ID]=Items[[#This Row],[ID]])*(Log[State]&lt;&gt;"")),Log[State]),"TODO"),"OPEN",IF(Items[[#This Row],[Blocked]]="Y","WAIT","OPEN")))</f>
      </c>
      <c r="O94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41" s="17">
        <f>IF(Items[[#This Row],[State]]&lt;&gt;"WAIT","",AsOf-Items[[#This Row],[Blocked since]])</f>
      </c>
      <c r="Q941" s="17">
        <f>IF(Items[[#This Row],[State]]&lt;&gt;"WAIT","",IFERROR(LOOKUP(2,1/((Log[ID]=Items[[#This Row],[ID]])*(Log[Verb]="block")),Log[Note])&amp;"",""))</f>
      </c>
      <c r="R941" s="17">
        <f>IF(Items[[#This Row],[ID]]="","",COUNTIFS(Log[ID],Items[[#This Row],[ID]],Log[Verb],"carry"))</f>
      </c>
      <c r="S941" s="17">
        <f>IF(Items[[#This Row],[ID]]="","",COUNTIFS(Log[ID],Items[[#This Row],[ID]],Log[Verb],"punt"))</f>
      </c>
      <c r="T941" s="11">
        <f>IF(Items[[#This Row],[State]]&lt;&gt;"DONE","",IFERROR(LOOKUP(2,1/((Log[ID]=Items[[#This Row],[ID]])*(Log[Verb]="done")),Log[Date]),""))</f>
      </c>
      <c r="U941" s="17">
        <f>IF(Items[[#This Row],[ID]]="","",IF(AND(Items[[#This Row],[Sprint]]=CurSprint,OR(Items[[#This Row],[State]]="OPEN",Items[[#This Row],[State]]="WAIT",Items[[#This Row],[State]]="HOLD",Items[[#This Row],[State]]="DONE")),1,0))</f>
      </c>
      <c r="V941" s="17">
        <f>IF(OR(Items[[#This Row],[ID]]="",Items[[#This Row],[Added]]=""),"",AsOf-Items[[#This Row],[Added]])</f>
      </c>
      <c r="W941" s="17">
        <f>IF(Items[[#This Row],[In sprint]]=1,(IF(Items[[#This Row],[Prio]]="",9,N(Items[[#This Row],[Prio]]))*10+(IF(Items[[#This Row],[State]]="DONE",1,0)))*100000+ROW(),"")</f>
      </c>
      <c r="X94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41" s="17">
        <f>IF(AND(Items[[#This Row],[State]]="DONE",N(Items[[#This Row],[Done on]])&gt;AsOf-7),(200000-N(Items[[#This Row],[Done on]]))*100000+ROW(),"")</f>
      </c>
    </row>
    <row r="942">
      <c r="A942" t="s">
        <v>1053</v>
      </c>
      <c r="B942" t="s">
        <v>2188</v>
      </c>
      <c r="C942" t="s">
        <v>1107</v>
      </c>
      <c r="D942" t="s">
        <v>1108</v>
      </c>
      <c r="E942" t="s">
        <v>1128</v>
      </c>
      <c r="F942" t="s">
        <v>1294</v>
      </c>
      <c r="G942">
        <v>5</v>
      </c>
      <c r="H942">
        <v>2</v>
      </c>
      <c r="I942" s="11">
        <v>46273</v>
      </c>
      <c r="J942" s="17">
        <f>IF(Items[[#This Row],[ID]]="","",IFERROR(VALUE(LOOKUP(2,1/((Log[ID]=Items[[#This Row],[ID]])*(Log[Verb]="est")),Log[Arg])),N(Items[[#This Row],[Points]])))</f>
      </c>
      <c r="K942" s="17">
        <f>IF(Items[[#This Row],[ID]]="","",IFERROR(LOOKUP(2,1/((Log[ID]=Items[[#This Row],[ID]])*(Log[Verb]="pass")),Log[Arg])&amp;"",Items[[#This Row],[Team]]&amp;""))</f>
      </c>
      <c r="L942" s="17">
        <f>IF(Items[[#This Row],[ID]]="","",IFERROR(LOOKUP(2,1/((Log[ID]=Items[[#This Row],[ID]])*(Log[Into]&lt;&gt;"")),Log[Into]),""))</f>
      </c>
      <c r="M942" s="17">
        <f>IF(Items[[#This Row],[ID]]="","",IF(IFERROR(LOOKUP(2,1/((Log[ID]=Items[[#This Row],[ID]])*(Log[Blk]&lt;&gt;"")),Log[Blk]),0)=1,"Y",""))</f>
      </c>
      <c r="N942" s="17">
        <f>IF(Items[[#This Row],[ID]]="","",SUBSTITUTE(IFERROR(LOOKUP(2,1/((Log[ID]=Items[[#This Row],[ID]])*(Log[State]&lt;&gt;"")),Log[State]),"TODO"),"OPEN",IF(Items[[#This Row],[Blocked]]="Y","WAIT","OPEN")))</f>
      </c>
      <c r="O94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42" s="17">
        <f>IF(Items[[#This Row],[State]]&lt;&gt;"WAIT","",AsOf-Items[[#This Row],[Blocked since]])</f>
      </c>
      <c r="Q942" s="17">
        <f>IF(Items[[#This Row],[State]]&lt;&gt;"WAIT","",IFERROR(LOOKUP(2,1/((Log[ID]=Items[[#This Row],[ID]])*(Log[Verb]="block")),Log[Note])&amp;"",""))</f>
      </c>
      <c r="R942" s="17">
        <f>IF(Items[[#This Row],[ID]]="","",COUNTIFS(Log[ID],Items[[#This Row],[ID]],Log[Verb],"carry"))</f>
      </c>
      <c r="S942" s="17">
        <f>IF(Items[[#This Row],[ID]]="","",COUNTIFS(Log[ID],Items[[#This Row],[ID]],Log[Verb],"punt"))</f>
      </c>
      <c r="T942" s="11">
        <f>IF(Items[[#This Row],[State]]&lt;&gt;"DONE","",IFERROR(LOOKUP(2,1/((Log[ID]=Items[[#This Row],[ID]])*(Log[Verb]="done")),Log[Date]),""))</f>
      </c>
      <c r="U942" s="17">
        <f>IF(Items[[#This Row],[ID]]="","",IF(AND(Items[[#This Row],[Sprint]]=CurSprint,OR(Items[[#This Row],[State]]="OPEN",Items[[#This Row],[State]]="WAIT",Items[[#This Row],[State]]="HOLD",Items[[#This Row],[State]]="DONE")),1,0))</f>
      </c>
      <c r="V942" s="17">
        <f>IF(OR(Items[[#This Row],[ID]]="",Items[[#This Row],[Added]]=""),"",AsOf-Items[[#This Row],[Added]])</f>
      </c>
      <c r="W942" s="17">
        <f>IF(Items[[#This Row],[In sprint]]=1,(IF(Items[[#This Row],[Prio]]="",9,N(Items[[#This Row],[Prio]]))*10+(IF(Items[[#This Row],[State]]="DONE",1,0)))*100000+ROW(),"")</f>
      </c>
      <c r="X94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42" s="17">
        <f>IF(AND(Items[[#This Row],[State]]="DONE",N(Items[[#This Row],[Done on]])&gt;AsOf-7),(200000-N(Items[[#This Row],[Done on]]))*100000+ROW(),"")</f>
      </c>
    </row>
    <row r="943">
      <c r="A943" t="s">
        <v>2189</v>
      </c>
      <c r="B943" t="s">
        <v>2190</v>
      </c>
      <c r="C943" t="s">
        <v>1115</v>
      </c>
      <c r="D943" t="s">
        <v>1119</v>
      </c>
      <c r="E943" t="s">
        <v>1128</v>
      </c>
      <c r="F943" t="s">
        <v>1129</v>
      </c>
      <c r="G943">
        <v>3</v>
      </c>
      <c r="H943">
        <v>1</v>
      </c>
      <c r="I943" s="11">
        <v>46273</v>
      </c>
      <c r="J943" s="17">
        <f>IF(Items[[#This Row],[ID]]="","",IFERROR(VALUE(LOOKUP(2,1/((Log[ID]=Items[[#This Row],[ID]])*(Log[Verb]="est")),Log[Arg])),N(Items[[#This Row],[Points]])))</f>
      </c>
      <c r="K943" s="17">
        <f>IF(Items[[#This Row],[ID]]="","",IFERROR(LOOKUP(2,1/((Log[ID]=Items[[#This Row],[ID]])*(Log[Verb]="pass")),Log[Arg])&amp;"",Items[[#This Row],[Team]]&amp;""))</f>
      </c>
      <c r="L943" s="17">
        <f>IF(Items[[#This Row],[ID]]="","",IFERROR(LOOKUP(2,1/((Log[ID]=Items[[#This Row],[ID]])*(Log[Into]&lt;&gt;"")),Log[Into]),""))</f>
      </c>
      <c r="M943" s="17">
        <f>IF(Items[[#This Row],[ID]]="","",IF(IFERROR(LOOKUP(2,1/((Log[ID]=Items[[#This Row],[ID]])*(Log[Blk]&lt;&gt;"")),Log[Blk]),0)=1,"Y",""))</f>
      </c>
      <c r="N943" s="17">
        <f>IF(Items[[#This Row],[ID]]="","",SUBSTITUTE(IFERROR(LOOKUP(2,1/((Log[ID]=Items[[#This Row],[ID]])*(Log[State]&lt;&gt;"")),Log[State]),"TODO"),"OPEN",IF(Items[[#This Row],[Blocked]]="Y","WAIT","OPEN")))</f>
      </c>
      <c r="O94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43" s="17">
        <f>IF(Items[[#This Row],[State]]&lt;&gt;"WAIT","",AsOf-Items[[#This Row],[Blocked since]])</f>
      </c>
      <c r="Q943" s="17">
        <f>IF(Items[[#This Row],[State]]&lt;&gt;"WAIT","",IFERROR(LOOKUP(2,1/((Log[ID]=Items[[#This Row],[ID]])*(Log[Verb]="block")),Log[Note])&amp;"",""))</f>
      </c>
      <c r="R943" s="17">
        <f>IF(Items[[#This Row],[ID]]="","",COUNTIFS(Log[ID],Items[[#This Row],[ID]],Log[Verb],"carry"))</f>
      </c>
      <c r="S943" s="17">
        <f>IF(Items[[#This Row],[ID]]="","",COUNTIFS(Log[ID],Items[[#This Row],[ID]],Log[Verb],"punt"))</f>
      </c>
      <c r="T943" s="11">
        <f>IF(Items[[#This Row],[State]]&lt;&gt;"DONE","",IFERROR(LOOKUP(2,1/((Log[ID]=Items[[#This Row],[ID]])*(Log[Verb]="done")),Log[Date]),""))</f>
      </c>
      <c r="U943" s="17">
        <f>IF(Items[[#This Row],[ID]]="","",IF(AND(Items[[#This Row],[Sprint]]=CurSprint,OR(Items[[#This Row],[State]]="OPEN",Items[[#This Row],[State]]="WAIT",Items[[#This Row],[State]]="HOLD",Items[[#This Row],[State]]="DONE")),1,0))</f>
      </c>
      <c r="V943" s="17">
        <f>IF(OR(Items[[#This Row],[ID]]="",Items[[#This Row],[Added]]=""),"",AsOf-Items[[#This Row],[Added]])</f>
      </c>
      <c r="W943" s="17">
        <f>IF(Items[[#This Row],[In sprint]]=1,(IF(Items[[#This Row],[Prio]]="",9,N(Items[[#This Row],[Prio]]))*10+(IF(Items[[#This Row],[State]]="DONE",1,0)))*100000+ROW(),"")</f>
      </c>
      <c r="X94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43" s="17">
        <f>IF(AND(Items[[#This Row],[State]]="DONE",N(Items[[#This Row],[Done on]])&gt;AsOf-7),(200000-N(Items[[#This Row],[Done on]]))*100000+ROW(),"")</f>
      </c>
    </row>
    <row r="944">
      <c r="A944" t="s">
        <v>2191</v>
      </c>
      <c r="B944" t="s">
        <v>2192</v>
      </c>
      <c r="C944" t="s">
        <v>1107</v>
      </c>
      <c r="D944" t="s">
        <v>1127</v>
      </c>
      <c r="E944" t="s">
        <v>1128</v>
      </c>
      <c r="F944" t="s">
        <v>1162</v>
      </c>
      <c r="G944">
        <v>5</v>
      </c>
      <c r="H944">
        <v>3</v>
      </c>
      <c r="I944" s="11">
        <v>46273</v>
      </c>
      <c r="J944" s="17">
        <f>IF(Items[[#This Row],[ID]]="","",IFERROR(VALUE(LOOKUP(2,1/((Log[ID]=Items[[#This Row],[ID]])*(Log[Verb]="est")),Log[Arg])),N(Items[[#This Row],[Points]])))</f>
      </c>
      <c r="K944" s="17">
        <f>IF(Items[[#This Row],[ID]]="","",IFERROR(LOOKUP(2,1/((Log[ID]=Items[[#This Row],[ID]])*(Log[Verb]="pass")),Log[Arg])&amp;"",Items[[#This Row],[Team]]&amp;""))</f>
      </c>
      <c r="L944" s="17">
        <f>IF(Items[[#This Row],[ID]]="","",IFERROR(LOOKUP(2,1/((Log[ID]=Items[[#This Row],[ID]])*(Log[Into]&lt;&gt;"")),Log[Into]),""))</f>
      </c>
      <c r="M944" s="17">
        <f>IF(Items[[#This Row],[ID]]="","",IF(IFERROR(LOOKUP(2,1/((Log[ID]=Items[[#This Row],[ID]])*(Log[Blk]&lt;&gt;"")),Log[Blk]),0)=1,"Y",""))</f>
      </c>
      <c r="N944" s="17">
        <f>IF(Items[[#This Row],[ID]]="","",SUBSTITUTE(IFERROR(LOOKUP(2,1/((Log[ID]=Items[[#This Row],[ID]])*(Log[State]&lt;&gt;"")),Log[State]),"TODO"),"OPEN",IF(Items[[#This Row],[Blocked]]="Y","WAIT","OPEN")))</f>
      </c>
      <c r="O94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44" s="17">
        <f>IF(Items[[#This Row],[State]]&lt;&gt;"WAIT","",AsOf-Items[[#This Row],[Blocked since]])</f>
      </c>
      <c r="Q944" s="17">
        <f>IF(Items[[#This Row],[State]]&lt;&gt;"WAIT","",IFERROR(LOOKUP(2,1/((Log[ID]=Items[[#This Row],[ID]])*(Log[Verb]="block")),Log[Note])&amp;"",""))</f>
      </c>
      <c r="R944" s="17">
        <f>IF(Items[[#This Row],[ID]]="","",COUNTIFS(Log[ID],Items[[#This Row],[ID]],Log[Verb],"carry"))</f>
      </c>
      <c r="S944" s="17">
        <f>IF(Items[[#This Row],[ID]]="","",COUNTIFS(Log[ID],Items[[#This Row],[ID]],Log[Verb],"punt"))</f>
      </c>
      <c r="T944" s="11">
        <f>IF(Items[[#This Row],[State]]&lt;&gt;"DONE","",IFERROR(LOOKUP(2,1/((Log[ID]=Items[[#This Row],[ID]])*(Log[Verb]="done")),Log[Date]),""))</f>
      </c>
      <c r="U944" s="17">
        <f>IF(Items[[#This Row],[ID]]="","",IF(AND(Items[[#This Row],[Sprint]]=CurSprint,OR(Items[[#This Row],[State]]="OPEN",Items[[#This Row],[State]]="WAIT",Items[[#This Row],[State]]="HOLD",Items[[#This Row],[State]]="DONE")),1,0))</f>
      </c>
      <c r="V944" s="17">
        <f>IF(OR(Items[[#This Row],[ID]]="",Items[[#This Row],[Added]]=""),"",AsOf-Items[[#This Row],[Added]])</f>
      </c>
      <c r="W944" s="17">
        <f>IF(Items[[#This Row],[In sprint]]=1,(IF(Items[[#This Row],[Prio]]="",9,N(Items[[#This Row],[Prio]]))*10+(IF(Items[[#This Row],[State]]="DONE",1,0)))*100000+ROW(),"")</f>
      </c>
      <c r="X94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44" s="17">
        <f>IF(AND(Items[[#This Row],[State]]="DONE",N(Items[[#This Row],[Done on]])&gt;AsOf-7),(200000-N(Items[[#This Row],[Done on]]))*100000+ROW(),"")</f>
      </c>
    </row>
    <row r="945">
      <c r="A945" t="s">
        <v>2193</v>
      </c>
      <c r="B945" t="s">
        <v>2194</v>
      </c>
      <c r="C945" t="s">
        <v>1115</v>
      </c>
      <c r="D945" t="s">
        <v>1116</v>
      </c>
      <c r="E945" t="s">
        <v>1128</v>
      </c>
      <c r="F945" t="s">
        <v>1366</v>
      </c>
      <c r="G945">
        <v>8</v>
      </c>
      <c r="H945">
        <v>2</v>
      </c>
      <c r="I945" s="11">
        <v>46273</v>
      </c>
      <c r="J945" s="17">
        <f>IF(Items[[#This Row],[ID]]="","",IFERROR(VALUE(LOOKUP(2,1/((Log[ID]=Items[[#This Row],[ID]])*(Log[Verb]="est")),Log[Arg])),N(Items[[#This Row],[Points]])))</f>
      </c>
      <c r="K945" s="17">
        <f>IF(Items[[#This Row],[ID]]="","",IFERROR(LOOKUP(2,1/((Log[ID]=Items[[#This Row],[ID]])*(Log[Verb]="pass")),Log[Arg])&amp;"",Items[[#This Row],[Team]]&amp;""))</f>
      </c>
      <c r="L945" s="17">
        <f>IF(Items[[#This Row],[ID]]="","",IFERROR(LOOKUP(2,1/((Log[ID]=Items[[#This Row],[ID]])*(Log[Into]&lt;&gt;"")),Log[Into]),""))</f>
      </c>
      <c r="M945" s="17">
        <f>IF(Items[[#This Row],[ID]]="","",IF(IFERROR(LOOKUP(2,1/((Log[ID]=Items[[#This Row],[ID]])*(Log[Blk]&lt;&gt;"")),Log[Blk]),0)=1,"Y",""))</f>
      </c>
      <c r="N945" s="17">
        <f>IF(Items[[#This Row],[ID]]="","",SUBSTITUTE(IFERROR(LOOKUP(2,1/((Log[ID]=Items[[#This Row],[ID]])*(Log[State]&lt;&gt;"")),Log[State]),"TODO"),"OPEN",IF(Items[[#This Row],[Blocked]]="Y","WAIT","OPEN")))</f>
      </c>
      <c r="O94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45" s="17">
        <f>IF(Items[[#This Row],[State]]&lt;&gt;"WAIT","",AsOf-Items[[#This Row],[Blocked since]])</f>
      </c>
      <c r="Q945" s="17">
        <f>IF(Items[[#This Row],[State]]&lt;&gt;"WAIT","",IFERROR(LOOKUP(2,1/((Log[ID]=Items[[#This Row],[ID]])*(Log[Verb]="block")),Log[Note])&amp;"",""))</f>
      </c>
      <c r="R945" s="17">
        <f>IF(Items[[#This Row],[ID]]="","",COUNTIFS(Log[ID],Items[[#This Row],[ID]],Log[Verb],"carry"))</f>
      </c>
      <c r="S945" s="17">
        <f>IF(Items[[#This Row],[ID]]="","",COUNTIFS(Log[ID],Items[[#This Row],[ID]],Log[Verb],"punt"))</f>
      </c>
      <c r="T945" s="11">
        <f>IF(Items[[#This Row],[State]]&lt;&gt;"DONE","",IFERROR(LOOKUP(2,1/((Log[ID]=Items[[#This Row],[ID]])*(Log[Verb]="done")),Log[Date]),""))</f>
      </c>
      <c r="U945" s="17">
        <f>IF(Items[[#This Row],[ID]]="","",IF(AND(Items[[#This Row],[Sprint]]=CurSprint,OR(Items[[#This Row],[State]]="OPEN",Items[[#This Row],[State]]="WAIT",Items[[#This Row],[State]]="HOLD",Items[[#This Row],[State]]="DONE")),1,0))</f>
      </c>
      <c r="V945" s="17">
        <f>IF(OR(Items[[#This Row],[ID]]="",Items[[#This Row],[Added]]=""),"",AsOf-Items[[#This Row],[Added]])</f>
      </c>
      <c r="W945" s="17">
        <f>IF(Items[[#This Row],[In sprint]]=1,(IF(Items[[#This Row],[Prio]]="",9,N(Items[[#This Row],[Prio]]))*10+(IF(Items[[#This Row],[State]]="DONE",1,0)))*100000+ROW(),"")</f>
      </c>
      <c r="X94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45" s="17">
        <f>IF(AND(Items[[#This Row],[State]]="DONE",N(Items[[#This Row],[Done on]])&gt;AsOf-7),(200000-N(Items[[#This Row],[Done on]]))*100000+ROW(),"")</f>
      </c>
    </row>
    <row r="946">
      <c r="A946" t="s">
        <v>1059</v>
      </c>
      <c r="B946" t="s">
        <v>2195</v>
      </c>
      <c r="C946" t="s">
        <v>1115</v>
      </c>
      <c r="D946" t="s">
        <v>1116</v>
      </c>
      <c r="E946" t="s">
        <v>1109</v>
      </c>
      <c r="F946" t="s">
        <v>1302</v>
      </c>
      <c r="G946">
        <v>2</v>
      </c>
      <c r="H946">
        <v>1</v>
      </c>
      <c r="I946" s="11">
        <v>46273</v>
      </c>
      <c r="J946" s="17">
        <f>IF(Items[[#This Row],[ID]]="","",IFERROR(VALUE(LOOKUP(2,1/((Log[ID]=Items[[#This Row],[ID]])*(Log[Verb]="est")),Log[Arg])),N(Items[[#This Row],[Points]])))</f>
      </c>
      <c r="K946" s="17">
        <f>IF(Items[[#This Row],[ID]]="","",IFERROR(LOOKUP(2,1/((Log[ID]=Items[[#This Row],[ID]])*(Log[Verb]="pass")),Log[Arg])&amp;"",Items[[#This Row],[Team]]&amp;""))</f>
      </c>
      <c r="L946" s="17">
        <f>IF(Items[[#This Row],[ID]]="","",IFERROR(LOOKUP(2,1/((Log[ID]=Items[[#This Row],[ID]])*(Log[Into]&lt;&gt;"")),Log[Into]),""))</f>
      </c>
      <c r="M946" s="17">
        <f>IF(Items[[#This Row],[ID]]="","",IF(IFERROR(LOOKUP(2,1/((Log[ID]=Items[[#This Row],[ID]])*(Log[Blk]&lt;&gt;"")),Log[Blk]),0)=1,"Y",""))</f>
      </c>
      <c r="N946" s="17">
        <f>IF(Items[[#This Row],[ID]]="","",SUBSTITUTE(IFERROR(LOOKUP(2,1/((Log[ID]=Items[[#This Row],[ID]])*(Log[State]&lt;&gt;"")),Log[State]),"TODO"),"OPEN",IF(Items[[#This Row],[Blocked]]="Y","WAIT","OPEN")))</f>
      </c>
      <c r="O94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46" s="17">
        <f>IF(Items[[#This Row],[State]]&lt;&gt;"WAIT","",AsOf-Items[[#This Row],[Blocked since]])</f>
      </c>
      <c r="Q946" s="17">
        <f>IF(Items[[#This Row],[State]]&lt;&gt;"WAIT","",IFERROR(LOOKUP(2,1/((Log[ID]=Items[[#This Row],[ID]])*(Log[Verb]="block")),Log[Note])&amp;"",""))</f>
      </c>
      <c r="R946" s="17">
        <f>IF(Items[[#This Row],[ID]]="","",COUNTIFS(Log[ID],Items[[#This Row],[ID]],Log[Verb],"carry"))</f>
      </c>
      <c r="S946" s="17">
        <f>IF(Items[[#This Row],[ID]]="","",COUNTIFS(Log[ID],Items[[#This Row],[ID]],Log[Verb],"punt"))</f>
      </c>
      <c r="T946" s="11">
        <f>IF(Items[[#This Row],[State]]&lt;&gt;"DONE","",IFERROR(LOOKUP(2,1/((Log[ID]=Items[[#This Row],[ID]])*(Log[Verb]="done")),Log[Date]),""))</f>
      </c>
      <c r="U946" s="17">
        <f>IF(Items[[#This Row],[ID]]="","",IF(AND(Items[[#This Row],[Sprint]]=CurSprint,OR(Items[[#This Row],[State]]="OPEN",Items[[#This Row],[State]]="WAIT",Items[[#This Row],[State]]="HOLD",Items[[#This Row],[State]]="DONE")),1,0))</f>
      </c>
      <c r="V946" s="17">
        <f>IF(OR(Items[[#This Row],[ID]]="",Items[[#This Row],[Added]]=""),"",AsOf-Items[[#This Row],[Added]])</f>
      </c>
      <c r="W946" s="17">
        <f>IF(Items[[#This Row],[In sprint]]=1,(IF(Items[[#This Row],[Prio]]="",9,N(Items[[#This Row],[Prio]]))*10+(IF(Items[[#This Row],[State]]="DONE",1,0)))*100000+ROW(),"")</f>
      </c>
      <c r="X94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46" s="17">
        <f>IF(AND(Items[[#This Row],[State]]="DONE",N(Items[[#This Row],[Done on]])&gt;AsOf-7),(200000-N(Items[[#This Row],[Done on]]))*100000+ROW(),"")</f>
      </c>
    </row>
    <row r="947">
      <c r="A947" t="s">
        <v>1060</v>
      </c>
      <c r="B947" t="s">
        <v>2196</v>
      </c>
      <c r="C947" t="s">
        <v>1115</v>
      </c>
      <c r="D947" t="s">
        <v>1116</v>
      </c>
      <c r="E947" t="s">
        <v>1109</v>
      </c>
      <c r="F947" t="s">
        <v>1372</v>
      </c>
      <c r="G947">
        <v>2</v>
      </c>
      <c r="H947">
        <v>2</v>
      </c>
      <c r="I947" s="11">
        <v>46273</v>
      </c>
      <c r="J947" s="17">
        <f>IF(Items[[#This Row],[ID]]="","",IFERROR(VALUE(LOOKUP(2,1/((Log[ID]=Items[[#This Row],[ID]])*(Log[Verb]="est")),Log[Arg])),N(Items[[#This Row],[Points]])))</f>
      </c>
      <c r="K947" s="17">
        <f>IF(Items[[#This Row],[ID]]="","",IFERROR(LOOKUP(2,1/((Log[ID]=Items[[#This Row],[ID]])*(Log[Verb]="pass")),Log[Arg])&amp;"",Items[[#This Row],[Team]]&amp;""))</f>
      </c>
      <c r="L947" s="17">
        <f>IF(Items[[#This Row],[ID]]="","",IFERROR(LOOKUP(2,1/((Log[ID]=Items[[#This Row],[ID]])*(Log[Into]&lt;&gt;"")),Log[Into]),""))</f>
      </c>
      <c r="M947" s="17">
        <f>IF(Items[[#This Row],[ID]]="","",IF(IFERROR(LOOKUP(2,1/((Log[ID]=Items[[#This Row],[ID]])*(Log[Blk]&lt;&gt;"")),Log[Blk]),0)=1,"Y",""))</f>
      </c>
      <c r="N947" s="17">
        <f>IF(Items[[#This Row],[ID]]="","",SUBSTITUTE(IFERROR(LOOKUP(2,1/((Log[ID]=Items[[#This Row],[ID]])*(Log[State]&lt;&gt;"")),Log[State]),"TODO"),"OPEN",IF(Items[[#This Row],[Blocked]]="Y","WAIT","OPEN")))</f>
      </c>
      <c r="O94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47" s="17">
        <f>IF(Items[[#This Row],[State]]&lt;&gt;"WAIT","",AsOf-Items[[#This Row],[Blocked since]])</f>
      </c>
      <c r="Q947" s="17">
        <f>IF(Items[[#This Row],[State]]&lt;&gt;"WAIT","",IFERROR(LOOKUP(2,1/((Log[ID]=Items[[#This Row],[ID]])*(Log[Verb]="block")),Log[Note])&amp;"",""))</f>
      </c>
      <c r="R947" s="17">
        <f>IF(Items[[#This Row],[ID]]="","",COUNTIFS(Log[ID],Items[[#This Row],[ID]],Log[Verb],"carry"))</f>
      </c>
      <c r="S947" s="17">
        <f>IF(Items[[#This Row],[ID]]="","",COUNTIFS(Log[ID],Items[[#This Row],[ID]],Log[Verb],"punt"))</f>
      </c>
      <c r="T947" s="11">
        <f>IF(Items[[#This Row],[State]]&lt;&gt;"DONE","",IFERROR(LOOKUP(2,1/((Log[ID]=Items[[#This Row],[ID]])*(Log[Verb]="done")),Log[Date]),""))</f>
      </c>
      <c r="U947" s="17">
        <f>IF(Items[[#This Row],[ID]]="","",IF(AND(Items[[#This Row],[Sprint]]=CurSprint,OR(Items[[#This Row],[State]]="OPEN",Items[[#This Row],[State]]="WAIT",Items[[#This Row],[State]]="HOLD",Items[[#This Row],[State]]="DONE")),1,0))</f>
      </c>
      <c r="V947" s="17">
        <f>IF(OR(Items[[#This Row],[ID]]="",Items[[#This Row],[Added]]=""),"",AsOf-Items[[#This Row],[Added]])</f>
      </c>
      <c r="W947" s="17">
        <f>IF(Items[[#This Row],[In sprint]]=1,(IF(Items[[#This Row],[Prio]]="",9,N(Items[[#This Row],[Prio]]))*10+(IF(Items[[#This Row],[State]]="DONE",1,0)))*100000+ROW(),"")</f>
      </c>
      <c r="X94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47" s="17">
        <f>IF(AND(Items[[#This Row],[State]]="DONE",N(Items[[#This Row],[Done on]])&gt;AsOf-7),(200000-N(Items[[#This Row],[Done on]]))*100000+ROW(),"")</f>
      </c>
    </row>
    <row r="948">
      <c r="A948" t="s">
        <v>2197</v>
      </c>
      <c r="B948" t="s">
        <v>2198</v>
      </c>
      <c r="C948" t="s">
        <v>1115</v>
      </c>
      <c r="D948" t="s">
        <v>1116</v>
      </c>
      <c r="E948" t="s">
        <v>1109</v>
      </c>
      <c r="F948" t="s">
        <v>1220</v>
      </c>
      <c r="G948">
        <v>3</v>
      </c>
      <c r="H948">
        <v>2</v>
      </c>
      <c r="I948" s="11">
        <v>46273</v>
      </c>
      <c r="J948" s="17">
        <f>IF(Items[[#This Row],[ID]]="","",IFERROR(VALUE(LOOKUP(2,1/((Log[ID]=Items[[#This Row],[ID]])*(Log[Verb]="est")),Log[Arg])),N(Items[[#This Row],[Points]])))</f>
      </c>
      <c r="K948" s="17">
        <f>IF(Items[[#This Row],[ID]]="","",IFERROR(LOOKUP(2,1/((Log[ID]=Items[[#This Row],[ID]])*(Log[Verb]="pass")),Log[Arg])&amp;"",Items[[#This Row],[Team]]&amp;""))</f>
      </c>
      <c r="L948" s="17">
        <f>IF(Items[[#This Row],[ID]]="","",IFERROR(LOOKUP(2,1/((Log[ID]=Items[[#This Row],[ID]])*(Log[Into]&lt;&gt;"")),Log[Into]),""))</f>
      </c>
      <c r="M948" s="17">
        <f>IF(Items[[#This Row],[ID]]="","",IF(IFERROR(LOOKUP(2,1/((Log[ID]=Items[[#This Row],[ID]])*(Log[Blk]&lt;&gt;"")),Log[Blk]),0)=1,"Y",""))</f>
      </c>
      <c r="N948" s="17">
        <f>IF(Items[[#This Row],[ID]]="","",SUBSTITUTE(IFERROR(LOOKUP(2,1/((Log[ID]=Items[[#This Row],[ID]])*(Log[State]&lt;&gt;"")),Log[State]),"TODO"),"OPEN",IF(Items[[#This Row],[Blocked]]="Y","WAIT","OPEN")))</f>
      </c>
      <c r="O94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48" s="17">
        <f>IF(Items[[#This Row],[State]]&lt;&gt;"WAIT","",AsOf-Items[[#This Row],[Blocked since]])</f>
      </c>
      <c r="Q948" s="17">
        <f>IF(Items[[#This Row],[State]]&lt;&gt;"WAIT","",IFERROR(LOOKUP(2,1/((Log[ID]=Items[[#This Row],[ID]])*(Log[Verb]="block")),Log[Note])&amp;"",""))</f>
      </c>
      <c r="R948" s="17">
        <f>IF(Items[[#This Row],[ID]]="","",COUNTIFS(Log[ID],Items[[#This Row],[ID]],Log[Verb],"carry"))</f>
      </c>
      <c r="S948" s="17">
        <f>IF(Items[[#This Row],[ID]]="","",COUNTIFS(Log[ID],Items[[#This Row],[ID]],Log[Verb],"punt"))</f>
      </c>
      <c r="T948" s="11">
        <f>IF(Items[[#This Row],[State]]&lt;&gt;"DONE","",IFERROR(LOOKUP(2,1/((Log[ID]=Items[[#This Row],[ID]])*(Log[Verb]="done")),Log[Date]),""))</f>
      </c>
      <c r="U948" s="17">
        <f>IF(Items[[#This Row],[ID]]="","",IF(AND(Items[[#This Row],[Sprint]]=CurSprint,OR(Items[[#This Row],[State]]="OPEN",Items[[#This Row],[State]]="WAIT",Items[[#This Row],[State]]="HOLD",Items[[#This Row],[State]]="DONE")),1,0))</f>
      </c>
      <c r="V948" s="17">
        <f>IF(OR(Items[[#This Row],[ID]]="",Items[[#This Row],[Added]]=""),"",AsOf-Items[[#This Row],[Added]])</f>
      </c>
      <c r="W948" s="17">
        <f>IF(Items[[#This Row],[In sprint]]=1,(IF(Items[[#This Row],[Prio]]="",9,N(Items[[#This Row],[Prio]]))*10+(IF(Items[[#This Row],[State]]="DONE",1,0)))*100000+ROW(),"")</f>
      </c>
      <c r="X94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48" s="17">
        <f>IF(AND(Items[[#This Row],[State]]="DONE",N(Items[[#This Row],[Done on]])&gt;AsOf-7),(200000-N(Items[[#This Row],[Done on]]))*100000+ROW(),"")</f>
      </c>
    </row>
    <row r="949">
      <c r="A949" t="s">
        <v>2199</v>
      </c>
      <c r="B949" t="s">
        <v>2200</v>
      </c>
      <c r="C949" t="s">
        <v>1107</v>
      </c>
      <c r="D949" t="s">
        <v>1123</v>
      </c>
      <c r="E949" t="s">
        <v>1109</v>
      </c>
      <c r="F949" t="s">
        <v>1222</v>
      </c>
      <c r="G949">
        <v>8</v>
      </c>
      <c r="H949">
        <v>3</v>
      </c>
      <c r="I949" s="11">
        <v>46273</v>
      </c>
      <c r="J949" s="17">
        <f>IF(Items[[#This Row],[ID]]="","",IFERROR(VALUE(LOOKUP(2,1/((Log[ID]=Items[[#This Row],[ID]])*(Log[Verb]="est")),Log[Arg])),N(Items[[#This Row],[Points]])))</f>
      </c>
      <c r="K949" s="17">
        <f>IF(Items[[#This Row],[ID]]="","",IFERROR(LOOKUP(2,1/((Log[ID]=Items[[#This Row],[ID]])*(Log[Verb]="pass")),Log[Arg])&amp;"",Items[[#This Row],[Team]]&amp;""))</f>
      </c>
      <c r="L949" s="17">
        <f>IF(Items[[#This Row],[ID]]="","",IFERROR(LOOKUP(2,1/((Log[ID]=Items[[#This Row],[ID]])*(Log[Into]&lt;&gt;"")),Log[Into]),""))</f>
      </c>
      <c r="M949" s="17">
        <f>IF(Items[[#This Row],[ID]]="","",IF(IFERROR(LOOKUP(2,1/((Log[ID]=Items[[#This Row],[ID]])*(Log[Blk]&lt;&gt;"")),Log[Blk]),0)=1,"Y",""))</f>
      </c>
      <c r="N949" s="17">
        <f>IF(Items[[#This Row],[ID]]="","",SUBSTITUTE(IFERROR(LOOKUP(2,1/((Log[ID]=Items[[#This Row],[ID]])*(Log[State]&lt;&gt;"")),Log[State]),"TODO"),"OPEN",IF(Items[[#This Row],[Blocked]]="Y","WAIT","OPEN")))</f>
      </c>
      <c r="O94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49" s="17">
        <f>IF(Items[[#This Row],[State]]&lt;&gt;"WAIT","",AsOf-Items[[#This Row],[Blocked since]])</f>
      </c>
      <c r="Q949" s="17">
        <f>IF(Items[[#This Row],[State]]&lt;&gt;"WAIT","",IFERROR(LOOKUP(2,1/((Log[ID]=Items[[#This Row],[ID]])*(Log[Verb]="block")),Log[Note])&amp;"",""))</f>
      </c>
      <c r="R949" s="17">
        <f>IF(Items[[#This Row],[ID]]="","",COUNTIFS(Log[ID],Items[[#This Row],[ID]],Log[Verb],"carry"))</f>
      </c>
      <c r="S949" s="17">
        <f>IF(Items[[#This Row],[ID]]="","",COUNTIFS(Log[ID],Items[[#This Row],[ID]],Log[Verb],"punt"))</f>
      </c>
      <c r="T949" s="11">
        <f>IF(Items[[#This Row],[State]]&lt;&gt;"DONE","",IFERROR(LOOKUP(2,1/((Log[ID]=Items[[#This Row],[ID]])*(Log[Verb]="done")),Log[Date]),""))</f>
      </c>
      <c r="U949" s="17">
        <f>IF(Items[[#This Row],[ID]]="","",IF(AND(Items[[#This Row],[Sprint]]=CurSprint,OR(Items[[#This Row],[State]]="OPEN",Items[[#This Row],[State]]="WAIT",Items[[#This Row],[State]]="HOLD",Items[[#This Row],[State]]="DONE")),1,0))</f>
      </c>
      <c r="V949" s="17">
        <f>IF(OR(Items[[#This Row],[ID]]="",Items[[#This Row],[Added]]=""),"",AsOf-Items[[#This Row],[Added]])</f>
      </c>
      <c r="W949" s="17">
        <f>IF(Items[[#This Row],[In sprint]]=1,(IF(Items[[#This Row],[Prio]]="",9,N(Items[[#This Row],[Prio]]))*10+(IF(Items[[#This Row],[State]]="DONE",1,0)))*100000+ROW(),"")</f>
      </c>
      <c r="X94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49" s="17">
        <f>IF(AND(Items[[#This Row],[State]]="DONE",N(Items[[#This Row],[Done on]])&gt;AsOf-7),(200000-N(Items[[#This Row],[Done on]]))*100000+ROW(),"")</f>
      </c>
    </row>
    <row r="950">
      <c r="A950" t="s">
        <v>2201</v>
      </c>
      <c r="B950" t="s">
        <v>2202</v>
      </c>
      <c r="C950" t="s">
        <v>1107</v>
      </c>
      <c r="D950" t="s">
        <v>1127</v>
      </c>
      <c r="E950" t="s">
        <v>1109</v>
      </c>
      <c r="F950" t="s">
        <v>1227</v>
      </c>
      <c r="G950">
        <v>3</v>
      </c>
      <c r="H950">
        <v>3</v>
      </c>
      <c r="I950" s="11">
        <v>46273</v>
      </c>
      <c r="J950" s="17">
        <f>IF(Items[[#This Row],[ID]]="","",IFERROR(VALUE(LOOKUP(2,1/((Log[ID]=Items[[#This Row],[ID]])*(Log[Verb]="est")),Log[Arg])),N(Items[[#This Row],[Points]])))</f>
      </c>
      <c r="K950" s="17">
        <f>IF(Items[[#This Row],[ID]]="","",IFERROR(LOOKUP(2,1/((Log[ID]=Items[[#This Row],[ID]])*(Log[Verb]="pass")),Log[Arg])&amp;"",Items[[#This Row],[Team]]&amp;""))</f>
      </c>
      <c r="L950" s="17">
        <f>IF(Items[[#This Row],[ID]]="","",IFERROR(LOOKUP(2,1/((Log[ID]=Items[[#This Row],[ID]])*(Log[Into]&lt;&gt;"")),Log[Into]),""))</f>
      </c>
      <c r="M950" s="17">
        <f>IF(Items[[#This Row],[ID]]="","",IF(IFERROR(LOOKUP(2,1/((Log[ID]=Items[[#This Row],[ID]])*(Log[Blk]&lt;&gt;"")),Log[Blk]),0)=1,"Y",""))</f>
      </c>
      <c r="N950" s="17">
        <f>IF(Items[[#This Row],[ID]]="","",SUBSTITUTE(IFERROR(LOOKUP(2,1/((Log[ID]=Items[[#This Row],[ID]])*(Log[State]&lt;&gt;"")),Log[State]),"TODO"),"OPEN",IF(Items[[#This Row],[Blocked]]="Y","WAIT","OPEN")))</f>
      </c>
      <c r="O95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50" s="17">
        <f>IF(Items[[#This Row],[State]]&lt;&gt;"WAIT","",AsOf-Items[[#This Row],[Blocked since]])</f>
      </c>
      <c r="Q950" s="17">
        <f>IF(Items[[#This Row],[State]]&lt;&gt;"WAIT","",IFERROR(LOOKUP(2,1/((Log[ID]=Items[[#This Row],[ID]])*(Log[Verb]="block")),Log[Note])&amp;"",""))</f>
      </c>
      <c r="R950" s="17">
        <f>IF(Items[[#This Row],[ID]]="","",COUNTIFS(Log[ID],Items[[#This Row],[ID]],Log[Verb],"carry"))</f>
      </c>
      <c r="S950" s="17">
        <f>IF(Items[[#This Row],[ID]]="","",COUNTIFS(Log[ID],Items[[#This Row],[ID]],Log[Verb],"punt"))</f>
      </c>
      <c r="T950" s="11">
        <f>IF(Items[[#This Row],[State]]&lt;&gt;"DONE","",IFERROR(LOOKUP(2,1/((Log[ID]=Items[[#This Row],[ID]])*(Log[Verb]="done")),Log[Date]),""))</f>
      </c>
      <c r="U950" s="17">
        <f>IF(Items[[#This Row],[ID]]="","",IF(AND(Items[[#This Row],[Sprint]]=CurSprint,OR(Items[[#This Row],[State]]="OPEN",Items[[#This Row],[State]]="WAIT",Items[[#This Row],[State]]="HOLD",Items[[#This Row],[State]]="DONE")),1,0))</f>
      </c>
      <c r="V950" s="17">
        <f>IF(OR(Items[[#This Row],[ID]]="",Items[[#This Row],[Added]]=""),"",AsOf-Items[[#This Row],[Added]])</f>
      </c>
      <c r="W950" s="17">
        <f>IF(Items[[#This Row],[In sprint]]=1,(IF(Items[[#This Row],[Prio]]="",9,N(Items[[#This Row],[Prio]]))*10+(IF(Items[[#This Row],[State]]="DONE",1,0)))*100000+ROW(),"")</f>
      </c>
      <c r="X95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50" s="17">
        <f>IF(AND(Items[[#This Row],[State]]="DONE",N(Items[[#This Row],[Done on]])&gt;AsOf-7),(200000-N(Items[[#This Row],[Done on]]))*100000+ROW(),"")</f>
      </c>
    </row>
    <row r="951">
      <c r="A951" t="s">
        <v>2203</v>
      </c>
      <c r="B951" t="s">
        <v>2204</v>
      </c>
      <c r="C951" t="s">
        <v>1107</v>
      </c>
      <c r="D951" t="s">
        <v>1108</v>
      </c>
      <c r="E951" t="s">
        <v>1109</v>
      </c>
      <c r="F951" t="s">
        <v>1372</v>
      </c>
      <c r="G951">
        <v>2</v>
      </c>
      <c r="H951">
        <v>2</v>
      </c>
      <c r="I951" s="11">
        <v>46273</v>
      </c>
      <c r="J951" s="17">
        <f>IF(Items[[#This Row],[ID]]="","",IFERROR(VALUE(LOOKUP(2,1/((Log[ID]=Items[[#This Row],[ID]])*(Log[Verb]="est")),Log[Arg])),N(Items[[#This Row],[Points]])))</f>
      </c>
      <c r="K951" s="17">
        <f>IF(Items[[#This Row],[ID]]="","",IFERROR(LOOKUP(2,1/((Log[ID]=Items[[#This Row],[ID]])*(Log[Verb]="pass")),Log[Arg])&amp;"",Items[[#This Row],[Team]]&amp;""))</f>
      </c>
      <c r="L951" s="17">
        <f>IF(Items[[#This Row],[ID]]="","",IFERROR(LOOKUP(2,1/((Log[ID]=Items[[#This Row],[ID]])*(Log[Into]&lt;&gt;"")),Log[Into]),""))</f>
      </c>
      <c r="M951" s="17">
        <f>IF(Items[[#This Row],[ID]]="","",IF(IFERROR(LOOKUP(2,1/((Log[ID]=Items[[#This Row],[ID]])*(Log[Blk]&lt;&gt;"")),Log[Blk]),0)=1,"Y",""))</f>
      </c>
      <c r="N951" s="17">
        <f>IF(Items[[#This Row],[ID]]="","",SUBSTITUTE(IFERROR(LOOKUP(2,1/((Log[ID]=Items[[#This Row],[ID]])*(Log[State]&lt;&gt;"")),Log[State]),"TODO"),"OPEN",IF(Items[[#This Row],[Blocked]]="Y","WAIT","OPEN")))</f>
      </c>
      <c r="O95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51" s="17">
        <f>IF(Items[[#This Row],[State]]&lt;&gt;"WAIT","",AsOf-Items[[#This Row],[Blocked since]])</f>
      </c>
      <c r="Q951" s="17">
        <f>IF(Items[[#This Row],[State]]&lt;&gt;"WAIT","",IFERROR(LOOKUP(2,1/((Log[ID]=Items[[#This Row],[ID]])*(Log[Verb]="block")),Log[Note])&amp;"",""))</f>
      </c>
      <c r="R951" s="17">
        <f>IF(Items[[#This Row],[ID]]="","",COUNTIFS(Log[ID],Items[[#This Row],[ID]],Log[Verb],"carry"))</f>
      </c>
      <c r="S951" s="17">
        <f>IF(Items[[#This Row],[ID]]="","",COUNTIFS(Log[ID],Items[[#This Row],[ID]],Log[Verb],"punt"))</f>
      </c>
      <c r="T951" s="11">
        <f>IF(Items[[#This Row],[State]]&lt;&gt;"DONE","",IFERROR(LOOKUP(2,1/((Log[ID]=Items[[#This Row],[ID]])*(Log[Verb]="done")),Log[Date]),""))</f>
      </c>
      <c r="U951" s="17">
        <f>IF(Items[[#This Row],[ID]]="","",IF(AND(Items[[#This Row],[Sprint]]=CurSprint,OR(Items[[#This Row],[State]]="OPEN",Items[[#This Row],[State]]="WAIT",Items[[#This Row],[State]]="HOLD",Items[[#This Row],[State]]="DONE")),1,0))</f>
      </c>
      <c r="V951" s="17">
        <f>IF(OR(Items[[#This Row],[ID]]="",Items[[#This Row],[Added]]=""),"",AsOf-Items[[#This Row],[Added]])</f>
      </c>
      <c r="W951" s="17">
        <f>IF(Items[[#This Row],[In sprint]]=1,(IF(Items[[#This Row],[Prio]]="",9,N(Items[[#This Row],[Prio]]))*10+(IF(Items[[#This Row],[State]]="DONE",1,0)))*100000+ROW(),"")</f>
      </c>
      <c r="X95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51" s="17">
        <f>IF(AND(Items[[#This Row],[State]]="DONE",N(Items[[#This Row],[Done on]])&gt;AsOf-7),(200000-N(Items[[#This Row],[Done on]]))*100000+ROW(),"")</f>
      </c>
    </row>
    <row r="952">
      <c r="A952" t="s">
        <v>2205</v>
      </c>
      <c r="B952" t="s">
        <v>2206</v>
      </c>
      <c r="C952" t="s">
        <v>1115</v>
      </c>
      <c r="D952" t="s">
        <v>1116</v>
      </c>
      <c r="E952" t="s">
        <v>1109</v>
      </c>
      <c r="F952" t="s">
        <v>1110</v>
      </c>
      <c r="G952">
        <v>2</v>
      </c>
      <c r="H952">
        <v>2</v>
      </c>
      <c r="I952" s="11">
        <v>46273</v>
      </c>
      <c r="J952" s="17">
        <f>IF(Items[[#This Row],[ID]]="","",IFERROR(VALUE(LOOKUP(2,1/((Log[ID]=Items[[#This Row],[ID]])*(Log[Verb]="est")),Log[Arg])),N(Items[[#This Row],[Points]])))</f>
      </c>
      <c r="K952" s="17">
        <f>IF(Items[[#This Row],[ID]]="","",IFERROR(LOOKUP(2,1/((Log[ID]=Items[[#This Row],[ID]])*(Log[Verb]="pass")),Log[Arg])&amp;"",Items[[#This Row],[Team]]&amp;""))</f>
      </c>
      <c r="L952" s="17">
        <f>IF(Items[[#This Row],[ID]]="","",IFERROR(LOOKUP(2,1/((Log[ID]=Items[[#This Row],[ID]])*(Log[Into]&lt;&gt;"")),Log[Into]),""))</f>
      </c>
      <c r="M952" s="17">
        <f>IF(Items[[#This Row],[ID]]="","",IF(IFERROR(LOOKUP(2,1/((Log[ID]=Items[[#This Row],[ID]])*(Log[Blk]&lt;&gt;"")),Log[Blk]),0)=1,"Y",""))</f>
      </c>
      <c r="N952" s="17">
        <f>IF(Items[[#This Row],[ID]]="","",SUBSTITUTE(IFERROR(LOOKUP(2,1/((Log[ID]=Items[[#This Row],[ID]])*(Log[State]&lt;&gt;"")),Log[State]),"TODO"),"OPEN",IF(Items[[#This Row],[Blocked]]="Y","WAIT","OPEN")))</f>
      </c>
      <c r="O95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52" s="17">
        <f>IF(Items[[#This Row],[State]]&lt;&gt;"WAIT","",AsOf-Items[[#This Row],[Blocked since]])</f>
      </c>
      <c r="Q952" s="17">
        <f>IF(Items[[#This Row],[State]]&lt;&gt;"WAIT","",IFERROR(LOOKUP(2,1/((Log[ID]=Items[[#This Row],[ID]])*(Log[Verb]="block")),Log[Note])&amp;"",""))</f>
      </c>
      <c r="R952" s="17">
        <f>IF(Items[[#This Row],[ID]]="","",COUNTIFS(Log[ID],Items[[#This Row],[ID]],Log[Verb],"carry"))</f>
      </c>
      <c r="S952" s="17">
        <f>IF(Items[[#This Row],[ID]]="","",COUNTIFS(Log[ID],Items[[#This Row],[ID]],Log[Verb],"punt"))</f>
      </c>
      <c r="T952" s="11">
        <f>IF(Items[[#This Row],[State]]&lt;&gt;"DONE","",IFERROR(LOOKUP(2,1/((Log[ID]=Items[[#This Row],[ID]])*(Log[Verb]="done")),Log[Date]),""))</f>
      </c>
      <c r="U952" s="17">
        <f>IF(Items[[#This Row],[ID]]="","",IF(AND(Items[[#This Row],[Sprint]]=CurSprint,OR(Items[[#This Row],[State]]="OPEN",Items[[#This Row],[State]]="WAIT",Items[[#This Row],[State]]="HOLD",Items[[#This Row],[State]]="DONE")),1,0))</f>
      </c>
      <c r="V952" s="17">
        <f>IF(OR(Items[[#This Row],[ID]]="",Items[[#This Row],[Added]]=""),"",AsOf-Items[[#This Row],[Added]])</f>
      </c>
      <c r="W952" s="17">
        <f>IF(Items[[#This Row],[In sprint]]=1,(IF(Items[[#This Row],[Prio]]="",9,N(Items[[#This Row],[Prio]]))*10+(IF(Items[[#This Row],[State]]="DONE",1,0)))*100000+ROW(),"")</f>
      </c>
      <c r="X95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52" s="17">
        <f>IF(AND(Items[[#This Row],[State]]="DONE",N(Items[[#This Row],[Done on]])&gt;AsOf-7),(200000-N(Items[[#This Row],[Done on]]))*100000+ROW(),"")</f>
      </c>
    </row>
    <row r="953">
      <c r="A953" t="s">
        <v>2207</v>
      </c>
      <c r="B953" t="s">
        <v>2208</v>
      </c>
      <c r="C953" t="s">
        <v>1107</v>
      </c>
      <c r="D953" t="s">
        <v>1123</v>
      </c>
      <c r="E953" t="s">
        <v>1109</v>
      </c>
      <c r="F953" t="s">
        <v>1227</v>
      </c>
      <c r="G953">
        <v>8</v>
      </c>
      <c r="H953">
        <v>2</v>
      </c>
      <c r="I953" s="11">
        <v>46273</v>
      </c>
      <c r="J953" s="17">
        <f>IF(Items[[#This Row],[ID]]="","",IFERROR(VALUE(LOOKUP(2,1/((Log[ID]=Items[[#This Row],[ID]])*(Log[Verb]="est")),Log[Arg])),N(Items[[#This Row],[Points]])))</f>
      </c>
      <c r="K953" s="17">
        <f>IF(Items[[#This Row],[ID]]="","",IFERROR(LOOKUP(2,1/((Log[ID]=Items[[#This Row],[ID]])*(Log[Verb]="pass")),Log[Arg])&amp;"",Items[[#This Row],[Team]]&amp;""))</f>
      </c>
      <c r="L953" s="17">
        <f>IF(Items[[#This Row],[ID]]="","",IFERROR(LOOKUP(2,1/((Log[ID]=Items[[#This Row],[ID]])*(Log[Into]&lt;&gt;"")),Log[Into]),""))</f>
      </c>
      <c r="M953" s="17">
        <f>IF(Items[[#This Row],[ID]]="","",IF(IFERROR(LOOKUP(2,1/((Log[ID]=Items[[#This Row],[ID]])*(Log[Blk]&lt;&gt;"")),Log[Blk]),0)=1,"Y",""))</f>
      </c>
      <c r="N953" s="17">
        <f>IF(Items[[#This Row],[ID]]="","",SUBSTITUTE(IFERROR(LOOKUP(2,1/((Log[ID]=Items[[#This Row],[ID]])*(Log[State]&lt;&gt;"")),Log[State]),"TODO"),"OPEN",IF(Items[[#This Row],[Blocked]]="Y","WAIT","OPEN")))</f>
      </c>
      <c r="O95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53" s="17">
        <f>IF(Items[[#This Row],[State]]&lt;&gt;"WAIT","",AsOf-Items[[#This Row],[Blocked since]])</f>
      </c>
      <c r="Q953" s="17">
        <f>IF(Items[[#This Row],[State]]&lt;&gt;"WAIT","",IFERROR(LOOKUP(2,1/((Log[ID]=Items[[#This Row],[ID]])*(Log[Verb]="block")),Log[Note])&amp;"",""))</f>
      </c>
      <c r="R953" s="17">
        <f>IF(Items[[#This Row],[ID]]="","",COUNTIFS(Log[ID],Items[[#This Row],[ID]],Log[Verb],"carry"))</f>
      </c>
      <c r="S953" s="17">
        <f>IF(Items[[#This Row],[ID]]="","",COUNTIFS(Log[ID],Items[[#This Row],[ID]],Log[Verb],"punt"))</f>
      </c>
      <c r="T953" s="11">
        <f>IF(Items[[#This Row],[State]]&lt;&gt;"DONE","",IFERROR(LOOKUP(2,1/((Log[ID]=Items[[#This Row],[ID]])*(Log[Verb]="done")),Log[Date]),""))</f>
      </c>
      <c r="U953" s="17">
        <f>IF(Items[[#This Row],[ID]]="","",IF(AND(Items[[#This Row],[Sprint]]=CurSprint,OR(Items[[#This Row],[State]]="OPEN",Items[[#This Row],[State]]="WAIT",Items[[#This Row],[State]]="HOLD",Items[[#This Row],[State]]="DONE")),1,0))</f>
      </c>
      <c r="V953" s="17">
        <f>IF(OR(Items[[#This Row],[ID]]="",Items[[#This Row],[Added]]=""),"",AsOf-Items[[#This Row],[Added]])</f>
      </c>
      <c r="W953" s="17">
        <f>IF(Items[[#This Row],[In sprint]]=1,(IF(Items[[#This Row],[Prio]]="",9,N(Items[[#This Row],[Prio]]))*10+(IF(Items[[#This Row],[State]]="DONE",1,0)))*100000+ROW(),"")</f>
      </c>
      <c r="X95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53" s="17">
        <f>IF(AND(Items[[#This Row],[State]]="DONE",N(Items[[#This Row],[Done on]])&gt;AsOf-7),(200000-N(Items[[#This Row],[Done on]]))*100000+ROW(),"")</f>
      </c>
    </row>
    <row r="954">
      <c r="A954" t="s">
        <v>2209</v>
      </c>
      <c r="B954" t="s">
        <v>2210</v>
      </c>
      <c r="C954" t="s">
        <v>1115</v>
      </c>
      <c r="D954" t="s">
        <v>1116</v>
      </c>
      <c r="E954" t="s">
        <v>1109</v>
      </c>
      <c r="F954" t="s">
        <v>1370</v>
      </c>
      <c r="G954">
        <v>5</v>
      </c>
      <c r="H954">
        <v>3</v>
      </c>
      <c r="I954" s="11">
        <v>46273</v>
      </c>
      <c r="J954" s="17">
        <f>IF(Items[[#This Row],[ID]]="","",IFERROR(VALUE(LOOKUP(2,1/((Log[ID]=Items[[#This Row],[ID]])*(Log[Verb]="est")),Log[Arg])),N(Items[[#This Row],[Points]])))</f>
      </c>
      <c r="K954" s="17">
        <f>IF(Items[[#This Row],[ID]]="","",IFERROR(LOOKUP(2,1/((Log[ID]=Items[[#This Row],[ID]])*(Log[Verb]="pass")),Log[Arg])&amp;"",Items[[#This Row],[Team]]&amp;""))</f>
      </c>
      <c r="L954" s="17">
        <f>IF(Items[[#This Row],[ID]]="","",IFERROR(LOOKUP(2,1/((Log[ID]=Items[[#This Row],[ID]])*(Log[Into]&lt;&gt;"")),Log[Into]),""))</f>
      </c>
      <c r="M954" s="17">
        <f>IF(Items[[#This Row],[ID]]="","",IF(IFERROR(LOOKUP(2,1/((Log[ID]=Items[[#This Row],[ID]])*(Log[Blk]&lt;&gt;"")),Log[Blk]),0)=1,"Y",""))</f>
      </c>
      <c r="N954" s="17">
        <f>IF(Items[[#This Row],[ID]]="","",SUBSTITUTE(IFERROR(LOOKUP(2,1/((Log[ID]=Items[[#This Row],[ID]])*(Log[State]&lt;&gt;"")),Log[State]),"TODO"),"OPEN",IF(Items[[#This Row],[Blocked]]="Y","WAIT","OPEN")))</f>
      </c>
      <c r="O95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54" s="17">
        <f>IF(Items[[#This Row],[State]]&lt;&gt;"WAIT","",AsOf-Items[[#This Row],[Blocked since]])</f>
      </c>
      <c r="Q954" s="17">
        <f>IF(Items[[#This Row],[State]]&lt;&gt;"WAIT","",IFERROR(LOOKUP(2,1/((Log[ID]=Items[[#This Row],[ID]])*(Log[Verb]="block")),Log[Note])&amp;"",""))</f>
      </c>
      <c r="R954" s="17">
        <f>IF(Items[[#This Row],[ID]]="","",COUNTIFS(Log[ID],Items[[#This Row],[ID]],Log[Verb],"carry"))</f>
      </c>
      <c r="S954" s="17">
        <f>IF(Items[[#This Row],[ID]]="","",COUNTIFS(Log[ID],Items[[#This Row],[ID]],Log[Verb],"punt"))</f>
      </c>
      <c r="T954" s="11">
        <f>IF(Items[[#This Row],[State]]&lt;&gt;"DONE","",IFERROR(LOOKUP(2,1/((Log[ID]=Items[[#This Row],[ID]])*(Log[Verb]="done")),Log[Date]),""))</f>
      </c>
      <c r="U954" s="17">
        <f>IF(Items[[#This Row],[ID]]="","",IF(AND(Items[[#This Row],[Sprint]]=CurSprint,OR(Items[[#This Row],[State]]="OPEN",Items[[#This Row],[State]]="WAIT",Items[[#This Row],[State]]="HOLD",Items[[#This Row],[State]]="DONE")),1,0))</f>
      </c>
      <c r="V954" s="17">
        <f>IF(OR(Items[[#This Row],[ID]]="",Items[[#This Row],[Added]]=""),"",AsOf-Items[[#This Row],[Added]])</f>
      </c>
      <c r="W954" s="17">
        <f>IF(Items[[#This Row],[In sprint]]=1,(IF(Items[[#This Row],[Prio]]="",9,N(Items[[#This Row],[Prio]]))*10+(IF(Items[[#This Row],[State]]="DONE",1,0)))*100000+ROW(),"")</f>
      </c>
      <c r="X95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54" s="17">
        <f>IF(AND(Items[[#This Row],[State]]="DONE",N(Items[[#This Row],[Done on]])&gt;AsOf-7),(200000-N(Items[[#This Row],[Done on]]))*100000+ROW(),"")</f>
      </c>
    </row>
    <row r="955">
      <c r="A955" t="s">
        <v>1064</v>
      </c>
      <c r="B955" t="s">
        <v>2211</v>
      </c>
      <c r="C955" t="s">
        <v>1115</v>
      </c>
      <c r="D955" t="s">
        <v>1119</v>
      </c>
      <c r="E955" t="s">
        <v>1131</v>
      </c>
      <c r="F955" t="s">
        <v>1384</v>
      </c>
      <c r="G955">
        <v>3</v>
      </c>
      <c r="H955">
        <v>1</v>
      </c>
      <c r="I955" s="11">
        <v>46273</v>
      </c>
      <c r="J955" s="17">
        <f>IF(Items[[#This Row],[ID]]="","",IFERROR(VALUE(LOOKUP(2,1/((Log[ID]=Items[[#This Row],[ID]])*(Log[Verb]="est")),Log[Arg])),N(Items[[#This Row],[Points]])))</f>
      </c>
      <c r="K955" s="17">
        <f>IF(Items[[#This Row],[ID]]="","",IFERROR(LOOKUP(2,1/((Log[ID]=Items[[#This Row],[ID]])*(Log[Verb]="pass")),Log[Arg])&amp;"",Items[[#This Row],[Team]]&amp;""))</f>
      </c>
      <c r="L955" s="17">
        <f>IF(Items[[#This Row],[ID]]="","",IFERROR(LOOKUP(2,1/((Log[ID]=Items[[#This Row],[ID]])*(Log[Into]&lt;&gt;"")),Log[Into]),""))</f>
      </c>
      <c r="M955" s="17">
        <f>IF(Items[[#This Row],[ID]]="","",IF(IFERROR(LOOKUP(2,1/((Log[ID]=Items[[#This Row],[ID]])*(Log[Blk]&lt;&gt;"")),Log[Blk]),0)=1,"Y",""))</f>
      </c>
      <c r="N955" s="17">
        <f>IF(Items[[#This Row],[ID]]="","",SUBSTITUTE(IFERROR(LOOKUP(2,1/((Log[ID]=Items[[#This Row],[ID]])*(Log[State]&lt;&gt;"")),Log[State]),"TODO"),"OPEN",IF(Items[[#This Row],[Blocked]]="Y","WAIT","OPEN")))</f>
      </c>
      <c r="O95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55" s="17">
        <f>IF(Items[[#This Row],[State]]&lt;&gt;"WAIT","",AsOf-Items[[#This Row],[Blocked since]])</f>
      </c>
      <c r="Q955" s="17">
        <f>IF(Items[[#This Row],[State]]&lt;&gt;"WAIT","",IFERROR(LOOKUP(2,1/((Log[ID]=Items[[#This Row],[ID]])*(Log[Verb]="block")),Log[Note])&amp;"",""))</f>
      </c>
      <c r="R955" s="17">
        <f>IF(Items[[#This Row],[ID]]="","",COUNTIFS(Log[ID],Items[[#This Row],[ID]],Log[Verb],"carry"))</f>
      </c>
      <c r="S955" s="17">
        <f>IF(Items[[#This Row],[ID]]="","",COUNTIFS(Log[ID],Items[[#This Row],[ID]],Log[Verb],"punt"))</f>
      </c>
      <c r="T955" s="11">
        <f>IF(Items[[#This Row],[State]]&lt;&gt;"DONE","",IFERROR(LOOKUP(2,1/((Log[ID]=Items[[#This Row],[ID]])*(Log[Verb]="done")),Log[Date]),""))</f>
      </c>
      <c r="U955" s="17">
        <f>IF(Items[[#This Row],[ID]]="","",IF(AND(Items[[#This Row],[Sprint]]=CurSprint,OR(Items[[#This Row],[State]]="OPEN",Items[[#This Row],[State]]="WAIT",Items[[#This Row],[State]]="HOLD",Items[[#This Row],[State]]="DONE")),1,0))</f>
      </c>
      <c r="V955" s="17">
        <f>IF(OR(Items[[#This Row],[ID]]="",Items[[#This Row],[Added]]=""),"",AsOf-Items[[#This Row],[Added]])</f>
      </c>
      <c r="W955" s="17">
        <f>IF(Items[[#This Row],[In sprint]]=1,(IF(Items[[#This Row],[Prio]]="",9,N(Items[[#This Row],[Prio]]))*10+(IF(Items[[#This Row],[State]]="DONE",1,0)))*100000+ROW(),"")</f>
      </c>
      <c r="X95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55" s="17">
        <f>IF(AND(Items[[#This Row],[State]]="DONE",N(Items[[#This Row],[Done on]])&gt;AsOf-7),(200000-N(Items[[#This Row],[Done on]]))*100000+ROW(),"")</f>
      </c>
    </row>
    <row r="956">
      <c r="A956" t="s">
        <v>2212</v>
      </c>
      <c r="B956" t="s">
        <v>2213</v>
      </c>
      <c r="C956" t="s">
        <v>1107</v>
      </c>
      <c r="D956" t="s">
        <v>1127</v>
      </c>
      <c r="E956" t="s">
        <v>1131</v>
      </c>
      <c r="F956" t="s">
        <v>1384</v>
      </c>
      <c r="G956">
        <v>3</v>
      </c>
      <c r="H956">
        <v>3</v>
      </c>
      <c r="I956" s="11">
        <v>46273</v>
      </c>
      <c r="J956" s="17">
        <f>IF(Items[[#This Row],[ID]]="","",IFERROR(VALUE(LOOKUP(2,1/((Log[ID]=Items[[#This Row],[ID]])*(Log[Verb]="est")),Log[Arg])),N(Items[[#This Row],[Points]])))</f>
      </c>
      <c r="K956" s="17">
        <f>IF(Items[[#This Row],[ID]]="","",IFERROR(LOOKUP(2,1/((Log[ID]=Items[[#This Row],[ID]])*(Log[Verb]="pass")),Log[Arg])&amp;"",Items[[#This Row],[Team]]&amp;""))</f>
      </c>
      <c r="L956" s="17">
        <f>IF(Items[[#This Row],[ID]]="","",IFERROR(LOOKUP(2,1/((Log[ID]=Items[[#This Row],[ID]])*(Log[Into]&lt;&gt;"")),Log[Into]),""))</f>
      </c>
      <c r="M956" s="17">
        <f>IF(Items[[#This Row],[ID]]="","",IF(IFERROR(LOOKUP(2,1/((Log[ID]=Items[[#This Row],[ID]])*(Log[Blk]&lt;&gt;"")),Log[Blk]),0)=1,"Y",""))</f>
      </c>
      <c r="N956" s="17">
        <f>IF(Items[[#This Row],[ID]]="","",SUBSTITUTE(IFERROR(LOOKUP(2,1/((Log[ID]=Items[[#This Row],[ID]])*(Log[State]&lt;&gt;"")),Log[State]),"TODO"),"OPEN",IF(Items[[#This Row],[Blocked]]="Y","WAIT","OPEN")))</f>
      </c>
      <c r="O95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56" s="17">
        <f>IF(Items[[#This Row],[State]]&lt;&gt;"WAIT","",AsOf-Items[[#This Row],[Blocked since]])</f>
      </c>
      <c r="Q956" s="17">
        <f>IF(Items[[#This Row],[State]]&lt;&gt;"WAIT","",IFERROR(LOOKUP(2,1/((Log[ID]=Items[[#This Row],[ID]])*(Log[Verb]="block")),Log[Note])&amp;"",""))</f>
      </c>
      <c r="R956" s="17">
        <f>IF(Items[[#This Row],[ID]]="","",COUNTIFS(Log[ID],Items[[#This Row],[ID]],Log[Verb],"carry"))</f>
      </c>
      <c r="S956" s="17">
        <f>IF(Items[[#This Row],[ID]]="","",COUNTIFS(Log[ID],Items[[#This Row],[ID]],Log[Verb],"punt"))</f>
      </c>
      <c r="T956" s="11">
        <f>IF(Items[[#This Row],[State]]&lt;&gt;"DONE","",IFERROR(LOOKUP(2,1/((Log[ID]=Items[[#This Row],[ID]])*(Log[Verb]="done")),Log[Date]),""))</f>
      </c>
      <c r="U956" s="17">
        <f>IF(Items[[#This Row],[ID]]="","",IF(AND(Items[[#This Row],[Sprint]]=CurSprint,OR(Items[[#This Row],[State]]="OPEN",Items[[#This Row],[State]]="WAIT",Items[[#This Row],[State]]="HOLD",Items[[#This Row],[State]]="DONE")),1,0))</f>
      </c>
      <c r="V956" s="17">
        <f>IF(OR(Items[[#This Row],[ID]]="",Items[[#This Row],[Added]]=""),"",AsOf-Items[[#This Row],[Added]])</f>
      </c>
      <c r="W956" s="17">
        <f>IF(Items[[#This Row],[In sprint]]=1,(IF(Items[[#This Row],[Prio]]="",9,N(Items[[#This Row],[Prio]]))*10+(IF(Items[[#This Row],[State]]="DONE",1,0)))*100000+ROW(),"")</f>
      </c>
      <c r="X95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56" s="17">
        <f>IF(AND(Items[[#This Row],[State]]="DONE",N(Items[[#This Row],[Done on]])&gt;AsOf-7),(200000-N(Items[[#This Row],[Done on]]))*100000+ROW(),"")</f>
      </c>
    </row>
    <row r="957">
      <c r="A957" t="s">
        <v>2214</v>
      </c>
      <c r="B957" t="s">
        <v>2215</v>
      </c>
      <c r="C957" t="s">
        <v>1107</v>
      </c>
      <c r="D957" t="s">
        <v>1123</v>
      </c>
      <c r="E957" t="s">
        <v>1131</v>
      </c>
      <c r="F957" t="s">
        <v>1384</v>
      </c>
      <c r="G957">
        <v>8</v>
      </c>
      <c r="H957">
        <v>1</v>
      </c>
      <c r="I957" s="11">
        <v>46273</v>
      </c>
      <c r="J957" s="17">
        <f>IF(Items[[#This Row],[ID]]="","",IFERROR(VALUE(LOOKUP(2,1/((Log[ID]=Items[[#This Row],[ID]])*(Log[Verb]="est")),Log[Arg])),N(Items[[#This Row],[Points]])))</f>
      </c>
      <c r="K957" s="17">
        <f>IF(Items[[#This Row],[ID]]="","",IFERROR(LOOKUP(2,1/((Log[ID]=Items[[#This Row],[ID]])*(Log[Verb]="pass")),Log[Arg])&amp;"",Items[[#This Row],[Team]]&amp;""))</f>
      </c>
      <c r="L957" s="17">
        <f>IF(Items[[#This Row],[ID]]="","",IFERROR(LOOKUP(2,1/((Log[ID]=Items[[#This Row],[ID]])*(Log[Into]&lt;&gt;"")),Log[Into]),""))</f>
      </c>
      <c r="M957" s="17">
        <f>IF(Items[[#This Row],[ID]]="","",IF(IFERROR(LOOKUP(2,1/((Log[ID]=Items[[#This Row],[ID]])*(Log[Blk]&lt;&gt;"")),Log[Blk]),0)=1,"Y",""))</f>
      </c>
      <c r="N957" s="17">
        <f>IF(Items[[#This Row],[ID]]="","",SUBSTITUTE(IFERROR(LOOKUP(2,1/((Log[ID]=Items[[#This Row],[ID]])*(Log[State]&lt;&gt;"")),Log[State]),"TODO"),"OPEN",IF(Items[[#This Row],[Blocked]]="Y","WAIT","OPEN")))</f>
      </c>
      <c r="O95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57" s="17">
        <f>IF(Items[[#This Row],[State]]&lt;&gt;"WAIT","",AsOf-Items[[#This Row],[Blocked since]])</f>
      </c>
      <c r="Q957" s="17">
        <f>IF(Items[[#This Row],[State]]&lt;&gt;"WAIT","",IFERROR(LOOKUP(2,1/((Log[ID]=Items[[#This Row],[ID]])*(Log[Verb]="block")),Log[Note])&amp;"",""))</f>
      </c>
      <c r="R957" s="17">
        <f>IF(Items[[#This Row],[ID]]="","",COUNTIFS(Log[ID],Items[[#This Row],[ID]],Log[Verb],"carry"))</f>
      </c>
      <c r="S957" s="17">
        <f>IF(Items[[#This Row],[ID]]="","",COUNTIFS(Log[ID],Items[[#This Row],[ID]],Log[Verb],"punt"))</f>
      </c>
      <c r="T957" s="11">
        <f>IF(Items[[#This Row],[State]]&lt;&gt;"DONE","",IFERROR(LOOKUP(2,1/((Log[ID]=Items[[#This Row],[ID]])*(Log[Verb]="done")),Log[Date]),""))</f>
      </c>
      <c r="U957" s="17">
        <f>IF(Items[[#This Row],[ID]]="","",IF(AND(Items[[#This Row],[Sprint]]=CurSprint,OR(Items[[#This Row],[State]]="OPEN",Items[[#This Row],[State]]="WAIT",Items[[#This Row],[State]]="HOLD",Items[[#This Row],[State]]="DONE")),1,0))</f>
      </c>
      <c r="V957" s="17">
        <f>IF(OR(Items[[#This Row],[ID]]="",Items[[#This Row],[Added]]=""),"",AsOf-Items[[#This Row],[Added]])</f>
      </c>
      <c r="W957" s="17">
        <f>IF(Items[[#This Row],[In sprint]]=1,(IF(Items[[#This Row],[Prio]]="",9,N(Items[[#This Row],[Prio]]))*10+(IF(Items[[#This Row],[State]]="DONE",1,0)))*100000+ROW(),"")</f>
      </c>
      <c r="X95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57" s="17">
        <f>IF(AND(Items[[#This Row],[State]]="DONE",N(Items[[#This Row],[Done on]])&gt;AsOf-7),(200000-N(Items[[#This Row],[Done on]]))*100000+ROW(),"")</f>
      </c>
    </row>
    <row r="958">
      <c r="A958" t="s">
        <v>2216</v>
      </c>
      <c r="B958" t="s">
        <v>2217</v>
      </c>
      <c r="C958" t="s">
        <v>1115</v>
      </c>
      <c r="D958" t="s">
        <v>1119</v>
      </c>
      <c r="E958" t="s">
        <v>1131</v>
      </c>
      <c r="F958" t="s">
        <v>1309</v>
      </c>
      <c r="G958">
        <v>3</v>
      </c>
      <c r="H958">
        <v>1</v>
      </c>
      <c r="I958" s="11">
        <v>46273</v>
      </c>
      <c r="J958" s="17">
        <f>IF(Items[[#This Row],[ID]]="","",IFERROR(VALUE(LOOKUP(2,1/((Log[ID]=Items[[#This Row],[ID]])*(Log[Verb]="est")),Log[Arg])),N(Items[[#This Row],[Points]])))</f>
      </c>
      <c r="K958" s="17">
        <f>IF(Items[[#This Row],[ID]]="","",IFERROR(LOOKUP(2,1/((Log[ID]=Items[[#This Row],[ID]])*(Log[Verb]="pass")),Log[Arg])&amp;"",Items[[#This Row],[Team]]&amp;""))</f>
      </c>
      <c r="L958" s="17">
        <f>IF(Items[[#This Row],[ID]]="","",IFERROR(LOOKUP(2,1/((Log[ID]=Items[[#This Row],[ID]])*(Log[Into]&lt;&gt;"")),Log[Into]),""))</f>
      </c>
      <c r="M958" s="17">
        <f>IF(Items[[#This Row],[ID]]="","",IF(IFERROR(LOOKUP(2,1/((Log[ID]=Items[[#This Row],[ID]])*(Log[Blk]&lt;&gt;"")),Log[Blk]),0)=1,"Y",""))</f>
      </c>
      <c r="N958" s="17">
        <f>IF(Items[[#This Row],[ID]]="","",SUBSTITUTE(IFERROR(LOOKUP(2,1/((Log[ID]=Items[[#This Row],[ID]])*(Log[State]&lt;&gt;"")),Log[State]),"TODO"),"OPEN",IF(Items[[#This Row],[Blocked]]="Y","WAIT","OPEN")))</f>
      </c>
      <c r="O95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58" s="17">
        <f>IF(Items[[#This Row],[State]]&lt;&gt;"WAIT","",AsOf-Items[[#This Row],[Blocked since]])</f>
      </c>
      <c r="Q958" s="17">
        <f>IF(Items[[#This Row],[State]]&lt;&gt;"WAIT","",IFERROR(LOOKUP(2,1/((Log[ID]=Items[[#This Row],[ID]])*(Log[Verb]="block")),Log[Note])&amp;"",""))</f>
      </c>
      <c r="R958" s="17">
        <f>IF(Items[[#This Row],[ID]]="","",COUNTIFS(Log[ID],Items[[#This Row],[ID]],Log[Verb],"carry"))</f>
      </c>
      <c r="S958" s="17">
        <f>IF(Items[[#This Row],[ID]]="","",COUNTIFS(Log[ID],Items[[#This Row],[ID]],Log[Verb],"punt"))</f>
      </c>
      <c r="T958" s="11">
        <f>IF(Items[[#This Row],[State]]&lt;&gt;"DONE","",IFERROR(LOOKUP(2,1/((Log[ID]=Items[[#This Row],[ID]])*(Log[Verb]="done")),Log[Date]),""))</f>
      </c>
      <c r="U958" s="17">
        <f>IF(Items[[#This Row],[ID]]="","",IF(AND(Items[[#This Row],[Sprint]]=CurSprint,OR(Items[[#This Row],[State]]="OPEN",Items[[#This Row],[State]]="WAIT",Items[[#This Row],[State]]="HOLD",Items[[#This Row],[State]]="DONE")),1,0))</f>
      </c>
      <c r="V958" s="17">
        <f>IF(OR(Items[[#This Row],[ID]]="",Items[[#This Row],[Added]]=""),"",AsOf-Items[[#This Row],[Added]])</f>
      </c>
      <c r="W958" s="17">
        <f>IF(Items[[#This Row],[In sprint]]=1,(IF(Items[[#This Row],[Prio]]="",9,N(Items[[#This Row],[Prio]]))*10+(IF(Items[[#This Row],[State]]="DONE",1,0)))*100000+ROW(),"")</f>
      </c>
      <c r="X95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58" s="17">
        <f>IF(AND(Items[[#This Row],[State]]="DONE",N(Items[[#This Row],[Done on]])&gt;AsOf-7),(200000-N(Items[[#This Row],[Done on]]))*100000+ROW(),"")</f>
      </c>
    </row>
    <row r="959">
      <c r="A959" t="s">
        <v>2218</v>
      </c>
      <c r="B959" t="s">
        <v>2219</v>
      </c>
      <c r="C959" t="s">
        <v>1115</v>
      </c>
      <c r="D959" t="s">
        <v>1116</v>
      </c>
      <c r="E959" t="s">
        <v>1131</v>
      </c>
      <c r="F959" t="s">
        <v>1384</v>
      </c>
      <c r="G959">
        <v>8</v>
      </c>
      <c r="H959">
        <v>3</v>
      </c>
      <c r="I959" s="11">
        <v>46273</v>
      </c>
      <c r="J959" s="17">
        <f>IF(Items[[#This Row],[ID]]="","",IFERROR(VALUE(LOOKUP(2,1/((Log[ID]=Items[[#This Row],[ID]])*(Log[Verb]="est")),Log[Arg])),N(Items[[#This Row],[Points]])))</f>
      </c>
      <c r="K959" s="17">
        <f>IF(Items[[#This Row],[ID]]="","",IFERROR(LOOKUP(2,1/((Log[ID]=Items[[#This Row],[ID]])*(Log[Verb]="pass")),Log[Arg])&amp;"",Items[[#This Row],[Team]]&amp;""))</f>
      </c>
      <c r="L959" s="17">
        <f>IF(Items[[#This Row],[ID]]="","",IFERROR(LOOKUP(2,1/((Log[ID]=Items[[#This Row],[ID]])*(Log[Into]&lt;&gt;"")),Log[Into]),""))</f>
      </c>
      <c r="M959" s="17">
        <f>IF(Items[[#This Row],[ID]]="","",IF(IFERROR(LOOKUP(2,1/((Log[ID]=Items[[#This Row],[ID]])*(Log[Blk]&lt;&gt;"")),Log[Blk]),0)=1,"Y",""))</f>
      </c>
      <c r="N959" s="17">
        <f>IF(Items[[#This Row],[ID]]="","",SUBSTITUTE(IFERROR(LOOKUP(2,1/((Log[ID]=Items[[#This Row],[ID]])*(Log[State]&lt;&gt;"")),Log[State]),"TODO"),"OPEN",IF(Items[[#This Row],[Blocked]]="Y","WAIT","OPEN")))</f>
      </c>
      <c r="O95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59" s="17">
        <f>IF(Items[[#This Row],[State]]&lt;&gt;"WAIT","",AsOf-Items[[#This Row],[Blocked since]])</f>
      </c>
      <c r="Q959" s="17">
        <f>IF(Items[[#This Row],[State]]&lt;&gt;"WAIT","",IFERROR(LOOKUP(2,1/((Log[ID]=Items[[#This Row],[ID]])*(Log[Verb]="block")),Log[Note])&amp;"",""))</f>
      </c>
      <c r="R959" s="17">
        <f>IF(Items[[#This Row],[ID]]="","",COUNTIFS(Log[ID],Items[[#This Row],[ID]],Log[Verb],"carry"))</f>
      </c>
      <c r="S959" s="17">
        <f>IF(Items[[#This Row],[ID]]="","",COUNTIFS(Log[ID],Items[[#This Row],[ID]],Log[Verb],"punt"))</f>
      </c>
      <c r="T959" s="11">
        <f>IF(Items[[#This Row],[State]]&lt;&gt;"DONE","",IFERROR(LOOKUP(2,1/((Log[ID]=Items[[#This Row],[ID]])*(Log[Verb]="done")),Log[Date]),""))</f>
      </c>
      <c r="U959" s="17">
        <f>IF(Items[[#This Row],[ID]]="","",IF(AND(Items[[#This Row],[Sprint]]=CurSprint,OR(Items[[#This Row],[State]]="OPEN",Items[[#This Row],[State]]="WAIT",Items[[#This Row],[State]]="HOLD",Items[[#This Row],[State]]="DONE")),1,0))</f>
      </c>
      <c r="V959" s="17">
        <f>IF(OR(Items[[#This Row],[ID]]="",Items[[#This Row],[Added]]=""),"",AsOf-Items[[#This Row],[Added]])</f>
      </c>
      <c r="W959" s="17">
        <f>IF(Items[[#This Row],[In sprint]]=1,(IF(Items[[#This Row],[Prio]]="",9,N(Items[[#This Row],[Prio]]))*10+(IF(Items[[#This Row],[State]]="DONE",1,0)))*100000+ROW(),"")</f>
      </c>
      <c r="X95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59" s="17">
        <f>IF(AND(Items[[#This Row],[State]]="DONE",N(Items[[#This Row],[Done on]])&gt;AsOf-7),(200000-N(Items[[#This Row],[Done on]]))*100000+ROW(),"")</f>
      </c>
    </row>
    <row r="960">
      <c r="A960" t="s">
        <v>2220</v>
      </c>
      <c r="B960" t="s">
        <v>2221</v>
      </c>
      <c r="C960" t="s">
        <v>1115</v>
      </c>
      <c r="D960" t="s">
        <v>1119</v>
      </c>
      <c r="E960" t="s">
        <v>1134</v>
      </c>
      <c r="F960" t="s">
        <v>1171</v>
      </c>
      <c r="G960">
        <v>8</v>
      </c>
      <c r="H960">
        <v>2</v>
      </c>
      <c r="I960" s="11">
        <v>46273</v>
      </c>
      <c r="J960" s="17">
        <f>IF(Items[[#This Row],[ID]]="","",IFERROR(VALUE(LOOKUP(2,1/((Log[ID]=Items[[#This Row],[ID]])*(Log[Verb]="est")),Log[Arg])),N(Items[[#This Row],[Points]])))</f>
      </c>
      <c r="K960" s="17">
        <f>IF(Items[[#This Row],[ID]]="","",IFERROR(LOOKUP(2,1/((Log[ID]=Items[[#This Row],[ID]])*(Log[Verb]="pass")),Log[Arg])&amp;"",Items[[#This Row],[Team]]&amp;""))</f>
      </c>
      <c r="L960" s="17">
        <f>IF(Items[[#This Row],[ID]]="","",IFERROR(LOOKUP(2,1/((Log[ID]=Items[[#This Row],[ID]])*(Log[Into]&lt;&gt;"")),Log[Into]),""))</f>
      </c>
      <c r="M960" s="17">
        <f>IF(Items[[#This Row],[ID]]="","",IF(IFERROR(LOOKUP(2,1/((Log[ID]=Items[[#This Row],[ID]])*(Log[Blk]&lt;&gt;"")),Log[Blk]),0)=1,"Y",""))</f>
      </c>
      <c r="N960" s="17">
        <f>IF(Items[[#This Row],[ID]]="","",SUBSTITUTE(IFERROR(LOOKUP(2,1/((Log[ID]=Items[[#This Row],[ID]])*(Log[State]&lt;&gt;"")),Log[State]),"TODO"),"OPEN",IF(Items[[#This Row],[Blocked]]="Y","WAIT","OPEN")))</f>
      </c>
      <c r="O96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60" s="17">
        <f>IF(Items[[#This Row],[State]]&lt;&gt;"WAIT","",AsOf-Items[[#This Row],[Blocked since]])</f>
      </c>
      <c r="Q960" s="17">
        <f>IF(Items[[#This Row],[State]]&lt;&gt;"WAIT","",IFERROR(LOOKUP(2,1/((Log[ID]=Items[[#This Row],[ID]])*(Log[Verb]="block")),Log[Note])&amp;"",""))</f>
      </c>
      <c r="R960" s="17">
        <f>IF(Items[[#This Row],[ID]]="","",COUNTIFS(Log[ID],Items[[#This Row],[ID]],Log[Verb],"carry"))</f>
      </c>
      <c r="S960" s="17">
        <f>IF(Items[[#This Row],[ID]]="","",COUNTIFS(Log[ID],Items[[#This Row],[ID]],Log[Verb],"punt"))</f>
      </c>
      <c r="T960" s="11">
        <f>IF(Items[[#This Row],[State]]&lt;&gt;"DONE","",IFERROR(LOOKUP(2,1/((Log[ID]=Items[[#This Row],[ID]])*(Log[Verb]="done")),Log[Date]),""))</f>
      </c>
      <c r="U960" s="17">
        <f>IF(Items[[#This Row],[ID]]="","",IF(AND(Items[[#This Row],[Sprint]]=CurSprint,OR(Items[[#This Row],[State]]="OPEN",Items[[#This Row],[State]]="WAIT",Items[[#This Row],[State]]="HOLD",Items[[#This Row],[State]]="DONE")),1,0))</f>
      </c>
      <c r="V960" s="17">
        <f>IF(OR(Items[[#This Row],[ID]]="",Items[[#This Row],[Added]]=""),"",AsOf-Items[[#This Row],[Added]])</f>
      </c>
      <c r="W960" s="17">
        <f>IF(Items[[#This Row],[In sprint]]=1,(IF(Items[[#This Row],[Prio]]="",9,N(Items[[#This Row],[Prio]]))*10+(IF(Items[[#This Row],[State]]="DONE",1,0)))*100000+ROW(),"")</f>
      </c>
      <c r="X96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60" s="17">
        <f>IF(AND(Items[[#This Row],[State]]="DONE",N(Items[[#This Row],[Done on]])&gt;AsOf-7),(200000-N(Items[[#This Row],[Done on]]))*100000+ROW(),"")</f>
      </c>
    </row>
    <row r="961">
      <c r="A961" t="s">
        <v>2222</v>
      </c>
      <c r="B961" t="s">
        <v>2223</v>
      </c>
      <c r="C961" t="s">
        <v>1107</v>
      </c>
      <c r="D961" t="s">
        <v>1123</v>
      </c>
      <c r="E961" t="s">
        <v>1134</v>
      </c>
      <c r="F961" t="s">
        <v>1137</v>
      </c>
      <c r="G961">
        <v>2</v>
      </c>
      <c r="H961">
        <v>2</v>
      </c>
      <c r="I961" s="11">
        <v>46273</v>
      </c>
      <c r="J961" s="17">
        <f>IF(Items[[#This Row],[ID]]="","",IFERROR(VALUE(LOOKUP(2,1/((Log[ID]=Items[[#This Row],[ID]])*(Log[Verb]="est")),Log[Arg])),N(Items[[#This Row],[Points]])))</f>
      </c>
      <c r="K961" s="17">
        <f>IF(Items[[#This Row],[ID]]="","",IFERROR(LOOKUP(2,1/((Log[ID]=Items[[#This Row],[ID]])*(Log[Verb]="pass")),Log[Arg])&amp;"",Items[[#This Row],[Team]]&amp;""))</f>
      </c>
      <c r="L961" s="17">
        <f>IF(Items[[#This Row],[ID]]="","",IFERROR(LOOKUP(2,1/((Log[ID]=Items[[#This Row],[ID]])*(Log[Into]&lt;&gt;"")),Log[Into]),""))</f>
      </c>
      <c r="M961" s="17">
        <f>IF(Items[[#This Row],[ID]]="","",IF(IFERROR(LOOKUP(2,1/((Log[ID]=Items[[#This Row],[ID]])*(Log[Blk]&lt;&gt;"")),Log[Blk]),0)=1,"Y",""))</f>
      </c>
      <c r="N961" s="17">
        <f>IF(Items[[#This Row],[ID]]="","",SUBSTITUTE(IFERROR(LOOKUP(2,1/((Log[ID]=Items[[#This Row],[ID]])*(Log[State]&lt;&gt;"")),Log[State]),"TODO"),"OPEN",IF(Items[[#This Row],[Blocked]]="Y","WAIT","OPEN")))</f>
      </c>
      <c r="O96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61" s="17">
        <f>IF(Items[[#This Row],[State]]&lt;&gt;"WAIT","",AsOf-Items[[#This Row],[Blocked since]])</f>
      </c>
      <c r="Q961" s="17">
        <f>IF(Items[[#This Row],[State]]&lt;&gt;"WAIT","",IFERROR(LOOKUP(2,1/((Log[ID]=Items[[#This Row],[ID]])*(Log[Verb]="block")),Log[Note])&amp;"",""))</f>
      </c>
      <c r="R961" s="17">
        <f>IF(Items[[#This Row],[ID]]="","",COUNTIFS(Log[ID],Items[[#This Row],[ID]],Log[Verb],"carry"))</f>
      </c>
      <c r="S961" s="17">
        <f>IF(Items[[#This Row],[ID]]="","",COUNTIFS(Log[ID],Items[[#This Row],[ID]],Log[Verb],"punt"))</f>
      </c>
      <c r="T961" s="11">
        <f>IF(Items[[#This Row],[State]]&lt;&gt;"DONE","",IFERROR(LOOKUP(2,1/((Log[ID]=Items[[#This Row],[ID]])*(Log[Verb]="done")),Log[Date]),""))</f>
      </c>
      <c r="U961" s="17">
        <f>IF(Items[[#This Row],[ID]]="","",IF(AND(Items[[#This Row],[Sprint]]=CurSprint,OR(Items[[#This Row],[State]]="OPEN",Items[[#This Row],[State]]="WAIT",Items[[#This Row],[State]]="HOLD",Items[[#This Row],[State]]="DONE")),1,0))</f>
      </c>
      <c r="V961" s="17">
        <f>IF(OR(Items[[#This Row],[ID]]="",Items[[#This Row],[Added]]=""),"",AsOf-Items[[#This Row],[Added]])</f>
      </c>
      <c r="W961" s="17">
        <f>IF(Items[[#This Row],[In sprint]]=1,(IF(Items[[#This Row],[Prio]]="",9,N(Items[[#This Row],[Prio]]))*10+(IF(Items[[#This Row],[State]]="DONE",1,0)))*100000+ROW(),"")</f>
      </c>
      <c r="X96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61" s="17">
        <f>IF(AND(Items[[#This Row],[State]]="DONE",N(Items[[#This Row],[Done on]])&gt;AsOf-7),(200000-N(Items[[#This Row],[Done on]]))*100000+ROW(),"")</f>
      </c>
    </row>
    <row r="962">
      <c r="A962" t="s">
        <v>2224</v>
      </c>
      <c r="B962" t="s">
        <v>2225</v>
      </c>
      <c r="C962" t="s">
        <v>1115</v>
      </c>
      <c r="D962" t="s">
        <v>1119</v>
      </c>
      <c r="E962" t="s">
        <v>1134</v>
      </c>
      <c r="F962" t="s">
        <v>1237</v>
      </c>
      <c r="G962">
        <v>3</v>
      </c>
      <c r="H962">
        <v>3</v>
      </c>
      <c r="I962" s="11">
        <v>46273</v>
      </c>
      <c r="J962" s="17">
        <f>IF(Items[[#This Row],[ID]]="","",IFERROR(VALUE(LOOKUP(2,1/((Log[ID]=Items[[#This Row],[ID]])*(Log[Verb]="est")),Log[Arg])),N(Items[[#This Row],[Points]])))</f>
      </c>
      <c r="K962" s="17">
        <f>IF(Items[[#This Row],[ID]]="","",IFERROR(LOOKUP(2,1/((Log[ID]=Items[[#This Row],[ID]])*(Log[Verb]="pass")),Log[Arg])&amp;"",Items[[#This Row],[Team]]&amp;""))</f>
      </c>
      <c r="L962" s="17">
        <f>IF(Items[[#This Row],[ID]]="","",IFERROR(LOOKUP(2,1/((Log[ID]=Items[[#This Row],[ID]])*(Log[Into]&lt;&gt;"")),Log[Into]),""))</f>
      </c>
      <c r="M962" s="17">
        <f>IF(Items[[#This Row],[ID]]="","",IF(IFERROR(LOOKUP(2,1/((Log[ID]=Items[[#This Row],[ID]])*(Log[Blk]&lt;&gt;"")),Log[Blk]),0)=1,"Y",""))</f>
      </c>
      <c r="N962" s="17">
        <f>IF(Items[[#This Row],[ID]]="","",SUBSTITUTE(IFERROR(LOOKUP(2,1/((Log[ID]=Items[[#This Row],[ID]])*(Log[State]&lt;&gt;"")),Log[State]),"TODO"),"OPEN",IF(Items[[#This Row],[Blocked]]="Y","WAIT","OPEN")))</f>
      </c>
      <c r="O96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62" s="17">
        <f>IF(Items[[#This Row],[State]]&lt;&gt;"WAIT","",AsOf-Items[[#This Row],[Blocked since]])</f>
      </c>
      <c r="Q962" s="17">
        <f>IF(Items[[#This Row],[State]]&lt;&gt;"WAIT","",IFERROR(LOOKUP(2,1/((Log[ID]=Items[[#This Row],[ID]])*(Log[Verb]="block")),Log[Note])&amp;"",""))</f>
      </c>
      <c r="R962" s="17">
        <f>IF(Items[[#This Row],[ID]]="","",COUNTIFS(Log[ID],Items[[#This Row],[ID]],Log[Verb],"carry"))</f>
      </c>
      <c r="S962" s="17">
        <f>IF(Items[[#This Row],[ID]]="","",COUNTIFS(Log[ID],Items[[#This Row],[ID]],Log[Verb],"punt"))</f>
      </c>
      <c r="T962" s="11">
        <f>IF(Items[[#This Row],[State]]&lt;&gt;"DONE","",IFERROR(LOOKUP(2,1/((Log[ID]=Items[[#This Row],[ID]])*(Log[Verb]="done")),Log[Date]),""))</f>
      </c>
      <c r="U962" s="17">
        <f>IF(Items[[#This Row],[ID]]="","",IF(AND(Items[[#This Row],[Sprint]]=CurSprint,OR(Items[[#This Row],[State]]="OPEN",Items[[#This Row],[State]]="WAIT",Items[[#This Row],[State]]="HOLD",Items[[#This Row],[State]]="DONE")),1,0))</f>
      </c>
      <c r="V962" s="17">
        <f>IF(OR(Items[[#This Row],[ID]]="",Items[[#This Row],[Added]]=""),"",AsOf-Items[[#This Row],[Added]])</f>
      </c>
      <c r="W962" s="17">
        <f>IF(Items[[#This Row],[In sprint]]=1,(IF(Items[[#This Row],[Prio]]="",9,N(Items[[#This Row],[Prio]]))*10+(IF(Items[[#This Row],[State]]="DONE",1,0)))*100000+ROW(),"")</f>
      </c>
      <c r="X96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62" s="17">
        <f>IF(AND(Items[[#This Row],[State]]="DONE",N(Items[[#This Row],[Done on]])&gt;AsOf-7),(200000-N(Items[[#This Row],[Done on]]))*100000+ROW(),"")</f>
      </c>
    </row>
    <row r="963">
      <c r="A963" t="s">
        <v>2226</v>
      </c>
      <c r="B963" t="s">
        <v>2227</v>
      </c>
      <c r="C963" t="s">
        <v>1107</v>
      </c>
      <c r="D963" t="s">
        <v>1127</v>
      </c>
      <c r="E963" t="s">
        <v>1134</v>
      </c>
      <c r="F963" t="s">
        <v>1387</v>
      </c>
      <c r="G963">
        <v>8</v>
      </c>
      <c r="H963">
        <v>3</v>
      </c>
      <c r="I963" s="11">
        <v>46273</v>
      </c>
      <c r="J963" s="17">
        <f>IF(Items[[#This Row],[ID]]="","",IFERROR(VALUE(LOOKUP(2,1/((Log[ID]=Items[[#This Row],[ID]])*(Log[Verb]="est")),Log[Arg])),N(Items[[#This Row],[Points]])))</f>
      </c>
      <c r="K963" s="17">
        <f>IF(Items[[#This Row],[ID]]="","",IFERROR(LOOKUP(2,1/((Log[ID]=Items[[#This Row],[ID]])*(Log[Verb]="pass")),Log[Arg])&amp;"",Items[[#This Row],[Team]]&amp;""))</f>
      </c>
      <c r="L963" s="17">
        <f>IF(Items[[#This Row],[ID]]="","",IFERROR(LOOKUP(2,1/((Log[ID]=Items[[#This Row],[ID]])*(Log[Into]&lt;&gt;"")),Log[Into]),""))</f>
      </c>
      <c r="M963" s="17">
        <f>IF(Items[[#This Row],[ID]]="","",IF(IFERROR(LOOKUP(2,1/((Log[ID]=Items[[#This Row],[ID]])*(Log[Blk]&lt;&gt;"")),Log[Blk]),0)=1,"Y",""))</f>
      </c>
      <c r="N963" s="17">
        <f>IF(Items[[#This Row],[ID]]="","",SUBSTITUTE(IFERROR(LOOKUP(2,1/((Log[ID]=Items[[#This Row],[ID]])*(Log[State]&lt;&gt;"")),Log[State]),"TODO"),"OPEN",IF(Items[[#This Row],[Blocked]]="Y","WAIT","OPEN")))</f>
      </c>
      <c r="O96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63" s="17">
        <f>IF(Items[[#This Row],[State]]&lt;&gt;"WAIT","",AsOf-Items[[#This Row],[Blocked since]])</f>
      </c>
      <c r="Q963" s="17">
        <f>IF(Items[[#This Row],[State]]&lt;&gt;"WAIT","",IFERROR(LOOKUP(2,1/((Log[ID]=Items[[#This Row],[ID]])*(Log[Verb]="block")),Log[Note])&amp;"",""))</f>
      </c>
      <c r="R963" s="17">
        <f>IF(Items[[#This Row],[ID]]="","",COUNTIFS(Log[ID],Items[[#This Row],[ID]],Log[Verb],"carry"))</f>
      </c>
      <c r="S963" s="17">
        <f>IF(Items[[#This Row],[ID]]="","",COUNTIFS(Log[ID],Items[[#This Row],[ID]],Log[Verb],"punt"))</f>
      </c>
      <c r="T963" s="11">
        <f>IF(Items[[#This Row],[State]]&lt;&gt;"DONE","",IFERROR(LOOKUP(2,1/((Log[ID]=Items[[#This Row],[ID]])*(Log[Verb]="done")),Log[Date]),""))</f>
      </c>
      <c r="U963" s="17">
        <f>IF(Items[[#This Row],[ID]]="","",IF(AND(Items[[#This Row],[Sprint]]=CurSprint,OR(Items[[#This Row],[State]]="OPEN",Items[[#This Row],[State]]="WAIT",Items[[#This Row],[State]]="HOLD",Items[[#This Row],[State]]="DONE")),1,0))</f>
      </c>
      <c r="V963" s="17">
        <f>IF(OR(Items[[#This Row],[ID]]="",Items[[#This Row],[Added]]=""),"",AsOf-Items[[#This Row],[Added]])</f>
      </c>
      <c r="W963" s="17">
        <f>IF(Items[[#This Row],[In sprint]]=1,(IF(Items[[#This Row],[Prio]]="",9,N(Items[[#This Row],[Prio]]))*10+(IF(Items[[#This Row],[State]]="DONE",1,0)))*100000+ROW(),"")</f>
      </c>
      <c r="X96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63" s="17">
        <f>IF(AND(Items[[#This Row],[State]]="DONE",N(Items[[#This Row],[Done on]])&gt;AsOf-7),(200000-N(Items[[#This Row],[Done on]]))*100000+ROW(),"")</f>
      </c>
    </row>
    <row r="964">
      <c r="A964" t="s">
        <v>1077</v>
      </c>
      <c r="B964" t="s">
        <v>2228</v>
      </c>
      <c r="C964" t="s">
        <v>1107</v>
      </c>
      <c r="D964" t="s">
        <v>1123</v>
      </c>
      <c r="E964" t="s">
        <v>1139</v>
      </c>
      <c r="F964" t="s">
        <v>1249</v>
      </c>
      <c r="G964">
        <v>3</v>
      </c>
      <c r="H964">
        <v>2</v>
      </c>
      <c r="I964" s="11">
        <v>46273</v>
      </c>
      <c r="J964" s="17">
        <f>IF(Items[[#This Row],[ID]]="","",IFERROR(VALUE(LOOKUP(2,1/((Log[ID]=Items[[#This Row],[ID]])*(Log[Verb]="est")),Log[Arg])),N(Items[[#This Row],[Points]])))</f>
      </c>
      <c r="K964" s="17">
        <f>IF(Items[[#This Row],[ID]]="","",IFERROR(LOOKUP(2,1/((Log[ID]=Items[[#This Row],[ID]])*(Log[Verb]="pass")),Log[Arg])&amp;"",Items[[#This Row],[Team]]&amp;""))</f>
      </c>
      <c r="L964" s="17">
        <f>IF(Items[[#This Row],[ID]]="","",IFERROR(LOOKUP(2,1/((Log[ID]=Items[[#This Row],[ID]])*(Log[Into]&lt;&gt;"")),Log[Into]),""))</f>
      </c>
      <c r="M964" s="17">
        <f>IF(Items[[#This Row],[ID]]="","",IF(IFERROR(LOOKUP(2,1/((Log[ID]=Items[[#This Row],[ID]])*(Log[Blk]&lt;&gt;"")),Log[Blk]),0)=1,"Y",""))</f>
      </c>
      <c r="N964" s="17">
        <f>IF(Items[[#This Row],[ID]]="","",SUBSTITUTE(IFERROR(LOOKUP(2,1/((Log[ID]=Items[[#This Row],[ID]])*(Log[State]&lt;&gt;"")),Log[State]),"TODO"),"OPEN",IF(Items[[#This Row],[Blocked]]="Y","WAIT","OPEN")))</f>
      </c>
      <c r="O96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64" s="17">
        <f>IF(Items[[#This Row],[State]]&lt;&gt;"WAIT","",AsOf-Items[[#This Row],[Blocked since]])</f>
      </c>
      <c r="Q964" s="17">
        <f>IF(Items[[#This Row],[State]]&lt;&gt;"WAIT","",IFERROR(LOOKUP(2,1/((Log[ID]=Items[[#This Row],[ID]])*(Log[Verb]="block")),Log[Note])&amp;"",""))</f>
      </c>
      <c r="R964" s="17">
        <f>IF(Items[[#This Row],[ID]]="","",COUNTIFS(Log[ID],Items[[#This Row],[ID]],Log[Verb],"carry"))</f>
      </c>
      <c r="S964" s="17">
        <f>IF(Items[[#This Row],[ID]]="","",COUNTIFS(Log[ID],Items[[#This Row],[ID]],Log[Verb],"punt"))</f>
      </c>
      <c r="T964" s="11">
        <f>IF(Items[[#This Row],[State]]&lt;&gt;"DONE","",IFERROR(LOOKUP(2,1/((Log[ID]=Items[[#This Row],[ID]])*(Log[Verb]="done")),Log[Date]),""))</f>
      </c>
      <c r="U964" s="17">
        <f>IF(Items[[#This Row],[ID]]="","",IF(AND(Items[[#This Row],[Sprint]]=CurSprint,OR(Items[[#This Row],[State]]="OPEN",Items[[#This Row],[State]]="WAIT",Items[[#This Row],[State]]="HOLD",Items[[#This Row],[State]]="DONE")),1,0))</f>
      </c>
      <c r="V964" s="17">
        <f>IF(OR(Items[[#This Row],[ID]]="",Items[[#This Row],[Added]]=""),"",AsOf-Items[[#This Row],[Added]])</f>
      </c>
      <c r="W964" s="17">
        <f>IF(Items[[#This Row],[In sprint]]=1,(IF(Items[[#This Row],[Prio]]="",9,N(Items[[#This Row],[Prio]]))*10+(IF(Items[[#This Row],[State]]="DONE",1,0)))*100000+ROW(),"")</f>
      </c>
      <c r="X96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64" s="17">
        <f>IF(AND(Items[[#This Row],[State]]="DONE",N(Items[[#This Row],[Done on]])&gt;AsOf-7),(200000-N(Items[[#This Row],[Done on]]))*100000+ROW(),"")</f>
      </c>
    </row>
    <row r="965">
      <c r="A965" t="s">
        <v>1078</v>
      </c>
      <c r="B965" t="s">
        <v>2229</v>
      </c>
      <c r="C965" t="s">
        <v>1107</v>
      </c>
      <c r="D965" t="s">
        <v>1108</v>
      </c>
      <c r="E965" t="s">
        <v>1139</v>
      </c>
      <c r="F965" t="s">
        <v>1395</v>
      </c>
      <c r="G965">
        <v>3</v>
      </c>
      <c r="H965">
        <v>3</v>
      </c>
      <c r="I965" s="11">
        <v>46273</v>
      </c>
      <c r="J965" s="17">
        <f>IF(Items[[#This Row],[ID]]="","",IFERROR(VALUE(LOOKUP(2,1/((Log[ID]=Items[[#This Row],[ID]])*(Log[Verb]="est")),Log[Arg])),N(Items[[#This Row],[Points]])))</f>
      </c>
      <c r="K965" s="17">
        <f>IF(Items[[#This Row],[ID]]="","",IFERROR(LOOKUP(2,1/((Log[ID]=Items[[#This Row],[ID]])*(Log[Verb]="pass")),Log[Arg])&amp;"",Items[[#This Row],[Team]]&amp;""))</f>
      </c>
      <c r="L965" s="17">
        <f>IF(Items[[#This Row],[ID]]="","",IFERROR(LOOKUP(2,1/((Log[ID]=Items[[#This Row],[ID]])*(Log[Into]&lt;&gt;"")),Log[Into]),""))</f>
      </c>
      <c r="M965" s="17">
        <f>IF(Items[[#This Row],[ID]]="","",IF(IFERROR(LOOKUP(2,1/((Log[ID]=Items[[#This Row],[ID]])*(Log[Blk]&lt;&gt;"")),Log[Blk]),0)=1,"Y",""))</f>
      </c>
      <c r="N965" s="17">
        <f>IF(Items[[#This Row],[ID]]="","",SUBSTITUTE(IFERROR(LOOKUP(2,1/((Log[ID]=Items[[#This Row],[ID]])*(Log[State]&lt;&gt;"")),Log[State]),"TODO"),"OPEN",IF(Items[[#This Row],[Blocked]]="Y","WAIT","OPEN")))</f>
      </c>
      <c r="O96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65" s="17">
        <f>IF(Items[[#This Row],[State]]&lt;&gt;"WAIT","",AsOf-Items[[#This Row],[Blocked since]])</f>
      </c>
      <c r="Q965" s="17">
        <f>IF(Items[[#This Row],[State]]&lt;&gt;"WAIT","",IFERROR(LOOKUP(2,1/((Log[ID]=Items[[#This Row],[ID]])*(Log[Verb]="block")),Log[Note])&amp;"",""))</f>
      </c>
      <c r="R965" s="17">
        <f>IF(Items[[#This Row],[ID]]="","",COUNTIFS(Log[ID],Items[[#This Row],[ID]],Log[Verb],"carry"))</f>
      </c>
      <c r="S965" s="17">
        <f>IF(Items[[#This Row],[ID]]="","",COUNTIFS(Log[ID],Items[[#This Row],[ID]],Log[Verb],"punt"))</f>
      </c>
      <c r="T965" s="11">
        <f>IF(Items[[#This Row],[State]]&lt;&gt;"DONE","",IFERROR(LOOKUP(2,1/((Log[ID]=Items[[#This Row],[ID]])*(Log[Verb]="done")),Log[Date]),""))</f>
      </c>
      <c r="U965" s="17">
        <f>IF(Items[[#This Row],[ID]]="","",IF(AND(Items[[#This Row],[Sprint]]=CurSprint,OR(Items[[#This Row],[State]]="OPEN",Items[[#This Row],[State]]="WAIT",Items[[#This Row],[State]]="HOLD",Items[[#This Row],[State]]="DONE")),1,0))</f>
      </c>
      <c r="V965" s="17">
        <f>IF(OR(Items[[#This Row],[ID]]="",Items[[#This Row],[Added]]=""),"",AsOf-Items[[#This Row],[Added]])</f>
      </c>
      <c r="W965" s="17">
        <f>IF(Items[[#This Row],[In sprint]]=1,(IF(Items[[#This Row],[Prio]]="",9,N(Items[[#This Row],[Prio]]))*10+(IF(Items[[#This Row],[State]]="DONE",1,0)))*100000+ROW(),"")</f>
      </c>
      <c r="X96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65" s="17">
        <f>IF(AND(Items[[#This Row],[State]]="DONE",N(Items[[#This Row],[Done on]])&gt;AsOf-7),(200000-N(Items[[#This Row],[Done on]]))*100000+ROW(),"")</f>
      </c>
    </row>
    <row r="966">
      <c r="A966" t="s">
        <v>1079</v>
      </c>
      <c r="B966" t="s">
        <v>2230</v>
      </c>
      <c r="C966" t="s">
        <v>1107</v>
      </c>
      <c r="D966" t="s">
        <v>1108</v>
      </c>
      <c r="E966" t="s">
        <v>1139</v>
      </c>
      <c r="F966" t="s">
        <v>1251</v>
      </c>
      <c r="G966">
        <v>3</v>
      </c>
      <c r="H966">
        <v>1</v>
      </c>
      <c r="I966" s="11">
        <v>46273</v>
      </c>
      <c r="J966" s="17">
        <f>IF(Items[[#This Row],[ID]]="","",IFERROR(VALUE(LOOKUP(2,1/((Log[ID]=Items[[#This Row],[ID]])*(Log[Verb]="est")),Log[Arg])),N(Items[[#This Row],[Points]])))</f>
      </c>
      <c r="K966" s="17">
        <f>IF(Items[[#This Row],[ID]]="","",IFERROR(LOOKUP(2,1/((Log[ID]=Items[[#This Row],[ID]])*(Log[Verb]="pass")),Log[Arg])&amp;"",Items[[#This Row],[Team]]&amp;""))</f>
      </c>
      <c r="L966" s="17">
        <f>IF(Items[[#This Row],[ID]]="","",IFERROR(LOOKUP(2,1/((Log[ID]=Items[[#This Row],[ID]])*(Log[Into]&lt;&gt;"")),Log[Into]),""))</f>
      </c>
      <c r="M966" s="17">
        <f>IF(Items[[#This Row],[ID]]="","",IF(IFERROR(LOOKUP(2,1/((Log[ID]=Items[[#This Row],[ID]])*(Log[Blk]&lt;&gt;"")),Log[Blk]),0)=1,"Y",""))</f>
      </c>
      <c r="N966" s="17">
        <f>IF(Items[[#This Row],[ID]]="","",SUBSTITUTE(IFERROR(LOOKUP(2,1/((Log[ID]=Items[[#This Row],[ID]])*(Log[State]&lt;&gt;"")),Log[State]),"TODO"),"OPEN",IF(Items[[#This Row],[Blocked]]="Y","WAIT","OPEN")))</f>
      </c>
      <c r="O96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66" s="17">
        <f>IF(Items[[#This Row],[State]]&lt;&gt;"WAIT","",AsOf-Items[[#This Row],[Blocked since]])</f>
      </c>
      <c r="Q966" s="17">
        <f>IF(Items[[#This Row],[State]]&lt;&gt;"WAIT","",IFERROR(LOOKUP(2,1/((Log[ID]=Items[[#This Row],[ID]])*(Log[Verb]="block")),Log[Note])&amp;"",""))</f>
      </c>
      <c r="R966" s="17">
        <f>IF(Items[[#This Row],[ID]]="","",COUNTIFS(Log[ID],Items[[#This Row],[ID]],Log[Verb],"carry"))</f>
      </c>
      <c r="S966" s="17">
        <f>IF(Items[[#This Row],[ID]]="","",COUNTIFS(Log[ID],Items[[#This Row],[ID]],Log[Verb],"punt"))</f>
      </c>
      <c r="T966" s="11">
        <f>IF(Items[[#This Row],[State]]&lt;&gt;"DONE","",IFERROR(LOOKUP(2,1/((Log[ID]=Items[[#This Row],[ID]])*(Log[Verb]="done")),Log[Date]),""))</f>
      </c>
      <c r="U966" s="17">
        <f>IF(Items[[#This Row],[ID]]="","",IF(AND(Items[[#This Row],[Sprint]]=CurSprint,OR(Items[[#This Row],[State]]="OPEN",Items[[#This Row],[State]]="WAIT",Items[[#This Row],[State]]="HOLD",Items[[#This Row],[State]]="DONE")),1,0))</f>
      </c>
      <c r="V966" s="17">
        <f>IF(OR(Items[[#This Row],[ID]]="",Items[[#This Row],[Added]]=""),"",AsOf-Items[[#This Row],[Added]])</f>
      </c>
      <c r="W966" s="17">
        <f>IF(Items[[#This Row],[In sprint]]=1,(IF(Items[[#This Row],[Prio]]="",9,N(Items[[#This Row],[Prio]]))*10+(IF(Items[[#This Row],[State]]="DONE",1,0)))*100000+ROW(),"")</f>
      </c>
      <c r="X96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66" s="17">
        <f>IF(AND(Items[[#This Row],[State]]="DONE",N(Items[[#This Row],[Done on]])&gt;AsOf-7),(200000-N(Items[[#This Row],[Done on]]))*100000+ROW(),"")</f>
      </c>
    </row>
    <row r="967">
      <c r="A967" t="s">
        <v>2231</v>
      </c>
      <c r="B967" t="s">
        <v>2232</v>
      </c>
      <c r="C967" t="s">
        <v>1107</v>
      </c>
      <c r="D967" t="s">
        <v>1127</v>
      </c>
      <c r="E967" t="s">
        <v>1139</v>
      </c>
      <c r="F967" t="s">
        <v>1323</v>
      </c>
      <c r="G967">
        <v>5</v>
      </c>
      <c r="H967">
        <v>1</v>
      </c>
      <c r="I967" s="11">
        <v>46273</v>
      </c>
      <c r="J967" s="17">
        <f>IF(Items[[#This Row],[ID]]="","",IFERROR(VALUE(LOOKUP(2,1/((Log[ID]=Items[[#This Row],[ID]])*(Log[Verb]="est")),Log[Arg])),N(Items[[#This Row],[Points]])))</f>
      </c>
      <c r="K967" s="17">
        <f>IF(Items[[#This Row],[ID]]="","",IFERROR(LOOKUP(2,1/((Log[ID]=Items[[#This Row],[ID]])*(Log[Verb]="pass")),Log[Arg])&amp;"",Items[[#This Row],[Team]]&amp;""))</f>
      </c>
      <c r="L967" s="17">
        <f>IF(Items[[#This Row],[ID]]="","",IFERROR(LOOKUP(2,1/((Log[ID]=Items[[#This Row],[ID]])*(Log[Into]&lt;&gt;"")),Log[Into]),""))</f>
      </c>
      <c r="M967" s="17">
        <f>IF(Items[[#This Row],[ID]]="","",IF(IFERROR(LOOKUP(2,1/((Log[ID]=Items[[#This Row],[ID]])*(Log[Blk]&lt;&gt;"")),Log[Blk]),0)=1,"Y",""))</f>
      </c>
      <c r="N967" s="17">
        <f>IF(Items[[#This Row],[ID]]="","",SUBSTITUTE(IFERROR(LOOKUP(2,1/((Log[ID]=Items[[#This Row],[ID]])*(Log[State]&lt;&gt;"")),Log[State]),"TODO"),"OPEN",IF(Items[[#This Row],[Blocked]]="Y","WAIT","OPEN")))</f>
      </c>
      <c r="O96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67" s="17">
        <f>IF(Items[[#This Row],[State]]&lt;&gt;"WAIT","",AsOf-Items[[#This Row],[Blocked since]])</f>
      </c>
      <c r="Q967" s="17">
        <f>IF(Items[[#This Row],[State]]&lt;&gt;"WAIT","",IFERROR(LOOKUP(2,1/((Log[ID]=Items[[#This Row],[ID]])*(Log[Verb]="block")),Log[Note])&amp;"",""))</f>
      </c>
      <c r="R967" s="17">
        <f>IF(Items[[#This Row],[ID]]="","",COUNTIFS(Log[ID],Items[[#This Row],[ID]],Log[Verb],"carry"))</f>
      </c>
      <c r="S967" s="17">
        <f>IF(Items[[#This Row],[ID]]="","",COUNTIFS(Log[ID],Items[[#This Row],[ID]],Log[Verb],"punt"))</f>
      </c>
      <c r="T967" s="11">
        <f>IF(Items[[#This Row],[State]]&lt;&gt;"DONE","",IFERROR(LOOKUP(2,1/((Log[ID]=Items[[#This Row],[ID]])*(Log[Verb]="done")),Log[Date]),""))</f>
      </c>
      <c r="U967" s="17">
        <f>IF(Items[[#This Row],[ID]]="","",IF(AND(Items[[#This Row],[Sprint]]=CurSprint,OR(Items[[#This Row],[State]]="OPEN",Items[[#This Row],[State]]="WAIT",Items[[#This Row],[State]]="HOLD",Items[[#This Row],[State]]="DONE")),1,0))</f>
      </c>
      <c r="V967" s="17">
        <f>IF(OR(Items[[#This Row],[ID]]="",Items[[#This Row],[Added]]=""),"",AsOf-Items[[#This Row],[Added]])</f>
      </c>
      <c r="W967" s="17">
        <f>IF(Items[[#This Row],[In sprint]]=1,(IF(Items[[#This Row],[Prio]]="",9,N(Items[[#This Row],[Prio]]))*10+(IF(Items[[#This Row],[State]]="DONE",1,0)))*100000+ROW(),"")</f>
      </c>
      <c r="X96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67" s="17">
        <f>IF(AND(Items[[#This Row],[State]]="DONE",N(Items[[#This Row],[Done on]])&gt;AsOf-7),(200000-N(Items[[#This Row],[Done on]]))*100000+ROW(),"")</f>
      </c>
    </row>
    <row r="968">
      <c r="A968" t="s">
        <v>2233</v>
      </c>
      <c r="B968" t="s">
        <v>2234</v>
      </c>
      <c r="C968" t="s">
        <v>1107</v>
      </c>
      <c r="D968" t="s">
        <v>1123</v>
      </c>
      <c r="E968" t="s">
        <v>1139</v>
      </c>
      <c r="F968" t="s">
        <v>1247</v>
      </c>
      <c r="G968">
        <v>5</v>
      </c>
      <c r="H968">
        <v>1</v>
      </c>
      <c r="I968" s="11">
        <v>46273</v>
      </c>
      <c r="J968" s="17">
        <f>IF(Items[[#This Row],[ID]]="","",IFERROR(VALUE(LOOKUP(2,1/((Log[ID]=Items[[#This Row],[ID]])*(Log[Verb]="est")),Log[Arg])),N(Items[[#This Row],[Points]])))</f>
      </c>
      <c r="K968" s="17">
        <f>IF(Items[[#This Row],[ID]]="","",IFERROR(LOOKUP(2,1/((Log[ID]=Items[[#This Row],[ID]])*(Log[Verb]="pass")),Log[Arg])&amp;"",Items[[#This Row],[Team]]&amp;""))</f>
      </c>
      <c r="L968" s="17">
        <f>IF(Items[[#This Row],[ID]]="","",IFERROR(LOOKUP(2,1/((Log[ID]=Items[[#This Row],[ID]])*(Log[Into]&lt;&gt;"")),Log[Into]),""))</f>
      </c>
      <c r="M968" s="17">
        <f>IF(Items[[#This Row],[ID]]="","",IF(IFERROR(LOOKUP(2,1/((Log[ID]=Items[[#This Row],[ID]])*(Log[Blk]&lt;&gt;"")),Log[Blk]),0)=1,"Y",""))</f>
      </c>
      <c r="N968" s="17">
        <f>IF(Items[[#This Row],[ID]]="","",SUBSTITUTE(IFERROR(LOOKUP(2,1/((Log[ID]=Items[[#This Row],[ID]])*(Log[State]&lt;&gt;"")),Log[State]),"TODO"),"OPEN",IF(Items[[#This Row],[Blocked]]="Y","WAIT","OPEN")))</f>
      </c>
      <c r="O96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68" s="17">
        <f>IF(Items[[#This Row],[State]]&lt;&gt;"WAIT","",AsOf-Items[[#This Row],[Blocked since]])</f>
      </c>
      <c r="Q968" s="17">
        <f>IF(Items[[#This Row],[State]]&lt;&gt;"WAIT","",IFERROR(LOOKUP(2,1/((Log[ID]=Items[[#This Row],[ID]])*(Log[Verb]="block")),Log[Note])&amp;"",""))</f>
      </c>
      <c r="R968" s="17">
        <f>IF(Items[[#This Row],[ID]]="","",COUNTIFS(Log[ID],Items[[#This Row],[ID]],Log[Verb],"carry"))</f>
      </c>
      <c r="S968" s="17">
        <f>IF(Items[[#This Row],[ID]]="","",COUNTIFS(Log[ID],Items[[#This Row],[ID]],Log[Verb],"punt"))</f>
      </c>
      <c r="T968" s="11">
        <f>IF(Items[[#This Row],[State]]&lt;&gt;"DONE","",IFERROR(LOOKUP(2,1/((Log[ID]=Items[[#This Row],[ID]])*(Log[Verb]="done")),Log[Date]),""))</f>
      </c>
      <c r="U968" s="17">
        <f>IF(Items[[#This Row],[ID]]="","",IF(AND(Items[[#This Row],[Sprint]]=CurSprint,OR(Items[[#This Row],[State]]="OPEN",Items[[#This Row],[State]]="WAIT",Items[[#This Row],[State]]="HOLD",Items[[#This Row],[State]]="DONE")),1,0))</f>
      </c>
      <c r="V968" s="17">
        <f>IF(OR(Items[[#This Row],[ID]]="",Items[[#This Row],[Added]]=""),"",AsOf-Items[[#This Row],[Added]])</f>
      </c>
      <c r="W968" s="17">
        <f>IF(Items[[#This Row],[In sprint]]=1,(IF(Items[[#This Row],[Prio]]="",9,N(Items[[#This Row],[Prio]]))*10+(IF(Items[[#This Row],[State]]="DONE",1,0)))*100000+ROW(),"")</f>
      </c>
      <c r="X96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68" s="17">
        <f>IF(AND(Items[[#This Row],[State]]="DONE",N(Items[[#This Row],[Done on]])&gt;AsOf-7),(200000-N(Items[[#This Row],[Done on]]))*100000+ROW(),"")</f>
      </c>
    </row>
    <row r="969">
      <c r="A969" t="s">
        <v>1080</v>
      </c>
      <c r="B969" t="s">
        <v>2235</v>
      </c>
      <c r="C969" t="s">
        <v>1115</v>
      </c>
      <c r="D969" t="s">
        <v>1116</v>
      </c>
      <c r="E969" t="s">
        <v>1139</v>
      </c>
      <c r="F969" t="s">
        <v>1323</v>
      </c>
      <c r="G969">
        <v>2</v>
      </c>
      <c r="H969">
        <v>2</v>
      </c>
      <c r="I969" s="11">
        <v>46273</v>
      </c>
      <c r="J969" s="17">
        <f>IF(Items[[#This Row],[ID]]="","",IFERROR(VALUE(LOOKUP(2,1/((Log[ID]=Items[[#This Row],[ID]])*(Log[Verb]="est")),Log[Arg])),N(Items[[#This Row],[Points]])))</f>
      </c>
      <c r="K969" s="17">
        <f>IF(Items[[#This Row],[ID]]="","",IFERROR(LOOKUP(2,1/((Log[ID]=Items[[#This Row],[ID]])*(Log[Verb]="pass")),Log[Arg])&amp;"",Items[[#This Row],[Team]]&amp;""))</f>
      </c>
      <c r="L969" s="17">
        <f>IF(Items[[#This Row],[ID]]="","",IFERROR(LOOKUP(2,1/((Log[ID]=Items[[#This Row],[ID]])*(Log[Into]&lt;&gt;"")),Log[Into]),""))</f>
      </c>
      <c r="M969" s="17">
        <f>IF(Items[[#This Row],[ID]]="","",IF(IFERROR(LOOKUP(2,1/((Log[ID]=Items[[#This Row],[ID]])*(Log[Blk]&lt;&gt;"")),Log[Blk]),0)=1,"Y",""))</f>
      </c>
      <c r="N969" s="17">
        <f>IF(Items[[#This Row],[ID]]="","",SUBSTITUTE(IFERROR(LOOKUP(2,1/((Log[ID]=Items[[#This Row],[ID]])*(Log[State]&lt;&gt;"")),Log[State]),"TODO"),"OPEN",IF(Items[[#This Row],[Blocked]]="Y","WAIT","OPEN")))</f>
      </c>
      <c r="O96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69" s="17">
        <f>IF(Items[[#This Row],[State]]&lt;&gt;"WAIT","",AsOf-Items[[#This Row],[Blocked since]])</f>
      </c>
      <c r="Q969" s="17">
        <f>IF(Items[[#This Row],[State]]&lt;&gt;"WAIT","",IFERROR(LOOKUP(2,1/((Log[ID]=Items[[#This Row],[ID]])*(Log[Verb]="block")),Log[Note])&amp;"",""))</f>
      </c>
      <c r="R969" s="17">
        <f>IF(Items[[#This Row],[ID]]="","",COUNTIFS(Log[ID],Items[[#This Row],[ID]],Log[Verb],"carry"))</f>
      </c>
      <c r="S969" s="17">
        <f>IF(Items[[#This Row],[ID]]="","",COUNTIFS(Log[ID],Items[[#This Row],[ID]],Log[Verb],"punt"))</f>
      </c>
      <c r="T969" s="11">
        <f>IF(Items[[#This Row],[State]]&lt;&gt;"DONE","",IFERROR(LOOKUP(2,1/((Log[ID]=Items[[#This Row],[ID]])*(Log[Verb]="done")),Log[Date]),""))</f>
      </c>
      <c r="U969" s="17">
        <f>IF(Items[[#This Row],[ID]]="","",IF(AND(Items[[#This Row],[Sprint]]=CurSprint,OR(Items[[#This Row],[State]]="OPEN",Items[[#This Row],[State]]="WAIT",Items[[#This Row],[State]]="HOLD",Items[[#This Row],[State]]="DONE")),1,0))</f>
      </c>
      <c r="V969" s="17">
        <f>IF(OR(Items[[#This Row],[ID]]="",Items[[#This Row],[Added]]=""),"",AsOf-Items[[#This Row],[Added]])</f>
      </c>
      <c r="W969" s="17">
        <f>IF(Items[[#This Row],[In sprint]]=1,(IF(Items[[#This Row],[Prio]]="",9,N(Items[[#This Row],[Prio]]))*10+(IF(Items[[#This Row],[State]]="DONE",1,0)))*100000+ROW(),"")</f>
      </c>
      <c r="X96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69" s="17">
        <f>IF(AND(Items[[#This Row],[State]]="DONE",N(Items[[#This Row],[Done on]])&gt;AsOf-7),(200000-N(Items[[#This Row],[Done on]]))*100000+ROW(),"")</f>
      </c>
    </row>
    <row r="970">
      <c r="A970" t="s">
        <v>2236</v>
      </c>
      <c r="B970" t="s">
        <v>2237</v>
      </c>
      <c r="C970" t="s">
        <v>1107</v>
      </c>
      <c r="D970" t="s">
        <v>1108</v>
      </c>
      <c r="E970" t="s">
        <v>1139</v>
      </c>
      <c r="F970" t="s">
        <v>1323</v>
      </c>
      <c r="G970">
        <v>3</v>
      </c>
      <c r="H970">
        <v>3</v>
      </c>
      <c r="I970" s="11">
        <v>46273</v>
      </c>
      <c r="J970" s="17">
        <f>IF(Items[[#This Row],[ID]]="","",IFERROR(VALUE(LOOKUP(2,1/((Log[ID]=Items[[#This Row],[ID]])*(Log[Verb]="est")),Log[Arg])),N(Items[[#This Row],[Points]])))</f>
      </c>
      <c r="K970" s="17">
        <f>IF(Items[[#This Row],[ID]]="","",IFERROR(LOOKUP(2,1/((Log[ID]=Items[[#This Row],[ID]])*(Log[Verb]="pass")),Log[Arg])&amp;"",Items[[#This Row],[Team]]&amp;""))</f>
      </c>
      <c r="L970" s="17">
        <f>IF(Items[[#This Row],[ID]]="","",IFERROR(LOOKUP(2,1/((Log[ID]=Items[[#This Row],[ID]])*(Log[Into]&lt;&gt;"")),Log[Into]),""))</f>
      </c>
      <c r="M970" s="17">
        <f>IF(Items[[#This Row],[ID]]="","",IF(IFERROR(LOOKUP(2,1/((Log[ID]=Items[[#This Row],[ID]])*(Log[Blk]&lt;&gt;"")),Log[Blk]),0)=1,"Y",""))</f>
      </c>
      <c r="N970" s="17">
        <f>IF(Items[[#This Row],[ID]]="","",SUBSTITUTE(IFERROR(LOOKUP(2,1/((Log[ID]=Items[[#This Row],[ID]])*(Log[State]&lt;&gt;"")),Log[State]),"TODO"),"OPEN",IF(Items[[#This Row],[Blocked]]="Y","WAIT","OPEN")))</f>
      </c>
      <c r="O97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70" s="17">
        <f>IF(Items[[#This Row],[State]]&lt;&gt;"WAIT","",AsOf-Items[[#This Row],[Blocked since]])</f>
      </c>
      <c r="Q970" s="17">
        <f>IF(Items[[#This Row],[State]]&lt;&gt;"WAIT","",IFERROR(LOOKUP(2,1/((Log[ID]=Items[[#This Row],[ID]])*(Log[Verb]="block")),Log[Note])&amp;"",""))</f>
      </c>
      <c r="R970" s="17">
        <f>IF(Items[[#This Row],[ID]]="","",COUNTIFS(Log[ID],Items[[#This Row],[ID]],Log[Verb],"carry"))</f>
      </c>
      <c r="S970" s="17">
        <f>IF(Items[[#This Row],[ID]]="","",COUNTIFS(Log[ID],Items[[#This Row],[ID]],Log[Verb],"punt"))</f>
      </c>
      <c r="T970" s="11">
        <f>IF(Items[[#This Row],[State]]&lt;&gt;"DONE","",IFERROR(LOOKUP(2,1/((Log[ID]=Items[[#This Row],[ID]])*(Log[Verb]="done")),Log[Date]),""))</f>
      </c>
      <c r="U970" s="17">
        <f>IF(Items[[#This Row],[ID]]="","",IF(AND(Items[[#This Row],[Sprint]]=CurSprint,OR(Items[[#This Row],[State]]="OPEN",Items[[#This Row],[State]]="WAIT",Items[[#This Row],[State]]="HOLD",Items[[#This Row],[State]]="DONE")),1,0))</f>
      </c>
      <c r="V970" s="17">
        <f>IF(OR(Items[[#This Row],[ID]]="",Items[[#This Row],[Added]]=""),"",AsOf-Items[[#This Row],[Added]])</f>
      </c>
      <c r="W970" s="17">
        <f>IF(Items[[#This Row],[In sprint]]=1,(IF(Items[[#This Row],[Prio]]="",9,N(Items[[#This Row],[Prio]]))*10+(IF(Items[[#This Row],[State]]="DONE",1,0)))*100000+ROW(),"")</f>
      </c>
      <c r="X97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70" s="17">
        <f>IF(AND(Items[[#This Row],[State]]="DONE",N(Items[[#This Row],[Done on]])&gt;AsOf-7),(200000-N(Items[[#This Row],[Done on]]))*100000+ROW(),"")</f>
      </c>
    </row>
    <row r="971">
      <c r="A971" t="s">
        <v>2238</v>
      </c>
      <c r="B971" t="s">
        <v>2239</v>
      </c>
      <c r="C971" t="s">
        <v>1115</v>
      </c>
      <c r="D971" t="s">
        <v>1116</v>
      </c>
      <c r="E971" t="s">
        <v>1139</v>
      </c>
      <c r="F971" t="s">
        <v>1319</v>
      </c>
      <c r="G971">
        <v>8</v>
      </c>
      <c r="H971">
        <v>3</v>
      </c>
      <c r="I971" s="11">
        <v>46273</v>
      </c>
      <c r="J971" s="17">
        <f>IF(Items[[#This Row],[ID]]="","",IFERROR(VALUE(LOOKUP(2,1/((Log[ID]=Items[[#This Row],[ID]])*(Log[Verb]="est")),Log[Arg])),N(Items[[#This Row],[Points]])))</f>
      </c>
      <c r="K971" s="17">
        <f>IF(Items[[#This Row],[ID]]="","",IFERROR(LOOKUP(2,1/((Log[ID]=Items[[#This Row],[ID]])*(Log[Verb]="pass")),Log[Arg])&amp;"",Items[[#This Row],[Team]]&amp;""))</f>
      </c>
      <c r="L971" s="17">
        <f>IF(Items[[#This Row],[ID]]="","",IFERROR(LOOKUP(2,1/((Log[ID]=Items[[#This Row],[ID]])*(Log[Into]&lt;&gt;"")),Log[Into]),""))</f>
      </c>
      <c r="M971" s="17">
        <f>IF(Items[[#This Row],[ID]]="","",IF(IFERROR(LOOKUP(2,1/((Log[ID]=Items[[#This Row],[ID]])*(Log[Blk]&lt;&gt;"")),Log[Blk]),0)=1,"Y",""))</f>
      </c>
      <c r="N971" s="17">
        <f>IF(Items[[#This Row],[ID]]="","",SUBSTITUTE(IFERROR(LOOKUP(2,1/((Log[ID]=Items[[#This Row],[ID]])*(Log[State]&lt;&gt;"")),Log[State]),"TODO"),"OPEN",IF(Items[[#This Row],[Blocked]]="Y","WAIT","OPEN")))</f>
      </c>
      <c r="O97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71" s="17">
        <f>IF(Items[[#This Row],[State]]&lt;&gt;"WAIT","",AsOf-Items[[#This Row],[Blocked since]])</f>
      </c>
      <c r="Q971" s="17">
        <f>IF(Items[[#This Row],[State]]&lt;&gt;"WAIT","",IFERROR(LOOKUP(2,1/((Log[ID]=Items[[#This Row],[ID]])*(Log[Verb]="block")),Log[Note])&amp;"",""))</f>
      </c>
      <c r="R971" s="17">
        <f>IF(Items[[#This Row],[ID]]="","",COUNTIFS(Log[ID],Items[[#This Row],[ID]],Log[Verb],"carry"))</f>
      </c>
      <c r="S971" s="17">
        <f>IF(Items[[#This Row],[ID]]="","",COUNTIFS(Log[ID],Items[[#This Row],[ID]],Log[Verb],"punt"))</f>
      </c>
      <c r="T971" s="11">
        <f>IF(Items[[#This Row],[State]]&lt;&gt;"DONE","",IFERROR(LOOKUP(2,1/((Log[ID]=Items[[#This Row],[ID]])*(Log[Verb]="done")),Log[Date]),""))</f>
      </c>
      <c r="U971" s="17">
        <f>IF(Items[[#This Row],[ID]]="","",IF(AND(Items[[#This Row],[Sprint]]=CurSprint,OR(Items[[#This Row],[State]]="OPEN",Items[[#This Row],[State]]="WAIT",Items[[#This Row],[State]]="HOLD",Items[[#This Row],[State]]="DONE")),1,0))</f>
      </c>
      <c r="V971" s="17">
        <f>IF(OR(Items[[#This Row],[ID]]="",Items[[#This Row],[Added]]=""),"",AsOf-Items[[#This Row],[Added]])</f>
      </c>
      <c r="W971" s="17">
        <f>IF(Items[[#This Row],[In sprint]]=1,(IF(Items[[#This Row],[Prio]]="",9,N(Items[[#This Row],[Prio]]))*10+(IF(Items[[#This Row],[State]]="DONE",1,0)))*100000+ROW(),"")</f>
      </c>
      <c r="X97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71" s="17">
        <f>IF(AND(Items[[#This Row],[State]]="DONE",N(Items[[#This Row],[Done on]])&gt;AsOf-7),(200000-N(Items[[#This Row],[Done on]]))*100000+ROW(),"")</f>
      </c>
    </row>
    <row r="972">
      <c r="A972" t="s">
        <v>1088</v>
      </c>
      <c r="B972" t="s">
        <v>2240</v>
      </c>
      <c r="C972" t="s">
        <v>1107</v>
      </c>
      <c r="D972" t="s">
        <v>1127</v>
      </c>
      <c r="E972" t="s">
        <v>1177</v>
      </c>
      <c r="F972" t="s">
        <v>1180</v>
      </c>
      <c r="G972">
        <v>5</v>
      </c>
      <c r="H972">
        <v>2</v>
      </c>
      <c r="I972" s="11">
        <v>46273</v>
      </c>
      <c r="J972" s="17">
        <f>IF(Items[[#This Row],[ID]]="","",IFERROR(VALUE(LOOKUP(2,1/((Log[ID]=Items[[#This Row],[ID]])*(Log[Verb]="est")),Log[Arg])),N(Items[[#This Row],[Points]])))</f>
      </c>
      <c r="K972" s="17">
        <f>IF(Items[[#This Row],[ID]]="","",IFERROR(LOOKUP(2,1/((Log[ID]=Items[[#This Row],[ID]])*(Log[Verb]="pass")),Log[Arg])&amp;"",Items[[#This Row],[Team]]&amp;""))</f>
      </c>
      <c r="L972" s="17">
        <f>IF(Items[[#This Row],[ID]]="","",IFERROR(LOOKUP(2,1/((Log[ID]=Items[[#This Row],[ID]])*(Log[Into]&lt;&gt;"")),Log[Into]),""))</f>
      </c>
      <c r="M972" s="17">
        <f>IF(Items[[#This Row],[ID]]="","",IF(IFERROR(LOOKUP(2,1/((Log[ID]=Items[[#This Row],[ID]])*(Log[Blk]&lt;&gt;"")),Log[Blk]),0)=1,"Y",""))</f>
      </c>
      <c r="N972" s="17">
        <f>IF(Items[[#This Row],[ID]]="","",SUBSTITUTE(IFERROR(LOOKUP(2,1/((Log[ID]=Items[[#This Row],[ID]])*(Log[State]&lt;&gt;"")),Log[State]),"TODO"),"OPEN",IF(Items[[#This Row],[Blocked]]="Y","WAIT","OPEN")))</f>
      </c>
      <c r="O97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72" s="17">
        <f>IF(Items[[#This Row],[State]]&lt;&gt;"WAIT","",AsOf-Items[[#This Row],[Blocked since]])</f>
      </c>
      <c r="Q972" s="17">
        <f>IF(Items[[#This Row],[State]]&lt;&gt;"WAIT","",IFERROR(LOOKUP(2,1/((Log[ID]=Items[[#This Row],[ID]])*(Log[Verb]="block")),Log[Note])&amp;"",""))</f>
      </c>
      <c r="R972" s="17">
        <f>IF(Items[[#This Row],[ID]]="","",COUNTIFS(Log[ID],Items[[#This Row],[ID]],Log[Verb],"carry"))</f>
      </c>
      <c r="S972" s="17">
        <f>IF(Items[[#This Row],[ID]]="","",COUNTIFS(Log[ID],Items[[#This Row],[ID]],Log[Verb],"punt"))</f>
      </c>
      <c r="T972" s="11">
        <f>IF(Items[[#This Row],[State]]&lt;&gt;"DONE","",IFERROR(LOOKUP(2,1/((Log[ID]=Items[[#This Row],[ID]])*(Log[Verb]="done")),Log[Date]),""))</f>
      </c>
      <c r="U972" s="17">
        <f>IF(Items[[#This Row],[ID]]="","",IF(AND(Items[[#This Row],[Sprint]]=CurSprint,OR(Items[[#This Row],[State]]="OPEN",Items[[#This Row],[State]]="WAIT",Items[[#This Row],[State]]="HOLD",Items[[#This Row],[State]]="DONE")),1,0))</f>
      </c>
      <c r="V972" s="17">
        <f>IF(OR(Items[[#This Row],[ID]]="",Items[[#This Row],[Added]]=""),"",AsOf-Items[[#This Row],[Added]])</f>
      </c>
      <c r="W972" s="17">
        <f>IF(Items[[#This Row],[In sprint]]=1,(IF(Items[[#This Row],[Prio]]="",9,N(Items[[#This Row],[Prio]]))*10+(IF(Items[[#This Row],[State]]="DONE",1,0)))*100000+ROW(),"")</f>
      </c>
      <c r="X97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72" s="17">
        <f>IF(AND(Items[[#This Row],[State]]="DONE",N(Items[[#This Row],[Done on]])&gt;AsOf-7),(200000-N(Items[[#This Row],[Done on]]))*100000+ROW(),"")</f>
      </c>
    </row>
    <row r="973">
      <c r="A973" t="s">
        <v>1089</v>
      </c>
      <c r="B973" t="s">
        <v>2241</v>
      </c>
      <c r="C973" t="s">
        <v>1107</v>
      </c>
      <c r="D973" t="s">
        <v>1123</v>
      </c>
      <c r="E973" t="s">
        <v>1177</v>
      </c>
      <c r="F973" t="s">
        <v>1261</v>
      </c>
      <c r="G973">
        <v>2</v>
      </c>
      <c r="H973">
        <v>1</v>
      </c>
      <c r="I973" s="11">
        <v>46273</v>
      </c>
      <c r="J973" s="17">
        <f>IF(Items[[#This Row],[ID]]="","",IFERROR(VALUE(LOOKUP(2,1/((Log[ID]=Items[[#This Row],[ID]])*(Log[Verb]="est")),Log[Arg])),N(Items[[#This Row],[Points]])))</f>
      </c>
      <c r="K973" s="17">
        <f>IF(Items[[#This Row],[ID]]="","",IFERROR(LOOKUP(2,1/((Log[ID]=Items[[#This Row],[ID]])*(Log[Verb]="pass")),Log[Arg])&amp;"",Items[[#This Row],[Team]]&amp;""))</f>
      </c>
      <c r="L973" s="17">
        <f>IF(Items[[#This Row],[ID]]="","",IFERROR(LOOKUP(2,1/((Log[ID]=Items[[#This Row],[ID]])*(Log[Into]&lt;&gt;"")),Log[Into]),""))</f>
      </c>
      <c r="M973" s="17">
        <f>IF(Items[[#This Row],[ID]]="","",IF(IFERROR(LOOKUP(2,1/((Log[ID]=Items[[#This Row],[ID]])*(Log[Blk]&lt;&gt;"")),Log[Blk]),0)=1,"Y",""))</f>
      </c>
      <c r="N973" s="17">
        <f>IF(Items[[#This Row],[ID]]="","",SUBSTITUTE(IFERROR(LOOKUP(2,1/((Log[ID]=Items[[#This Row],[ID]])*(Log[State]&lt;&gt;"")),Log[State]),"TODO"),"OPEN",IF(Items[[#This Row],[Blocked]]="Y","WAIT","OPEN")))</f>
      </c>
      <c r="O97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73" s="17">
        <f>IF(Items[[#This Row],[State]]&lt;&gt;"WAIT","",AsOf-Items[[#This Row],[Blocked since]])</f>
      </c>
      <c r="Q973" s="17">
        <f>IF(Items[[#This Row],[State]]&lt;&gt;"WAIT","",IFERROR(LOOKUP(2,1/((Log[ID]=Items[[#This Row],[ID]])*(Log[Verb]="block")),Log[Note])&amp;"",""))</f>
      </c>
      <c r="R973" s="17">
        <f>IF(Items[[#This Row],[ID]]="","",COUNTIFS(Log[ID],Items[[#This Row],[ID]],Log[Verb],"carry"))</f>
      </c>
      <c r="S973" s="17">
        <f>IF(Items[[#This Row],[ID]]="","",COUNTIFS(Log[ID],Items[[#This Row],[ID]],Log[Verb],"punt"))</f>
      </c>
      <c r="T973" s="11">
        <f>IF(Items[[#This Row],[State]]&lt;&gt;"DONE","",IFERROR(LOOKUP(2,1/((Log[ID]=Items[[#This Row],[ID]])*(Log[Verb]="done")),Log[Date]),""))</f>
      </c>
      <c r="U973" s="17">
        <f>IF(Items[[#This Row],[ID]]="","",IF(AND(Items[[#This Row],[Sprint]]=CurSprint,OR(Items[[#This Row],[State]]="OPEN",Items[[#This Row],[State]]="WAIT",Items[[#This Row],[State]]="HOLD",Items[[#This Row],[State]]="DONE")),1,0))</f>
      </c>
      <c r="V973" s="17">
        <f>IF(OR(Items[[#This Row],[ID]]="",Items[[#This Row],[Added]]=""),"",AsOf-Items[[#This Row],[Added]])</f>
      </c>
      <c r="W973" s="17">
        <f>IF(Items[[#This Row],[In sprint]]=1,(IF(Items[[#This Row],[Prio]]="",9,N(Items[[#This Row],[Prio]]))*10+(IF(Items[[#This Row],[State]]="DONE",1,0)))*100000+ROW(),"")</f>
      </c>
      <c r="X97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73" s="17">
        <f>IF(AND(Items[[#This Row],[State]]="DONE",N(Items[[#This Row],[Done on]])&gt;AsOf-7),(200000-N(Items[[#This Row],[Done on]]))*100000+ROW(),"")</f>
      </c>
    </row>
    <row r="974">
      <c r="A974" t="s">
        <v>1090</v>
      </c>
      <c r="B974" t="s">
        <v>2242</v>
      </c>
      <c r="C974" t="s">
        <v>1115</v>
      </c>
      <c r="D974" t="s">
        <v>1119</v>
      </c>
      <c r="E974" t="s">
        <v>1177</v>
      </c>
      <c r="F974" t="s">
        <v>1261</v>
      </c>
      <c r="G974">
        <v>2</v>
      </c>
      <c r="H974">
        <v>1</v>
      </c>
      <c r="I974" s="11">
        <v>46273</v>
      </c>
      <c r="J974" s="17">
        <f>IF(Items[[#This Row],[ID]]="","",IFERROR(VALUE(LOOKUP(2,1/((Log[ID]=Items[[#This Row],[ID]])*(Log[Verb]="est")),Log[Arg])),N(Items[[#This Row],[Points]])))</f>
      </c>
      <c r="K974" s="17">
        <f>IF(Items[[#This Row],[ID]]="","",IFERROR(LOOKUP(2,1/((Log[ID]=Items[[#This Row],[ID]])*(Log[Verb]="pass")),Log[Arg])&amp;"",Items[[#This Row],[Team]]&amp;""))</f>
      </c>
      <c r="L974" s="17">
        <f>IF(Items[[#This Row],[ID]]="","",IFERROR(LOOKUP(2,1/((Log[ID]=Items[[#This Row],[ID]])*(Log[Into]&lt;&gt;"")),Log[Into]),""))</f>
      </c>
      <c r="M974" s="17">
        <f>IF(Items[[#This Row],[ID]]="","",IF(IFERROR(LOOKUP(2,1/((Log[ID]=Items[[#This Row],[ID]])*(Log[Blk]&lt;&gt;"")),Log[Blk]),0)=1,"Y",""))</f>
      </c>
      <c r="N974" s="17">
        <f>IF(Items[[#This Row],[ID]]="","",SUBSTITUTE(IFERROR(LOOKUP(2,1/((Log[ID]=Items[[#This Row],[ID]])*(Log[State]&lt;&gt;"")),Log[State]),"TODO"),"OPEN",IF(Items[[#This Row],[Blocked]]="Y","WAIT","OPEN")))</f>
      </c>
      <c r="O97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74" s="17">
        <f>IF(Items[[#This Row],[State]]&lt;&gt;"WAIT","",AsOf-Items[[#This Row],[Blocked since]])</f>
      </c>
      <c r="Q974" s="17">
        <f>IF(Items[[#This Row],[State]]&lt;&gt;"WAIT","",IFERROR(LOOKUP(2,1/((Log[ID]=Items[[#This Row],[ID]])*(Log[Verb]="block")),Log[Note])&amp;"",""))</f>
      </c>
      <c r="R974" s="17">
        <f>IF(Items[[#This Row],[ID]]="","",COUNTIFS(Log[ID],Items[[#This Row],[ID]],Log[Verb],"carry"))</f>
      </c>
      <c r="S974" s="17">
        <f>IF(Items[[#This Row],[ID]]="","",COUNTIFS(Log[ID],Items[[#This Row],[ID]],Log[Verb],"punt"))</f>
      </c>
      <c r="T974" s="11">
        <f>IF(Items[[#This Row],[State]]&lt;&gt;"DONE","",IFERROR(LOOKUP(2,1/((Log[ID]=Items[[#This Row],[ID]])*(Log[Verb]="done")),Log[Date]),""))</f>
      </c>
      <c r="U974" s="17">
        <f>IF(Items[[#This Row],[ID]]="","",IF(AND(Items[[#This Row],[Sprint]]=CurSprint,OR(Items[[#This Row],[State]]="OPEN",Items[[#This Row],[State]]="WAIT",Items[[#This Row],[State]]="HOLD",Items[[#This Row],[State]]="DONE")),1,0))</f>
      </c>
      <c r="V974" s="17">
        <f>IF(OR(Items[[#This Row],[ID]]="",Items[[#This Row],[Added]]=""),"",AsOf-Items[[#This Row],[Added]])</f>
      </c>
      <c r="W974" s="17">
        <f>IF(Items[[#This Row],[In sprint]]=1,(IF(Items[[#This Row],[Prio]]="",9,N(Items[[#This Row],[Prio]]))*10+(IF(Items[[#This Row],[State]]="DONE",1,0)))*100000+ROW(),"")</f>
      </c>
      <c r="X97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74" s="17">
        <f>IF(AND(Items[[#This Row],[State]]="DONE",N(Items[[#This Row],[Done on]])&gt;AsOf-7),(200000-N(Items[[#This Row],[Done on]]))*100000+ROW(),"")</f>
      </c>
    </row>
    <row r="975">
      <c r="A975" t="s">
        <v>2243</v>
      </c>
      <c r="B975" t="s">
        <v>2244</v>
      </c>
      <c r="C975" t="s">
        <v>1107</v>
      </c>
      <c r="D975" t="s">
        <v>1108</v>
      </c>
      <c r="E975" t="s">
        <v>1177</v>
      </c>
      <c r="F975" t="s">
        <v>1263</v>
      </c>
      <c r="G975">
        <v>3</v>
      </c>
      <c r="H975">
        <v>3</v>
      </c>
      <c r="I975" s="11">
        <v>46273</v>
      </c>
      <c r="J975" s="17">
        <f>IF(Items[[#This Row],[ID]]="","",IFERROR(VALUE(LOOKUP(2,1/((Log[ID]=Items[[#This Row],[ID]])*(Log[Verb]="est")),Log[Arg])),N(Items[[#This Row],[Points]])))</f>
      </c>
      <c r="K975" s="17">
        <f>IF(Items[[#This Row],[ID]]="","",IFERROR(LOOKUP(2,1/((Log[ID]=Items[[#This Row],[ID]])*(Log[Verb]="pass")),Log[Arg])&amp;"",Items[[#This Row],[Team]]&amp;""))</f>
      </c>
      <c r="L975" s="17">
        <f>IF(Items[[#This Row],[ID]]="","",IFERROR(LOOKUP(2,1/((Log[ID]=Items[[#This Row],[ID]])*(Log[Into]&lt;&gt;"")),Log[Into]),""))</f>
      </c>
      <c r="M975" s="17">
        <f>IF(Items[[#This Row],[ID]]="","",IF(IFERROR(LOOKUP(2,1/((Log[ID]=Items[[#This Row],[ID]])*(Log[Blk]&lt;&gt;"")),Log[Blk]),0)=1,"Y",""))</f>
      </c>
      <c r="N975" s="17">
        <f>IF(Items[[#This Row],[ID]]="","",SUBSTITUTE(IFERROR(LOOKUP(2,1/((Log[ID]=Items[[#This Row],[ID]])*(Log[State]&lt;&gt;"")),Log[State]),"TODO"),"OPEN",IF(Items[[#This Row],[Blocked]]="Y","WAIT","OPEN")))</f>
      </c>
      <c r="O97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75" s="17">
        <f>IF(Items[[#This Row],[State]]&lt;&gt;"WAIT","",AsOf-Items[[#This Row],[Blocked since]])</f>
      </c>
      <c r="Q975" s="17">
        <f>IF(Items[[#This Row],[State]]&lt;&gt;"WAIT","",IFERROR(LOOKUP(2,1/((Log[ID]=Items[[#This Row],[ID]])*(Log[Verb]="block")),Log[Note])&amp;"",""))</f>
      </c>
      <c r="R975" s="17">
        <f>IF(Items[[#This Row],[ID]]="","",COUNTIFS(Log[ID],Items[[#This Row],[ID]],Log[Verb],"carry"))</f>
      </c>
      <c r="S975" s="17">
        <f>IF(Items[[#This Row],[ID]]="","",COUNTIFS(Log[ID],Items[[#This Row],[ID]],Log[Verb],"punt"))</f>
      </c>
      <c r="T975" s="11">
        <f>IF(Items[[#This Row],[State]]&lt;&gt;"DONE","",IFERROR(LOOKUP(2,1/((Log[ID]=Items[[#This Row],[ID]])*(Log[Verb]="done")),Log[Date]),""))</f>
      </c>
      <c r="U975" s="17">
        <f>IF(Items[[#This Row],[ID]]="","",IF(AND(Items[[#This Row],[Sprint]]=CurSprint,OR(Items[[#This Row],[State]]="OPEN",Items[[#This Row],[State]]="WAIT",Items[[#This Row],[State]]="HOLD",Items[[#This Row],[State]]="DONE")),1,0))</f>
      </c>
      <c r="V975" s="17">
        <f>IF(OR(Items[[#This Row],[ID]]="",Items[[#This Row],[Added]]=""),"",AsOf-Items[[#This Row],[Added]])</f>
      </c>
      <c r="W975" s="17">
        <f>IF(Items[[#This Row],[In sprint]]=1,(IF(Items[[#This Row],[Prio]]="",9,N(Items[[#This Row],[Prio]]))*10+(IF(Items[[#This Row],[State]]="DONE",1,0)))*100000+ROW(),"")</f>
      </c>
      <c r="X97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75" s="17">
        <f>IF(AND(Items[[#This Row],[State]]="DONE",N(Items[[#This Row],[Done on]])&gt;AsOf-7),(200000-N(Items[[#This Row],[Done on]]))*100000+ROW(),"")</f>
      </c>
    </row>
    <row r="976">
      <c r="A976" t="s">
        <v>2245</v>
      </c>
      <c r="B976" t="s">
        <v>2246</v>
      </c>
      <c r="C976" t="s">
        <v>1115</v>
      </c>
      <c r="D976" t="s">
        <v>1119</v>
      </c>
      <c r="E976" t="s">
        <v>1177</v>
      </c>
      <c r="F976" t="s">
        <v>1261</v>
      </c>
      <c r="G976">
        <v>8</v>
      </c>
      <c r="H976">
        <v>3</v>
      </c>
      <c r="I976" s="11">
        <v>46273</v>
      </c>
      <c r="J976" s="17">
        <f>IF(Items[[#This Row],[ID]]="","",IFERROR(VALUE(LOOKUP(2,1/((Log[ID]=Items[[#This Row],[ID]])*(Log[Verb]="est")),Log[Arg])),N(Items[[#This Row],[Points]])))</f>
      </c>
      <c r="K976" s="17">
        <f>IF(Items[[#This Row],[ID]]="","",IFERROR(LOOKUP(2,1/((Log[ID]=Items[[#This Row],[ID]])*(Log[Verb]="pass")),Log[Arg])&amp;"",Items[[#This Row],[Team]]&amp;""))</f>
      </c>
      <c r="L976" s="17">
        <f>IF(Items[[#This Row],[ID]]="","",IFERROR(LOOKUP(2,1/((Log[ID]=Items[[#This Row],[ID]])*(Log[Into]&lt;&gt;"")),Log[Into]),""))</f>
      </c>
      <c r="M976" s="17">
        <f>IF(Items[[#This Row],[ID]]="","",IF(IFERROR(LOOKUP(2,1/((Log[ID]=Items[[#This Row],[ID]])*(Log[Blk]&lt;&gt;"")),Log[Blk]),0)=1,"Y",""))</f>
      </c>
      <c r="N976" s="17">
        <f>IF(Items[[#This Row],[ID]]="","",SUBSTITUTE(IFERROR(LOOKUP(2,1/((Log[ID]=Items[[#This Row],[ID]])*(Log[State]&lt;&gt;"")),Log[State]),"TODO"),"OPEN",IF(Items[[#This Row],[Blocked]]="Y","WAIT","OPEN")))</f>
      </c>
      <c r="O97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76" s="17">
        <f>IF(Items[[#This Row],[State]]&lt;&gt;"WAIT","",AsOf-Items[[#This Row],[Blocked since]])</f>
      </c>
      <c r="Q976" s="17">
        <f>IF(Items[[#This Row],[State]]&lt;&gt;"WAIT","",IFERROR(LOOKUP(2,1/((Log[ID]=Items[[#This Row],[ID]])*(Log[Verb]="block")),Log[Note])&amp;"",""))</f>
      </c>
      <c r="R976" s="17">
        <f>IF(Items[[#This Row],[ID]]="","",COUNTIFS(Log[ID],Items[[#This Row],[ID]],Log[Verb],"carry"))</f>
      </c>
      <c r="S976" s="17">
        <f>IF(Items[[#This Row],[ID]]="","",COUNTIFS(Log[ID],Items[[#This Row],[ID]],Log[Verb],"punt"))</f>
      </c>
      <c r="T976" s="11">
        <f>IF(Items[[#This Row],[State]]&lt;&gt;"DONE","",IFERROR(LOOKUP(2,1/((Log[ID]=Items[[#This Row],[ID]])*(Log[Verb]="done")),Log[Date]),""))</f>
      </c>
      <c r="U976" s="17">
        <f>IF(Items[[#This Row],[ID]]="","",IF(AND(Items[[#This Row],[Sprint]]=CurSprint,OR(Items[[#This Row],[State]]="OPEN",Items[[#This Row],[State]]="WAIT",Items[[#This Row],[State]]="HOLD",Items[[#This Row],[State]]="DONE")),1,0))</f>
      </c>
      <c r="V976" s="17">
        <f>IF(OR(Items[[#This Row],[ID]]="",Items[[#This Row],[Added]]=""),"",AsOf-Items[[#This Row],[Added]])</f>
      </c>
      <c r="W976" s="17">
        <f>IF(Items[[#This Row],[In sprint]]=1,(IF(Items[[#This Row],[Prio]]="",9,N(Items[[#This Row],[Prio]]))*10+(IF(Items[[#This Row],[State]]="DONE",1,0)))*100000+ROW(),"")</f>
      </c>
      <c r="X97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76" s="17">
        <f>IF(AND(Items[[#This Row],[State]]="DONE",N(Items[[#This Row],[Done on]])&gt;AsOf-7),(200000-N(Items[[#This Row],[Done on]]))*100000+ROW(),"")</f>
      </c>
    </row>
    <row r="977">
      <c r="A977" t="s">
        <v>2247</v>
      </c>
      <c r="B977" t="s">
        <v>2248</v>
      </c>
      <c r="C977" t="s">
        <v>1107</v>
      </c>
      <c r="D977" t="s">
        <v>1108</v>
      </c>
      <c r="E977" t="s">
        <v>1177</v>
      </c>
      <c r="F977" t="s">
        <v>1178</v>
      </c>
      <c r="G977">
        <v>5</v>
      </c>
      <c r="H977">
        <v>2</v>
      </c>
      <c r="I977" s="11">
        <v>46273</v>
      </c>
      <c r="J977" s="17">
        <f>IF(Items[[#This Row],[ID]]="","",IFERROR(VALUE(LOOKUP(2,1/((Log[ID]=Items[[#This Row],[ID]])*(Log[Verb]="est")),Log[Arg])),N(Items[[#This Row],[Points]])))</f>
      </c>
      <c r="K977" s="17">
        <f>IF(Items[[#This Row],[ID]]="","",IFERROR(LOOKUP(2,1/((Log[ID]=Items[[#This Row],[ID]])*(Log[Verb]="pass")),Log[Arg])&amp;"",Items[[#This Row],[Team]]&amp;""))</f>
      </c>
      <c r="L977" s="17">
        <f>IF(Items[[#This Row],[ID]]="","",IFERROR(LOOKUP(2,1/((Log[ID]=Items[[#This Row],[ID]])*(Log[Into]&lt;&gt;"")),Log[Into]),""))</f>
      </c>
      <c r="M977" s="17">
        <f>IF(Items[[#This Row],[ID]]="","",IF(IFERROR(LOOKUP(2,1/((Log[ID]=Items[[#This Row],[ID]])*(Log[Blk]&lt;&gt;"")),Log[Blk]),0)=1,"Y",""))</f>
      </c>
      <c r="N977" s="17">
        <f>IF(Items[[#This Row],[ID]]="","",SUBSTITUTE(IFERROR(LOOKUP(2,1/((Log[ID]=Items[[#This Row],[ID]])*(Log[State]&lt;&gt;"")),Log[State]),"TODO"),"OPEN",IF(Items[[#This Row],[Blocked]]="Y","WAIT","OPEN")))</f>
      </c>
      <c r="O97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77" s="17">
        <f>IF(Items[[#This Row],[State]]&lt;&gt;"WAIT","",AsOf-Items[[#This Row],[Blocked since]])</f>
      </c>
      <c r="Q977" s="17">
        <f>IF(Items[[#This Row],[State]]&lt;&gt;"WAIT","",IFERROR(LOOKUP(2,1/((Log[ID]=Items[[#This Row],[ID]])*(Log[Verb]="block")),Log[Note])&amp;"",""))</f>
      </c>
      <c r="R977" s="17">
        <f>IF(Items[[#This Row],[ID]]="","",COUNTIFS(Log[ID],Items[[#This Row],[ID]],Log[Verb],"carry"))</f>
      </c>
      <c r="S977" s="17">
        <f>IF(Items[[#This Row],[ID]]="","",COUNTIFS(Log[ID],Items[[#This Row],[ID]],Log[Verb],"punt"))</f>
      </c>
      <c r="T977" s="11">
        <f>IF(Items[[#This Row],[State]]&lt;&gt;"DONE","",IFERROR(LOOKUP(2,1/((Log[ID]=Items[[#This Row],[ID]])*(Log[Verb]="done")),Log[Date]),""))</f>
      </c>
      <c r="U977" s="17">
        <f>IF(Items[[#This Row],[ID]]="","",IF(AND(Items[[#This Row],[Sprint]]=CurSprint,OR(Items[[#This Row],[State]]="OPEN",Items[[#This Row],[State]]="WAIT",Items[[#This Row],[State]]="HOLD",Items[[#This Row],[State]]="DONE")),1,0))</f>
      </c>
      <c r="V977" s="17">
        <f>IF(OR(Items[[#This Row],[ID]]="",Items[[#This Row],[Added]]=""),"",AsOf-Items[[#This Row],[Added]])</f>
      </c>
      <c r="W977" s="17">
        <f>IF(Items[[#This Row],[In sprint]]=1,(IF(Items[[#This Row],[Prio]]="",9,N(Items[[#This Row],[Prio]]))*10+(IF(Items[[#This Row],[State]]="DONE",1,0)))*100000+ROW(),"")</f>
      </c>
      <c r="X97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77" s="17">
        <f>IF(AND(Items[[#This Row],[State]]="DONE",N(Items[[#This Row],[Done on]])&gt;AsOf-7),(200000-N(Items[[#This Row],[Done on]]))*100000+ROW(),"")</f>
      </c>
    </row>
    <row r="978">
      <c r="A978" t="s">
        <v>2249</v>
      </c>
      <c r="B978" t="s">
        <v>2250</v>
      </c>
      <c r="C978" t="s">
        <v>1107</v>
      </c>
      <c r="D978" t="s">
        <v>1127</v>
      </c>
      <c r="E978" t="s">
        <v>1177</v>
      </c>
      <c r="F978" t="s">
        <v>1400</v>
      </c>
      <c r="G978">
        <v>5</v>
      </c>
      <c r="H978">
        <v>2</v>
      </c>
      <c r="I978" s="11">
        <v>46273</v>
      </c>
      <c r="J978" s="17">
        <f>IF(Items[[#This Row],[ID]]="","",IFERROR(VALUE(LOOKUP(2,1/((Log[ID]=Items[[#This Row],[ID]])*(Log[Verb]="est")),Log[Arg])),N(Items[[#This Row],[Points]])))</f>
      </c>
      <c r="K978" s="17">
        <f>IF(Items[[#This Row],[ID]]="","",IFERROR(LOOKUP(2,1/((Log[ID]=Items[[#This Row],[ID]])*(Log[Verb]="pass")),Log[Arg])&amp;"",Items[[#This Row],[Team]]&amp;""))</f>
      </c>
      <c r="L978" s="17">
        <f>IF(Items[[#This Row],[ID]]="","",IFERROR(LOOKUP(2,1/((Log[ID]=Items[[#This Row],[ID]])*(Log[Into]&lt;&gt;"")),Log[Into]),""))</f>
      </c>
      <c r="M978" s="17">
        <f>IF(Items[[#This Row],[ID]]="","",IF(IFERROR(LOOKUP(2,1/((Log[ID]=Items[[#This Row],[ID]])*(Log[Blk]&lt;&gt;"")),Log[Blk]),0)=1,"Y",""))</f>
      </c>
      <c r="N978" s="17">
        <f>IF(Items[[#This Row],[ID]]="","",SUBSTITUTE(IFERROR(LOOKUP(2,1/((Log[ID]=Items[[#This Row],[ID]])*(Log[State]&lt;&gt;"")),Log[State]),"TODO"),"OPEN",IF(Items[[#This Row],[Blocked]]="Y","WAIT","OPEN")))</f>
      </c>
      <c r="O97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78" s="17">
        <f>IF(Items[[#This Row],[State]]&lt;&gt;"WAIT","",AsOf-Items[[#This Row],[Blocked since]])</f>
      </c>
      <c r="Q978" s="17">
        <f>IF(Items[[#This Row],[State]]&lt;&gt;"WAIT","",IFERROR(LOOKUP(2,1/((Log[ID]=Items[[#This Row],[ID]])*(Log[Verb]="block")),Log[Note])&amp;"",""))</f>
      </c>
      <c r="R978" s="17">
        <f>IF(Items[[#This Row],[ID]]="","",COUNTIFS(Log[ID],Items[[#This Row],[ID]],Log[Verb],"carry"))</f>
      </c>
      <c r="S978" s="17">
        <f>IF(Items[[#This Row],[ID]]="","",COUNTIFS(Log[ID],Items[[#This Row],[ID]],Log[Verb],"punt"))</f>
      </c>
      <c r="T978" s="11">
        <f>IF(Items[[#This Row],[State]]&lt;&gt;"DONE","",IFERROR(LOOKUP(2,1/((Log[ID]=Items[[#This Row],[ID]])*(Log[Verb]="done")),Log[Date]),""))</f>
      </c>
      <c r="U978" s="17">
        <f>IF(Items[[#This Row],[ID]]="","",IF(AND(Items[[#This Row],[Sprint]]=CurSprint,OR(Items[[#This Row],[State]]="OPEN",Items[[#This Row],[State]]="WAIT",Items[[#This Row],[State]]="HOLD",Items[[#This Row],[State]]="DONE")),1,0))</f>
      </c>
      <c r="V978" s="17">
        <f>IF(OR(Items[[#This Row],[ID]]="",Items[[#This Row],[Added]]=""),"",AsOf-Items[[#This Row],[Added]])</f>
      </c>
      <c r="W978" s="17">
        <f>IF(Items[[#This Row],[In sprint]]=1,(IF(Items[[#This Row],[Prio]]="",9,N(Items[[#This Row],[Prio]]))*10+(IF(Items[[#This Row],[State]]="DONE",1,0)))*100000+ROW(),"")</f>
      </c>
      <c r="X97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78" s="17">
        <f>IF(AND(Items[[#This Row],[State]]="DONE",N(Items[[#This Row],[Done on]])&gt;AsOf-7),(200000-N(Items[[#This Row],[Done on]]))*100000+ROW(),"")</f>
      </c>
    </row>
  </sheetData>
  <conditionalFormatting sqref="N2:N978">
    <cfRule type="expression" dxfId="6" priority="1">
      <formula>N2="WAIT"</formula>
    </cfRule>
  </conditionalFormatting>
  <conditionalFormatting sqref="N2:N978">
    <cfRule type="expression" dxfId="7" priority="2">
      <formula>N2="DONE"</formula>
    </cfRule>
  </conditionalFormatting>
  <conditionalFormatting sqref="N2:N978">
    <cfRule type="expression" dxfId="8" priority="3">
      <formula>N2="HOLD"</formula>
    </cfRule>
  </conditionalFormatting>
  <conditionalFormatting sqref="N2:N978">
    <cfRule type="expression" dxfId="3" priority="4">
      <formula>OR(N2="DROP",N2="TODO")</formula>
    </cfRule>
  </conditionalFormatting>
  <conditionalFormatting sqref="P2:P978">
    <cfRule type="expression" dxfId="0" priority="5">
      <formula>AND(P2&lt;&gt;"",P2&gt;BlockRed)</formula>
    </cfRule>
  </conditionalFormatting>
  <conditionalFormatting sqref="P2:P978">
    <cfRule type="expression" dxfId="1" priority="6">
      <formula>AND(P2&lt;&gt;"",P2&gt;BlockAmber)</formula>
    </cfRule>
  </conditionalFormatting>
  <conditionalFormatting sqref="F2:F978">
    <cfRule type="expression" dxfId="1" priority="7">
      <formula>AND($U2=1,$F2="",$N2&lt;&gt;"DONE")</formula>
    </cfRule>
  </conditionalFormatting>
  <dataValidations count="2">
    <dataValidation type="list" allowBlank="1" showErrorMessage="1" errorStyle="warning" sqref="E2:E5000">
      <formula1>TeamList</formula1>
    </dataValidation>
    <dataValidation type="list" allowBlank="1" showErrorMessage="1" errorStyle="warning" sqref="F2:F5000">
      <formula1>PeopleList</formula1>
    </dataValidation>
  </dataValidations>
  <pageMargins left="0.5" right="0.5" top="0.6" bottom="0.6" header="0.3" footer="0.3"/>
  <pageSetup orientation="portrait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6B7436"/>
  </sheetPr>
  <sheetViews>
    <sheetView workbookViewId="0" showGridLines="1">
      <pane xSplit="1" ySplit="1" topLeftCell="B2" activePane="bottomRight" state="frozen"/>
    </sheetView>
  </sheetViews>
  <sheetFormatPr defaultRowHeight="13.8"/>
  <cols>
    <col min="1" max="1" width="14" customWidth="1"/>
    <col min="2" max="2" width="9" customWidth="1"/>
    <col min="3" max="3" width="10" customWidth="1"/>
    <col min="4" max="4" width="8" customWidth="1"/>
    <col min="5" max="5" width="10" customWidth="1"/>
    <col min="6" max="6" width="8" customWidth="1"/>
    <col min="7" max="7" width="8" customWidth="1"/>
    <col min="8" max="8" width="8" customWidth="1"/>
    <col min="9" max="9" width="10" customWidth="1"/>
    <col min="10" max="10" width="10" customWidth="1"/>
    <col min="11" max="11" width="9" customWidth="1"/>
    <col min="12" max="12" width="9" customWidth="1"/>
    <col min="13" max="13" width="40" customWidth="1"/>
  </cols>
  <sheetData>
    <row r="1">
      <c r="A1" s="3" t="s">
        <v>144</v>
      </c>
      <c r="B1" s="3" t="s">
        <v>2251</v>
      </c>
      <c r="C1" s="4" t="s">
        <v>2252</v>
      </c>
      <c r="D1" s="4" t="s">
        <v>2253</v>
      </c>
      <c r="E1" s="4" t="s">
        <v>2254</v>
      </c>
      <c r="F1" s="4" t="s">
        <v>96</v>
      </c>
      <c r="G1" s="4" t="s">
        <v>2255</v>
      </c>
      <c r="H1" s="4" t="s">
        <v>1096</v>
      </c>
      <c r="I1" s="4" t="s">
        <v>2256</v>
      </c>
      <c r="J1" s="4" t="s">
        <v>2257</v>
      </c>
      <c r="K1" s="4" t="s">
        <v>2258</v>
      </c>
      <c r="L1" s="4" t="s">
        <v>2259</v>
      </c>
      <c r="M1" s="4" t="s">
        <v>153</v>
      </c>
      <c r="O1" s="6" t="s">
        <v>2260</v>
      </c>
    </row>
    <row r="2">
      <c r="A2" t="s">
        <v>1112</v>
      </c>
      <c r="B2">
        <v>38</v>
      </c>
      <c r="C2" s="17">
        <f>IF(Teams[[#This Row],[Team]]="","",SUMIFS(Items[Pts],Items[Cur team],Teams[[#This Row],[Team]],Items[In sprint],1))</f>
      </c>
      <c r="D2" s="17">
        <f>IF(Teams[[#This Row],[Team]]="","",SUMIFS(Items[Pts],Items[Cur team],Teams[[#This Row],[Team]],Items[In sprint],1,Items[State],"DONE"))</f>
      </c>
      <c r="E2" s="17">
        <f>IF(Teams[[#This Row],[Team]]="","",Teams[[#This Row],[Committed]]-Teams[[#This Row],[Done]])</f>
      </c>
      <c r="F2" s="13">
        <f>IF(N(Teams[[#This Row],[Committed]])=0,"",Teams[[#This Row],[Done]]/Teams[[#This Row],[Committed]])</f>
      </c>
      <c r="G2" s="13">
        <f>IF(N(Teams[[#This Row],[Capacity]])=0,"",Teams[[#This Row],[Committed]]/Teams[[#This Row],[Capacity]])</f>
      </c>
      <c r="H2" s="17">
        <f>IF(Teams[[#This Row],[Team]]="","",COUNTIFS(Items[Cur team],Teams[[#This Row],[Team]],Items[In sprint],1,Items[State],"WAIT"))</f>
      </c>
      <c r="I2" s="17">
        <f>IF(Teams[[#This Row],[Team]]="","",COUNTIFS(Items[Cur team],Teams[[#This Row],[Team]],Items[In sprint],1,Items[Owner],"",Items[State],"&lt;&gt;DONE"))</f>
      </c>
      <c r="J2" s="14">
        <f>IF(Teams[[#This Row],[Team]]="","",SUMIFS(Log[Pts],Log[Verb],"done",Log[Team],Teams[[#This Row],[Team]],Log[Sprint],"&gt;="&amp;(CurSprint-3),Log[Sprint],"&lt;"&amp;CurSprint)/3)</f>
      </c>
      <c r="K2" s="17">
        <f>IF(Teams[[#This Row],[Team]]="","",SUMIFS(Items[Pts],Items[Cur team],Teams[[#This Row],[Team]],Items[State],"TODO"))</f>
      </c>
      <c r="L2" s="14">
        <f>IF(N(Teams[[#This Row],[Velocity]])=0,"",Teams[[#This Row],[Backlog]]/Teams[[#This Row],[Velocity]])</f>
      </c>
      <c r="M2" s="17">
        <f>IF(Teams[[#This Row],[Team]]="","",TRIM(IF(AND(Teams[[#This Row],[Load]]&lt;&gt;"",N(Teams[[#This Row],[Load]])&gt;LoadHigh),"over capacity; ","")&amp;IF(AND(Teams[[#This Row],[Load]]&lt;&gt;"",N(Teams[[#This Row],[Load]])&lt;LoadLow),"under capacity; ","")&amp;IF(Teams[[#This Row],[Blocked]]&gt;0,Teams[[#This Row],[Blocked]]&amp;" blocked; ","")&amp;IF(Teams[[#This Row],[Unassigned]]&gt;0,Teams[[#This Row],[Unassigned]]&amp;" unassigned; ","")&amp;IF(AND(DayOfSprint&gt;=8,Teams[[#This Row],[Pct done]]&lt;&gt;"",N(Teams[[#This Row],[Pct done]])&lt;Day8Pct),"behind at day "&amp;DayOfSprint&amp;"; ","")))</f>
      </c>
    </row>
    <row r="3">
      <c r="A3" t="s">
        <v>1120</v>
      </c>
      <c r="B3">
        <v>38</v>
      </c>
      <c r="C3" s="17">
        <f>IF(Teams[[#This Row],[Team]]="","",SUMIFS(Items[Pts],Items[Cur team],Teams[[#This Row],[Team]],Items[In sprint],1))</f>
      </c>
      <c r="D3" s="17">
        <f>IF(Teams[[#This Row],[Team]]="","",SUMIFS(Items[Pts],Items[Cur team],Teams[[#This Row],[Team]],Items[In sprint],1,Items[State],"DONE"))</f>
      </c>
      <c r="E3" s="17">
        <f>IF(Teams[[#This Row],[Team]]="","",Teams[[#This Row],[Committed]]-Teams[[#This Row],[Done]])</f>
      </c>
      <c r="F3" s="13">
        <f>IF(N(Teams[[#This Row],[Committed]])=0,"",Teams[[#This Row],[Done]]/Teams[[#This Row],[Committed]])</f>
      </c>
      <c r="G3" s="13">
        <f>IF(N(Teams[[#This Row],[Capacity]])=0,"",Teams[[#This Row],[Committed]]/Teams[[#This Row],[Capacity]])</f>
      </c>
      <c r="H3" s="17">
        <f>IF(Teams[[#This Row],[Team]]="","",COUNTIFS(Items[Cur team],Teams[[#This Row],[Team]],Items[In sprint],1,Items[State],"WAIT"))</f>
      </c>
      <c r="I3" s="17">
        <f>IF(Teams[[#This Row],[Team]]="","",COUNTIFS(Items[Cur team],Teams[[#This Row],[Team]],Items[In sprint],1,Items[Owner],"",Items[State],"&lt;&gt;DONE"))</f>
      </c>
      <c r="J3" s="14">
        <f>IF(Teams[[#This Row],[Team]]="","",SUMIFS(Log[Pts],Log[Verb],"done",Log[Team],Teams[[#This Row],[Team]],Log[Sprint],"&gt;="&amp;(CurSprint-3),Log[Sprint],"&lt;"&amp;CurSprint)/3)</f>
      </c>
      <c r="K3" s="17">
        <f>IF(Teams[[#This Row],[Team]]="","",SUMIFS(Items[Pts],Items[Cur team],Teams[[#This Row],[Team]],Items[State],"TODO"))</f>
      </c>
      <c r="L3" s="14">
        <f>IF(N(Teams[[#This Row],[Velocity]])=0,"",Teams[[#This Row],[Backlog]]/Teams[[#This Row],[Velocity]])</f>
      </c>
      <c r="M3" s="17">
        <f>IF(Teams[[#This Row],[Team]]="","",TRIM(IF(AND(Teams[[#This Row],[Load]]&lt;&gt;"",N(Teams[[#This Row],[Load]])&gt;LoadHigh),"over capacity; ","")&amp;IF(AND(Teams[[#This Row],[Load]]&lt;&gt;"",N(Teams[[#This Row],[Load]])&lt;LoadLow),"under capacity; ","")&amp;IF(Teams[[#This Row],[Blocked]]&gt;0,Teams[[#This Row],[Blocked]]&amp;" blocked; ","")&amp;IF(Teams[[#This Row],[Unassigned]]&gt;0,Teams[[#This Row],[Unassigned]]&amp;" unassigned; ","")&amp;IF(AND(DayOfSprint&gt;=8,Teams[[#This Row],[Pct done]]&lt;&gt;"",N(Teams[[#This Row],[Pct done]])&lt;Day8Pct),"behind at day "&amp;DayOfSprint&amp;"; ","")))</f>
      </c>
    </row>
    <row r="4">
      <c r="A4" t="s">
        <v>1124</v>
      </c>
      <c r="B4">
        <v>37</v>
      </c>
      <c r="C4" s="17">
        <f>IF(Teams[[#This Row],[Team]]="","",SUMIFS(Items[Pts],Items[Cur team],Teams[[#This Row],[Team]],Items[In sprint],1))</f>
      </c>
      <c r="D4" s="17">
        <f>IF(Teams[[#This Row],[Team]]="","",SUMIFS(Items[Pts],Items[Cur team],Teams[[#This Row],[Team]],Items[In sprint],1,Items[State],"DONE"))</f>
      </c>
      <c r="E4" s="17">
        <f>IF(Teams[[#This Row],[Team]]="","",Teams[[#This Row],[Committed]]-Teams[[#This Row],[Done]])</f>
      </c>
      <c r="F4" s="13">
        <f>IF(N(Teams[[#This Row],[Committed]])=0,"",Teams[[#This Row],[Done]]/Teams[[#This Row],[Committed]])</f>
      </c>
      <c r="G4" s="13">
        <f>IF(N(Teams[[#This Row],[Capacity]])=0,"",Teams[[#This Row],[Committed]]/Teams[[#This Row],[Capacity]])</f>
      </c>
      <c r="H4" s="17">
        <f>IF(Teams[[#This Row],[Team]]="","",COUNTIFS(Items[Cur team],Teams[[#This Row],[Team]],Items[In sprint],1,Items[State],"WAIT"))</f>
      </c>
      <c r="I4" s="17">
        <f>IF(Teams[[#This Row],[Team]]="","",COUNTIFS(Items[Cur team],Teams[[#This Row],[Team]],Items[In sprint],1,Items[Owner],"",Items[State],"&lt;&gt;DONE"))</f>
      </c>
      <c r="J4" s="14">
        <f>IF(Teams[[#This Row],[Team]]="","",SUMIFS(Log[Pts],Log[Verb],"done",Log[Team],Teams[[#This Row],[Team]],Log[Sprint],"&gt;="&amp;(CurSprint-3),Log[Sprint],"&lt;"&amp;CurSprint)/3)</f>
      </c>
      <c r="K4" s="17">
        <f>IF(Teams[[#This Row],[Team]]="","",SUMIFS(Items[Pts],Items[Cur team],Teams[[#This Row],[Team]],Items[State],"TODO"))</f>
      </c>
      <c r="L4" s="14">
        <f>IF(N(Teams[[#This Row],[Velocity]])=0,"",Teams[[#This Row],[Backlog]]/Teams[[#This Row],[Velocity]])</f>
      </c>
      <c r="M4" s="17">
        <f>IF(Teams[[#This Row],[Team]]="","",TRIM(IF(AND(Teams[[#This Row],[Load]]&lt;&gt;"",N(Teams[[#This Row],[Load]])&gt;LoadHigh),"over capacity; ","")&amp;IF(AND(Teams[[#This Row],[Load]]&lt;&gt;"",N(Teams[[#This Row],[Load]])&lt;LoadLow),"under capacity; ","")&amp;IF(Teams[[#This Row],[Blocked]]&gt;0,Teams[[#This Row],[Blocked]]&amp;" blocked; ","")&amp;IF(Teams[[#This Row],[Unassigned]]&gt;0,Teams[[#This Row],[Unassigned]]&amp;" unassigned; ","")&amp;IF(AND(DayOfSprint&gt;=8,Teams[[#This Row],[Pct done]]&lt;&gt;"",N(Teams[[#This Row],[Pct done]])&lt;Day8Pct),"behind at day "&amp;DayOfSprint&amp;"; ","")))</f>
      </c>
    </row>
    <row r="5">
      <c r="A5" t="s">
        <v>1159</v>
      </c>
      <c r="B5">
        <v>38</v>
      </c>
      <c r="C5" s="17">
        <f>IF(Teams[[#This Row],[Team]]="","",SUMIFS(Items[Pts],Items[Cur team],Teams[[#This Row],[Team]],Items[In sprint],1))</f>
      </c>
      <c r="D5" s="17">
        <f>IF(Teams[[#This Row],[Team]]="","",SUMIFS(Items[Pts],Items[Cur team],Teams[[#This Row],[Team]],Items[In sprint],1,Items[State],"DONE"))</f>
      </c>
      <c r="E5" s="17">
        <f>IF(Teams[[#This Row],[Team]]="","",Teams[[#This Row],[Committed]]-Teams[[#This Row],[Done]])</f>
      </c>
      <c r="F5" s="13">
        <f>IF(N(Teams[[#This Row],[Committed]])=0,"",Teams[[#This Row],[Done]]/Teams[[#This Row],[Committed]])</f>
      </c>
      <c r="G5" s="13">
        <f>IF(N(Teams[[#This Row],[Capacity]])=0,"",Teams[[#This Row],[Committed]]/Teams[[#This Row],[Capacity]])</f>
      </c>
      <c r="H5" s="17">
        <f>IF(Teams[[#This Row],[Team]]="","",COUNTIFS(Items[Cur team],Teams[[#This Row],[Team]],Items[In sprint],1,Items[State],"WAIT"))</f>
      </c>
      <c r="I5" s="17">
        <f>IF(Teams[[#This Row],[Team]]="","",COUNTIFS(Items[Cur team],Teams[[#This Row],[Team]],Items[In sprint],1,Items[Owner],"",Items[State],"&lt;&gt;DONE"))</f>
      </c>
      <c r="J5" s="14">
        <f>IF(Teams[[#This Row],[Team]]="","",SUMIFS(Log[Pts],Log[Verb],"done",Log[Team],Teams[[#This Row],[Team]],Log[Sprint],"&gt;="&amp;(CurSprint-3),Log[Sprint],"&lt;"&amp;CurSprint)/3)</f>
      </c>
      <c r="K5" s="17">
        <f>IF(Teams[[#This Row],[Team]]="","",SUMIFS(Items[Pts],Items[Cur team],Teams[[#This Row],[Team]],Items[State],"TODO"))</f>
      </c>
      <c r="L5" s="14">
        <f>IF(N(Teams[[#This Row],[Velocity]])=0,"",Teams[[#This Row],[Backlog]]/Teams[[#This Row],[Velocity]])</f>
      </c>
      <c r="M5" s="17">
        <f>IF(Teams[[#This Row],[Team]]="","",TRIM(IF(AND(Teams[[#This Row],[Load]]&lt;&gt;"",N(Teams[[#This Row],[Load]])&gt;LoadHigh),"over capacity; ","")&amp;IF(AND(Teams[[#This Row],[Load]]&lt;&gt;"",N(Teams[[#This Row],[Load]])&lt;LoadLow),"under capacity; ","")&amp;IF(Teams[[#This Row],[Blocked]]&gt;0,Teams[[#This Row],[Blocked]]&amp;" blocked; ","")&amp;IF(Teams[[#This Row],[Unassigned]]&gt;0,Teams[[#This Row],[Unassigned]]&amp;" unassigned; ","")&amp;IF(AND(DayOfSprint&gt;=8,Teams[[#This Row],[Pct done]]&lt;&gt;"",N(Teams[[#This Row],[Pct done]])&lt;Day8Pct),"behind at day "&amp;DayOfSprint&amp;"; ","")))</f>
      </c>
    </row>
    <row r="6">
      <c r="A6" t="s">
        <v>1128</v>
      </c>
      <c r="B6">
        <v>35</v>
      </c>
      <c r="C6" s="17">
        <f>IF(Teams[[#This Row],[Team]]="","",SUMIFS(Items[Pts],Items[Cur team],Teams[[#This Row],[Team]],Items[In sprint],1))</f>
      </c>
      <c r="D6" s="17">
        <f>IF(Teams[[#This Row],[Team]]="","",SUMIFS(Items[Pts],Items[Cur team],Teams[[#This Row],[Team]],Items[In sprint],1,Items[State],"DONE"))</f>
      </c>
      <c r="E6" s="17">
        <f>IF(Teams[[#This Row],[Team]]="","",Teams[[#This Row],[Committed]]-Teams[[#This Row],[Done]])</f>
      </c>
      <c r="F6" s="13">
        <f>IF(N(Teams[[#This Row],[Committed]])=0,"",Teams[[#This Row],[Done]]/Teams[[#This Row],[Committed]])</f>
      </c>
      <c r="G6" s="13">
        <f>IF(N(Teams[[#This Row],[Capacity]])=0,"",Teams[[#This Row],[Committed]]/Teams[[#This Row],[Capacity]])</f>
      </c>
      <c r="H6" s="17">
        <f>IF(Teams[[#This Row],[Team]]="","",COUNTIFS(Items[Cur team],Teams[[#This Row],[Team]],Items[In sprint],1,Items[State],"WAIT"))</f>
      </c>
      <c r="I6" s="17">
        <f>IF(Teams[[#This Row],[Team]]="","",COUNTIFS(Items[Cur team],Teams[[#This Row],[Team]],Items[In sprint],1,Items[Owner],"",Items[State],"&lt;&gt;DONE"))</f>
      </c>
      <c r="J6" s="14">
        <f>IF(Teams[[#This Row],[Team]]="","",SUMIFS(Log[Pts],Log[Verb],"done",Log[Team],Teams[[#This Row],[Team]],Log[Sprint],"&gt;="&amp;(CurSprint-3),Log[Sprint],"&lt;"&amp;CurSprint)/3)</f>
      </c>
      <c r="K6" s="17">
        <f>IF(Teams[[#This Row],[Team]]="","",SUMIFS(Items[Pts],Items[Cur team],Teams[[#This Row],[Team]],Items[State],"TODO"))</f>
      </c>
      <c r="L6" s="14">
        <f>IF(N(Teams[[#This Row],[Velocity]])=0,"",Teams[[#This Row],[Backlog]]/Teams[[#This Row],[Velocity]])</f>
      </c>
      <c r="M6" s="17">
        <f>IF(Teams[[#This Row],[Team]]="","",TRIM(IF(AND(Teams[[#This Row],[Load]]&lt;&gt;"",N(Teams[[#This Row],[Load]])&gt;LoadHigh),"over capacity; ","")&amp;IF(AND(Teams[[#This Row],[Load]]&lt;&gt;"",N(Teams[[#This Row],[Load]])&lt;LoadLow),"under capacity; ","")&amp;IF(Teams[[#This Row],[Blocked]]&gt;0,Teams[[#This Row],[Blocked]]&amp;" blocked; ","")&amp;IF(Teams[[#This Row],[Unassigned]]&gt;0,Teams[[#This Row],[Unassigned]]&amp;" unassigned; ","")&amp;IF(AND(DayOfSprint&gt;=8,Teams[[#This Row],[Pct done]]&lt;&gt;"",N(Teams[[#This Row],[Pct done]])&lt;Day8Pct),"behind at day "&amp;DayOfSprint&amp;"; ","")))</f>
      </c>
    </row>
    <row r="7">
      <c r="A7" t="s">
        <v>1109</v>
      </c>
      <c r="B7">
        <v>37</v>
      </c>
      <c r="C7" s="17">
        <f>IF(Teams[[#This Row],[Team]]="","",SUMIFS(Items[Pts],Items[Cur team],Teams[[#This Row],[Team]],Items[In sprint],1))</f>
      </c>
      <c r="D7" s="17">
        <f>IF(Teams[[#This Row],[Team]]="","",SUMIFS(Items[Pts],Items[Cur team],Teams[[#This Row],[Team]],Items[In sprint],1,Items[State],"DONE"))</f>
      </c>
      <c r="E7" s="17">
        <f>IF(Teams[[#This Row],[Team]]="","",Teams[[#This Row],[Committed]]-Teams[[#This Row],[Done]])</f>
      </c>
      <c r="F7" s="13">
        <f>IF(N(Teams[[#This Row],[Committed]])=0,"",Teams[[#This Row],[Done]]/Teams[[#This Row],[Committed]])</f>
      </c>
      <c r="G7" s="13">
        <f>IF(N(Teams[[#This Row],[Capacity]])=0,"",Teams[[#This Row],[Committed]]/Teams[[#This Row],[Capacity]])</f>
      </c>
      <c r="H7" s="17">
        <f>IF(Teams[[#This Row],[Team]]="","",COUNTIFS(Items[Cur team],Teams[[#This Row],[Team]],Items[In sprint],1,Items[State],"WAIT"))</f>
      </c>
      <c r="I7" s="17">
        <f>IF(Teams[[#This Row],[Team]]="","",COUNTIFS(Items[Cur team],Teams[[#This Row],[Team]],Items[In sprint],1,Items[Owner],"",Items[State],"&lt;&gt;DONE"))</f>
      </c>
      <c r="J7" s="14">
        <f>IF(Teams[[#This Row],[Team]]="","",SUMIFS(Log[Pts],Log[Verb],"done",Log[Team],Teams[[#This Row],[Team]],Log[Sprint],"&gt;="&amp;(CurSprint-3),Log[Sprint],"&lt;"&amp;CurSprint)/3)</f>
      </c>
      <c r="K7" s="17">
        <f>IF(Teams[[#This Row],[Team]]="","",SUMIFS(Items[Pts],Items[Cur team],Teams[[#This Row],[Team]],Items[State],"TODO"))</f>
      </c>
      <c r="L7" s="14">
        <f>IF(N(Teams[[#This Row],[Velocity]])=0,"",Teams[[#This Row],[Backlog]]/Teams[[#This Row],[Velocity]])</f>
      </c>
      <c r="M7" s="17">
        <f>IF(Teams[[#This Row],[Team]]="","",TRIM(IF(AND(Teams[[#This Row],[Load]]&lt;&gt;"",N(Teams[[#This Row],[Load]])&gt;LoadHigh),"over capacity; ","")&amp;IF(AND(Teams[[#This Row],[Load]]&lt;&gt;"",N(Teams[[#This Row],[Load]])&lt;LoadLow),"under capacity; ","")&amp;IF(Teams[[#This Row],[Blocked]]&gt;0,Teams[[#This Row],[Blocked]]&amp;" blocked; ","")&amp;IF(Teams[[#This Row],[Unassigned]]&gt;0,Teams[[#This Row],[Unassigned]]&amp;" unassigned; ","")&amp;IF(AND(DayOfSprint&gt;=8,Teams[[#This Row],[Pct done]]&lt;&gt;"",N(Teams[[#This Row],[Pct done]])&lt;Day8Pct),"behind at day "&amp;DayOfSprint&amp;"; ","")))</f>
      </c>
    </row>
    <row r="8">
      <c r="A8" t="s">
        <v>1131</v>
      </c>
      <c r="B8">
        <v>36</v>
      </c>
      <c r="C8" s="17">
        <f>IF(Teams[[#This Row],[Team]]="","",SUMIFS(Items[Pts],Items[Cur team],Teams[[#This Row],[Team]],Items[In sprint],1))</f>
      </c>
      <c r="D8" s="17">
        <f>IF(Teams[[#This Row],[Team]]="","",SUMIFS(Items[Pts],Items[Cur team],Teams[[#This Row],[Team]],Items[In sprint],1,Items[State],"DONE"))</f>
      </c>
      <c r="E8" s="17">
        <f>IF(Teams[[#This Row],[Team]]="","",Teams[[#This Row],[Committed]]-Teams[[#This Row],[Done]])</f>
      </c>
      <c r="F8" s="13">
        <f>IF(N(Teams[[#This Row],[Committed]])=0,"",Teams[[#This Row],[Done]]/Teams[[#This Row],[Committed]])</f>
      </c>
      <c r="G8" s="13">
        <f>IF(N(Teams[[#This Row],[Capacity]])=0,"",Teams[[#This Row],[Committed]]/Teams[[#This Row],[Capacity]])</f>
      </c>
      <c r="H8" s="17">
        <f>IF(Teams[[#This Row],[Team]]="","",COUNTIFS(Items[Cur team],Teams[[#This Row],[Team]],Items[In sprint],1,Items[State],"WAIT"))</f>
      </c>
      <c r="I8" s="17">
        <f>IF(Teams[[#This Row],[Team]]="","",COUNTIFS(Items[Cur team],Teams[[#This Row],[Team]],Items[In sprint],1,Items[Owner],"",Items[State],"&lt;&gt;DONE"))</f>
      </c>
      <c r="J8" s="14">
        <f>IF(Teams[[#This Row],[Team]]="","",SUMIFS(Log[Pts],Log[Verb],"done",Log[Team],Teams[[#This Row],[Team]],Log[Sprint],"&gt;="&amp;(CurSprint-3),Log[Sprint],"&lt;"&amp;CurSprint)/3)</f>
      </c>
      <c r="K8" s="17">
        <f>IF(Teams[[#This Row],[Team]]="","",SUMIFS(Items[Pts],Items[Cur team],Teams[[#This Row],[Team]],Items[State],"TODO"))</f>
      </c>
      <c r="L8" s="14">
        <f>IF(N(Teams[[#This Row],[Velocity]])=0,"",Teams[[#This Row],[Backlog]]/Teams[[#This Row],[Velocity]])</f>
      </c>
      <c r="M8" s="17">
        <f>IF(Teams[[#This Row],[Team]]="","",TRIM(IF(AND(Teams[[#This Row],[Load]]&lt;&gt;"",N(Teams[[#This Row],[Load]])&gt;LoadHigh),"over capacity; ","")&amp;IF(AND(Teams[[#This Row],[Load]]&lt;&gt;"",N(Teams[[#This Row],[Load]])&lt;LoadLow),"under capacity; ","")&amp;IF(Teams[[#This Row],[Blocked]]&gt;0,Teams[[#This Row],[Blocked]]&amp;" blocked; ","")&amp;IF(Teams[[#This Row],[Unassigned]]&gt;0,Teams[[#This Row],[Unassigned]]&amp;" unassigned; ","")&amp;IF(AND(DayOfSprint&gt;=8,Teams[[#This Row],[Pct done]]&lt;&gt;"",N(Teams[[#This Row],[Pct done]])&lt;Day8Pct),"behind at day "&amp;DayOfSprint&amp;"; ","")))</f>
      </c>
    </row>
    <row r="9">
      <c r="A9" t="s">
        <v>1134</v>
      </c>
      <c r="B9">
        <v>35</v>
      </c>
      <c r="C9" s="17">
        <f>IF(Teams[[#This Row],[Team]]="","",SUMIFS(Items[Pts],Items[Cur team],Teams[[#This Row],[Team]],Items[In sprint],1))</f>
      </c>
      <c r="D9" s="17">
        <f>IF(Teams[[#This Row],[Team]]="","",SUMIFS(Items[Pts],Items[Cur team],Teams[[#This Row],[Team]],Items[In sprint],1,Items[State],"DONE"))</f>
      </c>
      <c r="E9" s="17">
        <f>IF(Teams[[#This Row],[Team]]="","",Teams[[#This Row],[Committed]]-Teams[[#This Row],[Done]])</f>
      </c>
      <c r="F9" s="13">
        <f>IF(N(Teams[[#This Row],[Committed]])=0,"",Teams[[#This Row],[Done]]/Teams[[#This Row],[Committed]])</f>
      </c>
      <c r="G9" s="13">
        <f>IF(N(Teams[[#This Row],[Capacity]])=0,"",Teams[[#This Row],[Committed]]/Teams[[#This Row],[Capacity]])</f>
      </c>
      <c r="H9" s="17">
        <f>IF(Teams[[#This Row],[Team]]="","",COUNTIFS(Items[Cur team],Teams[[#This Row],[Team]],Items[In sprint],1,Items[State],"WAIT"))</f>
      </c>
      <c r="I9" s="17">
        <f>IF(Teams[[#This Row],[Team]]="","",COUNTIFS(Items[Cur team],Teams[[#This Row],[Team]],Items[In sprint],1,Items[Owner],"",Items[State],"&lt;&gt;DONE"))</f>
      </c>
      <c r="J9" s="14">
        <f>IF(Teams[[#This Row],[Team]]="","",SUMIFS(Log[Pts],Log[Verb],"done",Log[Team],Teams[[#This Row],[Team]],Log[Sprint],"&gt;="&amp;(CurSprint-3),Log[Sprint],"&lt;"&amp;CurSprint)/3)</f>
      </c>
      <c r="K9" s="17">
        <f>IF(Teams[[#This Row],[Team]]="","",SUMIFS(Items[Pts],Items[Cur team],Teams[[#This Row],[Team]],Items[State],"TODO"))</f>
      </c>
      <c r="L9" s="14">
        <f>IF(N(Teams[[#This Row],[Velocity]])=0,"",Teams[[#This Row],[Backlog]]/Teams[[#This Row],[Velocity]])</f>
      </c>
      <c r="M9" s="17">
        <f>IF(Teams[[#This Row],[Team]]="","",TRIM(IF(AND(Teams[[#This Row],[Load]]&lt;&gt;"",N(Teams[[#This Row],[Load]])&gt;LoadHigh),"over capacity; ","")&amp;IF(AND(Teams[[#This Row],[Load]]&lt;&gt;"",N(Teams[[#This Row],[Load]])&lt;LoadLow),"under capacity; ","")&amp;IF(Teams[[#This Row],[Blocked]]&gt;0,Teams[[#This Row],[Blocked]]&amp;" blocked; ","")&amp;IF(Teams[[#This Row],[Unassigned]]&gt;0,Teams[[#This Row],[Unassigned]]&amp;" unassigned; ","")&amp;IF(AND(DayOfSprint&gt;=8,Teams[[#This Row],[Pct done]]&lt;&gt;"",N(Teams[[#This Row],[Pct done]])&lt;Day8Pct),"behind at day "&amp;DayOfSprint&amp;"; ","")))</f>
      </c>
    </row>
    <row r="10">
      <c r="A10" t="s">
        <v>1139</v>
      </c>
      <c r="B10">
        <v>34</v>
      </c>
      <c r="C10" s="17">
        <f>IF(Teams[[#This Row],[Team]]="","",SUMIFS(Items[Pts],Items[Cur team],Teams[[#This Row],[Team]],Items[In sprint],1))</f>
      </c>
      <c r="D10" s="17">
        <f>IF(Teams[[#This Row],[Team]]="","",SUMIFS(Items[Pts],Items[Cur team],Teams[[#This Row],[Team]],Items[In sprint],1,Items[State],"DONE"))</f>
      </c>
      <c r="E10" s="17">
        <f>IF(Teams[[#This Row],[Team]]="","",Teams[[#This Row],[Committed]]-Teams[[#This Row],[Done]])</f>
      </c>
      <c r="F10" s="13">
        <f>IF(N(Teams[[#This Row],[Committed]])=0,"",Teams[[#This Row],[Done]]/Teams[[#This Row],[Committed]])</f>
      </c>
      <c r="G10" s="13">
        <f>IF(N(Teams[[#This Row],[Capacity]])=0,"",Teams[[#This Row],[Committed]]/Teams[[#This Row],[Capacity]])</f>
      </c>
      <c r="H10" s="17">
        <f>IF(Teams[[#This Row],[Team]]="","",COUNTIFS(Items[Cur team],Teams[[#This Row],[Team]],Items[In sprint],1,Items[State],"WAIT"))</f>
      </c>
      <c r="I10" s="17">
        <f>IF(Teams[[#This Row],[Team]]="","",COUNTIFS(Items[Cur team],Teams[[#This Row],[Team]],Items[In sprint],1,Items[Owner],"",Items[State],"&lt;&gt;DONE"))</f>
      </c>
      <c r="J10" s="14">
        <f>IF(Teams[[#This Row],[Team]]="","",SUMIFS(Log[Pts],Log[Verb],"done",Log[Team],Teams[[#This Row],[Team]],Log[Sprint],"&gt;="&amp;(CurSprint-3),Log[Sprint],"&lt;"&amp;CurSprint)/3)</f>
      </c>
      <c r="K10" s="17">
        <f>IF(Teams[[#This Row],[Team]]="","",SUMIFS(Items[Pts],Items[Cur team],Teams[[#This Row],[Team]],Items[State],"TODO"))</f>
      </c>
      <c r="L10" s="14">
        <f>IF(N(Teams[[#This Row],[Velocity]])=0,"",Teams[[#This Row],[Backlog]]/Teams[[#This Row],[Velocity]])</f>
      </c>
      <c r="M10" s="17">
        <f>IF(Teams[[#This Row],[Team]]="","",TRIM(IF(AND(Teams[[#This Row],[Load]]&lt;&gt;"",N(Teams[[#This Row],[Load]])&gt;LoadHigh),"over capacity; ","")&amp;IF(AND(Teams[[#This Row],[Load]]&lt;&gt;"",N(Teams[[#This Row],[Load]])&lt;LoadLow),"under capacity; ","")&amp;IF(Teams[[#This Row],[Blocked]]&gt;0,Teams[[#This Row],[Blocked]]&amp;" blocked; ","")&amp;IF(Teams[[#This Row],[Unassigned]]&gt;0,Teams[[#This Row],[Unassigned]]&amp;" unassigned; ","")&amp;IF(AND(DayOfSprint&gt;=8,Teams[[#This Row],[Pct done]]&lt;&gt;"",N(Teams[[#This Row],[Pct done]])&lt;Day8Pct),"behind at day "&amp;DayOfSprint&amp;"; ","")))</f>
      </c>
    </row>
    <row r="11">
      <c r="A11" t="s">
        <v>1177</v>
      </c>
      <c r="B11">
        <v>37</v>
      </c>
      <c r="C11" s="17">
        <f>IF(Teams[[#This Row],[Team]]="","",SUMIFS(Items[Pts],Items[Cur team],Teams[[#This Row],[Team]],Items[In sprint],1))</f>
      </c>
      <c r="D11" s="17">
        <f>IF(Teams[[#This Row],[Team]]="","",SUMIFS(Items[Pts],Items[Cur team],Teams[[#This Row],[Team]],Items[In sprint],1,Items[State],"DONE"))</f>
      </c>
      <c r="E11" s="17">
        <f>IF(Teams[[#This Row],[Team]]="","",Teams[[#This Row],[Committed]]-Teams[[#This Row],[Done]])</f>
      </c>
      <c r="F11" s="13">
        <f>IF(N(Teams[[#This Row],[Committed]])=0,"",Teams[[#This Row],[Done]]/Teams[[#This Row],[Committed]])</f>
      </c>
      <c r="G11" s="13">
        <f>IF(N(Teams[[#This Row],[Capacity]])=0,"",Teams[[#This Row],[Committed]]/Teams[[#This Row],[Capacity]])</f>
      </c>
      <c r="H11" s="17">
        <f>IF(Teams[[#This Row],[Team]]="","",COUNTIFS(Items[Cur team],Teams[[#This Row],[Team]],Items[In sprint],1,Items[State],"WAIT"))</f>
      </c>
      <c r="I11" s="17">
        <f>IF(Teams[[#This Row],[Team]]="","",COUNTIFS(Items[Cur team],Teams[[#This Row],[Team]],Items[In sprint],1,Items[Owner],"",Items[State],"&lt;&gt;DONE"))</f>
      </c>
      <c r="J11" s="14">
        <f>IF(Teams[[#This Row],[Team]]="","",SUMIFS(Log[Pts],Log[Verb],"done",Log[Team],Teams[[#This Row],[Team]],Log[Sprint],"&gt;="&amp;(CurSprint-3),Log[Sprint],"&lt;"&amp;CurSprint)/3)</f>
      </c>
      <c r="K11" s="17">
        <f>IF(Teams[[#This Row],[Team]]="","",SUMIFS(Items[Pts],Items[Cur team],Teams[[#This Row],[Team]],Items[State],"TODO"))</f>
      </c>
      <c r="L11" s="14">
        <f>IF(N(Teams[[#This Row],[Velocity]])=0,"",Teams[[#This Row],[Backlog]]/Teams[[#This Row],[Velocity]])</f>
      </c>
      <c r="M11" s="17">
        <f>IF(Teams[[#This Row],[Team]]="","",TRIM(IF(AND(Teams[[#This Row],[Load]]&lt;&gt;"",N(Teams[[#This Row],[Load]])&gt;LoadHigh),"over capacity; ","")&amp;IF(AND(Teams[[#This Row],[Load]]&lt;&gt;"",N(Teams[[#This Row],[Load]])&lt;LoadLow),"under capacity; ","")&amp;IF(Teams[[#This Row],[Blocked]]&gt;0,Teams[[#This Row],[Blocked]]&amp;" blocked; ","")&amp;IF(Teams[[#This Row],[Unassigned]]&gt;0,Teams[[#This Row],[Unassigned]]&amp;" unassigned; ","")&amp;IF(AND(DayOfSprint&gt;=8,Teams[[#This Row],[Pct done]]&lt;&gt;"",N(Teams[[#This Row],[Pct done]])&lt;Day8Pct),"behind at day "&amp;DayOfSprint&amp;"; ","")))</f>
      </c>
    </row>
  </sheetData>
  <conditionalFormatting sqref="G2:G11">
    <cfRule type="expression" dxfId="1" priority="1">
      <formula>AND(G2&lt;&gt;"",OR(G2&gt;LoadHigh,G2&lt;LoadLow))</formula>
    </cfRule>
  </conditionalFormatting>
  <conditionalFormatting sqref="H2:H11">
    <cfRule type="expression" dxfId="0" priority="2">
      <formula>N(H2)&gt;0</formula>
    </cfRule>
  </conditionalFormatting>
  <conditionalFormatting sqref="M2:M11">
    <cfRule type="expression" dxfId="1" priority="3">
      <formula>M2&lt;&gt;""</formula>
    </cfRule>
  </conditionalFormatting>
  <pageMargins left="0.5" right="0.5" top="0.6" bottom="0.6" header="0.3" footer="0.3"/>
  <pageSetup orientation="portrait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6B7436"/>
  </sheetPr>
  <sheetViews>
    <sheetView workbookViewId="0" showGridLines="1">
      <pane xSplit="1" ySplit="1" topLeftCell="B2" activePane="bottomRight" state="frozen"/>
    </sheetView>
  </sheetViews>
  <sheetFormatPr defaultRowHeight="13.8"/>
  <cols>
    <col min="1" max="1" width="20" customWidth="1"/>
    <col min="2" max="2" width="26" customWidth="1"/>
    <col min="3" max="3" width="12" customWidth="1"/>
    <col min="4" max="4" width="16" customWidth="1"/>
    <col min="5" max="5" width="12" customWidth="1"/>
    <col min="6" max="6" width="9" customWidth="1"/>
    <col min="7" max="7" width="6" customWidth="1"/>
    <col min="8" max="8" width="6" customWidth="1"/>
    <col min="9" max="9" width="8" customWidth="1"/>
    <col min="10" max="10" width="10" customWidth="1"/>
  </cols>
  <sheetData>
    <row r="1">
      <c r="A1" s="3" t="s">
        <v>138</v>
      </c>
      <c r="B1" s="3" t="s">
        <v>2261</v>
      </c>
      <c r="C1" s="3" t="s">
        <v>144</v>
      </c>
      <c r="D1" s="3" t="s">
        <v>2262</v>
      </c>
      <c r="E1" s="3" t="s">
        <v>2263</v>
      </c>
      <c r="F1" s="4" t="s">
        <v>1101</v>
      </c>
      <c r="G1" s="4" t="s">
        <v>2264</v>
      </c>
      <c r="H1" s="4" t="s">
        <v>2253</v>
      </c>
      <c r="I1" s="4" t="s">
        <v>1096</v>
      </c>
      <c r="J1" s="4" t="s">
        <v>2265</v>
      </c>
    </row>
    <row r="2">
      <c r="A2" t="s">
        <v>1117</v>
      </c>
      <c r="C2" t="s">
        <v>1112</v>
      </c>
      <c r="F2" s="17">
        <f>IF(Roster[[#This Row],[Name]]="","",SUMIFS(Items[Pts],Items[Owner],Roster[[#This Row],[Name]],Items[In sprint],1))</f>
      </c>
      <c r="G2" s="17">
        <f>IF(Roster[[#This Row],[Name]]="","",COUNTIFS(Items[Owner],Roster[[#This Row],[Name]],Items[In sprint],1,Items[State],"&lt;&gt;DONE"))</f>
      </c>
      <c r="H2" s="17">
        <f>IF(Roster[[#This Row],[Name]]="","",SUMIFS(Items[Pts],Items[Owner],Roster[[#This Row],[Name]],Items[In sprint],1,Items[State],"DONE"))</f>
      </c>
      <c r="I2" s="17">
        <f>IF(Roster[[#This Row],[Name]]="","",COUNTIFS(Items[Owner],Roster[[#This Row],[Name]],Items[In sprint],1,Items[State],"WAIT"))</f>
      </c>
      <c r="J2" s="13">
        <f>IF(Roster[[#This Row],[Name]]="","",IFERROR(Roster[[#This Row],[In sprint]]/SUMIFS(Items[Pts],Items[Cur team],Roster[[#This Row],[Team]],Items[In sprint],1),""))</f>
      </c>
    </row>
    <row r="3">
      <c r="A3" t="s">
        <v>1265</v>
      </c>
      <c r="C3" t="s">
        <v>1112</v>
      </c>
      <c r="F3" s="17">
        <f>IF(Roster[[#This Row],[Name]]="","",SUMIFS(Items[Pts],Items[Owner],Roster[[#This Row],[Name]],Items[In sprint],1))</f>
      </c>
      <c r="G3" s="17">
        <f>IF(Roster[[#This Row],[Name]]="","",COUNTIFS(Items[Owner],Roster[[#This Row],[Name]],Items[In sprint],1,Items[State],"&lt;&gt;DONE"))</f>
      </c>
      <c r="H3" s="17">
        <f>IF(Roster[[#This Row],[Name]]="","",SUMIFS(Items[Pts],Items[Owner],Roster[[#This Row],[Name]],Items[In sprint],1,Items[State],"DONE"))</f>
      </c>
      <c r="I3" s="17">
        <f>IF(Roster[[#This Row],[Name]]="","",COUNTIFS(Items[Owner],Roster[[#This Row],[Name]],Items[In sprint],1,Items[State],"WAIT"))</f>
      </c>
      <c r="J3" s="13">
        <f>IF(Roster[[#This Row],[Name]]="","",IFERROR(Roster[[#This Row],[In sprint]]/SUMIFS(Items[Pts],Items[Cur team],Roster[[#This Row],[Team]],Items[In sprint],1),""))</f>
      </c>
    </row>
    <row r="4">
      <c r="A4" t="s">
        <v>1186</v>
      </c>
      <c r="C4" t="s">
        <v>1112</v>
      </c>
      <c r="F4" s="17">
        <f>IF(Roster[[#This Row],[Name]]="","",SUMIFS(Items[Pts],Items[Owner],Roster[[#This Row],[Name]],Items[In sprint],1))</f>
      </c>
      <c r="G4" s="17">
        <f>IF(Roster[[#This Row],[Name]]="","",COUNTIFS(Items[Owner],Roster[[#This Row],[Name]],Items[In sprint],1,Items[State],"&lt;&gt;DONE"))</f>
      </c>
      <c r="H4" s="17">
        <f>IF(Roster[[#This Row],[Name]]="","",SUMIFS(Items[Pts],Items[Owner],Roster[[#This Row],[Name]],Items[In sprint],1,Items[State],"DONE"))</f>
      </c>
      <c r="I4" s="17">
        <f>IF(Roster[[#This Row],[Name]]="","",COUNTIFS(Items[Owner],Roster[[#This Row],[Name]],Items[In sprint],1,Items[State],"WAIT"))</f>
      </c>
      <c r="J4" s="13">
        <f>IF(Roster[[#This Row],[Name]]="","",IFERROR(Roster[[#This Row],[In sprint]]/SUMIFS(Items[Pts],Items[Cur team],Roster[[#This Row],[Team]],Items[In sprint],1),""))</f>
      </c>
    </row>
    <row r="5">
      <c r="A5" t="s">
        <v>1149</v>
      </c>
      <c r="C5" t="s">
        <v>1112</v>
      </c>
      <c r="F5" s="17">
        <f>IF(Roster[[#This Row],[Name]]="","",SUMIFS(Items[Pts],Items[Owner],Roster[[#This Row],[Name]],Items[In sprint],1))</f>
      </c>
      <c r="G5" s="17">
        <f>IF(Roster[[#This Row],[Name]]="","",COUNTIFS(Items[Owner],Roster[[#This Row],[Name]],Items[In sprint],1,Items[State],"&lt;&gt;DONE"))</f>
      </c>
      <c r="H5" s="17">
        <f>IF(Roster[[#This Row],[Name]]="","",SUMIFS(Items[Pts],Items[Owner],Roster[[#This Row],[Name]],Items[In sprint],1,Items[State],"DONE"))</f>
      </c>
      <c r="I5" s="17">
        <f>IF(Roster[[#This Row],[Name]]="","",COUNTIFS(Items[Owner],Roster[[#This Row],[Name]],Items[In sprint],1,Items[State],"WAIT"))</f>
      </c>
      <c r="J5" s="13">
        <f>IF(Roster[[#This Row],[Name]]="","",IFERROR(Roster[[#This Row],[In sprint]]/SUMIFS(Items[Pts],Items[Cur team],Roster[[#This Row],[Team]],Items[In sprint],1),""))</f>
      </c>
    </row>
    <row r="6">
      <c r="A6" t="s">
        <v>1142</v>
      </c>
      <c r="C6" t="s">
        <v>1112</v>
      </c>
      <c r="F6" s="17">
        <f>IF(Roster[[#This Row],[Name]]="","",SUMIFS(Items[Pts],Items[Owner],Roster[[#This Row],[Name]],Items[In sprint],1))</f>
      </c>
      <c r="G6" s="17">
        <f>IF(Roster[[#This Row],[Name]]="","",COUNTIFS(Items[Owner],Roster[[#This Row],[Name]],Items[In sprint],1,Items[State],"&lt;&gt;DONE"))</f>
      </c>
      <c r="H6" s="17">
        <f>IF(Roster[[#This Row],[Name]]="","",SUMIFS(Items[Pts],Items[Owner],Roster[[#This Row],[Name]],Items[In sprint],1,Items[State],"DONE"))</f>
      </c>
      <c r="I6" s="17">
        <f>IF(Roster[[#This Row],[Name]]="","",COUNTIFS(Items[Owner],Roster[[#This Row],[Name]],Items[In sprint],1,Items[State],"WAIT"))</f>
      </c>
      <c r="J6" s="13">
        <f>IF(Roster[[#This Row],[Name]]="","",IFERROR(Roster[[#This Row],[In sprint]]/SUMIFS(Items[Pts],Items[Cur team],Roster[[#This Row],[Team]],Items[In sprint],1),""))</f>
      </c>
    </row>
    <row r="7">
      <c r="A7" t="s">
        <v>1144</v>
      </c>
      <c r="C7" t="s">
        <v>1112</v>
      </c>
      <c r="F7" s="17">
        <f>IF(Roster[[#This Row],[Name]]="","",SUMIFS(Items[Pts],Items[Owner],Roster[[#This Row],[Name]],Items[In sprint],1))</f>
      </c>
      <c r="G7" s="17">
        <f>IF(Roster[[#This Row],[Name]]="","",COUNTIFS(Items[Owner],Roster[[#This Row],[Name]],Items[In sprint],1,Items[State],"&lt;&gt;DONE"))</f>
      </c>
      <c r="H7" s="17">
        <f>IF(Roster[[#This Row],[Name]]="","",SUMIFS(Items[Pts],Items[Owner],Roster[[#This Row],[Name]],Items[In sprint],1,Items[State],"DONE"))</f>
      </c>
      <c r="I7" s="17">
        <f>IF(Roster[[#This Row],[Name]]="","",COUNTIFS(Items[Owner],Roster[[#This Row],[Name]],Items[In sprint],1,Items[State],"WAIT"))</f>
      </c>
      <c r="J7" s="13">
        <f>IF(Roster[[#This Row],[Name]]="","",IFERROR(Roster[[#This Row],[In sprint]]/SUMIFS(Items[Pts],Items[Cur team],Roster[[#This Row],[Team]],Items[In sprint],1),""))</f>
      </c>
    </row>
    <row r="8">
      <c r="A8" t="s">
        <v>1184</v>
      </c>
      <c r="C8" t="s">
        <v>1112</v>
      </c>
      <c r="F8" s="17">
        <f>IF(Roster[[#This Row],[Name]]="","",SUMIFS(Items[Pts],Items[Owner],Roster[[#This Row],[Name]],Items[In sprint],1))</f>
      </c>
      <c r="G8" s="17">
        <f>IF(Roster[[#This Row],[Name]]="","",COUNTIFS(Items[Owner],Roster[[#This Row],[Name]],Items[In sprint],1,Items[State],"&lt;&gt;DONE"))</f>
      </c>
      <c r="H8" s="17">
        <f>IF(Roster[[#This Row],[Name]]="","",SUMIFS(Items[Pts],Items[Owner],Roster[[#This Row],[Name]],Items[In sprint],1,Items[State],"DONE"))</f>
      </c>
      <c r="I8" s="17">
        <f>IF(Roster[[#This Row],[Name]]="","",COUNTIFS(Items[Owner],Roster[[#This Row],[Name]],Items[In sprint],1,Items[State],"WAIT"))</f>
      </c>
      <c r="J8" s="13">
        <f>IF(Roster[[#This Row],[Name]]="","",IFERROR(Roster[[#This Row],[In sprint]]/SUMIFS(Items[Pts],Items[Cur team],Roster[[#This Row],[Team]],Items[In sprint],1),""))</f>
      </c>
    </row>
    <row r="9">
      <c r="A9" t="s">
        <v>1412</v>
      </c>
      <c r="C9" t="s">
        <v>1112</v>
      </c>
      <c r="F9" s="17">
        <f>IF(Roster[[#This Row],[Name]]="","",SUMIFS(Items[Pts],Items[Owner],Roster[[#This Row],[Name]],Items[In sprint],1))</f>
      </c>
      <c r="G9" s="17">
        <f>IF(Roster[[#This Row],[Name]]="","",COUNTIFS(Items[Owner],Roster[[#This Row],[Name]],Items[In sprint],1,Items[State],"&lt;&gt;DONE"))</f>
      </c>
      <c r="H9" s="17">
        <f>IF(Roster[[#This Row],[Name]]="","",SUMIFS(Items[Pts],Items[Owner],Roster[[#This Row],[Name]],Items[In sprint],1,Items[State],"DONE"))</f>
      </c>
      <c r="I9" s="17">
        <f>IF(Roster[[#This Row],[Name]]="","",COUNTIFS(Items[Owner],Roster[[#This Row],[Name]],Items[In sprint],1,Items[State],"WAIT"))</f>
      </c>
      <c r="J9" s="13">
        <f>IF(Roster[[#This Row],[Name]]="","",IFERROR(Roster[[#This Row],[In sprint]]/SUMIFS(Items[Pts],Items[Cur team],Roster[[#This Row],[Team]],Items[In sprint],1),""))</f>
      </c>
    </row>
    <row r="10">
      <c r="A10" t="s">
        <v>1147</v>
      </c>
      <c r="C10" t="s">
        <v>1112</v>
      </c>
      <c r="F10" s="17">
        <f>IF(Roster[[#This Row],[Name]]="","",SUMIFS(Items[Pts],Items[Owner],Roster[[#This Row],[Name]],Items[In sprint],1))</f>
      </c>
      <c r="G10" s="17">
        <f>IF(Roster[[#This Row],[Name]]="","",COUNTIFS(Items[Owner],Roster[[#This Row],[Name]],Items[In sprint],1,Items[State],"&lt;&gt;DONE"))</f>
      </c>
      <c r="H10" s="17">
        <f>IF(Roster[[#This Row],[Name]]="","",SUMIFS(Items[Pts],Items[Owner],Roster[[#This Row],[Name]],Items[In sprint],1,Items[State],"DONE"))</f>
      </c>
      <c r="I10" s="17">
        <f>IF(Roster[[#This Row],[Name]]="","",COUNTIFS(Items[Owner],Roster[[#This Row],[Name]],Items[In sprint],1,Items[State],"WAIT"))</f>
      </c>
      <c r="J10" s="13">
        <f>IF(Roster[[#This Row],[Name]]="","",IFERROR(Roster[[#This Row],[In sprint]]/SUMIFS(Items[Pts],Items[Cur team],Roster[[#This Row],[Team]],Items[In sprint],1),""))</f>
      </c>
    </row>
    <row r="11">
      <c r="A11" t="s">
        <v>1113</v>
      </c>
      <c r="C11" t="s">
        <v>1112</v>
      </c>
      <c r="F11" s="17">
        <f>IF(Roster[[#This Row],[Name]]="","",SUMIFS(Items[Pts],Items[Owner],Roster[[#This Row],[Name]],Items[In sprint],1))</f>
      </c>
      <c r="G11" s="17">
        <f>IF(Roster[[#This Row],[Name]]="","",COUNTIFS(Items[Owner],Roster[[#This Row],[Name]],Items[In sprint],1,Items[State],"&lt;&gt;DONE"))</f>
      </c>
      <c r="H11" s="17">
        <f>IF(Roster[[#This Row],[Name]]="","",SUMIFS(Items[Pts],Items[Owner],Roster[[#This Row],[Name]],Items[In sprint],1,Items[State],"DONE"))</f>
      </c>
      <c r="I11" s="17">
        <f>IF(Roster[[#This Row],[Name]]="","",COUNTIFS(Items[Owner],Roster[[#This Row],[Name]],Items[In sprint],1,Items[State],"WAIT"))</f>
      </c>
      <c r="J11" s="13">
        <f>IF(Roster[[#This Row],[Name]]="","",IFERROR(Roster[[#This Row],[In sprint]]/SUMIFS(Items[Pts],Items[Cur team],Roster[[#This Row],[Team]],Items[In sprint],1),""))</f>
      </c>
    </row>
    <row r="12">
      <c r="A12" t="s">
        <v>1191</v>
      </c>
      <c r="C12" t="s">
        <v>1120</v>
      </c>
      <c r="F12" s="17">
        <f>IF(Roster[[#This Row],[Name]]="","",SUMIFS(Items[Pts],Items[Owner],Roster[[#This Row],[Name]],Items[In sprint],1))</f>
      </c>
      <c r="G12" s="17">
        <f>IF(Roster[[#This Row],[Name]]="","",COUNTIFS(Items[Owner],Roster[[#This Row],[Name]],Items[In sprint],1,Items[State],"&lt;&gt;DONE"))</f>
      </c>
      <c r="H12" s="17">
        <f>IF(Roster[[#This Row],[Name]]="","",SUMIFS(Items[Pts],Items[Owner],Roster[[#This Row],[Name]],Items[In sprint],1,Items[State],"DONE"))</f>
      </c>
      <c r="I12" s="17">
        <f>IF(Roster[[#This Row],[Name]]="","",COUNTIFS(Items[Owner],Roster[[#This Row],[Name]],Items[In sprint],1,Items[State],"WAIT"))</f>
      </c>
      <c r="J12" s="13">
        <f>IF(Roster[[#This Row],[Name]]="","",IFERROR(Roster[[#This Row],[In sprint]]/SUMIFS(Items[Pts],Items[Cur team],Roster[[#This Row],[Team]],Items[In sprint],1),""))</f>
      </c>
    </row>
    <row r="13">
      <c r="A13" t="s">
        <v>1151</v>
      </c>
      <c r="C13" t="s">
        <v>1120</v>
      </c>
      <c r="F13" s="17">
        <f>IF(Roster[[#This Row],[Name]]="","",SUMIFS(Items[Pts],Items[Owner],Roster[[#This Row],[Name]],Items[In sprint],1))</f>
      </c>
      <c r="G13" s="17">
        <f>IF(Roster[[#This Row],[Name]]="","",COUNTIFS(Items[Owner],Roster[[#This Row],[Name]],Items[In sprint],1,Items[State],"&lt;&gt;DONE"))</f>
      </c>
      <c r="H13" s="17">
        <f>IF(Roster[[#This Row],[Name]]="","",SUMIFS(Items[Pts],Items[Owner],Roster[[#This Row],[Name]],Items[In sprint],1,Items[State],"DONE"))</f>
      </c>
      <c r="I13" s="17">
        <f>IF(Roster[[#This Row],[Name]]="","",COUNTIFS(Items[Owner],Roster[[#This Row],[Name]],Items[In sprint],1,Items[State],"WAIT"))</f>
      </c>
      <c r="J13" s="13">
        <f>IF(Roster[[#This Row],[Name]]="","",IFERROR(Roster[[#This Row],[In sprint]]/SUMIFS(Items[Pts],Items[Cur team],Roster[[#This Row],[Team]],Items[In sprint],1),""))</f>
      </c>
    </row>
    <row r="14">
      <c r="A14" t="s">
        <v>1193</v>
      </c>
      <c r="C14" t="s">
        <v>1120</v>
      </c>
      <c r="F14" s="17">
        <f>IF(Roster[[#This Row],[Name]]="","",SUMIFS(Items[Pts],Items[Owner],Roster[[#This Row],[Name]],Items[In sprint],1))</f>
      </c>
      <c r="G14" s="17">
        <f>IF(Roster[[#This Row],[Name]]="","",COUNTIFS(Items[Owner],Roster[[#This Row],[Name]],Items[In sprint],1,Items[State],"&lt;&gt;DONE"))</f>
      </c>
      <c r="H14" s="17">
        <f>IF(Roster[[#This Row],[Name]]="","",SUMIFS(Items[Pts],Items[Owner],Roster[[#This Row],[Name]],Items[In sprint],1,Items[State],"DONE"))</f>
      </c>
      <c r="I14" s="17">
        <f>IF(Roster[[#This Row],[Name]]="","",COUNTIFS(Items[Owner],Roster[[#This Row],[Name]],Items[In sprint],1,Items[State],"WAIT"))</f>
      </c>
      <c r="J14" s="13">
        <f>IF(Roster[[#This Row],[Name]]="","",IFERROR(Roster[[#This Row],[In sprint]]/SUMIFS(Items[Pts],Items[Cur team],Roster[[#This Row],[Team]],Items[In sprint],1),""))</f>
      </c>
    </row>
    <row r="15">
      <c r="A15" t="s">
        <v>1269</v>
      </c>
      <c r="C15" t="s">
        <v>1120</v>
      </c>
      <c r="F15" s="17">
        <f>IF(Roster[[#This Row],[Name]]="","",SUMIFS(Items[Pts],Items[Owner],Roster[[#This Row],[Name]],Items[In sprint],1))</f>
      </c>
      <c r="G15" s="17">
        <f>IF(Roster[[#This Row],[Name]]="","",COUNTIFS(Items[Owner],Roster[[#This Row],[Name]],Items[In sprint],1,Items[State],"&lt;&gt;DONE"))</f>
      </c>
      <c r="H15" s="17">
        <f>IF(Roster[[#This Row],[Name]]="","",SUMIFS(Items[Pts],Items[Owner],Roster[[#This Row],[Name]],Items[In sprint],1,Items[State],"DONE"))</f>
      </c>
      <c r="I15" s="17">
        <f>IF(Roster[[#This Row],[Name]]="","",COUNTIFS(Items[Owner],Roster[[#This Row],[Name]],Items[In sprint],1,Items[State],"WAIT"))</f>
      </c>
      <c r="J15" s="13">
        <f>IF(Roster[[#This Row],[Name]]="","",IFERROR(Roster[[#This Row],[In sprint]]/SUMIFS(Items[Pts],Items[Cur team],Roster[[#This Row],[Team]],Items[In sprint],1),""))</f>
      </c>
    </row>
    <row r="16">
      <c r="A16" t="s">
        <v>1339</v>
      </c>
      <c r="C16" t="s">
        <v>1120</v>
      </c>
      <c r="F16" s="17">
        <f>IF(Roster[[#This Row],[Name]]="","",SUMIFS(Items[Pts],Items[Owner],Roster[[#This Row],[Name]],Items[In sprint],1))</f>
      </c>
      <c r="G16" s="17">
        <f>IF(Roster[[#This Row],[Name]]="","",COUNTIFS(Items[Owner],Roster[[#This Row],[Name]],Items[In sprint],1,Items[State],"&lt;&gt;DONE"))</f>
      </c>
      <c r="H16" s="17">
        <f>IF(Roster[[#This Row],[Name]]="","",SUMIFS(Items[Pts],Items[Owner],Roster[[#This Row],[Name]],Items[In sprint],1,Items[State],"DONE"))</f>
      </c>
      <c r="I16" s="17">
        <f>IF(Roster[[#This Row],[Name]]="","",COUNTIFS(Items[Owner],Roster[[#This Row],[Name]],Items[In sprint],1,Items[State],"WAIT"))</f>
      </c>
      <c r="J16" s="13">
        <f>IF(Roster[[#This Row],[Name]]="","",IFERROR(Roster[[#This Row],[In sprint]]/SUMIFS(Items[Pts],Items[Cur team],Roster[[#This Row],[Team]],Items[In sprint],1),""))</f>
      </c>
    </row>
    <row r="17">
      <c r="A17" t="s">
        <v>1421</v>
      </c>
      <c r="C17" t="s">
        <v>1120</v>
      </c>
      <c r="F17" s="17">
        <f>IF(Roster[[#This Row],[Name]]="","",SUMIFS(Items[Pts],Items[Owner],Roster[[#This Row],[Name]],Items[In sprint],1))</f>
      </c>
      <c r="G17" s="17">
        <f>IF(Roster[[#This Row],[Name]]="","",COUNTIFS(Items[Owner],Roster[[#This Row],[Name]],Items[In sprint],1,Items[State],"&lt;&gt;DONE"))</f>
      </c>
      <c r="H17" s="17">
        <f>IF(Roster[[#This Row],[Name]]="","",SUMIFS(Items[Pts],Items[Owner],Roster[[#This Row],[Name]],Items[In sprint],1,Items[State],"DONE"))</f>
      </c>
      <c r="I17" s="17">
        <f>IF(Roster[[#This Row],[Name]]="","",COUNTIFS(Items[Owner],Roster[[#This Row],[Name]],Items[In sprint],1,Items[State],"WAIT"))</f>
      </c>
      <c r="J17" s="13">
        <f>IF(Roster[[#This Row],[Name]]="","",IFERROR(Roster[[#This Row],[In sprint]]/SUMIFS(Items[Pts],Items[Cur team],Roster[[#This Row],[Team]],Items[In sprint],1),""))</f>
      </c>
    </row>
    <row r="18">
      <c r="A18" t="s">
        <v>1121</v>
      </c>
      <c r="C18" t="s">
        <v>1120</v>
      </c>
      <c r="F18" s="17">
        <f>IF(Roster[[#This Row],[Name]]="","",SUMIFS(Items[Pts],Items[Owner],Roster[[#This Row],[Name]],Items[In sprint],1))</f>
      </c>
      <c r="G18" s="17">
        <f>IF(Roster[[#This Row],[Name]]="","",COUNTIFS(Items[Owner],Roster[[#This Row],[Name]],Items[In sprint],1,Items[State],"&lt;&gt;DONE"))</f>
      </c>
      <c r="H18" s="17">
        <f>IF(Roster[[#This Row],[Name]]="","",SUMIFS(Items[Pts],Items[Owner],Roster[[#This Row],[Name]],Items[In sprint],1,Items[State],"DONE"))</f>
      </c>
      <c r="I18" s="17">
        <f>IF(Roster[[#This Row],[Name]]="","",COUNTIFS(Items[Owner],Roster[[#This Row],[Name]],Items[In sprint],1,Items[State],"WAIT"))</f>
      </c>
      <c r="J18" s="13">
        <f>IF(Roster[[#This Row],[Name]]="","",IFERROR(Roster[[#This Row],[In sprint]]/SUMIFS(Items[Pts],Items[Cur team],Roster[[#This Row],[Team]],Items[In sprint],1),""))</f>
      </c>
    </row>
    <row r="19">
      <c r="A19" t="s">
        <v>1342</v>
      </c>
      <c r="C19" t="s">
        <v>1120</v>
      </c>
      <c r="F19" s="17">
        <f>IF(Roster[[#This Row],[Name]]="","",SUMIFS(Items[Pts],Items[Owner],Roster[[#This Row],[Name]],Items[In sprint],1))</f>
      </c>
      <c r="G19" s="17">
        <f>IF(Roster[[#This Row],[Name]]="","",COUNTIFS(Items[Owner],Roster[[#This Row],[Name]],Items[In sprint],1,Items[State],"&lt;&gt;DONE"))</f>
      </c>
      <c r="H19" s="17">
        <f>IF(Roster[[#This Row],[Name]]="","",SUMIFS(Items[Pts],Items[Owner],Roster[[#This Row],[Name]],Items[In sprint],1,Items[State],"DONE"))</f>
      </c>
      <c r="I19" s="17">
        <f>IF(Roster[[#This Row],[Name]]="","",COUNTIFS(Items[Owner],Roster[[#This Row],[Name]],Items[In sprint],1,Items[State],"WAIT"))</f>
      </c>
      <c r="J19" s="13">
        <f>IF(Roster[[#This Row],[Name]]="","",IFERROR(Roster[[#This Row],[In sprint]]/SUMIFS(Items[Pts],Items[Cur team],Roster[[#This Row],[Team]],Items[In sprint],1),""))</f>
      </c>
    </row>
    <row r="20">
      <c r="A20" t="s">
        <v>1153</v>
      </c>
      <c r="C20" t="s">
        <v>1120</v>
      </c>
      <c r="F20" s="17">
        <f>IF(Roster[[#This Row],[Name]]="","",SUMIFS(Items[Pts],Items[Owner],Roster[[#This Row],[Name]],Items[In sprint],1))</f>
      </c>
      <c r="G20" s="17">
        <f>IF(Roster[[#This Row],[Name]]="","",COUNTIFS(Items[Owner],Roster[[#This Row],[Name]],Items[In sprint],1,Items[State],"&lt;&gt;DONE"))</f>
      </c>
      <c r="H20" s="17">
        <f>IF(Roster[[#This Row],[Name]]="","",SUMIFS(Items[Pts],Items[Owner],Roster[[#This Row],[Name]],Items[In sprint],1,Items[State],"DONE"))</f>
      </c>
      <c r="I20" s="17">
        <f>IF(Roster[[#This Row],[Name]]="","",COUNTIFS(Items[Owner],Roster[[#This Row],[Name]],Items[In sprint],1,Items[State],"WAIT"))</f>
      </c>
      <c r="J20" s="13">
        <f>IF(Roster[[#This Row],[Name]]="","",IFERROR(Roster[[#This Row],[In sprint]]/SUMIFS(Items[Pts],Items[Cur team],Roster[[#This Row],[Team]],Items[In sprint],1),""))</f>
      </c>
    </row>
    <row r="21">
      <c r="A21" t="s">
        <v>1272</v>
      </c>
      <c r="C21" t="s">
        <v>1120</v>
      </c>
      <c r="F21" s="17">
        <f>IF(Roster[[#This Row],[Name]]="","",SUMIFS(Items[Pts],Items[Owner],Roster[[#This Row],[Name]],Items[In sprint],1))</f>
      </c>
      <c r="G21" s="17">
        <f>IF(Roster[[#This Row],[Name]]="","",COUNTIFS(Items[Owner],Roster[[#This Row],[Name]],Items[In sprint],1,Items[State],"&lt;&gt;DONE"))</f>
      </c>
      <c r="H21" s="17">
        <f>IF(Roster[[#This Row],[Name]]="","",SUMIFS(Items[Pts],Items[Owner],Roster[[#This Row],[Name]],Items[In sprint],1,Items[State],"DONE"))</f>
      </c>
      <c r="I21" s="17">
        <f>IF(Roster[[#This Row],[Name]]="","",COUNTIFS(Items[Owner],Roster[[#This Row],[Name]],Items[In sprint],1,Items[State],"WAIT"))</f>
      </c>
      <c r="J21" s="13">
        <f>IF(Roster[[#This Row],[Name]]="","",IFERROR(Roster[[#This Row],[In sprint]]/SUMIFS(Items[Pts],Items[Cur team],Roster[[#This Row],[Team]],Items[In sprint],1),""))</f>
      </c>
    </row>
    <row r="22">
      <c r="A22" t="s">
        <v>1200</v>
      </c>
      <c r="C22" t="s">
        <v>1124</v>
      </c>
      <c r="F22" s="17">
        <f>IF(Roster[[#This Row],[Name]]="","",SUMIFS(Items[Pts],Items[Owner],Roster[[#This Row],[Name]],Items[In sprint],1))</f>
      </c>
      <c r="G22" s="17">
        <f>IF(Roster[[#This Row],[Name]]="","",COUNTIFS(Items[Owner],Roster[[#This Row],[Name]],Items[In sprint],1,Items[State],"&lt;&gt;DONE"))</f>
      </c>
      <c r="H22" s="17">
        <f>IF(Roster[[#This Row],[Name]]="","",SUMIFS(Items[Pts],Items[Owner],Roster[[#This Row],[Name]],Items[In sprint],1,Items[State],"DONE"))</f>
      </c>
      <c r="I22" s="17">
        <f>IF(Roster[[#This Row],[Name]]="","",COUNTIFS(Items[Owner],Roster[[#This Row],[Name]],Items[In sprint],1,Items[State],"WAIT"))</f>
      </c>
      <c r="J22" s="13">
        <f>IF(Roster[[#This Row],[Name]]="","",IFERROR(Roster[[#This Row],[In sprint]]/SUMIFS(Items[Pts],Items[Cur team],Roster[[#This Row],[Team]],Items[In sprint],1),""))</f>
      </c>
    </row>
    <row r="23">
      <c r="A23" t="s">
        <v>1280</v>
      </c>
      <c r="C23" t="s">
        <v>1124</v>
      </c>
      <c r="F23" s="17">
        <f>IF(Roster[[#This Row],[Name]]="","",SUMIFS(Items[Pts],Items[Owner],Roster[[#This Row],[Name]],Items[In sprint],1))</f>
      </c>
      <c r="G23" s="17">
        <f>IF(Roster[[#This Row],[Name]]="","",COUNTIFS(Items[Owner],Roster[[#This Row],[Name]],Items[In sprint],1,Items[State],"&lt;&gt;DONE"))</f>
      </c>
      <c r="H23" s="17">
        <f>IF(Roster[[#This Row],[Name]]="","",SUMIFS(Items[Pts],Items[Owner],Roster[[#This Row],[Name]],Items[In sprint],1,Items[State],"DONE"))</f>
      </c>
      <c r="I23" s="17">
        <f>IF(Roster[[#This Row],[Name]]="","",COUNTIFS(Items[Owner],Roster[[#This Row],[Name]],Items[In sprint],1,Items[State],"WAIT"))</f>
      </c>
      <c r="J23" s="13">
        <f>IF(Roster[[#This Row],[Name]]="","",IFERROR(Roster[[#This Row],[In sprint]]/SUMIFS(Items[Pts],Items[Cur team],Roster[[#This Row],[Team]],Items[In sprint],1),""))</f>
      </c>
    </row>
    <row r="24">
      <c r="A24" t="s">
        <v>1666</v>
      </c>
      <c r="C24" t="s">
        <v>1124</v>
      </c>
      <c r="F24" s="17">
        <f>IF(Roster[[#This Row],[Name]]="","",SUMIFS(Items[Pts],Items[Owner],Roster[[#This Row],[Name]],Items[In sprint],1))</f>
      </c>
      <c r="G24" s="17">
        <f>IF(Roster[[#This Row],[Name]]="","",COUNTIFS(Items[Owner],Roster[[#This Row],[Name]],Items[In sprint],1,Items[State],"&lt;&gt;DONE"))</f>
      </c>
      <c r="H24" s="17">
        <f>IF(Roster[[#This Row],[Name]]="","",SUMIFS(Items[Pts],Items[Owner],Roster[[#This Row],[Name]],Items[In sprint],1,Items[State],"DONE"))</f>
      </c>
      <c r="I24" s="17">
        <f>IF(Roster[[#This Row],[Name]]="","",COUNTIFS(Items[Owner],Roster[[#This Row],[Name]],Items[In sprint],1,Items[State],"WAIT"))</f>
      </c>
      <c r="J24" s="13">
        <f>IF(Roster[[#This Row],[Name]]="","",IFERROR(Roster[[#This Row],[In sprint]]/SUMIFS(Items[Pts],Items[Cur team],Roster[[#This Row],[Team]],Items[In sprint],1),""))</f>
      </c>
    </row>
    <row r="25">
      <c r="A25" t="s">
        <v>1203</v>
      </c>
      <c r="C25" t="s">
        <v>1124</v>
      </c>
      <c r="F25" s="17">
        <f>IF(Roster[[#This Row],[Name]]="","",SUMIFS(Items[Pts],Items[Owner],Roster[[#This Row],[Name]],Items[In sprint],1))</f>
      </c>
      <c r="G25" s="17">
        <f>IF(Roster[[#This Row],[Name]]="","",COUNTIFS(Items[Owner],Roster[[#This Row],[Name]],Items[In sprint],1,Items[State],"&lt;&gt;DONE"))</f>
      </c>
      <c r="H25" s="17">
        <f>IF(Roster[[#This Row],[Name]]="","",SUMIFS(Items[Pts],Items[Owner],Roster[[#This Row],[Name]],Items[In sprint],1,Items[State],"DONE"))</f>
      </c>
      <c r="I25" s="17">
        <f>IF(Roster[[#This Row],[Name]]="","",COUNTIFS(Items[Owner],Roster[[#This Row],[Name]],Items[In sprint],1,Items[State],"WAIT"))</f>
      </c>
      <c r="J25" s="13">
        <f>IF(Roster[[#This Row],[Name]]="","",IFERROR(Roster[[#This Row],[In sprint]]/SUMIFS(Items[Pts],Items[Cur team],Roster[[#This Row],[Team]],Items[In sprint],1),""))</f>
      </c>
    </row>
    <row r="26">
      <c r="A26" t="s">
        <v>1155</v>
      </c>
      <c r="C26" t="s">
        <v>1124</v>
      </c>
      <c r="F26" s="17">
        <f>IF(Roster[[#This Row],[Name]]="","",SUMIFS(Items[Pts],Items[Owner],Roster[[#This Row],[Name]],Items[In sprint],1))</f>
      </c>
      <c r="G26" s="17">
        <f>IF(Roster[[#This Row],[Name]]="","",COUNTIFS(Items[Owner],Roster[[#This Row],[Name]],Items[In sprint],1,Items[State],"&lt;&gt;DONE"))</f>
      </c>
      <c r="H26" s="17">
        <f>IF(Roster[[#This Row],[Name]]="","",SUMIFS(Items[Pts],Items[Owner],Roster[[#This Row],[Name]],Items[In sprint],1,Items[State],"DONE"))</f>
      </c>
      <c r="I26" s="17">
        <f>IF(Roster[[#This Row],[Name]]="","",COUNTIFS(Items[Owner],Roster[[#This Row],[Name]],Items[In sprint],1,Items[State],"WAIT"))</f>
      </c>
      <c r="J26" s="13">
        <f>IF(Roster[[#This Row],[Name]]="","",IFERROR(Roster[[#This Row],[In sprint]]/SUMIFS(Items[Pts],Items[Cur team],Roster[[#This Row],[Team]],Items[In sprint],1),""))</f>
      </c>
    </row>
    <row r="27">
      <c r="A27" t="s">
        <v>1125</v>
      </c>
      <c r="C27" t="s">
        <v>1124</v>
      </c>
      <c r="F27" s="17">
        <f>IF(Roster[[#This Row],[Name]]="","",SUMIFS(Items[Pts],Items[Owner],Roster[[#This Row],[Name]],Items[In sprint],1))</f>
      </c>
      <c r="G27" s="17">
        <f>IF(Roster[[#This Row],[Name]]="","",COUNTIFS(Items[Owner],Roster[[#This Row],[Name]],Items[In sprint],1,Items[State],"&lt;&gt;DONE"))</f>
      </c>
      <c r="H27" s="17">
        <f>IF(Roster[[#This Row],[Name]]="","",SUMIFS(Items[Pts],Items[Owner],Roster[[#This Row],[Name]],Items[In sprint],1,Items[State],"DONE"))</f>
      </c>
      <c r="I27" s="17">
        <f>IF(Roster[[#This Row],[Name]]="","",COUNTIFS(Items[Owner],Roster[[#This Row],[Name]],Items[In sprint],1,Items[State],"WAIT"))</f>
      </c>
      <c r="J27" s="13">
        <f>IF(Roster[[#This Row],[Name]]="","",IFERROR(Roster[[#This Row],[In sprint]]/SUMIFS(Items[Pts],Items[Cur team],Roster[[#This Row],[Team]],Items[In sprint],1),""))</f>
      </c>
    </row>
    <row r="28">
      <c r="A28" t="s">
        <v>1157</v>
      </c>
      <c r="C28" t="s">
        <v>1124</v>
      </c>
      <c r="F28" s="17">
        <f>IF(Roster[[#This Row],[Name]]="","",SUMIFS(Items[Pts],Items[Owner],Roster[[#This Row],[Name]],Items[In sprint],1))</f>
      </c>
      <c r="G28" s="17">
        <f>IF(Roster[[#This Row],[Name]]="","",COUNTIFS(Items[Owner],Roster[[#This Row],[Name]],Items[In sprint],1,Items[State],"&lt;&gt;DONE"))</f>
      </c>
      <c r="H28" s="17">
        <f>IF(Roster[[#This Row],[Name]]="","",SUMIFS(Items[Pts],Items[Owner],Roster[[#This Row],[Name]],Items[In sprint],1,Items[State],"DONE"))</f>
      </c>
      <c r="I28" s="17">
        <f>IF(Roster[[#This Row],[Name]]="","",COUNTIFS(Items[Owner],Roster[[#This Row],[Name]],Items[In sprint],1,Items[State],"WAIT"))</f>
      </c>
      <c r="J28" s="13">
        <f>IF(Roster[[#This Row],[Name]]="","",IFERROR(Roster[[#This Row],[In sprint]]/SUMIFS(Items[Pts],Items[Cur team],Roster[[#This Row],[Team]],Items[In sprint],1),""))</f>
      </c>
    </row>
    <row r="29">
      <c r="A29" t="s">
        <v>1198</v>
      </c>
      <c r="C29" t="s">
        <v>1124</v>
      </c>
      <c r="F29" s="17">
        <f>IF(Roster[[#This Row],[Name]]="","",SUMIFS(Items[Pts],Items[Owner],Roster[[#This Row],[Name]],Items[In sprint],1))</f>
      </c>
      <c r="G29" s="17">
        <f>IF(Roster[[#This Row],[Name]]="","",COUNTIFS(Items[Owner],Roster[[#This Row],[Name]],Items[In sprint],1,Items[State],"&lt;&gt;DONE"))</f>
      </c>
      <c r="H29" s="17">
        <f>IF(Roster[[#This Row],[Name]]="","",SUMIFS(Items[Pts],Items[Owner],Roster[[#This Row],[Name]],Items[In sprint],1,Items[State],"DONE"))</f>
      </c>
      <c r="I29" s="17">
        <f>IF(Roster[[#This Row],[Name]]="","",COUNTIFS(Items[Owner],Roster[[#This Row],[Name]],Items[In sprint],1,Items[State],"WAIT"))</f>
      </c>
      <c r="J29" s="13">
        <f>IF(Roster[[#This Row],[Name]]="","",IFERROR(Roster[[#This Row],[In sprint]]/SUMIFS(Items[Pts],Items[Cur team],Roster[[#This Row],[Team]],Items[In sprint],1),""))</f>
      </c>
    </row>
    <row r="30">
      <c r="A30" t="s">
        <v>1283</v>
      </c>
      <c r="C30" t="s">
        <v>1124</v>
      </c>
      <c r="F30" s="17">
        <f>IF(Roster[[#This Row],[Name]]="","",SUMIFS(Items[Pts],Items[Owner],Roster[[#This Row],[Name]],Items[In sprint],1))</f>
      </c>
      <c r="G30" s="17">
        <f>IF(Roster[[#This Row],[Name]]="","",COUNTIFS(Items[Owner],Roster[[#This Row],[Name]],Items[In sprint],1,Items[State],"&lt;&gt;DONE"))</f>
      </c>
      <c r="H30" s="17">
        <f>IF(Roster[[#This Row],[Name]]="","",SUMIFS(Items[Pts],Items[Owner],Roster[[#This Row],[Name]],Items[In sprint],1,Items[State],"DONE"))</f>
      </c>
      <c r="I30" s="17">
        <f>IF(Roster[[#This Row],[Name]]="","",COUNTIFS(Items[Owner],Roster[[#This Row],[Name]],Items[In sprint],1,Items[State],"WAIT"))</f>
      </c>
      <c r="J30" s="13">
        <f>IF(Roster[[#This Row],[Name]]="","",IFERROR(Roster[[#This Row],[In sprint]]/SUMIFS(Items[Pts],Items[Cur team],Roster[[#This Row],[Team]],Items[In sprint],1),""))</f>
      </c>
    </row>
    <row r="31">
      <c r="A31" t="s">
        <v>1344</v>
      </c>
      <c r="C31" t="s">
        <v>1124</v>
      </c>
      <c r="F31" s="17">
        <f>IF(Roster[[#This Row],[Name]]="","",SUMIFS(Items[Pts],Items[Owner],Roster[[#This Row],[Name]],Items[In sprint],1))</f>
      </c>
      <c r="G31" s="17">
        <f>IF(Roster[[#This Row],[Name]]="","",COUNTIFS(Items[Owner],Roster[[#This Row],[Name]],Items[In sprint],1,Items[State],"&lt;&gt;DONE"))</f>
      </c>
      <c r="H31" s="17">
        <f>IF(Roster[[#This Row],[Name]]="","",SUMIFS(Items[Pts],Items[Owner],Roster[[#This Row],[Name]],Items[In sprint],1,Items[State],"DONE"))</f>
      </c>
      <c r="I31" s="17">
        <f>IF(Roster[[#This Row],[Name]]="","",COUNTIFS(Items[Owner],Roster[[#This Row],[Name]],Items[In sprint],1,Items[State],"WAIT"))</f>
      </c>
      <c r="J31" s="13">
        <f>IF(Roster[[#This Row],[Name]]="","",IFERROR(Roster[[#This Row],[In sprint]]/SUMIFS(Items[Pts],Items[Cur team],Roster[[#This Row],[Team]],Items[In sprint],1),""))</f>
      </c>
    </row>
    <row r="32">
      <c r="A32" t="s">
        <v>1207</v>
      </c>
      <c r="C32" t="s">
        <v>1159</v>
      </c>
      <c r="F32" s="17">
        <f>IF(Roster[[#This Row],[Name]]="","",SUMIFS(Items[Pts],Items[Owner],Roster[[#This Row],[Name]],Items[In sprint],1))</f>
      </c>
      <c r="G32" s="17">
        <f>IF(Roster[[#This Row],[Name]]="","",COUNTIFS(Items[Owner],Roster[[#This Row],[Name]],Items[In sprint],1,Items[State],"&lt;&gt;DONE"))</f>
      </c>
      <c r="H32" s="17">
        <f>IF(Roster[[#This Row],[Name]]="","",SUMIFS(Items[Pts],Items[Owner],Roster[[#This Row],[Name]],Items[In sprint],1,Items[State],"DONE"))</f>
      </c>
      <c r="I32" s="17">
        <f>IF(Roster[[#This Row],[Name]]="","",COUNTIFS(Items[Owner],Roster[[#This Row],[Name]],Items[In sprint],1,Items[State],"WAIT"))</f>
      </c>
      <c r="J32" s="13">
        <f>IF(Roster[[#This Row],[Name]]="","",IFERROR(Roster[[#This Row],[In sprint]]/SUMIFS(Items[Pts],Items[Cur team],Roster[[#This Row],[Team]],Items[In sprint],1),""))</f>
      </c>
    </row>
    <row r="33">
      <c r="A33" t="s">
        <v>1433</v>
      </c>
      <c r="C33" t="s">
        <v>1159</v>
      </c>
      <c r="F33" s="17">
        <f>IF(Roster[[#This Row],[Name]]="","",SUMIFS(Items[Pts],Items[Owner],Roster[[#This Row],[Name]],Items[In sprint],1))</f>
      </c>
      <c r="G33" s="17">
        <f>IF(Roster[[#This Row],[Name]]="","",COUNTIFS(Items[Owner],Roster[[#This Row],[Name]],Items[In sprint],1,Items[State],"&lt;&gt;DONE"))</f>
      </c>
      <c r="H33" s="17">
        <f>IF(Roster[[#This Row],[Name]]="","",SUMIFS(Items[Pts],Items[Owner],Roster[[#This Row],[Name]],Items[In sprint],1,Items[State],"DONE"))</f>
      </c>
      <c r="I33" s="17">
        <f>IF(Roster[[#This Row],[Name]]="","",COUNTIFS(Items[Owner],Roster[[#This Row],[Name]],Items[In sprint],1,Items[State],"WAIT"))</f>
      </c>
      <c r="J33" s="13">
        <f>IF(Roster[[#This Row],[Name]]="","",IFERROR(Roster[[#This Row],[In sprint]]/SUMIFS(Items[Pts],Items[Cur team],Roster[[#This Row],[Team]],Items[In sprint],1),""))</f>
      </c>
    </row>
    <row r="34">
      <c r="A34" t="s">
        <v>1439</v>
      </c>
      <c r="C34" t="s">
        <v>1159</v>
      </c>
      <c r="F34" s="17">
        <f>IF(Roster[[#This Row],[Name]]="","",SUMIFS(Items[Pts],Items[Owner],Roster[[#This Row],[Name]],Items[In sprint],1))</f>
      </c>
      <c r="G34" s="17">
        <f>IF(Roster[[#This Row],[Name]]="","",COUNTIFS(Items[Owner],Roster[[#This Row],[Name]],Items[In sprint],1,Items[State],"&lt;&gt;DONE"))</f>
      </c>
      <c r="H34" s="17">
        <f>IF(Roster[[#This Row],[Name]]="","",SUMIFS(Items[Pts],Items[Owner],Roster[[#This Row],[Name]],Items[In sprint],1,Items[State],"DONE"))</f>
      </c>
      <c r="I34" s="17">
        <f>IF(Roster[[#This Row],[Name]]="","",COUNTIFS(Items[Owner],Roster[[#This Row],[Name]],Items[In sprint],1,Items[State],"WAIT"))</f>
      </c>
      <c r="J34" s="13">
        <f>IF(Roster[[#This Row],[Name]]="","",IFERROR(Roster[[#This Row],[In sprint]]/SUMIFS(Items[Pts],Items[Cur team],Roster[[#This Row],[Team]],Items[In sprint],1),""))</f>
      </c>
    </row>
    <row r="35">
      <c r="A35" t="s">
        <v>1437</v>
      </c>
      <c r="C35" t="s">
        <v>1159</v>
      </c>
      <c r="F35" s="17">
        <f>IF(Roster[[#This Row],[Name]]="","",SUMIFS(Items[Pts],Items[Owner],Roster[[#This Row],[Name]],Items[In sprint],1))</f>
      </c>
      <c r="G35" s="17">
        <f>IF(Roster[[#This Row],[Name]]="","",COUNTIFS(Items[Owner],Roster[[#This Row],[Name]],Items[In sprint],1,Items[State],"&lt;&gt;DONE"))</f>
      </c>
      <c r="H35" s="17">
        <f>IF(Roster[[#This Row],[Name]]="","",SUMIFS(Items[Pts],Items[Owner],Roster[[#This Row],[Name]],Items[In sprint],1,Items[State],"DONE"))</f>
      </c>
      <c r="I35" s="17">
        <f>IF(Roster[[#This Row],[Name]]="","",COUNTIFS(Items[Owner],Roster[[#This Row],[Name]],Items[In sprint],1,Items[State],"WAIT"))</f>
      </c>
      <c r="J35" s="13">
        <f>IF(Roster[[#This Row],[Name]]="","",IFERROR(Roster[[#This Row],[In sprint]]/SUMIFS(Items[Pts],Items[Cur team],Roster[[#This Row],[Team]],Items[In sprint],1),""))</f>
      </c>
    </row>
    <row r="36">
      <c r="A36" t="s">
        <v>1285</v>
      </c>
      <c r="C36" t="s">
        <v>1159</v>
      </c>
      <c r="F36" s="17">
        <f>IF(Roster[[#This Row],[Name]]="","",SUMIFS(Items[Pts],Items[Owner],Roster[[#This Row],[Name]],Items[In sprint],1))</f>
      </c>
      <c r="G36" s="17">
        <f>IF(Roster[[#This Row],[Name]]="","",COUNTIFS(Items[Owner],Roster[[#This Row],[Name]],Items[In sprint],1,Items[State],"&lt;&gt;DONE"))</f>
      </c>
      <c r="H36" s="17">
        <f>IF(Roster[[#This Row],[Name]]="","",SUMIFS(Items[Pts],Items[Owner],Roster[[#This Row],[Name]],Items[In sprint],1,Items[State],"DONE"))</f>
      </c>
      <c r="I36" s="17">
        <f>IF(Roster[[#This Row],[Name]]="","",COUNTIFS(Items[Owner],Roster[[#This Row],[Name]],Items[In sprint],1,Items[State],"WAIT"))</f>
      </c>
      <c r="J36" s="13">
        <f>IF(Roster[[#This Row],[Name]]="","",IFERROR(Roster[[#This Row],[In sprint]]/SUMIFS(Items[Pts],Items[Cur team],Roster[[#This Row],[Team]],Items[In sprint],1),""))</f>
      </c>
    </row>
    <row r="37">
      <c r="A37" t="s">
        <v>1355</v>
      </c>
      <c r="C37" t="s">
        <v>1159</v>
      </c>
      <c r="F37" s="17">
        <f>IF(Roster[[#This Row],[Name]]="","",SUMIFS(Items[Pts],Items[Owner],Roster[[#This Row],[Name]],Items[In sprint],1))</f>
      </c>
      <c r="G37" s="17">
        <f>IF(Roster[[#This Row],[Name]]="","",COUNTIFS(Items[Owner],Roster[[#This Row],[Name]],Items[In sprint],1,Items[State],"&lt;&gt;DONE"))</f>
      </c>
      <c r="H37" s="17">
        <f>IF(Roster[[#This Row],[Name]]="","",SUMIFS(Items[Pts],Items[Owner],Roster[[#This Row],[Name]],Items[In sprint],1,Items[State],"DONE"))</f>
      </c>
      <c r="I37" s="17">
        <f>IF(Roster[[#This Row],[Name]]="","",COUNTIFS(Items[Owner],Roster[[#This Row],[Name]],Items[In sprint],1,Items[State],"WAIT"))</f>
      </c>
      <c r="J37" s="13">
        <f>IF(Roster[[#This Row],[Name]]="","",IFERROR(Roster[[#This Row],[In sprint]]/SUMIFS(Items[Pts],Items[Cur team],Roster[[#This Row],[Team]],Items[In sprint],1),""))</f>
      </c>
    </row>
    <row r="38">
      <c r="A38" t="s">
        <v>1358</v>
      </c>
      <c r="C38" t="s">
        <v>1159</v>
      </c>
      <c r="F38" s="17">
        <f>IF(Roster[[#This Row],[Name]]="","",SUMIFS(Items[Pts],Items[Owner],Roster[[#This Row],[Name]],Items[In sprint],1))</f>
      </c>
      <c r="G38" s="17">
        <f>IF(Roster[[#This Row],[Name]]="","",COUNTIFS(Items[Owner],Roster[[#This Row],[Name]],Items[In sprint],1,Items[State],"&lt;&gt;DONE"))</f>
      </c>
      <c r="H38" s="17">
        <f>IF(Roster[[#This Row],[Name]]="","",SUMIFS(Items[Pts],Items[Owner],Roster[[#This Row],[Name]],Items[In sprint],1,Items[State],"DONE"))</f>
      </c>
      <c r="I38" s="17">
        <f>IF(Roster[[#This Row],[Name]]="","",COUNTIFS(Items[Owner],Roster[[#This Row],[Name]],Items[In sprint],1,Items[State],"WAIT"))</f>
      </c>
      <c r="J38" s="13">
        <f>IF(Roster[[#This Row],[Name]]="","",IFERROR(Roster[[#This Row],[In sprint]]/SUMIFS(Items[Pts],Items[Cur team],Roster[[#This Row],[Team]],Items[In sprint],1),""))</f>
      </c>
    </row>
    <row r="39">
      <c r="A39" t="s">
        <v>1211</v>
      </c>
      <c r="C39" t="s">
        <v>1159</v>
      </c>
      <c r="F39" s="17">
        <f>IF(Roster[[#This Row],[Name]]="","",SUMIFS(Items[Pts],Items[Owner],Roster[[#This Row],[Name]],Items[In sprint],1))</f>
      </c>
      <c r="G39" s="17">
        <f>IF(Roster[[#This Row],[Name]]="","",COUNTIFS(Items[Owner],Roster[[#This Row],[Name]],Items[In sprint],1,Items[State],"&lt;&gt;DONE"))</f>
      </c>
      <c r="H39" s="17">
        <f>IF(Roster[[#This Row],[Name]]="","",SUMIFS(Items[Pts],Items[Owner],Roster[[#This Row],[Name]],Items[In sprint],1,Items[State],"DONE"))</f>
      </c>
      <c r="I39" s="17">
        <f>IF(Roster[[#This Row],[Name]]="","",COUNTIFS(Items[Owner],Roster[[#This Row],[Name]],Items[In sprint],1,Items[State],"WAIT"))</f>
      </c>
      <c r="J39" s="13">
        <f>IF(Roster[[#This Row],[Name]]="","",IFERROR(Roster[[#This Row],[In sprint]]/SUMIFS(Items[Pts],Items[Cur team],Roster[[#This Row],[Team]],Items[In sprint],1),""))</f>
      </c>
    </row>
    <row r="40">
      <c r="A40" t="s">
        <v>1213</v>
      </c>
      <c r="C40" t="s">
        <v>1159</v>
      </c>
      <c r="F40" s="17">
        <f>IF(Roster[[#This Row],[Name]]="","",SUMIFS(Items[Pts],Items[Owner],Roster[[#This Row],[Name]],Items[In sprint],1))</f>
      </c>
      <c r="G40" s="17">
        <f>IF(Roster[[#This Row],[Name]]="","",COUNTIFS(Items[Owner],Roster[[#This Row],[Name]],Items[In sprint],1,Items[State],"&lt;&gt;DONE"))</f>
      </c>
      <c r="H40" s="17">
        <f>IF(Roster[[#This Row],[Name]]="","",SUMIFS(Items[Pts],Items[Owner],Roster[[#This Row],[Name]],Items[In sprint],1,Items[State],"DONE"))</f>
      </c>
      <c r="I40" s="17">
        <f>IF(Roster[[#This Row],[Name]]="","",COUNTIFS(Items[Owner],Roster[[#This Row],[Name]],Items[In sprint],1,Items[State],"WAIT"))</f>
      </c>
      <c r="J40" s="13">
        <f>IF(Roster[[#This Row],[Name]]="","",IFERROR(Roster[[#This Row],[In sprint]]/SUMIFS(Items[Pts],Items[Cur team],Roster[[#This Row],[Team]],Items[In sprint],1),""))</f>
      </c>
    </row>
    <row r="41">
      <c r="A41" t="s">
        <v>1160</v>
      </c>
      <c r="C41" t="s">
        <v>1159</v>
      </c>
      <c r="F41" s="17">
        <f>IF(Roster[[#This Row],[Name]]="","",SUMIFS(Items[Pts],Items[Owner],Roster[[#This Row],[Name]],Items[In sprint],1))</f>
      </c>
      <c r="G41" s="17">
        <f>IF(Roster[[#This Row],[Name]]="","",COUNTIFS(Items[Owner],Roster[[#This Row],[Name]],Items[In sprint],1,Items[State],"&lt;&gt;DONE"))</f>
      </c>
      <c r="H41" s="17">
        <f>IF(Roster[[#This Row],[Name]]="","",SUMIFS(Items[Pts],Items[Owner],Roster[[#This Row],[Name]],Items[In sprint],1,Items[State],"DONE"))</f>
      </c>
      <c r="I41" s="17">
        <f>IF(Roster[[#This Row],[Name]]="","",COUNTIFS(Items[Owner],Roster[[#This Row],[Name]],Items[In sprint],1,Items[State],"WAIT"))</f>
      </c>
      <c r="J41" s="13">
        <f>IF(Roster[[#This Row],[Name]]="","",IFERROR(Roster[[#This Row],[In sprint]]/SUMIFS(Items[Pts],Items[Cur team],Roster[[#This Row],[Team]],Items[In sprint],1),""))</f>
      </c>
    </row>
    <row r="42">
      <c r="A42" t="s">
        <v>1451</v>
      </c>
      <c r="C42" t="s">
        <v>1128</v>
      </c>
      <c r="F42" s="17">
        <f>IF(Roster[[#This Row],[Name]]="","",SUMIFS(Items[Pts],Items[Owner],Roster[[#This Row],[Name]],Items[In sprint],1))</f>
      </c>
      <c r="G42" s="17">
        <f>IF(Roster[[#This Row],[Name]]="","",COUNTIFS(Items[Owner],Roster[[#This Row],[Name]],Items[In sprint],1,Items[State],"&lt;&gt;DONE"))</f>
      </c>
      <c r="H42" s="17">
        <f>IF(Roster[[#This Row],[Name]]="","",SUMIFS(Items[Pts],Items[Owner],Roster[[#This Row],[Name]],Items[In sprint],1,Items[State],"DONE"))</f>
      </c>
      <c r="I42" s="17">
        <f>IF(Roster[[#This Row],[Name]]="","",COUNTIFS(Items[Owner],Roster[[#This Row],[Name]],Items[In sprint],1,Items[State],"WAIT"))</f>
      </c>
      <c r="J42" s="13">
        <f>IF(Roster[[#This Row],[Name]]="","",IFERROR(Roster[[#This Row],[In sprint]]/SUMIFS(Items[Pts],Items[Cur team],Roster[[#This Row],[Team]],Items[In sprint],1),""))</f>
      </c>
    </row>
    <row r="43">
      <c r="A43" t="s">
        <v>1296</v>
      </c>
      <c r="C43" t="s">
        <v>1128</v>
      </c>
      <c r="F43" s="17">
        <f>IF(Roster[[#This Row],[Name]]="","",SUMIFS(Items[Pts],Items[Owner],Roster[[#This Row],[Name]],Items[In sprint],1))</f>
      </c>
      <c r="G43" s="17">
        <f>IF(Roster[[#This Row],[Name]]="","",COUNTIFS(Items[Owner],Roster[[#This Row],[Name]],Items[In sprint],1,Items[State],"&lt;&gt;DONE"))</f>
      </c>
      <c r="H43" s="17">
        <f>IF(Roster[[#This Row],[Name]]="","",SUMIFS(Items[Pts],Items[Owner],Roster[[#This Row],[Name]],Items[In sprint],1,Items[State],"DONE"))</f>
      </c>
      <c r="I43" s="17">
        <f>IF(Roster[[#This Row],[Name]]="","",COUNTIFS(Items[Owner],Roster[[#This Row],[Name]],Items[In sprint],1,Items[State],"WAIT"))</f>
      </c>
      <c r="J43" s="13">
        <f>IF(Roster[[#This Row],[Name]]="","",IFERROR(Roster[[#This Row],[In sprint]]/SUMIFS(Items[Pts],Items[Cur team],Roster[[#This Row],[Team]],Items[In sprint],1),""))</f>
      </c>
    </row>
    <row r="44">
      <c r="A44" t="s">
        <v>1162</v>
      </c>
      <c r="C44" t="s">
        <v>1128</v>
      </c>
      <c r="F44" s="17">
        <f>IF(Roster[[#This Row],[Name]]="","",SUMIFS(Items[Pts],Items[Owner],Roster[[#This Row],[Name]],Items[In sprint],1))</f>
      </c>
      <c r="G44" s="17">
        <f>IF(Roster[[#This Row],[Name]]="","",COUNTIFS(Items[Owner],Roster[[#This Row],[Name]],Items[In sprint],1,Items[State],"&lt;&gt;DONE"))</f>
      </c>
      <c r="H44" s="17">
        <f>IF(Roster[[#This Row],[Name]]="","",SUMIFS(Items[Pts],Items[Owner],Roster[[#This Row],[Name]],Items[In sprint],1,Items[State],"DONE"))</f>
      </c>
      <c r="I44" s="17">
        <f>IF(Roster[[#This Row],[Name]]="","",COUNTIFS(Items[Owner],Roster[[#This Row],[Name]],Items[In sprint],1,Items[State],"WAIT"))</f>
      </c>
      <c r="J44" s="13">
        <f>IF(Roster[[#This Row],[Name]]="","",IFERROR(Roster[[#This Row],[In sprint]]/SUMIFS(Items[Pts],Items[Cur team],Roster[[#This Row],[Team]],Items[In sprint],1),""))</f>
      </c>
    </row>
    <row r="45">
      <c r="A45" t="s">
        <v>1366</v>
      </c>
      <c r="C45" t="s">
        <v>1128</v>
      </c>
      <c r="F45" s="17">
        <f>IF(Roster[[#This Row],[Name]]="","",SUMIFS(Items[Pts],Items[Owner],Roster[[#This Row],[Name]],Items[In sprint],1))</f>
      </c>
      <c r="G45" s="17">
        <f>IF(Roster[[#This Row],[Name]]="","",COUNTIFS(Items[Owner],Roster[[#This Row],[Name]],Items[In sprint],1,Items[State],"&lt;&gt;DONE"))</f>
      </c>
      <c r="H45" s="17">
        <f>IF(Roster[[#This Row],[Name]]="","",SUMIFS(Items[Pts],Items[Owner],Roster[[#This Row],[Name]],Items[In sprint],1,Items[State],"DONE"))</f>
      </c>
      <c r="I45" s="17">
        <f>IF(Roster[[#This Row],[Name]]="","",COUNTIFS(Items[Owner],Roster[[#This Row],[Name]],Items[In sprint],1,Items[State],"WAIT"))</f>
      </c>
      <c r="J45" s="13">
        <f>IF(Roster[[#This Row],[Name]]="","",IFERROR(Roster[[#This Row],[In sprint]]/SUMIFS(Items[Pts],Items[Cur team],Roster[[#This Row],[Team]],Items[In sprint],1),""))</f>
      </c>
    </row>
    <row r="46">
      <c r="A46" t="s">
        <v>1360</v>
      </c>
      <c r="C46" t="s">
        <v>1128</v>
      </c>
      <c r="F46" s="17">
        <f>IF(Roster[[#This Row],[Name]]="","",SUMIFS(Items[Pts],Items[Owner],Roster[[#This Row],[Name]],Items[In sprint],1))</f>
      </c>
      <c r="G46" s="17">
        <f>IF(Roster[[#This Row],[Name]]="","",COUNTIFS(Items[Owner],Roster[[#This Row],[Name]],Items[In sprint],1,Items[State],"&lt;&gt;DONE"))</f>
      </c>
      <c r="H46" s="17">
        <f>IF(Roster[[#This Row],[Name]]="","",SUMIFS(Items[Pts],Items[Owner],Roster[[#This Row],[Name]],Items[In sprint],1,Items[State],"DONE"))</f>
      </c>
      <c r="I46" s="17">
        <f>IF(Roster[[#This Row],[Name]]="","",COUNTIFS(Items[Owner],Roster[[#This Row],[Name]],Items[In sprint],1,Items[State],"WAIT"))</f>
      </c>
      <c r="J46" s="13">
        <f>IF(Roster[[#This Row],[Name]]="","",IFERROR(Roster[[#This Row],[In sprint]]/SUMIFS(Items[Pts],Items[Cur team],Roster[[#This Row],[Team]],Items[In sprint],1),""))</f>
      </c>
    </row>
    <row r="47">
      <c r="A47" t="s">
        <v>1164</v>
      </c>
      <c r="C47" t="s">
        <v>1128</v>
      </c>
      <c r="F47" s="17">
        <f>IF(Roster[[#This Row],[Name]]="","",SUMIFS(Items[Pts],Items[Owner],Roster[[#This Row],[Name]],Items[In sprint],1))</f>
      </c>
      <c r="G47" s="17">
        <f>IF(Roster[[#This Row],[Name]]="","",COUNTIFS(Items[Owner],Roster[[#This Row],[Name]],Items[In sprint],1,Items[State],"&lt;&gt;DONE"))</f>
      </c>
      <c r="H47" s="17">
        <f>IF(Roster[[#This Row],[Name]]="","",SUMIFS(Items[Pts],Items[Owner],Roster[[#This Row],[Name]],Items[In sprint],1,Items[State],"DONE"))</f>
      </c>
      <c r="I47" s="17">
        <f>IF(Roster[[#This Row],[Name]]="","",COUNTIFS(Items[Owner],Roster[[#This Row],[Name]],Items[In sprint],1,Items[State],"WAIT"))</f>
      </c>
      <c r="J47" s="13">
        <f>IF(Roster[[#This Row],[Name]]="","",IFERROR(Roster[[#This Row],[In sprint]]/SUMIFS(Items[Pts],Items[Cur team],Roster[[#This Row],[Team]],Items[In sprint],1),""))</f>
      </c>
    </row>
    <row r="48">
      <c r="A48" t="s">
        <v>1129</v>
      </c>
      <c r="C48" t="s">
        <v>1128</v>
      </c>
      <c r="F48" s="17">
        <f>IF(Roster[[#This Row],[Name]]="","",SUMIFS(Items[Pts],Items[Owner],Roster[[#This Row],[Name]],Items[In sprint],1))</f>
      </c>
      <c r="G48" s="17">
        <f>IF(Roster[[#This Row],[Name]]="","",COUNTIFS(Items[Owner],Roster[[#This Row],[Name]],Items[In sprint],1,Items[State],"&lt;&gt;DONE"))</f>
      </c>
      <c r="H48" s="17">
        <f>IF(Roster[[#This Row],[Name]]="","",SUMIFS(Items[Pts],Items[Owner],Roster[[#This Row],[Name]],Items[In sprint],1,Items[State],"DONE"))</f>
      </c>
      <c r="I48" s="17">
        <f>IF(Roster[[#This Row],[Name]]="","",COUNTIFS(Items[Owner],Roster[[#This Row],[Name]],Items[In sprint],1,Items[State],"WAIT"))</f>
      </c>
      <c r="J48" s="13">
        <f>IF(Roster[[#This Row],[Name]]="","",IFERROR(Roster[[#This Row],[In sprint]]/SUMIFS(Items[Pts],Items[Cur team],Roster[[#This Row],[Team]],Items[In sprint],1),""))</f>
      </c>
    </row>
    <row r="49">
      <c r="A49" t="s">
        <v>1292</v>
      </c>
      <c r="C49" t="s">
        <v>1128</v>
      </c>
      <c r="F49" s="17">
        <f>IF(Roster[[#This Row],[Name]]="","",SUMIFS(Items[Pts],Items[Owner],Roster[[#This Row],[Name]],Items[In sprint],1))</f>
      </c>
      <c r="G49" s="17">
        <f>IF(Roster[[#This Row],[Name]]="","",COUNTIFS(Items[Owner],Roster[[#This Row],[Name]],Items[In sprint],1,Items[State],"&lt;&gt;DONE"))</f>
      </c>
      <c r="H49" s="17">
        <f>IF(Roster[[#This Row],[Name]]="","",SUMIFS(Items[Pts],Items[Owner],Roster[[#This Row],[Name]],Items[In sprint],1,Items[State],"DONE"))</f>
      </c>
      <c r="I49" s="17">
        <f>IF(Roster[[#This Row],[Name]]="","",COUNTIFS(Items[Owner],Roster[[#This Row],[Name]],Items[In sprint],1,Items[State],"WAIT"))</f>
      </c>
      <c r="J49" s="13">
        <f>IF(Roster[[#This Row],[Name]]="","",IFERROR(Roster[[#This Row],[In sprint]]/SUMIFS(Items[Pts],Items[Cur team],Roster[[#This Row],[Team]],Items[In sprint],1),""))</f>
      </c>
    </row>
    <row r="50">
      <c r="A50" t="s">
        <v>1217</v>
      </c>
      <c r="C50" t="s">
        <v>1128</v>
      </c>
      <c r="F50" s="17">
        <f>IF(Roster[[#This Row],[Name]]="","",SUMIFS(Items[Pts],Items[Owner],Roster[[#This Row],[Name]],Items[In sprint],1))</f>
      </c>
      <c r="G50" s="17">
        <f>IF(Roster[[#This Row],[Name]]="","",COUNTIFS(Items[Owner],Roster[[#This Row],[Name]],Items[In sprint],1,Items[State],"&lt;&gt;DONE"))</f>
      </c>
      <c r="H50" s="17">
        <f>IF(Roster[[#This Row],[Name]]="","",SUMIFS(Items[Pts],Items[Owner],Roster[[#This Row],[Name]],Items[In sprint],1,Items[State],"DONE"))</f>
      </c>
      <c r="I50" s="17">
        <f>IF(Roster[[#This Row],[Name]]="","",COUNTIFS(Items[Owner],Roster[[#This Row],[Name]],Items[In sprint],1,Items[State],"WAIT"))</f>
      </c>
      <c r="J50" s="13">
        <f>IF(Roster[[#This Row],[Name]]="","",IFERROR(Roster[[#This Row],[In sprint]]/SUMIFS(Items[Pts],Items[Cur team],Roster[[#This Row],[Team]],Items[In sprint],1),""))</f>
      </c>
    </row>
    <row r="51">
      <c r="A51" t="s">
        <v>1294</v>
      </c>
      <c r="C51" t="s">
        <v>1128</v>
      </c>
      <c r="F51" s="17">
        <f>IF(Roster[[#This Row],[Name]]="","",SUMIFS(Items[Pts],Items[Owner],Roster[[#This Row],[Name]],Items[In sprint],1))</f>
      </c>
      <c r="G51" s="17">
        <f>IF(Roster[[#This Row],[Name]]="","",COUNTIFS(Items[Owner],Roster[[#This Row],[Name]],Items[In sprint],1,Items[State],"&lt;&gt;DONE"))</f>
      </c>
      <c r="H51" s="17">
        <f>IF(Roster[[#This Row],[Name]]="","",SUMIFS(Items[Pts],Items[Owner],Roster[[#This Row],[Name]],Items[In sprint],1,Items[State],"DONE"))</f>
      </c>
      <c r="I51" s="17">
        <f>IF(Roster[[#This Row],[Name]]="","",COUNTIFS(Items[Owner],Roster[[#This Row],[Name]],Items[In sprint],1,Items[State],"WAIT"))</f>
      </c>
      <c r="J51" s="13">
        <f>IF(Roster[[#This Row],[Name]]="","",IFERROR(Roster[[#This Row],[In sprint]]/SUMIFS(Items[Pts],Items[Cur team],Roster[[#This Row],[Team]],Items[In sprint],1),""))</f>
      </c>
    </row>
    <row r="52">
      <c r="A52" t="s">
        <v>1222</v>
      </c>
      <c r="C52" t="s">
        <v>1109</v>
      </c>
      <c r="F52" s="17">
        <f>IF(Roster[[#This Row],[Name]]="","",SUMIFS(Items[Pts],Items[Owner],Roster[[#This Row],[Name]],Items[In sprint],1))</f>
      </c>
      <c r="G52" s="17">
        <f>IF(Roster[[#This Row],[Name]]="","",COUNTIFS(Items[Owner],Roster[[#This Row],[Name]],Items[In sprint],1,Items[State],"&lt;&gt;DONE"))</f>
      </c>
      <c r="H52" s="17">
        <f>IF(Roster[[#This Row],[Name]]="","",SUMIFS(Items[Pts],Items[Owner],Roster[[#This Row],[Name]],Items[In sprint],1,Items[State],"DONE"))</f>
      </c>
      <c r="I52" s="17">
        <f>IF(Roster[[#This Row],[Name]]="","",COUNTIFS(Items[Owner],Roster[[#This Row],[Name]],Items[In sprint],1,Items[State],"WAIT"))</f>
      </c>
      <c r="J52" s="13">
        <f>IF(Roster[[#This Row],[Name]]="","",IFERROR(Roster[[#This Row],[In sprint]]/SUMIFS(Items[Pts],Items[Cur team],Roster[[#This Row],[Team]],Items[In sprint],1),""))</f>
      </c>
    </row>
    <row r="53">
      <c r="A53" t="s">
        <v>1370</v>
      </c>
      <c r="C53" t="s">
        <v>1109</v>
      </c>
      <c r="F53" s="17">
        <f>IF(Roster[[#This Row],[Name]]="","",SUMIFS(Items[Pts],Items[Owner],Roster[[#This Row],[Name]],Items[In sprint],1))</f>
      </c>
      <c r="G53" s="17">
        <f>IF(Roster[[#This Row],[Name]]="","",COUNTIFS(Items[Owner],Roster[[#This Row],[Name]],Items[In sprint],1,Items[State],"&lt;&gt;DONE"))</f>
      </c>
      <c r="H53" s="17">
        <f>IF(Roster[[#This Row],[Name]]="","",SUMIFS(Items[Pts],Items[Owner],Roster[[#This Row],[Name]],Items[In sprint],1,Items[State],"DONE"))</f>
      </c>
      <c r="I53" s="17">
        <f>IF(Roster[[#This Row],[Name]]="","",COUNTIFS(Items[Owner],Roster[[#This Row],[Name]],Items[In sprint],1,Items[State],"WAIT"))</f>
      </c>
      <c r="J53" s="13">
        <f>IF(Roster[[#This Row],[Name]]="","",IFERROR(Roster[[#This Row],[In sprint]]/SUMIFS(Items[Pts],Items[Cur team],Roster[[#This Row],[Team]],Items[In sprint],1),""))</f>
      </c>
    </row>
    <row r="54">
      <c r="A54" t="s">
        <v>1372</v>
      </c>
      <c r="C54" t="s">
        <v>1109</v>
      </c>
      <c r="F54" s="17">
        <f>IF(Roster[[#This Row],[Name]]="","",SUMIFS(Items[Pts],Items[Owner],Roster[[#This Row],[Name]],Items[In sprint],1))</f>
      </c>
      <c r="G54" s="17">
        <f>IF(Roster[[#This Row],[Name]]="","",COUNTIFS(Items[Owner],Roster[[#This Row],[Name]],Items[In sprint],1,Items[State],"&lt;&gt;DONE"))</f>
      </c>
      <c r="H54" s="17">
        <f>IF(Roster[[#This Row],[Name]]="","",SUMIFS(Items[Pts],Items[Owner],Roster[[#This Row],[Name]],Items[In sprint],1,Items[State],"DONE"))</f>
      </c>
      <c r="I54" s="17">
        <f>IF(Roster[[#This Row],[Name]]="","",COUNTIFS(Items[Owner],Roster[[#This Row],[Name]],Items[In sprint],1,Items[State],"WAIT"))</f>
      </c>
      <c r="J54" s="13">
        <f>IF(Roster[[#This Row],[Name]]="","",IFERROR(Roster[[#This Row],[In sprint]]/SUMIFS(Items[Pts],Items[Cur team],Roster[[#This Row],[Team]],Items[In sprint],1),""))</f>
      </c>
    </row>
    <row r="55">
      <c r="A55" t="s">
        <v>1225</v>
      </c>
      <c r="C55" t="s">
        <v>1109</v>
      </c>
      <c r="F55" s="17">
        <f>IF(Roster[[#This Row],[Name]]="","",SUMIFS(Items[Pts],Items[Owner],Roster[[#This Row],[Name]],Items[In sprint],1))</f>
      </c>
      <c r="G55" s="17">
        <f>IF(Roster[[#This Row],[Name]]="","",COUNTIFS(Items[Owner],Roster[[#This Row],[Name]],Items[In sprint],1,Items[State],"&lt;&gt;DONE"))</f>
      </c>
      <c r="H55" s="17">
        <f>IF(Roster[[#This Row],[Name]]="","",SUMIFS(Items[Pts],Items[Owner],Roster[[#This Row],[Name]],Items[In sprint],1,Items[State],"DONE"))</f>
      </c>
      <c r="I55" s="17">
        <f>IF(Roster[[#This Row],[Name]]="","",COUNTIFS(Items[Owner],Roster[[#This Row],[Name]],Items[In sprint],1,Items[State],"WAIT"))</f>
      </c>
      <c r="J55" s="13">
        <f>IF(Roster[[#This Row],[Name]]="","",IFERROR(Roster[[#This Row],[In sprint]]/SUMIFS(Items[Pts],Items[Cur team],Roster[[#This Row],[Team]],Items[In sprint],1),""))</f>
      </c>
    </row>
    <row r="56">
      <c r="A56" t="s">
        <v>1227</v>
      </c>
      <c r="C56" t="s">
        <v>1109</v>
      </c>
      <c r="F56" s="17">
        <f>IF(Roster[[#This Row],[Name]]="","",SUMIFS(Items[Pts],Items[Owner],Roster[[#This Row],[Name]],Items[In sprint],1))</f>
      </c>
      <c r="G56" s="17">
        <f>IF(Roster[[#This Row],[Name]]="","",COUNTIFS(Items[Owner],Roster[[#This Row],[Name]],Items[In sprint],1,Items[State],"&lt;&gt;DONE"))</f>
      </c>
      <c r="H56" s="17">
        <f>IF(Roster[[#This Row],[Name]]="","",SUMIFS(Items[Pts],Items[Owner],Roster[[#This Row],[Name]],Items[In sprint],1,Items[State],"DONE"))</f>
      </c>
      <c r="I56" s="17">
        <f>IF(Roster[[#This Row],[Name]]="","",COUNTIFS(Items[Owner],Roster[[#This Row],[Name]],Items[In sprint],1,Items[State],"WAIT"))</f>
      </c>
      <c r="J56" s="13">
        <f>IF(Roster[[#This Row],[Name]]="","",IFERROR(Roster[[#This Row],[In sprint]]/SUMIFS(Items[Pts],Items[Cur team],Roster[[#This Row],[Team]],Items[In sprint],1),""))</f>
      </c>
    </row>
    <row r="57">
      <c r="A57" t="s">
        <v>1300</v>
      </c>
      <c r="C57" t="s">
        <v>1109</v>
      </c>
      <c r="F57" s="17">
        <f>IF(Roster[[#This Row],[Name]]="","",SUMIFS(Items[Pts],Items[Owner],Roster[[#This Row],[Name]],Items[In sprint],1))</f>
      </c>
      <c r="G57" s="17">
        <f>IF(Roster[[#This Row],[Name]]="","",COUNTIFS(Items[Owner],Roster[[#This Row],[Name]],Items[In sprint],1,Items[State],"&lt;&gt;DONE"))</f>
      </c>
      <c r="H57" s="17">
        <f>IF(Roster[[#This Row],[Name]]="","",SUMIFS(Items[Pts],Items[Owner],Roster[[#This Row],[Name]],Items[In sprint],1,Items[State],"DONE"))</f>
      </c>
      <c r="I57" s="17">
        <f>IF(Roster[[#This Row],[Name]]="","",COUNTIFS(Items[Owner],Roster[[#This Row],[Name]],Items[In sprint],1,Items[State],"WAIT"))</f>
      </c>
      <c r="J57" s="13">
        <f>IF(Roster[[#This Row],[Name]]="","",IFERROR(Roster[[#This Row],[In sprint]]/SUMIFS(Items[Pts],Items[Cur team],Roster[[#This Row],[Team]],Items[In sprint],1),""))</f>
      </c>
    </row>
    <row r="58">
      <c r="A58" t="s">
        <v>1511</v>
      </c>
      <c r="C58" t="s">
        <v>1109</v>
      </c>
      <c r="F58" s="17">
        <f>IF(Roster[[#This Row],[Name]]="","",SUMIFS(Items[Pts],Items[Owner],Roster[[#This Row],[Name]],Items[In sprint],1))</f>
      </c>
      <c r="G58" s="17">
        <f>IF(Roster[[#This Row],[Name]]="","",COUNTIFS(Items[Owner],Roster[[#This Row],[Name]],Items[In sprint],1,Items[State],"&lt;&gt;DONE"))</f>
      </c>
      <c r="H58" s="17">
        <f>IF(Roster[[#This Row],[Name]]="","",SUMIFS(Items[Pts],Items[Owner],Roster[[#This Row],[Name]],Items[In sprint],1,Items[State],"DONE"))</f>
      </c>
      <c r="I58" s="17">
        <f>IF(Roster[[#This Row],[Name]]="","",COUNTIFS(Items[Owner],Roster[[#This Row],[Name]],Items[In sprint],1,Items[State],"WAIT"))</f>
      </c>
      <c r="J58" s="13">
        <f>IF(Roster[[#This Row],[Name]]="","",IFERROR(Roster[[#This Row],[In sprint]]/SUMIFS(Items[Pts],Items[Cur team],Roster[[#This Row],[Team]],Items[In sprint],1),""))</f>
      </c>
    </row>
    <row r="59">
      <c r="A59" t="s">
        <v>1220</v>
      </c>
      <c r="C59" t="s">
        <v>1109</v>
      </c>
      <c r="F59" s="17">
        <f>IF(Roster[[#This Row],[Name]]="","",SUMIFS(Items[Pts],Items[Owner],Roster[[#This Row],[Name]],Items[In sprint],1))</f>
      </c>
      <c r="G59" s="17">
        <f>IF(Roster[[#This Row],[Name]]="","",COUNTIFS(Items[Owner],Roster[[#This Row],[Name]],Items[In sprint],1,Items[State],"&lt;&gt;DONE"))</f>
      </c>
      <c r="H59" s="17">
        <f>IF(Roster[[#This Row],[Name]]="","",SUMIFS(Items[Pts],Items[Owner],Roster[[#This Row],[Name]],Items[In sprint],1,Items[State],"DONE"))</f>
      </c>
      <c r="I59" s="17">
        <f>IF(Roster[[#This Row],[Name]]="","",COUNTIFS(Items[Owner],Roster[[#This Row],[Name]],Items[In sprint],1,Items[State],"WAIT"))</f>
      </c>
      <c r="J59" s="13">
        <f>IF(Roster[[#This Row],[Name]]="","",IFERROR(Roster[[#This Row],[In sprint]]/SUMIFS(Items[Pts],Items[Cur team],Roster[[#This Row],[Team]],Items[In sprint],1),""))</f>
      </c>
    </row>
    <row r="60">
      <c r="A60" t="s">
        <v>1110</v>
      </c>
      <c r="C60" t="s">
        <v>1109</v>
      </c>
      <c r="F60" s="17">
        <f>IF(Roster[[#This Row],[Name]]="","",SUMIFS(Items[Pts],Items[Owner],Roster[[#This Row],[Name]],Items[In sprint],1))</f>
      </c>
      <c r="G60" s="17">
        <f>IF(Roster[[#This Row],[Name]]="","",COUNTIFS(Items[Owner],Roster[[#This Row],[Name]],Items[In sprint],1,Items[State],"&lt;&gt;DONE"))</f>
      </c>
      <c r="H60" s="17">
        <f>IF(Roster[[#This Row],[Name]]="","",SUMIFS(Items[Pts],Items[Owner],Roster[[#This Row],[Name]],Items[In sprint],1,Items[State],"DONE"))</f>
      </c>
      <c r="I60" s="17">
        <f>IF(Roster[[#This Row],[Name]]="","",COUNTIFS(Items[Owner],Roster[[#This Row],[Name]],Items[In sprint],1,Items[State],"WAIT"))</f>
      </c>
      <c r="J60" s="13">
        <f>IF(Roster[[#This Row],[Name]]="","",IFERROR(Roster[[#This Row],[In sprint]]/SUMIFS(Items[Pts],Items[Cur team],Roster[[#This Row],[Team]],Items[In sprint],1),""))</f>
      </c>
    </row>
    <row r="61">
      <c r="A61" t="s">
        <v>1302</v>
      </c>
      <c r="C61" t="s">
        <v>1109</v>
      </c>
      <c r="F61" s="17">
        <f>IF(Roster[[#This Row],[Name]]="","",SUMIFS(Items[Pts],Items[Owner],Roster[[#This Row],[Name]],Items[In sprint],1))</f>
      </c>
      <c r="G61" s="17">
        <f>IF(Roster[[#This Row],[Name]]="","",COUNTIFS(Items[Owner],Roster[[#This Row],[Name]],Items[In sprint],1,Items[State],"&lt;&gt;DONE"))</f>
      </c>
      <c r="H61" s="17">
        <f>IF(Roster[[#This Row],[Name]]="","",SUMIFS(Items[Pts],Items[Owner],Roster[[#This Row],[Name]],Items[In sprint],1,Items[State],"DONE"))</f>
      </c>
      <c r="I61" s="17">
        <f>IF(Roster[[#This Row],[Name]]="","",COUNTIFS(Items[Owner],Roster[[#This Row],[Name]],Items[In sprint],1,Items[State],"WAIT"))</f>
      </c>
      <c r="J61" s="13">
        <f>IF(Roster[[#This Row],[Name]]="","",IFERROR(Roster[[#This Row],[In sprint]]/SUMIFS(Items[Pts],Items[Cur team],Roster[[#This Row],[Team]],Items[In sprint],1),""))</f>
      </c>
    </row>
    <row r="62">
      <c r="A62" t="s">
        <v>1231</v>
      </c>
      <c r="C62" t="s">
        <v>1131</v>
      </c>
      <c r="F62" s="17">
        <f>IF(Roster[[#This Row],[Name]]="","",SUMIFS(Items[Pts],Items[Owner],Roster[[#This Row],[Name]],Items[In sprint],1))</f>
      </c>
      <c r="G62" s="17">
        <f>IF(Roster[[#This Row],[Name]]="","",COUNTIFS(Items[Owner],Roster[[#This Row],[Name]],Items[In sprint],1,Items[State],"&lt;&gt;DONE"))</f>
      </c>
      <c r="H62" s="17">
        <f>IF(Roster[[#This Row],[Name]]="","",SUMIFS(Items[Pts],Items[Owner],Roster[[#This Row],[Name]],Items[In sprint],1,Items[State],"DONE"))</f>
      </c>
      <c r="I62" s="17">
        <f>IF(Roster[[#This Row],[Name]]="","",COUNTIFS(Items[Owner],Roster[[#This Row],[Name]],Items[In sprint],1,Items[State],"WAIT"))</f>
      </c>
      <c r="J62" s="13">
        <f>IF(Roster[[#This Row],[Name]]="","",IFERROR(Roster[[#This Row],[In sprint]]/SUMIFS(Items[Pts],Items[Cur team],Roster[[#This Row],[Team]],Items[In sprint],1),""))</f>
      </c>
    </row>
    <row r="63">
      <c r="A63" t="s">
        <v>1384</v>
      </c>
      <c r="C63" t="s">
        <v>1131</v>
      </c>
      <c r="F63" s="17">
        <f>IF(Roster[[#This Row],[Name]]="","",SUMIFS(Items[Pts],Items[Owner],Roster[[#This Row],[Name]],Items[In sprint],1))</f>
      </c>
      <c r="G63" s="17">
        <f>IF(Roster[[#This Row],[Name]]="","",COUNTIFS(Items[Owner],Roster[[#This Row],[Name]],Items[In sprint],1,Items[State],"&lt;&gt;DONE"))</f>
      </c>
      <c r="H63" s="17">
        <f>IF(Roster[[#This Row],[Name]]="","",SUMIFS(Items[Pts],Items[Owner],Roster[[#This Row],[Name]],Items[In sprint],1,Items[State],"DONE"))</f>
      </c>
      <c r="I63" s="17">
        <f>IF(Roster[[#This Row],[Name]]="","",COUNTIFS(Items[Owner],Roster[[#This Row],[Name]],Items[In sprint],1,Items[State],"WAIT"))</f>
      </c>
      <c r="J63" s="13">
        <f>IF(Roster[[#This Row],[Name]]="","",IFERROR(Roster[[#This Row],[In sprint]]/SUMIFS(Items[Pts],Items[Cur team],Roster[[#This Row],[Team]],Items[In sprint],1),""))</f>
      </c>
    </row>
    <row r="64">
      <c r="A64" t="s">
        <v>1132</v>
      </c>
      <c r="C64" t="s">
        <v>1131</v>
      </c>
      <c r="F64" s="17">
        <f>IF(Roster[[#This Row],[Name]]="","",SUMIFS(Items[Pts],Items[Owner],Roster[[#This Row],[Name]],Items[In sprint],1))</f>
      </c>
      <c r="G64" s="17">
        <f>IF(Roster[[#This Row],[Name]]="","",COUNTIFS(Items[Owner],Roster[[#This Row],[Name]],Items[In sprint],1,Items[State],"&lt;&gt;DONE"))</f>
      </c>
      <c r="H64" s="17">
        <f>IF(Roster[[#This Row],[Name]]="","",SUMIFS(Items[Pts],Items[Owner],Roster[[#This Row],[Name]],Items[In sprint],1,Items[State],"DONE"))</f>
      </c>
      <c r="I64" s="17">
        <f>IF(Roster[[#This Row],[Name]]="","",COUNTIFS(Items[Owner],Roster[[#This Row],[Name]],Items[In sprint],1,Items[State],"WAIT"))</f>
      </c>
      <c r="J64" s="13">
        <f>IF(Roster[[#This Row],[Name]]="","",IFERROR(Roster[[#This Row],[In sprint]]/SUMIFS(Items[Pts],Items[Cur team],Roster[[#This Row],[Team]],Items[In sprint],1),""))</f>
      </c>
    </row>
    <row r="65">
      <c r="A65" t="s">
        <v>1166</v>
      </c>
      <c r="C65" t="s">
        <v>1131</v>
      </c>
      <c r="F65" s="17">
        <f>IF(Roster[[#This Row],[Name]]="","",SUMIFS(Items[Pts],Items[Owner],Roster[[#This Row],[Name]],Items[In sprint],1))</f>
      </c>
      <c r="G65" s="17">
        <f>IF(Roster[[#This Row],[Name]]="","",COUNTIFS(Items[Owner],Roster[[#This Row],[Name]],Items[In sprint],1,Items[State],"&lt;&gt;DONE"))</f>
      </c>
      <c r="H65" s="17">
        <f>IF(Roster[[#This Row],[Name]]="","",SUMIFS(Items[Pts],Items[Owner],Roster[[#This Row],[Name]],Items[In sprint],1,Items[State],"DONE"))</f>
      </c>
      <c r="I65" s="17">
        <f>IF(Roster[[#This Row],[Name]]="","",COUNTIFS(Items[Owner],Roster[[#This Row],[Name]],Items[In sprint],1,Items[State],"WAIT"))</f>
      </c>
      <c r="J65" s="13">
        <f>IF(Roster[[#This Row],[Name]]="","",IFERROR(Roster[[#This Row],[In sprint]]/SUMIFS(Items[Pts],Items[Cur team],Roster[[#This Row],[Team]],Items[In sprint],1),""))</f>
      </c>
    </row>
    <row r="66">
      <c r="A66" t="s">
        <v>1168</v>
      </c>
      <c r="C66" t="s">
        <v>1131</v>
      </c>
      <c r="F66" s="17">
        <f>IF(Roster[[#This Row],[Name]]="","",SUMIFS(Items[Pts],Items[Owner],Roster[[#This Row],[Name]],Items[In sprint],1))</f>
      </c>
      <c r="G66" s="17">
        <f>IF(Roster[[#This Row],[Name]]="","",COUNTIFS(Items[Owner],Roster[[#This Row],[Name]],Items[In sprint],1,Items[State],"&lt;&gt;DONE"))</f>
      </c>
      <c r="H66" s="17">
        <f>IF(Roster[[#This Row],[Name]]="","",SUMIFS(Items[Pts],Items[Owner],Roster[[#This Row],[Name]],Items[In sprint],1,Items[State],"DONE"))</f>
      </c>
      <c r="I66" s="17">
        <f>IF(Roster[[#This Row],[Name]]="","",COUNTIFS(Items[Owner],Roster[[#This Row],[Name]],Items[In sprint],1,Items[State],"WAIT"))</f>
      </c>
      <c r="J66" s="13">
        <f>IF(Roster[[#This Row],[Name]]="","",IFERROR(Roster[[#This Row],[In sprint]]/SUMIFS(Items[Pts],Items[Cur team],Roster[[#This Row],[Team]],Items[In sprint],1),""))</f>
      </c>
    </row>
    <row r="67">
      <c r="A67" t="s">
        <v>1309</v>
      </c>
      <c r="C67" t="s">
        <v>1131</v>
      </c>
      <c r="F67" s="17">
        <f>IF(Roster[[#This Row],[Name]]="","",SUMIFS(Items[Pts],Items[Owner],Roster[[#This Row],[Name]],Items[In sprint],1))</f>
      </c>
      <c r="G67" s="17">
        <f>IF(Roster[[#This Row],[Name]]="","",COUNTIFS(Items[Owner],Roster[[#This Row],[Name]],Items[In sprint],1,Items[State],"&lt;&gt;DONE"))</f>
      </c>
      <c r="H67" s="17">
        <f>IF(Roster[[#This Row],[Name]]="","",SUMIFS(Items[Pts],Items[Owner],Roster[[#This Row],[Name]],Items[In sprint],1,Items[State],"DONE"))</f>
      </c>
      <c r="I67" s="17">
        <f>IF(Roster[[#This Row],[Name]]="","",COUNTIFS(Items[Owner],Roster[[#This Row],[Name]],Items[In sprint],1,Items[State],"WAIT"))</f>
      </c>
      <c r="J67" s="13">
        <f>IF(Roster[[#This Row],[Name]]="","",IFERROR(Roster[[#This Row],[In sprint]]/SUMIFS(Items[Pts],Items[Cur team],Roster[[#This Row],[Team]],Items[In sprint],1),""))</f>
      </c>
    </row>
    <row r="68">
      <c r="A68" t="s">
        <v>1307</v>
      </c>
      <c r="C68" t="s">
        <v>1131</v>
      </c>
      <c r="F68" s="17">
        <f>IF(Roster[[#This Row],[Name]]="","",SUMIFS(Items[Pts],Items[Owner],Roster[[#This Row],[Name]],Items[In sprint],1))</f>
      </c>
      <c r="G68" s="17">
        <f>IF(Roster[[#This Row],[Name]]="","",COUNTIFS(Items[Owner],Roster[[#This Row],[Name]],Items[In sprint],1,Items[State],"&lt;&gt;DONE"))</f>
      </c>
      <c r="H68" s="17">
        <f>IF(Roster[[#This Row],[Name]]="","",SUMIFS(Items[Pts],Items[Owner],Roster[[#This Row],[Name]],Items[In sprint],1,Items[State],"DONE"))</f>
      </c>
      <c r="I68" s="17">
        <f>IF(Roster[[#This Row],[Name]]="","",COUNTIFS(Items[Owner],Roster[[#This Row],[Name]],Items[In sprint],1,Items[State],"WAIT"))</f>
      </c>
      <c r="J68" s="13">
        <f>IF(Roster[[#This Row],[Name]]="","",IFERROR(Roster[[#This Row],[In sprint]]/SUMIFS(Items[Pts],Items[Cur team],Roster[[#This Row],[Team]],Items[In sprint],1),""))</f>
      </c>
    </row>
    <row r="69">
      <c r="A69" t="s">
        <v>1382</v>
      </c>
      <c r="C69" t="s">
        <v>1131</v>
      </c>
      <c r="F69" s="17">
        <f>IF(Roster[[#This Row],[Name]]="","",SUMIFS(Items[Pts],Items[Owner],Roster[[#This Row],[Name]],Items[In sprint],1))</f>
      </c>
      <c r="G69" s="17">
        <f>IF(Roster[[#This Row],[Name]]="","",COUNTIFS(Items[Owner],Roster[[#This Row],[Name]],Items[In sprint],1,Items[State],"&lt;&gt;DONE"))</f>
      </c>
      <c r="H69" s="17">
        <f>IF(Roster[[#This Row],[Name]]="","",SUMIFS(Items[Pts],Items[Owner],Roster[[#This Row],[Name]],Items[In sprint],1,Items[State],"DONE"))</f>
      </c>
      <c r="I69" s="17">
        <f>IF(Roster[[#This Row],[Name]]="","",COUNTIFS(Items[Owner],Roster[[#This Row],[Name]],Items[In sprint],1,Items[State],"WAIT"))</f>
      </c>
      <c r="J69" s="13">
        <f>IF(Roster[[#This Row],[Name]]="","",IFERROR(Roster[[#This Row],[In sprint]]/SUMIFS(Items[Pts],Items[Cur team],Roster[[#This Row],[Team]],Items[In sprint],1),""))</f>
      </c>
    </row>
    <row r="70">
      <c r="A70" t="s">
        <v>1577</v>
      </c>
      <c r="C70" t="s">
        <v>1131</v>
      </c>
      <c r="F70" s="17">
        <f>IF(Roster[[#This Row],[Name]]="","",SUMIFS(Items[Pts],Items[Owner],Roster[[#This Row],[Name]],Items[In sprint],1))</f>
      </c>
      <c r="G70" s="17">
        <f>IF(Roster[[#This Row],[Name]]="","",COUNTIFS(Items[Owner],Roster[[#This Row],[Name]],Items[In sprint],1,Items[State],"&lt;&gt;DONE"))</f>
      </c>
      <c r="H70" s="17">
        <f>IF(Roster[[#This Row],[Name]]="","",SUMIFS(Items[Pts],Items[Owner],Roster[[#This Row],[Name]],Items[In sprint],1,Items[State],"DONE"))</f>
      </c>
      <c r="I70" s="17">
        <f>IF(Roster[[#This Row],[Name]]="","",COUNTIFS(Items[Owner],Roster[[#This Row],[Name]],Items[In sprint],1,Items[State],"WAIT"))</f>
      </c>
      <c r="J70" s="13">
        <f>IF(Roster[[#This Row],[Name]]="","",IFERROR(Roster[[#This Row],[In sprint]]/SUMIFS(Items[Pts],Items[Cur team],Roster[[#This Row],[Team]],Items[In sprint],1),""))</f>
      </c>
    </row>
    <row r="71">
      <c r="A71" t="s">
        <v>1233</v>
      </c>
      <c r="C71" t="s">
        <v>1131</v>
      </c>
      <c r="F71" s="17">
        <f>IF(Roster[[#This Row],[Name]]="","",SUMIFS(Items[Pts],Items[Owner],Roster[[#This Row],[Name]],Items[In sprint],1))</f>
      </c>
      <c r="G71" s="17">
        <f>IF(Roster[[#This Row],[Name]]="","",COUNTIFS(Items[Owner],Roster[[#This Row],[Name]],Items[In sprint],1,Items[State],"&lt;&gt;DONE"))</f>
      </c>
      <c r="H71" s="17">
        <f>IF(Roster[[#This Row],[Name]]="","",SUMIFS(Items[Pts],Items[Owner],Roster[[#This Row],[Name]],Items[In sprint],1,Items[State],"DONE"))</f>
      </c>
      <c r="I71" s="17">
        <f>IF(Roster[[#This Row],[Name]]="","",COUNTIFS(Items[Owner],Roster[[#This Row],[Name]],Items[In sprint],1,Items[State],"WAIT"))</f>
      </c>
      <c r="J71" s="13">
        <f>IF(Roster[[#This Row],[Name]]="","",IFERROR(Roster[[#This Row],[In sprint]]/SUMIFS(Items[Pts],Items[Cur team],Roster[[#This Row],[Team]],Items[In sprint],1),""))</f>
      </c>
    </row>
    <row r="72">
      <c r="A72" t="s">
        <v>1528</v>
      </c>
      <c r="C72" t="s">
        <v>1134</v>
      </c>
      <c r="F72" s="17">
        <f>IF(Roster[[#This Row],[Name]]="","",SUMIFS(Items[Pts],Items[Owner],Roster[[#This Row],[Name]],Items[In sprint],1))</f>
      </c>
      <c r="G72" s="17">
        <f>IF(Roster[[#This Row],[Name]]="","",COUNTIFS(Items[Owner],Roster[[#This Row],[Name]],Items[In sprint],1,Items[State],"&lt;&gt;DONE"))</f>
      </c>
      <c r="H72" s="17">
        <f>IF(Roster[[#This Row],[Name]]="","",SUMIFS(Items[Pts],Items[Owner],Roster[[#This Row],[Name]],Items[In sprint],1,Items[State],"DONE"))</f>
      </c>
      <c r="I72" s="17">
        <f>IF(Roster[[#This Row],[Name]]="","",COUNTIFS(Items[Owner],Roster[[#This Row],[Name]],Items[In sprint],1,Items[State],"WAIT"))</f>
      </c>
      <c r="J72" s="13">
        <f>IF(Roster[[#This Row],[Name]]="","",IFERROR(Roster[[#This Row],[In sprint]]/SUMIFS(Items[Pts],Items[Cur team],Roster[[#This Row],[Team]],Items[In sprint],1),""))</f>
      </c>
    </row>
    <row r="73">
      <c r="A73" t="s">
        <v>1137</v>
      </c>
      <c r="C73" t="s">
        <v>1134</v>
      </c>
      <c r="F73" s="17">
        <f>IF(Roster[[#This Row],[Name]]="","",SUMIFS(Items[Pts],Items[Owner],Roster[[#This Row],[Name]],Items[In sprint],1))</f>
      </c>
      <c r="G73" s="17">
        <f>IF(Roster[[#This Row],[Name]]="","",COUNTIFS(Items[Owner],Roster[[#This Row],[Name]],Items[In sprint],1,Items[State],"&lt;&gt;DONE"))</f>
      </c>
      <c r="H73" s="17">
        <f>IF(Roster[[#This Row],[Name]]="","",SUMIFS(Items[Pts],Items[Owner],Roster[[#This Row],[Name]],Items[In sprint],1,Items[State],"DONE"))</f>
      </c>
      <c r="I73" s="17">
        <f>IF(Roster[[#This Row],[Name]]="","",COUNTIFS(Items[Owner],Roster[[#This Row],[Name]],Items[In sprint],1,Items[State],"WAIT"))</f>
      </c>
      <c r="J73" s="13">
        <f>IF(Roster[[#This Row],[Name]]="","",IFERROR(Roster[[#This Row],[In sprint]]/SUMIFS(Items[Pts],Items[Cur team],Roster[[#This Row],[Team]],Items[In sprint],1),""))</f>
      </c>
    </row>
    <row r="74">
      <c r="A74" t="s">
        <v>1240</v>
      </c>
      <c r="C74" t="s">
        <v>1134</v>
      </c>
      <c r="F74" s="17">
        <f>IF(Roster[[#This Row],[Name]]="","",SUMIFS(Items[Pts],Items[Owner],Roster[[#This Row],[Name]],Items[In sprint],1))</f>
      </c>
      <c r="G74" s="17">
        <f>IF(Roster[[#This Row],[Name]]="","",COUNTIFS(Items[Owner],Roster[[#This Row],[Name]],Items[In sprint],1,Items[State],"&lt;&gt;DONE"))</f>
      </c>
      <c r="H74" s="17">
        <f>IF(Roster[[#This Row],[Name]]="","",SUMIFS(Items[Pts],Items[Owner],Roster[[#This Row],[Name]],Items[In sprint],1,Items[State],"DONE"))</f>
      </c>
      <c r="I74" s="17">
        <f>IF(Roster[[#This Row],[Name]]="","",COUNTIFS(Items[Owner],Roster[[#This Row],[Name]],Items[In sprint],1,Items[State],"WAIT"))</f>
      </c>
      <c r="J74" s="13">
        <f>IF(Roster[[#This Row],[Name]]="","",IFERROR(Roster[[#This Row],[In sprint]]/SUMIFS(Items[Pts],Items[Cur team],Roster[[#This Row],[Team]],Items[In sprint],1),""))</f>
      </c>
    </row>
    <row r="75">
      <c r="A75" t="s">
        <v>1244</v>
      </c>
      <c r="C75" t="s">
        <v>1134</v>
      </c>
      <c r="F75" s="17">
        <f>IF(Roster[[#This Row],[Name]]="","",SUMIFS(Items[Pts],Items[Owner],Roster[[#This Row],[Name]],Items[In sprint],1))</f>
      </c>
      <c r="G75" s="17">
        <f>IF(Roster[[#This Row],[Name]]="","",COUNTIFS(Items[Owner],Roster[[#This Row],[Name]],Items[In sprint],1,Items[State],"&lt;&gt;DONE"))</f>
      </c>
      <c r="H75" s="17">
        <f>IF(Roster[[#This Row],[Name]]="","",SUMIFS(Items[Pts],Items[Owner],Roster[[#This Row],[Name]],Items[In sprint],1,Items[State],"DONE"))</f>
      </c>
      <c r="I75" s="17">
        <f>IF(Roster[[#This Row],[Name]]="","",COUNTIFS(Items[Owner],Roster[[#This Row],[Name]],Items[In sprint],1,Items[State],"WAIT"))</f>
      </c>
      <c r="J75" s="13">
        <f>IF(Roster[[#This Row],[Name]]="","",IFERROR(Roster[[#This Row],[In sprint]]/SUMIFS(Items[Pts],Items[Cur team],Roster[[#This Row],[Team]],Items[In sprint],1),""))</f>
      </c>
    </row>
    <row r="76">
      <c r="A76" t="s">
        <v>1135</v>
      </c>
      <c r="C76" t="s">
        <v>1134</v>
      </c>
      <c r="F76" s="17">
        <f>IF(Roster[[#This Row],[Name]]="","",SUMIFS(Items[Pts],Items[Owner],Roster[[#This Row],[Name]],Items[In sprint],1))</f>
      </c>
      <c r="G76" s="17">
        <f>IF(Roster[[#This Row],[Name]]="","",COUNTIFS(Items[Owner],Roster[[#This Row],[Name]],Items[In sprint],1,Items[State],"&lt;&gt;DONE"))</f>
      </c>
      <c r="H76" s="17">
        <f>IF(Roster[[#This Row],[Name]]="","",SUMIFS(Items[Pts],Items[Owner],Roster[[#This Row],[Name]],Items[In sprint],1,Items[State],"DONE"))</f>
      </c>
      <c r="I76" s="17">
        <f>IF(Roster[[#This Row],[Name]]="","",COUNTIFS(Items[Owner],Roster[[#This Row],[Name]],Items[In sprint],1,Items[State],"WAIT"))</f>
      </c>
      <c r="J76" s="13">
        <f>IF(Roster[[#This Row],[Name]]="","",IFERROR(Roster[[#This Row],[In sprint]]/SUMIFS(Items[Pts],Items[Cur team],Roster[[#This Row],[Team]],Items[In sprint],1),""))</f>
      </c>
    </row>
    <row r="77">
      <c r="A77" t="s">
        <v>1242</v>
      </c>
      <c r="C77" t="s">
        <v>1134</v>
      </c>
      <c r="F77" s="17">
        <f>IF(Roster[[#This Row],[Name]]="","",SUMIFS(Items[Pts],Items[Owner],Roster[[#This Row],[Name]],Items[In sprint],1))</f>
      </c>
      <c r="G77" s="17">
        <f>IF(Roster[[#This Row],[Name]]="","",COUNTIFS(Items[Owner],Roster[[#This Row],[Name]],Items[In sprint],1,Items[State],"&lt;&gt;DONE"))</f>
      </c>
      <c r="H77" s="17">
        <f>IF(Roster[[#This Row],[Name]]="","",SUMIFS(Items[Pts],Items[Owner],Roster[[#This Row],[Name]],Items[In sprint],1,Items[State],"DONE"))</f>
      </c>
      <c r="I77" s="17">
        <f>IF(Roster[[#This Row],[Name]]="","",COUNTIFS(Items[Owner],Roster[[#This Row],[Name]],Items[In sprint],1,Items[State],"WAIT"))</f>
      </c>
      <c r="J77" s="13">
        <f>IF(Roster[[#This Row],[Name]]="","",IFERROR(Roster[[#This Row],[In sprint]]/SUMIFS(Items[Pts],Items[Cur team],Roster[[#This Row],[Team]],Items[In sprint],1),""))</f>
      </c>
    </row>
    <row r="78">
      <c r="A78" t="s">
        <v>1171</v>
      </c>
      <c r="C78" t="s">
        <v>1134</v>
      </c>
      <c r="F78" s="17">
        <f>IF(Roster[[#This Row],[Name]]="","",SUMIFS(Items[Pts],Items[Owner],Roster[[#This Row],[Name]],Items[In sprint],1))</f>
      </c>
      <c r="G78" s="17">
        <f>IF(Roster[[#This Row],[Name]]="","",COUNTIFS(Items[Owner],Roster[[#This Row],[Name]],Items[In sprint],1,Items[State],"&lt;&gt;DONE"))</f>
      </c>
      <c r="H78" s="17">
        <f>IF(Roster[[#This Row],[Name]]="","",SUMIFS(Items[Pts],Items[Owner],Roster[[#This Row],[Name]],Items[In sprint],1,Items[State],"DONE"))</f>
      </c>
      <c r="I78" s="17">
        <f>IF(Roster[[#This Row],[Name]]="","",COUNTIFS(Items[Owner],Roster[[#This Row],[Name]],Items[In sprint],1,Items[State],"WAIT"))</f>
      </c>
      <c r="J78" s="13">
        <f>IF(Roster[[#This Row],[Name]]="","",IFERROR(Roster[[#This Row],[In sprint]]/SUMIFS(Items[Pts],Items[Cur team],Roster[[#This Row],[Team]],Items[In sprint],1),""))</f>
      </c>
    </row>
    <row r="79">
      <c r="A79" t="s">
        <v>1387</v>
      </c>
      <c r="C79" t="s">
        <v>1134</v>
      </c>
      <c r="F79" s="17">
        <f>IF(Roster[[#This Row],[Name]]="","",SUMIFS(Items[Pts],Items[Owner],Roster[[#This Row],[Name]],Items[In sprint],1))</f>
      </c>
      <c r="G79" s="17">
        <f>IF(Roster[[#This Row],[Name]]="","",COUNTIFS(Items[Owner],Roster[[#This Row],[Name]],Items[In sprint],1,Items[State],"&lt;&gt;DONE"))</f>
      </c>
      <c r="H79" s="17">
        <f>IF(Roster[[#This Row],[Name]]="","",SUMIFS(Items[Pts],Items[Owner],Roster[[#This Row],[Name]],Items[In sprint],1,Items[State],"DONE"))</f>
      </c>
      <c r="I79" s="17">
        <f>IF(Roster[[#This Row],[Name]]="","",COUNTIFS(Items[Owner],Roster[[#This Row],[Name]],Items[In sprint],1,Items[State],"WAIT"))</f>
      </c>
      <c r="J79" s="13">
        <f>IF(Roster[[#This Row],[Name]]="","",IFERROR(Roster[[#This Row],[In sprint]]/SUMIFS(Items[Pts],Items[Cur team],Roster[[#This Row],[Team]],Items[In sprint],1),""))</f>
      </c>
    </row>
    <row r="80">
      <c r="A80" t="s">
        <v>1237</v>
      </c>
      <c r="C80" t="s">
        <v>1134</v>
      </c>
      <c r="F80" s="17">
        <f>IF(Roster[[#This Row],[Name]]="","",SUMIFS(Items[Pts],Items[Owner],Roster[[#This Row],[Name]],Items[In sprint],1))</f>
      </c>
      <c r="G80" s="17">
        <f>IF(Roster[[#This Row],[Name]]="","",COUNTIFS(Items[Owner],Roster[[#This Row],[Name]],Items[In sprint],1,Items[State],"&lt;&gt;DONE"))</f>
      </c>
      <c r="H80" s="17">
        <f>IF(Roster[[#This Row],[Name]]="","",SUMIFS(Items[Pts],Items[Owner],Roster[[#This Row],[Name]],Items[In sprint],1,Items[State],"DONE"))</f>
      </c>
      <c r="I80" s="17">
        <f>IF(Roster[[#This Row],[Name]]="","",COUNTIFS(Items[Owner],Roster[[#This Row],[Name]],Items[In sprint],1,Items[State],"WAIT"))</f>
      </c>
      <c r="J80" s="13">
        <f>IF(Roster[[#This Row],[Name]]="","",IFERROR(Roster[[#This Row],[In sprint]]/SUMIFS(Items[Pts],Items[Cur team],Roster[[#This Row],[Team]],Items[In sprint],1),""))</f>
      </c>
    </row>
    <row r="81">
      <c r="A81" t="s">
        <v>1317</v>
      </c>
      <c r="C81" t="s">
        <v>1134</v>
      </c>
      <c r="F81" s="17">
        <f>IF(Roster[[#This Row],[Name]]="","",SUMIFS(Items[Pts],Items[Owner],Roster[[#This Row],[Name]],Items[In sprint],1))</f>
      </c>
      <c r="G81" s="17">
        <f>IF(Roster[[#This Row],[Name]]="","",COUNTIFS(Items[Owner],Roster[[#This Row],[Name]],Items[In sprint],1,Items[State],"&lt;&gt;DONE"))</f>
      </c>
      <c r="H81" s="17">
        <f>IF(Roster[[#This Row],[Name]]="","",SUMIFS(Items[Pts],Items[Owner],Roster[[#This Row],[Name]],Items[In sprint],1,Items[State],"DONE"))</f>
      </c>
      <c r="I81" s="17">
        <f>IF(Roster[[#This Row],[Name]]="","",COUNTIFS(Items[Owner],Roster[[#This Row],[Name]],Items[In sprint],1,Items[State],"WAIT"))</f>
      </c>
      <c r="J81" s="13">
        <f>IF(Roster[[#This Row],[Name]]="","",IFERROR(Roster[[#This Row],[In sprint]]/SUMIFS(Items[Pts],Items[Cur team],Roster[[#This Row],[Team]],Items[In sprint],1),""))</f>
      </c>
    </row>
    <row r="82">
      <c r="A82" t="s">
        <v>1249</v>
      </c>
      <c r="C82" t="s">
        <v>1139</v>
      </c>
      <c r="F82" s="17">
        <f>IF(Roster[[#This Row],[Name]]="","",SUMIFS(Items[Pts],Items[Owner],Roster[[#This Row],[Name]],Items[In sprint],1))</f>
      </c>
      <c r="G82" s="17">
        <f>IF(Roster[[#This Row],[Name]]="","",COUNTIFS(Items[Owner],Roster[[#This Row],[Name]],Items[In sprint],1,Items[State],"&lt;&gt;DONE"))</f>
      </c>
      <c r="H82" s="17">
        <f>IF(Roster[[#This Row],[Name]]="","",SUMIFS(Items[Pts],Items[Owner],Roster[[#This Row],[Name]],Items[In sprint],1,Items[State],"DONE"))</f>
      </c>
      <c r="I82" s="17">
        <f>IF(Roster[[#This Row],[Name]]="","",COUNTIFS(Items[Owner],Roster[[#This Row],[Name]],Items[In sprint],1,Items[State],"WAIT"))</f>
      </c>
      <c r="J82" s="13">
        <f>IF(Roster[[#This Row],[Name]]="","",IFERROR(Roster[[#This Row],[In sprint]]/SUMIFS(Items[Pts],Items[Cur team],Roster[[#This Row],[Team]],Items[In sprint],1),""))</f>
      </c>
    </row>
    <row r="83">
      <c r="A83" t="s">
        <v>1323</v>
      </c>
      <c r="C83" t="s">
        <v>1139</v>
      </c>
      <c r="F83" s="17">
        <f>IF(Roster[[#This Row],[Name]]="","",SUMIFS(Items[Pts],Items[Owner],Roster[[#This Row],[Name]],Items[In sprint],1))</f>
      </c>
      <c r="G83" s="17">
        <f>IF(Roster[[#This Row],[Name]]="","",COUNTIFS(Items[Owner],Roster[[#This Row],[Name]],Items[In sprint],1,Items[State],"&lt;&gt;DONE"))</f>
      </c>
      <c r="H83" s="17">
        <f>IF(Roster[[#This Row],[Name]]="","",SUMIFS(Items[Pts],Items[Owner],Roster[[#This Row],[Name]],Items[In sprint],1,Items[State],"DONE"))</f>
      </c>
      <c r="I83" s="17">
        <f>IF(Roster[[#This Row],[Name]]="","",COUNTIFS(Items[Owner],Roster[[#This Row],[Name]],Items[In sprint],1,Items[State],"WAIT"))</f>
      </c>
      <c r="J83" s="13">
        <f>IF(Roster[[#This Row],[Name]]="","",IFERROR(Roster[[#This Row],[In sprint]]/SUMIFS(Items[Pts],Items[Cur team],Roster[[#This Row],[Team]],Items[In sprint],1),""))</f>
      </c>
    </row>
    <row r="84">
      <c r="A84" t="s">
        <v>1175</v>
      </c>
      <c r="C84" t="s">
        <v>1139</v>
      </c>
      <c r="F84" s="17">
        <f>IF(Roster[[#This Row],[Name]]="","",SUMIFS(Items[Pts],Items[Owner],Roster[[#This Row],[Name]],Items[In sprint],1))</f>
      </c>
      <c r="G84" s="17">
        <f>IF(Roster[[#This Row],[Name]]="","",COUNTIFS(Items[Owner],Roster[[#This Row],[Name]],Items[In sprint],1,Items[State],"&lt;&gt;DONE"))</f>
      </c>
      <c r="H84" s="17">
        <f>IF(Roster[[#This Row],[Name]]="","",SUMIFS(Items[Pts],Items[Owner],Roster[[#This Row],[Name]],Items[In sprint],1,Items[State],"DONE"))</f>
      </c>
      <c r="I84" s="17">
        <f>IF(Roster[[#This Row],[Name]]="","",COUNTIFS(Items[Owner],Roster[[#This Row],[Name]],Items[In sprint],1,Items[State],"WAIT"))</f>
      </c>
      <c r="J84" s="13">
        <f>IF(Roster[[#This Row],[Name]]="","",IFERROR(Roster[[#This Row],[In sprint]]/SUMIFS(Items[Pts],Items[Cur team],Roster[[#This Row],[Team]],Items[In sprint],1),""))</f>
      </c>
    </row>
    <row r="85">
      <c r="A85" t="s">
        <v>1398</v>
      </c>
      <c r="C85" t="s">
        <v>1139</v>
      </c>
      <c r="F85" s="17">
        <f>IF(Roster[[#This Row],[Name]]="","",SUMIFS(Items[Pts],Items[Owner],Roster[[#This Row],[Name]],Items[In sprint],1))</f>
      </c>
      <c r="G85" s="17">
        <f>IF(Roster[[#This Row],[Name]]="","",COUNTIFS(Items[Owner],Roster[[#This Row],[Name]],Items[In sprint],1,Items[State],"&lt;&gt;DONE"))</f>
      </c>
      <c r="H85" s="17">
        <f>IF(Roster[[#This Row],[Name]]="","",SUMIFS(Items[Pts],Items[Owner],Roster[[#This Row],[Name]],Items[In sprint],1,Items[State],"DONE"))</f>
      </c>
      <c r="I85" s="17">
        <f>IF(Roster[[#This Row],[Name]]="","",COUNTIFS(Items[Owner],Roster[[#This Row],[Name]],Items[In sprint],1,Items[State],"WAIT"))</f>
      </c>
      <c r="J85" s="13">
        <f>IF(Roster[[#This Row],[Name]]="","",IFERROR(Roster[[#This Row],[In sprint]]/SUMIFS(Items[Pts],Items[Cur team],Roster[[#This Row],[Team]],Items[In sprint],1),""))</f>
      </c>
    </row>
    <row r="86">
      <c r="A86" t="s">
        <v>1395</v>
      </c>
      <c r="C86" t="s">
        <v>1139</v>
      </c>
      <c r="F86" s="17">
        <f>IF(Roster[[#This Row],[Name]]="","",SUMIFS(Items[Pts],Items[Owner],Roster[[#This Row],[Name]],Items[In sprint],1))</f>
      </c>
      <c r="G86" s="17">
        <f>IF(Roster[[#This Row],[Name]]="","",COUNTIFS(Items[Owner],Roster[[#This Row],[Name]],Items[In sprint],1,Items[State],"&lt;&gt;DONE"))</f>
      </c>
      <c r="H86" s="17">
        <f>IF(Roster[[#This Row],[Name]]="","",SUMIFS(Items[Pts],Items[Owner],Roster[[#This Row],[Name]],Items[In sprint],1,Items[State],"DONE"))</f>
      </c>
      <c r="I86" s="17">
        <f>IF(Roster[[#This Row],[Name]]="","",COUNTIFS(Items[Owner],Roster[[#This Row],[Name]],Items[In sprint],1,Items[State],"WAIT"))</f>
      </c>
      <c r="J86" s="13">
        <f>IF(Roster[[#This Row],[Name]]="","",IFERROR(Roster[[#This Row],[In sprint]]/SUMIFS(Items[Pts],Items[Cur team],Roster[[#This Row],[Team]],Items[In sprint],1),""))</f>
      </c>
    </row>
    <row r="87">
      <c r="A87" t="s">
        <v>1247</v>
      </c>
      <c r="C87" t="s">
        <v>1139</v>
      </c>
      <c r="F87" s="17">
        <f>IF(Roster[[#This Row],[Name]]="","",SUMIFS(Items[Pts],Items[Owner],Roster[[#This Row],[Name]],Items[In sprint],1))</f>
      </c>
      <c r="G87" s="17">
        <f>IF(Roster[[#This Row],[Name]]="","",COUNTIFS(Items[Owner],Roster[[#This Row],[Name]],Items[In sprint],1,Items[State],"&lt;&gt;DONE"))</f>
      </c>
      <c r="H87" s="17">
        <f>IF(Roster[[#This Row],[Name]]="","",SUMIFS(Items[Pts],Items[Owner],Roster[[#This Row],[Name]],Items[In sprint],1,Items[State],"DONE"))</f>
      </c>
      <c r="I87" s="17">
        <f>IF(Roster[[#This Row],[Name]]="","",COUNTIFS(Items[Owner],Roster[[#This Row],[Name]],Items[In sprint],1,Items[State],"WAIT"))</f>
      </c>
      <c r="J87" s="13">
        <f>IF(Roster[[#This Row],[Name]]="","",IFERROR(Roster[[#This Row],[In sprint]]/SUMIFS(Items[Pts],Items[Cur team],Roster[[#This Row],[Team]],Items[In sprint],1),""))</f>
      </c>
    </row>
    <row r="88">
      <c r="A88" t="s">
        <v>1140</v>
      </c>
      <c r="C88" t="s">
        <v>1139</v>
      </c>
      <c r="F88" s="17">
        <f>IF(Roster[[#This Row],[Name]]="","",SUMIFS(Items[Pts],Items[Owner],Roster[[#This Row],[Name]],Items[In sprint],1))</f>
      </c>
      <c r="G88" s="17">
        <f>IF(Roster[[#This Row],[Name]]="","",COUNTIFS(Items[Owner],Roster[[#This Row],[Name]],Items[In sprint],1,Items[State],"&lt;&gt;DONE"))</f>
      </c>
      <c r="H88" s="17">
        <f>IF(Roster[[#This Row],[Name]]="","",SUMIFS(Items[Pts],Items[Owner],Roster[[#This Row],[Name]],Items[In sprint],1,Items[State],"DONE"))</f>
      </c>
      <c r="I88" s="17">
        <f>IF(Roster[[#This Row],[Name]]="","",COUNTIFS(Items[Owner],Roster[[#This Row],[Name]],Items[In sprint],1,Items[State],"WAIT"))</f>
      </c>
      <c r="J88" s="13">
        <f>IF(Roster[[#This Row],[Name]]="","",IFERROR(Roster[[#This Row],[In sprint]]/SUMIFS(Items[Pts],Items[Cur team],Roster[[#This Row],[Team]],Items[In sprint],1),""))</f>
      </c>
    </row>
    <row r="89">
      <c r="A89" t="s">
        <v>1586</v>
      </c>
      <c r="C89" t="s">
        <v>1139</v>
      </c>
      <c r="F89" s="17">
        <f>IF(Roster[[#This Row],[Name]]="","",SUMIFS(Items[Pts],Items[Owner],Roster[[#This Row],[Name]],Items[In sprint],1))</f>
      </c>
      <c r="G89" s="17">
        <f>IF(Roster[[#This Row],[Name]]="","",COUNTIFS(Items[Owner],Roster[[#This Row],[Name]],Items[In sprint],1,Items[State],"&lt;&gt;DONE"))</f>
      </c>
      <c r="H89" s="17">
        <f>IF(Roster[[#This Row],[Name]]="","",SUMIFS(Items[Pts],Items[Owner],Roster[[#This Row],[Name]],Items[In sprint],1,Items[State],"DONE"))</f>
      </c>
      <c r="I89" s="17">
        <f>IF(Roster[[#This Row],[Name]]="","",COUNTIFS(Items[Owner],Roster[[#This Row],[Name]],Items[In sprint],1,Items[State],"WAIT"))</f>
      </c>
      <c r="J89" s="13">
        <f>IF(Roster[[#This Row],[Name]]="","",IFERROR(Roster[[#This Row],[In sprint]]/SUMIFS(Items[Pts],Items[Cur team],Roster[[#This Row],[Team]],Items[In sprint],1),""))</f>
      </c>
    </row>
    <row r="90">
      <c r="A90" t="s">
        <v>1251</v>
      </c>
      <c r="C90" t="s">
        <v>1139</v>
      </c>
      <c r="F90" s="17">
        <f>IF(Roster[[#This Row],[Name]]="","",SUMIFS(Items[Pts],Items[Owner],Roster[[#This Row],[Name]],Items[In sprint],1))</f>
      </c>
      <c r="G90" s="17">
        <f>IF(Roster[[#This Row],[Name]]="","",COUNTIFS(Items[Owner],Roster[[#This Row],[Name]],Items[In sprint],1,Items[State],"&lt;&gt;DONE"))</f>
      </c>
      <c r="H90" s="17">
        <f>IF(Roster[[#This Row],[Name]]="","",SUMIFS(Items[Pts],Items[Owner],Roster[[#This Row],[Name]],Items[In sprint],1,Items[State],"DONE"))</f>
      </c>
      <c r="I90" s="17">
        <f>IF(Roster[[#This Row],[Name]]="","",COUNTIFS(Items[Owner],Roster[[#This Row],[Name]],Items[In sprint],1,Items[State],"WAIT"))</f>
      </c>
      <c r="J90" s="13">
        <f>IF(Roster[[#This Row],[Name]]="","",IFERROR(Roster[[#This Row],[In sprint]]/SUMIFS(Items[Pts],Items[Cur team],Roster[[#This Row],[Team]],Items[In sprint],1),""))</f>
      </c>
    </row>
    <row r="91">
      <c r="A91" t="s">
        <v>1319</v>
      </c>
      <c r="C91" t="s">
        <v>1139</v>
      </c>
      <c r="F91" s="17">
        <f>IF(Roster[[#This Row],[Name]]="","",SUMIFS(Items[Pts],Items[Owner],Roster[[#This Row],[Name]],Items[In sprint],1))</f>
      </c>
      <c r="G91" s="17">
        <f>IF(Roster[[#This Row],[Name]]="","",COUNTIFS(Items[Owner],Roster[[#This Row],[Name]],Items[In sprint],1,Items[State],"&lt;&gt;DONE"))</f>
      </c>
      <c r="H91" s="17">
        <f>IF(Roster[[#This Row],[Name]]="","",SUMIFS(Items[Pts],Items[Owner],Roster[[#This Row],[Name]],Items[In sprint],1,Items[State],"DONE"))</f>
      </c>
      <c r="I91" s="17">
        <f>IF(Roster[[#This Row],[Name]]="","",COUNTIFS(Items[Owner],Roster[[#This Row],[Name]],Items[In sprint],1,Items[State],"WAIT"))</f>
      </c>
      <c r="J91" s="13">
        <f>IF(Roster[[#This Row],[Name]]="","",IFERROR(Roster[[#This Row],[In sprint]]/SUMIFS(Items[Pts],Items[Cur team],Roster[[#This Row],[Team]],Items[In sprint],1),""))</f>
      </c>
    </row>
    <row r="92">
      <c r="A92" t="s">
        <v>1259</v>
      </c>
      <c r="C92" t="s">
        <v>1177</v>
      </c>
      <c r="F92" s="17">
        <f>IF(Roster[[#This Row],[Name]]="","",SUMIFS(Items[Pts],Items[Owner],Roster[[#This Row],[Name]],Items[In sprint],1))</f>
      </c>
      <c r="G92" s="17">
        <f>IF(Roster[[#This Row],[Name]]="","",COUNTIFS(Items[Owner],Roster[[#This Row],[Name]],Items[In sprint],1,Items[State],"&lt;&gt;DONE"))</f>
      </c>
      <c r="H92" s="17">
        <f>IF(Roster[[#This Row],[Name]]="","",SUMIFS(Items[Pts],Items[Owner],Roster[[#This Row],[Name]],Items[In sprint],1,Items[State],"DONE"))</f>
      </c>
      <c r="I92" s="17">
        <f>IF(Roster[[#This Row],[Name]]="","",COUNTIFS(Items[Owner],Roster[[#This Row],[Name]],Items[In sprint],1,Items[State],"WAIT"))</f>
      </c>
      <c r="J92" s="13">
        <f>IF(Roster[[#This Row],[Name]]="","",IFERROR(Roster[[#This Row],[In sprint]]/SUMIFS(Items[Pts],Items[Cur team],Roster[[#This Row],[Team]],Items[In sprint],1),""))</f>
      </c>
    </row>
    <row r="93">
      <c r="A93" t="s">
        <v>1261</v>
      </c>
      <c r="C93" t="s">
        <v>1177</v>
      </c>
      <c r="F93" s="17">
        <f>IF(Roster[[#This Row],[Name]]="","",SUMIFS(Items[Pts],Items[Owner],Roster[[#This Row],[Name]],Items[In sprint],1))</f>
      </c>
      <c r="G93" s="17">
        <f>IF(Roster[[#This Row],[Name]]="","",COUNTIFS(Items[Owner],Roster[[#This Row],[Name]],Items[In sprint],1,Items[State],"&lt;&gt;DONE"))</f>
      </c>
      <c r="H93" s="17">
        <f>IF(Roster[[#This Row],[Name]]="","",SUMIFS(Items[Pts],Items[Owner],Roster[[#This Row],[Name]],Items[In sprint],1,Items[State],"DONE"))</f>
      </c>
      <c r="I93" s="17">
        <f>IF(Roster[[#This Row],[Name]]="","",COUNTIFS(Items[Owner],Roster[[#This Row],[Name]],Items[In sprint],1,Items[State],"WAIT"))</f>
      </c>
      <c r="J93" s="13">
        <f>IF(Roster[[#This Row],[Name]]="","",IFERROR(Roster[[#This Row],[In sprint]]/SUMIFS(Items[Pts],Items[Cur team],Roster[[#This Row],[Team]],Items[In sprint],1),""))</f>
      </c>
    </row>
    <row r="94">
      <c r="A94" t="s">
        <v>1407</v>
      </c>
      <c r="C94" t="s">
        <v>1177</v>
      </c>
      <c r="F94" s="17">
        <f>IF(Roster[[#This Row],[Name]]="","",SUMIFS(Items[Pts],Items[Owner],Roster[[#This Row],[Name]],Items[In sprint],1))</f>
      </c>
      <c r="G94" s="17">
        <f>IF(Roster[[#This Row],[Name]]="","",COUNTIFS(Items[Owner],Roster[[#This Row],[Name]],Items[In sprint],1,Items[State],"&lt;&gt;DONE"))</f>
      </c>
      <c r="H94" s="17">
        <f>IF(Roster[[#This Row],[Name]]="","",SUMIFS(Items[Pts],Items[Owner],Roster[[#This Row],[Name]],Items[In sprint],1,Items[State],"DONE"))</f>
      </c>
      <c r="I94" s="17">
        <f>IF(Roster[[#This Row],[Name]]="","",COUNTIFS(Items[Owner],Roster[[#This Row],[Name]],Items[In sprint],1,Items[State],"WAIT"))</f>
      </c>
      <c r="J94" s="13">
        <f>IF(Roster[[#This Row],[Name]]="","",IFERROR(Roster[[#This Row],[In sprint]]/SUMIFS(Items[Pts],Items[Cur team],Roster[[#This Row],[Team]],Items[In sprint],1),""))</f>
      </c>
    </row>
    <row r="95">
      <c r="A95" t="s">
        <v>1178</v>
      </c>
      <c r="C95" t="s">
        <v>1177</v>
      </c>
      <c r="F95" s="17">
        <f>IF(Roster[[#This Row],[Name]]="","",SUMIFS(Items[Pts],Items[Owner],Roster[[#This Row],[Name]],Items[In sprint],1))</f>
      </c>
      <c r="G95" s="17">
        <f>IF(Roster[[#This Row],[Name]]="","",COUNTIFS(Items[Owner],Roster[[#This Row],[Name]],Items[In sprint],1,Items[State],"&lt;&gt;DONE"))</f>
      </c>
      <c r="H95" s="17">
        <f>IF(Roster[[#This Row],[Name]]="","",SUMIFS(Items[Pts],Items[Owner],Roster[[#This Row],[Name]],Items[In sprint],1,Items[State],"DONE"))</f>
      </c>
      <c r="I95" s="17">
        <f>IF(Roster[[#This Row],[Name]]="","",COUNTIFS(Items[Owner],Roster[[#This Row],[Name]],Items[In sprint],1,Items[State],"WAIT"))</f>
      </c>
      <c r="J95" s="13">
        <f>IF(Roster[[#This Row],[Name]]="","",IFERROR(Roster[[#This Row],[In sprint]]/SUMIFS(Items[Pts],Items[Cur team],Roster[[#This Row],[Team]],Items[In sprint],1),""))</f>
      </c>
    </row>
    <row r="96">
      <c r="A96" t="s">
        <v>1180</v>
      </c>
      <c r="C96" t="s">
        <v>1177</v>
      </c>
      <c r="F96" s="17">
        <f>IF(Roster[[#This Row],[Name]]="","",SUMIFS(Items[Pts],Items[Owner],Roster[[#This Row],[Name]],Items[In sprint],1))</f>
      </c>
      <c r="G96" s="17">
        <f>IF(Roster[[#This Row],[Name]]="","",COUNTIFS(Items[Owner],Roster[[#This Row],[Name]],Items[In sprint],1,Items[State],"&lt;&gt;DONE"))</f>
      </c>
      <c r="H96" s="17">
        <f>IF(Roster[[#This Row],[Name]]="","",SUMIFS(Items[Pts],Items[Owner],Roster[[#This Row],[Name]],Items[In sprint],1,Items[State],"DONE"))</f>
      </c>
      <c r="I96" s="17">
        <f>IF(Roster[[#This Row],[Name]]="","",COUNTIFS(Items[Owner],Roster[[#This Row],[Name]],Items[In sprint],1,Items[State],"WAIT"))</f>
      </c>
      <c r="J96" s="13">
        <f>IF(Roster[[#This Row],[Name]]="","",IFERROR(Roster[[#This Row],[In sprint]]/SUMIFS(Items[Pts],Items[Cur team],Roster[[#This Row],[Team]],Items[In sprint],1),""))</f>
      </c>
    </row>
    <row r="97">
      <c r="A97" t="s">
        <v>1327</v>
      </c>
      <c r="C97" t="s">
        <v>1177</v>
      </c>
      <c r="F97" s="17">
        <f>IF(Roster[[#This Row],[Name]]="","",SUMIFS(Items[Pts],Items[Owner],Roster[[#This Row],[Name]],Items[In sprint],1))</f>
      </c>
      <c r="G97" s="17">
        <f>IF(Roster[[#This Row],[Name]]="","",COUNTIFS(Items[Owner],Roster[[#This Row],[Name]],Items[In sprint],1,Items[State],"&lt;&gt;DONE"))</f>
      </c>
      <c r="H97" s="17">
        <f>IF(Roster[[#This Row],[Name]]="","",SUMIFS(Items[Pts],Items[Owner],Roster[[#This Row],[Name]],Items[In sprint],1,Items[State],"DONE"))</f>
      </c>
      <c r="I97" s="17">
        <f>IF(Roster[[#This Row],[Name]]="","",COUNTIFS(Items[Owner],Roster[[#This Row],[Name]],Items[In sprint],1,Items[State],"WAIT"))</f>
      </c>
      <c r="J97" s="13">
        <f>IF(Roster[[#This Row],[Name]]="","",IFERROR(Roster[[#This Row],[In sprint]]/SUMIFS(Items[Pts],Items[Cur team],Roster[[#This Row],[Team]],Items[In sprint],1),""))</f>
      </c>
    </row>
    <row r="98">
      <c r="A98" t="s">
        <v>1400</v>
      </c>
      <c r="C98" t="s">
        <v>1177</v>
      </c>
      <c r="F98" s="17">
        <f>IF(Roster[[#This Row],[Name]]="","",SUMIFS(Items[Pts],Items[Owner],Roster[[#This Row],[Name]],Items[In sprint],1))</f>
      </c>
      <c r="G98" s="17">
        <f>IF(Roster[[#This Row],[Name]]="","",COUNTIFS(Items[Owner],Roster[[#This Row],[Name]],Items[In sprint],1,Items[State],"&lt;&gt;DONE"))</f>
      </c>
      <c r="H98" s="17">
        <f>IF(Roster[[#This Row],[Name]]="","",SUMIFS(Items[Pts],Items[Owner],Roster[[#This Row],[Name]],Items[In sprint],1,Items[State],"DONE"))</f>
      </c>
      <c r="I98" s="17">
        <f>IF(Roster[[#This Row],[Name]]="","",COUNTIFS(Items[Owner],Roster[[#This Row],[Name]],Items[In sprint],1,Items[State],"WAIT"))</f>
      </c>
      <c r="J98" s="13">
        <f>IF(Roster[[#This Row],[Name]]="","",IFERROR(Roster[[#This Row],[In sprint]]/SUMIFS(Items[Pts],Items[Cur team],Roster[[#This Row],[Team]],Items[In sprint],1),""))</f>
      </c>
    </row>
    <row r="99">
      <c r="A99" t="s">
        <v>1263</v>
      </c>
      <c r="C99" t="s">
        <v>1177</v>
      </c>
      <c r="F99" s="17">
        <f>IF(Roster[[#This Row],[Name]]="","",SUMIFS(Items[Pts],Items[Owner],Roster[[#This Row],[Name]],Items[In sprint],1))</f>
      </c>
      <c r="G99" s="17">
        <f>IF(Roster[[#This Row],[Name]]="","",COUNTIFS(Items[Owner],Roster[[#This Row],[Name]],Items[In sprint],1,Items[State],"&lt;&gt;DONE"))</f>
      </c>
      <c r="H99" s="17">
        <f>IF(Roster[[#This Row],[Name]]="","",SUMIFS(Items[Pts],Items[Owner],Roster[[#This Row],[Name]],Items[In sprint],1,Items[State],"DONE"))</f>
      </c>
      <c r="I99" s="17">
        <f>IF(Roster[[#This Row],[Name]]="","",COUNTIFS(Items[Owner],Roster[[#This Row],[Name]],Items[In sprint],1,Items[State],"WAIT"))</f>
      </c>
      <c r="J99" s="13">
        <f>IF(Roster[[#This Row],[Name]]="","",IFERROR(Roster[[#This Row],[In sprint]]/SUMIFS(Items[Pts],Items[Cur team],Roster[[#This Row],[Team]],Items[In sprint],1),""))</f>
      </c>
    </row>
    <row r="100">
      <c r="A100" t="s">
        <v>1257</v>
      </c>
      <c r="C100" t="s">
        <v>1177</v>
      </c>
      <c r="F100" s="17">
        <f>IF(Roster[[#This Row],[Name]]="","",SUMIFS(Items[Pts],Items[Owner],Roster[[#This Row],[Name]],Items[In sprint],1))</f>
      </c>
      <c r="G100" s="17">
        <f>IF(Roster[[#This Row],[Name]]="","",COUNTIFS(Items[Owner],Roster[[#This Row],[Name]],Items[In sprint],1,Items[State],"&lt;&gt;DONE"))</f>
      </c>
      <c r="H100" s="17">
        <f>IF(Roster[[#This Row],[Name]]="","",SUMIFS(Items[Pts],Items[Owner],Roster[[#This Row],[Name]],Items[In sprint],1,Items[State],"DONE"))</f>
      </c>
      <c r="I100" s="17">
        <f>IF(Roster[[#This Row],[Name]]="","",COUNTIFS(Items[Owner],Roster[[#This Row],[Name]],Items[In sprint],1,Items[State],"WAIT"))</f>
      </c>
      <c r="J100" s="13">
        <f>IF(Roster[[#This Row],[Name]]="","",IFERROR(Roster[[#This Row],[In sprint]]/SUMIFS(Items[Pts],Items[Cur team],Roster[[#This Row],[Team]],Items[In sprint],1),""))</f>
      </c>
    </row>
    <row r="101">
      <c r="A101" t="s">
        <v>1182</v>
      </c>
      <c r="C101" t="s">
        <v>1177</v>
      </c>
      <c r="F101" s="17">
        <f>IF(Roster[[#This Row],[Name]]="","",SUMIFS(Items[Pts],Items[Owner],Roster[[#This Row],[Name]],Items[In sprint],1))</f>
      </c>
      <c r="G101" s="17">
        <f>IF(Roster[[#This Row],[Name]]="","",COUNTIFS(Items[Owner],Roster[[#This Row],[Name]],Items[In sprint],1,Items[State],"&lt;&gt;DONE"))</f>
      </c>
      <c r="H101" s="17">
        <f>IF(Roster[[#This Row],[Name]]="","",SUMIFS(Items[Pts],Items[Owner],Roster[[#This Row],[Name]],Items[In sprint],1,Items[State],"DONE"))</f>
      </c>
      <c r="I101" s="17">
        <f>IF(Roster[[#This Row],[Name]]="","",COUNTIFS(Items[Owner],Roster[[#This Row],[Name]],Items[In sprint],1,Items[State],"WAIT"))</f>
      </c>
      <c r="J101" s="13">
        <f>IF(Roster[[#This Row],[Name]]="","",IFERROR(Roster[[#This Row],[In sprint]]/SUMIFS(Items[Pts],Items[Cur team],Roster[[#This Row],[Team]],Items[In sprint],1),""))</f>
      </c>
    </row>
  </sheetData>
  <conditionalFormatting sqref="J2:J101">
    <cfRule type="expression" dxfId="1" priority="1">
      <formula>AND(J2&lt;&gt;"",J2&gt;BusMax)</formula>
    </cfRule>
  </conditionalFormatting>
  <conditionalFormatting sqref="I2:I101">
    <cfRule type="expression" dxfId="0" priority="2">
      <formula>N(I2)&gt;0</formula>
    </cfRule>
  </conditionalFormatting>
  <dataValidations count="1">
    <dataValidation type="list" allowBlank="1" showErrorMessage="1" errorStyle="warning" sqref="C2:C2000">
      <formula1>TeamList</formula1>
    </dataValidation>
  </dataValidations>
  <pageMargins left="0.5" right="0.5" top="0.6" bottom="0.6" header="0.3" footer="0.3"/>
  <pageSetup orientation="portrait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6B7436"/>
  </sheetPr>
  <sheetViews>
    <sheetView workbookViewId="0" showGridLines="1">
      <pane xSplit="1" ySplit="1" topLeftCell="B2" activePane="bottomRight" state="frozen"/>
    </sheetView>
  </sheetViews>
  <sheetFormatPr defaultRowHeight="13.8"/>
  <cols>
    <col min="1" max="1" width="30" customWidth="1"/>
    <col min="2" max="2" width="22" customWidth="1"/>
    <col min="3" max="3" width="11" customWidth="1"/>
    <col min="4" max="4" width="12" customWidth="1"/>
    <col min="5" max="5" width="8" customWidth="1"/>
    <col min="6" max="6" width="7" customWidth="1"/>
    <col min="7" max="7" width="8" customWidth="1"/>
    <col min="8" max="8" width="6" customWidth="1"/>
    <col min="9" max="9" width="8" customWidth="1"/>
    <col min="10" max="10" width="11" customWidth="1"/>
    <col min="11" max="11" width="11" customWidth="1"/>
    <col min="12" max="12" width="9" customWidth="1"/>
    <col min="13" max="13" width="6" customWidth="1" hidden="1"/>
  </cols>
  <sheetData>
    <row r="1">
      <c r="A1" s="3" t="s">
        <v>93</v>
      </c>
      <c r="B1" s="3" t="s">
        <v>1091</v>
      </c>
      <c r="C1" s="3" t="s">
        <v>2266</v>
      </c>
      <c r="D1" s="4" t="s">
        <v>144</v>
      </c>
      <c r="E1" s="4" t="s">
        <v>1092</v>
      </c>
      <c r="F1" s="4" t="s">
        <v>2253</v>
      </c>
      <c r="G1" s="4" t="s">
        <v>96</v>
      </c>
      <c r="H1" s="4" t="s">
        <v>2264</v>
      </c>
      <c r="I1" s="4" t="s">
        <v>1096</v>
      </c>
      <c r="J1" s="4" t="s">
        <v>2267</v>
      </c>
      <c r="K1" s="4" t="s">
        <v>95</v>
      </c>
      <c r="L1" s="4" t="s">
        <v>94</v>
      </c>
      <c r="M1" s="4" t="s">
        <v>2268</v>
      </c>
      <c r="O1" s="6" t="s">
        <v>2269</v>
      </c>
    </row>
    <row r="2">
      <c r="A2" t="s">
        <v>1123</v>
      </c>
      <c r="B2" t="s">
        <v>1107</v>
      </c>
      <c r="C2" s="11"/>
      <c r="D2" s="17">
        <f>IF(Epics[[#This Row],[Epic]]="","",IFERROR(INDEX(Items[Cur team],MATCH(Epics[[#This Row],[Epic]],Items[Epic],0))&amp;"",""))</f>
      </c>
      <c r="E2" s="17">
        <f>IF(Epics[[#This Row],[Epic]]="","",SUMIFS(Items[Pts],Items[Epic],Epics[[#This Row],[Epic]],Items[State],"&lt;&gt;DROP"))</f>
      </c>
      <c r="F2" s="17">
        <f>IF(Epics[[#This Row],[Epic]]="","",SUMIFS(Items[Pts],Items[Epic],Epics[[#This Row],[Epic]],Items[State],"DONE"))</f>
      </c>
      <c r="G2" s="13">
        <f>IF(N(Epics[[#This Row],[Points]])=0,"",Epics[[#This Row],[Done]]/Epics[[#This Row],[Points]])</f>
      </c>
      <c r="H2" s="17">
        <f>IF(Epics[[#This Row],[Epic]]="","",COUNTIFS(Items[Epic],Epics[[#This Row],[Epic]],Items[State],"&lt;&gt;DONE",Items[State],"&lt;&gt;DROP"))</f>
      </c>
      <c r="I2" s="17">
        <f>IF(Epics[[#This Row],[Epic]]="","",COUNTIFS(Items[Epic],Epics[[#This Row],[Epic]],Items[State],"WAIT"))</f>
      </c>
      <c r="J2" s="11">
        <f>IF(OR(Epics[[#This Row],[Epic]]="",N(Epics[[#This Row],[Points]])=0),"",IF(Epics[[#This Row],[Done]]&gt;=Epics[[#This Row],[Points]],"",AsOf+ROUNDUP((Epics[[#This Row],[Points]]-Epics[[#This Row],[Done]])/MAX(1,IFERROR(INDEX(Teams[Velocity],MATCH(Epics[[#This Row],[Team]],Teams[Team],0)),1)),0)*SprintDays))</f>
      </c>
      <c r="K2" s="11">
        <f>IF(Epics[[#This Row],[Epic]]="","",IF(Epics[[#This Row],[Target]]&lt;&gt;"",Epics[[#This Row],[Target]],Epics[[#This Row],[ETA]]))</f>
      </c>
      <c r="L2" s="17">
        <f>IF(Epics[[#This Row],[Epic]]="","",IF(AND(N(Epics[[#This Row],[Points]])&gt;0,Epics[[#This Row],[Done]]&gt;=Epics[[#This Row],[Points]]),"DONE",IF(Epics[[#This Row],[Target]]="",IF(Epics[[#This Row],[ETA]]="","","forecast"),IF(Epics[[#This Row],[Target]]&lt;AsOf,"LATE",IF(Epics[[#This Row],[ETA]]&gt;Epics[[#This Row],[Target]],"AT RISK","on track")))))</f>
      </c>
      <c r="M2" s="17">
        <f>IF(OR(Epics[[#This Row],[Due]]="",Epics[[#This Row],[Status]]="DONE"),"",IF(Epics[[#This Row],[Due]]&lt;=AsOf+90,N(Epics[[#This Row],[Due]])*100000+ROW(),""))</f>
      </c>
    </row>
    <row r="3">
      <c r="A3" t="s">
        <v>1116</v>
      </c>
      <c r="B3" t="s">
        <v>1115</v>
      </c>
      <c r="C3" s="11"/>
      <c r="D3" s="17">
        <f>IF(Epics[[#This Row],[Epic]]="","",IFERROR(INDEX(Items[Cur team],MATCH(Epics[[#This Row],[Epic]],Items[Epic],0))&amp;"",""))</f>
      </c>
      <c r="E3" s="17">
        <f>IF(Epics[[#This Row],[Epic]]="","",SUMIFS(Items[Pts],Items[Epic],Epics[[#This Row],[Epic]],Items[State],"&lt;&gt;DROP"))</f>
      </c>
      <c r="F3" s="17">
        <f>IF(Epics[[#This Row],[Epic]]="","",SUMIFS(Items[Pts],Items[Epic],Epics[[#This Row],[Epic]],Items[State],"DONE"))</f>
      </c>
      <c r="G3" s="13">
        <f>IF(N(Epics[[#This Row],[Points]])=0,"",Epics[[#This Row],[Done]]/Epics[[#This Row],[Points]])</f>
      </c>
      <c r="H3" s="17">
        <f>IF(Epics[[#This Row],[Epic]]="","",COUNTIFS(Items[Epic],Epics[[#This Row],[Epic]],Items[State],"&lt;&gt;DONE",Items[State],"&lt;&gt;DROP"))</f>
      </c>
      <c r="I3" s="17">
        <f>IF(Epics[[#This Row],[Epic]]="","",COUNTIFS(Items[Epic],Epics[[#This Row],[Epic]],Items[State],"WAIT"))</f>
      </c>
      <c r="J3" s="11">
        <f>IF(OR(Epics[[#This Row],[Epic]]="",N(Epics[[#This Row],[Points]])=0),"",IF(Epics[[#This Row],[Done]]&gt;=Epics[[#This Row],[Points]],"",AsOf+ROUNDUP((Epics[[#This Row],[Points]]-Epics[[#This Row],[Done]])/MAX(1,IFERROR(INDEX(Teams[Velocity],MATCH(Epics[[#This Row],[Team]],Teams[Team],0)),1)),0)*SprintDays))</f>
      </c>
      <c r="K3" s="11">
        <f>IF(Epics[[#This Row],[Epic]]="","",IF(Epics[[#This Row],[Target]]&lt;&gt;"",Epics[[#This Row],[Target]],Epics[[#This Row],[ETA]]))</f>
      </c>
      <c r="L3" s="17">
        <f>IF(Epics[[#This Row],[Epic]]="","",IF(AND(N(Epics[[#This Row],[Points]])&gt;0,Epics[[#This Row],[Done]]&gt;=Epics[[#This Row],[Points]]),"DONE",IF(Epics[[#This Row],[Target]]="",IF(Epics[[#This Row],[ETA]]="","","forecast"),IF(Epics[[#This Row],[Target]]&lt;AsOf,"LATE",IF(Epics[[#This Row],[ETA]]&gt;Epics[[#This Row],[Target]],"AT RISK","on track")))))</f>
      </c>
      <c r="M3" s="17">
        <f>IF(OR(Epics[[#This Row],[Due]]="",Epics[[#This Row],[Status]]="DONE"),"",IF(Epics[[#This Row],[Due]]&lt;=AsOf+90,N(Epics[[#This Row],[Due]])*100000+ROW(),""))</f>
      </c>
    </row>
    <row r="4">
      <c r="A4" t="s">
        <v>1108</v>
      </c>
      <c r="B4" t="s">
        <v>1107</v>
      </c>
      <c r="C4" s="11"/>
      <c r="D4" s="17">
        <f>IF(Epics[[#This Row],[Epic]]="","",IFERROR(INDEX(Items[Cur team],MATCH(Epics[[#This Row],[Epic]],Items[Epic],0))&amp;"",""))</f>
      </c>
      <c r="E4" s="17">
        <f>IF(Epics[[#This Row],[Epic]]="","",SUMIFS(Items[Pts],Items[Epic],Epics[[#This Row],[Epic]],Items[State],"&lt;&gt;DROP"))</f>
      </c>
      <c r="F4" s="17">
        <f>IF(Epics[[#This Row],[Epic]]="","",SUMIFS(Items[Pts],Items[Epic],Epics[[#This Row],[Epic]],Items[State],"DONE"))</f>
      </c>
      <c r="G4" s="13">
        <f>IF(N(Epics[[#This Row],[Points]])=0,"",Epics[[#This Row],[Done]]/Epics[[#This Row],[Points]])</f>
      </c>
      <c r="H4" s="17">
        <f>IF(Epics[[#This Row],[Epic]]="","",COUNTIFS(Items[Epic],Epics[[#This Row],[Epic]],Items[State],"&lt;&gt;DONE",Items[State],"&lt;&gt;DROP"))</f>
      </c>
      <c r="I4" s="17">
        <f>IF(Epics[[#This Row],[Epic]]="","",COUNTIFS(Items[Epic],Epics[[#This Row],[Epic]],Items[State],"WAIT"))</f>
      </c>
      <c r="J4" s="11">
        <f>IF(OR(Epics[[#This Row],[Epic]]="",N(Epics[[#This Row],[Points]])=0),"",IF(Epics[[#This Row],[Done]]&gt;=Epics[[#This Row],[Points]],"",AsOf+ROUNDUP((Epics[[#This Row],[Points]]-Epics[[#This Row],[Done]])/MAX(1,IFERROR(INDEX(Teams[Velocity],MATCH(Epics[[#This Row],[Team]],Teams[Team],0)),1)),0)*SprintDays))</f>
      </c>
      <c r="K4" s="11">
        <f>IF(Epics[[#This Row],[Epic]]="","",IF(Epics[[#This Row],[Target]]&lt;&gt;"",Epics[[#This Row],[Target]],Epics[[#This Row],[ETA]]))</f>
      </c>
      <c r="L4" s="17">
        <f>IF(Epics[[#This Row],[Epic]]="","",IF(AND(N(Epics[[#This Row],[Points]])&gt;0,Epics[[#This Row],[Done]]&gt;=Epics[[#This Row],[Points]]),"DONE",IF(Epics[[#This Row],[Target]]="",IF(Epics[[#This Row],[ETA]]="","","forecast"),IF(Epics[[#This Row],[Target]]&lt;AsOf,"LATE",IF(Epics[[#This Row],[ETA]]&gt;Epics[[#This Row],[Target]],"AT RISK","on track")))))</f>
      </c>
      <c r="M4" s="17">
        <f>IF(OR(Epics[[#This Row],[Due]]="",Epics[[#This Row],[Status]]="DONE"),"",IF(Epics[[#This Row],[Due]]&lt;=AsOf+90,N(Epics[[#This Row],[Due]])*100000+ROW(),""))</f>
      </c>
    </row>
    <row r="5">
      <c r="A5" t="s">
        <v>1127</v>
      </c>
      <c r="B5" t="s">
        <v>1107</v>
      </c>
      <c r="C5" s="11"/>
      <c r="D5" s="17">
        <f>IF(Epics[[#This Row],[Epic]]="","",IFERROR(INDEX(Items[Cur team],MATCH(Epics[[#This Row],[Epic]],Items[Epic],0))&amp;"",""))</f>
      </c>
      <c r="E5" s="17">
        <f>IF(Epics[[#This Row],[Epic]]="","",SUMIFS(Items[Pts],Items[Epic],Epics[[#This Row],[Epic]],Items[State],"&lt;&gt;DROP"))</f>
      </c>
      <c r="F5" s="17">
        <f>IF(Epics[[#This Row],[Epic]]="","",SUMIFS(Items[Pts],Items[Epic],Epics[[#This Row],[Epic]],Items[State],"DONE"))</f>
      </c>
      <c r="G5" s="13">
        <f>IF(N(Epics[[#This Row],[Points]])=0,"",Epics[[#This Row],[Done]]/Epics[[#This Row],[Points]])</f>
      </c>
      <c r="H5" s="17">
        <f>IF(Epics[[#This Row],[Epic]]="","",COUNTIFS(Items[Epic],Epics[[#This Row],[Epic]],Items[State],"&lt;&gt;DONE",Items[State],"&lt;&gt;DROP"))</f>
      </c>
      <c r="I5" s="17">
        <f>IF(Epics[[#This Row],[Epic]]="","",COUNTIFS(Items[Epic],Epics[[#This Row],[Epic]],Items[State],"WAIT"))</f>
      </c>
      <c r="J5" s="11">
        <f>IF(OR(Epics[[#This Row],[Epic]]="",N(Epics[[#This Row],[Points]])=0),"",IF(Epics[[#This Row],[Done]]&gt;=Epics[[#This Row],[Points]],"",AsOf+ROUNDUP((Epics[[#This Row],[Points]]-Epics[[#This Row],[Done]])/MAX(1,IFERROR(INDEX(Teams[Velocity],MATCH(Epics[[#This Row],[Team]],Teams[Team],0)),1)),0)*SprintDays))</f>
      </c>
      <c r="K5" s="11">
        <f>IF(Epics[[#This Row],[Epic]]="","",IF(Epics[[#This Row],[Target]]&lt;&gt;"",Epics[[#This Row],[Target]],Epics[[#This Row],[ETA]]))</f>
      </c>
      <c r="L5" s="17">
        <f>IF(Epics[[#This Row],[Epic]]="","",IF(AND(N(Epics[[#This Row],[Points]])&gt;0,Epics[[#This Row],[Done]]&gt;=Epics[[#This Row],[Points]]),"DONE",IF(Epics[[#This Row],[Target]]="",IF(Epics[[#This Row],[ETA]]="","","forecast"),IF(Epics[[#This Row],[Target]]&lt;AsOf,"LATE",IF(Epics[[#This Row],[ETA]]&gt;Epics[[#This Row],[Target]],"AT RISK","on track")))))</f>
      </c>
      <c r="M5" s="17">
        <f>IF(OR(Epics[[#This Row],[Due]]="",Epics[[#This Row],[Status]]="DONE"),"",IF(Epics[[#This Row],[Due]]&lt;=AsOf+90,N(Epics[[#This Row],[Due]])*100000+ROW(),""))</f>
      </c>
    </row>
    <row r="6">
      <c r="A6" t="s">
        <v>1119</v>
      </c>
      <c r="B6" t="s">
        <v>1115</v>
      </c>
      <c r="C6" s="11"/>
      <c r="D6" s="17">
        <f>IF(Epics[[#This Row],[Epic]]="","",IFERROR(INDEX(Items[Cur team],MATCH(Epics[[#This Row],[Epic]],Items[Epic],0))&amp;"",""))</f>
      </c>
      <c r="E6" s="17">
        <f>IF(Epics[[#This Row],[Epic]]="","",SUMIFS(Items[Pts],Items[Epic],Epics[[#This Row],[Epic]],Items[State],"&lt;&gt;DROP"))</f>
      </c>
      <c r="F6" s="17">
        <f>IF(Epics[[#This Row],[Epic]]="","",SUMIFS(Items[Pts],Items[Epic],Epics[[#This Row],[Epic]],Items[State],"DONE"))</f>
      </c>
      <c r="G6" s="13">
        <f>IF(N(Epics[[#This Row],[Points]])=0,"",Epics[[#This Row],[Done]]/Epics[[#This Row],[Points]])</f>
      </c>
      <c r="H6" s="17">
        <f>IF(Epics[[#This Row],[Epic]]="","",COUNTIFS(Items[Epic],Epics[[#This Row],[Epic]],Items[State],"&lt;&gt;DONE",Items[State],"&lt;&gt;DROP"))</f>
      </c>
      <c r="I6" s="17">
        <f>IF(Epics[[#This Row],[Epic]]="","",COUNTIFS(Items[Epic],Epics[[#This Row],[Epic]],Items[State],"WAIT"))</f>
      </c>
      <c r="J6" s="11">
        <f>IF(OR(Epics[[#This Row],[Epic]]="",N(Epics[[#This Row],[Points]])=0),"",IF(Epics[[#This Row],[Done]]&gt;=Epics[[#This Row],[Points]],"",AsOf+ROUNDUP((Epics[[#This Row],[Points]]-Epics[[#This Row],[Done]])/MAX(1,IFERROR(INDEX(Teams[Velocity],MATCH(Epics[[#This Row],[Team]],Teams[Team],0)),1)),0)*SprintDays))</f>
      </c>
      <c r="K6" s="11">
        <f>IF(Epics[[#This Row],[Epic]]="","",IF(Epics[[#This Row],[Target]]&lt;&gt;"",Epics[[#This Row],[Target]],Epics[[#This Row],[ETA]]))</f>
      </c>
      <c r="L6" s="17">
        <f>IF(Epics[[#This Row],[Epic]]="","",IF(AND(N(Epics[[#This Row],[Points]])&gt;0,Epics[[#This Row],[Done]]&gt;=Epics[[#This Row],[Points]]),"DONE",IF(Epics[[#This Row],[Target]]="",IF(Epics[[#This Row],[ETA]]="","","forecast"),IF(Epics[[#This Row],[Target]]&lt;AsOf,"LATE",IF(Epics[[#This Row],[ETA]]&gt;Epics[[#This Row],[Target]],"AT RISK","on track")))))</f>
      </c>
      <c r="M6" s="17">
        <f>IF(OR(Epics[[#This Row],[Due]]="",Epics[[#This Row],[Status]]="DONE"),"",IF(Epics[[#This Row],[Due]]&lt;=AsOf+90,N(Epics[[#This Row],[Due]])*100000+ROW(),""))</f>
      </c>
    </row>
  </sheetData>
  <conditionalFormatting sqref="L2:L6">
    <cfRule type="expression" dxfId="0" priority="1">
      <formula>OR(L2="LATE",L2="AT RISK")</formula>
    </cfRule>
  </conditionalFormatting>
  <conditionalFormatting sqref="L2:L6">
    <cfRule type="expression" dxfId="7" priority="2">
      <formula>L2="DONE"</formula>
    </cfRule>
  </conditionalFormatting>
  <pageMargins left="0.5" right="0.5" top="0.6" bottom="0.6" header="0.3" footer="0.3"/>
  <pageSetup orientation="portrait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D6292E"/>
  </sheetPr>
  <sheetViews>
    <sheetView workbookViewId="0" showGridLines="0"/>
  </sheetViews>
  <sheetFormatPr defaultRowHeight="13.8"/>
  <cols>
    <col min="1" max="1" width="24" customWidth="1"/>
    <col min="2" max="2" width="8" customWidth="1"/>
    <col min="3" max="3" width="8" customWidth="1"/>
    <col min="4" max="4" width="11" customWidth="1"/>
    <col min="5" max="5" width="8" customWidth="1"/>
    <col min="6" max="6" width="10" customWidth="1"/>
    <col min="7" max="7" width="10" customWidth="1"/>
  </cols>
  <sheetData>
    <row r="1">
      <c r="A1" s="1" t="s">
        <v>2270</v>
      </c>
    </row>
    <row r="3">
      <c r="A3" s="5" t="s">
        <v>2271</v>
      </c>
      <c r="B3" s="8"/>
      <c r="D3" s="5" t="s">
        <v>157</v>
      </c>
      <c r="E3" s="15">
        <f>IF(B3="",CurSprint,B3)</f>
      </c>
      <c r="F3" s="5" t="s">
        <v>2253</v>
      </c>
      <c r="G3" s="15">
        <f>SUMIFS(Log[Pts],Log[Verb],"done",Log[Sprint],E3,Log[Team],IF(B4="","*",B4))</f>
      </c>
    </row>
    <row r="4">
      <c r="A4" s="5" t="s">
        <v>2272</v>
      </c>
      <c r="B4" s="8"/>
      <c r="D4" s="5" t="s">
        <v>2252</v>
      </c>
      <c r="E4" s="15">
        <f>SUMIFS(Log[Pts],Log[Into],E3,Log[Team],IF(B4="","*",B4))</f>
      </c>
      <c r="F4" s="5" t="s">
        <v>2273</v>
      </c>
      <c r="G4" s="16">
        <f>IF(E4=0,"",G3/E4)</f>
      </c>
    </row>
    <row r="6">
      <c r="A6" s="3" t="s">
        <v>135</v>
      </c>
      <c r="B6" s="3" t="s">
        <v>2274</v>
      </c>
      <c r="C6" s="3" t="s">
        <v>2275</v>
      </c>
      <c r="D6" s="3" t="s">
        <v>2254</v>
      </c>
      <c r="E6" s="3" t="s">
        <v>2276</v>
      </c>
    </row>
    <row r="7">
      <c r="A7" s="12">
        <f>IF(0&gt;=SprintDays,"",Sprint1+($E$3-1)*SprintDays+0)</f>
      </c>
      <c r="B7" s="17">
        <f>IF(A7="","",0+1)</f>
      </c>
      <c r="C7" s="14">
        <f>IF(A7="",NA(),$E$4*(1-0/MAX(1,SprintDays-1)))</f>
      </c>
      <c r="D7" s="17">
        <f>IF(OR(A7="",A7&gt;AsOf),NA(),E7-SUMIFS(Log[Burn],Log[Sprint],$E$3,Log[Date],"&lt;="&amp;A7,Log[Team],IF($B$4="","*",$B$4)))</f>
      </c>
      <c r="E7" s="17">
        <f>IF(A7="",NA(),SUMIFS(Log[Pts],Log[Into],$E$3,Log[Date],"&lt;="&amp;A7,Log[Team],IF($B$4="","*",$B$4)))</f>
      </c>
    </row>
    <row r="8">
      <c r="A8" s="12">
        <f>IF(1&gt;=SprintDays,"",Sprint1+($E$3-1)*SprintDays+1)</f>
      </c>
      <c r="B8" s="17">
        <f>IF(A8="","",1+1)</f>
      </c>
      <c r="C8" s="14">
        <f>IF(A8="",NA(),$E$4*(1-1/MAX(1,SprintDays-1)))</f>
      </c>
      <c r="D8" s="17">
        <f>IF(OR(A8="",A8&gt;AsOf),NA(),E8-SUMIFS(Log[Burn],Log[Sprint],$E$3,Log[Date],"&lt;="&amp;A8,Log[Team],IF($B$4="","*",$B$4)))</f>
      </c>
      <c r="E8" s="17">
        <f>IF(A8="",NA(),SUMIFS(Log[Pts],Log[Into],$E$3,Log[Date],"&lt;="&amp;A8,Log[Team],IF($B$4="","*",$B$4)))</f>
      </c>
    </row>
    <row r="9">
      <c r="A9" s="12">
        <f>IF(2&gt;=SprintDays,"",Sprint1+($E$3-1)*SprintDays+2)</f>
      </c>
      <c r="B9" s="17">
        <f>IF(A9="","",2+1)</f>
      </c>
      <c r="C9" s="14">
        <f>IF(A9="",NA(),$E$4*(1-2/MAX(1,SprintDays-1)))</f>
      </c>
      <c r="D9" s="17">
        <f>IF(OR(A9="",A9&gt;AsOf),NA(),E9-SUMIFS(Log[Burn],Log[Sprint],$E$3,Log[Date],"&lt;="&amp;A9,Log[Team],IF($B$4="","*",$B$4)))</f>
      </c>
      <c r="E9" s="17">
        <f>IF(A9="",NA(),SUMIFS(Log[Pts],Log[Into],$E$3,Log[Date],"&lt;="&amp;A9,Log[Team],IF($B$4="","*",$B$4)))</f>
      </c>
    </row>
    <row r="10">
      <c r="A10" s="12">
        <f>IF(3&gt;=SprintDays,"",Sprint1+($E$3-1)*SprintDays+3)</f>
      </c>
      <c r="B10" s="17">
        <f>IF(A10="","",3+1)</f>
      </c>
      <c r="C10" s="14">
        <f>IF(A10="",NA(),$E$4*(1-3/MAX(1,SprintDays-1)))</f>
      </c>
      <c r="D10" s="17">
        <f>IF(OR(A10="",A10&gt;AsOf),NA(),E10-SUMIFS(Log[Burn],Log[Sprint],$E$3,Log[Date],"&lt;="&amp;A10,Log[Team],IF($B$4="","*",$B$4)))</f>
      </c>
      <c r="E10" s="17">
        <f>IF(A10="",NA(),SUMIFS(Log[Pts],Log[Into],$E$3,Log[Date],"&lt;="&amp;A10,Log[Team],IF($B$4="","*",$B$4)))</f>
      </c>
    </row>
    <row r="11">
      <c r="A11" s="12">
        <f>IF(4&gt;=SprintDays,"",Sprint1+($E$3-1)*SprintDays+4)</f>
      </c>
      <c r="B11" s="17">
        <f>IF(A11="","",4+1)</f>
      </c>
      <c r="C11" s="14">
        <f>IF(A11="",NA(),$E$4*(1-4/MAX(1,SprintDays-1)))</f>
      </c>
      <c r="D11" s="17">
        <f>IF(OR(A11="",A11&gt;AsOf),NA(),E11-SUMIFS(Log[Burn],Log[Sprint],$E$3,Log[Date],"&lt;="&amp;A11,Log[Team],IF($B$4="","*",$B$4)))</f>
      </c>
      <c r="E11" s="17">
        <f>IF(A11="",NA(),SUMIFS(Log[Pts],Log[Into],$E$3,Log[Date],"&lt;="&amp;A11,Log[Team],IF($B$4="","*",$B$4)))</f>
      </c>
    </row>
    <row r="12">
      <c r="A12" s="12">
        <f>IF(5&gt;=SprintDays,"",Sprint1+($E$3-1)*SprintDays+5)</f>
      </c>
      <c r="B12" s="17">
        <f>IF(A12="","",5+1)</f>
      </c>
      <c r="C12" s="14">
        <f>IF(A12="",NA(),$E$4*(1-5/MAX(1,SprintDays-1)))</f>
      </c>
      <c r="D12" s="17">
        <f>IF(OR(A12="",A12&gt;AsOf),NA(),E12-SUMIFS(Log[Burn],Log[Sprint],$E$3,Log[Date],"&lt;="&amp;A12,Log[Team],IF($B$4="","*",$B$4)))</f>
      </c>
      <c r="E12" s="17">
        <f>IF(A12="",NA(),SUMIFS(Log[Pts],Log[Into],$E$3,Log[Date],"&lt;="&amp;A12,Log[Team],IF($B$4="","*",$B$4)))</f>
      </c>
    </row>
    <row r="13">
      <c r="A13" s="12">
        <f>IF(6&gt;=SprintDays,"",Sprint1+($E$3-1)*SprintDays+6)</f>
      </c>
      <c r="B13" s="17">
        <f>IF(A13="","",6+1)</f>
      </c>
      <c r="C13" s="14">
        <f>IF(A13="",NA(),$E$4*(1-6/MAX(1,SprintDays-1)))</f>
      </c>
      <c r="D13" s="17">
        <f>IF(OR(A13="",A13&gt;AsOf),NA(),E13-SUMIFS(Log[Burn],Log[Sprint],$E$3,Log[Date],"&lt;="&amp;A13,Log[Team],IF($B$4="","*",$B$4)))</f>
      </c>
      <c r="E13" s="17">
        <f>IF(A13="",NA(),SUMIFS(Log[Pts],Log[Into],$E$3,Log[Date],"&lt;="&amp;A13,Log[Team],IF($B$4="","*",$B$4)))</f>
      </c>
    </row>
    <row r="14">
      <c r="A14" s="12">
        <f>IF(7&gt;=SprintDays,"",Sprint1+($E$3-1)*SprintDays+7)</f>
      </c>
      <c r="B14" s="17">
        <f>IF(A14="","",7+1)</f>
      </c>
      <c r="C14" s="14">
        <f>IF(A14="",NA(),$E$4*(1-7/MAX(1,SprintDays-1)))</f>
      </c>
      <c r="D14" s="17">
        <f>IF(OR(A14="",A14&gt;AsOf),NA(),E14-SUMIFS(Log[Burn],Log[Sprint],$E$3,Log[Date],"&lt;="&amp;A14,Log[Team],IF($B$4="","*",$B$4)))</f>
      </c>
      <c r="E14" s="17">
        <f>IF(A14="",NA(),SUMIFS(Log[Pts],Log[Into],$E$3,Log[Date],"&lt;="&amp;A14,Log[Team],IF($B$4="","*",$B$4)))</f>
      </c>
    </row>
    <row r="15">
      <c r="A15" s="12">
        <f>IF(8&gt;=SprintDays,"",Sprint1+($E$3-1)*SprintDays+8)</f>
      </c>
      <c r="B15" s="17">
        <f>IF(A15="","",8+1)</f>
      </c>
      <c r="C15" s="14">
        <f>IF(A15="",NA(),$E$4*(1-8/MAX(1,SprintDays-1)))</f>
      </c>
      <c r="D15" s="17">
        <f>IF(OR(A15="",A15&gt;AsOf),NA(),E15-SUMIFS(Log[Burn],Log[Sprint],$E$3,Log[Date],"&lt;="&amp;A15,Log[Team],IF($B$4="","*",$B$4)))</f>
      </c>
      <c r="E15" s="17">
        <f>IF(A15="",NA(),SUMIFS(Log[Pts],Log[Into],$E$3,Log[Date],"&lt;="&amp;A15,Log[Team],IF($B$4="","*",$B$4)))</f>
      </c>
    </row>
    <row r="16">
      <c r="A16" s="12">
        <f>IF(9&gt;=SprintDays,"",Sprint1+($E$3-1)*SprintDays+9)</f>
      </c>
      <c r="B16" s="17">
        <f>IF(A16="","",9+1)</f>
      </c>
      <c r="C16" s="14">
        <f>IF(A16="",NA(),$E$4*(1-9/MAX(1,SprintDays-1)))</f>
      </c>
      <c r="D16" s="17">
        <f>IF(OR(A16="",A16&gt;AsOf),NA(),E16-SUMIFS(Log[Burn],Log[Sprint],$E$3,Log[Date],"&lt;="&amp;A16,Log[Team],IF($B$4="","*",$B$4)))</f>
      </c>
      <c r="E16" s="17">
        <f>IF(A16="",NA(),SUMIFS(Log[Pts],Log[Into],$E$3,Log[Date],"&lt;="&amp;A16,Log[Team],IF($B$4="","*",$B$4)))</f>
      </c>
    </row>
    <row r="17">
      <c r="A17" s="12">
        <f>IF(10&gt;=SprintDays,"",Sprint1+($E$3-1)*SprintDays+10)</f>
      </c>
      <c r="B17" s="17">
        <f>IF(A17="","",10+1)</f>
      </c>
      <c r="C17" s="14">
        <f>IF(A17="",NA(),$E$4*(1-10/MAX(1,SprintDays-1)))</f>
      </c>
      <c r="D17" s="17">
        <f>IF(OR(A17="",A17&gt;AsOf),NA(),E17-SUMIFS(Log[Burn],Log[Sprint],$E$3,Log[Date],"&lt;="&amp;A17,Log[Team],IF($B$4="","*",$B$4)))</f>
      </c>
      <c r="E17" s="17">
        <f>IF(A17="",NA(),SUMIFS(Log[Pts],Log[Into],$E$3,Log[Date],"&lt;="&amp;A17,Log[Team],IF($B$4="","*",$B$4)))</f>
      </c>
    </row>
    <row r="18">
      <c r="A18" s="12">
        <f>IF(11&gt;=SprintDays,"",Sprint1+($E$3-1)*SprintDays+11)</f>
      </c>
      <c r="B18" s="17">
        <f>IF(A18="","",11+1)</f>
      </c>
      <c r="C18" s="14">
        <f>IF(A18="",NA(),$E$4*(1-11/MAX(1,SprintDays-1)))</f>
      </c>
      <c r="D18" s="17">
        <f>IF(OR(A18="",A18&gt;AsOf),NA(),E18-SUMIFS(Log[Burn],Log[Sprint],$E$3,Log[Date],"&lt;="&amp;A18,Log[Team],IF($B$4="","*",$B$4)))</f>
      </c>
      <c r="E18" s="17">
        <f>IF(A18="",NA(),SUMIFS(Log[Pts],Log[Into],$E$3,Log[Date],"&lt;="&amp;A18,Log[Team],IF($B$4="","*",$B$4)))</f>
      </c>
    </row>
    <row r="19">
      <c r="A19" s="12">
        <f>IF(12&gt;=SprintDays,"",Sprint1+($E$3-1)*SprintDays+12)</f>
      </c>
      <c r="B19" s="17">
        <f>IF(A19="","",12+1)</f>
      </c>
      <c r="C19" s="14">
        <f>IF(A19="",NA(),$E$4*(1-12/MAX(1,SprintDays-1)))</f>
      </c>
      <c r="D19" s="17">
        <f>IF(OR(A19="",A19&gt;AsOf),NA(),E19-SUMIFS(Log[Burn],Log[Sprint],$E$3,Log[Date],"&lt;="&amp;A19,Log[Team],IF($B$4="","*",$B$4)))</f>
      </c>
      <c r="E19" s="17">
        <f>IF(A19="",NA(),SUMIFS(Log[Pts],Log[Into],$E$3,Log[Date],"&lt;="&amp;A19,Log[Team],IF($B$4="","*",$B$4)))</f>
      </c>
    </row>
    <row r="20">
      <c r="A20" s="12">
        <f>IF(13&gt;=SprintDays,"",Sprint1+($E$3-1)*SprintDays+13)</f>
      </c>
      <c r="B20" s="17">
        <f>IF(A20="","",13+1)</f>
      </c>
      <c r="C20" s="14">
        <f>IF(A20="",NA(),$E$4*(1-13/MAX(1,SprintDays-1)))</f>
      </c>
      <c r="D20" s="17">
        <f>IF(OR(A20="",A20&gt;AsOf),NA(),E20-SUMIFS(Log[Burn],Log[Sprint],$E$3,Log[Date],"&lt;="&amp;A20,Log[Team],IF($B$4="","*",$B$4)))</f>
      </c>
      <c r="E20" s="17">
        <f>IF(A20="",NA(),SUMIFS(Log[Pts],Log[Into],$E$3,Log[Date],"&lt;="&amp;A20,Log[Team],IF($B$4="","*",$B$4)))</f>
      </c>
    </row>
    <row r="21">
      <c r="A21" s="12">
        <f>IF(14&gt;=SprintDays,"",Sprint1+($E$3-1)*SprintDays+14)</f>
      </c>
      <c r="B21" s="17">
        <f>IF(A21="","",14+1)</f>
      </c>
      <c r="C21" s="14">
        <f>IF(A21="",NA(),$E$4*(1-14/MAX(1,SprintDays-1)))</f>
      </c>
      <c r="D21" s="17">
        <f>IF(OR(A21="",A21&gt;AsOf),NA(),E21-SUMIFS(Log[Burn],Log[Sprint],$E$3,Log[Date],"&lt;="&amp;A21,Log[Team],IF($B$4="","*",$B$4)))</f>
      </c>
      <c r="E21" s="17">
        <f>IF(A21="",NA(),SUMIFS(Log[Pts],Log[Into],$E$3,Log[Date],"&lt;="&amp;A21,Log[Team],IF($B$4="","*",$B$4)))</f>
      </c>
    </row>
    <row r="22">
      <c r="A22" s="12">
        <f>IF(15&gt;=SprintDays,"",Sprint1+($E$3-1)*SprintDays+15)</f>
      </c>
      <c r="B22" s="17">
        <f>IF(A22="","",15+1)</f>
      </c>
      <c r="C22" s="14">
        <f>IF(A22="",NA(),$E$4*(1-15/MAX(1,SprintDays-1)))</f>
      </c>
      <c r="D22" s="17">
        <f>IF(OR(A22="",A22&gt;AsOf),NA(),E22-SUMIFS(Log[Burn],Log[Sprint],$E$3,Log[Date],"&lt;="&amp;A22,Log[Team],IF($B$4="","*",$B$4)))</f>
      </c>
      <c r="E22" s="17">
        <f>IF(A22="",NA(),SUMIFS(Log[Pts],Log[Into],$E$3,Log[Date],"&lt;="&amp;A22,Log[Team],IF($B$4="","*",$B$4)))</f>
      </c>
    </row>
    <row r="23">
      <c r="A23" s="12">
        <f>IF(16&gt;=SprintDays,"",Sprint1+($E$3-1)*SprintDays+16)</f>
      </c>
      <c r="B23" s="17">
        <f>IF(A23="","",16+1)</f>
      </c>
      <c r="C23" s="14">
        <f>IF(A23="",NA(),$E$4*(1-16/MAX(1,SprintDays-1)))</f>
      </c>
      <c r="D23" s="17">
        <f>IF(OR(A23="",A23&gt;AsOf),NA(),E23-SUMIFS(Log[Burn],Log[Sprint],$E$3,Log[Date],"&lt;="&amp;A23,Log[Team],IF($B$4="","*",$B$4)))</f>
      </c>
      <c r="E23" s="17">
        <f>IF(A23="",NA(),SUMIFS(Log[Pts],Log[Into],$E$3,Log[Date],"&lt;="&amp;A23,Log[Team],IF($B$4="","*",$B$4)))</f>
      </c>
    </row>
    <row r="24">
      <c r="A24" s="12">
        <f>IF(17&gt;=SprintDays,"",Sprint1+($E$3-1)*SprintDays+17)</f>
      </c>
      <c r="B24" s="17">
        <f>IF(A24="","",17+1)</f>
      </c>
      <c r="C24" s="14">
        <f>IF(A24="",NA(),$E$4*(1-17/MAX(1,SprintDays-1)))</f>
      </c>
      <c r="D24" s="17">
        <f>IF(OR(A24="",A24&gt;AsOf),NA(),E24-SUMIFS(Log[Burn],Log[Sprint],$E$3,Log[Date],"&lt;="&amp;A24,Log[Team],IF($B$4="","*",$B$4)))</f>
      </c>
      <c r="E24" s="17">
        <f>IF(A24="",NA(),SUMIFS(Log[Pts],Log[Into],$E$3,Log[Date],"&lt;="&amp;A24,Log[Team],IF($B$4="","*",$B$4)))</f>
      </c>
    </row>
    <row r="25">
      <c r="A25" s="12">
        <f>IF(18&gt;=SprintDays,"",Sprint1+($E$3-1)*SprintDays+18)</f>
      </c>
      <c r="B25" s="17">
        <f>IF(A25="","",18+1)</f>
      </c>
      <c r="C25" s="14">
        <f>IF(A25="",NA(),$E$4*(1-18/MAX(1,SprintDays-1)))</f>
      </c>
      <c r="D25" s="17">
        <f>IF(OR(A25="",A25&gt;AsOf),NA(),E25-SUMIFS(Log[Burn],Log[Sprint],$E$3,Log[Date],"&lt;="&amp;A25,Log[Team],IF($B$4="","*",$B$4)))</f>
      </c>
      <c r="E25" s="17">
        <f>IF(A25="",NA(),SUMIFS(Log[Pts],Log[Into],$E$3,Log[Date],"&lt;="&amp;A25,Log[Team],IF($B$4="","*",$B$4)))</f>
      </c>
    </row>
    <row r="26">
      <c r="A26" s="12">
        <f>IF(19&gt;=SprintDays,"",Sprint1+($E$3-1)*SprintDays+19)</f>
      </c>
      <c r="B26" s="17">
        <f>IF(A26="","",19+1)</f>
      </c>
      <c r="C26" s="14">
        <f>IF(A26="",NA(),$E$4*(1-19/MAX(1,SprintDays-1)))</f>
      </c>
      <c r="D26" s="17">
        <f>IF(OR(A26="",A26&gt;AsOf),NA(),E26-SUMIFS(Log[Burn],Log[Sprint],$E$3,Log[Date],"&lt;="&amp;A26,Log[Team],IF($B$4="","*",$B$4)))</f>
      </c>
      <c r="E26" s="17">
        <f>IF(A26="",NA(),SUMIFS(Log[Pts],Log[Into],$E$3,Log[Date],"&lt;="&amp;A26,Log[Team],IF($B$4="","*",$B$4)))</f>
      </c>
    </row>
    <row r="27">
      <c r="A27" s="12">
        <f>IF(20&gt;=SprintDays,"",Sprint1+($E$3-1)*SprintDays+20)</f>
      </c>
      <c r="B27" s="17">
        <f>IF(A27="","",20+1)</f>
      </c>
      <c r="C27" s="14">
        <f>IF(A27="",NA(),$E$4*(1-20/MAX(1,SprintDays-1)))</f>
      </c>
      <c r="D27" s="17">
        <f>IF(OR(A27="",A27&gt;AsOf),NA(),E27-SUMIFS(Log[Burn],Log[Sprint],$E$3,Log[Date],"&lt;="&amp;A27,Log[Team],IF($B$4="","*",$B$4)))</f>
      </c>
      <c r="E27" s="17">
        <f>IF(A27="",NA(),SUMIFS(Log[Pts],Log[Into],$E$3,Log[Date],"&lt;="&amp;A27,Log[Team],IF($B$4="","*",$B$4)))</f>
      </c>
    </row>
    <row r="28">
      <c r="A28" s="12">
        <f>IF(21&gt;=SprintDays,"",Sprint1+($E$3-1)*SprintDays+21)</f>
      </c>
      <c r="B28" s="17">
        <f>IF(A28="","",21+1)</f>
      </c>
      <c r="C28" s="14">
        <f>IF(A28="",NA(),$E$4*(1-21/MAX(1,SprintDays-1)))</f>
      </c>
      <c r="D28" s="17">
        <f>IF(OR(A28="",A28&gt;AsOf),NA(),E28-SUMIFS(Log[Burn],Log[Sprint],$E$3,Log[Date],"&lt;="&amp;A28,Log[Team],IF($B$4="","*",$B$4)))</f>
      </c>
      <c r="E28" s="17">
        <f>IF(A28="",NA(),SUMIFS(Log[Pts],Log[Into],$E$3,Log[Date],"&lt;="&amp;A28,Log[Team],IF($B$4="","*",$B$4)))</f>
      </c>
    </row>
    <row r="29">
      <c r="A29" s="12">
        <f>IF(22&gt;=SprintDays,"",Sprint1+($E$3-1)*SprintDays+22)</f>
      </c>
      <c r="B29" s="17">
        <f>IF(A29="","",22+1)</f>
      </c>
      <c r="C29" s="14">
        <f>IF(A29="",NA(),$E$4*(1-22/MAX(1,SprintDays-1)))</f>
      </c>
      <c r="D29" s="17">
        <f>IF(OR(A29="",A29&gt;AsOf),NA(),E29-SUMIFS(Log[Burn],Log[Sprint],$E$3,Log[Date],"&lt;="&amp;A29,Log[Team],IF($B$4="","*",$B$4)))</f>
      </c>
      <c r="E29" s="17">
        <f>IF(A29="",NA(),SUMIFS(Log[Pts],Log[Into],$E$3,Log[Date],"&lt;="&amp;A29,Log[Team],IF($B$4="","*",$B$4)))</f>
      </c>
    </row>
    <row r="30">
      <c r="A30" s="12">
        <f>IF(23&gt;=SprintDays,"",Sprint1+($E$3-1)*SprintDays+23)</f>
      </c>
      <c r="B30" s="17">
        <f>IF(A30="","",23+1)</f>
      </c>
      <c r="C30" s="14">
        <f>IF(A30="",NA(),$E$4*(1-23/MAX(1,SprintDays-1)))</f>
      </c>
      <c r="D30" s="17">
        <f>IF(OR(A30="",A30&gt;AsOf),NA(),E30-SUMIFS(Log[Burn],Log[Sprint],$E$3,Log[Date],"&lt;="&amp;A30,Log[Team],IF($B$4="","*",$B$4)))</f>
      </c>
      <c r="E30" s="17">
        <f>IF(A30="",NA(),SUMIFS(Log[Pts],Log[Into],$E$3,Log[Date],"&lt;="&amp;A30,Log[Team],IF($B$4="","*",$B$4)))</f>
      </c>
    </row>
    <row r="31">
      <c r="A31" s="12">
        <f>IF(24&gt;=SprintDays,"",Sprint1+($E$3-1)*SprintDays+24)</f>
      </c>
      <c r="B31" s="17">
        <f>IF(A31="","",24+1)</f>
      </c>
      <c r="C31" s="14">
        <f>IF(A31="",NA(),$E$4*(1-24/MAX(1,SprintDays-1)))</f>
      </c>
      <c r="D31" s="17">
        <f>IF(OR(A31="",A31&gt;AsOf),NA(),E31-SUMIFS(Log[Burn],Log[Sprint],$E$3,Log[Date],"&lt;="&amp;A31,Log[Team],IF($B$4="","*",$B$4)))</f>
      </c>
      <c r="E31" s="17">
        <f>IF(A31="",NA(),SUMIFS(Log[Pts],Log[Into],$E$3,Log[Date],"&lt;="&amp;A31,Log[Team],IF($B$4="","*",$B$4)))</f>
      </c>
    </row>
    <row r="32">
      <c r="A32" s="12">
        <f>IF(25&gt;=SprintDays,"",Sprint1+($E$3-1)*SprintDays+25)</f>
      </c>
      <c r="B32" s="17">
        <f>IF(A32="","",25+1)</f>
      </c>
      <c r="C32" s="14">
        <f>IF(A32="",NA(),$E$4*(1-25/MAX(1,SprintDays-1)))</f>
      </c>
      <c r="D32" s="17">
        <f>IF(OR(A32="",A32&gt;AsOf),NA(),E32-SUMIFS(Log[Burn],Log[Sprint],$E$3,Log[Date],"&lt;="&amp;A32,Log[Team],IF($B$4="","*",$B$4)))</f>
      </c>
      <c r="E32" s="17">
        <f>IF(A32="",NA(),SUMIFS(Log[Pts],Log[Into],$E$3,Log[Date],"&lt;="&amp;A32,Log[Team],IF($B$4="","*",$B$4)))</f>
      </c>
    </row>
    <row r="33">
      <c r="A33" s="12">
        <f>IF(26&gt;=SprintDays,"",Sprint1+($E$3-1)*SprintDays+26)</f>
      </c>
      <c r="B33" s="17">
        <f>IF(A33="","",26+1)</f>
      </c>
      <c r="C33" s="14">
        <f>IF(A33="",NA(),$E$4*(1-26/MAX(1,SprintDays-1)))</f>
      </c>
      <c r="D33" s="17">
        <f>IF(OR(A33="",A33&gt;AsOf),NA(),E33-SUMIFS(Log[Burn],Log[Sprint],$E$3,Log[Date],"&lt;="&amp;A33,Log[Team],IF($B$4="","*",$B$4)))</f>
      </c>
      <c r="E33" s="17">
        <f>IF(A33="",NA(),SUMIFS(Log[Pts],Log[Into],$E$3,Log[Date],"&lt;="&amp;A33,Log[Team],IF($B$4="","*",$B$4)))</f>
      </c>
    </row>
    <row r="34">
      <c r="A34" s="12">
        <f>IF(27&gt;=SprintDays,"",Sprint1+($E$3-1)*SprintDays+27)</f>
      </c>
      <c r="B34" s="17">
        <f>IF(A34="","",27+1)</f>
      </c>
      <c r="C34" s="14">
        <f>IF(A34="",NA(),$E$4*(1-27/MAX(1,SprintDays-1)))</f>
      </c>
      <c r="D34" s="17">
        <f>IF(OR(A34="",A34&gt;AsOf),NA(),E34-SUMIFS(Log[Burn],Log[Sprint],$E$3,Log[Date],"&lt;="&amp;A34,Log[Team],IF($B$4="","*",$B$4)))</f>
      </c>
      <c r="E34" s="17">
        <f>IF(A34="",NA(),SUMIFS(Log[Pts],Log[Into],$E$3,Log[Date],"&lt;="&amp;A34,Log[Team],IF($B$4="","*",$B$4)))</f>
      </c>
    </row>
  </sheetData>
  <conditionalFormatting sqref="C7:E34">
    <cfRule type="expression" dxfId="4" priority="1">
      <formula>ISNA(C7)</formula>
    </cfRule>
  </conditionalFormatting>
  <dataValidations count="1">
    <dataValidation type="list" allowBlank="1" showErrorMessage="1" errorStyle="warning" sqref="B4">
      <formula1>TeamList</formula1>
    </dataValidation>
  </dataValidations>
  <pageMargins left="0.5" right="0.5" top="0.6" bottom="0.6" header="0.3" footer="0.3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D6292E"/>
  </sheetPr>
  <sheetViews>
    <sheetView workbookViewId="0" showGridLines="0"/>
  </sheetViews>
  <sheetFormatPr defaultRowHeight="13.8"/>
  <cols>
    <col min="1" max="1" width="10" customWidth="1"/>
    <col min="2" max="2" width="11" customWidth="1"/>
    <col min="3" max="3" width="10" customWidth="1"/>
    <col min="4" max="4" width="8" customWidth="1"/>
    <col min="5" max="5" width="8" customWidth="1"/>
    <col min="6" max="6" width="8" customWidth="1"/>
    <col min="7" max="7" width="13" customWidth="1"/>
    <col min="8" max="8" width="10" customWidth="1"/>
    <col min="9" max="9" width="10" customWidth="1"/>
  </cols>
  <sheetData>
    <row r="1">
      <c r="A1" s="1" t="s">
        <v>2277</v>
      </c>
    </row>
    <row r="3">
      <c r="A3" s="5" t="s">
        <v>2272</v>
      </c>
      <c r="B3" s="8"/>
    </row>
    <row r="5">
      <c r="A5" s="3" t="s">
        <v>157</v>
      </c>
      <c r="B5" s="3" t="s">
        <v>2278</v>
      </c>
      <c r="C5" s="3" t="s">
        <v>2252</v>
      </c>
      <c r="D5" s="3" t="s">
        <v>2253</v>
      </c>
      <c r="E5" s="3" t="s">
        <v>1099</v>
      </c>
      <c r="F5" s="3" t="s">
        <v>2279</v>
      </c>
      <c r="G5" s="3" t="s">
        <v>2280</v>
      </c>
      <c r="H5" s="3" t="s">
        <v>2281</v>
      </c>
      <c r="I5" s="3" t="s">
        <v>2282</v>
      </c>
    </row>
    <row r="6">
      <c r="A6" s="5">
        <f>IF(MAX(1,CurSprint-11)+0&gt;CurSprint,"",MAX(1,CurSprint-11)+0)</f>
      </c>
      <c r="B6" s="11">
        <f>IF(A6="","",Sprint1+(A6-1)*SprintDays)</f>
      </c>
      <c r="C6" s="17">
        <f>IF(A6="","",SUMIFS(Log[Pts],Log[Into],A6,Log[Team],IF($B$3="","*",$B$3)))</f>
      </c>
      <c r="D6" s="17">
        <f>IF(A6="","",SUMIFS(Log[Pts],Log[Verb],"done",Log[Sprint],A6,Log[Team],IF($B$3="","*",$B$3)))</f>
      </c>
      <c r="E6" s="17">
        <f>IF(A6="","",SUMIFS(Log[Pts],Log[Verb],"carry",Log[Into],A6+1,Log[Team],IF($B$3="","*",$B$3)))</f>
      </c>
      <c r="F6" s="17">
        <f>IF(A6="","",SUMIFS(Log[Pts],Log[Verb],"punt",Log[Sprint],A6,Log[Team],IF($B$3="","*",$B$3)))</f>
      </c>
      <c r="G6" s="13">
        <f>IF(OR(A6="",N(C6)=0),"",D6/C6)</f>
      </c>
      <c r="H6" s="13">
        <f>IF(OR(A6="",N(C6)=0),"",E6/C6)</f>
      </c>
      <c r="I6" s="13">
        <f>IF(OR(A6="",N(C6)=0),"",F6/C6)</f>
      </c>
    </row>
    <row r="7">
      <c r="A7" s="5">
        <f>IF(MAX(1,CurSprint-11)+1&gt;CurSprint,"",MAX(1,CurSprint-11)+1)</f>
      </c>
      <c r="B7" s="11">
        <f>IF(A7="","",Sprint1+(A7-1)*SprintDays)</f>
      </c>
      <c r="C7" s="17">
        <f>IF(A7="","",SUMIFS(Log[Pts],Log[Into],A7,Log[Team],IF($B$3="","*",$B$3)))</f>
      </c>
      <c r="D7" s="17">
        <f>IF(A7="","",SUMIFS(Log[Pts],Log[Verb],"done",Log[Sprint],A7,Log[Team],IF($B$3="","*",$B$3)))</f>
      </c>
      <c r="E7" s="17">
        <f>IF(A7="","",SUMIFS(Log[Pts],Log[Verb],"carry",Log[Into],A7+1,Log[Team],IF($B$3="","*",$B$3)))</f>
      </c>
      <c r="F7" s="17">
        <f>IF(A7="","",SUMIFS(Log[Pts],Log[Verb],"punt",Log[Sprint],A7,Log[Team],IF($B$3="","*",$B$3)))</f>
      </c>
      <c r="G7" s="13">
        <f>IF(OR(A7="",N(C7)=0),"",D7/C7)</f>
      </c>
      <c r="H7" s="13">
        <f>IF(OR(A7="",N(C7)=0),"",E7/C7)</f>
      </c>
      <c r="I7" s="13">
        <f>IF(OR(A7="",N(C7)=0),"",F7/C7)</f>
      </c>
    </row>
    <row r="8">
      <c r="A8" s="5">
        <f>IF(MAX(1,CurSprint-11)+2&gt;CurSprint,"",MAX(1,CurSprint-11)+2)</f>
      </c>
      <c r="B8" s="11">
        <f>IF(A8="","",Sprint1+(A8-1)*SprintDays)</f>
      </c>
      <c r="C8" s="17">
        <f>IF(A8="","",SUMIFS(Log[Pts],Log[Into],A8,Log[Team],IF($B$3="","*",$B$3)))</f>
      </c>
      <c r="D8" s="17">
        <f>IF(A8="","",SUMIFS(Log[Pts],Log[Verb],"done",Log[Sprint],A8,Log[Team],IF($B$3="","*",$B$3)))</f>
      </c>
      <c r="E8" s="17">
        <f>IF(A8="","",SUMIFS(Log[Pts],Log[Verb],"carry",Log[Into],A8+1,Log[Team],IF($B$3="","*",$B$3)))</f>
      </c>
      <c r="F8" s="17">
        <f>IF(A8="","",SUMIFS(Log[Pts],Log[Verb],"punt",Log[Sprint],A8,Log[Team],IF($B$3="","*",$B$3)))</f>
      </c>
      <c r="G8" s="13">
        <f>IF(OR(A8="",N(C8)=0),"",D8/C8)</f>
      </c>
      <c r="H8" s="13">
        <f>IF(OR(A8="",N(C8)=0),"",E8/C8)</f>
      </c>
      <c r="I8" s="13">
        <f>IF(OR(A8="",N(C8)=0),"",F8/C8)</f>
      </c>
    </row>
    <row r="9">
      <c r="A9" s="5">
        <f>IF(MAX(1,CurSprint-11)+3&gt;CurSprint,"",MAX(1,CurSprint-11)+3)</f>
      </c>
      <c r="B9" s="11">
        <f>IF(A9="","",Sprint1+(A9-1)*SprintDays)</f>
      </c>
      <c r="C9" s="17">
        <f>IF(A9="","",SUMIFS(Log[Pts],Log[Into],A9,Log[Team],IF($B$3="","*",$B$3)))</f>
      </c>
      <c r="D9" s="17">
        <f>IF(A9="","",SUMIFS(Log[Pts],Log[Verb],"done",Log[Sprint],A9,Log[Team],IF($B$3="","*",$B$3)))</f>
      </c>
      <c r="E9" s="17">
        <f>IF(A9="","",SUMIFS(Log[Pts],Log[Verb],"carry",Log[Into],A9+1,Log[Team],IF($B$3="","*",$B$3)))</f>
      </c>
      <c r="F9" s="17">
        <f>IF(A9="","",SUMIFS(Log[Pts],Log[Verb],"punt",Log[Sprint],A9,Log[Team],IF($B$3="","*",$B$3)))</f>
      </c>
      <c r="G9" s="13">
        <f>IF(OR(A9="",N(C9)=0),"",D9/C9)</f>
      </c>
      <c r="H9" s="13">
        <f>IF(OR(A9="",N(C9)=0),"",E9/C9)</f>
      </c>
      <c r="I9" s="13">
        <f>IF(OR(A9="",N(C9)=0),"",F9/C9)</f>
      </c>
    </row>
    <row r="10">
      <c r="A10" s="5">
        <f>IF(MAX(1,CurSprint-11)+4&gt;CurSprint,"",MAX(1,CurSprint-11)+4)</f>
      </c>
      <c r="B10" s="11">
        <f>IF(A10="","",Sprint1+(A10-1)*SprintDays)</f>
      </c>
      <c r="C10" s="17">
        <f>IF(A10="","",SUMIFS(Log[Pts],Log[Into],A10,Log[Team],IF($B$3="","*",$B$3)))</f>
      </c>
      <c r="D10" s="17">
        <f>IF(A10="","",SUMIFS(Log[Pts],Log[Verb],"done",Log[Sprint],A10,Log[Team],IF($B$3="","*",$B$3)))</f>
      </c>
      <c r="E10" s="17">
        <f>IF(A10="","",SUMIFS(Log[Pts],Log[Verb],"carry",Log[Into],A10+1,Log[Team],IF($B$3="","*",$B$3)))</f>
      </c>
      <c r="F10" s="17">
        <f>IF(A10="","",SUMIFS(Log[Pts],Log[Verb],"punt",Log[Sprint],A10,Log[Team],IF($B$3="","*",$B$3)))</f>
      </c>
      <c r="G10" s="13">
        <f>IF(OR(A10="",N(C10)=0),"",D10/C10)</f>
      </c>
      <c r="H10" s="13">
        <f>IF(OR(A10="",N(C10)=0),"",E10/C10)</f>
      </c>
      <c r="I10" s="13">
        <f>IF(OR(A10="",N(C10)=0),"",F10/C10)</f>
      </c>
    </row>
    <row r="11">
      <c r="A11" s="5">
        <f>IF(MAX(1,CurSprint-11)+5&gt;CurSprint,"",MAX(1,CurSprint-11)+5)</f>
      </c>
      <c r="B11" s="11">
        <f>IF(A11="","",Sprint1+(A11-1)*SprintDays)</f>
      </c>
      <c r="C11" s="17">
        <f>IF(A11="","",SUMIFS(Log[Pts],Log[Into],A11,Log[Team],IF($B$3="","*",$B$3)))</f>
      </c>
      <c r="D11" s="17">
        <f>IF(A11="","",SUMIFS(Log[Pts],Log[Verb],"done",Log[Sprint],A11,Log[Team],IF($B$3="","*",$B$3)))</f>
      </c>
      <c r="E11" s="17">
        <f>IF(A11="","",SUMIFS(Log[Pts],Log[Verb],"carry",Log[Into],A11+1,Log[Team],IF($B$3="","*",$B$3)))</f>
      </c>
      <c r="F11" s="17">
        <f>IF(A11="","",SUMIFS(Log[Pts],Log[Verb],"punt",Log[Sprint],A11,Log[Team],IF($B$3="","*",$B$3)))</f>
      </c>
      <c r="G11" s="13">
        <f>IF(OR(A11="",N(C11)=0),"",D11/C11)</f>
      </c>
      <c r="H11" s="13">
        <f>IF(OR(A11="",N(C11)=0),"",E11/C11)</f>
      </c>
      <c r="I11" s="13">
        <f>IF(OR(A11="",N(C11)=0),"",F11/C11)</f>
      </c>
    </row>
    <row r="12">
      <c r="A12" s="5">
        <f>IF(MAX(1,CurSprint-11)+6&gt;CurSprint,"",MAX(1,CurSprint-11)+6)</f>
      </c>
      <c r="B12" s="11">
        <f>IF(A12="","",Sprint1+(A12-1)*SprintDays)</f>
      </c>
      <c r="C12" s="17">
        <f>IF(A12="","",SUMIFS(Log[Pts],Log[Into],A12,Log[Team],IF($B$3="","*",$B$3)))</f>
      </c>
      <c r="D12" s="17">
        <f>IF(A12="","",SUMIFS(Log[Pts],Log[Verb],"done",Log[Sprint],A12,Log[Team],IF($B$3="","*",$B$3)))</f>
      </c>
      <c r="E12" s="17">
        <f>IF(A12="","",SUMIFS(Log[Pts],Log[Verb],"carry",Log[Into],A12+1,Log[Team],IF($B$3="","*",$B$3)))</f>
      </c>
      <c r="F12" s="17">
        <f>IF(A12="","",SUMIFS(Log[Pts],Log[Verb],"punt",Log[Sprint],A12,Log[Team],IF($B$3="","*",$B$3)))</f>
      </c>
      <c r="G12" s="13">
        <f>IF(OR(A12="",N(C12)=0),"",D12/C12)</f>
      </c>
      <c r="H12" s="13">
        <f>IF(OR(A12="",N(C12)=0),"",E12/C12)</f>
      </c>
      <c r="I12" s="13">
        <f>IF(OR(A12="",N(C12)=0),"",F12/C12)</f>
      </c>
    </row>
    <row r="13">
      <c r="A13" s="5">
        <f>IF(MAX(1,CurSprint-11)+7&gt;CurSprint,"",MAX(1,CurSprint-11)+7)</f>
      </c>
      <c r="B13" s="11">
        <f>IF(A13="","",Sprint1+(A13-1)*SprintDays)</f>
      </c>
      <c r="C13" s="17">
        <f>IF(A13="","",SUMIFS(Log[Pts],Log[Into],A13,Log[Team],IF($B$3="","*",$B$3)))</f>
      </c>
      <c r="D13" s="17">
        <f>IF(A13="","",SUMIFS(Log[Pts],Log[Verb],"done",Log[Sprint],A13,Log[Team],IF($B$3="","*",$B$3)))</f>
      </c>
      <c r="E13" s="17">
        <f>IF(A13="","",SUMIFS(Log[Pts],Log[Verb],"carry",Log[Into],A13+1,Log[Team],IF($B$3="","*",$B$3)))</f>
      </c>
      <c r="F13" s="17">
        <f>IF(A13="","",SUMIFS(Log[Pts],Log[Verb],"punt",Log[Sprint],A13,Log[Team],IF($B$3="","*",$B$3)))</f>
      </c>
      <c r="G13" s="13">
        <f>IF(OR(A13="",N(C13)=0),"",D13/C13)</f>
      </c>
      <c r="H13" s="13">
        <f>IF(OR(A13="",N(C13)=0),"",E13/C13)</f>
      </c>
      <c r="I13" s="13">
        <f>IF(OR(A13="",N(C13)=0),"",F13/C13)</f>
      </c>
    </row>
    <row r="14">
      <c r="A14" s="5">
        <f>IF(MAX(1,CurSprint-11)+8&gt;CurSprint,"",MAX(1,CurSprint-11)+8)</f>
      </c>
      <c r="B14" s="11">
        <f>IF(A14="","",Sprint1+(A14-1)*SprintDays)</f>
      </c>
      <c r="C14" s="17">
        <f>IF(A14="","",SUMIFS(Log[Pts],Log[Into],A14,Log[Team],IF($B$3="","*",$B$3)))</f>
      </c>
      <c r="D14" s="17">
        <f>IF(A14="","",SUMIFS(Log[Pts],Log[Verb],"done",Log[Sprint],A14,Log[Team],IF($B$3="","*",$B$3)))</f>
      </c>
      <c r="E14" s="17">
        <f>IF(A14="","",SUMIFS(Log[Pts],Log[Verb],"carry",Log[Into],A14+1,Log[Team],IF($B$3="","*",$B$3)))</f>
      </c>
      <c r="F14" s="17">
        <f>IF(A14="","",SUMIFS(Log[Pts],Log[Verb],"punt",Log[Sprint],A14,Log[Team],IF($B$3="","*",$B$3)))</f>
      </c>
      <c r="G14" s="13">
        <f>IF(OR(A14="",N(C14)=0),"",D14/C14)</f>
      </c>
      <c r="H14" s="13">
        <f>IF(OR(A14="",N(C14)=0),"",E14/C14)</f>
      </c>
      <c r="I14" s="13">
        <f>IF(OR(A14="",N(C14)=0),"",F14/C14)</f>
      </c>
    </row>
    <row r="15">
      <c r="A15" s="5">
        <f>IF(MAX(1,CurSprint-11)+9&gt;CurSprint,"",MAX(1,CurSprint-11)+9)</f>
      </c>
      <c r="B15" s="11">
        <f>IF(A15="","",Sprint1+(A15-1)*SprintDays)</f>
      </c>
      <c r="C15" s="17">
        <f>IF(A15="","",SUMIFS(Log[Pts],Log[Into],A15,Log[Team],IF($B$3="","*",$B$3)))</f>
      </c>
      <c r="D15" s="17">
        <f>IF(A15="","",SUMIFS(Log[Pts],Log[Verb],"done",Log[Sprint],A15,Log[Team],IF($B$3="","*",$B$3)))</f>
      </c>
      <c r="E15" s="17">
        <f>IF(A15="","",SUMIFS(Log[Pts],Log[Verb],"carry",Log[Into],A15+1,Log[Team],IF($B$3="","*",$B$3)))</f>
      </c>
      <c r="F15" s="17">
        <f>IF(A15="","",SUMIFS(Log[Pts],Log[Verb],"punt",Log[Sprint],A15,Log[Team],IF($B$3="","*",$B$3)))</f>
      </c>
      <c r="G15" s="13">
        <f>IF(OR(A15="",N(C15)=0),"",D15/C15)</f>
      </c>
      <c r="H15" s="13">
        <f>IF(OR(A15="",N(C15)=0),"",E15/C15)</f>
      </c>
      <c r="I15" s="13">
        <f>IF(OR(A15="",N(C15)=0),"",F15/C15)</f>
      </c>
    </row>
    <row r="16">
      <c r="A16" s="5">
        <f>IF(MAX(1,CurSprint-11)+10&gt;CurSprint,"",MAX(1,CurSprint-11)+10)</f>
      </c>
      <c r="B16" s="11">
        <f>IF(A16="","",Sprint1+(A16-1)*SprintDays)</f>
      </c>
      <c r="C16" s="17">
        <f>IF(A16="","",SUMIFS(Log[Pts],Log[Into],A16,Log[Team],IF($B$3="","*",$B$3)))</f>
      </c>
      <c r="D16" s="17">
        <f>IF(A16="","",SUMIFS(Log[Pts],Log[Verb],"done",Log[Sprint],A16,Log[Team],IF($B$3="","*",$B$3)))</f>
      </c>
      <c r="E16" s="17">
        <f>IF(A16="","",SUMIFS(Log[Pts],Log[Verb],"carry",Log[Into],A16+1,Log[Team],IF($B$3="","*",$B$3)))</f>
      </c>
      <c r="F16" s="17">
        <f>IF(A16="","",SUMIFS(Log[Pts],Log[Verb],"punt",Log[Sprint],A16,Log[Team],IF($B$3="","*",$B$3)))</f>
      </c>
      <c r="G16" s="13">
        <f>IF(OR(A16="",N(C16)=0),"",D16/C16)</f>
      </c>
      <c r="H16" s="13">
        <f>IF(OR(A16="",N(C16)=0),"",E16/C16)</f>
      </c>
      <c r="I16" s="13">
        <f>IF(OR(A16="",N(C16)=0),"",F16/C16)</f>
      </c>
    </row>
    <row r="17">
      <c r="A17" s="5">
        <f>IF(MAX(1,CurSprint-11)+11&gt;CurSprint,"",MAX(1,CurSprint-11)+11)</f>
      </c>
      <c r="B17" s="11">
        <f>IF(A17="","",Sprint1+(A17-1)*SprintDays)</f>
      </c>
      <c r="C17" s="17">
        <f>IF(A17="","",SUMIFS(Log[Pts],Log[Into],A17,Log[Team],IF($B$3="","*",$B$3)))</f>
      </c>
      <c r="D17" s="17">
        <f>IF(A17="","",SUMIFS(Log[Pts],Log[Verb],"done",Log[Sprint],A17,Log[Team],IF($B$3="","*",$B$3)))</f>
      </c>
      <c r="E17" s="17">
        <f>IF(A17="","",SUMIFS(Log[Pts],Log[Verb],"carry",Log[Into],A17+1,Log[Team],IF($B$3="","*",$B$3)))</f>
      </c>
      <c r="F17" s="17">
        <f>IF(A17="","",SUMIFS(Log[Pts],Log[Verb],"punt",Log[Sprint],A17,Log[Team],IF($B$3="","*",$B$3)))</f>
      </c>
      <c r="G17" s="13">
        <f>IF(OR(A17="",N(C17)=0),"",D17/C17)</f>
      </c>
      <c r="H17" s="13">
        <f>IF(OR(A17="",N(C17)=0),"",E17/C17)</f>
      </c>
      <c r="I17" s="13">
        <f>IF(OR(A17="",N(C17)=0),"",F17/C17)</f>
      </c>
    </row>
    <row r="19">
      <c r="A19" s="5" t="s">
        <v>2283</v>
      </c>
      <c r="D19" s="14">
        <f>IF(CurSprint&lt;2,"",SUMIFS(D6:D17,A6:A17,"&gt;="&amp;(CurSprint-3),A6:A17,"&lt;"&amp;CurSprint)/MIN(3,CurSprint-1))</f>
      </c>
    </row>
    <row r="20">
      <c r="A20" s="6" t="s">
        <v>2284</v>
      </c>
    </row>
  </sheetData>
  <conditionalFormatting sqref="G6:G17">
    <cfRule type="expression" dxfId="1" priority="1">
      <formula>AND(G6&lt;&gt;"",G6&lt;PredictMin)</formula>
    </cfRule>
  </conditionalFormatting>
  <conditionalFormatting sqref="H6:H17">
    <cfRule type="expression" dxfId="1" priority="2">
      <formula>AND(H6&lt;&gt;"",H6&gt;CarryMax)</formula>
    </cfRule>
  </conditionalFormatting>
  <conditionalFormatting sqref="I6:I17">
    <cfRule type="expression" dxfId="1" priority="3">
      <formula>AND(I6&lt;&gt;"",I6&gt;PuntMax)</formula>
    </cfRule>
  </conditionalFormatting>
  <dataValidations count="1">
    <dataValidation type="list" allowBlank="1" showErrorMessage="1" errorStyle="warning" sqref="B3">
      <formula1>TeamList</formula1>
    </dataValidation>
  </dataValidations>
  <pageMargins left="0.5" right="0.5" top="0.6" bottom="0.6" header="0.3" footer="0.3"/>
  <pageSetup orientation="portrait"/>
  <drawing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Agile kit -- Excel edition</dc:title>
  <dc:creator>agile kit</dc:creator>
</cp:coreProperties>
</file>